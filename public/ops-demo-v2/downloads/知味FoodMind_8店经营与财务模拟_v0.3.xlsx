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54025c59c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与口径" sheetId="1" r:id="Rdb3e5bbdfaee44fe"/>
    <x:sheet xmlns:r="http://schemas.openxmlformats.org/officeDocument/2006/relationships" name="门店与角色" sheetId="2" r:id="R65bdde31c1864dfb"/>
    <x:sheet xmlns:r="http://schemas.openxmlformats.org/officeDocument/2006/relationships" name="食材采购价" sheetId="3" r:id="R1a1c0ca547e54a81"/>
    <x:sheet xmlns:r="http://schemas.openxmlformats.org/officeDocument/2006/relationships" name="菜谱BOM" sheetId="4" r:id="R374a9ec203ff47b7"/>
    <x:sheet xmlns:r="http://schemas.openxmlformats.org/officeDocument/2006/relationships" name="菜品主数据" sheetId="5" r:id="R79a0a55eeeee475a"/>
    <x:sheet xmlns:r="http://schemas.openxmlformats.org/officeDocument/2006/relationships" name="7日销售明细" sheetId="6" r:id="R7eee8507bd5447f0"/>
    <x:sheet xmlns:r="http://schemas.openxmlformats.org/officeDocument/2006/relationships" name="门店日汇总" sheetId="7" r:id="R3d62d72b101d4756"/>
    <x:sheet xmlns:r="http://schemas.openxmlformats.org/officeDocument/2006/relationships" name="菜品日销量" sheetId="8" r:id="R5c68405fa0c34bad"/>
    <x:sheet xmlns:r="http://schemas.openxmlformats.org/officeDocument/2006/relationships" name="库存与收货" sheetId="9" r:id="Rdceff4938f644ce8"/>
    <x:sheet xmlns:r="http://schemas.openxmlformats.org/officeDocument/2006/relationships" name="备货预测" sheetId="10" r:id="Rcac5203cf86c4eb3"/>
    <x:sheet xmlns:r="http://schemas.openxmlformats.org/officeDocument/2006/relationships" name="炒菜机执行日志" sheetId="11" r:id="R9f48128e01344f46"/>
    <x:sheet xmlns:r="http://schemas.openxmlformats.org/officeDocument/2006/relationships" name="顾客反馈" sheetId="12" r:id="R0c2ba222f92d4879"/>
    <x:sheet xmlns:r="http://schemas.openxmlformats.org/officeDocument/2006/relationships" name="经营事件" sheetId="13" r:id="R887d92fb62c14954"/>
    <x:sheet xmlns:r="http://schemas.openxmlformats.org/officeDocument/2006/relationships" name="SOP任务" sheetId="14" r:id="Ra1ff99cf3e204590"/>
    <x:sheet xmlns:r="http://schemas.openxmlformats.org/officeDocument/2006/relationships" name="经营摘要" sheetId="15" r:id="Rb0809ac0976b4e17"/>
    <x:sheet xmlns:r="http://schemas.openxmlformats.org/officeDocument/2006/relationships" name="检查" sheetId="16" r:id="R0d9c44c03ab042b0"/>
    <x:sheet xmlns:r="http://schemas.openxmlformats.org/officeDocument/2006/relationships" name="来源与假设" sheetId="17" r:id="R177bd1ad236b4331"/>
    <x:sheet xmlns:r="http://schemas.openxmlformats.org/officeDocument/2006/relationships" name="外卖结算" sheetId="18" r:id="Rf96feb1eb2cf4cd9"/>
    <x:sheet xmlns:r="http://schemas.openxmlformats.org/officeDocument/2006/relationships" name="支付资金账单" sheetId="19" r:id="R0725008ff7ba4684"/>
    <x:sheet xmlns:r="http://schemas.openxmlformats.org/officeDocument/2006/relationships" name="排班工时" sheetId="20" r:id="Rb50318e7f31b4cd0"/>
    <x:sheet xmlns:r="http://schemas.openxmlformats.org/officeDocument/2006/relationships" name="固定费用月表" sheetId="21" r:id="R58d31cb33b97417c"/>
    <x:sheet xmlns:r="http://schemas.openxmlformats.org/officeDocument/2006/relationships" name="供应商应付" sheetId="22" r:id="R0b849fbcda394d11"/>
    <x:sheet xmlns:r="http://schemas.openxmlformats.org/officeDocument/2006/relationships" name="营销活动" sheetId="23" r:id="R81ceac51ec1c4fd0"/>
    <x:sheet xmlns:r="http://schemas.openxmlformats.org/officeDocument/2006/relationships" name="月度损益" sheetId="24" r:id="R88475f59e7f84fe1"/>
    <x:sheet xmlns:r="http://schemas.openxmlformats.org/officeDocument/2006/relationships" name="现金日历" sheetId="25" r:id="Rd70ae26bff45417a"/>
    <x:sheet xmlns:r="http://schemas.openxmlformats.org/officeDocument/2006/relationships" name="开店投资" sheetId="26" r:id="R34550cdb335c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#,##0"/>
    <x:numFmt numFmtId="201" formatCode="0.0%"/>
    <x:numFmt numFmtId="202" formatCode="0.0"/>
    <x:numFmt numFmtId="203" formatCode="0"/>
    <x:numFmt numFmtId="204" formatCode="0.00"/>
    <x:numFmt numFmtId="205" formatCode="yyyy-mm-dd"/>
    <x:numFmt numFmtId="206" formatCode="#,##0.0"/>
    <x:numFmt numFmtId="207" formatCode="0.00%"/>
    <x:numFmt numFmtId="208" formatCode="#,##0;[Red](#,##0)"/>
    <x:numFmt numFmtId="209" formatCode="0%"/>
    <x:numFmt numFmtId="210" formatCode="yyyy-mm-dd hh:mm"/>
    <x:numFmt numFmtId="211" formatCode="#,##0.00;[Red](#,##0.00);-"/>
    <x:numFmt numFmtId="212" formatCode="0.0%;[Red](0.0%);-"/>
    <x:numFmt numFmtId="213" formatCode="#,##0;[Red](#,##0);-"/>
    <x:numFmt numFmtId="214" formatCode="yyyy-mm"/>
    <x:numFmt numFmtId="215" formatCode="#,##0.0;[Red](#,##0.0);-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96A65"/>
      <x:name val="Carlito"/>
    </x:font>
    <x:font>
      <x:b/>
      <x:sz val="11"/>
      <x:color rgb="FFFFFFFF"/>
      <x:name val="Carlito"/>
    </x:font>
    <x:font>
      <x:sz val="11"/>
      <x:color rgb="FF1F211D"/>
      <x:name val="Carlito"/>
    </x:font>
    <x:font>
      <x:sz val="10"/>
      <x:color rgb="FF1F211D"/>
      <x:name val="Carlito"/>
    </x:font>
    <x:font>
      <x:b/>
      <x:sz val="12"/>
      <x:color rgb="FFB97818"/>
      <x:name val="Carlito"/>
    </x:font>
    <x:font>
      <x:sz val="10"/>
      <x:color rgb="FF1D4ED8"/>
      <x:name val="Carlito"/>
    </x:font>
    <x:font>
      <x:b/>
      <x:sz val="16"/>
      <x:color rgb="FF1F211D"/>
      <x:name val="Carlito"/>
    </x:font>
    <x:font>
      <x:b/>
      <x:sz val="14"/>
      <x:color rgb="FF315C3B"/>
      <x:name val="Carlito"/>
    </x:font>
    <x:font>
      <x:sz val="11"/>
      <x:color rgb="FF0000FF"/>
      <x:name val="Carlito"/>
    </x:font>
    <x:font>
      <x:i/>
      <x:sz val="11"/>
      <x:color rgb="FF696A65"/>
      <x:name val="Carlito"/>
    </x:font>
    <x:font>
      <x:sz val="11"/>
      <x:color rgb="FF008000"/>
      <x:name val="Carlito"/>
    </x:font>
    <x:font>
      <x:b/>
      <x:sz val="11"/>
      <x:color rgb="FF315C3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15C3B"/>
      </x:patternFill>
    </x:fill>
    <x:fill>
      <x:patternFill patternType="solid">
        <x:fgColor rgb="FFF4EFE4"/>
      </x:patternFill>
    </x:fill>
    <x:fill>
      <x:patternFill patternType="solid">
        <x:fgColor rgb="FF1F211D"/>
      </x:patternFill>
    </x:fill>
    <x:fill>
      <x:patternFill patternType="solid">
        <x:fgColor rgb="FFFBF8F1"/>
      </x:patternFill>
    </x:fill>
    <x:fill>
      <x:patternFill patternType="solid">
        <x:fgColor rgb="FFF6EAD7"/>
      </x:patternFill>
    </x:fill>
    <x:fill>
      <x:patternFill patternType="solid">
        <x:fgColor rgb="FF315C3B"/>
      </x:patternFill>
    </x:fill>
    <x:fill>
      <x:patternFill patternType="solid">
        <x:fgColor rgb="FFF4EFE4"/>
      </x:patternFill>
    </x:fill>
    <x:fill>
      <x:patternFill patternType="solid">
        <x:fgColor rgb="FF1F211D"/>
      </x:patternFill>
    </x:fill>
  </x:fills>
  <x:borders count="7">
    <x:border/>
    <x:border>
      <x:bottom style="medium">
        <x:color rgb="FFB97818"/>
      </x:bottom>
    </x:border>
    <x:border>
      <x:bottom style="thin">
        <x:color rgb="FFD8D1C5"/>
      </x:bottom>
    </x:border>
    <x:border>
      <x:bottom style="thin">
        <x:color rgb="FF9FC1D2"/>
      </x:bottom>
    </x:border>
    <x:border>
      <x:top style="thin">
        <x:color rgb="FF9FC1D2"/>
      </x:top>
      <x:bottom style="thin">
        <x:color rgb="FF9FC1D2"/>
      </x:bottom>
    </x:border>
    <x:border>
      <x:top style="thin">
        <x:color rgb="FF9FC1D2"/>
      </x:top>
    </x:border>
    <x:border>
      <x:top style="medium">
        <x:color rgb="FFB97818"/>
      </x:top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8" fontId="5" fillId="0" borderId="0" xfId="0" applyNumberFormat="1" applyFont="1" applyFill="1" applyBorder="1" applyAlignment="1">
      <x:alignment vertical="center"/>
    </x:xf>
    <x:xf numFmtId="209" fontId="5" fillId="0" borderId="0" xfId="0" applyNumberFormat="1" applyFont="1" applyFill="1" applyBorder="1" applyAlignment="1">
      <x:alignment vertical="center"/>
    </x:xf>
    <x:xf numFmtId="210" fontId="5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8" fillId="3" borderId="0" xfId="0" applyNumberFormat="1" applyFont="1" applyFill="1" applyBorder="1"/>
    <x:xf numFmtId="0" fontId="9" fillId="3" borderId="0" xfId="0" applyNumberFormat="1" applyFont="1" applyFill="1" applyBorder="1"/>
    <x:xf numFmtId="207" fontId="5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1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11" fontId="10" fillId="0" borderId="3" xfId="0" applyNumberFormat="1" applyFont="1" applyFill="1" applyBorder="1" applyAlignment="1">
      <x:alignment vertical="center"/>
    </x:xf>
    <x:xf numFmtId="211" fontId="10" fillId="0" borderId="4" xfId="0" applyNumberFormat="1" applyFont="1" applyFill="1" applyBorder="1" applyAlignment="1">
      <x:alignment vertical="center"/>
    </x:xf>
    <x:xf numFmtId="211" fontId="10" fillId="0" borderId="5" xfId="0" applyNumberFormat="1" applyFont="1" applyFill="1" applyBorder="1" applyAlignment="1">
      <x:alignment vertical="center"/>
    </x:xf>
    <x:xf numFmtId="211" fontId="4" fillId="0" borderId="3" xfId="0" applyNumberFormat="1" applyFont="1" applyFill="1" applyBorder="1" applyAlignment="1">
      <x:alignment vertical="center"/>
    </x:xf>
    <x:xf numFmtId="211" fontId="4" fillId="0" borderId="4" xfId="0" applyNumberFormat="1" applyFont="1" applyFill="1" applyBorder="1" applyAlignment="1">
      <x:alignment vertical="center"/>
    </x:xf>
    <x:xf numFmtId="211" fontId="4" fillId="0" borderId="5" xfId="0" applyNumberFormat="1" applyFont="1" applyFill="1" applyBorder="1" applyAlignment="1">
      <x:alignment vertical="center"/>
    </x:xf>
    <x:xf numFmtId="212" fontId="10" fillId="0" borderId="3" xfId="0" applyNumberFormat="1" applyFont="1" applyFill="1" applyBorder="1" applyAlignment="1">
      <x:alignment vertical="center"/>
    </x:xf>
    <x:xf numFmtId="212" fontId="10" fillId="0" borderId="4" xfId="0" applyNumberFormat="1" applyFont="1" applyFill="1" applyBorder="1" applyAlignment="1">
      <x:alignment vertical="center"/>
    </x:xf>
    <x:xf numFmtId="212" fontId="10" fillId="0" borderId="5" xfId="0" applyNumberFormat="1" applyFont="1" applyFill="1" applyBorder="1" applyAlignment="1">
      <x:alignment vertical="center"/>
    </x:xf>
    <x:xf numFmtId="212" fontId="4" fillId="0" borderId="3" xfId="0" applyNumberFormat="1" applyFont="1" applyFill="1" applyBorder="1" applyAlignment="1">
      <x:alignment vertical="center"/>
    </x:xf>
    <x:xf numFmtId="212" fontId="4" fillId="0" borderId="4" xfId="0" applyNumberFormat="1" applyFont="1" applyFill="1" applyBorder="1" applyAlignment="1">
      <x:alignment vertical="center"/>
    </x:xf>
    <x:xf numFmtId="212" fontId="4" fillId="0" borderId="5" xfId="0" applyNumberFormat="1" applyFont="1" applyFill="1" applyBorder="1" applyAlignment="1">
      <x:alignment vertical="center"/>
    </x:xf>
    <x:xf numFmtId="207" fontId="10" fillId="0" borderId="3" xfId="0" applyNumberFormat="1" applyFont="1" applyFill="1" applyBorder="1" applyAlignment="1">
      <x:alignment vertical="center"/>
    </x:xf>
    <x:xf numFmtId="207" fontId="10" fillId="0" borderId="4" xfId="0" applyNumberFormat="1" applyFont="1" applyFill="1" applyBorder="1" applyAlignment="1">
      <x:alignment vertical="center"/>
    </x:xf>
    <x:xf numFmtId="207" fontId="10" fillId="0" borderId="5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2" fillId="0" borderId="4" xfId="0" applyNumberFormat="1" applyFont="1" applyFill="1" applyBorder="1" applyAlignment="1">
      <x:alignment vertical="center"/>
    </x:xf>
    <x:xf numFmtId="0" fontId="12" fillId="0" borderId="5" xfId="0" applyNumberFormat="1" applyFont="1" applyFill="1" applyBorder="1" applyAlignment="1">
      <x:alignment vertical="center"/>
    </x:xf>
    <x:xf numFmtId="211" fontId="12" fillId="0" borderId="3" xfId="0" applyNumberFormat="1" applyFont="1" applyFill="1" applyBorder="1" applyAlignment="1">
      <x:alignment vertical="center"/>
    </x:xf>
    <x:xf numFmtId="211" fontId="12" fillId="0" borderId="4" xfId="0" applyNumberFormat="1" applyFont="1" applyFill="1" applyBorder="1" applyAlignment="1">
      <x:alignment vertical="center"/>
    </x:xf>
    <x:xf numFmtId="211" fontId="12" fillId="0" borderId="5" xfId="0" applyNumberFormat="1" applyFont="1" applyFill="1" applyBorder="1" applyAlignment="1">
      <x:alignment vertical="center"/>
    </x:xf>
    <x:xf numFmtId="213" fontId="10" fillId="0" borderId="3" xfId="0" applyNumberFormat="1" applyFont="1" applyFill="1" applyBorder="1" applyAlignment="1">
      <x:alignment vertical="center"/>
    </x:xf>
    <x:xf numFmtId="213" fontId="10" fillId="0" borderId="4" xfId="0" applyNumberFormat="1" applyFont="1" applyFill="1" applyBorder="1" applyAlignment="1">
      <x:alignment vertical="center"/>
    </x:xf>
    <x:xf numFmtId="213" fontId="10" fillId="0" borderId="5" xfId="0" applyNumberFormat="1" applyFont="1" applyFill="1" applyBorder="1" applyAlignment="1">
      <x:alignment vertical="center"/>
    </x:xf>
    <x:xf numFmtId="213" fontId="4" fillId="0" borderId="3" xfId="0" applyNumberFormat="1" applyFont="1" applyFill="1" applyBorder="1" applyAlignment="1">
      <x:alignment vertical="center"/>
    </x:xf>
    <x:xf numFmtId="213" fontId="4" fillId="0" borderId="4" xfId="0" applyNumberFormat="1" applyFont="1" applyFill="1" applyBorder="1" applyAlignment="1">
      <x:alignment vertical="center"/>
    </x:xf>
    <x:xf numFmtId="213" fontId="4" fillId="0" borderId="5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12" fillId="7" borderId="5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vertical="center"/>
    </x:xf>
    <x:xf numFmtId="214" fontId="4" fillId="0" borderId="3" xfId="0" applyNumberFormat="1" applyFont="1" applyFill="1" applyBorder="1" applyAlignment="1">
      <x:alignment vertical="center"/>
    </x:xf>
    <x:xf numFmtId="214" fontId="4" fillId="0" borderId="4" xfId="0" applyNumberFormat="1" applyFont="1" applyFill="1" applyBorder="1" applyAlignment="1">
      <x:alignment vertical="center"/>
    </x:xf>
    <x:xf numFmtId="213" fontId="12" fillId="0" borderId="3" xfId="0" applyNumberFormat="1" applyFont="1" applyFill="1" applyBorder="1" applyAlignment="1">
      <x:alignment vertical="center"/>
    </x:xf>
    <x:xf numFmtId="213" fontId="12" fillId="0" borderId="4" xfId="0" applyNumberFormat="1" applyFont="1" applyFill="1" applyBorder="1" applyAlignment="1">
      <x:alignment vertical="center"/>
    </x:xf>
    <x:xf numFmtId="213" fontId="3" fillId="7" borderId="6" xfId="0" applyNumberFormat="1" applyFont="1" applyFill="1" applyBorder="1" applyAlignment="1">
      <x:alignment vertical="center"/>
    </x:xf>
    <x:xf numFmtId="212" fontId="12" fillId="0" borderId="3" xfId="0" applyNumberFormat="1" applyFont="1" applyFill="1" applyBorder="1" applyAlignment="1">
      <x:alignment vertical="center"/>
    </x:xf>
    <x:xf numFmtId="212" fontId="12" fillId="0" borderId="4" xfId="0" applyNumberFormat="1" applyFont="1" applyFill="1" applyBorder="1" applyAlignment="1">
      <x:alignment vertical="center"/>
    </x:xf>
    <x:xf numFmtId="212" fontId="3" fillId="7" borderId="6" xfId="0" applyNumberFormat="1" applyFont="1" applyFill="1" applyBorder="1" applyAlignment="1">
      <x:alignment vertical="center"/>
    </x:xf>
    <x:xf numFmtId="213" fontId="12" fillId="0" borderId="5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2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12" fillId="0" borderId="4" xfId="0" applyNumberFormat="1" applyFont="1" applyFill="1" applyBorder="1" applyAlignment="1">
      <x:alignment vertical="center"/>
    </x:xf>
    <x:xf numFmtId="201" fontId="10" fillId="0" borderId="4" xfId="0" applyNumberFormat="1" applyFont="1" applyFill="1" applyBorder="1" applyAlignment="1">
      <x:alignment vertical="center"/>
    </x:xf>
    <x:xf numFmtId="201" fontId="10" fillId="0" borderId="5" xfId="0" applyNumberFormat="1" applyFont="1" applyFill="1" applyBorder="1" applyAlignment="1">
      <x:alignment vertical="center"/>
    </x:xf>
    <x:xf numFmtId="215" fontId="10" fillId="0" borderId="3" xfId="0" applyNumberFormat="1" applyFont="1" applyFill="1" applyBorder="1" applyAlignment="1">
      <x:alignment vertical="center"/>
    </x:xf>
    <x:xf numFmtId="215" fontId="4" fillId="0" borderId="3" xfId="0" applyNumberFormat="1" applyFont="1" applyFill="1" applyBorder="1" applyAlignment="1">
      <x:alignment vertical="center"/>
    </x:xf>
    <x:xf numFmtId="215" fontId="10" fillId="0" borderId="4" xfId="0" applyNumberFormat="1" applyFont="1" applyFill="1" applyBorder="1" applyAlignment="1">
      <x:alignment vertical="center"/>
    </x:xf>
    <x:xf numFmtId="215" fontId="4" fillId="0" borderId="4" xfId="0" applyNumberFormat="1" applyFont="1" applyFill="1" applyBorder="1" applyAlignment="1">
      <x:alignment vertical="center"/>
    </x:xf>
    <x:xf numFmtId="215" fontId="10" fillId="0" borderId="5" xfId="0" applyNumberFormat="1" applyFont="1" applyFill="1" applyBorder="1" applyAlignment="1">
      <x:alignment vertical="center"/>
    </x:xf>
    <x:xf numFmtId="215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3" xfId="0" applyNumberFormat="1" applyFont="1" applyFill="1" applyBorder="1"/>
    <x:xf numFmtId="0" fontId="12" fillId="0" borderId="5" xfId="0" applyNumberFormat="1" applyFont="1" applyFill="1" applyBorder="1"/>
    <x:xf numFmtId="213" fontId="13" fillId="8" borderId="0" xfId="0" applyNumberFormat="1" applyFont="1" applyFill="1" applyBorder="1"/>
    <x:xf numFmtId="201" fontId="13" fillId="8" borderId="0" xfId="0" applyNumberFormat="1" applyFont="1" applyFill="1" applyBorder="1"/>
    <x:xf numFmtId="213" fontId="12" fillId="0" borderId="3" xfId="0" applyNumberFormat="1" applyFont="1" applyFill="1" applyBorder="1"/>
    <x:xf numFmtId="213" fontId="12" fillId="0" borderId="4" xfId="0" applyNumberFormat="1" applyFont="1" applyFill="1" applyBorder="1"/>
    <x:xf numFmtId="213" fontId="12" fillId="0" borderId="5" xfId="0" applyNumberFormat="1" applyFont="1" applyFill="1" applyBorder="1"/>
    <x:xf numFmtId="201" fontId="12" fillId="0" borderId="3" xfId="0" applyNumberFormat="1" applyFont="1" applyFill="1" applyBorder="1"/>
    <x:xf numFmtId="201" fontId="12" fillId="0" borderId="4" xfId="0" applyNumberFormat="1" applyFont="1" applyFill="1" applyBorder="1"/>
    <x:xf numFmtId="201" fontId="12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205" fontId="9" fillId="3" borderId="0" xfId="0" applyNumberFormat="1" applyFont="1" applyFill="1" applyBorder="1"/>
  </x:cellXfs>
  <x:cellStyles count="1">
    <x:cellStyle name="Normal" xfId="0"/>
  </x:cellStyles>
  <x:dxfs count="55">
    <x:dxf>
      <x:font>
        <x:b/>
        <x:color rgb="FFB52C25"/>
      </x:font>
      <x:fill>
        <x:patternFill>
          <x:bgColor rgb="FFF8E3DF"/>
        </x:patternFill>
      </x:fill>
    </x:dxf>
    <x:dxf>
      <x:font>
        <x:b/>
        <x:color rgb="FF315C3B"/>
      </x:font>
      <x:fill>
        <x:patternFill>
          <x:bgColor rgb="FFE6EEE5"/>
        </x:patternFill>
      </x:fill>
    </x:dxf>
    <x:dxf>
      <x:font>
        <x:b/>
        <x:color rgb="FFB97818"/>
      </x:font>
      <x:fill>
        <x:patternFill>
          <x:bgColor rgb="FFF6EAD7"/>
        </x:patternFill>
      </x:fill>
    </x:dxf>
    <x:dxf>
      <x:font>
        <x:b/>
        <x:color rgb="FFB52C25"/>
      </x:font>
      <x:fill>
        <x:patternFill>
          <x:bgColor rgb="FFF8E3DF"/>
        </x:patternFill>
      </x:fill>
    </x:dxf>
    <x:dxf>
      <x:font>
        <x:color rgb="FFB52C25"/>
      </x:font>
      <x:fill>
        <x:patternFill>
          <x:bgColor rgb="FFF8E3DF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315C3B"/>
      </x:font>
      <x:fill>
        <x:patternFill patternType="solid">
          <x:bgColor rgb="FFE6EEE5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50400f2f8412d" /><Relationship Type="http://schemas.openxmlformats.org/officeDocument/2006/relationships/theme" Target="/xl/theme/theme1.xml" Id="R47d6ba59e1e44e1a" /><Relationship Type="http://schemas.openxmlformats.org/officeDocument/2006/relationships/sharedStrings" Target="/xl/sharedStrings.xml" Id="R9d173f43c3874c81" /><Relationship Type="http://schemas.openxmlformats.org/officeDocument/2006/relationships/worksheet" Target="/xl/worksheets/sheet1.xml" Id="Rdb3e5bbdfaee44fe" /><Relationship Type="http://schemas.openxmlformats.org/officeDocument/2006/relationships/worksheet" Target="/xl/worksheets/sheet2.xml" Id="R65bdde31c1864dfb" /><Relationship Type="http://schemas.openxmlformats.org/officeDocument/2006/relationships/worksheet" Target="/xl/worksheets/sheet3.xml" Id="R1a1c0ca547e54a81" /><Relationship Type="http://schemas.openxmlformats.org/officeDocument/2006/relationships/worksheet" Target="/xl/worksheets/sheet4.xml" Id="R374a9ec203ff47b7" /><Relationship Type="http://schemas.openxmlformats.org/officeDocument/2006/relationships/worksheet" Target="/xl/worksheets/sheet5.xml" Id="R79a0a55eeeee475a" /><Relationship Type="http://schemas.openxmlformats.org/officeDocument/2006/relationships/worksheet" Target="/xl/worksheets/sheet6.xml" Id="R7eee8507bd5447f0" /><Relationship Type="http://schemas.openxmlformats.org/officeDocument/2006/relationships/worksheet" Target="/xl/worksheets/sheet7.xml" Id="R3d62d72b101d4756" /><Relationship Type="http://schemas.openxmlformats.org/officeDocument/2006/relationships/worksheet" Target="/xl/worksheets/sheet8.xml" Id="R5c68405fa0c34bad" /><Relationship Type="http://schemas.openxmlformats.org/officeDocument/2006/relationships/worksheet" Target="/xl/worksheets/sheet9.xml" Id="Rdceff4938f644ce8" /><Relationship Type="http://schemas.openxmlformats.org/officeDocument/2006/relationships/worksheet" Target="/xl/worksheets/sheet10.xml" Id="Rcac5203cf86c4eb3" /><Relationship Type="http://schemas.openxmlformats.org/officeDocument/2006/relationships/worksheet" Target="/xl/worksheets/sheet11.xml" Id="R9f48128e01344f46" /><Relationship Type="http://schemas.openxmlformats.org/officeDocument/2006/relationships/worksheet" Target="/xl/worksheets/sheet12.xml" Id="R0c2ba222f92d4879" /><Relationship Type="http://schemas.openxmlformats.org/officeDocument/2006/relationships/worksheet" Target="/xl/worksheets/sheet13.xml" Id="R887d92fb62c14954" /><Relationship Type="http://schemas.openxmlformats.org/officeDocument/2006/relationships/worksheet" Target="/xl/worksheets/sheet14.xml" Id="Ra1ff99cf3e204590" /><Relationship Type="http://schemas.openxmlformats.org/officeDocument/2006/relationships/worksheet" Target="/xl/worksheets/sheet15.xml" Id="Rb0809ac0976b4e17" /><Relationship Type="http://schemas.openxmlformats.org/officeDocument/2006/relationships/worksheet" Target="/xl/worksheets/sheet16.xml" Id="R0d9c44c03ab042b0" /><Relationship Type="http://schemas.openxmlformats.org/officeDocument/2006/relationships/worksheet" Target="/xl/worksheets/sheet17.xml" Id="R177bd1ad236b4331" /><Relationship Type="http://schemas.openxmlformats.org/officeDocument/2006/relationships/worksheet" Target="/xl/worksheets/sheet18.xml" Id="Rf96feb1eb2cf4cd9" /><Relationship Type="http://schemas.openxmlformats.org/officeDocument/2006/relationships/worksheet" Target="/xl/worksheets/sheet19.xml" Id="R0725008ff7ba4684" /><Relationship Type="http://schemas.openxmlformats.org/officeDocument/2006/relationships/worksheet" Target="/xl/worksheets/sheet20.xml" Id="Rb50318e7f31b4cd0" /><Relationship Type="http://schemas.openxmlformats.org/officeDocument/2006/relationships/worksheet" Target="/xl/worksheets/sheet21.xml" Id="R58d31cb33b97417c" /><Relationship Type="http://schemas.openxmlformats.org/officeDocument/2006/relationships/worksheet" Target="/xl/worksheets/sheet22.xml" Id="R0b849fbcda394d11" /><Relationship Type="http://schemas.openxmlformats.org/officeDocument/2006/relationships/worksheet" Target="/xl/worksheets/sheet23.xml" Id="R81ceac51ec1c4fd0" /><Relationship Type="http://schemas.openxmlformats.org/officeDocument/2006/relationships/worksheet" Target="/xl/worksheets/sheet24.xml" Id="R88475f59e7f84fe1" /><Relationship Type="http://schemas.openxmlformats.org/officeDocument/2006/relationships/worksheet" Target="/xl/worksheets/sheet25.xml" Id="Rd70ae26bff45417a" /><Relationship Type="http://schemas.openxmlformats.org/officeDocument/2006/relationships/worksheet" Target="/xl/worksheets/sheet26.xml" Id="R34550cdb335c4586" /><Relationship Type="http://schemas.microsoft.com/office/2017/10/relationships/person" Target="/xl/persons/person.xml" Id="Re21b8795615f4d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b753828b5496d" /><Relationship Type="http://schemas.openxmlformats.org/officeDocument/2006/relationships/chart" Target="/xl/drawings/charts/chart2.xml" Id="Re2a4b094935d4c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7天全店流水与贡献毛利（元）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全店流水</c:v>
          </c:tx>
          <c:marker>
            <c:symbol val="none"/>
          </c:marker>
          <c:cat>
            <c:strRef>
              <c:f>'经营摘要'!$J$5:$J$11</c:f>
              <c:strCache>
                <c:ptCount val="0"/>
              </c:strCache>
            </c:strRef>
          </c:cat>
          <c:val>
            <c:numRef>
              <c:f>'经营摘要'!$K$5:$K$11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贡献毛利</c:v>
          </c:tx>
          <c:marker>
            <c:symbol val="none"/>
          </c:marker>
          <c:cat>
            <c:strRef>
              <c:f>'经营摘要'!$J$5:$J$11</c:f>
              <c:strCache>
                <c:ptCount val="0"/>
              </c:strCache>
            </c:strRef>
          </c:cat>
          <c:val>
            <c:numRef>
              <c:f>'经营摘要'!$L$5:$L$11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热销菜品7天流水（元）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7天流水</c:v>
          </c:tx>
          <c:cat>
            <c:strRef>
              <c:f>'经营摘要'!$A$17:$A$24</c:f>
              <c:strCache>
                <c:ptCount val="0"/>
              </c:strCache>
            </c:strRef>
          </c:cat>
          <c:val>
            <c:numRef>
              <c:f>'经营摘要'!$B$17:$B$24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b753828b5496d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a4b094935d4c5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859C590-9E5E-4EDF-80FB-84510598A3DC}"/>
</xltc:personList>
</file>

<file path=xl/tables/table1.xml><?xml version="1.0" encoding="utf-8"?>
<x:table xmlns:x="http://schemas.openxmlformats.org/spreadsheetml/2006/main" id="1" name="StoresTable" displayName="StoresTable" ref="A4:L12" headerRowCount="1" totalsRowCount="0" totalsRowShown="0">
  <x:tableColumns count="12">
    <x:tableColumn id="1" name="门店ID"/>
    <x:tableColumn id="2" name="门店名称"/>
    <x:tableColumn id="3" name="区域"/>
    <x:tableColumn id="4" name="月销基线(元)"/>
    <x:tableColumn id="5" name="店长/收货"/>
    <x:tableColumn id="6" name="后厨主管/小工"/>
    <x:tableColumn id="7" name="服务负责人"/>
    <x:tableColumn id="8" name="炒菜机操作员"/>
    <x:tableColumn id="9" name="老板"/>
    <x:tableColumn id="10" name="总部运营"/>
    <x:tableColumn id="11" name="采购"/>
    <x:tableColumn id="12" name="总部品控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IngredientsTable" displayName="IngredientsTable" ref="A4:G60" headerRowCount="1" totalsRowCount="0" totalsRowShown="0">
  <x:tableColumns count="7">
    <x:tableColumn id="1" name="食材ID"/>
    <x:tableColumn id="2" name="名称"/>
    <x:tableColumn id="3" name="分类"/>
    <x:tableColumn id="4" name="模拟采购价(元/kg)"/>
    <x:tableColumn id="5" name="计价单位"/>
    <x:tableColumn id="6" name="来源类型"/>
    <x:tableColumn id="7" name="说明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BOMTable" displayName="BOMTable" ref="A4:K160" headerRowCount="1" totalsRowCount="0" totalsRowShown="0">
  <x:tableColumns count="11">
    <x:tableColumn id="1" name="菜品ID"/>
    <x:tableColumn id="2" name="菜品"/>
    <x:tableColumn id="3" name="类型"/>
    <x:tableColumn id="4" name="食材ID"/>
    <x:tableColumn id="5" name="食材/调料"/>
    <x:tableColumn id="6" name="单份标准克重(g)"/>
    <x:tableColumn id="7" name="采购价(元/kg)"/>
    <x:tableColumn id="8" name="单份成本(元)"/>
    <x:tableColumn id="9" name="来源类型"/>
    <x:tableColumn id="10" name="可信度"/>
    <x:tableColumn id="11" name="来源说明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DishesTable" displayName="DishesTable" ref="A4:L24" headerRowCount="1" totalsRowCount="0" totalsRowShown="0">
  <x:tableColumns count="12">
    <x:tableColumn id="1" name="菜品ID"/>
    <x:tableColumn id="2" name="菜品名称"/>
    <x:tableColumn id="3" name="分类"/>
    <x:tableColumn id="4" name="门店价(元)"/>
    <x:tableColumn id="5" name="推荐热度序"/>
    <x:tableColumn id="6" name="炒菜机"/>
    <x:tableColumn id="7" name="单份食材成本(元)"/>
    <x:tableColumn id="8" name="食材成本率"/>
    <x:tableColumn id="9" name="热度权重"/>
    <x:tableColumn id="10" name="配方来源"/>
    <x:tableColumn id="11" name="价格来源"/>
    <x:tableColumn id="12" name="备注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SalesTable" displayName="SalesTable" ref="A4:V2244" headerRowCount="1" totalsRowCount="0" totalsRowShown="0">
  <x:tableColumns count="22">
    <x:tableColumn id="1" name="销售ID"/>
    <x:tableColumn id="2" name="日期"/>
    <x:tableColumn id="3" name="星期"/>
    <x:tableColumn id="4" name="门店ID"/>
    <x:tableColumn id="5" name="门店"/>
    <x:tableColumn id="6" name="渠道"/>
    <x:tableColumn id="7" name="时段"/>
    <x:tableColumn id="8" name="菜品ID"/>
    <x:tableColumn id="9" name="菜品"/>
    <x:tableColumn id="10" name="单价(元)"/>
    <x:tableColumn id="11" name="销量(份)"/>
    <x:tableColumn id="12" name="流水(元)"/>
    <x:tableColumn id="13" name="折扣率"/>
    <x:tableColumn id="14" name="折扣额"/>
    <x:tableColumn id="15" name="佣金率"/>
    <x:tableColumn id="16" name="佣金"/>
    <x:tableColumn id="17" name="包装/份"/>
    <x:tableColumn id="18" name="包装成本"/>
    <x:tableColumn id="19" name="单份食材成本"/>
    <x:tableColumn id="20" name="食材成本"/>
    <x:tableColumn id="21" name="贡献毛利"/>
    <x:tableColumn id="22" name="贡献毛利率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DailyStoreTable" displayName="DailyStoreTable" ref="A4:T60" headerRowCount="1" totalsRowCount="0" totalsRowShown="0">
  <x:tableColumns count="20">
    <x:tableColumn id="1" name="日期"/>
    <x:tableColumn id="2" name="星期"/>
    <x:tableColumn id="3" name="门店ID"/>
    <x:tableColumn id="4" name="门店"/>
    <x:tableColumn id="5" name="月销基线"/>
    <x:tableColumn id="6" name="日型系数"/>
    <x:tableColumn id="7" name="目标流水"/>
    <x:tableColumn id="8" name="实际流水"/>
    <x:tableColumn id="9" name="偏差"/>
    <x:tableColumn id="10" name="堂食流水"/>
    <x:tableColumn id="11" name="外卖流水"/>
    <x:tableColumn id="12" name="外卖占比"/>
    <x:tableColumn id="13" name="食材成本"/>
    <x:tableColumn id="14" name="平台佣金"/>
    <x:tableColumn id="15" name="活动折扣"/>
    <x:tableColumn id="16" name="贡献毛利"/>
    <x:tableColumn id="17" name="贡献毛利率"/>
    <x:tableColumn id="18" name="售出份数"/>
    <x:tableColumn id="19" name="估算客数"/>
    <x:tableColumn id="20" name="客单价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DishDayTable" displayName="DishDayTable" ref="A4:I1124" headerRowCount="1" totalsRowCount="0" totalsRowShown="0">
  <x:tableColumns count="9">
    <x:tableColumn id="1" name="聚合键"/>
    <x:tableColumn id="2" name="日期"/>
    <x:tableColumn id="3" name="门店ID"/>
    <x:tableColumn id="4" name="门店"/>
    <x:tableColumn id="5" name="菜品ID"/>
    <x:tableColumn id="6" name="菜品"/>
    <x:tableColumn id="7" name="销售份数"/>
    <x:tableColumn id="8" name="流水"/>
    <x:tableColumn id="9" name="理论食材成本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InventoryTable" displayName="InventoryTable" ref="A4:Q676" headerRowCount="1" totalsRowCount="0" totalsRowShown="0">
  <x:tableColumns count="17">
    <x:tableColumn id="1" name="库存键"/>
    <x:tableColumn id="2" name="日期"/>
    <x:tableColumn id="3" name="门店ID"/>
    <x:tableColumn id="4" name="门店"/>
    <x:tableColumn id="5" name="食材"/>
    <x:tableColumn id="6" name="期初库存(kg)"/>
    <x:tableColumn id="7" name="收货(kg)"/>
    <x:tableColumn id="8" name="理论耗用(kg)"/>
    <x:tableColumn id="9" name="前处理损耗率"/>
    <x:tableColumn id="10" name="前处理损耗(kg)"/>
    <x:tableColumn id="11" name="调拨入(kg)"/>
    <x:tableColumn id="12" name="调拨出(kg)"/>
    <x:tableColumn id="13" name="品质调整(kg)"/>
    <x:tableColumn id="14" name="期末库存(kg)"/>
    <x:tableColumn id="15" name="安全库存(kg)"/>
    <x:tableColumn id="16" name="风险状态"/>
    <x:tableColumn id="17" name="批次号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ForecastTable" displayName="ForecastTable" ref="A4:O676" headerRowCount="1" totalsRowCount="0" totalsRowShown="0">
  <x:tableColumns count="15">
    <x:tableColumn id="1" name="预测键"/>
    <x:tableColumn id="2" name="日期"/>
    <x:tableColumn id="3" name="门店ID"/>
    <x:tableColumn id="4" name="门店"/>
    <x:tableColumn id="5" name="食材"/>
    <x:tableColumn id="6" name="AI预测(kg)"/>
    <x:tableColumn id="7" name="店长修正(kg)"/>
    <x:tableColumn id="8" name="总部批准(kg)"/>
    <x:tableColumn id="9" name="实际耗用(kg)"/>
    <x:tableColumn id="10" name="AI准确率"/>
    <x:tableColumn id="11" name="最终准确率"/>
    <x:tableColumn id="12" name="缺货量(kg)"/>
    <x:tableColumn id="13" name="余量(kg)"/>
    <x:tableColumn id="14" name="负责人"/>
    <x:tableColumn id="15" name="来源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MachineLogTable" displayName="MachineLogTable" ref="A4:Q956" headerRowCount="1" totalsRowCount="0" totalsRowShown="0">
  <x:tableColumns count="17">
    <x:tableColumn id="1" name="执行键"/>
    <x:tableColumn id="2" name="日期"/>
    <x:tableColumn id="3" name="门店ID"/>
    <x:tableColumn id="4" name="门店"/>
    <x:tableColumn id="5" name="菜品ID"/>
    <x:tableColumn id="6" name="菜品"/>
    <x:tableColumn id="7" name="菜谱版本"/>
    <x:tableColumn id="8" name="销售份数"/>
    <x:tableColumn id="9" name="机器锅次"/>
    <x:tableColumn id="10" name="标准食材克重/份"/>
    <x:tableColumn id="11" name="人工称重偏差"/>
    <x:tableColumn id="12" name="实际食材投料(g)"/>
    <x:tableColumn id="13" name="标准调料克重/份"/>
    <x:tableColumn id="14" name="机器调料偏差"/>
    <x:tableColumn id="15" name="实际调料投放(g)"/>
    <x:tableColumn id="16" name="执行状态"/>
    <x:tableColumn id="17" name="操作员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ReviewsTable" displayName="ReviewsTable" ref="A4:J16" headerRowCount="1" totalsRowCount="0" totalsRowShown="0">
  <x:tableColumns count="10">
    <x:tableColumn id="1" name="日期"/>
    <x:tableColumn id="2" name="门店"/>
    <x:tableColumn id="3" name="评分"/>
    <x:tableColumn id="4" name="渠道"/>
    <x:tableColumn id="5" name="菜品"/>
    <x:tableColumn id="6" name="倾向"/>
    <x:tableColumn id="7" name="问题标签"/>
    <x:tableColumn id="8" name="摘要"/>
    <x:tableColumn id="9" name="关联事件"/>
    <x:tableColumn id="10" name="来源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EventsTable" displayName="EventsTable" ref="A4:Q10" headerRowCount="1" totalsRowCount="0" totalsRowShown="0">
  <x:tableColumns count="17">
    <x:tableColumn id="1" name="事件ID"/>
    <x:tableColumn id="2" name="发生日期"/>
    <x:tableColumn id="3" name="场景"/>
    <x:tableColumn id="4" name="事件标题"/>
    <x:tableColumn id="5" name="范围"/>
    <x:tableColumn id="6" name="触发来源"/>
    <x:tableColumn id="7" name="已知证据"/>
    <x:tableColumn id="8" name="AI/模拟判断"/>
    <x:tableColumn id="9" name="预计影响(元)"/>
    <x:tableColumn id="10" name="置信度"/>
    <x:tableColumn id="11" name="当前节点"/>
    <x:tableColumn id="12" name="状态"/>
    <x:tableColumn id="13" name="责任人"/>
    <x:tableColumn id="14" name="下一动作"/>
    <x:tableColumn id="15" name="验收标准"/>
    <x:tableColumn id="16" name="复盘日期"/>
    <x:tableColumn id="17" name="聚合首页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TasksTable" displayName="TasksTable" ref="A4:M19" headerRowCount="1" totalsRowCount="0" totalsRowShown="0">
  <x:tableColumns count="13">
    <x:tableColumn id="1" name="任务ID"/>
    <x:tableColumn id="2" name="事件ID"/>
    <x:tableColumn id="3" name="场景"/>
    <x:tableColumn id="4" name="动作"/>
    <x:tableColumn id="5" name="执行角色"/>
    <x:tableColumn id="6" name="执行人"/>
    <x:tableColumn id="7" name="范围"/>
    <x:tableColumn id="8" name="截止时间"/>
    <x:tableColumn id="9" name="状态"/>
    <x:tableColumn id="10" name="验收证据"/>
    <x:tableColumn id="11" name="验收人"/>
    <x:tableColumn id="12" name="验收时间"/>
    <x:tableColumn id="13" name="移动端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SourcesTable" displayName="SourcesTable" ref="A4:H16" headerRowCount="1" totalsRowCount="0" totalsRowShown="0">
  <x:tableColumns count="8">
    <x:tableColumn id="1" name="来源ID"/>
    <x:tableColumn id="2" name="类型"/>
    <x:tableColumn id="3" name="内容"/>
    <x:tableColumn id="4" name="原始文件"/>
    <x:tableColumn id="5" name="提取字段"/>
    <x:tableColumn id="6" name="在模型中的用途"/>
    <x:tableColumn id="7" name="可信度"/>
    <x:tableColumn id="8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7e95adea49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8868903a2e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a6f869a06e40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9b052c01084a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011f30d8d346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f2d94981e24a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8e39c33cb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193af5c10041b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0ac605cc96a46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e880c101f9043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a896566aeea41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965ce57b2a343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9fc264bfbcb46c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77c44988ed04457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606d1d1f6801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  <x:col min="7" max="7" width="3" hidden="0" customWidth="1"/>
    <x:col min="8" max="8" width="20" hidden="0" customWidth="1"/>
    <x:col min="9" max="9" width="14" hidden="0" customWidth="1"/>
    <x:col min="10" max="10" width="12" hidden="0" customWidth="1"/>
    <x:col min="11" max="11" width="30" hidden="0" customWidth="1"/>
    <x:col min="12" max="12" width="3" hidden="0" customWidth="1"/>
    <x:col min="13" max="13" width="3" hidden="0" customWidth="1"/>
    <x:col min="14" max="14" width="16" hidden="0" customWidth="1"/>
    <x:col min="15" max="15" width="12" hidden="0" customWidth="1"/>
    <x:col min="16" max="16" width="3" hidden="0" customWidth="1"/>
  </x:cols>
  <x:sheetData>
    <x:row r="1" ht="34" customHeight="1">
      <x:c r="A1" s="3" t="str">
        <x:v>知味 FoodMind｜8店经营与财务模拟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v0.3｜保留7天经营底座，新增外卖结算、支付对账、人力、费用、应付、营销、月度损益、现金与投资模型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2" t="str">
        <x:v>模拟目标</x:v>
      </x:c>
      <x:c r="B4" s="12" t="str">
        <x:v>门店数</x:v>
      </x:c>
      <x:c r="C4" s="12" t="str">
        <x:v>周期</x:v>
      </x:c>
      <x:c r="D4" s="12" t="str">
        <x:v>平均月销基线</x:v>
      </x:c>
      <x:c r="E4" s="12" t="str">
        <x:v>堂食/外卖</x:v>
      </x:c>
      <x:c r="F4" s="12" t="str">
        <x:v>人均消费参考</x:v>
      </x:c>
      <x:c r="H4" s="12" t="str">
        <x:v>业务口径</x:v>
      </x:c>
      <x:c r="I4" s="12" t="str">
        <x:v>值</x:v>
      </x:c>
      <x:c r="J4" s="12" t="str">
        <x:v>单位</x:v>
      </x:c>
      <x:c r="K4" s="12" t="str">
        <x:v>来源/说明</x:v>
      </x:c>
    </x:row>
    <x:row r="5" ht="42" customHeight="1">
      <x:c r="A5" s="16" t="str">
        <x:v>用一套前后一致的数据支撑备货、品质、毛利、顾客体验和移动执行场景</x:v>
      </x:c>
      <x:c r="B5" s="16" t="n">
        <x:v>8</x:v>
      </x:c>
      <x:c r="C5" s="16" t="str">
        <x:v>7天</x:v>
      </x:c>
      <x:c r="D5" s="17" t="n">
        <x:v>250000</x:v>
      </x:c>
      <x:c r="E5" s="16" t="str">
        <x:v>90% / 10%</x:v>
      </x:c>
      <x:c r="F5" s="17" t="n">
        <x:v>32</x:v>
      </x:c>
      <x:c r="H5" s="19" t="str">
        <x:v>门店平均月销售额</x:v>
      </x:c>
      <x:c r="I5" s="20" t="n">
        <x:v>250000</x:v>
      </x:c>
      <x:c r="J5" s="19" t="str">
        <x:v>元/店/月</x:v>
      </x:c>
      <x:c r="K5" s="19" t="str">
        <x:v>F-用户本轮提供</x:v>
      </x:c>
    </x:row>
    <x:row r="6">
      <x:c r="H6" s="19" t="str">
        <x:v>堂食占比</x:v>
      </x:c>
      <x:c r="I6" s="21" t="n">
        <x:v>0.9</x:v>
      </x:c>
      <x:c r="J6" s="19" t="str">
        <x:v>收入占比</x:v>
      </x:c>
      <x:c r="K6" s="19" t="str">
        <x:v>F-用户本轮提供</x:v>
      </x:c>
    </x:row>
    <x:row r="7">
      <x:c r="H7" s="19" t="str">
        <x:v>外卖占比</x:v>
      </x:c>
      <x:c r="I7" s="21" t="n">
        <x:v>0.1</x:v>
      </x:c>
      <x:c r="J7" s="19" t="str">
        <x:v>收入占比</x:v>
      </x:c>
      <x:c r="K7" s="19" t="str">
        <x:v>F-用户本轮提供</x:v>
      </x:c>
    </x:row>
    <x:row r="8" ht="28" customHeight="1">
      <x:c r="A8" s="12" t="str">
        <x:v>数据标签</x:v>
      </x:c>
      <x:c r="B8" s="12" t="str">
        <x:v>定义</x:v>
      </x:c>
      <x:c r="C8" s="12" t="str">
        <x:v>可否视为客户真实数据</x:v>
      </x:c>
      <x:c r="D8" s="12" t="str">
        <x:v>示例</x:v>
      </x:c>
      <x:c r="E8" s="12" t="str">
        <x:v>使用规则</x:v>
      </x:c>
      <x:c r="F8" s="12" t="str">
        <x:v>负责人</x:v>
      </x:c>
      <x:c r="H8" s="19" t="str">
        <x:v>外卖折扣率</x:v>
      </x:c>
      <x:c r="I8" s="21" t="n">
        <x:v>0.08</x:v>
      </x:c>
      <x:c r="J8" s="19" t="str">
        <x:v>流水比例</x:v>
      </x:c>
      <x:c r="K8" s="19" t="str">
        <x:v>S-模拟</x:v>
      </x:c>
    </x:row>
    <x:row r="9">
      <x:c r="A9" s="19" t="str">
        <x:v>F-访谈/截图事实</x:v>
      </x:c>
      <x:c r="B9" s="19" t="str">
        <x:v>客户明确提供或截图可见</x:v>
      </x:c>
      <x:c r="C9" s="19" t="str">
        <x:v>仅限原始字段本身</x:v>
      </x:c>
      <x:c r="D9" s="19" t="str">
        <x:v>约8家店、均店月销约25万、外卖约10%、菜名与标价</x:v>
      </x:c>
      <x:c r="E9" s="19" t="str">
        <x:v>原样保留并记录来源</x:v>
      </x:c>
      <x:c r="F9" s="19" t="str">
        <x:v>产品</x:v>
      </x:c>
      <x:c r="H9" s="19" t="str">
        <x:v>外卖佣金率</x:v>
      </x:c>
      <x:c r="I9" s="21" t="n">
        <x:v>0.18</x:v>
      </x:c>
      <x:c r="J9" s="19" t="str">
        <x:v>流水比例</x:v>
      </x:c>
      <x:c r="K9" s="19" t="str">
        <x:v>S-模拟</x:v>
      </x:c>
    </x:row>
    <x:row r="10">
      <x:c r="A10" s="19" t="str">
        <x:v>S-模拟设定</x:v>
      </x:c>
      <x:c r="B10" s="19" t="str">
        <x:v>为演示补充的经营记录</x:v>
      </x:c>
      <x:c r="C10" s="19" t="str">
        <x:v>否</x:v>
      </x:c>
      <x:c r="D10" s="19" t="str">
        <x:v>门店日销量、批次号、采购价、库存快照</x:v>
      </x:c>
      <x:c r="E10" s="19" t="str">
        <x:v>必须显式标注假设</x:v>
      </x:c>
      <x:c r="F10" s="19" t="str">
        <x:v>产品/运营</x:v>
      </x:c>
      <x:c r="H10" s="19" t="str">
        <x:v>外卖包装成本</x:v>
      </x:c>
      <x:c r="I10" s="22" t="n">
        <x:v>1.2</x:v>
      </x:c>
      <x:c r="J10" s="19" t="str">
        <x:v>元/份</x:v>
      </x:c>
      <x:c r="K10" s="19" t="str">
        <x:v>S-模拟</x:v>
      </x:c>
    </x:row>
    <x:row r="11">
      <x:c r="A11" s="19" t="str">
        <x:v>C-计算结果</x:v>
      </x:c>
      <x:c r="B11" s="19" t="str">
        <x:v>由F和S数据计算</x:v>
      </x:c>
      <x:c r="C11" s="19" t="str">
        <x:v>否，但可复算</x:v>
      </x:c>
      <x:c r="D11" s="19" t="str">
        <x:v>理论耗用、成本、毛利、准确率</x:v>
      </x:c>
      <x:c r="E11" s="19" t="str">
        <x:v>使用Excel公式或透明计算链</x:v>
      </x:c>
      <x:c r="F11" s="19" t="str">
        <x:v>系统</x:v>
      </x:c>
      <x:c r="H11" s="19" t="str">
        <x:v>人均消费</x:v>
      </x:c>
      <x:c r="I11" s="22" t="n">
        <x:v>32</x:v>
      </x:c>
      <x:c r="J11" s="19" t="str">
        <x:v>元/人</x:v>
      </x:c>
      <x:c r="K11" s="19" t="str">
        <x:v>F-点评截图</x:v>
      </x:c>
    </x:row>
    <x:row r="12">
      <x:c r="A12" s="19" t="str">
        <x:v>A-AI判断</x:v>
      </x:c>
      <x:c r="B12" s="19" t="str">
        <x:v>系统基于证据给出的建议</x:v>
      </x:c>
      <x:c r="C12" s="19" t="str">
        <x:v>否，需人工确认</x:v>
      </x:c>
      <x:c r="D12" s="19" t="str">
        <x:v>退换、调拨、调整备货、升级SOP</x:v>
      </x:c>
      <x:c r="E12" s="19" t="str">
        <x:v>必须有置信度、责任人和验收标准</x:v>
      </x:c>
      <x:c r="F12" s="19" t="str">
        <x:v>AI+人工</x:v>
      </x:c>
      <x:c r="H12" s="19" t="str">
        <x:v>模拟周期</x:v>
      </x:c>
      <x:c r="I12" s="23" t="n">
        <x:v>7</x:v>
      </x:c>
      <x:c r="J12" s="19" t="str">
        <x:v>天</x:v>
      </x:c>
      <x:c r="K12" s="19" t="str">
        <x:v>2026-07-07至2026-07-13</x:v>
      </x:c>
    </x:row>
    <x:row r="13" ht="28" customHeight="1">
      <x:c r="H13" t="str">
        <x:v>模型截至日</x:v>
      </x:c>
      <x:c r="I13" s="49" t="n">
        <x:v>46217.5</x:v>
      </x:c>
      <x:c r="J13" t="str">
        <x:v>日期</x:v>
      </x:c>
      <x:c r="K13" t="str">
        <x:v>2026-07-14</x:v>
      </x:c>
      <x:c r="N13" s="12" t="str">
        <x:v>星期</x:v>
      </x:c>
      <x:c r="O13" s="12" t="str">
        <x:v>日型系数</x:v>
      </x:c>
    </x:row>
    <x:row r="14">
      <x:c r="N14" s="19" t="str">
        <x:v>周一</x:v>
      </x:c>
      <x:c r="O14" s="24" t="n">
        <x:v>1.15</x:v>
      </x:c>
    </x:row>
    <x:row r="15" ht="26" customHeight="1">
      <x:c r="A15" s="26" t="str">
        <x:v>建模说明</x:v>
      </x:c>
      <x:c r="B15" s="26" t="str">
        <x:v>建模说明</x:v>
      </x:c>
      <x:c r="C15" s="26" t="str">
        <x:v>建模说明</x:v>
      </x:c>
      <x:c r="D15" s="26" t="str">
        <x:v>建模说明</x:v>
      </x:c>
      <x:c r="E15" s="26" t="str">
        <x:v>建模说明</x:v>
      </x:c>
      <x:c r="F15" s="26" t="str">
        <x:v>建模说明</x:v>
      </x:c>
      <x:c r="G15" s="26" t="str">
        <x:v>建模说明</x:v>
      </x:c>
      <x:c r="H15" s="26" t="str">
        <x:v>建模说明</x:v>
      </x:c>
      <x:c r="I15" s="26" t="str">
        <x:v>建模说明</x:v>
      </x:c>
      <x:c r="J15" s="26" t="str">
        <x:v>建模说明</x:v>
      </x:c>
      <x:c r="K15" s="26" t="str">
        <x:v>建模说明</x:v>
      </x:c>
      <x:c r="N15" s="19" t="str">
        <x:v>周二</x:v>
      </x:c>
      <x:c r="O15" s="24" t="n">
        <x:v>1.08</x:v>
      </x:c>
    </x:row>
    <x:row r="16" ht="28" customHeight="1">
      <x:c r="A16" s="29" t="str">
        <x:v>1. 菜单与价格来自大众点评和门店菜单板截图；三道炒菜机菜谱按截图克重录入，其余BOM按菜名与常见做法估算。</x:v>
      </x:c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N16" s="19" t="str">
        <x:v>周三</x:v>
      </x:c>
      <x:c r="O16" s="24" t="n">
        <x:v>1.05</x:v>
      </x:c>
    </x:row>
    <x:row r="17" ht="28" customHeight="1">
      <x:c r="A17" s="29" t="str">
        <x:v>2. 每店月销基线合计200万元，平均25万元；周一至周五高于周末，堂食90%、外卖10%。</x:v>
      </x:c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N17" s="19" t="str">
        <x:v>周四</x:v>
      </x:c>
      <x:c r="O17" s="24" t="n">
        <x:v>1.03</x:v>
      </x:c>
    </x:row>
    <x:row r="18" ht="28" customHeight="1">
      <x:c r="A18" s="29" t="str">
        <x:v>3. 理论食材耗用 = 销售份数 × 单份BOM克重；库存、备货、成本与毛利均沿此链路计算。</x:v>
      </x:c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N18" s="19" t="str">
        <x:v>周五</x:v>
      </x:c>
      <x:c r="O18" s="24" t="n">
        <x:v>1.07</x:v>
      </x:c>
    </x:row>
    <x:row r="19" ht="28" customHeight="1">
      <x:c r="A19" s="29" t="str">
        <x:v>4. 炒菜机稳定控制调料克重，品质问题重点追溯供应商批次、前处理、人工称重、菜谱版本与出餐等待。</x:v>
      </x:c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N19" s="19" t="str">
        <x:v>周六</x:v>
      </x:c>
      <x:c r="O19" s="24" t="n">
        <x:v>0.82</x:v>
      </x:c>
    </x:row>
    <x:row r="20" ht="28" customHeight="1">
      <x:c r="A20" s="29" t="str">
        <x:v>5. 所有经营事件、角色任务、验收证据和复盘日期均为Demo模拟，后续可替换客户实际数据。</x:v>
      </x:c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N20" s="19" t="str">
        <x:v>周日</x:v>
      </x:c>
      <x:c r="O20" s="24" t="n">
        <x:v>0.8</x:v>
      </x:c>
    </x:row>
    <x:row r="23" ht="28" customHeight="1">
      <x:c r="N23" s="12" t="str">
        <x:v>参数</x:v>
      </x:c>
      <x:c r="O23" s="12" t="str">
        <x:v>值</x:v>
      </x:c>
    </x:row>
    <x:row r="24">
      <x:c r="N24" s="19" t="str">
        <x:v>安全库存倍数</x:v>
      </x:c>
      <x:c r="O24" s="22" t="n">
        <x:v>1.2</x:v>
      </x:c>
    </x:row>
    <x:row r="25">
      <x:c r="N25" s="19" t="str">
        <x:v>机器调料偏差预警线</x:v>
      </x:c>
      <x:c r="O25" s="22" t="n">
        <x:v>0.005</x:v>
      </x:c>
    </x:row>
    <x:row r="26">
      <x:c r="N26" s="19" t="str">
        <x:v>起始库存天数</x:v>
      </x:c>
      <x:c r="O26" s="22" t="n">
        <x:v>1.8</x:v>
      </x:c>
    </x:row>
  </x:sheetData>
  <x:mergeCells>
    <x:mergeCell ref="A1:P1"/>
    <x:mergeCell ref="A2:P2"/>
    <x:mergeCell ref="A15:K15"/>
    <x:mergeCell ref="A16:K16"/>
    <x:mergeCell ref="A17:K17"/>
    <x:mergeCell ref="A18:K18"/>
    <x:mergeCell ref="A19:K19"/>
    <x:mergeCell ref="A20:K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34" customHeight="1">
      <x:c r="A1" s="3" t="str">
        <x:v>门店与角色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8家门店均有独立经营基线；收货角色可由店长兼任，但在流程上仍单独保留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2" t="str">
        <x:v>门店ID</x:v>
      </x:c>
      <x:c r="B4" s="12" t="str">
        <x:v>门店名称</x:v>
      </x:c>
      <x:c r="C4" s="12" t="str">
        <x:v>区域</x:v>
      </x:c>
      <x:c r="D4" s="12" t="str">
        <x:v>月销基线(元)</x:v>
      </x:c>
      <x:c r="E4" s="12" t="str">
        <x:v>店长/收货</x:v>
      </x:c>
      <x:c r="F4" s="12" t="str">
        <x:v>后厨主管/小工</x:v>
      </x:c>
      <x:c r="G4" s="12" t="str">
        <x:v>服务负责人</x:v>
      </x:c>
      <x:c r="H4" s="12" t="str">
        <x:v>炒菜机操作员</x:v>
      </x:c>
      <x:c r="I4" s="12" t="str">
        <x:v>老板</x:v>
      </x:c>
      <x:c r="J4" s="12" t="str">
        <x:v>总部运营</x:v>
      </x:c>
      <x:c r="K4" s="12" t="str">
        <x:v>采购</x:v>
      </x:c>
      <x:c r="L4" s="12" t="str">
        <x:v>总部品控</x:v>
      </x:c>
    </x:row>
    <x:row r="5">
      <x:c r="A5" s="19" t="str">
        <x:v>S01</x:v>
      </x:c>
      <x:c r="B5" s="19" t="str">
        <x:v>近江天阳店</x:v>
      </x:c>
      <x:c r="C5" s="19" t="str">
        <x:v>上城</x:v>
      </x:c>
      <x:c r="D5" s="30" t="n">
        <x:v>285000</x:v>
      </x:c>
      <x:c r="E5" s="19" t="str">
        <x:v>周敏</x:v>
      </x:c>
      <x:c r="F5" s="19" t="str">
        <x:v>刘强</x:v>
      </x:c>
      <x:c r="G5" s="19" t="str">
        <x:v>赵静</x:v>
      </x:c>
      <x:c r="H5" s="19" t="str">
        <x:v>陈晨</x:v>
      </x:c>
      <x:c r="I5" s="19" t="str">
        <x:v>张总</x:v>
      </x:c>
      <x:c r="J5" s="19" t="str">
        <x:v>王磊</x:v>
      </x:c>
      <x:c r="K5" s="19" t="str">
        <x:v>李明</x:v>
      </x:c>
      <x:c r="L5" s="19" t="str">
        <x:v>张薇</x:v>
      </x:c>
    </x:row>
    <x:row r="6">
      <x:c r="A6" s="19" t="str">
        <x:v>S02</x:v>
      </x:c>
      <x:c r="B6" s="19" t="str">
        <x:v>尊宝大厦店</x:v>
      </x:c>
      <x:c r="C6" s="19" t="str">
        <x:v>上城</x:v>
      </x:c>
      <x:c r="D6" s="30" t="n">
        <x:v>270000</x:v>
      </x:c>
      <x:c r="E6" s="19" t="str">
        <x:v>周浩</x:v>
      </x:c>
      <x:c r="F6" s="19" t="str">
        <x:v>吴斌</x:v>
      </x:c>
      <x:c r="G6" s="19" t="str">
        <x:v>孙晴</x:v>
      </x:c>
      <x:c r="H6" s="19" t="str">
        <x:v>许哲</x:v>
      </x:c>
      <x:c r="I6" s="19" t="str">
        <x:v>张总</x:v>
      </x:c>
      <x:c r="J6" s="19" t="str">
        <x:v>王磊</x:v>
      </x:c>
      <x:c r="K6" s="19" t="str">
        <x:v>李明</x:v>
      </x:c>
      <x:c r="L6" s="19" t="str">
        <x:v>张薇</x:v>
      </x:c>
    </x:row>
    <x:row r="7">
      <x:c r="A7" s="19" t="str">
        <x:v>S03</x:v>
      </x:c>
      <x:c r="B7" s="19" t="str">
        <x:v>铂悦城店</x:v>
      </x:c>
      <x:c r="C7" s="19" t="str">
        <x:v>西湖</x:v>
      </x:c>
      <x:c r="D7" s="30" t="n">
        <x:v>260000</x:v>
      </x:c>
      <x:c r="E7" s="19" t="str">
        <x:v>李倩</x:v>
      </x:c>
      <x:c r="F7" s="19" t="str">
        <x:v>王勇</x:v>
      </x:c>
      <x:c r="G7" s="19" t="str">
        <x:v>钱璐</x:v>
      </x:c>
      <x:c r="H7" s="19" t="str">
        <x:v>杨帆</x:v>
      </x:c>
      <x:c r="I7" s="19" t="str">
        <x:v>张总</x:v>
      </x:c>
      <x:c r="J7" s="19" t="str">
        <x:v>王磊</x:v>
      </x:c>
      <x:c r="K7" s="19" t="str">
        <x:v>李明</x:v>
      </x:c>
      <x:c r="L7" s="19" t="str">
        <x:v>张薇</x:v>
      </x:c>
    </x:row>
    <x:row r="8">
      <x:c r="A8" s="19" t="str">
        <x:v>S04</x:v>
      </x:c>
      <x:c r="B8" s="19" t="str">
        <x:v>金街美地店</x:v>
      </x:c>
      <x:c r="C8" s="19" t="str">
        <x:v>上城</x:v>
      </x:c>
      <x:c r="D8" s="30" t="n">
        <x:v>255000</x:v>
      </x:c>
      <x:c r="E8" s="19" t="str">
        <x:v>张洁</x:v>
      </x:c>
      <x:c r="F8" s="19" t="str">
        <x:v>徐超</x:v>
      </x:c>
      <x:c r="G8" s="19" t="str">
        <x:v>郑琳</x:v>
      </x:c>
      <x:c r="H8" s="19" t="str">
        <x:v>宋海</x:v>
      </x:c>
      <x:c r="I8" s="19" t="str">
        <x:v>张总</x:v>
      </x:c>
      <x:c r="J8" s="19" t="str">
        <x:v>王磊</x:v>
      </x:c>
      <x:c r="K8" s="19" t="str">
        <x:v>李明</x:v>
      </x:c>
      <x:c r="L8" s="19" t="str">
        <x:v>张薇</x:v>
      </x:c>
    </x:row>
    <x:row r="9">
      <x:c r="A9" s="19" t="str">
        <x:v>S05</x:v>
      </x:c>
      <x:c r="B9" s="19" t="str">
        <x:v>同顺街店</x:v>
      </x:c>
      <x:c r="C9" s="19" t="str">
        <x:v>余杭</x:v>
      </x:c>
      <x:c r="D9" s="30" t="n">
        <x:v>248000</x:v>
      </x:c>
      <x:c r="E9" s="19" t="str">
        <x:v>王芳</x:v>
      </x:c>
      <x:c r="F9" s="19" t="str">
        <x:v>冯军</x:v>
      </x:c>
      <x:c r="G9" s="19" t="str">
        <x:v>徐雯</x:v>
      </x:c>
      <x:c r="H9" s="19" t="str">
        <x:v>黄俊</x:v>
      </x:c>
      <x:c r="I9" s="19" t="str">
        <x:v>张总</x:v>
      </x:c>
      <x:c r="J9" s="19" t="str">
        <x:v>王磊</x:v>
      </x:c>
      <x:c r="K9" s="19" t="str">
        <x:v>李明</x:v>
      </x:c>
      <x:c r="L9" s="19" t="str">
        <x:v>张薇</x:v>
      </x:c>
    </x:row>
    <x:row r="10">
      <x:c r="A10" s="19" t="str">
        <x:v>S06</x:v>
      </x:c>
      <x:c r="B10" s="19" t="str">
        <x:v>蓝钻天城店</x:v>
      </x:c>
      <x:c r="C10" s="19" t="str">
        <x:v>拱墅</x:v>
      </x:c>
      <x:c r="D10" s="30" t="n">
        <x:v>240000</x:v>
      </x:c>
      <x:c r="E10" s="19" t="str">
        <x:v>陈颖</x:v>
      </x:c>
      <x:c r="F10" s="19" t="str">
        <x:v>蒋伟</x:v>
      </x:c>
      <x:c r="G10" s="19" t="str">
        <x:v>陆珊</x:v>
      </x:c>
      <x:c r="H10" s="19" t="str">
        <x:v>谢东</x:v>
      </x:c>
      <x:c r="I10" s="19" t="str">
        <x:v>张总</x:v>
      </x:c>
      <x:c r="J10" s="19" t="str">
        <x:v>王磊</x:v>
      </x:c>
      <x:c r="K10" s="19" t="str">
        <x:v>李明</x:v>
      </x:c>
      <x:c r="L10" s="19" t="str">
        <x:v>张薇</x:v>
      </x:c>
    </x:row>
    <x:row r="11">
      <x:c r="A11" s="19" t="str">
        <x:v>S07</x:v>
      </x:c>
      <x:c r="B11" s="19" t="str">
        <x:v>小和山店</x:v>
      </x:c>
      <x:c r="C11" s="19" t="str">
        <x:v>西湖</x:v>
      </x:c>
      <x:c r="D11" s="30" t="n">
        <x:v>230000</x:v>
      </x:c>
      <x:c r="E11" s="19" t="str">
        <x:v>刘敏</x:v>
      </x:c>
      <x:c r="F11" s="19" t="str">
        <x:v>高鹏</x:v>
      </x:c>
      <x:c r="G11" s="19" t="str">
        <x:v>戴静</x:v>
      </x:c>
      <x:c r="H11" s="19" t="str">
        <x:v>唐凯</x:v>
      </x:c>
      <x:c r="I11" s="19" t="str">
        <x:v>张总</x:v>
      </x:c>
      <x:c r="J11" s="19" t="str">
        <x:v>王磊</x:v>
      </x:c>
      <x:c r="K11" s="19" t="str">
        <x:v>李明</x:v>
      </x:c>
      <x:c r="L11" s="19" t="str">
        <x:v>张薇</x:v>
      </x:c>
    </x:row>
    <x:row r="12">
      <x:c r="A12" s="19" t="str">
        <x:v>S08</x:v>
      </x:c>
      <x:c r="B12" s="19" t="str">
        <x:v>四季青店</x:v>
      </x:c>
      <x:c r="C12" s="19" t="str">
        <x:v>上城</x:v>
      </x:c>
      <x:c r="D12" s="30" t="n">
        <x:v>212000</x:v>
      </x:c>
      <x:c r="E12" s="19" t="str">
        <x:v>杨丽</x:v>
      </x:c>
      <x:c r="F12" s="19" t="str">
        <x:v>杜峰</x:v>
      </x:c>
      <x:c r="G12" s="19" t="str">
        <x:v>沈慧</x:v>
      </x:c>
      <x:c r="H12" s="19" t="str">
        <x:v>罗文</x:v>
      </x:c>
      <x:c r="I12" s="19" t="str">
        <x:v>张总</x:v>
      </x:c>
      <x:c r="J12" s="19" t="str">
        <x:v>王磊</x:v>
      </x:c>
      <x:c r="K12" s="19" t="str">
        <x:v>李明</x:v>
      </x:c>
      <x:c r="L12" s="19" t="str">
        <x:v>张薇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57e95adea4947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0" hidden="0" customWidth="1"/>
    <x:col min="5" max="5" width="12" hidden="0" customWidth="1"/>
    <x:col min="6" max="6" width="18" hidden="0" customWidth="1"/>
    <x:col min="7" max="7" width="36" hidden="0" customWidth="1"/>
  </x:cols>
  <x:sheetData>
    <x:row r="1" ht="34" customHeight="1">
      <x:c r="A1" s="3" t="str">
        <x:v>食材与采购价</x:v>
      </x:c>
      <x:c r="B1" s="3"/>
      <x:c r="C1" s="3"/>
      <x:c r="D1" s="3"/>
      <x:c r="E1" s="3"/>
      <x:c r="F1" s="3"/>
      <x:c r="G1" s="3"/>
    </x:row>
    <x:row r="2" ht="28" customHeight="1">
      <x:c r="A2" s="7" t="str">
        <x:v>采购价全部为模拟假设，用于把炒菜机克重配方换算成单份成本；后续可由客户采购价表替换</x:v>
      </x:c>
      <x:c r="B2" s="7"/>
      <x:c r="C2" s="7"/>
      <x:c r="D2" s="7"/>
      <x:c r="E2" s="7"/>
      <x:c r="F2" s="7"/>
      <x:c r="G2" s="7"/>
    </x:row>
    <x:row r="4" ht="28" customHeight="1">
      <x:c r="A4" s="12" t="str">
        <x:v>食材ID</x:v>
      </x:c>
      <x:c r="B4" s="12" t="str">
        <x:v>名称</x:v>
      </x:c>
      <x:c r="C4" s="12" t="str">
        <x:v>分类</x:v>
      </x:c>
      <x:c r="D4" s="12" t="str">
        <x:v>模拟采购价(元/kg)</x:v>
      </x:c>
      <x:c r="E4" s="12" t="str">
        <x:v>计价单位</x:v>
      </x:c>
      <x:c r="F4" s="12" t="str">
        <x:v>来源类型</x:v>
      </x:c>
      <x:c r="G4" s="12" t="str">
        <x:v>说明</x:v>
      </x:c>
    </x:row>
    <x:row r="5">
      <x:c r="A5" s="19" t="str">
        <x:v>I001</x:v>
      </x:c>
      <x:c r="B5" s="19" t="str">
        <x:v>肥肉片</x:v>
      </x:c>
      <x:c r="C5" s="19" t="str">
        <x:v>猪肉</x:v>
      </x:c>
      <x:c r="D5" s="32" t="n">
        <x:v>18</x:v>
      </x:c>
      <x:c r="E5" s="19" t="str">
        <x:v>kg</x:v>
      </x:c>
      <x:c r="F5" s="19" t="str">
        <x:v>S-模拟采购价</x:v>
      </x:c>
      <x:c r="G5" s="19" t="str">
        <x:v>可编辑输入；替换后菜品成本自动更新</x:v>
      </x:c>
    </x:row>
    <x:row r="6">
      <x:c r="A6" s="19" t="str">
        <x:v>I002</x:v>
      </x:c>
      <x:c r="B6" s="19" t="str">
        <x:v>瘦肉片</x:v>
      </x:c>
      <x:c r="C6" s="19" t="str">
        <x:v>猪肉</x:v>
      </x:c>
      <x:c r="D6" s="32" t="n">
        <x:v>28</x:v>
      </x:c>
      <x:c r="E6" s="19" t="str">
        <x:v>kg</x:v>
      </x:c>
      <x:c r="F6" s="19" t="str">
        <x:v>S-模拟采购价</x:v>
      </x:c>
      <x:c r="G6" s="19" t="str">
        <x:v>可编辑输入；替换后菜品成本自动更新</x:v>
      </x:c>
    </x:row>
    <x:row r="7">
      <x:c r="A7" s="19" t="str">
        <x:v>I003</x:v>
      </x:c>
      <x:c r="B7" s="19" t="str">
        <x:v>牛肉片</x:v>
      </x:c>
      <x:c r="C7" s="19" t="str">
        <x:v>牛肉</x:v>
      </x:c>
      <x:c r="D7" s="32" t="n">
        <x:v>52</x:v>
      </x:c>
      <x:c r="E7" s="19" t="str">
        <x:v>kg</x:v>
      </x:c>
      <x:c r="F7" s="19" t="str">
        <x:v>S-模拟采购价</x:v>
      </x:c>
      <x:c r="G7" s="19" t="str">
        <x:v>可编辑输入；替换后菜品成本自动更新</x:v>
      </x:c>
    </x:row>
    <x:row r="8">
      <x:c r="A8" s="19" t="str">
        <x:v>I004</x:v>
      </x:c>
      <x:c r="B8" s="19" t="str">
        <x:v>猪五花</x:v>
      </x:c>
      <x:c r="C8" s="19" t="str">
        <x:v>猪肉</x:v>
      </x:c>
      <x:c r="D8" s="32" t="n">
        <x:v>31</x:v>
      </x:c>
      <x:c r="E8" s="19" t="str">
        <x:v>kg</x:v>
      </x:c>
      <x:c r="F8" s="19" t="str">
        <x:v>S-模拟采购价</x:v>
      </x:c>
      <x:c r="G8" s="19" t="str">
        <x:v>可编辑输入；替换后菜品成本自动更新</x:v>
      </x:c>
    </x:row>
    <x:row r="9">
      <x:c r="A9" s="19" t="str">
        <x:v>I005</x:v>
      </x:c>
      <x:c r="B9" s="19" t="str">
        <x:v>猪肝</x:v>
      </x:c>
      <x:c r="C9" s="19" t="str">
        <x:v>禽畜</x:v>
      </x:c>
      <x:c r="D9" s="32" t="n">
        <x:v>18</x:v>
      </x:c>
      <x:c r="E9" s="19" t="str">
        <x:v>kg</x:v>
      </x:c>
      <x:c r="F9" s="19" t="str">
        <x:v>S-模拟采购价</x:v>
      </x:c>
      <x:c r="G9" s="19" t="str">
        <x:v>可编辑输入；替换后菜品成本自动更新</x:v>
      </x:c>
    </x:row>
    <x:row r="10">
      <x:c r="A10" s="19" t="str">
        <x:v>I006</x:v>
      </x:c>
      <x:c r="B10" s="19" t="str">
        <x:v>肥肠</x:v>
      </x:c>
      <x:c r="C10" s="19" t="str">
        <x:v>禽畜</x:v>
      </x:c>
      <x:c r="D10" s="32" t="n">
        <x:v>34</x:v>
      </x:c>
      <x:c r="E10" s="19" t="str">
        <x:v>kg</x:v>
      </x:c>
      <x:c r="F10" s="19" t="str">
        <x:v>S-模拟采购价</x:v>
      </x:c>
      <x:c r="G10" s="19" t="str">
        <x:v>可编辑输入；替换后菜品成本自动更新</x:v>
      </x:c>
    </x:row>
    <x:row r="11">
      <x:c r="A11" s="19" t="str">
        <x:v>I007</x:v>
      </x:c>
      <x:c r="B11" s="19" t="str">
        <x:v>鸡肉</x:v>
      </x:c>
      <x:c r="C11" s="19" t="str">
        <x:v>禽畜</x:v>
      </x:c>
      <x:c r="D11" s="32" t="n">
        <x:v>26</x:v>
      </x:c>
      <x:c r="E11" s="19" t="str">
        <x:v>kg</x:v>
      </x:c>
      <x:c r="F11" s="19" t="str">
        <x:v>S-模拟采购价</x:v>
      </x:c>
      <x:c r="G11" s="19" t="str">
        <x:v>可编辑输入；替换后菜品成本自动更新</x:v>
      </x:c>
    </x:row>
    <x:row r="12">
      <x:c r="A12" s="19" t="str">
        <x:v>I008</x:v>
      </x:c>
      <x:c r="B12" s="19" t="str">
        <x:v>鸡杂</x:v>
      </x:c>
      <x:c r="C12" s="19" t="str">
        <x:v>禽畜</x:v>
      </x:c>
      <x:c r="D12" s="32" t="n">
        <x:v>22</x:v>
      </x:c>
      <x:c r="E12" s="19" t="str">
        <x:v>kg</x:v>
      </x:c>
      <x:c r="F12" s="19" t="str">
        <x:v>S-模拟采购价</x:v>
      </x:c>
      <x:c r="G12" s="19" t="str">
        <x:v>可编辑输入；替换后菜品成本自动更新</x:v>
      </x:c>
    </x:row>
    <x:row r="13">
      <x:c r="A13" s="19" t="str">
        <x:v>I009</x:v>
      </x:c>
      <x:c r="B13" s="19" t="str">
        <x:v>鲈鱼</x:v>
      </x:c>
      <x:c r="C13" s="19" t="str">
        <x:v>水产</x:v>
      </x:c>
      <x:c r="D13" s="32" t="n">
        <x:v>36</x:v>
      </x:c>
      <x:c r="E13" s="19" t="str">
        <x:v>kg</x:v>
      </x:c>
      <x:c r="F13" s="19" t="str">
        <x:v>S-模拟采购价</x:v>
      </x:c>
      <x:c r="G13" s="19" t="str">
        <x:v>可编辑输入；替换后菜品成本自动更新</x:v>
      </x:c>
    </x:row>
    <x:row r="14">
      <x:c r="A14" s="19" t="str">
        <x:v>I010</x:v>
      </x:c>
      <x:c r="B14" s="19" t="str">
        <x:v>鱼头</x:v>
      </x:c>
      <x:c r="C14" s="19" t="str">
        <x:v>水产</x:v>
      </x:c>
      <x:c r="D14" s="32" t="n">
        <x:v>25</x:v>
      </x:c>
      <x:c r="E14" s="19" t="str">
        <x:v>kg</x:v>
      </x:c>
      <x:c r="F14" s="19" t="str">
        <x:v>S-模拟采购价</x:v>
      </x:c>
      <x:c r="G14" s="19" t="str">
        <x:v>可编辑输入；替换后菜品成本自动更新</x:v>
      </x:c>
    </x:row>
    <x:row r="15">
      <x:c r="A15" s="19" t="str">
        <x:v>I011</x:v>
      </x:c>
      <x:c r="B15" s="19" t="str">
        <x:v>鲜虾</x:v>
      </x:c>
      <x:c r="C15" s="19" t="str">
        <x:v>水产</x:v>
      </x:c>
      <x:c r="D15" s="32" t="n">
        <x:v>46</x:v>
      </x:c>
      <x:c r="E15" s="19" t="str">
        <x:v>kg</x:v>
      </x:c>
      <x:c r="F15" s="19" t="str">
        <x:v>S-模拟采购价</x:v>
      </x:c>
      <x:c r="G15" s="19" t="str">
        <x:v>可编辑输入；替换后菜品成本自动更新</x:v>
      </x:c>
    </x:row>
    <x:row r="16">
      <x:c r="A16" s="19" t="str">
        <x:v>I012</x:v>
      </x:c>
      <x:c r="B16" s="19" t="str">
        <x:v>螺丝椒</x:v>
      </x:c>
      <x:c r="C16" s="19" t="str">
        <x:v>蔬菜</x:v>
      </x:c>
      <x:c r="D16" s="32" t="n">
        <x:v>8</x:v>
      </x:c>
      <x:c r="E16" s="19" t="str">
        <x:v>kg</x:v>
      </x:c>
      <x:c r="F16" s="19" t="str">
        <x:v>S-模拟采购价</x:v>
      </x:c>
      <x:c r="G16" s="19" t="str">
        <x:v>可编辑输入；替换后菜品成本自动更新</x:v>
      </x:c>
    </x:row>
    <x:row r="17">
      <x:c r="A17" s="19" t="str">
        <x:v>I013</x:v>
      </x:c>
      <x:c r="B17" s="19" t="str">
        <x:v>青湖南椒圈</x:v>
      </x:c>
      <x:c r="C17" s="19" t="str">
        <x:v>蔬菜</x:v>
      </x:c>
      <x:c r="D17" s="32" t="n">
        <x:v>8</x:v>
      </x:c>
      <x:c r="E17" s="19" t="str">
        <x:v>kg</x:v>
      </x:c>
      <x:c r="F17" s="19" t="str">
        <x:v>S-模拟采购价</x:v>
      </x:c>
      <x:c r="G17" s="19" t="str">
        <x:v>可编辑输入；替换后菜品成本自动更新</x:v>
      </x:c>
    </x:row>
    <x:row r="18">
      <x:c r="A18" s="19" t="str">
        <x:v>I014</x:v>
      </x:c>
      <x:c r="B18" s="19" t="str">
        <x:v>青椒</x:v>
      </x:c>
      <x:c r="C18" s="19" t="str">
        <x:v>蔬菜</x:v>
      </x:c>
      <x:c r="D18" s="32" t="n">
        <x:v>7</x:v>
      </x:c>
      <x:c r="E18" s="19" t="str">
        <x:v>kg</x:v>
      </x:c>
      <x:c r="F18" s="19" t="str">
        <x:v>S-模拟采购价</x:v>
      </x:c>
      <x:c r="G18" s="19" t="str">
        <x:v>可编辑输入；替换后菜品成本自动更新</x:v>
      </x:c>
    </x:row>
    <x:row r="19">
      <x:c r="A19" s="19" t="str">
        <x:v>I015</x:v>
      </x:c>
      <x:c r="B19" s="19" t="str">
        <x:v>红小米椒粒</x:v>
      </x:c>
      <x:c r="C19" s="19" t="str">
        <x:v>蔬菜</x:v>
      </x:c>
      <x:c r="D19" s="32" t="n">
        <x:v>16</x:v>
      </x:c>
      <x:c r="E19" s="19" t="str">
        <x:v>kg</x:v>
      </x:c>
      <x:c r="F19" s="19" t="str">
        <x:v>S-模拟采购价</x:v>
      </x:c>
      <x:c r="G19" s="19" t="str">
        <x:v>可编辑输入；替换后菜品成本自动更新</x:v>
      </x:c>
    </x:row>
    <x:row r="20">
      <x:c r="A20" s="19" t="str">
        <x:v>I016</x:v>
      </x:c>
      <x:c r="B20" s="19" t="str">
        <x:v>美人椒粒</x:v>
      </x:c>
      <x:c r="C20" s="19" t="str">
        <x:v>蔬菜</x:v>
      </x:c>
      <x:c r="D20" s="32" t="n">
        <x:v>13</x:v>
      </x:c>
      <x:c r="E20" s="19" t="str">
        <x:v>kg</x:v>
      </x:c>
      <x:c r="F20" s="19" t="str">
        <x:v>S-模拟采购价</x:v>
      </x:c>
      <x:c r="G20" s="19" t="str">
        <x:v>可编辑输入；替换后菜品成本自动更新</x:v>
      </x:c>
    </x:row>
    <x:row r="21">
      <x:c r="A21" s="19" t="str">
        <x:v>I017</x:v>
      </x:c>
      <x:c r="B21" s="19" t="str">
        <x:v>泡野山椒粒</x:v>
      </x:c>
      <x:c r="C21" s="19" t="str">
        <x:v>腌制菜</x:v>
      </x:c>
      <x:c r="D21" s="32" t="n">
        <x:v>15</x:v>
      </x:c>
      <x:c r="E21" s="19" t="str">
        <x:v>kg</x:v>
      </x:c>
      <x:c r="F21" s="19" t="str">
        <x:v>S-模拟采购价</x:v>
      </x:c>
      <x:c r="G21" s="19" t="str">
        <x:v>可编辑输入；替换后菜品成本自动更新</x:v>
      </x:c>
    </x:row>
    <x:row r="22">
      <x:c r="A22" s="19" t="str">
        <x:v>I018</x:v>
      </x:c>
      <x:c r="B22" s="19" t="str">
        <x:v>芹菜段</x:v>
      </x:c>
      <x:c r="C22" s="19" t="str">
        <x:v>蔬菜</x:v>
      </x:c>
      <x:c r="D22" s="32" t="n">
        <x:v>6</x:v>
      </x:c>
      <x:c r="E22" s="19" t="str">
        <x:v>kg</x:v>
      </x:c>
      <x:c r="F22" s="19" t="str">
        <x:v>S-模拟采购价</x:v>
      </x:c>
      <x:c r="G22" s="19" t="str">
        <x:v>可编辑输入；替换后菜品成本自动更新</x:v>
      </x:c>
    </x:row>
    <x:row r="23">
      <x:c r="A23" s="19" t="str">
        <x:v>I019</x:v>
      </x:c>
      <x:c r="B23" s="19" t="str">
        <x:v>拍蒜粒</x:v>
      </x:c>
      <x:c r="C23" s="19" t="str">
        <x:v>蔬菜</x:v>
      </x:c>
      <x:c r="D23" s="32" t="n">
        <x:v>10</x:v>
      </x:c>
      <x:c r="E23" s="19" t="str">
        <x:v>kg</x:v>
      </x:c>
      <x:c r="F23" s="19" t="str">
        <x:v>S-模拟采购价</x:v>
      </x:c>
      <x:c r="G23" s="19" t="str">
        <x:v>可编辑输入；替换后菜品成本自动更新</x:v>
      </x:c>
    </x:row>
    <x:row r="24">
      <x:c r="A24" s="19" t="str">
        <x:v>I020</x:v>
      </x:c>
      <x:c r="B24" s="19" t="str">
        <x:v>蒜苗粒</x:v>
      </x:c>
      <x:c r="C24" s="19" t="str">
        <x:v>蔬菜</x:v>
      </x:c>
      <x:c r="D24" s="32" t="n">
        <x:v>8</x:v>
      </x:c>
      <x:c r="E24" s="19" t="str">
        <x:v>kg</x:v>
      </x:c>
      <x:c r="F24" s="19" t="str">
        <x:v>S-模拟采购价</x:v>
      </x:c>
      <x:c r="G24" s="19" t="str">
        <x:v>可编辑输入；替换后菜品成本自动更新</x:v>
      </x:c>
    </x:row>
    <x:row r="25">
      <x:c r="A25" s="19" t="str">
        <x:v>I021</x:v>
      </x:c>
      <x:c r="B25" s="19" t="str">
        <x:v>白木耳</x:v>
      </x:c>
      <x:c r="C25" s="19" t="str">
        <x:v>蔬菜</x:v>
      </x:c>
      <x:c r="D25" s="32" t="n">
        <x:v>9</x:v>
      </x:c>
      <x:c r="E25" s="19" t="str">
        <x:v>kg</x:v>
      </x:c>
      <x:c r="F25" s="19" t="str">
        <x:v>S-泡发后采购口径</x:v>
      </x:c>
      <x:c r="G25" s="19" t="str">
        <x:v>可编辑输入；替换后菜品成本自动更新</x:v>
      </x:c>
    </x:row>
    <x:row r="26">
      <x:c r="A26" s="19" t="str">
        <x:v>I022</x:v>
      </x:c>
      <x:c r="B26" s="19" t="str">
        <x:v>鸡蛋</x:v>
      </x:c>
      <x:c r="C26" s="19" t="str">
        <x:v>蛋品</x:v>
      </x:c>
      <x:c r="D26" s="32" t="n">
        <x:v>11</x:v>
      </x:c>
      <x:c r="E26" s="19" t="str">
        <x:v>kg</x:v>
      </x:c>
      <x:c r="F26" s="19" t="str">
        <x:v>S-模拟采购价</x:v>
      </x:c>
      <x:c r="G26" s="19" t="str">
        <x:v>可编辑输入；替换后菜品成本自动更新</x:v>
      </x:c>
    </x:row>
    <x:row r="27">
      <x:c r="A27" s="19" t="str">
        <x:v>I023</x:v>
      </x:c>
      <x:c r="B27" s="19" t="str">
        <x:v>炒好的鸡蛋</x:v>
      </x:c>
      <x:c r="C27" s="19" t="str">
        <x:v>半成品</x:v>
      </x:c>
      <x:c r="D27" s="32" t="n">
        <x:v>12</x:v>
      </x:c>
      <x:c r="E27" s="19" t="str">
        <x:v>kg</x:v>
      </x:c>
      <x:c r="F27" s="19" t="str">
        <x:v>S-含基础加工成本</x:v>
      </x:c>
      <x:c r="G27" s="19" t="str">
        <x:v>可编辑输入；替换后菜品成本自动更新</x:v>
      </x:c>
    </x:row>
    <x:row r="28">
      <x:c r="A28" s="19" t="str">
        <x:v>I024</x:v>
      </x:c>
      <x:c r="B28" s="19" t="str">
        <x:v>酸包菜</x:v>
      </x:c>
      <x:c r="C28" s="19" t="str">
        <x:v>腌制菜</x:v>
      </x:c>
      <x:c r="D28" s="32" t="n">
        <x:v>8</x:v>
      </x:c>
      <x:c r="E28" s="19" t="str">
        <x:v>kg</x:v>
      </x:c>
      <x:c r="F28" s="19" t="str">
        <x:v>S-模拟采购价</x:v>
      </x:c>
      <x:c r="G28" s="19" t="str">
        <x:v>可编辑输入；替换后菜品成本自动更新</x:v>
      </x:c>
    </x:row>
    <x:row r="29">
      <x:c r="A29" s="19" t="str">
        <x:v>I025</x:v>
      </x:c>
      <x:c r="B29" s="19" t="str">
        <x:v>粉皮</x:v>
      </x:c>
      <x:c r="C29" s="19" t="str">
        <x:v>干货</x:v>
      </x:c>
      <x:c r="D29" s="32" t="n">
        <x:v>10</x:v>
      </x:c>
      <x:c r="E29" s="19" t="str">
        <x:v>kg</x:v>
      </x:c>
      <x:c r="F29" s="19" t="str">
        <x:v>S-模拟采购价</x:v>
      </x:c>
      <x:c r="G29" s="19" t="str">
        <x:v>可编辑输入；替换后菜品成本自动更新</x:v>
      </x:c>
    </x:row>
    <x:row r="30">
      <x:c r="A30" s="19" t="str">
        <x:v>I026</x:v>
      </x:c>
      <x:c r="B30" s="19" t="str">
        <x:v>豆腐</x:v>
      </x:c>
      <x:c r="C30" s="19" t="str">
        <x:v>豆制品</x:v>
      </x:c>
      <x:c r="D30" s="32" t="n">
        <x:v>5</x:v>
      </x:c>
      <x:c r="E30" s="19" t="str">
        <x:v>kg</x:v>
      </x:c>
      <x:c r="F30" s="19" t="str">
        <x:v>S-模拟采购价</x:v>
      </x:c>
      <x:c r="G30" s="19" t="str">
        <x:v>可编辑输入；替换后菜品成本自动更新</x:v>
      </x:c>
    </x:row>
    <x:row r="31">
      <x:c r="A31" s="19" t="str">
        <x:v>I027</x:v>
      </x:c>
      <x:c r="B31" s="19" t="str">
        <x:v>豆干</x:v>
      </x:c>
      <x:c r="C31" s="19" t="str">
        <x:v>豆制品</x:v>
      </x:c>
      <x:c r="D31" s="32" t="n">
        <x:v>12</x:v>
      </x:c>
      <x:c r="E31" s="19" t="str">
        <x:v>kg</x:v>
      </x:c>
      <x:c r="F31" s="19" t="str">
        <x:v>S-模拟采购价</x:v>
      </x:c>
      <x:c r="G31" s="19" t="str">
        <x:v>可编辑输入；替换后菜品成本自动更新</x:v>
      </x:c>
    </x:row>
    <x:row r="32">
      <x:c r="A32" s="19" t="str">
        <x:v>I028</x:v>
      </x:c>
      <x:c r="B32" s="19" t="str">
        <x:v>肉末</x:v>
      </x:c>
      <x:c r="C32" s="19" t="str">
        <x:v>猪肉</x:v>
      </x:c>
      <x:c r="D32" s="32" t="n">
        <x:v>27</x:v>
      </x:c>
      <x:c r="E32" s="19" t="str">
        <x:v>kg</x:v>
      </x:c>
      <x:c r="F32" s="19" t="str">
        <x:v>S-模拟采购价</x:v>
      </x:c>
      <x:c r="G32" s="19" t="str">
        <x:v>可编辑输入；替换后菜品成本自动更新</x:v>
      </x:c>
    </x:row>
    <x:row r="33">
      <x:c r="A33" s="19" t="str">
        <x:v>I029</x:v>
      </x:c>
      <x:c r="B33" s="19" t="str">
        <x:v>剁椒</x:v>
      </x:c>
      <x:c r="C33" s="19" t="str">
        <x:v>腌制菜</x:v>
      </x:c>
      <x:c r="D33" s="32" t="n">
        <x:v>12</x:v>
      </x:c>
      <x:c r="E33" s="19" t="str">
        <x:v>kg</x:v>
      </x:c>
      <x:c r="F33" s="19" t="str">
        <x:v>S-模拟采购价</x:v>
      </x:c>
      <x:c r="G33" s="19" t="str">
        <x:v>可编辑输入；替换后菜品成本自动更新</x:v>
      </x:c>
    </x:row>
    <x:row r="34">
      <x:c r="A34" s="19" t="str">
        <x:v>I030</x:v>
      </x:c>
      <x:c r="B34" s="19" t="str">
        <x:v>生姜</x:v>
      </x:c>
      <x:c r="C34" s="19" t="str">
        <x:v>蔬菜</x:v>
      </x:c>
      <x:c r="D34" s="32" t="n">
        <x:v>9</x:v>
      </x:c>
      <x:c r="E34" s="19" t="str">
        <x:v>kg</x:v>
      </x:c>
      <x:c r="F34" s="19" t="str">
        <x:v>S-模拟采购价</x:v>
      </x:c>
      <x:c r="G34" s="19" t="str">
        <x:v>可编辑输入；替换后菜品成本自动更新</x:v>
      </x:c>
    </x:row>
    <x:row r="35">
      <x:c r="A35" s="19" t="str">
        <x:v>I031</x:v>
      </x:c>
      <x:c r="B35" s="19" t="str">
        <x:v>葱</x:v>
      </x:c>
      <x:c r="C35" s="19" t="str">
        <x:v>蔬菜</x:v>
      </x:c>
      <x:c r="D35" s="32" t="n">
        <x:v>8</x:v>
      </x:c>
      <x:c r="E35" s="19" t="str">
        <x:v>kg</x:v>
      </x:c>
      <x:c r="F35" s="19" t="str">
        <x:v>S-模拟采购价</x:v>
      </x:c>
      <x:c r="G35" s="19" t="str">
        <x:v>可编辑输入；替换后菜品成本自动更新</x:v>
      </x:c>
    </x:row>
    <x:row r="36">
      <x:c r="A36" s="19" t="str">
        <x:v>I032</x:v>
      </x:c>
      <x:c r="B36" s="19" t="str">
        <x:v>蒜苔</x:v>
      </x:c>
      <x:c r="C36" s="19" t="str">
        <x:v>蔬菜</x:v>
      </x:c>
      <x:c r="D36" s="32" t="n">
        <x:v>10</x:v>
      </x:c>
      <x:c r="E36" s="19" t="str">
        <x:v>kg</x:v>
      </x:c>
      <x:c r="F36" s="19" t="str">
        <x:v>S-模拟采购价</x:v>
      </x:c>
      <x:c r="G36" s="19" t="str">
        <x:v>可编辑输入；替换后菜品成本自动更新</x:v>
      </x:c>
    </x:row>
    <x:row r="37">
      <x:c r="A37" s="19" t="str">
        <x:v>I033</x:v>
      </x:c>
      <x:c r="B37" s="19" t="str">
        <x:v>外婆菜</x:v>
      </x:c>
      <x:c r="C37" s="19" t="str">
        <x:v>腌制菜</x:v>
      </x:c>
      <x:c r="D37" s="32" t="n">
        <x:v>13</x:v>
      </x:c>
      <x:c r="E37" s="19" t="str">
        <x:v>kg</x:v>
      </x:c>
      <x:c r="F37" s="19" t="str">
        <x:v>S-模拟采购价</x:v>
      </x:c>
      <x:c r="G37" s="19" t="str">
        <x:v>可编辑输入；替换后菜品成本自动更新</x:v>
      </x:c>
    </x:row>
    <x:row r="38">
      <x:c r="A38" s="19" t="str">
        <x:v>I034</x:v>
      </x:c>
      <x:c r="B38" s="19" t="str">
        <x:v>酸萝卜</x:v>
      </x:c>
      <x:c r="C38" s="19" t="str">
        <x:v>腌制菜</x:v>
      </x:c>
      <x:c r="D38" s="32" t="n">
        <x:v>8</x:v>
      </x:c>
      <x:c r="E38" s="19" t="str">
        <x:v>kg</x:v>
      </x:c>
      <x:c r="F38" s="19" t="str">
        <x:v>S-模拟采购价</x:v>
      </x:c>
      <x:c r="G38" s="19" t="str">
        <x:v>可编辑输入；替换后菜品成本自动更新</x:v>
      </x:c>
    </x:row>
    <x:row r="39">
      <x:c r="A39" s="19" t="str">
        <x:v>I035</x:v>
      </x:c>
      <x:c r="B39" s="19" t="str">
        <x:v>小豆角</x:v>
      </x:c>
      <x:c r="C39" s="19" t="str">
        <x:v>蔬菜</x:v>
      </x:c>
      <x:c r="D39" s="32" t="n">
        <x:v>9</x:v>
      </x:c>
      <x:c r="E39" s="19" t="str">
        <x:v>kg</x:v>
      </x:c>
      <x:c r="F39" s="19" t="str">
        <x:v>S-模拟采购价</x:v>
      </x:c>
      <x:c r="G39" s="19" t="str">
        <x:v>可编辑输入；替换后菜品成本自动更新</x:v>
      </x:c>
    </x:row>
    <x:row r="40">
      <x:c r="A40" s="19" t="str">
        <x:v>I036</x:v>
      </x:c>
      <x:c r="B40" s="19" t="str">
        <x:v>粉丝</x:v>
      </x:c>
      <x:c r="C40" s="19" t="str">
        <x:v>干货</x:v>
      </x:c>
      <x:c r="D40" s="32" t="n">
        <x:v>11</x:v>
      </x:c>
      <x:c r="E40" s="19" t="str">
        <x:v>kg</x:v>
      </x:c>
      <x:c r="F40" s="19" t="str">
        <x:v>S-模拟采购价</x:v>
      </x:c>
      <x:c r="G40" s="19" t="str">
        <x:v>可编辑输入；替换后菜品成本自动更新</x:v>
      </x:c>
    </x:row>
    <x:row r="41">
      <x:c r="A41" s="19" t="str">
        <x:v>I037</x:v>
      </x:c>
      <x:c r="B41" s="19" t="str">
        <x:v>油麦菜</x:v>
      </x:c>
      <x:c r="C41" s="19" t="str">
        <x:v>蔬菜</x:v>
      </x:c>
      <x:c r="D41" s="32" t="n">
        <x:v>6</x:v>
      </x:c>
      <x:c r="E41" s="19" t="str">
        <x:v>kg</x:v>
      </x:c>
      <x:c r="F41" s="19" t="str">
        <x:v>S-模拟采购价</x:v>
      </x:c>
      <x:c r="G41" s="19" t="str">
        <x:v>可编辑输入；替换后菜品成本自动更新</x:v>
      </x:c>
    </x:row>
    <x:row r="42">
      <x:c r="A42" s="19" t="str">
        <x:v>I038</x:v>
      </x:c>
      <x:c r="B42" s="19" t="str">
        <x:v>雪菜</x:v>
      </x:c>
      <x:c r="C42" s="19" t="str">
        <x:v>腌制菜</x:v>
      </x:c>
      <x:c r="D42" s="32" t="n">
        <x:v>9</x:v>
      </x:c>
      <x:c r="E42" s="19" t="str">
        <x:v>kg</x:v>
      </x:c>
      <x:c r="F42" s="19" t="str">
        <x:v>S-模拟采购价</x:v>
      </x:c>
      <x:c r="G42" s="19" t="str">
        <x:v>可编辑输入；替换后菜品成本自动更新</x:v>
      </x:c>
    </x:row>
    <x:row r="43">
      <x:c r="A43" s="19" t="str">
        <x:v>I039</x:v>
      </x:c>
      <x:c r="B43" s="19" t="str">
        <x:v>青豆</x:v>
      </x:c>
      <x:c r="C43" s="19" t="str">
        <x:v>蔬菜</x:v>
      </x:c>
      <x:c r="D43" s="32" t="n">
        <x:v>14</x:v>
      </x:c>
      <x:c r="E43" s="19" t="str">
        <x:v>kg</x:v>
      </x:c>
      <x:c r="F43" s="19" t="str">
        <x:v>S-模拟采购价</x:v>
      </x:c>
      <x:c r="G43" s="19" t="str">
        <x:v>可编辑输入；替换后菜品成本自动更新</x:v>
      </x:c>
    </x:row>
    <x:row r="44">
      <x:c r="A44" s="19" t="str">
        <x:v>I040</x:v>
      </x:c>
      <x:c r="B44" s="19" t="str">
        <x:v>洋葱</x:v>
      </x:c>
      <x:c r="C44" s="19" t="str">
        <x:v>蔬菜</x:v>
      </x:c>
      <x:c r="D44" s="32" t="n">
        <x:v>4</x:v>
      </x:c>
      <x:c r="E44" s="19" t="str">
        <x:v>kg</x:v>
      </x:c>
      <x:c r="F44" s="19" t="str">
        <x:v>S-模拟采购价</x:v>
      </x:c>
      <x:c r="G44" s="19" t="str">
        <x:v>可编辑输入；替换后菜品成本自动更新</x:v>
      </x:c>
    </x:row>
    <x:row r="45">
      <x:c r="A45" s="19" t="str">
        <x:v>I041</x:v>
      </x:c>
      <x:c r="B45" s="19" t="str">
        <x:v>干辣椒</x:v>
      </x:c>
      <x:c r="C45" s="19" t="str">
        <x:v>干货</x:v>
      </x:c>
      <x:c r="D45" s="32" t="n">
        <x:v>24</x:v>
      </x:c>
      <x:c r="E45" s="19" t="str">
        <x:v>kg</x:v>
      </x:c>
      <x:c r="F45" s="19" t="str">
        <x:v>S-模拟采购价</x:v>
      </x:c>
      <x:c r="G45" s="19" t="str">
        <x:v>可编辑输入；替换后菜品成本自动更新</x:v>
      </x:c>
    </x:row>
    <x:row r="46">
      <x:c r="A46" s="19" t="str">
        <x:v>I042</x:v>
      </x:c>
      <x:c r="B46" s="19" t="str">
        <x:v>豆瓣酱</x:v>
      </x:c>
      <x:c r="C46" s="19" t="str">
        <x:v>调味品</x:v>
      </x:c>
      <x:c r="D46" s="32" t="n">
        <x:v>12</x:v>
      </x:c>
      <x:c r="E46" s="19" t="str">
        <x:v>kg</x:v>
      </x:c>
      <x:c r="F46" s="19" t="str">
        <x:v>S-模拟采购价</x:v>
      </x:c>
      <x:c r="G46" s="19" t="str">
        <x:v>可编辑输入；替换后菜品成本自动更新</x:v>
      </x:c>
    </x:row>
    <x:row r="47">
      <x:c r="A47" s="19" t="str">
        <x:v>I043</x:v>
      </x:c>
      <x:c r="B47" s="19" t="str">
        <x:v>淀粉</x:v>
      </x:c>
      <x:c r="C47" s="19" t="str">
        <x:v>调味品</x:v>
      </x:c>
      <x:c r="D47" s="32" t="n">
        <x:v>7</x:v>
      </x:c>
      <x:c r="E47" s="19" t="str">
        <x:v>kg</x:v>
      </x:c>
      <x:c r="F47" s="19" t="str">
        <x:v>S-模拟采购价</x:v>
      </x:c>
      <x:c r="G47" s="19" t="str">
        <x:v>可编辑输入；替换后菜品成本自动更新</x:v>
      </x:c>
    </x:row>
    <x:row r="48">
      <x:c r="A48" s="19" t="str">
        <x:v>I044</x:v>
      </x:c>
      <x:c r="B48" s="19" t="str">
        <x:v>色拉油</x:v>
      </x:c>
      <x:c r="C48" s="19" t="str">
        <x:v>油脂</x:v>
      </x:c>
      <x:c r="D48" s="32" t="n">
        <x:v>10</x:v>
      </x:c>
      <x:c r="E48" s="19" t="str">
        <x:v>kg</x:v>
      </x:c>
      <x:c r="F48" s="19" t="str">
        <x:v>S-模拟采购价</x:v>
      </x:c>
      <x:c r="G48" s="19" t="str">
        <x:v>可编辑输入；替换后菜品成本自动更新</x:v>
      </x:c>
    </x:row>
    <x:row r="49">
      <x:c r="A49" s="19" t="str">
        <x:v>I045</x:v>
      </x:c>
      <x:c r="B49" s="19" t="str">
        <x:v>花生油</x:v>
      </x:c>
      <x:c r="C49" s="19" t="str">
        <x:v>油脂</x:v>
      </x:c>
      <x:c r="D49" s="32" t="n">
        <x:v>13</x:v>
      </x:c>
      <x:c r="E49" s="19" t="str">
        <x:v>kg</x:v>
      </x:c>
      <x:c r="F49" s="19" t="str">
        <x:v>S-模拟采购价</x:v>
      </x:c>
      <x:c r="G49" s="19" t="str">
        <x:v>可编辑输入；替换后菜品成本自动更新</x:v>
      </x:c>
    </x:row>
    <x:row r="50">
      <x:c r="A50" s="19" t="str">
        <x:v>I046</x:v>
      </x:c>
      <x:c r="B50" s="19" t="str">
        <x:v>猪油</x:v>
      </x:c>
      <x:c r="C50" s="19" t="str">
        <x:v>油脂</x:v>
      </x:c>
      <x:c r="D50" s="32" t="n">
        <x:v>14</x:v>
      </x:c>
      <x:c r="E50" s="19" t="str">
        <x:v>kg</x:v>
      </x:c>
      <x:c r="F50" s="19" t="str">
        <x:v>S-模拟采购价</x:v>
      </x:c>
      <x:c r="G50" s="19" t="str">
        <x:v>可编辑输入；替换后菜品成本自动更新</x:v>
      </x:c>
    </x:row>
    <x:row r="51">
      <x:c r="A51" s="19" t="str">
        <x:v>I047</x:v>
      </x:c>
      <x:c r="B51" s="19" t="str">
        <x:v>精盐</x:v>
      </x:c>
      <x:c r="C51" s="19" t="str">
        <x:v>调味品</x:v>
      </x:c>
      <x:c r="D51" s="32" t="n">
        <x:v>2</x:v>
      </x:c>
      <x:c r="E51" s="19" t="str">
        <x:v>kg</x:v>
      </x:c>
      <x:c r="F51" s="19" t="str">
        <x:v>S-模拟采购价</x:v>
      </x:c>
      <x:c r="G51" s="19" t="str">
        <x:v>可编辑输入；替换后菜品成本自动更新</x:v>
      </x:c>
    </x:row>
    <x:row r="52">
      <x:c r="A52" s="19" t="str">
        <x:v>I048</x:v>
      </x:c>
      <x:c r="B52" s="19" t="str">
        <x:v>生抽</x:v>
      </x:c>
      <x:c r="C52" s="19" t="str">
        <x:v>调味品</x:v>
      </x:c>
      <x:c r="D52" s="32" t="n">
        <x:v>6</x:v>
      </x:c>
      <x:c r="E52" s="19" t="str">
        <x:v>kg</x:v>
      </x:c>
      <x:c r="F52" s="19" t="str">
        <x:v>S-模拟采购价</x:v>
      </x:c>
      <x:c r="G52" s="19" t="str">
        <x:v>可编辑输入；替换后菜品成本自动更新</x:v>
      </x:c>
    </x:row>
    <x:row r="53">
      <x:c r="A53" s="19" t="str">
        <x:v>I049</x:v>
      </x:c>
      <x:c r="B53" s="19" t="str">
        <x:v>老抽</x:v>
      </x:c>
      <x:c r="C53" s="19" t="str">
        <x:v>调味品</x:v>
      </x:c>
      <x:c r="D53" s="32" t="n">
        <x:v>7</x:v>
      </x:c>
      <x:c r="E53" s="19" t="str">
        <x:v>kg</x:v>
      </x:c>
      <x:c r="F53" s="19" t="str">
        <x:v>S-模拟采购价</x:v>
      </x:c>
      <x:c r="G53" s="19" t="str">
        <x:v>可编辑输入；替换后菜品成本自动更新</x:v>
      </x:c>
    </x:row>
    <x:row r="54">
      <x:c r="A54" s="19" t="str">
        <x:v>I050</x:v>
      </x:c>
      <x:c r="B54" s="19" t="str">
        <x:v>蚝油</x:v>
      </x:c>
      <x:c r="C54" s="19" t="str">
        <x:v>调味品</x:v>
      </x:c>
      <x:c r="D54" s="32" t="n">
        <x:v>8</x:v>
      </x:c>
      <x:c r="E54" s="19" t="str">
        <x:v>kg</x:v>
      </x:c>
      <x:c r="F54" s="19" t="str">
        <x:v>S-模拟采购价</x:v>
      </x:c>
      <x:c r="G54" s="19" t="str">
        <x:v>可编辑输入；替换后菜品成本自动更新</x:v>
      </x:c>
    </x:row>
    <x:row r="55">
      <x:c r="A55" s="19" t="str">
        <x:v>I051</x:v>
      </x:c>
      <x:c r="B55" s="19" t="str">
        <x:v>鸡精</x:v>
      </x:c>
      <x:c r="C55" s="19" t="str">
        <x:v>调味品</x:v>
      </x:c>
      <x:c r="D55" s="32" t="n">
        <x:v>18</x:v>
      </x:c>
      <x:c r="E55" s="19" t="str">
        <x:v>kg</x:v>
      </x:c>
      <x:c r="F55" s="19" t="str">
        <x:v>S-模拟采购价</x:v>
      </x:c>
      <x:c r="G55" s="19" t="str">
        <x:v>可编辑输入；替换后菜品成本自动更新</x:v>
      </x:c>
    </x:row>
    <x:row r="56">
      <x:c r="A56" s="19" t="str">
        <x:v>I052</x:v>
      </x:c>
      <x:c r="B56" s="19" t="str">
        <x:v>白砂糖</x:v>
      </x:c>
      <x:c r="C56" s="19" t="str">
        <x:v>调味品</x:v>
      </x:c>
      <x:c r="D56" s="32" t="n">
        <x:v>7</x:v>
      </x:c>
      <x:c r="E56" s="19" t="str">
        <x:v>kg</x:v>
      </x:c>
      <x:c r="F56" s="19" t="str">
        <x:v>S-模拟采购价</x:v>
      </x:c>
      <x:c r="G56" s="19" t="str">
        <x:v>可编辑输入；替换后菜品成本自动更新</x:v>
      </x:c>
    </x:row>
    <x:row r="57">
      <x:c r="A57" s="19" t="str">
        <x:v>I053</x:v>
      </x:c>
      <x:c r="B57" s="19" t="str">
        <x:v>水</x:v>
      </x:c>
      <x:c r="C57" s="19" t="str">
        <x:v>调味品</x:v>
      </x:c>
      <x:c r="D57" s="32" t="n">
        <x:v>0.01</x:v>
      </x:c>
      <x:c r="E57" s="19" t="str">
        <x:v>kg</x:v>
      </x:c>
      <x:c r="F57" s="19" t="str">
        <x:v>S-水费近似</x:v>
      </x:c>
      <x:c r="G57" s="19" t="str">
        <x:v>可编辑输入；替换后菜品成本自动更新</x:v>
      </x:c>
    </x:row>
    <x:row r="58">
      <x:c r="A58" s="19" t="str">
        <x:v>I054</x:v>
      </x:c>
      <x:c r="B58" s="19" t="str">
        <x:v>香醋</x:v>
      </x:c>
      <x:c r="C58" s="19" t="str">
        <x:v>调味品</x:v>
      </x:c>
      <x:c r="D58" s="32" t="n">
        <x:v>7</x:v>
      </x:c>
      <x:c r="E58" s="19" t="str">
        <x:v>kg</x:v>
      </x:c>
      <x:c r="F58" s="19" t="str">
        <x:v>S-模拟采购价</x:v>
      </x:c>
      <x:c r="G58" s="19" t="str">
        <x:v>可编辑输入；替换后菜品成本自动更新</x:v>
      </x:c>
    </x:row>
    <x:row r="59">
      <x:c r="A59" s="19" t="str">
        <x:v>I055</x:v>
      </x:c>
      <x:c r="B59" s="19" t="str">
        <x:v>蒸鱼豉油</x:v>
      </x:c>
      <x:c r="C59" s="19" t="str">
        <x:v>调味品</x:v>
      </x:c>
      <x:c r="D59" s="32" t="n">
        <x:v>10</x:v>
      </x:c>
      <x:c r="E59" s="19" t="str">
        <x:v>kg</x:v>
      </x:c>
      <x:c r="F59" s="19" t="str">
        <x:v>S-模拟采购价</x:v>
      </x:c>
      <x:c r="G59" s="19" t="str">
        <x:v>可编辑输入；替换后菜品成本自动更新</x:v>
      </x:c>
    </x:row>
    <x:row r="60">
      <x:c r="A60" s="19" t="str">
        <x:v>I056</x:v>
      </x:c>
      <x:c r="B60" s="19" t="str">
        <x:v>辣椒油</x:v>
      </x:c>
      <x:c r="C60" s="19" t="str">
        <x:v>调味品</x:v>
      </x:c>
      <x:c r="D60" s="32" t="n">
        <x:v>14</x:v>
      </x:c>
      <x:c r="E60" s="19" t="str">
        <x:v>kg</x:v>
      </x:c>
      <x:c r="F60" s="19" t="str">
        <x:v>S-模拟采购价</x:v>
      </x:c>
      <x:c r="G60" s="19" t="str">
        <x:v>可编辑输入；替换后菜品成本自动更新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f8868903a2e43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4" hidden="0" customWidth="1"/>
    <x:col min="10" max="10" width="10" hidden="0" customWidth="1"/>
    <x:col min="11" max="11" width="36" hidden="0" customWidth="1"/>
  </x:cols>
  <x:sheetData>
    <x:row r="1" ht="34" customHeight="1">
      <x:c r="A1" s="3" t="str">
        <x:v>菜谱BOM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D01/D02/D10来自炒菜机截图；农家一碗香蚝油克重被遮挡，暂按6g模拟；其余菜品为估算BOM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12" t="str">
        <x:v>菜品ID</x:v>
      </x:c>
      <x:c r="B4" s="12" t="str">
        <x:v>菜品</x:v>
      </x:c>
      <x:c r="C4" s="12" t="str">
        <x:v>类型</x:v>
      </x:c>
      <x:c r="D4" s="12" t="str">
        <x:v>食材ID</x:v>
      </x:c>
      <x:c r="E4" s="12" t="str">
        <x:v>食材/调料</x:v>
      </x:c>
      <x:c r="F4" s="12" t="str">
        <x:v>单份标准克重(g)</x:v>
      </x:c>
      <x:c r="G4" s="12" t="str">
        <x:v>采购价(元/kg)</x:v>
      </x:c>
      <x:c r="H4" s="12" t="str">
        <x:v>单份成本(元)</x:v>
      </x:c>
      <x:c r="I4" s="12" t="str">
        <x:v>来源类型</x:v>
      </x:c>
      <x:c r="J4" s="12" t="str">
        <x:v>可信度</x:v>
      </x:c>
      <x:c r="K4" s="12" t="str">
        <x:v>来源说明</x:v>
      </x:c>
    </x:row>
    <x:row r="5">
      <x:c r="A5" s="19" t="str">
        <x:v>D01</x:v>
      </x:c>
      <x:c r="B5" s="19" t="str">
        <x:v>辣椒炒肉</x:v>
      </x:c>
      <x:c r="C5" s="19" t="str">
        <x:v>食材</x:v>
      </x:c>
      <x:c r="D5" s="19" t="str">
        <x:v>I001</x:v>
      </x:c>
      <x:c r="E5" s="19" t="str">
        <x:v>肥肉片</x:v>
      </x:c>
      <x:c r="F5" s="33" t="n">
        <x:v>50</x:v>
      </x:c>
      <x:c r="G5" s="24" t="n">
        <x:f>XLOOKUP(D5,'食材采购价'!$A$5:$A$60,'食材采购价'!$D$5:$D$60,0)</x:f>
        <x:v>18</x:v>
      </x:c>
      <x:c r="H5" s="24" t="n">
        <x:f>F5/1000*G5</x:f>
        <x:v>0.9</x:v>
      </x:c>
      <x:c r="I5" s="19" t="str">
        <x:v>F-炒菜机截图</x:v>
      </x:c>
      <x:c r="J5" s="19" t="str">
        <x:v>高</x:v>
      </x:c>
      <x:c r="K5" s="19" t="str">
        <x:v>F-炒菜机截图</x:v>
      </x:c>
    </x:row>
    <x:row r="6">
      <x:c r="A6" s="19" t="str">
        <x:v>D01</x:v>
      </x:c>
      <x:c r="B6" s="19" t="str">
        <x:v>辣椒炒肉</x:v>
      </x:c>
      <x:c r="C6" s="19" t="str">
        <x:v>食材</x:v>
      </x:c>
      <x:c r="D6" s="19" t="str">
        <x:v>I019</x:v>
      </x:c>
      <x:c r="E6" s="19" t="str">
        <x:v>拍蒜粒</x:v>
      </x:c>
      <x:c r="F6" s="33" t="n">
        <x:v>50</x:v>
      </x:c>
      <x:c r="G6" s="24" t="n">
        <x:f>XLOOKUP(D6,'食材采购价'!$A$5:$A$60,'食材采购价'!$D$5:$D$60,0)</x:f>
        <x:v>10</x:v>
      </x:c>
      <x:c r="H6" s="24" t="n">
        <x:f>F6/1000*G6</x:f>
        <x:v>0.5</x:v>
      </x:c>
      <x:c r="I6" s="19" t="str">
        <x:v>F-炒菜机截图</x:v>
      </x:c>
      <x:c r="J6" s="19" t="str">
        <x:v>高</x:v>
      </x:c>
      <x:c r="K6" s="19" t="str">
        <x:v>F-炒菜机截图</x:v>
      </x:c>
    </x:row>
    <x:row r="7">
      <x:c r="A7" s="19" t="str">
        <x:v>D01</x:v>
      </x:c>
      <x:c r="B7" s="19" t="str">
        <x:v>辣椒炒肉</x:v>
      </x:c>
      <x:c r="C7" s="19" t="str">
        <x:v>食材</x:v>
      </x:c>
      <x:c r="D7" s="19" t="str">
        <x:v>I012</x:v>
      </x:c>
      <x:c r="E7" s="19" t="str">
        <x:v>螺丝椒</x:v>
      </x:c>
      <x:c r="F7" s="33" t="n">
        <x:v>250</x:v>
      </x:c>
      <x:c r="G7" s="24" t="n">
        <x:f>XLOOKUP(D7,'食材采购价'!$A$5:$A$60,'食材采购价'!$D$5:$D$60,0)</x:f>
        <x:v>8</x:v>
      </x:c>
      <x:c r="H7" s="24" t="n">
        <x:f>F7/1000*G7</x:f>
        <x:v>2</x:v>
      </x:c>
      <x:c r="I7" s="19" t="str">
        <x:v>F-炒菜机截图</x:v>
      </x:c>
      <x:c r="J7" s="19" t="str">
        <x:v>高</x:v>
      </x:c>
      <x:c r="K7" s="19" t="str">
        <x:v>F-炒菜机截图</x:v>
      </x:c>
    </x:row>
    <x:row r="8">
      <x:c r="A8" s="19" t="str">
        <x:v>D01</x:v>
      </x:c>
      <x:c r="B8" s="19" t="str">
        <x:v>辣椒炒肉</x:v>
      </x:c>
      <x:c r="C8" s="19" t="str">
        <x:v>食材</x:v>
      </x:c>
      <x:c r="D8" s="19" t="str">
        <x:v>I002</x:v>
      </x:c>
      <x:c r="E8" s="19" t="str">
        <x:v>瘦肉片</x:v>
      </x:c>
      <x:c r="F8" s="33" t="n">
        <x:v>150</x:v>
      </x:c>
      <x:c r="G8" s="24" t="n">
        <x:f>XLOOKUP(D8,'食材采购价'!$A$5:$A$60,'食材采购价'!$D$5:$D$60,0)</x:f>
        <x:v>28</x:v>
      </x:c>
      <x:c r="H8" s="24" t="n">
        <x:f>F8/1000*G8</x:f>
        <x:v>4.2</x:v>
      </x:c>
      <x:c r="I8" s="19" t="str">
        <x:v>F-炒菜机截图</x:v>
      </x:c>
      <x:c r="J8" s="19" t="str">
        <x:v>高</x:v>
      </x:c>
      <x:c r="K8" s="19" t="str">
        <x:v>F-炒菜机截图</x:v>
      </x:c>
    </x:row>
    <x:row r="9">
      <x:c r="A9" s="19" t="str">
        <x:v>D01</x:v>
      </x:c>
      <x:c r="B9" s="19" t="str">
        <x:v>辣椒炒肉</x:v>
      </x:c>
      <x:c r="C9" s="19" t="str">
        <x:v>食材</x:v>
      </x:c>
      <x:c r="D9" s="19" t="str">
        <x:v>I021</x:v>
      </x:c>
      <x:c r="E9" s="19" t="str">
        <x:v>白木耳</x:v>
      </x:c>
      <x:c r="F9" s="33" t="n">
        <x:v>50</x:v>
      </x:c>
      <x:c r="G9" s="24" t="n">
        <x:f>XLOOKUP(D9,'食材采购价'!$A$5:$A$60,'食材采购价'!$D$5:$D$60,0)</x:f>
        <x:v>9</x:v>
      </x:c>
      <x:c r="H9" s="24" t="n">
        <x:f>F9/1000*G9</x:f>
        <x:v>0.45</x:v>
      </x:c>
      <x:c r="I9" s="19" t="str">
        <x:v>F-炒菜机截图</x:v>
      </x:c>
      <x:c r="J9" s="19" t="str">
        <x:v>高</x:v>
      </x:c>
      <x:c r="K9" s="19" t="str">
        <x:v>F-炒菜机截图</x:v>
      </x:c>
    </x:row>
    <x:row r="10">
      <x:c r="A10" s="19" t="str">
        <x:v>D01</x:v>
      </x:c>
      <x:c r="B10" s="19" t="str">
        <x:v>辣椒炒肉</x:v>
      </x:c>
      <x:c r="C10" s="19" t="str">
        <x:v>调料</x:v>
      </x:c>
      <x:c r="D10" s="19" t="str">
        <x:v>I044</x:v>
      </x:c>
      <x:c r="E10" s="19" t="str">
        <x:v>色拉油</x:v>
      </x:c>
      <x:c r="F10" s="33" t="n">
        <x:v>40</x:v>
      </x:c>
      <x:c r="G10" s="24" t="n">
        <x:f>XLOOKUP(D10,'食材采购价'!$A$5:$A$60,'食材采购价'!$D$5:$D$60,0)</x:f>
        <x:v>10</x:v>
      </x:c>
      <x:c r="H10" s="24" t="n">
        <x:f>F10/1000*G10</x:f>
        <x:v>0.4</x:v>
      </x:c>
      <x:c r="I10" s="19" t="str">
        <x:v>F-炒菜机截图</x:v>
      </x:c>
      <x:c r="J10" s="19" t="str">
        <x:v>高</x:v>
      </x:c>
      <x:c r="K10" s="19" t="str">
        <x:v>F-炒菜机截图</x:v>
      </x:c>
    </x:row>
    <x:row r="11">
      <x:c r="A11" s="19" t="str">
        <x:v>D01</x:v>
      </x:c>
      <x:c r="B11" s="19" t="str">
        <x:v>辣椒炒肉</x:v>
      </x:c>
      <x:c r="C11" s="19" t="str">
        <x:v>调料</x:v>
      </x:c>
      <x:c r="D11" s="19" t="str">
        <x:v>I047</x:v>
      </x:c>
      <x:c r="E11" s="19" t="str">
        <x:v>精盐</x:v>
      </x:c>
      <x:c r="F11" s="33" t="n">
        <x:v>3</x:v>
      </x:c>
      <x:c r="G11" s="24" t="n">
        <x:f>XLOOKUP(D11,'食材采购价'!$A$5:$A$60,'食材采购价'!$D$5:$D$60,0)</x:f>
        <x:v>2</x:v>
      </x:c>
      <x:c r="H11" s="24" t="n">
        <x:f>F11/1000*G11</x:f>
        <x:v>0.006</x:v>
      </x:c>
      <x:c r="I11" s="19" t="str">
        <x:v>F-炒菜机截图</x:v>
      </x:c>
      <x:c r="J11" s="19" t="str">
        <x:v>高</x:v>
      </x:c>
      <x:c r="K11" s="19" t="str">
        <x:v>F-炒菜机截图</x:v>
      </x:c>
    </x:row>
    <x:row r="12">
      <x:c r="A12" s="19" t="str">
        <x:v>D01</x:v>
      </x:c>
      <x:c r="B12" s="19" t="str">
        <x:v>辣椒炒肉</x:v>
      </x:c>
      <x:c r="C12" s="19" t="str">
        <x:v>调料</x:v>
      </x:c>
      <x:c r="D12" s="19" t="str">
        <x:v>I048</x:v>
      </x:c>
      <x:c r="E12" s="19" t="str">
        <x:v>生抽</x:v>
      </x:c>
      <x:c r="F12" s="33" t="n">
        <x:v>8</x:v>
      </x:c>
      <x:c r="G12" s="24" t="n">
        <x:f>XLOOKUP(D12,'食材采购价'!$A$5:$A$60,'食材采购价'!$D$5:$D$60,0)</x:f>
        <x:v>6</x:v>
      </x:c>
      <x:c r="H12" s="24" t="n">
        <x:f>F12/1000*G12</x:f>
        <x:v>0.048</x:v>
      </x:c>
      <x:c r="I12" s="19" t="str">
        <x:v>F-炒菜机截图</x:v>
      </x:c>
      <x:c r="J12" s="19" t="str">
        <x:v>高</x:v>
      </x:c>
      <x:c r="K12" s="19" t="str">
        <x:v>F-炒菜机截图</x:v>
      </x:c>
    </x:row>
    <x:row r="13">
      <x:c r="A13" s="19" t="str">
        <x:v>D01</x:v>
      </x:c>
      <x:c r="B13" s="19" t="str">
        <x:v>辣椒炒肉</x:v>
      </x:c>
      <x:c r="C13" s="19" t="str">
        <x:v>调料</x:v>
      </x:c>
      <x:c r="D13" s="19" t="str">
        <x:v>I050</x:v>
      </x:c>
      <x:c r="E13" s="19" t="str">
        <x:v>蚝油</x:v>
      </x:c>
      <x:c r="F13" s="33" t="n">
        <x:v>6</x:v>
      </x:c>
      <x:c r="G13" s="24" t="n">
        <x:f>XLOOKUP(D13,'食材采购价'!$A$5:$A$60,'食材采购价'!$D$5:$D$60,0)</x:f>
        <x:v>8</x:v>
      </x:c>
      <x:c r="H13" s="24" t="n">
        <x:f>F13/1000*G13</x:f>
        <x:v>0.048</x:v>
      </x:c>
      <x:c r="I13" s="19" t="str">
        <x:v>F-炒菜机截图</x:v>
      </x:c>
      <x:c r="J13" s="19" t="str">
        <x:v>高</x:v>
      </x:c>
      <x:c r="K13" s="19" t="str">
        <x:v>F-炒菜机截图</x:v>
      </x:c>
    </x:row>
    <x:row r="14">
      <x:c r="A14" s="19" t="str">
        <x:v>D01</x:v>
      </x:c>
      <x:c r="B14" s="19" t="str">
        <x:v>辣椒炒肉</x:v>
      </x:c>
      <x:c r="C14" s="19" t="str">
        <x:v>调料</x:v>
      </x:c>
      <x:c r="D14" s="19" t="str">
        <x:v>I051</x:v>
      </x:c>
      <x:c r="E14" s="19" t="str">
        <x:v>鸡精</x:v>
      </x:c>
      <x:c r="F14" s="33" t="n">
        <x:v>3</x:v>
      </x:c>
      <x:c r="G14" s="24" t="n">
        <x:f>XLOOKUP(D14,'食材采购价'!$A$5:$A$60,'食材采购价'!$D$5:$D$60,0)</x:f>
        <x:v>18</x:v>
      </x:c>
      <x:c r="H14" s="24" t="n">
        <x:f>F14/1000*G14</x:f>
        <x:v>0.054</x:v>
      </x:c>
      <x:c r="I14" s="19" t="str">
        <x:v>F-炒菜机截图</x:v>
      </x:c>
      <x:c r="J14" s="19" t="str">
        <x:v>高</x:v>
      </x:c>
      <x:c r="K14" s="19" t="str">
        <x:v>F-炒菜机截图</x:v>
      </x:c>
    </x:row>
    <x:row r="15">
      <x:c r="A15" s="19" t="str">
        <x:v>D01</x:v>
      </x:c>
      <x:c r="B15" s="19" t="str">
        <x:v>辣椒炒肉</x:v>
      </x:c>
      <x:c r="C15" s="19" t="str">
        <x:v>调料</x:v>
      </x:c>
      <x:c r="D15" s="19" t="str">
        <x:v>I052</x:v>
      </x:c>
      <x:c r="E15" s="19" t="str">
        <x:v>白砂糖</x:v>
      </x:c>
      <x:c r="F15" s="33" t="n">
        <x:v>3</x:v>
      </x:c>
      <x:c r="G15" s="24" t="n">
        <x:f>XLOOKUP(D15,'食材采购价'!$A$5:$A$60,'食材采购价'!$D$5:$D$60,0)</x:f>
        <x:v>7</x:v>
      </x:c>
      <x:c r="H15" s="24" t="n">
        <x:f>F15/1000*G15</x:f>
        <x:v>0.021</x:v>
      </x:c>
      <x:c r="I15" s="19" t="str">
        <x:v>F-炒菜机截图</x:v>
      </x:c>
      <x:c r="J15" s="19" t="str">
        <x:v>高</x:v>
      </x:c>
      <x:c r="K15" s="19" t="str">
        <x:v>F-炒菜机截图</x:v>
      </x:c>
    </x:row>
    <x:row r="16">
      <x:c r="A16" s="19" t="str">
        <x:v>D01</x:v>
      </x:c>
      <x:c r="B16" s="19" t="str">
        <x:v>辣椒炒肉</x:v>
      </x:c>
      <x:c r="C16" s="19" t="str">
        <x:v>调料</x:v>
      </x:c>
      <x:c r="D16" s="19" t="str">
        <x:v>I053</x:v>
      </x:c>
      <x:c r="E16" s="19" t="str">
        <x:v>水</x:v>
      </x:c>
      <x:c r="F16" s="33" t="n">
        <x:v>40</x:v>
      </x:c>
      <x:c r="G16" s="24" t="n">
        <x:f>XLOOKUP(D16,'食材采购价'!$A$5:$A$60,'食材采购价'!$D$5:$D$60,0)</x:f>
        <x:v>0.01</x:v>
      </x:c>
      <x:c r="H16" s="24" t="n">
        <x:f>F16/1000*G16</x:f>
        <x:v>0.0004</x:v>
      </x:c>
      <x:c r="I16" s="19" t="str">
        <x:v>F-炒菜机截图</x:v>
      </x:c>
      <x:c r="J16" s="19" t="str">
        <x:v>高</x:v>
      </x:c>
      <x:c r="K16" s="19" t="str">
        <x:v>F-炒菜机截图</x:v>
      </x:c>
    </x:row>
    <x:row r="17">
      <x:c r="A17" s="19" t="str">
        <x:v>D01</x:v>
      </x:c>
      <x:c r="B17" s="19" t="str">
        <x:v>辣椒炒肉</x:v>
      </x:c>
      <x:c r="C17" s="19" t="str">
        <x:v>调料</x:v>
      </x:c>
      <x:c r="D17" s="19" t="str">
        <x:v>I049</x:v>
      </x:c>
      <x:c r="E17" s="19" t="str">
        <x:v>老抽</x:v>
      </x:c>
      <x:c r="F17" s="33" t="n">
        <x:v>1</x:v>
      </x:c>
      <x:c r="G17" s="24" t="n">
        <x:f>XLOOKUP(D17,'食材采购价'!$A$5:$A$60,'食材采购价'!$D$5:$D$60,0)</x:f>
        <x:v>7</x:v>
      </x:c>
      <x:c r="H17" s="24" t="n">
        <x:f>F17/1000*G17</x:f>
        <x:v>0.007</x:v>
      </x:c>
      <x:c r="I17" s="19" t="str">
        <x:v>F-炒菜机截图</x:v>
      </x:c>
      <x:c r="J17" s="19" t="str">
        <x:v>高</x:v>
      </x:c>
      <x:c r="K17" s="19" t="str">
        <x:v>F-炒菜机截图</x:v>
      </x:c>
    </x:row>
    <x:row r="18">
      <x:c r="A18" s="19" t="str">
        <x:v>D02</x:v>
      </x:c>
      <x:c r="B18" s="19" t="str">
        <x:v>小炒黄牛肉</x:v>
      </x:c>
      <x:c r="C18" s="19" t="str">
        <x:v>食材</x:v>
      </x:c>
      <x:c r="D18" s="19" t="str">
        <x:v>I019</x:v>
      </x:c>
      <x:c r="E18" s="19" t="str">
        <x:v>拍蒜粒</x:v>
      </x:c>
      <x:c r="F18" s="33" t="n">
        <x:v>50</x:v>
      </x:c>
      <x:c r="G18" s="24" t="n">
        <x:f>XLOOKUP(D18,'食材采购价'!$A$5:$A$60,'食材采购价'!$D$5:$D$60,0)</x:f>
        <x:v>10</x:v>
      </x:c>
      <x:c r="H18" s="24" t="n">
        <x:f>F18/1000*G18</x:f>
        <x:v>0.5</x:v>
      </x:c>
      <x:c r="I18" s="19" t="str">
        <x:v>F-炒菜机截图</x:v>
      </x:c>
      <x:c r="J18" s="19" t="str">
        <x:v>高</x:v>
      </x:c>
      <x:c r="K18" s="19" t="str">
        <x:v>F-炒菜机截图</x:v>
      </x:c>
    </x:row>
    <x:row r="19">
      <x:c r="A19" s="19" t="str">
        <x:v>D02</x:v>
      </x:c>
      <x:c r="B19" s="19" t="str">
        <x:v>小炒黄牛肉</x:v>
      </x:c>
      <x:c r="C19" s="19" t="str">
        <x:v>食材</x:v>
      </x:c>
      <x:c r="D19" s="19" t="str">
        <x:v>I015</x:v>
      </x:c>
      <x:c r="E19" s="19" t="str">
        <x:v>红小米椒粒</x:v>
      </x:c>
      <x:c r="F19" s="33" t="n">
        <x:v>30</x:v>
      </x:c>
      <x:c r="G19" s="24" t="n">
        <x:f>XLOOKUP(D19,'食材采购价'!$A$5:$A$60,'食材采购价'!$D$5:$D$60,0)</x:f>
        <x:v>16</x:v>
      </x:c>
      <x:c r="H19" s="24" t="n">
        <x:f>F19/1000*G19</x:f>
        <x:v>0.48</x:v>
      </x:c>
      <x:c r="I19" s="19" t="str">
        <x:v>F-炒菜机截图</x:v>
      </x:c>
      <x:c r="J19" s="19" t="str">
        <x:v>高</x:v>
      </x:c>
      <x:c r="K19" s="19" t="str">
        <x:v>F-炒菜机截图</x:v>
      </x:c>
    </x:row>
    <x:row r="20">
      <x:c r="A20" s="19" t="str">
        <x:v>D02</x:v>
      </x:c>
      <x:c r="B20" s="19" t="str">
        <x:v>小炒黄牛肉</x:v>
      </x:c>
      <x:c r="C20" s="19" t="str">
        <x:v>食材</x:v>
      </x:c>
      <x:c r="D20" s="19" t="str">
        <x:v>I016</x:v>
      </x:c>
      <x:c r="E20" s="19" t="str">
        <x:v>美人椒粒</x:v>
      </x:c>
      <x:c r="F20" s="33" t="n">
        <x:v>100</x:v>
      </x:c>
      <x:c r="G20" s="24" t="n">
        <x:f>XLOOKUP(D20,'食材采购价'!$A$5:$A$60,'食材采购价'!$D$5:$D$60,0)</x:f>
        <x:v>13</x:v>
      </x:c>
      <x:c r="H20" s="24" t="n">
        <x:f>F20/1000*G20</x:f>
        <x:v>1.3</x:v>
      </x:c>
      <x:c r="I20" s="19" t="str">
        <x:v>F-炒菜机截图</x:v>
      </x:c>
      <x:c r="J20" s="19" t="str">
        <x:v>高</x:v>
      </x:c>
      <x:c r="K20" s="19" t="str">
        <x:v>F-炒菜机截图</x:v>
      </x:c>
    </x:row>
    <x:row r="21">
      <x:c r="A21" s="19" t="str">
        <x:v>D02</x:v>
      </x:c>
      <x:c r="B21" s="19" t="str">
        <x:v>小炒黄牛肉</x:v>
      </x:c>
      <x:c r="C21" s="19" t="str">
        <x:v>食材</x:v>
      </x:c>
      <x:c r="D21" s="19" t="str">
        <x:v>I003</x:v>
      </x:c>
      <x:c r="E21" s="19" t="str">
        <x:v>牛肉片</x:v>
      </x:c>
      <x:c r="F21" s="33" t="n">
        <x:v>250</x:v>
      </x:c>
      <x:c r="G21" s="24" t="n">
        <x:f>XLOOKUP(D21,'食材采购价'!$A$5:$A$60,'食材采购价'!$D$5:$D$60,0)</x:f>
        <x:v>52</x:v>
      </x:c>
      <x:c r="H21" s="24" t="n">
        <x:f>F21/1000*G21</x:f>
        <x:v>13</x:v>
      </x:c>
      <x:c r="I21" s="19" t="str">
        <x:v>F-炒菜机截图</x:v>
      </x:c>
      <x:c r="J21" s="19" t="str">
        <x:v>高</x:v>
      </x:c>
      <x:c r="K21" s="19" t="str">
        <x:v>F-炒菜机截图</x:v>
      </x:c>
    </x:row>
    <x:row r="22">
      <x:c r="A22" s="19" t="str">
        <x:v>D02</x:v>
      </x:c>
      <x:c r="B22" s="19" t="str">
        <x:v>小炒黄牛肉</x:v>
      </x:c>
      <x:c r="C22" s="19" t="str">
        <x:v>食材</x:v>
      </x:c>
      <x:c r="D22" s="19" t="str">
        <x:v>I017</x:v>
      </x:c>
      <x:c r="E22" s="19" t="str">
        <x:v>泡野山椒粒</x:v>
      </x:c>
      <x:c r="F22" s="33" t="n">
        <x:v>30</x:v>
      </x:c>
      <x:c r="G22" s="24" t="n">
        <x:f>XLOOKUP(D22,'食材采购价'!$A$5:$A$60,'食材采购价'!$D$5:$D$60,0)</x:f>
        <x:v>15</x:v>
      </x:c>
      <x:c r="H22" s="24" t="n">
        <x:f>F22/1000*G22</x:f>
        <x:v>0.44999999999999996</x:v>
      </x:c>
      <x:c r="I22" s="19" t="str">
        <x:v>F-炒菜机截图</x:v>
      </x:c>
      <x:c r="J22" s="19" t="str">
        <x:v>高</x:v>
      </x:c>
      <x:c r="K22" s="19" t="str">
        <x:v>F-炒菜机截图</x:v>
      </x:c>
    </x:row>
    <x:row r="23">
      <x:c r="A23" s="19" t="str">
        <x:v>D02</x:v>
      </x:c>
      <x:c r="B23" s="19" t="str">
        <x:v>小炒黄牛肉</x:v>
      </x:c>
      <x:c r="C23" s="19" t="str">
        <x:v>食材</x:v>
      </x:c>
      <x:c r="D23" s="19" t="str">
        <x:v>I018</x:v>
      </x:c>
      <x:c r="E23" s="19" t="str">
        <x:v>芹菜段</x:v>
      </x:c>
      <x:c r="F23" s="33" t="n">
        <x:v>100</x:v>
      </x:c>
      <x:c r="G23" s="24" t="n">
        <x:f>XLOOKUP(D23,'食材采购价'!$A$5:$A$60,'食材采购价'!$D$5:$D$60,0)</x:f>
        <x:v>6</x:v>
      </x:c>
      <x:c r="H23" s="24" t="n">
        <x:f>F23/1000*G23</x:f>
        <x:v>0.6000000000000001</x:v>
      </x:c>
      <x:c r="I23" s="19" t="str">
        <x:v>F-炒菜机截图</x:v>
      </x:c>
      <x:c r="J23" s="19" t="str">
        <x:v>高</x:v>
      </x:c>
      <x:c r="K23" s="19" t="str">
        <x:v>F-炒菜机截图</x:v>
      </x:c>
    </x:row>
    <x:row r="24">
      <x:c r="A24" s="19" t="str">
        <x:v>D02</x:v>
      </x:c>
      <x:c r="B24" s="19" t="str">
        <x:v>小炒黄牛肉</x:v>
      </x:c>
      <x:c r="C24" s="19" t="str">
        <x:v>调料</x:v>
      </x:c>
      <x:c r="D24" s="19" t="str">
        <x:v>I044</x:v>
      </x:c>
      <x:c r="E24" s="19" t="str">
        <x:v>色拉油</x:v>
      </x:c>
      <x:c r="F24" s="33" t="n">
        <x:v>100</x:v>
      </x:c>
      <x:c r="G24" s="24" t="n">
        <x:f>XLOOKUP(D24,'食材采购价'!$A$5:$A$60,'食材采购价'!$D$5:$D$60,0)</x:f>
        <x:v>10</x:v>
      </x:c>
      <x:c r="H24" s="24" t="n">
        <x:f>F24/1000*G24</x:f>
        <x:v>1</x:v>
      </x:c>
      <x:c r="I24" s="19" t="str">
        <x:v>F-炒菜机截图</x:v>
      </x:c>
      <x:c r="J24" s="19" t="str">
        <x:v>高</x:v>
      </x:c>
      <x:c r="K24" s="19" t="str">
        <x:v>F-炒菜机截图</x:v>
      </x:c>
    </x:row>
    <x:row r="25">
      <x:c r="A25" s="19" t="str">
        <x:v>D02</x:v>
      </x:c>
      <x:c r="B25" s="19" t="str">
        <x:v>小炒黄牛肉</x:v>
      </x:c>
      <x:c r="C25" s="19" t="str">
        <x:v>调料</x:v>
      </x:c>
      <x:c r="D25" s="19" t="str">
        <x:v>I047</x:v>
      </x:c>
      <x:c r="E25" s="19" t="str">
        <x:v>精盐</x:v>
      </x:c>
      <x:c r="F25" s="33" t="n">
        <x:v>2</x:v>
      </x:c>
      <x:c r="G25" s="24" t="n">
        <x:f>XLOOKUP(D25,'食材采购价'!$A$5:$A$60,'食材采购价'!$D$5:$D$60,0)</x:f>
        <x:v>2</x:v>
      </x:c>
      <x:c r="H25" s="24" t="n">
        <x:f>F25/1000*G25</x:f>
        <x:v>0.004</x:v>
      </x:c>
      <x:c r="I25" s="19" t="str">
        <x:v>F-炒菜机截图</x:v>
      </x:c>
      <x:c r="J25" s="19" t="str">
        <x:v>高</x:v>
      </x:c>
      <x:c r="K25" s="19" t="str">
        <x:v>F-炒菜机截图</x:v>
      </x:c>
    </x:row>
    <x:row r="26">
      <x:c r="A26" s="19" t="str">
        <x:v>D02</x:v>
      </x:c>
      <x:c r="B26" s="19" t="str">
        <x:v>小炒黄牛肉</x:v>
      </x:c>
      <x:c r="C26" s="19" t="str">
        <x:v>调料</x:v>
      </x:c>
      <x:c r="D26" s="19" t="str">
        <x:v>I051</x:v>
      </x:c>
      <x:c r="E26" s="19" t="str">
        <x:v>鸡精</x:v>
      </x:c>
      <x:c r="F26" s="33" t="n">
        <x:v>3</x:v>
      </x:c>
      <x:c r="G26" s="24" t="n">
        <x:f>XLOOKUP(D26,'食材采购价'!$A$5:$A$60,'食材采购价'!$D$5:$D$60,0)</x:f>
        <x:v>18</x:v>
      </x:c>
      <x:c r="H26" s="24" t="n">
        <x:f>F26/1000*G26</x:f>
        <x:v>0.054</x:v>
      </x:c>
      <x:c r="I26" s="19" t="str">
        <x:v>F-炒菜机截图</x:v>
      </x:c>
      <x:c r="J26" s="19" t="str">
        <x:v>高</x:v>
      </x:c>
      <x:c r="K26" s="19" t="str">
        <x:v>F-炒菜机截图</x:v>
      </x:c>
    </x:row>
    <x:row r="27">
      <x:c r="A27" s="19" t="str">
        <x:v>D02</x:v>
      </x:c>
      <x:c r="B27" s="19" t="str">
        <x:v>小炒黄牛肉</x:v>
      </x:c>
      <x:c r="C27" s="19" t="str">
        <x:v>调料</x:v>
      </x:c>
      <x:c r="D27" s="19" t="str">
        <x:v>I052</x:v>
      </x:c>
      <x:c r="E27" s="19" t="str">
        <x:v>白砂糖</x:v>
      </x:c>
      <x:c r="F27" s="33" t="n">
        <x:v>3</x:v>
      </x:c>
      <x:c r="G27" s="24" t="n">
        <x:f>XLOOKUP(D27,'食材采购价'!$A$5:$A$60,'食材采购价'!$D$5:$D$60,0)</x:f>
        <x:v>7</x:v>
      </x:c>
      <x:c r="H27" s="24" t="n">
        <x:f>F27/1000*G27</x:f>
        <x:v>0.021</x:v>
      </x:c>
      <x:c r="I27" s="19" t="str">
        <x:v>F-炒菜机截图</x:v>
      </x:c>
      <x:c r="J27" s="19" t="str">
        <x:v>高</x:v>
      </x:c>
      <x:c r="K27" s="19" t="str">
        <x:v>F-炒菜机截图</x:v>
      </x:c>
    </x:row>
    <x:row r="28">
      <x:c r="A28" s="19" t="str">
        <x:v>D02</x:v>
      </x:c>
      <x:c r="B28" s="19" t="str">
        <x:v>小炒黄牛肉</x:v>
      </x:c>
      <x:c r="C28" s="19" t="str">
        <x:v>调料</x:v>
      </x:c>
      <x:c r="D28" s="19" t="str">
        <x:v>I048</x:v>
      </x:c>
      <x:c r="E28" s="19" t="str">
        <x:v>生抽</x:v>
      </x:c>
      <x:c r="F28" s="33" t="n">
        <x:v>15</x:v>
      </x:c>
      <x:c r="G28" s="24" t="n">
        <x:f>XLOOKUP(D28,'食材采购价'!$A$5:$A$60,'食材采购价'!$D$5:$D$60,0)</x:f>
        <x:v>6</x:v>
      </x:c>
      <x:c r="H28" s="24" t="n">
        <x:f>F28/1000*G28</x:f>
        <x:v>0.09</x:v>
      </x:c>
      <x:c r="I28" s="19" t="str">
        <x:v>F-炒菜机截图</x:v>
      </x:c>
      <x:c r="J28" s="19" t="str">
        <x:v>高</x:v>
      </x:c>
      <x:c r="K28" s="19" t="str">
        <x:v>F-炒菜机截图</x:v>
      </x:c>
    </x:row>
    <x:row r="29">
      <x:c r="A29" s="19" t="str">
        <x:v>D02</x:v>
      </x:c>
      <x:c r="B29" s="19" t="str">
        <x:v>小炒黄牛肉</x:v>
      </x:c>
      <x:c r="C29" s="19" t="str">
        <x:v>调料</x:v>
      </x:c>
      <x:c r="D29" s="19" t="str">
        <x:v>I049</x:v>
      </x:c>
      <x:c r="E29" s="19" t="str">
        <x:v>老抽</x:v>
      </x:c>
      <x:c r="F29" s="33" t="n">
        <x:v>2</x:v>
      </x:c>
      <x:c r="G29" s="24" t="n">
        <x:f>XLOOKUP(D29,'食材采购价'!$A$5:$A$60,'食材采购价'!$D$5:$D$60,0)</x:f>
        <x:v>7</x:v>
      </x:c>
      <x:c r="H29" s="24" t="n">
        <x:f>F29/1000*G29</x:f>
        <x:v>0.014</x:v>
      </x:c>
      <x:c r="I29" s="19" t="str">
        <x:v>F-炒菜机截图</x:v>
      </x:c>
      <x:c r="J29" s="19" t="str">
        <x:v>高</x:v>
      </x:c>
      <x:c r="K29" s="19" t="str">
        <x:v>F-炒菜机截图</x:v>
      </x:c>
    </x:row>
    <x:row r="30">
      <x:c r="A30" s="19" t="str">
        <x:v>D02</x:v>
      </x:c>
      <x:c r="B30" s="19" t="str">
        <x:v>小炒黄牛肉</x:v>
      </x:c>
      <x:c r="C30" s="19" t="str">
        <x:v>调料</x:v>
      </x:c>
      <x:c r="D30" s="19" t="str">
        <x:v>I050</x:v>
      </x:c>
      <x:c r="E30" s="19" t="str">
        <x:v>蚝油</x:v>
      </x:c>
      <x:c r="F30" s="33" t="n">
        <x:v>8</x:v>
      </x:c>
      <x:c r="G30" s="24" t="n">
        <x:f>XLOOKUP(D30,'食材采购价'!$A$5:$A$60,'食材采购价'!$D$5:$D$60,0)</x:f>
        <x:v>8</x:v>
      </x:c>
      <x:c r="H30" s="24" t="n">
        <x:f>F30/1000*G30</x:f>
        <x:v>0.064</x:v>
      </x:c>
      <x:c r="I30" s="19" t="str">
        <x:v>F-炒菜机截图</x:v>
      </x:c>
      <x:c r="J30" s="19" t="str">
        <x:v>高</x:v>
      </x:c>
      <x:c r="K30" s="19" t="str">
        <x:v>F-炒菜机截图</x:v>
      </x:c>
    </x:row>
    <x:row r="31">
      <x:c r="A31" s="19" t="str">
        <x:v>D03</x:v>
      </x:c>
      <x:c r="B31" s="19" t="str">
        <x:v>香醋炒蛋</x:v>
      </x:c>
      <x:c r="C31" s="19" t="str">
        <x:v>食材</x:v>
      </x:c>
      <x:c r="D31" s="19" t="str">
        <x:v>I022</x:v>
      </x:c>
      <x:c r="E31" s="19" t="str">
        <x:v>鸡蛋</x:v>
      </x:c>
      <x:c r="F31" s="33" t="n">
        <x:v>300</x:v>
      </x:c>
      <x:c r="G31" s="24" t="n">
        <x:f>XLOOKUP(D31,'食材采购价'!$A$5:$A$60,'食材采购价'!$D$5:$D$60,0)</x:f>
        <x:v>11</x:v>
      </x:c>
      <x:c r="H31" s="24" t="n">
        <x:f>F31/1000*G31</x:f>
        <x:v>3.3</x:v>
      </x:c>
      <x:c r="I31" s="19" t="str">
        <x:v>S-按菜名与常见配方估算</x:v>
      </x:c>
      <x:c r="J31" s="19" t="str">
        <x:v>中</x:v>
      </x:c>
      <x:c r="K31" s="19" t="str">
        <x:v>S-按菜名与常见配方估算</x:v>
      </x:c>
    </x:row>
    <x:row r="32">
      <x:c r="A32" s="19" t="str">
        <x:v>D03</x:v>
      </x:c>
      <x:c r="B32" s="19" t="str">
        <x:v>香醋炒蛋</x:v>
      </x:c>
      <x:c r="C32" s="19" t="str">
        <x:v>调料</x:v>
      </x:c>
      <x:c r="D32" s="19" t="str">
        <x:v>I054</x:v>
      </x:c>
      <x:c r="E32" s="19" t="str">
        <x:v>香醋</x:v>
      </x:c>
      <x:c r="F32" s="33" t="n">
        <x:v>15</x:v>
      </x:c>
      <x:c r="G32" s="24" t="n">
        <x:f>XLOOKUP(D32,'食材采购价'!$A$5:$A$60,'食材采购价'!$D$5:$D$60,0)</x:f>
        <x:v>7</x:v>
      </x:c>
      <x:c r="H32" s="24" t="n">
        <x:f>F32/1000*G32</x:f>
        <x:v>0.105</x:v>
      </x:c>
      <x:c r="I32" s="19" t="str">
        <x:v>S-按菜名与常见配方估算</x:v>
      </x:c>
      <x:c r="J32" s="19" t="str">
        <x:v>中</x:v>
      </x:c>
      <x:c r="K32" s="19" t="str">
        <x:v>S-按菜名与常见配方估算</x:v>
      </x:c>
    </x:row>
    <x:row r="33">
      <x:c r="A33" s="19" t="str">
        <x:v>D03</x:v>
      </x:c>
      <x:c r="B33" s="19" t="str">
        <x:v>香醋炒蛋</x:v>
      </x:c>
      <x:c r="C33" s="19" t="str">
        <x:v>调料</x:v>
      </x:c>
      <x:c r="D33" s="19" t="str">
        <x:v>I044</x:v>
      </x:c>
      <x:c r="E33" s="19" t="str">
        <x:v>色拉油</x:v>
      </x:c>
      <x:c r="F33" s="33" t="n">
        <x:v>30</x:v>
      </x:c>
      <x:c r="G33" s="24" t="n">
        <x:f>XLOOKUP(D33,'食材采购价'!$A$5:$A$60,'食材采购价'!$D$5:$D$60,0)</x:f>
        <x:v>10</x:v>
      </x:c>
      <x:c r="H33" s="24" t="n">
        <x:f>F33/1000*G33</x:f>
        <x:v>0.3</x:v>
      </x:c>
      <x:c r="I33" s="19" t="str">
        <x:v>S-按菜名与常见配方估算</x:v>
      </x:c>
      <x:c r="J33" s="19" t="str">
        <x:v>中</x:v>
      </x:c>
      <x:c r="K33" s="19" t="str">
        <x:v>S-按菜名与常见配方估算</x:v>
      </x:c>
    </x:row>
    <x:row r="34">
      <x:c r="A34" s="19" t="str">
        <x:v>D03</x:v>
      </x:c>
      <x:c r="B34" s="19" t="str">
        <x:v>香醋炒蛋</x:v>
      </x:c>
      <x:c r="C34" s="19" t="str">
        <x:v>调料</x:v>
      </x:c>
      <x:c r="D34" s="19" t="str">
        <x:v>I047</x:v>
      </x:c>
      <x:c r="E34" s="19" t="str">
        <x:v>精盐</x:v>
      </x:c>
      <x:c r="F34" s="33" t="n">
        <x:v>3</x:v>
      </x:c>
      <x:c r="G34" s="24" t="n">
        <x:f>XLOOKUP(D34,'食材采购价'!$A$5:$A$60,'食材采购价'!$D$5:$D$60,0)</x:f>
        <x:v>2</x:v>
      </x:c>
      <x:c r="H34" s="24" t="n">
        <x:f>F34/1000*G34</x:f>
        <x:v>0.006</x:v>
      </x:c>
      <x:c r="I34" s="19" t="str">
        <x:v>S-按菜名与常见配方估算</x:v>
      </x:c>
      <x:c r="J34" s="19" t="str">
        <x:v>中</x:v>
      </x:c>
      <x:c r="K34" s="19" t="str">
        <x:v>S-按菜名与常见配方估算</x:v>
      </x:c>
    </x:row>
    <x:row r="35">
      <x:c r="A35" s="19" t="str">
        <x:v>D03</x:v>
      </x:c>
      <x:c r="B35" s="19" t="str">
        <x:v>香醋炒蛋</x:v>
      </x:c>
      <x:c r="C35" s="19" t="str">
        <x:v>调料</x:v>
      </x:c>
      <x:c r="D35" s="19" t="str">
        <x:v>I052</x:v>
      </x:c>
      <x:c r="E35" s="19" t="str">
        <x:v>白砂糖</x:v>
      </x:c>
      <x:c r="F35" s="33" t="n">
        <x:v>5</x:v>
      </x:c>
      <x:c r="G35" s="24" t="n">
        <x:f>XLOOKUP(D35,'食材采购价'!$A$5:$A$60,'食材采购价'!$D$5:$D$60,0)</x:f>
        <x:v>7</x:v>
      </x:c>
      <x:c r="H35" s="24" t="n">
        <x:f>F35/1000*G35</x:f>
        <x:v>0.035</x:v>
      </x:c>
      <x:c r="I35" s="19" t="str">
        <x:v>S-按菜名与常见配方估算</x:v>
      </x:c>
      <x:c r="J35" s="19" t="str">
        <x:v>中</x:v>
      </x:c>
      <x:c r="K35" s="19" t="str">
        <x:v>S-按菜名与常见配方估算</x:v>
      </x:c>
    </x:row>
    <x:row r="36">
      <x:c r="A36" s="19" t="str">
        <x:v>D04</x:v>
      </x:c>
      <x:c r="B36" s="19" t="str">
        <x:v>酸包菜炒粉皮</x:v>
      </x:c>
      <x:c r="C36" s="19" t="str">
        <x:v>食材</x:v>
      </x:c>
      <x:c r="D36" s="19" t="str">
        <x:v>I024</x:v>
      </x:c>
      <x:c r="E36" s="19" t="str">
        <x:v>酸包菜</x:v>
      </x:c>
      <x:c r="F36" s="33" t="n">
        <x:v>200</x:v>
      </x:c>
      <x:c r="G36" s="24" t="n">
        <x:f>XLOOKUP(D36,'食材采购价'!$A$5:$A$60,'食材采购价'!$D$5:$D$60,0)</x:f>
        <x:v>8</x:v>
      </x:c>
      <x:c r="H36" s="24" t="n">
        <x:f>F36/1000*G36</x:f>
        <x:v>1.6</x:v>
      </x:c>
      <x:c r="I36" s="19" t="str">
        <x:v>S-按菜名与常见配方估算</x:v>
      </x:c>
      <x:c r="J36" s="19" t="str">
        <x:v>中</x:v>
      </x:c>
      <x:c r="K36" s="19" t="str">
        <x:v>S-按菜名与常见配方估算</x:v>
      </x:c>
    </x:row>
    <x:row r="37">
      <x:c r="A37" s="19" t="str">
        <x:v>D04</x:v>
      </x:c>
      <x:c r="B37" s="19" t="str">
        <x:v>酸包菜炒粉皮</x:v>
      </x:c>
      <x:c r="C37" s="19" t="str">
        <x:v>食材</x:v>
      </x:c>
      <x:c r="D37" s="19" t="str">
        <x:v>I025</x:v>
      </x:c>
      <x:c r="E37" s="19" t="str">
        <x:v>粉皮</x:v>
      </x:c>
      <x:c r="F37" s="33" t="n">
        <x:v>150</x:v>
      </x:c>
      <x:c r="G37" s="24" t="n">
        <x:f>XLOOKUP(D37,'食材采购价'!$A$5:$A$60,'食材采购价'!$D$5:$D$60,0)</x:f>
        <x:v>10</x:v>
      </x:c>
      <x:c r="H37" s="24" t="n">
        <x:f>F37/1000*G37</x:f>
        <x:v>1.5</x:v>
      </x:c>
      <x:c r="I37" s="19" t="str">
        <x:v>S-按菜名与常见配方估算</x:v>
      </x:c>
      <x:c r="J37" s="19" t="str">
        <x:v>中</x:v>
      </x:c>
      <x:c r="K37" s="19" t="str">
        <x:v>S-按菜名与常见配方估算</x:v>
      </x:c>
    </x:row>
    <x:row r="38">
      <x:c r="A38" s="19" t="str">
        <x:v>D04</x:v>
      </x:c>
      <x:c r="B38" s="19" t="str">
        <x:v>酸包菜炒粉皮</x:v>
      </x:c>
      <x:c r="C38" s="19" t="str">
        <x:v>食材</x:v>
      </x:c>
      <x:c r="D38" s="19" t="str">
        <x:v>I019</x:v>
      </x:c>
      <x:c r="E38" s="19" t="str">
        <x:v>拍蒜粒</x:v>
      </x:c>
      <x:c r="F38" s="33" t="n">
        <x:v>20</x:v>
      </x:c>
      <x:c r="G38" s="24" t="n">
        <x:f>XLOOKUP(D38,'食材采购价'!$A$5:$A$60,'食材采购价'!$D$5:$D$60,0)</x:f>
        <x:v>10</x:v>
      </x:c>
      <x:c r="H38" s="24" t="n">
        <x:f>F38/1000*G38</x:f>
        <x:v>0.2</x:v>
      </x:c>
      <x:c r="I38" s="19" t="str">
        <x:v>S-按菜名与常见配方估算</x:v>
      </x:c>
      <x:c r="J38" s="19" t="str">
        <x:v>中</x:v>
      </x:c>
      <x:c r="K38" s="19" t="str">
        <x:v>S-按菜名与常见配方估算</x:v>
      </x:c>
    </x:row>
    <x:row r="39">
      <x:c r="A39" s="19" t="str">
        <x:v>D04</x:v>
      </x:c>
      <x:c r="B39" s="19" t="str">
        <x:v>酸包菜炒粉皮</x:v>
      </x:c>
      <x:c r="C39" s="19" t="str">
        <x:v>食材</x:v>
      </x:c>
      <x:c r="D39" s="19" t="str">
        <x:v>I041</x:v>
      </x:c>
      <x:c r="E39" s="19" t="str">
        <x:v>干辣椒</x:v>
      </x:c>
      <x:c r="F39" s="33" t="n">
        <x:v>10</x:v>
      </x:c>
      <x:c r="G39" s="24" t="n">
        <x:f>XLOOKUP(D39,'食材采购价'!$A$5:$A$60,'食材采购价'!$D$5:$D$60,0)</x:f>
        <x:v>24</x:v>
      </x:c>
      <x:c r="H39" s="24" t="n">
        <x:f>F39/1000*G39</x:f>
        <x:v>0.24</x:v>
      </x:c>
      <x:c r="I39" s="19" t="str">
        <x:v>S-按菜名与常见配方估算</x:v>
      </x:c>
      <x:c r="J39" s="19" t="str">
        <x:v>中</x:v>
      </x:c>
      <x:c r="K39" s="19" t="str">
        <x:v>S-按菜名与常见配方估算</x:v>
      </x:c>
    </x:row>
    <x:row r="40">
      <x:c r="A40" s="19" t="str">
        <x:v>D04</x:v>
      </x:c>
      <x:c r="B40" s="19" t="str">
        <x:v>酸包菜炒粉皮</x:v>
      </x:c>
      <x:c r="C40" s="19" t="str">
        <x:v>调料</x:v>
      </x:c>
      <x:c r="D40" s="19" t="str">
        <x:v>I044</x:v>
      </x:c>
      <x:c r="E40" s="19" t="str">
        <x:v>色拉油</x:v>
      </x:c>
      <x:c r="F40" s="33" t="n">
        <x:v>35</x:v>
      </x:c>
      <x:c r="G40" s="24" t="n">
        <x:f>XLOOKUP(D40,'食材采购价'!$A$5:$A$60,'食材采购价'!$D$5:$D$60,0)</x:f>
        <x:v>10</x:v>
      </x:c>
      <x:c r="H40" s="24" t="n">
        <x:f>F40/1000*G40</x:f>
        <x:v>0.35000000000000003</x:v>
      </x:c>
      <x:c r="I40" s="19" t="str">
        <x:v>S-按菜名与常见配方估算</x:v>
      </x:c>
      <x:c r="J40" s="19" t="str">
        <x:v>中</x:v>
      </x:c>
      <x:c r="K40" s="19" t="str">
        <x:v>S-按菜名与常见配方估算</x:v>
      </x:c>
    </x:row>
    <x:row r="41">
      <x:c r="A41" s="19" t="str">
        <x:v>D04</x:v>
      </x:c>
      <x:c r="B41" s="19" t="str">
        <x:v>酸包菜炒粉皮</x:v>
      </x:c>
      <x:c r="C41" s="19" t="str">
        <x:v>调料</x:v>
      </x:c>
      <x:c r="D41" s="19" t="str">
        <x:v>I048</x:v>
      </x:c>
      <x:c r="E41" s="19" t="str">
        <x:v>生抽</x:v>
      </x:c>
      <x:c r="F41" s="33" t="n">
        <x:v>8</x:v>
      </x:c>
      <x:c r="G41" s="24" t="n">
        <x:f>XLOOKUP(D41,'食材采购价'!$A$5:$A$60,'食材采购价'!$D$5:$D$60,0)</x:f>
        <x:v>6</x:v>
      </x:c>
      <x:c r="H41" s="24" t="n">
        <x:f>F41/1000*G41</x:f>
        <x:v>0.048</x:v>
      </x:c>
      <x:c r="I41" s="19" t="str">
        <x:v>S-按菜名与常见配方估算</x:v>
      </x:c>
      <x:c r="J41" s="19" t="str">
        <x:v>中</x:v>
      </x:c>
      <x:c r="K41" s="19" t="str">
        <x:v>S-按菜名与常见配方估算</x:v>
      </x:c>
    </x:row>
    <x:row r="42">
      <x:c r="A42" s="19" t="str">
        <x:v>D04</x:v>
      </x:c>
      <x:c r="B42" s="19" t="str">
        <x:v>酸包菜炒粉皮</x:v>
      </x:c>
      <x:c r="C42" s="19" t="str">
        <x:v>调料</x:v>
      </x:c>
      <x:c r="D42" s="19" t="str">
        <x:v>I047</x:v>
      </x:c>
      <x:c r="E42" s="19" t="str">
        <x:v>精盐</x:v>
      </x:c>
      <x:c r="F42" s="33" t="n">
        <x:v>2</x:v>
      </x:c>
      <x:c r="G42" s="24" t="n">
        <x:f>XLOOKUP(D42,'食材采购价'!$A$5:$A$60,'食材采购价'!$D$5:$D$60,0)</x:f>
        <x:v>2</x:v>
      </x:c>
      <x:c r="H42" s="24" t="n">
        <x:f>F42/1000*G42</x:f>
        <x:v>0.004</x:v>
      </x:c>
      <x:c r="I42" s="19" t="str">
        <x:v>S-按菜名与常见配方估算</x:v>
      </x:c>
      <x:c r="J42" s="19" t="str">
        <x:v>中</x:v>
      </x:c>
      <x:c r="K42" s="19" t="str">
        <x:v>S-按菜名与常见配方估算</x:v>
      </x:c>
    </x:row>
    <x:row r="43">
      <x:c r="A43" s="19" t="str">
        <x:v>D04</x:v>
      </x:c>
      <x:c r="B43" s="19" t="str">
        <x:v>酸包菜炒粉皮</x:v>
      </x:c>
      <x:c r="C43" s="19" t="str">
        <x:v>调料</x:v>
      </x:c>
      <x:c r="D43" s="19" t="str">
        <x:v>I051</x:v>
      </x:c>
      <x:c r="E43" s="19" t="str">
        <x:v>鸡精</x:v>
      </x:c>
      <x:c r="F43" s="33" t="n">
        <x:v>2</x:v>
      </x:c>
      <x:c r="G43" s="24" t="n">
        <x:f>XLOOKUP(D43,'食材采购价'!$A$5:$A$60,'食材采购价'!$D$5:$D$60,0)</x:f>
        <x:v>18</x:v>
      </x:c>
      <x:c r="H43" s="24" t="n">
        <x:f>F43/1000*G43</x:f>
        <x:v>0.036000000000000004</x:v>
      </x:c>
      <x:c r="I43" s="19" t="str">
        <x:v>S-按菜名与常见配方估算</x:v>
      </x:c>
      <x:c r="J43" s="19" t="str">
        <x:v>中</x:v>
      </x:c>
      <x:c r="K43" s="19" t="str">
        <x:v>S-按菜名与常见配方估算</x:v>
      </x:c>
    </x:row>
    <x:row r="44">
      <x:c r="A44" s="19" t="str">
        <x:v>D05</x:v>
      </x:c>
      <x:c r="B44" s="19" t="str">
        <x:v>麻婆豆腐</x:v>
      </x:c>
      <x:c r="C44" s="19" t="str">
        <x:v>食材</x:v>
      </x:c>
      <x:c r="D44" s="19" t="str">
        <x:v>I026</x:v>
      </x:c>
      <x:c r="E44" s="19" t="str">
        <x:v>豆腐</x:v>
      </x:c>
      <x:c r="F44" s="33" t="n">
        <x:v>400</x:v>
      </x:c>
      <x:c r="G44" s="24" t="n">
        <x:f>XLOOKUP(D44,'食材采购价'!$A$5:$A$60,'食材采购价'!$D$5:$D$60,0)</x:f>
        <x:v>5</x:v>
      </x:c>
      <x:c r="H44" s="24" t="n">
        <x:f>F44/1000*G44</x:f>
        <x:v>2</x:v>
      </x:c>
      <x:c r="I44" s="19" t="str">
        <x:v>S-按菜名与常见配方估算</x:v>
      </x:c>
      <x:c r="J44" s="19" t="str">
        <x:v>中</x:v>
      </x:c>
      <x:c r="K44" s="19" t="str">
        <x:v>S-按菜名与常见配方估算</x:v>
      </x:c>
    </x:row>
    <x:row r="45">
      <x:c r="A45" s="19" t="str">
        <x:v>D05</x:v>
      </x:c>
      <x:c r="B45" s="19" t="str">
        <x:v>麻婆豆腐</x:v>
      </x:c>
      <x:c r="C45" s="19" t="str">
        <x:v>食材</x:v>
      </x:c>
      <x:c r="D45" s="19" t="str">
        <x:v>I028</x:v>
      </x:c>
      <x:c r="E45" s="19" t="str">
        <x:v>肉末</x:v>
      </x:c>
      <x:c r="F45" s="33" t="n">
        <x:v>80</x:v>
      </x:c>
      <x:c r="G45" s="24" t="n">
        <x:f>XLOOKUP(D45,'食材采购价'!$A$5:$A$60,'食材采购价'!$D$5:$D$60,0)</x:f>
        <x:v>27</x:v>
      </x:c>
      <x:c r="H45" s="24" t="n">
        <x:f>F45/1000*G45</x:f>
        <x:v>2.16</x:v>
      </x:c>
      <x:c r="I45" s="19" t="str">
        <x:v>S-按菜名与常见配方估算</x:v>
      </x:c>
      <x:c r="J45" s="19" t="str">
        <x:v>中</x:v>
      </x:c>
      <x:c r="K45" s="19" t="str">
        <x:v>S-按菜名与常见配方估算</x:v>
      </x:c>
    </x:row>
    <x:row r="46">
      <x:c r="A46" s="19" t="str">
        <x:v>D05</x:v>
      </x:c>
      <x:c r="B46" s="19" t="str">
        <x:v>麻婆豆腐</x:v>
      </x:c>
      <x:c r="C46" s="19" t="str">
        <x:v>食材</x:v>
      </x:c>
      <x:c r="D46" s="19" t="str">
        <x:v>I019</x:v>
      </x:c>
      <x:c r="E46" s="19" t="str">
        <x:v>拍蒜粒</x:v>
      </x:c>
      <x:c r="F46" s="33" t="n">
        <x:v>15</x:v>
      </x:c>
      <x:c r="G46" s="24" t="n">
        <x:f>XLOOKUP(D46,'食材采购价'!$A$5:$A$60,'食材采购价'!$D$5:$D$60,0)</x:f>
        <x:v>10</x:v>
      </x:c>
      <x:c r="H46" s="24" t="n">
        <x:f>F46/1000*G46</x:f>
        <x:v>0.15</x:v>
      </x:c>
      <x:c r="I46" s="19" t="str">
        <x:v>S-按菜名与常见配方估算</x:v>
      </x:c>
      <x:c r="J46" s="19" t="str">
        <x:v>中</x:v>
      </x:c>
      <x:c r="K46" s="19" t="str">
        <x:v>S-按菜名与常见配方估算</x:v>
      </x:c>
    </x:row>
    <x:row r="47">
      <x:c r="A47" s="19" t="str">
        <x:v>D05</x:v>
      </x:c>
      <x:c r="B47" s="19" t="str">
        <x:v>麻婆豆腐</x:v>
      </x:c>
      <x:c r="C47" s="19" t="str">
        <x:v>食材</x:v>
      </x:c>
      <x:c r="D47" s="19" t="str">
        <x:v>I031</x:v>
      </x:c>
      <x:c r="E47" s="19" t="str">
        <x:v>葱</x:v>
      </x:c>
      <x:c r="F47" s="33" t="n">
        <x:v>10</x:v>
      </x:c>
      <x:c r="G47" s="24" t="n">
        <x:f>XLOOKUP(D47,'食材采购价'!$A$5:$A$60,'食材采购价'!$D$5:$D$60,0)</x:f>
        <x:v>8</x:v>
      </x:c>
      <x:c r="H47" s="24" t="n">
        <x:f>F47/1000*G47</x:f>
        <x:v>0.08</x:v>
      </x:c>
      <x:c r="I47" s="19" t="str">
        <x:v>S-按菜名与常见配方估算</x:v>
      </x:c>
      <x:c r="J47" s="19" t="str">
        <x:v>中</x:v>
      </x:c>
      <x:c r="K47" s="19" t="str">
        <x:v>S-按菜名与常见配方估算</x:v>
      </x:c>
    </x:row>
    <x:row r="48">
      <x:c r="A48" s="19" t="str">
        <x:v>D05</x:v>
      </x:c>
      <x:c r="B48" s="19" t="str">
        <x:v>麻婆豆腐</x:v>
      </x:c>
      <x:c r="C48" s="19" t="str">
        <x:v>调料</x:v>
      </x:c>
      <x:c r="D48" s="19" t="str">
        <x:v>I042</x:v>
      </x:c>
      <x:c r="E48" s="19" t="str">
        <x:v>豆瓣酱</x:v>
      </x:c>
      <x:c r="F48" s="33" t="n">
        <x:v>30</x:v>
      </x:c>
      <x:c r="G48" s="24" t="n">
        <x:f>XLOOKUP(D48,'食材采购价'!$A$5:$A$60,'食材采购价'!$D$5:$D$60,0)</x:f>
        <x:v>12</x:v>
      </x:c>
      <x:c r="H48" s="24" t="n">
        <x:f>F48/1000*G48</x:f>
        <x:v>0.36</x:v>
      </x:c>
      <x:c r="I48" s="19" t="str">
        <x:v>S-按菜名与常见配方估算</x:v>
      </x:c>
      <x:c r="J48" s="19" t="str">
        <x:v>中</x:v>
      </x:c>
      <x:c r="K48" s="19" t="str">
        <x:v>S-按菜名与常见配方估算</x:v>
      </x:c>
    </x:row>
    <x:row r="49">
      <x:c r="A49" s="19" t="str">
        <x:v>D05</x:v>
      </x:c>
      <x:c r="B49" s="19" t="str">
        <x:v>麻婆豆腐</x:v>
      </x:c>
      <x:c r="C49" s="19" t="str">
        <x:v>调料</x:v>
      </x:c>
      <x:c r="D49" s="19" t="str">
        <x:v>I056</x:v>
      </x:c>
      <x:c r="E49" s="19" t="str">
        <x:v>辣椒油</x:v>
      </x:c>
      <x:c r="F49" s="33" t="n">
        <x:v>20</x:v>
      </x:c>
      <x:c r="G49" s="24" t="n">
        <x:f>XLOOKUP(D49,'食材采购价'!$A$5:$A$60,'食材采购价'!$D$5:$D$60,0)</x:f>
        <x:v>14</x:v>
      </x:c>
      <x:c r="H49" s="24" t="n">
        <x:f>F49/1000*G49</x:f>
        <x:v>0.28</x:v>
      </x:c>
      <x:c r="I49" s="19" t="str">
        <x:v>S-按菜名与常见配方估算</x:v>
      </x:c>
      <x:c r="J49" s="19" t="str">
        <x:v>中</x:v>
      </x:c>
      <x:c r="K49" s="19" t="str">
        <x:v>S-按菜名与常见配方估算</x:v>
      </x:c>
    </x:row>
    <x:row r="50">
      <x:c r="A50" s="19" t="str">
        <x:v>D05</x:v>
      </x:c>
      <x:c r="B50" s="19" t="str">
        <x:v>麻婆豆腐</x:v>
      </x:c>
      <x:c r="C50" s="19" t="str">
        <x:v>调料</x:v>
      </x:c>
      <x:c r="D50" s="19" t="str">
        <x:v>I044</x:v>
      </x:c>
      <x:c r="E50" s="19" t="str">
        <x:v>色拉油</x:v>
      </x:c>
      <x:c r="F50" s="33" t="n">
        <x:v>25</x:v>
      </x:c>
      <x:c r="G50" s="24" t="n">
        <x:f>XLOOKUP(D50,'食材采购价'!$A$5:$A$60,'食材采购价'!$D$5:$D$60,0)</x:f>
        <x:v>10</x:v>
      </x:c>
      <x:c r="H50" s="24" t="n">
        <x:f>F50/1000*G50</x:f>
        <x:v>0.25</x:v>
      </x:c>
      <x:c r="I50" s="19" t="str">
        <x:v>S-按菜名与常见配方估算</x:v>
      </x:c>
      <x:c r="J50" s="19" t="str">
        <x:v>中</x:v>
      </x:c>
      <x:c r="K50" s="19" t="str">
        <x:v>S-按菜名与常见配方估算</x:v>
      </x:c>
    </x:row>
    <x:row r="51">
      <x:c r="A51" s="19" t="str">
        <x:v>D05</x:v>
      </x:c>
      <x:c r="B51" s="19" t="str">
        <x:v>麻婆豆腐</x:v>
      </x:c>
      <x:c r="C51" s="19" t="str">
        <x:v>调料</x:v>
      </x:c>
      <x:c r="D51" s="19" t="str">
        <x:v>I048</x:v>
      </x:c>
      <x:c r="E51" s="19" t="str">
        <x:v>生抽</x:v>
      </x:c>
      <x:c r="F51" s="33" t="n">
        <x:v>8</x:v>
      </x:c>
      <x:c r="G51" s="24" t="n">
        <x:f>XLOOKUP(D51,'食材采购价'!$A$5:$A$60,'食材采购价'!$D$5:$D$60,0)</x:f>
        <x:v>6</x:v>
      </x:c>
      <x:c r="H51" s="24" t="n">
        <x:f>F51/1000*G51</x:f>
        <x:v>0.048</x:v>
      </x:c>
      <x:c r="I51" s="19" t="str">
        <x:v>S-按菜名与常见配方估算</x:v>
      </x:c>
      <x:c r="J51" s="19" t="str">
        <x:v>中</x:v>
      </x:c>
      <x:c r="K51" s="19" t="str">
        <x:v>S-按菜名与常见配方估算</x:v>
      </x:c>
    </x:row>
    <x:row r="52">
      <x:c r="A52" s="19" t="str">
        <x:v>D05</x:v>
      </x:c>
      <x:c r="B52" s="19" t="str">
        <x:v>麻婆豆腐</x:v>
      </x:c>
      <x:c r="C52" s="19" t="str">
        <x:v>调料</x:v>
      </x:c>
      <x:c r="D52" s="19" t="str">
        <x:v>I047</x:v>
      </x:c>
      <x:c r="E52" s="19" t="str">
        <x:v>精盐</x:v>
      </x:c>
      <x:c r="F52" s="33" t="n">
        <x:v>2</x:v>
      </x:c>
      <x:c r="G52" s="24" t="n">
        <x:f>XLOOKUP(D52,'食材采购价'!$A$5:$A$60,'食材采购价'!$D$5:$D$60,0)</x:f>
        <x:v>2</x:v>
      </x:c>
      <x:c r="H52" s="24" t="n">
        <x:f>F52/1000*G52</x:f>
        <x:v>0.004</x:v>
      </x:c>
      <x:c r="I52" s="19" t="str">
        <x:v>S-按菜名与常见配方估算</x:v>
      </x:c>
      <x:c r="J52" s="19" t="str">
        <x:v>中</x:v>
      </x:c>
      <x:c r="K52" s="19" t="str">
        <x:v>S-按菜名与常见配方估算</x:v>
      </x:c>
    </x:row>
    <x:row r="53">
      <x:c r="A53" s="19" t="str">
        <x:v>D05</x:v>
      </x:c>
      <x:c r="B53" s="19" t="str">
        <x:v>麻婆豆腐</x:v>
      </x:c>
      <x:c r="C53" s="19" t="str">
        <x:v>调料</x:v>
      </x:c>
      <x:c r="D53" s="19" t="str">
        <x:v>I043</x:v>
      </x:c>
      <x:c r="E53" s="19" t="str">
        <x:v>淀粉</x:v>
      </x:c>
      <x:c r="F53" s="33" t="n">
        <x:v>5</x:v>
      </x:c>
      <x:c r="G53" s="24" t="n">
        <x:f>XLOOKUP(D53,'食材采购价'!$A$5:$A$60,'食材采购价'!$D$5:$D$60,0)</x:f>
        <x:v>7</x:v>
      </x:c>
      <x:c r="H53" s="24" t="n">
        <x:f>F53/1000*G53</x:f>
        <x:v>0.035</x:v>
      </x:c>
      <x:c r="I53" s="19" t="str">
        <x:v>S-按菜名与常见配方估算</x:v>
      </x:c>
      <x:c r="J53" s="19" t="str">
        <x:v>中</x:v>
      </x:c>
      <x:c r="K53" s="19" t="str">
        <x:v>S-按菜名与常见配方估算</x:v>
      </x:c>
    </x:row>
    <x:row r="54">
      <x:c r="A54" s="19" t="str">
        <x:v>D06</x:v>
      </x:c>
      <x:c r="B54" s="19" t="str">
        <x:v>剁椒鱼头</x:v>
      </x:c>
      <x:c r="C54" s="19" t="str">
        <x:v>食材</x:v>
      </x:c>
      <x:c r="D54" s="19" t="str">
        <x:v>I010</x:v>
      </x:c>
      <x:c r="E54" s="19" t="str">
        <x:v>鱼头</x:v>
      </x:c>
      <x:c r="F54" s="33" t="n">
        <x:v>600</x:v>
      </x:c>
      <x:c r="G54" s="24" t="n">
        <x:f>XLOOKUP(D54,'食材采购价'!$A$5:$A$60,'食材采购价'!$D$5:$D$60,0)</x:f>
        <x:v>25</x:v>
      </x:c>
      <x:c r="H54" s="24" t="n">
        <x:f>F54/1000*G54</x:f>
        <x:v>15</x:v>
      </x:c>
      <x:c r="I54" s="19" t="str">
        <x:v>S-按菜名与常见配方估算</x:v>
      </x:c>
      <x:c r="J54" s="19" t="str">
        <x:v>中</x:v>
      </x:c>
      <x:c r="K54" s="19" t="str">
        <x:v>S-按菜名与常见配方估算</x:v>
      </x:c>
    </x:row>
    <x:row r="55">
      <x:c r="A55" s="19" t="str">
        <x:v>D06</x:v>
      </x:c>
      <x:c r="B55" s="19" t="str">
        <x:v>剁椒鱼头</x:v>
      </x:c>
      <x:c r="C55" s="19" t="str">
        <x:v>食材</x:v>
      </x:c>
      <x:c r="D55" s="19" t="str">
        <x:v>I029</x:v>
      </x:c>
      <x:c r="E55" s="19" t="str">
        <x:v>剁椒</x:v>
      </x:c>
      <x:c r="F55" s="33" t="n">
        <x:v>120</x:v>
      </x:c>
      <x:c r="G55" s="24" t="n">
        <x:f>XLOOKUP(D55,'食材采购价'!$A$5:$A$60,'食材采购价'!$D$5:$D$60,0)</x:f>
        <x:v>12</x:v>
      </x:c>
      <x:c r="H55" s="24" t="n">
        <x:f>F55/1000*G55</x:f>
        <x:v>1.44</x:v>
      </x:c>
      <x:c r="I55" s="19" t="str">
        <x:v>S-按菜名与常见配方估算</x:v>
      </x:c>
      <x:c r="J55" s="19" t="str">
        <x:v>中</x:v>
      </x:c>
      <x:c r="K55" s="19" t="str">
        <x:v>S-按菜名与常见配方估算</x:v>
      </x:c>
    </x:row>
    <x:row r="56">
      <x:c r="A56" s="19" t="str">
        <x:v>D06</x:v>
      </x:c>
      <x:c r="B56" s="19" t="str">
        <x:v>剁椒鱼头</x:v>
      </x:c>
      <x:c r="C56" s="19" t="str">
        <x:v>食材</x:v>
      </x:c>
      <x:c r="D56" s="19" t="str">
        <x:v>I019</x:v>
      </x:c>
      <x:c r="E56" s="19" t="str">
        <x:v>拍蒜粒</x:v>
      </x:c>
      <x:c r="F56" s="33" t="n">
        <x:v>30</x:v>
      </x:c>
      <x:c r="G56" s="24" t="n">
        <x:f>XLOOKUP(D56,'食材采购价'!$A$5:$A$60,'食材采购价'!$D$5:$D$60,0)</x:f>
        <x:v>10</x:v>
      </x:c>
      <x:c r="H56" s="24" t="n">
        <x:f>F56/1000*G56</x:f>
        <x:v>0.3</x:v>
      </x:c>
      <x:c r="I56" s="19" t="str">
        <x:v>S-按菜名与常见配方估算</x:v>
      </x:c>
      <x:c r="J56" s="19" t="str">
        <x:v>中</x:v>
      </x:c>
      <x:c r="K56" s="19" t="str">
        <x:v>S-按菜名与常见配方估算</x:v>
      </x:c>
    </x:row>
    <x:row r="57">
      <x:c r="A57" s="19" t="str">
        <x:v>D06</x:v>
      </x:c>
      <x:c r="B57" s="19" t="str">
        <x:v>剁椒鱼头</x:v>
      </x:c>
      <x:c r="C57" s="19" t="str">
        <x:v>食材</x:v>
      </x:c>
      <x:c r="D57" s="19" t="str">
        <x:v>I030</x:v>
      </x:c>
      <x:c r="E57" s="19" t="str">
        <x:v>生姜</x:v>
      </x:c>
      <x:c r="F57" s="33" t="n">
        <x:v>20</x:v>
      </x:c>
      <x:c r="G57" s="24" t="n">
        <x:f>XLOOKUP(D57,'食材采购价'!$A$5:$A$60,'食材采购价'!$D$5:$D$60,0)</x:f>
        <x:v>9</x:v>
      </x:c>
      <x:c r="H57" s="24" t="n">
        <x:f>F57/1000*G57</x:f>
        <x:v>0.18</x:v>
      </x:c>
      <x:c r="I57" s="19" t="str">
        <x:v>S-按菜名与常见配方估算</x:v>
      </x:c>
      <x:c r="J57" s="19" t="str">
        <x:v>中</x:v>
      </x:c>
      <x:c r="K57" s="19" t="str">
        <x:v>S-按菜名与常见配方估算</x:v>
      </x:c>
    </x:row>
    <x:row r="58">
      <x:c r="A58" s="19" t="str">
        <x:v>D06</x:v>
      </x:c>
      <x:c r="B58" s="19" t="str">
        <x:v>剁椒鱼头</x:v>
      </x:c>
      <x:c r="C58" s="19" t="str">
        <x:v>调料</x:v>
      </x:c>
      <x:c r="D58" s="19" t="str">
        <x:v>I044</x:v>
      </x:c>
      <x:c r="E58" s="19" t="str">
        <x:v>色拉油</x:v>
      </x:c>
      <x:c r="F58" s="33" t="n">
        <x:v>40</x:v>
      </x:c>
      <x:c r="G58" s="24" t="n">
        <x:f>XLOOKUP(D58,'食材采购价'!$A$5:$A$60,'食材采购价'!$D$5:$D$60,0)</x:f>
        <x:v>10</x:v>
      </x:c>
      <x:c r="H58" s="24" t="n">
        <x:f>F58/1000*G58</x:f>
        <x:v>0.4</x:v>
      </x:c>
      <x:c r="I58" s="19" t="str">
        <x:v>S-按菜名与常见配方估算</x:v>
      </x:c>
      <x:c r="J58" s="19" t="str">
        <x:v>中</x:v>
      </x:c>
      <x:c r="K58" s="19" t="str">
        <x:v>S-按菜名与常见配方估算</x:v>
      </x:c>
    </x:row>
    <x:row r="59">
      <x:c r="A59" s="19" t="str">
        <x:v>D06</x:v>
      </x:c>
      <x:c r="B59" s="19" t="str">
        <x:v>剁椒鱼头</x:v>
      </x:c>
      <x:c r="C59" s="19" t="str">
        <x:v>调料</x:v>
      </x:c>
      <x:c r="D59" s="19" t="str">
        <x:v>I048</x:v>
      </x:c>
      <x:c r="E59" s="19" t="str">
        <x:v>生抽</x:v>
      </x:c>
      <x:c r="F59" s="33" t="n">
        <x:v>20</x:v>
      </x:c>
      <x:c r="G59" s="24" t="n">
        <x:f>XLOOKUP(D59,'食材采购价'!$A$5:$A$60,'食材采购价'!$D$5:$D$60,0)</x:f>
        <x:v>6</x:v>
      </x:c>
      <x:c r="H59" s="24" t="n">
        <x:f>F59/1000*G59</x:f>
        <x:v>0.12</x:v>
      </x:c>
      <x:c r="I59" s="19" t="str">
        <x:v>S-按菜名与常见配方估算</x:v>
      </x:c>
      <x:c r="J59" s="19" t="str">
        <x:v>中</x:v>
      </x:c>
      <x:c r="K59" s="19" t="str">
        <x:v>S-按菜名与常见配方估算</x:v>
      </x:c>
    </x:row>
    <x:row r="60">
      <x:c r="A60" s="19" t="str">
        <x:v>D06</x:v>
      </x:c>
      <x:c r="B60" s="19" t="str">
        <x:v>剁椒鱼头</x:v>
      </x:c>
      <x:c r="C60" s="19" t="str">
        <x:v>调料</x:v>
      </x:c>
      <x:c r="D60" s="19" t="str">
        <x:v>I047</x:v>
      </x:c>
      <x:c r="E60" s="19" t="str">
        <x:v>精盐</x:v>
      </x:c>
      <x:c r="F60" s="33" t="n">
        <x:v>3</x:v>
      </x:c>
      <x:c r="G60" s="24" t="n">
        <x:f>XLOOKUP(D60,'食材采购价'!$A$5:$A$60,'食材采购价'!$D$5:$D$60,0)</x:f>
        <x:v>2</x:v>
      </x:c>
      <x:c r="H60" s="24" t="n">
        <x:f>F60/1000*G60</x:f>
        <x:v>0.006</x:v>
      </x:c>
      <x:c r="I60" s="19" t="str">
        <x:v>S-按菜名与常见配方估算</x:v>
      </x:c>
      <x:c r="J60" s="19" t="str">
        <x:v>中</x:v>
      </x:c>
      <x:c r="K60" s="19" t="str">
        <x:v>S-按菜名与常见配方估算</x:v>
      </x:c>
    </x:row>
    <x:row r="61">
      <x:c r="A61" s="19" t="str">
        <x:v>D07</x:v>
      </x:c>
      <x:c r="B61" s="19" t="str">
        <x:v>川味回锅肉</x:v>
      </x:c>
      <x:c r="C61" s="19" t="str">
        <x:v>食材</x:v>
      </x:c>
      <x:c r="D61" s="19" t="str">
        <x:v>I004</x:v>
      </x:c>
      <x:c r="E61" s="19" t="str">
        <x:v>猪五花</x:v>
      </x:c>
      <x:c r="F61" s="33" t="n">
        <x:v>250</x:v>
      </x:c>
      <x:c r="G61" s="24" t="n">
        <x:f>XLOOKUP(D61,'食材采购价'!$A$5:$A$60,'食材采购价'!$D$5:$D$60,0)</x:f>
        <x:v>31</x:v>
      </x:c>
      <x:c r="H61" s="24" t="n">
        <x:f>F61/1000*G61</x:f>
        <x:v>7.75</x:v>
      </x:c>
      <x:c r="I61" s="19" t="str">
        <x:v>S-按菜名与常见配方估算</x:v>
      </x:c>
      <x:c r="J61" s="19" t="str">
        <x:v>中</x:v>
      </x:c>
      <x:c r="K61" s="19" t="str">
        <x:v>S-按菜名与常见配方估算</x:v>
      </x:c>
    </x:row>
    <x:row r="62">
      <x:c r="A62" s="19" t="str">
        <x:v>D07</x:v>
      </x:c>
      <x:c r="B62" s="19" t="str">
        <x:v>川味回锅肉</x:v>
      </x:c>
      <x:c r="C62" s="19" t="str">
        <x:v>食材</x:v>
      </x:c>
      <x:c r="D62" s="19" t="str">
        <x:v>I032</x:v>
      </x:c>
      <x:c r="E62" s="19" t="str">
        <x:v>蒜苔</x:v>
      </x:c>
      <x:c r="F62" s="33" t="n">
        <x:v>150</x:v>
      </x:c>
      <x:c r="G62" s="24" t="n">
        <x:f>XLOOKUP(D62,'食材采购价'!$A$5:$A$60,'食材采购价'!$D$5:$D$60,0)</x:f>
        <x:v>10</x:v>
      </x:c>
      <x:c r="H62" s="24" t="n">
        <x:f>F62/1000*G62</x:f>
        <x:v>1.5</x:v>
      </x:c>
      <x:c r="I62" s="19" t="str">
        <x:v>S-按菜名与常见配方估算</x:v>
      </x:c>
      <x:c r="J62" s="19" t="str">
        <x:v>中</x:v>
      </x:c>
      <x:c r="K62" s="19" t="str">
        <x:v>S-按菜名与常见配方估算</x:v>
      </x:c>
    </x:row>
    <x:row r="63">
      <x:c r="A63" s="19" t="str">
        <x:v>D07</x:v>
      </x:c>
      <x:c r="B63" s="19" t="str">
        <x:v>川味回锅肉</x:v>
      </x:c>
      <x:c r="C63" s="19" t="str">
        <x:v>食材</x:v>
      </x:c>
      <x:c r="D63" s="19" t="str">
        <x:v>I014</x:v>
      </x:c>
      <x:c r="E63" s="19" t="str">
        <x:v>青椒</x:v>
      </x:c>
      <x:c r="F63" s="33" t="n">
        <x:v>50</x:v>
      </x:c>
      <x:c r="G63" s="24" t="n">
        <x:f>XLOOKUP(D63,'食材采购价'!$A$5:$A$60,'食材采购价'!$D$5:$D$60,0)</x:f>
        <x:v>7</x:v>
      </x:c>
      <x:c r="H63" s="24" t="n">
        <x:f>F63/1000*G63</x:f>
        <x:v>0.35000000000000003</x:v>
      </x:c>
      <x:c r="I63" s="19" t="str">
        <x:v>S-按菜名与常见配方估算</x:v>
      </x:c>
      <x:c r="J63" s="19" t="str">
        <x:v>中</x:v>
      </x:c>
      <x:c r="K63" s="19" t="str">
        <x:v>S-按菜名与常见配方估算</x:v>
      </x:c>
    </x:row>
    <x:row r="64">
      <x:c r="A64" s="19" t="str">
        <x:v>D07</x:v>
      </x:c>
      <x:c r="B64" s="19" t="str">
        <x:v>川味回锅肉</x:v>
      </x:c>
      <x:c r="C64" s="19" t="str">
        <x:v>调料</x:v>
      </x:c>
      <x:c r="D64" s="19" t="str">
        <x:v>I042</x:v>
      </x:c>
      <x:c r="E64" s="19" t="str">
        <x:v>豆瓣酱</x:v>
      </x:c>
      <x:c r="F64" s="33" t="n">
        <x:v>25</x:v>
      </x:c>
      <x:c r="G64" s="24" t="n">
        <x:f>XLOOKUP(D64,'食材采购价'!$A$5:$A$60,'食材采购价'!$D$5:$D$60,0)</x:f>
        <x:v>12</x:v>
      </x:c>
      <x:c r="H64" s="24" t="n">
        <x:f>F64/1000*G64</x:f>
        <x:v>0.30000000000000004</x:v>
      </x:c>
      <x:c r="I64" s="19" t="str">
        <x:v>S-按菜名与常见配方估算</x:v>
      </x:c>
      <x:c r="J64" s="19" t="str">
        <x:v>中</x:v>
      </x:c>
      <x:c r="K64" s="19" t="str">
        <x:v>S-按菜名与常见配方估算</x:v>
      </x:c>
    </x:row>
    <x:row r="65">
      <x:c r="A65" s="19" t="str">
        <x:v>D07</x:v>
      </x:c>
      <x:c r="B65" s="19" t="str">
        <x:v>川味回锅肉</x:v>
      </x:c>
      <x:c r="C65" s="19" t="str">
        <x:v>调料</x:v>
      </x:c>
      <x:c r="D65" s="19" t="str">
        <x:v>I044</x:v>
      </x:c>
      <x:c r="E65" s="19" t="str">
        <x:v>色拉油</x:v>
      </x:c>
      <x:c r="F65" s="33" t="n">
        <x:v>25</x:v>
      </x:c>
      <x:c r="G65" s="24" t="n">
        <x:f>XLOOKUP(D65,'食材采购价'!$A$5:$A$60,'食材采购价'!$D$5:$D$60,0)</x:f>
        <x:v>10</x:v>
      </x:c>
      <x:c r="H65" s="24" t="n">
        <x:f>F65/1000*G65</x:f>
        <x:v>0.25</x:v>
      </x:c>
      <x:c r="I65" s="19" t="str">
        <x:v>S-按菜名与常见配方估算</x:v>
      </x:c>
      <x:c r="J65" s="19" t="str">
        <x:v>中</x:v>
      </x:c>
      <x:c r="K65" s="19" t="str">
        <x:v>S-按菜名与常见配方估算</x:v>
      </x:c>
    </x:row>
    <x:row r="66">
      <x:c r="A66" s="19" t="str">
        <x:v>D07</x:v>
      </x:c>
      <x:c r="B66" s="19" t="str">
        <x:v>川味回锅肉</x:v>
      </x:c>
      <x:c r="C66" s="19" t="str">
        <x:v>调料</x:v>
      </x:c>
      <x:c r="D66" s="19" t="str">
        <x:v>I048</x:v>
      </x:c>
      <x:c r="E66" s="19" t="str">
        <x:v>生抽</x:v>
      </x:c>
      <x:c r="F66" s="33" t="n">
        <x:v>10</x:v>
      </x:c>
      <x:c r="G66" s="24" t="n">
        <x:f>XLOOKUP(D66,'食材采购价'!$A$5:$A$60,'食材采购价'!$D$5:$D$60,0)</x:f>
        <x:v>6</x:v>
      </x:c>
      <x:c r="H66" s="24" t="n">
        <x:f>F66/1000*G66</x:f>
        <x:v>0.06</x:v>
      </x:c>
      <x:c r="I66" s="19" t="str">
        <x:v>S-按菜名与常见配方估算</x:v>
      </x:c>
      <x:c r="J66" s="19" t="str">
        <x:v>中</x:v>
      </x:c>
      <x:c r="K66" s="19" t="str">
        <x:v>S-按菜名与常见配方估算</x:v>
      </x:c>
    </x:row>
    <x:row r="67">
      <x:c r="A67" s="19" t="str">
        <x:v>D07</x:v>
      </x:c>
      <x:c r="B67" s="19" t="str">
        <x:v>川味回锅肉</x:v>
      </x:c>
      <x:c r="C67" s="19" t="str">
        <x:v>调料</x:v>
      </x:c>
      <x:c r="D67" s="19" t="str">
        <x:v>I052</x:v>
      </x:c>
      <x:c r="E67" s="19" t="str">
        <x:v>白砂糖</x:v>
      </x:c>
      <x:c r="F67" s="33" t="n">
        <x:v>3</x:v>
      </x:c>
      <x:c r="G67" s="24" t="n">
        <x:f>XLOOKUP(D67,'食材采购价'!$A$5:$A$60,'食材采购价'!$D$5:$D$60,0)</x:f>
        <x:v>7</x:v>
      </x:c>
      <x:c r="H67" s="24" t="n">
        <x:f>F67/1000*G67</x:f>
        <x:v>0.021</x:v>
      </x:c>
      <x:c r="I67" s="19" t="str">
        <x:v>S-按菜名与常见配方估算</x:v>
      </x:c>
      <x:c r="J67" s="19" t="str">
        <x:v>中</x:v>
      </x:c>
      <x:c r="K67" s="19" t="str">
        <x:v>S-按菜名与常见配方估算</x:v>
      </x:c>
    </x:row>
    <x:row r="68">
      <x:c r="A68" s="19" t="str">
        <x:v>D08</x:v>
      </x:c>
      <x:c r="B68" s="19" t="str">
        <x:v>生炒清远鸡</x:v>
      </x:c>
      <x:c r="C68" s="19" t="str">
        <x:v>食材</x:v>
      </x:c>
      <x:c r="D68" s="19" t="str">
        <x:v>I007</x:v>
      </x:c>
      <x:c r="E68" s="19" t="str">
        <x:v>鸡肉</x:v>
      </x:c>
      <x:c r="F68" s="33" t="n">
        <x:v>450</x:v>
      </x:c>
      <x:c r="G68" s="24" t="n">
        <x:f>XLOOKUP(D68,'食材采购价'!$A$5:$A$60,'食材采购价'!$D$5:$D$60,0)</x:f>
        <x:v>26</x:v>
      </x:c>
      <x:c r="H68" s="24" t="n">
        <x:f>F68/1000*G68</x:f>
        <x:v>11.700000000000001</x:v>
      </x:c>
      <x:c r="I68" s="19" t="str">
        <x:v>S-按菜名与常见配方估算</x:v>
      </x:c>
      <x:c r="J68" s="19" t="str">
        <x:v>中</x:v>
      </x:c>
      <x:c r="K68" s="19" t="str">
        <x:v>S-按菜名与常见配方估算</x:v>
      </x:c>
    </x:row>
    <x:row r="69">
      <x:c r="A69" s="19" t="str">
        <x:v>D08</x:v>
      </x:c>
      <x:c r="B69" s="19" t="str">
        <x:v>生炒清远鸡</x:v>
      </x:c>
      <x:c r="C69" s="19" t="str">
        <x:v>食材</x:v>
      </x:c>
      <x:c r="D69" s="19" t="str">
        <x:v>I014</x:v>
      </x:c>
      <x:c r="E69" s="19" t="str">
        <x:v>青椒</x:v>
      </x:c>
      <x:c r="F69" s="33" t="n">
        <x:v>100</x:v>
      </x:c>
      <x:c r="G69" s="24" t="n">
        <x:f>XLOOKUP(D69,'食材采购价'!$A$5:$A$60,'食材采购价'!$D$5:$D$60,0)</x:f>
        <x:v>7</x:v>
      </x:c>
      <x:c r="H69" s="24" t="n">
        <x:f>F69/1000*G69</x:f>
        <x:v>0.7000000000000001</x:v>
      </x:c>
      <x:c r="I69" s="19" t="str">
        <x:v>S-按菜名与常见配方估算</x:v>
      </x:c>
      <x:c r="J69" s="19" t="str">
        <x:v>中</x:v>
      </x:c>
      <x:c r="K69" s="19" t="str">
        <x:v>S-按菜名与常见配方估算</x:v>
      </x:c>
    </x:row>
    <x:row r="70">
      <x:c r="A70" s="19" t="str">
        <x:v>D08</x:v>
      </x:c>
      <x:c r="B70" s="19" t="str">
        <x:v>生炒清远鸡</x:v>
      </x:c>
      <x:c r="C70" s="19" t="str">
        <x:v>食材</x:v>
      </x:c>
      <x:c r="D70" s="19" t="str">
        <x:v>I030</x:v>
      </x:c>
      <x:c r="E70" s="19" t="str">
        <x:v>生姜</x:v>
      </x:c>
      <x:c r="F70" s="33" t="n">
        <x:v>30</x:v>
      </x:c>
      <x:c r="G70" s="24" t="n">
        <x:f>XLOOKUP(D70,'食材采购价'!$A$5:$A$60,'食材采购价'!$D$5:$D$60,0)</x:f>
        <x:v>9</x:v>
      </x:c>
      <x:c r="H70" s="24" t="n">
        <x:f>F70/1000*G70</x:f>
        <x:v>0.27</x:v>
      </x:c>
      <x:c r="I70" s="19" t="str">
        <x:v>S-按菜名与常见配方估算</x:v>
      </x:c>
      <x:c r="J70" s="19" t="str">
        <x:v>中</x:v>
      </x:c>
      <x:c r="K70" s="19" t="str">
        <x:v>S-按菜名与常见配方估算</x:v>
      </x:c>
    </x:row>
    <x:row r="71">
      <x:c r="A71" s="19" t="str">
        <x:v>D08</x:v>
      </x:c>
      <x:c r="B71" s="19" t="str">
        <x:v>生炒清远鸡</x:v>
      </x:c>
      <x:c r="C71" s="19" t="str">
        <x:v>食材</x:v>
      </x:c>
      <x:c r="D71" s="19" t="str">
        <x:v>I019</x:v>
      </x:c>
      <x:c r="E71" s="19" t="str">
        <x:v>拍蒜粒</x:v>
      </x:c>
      <x:c r="F71" s="33" t="n">
        <x:v>30</x:v>
      </x:c>
      <x:c r="G71" s="24" t="n">
        <x:f>XLOOKUP(D71,'食材采购价'!$A$5:$A$60,'食材采购价'!$D$5:$D$60,0)</x:f>
        <x:v>10</x:v>
      </x:c>
      <x:c r="H71" s="24" t="n">
        <x:f>F71/1000*G71</x:f>
        <x:v>0.3</x:v>
      </x:c>
      <x:c r="I71" s="19" t="str">
        <x:v>S-按菜名与常见配方估算</x:v>
      </x:c>
      <x:c r="J71" s="19" t="str">
        <x:v>中</x:v>
      </x:c>
      <x:c r="K71" s="19" t="str">
        <x:v>S-按菜名与常见配方估算</x:v>
      </x:c>
    </x:row>
    <x:row r="72">
      <x:c r="A72" s="19" t="str">
        <x:v>D08</x:v>
      </x:c>
      <x:c r="B72" s="19" t="str">
        <x:v>生炒清远鸡</x:v>
      </x:c>
      <x:c r="C72" s="19" t="str">
        <x:v>调料</x:v>
      </x:c>
      <x:c r="D72" s="19" t="str">
        <x:v>I044</x:v>
      </x:c>
      <x:c r="E72" s="19" t="str">
        <x:v>色拉油</x:v>
      </x:c>
      <x:c r="F72" s="33" t="n">
        <x:v>35</x:v>
      </x:c>
      <x:c r="G72" s="24" t="n">
        <x:f>XLOOKUP(D72,'食材采购价'!$A$5:$A$60,'食材采购价'!$D$5:$D$60,0)</x:f>
        <x:v>10</x:v>
      </x:c>
      <x:c r="H72" s="24" t="n">
        <x:f>F72/1000*G72</x:f>
        <x:v>0.35000000000000003</x:v>
      </x:c>
      <x:c r="I72" s="19" t="str">
        <x:v>S-按菜名与常见配方估算</x:v>
      </x:c>
      <x:c r="J72" s="19" t="str">
        <x:v>中</x:v>
      </x:c>
      <x:c r="K72" s="19" t="str">
        <x:v>S-按菜名与常见配方估算</x:v>
      </x:c>
    </x:row>
    <x:row r="73">
      <x:c r="A73" s="19" t="str">
        <x:v>D08</x:v>
      </x:c>
      <x:c r="B73" s="19" t="str">
        <x:v>生炒清远鸡</x:v>
      </x:c>
      <x:c r="C73" s="19" t="str">
        <x:v>调料</x:v>
      </x:c>
      <x:c r="D73" s="19" t="str">
        <x:v>I048</x:v>
      </x:c>
      <x:c r="E73" s="19" t="str">
        <x:v>生抽</x:v>
      </x:c>
      <x:c r="F73" s="33" t="n">
        <x:v>15</x:v>
      </x:c>
      <x:c r="G73" s="24" t="n">
        <x:f>XLOOKUP(D73,'食材采购价'!$A$5:$A$60,'食材采购价'!$D$5:$D$60,0)</x:f>
        <x:v>6</x:v>
      </x:c>
      <x:c r="H73" s="24" t="n">
        <x:f>F73/1000*G73</x:f>
        <x:v>0.09</x:v>
      </x:c>
      <x:c r="I73" s="19" t="str">
        <x:v>S-按菜名与常见配方估算</x:v>
      </x:c>
      <x:c r="J73" s="19" t="str">
        <x:v>中</x:v>
      </x:c>
      <x:c r="K73" s="19" t="str">
        <x:v>S-按菜名与常见配方估算</x:v>
      </x:c>
    </x:row>
    <x:row r="74">
      <x:c r="A74" s="19" t="str">
        <x:v>D08</x:v>
      </x:c>
      <x:c r="B74" s="19" t="str">
        <x:v>生炒清远鸡</x:v>
      </x:c>
      <x:c r="C74" s="19" t="str">
        <x:v>调料</x:v>
      </x:c>
      <x:c r="D74" s="19" t="str">
        <x:v>I050</x:v>
      </x:c>
      <x:c r="E74" s="19" t="str">
        <x:v>蚝油</x:v>
      </x:c>
      <x:c r="F74" s="33" t="n">
        <x:v>8</x:v>
      </x:c>
      <x:c r="G74" s="24" t="n">
        <x:f>XLOOKUP(D74,'食材采购价'!$A$5:$A$60,'食材采购价'!$D$5:$D$60,0)</x:f>
        <x:v>8</x:v>
      </x:c>
      <x:c r="H74" s="24" t="n">
        <x:f>F74/1000*G74</x:f>
        <x:v>0.064</x:v>
      </x:c>
      <x:c r="I74" s="19" t="str">
        <x:v>S-按菜名与常见配方估算</x:v>
      </x:c>
      <x:c r="J74" s="19" t="str">
        <x:v>中</x:v>
      </x:c>
      <x:c r="K74" s="19" t="str">
        <x:v>S-按菜名与常见配方估算</x:v>
      </x:c>
    </x:row>
    <x:row r="75">
      <x:c r="A75" s="19" t="str">
        <x:v>D08</x:v>
      </x:c>
      <x:c r="B75" s="19" t="str">
        <x:v>生炒清远鸡</x:v>
      </x:c>
      <x:c r="C75" s="19" t="str">
        <x:v>调料</x:v>
      </x:c>
      <x:c r="D75" s="19" t="str">
        <x:v>I047</x:v>
      </x:c>
      <x:c r="E75" s="19" t="str">
        <x:v>精盐</x:v>
      </x:c>
      <x:c r="F75" s="33" t="n">
        <x:v>3</x:v>
      </x:c>
      <x:c r="G75" s="24" t="n">
        <x:f>XLOOKUP(D75,'食材采购价'!$A$5:$A$60,'食材采购价'!$D$5:$D$60,0)</x:f>
        <x:v>2</x:v>
      </x:c>
      <x:c r="H75" s="24" t="n">
        <x:f>F75/1000*G75</x:f>
        <x:v>0.006</x:v>
      </x:c>
      <x:c r="I75" s="19" t="str">
        <x:v>S-按菜名与常见配方估算</x:v>
      </x:c>
      <x:c r="J75" s="19" t="str">
        <x:v>中</x:v>
      </x:c>
      <x:c r="K75" s="19" t="str">
        <x:v>S-按菜名与常见配方估算</x:v>
      </x:c>
    </x:row>
    <x:row r="76">
      <x:c r="A76" s="19" t="str">
        <x:v>D09</x:v>
      </x:c>
      <x:c r="B76" s="19" t="str">
        <x:v>炒豆干</x:v>
      </x:c>
      <x:c r="C76" s="19" t="str">
        <x:v>食材</x:v>
      </x:c>
      <x:c r="D76" s="19" t="str">
        <x:v>I027</x:v>
      </x:c>
      <x:c r="E76" s="19" t="str">
        <x:v>豆干</x:v>
      </x:c>
      <x:c r="F76" s="33" t="n">
        <x:v>300</x:v>
      </x:c>
      <x:c r="G76" s="24" t="n">
        <x:f>XLOOKUP(D76,'食材采购价'!$A$5:$A$60,'食材采购价'!$D$5:$D$60,0)</x:f>
        <x:v>12</x:v>
      </x:c>
      <x:c r="H76" s="24" t="n">
        <x:f>F76/1000*G76</x:f>
        <x:v>3.5999999999999996</x:v>
      </x:c>
      <x:c r="I76" s="19" t="str">
        <x:v>S-按菜名与常见配方估算</x:v>
      </x:c>
      <x:c r="J76" s="19" t="str">
        <x:v>中</x:v>
      </x:c>
      <x:c r="K76" s="19" t="str">
        <x:v>S-按菜名与常见配方估算</x:v>
      </x:c>
    </x:row>
    <x:row r="77">
      <x:c r="A77" s="19" t="str">
        <x:v>D09</x:v>
      </x:c>
      <x:c r="B77" s="19" t="str">
        <x:v>炒豆干</x:v>
      </x:c>
      <x:c r="C77" s="19" t="str">
        <x:v>食材</x:v>
      </x:c>
      <x:c r="D77" s="19" t="str">
        <x:v>I014</x:v>
      </x:c>
      <x:c r="E77" s="19" t="str">
        <x:v>青椒</x:v>
      </x:c>
      <x:c r="F77" s="33" t="n">
        <x:v>150</x:v>
      </x:c>
      <x:c r="G77" s="24" t="n">
        <x:f>XLOOKUP(D77,'食材采购价'!$A$5:$A$60,'食材采购价'!$D$5:$D$60,0)</x:f>
        <x:v>7</x:v>
      </x:c>
      <x:c r="H77" s="24" t="n">
        <x:f>F77/1000*G77</x:f>
        <x:v>1.05</x:v>
      </x:c>
      <x:c r="I77" s="19" t="str">
        <x:v>S-按菜名与常见配方估算</x:v>
      </x:c>
      <x:c r="J77" s="19" t="str">
        <x:v>中</x:v>
      </x:c>
      <x:c r="K77" s="19" t="str">
        <x:v>S-按菜名与常见配方估算</x:v>
      </x:c>
    </x:row>
    <x:row r="78">
      <x:c r="A78" s="19" t="str">
        <x:v>D09</x:v>
      </x:c>
      <x:c r="B78" s="19" t="str">
        <x:v>炒豆干</x:v>
      </x:c>
      <x:c r="C78" s="19" t="str">
        <x:v>食材</x:v>
      </x:c>
      <x:c r="D78" s="19" t="str">
        <x:v>I002</x:v>
      </x:c>
      <x:c r="E78" s="19" t="str">
        <x:v>瘦肉片</x:v>
      </x:c>
      <x:c r="F78" s="33" t="n">
        <x:v>50</x:v>
      </x:c>
      <x:c r="G78" s="24" t="n">
        <x:f>XLOOKUP(D78,'食材采购价'!$A$5:$A$60,'食材采购价'!$D$5:$D$60,0)</x:f>
        <x:v>28</x:v>
      </x:c>
      <x:c r="H78" s="24" t="n">
        <x:f>F78/1000*G78</x:f>
        <x:v>1.4000000000000001</x:v>
      </x:c>
      <x:c r="I78" s="19" t="str">
        <x:v>S-按菜名与常见配方估算</x:v>
      </x:c>
      <x:c r="J78" s="19" t="str">
        <x:v>中</x:v>
      </x:c>
      <x:c r="K78" s="19" t="str">
        <x:v>S-按菜名与常见配方估算</x:v>
      </x:c>
    </x:row>
    <x:row r="79">
      <x:c r="A79" s="19" t="str">
        <x:v>D09</x:v>
      </x:c>
      <x:c r="B79" s="19" t="str">
        <x:v>炒豆干</x:v>
      </x:c>
      <x:c r="C79" s="19" t="str">
        <x:v>食材</x:v>
      </x:c>
      <x:c r="D79" s="19" t="str">
        <x:v>I019</x:v>
      </x:c>
      <x:c r="E79" s="19" t="str">
        <x:v>拍蒜粒</x:v>
      </x:c>
      <x:c r="F79" s="33" t="n">
        <x:v>20</x:v>
      </x:c>
      <x:c r="G79" s="24" t="n">
        <x:f>XLOOKUP(D79,'食材采购价'!$A$5:$A$60,'食材采购价'!$D$5:$D$60,0)</x:f>
        <x:v>10</x:v>
      </x:c>
      <x:c r="H79" s="24" t="n">
        <x:f>F79/1000*G79</x:f>
        <x:v>0.2</x:v>
      </x:c>
      <x:c r="I79" s="19" t="str">
        <x:v>S-按菜名与常见配方估算</x:v>
      </x:c>
      <x:c r="J79" s="19" t="str">
        <x:v>中</x:v>
      </x:c>
      <x:c r="K79" s="19" t="str">
        <x:v>S-按菜名与常见配方估算</x:v>
      </x:c>
    </x:row>
    <x:row r="80">
      <x:c r="A80" s="19" t="str">
        <x:v>D09</x:v>
      </x:c>
      <x:c r="B80" s="19" t="str">
        <x:v>炒豆干</x:v>
      </x:c>
      <x:c r="C80" s="19" t="str">
        <x:v>调料</x:v>
      </x:c>
      <x:c r="D80" s="19" t="str">
        <x:v>I044</x:v>
      </x:c>
      <x:c r="E80" s="19" t="str">
        <x:v>色拉油</x:v>
      </x:c>
      <x:c r="F80" s="33" t="n">
        <x:v>30</x:v>
      </x:c>
      <x:c r="G80" s="24" t="n">
        <x:f>XLOOKUP(D80,'食材采购价'!$A$5:$A$60,'食材采购价'!$D$5:$D$60,0)</x:f>
        <x:v>10</x:v>
      </x:c>
      <x:c r="H80" s="24" t="n">
        <x:f>F80/1000*G80</x:f>
        <x:v>0.3</x:v>
      </x:c>
      <x:c r="I80" s="19" t="str">
        <x:v>S-按菜名与常见配方估算</x:v>
      </x:c>
      <x:c r="J80" s="19" t="str">
        <x:v>中</x:v>
      </x:c>
      <x:c r="K80" s="19" t="str">
        <x:v>S-按菜名与常见配方估算</x:v>
      </x:c>
    </x:row>
    <x:row r="81">
      <x:c r="A81" s="19" t="str">
        <x:v>D09</x:v>
      </x:c>
      <x:c r="B81" s="19" t="str">
        <x:v>炒豆干</x:v>
      </x:c>
      <x:c r="C81" s="19" t="str">
        <x:v>调料</x:v>
      </x:c>
      <x:c r="D81" s="19" t="str">
        <x:v>I048</x:v>
      </x:c>
      <x:c r="E81" s="19" t="str">
        <x:v>生抽</x:v>
      </x:c>
      <x:c r="F81" s="33" t="n">
        <x:v>10</x:v>
      </x:c>
      <x:c r="G81" s="24" t="n">
        <x:f>XLOOKUP(D81,'食材采购价'!$A$5:$A$60,'食材采购价'!$D$5:$D$60,0)</x:f>
        <x:v>6</x:v>
      </x:c>
      <x:c r="H81" s="24" t="n">
        <x:f>F81/1000*G81</x:f>
        <x:v>0.06</x:v>
      </x:c>
      <x:c r="I81" s="19" t="str">
        <x:v>S-按菜名与常见配方估算</x:v>
      </x:c>
      <x:c r="J81" s="19" t="str">
        <x:v>中</x:v>
      </x:c>
      <x:c r="K81" s="19" t="str">
        <x:v>S-按菜名与常见配方估算</x:v>
      </x:c>
    </x:row>
    <x:row r="82">
      <x:c r="A82" s="19" t="str">
        <x:v>D09</x:v>
      </x:c>
      <x:c r="B82" s="19" t="str">
        <x:v>炒豆干</x:v>
      </x:c>
      <x:c r="C82" s="19" t="str">
        <x:v>调料</x:v>
      </x:c>
      <x:c r="D82" s="19" t="str">
        <x:v>I047</x:v>
      </x:c>
      <x:c r="E82" s="19" t="str">
        <x:v>精盐</x:v>
      </x:c>
      <x:c r="F82" s="33" t="n">
        <x:v>2</x:v>
      </x:c>
      <x:c r="G82" s="24" t="n">
        <x:f>XLOOKUP(D82,'食材采购价'!$A$5:$A$60,'食材采购价'!$D$5:$D$60,0)</x:f>
        <x:v>2</x:v>
      </x:c>
      <x:c r="H82" s="24" t="n">
        <x:f>F82/1000*G82</x:f>
        <x:v>0.004</x:v>
      </x:c>
      <x:c r="I82" s="19" t="str">
        <x:v>S-按菜名与常见配方估算</x:v>
      </x:c>
      <x:c r="J82" s="19" t="str">
        <x:v>中</x:v>
      </x:c>
      <x:c r="K82" s="19" t="str">
        <x:v>S-按菜名与常见配方估算</x:v>
      </x:c>
    </x:row>
    <x:row r="83">
      <x:c r="A83" s="19" t="str">
        <x:v>D10</x:v>
      </x:c>
      <x:c r="B83" s="19" t="str">
        <x:v>农家一碗香</x:v>
      </x:c>
      <x:c r="C83" s="19" t="str">
        <x:v>食材</x:v>
      </x:c>
      <x:c r="D83" s="19" t="str">
        <x:v>I001</x:v>
      </x:c>
      <x:c r="E83" s="19" t="str">
        <x:v>肥肉片</x:v>
      </x:c>
      <x:c r="F83" s="33" t="n">
        <x:v>50</x:v>
      </x:c>
      <x:c r="G83" s="24" t="n">
        <x:f>XLOOKUP(D83,'食材采购价'!$A$5:$A$60,'食材采购价'!$D$5:$D$60,0)</x:f>
        <x:v>18</x:v>
      </x:c>
      <x:c r="H83" s="24" t="n">
        <x:f>F83/1000*G83</x:f>
        <x:v>0.9</x:v>
      </x:c>
      <x:c r="I83" s="19" t="str">
        <x:v>F-炒菜机截图</x:v>
      </x:c>
      <x:c r="J83" s="19" t="str">
        <x:v>高</x:v>
      </x:c>
      <x:c r="K83" s="19" t="str">
        <x:v>F-炒菜机截图</x:v>
      </x:c>
    </x:row>
    <x:row r="84">
      <x:c r="A84" s="19" t="str">
        <x:v>D10</x:v>
      </x:c>
      <x:c r="B84" s="19" t="str">
        <x:v>农家一碗香</x:v>
      </x:c>
      <x:c r="C84" s="19" t="str">
        <x:v>食材</x:v>
      </x:c>
      <x:c r="D84" s="19" t="str">
        <x:v>I019</x:v>
      </x:c>
      <x:c r="E84" s="19" t="str">
        <x:v>拍蒜粒</x:v>
      </x:c>
      <x:c r="F84" s="33" t="n">
        <x:v>30</x:v>
      </x:c>
      <x:c r="G84" s="24" t="n">
        <x:f>XLOOKUP(D84,'食材采购价'!$A$5:$A$60,'食材采购价'!$D$5:$D$60,0)</x:f>
        <x:v>10</x:v>
      </x:c>
      <x:c r="H84" s="24" t="n">
        <x:f>F84/1000*G84</x:f>
        <x:v>0.3</x:v>
      </x:c>
      <x:c r="I84" s="19" t="str">
        <x:v>F-炒菜机截图</x:v>
      </x:c>
      <x:c r="J84" s="19" t="str">
        <x:v>高</x:v>
      </x:c>
      <x:c r="K84" s="19" t="str">
        <x:v>F-炒菜机截图</x:v>
      </x:c>
    </x:row>
    <x:row r="85">
      <x:c r="A85" s="19" t="str">
        <x:v>D10</x:v>
      </x:c>
      <x:c r="B85" s="19" t="str">
        <x:v>农家一碗香</x:v>
      </x:c>
      <x:c r="C85" s="19" t="str">
        <x:v>食材</x:v>
      </x:c>
      <x:c r="D85" s="19" t="str">
        <x:v>I002</x:v>
      </x:c>
      <x:c r="E85" s="19" t="str">
        <x:v>瘦肉片</x:v>
      </x:c>
      <x:c r="F85" s="33" t="n">
        <x:v>200</x:v>
      </x:c>
      <x:c r="G85" s="24" t="n">
        <x:f>XLOOKUP(D85,'食材采购价'!$A$5:$A$60,'食材采购价'!$D$5:$D$60,0)</x:f>
        <x:v>28</x:v>
      </x:c>
      <x:c r="H85" s="24" t="n">
        <x:f>F85/1000*G85</x:f>
        <x:v>5.6000000000000005</x:v>
      </x:c>
      <x:c r="I85" s="19" t="str">
        <x:v>F-炒菜机截图</x:v>
      </x:c>
      <x:c r="J85" s="19" t="str">
        <x:v>高</x:v>
      </x:c>
      <x:c r="K85" s="19" t="str">
        <x:v>F-炒菜机截图</x:v>
      </x:c>
    </x:row>
    <x:row r="86">
      <x:c r="A86" s="19" t="str">
        <x:v>D10</x:v>
      </x:c>
      <x:c r="B86" s="19" t="str">
        <x:v>农家一碗香</x:v>
      </x:c>
      <x:c r="C86" s="19" t="str">
        <x:v>食材</x:v>
      </x:c>
      <x:c r="D86" s="19" t="str">
        <x:v>I013</x:v>
      </x:c>
      <x:c r="E86" s="19" t="str">
        <x:v>青湖南椒圈</x:v>
      </x:c>
      <x:c r="F86" s="33" t="n">
        <x:v>100</x:v>
      </x:c>
      <x:c r="G86" s="24" t="n">
        <x:f>XLOOKUP(D86,'食材采购价'!$A$5:$A$60,'食材采购价'!$D$5:$D$60,0)</x:f>
        <x:v>8</x:v>
      </x:c>
      <x:c r="H86" s="24" t="n">
        <x:f>F86/1000*G86</x:f>
        <x:v>0.8</x:v>
      </x:c>
      <x:c r="I86" s="19" t="str">
        <x:v>F-炒菜机截图</x:v>
      </x:c>
      <x:c r="J86" s="19" t="str">
        <x:v>高</x:v>
      </x:c>
      <x:c r="K86" s="19" t="str">
        <x:v>F-炒菜机截图</x:v>
      </x:c>
    </x:row>
    <x:row r="87">
      <x:c r="A87" s="19" t="str">
        <x:v>D10</x:v>
      </x:c>
      <x:c r="B87" s="19" t="str">
        <x:v>农家一碗香</x:v>
      </x:c>
      <x:c r="C87" s="19" t="str">
        <x:v>食材</x:v>
      </x:c>
      <x:c r="D87" s="19" t="str">
        <x:v>I023</x:v>
      </x:c>
      <x:c r="E87" s="19" t="str">
        <x:v>炒好的鸡蛋</x:v>
      </x:c>
      <x:c r="F87" s="33" t="n">
        <x:v>100</x:v>
      </x:c>
      <x:c r="G87" s="24" t="n">
        <x:f>XLOOKUP(D87,'食材采购价'!$A$5:$A$60,'食材采购价'!$D$5:$D$60,0)</x:f>
        <x:v>12</x:v>
      </x:c>
      <x:c r="H87" s="24" t="n">
        <x:f>F87/1000*G87</x:f>
        <x:v>1.2000000000000002</x:v>
      </x:c>
      <x:c r="I87" s="19" t="str">
        <x:v>F-炒菜机截图</x:v>
      </x:c>
      <x:c r="J87" s="19" t="str">
        <x:v>高</x:v>
      </x:c>
      <x:c r="K87" s="19" t="str">
        <x:v>F-炒菜机截图</x:v>
      </x:c>
    </x:row>
    <x:row r="88">
      <x:c r="A88" s="19" t="str">
        <x:v>D10</x:v>
      </x:c>
      <x:c r="B88" s="19" t="str">
        <x:v>农家一碗香</x:v>
      </x:c>
      <x:c r="C88" s="19" t="str">
        <x:v>食材</x:v>
      </x:c>
      <x:c r="D88" s="19" t="str">
        <x:v>I020</x:v>
      </x:c>
      <x:c r="E88" s="19" t="str">
        <x:v>蒜苗粒</x:v>
      </x:c>
      <x:c r="F88" s="33" t="n">
        <x:v>30</x:v>
      </x:c>
      <x:c r="G88" s="24" t="n">
        <x:f>XLOOKUP(D88,'食材采购价'!$A$5:$A$60,'食材采购价'!$D$5:$D$60,0)</x:f>
        <x:v>8</x:v>
      </x:c>
      <x:c r="H88" s="24" t="n">
        <x:f>F88/1000*G88</x:f>
        <x:v>0.24</x:v>
      </x:c>
      <x:c r="I88" s="19" t="str">
        <x:v>F-炒菜机截图</x:v>
      </x:c>
      <x:c r="J88" s="19" t="str">
        <x:v>高</x:v>
      </x:c>
      <x:c r="K88" s="19" t="str">
        <x:v>F-炒菜机截图</x:v>
      </x:c>
    </x:row>
    <x:row r="89">
      <x:c r="A89" s="19" t="str">
        <x:v>D10</x:v>
      </x:c>
      <x:c r="B89" s="19" t="str">
        <x:v>农家一碗香</x:v>
      </x:c>
      <x:c r="C89" s="19" t="str">
        <x:v>调料</x:v>
      </x:c>
      <x:c r="D89" s="19" t="str">
        <x:v>I045</x:v>
      </x:c>
      <x:c r="E89" s="19" t="str">
        <x:v>花生油</x:v>
      </x:c>
      <x:c r="F89" s="33" t="n">
        <x:v>40</x:v>
      </x:c>
      <x:c r="G89" s="24" t="n">
        <x:f>XLOOKUP(D89,'食材采购价'!$A$5:$A$60,'食材采购价'!$D$5:$D$60,0)</x:f>
        <x:v>13</x:v>
      </x:c>
      <x:c r="H89" s="24" t="n">
        <x:f>F89/1000*G89</x:f>
        <x:v>0.52</x:v>
      </x:c>
      <x:c r="I89" s="19" t="str">
        <x:v>F-炒菜机截图</x:v>
      </x:c>
      <x:c r="J89" s="19" t="str">
        <x:v>高</x:v>
      </x:c>
      <x:c r="K89" s="19" t="str">
        <x:v>F-炒菜机截图</x:v>
      </x:c>
    </x:row>
    <x:row r="90">
      <x:c r="A90" s="19" t="str">
        <x:v>D10</x:v>
      </x:c>
      <x:c r="B90" s="19" t="str">
        <x:v>农家一碗香</x:v>
      </x:c>
      <x:c r="C90" s="19" t="str">
        <x:v>调料</x:v>
      </x:c>
      <x:c r="D90" s="19" t="str">
        <x:v>I049</x:v>
      </x:c>
      <x:c r="E90" s="19" t="str">
        <x:v>老抽</x:v>
      </x:c>
      <x:c r="F90" s="33" t="n">
        <x:v>3</x:v>
      </x:c>
      <x:c r="G90" s="24" t="n">
        <x:f>XLOOKUP(D90,'食材采购价'!$A$5:$A$60,'食材采购价'!$D$5:$D$60,0)</x:f>
        <x:v>7</x:v>
      </x:c>
      <x:c r="H90" s="24" t="n">
        <x:f>F90/1000*G90</x:f>
        <x:v>0.021</x:v>
      </x:c>
      <x:c r="I90" s="19" t="str">
        <x:v>F-炒菜机截图</x:v>
      </x:c>
      <x:c r="J90" s="19" t="str">
        <x:v>高</x:v>
      </x:c>
      <x:c r="K90" s="19" t="str">
        <x:v>F-炒菜机截图</x:v>
      </x:c>
    </x:row>
    <x:row r="91">
      <x:c r="A91" s="19" t="str">
        <x:v>D10</x:v>
      </x:c>
      <x:c r="B91" s="19" t="str">
        <x:v>农家一碗香</x:v>
      </x:c>
      <x:c r="C91" s="19" t="str">
        <x:v>调料</x:v>
      </x:c>
      <x:c r="D91" s="19" t="str">
        <x:v>I053</x:v>
      </x:c>
      <x:c r="E91" s="19" t="str">
        <x:v>水</x:v>
      </x:c>
      <x:c r="F91" s="33" t="n">
        <x:v>20</x:v>
      </x:c>
      <x:c r="G91" s="24" t="n">
        <x:f>XLOOKUP(D91,'食材采购价'!$A$5:$A$60,'食材采购价'!$D$5:$D$60,0)</x:f>
        <x:v>0.01</x:v>
      </x:c>
      <x:c r="H91" s="24" t="n">
        <x:f>F91/1000*G91</x:f>
        <x:v>0.0002</x:v>
      </x:c>
      <x:c r="I91" s="19" t="str">
        <x:v>F-炒菜机截图</x:v>
      </x:c>
      <x:c r="J91" s="19" t="str">
        <x:v>高</x:v>
      </x:c>
      <x:c r="K91" s="19" t="str">
        <x:v>F-炒菜机截图</x:v>
      </x:c>
    </x:row>
    <x:row r="92">
      <x:c r="A92" s="19" t="str">
        <x:v>D10</x:v>
      </x:c>
      <x:c r="B92" s="19" t="str">
        <x:v>农家一碗香</x:v>
      </x:c>
      <x:c r="C92" s="19" t="str">
        <x:v>调料</x:v>
      </x:c>
      <x:c r="D92" s="19" t="str">
        <x:v>I047</x:v>
      </x:c>
      <x:c r="E92" s="19" t="str">
        <x:v>精盐</x:v>
      </x:c>
      <x:c r="F92" s="33" t="n">
        <x:v>3</x:v>
      </x:c>
      <x:c r="G92" s="24" t="n">
        <x:f>XLOOKUP(D92,'食材采购价'!$A$5:$A$60,'食材采购价'!$D$5:$D$60,0)</x:f>
        <x:v>2</x:v>
      </x:c>
      <x:c r="H92" s="24" t="n">
        <x:f>F92/1000*G92</x:f>
        <x:v>0.006</x:v>
      </x:c>
      <x:c r="I92" s="19" t="str">
        <x:v>F-炒菜机截图</x:v>
      </x:c>
      <x:c r="J92" s="19" t="str">
        <x:v>高</x:v>
      </x:c>
      <x:c r="K92" s="19" t="str">
        <x:v>F-炒菜机截图</x:v>
      </x:c>
    </x:row>
    <x:row r="93">
      <x:c r="A93" s="19" t="str">
        <x:v>D10</x:v>
      </x:c>
      <x:c r="B93" s="19" t="str">
        <x:v>农家一碗香</x:v>
      </x:c>
      <x:c r="C93" s="19" t="str">
        <x:v>调料</x:v>
      </x:c>
      <x:c r="D93" s="19" t="str">
        <x:v>I051</x:v>
      </x:c>
      <x:c r="E93" s="19" t="str">
        <x:v>鸡精</x:v>
      </x:c>
      <x:c r="F93" s="33" t="n">
        <x:v>3</x:v>
      </x:c>
      <x:c r="G93" s="24" t="n">
        <x:f>XLOOKUP(D93,'食材采购价'!$A$5:$A$60,'食材采购价'!$D$5:$D$60,0)</x:f>
        <x:v>18</x:v>
      </x:c>
      <x:c r="H93" s="24" t="n">
        <x:f>F93/1000*G93</x:f>
        <x:v>0.054</x:v>
      </x:c>
      <x:c r="I93" s="19" t="str">
        <x:v>F-炒菜机截图</x:v>
      </x:c>
      <x:c r="J93" s="19" t="str">
        <x:v>高</x:v>
      </x:c>
      <x:c r="K93" s="19" t="str">
        <x:v>F-炒菜机截图</x:v>
      </x:c>
    </x:row>
    <x:row r="94">
      <x:c r="A94" s="19" t="str">
        <x:v>D10</x:v>
      </x:c>
      <x:c r="B94" s="19" t="str">
        <x:v>农家一碗香</x:v>
      </x:c>
      <x:c r="C94" s="19" t="str">
        <x:v>调料</x:v>
      </x:c>
      <x:c r="D94" s="19" t="str">
        <x:v>I052</x:v>
      </x:c>
      <x:c r="E94" s="19" t="str">
        <x:v>白砂糖</x:v>
      </x:c>
      <x:c r="F94" s="33" t="n">
        <x:v>3</x:v>
      </x:c>
      <x:c r="G94" s="24" t="n">
        <x:f>XLOOKUP(D94,'食材采购价'!$A$5:$A$60,'食材采购价'!$D$5:$D$60,0)</x:f>
        <x:v>7</x:v>
      </x:c>
      <x:c r="H94" s="24" t="n">
        <x:f>F94/1000*G94</x:f>
        <x:v>0.021</x:v>
      </x:c>
      <x:c r="I94" s="19" t="str">
        <x:v>F-炒菜机截图</x:v>
      </x:c>
      <x:c r="J94" s="19" t="str">
        <x:v>高</x:v>
      </x:c>
      <x:c r="K94" s="19" t="str">
        <x:v>F-炒菜机截图</x:v>
      </x:c>
    </x:row>
    <x:row r="95">
      <x:c r="A95" s="19" t="str">
        <x:v>D10</x:v>
      </x:c>
      <x:c r="B95" s="19" t="str">
        <x:v>农家一碗香</x:v>
      </x:c>
      <x:c r="C95" s="19" t="str">
        <x:v>调料</x:v>
      </x:c>
      <x:c r="D95" s="19" t="str">
        <x:v>I048</x:v>
      </x:c>
      <x:c r="E95" s="19" t="str">
        <x:v>生抽</x:v>
      </x:c>
      <x:c r="F95" s="33" t="n">
        <x:v>10</x:v>
      </x:c>
      <x:c r="G95" s="24" t="n">
        <x:f>XLOOKUP(D95,'食材采购价'!$A$5:$A$60,'食材采购价'!$D$5:$D$60,0)</x:f>
        <x:v>6</x:v>
      </x:c>
      <x:c r="H95" s="24" t="n">
        <x:f>F95/1000*G95</x:f>
        <x:v>0.06</x:v>
      </x:c>
      <x:c r="I95" s="19" t="str">
        <x:v>F-炒菜机截图</x:v>
      </x:c>
      <x:c r="J95" s="19" t="str">
        <x:v>高</x:v>
      </x:c>
      <x:c r="K95" s="19" t="str">
        <x:v>F-炒菜机截图</x:v>
      </x:c>
    </x:row>
    <x:row r="96">
      <x:c r="A96" s="19" t="str">
        <x:v>D10</x:v>
      </x:c>
      <x:c r="B96" s="19" t="str">
        <x:v>农家一碗香</x:v>
      </x:c>
      <x:c r="C96" s="19" t="str">
        <x:v>调料</x:v>
      </x:c>
      <x:c r="D96" s="19" t="str">
        <x:v>I050</x:v>
      </x:c>
      <x:c r="E96" s="19" t="str">
        <x:v>蚝油</x:v>
      </x:c>
      <x:c r="F96" s="33" t="n">
        <x:v>6</x:v>
      </x:c>
      <x:c r="G96" s="24" t="n">
        <x:f>XLOOKUP(D96,'食材采购价'!$A$5:$A$60,'食材采购价'!$D$5:$D$60,0)</x:f>
        <x:v>8</x:v>
      </x:c>
      <x:c r="H96" s="24" t="n">
        <x:f>F96/1000*G96</x:f>
        <x:v>0.048</x:v>
      </x:c>
      <x:c r="I96" s="19" t="str">
        <x:v>S-截图末行被遮挡，暂按6g</x:v>
      </x:c>
      <x:c r="J96" s="19" t="str">
        <x:v>中</x:v>
      </x:c>
      <x:c r="K96" s="19" t="str">
        <x:v>S-截图末行被遮挡，暂按6g</x:v>
      </x:c>
    </x:row>
    <x:row r="97">
      <x:c r="A97" s="19" t="str">
        <x:v>D11</x:v>
      </x:c>
      <x:c r="B97" s="19" t="str">
        <x:v>香辣爆肥肠</x:v>
      </x:c>
      <x:c r="C97" s="19" t="str">
        <x:v>食材</x:v>
      </x:c>
      <x:c r="D97" s="19" t="str">
        <x:v>I006</x:v>
      </x:c>
      <x:c r="E97" s="19" t="str">
        <x:v>肥肠</x:v>
      </x:c>
      <x:c r="F97" s="33" t="n">
        <x:v>250</x:v>
      </x:c>
      <x:c r="G97" s="24" t="n">
        <x:f>XLOOKUP(D97,'食材采购价'!$A$5:$A$60,'食材采购价'!$D$5:$D$60,0)</x:f>
        <x:v>34</x:v>
      </x:c>
      <x:c r="H97" s="24" t="n">
        <x:f>F97/1000*G97</x:f>
        <x:v>8.5</x:v>
      </x:c>
      <x:c r="I97" s="19" t="str">
        <x:v>S-按菜名与常见配方估算</x:v>
      </x:c>
      <x:c r="J97" s="19" t="str">
        <x:v>中</x:v>
      </x:c>
      <x:c r="K97" s="19" t="str">
        <x:v>S-按菜名与常见配方估算</x:v>
      </x:c>
    </x:row>
    <x:row r="98">
      <x:c r="A98" s="19" t="str">
        <x:v>D11</x:v>
      </x:c>
      <x:c r="B98" s="19" t="str">
        <x:v>香辣爆肥肠</x:v>
      </x:c>
      <x:c r="C98" s="19" t="str">
        <x:v>食材</x:v>
      </x:c>
      <x:c r="D98" s="19" t="str">
        <x:v>I014</x:v>
      </x:c>
      <x:c r="E98" s="19" t="str">
        <x:v>青椒</x:v>
      </x:c>
      <x:c r="F98" s="33" t="n">
        <x:v>100</x:v>
      </x:c>
      <x:c r="G98" s="24" t="n">
        <x:f>XLOOKUP(D98,'食材采购价'!$A$5:$A$60,'食材采购价'!$D$5:$D$60,0)</x:f>
        <x:v>7</x:v>
      </x:c>
      <x:c r="H98" s="24" t="n">
        <x:f>F98/1000*G98</x:f>
        <x:v>0.7000000000000001</x:v>
      </x:c>
      <x:c r="I98" s="19" t="str">
        <x:v>S-按菜名与常见配方估算</x:v>
      </x:c>
      <x:c r="J98" s="19" t="str">
        <x:v>中</x:v>
      </x:c>
      <x:c r="K98" s="19" t="str">
        <x:v>S-按菜名与常见配方估算</x:v>
      </x:c>
    </x:row>
    <x:row r="99">
      <x:c r="A99" s="19" t="str">
        <x:v>D11</x:v>
      </x:c>
      <x:c r="B99" s="19" t="str">
        <x:v>香辣爆肥肠</x:v>
      </x:c>
      <x:c r="C99" s="19" t="str">
        <x:v>食材</x:v>
      </x:c>
      <x:c r="D99" s="19" t="str">
        <x:v>I018</x:v>
      </x:c>
      <x:c r="E99" s="19" t="str">
        <x:v>芹菜段</x:v>
      </x:c>
      <x:c r="F99" s="33" t="n">
        <x:v>50</x:v>
      </x:c>
      <x:c r="G99" s="24" t="n">
        <x:f>XLOOKUP(D99,'食材采购价'!$A$5:$A$60,'食材采购价'!$D$5:$D$60,0)</x:f>
        <x:v>6</x:v>
      </x:c>
      <x:c r="H99" s="24" t="n">
        <x:f>F99/1000*G99</x:f>
        <x:v>0.30000000000000004</x:v>
      </x:c>
      <x:c r="I99" s="19" t="str">
        <x:v>S-按菜名与常见配方估算</x:v>
      </x:c>
      <x:c r="J99" s="19" t="str">
        <x:v>中</x:v>
      </x:c>
      <x:c r="K99" s="19" t="str">
        <x:v>S-按菜名与常见配方估算</x:v>
      </x:c>
    </x:row>
    <x:row r="100">
      <x:c r="A100" s="19" t="str">
        <x:v>D11</x:v>
      </x:c>
      <x:c r="B100" s="19" t="str">
        <x:v>香辣爆肥肠</x:v>
      </x:c>
      <x:c r="C100" s="19" t="str">
        <x:v>食材</x:v>
      </x:c>
      <x:c r="D100" s="19" t="str">
        <x:v>I019</x:v>
      </x:c>
      <x:c r="E100" s="19" t="str">
        <x:v>拍蒜粒</x:v>
      </x:c>
      <x:c r="F100" s="33" t="n">
        <x:v>30</x:v>
      </x:c>
      <x:c r="G100" s="24" t="n">
        <x:f>XLOOKUP(D100,'食材采购价'!$A$5:$A$60,'食材采购价'!$D$5:$D$60,0)</x:f>
        <x:v>10</x:v>
      </x:c>
      <x:c r="H100" s="24" t="n">
        <x:f>F100/1000*G100</x:f>
        <x:v>0.3</x:v>
      </x:c>
      <x:c r="I100" s="19" t="str">
        <x:v>S-按菜名与常见配方估算</x:v>
      </x:c>
      <x:c r="J100" s="19" t="str">
        <x:v>中</x:v>
      </x:c>
      <x:c r="K100" s="19" t="str">
        <x:v>S-按菜名与常见配方估算</x:v>
      </x:c>
    </x:row>
    <x:row r="101">
      <x:c r="A101" s="19" t="str">
        <x:v>D11</x:v>
      </x:c>
      <x:c r="B101" s="19" t="str">
        <x:v>香辣爆肥肠</x:v>
      </x:c>
      <x:c r="C101" s="19" t="str">
        <x:v>调料</x:v>
      </x:c>
      <x:c r="D101" s="19" t="str">
        <x:v>I044</x:v>
      </x:c>
      <x:c r="E101" s="19" t="str">
        <x:v>色拉油</x:v>
      </x:c>
      <x:c r="F101" s="33" t="n">
        <x:v>50</x:v>
      </x:c>
      <x:c r="G101" s="24" t="n">
        <x:f>XLOOKUP(D101,'食材采购价'!$A$5:$A$60,'食材采购价'!$D$5:$D$60,0)</x:f>
        <x:v>10</x:v>
      </x:c>
      <x:c r="H101" s="24" t="n">
        <x:f>F101/1000*G101</x:f>
        <x:v>0.5</x:v>
      </x:c>
      <x:c r="I101" s="19" t="str">
        <x:v>S-按菜名与常见配方估算</x:v>
      </x:c>
      <x:c r="J101" s="19" t="str">
        <x:v>中</x:v>
      </x:c>
      <x:c r="K101" s="19" t="str">
        <x:v>S-按菜名与常见配方估算</x:v>
      </x:c>
    </x:row>
    <x:row r="102">
      <x:c r="A102" s="19" t="str">
        <x:v>D11</x:v>
      </x:c>
      <x:c r="B102" s="19" t="str">
        <x:v>香辣爆肥肠</x:v>
      </x:c>
      <x:c r="C102" s="19" t="str">
        <x:v>调料</x:v>
      </x:c>
      <x:c r="D102" s="19" t="str">
        <x:v>I048</x:v>
      </x:c>
      <x:c r="E102" s="19" t="str">
        <x:v>生抽</x:v>
      </x:c>
      <x:c r="F102" s="33" t="n">
        <x:v>12</x:v>
      </x:c>
      <x:c r="G102" s="24" t="n">
        <x:f>XLOOKUP(D102,'食材采购价'!$A$5:$A$60,'食材采购价'!$D$5:$D$60,0)</x:f>
        <x:v>6</x:v>
      </x:c>
      <x:c r="H102" s="24" t="n">
        <x:f>F102/1000*G102</x:f>
        <x:v>0.07200000000000001</x:v>
      </x:c>
      <x:c r="I102" s="19" t="str">
        <x:v>S-按菜名与常见配方估算</x:v>
      </x:c>
      <x:c r="J102" s="19" t="str">
        <x:v>中</x:v>
      </x:c>
      <x:c r="K102" s="19" t="str">
        <x:v>S-按菜名与常见配方估算</x:v>
      </x:c>
    </x:row>
    <x:row r="103">
      <x:c r="A103" s="19" t="str">
        <x:v>D11</x:v>
      </x:c>
      <x:c r="B103" s="19" t="str">
        <x:v>香辣爆肥肠</x:v>
      </x:c>
      <x:c r="C103" s="19" t="str">
        <x:v>调料</x:v>
      </x:c>
      <x:c r="D103" s="19" t="str">
        <x:v>I049</x:v>
      </x:c>
      <x:c r="E103" s="19" t="str">
        <x:v>老抽</x:v>
      </x:c>
      <x:c r="F103" s="33" t="n">
        <x:v>3</x:v>
      </x:c>
      <x:c r="G103" s="24" t="n">
        <x:f>XLOOKUP(D103,'食材采购价'!$A$5:$A$60,'食材采购价'!$D$5:$D$60,0)</x:f>
        <x:v>7</x:v>
      </x:c>
      <x:c r="H103" s="24" t="n">
        <x:f>F103/1000*G103</x:f>
        <x:v>0.021</x:v>
      </x:c>
      <x:c r="I103" s="19" t="str">
        <x:v>S-按菜名与常见配方估算</x:v>
      </x:c>
      <x:c r="J103" s="19" t="str">
        <x:v>中</x:v>
      </x:c>
      <x:c r="K103" s="19" t="str">
        <x:v>S-按菜名与常见配方估算</x:v>
      </x:c>
    </x:row>
    <x:row r="104">
      <x:c r="A104" s="19" t="str">
        <x:v>D11</x:v>
      </x:c>
      <x:c r="B104" s="19" t="str">
        <x:v>香辣爆肥肠</x:v>
      </x:c>
      <x:c r="C104" s="19" t="str">
        <x:v>调料</x:v>
      </x:c>
      <x:c r="D104" s="19" t="str">
        <x:v>I047</x:v>
      </x:c>
      <x:c r="E104" s="19" t="str">
        <x:v>精盐</x:v>
      </x:c>
      <x:c r="F104" s="33" t="n">
        <x:v>2</x:v>
      </x:c>
      <x:c r="G104" s="24" t="n">
        <x:f>XLOOKUP(D104,'食材采购价'!$A$5:$A$60,'食材采购价'!$D$5:$D$60,0)</x:f>
        <x:v>2</x:v>
      </x:c>
      <x:c r="H104" s="24" t="n">
        <x:f>F104/1000*G104</x:f>
        <x:v>0.004</x:v>
      </x:c>
      <x:c r="I104" s="19" t="str">
        <x:v>S-按菜名与常见配方估算</x:v>
      </x:c>
      <x:c r="J104" s="19" t="str">
        <x:v>中</x:v>
      </x:c>
      <x:c r="K104" s="19" t="str">
        <x:v>S-按菜名与常见配方估算</x:v>
      </x:c>
    </x:row>
    <x:row r="105">
      <x:c r="A105" s="19" t="str">
        <x:v>D12</x:v>
      </x:c>
      <x:c r="B105" s="19" t="str">
        <x:v>清蒸鲈鱼</x:v>
      </x:c>
      <x:c r="C105" s="19" t="str">
        <x:v>食材</x:v>
      </x:c>
      <x:c r="D105" s="19" t="str">
        <x:v>I009</x:v>
      </x:c>
      <x:c r="E105" s="19" t="str">
        <x:v>鲈鱼</x:v>
      </x:c>
      <x:c r="F105" s="33" t="n">
        <x:v>500</x:v>
      </x:c>
      <x:c r="G105" s="24" t="n">
        <x:f>XLOOKUP(D105,'食材采购价'!$A$5:$A$60,'食材采购价'!$D$5:$D$60,0)</x:f>
        <x:v>36</x:v>
      </x:c>
      <x:c r="H105" s="24" t="n">
        <x:f>F105/1000*G105</x:f>
        <x:v>18</x:v>
      </x:c>
      <x:c r="I105" s="19" t="str">
        <x:v>S-按菜名与常见配方估算</x:v>
      </x:c>
      <x:c r="J105" s="19" t="str">
        <x:v>中</x:v>
      </x:c>
      <x:c r="K105" s="19" t="str">
        <x:v>S-按菜名与常见配方估算</x:v>
      </x:c>
    </x:row>
    <x:row r="106">
      <x:c r="A106" s="19" t="str">
        <x:v>D12</x:v>
      </x:c>
      <x:c r="B106" s="19" t="str">
        <x:v>清蒸鲈鱼</x:v>
      </x:c>
      <x:c r="C106" s="19" t="str">
        <x:v>食材</x:v>
      </x:c>
      <x:c r="D106" s="19" t="str">
        <x:v>I030</x:v>
      </x:c>
      <x:c r="E106" s="19" t="str">
        <x:v>生姜</x:v>
      </x:c>
      <x:c r="F106" s="33" t="n">
        <x:v>20</x:v>
      </x:c>
      <x:c r="G106" s="24" t="n">
        <x:f>XLOOKUP(D106,'食材采购价'!$A$5:$A$60,'食材采购价'!$D$5:$D$60,0)</x:f>
        <x:v>9</x:v>
      </x:c>
      <x:c r="H106" s="24" t="n">
        <x:f>F106/1000*G106</x:f>
        <x:v>0.18</x:v>
      </x:c>
      <x:c r="I106" s="19" t="str">
        <x:v>S-按菜名与常见配方估算</x:v>
      </x:c>
      <x:c r="J106" s="19" t="str">
        <x:v>中</x:v>
      </x:c>
      <x:c r="K106" s="19" t="str">
        <x:v>S-按菜名与常见配方估算</x:v>
      </x:c>
    </x:row>
    <x:row r="107">
      <x:c r="A107" s="19" t="str">
        <x:v>D12</x:v>
      </x:c>
      <x:c r="B107" s="19" t="str">
        <x:v>清蒸鲈鱼</x:v>
      </x:c>
      <x:c r="C107" s="19" t="str">
        <x:v>食材</x:v>
      </x:c>
      <x:c r="D107" s="19" t="str">
        <x:v>I031</x:v>
      </x:c>
      <x:c r="E107" s="19" t="str">
        <x:v>葱</x:v>
      </x:c>
      <x:c r="F107" s="33" t="n">
        <x:v>30</x:v>
      </x:c>
      <x:c r="G107" s="24" t="n">
        <x:f>XLOOKUP(D107,'食材采购价'!$A$5:$A$60,'食材采购价'!$D$5:$D$60,0)</x:f>
        <x:v>8</x:v>
      </x:c>
      <x:c r="H107" s="24" t="n">
        <x:f>F107/1000*G107</x:f>
        <x:v>0.24</x:v>
      </x:c>
      <x:c r="I107" s="19" t="str">
        <x:v>S-按菜名与常见配方估算</x:v>
      </x:c>
      <x:c r="J107" s="19" t="str">
        <x:v>中</x:v>
      </x:c>
      <x:c r="K107" s="19" t="str">
        <x:v>S-按菜名与常见配方估算</x:v>
      </x:c>
    </x:row>
    <x:row r="108">
      <x:c r="A108" s="19" t="str">
        <x:v>D12</x:v>
      </x:c>
      <x:c r="B108" s="19" t="str">
        <x:v>清蒸鲈鱼</x:v>
      </x:c>
      <x:c r="C108" s="19" t="str">
        <x:v>调料</x:v>
      </x:c>
      <x:c r="D108" s="19" t="str">
        <x:v>I055</x:v>
      </x:c>
      <x:c r="E108" s="19" t="str">
        <x:v>蒸鱼豉油</x:v>
      </x:c>
      <x:c r="F108" s="33" t="n">
        <x:v>25</x:v>
      </x:c>
      <x:c r="G108" s="24" t="n">
        <x:f>XLOOKUP(D108,'食材采购价'!$A$5:$A$60,'食材采购价'!$D$5:$D$60,0)</x:f>
        <x:v>10</x:v>
      </x:c>
      <x:c r="H108" s="24" t="n">
        <x:f>F108/1000*G108</x:f>
        <x:v>0.25</x:v>
      </x:c>
      <x:c r="I108" s="19" t="str">
        <x:v>S-按菜名与常见配方估算</x:v>
      </x:c>
      <x:c r="J108" s="19" t="str">
        <x:v>中</x:v>
      </x:c>
      <x:c r="K108" s="19" t="str">
        <x:v>S-按菜名与常见配方估算</x:v>
      </x:c>
    </x:row>
    <x:row r="109">
      <x:c r="A109" s="19" t="str">
        <x:v>D12</x:v>
      </x:c>
      <x:c r="B109" s="19" t="str">
        <x:v>清蒸鲈鱼</x:v>
      </x:c>
      <x:c r="C109" s="19" t="str">
        <x:v>调料</x:v>
      </x:c>
      <x:c r="D109" s="19" t="str">
        <x:v>I044</x:v>
      </x:c>
      <x:c r="E109" s="19" t="str">
        <x:v>色拉油</x:v>
      </x:c>
      <x:c r="F109" s="33" t="n">
        <x:v>20</x:v>
      </x:c>
      <x:c r="G109" s="24" t="n">
        <x:f>XLOOKUP(D109,'食材采购价'!$A$5:$A$60,'食材采购价'!$D$5:$D$60,0)</x:f>
        <x:v>10</x:v>
      </x:c>
      <x:c r="H109" s="24" t="n">
        <x:f>F109/1000*G109</x:f>
        <x:v>0.2</x:v>
      </x:c>
      <x:c r="I109" s="19" t="str">
        <x:v>S-按菜名与常见配方估算</x:v>
      </x:c>
      <x:c r="J109" s="19" t="str">
        <x:v>中</x:v>
      </x:c>
      <x:c r="K109" s="19" t="str">
        <x:v>S-按菜名与常见配方估算</x:v>
      </x:c>
    </x:row>
    <x:row r="110">
      <x:c r="A110" s="19" t="str">
        <x:v>D12</x:v>
      </x:c>
      <x:c r="B110" s="19" t="str">
        <x:v>清蒸鲈鱼</x:v>
      </x:c>
      <x:c r="C110" s="19" t="str">
        <x:v>调料</x:v>
      </x:c>
      <x:c r="D110" s="19" t="str">
        <x:v>I047</x:v>
      </x:c>
      <x:c r="E110" s="19" t="str">
        <x:v>精盐</x:v>
      </x:c>
      <x:c r="F110" s="33" t="n">
        <x:v>2</x:v>
      </x:c>
      <x:c r="G110" s="24" t="n">
        <x:f>XLOOKUP(D110,'食材采购价'!$A$5:$A$60,'食材采购价'!$D$5:$D$60,0)</x:f>
        <x:v>2</x:v>
      </x:c>
      <x:c r="H110" s="24" t="n">
        <x:f>F110/1000*G110</x:f>
        <x:v>0.004</x:v>
      </x:c>
      <x:c r="I110" s="19" t="str">
        <x:v>S-按菜名与常见配方估算</x:v>
      </x:c>
      <x:c r="J110" s="19" t="str">
        <x:v>中</x:v>
      </x:c>
      <x:c r="K110" s="19" t="str">
        <x:v>S-按菜名与常见配方估算</x:v>
      </x:c>
    </x:row>
    <x:row r="111">
      <x:c r="A111" s="19" t="str">
        <x:v>D13</x:v>
      </x:c>
      <x:c r="B111" s="19" t="str">
        <x:v>外婆菜炒蛋</x:v>
      </x:c>
      <x:c r="C111" s="19" t="str">
        <x:v>食材</x:v>
      </x:c>
      <x:c r="D111" s="19" t="str">
        <x:v>I033</x:v>
      </x:c>
      <x:c r="E111" s="19" t="str">
        <x:v>外婆菜</x:v>
      </x:c>
      <x:c r="F111" s="33" t="n">
        <x:v>150</x:v>
      </x:c>
      <x:c r="G111" s="24" t="n">
        <x:f>XLOOKUP(D111,'食材采购价'!$A$5:$A$60,'食材采购价'!$D$5:$D$60,0)</x:f>
        <x:v>13</x:v>
      </x:c>
      <x:c r="H111" s="24" t="n">
        <x:f>F111/1000*G111</x:f>
        <x:v>1.95</x:v>
      </x:c>
      <x:c r="I111" s="19" t="str">
        <x:v>S-按菜名与常见配方估算</x:v>
      </x:c>
      <x:c r="J111" s="19" t="str">
        <x:v>中</x:v>
      </x:c>
      <x:c r="K111" s="19" t="str">
        <x:v>S-按菜名与常见配方估算</x:v>
      </x:c>
    </x:row>
    <x:row r="112">
      <x:c r="A112" s="19" t="str">
        <x:v>D13</x:v>
      </x:c>
      <x:c r="B112" s="19" t="str">
        <x:v>外婆菜炒蛋</x:v>
      </x:c>
      <x:c r="C112" s="19" t="str">
        <x:v>食材</x:v>
      </x:c>
      <x:c r="D112" s="19" t="str">
        <x:v>I022</x:v>
      </x:c>
      <x:c r="E112" s="19" t="str">
        <x:v>鸡蛋</x:v>
      </x:c>
      <x:c r="F112" s="33" t="n">
        <x:v>250</x:v>
      </x:c>
      <x:c r="G112" s="24" t="n">
        <x:f>XLOOKUP(D112,'食材采购价'!$A$5:$A$60,'食材采购价'!$D$5:$D$60,0)</x:f>
        <x:v>11</x:v>
      </x:c>
      <x:c r="H112" s="24" t="n">
        <x:f>F112/1000*G112</x:f>
        <x:v>2.75</x:v>
      </x:c>
      <x:c r="I112" s="19" t="str">
        <x:v>S-按菜名与常见配方估算</x:v>
      </x:c>
      <x:c r="J112" s="19" t="str">
        <x:v>中</x:v>
      </x:c>
      <x:c r="K112" s="19" t="str">
        <x:v>S-按菜名与常见配方估算</x:v>
      </x:c>
    </x:row>
    <x:row r="113">
      <x:c r="A113" s="19" t="str">
        <x:v>D13</x:v>
      </x:c>
      <x:c r="B113" s="19" t="str">
        <x:v>外婆菜炒蛋</x:v>
      </x:c>
      <x:c r="C113" s="19" t="str">
        <x:v>食材</x:v>
      </x:c>
      <x:c r="D113" s="19" t="str">
        <x:v>I014</x:v>
      </x:c>
      <x:c r="E113" s="19" t="str">
        <x:v>青椒</x:v>
      </x:c>
      <x:c r="F113" s="33" t="n">
        <x:v>50</x:v>
      </x:c>
      <x:c r="G113" s="24" t="n">
        <x:f>XLOOKUP(D113,'食材采购价'!$A$5:$A$60,'食材采购价'!$D$5:$D$60,0)</x:f>
        <x:v>7</x:v>
      </x:c>
      <x:c r="H113" s="24" t="n">
        <x:f>F113/1000*G113</x:f>
        <x:v>0.35000000000000003</x:v>
      </x:c>
      <x:c r="I113" s="19" t="str">
        <x:v>S-按菜名与常见配方估算</x:v>
      </x:c>
      <x:c r="J113" s="19" t="str">
        <x:v>中</x:v>
      </x:c>
      <x:c r="K113" s="19" t="str">
        <x:v>S-按菜名与常见配方估算</x:v>
      </x:c>
    </x:row>
    <x:row r="114">
      <x:c r="A114" s="19" t="str">
        <x:v>D13</x:v>
      </x:c>
      <x:c r="B114" s="19" t="str">
        <x:v>外婆菜炒蛋</x:v>
      </x:c>
      <x:c r="C114" s="19" t="str">
        <x:v>调料</x:v>
      </x:c>
      <x:c r="D114" s="19" t="str">
        <x:v>I044</x:v>
      </x:c>
      <x:c r="E114" s="19" t="str">
        <x:v>色拉油</x:v>
      </x:c>
      <x:c r="F114" s="33" t="n">
        <x:v>35</x:v>
      </x:c>
      <x:c r="G114" s="24" t="n">
        <x:f>XLOOKUP(D114,'食材采购价'!$A$5:$A$60,'食材采购价'!$D$5:$D$60,0)</x:f>
        <x:v>10</x:v>
      </x:c>
      <x:c r="H114" s="24" t="n">
        <x:f>F114/1000*G114</x:f>
        <x:v>0.35000000000000003</x:v>
      </x:c>
      <x:c r="I114" s="19" t="str">
        <x:v>S-按菜名与常见配方估算</x:v>
      </x:c>
      <x:c r="J114" s="19" t="str">
        <x:v>中</x:v>
      </x:c>
      <x:c r="K114" s="19" t="str">
        <x:v>S-按菜名与常见配方估算</x:v>
      </x:c>
    </x:row>
    <x:row r="115">
      <x:c r="A115" s="19" t="str">
        <x:v>D13</x:v>
      </x:c>
      <x:c r="B115" s="19" t="str">
        <x:v>外婆菜炒蛋</x:v>
      </x:c>
      <x:c r="C115" s="19" t="str">
        <x:v>调料</x:v>
      </x:c>
      <x:c r="D115" s="19" t="str">
        <x:v>I047</x:v>
      </x:c>
      <x:c r="E115" s="19" t="str">
        <x:v>精盐</x:v>
      </x:c>
      <x:c r="F115" s="33" t="n">
        <x:v>2</x:v>
      </x:c>
      <x:c r="G115" s="24" t="n">
        <x:f>XLOOKUP(D115,'食材采购价'!$A$5:$A$60,'食材采购价'!$D$5:$D$60,0)</x:f>
        <x:v>2</x:v>
      </x:c>
      <x:c r="H115" s="24" t="n">
        <x:f>F115/1000*G115</x:f>
        <x:v>0.004</x:v>
      </x:c>
      <x:c r="I115" s="19" t="str">
        <x:v>S-按菜名与常见配方估算</x:v>
      </x:c>
      <x:c r="J115" s="19" t="str">
        <x:v>中</x:v>
      </x:c>
      <x:c r="K115" s="19" t="str">
        <x:v>S-按菜名与常见配方估算</x:v>
      </x:c>
    </x:row>
    <x:row r="116">
      <x:c r="A116" s="19" t="str">
        <x:v>D14</x:v>
      </x:c>
      <x:c r="B116" s="19" t="str">
        <x:v>酸辣鸡杂</x:v>
      </x:c>
      <x:c r="C116" s="19" t="str">
        <x:v>食材</x:v>
      </x:c>
      <x:c r="D116" s="19" t="str">
        <x:v>I008</x:v>
      </x:c>
      <x:c r="E116" s="19" t="str">
        <x:v>鸡杂</x:v>
      </x:c>
      <x:c r="F116" s="33" t="n">
        <x:v>250</x:v>
      </x:c>
      <x:c r="G116" s="24" t="n">
        <x:f>XLOOKUP(D116,'食材采购价'!$A$5:$A$60,'食材采购价'!$D$5:$D$60,0)</x:f>
        <x:v>22</x:v>
      </x:c>
      <x:c r="H116" s="24" t="n">
        <x:f>F116/1000*G116</x:f>
        <x:v>5.5</x:v>
      </x:c>
      <x:c r="I116" s="19" t="str">
        <x:v>S-按菜名与常见配方估算</x:v>
      </x:c>
      <x:c r="J116" s="19" t="str">
        <x:v>中</x:v>
      </x:c>
      <x:c r="K116" s="19" t="str">
        <x:v>S-按菜名与常见配方估算</x:v>
      </x:c>
    </x:row>
    <x:row r="117">
      <x:c r="A117" s="19" t="str">
        <x:v>D14</x:v>
      </x:c>
      <x:c r="B117" s="19" t="str">
        <x:v>酸辣鸡杂</x:v>
      </x:c>
      <x:c r="C117" s="19" t="str">
        <x:v>食材</x:v>
      </x:c>
      <x:c r="D117" s="19" t="str">
        <x:v>I017</x:v>
      </x:c>
      <x:c r="E117" s="19" t="str">
        <x:v>泡野山椒粒</x:v>
      </x:c>
      <x:c r="F117" s="33" t="n">
        <x:v>100</x:v>
      </x:c>
      <x:c r="G117" s="24" t="n">
        <x:f>XLOOKUP(D117,'食材采购价'!$A$5:$A$60,'食材采购价'!$D$5:$D$60,0)</x:f>
        <x:v>15</x:v>
      </x:c>
      <x:c r="H117" s="24" t="n">
        <x:f>F117/1000*G117</x:f>
        <x:v>1.5</x:v>
      </x:c>
      <x:c r="I117" s="19" t="str">
        <x:v>S-按菜名与常见配方估算</x:v>
      </x:c>
      <x:c r="J117" s="19" t="str">
        <x:v>中</x:v>
      </x:c>
      <x:c r="K117" s="19" t="str">
        <x:v>S-按菜名与常见配方估算</x:v>
      </x:c>
    </x:row>
    <x:row r="118">
      <x:c r="A118" s="19" t="str">
        <x:v>D14</x:v>
      </x:c>
      <x:c r="B118" s="19" t="str">
        <x:v>酸辣鸡杂</x:v>
      </x:c>
      <x:c r="C118" s="19" t="str">
        <x:v>食材</x:v>
      </x:c>
      <x:c r="D118" s="19" t="str">
        <x:v>I018</x:v>
      </x:c>
      <x:c r="E118" s="19" t="str">
        <x:v>芹菜段</x:v>
      </x:c>
      <x:c r="F118" s="33" t="n">
        <x:v>100</x:v>
      </x:c>
      <x:c r="G118" s="24" t="n">
        <x:f>XLOOKUP(D118,'食材采购价'!$A$5:$A$60,'食材采购价'!$D$5:$D$60,0)</x:f>
        <x:v>6</x:v>
      </x:c>
      <x:c r="H118" s="24" t="n">
        <x:f>F118/1000*G118</x:f>
        <x:v>0.6000000000000001</x:v>
      </x:c>
      <x:c r="I118" s="19" t="str">
        <x:v>S-按菜名与常见配方估算</x:v>
      </x:c>
      <x:c r="J118" s="19" t="str">
        <x:v>中</x:v>
      </x:c>
      <x:c r="K118" s="19" t="str">
        <x:v>S-按菜名与常见配方估算</x:v>
      </x:c>
    </x:row>
    <x:row r="119">
      <x:c r="A119" s="19" t="str">
        <x:v>D14</x:v>
      </x:c>
      <x:c r="B119" s="19" t="str">
        <x:v>酸辣鸡杂</x:v>
      </x:c>
      <x:c r="C119" s="19" t="str">
        <x:v>食材</x:v>
      </x:c>
      <x:c r="D119" s="19" t="str">
        <x:v>I019</x:v>
      </x:c>
      <x:c r="E119" s="19" t="str">
        <x:v>拍蒜粒</x:v>
      </x:c>
      <x:c r="F119" s="33" t="n">
        <x:v>20</x:v>
      </x:c>
      <x:c r="G119" s="24" t="n">
        <x:f>XLOOKUP(D119,'食材采购价'!$A$5:$A$60,'食材采购价'!$D$5:$D$60,0)</x:f>
        <x:v>10</x:v>
      </x:c>
      <x:c r="H119" s="24" t="n">
        <x:f>F119/1000*G119</x:f>
        <x:v>0.2</x:v>
      </x:c>
      <x:c r="I119" s="19" t="str">
        <x:v>S-按菜名与常见配方估算</x:v>
      </x:c>
      <x:c r="J119" s="19" t="str">
        <x:v>中</x:v>
      </x:c>
      <x:c r="K119" s="19" t="str">
        <x:v>S-按菜名与常见配方估算</x:v>
      </x:c>
    </x:row>
    <x:row r="120">
      <x:c r="A120" s="19" t="str">
        <x:v>D14</x:v>
      </x:c>
      <x:c r="B120" s="19" t="str">
        <x:v>酸辣鸡杂</x:v>
      </x:c>
      <x:c r="C120" s="19" t="str">
        <x:v>调料</x:v>
      </x:c>
      <x:c r="D120" s="19" t="str">
        <x:v>I044</x:v>
      </x:c>
      <x:c r="E120" s="19" t="str">
        <x:v>色拉油</x:v>
      </x:c>
      <x:c r="F120" s="33" t="n">
        <x:v>35</x:v>
      </x:c>
      <x:c r="G120" s="24" t="n">
        <x:f>XLOOKUP(D120,'食材采购价'!$A$5:$A$60,'食材采购价'!$D$5:$D$60,0)</x:f>
        <x:v>10</x:v>
      </x:c>
      <x:c r="H120" s="24" t="n">
        <x:f>F120/1000*G120</x:f>
        <x:v>0.35000000000000003</x:v>
      </x:c>
      <x:c r="I120" s="19" t="str">
        <x:v>S-按菜名与常见配方估算</x:v>
      </x:c>
      <x:c r="J120" s="19" t="str">
        <x:v>中</x:v>
      </x:c>
      <x:c r="K120" s="19" t="str">
        <x:v>S-按菜名与常见配方估算</x:v>
      </x:c>
    </x:row>
    <x:row r="121">
      <x:c r="A121" s="19" t="str">
        <x:v>D14</x:v>
      </x:c>
      <x:c r="B121" s="19" t="str">
        <x:v>酸辣鸡杂</x:v>
      </x:c>
      <x:c r="C121" s="19" t="str">
        <x:v>调料</x:v>
      </x:c>
      <x:c r="D121" s="19" t="str">
        <x:v>I054</x:v>
      </x:c>
      <x:c r="E121" s="19" t="str">
        <x:v>香醋</x:v>
      </x:c>
      <x:c r="F121" s="33" t="n">
        <x:v>15</x:v>
      </x:c>
      <x:c r="G121" s="24" t="n">
        <x:f>XLOOKUP(D121,'食材采购价'!$A$5:$A$60,'食材采购价'!$D$5:$D$60,0)</x:f>
        <x:v>7</x:v>
      </x:c>
      <x:c r="H121" s="24" t="n">
        <x:f>F121/1000*G121</x:f>
        <x:v>0.105</x:v>
      </x:c>
      <x:c r="I121" s="19" t="str">
        <x:v>S-按菜名与常见配方估算</x:v>
      </x:c>
      <x:c r="J121" s="19" t="str">
        <x:v>中</x:v>
      </x:c>
      <x:c r="K121" s="19" t="str">
        <x:v>S-按菜名与常见配方估算</x:v>
      </x:c>
    </x:row>
    <x:row r="122">
      <x:c r="A122" s="19" t="str">
        <x:v>D14</x:v>
      </x:c>
      <x:c r="B122" s="19" t="str">
        <x:v>酸辣鸡杂</x:v>
      </x:c>
      <x:c r="C122" s="19" t="str">
        <x:v>调料</x:v>
      </x:c>
      <x:c r="D122" s="19" t="str">
        <x:v>I048</x:v>
      </x:c>
      <x:c r="E122" s="19" t="str">
        <x:v>生抽</x:v>
      </x:c>
      <x:c r="F122" s="33" t="n">
        <x:v>10</x:v>
      </x:c>
      <x:c r="G122" s="24" t="n">
        <x:f>XLOOKUP(D122,'食材采购价'!$A$5:$A$60,'食材采购价'!$D$5:$D$60,0)</x:f>
        <x:v>6</x:v>
      </x:c>
      <x:c r="H122" s="24" t="n">
        <x:f>F122/1000*G122</x:f>
        <x:v>0.06</x:v>
      </x:c>
      <x:c r="I122" s="19" t="str">
        <x:v>S-按菜名与常见配方估算</x:v>
      </x:c>
      <x:c r="J122" s="19" t="str">
        <x:v>中</x:v>
      </x:c>
      <x:c r="K122" s="19" t="str">
        <x:v>S-按菜名与常见配方估算</x:v>
      </x:c>
    </x:row>
    <x:row r="123">
      <x:c r="A123" s="19" t="str">
        <x:v>D15</x:v>
      </x:c>
      <x:c r="B123" s="19" t="str">
        <x:v>湘西土匪猪肝</x:v>
      </x:c>
      <x:c r="C123" s="19" t="str">
        <x:v>食材</x:v>
      </x:c>
      <x:c r="D123" s="19" t="str">
        <x:v>I005</x:v>
      </x:c>
      <x:c r="E123" s="19" t="str">
        <x:v>猪肝</x:v>
      </x:c>
      <x:c r="F123" s="33" t="n">
        <x:v>250</x:v>
      </x:c>
      <x:c r="G123" s="24" t="n">
        <x:f>XLOOKUP(D123,'食材采购价'!$A$5:$A$60,'食材采购价'!$D$5:$D$60,0)</x:f>
        <x:v>18</x:v>
      </x:c>
      <x:c r="H123" s="24" t="n">
        <x:f>F123/1000*G123</x:f>
        <x:v>4.5</x:v>
      </x:c>
      <x:c r="I123" s="19" t="str">
        <x:v>S-按菜名与常见配方估算</x:v>
      </x:c>
      <x:c r="J123" s="19" t="str">
        <x:v>中</x:v>
      </x:c>
      <x:c r="K123" s="19" t="str">
        <x:v>S-按菜名与常见配方估算</x:v>
      </x:c>
    </x:row>
    <x:row r="124">
      <x:c r="A124" s="19" t="str">
        <x:v>D15</x:v>
      </x:c>
      <x:c r="B124" s="19" t="str">
        <x:v>湘西土匪猪肝</x:v>
      </x:c>
      <x:c r="C124" s="19" t="str">
        <x:v>食材</x:v>
      </x:c>
      <x:c r="D124" s="19" t="str">
        <x:v>I014</x:v>
      </x:c>
      <x:c r="E124" s="19" t="str">
        <x:v>青椒</x:v>
      </x:c>
      <x:c r="F124" s="33" t="n">
        <x:v>150</x:v>
      </x:c>
      <x:c r="G124" s="24" t="n">
        <x:f>XLOOKUP(D124,'食材采购价'!$A$5:$A$60,'食材采购价'!$D$5:$D$60,0)</x:f>
        <x:v>7</x:v>
      </x:c>
      <x:c r="H124" s="24" t="n">
        <x:f>F124/1000*G124</x:f>
        <x:v>1.05</x:v>
      </x:c>
      <x:c r="I124" s="19" t="str">
        <x:v>S-按菜名与常见配方估算</x:v>
      </x:c>
      <x:c r="J124" s="19" t="str">
        <x:v>中</x:v>
      </x:c>
      <x:c r="K124" s="19" t="str">
        <x:v>S-按菜名与常见配方估算</x:v>
      </x:c>
    </x:row>
    <x:row r="125">
      <x:c r="A125" s="19" t="str">
        <x:v>D15</x:v>
      </x:c>
      <x:c r="B125" s="19" t="str">
        <x:v>湘西土匪猪肝</x:v>
      </x:c>
      <x:c r="C125" s="19" t="str">
        <x:v>食材</x:v>
      </x:c>
      <x:c r="D125" s="19" t="str">
        <x:v>I040</x:v>
      </x:c>
      <x:c r="E125" s="19" t="str">
        <x:v>洋葱</x:v>
      </x:c>
      <x:c r="F125" s="33" t="n">
        <x:v>50</x:v>
      </x:c>
      <x:c r="G125" s="24" t="n">
        <x:f>XLOOKUP(D125,'食材采购价'!$A$5:$A$60,'食材采购价'!$D$5:$D$60,0)</x:f>
        <x:v>4</x:v>
      </x:c>
      <x:c r="H125" s="24" t="n">
        <x:f>F125/1000*G125</x:f>
        <x:v>0.2</x:v>
      </x:c>
      <x:c r="I125" s="19" t="str">
        <x:v>S-按菜名与常见配方估算</x:v>
      </x:c>
      <x:c r="J125" s="19" t="str">
        <x:v>中</x:v>
      </x:c>
      <x:c r="K125" s="19" t="str">
        <x:v>S-按菜名与常见配方估算</x:v>
      </x:c>
    </x:row>
    <x:row r="126">
      <x:c r="A126" s="19" t="str">
        <x:v>D15</x:v>
      </x:c>
      <x:c r="B126" s="19" t="str">
        <x:v>湘西土匪猪肝</x:v>
      </x:c>
      <x:c r="C126" s="19" t="str">
        <x:v>食材</x:v>
      </x:c>
      <x:c r="D126" s="19" t="str">
        <x:v>I019</x:v>
      </x:c>
      <x:c r="E126" s="19" t="str">
        <x:v>拍蒜粒</x:v>
      </x:c>
      <x:c r="F126" s="33" t="n">
        <x:v>20</x:v>
      </x:c>
      <x:c r="G126" s="24" t="n">
        <x:f>XLOOKUP(D126,'食材采购价'!$A$5:$A$60,'食材采购价'!$D$5:$D$60,0)</x:f>
        <x:v>10</x:v>
      </x:c>
      <x:c r="H126" s="24" t="n">
        <x:f>F126/1000*G126</x:f>
        <x:v>0.2</x:v>
      </x:c>
      <x:c r="I126" s="19" t="str">
        <x:v>S-按菜名与常见配方估算</x:v>
      </x:c>
      <x:c r="J126" s="19" t="str">
        <x:v>中</x:v>
      </x:c>
      <x:c r="K126" s="19" t="str">
        <x:v>S-按菜名与常见配方估算</x:v>
      </x:c>
    </x:row>
    <x:row r="127">
      <x:c r="A127" s="19" t="str">
        <x:v>D15</x:v>
      </x:c>
      <x:c r="B127" s="19" t="str">
        <x:v>湘西土匪猪肝</x:v>
      </x:c>
      <x:c r="C127" s="19" t="str">
        <x:v>调料</x:v>
      </x:c>
      <x:c r="D127" s="19" t="str">
        <x:v>I044</x:v>
      </x:c>
      <x:c r="E127" s="19" t="str">
        <x:v>色拉油</x:v>
      </x:c>
      <x:c r="F127" s="33" t="n">
        <x:v>35</x:v>
      </x:c>
      <x:c r="G127" s="24" t="n">
        <x:f>XLOOKUP(D127,'食材采购价'!$A$5:$A$60,'食材采购价'!$D$5:$D$60,0)</x:f>
        <x:v>10</x:v>
      </x:c>
      <x:c r="H127" s="24" t="n">
        <x:f>F127/1000*G127</x:f>
        <x:v>0.35000000000000003</x:v>
      </x:c>
      <x:c r="I127" s="19" t="str">
        <x:v>S-按菜名与常见配方估算</x:v>
      </x:c>
      <x:c r="J127" s="19" t="str">
        <x:v>中</x:v>
      </x:c>
      <x:c r="K127" s="19" t="str">
        <x:v>S-按菜名与常见配方估算</x:v>
      </x:c>
    </x:row>
    <x:row r="128">
      <x:c r="A128" s="19" t="str">
        <x:v>D15</x:v>
      </x:c>
      <x:c r="B128" s="19" t="str">
        <x:v>湘西土匪猪肝</x:v>
      </x:c>
      <x:c r="C128" s="19" t="str">
        <x:v>调料</x:v>
      </x:c>
      <x:c r="D128" s="19" t="str">
        <x:v>I048</x:v>
      </x:c>
      <x:c r="E128" s="19" t="str">
        <x:v>生抽</x:v>
      </x:c>
      <x:c r="F128" s="33" t="n">
        <x:v>12</x:v>
      </x:c>
      <x:c r="G128" s="24" t="n">
        <x:f>XLOOKUP(D128,'食材采购价'!$A$5:$A$60,'食材采购价'!$D$5:$D$60,0)</x:f>
        <x:v>6</x:v>
      </x:c>
      <x:c r="H128" s="24" t="n">
        <x:f>F128/1000*G128</x:f>
        <x:v>0.07200000000000001</x:v>
      </x:c>
      <x:c r="I128" s="19" t="str">
        <x:v>S-按菜名与常见配方估算</x:v>
      </x:c>
      <x:c r="J128" s="19" t="str">
        <x:v>中</x:v>
      </x:c>
      <x:c r="K128" s="19" t="str">
        <x:v>S-按菜名与常见配方估算</x:v>
      </x:c>
    </x:row>
    <x:row r="129">
      <x:c r="A129" s="19" t="str">
        <x:v>D15</x:v>
      </x:c>
      <x:c r="B129" s="19" t="str">
        <x:v>湘西土匪猪肝</x:v>
      </x:c>
      <x:c r="C129" s="19" t="str">
        <x:v>调料</x:v>
      </x:c>
      <x:c r="D129" s="19" t="str">
        <x:v>I047</x:v>
      </x:c>
      <x:c r="E129" s="19" t="str">
        <x:v>精盐</x:v>
      </x:c>
      <x:c r="F129" s="33" t="n">
        <x:v>2</x:v>
      </x:c>
      <x:c r="G129" s="24" t="n">
        <x:f>XLOOKUP(D129,'食材采购价'!$A$5:$A$60,'食材采购价'!$D$5:$D$60,0)</x:f>
        <x:v>2</x:v>
      </x:c>
      <x:c r="H129" s="24" t="n">
        <x:f>F129/1000*G129</x:f>
        <x:v>0.004</x:v>
      </x:c>
      <x:c r="I129" s="19" t="str">
        <x:v>S-按菜名与常见配方估算</x:v>
      </x:c>
      <x:c r="J129" s="19" t="str">
        <x:v>中</x:v>
      </x:c>
      <x:c r="K129" s="19" t="str">
        <x:v>S-按菜名与常见配方估算</x:v>
      </x:c>
    </x:row>
    <x:row r="130">
      <x:c r="A130" s="19" t="str">
        <x:v>D16</x:v>
      </x:c>
      <x:c r="B130" s="19" t="str">
        <x:v>小豆角炒五花</x:v>
      </x:c>
      <x:c r="C130" s="19" t="str">
        <x:v>食材</x:v>
      </x:c>
      <x:c r="D130" s="19" t="str">
        <x:v>I035</x:v>
      </x:c>
      <x:c r="E130" s="19" t="str">
        <x:v>小豆角</x:v>
      </x:c>
      <x:c r="F130" s="33" t="n">
        <x:v>250</x:v>
      </x:c>
      <x:c r="G130" s="24" t="n">
        <x:f>XLOOKUP(D130,'食材采购价'!$A$5:$A$60,'食材采购价'!$D$5:$D$60,0)</x:f>
        <x:v>9</x:v>
      </x:c>
      <x:c r="H130" s="24" t="n">
        <x:f>F130/1000*G130</x:f>
        <x:v>2.25</x:v>
      </x:c>
      <x:c r="I130" s="19" t="str">
        <x:v>S-按菜名与常见配方估算</x:v>
      </x:c>
      <x:c r="J130" s="19" t="str">
        <x:v>中</x:v>
      </x:c>
      <x:c r="K130" s="19" t="str">
        <x:v>S-按菜名与常见配方估算</x:v>
      </x:c>
    </x:row>
    <x:row r="131">
      <x:c r="A131" s="19" t="str">
        <x:v>D16</x:v>
      </x:c>
      <x:c r="B131" s="19" t="str">
        <x:v>小豆角炒五花</x:v>
      </x:c>
      <x:c r="C131" s="19" t="str">
        <x:v>食材</x:v>
      </x:c>
      <x:c r="D131" s="19" t="str">
        <x:v>I004</x:v>
      </x:c>
      <x:c r="E131" s="19" t="str">
        <x:v>猪五花</x:v>
      </x:c>
      <x:c r="F131" s="33" t="n">
        <x:v>150</x:v>
      </x:c>
      <x:c r="G131" s="24" t="n">
        <x:f>XLOOKUP(D131,'食材采购价'!$A$5:$A$60,'食材采购价'!$D$5:$D$60,0)</x:f>
        <x:v>31</x:v>
      </x:c>
      <x:c r="H131" s="24" t="n">
        <x:f>F131/1000*G131</x:f>
        <x:v>4.6499999999999995</x:v>
      </x:c>
      <x:c r="I131" s="19" t="str">
        <x:v>S-按菜名与常见配方估算</x:v>
      </x:c>
      <x:c r="J131" s="19" t="str">
        <x:v>中</x:v>
      </x:c>
      <x:c r="K131" s="19" t="str">
        <x:v>S-按菜名与常见配方估算</x:v>
      </x:c>
    </x:row>
    <x:row r="132">
      <x:c r="A132" s="19" t="str">
        <x:v>D16</x:v>
      </x:c>
      <x:c r="B132" s="19" t="str">
        <x:v>小豆角炒五花</x:v>
      </x:c>
      <x:c r="C132" s="19" t="str">
        <x:v>食材</x:v>
      </x:c>
      <x:c r="D132" s="19" t="str">
        <x:v>I019</x:v>
      </x:c>
      <x:c r="E132" s="19" t="str">
        <x:v>拍蒜粒</x:v>
      </x:c>
      <x:c r="F132" s="33" t="n">
        <x:v>20</x:v>
      </x:c>
      <x:c r="G132" s="24" t="n">
        <x:f>XLOOKUP(D132,'食材采购价'!$A$5:$A$60,'食材采购价'!$D$5:$D$60,0)</x:f>
        <x:v>10</x:v>
      </x:c>
      <x:c r="H132" s="24" t="n">
        <x:f>F132/1000*G132</x:f>
        <x:v>0.2</x:v>
      </x:c>
      <x:c r="I132" s="19" t="str">
        <x:v>S-按菜名与常见配方估算</x:v>
      </x:c>
      <x:c r="J132" s="19" t="str">
        <x:v>中</x:v>
      </x:c>
      <x:c r="K132" s="19" t="str">
        <x:v>S-按菜名与常见配方估算</x:v>
      </x:c>
    </x:row>
    <x:row r="133">
      <x:c r="A133" s="19" t="str">
        <x:v>D16</x:v>
      </x:c>
      <x:c r="B133" s="19" t="str">
        <x:v>小豆角炒五花</x:v>
      </x:c>
      <x:c r="C133" s="19" t="str">
        <x:v>食材</x:v>
      </x:c>
      <x:c r="D133" s="19" t="str">
        <x:v>I041</x:v>
      </x:c>
      <x:c r="E133" s="19" t="str">
        <x:v>干辣椒</x:v>
      </x:c>
      <x:c r="F133" s="33" t="n">
        <x:v>30</x:v>
      </x:c>
      <x:c r="G133" s="24" t="n">
        <x:f>XLOOKUP(D133,'食材采购价'!$A$5:$A$60,'食材采购价'!$D$5:$D$60,0)</x:f>
        <x:v>24</x:v>
      </x:c>
      <x:c r="H133" s="24" t="n">
        <x:f>F133/1000*G133</x:f>
        <x:v>0.72</x:v>
      </x:c>
      <x:c r="I133" s="19" t="str">
        <x:v>S-按菜名与常见配方估算</x:v>
      </x:c>
      <x:c r="J133" s="19" t="str">
        <x:v>中</x:v>
      </x:c>
      <x:c r="K133" s="19" t="str">
        <x:v>S-按菜名与常见配方估算</x:v>
      </x:c>
    </x:row>
    <x:row r="134">
      <x:c r="A134" s="19" t="str">
        <x:v>D16</x:v>
      </x:c>
      <x:c r="B134" s="19" t="str">
        <x:v>小豆角炒五花</x:v>
      </x:c>
      <x:c r="C134" s="19" t="str">
        <x:v>调料</x:v>
      </x:c>
      <x:c r="D134" s="19" t="str">
        <x:v>I044</x:v>
      </x:c>
      <x:c r="E134" s="19" t="str">
        <x:v>色拉油</x:v>
      </x:c>
      <x:c r="F134" s="33" t="n">
        <x:v>30</x:v>
      </x:c>
      <x:c r="G134" s="24" t="n">
        <x:f>XLOOKUP(D134,'食材采购价'!$A$5:$A$60,'食材采购价'!$D$5:$D$60,0)</x:f>
        <x:v>10</x:v>
      </x:c>
      <x:c r="H134" s="24" t="n">
        <x:f>F134/1000*G134</x:f>
        <x:v>0.3</x:v>
      </x:c>
      <x:c r="I134" s="19" t="str">
        <x:v>S-按菜名与常见配方估算</x:v>
      </x:c>
      <x:c r="J134" s="19" t="str">
        <x:v>中</x:v>
      </x:c>
      <x:c r="K134" s="19" t="str">
        <x:v>S-按菜名与常见配方估算</x:v>
      </x:c>
    </x:row>
    <x:row r="135">
      <x:c r="A135" s="19" t="str">
        <x:v>D16</x:v>
      </x:c>
      <x:c r="B135" s="19" t="str">
        <x:v>小豆角炒五花</x:v>
      </x:c>
      <x:c r="C135" s="19" t="str">
        <x:v>调料</x:v>
      </x:c>
      <x:c r="D135" s="19" t="str">
        <x:v>I048</x:v>
      </x:c>
      <x:c r="E135" s="19" t="str">
        <x:v>生抽</x:v>
      </x:c>
      <x:c r="F135" s="33" t="n">
        <x:v>10</x:v>
      </x:c>
      <x:c r="G135" s="24" t="n">
        <x:f>XLOOKUP(D135,'食材采购价'!$A$5:$A$60,'食材采购价'!$D$5:$D$60,0)</x:f>
        <x:v>6</x:v>
      </x:c>
      <x:c r="H135" s="24" t="n">
        <x:f>F135/1000*G135</x:f>
        <x:v>0.06</x:v>
      </x:c>
      <x:c r="I135" s="19" t="str">
        <x:v>S-按菜名与常见配方估算</x:v>
      </x:c>
      <x:c r="J135" s="19" t="str">
        <x:v>中</x:v>
      </x:c>
      <x:c r="K135" s="19" t="str">
        <x:v>S-按菜名与常见配方估算</x:v>
      </x:c>
    </x:row>
    <x:row r="136">
      <x:c r="A136" s="19" t="str">
        <x:v>D16</x:v>
      </x:c>
      <x:c r="B136" s="19" t="str">
        <x:v>小豆角炒五花</x:v>
      </x:c>
      <x:c r="C136" s="19" t="str">
        <x:v>调料</x:v>
      </x:c>
      <x:c r="D136" s="19" t="str">
        <x:v>I047</x:v>
      </x:c>
      <x:c r="E136" s="19" t="str">
        <x:v>精盐</x:v>
      </x:c>
      <x:c r="F136" s="33" t="n">
        <x:v>2</x:v>
      </x:c>
      <x:c r="G136" s="24" t="n">
        <x:f>XLOOKUP(D136,'食材采购价'!$A$5:$A$60,'食材采购价'!$D$5:$D$60,0)</x:f>
        <x:v>2</x:v>
      </x:c>
      <x:c r="H136" s="24" t="n">
        <x:f>F136/1000*G136</x:f>
        <x:v>0.004</x:v>
      </x:c>
      <x:c r="I136" s="19" t="str">
        <x:v>S-按菜名与常见配方估算</x:v>
      </x:c>
      <x:c r="J136" s="19" t="str">
        <x:v>中</x:v>
      </x:c>
      <x:c r="K136" s="19" t="str">
        <x:v>S-按菜名与常见配方估算</x:v>
      </x:c>
    </x:row>
    <x:row r="137">
      <x:c r="A137" s="19" t="str">
        <x:v>D17</x:v>
      </x:c>
      <x:c r="B137" s="19" t="str">
        <x:v>蒜蓉粉丝虾</x:v>
      </x:c>
      <x:c r="C137" s="19" t="str">
        <x:v>食材</x:v>
      </x:c>
      <x:c r="D137" s="19" t="str">
        <x:v>I011</x:v>
      </x:c>
      <x:c r="E137" s="19" t="str">
        <x:v>鲜虾</x:v>
      </x:c>
      <x:c r="F137" s="33" t="n">
        <x:v>250</x:v>
      </x:c>
      <x:c r="G137" s="24" t="n">
        <x:f>XLOOKUP(D137,'食材采购价'!$A$5:$A$60,'食材采购价'!$D$5:$D$60,0)</x:f>
        <x:v>46</x:v>
      </x:c>
      <x:c r="H137" s="24" t="n">
        <x:f>F137/1000*G137</x:f>
        <x:v>11.5</x:v>
      </x:c>
      <x:c r="I137" s="19" t="str">
        <x:v>S-按菜名与常见配方估算</x:v>
      </x:c>
      <x:c r="J137" s="19" t="str">
        <x:v>中</x:v>
      </x:c>
      <x:c r="K137" s="19" t="str">
        <x:v>S-按菜名与常见配方估算</x:v>
      </x:c>
    </x:row>
    <x:row r="138">
      <x:c r="A138" s="19" t="str">
        <x:v>D17</x:v>
      </x:c>
      <x:c r="B138" s="19" t="str">
        <x:v>蒜蓉粉丝虾</x:v>
      </x:c>
      <x:c r="C138" s="19" t="str">
        <x:v>食材</x:v>
      </x:c>
      <x:c r="D138" s="19" t="str">
        <x:v>I036</x:v>
      </x:c>
      <x:c r="E138" s="19" t="str">
        <x:v>粉丝</x:v>
      </x:c>
      <x:c r="F138" s="33" t="n">
        <x:v>100</x:v>
      </x:c>
      <x:c r="G138" s="24" t="n">
        <x:f>XLOOKUP(D138,'食材采购价'!$A$5:$A$60,'食材采购价'!$D$5:$D$60,0)</x:f>
        <x:v>11</x:v>
      </x:c>
      <x:c r="H138" s="24" t="n">
        <x:f>F138/1000*G138</x:f>
        <x:v>1.1</x:v>
      </x:c>
      <x:c r="I138" s="19" t="str">
        <x:v>S-按菜名与常见配方估算</x:v>
      </x:c>
      <x:c r="J138" s="19" t="str">
        <x:v>中</x:v>
      </x:c>
      <x:c r="K138" s="19" t="str">
        <x:v>S-按菜名与常见配方估算</x:v>
      </x:c>
    </x:row>
    <x:row r="139">
      <x:c r="A139" s="19" t="str">
        <x:v>D17</x:v>
      </x:c>
      <x:c r="B139" s="19" t="str">
        <x:v>蒜蓉粉丝虾</x:v>
      </x:c>
      <x:c r="C139" s="19" t="str">
        <x:v>食材</x:v>
      </x:c>
      <x:c r="D139" s="19" t="str">
        <x:v>I019</x:v>
      </x:c>
      <x:c r="E139" s="19" t="str">
        <x:v>拍蒜粒</x:v>
      </x:c>
      <x:c r="F139" s="33" t="n">
        <x:v>60</x:v>
      </x:c>
      <x:c r="G139" s="24" t="n">
        <x:f>XLOOKUP(D139,'食材采购价'!$A$5:$A$60,'食材采购价'!$D$5:$D$60,0)</x:f>
        <x:v>10</x:v>
      </x:c>
      <x:c r="H139" s="24" t="n">
        <x:f>F139/1000*G139</x:f>
        <x:v>0.6</x:v>
      </x:c>
      <x:c r="I139" s="19" t="str">
        <x:v>S-按菜名与常见配方估算</x:v>
      </x:c>
      <x:c r="J139" s="19" t="str">
        <x:v>中</x:v>
      </x:c>
      <x:c r="K139" s="19" t="str">
        <x:v>S-按菜名与常见配方估算</x:v>
      </x:c>
    </x:row>
    <x:row r="140">
      <x:c r="A140" s="19" t="str">
        <x:v>D17</x:v>
      </x:c>
      <x:c r="B140" s="19" t="str">
        <x:v>蒜蓉粉丝虾</x:v>
      </x:c>
      <x:c r="C140" s="19" t="str">
        <x:v>调料</x:v>
      </x:c>
      <x:c r="D140" s="19" t="str">
        <x:v>I044</x:v>
      </x:c>
      <x:c r="E140" s="19" t="str">
        <x:v>色拉油</x:v>
      </x:c>
      <x:c r="F140" s="33" t="n">
        <x:v>30</x:v>
      </x:c>
      <x:c r="G140" s="24" t="n">
        <x:f>XLOOKUP(D140,'食材采购价'!$A$5:$A$60,'食材采购价'!$D$5:$D$60,0)</x:f>
        <x:v>10</x:v>
      </x:c>
      <x:c r="H140" s="24" t="n">
        <x:f>F140/1000*G140</x:f>
        <x:v>0.3</x:v>
      </x:c>
      <x:c r="I140" s="19" t="str">
        <x:v>S-按菜名与常见配方估算</x:v>
      </x:c>
      <x:c r="J140" s="19" t="str">
        <x:v>中</x:v>
      </x:c>
      <x:c r="K140" s="19" t="str">
        <x:v>S-按菜名与常见配方估算</x:v>
      </x:c>
    </x:row>
    <x:row r="141">
      <x:c r="A141" s="19" t="str">
        <x:v>D17</x:v>
      </x:c>
      <x:c r="B141" s="19" t="str">
        <x:v>蒜蓉粉丝虾</x:v>
      </x:c>
      <x:c r="C141" s="19" t="str">
        <x:v>调料</x:v>
      </x:c>
      <x:c r="D141" s="19" t="str">
        <x:v>I048</x:v>
      </x:c>
      <x:c r="E141" s="19" t="str">
        <x:v>生抽</x:v>
      </x:c>
      <x:c r="F141" s="33" t="n">
        <x:v>15</x:v>
      </x:c>
      <x:c r="G141" s="24" t="n">
        <x:f>XLOOKUP(D141,'食材采购价'!$A$5:$A$60,'食材采购价'!$D$5:$D$60,0)</x:f>
        <x:v>6</x:v>
      </x:c>
      <x:c r="H141" s="24" t="n">
        <x:f>F141/1000*G141</x:f>
        <x:v>0.09</x:v>
      </x:c>
      <x:c r="I141" s="19" t="str">
        <x:v>S-按菜名与常见配方估算</x:v>
      </x:c>
      <x:c r="J141" s="19" t="str">
        <x:v>中</x:v>
      </x:c>
      <x:c r="K141" s="19" t="str">
        <x:v>S-按菜名与常见配方估算</x:v>
      </x:c>
    </x:row>
    <x:row r="142">
      <x:c r="A142" s="19" t="str">
        <x:v>D17</x:v>
      </x:c>
      <x:c r="B142" s="19" t="str">
        <x:v>蒜蓉粉丝虾</x:v>
      </x:c>
      <x:c r="C142" s="19" t="str">
        <x:v>调料</x:v>
      </x:c>
      <x:c r="D142" s="19" t="str">
        <x:v>I047</x:v>
      </x:c>
      <x:c r="E142" s="19" t="str">
        <x:v>精盐</x:v>
      </x:c>
      <x:c r="F142" s="33" t="n">
        <x:v>2</x:v>
      </x:c>
      <x:c r="G142" s="24" t="n">
        <x:f>XLOOKUP(D142,'食材采购价'!$A$5:$A$60,'食材采购价'!$D$5:$D$60,0)</x:f>
        <x:v>2</x:v>
      </x:c>
      <x:c r="H142" s="24" t="n">
        <x:f>F142/1000*G142</x:f>
        <x:v>0.004</x:v>
      </x:c>
      <x:c r="I142" s="19" t="str">
        <x:v>S-按菜名与常见配方估算</x:v>
      </x:c>
      <x:c r="J142" s="19" t="str">
        <x:v>中</x:v>
      </x:c>
      <x:c r="K142" s="19" t="str">
        <x:v>S-按菜名与常见配方估算</x:v>
      </x:c>
    </x:row>
    <x:row r="143">
      <x:c r="A143" s="19" t="str">
        <x:v>D18</x:v>
      </x:c>
      <x:c r="B143" s="19" t="str">
        <x:v>青椒炒油麦菜</x:v>
      </x:c>
      <x:c r="C143" s="19" t="str">
        <x:v>食材</x:v>
      </x:c>
      <x:c r="D143" s="19" t="str">
        <x:v>I037</x:v>
      </x:c>
      <x:c r="E143" s="19" t="str">
        <x:v>油麦菜</x:v>
      </x:c>
      <x:c r="F143" s="33" t="n">
        <x:v>350</x:v>
      </x:c>
      <x:c r="G143" s="24" t="n">
        <x:f>XLOOKUP(D143,'食材采购价'!$A$5:$A$60,'食材采购价'!$D$5:$D$60,0)</x:f>
        <x:v>6</x:v>
      </x:c>
      <x:c r="H143" s="24" t="n">
        <x:f>F143/1000*G143</x:f>
        <x:v>2.0999999999999996</x:v>
      </x:c>
      <x:c r="I143" s="19" t="str">
        <x:v>S-按菜名与常见配方估算</x:v>
      </x:c>
      <x:c r="J143" s="19" t="str">
        <x:v>中</x:v>
      </x:c>
      <x:c r="K143" s="19" t="str">
        <x:v>S-按菜名与常见配方估算</x:v>
      </x:c>
    </x:row>
    <x:row r="144">
      <x:c r="A144" s="19" t="str">
        <x:v>D18</x:v>
      </x:c>
      <x:c r="B144" s="19" t="str">
        <x:v>青椒炒油麦菜</x:v>
      </x:c>
      <x:c r="C144" s="19" t="str">
        <x:v>食材</x:v>
      </x:c>
      <x:c r="D144" s="19" t="str">
        <x:v>I014</x:v>
      </x:c>
      <x:c r="E144" s="19" t="str">
        <x:v>青椒</x:v>
      </x:c>
      <x:c r="F144" s="33" t="n">
        <x:v>50</x:v>
      </x:c>
      <x:c r="G144" s="24" t="n">
        <x:f>XLOOKUP(D144,'食材采购价'!$A$5:$A$60,'食材采购价'!$D$5:$D$60,0)</x:f>
        <x:v>7</x:v>
      </x:c>
      <x:c r="H144" s="24" t="n">
        <x:f>F144/1000*G144</x:f>
        <x:v>0.35000000000000003</x:v>
      </x:c>
      <x:c r="I144" s="19" t="str">
        <x:v>S-按菜名与常见配方估算</x:v>
      </x:c>
      <x:c r="J144" s="19" t="str">
        <x:v>中</x:v>
      </x:c>
      <x:c r="K144" s="19" t="str">
        <x:v>S-按菜名与常见配方估算</x:v>
      </x:c>
    </x:row>
    <x:row r="145">
      <x:c r="A145" s="19" t="str">
        <x:v>D18</x:v>
      </x:c>
      <x:c r="B145" s="19" t="str">
        <x:v>青椒炒油麦菜</x:v>
      </x:c>
      <x:c r="C145" s="19" t="str">
        <x:v>食材</x:v>
      </x:c>
      <x:c r="D145" s="19" t="str">
        <x:v>I019</x:v>
      </x:c>
      <x:c r="E145" s="19" t="str">
        <x:v>拍蒜粒</x:v>
      </x:c>
      <x:c r="F145" s="33" t="n">
        <x:v>30</x:v>
      </x:c>
      <x:c r="G145" s="24" t="n">
        <x:f>XLOOKUP(D145,'食材采购价'!$A$5:$A$60,'食材采购价'!$D$5:$D$60,0)</x:f>
        <x:v>10</x:v>
      </x:c>
      <x:c r="H145" s="24" t="n">
        <x:f>F145/1000*G145</x:f>
        <x:v>0.3</x:v>
      </x:c>
      <x:c r="I145" s="19" t="str">
        <x:v>S-按菜名与常见配方估算</x:v>
      </x:c>
      <x:c r="J145" s="19" t="str">
        <x:v>中</x:v>
      </x:c>
      <x:c r="K145" s="19" t="str">
        <x:v>S-按菜名与常见配方估算</x:v>
      </x:c>
    </x:row>
    <x:row r="146">
      <x:c r="A146" s="19" t="str">
        <x:v>D18</x:v>
      </x:c>
      <x:c r="B146" s="19" t="str">
        <x:v>青椒炒油麦菜</x:v>
      </x:c>
      <x:c r="C146" s="19" t="str">
        <x:v>调料</x:v>
      </x:c>
      <x:c r="D146" s="19" t="str">
        <x:v>I046</x:v>
      </x:c>
      <x:c r="E146" s="19" t="str">
        <x:v>猪油</x:v>
      </x:c>
      <x:c r="F146" s="33" t="n">
        <x:v>30</x:v>
      </x:c>
      <x:c r="G146" s="24" t="n">
        <x:f>XLOOKUP(D146,'食材采购价'!$A$5:$A$60,'食材采购价'!$D$5:$D$60,0)</x:f>
        <x:v>14</x:v>
      </x:c>
      <x:c r="H146" s="24" t="n">
        <x:f>F146/1000*G146</x:f>
        <x:v>0.42</x:v>
      </x:c>
      <x:c r="I146" s="19" t="str">
        <x:v>S-按菜名与常见配方估算</x:v>
      </x:c>
      <x:c r="J146" s="19" t="str">
        <x:v>中</x:v>
      </x:c>
      <x:c r="K146" s="19" t="str">
        <x:v>S-按菜名与常见配方估算</x:v>
      </x:c>
    </x:row>
    <x:row r="147">
      <x:c r="A147" s="19" t="str">
        <x:v>D18</x:v>
      </x:c>
      <x:c r="B147" s="19" t="str">
        <x:v>青椒炒油麦菜</x:v>
      </x:c>
      <x:c r="C147" s="19" t="str">
        <x:v>调料</x:v>
      </x:c>
      <x:c r="D147" s="19" t="str">
        <x:v>I047</x:v>
      </x:c>
      <x:c r="E147" s="19" t="str">
        <x:v>精盐</x:v>
      </x:c>
      <x:c r="F147" s="33" t="n">
        <x:v>3</x:v>
      </x:c>
      <x:c r="G147" s="24" t="n">
        <x:f>XLOOKUP(D147,'食材采购价'!$A$5:$A$60,'食材采购价'!$D$5:$D$60,0)</x:f>
        <x:v>2</x:v>
      </x:c>
      <x:c r="H147" s="24" t="n">
        <x:f>F147/1000*G147</x:f>
        <x:v>0.006</x:v>
      </x:c>
      <x:c r="I147" s="19" t="str">
        <x:v>S-按菜名与常见配方估算</x:v>
      </x:c>
      <x:c r="J147" s="19" t="str">
        <x:v>中</x:v>
      </x:c>
      <x:c r="K147" s="19" t="str">
        <x:v>S-按菜名与常见配方估算</x:v>
      </x:c>
    </x:row>
    <x:row r="148">
      <x:c r="A148" s="19" t="str">
        <x:v>D19</x:v>
      </x:c>
      <x:c r="B148" s="19" t="str">
        <x:v>酸萝卜炒鸡杂</x:v>
      </x:c>
      <x:c r="C148" s="19" t="str">
        <x:v>食材</x:v>
      </x:c>
      <x:c r="D148" s="19" t="str">
        <x:v>I008</x:v>
      </x:c>
      <x:c r="E148" s="19" t="str">
        <x:v>鸡杂</x:v>
      </x:c>
      <x:c r="F148" s="33" t="n">
        <x:v>250</x:v>
      </x:c>
      <x:c r="G148" s="24" t="n">
        <x:f>XLOOKUP(D148,'食材采购价'!$A$5:$A$60,'食材采购价'!$D$5:$D$60,0)</x:f>
        <x:v>22</x:v>
      </x:c>
      <x:c r="H148" s="24" t="n">
        <x:f>F148/1000*G148</x:f>
        <x:v>5.5</x:v>
      </x:c>
      <x:c r="I148" s="19" t="str">
        <x:v>S-按菜名与常见配方估算</x:v>
      </x:c>
      <x:c r="J148" s="19" t="str">
        <x:v>中</x:v>
      </x:c>
      <x:c r="K148" s="19" t="str">
        <x:v>S-按菜名与常见配方估算</x:v>
      </x:c>
    </x:row>
    <x:row r="149">
      <x:c r="A149" s="19" t="str">
        <x:v>D19</x:v>
      </x:c>
      <x:c r="B149" s="19" t="str">
        <x:v>酸萝卜炒鸡杂</x:v>
      </x:c>
      <x:c r="C149" s="19" t="str">
        <x:v>食材</x:v>
      </x:c>
      <x:c r="D149" s="19" t="str">
        <x:v>I034</x:v>
      </x:c>
      <x:c r="E149" s="19" t="str">
        <x:v>酸萝卜</x:v>
      </x:c>
      <x:c r="F149" s="33" t="n">
        <x:v>150</x:v>
      </x:c>
      <x:c r="G149" s="24" t="n">
        <x:f>XLOOKUP(D149,'食材采购价'!$A$5:$A$60,'食材采购价'!$D$5:$D$60,0)</x:f>
        <x:v>8</x:v>
      </x:c>
      <x:c r="H149" s="24" t="n">
        <x:f>F149/1000*G149</x:f>
        <x:v>1.2</x:v>
      </x:c>
      <x:c r="I149" s="19" t="str">
        <x:v>S-按菜名与常见配方估算</x:v>
      </x:c>
      <x:c r="J149" s="19" t="str">
        <x:v>中</x:v>
      </x:c>
      <x:c r="K149" s="19" t="str">
        <x:v>S-按菜名与常见配方估算</x:v>
      </x:c>
    </x:row>
    <x:row r="150">
      <x:c r="A150" s="19" t="str">
        <x:v>D19</x:v>
      </x:c>
      <x:c r="B150" s="19" t="str">
        <x:v>酸萝卜炒鸡杂</x:v>
      </x:c>
      <x:c r="C150" s="19" t="str">
        <x:v>食材</x:v>
      </x:c>
      <x:c r="D150" s="19" t="str">
        <x:v>I014</x:v>
      </x:c>
      <x:c r="E150" s="19" t="str">
        <x:v>青椒</x:v>
      </x:c>
      <x:c r="F150" s="33" t="n">
        <x:v>80</x:v>
      </x:c>
      <x:c r="G150" s="24" t="n">
        <x:f>XLOOKUP(D150,'食材采购价'!$A$5:$A$60,'食材采购价'!$D$5:$D$60,0)</x:f>
        <x:v>7</x:v>
      </x:c>
      <x:c r="H150" s="24" t="n">
        <x:f>F150/1000*G150</x:f>
        <x:v>0.56</x:v>
      </x:c>
      <x:c r="I150" s="19" t="str">
        <x:v>S-按菜名与常见配方估算</x:v>
      </x:c>
      <x:c r="J150" s="19" t="str">
        <x:v>中</x:v>
      </x:c>
      <x:c r="K150" s="19" t="str">
        <x:v>S-按菜名与常见配方估算</x:v>
      </x:c>
    </x:row>
    <x:row r="151">
      <x:c r="A151" s="19" t="str">
        <x:v>D19</x:v>
      </x:c>
      <x:c r="B151" s="19" t="str">
        <x:v>酸萝卜炒鸡杂</x:v>
      </x:c>
      <x:c r="C151" s="19" t="str">
        <x:v>食材</x:v>
      </x:c>
      <x:c r="D151" s="19" t="str">
        <x:v>I019</x:v>
      </x:c>
      <x:c r="E151" s="19" t="str">
        <x:v>拍蒜粒</x:v>
      </x:c>
      <x:c r="F151" s="33" t="n">
        <x:v>20</x:v>
      </x:c>
      <x:c r="G151" s="24" t="n">
        <x:f>XLOOKUP(D151,'食材采购价'!$A$5:$A$60,'食材采购价'!$D$5:$D$60,0)</x:f>
        <x:v>10</x:v>
      </x:c>
      <x:c r="H151" s="24" t="n">
        <x:f>F151/1000*G151</x:f>
        <x:v>0.2</x:v>
      </x:c>
      <x:c r="I151" s="19" t="str">
        <x:v>S-按菜名与常见配方估算</x:v>
      </x:c>
      <x:c r="J151" s="19" t="str">
        <x:v>中</x:v>
      </x:c>
      <x:c r="K151" s="19" t="str">
        <x:v>S-按菜名与常见配方估算</x:v>
      </x:c>
    </x:row>
    <x:row r="152">
      <x:c r="A152" s="19" t="str">
        <x:v>D19</x:v>
      </x:c>
      <x:c r="B152" s="19" t="str">
        <x:v>酸萝卜炒鸡杂</x:v>
      </x:c>
      <x:c r="C152" s="19" t="str">
        <x:v>调料</x:v>
      </x:c>
      <x:c r="D152" s="19" t="str">
        <x:v>I044</x:v>
      </x:c>
      <x:c r="E152" s="19" t="str">
        <x:v>色拉油</x:v>
      </x:c>
      <x:c r="F152" s="33" t="n">
        <x:v>35</x:v>
      </x:c>
      <x:c r="G152" s="24" t="n">
        <x:f>XLOOKUP(D152,'食材采购价'!$A$5:$A$60,'食材采购价'!$D$5:$D$60,0)</x:f>
        <x:v>10</x:v>
      </x:c>
      <x:c r="H152" s="24" t="n">
        <x:f>F152/1000*G152</x:f>
        <x:v>0.35000000000000003</x:v>
      </x:c>
      <x:c r="I152" s="19" t="str">
        <x:v>S-按菜名与常见配方估算</x:v>
      </x:c>
      <x:c r="J152" s="19" t="str">
        <x:v>中</x:v>
      </x:c>
      <x:c r="K152" s="19" t="str">
        <x:v>S-按菜名与常见配方估算</x:v>
      </x:c>
    </x:row>
    <x:row r="153">
      <x:c r="A153" s="19" t="str">
        <x:v>D19</x:v>
      </x:c>
      <x:c r="B153" s="19" t="str">
        <x:v>酸萝卜炒鸡杂</x:v>
      </x:c>
      <x:c r="C153" s="19" t="str">
        <x:v>调料</x:v>
      </x:c>
      <x:c r="D153" s="19" t="str">
        <x:v>I048</x:v>
      </x:c>
      <x:c r="E153" s="19" t="str">
        <x:v>生抽</x:v>
      </x:c>
      <x:c r="F153" s="33" t="n">
        <x:v>10</x:v>
      </x:c>
      <x:c r="G153" s="24" t="n">
        <x:f>XLOOKUP(D153,'食材采购价'!$A$5:$A$60,'食材采购价'!$D$5:$D$60,0)</x:f>
        <x:v>6</x:v>
      </x:c>
      <x:c r="H153" s="24" t="n">
        <x:f>F153/1000*G153</x:f>
        <x:v>0.06</x:v>
      </x:c>
      <x:c r="I153" s="19" t="str">
        <x:v>S-按菜名与常见配方估算</x:v>
      </x:c>
      <x:c r="J153" s="19" t="str">
        <x:v>中</x:v>
      </x:c>
      <x:c r="K153" s="19" t="str">
        <x:v>S-按菜名与常见配方估算</x:v>
      </x:c>
    </x:row>
    <x:row r="154">
      <x:c r="A154" s="19" t="str">
        <x:v>D19</x:v>
      </x:c>
      <x:c r="B154" s="19" t="str">
        <x:v>酸萝卜炒鸡杂</x:v>
      </x:c>
      <x:c r="C154" s="19" t="str">
        <x:v>调料</x:v>
      </x:c>
      <x:c r="D154" s="19" t="str">
        <x:v>I054</x:v>
      </x:c>
      <x:c r="E154" s="19" t="str">
        <x:v>香醋</x:v>
      </x:c>
      <x:c r="F154" s="33" t="n">
        <x:v>10</x:v>
      </x:c>
      <x:c r="G154" s="24" t="n">
        <x:f>XLOOKUP(D154,'食材采购价'!$A$5:$A$60,'食材采购价'!$D$5:$D$60,0)</x:f>
        <x:v>7</x:v>
      </x:c>
      <x:c r="H154" s="24" t="n">
        <x:f>F154/1000*G154</x:f>
        <x:v>0.07</x:v>
      </x:c>
      <x:c r="I154" s="19" t="str">
        <x:v>S-按菜名与常见配方估算</x:v>
      </x:c>
      <x:c r="J154" s="19" t="str">
        <x:v>中</x:v>
      </x:c>
      <x:c r="K154" s="19" t="str">
        <x:v>S-按菜名与常见配方估算</x:v>
      </x:c>
    </x:row>
    <x:row r="155">
      <x:c r="A155" s="19" t="str">
        <x:v>D20</x:v>
      </x:c>
      <x:c r="B155" s="19" t="str">
        <x:v>雪菜肉末青豆</x:v>
      </x:c>
      <x:c r="C155" s="19" t="str">
        <x:v>食材</x:v>
      </x:c>
      <x:c r="D155" s="19" t="str">
        <x:v>I038</x:v>
      </x:c>
      <x:c r="E155" s="19" t="str">
        <x:v>雪菜</x:v>
      </x:c>
      <x:c r="F155" s="33" t="n">
        <x:v>150</x:v>
      </x:c>
      <x:c r="G155" s="24" t="n">
        <x:f>XLOOKUP(D155,'食材采购价'!$A$5:$A$60,'食材采购价'!$D$5:$D$60,0)</x:f>
        <x:v>9</x:v>
      </x:c>
      <x:c r="H155" s="24" t="n">
        <x:f>F155/1000*G155</x:f>
        <x:v>1.3499999999999999</x:v>
      </x:c>
      <x:c r="I155" s="19" t="str">
        <x:v>S-按菜名与常见配方估算</x:v>
      </x:c>
      <x:c r="J155" s="19" t="str">
        <x:v>中</x:v>
      </x:c>
      <x:c r="K155" s="19" t="str">
        <x:v>S-按菜名与常见配方估算</x:v>
      </x:c>
    </x:row>
    <x:row r="156">
      <x:c r="A156" s="19" t="str">
        <x:v>D20</x:v>
      </x:c>
      <x:c r="B156" s="19" t="str">
        <x:v>雪菜肉末青豆</x:v>
      </x:c>
      <x:c r="C156" s="19" t="str">
        <x:v>食材</x:v>
      </x:c>
      <x:c r="D156" s="19" t="str">
        <x:v>I028</x:v>
      </x:c>
      <x:c r="E156" s="19" t="str">
        <x:v>肉末</x:v>
      </x:c>
      <x:c r="F156" s="33" t="n">
        <x:v>100</x:v>
      </x:c>
      <x:c r="G156" s="24" t="n">
        <x:f>XLOOKUP(D156,'食材采购价'!$A$5:$A$60,'食材采购价'!$D$5:$D$60,0)</x:f>
        <x:v>27</x:v>
      </x:c>
      <x:c r="H156" s="24" t="n">
        <x:f>F156/1000*G156</x:f>
        <x:v>2.7</x:v>
      </x:c>
      <x:c r="I156" s="19" t="str">
        <x:v>S-按菜名与常见配方估算</x:v>
      </x:c>
      <x:c r="J156" s="19" t="str">
        <x:v>中</x:v>
      </x:c>
      <x:c r="K156" s="19" t="str">
        <x:v>S-按菜名与常见配方估算</x:v>
      </x:c>
    </x:row>
    <x:row r="157">
      <x:c r="A157" s="19" t="str">
        <x:v>D20</x:v>
      </x:c>
      <x:c r="B157" s="19" t="str">
        <x:v>雪菜肉末青豆</x:v>
      </x:c>
      <x:c r="C157" s="19" t="str">
        <x:v>食材</x:v>
      </x:c>
      <x:c r="D157" s="19" t="str">
        <x:v>I039</x:v>
      </x:c>
      <x:c r="E157" s="19" t="str">
        <x:v>青豆</x:v>
      </x:c>
      <x:c r="F157" s="33" t="n">
        <x:v>200</x:v>
      </x:c>
      <x:c r="G157" s="24" t="n">
        <x:f>XLOOKUP(D157,'食材采购价'!$A$5:$A$60,'食材采购价'!$D$5:$D$60,0)</x:f>
        <x:v>14</x:v>
      </x:c>
      <x:c r="H157" s="24" t="n">
        <x:f>F157/1000*G157</x:f>
        <x:v>2.8000000000000003</x:v>
      </x:c>
      <x:c r="I157" s="19" t="str">
        <x:v>S-按菜名与常见配方估算</x:v>
      </x:c>
      <x:c r="J157" s="19" t="str">
        <x:v>中</x:v>
      </x:c>
      <x:c r="K157" s="19" t="str">
        <x:v>S-按菜名与常见配方估算</x:v>
      </x:c>
    </x:row>
    <x:row r="158">
      <x:c r="A158" s="19" t="str">
        <x:v>D20</x:v>
      </x:c>
      <x:c r="B158" s="19" t="str">
        <x:v>雪菜肉末青豆</x:v>
      </x:c>
      <x:c r="C158" s="19" t="str">
        <x:v>食材</x:v>
      </x:c>
      <x:c r="D158" s="19" t="str">
        <x:v>I019</x:v>
      </x:c>
      <x:c r="E158" s="19" t="str">
        <x:v>拍蒜粒</x:v>
      </x:c>
      <x:c r="F158" s="33" t="n">
        <x:v>15</x:v>
      </x:c>
      <x:c r="G158" s="24" t="n">
        <x:f>XLOOKUP(D158,'食材采购价'!$A$5:$A$60,'食材采购价'!$D$5:$D$60,0)</x:f>
        <x:v>10</x:v>
      </x:c>
      <x:c r="H158" s="24" t="n">
        <x:f>F158/1000*G158</x:f>
        <x:v>0.15</x:v>
      </x:c>
      <x:c r="I158" s="19" t="str">
        <x:v>S-按菜名与常见配方估算</x:v>
      </x:c>
      <x:c r="J158" s="19" t="str">
        <x:v>中</x:v>
      </x:c>
      <x:c r="K158" s="19" t="str">
        <x:v>S-按菜名与常见配方估算</x:v>
      </x:c>
    </x:row>
    <x:row r="159">
      <x:c r="A159" s="19" t="str">
        <x:v>D20</x:v>
      </x:c>
      <x:c r="B159" s="19" t="str">
        <x:v>雪菜肉末青豆</x:v>
      </x:c>
      <x:c r="C159" s="19" t="str">
        <x:v>调料</x:v>
      </x:c>
      <x:c r="D159" s="19" t="str">
        <x:v>I044</x:v>
      </x:c>
      <x:c r="E159" s="19" t="str">
        <x:v>色拉油</x:v>
      </x:c>
      <x:c r="F159" s="33" t="n">
        <x:v>30</x:v>
      </x:c>
      <x:c r="G159" s="24" t="n">
        <x:f>XLOOKUP(D159,'食材采购价'!$A$5:$A$60,'食材采购价'!$D$5:$D$60,0)</x:f>
        <x:v>10</x:v>
      </x:c>
      <x:c r="H159" s="24" t="n">
        <x:f>F159/1000*G159</x:f>
        <x:v>0.3</x:v>
      </x:c>
      <x:c r="I159" s="19" t="str">
        <x:v>S-按菜名与常见配方估算</x:v>
      </x:c>
      <x:c r="J159" s="19" t="str">
        <x:v>中</x:v>
      </x:c>
      <x:c r="K159" s="19" t="str">
        <x:v>S-按菜名与常见配方估算</x:v>
      </x:c>
    </x:row>
    <x:row r="160">
      <x:c r="A160" s="19" t="str">
        <x:v>D20</x:v>
      </x:c>
      <x:c r="B160" s="19" t="str">
        <x:v>雪菜肉末青豆</x:v>
      </x:c>
      <x:c r="C160" s="19" t="str">
        <x:v>调料</x:v>
      </x:c>
      <x:c r="D160" s="19" t="str">
        <x:v>I047</x:v>
      </x:c>
      <x:c r="E160" s="19" t="str">
        <x:v>精盐</x:v>
      </x:c>
      <x:c r="F160" s="33" t="n">
        <x:v>2</x:v>
      </x:c>
      <x:c r="G160" s="24" t="n">
        <x:f>XLOOKUP(D160,'食材采购价'!$A$5:$A$60,'食材采购价'!$D$5:$D$60,0)</x:f>
        <x:v>2</x:v>
      </x:c>
      <x:c r="H160" s="24" t="n">
        <x:f>F160/1000*G160</x:f>
        <x:v>0.004</x:v>
      </x:c>
      <x:c r="I160" s="19" t="str">
        <x:v>S-按菜名与常见配方估算</x:v>
      </x:c>
      <x:c r="J160" s="19" t="str">
        <x:v>中</x:v>
      </x:c>
      <x:c r="K160" s="19" t="str">
        <x:v>S-按菜名与常见配方估算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3a6f869a06e40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2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菜品主数据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菜名、推荐热度与多数价格来自截图；单份成本通过BOM与采购价自动计算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2" t="str">
        <x:v>菜品ID</x:v>
      </x:c>
      <x:c r="B4" s="12" t="str">
        <x:v>菜品名称</x:v>
      </x:c>
      <x:c r="C4" s="12" t="str">
        <x:v>分类</x:v>
      </x:c>
      <x:c r="D4" s="12" t="str">
        <x:v>门店价(元)</x:v>
      </x:c>
      <x:c r="E4" s="12" t="str">
        <x:v>推荐热度序</x:v>
      </x:c>
      <x:c r="F4" s="12" t="str">
        <x:v>炒菜机</x:v>
      </x:c>
      <x:c r="G4" s="12" t="str">
        <x:v>单份食材成本(元)</x:v>
      </x:c>
      <x:c r="H4" s="12" t="str">
        <x:v>食材成本率</x:v>
      </x:c>
      <x:c r="I4" s="12" t="str">
        <x:v>热度权重</x:v>
      </x:c>
      <x:c r="J4" s="12" t="str">
        <x:v>配方来源</x:v>
      </x:c>
      <x:c r="K4" s="12" t="str">
        <x:v>价格来源</x:v>
      </x:c>
      <x:c r="L4" s="12" t="str">
        <x:v>备注</x:v>
      </x:c>
    </x:row>
    <x:row r="5">
      <x:c r="A5" s="19" t="str">
        <x:v>D01</x:v>
      </x:c>
      <x:c r="B5" s="19" t="str">
        <x:v>辣椒炒肉</x:v>
      </x:c>
      <x:c r="C5" s="19" t="str">
        <x:v>招牌菜</x:v>
      </x:c>
      <x:c r="D5" s="33" t="n">
        <x:v>29</x:v>
      </x:c>
      <x:c r="E5" s="19" t="n">
        <x:v>1</x:v>
      </x:c>
      <x:c r="F5" s="19" t="str">
        <x:v>是</x:v>
      </x:c>
      <x:c r="G5" s="24" t="n">
        <x:f>SUMIFS('菜谱BOM'!$H$5:$H$160,'菜谱BOM'!$A$5:$A$160,A5)</x:f>
        <x:v>8.634400000000001</x:v>
      </x:c>
      <x:c r="H5" s="21" t="n">
        <x:f>IFERROR(G5/D5,0)</x:f>
        <x:v>0.2977379310344828</x:v>
      </x:c>
      <x:c r="I5" s="21" t="n">
        <x:v>0.165</x:v>
      </x:c>
      <x:c r="J5" s="19" t="str">
        <x:v>F-炒菜机截图</x:v>
      </x:c>
      <x:c r="K5" s="19" t="str">
        <x:v>F-点评推荐菜/菜单板</x:v>
      </x:c>
      <x:c r="L5" s="19" t="str"/>
    </x:row>
    <x:row r="6">
      <x:c r="A6" s="19" t="str">
        <x:v>D02</x:v>
      </x:c>
      <x:c r="B6" s="19" t="str">
        <x:v>小炒黄牛肉</x:v>
      </x:c>
      <x:c r="C6" s="19" t="str">
        <x:v>招牌菜</x:v>
      </x:c>
      <x:c r="D6" s="33" t="n">
        <x:v>49</x:v>
      </x:c>
      <x:c r="E6" s="19" t="n">
        <x:v>2</x:v>
      </x:c>
      <x:c r="F6" s="19" t="str">
        <x:v>是</x:v>
      </x:c>
      <x:c r="G6" s="24" t="n">
        <x:f>SUMIFS('菜谱BOM'!$H$5:$H$160,'菜谱BOM'!$A$5:$A$160,A6)</x:f>
        <x:v>17.577</x:v>
      </x:c>
      <x:c r="H6" s="21" t="n">
        <x:f>IFERROR(G6/D6,0)</x:f>
        <x:v>0.35871428571428576</x:v>
      </x:c>
      <x:c r="I6" s="21" t="n">
        <x:v>0.125</x:v>
      </x:c>
      <x:c r="J6" s="19" t="str">
        <x:v>F-炒菜机截图</x:v>
      </x:c>
      <x:c r="K6" s="19" t="str">
        <x:v>F-点评推荐菜/菜单板</x:v>
      </x:c>
      <x:c r="L6" s="19" t="str"/>
    </x:row>
    <x:row r="7">
      <x:c r="A7" s="19" t="str">
        <x:v>D03</x:v>
      </x:c>
      <x:c r="B7" s="19" t="str">
        <x:v>香醋炒蛋</x:v>
      </x:c>
      <x:c r="C7" s="19" t="str">
        <x:v>时蔬小炒</x:v>
      </x:c>
      <x:c r="D7" s="33" t="n">
        <x:v>14.9</x:v>
      </x:c>
      <x:c r="E7" s="19" t="n">
        <x:v>3</x:v>
      </x:c>
      <x:c r="F7" s="19" t="str">
        <x:v>是</x:v>
      </x:c>
      <x:c r="G7" s="24" t="n">
        <x:f>SUMIFS('菜谱BOM'!$H$5:$H$160,'菜谱BOM'!$A$5:$A$160,A7)</x:f>
        <x:v>3.7459999999999996</x:v>
      </x:c>
      <x:c r="H7" s="21" t="n">
        <x:f>IFERROR(G7/D7,0)</x:f>
        <x:v>0.2514093959731543</x:v>
      </x:c>
      <x:c r="I7" s="21" t="n">
        <x:v>0.07</x:v>
      </x:c>
      <x:c r="J7" s="19" t="str">
        <x:v>S-估算BOM</x:v>
      </x:c>
      <x:c r="K7" s="19" t="str">
        <x:v>F-点评推荐菜</x:v>
      </x:c>
      <x:c r="L7" s="19" t="str"/>
    </x:row>
    <x:row r="8">
      <x:c r="A8" s="19" t="str">
        <x:v>D04</x:v>
      </x:c>
      <x:c r="B8" s="19" t="str">
        <x:v>酸包菜炒粉皮</x:v>
      </x:c>
      <x:c r="C8" s="19" t="str">
        <x:v>精品菜</x:v>
      </x:c>
      <x:c r="D8" s="33" t="n">
        <x:v>16</x:v>
      </x:c>
      <x:c r="E8" s="19" t="n">
        <x:v>4</x:v>
      </x:c>
      <x:c r="F8" s="19" t="str">
        <x:v>是</x:v>
      </x:c>
      <x:c r="G8" s="24" t="n">
        <x:f>SUMIFS('菜谱BOM'!$H$5:$H$160,'菜谱BOM'!$A$5:$A$160,A8)</x:f>
        <x:v>3.978</x:v>
      </x:c>
      <x:c r="H8" s="21" t="n">
        <x:f>IFERROR(G8/D8,0)</x:f>
        <x:v>0.248625</x:v>
      </x:c>
      <x:c r="I8" s="21" t="n">
        <x:v>0.07</x:v>
      </x:c>
      <x:c r="J8" s="19" t="str">
        <x:v>S-估算BOM</x:v>
      </x:c>
      <x:c r="K8" s="19" t="str">
        <x:v>F-点评推荐菜/菜单板</x:v>
      </x:c>
      <x:c r="L8" s="19" t="str"/>
    </x:row>
    <x:row r="9">
      <x:c r="A9" s="19" t="str">
        <x:v>D05</x:v>
      </x:c>
      <x:c r="B9" s="19" t="str">
        <x:v>麻婆豆腐</x:v>
      </x:c>
      <x:c r="C9" s="19" t="str">
        <x:v>精品菜</x:v>
      </x:c>
      <x:c r="D9" s="33" t="n">
        <x:v>9.9</x:v>
      </x:c>
      <x:c r="E9" s="19" t="n">
        <x:v>5</x:v>
      </x:c>
      <x:c r="F9" s="19" t="str">
        <x:v>是</x:v>
      </x:c>
      <x:c r="G9" s="24" t="n">
        <x:f>SUMIFS('菜谱BOM'!$H$5:$H$160,'菜谱BOM'!$A$5:$A$160,A9)</x:f>
        <x:v>5.367000000000001</x:v>
      </x:c>
      <x:c r="H9" s="21" t="n">
        <x:f>IFERROR(G9/D9,0)</x:f>
        <x:v>0.5421212121212122</x:v>
      </x:c>
      <x:c r="I9" s="21" t="n">
        <x:v>0.06</x:v>
      </x:c>
      <x:c r="J9" s="19" t="str">
        <x:v>S-估算BOM</x:v>
      </x:c>
      <x:c r="K9" s="19" t="str">
        <x:v>F-点评推荐菜/菜单板</x:v>
      </x:c>
      <x:c r="L9" s="19" t="str"/>
    </x:row>
    <x:row r="10">
      <x:c r="A10" s="19" t="str">
        <x:v>D06</x:v>
      </x:c>
      <x:c r="B10" s="19" t="str">
        <x:v>剁椒鱼头</x:v>
      </x:c>
      <x:c r="C10" s="19" t="str">
        <x:v>招牌菜</x:v>
      </x:c>
      <x:c r="D10" s="33" t="n">
        <x:v>39</x:v>
      </x:c>
      <x:c r="E10" s="19" t="n">
        <x:v>6</x:v>
      </x:c>
      <x:c r="F10" s="19" t="str">
        <x:v>否</x:v>
      </x:c>
      <x:c r="G10" s="24" t="n">
        <x:f>SUMIFS('菜谱BOM'!$H$5:$H$160,'菜谱BOM'!$A$5:$A$160,A10)</x:f>
        <x:v>17.446</x:v>
      </x:c>
      <x:c r="H10" s="21" t="n">
        <x:f>IFERROR(G10/D10,0)</x:f>
        <x:v>0.44733333333333336</x:v>
      </x:c>
      <x:c r="I10" s="21" t="n">
        <x:v>0.06</x:v>
      </x:c>
      <x:c r="J10" s="19" t="str">
        <x:v>S-估算BOM</x:v>
      </x:c>
      <x:c r="K10" s="19" t="str">
        <x:v>F-点评推荐菜/菜单板</x:v>
      </x:c>
      <x:c r="L10" s="19" t="str"/>
    </x:row>
    <x:row r="11">
      <x:c r="A11" s="19" t="str">
        <x:v>D07</x:v>
      </x:c>
      <x:c r="B11" s="19" t="str">
        <x:v>川味回锅肉</x:v>
      </x:c>
      <x:c r="C11" s="19" t="str">
        <x:v>精品菜</x:v>
      </x:c>
      <x:c r="D11" s="33" t="n">
        <x:v>29</x:v>
      </x:c>
      <x:c r="E11" s="19" t="n">
        <x:v>7</x:v>
      </x:c>
      <x:c r="F11" s="19" t="str">
        <x:v>是</x:v>
      </x:c>
      <x:c r="G11" s="24" t="n">
        <x:f>SUMIFS('菜谱BOM'!$H$5:$H$160,'菜谱BOM'!$A$5:$A$160,A11)</x:f>
        <x:v>10.231000000000002</x:v>
      </x:c>
      <x:c r="H11" s="21" t="n">
        <x:f>IFERROR(G11/D11,0)</x:f>
        <x:v>0.3527931034482759</x:v>
      </x:c>
      <x:c r="I11" s="21" t="n">
        <x:v>0.055</x:v>
      </x:c>
      <x:c r="J11" s="19" t="str">
        <x:v>S-估算BOM</x:v>
      </x:c>
      <x:c r="K11" s="19" t="str">
        <x:v>F-点评推荐菜/菜单板</x:v>
      </x:c>
      <x:c r="L11" s="19" t="str"/>
    </x:row>
    <x:row r="12">
      <x:c r="A12" s="19" t="str">
        <x:v>D08</x:v>
      </x:c>
      <x:c r="B12" s="19" t="str">
        <x:v>生炒清远鸡</x:v>
      </x:c>
      <x:c r="C12" s="19" t="str">
        <x:v>精品菜</x:v>
      </x:c>
      <x:c r="D12" s="33" t="n">
        <x:v>36</x:v>
      </x:c>
      <x:c r="E12" s="19" t="n">
        <x:v>8</x:v>
      </x:c>
      <x:c r="F12" s="19" t="str">
        <x:v>是</x:v>
      </x:c>
      <x:c r="G12" s="24" t="n">
        <x:f>SUMIFS('菜谱BOM'!$H$5:$H$160,'菜谱BOM'!$A$5:$A$160,A12)</x:f>
        <x:v>13.48</x:v>
      </x:c>
      <x:c r="H12" s="21" t="n">
        <x:f>IFERROR(G12/D12,0)</x:f>
        <x:v>0.37444444444444447</x:v>
      </x:c>
      <x:c r="I12" s="21" t="n">
        <x:v>0.05</x:v>
      </x:c>
      <x:c r="J12" s="19" t="str">
        <x:v>S-估算BOM</x:v>
      </x:c>
      <x:c r="K12" s="19" t="str">
        <x:v>F-点评推荐菜/菜单板</x:v>
      </x:c>
      <x:c r="L12" s="19" t="str"/>
    </x:row>
    <x:row r="13">
      <x:c r="A13" s="19" t="str">
        <x:v>D09</x:v>
      </x:c>
      <x:c r="B13" s="19" t="str">
        <x:v>炒豆干</x:v>
      </x:c>
      <x:c r="C13" s="19" t="str">
        <x:v>下饭菜</x:v>
      </x:c>
      <x:c r="D13" s="33" t="n">
        <x:v>18</x:v>
      </x:c>
      <x:c r="E13" s="19" t="n">
        <x:v>9</x:v>
      </x:c>
      <x:c r="F13" s="19" t="str">
        <x:v>是</x:v>
      </x:c>
      <x:c r="G13" s="24" t="n">
        <x:f>SUMIFS('菜谱BOM'!$H$5:$H$160,'菜谱BOM'!$A$5:$A$160,A13)</x:f>
        <x:v>6.613999999999999</x:v>
      </x:c>
      <x:c r="H13" s="21" t="n">
        <x:f>IFERROR(G13/D13,0)</x:f>
        <x:v>0.3674444444444444</x:v>
      </x:c>
      <x:c r="I13" s="21" t="n">
        <x:v>0.035</x:v>
      </x:c>
      <x:c r="J13" s="19" t="str">
        <x:v>S-估算BOM</x:v>
      </x:c>
      <x:c r="K13" s="19" t="str">
        <x:v>F-点评推荐菜，价格为模拟</x:v>
      </x:c>
      <x:c r="L13" s="19" t="str">
        <x:v>炒豆干截图未显示价格，暂按18元</x:v>
      </x:c>
    </x:row>
    <x:row r="14">
      <x:c r="A14" s="19" t="str">
        <x:v>D10</x:v>
      </x:c>
      <x:c r="B14" s="19" t="str">
        <x:v>农家一碗香</x:v>
      </x:c>
      <x:c r="C14" s="19" t="str">
        <x:v>下饭菜</x:v>
      </x:c>
      <x:c r="D14" s="33" t="n">
        <x:v>22.9</x:v>
      </x:c>
      <x:c r="E14" s="19" t="n">
        <x:v>10</x:v>
      </x:c>
      <x:c r="F14" s="19" t="str">
        <x:v>是</x:v>
      </x:c>
      <x:c r="G14" s="24" t="n">
        <x:f>SUMIFS('菜谱BOM'!$H$5:$H$160,'菜谱BOM'!$A$5:$A$160,A14)</x:f>
        <x:v>9.770200000000003</x:v>
      </x:c>
      <x:c r="H14" s="21" t="n">
        <x:f>IFERROR(G14/D14,0)</x:f>
        <x:v>0.42664628820960715</x:v>
      </x:c>
      <x:c r="I14" s="21" t="n">
        <x:v>0.05</x:v>
      </x:c>
      <x:c r="J14" s="19" t="str">
        <x:v>F-炒菜机截图</x:v>
      </x:c>
      <x:c r="K14" s="19" t="str">
        <x:v>F-点评推荐菜</x:v>
      </x:c>
      <x:c r="L14" s="19" t="str"/>
    </x:row>
    <x:row r="15">
      <x:c r="A15" s="19" t="str">
        <x:v>D11</x:v>
      </x:c>
      <x:c r="B15" s="19" t="str">
        <x:v>香辣爆肥肠</x:v>
      </x:c>
      <x:c r="C15" s="19" t="str">
        <x:v>精品菜</x:v>
      </x:c>
      <x:c r="D15" s="33" t="n">
        <x:v>39</x:v>
      </x:c>
      <x:c r="E15" s="19" t="n">
        <x:v>11</x:v>
      </x:c>
      <x:c r="F15" s="19" t="str">
        <x:v>是</x:v>
      </x:c>
      <x:c r="G15" s="24" t="n">
        <x:f>SUMIFS('菜谱BOM'!$H$5:$H$160,'菜谱BOM'!$A$5:$A$160,A15)</x:f>
        <x:v>10.397</x:v>
      </x:c>
      <x:c r="H15" s="21" t="n">
        <x:f>IFERROR(G15/D15,0)</x:f>
        <x:v>0.2665897435897436</x:v>
      </x:c>
      <x:c r="I15" s="21" t="n">
        <x:v>0.035</x:v>
      </x:c>
      <x:c r="J15" s="19" t="str">
        <x:v>S-估算BOM</x:v>
      </x:c>
      <x:c r="K15" s="19" t="str">
        <x:v>F-点评推荐菜/菜单板</x:v>
      </x:c>
      <x:c r="L15" s="19" t="str"/>
    </x:row>
    <x:row r="16">
      <x:c r="A16" s="19" t="str">
        <x:v>D12</x:v>
      </x:c>
      <x:c r="B16" s="19" t="str">
        <x:v>清蒸鲈鱼</x:v>
      </x:c>
      <x:c r="C16" s="19" t="str">
        <x:v>精品菜</x:v>
      </x:c>
      <x:c r="D16" s="33" t="n">
        <x:v>39</x:v>
      </x:c>
      <x:c r="E16" s="19" t="n">
        <x:v>12</x:v>
      </x:c>
      <x:c r="F16" s="19" t="str">
        <x:v>否</x:v>
      </x:c>
      <x:c r="G16" s="24" t="n">
        <x:f>SUMIFS('菜谱BOM'!$H$5:$H$160,'菜谱BOM'!$A$5:$A$160,A16)</x:f>
        <x:v>18.874</x:v>
      </x:c>
      <x:c r="H16" s="21" t="n">
        <x:f>IFERROR(G16/D16,0)</x:f>
        <x:v>0.4839487179487179</x:v>
      </x:c>
      <x:c r="I16" s="21" t="n">
        <x:v>0.035</x:v>
      </x:c>
      <x:c r="J16" s="19" t="str">
        <x:v>S-估算BOM</x:v>
      </x:c>
      <x:c r="K16" s="19" t="str">
        <x:v>F-点评推荐菜/菜单板</x:v>
      </x:c>
      <x:c r="L16" s="19" t="str"/>
    </x:row>
    <x:row r="17">
      <x:c r="A17" s="19" t="str">
        <x:v>D13</x:v>
      </x:c>
      <x:c r="B17" s="19" t="str">
        <x:v>外婆菜炒蛋</x:v>
      </x:c>
      <x:c r="C17" s="19" t="str">
        <x:v>时蔬小炒</x:v>
      </x:c>
      <x:c r="D17" s="33" t="n">
        <x:v>18</x:v>
      </x:c>
      <x:c r="E17" s="19" t="n">
        <x:v>13</x:v>
      </x:c>
      <x:c r="F17" s="19" t="str">
        <x:v>是</x:v>
      </x:c>
      <x:c r="G17" s="24" t="n">
        <x:f>SUMIFS('菜谱BOM'!$H$5:$H$160,'菜谱BOM'!$A$5:$A$160,A17)</x:f>
        <x:v>5.403999999999999</x:v>
      </x:c>
      <x:c r="H17" s="21" t="n">
        <x:f>IFERROR(G17/D17,0)</x:f>
        <x:v>0.30022222222222217</x:v>
      </x:c>
      <x:c r="I17" s="21" t="n">
        <x:v>0.035</x:v>
      </x:c>
      <x:c r="J17" s="19" t="str">
        <x:v>S-估算BOM</x:v>
      </x:c>
      <x:c r="K17" s="19" t="str">
        <x:v>F-点评推荐菜/菜单板</x:v>
      </x:c>
      <x:c r="L17" s="19" t="str"/>
    </x:row>
    <x:row r="18">
      <x:c r="A18" s="19" t="str">
        <x:v>D14</x:v>
      </x:c>
      <x:c r="B18" s="19" t="str">
        <x:v>酸辣鸡杂</x:v>
      </x:c>
      <x:c r="C18" s="19" t="str">
        <x:v>下饭菜</x:v>
      </x:c>
      <x:c r="D18" s="33" t="n">
        <x:v>28</x:v>
      </x:c>
      <x:c r="E18" s="19" t="n">
        <x:v>14</x:v>
      </x:c>
      <x:c r="F18" s="19" t="str">
        <x:v>是</x:v>
      </x:c>
      <x:c r="G18" s="24" t="n">
        <x:f>SUMIFS('菜谱BOM'!$H$5:$H$160,'菜谱BOM'!$A$5:$A$160,A18)</x:f>
        <x:v>8.315000000000001</x:v>
      </x:c>
      <x:c r="H18" s="21" t="n">
        <x:f>IFERROR(G18/D18,0)</x:f>
        <x:v>0.29696428571428574</x:v>
      </x:c>
      <x:c r="I18" s="21" t="n">
        <x:v>0.03</x:v>
      </x:c>
      <x:c r="J18" s="19" t="str">
        <x:v>S-估算BOM</x:v>
      </x:c>
      <x:c r="K18" s="19" t="str">
        <x:v>F-菜单板</x:v>
      </x:c>
      <x:c r="L18" s="19" t="str"/>
    </x:row>
    <x:row r="19">
      <x:c r="A19" s="19" t="str">
        <x:v>D15</x:v>
      </x:c>
      <x:c r="B19" s="19" t="str">
        <x:v>湘西土匪猪肝</x:v>
      </x:c>
      <x:c r="C19" s="19" t="str">
        <x:v>下饭菜</x:v>
      </x:c>
      <x:c r="D19" s="33" t="n">
        <x:v>26</x:v>
      </x:c>
      <x:c r="E19" s="19" t="n">
        <x:v>15</x:v>
      </x:c>
      <x:c r="F19" s="19" t="str">
        <x:v>是</x:v>
      </x:c>
      <x:c r="G19" s="24" t="n">
        <x:f>SUMIFS('菜谱BOM'!$H$5:$H$160,'菜谱BOM'!$A$5:$A$160,A19)</x:f>
        <x:v>6.3759999999999994</x:v>
      </x:c>
      <x:c r="H19" s="21" t="n">
        <x:f>IFERROR(G19/D19,0)</x:f>
        <x:v>0.2452307692307692</x:v>
      </x:c>
      <x:c r="I19" s="21" t="n">
        <x:v>0.025</x:v>
      </x:c>
      <x:c r="J19" s="19" t="str">
        <x:v>S-估算BOM</x:v>
      </x:c>
      <x:c r="K19" s="19" t="str">
        <x:v>F-菜单板</x:v>
      </x:c>
      <x:c r="L19" s="19" t="str"/>
    </x:row>
    <x:row r="20">
      <x:c r="A20" s="19" t="str">
        <x:v>D16</x:v>
      </x:c>
      <x:c r="B20" s="19" t="str">
        <x:v>小豆角炒五花</x:v>
      </x:c>
      <x:c r="C20" s="19" t="str">
        <x:v>下饭菜</x:v>
      </x:c>
      <x:c r="D20" s="33" t="n">
        <x:v>25</x:v>
      </x:c>
      <x:c r="E20" s="19" t="n">
        <x:v>16</x:v>
      </x:c>
      <x:c r="F20" s="19" t="str">
        <x:v>是</x:v>
      </x:c>
      <x:c r="G20" s="24" t="n">
        <x:f>SUMIFS('菜谱BOM'!$H$5:$H$160,'菜谱BOM'!$A$5:$A$160,A20)</x:f>
        <x:v>8.184</x:v>
      </x:c>
      <x:c r="H20" s="21" t="n">
        <x:f>IFERROR(G20/D20,0)</x:f>
        <x:v>0.32736</x:v>
      </x:c>
      <x:c r="I20" s="21" t="n">
        <x:v>0.025</x:v>
      </x:c>
      <x:c r="J20" s="19" t="str">
        <x:v>S-估算BOM</x:v>
      </x:c>
      <x:c r="K20" s="19" t="str">
        <x:v>F-菜单板</x:v>
      </x:c>
      <x:c r="L20" s="19" t="str"/>
    </x:row>
    <x:row r="21">
      <x:c r="A21" s="19" t="str">
        <x:v>D17</x:v>
      </x:c>
      <x:c r="B21" s="19" t="str">
        <x:v>蒜蓉粉丝虾</x:v>
      </x:c>
      <x:c r="C21" s="19" t="str">
        <x:v>下饭菜</x:v>
      </x:c>
      <x:c r="D21" s="33" t="n">
        <x:v>36</x:v>
      </x:c>
      <x:c r="E21" s="19" t="n">
        <x:v>17</x:v>
      </x:c>
      <x:c r="F21" s="19" t="str">
        <x:v>否</x:v>
      </x:c>
      <x:c r="G21" s="24" t="n">
        <x:f>SUMIFS('菜谱BOM'!$H$5:$H$160,'菜谱BOM'!$A$5:$A$160,A21)</x:f>
        <x:v>13.594</x:v>
      </x:c>
      <x:c r="H21" s="21" t="n">
        <x:f>IFERROR(G21/D21,0)</x:f>
        <x:v>0.3776111111111111</x:v>
      </x:c>
      <x:c r="I21" s="21" t="n">
        <x:v>0.025</x:v>
      </x:c>
      <x:c r="J21" s="19" t="str">
        <x:v>S-估算BOM</x:v>
      </x:c>
      <x:c r="K21" s="19" t="str">
        <x:v>F-菜单板</x:v>
      </x:c>
      <x:c r="L21" s="19" t="str"/>
    </x:row>
    <x:row r="22">
      <x:c r="A22" s="19" t="str">
        <x:v>D18</x:v>
      </x:c>
      <x:c r="B22" s="19" t="str">
        <x:v>青椒炒油麦菜</x:v>
      </x:c>
      <x:c r="C22" s="19" t="str">
        <x:v>时蔬小炒</x:v>
      </x:c>
      <x:c r="D22" s="33" t="n">
        <x:v>18</x:v>
      </x:c>
      <x:c r="E22" s="19" t="n">
        <x:v>18</x:v>
      </x:c>
      <x:c r="F22" s="19" t="str">
        <x:v>是</x:v>
      </x:c>
      <x:c r="G22" s="24" t="n">
        <x:f>SUMIFS('菜谱BOM'!$H$5:$H$160,'菜谱BOM'!$A$5:$A$160,A22)</x:f>
        <x:v>3.1759999999999993</x:v>
      </x:c>
      <x:c r="H22" s="21" t="n">
        <x:f>IFERROR(G22/D22,0)</x:f>
        <x:v>0.1764444444444444</x:v>
      </x:c>
      <x:c r="I22" s="21" t="n">
        <x:v>0.02</x:v>
      </x:c>
      <x:c r="J22" s="19" t="str">
        <x:v>S-估算BOM</x:v>
      </x:c>
      <x:c r="K22" s="19" t="str">
        <x:v>F-菜单板</x:v>
      </x:c>
      <x:c r="L22" s="19" t="str"/>
    </x:row>
    <x:row r="23">
      <x:c r="A23" s="19" t="str">
        <x:v>D19</x:v>
      </x:c>
      <x:c r="B23" s="19" t="str">
        <x:v>酸萝卜炒鸡杂</x:v>
      </x:c>
      <x:c r="C23" s="19" t="str">
        <x:v>下饭菜</x:v>
      </x:c>
      <x:c r="D23" s="33" t="n">
        <x:v>25</x:v>
      </x:c>
      <x:c r="E23" s="19" t="n">
        <x:v>19</x:v>
      </x:c>
      <x:c r="F23" s="19" t="str">
        <x:v>是</x:v>
      </x:c>
      <x:c r="G23" s="24" t="n">
        <x:f>SUMIFS('菜谱BOM'!$H$5:$H$160,'菜谱BOM'!$A$5:$A$160,A23)</x:f>
        <x:v>7.9399999999999995</x:v>
      </x:c>
      <x:c r="H23" s="21" t="n">
        <x:f>IFERROR(G23/D23,0)</x:f>
        <x:v>0.3176</x:v>
      </x:c>
      <x:c r="I23" s="21" t="n">
        <x:v>0.02</x:v>
      </x:c>
      <x:c r="J23" s="19" t="str">
        <x:v>S-估算BOM</x:v>
      </x:c>
      <x:c r="K23" s="19" t="str">
        <x:v>F-点评门店页/菜单板近似</x:v>
      </x:c>
      <x:c r="L23" s="19" t="str"/>
    </x:row>
    <x:row r="24">
      <x:c r="A24" s="19" t="str">
        <x:v>D20</x:v>
      </x:c>
      <x:c r="B24" s="19" t="str">
        <x:v>雪菜肉末青豆</x:v>
      </x:c>
      <x:c r="C24" s="19" t="str">
        <x:v>时蔬小炒</x:v>
      </x:c>
      <x:c r="D24" s="33" t="n">
        <x:v>18</x:v>
      </x:c>
      <x:c r="E24" s="19" t="n">
        <x:v>20</x:v>
      </x:c>
      <x:c r="F24" s="19" t="str">
        <x:v>是</x:v>
      </x:c>
      <x:c r="G24" s="24" t="n">
        <x:f>SUMIFS('菜谱BOM'!$H$5:$H$160,'菜谱BOM'!$A$5:$A$160,A24)</x:f>
        <x:v>7.303999999999999</x:v>
      </x:c>
      <x:c r="H24" s="21" t="n">
        <x:f>IFERROR(G24/D24,0)</x:f>
        <x:v>0.40577777777777774</x:v>
      </x:c>
      <x:c r="I24" s="21" t="n">
        <x:v>0.02</x:v>
      </x:c>
      <x:c r="J24" s="19" t="str">
        <x:v>S-估算BOM</x:v>
      </x:c>
      <x:c r="K24" s="19" t="str">
        <x:v>F-菜单板</x:v>
      </x:c>
      <x:c r="L24" s="19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39b052c01084a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0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8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4" hidden="0" customWidth="1"/>
    <x:col min="15" max="15" width="10" hidden="0" customWidth="1"/>
    <x:col min="16" max="16" width="14" hidden="0" customWidth="1"/>
    <x:col min="17" max="17" width="12" hidden="0" customWidth="1"/>
    <x:col min="18" max="18" width="14" hidden="0" customWidth="1"/>
    <x:col min="19" max="19" width="16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4" customHeight="1">
      <x:c r="A1" s="3" t="str">
        <x:v>7日销售明细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8店 × 7天 × 20菜品 × 堂食/外卖；第一版使用日粒度，蓝字为模拟输入，黑字为公式计算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28" customHeight="1">
      <x:c r="A4" s="12" t="str">
        <x:v>销售ID</x:v>
      </x:c>
      <x:c r="B4" s="12" t="str">
        <x:v>日期</x:v>
      </x:c>
      <x:c r="C4" s="12" t="str">
        <x:v>星期</x:v>
      </x:c>
      <x:c r="D4" s="12" t="str">
        <x:v>门店ID</x:v>
      </x:c>
      <x:c r="E4" s="12" t="str">
        <x:v>门店</x:v>
      </x:c>
      <x:c r="F4" s="12" t="str">
        <x:v>渠道</x:v>
      </x:c>
      <x:c r="G4" s="12" t="str">
        <x:v>时段</x:v>
      </x:c>
      <x:c r="H4" s="12" t="str">
        <x:v>菜品ID</x:v>
      </x:c>
      <x:c r="I4" s="12" t="str">
        <x:v>菜品</x:v>
      </x:c>
      <x:c r="J4" s="12" t="str">
        <x:v>单价(元)</x:v>
      </x:c>
      <x:c r="K4" s="12" t="str">
        <x:v>销量(份)</x:v>
      </x:c>
      <x:c r="L4" s="12" t="str">
        <x:v>流水(元)</x:v>
      </x:c>
      <x:c r="M4" s="12" t="str">
        <x:v>折扣率</x:v>
      </x:c>
      <x:c r="N4" s="12" t="str">
        <x:v>折扣额</x:v>
      </x:c>
      <x:c r="O4" s="12" t="str">
        <x:v>佣金率</x:v>
      </x:c>
      <x:c r="P4" s="12" t="str">
        <x:v>佣金</x:v>
      </x:c>
      <x:c r="Q4" s="12" t="str">
        <x:v>包装/份</x:v>
      </x:c>
      <x:c r="R4" s="12" t="str">
        <x:v>包装成本</x:v>
      </x:c>
      <x:c r="S4" s="12" t="str">
        <x:v>单份食材成本</x:v>
      </x:c>
      <x:c r="T4" s="12" t="str">
        <x:v>食材成本</x:v>
      </x:c>
      <x:c r="U4" s="12" t="str">
        <x:v>贡献毛利</x:v>
      </x:c>
      <x:c r="V4" s="12" t="str">
        <x:v>贡献毛利率</x:v>
      </x:c>
    </x:row>
    <x:row r="5">
      <x:c r="A5" s="19" t="str">
        <x:v>SALE-00001</x:v>
      </x:c>
      <x:c r="B5" s="34" t="n">
        <x:v>46210.5</x:v>
      </x:c>
      <x:c r="C5" s="19" t="str">
        <x:v>周二</x:v>
      </x:c>
      <x:c r="D5" s="19" t="str">
        <x:v>S01</x:v>
      </x:c>
      <x:c r="E5" s="19" t="str">
        <x:v>近江天阳店</x:v>
      </x:c>
      <x:c r="F5" s="19" t="str">
        <x:v>堂食</x:v>
      </x:c>
      <x:c r="G5" s="19" t="str">
        <x:v>全日</x:v>
      </x:c>
      <x:c r="H5" s="19" t="str">
        <x:v>D01</x:v>
      </x:c>
      <x:c r="I5" s="19" t="str">
        <x:v>辣椒炒肉</x:v>
      </x:c>
      <x:c r="J5" s="22" t="n">
        <x:f>XLOOKUP(H5,'菜品主数据'!$A$5:$A$24,'菜品主数据'!$D$5:$D$24,0)</x:f>
        <x:v>29</x:v>
      </x:c>
      <x:c r="K5" s="31" t="n">
        <x:v>53</x:v>
      </x:c>
      <x:c r="L5" s="35" t="n">
        <x:f>J5*K5</x:f>
        <x:v>1537</x:v>
      </x:c>
      <x:c r="M5" s="36" t="n">
        <x:v>0</x:v>
      </x:c>
      <x:c r="N5" s="35" t="n">
        <x:f>L5*M5</x:f>
        <x:v>0</x:v>
      </x:c>
      <x:c r="O5" s="37" t="n">
        <x:v>0</x:v>
      </x:c>
      <x:c r="P5" s="35" t="n">
        <x:f>L5*O5</x:f>
        <x:v>0</x:v>
      </x:c>
      <x:c r="Q5" s="35" t="n">
        <x:v>0</x:v>
      </x:c>
      <x:c r="R5" s="35" t="n">
        <x:f>K5*Q5</x:f>
        <x:v>0</x:v>
      </x:c>
      <x:c r="S5" s="35" t="n">
        <x:f>XLOOKUP(H5,'菜品主数据'!$A$5:$A$24,'菜品主数据'!$G$5:$G$24,0)</x:f>
        <x:v>8.634400000000001</x:v>
      </x:c>
      <x:c r="T5" s="35" t="n">
        <x:f>K5*S5</x:f>
        <x:v>457.62320000000005</x:v>
      </x:c>
      <x:c r="U5" s="35" t="n">
        <x:f>L5-N5-P5-R5-T5</x:f>
        <x:v>1079.3768</x:v>
      </x:c>
      <x:c r="V5" s="21" t="n">
        <x:f>IFERROR(U5/L5,0)</x:f>
        <x:v>0.7022620689655172</x:v>
      </x:c>
    </x:row>
    <x:row r="6">
      <x:c r="A6" s="19" t="str">
        <x:v>SALE-00002</x:v>
      </x:c>
      <x:c r="B6" s="34" t="n">
        <x:v>46210.5</x:v>
      </x:c>
      <x:c r="C6" s="19" t="str">
        <x:v>周二</x:v>
      </x:c>
      <x:c r="D6" s="19" t="str">
        <x:v>S01</x:v>
      </x:c>
      <x:c r="E6" s="19" t="str">
        <x:v>近江天阳店</x:v>
      </x:c>
      <x:c r="F6" s="19" t="str">
        <x:v>堂食</x:v>
      </x:c>
      <x:c r="G6" s="19" t="str">
        <x:v>全日</x:v>
      </x:c>
      <x:c r="H6" s="19" t="str">
        <x:v>D02</x:v>
      </x:c>
      <x:c r="I6" s="19" t="str">
        <x:v>小炒黄牛肉</x:v>
      </x:c>
      <x:c r="J6" s="22" t="n">
        <x:f>XLOOKUP(H6,'菜品主数据'!$A$5:$A$24,'菜品主数据'!$D$5:$D$24,0)</x:f>
        <x:v>49</x:v>
      </x:c>
      <x:c r="K6" s="31" t="n">
        <x:v>27</x:v>
      </x:c>
      <x:c r="L6" s="35" t="n">
        <x:f>J6*K6</x:f>
        <x:v>1323</x:v>
      </x:c>
      <x:c r="M6" s="36" t="n">
        <x:v>0</x:v>
      </x:c>
      <x:c r="N6" s="35" t="n">
        <x:f>L6*M6</x:f>
        <x:v>0</x:v>
      </x:c>
      <x:c r="O6" s="37" t="n">
        <x:v>0</x:v>
      </x:c>
      <x:c r="P6" s="35" t="n">
        <x:f>L6*O6</x:f>
        <x:v>0</x:v>
      </x:c>
      <x:c r="Q6" s="35" t="n">
        <x:v>0</x:v>
      </x:c>
      <x:c r="R6" s="35" t="n">
        <x:f>K6*Q6</x:f>
        <x:v>0</x:v>
      </x:c>
      <x:c r="S6" s="35" t="n">
        <x:f>XLOOKUP(H6,'菜品主数据'!$A$5:$A$24,'菜品主数据'!$G$5:$G$24,0)</x:f>
        <x:v>17.577</x:v>
      </x:c>
      <x:c r="T6" s="35" t="n">
        <x:f>K6*S6</x:f>
        <x:v>474.57900000000006</x:v>
      </x:c>
      <x:c r="U6" s="35" t="n">
        <x:f>L6-N6-P6-R6-T6</x:f>
        <x:v>848.4209999999999</x:v>
      </x:c>
      <x:c r="V6" s="21" t="n">
        <x:f>IFERROR(U6/L6,0)</x:f>
        <x:v>0.6412857142857142</x:v>
      </x:c>
    </x:row>
    <x:row r="7">
      <x:c r="A7" s="19" t="str">
        <x:v>SALE-00003</x:v>
      </x:c>
      <x:c r="B7" s="34" t="n">
        <x:v>46210.5</x:v>
      </x:c>
      <x:c r="C7" s="19" t="str">
        <x:v>周二</x:v>
      </x:c>
      <x:c r="D7" s="19" t="str">
        <x:v>S01</x:v>
      </x:c>
      <x:c r="E7" s="19" t="str">
        <x:v>近江天阳店</x:v>
      </x:c>
      <x:c r="F7" s="19" t="str">
        <x:v>堂食</x:v>
      </x:c>
      <x:c r="G7" s="19" t="str">
        <x:v>全日</x:v>
      </x:c>
      <x:c r="H7" s="19" t="str">
        <x:v>D03</x:v>
      </x:c>
      <x:c r="I7" s="19" t="str">
        <x:v>香醋炒蛋</x:v>
      </x:c>
      <x:c r="J7" s="22" t="n">
        <x:f>XLOOKUP(H7,'菜品主数据'!$A$5:$A$24,'菜品主数据'!$D$5:$D$24,0)</x:f>
        <x:v>14.9</x:v>
      </x:c>
      <x:c r="K7" s="31" t="n">
        <x:v>42</x:v>
      </x:c>
      <x:c r="L7" s="35" t="n">
        <x:f>J7*K7</x:f>
        <x:v>625.8000000000001</x:v>
      </x:c>
      <x:c r="M7" s="36" t="n">
        <x:v>0</x:v>
      </x:c>
      <x:c r="N7" s="35" t="n">
        <x:f>L7*M7</x:f>
        <x:v>0</x:v>
      </x:c>
      <x:c r="O7" s="37" t="n">
        <x:v>0</x:v>
      </x:c>
      <x:c r="P7" s="35" t="n">
        <x:f>L7*O7</x:f>
        <x:v>0</x:v>
      </x:c>
      <x:c r="Q7" s="35" t="n">
        <x:v>0</x:v>
      </x:c>
      <x:c r="R7" s="35" t="n">
        <x:f>K7*Q7</x:f>
        <x:v>0</x:v>
      </x:c>
      <x:c r="S7" s="35" t="n">
        <x:f>XLOOKUP(H7,'菜品主数据'!$A$5:$A$24,'菜品主数据'!$G$5:$G$24,0)</x:f>
        <x:v>3.7459999999999996</x:v>
      </x:c>
      <x:c r="T7" s="35" t="n">
        <x:f>K7*S7</x:f>
        <x:v>157.332</x:v>
      </x:c>
      <x:c r="U7" s="35" t="n">
        <x:f>L7-N7-P7-R7-T7</x:f>
        <x:v>468.4680000000001</x:v>
      </x:c>
      <x:c r="V7" s="21" t="n">
        <x:f>IFERROR(U7/L7,0)</x:f>
        <x:v>0.7485906040268456</x:v>
      </x:c>
    </x:row>
    <x:row r="8">
      <x:c r="A8" s="19" t="str">
        <x:v>SALE-00004</x:v>
      </x:c>
      <x:c r="B8" s="34" t="n">
        <x:v>46210.5</x:v>
      </x:c>
      <x:c r="C8" s="19" t="str">
        <x:v>周二</x:v>
      </x:c>
      <x:c r="D8" s="19" t="str">
        <x:v>S01</x:v>
      </x:c>
      <x:c r="E8" s="19" t="str">
        <x:v>近江天阳店</x:v>
      </x:c>
      <x:c r="F8" s="19" t="str">
        <x:v>堂食</x:v>
      </x:c>
      <x:c r="G8" s="19" t="str">
        <x:v>全日</x:v>
      </x:c>
      <x:c r="H8" s="19" t="str">
        <x:v>D04</x:v>
      </x:c>
      <x:c r="I8" s="19" t="str">
        <x:v>酸包菜炒粉皮</x:v>
      </x:c>
      <x:c r="J8" s="22" t="n">
        <x:f>XLOOKUP(H8,'菜品主数据'!$A$5:$A$24,'菜品主数据'!$D$5:$D$24,0)</x:f>
        <x:v>16</x:v>
      </x:c>
      <x:c r="K8" s="31" t="n">
        <x:v>41</x:v>
      </x:c>
      <x:c r="L8" s="35" t="n">
        <x:f>J8*K8</x:f>
        <x:v>656</x:v>
      </x:c>
      <x:c r="M8" s="36" t="n">
        <x:v>0</x:v>
      </x:c>
      <x:c r="N8" s="35" t="n">
        <x:f>L8*M8</x:f>
        <x:v>0</x:v>
      </x:c>
      <x:c r="O8" s="37" t="n">
        <x:v>0</x:v>
      </x:c>
      <x:c r="P8" s="35" t="n">
        <x:f>L8*O8</x:f>
        <x:v>0</x:v>
      </x:c>
      <x:c r="Q8" s="35" t="n">
        <x:v>0</x:v>
      </x:c>
      <x:c r="R8" s="35" t="n">
        <x:f>K8*Q8</x:f>
        <x:v>0</x:v>
      </x:c>
      <x:c r="S8" s="35" t="n">
        <x:f>XLOOKUP(H8,'菜品主数据'!$A$5:$A$24,'菜品主数据'!$G$5:$G$24,0)</x:f>
        <x:v>3.978</x:v>
      </x:c>
      <x:c r="T8" s="35" t="n">
        <x:f>K8*S8</x:f>
        <x:v>163.098</x:v>
      </x:c>
      <x:c r="U8" s="35" t="n">
        <x:f>L8-N8-P8-R8-T8</x:f>
        <x:v>492.902</x:v>
      </x:c>
      <x:c r="V8" s="21" t="n">
        <x:f>IFERROR(U8/L8,0)</x:f>
        <x:v>0.751375</x:v>
      </x:c>
    </x:row>
    <x:row r="9">
      <x:c r="A9" s="19" t="str">
        <x:v>SALE-00005</x:v>
      </x:c>
      <x:c r="B9" s="34" t="n">
        <x:v>46210.5</x:v>
      </x:c>
      <x:c r="C9" s="19" t="str">
        <x:v>周二</x:v>
      </x:c>
      <x:c r="D9" s="19" t="str">
        <x:v>S01</x:v>
      </x:c>
      <x:c r="E9" s="19" t="str">
        <x:v>近江天阳店</x:v>
      </x:c>
      <x:c r="F9" s="19" t="str">
        <x:v>堂食</x:v>
      </x:c>
      <x:c r="G9" s="19" t="str">
        <x:v>全日</x:v>
      </x:c>
      <x:c r="H9" s="19" t="str">
        <x:v>D05</x:v>
      </x:c>
      <x:c r="I9" s="19" t="str">
        <x:v>麻婆豆腐</x:v>
      </x:c>
      <x:c r="J9" s="22" t="n">
        <x:f>XLOOKUP(H9,'菜品主数据'!$A$5:$A$24,'菜品主数据'!$D$5:$D$24,0)</x:f>
        <x:v>9.9</x:v>
      </x:c>
      <x:c r="K9" s="31" t="n">
        <x:v>55</x:v>
      </x:c>
      <x:c r="L9" s="35" t="n">
        <x:f>J9*K9</x:f>
        <x:v>544.5</x:v>
      </x:c>
      <x:c r="M9" s="36" t="n">
        <x:v>0</x:v>
      </x:c>
      <x:c r="N9" s="35" t="n">
        <x:f>L9*M9</x:f>
        <x:v>0</x:v>
      </x:c>
      <x:c r="O9" s="37" t="n">
        <x:v>0</x:v>
      </x:c>
      <x:c r="P9" s="35" t="n">
        <x:f>L9*O9</x:f>
        <x:v>0</x:v>
      </x:c>
      <x:c r="Q9" s="35" t="n">
        <x:v>0</x:v>
      </x:c>
      <x:c r="R9" s="35" t="n">
        <x:f>K9*Q9</x:f>
        <x:v>0</x:v>
      </x:c>
      <x:c r="S9" s="35" t="n">
        <x:f>XLOOKUP(H9,'菜品主数据'!$A$5:$A$24,'菜品主数据'!$G$5:$G$24,0)</x:f>
        <x:v>5.367000000000001</x:v>
      </x:c>
      <x:c r="T9" s="35" t="n">
        <x:f>K9*S9</x:f>
        <x:v>295.18500000000006</x:v>
      </x:c>
      <x:c r="U9" s="35" t="n">
        <x:f>L9-N9-P9-R9-T9</x:f>
        <x:v>249.31499999999994</x:v>
      </x:c>
      <x:c r="V9" s="21" t="n">
        <x:f>IFERROR(U9/L9,0)</x:f>
        <x:v>0.4578787878787878</x:v>
      </x:c>
    </x:row>
    <x:row r="10">
      <x:c r="A10" s="19" t="str">
        <x:v>SALE-00006</x:v>
      </x:c>
      <x:c r="B10" s="34" t="n">
        <x:v>46210.5</x:v>
      </x:c>
      <x:c r="C10" s="19" t="str">
        <x:v>周二</x:v>
      </x:c>
      <x:c r="D10" s="19" t="str">
        <x:v>S01</x:v>
      </x:c>
      <x:c r="E10" s="19" t="str">
        <x:v>近江天阳店</x:v>
      </x:c>
      <x:c r="F10" s="19" t="str">
        <x:v>堂食</x:v>
      </x:c>
      <x:c r="G10" s="19" t="str">
        <x:v>全日</x:v>
      </x:c>
      <x:c r="H10" s="19" t="str">
        <x:v>D06</x:v>
      </x:c>
      <x:c r="I10" s="19" t="str">
        <x:v>剁椒鱼头</x:v>
      </x:c>
      <x:c r="J10" s="22" t="n">
        <x:f>XLOOKUP(H10,'菜品主数据'!$A$5:$A$24,'菜品主数据'!$D$5:$D$24,0)</x:f>
        <x:v>39</x:v>
      </x:c>
      <x:c r="K10" s="31" t="n">
        <x:v>14</x:v>
      </x:c>
      <x:c r="L10" s="35" t="n">
        <x:f>J10*K10</x:f>
        <x:v>546</x:v>
      </x:c>
      <x:c r="M10" s="36" t="n">
        <x:v>0</x:v>
      </x:c>
      <x:c r="N10" s="35" t="n">
        <x:f>L10*M10</x:f>
        <x:v>0</x:v>
      </x:c>
      <x:c r="O10" s="37" t="n">
        <x:v>0</x:v>
      </x:c>
      <x:c r="P10" s="35" t="n">
        <x:f>L10*O10</x:f>
        <x:v>0</x:v>
      </x:c>
      <x:c r="Q10" s="35" t="n">
        <x:v>0</x:v>
      </x:c>
      <x:c r="R10" s="35" t="n">
        <x:f>K10*Q10</x:f>
        <x:v>0</x:v>
      </x:c>
      <x:c r="S10" s="35" t="n">
        <x:f>XLOOKUP(H10,'菜品主数据'!$A$5:$A$24,'菜品主数据'!$G$5:$G$24,0)</x:f>
        <x:v>17.446</x:v>
      </x:c>
      <x:c r="T10" s="35" t="n">
        <x:f>K10*S10</x:f>
        <x:v>244.24400000000003</x:v>
      </x:c>
      <x:c r="U10" s="35" t="n">
        <x:f>L10-N10-P10-R10-T10</x:f>
        <x:v>301.756</x:v>
      </x:c>
      <x:c r="V10" s="21" t="n">
        <x:f>IFERROR(U10/L10,0)</x:f>
        <x:v>0.5526666666666666</x:v>
      </x:c>
    </x:row>
    <x:row r="11">
      <x:c r="A11" s="19" t="str">
        <x:v>SALE-00007</x:v>
      </x:c>
      <x:c r="B11" s="34" t="n">
        <x:v>46210.5</x:v>
      </x:c>
      <x:c r="C11" s="19" t="str">
        <x:v>周二</x:v>
      </x:c>
      <x:c r="D11" s="19" t="str">
        <x:v>S01</x:v>
      </x:c>
      <x:c r="E11" s="19" t="str">
        <x:v>近江天阳店</x:v>
      </x:c>
      <x:c r="F11" s="19" t="str">
        <x:v>堂食</x:v>
      </x:c>
      <x:c r="G11" s="19" t="str">
        <x:v>全日</x:v>
      </x:c>
      <x:c r="H11" s="19" t="str">
        <x:v>D07</x:v>
      </x:c>
      <x:c r="I11" s="19" t="str">
        <x:v>川味回锅肉</x:v>
      </x:c>
      <x:c r="J11" s="22" t="n">
        <x:f>XLOOKUP(H11,'菜品主数据'!$A$5:$A$24,'菜品主数据'!$D$5:$D$24,0)</x:f>
        <x:v>29</x:v>
      </x:c>
      <x:c r="K11" s="31" t="n">
        <x:v>18</x:v>
      </x:c>
      <x:c r="L11" s="35" t="n">
        <x:f>J11*K11</x:f>
        <x:v>522</x:v>
      </x:c>
      <x:c r="M11" s="36" t="n">
        <x:v>0</x:v>
      </x:c>
      <x:c r="N11" s="35" t="n">
        <x:f>L11*M11</x:f>
        <x:v>0</x:v>
      </x:c>
      <x:c r="O11" s="37" t="n">
        <x:v>0</x:v>
      </x:c>
      <x:c r="P11" s="35" t="n">
        <x:f>L11*O11</x:f>
        <x:v>0</x:v>
      </x:c>
      <x:c r="Q11" s="35" t="n">
        <x:v>0</x:v>
      </x:c>
      <x:c r="R11" s="35" t="n">
        <x:f>K11*Q11</x:f>
        <x:v>0</x:v>
      </x:c>
      <x:c r="S11" s="35" t="n">
        <x:f>XLOOKUP(H11,'菜品主数据'!$A$5:$A$24,'菜品主数据'!$G$5:$G$24,0)</x:f>
        <x:v>10.231000000000002</x:v>
      </x:c>
      <x:c r="T11" s="35" t="n">
        <x:f>K11*S11</x:f>
        <x:v>184.15800000000002</x:v>
      </x:c>
      <x:c r="U11" s="35" t="n">
        <x:f>L11-N11-P11-R11-T11</x:f>
        <x:v>337.842</x:v>
      </x:c>
      <x:c r="V11" s="21" t="n">
        <x:f>IFERROR(U11/L11,0)</x:f>
        <x:v>0.6472068965517241</x:v>
      </x:c>
    </x:row>
    <x:row r="12">
      <x:c r="A12" s="19" t="str">
        <x:v>SALE-00008</x:v>
      </x:c>
      <x:c r="B12" s="34" t="n">
        <x:v>46210.5</x:v>
      </x:c>
      <x:c r="C12" s="19" t="str">
        <x:v>周二</x:v>
      </x:c>
      <x:c r="D12" s="19" t="str">
        <x:v>S01</x:v>
      </x:c>
      <x:c r="E12" s="19" t="str">
        <x:v>近江天阳店</x:v>
      </x:c>
      <x:c r="F12" s="19" t="str">
        <x:v>堂食</x:v>
      </x:c>
      <x:c r="G12" s="19" t="str">
        <x:v>全日</x:v>
      </x:c>
      <x:c r="H12" s="19" t="str">
        <x:v>D08</x:v>
      </x:c>
      <x:c r="I12" s="19" t="str">
        <x:v>生炒清远鸡</x:v>
      </x:c>
      <x:c r="J12" s="22" t="n">
        <x:f>XLOOKUP(H12,'菜品主数据'!$A$5:$A$24,'菜品主数据'!$D$5:$D$24,0)</x:f>
        <x:v>36</x:v>
      </x:c>
      <x:c r="K12" s="31" t="n">
        <x:v>11</x:v>
      </x:c>
      <x:c r="L12" s="35" t="n">
        <x:f>J12*K12</x:f>
        <x:v>396</x:v>
      </x:c>
      <x:c r="M12" s="36" t="n">
        <x:v>0</x:v>
      </x:c>
      <x:c r="N12" s="35" t="n">
        <x:f>L12*M12</x:f>
        <x:v>0</x:v>
      </x:c>
      <x:c r="O12" s="37" t="n">
        <x:v>0</x:v>
      </x:c>
      <x:c r="P12" s="35" t="n">
        <x:f>L12*O12</x:f>
        <x:v>0</x:v>
      </x:c>
      <x:c r="Q12" s="35" t="n">
        <x:v>0</x:v>
      </x:c>
      <x:c r="R12" s="35" t="n">
        <x:f>K12*Q12</x:f>
        <x:v>0</x:v>
      </x:c>
      <x:c r="S12" s="35" t="n">
        <x:f>XLOOKUP(H12,'菜品主数据'!$A$5:$A$24,'菜品主数据'!$G$5:$G$24,0)</x:f>
        <x:v>13.48</x:v>
      </x:c>
      <x:c r="T12" s="35" t="n">
        <x:f>K12*S12</x:f>
        <x:v>148.28</x:v>
      </x:c>
      <x:c r="U12" s="35" t="n">
        <x:f>L12-N12-P12-R12-T12</x:f>
        <x:v>247.72</x:v>
      </x:c>
      <x:c r="V12" s="21" t="n">
        <x:f>IFERROR(U12/L12,0)</x:f>
        <x:v>0.6255555555555555</x:v>
      </x:c>
    </x:row>
    <x:row r="13">
      <x:c r="A13" s="19" t="str">
        <x:v>SALE-00009</x:v>
      </x:c>
      <x:c r="B13" s="34" t="n">
        <x:v>46210.5</x:v>
      </x:c>
      <x:c r="C13" s="19" t="str">
        <x:v>周二</x:v>
      </x:c>
      <x:c r="D13" s="19" t="str">
        <x:v>S01</x:v>
      </x:c>
      <x:c r="E13" s="19" t="str">
        <x:v>近江天阳店</x:v>
      </x:c>
      <x:c r="F13" s="19" t="str">
        <x:v>堂食</x:v>
      </x:c>
      <x:c r="G13" s="19" t="str">
        <x:v>全日</x:v>
      </x:c>
      <x:c r="H13" s="19" t="str">
        <x:v>D09</x:v>
      </x:c>
      <x:c r="I13" s="19" t="str">
        <x:v>炒豆干</x:v>
      </x:c>
      <x:c r="J13" s="22" t="n">
        <x:f>XLOOKUP(H13,'菜品主数据'!$A$5:$A$24,'菜品主数据'!$D$5:$D$24,0)</x:f>
        <x:v>18</x:v>
      </x:c>
      <x:c r="K13" s="31" t="n">
        <x:v>17</x:v>
      </x:c>
      <x:c r="L13" s="35" t="n">
        <x:f>J13*K13</x:f>
        <x:v>306</x:v>
      </x:c>
      <x:c r="M13" s="36" t="n">
        <x:v>0</x:v>
      </x:c>
      <x:c r="N13" s="35" t="n">
        <x:f>L13*M13</x:f>
        <x:v>0</x:v>
      </x:c>
      <x:c r="O13" s="37" t="n">
        <x:v>0</x:v>
      </x:c>
      <x:c r="P13" s="35" t="n">
        <x:f>L13*O13</x:f>
        <x:v>0</x:v>
      </x:c>
      <x:c r="Q13" s="35" t="n">
        <x:v>0</x:v>
      </x:c>
      <x:c r="R13" s="35" t="n">
        <x:f>K13*Q13</x:f>
        <x:v>0</x:v>
      </x:c>
      <x:c r="S13" s="35" t="n">
        <x:f>XLOOKUP(H13,'菜品主数据'!$A$5:$A$24,'菜品主数据'!$G$5:$G$24,0)</x:f>
        <x:v>6.613999999999999</x:v>
      </x:c>
      <x:c r="T13" s="35" t="n">
        <x:f>K13*S13</x:f>
        <x:v>112.43799999999999</x:v>
      </x:c>
      <x:c r="U13" s="35" t="n">
        <x:f>L13-N13-P13-R13-T13</x:f>
        <x:v>193.562</x:v>
      </x:c>
      <x:c r="V13" s="21" t="n">
        <x:f>IFERROR(U13/L13,0)</x:f>
        <x:v>0.6325555555555556</x:v>
      </x:c>
    </x:row>
    <x:row r="14">
      <x:c r="A14" s="19" t="str">
        <x:v>SALE-00010</x:v>
      </x:c>
      <x:c r="B14" s="34" t="n">
        <x:v>46210.5</x:v>
      </x:c>
      <x:c r="C14" s="19" t="str">
        <x:v>周二</x:v>
      </x:c>
      <x:c r="D14" s="19" t="str">
        <x:v>S01</x:v>
      </x:c>
      <x:c r="E14" s="19" t="str">
        <x:v>近江天阳店</x:v>
      </x:c>
      <x:c r="F14" s="19" t="str">
        <x:v>堂食</x:v>
      </x:c>
      <x:c r="G14" s="19" t="str">
        <x:v>全日</x:v>
      </x:c>
      <x:c r="H14" s="19" t="str">
        <x:v>D10</x:v>
      </x:c>
      <x:c r="I14" s="19" t="str">
        <x:v>农家一碗香</x:v>
      </x:c>
      <x:c r="J14" s="22" t="n">
        <x:f>XLOOKUP(H14,'菜品主数据'!$A$5:$A$24,'菜品主数据'!$D$5:$D$24,0)</x:f>
        <x:v>22.9</x:v>
      </x:c>
      <x:c r="K14" s="31" t="n">
        <x:v>20</x:v>
      </x:c>
      <x:c r="L14" s="35" t="n">
        <x:f>J14*K14</x:f>
        <x:v>458</x:v>
      </x:c>
      <x:c r="M14" s="36" t="n">
        <x:v>0</x:v>
      </x:c>
      <x:c r="N14" s="35" t="n">
        <x:f>L14*M14</x:f>
        <x:v>0</x:v>
      </x:c>
      <x:c r="O14" s="37" t="n">
        <x:v>0</x:v>
      </x:c>
      <x:c r="P14" s="35" t="n">
        <x:f>L14*O14</x:f>
        <x:v>0</x:v>
      </x:c>
      <x:c r="Q14" s="35" t="n">
        <x:v>0</x:v>
      </x:c>
      <x:c r="R14" s="35" t="n">
        <x:f>K14*Q14</x:f>
        <x:v>0</x:v>
      </x:c>
      <x:c r="S14" s="35" t="n">
        <x:f>XLOOKUP(H14,'菜品主数据'!$A$5:$A$24,'菜品主数据'!$G$5:$G$24,0)</x:f>
        <x:v>9.770200000000003</x:v>
      </x:c>
      <x:c r="T14" s="35" t="n">
        <x:f>K14*S14</x:f>
        <x:v>195.40400000000005</x:v>
      </x:c>
      <x:c r="U14" s="35" t="n">
        <x:f>L14-N14-P14-R14-T14</x:f>
        <x:v>262.59599999999995</x:v>
      </x:c>
      <x:c r="V14" s="21" t="n">
        <x:f>IFERROR(U14/L14,0)</x:f>
        <x:v>0.5733537117903929</x:v>
      </x:c>
    </x:row>
    <x:row r="15">
      <x:c r="A15" s="19" t="str">
        <x:v>SALE-00011</x:v>
      </x:c>
      <x:c r="B15" s="34" t="n">
        <x:v>46210.5</x:v>
      </x:c>
      <x:c r="C15" s="19" t="str">
        <x:v>周二</x:v>
      </x:c>
      <x:c r="D15" s="19" t="str">
        <x:v>S01</x:v>
      </x:c>
      <x:c r="E15" s="19" t="str">
        <x:v>近江天阳店</x:v>
      </x:c>
      <x:c r="F15" s="19" t="str">
        <x:v>堂食</x:v>
      </x:c>
      <x:c r="G15" s="19" t="str">
        <x:v>全日</x:v>
      </x:c>
      <x:c r="H15" s="19" t="str">
        <x:v>D11</x:v>
      </x:c>
      <x:c r="I15" s="19" t="str">
        <x:v>香辣爆肥肠</x:v>
      </x:c>
      <x:c r="J15" s="22" t="n">
        <x:f>XLOOKUP(H15,'菜品主数据'!$A$5:$A$24,'菜品主数据'!$D$5:$D$24,0)</x:f>
        <x:v>39</x:v>
      </x:c>
      <x:c r="K15" s="31" t="n">
        <x:v>8</x:v>
      </x:c>
      <x:c r="L15" s="35" t="n">
        <x:f>J15*K15</x:f>
        <x:v>312</x:v>
      </x:c>
      <x:c r="M15" s="36" t="n">
        <x:v>0</x:v>
      </x:c>
      <x:c r="N15" s="35" t="n">
        <x:f>L15*M15</x:f>
        <x:v>0</x:v>
      </x:c>
      <x:c r="O15" s="37" t="n">
        <x:v>0</x:v>
      </x:c>
      <x:c r="P15" s="35" t="n">
        <x:f>L15*O15</x:f>
        <x:v>0</x:v>
      </x:c>
      <x:c r="Q15" s="35" t="n">
        <x:v>0</x:v>
      </x:c>
      <x:c r="R15" s="35" t="n">
        <x:f>K15*Q15</x:f>
        <x:v>0</x:v>
      </x:c>
      <x:c r="S15" s="35" t="n">
        <x:f>XLOOKUP(H15,'菜品主数据'!$A$5:$A$24,'菜品主数据'!$G$5:$G$24,0)</x:f>
        <x:v>10.397</x:v>
      </x:c>
      <x:c r="T15" s="35" t="n">
        <x:f>K15*S15</x:f>
        <x:v>83.176</x:v>
      </x:c>
      <x:c r="U15" s="35" t="n">
        <x:f>L15-N15-P15-R15-T15</x:f>
        <x:v>228.824</x:v>
      </x:c>
      <x:c r="V15" s="21" t="n">
        <x:f>IFERROR(U15/L15,0)</x:f>
        <x:v>0.7334102564102565</x:v>
      </x:c>
    </x:row>
    <x:row r="16">
      <x:c r="A16" s="19" t="str">
        <x:v>SALE-00012</x:v>
      </x:c>
      <x:c r="B16" s="34" t="n">
        <x:v>46210.5</x:v>
      </x:c>
      <x:c r="C16" s="19" t="str">
        <x:v>周二</x:v>
      </x:c>
      <x:c r="D16" s="19" t="str">
        <x:v>S01</x:v>
      </x:c>
      <x:c r="E16" s="19" t="str">
        <x:v>近江天阳店</x:v>
      </x:c>
      <x:c r="F16" s="19" t="str">
        <x:v>堂食</x:v>
      </x:c>
      <x:c r="G16" s="19" t="str">
        <x:v>全日</x:v>
      </x:c>
      <x:c r="H16" s="19" t="str">
        <x:v>D12</x:v>
      </x:c>
      <x:c r="I16" s="19" t="str">
        <x:v>清蒸鲈鱼</x:v>
      </x:c>
      <x:c r="J16" s="22" t="n">
        <x:f>XLOOKUP(H16,'菜品主数据'!$A$5:$A$24,'菜品主数据'!$D$5:$D$24,0)</x:f>
        <x:v>39</x:v>
      </x:c>
      <x:c r="K16" s="31" t="n">
        <x:v>8</x:v>
      </x:c>
      <x:c r="L16" s="35" t="n">
        <x:f>J16*K16</x:f>
        <x:v>312</x:v>
      </x:c>
      <x:c r="M16" s="36" t="n">
        <x:v>0</x:v>
      </x:c>
      <x:c r="N16" s="35" t="n">
        <x:f>L16*M16</x:f>
        <x:v>0</x:v>
      </x:c>
      <x:c r="O16" s="37" t="n">
        <x:v>0</x:v>
      </x:c>
      <x:c r="P16" s="35" t="n">
        <x:f>L16*O16</x:f>
        <x:v>0</x:v>
      </x:c>
      <x:c r="Q16" s="35" t="n">
        <x:v>0</x:v>
      </x:c>
      <x:c r="R16" s="35" t="n">
        <x:f>K16*Q16</x:f>
        <x:v>0</x:v>
      </x:c>
      <x:c r="S16" s="35" t="n">
        <x:f>XLOOKUP(H16,'菜品主数据'!$A$5:$A$24,'菜品主数据'!$G$5:$G$24,0)</x:f>
        <x:v>18.874</x:v>
      </x:c>
      <x:c r="T16" s="35" t="n">
        <x:f>K16*S16</x:f>
        <x:v>150.992</x:v>
      </x:c>
      <x:c r="U16" s="35" t="n">
        <x:f>L16-N16-P16-R16-T16</x:f>
        <x:v>161.008</x:v>
      </x:c>
      <x:c r="V16" s="21" t="n">
        <x:f>IFERROR(U16/L16,0)</x:f>
        <x:v>0.516051282051282</x:v>
      </x:c>
    </x:row>
    <x:row r="17">
      <x:c r="A17" s="19" t="str">
        <x:v>SALE-00013</x:v>
      </x:c>
      <x:c r="B17" s="34" t="n">
        <x:v>46210.5</x:v>
      </x:c>
      <x:c r="C17" s="19" t="str">
        <x:v>周二</x:v>
      </x:c>
      <x:c r="D17" s="19" t="str">
        <x:v>S01</x:v>
      </x:c>
      <x:c r="E17" s="19" t="str">
        <x:v>近江天阳店</x:v>
      </x:c>
      <x:c r="F17" s="19" t="str">
        <x:v>堂食</x:v>
      </x:c>
      <x:c r="G17" s="19" t="str">
        <x:v>全日</x:v>
      </x:c>
      <x:c r="H17" s="19" t="str">
        <x:v>D13</x:v>
      </x:c>
      <x:c r="I17" s="19" t="str">
        <x:v>外婆菜炒蛋</x:v>
      </x:c>
      <x:c r="J17" s="22" t="n">
        <x:f>XLOOKUP(H17,'菜品主数据'!$A$5:$A$24,'菜品主数据'!$D$5:$D$24,0)</x:f>
        <x:v>18</x:v>
      </x:c>
      <x:c r="K17" s="31" t="n">
        <x:v>16</x:v>
      </x:c>
      <x:c r="L17" s="35" t="n">
        <x:f>J17*K17</x:f>
        <x:v>288</x:v>
      </x:c>
      <x:c r="M17" s="36" t="n">
        <x:v>0</x:v>
      </x:c>
      <x:c r="N17" s="35" t="n">
        <x:f>L17*M17</x:f>
        <x:v>0</x:v>
      </x:c>
      <x:c r="O17" s="37" t="n">
        <x:v>0</x:v>
      </x:c>
      <x:c r="P17" s="35" t="n">
        <x:f>L17*O17</x:f>
        <x:v>0</x:v>
      </x:c>
      <x:c r="Q17" s="35" t="n">
        <x:v>0</x:v>
      </x:c>
      <x:c r="R17" s="35" t="n">
        <x:f>K17*Q17</x:f>
        <x:v>0</x:v>
      </x:c>
      <x:c r="S17" s="35" t="n">
        <x:f>XLOOKUP(H17,'菜品主数据'!$A$5:$A$24,'菜品主数据'!$G$5:$G$24,0)</x:f>
        <x:v>5.403999999999999</x:v>
      </x:c>
      <x:c r="T17" s="35" t="n">
        <x:f>K17*S17</x:f>
        <x:v>86.46399999999998</x:v>
      </x:c>
      <x:c r="U17" s="35" t="n">
        <x:f>L17-N17-P17-R17-T17</x:f>
        <x:v>201.536</x:v>
      </x:c>
      <x:c r="V17" s="21" t="n">
        <x:f>IFERROR(U17/L17,0)</x:f>
        <x:v>0.6997777777777778</x:v>
      </x:c>
    </x:row>
    <x:row r="18">
      <x:c r="A18" s="19" t="str">
        <x:v>SALE-00014</x:v>
      </x:c>
      <x:c r="B18" s="34" t="n">
        <x:v>46210.5</x:v>
      </x:c>
      <x:c r="C18" s="19" t="str">
        <x:v>周二</x:v>
      </x:c>
      <x:c r="D18" s="19" t="str">
        <x:v>S01</x:v>
      </x:c>
      <x:c r="E18" s="19" t="str">
        <x:v>近江天阳店</x:v>
      </x:c>
      <x:c r="F18" s="19" t="str">
        <x:v>堂食</x:v>
      </x:c>
      <x:c r="G18" s="19" t="str">
        <x:v>全日</x:v>
      </x:c>
      <x:c r="H18" s="19" t="str">
        <x:v>D14</x:v>
      </x:c>
      <x:c r="I18" s="19" t="str">
        <x:v>酸辣鸡杂</x:v>
      </x:c>
      <x:c r="J18" s="22" t="n">
        <x:f>XLOOKUP(H18,'菜品主数据'!$A$5:$A$24,'菜品主数据'!$D$5:$D$24,0)</x:f>
        <x:v>28</x:v>
      </x:c>
      <x:c r="K18" s="31" t="n">
        <x:v>9</x:v>
      </x:c>
      <x:c r="L18" s="35" t="n">
        <x:f>J18*K18</x:f>
        <x:v>252</x:v>
      </x:c>
      <x:c r="M18" s="36" t="n">
        <x:v>0</x:v>
      </x:c>
      <x:c r="N18" s="35" t="n">
        <x:f>L18*M18</x:f>
        <x:v>0</x:v>
      </x:c>
      <x:c r="O18" s="37" t="n">
        <x:v>0</x:v>
      </x:c>
      <x:c r="P18" s="35" t="n">
        <x:f>L18*O18</x:f>
        <x:v>0</x:v>
      </x:c>
      <x:c r="Q18" s="35" t="n">
        <x:v>0</x:v>
      </x:c>
      <x:c r="R18" s="35" t="n">
        <x:f>K18*Q18</x:f>
        <x:v>0</x:v>
      </x:c>
      <x:c r="S18" s="35" t="n">
        <x:f>XLOOKUP(H18,'菜品主数据'!$A$5:$A$24,'菜品主数据'!$G$5:$G$24,0)</x:f>
        <x:v>8.315000000000001</x:v>
      </x:c>
      <x:c r="T18" s="35" t="n">
        <x:f>K18*S18</x:f>
        <x:v>74.83500000000001</x:v>
      </x:c>
      <x:c r="U18" s="35" t="n">
        <x:f>L18-N18-P18-R18-T18</x:f>
        <x:v>177.165</x:v>
      </x:c>
      <x:c r="V18" s="21" t="n">
        <x:f>IFERROR(U18/L18,0)</x:f>
        <x:v>0.7030357142857142</x:v>
      </x:c>
    </x:row>
    <x:row r="19">
      <x:c r="A19" s="19" t="str">
        <x:v>SALE-00015</x:v>
      </x:c>
      <x:c r="B19" s="34" t="n">
        <x:v>46210.5</x:v>
      </x:c>
      <x:c r="C19" s="19" t="str">
        <x:v>周二</x:v>
      </x:c>
      <x:c r="D19" s="19" t="str">
        <x:v>S01</x:v>
      </x:c>
      <x:c r="E19" s="19" t="str">
        <x:v>近江天阳店</x:v>
      </x:c>
      <x:c r="F19" s="19" t="str">
        <x:v>堂食</x:v>
      </x:c>
      <x:c r="G19" s="19" t="str">
        <x:v>全日</x:v>
      </x:c>
      <x:c r="H19" s="19" t="str">
        <x:v>D15</x:v>
      </x:c>
      <x:c r="I19" s="19" t="str">
        <x:v>湘西土匪猪肝</x:v>
      </x:c>
      <x:c r="J19" s="22" t="n">
        <x:f>XLOOKUP(H19,'菜品主数据'!$A$5:$A$24,'菜品主数据'!$D$5:$D$24,0)</x:f>
        <x:v>26</x:v>
      </x:c>
      <x:c r="K19" s="31" t="n">
        <x:v>9</x:v>
      </x:c>
      <x:c r="L19" s="35" t="n">
        <x:f>J19*K19</x:f>
        <x:v>234</x:v>
      </x:c>
      <x:c r="M19" s="36" t="n">
        <x:v>0</x:v>
      </x:c>
      <x:c r="N19" s="35" t="n">
        <x:f>L19*M19</x:f>
        <x:v>0</x:v>
      </x:c>
      <x:c r="O19" s="37" t="n">
        <x:v>0</x:v>
      </x:c>
      <x:c r="P19" s="35" t="n">
        <x:f>L19*O19</x:f>
        <x:v>0</x:v>
      </x:c>
      <x:c r="Q19" s="35" t="n">
        <x:v>0</x:v>
      </x:c>
      <x:c r="R19" s="35" t="n">
        <x:f>K19*Q19</x:f>
        <x:v>0</x:v>
      </x:c>
      <x:c r="S19" s="35" t="n">
        <x:f>XLOOKUP(H19,'菜品主数据'!$A$5:$A$24,'菜品主数据'!$G$5:$G$24,0)</x:f>
        <x:v>6.3759999999999994</x:v>
      </x:c>
      <x:c r="T19" s="35" t="n">
        <x:f>K19*S19</x:f>
        <x:v>57.38399999999999</x:v>
      </x:c>
      <x:c r="U19" s="35" t="n">
        <x:f>L19-N19-P19-R19-T19</x:f>
        <x:v>176.616</x:v>
      </x:c>
      <x:c r="V19" s="21" t="n">
        <x:f>IFERROR(U19/L19,0)</x:f>
        <x:v>0.7547692307692309</x:v>
      </x:c>
    </x:row>
    <x:row r="20">
      <x:c r="A20" s="19" t="str">
        <x:v>SALE-00016</x:v>
      </x:c>
      <x:c r="B20" s="34" t="n">
        <x:v>46210.5</x:v>
      </x:c>
      <x:c r="C20" s="19" t="str">
        <x:v>周二</x:v>
      </x:c>
      <x:c r="D20" s="19" t="str">
        <x:v>S01</x:v>
      </x:c>
      <x:c r="E20" s="19" t="str">
        <x:v>近江天阳店</x:v>
      </x:c>
      <x:c r="F20" s="19" t="str">
        <x:v>堂食</x:v>
      </x:c>
      <x:c r="G20" s="19" t="str">
        <x:v>全日</x:v>
      </x:c>
      <x:c r="H20" s="19" t="str">
        <x:v>D16</x:v>
      </x:c>
      <x:c r="I20" s="19" t="str">
        <x:v>小豆角炒五花</x:v>
      </x:c>
      <x:c r="J20" s="22" t="n">
        <x:f>XLOOKUP(H20,'菜品主数据'!$A$5:$A$24,'菜品主数据'!$D$5:$D$24,0)</x:f>
        <x:v>25</x:v>
      </x:c>
      <x:c r="K20" s="31" t="n">
        <x:v>9</x:v>
      </x:c>
      <x:c r="L20" s="35" t="n">
        <x:f>J20*K20</x:f>
        <x:v>225</x:v>
      </x:c>
      <x:c r="M20" s="36" t="n">
        <x:v>0</x:v>
      </x:c>
      <x:c r="N20" s="35" t="n">
        <x:f>L20*M20</x:f>
        <x:v>0</x:v>
      </x:c>
      <x:c r="O20" s="37" t="n">
        <x:v>0</x:v>
      </x:c>
      <x:c r="P20" s="35" t="n">
        <x:f>L20*O20</x:f>
        <x:v>0</x:v>
      </x:c>
      <x:c r="Q20" s="35" t="n">
        <x:v>0</x:v>
      </x:c>
      <x:c r="R20" s="35" t="n">
        <x:f>K20*Q20</x:f>
        <x:v>0</x:v>
      </x:c>
      <x:c r="S20" s="35" t="n">
        <x:f>XLOOKUP(H20,'菜品主数据'!$A$5:$A$24,'菜品主数据'!$G$5:$G$24,0)</x:f>
        <x:v>8.184</x:v>
      </x:c>
      <x:c r="T20" s="35" t="n">
        <x:f>K20*S20</x:f>
        <x:v>73.65599999999999</x:v>
      </x:c>
      <x:c r="U20" s="35" t="n">
        <x:f>L20-N20-P20-R20-T20</x:f>
        <x:v>151.344</x:v>
      </x:c>
      <x:c r="V20" s="21" t="n">
        <x:f>IFERROR(U20/L20,0)</x:f>
        <x:v>0.67264</x:v>
      </x:c>
    </x:row>
    <x:row r="21">
      <x:c r="A21" s="19" t="str">
        <x:v>SALE-00017</x:v>
      </x:c>
      <x:c r="B21" s="34" t="n">
        <x:v>46210.5</x:v>
      </x:c>
      <x:c r="C21" s="19" t="str">
        <x:v>周二</x:v>
      </x:c>
      <x:c r="D21" s="19" t="str">
        <x:v>S01</x:v>
      </x:c>
      <x:c r="E21" s="19" t="str">
        <x:v>近江天阳店</x:v>
      </x:c>
      <x:c r="F21" s="19" t="str">
        <x:v>堂食</x:v>
      </x:c>
      <x:c r="G21" s="19" t="str">
        <x:v>全日</x:v>
      </x:c>
      <x:c r="H21" s="19" t="str">
        <x:v>D17</x:v>
      </x:c>
      <x:c r="I21" s="19" t="str">
        <x:v>蒜蓉粉丝虾</x:v>
      </x:c>
      <x:c r="J21" s="22" t="n">
        <x:f>XLOOKUP(H21,'菜品主数据'!$A$5:$A$24,'菜品主数据'!$D$5:$D$24,0)</x:f>
        <x:v>36</x:v>
      </x:c>
      <x:c r="K21" s="31" t="n">
        <x:v>5</x:v>
      </x:c>
      <x:c r="L21" s="35" t="n">
        <x:f>J21*K21</x:f>
        <x:v>180</x:v>
      </x:c>
      <x:c r="M21" s="36" t="n">
        <x:v>0</x:v>
      </x:c>
      <x:c r="N21" s="35" t="n">
        <x:f>L21*M21</x:f>
        <x:v>0</x:v>
      </x:c>
      <x:c r="O21" s="37" t="n">
        <x:v>0</x:v>
      </x:c>
      <x:c r="P21" s="35" t="n">
        <x:f>L21*O21</x:f>
        <x:v>0</x:v>
      </x:c>
      <x:c r="Q21" s="35" t="n">
        <x:v>0</x:v>
      </x:c>
      <x:c r="R21" s="35" t="n">
        <x:f>K21*Q21</x:f>
        <x:v>0</x:v>
      </x:c>
      <x:c r="S21" s="35" t="n">
        <x:f>XLOOKUP(H21,'菜品主数据'!$A$5:$A$24,'菜品主数据'!$G$5:$G$24,0)</x:f>
        <x:v>13.594</x:v>
      </x:c>
      <x:c r="T21" s="35" t="n">
        <x:f>K21*S21</x:f>
        <x:v>67.97</x:v>
      </x:c>
      <x:c r="U21" s="35" t="n">
        <x:f>L21-N21-P21-R21-T21</x:f>
        <x:v>112.03</x:v>
      </x:c>
      <x:c r="V21" s="21" t="n">
        <x:f>IFERROR(U21/L21,0)</x:f>
        <x:v>0.6223888888888889</x:v>
      </x:c>
    </x:row>
    <x:row r="22">
      <x:c r="A22" s="19" t="str">
        <x:v>SALE-00018</x:v>
      </x:c>
      <x:c r="B22" s="34" t="n">
        <x:v>46210.5</x:v>
      </x:c>
      <x:c r="C22" s="19" t="str">
        <x:v>周二</x:v>
      </x:c>
      <x:c r="D22" s="19" t="str">
        <x:v>S01</x:v>
      </x:c>
      <x:c r="E22" s="19" t="str">
        <x:v>近江天阳店</x:v>
      </x:c>
      <x:c r="F22" s="19" t="str">
        <x:v>堂食</x:v>
      </x:c>
      <x:c r="G22" s="19" t="str">
        <x:v>全日</x:v>
      </x:c>
      <x:c r="H22" s="19" t="str">
        <x:v>D18</x:v>
      </x:c>
      <x:c r="I22" s="19" t="str">
        <x:v>青椒炒油麦菜</x:v>
      </x:c>
      <x:c r="J22" s="22" t="n">
        <x:f>XLOOKUP(H22,'菜品主数据'!$A$5:$A$24,'菜品主数据'!$D$5:$D$24,0)</x:f>
        <x:v>18</x:v>
      </x:c>
      <x:c r="K22" s="31" t="n">
        <x:v>9</x:v>
      </x:c>
      <x:c r="L22" s="35" t="n">
        <x:f>J22*K22</x:f>
        <x:v>162</x:v>
      </x:c>
      <x:c r="M22" s="36" t="n">
        <x:v>0</x:v>
      </x:c>
      <x:c r="N22" s="35" t="n">
        <x:f>L22*M22</x:f>
        <x:v>0</x:v>
      </x:c>
      <x:c r="O22" s="37" t="n">
        <x:v>0</x:v>
      </x:c>
      <x:c r="P22" s="35" t="n">
        <x:f>L22*O22</x:f>
        <x:v>0</x:v>
      </x:c>
      <x:c r="Q22" s="35" t="n">
        <x:v>0</x:v>
      </x:c>
      <x:c r="R22" s="35" t="n">
        <x:f>K22*Q22</x:f>
        <x:v>0</x:v>
      </x:c>
      <x:c r="S22" s="35" t="n">
        <x:f>XLOOKUP(H22,'菜品主数据'!$A$5:$A$24,'菜品主数据'!$G$5:$G$24,0)</x:f>
        <x:v>3.1759999999999993</x:v>
      </x:c>
      <x:c r="T22" s="35" t="n">
        <x:f>K22*S22</x:f>
        <x:v>28.583999999999993</x:v>
      </x:c>
      <x:c r="U22" s="35" t="n">
        <x:f>L22-N22-P22-R22-T22</x:f>
        <x:v>133.416</x:v>
      </x:c>
      <x:c r="V22" s="21" t="n">
        <x:f>IFERROR(U22/L22,0)</x:f>
        <x:v>0.8235555555555555</x:v>
      </x:c>
    </x:row>
    <x:row r="23">
      <x:c r="A23" s="19" t="str">
        <x:v>SALE-00019</x:v>
      </x:c>
      <x:c r="B23" s="34" t="n">
        <x:v>46210.5</x:v>
      </x:c>
      <x:c r="C23" s="19" t="str">
        <x:v>周二</x:v>
      </x:c>
      <x:c r="D23" s="19" t="str">
        <x:v>S01</x:v>
      </x:c>
      <x:c r="E23" s="19" t="str">
        <x:v>近江天阳店</x:v>
      </x:c>
      <x:c r="F23" s="19" t="str">
        <x:v>堂食</x:v>
      </x:c>
      <x:c r="G23" s="19" t="str">
        <x:v>全日</x:v>
      </x:c>
      <x:c r="H23" s="19" t="str">
        <x:v>D19</x:v>
      </x:c>
      <x:c r="I23" s="19" t="str">
        <x:v>酸萝卜炒鸡杂</x:v>
      </x:c>
      <x:c r="J23" s="22" t="n">
        <x:f>XLOOKUP(H23,'菜品主数据'!$A$5:$A$24,'菜品主数据'!$D$5:$D$24,0)</x:f>
        <x:v>25</x:v>
      </x:c>
      <x:c r="K23" s="31" t="n">
        <x:v>7</x:v>
      </x:c>
      <x:c r="L23" s="35" t="n">
        <x:f>J23*K23</x:f>
        <x:v>175</x:v>
      </x:c>
      <x:c r="M23" s="36" t="n">
        <x:v>0</x:v>
      </x:c>
      <x:c r="N23" s="35" t="n">
        <x:f>L23*M23</x:f>
        <x:v>0</x:v>
      </x:c>
      <x:c r="O23" s="37" t="n">
        <x:v>0</x:v>
      </x:c>
      <x:c r="P23" s="35" t="n">
        <x:f>L23*O23</x:f>
        <x:v>0</x:v>
      </x:c>
      <x:c r="Q23" s="35" t="n">
        <x:v>0</x:v>
      </x:c>
      <x:c r="R23" s="35" t="n">
        <x:f>K23*Q23</x:f>
        <x:v>0</x:v>
      </x:c>
      <x:c r="S23" s="35" t="n">
        <x:f>XLOOKUP(H23,'菜品主数据'!$A$5:$A$24,'菜品主数据'!$G$5:$G$24,0)</x:f>
        <x:v>7.9399999999999995</x:v>
      </x:c>
      <x:c r="T23" s="35" t="n">
        <x:f>K23*S23</x:f>
        <x:v>55.58</x:v>
      </x:c>
      <x:c r="U23" s="35" t="n">
        <x:f>L23-N23-P23-R23-T23</x:f>
        <x:v>119.42</x:v>
      </x:c>
      <x:c r="V23" s="21" t="n">
        <x:f>IFERROR(U23/L23,0)</x:f>
        <x:v>0.6824</x:v>
      </x:c>
    </x:row>
    <x:row r="24">
      <x:c r="A24" s="19" t="str">
        <x:v>SALE-00020</x:v>
      </x:c>
      <x:c r="B24" s="34" t="n">
        <x:v>46210.5</x:v>
      </x:c>
      <x:c r="C24" s="19" t="str">
        <x:v>周二</x:v>
      </x:c>
      <x:c r="D24" s="19" t="str">
        <x:v>S01</x:v>
      </x:c>
      <x:c r="E24" s="19" t="str">
        <x:v>近江天阳店</x:v>
      </x:c>
      <x:c r="F24" s="19" t="str">
        <x:v>堂食</x:v>
      </x:c>
      <x:c r="G24" s="19" t="str">
        <x:v>全日</x:v>
      </x:c>
      <x:c r="H24" s="19" t="str">
        <x:v>D20</x:v>
      </x:c>
      <x:c r="I24" s="19" t="str">
        <x:v>雪菜肉末青豆</x:v>
      </x:c>
      <x:c r="J24" s="22" t="n">
        <x:f>XLOOKUP(H24,'菜品主数据'!$A$5:$A$24,'菜品主数据'!$D$5:$D$24,0)</x:f>
        <x:v>18</x:v>
      </x:c>
      <x:c r="K24" s="31" t="n">
        <x:v>10</x:v>
      </x:c>
      <x:c r="L24" s="35" t="n">
        <x:f>J24*K24</x:f>
        <x:v>180</x:v>
      </x:c>
      <x:c r="M24" s="36" t="n">
        <x:v>0</x:v>
      </x:c>
      <x:c r="N24" s="35" t="n">
        <x:f>L24*M24</x:f>
        <x:v>0</x:v>
      </x:c>
      <x:c r="O24" s="37" t="n">
        <x:v>0</x:v>
      </x:c>
      <x:c r="P24" s="35" t="n">
        <x:f>L24*O24</x:f>
        <x:v>0</x:v>
      </x:c>
      <x:c r="Q24" s="35" t="n">
        <x:v>0</x:v>
      </x:c>
      <x:c r="R24" s="35" t="n">
        <x:f>K24*Q24</x:f>
        <x:v>0</x:v>
      </x:c>
      <x:c r="S24" s="35" t="n">
        <x:f>XLOOKUP(H24,'菜品主数据'!$A$5:$A$24,'菜品主数据'!$G$5:$G$24,0)</x:f>
        <x:v>7.303999999999999</x:v>
      </x:c>
      <x:c r="T24" s="35" t="n">
        <x:f>K24*S24</x:f>
        <x:v>73.03999999999999</x:v>
      </x:c>
      <x:c r="U24" s="35" t="n">
        <x:f>L24-N24-P24-R24-T24</x:f>
        <x:v>106.96000000000001</x:v>
      </x:c>
      <x:c r="V24" s="21" t="n">
        <x:f>IFERROR(U24/L24,0)</x:f>
        <x:v>0.5942222222222223</x:v>
      </x:c>
    </x:row>
    <x:row r="25">
      <x:c r="A25" s="19" t="str">
        <x:v>SALE-00021</x:v>
      </x:c>
      <x:c r="B25" s="34" t="n">
        <x:v>46210.5</x:v>
      </x:c>
      <x:c r="C25" s="19" t="str">
        <x:v>周二</x:v>
      </x:c>
      <x:c r="D25" s="19" t="str">
        <x:v>S01</x:v>
      </x:c>
      <x:c r="E25" s="19" t="str">
        <x:v>近江天阳店</x:v>
      </x:c>
      <x:c r="F25" s="19" t="str">
        <x:v>外卖</x:v>
      </x:c>
      <x:c r="G25" s="19" t="str">
        <x:v>全日</x:v>
      </x:c>
      <x:c r="H25" s="19" t="str">
        <x:v>D01</x:v>
      </x:c>
      <x:c r="I25" s="19" t="str">
        <x:v>辣椒炒肉</x:v>
      </x:c>
      <x:c r="J25" s="22" t="n">
        <x:f>XLOOKUP(H25,'菜品主数据'!$A$5:$A$24,'菜品主数据'!$D$5:$D$24,0)</x:f>
        <x:v>29</x:v>
      </x:c>
      <x:c r="K25" s="31" t="n">
        <x:v>5</x:v>
      </x:c>
      <x:c r="L25" s="35" t="n">
        <x:f>J25*K25</x:f>
        <x:v>145</x:v>
      </x:c>
      <x:c r="M25" s="36" t="n">
        <x:v>0.08</x:v>
      </x:c>
      <x:c r="N25" s="35" t="n">
        <x:f>L25*M25</x:f>
        <x:v>11.6</x:v>
      </x:c>
      <x:c r="O25" s="37" t="n">
        <x:v>0.18</x:v>
      </x:c>
      <x:c r="P25" s="35" t="n">
        <x:f>L25*O25</x:f>
        <x:v>26.099999999999998</x:v>
      </x:c>
      <x:c r="Q25" s="35" t="n">
        <x:v>1.2</x:v>
      </x:c>
      <x:c r="R25" s="35" t="n">
        <x:f>K25*Q25</x:f>
        <x:v>6</x:v>
      </x:c>
      <x:c r="S25" s="35" t="n">
        <x:f>XLOOKUP(H25,'菜品主数据'!$A$5:$A$24,'菜品主数据'!$G$5:$G$24,0)</x:f>
        <x:v>8.634400000000001</x:v>
      </x:c>
      <x:c r="T25" s="35" t="n">
        <x:f>K25*S25</x:f>
        <x:v>43.172000000000004</x:v>
      </x:c>
      <x:c r="U25" s="35" t="n">
        <x:f>L25-N25-P25-R25-T25</x:f>
        <x:v>58.12800000000001</x:v>
      </x:c>
      <x:c r="V25" s="21" t="n">
        <x:f>IFERROR(U25/L25,0)</x:f>
        <x:v>0.4008827586206897</x:v>
      </x:c>
    </x:row>
    <x:row r="26">
      <x:c r="A26" s="19" t="str">
        <x:v>SALE-00022</x:v>
      </x:c>
      <x:c r="B26" s="34" t="n">
        <x:v>46210.5</x:v>
      </x:c>
      <x:c r="C26" s="19" t="str">
        <x:v>周二</x:v>
      </x:c>
      <x:c r="D26" s="19" t="str">
        <x:v>S01</x:v>
      </x:c>
      <x:c r="E26" s="19" t="str">
        <x:v>近江天阳店</x:v>
      </x:c>
      <x:c r="F26" s="19" t="str">
        <x:v>外卖</x:v>
      </x:c>
      <x:c r="G26" s="19" t="str">
        <x:v>全日</x:v>
      </x:c>
      <x:c r="H26" s="19" t="str">
        <x:v>D02</x:v>
      </x:c>
      <x:c r="I26" s="19" t="str">
        <x:v>小炒黄牛肉</x:v>
      </x:c>
      <x:c r="J26" s="22" t="n">
        <x:f>XLOOKUP(H26,'菜品主数据'!$A$5:$A$24,'菜品主数据'!$D$5:$D$24,0)</x:f>
        <x:v>49</x:v>
      </x:c>
      <x:c r="K26" s="31" t="n">
        <x:v>8</x:v>
      </x:c>
      <x:c r="L26" s="35" t="n">
        <x:f>J26*K26</x:f>
        <x:v>392</x:v>
      </x:c>
      <x:c r="M26" s="36" t="n">
        <x:v>0.08</x:v>
      </x:c>
      <x:c r="N26" s="35" t="n">
        <x:f>L26*M26</x:f>
        <x:v>31.36</x:v>
      </x:c>
      <x:c r="O26" s="37" t="n">
        <x:v>0.18</x:v>
      </x:c>
      <x:c r="P26" s="35" t="n">
        <x:f>L26*O26</x:f>
        <x:v>70.56</x:v>
      </x:c>
      <x:c r="Q26" s="35" t="n">
        <x:v>1.2</x:v>
      </x:c>
      <x:c r="R26" s="35" t="n">
        <x:f>K26*Q26</x:f>
        <x:v>9.6</x:v>
      </x:c>
      <x:c r="S26" s="35" t="n">
        <x:f>XLOOKUP(H26,'菜品主数据'!$A$5:$A$24,'菜品主数据'!$G$5:$G$24,0)</x:f>
        <x:v>17.577</x:v>
      </x:c>
      <x:c r="T26" s="35" t="n">
        <x:f>K26*S26</x:f>
        <x:v>140.616</x:v>
      </x:c>
      <x:c r="U26" s="35" t="n">
        <x:f>L26-N26-P26-R26-T26</x:f>
        <x:v>139.86399999999995</x:v>
      </x:c>
      <x:c r="V26" s="21" t="n">
        <x:f>IFERROR(U26/L26,0)</x:f>
        <x:v>0.3567959183673468</x:v>
      </x:c>
    </x:row>
    <x:row r="27">
      <x:c r="A27" s="19" t="str">
        <x:v>SALE-00023</x:v>
      </x:c>
      <x:c r="B27" s="34" t="n">
        <x:v>46210.5</x:v>
      </x:c>
      <x:c r="C27" s="19" t="str">
        <x:v>周二</x:v>
      </x:c>
      <x:c r="D27" s="19" t="str">
        <x:v>S01</x:v>
      </x:c>
      <x:c r="E27" s="19" t="str">
        <x:v>近江天阳店</x:v>
      </x:c>
      <x:c r="F27" s="19" t="str">
        <x:v>外卖</x:v>
      </x:c>
      <x:c r="G27" s="19" t="str">
        <x:v>全日</x:v>
      </x:c>
      <x:c r="H27" s="19" t="str">
        <x:v>D03</x:v>
      </x:c>
      <x:c r="I27" s="19" t="str">
        <x:v>香醋炒蛋</x:v>
      </x:c>
      <x:c r="J27" s="22" t="n">
        <x:f>XLOOKUP(H27,'菜品主数据'!$A$5:$A$24,'菜品主数据'!$D$5:$D$24,0)</x:f>
        <x:v>14.9</x:v>
      </x:c>
      <x:c r="K27" s="31" t="n">
        <x:v>4</x:v>
      </x:c>
      <x:c r="L27" s="35" t="n">
        <x:f>J27*K27</x:f>
        <x:v>59.6</x:v>
      </x:c>
      <x:c r="M27" s="36" t="n">
        <x:v>0.08</x:v>
      </x:c>
      <x:c r="N27" s="35" t="n">
        <x:f>L27*M27</x:f>
        <x:v>4.768</x:v>
      </x:c>
      <x:c r="O27" s="37" t="n">
        <x:v>0.18</x:v>
      </x:c>
      <x:c r="P27" s="35" t="n">
        <x:f>L27*O27</x:f>
        <x:v>10.728</x:v>
      </x:c>
      <x:c r="Q27" s="35" t="n">
        <x:v>1.2</x:v>
      </x:c>
      <x:c r="R27" s="35" t="n">
        <x:f>K27*Q27</x:f>
        <x:v>4.8</x:v>
      </x:c>
      <x:c r="S27" s="35" t="n">
        <x:f>XLOOKUP(H27,'菜品主数据'!$A$5:$A$24,'菜品主数据'!$G$5:$G$24,0)</x:f>
        <x:v>3.7459999999999996</x:v>
      </x:c>
      <x:c r="T27" s="35" t="n">
        <x:f>K27*S27</x:f>
        <x:v>14.983999999999998</x:v>
      </x:c>
      <x:c r="U27" s="35" t="n">
        <x:f>L27-N27-P27-R27-T27</x:f>
        <x:v>24.320000000000004</x:v>
      </x:c>
      <x:c r="V27" s="21" t="n">
        <x:f>IFERROR(U27/L27,0)</x:f>
        <x:v>0.40805369127516783</x:v>
      </x:c>
    </x:row>
    <x:row r="28">
      <x:c r="A28" s="19" t="str">
        <x:v>SALE-00024</x:v>
      </x:c>
      <x:c r="B28" s="34" t="n">
        <x:v>46210.5</x:v>
      </x:c>
      <x:c r="C28" s="19" t="str">
        <x:v>周二</x:v>
      </x:c>
      <x:c r="D28" s="19" t="str">
        <x:v>S01</x:v>
      </x:c>
      <x:c r="E28" s="19" t="str">
        <x:v>近江天阳店</x:v>
      </x:c>
      <x:c r="F28" s="19" t="str">
        <x:v>外卖</x:v>
      </x:c>
      <x:c r="G28" s="19" t="str">
        <x:v>全日</x:v>
      </x:c>
      <x:c r="H28" s="19" t="str">
        <x:v>D04</x:v>
      </x:c>
      <x:c r="I28" s="19" t="str">
        <x:v>酸包菜炒粉皮</x:v>
      </x:c>
      <x:c r="J28" s="22" t="n">
        <x:f>XLOOKUP(H28,'菜品主数据'!$A$5:$A$24,'菜品主数据'!$D$5:$D$24,0)</x:f>
        <x:v>16</x:v>
      </x:c>
      <x:c r="K28" s="31" t="n">
        <x:v>4</x:v>
      </x:c>
      <x:c r="L28" s="35" t="n">
        <x:f>J28*K28</x:f>
        <x:v>64</x:v>
      </x:c>
      <x:c r="M28" s="36" t="n">
        <x:v>0.08</x:v>
      </x:c>
      <x:c r="N28" s="35" t="n">
        <x:f>L28*M28</x:f>
        <x:v>5.12</x:v>
      </x:c>
      <x:c r="O28" s="37" t="n">
        <x:v>0.18</x:v>
      </x:c>
      <x:c r="P28" s="35" t="n">
        <x:f>L28*O28</x:f>
        <x:v>11.52</x:v>
      </x:c>
      <x:c r="Q28" s="35" t="n">
        <x:v>1.2</x:v>
      </x:c>
      <x:c r="R28" s="35" t="n">
        <x:f>K28*Q28</x:f>
        <x:v>4.8</x:v>
      </x:c>
      <x:c r="S28" s="35" t="n">
        <x:f>XLOOKUP(H28,'菜品主数据'!$A$5:$A$24,'菜品主数据'!$G$5:$G$24,0)</x:f>
        <x:v>3.978</x:v>
      </x:c>
      <x:c r="T28" s="35" t="n">
        <x:f>K28*S28</x:f>
        <x:v>15.912</x:v>
      </x:c>
      <x:c r="U28" s="35" t="n">
        <x:f>L28-N28-P28-R28-T28</x:f>
        <x:v>26.648000000000003</x:v>
      </x:c>
      <x:c r="V28" s="21" t="n">
        <x:f>IFERROR(U28/L28,0)</x:f>
        <x:v>0.41637500000000005</x:v>
      </x:c>
    </x:row>
    <x:row r="29">
      <x:c r="A29" s="19" t="str">
        <x:v>SALE-00025</x:v>
      </x:c>
      <x:c r="B29" s="34" t="n">
        <x:v>46210.5</x:v>
      </x:c>
      <x:c r="C29" s="19" t="str">
        <x:v>周二</x:v>
      </x:c>
      <x:c r="D29" s="19" t="str">
        <x:v>S01</x:v>
      </x:c>
      <x:c r="E29" s="19" t="str">
        <x:v>近江天阳店</x:v>
      </x:c>
      <x:c r="F29" s="19" t="str">
        <x:v>外卖</x:v>
      </x:c>
      <x:c r="G29" s="19" t="str">
        <x:v>全日</x:v>
      </x:c>
      <x:c r="H29" s="19" t="str">
        <x:v>D05</x:v>
      </x:c>
      <x:c r="I29" s="19" t="str">
        <x:v>麻婆豆腐</x:v>
      </x:c>
      <x:c r="J29" s="22" t="n">
        <x:f>XLOOKUP(H29,'菜品主数据'!$A$5:$A$24,'菜品主数据'!$D$5:$D$24,0)</x:f>
        <x:v>9.9</x:v>
      </x:c>
      <x:c r="K29" s="31" t="n">
        <x:v>6</x:v>
      </x:c>
      <x:c r="L29" s="35" t="n">
        <x:f>J29*K29</x:f>
        <x:v>59.400000000000006</x:v>
      </x:c>
      <x:c r="M29" s="36" t="n">
        <x:v>0.08</x:v>
      </x:c>
      <x:c r="N29" s="35" t="n">
        <x:f>L29*M29</x:f>
        <x:v>4.752000000000001</x:v>
      </x:c>
      <x:c r="O29" s="37" t="n">
        <x:v>0.18</x:v>
      </x:c>
      <x:c r="P29" s="35" t="n">
        <x:f>L29*O29</x:f>
        <x:v>10.692</x:v>
      </x:c>
      <x:c r="Q29" s="35" t="n">
        <x:v>1.2</x:v>
      </x:c>
      <x:c r="R29" s="35" t="n">
        <x:f>K29*Q29</x:f>
        <x:v>7.199999999999999</x:v>
      </x:c>
      <x:c r="S29" s="35" t="n">
        <x:f>XLOOKUP(H29,'菜品主数据'!$A$5:$A$24,'菜品主数据'!$G$5:$G$24,0)</x:f>
        <x:v>5.367000000000001</x:v>
      </x:c>
      <x:c r="T29" s="35" t="n">
        <x:f>K29*S29</x:f>
        <x:v>32.202000000000005</x:v>
      </x:c>
      <x:c r="U29" s="35" t="n">
        <x:f>L29-N29-P29-R29-T29</x:f>
        <x:v>4.553999999999995</x:v>
      </x:c>
      <x:c r="V29" s="21" t="n">
        <x:f>IFERROR(U29/L29,0)</x:f>
        <x:v>0.07666666666666658</x:v>
      </x:c>
    </x:row>
    <x:row r="30">
      <x:c r="A30" s="19" t="str">
        <x:v>SALE-00026</x:v>
      </x:c>
      <x:c r="B30" s="34" t="n">
        <x:v>46210.5</x:v>
      </x:c>
      <x:c r="C30" s="19" t="str">
        <x:v>周二</x:v>
      </x:c>
      <x:c r="D30" s="19" t="str">
        <x:v>S01</x:v>
      </x:c>
      <x:c r="E30" s="19" t="str">
        <x:v>近江天阳店</x:v>
      </x:c>
      <x:c r="F30" s="19" t="str">
        <x:v>外卖</x:v>
      </x:c>
      <x:c r="G30" s="19" t="str">
        <x:v>全日</x:v>
      </x:c>
      <x:c r="H30" s="19" t="str">
        <x:v>D06</x:v>
      </x:c>
      <x:c r="I30" s="19" t="str">
        <x:v>剁椒鱼头</x:v>
      </x:c>
      <x:c r="J30" s="22" t="n">
        <x:f>XLOOKUP(H30,'菜品主数据'!$A$5:$A$24,'菜品主数据'!$D$5:$D$24,0)</x:f>
        <x:v>39</x:v>
      </x:c>
      <x:c r="K30" s="31" t="n">
        <x:v>1</x:v>
      </x:c>
      <x:c r="L30" s="35" t="n">
        <x:f>J30*K30</x:f>
        <x:v>39</x:v>
      </x:c>
      <x:c r="M30" s="36" t="n">
        <x:v>0.08</x:v>
      </x:c>
      <x:c r="N30" s="35" t="n">
        <x:f>L30*M30</x:f>
        <x:v>3.12</x:v>
      </x:c>
      <x:c r="O30" s="37" t="n">
        <x:v>0.18</x:v>
      </x:c>
      <x:c r="P30" s="35" t="n">
        <x:f>L30*O30</x:f>
        <x:v>7.02</x:v>
      </x:c>
      <x:c r="Q30" s="35" t="n">
        <x:v>1.2</x:v>
      </x:c>
      <x:c r="R30" s="35" t="n">
        <x:f>K30*Q30</x:f>
        <x:v>1.2</x:v>
      </x:c>
      <x:c r="S30" s="35" t="n">
        <x:f>XLOOKUP(H30,'菜品主数据'!$A$5:$A$24,'菜品主数据'!$G$5:$G$24,0)</x:f>
        <x:v>17.446</x:v>
      </x:c>
      <x:c r="T30" s="35" t="n">
        <x:f>K30*S30</x:f>
        <x:v>17.446</x:v>
      </x:c>
      <x:c r="U30" s="35" t="n">
        <x:f>L30-N30-P30-R30-T30</x:f>
        <x:v>10.214000000000002</x:v>
      </x:c>
      <x:c r="V30" s="21" t="n">
        <x:f>IFERROR(U30/L30,0)</x:f>
        <x:v>0.26189743589743597</x:v>
      </x:c>
    </x:row>
    <x:row r="31">
      <x:c r="A31" s="19" t="str">
        <x:v>SALE-00027</x:v>
      </x:c>
      <x:c r="B31" s="34" t="n">
        <x:v>46210.5</x:v>
      </x:c>
      <x:c r="C31" s="19" t="str">
        <x:v>周二</x:v>
      </x:c>
      <x:c r="D31" s="19" t="str">
        <x:v>S01</x:v>
      </x:c>
      <x:c r="E31" s="19" t="str">
        <x:v>近江天阳店</x:v>
      </x:c>
      <x:c r="F31" s="19" t="str">
        <x:v>外卖</x:v>
      </x:c>
      <x:c r="G31" s="19" t="str">
        <x:v>全日</x:v>
      </x:c>
      <x:c r="H31" s="19" t="str">
        <x:v>D07</x:v>
      </x:c>
      <x:c r="I31" s="19" t="str">
        <x:v>川味回锅肉</x:v>
      </x:c>
      <x:c r="J31" s="22" t="n">
        <x:f>XLOOKUP(H31,'菜品主数据'!$A$5:$A$24,'菜品主数据'!$D$5:$D$24,0)</x:f>
        <x:v>29</x:v>
      </x:c>
      <x:c r="K31" s="31" t="n">
        <x:v>1</x:v>
      </x:c>
      <x:c r="L31" s="35" t="n">
        <x:f>J31*K31</x:f>
        <x:v>29</x:v>
      </x:c>
      <x:c r="M31" s="36" t="n">
        <x:v>0.08</x:v>
      </x:c>
      <x:c r="N31" s="35" t="n">
        <x:f>L31*M31</x:f>
        <x:v>2.32</x:v>
      </x:c>
      <x:c r="O31" s="37" t="n">
        <x:v>0.18</x:v>
      </x:c>
      <x:c r="P31" s="35" t="n">
        <x:f>L31*O31</x:f>
        <x:v>5.22</x:v>
      </x:c>
      <x:c r="Q31" s="35" t="n">
        <x:v>1.2</x:v>
      </x:c>
      <x:c r="R31" s="35" t="n">
        <x:f>K31*Q31</x:f>
        <x:v>1.2</x:v>
      </x:c>
      <x:c r="S31" s="35" t="n">
        <x:f>XLOOKUP(H31,'菜品主数据'!$A$5:$A$24,'菜品主数据'!$G$5:$G$24,0)</x:f>
        <x:v>10.231000000000002</x:v>
      </x:c>
      <x:c r="T31" s="35" t="n">
        <x:f>K31*S31</x:f>
        <x:v>10.231000000000002</x:v>
      </x:c>
      <x:c r="U31" s="35" t="n">
        <x:f>L31-N31-P31-R31-T31</x:f>
        <x:v>10.029</x:v>
      </x:c>
      <x:c r="V31" s="21" t="n">
        <x:f>IFERROR(U31/L31,0)</x:f>
        <x:v>0.3458275862068966</x:v>
      </x:c>
    </x:row>
    <x:row r="32">
      <x:c r="A32" s="19" t="str">
        <x:v>SALE-00028</x:v>
      </x:c>
      <x:c r="B32" s="34" t="n">
        <x:v>46210.5</x:v>
      </x:c>
      <x:c r="C32" s="19" t="str">
        <x:v>周二</x:v>
      </x:c>
      <x:c r="D32" s="19" t="str">
        <x:v>S01</x:v>
      </x:c>
      <x:c r="E32" s="19" t="str">
        <x:v>近江天阳店</x:v>
      </x:c>
      <x:c r="F32" s="19" t="str">
        <x:v>外卖</x:v>
      </x:c>
      <x:c r="G32" s="19" t="str">
        <x:v>全日</x:v>
      </x:c>
      <x:c r="H32" s="19" t="str">
        <x:v>D08</x:v>
      </x:c>
      <x:c r="I32" s="19" t="str">
        <x:v>生炒清远鸡</x:v>
      </x:c>
      <x:c r="J32" s="22" t="n">
        <x:f>XLOOKUP(H32,'菜品主数据'!$A$5:$A$24,'菜品主数据'!$D$5:$D$24,0)</x:f>
        <x:v>36</x:v>
      </x:c>
      <x:c r="K32" s="31" t="n">
        <x:v>1</x:v>
      </x:c>
      <x:c r="L32" s="35" t="n">
        <x:f>J32*K32</x:f>
        <x:v>36</x:v>
      </x:c>
      <x:c r="M32" s="36" t="n">
        <x:v>0.08</x:v>
      </x:c>
      <x:c r="N32" s="35" t="n">
        <x:f>L32*M32</x:f>
        <x:v>2.88</x:v>
      </x:c>
      <x:c r="O32" s="37" t="n">
        <x:v>0.18</x:v>
      </x:c>
      <x:c r="P32" s="35" t="n">
        <x:f>L32*O32</x:f>
        <x:v>6.4799999999999995</x:v>
      </x:c>
      <x:c r="Q32" s="35" t="n">
        <x:v>1.2</x:v>
      </x:c>
      <x:c r="R32" s="35" t="n">
        <x:f>K32*Q32</x:f>
        <x:v>1.2</x:v>
      </x:c>
      <x:c r="S32" s="35" t="n">
        <x:f>XLOOKUP(H32,'菜品主数据'!$A$5:$A$24,'菜品主数据'!$G$5:$G$24,0)</x:f>
        <x:v>13.48</x:v>
      </x:c>
      <x:c r="T32" s="35" t="n">
        <x:f>K32*S32</x:f>
        <x:v>13.48</x:v>
      </x:c>
      <x:c r="U32" s="35" t="n">
        <x:f>L32-N32-P32-R32-T32</x:f>
        <x:v>11.959999999999997</x:v>
      </x:c>
      <x:c r="V32" s="21" t="n">
        <x:f>IFERROR(U32/L32,0)</x:f>
        <x:v>0.33222222222222214</x:v>
      </x:c>
    </x:row>
    <x:row r="33">
      <x:c r="A33" s="19" t="str">
        <x:v>SALE-00029</x:v>
      </x:c>
      <x:c r="B33" s="34" t="n">
        <x:v>46210.5</x:v>
      </x:c>
      <x:c r="C33" s="19" t="str">
        <x:v>周二</x:v>
      </x:c>
      <x:c r="D33" s="19" t="str">
        <x:v>S01</x:v>
      </x:c>
      <x:c r="E33" s="19" t="str">
        <x:v>近江天阳店</x:v>
      </x:c>
      <x:c r="F33" s="19" t="str">
        <x:v>外卖</x:v>
      </x:c>
      <x:c r="G33" s="19" t="str">
        <x:v>全日</x:v>
      </x:c>
      <x:c r="H33" s="19" t="str">
        <x:v>D09</x:v>
      </x:c>
      <x:c r="I33" s="19" t="str">
        <x:v>炒豆干</x:v>
      </x:c>
      <x:c r="J33" s="22" t="n">
        <x:f>XLOOKUP(H33,'菜品主数据'!$A$5:$A$24,'菜品主数据'!$D$5:$D$24,0)</x:f>
        <x:v>18</x:v>
      </x:c>
      <x:c r="K33" s="31" t="n">
        <x:v>1</x:v>
      </x:c>
      <x:c r="L33" s="35" t="n">
        <x:f>J33*K33</x:f>
        <x:v>18</x:v>
      </x:c>
      <x:c r="M33" s="36" t="n">
        <x:v>0.08</x:v>
      </x:c>
      <x:c r="N33" s="35" t="n">
        <x:f>L33*M33</x:f>
        <x:v>1.44</x:v>
      </x:c>
      <x:c r="O33" s="37" t="n">
        <x:v>0.18</x:v>
      </x:c>
      <x:c r="P33" s="35" t="n">
        <x:f>L33*O33</x:f>
        <x:v>3.2399999999999998</x:v>
      </x:c>
      <x:c r="Q33" s="35" t="n">
        <x:v>1.2</x:v>
      </x:c>
      <x:c r="R33" s="35" t="n">
        <x:f>K33*Q33</x:f>
        <x:v>1.2</x:v>
      </x:c>
      <x:c r="S33" s="35" t="n">
        <x:f>XLOOKUP(H33,'菜品主数据'!$A$5:$A$24,'菜品主数据'!$G$5:$G$24,0)</x:f>
        <x:v>6.613999999999999</x:v>
      </x:c>
      <x:c r="T33" s="35" t="n">
        <x:f>K33*S33</x:f>
        <x:v>6.613999999999999</x:v>
      </x:c>
      <x:c r="U33" s="35" t="n">
        <x:f>L33-N33-P33-R33-T33</x:f>
        <x:v>5.506</x:v>
      </x:c>
      <x:c r="V33" s="21" t="n">
        <x:f>IFERROR(U33/L33,0)</x:f>
        <x:v>0.3058888888888889</x:v>
      </x:c>
    </x:row>
    <x:row r="34">
      <x:c r="A34" s="19" t="str">
        <x:v>SALE-00030</x:v>
      </x:c>
      <x:c r="B34" s="34" t="n">
        <x:v>46210.5</x:v>
      </x:c>
      <x:c r="C34" s="19" t="str">
        <x:v>周二</x:v>
      </x:c>
      <x:c r="D34" s="19" t="str">
        <x:v>S01</x:v>
      </x:c>
      <x:c r="E34" s="19" t="str">
        <x:v>近江天阳店</x:v>
      </x:c>
      <x:c r="F34" s="19" t="str">
        <x:v>外卖</x:v>
      </x:c>
      <x:c r="G34" s="19" t="str">
        <x:v>全日</x:v>
      </x:c>
      <x:c r="H34" s="19" t="str">
        <x:v>D10</x:v>
      </x:c>
      <x:c r="I34" s="19" t="str">
        <x:v>农家一碗香</x:v>
      </x:c>
      <x:c r="J34" s="22" t="n">
        <x:f>XLOOKUP(H34,'菜品主数据'!$A$5:$A$24,'菜品主数据'!$D$5:$D$24,0)</x:f>
        <x:v>22.9</x:v>
      </x:c>
      <x:c r="K34" s="31" t="n">
        <x:v>2</x:v>
      </x:c>
      <x:c r="L34" s="35" t="n">
        <x:f>J34*K34</x:f>
        <x:v>45.8</x:v>
      </x:c>
      <x:c r="M34" s="36" t="n">
        <x:v>0.08</x:v>
      </x:c>
      <x:c r="N34" s="35" t="n">
        <x:f>L34*M34</x:f>
        <x:v>3.6639999999999997</x:v>
      </x:c>
      <x:c r="O34" s="37" t="n">
        <x:v>0.18</x:v>
      </x:c>
      <x:c r="P34" s="35" t="n">
        <x:f>L34*O34</x:f>
        <x:v>8.244</x:v>
      </x:c>
      <x:c r="Q34" s="35" t="n">
        <x:v>1.2</x:v>
      </x:c>
      <x:c r="R34" s="35" t="n">
        <x:f>K34*Q34</x:f>
        <x:v>2.4</x:v>
      </x:c>
      <x:c r="S34" s="35" t="n">
        <x:f>XLOOKUP(H34,'菜品主数据'!$A$5:$A$24,'菜品主数据'!$G$5:$G$24,0)</x:f>
        <x:v>9.770200000000003</x:v>
      </x:c>
      <x:c r="T34" s="35" t="n">
        <x:f>K34*S34</x:f>
        <x:v>19.540400000000005</x:v>
      </x:c>
      <x:c r="U34" s="35" t="n">
        <x:f>L34-N34-P34-R34-T34</x:f>
        <x:v>11.951599999999992</x:v>
      </x:c>
      <x:c r="V34" s="21" t="n">
        <x:f>IFERROR(U34/L34,0)</x:f>
        <x:v>0.260951965065502</x:v>
      </x:c>
    </x:row>
    <x:row r="35">
      <x:c r="A35" s="19" t="str">
        <x:v>SALE-00031</x:v>
      </x:c>
      <x:c r="B35" s="34" t="n">
        <x:v>46210.5</x:v>
      </x:c>
      <x:c r="C35" s="19" t="str">
        <x:v>周二</x:v>
      </x:c>
      <x:c r="D35" s="19" t="str">
        <x:v>S01</x:v>
      </x:c>
      <x:c r="E35" s="19" t="str">
        <x:v>近江天阳店</x:v>
      </x:c>
      <x:c r="F35" s="19" t="str">
        <x:v>外卖</x:v>
      </x:c>
      <x:c r="G35" s="19" t="str">
        <x:v>全日</x:v>
      </x:c>
      <x:c r="H35" s="19" t="str">
        <x:v>D11</x:v>
      </x:c>
      <x:c r="I35" s="19" t="str">
        <x:v>香辣爆肥肠</x:v>
      </x:c>
      <x:c r="J35" s="22" t="n">
        <x:f>XLOOKUP(H35,'菜品主数据'!$A$5:$A$24,'菜品主数据'!$D$5:$D$24,0)</x:f>
        <x:v>39</x:v>
      </x:c>
      <x:c r="K35" s="31" t="n">
        <x:v>0</x:v>
      </x:c>
      <x:c r="L35" s="35" t="n">
        <x:f>J35*K35</x:f>
        <x:v>0</x:v>
      </x:c>
      <x:c r="M35" s="36" t="n">
        <x:v>0.08</x:v>
      </x:c>
      <x:c r="N35" s="35" t="n">
        <x:f>L35*M35</x:f>
        <x:v>0</x:v>
      </x:c>
      <x:c r="O35" s="37" t="n">
        <x:v>0.18</x:v>
      </x:c>
      <x:c r="P35" s="35" t="n">
        <x:f>L35*O35</x:f>
        <x:v>0</x:v>
      </x:c>
      <x:c r="Q35" s="35" t="n">
        <x:v>1.2</x:v>
      </x:c>
      <x:c r="R35" s="35" t="n">
        <x:f>K35*Q35</x:f>
        <x:v>0</x:v>
      </x:c>
      <x:c r="S35" s="35" t="n">
        <x:f>XLOOKUP(H35,'菜品主数据'!$A$5:$A$24,'菜品主数据'!$G$5:$G$24,0)</x:f>
        <x:v>10.397</x:v>
      </x:c>
      <x:c r="T35" s="35" t="n">
        <x:f>K35*S35</x:f>
        <x:v>0</x:v>
      </x:c>
      <x:c r="U35" s="35" t="n">
        <x:f>L35-N35-P35-R35-T35</x:f>
        <x:v>0</x:v>
      </x:c>
      <x:c r="V35" s="21" t="n">
        <x:f>IFERROR(U35/L35,0)</x:f>
        <x:v>0</x:v>
      </x:c>
    </x:row>
    <x:row r="36">
      <x:c r="A36" s="19" t="str">
        <x:v>SALE-00032</x:v>
      </x:c>
      <x:c r="B36" s="34" t="n">
        <x:v>46210.5</x:v>
      </x:c>
      <x:c r="C36" s="19" t="str">
        <x:v>周二</x:v>
      </x:c>
      <x:c r="D36" s="19" t="str">
        <x:v>S01</x:v>
      </x:c>
      <x:c r="E36" s="19" t="str">
        <x:v>近江天阳店</x:v>
      </x:c>
      <x:c r="F36" s="19" t="str">
        <x:v>外卖</x:v>
      </x:c>
      <x:c r="G36" s="19" t="str">
        <x:v>全日</x:v>
      </x:c>
      <x:c r="H36" s="19" t="str">
        <x:v>D12</x:v>
      </x:c>
      <x:c r="I36" s="19" t="str">
        <x:v>清蒸鲈鱼</x:v>
      </x:c>
      <x:c r="J36" s="22" t="n">
        <x:f>XLOOKUP(H36,'菜品主数据'!$A$5:$A$24,'菜品主数据'!$D$5:$D$24,0)</x:f>
        <x:v>39</x:v>
      </x:c>
      <x:c r="K36" s="31" t="n">
        <x:v>0</x:v>
      </x:c>
      <x:c r="L36" s="35" t="n">
        <x:f>J36*K36</x:f>
        <x:v>0</x:v>
      </x:c>
      <x:c r="M36" s="36" t="n">
        <x:v>0.08</x:v>
      </x:c>
      <x:c r="N36" s="35" t="n">
        <x:f>L36*M36</x:f>
        <x:v>0</x:v>
      </x:c>
      <x:c r="O36" s="37" t="n">
        <x:v>0.18</x:v>
      </x:c>
      <x:c r="P36" s="35" t="n">
        <x:f>L36*O36</x:f>
        <x:v>0</x:v>
      </x:c>
      <x:c r="Q36" s="35" t="n">
        <x:v>1.2</x:v>
      </x:c>
      <x:c r="R36" s="35" t="n">
        <x:f>K36*Q36</x:f>
        <x:v>0</x:v>
      </x:c>
      <x:c r="S36" s="35" t="n">
        <x:f>XLOOKUP(H36,'菜品主数据'!$A$5:$A$24,'菜品主数据'!$G$5:$G$24,0)</x:f>
        <x:v>18.874</x:v>
      </x:c>
      <x:c r="T36" s="35" t="n">
        <x:f>K36*S36</x:f>
        <x:v>0</x:v>
      </x:c>
      <x:c r="U36" s="35" t="n">
        <x:f>L36-N36-P36-R36-T36</x:f>
        <x:v>0</x:v>
      </x:c>
      <x:c r="V36" s="21" t="n">
        <x:f>IFERROR(U36/L36,0)</x:f>
        <x:v>0</x:v>
      </x:c>
    </x:row>
    <x:row r="37">
      <x:c r="A37" s="19" t="str">
        <x:v>SALE-00033</x:v>
      </x:c>
      <x:c r="B37" s="34" t="n">
        <x:v>46210.5</x:v>
      </x:c>
      <x:c r="C37" s="19" t="str">
        <x:v>周二</x:v>
      </x:c>
      <x:c r="D37" s="19" t="str">
        <x:v>S01</x:v>
      </x:c>
      <x:c r="E37" s="19" t="str">
        <x:v>近江天阳店</x:v>
      </x:c>
      <x:c r="F37" s="19" t="str">
        <x:v>外卖</x:v>
      </x:c>
      <x:c r="G37" s="19" t="str">
        <x:v>全日</x:v>
      </x:c>
      <x:c r="H37" s="19" t="str">
        <x:v>D13</x:v>
      </x:c>
      <x:c r="I37" s="19" t="str">
        <x:v>外婆菜炒蛋</x:v>
      </x:c>
      <x:c r="J37" s="22" t="n">
        <x:f>XLOOKUP(H37,'菜品主数据'!$A$5:$A$24,'菜品主数据'!$D$5:$D$24,0)</x:f>
        <x:v>18</x:v>
      </x:c>
      <x:c r="K37" s="31" t="n">
        <x:v>1</x:v>
      </x:c>
      <x:c r="L37" s="35" t="n">
        <x:f>J37*K37</x:f>
        <x:v>18</x:v>
      </x:c>
      <x:c r="M37" s="36" t="n">
        <x:v>0.08</x:v>
      </x:c>
      <x:c r="N37" s="35" t="n">
        <x:f>L37*M37</x:f>
        <x:v>1.44</x:v>
      </x:c>
      <x:c r="O37" s="37" t="n">
        <x:v>0.18</x:v>
      </x:c>
      <x:c r="P37" s="35" t="n">
        <x:f>L37*O37</x:f>
        <x:v>3.2399999999999998</x:v>
      </x:c>
      <x:c r="Q37" s="35" t="n">
        <x:v>1.2</x:v>
      </x:c>
      <x:c r="R37" s="35" t="n">
        <x:f>K37*Q37</x:f>
        <x:v>1.2</x:v>
      </x:c>
      <x:c r="S37" s="35" t="n">
        <x:f>XLOOKUP(H37,'菜品主数据'!$A$5:$A$24,'菜品主数据'!$G$5:$G$24,0)</x:f>
        <x:v>5.403999999999999</x:v>
      </x:c>
      <x:c r="T37" s="35" t="n">
        <x:f>K37*S37</x:f>
        <x:v>5.403999999999999</x:v>
      </x:c>
      <x:c r="U37" s="35" t="n">
        <x:f>L37-N37-P37-R37-T37</x:f>
        <x:v>6.716</x:v>
      </x:c>
      <x:c r="V37" s="21" t="n">
        <x:f>IFERROR(U37/L37,0)</x:f>
        <x:v>0.3731111111111111</x:v>
      </x:c>
    </x:row>
    <x:row r="38">
      <x:c r="A38" s="19" t="str">
        <x:v>SALE-00034</x:v>
      </x:c>
      <x:c r="B38" s="34" t="n">
        <x:v>46210.5</x:v>
      </x:c>
      <x:c r="C38" s="19" t="str">
        <x:v>周二</x:v>
      </x:c>
      <x:c r="D38" s="19" t="str">
        <x:v>S01</x:v>
      </x:c>
      <x:c r="E38" s="19" t="str">
        <x:v>近江天阳店</x:v>
      </x:c>
      <x:c r="F38" s="19" t="str">
        <x:v>外卖</x:v>
      </x:c>
      <x:c r="G38" s="19" t="str">
        <x:v>全日</x:v>
      </x:c>
      <x:c r="H38" s="19" t="str">
        <x:v>D14</x:v>
      </x:c>
      <x:c r="I38" s="19" t="str">
        <x:v>酸辣鸡杂</x:v>
      </x:c>
      <x:c r="J38" s="22" t="n">
        <x:f>XLOOKUP(H38,'菜品主数据'!$A$5:$A$24,'菜品主数据'!$D$5:$D$24,0)</x:f>
        <x:v>28</x:v>
      </x:c>
      <x:c r="K38" s="31" t="n">
        <x:v>1</x:v>
      </x:c>
      <x:c r="L38" s="35" t="n">
        <x:f>J38*K38</x:f>
        <x:v>28</x:v>
      </x:c>
      <x:c r="M38" s="36" t="n">
        <x:v>0.08</x:v>
      </x:c>
      <x:c r="N38" s="35" t="n">
        <x:f>L38*M38</x:f>
        <x:v>2.24</x:v>
      </x:c>
      <x:c r="O38" s="37" t="n">
        <x:v>0.18</x:v>
      </x:c>
      <x:c r="P38" s="35" t="n">
        <x:f>L38*O38</x:f>
        <x:v>5.04</x:v>
      </x:c>
      <x:c r="Q38" s="35" t="n">
        <x:v>1.2</x:v>
      </x:c>
      <x:c r="R38" s="35" t="n">
        <x:f>K38*Q38</x:f>
        <x:v>1.2</x:v>
      </x:c>
      <x:c r="S38" s="35" t="n">
        <x:f>XLOOKUP(H38,'菜品主数据'!$A$5:$A$24,'菜品主数据'!$G$5:$G$24,0)</x:f>
        <x:v>8.315000000000001</x:v>
      </x:c>
      <x:c r="T38" s="35" t="n">
        <x:f>K38*S38</x:f>
        <x:v>8.315000000000001</x:v>
      </x:c>
      <x:c r="U38" s="35" t="n">
        <x:f>L38-N38-P38-R38-T38</x:f>
        <x:v>11.204999999999998</x:v>
      </x:c>
      <x:c r="V38" s="21" t="n">
        <x:f>IFERROR(U38/L38,0)</x:f>
        <x:v>0.4001785714285714</x:v>
      </x:c>
    </x:row>
    <x:row r="39">
      <x:c r="A39" s="19" t="str">
        <x:v>SALE-00035</x:v>
      </x:c>
      <x:c r="B39" s="34" t="n">
        <x:v>46210.5</x:v>
      </x:c>
      <x:c r="C39" s="19" t="str">
        <x:v>周二</x:v>
      </x:c>
      <x:c r="D39" s="19" t="str">
        <x:v>S01</x:v>
      </x:c>
      <x:c r="E39" s="19" t="str">
        <x:v>近江天阳店</x:v>
      </x:c>
      <x:c r="F39" s="19" t="str">
        <x:v>外卖</x:v>
      </x:c>
      <x:c r="G39" s="19" t="str">
        <x:v>全日</x:v>
      </x:c>
      <x:c r="H39" s="19" t="str">
        <x:v>D15</x:v>
      </x:c>
      <x:c r="I39" s="19" t="str">
        <x:v>湘西土匪猪肝</x:v>
      </x:c>
      <x:c r="J39" s="22" t="n">
        <x:f>XLOOKUP(H39,'菜品主数据'!$A$5:$A$24,'菜品主数据'!$D$5:$D$24,0)</x:f>
        <x:v>26</x:v>
      </x:c>
      <x:c r="K39" s="31" t="n">
        <x:v>1</x:v>
      </x:c>
      <x:c r="L39" s="35" t="n">
        <x:f>J39*K39</x:f>
        <x:v>26</x:v>
      </x:c>
      <x:c r="M39" s="36" t="n">
        <x:v>0.08</x:v>
      </x:c>
      <x:c r="N39" s="35" t="n">
        <x:f>L39*M39</x:f>
        <x:v>2.08</x:v>
      </x:c>
      <x:c r="O39" s="37" t="n">
        <x:v>0.18</x:v>
      </x:c>
      <x:c r="P39" s="35" t="n">
        <x:f>L39*O39</x:f>
        <x:v>4.68</x:v>
      </x:c>
      <x:c r="Q39" s="35" t="n">
        <x:v>1.2</x:v>
      </x:c>
      <x:c r="R39" s="35" t="n">
        <x:f>K39*Q39</x:f>
        <x:v>1.2</x:v>
      </x:c>
      <x:c r="S39" s="35" t="n">
        <x:f>XLOOKUP(H39,'菜品主数据'!$A$5:$A$24,'菜品主数据'!$G$5:$G$24,0)</x:f>
        <x:v>6.3759999999999994</x:v>
      </x:c>
      <x:c r="T39" s="35" t="n">
        <x:f>K39*S39</x:f>
        <x:v>6.3759999999999994</x:v>
      </x:c>
      <x:c r="U39" s="35" t="n">
        <x:f>L39-N39-P39-R39-T39</x:f>
        <x:v>11.664000000000003</x:v>
      </x:c>
      <x:c r="V39" s="21" t="n">
        <x:f>IFERROR(U39/L39,0)</x:f>
        <x:v>0.44861538461538475</x:v>
      </x:c>
    </x:row>
    <x:row r="40">
      <x:c r="A40" s="19" t="str">
        <x:v>SALE-00036</x:v>
      </x:c>
      <x:c r="B40" s="34" t="n">
        <x:v>46210.5</x:v>
      </x:c>
      <x:c r="C40" s="19" t="str">
        <x:v>周二</x:v>
      </x:c>
      <x:c r="D40" s="19" t="str">
        <x:v>S01</x:v>
      </x:c>
      <x:c r="E40" s="19" t="str">
        <x:v>近江天阳店</x:v>
      </x:c>
      <x:c r="F40" s="19" t="str">
        <x:v>外卖</x:v>
      </x:c>
      <x:c r="G40" s="19" t="str">
        <x:v>全日</x:v>
      </x:c>
      <x:c r="H40" s="19" t="str">
        <x:v>D16</x:v>
      </x:c>
      <x:c r="I40" s="19" t="str">
        <x:v>小豆角炒五花</x:v>
      </x:c>
      <x:c r="J40" s="22" t="n">
        <x:f>XLOOKUP(H40,'菜品主数据'!$A$5:$A$24,'菜品主数据'!$D$5:$D$24,0)</x:f>
        <x:v>25</x:v>
      </x:c>
      <x:c r="K40" s="31" t="n">
        <x:v>1</x:v>
      </x:c>
      <x:c r="L40" s="35" t="n">
        <x:f>J40*K40</x:f>
        <x:v>25</x:v>
      </x:c>
      <x:c r="M40" s="36" t="n">
        <x:v>0.08</x:v>
      </x:c>
      <x:c r="N40" s="35" t="n">
        <x:f>L40*M40</x:f>
        <x:v>2</x:v>
      </x:c>
      <x:c r="O40" s="37" t="n">
        <x:v>0.18</x:v>
      </x:c>
      <x:c r="P40" s="35" t="n">
        <x:f>L40*O40</x:f>
        <x:v>4.5</x:v>
      </x:c>
      <x:c r="Q40" s="35" t="n">
        <x:v>1.2</x:v>
      </x:c>
      <x:c r="R40" s="35" t="n">
        <x:f>K40*Q40</x:f>
        <x:v>1.2</x:v>
      </x:c>
      <x:c r="S40" s="35" t="n">
        <x:f>XLOOKUP(H40,'菜品主数据'!$A$5:$A$24,'菜品主数据'!$G$5:$G$24,0)</x:f>
        <x:v>8.184</x:v>
      </x:c>
      <x:c r="T40" s="35" t="n">
        <x:f>K40*S40</x:f>
        <x:v>8.184</x:v>
      </x:c>
      <x:c r="U40" s="35" t="n">
        <x:f>L40-N40-P40-R40-T40</x:f>
        <x:v>9.116000000000001</x:v>
      </x:c>
      <x:c r="V40" s="21" t="n">
        <x:f>IFERROR(U40/L40,0)</x:f>
        <x:v>0.3646400000000001</x:v>
      </x:c>
    </x:row>
    <x:row r="41">
      <x:c r="A41" s="19" t="str">
        <x:v>SALE-00037</x:v>
      </x:c>
      <x:c r="B41" s="34" t="n">
        <x:v>46210.5</x:v>
      </x:c>
      <x:c r="C41" s="19" t="str">
        <x:v>周二</x:v>
      </x:c>
      <x:c r="D41" s="19" t="str">
        <x:v>S01</x:v>
      </x:c>
      <x:c r="E41" s="19" t="str">
        <x:v>近江天阳店</x:v>
      </x:c>
      <x:c r="F41" s="19" t="str">
        <x:v>外卖</x:v>
      </x:c>
      <x:c r="G41" s="19" t="str">
        <x:v>全日</x:v>
      </x:c>
      <x:c r="H41" s="19" t="str">
        <x:v>D17</x:v>
      </x:c>
      <x:c r="I41" s="19" t="str">
        <x:v>蒜蓉粉丝虾</x:v>
      </x:c>
      <x:c r="J41" s="22" t="n">
        <x:f>XLOOKUP(H41,'菜品主数据'!$A$5:$A$24,'菜品主数据'!$D$5:$D$24,0)</x:f>
        <x:v>36</x:v>
      </x:c>
      <x:c r="K41" s="31" t="n">
        <x:v>0</x:v>
      </x:c>
      <x:c r="L41" s="35" t="n">
        <x:f>J41*K41</x:f>
        <x:v>0</x:v>
      </x:c>
      <x:c r="M41" s="36" t="n">
        <x:v>0.08</x:v>
      </x:c>
      <x:c r="N41" s="35" t="n">
        <x:f>L41*M41</x:f>
        <x:v>0</x:v>
      </x:c>
      <x:c r="O41" s="37" t="n">
        <x:v>0.18</x:v>
      </x:c>
      <x:c r="P41" s="35" t="n">
        <x:f>L41*O41</x:f>
        <x:v>0</x:v>
      </x:c>
      <x:c r="Q41" s="35" t="n">
        <x:v>1.2</x:v>
      </x:c>
      <x:c r="R41" s="35" t="n">
        <x:f>K41*Q41</x:f>
        <x:v>0</x:v>
      </x:c>
      <x:c r="S41" s="35" t="n">
        <x:f>XLOOKUP(H41,'菜品主数据'!$A$5:$A$24,'菜品主数据'!$G$5:$G$24,0)</x:f>
        <x:v>13.594</x:v>
      </x:c>
      <x:c r="T41" s="35" t="n">
        <x:f>K41*S41</x:f>
        <x:v>0</x:v>
      </x:c>
      <x:c r="U41" s="35" t="n">
        <x:f>L41-N41-P41-R41-T41</x:f>
        <x:v>0</x:v>
      </x:c>
      <x:c r="V41" s="21" t="n">
        <x:f>IFERROR(U41/L41,0)</x:f>
        <x:v>0</x:v>
      </x:c>
    </x:row>
    <x:row r="42">
      <x:c r="A42" s="19" t="str">
        <x:v>SALE-00038</x:v>
      </x:c>
      <x:c r="B42" s="34" t="n">
        <x:v>46210.5</x:v>
      </x:c>
      <x:c r="C42" s="19" t="str">
        <x:v>周二</x:v>
      </x:c>
      <x:c r="D42" s="19" t="str">
        <x:v>S01</x:v>
      </x:c>
      <x:c r="E42" s="19" t="str">
        <x:v>近江天阳店</x:v>
      </x:c>
      <x:c r="F42" s="19" t="str">
        <x:v>外卖</x:v>
      </x:c>
      <x:c r="G42" s="19" t="str">
        <x:v>全日</x:v>
      </x:c>
      <x:c r="H42" s="19" t="str">
        <x:v>D18</x:v>
      </x:c>
      <x:c r="I42" s="19" t="str">
        <x:v>青椒炒油麦菜</x:v>
      </x:c>
      <x:c r="J42" s="22" t="n">
        <x:f>XLOOKUP(H42,'菜品主数据'!$A$5:$A$24,'菜品主数据'!$D$5:$D$24,0)</x:f>
        <x:v>18</x:v>
      </x:c>
      <x:c r="K42" s="31" t="n">
        <x:v>1</x:v>
      </x:c>
      <x:c r="L42" s="35" t="n">
        <x:f>J42*K42</x:f>
        <x:v>18</x:v>
      </x:c>
      <x:c r="M42" s="36" t="n">
        <x:v>0.08</x:v>
      </x:c>
      <x:c r="N42" s="35" t="n">
        <x:f>L42*M42</x:f>
        <x:v>1.44</x:v>
      </x:c>
      <x:c r="O42" s="37" t="n">
        <x:v>0.18</x:v>
      </x:c>
      <x:c r="P42" s="35" t="n">
        <x:f>L42*O42</x:f>
        <x:v>3.2399999999999998</x:v>
      </x:c>
      <x:c r="Q42" s="35" t="n">
        <x:v>1.2</x:v>
      </x:c>
      <x:c r="R42" s="35" t="n">
        <x:f>K42*Q42</x:f>
        <x:v>1.2</x:v>
      </x:c>
      <x:c r="S42" s="35" t="n">
        <x:f>XLOOKUP(H42,'菜品主数据'!$A$5:$A$24,'菜品主数据'!$G$5:$G$24,0)</x:f>
        <x:v>3.1759999999999993</x:v>
      </x:c>
      <x:c r="T42" s="35" t="n">
        <x:f>K42*S42</x:f>
        <x:v>3.1759999999999993</x:v>
      </x:c>
      <x:c r="U42" s="35" t="n">
        <x:f>L42-N42-P42-R42-T42</x:f>
        <x:v>8.943999999999999</x:v>
      </x:c>
      <x:c r="V42" s="21" t="n">
        <x:f>IFERROR(U42/L42,0)</x:f>
        <x:v>0.4968888888888888</x:v>
      </x:c>
    </x:row>
    <x:row r="43">
      <x:c r="A43" s="19" t="str">
        <x:v>SALE-00039</x:v>
      </x:c>
      <x:c r="B43" s="34" t="n">
        <x:v>46210.5</x:v>
      </x:c>
      <x:c r="C43" s="19" t="str">
        <x:v>周二</x:v>
      </x:c>
      <x:c r="D43" s="19" t="str">
        <x:v>S01</x:v>
      </x:c>
      <x:c r="E43" s="19" t="str">
        <x:v>近江天阳店</x:v>
      </x:c>
      <x:c r="F43" s="19" t="str">
        <x:v>外卖</x:v>
      </x:c>
      <x:c r="G43" s="19" t="str">
        <x:v>全日</x:v>
      </x:c>
      <x:c r="H43" s="19" t="str">
        <x:v>D19</x:v>
      </x:c>
      <x:c r="I43" s="19" t="str">
        <x:v>酸萝卜炒鸡杂</x:v>
      </x:c>
      <x:c r="J43" s="22" t="n">
        <x:f>XLOOKUP(H43,'菜品主数据'!$A$5:$A$24,'菜品主数据'!$D$5:$D$24,0)</x:f>
        <x:v>25</x:v>
      </x:c>
      <x:c r="K43" s="31" t="n">
        <x:v>0</x:v>
      </x:c>
      <x:c r="L43" s="35" t="n">
        <x:f>J43*K43</x:f>
        <x:v>0</x:v>
      </x:c>
      <x:c r="M43" s="36" t="n">
        <x:v>0.08</x:v>
      </x:c>
      <x:c r="N43" s="35" t="n">
        <x:f>L43*M43</x:f>
        <x:v>0</x:v>
      </x:c>
      <x:c r="O43" s="37" t="n">
        <x:v>0.18</x:v>
      </x:c>
      <x:c r="P43" s="35" t="n">
        <x:f>L43*O43</x:f>
        <x:v>0</x:v>
      </x:c>
      <x:c r="Q43" s="35" t="n">
        <x:v>1.2</x:v>
      </x:c>
      <x:c r="R43" s="35" t="n">
        <x:f>K43*Q43</x:f>
        <x:v>0</x:v>
      </x:c>
      <x:c r="S43" s="35" t="n">
        <x:f>XLOOKUP(H43,'菜品主数据'!$A$5:$A$24,'菜品主数据'!$G$5:$G$24,0)</x:f>
        <x:v>7.9399999999999995</x:v>
      </x:c>
      <x:c r="T43" s="35" t="n">
        <x:f>K43*S43</x:f>
        <x:v>0</x:v>
      </x:c>
      <x:c r="U43" s="35" t="n">
        <x:f>L43-N43-P43-R43-T43</x:f>
        <x:v>0</x:v>
      </x:c>
      <x:c r="V43" s="21" t="n">
        <x:f>IFERROR(U43/L43,0)</x:f>
        <x:v>0</x:v>
      </x:c>
    </x:row>
    <x:row r="44">
      <x:c r="A44" s="19" t="str">
        <x:v>SALE-00040</x:v>
      </x:c>
      <x:c r="B44" s="34" t="n">
        <x:v>46210.5</x:v>
      </x:c>
      <x:c r="C44" s="19" t="str">
        <x:v>周二</x:v>
      </x:c>
      <x:c r="D44" s="19" t="str">
        <x:v>S01</x:v>
      </x:c>
      <x:c r="E44" s="19" t="str">
        <x:v>近江天阳店</x:v>
      </x:c>
      <x:c r="F44" s="19" t="str">
        <x:v>外卖</x:v>
      </x:c>
      <x:c r="G44" s="19" t="str">
        <x:v>全日</x:v>
      </x:c>
      <x:c r="H44" s="19" t="str">
        <x:v>D20</x:v>
      </x:c>
      <x:c r="I44" s="19" t="str">
        <x:v>雪菜肉末青豆</x:v>
      </x:c>
      <x:c r="J44" s="22" t="n">
        <x:f>XLOOKUP(H44,'菜品主数据'!$A$5:$A$24,'菜品主数据'!$D$5:$D$24,0)</x:f>
        <x:v>18</x:v>
      </x:c>
      <x:c r="K44" s="31" t="n">
        <x:v>1</x:v>
      </x:c>
      <x:c r="L44" s="35" t="n">
        <x:f>J44*K44</x:f>
        <x:v>18</x:v>
      </x:c>
      <x:c r="M44" s="36" t="n">
        <x:v>0.08</x:v>
      </x:c>
      <x:c r="N44" s="35" t="n">
        <x:f>L44*M44</x:f>
        <x:v>1.44</x:v>
      </x:c>
      <x:c r="O44" s="37" t="n">
        <x:v>0.18</x:v>
      </x:c>
      <x:c r="P44" s="35" t="n">
        <x:f>L44*O44</x:f>
        <x:v>3.2399999999999998</x:v>
      </x:c>
      <x:c r="Q44" s="35" t="n">
        <x:v>1.2</x:v>
      </x:c>
      <x:c r="R44" s="35" t="n">
        <x:f>K44*Q44</x:f>
        <x:v>1.2</x:v>
      </x:c>
      <x:c r="S44" s="35" t="n">
        <x:f>XLOOKUP(H44,'菜品主数据'!$A$5:$A$24,'菜品主数据'!$G$5:$G$24,0)</x:f>
        <x:v>7.303999999999999</x:v>
      </x:c>
      <x:c r="T44" s="35" t="n">
        <x:f>K44*S44</x:f>
        <x:v>7.303999999999999</x:v>
      </x:c>
      <x:c r="U44" s="35" t="n">
        <x:f>L44-N44-P44-R44-T44</x:f>
        <x:v>4.816</x:v>
      </x:c>
      <x:c r="V44" s="21" t="n">
        <x:f>IFERROR(U44/L44,0)</x:f>
        <x:v>0.26755555555555555</x:v>
      </x:c>
    </x:row>
    <x:row r="45">
      <x:c r="A45" s="19" t="str">
        <x:v>SALE-00041</x:v>
      </x:c>
      <x:c r="B45" s="34" t="n">
        <x:v>46211.5</x:v>
      </x:c>
      <x:c r="C45" s="19" t="str">
        <x:v>周三</x:v>
      </x:c>
      <x:c r="D45" s="19" t="str">
        <x:v>S01</x:v>
      </x:c>
      <x:c r="E45" s="19" t="str">
        <x:v>近江天阳店</x:v>
      </x:c>
      <x:c r="F45" s="19" t="str">
        <x:v>堂食</x:v>
      </x:c>
      <x:c r="G45" s="19" t="str">
        <x:v>全日</x:v>
      </x:c>
      <x:c r="H45" s="19" t="str">
        <x:v>D01</x:v>
      </x:c>
      <x:c r="I45" s="19" t="str">
        <x:v>辣椒炒肉</x:v>
      </x:c>
      <x:c r="J45" s="22" t="n">
        <x:f>XLOOKUP(H45,'菜品主数据'!$A$5:$A$24,'菜品主数据'!$D$5:$D$24,0)</x:f>
        <x:v>29</x:v>
      </x:c>
      <x:c r="K45" s="31" t="n">
        <x:v>50</x:v>
      </x:c>
      <x:c r="L45" s="35" t="n">
        <x:f>J45*K45</x:f>
        <x:v>1450</x:v>
      </x:c>
      <x:c r="M45" s="36" t="n">
        <x:v>0</x:v>
      </x:c>
      <x:c r="N45" s="35" t="n">
        <x:f>L45*M45</x:f>
        <x:v>0</x:v>
      </x:c>
      <x:c r="O45" s="37" t="n">
        <x:v>0</x:v>
      </x:c>
      <x:c r="P45" s="35" t="n">
        <x:f>L45*O45</x:f>
        <x:v>0</x:v>
      </x:c>
      <x:c r="Q45" s="35" t="n">
        <x:v>0</x:v>
      </x:c>
      <x:c r="R45" s="35" t="n">
        <x:f>K45*Q45</x:f>
        <x:v>0</x:v>
      </x:c>
      <x:c r="S45" s="35" t="n">
        <x:f>XLOOKUP(H45,'菜品主数据'!$A$5:$A$24,'菜品主数据'!$G$5:$G$24,0)</x:f>
        <x:v>8.634400000000001</x:v>
      </x:c>
      <x:c r="T45" s="35" t="n">
        <x:f>K45*S45</x:f>
        <x:v>431.7200000000001</x:v>
      </x:c>
      <x:c r="U45" s="35" t="n">
        <x:f>L45-N45-P45-R45-T45</x:f>
        <x:v>1018.28</x:v>
      </x:c>
      <x:c r="V45" s="21" t="n">
        <x:f>IFERROR(U45/L45,0)</x:f>
        <x:v>0.7022620689655172</x:v>
      </x:c>
    </x:row>
    <x:row r="46">
      <x:c r="A46" s="19" t="str">
        <x:v>SALE-00042</x:v>
      </x:c>
      <x:c r="B46" s="34" t="n">
        <x:v>46211.5</x:v>
      </x:c>
      <x:c r="C46" s="19" t="str">
        <x:v>周三</x:v>
      </x:c>
      <x:c r="D46" s="19" t="str">
        <x:v>S01</x:v>
      </x:c>
      <x:c r="E46" s="19" t="str">
        <x:v>近江天阳店</x:v>
      </x:c>
      <x:c r="F46" s="19" t="str">
        <x:v>堂食</x:v>
      </x:c>
      <x:c r="G46" s="19" t="str">
        <x:v>全日</x:v>
      </x:c>
      <x:c r="H46" s="19" t="str">
        <x:v>D02</x:v>
      </x:c>
      <x:c r="I46" s="19" t="str">
        <x:v>小炒黄牛肉</x:v>
      </x:c>
      <x:c r="J46" s="22" t="n">
        <x:f>XLOOKUP(H46,'菜品主数据'!$A$5:$A$24,'菜品主数据'!$D$5:$D$24,0)</x:f>
        <x:v>49</x:v>
      </x:c>
      <x:c r="K46" s="31" t="n">
        <x:v>26</x:v>
      </x:c>
      <x:c r="L46" s="35" t="n">
        <x:f>J46*K46</x:f>
        <x:v>1274</x:v>
      </x:c>
      <x:c r="M46" s="36" t="n">
        <x:v>0</x:v>
      </x:c>
      <x:c r="N46" s="35" t="n">
        <x:f>L46*M46</x:f>
        <x:v>0</x:v>
      </x:c>
      <x:c r="O46" s="37" t="n">
        <x:v>0</x:v>
      </x:c>
      <x:c r="P46" s="35" t="n">
        <x:f>L46*O46</x:f>
        <x:v>0</x:v>
      </x:c>
      <x:c r="Q46" s="35" t="n">
        <x:v>0</x:v>
      </x:c>
      <x:c r="R46" s="35" t="n">
        <x:f>K46*Q46</x:f>
        <x:v>0</x:v>
      </x:c>
      <x:c r="S46" s="35" t="n">
        <x:f>XLOOKUP(H46,'菜品主数据'!$A$5:$A$24,'菜品主数据'!$G$5:$G$24,0)</x:f>
        <x:v>17.577</x:v>
      </x:c>
      <x:c r="T46" s="35" t="n">
        <x:f>K46*S46</x:f>
        <x:v>457.00200000000007</x:v>
      </x:c>
      <x:c r="U46" s="35" t="n">
        <x:f>L46-N46-P46-R46-T46</x:f>
        <x:v>816.9979999999999</x:v>
      </x:c>
      <x:c r="V46" s="21" t="n">
        <x:f>IFERROR(U46/L46,0)</x:f>
        <x:v>0.6412857142857142</x:v>
      </x:c>
    </x:row>
    <x:row r="47">
      <x:c r="A47" s="19" t="str">
        <x:v>SALE-00043</x:v>
      </x:c>
      <x:c r="B47" s="34" t="n">
        <x:v>46211.5</x:v>
      </x:c>
      <x:c r="C47" s="19" t="str">
        <x:v>周三</x:v>
      </x:c>
      <x:c r="D47" s="19" t="str">
        <x:v>S01</x:v>
      </x:c>
      <x:c r="E47" s="19" t="str">
        <x:v>近江天阳店</x:v>
      </x:c>
      <x:c r="F47" s="19" t="str">
        <x:v>堂食</x:v>
      </x:c>
      <x:c r="G47" s="19" t="str">
        <x:v>全日</x:v>
      </x:c>
      <x:c r="H47" s="19" t="str">
        <x:v>D03</x:v>
      </x:c>
      <x:c r="I47" s="19" t="str">
        <x:v>香醋炒蛋</x:v>
      </x:c>
      <x:c r="J47" s="22" t="n">
        <x:f>XLOOKUP(H47,'菜品主数据'!$A$5:$A$24,'菜品主数据'!$D$5:$D$24,0)</x:f>
        <x:v>14.9</x:v>
      </x:c>
      <x:c r="K47" s="31" t="n">
        <x:v>41</x:v>
      </x:c>
      <x:c r="L47" s="35" t="n">
        <x:f>J47*K47</x:f>
        <x:v>610.9</x:v>
      </x:c>
      <x:c r="M47" s="36" t="n">
        <x:v>0</x:v>
      </x:c>
      <x:c r="N47" s="35" t="n">
        <x:f>L47*M47</x:f>
        <x:v>0</x:v>
      </x:c>
      <x:c r="O47" s="37" t="n">
        <x:v>0</x:v>
      </x:c>
      <x:c r="P47" s="35" t="n">
        <x:f>L47*O47</x:f>
        <x:v>0</x:v>
      </x:c>
      <x:c r="Q47" s="35" t="n">
        <x:v>0</x:v>
      </x:c>
      <x:c r="R47" s="35" t="n">
        <x:f>K47*Q47</x:f>
        <x:v>0</x:v>
      </x:c>
      <x:c r="S47" s="35" t="n">
        <x:f>XLOOKUP(H47,'菜品主数据'!$A$5:$A$24,'菜品主数据'!$G$5:$G$24,0)</x:f>
        <x:v>3.7459999999999996</x:v>
      </x:c>
      <x:c r="T47" s="35" t="n">
        <x:f>K47*S47</x:f>
        <x:v>153.58599999999998</x:v>
      </x:c>
      <x:c r="U47" s="35" t="n">
        <x:f>L47-N47-P47-R47-T47</x:f>
        <x:v>457.31399999999996</x:v>
      </x:c>
      <x:c r="V47" s="21" t="n">
        <x:f>IFERROR(U47/L47,0)</x:f>
        <x:v>0.7485906040268456</x:v>
      </x:c>
    </x:row>
    <x:row r="48">
      <x:c r="A48" s="19" t="str">
        <x:v>SALE-00044</x:v>
      </x:c>
      <x:c r="B48" s="34" t="n">
        <x:v>46211.5</x:v>
      </x:c>
      <x:c r="C48" s="19" t="str">
        <x:v>周三</x:v>
      </x:c>
      <x:c r="D48" s="19" t="str">
        <x:v>S01</x:v>
      </x:c>
      <x:c r="E48" s="19" t="str">
        <x:v>近江天阳店</x:v>
      </x:c>
      <x:c r="F48" s="19" t="str">
        <x:v>堂食</x:v>
      </x:c>
      <x:c r="G48" s="19" t="str">
        <x:v>全日</x:v>
      </x:c>
      <x:c r="H48" s="19" t="str">
        <x:v>D04</x:v>
      </x:c>
      <x:c r="I48" s="19" t="str">
        <x:v>酸包菜炒粉皮</x:v>
      </x:c>
      <x:c r="J48" s="22" t="n">
        <x:f>XLOOKUP(H48,'菜品主数据'!$A$5:$A$24,'菜品主数据'!$D$5:$D$24,0)</x:f>
        <x:v>16</x:v>
      </x:c>
      <x:c r="K48" s="31" t="n">
        <x:v>39</x:v>
      </x:c>
      <x:c r="L48" s="35" t="n">
        <x:f>J48*K48</x:f>
        <x:v>624</x:v>
      </x:c>
      <x:c r="M48" s="36" t="n">
        <x:v>0</x:v>
      </x:c>
      <x:c r="N48" s="35" t="n">
        <x:f>L48*M48</x:f>
        <x:v>0</x:v>
      </x:c>
      <x:c r="O48" s="37" t="n">
        <x:v>0</x:v>
      </x:c>
      <x:c r="P48" s="35" t="n">
        <x:f>L48*O48</x:f>
        <x:v>0</x:v>
      </x:c>
      <x:c r="Q48" s="35" t="n">
        <x:v>0</x:v>
      </x:c>
      <x:c r="R48" s="35" t="n">
        <x:f>K48*Q48</x:f>
        <x:v>0</x:v>
      </x:c>
      <x:c r="S48" s="35" t="n">
        <x:f>XLOOKUP(H48,'菜品主数据'!$A$5:$A$24,'菜品主数据'!$G$5:$G$24,0)</x:f>
        <x:v>3.978</x:v>
      </x:c>
      <x:c r="T48" s="35" t="n">
        <x:f>K48*S48</x:f>
        <x:v>155.142</x:v>
      </x:c>
      <x:c r="U48" s="35" t="n">
        <x:f>L48-N48-P48-R48-T48</x:f>
        <x:v>468.858</x:v>
      </x:c>
      <x:c r="V48" s="21" t="n">
        <x:f>IFERROR(U48/L48,0)</x:f>
        <x:v>0.751375</x:v>
      </x:c>
    </x:row>
    <x:row r="49">
      <x:c r="A49" s="19" t="str">
        <x:v>SALE-00045</x:v>
      </x:c>
      <x:c r="B49" s="34" t="n">
        <x:v>46211.5</x:v>
      </x:c>
      <x:c r="C49" s="19" t="str">
        <x:v>周三</x:v>
      </x:c>
      <x:c r="D49" s="19" t="str">
        <x:v>S01</x:v>
      </x:c>
      <x:c r="E49" s="19" t="str">
        <x:v>近江天阳店</x:v>
      </x:c>
      <x:c r="F49" s="19" t="str">
        <x:v>堂食</x:v>
      </x:c>
      <x:c r="G49" s="19" t="str">
        <x:v>全日</x:v>
      </x:c>
      <x:c r="H49" s="19" t="str">
        <x:v>D05</x:v>
      </x:c>
      <x:c r="I49" s="19" t="str">
        <x:v>麻婆豆腐</x:v>
      </x:c>
      <x:c r="J49" s="22" t="n">
        <x:f>XLOOKUP(H49,'菜品主数据'!$A$5:$A$24,'菜品主数据'!$D$5:$D$24,0)</x:f>
        <x:v>9.9</x:v>
      </x:c>
      <x:c r="K49" s="31" t="n">
        <x:v>51</x:v>
      </x:c>
      <x:c r="L49" s="35" t="n">
        <x:f>J49*K49</x:f>
        <x:v>504.90000000000003</x:v>
      </x:c>
      <x:c r="M49" s="36" t="n">
        <x:v>0</x:v>
      </x:c>
      <x:c r="N49" s="35" t="n">
        <x:f>L49*M49</x:f>
        <x:v>0</x:v>
      </x:c>
      <x:c r="O49" s="37" t="n">
        <x:v>0</x:v>
      </x:c>
      <x:c r="P49" s="35" t="n">
        <x:f>L49*O49</x:f>
        <x:v>0</x:v>
      </x:c>
      <x:c r="Q49" s="35" t="n">
        <x:v>0</x:v>
      </x:c>
      <x:c r="R49" s="35" t="n">
        <x:f>K49*Q49</x:f>
        <x:v>0</x:v>
      </x:c>
      <x:c r="S49" s="35" t="n">
        <x:f>XLOOKUP(H49,'菜品主数据'!$A$5:$A$24,'菜品主数据'!$G$5:$G$24,0)</x:f>
        <x:v>5.367000000000001</x:v>
      </x:c>
      <x:c r="T49" s="35" t="n">
        <x:f>K49*S49</x:f>
        <x:v>273.71700000000004</x:v>
      </x:c>
      <x:c r="U49" s="35" t="n">
        <x:f>L49-N49-P49-R49-T49</x:f>
        <x:v>231.183</x:v>
      </x:c>
      <x:c r="V49" s="21" t="n">
        <x:f>IFERROR(U49/L49,0)</x:f>
        <x:v>0.45787878787878783</x:v>
      </x:c>
    </x:row>
    <x:row r="50">
      <x:c r="A50" s="19" t="str">
        <x:v>SALE-00046</x:v>
      </x:c>
      <x:c r="B50" s="34" t="n">
        <x:v>46211.5</x:v>
      </x:c>
      <x:c r="C50" s="19" t="str">
        <x:v>周三</x:v>
      </x:c>
      <x:c r="D50" s="19" t="str">
        <x:v>S01</x:v>
      </x:c>
      <x:c r="E50" s="19" t="str">
        <x:v>近江天阳店</x:v>
      </x:c>
      <x:c r="F50" s="19" t="str">
        <x:v>堂食</x:v>
      </x:c>
      <x:c r="G50" s="19" t="str">
        <x:v>全日</x:v>
      </x:c>
      <x:c r="H50" s="19" t="str">
        <x:v>D06</x:v>
      </x:c>
      <x:c r="I50" s="19" t="str">
        <x:v>剁椒鱼头</x:v>
      </x:c>
      <x:c r="J50" s="22" t="n">
        <x:f>XLOOKUP(H50,'菜品主数据'!$A$5:$A$24,'菜品主数据'!$D$5:$D$24,0)</x:f>
        <x:v>39</x:v>
      </x:c>
      <x:c r="K50" s="31" t="n">
        <x:v>13</x:v>
      </x:c>
      <x:c r="L50" s="35" t="n">
        <x:f>J50*K50</x:f>
        <x:v>507</x:v>
      </x:c>
      <x:c r="M50" s="36" t="n">
        <x:v>0</x:v>
      </x:c>
      <x:c r="N50" s="35" t="n">
        <x:f>L50*M50</x:f>
        <x:v>0</x:v>
      </x:c>
      <x:c r="O50" s="37" t="n">
        <x:v>0</x:v>
      </x:c>
      <x:c r="P50" s="35" t="n">
        <x:f>L50*O50</x:f>
        <x:v>0</x:v>
      </x:c>
      <x:c r="Q50" s="35" t="n">
        <x:v>0</x:v>
      </x:c>
      <x:c r="R50" s="35" t="n">
        <x:f>K50*Q50</x:f>
        <x:v>0</x:v>
      </x:c>
      <x:c r="S50" s="35" t="n">
        <x:f>XLOOKUP(H50,'菜品主数据'!$A$5:$A$24,'菜品主数据'!$G$5:$G$24,0)</x:f>
        <x:v>17.446</x:v>
      </x:c>
      <x:c r="T50" s="35" t="n">
        <x:f>K50*S50</x:f>
        <x:v>226.79800000000003</x:v>
      </x:c>
      <x:c r="U50" s="35" t="n">
        <x:f>L50-N50-P50-R50-T50</x:f>
        <x:v>280.202</x:v>
      </x:c>
      <x:c r="V50" s="21" t="n">
        <x:f>IFERROR(U50/L50,0)</x:f>
        <x:v>0.5526666666666666</x:v>
      </x:c>
    </x:row>
    <x:row r="51">
      <x:c r="A51" s="19" t="str">
        <x:v>SALE-00047</x:v>
      </x:c>
      <x:c r="B51" s="34" t="n">
        <x:v>46211.5</x:v>
      </x:c>
      <x:c r="C51" s="19" t="str">
        <x:v>周三</x:v>
      </x:c>
      <x:c r="D51" s="19" t="str">
        <x:v>S01</x:v>
      </x:c>
      <x:c r="E51" s="19" t="str">
        <x:v>近江天阳店</x:v>
      </x:c>
      <x:c r="F51" s="19" t="str">
        <x:v>堂食</x:v>
      </x:c>
      <x:c r="G51" s="19" t="str">
        <x:v>全日</x:v>
      </x:c>
      <x:c r="H51" s="19" t="str">
        <x:v>D07</x:v>
      </x:c>
      <x:c r="I51" s="19" t="str">
        <x:v>川味回锅肉</x:v>
      </x:c>
      <x:c r="J51" s="22" t="n">
        <x:f>XLOOKUP(H51,'菜品主数据'!$A$5:$A$24,'菜品主数据'!$D$5:$D$24,0)</x:f>
        <x:v>29</x:v>
      </x:c>
      <x:c r="K51" s="31" t="n">
        <x:v>16</x:v>
      </x:c>
      <x:c r="L51" s="35" t="n">
        <x:f>J51*K51</x:f>
        <x:v>464</x:v>
      </x:c>
      <x:c r="M51" s="36" t="n">
        <x:v>0</x:v>
      </x:c>
      <x:c r="N51" s="35" t="n">
        <x:f>L51*M51</x:f>
        <x:v>0</x:v>
      </x:c>
      <x:c r="O51" s="37" t="n">
        <x:v>0</x:v>
      </x:c>
      <x:c r="P51" s="35" t="n">
        <x:f>L51*O51</x:f>
        <x:v>0</x:v>
      </x:c>
      <x:c r="Q51" s="35" t="n">
        <x:v>0</x:v>
      </x:c>
      <x:c r="R51" s="35" t="n">
        <x:f>K51*Q51</x:f>
        <x:v>0</x:v>
      </x:c>
      <x:c r="S51" s="35" t="n">
        <x:f>XLOOKUP(H51,'菜品主数据'!$A$5:$A$24,'菜品主数据'!$G$5:$G$24,0)</x:f>
        <x:v>10.231000000000002</x:v>
      </x:c>
      <x:c r="T51" s="35" t="n">
        <x:f>K51*S51</x:f>
        <x:v>163.69600000000003</x:v>
      </x:c>
      <x:c r="U51" s="35" t="n">
        <x:f>L51-N51-P51-R51-T51</x:f>
        <x:v>300.304</x:v>
      </x:c>
      <x:c r="V51" s="21" t="n">
        <x:f>IFERROR(U51/L51,0)</x:f>
        <x:v>0.647206896551724</x:v>
      </x:c>
    </x:row>
    <x:row r="52">
      <x:c r="A52" s="19" t="str">
        <x:v>SALE-00048</x:v>
      </x:c>
      <x:c r="B52" s="34" t="n">
        <x:v>46211.5</x:v>
      </x:c>
      <x:c r="C52" s="19" t="str">
        <x:v>周三</x:v>
      </x:c>
      <x:c r="D52" s="19" t="str">
        <x:v>S01</x:v>
      </x:c>
      <x:c r="E52" s="19" t="str">
        <x:v>近江天阳店</x:v>
      </x:c>
      <x:c r="F52" s="19" t="str">
        <x:v>堂食</x:v>
      </x:c>
      <x:c r="G52" s="19" t="str">
        <x:v>全日</x:v>
      </x:c>
      <x:c r="H52" s="19" t="str">
        <x:v>D08</x:v>
      </x:c>
      <x:c r="I52" s="19" t="str">
        <x:v>生炒清远鸡</x:v>
      </x:c>
      <x:c r="J52" s="22" t="n">
        <x:f>XLOOKUP(H52,'菜品主数据'!$A$5:$A$24,'菜品主数据'!$D$5:$D$24,0)</x:f>
        <x:v>36</x:v>
      </x:c>
      <x:c r="K52" s="31" t="n">
        <x:v>12</x:v>
      </x:c>
      <x:c r="L52" s="35" t="n">
        <x:f>J52*K52</x:f>
        <x:v>432</x:v>
      </x:c>
      <x:c r="M52" s="36" t="n">
        <x:v>0</x:v>
      </x:c>
      <x:c r="N52" s="35" t="n">
        <x:f>L52*M52</x:f>
        <x:v>0</x:v>
      </x:c>
      <x:c r="O52" s="37" t="n">
        <x:v>0</x:v>
      </x:c>
      <x:c r="P52" s="35" t="n">
        <x:f>L52*O52</x:f>
        <x:v>0</x:v>
      </x:c>
      <x:c r="Q52" s="35" t="n">
        <x:v>0</x:v>
      </x:c>
      <x:c r="R52" s="35" t="n">
        <x:f>K52*Q52</x:f>
        <x:v>0</x:v>
      </x:c>
      <x:c r="S52" s="35" t="n">
        <x:f>XLOOKUP(H52,'菜品主数据'!$A$5:$A$24,'菜品主数据'!$G$5:$G$24,0)</x:f>
        <x:v>13.48</x:v>
      </x:c>
      <x:c r="T52" s="35" t="n">
        <x:f>K52*S52</x:f>
        <x:v>161.76</x:v>
      </x:c>
      <x:c r="U52" s="35" t="n">
        <x:f>L52-N52-P52-R52-T52</x:f>
        <x:v>270.24</x:v>
      </x:c>
      <x:c r="V52" s="21" t="n">
        <x:f>IFERROR(U52/L52,0)</x:f>
        <x:v>0.6255555555555555</x:v>
      </x:c>
    </x:row>
    <x:row r="53">
      <x:c r="A53" s="19" t="str">
        <x:v>SALE-00049</x:v>
      </x:c>
      <x:c r="B53" s="34" t="n">
        <x:v>46211.5</x:v>
      </x:c>
      <x:c r="C53" s="19" t="str">
        <x:v>周三</x:v>
      </x:c>
      <x:c r="D53" s="19" t="str">
        <x:v>S01</x:v>
      </x:c>
      <x:c r="E53" s="19" t="str">
        <x:v>近江天阳店</x:v>
      </x:c>
      <x:c r="F53" s="19" t="str">
        <x:v>堂食</x:v>
      </x:c>
      <x:c r="G53" s="19" t="str">
        <x:v>全日</x:v>
      </x:c>
      <x:c r="H53" s="19" t="str">
        <x:v>D09</x:v>
      </x:c>
      <x:c r="I53" s="19" t="str">
        <x:v>炒豆干</x:v>
      </x:c>
      <x:c r="J53" s="22" t="n">
        <x:f>XLOOKUP(H53,'菜品主数据'!$A$5:$A$24,'菜品主数据'!$D$5:$D$24,0)</x:f>
        <x:v>18</x:v>
      </x:c>
      <x:c r="K53" s="31" t="n">
        <x:v>18</x:v>
      </x:c>
      <x:c r="L53" s="35" t="n">
        <x:f>J53*K53</x:f>
        <x:v>324</x:v>
      </x:c>
      <x:c r="M53" s="36" t="n">
        <x:v>0</x:v>
      </x:c>
      <x:c r="N53" s="35" t="n">
        <x:f>L53*M53</x:f>
        <x:v>0</x:v>
      </x:c>
      <x:c r="O53" s="37" t="n">
        <x:v>0</x:v>
      </x:c>
      <x:c r="P53" s="35" t="n">
        <x:f>L53*O53</x:f>
        <x:v>0</x:v>
      </x:c>
      <x:c r="Q53" s="35" t="n">
        <x:v>0</x:v>
      </x:c>
      <x:c r="R53" s="35" t="n">
        <x:f>K53*Q53</x:f>
        <x:v>0</x:v>
      </x:c>
      <x:c r="S53" s="35" t="n">
        <x:f>XLOOKUP(H53,'菜品主数据'!$A$5:$A$24,'菜品主数据'!$G$5:$G$24,0)</x:f>
        <x:v>6.613999999999999</x:v>
      </x:c>
      <x:c r="T53" s="35" t="n">
        <x:f>K53*S53</x:f>
        <x:v>119.05199999999998</x:v>
      </x:c>
      <x:c r="U53" s="35" t="n">
        <x:f>L53-N53-P53-R53-T53</x:f>
        <x:v>204.94800000000004</x:v>
      </x:c>
      <x:c r="V53" s="21" t="n">
        <x:f>IFERROR(U53/L53,0)</x:f>
        <x:v>0.6325555555555556</x:v>
      </x:c>
    </x:row>
    <x:row r="54">
      <x:c r="A54" s="19" t="str">
        <x:v>SALE-00050</x:v>
      </x:c>
      <x:c r="B54" s="34" t="n">
        <x:v>46211.5</x:v>
      </x:c>
      <x:c r="C54" s="19" t="str">
        <x:v>周三</x:v>
      </x:c>
      <x:c r="D54" s="19" t="str">
        <x:v>S01</x:v>
      </x:c>
      <x:c r="E54" s="19" t="str">
        <x:v>近江天阳店</x:v>
      </x:c>
      <x:c r="F54" s="19" t="str">
        <x:v>堂食</x:v>
      </x:c>
      <x:c r="G54" s="19" t="str">
        <x:v>全日</x:v>
      </x:c>
      <x:c r="H54" s="19" t="str">
        <x:v>D10</x:v>
      </x:c>
      <x:c r="I54" s="19" t="str">
        <x:v>农家一碗香</x:v>
      </x:c>
      <x:c r="J54" s="22" t="n">
        <x:f>XLOOKUP(H54,'菜品主数据'!$A$5:$A$24,'菜品主数据'!$D$5:$D$24,0)</x:f>
        <x:v>22.9</x:v>
      </x:c>
      <x:c r="K54" s="31" t="n">
        <x:v>20</x:v>
      </x:c>
      <x:c r="L54" s="35" t="n">
        <x:f>J54*K54</x:f>
        <x:v>458</x:v>
      </x:c>
      <x:c r="M54" s="36" t="n">
        <x:v>0</x:v>
      </x:c>
      <x:c r="N54" s="35" t="n">
        <x:f>L54*M54</x:f>
        <x:v>0</x:v>
      </x:c>
      <x:c r="O54" s="37" t="n">
        <x:v>0</x:v>
      </x:c>
      <x:c r="P54" s="35" t="n">
        <x:f>L54*O54</x:f>
        <x:v>0</x:v>
      </x:c>
      <x:c r="Q54" s="35" t="n">
        <x:v>0</x:v>
      </x:c>
      <x:c r="R54" s="35" t="n">
        <x:f>K54*Q54</x:f>
        <x:v>0</x:v>
      </x:c>
      <x:c r="S54" s="35" t="n">
        <x:f>XLOOKUP(H54,'菜品主数据'!$A$5:$A$24,'菜品主数据'!$G$5:$G$24,0)</x:f>
        <x:v>9.770200000000003</x:v>
      </x:c>
      <x:c r="T54" s="35" t="n">
        <x:f>K54*S54</x:f>
        <x:v>195.40400000000005</x:v>
      </x:c>
      <x:c r="U54" s="35" t="n">
        <x:f>L54-N54-P54-R54-T54</x:f>
        <x:v>262.59599999999995</x:v>
      </x:c>
      <x:c r="V54" s="21" t="n">
        <x:f>IFERROR(U54/L54,0)</x:f>
        <x:v>0.5733537117903929</x:v>
      </x:c>
    </x:row>
    <x:row r="55">
      <x:c r="A55" s="19" t="str">
        <x:v>SALE-00051</x:v>
      </x:c>
      <x:c r="B55" s="34" t="n">
        <x:v>46211.5</x:v>
      </x:c>
      <x:c r="C55" s="19" t="str">
        <x:v>周三</x:v>
      </x:c>
      <x:c r="D55" s="19" t="str">
        <x:v>S01</x:v>
      </x:c>
      <x:c r="E55" s="19" t="str">
        <x:v>近江天阳店</x:v>
      </x:c>
      <x:c r="F55" s="19" t="str">
        <x:v>堂食</x:v>
      </x:c>
      <x:c r="G55" s="19" t="str">
        <x:v>全日</x:v>
      </x:c>
      <x:c r="H55" s="19" t="str">
        <x:v>D11</x:v>
      </x:c>
      <x:c r="I55" s="19" t="str">
        <x:v>香辣爆肥肠</x:v>
      </x:c>
      <x:c r="J55" s="22" t="n">
        <x:f>XLOOKUP(H55,'菜品主数据'!$A$5:$A$24,'菜品主数据'!$D$5:$D$24,0)</x:f>
        <x:v>39</x:v>
      </x:c>
      <x:c r="K55" s="31" t="n">
        <x:v>8</x:v>
      </x:c>
      <x:c r="L55" s="35" t="n">
        <x:f>J55*K55</x:f>
        <x:v>312</x:v>
      </x:c>
      <x:c r="M55" s="36" t="n">
        <x:v>0</x:v>
      </x:c>
      <x:c r="N55" s="35" t="n">
        <x:f>L55*M55</x:f>
        <x:v>0</x:v>
      </x:c>
      <x:c r="O55" s="37" t="n">
        <x:v>0</x:v>
      </x:c>
      <x:c r="P55" s="35" t="n">
        <x:f>L55*O55</x:f>
        <x:v>0</x:v>
      </x:c>
      <x:c r="Q55" s="35" t="n">
        <x:v>0</x:v>
      </x:c>
      <x:c r="R55" s="35" t="n">
        <x:f>K55*Q55</x:f>
        <x:v>0</x:v>
      </x:c>
      <x:c r="S55" s="35" t="n">
        <x:f>XLOOKUP(H55,'菜品主数据'!$A$5:$A$24,'菜品主数据'!$G$5:$G$24,0)</x:f>
        <x:v>10.397</x:v>
      </x:c>
      <x:c r="T55" s="35" t="n">
        <x:f>K55*S55</x:f>
        <x:v>83.176</x:v>
      </x:c>
      <x:c r="U55" s="35" t="n">
        <x:f>L55-N55-P55-R55-T55</x:f>
        <x:v>228.824</x:v>
      </x:c>
      <x:c r="V55" s="21" t="n">
        <x:f>IFERROR(U55/L55,0)</x:f>
        <x:v>0.7334102564102565</x:v>
      </x:c>
    </x:row>
    <x:row r="56">
      <x:c r="A56" s="19" t="str">
        <x:v>SALE-00052</x:v>
      </x:c>
      <x:c r="B56" s="34" t="n">
        <x:v>46211.5</x:v>
      </x:c>
      <x:c r="C56" s="19" t="str">
        <x:v>周三</x:v>
      </x:c>
      <x:c r="D56" s="19" t="str">
        <x:v>S01</x:v>
      </x:c>
      <x:c r="E56" s="19" t="str">
        <x:v>近江天阳店</x:v>
      </x:c>
      <x:c r="F56" s="19" t="str">
        <x:v>堂食</x:v>
      </x:c>
      <x:c r="G56" s="19" t="str">
        <x:v>全日</x:v>
      </x:c>
      <x:c r="H56" s="19" t="str">
        <x:v>D12</x:v>
      </x:c>
      <x:c r="I56" s="19" t="str">
        <x:v>清蒸鲈鱼</x:v>
      </x:c>
      <x:c r="J56" s="22" t="n">
        <x:f>XLOOKUP(H56,'菜品主数据'!$A$5:$A$24,'菜品主数据'!$D$5:$D$24,0)</x:f>
        <x:v>39</x:v>
      </x:c>
      <x:c r="K56" s="31" t="n">
        <x:v>7</x:v>
      </x:c>
      <x:c r="L56" s="35" t="n">
        <x:f>J56*K56</x:f>
        <x:v>273</x:v>
      </x:c>
      <x:c r="M56" s="36" t="n">
        <x:v>0</x:v>
      </x:c>
      <x:c r="N56" s="35" t="n">
        <x:f>L56*M56</x:f>
        <x:v>0</x:v>
      </x:c>
      <x:c r="O56" s="37" t="n">
        <x:v>0</x:v>
      </x:c>
      <x:c r="P56" s="35" t="n">
        <x:f>L56*O56</x:f>
        <x:v>0</x:v>
      </x:c>
      <x:c r="Q56" s="35" t="n">
        <x:v>0</x:v>
      </x:c>
      <x:c r="R56" s="35" t="n">
        <x:f>K56*Q56</x:f>
        <x:v>0</x:v>
      </x:c>
      <x:c r="S56" s="35" t="n">
        <x:f>XLOOKUP(H56,'菜品主数据'!$A$5:$A$24,'菜品主数据'!$G$5:$G$24,0)</x:f>
        <x:v>18.874</x:v>
      </x:c>
      <x:c r="T56" s="35" t="n">
        <x:f>K56*S56</x:f>
        <x:v>132.118</x:v>
      </x:c>
      <x:c r="U56" s="35" t="n">
        <x:f>L56-N56-P56-R56-T56</x:f>
        <x:v>140.882</x:v>
      </x:c>
      <x:c r="V56" s="21" t="n">
        <x:f>IFERROR(U56/L56,0)</x:f>
        <x:v>0.516051282051282</x:v>
      </x:c>
    </x:row>
    <x:row r="57">
      <x:c r="A57" s="19" t="str">
        <x:v>SALE-00053</x:v>
      </x:c>
      <x:c r="B57" s="34" t="n">
        <x:v>46211.5</x:v>
      </x:c>
      <x:c r="C57" s="19" t="str">
        <x:v>周三</x:v>
      </x:c>
      <x:c r="D57" s="19" t="str">
        <x:v>S01</x:v>
      </x:c>
      <x:c r="E57" s="19" t="str">
        <x:v>近江天阳店</x:v>
      </x:c>
      <x:c r="F57" s="19" t="str">
        <x:v>堂食</x:v>
      </x:c>
      <x:c r="G57" s="19" t="str">
        <x:v>全日</x:v>
      </x:c>
      <x:c r="H57" s="19" t="str">
        <x:v>D13</x:v>
      </x:c>
      <x:c r="I57" s="19" t="str">
        <x:v>外婆菜炒蛋</x:v>
      </x:c>
      <x:c r="J57" s="22" t="n">
        <x:f>XLOOKUP(H57,'菜品主数据'!$A$5:$A$24,'菜品主数据'!$D$5:$D$24,0)</x:f>
        <x:v>18</x:v>
      </x:c>
      <x:c r="K57" s="31" t="n">
        <x:v>18</x:v>
      </x:c>
      <x:c r="L57" s="35" t="n">
        <x:f>J57*K57</x:f>
        <x:v>324</x:v>
      </x:c>
      <x:c r="M57" s="36" t="n">
        <x:v>0</x:v>
      </x:c>
      <x:c r="N57" s="35" t="n">
        <x:f>L57*M57</x:f>
        <x:v>0</x:v>
      </x:c>
      <x:c r="O57" s="37" t="n">
        <x:v>0</x:v>
      </x:c>
      <x:c r="P57" s="35" t="n">
        <x:f>L57*O57</x:f>
        <x:v>0</x:v>
      </x:c>
      <x:c r="Q57" s="35" t="n">
        <x:v>0</x:v>
      </x:c>
      <x:c r="R57" s="35" t="n">
        <x:f>K57*Q57</x:f>
        <x:v>0</x:v>
      </x:c>
      <x:c r="S57" s="35" t="n">
        <x:f>XLOOKUP(H57,'菜品主数据'!$A$5:$A$24,'菜品主数据'!$G$5:$G$24,0)</x:f>
        <x:v>5.403999999999999</x:v>
      </x:c>
      <x:c r="T57" s="35" t="n">
        <x:f>K57*S57</x:f>
        <x:v>97.27199999999998</x:v>
      </x:c>
      <x:c r="U57" s="35" t="n">
        <x:f>L57-N57-P57-R57-T57</x:f>
        <x:v>226.728</x:v>
      </x:c>
      <x:c r="V57" s="21" t="n">
        <x:f>IFERROR(U57/L57,0)</x:f>
        <x:v>0.6997777777777778</x:v>
      </x:c>
    </x:row>
    <x:row r="58">
      <x:c r="A58" s="19" t="str">
        <x:v>SALE-00054</x:v>
      </x:c>
      <x:c r="B58" s="34" t="n">
        <x:v>46211.5</x:v>
      </x:c>
      <x:c r="C58" s="19" t="str">
        <x:v>周三</x:v>
      </x:c>
      <x:c r="D58" s="19" t="str">
        <x:v>S01</x:v>
      </x:c>
      <x:c r="E58" s="19" t="str">
        <x:v>近江天阳店</x:v>
      </x:c>
      <x:c r="F58" s="19" t="str">
        <x:v>堂食</x:v>
      </x:c>
      <x:c r="G58" s="19" t="str">
        <x:v>全日</x:v>
      </x:c>
      <x:c r="H58" s="19" t="str">
        <x:v>D14</x:v>
      </x:c>
      <x:c r="I58" s="19" t="str">
        <x:v>酸辣鸡杂</x:v>
      </x:c>
      <x:c r="J58" s="22" t="n">
        <x:f>XLOOKUP(H58,'菜品主数据'!$A$5:$A$24,'菜品主数据'!$D$5:$D$24,0)</x:f>
        <x:v>28</x:v>
      </x:c>
      <x:c r="K58" s="31" t="n">
        <x:v>10</x:v>
      </x:c>
      <x:c r="L58" s="35" t="n">
        <x:f>J58*K58</x:f>
        <x:v>280</x:v>
      </x:c>
      <x:c r="M58" s="36" t="n">
        <x:v>0</x:v>
      </x:c>
      <x:c r="N58" s="35" t="n">
        <x:f>L58*M58</x:f>
        <x:v>0</x:v>
      </x:c>
      <x:c r="O58" s="37" t="n">
        <x:v>0</x:v>
      </x:c>
      <x:c r="P58" s="35" t="n">
        <x:f>L58*O58</x:f>
        <x:v>0</x:v>
      </x:c>
      <x:c r="Q58" s="35" t="n">
        <x:v>0</x:v>
      </x:c>
      <x:c r="R58" s="35" t="n">
        <x:f>K58*Q58</x:f>
        <x:v>0</x:v>
      </x:c>
      <x:c r="S58" s="35" t="n">
        <x:f>XLOOKUP(H58,'菜品主数据'!$A$5:$A$24,'菜品主数据'!$G$5:$G$24,0)</x:f>
        <x:v>8.315000000000001</x:v>
      </x:c>
      <x:c r="T58" s="35" t="n">
        <x:f>K58*S58</x:f>
        <x:v>83.15</x:v>
      </x:c>
      <x:c r="U58" s="35" t="n">
        <x:f>L58-N58-P58-R58-T58</x:f>
        <x:v>196.85</x:v>
      </x:c>
      <x:c r="V58" s="21" t="n">
        <x:f>IFERROR(U58/L58,0)</x:f>
        <x:v>0.7030357142857143</x:v>
      </x:c>
    </x:row>
    <x:row r="59">
      <x:c r="A59" s="19" t="str">
        <x:v>SALE-00055</x:v>
      </x:c>
      <x:c r="B59" s="34" t="n">
        <x:v>46211.5</x:v>
      </x:c>
      <x:c r="C59" s="19" t="str">
        <x:v>周三</x:v>
      </x:c>
      <x:c r="D59" s="19" t="str">
        <x:v>S01</x:v>
      </x:c>
      <x:c r="E59" s="19" t="str">
        <x:v>近江天阳店</x:v>
      </x:c>
      <x:c r="F59" s="19" t="str">
        <x:v>堂食</x:v>
      </x:c>
      <x:c r="G59" s="19" t="str">
        <x:v>全日</x:v>
      </x:c>
      <x:c r="H59" s="19" t="str">
        <x:v>D15</x:v>
      </x:c>
      <x:c r="I59" s="19" t="str">
        <x:v>湘西土匪猪肝</x:v>
      </x:c>
      <x:c r="J59" s="22" t="n">
        <x:f>XLOOKUP(H59,'菜品主数据'!$A$5:$A$24,'菜品主数据'!$D$5:$D$24,0)</x:f>
        <x:v>26</x:v>
      </x:c>
      <x:c r="K59" s="31" t="n">
        <x:v>8</x:v>
      </x:c>
      <x:c r="L59" s="35" t="n">
        <x:f>J59*K59</x:f>
        <x:v>208</x:v>
      </x:c>
      <x:c r="M59" s="36" t="n">
        <x:v>0</x:v>
      </x:c>
      <x:c r="N59" s="35" t="n">
        <x:f>L59*M59</x:f>
        <x:v>0</x:v>
      </x:c>
      <x:c r="O59" s="37" t="n">
        <x:v>0</x:v>
      </x:c>
      <x:c r="P59" s="35" t="n">
        <x:f>L59*O59</x:f>
        <x:v>0</x:v>
      </x:c>
      <x:c r="Q59" s="35" t="n">
        <x:v>0</x:v>
      </x:c>
      <x:c r="R59" s="35" t="n">
        <x:f>K59*Q59</x:f>
        <x:v>0</x:v>
      </x:c>
      <x:c r="S59" s="35" t="n">
        <x:f>XLOOKUP(H59,'菜品主数据'!$A$5:$A$24,'菜品主数据'!$G$5:$G$24,0)</x:f>
        <x:v>6.3759999999999994</x:v>
      </x:c>
      <x:c r="T59" s="35" t="n">
        <x:f>K59*S59</x:f>
        <x:v>51.007999999999996</x:v>
      </x:c>
      <x:c r="U59" s="35" t="n">
        <x:f>L59-N59-P59-R59-T59</x:f>
        <x:v>156.99200000000002</x:v>
      </x:c>
      <x:c r="V59" s="21" t="n">
        <x:f>IFERROR(U59/L59,0)</x:f>
        <x:v>0.7547692307692309</x:v>
      </x:c>
    </x:row>
    <x:row r="60">
      <x:c r="A60" s="19" t="str">
        <x:v>SALE-00056</x:v>
      </x:c>
      <x:c r="B60" s="34" t="n">
        <x:v>46211.5</x:v>
      </x:c>
      <x:c r="C60" s="19" t="str">
        <x:v>周三</x:v>
      </x:c>
      <x:c r="D60" s="19" t="str">
        <x:v>S01</x:v>
      </x:c>
      <x:c r="E60" s="19" t="str">
        <x:v>近江天阳店</x:v>
      </x:c>
      <x:c r="F60" s="19" t="str">
        <x:v>堂食</x:v>
      </x:c>
      <x:c r="G60" s="19" t="str">
        <x:v>全日</x:v>
      </x:c>
      <x:c r="H60" s="19" t="str">
        <x:v>D16</x:v>
      </x:c>
      <x:c r="I60" s="19" t="str">
        <x:v>小豆角炒五花</x:v>
      </x:c>
      <x:c r="J60" s="22" t="n">
        <x:f>XLOOKUP(H60,'菜品主数据'!$A$5:$A$24,'菜品主数据'!$D$5:$D$24,0)</x:f>
        <x:v>25</x:v>
      </x:c>
      <x:c r="K60" s="31" t="n">
        <x:v>8</x:v>
      </x:c>
      <x:c r="L60" s="35" t="n">
        <x:f>J60*K60</x:f>
        <x:v>200</x:v>
      </x:c>
      <x:c r="M60" s="36" t="n">
        <x:v>0</x:v>
      </x:c>
      <x:c r="N60" s="35" t="n">
        <x:f>L60*M60</x:f>
        <x:v>0</x:v>
      </x:c>
      <x:c r="O60" s="37" t="n">
        <x:v>0</x:v>
      </x:c>
      <x:c r="P60" s="35" t="n">
        <x:f>L60*O60</x:f>
        <x:v>0</x:v>
      </x:c>
      <x:c r="Q60" s="35" t="n">
        <x:v>0</x:v>
      </x:c>
      <x:c r="R60" s="35" t="n">
        <x:f>K60*Q60</x:f>
        <x:v>0</x:v>
      </x:c>
      <x:c r="S60" s="35" t="n">
        <x:f>XLOOKUP(H60,'菜品主数据'!$A$5:$A$24,'菜品主数据'!$G$5:$G$24,0)</x:f>
        <x:v>8.184</x:v>
      </x:c>
      <x:c r="T60" s="35" t="n">
        <x:f>K60*S60</x:f>
        <x:v>65.472</x:v>
      </x:c>
      <x:c r="U60" s="35" t="n">
        <x:f>L60-N60-P60-R60-T60</x:f>
        <x:v>134.52800000000002</x:v>
      </x:c>
      <x:c r="V60" s="21" t="n">
        <x:f>IFERROR(U60/L60,0)</x:f>
        <x:v>0.6726400000000001</x:v>
      </x:c>
    </x:row>
    <x:row r="61">
      <x:c r="A61" s="19" t="str">
        <x:v>SALE-00057</x:v>
      </x:c>
      <x:c r="B61" s="34" t="n">
        <x:v>46211.5</x:v>
      </x:c>
      <x:c r="C61" s="19" t="str">
        <x:v>周三</x:v>
      </x:c>
      <x:c r="D61" s="19" t="str">
        <x:v>S01</x:v>
      </x:c>
      <x:c r="E61" s="19" t="str">
        <x:v>近江天阳店</x:v>
      </x:c>
      <x:c r="F61" s="19" t="str">
        <x:v>堂食</x:v>
      </x:c>
      <x:c r="G61" s="19" t="str">
        <x:v>全日</x:v>
      </x:c>
      <x:c r="H61" s="19" t="str">
        <x:v>D17</x:v>
      </x:c>
      <x:c r="I61" s="19" t="str">
        <x:v>蒜蓉粉丝虾</x:v>
      </x:c>
      <x:c r="J61" s="22" t="n">
        <x:f>XLOOKUP(H61,'菜品主数据'!$A$5:$A$24,'菜品主数据'!$D$5:$D$24,0)</x:f>
        <x:v>36</x:v>
      </x:c>
      <x:c r="K61" s="31" t="n">
        <x:v>6</x:v>
      </x:c>
      <x:c r="L61" s="35" t="n">
        <x:f>J61*K61</x:f>
        <x:v>216</x:v>
      </x:c>
      <x:c r="M61" s="36" t="n">
        <x:v>0</x:v>
      </x:c>
      <x:c r="N61" s="35" t="n">
        <x:f>L61*M61</x:f>
        <x:v>0</x:v>
      </x:c>
      <x:c r="O61" s="37" t="n">
        <x:v>0</x:v>
      </x:c>
      <x:c r="P61" s="35" t="n">
        <x:f>L61*O61</x:f>
        <x:v>0</x:v>
      </x:c>
      <x:c r="Q61" s="35" t="n">
        <x:v>0</x:v>
      </x:c>
      <x:c r="R61" s="35" t="n">
        <x:f>K61*Q61</x:f>
        <x:v>0</x:v>
      </x:c>
      <x:c r="S61" s="35" t="n">
        <x:f>XLOOKUP(H61,'菜品主数据'!$A$5:$A$24,'菜品主数据'!$G$5:$G$24,0)</x:f>
        <x:v>13.594</x:v>
      </x:c>
      <x:c r="T61" s="35" t="n">
        <x:f>K61*S61</x:f>
        <x:v>81.564</x:v>
      </x:c>
      <x:c r="U61" s="35" t="n">
        <x:f>L61-N61-P61-R61-T61</x:f>
        <x:v>134.436</x:v>
      </x:c>
      <x:c r="V61" s="21" t="n">
        <x:f>IFERROR(U61/L61,0)</x:f>
        <x:v>0.6223888888888889</x:v>
      </x:c>
    </x:row>
    <x:row r="62">
      <x:c r="A62" s="19" t="str">
        <x:v>SALE-00058</x:v>
      </x:c>
      <x:c r="B62" s="34" t="n">
        <x:v>46211.5</x:v>
      </x:c>
      <x:c r="C62" s="19" t="str">
        <x:v>周三</x:v>
      </x:c>
      <x:c r="D62" s="19" t="str">
        <x:v>S01</x:v>
      </x:c>
      <x:c r="E62" s="19" t="str">
        <x:v>近江天阳店</x:v>
      </x:c>
      <x:c r="F62" s="19" t="str">
        <x:v>堂食</x:v>
      </x:c>
      <x:c r="G62" s="19" t="str">
        <x:v>全日</x:v>
      </x:c>
      <x:c r="H62" s="19" t="str">
        <x:v>D18</x:v>
      </x:c>
      <x:c r="I62" s="19" t="str">
        <x:v>青椒炒油麦菜</x:v>
      </x:c>
      <x:c r="J62" s="22" t="n">
        <x:f>XLOOKUP(H62,'菜品主数据'!$A$5:$A$24,'菜品主数据'!$D$5:$D$24,0)</x:f>
        <x:v>18</x:v>
      </x:c>
      <x:c r="K62" s="31" t="n">
        <x:v>10</x:v>
      </x:c>
      <x:c r="L62" s="35" t="n">
        <x:f>J62*K62</x:f>
        <x:v>180</x:v>
      </x:c>
      <x:c r="M62" s="36" t="n">
        <x:v>0</x:v>
      </x:c>
      <x:c r="N62" s="35" t="n">
        <x:f>L62*M62</x:f>
        <x:v>0</x:v>
      </x:c>
      <x:c r="O62" s="37" t="n">
        <x:v>0</x:v>
      </x:c>
      <x:c r="P62" s="35" t="n">
        <x:f>L62*O62</x:f>
        <x:v>0</x:v>
      </x:c>
      <x:c r="Q62" s="35" t="n">
        <x:v>0</x:v>
      </x:c>
      <x:c r="R62" s="35" t="n">
        <x:f>K62*Q62</x:f>
        <x:v>0</x:v>
      </x:c>
      <x:c r="S62" s="35" t="n">
        <x:f>XLOOKUP(H62,'菜品主数据'!$A$5:$A$24,'菜品主数据'!$G$5:$G$24,0)</x:f>
        <x:v>3.1759999999999993</x:v>
      </x:c>
      <x:c r="T62" s="35" t="n">
        <x:f>K62*S62</x:f>
        <x:v>31.75999999999999</x:v>
      </x:c>
      <x:c r="U62" s="35" t="n">
        <x:f>L62-N62-P62-R62-T62</x:f>
        <x:v>148.24</x:v>
      </x:c>
      <x:c r="V62" s="21" t="n">
        <x:f>IFERROR(U62/L62,0)</x:f>
        <x:v>0.8235555555555556</x:v>
      </x:c>
    </x:row>
    <x:row r="63">
      <x:c r="A63" s="19" t="str">
        <x:v>SALE-00059</x:v>
      </x:c>
      <x:c r="B63" s="34" t="n">
        <x:v>46211.5</x:v>
      </x:c>
      <x:c r="C63" s="19" t="str">
        <x:v>周三</x:v>
      </x:c>
      <x:c r="D63" s="19" t="str">
        <x:v>S01</x:v>
      </x:c>
      <x:c r="E63" s="19" t="str">
        <x:v>近江天阳店</x:v>
      </x:c>
      <x:c r="F63" s="19" t="str">
        <x:v>堂食</x:v>
      </x:c>
      <x:c r="G63" s="19" t="str">
        <x:v>全日</x:v>
      </x:c>
      <x:c r="H63" s="19" t="str">
        <x:v>D19</x:v>
      </x:c>
      <x:c r="I63" s="19" t="str">
        <x:v>酸萝卜炒鸡杂</x:v>
      </x:c>
      <x:c r="J63" s="22" t="n">
        <x:f>XLOOKUP(H63,'菜品主数据'!$A$5:$A$24,'菜品主数据'!$D$5:$D$24,0)</x:f>
        <x:v>25</x:v>
      </x:c>
      <x:c r="K63" s="31" t="n">
        <x:v>7</x:v>
      </x:c>
      <x:c r="L63" s="35" t="n">
        <x:f>J63*K63</x:f>
        <x:v>175</x:v>
      </x:c>
      <x:c r="M63" s="36" t="n">
        <x:v>0</x:v>
      </x:c>
      <x:c r="N63" s="35" t="n">
        <x:f>L63*M63</x:f>
        <x:v>0</x:v>
      </x:c>
      <x:c r="O63" s="37" t="n">
        <x:v>0</x:v>
      </x:c>
      <x:c r="P63" s="35" t="n">
        <x:f>L63*O63</x:f>
        <x:v>0</x:v>
      </x:c>
      <x:c r="Q63" s="35" t="n">
        <x:v>0</x:v>
      </x:c>
      <x:c r="R63" s="35" t="n">
        <x:f>K63*Q63</x:f>
        <x:v>0</x:v>
      </x:c>
      <x:c r="S63" s="35" t="n">
        <x:f>XLOOKUP(H63,'菜品主数据'!$A$5:$A$24,'菜品主数据'!$G$5:$G$24,0)</x:f>
        <x:v>7.9399999999999995</x:v>
      </x:c>
      <x:c r="T63" s="35" t="n">
        <x:f>K63*S63</x:f>
        <x:v>55.58</x:v>
      </x:c>
      <x:c r="U63" s="35" t="n">
        <x:f>L63-N63-P63-R63-T63</x:f>
        <x:v>119.42</x:v>
      </x:c>
      <x:c r="V63" s="21" t="n">
        <x:f>IFERROR(U63/L63,0)</x:f>
        <x:v>0.6824</x:v>
      </x:c>
    </x:row>
    <x:row r="64">
      <x:c r="A64" s="19" t="str">
        <x:v>SALE-00060</x:v>
      </x:c>
      <x:c r="B64" s="34" t="n">
        <x:v>46211.5</x:v>
      </x:c>
      <x:c r="C64" s="19" t="str">
        <x:v>周三</x:v>
      </x:c>
      <x:c r="D64" s="19" t="str">
        <x:v>S01</x:v>
      </x:c>
      <x:c r="E64" s="19" t="str">
        <x:v>近江天阳店</x:v>
      </x:c>
      <x:c r="F64" s="19" t="str">
        <x:v>堂食</x:v>
      </x:c>
      <x:c r="G64" s="19" t="str">
        <x:v>全日</x:v>
      </x:c>
      <x:c r="H64" s="19" t="str">
        <x:v>D20</x:v>
      </x:c>
      <x:c r="I64" s="19" t="str">
        <x:v>雪菜肉末青豆</x:v>
      </x:c>
      <x:c r="J64" s="22" t="n">
        <x:f>XLOOKUP(H64,'菜品主数据'!$A$5:$A$24,'菜品主数据'!$D$5:$D$24,0)</x:f>
        <x:v>18</x:v>
      </x:c>
      <x:c r="K64" s="31" t="n">
        <x:v>9</x:v>
      </x:c>
      <x:c r="L64" s="35" t="n">
        <x:f>J64*K64</x:f>
        <x:v>162</x:v>
      </x:c>
      <x:c r="M64" s="36" t="n">
        <x:v>0</x:v>
      </x:c>
      <x:c r="N64" s="35" t="n">
        <x:f>L64*M64</x:f>
        <x:v>0</x:v>
      </x:c>
      <x:c r="O64" s="37" t="n">
        <x:v>0</x:v>
      </x:c>
      <x:c r="P64" s="35" t="n">
        <x:f>L64*O64</x:f>
        <x:v>0</x:v>
      </x:c>
      <x:c r="Q64" s="35" t="n">
        <x:v>0</x:v>
      </x:c>
      <x:c r="R64" s="35" t="n">
        <x:f>K64*Q64</x:f>
        <x:v>0</x:v>
      </x:c>
      <x:c r="S64" s="35" t="n">
        <x:f>XLOOKUP(H64,'菜品主数据'!$A$5:$A$24,'菜品主数据'!$G$5:$G$24,0)</x:f>
        <x:v>7.303999999999999</x:v>
      </x:c>
      <x:c r="T64" s="35" t="n">
        <x:f>K64*S64</x:f>
        <x:v>65.73599999999999</x:v>
      </x:c>
      <x:c r="U64" s="35" t="n">
        <x:f>L64-N64-P64-R64-T64</x:f>
        <x:v>96.26400000000001</x:v>
      </x:c>
      <x:c r="V64" s="21" t="n">
        <x:f>IFERROR(U64/L64,0)</x:f>
        <x:v>0.5942222222222223</x:v>
      </x:c>
    </x:row>
    <x:row r="65">
      <x:c r="A65" s="19" t="str">
        <x:v>SALE-00061</x:v>
      </x:c>
      <x:c r="B65" s="34" t="n">
        <x:v>46211.5</x:v>
      </x:c>
      <x:c r="C65" s="19" t="str">
        <x:v>周三</x:v>
      </x:c>
      <x:c r="D65" s="19" t="str">
        <x:v>S01</x:v>
      </x:c>
      <x:c r="E65" s="19" t="str">
        <x:v>近江天阳店</x:v>
      </x:c>
      <x:c r="F65" s="19" t="str">
        <x:v>外卖</x:v>
      </x:c>
      <x:c r="G65" s="19" t="str">
        <x:v>全日</x:v>
      </x:c>
      <x:c r="H65" s="19" t="str">
        <x:v>D01</x:v>
      </x:c>
      <x:c r="I65" s="19" t="str">
        <x:v>辣椒炒肉</x:v>
      </x:c>
      <x:c r="J65" s="22" t="n">
        <x:f>XLOOKUP(H65,'菜品主数据'!$A$5:$A$24,'菜品主数据'!$D$5:$D$24,0)</x:f>
        <x:v>29</x:v>
      </x:c>
      <x:c r="K65" s="31" t="n">
        <x:v>5</x:v>
      </x:c>
      <x:c r="L65" s="35" t="n">
        <x:f>J65*K65</x:f>
        <x:v>145</x:v>
      </x:c>
      <x:c r="M65" s="36" t="n">
        <x:v>0.08</x:v>
      </x:c>
      <x:c r="N65" s="35" t="n">
        <x:f>L65*M65</x:f>
        <x:v>11.6</x:v>
      </x:c>
      <x:c r="O65" s="37" t="n">
        <x:v>0.18</x:v>
      </x:c>
      <x:c r="P65" s="35" t="n">
        <x:f>L65*O65</x:f>
        <x:v>26.099999999999998</x:v>
      </x:c>
      <x:c r="Q65" s="35" t="n">
        <x:v>1.2</x:v>
      </x:c>
      <x:c r="R65" s="35" t="n">
        <x:f>K65*Q65</x:f>
        <x:v>6</x:v>
      </x:c>
      <x:c r="S65" s="35" t="n">
        <x:f>XLOOKUP(H65,'菜品主数据'!$A$5:$A$24,'菜品主数据'!$G$5:$G$24,0)</x:f>
        <x:v>8.634400000000001</x:v>
      </x:c>
      <x:c r="T65" s="35" t="n">
        <x:f>K65*S65</x:f>
        <x:v>43.172000000000004</x:v>
      </x:c>
      <x:c r="U65" s="35" t="n">
        <x:f>L65-N65-P65-R65-T65</x:f>
        <x:v>58.12800000000001</x:v>
      </x:c>
      <x:c r="V65" s="21" t="n">
        <x:f>IFERROR(U65/L65,0)</x:f>
        <x:v>0.4008827586206897</x:v>
      </x:c>
    </x:row>
    <x:row r="66">
      <x:c r="A66" s="19" t="str">
        <x:v>SALE-00062</x:v>
      </x:c>
      <x:c r="B66" s="34" t="n">
        <x:v>46211.5</x:v>
      </x:c>
      <x:c r="C66" s="19" t="str">
        <x:v>周三</x:v>
      </x:c>
      <x:c r="D66" s="19" t="str">
        <x:v>S01</x:v>
      </x:c>
      <x:c r="E66" s="19" t="str">
        <x:v>近江天阳店</x:v>
      </x:c>
      <x:c r="F66" s="19" t="str">
        <x:v>外卖</x:v>
      </x:c>
      <x:c r="G66" s="19" t="str">
        <x:v>全日</x:v>
      </x:c>
      <x:c r="H66" s="19" t="str">
        <x:v>D02</x:v>
      </x:c>
      <x:c r="I66" s="19" t="str">
        <x:v>小炒黄牛肉</x:v>
      </x:c>
      <x:c r="J66" s="22" t="n">
        <x:f>XLOOKUP(H66,'菜品主数据'!$A$5:$A$24,'菜品主数据'!$D$5:$D$24,0)</x:f>
        <x:v>49</x:v>
      </x:c>
      <x:c r="K66" s="31" t="n">
        <x:v>8</x:v>
      </x:c>
      <x:c r="L66" s="35" t="n">
        <x:f>J66*K66</x:f>
        <x:v>392</x:v>
      </x:c>
      <x:c r="M66" s="36" t="n">
        <x:v>0.08</x:v>
      </x:c>
      <x:c r="N66" s="35" t="n">
        <x:f>L66*M66</x:f>
        <x:v>31.36</x:v>
      </x:c>
      <x:c r="O66" s="37" t="n">
        <x:v>0.18</x:v>
      </x:c>
      <x:c r="P66" s="35" t="n">
        <x:f>L66*O66</x:f>
        <x:v>70.56</x:v>
      </x:c>
      <x:c r="Q66" s="35" t="n">
        <x:v>1.2</x:v>
      </x:c>
      <x:c r="R66" s="35" t="n">
        <x:f>K66*Q66</x:f>
        <x:v>9.6</x:v>
      </x:c>
      <x:c r="S66" s="35" t="n">
        <x:f>XLOOKUP(H66,'菜品主数据'!$A$5:$A$24,'菜品主数据'!$G$5:$G$24,0)</x:f>
        <x:v>17.577</x:v>
      </x:c>
      <x:c r="T66" s="35" t="n">
        <x:f>K66*S66</x:f>
        <x:v>140.616</x:v>
      </x:c>
      <x:c r="U66" s="35" t="n">
        <x:f>L66-N66-P66-R66-T66</x:f>
        <x:v>139.86399999999995</x:v>
      </x:c>
      <x:c r="V66" s="21" t="n">
        <x:f>IFERROR(U66/L66,0)</x:f>
        <x:v>0.3567959183673468</x:v>
      </x:c>
    </x:row>
    <x:row r="67">
      <x:c r="A67" s="19" t="str">
        <x:v>SALE-00063</x:v>
      </x:c>
      <x:c r="B67" s="34" t="n">
        <x:v>46211.5</x:v>
      </x:c>
      <x:c r="C67" s="19" t="str">
        <x:v>周三</x:v>
      </x:c>
      <x:c r="D67" s="19" t="str">
        <x:v>S01</x:v>
      </x:c>
      <x:c r="E67" s="19" t="str">
        <x:v>近江天阳店</x:v>
      </x:c>
      <x:c r="F67" s="19" t="str">
        <x:v>外卖</x:v>
      </x:c>
      <x:c r="G67" s="19" t="str">
        <x:v>全日</x:v>
      </x:c>
      <x:c r="H67" s="19" t="str">
        <x:v>D03</x:v>
      </x:c>
      <x:c r="I67" s="19" t="str">
        <x:v>香醋炒蛋</x:v>
      </x:c>
      <x:c r="J67" s="22" t="n">
        <x:f>XLOOKUP(H67,'菜品主数据'!$A$5:$A$24,'菜品主数据'!$D$5:$D$24,0)</x:f>
        <x:v>14.9</x:v>
      </x:c>
      <x:c r="K67" s="31" t="n">
        <x:v>4</x:v>
      </x:c>
      <x:c r="L67" s="35" t="n">
        <x:f>J67*K67</x:f>
        <x:v>59.6</x:v>
      </x:c>
      <x:c r="M67" s="36" t="n">
        <x:v>0.08</x:v>
      </x:c>
      <x:c r="N67" s="35" t="n">
        <x:f>L67*M67</x:f>
        <x:v>4.768</x:v>
      </x:c>
      <x:c r="O67" s="37" t="n">
        <x:v>0.18</x:v>
      </x:c>
      <x:c r="P67" s="35" t="n">
        <x:f>L67*O67</x:f>
        <x:v>10.728</x:v>
      </x:c>
      <x:c r="Q67" s="35" t="n">
        <x:v>1.2</x:v>
      </x:c>
      <x:c r="R67" s="35" t="n">
        <x:f>K67*Q67</x:f>
        <x:v>4.8</x:v>
      </x:c>
      <x:c r="S67" s="35" t="n">
        <x:f>XLOOKUP(H67,'菜品主数据'!$A$5:$A$24,'菜品主数据'!$G$5:$G$24,0)</x:f>
        <x:v>3.7459999999999996</x:v>
      </x:c>
      <x:c r="T67" s="35" t="n">
        <x:f>K67*S67</x:f>
        <x:v>14.983999999999998</x:v>
      </x:c>
      <x:c r="U67" s="35" t="n">
        <x:f>L67-N67-P67-R67-T67</x:f>
        <x:v>24.320000000000004</x:v>
      </x:c>
      <x:c r="V67" s="21" t="n">
        <x:f>IFERROR(U67/L67,0)</x:f>
        <x:v>0.40805369127516783</x:v>
      </x:c>
    </x:row>
    <x:row r="68">
      <x:c r="A68" s="19" t="str">
        <x:v>SALE-00064</x:v>
      </x:c>
      <x:c r="B68" s="34" t="n">
        <x:v>46211.5</x:v>
      </x:c>
      <x:c r="C68" s="19" t="str">
        <x:v>周三</x:v>
      </x:c>
      <x:c r="D68" s="19" t="str">
        <x:v>S01</x:v>
      </x:c>
      <x:c r="E68" s="19" t="str">
        <x:v>近江天阳店</x:v>
      </x:c>
      <x:c r="F68" s="19" t="str">
        <x:v>外卖</x:v>
      </x:c>
      <x:c r="G68" s="19" t="str">
        <x:v>全日</x:v>
      </x:c>
      <x:c r="H68" s="19" t="str">
        <x:v>D04</x:v>
      </x:c>
      <x:c r="I68" s="19" t="str">
        <x:v>酸包菜炒粉皮</x:v>
      </x:c>
      <x:c r="J68" s="22" t="n">
        <x:f>XLOOKUP(H68,'菜品主数据'!$A$5:$A$24,'菜品主数据'!$D$5:$D$24,0)</x:f>
        <x:v>16</x:v>
      </x:c>
      <x:c r="K68" s="31" t="n">
        <x:v>4</x:v>
      </x:c>
      <x:c r="L68" s="35" t="n">
        <x:f>J68*K68</x:f>
        <x:v>64</x:v>
      </x:c>
      <x:c r="M68" s="36" t="n">
        <x:v>0.08</x:v>
      </x:c>
      <x:c r="N68" s="35" t="n">
        <x:f>L68*M68</x:f>
        <x:v>5.12</x:v>
      </x:c>
      <x:c r="O68" s="37" t="n">
        <x:v>0.18</x:v>
      </x:c>
      <x:c r="P68" s="35" t="n">
        <x:f>L68*O68</x:f>
        <x:v>11.52</x:v>
      </x:c>
      <x:c r="Q68" s="35" t="n">
        <x:v>1.2</x:v>
      </x:c>
      <x:c r="R68" s="35" t="n">
        <x:f>K68*Q68</x:f>
        <x:v>4.8</x:v>
      </x:c>
      <x:c r="S68" s="35" t="n">
        <x:f>XLOOKUP(H68,'菜品主数据'!$A$5:$A$24,'菜品主数据'!$G$5:$G$24,0)</x:f>
        <x:v>3.978</x:v>
      </x:c>
      <x:c r="T68" s="35" t="n">
        <x:f>K68*S68</x:f>
        <x:v>15.912</x:v>
      </x:c>
      <x:c r="U68" s="35" t="n">
        <x:f>L68-N68-P68-R68-T68</x:f>
        <x:v>26.648000000000003</x:v>
      </x:c>
      <x:c r="V68" s="21" t="n">
        <x:f>IFERROR(U68/L68,0)</x:f>
        <x:v>0.41637500000000005</x:v>
      </x:c>
    </x:row>
    <x:row r="69">
      <x:c r="A69" s="19" t="str">
        <x:v>SALE-00065</x:v>
      </x:c>
      <x:c r="B69" s="34" t="n">
        <x:v>46211.5</x:v>
      </x:c>
      <x:c r="C69" s="19" t="str">
        <x:v>周三</x:v>
      </x:c>
      <x:c r="D69" s="19" t="str">
        <x:v>S01</x:v>
      </x:c>
      <x:c r="E69" s="19" t="str">
        <x:v>近江天阳店</x:v>
      </x:c>
      <x:c r="F69" s="19" t="str">
        <x:v>外卖</x:v>
      </x:c>
      <x:c r="G69" s="19" t="str">
        <x:v>全日</x:v>
      </x:c>
      <x:c r="H69" s="19" t="str">
        <x:v>D05</x:v>
      </x:c>
      <x:c r="I69" s="19" t="str">
        <x:v>麻婆豆腐</x:v>
      </x:c>
      <x:c r="J69" s="22" t="n">
        <x:f>XLOOKUP(H69,'菜品主数据'!$A$5:$A$24,'菜品主数据'!$D$5:$D$24,0)</x:f>
        <x:v>9.9</x:v>
      </x:c>
      <x:c r="K69" s="31" t="n">
        <x:v>5</x:v>
      </x:c>
      <x:c r="L69" s="35" t="n">
        <x:f>J69*K69</x:f>
        <x:v>49.5</x:v>
      </x:c>
      <x:c r="M69" s="36" t="n">
        <x:v>0.08</x:v>
      </x:c>
      <x:c r="N69" s="35" t="n">
        <x:f>L69*M69</x:f>
        <x:v>3.96</x:v>
      </x:c>
      <x:c r="O69" s="37" t="n">
        <x:v>0.18</x:v>
      </x:c>
      <x:c r="P69" s="35" t="n">
        <x:f>L69*O69</x:f>
        <x:v>8.91</x:v>
      </x:c>
      <x:c r="Q69" s="35" t="n">
        <x:v>1.2</x:v>
      </x:c>
      <x:c r="R69" s="35" t="n">
        <x:f>K69*Q69</x:f>
        <x:v>6</x:v>
      </x:c>
      <x:c r="S69" s="35" t="n">
        <x:f>XLOOKUP(H69,'菜品主数据'!$A$5:$A$24,'菜品主数据'!$G$5:$G$24,0)</x:f>
        <x:v>5.367000000000001</x:v>
      </x:c>
      <x:c r="T69" s="35" t="n">
        <x:f>K69*S69</x:f>
        <x:v>26.835000000000004</x:v>
      </x:c>
      <x:c r="U69" s="35" t="n">
        <x:f>L69-N69-P69-R69-T69</x:f>
        <x:v>3.794999999999991</x:v>
      </x:c>
      <x:c r="V69" s="21" t="n">
        <x:f>IFERROR(U69/L69,0)</x:f>
        <x:v>0.07666666666666648</x:v>
      </x:c>
    </x:row>
    <x:row r="70">
      <x:c r="A70" s="19" t="str">
        <x:v>SALE-00066</x:v>
      </x:c>
      <x:c r="B70" s="34" t="n">
        <x:v>46211.5</x:v>
      </x:c>
      <x:c r="C70" s="19" t="str">
        <x:v>周三</x:v>
      </x:c>
      <x:c r="D70" s="19" t="str">
        <x:v>S01</x:v>
      </x:c>
      <x:c r="E70" s="19" t="str">
        <x:v>近江天阳店</x:v>
      </x:c>
      <x:c r="F70" s="19" t="str">
        <x:v>外卖</x:v>
      </x:c>
      <x:c r="G70" s="19" t="str">
        <x:v>全日</x:v>
      </x:c>
      <x:c r="H70" s="19" t="str">
        <x:v>D06</x:v>
      </x:c>
      <x:c r="I70" s="19" t="str">
        <x:v>剁椒鱼头</x:v>
      </x:c>
      <x:c r="J70" s="22" t="n">
        <x:f>XLOOKUP(H70,'菜品主数据'!$A$5:$A$24,'菜品主数据'!$D$5:$D$24,0)</x:f>
        <x:v>39</x:v>
      </x:c>
      <x:c r="K70" s="31" t="n">
        <x:v>2</x:v>
      </x:c>
      <x:c r="L70" s="35" t="n">
        <x:f>J70*K70</x:f>
        <x:v>78</x:v>
      </x:c>
      <x:c r="M70" s="36" t="n">
        <x:v>0.08</x:v>
      </x:c>
      <x:c r="N70" s="35" t="n">
        <x:f>L70*M70</x:f>
        <x:v>6.24</x:v>
      </x:c>
      <x:c r="O70" s="37" t="n">
        <x:v>0.18</x:v>
      </x:c>
      <x:c r="P70" s="35" t="n">
        <x:f>L70*O70</x:f>
        <x:v>14.04</x:v>
      </x:c>
      <x:c r="Q70" s="35" t="n">
        <x:v>1.2</x:v>
      </x:c>
      <x:c r="R70" s="35" t="n">
        <x:f>K70*Q70</x:f>
        <x:v>2.4</x:v>
      </x:c>
      <x:c r="S70" s="35" t="n">
        <x:f>XLOOKUP(H70,'菜品主数据'!$A$5:$A$24,'菜品主数据'!$G$5:$G$24,0)</x:f>
        <x:v>17.446</x:v>
      </x:c>
      <x:c r="T70" s="35" t="n">
        <x:f>K70*S70</x:f>
        <x:v>34.892</x:v>
      </x:c>
      <x:c r="U70" s="35" t="n">
        <x:f>L70-N70-P70-R70-T70</x:f>
        <x:v>20.428000000000004</x:v>
      </x:c>
      <x:c r="V70" s="21" t="n">
        <x:f>IFERROR(U70/L70,0)</x:f>
        <x:v>0.26189743589743597</x:v>
      </x:c>
    </x:row>
    <x:row r="71">
      <x:c r="A71" s="19" t="str">
        <x:v>SALE-00067</x:v>
      </x:c>
      <x:c r="B71" s="34" t="n">
        <x:v>46211.5</x:v>
      </x:c>
      <x:c r="C71" s="19" t="str">
        <x:v>周三</x:v>
      </x:c>
      <x:c r="D71" s="19" t="str">
        <x:v>S01</x:v>
      </x:c>
      <x:c r="E71" s="19" t="str">
        <x:v>近江天阳店</x:v>
      </x:c>
      <x:c r="F71" s="19" t="str">
        <x:v>外卖</x:v>
      </x:c>
      <x:c r="G71" s="19" t="str">
        <x:v>全日</x:v>
      </x:c>
      <x:c r="H71" s="19" t="str">
        <x:v>D07</x:v>
      </x:c>
      <x:c r="I71" s="19" t="str">
        <x:v>川味回锅肉</x:v>
      </x:c>
      <x:c r="J71" s="22" t="n">
        <x:f>XLOOKUP(H71,'菜品主数据'!$A$5:$A$24,'菜品主数据'!$D$5:$D$24,0)</x:f>
        <x:v>29</x:v>
      </x:c>
      <x:c r="K71" s="31" t="n">
        <x:v>1</x:v>
      </x:c>
      <x:c r="L71" s="35" t="n">
        <x:f>J71*K71</x:f>
        <x:v>29</x:v>
      </x:c>
      <x:c r="M71" s="36" t="n">
        <x:v>0.08</x:v>
      </x:c>
      <x:c r="N71" s="35" t="n">
        <x:f>L71*M71</x:f>
        <x:v>2.32</x:v>
      </x:c>
      <x:c r="O71" s="37" t="n">
        <x:v>0.18</x:v>
      </x:c>
      <x:c r="P71" s="35" t="n">
        <x:f>L71*O71</x:f>
        <x:v>5.22</x:v>
      </x:c>
      <x:c r="Q71" s="35" t="n">
        <x:v>1.2</x:v>
      </x:c>
      <x:c r="R71" s="35" t="n">
        <x:f>K71*Q71</x:f>
        <x:v>1.2</x:v>
      </x:c>
      <x:c r="S71" s="35" t="n">
        <x:f>XLOOKUP(H71,'菜品主数据'!$A$5:$A$24,'菜品主数据'!$G$5:$G$24,0)</x:f>
        <x:v>10.231000000000002</x:v>
      </x:c>
      <x:c r="T71" s="35" t="n">
        <x:f>K71*S71</x:f>
        <x:v>10.231000000000002</x:v>
      </x:c>
      <x:c r="U71" s="35" t="n">
        <x:f>L71-N71-P71-R71-T71</x:f>
        <x:v>10.029</x:v>
      </x:c>
      <x:c r="V71" s="21" t="n">
        <x:f>IFERROR(U71/L71,0)</x:f>
        <x:v>0.3458275862068966</x:v>
      </x:c>
    </x:row>
    <x:row r="72">
      <x:c r="A72" s="19" t="str">
        <x:v>SALE-00068</x:v>
      </x:c>
      <x:c r="B72" s="34" t="n">
        <x:v>46211.5</x:v>
      </x:c>
      <x:c r="C72" s="19" t="str">
        <x:v>周三</x:v>
      </x:c>
      <x:c r="D72" s="19" t="str">
        <x:v>S01</x:v>
      </x:c>
      <x:c r="E72" s="19" t="str">
        <x:v>近江天阳店</x:v>
      </x:c>
      <x:c r="F72" s="19" t="str">
        <x:v>外卖</x:v>
      </x:c>
      <x:c r="G72" s="19" t="str">
        <x:v>全日</x:v>
      </x:c>
      <x:c r="H72" s="19" t="str">
        <x:v>D08</x:v>
      </x:c>
      <x:c r="I72" s="19" t="str">
        <x:v>生炒清远鸡</x:v>
      </x:c>
      <x:c r="J72" s="22" t="n">
        <x:f>XLOOKUP(H72,'菜品主数据'!$A$5:$A$24,'菜品主数据'!$D$5:$D$24,0)</x:f>
        <x:v>36</x:v>
      </x:c>
      <x:c r="K72" s="31" t="n">
        <x:v>1</x:v>
      </x:c>
      <x:c r="L72" s="35" t="n">
        <x:f>J72*K72</x:f>
        <x:v>36</x:v>
      </x:c>
      <x:c r="M72" s="36" t="n">
        <x:v>0.08</x:v>
      </x:c>
      <x:c r="N72" s="35" t="n">
        <x:f>L72*M72</x:f>
        <x:v>2.88</x:v>
      </x:c>
      <x:c r="O72" s="37" t="n">
        <x:v>0.18</x:v>
      </x:c>
      <x:c r="P72" s="35" t="n">
        <x:f>L72*O72</x:f>
        <x:v>6.4799999999999995</x:v>
      </x:c>
      <x:c r="Q72" s="35" t="n">
        <x:v>1.2</x:v>
      </x:c>
      <x:c r="R72" s="35" t="n">
        <x:f>K72*Q72</x:f>
        <x:v>1.2</x:v>
      </x:c>
      <x:c r="S72" s="35" t="n">
        <x:f>XLOOKUP(H72,'菜品主数据'!$A$5:$A$24,'菜品主数据'!$G$5:$G$24,0)</x:f>
        <x:v>13.48</x:v>
      </x:c>
      <x:c r="T72" s="35" t="n">
        <x:f>K72*S72</x:f>
        <x:v>13.48</x:v>
      </x:c>
      <x:c r="U72" s="35" t="n">
        <x:f>L72-N72-P72-R72-T72</x:f>
        <x:v>11.959999999999997</x:v>
      </x:c>
      <x:c r="V72" s="21" t="n">
        <x:f>IFERROR(U72/L72,0)</x:f>
        <x:v>0.33222222222222214</x:v>
      </x:c>
    </x:row>
    <x:row r="73">
      <x:c r="A73" s="19" t="str">
        <x:v>SALE-00069</x:v>
      </x:c>
      <x:c r="B73" s="34" t="n">
        <x:v>46211.5</x:v>
      </x:c>
      <x:c r="C73" s="19" t="str">
        <x:v>周三</x:v>
      </x:c>
      <x:c r="D73" s="19" t="str">
        <x:v>S01</x:v>
      </x:c>
      <x:c r="E73" s="19" t="str">
        <x:v>近江天阳店</x:v>
      </x:c>
      <x:c r="F73" s="19" t="str">
        <x:v>外卖</x:v>
      </x:c>
      <x:c r="G73" s="19" t="str">
        <x:v>全日</x:v>
      </x:c>
      <x:c r="H73" s="19" t="str">
        <x:v>D09</x:v>
      </x:c>
      <x:c r="I73" s="19" t="str">
        <x:v>炒豆干</x:v>
      </x:c>
      <x:c r="J73" s="22" t="n">
        <x:f>XLOOKUP(H73,'菜品主数据'!$A$5:$A$24,'菜品主数据'!$D$5:$D$24,0)</x:f>
        <x:v>18</x:v>
      </x:c>
      <x:c r="K73" s="31" t="n">
        <x:v>1</x:v>
      </x:c>
      <x:c r="L73" s="35" t="n">
        <x:f>J73*K73</x:f>
        <x:v>18</x:v>
      </x:c>
      <x:c r="M73" s="36" t="n">
        <x:v>0.08</x:v>
      </x:c>
      <x:c r="N73" s="35" t="n">
        <x:f>L73*M73</x:f>
        <x:v>1.44</x:v>
      </x:c>
      <x:c r="O73" s="37" t="n">
        <x:v>0.18</x:v>
      </x:c>
      <x:c r="P73" s="35" t="n">
        <x:f>L73*O73</x:f>
        <x:v>3.2399999999999998</x:v>
      </x:c>
      <x:c r="Q73" s="35" t="n">
        <x:v>1.2</x:v>
      </x:c>
      <x:c r="R73" s="35" t="n">
        <x:f>K73*Q73</x:f>
        <x:v>1.2</x:v>
      </x:c>
      <x:c r="S73" s="35" t="n">
        <x:f>XLOOKUP(H73,'菜品主数据'!$A$5:$A$24,'菜品主数据'!$G$5:$G$24,0)</x:f>
        <x:v>6.613999999999999</x:v>
      </x:c>
      <x:c r="T73" s="35" t="n">
        <x:f>K73*S73</x:f>
        <x:v>6.613999999999999</x:v>
      </x:c>
      <x:c r="U73" s="35" t="n">
        <x:f>L73-N73-P73-R73-T73</x:f>
        <x:v>5.506</x:v>
      </x:c>
      <x:c r="V73" s="21" t="n">
        <x:f>IFERROR(U73/L73,0)</x:f>
        <x:v>0.3058888888888889</x:v>
      </x:c>
    </x:row>
    <x:row r="74">
      <x:c r="A74" s="19" t="str">
        <x:v>SALE-00070</x:v>
      </x:c>
      <x:c r="B74" s="34" t="n">
        <x:v>46211.5</x:v>
      </x:c>
      <x:c r="C74" s="19" t="str">
        <x:v>周三</x:v>
      </x:c>
      <x:c r="D74" s="19" t="str">
        <x:v>S01</x:v>
      </x:c>
      <x:c r="E74" s="19" t="str">
        <x:v>近江天阳店</x:v>
      </x:c>
      <x:c r="F74" s="19" t="str">
        <x:v>外卖</x:v>
      </x:c>
      <x:c r="G74" s="19" t="str">
        <x:v>全日</x:v>
      </x:c>
      <x:c r="H74" s="19" t="str">
        <x:v>D10</x:v>
      </x:c>
      <x:c r="I74" s="19" t="str">
        <x:v>农家一碗香</x:v>
      </x:c>
      <x:c r="J74" s="22" t="n">
        <x:f>XLOOKUP(H74,'菜品主数据'!$A$5:$A$24,'菜品主数据'!$D$5:$D$24,0)</x:f>
        <x:v>22.9</x:v>
      </x:c>
      <x:c r="K74" s="31" t="n">
        <x:v>2</x:v>
      </x:c>
      <x:c r="L74" s="35" t="n">
        <x:f>J74*K74</x:f>
        <x:v>45.8</x:v>
      </x:c>
      <x:c r="M74" s="36" t="n">
        <x:v>0.08</x:v>
      </x:c>
      <x:c r="N74" s="35" t="n">
        <x:f>L74*M74</x:f>
        <x:v>3.6639999999999997</x:v>
      </x:c>
      <x:c r="O74" s="37" t="n">
        <x:v>0.18</x:v>
      </x:c>
      <x:c r="P74" s="35" t="n">
        <x:f>L74*O74</x:f>
        <x:v>8.244</x:v>
      </x:c>
      <x:c r="Q74" s="35" t="n">
        <x:v>1.2</x:v>
      </x:c>
      <x:c r="R74" s="35" t="n">
        <x:f>K74*Q74</x:f>
        <x:v>2.4</x:v>
      </x:c>
      <x:c r="S74" s="35" t="n">
        <x:f>XLOOKUP(H74,'菜品主数据'!$A$5:$A$24,'菜品主数据'!$G$5:$G$24,0)</x:f>
        <x:v>9.770200000000003</x:v>
      </x:c>
      <x:c r="T74" s="35" t="n">
        <x:f>K74*S74</x:f>
        <x:v>19.540400000000005</x:v>
      </x:c>
      <x:c r="U74" s="35" t="n">
        <x:f>L74-N74-P74-R74-T74</x:f>
        <x:v>11.951599999999992</x:v>
      </x:c>
      <x:c r="V74" s="21" t="n">
        <x:f>IFERROR(U74/L74,0)</x:f>
        <x:v>0.260951965065502</x:v>
      </x:c>
    </x:row>
    <x:row r="75">
      <x:c r="A75" s="19" t="str">
        <x:v>SALE-00071</x:v>
      </x:c>
      <x:c r="B75" s="34" t="n">
        <x:v>46211.5</x:v>
      </x:c>
      <x:c r="C75" s="19" t="str">
        <x:v>周三</x:v>
      </x:c>
      <x:c r="D75" s="19" t="str">
        <x:v>S01</x:v>
      </x:c>
      <x:c r="E75" s="19" t="str">
        <x:v>近江天阳店</x:v>
      </x:c>
      <x:c r="F75" s="19" t="str">
        <x:v>外卖</x:v>
      </x:c>
      <x:c r="G75" s="19" t="str">
        <x:v>全日</x:v>
      </x:c>
      <x:c r="H75" s="19" t="str">
        <x:v>D11</x:v>
      </x:c>
      <x:c r="I75" s="19" t="str">
        <x:v>香辣爆肥肠</x:v>
      </x:c>
      <x:c r="J75" s="22" t="n">
        <x:f>XLOOKUP(H75,'菜品主数据'!$A$5:$A$24,'菜品主数据'!$D$5:$D$24,0)</x:f>
        <x:v>39</x:v>
      </x:c>
      <x:c r="K75" s="31" t="n">
        <x:v>0</x:v>
      </x:c>
      <x:c r="L75" s="35" t="n">
        <x:f>J75*K75</x:f>
        <x:v>0</x:v>
      </x:c>
      <x:c r="M75" s="36" t="n">
        <x:v>0.08</x:v>
      </x:c>
      <x:c r="N75" s="35" t="n">
        <x:f>L75*M75</x:f>
        <x:v>0</x:v>
      </x:c>
      <x:c r="O75" s="37" t="n">
        <x:v>0.18</x:v>
      </x:c>
      <x:c r="P75" s="35" t="n">
        <x:f>L75*O75</x:f>
        <x:v>0</x:v>
      </x:c>
      <x:c r="Q75" s="35" t="n">
        <x:v>1.2</x:v>
      </x:c>
      <x:c r="R75" s="35" t="n">
        <x:f>K75*Q75</x:f>
        <x:v>0</x:v>
      </x:c>
      <x:c r="S75" s="35" t="n">
        <x:f>XLOOKUP(H75,'菜品主数据'!$A$5:$A$24,'菜品主数据'!$G$5:$G$24,0)</x:f>
        <x:v>10.397</x:v>
      </x:c>
      <x:c r="T75" s="35" t="n">
        <x:f>K75*S75</x:f>
        <x:v>0</x:v>
      </x:c>
      <x:c r="U75" s="35" t="n">
        <x:f>L75-N75-P75-R75-T75</x:f>
        <x:v>0</x:v>
      </x:c>
      <x:c r="V75" s="21" t="n">
        <x:f>IFERROR(U75/L75,0)</x:f>
        <x:v>0</x:v>
      </x:c>
    </x:row>
    <x:row r="76">
      <x:c r="A76" s="19" t="str">
        <x:v>SALE-00072</x:v>
      </x:c>
      <x:c r="B76" s="34" t="n">
        <x:v>46211.5</x:v>
      </x:c>
      <x:c r="C76" s="19" t="str">
        <x:v>周三</x:v>
      </x:c>
      <x:c r="D76" s="19" t="str">
        <x:v>S01</x:v>
      </x:c>
      <x:c r="E76" s="19" t="str">
        <x:v>近江天阳店</x:v>
      </x:c>
      <x:c r="F76" s="19" t="str">
        <x:v>外卖</x:v>
      </x:c>
      <x:c r="G76" s="19" t="str">
        <x:v>全日</x:v>
      </x:c>
      <x:c r="H76" s="19" t="str">
        <x:v>D12</x:v>
      </x:c>
      <x:c r="I76" s="19" t="str">
        <x:v>清蒸鲈鱼</x:v>
      </x:c>
      <x:c r="J76" s="22" t="n">
        <x:f>XLOOKUP(H76,'菜品主数据'!$A$5:$A$24,'菜品主数据'!$D$5:$D$24,0)</x:f>
        <x:v>39</x:v>
      </x:c>
      <x:c r="K76" s="31" t="n">
        <x:v>0</x:v>
      </x:c>
      <x:c r="L76" s="35" t="n">
        <x:f>J76*K76</x:f>
        <x:v>0</x:v>
      </x:c>
      <x:c r="M76" s="36" t="n">
        <x:v>0.08</x:v>
      </x:c>
      <x:c r="N76" s="35" t="n">
        <x:f>L76*M76</x:f>
        <x:v>0</x:v>
      </x:c>
      <x:c r="O76" s="37" t="n">
        <x:v>0.18</x:v>
      </x:c>
      <x:c r="P76" s="35" t="n">
        <x:f>L76*O76</x:f>
        <x:v>0</x:v>
      </x:c>
      <x:c r="Q76" s="35" t="n">
        <x:v>1.2</x:v>
      </x:c>
      <x:c r="R76" s="35" t="n">
        <x:f>K76*Q76</x:f>
        <x:v>0</x:v>
      </x:c>
      <x:c r="S76" s="35" t="n">
        <x:f>XLOOKUP(H76,'菜品主数据'!$A$5:$A$24,'菜品主数据'!$G$5:$G$24,0)</x:f>
        <x:v>18.874</x:v>
      </x:c>
      <x:c r="T76" s="35" t="n">
        <x:f>K76*S76</x:f>
        <x:v>0</x:v>
      </x:c>
      <x:c r="U76" s="35" t="n">
        <x:f>L76-N76-P76-R76-T76</x:f>
        <x:v>0</x:v>
      </x:c>
      <x:c r="V76" s="21" t="n">
        <x:f>IFERROR(U76/L76,0)</x:f>
        <x:v>0</x:v>
      </x:c>
    </x:row>
    <x:row r="77">
      <x:c r="A77" s="19" t="str">
        <x:v>SALE-00073</x:v>
      </x:c>
      <x:c r="B77" s="34" t="n">
        <x:v>46211.5</x:v>
      </x:c>
      <x:c r="C77" s="19" t="str">
        <x:v>周三</x:v>
      </x:c>
      <x:c r="D77" s="19" t="str">
        <x:v>S01</x:v>
      </x:c>
      <x:c r="E77" s="19" t="str">
        <x:v>近江天阳店</x:v>
      </x:c>
      <x:c r="F77" s="19" t="str">
        <x:v>外卖</x:v>
      </x:c>
      <x:c r="G77" s="19" t="str">
        <x:v>全日</x:v>
      </x:c>
      <x:c r="H77" s="19" t="str">
        <x:v>D13</x:v>
      </x:c>
      <x:c r="I77" s="19" t="str">
        <x:v>外婆菜炒蛋</x:v>
      </x:c>
      <x:c r="J77" s="22" t="n">
        <x:f>XLOOKUP(H77,'菜品主数据'!$A$5:$A$24,'菜品主数据'!$D$5:$D$24,0)</x:f>
        <x:v>18</x:v>
      </x:c>
      <x:c r="K77" s="31" t="n">
        <x:v>1</x:v>
      </x:c>
      <x:c r="L77" s="35" t="n">
        <x:f>J77*K77</x:f>
        <x:v>18</x:v>
      </x:c>
      <x:c r="M77" s="36" t="n">
        <x:v>0.08</x:v>
      </x:c>
      <x:c r="N77" s="35" t="n">
        <x:f>L77*M77</x:f>
        <x:v>1.44</x:v>
      </x:c>
      <x:c r="O77" s="37" t="n">
        <x:v>0.18</x:v>
      </x:c>
      <x:c r="P77" s="35" t="n">
        <x:f>L77*O77</x:f>
        <x:v>3.2399999999999998</x:v>
      </x:c>
      <x:c r="Q77" s="35" t="n">
        <x:v>1.2</x:v>
      </x:c>
      <x:c r="R77" s="35" t="n">
        <x:f>K77*Q77</x:f>
        <x:v>1.2</x:v>
      </x:c>
      <x:c r="S77" s="35" t="n">
        <x:f>XLOOKUP(H77,'菜品主数据'!$A$5:$A$24,'菜品主数据'!$G$5:$G$24,0)</x:f>
        <x:v>5.403999999999999</x:v>
      </x:c>
      <x:c r="T77" s="35" t="n">
        <x:f>K77*S77</x:f>
        <x:v>5.403999999999999</x:v>
      </x:c>
      <x:c r="U77" s="35" t="n">
        <x:f>L77-N77-P77-R77-T77</x:f>
        <x:v>6.716</x:v>
      </x:c>
      <x:c r="V77" s="21" t="n">
        <x:f>IFERROR(U77/L77,0)</x:f>
        <x:v>0.3731111111111111</x:v>
      </x:c>
    </x:row>
    <x:row r="78">
      <x:c r="A78" s="19" t="str">
        <x:v>SALE-00074</x:v>
      </x:c>
      <x:c r="B78" s="34" t="n">
        <x:v>46211.5</x:v>
      </x:c>
      <x:c r="C78" s="19" t="str">
        <x:v>周三</x:v>
      </x:c>
      <x:c r="D78" s="19" t="str">
        <x:v>S01</x:v>
      </x:c>
      <x:c r="E78" s="19" t="str">
        <x:v>近江天阳店</x:v>
      </x:c>
      <x:c r="F78" s="19" t="str">
        <x:v>外卖</x:v>
      </x:c>
      <x:c r="G78" s="19" t="str">
        <x:v>全日</x:v>
      </x:c>
      <x:c r="H78" s="19" t="str">
        <x:v>D14</x:v>
      </x:c>
      <x:c r="I78" s="19" t="str">
        <x:v>酸辣鸡杂</x:v>
      </x:c>
      <x:c r="J78" s="22" t="n">
        <x:f>XLOOKUP(H78,'菜品主数据'!$A$5:$A$24,'菜品主数据'!$D$5:$D$24,0)</x:f>
        <x:v>28</x:v>
      </x:c>
      <x:c r="K78" s="31" t="n">
        <x:v>1</x:v>
      </x:c>
      <x:c r="L78" s="35" t="n">
        <x:f>J78*K78</x:f>
        <x:v>28</x:v>
      </x:c>
      <x:c r="M78" s="36" t="n">
        <x:v>0.08</x:v>
      </x:c>
      <x:c r="N78" s="35" t="n">
        <x:f>L78*M78</x:f>
        <x:v>2.24</x:v>
      </x:c>
      <x:c r="O78" s="37" t="n">
        <x:v>0.18</x:v>
      </x:c>
      <x:c r="P78" s="35" t="n">
        <x:f>L78*O78</x:f>
        <x:v>5.04</x:v>
      </x:c>
      <x:c r="Q78" s="35" t="n">
        <x:v>1.2</x:v>
      </x:c>
      <x:c r="R78" s="35" t="n">
        <x:f>K78*Q78</x:f>
        <x:v>1.2</x:v>
      </x:c>
      <x:c r="S78" s="35" t="n">
        <x:f>XLOOKUP(H78,'菜品主数据'!$A$5:$A$24,'菜品主数据'!$G$5:$G$24,0)</x:f>
        <x:v>8.315000000000001</x:v>
      </x:c>
      <x:c r="T78" s="35" t="n">
        <x:f>K78*S78</x:f>
        <x:v>8.315000000000001</x:v>
      </x:c>
      <x:c r="U78" s="35" t="n">
        <x:f>L78-N78-P78-R78-T78</x:f>
        <x:v>11.204999999999998</x:v>
      </x:c>
      <x:c r="V78" s="21" t="n">
        <x:f>IFERROR(U78/L78,0)</x:f>
        <x:v>0.4001785714285714</x:v>
      </x:c>
    </x:row>
    <x:row r="79">
      <x:c r="A79" s="19" t="str">
        <x:v>SALE-00075</x:v>
      </x:c>
      <x:c r="B79" s="34" t="n">
        <x:v>46211.5</x:v>
      </x:c>
      <x:c r="C79" s="19" t="str">
        <x:v>周三</x:v>
      </x:c>
      <x:c r="D79" s="19" t="str">
        <x:v>S01</x:v>
      </x:c>
      <x:c r="E79" s="19" t="str">
        <x:v>近江天阳店</x:v>
      </x:c>
      <x:c r="F79" s="19" t="str">
        <x:v>外卖</x:v>
      </x:c>
      <x:c r="G79" s="19" t="str">
        <x:v>全日</x:v>
      </x:c>
      <x:c r="H79" s="19" t="str">
        <x:v>D15</x:v>
      </x:c>
      <x:c r="I79" s="19" t="str">
        <x:v>湘西土匪猪肝</x:v>
      </x:c>
      <x:c r="J79" s="22" t="n">
        <x:f>XLOOKUP(H79,'菜品主数据'!$A$5:$A$24,'菜品主数据'!$D$5:$D$24,0)</x:f>
        <x:v>26</x:v>
      </x:c>
      <x:c r="K79" s="31" t="n">
        <x:v>0</x:v>
      </x:c>
      <x:c r="L79" s="35" t="n">
        <x:f>J79*K79</x:f>
        <x:v>0</x:v>
      </x:c>
      <x:c r="M79" s="36" t="n">
        <x:v>0.08</x:v>
      </x:c>
      <x:c r="N79" s="35" t="n">
        <x:f>L79*M79</x:f>
        <x:v>0</x:v>
      </x:c>
      <x:c r="O79" s="37" t="n">
        <x:v>0.18</x:v>
      </x:c>
      <x:c r="P79" s="35" t="n">
        <x:f>L79*O79</x:f>
        <x:v>0</x:v>
      </x:c>
      <x:c r="Q79" s="35" t="n">
        <x:v>1.2</x:v>
      </x:c>
      <x:c r="R79" s="35" t="n">
        <x:f>K79*Q79</x:f>
        <x:v>0</x:v>
      </x:c>
      <x:c r="S79" s="35" t="n">
        <x:f>XLOOKUP(H79,'菜品主数据'!$A$5:$A$24,'菜品主数据'!$G$5:$G$24,0)</x:f>
        <x:v>6.3759999999999994</x:v>
      </x:c>
      <x:c r="T79" s="35" t="n">
        <x:f>K79*S79</x:f>
        <x:v>0</x:v>
      </x:c>
      <x:c r="U79" s="35" t="n">
        <x:f>L79-N79-P79-R79-T79</x:f>
        <x:v>0</x:v>
      </x:c>
      <x:c r="V79" s="21" t="n">
        <x:f>IFERROR(U79/L79,0)</x:f>
        <x:v>0</x:v>
      </x:c>
    </x:row>
    <x:row r="80">
      <x:c r="A80" s="19" t="str">
        <x:v>SALE-00076</x:v>
      </x:c>
      <x:c r="B80" s="34" t="n">
        <x:v>46211.5</x:v>
      </x:c>
      <x:c r="C80" s="19" t="str">
        <x:v>周三</x:v>
      </x:c>
      <x:c r="D80" s="19" t="str">
        <x:v>S01</x:v>
      </x:c>
      <x:c r="E80" s="19" t="str">
        <x:v>近江天阳店</x:v>
      </x:c>
      <x:c r="F80" s="19" t="str">
        <x:v>外卖</x:v>
      </x:c>
      <x:c r="G80" s="19" t="str">
        <x:v>全日</x:v>
      </x:c>
      <x:c r="H80" s="19" t="str">
        <x:v>D16</x:v>
      </x:c>
      <x:c r="I80" s="19" t="str">
        <x:v>小豆角炒五花</x:v>
      </x:c>
      <x:c r="J80" s="22" t="n">
        <x:f>XLOOKUP(H80,'菜品主数据'!$A$5:$A$24,'菜品主数据'!$D$5:$D$24,0)</x:f>
        <x:v>25</x:v>
      </x:c>
      <x:c r="K80" s="31" t="n">
        <x:v>0</x:v>
      </x:c>
      <x:c r="L80" s="35" t="n">
        <x:f>J80*K80</x:f>
        <x:v>0</x:v>
      </x:c>
      <x:c r="M80" s="36" t="n">
        <x:v>0.08</x:v>
      </x:c>
      <x:c r="N80" s="35" t="n">
        <x:f>L80*M80</x:f>
        <x:v>0</x:v>
      </x:c>
      <x:c r="O80" s="37" t="n">
        <x:v>0.18</x:v>
      </x:c>
      <x:c r="P80" s="35" t="n">
        <x:f>L80*O80</x:f>
        <x:v>0</x:v>
      </x:c>
      <x:c r="Q80" s="35" t="n">
        <x:v>1.2</x:v>
      </x:c>
      <x:c r="R80" s="35" t="n">
        <x:f>K80*Q80</x:f>
        <x:v>0</x:v>
      </x:c>
      <x:c r="S80" s="35" t="n">
        <x:f>XLOOKUP(H80,'菜品主数据'!$A$5:$A$24,'菜品主数据'!$G$5:$G$24,0)</x:f>
        <x:v>8.184</x:v>
      </x:c>
      <x:c r="T80" s="35" t="n">
        <x:f>K80*S80</x:f>
        <x:v>0</x:v>
      </x:c>
      <x:c r="U80" s="35" t="n">
        <x:f>L80-N80-P80-R80-T80</x:f>
        <x:v>0</x:v>
      </x:c>
      <x:c r="V80" s="21" t="n">
        <x:f>IFERROR(U80/L80,0)</x:f>
        <x:v>0</x:v>
      </x:c>
    </x:row>
    <x:row r="81">
      <x:c r="A81" s="19" t="str">
        <x:v>SALE-00077</x:v>
      </x:c>
      <x:c r="B81" s="34" t="n">
        <x:v>46211.5</x:v>
      </x:c>
      <x:c r="C81" s="19" t="str">
        <x:v>周三</x:v>
      </x:c>
      <x:c r="D81" s="19" t="str">
        <x:v>S01</x:v>
      </x:c>
      <x:c r="E81" s="19" t="str">
        <x:v>近江天阳店</x:v>
      </x:c>
      <x:c r="F81" s="19" t="str">
        <x:v>外卖</x:v>
      </x:c>
      <x:c r="G81" s="19" t="str">
        <x:v>全日</x:v>
      </x:c>
      <x:c r="H81" s="19" t="str">
        <x:v>D17</x:v>
      </x:c>
      <x:c r="I81" s="19" t="str">
        <x:v>蒜蓉粉丝虾</x:v>
      </x:c>
      <x:c r="J81" s="22" t="n">
        <x:f>XLOOKUP(H81,'菜品主数据'!$A$5:$A$24,'菜品主数据'!$D$5:$D$24,0)</x:f>
        <x:v>36</x:v>
      </x:c>
      <x:c r="K81" s="31" t="n">
        <x:v>0</x:v>
      </x:c>
      <x:c r="L81" s="35" t="n">
        <x:f>J81*K81</x:f>
        <x:v>0</x:v>
      </x:c>
      <x:c r="M81" s="36" t="n">
        <x:v>0.08</x:v>
      </x:c>
      <x:c r="N81" s="35" t="n">
        <x:f>L81*M81</x:f>
        <x:v>0</x:v>
      </x:c>
      <x:c r="O81" s="37" t="n">
        <x:v>0.18</x:v>
      </x:c>
      <x:c r="P81" s="35" t="n">
        <x:f>L81*O81</x:f>
        <x:v>0</x:v>
      </x:c>
      <x:c r="Q81" s="35" t="n">
        <x:v>1.2</x:v>
      </x:c>
      <x:c r="R81" s="35" t="n">
        <x:f>K81*Q81</x:f>
        <x:v>0</x:v>
      </x:c>
      <x:c r="S81" s="35" t="n">
        <x:f>XLOOKUP(H81,'菜品主数据'!$A$5:$A$24,'菜品主数据'!$G$5:$G$24,0)</x:f>
        <x:v>13.594</x:v>
      </x:c>
      <x:c r="T81" s="35" t="n">
        <x:f>K81*S81</x:f>
        <x:v>0</x:v>
      </x:c>
      <x:c r="U81" s="35" t="n">
        <x:f>L81-N81-P81-R81-T81</x:f>
        <x:v>0</x:v>
      </x:c>
      <x:c r="V81" s="21" t="n">
        <x:f>IFERROR(U81/L81,0)</x:f>
        <x:v>0</x:v>
      </x:c>
    </x:row>
    <x:row r="82">
      <x:c r="A82" s="19" t="str">
        <x:v>SALE-00078</x:v>
      </x:c>
      <x:c r="B82" s="34" t="n">
        <x:v>46211.5</x:v>
      </x:c>
      <x:c r="C82" s="19" t="str">
        <x:v>周三</x:v>
      </x:c>
      <x:c r="D82" s="19" t="str">
        <x:v>S01</x:v>
      </x:c>
      <x:c r="E82" s="19" t="str">
        <x:v>近江天阳店</x:v>
      </x:c>
      <x:c r="F82" s="19" t="str">
        <x:v>外卖</x:v>
      </x:c>
      <x:c r="G82" s="19" t="str">
        <x:v>全日</x:v>
      </x:c>
      <x:c r="H82" s="19" t="str">
        <x:v>D18</x:v>
      </x:c>
      <x:c r="I82" s="19" t="str">
        <x:v>青椒炒油麦菜</x:v>
      </x:c>
      <x:c r="J82" s="22" t="n">
        <x:f>XLOOKUP(H82,'菜品主数据'!$A$5:$A$24,'菜品主数据'!$D$5:$D$24,0)</x:f>
        <x:v>18</x:v>
      </x:c>
      <x:c r="K82" s="31" t="n">
        <x:v>1</x:v>
      </x:c>
      <x:c r="L82" s="35" t="n">
        <x:f>J82*K82</x:f>
        <x:v>18</x:v>
      </x:c>
      <x:c r="M82" s="36" t="n">
        <x:v>0.08</x:v>
      </x:c>
      <x:c r="N82" s="35" t="n">
        <x:f>L82*M82</x:f>
        <x:v>1.44</x:v>
      </x:c>
      <x:c r="O82" s="37" t="n">
        <x:v>0.18</x:v>
      </x:c>
      <x:c r="P82" s="35" t="n">
        <x:f>L82*O82</x:f>
        <x:v>3.2399999999999998</x:v>
      </x:c>
      <x:c r="Q82" s="35" t="n">
        <x:v>1.2</x:v>
      </x:c>
      <x:c r="R82" s="35" t="n">
        <x:f>K82*Q82</x:f>
        <x:v>1.2</x:v>
      </x:c>
      <x:c r="S82" s="35" t="n">
        <x:f>XLOOKUP(H82,'菜品主数据'!$A$5:$A$24,'菜品主数据'!$G$5:$G$24,0)</x:f>
        <x:v>3.1759999999999993</x:v>
      </x:c>
      <x:c r="T82" s="35" t="n">
        <x:f>K82*S82</x:f>
        <x:v>3.1759999999999993</x:v>
      </x:c>
      <x:c r="U82" s="35" t="n">
        <x:f>L82-N82-P82-R82-T82</x:f>
        <x:v>8.943999999999999</x:v>
      </x:c>
      <x:c r="V82" s="21" t="n">
        <x:f>IFERROR(U82/L82,0)</x:f>
        <x:v>0.4968888888888888</x:v>
      </x:c>
    </x:row>
    <x:row r="83">
      <x:c r="A83" s="19" t="str">
        <x:v>SALE-00079</x:v>
      </x:c>
      <x:c r="B83" s="34" t="n">
        <x:v>46211.5</x:v>
      </x:c>
      <x:c r="C83" s="19" t="str">
        <x:v>周三</x:v>
      </x:c>
      <x:c r="D83" s="19" t="str">
        <x:v>S01</x:v>
      </x:c>
      <x:c r="E83" s="19" t="str">
        <x:v>近江天阳店</x:v>
      </x:c>
      <x:c r="F83" s="19" t="str">
        <x:v>外卖</x:v>
      </x:c>
      <x:c r="G83" s="19" t="str">
        <x:v>全日</x:v>
      </x:c>
      <x:c r="H83" s="19" t="str">
        <x:v>D19</x:v>
      </x:c>
      <x:c r="I83" s="19" t="str">
        <x:v>酸萝卜炒鸡杂</x:v>
      </x:c>
      <x:c r="J83" s="22" t="n">
        <x:f>XLOOKUP(H83,'菜品主数据'!$A$5:$A$24,'菜品主数据'!$D$5:$D$24,0)</x:f>
        <x:v>25</x:v>
      </x:c>
      <x:c r="K83" s="31" t="n">
        <x:v>0</x:v>
      </x:c>
      <x:c r="L83" s="35" t="n">
        <x:f>J83*K83</x:f>
        <x:v>0</x:v>
      </x:c>
      <x:c r="M83" s="36" t="n">
        <x:v>0.08</x:v>
      </x:c>
      <x:c r="N83" s="35" t="n">
        <x:f>L83*M83</x:f>
        <x:v>0</x:v>
      </x:c>
      <x:c r="O83" s="37" t="n">
        <x:v>0.18</x:v>
      </x:c>
      <x:c r="P83" s="35" t="n">
        <x:f>L83*O83</x:f>
        <x:v>0</x:v>
      </x:c>
      <x:c r="Q83" s="35" t="n">
        <x:v>1.2</x:v>
      </x:c>
      <x:c r="R83" s="35" t="n">
        <x:f>K83*Q83</x:f>
        <x:v>0</x:v>
      </x:c>
      <x:c r="S83" s="35" t="n">
        <x:f>XLOOKUP(H83,'菜品主数据'!$A$5:$A$24,'菜品主数据'!$G$5:$G$24,0)</x:f>
        <x:v>7.9399999999999995</x:v>
      </x:c>
      <x:c r="T83" s="35" t="n">
        <x:f>K83*S83</x:f>
        <x:v>0</x:v>
      </x:c>
      <x:c r="U83" s="35" t="n">
        <x:f>L83-N83-P83-R83-T83</x:f>
        <x:v>0</x:v>
      </x:c>
      <x:c r="V83" s="21" t="n">
        <x:f>IFERROR(U83/L83,0)</x:f>
        <x:v>0</x:v>
      </x:c>
    </x:row>
    <x:row r="84">
      <x:c r="A84" s="19" t="str">
        <x:v>SALE-00080</x:v>
      </x:c>
      <x:c r="B84" s="34" t="n">
        <x:v>46211.5</x:v>
      </x:c>
      <x:c r="C84" s="19" t="str">
        <x:v>周三</x:v>
      </x:c>
      <x:c r="D84" s="19" t="str">
        <x:v>S01</x:v>
      </x:c>
      <x:c r="E84" s="19" t="str">
        <x:v>近江天阳店</x:v>
      </x:c>
      <x:c r="F84" s="19" t="str">
        <x:v>外卖</x:v>
      </x:c>
      <x:c r="G84" s="19" t="str">
        <x:v>全日</x:v>
      </x:c>
      <x:c r="H84" s="19" t="str">
        <x:v>D20</x:v>
      </x:c>
      <x:c r="I84" s="19" t="str">
        <x:v>雪菜肉末青豆</x:v>
      </x:c>
      <x:c r="J84" s="22" t="n">
        <x:f>XLOOKUP(H84,'菜品主数据'!$A$5:$A$24,'菜品主数据'!$D$5:$D$24,0)</x:f>
        <x:v>18</x:v>
      </x:c>
      <x:c r="K84" s="31" t="n">
        <x:v>1</x:v>
      </x:c>
      <x:c r="L84" s="35" t="n">
        <x:f>J84*K84</x:f>
        <x:v>18</x:v>
      </x:c>
      <x:c r="M84" s="36" t="n">
        <x:v>0.08</x:v>
      </x:c>
      <x:c r="N84" s="35" t="n">
        <x:f>L84*M84</x:f>
        <x:v>1.44</x:v>
      </x:c>
      <x:c r="O84" s="37" t="n">
        <x:v>0.18</x:v>
      </x:c>
      <x:c r="P84" s="35" t="n">
        <x:f>L84*O84</x:f>
        <x:v>3.2399999999999998</x:v>
      </x:c>
      <x:c r="Q84" s="35" t="n">
        <x:v>1.2</x:v>
      </x:c>
      <x:c r="R84" s="35" t="n">
        <x:f>K84*Q84</x:f>
        <x:v>1.2</x:v>
      </x:c>
      <x:c r="S84" s="35" t="n">
        <x:f>XLOOKUP(H84,'菜品主数据'!$A$5:$A$24,'菜品主数据'!$G$5:$G$24,0)</x:f>
        <x:v>7.303999999999999</x:v>
      </x:c>
      <x:c r="T84" s="35" t="n">
        <x:f>K84*S84</x:f>
        <x:v>7.303999999999999</x:v>
      </x:c>
      <x:c r="U84" s="35" t="n">
        <x:f>L84-N84-P84-R84-T84</x:f>
        <x:v>4.816</x:v>
      </x:c>
      <x:c r="V84" s="21" t="n">
        <x:f>IFERROR(U84/L84,0)</x:f>
        <x:v>0.26755555555555555</x:v>
      </x:c>
    </x:row>
    <x:row r="85">
      <x:c r="A85" s="19" t="str">
        <x:v>SALE-00081</x:v>
      </x:c>
      <x:c r="B85" s="34" t="n">
        <x:v>46212.5</x:v>
      </x:c>
      <x:c r="C85" s="19" t="str">
        <x:v>周四</x:v>
      </x:c>
      <x:c r="D85" s="19" t="str">
        <x:v>S01</x:v>
      </x:c>
      <x:c r="E85" s="19" t="str">
        <x:v>近江天阳店</x:v>
      </x:c>
      <x:c r="F85" s="19" t="str">
        <x:v>堂食</x:v>
      </x:c>
      <x:c r="G85" s="19" t="str">
        <x:v>全日</x:v>
      </x:c>
      <x:c r="H85" s="19" t="str">
        <x:v>D01</x:v>
      </x:c>
      <x:c r="I85" s="19" t="str">
        <x:v>辣椒炒肉</x:v>
      </x:c>
      <x:c r="J85" s="22" t="n">
        <x:f>XLOOKUP(H85,'菜品主数据'!$A$5:$A$24,'菜品主数据'!$D$5:$D$24,0)</x:f>
        <x:v>29</x:v>
      </x:c>
      <x:c r="K85" s="31" t="n">
        <x:v>52</x:v>
      </x:c>
      <x:c r="L85" s="35" t="n">
        <x:f>J85*K85</x:f>
        <x:v>1508</x:v>
      </x:c>
      <x:c r="M85" s="36" t="n">
        <x:v>0</x:v>
      </x:c>
      <x:c r="N85" s="35" t="n">
        <x:f>L85*M85</x:f>
        <x:v>0</x:v>
      </x:c>
      <x:c r="O85" s="37" t="n">
        <x:v>0</x:v>
      </x:c>
      <x:c r="P85" s="35" t="n">
        <x:f>L85*O85</x:f>
        <x:v>0</x:v>
      </x:c>
      <x:c r="Q85" s="35" t="n">
        <x:v>0</x:v>
      </x:c>
      <x:c r="R85" s="35" t="n">
        <x:f>K85*Q85</x:f>
        <x:v>0</x:v>
      </x:c>
      <x:c r="S85" s="35" t="n">
        <x:f>XLOOKUP(H85,'菜品主数据'!$A$5:$A$24,'菜品主数据'!$G$5:$G$24,0)</x:f>
        <x:v>8.634400000000001</x:v>
      </x:c>
      <x:c r="T85" s="35" t="n">
        <x:f>K85*S85</x:f>
        <x:v>448.9888000000001</x:v>
      </x:c>
      <x:c r="U85" s="35" t="n">
        <x:f>L85-N85-P85-R85-T85</x:f>
        <x:v>1059.0112</x:v>
      </x:c>
      <x:c r="V85" s="21" t="n">
        <x:f>IFERROR(U85/L85,0)</x:f>
        <x:v>0.7022620689655172</x:v>
      </x:c>
    </x:row>
    <x:row r="86">
      <x:c r="A86" s="19" t="str">
        <x:v>SALE-00082</x:v>
      </x:c>
      <x:c r="B86" s="34" t="n">
        <x:v>46212.5</x:v>
      </x:c>
      <x:c r="C86" s="19" t="str">
        <x:v>周四</x:v>
      </x:c>
      <x:c r="D86" s="19" t="str">
        <x:v>S01</x:v>
      </x:c>
      <x:c r="E86" s="19" t="str">
        <x:v>近江天阳店</x:v>
      </x:c>
      <x:c r="F86" s="19" t="str">
        <x:v>堂食</x:v>
      </x:c>
      <x:c r="G86" s="19" t="str">
        <x:v>全日</x:v>
      </x:c>
      <x:c r="H86" s="19" t="str">
        <x:v>D02</x:v>
      </x:c>
      <x:c r="I86" s="19" t="str">
        <x:v>小炒黄牛肉</x:v>
      </x:c>
      <x:c r="J86" s="22" t="n">
        <x:f>XLOOKUP(H86,'菜品主数据'!$A$5:$A$24,'菜品主数据'!$D$5:$D$24,0)</x:f>
        <x:v>49</x:v>
      </x:c>
      <x:c r="K86" s="31" t="n">
        <x:v>27</x:v>
      </x:c>
      <x:c r="L86" s="35" t="n">
        <x:f>J86*K86</x:f>
        <x:v>1323</x:v>
      </x:c>
      <x:c r="M86" s="36" t="n">
        <x:v>0</x:v>
      </x:c>
      <x:c r="N86" s="35" t="n">
        <x:f>L86*M86</x:f>
        <x:v>0</x:v>
      </x:c>
      <x:c r="O86" s="37" t="n">
        <x:v>0</x:v>
      </x:c>
      <x:c r="P86" s="35" t="n">
        <x:f>L86*O86</x:f>
        <x:v>0</x:v>
      </x:c>
      <x:c r="Q86" s="35" t="n">
        <x:v>0</x:v>
      </x:c>
      <x:c r="R86" s="35" t="n">
        <x:f>K86*Q86</x:f>
        <x:v>0</x:v>
      </x:c>
      <x:c r="S86" s="35" t="n">
        <x:f>XLOOKUP(H86,'菜品主数据'!$A$5:$A$24,'菜品主数据'!$G$5:$G$24,0)</x:f>
        <x:v>17.577</x:v>
      </x:c>
      <x:c r="T86" s="35" t="n">
        <x:f>K86*S86</x:f>
        <x:v>474.57900000000006</x:v>
      </x:c>
      <x:c r="U86" s="35" t="n">
        <x:f>L86-N86-P86-R86-T86</x:f>
        <x:v>848.4209999999999</x:v>
      </x:c>
      <x:c r="V86" s="21" t="n">
        <x:f>IFERROR(U86/L86,0)</x:f>
        <x:v>0.6412857142857142</x:v>
      </x:c>
    </x:row>
    <x:row r="87">
      <x:c r="A87" s="19" t="str">
        <x:v>SALE-00083</x:v>
      </x:c>
      <x:c r="B87" s="34" t="n">
        <x:v>46212.5</x:v>
      </x:c>
      <x:c r="C87" s="19" t="str">
        <x:v>周四</x:v>
      </x:c>
      <x:c r="D87" s="19" t="str">
        <x:v>S01</x:v>
      </x:c>
      <x:c r="E87" s="19" t="str">
        <x:v>近江天阳店</x:v>
      </x:c>
      <x:c r="F87" s="19" t="str">
        <x:v>堂食</x:v>
      </x:c>
      <x:c r="G87" s="19" t="str">
        <x:v>全日</x:v>
      </x:c>
      <x:c r="H87" s="19" t="str">
        <x:v>D03</x:v>
      </x:c>
      <x:c r="I87" s="19" t="str">
        <x:v>香醋炒蛋</x:v>
      </x:c>
      <x:c r="J87" s="22" t="n">
        <x:f>XLOOKUP(H87,'菜品主数据'!$A$5:$A$24,'菜品主数据'!$D$5:$D$24,0)</x:f>
        <x:v>14.9</x:v>
      </x:c>
      <x:c r="K87" s="31" t="n">
        <x:v>40</x:v>
      </x:c>
      <x:c r="L87" s="35" t="n">
        <x:f>J87*K87</x:f>
        <x:v>596</x:v>
      </x:c>
      <x:c r="M87" s="36" t="n">
        <x:v>0</x:v>
      </x:c>
      <x:c r="N87" s="35" t="n">
        <x:f>L87*M87</x:f>
        <x:v>0</x:v>
      </x:c>
      <x:c r="O87" s="37" t="n">
        <x:v>0</x:v>
      </x:c>
      <x:c r="P87" s="35" t="n">
        <x:f>L87*O87</x:f>
        <x:v>0</x:v>
      </x:c>
      <x:c r="Q87" s="35" t="n">
        <x:v>0</x:v>
      </x:c>
      <x:c r="R87" s="35" t="n">
        <x:f>K87*Q87</x:f>
        <x:v>0</x:v>
      </x:c>
      <x:c r="S87" s="35" t="n">
        <x:f>XLOOKUP(H87,'菜品主数据'!$A$5:$A$24,'菜品主数据'!$G$5:$G$24,0)</x:f>
        <x:v>3.7459999999999996</x:v>
      </x:c>
      <x:c r="T87" s="35" t="n">
        <x:f>K87*S87</x:f>
        <x:v>149.83999999999997</x:v>
      </x:c>
      <x:c r="U87" s="35" t="n">
        <x:f>L87-N87-P87-R87-T87</x:f>
        <x:v>446.16</x:v>
      </x:c>
      <x:c r="V87" s="21" t="n">
        <x:f>IFERROR(U87/L87,0)</x:f>
        <x:v>0.7485906040268456</x:v>
      </x:c>
    </x:row>
    <x:row r="88">
      <x:c r="A88" s="19" t="str">
        <x:v>SALE-00084</x:v>
      </x:c>
      <x:c r="B88" s="34" t="n">
        <x:v>46212.5</x:v>
      </x:c>
      <x:c r="C88" s="19" t="str">
        <x:v>周四</x:v>
      </x:c>
      <x:c r="D88" s="19" t="str">
        <x:v>S01</x:v>
      </x:c>
      <x:c r="E88" s="19" t="str">
        <x:v>近江天阳店</x:v>
      </x:c>
      <x:c r="F88" s="19" t="str">
        <x:v>堂食</x:v>
      </x:c>
      <x:c r="G88" s="19" t="str">
        <x:v>全日</x:v>
      </x:c>
      <x:c r="H88" s="19" t="str">
        <x:v>D04</x:v>
      </x:c>
      <x:c r="I88" s="19" t="str">
        <x:v>酸包菜炒粉皮</x:v>
      </x:c>
      <x:c r="J88" s="22" t="n">
        <x:f>XLOOKUP(H88,'菜品主数据'!$A$5:$A$24,'菜品主数据'!$D$5:$D$24,0)</x:f>
        <x:v>16</x:v>
      </x:c>
      <x:c r="K88" s="31" t="n">
        <x:v>39</x:v>
      </x:c>
      <x:c r="L88" s="35" t="n">
        <x:f>J88*K88</x:f>
        <x:v>624</x:v>
      </x:c>
      <x:c r="M88" s="36" t="n">
        <x:v>0</x:v>
      </x:c>
      <x:c r="N88" s="35" t="n">
        <x:f>L88*M88</x:f>
        <x:v>0</x:v>
      </x:c>
      <x:c r="O88" s="37" t="n">
        <x:v>0</x:v>
      </x:c>
      <x:c r="P88" s="35" t="n">
        <x:f>L88*O88</x:f>
        <x:v>0</x:v>
      </x:c>
      <x:c r="Q88" s="35" t="n">
        <x:v>0</x:v>
      </x:c>
      <x:c r="R88" s="35" t="n">
        <x:f>K88*Q88</x:f>
        <x:v>0</x:v>
      </x:c>
      <x:c r="S88" s="35" t="n">
        <x:f>XLOOKUP(H88,'菜品主数据'!$A$5:$A$24,'菜品主数据'!$G$5:$G$24,0)</x:f>
        <x:v>3.978</x:v>
      </x:c>
      <x:c r="T88" s="35" t="n">
        <x:f>K88*S88</x:f>
        <x:v>155.142</x:v>
      </x:c>
      <x:c r="U88" s="35" t="n">
        <x:f>L88-N88-P88-R88-T88</x:f>
        <x:v>468.858</x:v>
      </x:c>
      <x:c r="V88" s="21" t="n">
        <x:f>IFERROR(U88/L88,0)</x:f>
        <x:v>0.751375</x:v>
      </x:c>
    </x:row>
    <x:row r="89">
      <x:c r="A89" s="19" t="str">
        <x:v>SALE-00085</x:v>
      </x:c>
      <x:c r="B89" s="34" t="n">
        <x:v>46212.5</x:v>
      </x:c>
      <x:c r="C89" s="19" t="str">
        <x:v>周四</x:v>
      </x:c>
      <x:c r="D89" s="19" t="str">
        <x:v>S01</x:v>
      </x:c>
      <x:c r="E89" s="19" t="str">
        <x:v>近江天阳店</x:v>
      </x:c>
      <x:c r="F89" s="19" t="str">
        <x:v>堂食</x:v>
      </x:c>
      <x:c r="G89" s="19" t="str">
        <x:v>全日</x:v>
      </x:c>
      <x:c r="H89" s="19" t="str">
        <x:v>D05</x:v>
      </x:c>
      <x:c r="I89" s="19" t="str">
        <x:v>麻婆豆腐</x:v>
      </x:c>
      <x:c r="J89" s="22" t="n">
        <x:f>XLOOKUP(H89,'菜品主数据'!$A$5:$A$24,'菜品主数据'!$D$5:$D$24,0)</x:f>
        <x:v>9.9</x:v>
      </x:c>
      <x:c r="K89" s="31" t="n">
        <x:v>55</x:v>
      </x:c>
      <x:c r="L89" s="35" t="n">
        <x:f>J89*K89</x:f>
        <x:v>544.5</x:v>
      </x:c>
      <x:c r="M89" s="36" t="n">
        <x:v>0</x:v>
      </x:c>
      <x:c r="N89" s="35" t="n">
        <x:f>L89*M89</x:f>
        <x:v>0</x:v>
      </x:c>
      <x:c r="O89" s="37" t="n">
        <x:v>0</x:v>
      </x:c>
      <x:c r="P89" s="35" t="n">
        <x:f>L89*O89</x:f>
        <x:v>0</x:v>
      </x:c>
      <x:c r="Q89" s="35" t="n">
        <x:v>0</x:v>
      </x:c>
      <x:c r="R89" s="35" t="n">
        <x:f>K89*Q89</x:f>
        <x:v>0</x:v>
      </x:c>
      <x:c r="S89" s="35" t="n">
        <x:f>XLOOKUP(H89,'菜品主数据'!$A$5:$A$24,'菜品主数据'!$G$5:$G$24,0)</x:f>
        <x:v>5.367000000000001</x:v>
      </x:c>
      <x:c r="T89" s="35" t="n">
        <x:f>K89*S89</x:f>
        <x:v>295.18500000000006</x:v>
      </x:c>
      <x:c r="U89" s="35" t="n">
        <x:f>L89-N89-P89-R89-T89</x:f>
        <x:v>249.31499999999994</x:v>
      </x:c>
      <x:c r="V89" s="21" t="n">
        <x:f>IFERROR(U89/L89,0)</x:f>
        <x:v>0.4578787878787878</x:v>
      </x:c>
    </x:row>
    <x:row r="90">
      <x:c r="A90" s="19" t="str">
        <x:v>SALE-00086</x:v>
      </x:c>
      <x:c r="B90" s="34" t="n">
        <x:v>46212.5</x:v>
      </x:c>
      <x:c r="C90" s="19" t="str">
        <x:v>周四</x:v>
      </x:c>
      <x:c r="D90" s="19" t="str">
        <x:v>S01</x:v>
      </x:c>
      <x:c r="E90" s="19" t="str">
        <x:v>近江天阳店</x:v>
      </x:c>
      <x:c r="F90" s="19" t="str">
        <x:v>堂食</x:v>
      </x:c>
      <x:c r="G90" s="19" t="str">
        <x:v>全日</x:v>
      </x:c>
      <x:c r="H90" s="19" t="str">
        <x:v>D06</x:v>
      </x:c>
      <x:c r="I90" s="19" t="str">
        <x:v>剁椒鱼头</x:v>
      </x:c>
      <x:c r="J90" s="22" t="n">
        <x:f>XLOOKUP(H90,'菜品主数据'!$A$5:$A$24,'菜品主数据'!$D$5:$D$24,0)</x:f>
        <x:v>39</x:v>
      </x:c>
      <x:c r="K90" s="31" t="n">
        <x:v>13</x:v>
      </x:c>
      <x:c r="L90" s="35" t="n">
        <x:f>J90*K90</x:f>
        <x:v>507</x:v>
      </x:c>
      <x:c r="M90" s="36" t="n">
        <x:v>0</x:v>
      </x:c>
      <x:c r="N90" s="35" t="n">
        <x:f>L90*M90</x:f>
        <x:v>0</x:v>
      </x:c>
      <x:c r="O90" s="37" t="n">
        <x:v>0</x:v>
      </x:c>
      <x:c r="P90" s="35" t="n">
        <x:f>L90*O90</x:f>
        <x:v>0</x:v>
      </x:c>
      <x:c r="Q90" s="35" t="n">
        <x:v>0</x:v>
      </x:c>
      <x:c r="R90" s="35" t="n">
        <x:f>K90*Q90</x:f>
        <x:v>0</x:v>
      </x:c>
      <x:c r="S90" s="35" t="n">
        <x:f>XLOOKUP(H90,'菜品主数据'!$A$5:$A$24,'菜品主数据'!$G$5:$G$24,0)</x:f>
        <x:v>17.446</x:v>
      </x:c>
      <x:c r="T90" s="35" t="n">
        <x:f>K90*S90</x:f>
        <x:v>226.79800000000003</x:v>
      </x:c>
      <x:c r="U90" s="35" t="n">
        <x:f>L90-N90-P90-R90-T90</x:f>
        <x:v>280.202</x:v>
      </x:c>
      <x:c r="V90" s="21" t="n">
        <x:f>IFERROR(U90/L90,0)</x:f>
        <x:v>0.5526666666666666</x:v>
      </x:c>
    </x:row>
    <x:row r="91">
      <x:c r="A91" s="19" t="str">
        <x:v>SALE-00087</x:v>
      </x:c>
      <x:c r="B91" s="34" t="n">
        <x:v>46212.5</x:v>
      </x:c>
      <x:c r="C91" s="19" t="str">
        <x:v>周四</x:v>
      </x:c>
      <x:c r="D91" s="19" t="str">
        <x:v>S01</x:v>
      </x:c>
      <x:c r="E91" s="19" t="str">
        <x:v>近江天阳店</x:v>
      </x:c>
      <x:c r="F91" s="19" t="str">
        <x:v>堂食</x:v>
      </x:c>
      <x:c r="G91" s="19" t="str">
        <x:v>全日</x:v>
      </x:c>
      <x:c r="H91" s="19" t="str">
        <x:v>D07</x:v>
      </x:c>
      <x:c r="I91" s="19" t="str">
        <x:v>川味回锅肉</x:v>
      </x:c>
      <x:c r="J91" s="22" t="n">
        <x:f>XLOOKUP(H91,'菜品主数据'!$A$5:$A$24,'菜品主数据'!$D$5:$D$24,0)</x:f>
        <x:v>29</x:v>
      </x:c>
      <x:c r="K91" s="31" t="n">
        <x:v>16</x:v>
      </x:c>
      <x:c r="L91" s="35" t="n">
        <x:f>J91*K91</x:f>
        <x:v>464</x:v>
      </x:c>
      <x:c r="M91" s="36" t="n">
        <x:v>0</x:v>
      </x:c>
      <x:c r="N91" s="35" t="n">
        <x:f>L91*M91</x:f>
        <x:v>0</x:v>
      </x:c>
      <x:c r="O91" s="37" t="n">
        <x:v>0</x:v>
      </x:c>
      <x:c r="P91" s="35" t="n">
        <x:f>L91*O91</x:f>
        <x:v>0</x:v>
      </x:c>
      <x:c r="Q91" s="35" t="n">
        <x:v>0</x:v>
      </x:c>
      <x:c r="R91" s="35" t="n">
        <x:f>K91*Q91</x:f>
        <x:v>0</x:v>
      </x:c>
      <x:c r="S91" s="35" t="n">
        <x:f>XLOOKUP(H91,'菜品主数据'!$A$5:$A$24,'菜品主数据'!$G$5:$G$24,0)</x:f>
        <x:v>10.231000000000002</x:v>
      </x:c>
      <x:c r="T91" s="35" t="n">
        <x:f>K91*S91</x:f>
        <x:v>163.69600000000003</x:v>
      </x:c>
      <x:c r="U91" s="35" t="n">
        <x:f>L91-N91-P91-R91-T91</x:f>
        <x:v>300.304</x:v>
      </x:c>
      <x:c r="V91" s="21" t="n">
        <x:f>IFERROR(U91/L91,0)</x:f>
        <x:v>0.647206896551724</x:v>
      </x:c>
    </x:row>
    <x:row r="92">
      <x:c r="A92" s="19" t="str">
        <x:v>SALE-00088</x:v>
      </x:c>
      <x:c r="B92" s="34" t="n">
        <x:v>46212.5</x:v>
      </x:c>
      <x:c r="C92" s="19" t="str">
        <x:v>周四</x:v>
      </x:c>
      <x:c r="D92" s="19" t="str">
        <x:v>S01</x:v>
      </x:c>
      <x:c r="E92" s="19" t="str">
        <x:v>近江天阳店</x:v>
      </x:c>
      <x:c r="F92" s="19" t="str">
        <x:v>堂食</x:v>
      </x:c>
      <x:c r="G92" s="19" t="str">
        <x:v>全日</x:v>
      </x:c>
      <x:c r="H92" s="19" t="str">
        <x:v>D08</x:v>
      </x:c>
      <x:c r="I92" s="19" t="str">
        <x:v>生炒清远鸡</x:v>
      </x:c>
      <x:c r="J92" s="22" t="n">
        <x:f>XLOOKUP(H92,'菜品主数据'!$A$5:$A$24,'菜品主数据'!$D$5:$D$24,0)</x:f>
        <x:v>36</x:v>
      </x:c>
      <x:c r="K92" s="31" t="n">
        <x:v>11</x:v>
      </x:c>
      <x:c r="L92" s="35" t="n">
        <x:f>J92*K92</x:f>
        <x:v>396</x:v>
      </x:c>
      <x:c r="M92" s="36" t="n">
        <x:v>0</x:v>
      </x:c>
      <x:c r="N92" s="35" t="n">
        <x:f>L92*M92</x:f>
        <x:v>0</x:v>
      </x:c>
      <x:c r="O92" s="37" t="n">
        <x:v>0</x:v>
      </x:c>
      <x:c r="P92" s="35" t="n">
        <x:f>L92*O92</x:f>
        <x:v>0</x:v>
      </x:c>
      <x:c r="Q92" s="35" t="n">
        <x:v>0</x:v>
      </x:c>
      <x:c r="R92" s="35" t="n">
        <x:f>K92*Q92</x:f>
        <x:v>0</x:v>
      </x:c>
      <x:c r="S92" s="35" t="n">
        <x:f>XLOOKUP(H92,'菜品主数据'!$A$5:$A$24,'菜品主数据'!$G$5:$G$24,0)</x:f>
        <x:v>13.48</x:v>
      </x:c>
      <x:c r="T92" s="35" t="n">
        <x:f>K92*S92</x:f>
        <x:v>148.28</x:v>
      </x:c>
      <x:c r="U92" s="35" t="n">
        <x:f>L92-N92-P92-R92-T92</x:f>
        <x:v>247.72</x:v>
      </x:c>
      <x:c r="V92" s="21" t="n">
        <x:f>IFERROR(U92/L92,0)</x:f>
        <x:v>0.6255555555555555</x:v>
      </x:c>
    </x:row>
    <x:row r="93">
      <x:c r="A93" s="19" t="str">
        <x:v>SALE-00089</x:v>
      </x:c>
      <x:c r="B93" s="34" t="n">
        <x:v>46212.5</x:v>
      </x:c>
      <x:c r="C93" s="19" t="str">
        <x:v>周四</x:v>
      </x:c>
      <x:c r="D93" s="19" t="str">
        <x:v>S01</x:v>
      </x:c>
      <x:c r="E93" s="19" t="str">
        <x:v>近江天阳店</x:v>
      </x:c>
      <x:c r="F93" s="19" t="str">
        <x:v>堂食</x:v>
      </x:c>
      <x:c r="G93" s="19" t="str">
        <x:v>全日</x:v>
      </x:c>
      <x:c r="H93" s="19" t="str">
        <x:v>D09</x:v>
      </x:c>
      <x:c r="I93" s="19" t="str">
        <x:v>炒豆干</x:v>
      </x:c>
      <x:c r="J93" s="22" t="n">
        <x:f>XLOOKUP(H93,'菜品主数据'!$A$5:$A$24,'菜品主数据'!$D$5:$D$24,0)</x:f>
        <x:v>18</x:v>
      </x:c>
      <x:c r="K93" s="31" t="n">
        <x:v>16</x:v>
      </x:c>
      <x:c r="L93" s="35" t="n">
        <x:f>J93*K93</x:f>
        <x:v>288</x:v>
      </x:c>
      <x:c r="M93" s="36" t="n">
        <x:v>0</x:v>
      </x:c>
      <x:c r="N93" s="35" t="n">
        <x:f>L93*M93</x:f>
        <x:v>0</x:v>
      </x:c>
      <x:c r="O93" s="37" t="n">
        <x:v>0</x:v>
      </x:c>
      <x:c r="P93" s="35" t="n">
        <x:f>L93*O93</x:f>
        <x:v>0</x:v>
      </x:c>
      <x:c r="Q93" s="35" t="n">
        <x:v>0</x:v>
      </x:c>
      <x:c r="R93" s="35" t="n">
        <x:f>K93*Q93</x:f>
        <x:v>0</x:v>
      </x:c>
      <x:c r="S93" s="35" t="n">
        <x:f>XLOOKUP(H93,'菜品主数据'!$A$5:$A$24,'菜品主数据'!$G$5:$G$24,0)</x:f>
        <x:v>6.613999999999999</x:v>
      </x:c>
      <x:c r="T93" s="35" t="n">
        <x:f>K93*S93</x:f>
        <x:v>105.82399999999998</x:v>
      </x:c>
      <x:c r="U93" s="35" t="n">
        <x:f>L93-N93-P93-R93-T93</x:f>
        <x:v>182.17600000000002</x:v>
      </x:c>
      <x:c r="V93" s="21" t="n">
        <x:f>IFERROR(U93/L93,0)</x:f>
        <x:v>0.6325555555555556</x:v>
      </x:c>
    </x:row>
    <x:row r="94">
      <x:c r="A94" s="19" t="str">
        <x:v>SALE-00090</x:v>
      </x:c>
      <x:c r="B94" s="34" t="n">
        <x:v>46212.5</x:v>
      </x:c>
      <x:c r="C94" s="19" t="str">
        <x:v>周四</x:v>
      </x:c>
      <x:c r="D94" s="19" t="str">
        <x:v>S01</x:v>
      </x:c>
      <x:c r="E94" s="19" t="str">
        <x:v>近江天阳店</x:v>
      </x:c>
      <x:c r="F94" s="19" t="str">
        <x:v>堂食</x:v>
      </x:c>
      <x:c r="G94" s="19" t="str">
        <x:v>全日</x:v>
      </x:c>
      <x:c r="H94" s="19" t="str">
        <x:v>D10</x:v>
      </x:c>
      <x:c r="I94" s="19" t="str">
        <x:v>农家一碗香</x:v>
      </x:c>
      <x:c r="J94" s="22" t="n">
        <x:f>XLOOKUP(H94,'菜品主数据'!$A$5:$A$24,'菜品主数据'!$D$5:$D$24,0)</x:f>
        <x:v>22.9</x:v>
      </x:c>
      <x:c r="K94" s="31" t="n">
        <x:v>18</x:v>
      </x:c>
      <x:c r="L94" s="35" t="n">
        <x:f>J94*K94</x:f>
        <x:v>412.2</x:v>
      </x:c>
      <x:c r="M94" s="36" t="n">
        <x:v>0</x:v>
      </x:c>
      <x:c r="N94" s="35" t="n">
        <x:f>L94*M94</x:f>
        <x:v>0</x:v>
      </x:c>
      <x:c r="O94" s="37" t="n">
        <x:v>0</x:v>
      </x:c>
      <x:c r="P94" s="35" t="n">
        <x:f>L94*O94</x:f>
        <x:v>0</x:v>
      </x:c>
      <x:c r="Q94" s="35" t="n">
        <x:v>0</x:v>
      </x:c>
      <x:c r="R94" s="35" t="n">
        <x:f>K94*Q94</x:f>
        <x:v>0</x:v>
      </x:c>
      <x:c r="S94" s="35" t="n">
        <x:f>XLOOKUP(H94,'菜品主数据'!$A$5:$A$24,'菜品主数据'!$G$5:$G$24,0)</x:f>
        <x:v>9.770200000000003</x:v>
      </x:c>
      <x:c r="T94" s="35" t="n">
        <x:f>K94*S94</x:f>
        <x:v>175.86360000000005</x:v>
      </x:c>
      <x:c r="U94" s="35" t="n">
        <x:f>L94-N94-P94-R94-T94</x:f>
        <x:v>236.33639999999994</x:v>
      </x:c>
      <x:c r="V94" s="21" t="n">
        <x:f>IFERROR(U94/L94,0)</x:f>
        <x:v>0.5733537117903929</x:v>
      </x:c>
    </x:row>
    <x:row r="95">
      <x:c r="A95" s="19" t="str">
        <x:v>SALE-00091</x:v>
      </x:c>
      <x:c r="B95" s="34" t="n">
        <x:v>46212.5</x:v>
      </x:c>
      <x:c r="C95" s="19" t="str">
        <x:v>周四</x:v>
      </x:c>
      <x:c r="D95" s="19" t="str">
        <x:v>S01</x:v>
      </x:c>
      <x:c r="E95" s="19" t="str">
        <x:v>近江天阳店</x:v>
      </x:c>
      <x:c r="F95" s="19" t="str">
        <x:v>堂食</x:v>
      </x:c>
      <x:c r="G95" s="19" t="str">
        <x:v>全日</x:v>
      </x:c>
      <x:c r="H95" s="19" t="str">
        <x:v>D11</x:v>
      </x:c>
      <x:c r="I95" s="19" t="str">
        <x:v>香辣爆肥肠</x:v>
      </x:c>
      <x:c r="J95" s="22" t="n">
        <x:f>XLOOKUP(H95,'菜品主数据'!$A$5:$A$24,'菜品主数据'!$D$5:$D$24,0)</x:f>
        <x:v>39</x:v>
      </x:c>
      <x:c r="K95" s="31" t="n">
        <x:v>7</x:v>
      </x:c>
      <x:c r="L95" s="35" t="n">
        <x:f>J95*K95</x:f>
        <x:v>273</x:v>
      </x:c>
      <x:c r="M95" s="36" t="n">
        <x:v>0</x:v>
      </x:c>
      <x:c r="N95" s="35" t="n">
        <x:f>L95*M95</x:f>
        <x:v>0</x:v>
      </x:c>
      <x:c r="O95" s="37" t="n">
        <x:v>0</x:v>
      </x:c>
      <x:c r="P95" s="35" t="n">
        <x:f>L95*O95</x:f>
        <x:v>0</x:v>
      </x:c>
      <x:c r="Q95" s="35" t="n">
        <x:v>0</x:v>
      </x:c>
      <x:c r="R95" s="35" t="n">
        <x:f>K95*Q95</x:f>
        <x:v>0</x:v>
      </x:c>
      <x:c r="S95" s="35" t="n">
        <x:f>XLOOKUP(H95,'菜品主数据'!$A$5:$A$24,'菜品主数据'!$G$5:$G$24,0)</x:f>
        <x:v>10.397</x:v>
      </x:c>
      <x:c r="T95" s="35" t="n">
        <x:f>K95*S95</x:f>
        <x:v>72.779</x:v>
      </x:c>
      <x:c r="U95" s="35" t="n">
        <x:f>L95-N95-P95-R95-T95</x:f>
        <x:v>200.221</x:v>
      </x:c>
      <x:c r="V95" s="21" t="n">
        <x:f>IFERROR(U95/L95,0)</x:f>
        <x:v>0.7334102564102565</x:v>
      </x:c>
    </x:row>
    <x:row r="96">
      <x:c r="A96" s="19" t="str">
        <x:v>SALE-00092</x:v>
      </x:c>
      <x:c r="B96" s="34" t="n">
        <x:v>46212.5</x:v>
      </x:c>
      <x:c r="C96" s="19" t="str">
        <x:v>周四</x:v>
      </x:c>
      <x:c r="D96" s="19" t="str">
        <x:v>S01</x:v>
      </x:c>
      <x:c r="E96" s="19" t="str">
        <x:v>近江天阳店</x:v>
      </x:c>
      <x:c r="F96" s="19" t="str">
        <x:v>堂食</x:v>
      </x:c>
      <x:c r="G96" s="19" t="str">
        <x:v>全日</x:v>
      </x:c>
      <x:c r="H96" s="19" t="str">
        <x:v>D12</x:v>
      </x:c>
      <x:c r="I96" s="19" t="str">
        <x:v>清蒸鲈鱼</x:v>
      </x:c>
      <x:c r="J96" s="22" t="n">
        <x:f>XLOOKUP(H96,'菜品主数据'!$A$5:$A$24,'菜品主数据'!$D$5:$D$24,0)</x:f>
        <x:v>39</x:v>
      </x:c>
      <x:c r="K96" s="31" t="n">
        <x:v>7</x:v>
      </x:c>
      <x:c r="L96" s="35" t="n">
        <x:f>J96*K96</x:f>
        <x:v>273</x:v>
      </x:c>
      <x:c r="M96" s="36" t="n">
        <x:v>0</x:v>
      </x:c>
      <x:c r="N96" s="35" t="n">
        <x:f>L96*M96</x:f>
        <x:v>0</x:v>
      </x:c>
      <x:c r="O96" s="37" t="n">
        <x:v>0</x:v>
      </x:c>
      <x:c r="P96" s="35" t="n">
        <x:f>L96*O96</x:f>
        <x:v>0</x:v>
      </x:c>
      <x:c r="Q96" s="35" t="n">
        <x:v>0</x:v>
      </x:c>
      <x:c r="R96" s="35" t="n">
        <x:f>K96*Q96</x:f>
        <x:v>0</x:v>
      </x:c>
      <x:c r="S96" s="35" t="n">
        <x:f>XLOOKUP(H96,'菜品主数据'!$A$5:$A$24,'菜品主数据'!$G$5:$G$24,0)</x:f>
        <x:v>18.874</x:v>
      </x:c>
      <x:c r="T96" s="35" t="n">
        <x:f>K96*S96</x:f>
        <x:v>132.118</x:v>
      </x:c>
      <x:c r="U96" s="35" t="n">
        <x:f>L96-N96-P96-R96-T96</x:f>
        <x:v>140.882</x:v>
      </x:c>
      <x:c r="V96" s="21" t="n">
        <x:f>IFERROR(U96/L96,0)</x:f>
        <x:v>0.516051282051282</x:v>
      </x:c>
    </x:row>
    <x:row r="97">
      <x:c r="A97" s="19" t="str">
        <x:v>SALE-00093</x:v>
      </x:c>
      <x:c r="B97" s="34" t="n">
        <x:v>46212.5</x:v>
      </x:c>
      <x:c r="C97" s="19" t="str">
        <x:v>周四</x:v>
      </x:c>
      <x:c r="D97" s="19" t="str">
        <x:v>S01</x:v>
      </x:c>
      <x:c r="E97" s="19" t="str">
        <x:v>近江天阳店</x:v>
      </x:c>
      <x:c r="F97" s="19" t="str">
        <x:v>堂食</x:v>
      </x:c>
      <x:c r="G97" s="19" t="str">
        <x:v>全日</x:v>
      </x:c>
      <x:c r="H97" s="19" t="str">
        <x:v>D13</x:v>
      </x:c>
      <x:c r="I97" s="19" t="str">
        <x:v>外婆菜炒蛋</x:v>
      </x:c>
      <x:c r="J97" s="22" t="n">
        <x:f>XLOOKUP(H97,'菜品主数据'!$A$5:$A$24,'菜品主数据'!$D$5:$D$24,0)</x:f>
        <x:v>18</x:v>
      </x:c>
      <x:c r="K97" s="31" t="n">
        <x:v>17</x:v>
      </x:c>
      <x:c r="L97" s="35" t="n">
        <x:f>J97*K97</x:f>
        <x:v>306</x:v>
      </x:c>
      <x:c r="M97" s="36" t="n">
        <x:v>0</x:v>
      </x:c>
      <x:c r="N97" s="35" t="n">
        <x:f>L97*M97</x:f>
        <x:v>0</x:v>
      </x:c>
      <x:c r="O97" s="37" t="n">
        <x:v>0</x:v>
      </x:c>
      <x:c r="P97" s="35" t="n">
        <x:f>L97*O97</x:f>
        <x:v>0</x:v>
      </x:c>
      <x:c r="Q97" s="35" t="n">
        <x:v>0</x:v>
      </x:c>
      <x:c r="R97" s="35" t="n">
        <x:f>K97*Q97</x:f>
        <x:v>0</x:v>
      </x:c>
      <x:c r="S97" s="35" t="n">
        <x:f>XLOOKUP(H97,'菜品主数据'!$A$5:$A$24,'菜品主数据'!$G$5:$G$24,0)</x:f>
        <x:v>5.403999999999999</x:v>
      </x:c>
      <x:c r="T97" s="35" t="n">
        <x:f>K97*S97</x:f>
        <x:v>91.86799999999998</x:v>
      </x:c>
      <x:c r="U97" s="35" t="n">
        <x:f>L97-N97-P97-R97-T97</x:f>
        <x:v>214.132</x:v>
      </x:c>
      <x:c r="V97" s="21" t="n">
        <x:f>IFERROR(U97/L97,0)</x:f>
        <x:v>0.6997777777777778</x:v>
      </x:c>
    </x:row>
    <x:row r="98">
      <x:c r="A98" s="19" t="str">
        <x:v>SALE-00094</x:v>
      </x:c>
      <x:c r="B98" s="34" t="n">
        <x:v>46212.5</x:v>
      </x:c>
      <x:c r="C98" s="19" t="str">
        <x:v>周四</x:v>
      </x:c>
      <x:c r="D98" s="19" t="str">
        <x:v>S01</x:v>
      </x:c>
      <x:c r="E98" s="19" t="str">
        <x:v>近江天阳店</x:v>
      </x:c>
      <x:c r="F98" s="19" t="str">
        <x:v>堂食</x:v>
      </x:c>
      <x:c r="G98" s="19" t="str">
        <x:v>全日</x:v>
      </x:c>
      <x:c r="H98" s="19" t="str">
        <x:v>D14</x:v>
      </x:c>
      <x:c r="I98" s="19" t="str">
        <x:v>酸辣鸡杂</x:v>
      </x:c>
      <x:c r="J98" s="22" t="n">
        <x:f>XLOOKUP(H98,'菜品主数据'!$A$5:$A$24,'菜品主数据'!$D$5:$D$24,0)</x:f>
        <x:v>28</x:v>
      </x:c>
      <x:c r="K98" s="31" t="n">
        <x:v>9</x:v>
      </x:c>
      <x:c r="L98" s="35" t="n">
        <x:f>J98*K98</x:f>
        <x:v>252</x:v>
      </x:c>
      <x:c r="M98" s="36" t="n">
        <x:v>0</x:v>
      </x:c>
      <x:c r="N98" s="35" t="n">
        <x:f>L98*M98</x:f>
        <x:v>0</x:v>
      </x:c>
      <x:c r="O98" s="37" t="n">
        <x:v>0</x:v>
      </x:c>
      <x:c r="P98" s="35" t="n">
        <x:f>L98*O98</x:f>
        <x:v>0</x:v>
      </x:c>
      <x:c r="Q98" s="35" t="n">
        <x:v>0</x:v>
      </x:c>
      <x:c r="R98" s="35" t="n">
        <x:f>K98*Q98</x:f>
        <x:v>0</x:v>
      </x:c>
      <x:c r="S98" s="35" t="n">
        <x:f>XLOOKUP(H98,'菜品主数据'!$A$5:$A$24,'菜品主数据'!$G$5:$G$24,0)</x:f>
        <x:v>8.315000000000001</x:v>
      </x:c>
      <x:c r="T98" s="35" t="n">
        <x:f>K98*S98</x:f>
        <x:v>74.83500000000001</x:v>
      </x:c>
      <x:c r="U98" s="35" t="n">
        <x:f>L98-N98-P98-R98-T98</x:f>
        <x:v>177.165</x:v>
      </x:c>
      <x:c r="V98" s="21" t="n">
        <x:f>IFERROR(U98/L98,0)</x:f>
        <x:v>0.7030357142857142</x:v>
      </x:c>
    </x:row>
    <x:row r="99">
      <x:c r="A99" s="19" t="str">
        <x:v>SALE-00095</x:v>
      </x:c>
      <x:c r="B99" s="34" t="n">
        <x:v>46212.5</x:v>
      </x:c>
      <x:c r="C99" s="19" t="str">
        <x:v>周四</x:v>
      </x:c>
      <x:c r="D99" s="19" t="str">
        <x:v>S01</x:v>
      </x:c>
      <x:c r="E99" s="19" t="str">
        <x:v>近江天阳店</x:v>
      </x:c>
      <x:c r="F99" s="19" t="str">
        <x:v>堂食</x:v>
      </x:c>
      <x:c r="G99" s="19" t="str">
        <x:v>全日</x:v>
      </x:c>
      <x:c r="H99" s="19" t="str">
        <x:v>D15</x:v>
      </x:c>
      <x:c r="I99" s="19" t="str">
        <x:v>湘西土匪猪肝</x:v>
      </x:c>
      <x:c r="J99" s="22" t="n">
        <x:f>XLOOKUP(H99,'菜品主数据'!$A$5:$A$24,'菜品主数据'!$D$5:$D$24,0)</x:f>
        <x:v>26</x:v>
      </x:c>
      <x:c r="K99" s="31" t="n">
        <x:v>7</x:v>
      </x:c>
      <x:c r="L99" s="35" t="n">
        <x:f>J99*K99</x:f>
        <x:v>182</x:v>
      </x:c>
      <x:c r="M99" s="36" t="n">
        <x:v>0</x:v>
      </x:c>
      <x:c r="N99" s="35" t="n">
        <x:f>L99*M99</x:f>
        <x:v>0</x:v>
      </x:c>
      <x:c r="O99" s="37" t="n">
        <x:v>0</x:v>
      </x:c>
      <x:c r="P99" s="35" t="n">
        <x:f>L99*O99</x:f>
        <x:v>0</x:v>
      </x:c>
      <x:c r="Q99" s="35" t="n">
        <x:v>0</x:v>
      </x:c>
      <x:c r="R99" s="35" t="n">
        <x:f>K99*Q99</x:f>
        <x:v>0</x:v>
      </x:c>
      <x:c r="S99" s="35" t="n">
        <x:f>XLOOKUP(H99,'菜品主数据'!$A$5:$A$24,'菜品主数据'!$G$5:$G$24,0)</x:f>
        <x:v>6.3759999999999994</x:v>
      </x:c>
      <x:c r="T99" s="35" t="n">
        <x:f>K99*S99</x:f>
        <x:v>44.632</x:v>
      </x:c>
      <x:c r="U99" s="35" t="n">
        <x:f>L99-N99-P99-R99-T99</x:f>
        <x:v>137.368</x:v>
      </x:c>
      <x:c r="V99" s="21" t="n">
        <x:f>IFERROR(U99/L99,0)</x:f>
        <x:v>0.7547692307692307</x:v>
      </x:c>
    </x:row>
    <x:row r="100">
      <x:c r="A100" s="19" t="str">
        <x:v>SALE-00096</x:v>
      </x:c>
      <x:c r="B100" s="34" t="n">
        <x:v>46212.5</x:v>
      </x:c>
      <x:c r="C100" s="19" t="str">
        <x:v>周四</x:v>
      </x:c>
      <x:c r="D100" s="19" t="str">
        <x:v>S01</x:v>
      </x:c>
      <x:c r="E100" s="19" t="str">
        <x:v>近江天阳店</x:v>
      </x:c>
      <x:c r="F100" s="19" t="str">
        <x:v>堂食</x:v>
      </x:c>
      <x:c r="G100" s="19" t="str">
        <x:v>全日</x:v>
      </x:c>
      <x:c r="H100" s="19" t="str">
        <x:v>D16</x:v>
      </x:c>
      <x:c r="I100" s="19" t="str">
        <x:v>小豆角炒五花</x:v>
      </x:c>
      <x:c r="J100" s="22" t="n">
        <x:f>XLOOKUP(H100,'菜品主数据'!$A$5:$A$24,'菜品主数据'!$D$5:$D$24,0)</x:f>
        <x:v>25</x:v>
      </x:c>
      <x:c r="K100" s="31" t="n">
        <x:v>8</x:v>
      </x:c>
      <x:c r="L100" s="35" t="n">
        <x:f>J100*K100</x:f>
        <x:v>200</x:v>
      </x:c>
      <x:c r="M100" s="36" t="n">
        <x:v>0</x:v>
      </x:c>
      <x:c r="N100" s="35" t="n">
        <x:f>L100*M100</x:f>
        <x:v>0</x:v>
      </x:c>
      <x:c r="O100" s="37" t="n">
        <x:v>0</x:v>
      </x:c>
      <x:c r="P100" s="35" t="n">
        <x:f>L100*O100</x:f>
        <x:v>0</x:v>
      </x:c>
      <x:c r="Q100" s="35" t="n">
        <x:v>0</x:v>
      </x:c>
      <x:c r="R100" s="35" t="n">
        <x:f>K100*Q100</x:f>
        <x:v>0</x:v>
      </x:c>
      <x:c r="S100" s="35" t="n">
        <x:f>XLOOKUP(H100,'菜品主数据'!$A$5:$A$24,'菜品主数据'!$G$5:$G$24,0)</x:f>
        <x:v>8.184</x:v>
      </x:c>
      <x:c r="T100" s="35" t="n">
        <x:f>K100*S100</x:f>
        <x:v>65.472</x:v>
      </x:c>
      <x:c r="U100" s="35" t="n">
        <x:f>L100-N100-P100-R100-T100</x:f>
        <x:v>134.52800000000002</x:v>
      </x:c>
      <x:c r="V100" s="21" t="n">
        <x:f>IFERROR(U100/L100,0)</x:f>
        <x:v>0.6726400000000001</x:v>
      </x:c>
    </x:row>
    <x:row r="101">
      <x:c r="A101" s="19" t="str">
        <x:v>SALE-00097</x:v>
      </x:c>
      <x:c r="B101" s="34" t="n">
        <x:v>46212.5</x:v>
      </x:c>
      <x:c r="C101" s="19" t="str">
        <x:v>周四</x:v>
      </x:c>
      <x:c r="D101" s="19" t="str">
        <x:v>S01</x:v>
      </x:c>
      <x:c r="E101" s="19" t="str">
        <x:v>近江天阳店</x:v>
      </x:c>
      <x:c r="F101" s="19" t="str">
        <x:v>堂食</x:v>
      </x:c>
      <x:c r="G101" s="19" t="str">
        <x:v>全日</x:v>
      </x:c>
      <x:c r="H101" s="19" t="str">
        <x:v>D17</x:v>
      </x:c>
      <x:c r="I101" s="19" t="str">
        <x:v>蒜蓉粉丝虾</x:v>
      </x:c>
      <x:c r="J101" s="22" t="n">
        <x:f>XLOOKUP(H101,'菜品主数据'!$A$5:$A$24,'菜品主数据'!$D$5:$D$24,0)</x:f>
        <x:v>36</x:v>
      </x:c>
      <x:c r="K101" s="31" t="n">
        <x:v>5</x:v>
      </x:c>
      <x:c r="L101" s="35" t="n">
        <x:f>J101*K101</x:f>
        <x:v>180</x:v>
      </x:c>
      <x:c r="M101" s="36" t="n">
        <x:v>0</x:v>
      </x:c>
      <x:c r="N101" s="35" t="n">
        <x:f>L101*M101</x:f>
        <x:v>0</x:v>
      </x:c>
      <x:c r="O101" s="37" t="n">
        <x:v>0</x:v>
      </x:c>
      <x:c r="P101" s="35" t="n">
        <x:f>L101*O101</x:f>
        <x:v>0</x:v>
      </x:c>
      <x:c r="Q101" s="35" t="n">
        <x:v>0</x:v>
      </x:c>
      <x:c r="R101" s="35" t="n">
        <x:f>K101*Q101</x:f>
        <x:v>0</x:v>
      </x:c>
      <x:c r="S101" s="35" t="n">
        <x:f>XLOOKUP(H101,'菜品主数据'!$A$5:$A$24,'菜品主数据'!$G$5:$G$24,0)</x:f>
        <x:v>13.594</x:v>
      </x:c>
      <x:c r="T101" s="35" t="n">
        <x:f>K101*S101</x:f>
        <x:v>67.97</x:v>
      </x:c>
      <x:c r="U101" s="35" t="n">
        <x:f>L101-N101-P101-R101-T101</x:f>
        <x:v>112.03</x:v>
      </x:c>
      <x:c r="V101" s="21" t="n">
        <x:f>IFERROR(U101/L101,0)</x:f>
        <x:v>0.6223888888888889</x:v>
      </x:c>
    </x:row>
    <x:row r="102">
      <x:c r="A102" s="19" t="str">
        <x:v>SALE-00098</x:v>
      </x:c>
      <x:c r="B102" s="34" t="n">
        <x:v>46212.5</x:v>
      </x:c>
      <x:c r="C102" s="19" t="str">
        <x:v>周四</x:v>
      </x:c>
      <x:c r="D102" s="19" t="str">
        <x:v>S01</x:v>
      </x:c>
      <x:c r="E102" s="19" t="str">
        <x:v>近江天阳店</x:v>
      </x:c>
      <x:c r="F102" s="19" t="str">
        <x:v>堂食</x:v>
      </x:c>
      <x:c r="G102" s="19" t="str">
        <x:v>全日</x:v>
      </x:c>
      <x:c r="H102" s="19" t="str">
        <x:v>D18</x:v>
      </x:c>
      <x:c r="I102" s="19" t="str">
        <x:v>青椒炒油麦菜</x:v>
      </x:c>
      <x:c r="J102" s="22" t="n">
        <x:f>XLOOKUP(H102,'菜品主数据'!$A$5:$A$24,'菜品主数据'!$D$5:$D$24,0)</x:f>
        <x:v>18</x:v>
      </x:c>
      <x:c r="K102" s="31" t="n">
        <x:v>9</x:v>
      </x:c>
      <x:c r="L102" s="35" t="n">
        <x:f>J102*K102</x:f>
        <x:v>162</x:v>
      </x:c>
      <x:c r="M102" s="36" t="n">
        <x:v>0</x:v>
      </x:c>
      <x:c r="N102" s="35" t="n">
        <x:f>L102*M102</x:f>
        <x:v>0</x:v>
      </x:c>
      <x:c r="O102" s="37" t="n">
        <x:v>0</x:v>
      </x:c>
      <x:c r="P102" s="35" t="n">
        <x:f>L102*O102</x:f>
        <x:v>0</x:v>
      </x:c>
      <x:c r="Q102" s="35" t="n">
        <x:v>0</x:v>
      </x:c>
      <x:c r="R102" s="35" t="n">
        <x:f>K102*Q102</x:f>
        <x:v>0</x:v>
      </x:c>
      <x:c r="S102" s="35" t="n">
        <x:f>XLOOKUP(H102,'菜品主数据'!$A$5:$A$24,'菜品主数据'!$G$5:$G$24,0)</x:f>
        <x:v>3.1759999999999993</x:v>
      </x:c>
      <x:c r="T102" s="35" t="n">
        <x:f>K102*S102</x:f>
        <x:v>28.583999999999993</x:v>
      </x:c>
      <x:c r="U102" s="35" t="n">
        <x:f>L102-N102-P102-R102-T102</x:f>
        <x:v>133.416</x:v>
      </x:c>
      <x:c r="V102" s="21" t="n">
        <x:f>IFERROR(U102/L102,0)</x:f>
        <x:v>0.8235555555555555</x:v>
      </x:c>
    </x:row>
    <x:row r="103">
      <x:c r="A103" s="19" t="str">
        <x:v>SALE-00099</x:v>
      </x:c>
      <x:c r="B103" s="34" t="n">
        <x:v>46212.5</x:v>
      </x:c>
      <x:c r="C103" s="19" t="str">
        <x:v>周四</x:v>
      </x:c>
      <x:c r="D103" s="19" t="str">
        <x:v>S01</x:v>
      </x:c>
      <x:c r="E103" s="19" t="str">
        <x:v>近江天阳店</x:v>
      </x:c>
      <x:c r="F103" s="19" t="str">
        <x:v>堂食</x:v>
      </x:c>
      <x:c r="G103" s="19" t="str">
        <x:v>全日</x:v>
      </x:c>
      <x:c r="H103" s="19" t="str">
        <x:v>D19</x:v>
      </x:c>
      <x:c r="I103" s="19" t="str">
        <x:v>酸萝卜炒鸡杂</x:v>
      </x:c>
      <x:c r="J103" s="22" t="n">
        <x:f>XLOOKUP(H103,'菜品主数据'!$A$5:$A$24,'菜品主数据'!$D$5:$D$24,0)</x:f>
        <x:v>25</x:v>
      </x:c>
      <x:c r="K103" s="31" t="n">
        <x:v>6</x:v>
      </x:c>
      <x:c r="L103" s="35" t="n">
        <x:f>J103*K103</x:f>
        <x:v>150</x:v>
      </x:c>
      <x:c r="M103" s="36" t="n">
        <x:v>0</x:v>
      </x:c>
      <x:c r="N103" s="35" t="n">
        <x:f>L103*M103</x:f>
        <x:v>0</x:v>
      </x:c>
      <x:c r="O103" s="37" t="n">
        <x:v>0</x:v>
      </x:c>
      <x:c r="P103" s="35" t="n">
        <x:f>L103*O103</x:f>
        <x:v>0</x:v>
      </x:c>
      <x:c r="Q103" s="35" t="n">
        <x:v>0</x:v>
      </x:c>
      <x:c r="R103" s="35" t="n">
        <x:f>K103*Q103</x:f>
        <x:v>0</x:v>
      </x:c>
      <x:c r="S103" s="35" t="n">
        <x:f>XLOOKUP(H103,'菜品主数据'!$A$5:$A$24,'菜品主数据'!$G$5:$G$24,0)</x:f>
        <x:v>7.9399999999999995</x:v>
      </x:c>
      <x:c r="T103" s="35" t="n">
        <x:f>K103*S103</x:f>
        <x:v>47.64</x:v>
      </x:c>
      <x:c r="U103" s="35" t="n">
        <x:f>L103-N103-P103-R103-T103</x:f>
        <x:v>102.36</x:v>
      </x:c>
      <x:c r="V103" s="21" t="n">
        <x:f>IFERROR(U103/L103,0)</x:f>
        <x:v>0.6824</x:v>
      </x:c>
    </x:row>
    <x:row r="104">
      <x:c r="A104" s="19" t="str">
        <x:v>SALE-00100</x:v>
      </x:c>
      <x:c r="B104" s="34" t="n">
        <x:v>46212.5</x:v>
      </x:c>
      <x:c r="C104" s="19" t="str">
        <x:v>周四</x:v>
      </x:c>
      <x:c r="D104" s="19" t="str">
        <x:v>S01</x:v>
      </x:c>
      <x:c r="E104" s="19" t="str">
        <x:v>近江天阳店</x:v>
      </x:c>
      <x:c r="F104" s="19" t="str">
        <x:v>堂食</x:v>
      </x:c>
      <x:c r="G104" s="19" t="str">
        <x:v>全日</x:v>
      </x:c>
      <x:c r="H104" s="19" t="str">
        <x:v>D20</x:v>
      </x:c>
      <x:c r="I104" s="19" t="str">
        <x:v>雪菜肉末青豆</x:v>
      </x:c>
      <x:c r="J104" s="22" t="n">
        <x:f>XLOOKUP(H104,'菜品主数据'!$A$5:$A$24,'菜品主数据'!$D$5:$D$24,0)</x:f>
        <x:v>18</x:v>
      </x:c>
      <x:c r="K104" s="31" t="n">
        <x:v>9</x:v>
      </x:c>
      <x:c r="L104" s="35" t="n">
        <x:f>J104*K104</x:f>
        <x:v>162</x:v>
      </x:c>
      <x:c r="M104" s="36" t="n">
        <x:v>0</x:v>
      </x:c>
      <x:c r="N104" s="35" t="n">
        <x:f>L104*M104</x:f>
        <x:v>0</x:v>
      </x:c>
      <x:c r="O104" s="37" t="n">
        <x:v>0</x:v>
      </x:c>
      <x:c r="P104" s="35" t="n">
        <x:f>L104*O104</x:f>
        <x:v>0</x:v>
      </x:c>
      <x:c r="Q104" s="35" t="n">
        <x:v>0</x:v>
      </x:c>
      <x:c r="R104" s="35" t="n">
        <x:f>K104*Q104</x:f>
        <x:v>0</x:v>
      </x:c>
      <x:c r="S104" s="35" t="n">
        <x:f>XLOOKUP(H104,'菜品主数据'!$A$5:$A$24,'菜品主数据'!$G$5:$G$24,0)</x:f>
        <x:v>7.303999999999999</x:v>
      </x:c>
      <x:c r="T104" s="35" t="n">
        <x:f>K104*S104</x:f>
        <x:v>65.73599999999999</x:v>
      </x:c>
      <x:c r="U104" s="35" t="n">
        <x:f>L104-N104-P104-R104-T104</x:f>
        <x:v>96.26400000000001</x:v>
      </x:c>
      <x:c r="V104" s="21" t="n">
        <x:f>IFERROR(U104/L104,0)</x:f>
        <x:v>0.5942222222222223</x:v>
      </x:c>
    </x:row>
    <x:row r="105">
      <x:c r="A105" s="19" t="str">
        <x:v>SALE-00101</x:v>
      </x:c>
      <x:c r="B105" s="34" t="n">
        <x:v>46212.5</x:v>
      </x:c>
      <x:c r="C105" s="19" t="str">
        <x:v>周四</x:v>
      </x:c>
      <x:c r="D105" s="19" t="str">
        <x:v>S01</x:v>
      </x:c>
      <x:c r="E105" s="19" t="str">
        <x:v>近江天阳店</x:v>
      </x:c>
      <x:c r="F105" s="19" t="str">
        <x:v>外卖</x:v>
      </x:c>
      <x:c r="G105" s="19" t="str">
        <x:v>全日</x:v>
      </x:c>
      <x:c r="H105" s="19" t="str">
        <x:v>D01</x:v>
      </x:c>
      <x:c r="I105" s="19" t="str">
        <x:v>辣椒炒肉</x:v>
      </x:c>
      <x:c r="J105" s="22" t="n">
        <x:f>XLOOKUP(H105,'菜品主数据'!$A$5:$A$24,'菜品主数据'!$D$5:$D$24,0)</x:f>
        <x:v>29</x:v>
      </x:c>
      <x:c r="K105" s="31" t="n">
        <x:v>5</x:v>
      </x:c>
      <x:c r="L105" s="35" t="n">
        <x:f>J105*K105</x:f>
        <x:v>145</x:v>
      </x:c>
      <x:c r="M105" s="36" t="n">
        <x:v>0.08</x:v>
      </x:c>
      <x:c r="N105" s="35" t="n">
        <x:f>L105*M105</x:f>
        <x:v>11.6</x:v>
      </x:c>
      <x:c r="O105" s="37" t="n">
        <x:v>0.18</x:v>
      </x:c>
      <x:c r="P105" s="35" t="n">
        <x:f>L105*O105</x:f>
        <x:v>26.099999999999998</x:v>
      </x:c>
      <x:c r="Q105" s="35" t="n">
        <x:v>1.2</x:v>
      </x:c>
      <x:c r="R105" s="35" t="n">
        <x:f>K105*Q105</x:f>
        <x:v>6</x:v>
      </x:c>
      <x:c r="S105" s="35" t="n">
        <x:f>XLOOKUP(H105,'菜品主数据'!$A$5:$A$24,'菜品主数据'!$G$5:$G$24,0)</x:f>
        <x:v>8.634400000000001</x:v>
      </x:c>
      <x:c r="T105" s="35" t="n">
        <x:f>K105*S105</x:f>
        <x:v>43.172000000000004</x:v>
      </x:c>
      <x:c r="U105" s="35" t="n">
        <x:f>L105-N105-P105-R105-T105</x:f>
        <x:v>58.12800000000001</x:v>
      </x:c>
      <x:c r="V105" s="21" t="n">
        <x:f>IFERROR(U105/L105,0)</x:f>
        <x:v>0.4008827586206897</x:v>
      </x:c>
    </x:row>
    <x:row r="106">
      <x:c r="A106" s="19" t="str">
        <x:v>SALE-00102</x:v>
      </x:c>
      <x:c r="B106" s="34" t="n">
        <x:v>46212.5</x:v>
      </x:c>
      <x:c r="C106" s="19" t="str">
        <x:v>周四</x:v>
      </x:c>
      <x:c r="D106" s="19" t="str">
        <x:v>S01</x:v>
      </x:c>
      <x:c r="E106" s="19" t="str">
        <x:v>近江天阳店</x:v>
      </x:c>
      <x:c r="F106" s="19" t="str">
        <x:v>外卖</x:v>
      </x:c>
      <x:c r="G106" s="19" t="str">
        <x:v>全日</x:v>
      </x:c>
      <x:c r="H106" s="19" t="str">
        <x:v>D02</x:v>
      </x:c>
      <x:c r="I106" s="19" t="str">
        <x:v>小炒黄牛肉</x:v>
      </x:c>
      <x:c r="J106" s="22" t="n">
        <x:f>XLOOKUP(H106,'菜品主数据'!$A$5:$A$24,'菜品主数据'!$D$5:$D$24,0)</x:f>
        <x:v>49</x:v>
      </x:c>
      <x:c r="K106" s="31" t="n">
        <x:v>8</x:v>
      </x:c>
      <x:c r="L106" s="35" t="n">
        <x:f>J106*K106</x:f>
        <x:v>392</x:v>
      </x:c>
      <x:c r="M106" s="36" t="n">
        <x:v>0.08</x:v>
      </x:c>
      <x:c r="N106" s="35" t="n">
        <x:f>L106*M106</x:f>
        <x:v>31.36</x:v>
      </x:c>
      <x:c r="O106" s="37" t="n">
        <x:v>0.18</x:v>
      </x:c>
      <x:c r="P106" s="35" t="n">
        <x:f>L106*O106</x:f>
        <x:v>70.56</x:v>
      </x:c>
      <x:c r="Q106" s="35" t="n">
        <x:v>1.2</x:v>
      </x:c>
      <x:c r="R106" s="35" t="n">
        <x:f>K106*Q106</x:f>
        <x:v>9.6</x:v>
      </x:c>
      <x:c r="S106" s="35" t="n">
        <x:f>XLOOKUP(H106,'菜品主数据'!$A$5:$A$24,'菜品主数据'!$G$5:$G$24,0)</x:f>
        <x:v>17.577</x:v>
      </x:c>
      <x:c r="T106" s="35" t="n">
        <x:f>K106*S106</x:f>
        <x:v>140.616</x:v>
      </x:c>
      <x:c r="U106" s="35" t="n">
        <x:f>L106-N106-P106-R106-T106</x:f>
        <x:v>139.86399999999995</x:v>
      </x:c>
      <x:c r="V106" s="21" t="n">
        <x:f>IFERROR(U106/L106,0)</x:f>
        <x:v>0.3567959183673468</x:v>
      </x:c>
    </x:row>
    <x:row r="107">
      <x:c r="A107" s="19" t="str">
        <x:v>SALE-00103</x:v>
      </x:c>
      <x:c r="B107" s="34" t="n">
        <x:v>46212.5</x:v>
      </x:c>
      <x:c r="C107" s="19" t="str">
        <x:v>周四</x:v>
      </x:c>
      <x:c r="D107" s="19" t="str">
        <x:v>S01</x:v>
      </x:c>
      <x:c r="E107" s="19" t="str">
        <x:v>近江天阳店</x:v>
      </x:c>
      <x:c r="F107" s="19" t="str">
        <x:v>外卖</x:v>
      </x:c>
      <x:c r="G107" s="19" t="str">
        <x:v>全日</x:v>
      </x:c>
      <x:c r="H107" s="19" t="str">
        <x:v>D03</x:v>
      </x:c>
      <x:c r="I107" s="19" t="str">
        <x:v>香醋炒蛋</x:v>
      </x:c>
      <x:c r="J107" s="22" t="n">
        <x:f>XLOOKUP(H107,'菜品主数据'!$A$5:$A$24,'菜品主数据'!$D$5:$D$24,0)</x:f>
        <x:v>14.9</x:v>
      </x:c>
      <x:c r="K107" s="31" t="n">
        <x:v>4</x:v>
      </x:c>
      <x:c r="L107" s="35" t="n">
        <x:f>J107*K107</x:f>
        <x:v>59.6</x:v>
      </x:c>
      <x:c r="M107" s="36" t="n">
        <x:v>0.08</x:v>
      </x:c>
      <x:c r="N107" s="35" t="n">
        <x:f>L107*M107</x:f>
        <x:v>4.768</x:v>
      </x:c>
      <x:c r="O107" s="37" t="n">
        <x:v>0.18</x:v>
      </x:c>
      <x:c r="P107" s="35" t="n">
        <x:f>L107*O107</x:f>
        <x:v>10.728</x:v>
      </x:c>
      <x:c r="Q107" s="35" t="n">
        <x:v>1.2</x:v>
      </x:c>
      <x:c r="R107" s="35" t="n">
        <x:f>K107*Q107</x:f>
        <x:v>4.8</x:v>
      </x:c>
      <x:c r="S107" s="35" t="n">
        <x:f>XLOOKUP(H107,'菜品主数据'!$A$5:$A$24,'菜品主数据'!$G$5:$G$24,0)</x:f>
        <x:v>3.7459999999999996</x:v>
      </x:c>
      <x:c r="T107" s="35" t="n">
        <x:f>K107*S107</x:f>
        <x:v>14.983999999999998</x:v>
      </x:c>
      <x:c r="U107" s="35" t="n">
        <x:f>L107-N107-P107-R107-T107</x:f>
        <x:v>24.320000000000004</x:v>
      </x:c>
      <x:c r="V107" s="21" t="n">
        <x:f>IFERROR(U107/L107,0)</x:f>
        <x:v>0.40805369127516783</x:v>
      </x:c>
    </x:row>
    <x:row r="108">
      <x:c r="A108" s="19" t="str">
        <x:v>SALE-00104</x:v>
      </x:c>
      <x:c r="B108" s="34" t="n">
        <x:v>46212.5</x:v>
      </x:c>
      <x:c r="C108" s="19" t="str">
        <x:v>周四</x:v>
      </x:c>
      <x:c r="D108" s="19" t="str">
        <x:v>S01</x:v>
      </x:c>
      <x:c r="E108" s="19" t="str">
        <x:v>近江天阳店</x:v>
      </x:c>
      <x:c r="F108" s="19" t="str">
        <x:v>外卖</x:v>
      </x:c>
      <x:c r="G108" s="19" t="str">
        <x:v>全日</x:v>
      </x:c>
      <x:c r="H108" s="19" t="str">
        <x:v>D04</x:v>
      </x:c>
      <x:c r="I108" s="19" t="str">
        <x:v>酸包菜炒粉皮</x:v>
      </x:c>
      <x:c r="J108" s="22" t="n">
        <x:f>XLOOKUP(H108,'菜品主数据'!$A$5:$A$24,'菜品主数据'!$D$5:$D$24,0)</x:f>
        <x:v>16</x:v>
      </x:c>
      <x:c r="K108" s="31" t="n">
        <x:v>4</x:v>
      </x:c>
      <x:c r="L108" s="35" t="n">
        <x:f>J108*K108</x:f>
        <x:v>64</x:v>
      </x:c>
      <x:c r="M108" s="36" t="n">
        <x:v>0.08</x:v>
      </x:c>
      <x:c r="N108" s="35" t="n">
        <x:f>L108*M108</x:f>
        <x:v>5.12</x:v>
      </x:c>
      <x:c r="O108" s="37" t="n">
        <x:v>0.18</x:v>
      </x:c>
      <x:c r="P108" s="35" t="n">
        <x:f>L108*O108</x:f>
        <x:v>11.52</x:v>
      </x:c>
      <x:c r="Q108" s="35" t="n">
        <x:v>1.2</x:v>
      </x:c>
      <x:c r="R108" s="35" t="n">
        <x:f>K108*Q108</x:f>
        <x:v>4.8</x:v>
      </x:c>
      <x:c r="S108" s="35" t="n">
        <x:f>XLOOKUP(H108,'菜品主数据'!$A$5:$A$24,'菜品主数据'!$G$5:$G$24,0)</x:f>
        <x:v>3.978</x:v>
      </x:c>
      <x:c r="T108" s="35" t="n">
        <x:f>K108*S108</x:f>
        <x:v>15.912</x:v>
      </x:c>
      <x:c r="U108" s="35" t="n">
        <x:f>L108-N108-P108-R108-T108</x:f>
        <x:v>26.648000000000003</x:v>
      </x:c>
      <x:c r="V108" s="21" t="n">
        <x:f>IFERROR(U108/L108,0)</x:f>
        <x:v>0.41637500000000005</x:v>
      </x:c>
    </x:row>
    <x:row r="109">
      <x:c r="A109" s="19" t="str">
        <x:v>SALE-00105</x:v>
      </x:c>
      <x:c r="B109" s="34" t="n">
        <x:v>46212.5</x:v>
      </x:c>
      <x:c r="C109" s="19" t="str">
        <x:v>周四</x:v>
      </x:c>
      <x:c r="D109" s="19" t="str">
        <x:v>S01</x:v>
      </x:c>
      <x:c r="E109" s="19" t="str">
        <x:v>近江天阳店</x:v>
      </x:c>
      <x:c r="F109" s="19" t="str">
        <x:v>外卖</x:v>
      </x:c>
      <x:c r="G109" s="19" t="str">
        <x:v>全日</x:v>
      </x:c>
      <x:c r="H109" s="19" t="str">
        <x:v>D05</x:v>
      </x:c>
      <x:c r="I109" s="19" t="str">
        <x:v>麻婆豆腐</x:v>
      </x:c>
      <x:c r="J109" s="22" t="n">
        <x:f>XLOOKUP(H109,'菜品主数据'!$A$5:$A$24,'菜品主数据'!$D$5:$D$24,0)</x:f>
        <x:v>9.9</x:v>
      </x:c>
      <x:c r="K109" s="31" t="n">
        <x:v>5</x:v>
      </x:c>
      <x:c r="L109" s="35" t="n">
        <x:f>J109*K109</x:f>
        <x:v>49.5</x:v>
      </x:c>
      <x:c r="M109" s="36" t="n">
        <x:v>0.08</x:v>
      </x:c>
      <x:c r="N109" s="35" t="n">
        <x:f>L109*M109</x:f>
        <x:v>3.96</x:v>
      </x:c>
      <x:c r="O109" s="37" t="n">
        <x:v>0.18</x:v>
      </x:c>
      <x:c r="P109" s="35" t="n">
        <x:f>L109*O109</x:f>
        <x:v>8.91</x:v>
      </x:c>
      <x:c r="Q109" s="35" t="n">
        <x:v>1.2</x:v>
      </x:c>
      <x:c r="R109" s="35" t="n">
        <x:f>K109*Q109</x:f>
        <x:v>6</x:v>
      </x:c>
      <x:c r="S109" s="35" t="n">
        <x:f>XLOOKUP(H109,'菜品主数据'!$A$5:$A$24,'菜品主数据'!$G$5:$G$24,0)</x:f>
        <x:v>5.367000000000001</x:v>
      </x:c>
      <x:c r="T109" s="35" t="n">
        <x:f>K109*S109</x:f>
        <x:v>26.835000000000004</x:v>
      </x:c>
      <x:c r="U109" s="35" t="n">
        <x:f>L109-N109-P109-R109-T109</x:f>
        <x:v>3.794999999999991</x:v>
      </x:c>
      <x:c r="V109" s="21" t="n">
        <x:f>IFERROR(U109/L109,0)</x:f>
        <x:v>0.07666666666666648</x:v>
      </x:c>
    </x:row>
    <x:row r="110">
      <x:c r="A110" s="19" t="str">
        <x:v>SALE-00106</x:v>
      </x:c>
      <x:c r="B110" s="34" t="n">
        <x:v>46212.5</x:v>
      </x:c>
      <x:c r="C110" s="19" t="str">
        <x:v>周四</x:v>
      </x:c>
      <x:c r="D110" s="19" t="str">
        <x:v>S01</x:v>
      </x:c>
      <x:c r="E110" s="19" t="str">
        <x:v>近江天阳店</x:v>
      </x:c>
      <x:c r="F110" s="19" t="str">
        <x:v>外卖</x:v>
      </x:c>
      <x:c r="G110" s="19" t="str">
        <x:v>全日</x:v>
      </x:c>
      <x:c r="H110" s="19" t="str">
        <x:v>D06</x:v>
      </x:c>
      <x:c r="I110" s="19" t="str">
        <x:v>剁椒鱼头</x:v>
      </x:c>
      <x:c r="J110" s="22" t="n">
        <x:f>XLOOKUP(H110,'菜品主数据'!$A$5:$A$24,'菜品主数据'!$D$5:$D$24,0)</x:f>
        <x:v>39</x:v>
      </x:c>
      <x:c r="K110" s="31" t="n">
        <x:v>1</x:v>
      </x:c>
      <x:c r="L110" s="35" t="n">
        <x:f>J110*K110</x:f>
        <x:v>39</x:v>
      </x:c>
      <x:c r="M110" s="36" t="n">
        <x:v>0.08</x:v>
      </x:c>
      <x:c r="N110" s="35" t="n">
        <x:f>L110*M110</x:f>
        <x:v>3.12</x:v>
      </x:c>
      <x:c r="O110" s="37" t="n">
        <x:v>0.18</x:v>
      </x:c>
      <x:c r="P110" s="35" t="n">
        <x:f>L110*O110</x:f>
        <x:v>7.02</x:v>
      </x:c>
      <x:c r="Q110" s="35" t="n">
        <x:v>1.2</x:v>
      </x:c>
      <x:c r="R110" s="35" t="n">
        <x:f>K110*Q110</x:f>
        <x:v>1.2</x:v>
      </x:c>
      <x:c r="S110" s="35" t="n">
        <x:f>XLOOKUP(H110,'菜品主数据'!$A$5:$A$24,'菜品主数据'!$G$5:$G$24,0)</x:f>
        <x:v>17.446</x:v>
      </x:c>
      <x:c r="T110" s="35" t="n">
        <x:f>K110*S110</x:f>
        <x:v>17.446</x:v>
      </x:c>
      <x:c r="U110" s="35" t="n">
        <x:f>L110-N110-P110-R110-T110</x:f>
        <x:v>10.214000000000002</x:v>
      </x:c>
      <x:c r="V110" s="21" t="n">
        <x:f>IFERROR(U110/L110,0)</x:f>
        <x:v>0.26189743589743597</x:v>
      </x:c>
    </x:row>
    <x:row r="111">
      <x:c r="A111" s="19" t="str">
        <x:v>SALE-00107</x:v>
      </x:c>
      <x:c r="B111" s="34" t="n">
        <x:v>46212.5</x:v>
      </x:c>
      <x:c r="C111" s="19" t="str">
        <x:v>周四</x:v>
      </x:c>
      <x:c r="D111" s="19" t="str">
        <x:v>S01</x:v>
      </x:c>
      <x:c r="E111" s="19" t="str">
        <x:v>近江天阳店</x:v>
      </x:c>
      <x:c r="F111" s="19" t="str">
        <x:v>外卖</x:v>
      </x:c>
      <x:c r="G111" s="19" t="str">
        <x:v>全日</x:v>
      </x:c>
      <x:c r="H111" s="19" t="str">
        <x:v>D07</x:v>
      </x:c>
      <x:c r="I111" s="19" t="str">
        <x:v>川味回锅肉</x:v>
      </x:c>
      <x:c r="J111" s="22" t="n">
        <x:f>XLOOKUP(H111,'菜品主数据'!$A$5:$A$24,'菜品主数据'!$D$5:$D$24,0)</x:f>
        <x:v>29</x:v>
      </x:c>
      <x:c r="K111" s="31" t="n">
        <x:v>1</x:v>
      </x:c>
      <x:c r="L111" s="35" t="n">
        <x:f>J111*K111</x:f>
        <x:v>29</x:v>
      </x:c>
      <x:c r="M111" s="36" t="n">
        <x:v>0.08</x:v>
      </x:c>
      <x:c r="N111" s="35" t="n">
        <x:f>L111*M111</x:f>
        <x:v>2.32</x:v>
      </x:c>
      <x:c r="O111" s="37" t="n">
        <x:v>0.18</x:v>
      </x:c>
      <x:c r="P111" s="35" t="n">
        <x:f>L111*O111</x:f>
        <x:v>5.22</x:v>
      </x:c>
      <x:c r="Q111" s="35" t="n">
        <x:v>1.2</x:v>
      </x:c>
      <x:c r="R111" s="35" t="n">
        <x:f>K111*Q111</x:f>
        <x:v>1.2</x:v>
      </x:c>
      <x:c r="S111" s="35" t="n">
        <x:f>XLOOKUP(H111,'菜品主数据'!$A$5:$A$24,'菜品主数据'!$G$5:$G$24,0)</x:f>
        <x:v>10.231000000000002</x:v>
      </x:c>
      <x:c r="T111" s="35" t="n">
        <x:f>K111*S111</x:f>
        <x:v>10.231000000000002</x:v>
      </x:c>
      <x:c r="U111" s="35" t="n">
        <x:f>L111-N111-P111-R111-T111</x:f>
        <x:v>10.029</x:v>
      </x:c>
      <x:c r="V111" s="21" t="n">
        <x:f>IFERROR(U111/L111,0)</x:f>
        <x:v>0.3458275862068966</x:v>
      </x:c>
    </x:row>
    <x:row r="112">
      <x:c r="A112" s="19" t="str">
        <x:v>SALE-00108</x:v>
      </x:c>
      <x:c r="B112" s="34" t="n">
        <x:v>46212.5</x:v>
      </x:c>
      <x:c r="C112" s="19" t="str">
        <x:v>周四</x:v>
      </x:c>
      <x:c r="D112" s="19" t="str">
        <x:v>S01</x:v>
      </x:c>
      <x:c r="E112" s="19" t="str">
        <x:v>近江天阳店</x:v>
      </x:c>
      <x:c r="F112" s="19" t="str">
        <x:v>外卖</x:v>
      </x:c>
      <x:c r="G112" s="19" t="str">
        <x:v>全日</x:v>
      </x:c>
      <x:c r="H112" s="19" t="str">
        <x:v>D08</x:v>
      </x:c>
      <x:c r="I112" s="19" t="str">
        <x:v>生炒清远鸡</x:v>
      </x:c>
      <x:c r="J112" s="22" t="n">
        <x:f>XLOOKUP(H112,'菜品主数据'!$A$5:$A$24,'菜品主数据'!$D$5:$D$24,0)</x:f>
        <x:v>36</x:v>
      </x:c>
      <x:c r="K112" s="31" t="n">
        <x:v>2</x:v>
      </x:c>
      <x:c r="L112" s="35" t="n">
        <x:f>J112*K112</x:f>
        <x:v>72</x:v>
      </x:c>
      <x:c r="M112" s="36" t="n">
        <x:v>0.08</x:v>
      </x:c>
      <x:c r="N112" s="35" t="n">
        <x:f>L112*M112</x:f>
        <x:v>5.76</x:v>
      </x:c>
      <x:c r="O112" s="37" t="n">
        <x:v>0.18</x:v>
      </x:c>
      <x:c r="P112" s="35" t="n">
        <x:f>L112*O112</x:f>
        <x:v>12.959999999999999</x:v>
      </x:c>
      <x:c r="Q112" s="35" t="n">
        <x:v>1.2</x:v>
      </x:c>
      <x:c r="R112" s="35" t="n">
        <x:f>K112*Q112</x:f>
        <x:v>2.4</x:v>
      </x:c>
      <x:c r="S112" s="35" t="n">
        <x:f>XLOOKUP(H112,'菜品主数据'!$A$5:$A$24,'菜品主数据'!$G$5:$G$24,0)</x:f>
        <x:v>13.48</x:v>
      </x:c>
      <x:c r="T112" s="35" t="n">
        <x:f>K112*S112</x:f>
        <x:v>26.96</x:v>
      </x:c>
      <x:c r="U112" s="35" t="n">
        <x:f>L112-N112-P112-R112-T112</x:f>
        <x:v>23.919999999999995</x:v>
      </x:c>
      <x:c r="V112" s="21" t="n">
        <x:f>IFERROR(U112/L112,0)</x:f>
        <x:v>0.33222222222222214</x:v>
      </x:c>
    </x:row>
    <x:row r="113">
      <x:c r="A113" s="19" t="str">
        <x:v>SALE-00109</x:v>
      </x:c>
      <x:c r="B113" s="34" t="n">
        <x:v>46212.5</x:v>
      </x:c>
      <x:c r="C113" s="19" t="str">
        <x:v>周四</x:v>
      </x:c>
      <x:c r="D113" s="19" t="str">
        <x:v>S01</x:v>
      </x:c>
      <x:c r="E113" s="19" t="str">
        <x:v>近江天阳店</x:v>
      </x:c>
      <x:c r="F113" s="19" t="str">
        <x:v>外卖</x:v>
      </x:c>
      <x:c r="G113" s="19" t="str">
        <x:v>全日</x:v>
      </x:c>
      <x:c r="H113" s="19" t="str">
        <x:v>D09</x:v>
      </x:c>
      <x:c r="I113" s="19" t="str">
        <x:v>炒豆干</x:v>
      </x:c>
      <x:c r="J113" s="22" t="n">
        <x:f>XLOOKUP(H113,'菜品主数据'!$A$5:$A$24,'菜品主数据'!$D$5:$D$24,0)</x:f>
        <x:v>18</x:v>
      </x:c>
      <x:c r="K113" s="31" t="n">
        <x:v>1</x:v>
      </x:c>
      <x:c r="L113" s="35" t="n">
        <x:f>J113*K113</x:f>
        <x:v>18</x:v>
      </x:c>
      <x:c r="M113" s="36" t="n">
        <x:v>0.08</x:v>
      </x:c>
      <x:c r="N113" s="35" t="n">
        <x:f>L113*M113</x:f>
        <x:v>1.44</x:v>
      </x:c>
      <x:c r="O113" s="37" t="n">
        <x:v>0.18</x:v>
      </x:c>
      <x:c r="P113" s="35" t="n">
        <x:f>L113*O113</x:f>
        <x:v>3.2399999999999998</x:v>
      </x:c>
      <x:c r="Q113" s="35" t="n">
        <x:v>1.2</x:v>
      </x:c>
      <x:c r="R113" s="35" t="n">
        <x:f>K113*Q113</x:f>
        <x:v>1.2</x:v>
      </x:c>
      <x:c r="S113" s="35" t="n">
        <x:f>XLOOKUP(H113,'菜品主数据'!$A$5:$A$24,'菜品主数据'!$G$5:$G$24,0)</x:f>
        <x:v>6.613999999999999</x:v>
      </x:c>
      <x:c r="T113" s="35" t="n">
        <x:f>K113*S113</x:f>
        <x:v>6.613999999999999</x:v>
      </x:c>
      <x:c r="U113" s="35" t="n">
        <x:f>L113-N113-P113-R113-T113</x:f>
        <x:v>5.506</x:v>
      </x:c>
      <x:c r="V113" s="21" t="n">
        <x:f>IFERROR(U113/L113,0)</x:f>
        <x:v>0.3058888888888889</x:v>
      </x:c>
    </x:row>
    <x:row r="114">
      <x:c r="A114" s="19" t="str">
        <x:v>SALE-00110</x:v>
      </x:c>
      <x:c r="B114" s="34" t="n">
        <x:v>46212.5</x:v>
      </x:c>
      <x:c r="C114" s="19" t="str">
        <x:v>周四</x:v>
      </x:c>
      <x:c r="D114" s="19" t="str">
        <x:v>S01</x:v>
      </x:c>
      <x:c r="E114" s="19" t="str">
        <x:v>近江天阳店</x:v>
      </x:c>
      <x:c r="F114" s="19" t="str">
        <x:v>外卖</x:v>
      </x:c>
      <x:c r="G114" s="19" t="str">
        <x:v>全日</x:v>
      </x:c>
      <x:c r="H114" s="19" t="str">
        <x:v>D10</x:v>
      </x:c>
      <x:c r="I114" s="19" t="str">
        <x:v>农家一碗香</x:v>
      </x:c>
      <x:c r="J114" s="22" t="n">
        <x:f>XLOOKUP(H114,'菜品主数据'!$A$5:$A$24,'菜品主数据'!$D$5:$D$24,0)</x:f>
        <x:v>22.9</x:v>
      </x:c>
      <x:c r="K114" s="31" t="n">
        <x:v>2</x:v>
      </x:c>
      <x:c r="L114" s="35" t="n">
        <x:f>J114*K114</x:f>
        <x:v>45.8</x:v>
      </x:c>
      <x:c r="M114" s="36" t="n">
        <x:v>0.08</x:v>
      </x:c>
      <x:c r="N114" s="35" t="n">
        <x:f>L114*M114</x:f>
        <x:v>3.6639999999999997</x:v>
      </x:c>
      <x:c r="O114" s="37" t="n">
        <x:v>0.18</x:v>
      </x:c>
      <x:c r="P114" s="35" t="n">
        <x:f>L114*O114</x:f>
        <x:v>8.244</x:v>
      </x:c>
      <x:c r="Q114" s="35" t="n">
        <x:v>1.2</x:v>
      </x:c>
      <x:c r="R114" s="35" t="n">
        <x:f>K114*Q114</x:f>
        <x:v>2.4</x:v>
      </x:c>
      <x:c r="S114" s="35" t="n">
        <x:f>XLOOKUP(H114,'菜品主数据'!$A$5:$A$24,'菜品主数据'!$G$5:$G$24,0)</x:f>
        <x:v>9.770200000000003</x:v>
      </x:c>
      <x:c r="T114" s="35" t="n">
        <x:f>K114*S114</x:f>
        <x:v>19.540400000000005</x:v>
      </x:c>
      <x:c r="U114" s="35" t="n">
        <x:f>L114-N114-P114-R114-T114</x:f>
        <x:v>11.951599999999992</x:v>
      </x:c>
      <x:c r="V114" s="21" t="n">
        <x:f>IFERROR(U114/L114,0)</x:f>
        <x:v>0.260951965065502</x:v>
      </x:c>
    </x:row>
    <x:row r="115">
      <x:c r="A115" s="19" t="str">
        <x:v>SALE-00111</x:v>
      </x:c>
      <x:c r="B115" s="34" t="n">
        <x:v>46212.5</x:v>
      </x:c>
      <x:c r="C115" s="19" t="str">
        <x:v>周四</x:v>
      </x:c>
      <x:c r="D115" s="19" t="str">
        <x:v>S01</x:v>
      </x:c>
      <x:c r="E115" s="19" t="str">
        <x:v>近江天阳店</x:v>
      </x:c>
      <x:c r="F115" s="19" t="str">
        <x:v>外卖</x:v>
      </x:c>
      <x:c r="G115" s="19" t="str">
        <x:v>全日</x:v>
      </x:c>
      <x:c r="H115" s="19" t="str">
        <x:v>D11</x:v>
      </x:c>
      <x:c r="I115" s="19" t="str">
        <x:v>香辣爆肥肠</x:v>
      </x:c>
      <x:c r="J115" s="22" t="n">
        <x:f>XLOOKUP(H115,'菜品主数据'!$A$5:$A$24,'菜品主数据'!$D$5:$D$24,0)</x:f>
        <x:v>39</x:v>
      </x:c>
      <x:c r="K115" s="31" t="n">
        <x:v>0</x:v>
      </x:c>
      <x:c r="L115" s="35" t="n">
        <x:f>J115*K115</x:f>
        <x:v>0</x:v>
      </x:c>
      <x:c r="M115" s="36" t="n">
        <x:v>0.08</x:v>
      </x:c>
      <x:c r="N115" s="35" t="n">
        <x:f>L115*M115</x:f>
        <x:v>0</x:v>
      </x:c>
      <x:c r="O115" s="37" t="n">
        <x:v>0.18</x:v>
      </x:c>
      <x:c r="P115" s="35" t="n">
        <x:f>L115*O115</x:f>
        <x:v>0</x:v>
      </x:c>
      <x:c r="Q115" s="35" t="n">
        <x:v>1.2</x:v>
      </x:c>
      <x:c r="R115" s="35" t="n">
        <x:f>K115*Q115</x:f>
        <x:v>0</x:v>
      </x:c>
      <x:c r="S115" s="35" t="n">
        <x:f>XLOOKUP(H115,'菜品主数据'!$A$5:$A$24,'菜品主数据'!$G$5:$G$24,0)</x:f>
        <x:v>10.397</x:v>
      </x:c>
      <x:c r="T115" s="35" t="n">
        <x:f>K115*S115</x:f>
        <x:v>0</x:v>
      </x:c>
      <x:c r="U115" s="35" t="n">
        <x:f>L115-N115-P115-R115-T115</x:f>
        <x:v>0</x:v>
      </x:c>
      <x:c r="V115" s="21" t="n">
        <x:f>IFERROR(U115/L115,0)</x:f>
        <x:v>0</x:v>
      </x:c>
    </x:row>
    <x:row r="116">
      <x:c r="A116" s="19" t="str">
        <x:v>SALE-00112</x:v>
      </x:c>
      <x:c r="B116" s="34" t="n">
        <x:v>46212.5</x:v>
      </x:c>
      <x:c r="C116" s="19" t="str">
        <x:v>周四</x:v>
      </x:c>
      <x:c r="D116" s="19" t="str">
        <x:v>S01</x:v>
      </x:c>
      <x:c r="E116" s="19" t="str">
        <x:v>近江天阳店</x:v>
      </x:c>
      <x:c r="F116" s="19" t="str">
        <x:v>外卖</x:v>
      </x:c>
      <x:c r="G116" s="19" t="str">
        <x:v>全日</x:v>
      </x:c>
      <x:c r="H116" s="19" t="str">
        <x:v>D12</x:v>
      </x:c>
      <x:c r="I116" s="19" t="str">
        <x:v>清蒸鲈鱼</x:v>
      </x:c>
      <x:c r="J116" s="22" t="n">
        <x:f>XLOOKUP(H116,'菜品主数据'!$A$5:$A$24,'菜品主数据'!$D$5:$D$24,0)</x:f>
        <x:v>39</x:v>
      </x:c>
      <x:c r="K116" s="31" t="n">
        <x:v>0</x:v>
      </x:c>
      <x:c r="L116" s="35" t="n">
        <x:f>J116*K116</x:f>
        <x:v>0</x:v>
      </x:c>
      <x:c r="M116" s="36" t="n">
        <x:v>0.08</x:v>
      </x:c>
      <x:c r="N116" s="35" t="n">
        <x:f>L116*M116</x:f>
        <x:v>0</x:v>
      </x:c>
      <x:c r="O116" s="37" t="n">
        <x:v>0.18</x:v>
      </x:c>
      <x:c r="P116" s="35" t="n">
        <x:f>L116*O116</x:f>
        <x:v>0</x:v>
      </x:c>
      <x:c r="Q116" s="35" t="n">
        <x:v>1.2</x:v>
      </x:c>
      <x:c r="R116" s="35" t="n">
        <x:f>K116*Q116</x:f>
        <x:v>0</x:v>
      </x:c>
      <x:c r="S116" s="35" t="n">
        <x:f>XLOOKUP(H116,'菜品主数据'!$A$5:$A$24,'菜品主数据'!$G$5:$G$24,0)</x:f>
        <x:v>18.874</x:v>
      </x:c>
      <x:c r="T116" s="35" t="n">
        <x:f>K116*S116</x:f>
        <x:v>0</x:v>
      </x:c>
      <x:c r="U116" s="35" t="n">
        <x:f>L116-N116-P116-R116-T116</x:f>
        <x:v>0</x:v>
      </x:c>
      <x:c r="V116" s="21" t="n">
        <x:f>IFERROR(U116/L116,0)</x:f>
        <x:v>0</x:v>
      </x:c>
    </x:row>
    <x:row r="117">
      <x:c r="A117" s="19" t="str">
        <x:v>SALE-00113</x:v>
      </x:c>
      <x:c r="B117" s="34" t="n">
        <x:v>46212.5</x:v>
      </x:c>
      <x:c r="C117" s="19" t="str">
        <x:v>周四</x:v>
      </x:c>
      <x:c r="D117" s="19" t="str">
        <x:v>S01</x:v>
      </x:c>
      <x:c r="E117" s="19" t="str">
        <x:v>近江天阳店</x:v>
      </x:c>
      <x:c r="F117" s="19" t="str">
        <x:v>外卖</x:v>
      </x:c>
      <x:c r="G117" s="19" t="str">
        <x:v>全日</x:v>
      </x:c>
      <x:c r="H117" s="19" t="str">
        <x:v>D13</x:v>
      </x:c>
      <x:c r="I117" s="19" t="str">
        <x:v>外婆菜炒蛋</x:v>
      </x:c>
      <x:c r="J117" s="22" t="n">
        <x:f>XLOOKUP(H117,'菜品主数据'!$A$5:$A$24,'菜品主数据'!$D$5:$D$24,0)</x:f>
        <x:v>18</x:v>
      </x:c>
      <x:c r="K117" s="31" t="n">
        <x:v>1</x:v>
      </x:c>
      <x:c r="L117" s="35" t="n">
        <x:f>J117*K117</x:f>
        <x:v>18</x:v>
      </x:c>
      <x:c r="M117" s="36" t="n">
        <x:v>0.08</x:v>
      </x:c>
      <x:c r="N117" s="35" t="n">
        <x:f>L117*M117</x:f>
        <x:v>1.44</x:v>
      </x:c>
      <x:c r="O117" s="37" t="n">
        <x:v>0.18</x:v>
      </x:c>
      <x:c r="P117" s="35" t="n">
        <x:f>L117*O117</x:f>
        <x:v>3.2399999999999998</x:v>
      </x:c>
      <x:c r="Q117" s="35" t="n">
        <x:v>1.2</x:v>
      </x:c>
      <x:c r="R117" s="35" t="n">
        <x:f>K117*Q117</x:f>
        <x:v>1.2</x:v>
      </x:c>
      <x:c r="S117" s="35" t="n">
        <x:f>XLOOKUP(H117,'菜品主数据'!$A$5:$A$24,'菜品主数据'!$G$5:$G$24,0)</x:f>
        <x:v>5.403999999999999</x:v>
      </x:c>
      <x:c r="T117" s="35" t="n">
        <x:f>K117*S117</x:f>
        <x:v>5.403999999999999</x:v>
      </x:c>
      <x:c r="U117" s="35" t="n">
        <x:f>L117-N117-P117-R117-T117</x:f>
        <x:v>6.716</x:v>
      </x:c>
      <x:c r="V117" s="21" t="n">
        <x:f>IFERROR(U117/L117,0)</x:f>
        <x:v>0.3731111111111111</x:v>
      </x:c>
    </x:row>
    <x:row r="118">
      <x:c r="A118" s="19" t="str">
        <x:v>SALE-00114</x:v>
      </x:c>
      <x:c r="B118" s="34" t="n">
        <x:v>46212.5</x:v>
      </x:c>
      <x:c r="C118" s="19" t="str">
        <x:v>周四</x:v>
      </x:c>
      <x:c r="D118" s="19" t="str">
        <x:v>S01</x:v>
      </x:c>
      <x:c r="E118" s="19" t="str">
        <x:v>近江天阳店</x:v>
      </x:c>
      <x:c r="F118" s="19" t="str">
        <x:v>外卖</x:v>
      </x:c>
      <x:c r="G118" s="19" t="str">
        <x:v>全日</x:v>
      </x:c>
      <x:c r="H118" s="19" t="str">
        <x:v>D14</x:v>
      </x:c>
      <x:c r="I118" s="19" t="str">
        <x:v>酸辣鸡杂</x:v>
      </x:c>
      <x:c r="J118" s="22" t="n">
        <x:f>XLOOKUP(H118,'菜品主数据'!$A$5:$A$24,'菜品主数据'!$D$5:$D$24,0)</x:f>
        <x:v>28</x:v>
      </x:c>
      <x:c r="K118" s="31" t="n">
        <x:v>1</x:v>
      </x:c>
      <x:c r="L118" s="35" t="n">
        <x:f>J118*K118</x:f>
        <x:v>28</x:v>
      </x:c>
      <x:c r="M118" s="36" t="n">
        <x:v>0.08</x:v>
      </x:c>
      <x:c r="N118" s="35" t="n">
        <x:f>L118*M118</x:f>
        <x:v>2.24</x:v>
      </x:c>
      <x:c r="O118" s="37" t="n">
        <x:v>0.18</x:v>
      </x:c>
      <x:c r="P118" s="35" t="n">
        <x:f>L118*O118</x:f>
        <x:v>5.04</x:v>
      </x:c>
      <x:c r="Q118" s="35" t="n">
        <x:v>1.2</x:v>
      </x:c>
      <x:c r="R118" s="35" t="n">
        <x:f>K118*Q118</x:f>
        <x:v>1.2</x:v>
      </x:c>
      <x:c r="S118" s="35" t="n">
        <x:f>XLOOKUP(H118,'菜品主数据'!$A$5:$A$24,'菜品主数据'!$G$5:$G$24,0)</x:f>
        <x:v>8.315000000000001</x:v>
      </x:c>
      <x:c r="T118" s="35" t="n">
        <x:f>K118*S118</x:f>
        <x:v>8.315000000000001</x:v>
      </x:c>
      <x:c r="U118" s="35" t="n">
        <x:f>L118-N118-P118-R118-T118</x:f>
        <x:v>11.204999999999998</x:v>
      </x:c>
      <x:c r="V118" s="21" t="n">
        <x:f>IFERROR(U118/L118,0)</x:f>
        <x:v>0.4001785714285714</x:v>
      </x:c>
    </x:row>
    <x:row r="119">
      <x:c r="A119" s="19" t="str">
        <x:v>SALE-00115</x:v>
      </x:c>
      <x:c r="B119" s="34" t="n">
        <x:v>46212.5</x:v>
      </x:c>
      <x:c r="C119" s="19" t="str">
        <x:v>周四</x:v>
      </x:c>
      <x:c r="D119" s="19" t="str">
        <x:v>S01</x:v>
      </x:c>
      <x:c r="E119" s="19" t="str">
        <x:v>近江天阳店</x:v>
      </x:c>
      <x:c r="F119" s="19" t="str">
        <x:v>外卖</x:v>
      </x:c>
      <x:c r="G119" s="19" t="str">
        <x:v>全日</x:v>
      </x:c>
      <x:c r="H119" s="19" t="str">
        <x:v>D15</x:v>
      </x:c>
      <x:c r="I119" s="19" t="str">
        <x:v>湘西土匪猪肝</x:v>
      </x:c>
      <x:c r="J119" s="22" t="n">
        <x:f>XLOOKUP(H119,'菜品主数据'!$A$5:$A$24,'菜品主数据'!$D$5:$D$24,0)</x:f>
        <x:v>26</x:v>
      </x:c>
      <x:c r="K119" s="31" t="n">
        <x:v>0</x:v>
      </x:c>
      <x:c r="L119" s="35" t="n">
        <x:f>J119*K119</x:f>
        <x:v>0</x:v>
      </x:c>
      <x:c r="M119" s="36" t="n">
        <x:v>0.08</x:v>
      </x:c>
      <x:c r="N119" s="35" t="n">
        <x:f>L119*M119</x:f>
        <x:v>0</x:v>
      </x:c>
      <x:c r="O119" s="37" t="n">
        <x:v>0.18</x:v>
      </x:c>
      <x:c r="P119" s="35" t="n">
        <x:f>L119*O119</x:f>
        <x:v>0</x:v>
      </x:c>
      <x:c r="Q119" s="35" t="n">
        <x:v>1.2</x:v>
      </x:c>
      <x:c r="R119" s="35" t="n">
        <x:f>K119*Q119</x:f>
        <x:v>0</x:v>
      </x:c>
      <x:c r="S119" s="35" t="n">
        <x:f>XLOOKUP(H119,'菜品主数据'!$A$5:$A$24,'菜品主数据'!$G$5:$G$24,0)</x:f>
        <x:v>6.3759999999999994</x:v>
      </x:c>
      <x:c r="T119" s="35" t="n">
        <x:f>K119*S119</x:f>
        <x:v>0</x:v>
      </x:c>
      <x:c r="U119" s="35" t="n">
        <x:f>L119-N119-P119-R119-T119</x:f>
        <x:v>0</x:v>
      </x:c>
      <x:c r="V119" s="21" t="n">
        <x:f>IFERROR(U119/L119,0)</x:f>
        <x:v>0</x:v>
      </x:c>
    </x:row>
    <x:row r="120">
      <x:c r="A120" s="19" t="str">
        <x:v>SALE-00116</x:v>
      </x:c>
      <x:c r="B120" s="34" t="n">
        <x:v>46212.5</x:v>
      </x:c>
      <x:c r="C120" s="19" t="str">
        <x:v>周四</x:v>
      </x:c>
      <x:c r="D120" s="19" t="str">
        <x:v>S01</x:v>
      </x:c>
      <x:c r="E120" s="19" t="str">
        <x:v>近江天阳店</x:v>
      </x:c>
      <x:c r="F120" s="19" t="str">
        <x:v>外卖</x:v>
      </x:c>
      <x:c r="G120" s="19" t="str">
        <x:v>全日</x:v>
      </x:c>
      <x:c r="H120" s="19" t="str">
        <x:v>D16</x:v>
      </x:c>
      <x:c r="I120" s="19" t="str">
        <x:v>小豆角炒五花</x:v>
      </x:c>
      <x:c r="J120" s="22" t="n">
        <x:f>XLOOKUP(H120,'菜品主数据'!$A$5:$A$24,'菜品主数据'!$D$5:$D$24,0)</x:f>
        <x:v>25</x:v>
      </x:c>
      <x:c r="K120" s="31" t="n">
        <x:v>0</x:v>
      </x:c>
      <x:c r="L120" s="35" t="n">
        <x:f>J120*K120</x:f>
        <x:v>0</x:v>
      </x:c>
      <x:c r="M120" s="36" t="n">
        <x:v>0.08</x:v>
      </x:c>
      <x:c r="N120" s="35" t="n">
        <x:f>L120*M120</x:f>
        <x:v>0</x:v>
      </x:c>
      <x:c r="O120" s="37" t="n">
        <x:v>0.18</x:v>
      </x:c>
      <x:c r="P120" s="35" t="n">
        <x:f>L120*O120</x:f>
        <x:v>0</x:v>
      </x:c>
      <x:c r="Q120" s="35" t="n">
        <x:v>1.2</x:v>
      </x:c>
      <x:c r="R120" s="35" t="n">
        <x:f>K120*Q120</x:f>
        <x:v>0</x:v>
      </x:c>
      <x:c r="S120" s="35" t="n">
        <x:f>XLOOKUP(H120,'菜品主数据'!$A$5:$A$24,'菜品主数据'!$G$5:$G$24,0)</x:f>
        <x:v>8.184</x:v>
      </x:c>
      <x:c r="T120" s="35" t="n">
        <x:f>K120*S120</x:f>
        <x:v>0</x:v>
      </x:c>
      <x:c r="U120" s="35" t="n">
        <x:f>L120-N120-P120-R120-T120</x:f>
        <x:v>0</x:v>
      </x:c>
      <x:c r="V120" s="21" t="n">
        <x:f>IFERROR(U120/L120,0)</x:f>
        <x:v>0</x:v>
      </x:c>
    </x:row>
    <x:row r="121">
      <x:c r="A121" s="19" t="str">
        <x:v>SALE-00117</x:v>
      </x:c>
      <x:c r="B121" s="34" t="n">
        <x:v>46212.5</x:v>
      </x:c>
      <x:c r="C121" s="19" t="str">
        <x:v>周四</x:v>
      </x:c>
      <x:c r="D121" s="19" t="str">
        <x:v>S01</x:v>
      </x:c>
      <x:c r="E121" s="19" t="str">
        <x:v>近江天阳店</x:v>
      </x:c>
      <x:c r="F121" s="19" t="str">
        <x:v>外卖</x:v>
      </x:c>
      <x:c r="G121" s="19" t="str">
        <x:v>全日</x:v>
      </x:c>
      <x:c r="H121" s="19" t="str">
        <x:v>D17</x:v>
      </x:c>
      <x:c r="I121" s="19" t="str">
        <x:v>蒜蓉粉丝虾</x:v>
      </x:c>
      <x:c r="J121" s="22" t="n">
        <x:f>XLOOKUP(H121,'菜品主数据'!$A$5:$A$24,'菜品主数据'!$D$5:$D$24,0)</x:f>
        <x:v>36</x:v>
      </x:c>
      <x:c r="K121" s="31" t="n">
        <x:v>0</x:v>
      </x:c>
      <x:c r="L121" s="35" t="n">
        <x:f>J121*K121</x:f>
        <x:v>0</x:v>
      </x:c>
      <x:c r="M121" s="36" t="n">
        <x:v>0.08</x:v>
      </x:c>
      <x:c r="N121" s="35" t="n">
        <x:f>L121*M121</x:f>
        <x:v>0</x:v>
      </x:c>
      <x:c r="O121" s="37" t="n">
        <x:v>0.18</x:v>
      </x:c>
      <x:c r="P121" s="35" t="n">
        <x:f>L121*O121</x:f>
        <x:v>0</x:v>
      </x:c>
      <x:c r="Q121" s="35" t="n">
        <x:v>1.2</x:v>
      </x:c>
      <x:c r="R121" s="35" t="n">
        <x:f>K121*Q121</x:f>
        <x:v>0</x:v>
      </x:c>
      <x:c r="S121" s="35" t="n">
        <x:f>XLOOKUP(H121,'菜品主数据'!$A$5:$A$24,'菜品主数据'!$G$5:$G$24,0)</x:f>
        <x:v>13.594</x:v>
      </x:c>
      <x:c r="T121" s="35" t="n">
        <x:f>K121*S121</x:f>
        <x:v>0</x:v>
      </x:c>
      <x:c r="U121" s="35" t="n">
        <x:f>L121-N121-P121-R121-T121</x:f>
        <x:v>0</x:v>
      </x:c>
      <x:c r="V121" s="21" t="n">
        <x:f>IFERROR(U121/L121,0)</x:f>
        <x:v>0</x:v>
      </x:c>
    </x:row>
    <x:row r="122">
      <x:c r="A122" s="19" t="str">
        <x:v>SALE-00118</x:v>
      </x:c>
      <x:c r="B122" s="34" t="n">
        <x:v>46212.5</x:v>
      </x:c>
      <x:c r="C122" s="19" t="str">
        <x:v>周四</x:v>
      </x:c>
      <x:c r="D122" s="19" t="str">
        <x:v>S01</x:v>
      </x:c>
      <x:c r="E122" s="19" t="str">
        <x:v>近江天阳店</x:v>
      </x:c>
      <x:c r="F122" s="19" t="str">
        <x:v>外卖</x:v>
      </x:c>
      <x:c r="G122" s="19" t="str">
        <x:v>全日</x:v>
      </x:c>
      <x:c r="H122" s="19" t="str">
        <x:v>D18</x:v>
      </x:c>
      <x:c r="I122" s="19" t="str">
        <x:v>青椒炒油麦菜</x:v>
      </x:c>
      <x:c r="J122" s="22" t="n">
        <x:f>XLOOKUP(H122,'菜品主数据'!$A$5:$A$24,'菜品主数据'!$D$5:$D$24,0)</x:f>
        <x:v>18</x:v>
      </x:c>
      <x:c r="K122" s="31" t="n">
        <x:v>1</x:v>
      </x:c>
      <x:c r="L122" s="35" t="n">
        <x:f>J122*K122</x:f>
        <x:v>18</x:v>
      </x:c>
      <x:c r="M122" s="36" t="n">
        <x:v>0.08</x:v>
      </x:c>
      <x:c r="N122" s="35" t="n">
        <x:f>L122*M122</x:f>
        <x:v>1.44</x:v>
      </x:c>
      <x:c r="O122" s="37" t="n">
        <x:v>0.18</x:v>
      </x:c>
      <x:c r="P122" s="35" t="n">
        <x:f>L122*O122</x:f>
        <x:v>3.2399999999999998</x:v>
      </x:c>
      <x:c r="Q122" s="35" t="n">
        <x:v>1.2</x:v>
      </x:c>
      <x:c r="R122" s="35" t="n">
        <x:f>K122*Q122</x:f>
        <x:v>1.2</x:v>
      </x:c>
      <x:c r="S122" s="35" t="n">
        <x:f>XLOOKUP(H122,'菜品主数据'!$A$5:$A$24,'菜品主数据'!$G$5:$G$24,0)</x:f>
        <x:v>3.1759999999999993</x:v>
      </x:c>
      <x:c r="T122" s="35" t="n">
        <x:f>K122*S122</x:f>
        <x:v>3.1759999999999993</x:v>
      </x:c>
      <x:c r="U122" s="35" t="n">
        <x:f>L122-N122-P122-R122-T122</x:f>
        <x:v>8.943999999999999</x:v>
      </x:c>
      <x:c r="V122" s="21" t="n">
        <x:f>IFERROR(U122/L122,0)</x:f>
        <x:v>0.4968888888888888</x:v>
      </x:c>
    </x:row>
    <x:row r="123">
      <x:c r="A123" s="19" t="str">
        <x:v>SALE-00119</x:v>
      </x:c>
      <x:c r="B123" s="34" t="n">
        <x:v>46212.5</x:v>
      </x:c>
      <x:c r="C123" s="19" t="str">
        <x:v>周四</x:v>
      </x:c>
      <x:c r="D123" s="19" t="str">
        <x:v>S01</x:v>
      </x:c>
      <x:c r="E123" s="19" t="str">
        <x:v>近江天阳店</x:v>
      </x:c>
      <x:c r="F123" s="19" t="str">
        <x:v>外卖</x:v>
      </x:c>
      <x:c r="G123" s="19" t="str">
        <x:v>全日</x:v>
      </x:c>
      <x:c r="H123" s="19" t="str">
        <x:v>D19</x:v>
      </x:c>
      <x:c r="I123" s="19" t="str">
        <x:v>酸萝卜炒鸡杂</x:v>
      </x:c>
      <x:c r="J123" s="22" t="n">
        <x:f>XLOOKUP(H123,'菜品主数据'!$A$5:$A$24,'菜品主数据'!$D$5:$D$24,0)</x:f>
        <x:v>25</x:v>
      </x:c>
      <x:c r="K123" s="31" t="n">
        <x:v>0</x:v>
      </x:c>
      <x:c r="L123" s="35" t="n">
        <x:f>J123*K123</x:f>
        <x:v>0</x:v>
      </x:c>
      <x:c r="M123" s="36" t="n">
        <x:v>0.08</x:v>
      </x:c>
      <x:c r="N123" s="35" t="n">
        <x:f>L123*M123</x:f>
        <x:v>0</x:v>
      </x:c>
      <x:c r="O123" s="37" t="n">
        <x:v>0.18</x:v>
      </x:c>
      <x:c r="P123" s="35" t="n">
        <x:f>L123*O123</x:f>
        <x:v>0</x:v>
      </x:c>
      <x:c r="Q123" s="35" t="n">
        <x:v>1.2</x:v>
      </x:c>
      <x:c r="R123" s="35" t="n">
        <x:f>K123*Q123</x:f>
        <x:v>0</x:v>
      </x:c>
      <x:c r="S123" s="35" t="n">
        <x:f>XLOOKUP(H123,'菜品主数据'!$A$5:$A$24,'菜品主数据'!$G$5:$G$24,0)</x:f>
        <x:v>7.9399999999999995</x:v>
      </x:c>
      <x:c r="T123" s="35" t="n">
        <x:f>K123*S123</x:f>
        <x:v>0</x:v>
      </x:c>
      <x:c r="U123" s="35" t="n">
        <x:f>L123-N123-P123-R123-T123</x:f>
        <x:v>0</x:v>
      </x:c>
      <x:c r="V123" s="21" t="n">
        <x:f>IFERROR(U123/L123,0)</x:f>
        <x:v>0</x:v>
      </x:c>
    </x:row>
    <x:row r="124">
      <x:c r="A124" s="19" t="str">
        <x:v>SALE-00120</x:v>
      </x:c>
      <x:c r="B124" s="34" t="n">
        <x:v>46212.5</x:v>
      </x:c>
      <x:c r="C124" s="19" t="str">
        <x:v>周四</x:v>
      </x:c>
      <x:c r="D124" s="19" t="str">
        <x:v>S01</x:v>
      </x:c>
      <x:c r="E124" s="19" t="str">
        <x:v>近江天阳店</x:v>
      </x:c>
      <x:c r="F124" s="19" t="str">
        <x:v>外卖</x:v>
      </x:c>
      <x:c r="G124" s="19" t="str">
        <x:v>全日</x:v>
      </x:c>
      <x:c r="H124" s="19" t="str">
        <x:v>D20</x:v>
      </x:c>
      <x:c r="I124" s="19" t="str">
        <x:v>雪菜肉末青豆</x:v>
      </x:c>
      <x:c r="J124" s="22" t="n">
        <x:f>XLOOKUP(H124,'菜品主数据'!$A$5:$A$24,'菜品主数据'!$D$5:$D$24,0)</x:f>
        <x:v>18</x:v>
      </x:c>
      <x:c r="K124" s="31" t="n">
        <x:v>0</x:v>
      </x:c>
      <x:c r="L124" s="35" t="n">
        <x:f>J124*K124</x:f>
        <x:v>0</x:v>
      </x:c>
      <x:c r="M124" s="36" t="n">
        <x:v>0.08</x:v>
      </x:c>
      <x:c r="N124" s="35" t="n">
        <x:f>L124*M124</x:f>
        <x:v>0</x:v>
      </x:c>
      <x:c r="O124" s="37" t="n">
        <x:v>0.18</x:v>
      </x:c>
      <x:c r="P124" s="35" t="n">
        <x:f>L124*O124</x:f>
        <x:v>0</x:v>
      </x:c>
      <x:c r="Q124" s="35" t="n">
        <x:v>1.2</x:v>
      </x:c>
      <x:c r="R124" s="35" t="n">
        <x:f>K124*Q124</x:f>
        <x:v>0</x:v>
      </x:c>
      <x:c r="S124" s="35" t="n">
        <x:f>XLOOKUP(H124,'菜品主数据'!$A$5:$A$24,'菜品主数据'!$G$5:$G$24,0)</x:f>
        <x:v>7.303999999999999</x:v>
      </x:c>
      <x:c r="T124" s="35" t="n">
        <x:f>K124*S124</x:f>
        <x:v>0</x:v>
      </x:c>
      <x:c r="U124" s="35" t="n">
        <x:f>L124-N124-P124-R124-T124</x:f>
        <x:v>0</x:v>
      </x:c>
      <x:c r="V124" s="21" t="n">
        <x:f>IFERROR(U124/L124,0)</x:f>
        <x:v>0</x:v>
      </x:c>
    </x:row>
    <x:row r="125">
      <x:c r="A125" s="19" t="str">
        <x:v>SALE-00121</x:v>
      </x:c>
      <x:c r="B125" s="34" t="n">
        <x:v>46213.5</x:v>
      </x:c>
      <x:c r="C125" s="19" t="str">
        <x:v>周五</x:v>
      </x:c>
      <x:c r="D125" s="19" t="str">
        <x:v>S01</x:v>
      </x:c>
      <x:c r="E125" s="19" t="str">
        <x:v>近江天阳店</x:v>
      </x:c>
      <x:c r="F125" s="19" t="str">
        <x:v>堂食</x:v>
      </x:c>
      <x:c r="G125" s="19" t="str">
        <x:v>全日</x:v>
      </x:c>
      <x:c r="H125" s="19" t="str">
        <x:v>D01</x:v>
      </x:c>
      <x:c r="I125" s="19" t="str">
        <x:v>辣椒炒肉</x:v>
      </x:c>
      <x:c r="J125" s="22" t="n">
        <x:f>XLOOKUP(H125,'菜品主数据'!$A$5:$A$24,'菜品主数据'!$D$5:$D$24,0)</x:f>
        <x:v>29</x:v>
      </x:c>
      <x:c r="K125" s="31" t="n">
        <x:v>50</x:v>
      </x:c>
      <x:c r="L125" s="35" t="n">
        <x:f>J125*K125</x:f>
        <x:v>1450</x:v>
      </x:c>
      <x:c r="M125" s="36" t="n">
        <x:v>0</x:v>
      </x:c>
      <x:c r="N125" s="35" t="n">
        <x:f>L125*M125</x:f>
        <x:v>0</x:v>
      </x:c>
      <x:c r="O125" s="37" t="n">
        <x:v>0</x:v>
      </x:c>
      <x:c r="P125" s="35" t="n">
        <x:f>L125*O125</x:f>
        <x:v>0</x:v>
      </x:c>
      <x:c r="Q125" s="35" t="n">
        <x:v>0</x:v>
      </x:c>
      <x:c r="R125" s="35" t="n">
        <x:f>K125*Q125</x:f>
        <x:v>0</x:v>
      </x:c>
      <x:c r="S125" s="35" t="n">
        <x:f>XLOOKUP(H125,'菜品主数据'!$A$5:$A$24,'菜品主数据'!$G$5:$G$24,0)</x:f>
        <x:v>8.634400000000001</x:v>
      </x:c>
      <x:c r="T125" s="35" t="n">
        <x:f>K125*S125</x:f>
        <x:v>431.7200000000001</x:v>
      </x:c>
      <x:c r="U125" s="35" t="n">
        <x:f>L125-N125-P125-R125-T125</x:f>
        <x:v>1018.28</x:v>
      </x:c>
      <x:c r="V125" s="21" t="n">
        <x:f>IFERROR(U125/L125,0)</x:f>
        <x:v>0.7022620689655172</x:v>
      </x:c>
    </x:row>
    <x:row r="126">
      <x:c r="A126" s="19" t="str">
        <x:v>SALE-00122</x:v>
      </x:c>
      <x:c r="B126" s="34" t="n">
        <x:v>46213.5</x:v>
      </x:c>
      <x:c r="C126" s="19" t="str">
        <x:v>周五</x:v>
      </x:c>
      <x:c r="D126" s="19" t="str">
        <x:v>S01</x:v>
      </x:c>
      <x:c r="E126" s="19" t="str">
        <x:v>近江天阳店</x:v>
      </x:c>
      <x:c r="F126" s="19" t="str">
        <x:v>堂食</x:v>
      </x:c>
      <x:c r="G126" s="19" t="str">
        <x:v>全日</x:v>
      </x:c>
      <x:c r="H126" s="19" t="str">
        <x:v>D02</x:v>
      </x:c>
      <x:c r="I126" s="19" t="str">
        <x:v>小炒黄牛肉</x:v>
      </x:c>
      <x:c r="J126" s="22" t="n">
        <x:f>XLOOKUP(H126,'菜品主数据'!$A$5:$A$24,'菜品主数据'!$D$5:$D$24,0)</x:f>
        <x:v>49</x:v>
      </x:c>
      <x:c r="K126" s="31" t="n">
        <x:v>27</x:v>
      </x:c>
      <x:c r="L126" s="35" t="n">
        <x:f>J126*K126</x:f>
        <x:v>1323</x:v>
      </x:c>
      <x:c r="M126" s="36" t="n">
        <x:v>0</x:v>
      </x:c>
      <x:c r="N126" s="35" t="n">
        <x:f>L126*M126</x:f>
        <x:v>0</x:v>
      </x:c>
      <x:c r="O126" s="37" t="n">
        <x:v>0</x:v>
      </x:c>
      <x:c r="P126" s="35" t="n">
        <x:f>L126*O126</x:f>
        <x:v>0</x:v>
      </x:c>
      <x:c r="Q126" s="35" t="n">
        <x:v>0</x:v>
      </x:c>
      <x:c r="R126" s="35" t="n">
        <x:f>K126*Q126</x:f>
        <x:v>0</x:v>
      </x:c>
      <x:c r="S126" s="35" t="n">
        <x:f>XLOOKUP(H126,'菜品主数据'!$A$5:$A$24,'菜品主数据'!$G$5:$G$24,0)</x:f>
        <x:v>17.577</x:v>
      </x:c>
      <x:c r="T126" s="35" t="n">
        <x:f>K126*S126</x:f>
        <x:v>474.57900000000006</x:v>
      </x:c>
      <x:c r="U126" s="35" t="n">
        <x:f>L126-N126-P126-R126-T126</x:f>
        <x:v>848.4209999999999</x:v>
      </x:c>
      <x:c r="V126" s="21" t="n">
        <x:f>IFERROR(U126/L126,0)</x:f>
        <x:v>0.6412857142857142</x:v>
      </x:c>
    </x:row>
    <x:row r="127">
      <x:c r="A127" s="19" t="str">
        <x:v>SALE-00123</x:v>
      </x:c>
      <x:c r="B127" s="34" t="n">
        <x:v>46213.5</x:v>
      </x:c>
      <x:c r="C127" s="19" t="str">
        <x:v>周五</x:v>
      </x:c>
      <x:c r="D127" s="19" t="str">
        <x:v>S01</x:v>
      </x:c>
      <x:c r="E127" s="19" t="str">
        <x:v>近江天阳店</x:v>
      </x:c>
      <x:c r="F127" s="19" t="str">
        <x:v>堂食</x:v>
      </x:c>
      <x:c r="G127" s="19" t="str">
        <x:v>全日</x:v>
      </x:c>
      <x:c r="H127" s="19" t="str">
        <x:v>D03</x:v>
      </x:c>
      <x:c r="I127" s="19" t="str">
        <x:v>香醋炒蛋</x:v>
      </x:c>
      <x:c r="J127" s="22" t="n">
        <x:f>XLOOKUP(H127,'菜品主数据'!$A$5:$A$24,'菜品主数据'!$D$5:$D$24,0)</x:f>
        <x:v>14.9</x:v>
      </x:c>
      <x:c r="K127" s="31" t="n">
        <x:v>45</x:v>
      </x:c>
      <x:c r="L127" s="35" t="n">
        <x:f>J127*K127</x:f>
        <x:v>670.5</x:v>
      </x:c>
      <x:c r="M127" s="36" t="n">
        <x:v>0</x:v>
      </x:c>
      <x:c r="N127" s="35" t="n">
        <x:f>L127*M127</x:f>
        <x:v>0</x:v>
      </x:c>
      <x:c r="O127" s="37" t="n">
        <x:v>0</x:v>
      </x:c>
      <x:c r="P127" s="35" t="n">
        <x:f>L127*O127</x:f>
        <x:v>0</x:v>
      </x:c>
      <x:c r="Q127" s="35" t="n">
        <x:v>0</x:v>
      </x:c>
      <x:c r="R127" s="35" t="n">
        <x:f>K127*Q127</x:f>
        <x:v>0</x:v>
      </x:c>
      <x:c r="S127" s="35" t="n">
        <x:f>XLOOKUP(H127,'菜品主数据'!$A$5:$A$24,'菜品主数据'!$G$5:$G$24,0)</x:f>
        <x:v>3.7459999999999996</x:v>
      </x:c>
      <x:c r="T127" s="35" t="n">
        <x:f>K127*S127</x:f>
        <x:v>168.57</x:v>
      </x:c>
      <x:c r="U127" s="35" t="n">
        <x:f>L127-N127-P127-R127-T127</x:f>
        <x:v>501.93</x:v>
      </x:c>
      <x:c r="V127" s="21" t="n">
        <x:f>IFERROR(U127/L127,0)</x:f>
        <x:v>0.7485906040268456</x:v>
      </x:c>
    </x:row>
    <x:row r="128">
      <x:c r="A128" s="19" t="str">
        <x:v>SALE-00124</x:v>
      </x:c>
      <x:c r="B128" s="34" t="n">
        <x:v>46213.5</x:v>
      </x:c>
      <x:c r="C128" s="19" t="str">
        <x:v>周五</x:v>
      </x:c>
      <x:c r="D128" s="19" t="str">
        <x:v>S01</x:v>
      </x:c>
      <x:c r="E128" s="19" t="str">
        <x:v>近江天阳店</x:v>
      </x:c>
      <x:c r="F128" s="19" t="str">
        <x:v>堂食</x:v>
      </x:c>
      <x:c r="G128" s="19" t="str">
        <x:v>全日</x:v>
      </x:c>
      <x:c r="H128" s="19" t="str">
        <x:v>D04</x:v>
      </x:c>
      <x:c r="I128" s="19" t="str">
        <x:v>酸包菜炒粉皮</x:v>
      </x:c>
      <x:c r="J128" s="22" t="n">
        <x:f>XLOOKUP(H128,'菜品主数据'!$A$5:$A$24,'菜品主数据'!$D$5:$D$24,0)</x:f>
        <x:v>16</x:v>
      </x:c>
      <x:c r="K128" s="31" t="n">
        <x:v>41</x:v>
      </x:c>
      <x:c r="L128" s="35" t="n">
        <x:f>J128*K128</x:f>
        <x:v>656</x:v>
      </x:c>
      <x:c r="M128" s="36" t="n">
        <x:v>0</x:v>
      </x:c>
      <x:c r="N128" s="35" t="n">
        <x:f>L128*M128</x:f>
        <x:v>0</x:v>
      </x:c>
      <x:c r="O128" s="37" t="n">
        <x:v>0</x:v>
      </x:c>
      <x:c r="P128" s="35" t="n">
        <x:f>L128*O128</x:f>
        <x:v>0</x:v>
      </x:c>
      <x:c r="Q128" s="35" t="n">
        <x:v>0</x:v>
      </x:c>
      <x:c r="R128" s="35" t="n">
        <x:f>K128*Q128</x:f>
        <x:v>0</x:v>
      </x:c>
      <x:c r="S128" s="35" t="n">
        <x:f>XLOOKUP(H128,'菜品主数据'!$A$5:$A$24,'菜品主数据'!$G$5:$G$24,0)</x:f>
        <x:v>3.978</x:v>
      </x:c>
      <x:c r="T128" s="35" t="n">
        <x:f>K128*S128</x:f>
        <x:v>163.098</x:v>
      </x:c>
      <x:c r="U128" s="35" t="n">
        <x:f>L128-N128-P128-R128-T128</x:f>
        <x:v>492.902</x:v>
      </x:c>
      <x:c r="V128" s="21" t="n">
        <x:f>IFERROR(U128/L128,0)</x:f>
        <x:v>0.751375</x:v>
      </x:c>
    </x:row>
    <x:row r="129">
      <x:c r="A129" s="19" t="str">
        <x:v>SALE-00125</x:v>
      </x:c>
      <x:c r="B129" s="34" t="n">
        <x:v>46213.5</x:v>
      </x:c>
      <x:c r="C129" s="19" t="str">
        <x:v>周五</x:v>
      </x:c>
      <x:c r="D129" s="19" t="str">
        <x:v>S01</x:v>
      </x:c>
      <x:c r="E129" s="19" t="str">
        <x:v>近江天阳店</x:v>
      </x:c>
      <x:c r="F129" s="19" t="str">
        <x:v>堂食</x:v>
      </x:c>
      <x:c r="G129" s="19" t="str">
        <x:v>全日</x:v>
      </x:c>
      <x:c r="H129" s="19" t="str">
        <x:v>D05</x:v>
      </x:c>
      <x:c r="I129" s="19" t="str">
        <x:v>麻婆豆腐</x:v>
      </x:c>
      <x:c r="J129" s="22" t="n">
        <x:f>XLOOKUP(H129,'菜品主数据'!$A$5:$A$24,'菜品主数据'!$D$5:$D$24,0)</x:f>
        <x:v>9.9</x:v>
      </x:c>
      <x:c r="K129" s="31" t="n">
        <x:v>53</x:v>
      </x:c>
      <x:c r="L129" s="35" t="n">
        <x:f>J129*K129</x:f>
        <x:v>524.7</x:v>
      </x:c>
      <x:c r="M129" s="36" t="n">
        <x:v>0</x:v>
      </x:c>
      <x:c r="N129" s="35" t="n">
        <x:f>L129*M129</x:f>
        <x:v>0</x:v>
      </x:c>
      <x:c r="O129" s="37" t="n">
        <x:v>0</x:v>
      </x:c>
      <x:c r="P129" s="35" t="n">
        <x:f>L129*O129</x:f>
        <x:v>0</x:v>
      </x:c>
      <x:c r="Q129" s="35" t="n">
        <x:v>0</x:v>
      </x:c>
      <x:c r="R129" s="35" t="n">
        <x:f>K129*Q129</x:f>
        <x:v>0</x:v>
      </x:c>
      <x:c r="S129" s="35" t="n">
        <x:f>XLOOKUP(H129,'菜品主数据'!$A$5:$A$24,'菜品主数据'!$G$5:$G$24,0)</x:f>
        <x:v>5.367000000000001</x:v>
      </x:c>
      <x:c r="T129" s="35" t="n">
        <x:f>K129*S129</x:f>
        <x:v>284.451</x:v>
      </x:c>
      <x:c r="U129" s="35" t="n">
        <x:f>L129-N129-P129-R129-T129</x:f>
        <x:v>240.24900000000002</x:v>
      </x:c>
      <x:c r="V129" s="21" t="n">
        <x:f>IFERROR(U129/L129,0)</x:f>
        <x:v>0.4578787878787879</x:v>
      </x:c>
    </x:row>
    <x:row r="130">
      <x:c r="A130" s="19" t="str">
        <x:v>SALE-00126</x:v>
      </x:c>
      <x:c r="B130" s="34" t="n">
        <x:v>46213.5</x:v>
      </x:c>
      <x:c r="C130" s="19" t="str">
        <x:v>周五</x:v>
      </x:c>
      <x:c r="D130" s="19" t="str">
        <x:v>S01</x:v>
      </x:c>
      <x:c r="E130" s="19" t="str">
        <x:v>近江天阳店</x:v>
      </x:c>
      <x:c r="F130" s="19" t="str">
        <x:v>堂食</x:v>
      </x:c>
      <x:c r="G130" s="19" t="str">
        <x:v>全日</x:v>
      </x:c>
      <x:c r="H130" s="19" t="str">
        <x:v>D06</x:v>
      </x:c>
      <x:c r="I130" s="19" t="str">
        <x:v>剁椒鱼头</x:v>
      </x:c>
      <x:c r="J130" s="22" t="n">
        <x:f>XLOOKUP(H130,'菜品主数据'!$A$5:$A$24,'菜品主数据'!$D$5:$D$24,0)</x:f>
        <x:v>39</x:v>
      </x:c>
      <x:c r="K130" s="31" t="n">
        <x:v>15</x:v>
      </x:c>
      <x:c r="L130" s="35" t="n">
        <x:f>J130*K130</x:f>
        <x:v>585</x:v>
      </x:c>
      <x:c r="M130" s="36" t="n">
        <x:v>0</x:v>
      </x:c>
      <x:c r="N130" s="35" t="n">
        <x:f>L130*M130</x:f>
        <x:v>0</x:v>
      </x:c>
      <x:c r="O130" s="37" t="n">
        <x:v>0</x:v>
      </x:c>
      <x:c r="P130" s="35" t="n">
        <x:f>L130*O130</x:f>
        <x:v>0</x:v>
      </x:c>
      <x:c r="Q130" s="35" t="n">
        <x:v>0</x:v>
      </x:c>
      <x:c r="R130" s="35" t="n">
        <x:f>K130*Q130</x:f>
        <x:v>0</x:v>
      </x:c>
      <x:c r="S130" s="35" t="n">
        <x:f>XLOOKUP(H130,'菜品主数据'!$A$5:$A$24,'菜品主数据'!$G$5:$G$24,0)</x:f>
        <x:v>17.446</x:v>
      </x:c>
      <x:c r="T130" s="35" t="n">
        <x:f>K130*S130</x:f>
        <x:v>261.69</x:v>
      </x:c>
      <x:c r="U130" s="35" t="n">
        <x:f>L130-N130-P130-R130-T130</x:f>
        <x:v>323.31</x:v>
      </x:c>
      <x:c r="V130" s="21" t="n">
        <x:f>IFERROR(U130/L130,0)</x:f>
        <x:v>0.5526666666666666</x:v>
      </x:c>
    </x:row>
    <x:row r="131">
      <x:c r="A131" s="19" t="str">
        <x:v>SALE-00127</x:v>
      </x:c>
      <x:c r="B131" s="34" t="n">
        <x:v>46213.5</x:v>
      </x:c>
      <x:c r="C131" s="19" t="str">
        <x:v>周五</x:v>
      </x:c>
      <x:c r="D131" s="19" t="str">
        <x:v>S01</x:v>
      </x:c>
      <x:c r="E131" s="19" t="str">
        <x:v>近江天阳店</x:v>
      </x:c>
      <x:c r="F131" s="19" t="str">
        <x:v>堂食</x:v>
      </x:c>
      <x:c r="G131" s="19" t="str">
        <x:v>全日</x:v>
      </x:c>
      <x:c r="H131" s="19" t="str">
        <x:v>D07</x:v>
      </x:c>
      <x:c r="I131" s="19" t="str">
        <x:v>川味回锅肉</x:v>
      </x:c>
      <x:c r="J131" s="22" t="n">
        <x:f>XLOOKUP(H131,'菜品主数据'!$A$5:$A$24,'菜品主数据'!$D$5:$D$24,0)</x:f>
        <x:v>29</x:v>
      </x:c>
      <x:c r="K131" s="31" t="n">
        <x:v>18</x:v>
      </x:c>
      <x:c r="L131" s="35" t="n">
        <x:f>J131*K131</x:f>
        <x:v>522</x:v>
      </x:c>
      <x:c r="M131" s="36" t="n">
        <x:v>0</x:v>
      </x:c>
      <x:c r="N131" s="35" t="n">
        <x:f>L131*M131</x:f>
        <x:v>0</x:v>
      </x:c>
      <x:c r="O131" s="37" t="n">
        <x:v>0</x:v>
      </x:c>
      <x:c r="P131" s="35" t="n">
        <x:f>L131*O131</x:f>
        <x:v>0</x:v>
      </x:c>
      <x:c r="Q131" s="35" t="n">
        <x:v>0</x:v>
      </x:c>
      <x:c r="R131" s="35" t="n">
        <x:f>K131*Q131</x:f>
        <x:v>0</x:v>
      </x:c>
      <x:c r="S131" s="35" t="n">
        <x:f>XLOOKUP(H131,'菜品主数据'!$A$5:$A$24,'菜品主数据'!$G$5:$G$24,0)</x:f>
        <x:v>10.231000000000002</x:v>
      </x:c>
      <x:c r="T131" s="35" t="n">
        <x:f>K131*S131</x:f>
        <x:v>184.15800000000002</x:v>
      </x:c>
      <x:c r="U131" s="35" t="n">
        <x:f>L131-N131-P131-R131-T131</x:f>
        <x:v>337.842</x:v>
      </x:c>
      <x:c r="V131" s="21" t="n">
        <x:f>IFERROR(U131/L131,0)</x:f>
        <x:v>0.6472068965517241</x:v>
      </x:c>
    </x:row>
    <x:row r="132">
      <x:c r="A132" s="19" t="str">
        <x:v>SALE-00128</x:v>
      </x:c>
      <x:c r="B132" s="34" t="n">
        <x:v>46213.5</x:v>
      </x:c>
      <x:c r="C132" s="19" t="str">
        <x:v>周五</x:v>
      </x:c>
      <x:c r="D132" s="19" t="str">
        <x:v>S01</x:v>
      </x:c>
      <x:c r="E132" s="19" t="str">
        <x:v>近江天阳店</x:v>
      </x:c>
      <x:c r="F132" s="19" t="str">
        <x:v>堂食</x:v>
      </x:c>
      <x:c r="G132" s="19" t="str">
        <x:v>全日</x:v>
      </x:c>
      <x:c r="H132" s="19" t="str">
        <x:v>D08</x:v>
      </x:c>
      <x:c r="I132" s="19" t="str">
        <x:v>生炒清远鸡</x:v>
      </x:c>
      <x:c r="J132" s="22" t="n">
        <x:f>XLOOKUP(H132,'菜品主数据'!$A$5:$A$24,'菜品主数据'!$D$5:$D$24,0)</x:f>
        <x:v>36</x:v>
      </x:c>
      <x:c r="K132" s="31" t="n">
        <x:v>11</x:v>
      </x:c>
      <x:c r="L132" s="35" t="n">
        <x:f>J132*K132</x:f>
        <x:v>396</x:v>
      </x:c>
      <x:c r="M132" s="36" t="n">
        <x:v>0</x:v>
      </x:c>
      <x:c r="N132" s="35" t="n">
        <x:f>L132*M132</x:f>
        <x:v>0</x:v>
      </x:c>
      <x:c r="O132" s="37" t="n">
        <x:v>0</x:v>
      </x:c>
      <x:c r="P132" s="35" t="n">
        <x:f>L132*O132</x:f>
        <x:v>0</x:v>
      </x:c>
      <x:c r="Q132" s="35" t="n">
        <x:v>0</x:v>
      </x:c>
      <x:c r="R132" s="35" t="n">
        <x:f>K132*Q132</x:f>
        <x:v>0</x:v>
      </x:c>
      <x:c r="S132" s="35" t="n">
        <x:f>XLOOKUP(H132,'菜品主数据'!$A$5:$A$24,'菜品主数据'!$G$5:$G$24,0)</x:f>
        <x:v>13.48</x:v>
      </x:c>
      <x:c r="T132" s="35" t="n">
        <x:f>K132*S132</x:f>
        <x:v>148.28</x:v>
      </x:c>
      <x:c r="U132" s="35" t="n">
        <x:f>L132-N132-P132-R132-T132</x:f>
        <x:v>247.72</x:v>
      </x:c>
      <x:c r="V132" s="21" t="n">
        <x:f>IFERROR(U132/L132,0)</x:f>
        <x:v>0.6255555555555555</x:v>
      </x:c>
    </x:row>
    <x:row r="133">
      <x:c r="A133" s="19" t="str">
        <x:v>SALE-00129</x:v>
      </x:c>
      <x:c r="B133" s="34" t="n">
        <x:v>46213.5</x:v>
      </x:c>
      <x:c r="C133" s="19" t="str">
        <x:v>周五</x:v>
      </x:c>
      <x:c r="D133" s="19" t="str">
        <x:v>S01</x:v>
      </x:c>
      <x:c r="E133" s="19" t="str">
        <x:v>近江天阳店</x:v>
      </x:c>
      <x:c r="F133" s="19" t="str">
        <x:v>堂食</x:v>
      </x:c>
      <x:c r="G133" s="19" t="str">
        <x:v>全日</x:v>
      </x:c>
      <x:c r="H133" s="19" t="str">
        <x:v>D09</x:v>
      </x:c>
      <x:c r="I133" s="19" t="str">
        <x:v>炒豆干</x:v>
      </x:c>
      <x:c r="J133" s="22" t="n">
        <x:f>XLOOKUP(H133,'菜品主数据'!$A$5:$A$24,'菜品主数据'!$D$5:$D$24,0)</x:f>
        <x:v>18</x:v>
      </x:c>
      <x:c r="K133" s="31" t="n">
        <x:v>16</x:v>
      </x:c>
      <x:c r="L133" s="35" t="n">
        <x:f>J133*K133</x:f>
        <x:v>288</x:v>
      </x:c>
      <x:c r="M133" s="36" t="n">
        <x:v>0</x:v>
      </x:c>
      <x:c r="N133" s="35" t="n">
        <x:f>L133*M133</x:f>
        <x:v>0</x:v>
      </x:c>
      <x:c r="O133" s="37" t="n">
        <x:v>0</x:v>
      </x:c>
      <x:c r="P133" s="35" t="n">
        <x:f>L133*O133</x:f>
        <x:v>0</x:v>
      </x:c>
      <x:c r="Q133" s="35" t="n">
        <x:v>0</x:v>
      </x:c>
      <x:c r="R133" s="35" t="n">
        <x:f>K133*Q133</x:f>
        <x:v>0</x:v>
      </x:c>
      <x:c r="S133" s="35" t="n">
        <x:f>XLOOKUP(H133,'菜品主数据'!$A$5:$A$24,'菜品主数据'!$G$5:$G$24,0)</x:f>
        <x:v>6.613999999999999</x:v>
      </x:c>
      <x:c r="T133" s="35" t="n">
        <x:f>K133*S133</x:f>
        <x:v>105.82399999999998</x:v>
      </x:c>
      <x:c r="U133" s="35" t="n">
        <x:f>L133-N133-P133-R133-T133</x:f>
        <x:v>182.17600000000002</x:v>
      </x:c>
      <x:c r="V133" s="21" t="n">
        <x:f>IFERROR(U133/L133,0)</x:f>
        <x:v>0.6325555555555556</x:v>
      </x:c>
    </x:row>
    <x:row r="134">
      <x:c r="A134" s="19" t="str">
        <x:v>SALE-00130</x:v>
      </x:c>
      <x:c r="B134" s="34" t="n">
        <x:v>46213.5</x:v>
      </x:c>
      <x:c r="C134" s="19" t="str">
        <x:v>周五</x:v>
      </x:c>
      <x:c r="D134" s="19" t="str">
        <x:v>S01</x:v>
      </x:c>
      <x:c r="E134" s="19" t="str">
        <x:v>近江天阳店</x:v>
      </x:c>
      <x:c r="F134" s="19" t="str">
        <x:v>堂食</x:v>
      </x:c>
      <x:c r="G134" s="19" t="str">
        <x:v>全日</x:v>
      </x:c>
      <x:c r="H134" s="19" t="str">
        <x:v>D10</x:v>
      </x:c>
      <x:c r="I134" s="19" t="str">
        <x:v>农家一碗香</x:v>
      </x:c>
      <x:c r="J134" s="22" t="n">
        <x:f>XLOOKUP(H134,'菜品主数据'!$A$5:$A$24,'菜品主数据'!$D$5:$D$24,0)</x:f>
        <x:v>22.9</x:v>
      </x:c>
      <x:c r="K134" s="31" t="n">
        <x:v>19</x:v>
      </x:c>
      <x:c r="L134" s="35" t="n">
        <x:f>J134*K134</x:f>
        <x:v>435.09999999999997</x:v>
      </x:c>
      <x:c r="M134" s="36" t="n">
        <x:v>0</x:v>
      </x:c>
      <x:c r="N134" s="35" t="n">
        <x:f>L134*M134</x:f>
        <x:v>0</x:v>
      </x:c>
      <x:c r="O134" s="37" t="n">
        <x:v>0</x:v>
      </x:c>
      <x:c r="P134" s="35" t="n">
        <x:f>L134*O134</x:f>
        <x:v>0</x:v>
      </x:c>
      <x:c r="Q134" s="35" t="n">
        <x:v>0</x:v>
      </x:c>
      <x:c r="R134" s="35" t="n">
        <x:f>K134*Q134</x:f>
        <x:v>0</x:v>
      </x:c>
      <x:c r="S134" s="35" t="n">
        <x:f>XLOOKUP(H134,'菜品主数据'!$A$5:$A$24,'菜品主数据'!$G$5:$G$24,0)</x:f>
        <x:v>9.770200000000003</x:v>
      </x:c>
      <x:c r="T134" s="35" t="n">
        <x:f>K134*S134</x:f>
        <x:v>185.63380000000006</x:v>
      </x:c>
      <x:c r="U134" s="35" t="n">
        <x:f>L134-N134-P134-R134-T134</x:f>
        <x:v>249.4661999999999</x:v>
      </x:c>
      <x:c r="V134" s="21" t="n">
        <x:f>IFERROR(U134/L134,0)</x:f>
        <x:v>0.5733537117903929</x:v>
      </x:c>
    </x:row>
    <x:row r="135">
      <x:c r="A135" s="19" t="str">
        <x:v>SALE-00131</x:v>
      </x:c>
      <x:c r="B135" s="34" t="n">
        <x:v>46213.5</x:v>
      </x:c>
      <x:c r="C135" s="19" t="str">
        <x:v>周五</x:v>
      </x:c>
      <x:c r="D135" s="19" t="str">
        <x:v>S01</x:v>
      </x:c>
      <x:c r="E135" s="19" t="str">
        <x:v>近江天阳店</x:v>
      </x:c>
      <x:c r="F135" s="19" t="str">
        <x:v>堂食</x:v>
      </x:c>
      <x:c r="G135" s="19" t="str">
        <x:v>全日</x:v>
      </x:c>
      <x:c r="H135" s="19" t="str">
        <x:v>D11</x:v>
      </x:c>
      <x:c r="I135" s="19" t="str">
        <x:v>香辣爆肥肠</x:v>
      </x:c>
      <x:c r="J135" s="22" t="n">
        <x:f>XLOOKUP(H135,'菜品主数据'!$A$5:$A$24,'菜品主数据'!$D$5:$D$24,0)</x:f>
        <x:v>39</x:v>
      </x:c>
      <x:c r="K135" s="31" t="n">
        <x:v>7</x:v>
      </x:c>
      <x:c r="L135" s="35" t="n">
        <x:f>J135*K135</x:f>
        <x:v>273</x:v>
      </x:c>
      <x:c r="M135" s="36" t="n">
        <x:v>0</x:v>
      </x:c>
      <x:c r="N135" s="35" t="n">
        <x:f>L135*M135</x:f>
        <x:v>0</x:v>
      </x:c>
      <x:c r="O135" s="37" t="n">
        <x:v>0</x:v>
      </x:c>
      <x:c r="P135" s="35" t="n">
        <x:f>L135*O135</x:f>
        <x:v>0</x:v>
      </x:c>
      <x:c r="Q135" s="35" t="n">
        <x:v>0</x:v>
      </x:c>
      <x:c r="R135" s="35" t="n">
        <x:f>K135*Q135</x:f>
        <x:v>0</x:v>
      </x:c>
      <x:c r="S135" s="35" t="n">
        <x:f>XLOOKUP(H135,'菜品主数据'!$A$5:$A$24,'菜品主数据'!$G$5:$G$24,0)</x:f>
        <x:v>10.397</x:v>
      </x:c>
      <x:c r="T135" s="35" t="n">
        <x:f>K135*S135</x:f>
        <x:v>72.779</x:v>
      </x:c>
      <x:c r="U135" s="35" t="n">
        <x:f>L135-N135-P135-R135-T135</x:f>
        <x:v>200.221</x:v>
      </x:c>
      <x:c r="V135" s="21" t="n">
        <x:f>IFERROR(U135/L135,0)</x:f>
        <x:v>0.7334102564102565</x:v>
      </x:c>
    </x:row>
    <x:row r="136">
      <x:c r="A136" s="19" t="str">
        <x:v>SALE-00132</x:v>
      </x:c>
      <x:c r="B136" s="34" t="n">
        <x:v>46213.5</x:v>
      </x:c>
      <x:c r="C136" s="19" t="str">
        <x:v>周五</x:v>
      </x:c>
      <x:c r="D136" s="19" t="str">
        <x:v>S01</x:v>
      </x:c>
      <x:c r="E136" s="19" t="str">
        <x:v>近江天阳店</x:v>
      </x:c>
      <x:c r="F136" s="19" t="str">
        <x:v>堂食</x:v>
      </x:c>
      <x:c r="G136" s="19" t="str">
        <x:v>全日</x:v>
      </x:c>
      <x:c r="H136" s="19" t="str">
        <x:v>D12</x:v>
      </x:c>
      <x:c r="I136" s="19" t="str">
        <x:v>清蒸鲈鱼</x:v>
      </x:c>
      <x:c r="J136" s="22" t="n">
        <x:f>XLOOKUP(H136,'菜品主数据'!$A$5:$A$24,'菜品主数据'!$D$5:$D$24,0)</x:f>
        <x:v>39</x:v>
      </x:c>
      <x:c r="K136" s="31" t="n">
        <x:v>7</x:v>
      </x:c>
      <x:c r="L136" s="35" t="n">
        <x:f>J136*K136</x:f>
        <x:v>273</x:v>
      </x:c>
      <x:c r="M136" s="36" t="n">
        <x:v>0</x:v>
      </x:c>
      <x:c r="N136" s="35" t="n">
        <x:f>L136*M136</x:f>
        <x:v>0</x:v>
      </x:c>
      <x:c r="O136" s="37" t="n">
        <x:v>0</x:v>
      </x:c>
      <x:c r="P136" s="35" t="n">
        <x:f>L136*O136</x:f>
        <x:v>0</x:v>
      </x:c>
      <x:c r="Q136" s="35" t="n">
        <x:v>0</x:v>
      </x:c>
      <x:c r="R136" s="35" t="n">
        <x:f>K136*Q136</x:f>
        <x:v>0</x:v>
      </x:c>
      <x:c r="S136" s="35" t="n">
        <x:f>XLOOKUP(H136,'菜品主数据'!$A$5:$A$24,'菜品主数据'!$G$5:$G$24,0)</x:f>
        <x:v>18.874</x:v>
      </x:c>
      <x:c r="T136" s="35" t="n">
        <x:f>K136*S136</x:f>
        <x:v>132.118</x:v>
      </x:c>
      <x:c r="U136" s="35" t="n">
        <x:f>L136-N136-P136-R136-T136</x:f>
        <x:v>140.882</x:v>
      </x:c>
      <x:c r="V136" s="21" t="n">
        <x:f>IFERROR(U136/L136,0)</x:f>
        <x:v>0.516051282051282</x:v>
      </x:c>
    </x:row>
    <x:row r="137">
      <x:c r="A137" s="19" t="str">
        <x:v>SALE-00133</x:v>
      </x:c>
      <x:c r="B137" s="34" t="n">
        <x:v>46213.5</x:v>
      </x:c>
      <x:c r="C137" s="19" t="str">
        <x:v>周五</x:v>
      </x:c>
      <x:c r="D137" s="19" t="str">
        <x:v>S01</x:v>
      </x:c>
      <x:c r="E137" s="19" t="str">
        <x:v>近江天阳店</x:v>
      </x:c>
      <x:c r="F137" s="19" t="str">
        <x:v>堂食</x:v>
      </x:c>
      <x:c r="G137" s="19" t="str">
        <x:v>全日</x:v>
      </x:c>
      <x:c r="H137" s="19" t="str">
        <x:v>D13</x:v>
      </x:c>
      <x:c r="I137" s="19" t="str">
        <x:v>外婆菜炒蛋</x:v>
      </x:c>
      <x:c r="J137" s="22" t="n">
        <x:f>XLOOKUP(H137,'菜品主数据'!$A$5:$A$24,'菜品主数据'!$D$5:$D$24,0)</x:f>
        <x:v>18</x:v>
      </x:c>
      <x:c r="K137" s="31" t="n">
        <x:v>18</x:v>
      </x:c>
      <x:c r="L137" s="35" t="n">
        <x:f>J137*K137</x:f>
        <x:v>324</x:v>
      </x:c>
      <x:c r="M137" s="36" t="n">
        <x:v>0</x:v>
      </x:c>
      <x:c r="N137" s="35" t="n">
        <x:f>L137*M137</x:f>
        <x:v>0</x:v>
      </x:c>
      <x:c r="O137" s="37" t="n">
        <x:v>0</x:v>
      </x:c>
      <x:c r="P137" s="35" t="n">
        <x:f>L137*O137</x:f>
        <x:v>0</x:v>
      </x:c>
      <x:c r="Q137" s="35" t="n">
        <x:v>0</x:v>
      </x:c>
      <x:c r="R137" s="35" t="n">
        <x:f>K137*Q137</x:f>
        <x:v>0</x:v>
      </x:c>
      <x:c r="S137" s="35" t="n">
        <x:f>XLOOKUP(H137,'菜品主数据'!$A$5:$A$24,'菜品主数据'!$G$5:$G$24,0)</x:f>
        <x:v>5.403999999999999</x:v>
      </x:c>
      <x:c r="T137" s="35" t="n">
        <x:f>K137*S137</x:f>
        <x:v>97.27199999999998</x:v>
      </x:c>
      <x:c r="U137" s="35" t="n">
        <x:f>L137-N137-P137-R137-T137</x:f>
        <x:v>226.728</x:v>
      </x:c>
      <x:c r="V137" s="21" t="n">
        <x:f>IFERROR(U137/L137,0)</x:f>
        <x:v>0.6997777777777778</x:v>
      </x:c>
    </x:row>
    <x:row r="138">
      <x:c r="A138" s="19" t="str">
        <x:v>SALE-00134</x:v>
      </x:c>
      <x:c r="B138" s="34" t="n">
        <x:v>46213.5</x:v>
      </x:c>
      <x:c r="C138" s="19" t="str">
        <x:v>周五</x:v>
      </x:c>
      <x:c r="D138" s="19" t="str">
        <x:v>S01</x:v>
      </x:c>
      <x:c r="E138" s="19" t="str">
        <x:v>近江天阳店</x:v>
      </x:c>
      <x:c r="F138" s="19" t="str">
        <x:v>堂食</x:v>
      </x:c>
      <x:c r="G138" s="19" t="str">
        <x:v>全日</x:v>
      </x:c>
      <x:c r="H138" s="19" t="str">
        <x:v>D14</x:v>
      </x:c>
      <x:c r="I138" s="19" t="str">
        <x:v>酸辣鸡杂</x:v>
      </x:c>
      <x:c r="J138" s="22" t="n">
        <x:f>XLOOKUP(H138,'菜品主数据'!$A$5:$A$24,'菜品主数据'!$D$5:$D$24,0)</x:f>
        <x:v>28</x:v>
      </x:c>
      <x:c r="K138" s="31" t="n">
        <x:v>10</x:v>
      </x:c>
      <x:c r="L138" s="35" t="n">
        <x:f>J138*K138</x:f>
        <x:v>280</x:v>
      </x:c>
      <x:c r="M138" s="36" t="n">
        <x:v>0</x:v>
      </x:c>
      <x:c r="N138" s="35" t="n">
        <x:f>L138*M138</x:f>
        <x:v>0</x:v>
      </x:c>
      <x:c r="O138" s="37" t="n">
        <x:v>0</x:v>
      </x:c>
      <x:c r="P138" s="35" t="n">
        <x:f>L138*O138</x:f>
        <x:v>0</x:v>
      </x:c>
      <x:c r="Q138" s="35" t="n">
        <x:v>0</x:v>
      </x:c>
      <x:c r="R138" s="35" t="n">
        <x:f>K138*Q138</x:f>
        <x:v>0</x:v>
      </x:c>
      <x:c r="S138" s="35" t="n">
        <x:f>XLOOKUP(H138,'菜品主数据'!$A$5:$A$24,'菜品主数据'!$G$5:$G$24,0)</x:f>
        <x:v>8.315000000000001</x:v>
      </x:c>
      <x:c r="T138" s="35" t="n">
        <x:f>K138*S138</x:f>
        <x:v>83.15</x:v>
      </x:c>
      <x:c r="U138" s="35" t="n">
        <x:f>L138-N138-P138-R138-T138</x:f>
        <x:v>196.85</x:v>
      </x:c>
      <x:c r="V138" s="21" t="n">
        <x:f>IFERROR(U138/L138,0)</x:f>
        <x:v>0.7030357142857143</x:v>
      </x:c>
    </x:row>
    <x:row r="139">
      <x:c r="A139" s="19" t="str">
        <x:v>SALE-00135</x:v>
      </x:c>
      <x:c r="B139" s="34" t="n">
        <x:v>46213.5</x:v>
      </x:c>
      <x:c r="C139" s="19" t="str">
        <x:v>周五</x:v>
      </x:c>
      <x:c r="D139" s="19" t="str">
        <x:v>S01</x:v>
      </x:c>
      <x:c r="E139" s="19" t="str">
        <x:v>近江天阳店</x:v>
      </x:c>
      <x:c r="F139" s="19" t="str">
        <x:v>堂食</x:v>
      </x:c>
      <x:c r="G139" s="19" t="str">
        <x:v>全日</x:v>
      </x:c>
      <x:c r="H139" s="19" t="str">
        <x:v>D15</x:v>
      </x:c>
      <x:c r="I139" s="19" t="str">
        <x:v>湘西土匪猪肝</x:v>
      </x:c>
      <x:c r="J139" s="22" t="n">
        <x:f>XLOOKUP(H139,'菜品主数据'!$A$5:$A$24,'菜品主数据'!$D$5:$D$24,0)</x:f>
        <x:v>26</x:v>
      </x:c>
      <x:c r="K139" s="31" t="n">
        <x:v>8</x:v>
      </x:c>
      <x:c r="L139" s="35" t="n">
        <x:f>J139*K139</x:f>
        <x:v>208</x:v>
      </x:c>
      <x:c r="M139" s="36" t="n">
        <x:v>0</x:v>
      </x:c>
      <x:c r="N139" s="35" t="n">
        <x:f>L139*M139</x:f>
        <x:v>0</x:v>
      </x:c>
      <x:c r="O139" s="37" t="n">
        <x:v>0</x:v>
      </x:c>
      <x:c r="P139" s="35" t="n">
        <x:f>L139*O139</x:f>
        <x:v>0</x:v>
      </x:c>
      <x:c r="Q139" s="35" t="n">
        <x:v>0</x:v>
      </x:c>
      <x:c r="R139" s="35" t="n">
        <x:f>K139*Q139</x:f>
        <x:v>0</x:v>
      </x:c>
      <x:c r="S139" s="35" t="n">
        <x:f>XLOOKUP(H139,'菜品主数据'!$A$5:$A$24,'菜品主数据'!$G$5:$G$24,0)</x:f>
        <x:v>6.3759999999999994</x:v>
      </x:c>
      <x:c r="T139" s="35" t="n">
        <x:f>K139*S139</x:f>
        <x:v>51.007999999999996</x:v>
      </x:c>
      <x:c r="U139" s="35" t="n">
        <x:f>L139-N139-P139-R139-T139</x:f>
        <x:v>156.99200000000002</x:v>
      </x:c>
      <x:c r="V139" s="21" t="n">
        <x:f>IFERROR(U139/L139,0)</x:f>
        <x:v>0.7547692307692309</x:v>
      </x:c>
    </x:row>
    <x:row r="140">
      <x:c r="A140" s="19" t="str">
        <x:v>SALE-00136</x:v>
      </x:c>
      <x:c r="B140" s="34" t="n">
        <x:v>46213.5</x:v>
      </x:c>
      <x:c r="C140" s="19" t="str">
        <x:v>周五</x:v>
      </x:c>
      <x:c r="D140" s="19" t="str">
        <x:v>S01</x:v>
      </x:c>
      <x:c r="E140" s="19" t="str">
        <x:v>近江天阳店</x:v>
      </x:c>
      <x:c r="F140" s="19" t="str">
        <x:v>堂食</x:v>
      </x:c>
      <x:c r="G140" s="19" t="str">
        <x:v>全日</x:v>
      </x:c>
      <x:c r="H140" s="19" t="str">
        <x:v>D16</x:v>
      </x:c>
      <x:c r="I140" s="19" t="str">
        <x:v>小豆角炒五花</x:v>
      </x:c>
      <x:c r="J140" s="22" t="n">
        <x:f>XLOOKUP(H140,'菜品主数据'!$A$5:$A$24,'菜品主数据'!$D$5:$D$24,0)</x:f>
        <x:v>25</x:v>
      </x:c>
      <x:c r="K140" s="31" t="n">
        <x:v>9</x:v>
      </x:c>
      <x:c r="L140" s="35" t="n">
        <x:f>J140*K140</x:f>
        <x:v>225</x:v>
      </x:c>
      <x:c r="M140" s="36" t="n">
        <x:v>0</x:v>
      </x:c>
      <x:c r="N140" s="35" t="n">
        <x:f>L140*M140</x:f>
        <x:v>0</x:v>
      </x:c>
      <x:c r="O140" s="37" t="n">
        <x:v>0</x:v>
      </x:c>
      <x:c r="P140" s="35" t="n">
        <x:f>L140*O140</x:f>
        <x:v>0</x:v>
      </x:c>
      <x:c r="Q140" s="35" t="n">
        <x:v>0</x:v>
      </x:c>
      <x:c r="R140" s="35" t="n">
        <x:f>K140*Q140</x:f>
        <x:v>0</x:v>
      </x:c>
      <x:c r="S140" s="35" t="n">
        <x:f>XLOOKUP(H140,'菜品主数据'!$A$5:$A$24,'菜品主数据'!$G$5:$G$24,0)</x:f>
        <x:v>8.184</x:v>
      </x:c>
      <x:c r="T140" s="35" t="n">
        <x:f>K140*S140</x:f>
        <x:v>73.65599999999999</x:v>
      </x:c>
      <x:c r="U140" s="35" t="n">
        <x:f>L140-N140-P140-R140-T140</x:f>
        <x:v>151.344</x:v>
      </x:c>
      <x:c r="V140" s="21" t="n">
        <x:f>IFERROR(U140/L140,0)</x:f>
        <x:v>0.67264</x:v>
      </x:c>
    </x:row>
    <x:row r="141">
      <x:c r="A141" s="19" t="str">
        <x:v>SALE-00137</x:v>
      </x:c>
      <x:c r="B141" s="34" t="n">
        <x:v>46213.5</x:v>
      </x:c>
      <x:c r="C141" s="19" t="str">
        <x:v>周五</x:v>
      </x:c>
      <x:c r="D141" s="19" t="str">
        <x:v>S01</x:v>
      </x:c>
      <x:c r="E141" s="19" t="str">
        <x:v>近江天阳店</x:v>
      </x:c>
      <x:c r="F141" s="19" t="str">
        <x:v>堂食</x:v>
      </x:c>
      <x:c r="G141" s="19" t="str">
        <x:v>全日</x:v>
      </x:c>
      <x:c r="H141" s="19" t="str">
        <x:v>D17</x:v>
      </x:c>
      <x:c r="I141" s="19" t="str">
        <x:v>蒜蓉粉丝虾</x:v>
      </x:c>
      <x:c r="J141" s="22" t="n">
        <x:f>XLOOKUP(H141,'菜品主数据'!$A$5:$A$24,'菜品主数据'!$D$5:$D$24,0)</x:f>
        <x:v>36</x:v>
      </x:c>
      <x:c r="K141" s="31" t="n">
        <x:v>6</x:v>
      </x:c>
      <x:c r="L141" s="35" t="n">
        <x:f>J141*K141</x:f>
        <x:v>216</x:v>
      </x:c>
      <x:c r="M141" s="36" t="n">
        <x:v>0</x:v>
      </x:c>
      <x:c r="N141" s="35" t="n">
        <x:f>L141*M141</x:f>
        <x:v>0</x:v>
      </x:c>
      <x:c r="O141" s="37" t="n">
        <x:v>0</x:v>
      </x:c>
      <x:c r="P141" s="35" t="n">
        <x:f>L141*O141</x:f>
        <x:v>0</x:v>
      </x:c>
      <x:c r="Q141" s="35" t="n">
        <x:v>0</x:v>
      </x:c>
      <x:c r="R141" s="35" t="n">
        <x:f>K141*Q141</x:f>
        <x:v>0</x:v>
      </x:c>
      <x:c r="S141" s="35" t="n">
        <x:f>XLOOKUP(H141,'菜品主数据'!$A$5:$A$24,'菜品主数据'!$G$5:$G$24,0)</x:f>
        <x:v>13.594</x:v>
      </x:c>
      <x:c r="T141" s="35" t="n">
        <x:f>K141*S141</x:f>
        <x:v>81.564</x:v>
      </x:c>
      <x:c r="U141" s="35" t="n">
        <x:f>L141-N141-P141-R141-T141</x:f>
        <x:v>134.436</x:v>
      </x:c>
      <x:c r="V141" s="21" t="n">
        <x:f>IFERROR(U141/L141,0)</x:f>
        <x:v>0.6223888888888889</x:v>
      </x:c>
    </x:row>
    <x:row r="142">
      <x:c r="A142" s="19" t="str">
        <x:v>SALE-00138</x:v>
      </x:c>
      <x:c r="B142" s="34" t="n">
        <x:v>46213.5</x:v>
      </x:c>
      <x:c r="C142" s="19" t="str">
        <x:v>周五</x:v>
      </x:c>
      <x:c r="D142" s="19" t="str">
        <x:v>S01</x:v>
      </x:c>
      <x:c r="E142" s="19" t="str">
        <x:v>近江天阳店</x:v>
      </x:c>
      <x:c r="F142" s="19" t="str">
        <x:v>堂食</x:v>
      </x:c>
      <x:c r="G142" s="19" t="str">
        <x:v>全日</x:v>
      </x:c>
      <x:c r="H142" s="19" t="str">
        <x:v>D18</x:v>
      </x:c>
      <x:c r="I142" s="19" t="str">
        <x:v>青椒炒油麦菜</x:v>
      </x:c>
      <x:c r="J142" s="22" t="n">
        <x:f>XLOOKUP(H142,'菜品主数据'!$A$5:$A$24,'菜品主数据'!$D$5:$D$24,0)</x:f>
        <x:v>18</x:v>
      </x:c>
      <x:c r="K142" s="31" t="n">
        <x:v>10</x:v>
      </x:c>
      <x:c r="L142" s="35" t="n">
        <x:f>J142*K142</x:f>
        <x:v>180</x:v>
      </x:c>
      <x:c r="M142" s="36" t="n">
        <x:v>0</x:v>
      </x:c>
      <x:c r="N142" s="35" t="n">
        <x:f>L142*M142</x:f>
        <x:v>0</x:v>
      </x:c>
      <x:c r="O142" s="37" t="n">
        <x:v>0</x:v>
      </x:c>
      <x:c r="P142" s="35" t="n">
        <x:f>L142*O142</x:f>
        <x:v>0</x:v>
      </x:c>
      <x:c r="Q142" s="35" t="n">
        <x:v>0</x:v>
      </x:c>
      <x:c r="R142" s="35" t="n">
        <x:f>K142*Q142</x:f>
        <x:v>0</x:v>
      </x:c>
      <x:c r="S142" s="35" t="n">
        <x:f>XLOOKUP(H142,'菜品主数据'!$A$5:$A$24,'菜品主数据'!$G$5:$G$24,0)</x:f>
        <x:v>3.1759999999999993</x:v>
      </x:c>
      <x:c r="T142" s="35" t="n">
        <x:f>K142*S142</x:f>
        <x:v>31.75999999999999</x:v>
      </x:c>
      <x:c r="U142" s="35" t="n">
        <x:f>L142-N142-P142-R142-T142</x:f>
        <x:v>148.24</x:v>
      </x:c>
      <x:c r="V142" s="21" t="n">
        <x:f>IFERROR(U142/L142,0)</x:f>
        <x:v>0.8235555555555556</x:v>
      </x:c>
    </x:row>
    <x:row r="143">
      <x:c r="A143" s="19" t="str">
        <x:v>SALE-00139</x:v>
      </x:c>
      <x:c r="B143" s="34" t="n">
        <x:v>46213.5</x:v>
      </x:c>
      <x:c r="C143" s="19" t="str">
        <x:v>周五</x:v>
      </x:c>
      <x:c r="D143" s="19" t="str">
        <x:v>S01</x:v>
      </x:c>
      <x:c r="E143" s="19" t="str">
        <x:v>近江天阳店</x:v>
      </x:c>
      <x:c r="F143" s="19" t="str">
        <x:v>堂食</x:v>
      </x:c>
      <x:c r="G143" s="19" t="str">
        <x:v>全日</x:v>
      </x:c>
      <x:c r="H143" s="19" t="str">
        <x:v>D19</x:v>
      </x:c>
      <x:c r="I143" s="19" t="str">
        <x:v>酸萝卜炒鸡杂</x:v>
      </x:c>
      <x:c r="J143" s="22" t="n">
        <x:f>XLOOKUP(H143,'菜品主数据'!$A$5:$A$24,'菜品主数据'!$D$5:$D$24,0)</x:f>
        <x:v>25</x:v>
      </x:c>
      <x:c r="K143" s="31" t="n">
        <x:v>6</x:v>
      </x:c>
      <x:c r="L143" s="35" t="n">
        <x:f>J143*K143</x:f>
        <x:v>150</x:v>
      </x:c>
      <x:c r="M143" s="36" t="n">
        <x:v>0</x:v>
      </x:c>
      <x:c r="N143" s="35" t="n">
        <x:f>L143*M143</x:f>
        <x:v>0</x:v>
      </x:c>
      <x:c r="O143" s="37" t="n">
        <x:v>0</x:v>
      </x:c>
      <x:c r="P143" s="35" t="n">
        <x:f>L143*O143</x:f>
        <x:v>0</x:v>
      </x:c>
      <x:c r="Q143" s="35" t="n">
        <x:v>0</x:v>
      </x:c>
      <x:c r="R143" s="35" t="n">
        <x:f>K143*Q143</x:f>
        <x:v>0</x:v>
      </x:c>
      <x:c r="S143" s="35" t="n">
        <x:f>XLOOKUP(H143,'菜品主数据'!$A$5:$A$24,'菜品主数据'!$G$5:$G$24,0)</x:f>
        <x:v>7.9399999999999995</x:v>
      </x:c>
      <x:c r="T143" s="35" t="n">
        <x:f>K143*S143</x:f>
        <x:v>47.64</x:v>
      </x:c>
      <x:c r="U143" s="35" t="n">
        <x:f>L143-N143-P143-R143-T143</x:f>
        <x:v>102.36</x:v>
      </x:c>
      <x:c r="V143" s="21" t="n">
        <x:f>IFERROR(U143/L143,0)</x:f>
        <x:v>0.6824</x:v>
      </x:c>
    </x:row>
    <x:row r="144">
      <x:c r="A144" s="19" t="str">
        <x:v>SALE-00140</x:v>
      </x:c>
      <x:c r="B144" s="34" t="n">
        <x:v>46213.5</x:v>
      </x:c>
      <x:c r="C144" s="19" t="str">
        <x:v>周五</x:v>
      </x:c>
      <x:c r="D144" s="19" t="str">
        <x:v>S01</x:v>
      </x:c>
      <x:c r="E144" s="19" t="str">
        <x:v>近江天阳店</x:v>
      </x:c>
      <x:c r="F144" s="19" t="str">
        <x:v>堂食</x:v>
      </x:c>
      <x:c r="G144" s="19" t="str">
        <x:v>全日</x:v>
      </x:c>
      <x:c r="H144" s="19" t="str">
        <x:v>D20</x:v>
      </x:c>
      <x:c r="I144" s="19" t="str">
        <x:v>雪菜肉末青豆</x:v>
      </x:c>
      <x:c r="J144" s="22" t="n">
        <x:f>XLOOKUP(H144,'菜品主数据'!$A$5:$A$24,'菜品主数据'!$D$5:$D$24,0)</x:f>
        <x:v>18</x:v>
      </x:c>
      <x:c r="K144" s="31" t="n">
        <x:v>9</x:v>
      </x:c>
      <x:c r="L144" s="35" t="n">
        <x:f>J144*K144</x:f>
        <x:v>162</x:v>
      </x:c>
      <x:c r="M144" s="36" t="n">
        <x:v>0</x:v>
      </x:c>
      <x:c r="N144" s="35" t="n">
        <x:f>L144*M144</x:f>
        <x:v>0</x:v>
      </x:c>
      <x:c r="O144" s="37" t="n">
        <x:v>0</x:v>
      </x:c>
      <x:c r="P144" s="35" t="n">
        <x:f>L144*O144</x:f>
        <x:v>0</x:v>
      </x:c>
      <x:c r="Q144" s="35" t="n">
        <x:v>0</x:v>
      </x:c>
      <x:c r="R144" s="35" t="n">
        <x:f>K144*Q144</x:f>
        <x:v>0</x:v>
      </x:c>
      <x:c r="S144" s="35" t="n">
        <x:f>XLOOKUP(H144,'菜品主数据'!$A$5:$A$24,'菜品主数据'!$G$5:$G$24,0)</x:f>
        <x:v>7.303999999999999</x:v>
      </x:c>
      <x:c r="T144" s="35" t="n">
        <x:f>K144*S144</x:f>
        <x:v>65.73599999999999</x:v>
      </x:c>
      <x:c r="U144" s="35" t="n">
        <x:f>L144-N144-P144-R144-T144</x:f>
        <x:v>96.26400000000001</x:v>
      </x:c>
      <x:c r="V144" s="21" t="n">
        <x:f>IFERROR(U144/L144,0)</x:f>
        <x:v>0.5942222222222223</x:v>
      </x:c>
    </x:row>
    <x:row r="145">
      <x:c r="A145" s="19" t="str">
        <x:v>SALE-00141</x:v>
      </x:c>
      <x:c r="B145" s="34" t="n">
        <x:v>46213.5</x:v>
      </x:c>
      <x:c r="C145" s="19" t="str">
        <x:v>周五</x:v>
      </x:c>
      <x:c r="D145" s="19" t="str">
        <x:v>S01</x:v>
      </x:c>
      <x:c r="E145" s="19" t="str">
        <x:v>近江天阳店</x:v>
      </x:c>
      <x:c r="F145" s="19" t="str">
        <x:v>外卖</x:v>
      </x:c>
      <x:c r="G145" s="19" t="str">
        <x:v>全日</x:v>
      </x:c>
      <x:c r="H145" s="19" t="str">
        <x:v>D01</x:v>
      </x:c>
      <x:c r="I145" s="19" t="str">
        <x:v>辣椒炒肉</x:v>
      </x:c>
      <x:c r="J145" s="22" t="n">
        <x:f>XLOOKUP(H145,'菜品主数据'!$A$5:$A$24,'菜品主数据'!$D$5:$D$24,0)</x:f>
        <x:v>29</x:v>
      </x:c>
      <x:c r="K145" s="31" t="n">
        <x:v>5</x:v>
      </x:c>
      <x:c r="L145" s="35" t="n">
        <x:f>J145*K145</x:f>
        <x:v>145</x:v>
      </x:c>
      <x:c r="M145" s="36" t="n">
        <x:v>0.08</x:v>
      </x:c>
      <x:c r="N145" s="35" t="n">
        <x:f>L145*M145</x:f>
        <x:v>11.6</x:v>
      </x:c>
      <x:c r="O145" s="37" t="n">
        <x:v>0.18</x:v>
      </x:c>
      <x:c r="P145" s="35" t="n">
        <x:f>L145*O145</x:f>
        <x:v>26.099999999999998</x:v>
      </x:c>
      <x:c r="Q145" s="35" t="n">
        <x:v>1.2</x:v>
      </x:c>
      <x:c r="R145" s="35" t="n">
        <x:f>K145*Q145</x:f>
        <x:v>6</x:v>
      </x:c>
      <x:c r="S145" s="35" t="n">
        <x:f>XLOOKUP(H145,'菜品主数据'!$A$5:$A$24,'菜品主数据'!$G$5:$G$24,0)</x:f>
        <x:v>8.634400000000001</x:v>
      </x:c>
      <x:c r="T145" s="35" t="n">
        <x:f>K145*S145</x:f>
        <x:v>43.172000000000004</x:v>
      </x:c>
      <x:c r="U145" s="35" t="n">
        <x:f>L145-N145-P145-R145-T145</x:f>
        <x:v>58.12800000000001</x:v>
      </x:c>
      <x:c r="V145" s="21" t="n">
        <x:f>IFERROR(U145/L145,0)</x:f>
        <x:v>0.4008827586206897</x:v>
      </x:c>
    </x:row>
    <x:row r="146">
      <x:c r="A146" s="19" t="str">
        <x:v>SALE-00142</x:v>
      </x:c>
      <x:c r="B146" s="34" t="n">
        <x:v>46213.5</x:v>
      </x:c>
      <x:c r="C146" s="19" t="str">
        <x:v>周五</x:v>
      </x:c>
      <x:c r="D146" s="19" t="str">
        <x:v>S01</x:v>
      </x:c>
      <x:c r="E146" s="19" t="str">
        <x:v>近江天阳店</x:v>
      </x:c>
      <x:c r="F146" s="19" t="str">
        <x:v>外卖</x:v>
      </x:c>
      <x:c r="G146" s="19" t="str">
        <x:v>全日</x:v>
      </x:c>
      <x:c r="H146" s="19" t="str">
        <x:v>D02</x:v>
      </x:c>
      <x:c r="I146" s="19" t="str">
        <x:v>小炒黄牛肉</x:v>
      </x:c>
      <x:c r="J146" s="22" t="n">
        <x:f>XLOOKUP(H146,'菜品主数据'!$A$5:$A$24,'菜品主数据'!$D$5:$D$24,0)</x:f>
        <x:v>49</x:v>
      </x:c>
      <x:c r="K146" s="31" t="n">
        <x:v>9</x:v>
      </x:c>
      <x:c r="L146" s="35" t="n">
        <x:f>J146*K146</x:f>
        <x:v>441</x:v>
      </x:c>
      <x:c r="M146" s="36" t="n">
        <x:v>0.08</x:v>
      </x:c>
      <x:c r="N146" s="35" t="n">
        <x:f>L146*M146</x:f>
        <x:v>35.28</x:v>
      </x:c>
      <x:c r="O146" s="37" t="n">
        <x:v>0.18</x:v>
      </x:c>
      <x:c r="P146" s="35" t="n">
        <x:f>L146*O146</x:f>
        <x:v>79.38</x:v>
      </x:c>
      <x:c r="Q146" s="35" t="n">
        <x:v>1.2</x:v>
      </x:c>
      <x:c r="R146" s="35" t="n">
        <x:f>K146*Q146</x:f>
        <x:v>10.799999999999999</x:v>
      </x:c>
      <x:c r="S146" s="35" t="n">
        <x:f>XLOOKUP(H146,'菜品主数据'!$A$5:$A$24,'菜品主数据'!$G$5:$G$24,0)</x:f>
        <x:v>17.577</x:v>
      </x:c>
      <x:c r="T146" s="35" t="n">
        <x:f>K146*S146</x:f>
        <x:v>158.193</x:v>
      </x:c>
      <x:c r="U146" s="35" t="n">
        <x:f>L146-N146-P146-R146-T146</x:f>
        <x:v>157.347</x:v>
      </x:c>
      <x:c r="V146" s="21" t="n">
        <x:f>IFERROR(U146/L146,0)</x:f>
        <x:v>0.356795918367347</x:v>
      </x:c>
    </x:row>
    <x:row r="147">
      <x:c r="A147" s="19" t="str">
        <x:v>SALE-00143</x:v>
      </x:c>
      <x:c r="B147" s="34" t="n">
        <x:v>46213.5</x:v>
      </x:c>
      <x:c r="C147" s="19" t="str">
        <x:v>周五</x:v>
      </x:c>
      <x:c r="D147" s="19" t="str">
        <x:v>S01</x:v>
      </x:c>
      <x:c r="E147" s="19" t="str">
        <x:v>近江天阳店</x:v>
      </x:c>
      <x:c r="F147" s="19" t="str">
        <x:v>外卖</x:v>
      </x:c>
      <x:c r="G147" s="19" t="str">
        <x:v>全日</x:v>
      </x:c>
      <x:c r="H147" s="19" t="str">
        <x:v>D03</x:v>
      </x:c>
      <x:c r="I147" s="19" t="str">
        <x:v>香醋炒蛋</x:v>
      </x:c>
      <x:c r="J147" s="22" t="n">
        <x:f>XLOOKUP(H147,'菜品主数据'!$A$5:$A$24,'菜品主数据'!$D$5:$D$24,0)</x:f>
        <x:v>14.9</x:v>
      </x:c>
      <x:c r="K147" s="31" t="n">
        <x:v>4</x:v>
      </x:c>
      <x:c r="L147" s="35" t="n">
        <x:f>J147*K147</x:f>
        <x:v>59.6</x:v>
      </x:c>
      <x:c r="M147" s="36" t="n">
        <x:v>0.08</x:v>
      </x:c>
      <x:c r="N147" s="35" t="n">
        <x:f>L147*M147</x:f>
        <x:v>4.768</x:v>
      </x:c>
      <x:c r="O147" s="37" t="n">
        <x:v>0.18</x:v>
      </x:c>
      <x:c r="P147" s="35" t="n">
        <x:f>L147*O147</x:f>
        <x:v>10.728</x:v>
      </x:c>
      <x:c r="Q147" s="35" t="n">
        <x:v>1.2</x:v>
      </x:c>
      <x:c r="R147" s="35" t="n">
        <x:f>K147*Q147</x:f>
        <x:v>4.8</x:v>
      </x:c>
      <x:c r="S147" s="35" t="n">
        <x:f>XLOOKUP(H147,'菜品主数据'!$A$5:$A$24,'菜品主数据'!$G$5:$G$24,0)</x:f>
        <x:v>3.7459999999999996</x:v>
      </x:c>
      <x:c r="T147" s="35" t="n">
        <x:f>K147*S147</x:f>
        <x:v>14.983999999999998</x:v>
      </x:c>
      <x:c r="U147" s="35" t="n">
        <x:f>L147-N147-P147-R147-T147</x:f>
        <x:v>24.320000000000004</x:v>
      </x:c>
      <x:c r="V147" s="21" t="n">
        <x:f>IFERROR(U147/L147,0)</x:f>
        <x:v>0.40805369127516783</x:v>
      </x:c>
    </x:row>
    <x:row r="148">
      <x:c r="A148" s="19" t="str">
        <x:v>SALE-00144</x:v>
      </x:c>
      <x:c r="B148" s="34" t="n">
        <x:v>46213.5</x:v>
      </x:c>
      <x:c r="C148" s="19" t="str">
        <x:v>周五</x:v>
      </x:c>
      <x:c r="D148" s="19" t="str">
        <x:v>S01</x:v>
      </x:c>
      <x:c r="E148" s="19" t="str">
        <x:v>近江天阳店</x:v>
      </x:c>
      <x:c r="F148" s="19" t="str">
        <x:v>外卖</x:v>
      </x:c>
      <x:c r="G148" s="19" t="str">
        <x:v>全日</x:v>
      </x:c>
      <x:c r="H148" s="19" t="str">
        <x:v>D04</x:v>
      </x:c>
      <x:c r="I148" s="19" t="str">
        <x:v>酸包菜炒粉皮</x:v>
      </x:c>
      <x:c r="J148" s="22" t="n">
        <x:f>XLOOKUP(H148,'菜品主数据'!$A$5:$A$24,'菜品主数据'!$D$5:$D$24,0)</x:f>
        <x:v>16</x:v>
      </x:c>
      <x:c r="K148" s="31" t="n">
        <x:v>4</x:v>
      </x:c>
      <x:c r="L148" s="35" t="n">
        <x:f>J148*K148</x:f>
        <x:v>64</x:v>
      </x:c>
      <x:c r="M148" s="36" t="n">
        <x:v>0.08</x:v>
      </x:c>
      <x:c r="N148" s="35" t="n">
        <x:f>L148*M148</x:f>
        <x:v>5.12</x:v>
      </x:c>
      <x:c r="O148" s="37" t="n">
        <x:v>0.18</x:v>
      </x:c>
      <x:c r="P148" s="35" t="n">
        <x:f>L148*O148</x:f>
        <x:v>11.52</x:v>
      </x:c>
      <x:c r="Q148" s="35" t="n">
        <x:v>1.2</x:v>
      </x:c>
      <x:c r="R148" s="35" t="n">
        <x:f>K148*Q148</x:f>
        <x:v>4.8</x:v>
      </x:c>
      <x:c r="S148" s="35" t="n">
        <x:f>XLOOKUP(H148,'菜品主数据'!$A$5:$A$24,'菜品主数据'!$G$5:$G$24,0)</x:f>
        <x:v>3.978</x:v>
      </x:c>
      <x:c r="T148" s="35" t="n">
        <x:f>K148*S148</x:f>
        <x:v>15.912</x:v>
      </x:c>
      <x:c r="U148" s="35" t="n">
        <x:f>L148-N148-P148-R148-T148</x:f>
        <x:v>26.648000000000003</x:v>
      </x:c>
      <x:c r="V148" s="21" t="n">
        <x:f>IFERROR(U148/L148,0)</x:f>
        <x:v>0.41637500000000005</x:v>
      </x:c>
    </x:row>
    <x:row r="149">
      <x:c r="A149" s="19" t="str">
        <x:v>SALE-00145</x:v>
      </x:c>
      <x:c r="B149" s="34" t="n">
        <x:v>46213.5</x:v>
      </x:c>
      <x:c r="C149" s="19" t="str">
        <x:v>周五</x:v>
      </x:c>
      <x:c r="D149" s="19" t="str">
        <x:v>S01</x:v>
      </x:c>
      <x:c r="E149" s="19" t="str">
        <x:v>近江天阳店</x:v>
      </x:c>
      <x:c r="F149" s="19" t="str">
        <x:v>外卖</x:v>
      </x:c>
      <x:c r="G149" s="19" t="str">
        <x:v>全日</x:v>
      </x:c>
      <x:c r="H149" s="19" t="str">
        <x:v>D05</x:v>
      </x:c>
      <x:c r="I149" s="19" t="str">
        <x:v>麻婆豆腐</x:v>
      </x:c>
      <x:c r="J149" s="22" t="n">
        <x:f>XLOOKUP(H149,'菜品主数据'!$A$5:$A$24,'菜品主数据'!$D$5:$D$24,0)</x:f>
        <x:v>9.9</x:v>
      </x:c>
      <x:c r="K149" s="31" t="n">
        <x:v>6</x:v>
      </x:c>
      <x:c r="L149" s="35" t="n">
        <x:f>J149*K149</x:f>
        <x:v>59.400000000000006</x:v>
      </x:c>
      <x:c r="M149" s="36" t="n">
        <x:v>0.08</x:v>
      </x:c>
      <x:c r="N149" s="35" t="n">
        <x:f>L149*M149</x:f>
        <x:v>4.752000000000001</x:v>
      </x:c>
      <x:c r="O149" s="37" t="n">
        <x:v>0.18</x:v>
      </x:c>
      <x:c r="P149" s="35" t="n">
        <x:f>L149*O149</x:f>
        <x:v>10.692</x:v>
      </x:c>
      <x:c r="Q149" s="35" t="n">
        <x:v>1.2</x:v>
      </x:c>
      <x:c r="R149" s="35" t="n">
        <x:f>K149*Q149</x:f>
        <x:v>7.199999999999999</x:v>
      </x:c>
      <x:c r="S149" s="35" t="n">
        <x:f>XLOOKUP(H149,'菜品主数据'!$A$5:$A$24,'菜品主数据'!$G$5:$G$24,0)</x:f>
        <x:v>5.367000000000001</x:v>
      </x:c>
      <x:c r="T149" s="35" t="n">
        <x:f>K149*S149</x:f>
        <x:v>32.202000000000005</x:v>
      </x:c>
      <x:c r="U149" s="35" t="n">
        <x:f>L149-N149-P149-R149-T149</x:f>
        <x:v>4.553999999999995</x:v>
      </x:c>
      <x:c r="V149" s="21" t="n">
        <x:f>IFERROR(U149/L149,0)</x:f>
        <x:v>0.07666666666666658</x:v>
      </x:c>
    </x:row>
    <x:row r="150">
      <x:c r="A150" s="19" t="str">
        <x:v>SALE-00146</x:v>
      </x:c>
      <x:c r="B150" s="34" t="n">
        <x:v>46213.5</x:v>
      </x:c>
      <x:c r="C150" s="19" t="str">
        <x:v>周五</x:v>
      </x:c>
      <x:c r="D150" s="19" t="str">
        <x:v>S01</x:v>
      </x:c>
      <x:c r="E150" s="19" t="str">
        <x:v>近江天阳店</x:v>
      </x:c>
      <x:c r="F150" s="19" t="str">
        <x:v>外卖</x:v>
      </x:c>
      <x:c r="G150" s="19" t="str">
        <x:v>全日</x:v>
      </x:c>
      <x:c r="H150" s="19" t="str">
        <x:v>D06</x:v>
      </x:c>
      <x:c r="I150" s="19" t="str">
        <x:v>剁椒鱼头</x:v>
      </x:c>
      <x:c r="J150" s="22" t="n">
        <x:f>XLOOKUP(H150,'菜品主数据'!$A$5:$A$24,'菜品主数据'!$D$5:$D$24,0)</x:f>
        <x:v>39</x:v>
      </x:c>
      <x:c r="K150" s="31" t="n">
        <x:v>1</x:v>
      </x:c>
      <x:c r="L150" s="35" t="n">
        <x:f>J150*K150</x:f>
        <x:v>39</x:v>
      </x:c>
      <x:c r="M150" s="36" t="n">
        <x:v>0.08</x:v>
      </x:c>
      <x:c r="N150" s="35" t="n">
        <x:f>L150*M150</x:f>
        <x:v>3.12</x:v>
      </x:c>
      <x:c r="O150" s="37" t="n">
        <x:v>0.18</x:v>
      </x:c>
      <x:c r="P150" s="35" t="n">
        <x:f>L150*O150</x:f>
        <x:v>7.02</x:v>
      </x:c>
      <x:c r="Q150" s="35" t="n">
        <x:v>1.2</x:v>
      </x:c>
      <x:c r="R150" s="35" t="n">
        <x:f>K150*Q150</x:f>
        <x:v>1.2</x:v>
      </x:c>
      <x:c r="S150" s="35" t="n">
        <x:f>XLOOKUP(H150,'菜品主数据'!$A$5:$A$24,'菜品主数据'!$G$5:$G$24,0)</x:f>
        <x:v>17.446</x:v>
      </x:c>
      <x:c r="T150" s="35" t="n">
        <x:f>K150*S150</x:f>
        <x:v>17.446</x:v>
      </x:c>
      <x:c r="U150" s="35" t="n">
        <x:f>L150-N150-P150-R150-T150</x:f>
        <x:v>10.214000000000002</x:v>
      </x:c>
      <x:c r="V150" s="21" t="n">
        <x:f>IFERROR(U150/L150,0)</x:f>
        <x:v>0.26189743589743597</x:v>
      </x:c>
    </x:row>
    <x:row r="151">
      <x:c r="A151" s="19" t="str">
        <x:v>SALE-00147</x:v>
      </x:c>
      <x:c r="B151" s="34" t="n">
        <x:v>46213.5</x:v>
      </x:c>
      <x:c r="C151" s="19" t="str">
        <x:v>周五</x:v>
      </x:c>
      <x:c r="D151" s="19" t="str">
        <x:v>S01</x:v>
      </x:c>
      <x:c r="E151" s="19" t="str">
        <x:v>近江天阳店</x:v>
      </x:c>
      <x:c r="F151" s="19" t="str">
        <x:v>外卖</x:v>
      </x:c>
      <x:c r="G151" s="19" t="str">
        <x:v>全日</x:v>
      </x:c>
      <x:c r="H151" s="19" t="str">
        <x:v>D07</x:v>
      </x:c>
      <x:c r="I151" s="19" t="str">
        <x:v>川味回锅肉</x:v>
      </x:c>
      <x:c r="J151" s="22" t="n">
        <x:f>XLOOKUP(H151,'菜品主数据'!$A$5:$A$24,'菜品主数据'!$D$5:$D$24,0)</x:f>
        <x:v>29</x:v>
      </x:c>
      <x:c r="K151" s="31" t="n">
        <x:v>1</x:v>
      </x:c>
      <x:c r="L151" s="35" t="n">
        <x:f>J151*K151</x:f>
        <x:v>29</x:v>
      </x:c>
      <x:c r="M151" s="36" t="n">
        <x:v>0.08</x:v>
      </x:c>
      <x:c r="N151" s="35" t="n">
        <x:f>L151*M151</x:f>
        <x:v>2.32</x:v>
      </x:c>
      <x:c r="O151" s="37" t="n">
        <x:v>0.18</x:v>
      </x:c>
      <x:c r="P151" s="35" t="n">
        <x:f>L151*O151</x:f>
        <x:v>5.22</x:v>
      </x:c>
      <x:c r="Q151" s="35" t="n">
        <x:v>1.2</x:v>
      </x:c>
      <x:c r="R151" s="35" t="n">
        <x:f>K151*Q151</x:f>
        <x:v>1.2</x:v>
      </x:c>
      <x:c r="S151" s="35" t="n">
        <x:f>XLOOKUP(H151,'菜品主数据'!$A$5:$A$24,'菜品主数据'!$G$5:$G$24,0)</x:f>
        <x:v>10.231000000000002</x:v>
      </x:c>
      <x:c r="T151" s="35" t="n">
        <x:f>K151*S151</x:f>
        <x:v>10.231000000000002</x:v>
      </x:c>
      <x:c r="U151" s="35" t="n">
        <x:f>L151-N151-P151-R151-T151</x:f>
        <x:v>10.029</x:v>
      </x:c>
      <x:c r="V151" s="21" t="n">
        <x:f>IFERROR(U151/L151,0)</x:f>
        <x:v>0.3458275862068966</x:v>
      </x:c>
    </x:row>
    <x:row r="152">
      <x:c r="A152" s="19" t="str">
        <x:v>SALE-00148</x:v>
      </x:c>
      <x:c r="B152" s="34" t="n">
        <x:v>46213.5</x:v>
      </x:c>
      <x:c r="C152" s="19" t="str">
        <x:v>周五</x:v>
      </x:c>
      <x:c r="D152" s="19" t="str">
        <x:v>S01</x:v>
      </x:c>
      <x:c r="E152" s="19" t="str">
        <x:v>近江天阳店</x:v>
      </x:c>
      <x:c r="F152" s="19" t="str">
        <x:v>外卖</x:v>
      </x:c>
      <x:c r="G152" s="19" t="str">
        <x:v>全日</x:v>
      </x:c>
      <x:c r="H152" s="19" t="str">
        <x:v>D08</x:v>
      </x:c>
      <x:c r="I152" s="19" t="str">
        <x:v>生炒清远鸡</x:v>
      </x:c>
      <x:c r="J152" s="22" t="n">
        <x:f>XLOOKUP(H152,'菜品主数据'!$A$5:$A$24,'菜品主数据'!$D$5:$D$24,0)</x:f>
        <x:v>36</x:v>
      </x:c>
      <x:c r="K152" s="31" t="n">
        <x:v>1</x:v>
      </x:c>
      <x:c r="L152" s="35" t="n">
        <x:f>J152*K152</x:f>
        <x:v>36</x:v>
      </x:c>
      <x:c r="M152" s="36" t="n">
        <x:v>0.08</x:v>
      </x:c>
      <x:c r="N152" s="35" t="n">
        <x:f>L152*M152</x:f>
        <x:v>2.88</x:v>
      </x:c>
      <x:c r="O152" s="37" t="n">
        <x:v>0.18</x:v>
      </x:c>
      <x:c r="P152" s="35" t="n">
        <x:f>L152*O152</x:f>
        <x:v>6.4799999999999995</x:v>
      </x:c>
      <x:c r="Q152" s="35" t="n">
        <x:v>1.2</x:v>
      </x:c>
      <x:c r="R152" s="35" t="n">
        <x:f>K152*Q152</x:f>
        <x:v>1.2</x:v>
      </x:c>
      <x:c r="S152" s="35" t="n">
        <x:f>XLOOKUP(H152,'菜品主数据'!$A$5:$A$24,'菜品主数据'!$G$5:$G$24,0)</x:f>
        <x:v>13.48</x:v>
      </x:c>
      <x:c r="T152" s="35" t="n">
        <x:f>K152*S152</x:f>
        <x:v>13.48</x:v>
      </x:c>
      <x:c r="U152" s="35" t="n">
        <x:f>L152-N152-P152-R152-T152</x:f>
        <x:v>11.959999999999997</x:v>
      </x:c>
      <x:c r="V152" s="21" t="n">
        <x:f>IFERROR(U152/L152,0)</x:f>
        <x:v>0.33222222222222214</x:v>
      </x:c>
    </x:row>
    <x:row r="153">
      <x:c r="A153" s="19" t="str">
        <x:v>SALE-00149</x:v>
      </x:c>
      <x:c r="B153" s="34" t="n">
        <x:v>46213.5</x:v>
      </x:c>
      <x:c r="C153" s="19" t="str">
        <x:v>周五</x:v>
      </x:c>
      <x:c r="D153" s="19" t="str">
        <x:v>S01</x:v>
      </x:c>
      <x:c r="E153" s="19" t="str">
        <x:v>近江天阳店</x:v>
      </x:c>
      <x:c r="F153" s="19" t="str">
        <x:v>外卖</x:v>
      </x:c>
      <x:c r="G153" s="19" t="str">
        <x:v>全日</x:v>
      </x:c>
      <x:c r="H153" s="19" t="str">
        <x:v>D09</x:v>
      </x:c>
      <x:c r="I153" s="19" t="str">
        <x:v>炒豆干</x:v>
      </x:c>
      <x:c r="J153" s="22" t="n">
        <x:f>XLOOKUP(H153,'菜品主数据'!$A$5:$A$24,'菜品主数据'!$D$5:$D$24,0)</x:f>
        <x:v>18</x:v>
      </x:c>
      <x:c r="K153" s="31" t="n">
        <x:v>1</x:v>
      </x:c>
      <x:c r="L153" s="35" t="n">
        <x:f>J153*K153</x:f>
        <x:v>18</x:v>
      </x:c>
      <x:c r="M153" s="36" t="n">
        <x:v>0.08</x:v>
      </x:c>
      <x:c r="N153" s="35" t="n">
        <x:f>L153*M153</x:f>
        <x:v>1.44</x:v>
      </x:c>
      <x:c r="O153" s="37" t="n">
        <x:v>0.18</x:v>
      </x:c>
      <x:c r="P153" s="35" t="n">
        <x:f>L153*O153</x:f>
        <x:v>3.2399999999999998</x:v>
      </x:c>
      <x:c r="Q153" s="35" t="n">
        <x:v>1.2</x:v>
      </x:c>
      <x:c r="R153" s="35" t="n">
        <x:f>K153*Q153</x:f>
        <x:v>1.2</x:v>
      </x:c>
      <x:c r="S153" s="35" t="n">
        <x:f>XLOOKUP(H153,'菜品主数据'!$A$5:$A$24,'菜品主数据'!$G$5:$G$24,0)</x:f>
        <x:v>6.613999999999999</x:v>
      </x:c>
      <x:c r="T153" s="35" t="n">
        <x:f>K153*S153</x:f>
        <x:v>6.613999999999999</x:v>
      </x:c>
      <x:c r="U153" s="35" t="n">
        <x:f>L153-N153-P153-R153-T153</x:f>
        <x:v>5.506</x:v>
      </x:c>
      <x:c r="V153" s="21" t="n">
        <x:f>IFERROR(U153/L153,0)</x:f>
        <x:v>0.3058888888888889</x:v>
      </x:c>
    </x:row>
    <x:row r="154">
      <x:c r="A154" s="19" t="str">
        <x:v>SALE-00150</x:v>
      </x:c>
      <x:c r="B154" s="34" t="n">
        <x:v>46213.5</x:v>
      </x:c>
      <x:c r="C154" s="19" t="str">
        <x:v>周五</x:v>
      </x:c>
      <x:c r="D154" s="19" t="str">
        <x:v>S01</x:v>
      </x:c>
      <x:c r="E154" s="19" t="str">
        <x:v>近江天阳店</x:v>
      </x:c>
      <x:c r="F154" s="19" t="str">
        <x:v>外卖</x:v>
      </x:c>
      <x:c r="G154" s="19" t="str">
        <x:v>全日</x:v>
      </x:c>
      <x:c r="H154" s="19" t="str">
        <x:v>D10</x:v>
      </x:c>
      <x:c r="I154" s="19" t="str">
        <x:v>农家一碗香</x:v>
      </x:c>
      <x:c r="J154" s="22" t="n">
        <x:f>XLOOKUP(H154,'菜品主数据'!$A$5:$A$24,'菜品主数据'!$D$5:$D$24,0)</x:f>
        <x:v>22.9</x:v>
      </x:c>
      <x:c r="K154" s="31" t="n">
        <x:v>2</x:v>
      </x:c>
      <x:c r="L154" s="35" t="n">
        <x:f>J154*K154</x:f>
        <x:v>45.8</x:v>
      </x:c>
      <x:c r="M154" s="36" t="n">
        <x:v>0.08</x:v>
      </x:c>
      <x:c r="N154" s="35" t="n">
        <x:f>L154*M154</x:f>
        <x:v>3.6639999999999997</x:v>
      </x:c>
      <x:c r="O154" s="37" t="n">
        <x:v>0.18</x:v>
      </x:c>
      <x:c r="P154" s="35" t="n">
        <x:f>L154*O154</x:f>
        <x:v>8.244</x:v>
      </x:c>
      <x:c r="Q154" s="35" t="n">
        <x:v>1.2</x:v>
      </x:c>
      <x:c r="R154" s="35" t="n">
        <x:f>K154*Q154</x:f>
        <x:v>2.4</x:v>
      </x:c>
      <x:c r="S154" s="35" t="n">
        <x:f>XLOOKUP(H154,'菜品主数据'!$A$5:$A$24,'菜品主数据'!$G$5:$G$24,0)</x:f>
        <x:v>9.770200000000003</x:v>
      </x:c>
      <x:c r="T154" s="35" t="n">
        <x:f>K154*S154</x:f>
        <x:v>19.540400000000005</x:v>
      </x:c>
      <x:c r="U154" s="35" t="n">
        <x:f>L154-N154-P154-R154-T154</x:f>
        <x:v>11.951599999999992</x:v>
      </x:c>
      <x:c r="V154" s="21" t="n">
        <x:f>IFERROR(U154/L154,0)</x:f>
        <x:v>0.260951965065502</x:v>
      </x:c>
    </x:row>
    <x:row r="155">
      <x:c r="A155" s="19" t="str">
        <x:v>SALE-00151</x:v>
      </x:c>
      <x:c r="B155" s="34" t="n">
        <x:v>46213.5</x:v>
      </x:c>
      <x:c r="C155" s="19" t="str">
        <x:v>周五</x:v>
      </x:c>
      <x:c r="D155" s="19" t="str">
        <x:v>S01</x:v>
      </x:c>
      <x:c r="E155" s="19" t="str">
        <x:v>近江天阳店</x:v>
      </x:c>
      <x:c r="F155" s="19" t="str">
        <x:v>外卖</x:v>
      </x:c>
      <x:c r="G155" s="19" t="str">
        <x:v>全日</x:v>
      </x:c>
      <x:c r="H155" s="19" t="str">
        <x:v>D11</x:v>
      </x:c>
      <x:c r="I155" s="19" t="str">
        <x:v>香辣爆肥肠</x:v>
      </x:c>
      <x:c r="J155" s="22" t="n">
        <x:f>XLOOKUP(H155,'菜品主数据'!$A$5:$A$24,'菜品主数据'!$D$5:$D$24,0)</x:f>
        <x:v>39</x:v>
      </x:c>
      <x:c r="K155" s="31" t="n">
        <x:v>0</x:v>
      </x:c>
      <x:c r="L155" s="35" t="n">
        <x:f>J155*K155</x:f>
        <x:v>0</x:v>
      </x:c>
      <x:c r="M155" s="36" t="n">
        <x:v>0.08</x:v>
      </x:c>
      <x:c r="N155" s="35" t="n">
        <x:f>L155*M155</x:f>
        <x:v>0</x:v>
      </x:c>
      <x:c r="O155" s="37" t="n">
        <x:v>0.18</x:v>
      </x:c>
      <x:c r="P155" s="35" t="n">
        <x:f>L155*O155</x:f>
        <x:v>0</x:v>
      </x:c>
      <x:c r="Q155" s="35" t="n">
        <x:v>1.2</x:v>
      </x:c>
      <x:c r="R155" s="35" t="n">
        <x:f>K155*Q155</x:f>
        <x:v>0</x:v>
      </x:c>
      <x:c r="S155" s="35" t="n">
        <x:f>XLOOKUP(H155,'菜品主数据'!$A$5:$A$24,'菜品主数据'!$G$5:$G$24,0)</x:f>
        <x:v>10.397</x:v>
      </x:c>
      <x:c r="T155" s="35" t="n">
        <x:f>K155*S155</x:f>
        <x:v>0</x:v>
      </x:c>
      <x:c r="U155" s="35" t="n">
        <x:f>L155-N155-P155-R155-T155</x:f>
        <x:v>0</x:v>
      </x:c>
      <x:c r="V155" s="21" t="n">
        <x:f>IFERROR(U155/L155,0)</x:f>
        <x:v>0</x:v>
      </x:c>
    </x:row>
    <x:row r="156">
      <x:c r="A156" s="19" t="str">
        <x:v>SALE-00152</x:v>
      </x:c>
      <x:c r="B156" s="34" t="n">
        <x:v>46213.5</x:v>
      </x:c>
      <x:c r="C156" s="19" t="str">
        <x:v>周五</x:v>
      </x:c>
      <x:c r="D156" s="19" t="str">
        <x:v>S01</x:v>
      </x:c>
      <x:c r="E156" s="19" t="str">
        <x:v>近江天阳店</x:v>
      </x:c>
      <x:c r="F156" s="19" t="str">
        <x:v>外卖</x:v>
      </x:c>
      <x:c r="G156" s="19" t="str">
        <x:v>全日</x:v>
      </x:c>
      <x:c r="H156" s="19" t="str">
        <x:v>D12</x:v>
      </x:c>
      <x:c r="I156" s="19" t="str">
        <x:v>清蒸鲈鱼</x:v>
      </x:c>
      <x:c r="J156" s="22" t="n">
        <x:f>XLOOKUP(H156,'菜品主数据'!$A$5:$A$24,'菜品主数据'!$D$5:$D$24,0)</x:f>
        <x:v>39</x:v>
      </x:c>
      <x:c r="K156" s="31" t="n">
        <x:v>0</x:v>
      </x:c>
      <x:c r="L156" s="35" t="n">
        <x:f>J156*K156</x:f>
        <x:v>0</x:v>
      </x:c>
      <x:c r="M156" s="36" t="n">
        <x:v>0.08</x:v>
      </x:c>
      <x:c r="N156" s="35" t="n">
        <x:f>L156*M156</x:f>
        <x:v>0</x:v>
      </x:c>
      <x:c r="O156" s="37" t="n">
        <x:v>0.18</x:v>
      </x:c>
      <x:c r="P156" s="35" t="n">
        <x:f>L156*O156</x:f>
        <x:v>0</x:v>
      </x:c>
      <x:c r="Q156" s="35" t="n">
        <x:v>1.2</x:v>
      </x:c>
      <x:c r="R156" s="35" t="n">
        <x:f>K156*Q156</x:f>
        <x:v>0</x:v>
      </x:c>
      <x:c r="S156" s="35" t="n">
        <x:f>XLOOKUP(H156,'菜品主数据'!$A$5:$A$24,'菜品主数据'!$G$5:$G$24,0)</x:f>
        <x:v>18.874</x:v>
      </x:c>
      <x:c r="T156" s="35" t="n">
        <x:f>K156*S156</x:f>
        <x:v>0</x:v>
      </x:c>
      <x:c r="U156" s="35" t="n">
        <x:f>L156-N156-P156-R156-T156</x:f>
        <x:v>0</x:v>
      </x:c>
      <x:c r="V156" s="21" t="n">
        <x:f>IFERROR(U156/L156,0)</x:f>
        <x:v>0</x:v>
      </x:c>
    </x:row>
    <x:row r="157">
      <x:c r="A157" s="19" t="str">
        <x:v>SALE-00153</x:v>
      </x:c>
      <x:c r="B157" s="34" t="n">
        <x:v>46213.5</x:v>
      </x:c>
      <x:c r="C157" s="19" t="str">
        <x:v>周五</x:v>
      </x:c>
      <x:c r="D157" s="19" t="str">
        <x:v>S01</x:v>
      </x:c>
      <x:c r="E157" s="19" t="str">
        <x:v>近江天阳店</x:v>
      </x:c>
      <x:c r="F157" s="19" t="str">
        <x:v>外卖</x:v>
      </x:c>
      <x:c r="G157" s="19" t="str">
        <x:v>全日</x:v>
      </x:c>
      <x:c r="H157" s="19" t="str">
        <x:v>D13</x:v>
      </x:c>
      <x:c r="I157" s="19" t="str">
        <x:v>外婆菜炒蛋</x:v>
      </x:c>
      <x:c r="J157" s="22" t="n">
        <x:f>XLOOKUP(H157,'菜品主数据'!$A$5:$A$24,'菜品主数据'!$D$5:$D$24,0)</x:f>
        <x:v>18</x:v>
      </x:c>
      <x:c r="K157" s="31" t="n">
        <x:v>1</x:v>
      </x:c>
      <x:c r="L157" s="35" t="n">
        <x:f>J157*K157</x:f>
        <x:v>18</x:v>
      </x:c>
      <x:c r="M157" s="36" t="n">
        <x:v>0.08</x:v>
      </x:c>
      <x:c r="N157" s="35" t="n">
        <x:f>L157*M157</x:f>
        <x:v>1.44</x:v>
      </x:c>
      <x:c r="O157" s="37" t="n">
        <x:v>0.18</x:v>
      </x:c>
      <x:c r="P157" s="35" t="n">
        <x:f>L157*O157</x:f>
        <x:v>3.2399999999999998</x:v>
      </x:c>
      <x:c r="Q157" s="35" t="n">
        <x:v>1.2</x:v>
      </x:c>
      <x:c r="R157" s="35" t="n">
        <x:f>K157*Q157</x:f>
        <x:v>1.2</x:v>
      </x:c>
      <x:c r="S157" s="35" t="n">
        <x:f>XLOOKUP(H157,'菜品主数据'!$A$5:$A$24,'菜品主数据'!$G$5:$G$24,0)</x:f>
        <x:v>5.403999999999999</x:v>
      </x:c>
      <x:c r="T157" s="35" t="n">
        <x:f>K157*S157</x:f>
        <x:v>5.403999999999999</x:v>
      </x:c>
      <x:c r="U157" s="35" t="n">
        <x:f>L157-N157-P157-R157-T157</x:f>
        <x:v>6.716</x:v>
      </x:c>
      <x:c r="V157" s="21" t="n">
        <x:f>IFERROR(U157/L157,0)</x:f>
        <x:v>0.3731111111111111</x:v>
      </x:c>
    </x:row>
    <x:row r="158">
      <x:c r="A158" s="19" t="str">
        <x:v>SALE-00154</x:v>
      </x:c>
      <x:c r="B158" s="34" t="n">
        <x:v>46213.5</x:v>
      </x:c>
      <x:c r="C158" s="19" t="str">
        <x:v>周五</x:v>
      </x:c>
      <x:c r="D158" s="19" t="str">
        <x:v>S01</x:v>
      </x:c>
      <x:c r="E158" s="19" t="str">
        <x:v>近江天阳店</x:v>
      </x:c>
      <x:c r="F158" s="19" t="str">
        <x:v>外卖</x:v>
      </x:c>
      <x:c r="G158" s="19" t="str">
        <x:v>全日</x:v>
      </x:c>
      <x:c r="H158" s="19" t="str">
        <x:v>D14</x:v>
      </x:c>
      <x:c r="I158" s="19" t="str">
        <x:v>酸辣鸡杂</x:v>
      </x:c>
      <x:c r="J158" s="22" t="n">
        <x:f>XLOOKUP(H158,'菜品主数据'!$A$5:$A$24,'菜品主数据'!$D$5:$D$24,0)</x:f>
        <x:v>28</x:v>
      </x:c>
      <x:c r="K158" s="31" t="n">
        <x:v>1</x:v>
      </x:c>
      <x:c r="L158" s="35" t="n">
        <x:f>J158*K158</x:f>
        <x:v>28</x:v>
      </x:c>
      <x:c r="M158" s="36" t="n">
        <x:v>0.08</x:v>
      </x:c>
      <x:c r="N158" s="35" t="n">
        <x:f>L158*M158</x:f>
        <x:v>2.24</x:v>
      </x:c>
      <x:c r="O158" s="37" t="n">
        <x:v>0.18</x:v>
      </x:c>
      <x:c r="P158" s="35" t="n">
        <x:f>L158*O158</x:f>
        <x:v>5.04</x:v>
      </x:c>
      <x:c r="Q158" s="35" t="n">
        <x:v>1.2</x:v>
      </x:c>
      <x:c r="R158" s="35" t="n">
        <x:f>K158*Q158</x:f>
        <x:v>1.2</x:v>
      </x:c>
      <x:c r="S158" s="35" t="n">
        <x:f>XLOOKUP(H158,'菜品主数据'!$A$5:$A$24,'菜品主数据'!$G$5:$G$24,0)</x:f>
        <x:v>8.315000000000001</x:v>
      </x:c>
      <x:c r="T158" s="35" t="n">
        <x:f>K158*S158</x:f>
        <x:v>8.315000000000001</x:v>
      </x:c>
      <x:c r="U158" s="35" t="n">
        <x:f>L158-N158-P158-R158-T158</x:f>
        <x:v>11.204999999999998</x:v>
      </x:c>
      <x:c r="V158" s="21" t="n">
        <x:f>IFERROR(U158/L158,0)</x:f>
        <x:v>0.4001785714285714</x:v>
      </x:c>
    </x:row>
    <x:row r="159">
      <x:c r="A159" s="19" t="str">
        <x:v>SALE-00155</x:v>
      </x:c>
      <x:c r="B159" s="34" t="n">
        <x:v>46213.5</x:v>
      </x:c>
      <x:c r="C159" s="19" t="str">
        <x:v>周五</x:v>
      </x:c>
      <x:c r="D159" s="19" t="str">
        <x:v>S01</x:v>
      </x:c>
      <x:c r="E159" s="19" t="str">
        <x:v>近江天阳店</x:v>
      </x:c>
      <x:c r="F159" s="19" t="str">
        <x:v>外卖</x:v>
      </x:c>
      <x:c r="G159" s="19" t="str">
        <x:v>全日</x:v>
      </x:c>
      <x:c r="H159" s="19" t="str">
        <x:v>D15</x:v>
      </x:c>
      <x:c r="I159" s="19" t="str">
        <x:v>湘西土匪猪肝</x:v>
      </x:c>
      <x:c r="J159" s="22" t="n">
        <x:f>XLOOKUP(H159,'菜品主数据'!$A$5:$A$24,'菜品主数据'!$D$5:$D$24,0)</x:f>
        <x:v>26</x:v>
      </x:c>
      <x:c r="K159" s="31" t="n">
        <x:v>0</x:v>
      </x:c>
      <x:c r="L159" s="35" t="n">
        <x:f>J159*K159</x:f>
        <x:v>0</x:v>
      </x:c>
      <x:c r="M159" s="36" t="n">
        <x:v>0.08</x:v>
      </x:c>
      <x:c r="N159" s="35" t="n">
        <x:f>L159*M159</x:f>
        <x:v>0</x:v>
      </x:c>
      <x:c r="O159" s="37" t="n">
        <x:v>0.18</x:v>
      </x:c>
      <x:c r="P159" s="35" t="n">
        <x:f>L159*O159</x:f>
        <x:v>0</x:v>
      </x:c>
      <x:c r="Q159" s="35" t="n">
        <x:v>1.2</x:v>
      </x:c>
      <x:c r="R159" s="35" t="n">
        <x:f>K159*Q159</x:f>
        <x:v>0</x:v>
      </x:c>
      <x:c r="S159" s="35" t="n">
        <x:f>XLOOKUP(H159,'菜品主数据'!$A$5:$A$24,'菜品主数据'!$G$5:$G$24,0)</x:f>
        <x:v>6.3759999999999994</x:v>
      </x:c>
      <x:c r="T159" s="35" t="n">
        <x:f>K159*S159</x:f>
        <x:v>0</x:v>
      </x:c>
      <x:c r="U159" s="35" t="n">
        <x:f>L159-N159-P159-R159-T159</x:f>
        <x:v>0</x:v>
      </x:c>
      <x:c r="V159" s="21" t="n">
        <x:f>IFERROR(U159/L159,0)</x:f>
        <x:v>0</x:v>
      </x:c>
    </x:row>
    <x:row r="160">
      <x:c r="A160" s="19" t="str">
        <x:v>SALE-00156</x:v>
      </x:c>
      <x:c r="B160" s="34" t="n">
        <x:v>46213.5</x:v>
      </x:c>
      <x:c r="C160" s="19" t="str">
        <x:v>周五</x:v>
      </x:c>
      <x:c r="D160" s="19" t="str">
        <x:v>S01</x:v>
      </x:c>
      <x:c r="E160" s="19" t="str">
        <x:v>近江天阳店</x:v>
      </x:c>
      <x:c r="F160" s="19" t="str">
        <x:v>外卖</x:v>
      </x:c>
      <x:c r="G160" s="19" t="str">
        <x:v>全日</x:v>
      </x:c>
      <x:c r="H160" s="19" t="str">
        <x:v>D16</x:v>
      </x:c>
      <x:c r="I160" s="19" t="str">
        <x:v>小豆角炒五花</x:v>
      </x:c>
      <x:c r="J160" s="22" t="n">
        <x:f>XLOOKUP(H160,'菜品主数据'!$A$5:$A$24,'菜品主数据'!$D$5:$D$24,0)</x:f>
        <x:v>25</x:v>
      </x:c>
      <x:c r="K160" s="31" t="n">
        <x:v>0</x:v>
      </x:c>
      <x:c r="L160" s="35" t="n">
        <x:f>J160*K160</x:f>
        <x:v>0</x:v>
      </x:c>
      <x:c r="M160" s="36" t="n">
        <x:v>0.08</x:v>
      </x:c>
      <x:c r="N160" s="35" t="n">
        <x:f>L160*M160</x:f>
        <x:v>0</x:v>
      </x:c>
      <x:c r="O160" s="37" t="n">
        <x:v>0.18</x:v>
      </x:c>
      <x:c r="P160" s="35" t="n">
        <x:f>L160*O160</x:f>
        <x:v>0</x:v>
      </x:c>
      <x:c r="Q160" s="35" t="n">
        <x:v>1.2</x:v>
      </x:c>
      <x:c r="R160" s="35" t="n">
        <x:f>K160*Q160</x:f>
        <x:v>0</x:v>
      </x:c>
      <x:c r="S160" s="35" t="n">
        <x:f>XLOOKUP(H160,'菜品主数据'!$A$5:$A$24,'菜品主数据'!$G$5:$G$24,0)</x:f>
        <x:v>8.184</x:v>
      </x:c>
      <x:c r="T160" s="35" t="n">
        <x:f>K160*S160</x:f>
        <x:v>0</x:v>
      </x:c>
      <x:c r="U160" s="35" t="n">
        <x:f>L160-N160-P160-R160-T160</x:f>
        <x:v>0</x:v>
      </x:c>
      <x:c r="V160" s="21" t="n">
        <x:f>IFERROR(U160/L160,0)</x:f>
        <x:v>0</x:v>
      </x:c>
    </x:row>
    <x:row r="161">
      <x:c r="A161" s="19" t="str">
        <x:v>SALE-00157</x:v>
      </x:c>
      <x:c r="B161" s="34" t="n">
        <x:v>46213.5</x:v>
      </x:c>
      <x:c r="C161" s="19" t="str">
        <x:v>周五</x:v>
      </x:c>
      <x:c r="D161" s="19" t="str">
        <x:v>S01</x:v>
      </x:c>
      <x:c r="E161" s="19" t="str">
        <x:v>近江天阳店</x:v>
      </x:c>
      <x:c r="F161" s="19" t="str">
        <x:v>外卖</x:v>
      </x:c>
      <x:c r="G161" s="19" t="str">
        <x:v>全日</x:v>
      </x:c>
      <x:c r="H161" s="19" t="str">
        <x:v>D17</x:v>
      </x:c>
      <x:c r="I161" s="19" t="str">
        <x:v>蒜蓉粉丝虾</x:v>
      </x:c>
      <x:c r="J161" s="22" t="n">
        <x:f>XLOOKUP(H161,'菜品主数据'!$A$5:$A$24,'菜品主数据'!$D$5:$D$24,0)</x:f>
        <x:v>36</x:v>
      </x:c>
      <x:c r="K161" s="31" t="n">
        <x:v>0</x:v>
      </x:c>
      <x:c r="L161" s="35" t="n">
        <x:f>J161*K161</x:f>
        <x:v>0</x:v>
      </x:c>
      <x:c r="M161" s="36" t="n">
        <x:v>0.08</x:v>
      </x:c>
      <x:c r="N161" s="35" t="n">
        <x:f>L161*M161</x:f>
        <x:v>0</x:v>
      </x:c>
      <x:c r="O161" s="37" t="n">
        <x:v>0.18</x:v>
      </x:c>
      <x:c r="P161" s="35" t="n">
        <x:f>L161*O161</x:f>
        <x:v>0</x:v>
      </x:c>
      <x:c r="Q161" s="35" t="n">
        <x:v>1.2</x:v>
      </x:c>
      <x:c r="R161" s="35" t="n">
        <x:f>K161*Q161</x:f>
        <x:v>0</x:v>
      </x:c>
      <x:c r="S161" s="35" t="n">
        <x:f>XLOOKUP(H161,'菜品主数据'!$A$5:$A$24,'菜品主数据'!$G$5:$G$24,0)</x:f>
        <x:v>13.594</x:v>
      </x:c>
      <x:c r="T161" s="35" t="n">
        <x:f>K161*S161</x:f>
        <x:v>0</x:v>
      </x:c>
      <x:c r="U161" s="35" t="n">
        <x:f>L161-N161-P161-R161-T161</x:f>
        <x:v>0</x:v>
      </x:c>
      <x:c r="V161" s="21" t="n">
        <x:f>IFERROR(U161/L161,0)</x:f>
        <x:v>0</x:v>
      </x:c>
    </x:row>
    <x:row r="162">
      <x:c r="A162" s="19" t="str">
        <x:v>SALE-00158</x:v>
      </x:c>
      <x:c r="B162" s="34" t="n">
        <x:v>46213.5</x:v>
      </x:c>
      <x:c r="C162" s="19" t="str">
        <x:v>周五</x:v>
      </x:c>
      <x:c r="D162" s="19" t="str">
        <x:v>S01</x:v>
      </x:c>
      <x:c r="E162" s="19" t="str">
        <x:v>近江天阳店</x:v>
      </x:c>
      <x:c r="F162" s="19" t="str">
        <x:v>外卖</x:v>
      </x:c>
      <x:c r="G162" s="19" t="str">
        <x:v>全日</x:v>
      </x:c>
      <x:c r="H162" s="19" t="str">
        <x:v>D18</x:v>
      </x:c>
      <x:c r="I162" s="19" t="str">
        <x:v>青椒炒油麦菜</x:v>
      </x:c>
      <x:c r="J162" s="22" t="n">
        <x:f>XLOOKUP(H162,'菜品主数据'!$A$5:$A$24,'菜品主数据'!$D$5:$D$24,0)</x:f>
        <x:v>18</x:v>
      </x:c>
      <x:c r="K162" s="31" t="n">
        <x:v>1</x:v>
      </x:c>
      <x:c r="L162" s="35" t="n">
        <x:f>J162*K162</x:f>
        <x:v>18</x:v>
      </x:c>
      <x:c r="M162" s="36" t="n">
        <x:v>0.08</x:v>
      </x:c>
      <x:c r="N162" s="35" t="n">
        <x:f>L162*M162</x:f>
        <x:v>1.44</x:v>
      </x:c>
      <x:c r="O162" s="37" t="n">
        <x:v>0.18</x:v>
      </x:c>
      <x:c r="P162" s="35" t="n">
        <x:f>L162*O162</x:f>
        <x:v>3.2399999999999998</x:v>
      </x:c>
      <x:c r="Q162" s="35" t="n">
        <x:v>1.2</x:v>
      </x:c>
      <x:c r="R162" s="35" t="n">
        <x:f>K162*Q162</x:f>
        <x:v>1.2</x:v>
      </x:c>
      <x:c r="S162" s="35" t="n">
        <x:f>XLOOKUP(H162,'菜品主数据'!$A$5:$A$24,'菜品主数据'!$G$5:$G$24,0)</x:f>
        <x:v>3.1759999999999993</x:v>
      </x:c>
      <x:c r="T162" s="35" t="n">
        <x:f>K162*S162</x:f>
        <x:v>3.1759999999999993</x:v>
      </x:c>
      <x:c r="U162" s="35" t="n">
        <x:f>L162-N162-P162-R162-T162</x:f>
        <x:v>8.943999999999999</x:v>
      </x:c>
      <x:c r="V162" s="21" t="n">
        <x:f>IFERROR(U162/L162,0)</x:f>
        <x:v>0.4968888888888888</x:v>
      </x:c>
    </x:row>
    <x:row r="163">
      <x:c r="A163" s="19" t="str">
        <x:v>SALE-00159</x:v>
      </x:c>
      <x:c r="B163" s="34" t="n">
        <x:v>46213.5</x:v>
      </x:c>
      <x:c r="C163" s="19" t="str">
        <x:v>周五</x:v>
      </x:c>
      <x:c r="D163" s="19" t="str">
        <x:v>S01</x:v>
      </x:c>
      <x:c r="E163" s="19" t="str">
        <x:v>近江天阳店</x:v>
      </x:c>
      <x:c r="F163" s="19" t="str">
        <x:v>外卖</x:v>
      </x:c>
      <x:c r="G163" s="19" t="str">
        <x:v>全日</x:v>
      </x:c>
      <x:c r="H163" s="19" t="str">
        <x:v>D19</x:v>
      </x:c>
      <x:c r="I163" s="19" t="str">
        <x:v>酸萝卜炒鸡杂</x:v>
      </x:c>
      <x:c r="J163" s="22" t="n">
        <x:f>XLOOKUP(H163,'菜品主数据'!$A$5:$A$24,'菜品主数据'!$D$5:$D$24,0)</x:f>
        <x:v>25</x:v>
      </x:c>
      <x:c r="K163" s="31" t="n">
        <x:v>0</x:v>
      </x:c>
      <x:c r="L163" s="35" t="n">
        <x:f>J163*K163</x:f>
        <x:v>0</x:v>
      </x:c>
      <x:c r="M163" s="36" t="n">
        <x:v>0.08</x:v>
      </x:c>
      <x:c r="N163" s="35" t="n">
        <x:f>L163*M163</x:f>
        <x:v>0</x:v>
      </x:c>
      <x:c r="O163" s="37" t="n">
        <x:v>0.18</x:v>
      </x:c>
      <x:c r="P163" s="35" t="n">
        <x:f>L163*O163</x:f>
        <x:v>0</x:v>
      </x:c>
      <x:c r="Q163" s="35" t="n">
        <x:v>1.2</x:v>
      </x:c>
      <x:c r="R163" s="35" t="n">
        <x:f>K163*Q163</x:f>
        <x:v>0</x:v>
      </x:c>
      <x:c r="S163" s="35" t="n">
        <x:f>XLOOKUP(H163,'菜品主数据'!$A$5:$A$24,'菜品主数据'!$G$5:$G$24,0)</x:f>
        <x:v>7.9399999999999995</x:v>
      </x:c>
      <x:c r="T163" s="35" t="n">
        <x:f>K163*S163</x:f>
        <x:v>0</x:v>
      </x:c>
      <x:c r="U163" s="35" t="n">
        <x:f>L163-N163-P163-R163-T163</x:f>
        <x:v>0</x:v>
      </x:c>
      <x:c r="V163" s="21" t="n">
        <x:f>IFERROR(U163/L163,0)</x:f>
        <x:v>0</x:v>
      </x:c>
    </x:row>
    <x:row r="164">
      <x:c r="A164" s="19" t="str">
        <x:v>SALE-00160</x:v>
      </x:c>
      <x:c r="B164" s="34" t="n">
        <x:v>46213.5</x:v>
      </x:c>
      <x:c r="C164" s="19" t="str">
        <x:v>周五</x:v>
      </x:c>
      <x:c r="D164" s="19" t="str">
        <x:v>S01</x:v>
      </x:c>
      <x:c r="E164" s="19" t="str">
        <x:v>近江天阳店</x:v>
      </x:c>
      <x:c r="F164" s="19" t="str">
        <x:v>外卖</x:v>
      </x:c>
      <x:c r="G164" s="19" t="str">
        <x:v>全日</x:v>
      </x:c>
      <x:c r="H164" s="19" t="str">
        <x:v>D20</x:v>
      </x:c>
      <x:c r="I164" s="19" t="str">
        <x:v>雪菜肉末青豆</x:v>
      </x:c>
      <x:c r="J164" s="22" t="n">
        <x:f>XLOOKUP(H164,'菜品主数据'!$A$5:$A$24,'菜品主数据'!$D$5:$D$24,0)</x:f>
        <x:v>18</x:v>
      </x:c>
      <x:c r="K164" s="31" t="n">
        <x:v>1</x:v>
      </x:c>
      <x:c r="L164" s="35" t="n">
        <x:f>J164*K164</x:f>
        <x:v>18</x:v>
      </x:c>
      <x:c r="M164" s="36" t="n">
        <x:v>0.08</x:v>
      </x:c>
      <x:c r="N164" s="35" t="n">
        <x:f>L164*M164</x:f>
        <x:v>1.44</x:v>
      </x:c>
      <x:c r="O164" s="37" t="n">
        <x:v>0.18</x:v>
      </x:c>
      <x:c r="P164" s="35" t="n">
        <x:f>L164*O164</x:f>
        <x:v>3.2399999999999998</x:v>
      </x:c>
      <x:c r="Q164" s="35" t="n">
        <x:v>1.2</x:v>
      </x:c>
      <x:c r="R164" s="35" t="n">
        <x:f>K164*Q164</x:f>
        <x:v>1.2</x:v>
      </x:c>
      <x:c r="S164" s="35" t="n">
        <x:f>XLOOKUP(H164,'菜品主数据'!$A$5:$A$24,'菜品主数据'!$G$5:$G$24,0)</x:f>
        <x:v>7.303999999999999</x:v>
      </x:c>
      <x:c r="T164" s="35" t="n">
        <x:f>K164*S164</x:f>
        <x:v>7.303999999999999</x:v>
      </x:c>
      <x:c r="U164" s="35" t="n">
        <x:f>L164-N164-P164-R164-T164</x:f>
        <x:v>4.816</x:v>
      </x:c>
      <x:c r="V164" s="21" t="n">
        <x:f>IFERROR(U164/L164,0)</x:f>
        <x:v>0.26755555555555555</x:v>
      </x:c>
    </x:row>
    <x:row r="165">
      <x:c r="A165" s="19" t="str">
        <x:v>SALE-00161</x:v>
      </x:c>
      <x:c r="B165" s="34" t="n">
        <x:v>46214.5</x:v>
      </x:c>
      <x:c r="C165" s="19" t="str">
        <x:v>周六</x:v>
      </x:c>
      <x:c r="D165" s="19" t="str">
        <x:v>S01</x:v>
      </x:c>
      <x:c r="E165" s="19" t="str">
        <x:v>近江天阳店</x:v>
      </x:c>
      <x:c r="F165" s="19" t="str">
        <x:v>堂食</x:v>
      </x:c>
      <x:c r="G165" s="19" t="str">
        <x:v>全日</x:v>
      </x:c>
      <x:c r="H165" s="19" t="str">
        <x:v>D01</x:v>
      </x:c>
      <x:c r="I165" s="19" t="str">
        <x:v>辣椒炒肉</x:v>
      </x:c>
      <x:c r="J165" s="22" t="n">
        <x:f>XLOOKUP(H165,'菜品主数据'!$A$5:$A$24,'菜品主数据'!$D$5:$D$24,0)</x:f>
        <x:v>29</x:v>
      </x:c>
      <x:c r="K165" s="31" t="n">
        <x:v>39</x:v>
      </x:c>
      <x:c r="L165" s="35" t="n">
        <x:f>J165*K165</x:f>
        <x:v>1131</x:v>
      </x:c>
      <x:c r="M165" s="36" t="n">
        <x:v>0</x:v>
      </x:c>
      <x:c r="N165" s="35" t="n">
        <x:f>L165*M165</x:f>
        <x:v>0</x:v>
      </x:c>
      <x:c r="O165" s="37" t="n">
        <x:v>0</x:v>
      </x:c>
      <x:c r="P165" s="35" t="n">
        <x:f>L165*O165</x:f>
        <x:v>0</x:v>
      </x:c>
      <x:c r="Q165" s="35" t="n">
        <x:v>0</x:v>
      </x:c>
      <x:c r="R165" s="35" t="n">
        <x:f>K165*Q165</x:f>
        <x:v>0</x:v>
      </x:c>
      <x:c r="S165" s="35" t="n">
        <x:f>XLOOKUP(H165,'菜品主数据'!$A$5:$A$24,'菜品主数据'!$G$5:$G$24,0)</x:f>
        <x:v>8.634400000000001</x:v>
      </x:c>
      <x:c r="T165" s="35" t="n">
        <x:f>K165*S165</x:f>
        <x:v>336.74160000000006</x:v>
      </x:c>
      <x:c r="U165" s="35" t="n">
        <x:f>L165-N165-P165-R165-T165</x:f>
        <x:v>794.2583999999999</x:v>
      </x:c>
      <x:c r="V165" s="21" t="n">
        <x:f>IFERROR(U165/L165,0)</x:f>
        <x:v>0.7022620689655172</x:v>
      </x:c>
    </x:row>
    <x:row r="166">
      <x:c r="A166" s="19" t="str">
        <x:v>SALE-00162</x:v>
      </x:c>
      <x:c r="B166" s="34" t="n">
        <x:v>46214.5</x:v>
      </x:c>
      <x:c r="C166" s="19" t="str">
        <x:v>周六</x:v>
      </x:c>
      <x:c r="D166" s="19" t="str">
        <x:v>S01</x:v>
      </x:c>
      <x:c r="E166" s="19" t="str">
        <x:v>近江天阳店</x:v>
      </x:c>
      <x:c r="F166" s="19" t="str">
        <x:v>堂食</x:v>
      </x:c>
      <x:c r="G166" s="19" t="str">
        <x:v>全日</x:v>
      </x:c>
      <x:c r="H166" s="19" t="str">
        <x:v>D02</x:v>
      </x:c>
      <x:c r="I166" s="19" t="str">
        <x:v>小炒黄牛肉</x:v>
      </x:c>
      <x:c r="J166" s="22" t="n">
        <x:f>XLOOKUP(H166,'菜品主数据'!$A$5:$A$24,'菜品主数据'!$D$5:$D$24,0)</x:f>
        <x:v>49</x:v>
      </x:c>
      <x:c r="K166" s="31" t="n">
        <x:v>21</x:v>
      </x:c>
      <x:c r="L166" s="35" t="n">
        <x:f>J166*K166</x:f>
        <x:v>1029</x:v>
      </x:c>
      <x:c r="M166" s="36" t="n">
        <x:v>0</x:v>
      </x:c>
      <x:c r="N166" s="35" t="n">
        <x:f>L166*M166</x:f>
        <x:v>0</x:v>
      </x:c>
      <x:c r="O166" s="37" t="n">
        <x:v>0</x:v>
      </x:c>
      <x:c r="P166" s="35" t="n">
        <x:f>L166*O166</x:f>
        <x:v>0</x:v>
      </x:c>
      <x:c r="Q166" s="35" t="n">
        <x:v>0</x:v>
      </x:c>
      <x:c r="R166" s="35" t="n">
        <x:f>K166*Q166</x:f>
        <x:v>0</x:v>
      </x:c>
      <x:c r="S166" s="35" t="n">
        <x:f>XLOOKUP(H166,'菜品主数据'!$A$5:$A$24,'菜品主数据'!$G$5:$G$24,0)</x:f>
        <x:v>17.577</x:v>
      </x:c>
      <x:c r="T166" s="35" t="n">
        <x:f>K166*S166</x:f>
        <x:v>369.117</x:v>
      </x:c>
      <x:c r="U166" s="35" t="n">
        <x:f>L166-N166-P166-R166-T166</x:f>
        <x:v>659.883</x:v>
      </x:c>
      <x:c r="V166" s="21" t="n">
        <x:f>IFERROR(U166/L166,0)</x:f>
        <x:v>0.6412857142857143</x:v>
      </x:c>
    </x:row>
    <x:row r="167">
      <x:c r="A167" s="19" t="str">
        <x:v>SALE-00163</x:v>
      </x:c>
      <x:c r="B167" s="34" t="n">
        <x:v>46214.5</x:v>
      </x:c>
      <x:c r="C167" s="19" t="str">
        <x:v>周六</x:v>
      </x:c>
      <x:c r="D167" s="19" t="str">
        <x:v>S01</x:v>
      </x:c>
      <x:c r="E167" s="19" t="str">
        <x:v>近江天阳店</x:v>
      </x:c>
      <x:c r="F167" s="19" t="str">
        <x:v>堂食</x:v>
      </x:c>
      <x:c r="G167" s="19" t="str">
        <x:v>全日</x:v>
      </x:c>
      <x:c r="H167" s="19" t="str">
        <x:v>D03</x:v>
      </x:c>
      <x:c r="I167" s="19" t="str">
        <x:v>香醋炒蛋</x:v>
      </x:c>
      <x:c r="J167" s="22" t="n">
        <x:f>XLOOKUP(H167,'菜品主数据'!$A$5:$A$24,'菜品主数据'!$D$5:$D$24,0)</x:f>
        <x:v>14.9</x:v>
      </x:c>
      <x:c r="K167" s="31" t="n">
        <x:v>31</x:v>
      </x:c>
      <x:c r="L167" s="35" t="n">
        <x:f>J167*K167</x:f>
        <x:v>461.90000000000003</x:v>
      </x:c>
      <x:c r="M167" s="36" t="n">
        <x:v>0</x:v>
      </x:c>
      <x:c r="N167" s="35" t="n">
        <x:f>L167*M167</x:f>
        <x:v>0</x:v>
      </x:c>
      <x:c r="O167" s="37" t="n">
        <x:v>0</x:v>
      </x:c>
      <x:c r="P167" s="35" t="n">
        <x:f>L167*O167</x:f>
        <x:v>0</x:v>
      </x:c>
      <x:c r="Q167" s="35" t="n">
        <x:v>0</x:v>
      </x:c>
      <x:c r="R167" s="35" t="n">
        <x:f>K167*Q167</x:f>
        <x:v>0</x:v>
      </x:c>
      <x:c r="S167" s="35" t="n">
        <x:f>XLOOKUP(H167,'菜品主数据'!$A$5:$A$24,'菜品主数据'!$G$5:$G$24,0)</x:f>
        <x:v>3.7459999999999996</x:v>
      </x:c>
      <x:c r="T167" s="35" t="n">
        <x:f>K167*S167</x:f>
        <x:v>116.12599999999999</x:v>
      </x:c>
      <x:c r="U167" s="35" t="n">
        <x:f>L167-N167-P167-R167-T167</x:f>
        <x:v>345.77400000000006</x:v>
      </x:c>
      <x:c r="V167" s="21" t="n">
        <x:f>IFERROR(U167/L167,0)</x:f>
        <x:v>0.7485906040268457</x:v>
      </x:c>
    </x:row>
    <x:row r="168">
      <x:c r="A168" s="19" t="str">
        <x:v>SALE-00164</x:v>
      </x:c>
      <x:c r="B168" s="34" t="n">
        <x:v>46214.5</x:v>
      </x:c>
      <x:c r="C168" s="19" t="str">
        <x:v>周六</x:v>
      </x:c>
      <x:c r="D168" s="19" t="str">
        <x:v>S01</x:v>
      </x:c>
      <x:c r="E168" s="19" t="str">
        <x:v>近江天阳店</x:v>
      </x:c>
      <x:c r="F168" s="19" t="str">
        <x:v>堂食</x:v>
      </x:c>
      <x:c r="G168" s="19" t="str">
        <x:v>全日</x:v>
      </x:c>
      <x:c r="H168" s="19" t="str">
        <x:v>D04</x:v>
      </x:c>
      <x:c r="I168" s="19" t="str">
        <x:v>酸包菜炒粉皮</x:v>
      </x:c>
      <x:c r="J168" s="22" t="n">
        <x:f>XLOOKUP(H168,'菜品主数据'!$A$5:$A$24,'菜品主数据'!$D$5:$D$24,0)</x:f>
        <x:v>16</x:v>
      </x:c>
      <x:c r="K168" s="31" t="n">
        <x:v>33</x:v>
      </x:c>
      <x:c r="L168" s="35" t="n">
        <x:f>J168*K168</x:f>
        <x:v>528</x:v>
      </x:c>
      <x:c r="M168" s="36" t="n">
        <x:v>0</x:v>
      </x:c>
      <x:c r="N168" s="35" t="n">
        <x:f>L168*M168</x:f>
        <x:v>0</x:v>
      </x:c>
      <x:c r="O168" s="37" t="n">
        <x:v>0</x:v>
      </x:c>
      <x:c r="P168" s="35" t="n">
        <x:f>L168*O168</x:f>
        <x:v>0</x:v>
      </x:c>
      <x:c r="Q168" s="35" t="n">
        <x:v>0</x:v>
      </x:c>
      <x:c r="R168" s="35" t="n">
        <x:f>K168*Q168</x:f>
        <x:v>0</x:v>
      </x:c>
      <x:c r="S168" s="35" t="n">
        <x:f>XLOOKUP(H168,'菜品主数据'!$A$5:$A$24,'菜品主数据'!$G$5:$G$24,0)</x:f>
        <x:v>3.978</x:v>
      </x:c>
      <x:c r="T168" s="35" t="n">
        <x:f>K168*S168</x:f>
        <x:v>131.274</x:v>
      </x:c>
      <x:c r="U168" s="35" t="n">
        <x:f>L168-N168-P168-R168-T168</x:f>
        <x:v>396.726</x:v>
      </x:c>
      <x:c r="V168" s="21" t="n">
        <x:f>IFERROR(U168/L168,0)</x:f>
        <x:v>0.751375</x:v>
      </x:c>
    </x:row>
    <x:row r="169">
      <x:c r="A169" s="19" t="str">
        <x:v>SALE-00165</x:v>
      </x:c>
      <x:c r="B169" s="34" t="n">
        <x:v>46214.5</x:v>
      </x:c>
      <x:c r="C169" s="19" t="str">
        <x:v>周六</x:v>
      </x:c>
      <x:c r="D169" s="19" t="str">
        <x:v>S01</x:v>
      </x:c>
      <x:c r="E169" s="19" t="str">
        <x:v>近江天阳店</x:v>
      </x:c>
      <x:c r="F169" s="19" t="str">
        <x:v>堂食</x:v>
      </x:c>
      <x:c r="G169" s="19" t="str">
        <x:v>全日</x:v>
      </x:c>
      <x:c r="H169" s="19" t="str">
        <x:v>D05</x:v>
      </x:c>
      <x:c r="I169" s="19" t="str">
        <x:v>麻婆豆腐</x:v>
      </x:c>
      <x:c r="J169" s="22" t="n">
        <x:f>XLOOKUP(H169,'菜品主数据'!$A$5:$A$24,'菜品主数据'!$D$5:$D$24,0)</x:f>
        <x:v>9.9</x:v>
      </x:c>
      <x:c r="K169" s="31" t="n">
        <x:v>45</x:v>
      </x:c>
      <x:c r="L169" s="35" t="n">
        <x:f>J169*K169</x:f>
        <x:v>445.5</x:v>
      </x:c>
      <x:c r="M169" s="36" t="n">
        <x:v>0</x:v>
      </x:c>
      <x:c r="N169" s="35" t="n">
        <x:f>L169*M169</x:f>
        <x:v>0</x:v>
      </x:c>
      <x:c r="O169" s="37" t="n">
        <x:v>0</x:v>
      </x:c>
      <x:c r="P169" s="35" t="n">
        <x:f>L169*O169</x:f>
        <x:v>0</x:v>
      </x:c>
      <x:c r="Q169" s="35" t="n">
        <x:v>0</x:v>
      </x:c>
      <x:c r="R169" s="35" t="n">
        <x:f>K169*Q169</x:f>
        <x:v>0</x:v>
      </x:c>
      <x:c r="S169" s="35" t="n">
        <x:f>XLOOKUP(H169,'菜品主数据'!$A$5:$A$24,'菜品主数据'!$G$5:$G$24,0)</x:f>
        <x:v>5.367000000000001</x:v>
      </x:c>
      <x:c r="T169" s="35" t="n">
        <x:f>K169*S169</x:f>
        <x:v>241.51500000000004</x:v>
      </x:c>
      <x:c r="U169" s="35" t="n">
        <x:f>L169-N169-P169-R169-T169</x:f>
        <x:v>203.98499999999996</x:v>
      </x:c>
      <x:c r="V169" s="21" t="n">
        <x:f>IFERROR(U169/L169,0)</x:f>
        <x:v>0.4578787878787878</x:v>
      </x:c>
    </x:row>
    <x:row r="170">
      <x:c r="A170" s="19" t="str">
        <x:v>SALE-00166</x:v>
      </x:c>
      <x:c r="B170" s="34" t="n">
        <x:v>46214.5</x:v>
      </x:c>
      <x:c r="C170" s="19" t="str">
        <x:v>周六</x:v>
      </x:c>
      <x:c r="D170" s="19" t="str">
        <x:v>S01</x:v>
      </x:c>
      <x:c r="E170" s="19" t="str">
        <x:v>近江天阳店</x:v>
      </x:c>
      <x:c r="F170" s="19" t="str">
        <x:v>堂食</x:v>
      </x:c>
      <x:c r="G170" s="19" t="str">
        <x:v>全日</x:v>
      </x:c>
      <x:c r="H170" s="19" t="str">
        <x:v>D06</x:v>
      </x:c>
      <x:c r="I170" s="19" t="str">
        <x:v>剁椒鱼头</x:v>
      </x:c>
      <x:c r="J170" s="22" t="n">
        <x:f>XLOOKUP(H170,'菜品主数据'!$A$5:$A$24,'菜品主数据'!$D$5:$D$24,0)</x:f>
        <x:v>39</x:v>
      </x:c>
      <x:c r="K170" s="31" t="n">
        <x:v>10</x:v>
      </x:c>
      <x:c r="L170" s="35" t="n">
        <x:f>J170*K170</x:f>
        <x:v>390</x:v>
      </x:c>
      <x:c r="M170" s="36" t="n">
        <x:v>0</x:v>
      </x:c>
      <x:c r="N170" s="35" t="n">
        <x:f>L170*M170</x:f>
        <x:v>0</x:v>
      </x:c>
      <x:c r="O170" s="37" t="n">
        <x:v>0</x:v>
      </x:c>
      <x:c r="P170" s="35" t="n">
        <x:f>L170*O170</x:f>
        <x:v>0</x:v>
      </x:c>
      <x:c r="Q170" s="35" t="n">
        <x:v>0</x:v>
      </x:c>
      <x:c r="R170" s="35" t="n">
        <x:f>K170*Q170</x:f>
        <x:v>0</x:v>
      </x:c>
      <x:c r="S170" s="35" t="n">
        <x:f>XLOOKUP(H170,'菜品主数据'!$A$5:$A$24,'菜品主数据'!$G$5:$G$24,0)</x:f>
        <x:v>17.446</x:v>
      </x:c>
      <x:c r="T170" s="35" t="n">
        <x:f>K170*S170</x:f>
        <x:v>174.46</x:v>
      </x:c>
      <x:c r="U170" s="35" t="n">
        <x:f>L170-N170-P170-R170-T170</x:f>
        <x:v>215.54</x:v>
      </x:c>
      <x:c r="V170" s="21" t="n">
        <x:f>IFERROR(U170/L170,0)</x:f>
        <x:v>0.5526666666666666</x:v>
      </x:c>
    </x:row>
    <x:row r="171">
      <x:c r="A171" s="19" t="str">
        <x:v>SALE-00167</x:v>
      </x:c>
      <x:c r="B171" s="34" t="n">
        <x:v>46214.5</x:v>
      </x:c>
      <x:c r="C171" s="19" t="str">
        <x:v>周六</x:v>
      </x:c>
      <x:c r="D171" s="19" t="str">
        <x:v>S01</x:v>
      </x:c>
      <x:c r="E171" s="19" t="str">
        <x:v>近江天阳店</x:v>
      </x:c>
      <x:c r="F171" s="19" t="str">
        <x:v>堂食</x:v>
      </x:c>
      <x:c r="G171" s="19" t="str">
        <x:v>全日</x:v>
      </x:c>
      <x:c r="H171" s="19" t="str">
        <x:v>D07</x:v>
      </x:c>
      <x:c r="I171" s="19" t="str">
        <x:v>川味回锅肉</x:v>
      </x:c>
      <x:c r="J171" s="22" t="n">
        <x:f>XLOOKUP(H171,'菜品主数据'!$A$5:$A$24,'菜品主数据'!$D$5:$D$24,0)</x:f>
        <x:v>29</x:v>
      </x:c>
      <x:c r="K171" s="31" t="n">
        <x:v>13</x:v>
      </x:c>
      <x:c r="L171" s="35" t="n">
        <x:f>J171*K171</x:f>
        <x:v>377</x:v>
      </x:c>
      <x:c r="M171" s="36" t="n">
        <x:v>0</x:v>
      </x:c>
      <x:c r="N171" s="35" t="n">
        <x:f>L171*M171</x:f>
        <x:v>0</x:v>
      </x:c>
      <x:c r="O171" s="37" t="n">
        <x:v>0</x:v>
      </x:c>
      <x:c r="P171" s="35" t="n">
        <x:f>L171*O171</x:f>
        <x:v>0</x:v>
      </x:c>
      <x:c r="Q171" s="35" t="n">
        <x:v>0</x:v>
      </x:c>
      <x:c r="R171" s="35" t="n">
        <x:f>K171*Q171</x:f>
        <x:v>0</x:v>
      </x:c>
      <x:c r="S171" s="35" t="n">
        <x:f>XLOOKUP(H171,'菜品主数据'!$A$5:$A$24,'菜品主数据'!$G$5:$G$24,0)</x:f>
        <x:v>10.231000000000002</x:v>
      </x:c>
      <x:c r="T171" s="35" t="n">
        <x:f>K171*S171</x:f>
        <x:v>133.00300000000001</x:v>
      </x:c>
      <x:c r="U171" s="35" t="n">
        <x:f>L171-N171-P171-R171-T171</x:f>
        <x:v>243.99699999999999</x:v>
      </x:c>
      <x:c r="V171" s="21" t="n">
        <x:f>IFERROR(U171/L171,0)</x:f>
        <x:v>0.6472068965517241</x:v>
      </x:c>
    </x:row>
    <x:row r="172">
      <x:c r="A172" s="19" t="str">
        <x:v>SALE-00168</x:v>
      </x:c>
      <x:c r="B172" s="34" t="n">
        <x:v>46214.5</x:v>
      </x:c>
      <x:c r="C172" s="19" t="str">
        <x:v>周六</x:v>
      </x:c>
      <x:c r="D172" s="19" t="str">
        <x:v>S01</x:v>
      </x:c>
      <x:c r="E172" s="19" t="str">
        <x:v>近江天阳店</x:v>
      </x:c>
      <x:c r="F172" s="19" t="str">
        <x:v>堂食</x:v>
      </x:c>
      <x:c r="G172" s="19" t="str">
        <x:v>全日</x:v>
      </x:c>
      <x:c r="H172" s="19" t="str">
        <x:v>D08</x:v>
      </x:c>
      <x:c r="I172" s="19" t="str">
        <x:v>生炒清远鸡</x:v>
      </x:c>
      <x:c r="J172" s="22" t="n">
        <x:f>XLOOKUP(H172,'菜品主数据'!$A$5:$A$24,'菜品主数据'!$D$5:$D$24,0)</x:f>
        <x:v>36</x:v>
      </x:c>
      <x:c r="K172" s="31" t="n">
        <x:v>9</x:v>
      </x:c>
      <x:c r="L172" s="35" t="n">
        <x:f>J172*K172</x:f>
        <x:v>324</x:v>
      </x:c>
      <x:c r="M172" s="36" t="n">
        <x:v>0</x:v>
      </x:c>
      <x:c r="N172" s="35" t="n">
        <x:f>L172*M172</x:f>
        <x:v>0</x:v>
      </x:c>
      <x:c r="O172" s="37" t="n">
        <x:v>0</x:v>
      </x:c>
      <x:c r="P172" s="35" t="n">
        <x:f>L172*O172</x:f>
        <x:v>0</x:v>
      </x:c>
      <x:c r="Q172" s="35" t="n">
        <x:v>0</x:v>
      </x:c>
      <x:c r="R172" s="35" t="n">
        <x:f>K172*Q172</x:f>
        <x:v>0</x:v>
      </x:c>
      <x:c r="S172" s="35" t="n">
        <x:f>XLOOKUP(H172,'菜品主数据'!$A$5:$A$24,'菜品主数据'!$G$5:$G$24,0)</x:f>
        <x:v>13.48</x:v>
      </x:c>
      <x:c r="T172" s="35" t="n">
        <x:f>K172*S172</x:f>
        <x:v>121.32000000000001</x:v>
      </x:c>
      <x:c r="U172" s="35" t="n">
        <x:f>L172-N172-P172-R172-T172</x:f>
        <x:v>202.68</x:v>
      </x:c>
      <x:c r="V172" s="21" t="n">
        <x:f>IFERROR(U172/L172,0)</x:f>
        <x:v>0.6255555555555555</x:v>
      </x:c>
    </x:row>
    <x:row r="173">
      <x:c r="A173" s="19" t="str">
        <x:v>SALE-00169</x:v>
      </x:c>
      <x:c r="B173" s="34" t="n">
        <x:v>46214.5</x:v>
      </x:c>
      <x:c r="C173" s="19" t="str">
        <x:v>周六</x:v>
      </x:c>
      <x:c r="D173" s="19" t="str">
        <x:v>S01</x:v>
      </x:c>
      <x:c r="E173" s="19" t="str">
        <x:v>近江天阳店</x:v>
      </x:c>
      <x:c r="F173" s="19" t="str">
        <x:v>堂食</x:v>
      </x:c>
      <x:c r="G173" s="19" t="str">
        <x:v>全日</x:v>
      </x:c>
      <x:c r="H173" s="19" t="str">
        <x:v>D09</x:v>
      </x:c>
      <x:c r="I173" s="19" t="str">
        <x:v>炒豆干</x:v>
      </x:c>
      <x:c r="J173" s="22" t="n">
        <x:f>XLOOKUP(H173,'菜品主数据'!$A$5:$A$24,'菜品主数据'!$D$5:$D$24,0)</x:f>
        <x:v>18</x:v>
      </x:c>
      <x:c r="K173" s="31" t="n">
        <x:v>12</x:v>
      </x:c>
      <x:c r="L173" s="35" t="n">
        <x:f>J173*K173</x:f>
        <x:v>216</x:v>
      </x:c>
      <x:c r="M173" s="36" t="n">
        <x:v>0</x:v>
      </x:c>
      <x:c r="N173" s="35" t="n">
        <x:f>L173*M173</x:f>
        <x:v>0</x:v>
      </x:c>
      <x:c r="O173" s="37" t="n">
        <x:v>0</x:v>
      </x:c>
      <x:c r="P173" s="35" t="n">
        <x:f>L173*O173</x:f>
        <x:v>0</x:v>
      </x:c>
      <x:c r="Q173" s="35" t="n">
        <x:v>0</x:v>
      </x:c>
      <x:c r="R173" s="35" t="n">
        <x:f>K173*Q173</x:f>
        <x:v>0</x:v>
      </x:c>
      <x:c r="S173" s="35" t="n">
        <x:f>XLOOKUP(H173,'菜品主数据'!$A$5:$A$24,'菜品主数据'!$G$5:$G$24,0)</x:f>
        <x:v>6.613999999999999</x:v>
      </x:c>
      <x:c r="T173" s="35" t="n">
        <x:f>K173*S173</x:f>
        <x:v>79.368</x:v>
      </x:c>
      <x:c r="U173" s="35" t="n">
        <x:f>L173-N173-P173-R173-T173</x:f>
        <x:v>136.632</x:v>
      </x:c>
      <x:c r="V173" s="21" t="n">
        <x:f>IFERROR(U173/L173,0)</x:f>
        <x:v>0.6325555555555555</x:v>
      </x:c>
    </x:row>
    <x:row r="174">
      <x:c r="A174" s="19" t="str">
        <x:v>SALE-00170</x:v>
      </x:c>
      <x:c r="B174" s="34" t="n">
        <x:v>46214.5</x:v>
      </x:c>
      <x:c r="C174" s="19" t="str">
        <x:v>周六</x:v>
      </x:c>
      <x:c r="D174" s="19" t="str">
        <x:v>S01</x:v>
      </x:c>
      <x:c r="E174" s="19" t="str">
        <x:v>近江天阳店</x:v>
      </x:c>
      <x:c r="F174" s="19" t="str">
        <x:v>堂食</x:v>
      </x:c>
      <x:c r="G174" s="19" t="str">
        <x:v>全日</x:v>
      </x:c>
      <x:c r="H174" s="19" t="str">
        <x:v>D10</x:v>
      </x:c>
      <x:c r="I174" s="19" t="str">
        <x:v>农家一碗香</x:v>
      </x:c>
      <x:c r="J174" s="22" t="n">
        <x:f>XLOOKUP(H174,'菜品主数据'!$A$5:$A$24,'菜品主数据'!$D$5:$D$24,0)</x:f>
        <x:v>22.9</x:v>
      </x:c>
      <x:c r="K174" s="31" t="n">
        <x:v>14</x:v>
      </x:c>
      <x:c r="L174" s="35" t="n">
        <x:f>J174*K174</x:f>
        <x:v>320.59999999999997</x:v>
      </x:c>
      <x:c r="M174" s="36" t="n">
        <x:v>0</x:v>
      </x:c>
      <x:c r="N174" s="35" t="n">
        <x:f>L174*M174</x:f>
        <x:v>0</x:v>
      </x:c>
      <x:c r="O174" s="37" t="n">
        <x:v>0</x:v>
      </x:c>
      <x:c r="P174" s="35" t="n">
        <x:f>L174*O174</x:f>
        <x:v>0</x:v>
      </x:c>
      <x:c r="Q174" s="35" t="n">
        <x:v>0</x:v>
      </x:c>
      <x:c r="R174" s="35" t="n">
        <x:f>K174*Q174</x:f>
        <x:v>0</x:v>
      </x:c>
      <x:c r="S174" s="35" t="n">
        <x:f>XLOOKUP(H174,'菜品主数据'!$A$5:$A$24,'菜品主数据'!$G$5:$G$24,0)</x:f>
        <x:v>9.770200000000003</x:v>
      </x:c>
      <x:c r="T174" s="35" t="n">
        <x:f>K174*S174</x:f>
        <x:v>136.78280000000004</x:v>
      </x:c>
      <x:c r="U174" s="35" t="n">
        <x:f>L174-N174-P174-R174-T174</x:f>
        <x:v>183.81719999999993</x:v>
      </x:c>
      <x:c r="V174" s="21" t="n">
        <x:f>IFERROR(U174/L174,0)</x:f>
        <x:v>0.5733537117903929</x:v>
      </x:c>
    </x:row>
    <x:row r="175">
      <x:c r="A175" s="19" t="str">
        <x:v>SALE-00171</x:v>
      </x:c>
      <x:c r="B175" s="34" t="n">
        <x:v>46214.5</x:v>
      </x:c>
      <x:c r="C175" s="19" t="str">
        <x:v>周六</x:v>
      </x:c>
      <x:c r="D175" s="19" t="str">
        <x:v>S01</x:v>
      </x:c>
      <x:c r="E175" s="19" t="str">
        <x:v>近江天阳店</x:v>
      </x:c>
      <x:c r="F175" s="19" t="str">
        <x:v>堂食</x:v>
      </x:c>
      <x:c r="G175" s="19" t="str">
        <x:v>全日</x:v>
      </x:c>
      <x:c r="H175" s="19" t="str">
        <x:v>D11</x:v>
      </x:c>
      <x:c r="I175" s="19" t="str">
        <x:v>香辣爆肥肠</x:v>
      </x:c>
      <x:c r="J175" s="22" t="n">
        <x:f>XLOOKUP(H175,'菜品主数据'!$A$5:$A$24,'菜品主数据'!$D$5:$D$24,0)</x:f>
        <x:v>39</x:v>
      </x:c>
      <x:c r="K175" s="31" t="n">
        <x:v>6</x:v>
      </x:c>
      <x:c r="L175" s="35" t="n">
        <x:f>J175*K175</x:f>
        <x:v>234</x:v>
      </x:c>
      <x:c r="M175" s="36" t="n">
        <x:v>0</x:v>
      </x:c>
      <x:c r="N175" s="35" t="n">
        <x:f>L175*M175</x:f>
        <x:v>0</x:v>
      </x:c>
      <x:c r="O175" s="37" t="n">
        <x:v>0</x:v>
      </x:c>
      <x:c r="P175" s="35" t="n">
        <x:f>L175*O175</x:f>
        <x:v>0</x:v>
      </x:c>
      <x:c r="Q175" s="35" t="n">
        <x:v>0</x:v>
      </x:c>
      <x:c r="R175" s="35" t="n">
        <x:f>K175*Q175</x:f>
        <x:v>0</x:v>
      </x:c>
      <x:c r="S175" s="35" t="n">
        <x:f>XLOOKUP(H175,'菜品主数据'!$A$5:$A$24,'菜品主数据'!$G$5:$G$24,0)</x:f>
        <x:v>10.397</x:v>
      </x:c>
      <x:c r="T175" s="35" t="n">
        <x:f>K175*S175</x:f>
        <x:v>62.382000000000005</x:v>
      </x:c>
      <x:c r="U175" s="35" t="n">
        <x:f>L175-N175-P175-R175-T175</x:f>
        <x:v>171.618</x:v>
      </x:c>
      <x:c r="V175" s="21" t="n">
        <x:f>IFERROR(U175/L175,0)</x:f>
        <x:v>0.7334102564102564</x:v>
      </x:c>
    </x:row>
    <x:row r="176">
      <x:c r="A176" s="19" t="str">
        <x:v>SALE-00172</x:v>
      </x:c>
      <x:c r="B176" s="34" t="n">
        <x:v>46214.5</x:v>
      </x:c>
      <x:c r="C176" s="19" t="str">
        <x:v>周六</x:v>
      </x:c>
      <x:c r="D176" s="19" t="str">
        <x:v>S01</x:v>
      </x:c>
      <x:c r="E176" s="19" t="str">
        <x:v>近江天阳店</x:v>
      </x:c>
      <x:c r="F176" s="19" t="str">
        <x:v>堂食</x:v>
      </x:c>
      <x:c r="G176" s="19" t="str">
        <x:v>全日</x:v>
      </x:c>
      <x:c r="H176" s="19" t="str">
        <x:v>D12</x:v>
      </x:c>
      <x:c r="I176" s="19" t="str">
        <x:v>清蒸鲈鱼</x:v>
      </x:c>
      <x:c r="J176" s="22" t="n">
        <x:f>XLOOKUP(H176,'菜品主数据'!$A$5:$A$24,'菜品主数据'!$D$5:$D$24,0)</x:f>
        <x:v>39</x:v>
      </x:c>
      <x:c r="K176" s="31" t="n">
        <x:v>6</x:v>
      </x:c>
      <x:c r="L176" s="35" t="n">
        <x:f>J176*K176</x:f>
        <x:v>234</x:v>
      </x:c>
      <x:c r="M176" s="36" t="n">
        <x:v>0</x:v>
      </x:c>
      <x:c r="N176" s="35" t="n">
        <x:f>L176*M176</x:f>
        <x:v>0</x:v>
      </x:c>
      <x:c r="O176" s="37" t="n">
        <x:v>0</x:v>
      </x:c>
      <x:c r="P176" s="35" t="n">
        <x:f>L176*O176</x:f>
        <x:v>0</x:v>
      </x:c>
      <x:c r="Q176" s="35" t="n">
        <x:v>0</x:v>
      </x:c>
      <x:c r="R176" s="35" t="n">
        <x:f>K176*Q176</x:f>
        <x:v>0</x:v>
      </x:c>
      <x:c r="S176" s="35" t="n">
        <x:f>XLOOKUP(H176,'菜品主数据'!$A$5:$A$24,'菜品主数据'!$G$5:$G$24,0)</x:f>
        <x:v>18.874</x:v>
      </x:c>
      <x:c r="T176" s="35" t="n">
        <x:f>K176*S176</x:f>
        <x:v>113.244</x:v>
      </x:c>
      <x:c r="U176" s="35" t="n">
        <x:f>L176-N176-P176-R176-T176</x:f>
        <x:v>120.756</x:v>
      </x:c>
      <x:c r="V176" s="21" t="n">
        <x:f>IFERROR(U176/L176,0)</x:f>
        <x:v>0.516051282051282</x:v>
      </x:c>
    </x:row>
    <x:row r="177">
      <x:c r="A177" s="19" t="str">
        <x:v>SALE-00173</x:v>
      </x:c>
      <x:c r="B177" s="34" t="n">
        <x:v>46214.5</x:v>
      </x:c>
      <x:c r="C177" s="19" t="str">
        <x:v>周六</x:v>
      </x:c>
      <x:c r="D177" s="19" t="str">
        <x:v>S01</x:v>
      </x:c>
      <x:c r="E177" s="19" t="str">
        <x:v>近江天阳店</x:v>
      </x:c>
      <x:c r="F177" s="19" t="str">
        <x:v>堂食</x:v>
      </x:c>
      <x:c r="G177" s="19" t="str">
        <x:v>全日</x:v>
      </x:c>
      <x:c r="H177" s="19" t="str">
        <x:v>D13</x:v>
      </x:c>
      <x:c r="I177" s="19" t="str">
        <x:v>外婆菜炒蛋</x:v>
      </x:c>
      <x:c r="J177" s="22" t="n">
        <x:f>XLOOKUP(H177,'菜品主数据'!$A$5:$A$24,'菜品主数据'!$D$5:$D$24,0)</x:f>
        <x:v>18</x:v>
      </x:c>
      <x:c r="K177" s="31" t="n">
        <x:v>14</x:v>
      </x:c>
      <x:c r="L177" s="35" t="n">
        <x:f>J177*K177</x:f>
        <x:v>252</x:v>
      </x:c>
      <x:c r="M177" s="36" t="n">
        <x:v>0</x:v>
      </x:c>
      <x:c r="N177" s="35" t="n">
        <x:f>L177*M177</x:f>
        <x:v>0</x:v>
      </x:c>
      <x:c r="O177" s="37" t="n">
        <x:v>0</x:v>
      </x:c>
      <x:c r="P177" s="35" t="n">
        <x:f>L177*O177</x:f>
        <x:v>0</x:v>
      </x:c>
      <x:c r="Q177" s="35" t="n">
        <x:v>0</x:v>
      </x:c>
      <x:c r="R177" s="35" t="n">
        <x:f>K177*Q177</x:f>
        <x:v>0</x:v>
      </x:c>
      <x:c r="S177" s="35" t="n">
        <x:f>XLOOKUP(H177,'菜品主数据'!$A$5:$A$24,'菜品主数据'!$G$5:$G$24,0)</x:f>
        <x:v>5.403999999999999</x:v>
      </x:c>
      <x:c r="T177" s="35" t="n">
        <x:f>K177*S177</x:f>
        <x:v>75.65599999999999</x:v>
      </x:c>
      <x:c r="U177" s="35" t="n">
        <x:f>L177-N177-P177-R177-T177</x:f>
        <x:v>176.344</x:v>
      </x:c>
      <x:c r="V177" s="21" t="n">
        <x:f>IFERROR(U177/L177,0)</x:f>
        <x:v>0.6997777777777777</x:v>
      </x:c>
    </x:row>
    <x:row r="178">
      <x:c r="A178" s="19" t="str">
        <x:v>SALE-00174</x:v>
      </x:c>
      <x:c r="B178" s="34" t="n">
        <x:v>46214.5</x:v>
      </x:c>
      <x:c r="C178" s="19" t="str">
        <x:v>周六</x:v>
      </x:c>
      <x:c r="D178" s="19" t="str">
        <x:v>S01</x:v>
      </x:c>
      <x:c r="E178" s="19" t="str">
        <x:v>近江天阳店</x:v>
      </x:c>
      <x:c r="F178" s="19" t="str">
        <x:v>堂食</x:v>
      </x:c>
      <x:c r="G178" s="19" t="str">
        <x:v>全日</x:v>
      </x:c>
      <x:c r="H178" s="19" t="str">
        <x:v>D14</x:v>
      </x:c>
      <x:c r="I178" s="19" t="str">
        <x:v>酸辣鸡杂</x:v>
      </x:c>
      <x:c r="J178" s="22" t="n">
        <x:f>XLOOKUP(H178,'菜品主数据'!$A$5:$A$24,'菜品主数据'!$D$5:$D$24,0)</x:f>
        <x:v>28</x:v>
      </x:c>
      <x:c r="K178" s="31" t="n">
        <x:v>7</x:v>
      </x:c>
      <x:c r="L178" s="35" t="n">
        <x:f>J178*K178</x:f>
        <x:v>196</x:v>
      </x:c>
      <x:c r="M178" s="36" t="n">
        <x:v>0</x:v>
      </x:c>
      <x:c r="N178" s="35" t="n">
        <x:f>L178*M178</x:f>
        <x:v>0</x:v>
      </x:c>
      <x:c r="O178" s="37" t="n">
        <x:v>0</x:v>
      </x:c>
      <x:c r="P178" s="35" t="n">
        <x:f>L178*O178</x:f>
        <x:v>0</x:v>
      </x:c>
      <x:c r="Q178" s="35" t="n">
        <x:v>0</x:v>
      </x:c>
      <x:c r="R178" s="35" t="n">
        <x:f>K178*Q178</x:f>
        <x:v>0</x:v>
      </x:c>
      <x:c r="S178" s="35" t="n">
        <x:f>XLOOKUP(H178,'菜品主数据'!$A$5:$A$24,'菜品主数据'!$G$5:$G$24,0)</x:f>
        <x:v>8.315000000000001</x:v>
      </x:c>
      <x:c r="T178" s="35" t="n">
        <x:f>K178*S178</x:f>
        <x:v>58.20500000000001</x:v>
      </x:c>
      <x:c r="U178" s="35" t="n">
        <x:f>L178-N178-P178-R178-T178</x:f>
        <x:v>137.795</x:v>
      </x:c>
      <x:c r="V178" s="21" t="n">
        <x:f>IFERROR(U178/L178,0)</x:f>
        <x:v>0.7030357142857142</x:v>
      </x:c>
    </x:row>
    <x:row r="179">
      <x:c r="A179" s="19" t="str">
        <x:v>SALE-00175</x:v>
      </x:c>
      <x:c r="B179" s="34" t="n">
        <x:v>46214.5</x:v>
      </x:c>
      <x:c r="C179" s="19" t="str">
        <x:v>周六</x:v>
      </x:c>
      <x:c r="D179" s="19" t="str">
        <x:v>S01</x:v>
      </x:c>
      <x:c r="E179" s="19" t="str">
        <x:v>近江天阳店</x:v>
      </x:c>
      <x:c r="F179" s="19" t="str">
        <x:v>堂食</x:v>
      </x:c>
      <x:c r="G179" s="19" t="str">
        <x:v>全日</x:v>
      </x:c>
      <x:c r="H179" s="19" t="str">
        <x:v>D15</x:v>
      </x:c>
      <x:c r="I179" s="19" t="str">
        <x:v>湘西土匪猪肝</x:v>
      </x:c>
      <x:c r="J179" s="22" t="n">
        <x:f>XLOOKUP(H179,'菜品主数据'!$A$5:$A$24,'菜品主数据'!$D$5:$D$24,0)</x:f>
        <x:v>26</x:v>
      </x:c>
      <x:c r="K179" s="31" t="n">
        <x:v>6</x:v>
      </x:c>
      <x:c r="L179" s="35" t="n">
        <x:f>J179*K179</x:f>
        <x:v>156</x:v>
      </x:c>
      <x:c r="M179" s="36" t="n">
        <x:v>0</x:v>
      </x:c>
      <x:c r="N179" s="35" t="n">
        <x:f>L179*M179</x:f>
        <x:v>0</x:v>
      </x:c>
      <x:c r="O179" s="37" t="n">
        <x:v>0</x:v>
      </x:c>
      <x:c r="P179" s="35" t="n">
        <x:f>L179*O179</x:f>
        <x:v>0</x:v>
      </x:c>
      <x:c r="Q179" s="35" t="n">
        <x:v>0</x:v>
      </x:c>
      <x:c r="R179" s="35" t="n">
        <x:f>K179*Q179</x:f>
        <x:v>0</x:v>
      </x:c>
      <x:c r="S179" s="35" t="n">
        <x:f>XLOOKUP(H179,'菜品主数据'!$A$5:$A$24,'菜品主数据'!$G$5:$G$24,0)</x:f>
        <x:v>6.3759999999999994</x:v>
      </x:c>
      <x:c r="T179" s="35" t="n">
        <x:f>K179*S179</x:f>
        <x:v>38.256</x:v>
      </x:c>
      <x:c r="U179" s="35" t="n">
        <x:f>L179-N179-P179-R179-T179</x:f>
        <x:v>117.744</x:v>
      </x:c>
      <x:c r="V179" s="21" t="n">
        <x:f>IFERROR(U179/L179,0)</x:f>
        <x:v>0.7547692307692307</x:v>
      </x:c>
    </x:row>
    <x:row r="180">
      <x:c r="A180" s="19" t="str">
        <x:v>SALE-00176</x:v>
      </x:c>
      <x:c r="B180" s="34" t="n">
        <x:v>46214.5</x:v>
      </x:c>
      <x:c r="C180" s="19" t="str">
        <x:v>周六</x:v>
      </x:c>
      <x:c r="D180" s="19" t="str">
        <x:v>S01</x:v>
      </x:c>
      <x:c r="E180" s="19" t="str">
        <x:v>近江天阳店</x:v>
      </x:c>
      <x:c r="F180" s="19" t="str">
        <x:v>堂食</x:v>
      </x:c>
      <x:c r="G180" s="19" t="str">
        <x:v>全日</x:v>
      </x:c>
      <x:c r="H180" s="19" t="str">
        <x:v>D16</x:v>
      </x:c>
      <x:c r="I180" s="19" t="str">
        <x:v>小豆角炒五花</x:v>
      </x:c>
      <x:c r="J180" s="22" t="n">
        <x:f>XLOOKUP(H180,'菜品主数据'!$A$5:$A$24,'菜品主数据'!$D$5:$D$24,0)</x:f>
        <x:v>25</x:v>
      </x:c>
      <x:c r="K180" s="31" t="n">
        <x:v>7</x:v>
      </x:c>
      <x:c r="L180" s="35" t="n">
        <x:f>J180*K180</x:f>
        <x:v>175</x:v>
      </x:c>
      <x:c r="M180" s="36" t="n">
        <x:v>0</x:v>
      </x:c>
      <x:c r="N180" s="35" t="n">
        <x:f>L180*M180</x:f>
        <x:v>0</x:v>
      </x:c>
      <x:c r="O180" s="37" t="n">
        <x:v>0</x:v>
      </x:c>
      <x:c r="P180" s="35" t="n">
        <x:f>L180*O180</x:f>
        <x:v>0</x:v>
      </x:c>
      <x:c r="Q180" s="35" t="n">
        <x:v>0</x:v>
      </x:c>
      <x:c r="R180" s="35" t="n">
        <x:f>K180*Q180</x:f>
        <x:v>0</x:v>
      </x:c>
      <x:c r="S180" s="35" t="n">
        <x:f>XLOOKUP(H180,'菜品主数据'!$A$5:$A$24,'菜品主数据'!$G$5:$G$24,0)</x:f>
        <x:v>8.184</x:v>
      </x:c>
      <x:c r="T180" s="35" t="n">
        <x:f>K180*S180</x:f>
        <x:v>57.288</x:v>
      </x:c>
      <x:c r="U180" s="35" t="n">
        <x:f>L180-N180-P180-R180-T180</x:f>
        <x:v>117.712</x:v>
      </x:c>
      <x:c r="V180" s="21" t="n">
        <x:f>IFERROR(U180/L180,0)</x:f>
        <x:v>0.67264</x:v>
      </x:c>
    </x:row>
    <x:row r="181">
      <x:c r="A181" s="19" t="str">
        <x:v>SALE-00177</x:v>
      </x:c>
      <x:c r="B181" s="34" t="n">
        <x:v>46214.5</x:v>
      </x:c>
      <x:c r="C181" s="19" t="str">
        <x:v>周六</x:v>
      </x:c>
      <x:c r="D181" s="19" t="str">
        <x:v>S01</x:v>
      </x:c>
      <x:c r="E181" s="19" t="str">
        <x:v>近江天阳店</x:v>
      </x:c>
      <x:c r="F181" s="19" t="str">
        <x:v>堂食</x:v>
      </x:c>
      <x:c r="G181" s="19" t="str">
        <x:v>全日</x:v>
      </x:c>
      <x:c r="H181" s="19" t="str">
        <x:v>D17</x:v>
      </x:c>
      <x:c r="I181" s="19" t="str">
        <x:v>蒜蓉粉丝虾</x:v>
      </x:c>
      <x:c r="J181" s="22" t="n">
        <x:f>XLOOKUP(H181,'菜品主数据'!$A$5:$A$24,'菜品主数据'!$D$5:$D$24,0)</x:f>
        <x:v>36</x:v>
      </x:c>
      <x:c r="K181" s="31" t="n">
        <x:v>4</x:v>
      </x:c>
      <x:c r="L181" s="35" t="n">
        <x:f>J181*K181</x:f>
        <x:v>144</x:v>
      </x:c>
      <x:c r="M181" s="36" t="n">
        <x:v>0</x:v>
      </x:c>
      <x:c r="N181" s="35" t="n">
        <x:f>L181*M181</x:f>
        <x:v>0</x:v>
      </x:c>
      <x:c r="O181" s="37" t="n">
        <x:v>0</x:v>
      </x:c>
      <x:c r="P181" s="35" t="n">
        <x:f>L181*O181</x:f>
        <x:v>0</x:v>
      </x:c>
      <x:c r="Q181" s="35" t="n">
        <x:v>0</x:v>
      </x:c>
      <x:c r="R181" s="35" t="n">
        <x:f>K181*Q181</x:f>
        <x:v>0</x:v>
      </x:c>
      <x:c r="S181" s="35" t="n">
        <x:f>XLOOKUP(H181,'菜品主数据'!$A$5:$A$24,'菜品主数据'!$G$5:$G$24,0)</x:f>
        <x:v>13.594</x:v>
      </x:c>
      <x:c r="T181" s="35" t="n">
        <x:f>K181*S181</x:f>
        <x:v>54.376</x:v>
      </x:c>
      <x:c r="U181" s="35" t="n">
        <x:f>L181-N181-P181-R181-T181</x:f>
        <x:v>89.624</x:v>
      </x:c>
      <x:c r="V181" s="21" t="n">
        <x:f>IFERROR(U181/L181,0)</x:f>
        <x:v>0.6223888888888889</x:v>
      </x:c>
    </x:row>
    <x:row r="182">
      <x:c r="A182" s="19" t="str">
        <x:v>SALE-00178</x:v>
      </x:c>
      <x:c r="B182" s="34" t="n">
        <x:v>46214.5</x:v>
      </x:c>
      <x:c r="C182" s="19" t="str">
        <x:v>周六</x:v>
      </x:c>
      <x:c r="D182" s="19" t="str">
        <x:v>S01</x:v>
      </x:c>
      <x:c r="E182" s="19" t="str">
        <x:v>近江天阳店</x:v>
      </x:c>
      <x:c r="F182" s="19" t="str">
        <x:v>堂食</x:v>
      </x:c>
      <x:c r="G182" s="19" t="str">
        <x:v>全日</x:v>
      </x:c>
      <x:c r="H182" s="19" t="str">
        <x:v>D18</x:v>
      </x:c>
      <x:c r="I182" s="19" t="str">
        <x:v>青椒炒油麦菜</x:v>
      </x:c>
      <x:c r="J182" s="22" t="n">
        <x:f>XLOOKUP(H182,'菜品主数据'!$A$5:$A$24,'菜品主数据'!$D$5:$D$24,0)</x:f>
        <x:v>18</x:v>
      </x:c>
      <x:c r="K182" s="31" t="n">
        <x:v>8</x:v>
      </x:c>
      <x:c r="L182" s="35" t="n">
        <x:f>J182*K182</x:f>
        <x:v>144</x:v>
      </x:c>
      <x:c r="M182" s="36" t="n">
        <x:v>0</x:v>
      </x:c>
      <x:c r="N182" s="35" t="n">
        <x:f>L182*M182</x:f>
        <x:v>0</x:v>
      </x:c>
      <x:c r="O182" s="37" t="n">
        <x:v>0</x:v>
      </x:c>
      <x:c r="P182" s="35" t="n">
        <x:f>L182*O182</x:f>
        <x:v>0</x:v>
      </x:c>
      <x:c r="Q182" s="35" t="n">
        <x:v>0</x:v>
      </x:c>
      <x:c r="R182" s="35" t="n">
        <x:f>K182*Q182</x:f>
        <x:v>0</x:v>
      </x:c>
      <x:c r="S182" s="35" t="n">
        <x:f>XLOOKUP(H182,'菜品主数据'!$A$5:$A$24,'菜品主数据'!$G$5:$G$24,0)</x:f>
        <x:v>3.1759999999999993</x:v>
      </x:c>
      <x:c r="T182" s="35" t="n">
        <x:f>K182*S182</x:f>
        <x:v>25.407999999999994</x:v>
      </x:c>
      <x:c r="U182" s="35" t="n">
        <x:f>L182-N182-P182-R182-T182</x:f>
        <x:v>118.59200000000001</x:v>
      </x:c>
      <x:c r="V182" s="21" t="n">
        <x:f>IFERROR(U182/L182,0)</x:f>
        <x:v>0.8235555555555556</x:v>
      </x:c>
    </x:row>
    <x:row r="183">
      <x:c r="A183" s="19" t="str">
        <x:v>SALE-00179</x:v>
      </x:c>
      <x:c r="B183" s="34" t="n">
        <x:v>46214.5</x:v>
      </x:c>
      <x:c r="C183" s="19" t="str">
        <x:v>周六</x:v>
      </x:c>
      <x:c r="D183" s="19" t="str">
        <x:v>S01</x:v>
      </x:c>
      <x:c r="E183" s="19" t="str">
        <x:v>近江天阳店</x:v>
      </x:c>
      <x:c r="F183" s="19" t="str">
        <x:v>堂食</x:v>
      </x:c>
      <x:c r="G183" s="19" t="str">
        <x:v>全日</x:v>
      </x:c>
      <x:c r="H183" s="19" t="str">
        <x:v>D19</x:v>
      </x:c>
      <x:c r="I183" s="19" t="str">
        <x:v>酸萝卜炒鸡杂</x:v>
      </x:c>
      <x:c r="J183" s="22" t="n">
        <x:f>XLOOKUP(H183,'菜品主数据'!$A$5:$A$24,'菜品主数据'!$D$5:$D$24,0)</x:f>
        <x:v>25</x:v>
      </x:c>
      <x:c r="K183" s="31" t="n">
        <x:v>5</x:v>
      </x:c>
      <x:c r="L183" s="35" t="n">
        <x:f>J183*K183</x:f>
        <x:v>125</x:v>
      </x:c>
      <x:c r="M183" s="36" t="n">
        <x:v>0</x:v>
      </x:c>
      <x:c r="N183" s="35" t="n">
        <x:f>L183*M183</x:f>
        <x:v>0</x:v>
      </x:c>
      <x:c r="O183" s="37" t="n">
        <x:v>0</x:v>
      </x:c>
      <x:c r="P183" s="35" t="n">
        <x:f>L183*O183</x:f>
        <x:v>0</x:v>
      </x:c>
      <x:c r="Q183" s="35" t="n">
        <x:v>0</x:v>
      </x:c>
      <x:c r="R183" s="35" t="n">
        <x:f>K183*Q183</x:f>
        <x:v>0</x:v>
      </x:c>
      <x:c r="S183" s="35" t="n">
        <x:f>XLOOKUP(H183,'菜品主数据'!$A$5:$A$24,'菜品主数据'!$G$5:$G$24,0)</x:f>
        <x:v>7.9399999999999995</x:v>
      </x:c>
      <x:c r="T183" s="35" t="n">
        <x:f>K183*S183</x:f>
        <x:v>39.699999999999996</x:v>
      </x:c>
      <x:c r="U183" s="35" t="n">
        <x:f>L183-N183-P183-R183-T183</x:f>
        <x:v>85.30000000000001</x:v>
      </x:c>
      <x:c r="V183" s="21" t="n">
        <x:f>IFERROR(U183/L183,0)</x:f>
        <x:v>0.6824000000000001</x:v>
      </x:c>
    </x:row>
    <x:row r="184">
      <x:c r="A184" s="19" t="str">
        <x:v>SALE-00180</x:v>
      </x:c>
      <x:c r="B184" s="34" t="n">
        <x:v>46214.5</x:v>
      </x:c>
      <x:c r="C184" s="19" t="str">
        <x:v>周六</x:v>
      </x:c>
      <x:c r="D184" s="19" t="str">
        <x:v>S01</x:v>
      </x:c>
      <x:c r="E184" s="19" t="str">
        <x:v>近江天阳店</x:v>
      </x:c>
      <x:c r="F184" s="19" t="str">
        <x:v>堂食</x:v>
      </x:c>
      <x:c r="G184" s="19" t="str">
        <x:v>全日</x:v>
      </x:c>
      <x:c r="H184" s="19" t="str">
        <x:v>D20</x:v>
      </x:c>
      <x:c r="I184" s="19" t="str">
        <x:v>雪菜肉末青豆</x:v>
      </x:c>
      <x:c r="J184" s="22" t="n">
        <x:f>XLOOKUP(H184,'菜品主数据'!$A$5:$A$24,'菜品主数据'!$D$5:$D$24,0)</x:f>
        <x:v>18</x:v>
      </x:c>
      <x:c r="K184" s="31" t="n">
        <x:v>7</x:v>
      </x:c>
      <x:c r="L184" s="35" t="n">
        <x:f>J184*K184</x:f>
        <x:v>126</x:v>
      </x:c>
      <x:c r="M184" s="36" t="n">
        <x:v>0</x:v>
      </x:c>
      <x:c r="N184" s="35" t="n">
        <x:f>L184*M184</x:f>
        <x:v>0</x:v>
      </x:c>
      <x:c r="O184" s="37" t="n">
        <x:v>0</x:v>
      </x:c>
      <x:c r="P184" s="35" t="n">
        <x:f>L184*O184</x:f>
        <x:v>0</x:v>
      </x:c>
      <x:c r="Q184" s="35" t="n">
        <x:v>0</x:v>
      </x:c>
      <x:c r="R184" s="35" t="n">
        <x:f>K184*Q184</x:f>
        <x:v>0</x:v>
      </x:c>
      <x:c r="S184" s="35" t="n">
        <x:f>XLOOKUP(H184,'菜品主数据'!$A$5:$A$24,'菜品主数据'!$G$5:$G$24,0)</x:f>
        <x:v>7.303999999999999</x:v>
      </x:c>
      <x:c r="T184" s="35" t="n">
        <x:f>K184*S184</x:f>
        <x:v>51.12799999999999</x:v>
      </x:c>
      <x:c r="U184" s="35" t="n">
        <x:f>L184-N184-P184-R184-T184</x:f>
        <x:v>74.87200000000001</x:v>
      </x:c>
      <x:c r="V184" s="21" t="n">
        <x:f>IFERROR(U184/L184,0)</x:f>
        <x:v>0.5942222222222223</x:v>
      </x:c>
    </x:row>
    <x:row r="185">
      <x:c r="A185" s="19" t="str">
        <x:v>SALE-00181</x:v>
      </x:c>
      <x:c r="B185" s="34" t="n">
        <x:v>46214.5</x:v>
      </x:c>
      <x:c r="C185" s="19" t="str">
        <x:v>周六</x:v>
      </x:c>
      <x:c r="D185" s="19" t="str">
        <x:v>S01</x:v>
      </x:c>
      <x:c r="E185" s="19" t="str">
        <x:v>近江天阳店</x:v>
      </x:c>
      <x:c r="F185" s="19" t="str">
        <x:v>外卖</x:v>
      </x:c>
      <x:c r="G185" s="19" t="str">
        <x:v>全日</x:v>
      </x:c>
      <x:c r="H185" s="19" t="str">
        <x:v>D01</x:v>
      </x:c>
      <x:c r="I185" s="19" t="str">
        <x:v>辣椒炒肉</x:v>
      </x:c>
      <x:c r="J185" s="22" t="n">
        <x:f>XLOOKUP(H185,'菜品主数据'!$A$5:$A$24,'菜品主数据'!$D$5:$D$24,0)</x:f>
        <x:v>29</x:v>
      </x:c>
      <x:c r="K185" s="31" t="n">
        <x:v>4</x:v>
      </x:c>
      <x:c r="L185" s="35" t="n">
        <x:f>J185*K185</x:f>
        <x:v>116</x:v>
      </x:c>
      <x:c r="M185" s="36" t="n">
        <x:v>0.08</x:v>
      </x:c>
      <x:c r="N185" s="35" t="n">
        <x:f>L185*M185</x:f>
        <x:v>9.28</x:v>
      </x:c>
      <x:c r="O185" s="37" t="n">
        <x:v>0.18</x:v>
      </x:c>
      <x:c r="P185" s="35" t="n">
        <x:f>L185*O185</x:f>
        <x:v>20.88</x:v>
      </x:c>
      <x:c r="Q185" s="35" t="n">
        <x:v>1.2</x:v>
      </x:c>
      <x:c r="R185" s="35" t="n">
        <x:f>K185*Q185</x:f>
        <x:v>4.8</x:v>
      </x:c>
      <x:c r="S185" s="35" t="n">
        <x:f>XLOOKUP(H185,'菜品主数据'!$A$5:$A$24,'菜品主数据'!$G$5:$G$24,0)</x:f>
        <x:v>8.634400000000001</x:v>
      </x:c>
      <x:c r="T185" s="35" t="n">
        <x:f>K185*S185</x:f>
        <x:v>34.537600000000005</x:v>
      </x:c>
      <x:c r="U185" s="35" t="n">
        <x:f>L185-N185-P185-R185-T185</x:f>
        <x:v>46.5024</x:v>
      </x:c>
      <x:c r="V185" s="21" t="n">
        <x:f>IFERROR(U185/L185,0)</x:f>
        <x:v>0.40088275862068967</x:v>
      </x:c>
    </x:row>
    <x:row r="186">
      <x:c r="A186" s="19" t="str">
        <x:v>SALE-00182</x:v>
      </x:c>
      <x:c r="B186" s="34" t="n">
        <x:v>46214.5</x:v>
      </x:c>
      <x:c r="C186" s="19" t="str">
        <x:v>周六</x:v>
      </x:c>
      <x:c r="D186" s="19" t="str">
        <x:v>S01</x:v>
      </x:c>
      <x:c r="E186" s="19" t="str">
        <x:v>近江天阳店</x:v>
      </x:c>
      <x:c r="F186" s="19" t="str">
        <x:v>外卖</x:v>
      </x:c>
      <x:c r="G186" s="19" t="str">
        <x:v>全日</x:v>
      </x:c>
      <x:c r="H186" s="19" t="str">
        <x:v>D02</x:v>
      </x:c>
      <x:c r="I186" s="19" t="str">
        <x:v>小炒黄牛肉</x:v>
      </x:c>
      <x:c r="J186" s="22" t="n">
        <x:f>XLOOKUP(H186,'菜品主数据'!$A$5:$A$24,'菜品主数据'!$D$5:$D$24,0)</x:f>
        <x:v>49</x:v>
      </x:c>
      <x:c r="K186" s="31" t="n">
        <x:v>7</x:v>
      </x:c>
      <x:c r="L186" s="35" t="n">
        <x:f>J186*K186</x:f>
        <x:v>343</x:v>
      </x:c>
      <x:c r="M186" s="36" t="n">
        <x:v>0.08</x:v>
      </x:c>
      <x:c r="N186" s="35" t="n">
        <x:f>L186*M186</x:f>
        <x:v>27.44</x:v>
      </x:c>
      <x:c r="O186" s="37" t="n">
        <x:v>0.18</x:v>
      </x:c>
      <x:c r="P186" s="35" t="n">
        <x:f>L186*O186</x:f>
        <x:v>61.739999999999995</x:v>
      </x:c>
      <x:c r="Q186" s="35" t="n">
        <x:v>1.2</x:v>
      </x:c>
      <x:c r="R186" s="35" t="n">
        <x:f>K186*Q186</x:f>
        <x:v>8.4</x:v>
      </x:c>
      <x:c r="S186" s="35" t="n">
        <x:f>XLOOKUP(H186,'菜品主数据'!$A$5:$A$24,'菜品主数据'!$G$5:$G$24,0)</x:f>
        <x:v>17.577</x:v>
      </x:c>
      <x:c r="T186" s="35" t="n">
        <x:f>K186*S186</x:f>
        <x:v>123.03900000000002</x:v>
      </x:c>
      <x:c r="U186" s="35" t="n">
        <x:f>L186-N186-P186-R186-T186</x:f>
        <x:v>122.38099999999997</x:v>
      </x:c>
      <x:c r="V186" s="21" t="n">
        <x:f>IFERROR(U186/L186,0)</x:f>
        <x:v>0.35679591836734686</x:v>
      </x:c>
    </x:row>
    <x:row r="187">
      <x:c r="A187" s="19" t="str">
        <x:v>SALE-00183</x:v>
      </x:c>
      <x:c r="B187" s="34" t="n">
        <x:v>46214.5</x:v>
      </x:c>
      <x:c r="C187" s="19" t="str">
        <x:v>周六</x:v>
      </x:c>
      <x:c r="D187" s="19" t="str">
        <x:v>S01</x:v>
      </x:c>
      <x:c r="E187" s="19" t="str">
        <x:v>近江天阳店</x:v>
      </x:c>
      <x:c r="F187" s="19" t="str">
        <x:v>外卖</x:v>
      </x:c>
      <x:c r="G187" s="19" t="str">
        <x:v>全日</x:v>
      </x:c>
      <x:c r="H187" s="19" t="str">
        <x:v>D03</x:v>
      </x:c>
      <x:c r="I187" s="19" t="str">
        <x:v>香醋炒蛋</x:v>
      </x:c>
      <x:c r="J187" s="22" t="n">
        <x:f>XLOOKUP(H187,'菜品主数据'!$A$5:$A$24,'菜品主数据'!$D$5:$D$24,0)</x:f>
        <x:v>14.9</x:v>
      </x:c>
      <x:c r="K187" s="31" t="n">
        <x:v>3</x:v>
      </x:c>
      <x:c r="L187" s="35" t="n">
        <x:f>J187*K187</x:f>
        <x:v>44.7</x:v>
      </x:c>
      <x:c r="M187" s="36" t="n">
        <x:v>0.08</x:v>
      </x:c>
      <x:c r="N187" s="35" t="n">
        <x:f>L187*M187</x:f>
        <x:v>3.5760000000000005</x:v>
      </x:c>
      <x:c r="O187" s="37" t="n">
        <x:v>0.18</x:v>
      </x:c>
      <x:c r="P187" s="35" t="n">
        <x:f>L187*O187</x:f>
        <x:v>8.046</x:v>
      </x:c>
      <x:c r="Q187" s="35" t="n">
        <x:v>1.2</x:v>
      </x:c>
      <x:c r="R187" s="35" t="n">
        <x:f>K187*Q187</x:f>
        <x:v>3.5999999999999996</x:v>
      </x:c>
      <x:c r="S187" s="35" t="n">
        <x:f>XLOOKUP(H187,'菜品主数据'!$A$5:$A$24,'菜品主数据'!$G$5:$G$24,0)</x:f>
        <x:v>3.7459999999999996</x:v>
      </x:c>
      <x:c r="T187" s="35" t="n">
        <x:f>K187*S187</x:f>
        <x:v>11.238</x:v>
      </x:c>
      <x:c r="U187" s="35" t="n">
        <x:f>L187-N187-P187-R187-T187</x:f>
        <x:v>18.240000000000002</x:v>
      </x:c>
      <x:c r="V187" s="21" t="n">
        <x:f>IFERROR(U187/L187,0)</x:f>
        <x:v>0.40805369127516783</x:v>
      </x:c>
    </x:row>
    <x:row r="188">
      <x:c r="A188" s="19" t="str">
        <x:v>SALE-00184</x:v>
      </x:c>
      <x:c r="B188" s="34" t="n">
        <x:v>46214.5</x:v>
      </x:c>
      <x:c r="C188" s="19" t="str">
        <x:v>周六</x:v>
      </x:c>
      <x:c r="D188" s="19" t="str">
        <x:v>S01</x:v>
      </x:c>
      <x:c r="E188" s="19" t="str">
        <x:v>近江天阳店</x:v>
      </x:c>
      <x:c r="F188" s="19" t="str">
        <x:v>外卖</x:v>
      </x:c>
      <x:c r="G188" s="19" t="str">
        <x:v>全日</x:v>
      </x:c>
      <x:c r="H188" s="19" t="str">
        <x:v>D04</x:v>
      </x:c>
      <x:c r="I188" s="19" t="str">
        <x:v>酸包菜炒粉皮</x:v>
      </x:c>
      <x:c r="J188" s="22" t="n">
        <x:f>XLOOKUP(H188,'菜品主数据'!$A$5:$A$24,'菜品主数据'!$D$5:$D$24,0)</x:f>
        <x:v>16</x:v>
      </x:c>
      <x:c r="K188" s="31" t="n">
        <x:v>3</x:v>
      </x:c>
      <x:c r="L188" s="35" t="n">
        <x:f>J188*K188</x:f>
        <x:v>48</x:v>
      </x:c>
      <x:c r="M188" s="36" t="n">
        <x:v>0.08</x:v>
      </x:c>
      <x:c r="N188" s="35" t="n">
        <x:f>L188*M188</x:f>
        <x:v>3.84</x:v>
      </x:c>
      <x:c r="O188" s="37" t="n">
        <x:v>0.18</x:v>
      </x:c>
      <x:c r="P188" s="35" t="n">
        <x:f>L188*O188</x:f>
        <x:v>8.64</x:v>
      </x:c>
      <x:c r="Q188" s="35" t="n">
        <x:v>1.2</x:v>
      </x:c>
      <x:c r="R188" s="35" t="n">
        <x:f>K188*Q188</x:f>
        <x:v>3.5999999999999996</x:v>
      </x:c>
      <x:c r="S188" s="35" t="n">
        <x:f>XLOOKUP(H188,'菜品主数据'!$A$5:$A$24,'菜品主数据'!$G$5:$G$24,0)</x:f>
        <x:v>3.978</x:v>
      </x:c>
      <x:c r="T188" s="35" t="n">
        <x:f>K188*S188</x:f>
        <x:v>11.934000000000001</x:v>
      </x:c>
      <x:c r="U188" s="35" t="n">
        <x:f>L188-N188-P188-R188-T188</x:f>
        <x:v>19.985999999999994</x:v>
      </x:c>
      <x:c r="V188" s="21" t="n">
        <x:f>IFERROR(U188/L188,0)</x:f>
        <x:v>0.4163749999999999</x:v>
      </x:c>
    </x:row>
    <x:row r="189">
      <x:c r="A189" s="19" t="str">
        <x:v>SALE-00185</x:v>
      </x:c>
      <x:c r="B189" s="34" t="n">
        <x:v>46214.5</x:v>
      </x:c>
      <x:c r="C189" s="19" t="str">
        <x:v>周六</x:v>
      </x:c>
      <x:c r="D189" s="19" t="str">
        <x:v>S01</x:v>
      </x:c>
      <x:c r="E189" s="19" t="str">
        <x:v>近江天阳店</x:v>
      </x:c>
      <x:c r="F189" s="19" t="str">
        <x:v>外卖</x:v>
      </x:c>
      <x:c r="G189" s="19" t="str">
        <x:v>全日</x:v>
      </x:c>
      <x:c r="H189" s="19" t="str">
        <x:v>D05</x:v>
      </x:c>
      <x:c r="I189" s="19" t="str">
        <x:v>麻婆豆腐</x:v>
      </x:c>
      <x:c r="J189" s="22" t="n">
        <x:f>XLOOKUP(H189,'菜品主数据'!$A$5:$A$24,'菜品主数据'!$D$5:$D$24,0)</x:f>
        <x:v>9.9</x:v>
      </x:c>
      <x:c r="K189" s="31" t="n">
        <x:v>4</x:v>
      </x:c>
      <x:c r="L189" s="35" t="n">
        <x:f>J189*K189</x:f>
        <x:v>39.6</x:v>
      </x:c>
      <x:c r="M189" s="36" t="n">
        <x:v>0.08</x:v>
      </x:c>
      <x:c r="N189" s="35" t="n">
        <x:f>L189*M189</x:f>
        <x:v>3.168</x:v>
      </x:c>
      <x:c r="O189" s="37" t="n">
        <x:v>0.18</x:v>
      </x:c>
      <x:c r="P189" s="35" t="n">
        <x:f>L189*O189</x:f>
        <x:v>7.128</x:v>
      </x:c>
      <x:c r="Q189" s="35" t="n">
        <x:v>1.2</x:v>
      </x:c>
      <x:c r="R189" s="35" t="n">
        <x:f>K189*Q189</x:f>
        <x:v>4.8</x:v>
      </x:c>
      <x:c r="S189" s="35" t="n">
        <x:f>XLOOKUP(H189,'菜品主数据'!$A$5:$A$24,'菜品主数据'!$G$5:$G$24,0)</x:f>
        <x:v>5.367000000000001</x:v>
      </x:c>
      <x:c r="T189" s="35" t="n">
        <x:f>K189*S189</x:f>
        <x:v>21.468000000000004</x:v>
      </x:c>
      <x:c r="U189" s="35" t="n">
        <x:f>L189-N189-P189-R189-T189</x:f>
        <x:v>3.035999999999998</x:v>
      </x:c>
      <x:c r="V189" s="21" t="n">
        <x:f>IFERROR(U189/L189,0)</x:f>
        <x:v>0.0766666666666666</x:v>
      </x:c>
    </x:row>
    <x:row r="190">
      <x:c r="A190" s="19" t="str">
        <x:v>SALE-00186</x:v>
      </x:c>
      <x:c r="B190" s="34" t="n">
        <x:v>46214.5</x:v>
      </x:c>
      <x:c r="C190" s="19" t="str">
        <x:v>周六</x:v>
      </x:c>
      <x:c r="D190" s="19" t="str">
        <x:v>S01</x:v>
      </x:c>
      <x:c r="E190" s="19" t="str">
        <x:v>近江天阳店</x:v>
      </x:c>
      <x:c r="F190" s="19" t="str">
        <x:v>外卖</x:v>
      </x:c>
      <x:c r="G190" s="19" t="str">
        <x:v>全日</x:v>
      </x:c>
      <x:c r="H190" s="19" t="str">
        <x:v>D06</x:v>
      </x:c>
      <x:c r="I190" s="19" t="str">
        <x:v>剁椒鱼头</x:v>
      </x:c>
      <x:c r="J190" s="22" t="n">
        <x:f>XLOOKUP(H190,'菜品主数据'!$A$5:$A$24,'菜品主数据'!$D$5:$D$24,0)</x:f>
        <x:v>39</x:v>
      </x:c>
      <x:c r="K190" s="31" t="n">
        <x:v>1</x:v>
      </x:c>
      <x:c r="L190" s="35" t="n">
        <x:f>J190*K190</x:f>
        <x:v>39</x:v>
      </x:c>
      <x:c r="M190" s="36" t="n">
        <x:v>0.08</x:v>
      </x:c>
      <x:c r="N190" s="35" t="n">
        <x:f>L190*M190</x:f>
        <x:v>3.12</x:v>
      </x:c>
      <x:c r="O190" s="37" t="n">
        <x:v>0.18</x:v>
      </x:c>
      <x:c r="P190" s="35" t="n">
        <x:f>L190*O190</x:f>
        <x:v>7.02</x:v>
      </x:c>
      <x:c r="Q190" s="35" t="n">
        <x:v>1.2</x:v>
      </x:c>
      <x:c r="R190" s="35" t="n">
        <x:f>K190*Q190</x:f>
        <x:v>1.2</x:v>
      </x:c>
      <x:c r="S190" s="35" t="n">
        <x:f>XLOOKUP(H190,'菜品主数据'!$A$5:$A$24,'菜品主数据'!$G$5:$G$24,0)</x:f>
        <x:v>17.446</x:v>
      </x:c>
      <x:c r="T190" s="35" t="n">
        <x:f>K190*S190</x:f>
        <x:v>17.446</x:v>
      </x:c>
      <x:c r="U190" s="35" t="n">
        <x:f>L190-N190-P190-R190-T190</x:f>
        <x:v>10.214000000000002</x:v>
      </x:c>
      <x:c r="V190" s="21" t="n">
        <x:f>IFERROR(U190/L190,0)</x:f>
        <x:v>0.26189743589743597</x:v>
      </x:c>
    </x:row>
    <x:row r="191">
      <x:c r="A191" s="19" t="str">
        <x:v>SALE-00187</x:v>
      </x:c>
      <x:c r="B191" s="34" t="n">
        <x:v>46214.5</x:v>
      </x:c>
      <x:c r="C191" s="19" t="str">
        <x:v>周六</x:v>
      </x:c>
      <x:c r="D191" s="19" t="str">
        <x:v>S01</x:v>
      </x:c>
      <x:c r="E191" s="19" t="str">
        <x:v>近江天阳店</x:v>
      </x:c>
      <x:c r="F191" s="19" t="str">
        <x:v>外卖</x:v>
      </x:c>
      <x:c r="G191" s="19" t="str">
        <x:v>全日</x:v>
      </x:c>
      <x:c r="H191" s="19" t="str">
        <x:v>D07</x:v>
      </x:c>
      <x:c r="I191" s="19" t="str">
        <x:v>川味回锅肉</x:v>
      </x:c>
      <x:c r="J191" s="22" t="n">
        <x:f>XLOOKUP(H191,'菜品主数据'!$A$5:$A$24,'菜品主数据'!$D$5:$D$24,0)</x:f>
        <x:v>29</x:v>
      </x:c>
      <x:c r="K191" s="31" t="n">
        <x:v>1</x:v>
      </x:c>
      <x:c r="L191" s="35" t="n">
        <x:f>J191*K191</x:f>
        <x:v>29</x:v>
      </x:c>
      <x:c r="M191" s="36" t="n">
        <x:v>0.08</x:v>
      </x:c>
      <x:c r="N191" s="35" t="n">
        <x:f>L191*M191</x:f>
        <x:v>2.32</x:v>
      </x:c>
      <x:c r="O191" s="37" t="n">
        <x:v>0.18</x:v>
      </x:c>
      <x:c r="P191" s="35" t="n">
        <x:f>L191*O191</x:f>
        <x:v>5.22</x:v>
      </x:c>
      <x:c r="Q191" s="35" t="n">
        <x:v>1.2</x:v>
      </x:c>
      <x:c r="R191" s="35" t="n">
        <x:f>K191*Q191</x:f>
        <x:v>1.2</x:v>
      </x:c>
      <x:c r="S191" s="35" t="n">
        <x:f>XLOOKUP(H191,'菜品主数据'!$A$5:$A$24,'菜品主数据'!$G$5:$G$24,0)</x:f>
        <x:v>10.231000000000002</x:v>
      </x:c>
      <x:c r="T191" s="35" t="n">
        <x:f>K191*S191</x:f>
        <x:v>10.231000000000002</x:v>
      </x:c>
      <x:c r="U191" s="35" t="n">
        <x:f>L191-N191-P191-R191-T191</x:f>
        <x:v>10.029</x:v>
      </x:c>
      <x:c r="V191" s="21" t="n">
        <x:f>IFERROR(U191/L191,0)</x:f>
        <x:v>0.3458275862068966</x:v>
      </x:c>
    </x:row>
    <x:row r="192">
      <x:c r="A192" s="19" t="str">
        <x:v>SALE-00188</x:v>
      </x:c>
      <x:c r="B192" s="34" t="n">
        <x:v>46214.5</x:v>
      </x:c>
      <x:c r="C192" s="19" t="str">
        <x:v>周六</x:v>
      </x:c>
      <x:c r="D192" s="19" t="str">
        <x:v>S01</x:v>
      </x:c>
      <x:c r="E192" s="19" t="str">
        <x:v>近江天阳店</x:v>
      </x:c>
      <x:c r="F192" s="19" t="str">
        <x:v>外卖</x:v>
      </x:c>
      <x:c r="G192" s="19" t="str">
        <x:v>全日</x:v>
      </x:c>
      <x:c r="H192" s="19" t="str">
        <x:v>D08</x:v>
      </x:c>
      <x:c r="I192" s="19" t="str">
        <x:v>生炒清远鸡</x:v>
      </x:c>
      <x:c r="J192" s="22" t="n">
        <x:f>XLOOKUP(H192,'菜品主数据'!$A$5:$A$24,'菜品主数据'!$D$5:$D$24,0)</x:f>
        <x:v>36</x:v>
      </x:c>
      <x:c r="K192" s="31" t="n">
        <x:v>1</x:v>
      </x:c>
      <x:c r="L192" s="35" t="n">
        <x:f>J192*K192</x:f>
        <x:v>36</x:v>
      </x:c>
      <x:c r="M192" s="36" t="n">
        <x:v>0.08</x:v>
      </x:c>
      <x:c r="N192" s="35" t="n">
        <x:f>L192*M192</x:f>
        <x:v>2.88</x:v>
      </x:c>
      <x:c r="O192" s="37" t="n">
        <x:v>0.18</x:v>
      </x:c>
      <x:c r="P192" s="35" t="n">
        <x:f>L192*O192</x:f>
        <x:v>6.4799999999999995</x:v>
      </x:c>
      <x:c r="Q192" s="35" t="n">
        <x:v>1.2</x:v>
      </x:c>
      <x:c r="R192" s="35" t="n">
        <x:f>K192*Q192</x:f>
        <x:v>1.2</x:v>
      </x:c>
      <x:c r="S192" s="35" t="n">
        <x:f>XLOOKUP(H192,'菜品主数据'!$A$5:$A$24,'菜品主数据'!$G$5:$G$24,0)</x:f>
        <x:v>13.48</x:v>
      </x:c>
      <x:c r="T192" s="35" t="n">
        <x:f>K192*S192</x:f>
        <x:v>13.48</x:v>
      </x:c>
      <x:c r="U192" s="35" t="n">
        <x:f>L192-N192-P192-R192-T192</x:f>
        <x:v>11.959999999999997</x:v>
      </x:c>
      <x:c r="V192" s="21" t="n">
        <x:f>IFERROR(U192/L192,0)</x:f>
        <x:v>0.33222222222222214</x:v>
      </x:c>
    </x:row>
    <x:row r="193">
      <x:c r="A193" s="19" t="str">
        <x:v>SALE-00189</x:v>
      </x:c>
      <x:c r="B193" s="34" t="n">
        <x:v>46214.5</x:v>
      </x:c>
      <x:c r="C193" s="19" t="str">
        <x:v>周六</x:v>
      </x:c>
      <x:c r="D193" s="19" t="str">
        <x:v>S01</x:v>
      </x:c>
      <x:c r="E193" s="19" t="str">
        <x:v>近江天阳店</x:v>
      </x:c>
      <x:c r="F193" s="19" t="str">
        <x:v>外卖</x:v>
      </x:c>
      <x:c r="G193" s="19" t="str">
        <x:v>全日</x:v>
      </x:c>
      <x:c r="H193" s="19" t="str">
        <x:v>D09</x:v>
      </x:c>
      <x:c r="I193" s="19" t="str">
        <x:v>炒豆干</x:v>
      </x:c>
      <x:c r="J193" s="22" t="n">
        <x:f>XLOOKUP(H193,'菜品主数据'!$A$5:$A$24,'菜品主数据'!$D$5:$D$24,0)</x:f>
        <x:v>18</x:v>
      </x:c>
      <x:c r="K193" s="31" t="n">
        <x:v>1</x:v>
      </x:c>
      <x:c r="L193" s="35" t="n">
        <x:f>J193*K193</x:f>
        <x:v>18</x:v>
      </x:c>
      <x:c r="M193" s="36" t="n">
        <x:v>0.08</x:v>
      </x:c>
      <x:c r="N193" s="35" t="n">
        <x:f>L193*M193</x:f>
        <x:v>1.44</x:v>
      </x:c>
      <x:c r="O193" s="37" t="n">
        <x:v>0.18</x:v>
      </x:c>
      <x:c r="P193" s="35" t="n">
        <x:f>L193*O193</x:f>
        <x:v>3.2399999999999998</x:v>
      </x:c>
      <x:c r="Q193" s="35" t="n">
        <x:v>1.2</x:v>
      </x:c>
      <x:c r="R193" s="35" t="n">
        <x:f>K193*Q193</x:f>
        <x:v>1.2</x:v>
      </x:c>
      <x:c r="S193" s="35" t="n">
        <x:f>XLOOKUP(H193,'菜品主数据'!$A$5:$A$24,'菜品主数据'!$G$5:$G$24,0)</x:f>
        <x:v>6.613999999999999</x:v>
      </x:c>
      <x:c r="T193" s="35" t="n">
        <x:f>K193*S193</x:f>
        <x:v>6.613999999999999</x:v>
      </x:c>
      <x:c r="U193" s="35" t="n">
        <x:f>L193-N193-P193-R193-T193</x:f>
        <x:v>5.506</x:v>
      </x:c>
      <x:c r="V193" s="21" t="n">
        <x:f>IFERROR(U193/L193,0)</x:f>
        <x:v>0.3058888888888889</x:v>
      </x:c>
    </x:row>
    <x:row r="194">
      <x:c r="A194" s="19" t="str">
        <x:v>SALE-00190</x:v>
      </x:c>
      <x:c r="B194" s="34" t="n">
        <x:v>46214.5</x:v>
      </x:c>
      <x:c r="C194" s="19" t="str">
        <x:v>周六</x:v>
      </x:c>
      <x:c r="D194" s="19" t="str">
        <x:v>S01</x:v>
      </x:c>
      <x:c r="E194" s="19" t="str">
        <x:v>近江天阳店</x:v>
      </x:c>
      <x:c r="F194" s="19" t="str">
        <x:v>外卖</x:v>
      </x:c>
      <x:c r="G194" s="19" t="str">
        <x:v>全日</x:v>
      </x:c>
      <x:c r="H194" s="19" t="str">
        <x:v>D10</x:v>
      </x:c>
      <x:c r="I194" s="19" t="str">
        <x:v>农家一碗香</x:v>
      </x:c>
      <x:c r="J194" s="22" t="n">
        <x:f>XLOOKUP(H194,'菜品主数据'!$A$5:$A$24,'菜品主数据'!$D$5:$D$24,0)</x:f>
        <x:v>22.9</x:v>
      </x:c>
      <x:c r="K194" s="31" t="n">
        <x:v>1</x:v>
      </x:c>
      <x:c r="L194" s="35" t="n">
        <x:f>J194*K194</x:f>
        <x:v>22.9</x:v>
      </x:c>
      <x:c r="M194" s="36" t="n">
        <x:v>0.08</x:v>
      </x:c>
      <x:c r="N194" s="35" t="n">
        <x:f>L194*M194</x:f>
        <x:v>1.8319999999999999</x:v>
      </x:c>
      <x:c r="O194" s="37" t="n">
        <x:v>0.18</x:v>
      </x:c>
      <x:c r="P194" s="35" t="n">
        <x:f>L194*O194</x:f>
        <x:v>4.122</x:v>
      </x:c>
      <x:c r="Q194" s="35" t="n">
        <x:v>1.2</x:v>
      </x:c>
      <x:c r="R194" s="35" t="n">
        <x:f>K194*Q194</x:f>
        <x:v>1.2</x:v>
      </x:c>
      <x:c r="S194" s="35" t="n">
        <x:f>XLOOKUP(H194,'菜品主数据'!$A$5:$A$24,'菜品主数据'!$G$5:$G$24,0)</x:f>
        <x:v>9.770200000000003</x:v>
      </x:c>
      <x:c r="T194" s="35" t="n">
        <x:f>K194*S194</x:f>
        <x:v>9.770200000000003</x:v>
      </x:c>
      <x:c r="U194" s="35" t="n">
        <x:f>L194-N194-P194-R194-T194</x:f>
        <x:v>5.975799999999996</x:v>
      </x:c>
      <x:c r="V194" s="21" t="n">
        <x:f>IFERROR(U194/L194,0)</x:f>
        <x:v>0.260951965065502</x:v>
      </x:c>
    </x:row>
    <x:row r="195">
      <x:c r="A195" s="19" t="str">
        <x:v>SALE-00191</x:v>
      </x:c>
      <x:c r="B195" s="34" t="n">
        <x:v>46214.5</x:v>
      </x:c>
      <x:c r="C195" s="19" t="str">
        <x:v>周六</x:v>
      </x:c>
      <x:c r="D195" s="19" t="str">
        <x:v>S01</x:v>
      </x:c>
      <x:c r="E195" s="19" t="str">
        <x:v>近江天阳店</x:v>
      </x:c>
      <x:c r="F195" s="19" t="str">
        <x:v>外卖</x:v>
      </x:c>
      <x:c r="G195" s="19" t="str">
        <x:v>全日</x:v>
      </x:c>
      <x:c r="H195" s="19" t="str">
        <x:v>D11</x:v>
      </x:c>
      <x:c r="I195" s="19" t="str">
        <x:v>香辣爆肥肠</x:v>
      </x:c>
      <x:c r="J195" s="22" t="n">
        <x:f>XLOOKUP(H195,'菜品主数据'!$A$5:$A$24,'菜品主数据'!$D$5:$D$24,0)</x:f>
        <x:v>39</x:v>
      </x:c>
      <x:c r="K195" s="31" t="n">
        <x:v>0</x:v>
      </x:c>
      <x:c r="L195" s="35" t="n">
        <x:f>J195*K195</x:f>
        <x:v>0</x:v>
      </x:c>
      <x:c r="M195" s="36" t="n">
        <x:v>0.08</x:v>
      </x:c>
      <x:c r="N195" s="35" t="n">
        <x:f>L195*M195</x:f>
        <x:v>0</x:v>
      </x:c>
      <x:c r="O195" s="37" t="n">
        <x:v>0.18</x:v>
      </x:c>
      <x:c r="P195" s="35" t="n">
        <x:f>L195*O195</x:f>
        <x:v>0</x:v>
      </x:c>
      <x:c r="Q195" s="35" t="n">
        <x:v>1.2</x:v>
      </x:c>
      <x:c r="R195" s="35" t="n">
        <x:f>K195*Q195</x:f>
        <x:v>0</x:v>
      </x:c>
      <x:c r="S195" s="35" t="n">
        <x:f>XLOOKUP(H195,'菜品主数据'!$A$5:$A$24,'菜品主数据'!$G$5:$G$24,0)</x:f>
        <x:v>10.397</x:v>
      </x:c>
      <x:c r="T195" s="35" t="n">
        <x:f>K195*S195</x:f>
        <x:v>0</x:v>
      </x:c>
      <x:c r="U195" s="35" t="n">
        <x:f>L195-N195-P195-R195-T195</x:f>
        <x:v>0</x:v>
      </x:c>
      <x:c r="V195" s="21" t="n">
        <x:f>IFERROR(U195/L195,0)</x:f>
        <x:v>0</x:v>
      </x:c>
    </x:row>
    <x:row r="196">
      <x:c r="A196" s="19" t="str">
        <x:v>SALE-00192</x:v>
      </x:c>
      <x:c r="B196" s="34" t="n">
        <x:v>46214.5</x:v>
      </x:c>
      <x:c r="C196" s="19" t="str">
        <x:v>周六</x:v>
      </x:c>
      <x:c r="D196" s="19" t="str">
        <x:v>S01</x:v>
      </x:c>
      <x:c r="E196" s="19" t="str">
        <x:v>近江天阳店</x:v>
      </x:c>
      <x:c r="F196" s="19" t="str">
        <x:v>外卖</x:v>
      </x:c>
      <x:c r="G196" s="19" t="str">
        <x:v>全日</x:v>
      </x:c>
      <x:c r="H196" s="19" t="str">
        <x:v>D12</x:v>
      </x:c>
      <x:c r="I196" s="19" t="str">
        <x:v>清蒸鲈鱼</x:v>
      </x:c>
      <x:c r="J196" s="22" t="n">
        <x:f>XLOOKUP(H196,'菜品主数据'!$A$5:$A$24,'菜品主数据'!$D$5:$D$24,0)</x:f>
        <x:v>39</x:v>
      </x:c>
      <x:c r="K196" s="31" t="n">
        <x:v>0</x:v>
      </x:c>
      <x:c r="L196" s="35" t="n">
        <x:f>J196*K196</x:f>
        <x:v>0</x:v>
      </x:c>
      <x:c r="M196" s="36" t="n">
        <x:v>0.08</x:v>
      </x:c>
      <x:c r="N196" s="35" t="n">
        <x:f>L196*M196</x:f>
        <x:v>0</x:v>
      </x:c>
      <x:c r="O196" s="37" t="n">
        <x:v>0.18</x:v>
      </x:c>
      <x:c r="P196" s="35" t="n">
        <x:f>L196*O196</x:f>
        <x:v>0</x:v>
      </x:c>
      <x:c r="Q196" s="35" t="n">
        <x:v>1.2</x:v>
      </x:c>
      <x:c r="R196" s="35" t="n">
        <x:f>K196*Q196</x:f>
        <x:v>0</x:v>
      </x:c>
      <x:c r="S196" s="35" t="n">
        <x:f>XLOOKUP(H196,'菜品主数据'!$A$5:$A$24,'菜品主数据'!$G$5:$G$24,0)</x:f>
        <x:v>18.874</x:v>
      </x:c>
      <x:c r="T196" s="35" t="n">
        <x:f>K196*S196</x:f>
        <x:v>0</x:v>
      </x:c>
      <x:c r="U196" s="35" t="n">
        <x:f>L196-N196-P196-R196-T196</x:f>
        <x:v>0</x:v>
      </x:c>
      <x:c r="V196" s="21" t="n">
        <x:f>IFERROR(U196/L196,0)</x:f>
        <x:v>0</x:v>
      </x:c>
    </x:row>
    <x:row r="197">
      <x:c r="A197" s="19" t="str">
        <x:v>SALE-00193</x:v>
      </x:c>
      <x:c r="B197" s="34" t="n">
        <x:v>46214.5</x:v>
      </x:c>
      <x:c r="C197" s="19" t="str">
        <x:v>周六</x:v>
      </x:c>
      <x:c r="D197" s="19" t="str">
        <x:v>S01</x:v>
      </x:c>
      <x:c r="E197" s="19" t="str">
        <x:v>近江天阳店</x:v>
      </x:c>
      <x:c r="F197" s="19" t="str">
        <x:v>外卖</x:v>
      </x:c>
      <x:c r="G197" s="19" t="str">
        <x:v>全日</x:v>
      </x:c>
      <x:c r="H197" s="19" t="str">
        <x:v>D13</x:v>
      </x:c>
      <x:c r="I197" s="19" t="str">
        <x:v>外婆菜炒蛋</x:v>
      </x:c>
      <x:c r="J197" s="22" t="n">
        <x:f>XLOOKUP(H197,'菜品主数据'!$A$5:$A$24,'菜品主数据'!$D$5:$D$24,0)</x:f>
        <x:v>18</x:v>
      </x:c>
      <x:c r="K197" s="31" t="n">
        <x:v>1</x:v>
      </x:c>
      <x:c r="L197" s="35" t="n">
        <x:f>J197*K197</x:f>
        <x:v>18</x:v>
      </x:c>
      <x:c r="M197" s="36" t="n">
        <x:v>0.08</x:v>
      </x:c>
      <x:c r="N197" s="35" t="n">
        <x:f>L197*M197</x:f>
        <x:v>1.44</x:v>
      </x:c>
      <x:c r="O197" s="37" t="n">
        <x:v>0.18</x:v>
      </x:c>
      <x:c r="P197" s="35" t="n">
        <x:f>L197*O197</x:f>
        <x:v>3.2399999999999998</x:v>
      </x:c>
      <x:c r="Q197" s="35" t="n">
        <x:v>1.2</x:v>
      </x:c>
      <x:c r="R197" s="35" t="n">
        <x:f>K197*Q197</x:f>
        <x:v>1.2</x:v>
      </x:c>
      <x:c r="S197" s="35" t="n">
        <x:f>XLOOKUP(H197,'菜品主数据'!$A$5:$A$24,'菜品主数据'!$G$5:$G$24,0)</x:f>
        <x:v>5.403999999999999</x:v>
      </x:c>
      <x:c r="T197" s="35" t="n">
        <x:f>K197*S197</x:f>
        <x:v>5.403999999999999</x:v>
      </x:c>
      <x:c r="U197" s="35" t="n">
        <x:f>L197-N197-P197-R197-T197</x:f>
        <x:v>6.716</x:v>
      </x:c>
      <x:c r="V197" s="21" t="n">
        <x:f>IFERROR(U197/L197,0)</x:f>
        <x:v>0.3731111111111111</x:v>
      </x:c>
    </x:row>
    <x:row r="198">
      <x:c r="A198" s="19" t="str">
        <x:v>SALE-00194</x:v>
      </x:c>
      <x:c r="B198" s="34" t="n">
        <x:v>46214.5</x:v>
      </x:c>
      <x:c r="C198" s="19" t="str">
        <x:v>周六</x:v>
      </x:c>
      <x:c r="D198" s="19" t="str">
        <x:v>S01</x:v>
      </x:c>
      <x:c r="E198" s="19" t="str">
        <x:v>近江天阳店</x:v>
      </x:c>
      <x:c r="F198" s="19" t="str">
        <x:v>外卖</x:v>
      </x:c>
      <x:c r="G198" s="19" t="str">
        <x:v>全日</x:v>
      </x:c>
      <x:c r="H198" s="19" t="str">
        <x:v>D14</x:v>
      </x:c>
      <x:c r="I198" s="19" t="str">
        <x:v>酸辣鸡杂</x:v>
      </x:c>
      <x:c r="J198" s="22" t="n">
        <x:f>XLOOKUP(H198,'菜品主数据'!$A$5:$A$24,'菜品主数据'!$D$5:$D$24,0)</x:f>
        <x:v>28</x:v>
      </x:c>
      <x:c r="K198" s="31" t="n">
        <x:v>0</x:v>
      </x:c>
      <x:c r="L198" s="35" t="n">
        <x:f>J198*K198</x:f>
        <x:v>0</x:v>
      </x:c>
      <x:c r="M198" s="36" t="n">
        <x:v>0.08</x:v>
      </x:c>
      <x:c r="N198" s="35" t="n">
        <x:f>L198*M198</x:f>
        <x:v>0</x:v>
      </x:c>
      <x:c r="O198" s="37" t="n">
        <x:v>0.18</x:v>
      </x:c>
      <x:c r="P198" s="35" t="n">
        <x:f>L198*O198</x:f>
        <x:v>0</x:v>
      </x:c>
      <x:c r="Q198" s="35" t="n">
        <x:v>1.2</x:v>
      </x:c>
      <x:c r="R198" s="35" t="n">
        <x:f>K198*Q198</x:f>
        <x:v>0</x:v>
      </x:c>
      <x:c r="S198" s="35" t="n">
        <x:f>XLOOKUP(H198,'菜品主数据'!$A$5:$A$24,'菜品主数据'!$G$5:$G$24,0)</x:f>
        <x:v>8.315000000000001</x:v>
      </x:c>
      <x:c r="T198" s="35" t="n">
        <x:f>K198*S198</x:f>
        <x:v>0</x:v>
      </x:c>
      <x:c r="U198" s="35" t="n">
        <x:f>L198-N198-P198-R198-T198</x:f>
        <x:v>0</x:v>
      </x:c>
      <x:c r="V198" s="21" t="n">
        <x:f>IFERROR(U198/L198,0)</x:f>
        <x:v>0</x:v>
      </x:c>
    </x:row>
    <x:row r="199">
      <x:c r="A199" s="19" t="str">
        <x:v>SALE-00195</x:v>
      </x:c>
      <x:c r="B199" s="34" t="n">
        <x:v>46214.5</x:v>
      </x:c>
      <x:c r="C199" s="19" t="str">
        <x:v>周六</x:v>
      </x:c>
      <x:c r="D199" s="19" t="str">
        <x:v>S01</x:v>
      </x:c>
      <x:c r="E199" s="19" t="str">
        <x:v>近江天阳店</x:v>
      </x:c>
      <x:c r="F199" s="19" t="str">
        <x:v>外卖</x:v>
      </x:c>
      <x:c r="G199" s="19" t="str">
        <x:v>全日</x:v>
      </x:c>
      <x:c r="H199" s="19" t="str">
        <x:v>D15</x:v>
      </x:c>
      <x:c r="I199" s="19" t="str">
        <x:v>湘西土匪猪肝</x:v>
      </x:c>
      <x:c r="J199" s="22" t="n">
        <x:f>XLOOKUP(H199,'菜品主数据'!$A$5:$A$24,'菜品主数据'!$D$5:$D$24,0)</x:f>
        <x:v>26</x:v>
      </x:c>
      <x:c r="K199" s="31" t="n">
        <x:v>0</x:v>
      </x:c>
      <x:c r="L199" s="35" t="n">
        <x:f>J199*K199</x:f>
        <x:v>0</x:v>
      </x:c>
      <x:c r="M199" s="36" t="n">
        <x:v>0.08</x:v>
      </x:c>
      <x:c r="N199" s="35" t="n">
        <x:f>L199*M199</x:f>
        <x:v>0</x:v>
      </x:c>
      <x:c r="O199" s="37" t="n">
        <x:v>0.18</x:v>
      </x:c>
      <x:c r="P199" s="35" t="n">
        <x:f>L199*O199</x:f>
        <x:v>0</x:v>
      </x:c>
      <x:c r="Q199" s="35" t="n">
        <x:v>1.2</x:v>
      </x:c>
      <x:c r="R199" s="35" t="n">
        <x:f>K199*Q199</x:f>
        <x:v>0</x:v>
      </x:c>
      <x:c r="S199" s="35" t="n">
        <x:f>XLOOKUP(H199,'菜品主数据'!$A$5:$A$24,'菜品主数据'!$G$5:$G$24,0)</x:f>
        <x:v>6.3759999999999994</x:v>
      </x:c>
      <x:c r="T199" s="35" t="n">
        <x:f>K199*S199</x:f>
        <x:v>0</x:v>
      </x:c>
      <x:c r="U199" s="35" t="n">
        <x:f>L199-N199-P199-R199-T199</x:f>
        <x:v>0</x:v>
      </x:c>
      <x:c r="V199" s="21" t="n">
        <x:f>IFERROR(U199/L199,0)</x:f>
        <x:v>0</x:v>
      </x:c>
    </x:row>
    <x:row r="200">
      <x:c r="A200" s="19" t="str">
        <x:v>SALE-00196</x:v>
      </x:c>
      <x:c r="B200" s="34" t="n">
        <x:v>46214.5</x:v>
      </x:c>
      <x:c r="C200" s="19" t="str">
        <x:v>周六</x:v>
      </x:c>
      <x:c r="D200" s="19" t="str">
        <x:v>S01</x:v>
      </x:c>
      <x:c r="E200" s="19" t="str">
        <x:v>近江天阳店</x:v>
      </x:c>
      <x:c r="F200" s="19" t="str">
        <x:v>外卖</x:v>
      </x:c>
      <x:c r="G200" s="19" t="str">
        <x:v>全日</x:v>
      </x:c>
      <x:c r="H200" s="19" t="str">
        <x:v>D16</x:v>
      </x:c>
      <x:c r="I200" s="19" t="str">
        <x:v>小豆角炒五花</x:v>
      </x:c>
      <x:c r="J200" s="22" t="n">
        <x:f>XLOOKUP(H200,'菜品主数据'!$A$5:$A$24,'菜品主数据'!$D$5:$D$24,0)</x:f>
        <x:v>25</x:v>
      </x:c>
      <x:c r="K200" s="31" t="n">
        <x:v>1</x:v>
      </x:c>
      <x:c r="L200" s="35" t="n">
        <x:f>J200*K200</x:f>
        <x:v>25</x:v>
      </x:c>
      <x:c r="M200" s="36" t="n">
        <x:v>0.08</x:v>
      </x:c>
      <x:c r="N200" s="35" t="n">
        <x:f>L200*M200</x:f>
        <x:v>2</x:v>
      </x:c>
      <x:c r="O200" s="37" t="n">
        <x:v>0.18</x:v>
      </x:c>
      <x:c r="P200" s="35" t="n">
        <x:f>L200*O200</x:f>
        <x:v>4.5</x:v>
      </x:c>
      <x:c r="Q200" s="35" t="n">
        <x:v>1.2</x:v>
      </x:c>
      <x:c r="R200" s="35" t="n">
        <x:f>K200*Q200</x:f>
        <x:v>1.2</x:v>
      </x:c>
      <x:c r="S200" s="35" t="n">
        <x:f>XLOOKUP(H200,'菜品主数据'!$A$5:$A$24,'菜品主数据'!$G$5:$G$24,0)</x:f>
        <x:v>8.184</x:v>
      </x:c>
      <x:c r="T200" s="35" t="n">
        <x:f>K200*S200</x:f>
        <x:v>8.184</x:v>
      </x:c>
      <x:c r="U200" s="35" t="n">
        <x:f>L200-N200-P200-R200-T200</x:f>
        <x:v>9.116000000000001</x:v>
      </x:c>
      <x:c r="V200" s="21" t="n">
        <x:f>IFERROR(U200/L200,0)</x:f>
        <x:v>0.3646400000000001</x:v>
      </x:c>
    </x:row>
    <x:row r="201">
      <x:c r="A201" s="19" t="str">
        <x:v>SALE-00197</x:v>
      </x:c>
      <x:c r="B201" s="34" t="n">
        <x:v>46214.5</x:v>
      </x:c>
      <x:c r="C201" s="19" t="str">
        <x:v>周六</x:v>
      </x:c>
      <x:c r="D201" s="19" t="str">
        <x:v>S01</x:v>
      </x:c>
      <x:c r="E201" s="19" t="str">
        <x:v>近江天阳店</x:v>
      </x:c>
      <x:c r="F201" s="19" t="str">
        <x:v>外卖</x:v>
      </x:c>
      <x:c r="G201" s="19" t="str">
        <x:v>全日</x:v>
      </x:c>
      <x:c r="H201" s="19" t="str">
        <x:v>D17</x:v>
      </x:c>
      <x:c r="I201" s="19" t="str">
        <x:v>蒜蓉粉丝虾</x:v>
      </x:c>
      <x:c r="J201" s="22" t="n">
        <x:f>XLOOKUP(H201,'菜品主数据'!$A$5:$A$24,'菜品主数据'!$D$5:$D$24,0)</x:f>
        <x:v>36</x:v>
      </x:c>
      <x:c r="K201" s="31" t="n">
        <x:v>0</x:v>
      </x:c>
      <x:c r="L201" s="35" t="n">
        <x:f>J201*K201</x:f>
        <x:v>0</x:v>
      </x:c>
      <x:c r="M201" s="36" t="n">
        <x:v>0.08</x:v>
      </x:c>
      <x:c r="N201" s="35" t="n">
        <x:f>L201*M201</x:f>
        <x:v>0</x:v>
      </x:c>
      <x:c r="O201" s="37" t="n">
        <x:v>0.18</x:v>
      </x:c>
      <x:c r="P201" s="35" t="n">
        <x:f>L201*O201</x:f>
        <x:v>0</x:v>
      </x:c>
      <x:c r="Q201" s="35" t="n">
        <x:v>1.2</x:v>
      </x:c>
      <x:c r="R201" s="35" t="n">
        <x:f>K201*Q201</x:f>
        <x:v>0</x:v>
      </x:c>
      <x:c r="S201" s="35" t="n">
        <x:f>XLOOKUP(H201,'菜品主数据'!$A$5:$A$24,'菜品主数据'!$G$5:$G$24,0)</x:f>
        <x:v>13.594</x:v>
      </x:c>
      <x:c r="T201" s="35" t="n">
        <x:f>K201*S201</x:f>
        <x:v>0</x:v>
      </x:c>
      <x:c r="U201" s="35" t="n">
        <x:f>L201-N201-P201-R201-T201</x:f>
        <x:v>0</x:v>
      </x:c>
      <x:c r="V201" s="21" t="n">
        <x:f>IFERROR(U201/L201,0)</x:f>
        <x:v>0</x:v>
      </x:c>
    </x:row>
    <x:row r="202">
      <x:c r="A202" s="19" t="str">
        <x:v>SALE-00198</x:v>
      </x:c>
      <x:c r="B202" s="34" t="n">
        <x:v>46214.5</x:v>
      </x:c>
      <x:c r="C202" s="19" t="str">
        <x:v>周六</x:v>
      </x:c>
      <x:c r="D202" s="19" t="str">
        <x:v>S01</x:v>
      </x:c>
      <x:c r="E202" s="19" t="str">
        <x:v>近江天阳店</x:v>
      </x:c>
      <x:c r="F202" s="19" t="str">
        <x:v>外卖</x:v>
      </x:c>
      <x:c r="G202" s="19" t="str">
        <x:v>全日</x:v>
      </x:c>
      <x:c r="H202" s="19" t="str">
        <x:v>D18</x:v>
      </x:c>
      <x:c r="I202" s="19" t="str">
        <x:v>青椒炒油麦菜</x:v>
      </x:c>
      <x:c r="J202" s="22" t="n">
        <x:f>XLOOKUP(H202,'菜品主数据'!$A$5:$A$24,'菜品主数据'!$D$5:$D$24,0)</x:f>
        <x:v>18</x:v>
      </x:c>
      <x:c r="K202" s="31" t="n">
        <x:v>0</x:v>
      </x:c>
      <x:c r="L202" s="35" t="n">
        <x:f>J202*K202</x:f>
        <x:v>0</x:v>
      </x:c>
      <x:c r="M202" s="36" t="n">
        <x:v>0.08</x:v>
      </x:c>
      <x:c r="N202" s="35" t="n">
        <x:f>L202*M202</x:f>
        <x:v>0</x:v>
      </x:c>
      <x:c r="O202" s="37" t="n">
        <x:v>0.18</x:v>
      </x:c>
      <x:c r="P202" s="35" t="n">
        <x:f>L202*O202</x:f>
        <x:v>0</x:v>
      </x:c>
      <x:c r="Q202" s="35" t="n">
        <x:v>1.2</x:v>
      </x:c>
      <x:c r="R202" s="35" t="n">
        <x:f>K202*Q202</x:f>
        <x:v>0</x:v>
      </x:c>
      <x:c r="S202" s="35" t="n">
        <x:f>XLOOKUP(H202,'菜品主数据'!$A$5:$A$24,'菜品主数据'!$G$5:$G$24,0)</x:f>
        <x:v>3.1759999999999993</x:v>
      </x:c>
      <x:c r="T202" s="35" t="n">
        <x:f>K202*S202</x:f>
        <x:v>0</x:v>
      </x:c>
      <x:c r="U202" s="35" t="n">
        <x:f>L202-N202-P202-R202-T202</x:f>
        <x:v>0</x:v>
      </x:c>
      <x:c r="V202" s="21" t="n">
        <x:f>IFERROR(U202/L202,0)</x:f>
        <x:v>0</x:v>
      </x:c>
    </x:row>
    <x:row r="203">
      <x:c r="A203" s="19" t="str">
        <x:v>SALE-00199</x:v>
      </x:c>
      <x:c r="B203" s="34" t="n">
        <x:v>46214.5</x:v>
      </x:c>
      <x:c r="C203" s="19" t="str">
        <x:v>周六</x:v>
      </x:c>
      <x:c r="D203" s="19" t="str">
        <x:v>S01</x:v>
      </x:c>
      <x:c r="E203" s="19" t="str">
        <x:v>近江天阳店</x:v>
      </x:c>
      <x:c r="F203" s="19" t="str">
        <x:v>外卖</x:v>
      </x:c>
      <x:c r="G203" s="19" t="str">
        <x:v>全日</x:v>
      </x:c>
      <x:c r="H203" s="19" t="str">
        <x:v>D19</x:v>
      </x:c>
      <x:c r="I203" s="19" t="str">
        <x:v>酸萝卜炒鸡杂</x:v>
      </x:c>
      <x:c r="J203" s="22" t="n">
        <x:f>XLOOKUP(H203,'菜品主数据'!$A$5:$A$24,'菜品主数据'!$D$5:$D$24,0)</x:f>
        <x:v>25</x:v>
      </x:c>
      <x:c r="K203" s="31" t="n">
        <x:v>0</x:v>
      </x:c>
      <x:c r="L203" s="35" t="n">
        <x:f>J203*K203</x:f>
        <x:v>0</x:v>
      </x:c>
      <x:c r="M203" s="36" t="n">
        <x:v>0.08</x:v>
      </x:c>
      <x:c r="N203" s="35" t="n">
        <x:f>L203*M203</x:f>
        <x:v>0</x:v>
      </x:c>
      <x:c r="O203" s="37" t="n">
        <x:v>0.18</x:v>
      </x:c>
      <x:c r="P203" s="35" t="n">
        <x:f>L203*O203</x:f>
        <x:v>0</x:v>
      </x:c>
      <x:c r="Q203" s="35" t="n">
        <x:v>1.2</x:v>
      </x:c>
      <x:c r="R203" s="35" t="n">
        <x:f>K203*Q203</x:f>
        <x:v>0</x:v>
      </x:c>
      <x:c r="S203" s="35" t="n">
        <x:f>XLOOKUP(H203,'菜品主数据'!$A$5:$A$24,'菜品主数据'!$G$5:$G$24,0)</x:f>
        <x:v>7.9399999999999995</x:v>
      </x:c>
      <x:c r="T203" s="35" t="n">
        <x:f>K203*S203</x:f>
        <x:v>0</x:v>
      </x:c>
      <x:c r="U203" s="35" t="n">
        <x:f>L203-N203-P203-R203-T203</x:f>
        <x:v>0</x:v>
      </x:c>
      <x:c r="V203" s="21" t="n">
        <x:f>IFERROR(U203/L203,0)</x:f>
        <x:v>0</x:v>
      </x:c>
    </x:row>
    <x:row r="204">
      <x:c r="A204" s="19" t="str">
        <x:v>SALE-00200</x:v>
      </x:c>
      <x:c r="B204" s="34" t="n">
        <x:v>46214.5</x:v>
      </x:c>
      <x:c r="C204" s="19" t="str">
        <x:v>周六</x:v>
      </x:c>
      <x:c r="D204" s="19" t="str">
        <x:v>S01</x:v>
      </x:c>
      <x:c r="E204" s="19" t="str">
        <x:v>近江天阳店</x:v>
      </x:c>
      <x:c r="F204" s="19" t="str">
        <x:v>外卖</x:v>
      </x:c>
      <x:c r="G204" s="19" t="str">
        <x:v>全日</x:v>
      </x:c>
      <x:c r="H204" s="19" t="str">
        <x:v>D20</x:v>
      </x:c>
      <x:c r="I204" s="19" t="str">
        <x:v>雪菜肉末青豆</x:v>
      </x:c>
      <x:c r="J204" s="22" t="n">
        <x:f>XLOOKUP(H204,'菜品主数据'!$A$5:$A$24,'菜品主数据'!$D$5:$D$24,0)</x:f>
        <x:v>18</x:v>
      </x:c>
      <x:c r="K204" s="31" t="n">
        <x:v>0</x:v>
      </x:c>
      <x:c r="L204" s="35" t="n">
        <x:f>J204*K204</x:f>
        <x:v>0</x:v>
      </x:c>
      <x:c r="M204" s="36" t="n">
        <x:v>0.08</x:v>
      </x:c>
      <x:c r="N204" s="35" t="n">
        <x:f>L204*M204</x:f>
        <x:v>0</x:v>
      </x:c>
      <x:c r="O204" s="37" t="n">
        <x:v>0.18</x:v>
      </x:c>
      <x:c r="P204" s="35" t="n">
        <x:f>L204*O204</x:f>
        <x:v>0</x:v>
      </x:c>
      <x:c r="Q204" s="35" t="n">
        <x:v>1.2</x:v>
      </x:c>
      <x:c r="R204" s="35" t="n">
        <x:f>K204*Q204</x:f>
        <x:v>0</x:v>
      </x:c>
      <x:c r="S204" s="35" t="n">
        <x:f>XLOOKUP(H204,'菜品主数据'!$A$5:$A$24,'菜品主数据'!$G$5:$G$24,0)</x:f>
        <x:v>7.303999999999999</x:v>
      </x:c>
      <x:c r="T204" s="35" t="n">
        <x:f>K204*S204</x:f>
        <x:v>0</x:v>
      </x:c>
      <x:c r="U204" s="35" t="n">
        <x:f>L204-N204-P204-R204-T204</x:f>
        <x:v>0</x:v>
      </x:c>
      <x:c r="V204" s="21" t="n">
        <x:f>IFERROR(U204/L204,0)</x:f>
        <x:v>0</x:v>
      </x:c>
    </x:row>
    <x:row r="205">
      <x:c r="A205" s="19" t="str">
        <x:v>SALE-00201</x:v>
      </x:c>
      <x:c r="B205" s="34" t="n">
        <x:v>46215.5</x:v>
      </x:c>
      <x:c r="C205" s="19" t="str">
        <x:v>周日</x:v>
      </x:c>
      <x:c r="D205" s="19" t="str">
        <x:v>S01</x:v>
      </x:c>
      <x:c r="E205" s="19" t="str">
        <x:v>近江天阳店</x:v>
      </x:c>
      <x:c r="F205" s="19" t="str">
        <x:v>堂食</x:v>
      </x:c>
      <x:c r="G205" s="19" t="str">
        <x:v>全日</x:v>
      </x:c>
      <x:c r="H205" s="19" t="str">
        <x:v>D01</x:v>
      </x:c>
      <x:c r="I205" s="19" t="str">
        <x:v>辣椒炒肉</x:v>
      </x:c>
      <x:c r="J205" s="22" t="n">
        <x:f>XLOOKUP(H205,'菜品主数据'!$A$5:$A$24,'菜品主数据'!$D$5:$D$24,0)</x:f>
        <x:v>29</x:v>
      </x:c>
      <x:c r="K205" s="31" t="n">
        <x:v>36</x:v>
      </x:c>
      <x:c r="L205" s="35" t="n">
        <x:f>J205*K205</x:f>
        <x:v>1044</x:v>
      </x:c>
      <x:c r="M205" s="36" t="n">
        <x:v>0</x:v>
      </x:c>
      <x:c r="N205" s="35" t="n">
        <x:f>L205*M205</x:f>
        <x:v>0</x:v>
      </x:c>
      <x:c r="O205" s="37" t="n">
        <x:v>0</x:v>
      </x:c>
      <x:c r="P205" s="35" t="n">
        <x:f>L205*O205</x:f>
        <x:v>0</x:v>
      </x:c>
      <x:c r="Q205" s="35" t="n">
        <x:v>0</x:v>
      </x:c>
      <x:c r="R205" s="35" t="n">
        <x:f>K205*Q205</x:f>
        <x:v>0</x:v>
      </x:c>
      <x:c r="S205" s="35" t="n">
        <x:f>XLOOKUP(H205,'菜品主数据'!$A$5:$A$24,'菜品主数据'!$G$5:$G$24,0)</x:f>
        <x:v>8.634400000000001</x:v>
      </x:c>
      <x:c r="T205" s="35" t="n">
        <x:f>K205*S205</x:f>
        <x:v>310.83840000000004</x:v>
      </x:c>
      <x:c r="U205" s="35" t="n">
        <x:f>L205-N205-P205-R205-T205</x:f>
        <x:v>733.1615999999999</x:v>
      </x:c>
      <x:c r="V205" s="21" t="n">
        <x:f>IFERROR(U205/L205,0)</x:f>
        <x:v>0.7022620689655171</x:v>
      </x:c>
    </x:row>
    <x:row r="206">
      <x:c r="A206" s="19" t="str">
        <x:v>SALE-00202</x:v>
      </x:c>
      <x:c r="B206" s="34" t="n">
        <x:v>46215.5</x:v>
      </x:c>
      <x:c r="C206" s="19" t="str">
        <x:v>周日</x:v>
      </x:c>
      <x:c r="D206" s="19" t="str">
        <x:v>S01</x:v>
      </x:c>
      <x:c r="E206" s="19" t="str">
        <x:v>近江天阳店</x:v>
      </x:c>
      <x:c r="F206" s="19" t="str">
        <x:v>堂食</x:v>
      </x:c>
      <x:c r="G206" s="19" t="str">
        <x:v>全日</x:v>
      </x:c>
      <x:c r="H206" s="19" t="str">
        <x:v>D02</x:v>
      </x:c>
      <x:c r="I206" s="19" t="str">
        <x:v>小炒黄牛肉</x:v>
      </x:c>
      <x:c r="J206" s="22" t="n">
        <x:f>XLOOKUP(H206,'菜品主数据'!$A$5:$A$24,'菜品主数据'!$D$5:$D$24,0)</x:f>
        <x:v>49</x:v>
      </x:c>
      <x:c r="K206" s="31" t="n">
        <x:v>20</x:v>
      </x:c>
      <x:c r="L206" s="35" t="n">
        <x:f>J206*K206</x:f>
        <x:v>980</x:v>
      </x:c>
      <x:c r="M206" s="36" t="n">
        <x:v>0</x:v>
      </x:c>
      <x:c r="N206" s="35" t="n">
        <x:f>L206*M206</x:f>
        <x:v>0</x:v>
      </x:c>
      <x:c r="O206" s="37" t="n">
        <x:v>0</x:v>
      </x:c>
      <x:c r="P206" s="35" t="n">
        <x:f>L206*O206</x:f>
        <x:v>0</x:v>
      </x:c>
      <x:c r="Q206" s="35" t="n">
        <x:v>0</x:v>
      </x:c>
      <x:c r="R206" s="35" t="n">
        <x:f>K206*Q206</x:f>
        <x:v>0</x:v>
      </x:c>
      <x:c r="S206" s="35" t="n">
        <x:f>XLOOKUP(H206,'菜品主数据'!$A$5:$A$24,'菜品主数据'!$G$5:$G$24,0)</x:f>
        <x:v>17.577</x:v>
      </x:c>
      <x:c r="T206" s="35" t="n">
        <x:f>K206*S206</x:f>
        <x:v>351.54</x:v>
      </x:c>
      <x:c r="U206" s="35" t="n">
        <x:f>L206-N206-P206-R206-T206</x:f>
        <x:v>628.46</x:v>
      </x:c>
      <x:c r="V206" s="21" t="n">
        <x:f>IFERROR(U206/L206,0)</x:f>
        <x:v>0.6412857142857143</x:v>
      </x:c>
    </x:row>
    <x:row r="207">
      <x:c r="A207" s="19" t="str">
        <x:v>SALE-00203</x:v>
      </x:c>
      <x:c r="B207" s="34" t="n">
        <x:v>46215.5</x:v>
      </x:c>
      <x:c r="C207" s="19" t="str">
        <x:v>周日</x:v>
      </x:c>
      <x:c r="D207" s="19" t="str">
        <x:v>S01</x:v>
      </x:c>
      <x:c r="E207" s="19" t="str">
        <x:v>近江天阳店</x:v>
      </x:c>
      <x:c r="F207" s="19" t="str">
        <x:v>堂食</x:v>
      </x:c>
      <x:c r="G207" s="19" t="str">
        <x:v>全日</x:v>
      </x:c>
      <x:c r="H207" s="19" t="str">
        <x:v>D03</x:v>
      </x:c>
      <x:c r="I207" s="19" t="str">
        <x:v>香醋炒蛋</x:v>
      </x:c>
      <x:c r="J207" s="22" t="n">
        <x:f>XLOOKUP(H207,'菜品主数据'!$A$5:$A$24,'菜品主数据'!$D$5:$D$24,0)</x:f>
        <x:v>14.9</x:v>
      </x:c>
      <x:c r="K207" s="31" t="n">
        <x:v>34</x:v>
      </x:c>
      <x:c r="L207" s="35" t="n">
        <x:f>J207*K207</x:f>
        <x:v>506.6</x:v>
      </x:c>
      <x:c r="M207" s="36" t="n">
        <x:v>0</x:v>
      </x:c>
      <x:c r="N207" s="35" t="n">
        <x:f>L207*M207</x:f>
        <x:v>0</x:v>
      </x:c>
      <x:c r="O207" s="37" t="n">
        <x:v>0</x:v>
      </x:c>
      <x:c r="P207" s="35" t="n">
        <x:f>L207*O207</x:f>
        <x:v>0</x:v>
      </x:c>
      <x:c r="Q207" s="35" t="n">
        <x:v>0</x:v>
      </x:c>
      <x:c r="R207" s="35" t="n">
        <x:f>K207*Q207</x:f>
        <x:v>0</x:v>
      </x:c>
      <x:c r="S207" s="35" t="n">
        <x:f>XLOOKUP(H207,'菜品主数据'!$A$5:$A$24,'菜品主数据'!$G$5:$G$24,0)</x:f>
        <x:v>3.7459999999999996</x:v>
      </x:c>
      <x:c r="T207" s="35" t="n">
        <x:f>K207*S207</x:f>
        <x:v>127.36399999999999</x:v>
      </x:c>
      <x:c r="U207" s="35" t="n">
        <x:f>L207-N207-P207-R207-T207</x:f>
        <x:v>379.23600000000005</x:v>
      </x:c>
      <x:c r="V207" s="21" t="n">
        <x:f>IFERROR(U207/L207,0)</x:f>
        <x:v>0.7485906040268457</x:v>
      </x:c>
    </x:row>
    <x:row r="208">
      <x:c r="A208" s="19" t="str">
        <x:v>SALE-00204</x:v>
      </x:c>
      <x:c r="B208" s="34" t="n">
        <x:v>46215.5</x:v>
      </x:c>
      <x:c r="C208" s="19" t="str">
        <x:v>周日</x:v>
      </x:c>
      <x:c r="D208" s="19" t="str">
        <x:v>S01</x:v>
      </x:c>
      <x:c r="E208" s="19" t="str">
        <x:v>近江天阳店</x:v>
      </x:c>
      <x:c r="F208" s="19" t="str">
        <x:v>堂食</x:v>
      </x:c>
      <x:c r="G208" s="19" t="str">
        <x:v>全日</x:v>
      </x:c>
      <x:c r="H208" s="19" t="str">
        <x:v>D04</x:v>
      </x:c>
      <x:c r="I208" s="19" t="str">
        <x:v>酸包菜炒粉皮</x:v>
      </x:c>
      <x:c r="J208" s="22" t="n">
        <x:f>XLOOKUP(H208,'菜品主数据'!$A$5:$A$24,'菜品主数据'!$D$5:$D$24,0)</x:f>
        <x:v>16</x:v>
      </x:c>
      <x:c r="K208" s="31" t="n">
        <x:v>28</x:v>
      </x:c>
      <x:c r="L208" s="35" t="n">
        <x:f>J208*K208</x:f>
        <x:v>448</x:v>
      </x:c>
      <x:c r="M208" s="36" t="n">
        <x:v>0</x:v>
      </x:c>
      <x:c r="N208" s="35" t="n">
        <x:f>L208*M208</x:f>
        <x:v>0</x:v>
      </x:c>
      <x:c r="O208" s="37" t="n">
        <x:v>0</x:v>
      </x:c>
      <x:c r="P208" s="35" t="n">
        <x:f>L208*O208</x:f>
        <x:v>0</x:v>
      </x:c>
      <x:c r="Q208" s="35" t="n">
        <x:v>0</x:v>
      </x:c>
      <x:c r="R208" s="35" t="n">
        <x:f>K208*Q208</x:f>
        <x:v>0</x:v>
      </x:c>
      <x:c r="S208" s="35" t="n">
        <x:f>XLOOKUP(H208,'菜品主数据'!$A$5:$A$24,'菜品主数据'!$G$5:$G$24,0)</x:f>
        <x:v>3.978</x:v>
      </x:c>
      <x:c r="T208" s="35" t="n">
        <x:f>K208*S208</x:f>
        <x:v>111.384</x:v>
      </x:c>
      <x:c r="U208" s="35" t="n">
        <x:f>L208-N208-P208-R208-T208</x:f>
        <x:v>336.616</x:v>
      </x:c>
      <x:c r="V208" s="21" t="n">
        <x:f>IFERROR(U208/L208,0)</x:f>
        <x:v>0.751375</x:v>
      </x:c>
    </x:row>
    <x:row r="209">
      <x:c r="A209" s="19" t="str">
        <x:v>SALE-00205</x:v>
      </x:c>
      <x:c r="B209" s="34" t="n">
        <x:v>46215.5</x:v>
      </x:c>
      <x:c r="C209" s="19" t="str">
        <x:v>周日</x:v>
      </x:c>
      <x:c r="D209" s="19" t="str">
        <x:v>S01</x:v>
      </x:c>
      <x:c r="E209" s="19" t="str">
        <x:v>近江天阳店</x:v>
      </x:c>
      <x:c r="F209" s="19" t="str">
        <x:v>堂食</x:v>
      </x:c>
      <x:c r="G209" s="19" t="str">
        <x:v>全日</x:v>
      </x:c>
      <x:c r="H209" s="19" t="str">
        <x:v>D05</x:v>
      </x:c>
      <x:c r="I209" s="19" t="str">
        <x:v>麻婆豆腐</x:v>
      </x:c>
      <x:c r="J209" s="22" t="n">
        <x:f>XLOOKUP(H209,'菜品主数据'!$A$5:$A$24,'菜品主数据'!$D$5:$D$24,0)</x:f>
        <x:v>9.9</x:v>
      </x:c>
      <x:c r="K209" s="31" t="n">
        <x:v>39</x:v>
      </x:c>
      <x:c r="L209" s="35" t="n">
        <x:f>J209*K209</x:f>
        <x:v>386.1</x:v>
      </x:c>
      <x:c r="M209" s="36" t="n">
        <x:v>0</x:v>
      </x:c>
      <x:c r="N209" s="35" t="n">
        <x:f>L209*M209</x:f>
        <x:v>0</x:v>
      </x:c>
      <x:c r="O209" s="37" t="n">
        <x:v>0</x:v>
      </x:c>
      <x:c r="P209" s="35" t="n">
        <x:f>L209*O209</x:f>
        <x:v>0</x:v>
      </x:c>
      <x:c r="Q209" s="35" t="n">
        <x:v>0</x:v>
      </x:c>
      <x:c r="R209" s="35" t="n">
        <x:f>K209*Q209</x:f>
        <x:v>0</x:v>
      </x:c>
      <x:c r="S209" s="35" t="n">
        <x:f>XLOOKUP(H209,'菜品主数据'!$A$5:$A$24,'菜品主数据'!$G$5:$G$24,0)</x:f>
        <x:v>5.367000000000001</x:v>
      </x:c>
      <x:c r="T209" s="35" t="n">
        <x:f>K209*S209</x:f>
        <x:v>209.31300000000005</x:v>
      </x:c>
      <x:c r="U209" s="35" t="n">
        <x:f>L209-N209-P209-R209-T209</x:f>
        <x:v>176.78699999999998</x:v>
      </x:c>
      <x:c r="V209" s="21" t="n">
        <x:f>IFERROR(U209/L209,0)</x:f>
        <x:v>0.4578787878787878</x:v>
      </x:c>
    </x:row>
    <x:row r="210">
      <x:c r="A210" s="19" t="str">
        <x:v>SALE-00206</x:v>
      </x:c>
      <x:c r="B210" s="34" t="n">
        <x:v>46215.5</x:v>
      </x:c>
      <x:c r="C210" s="19" t="str">
        <x:v>周日</x:v>
      </x:c>
      <x:c r="D210" s="19" t="str">
        <x:v>S01</x:v>
      </x:c>
      <x:c r="E210" s="19" t="str">
        <x:v>近江天阳店</x:v>
      </x:c>
      <x:c r="F210" s="19" t="str">
        <x:v>堂食</x:v>
      </x:c>
      <x:c r="G210" s="19" t="str">
        <x:v>全日</x:v>
      </x:c>
      <x:c r="H210" s="19" t="str">
        <x:v>D06</x:v>
      </x:c>
      <x:c r="I210" s="19" t="str">
        <x:v>剁椒鱼头</x:v>
      </x:c>
      <x:c r="J210" s="22" t="n">
        <x:f>XLOOKUP(H210,'菜品主数据'!$A$5:$A$24,'菜品主数据'!$D$5:$D$24,0)</x:f>
        <x:v>39</x:v>
      </x:c>
      <x:c r="K210" s="31" t="n">
        <x:v>10</x:v>
      </x:c>
      <x:c r="L210" s="35" t="n">
        <x:f>J210*K210</x:f>
        <x:v>390</x:v>
      </x:c>
      <x:c r="M210" s="36" t="n">
        <x:v>0</x:v>
      </x:c>
      <x:c r="N210" s="35" t="n">
        <x:f>L210*M210</x:f>
        <x:v>0</x:v>
      </x:c>
      <x:c r="O210" s="37" t="n">
        <x:v>0</x:v>
      </x:c>
      <x:c r="P210" s="35" t="n">
        <x:f>L210*O210</x:f>
        <x:v>0</x:v>
      </x:c>
      <x:c r="Q210" s="35" t="n">
        <x:v>0</x:v>
      </x:c>
      <x:c r="R210" s="35" t="n">
        <x:f>K210*Q210</x:f>
        <x:v>0</x:v>
      </x:c>
      <x:c r="S210" s="35" t="n">
        <x:f>XLOOKUP(H210,'菜品主数据'!$A$5:$A$24,'菜品主数据'!$G$5:$G$24,0)</x:f>
        <x:v>17.446</x:v>
      </x:c>
      <x:c r="T210" s="35" t="n">
        <x:f>K210*S210</x:f>
        <x:v>174.46</x:v>
      </x:c>
      <x:c r="U210" s="35" t="n">
        <x:f>L210-N210-P210-R210-T210</x:f>
        <x:v>215.54</x:v>
      </x:c>
      <x:c r="V210" s="21" t="n">
        <x:f>IFERROR(U210/L210,0)</x:f>
        <x:v>0.5526666666666666</x:v>
      </x:c>
    </x:row>
    <x:row r="211">
      <x:c r="A211" s="19" t="str">
        <x:v>SALE-00207</x:v>
      </x:c>
      <x:c r="B211" s="34" t="n">
        <x:v>46215.5</x:v>
      </x:c>
      <x:c r="C211" s="19" t="str">
        <x:v>周日</x:v>
      </x:c>
      <x:c r="D211" s="19" t="str">
        <x:v>S01</x:v>
      </x:c>
      <x:c r="E211" s="19" t="str">
        <x:v>近江天阳店</x:v>
      </x:c>
      <x:c r="F211" s="19" t="str">
        <x:v>堂食</x:v>
      </x:c>
      <x:c r="G211" s="19" t="str">
        <x:v>全日</x:v>
      </x:c>
      <x:c r="H211" s="19" t="str">
        <x:v>D07</x:v>
      </x:c>
      <x:c r="I211" s="19" t="str">
        <x:v>川味回锅肉</x:v>
      </x:c>
      <x:c r="J211" s="22" t="n">
        <x:f>XLOOKUP(H211,'菜品主数据'!$A$5:$A$24,'菜品主数据'!$D$5:$D$24,0)</x:f>
        <x:v>29</x:v>
      </x:c>
      <x:c r="K211" s="31" t="n">
        <x:v>13</x:v>
      </x:c>
      <x:c r="L211" s="35" t="n">
        <x:f>J211*K211</x:f>
        <x:v>377</x:v>
      </x:c>
      <x:c r="M211" s="36" t="n">
        <x:v>0</x:v>
      </x:c>
      <x:c r="N211" s="35" t="n">
        <x:f>L211*M211</x:f>
        <x:v>0</x:v>
      </x:c>
      <x:c r="O211" s="37" t="n">
        <x:v>0</x:v>
      </x:c>
      <x:c r="P211" s="35" t="n">
        <x:f>L211*O211</x:f>
        <x:v>0</x:v>
      </x:c>
      <x:c r="Q211" s="35" t="n">
        <x:v>0</x:v>
      </x:c>
      <x:c r="R211" s="35" t="n">
        <x:f>K211*Q211</x:f>
        <x:v>0</x:v>
      </x:c>
      <x:c r="S211" s="35" t="n">
        <x:f>XLOOKUP(H211,'菜品主数据'!$A$5:$A$24,'菜品主数据'!$G$5:$G$24,0)</x:f>
        <x:v>10.231000000000002</x:v>
      </x:c>
      <x:c r="T211" s="35" t="n">
        <x:f>K211*S211</x:f>
        <x:v>133.00300000000001</x:v>
      </x:c>
      <x:c r="U211" s="35" t="n">
        <x:f>L211-N211-P211-R211-T211</x:f>
        <x:v>243.99699999999999</x:v>
      </x:c>
      <x:c r="V211" s="21" t="n">
        <x:f>IFERROR(U211/L211,0)</x:f>
        <x:v>0.6472068965517241</x:v>
      </x:c>
    </x:row>
    <x:row r="212">
      <x:c r="A212" s="19" t="str">
        <x:v>SALE-00208</x:v>
      </x:c>
      <x:c r="B212" s="34" t="n">
        <x:v>46215.5</x:v>
      </x:c>
      <x:c r="C212" s="19" t="str">
        <x:v>周日</x:v>
      </x:c>
      <x:c r="D212" s="19" t="str">
        <x:v>S01</x:v>
      </x:c>
      <x:c r="E212" s="19" t="str">
        <x:v>近江天阳店</x:v>
      </x:c>
      <x:c r="F212" s="19" t="str">
        <x:v>堂食</x:v>
      </x:c>
      <x:c r="G212" s="19" t="str">
        <x:v>全日</x:v>
      </x:c>
      <x:c r="H212" s="19" t="str">
        <x:v>D08</x:v>
      </x:c>
      <x:c r="I212" s="19" t="str">
        <x:v>生炒清远鸡</x:v>
      </x:c>
      <x:c r="J212" s="22" t="n">
        <x:f>XLOOKUP(H212,'菜品主数据'!$A$5:$A$24,'菜品主数据'!$D$5:$D$24,0)</x:f>
        <x:v>36</x:v>
      </x:c>
      <x:c r="K212" s="31" t="n">
        <x:v>10</x:v>
      </x:c>
      <x:c r="L212" s="35" t="n">
        <x:f>J212*K212</x:f>
        <x:v>360</x:v>
      </x:c>
      <x:c r="M212" s="36" t="n">
        <x:v>0</x:v>
      </x:c>
      <x:c r="N212" s="35" t="n">
        <x:f>L212*M212</x:f>
        <x:v>0</x:v>
      </x:c>
      <x:c r="O212" s="37" t="n">
        <x:v>0</x:v>
      </x:c>
      <x:c r="P212" s="35" t="n">
        <x:f>L212*O212</x:f>
        <x:v>0</x:v>
      </x:c>
      <x:c r="Q212" s="35" t="n">
        <x:v>0</x:v>
      </x:c>
      <x:c r="R212" s="35" t="n">
        <x:f>K212*Q212</x:f>
        <x:v>0</x:v>
      </x:c>
      <x:c r="S212" s="35" t="n">
        <x:f>XLOOKUP(H212,'菜品主数据'!$A$5:$A$24,'菜品主数据'!$G$5:$G$24,0)</x:f>
        <x:v>13.48</x:v>
      </x:c>
      <x:c r="T212" s="35" t="n">
        <x:f>K212*S212</x:f>
        <x:v>134.8</x:v>
      </x:c>
      <x:c r="U212" s="35" t="n">
        <x:f>L212-N212-P212-R212-T212</x:f>
        <x:v>225.2</x:v>
      </x:c>
      <x:c r="V212" s="21" t="n">
        <x:f>IFERROR(U212/L212,0)</x:f>
        <x:v>0.6255555555555555</x:v>
      </x:c>
    </x:row>
    <x:row r="213">
      <x:c r="A213" s="19" t="str">
        <x:v>SALE-00209</x:v>
      </x:c>
      <x:c r="B213" s="34" t="n">
        <x:v>46215.5</x:v>
      </x:c>
      <x:c r="C213" s="19" t="str">
        <x:v>周日</x:v>
      </x:c>
      <x:c r="D213" s="19" t="str">
        <x:v>S01</x:v>
      </x:c>
      <x:c r="E213" s="19" t="str">
        <x:v>近江天阳店</x:v>
      </x:c>
      <x:c r="F213" s="19" t="str">
        <x:v>堂食</x:v>
      </x:c>
      <x:c r="G213" s="19" t="str">
        <x:v>全日</x:v>
      </x:c>
      <x:c r="H213" s="19" t="str">
        <x:v>D09</x:v>
      </x:c>
      <x:c r="I213" s="19" t="str">
        <x:v>炒豆干</x:v>
      </x:c>
      <x:c r="J213" s="22" t="n">
        <x:f>XLOOKUP(H213,'菜品主数据'!$A$5:$A$24,'菜品主数据'!$D$5:$D$24,0)</x:f>
        <x:v>18</x:v>
      </x:c>
      <x:c r="K213" s="31" t="n">
        <x:v>13</x:v>
      </x:c>
      <x:c r="L213" s="35" t="n">
        <x:f>J213*K213</x:f>
        <x:v>234</x:v>
      </x:c>
      <x:c r="M213" s="36" t="n">
        <x:v>0</x:v>
      </x:c>
      <x:c r="N213" s="35" t="n">
        <x:f>L213*M213</x:f>
        <x:v>0</x:v>
      </x:c>
      <x:c r="O213" s="37" t="n">
        <x:v>0</x:v>
      </x:c>
      <x:c r="P213" s="35" t="n">
        <x:f>L213*O213</x:f>
        <x:v>0</x:v>
      </x:c>
      <x:c r="Q213" s="35" t="n">
        <x:v>0</x:v>
      </x:c>
      <x:c r="R213" s="35" t="n">
        <x:f>K213*Q213</x:f>
        <x:v>0</x:v>
      </x:c>
      <x:c r="S213" s="35" t="n">
        <x:f>XLOOKUP(H213,'菜品主数据'!$A$5:$A$24,'菜品主数据'!$G$5:$G$24,0)</x:f>
        <x:v>6.613999999999999</x:v>
      </x:c>
      <x:c r="T213" s="35" t="n">
        <x:f>K213*S213</x:f>
        <x:v>85.98199999999999</x:v>
      </x:c>
      <x:c r="U213" s="35" t="n">
        <x:f>L213-N213-P213-R213-T213</x:f>
        <x:v>148.01800000000003</x:v>
      </x:c>
      <x:c r="V213" s="21" t="n">
        <x:f>IFERROR(U213/L213,0)</x:f>
        <x:v>0.6325555555555556</x:v>
      </x:c>
    </x:row>
    <x:row r="214">
      <x:c r="A214" s="19" t="str">
        <x:v>SALE-00210</x:v>
      </x:c>
      <x:c r="B214" s="34" t="n">
        <x:v>46215.5</x:v>
      </x:c>
      <x:c r="C214" s="19" t="str">
        <x:v>周日</x:v>
      </x:c>
      <x:c r="D214" s="19" t="str">
        <x:v>S01</x:v>
      </x:c>
      <x:c r="E214" s="19" t="str">
        <x:v>近江天阳店</x:v>
      </x:c>
      <x:c r="F214" s="19" t="str">
        <x:v>堂食</x:v>
      </x:c>
      <x:c r="G214" s="19" t="str">
        <x:v>全日</x:v>
      </x:c>
      <x:c r="H214" s="19" t="str">
        <x:v>D10</x:v>
      </x:c>
      <x:c r="I214" s="19" t="str">
        <x:v>农家一碗香</x:v>
      </x:c>
      <x:c r="J214" s="22" t="n">
        <x:f>XLOOKUP(H214,'菜品主数据'!$A$5:$A$24,'菜品主数据'!$D$5:$D$24,0)</x:f>
        <x:v>22.9</x:v>
      </x:c>
      <x:c r="K214" s="31" t="n">
        <x:v>16</x:v>
      </x:c>
      <x:c r="L214" s="35" t="n">
        <x:f>J214*K214</x:f>
        <x:v>366.4</x:v>
      </x:c>
      <x:c r="M214" s="36" t="n">
        <x:v>0</x:v>
      </x:c>
      <x:c r="N214" s="35" t="n">
        <x:f>L214*M214</x:f>
        <x:v>0</x:v>
      </x:c>
      <x:c r="O214" s="37" t="n">
        <x:v>0</x:v>
      </x:c>
      <x:c r="P214" s="35" t="n">
        <x:f>L214*O214</x:f>
        <x:v>0</x:v>
      </x:c>
      <x:c r="Q214" s="35" t="n">
        <x:v>0</x:v>
      </x:c>
      <x:c r="R214" s="35" t="n">
        <x:f>K214*Q214</x:f>
        <x:v>0</x:v>
      </x:c>
      <x:c r="S214" s="35" t="n">
        <x:f>XLOOKUP(H214,'菜品主数据'!$A$5:$A$24,'菜品主数据'!$G$5:$G$24,0)</x:f>
        <x:v>9.770200000000003</x:v>
      </x:c>
      <x:c r="T214" s="35" t="n">
        <x:f>K214*S214</x:f>
        <x:v>156.32320000000004</x:v>
      </x:c>
      <x:c r="U214" s="35" t="n">
        <x:f>L214-N214-P214-R214-T214</x:f>
        <x:v>210.07679999999993</x:v>
      </x:c>
      <x:c r="V214" s="21" t="n">
        <x:f>IFERROR(U214/L214,0)</x:f>
        <x:v>0.5733537117903929</x:v>
      </x:c>
    </x:row>
    <x:row r="215">
      <x:c r="A215" s="19" t="str">
        <x:v>SALE-00211</x:v>
      </x:c>
      <x:c r="B215" s="34" t="n">
        <x:v>46215.5</x:v>
      </x:c>
      <x:c r="C215" s="19" t="str">
        <x:v>周日</x:v>
      </x:c>
      <x:c r="D215" s="19" t="str">
        <x:v>S01</x:v>
      </x:c>
      <x:c r="E215" s="19" t="str">
        <x:v>近江天阳店</x:v>
      </x:c>
      <x:c r="F215" s="19" t="str">
        <x:v>堂食</x:v>
      </x:c>
      <x:c r="G215" s="19" t="str">
        <x:v>全日</x:v>
      </x:c>
      <x:c r="H215" s="19" t="str">
        <x:v>D11</x:v>
      </x:c>
      <x:c r="I215" s="19" t="str">
        <x:v>香辣爆肥肠</x:v>
      </x:c>
      <x:c r="J215" s="22" t="n">
        <x:f>XLOOKUP(H215,'菜品主数据'!$A$5:$A$24,'菜品主数据'!$D$5:$D$24,0)</x:f>
        <x:v>39</x:v>
      </x:c>
      <x:c r="K215" s="31" t="n">
        <x:v>6</x:v>
      </x:c>
      <x:c r="L215" s="35" t="n">
        <x:f>J215*K215</x:f>
        <x:v>234</x:v>
      </x:c>
      <x:c r="M215" s="36" t="n">
        <x:v>0</x:v>
      </x:c>
      <x:c r="N215" s="35" t="n">
        <x:f>L215*M215</x:f>
        <x:v>0</x:v>
      </x:c>
      <x:c r="O215" s="37" t="n">
        <x:v>0</x:v>
      </x:c>
      <x:c r="P215" s="35" t="n">
        <x:f>L215*O215</x:f>
        <x:v>0</x:v>
      </x:c>
      <x:c r="Q215" s="35" t="n">
        <x:v>0</x:v>
      </x:c>
      <x:c r="R215" s="35" t="n">
        <x:f>K215*Q215</x:f>
        <x:v>0</x:v>
      </x:c>
      <x:c r="S215" s="35" t="n">
        <x:f>XLOOKUP(H215,'菜品主数据'!$A$5:$A$24,'菜品主数据'!$G$5:$G$24,0)</x:f>
        <x:v>10.397</x:v>
      </x:c>
      <x:c r="T215" s="35" t="n">
        <x:f>K215*S215</x:f>
        <x:v>62.382000000000005</x:v>
      </x:c>
      <x:c r="U215" s="35" t="n">
        <x:f>L215-N215-P215-R215-T215</x:f>
        <x:v>171.618</x:v>
      </x:c>
      <x:c r="V215" s="21" t="n">
        <x:f>IFERROR(U215/L215,0)</x:f>
        <x:v>0.7334102564102564</x:v>
      </x:c>
    </x:row>
    <x:row r="216">
      <x:c r="A216" s="19" t="str">
        <x:v>SALE-00212</x:v>
      </x:c>
      <x:c r="B216" s="34" t="n">
        <x:v>46215.5</x:v>
      </x:c>
      <x:c r="C216" s="19" t="str">
        <x:v>周日</x:v>
      </x:c>
      <x:c r="D216" s="19" t="str">
        <x:v>S01</x:v>
      </x:c>
      <x:c r="E216" s="19" t="str">
        <x:v>近江天阳店</x:v>
      </x:c>
      <x:c r="F216" s="19" t="str">
        <x:v>堂食</x:v>
      </x:c>
      <x:c r="G216" s="19" t="str">
        <x:v>全日</x:v>
      </x:c>
      <x:c r="H216" s="19" t="str">
        <x:v>D12</x:v>
      </x:c>
      <x:c r="I216" s="19" t="str">
        <x:v>清蒸鲈鱼</x:v>
      </x:c>
      <x:c r="J216" s="22" t="n">
        <x:f>XLOOKUP(H216,'菜品主数据'!$A$5:$A$24,'菜品主数据'!$D$5:$D$24,0)</x:f>
        <x:v>39</x:v>
      </x:c>
      <x:c r="K216" s="31" t="n">
        <x:v>6</x:v>
      </x:c>
      <x:c r="L216" s="35" t="n">
        <x:f>J216*K216</x:f>
        <x:v>234</x:v>
      </x:c>
      <x:c r="M216" s="36" t="n">
        <x:v>0</x:v>
      </x:c>
      <x:c r="N216" s="35" t="n">
        <x:f>L216*M216</x:f>
        <x:v>0</x:v>
      </x:c>
      <x:c r="O216" s="37" t="n">
        <x:v>0</x:v>
      </x:c>
      <x:c r="P216" s="35" t="n">
        <x:f>L216*O216</x:f>
        <x:v>0</x:v>
      </x:c>
      <x:c r="Q216" s="35" t="n">
        <x:v>0</x:v>
      </x:c>
      <x:c r="R216" s="35" t="n">
        <x:f>K216*Q216</x:f>
        <x:v>0</x:v>
      </x:c>
      <x:c r="S216" s="35" t="n">
        <x:f>XLOOKUP(H216,'菜品主数据'!$A$5:$A$24,'菜品主数据'!$G$5:$G$24,0)</x:f>
        <x:v>18.874</x:v>
      </x:c>
      <x:c r="T216" s="35" t="n">
        <x:f>K216*S216</x:f>
        <x:v>113.244</x:v>
      </x:c>
      <x:c r="U216" s="35" t="n">
        <x:f>L216-N216-P216-R216-T216</x:f>
        <x:v>120.756</x:v>
      </x:c>
      <x:c r="V216" s="21" t="n">
        <x:f>IFERROR(U216/L216,0)</x:f>
        <x:v>0.516051282051282</x:v>
      </x:c>
    </x:row>
    <x:row r="217">
      <x:c r="A217" s="19" t="str">
        <x:v>SALE-00213</x:v>
      </x:c>
      <x:c r="B217" s="34" t="n">
        <x:v>46215.5</x:v>
      </x:c>
      <x:c r="C217" s="19" t="str">
        <x:v>周日</x:v>
      </x:c>
      <x:c r="D217" s="19" t="str">
        <x:v>S01</x:v>
      </x:c>
      <x:c r="E217" s="19" t="str">
        <x:v>近江天阳店</x:v>
      </x:c>
      <x:c r="F217" s="19" t="str">
        <x:v>堂食</x:v>
      </x:c>
      <x:c r="G217" s="19" t="str">
        <x:v>全日</x:v>
      </x:c>
      <x:c r="H217" s="19" t="str">
        <x:v>D13</x:v>
      </x:c>
      <x:c r="I217" s="19" t="str">
        <x:v>外婆菜炒蛋</x:v>
      </x:c>
      <x:c r="J217" s="22" t="n">
        <x:f>XLOOKUP(H217,'菜品主数据'!$A$5:$A$24,'菜品主数据'!$D$5:$D$24,0)</x:f>
        <x:v>18</x:v>
      </x:c>
      <x:c r="K217" s="31" t="n">
        <x:v>12</x:v>
      </x:c>
      <x:c r="L217" s="35" t="n">
        <x:f>J217*K217</x:f>
        <x:v>216</x:v>
      </x:c>
      <x:c r="M217" s="36" t="n">
        <x:v>0</x:v>
      </x:c>
      <x:c r="N217" s="35" t="n">
        <x:f>L217*M217</x:f>
        <x:v>0</x:v>
      </x:c>
      <x:c r="O217" s="37" t="n">
        <x:v>0</x:v>
      </x:c>
      <x:c r="P217" s="35" t="n">
        <x:f>L217*O217</x:f>
        <x:v>0</x:v>
      </x:c>
      <x:c r="Q217" s="35" t="n">
        <x:v>0</x:v>
      </x:c>
      <x:c r="R217" s="35" t="n">
        <x:f>K217*Q217</x:f>
        <x:v>0</x:v>
      </x:c>
      <x:c r="S217" s="35" t="n">
        <x:f>XLOOKUP(H217,'菜品主数据'!$A$5:$A$24,'菜品主数据'!$G$5:$G$24,0)</x:f>
        <x:v>5.403999999999999</x:v>
      </x:c>
      <x:c r="T217" s="35" t="n">
        <x:f>K217*S217</x:f>
        <x:v>64.84799999999998</x:v>
      </x:c>
      <x:c r="U217" s="35" t="n">
        <x:f>L217-N217-P217-R217-T217</x:f>
        <x:v>151.15200000000002</x:v>
      </x:c>
      <x:c r="V217" s="21" t="n">
        <x:f>IFERROR(U217/L217,0)</x:f>
        <x:v>0.6997777777777778</x:v>
      </x:c>
    </x:row>
    <x:row r="218">
      <x:c r="A218" s="19" t="str">
        <x:v>SALE-00214</x:v>
      </x:c>
      <x:c r="B218" s="34" t="n">
        <x:v>46215.5</x:v>
      </x:c>
      <x:c r="C218" s="19" t="str">
        <x:v>周日</x:v>
      </x:c>
      <x:c r="D218" s="19" t="str">
        <x:v>S01</x:v>
      </x:c>
      <x:c r="E218" s="19" t="str">
        <x:v>近江天阳店</x:v>
      </x:c>
      <x:c r="F218" s="19" t="str">
        <x:v>堂食</x:v>
      </x:c>
      <x:c r="G218" s="19" t="str">
        <x:v>全日</x:v>
      </x:c>
      <x:c r="H218" s="19" t="str">
        <x:v>D14</x:v>
      </x:c>
      <x:c r="I218" s="19" t="str">
        <x:v>酸辣鸡杂</x:v>
      </x:c>
      <x:c r="J218" s="22" t="n">
        <x:f>XLOOKUP(H218,'菜品主数据'!$A$5:$A$24,'菜品主数据'!$D$5:$D$24,0)</x:f>
        <x:v>28</x:v>
      </x:c>
      <x:c r="K218" s="31" t="n">
        <x:v>7</x:v>
      </x:c>
      <x:c r="L218" s="35" t="n">
        <x:f>J218*K218</x:f>
        <x:v>196</x:v>
      </x:c>
      <x:c r="M218" s="36" t="n">
        <x:v>0</x:v>
      </x:c>
      <x:c r="N218" s="35" t="n">
        <x:f>L218*M218</x:f>
        <x:v>0</x:v>
      </x:c>
      <x:c r="O218" s="37" t="n">
        <x:v>0</x:v>
      </x:c>
      <x:c r="P218" s="35" t="n">
        <x:f>L218*O218</x:f>
        <x:v>0</x:v>
      </x:c>
      <x:c r="Q218" s="35" t="n">
        <x:v>0</x:v>
      </x:c>
      <x:c r="R218" s="35" t="n">
        <x:f>K218*Q218</x:f>
        <x:v>0</x:v>
      </x:c>
      <x:c r="S218" s="35" t="n">
        <x:f>XLOOKUP(H218,'菜品主数据'!$A$5:$A$24,'菜品主数据'!$G$5:$G$24,0)</x:f>
        <x:v>8.315000000000001</x:v>
      </x:c>
      <x:c r="T218" s="35" t="n">
        <x:f>K218*S218</x:f>
        <x:v>58.20500000000001</x:v>
      </x:c>
      <x:c r="U218" s="35" t="n">
        <x:f>L218-N218-P218-R218-T218</x:f>
        <x:v>137.795</x:v>
      </x:c>
      <x:c r="V218" s="21" t="n">
        <x:f>IFERROR(U218/L218,0)</x:f>
        <x:v>0.7030357142857142</x:v>
      </x:c>
    </x:row>
    <x:row r="219">
      <x:c r="A219" s="19" t="str">
        <x:v>SALE-00215</x:v>
      </x:c>
      <x:c r="B219" s="34" t="n">
        <x:v>46215.5</x:v>
      </x:c>
      <x:c r="C219" s="19" t="str">
        <x:v>周日</x:v>
      </x:c>
      <x:c r="D219" s="19" t="str">
        <x:v>S01</x:v>
      </x:c>
      <x:c r="E219" s="19" t="str">
        <x:v>近江天阳店</x:v>
      </x:c>
      <x:c r="F219" s="19" t="str">
        <x:v>堂食</x:v>
      </x:c>
      <x:c r="G219" s="19" t="str">
        <x:v>全日</x:v>
      </x:c>
      <x:c r="H219" s="19" t="str">
        <x:v>D15</x:v>
      </x:c>
      <x:c r="I219" s="19" t="str">
        <x:v>湘西土匪猪肝</x:v>
      </x:c>
      <x:c r="J219" s="22" t="n">
        <x:f>XLOOKUP(H219,'菜品主数据'!$A$5:$A$24,'菜品主数据'!$D$5:$D$24,0)</x:f>
        <x:v>26</x:v>
      </x:c>
      <x:c r="K219" s="31" t="n">
        <x:v>7</x:v>
      </x:c>
      <x:c r="L219" s="35" t="n">
        <x:f>J219*K219</x:f>
        <x:v>182</x:v>
      </x:c>
      <x:c r="M219" s="36" t="n">
        <x:v>0</x:v>
      </x:c>
      <x:c r="N219" s="35" t="n">
        <x:f>L219*M219</x:f>
        <x:v>0</x:v>
      </x:c>
      <x:c r="O219" s="37" t="n">
        <x:v>0</x:v>
      </x:c>
      <x:c r="P219" s="35" t="n">
        <x:f>L219*O219</x:f>
        <x:v>0</x:v>
      </x:c>
      <x:c r="Q219" s="35" t="n">
        <x:v>0</x:v>
      </x:c>
      <x:c r="R219" s="35" t="n">
        <x:f>K219*Q219</x:f>
        <x:v>0</x:v>
      </x:c>
      <x:c r="S219" s="35" t="n">
        <x:f>XLOOKUP(H219,'菜品主数据'!$A$5:$A$24,'菜品主数据'!$G$5:$G$24,0)</x:f>
        <x:v>6.3759999999999994</x:v>
      </x:c>
      <x:c r="T219" s="35" t="n">
        <x:f>K219*S219</x:f>
        <x:v>44.632</x:v>
      </x:c>
      <x:c r="U219" s="35" t="n">
        <x:f>L219-N219-P219-R219-T219</x:f>
        <x:v>137.368</x:v>
      </x:c>
      <x:c r="V219" s="21" t="n">
        <x:f>IFERROR(U219/L219,0)</x:f>
        <x:v>0.7547692307692307</x:v>
      </x:c>
    </x:row>
    <x:row r="220">
      <x:c r="A220" s="19" t="str">
        <x:v>SALE-00216</x:v>
      </x:c>
      <x:c r="B220" s="34" t="n">
        <x:v>46215.5</x:v>
      </x:c>
      <x:c r="C220" s="19" t="str">
        <x:v>周日</x:v>
      </x:c>
      <x:c r="D220" s="19" t="str">
        <x:v>S01</x:v>
      </x:c>
      <x:c r="E220" s="19" t="str">
        <x:v>近江天阳店</x:v>
      </x:c>
      <x:c r="F220" s="19" t="str">
        <x:v>堂食</x:v>
      </x:c>
      <x:c r="G220" s="19" t="str">
        <x:v>全日</x:v>
      </x:c>
      <x:c r="H220" s="19" t="str">
        <x:v>D16</x:v>
      </x:c>
      <x:c r="I220" s="19" t="str">
        <x:v>小豆角炒五花</x:v>
      </x:c>
      <x:c r="J220" s="22" t="n">
        <x:f>XLOOKUP(H220,'菜品主数据'!$A$5:$A$24,'菜品主数据'!$D$5:$D$24,0)</x:f>
        <x:v>25</x:v>
      </x:c>
      <x:c r="K220" s="31" t="n">
        <x:v>6</x:v>
      </x:c>
      <x:c r="L220" s="35" t="n">
        <x:f>J220*K220</x:f>
        <x:v>150</x:v>
      </x:c>
      <x:c r="M220" s="36" t="n">
        <x:v>0</x:v>
      </x:c>
      <x:c r="N220" s="35" t="n">
        <x:f>L220*M220</x:f>
        <x:v>0</x:v>
      </x:c>
      <x:c r="O220" s="37" t="n">
        <x:v>0</x:v>
      </x:c>
      <x:c r="P220" s="35" t="n">
        <x:f>L220*O220</x:f>
        <x:v>0</x:v>
      </x:c>
      <x:c r="Q220" s="35" t="n">
        <x:v>0</x:v>
      </x:c>
      <x:c r="R220" s="35" t="n">
        <x:f>K220*Q220</x:f>
        <x:v>0</x:v>
      </x:c>
      <x:c r="S220" s="35" t="n">
        <x:f>XLOOKUP(H220,'菜品主数据'!$A$5:$A$24,'菜品主数据'!$G$5:$G$24,0)</x:f>
        <x:v>8.184</x:v>
      </x:c>
      <x:c r="T220" s="35" t="n">
        <x:f>K220*S220</x:f>
        <x:v>49.104</x:v>
      </x:c>
      <x:c r="U220" s="35" t="n">
        <x:f>L220-N220-P220-R220-T220</x:f>
        <x:v>100.896</x:v>
      </x:c>
      <x:c r="V220" s="21" t="n">
        <x:f>IFERROR(U220/L220,0)</x:f>
        <x:v>0.67264</x:v>
      </x:c>
    </x:row>
    <x:row r="221">
      <x:c r="A221" s="19" t="str">
        <x:v>SALE-00217</x:v>
      </x:c>
      <x:c r="B221" s="34" t="n">
        <x:v>46215.5</x:v>
      </x:c>
      <x:c r="C221" s="19" t="str">
        <x:v>周日</x:v>
      </x:c>
      <x:c r="D221" s="19" t="str">
        <x:v>S01</x:v>
      </x:c>
      <x:c r="E221" s="19" t="str">
        <x:v>近江天阳店</x:v>
      </x:c>
      <x:c r="F221" s="19" t="str">
        <x:v>堂食</x:v>
      </x:c>
      <x:c r="G221" s="19" t="str">
        <x:v>全日</x:v>
      </x:c>
      <x:c r="H221" s="19" t="str">
        <x:v>D17</x:v>
      </x:c>
      <x:c r="I221" s="19" t="str">
        <x:v>蒜蓉粉丝虾</x:v>
      </x:c>
      <x:c r="J221" s="22" t="n">
        <x:f>XLOOKUP(H221,'菜品主数据'!$A$5:$A$24,'菜品主数据'!$D$5:$D$24,0)</x:f>
        <x:v>36</x:v>
      </x:c>
      <x:c r="K221" s="31" t="n">
        <x:v>4</x:v>
      </x:c>
      <x:c r="L221" s="35" t="n">
        <x:f>J221*K221</x:f>
        <x:v>144</x:v>
      </x:c>
      <x:c r="M221" s="36" t="n">
        <x:v>0</x:v>
      </x:c>
      <x:c r="N221" s="35" t="n">
        <x:f>L221*M221</x:f>
        <x:v>0</x:v>
      </x:c>
      <x:c r="O221" s="37" t="n">
        <x:v>0</x:v>
      </x:c>
      <x:c r="P221" s="35" t="n">
        <x:f>L221*O221</x:f>
        <x:v>0</x:v>
      </x:c>
      <x:c r="Q221" s="35" t="n">
        <x:v>0</x:v>
      </x:c>
      <x:c r="R221" s="35" t="n">
        <x:f>K221*Q221</x:f>
        <x:v>0</x:v>
      </x:c>
      <x:c r="S221" s="35" t="n">
        <x:f>XLOOKUP(H221,'菜品主数据'!$A$5:$A$24,'菜品主数据'!$G$5:$G$24,0)</x:f>
        <x:v>13.594</x:v>
      </x:c>
      <x:c r="T221" s="35" t="n">
        <x:f>K221*S221</x:f>
        <x:v>54.376</x:v>
      </x:c>
      <x:c r="U221" s="35" t="n">
        <x:f>L221-N221-P221-R221-T221</x:f>
        <x:v>89.624</x:v>
      </x:c>
      <x:c r="V221" s="21" t="n">
        <x:f>IFERROR(U221/L221,0)</x:f>
        <x:v>0.6223888888888889</x:v>
      </x:c>
    </x:row>
    <x:row r="222">
      <x:c r="A222" s="19" t="str">
        <x:v>SALE-00218</x:v>
      </x:c>
      <x:c r="B222" s="34" t="n">
        <x:v>46215.5</x:v>
      </x:c>
      <x:c r="C222" s="19" t="str">
        <x:v>周日</x:v>
      </x:c>
      <x:c r="D222" s="19" t="str">
        <x:v>S01</x:v>
      </x:c>
      <x:c r="E222" s="19" t="str">
        <x:v>近江天阳店</x:v>
      </x:c>
      <x:c r="F222" s="19" t="str">
        <x:v>堂食</x:v>
      </x:c>
      <x:c r="G222" s="19" t="str">
        <x:v>全日</x:v>
      </x:c>
      <x:c r="H222" s="19" t="str">
        <x:v>D18</x:v>
      </x:c>
      <x:c r="I222" s="19" t="str">
        <x:v>青椒炒油麦菜</x:v>
      </x:c>
      <x:c r="J222" s="22" t="n">
        <x:f>XLOOKUP(H222,'菜品主数据'!$A$5:$A$24,'菜品主数据'!$D$5:$D$24,0)</x:f>
        <x:v>18</x:v>
      </x:c>
      <x:c r="K222" s="31" t="n">
        <x:v>8</x:v>
      </x:c>
      <x:c r="L222" s="35" t="n">
        <x:f>J222*K222</x:f>
        <x:v>144</x:v>
      </x:c>
      <x:c r="M222" s="36" t="n">
        <x:v>0</x:v>
      </x:c>
      <x:c r="N222" s="35" t="n">
        <x:f>L222*M222</x:f>
        <x:v>0</x:v>
      </x:c>
      <x:c r="O222" s="37" t="n">
        <x:v>0</x:v>
      </x:c>
      <x:c r="P222" s="35" t="n">
        <x:f>L222*O222</x:f>
        <x:v>0</x:v>
      </x:c>
      <x:c r="Q222" s="35" t="n">
        <x:v>0</x:v>
      </x:c>
      <x:c r="R222" s="35" t="n">
        <x:f>K222*Q222</x:f>
        <x:v>0</x:v>
      </x:c>
      <x:c r="S222" s="35" t="n">
        <x:f>XLOOKUP(H222,'菜品主数据'!$A$5:$A$24,'菜品主数据'!$G$5:$G$24,0)</x:f>
        <x:v>3.1759999999999993</x:v>
      </x:c>
      <x:c r="T222" s="35" t="n">
        <x:f>K222*S222</x:f>
        <x:v>25.407999999999994</x:v>
      </x:c>
      <x:c r="U222" s="35" t="n">
        <x:f>L222-N222-P222-R222-T222</x:f>
        <x:v>118.59200000000001</x:v>
      </x:c>
      <x:c r="V222" s="21" t="n">
        <x:f>IFERROR(U222/L222,0)</x:f>
        <x:v>0.8235555555555556</x:v>
      </x:c>
    </x:row>
    <x:row r="223">
      <x:c r="A223" s="19" t="str">
        <x:v>SALE-00219</x:v>
      </x:c>
      <x:c r="B223" s="34" t="n">
        <x:v>46215.5</x:v>
      </x:c>
      <x:c r="C223" s="19" t="str">
        <x:v>周日</x:v>
      </x:c>
      <x:c r="D223" s="19" t="str">
        <x:v>S01</x:v>
      </x:c>
      <x:c r="E223" s="19" t="str">
        <x:v>近江天阳店</x:v>
      </x:c>
      <x:c r="F223" s="19" t="str">
        <x:v>堂食</x:v>
      </x:c>
      <x:c r="G223" s="19" t="str">
        <x:v>全日</x:v>
      </x:c>
      <x:c r="H223" s="19" t="str">
        <x:v>D19</x:v>
      </x:c>
      <x:c r="I223" s="19" t="str">
        <x:v>酸萝卜炒鸡杂</x:v>
      </x:c>
      <x:c r="J223" s="22" t="n">
        <x:f>XLOOKUP(H223,'菜品主数据'!$A$5:$A$24,'菜品主数据'!$D$5:$D$24,0)</x:f>
        <x:v>25</x:v>
      </x:c>
      <x:c r="K223" s="31" t="n">
        <x:v>5</x:v>
      </x:c>
      <x:c r="L223" s="35" t="n">
        <x:f>J223*K223</x:f>
        <x:v>125</x:v>
      </x:c>
      <x:c r="M223" s="36" t="n">
        <x:v>0</x:v>
      </x:c>
      <x:c r="N223" s="35" t="n">
        <x:f>L223*M223</x:f>
        <x:v>0</x:v>
      </x:c>
      <x:c r="O223" s="37" t="n">
        <x:v>0</x:v>
      </x:c>
      <x:c r="P223" s="35" t="n">
        <x:f>L223*O223</x:f>
        <x:v>0</x:v>
      </x:c>
      <x:c r="Q223" s="35" t="n">
        <x:v>0</x:v>
      </x:c>
      <x:c r="R223" s="35" t="n">
        <x:f>K223*Q223</x:f>
        <x:v>0</x:v>
      </x:c>
      <x:c r="S223" s="35" t="n">
        <x:f>XLOOKUP(H223,'菜品主数据'!$A$5:$A$24,'菜品主数据'!$G$5:$G$24,0)</x:f>
        <x:v>7.9399999999999995</x:v>
      </x:c>
      <x:c r="T223" s="35" t="n">
        <x:f>K223*S223</x:f>
        <x:v>39.699999999999996</x:v>
      </x:c>
      <x:c r="U223" s="35" t="n">
        <x:f>L223-N223-P223-R223-T223</x:f>
        <x:v>85.30000000000001</x:v>
      </x:c>
      <x:c r="V223" s="21" t="n">
        <x:f>IFERROR(U223/L223,0)</x:f>
        <x:v>0.6824000000000001</x:v>
      </x:c>
    </x:row>
    <x:row r="224">
      <x:c r="A224" s="19" t="str">
        <x:v>SALE-00220</x:v>
      </x:c>
      <x:c r="B224" s="34" t="n">
        <x:v>46215.5</x:v>
      </x:c>
      <x:c r="C224" s="19" t="str">
        <x:v>周日</x:v>
      </x:c>
      <x:c r="D224" s="19" t="str">
        <x:v>S01</x:v>
      </x:c>
      <x:c r="E224" s="19" t="str">
        <x:v>近江天阳店</x:v>
      </x:c>
      <x:c r="F224" s="19" t="str">
        <x:v>堂食</x:v>
      </x:c>
      <x:c r="G224" s="19" t="str">
        <x:v>全日</x:v>
      </x:c>
      <x:c r="H224" s="19" t="str">
        <x:v>D20</x:v>
      </x:c>
      <x:c r="I224" s="19" t="str">
        <x:v>雪菜肉末青豆</x:v>
      </x:c>
      <x:c r="J224" s="22" t="n">
        <x:f>XLOOKUP(H224,'菜品主数据'!$A$5:$A$24,'菜品主数据'!$D$5:$D$24,0)</x:f>
        <x:v>18</x:v>
      </x:c>
      <x:c r="K224" s="31" t="n">
        <x:v>7</x:v>
      </x:c>
      <x:c r="L224" s="35" t="n">
        <x:f>J224*K224</x:f>
        <x:v>126</x:v>
      </x:c>
      <x:c r="M224" s="36" t="n">
        <x:v>0</x:v>
      </x:c>
      <x:c r="N224" s="35" t="n">
        <x:f>L224*M224</x:f>
        <x:v>0</x:v>
      </x:c>
      <x:c r="O224" s="37" t="n">
        <x:v>0</x:v>
      </x:c>
      <x:c r="P224" s="35" t="n">
        <x:f>L224*O224</x:f>
        <x:v>0</x:v>
      </x:c>
      <x:c r="Q224" s="35" t="n">
        <x:v>0</x:v>
      </x:c>
      <x:c r="R224" s="35" t="n">
        <x:f>K224*Q224</x:f>
        <x:v>0</x:v>
      </x:c>
      <x:c r="S224" s="35" t="n">
        <x:f>XLOOKUP(H224,'菜品主数据'!$A$5:$A$24,'菜品主数据'!$G$5:$G$24,0)</x:f>
        <x:v>7.303999999999999</x:v>
      </x:c>
      <x:c r="T224" s="35" t="n">
        <x:f>K224*S224</x:f>
        <x:v>51.12799999999999</x:v>
      </x:c>
      <x:c r="U224" s="35" t="n">
        <x:f>L224-N224-P224-R224-T224</x:f>
        <x:v>74.87200000000001</x:v>
      </x:c>
      <x:c r="V224" s="21" t="n">
        <x:f>IFERROR(U224/L224,0)</x:f>
        <x:v>0.5942222222222223</x:v>
      </x:c>
    </x:row>
    <x:row r="225">
      <x:c r="A225" s="19" t="str">
        <x:v>SALE-00221</x:v>
      </x:c>
      <x:c r="B225" s="34" t="n">
        <x:v>46215.5</x:v>
      </x:c>
      <x:c r="C225" s="19" t="str">
        <x:v>周日</x:v>
      </x:c>
      <x:c r="D225" s="19" t="str">
        <x:v>S01</x:v>
      </x:c>
      <x:c r="E225" s="19" t="str">
        <x:v>近江天阳店</x:v>
      </x:c>
      <x:c r="F225" s="19" t="str">
        <x:v>外卖</x:v>
      </x:c>
      <x:c r="G225" s="19" t="str">
        <x:v>全日</x:v>
      </x:c>
      <x:c r="H225" s="19" t="str">
        <x:v>D01</x:v>
      </x:c>
      <x:c r="I225" s="19" t="str">
        <x:v>辣椒炒肉</x:v>
      </x:c>
      <x:c r="J225" s="22" t="n">
        <x:f>XLOOKUP(H225,'菜品主数据'!$A$5:$A$24,'菜品主数据'!$D$5:$D$24,0)</x:f>
        <x:v>29</x:v>
      </x:c>
      <x:c r="K225" s="31" t="n">
        <x:v>4</x:v>
      </x:c>
      <x:c r="L225" s="35" t="n">
        <x:f>J225*K225</x:f>
        <x:v>116</x:v>
      </x:c>
      <x:c r="M225" s="36" t="n">
        <x:v>0.08</x:v>
      </x:c>
      <x:c r="N225" s="35" t="n">
        <x:f>L225*M225</x:f>
        <x:v>9.28</x:v>
      </x:c>
      <x:c r="O225" s="37" t="n">
        <x:v>0.18</x:v>
      </x:c>
      <x:c r="P225" s="35" t="n">
        <x:f>L225*O225</x:f>
        <x:v>20.88</x:v>
      </x:c>
      <x:c r="Q225" s="35" t="n">
        <x:v>1.2</x:v>
      </x:c>
      <x:c r="R225" s="35" t="n">
        <x:f>K225*Q225</x:f>
        <x:v>4.8</x:v>
      </x:c>
      <x:c r="S225" s="35" t="n">
        <x:f>XLOOKUP(H225,'菜品主数据'!$A$5:$A$24,'菜品主数据'!$G$5:$G$24,0)</x:f>
        <x:v>8.634400000000001</x:v>
      </x:c>
      <x:c r="T225" s="35" t="n">
        <x:f>K225*S225</x:f>
        <x:v>34.537600000000005</x:v>
      </x:c>
      <x:c r="U225" s="35" t="n">
        <x:f>L225-N225-P225-R225-T225</x:f>
        <x:v>46.5024</x:v>
      </x:c>
      <x:c r="V225" s="21" t="n">
        <x:f>IFERROR(U225/L225,0)</x:f>
        <x:v>0.40088275862068967</x:v>
      </x:c>
    </x:row>
    <x:row r="226">
      <x:c r="A226" s="19" t="str">
        <x:v>SALE-00222</x:v>
      </x:c>
      <x:c r="B226" s="34" t="n">
        <x:v>46215.5</x:v>
      </x:c>
      <x:c r="C226" s="19" t="str">
        <x:v>周日</x:v>
      </x:c>
      <x:c r="D226" s="19" t="str">
        <x:v>S01</x:v>
      </x:c>
      <x:c r="E226" s="19" t="str">
        <x:v>近江天阳店</x:v>
      </x:c>
      <x:c r="F226" s="19" t="str">
        <x:v>外卖</x:v>
      </x:c>
      <x:c r="G226" s="19" t="str">
        <x:v>全日</x:v>
      </x:c>
      <x:c r="H226" s="19" t="str">
        <x:v>D02</x:v>
      </x:c>
      <x:c r="I226" s="19" t="str">
        <x:v>小炒黄牛肉</x:v>
      </x:c>
      <x:c r="J226" s="22" t="n">
        <x:f>XLOOKUP(H226,'菜品主数据'!$A$5:$A$24,'菜品主数据'!$D$5:$D$24,0)</x:f>
        <x:v>49</x:v>
      </x:c>
      <x:c r="K226" s="31" t="n">
        <x:v>7</x:v>
      </x:c>
      <x:c r="L226" s="35" t="n">
        <x:f>J226*K226</x:f>
        <x:v>343</x:v>
      </x:c>
      <x:c r="M226" s="36" t="n">
        <x:v>0.08</x:v>
      </x:c>
      <x:c r="N226" s="35" t="n">
        <x:f>L226*M226</x:f>
        <x:v>27.44</x:v>
      </x:c>
      <x:c r="O226" s="37" t="n">
        <x:v>0.18</x:v>
      </x:c>
      <x:c r="P226" s="35" t="n">
        <x:f>L226*O226</x:f>
        <x:v>61.739999999999995</x:v>
      </x:c>
      <x:c r="Q226" s="35" t="n">
        <x:v>1.2</x:v>
      </x:c>
      <x:c r="R226" s="35" t="n">
        <x:f>K226*Q226</x:f>
        <x:v>8.4</x:v>
      </x:c>
      <x:c r="S226" s="35" t="n">
        <x:f>XLOOKUP(H226,'菜品主数据'!$A$5:$A$24,'菜品主数据'!$G$5:$G$24,0)</x:f>
        <x:v>17.577</x:v>
      </x:c>
      <x:c r="T226" s="35" t="n">
        <x:f>K226*S226</x:f>
        <x:v>123.03900000000002</x:v>
      </x:c>
      <x:c r="U226" s="35" t="n">
        <x:f>L226-N226-P226-R226-T226</x:f>
        <x:v>122.38099999999997</x:v>
      </x:c>
      <x:c r="V226" s="21" t="n">
        <x:f>IFERROR(U226/L226,0)</x:f>
        <x:v>0.35679591836734686</x:v>
      </x:c>
    </x:row>
    <x:row r="227">
      <x:c r="A227" s="19" t="str">
        <x:v>SALE-00223</x:v>
      </x:c>
      <x:c r="B227" s="34" t="n">
        <x:v>46215.5</x:v>
      </x:c>
      <x:c r="C227" s="19" t="str">
        <x:v>周日</x:v>
      </x:c>
      <x:c r="D227" s="19" t="str">
        <x:v>S01</x:v>
      </x:c>
      <x:c r="E227" s="19" t="str">
        <x:v>近江天阳店</x:v>
      </x:c>
      <x:c r="F227" s="19" t="str">
        <x:v>外卖</x:v>
      </x:c>
      <x:c r="G227" s="19" t="str">
        <x:v>全日</x:v>
      </x:c>
      <x:c r="H227" s="19" t="str">
        <x:v>D03</x:v>
      </x:c>
      <x:c r="I227" s="19" t="str">
        <x:v>香醋炒蛋</x:v>
      </x:c>
      <x:c r="J227" s="22" t="n">
        <x:f>XLOOKUP(H227,'菜品主数据'!$A$5:$A$24,'菜品主数据'!$D$5:$D$24,0)</x:f>
        <x:v>14.9</x:v>
      </x:c>
      <x:c r="K227" s="31" t="n">
        <x:v>3</x:v>
      </x:c>
      <x:c r="L227" s="35" t="n">
        <x:f>J227*K227</x:f>
        <x:v>44.7</x:v>
      </x:c>
      <x:c r="M227" s="36" t="n">
        <x:v>0.08</x:v>
      </x:c>
      <x:c r="N227" s="35" t="n">
        <x:f>L227*M227</x:f>
        <x:v>3.5760000000000005</x:v>
      </x:c>
      <x:c r="O227" s="37" t="n">
        <x:v>0.18</x:v>
      </x:c>
      <x:c r="P227" s="35" t="n">
        <x:f>L227*O227</x:f>
        <x:v>8.046</x:v>
      </x:c>
      <x:c r="Q227" s="35" t="n">
        <x:v>1.2</x:v>
      </x:c>
      <x:c r="R227" s="35" t="n">
        <x:f>K227*Q227</x:f>
        <x:v>3.5999999999999996</x:v>
      </x:c>
      <x:c r="S227" s="35" t="n">
        <x:f>XLOOKUP(H227,'菜品主数据'!$A$5:$A$24,'菜品主数据'!$G$5:$G$24,0)</x:f>
        <x:v>3.7459999999999996</x:v>
      </x:c>
      <x:c r="T227" s="35" t="n">
        <x:f>K227*S227</x:f>
        <x:v>11.238</x:v>
      </x:c>
      <x:c r="U227" s="35" t="n">
        <x:f>L227-N227-P227-R227-T227</x:f>
        <x:v>18.240000000000002</x:v>
      </x:c>
      <x:c r="V227" s="21" t="n">
        <x:f>IFERROR(U227/L227,0)</x:f>
        <x:v>0.40805369127516783</x:v>
      </x:c>
    </x:row>
    <x:row r="228">
      <x:c r="A228" s="19" t="str">
        <x:v>SALE-00224</x:v>
      </x:c>
      <x:c r="B228" s="34" t="n">
        <x:v>46215.5</x:v>
      </x:c>
      <x:c r="C228" s="19" t="str">
        <x:v>周日</x:v>
      </x:c>
      <x:c r="D228" s="19" t="str">
        <x:v>S01</x:v>
      </x:c>
      <x:c r="E228" s="19" t="str">
        <x:v>近江天阳店</x:v>
      </x:c>
      <x:c r="F228" s="19" t="str">
        <x:v>外卖</x:v>
      </x:c>
      <x:c r="G228" s="19" t="str">
        <x:v>全日</x:v>
      </x:c>
      <x:c r="H228" s="19" t="str">
        <x:v>D04</x:v>
      </x:c>
      <x:c r="I228" s="19" t="str">
        <x:v>酸包菜炒粉皮</x:v>
      </x:c>
      <x:c r="J228" s="22" t="n">
        <x:f>XLOOKUP(H228,'菜品主数据'!$A$5:$A$24,'菜品主数据'!$D$5:$D$24,0)</x:f>
        <x:v>16</x:v>
      </x:c>
      <x:c r="K228" s="31" t="n">
        <x:v>3</x:v>
      </x:c>
      <x:c r="L228" s="35" t="n">
        <x:f>J228*K228</x:f>
        <x:v>48</x:v>
      </x:c>
      <x:c r="M228" s="36" t="n">
        <x:v>0.08</x:v>
      </x:c>
      <x:c r="N228" s="35" t="n">
        <x:f>L228*M228</x:f>
        <x:v>3.84</x:v>
      </x:c>
      <x:c r="O228" s="37" t="n">
        <x:v>0.18</x:v>
      </x:c>
      <x:c r="P228" s="35" t="n">
        <x:f>L228*O228</x:f>
        <x:v>8.64</x:v>
      </x:c>
      <x:c r="Q228" s="35" t="n">
        <x:v>1.2</x:v>
      </x:c>
      <x:c r="R228" s="35" t="n">
        <x:f>K228*Q228</x:f>
        <x:v>3.5999999999999996</x:v>
      </x:c>
      <x:c r="S228" s="35" t="n">
        <x:f>XLOOKUP(H228,'菜品主数据'!$A$5:$A$24,'菜品主数据'!$G$5:$G$24,0)</x:f>
        <x:v>3.978</x:v>
      </x:c>
      <x:c r="T228" s="35" t="n">
        <x:f>K228*S228</x:f>
        <x:v>11.934000000000001</x:v>
      </x:c>
      <x:c r="U228" s="35" t="n">
        <x:f>L228-N228-P228-R228-T228</x:f>
        <x:v>19.985999999999994</x:v>
      </x:c>
      <x:c r="V228" s="21" t="n">
        <x:f>IFERROR(U228/L228,0)</x:f>
        <x:v>0.4163749999999999</x:v>
      </x:c>
    </x:row>
    <x:row r="229">
      <x:c r="A229" s="19" t="str">
        <x:v>SALE-00225</x:v>
      </x:c>
      <x:c r="B229" s="34" t="n">
        <x:v>46215.5</x:v>
      </x:c>
      <x:c r="C229" s="19" t="str">
        <x:v>周日</x:v>
      </x:c>
      <x:c r="D229" s="19" t="str">
        <x:v>S01</x:v>
      </x:c>
      <x:c r="E229" s="19" t="str">
        <x:v>近江天阳店</x:v>
      </x:c>
      <x:c r="F229" s="19" t="str">
        <x:v>外卖</x:v>
      </x:c>
      <x:c r="G229" s="19" t="str">
        <x:v>全日</x:v>
      </x:c>
      <x:c r="H229" s="19" t="str">
        <x:v>D05</x:v>
      </x:c>
      <x:c r="I229" s="19" t="str">
        <x:v>麻婆豆腐</x:v>
      </x:c>
      <x:c r="J229" s="22" t="n">
        <x:f>XLOOKUP(H229,'菜品主数据'!$A$5:$A$24,'菜品主数据'!$D$5:$D$24,0)</x:f>
        <x:v>9.9</x:v>
      </x:c>
      <x:c r="K229" s="31" t="n">
        <x:v>4</x:v>
      </x:c>
      <x:c r="L229" s="35" t="n">
        <x:f>J229*K229</x:f>
        <x:v>39.6</x:v>
      </x:c>
      <x:c r="M229" s="36" t="n">
        <x:v>0.08</x:v>
      </x:c>
      <x:c r="N229" s="35" t="n">
        <x:f>L229*M229</x:f>
        <x:v>3.168</x:v>
      </x:c>
      <x:c r="O229" s="37" t="n">
        <x:v>0.18</x:v>
      </x:c>
      <x:c r="P229" s="35" t="n">
        <x:f>L229*O229</x:f>
        <x:v>7.128</x:v>
      </x:c>
      <x:c r="Q229" s="35" t="n">
        <x:v>1.2</x:v>
      </x:c>
      <x:c r="R229" s="35" t="n">
        <x:f>K229*Q229</x:f>
        <x:v>4.8</x:v>
      </x:c>
      <x:c r="S229" s="35" t="n">
        <x:f>XLOOKUP(H229,'菜品主数据'!$A$5:$A$24,'菜品主数据'!$G$5:$G$24,0)</x:f>
        <x:v>5.367000000000001</x:v>
      </x:c>
      <x:c r="T229" s="35" t="n">
        <x:f>K229*S229</x:f>
        <x:v>21.468000000000004</x:v>
      </x:c>
      <x:c r="U229" s="35" t="n">
        <x:f>L229-N229-P229-R229-T229</x:f>
        <x:v>3.035999999999998</x:v>
      </x:c>
      <x:c r="V229" s="21" t="n">
        <x:f>IFERROR(U229/L229,0)</x:f>
        <x:v>0.0766666666666666</x:v>
      </x:c>
    </x:row>
    <x:row r="230">
      <x:c r="A230" s="19" t="str">
        <x:v>SALE-00226</x:v>
      </x:c>
      <x:c r="B230" s="34" t="n">
        <x:v>46215.5</x:v>
      </x:c>
      <x:c r="C230" s="19" t="str">
        <x:v>周日</x:v>
      </x:c>
      <x:c r="D230" s="19" t="str">
        <x:v>S01</x:v>
      </x:c>
      <x:c r="E230" s="19" t="str">
        <x:v>近江天阳店</x:v>
      </x:c>
      <x:c r="F230" s="19" t="str">
        <x:v>外卖</x:v>
      </x:c>
      <x:c r="G230" s="19" t="str">
        <x:v>全日</x:v>
      </x:c>
      <x:c r="H230" s="19" t="str">
        <x:v>D06</x:v>
      </x:c>
      <x:c r="I230" s="19" t="str">
        <x:v>剁椒鱼头</x:v>
      </x:c>
      <x:c r="J230" s="22" t="n">
        <x:f>XLOOKUP(H230,'菜品主数据'!$A$5:$A$24,'菜品主数据'!$D$5:$D$24,0)</x:f>
        <x:v>39</x:v>
      </x:c>
      <x:c r="K230" s="31" t="n">
        <x:v>2</x:v>
      </x:c>
      <x:c r="L230" s="35" t="n">
        <x:f>J230*K230</x:f>
        <x:v>78</x:v>
      </x:c>
      <x:c r="M230" s="36" t="n">
        <x:v>0.08</x:v>
      </x:c>
      <x:c r="N230" s="35" t="n">
        <x:f>L230*M230</x:f>
        <x:v>6.24</x:v>
      </x:c>
      <x:c r="O230" s="37" t="n">
        <x:v>0.18</x:v>
      </x:c>
      <x:c r="P230" s="35" t="n">
        <x:f>L230*O230</x:f>
        <x:v>14.04</x:v>
      </x:c>
      <x:c r="Q230" s="35" t="n">
        <x:v>1.2</x:v>
      </x:c>
      <x:c r="R230" s="35" t="n">
        <x:f>K230*Q230</x:f>
        <x:v>2.4</x:v>
      </x:c>
      <x:c r="S230" s="35" t="n">
        <x:f>XLOOKUP(H230,'菜品主数据'!$A$5:$A$24,'菜品主数据'!$G$5:$G$24,0)</x:f>
        <x:v>17.446</x:v>
      </x:c>
      <x:c r="T230" s="35" t="n">
        <x:f>K230*S230</x:f>
        <x:v>34.892</x:v>
      </x:c>
      <x:c r="U230" s="35" t="n">
        <x:f>L230-N230-P230-R230-T230</x:f>
        <x:v>20.428000000000004</x:v>
      </x:c>
      <x:c r="V230" s="21" t="n">
        <x:f>IFERROR(U230/L230,0)</x:f>
        <x:v>0.26189743589743597</x:v>
      </x:c>
    </x:row>
    <x:row r="231">
      <x:c r="A231" s="19" t="str">
        <x:v>SALE-00227</x:v>
      </x:c>
      <x:c r="B231" s="34" t="n">
        <x:v>46215.5</x:v>
      </x:c>
      <x:c r="C231" s="19" t="str">
        <x:v>周日</x:v>
      </x:c>
      <x:c r="D231" s="19" t="str">
        <x:v>S01</x:v>
      </x:c>
      <x:c r="E231" s="19" t="str">
        <x:v>近江天阳店</x:v>
      </x:c>
      <x:c r="F231" s="19" t="str">
        <x:v>外卖</x:v>
      </x:c>
      <x:c r="G231" s="19" t="str">
        <x:v>全日</x:v>
      </x:c>
      <x:c r="H231" s="19" t="str">
        <x:v>D07</x:v>
      </x:c>
      <x:c r="I231" s="19" t="str">
        <x:v>川味回锅肉</x:v>
      </x:c>
      <x:c r="J231" s="22" t="n">
        <x:f>XLOOKUP(H231,'菜品主数据'!$A$5:$A$24,'菜品主数据'!$D$5:$D$24,0)</x:f>
        <x:v>29</x:v>
      </x:c>
      <x:c r="K231" s="31" t="n">
        <x:v>1</x:v>
      </x:c>
      <x:c r="L231" s="35" t="n">
        <x:f>J231*K231</x:f>
        <x:v>29</x:v>
      </x:c>
      <x:c r="M231" s="36" t="n">
        <x:v>0.08</x:v>
      </x:c>
      <x:c r="N231" s="35" t="n">
        <x:f>L231*M231</x:f>
        <x:v>2.32</x:v>
      </x:c>
      <x:c r="O231" s="37" t="n">
        <x:v>0.18</x:v>
      </x:c>
      <x:c r="P231" s="35" t="n">
        <x:f>L231*O231</x:f>
        <x:v>5.22</x:v>
      </x:c>
      <x:c r="Q231" s="35" t="n">
        <x:v>1.2</x:v>
      </x:c>
      <x:c r="R231" s="35" t="n">
        <x:f>K231*Q231</x:f>
        <x:v>1.2</x:v>
      </x:c>
      <x:c r="S231" s="35" t="n">
        <x:f>XLOOKUP(H231,'菜品主数据'!$A$5:$A$24,'菜品主数据'!$G$5:$G$24,0)</x:f>
        <x:v>10.231000000000002</x:v>
      </x:c>
      <x:c r="T231" s="35" t="n">
        <x:f>K231*S231</x:f>
        <x:v>10.231000000000002</x:v>
      </x:c>
      <x:c r="U231" s="35" t="n">
        <x:f>L231-N231-P231-R231-T231</x:f>
        <x:v>10.029</x:v>
      </x:c>
      <x:c r="V231" s="21" t="n">
        <x:f>IFERROR(U231/L231,0)</x:f>
        <x:v>0.3458275862068966</x:v>
      </x:c>
    </x:row>
    <x:row r="232">
      <x:c r="A232" s="19" t="str">
        <x:v>SALE-00228</x:v>
      </x:c>
      <x:c r="B232" s="34" t="n">
        <x:v>46215.5</x:v>
      </x:c>
      <x:c r="C232" s="19" t="str">
        <x:v>周日</x:v>
      </x:c>
      <x:c r="D232" s="19" t="str">
        <x:v>S01</x:v>
      </x:c>
      <x:c r="E232" s="19" t="str">
        <x:v>近江天阳店</x:v>
      </x:c>
      <x:c r="F232" s="19" t="str">
        <x:v>外卖</x:v>
      </x:c>
      <x:c r="G232" s="19" t="str">
        <x:v>全日</x:v>
      </x:c>
      <x:c r="H232" s="19" t="str">
        <x:v>D08</x:v>
      </x:c>
      <x:c r="I232" s="19" t="str">
        <x:v>生炒清远鸡</x:v>
      </x:c>
      <x:c r="J232" s="22" t="n">
        <x:f>XLOOKUP(H232,'菜品主数据'!$A$5:$A$24,'菜品主数据'!$D$5:$D$24,0)</x:f>
        <x:v>36</x:v>
      </x:c>
      <x:c r="K232" s="31" t="n">
        <x:v>0</x:v>
      </x:c>
      <x:c r="L232" s="35" t="n">
        <x:f>J232*K232</x:f>
        <x:v>0</x:v>
      </x:c>
      <x:c r="M232" s="36" t="n">
        <x:v>0.08</x:v>
      </x:c>
      <x:c r="N232" s="35" t="n">
        <x:f>L232*M232</x:f>
        <x:v>0</x:v>
      </x:c>
      <x:c r="O232" s="37" t="n">
        <x:v>0.18</x:v>
      </x:c>
      <x:c r="P232" s="35" t="n">
        <x:f>L232*O232</x:f>
        <x:v>0</x:v>
      </x:c>
      <x:c r="Q232" s="35" t="n">
        <x:v>1.2</x:v>
      </x:c>
      <x:c r="R232" s="35" t="n">
        <x:f>K232*Q232</x:f>
        <x:v>0</x:v>
      </x:c>
      <x:c r="S232" s="35" t="n">
        <x:f>XLOOKUP(H232,'菜品主数据'!$A$5:$A$24,'菜品主数据'!$G$5:$G$24,0)</x:f>
        <x:v>13.48</x:v>
      </x:c>
      <x:c r="T232" s="35" t="n">
        <x:f>K232*S232</x:f>
        <x:v>0</x:v>
      </x:c>
      <x:c r="U232" s="35" t="n">
        <x:f>L232-N232-P232-R232-T232</x:f>
        <x:v>0</x:v>
      </x:c>
      <x:c r="V232" s="21" t="n">
        <x:f>IFERROR(U232/L232,0)</x:f>
        <x:v>0</x:v>
      </x:c>
    </x:row>
    <x:row r="233">
      <x:c r="A233" s="19" t="str">
        <x:v>SALE-00229</x:v>
      </x:c>
      <x:c r="B233" s="34" t="n">
        <x:v>46215.5</x:v>
      </x:c>
      <x:c r="C233" s="19" t="str">
        <x:v>周日</x:v>
      </x:c>
      <x:c r="D233" s="19" t="str">
        <x:v>S01</x:v>
      </x:c>
      <x:c r="E233" s="19" t="str">
        <x:v>近江天阳店</x:v>
      </x:c>
      <x:c r="F233" s="19" t="str">
        <x:v>外卖</x:v>
      </x:c>
      <x:c r="G233" s="19" t="str">
        <x:v>全日</x:v>
      </x:c>
      <x:c r="H233" s="19" t="str">
        <x:v>D09</x:v>
      </x:c>
      <x:c r="I233" s="19" t="str">
        <x:v>炒豆干</x:v>
      </x:c>
      <x:c r="J233" s="22" t="n">
        <x:f>XLOOKUP(H233,'菜品主数据'!$A$5:$A$24,'菜品主数据'!$D$5:$D$24,0)</x:f>
        <x:v>18</x:v>
      </x:c>
      <x:c r="K233" s="31" t="n">
        <x:v>1</x:v>
      </x:c>
      <x:c r="L233" s="35" t="n">
        <x:f>J233*K233</x:f>
        <x:v>18</x:v>
      </x:c>
      <x:c r="M233" s="36" t="n">
        <x:v>0.08</x:v>
      </x:c>
      <x:c r="N233" s="35" t="n">
        <x:f>L233*M233</x:f>
        <x:v>1.44</x:v>
      </x:c>
      <x:c r="O233" s="37" t="n">
        <x:v>0.18</x:v>
      </x:c>
      <x:c r="P233" s="35" t="n">
        <x:f>L233*O233</x:f>
        <x:v>3.2399999999999998</x:v>
      </x:c>
      <x:c r="Q233" s="35" t="n">
        <x:v>1.2</x:v>
      </x:c>
      <x:c r="R233" s="35" t="n">
        <x:f>K233*Q233</x:f>
        <x:v>1.2</x:v>
      </x:c>
      <x:c r="S233" s="35" t="n">
        <x:f>XLOOKUP(H233,'菜品主数据'!$A$5:$A$24,'菜品主数据'!$G$5:$G$24,0)</x:f>
        <x:v>6.613999999999999</x:v>
      </x:c>
      <x:c r="T233" s="35" t="n">
        <x:f>K233*S233</x:f>
        <x:v>6.613999999999999</x:v>
      </x:c>
      <x:c r="U233" s="35" t="n">
        <x:f>L233-N233-P233-R233-T233</x:f>
        <x:v>5.506</x:v>
      </x:c>
      <x:c r="V233" s="21" t="n">
        <x:f>IFERROR(U233/L233,0)</x:f>
        <x:v>0.3058888888888889</x:v>
      </x:c>
    </x:row>
    <x:row r="234">
      <x:c r="A234" s="19" t="str">
        <x:v>SALE-00230</x:v>
      </x:c>
      <x:c r="B234" s="34" t="n">
        <x:v>46215.5</x:v>
      </x:c>
      <x:c r="C234" s="19" t="str">
        <x:v>周日</x:v>
      </x:c>
      <x:c r="D234" s="19" t="str">
        <x:v>S01</x:v>
      </x:c>
      <x:c r="E234" s="19" t="str">
        <x:v>近江天阳店</x:v>
      </x:c>
      <x:c r="F234" s="19" t="str">
        <x:v>外卖</x:v>
      </x:c>
      <x:c r="G234" s="19" t="str">
        <x:v>全日</x:v>
      </x:c>
      <x:c r="H234" s="19" t="str">
        <x:v>D10</x:v>
      </x:c>
      <x:c r="I234" s="19" t="str">
        <x:v>农家一碗香</x:v>
      </x:c>
      <x:c r="J234" s="22" t="n">
        <x:f>XLOOKUP(H234,'菜品主数据'!$A$5:$A$24,'菜品主数据'!$D$5:$D$24,0)</x:f>
        <x:v>22.9</x:v>
      </x:c>
      <x:c r="K234" s="31" t="n">
        <x:v>1</x:v>
      </x:c>
      <x:c r="L234" s="35" t="n">
        <x:f>J234*K234</x:f>
        <x:v>22.9</x:v>
      </x:c>
      <x:c r="M234" s="36" t="n">
        <x:v>0.08</x:v>
      </x:c>
      <x:c r="N234" s="35" t="n">
        <x:f>L234*M234</x:f>
        <x:v>1.8319999999999999</x:v>
      </x:c>
      <x:c r="O234" s="37" t="n">
        <x:v>0.18</x:v>
      </x:c>
      <x:c r="P234" s="35" t="n">
        <x:f>L234*O234</x:f>
        <x:v>4.122</x:v>
      </x:c>
      <x:c r="Q234" s="35" t="n">
        <x:v>1.2</x:v>
      </x:c>
      <x:c r="R234" s="35" t="n">
        <x:f>K234*Q234</x:f>
        <x:v>1.2</x:v>
      </x:c>
      <x:c r="S234" s="35" t="n">
        <x:f>XLOOKUP(H234,'菜品主数据'!$A$5:$A$24,'菜品主数据'!$G$5:$G$24,0)</x:f>
        <x:v>9.770200000000003</x:v>
      </x:c>
      <x:c r="T234" s="35" t="n">
        <x:f>K234*S234</x:f>
        <x:v>9.770200000000003</x:v>
      </x:c>
      <x:c r="U234" s="35" t="n">
        <x:f>L234-N234-P234-R234-T234</x:f>
        <x:v>5.975799999999996</x:v>
      </x:c>
      <x:c r="V234" s="21" t="n">
        <x:f>IFERROR(U234/L234,0)</x:f>
        <x:v>0.260951965065502</x:v>
      </x:c>
    </x:row>
    <x:row r="235">
      <x:c r="A235" s="19" t="str">
        <x:v>SALE-00231</x:v>
      </x:c>
      <x:c r="B235" s="34" t="n">
        <x:v>46215.5</x:v>
      </x:c>
      <x:c r="C235" s="19" t="str">
        <x:v>周日</x:v>
      </x:c>
      <x:c r="D235" s="19" t="str">
        <x:v>S01</x:v>
      </x:c>
      <x:c r="E235" s="19" t="str">
        <x:v>近江天阳店</x:v>
      </x:c>
      <x:c r="F235" s="19" t="str">
        <x:v>外卖</x:v>
      </x:c>
      <x:c r="G235" s="19" t="str">
        <x:v>全日</x:v>
      </x:c>
      <x:c r="H235" s="19" t="str">
        <x:v>D11</x:v>
      </x:c>
      <x:c r="I235" s="19" t="str">
        <x:v>香辣爆肥肠</x:v>
      </x:c>
      <x:c r="J235" s="22" t="n">
        <x:f>XLOOKUP(H235,'菜品主数据'!$A$5:$A$24,'菜品主数据'!$D$5:$D$24,0)</x:f>
        <x:v>39</x:v>
      </x:c>
      <x:c r="K235" s="31" t="n">
        <x:v>0</x:v>
      </x:c>
      <x:c r="L235" s="35" t="n">
        <x:f>J235*K235</x:f>
        <x:v>0</x:v>
      </x:c>
      <x:c r="M235" s="36" t="n">
        <x:v>0.08</x:v>
      </x:c>
      <x:c r="N235" s="35" t="n">
        <x:f>L235*M235</x:f>
        <x:v>0</x:v>
      </x:c>
      <x:c r="O235" s="37" t="n">
        <x:v>0.18</x:v>
      </x:c>
      <x:c r="P235" s="35" t="n">
        <x:f>L235*O235</x:f>
        <x:v>0</x:v>
      </x:c>
      <x:c r="Q235" s="35" t="n">
        <x:v>1.2</x:v>
      </x:c>
      <x:c r="R235" s="35" t="n">
        <x:f>K235*Q235</x:f>
        <x:v>0</x:v>
      </x:c>
      <x:c r="S235" s="35" t="n">
        <x:f>XLOOKUP(H235,'菜品主数据'!$A$5:$A$24,'菜品主数据'!$G$5:$G$24,0)</x:f>
        <x:v>10.397</x:v>
      </x:c>
      <x:c r="T235" s="35" t="n">
        <x:f>K235*S235</x:f>
        <x:v>0</x:v>
      </x:c>
      <x:c r="U235" s="35" t="n">
        <x:f>L235-N235-P235-R235-T235</x:f>
        <x:v>0</x:v>
      </x:c>
      <x:c r="V235" s="21" t="n">
        <x:f>IFERROR(U235/L235,0)</x:f>
        <x:v>0</x:v>
      </x:c>
    </x:row>
    <x:row r="236">
      <x:c r="A236" s="19" t="str">
        <x:v>SALE-00232</x:v>
      </x:c>
      <x:c r="B236" s="34" t="n">
        <x:v>46215.5</x:v>
      </x:c>
      <x:c r="C236" s="19" t="str">
        <x:v>周日</x:v>
      </x:c>
      <x:c r="D236" s="19" t="str">
        <x:v>S01</x:v>
      </x:c>
      <x:c r="E236" s="19" t="str">
        <x:v>近江天阳店</x:v>
      </x:c>
      <x:c r="F236" s="19" t="str">
        <x:v>外卖</x:v>
      </x:c>
      <x:c r="G236" s="19" t="str">
        <x:v>全日</x:v>
      </x:c>
      <x:c r="H236" s="19" t="str">
        <x:v>D12</x:v>
      </x:c>
      <x:c r="I236" s="19" t="str">
        <x:v>清蒸鲈鱼</x:v>
      </x:c>
      <x:c r="J236" s="22" t="n">
        <x:f>XLOOKUP(H236,'菜品主数据'!$A$5:$A$24,'菜品主数据'!$D$5:$D$24,0)</x:f>
        <x:v>39</x:v>
      </x:c>
      <x:c r="K236" s="31" t="n">
        <x:v>0</x:v>
      </x:c>
      <x:c r="L236" s="35" t="n">
        <x:f>J236*K236</x:f>
        <x:v>0</x:v>
      </x:c>
      <x:c r="M236" s="36" t="n">
        <x:v>0.08</x:v>
      </x:c>
      <x:c r="N236" s="35" t="n">
        <x:f>L236*M236</x:f>
        <x:v>0</x:v>
      </x:c>
      <x:c r="O236" s="37" t="n">
        <x:v>0.18</x:v>
      </x:c>
      <x:c r="P236" s="35" t="n">
        <x:f>L236*O236</x:f>
        <x:v>0</x:v>
      </x:c>
      <x:c r="Q236" s="35" t="n">
        <x:v>1.2</x:v>
      </x:c>
      <x:c r="R236" s="35" t="n">
        <x:f>K236*Q236</x:f>
        <x:v>0</x:v>
      </x:c>
      <x:c r="S236" s="35" t="n">
        <x:f>XLOOKUP(H236,'菜品主数据'!$A$5:$A$24,'菜品主数据'!$G$5:$G$24,0)</x:f>
        <x:v>18.874</x:v>
      </x:c>
      <x:c r="T236" s="35" t="n">
        <x:f>K236*S236</x:f>
        <x:v>0</x:v>
      </x:c>
      <x:c r="U236" s="35" t="n">
        <x:f>L236-N236-P236-R236-T236</x:f>
        <x:v>0</x:v>
      </x:c>
      <x:c r="V236" s="21" t="n">
        <x:f>IFERROR(U236/L236,0)</x:f>
        <x:v>0</x:v>
      </x:c>
    </x:row>
    <x:row r="237">
      <x:c r="A237" s="19" t="str">
        <x:v>SALE-00233</x:v>
      </x:c>
      <x:c r="B237" s="34" t="n">
        <x:v>46215.5</x:v>
      </x:c>
      <x:c r="C237" s="19" t="str">
        <x:v>周日</x:v>
      </x:c>
      <x:c r="D237" s="19" t="str">
        <x:v>S01</x:v>
      </x:c>
      <x:c r="E237" s="19" t="str">
        <x:v>近江天阳店</x:v>
      </x:c>
      <x:c r="F237" s="19" t="str">
        <x:v>外卖</x:v>
      </x:c>
      <x:c r="G237" s="19" t="str">
        <x:v>全日</x:v>
      </x:c>
      <x:c r="H237" s="19" t="str">
        <x:v>D13</x:v>
      </x:c>
      <x:c r="I237" s="19" t="str">
        <x:v>外婆菜炒蛋</x:v>
      </x:c>
      <x:c r="J237" s="22" t="n">
        <x:f>XLOOKUP(H237,'菜品主数据'!$A$5:$A$24,'菜品主数据'!$D$5:$D$24,0)</x:f>
        <x:v>18</x:v>
      </x:c>
      <x:c r="K237" s="31" t="n">
        <x:v>1</x:v>
      </x:c>
      <x:c r="L237" s="35" t="n">
        <x:f>J237*K237</x:f>
        <x:v>18</x:v>
      </x:c>
      <x:c r="M237" s="36" t="n">
        <x:v>0.08</x:v>
      </x:c>
      <x:c r="N237" s="35" t="n">
        <x:f>L237*M237</x:f>
        <x:v>1.44</x:v>
      </x:c>
      <x:c r="O237" s="37" t="n">
        <x:v>0.18</x:v>
      </x:c>
      <x:c r="P237" s="35" t="n">
        <x:f>L237*O237</x:f>
        <x:v>3.2399999999999998</x:v>
      </x:c>
      <x:c r="Q237" s="35" t="n">
        <x:v>1.2</x:v>
      </x:c>
      <x:c r="R237" s="35" t="n">
        <x:f>K237*Q237</x:f>
        <x:v>1.2</x:v>
      </x:c>
      <x:c r="S237" s="35" t="n">
        <x:f>XLOOKUP(H237,'菜品主数据'!$A$5:$A$24,'菜品主数据'!$G$5:$G$24,0)</x:f>
        <x:v>5.403999999999999</x:v>
      </x:c>
      <x:c r="T237" s="35" t="n">
        <x:f>K237*S237</x:f>
        <x:v>5.403999999999999</x:v>
      </x:c>
      <x:c r="U237" s="35" t="n">
        <x:f>L237-N237-P237-R237-T237</x:f>
        <x:v>6.716</x:v>
      </x:c>
      <x:c r="V237" s="21" t="n">
        <x:f>IFERROR(U237/L237,0)</x:f>
        <x:v>0.3731111111111111</x:v>
      </x:c>
    </x:row>
    <x:row r="238">
      <x:c r="A238" s="19" t="str">
        <x:v>SALE-00234</x:v>
      </x:c>
      <x:c r="B238" s="34" t="n">
        <x:v>46215.5</x:v>
      </x:c>
      <x:c r="C238" s="19" t="str">
        <x:v>周日</x:v>
      </x:c>
      <x:c r="D238" s="19" t="str">
        <x:v>S01</x:v>
      </x:c>
      <x:c r="E238" s="19" t="str">
        <x:v>近江天阳店</x:v>
      </x:c>
      <x:c r="F238" s="19" t="str">
        <x:v>外卖</x:v>
      </x:c>
      <x:c r="G238" s="19" t="str">
        <x:v>全日</x:v>
      </x:c>
      <x:c r="H238" s="19" t="str">
        <x:v>D14</x:v>
      </x:c>
      <x:c r="I238" s="19" t="str">
        <x:v>酸辣鸡杂</x:v>
      </x:c>
      <x:c r="J238" s="22" t="n">
        <x:f>XLOOKUP(H238,'菜品主数据'!$A$5:$A$24,'菜品主数据'!$D$5:$D$24,0)</x:f>
        <x:v>28</x:v>
      </x:c>
      <x:c r="K238" s="31" t="n">
        <x:v>0</x:v>
      </x:c>
      <x:c r="L238" s="35" t="n">
        <x:f>J238*K238</x:f>
        <x:v>0</x:v>
      </x:c>
      <x:c r="M238" s="36" t="n">
        <x:v>0.08</x:v>
      </x:c>
      <x:c r="N238" s="35" t="n">
        <x:f>L238*M238</x:f>
        <x:v>0</x:v>
      </x:c>
      <x:c r="O238" s="37" t="n">
        <x:v>0.18</x:v>
      </x:c>
      <x:c r="P238" s="35" t="n">
        <x:f>L238*O238</x:f>
        <x:v>0</x:v>
      </x:c>
      <x:c r="Q238" s="35" t="n">
        <x:v>1.2</x:v>
      </x:c>
      <x:c r="R238" s="35" t="n">
        <x:f>K238*Q238</x:f>
        <x:v>0</x:v>
      </x:c>
      <x:c r="S238" s="35" t="n">
        <x:f>XLOOKUP(H238,'菜品主数据'!$A$5:$A$24,'菜品主数据'!$G$5:$G$24,0)</x:f>
        <x:v>8.315000000000001</x:v>
      </x:c>
      <x:c r="T238" s="35" t="n">
        <x:f>K238*S238</x:f>
        <x:v>0</x:v>
      </x:c>
      <x:c r="U238" s="35" t="n">
        <x:f>L238-N238-P238-R238-T238</x:f>
        <x:v>0</x:v>
      </x:c>
      <x:c r="V238" s="21" t="n">
        <x:f>IFERROR(U238/L238,0)</x:f>
        <x:v>0</x:v>
      </x:c>
    </x:row>
    <x:row r="239">
      <x:c r="A239" s="19" t="str">
        <x:v>SALE-00235</x:v>
      </x:c>
      <x:c r="B239" s="34" t="n">
        <x:v>46215.5</x:v>
      </x:c>
      <x:c r="C239" s="19" t="str">
        <x:v>周日</x:v>
      </x:c>
      <x:c r="D239" s="19" t="str">
        <x:v>S01</x:v>
      </x:c>
      <x:c r="E239" s="19" t="str">
        <x:v>近江天阳店</x:v>
      </x:c>
      <x:c r="F239" s="19" t="str">
        <x:v>外卖</x:v>
      </x:c>
      <x:c r="G239" s="19" t="str">
        <x:v>全日</x:v>
      </x:c>
      <x:c r="H239" s="19" t="str">
        <x:v>D15</x:v>
      </x:c>
      <x:c r="I239" s="19" t="str">
        <x:v>湘西土匪猪肝</x:v>
      </x:c>
      <x:c r="J239" s="22" t="n">
        <x:f>XLOOKUP(H239,'菜品主数据'!$A$5:$A$24,'菜品主数据'!$D$5:$D$24,0)</x:f>
        <x:v>26</x:v>
      </x:c>
      <x:c r="K239" s="31" t="n">
        <x:v>0</x:v>
      </x:c>
      <x:c r="L239" s="35" t="n">
        <x:f>J239*K239</x:f>
        <x:v>0</x:v>
      </x:c>
      <x:c r="M239" s="36" t="n">
        <x:v>0.08</x:v>
      </x:c>
      <x:c r="N239" s="35" t="n">
        <x:f>L239*M239</x:f>
        <x:v>0</x:v>
      </x:c>
      <x:c r="O239" s="37" t="n">
        <x:v>0.18</x:v>
      </x:c>
      <x:c r="P239" s="35" t="n">
        <x:f>L239*O239</x:f>
        <x:v>0</x:v>
      </x:c>
      <x:c r="Q239" s="35" t="n">
        <x:v>1.2</x:v>
      </x:c>
      <x:c r="R239" s="35" t="n">
        <x:f>K239*Q239</x:f>
        <x:v>0</x:v>
      </x:c>
      <x:c r="S239" s="35" t="n">
        <x:f>XLOOKUP(H239,'菜品主数据'!$A$5:$A$24,'菜品主数据'!$G$5:$G$24,0)</x:f>
        <x:v>6.3759999999999994</x:v>
      </x:c>
      <x:c r="T239" s="35" t="n">
        <x:f>K239*S239</x:f>
        <x:v>0</x:v>
      </x:c>
      <x:c r="U239" s="35" t="n">
        <x:f>L239-N239-P239-R239-T239</x:f>
        <x:v>0</x:v>
      </x:c>
      <x:c r="V239" s="21" t="n">
        <x:f>IFERROR(U239/L239,0)</x:f>
        <x:v>0</x:v>
      </x:c>
    </x:row>
    <x:row r="240">
      <x:c r="A240" s="19" t="str">
        <x:v>SALE-00236</x:v>
      </x:c>
      <x:c r="B240" s="34" t="n">
        <x:v>46215.5</x:v>
      </x:c>
      <x:c r="C240" s="19" t="str">
        <x:v>周日</x:v>
      </x:c>
      <x:c r="D240" s="19" t="str">
        <x:v>S01</x:v>
      </x:c>
      <x:c r="E240" s="19" t="str">
        <x:v>近江天阳店</x:v>
      </x:c>
      <x:c r="F240" s="19" t="str">
        <x:v>外卖</x:v>
      </x:c>
      <x:c r="G240" s="19" t="str">
        <x:v>全日</x:v>
      </x:c>
      <x:c r="H240" s="19" t="str">
        <x:v>D16</x:v>
      </x:c>
      <x:c r="I240" s="19" t="str">
        <x:v>小豆角炒五花</x:v>
      </x:c>
      <x:c r="J240" s="22" t="n">
        <x:f>XLOOKUP(H240,'菜品主数据'!$A$5:$A$24,'菜品主数据'!$D$5:$D$24,0)</x:f>
        <x:v>25</x:v>
      </x:c>
      <x:c r="K240" s="31" t="n">
        <x:v>0</x:v>
      </x:c>
      <x:c r="L240" s="35" t="n">
        <x:f>J240*K240</x:f>
        <x:v>0</x:v>
      </x:c>
      <x:c r="M240" s="36" t="n">
        <x:v>0.08</x:v>
      </x:c>
      <x:c r="N240" s="35" t="n">
        <x:f>L240*M240</x:f>
        <x:v>0</x:v>
      </x:c>
      <x:c r="O240" s="37" t="n">
        <x:v>0.18</x:v>
      </x:c>
      <x:c r="P240" s="35" t="n">
        <x:f>L240*O240</x:f>
        <x:v>0</x:v>
      </x:c>
      <x:c r="Q240" s="35" t="n">
        <x:v>1.2</x:v>
      </x:c>
      <x:c r="R240" s="35" t="n">
        <x:f>K240*Q240</x:f>
        <x:v>0</x:v>
      </x:c>
      <x:c r="S240" s="35" t="n">
        <x:f>XLOOKUP(H240,'菜品主数据'!$A$5:$A$24,'菜品主数据'!$G$5:$G$24,0)</x:f>
        <x:v>8.184</x:v>
      </x:c>
      <x:c r="T240" s="35" t="n">
        <x:f>K240*S240</x:f>
        <x:v>0</x:v>
      </x:c>
      <x:c r="U240" s="35" t="n">
        <x:f>L240-N240-P240-R240-T240</x:f>
        <x:v>0</x:v>
      </x:c>
      <x:c r="V240" s="21" t="n">
        <x:f>IFERROR(U240/L240,0)</x:f>
        <x:v>0</x:v>
      </x:c>
    </x:row>
    <x:row r="241">
      <x:c r="A241" s="19" t="str">
        <x:v>SALE-00237</x:v>
      </x:c>
      <x:c r="B241" s="34" t="n">
        <x:v>46215.5</x:v>
      </x:c>
      <x:c r="C241" s="19" t="str">
        <x:v>周日</x:v>
      </x:c>
      <x:c r="D241" s="19" t="str">
        <x:v>S01</x:v>
      </x:c>
      <x:c r="E241" s="19" t="str">
        <x:v>近江天阳店</x:v>
      </x:c>
      <x:c r="F241" s="19" t="str">
        <x:v>外卖</x:v>
      </x:c>
      <x:c r="G241" s="19" t="str">
        <x:v>全日</x:v>
      </x:c>
      <x:c r="H241" s="19" t="str">
        <x:v>D17</x:v>
      </x:c>
      <x:c r="I241" s="19" t="str">
        <x:v>蒜蓉粉丝虾</x:v>
      </x:c>
      <x:c r="J241" s="22" t="n">
        <x:f>XLOOKUP(H241,'菜品主数据'!$A$5:$A$24,'菜品主数据'!$D$5:$D$24,0)</x:f>
        <x:v>36</x:v>
      </x:c>
      <x:c r="K241" s="31" t="n">
        <x:v>0</x:v>
      </x:c>
      <x:c r="L241" s="35" t="n">
        <x:f>J241*K241</x:f>
        <x:v>0</x:v>
      </x:c>
      <x:c r="M241" s="36" t="n">
        <x:v>0.08</x:v>
      </x:c>
      <x:c r="N241" s="35" t="n">
        <x:f>L241*M241</x:f>
        <x:v>0</x:v>
      </x:c>
      <x:c r="O241" s="37" t="n">
        <x:v>0.18</x:v>
      </x:c>
      <x:c r="P241" s="35" t="n">
        <x:f>L241*O241</x:f>
        <x:v>0</x:v>
      </x:c>
      <x:c r="Q241" s="35" t="n">
        <x:v>1.2</x:v>
      </x:c>
      <x:c r="R241" s="35" t="n">
        <x:f>K241*Q241</x:f>
        <x:v>0</x:v>
      </x:c>
      <x:c r="S241" s="35" t="n">
        <x:f>XLOOKUP(H241,'菜品主数据'!$A$5:$A$24,'菜品主数据'!$G$5:$G$24,0)</x:f>
        <x:v>13.594</x:v>
      </x:c>
      <x:c r="T241" s="35" t="n">
        <x:f>K241*S241</x:f>
        <x:v>0</x:v>
      </x:c>
      <x:c r="U241" s="35" t="n">
        <x:f>L241-N241-P241-R241-T241</x:f>
        <x:v>0</x:v>
      </x:c>
      <x:c r="V241" s="21" t="n">
        <x:f>IFERROR(U241/L241,0)</x:f>
        <x:v>0</x:v>
      </x:c>
    </x:row>
    <x:row r="242">
      <x:c r="A242" s="19" t="str">
        <x:v>SALE-00238</x:v>
      </x:c>
      <x:c r="B242" s="34" t="n">
        <x:v>46215.5</x:v>
      </x:c>
      <x:c r="C242" s="19" t="str">
        <x:v>周日</x:v>
      </x:c>
      <x:c r="D242" s="19" t="str">
        <x:v>S01</x:v>
      </x:c>
      <x:c r="E242" s="19" t="str">
        <x:v>近江天阳店</x:v>
      </x:c>
      <x:c r="F242" s="19" t="str">
        <x:v>外卖</x:v>
      </x:c>
      <x:c r="G242" s="19" t="str">
        <x:v>全日</x:v>
      </x:c>
      <x:c r="H242" s="19" t="str">
        <x:v>D18</x:v>
      </x:c>
      <x:c r="I242" s="19" t="str">
        <x:v>青椒炒油麦菜</x:v>
      </x:c>
      <x:c r="J242" s="22" t="n">
        <x:f>XLOOKUP(H242,'菜品主数据'!$A$5:$A$24,'菜品主数据'!$D$5:$D$24,0)</x:f>
        <x:v>18</x:v>
      </x:c>
      <x:c r="K242" s="31" t="n">
        <x:v>0</x:v>
      </x:c>
      <x:c r="L242" s="35" t="n">
        <x:f>J242*K242</x:f>
        <x:v>0</x:v>
      </x:c>
      <x:c r="M242" s="36" t="n">
        <x:v>0.08</x:v>
      </x:c>
      <x:c r="N242" s="35" t="n">
        <x:f>L242*M242</x:f>
        <x:v>0</x:v>
      </x:c>
      <x:c r="O242" s="37" t="n">
        <x:v>0.18</x:v>
      </x:c>
      <x:c r="P242" s="35" t="n">
        <x:f>L242*O242</x:f>
        <x:v>0</x:v>
      </x:c>
      <x:c r="Q242" s="35" t="n">
        <x:v>1.2</x:v>
      </x:c>
      <x:c r="R242" s="35" t="n">
        <x:f>K242*Q242</x:f>
        <x:v>0</x:v>
      </x:c>
      <x:c r="S242" s="35" t="n">
        <x:f>XLOOKUP(H242,'菜品主数据'!$A$5:$A$24,'菜品主数据'!$G$5:$G$24,0)</x:f>
        <x:v>3.1759999999999993</x:v>
      </x:c>
      <x:c r="T242" s="35" t="n">
        <x:f>K242*S242</x:f>
        <x:v>0</x:v>
      </x:c>
      <x:c r="U242" s="35" t="n">
        <x:f>L242-N242-P242-R242-T242</x:f>
        <x:v>0</x:v>
      </x:c>
      <x:c r="V242" s="21" t="n">
        <x:f>IFERROR(U242/L242,0)</x:f>
        <x:v>0</x:v>
      </x:c>
    </x:row>
    <x:row r="243">
      <x:c r="A243" s="19" t="str">
        <x:v>SALE-00239</x:v>
      </x:c>
      <x:c r="B243" s="34" t="n">
        <x:v>46215.5</x:v>
      </x:c>
      <x:c r="C243" s="19" t="str">
        <x:v>周日</x:v>
      </x:c>
      <x:c r="D243" s="19" t="str">
        <x:v>S01</x:v>
      </x:c>
      <x:c r="E243" s="19" t="str">
        <x:v>近江天阳店</x:v>
      </x:c>
      <x:c r="F243" s="19" t="str">
        <x:v>外卖</x:v>
      </x:c>
      <x:c r="G243" s="19" t="str">
        <x:v>全日</x:v>
      </x:c>
      <x:c r="H243" s="19" t="str">
        <x:v>D19</x:v>
      </x:c>
      <x:c r="I243" s="19" t="str">
        <x:v>酸萝卜炒鸡杂</x:v>
      </x:c>
      <x:c r="J243" s="22" t="n">
        <x:f>XLOOKUP(H243,'菜品主数据'!$A$5:$A$24,'菜品主数据'!$D$5:$D$24,0)</x:f>
        <x:v>25</x:v>
      </x:c>
      <x:c r="K243" s="31" t="n">
        <x:v>0</x:v>
      </x:c>
      <x:c r="L243" s="35" t="n">
        <x:f>J243*K243</x:f>
        <x:v>0</x:v>
      </x:c>
      <x:c r="M243" s="36" t="n">
        <x:v>0.08</x:v>
      </x:c>
      <x:c r="N243" s="35" t="n">
        <x:f>L243*M243</x:f>
        <x:v>0</x:v>
      </x:c>
      <x:c r="O243" s="37" t="n">
        <x:v>0.18</x:v>
      </x:c>
      <x:c r="P243" s="35" t="n">
        <x:f>L243*O243</x:f>
        <x:v>0</x:v>
      </x:c>
      <x:c r="Q243" s="35" t="n">
        <x:v>1.2</x:v>
      </x:c>
      <x:c r="R243" s="35" t="n">
        <x:f>K243*Q243</x:f>
        <x:v>0</x:v>
      </x:c>
      <x:c r="S243" s="35" t="n">
        <x:f>XLOOKUP(H243,'菜品主数据'!$A$5:$A$24,'菜品主数据'!$G$5:$G$24,0)</x:f>
        <x:v>7.9399999999999995</x:v>
      </x:c>
      <x:c r="T243" s="35" t="n">
        <x:f>K243*S243</x:f>
        <x:v>0</x:v>
      </x:c>
      <x:c r="U243" s="35" t="n">
        <x:f>L243-N243-P243-R243-T243</x:f>
        <x:v>0</x:v>
      </x:c>
      <x:c r="V243" s="21" t="n">
        <x:f>IFERROR(U243/L243,0)</x:f>
        <x:v>0</x:v>
      </x:c>
    </x:row>
    <x:row r="244">
      <x:c r="A244" s="19" t="str">
        <x:v>SALE-00240</x:v>
      </x:c>
      <x:c r="B244" s="34" t="n">
        <x:v>46215.5</x:v>
      </x:c>
      <x:c r="C244" s="19" t="str">
        <x:v>周日</x:v>
      </x:c>
      <x:c r="D244" s="19" t="str">
        <x:v>S01</x:v>
      </x:c>
      <x:c r="E244" s="19" t="str">
        <x:v>近江天阳店</x:v>
      </x:c>
      <x:c r="F244" s="19" t="str">
        <x:v>外卖</x:v>
      </x:c>
      <x:c r="G244" s="19" t="str">
        <x:v>全日</x:v>
      </x:c>
      <x:c r="H244" s="19" t="str">
        <x:v>D20</x:v>
      </x:c>
      <x:c r="I244" s="19" t="str">
        <x:v>雪菜肉末青豆</x:v>
      </x:c>
      <x:c r="J244" s="22" t="n">
        <x:f>XLOOKUP(H244,'菜品主数据'!$A$5:$A$24,'菜品主数据'!$D$5:$D$24,0)</x:f>
        <x:v>18</x:v>
      </x:c>
      <x:c r="K244" s="31" t="n">
        <x:v>0</x:v>
      </x:c>
      <x:c r="L244" s="35" t="n">
        <x:f>J244*K244</x:f>
        <x:v>0</x:v>
      </x:c>
      <x:c r="M244" s="36" t="n">
        <x:v>0.08</x:v>
      </x:c>
      <x:c r="N244" s="35" t="n">
        <x:f>L244*M244</x:f>
        <x:v>0</x:v>
      </x:c>
      <x:c r="O244" s="37" t="n">
        <x:v>0.18</x:v>
      </x:c>
      <x:c r="P244" s="35" t="n">
        <x:f>L244*O244</x:f>
        <x:v>0</x:v>
      </x:c>
      <x:c r="Q244" s="35" t="n">
        <x:v>1.2</x:v>
      </x:c>
      <x:c r="R244" s="35" t="n">
        <x:f>K244*Q244</x:f>
        <x:v>0</x:v>
      </x:c>
      <x:c r="S244" s="35" t="n">
        <x:f>XLOOKUP(H244,'菜品主数据'!$A$5:$A$24,'菜品主数据'!$G$5:$G$24,0)</x:f>
        <x:v>7.303999999999999</x:v>
      </x:c>
      <x:c r="T244" s="35" t="n">
        <x:f>K244*S244</x:f>
        <x:v>0</x:v>
      </x:c>
      <x:c r="U244" s="35" t="n">
        <x:f>L244-N244-P244-R244-T244</x:f>
        <x:v>0</x:v>
      </x:c>
      <x:c r="V244" s="21" t="n">
        <x:f>IFERROR(U244/L244,0)</x:f>
        <x:v>0</x:v>
      </x:c>
    </x:row>
    <x:row r="245">
      <x:c r="A245" s="19" t="str">
        <x:v>SALE-00241</x:v>
      </x:c>
      <x:c r="B245" s="34" t="n">
        <x:v>46216.5</x:v>
      </x:c>
      <x:c r="C245" s="19" t="str">
        <x:v>周一</x:v>
      </x:c>
      <x:c r="D245" s="19" t="str">
        <x:v>S01</x:v>
      </x:c>
      <x:c r="E245" s="19" t="str">
        <x:v>近江天阳店</x:v>
      </x:c>
      <x:c r="F245" s="19" t="str">
        <x:v>堂食</x:v>
      </x:c>
      <x:c r="G245" s="19" t="str">
        <x:v>全日</x:v>
      </x:c>
      <x:c r="H245" s="19" t="str">
        <x:v>D01</x:v>
      </x:c>
      <x:c r="I245" s="19" t="str">
        <x:v>辣椒炒肉</x:v>
      </x:c>
      <x:c r="J245" s="22" t="n">
        <x:f>XLOOKUP(H245,'菜品主数据'!$A$5:$A$24,'菜品主数据'!$D$5:$D$24,0)</x:f>
        <x:v>29</x:v>
      </x:c>
      <x:c r="K245" s="31" t="n">
        <x:v>55</x:v>
      </x:c>
      <x:c r="L245" s="35" t="n">
        <x:f>J245*K245</x:f>
        <x:v>1595</x:v>
      </x:c>
      <x:c r="M245" s="36" t="n">
        <x:v>0</x:v>
      </x:c>
      <x:c r="N245" s="35" t="n">
        <x:f>L245*M245</x:f>
        <x:v>0</x:v>
      </x:c>
      <x:c r="O245" s="37" t="n">
        <x:v>0</x:v>
      </x:c>
      <x:c r="P245" s="35" t="n">
        <x:f>L245*O245</x:f>
        <x:v>0</x:v>
      </x:c>
      <x:c r="Q245" s="35" t="n">
        <x:v>0</x:v>
      </x:c>
      <x:c r="R245" s="35" t="n">
        <x:f>K245*Q245</x:f>
        <x:v>0</x:v>
      </x:c>
      <x:c r="S245" s="35" t="n">
        <x:f>XLOOKUP(H245,'菜品主数据'!$A$5:$A$24,'菜品主数据'!$G$5:$G$24,0)</x:f>
        <x:v>8.634400000000001</x:v>
      </x:c>
      <x:c r="T245" s="35" t="n">
        <x:f>K245*S245</x:f>
        <x:v>474.89200000000005</x:v>
      </x:c>
      <x:c r="U245" s="35" t="n">
        <x:f>L245-N245-P245-R245-T245</x:f>
        <x:v>1120.108</x:v>
      </x:c>
      <x:c r="V245" s="21" t="n">
        <x:f>IFERROR(U245/L245,0)</x:f>
        <x:v>0.7022620689655172</x:v>
      </x:c>
    </x:row>
    <x:row r="246">
      <x:c r="A246" s="19" t="str">
        <x:v>SALE-00242</x:v>
      </x:c>
      <x:c r="B246" s="34" t="n">
        <x:v>46216.5</x:v>
      </x:c>
      <x:c r="C246" s="19" t="str">
        <x:v>周一</x:v>
      </x:c>
      <x:c r="D246" s="19" t="str">
        <x:v>S01</x:v>
      </x:c>
      <x:c r="E246" s="19" t="str">
        <x:v>近江天阳店</x:v>
      </x:c>
      <x:c r="F246" s="19" t="str">
        <x:v>堂食</x:v>
      </x:c>
      <x:c r="G246" s="19" t="str">
        <x:v>全日</x:v>
      </x:c>
      <x:c r="H246" s="19" t="str">
        <x:v>D02</x:v>
      </x:c>
      <x:c r="I246" s="19" t="str">
        <x:v>小炒黄牛肉</x:v>
      </x:c>
      <x:c r="J246" s="22" t="n">
        <x:f>XLOOKUP(H246,'菜品主数据'!$A$5:$A$24,'菜品主数据'!$D$5:$D$24,0)</x:f>
        <x:v>49</x:v>
      </x:c>
      <x:c r="K246" s="31" t="n">
        <x:v>30</x:v>
      </x:c>
      <x:c r="L246" s="35" t="n">
        <x:f>J246*K246</x:f>
        <x:v>1470</x:v>
      </x:c>
      <x:c r="M246" s="36" t="n">
        <x:v>0</x:v>
      </x:c>
      <x:c r="N246" s="35" t="n">
        <x:f>L246*M246</x:f>
        <x:v>0</x:v>
      </x:c>
      <x:c r="O246" s="37" t="n">
        <x:v>0</x:v>
      </x:c>
      <x:c r="P246" s="35" t="n">
        <x:f>L246*O246</x:f>
        <x:v>0</x:v>
      </x:c>
      <x:c r="Q246" s="35" t="n">
        <x:v>0</x:v>
      </x:c>
      <x:c r="R246" s="35" t="n">
        <x:f>K246*Q246</x:f>
        <x:v>0</x:v>
      </x:c>
      <x:c r="S246" s="35" t="n">
        <x:f>XLOOKUP(H246,'菜品主数据'!$A$5:$A$24,'菜品主数据'!$G$5:$G$24,0)</x:f>
        <x:v>17.577</x:v>
      </x:c>
      <x:c r="T246" s="35" t="n">
        <x:f>K246*S246</x:f>
        <x:v>527.3100000000001</x:v>
      </x:c>
      <x:c r="U246" s="35" t="n">
        <x:f>L246-N246-P246-R246-T246</x:f>
        <x:v>942.6899999999999</x:v>
      </x:c>
      <x:c r="V246" s="21" t="n">
        <x:f>IFERROR(U246/L246,0)</x:f>
        <x:v>0.6412857142857142</x:v>
      </x:c>
    </x:row>
    <x:row r="247">
      <x:c r="A247" s="19" t="str">
        <x:v>SALE-00243</x:v>
      </x:c>
      <x:c r="B247" s="34" t="n">
        <x:v>46216.5</x:v>
      </x:c>
      <x:c r="C247" s="19" t="str">
        <x:v>周一</x:v>
      </x:c>
      <x:c r="D247" s="19" t="str">
        <x:v>S01</x:v>
      </x:c>
      <x:c r="E247" s="19" t="str">
        <x:v>近江天阳店</x:v>
      </x:c>
      <x:c r="F247" s="19" t="str">
        <x:v>堂食</x:v>
      </x:c>
      <x:c r="G247" s="19" t="str">
        <x:v>全日</x:v>
      </x:c>
      <x:c r="H247" s="19" t="str">
        <x:v>D03</x:v>
      </x:c>
      <x:c r="I247" s="19" t="str">
        <x:v>香醋炒蛋</x:v>
      </x:c>
      <x:c r="J247" s="22" t="n">
        <x:f>XLOOKUP(H247,'菜品主数据'!$A$5:$A$24,'菜品主数据'!$D$5:$D$24,0)</x:f>
        <x:v>14.9</x:v>
      </x:c>
      <x:c r="K247" s="31" t="n">
        <x:v>45</x:v>
      </x:c>
      <x:c r="L247" s="35" t="n">
        <x:f>J247*K247</x:f>
        <x:v>670.5</x:v>
      </x:c>
      <x:c r="M247" s="36" t="n">
        <x:v>0</x:v>
      </x:c>
      <x:c r="N247" s="35" t="n">
        <x:f>L247*M247</x:f>
        <x:v>0</x:v>
      </x:c>
      <x:c r="O247" s="37" t="n">
        <x:v>0</x:v>
      </x:c>
      <x:c r="P247" s="35" t="n">
        <x:f>L247*O247</x:f>
        <x:v>0</x:v>
      </x:c>
      <x:c r="Q247" s="35" t="n">
        <x:v>0</x:v>
      </x:c>
      <x:c r="R247" s="35" t="n">
        <x:f>K247*Q247</x:f>
        <x:v>0</x:v>
      </x:c>
      <x:c r="S247" s="35" t="n">
        <x:f>XLOOKUP(H247,'菜品主数据'!$A$5:$A$24,'菜品主数据'!$G$5:$G$24,0)</x:f>
        <x:v>3.7459999999999996</x:v>
      </x:c>
      <x:c r="T247" s="35" t="n">
        <x:f>K247*S247</x:f>
        <x:v>168.57</x:v>
      </x:c>
      <x:c r="U247" s="35" t="n">
        <x:f>L247-N247-P247-R247-T247</x:f>
        <x:v>501.93</x:v>
      </x:c>
      <x:c r="V247" s="21" t="n">
        <x:f>IFERROR(U247/L247,0)</x:f>
        <x:v>0.7485906040268456</x:v>
      </x:c>
    </x:row>
    <x:row r="248">
      <x:c r="A248" s="19" t="str">
        <x:v>SALE-00244</x:v>
      </x:c>
      <x:c r="B248" s="34" t="n">
        <x:v>46216.5</x:v>
      </x:c>
      <x:c r="C248" s="19" t="str">
        <x:v>周一</x:v>
      </x:c>
      <x:c r="D248" s="19" t="str">
        <x:v>S01</x:v>
      </x:c>
      <x:c r="E248" s="19" t="str">
        <x:v>近江天阳店</x:v>
      </x:c>
      <x:c r="F248" s="19" t="str">
        <x:v>堂食</x:v>
      </x:c>
      <x:c r="G248" s="19" t="str">
        <x:v>全日</x:v>
      </x:c>
      <x:c r="H248" s="19" t="str">
        <x:v>D04</x:v>
      </x:c>
      <x:c r="I248" s="19" t="str">
        <x:v>酸包菜炒粉皮</x:v>
      </x:c>
      <x:c r="J248" s="22" t="n">
        <x:f>XLOOKUP(H248,'菜品主数据'!$A$5:$A$24,'菜品主数据'!$D$5:$D$24,0)</x:f>
        <x:v>16</x:v>
      </x:c>
      <x:c r="K248" s="31" t="n">
        <x:v>44</x:v>
      </x:c>
      <x:c r="L248" s="35" t="n">
        <x:f>J248*K248</x:f>
        <x:v>704</x:v>
      </x:c>
      <x:c r="M248" s="36" t="n">
        <x:v>0</x:v>
      </x:c>
      <x:c r="N248" s="35" t="n">
        <x:f>L248*M248</x:f>
        <x:v>0</x:v>
      </x:c>
      <x:c r="O248" s="37" t="n">
        <x:v>0</x:v>
      </x:c>
      <x:c r="P248" s="35" t="n">
        <x:f>L248*O248</x:f>
        <x:v>0</x:v>
      </x:c>
      <x:c r="Q248" s="35" t="n">
        <x:v>0</x:v>
      </x:c>
      <x:c r="R248" s="35" t="n">
        <x:f>K248*Q248</x:f>
        <x:v>0</x:v>
      </x:c>
      <x:c r="S248" s="35" t="n">
        <x:f>XLOOKUP(H248,'菜品主数据'!$A$5:$A$24,'菜品主数据'!$G$5:$G$24,0)</x:f>
        <x:v>3.978</x:v>
      </x:c>
      <x:c r="T248" s="35" t="n">
        <x:f>K248*S248</x:f>
        <x:v>175.032</x:v>
      </x:c>
      <x:c r="U248" s="35" t="n">
        <x:f>L248-N248-P248-R248-T248</x:f>
        <x:v>528.968</x:v>
      </x:c>
      <x:c r="V248" s="21" t="n">
        <x:f>IFERROR(U248/L248,0)</x:f>
        <x:v>0.7513749999999999</x:v>
      </x:c>
    </x:row>
    <x:row r="249">
      <x:c r="A249" s="19" t="str">
        <x:v>SALE-00245</x:v>
      </x:c>
      <x:c r="B249" s="34" t="n">
        <x:v>46216.5</x:v>
      </x:c>
      <x:c r="C249" s="19" t="str">
        <x:v>周一</x:v>
      </x:c>
      <x:c r="D249" s="19" t="str">
        <x:v>S01</x:v>
      </x:c>
      <x:c r="E249" s="19" t="str">
        <x:v>近江天阳店</x:v>
      </x:c>
      <x:c r="F249" s="19" t="str">
        <x:v>堂食</x:v>
      </x:c>
      <x:c r="G249" s="19" t="str">
        <x:v>全日</x:v>
      </x:c>
      <x:c r="H249" s="19" t="str">
        <x:v>D05</x:v>
      </x:c>
      <x:c r="I249" s="19" t="str">
        <x:v>麻婆豆腐</x:v>
      </x:c>
      <x:c r="J249" s="22" t="n">
        <x:f>XLOOKUP(H249,'菜品主数据'!$A$5:$A$24,'菜品主数据'!$D$5:$D$24,0)</x:f>
        <x:v>9.9</x:v>
      </x:c>
      <x:c r="K249" s="31" t="n">
        <x:v>60</x:v>
      </x:c>
      <x:c r="L249" s="35" t="n">
        <x:f>J249*K249</x:f>
        <x:v>594</x:v>
      </x:c>
      <x:c r="M249" s="36" t="n">
        <x:v>0</x:v>
      </x:c>
      <x:c r="N249" s="35" t="n">
        <x:f>L249*M249</x:f>
        <x:v>0</x:v>
      </x:c>
      <x:c r="O249" s="37" t="n">
        <x:v>0</x:v>
      </x:c>
      <x:c r="P249" s="35" t="n">
        <x:f>L249*O249</x:f>
        <x:v>0</x:v>
      </x:c>
      <x:c r="Q249" s="35" t="n">
        <x:v>0</x:v>
      </x:c>
      <x:c r="R249" s="35" t="n">
        <x:f>K249*Q249</x:f>
        <x:v>0</x:v>
      </x:c>
      <x:c r="S249" s="35" t="n">
        <x:f>XLOOKUP(H249,'菜品主数据'!$A$5:$A$24,'菜品主数据'!$G$5:$G$24,0)</x:f>
        <x:v>5.367000000000001</x:v>
      </x:c>
      <x:c r="T249" s="35" t="n">
        <x:f>K249*S249</x:f>
        <x:v>322.02000000000004</x:v>
      </x:c>
      <x:c r="U249" s="35" t="n">
        <x:f>L249-N249-P249-R249-T249</x:f>
        <x:v>271.97999999999996</x:v>
      </x:c>
      <x:c r="V249" s="21" t="n">
        <x:f>IFERROR(U249/L249,0)</x:f>
        <x:v>0.45787878787878783</x:v>
      </x:c>
    </x:row>
    <x:row r="250">
      <x:c r="A250" s="19" t="str">
        <x:v>SALE-00246</x:v>
      </x:c>
      <x:c r="B250" s="34" t="n">
        <x:v>46216.5</x:v>
      </x:c>
      <x:c r="C250" s="19" t="str">
        <x:v>周一</x:v>
      </x:c>
      <x:c r="D250" s="19" t="str">
        <x:v>S01</x:v>
      </x:c>
      <x:c r="E250" s="19" t="str">
        <x:v>近江天阳店</x:v>
      </x:c>
      <x:c r="F250" s="19" t="str">
        <x:v>堂食</x:v>
      </x:c>
      <x:c r="G250" s="19" t="str">
        <x:v>全日</x:v>
      </x:c>
      <x:c r="H250" s="19" t="str">
        <x:v>D06</x:v>
      </x:c>
      <x:c r="I250" s="19" t="str">
        <x:v>剁椒鱼头</x:v>
      </x:c>
      <x:c r="J250" s="22" t="n">
        <x:f>XLOOKUP(H250,'菜品主数据'!$A$5:$A$24,'菜品主数据'!$D$5:$D$24,0)</x:f>
        <x:v>39</x:v>
      </x:c>
      <x:c r="K250" s="31" t="n">
        <x:v>14</x:v>
      </x:c>
      <x:c r="L250" s="35" t="n">
        <x:f>J250*K250</x:f>
        <x:v>546</x:v>
      </x:c>
      <x:c r="M250" s="36" t="n">
        <x:v>0</x:v>
      </x:c>
      <x:c r="N250" s="35" t="n">
        <x:f>L250*M250</x:f>
        <x:v>0</x:v>
      </x:c>
      <x:c r="O250" s="37" t="n">
        <x:v>0</x:v>
      </x:c>
      <x:c r="P250" s="35" t="n">
        <x:f>L250*O250</x:f>
        <x:v>0</x:v>
      </x:c>
      <x:c r="Q250" s="35" t="n">
        <x:v>0</x:v>
      </x:c>
      <x:c r="R250" s="35" t="n">
        <x:f>K250*Q250</x:f>
        <x:v>0</x:v>
      </x:c>
      <x:c r="S250" s="35" t="n">
        <x:f>XLOOKUP(H250,'菜品主数据'!$A$5:$A$24,'菜品主数据'!$G$5:$G$24,0)</x:f>
        <x:v>17.446</x:v>
      </x:c>
      <x:c r="T250" s="35" t="n">
        <x:f>K250*S250</x:f>
        <x:v>244.24400000000003</x:v>
      </x:c>
      <x:c r="U250" s="35" t="n">
        <x:f>L250-N250-P250-R250-T250</x:f>
        <x:v>301.756</x:v>
      </x:c>
      <x:c r="V250" s="21" t="n">
        <x:f>IFERROR(U250/L250,0)</x:f>
        <x:v>0.5526666666666666</x:v>
      </x:c>
    </x:row>
    <x:row r="251">
      <x:c r="A251" s="19" t="str">
        <x:v>SALE-00247</x:v>
      </x:c>
      <x:c r="B251" s="34" t="n">
        <x:v>46216.5</x:v>
      </x:c>
      <x:c r="C251" s="19" t="str">
        <x:v>周一</x:v>
      </x:c>
      <x:c r="D251" s="19" t="str">
        <x:v>S01</x:v>
      </x:c>
      <x:c r="E251" s="19" t="str">
        <x:v>近江天阳店</x:v>
      </x:c>
      <x:c r="F251" s="19" t="str">
        <x:v>堂食</x:v>
      </x:c>
      <x:c r="G251" s="19" t="str">
        <x:v>全日</x:v>
      </x:c>
      <x:c r="H251" s="19" t="str">
        <x:v>D07</x:v>
      </x:c>
      <x:c r="I251" s="19" t="str">
        <x:v>川味回锅肉</x:v>
      </x:c>
      <x:c r="J251" s="22" t="n">
        <x:f>XLOOKUP(H251,'菜品主数据'!$A$5:$A$24,'菜品主数据'!$D$5:$D$24,0)</x:f>
        <x:v>29</x:v>
      </x:c>
      <x:c r="K251" s="31" t="n">
        <x:v>17</x:v>
      </x:c>
      <x:c r="L251" s="35" t="n">
        <x:f>J251*K251</x:f>
        <x:v>493</x:v>
      </x:c>
      <x:c r="M251" s="36" t="n">
        <x:v>0</x:v>
      </x:c>
      <x:c r="N251" s="35" t="n">
        <x:f>L251*M251</x:f>
        <x:v>0</x:v>
      </x:c>
      <x:c r="O251" s="37" t="n">
        <x:v>0</x:v>
      </x:c>
      <x:c r="P251" s="35" t="n">
        <x:f>L251*O251</x:f>
        <x:v>0</x:v>
      </x:c>
      <x:c r="Q251" s="35" t="n">
        <x:v>0</x:v>
      </x:c>
      <x:c r="R251" s="35" t="n">
        <x:f>K251*Q251</x:f>
        <x:v>0</x:v>
      </x:c>
      <x:c r="S251" s="35" t="n">
        <x:f>XLOOKUP(H251,'菜品主数据'!$A$5:$A$24,'菜品主数据'!$G$5:$G$24,0)</x:f>
        <x:v>10.231000000000002</x:v>
      </x:c>
      <x:c r="T251" s="35" t="n">
        <x:f>K251*S251</x:f>
        <x:v>173.92700000000002</x:v>
      </x:c>
      <x:c r="U251" s="35" t="n">
        <x:f>L251-N251-P251-R251-T251</x:f>
        <x:v>319.073</x:v>
      </x:c>
      <x:c r="V251" s="21" t="n">
        <x:f>IFERROR(U251/L251,0)</x:f>
        <x:v>0.6472068965517241</x:v>
      </x:c>
    </x:row>
    <x:row r="252">
      <x:c r="A252" s="19" t="str">
        <x:v>SALE-00248</x:v>
      </x:c>
      <x:c r="B252" s="34" t="n">
        <x:v>46216.5</x:v>
      </x:c>
      <x:c r="C252" s="19" t="str">
        <x:v>周一</x:v>
      </x:c>
      <x:c r="D252" s="19" t="str">
        <x:v>S01</x:v>
      </x:c>
      <x:c r="E252" s="19" t="str">
        <x:v>近江天阳店</x:v>
      </x:c>
      <x:c r="F252" s="19" t="str">
        <x:v>堂食</x:v>
      </x:c>
      <x:c r="G252" s="19" t="str">
        <x:v>全日</x:v>
      </x:c>
      <x:c r="H252" s="19" t="str">
        <x:v>D08</x:v>
      </x:c>
      <x:c r="I252" s="19" t="str">
        <x:v>生炒清远鸡</x:v>
      </x:c>
      <x:c r="J252" s="22" t="n">
        <x:f>XLOOKUP(H252,'菜品主数据'!$A$5:$A$24,'菜品主数据'!$D$5:$D$24,0)</x:f>
        <x:v>36</x:v>
      </x:c>
      <x:c r="K252" s="31" t="n">
        <x:v>13</x:v>
      </x:c>
      <x:c r="L252" s="35" t="n">
        <x:f>J252*K252</x:f>
        <x:v>468</x:v>
      </x:c>
      <x:c r="M252" s="36" t="n">
        <x:v>0</x:v>
      </x:c>
      <x:c r="N252" s="35" t="n">
        <x:f>L252*M252</x:f>
        <x:v>0</x:v>
      </x:c>
      <x:c r="O252" s="37" t="n">
        <x:v>0</x:v>
      </x:c>
      <x:c r="P252" s="35" t="n">
        <x:f>L252*O252</x:f>
        <x:v>0</x:v>
      </x:c>
      <x:c r="Q252" s="35" t="n">
        <x:v>0</x:v>
      </x:c>
      <x:c r="R252" s="35" t="n">
        <x:f>K252*Q252</x:f>
        <x:v>0</x:v>
      </x:c>
      <x:c r="S252" s="35" t="n">
        <x:f>XLOOKUP(H252,'菜品主数据'!$A$5:$A$24,'菜品主数据'!$G$5:$G$24,0)</x:f>
        <x:v>13.48</x:v>
      </x:c>
      <x:c r="T252" s="35" t="n">
        <x:f>K252*S252</x:f>
        <x:v>175.24</x:v>
      </x:c>
      <x:c r="U252" s="35" t="n">
        <x:f>L252-N252-P252-R252-T252</x:f>
        <x:v>292.76</x:v>
      </x:c>
      <x:c r="V252" s="21" t="n">
        <x:f>IFERROR(U252/L252,0)</x:f>
        <x:v>0.6255555555555555</x:v>
      </x:c>
    </x:row>
    <x:row r="253">
      <x:c r="A253" s="19" t="str">
        <x:v>SALE-00249</x:v>
      </x:c>
      <x:c r="B253" s="34" t="n">
        <x:v>46216.5</x:v>
      </x:c>
      <x:c r="C253" s="19" t="str">
        <x:v>周一</x:v>
      </x:c>
      <x:c r="D253" s="19" t="str">
        <x:v>S01</x:v>
      </x:c>
      <x:c r="E253" s="19" t="str">
        <x:v>近江天阳店</x:v>
      </x:c>
      <x:c r="F253" s="19" t="str">
        <x:v>堂食</x:v>
      </x:c>
      <x:c r="G253" s="19" t="str">
        <x:v>全日</x:v>
      </x:c>
      <x:c r="H253" s="19" t="str">
        <x:v>D09</x:v>
      </x:c>
      <x:c r="I253" s="19" t="str">
        <x:v>炒豆干</x:v>
      </x:c>
      <x:c r="J253" s="22" t="n">
        <x:f>XLOOKUP(H253,'菜品主数据'!$A$5:$A$24,'菜品主数据'!$D$5:$D$24,0)</x:f>
        <x:v>18</x:v>
      </x:c>
      <x:c r="K253" s="31" t="n">
        <x:v>19</x:v>
      </x:c>
      <x:c r="L253" s="35" t="n">
        <x:f>J253*K253</x:f>
        <x:v>342</x:v>
      </x:c>
      <x:c r="M253" s="36" t="n">
        <x:v>0</x:v>
      </x:c>
      <x:c r="N253" s="35" t="n">
        <x:f>L253*M253</x:f>
        <x:v>0</x:v>
      </x:c>
      <x:c r="O253" s="37" t="n">
        <x:v>0</x:v>
      </x:c>
      <x:c r="P253" s="35" t="n">
        <x:f>L253*O253</x:f>
        <x:v>0</x:v>
      </x:c>
      <x:c r="Q253" s="35" t="n">
        <x:v>0</x:v>
      </x:c>
      <x:c r="R253" s="35" t="n">
        <x:f>K253*Q253</x:f>
        <x:v>0</x:v>
      </x:c>
      <x:c r="S253" s="35" t="n">
        <x:f>XLOOKUP(H253,'菜品主数据'!$A$5:$A$24,'菜品主数据'!$G$5:$G$24,0)</x:f>
        <x:v>6.613999999999999</x:v>
      </x:c>
      <x:c r="T253" s="35" t="n">
        <x:f>K253*S253</x:f>
        <x:v>125.66599999999998</x:v>
      </x:c>
      <x:c r="U253" s="35" t="n">
        <x:f>L253-N253-P253-R253-T253</x:f>
        <x:v>216.334</x:v>
      </x:c>
      <x:c r="V253" s="21" t="n">
        <x:f>IFERROR(U253/L253,0)</x:f>
        <x:v>0.6325555555555555</x:v>
      </x:c>
    </x:row>
    <x:row r="254">
      <x:c r="A254" s="19" t="str">
        <x:v>SALE-00250</x:v>
      </x:c>
      <x:c r="B254" s="34" t="n">
        <x:v>46216.5</x:v>
      </x:c>
      <x:c r="C254" s="19" t="str">
        <x:v>周一</x:v>
      </x:c>
      <x:c r="D254" s="19" t="str">
        <x:v>S01</x:v>
      </x:c>
      <x:c r="E254" s="19" t="str">
        <x:v>近江天阳店</x:v>
      </x:c>
      <x:c r="F254" s="19" t="str">
        <x:v>堂食</x:v>
      </x:c>
      <x:c r="G254" s="19" t="str">
        <x:v>全日</x:v>
      </x:c>
      <x:c r="H254" s="19" t="str">
        <x:v>D10</x:v>
      </x:c>
      <x:c r="I254" s="19" t="str">
        <x:v>农家一碗香</x:v>
      </x:c>
      <x:c r="J254" s="22" t="n">
        <x:f>XLOOKUP(H254,'菜品主数据'!$A$5:$A$24,'菜品主数据'!$D$5:$D$24,0)</x:f>
        <x:v>22.9</x:v>
      </x:c>
      <x:c r="K254" s="31" t="n">
        <x:v>19</x:v>
      </x:c>
      <x:c r="L254" s="35" t="n">
        <x:f>J254*K254</x:f>
        <x:v>435.09999999999997</x:v>
      </x:c>
      <x:c r="M254" s="36" t="n">
        <x:v>0</x:v>
      </x:c>
      <x:c r="N254" s="35" t="n">
        <x:f>L254*M254</x:f>
        <x:v>0</x:v>
      </x:c>
      <x:c r="O254" s="37" t="n">
        <x:v>0</x:v>
      </x:c>
      <x:c r="P254" s="35" t="n">
        <x:f>L254*O254</x:f>
        <x:v>0</x:v>
      </x:c>
      <x:c r="Q254" s="35" t="n">
        <x:v>0</x:v>
      </x:c>
      <x:c r="R254" s="35" t="n">
        <x:f>K254*Q254</x:f>
        <x:v>0</x:v>
      </x:c>
      <x:c r="S254" s="35" t="n">
        <x:f>XLOOKUP(H254,'菜品主数据'!$A$5:$A$24,'菜品主数据'!$G$5:$G$24,0)</x:f>
        <x:v>9.770200000000003</x:v>
      </x:c>
      <x:c r="T254" s="35" t="n">
        <x:f>K254*S254</x:f>
        <x:v>185.63380000000006</x:v>
      </x:c>
      <x:c r="U254" s="35" t="n">
        <x:f>L254-N254-P254-R254-T254</x:f>
        <x:v>249.4661999999999</x:v>
      </x:c>
      <x:c r="V254" s="21" t="n">
        <x:f>IFERROR(U254/L254,0)</x:f>
        <x:v>0.5733537117903929</x:v>
      </x:c>
    </x:row>
    <x:row r="255">
      <x:c r="A255" s="19" t="str">
        <x:v>SALE-00251</x:v>
      </x:c>
      <x:c r="B255" s="34" t="n">
        <x:v>46216.5</x:v>
      </x:c>
      <x:c r="C255" s="19" t="str">
        <x:v>周一</x:v>
      </x:c>
      <x:c r="D255" s="19" t="str">
        <x:v>S01</x:v>
      </x:c>
      <x:c r="E255" s="19" t="str">
        <x:v>近江天阳店</x:v>
      </x:c>
      <x:c r="F255" s="19" t="str">
        <x:v>堂食</x:v>
      </x:c>
      <x:c r="G255" s="19" t="str">
        <x:v>全日</x:v>
      </x:c>
      <x:c r="H255" s="19" t="str">
        <x:v>D11</x:v>
      </x:c>
      <x:c r="I255" s="19" t="str">
        <x:v>香辣爆肥肠</x:v>
      </x:c>
      <x:c r="J255" s="22" t="n">
        <x:f>XLOOKUP(H255,'菜品主数据'!$A$5:$A$24,'菜品主数据'!$D$5:$D$24,0)</x:f>
        <x:v>39</x:v>
      </x:c>
      <x:c r="K255" s="31" t="n">
        <x:v>9</x:v>
      </x:c>
      <x:c r="L255" s="35" t="n">
        <x:f>J255*K255</x:f>
        <x:v>351</x:v>
      </x:c>
      <x:c r="M255" s="36" t="n">
        <x:v>0</x:v>
      </x:c>
      <x:c r="N255" s="35" t="n">
        <x:f>L255*M255</x:f>
        <x:v>0</x:v>
      </x:c>
      <x:c r="O255" s="37" t="n">
        <x:v>0</x:v>
      </x:c>
      <x:c r="P255" s="35" t="n">
        <x:f>L255*O255</x:f>
        <x:v>0</x:v>
      </x:c>
      <x:c r="Q255" s="35" t="n">
        <x:v>0</x:v>
      </x:c>
      <x:c r="R255" s="35" t="n">
        <x:f>K255*Q255</x:f>
        <x:v>0</x:v>
      </x:c>
      <x:c r="S255" s="35" t="n">
        <x:f>XLOOKUP(H255,'菜品主数据'!$A$5:$A$24,'菜品主数据'!$G$5:$G$24,0)</x:f>
        <x:v>10.397</x:v>
      </x:c>
      <x:c r="T255" s="35" t="n">
        <x:f>K255*S255</x:f>
        <x:v>93.57300000000001</x:v>
      </x:c>
      <x:c r="U255" s="35" t="n">
        <x:f>L255-N255-P255-R255-T255</x:f>
        <x:v>257.427</x:v>
      </x:c>
      <x:c r="V255" s="21" t="n">
        <x:f>IFERROR(U255/L255,0)</x:f>
        <x:v>0.7334102564102565</x:v>
      </x:c>
    </x:row>
    <x:row r="256">
      <x:c r="A256" s="19" t="str">
        <x:v>SALE-00252</x:v>
      </x:c>
      <x:c r="B256" s="34" t="n">
        <x:v>46216.5</x:v>
      </x:c>
      <x:c r="C256" s="19" t="str">
        <x:v>周一</x:v>
      </x:c>
      <x:c r="D256" s="19" t="str">
        <x:v>S01</x:v>
      </x:c>
      <x:c r="E256" s="19" t="str">
        <x:v>近江天阳店</x:v>
      </x:c>
      <x:c r="F256" s="19" t="str">
        <x:v>堂食</x:v>
      </x:c>
      <x:c r="G256" s="19" t="str">
        <x:v>全日</x:v>
      </x:c>
      <x:c r="H256" s="19" t="str">
        <x:v>D12</x:v>
      </x:c>
      <x:c r="I256" s="19" t="str">
        <x:v>清蒸鲈鱼</x:v>
      </x:c>
      <x:c r="J256" s="22" t="n">
        <x:f>XLOOKUP(H256,'菜品主数据'!$A$5:$A$24,'菜品主数据'!$D$5:$D$24,0)</x:f>
        <x:v>39</x:v>
      </x:c>
      <x:c r="K256" s="31" t="n">
        <x:v>8</x:v>
      </x:c>
      <x:c r="L256" s="35" t="n">
        <x:f>J256*K256</x:f>
        <x:v>312</x:v>
      </x:c>
      <x:c r="M256" s="36" t="n">
        <x:v>0</x:v>
      </x:c>
      <x:c r="N256" s="35" t="n">
        <x:f>L256*M256</x:f>
        <x:v>0</x:v>
      </x:c>
      <x:c r="O256" s="37" t="n">
        <x:v>0</x:v>
      </x:c>
      <x:c r="P256" s="35" t="n">
        <x:f>L256*O256</x:f>
        <x:v>0</x:v>
      </x:c>
      <x:c r="Q256" s="35" t="n">
        <x:v>0</x:v>
      </x:c>
      <x:c r="R256" s="35" t="n">
        <x:f>K256*Q256</x:f>
        <x:v>0</x:v>
      </x:c>
      <x:c r="S256" s="35" t="n">
        <x:f>XLOOKUP(H256,'菜品主数据'!$A$5:$A$24,'菜品主数据'!$G$5:$G$24,0)</x:f>
        <x:v>18.874</x:v>
      </x:c>
      <x:c r="T256" s="35" t="n">
        <x:f>K256*S256</x:f>
        <x:v>150.992</x:v>
      </x:c>
      <x:c r="U256" s="35" t="n">
        <x:f>L256-N256-P256-R256-T256</x:f>
        <x:v>161.008</x:v>
      </x:c>
      <x:c r="V256" s="21" t="n">
        <x:f>IFERROR(U256/L256,0)</x:f>
        <x:v>0.516051282051282</x:v>
      </x:c>
    </x:row>
    <x:row r="257">
      <x:c r="A257" s="19" t="str">
        <x:v>SALE-00253</x:v>
      </x:c>
      <x:c r="B257" s="34" t="n">
        <x:v>46216.5</x:v>
      </x:c>
      <x:c r="C257" s="19" t="str">
        <x:v>周一</x:v>
      </x:c>
      <x:c r="D257" s="19" t="str">
        <x:v>S01</x:v>
      </x:c>
      <x:c r="E257" s="19" t="str">
        <x:v>近江天阳店</x:v>
      </x:c>
      <x:c r="F257" s="19" t="str">
        <x:v>堂食</x:v>
      </x:c>
      <x:c r="G257" s="19" t="str">
        <x:v>全日</x:v>
      </x:c>
      <x:c r="H257" s="19" t="str">
        <x:v>D13</x:v>
      </x:c>
      <x:c r="I257" s="19" t="str">
        <x:v>外婆菜炒蛋</x:v>
      </x:c>
      <x:c r="J257" s="22" t="n">
        <x:f>XLOOKUP(H257,'菜品主数据'!$A$5:$A$24,'菜品主数据'!$D$5:$D$24,0)</x:f>
        <x:v>18</x:v>
      </x:c>
      <x:c r="K257" s="31" t="n">
        <x:v>19</x:v>
      </x:c>
      <x:c r="L257" s="35" t="n">
        <x:f>J257*K257</x:f>
        <x:v>342</x:v>
      </x:c>
      <x:c r="M257" s="36" t="n">
        <x:v>0</x:v>
      </x:c>
      <x:c r="N257" s="35" t="n">
        <x:f>L257*M257</x:f>
        <x:v>0</x:v>
      </x:c>
      <x:c r="O257" s="37" t="n">
        <x:v>0</x:v>
      </x:c>
      <x:c r="P257" s="35" t="n">
        <x:f>L257*O257</x:f>
        <x:v>0</x:v>
      </x:c>
      <x:c r="Q257" s="35" t="n">
        <x:v>0</x:v>
      </x:c>
      <x:c r="R257" s="35" t="n">
        <x:f>K257*Q257</x:f>
        <x:v>0</x:v>
      </x:c>
      <x:c r="S257" s="35" t="n">
        <x:f>XLOOKUP(H257,'菜品主数据'!$A$5:$A$24,'菜品主数据'!$G$5:$G$24,0)</x:f>
        <x:v>5.403999999999999</x:v>
      </x:c>
      <x:c r="T257" s="35" t="n">
        <x:f>K257*S257</x:f>
        <x:v>102.67599999999999</x:v>
      </x:c>
      <x:c r="U257" s="35" t="n">
        <x:f>L257-N257-P257-R257-T257</x:f>
        <x:v>239.324</x:v>
      </x:c>
      <x:c r="V257" s="21" t="n">
        <x:f>IFERROR(U257/L257,0)</x:f>
        <x:v>0.6997777777777778</x:v>
      </x:c>
    </x:row>
    <x:row r="258">
      <x:c r="A258" s="19" t="str">
        <x:v>SALE-00254</x:v>
      </x:c>
      <x:c r="B258" s="34" t="n">
        <x:v>46216.5</x:v>
      </x:c>
      <x:c r="C258" s="19" t="str">
        <x:v>周一</x:v>
      </x:c>
      <x:c r="D258" s="19" t="str">
        <x:v>S01</x:v>
      </x:c>
      <x:c r="E258" s="19" t="str">
        <x:v>近江天阳店</x:v>
      </x:c>
      <x:c r="F258" s="19" t="str">
        <x:v>堂食</x:v>
      </x:c>
      <x:c r="G258" s="19" t="str">
        <x:v>全日</x:v>
      </x:c>
      <x:c r="H258" s="19" t="str">
        <x:v>D14</x:v>
      </x:c>
      <x:c r="I258" s="19" t="str">
        <x:v>酸辣鸡杂</x:v>
      </x:c>
      <x:c r="J258" s="22" t="n">
        <x:f>XLOOKUP(H258,'菜品主数据'!$A$5:$A$24,'菜品主数据'!$D$5:$D$24,0)</x:f>
        <x:v>28</x:v>
      </x:c>
      <x:c r="K258" s="31" t="n">
        <x:v>11</x:v>
      </x:c>
      <x:c r="L258" s="35" t="n">
        <x:f>J258*K258</x:f>
        <x:v>308</x:v>
      </x:c>
      <x:c r="M258" s="36" t="n">
        <x:v>0</x:v>
      </x:c>
      <x:c r="N258" s="35" t="n">
        <x:f>L258*M258</x:f>
        <x:v>0</x:v>
      </x:c>
      <x:c r="O258" s="37" t="n">
        <x:v>0</x:v>
      </x:c>
      <x:c r="P258" s="35" t="n">
        <x:f>L258*O258</x:f>
        <x:v>0</x:v>
      </x:c>
      <x:c r="Q258" s="35" t="n">
        <x:v>0</x:v>
      </x:c>
      <x:c r="R258" s="35" t="n">
        <x:f>K258*Q258</x:f>
        <x:v>0</x:v>
      </x:c>
      <x:c r="S258" s="35" t="n">
        <x:f>XLOOKUP(H258,'菜品主数据'!$A$5:$A$24,'菜品主数据'!$G$5:$G$24,0)</x:f>
        <x:v>8.315000000000001</x:v>
      </x:c>
      <x:c r="T258" s="35" t="n">
        <x:f>K258*S258</x:f>
        <x:v>91.46500000000002</x:v>
      </x:c>
      <x:c r="U258" s="35" t="n">
        <x:f>L258-N258-P258-R258-T258</x:f>
        <x:v>216.53499999999997</x:v>
      </x:c>
      <x:c r="V258" s="21" t="n">
        <x:f>IFERROR(U258/L258,0)</x:f>
        <x:v>0.7030357142857142</x:v>
      </x:c>
    </x:row>
    <x:row r="259">
      <x:c r="A259" s="19" t="str">
        <x:v>SALE-00255</x:v>
      </x:c>
      <x:c r="B259" s="34" t="n">
        <x:v>46216.5</x:v>
      </x:c>
      <x:c r="C259" s="19" t="str">
        <x:v>周一</x:v>
      </x:c>
      <x:c r="D259" s="19" t="str">
        <x:v>S01</x:v>
      </x:c>
      <x:c r="E259" s="19" t="str">
        <x:v>近江天阳店</x:v>
      </x:c>
      <x:c r="F259" s="19" t="str">
        <x:v>堂食</x:v>
      </x:c>
      <x:c r="G259" s="19" t="str">
        <x:v>全日</x:v>
      </x:c>
      <x:c r="H259" s="19" t="str">
        <x:v>D15</x:v>
      </x:c>
      <x:c r="I259" s="19" t="str">
        <x:v>湘西土匪猪肝</x:v>
      </x:c>
      <x:c r="J259" s="22" t="n">
        <x:f>XLOOKUP(H259,'菜品主数据'!$A$5:$A$24,'菜品主数据'!$D$5:$D$24,0)</x:f>
        <x:v>26</x:v>
      </x:c>
      <x:c r="K259" s="31" t="n">
        <x:v>9</x:v>
      </x:c>
      <x:c r="L259" s="35" t="n">
        <x:f>J259*K259</x:f>
        <x:v>234</x:v>
      </x:c>
      <x:c r="M259" s="36" t="n">
        <x:v>0</x:v>
      </x:c>
      <x:c r="N259" s="35" t="n">
        <x:f>L259*M259</x:f>
        <x:v>0</x:v>
      </x:c>
      <x:c r="O259" s="37" t="n">
        <x:v>0</x:v>
      </x:c>
      <x:c r="P259" s="35" t="n">
        <x:f>L259*O259</x:f>
        <x:v>0</x:v>
      </x:c>
      <x:c r="Q259" s="35" t="n">
        <x:v>0</x:v>
      </x:c>
      <x:c r="R259" s="35" t="n">
        <x:f>K259*Q259</x:f>
        <x:v>0</x:v>
      </x:c>
      <x:c r="S259" s="35" t="n">
        <x:f>XLOOKUP(H259,'菜品主数据'!$A$5:$A$24,'菜品主数据'!$G$5:$G$24,0)</x:f>
        <x:v>6.3759999999999994</x:v>
      </x:c>
      <x:c r="T259" s="35" t="n">
        <x:f>K259*S259</x:f>
        <x:v>57.38399999999999</x:v>
      </x:c>
      <x:c r="U259" s="35" t="n">
        <x:f>L259-N259-P259-R259-T259</x:f>
        <x:v>176.616</x:v>
      </x:c>
      <x:c r="V259" s="21" t="n">
        <x:f>IFERROR(U259/L259,0)</x:f>
        <x:v>0.7547692307692309</x:v>
      </x:c>
    </x:row>
    <x:row r="260">
      <x:c r="A260" s="19" t="str">
        <x:v>SALE-00256</x:v>
      </x:c>
      <x:c r="B260" s="34" t="n">
        <x:v>46216.5</x:v>
      </x:c>
      <x:c r="C260" s="19" t="str">
        <x:v>周一</x:v>
      </x:c>
      <x:c r="D260" s="19" t="str">
        <x:v>S01</x:v>
      </x:c>
      <x:c r="E260" s="19" t="str">
        <x:v>近江天阳店</x:v>
      </x:c>
      <x:c r="F260" s="19" t="str">
        <x:v>堂食</x:v>
      </x:c>
      <x:c r="G260" s="19" t="str">
        <x:v>全日</x:v>
      </x:c>
      <x:c r="H260" s="19" t="str">
        <x:v>D16</x:v>
      </x:c>
      <x:c r="I260" s="19" t="str">
        <x:v>小豆角炒五花</x:v>
      </x:c>
      <x:c r="J260" s="22" t="n">
        <x:f>XLOOKUP(H260,'菜品主数据'!$A$5:$A$24,'菜品主数据'!$D$5:$D$24,0)</x:f>
        <x:v>25</x:v>
      </x:c>
      <x:c r="K260" s="31" t="n">
        <x:v>8</x:v>
      </x:c>
      <x:c r="L260" s="35" t="n">
        <x:f>J260*K260</x:f>
        <x:v>200</x:v>
      </x:c>
      <x:c r="M260" s="36" t="n">
        <x:v>0</x:v>
      </x:c>
      <x:c r="N260" s="35" t="n">
        <x:f>L260*M260</x:f>
        <x:v>0</x:v>
      </x:c>
      <x:c r="O260" s="37" t="n">
        <x:v>0</x:v>
      </x:c>
      <x:c r="P260" s="35" t="n">
        <x:f>L260*O260</x:f>
        <x:v>0</x:v>
      </x:c>
      <x:c r="Q260" s="35" t="n">
        <x:v>0</x:v>
      </x:c>
      <x:c r="R260" s="35" t="n">
        <x:f>K260*Q260</x:f>
        <x:v>0</x:v>
      </x:c>
      <x:c r="S260" s="35" t="n">
        <x:f>XLOOKUP(H260,'菜品主数据'!$A$5:$A$24,'菜品主数据'!$G$5:$G$24,0)</x:f>
        <x:v>8.184</x:v>
      </x:c>
      <x:c r="T260" s="35" t="n">
        <x:f>K260*S260</x:f>
        <x:v>65.472</x:v>
      </x:c>
      <x:c r="U260" s="35" t="n">
        <x:f>L260-N260-P260-R260-T260</x:f>
        <x:v>134.52800000000002</x:v>
      </x:c>
      <x:c r="V260" s="21" t="n">
        <x:f>IFERROR(U260/L260,0)</x:f>
        <x:v>0.6726400000000001</x:v>
      </x:c>
    </x:row>
    <x:row r="261">
      <x:c r="A261" s="19" t="str">
        <x:v>SALE-00257</x:v>
      </x:c>
      <x:c r="B261" s="34" t="n">
        <x:v>46216.5</x:v>
      </x:c>
      <x:c r="C261" s="19" t="str">
        <x:v>周一</x:v>
      </x:c>
      <x:c r="D261" s="19" t="str">
        <x:v>S01</x:v>
      </x:c>
      <x:c r="E261" s="19" t="str">
        <x:v>近江天阳店</x:v>
      </x:c>
      <x:c r="F261" s="19" t="str">
        <x:v>堂食</x:v>
      </x:c>
      <x:c r="G261" s="19" t="str">
        <x:v>全日</x:v>
      </x:c>
      <x:c r="H261" s="19" t="str">
        <x:v>D17</x:v>
      </x:c>
      <x:c r="I261" s="19" t="str">
        <x:v>蒜蓉粉丝虾</x:v>
      </x:c>
      <x:c r="J261" s="22" t="n">
        <x:f>XLOOKUP(H261,'菜品主数据'!$A$5:$A$24,'菜品主数据'!$D$5:$D$24,0)</x:f>
        <x:v>36</x:v>
      </x:c>
      <x:c r="K261" s="31" t="n">
        <x:v>6</x:v>
      </x:c>
      <x:c r="L261" s="35" t="n">
        <x:f>J261*K261</x:f>
        <x:v>216</x:v>
      </x:c>
      <x:c r="M261" s="36" t="n">
        <x:v>0</x:v>
      </x:c>
      <x:c r="N261" s="35" t="n">
        <x:f>L261*M261</x:f>
        <x:v>0</x:v>
      </x:c>
      <x:c r="O261" s="37" t="n">
        <x:v>0</x:v>
      </x:c>
      <x:c r="P261" s="35" t="n">
        <x:f>L261*O261</x:f>
        <x:v>0</x:v>
      </x:c>
      <x:c r="Q261" s="35" t="n">
        <x:v>0</x:v>
      </x:c>
      <x:c r="R261" s="35" t="n">
        <x:f>K261*Q261</x:f>
        <x:v>0</x:v>
      </x:c>
      <x:c r="S261" s="35" t="n">
        <x:f>XLOOKUP(H261,'菜品主数据'!$A$5:$A$24,'菜品主数据'!$G$5:$G$24,0)</x:f>
        <x:v>13.594</x:v>
      </x:c>
      <x:c r="T261" s="35" t="n">
        <x:f>K261*S261</x:f>
        <x:v>81.564</x:v>
      </x:c>
      <x:c r="U261" s="35" t="n">
        <x:f>L261-N261-P261-R261-T261</x:f>
        <x:v>134.436</x:v>
      </x:c>
      <x:c r="V261" s="21" t="n">
        <x:f>IFERROR(U261/L261,0)</x:f>
        <x:v>0.6223888888888889</x:v>
      </x:c>
    </x:row>
    <x:row r="262">
      <x:c r="A262" s="19" t="str">
        <x:v>SALE-00258</x:v>
      </x:c>
      <x:c r="B262" s="34" t="n">
        <x:v>46216.5</x:v>
      </x:c>
      <x:c r="C262" s="19" t="str">
        <x:v>周一</x:v>
      </x:c>
      <x:c r="D262" s="19" t="str">
        <x:v>S01</x:v>
      </x:c>
      <x:c r="E262" s="19" t="str">
        <x:v>近江天阳店</x:v>
      </x:c>
      <x:c r="F262" s="19" t="str">
        <x:v>堂食</x:v>
      </x:c>
      <x:c r="G262" s="19" t="str">
        <x:v>全日</x:v>
      </x:c>
      <x:c r="H262" s="19" t="str">
        <x:v>D18</x:v>
      </x:c>
      <x:c r="I262" s="19" t="str">
        <x:v>青椒炒油麦菜</x:v>
      </x:c>
      <x:c r="J262" s="22" t="n">
        <x:f>XLOOKUP(H262,'菜品主数据'!$A$5:$A$24,'菜品主数据'!$D$5:$D$24,0)</x:f>
        <x:v>18</x:v>
      </x:c>
      <x:c r="K262" s="31" t="n">
        <x:v>11</x:v>
      </x:c>
      <x:c r="L262" s="35" t="n">
        <x:f>J262*K262</x:f>
        <x:v>198</x:v>
      </x:c>
      <x:c r="M262" s="36" t="n">
        <x:v>0</x:v>
      </x:c>
      <x:c r="N262" s="35" t="n">
        <x:f>L262*M262</x:f>
        <x:v>0</x:v>
      </x:c>
      <x:c r="O262" s="37" t="n">
        <x:v>0</x:v>
      </x:c>
      <x:c r="P262" s="35" t="n">
        <x:f>L262*O262</x:f>
        <x:v>0</x:v>
      </x:c>
      <x:c r="Q262" s="35" t="n">
        <x:v>0</x:v>
      </x:c>
      <x:c r="R262" s="35" t="n">
        <x:f>K262*Q262</x:f>
        <x:v>0</x:v>
      </x:c>
      <x:c r="S262" s="35" t="n">
        <x:f>XLOOKUP(H262,'菜品主数据'!$A$5:$A$24,'菜品主数据'!$G$5:$G$24,0)</x:f>
        <x:v>3.1759999999999993</x:v>
      </x:c>
      <x:c r="T262" s="35" t="n">
        <x:f>K262*S262</x:f>
        <x:v>34.93599999999999</x:v>
      </x:c>
      <x:c r="U262" s="35" t="n">
        <x:f>L262-N262-P262-R262-T262</x:f>
        <x:v>163.06400000000002</x:v>
      </x:c>
      <x:c r="V262" s="21" t="n">
        <x:f>IFERROR(U262/L262,0)</x:f>
        <x:v>0.8235555555555557</x:v>
      </x:c>
    </x:row>
    <x:row r="263">
      <x:c r="A263" s="19" t="str">
        <x:v>SALE-00259</x:v>
      </x:c>
      <x:c r="B263" s="34" t="n">
        <x:v>46216.5</x:v>
      </x:c>
      <x:c r="C263" s="19" t="str">
        <x:v>周一</x:v>
      </x:c>
      <x:c r="D263" s="19" t="str">
        <x:v>S01</x:v>
      </x:c>
      <x:c r="E263" s="19" t="str">
        <x:v>近江天阳店</x:v>
      </x:c>
      <x:c r="F263" s="19" t="str">
        <x:v>堂食</x:v>
      </x:c>
      <x:c r="G263" s="19" t="str">
        <x:v>全日</x:v>
      </x:c>
      <x:c r="H263" s="19" t="str">
        <x:v>D19</x:v>
      </x:c>
      <x:c r="I263" s="19" t="str">
        <x:v>酸萝卜炒鸡杂</x:v>
      </x:c>
      <x:c r="J263" s="22" t="n">
        <x:f>XLOOKUP(H263,'菜品主数据'!$A$5:$A$24,'菜品主数据'!$D$5:$D$24,0)</x:f>
        <x:v>25</x:v>
      </x:c>
      <x:c r="K263" s="31" t="n">
        <x:v>7</x:v>
      </x:c>
      <x:c r="L263" s="35" t="n">
        <x:f>J263*K263</x:f>
        <x:v>175</x:v>
      </x:c>
      <x:c r="M263" s="36" t="n">
        <x:v>0</x:v>
      </x:c>
      <x:c r="N263" s="35" t="n">
        <x:f>L263*M263</x:f>
        <x:v>0</x:v>
      </x:c>
      <x:c r="O263" s="37" t="n">
        <x:v>0</x:v>
      </x:c>
      <x:c r="P263" s="35" t="n">
        <x:f>L263*O263</x:f>
        <x:v>0</x:v>
      </x:c>
      <x:c r="Q263" s="35" t="n">
        <x:v>0</x:v>
      </x:c>
      <x:c r="R263" s="35" t="n">
        <x:f>K263*Q263</x:f>
        <x:v>0</x:v>
      </x:c>
      <x:c r="S263" s="35" t="n">
        <x:f>XLOOKUP(H263,'菜品主数据'!$A$5:$A$24,'菜品主数据'!$G$5:$G$24,0)</x:f>
        <x:v>7.9399999999999995</x:v>
      </x:c>
      <x:c r="T263" s="35" t="n">
        <x:f>K263*S263</x:f>
        <x:v>55.58</x:v>
      </x:c>
      <x:c r="U263" s="35" t="n">
        <x:f>L263-N263-P263-R263-T263</x:f>
        <x:v>119.42</x:v>
      </x:c>
      <x:c r="V263" s="21" t="n">
        <x:f>IFERROR(U263/L263,0)</x:f>
        <x:v>0.6824</x:v>
      </x:c>
    </x:row>
    <x:row r="264">
      <x:c r="A264" s="19" t="str">
        <x:v>SALE-00260</x:v>
      </x:c>
      <x:c r="B264" s="34" t="n">
        <x:v>46216.5</x:v>
      </x:c>
      <x:c r="C264" s="19" t="str">
        <x:v>周一</x:v>
      </x:c>
      <x:c r="D264" s="19" t="str">
        <x:v>S01</x:v>
      </x:c>
      <x:c r="E264" s="19" t="str">
        <x:v>近江天阳店</x:v>
      </x:c>
      <x:c r="F264" s="19" t="str">
        <x:v>堂食</x:v>
      </x:c>
      <x:c r="G264" s="19" t="str">
        <x:v>全日</x:v>
      </x:c>
      <x:c r="H264" s="19" t="str">
        <x:v>D20</x:v>
      </x:c>
      <x:c r="I264" s="19" t="str">
        <x:v>雪菜肉末青豆</x:v>
      </x:c>
      <x:c r="J264" s="22" t="n">
        <x:f>XLOOKUP(H264,'菜品主数据'!$A$5:$A$24,'菜品主数据'!$D$5:$D$24,0)</x:f>
        <x:v>18</x:v>
      </x:c>
      <x:c r="K264" s="31" t="n">
        <x:v>10</x:v>
      </x:c>
      <x:c r="L264" s="35" t="n">
        <x:f>J264*K264</x:f>
        <x:v>180</x:v>
      </x:c>
      <x:c r="M264" s="36" t="n">
        <x:v>0</x:v>
      </x:c>
      <x:c r="N264" s="35" t="n">
        <x:f>L264*M264</x:f>
        <x:v>0</x:v>
      </x:c>
      <x:c r="O264" s="37" t="n">
        <x:v>0</x:v>
      </x:c>
      <x:c r="P264" s="35" t="n">
        <x:f>L264*O264</x:f>
        <x:v>0</x:v>
      </x:c>
      <x:c r="Q264" s="35" t="n">
        <x:v>0</x:v>
      </x:c>
      <x:c r="R264" s="35" t="n">
        <x:f>K264*Q264</x:f>
        <x:v>0</x:v>
      </x:c>
      <x:c r="S264" s="35" t="n">
        <x:f>XLOOKUP(H264,'菜品主数据'!$A$5:$A$24,'菜品主数据'!$G$5:$G$24,0)</x:f>
        <x:v>7.303999999999999</x:v>
      </x:c>
      <x:c r="T264" s="35" t="n">
        <x:f>K264*S264</x:f>
        <x:v>73.03999999999999</x:v>
      </x:c>
      <x:c r="U264" s="35" t="n">
        <x:f>L264-N264-P264-R264-T264</x:f>
        <x:v>106.96000000000001</x:v>
      </x:c>
      <x:c r="V264" s="21" t="n">
        <x:f>IFERROR(U264/L264,0)</x:f>
        <x:v>0.5942222222222223</x:v>
      </x:c>
    </x:row>
    <x:row r="265">
      <x:c r="A265" s="19" t="str">
        <x:v>SALE-00261</x:v>
      </x:c>
      <x:c r="B265" s="34" t="n">
        <x:v>46216.5</x:v>
      </x:c>
      <x:c r="C265" s="19" t="str">
        <x:v>周一</x:v>
      </x:c>
      <x:c r="D265" s="19" t="str">
        <x:v>S01</x:v>
      </x:c>
      <x:c r="E265" s="19" t="str">
        <x:v>近江天阳店</x:v>
      </x:c>
      <x:c r="F265" s="19" t="str">
        <x:v>外卖</x:v>
      </x:c>
      <x:c r="G265" s="19" t="str">
        <x:v>全日</x:v>
      </x:c>
      <x:c r="H265" s="19" t="str">
        <x:v>D01</x:v>
      </x:c>
      <x:c r="I265" s="19" t="str">
        <x:v>辣椒炒肉</x:v>
      </x:c>
      <x:c r="J265" s="22" t="n">
        <x:f>XLOOKUP(H265,'菜品主数据'!$A$5:$A$24,'菜品主数据'!$D$5:$D$24,0)</x:f>
        <x:v>29</x:v>
      </x:c>
      <x:c r="K265" s="31" t="n">
        <x:v>7</x:v>
      </x:c>
      <x:c r="L265" s="35" t="n">
        <x:f>J265*K265</x:f>
        <x:v>203</x:v>
      </x:c>
      <x:c r="M265" s="36" t="n">
        <x:v>0.08</x:v>
      </x:c>
      <x:c r="N265" s="35" t="n">
        <x:f>L265*M265</x:f>
        <x:v>16.240000000000002</x:v>
      </x:c>
      <x:c r="O265" s="37" t="n">
        <x:v>0.18</x:v>
      </x:c>
      <x:c r="P265" s="35" t="n">
        <x:f>L265*O265</x:f>
        <x:v>36.54</x:v>
      </x:c>
      <x:c r="Q265" s="35" t="n">
        <x:v>1.2</x:v>
      </x:c>
      <x:c r="R265" s="35" t="n">
        <x:f>K265*Q265</x:f>
        <x:v>8.4</x:v>
      </x:c>
      <x:c r="S265" s="35" t="n">
        <x:f>XLOOKUP(H265,'菜品主数据'!$A$5:$A$24,'菜品主数据'!$G$5:$G$24,0)</x:f>
        <x:v>8.634400000000001</x:v>
      </x:c>
      <x:c r="T265" s="35" t="n">
        <x:f>K265*S265</x:f>
        <x:v>60.44080000000001</x:v>
      </x:c>
      <x:c r="U265" s="35" t="n">
        <x:f>L265-N265-P265-R265-T265</x:f>
        <x:v>81.37919999999998</x:v>
      </x:c>
      <x:c r="V265" s="21" t="n">
        <x:f>IFERROR(U265/L265,0)</x:f>
        <x:v>0.40088275862068956</x:v>
      </x:c>
    </x:row>
    <x:row r="266">
      <x:c r="A266" s="19" t="str">
        <x:v>SALE-00262</x:v>
      </x:c>
      <x:c r="B266" s="34" t="n">
        <x:v>46216.5</x:v>
      </x:c>
      <x:c r="C266" s="19" t="str">
        <x:v>周一</x:v>
      </x:c>
      <x:c r="D266" s="19" t="str">
        <x:v>S01</x:v>
      </x:c>
      <x:c r="E266" s="19" t="str">
        <x:v>近江天阳店</x:v>
      </x:c>
      <x:c r="F266" s="19" t="str">
        <x:v>外卖</x:v>
      </x:c>
      <x:c r="G266" s="19" t="str">
        <x:v>全日</x:v>
      </x:c>
      <x:c r="H266" s="19" t="str">
        <x:v>D02</x:v>
      </x:c>
      <x:c r="I266" s="19" t="str">
        <x:v>小炒黄牛肉</x:v>
      </x:c>
      <x:c r="J266" s="22" t="n">
        <x:f>XLOOKUP(H266,'菜品主数据'!$A$5:$A$24,'菜品主数据'!$D$5:$D$24,0)</x:f>
        <x:v>49</x:v>
      </x:c>
      <x:c r="K266" s="31" t="n">
        <x:v>7</x:v>
      </x:c>
      <x:c r="L266" s="35" t="n">
        <x:f>J266*K266</x:f>
        <x:v>343</x:v>
      </x:c>
      <x:c r="M266" s="36" t="n">
        <x:v>0.08</x:v>
      </x:c>
      <x:c r="N266" s="35" t="n">
        <x:f>L266*M266</x:f>
        <x:v>27.44</x:v>
      </x:c>
      <x:c r="O266" s="37" t="n">
        <x:v>0.18</x:v>
      </x:c>
      <x:c r="P266" s="35" t="n">
        <x:f>L266*O266</x:f>
        <x:v>61.739999999999995</x:v>
      </x:c>
      <x:c r="Q266" s="35" t="n">
        <x:v>1.2</x:v>
      </x:c>
      <x:c r="R266" s="35" t="n">
        <x:f>K266*Q266</x:f>
        <x:v>8.4</x:v>
      </x:c>
      <x:c r="S266" s="35" t="n">
        <x:f>XLOOKUP(H266,'菜品主数据'!$A$5:$A$24,'菜品主数据'!$G$5:$G$24,0)</x:f>
        <x:v>17.577</x:v>
      </x:c>
      <x:c r="T266" s="35" t="n">
        <x:f>K266*S266</x:f>
        <x:v>123.03900000000002</x:v>
      </x:c>
      <x:c r="U266" s="35" t="n">
        <x:f>L266-N266-P266-R266-T266</x:f>
        <x:v>122.38099999999997</x:v>
      </x:c>
      <x:c r="V266" s="21" t="n">
        <x:f>IFERROR(U266/L266,0)</x:f>
        <x:v>0.35679591836734686</x:v>
      </x:c>
    </x:row>
    <x:row r="267">
      <x:c r="A267" s="19" t="str">
        <x:v>SALE-00263</x:v>
      </x:c>
      <x:c r="B267" s="34" t="n">
        <x:v>46216.5</x:v>
      </x:c>
      <x:c r="C267" s="19" t="str">
        <x:v>周一</x:v>
      </x:c>
      <x:c r="D267" s="19" t="str">
        <x:v>S01</x:v>
      </x:c>
      <x:c r="E267" s="19" t="str">
        <x:v>近江天阳店</x:v>
      </x:c>
      <x:c r="F267" s="19" t="str">
        <x:v>外卖</x:v>
      </x:c>
      <x:c r="G267" s="19" t="str">
        <x:v>全日</x:v>
      </x:c>
      <x:c r="H267" s="19" t="str">
        <x:v>D03</x:v>
      </x:c>
      <x:c r="I267" s="19" t="str">
        <x:v>香醋炒蛋</x:v>
      </x:c>
      <x:c r="J267" s="22" t="n">
        <x:f>XLOOKUP(H267,'菜品主数据'!$A$5:$A$24,'菜品主数据'!$D$5:$D$24,0)</x:f>
        <x:v>14.9</x:v>
      </x:c>
      <x:c r="K267" s="31" t="n">
        <x:v>5</x:v>
      </x:c>
      <x:c r="L267" s="35" t="n">
        <x:f>J267*K267</x:f>
        <x:v>74.5</x:v>
      </x:c>
      <x:c r="M267" s="36" t="n">
        <x:v>0.08</x:v>
      </x:c>
      <x:c r="N267" s="35" t="n">
        <x:f>L267*M267</x:f>
        <x:v>5.96</x:v>
      </x:c>
      <x:c r="O267" s="37" t="n">
        <x:v>0.18</x:v>
      </x:c>
      <x:c r="P267" s="35" t="n">
        <x:f>L267*O267</x:f>
        <x:v>13.41</x:v>
      </x:c>
      <x:c r="Q267" s="35" t="n">
        <x:v>1.2</x:v>
      </x:c>
      <x:c r="R267" s="35" t="n">
        <x:f>K267*Q267</x:f>
        <x:v>6</x:v>
      </x:c>
      <x:c r="S267" s="35" t="n">
        <x:f>XLOOKUP(H267,'菜品主数据'!$A$5:$A$24,'菜品主数据'!$G$5:$G$24,0)</x:f>
        <x:v>3.7459999999999996</x:v>
      </x:c>
      <x:c r="T267" s="35" t="n">
        <x:f>K267*S267</x:f>
        <x:v>18.729999999999997</x:v>
      </x:c>
      <x:c r="U267" s="35" t="n">
        <x:f>L267-N267-P267-R267-T267</x:f>
        <x:v>30.400000000000013</x:v>
      </x:c>
      <x:c r="V267" s="21" t="n">
        <x:f>IFERROR(U267/L267,0)</x:f>
        <x:v>0.40805369127516794</x:v>
      </x:c>
    </x:row>
    <x:row r="268">
      <x:c r="A268" s="19" t="str">
        <x:v>SALE-00264</x:v>
      </x:c>
      <x:c r="B268" s="34" t="n">
        <x:v>46216.5</x:v>
      </x:c>
      <x:c r="C268" s="19" t="str">
        <x:v>周一</x:v>
      </x:c>
      <x:c r="D268" s="19" t="str">
        <x:v>S01</x:v>
      </x:c>
      <x:c r="E268" s="19" t="str">
        <x:v>近江天阳店</x:v>
      </x:c>
      <x:c r="F268" s="19" t="str">
        <x:v>外卖</x:v>
      </x:c>
      <x:c r="G268" s="19" t="str">
        <x:v>全日</x:v>
      </x:c>
      <x:c r="H268" s="19" t="str">
        <x:v>D04</x:v>
      </x:c>
      <x:c r="I268" s="19" t="str">
        <x:v>酸包菜炒粉皮</x:v>
      </x:c>
      <x:c r="J268" s="22" t="n">
        <x:f>XLOOKUP(H268,'菜品主数据'!$A$5:$A$24,'菜品主数据'!$D$5:$D$24,0)</x:f>
        <x:v>16</x:v>
      </x:c>
      <x:c r="K268" s="31" t="n">
        <x:v>4</x:v>
      </x:c>
      <x:c r="L268" s="35" t="n">
        <x:f>J268*K268</x:f>
        <x:v>64</x:v>
      </x:c>
      <x:c r="M268" s="36" t="n">
        <x:v>0.08</x:v>
      </x:c>
      <x:c r="N268" s="35" t="n">
        <x:f>L268*M268</x:f>
        <x:v>5.12</x:v>
      </x:c>
      <x:c r="O268" s="37" t="n">
        <x:v>0.18</x:v>
      </x:c>
      <x:c r="P268" s="35" t="n">
        <x:f>L268*O268</x:f>
        <x:v>11.52</x:v>
      </x:c>
      <x:c r="Q268" s="35" t="n">
        <x:v>1.2</x:v>
      </x:c>
      <x:c r="R268" s="35" t="n">
        <x:f>K268*Q268</x:f>
        <x:v>4.8</x:v>
      </x:c>
      <x:c r="S268" s="35" t="n">
        <x:f>XLOOKUP(H268,'菜品主数据'!$A$5:$A$24,'菜品主数据'!$G$5:$G$24,0)</x:f>
        <x:v>3.978</x:v>
      </x:c>
      <x:c r="T268" s="35" t="n">
        <x:f>K268*S268</x:f>
        <x:v>15.912</x:v>
      </x:c>
      <x:c r="U268" s="35" t="n">
        <x:f>L268-N268-P268-R268-T268</x:f>
        <x:v>26.648000000000003</x:v>
      </x:c>
      <x:c r="V268" s="21" t="n">
        <x:f>IFERROR(U268/L268,0)</x:f>
        <x:v>0.41637500000000005</x:v>
      </x:c>
    </x:row>
    <x:row r="269">
      <x:c r="A269" s="19" t="str">
        <x:v>SALE-00265</x:v>
      </x:c>
      <x:c r="B269" s="34" t="n">
        <x:v>46216.5</x:v>
      </x:c>
      <x:c r="C269" s="19" t="str">
        <x:v>周一</x:v>
      </x:c>
      <x:c r="D269" s="19" t="str">
        <x:v>S01</x:v>
      </x:c>
      <x:c r="E269" s="19" t="str">
        <x:v>近江天阳店</x:v>
      </x:c>
      <x:c r="F269" s="19" t="str">
        <x:v>外卖</x:v>
      </x:c>
      <x:c r="G269" s="19" t="str">
        <x:v>全日</x:v>
      </x:c>
      <x:c r="H269" s="19" t="str">
        <x:v>D05</x:v>
      </x:c>
      <x:c r="I269" s="19" t="str">
        <x:v>麻婆豆腐</x:v>
      </x:c>
      <x:c r="J269" s="22" t="n">
        <x:f>XLOOKUP(H269,'菜品主数据'!$A$5:$A$24,'菜品主数据'!$D$5:$D$24,0)</x:f>
        <x:v>9.9</x:v>
      </x:c>
      <x:c r="K269" s="31" t="n">
        <x:v>6</x:v>
      </x:c>
      <x:c r="L269" s="35" t="n">
        <x:f>J269*K269</x:f>
        <x:v>59.400000000000006</x:v>
      </x:c>
      <x:c r="M269" s="36" t="n">
        <x:v>0.08</x:v>
      </x:c>
      <x:c r="N269" s="35" t="n">
        <x:f>L269*M269</x:f>
        <x:v>4.752000000000001</x:v>
      </x:c>
      <x:c r="O269" s="37" t="n">
        <x:v>0.18</x:v>
      </x:c>
      <x:c r="P269" s="35" t="n">
        <x:f>L269*O269</x:f>
        <x:v>10.692</x:v>
      </x:c>
      <x:c r="Q269" s="35" t="n">
        <x:v>1.2</x:v>
      </x:c>
      <x:c r="R269" s="35" t="n">
        <x:f>K269*Q269</x:f>
        <x:v>7.199999999999999</x:v>
      </x:c>
      <x:c r="S269" s="35" t="n">
        <x:f>XLOOKUP(H269,'菜品主数据'!$A$5:$A$24,'菜品主数据'!$G$5:$G$24,0)</x:f>
        <x:v>5.367000000000001</x:v>
      </x:c>
      <x:c r="T269" s="35" t="n">
        <x:f>K269*S269</x:f>
        <x:v>32.202000000000005</x:v>
      </x:c>
      <x:c r="U269" s="35" t="n">
        <x:f>L269-N269-P269-R269-T269</x:f>
        <x:v>4.553999999999995</x:v>
      </x:c>
      <x:c r="V269" s="21" t="n">
        <x:f>IFERROR(U269/L269,0)</x:f>
        <x:v>0.07666666666666658</x:v>
      </x:c>
    </x:row>
    <x:row r="270">
      <x:c r="A270" s="19" t="str">
        <x:v>SALE-00266</x:v>
      </x:c>
      <x:c r="B270" s="34" t="n">
        <x:v>46216.5</x:v>
      </x:c>
      <x:c r="C270" s="19" t="str">
        <x:v>周一</x:v>
      </x:c>
      <x:c r="D270" s="19" t="str">
        <x:v>S01</x:v>
      </x:c>
      <x:c r="E270" s="19" t="str">
        <x:v>近江天阳店</x:v>
      </x:c>
      <x:c r="F270" s="19" t="str">
        <x:v>外卖</x:v>
      </x:c>
      <x:c r="G270" s="19" t="str">
        <x:v>全日</x:v>
      </x:c>
      <x:c r="H270" s="19" t="str">
        <x:v>D06</x:v>
      </x:c>
      <x:c r="I270" s="19" t="str">
        <x:v>剁椒鱼头</x:v>
      </x:c>
      <x:c r="J270" s="22" t="n">
        <x:f>XLOOKUP(H270,'菜品主数据'!$A$5:$A$24,'菜品主数据'!$D$5:$D$24,0)</x:f>
        <x:v>39</x:v>
      </x:c>
      <x:c r="K270" s="31" t="n">
        <x:v>1</x:v>
      </x:c>
      <x:c r="L270" s="35" t="n">
        <x:f>J270*K270</x:f>
        <x:v>39</x:v>
      </x:c>
      <x:c r="M270" s="36" t="n">
        <x:v>0.08</x:v>
      </x:c>
      <x:c r="N270" s="35" t="n">
        <x:f>L270*M270</x:f>
        <x:v>3.12</x:v>
      </x:c>
      <x:c r="O270" s="37" t="n">
        <x:v>0.18</x:v>
      </x:c>
      <x:c r="P270" s="35" t="n">
        <x:f>L270*O270</x:f>
        <x:v>7.02</x:v>
      </x:c>
      <x:c r="Q270" s="35" t="n">
        <x:v>1.2</x:v>
      </x:c>
      <x:c r="R270" s="35" t="n">
        <x:f>K270*Q270</x:f>
        <x:v>1.2</x:v>
      </x:c>
      <x:c r="S270" s="35" t="n">
        <x:f>XLOOKUP(H270,'菜品主数据'!$A$5:$A$24,'菜品主数据'!$G$5:$G$24,0)</x:f>
        <x:v>17.446</x:v>
      </x:c>
      <x:c r="T270" s="35" t="n">
        <x:f>K270*S270</x:f>
        <x:v>17.446</x:v>
      </x:c>
      <x:c r="U270" s="35" t="n">
        <x:f>L270-N270-P270-R270-T270</x:f>
        <x:v>10.214000000000002</x:v>
      </x:c>
      <x:c r="V270" s="21" t="n">
        <x:f>IFERROR(U270/L270,0)</x:f>
        <x:v>0.26189743589743597</x:v>
      </x:c>
    </x:row>
    <x:row r="271">
      <x:c r="A271" s="19" t="str">
        <x:v>SALE-00267</x:v>
      </x:c>
      <x:c r="B271" s="34" t="n">
        <x:v>46216.5</x:v>
      </x:c>
      <x:c r="C271" s="19" t="str">
        <x:v>周一</x:v>
      </x:c>
      <x:c r="D271" s="19" t="str">
        <x:v>S01</x:v>
      </x:c>
      <x:c r="E271" s="19" t="str">
        <x:v>近江天阳店</x:v>
      </x:c>
      <x:c r="F271" s="19" t="str">
        <x:v>外卖</x:v>
      </x:c>
      <x:c r="G271" s="19" t="str">
        <x:v>全日</x:v>
      </x:c>
      <x:c r="H271" s="19" t="str">
        <x:v>D07</x:v>
      </x:c>
      <x:c r="I271" s="19" t="str">
        <x:v>川味回锅肉</x:v>
      </x:c>
      <x:c r="J271" s="22" t="n">
        <x:f>XLOOKUP(H271,'菜品主数据'!$A$5:$A$24,'菜品主数据'!$D$5:$D$24,0)</x:f>
        <x:v>29</x:v>
      </x:c>
      <x:c r="K271" s="31" t="n">
        <x:v>2</x:v>
      </x:c>
      <x:c r="L271" s="35" t="n">
        <x:f>J271*K271</x:f>
        <x:v>58</x:v>
      </x:c>
      <x:c r="M271" s="36" t="n">
        <x:v>0.08</x:v>
      </x:c>
      <x:c r="N271" s="35" t="n">
        <x:f>L271*M271</x:f>
        <x:v>4.64</x:v>
      </x:c>
      <x:c r="O271" s="37" t="n">
        <x:v>0.18</x:v>
      </x:c>
      <x:c r="P271" s="35" t="n">
        <x:f>L271*O271</x:f>
        <x:v>10.44</x:v>
      </x:c>
      <x:c r="Q271" s="35" t="n">
        <x:v>1.2</x:v>
      </x:c>
      <x:c r="R271" s="35" t="n">
        <x:f>K271*Q271</x:f>
        <x:v>2.4</x:v>
      </x:c>
      <x:c r="S271" s="35" t="n">
        <x:f>XLOOKUP(H271,'菜品主数据'!$A$5:$A$24,'菜品主数据'!$G$5:$G$24,0)</x:f>
        <x:v>10.231000000000002</x:v>
      </x:c>
      <x:c r="T271" s="35" t="n">
        <x:f>K271*S271</x:f>
        <x:v>20.462000000000003</x:v>
      </x:c>
      <x:c r="U271" s="35" t="n">
        <x:f>L271-N271-P271-R271-T271</x:f>
        <x:v>20.058</x:v>
      </x:c>
      <x:c r="V271" s="21" t="n">
        <x:f>IFERROR(U271/L271,0)</x:f>
        <x:v>0.3458275862068966</x:v>
      </x:c>
    </x:row>
    <x:row r="272">
      <x:c r="A272" s="19" t="str">
        <x:v>SALE-00268</x:v>
      </x:c>
      <x:c r="B272" s="34" t="n">
        <x:v>46216.5</x:v>
      </x:c>
      <x:c r="C272" s="19" t="str">
        <x:v>周一</x:v>
      </x:c>
      <x:c r="D272" s="19" t="str">
        <x:v>S01</x:v>
      </x:c>
      <x:c r="E272" s="19" t="str">
        <x:v>近江天阳店</x:v>
      </x:c>
      <x:c r="F272" s="19" t="str">
        <x:v>外卖</x:v>
      </x:c>
      <x:c r="G272" s="19" t="str">
        <x:v>全日</x:v>
      </x:c>
      <x:c r="H272" s="19" t="str">
        <x:v>D08</x:v>
      </x:c>
      <x:c r="I272" s="19" t="str">
        <x:v>生炒清远鸡</x:v>
      </x:c>
      <x:c r="J272" s="22" t="n">
        <x:f>XLOOKUP(H272,'菜品主数据'!$A$5:$A$24,'菜品主数据'!$D$5:$D$24,0)</x:f>
        <x:v>36</x:v>
      </x:c>
      <x:c r="K272" s="31" t="n">
        <x:v>1</x:v>
      </x:c>
      <x:c r="L272" s="35" t="n">
        <x:f>J272*K272</x:f>
        <x:v>36</x:v>
      </x:c>
      <x:c r="M272" s="36" t="n">
        <x:v>0.08</x:v>
      </x:c>
      <x:c r="N272" s="35" t="n">
        <x:f>L272*M272</x:f>
        <x:v>2.88</x:v>
      </x:c>
      <x:c r="O272" s="37" t="n">
        <x:v>0.18</x:v>
      </x:c>
      <x:c r="P272" s="35" t="n">
        <x:f>L272*O272</x:f>
        <x:v>6.4799999999999995</x:v>
      </x:c>
      <x:c r="Q272" s="35" t="n">
        <x:v>1.2</x:v>
      </x:c>
      <x:c r="R272" s="35" t="n">
        <x:f>K272*Q272</x:f>
        <x:v>1.2</x:v>
      </x:c>
      <x:c r="S272" s="35" t="n">
        <x:f>XLOOKUP(H272,'菜品主数据'!$A$5:$A$24,'菜品主数据'!$G$5:$G$24,0)</x:f>
        <x:v>13.48</x:v>
      </x:c>
      <x:c r="T272" s="35" t="n">
        <x:f>K272*S272</x:f>
        <x:v>13.48</x:v>
      </x:c>
      <x:c r="U272" s="35" t="n">
        <x:f>L272-N272-P272-R272-T272</x:f>
        <x:v>11.959999999999997</x:v>
      </x:c>
      <x:c r="V272" s="21" t="n">
        <x:f>IFERROR(U272/L272,0)</x:f>
        <x:v>0.33222222222222214</x:v>
      </x:c>
    </x:row>
    <x:row r="273">
      <x:c r="A273" s="19" t="str">
        <x:v>SALE-00269</x:v>
      </x:c>
      <x:c r="B273" s="34" t="n">
        <x:v>46216.5</x:v>
      </x:c>
      <x:c r="C273" s="19" t="str">
        <x:v>周一</x:v>
      </x:c>
      <x:c r="D273" s="19" t="str">
        <x:v>S01</x:v>
      </x:c>
      <x:c r="E273" s="19" t="str">
        <x:v>近江天阳店</x:v>
      </x:c>
      <x:c r="F273" s="19" t="str">
        <x:v>外卖</x:v>
      </x:c>
      <x:c r="G273" s="19" t="str">
        <x:v>全日</x:v>
      </x:c>
      <x:c r="H273" s="19" t="str">
        <x:v>D09</x:v>
      </x:c>
      <x:c r="I273" s="19" t="str">
        <x:v>炒豆干</x:v>
      </x:c>
      <x:c r="J273" s="22" t="n">
        <x:f>XLOOKUP(H273,'菜品主数据'!$A$5:$A$24,'菜品主数据'!$D$5:$D$24,0)</x:f>
        <x:v>18</x:v>
      </x:c>
      <x:c r="K273" s="31" t="n">
        <x:v>2</x:v>
      </x:c>
      <x:c r="L273" s="35" t="n">
        <x:f>J273*K273</x:f>
        <x:v>36</x:v>
      </x:c>
      <x:c r="M273" s="36" t="n">
        <x:v>0.08</x:v>
      </x:c>
      <x:c r="N273" s="35" t="n">
        <x:f>L273*M273</x:f>
        <x:v>2.88</x:v>
      </x:c>
      <x:c r="O273" s="37" t="n">
        <x:v>0.18</x:v>
      </x:c>
      <x:c r="P273" s="35" t="n">
        <x:f>L273*O273</x:f>
        <x:v>6.4799999999999995</x:v>
      </x:c>
      <x:c r="Q273" s="35" t="n">
        <x:v>1.2</x:v>
      </x:c>
      <x:c r="R273" s="35" t="n">
        <x:f>K273*Q273</x:f>
        <x:v>2.4</x:v>
      </x:c>
      <x:c r="S273" s="35" t="n">
        <x:f>XLOOKUP(H273,'菜品主数据'!$A$5:$A$24,'菜品主数据'!$G$5:$G$24,0)</x:f>
        <x:v>6.613999999999999</x:v>
      </x:c>
      <x:c r="T273" s="35" t="n">
        <x:f>K273*S273</x:f>
        <x:v>13.227999999999998</x:v>
      </x:c>
      <x:c r="U273" s="35" t="n">
        <x:f>L273-N273-P273-R273-T273</x:f>
        <x:v>11.012</x:v>
      </x:c>
      <x:c r="V273" s="21" t="n">
        <x:f>IFERROR(U273/L273,0)</x:f>
        <x:v>0.3058888888888889</x:v>
      </x:c>
    </x:row>
    <x:row r="274">
      <x:c r="A274" s="19" t="str">
        <x:v>SALE-00270</x:v>
      </x:c>
      <x:c r="B274" s="34" t="n">
        <x:v>46216.5</x:v>
      </x:c>
      <x:c r="C274" s="19" t="str">
        <x:v>周一</x:v>
      </x:c>
      <x:c r="D274" s="19" t="str">
        <x:v>S01</x:v>
      </x:c>
      <x:c r="E274" s="19" t="str">
        <x:v>近江天阳店</x:v>
      </x:c>
      <x:c r="F274" s="19" t="str">
        <x:v>外卖</x:v>
      </x:c>
      <x:c r="G274" s="19" t="str">
        <x:v>全日</x:v>
      </x:c>
      <x:c r="H274" s="19" t="str">
        <x:v>D10</x:v>
      </x:c>
      <x:c r="I274" s="19" t="str">
        <x:v>农家一碗香</x:v>
      </x:c>
      <x:c r="J274" s="22" t="n">
        <x:f>XLOOKUP(H274,'菜品主数据'!$A$5:$A$24,'菜品主数据'!$D$5:$D$24,0)</x:f>
        <x:v>22.9</x:v>
      </x:c>
      <x:c r="K274" s="31" t="n">
        <x:v>2</x:v>
      </x:c>
      <x:c r="L274" s="35" t="n">
        <x:f>J274*K274</x:f>
        <x:v>45.8</x:v>
      </x:c>
      <x:c r="M274" s="36" t="n">
        <x:v>0.08</x:v>
      </x:c>
      <x:c r="N274" s="35" t="n">
        <x:f>L274*M274</x:f>
        <x:v>3.6639999999999997</x:v>
      </x:c>
      <x:c r="O274" s="37" t="n">
        <x:v>0.18</x:v>
      </x:c>
      <x:c r="P274" s="35" t="n">
        <x:f>L274*O274</x:f>
        <x:v>8.244</x:v>
      </x:c>
      <x:c r="Q274" s="35" t="n">
        <x:v>1.2</x:v>
      </x:c>
      <x:c r="R274" s="35" t="n">
        <x:f>K274*Q274</x:f>
        <x:v>2.4</x:v>
      </x:c>
      <x:c r="S274" s="35" t="n">
        <x:f>XLOOKUP(H274,'菜品主数据'!$A$5:$A$24,'菜品主数据'!$G$5:$G$24,0)</x:f>
        <x:v>9.770200000000003</x:v>
      </x:c>
      <x:c r="T274" s="35" t="n">
        <x:f>K274*S274</x:f>
        <x:v>19.540400000000005</x:v>
      </x:c>
      <x:c r="U274" s="35" t="n">
        <x:f>L274-N274-P274-R274-T274</x:f>
        <x:v>11.951599999999992</x:v>
      </x:c>
      <x:c r="V274" s="21" t="n">
        <x:f>IFERROR(U274/L274,0)</x:f>
        <x:v>0.260951965065502</x:v>
      </x:c>
    </x:row>
    <x:row r="275">
      <x:c r="A275" s="19" t="str">
        <x:v>SALE-00271</x:v>
      </x:c>
      <x:c r="B275" s="34" t="n">
        <x:v>46216.5</x:v>
      </x:c>
      <x:c r="C275" s="19" t="str">
        <x:v>周一</x:v>
      </x:c>
      <x:c r="D275" s="19" t="str">
        <x:v>S01</x:v>
      </x:c>
      <x:c r="E275" s="19" t="str">
        <x:v>近江天阳店</x:v>
      </x:c>
      <x:c r="F275" s="19" t="str">
        <x:v>外卖</x:v>
      </x:c>
      <x:c r="G275" s="19" t="str">
        <x:v>全日</x:v>
      </x:c>
      <x:c r="H275" s="19" t="str">
        <x:v>D11</x:v>
      </x:c>
      <x:c r="I275" s="19" t="str">
        <x:v>香辣爆肥肠</x:v>
      </x:c>
      <x:c r="J275" s="22" t="n">
        <x:f>XLOOKUP(H275,'菜品主数据'!$A$5:$A$24,'菜品主数据'!$D$5:$D$24,0)</x:f>
        <x:v>39</x:v>
      </x:c>
      <x:c r="K275" s="31" t="n">
        <x:v>0</x:v>
      </x:c>
      <x:c r="L275" s="35" t="n">
        <x:f>J275*K275</x:f>
        <x:v>0</x:v>
      </x:c>
      <x:c r="M275" s="36" t="n">
        <x:v>0.08</x:v>
      </x:c>
      <x:c r="N275" s="35" t="n">
        <x:f>L275*M275</x:f>
        <x:v>0</x:v>
      </x:c>
      <x:c r="O275" s="37" t="n">
        <x:v>0.18</x:v>
      </x:c>
      <x:c r="P275" s="35" t="n">
        <x:f>L275*O275</x:f>
        <x:v>0</x:v>
      </x:c>
      <x:c r="Q275" s="35" t="n">
        <x:v>1.2</x:v>
      </x:c>
      <x:c r="R275" s="35" t="n">
        <x:f>K275*Q275</x:f>
        <x:v>0</x:v>
      </x:c>
      <x:c r="S275" s="35" t="n">
        <x:f>XLOOKUP(H275,'菜品主数据'!$A$5:$A$24,'菜品主数据'!$G$5:$G$24,0)</x:f>
        <x:v>10.397</x:v>
      </x:c>
      <x:c r="T275" s="35" t="n">
        <x:f>K275*S275</x:f>
        <x:v>0</x:v>
      </x:c>
      <x:c r="U275" s="35" t="n">
        <x:f>L275-N275-P275-R275-T275</x:f>
        <x:v>0</x:v>
      </x:c>
      <x:c r="V275" s="21" t="n">
        <x:f>IFERROR(U275/L275,0)</x:f>
        <x:v>0</x:v>
      </x:c>
    </x:row>
    <x:row r="276">
      <x:c r="A276" s="19" t="str">
        <x:v>SALE-00272</x:v>
      </x:c>
      <x:c r="B276" s="34" t="n">
        <x:v>46216.5</x:v>
      </x:c>
      <x:c r="C276" s="19" t="str">
        <x:v>周一</x:v>
      </x:c>
      <x:c r="D276" s="19" t="str">
        <x:v>S01</x:v>
      </x:c>
      <x:c r="E276" s="19" t="str">
        <x:v>近江天阳店</x:v>
      </x:c>
      <x:c r="F276" s="19" t="str">
        <x:v>外卖</x:v>
      </x:c>
      <x:c r="G276" s="19" t="str">
        <x:v>全日</x:v>
      </x:c>
      <x:c r="H276" s="19" t="str">
        <x:v>D12</x:v>
      </x:c>
      <x:c r="I276" s="19" t="str">
        <x:v>清蒸鲈鱼</x:v>
      </x:c>
      <x:c r="J276" s="22" t="n">
        <x:f>XLOOKUP(H276,'菜品主数据'!$A$5:$A$24,'菜品主数据'!$D$5:$D$24,0)</x:f>
        <x:v>39</x:v>
      </x:c>
      <x:c r="K276" s="31" t="n">
        <x:v>0</x:v>
      </x:c>
      <x:c r="L276" s="35" t="n">
        <x:f>J276*K276</x:f>
        <x:v>0</x:v>
      </x:c>
      <x:c r="M276" s="36" t="n">
        <x:v>0.08</x:v>
      </x:c>
      <x:c r="N276" s="35" t="n">
        <x:f>L276*M276</x:f>
        <x:v>0</x:v>
      </x:c>
      <x:c r="O276" s="37" t="n">
        <x:v>0.18</x:v>
      </x:c>
      <x:c r="P276" s="35" t="n">
        <x:f>L276*O276</x:f>
        <x:v>0</x:v>
      </x:c>
      <x:c r="Q276" s="35" t="n">
        <x:v>1.2</x:v>
      </x:c>
      <x:c r="R276" s="35" t="n">
        <x:f>K276*Q276</x:f>
        <x:v>0</x:v>
      </x:c>
      <x:c r="S276" s="35" t="n">
        <x:f>XLOOKUP(H276,'菜品主数据'!$A$5:$A$24,'菜品主数据'!$G$5:$G$24,0)</x:f>
        <x:v>18.874</x:v>
      </x:c>
      <x:c r="T276" s="35" t="n">
        <x:f>K276*S276</x:f>
        <x:v>0</x:v>
      </x:c>
      <x:c r="U276" s="35" t="n">
        <x:f>L276-N276-P276-R276-T276</x:f>
        <x:v>0</x:v>
      </x:c>
      <x:c r="V276" s="21" t="n">
        <x:f>IFERROR(U276/L276,0)</x:f>
        <x:v>0</x:v>
      </x:c>
    </x:row>
    <x:row r="277">
      <x:c r="A277" s="19" t="str">
        <x:v>SALE-00273</x:v>
      </x:c>
      <x:c r="B277" s="34" t="n">
        <x:v>46216.5</x:v>
      </x:c>
      <x:c r="C277" s="19" t="str">
        <x:v>周一</x:v>
      </x:c>
      <x:c r="D277" s="19" t="str">
        <x:v>S01</x:v>
      </x:c>
      <x:c r="E277" s="19" t="str">
        <x:v>近江天阳店</x:v>
      </x:c>
      <x:c r="F277" s="19" t="str">
        <x:v>外卖</x:v>
      </x:c>
      <x:c r="G277" s="19" t="str">
        <x:v>全日</x:v>
      </x:c>
      <x:c r="H277" s="19" t="str">
        <x:v>D13</x:v>
      </x:c>
      <x:c r="I277" s="19" t="str">
        <x:v>外婆菜炒蛋</x:v>
      </x:c>
      <x:c r="J277" s="22" t="n">
        <x:f>XLOOKUP(H277,'菜品主数据'!$A$5:$A$24,'菜品主数据'!$D$5:$D$24,0)</x:f>
        <x:v>18</x:v>
      </x:c>
      <x:c r="K277" s="31" t="n">
        <x:v>1</x:v>
      </x:c>
      <x:c r="L277" s="35" t="n">
        <x:f>J277*K277</x:f>
        <x:v>18</x:v>
      </x:c>
      <x:c r="M277" s="36" t="n">
        <x:v>0.08</x:v>
      </x:c>
      <x:c r="N277" s="35" t="n">
        <x:f>L277*M277</x:f>
        <x:v>1.44</x:v>
      </x:c>
      <x:c r="O277" s="37" t="n">
        <x:v>0.18</x:v>
      </x:c>
      <x:c r="P277" s="35" t="n">
        <x:f>L277*O277</x:f>
        <x:v>3.2399999999999998</x:v>
      </x:c>
      <x:c r="Q277" s="35" t="n">
        <x:v>1.2</x:v>
      </x:c>
      <x:c r="R277" s="35" t="n">
        <x:f>K277*Q277</x:f>
        <x:v>1.2</x:v>
      </x:c>
      <x:c r="S277" s="35" t="n">
        <x:f>XLOOKUP(H277,'菜品主数据'!$A$5:$A$24,'菜品主数据'!$G$5:$G$24,0)</x:f>
        <x:v>5.403999999999999</x:v>
      </x:c>
      <x:c r="T277" s="35" t="n">
        <x:f>K277*S277</x:f>
        <x:v>5.403999999999999</x:v>
      </x:c>
      <x:c r="U277" s="35" t="n">
        <x:f>L277-N277-P277-R277-T277</x:f>
        <x:v>6.716</x:v>
      </x:c>
      <x:c r="V277" s="21" t="n">
        <x:f>IFERROR(U277/L277,0)</x:f>
        <x:v>0.3731111111111111</x:v>
      </x:c>
    </x:row>
    <x:row r="278">
      <x:c r="A278" s="19" t="str">
        <x:v>SALE-00274</x:v>
      </x:c>
      <x:c r="B278" s="34" t="n">
        <x:v>46216.5</x:v>
      </x:c>
      <x:c r="C278" s="19" t="str">
        <x:v>周一</x:v>
      </x:c>
      <x:c r="D278" s="19" t="str">
        <x:v>S01</x:v>
      </x:c>
      <x:c r="E278" s="19" t="str">
        <x:v>近江天阳店</x:v>
      </x:c>
      <x:c r="F278" s="19" t="str">
        <x:v>外卖</x:v>
      </x:c>
      <x:c r="G278" s="19" t="str">
        <x:v>全日</x:v>
      </x:c>
      <x:c r="H278" s="19" t="str">
        <x:v>D14</x:v>
      </x:c>
      <x:c r="I278" s="19" t="str">
        <x:v>酸辣鸡杂</x:v>
      </x:c>
      <x:c r="J278" s="22" t="n">
        <x:f>XLOOKUP(H278,'菜品主数据'!$A$5:$A$24,'菜品主数据'!$D$5:$D$24,0)</x:f>
        <x:v>28</x:v>
      </x:c>
      <x:c r="K278" s="31" t="n">
        <x:v>1</x:v>
      </x:c>
      <x:c r="L278" s="35" t="n">
        <x:f>J278*K278</x:f>
        <x:v>28</x:v>
      </x:c>
      <x:c r="M278" s="36" t="n">
        <x:v>0.08</x:v>
      </x:c>
      <x:c r="N278" s="35" t="n">
        <x:f>L278*M278</x:f>
        <x:v>2.24</x:v>
      </x:c>
      <x:c r="O278" s="37" t="n">
        <x:v>0.18</x:v>
      </x:c>
      <x:c r="P278" s="35" t="n">
        <x:f>L278*O278</x:f>
        <x:v>5.04</x:v>
      </x:c>
      <x:c r="Q278" s="35" t="n">
        <x:v>1.2</x:v>
      </x:c>
      <x:c r="R278" s="35" t="n">
        <x:f>K278*Q278</x:f>
        <x:v>1.2</x:v>
      </x:c>
      <x:c r="S278" s="35" t="n">
        <x:f>XLOOKUP(H278,'菜品主数据'!$A$5:$A$24,'菜品主数据'!$G$5:$G$24,0)</x:f>
        <x:v>8.315000000000001</x:v>
      </x:c>
      <x:c r="T278" s="35" t="n">
        <x:f>K278*S278</x:f>
        <x:v>8.315000000000001</x:v>
      </x:c>
      <x:c r="U278" s="35" t="n">
        <x:f>L278-N278-P278-R278-T278</x:f>
        <x:v>11.204999999999998</x:v>
      </x:c>
      <x:c r="V278" s="21" t="n">
        <x:f>IFERROR(U278/L278,0)</x:f>
        <x:v>0.4001785714285714</x:v>
      </x:c>
    </x:row>
    <x:row r="279">
      <x:c r="A279" s="19" t="str">
        <x:v>SALE-00275</x:v>
      </x:c>
      <x:c r="B279" s="34" t="n">
        <x:v>46216.5</x:v>
      </x:c>
      <x:c r="C279" s="19" t="str">
        <x:v>周一</x:v>
      </x:c>
      <x:c r="D279" s="19" t="str">
        <x:v>S01</x:v>
      </x:c>
      <x:c r="E279" s="19" t="str">
        <x:v>近江天阳店</x:v>
      </x:c>
      <x:c r="F279" s="19" t="str">
        <x:v>外卖</x:v>
      </x:c>
      <x:c r="G279" s="19" t="str">
        <x:v>全日</x:v>
      </x:c>
      <x:c r="H279" s="19" t="str">
        <x:v>D15</x:v>
      </x:c>
      <x:c r="I279" s="19" t="str">
        <x:v>湘西土匪猪肝</x:v>
      </x:c>
      <x:c r="J279" s="22" t="n">
        <x:f>XLOOKUP(H279,'菜品主数据'!$A$5:$A$24,'菜品主数据'!$D$5:$D$24,0)</x:f>
        <x:v>26</x:v>
      </x:c>
      <x:c r="K279" s="31" t="n">
        <x:v>1</x:v>
      </x:c>
      <x:c r="L279" s="35" t="n">
        <x:f>J279*K279</x:f>
        <x:v>26</x:v>
      </x:c>
      <x:c r="M279" s="36" t="n">
        <x:v>0.08</x:v>
      </x:c>
      <x:c r="N279" s="35" t="n">
        <x:f>L279*M279</x:f>
        <x:v>2.08</x:v>
      </x:c>
      <x:c r="O279" s="37" t="n">
        <x:v>0.18</x:v>
      </x:c>
      <x:c r="P279" s="35" t="n">
        <x:f>L279*O279</x:f>
        <x:v>4.68</x:v>
      </x:c>
      <x:c r="Q279" s="35" t="n">
        <x:v>1.2</x:v>
      </x:c>
      <x:c r="R279" s="35" t="n">
        <x:f>K279*Q279</x:f>
        <x:v>1.2</x:v>
      </x:c>
      <x:c r="S279" s="35" t="n">
        <x:f>XLOOKUP(H279,'菜品主数据'!$A$5:$A$24,'菜品主数据'!$G$5:$G$24,0)</x:f>
        <x:v>6.3759999999999994</x:v>
      </x:c>
      <x:c r="T279" s="35" t="n">
        <x:f>K279*S279</x:f>
        <x:v>6.3759999999999994</x:v>
      </x:c>
      <x:c r="U279" s="35" t="n">
        <x:f>L279-N279-P279-R279-T279</x:f>
        <x:v>11.664000000000003</x:v>
      </x:c>
      <x:c r="V279" s="21" t="n">
        <x:f>IFERROR(U279/L279,0)</x:f>
        <x:v>0.44861538461538475</x:v>
      </x:c>
    </x:row>
    <x:row r="280">
      <x:c r="A280" s="19" t="str">
        <x:v>SALE-00276</x:v>
      </x:c>
      <x:c r="B280" s="34" t="n">
        <x:v>46216.5</x:v>
      </x:c>
      <x:c r="C280" s="19" t="str">
        <x:v>周一</x:v>
      </x:c>
      <x:c r="D280" s="19" t="str">
        <x:v>S01</x:v>
      </x:c>
      <x:c r="E280" s="19" t="str">
        <x:v>近江天阳店</x:v>
      </x:c>
      <x:c r="F280" s="19" t="str">
        <x:v>外卖</x:v>
      </x:c>
      <x:c r="G280" s="19" t="str">
        <x:v>全日</x:v>
      </x:c>
      <x:c r="H280" s="19" t="str">
        <x:v>D16</x:v>
      </x:c>
      <x:c r="I280" s="19" t="str">
        <x:v>小豆角炒五花</x:v>
      </x:c>
      <x:c r="J280" s="22" t="n">
        <x:f>XLOOKUP(H280,'菜品主数据'!$A$5:$A$24,'菜品主数据'!$D$5:$D$24,0)</x:f>
        <x:v>25</x:v>
      </x:c>
      <x:c r="K280" s="31" t="n">
        <x:v>1</x:v>
      </x:c>
      <x:c r="L280" s="35" t="n">
        <x:f>J280*K280</x:f>
        <x:v>25</x:v>
      </x:c>
      <x:c r="M280" s="36" t="n">
        <x:v>0.08</x:v>
      </x:c>
      <x:c r="N280" s="35" t="n">
        <x:f>L280*M280</x:f>
        <x:v>2</x:v>
      </x:c>
      <x:c r="O280" s="37" t="n">
        <x:v>0.18</x:v>
      </x:c>
      <x:c r="P280" s="35" t="n">
        <x:f>L280*O280</x:f>
        <x:v>4.5</x:v>
      </x:c>
      <x:c r="Q280" s="35" t="n">
        <x:v>1.2</x:v>
      </x:c>
      <x:c r="R280" s="35" t="n">
        <x:f>K280*Q280</x:f>
        <x:v>1.2</x:v>
      </x:c>
      <x:c r="S280" s="35" t="n">
        <x:f>XLOOKUP(H280,'菜品主数据'!$A$5:$A$24,'菜品主数据'!$G$5:$G$24,0)</x:f>
        <x:v>8.184</x:v>
      </x:c>
      <x:c r="T280" s="35" t="n">
        <x:f>K280*S280</x:f>
        <x:v>8.184</x:v>
      </x:c>
      <x:c r="U280" s="35" t="n">
        <x:f>L280-N280-P280-R280-T280</x:f>
        <x:v>9.116000000000001</x:v>
      </x:c>
      <x:c r="V280" s="21" t="n">
        <x:f>IFERROR(U280/L280,0)</x:f>
        <x:v>0.3646400000000001</x:v>
      </x:c>
    </x:row>
    <x:row r="281">
      <x:c r="A281" s="19" t="str">
        <x:v>SALE-00277</x:v>
      </x:c>
      <x:c r="B281" s="34" t="n">
        <x:v>46216.5</x:v>
      </x:c>
      <x:c r="C281" s="19" t="str">
        <x:v>周一</x:v>
      </x:c>
      <x:c r="D281" s="19" t="str">
        <x:v>S01</x:v>
      </x:c>
      <x:c r="E281" s="19" t="str">
        <x:v>近江天阳店</x:v>
      </x:c>
      <x:c r="F281" s="19" t="str">
        <x:v>外卖</x:v>
      </x:c>
      <x:c r="G281" s="19" t="str">
        <x:v>全日</x:v>
      </x:c>
      <x:c r="H281" s="19" t="str">
        <x:v>D17</x:v>
      </x:c>
      <x:c r="I281" s="19" t="str">
        <x:v>蒜蓉粉丝虾</x:v>
      </x:c>
      <x:c r="J281" s="22" t="n">
        <x:f>XLOOKUP(H281,'菜品主数据'!$A$5:$A$24,'菜品主数据'!$D$5:$D$24,0)</x:f>
        <x:v>36</x:v>
      </x:c>
      <x:c r="K281" s="31" t="n">
        <x:v>0</x:v>
      </x:c>
      <x:c r="L281" s="35" t="n">
        <x:f>J281*K281</x:f>
        <x:v>0</x:v>
      </x:c>
      <x:c r="M281" s="36" t="n">
        <x:v>0.08</x:v>
      </x:c>
      <x:c r="N281" s="35" t="n">
        <x:f>L281*M281</x:f>
        <x:v>0</x:v>
      </x:c>
      <x:c r="O281" s="37" t="n">
        <x:v>0.18</x:v>
      </x:c>
      <x:c r="P281" s="35" t="n">
        <x:f>L281*O281</x:f>
        <x:v>0</x:v>
      </x:c>
      <x:c r="Q281" s="35" t="n">
        <x:v>1.2</x:v>
      </x:c>
      <x:c r="R281" s="35" t="n">
        <x:f>K281*Q281</x:f>
        <x:v>0</x:v>
      </x:c>
      <x:c r="S281" s="35" t="n">
        <x:f>XLOOKUP(H281,'菜品主数据'!$A$5:$A$24,'菜品主数据'!$G$5:$G$24,0)</x:f>
        <x:v>13.594</x:v>
      </x:c>
      <x:c r="T281" s="35" t="n">
        <x:f>K281*S281</x:f>
        <x:v>0</x:v>
      </x:c>
      <x:c r="U281" s="35" t="n">
        <x:f>L281-N281-P281-R281-T281</x:f>
        <x:v>0</x:v>
      </x:c>
      <x:c r="V281" s="21" t="n">
        <x:f>IFERROR(U281/L281,0)</x:f>
        <x:v>0</x:v>
      </x:c>
    </x:row>
    <x:row r="282">
      <x:c r="A282" s="19" t="str">
        <x:v>SALE-00278</x:v>
      </x:c>
      <x:c r="B282" s="34" t="n">
        <x:v>46216.5</x:v>
      </x:c>
      <x:c r="C282" s="19" t="str">
        <x:v>周一</x:v>
      </x:c>
      <x:c r="D282" s="19" t="str">
        <x:v>S01</x:v>
      </x:c>
      <x:c r="E282" s="19" t="str">
        <x:v>近江天阳店</x:v>
      </x:c>
      <x:c r="F282" s="19" t="str">
        <x:v>外卖</x:v>
      </x:c>
      <x:c r="G282" s="19" t="str">
        <x:v>全日</x:v>
      </x:c>
      <x:c r="H282" s="19" t="str">
        <x:v>D18</x:v>
      </x:c>
      <x:c r="I282" s="19" t="str">
        <x:v>青椒炒油麦菜</x:v>
      </x:c>
      <x:c r="J282" s="22" t="n">
        <x:f>XLOOKUP(H282,'菜品主数据'!$A$5:$A$24,'菜品主数据'!$D$5:$D$24,0)</x:f>
        <x:v>18</x:v>
      </x:c>
      <x:c r="K282" s="31" t="n">
        <x:v>1</x:v>
      </x:c>
      <x:c r="L282" s="35" t="n">
        <x:f>J282*K282</x:f>
        <x:v>18</x:v>
      </x:c>
      <x:c r="M282" s="36" t="n">
        <x:v>0.08</x:v>
      </x:c>
      <x:c r="N282" s="35" t="n">
        <x:f>L282*M282</x:f>
        <x:v>1.44</x:v>
      </x:c>
      <x:c r="O282" s="37" t="n">
        <x:v>0.18</x:v>
      </x:c>
      <x:c r="P282" s="35" t="n">
        <x:f>L282*O282</x:f>
        <x:v>3.2399999999999998</x:v>
      </x:c>
      <x:c r="Q282" s="35" t="n">
        <x:v>1.2</x:v>
      </x:c>
      <x:c r="R282" s="35" t="n">
        <x:f>K282*Q282</x:f>
        <x:v>1.2</x:v>
      </x:c>
      <x:c r="S282" s="35" t="n">
        <x:f>XLOOKUP(H282,'菜品主数据'!$A$5:$A$24,'菜品主数据'!$G$5:$G$24,0)</x:f>
        <x:v>3.1759999999999993</x:v>
      </x:c>
      <x:c r="T282" s="35" t="n">
        <x:f>K282*S282</x:f>
        <x:v>3.1759999999999993</x:v>
      </x:c>
      <x:c r="U282" s="35" t="n">
        <x:f>L282-N282-P282-R282-T282</x:f>
        <x:v>8.943999999999999</x:v>
      </x:c>
      <x:c r="V282" s="21" t="n">
        <x:f>IFERROR(U282/L282,0)</x:f>
        <x:v>0.4968888888888888</x:v>
      </x:c>
    </x:row>
    <x:row r="283">
      <x:c r="A283" s="19" t="str">
        <x:v>SALE-00279</x:v>
      </x:c>
      <x:c r="B283" s="34" t="n">
        <x:v>46216.5</x:v>
      </x:c>
      <x:c r="C283" s="19" t="str">
        <x:v>周一</x:v>
      </x:c>
      <x:c r="D283" s="19" t="str">
        <x:v>S01</x:v>
      </x:c>
      <x:c r="E283" s="19" t="str">
        <x:v>近江天阳店</x:v>
      </x:c>
      <x:c r="F283" s="19" t="str">
        <x:v>外卖</x:v>
      </x:c>
      <x:c r="G283" s="19" t="str">
        <x:v>全日</x:v>
      </x:c>
      <x:c r="H283" s="19" t="str">
        <x:v>D19</x:v>
      </x:c>
      <x:c r="I283" s="19" t="str">
        <x:v>酸萝卜炒鸡杂</x:v>
      </x:c>
      <x:c r="J283" s="22" t="n">
        <x:f>XLOOKUP(H283,'菜品主数据'!$A$5:$A$24,'菜品主数据'!$D$5:$D$24,0)</x:f>
        <x:v>25</x:v>
      </x:c>
      <x:c r="K283" s="31" t="n">
        <x:v>0</x:v>
      </x:c>
      <x:c r="L283" s="35" t="n">
        <x:f>J283*K283</x:f>
        <x:v>0</x:v>
      </x:c>
      <x:c r="M283" s="36" t="n">
        <x:v>0.08</x:v>
      </x:c>
      <x:c r="N283" s="35" t="n">
        <x:f>L283*M283</x:f>
        <x:v>0</x:v>
      </x:c>
      <x:c r="O283" s="37" t="n">
        <x:v>0.18</x:v>
      </x:c>
      <x:c r="P283" s="35" t="n">
        <x:f>L283*O283</x:f>
        <x:v>0</x:v>
      </x:c>
      <x:c r="Q283" s="35" t="n">
        <x:v>1.2</x:v>
      </x:c>
      <x:c r="R283" s="35" t="n">
        <x:f>K283*Q283</x:f>
        <x:v>0</x:v>
      </x:c>
      <x:c r="S283" s="35" t="n">
        <x:f>XLOOKUP(H283,'菜品主数据'!$A$5:$A$24,'菜品主数据'!$G$5:$G$24,0)</x:f>
        <x:v>7.9399999999999995</x:v>
      </x:c>
      <x:c r="T283" s="35" t="n">
        <x:f>K283*S283</x:f>
        <x:v>0</x:v>
      </x:c>
      <x:c r="U283" s="35" t="n">
        <x:f>L283-N283-P283-R283-T283</x:f>
        <x:v>0</x:v>
      </x:c>
      <x:c r="V283" s="21" t="n">
        <x:f>IFERROR(U283/L283,0)</x:f>
        <x:v>0</x:v>
      </x:c>
    </x:row>
    <x:row r="284">
      <x:c r="A284" s="19" t="str">
        <x:v>SALE-00280</x:v>
      </x:c>
      <x:c r="B284" s="34" t="n">
        <x:v>46216.5</x:v>
      </x:c>
      <x:c r="C284" s="19" t="str">
        <x:v>周一</x:v>
      </x:c>
      <x:c r="D284" s="19" t="str">
        <x:v>S01</x:v>
      </x:c>
      <x:c r="E284" s="19" t="str">
        <x:v>近江天阳店</x:v>
      </x:c>
      <x:c r="F284" s="19" t="str">
        <x:v>外卖</x:v>
      </x:c>
      <x:c r="G284" s="19" t="str">
        <x:v>全日</x:v>
      </x:c>
      <x:c r="H284" s="19" t="str">
        <x:v>D20</x:v>
      </x:c>
      <x:c r="I284" s="19" t="str">
        <x:v>雪菜肉末青豆</x:v>
      </x:c>
      <x:c r="J284" s="22" t="n">
        <x:f>XLOOKUP(H284,'菜品主数据'!$A$5:$A$24,'菜品主数据'!$D$5:$D$24,0)</x:f>
        <x:v>18</x:v>
      </x:c>
      <x:c r="K284" s="31" t="n">
        <x:v>1</x:v>
      </x:c>
      <x:c r="L284" s="35" t="n">
        <x:f>J284*K284</x:f>
        <x:v>18</x:v>
      </x:c>
      <x:c r="M284" s="36" t="n">
        <x:v>0.08</x:v>
      </x:c>
      <x:c r="N284" s="35" t="n">
        <x:f>L284*M284</x:f>
        <x:v>1.44</x:v>
      </x:c>
      <x:c r="O284" s="37" t="n">
        <x:v>0.18</x:v>
      </x:c>
      <x:c r="P284" s="35" t="n">
        <x:f>L284*O284</x:f>
        <x:v>3.2399999999999998</x:v>
      </x:c>
      <x:c r="Q284" s="35" t="n">
        <x:v>1.2</x:v>
      </x:c>
      <x:c r="R284" s="35" t="n">
        <x:f>K284*Q284</x:f>
        <x:v>1.2</x:v>
      </x:c>
      <x:c r="S284" s="35" t="n">
        <x:f>XLOOKUP(H284,'菜品主数据'!$A$5:$A$24,'菜品主数据'!$G$5:$G$24,0)</x:f>
        <x:v>7.303999999999999</x:v>
      </x:c>
      <x:c r="T284" s="35" t="n">
        <x:f>K284*S284</x:f>
        <x:v>7.303999999999999</x:v>
      </x:c>
      <x:c r="U284" s="35" t="n">
        <x:f>L284-N284-P284-R284-T284</x:f>
        <x:v>4.816</x:v>
      </x:c>
      <x:c r="V284" s="21" t="n">
        <x:f>IFERROR(U284/L284,0)</x:f>
        <x:v>0.26755555555555555</x:v>
      </x:c>
    </x:row>
    <x:row r="285">
      <x:c r="A285" s="19" t="str">
        <x:v>SALE-00281</x:v>
      </x:c>
      <x:c r="B285" s="34" t="n">
        <x:v>46210.5</x:v>
      </x:c>
      <x:c r="C285" s="19" t="str">
        <x:v>周二</x:v>
      </x:c>
      <x:c r="D285" s="19" t="str">
        <x:v>S02</x:v>
      </x:c>
      <x:c r="E285" s="19" t="str">
        <x:v>尊宝大厦店</x:v>
      </x:c>
      <x:c r="F285" s="19" t="str">
        <x:v>堂食</x:v>
      </x:c>
      <x:c r="G285" s="19" t="str">
        <x:v>全日</x:v>
      </x:c>
      <x:c r="H285" s="19" t="str">
        <x:v>D01</x:v>
      </x:c>
      <x:c r="I285" s="19" t="str">
        <x:v>辣椒炒肉</x:v>
      </x:c>
      <x:c r="J285" s="22" t="n">
        <x:f>XLOOKUP(H285,'菜品主数据'!$A$5:$A$24,'菜品主数据'!$D$5:$D$24,0)</x:f>
        <x:v>29</x:v>
      </x:c>
      <x:c r="K285" s="31" t="n">
        <x:v>50</x:v>
      </x:c>
      <x:c r="L285" s="35" t="n">
        <x:f>J285*K285</x:f>
        <x:v>1450</x:v>
      </x:c>
      <x:c r="M285" s="36" t="n">
        <x:v>0</x:v>
      </x:c>
      <x:c r="N285" s="35" t="n">
        <x:f>L285*M285</x:f>
        <x:v>0</x:v>
      </x:c>
      <x:c r="O285" s="37" t="n">
        <x:v>0</x:v>
      </x:c>
      <x:c r="P285" s="35" t="n">
        <x:f>L285*O285</x:f>
        <x:v>0</x:v>
      </x:c>
      <x:c r="Q285" s="35" t="n">
        <x:v>0</x:v>
      </x:c>
      <x:c r="R285" s="35" t="n">
        <x:f>K285*Q285</x:f>
        <x:v>0</x:v>
      </x:c>
      <x:c r="S285" s="35" t="n">
        <x:f>XLOOKUP(H285,'菜品主数据'!$A$5:$A$24,'菜品主数据'!$G$5:$G$24,0)</x:f>
        <x:v>8.634400000000001</x:v>
      </x:c>
      <x:c r="T285" s="35" t="n">
        <x:f>K285*S285</x:f>
        <x:v>431.7200000000001</x:v>
      </x:c>
      <x:c r="U285" s="35" t="n">
        <x:f>L285-N285-P285-R285-T285</x:f>
        <x:v>1018.28</x:v>
      </x:c>
      <x:c r="V285" s="21" t="n">
        <x:f>IFERROR(U285/L285,0)</x:f>
        <x:v>0.7022620689655172</x:v>
      </x:c>
    </x:row>
    <x:row r="286">
      <x:c r="A286" s="19" t="str">
        <x:v>SALE-00282</x:v>
      </x:c>
      <x:c r="B286" s="34" t="n">
        <x:v>46210.5</x:v>
      </x:c>
      <x:c r="C286" s="19" t="str">
        <x:v>周二</x:v>
      </x:c>
      <x:c r="D286" s="19" t="str">
        <x:v>S02</x:v>
      </x:c>
      <x:c r="E286" s="19" t="str">
        <x:v>尊宝大厦店</x:v>
      </x:c>
      <x:c r="F286" s="19" t="str">
        <x:v>堂食</x:v>
      </x:c>
      <x:c r="G286" s="19" t="str">
        <x:v>全日</x:v>
      </x:c>
      <x:c r="H286" s="19" t="str">
        <x:v>D02</x:v>
      </x:c>
      <x:c r="I286" s="19" t="str">
        <x:v>小炒黄牛肉</x:v>
      </x:c>
      <x:c r="J286" s="22" t="n">
        <x:f>XLOOKUP(H286,'菜品主数据'!$A$5:$A$24,'菜品主数据'!$D$5:$D$24,0)</x:f>
        <x:v>49</x:v>
      </x:c>
      <x:c r="K286" s="31" t="n">
        <x:v>27</x:v>
      </x:c>
      <x:c r="L286" s="35" t="n">
        <x:f>J286*K286</x:f>
        <x:v>1323</x:v>
      </x:c>
      <x:c r="M286" s="36" t="n">
        <x:v>0</x:v>
      </x:c>
      <x:c r="N286" s="35" t="n">
        <x:f>L286*M286</x:f>
        <x:v>0</x:v>
      </x:c>
      <x:c r="O286" s="37" t="n">
        <x:v>0</x:v>
      </x:c>
      <x:c r="P286" s="35" t="n">
        <x:f>L286*O286</x:f>
        <x:v>0</x:v>
      </x:c>
      <x:c r="Q286" s="35" t="n">
        <x:v>0</x:v>
      </x:c>
      <x:c r="R286" s="35" t="n">
        <x:f>K286*Q286</x:f>
        <x:v>0</x:v>
      </x:c>
      <x:c r="S286" s="35" t="n">
        <x:f>XLOOKUP(H286,'菜品主数据'!$A$5:$A$24,'菜品主数据'!$G$5:$G$24,0)</x:f>
        <x:v>17.577</x:v>
      </x:c>
      <x:c r="T286" s="35" t="n">
        <x:f>K286*S286</x:f>
        <x:v>474.57900000000006</x:v>
      </x:c>
      <x:c r="U286" s="35" t="n">
        <x:f>L286-N286-P286-R286-T286</x:f>
        <x:v>848.4209999999999</x:v>
      </x:c>
      <x:c r="V286" s="21" t="n">
        <x:f>IFERROR(U286/L286,0)</x:f>
        <x:v>0.6412857142857142</x:v>
      </x:c>
    </x:row>
    <x:row r="287">
      <x:c r="A287" s="19" t="str">
        <x:v>SALE-00283</x:v>
      </x:c>
      <x:c r="B287" s="34" t="n">
        <x:v>46210.5</x:v>
      </x:c>
      <x:c r="C287" s="19" t="str">
        <x:v>周二</x:v>
      </x:c>
      <x:c r="D287" s="19" t="str">
        <x:v>S02</x:v>
      </x:c>
      <x:c r="E287" s="19" t="str">
        <x:v>尊宝大厦店</x:v>
      </x:c>
      <x:c r="F287" s="19" t="str">
        <x:v>堂食</x:v>
      </x:c>
      <x:c r="G287" s="19" t="str">
        <x:v>全日</x:v>
      </x:c>
      <x:c r="H287" s="19" t="str">
        <x:v>D03</x:v>
      </x:c>
      <x:c r="I287" s="19" t="str">
        <x:v>香醋炒蛋</x:v>
      </x:c>
      <x:c r="J287" s="22" t="n">
        <x:f>XLOOKUP(H287,'菜品主数据'!$A$5:$A$24,'菜品主数据'!$D$5:$D$24,0)</x:f>
        <x:v>14.9</x:v>
      </x:c>
      <x:c r="K287" s="31" t="n">
        <x:v>42</x:v>
      </x:c>
      <x:c r="L287" s="35" t="n">
        <x:f>J287*K287</x:f>
        <x:v>625.8000000000001</x:v>
      </x:c>
      <x:c r="M287" s="36" t="n">
        <x:v>0</x:v>
      </x:c>
      <x:c r="N287" s="35" t="n">
        <x:f>L287*M287</x:f>
        <x:v>0</x:v>
      </x:c>
      <x:c r="O287" s="37" t="n">
        <x:v>0</x:v>
      </x:c>
      <x:c r="P287" s="35" t="n">
        <x:f>L287*O287</x:f>
        <x:v>0</x:v>
      </x:c>
      <x:c r="Q287" s="35" t="n">
        <x:v>0</x:v>
      </x:c>
      <x:c r="R287" s="35" t="n">
        <x:f>K287*Q287</x:f>
        <x:v>0</x:v>
      </x:c>
      <x:c r="S287" s="35" t="n">
        <x:f>XLOOKUP(H287,'菜品主数据'!$A$5:$A$24,'菜品主数据'!$G$5:$G$24,0)</x:f>
        <x:v>3.7459999999999996</x:v>
      </x:c>
      <x:c r="T287" s="35" t="n">
        <x:f>K287*S287</x:f>
        <x:v>157.332</x:v>
      </x:c>
      <x:c r="U287" s="35" t="n">
        <x:f>L287-N287-P287-R287-T287</x:f>
        <x:v>468.4680000000001</x:v>
      </x:c>
      <x:c r="V287" s="21" t="n">
        <x:f>IFERROR(U287/L287,0)</x:f>
        <x:v>0.7485906040268456</x:v>
      </x:c>
    </x:row>
    <x:row r="288">
      <x:c r="A288" s="19" t="str">
        <x:v>SALE-00284</x:v>
      </x:c>
      <x:c r="B288" s="34" t="n">
        <x:v>46210.5</x:v>
      </x:c>
      <x:c r="C288" s="19" t="str">
        <x:v>周二</x:v>
      </x:c>
      <x:c r="D288" s="19" t="str">
        <x:v>S02</x:v>
      </x:c>
      <x:c r="E288" s="19" t="str">
        <x:v>尊宝大厦店</x:v>
      </x:c>
      <x:c r="F288" s="19" t="str">
        <x:v>堂食</x:v>
      </x:c>
      <x:c r="G288" s="19" t="str">
        <x:v>全日</x:v>
      </x:c>
      <x:c r="H288" s="19" t="str">
        <x:v>D04</x:v>
      </x:c>
      <x:c r="I288" s="19" t="str">
        <x:v>酸包菜炒粉皮</x:v>
      </x:c>
      <x:c r="J288" s="22" t="n">
        <x:f>XLOOKUP(H288,'菜品主数据'!$A$5:$A$24,'菜品主数据'!$D$5:$D$24,0)</x:f>
        <x:v>16</x:v>
      </x:c>
      <x:c r="K288" s="31" t="n">
        <x:v>37</x:v>
      </x:c>
      <x:c r="L288" s="35" t="n">
        <x:f>J288*K288</x:f>
        <x:v>592</x:v>
      </x:c>
      <x:c r="M288" s="36" t="n">
        <x:v>0</x:v>
      </x:c>
      <x:c r="N288" s="35" t="n">
        <x:f>L288*M288</x:f>
        <x:v>0</x:v>
      </x:c>
      <x:c r="O288" s="37" t="n">
        <x:v>0</x:v>
      </x:c>
      <x:c r="P288" s="35" t="n">
        <x:f>L288*O288</x:f>
        <x:v>0</x:v>
      </x:c>
      <x:c r="Q288" s="35" t="n">
        <x:v>0</x:v>
      </x:c>
      <x:c r="R288" s="35" t="n">
        <x:f>K288*Q288</x:f>
        <x:v>0</x:v>
      </x:c>
      <x:c r="S288" s="35" t="n">
        <x:f>XLOOKUP(H288,'菜品主数据'!$A$5:$A$24,'菜品主数据'!$G$5:$G$24,0)</x:f>
        <x:v>3.978</x:v>
      </x:c>
      <x:c r="T288" s="35" t="n">
        <x:f>K288*S288</x:f>
        <x:v>147.186</x:v>
      </x:c>
      <x:c r="U288" s="35" t="n">
        <x:f>L288-N288-P288-R288-T288</x:f>
        <x:v>444.81399999999996</x:v>
      </x:c>
      <x:c r="V288" s="21" t="n">
        <x:f>IFERROR(U288/L288,0)</x:f>
        <x:v>0.7513749999999999</x:v>
      </x:c>
    </x:row>
    <x:row r="289">
      <x:c r="A289" s="19" t="str">
        <x:v>SALE-00285</x:v>
      </x:c>
      <x:c r="B289" s="34" t="n">
        <x:v>46210.5</x:v>
      </x:c>
      <x:c r="C289" s="19" t="str">
        <x:v>周二</x:v>
      </x:c>
      <x:c r="D289" s="19" t="str">
        <x:v>S02</x:v>
      </x:c>
      <x:c r="E289" s="19" t="str">
        <x:v>尊宝大厦店</x:v>
      </x:c>
      <x:c r="F289" s="19" t="str">
        <x:v>堂食</x:v>
      </x:c>
      <x:c r="G289" s="19" t="str">
        <x:v>全日</x:v>
      </x:c>
      <x:c r="H289" s="19" t="str">
        <x:v>D05</x:v>
      </x:c>
      <x:c r="I289" s="19" t="str">
        <x:v>麻婆豆腐</x:v>
      </x:c>
      <x:c r="J289" s="22" t="n">
        <x:f>XLOOKUP(H289,'菜品主数据'!$A$5:$A$24,'菜品主数据'!$D$5:$D$24,0)</x:f>
        <x:v>9.9</x:v>
      </x:c>
      <x:c r="K289" s="31" t="n">
        <x:v>51</x:v>
      </x:c>
      <x:c r="L289" s="35" t="n">
        <x:f>J289*K289</x:f>
        <x:v>504.90000000000003</x:v>
      </x:c>
      <x:c r="M289" s="36" t="n">
        <x:v>0</x:v>
      </x:c>
      <x:c r="N289" s="35" t="n">
        <x:f>L289*M289</x:f>
        <x:v>0</x:v>
      </x:c>
      <x:c r="O289" s="37" t="n">
        <x:v>0</x:v>
      </x:c>
      <x:c r="P289" s="35" t="n">
        <x:f>L289*O289</x:f>
        <x:v>0</x:v>
      </x:c>
      <x:c r="Q289" s="35" t="n">
        <x:v>0</x:v>
      </x:c>
      <x:c r="R289" s="35" t="n">
        <x:f>K289*Q289</x:f>
        <x:v>0</x:v>
      </x:c>
      <x:c r="S289" s="35" t="n">
        <x:f>XLOOKUP(H289,'菜品主数据'!$A$5:$A$24,'菜品主数据'!$G$5:$G$24,0)</x:f>
        <x:v>5.367000000000001</x:v>
      </x:c>
      <x:c r="T289" s="35" t="n">
        <x:f>K289*S289</x:f>
        <x:v>273.71700000000004</x:v>
      </x:c>
      <x:c r="U289" s="35" t="n">
        <x:f>L289-N289-P289-R289-T289</x:f>
        <x:v>231.183</x:v>
      </x:c>
      <x:c r="V289" s="21" t="n">
        <x:f>IFERROR(U289/L289,0)</x:f>
        <x:v>0.45787878787878783</x:v>
      </x:c>
    </x:row>
    <x:row r="290">
      <x:c r="A290" s="19" t="str">
        <x:v>SALE-00286</x:v>
      </x:c>
      <x:c r="B290" s="34" t="n">
        <x:v>46210.5</x:v>
      </x:c>
      <x:c r="C290" s="19" t="str">
        <x:v>周二</x:v>
      </x:c>
      <x:c r="D290" s="19" t="str">
        <x:v>S02</x:v>
      </x:c>
      <x:c r="E290" s="19" t="str">
        <x:v>尊宝大厦店</x:v>
      </x:c>
      <x:c r="F290" s="19" t="str">
        <x:v>堂食</x:v>
      </x:c>
      <x:c r="G290" s="19" t="str">
        <x:v>全日</x:v>
      </x:c>
      <x:c r="H290" s="19" t="str">
        <x:v>D06</x:v>
      </x:c>
      <x:c r="I290" s="19" t="str">
        <x:v>剁椒鱼头</x:v>
      </x:c>
      <x:c r="J290" s="22" t="n">
        <x:f>XLOOKUP(H290,'菜品主数据'!$A$5:$A$24,'菜品主数据'!$D$5:$D$24,0)</x:f>
        <x:v>39</x:v>
      </x:c>
      <x:c r="K290" s="31" t="n">
        <x:v>12</x:v>
      </x:c>
      <x:c r="L290" s="35" t="n">
        <x:f>J290*K290</x:f>
        <x:v>468</x:v>
      </x:c>
      <x:c r="M290" s="36" t="n">
        <x:v>0</x:v>
      </x:c>
      <x:c r="N290" s="35" t="n">
        <x:f>L290*M290</x:f>
        <x:v>0</x:v>
      </x:c>
      <x:c r="O290" s="37" t="n">
        <x:v>0</x:v>
      </x:c>
      <x:c r="P290" s="35" t="n">
        <x:f>L290*O290</x:f>
        <x:v>0</x:v>
      </x:c>
      <x:c r="Q290" s="35" t="n">
        <x:v>0</x:v>
      </x:c>
      <x:c r="R290" s="35" t="n">
        <x:f>K290*Q290</x:f>
        <x:v>0</x:v>
      </x:c>
      <x:c r="S290" s="35" t="n">
        <x:f>XLOOKUP(H290,'菜品主数据'!$A$5:$A$24,'菜品主数据'!$G$5:$G$24,0)</x:f>
        <x:v>17.446</x:v>
      </x:c>
      <x:c r="T290" s="35" t="n">
        <x:f>K290*S290</x:f>
        <x:v>209.35200000000003</x:v>
      </x:c>
      <x:c r="U290" s="35" t="n">
        <x:f>L290-N290-P290-R290-T290</x:f>
        <x:v>258.64799999999997</x:v>
      </x:c>
      <x:c r="V290" s="21" t="n">
        <x:f>IFERROR(U290/L290,0)</x:f>
        <x:v>0.5526666666666666</x:v>
      </x:c>
    </x:row>
    <x:row r="291">
      <x:c r="A291" s="19" t="str">
        <x:v>SALE-00287</x:v>
      </x:c>
      <x:c r="B291" s="34" t="n">
        <x:v>46210.5</x:v>
      </x:c>
      <x:c r="C291" s="19" t="str">
        <x:v>周二</x:v>
      </x:c>
      <x:c r="D291" s="19" t="str">
        <x:v>S02</x:v>
      </x:c>
      <x:c r="E291" s="19" t="str">
        <x:v>尊宝大厦店</x:v>
      </x:c>
      <x:c r="F291" s="19" t="str">
        <x:v>堂食</x:v>
      </x:c>
      <x:c r="G291" s="19" t="str">
        <x:v>全日</x:v>
      </x:c>
      <x:c r="H291" s="19" t="str">
        <x:v>D07</x:v>
      </x:c>
      <x:c r="I291" s="19" t="str">
        <x:v>川味回锅肉</x:v>
      </x:c>
      <x:c r="J291" s="22" t="n">
        <x:f>XLOOKUP(H291,'菜品主数据'!$A$5:$A$24,'菜品主数据'!$D$5:$D$24,0)</x:f>
        <x:v>29</x:v>
      </x:c>
      <x:c r="K291" s="31" t="n">
        <x:v>16</x:v>
      </x:c>
      <x:c r="L291" s="35" t="n">
        <x:f>J291*K291</x:f>
        <x:v>464</x:v>
      </x:c>
      <x:c r="M291" s="36" t="n">
        <x:v>0</x:v>
      </x:c>
      <x:c r="N291" s="35" t="n">
        <x:f>L291*M291</x:f>
        <x:v>0</x:v>
      </x:c>
      <x:c r="O291" s="37" t="n">
        <x:v>0</x:v>
      </x:c>
      <x:c r="P291" s="35" t="n">
        <x:f>L291*O291</x:f>
        <x:v>0</x:v>
      </x:c>
      <x:c r="Q291" s="35" t="n">
        <x:v>0</x:v>
      </x:c>
      <x:c r="R291" s="35" t="n">
        <x:f>K291*Q291</x:f>
        <x:v>0</x:v>
      </x:c>
      <x:c r="S291" s="35" t="n">
        <x:f>XLOOKUP(H291,'菜品主数据'!$A$5:$A$24,'菜品主数据'!$G$5:$G$24,0)</x:f>
        <x:v>10.231000000000002</x:v>
      </x:c>
      <x:c r="T291" s="35" t="n">
        <x:f>K291*S291</x:f>
        <x:v>163.69600000000003</x:v>
      </x:c>
      <x:c r="U291" s="35" t="n">
        <x:f>L291-N291-P291-R291-T291</x:f>
        <x:v>300.304</x:v>
      </x:c>
      <x:c r="V291" s="21" t="n">
        <x:f>IFERROR(U291/L291,0)</x:f>
        <x:v>0.647206896551724</x:v>
      </x:c>
    </x:row>
    <x:row r="292">
      <x:c r="A292" s="19" t="str">
        <x:v>SALE-00288</x:v>
      </x:c>
      <x:c r="B292" s="34" t="n">
        <x:v>46210.5</x:v>
      </x:c>
      <x:c r="C292" s="19" t="str">
        <x:v>周二</x:v>
      </x:c>
      <x:c r="D292" s="19" t="str">
        <x:v>S02</x:v>
      </x:c>
      <x:c r="E292" s="19" t="str">
        <x:v>尊宝大厦店</x:v>
      </x:c>
      <x:c r="F292" s="19" t="str">
        <x:v>堂食</x:v>
      </x:c>
      <x:c r="G292" s="19" t="str">
        <x:v>全日</x:v>
      </x:c>
      <x:c r="H292" s="19" t="str">
        <x:v>D08</x:v>
      </x:c>
      <x:c r="I292" s="19" t="str">
        <x:v>生炒清远鸡</x:v>
      </x:c>
      <x:c r="J292" s="22" t="n">
        <x:f>XLOOKUP(H292,'菜品主数据'!$A$5:$A$24,'菜品主数据'!$D$5:$D$24,0)</x:f>
        <x:v>36</x:v>
      </x:c>
      <x:c r="K292" s="31" t="n">
        <x:v>13</x:v>
      </x:c>
      <x:c r="L292" s="35" t="n">
        <x:f>J292*K292</x:f>
        <x:v>468</x:v>
      </x:c>
      <x:c r="M292" s="36" t="n">
        <x:v>0</x:v>
      </x:c>
      <x:c r="N292" s="35" t="n">
        <x:f>L292*M292</x:f>
        <x:v>0</x:v>
      </x:c>
      <x:c r="O292" s="37" t="n">
        <x:v>0</x:v>
      </x:c>
      <x:c r="P292" s="35" t="n">
        <x:f>L292*O292</x:f>
        <x:v>0</x:v>
      </x:c>
      <x:c r="Q292" s="35" t="n">
        <x:v>0</x:v>
      </x:c>
      <x:c r="R292" s="35" t="n">
        <x:f>K292*Q292</x:f>
        <x:v>0</x:v>
      </x:c>
      <x:c r="S292" s="35" t="n">
        <x:f>XLOOKUP(H292,'菜品主数据'!$A$5:$A$24,'菜品主数据'!$G$5:$G$24,0)</x:f>
        <x:v>13.48</x:v>
      </x:c>
      <x:c r="T292" s="35" t="n">
        <x:f>K292*S292</x:f>
        <x:v>175.24</x:v>
      </x:c>
      <x:c r="U292" s="35" t="n">
        <x:f>L292-N292-P292-R292-T292</x:f>
        <x:v>292.76</x:v>
      </x:c>
      <x:c r="V292" s="21" t="n">
        <x:f>IFERROR(U292/L292,0)</x:f>
        <x:v>0.6255555555555555</x:v>
      </x:c>
    </x:row>
    <x:row r="293">
      <x:c r="A293" s="19" t="str">
        <x:v>SALE-00289</x:v>
      </x:c>
      <x:c r="B293" s="34" t="n">
        <x:v>46210.5</x:v>
      </x:c>
      <x:c r="C293" s="19" t="str">
        <x:v>周二</x:v>
      </x:c>
      <x:c r="D293" s="19" t="str">
        <x:v>S02</x:v>
      </x:c>
      <x:c r="E293" s="19" t="str">
        <x:v>尊宝大厦店</x:v>
      </x:c>
      <x:c r="F293" s="19" t="str">
        <x:v>堂食</x:v>
      </x:c>
      <x:c r="G293" s="19" t="str">
        <x:v>全日</x:v>
      </x:c>
      <x:c r="H293" s="19" t="str">
        <x:v>D09</x:v>
      </x:c>
      <x:c r="I293" s="19" t="str">
        <x:v>炒豆干</x:v>
      </x:c>
      <x:c r="J293" s="22" t="n">
        <x:f>XLOOKUP(H293,'菜品主数据'!$A$5:$A$24,'菜品主数据'!$D$5:$D$24,0)</x:f>
        <x:v>18</x:v>
      </x:c>
      <x:c r="K293" s="31" t="n">
        <x:v>16</x:v>
      </x:c>
      <x:c r="L293" s="35" t="n">
        <x:f>J293*K293</x:f>
        <x:v>288</x:v>
      </x:c>
      <x:c r="M293" s="36" t="n">
        <x:v>0</x:v>
      </x:c>
      <x:c r="N293" s="35" t="n">
        <x:f>L293*M293</x:f>
        <x:v>0</x:v>
      </x:c>
      <x:c r="O293" s="37" t="n">
        <x:v>0</x:v>
      </x:c>
      <x:c r="P293" s="35" t="n">
        <x:f>L293*O293</x:f>
        <x:v>0</x:v>
      </x:c>
      <x:c r="Q293" s="35" t="n">
        <x:v>0</x:v>
      </x:c>
      <x:c r="R293" s="35" t="n">
        <x:f>K293*Q293</x:f>
        <x:v>0</x:v>
      </x:c>
      <x:c r="S293" s="35" t="n">
        <x:f>XLOOKUP(H293,'菜品主数据'!$A$5:$A$24,'菜品主数据'!$G$5:$G$24,0)</x:f>
        <x:v>6.613999999999999</x:v>
      </x:c>
      <x:c r="T293" s="35" t="n">
        <x:f>K293*S293</x:f>
        <x:v>105.82399999999998</x:v>
      </x:c>
      <x:c r="U293" s="35" t="n">
        <x:f>L293-N293-P293-R293-T293</x:f>
        <x:v>182.17600000000002</x:v>
      </x:c>
      <x:c r="V293" s="21" t="n">
        <x:f>IFERROR(U293/L293,0)</x:f>
        <x:v>0.6325555555555556</x:v>
      </x:c>
    </x:row>
    <x:row r="294">
      <x:c r="A294" s="19" t="str">
        <x:v>SALE-00290</x:v>
      </x:c>
      <x:c r="B294" s="34" t="n">
        <x:v>46210.5</x:v>
      </x:c>
      <x:c r="C294" s="19" t="str">
        <x:v>周二</x:v>
      </x:c>
      <x:c r="D294" s="19" t="str">
        <x:v>S02</x:v>
      </x:c>
      <x:c r="E294" s="19" t="str">
        <x:v>尊宝大厦店</x:v>
      </x:c>
      <x:c r="F294" s="19" t="str">
        <x:v>堂食</x:v>
      </x:c>
      <x:c r="G294" s="19" t="str">
        <x:v>全日</x:v>
      </x:c>
      <x:c r="H294" s="19" t="str">
        <x:v>D10</x:v>
      </x:c>
      <x:c r="I294" s="19" t="str">
        <x:v>农家一碗香</x:v>
      </x:c>
      <x:c r="J294" s="22" t="n">
        <x:f>XLOOKUP(H294,'菜品主数据'!$A$5:$A$24,'菜品主数据'!$D$5:$D$24,0)</x:f>
        <x:v>22.9</x:v>
      </x:c>
      <x:c r="K294" s="31" t="n">
        <x:v>17</x:v>
      </x:c>
      <x:c r="L294" s="35" t="n">
        <x:f>J294*K294</x:f>
        <x:v>389.29999999999995</x:v>
      </x:c>
      <x:c r="M294" s="36" t="n">
        <x:v>0</x:v>
      </x:c>
      <x:c r="N294" s="35" t="n">
        <x:f>L294*M294</x:f>
        <x:v>0</x:v>
      </x:c>
      <x:c r="O294" s="37" t="n">
        <x:v>0</x:v>
      </x:c>
      <x:c r="P294" s="35" t="n">
        <x:f>L294*O294</x:f>
        <x:v>0</x:v>
      </x:c>
      <x:c r="Q294" s="35" t="n">
        <x:v>0</x:v>
      </x:c>
      <x:c r="R294" s="35" t="n">
        <x:f>K294*Q294</x:f>
        <x:v>0</x:v>
      </x:c>
      <x:c r="S294" s="35" t="n">
        <x:f>XLOOKUP(H294,'菜品主数据'!$A$5:$A$24,'菜品主数据'!$G$5:$G$24,0)</x:f>
        <x:v>9.770200000000003</x:v>
      </x:c>
      <x:c r="T294" s="35" t="n">
        <x:f>K294*S294</x:f>
        <x:v>166.09340000000003</x:v>
      </x:c>
      <x:c r="U294" s="35" t="n">
        <x:f>L294-N294-P294-R294-T294</x:f>
        <x:v>223.20659999999992</x:v>
      </x:c>
      <x:c r="V294" s="21" t="n">
        <x:f>IFERROR(U294/L294,0)</x:f>
        <x:v>0.5733537117903929</x:v>
      </x:c>
    </x:row>
    <x:row r="295">
      <x:c r="A295" s="19" t="str">
        <x:v>SALE-00291</x:v>
      </x:c>
      <x:c r="B295" s="34" t="n">
        <x:v>46210.5</x:v>
      </x:c>
      <x:c r="C295" s="19" t="str">
        <x:v>周二</x:v>
      </x:c>
      <x:c r="D295" s="19" t="str">
        <x:v>S02</x:v>
      </x:c>
      <x:c r="E295" s="19" t="str">
        <x:v>尊宝大厦店</x:v>
      </x:c>
      <x:c r="F295" s="19" t="str">
        <x:v>堂食</x:v>
      </x:c>
      <x:c r="G295" s="19" t="str">
        <x:v>全日</x:v>
      </x:c>
      <x:c r="H295" s="19" t="str">
        <x:v>D11</x:v>
      </x:c>
      <x:c r="I295" s="19" t="str">
        <x:v>香辣爆肥肠</x:v>
      </x:c>
      <x:c r="J295" s="22" t="n">
        <x:f>XLOOKUP(H295,'菜品主数据'!$A$5:$A$24,'菜品主数据'!$D$5:$D$24,0)</x:f>
        <x:v>39</x:v>
      </x:c>
      <x:c r="K295" s="31" t="n">
        <x:v>8</x:v>
      </x:c>
      <x:c r="L295" s="35" t="n">
        <x:f>J295*K295</x:f>
        <x:v>312</x:v>
      </x:c>
      <x:c r="M295" s="36" t="n">
        <x:v>0</x:v>
      </x:c>
      <x:c r="N295" s="35" t="n">
        <x:f>L295*M295</x:f>
        <x:v>0</x:v>
      </x:c>
      <x:c r="O295" s="37" t="n">
        <x:v>0</x:v>
      </x:c>
      <x:c r="P295" s="35" t="n">
        <x:f>L295*O295</x:f>
        <x:v>0</x:v>
      </x:c>
      <x:c r="Q295" s="35" t="n">
        <x:v>0</x:v>
      </x:c>
      <x:c r="R295" s="35" t="n">
        <x:f>K295*Q295</x:f>
        <x:v>0</x:v>
      </x:c>
      <x:c r="S295" s="35" t="n">
        <x:f>XLOOKUP(H295,'菜品主数据'!$A$5:$A$24,'菜品主数据'!$G$5:$G$24,0)</x:f>
        <x:v>10.397</x:v>
      </x:c>
      <x:c r="T295" s="35" t="n">
        <x:f>K295*S295</x:f>
        <x:v>83.176</x:v>
      </x:c>
      <x:c r="U295" s="35" t="n">
        <x:f>L295-N295-P295-R295-T295</x:f>
        <x:v>228.824</x:v>
      </x:c>
      <x:c r="V295" s="21" t="n">
        <x:f>IFERROR(U295/L295,0)</x:f>
        <x:v>0.7334102564102565</x:v>
      </x:c>
    </x:row>
    <x:row r="296">
      <x:c r="A296" s="19" t="str">
        <x:v>SALE-00292</x:v>
      </x:c>
      <x:c r="B296" s="34" t="n">
        <x:v>46210.5</x:v>
      </x:c>
      <x:c r="C296" s="19" t="str">
        <x:v>周二</x:v>
      </x:c>
      <x:c r="D296" s="19" t="str">
        <x:v>S02</x:v>
      </x:c>
      <x:c r="E296" s="19" t="str">
        <x:v>尊宝大厦店</x:v>
      </x:c>
      <x:c r="F296" s="19" t="str">
        <x:v>堂食</x:v>
      </x:c>
      <x:c r="G296" s="19" t="str">
        <x:v>全日</x:v>
      </x:c>
      <x:c r="H296" s="19" t="str">
        <x:v>D12</x:v>
      </x:c>
      <x:c r="I296" s="19" t="str">
        <x:v>清蒸鲈鱼</x:v>
      </x:c>
      <x:c r="J296" s="22" t="n">
        <x:f>XLOOKUP(H296,'菜品主数据'!$A$5:$A$24,'菜品主数据'!$D$5:$D$24,0)</x:f>
        <x:v>39</x:v>
      </x:c>
      <x:c r="K296" s="31" t="n">
        <x:v>7</x:v>
      </x:c>
      <x:c r="L296" s="35" t="n">
        <x:f>J296*K296</x:f>
        <x:v>273</x:v>
      </x:c>
      <x:c r="M296" s="36" t="n">
        <x:v>0</x:v>
      </x:c>
      <x:c r="N296" s="35" t="n">
        <x:f>L296*M296</x:f>
        <x:v>0</x:v>
      </x:c>
      <x:c r="O296" s="37" t="n">
        <x:v>0</x:v>
      </x:c>
      <x:c r="P296" s="35" t="n">
        <x:f>L296*O296</x:f>
        <x:v>0</x:v>
      </x:c>
      <x:c r="Q296" s="35" t="n">
        <x:v>0</x:v>
      </x:c>
      <x:c r="R296" s="35" t="n">
        <x:f>K296*Q296</x:f>
        <x:v>0</x:v>
      </x:c>
      <x:c r="S296" s="35" t="n">
        <x:f>XLOOKUP(H296,'菜品主数据'!$A$5:$A$24,'菜品主数据'!$G$5:$G$24,0)</x:f>
        <x:v>18.874</x:v>
      </x:c>
      <x:c r="T296" s="35" t="n">
        <x:f>K296*S296</x:f>
        <x:v>132.118</x:v>
      </x:c>
      <x:c r="U296" s="35" t="n">
        <x:f>L296-N296-P296-R296-T296</x:f>
        <x:v>140.882</x:v>
      </x:c>
      <x:c r="V296" s="21" t="n">
        <x:f>IFERROR(U296/L296,0)</x:f>
        <x:v>0.516051282051282</x:v>
      </x:c>
    </x:row>
    <x:row r="297">
      <x:c r="A297" s="19" t="str">
        <x:v>SALE-00293</x:v>
      </x:c>
      <x:c r="B297" s="34" t="n">
        <x:v>46210.5</x:v>
      </x:c>
      <x:c r="C297" s="19" t="str">
        <x:v>周二</x:v>
      </x:c>
      <x:c r="D297" s="19" t="str">
        <x:v>S02</x:v>
      </x:c>
      <x:c r="E297" s="19" t="str">
        <x:v>尊宝大厦店</x:v>
      </x:c>
      <x:c r="F297" s="19" t="str">
        <x:v>堂食</x:v>
      </x:c>
      <x:c r="G297" s="19" t="str">
        <x:v>全日</x:v>
      </x:c>
      <x:c r="H297" s="19" t="str">
        <x:v>D13</x:v>
      </x:c>
      <x:c r="I297" s="19" t="str">
        <x:v>外婆菜炒蛋</x:v>
      </x:c>
      <x:c r="J297" s="22" t="n">
        <x:f>XLOOKUP(H297,'菜品主数据'!$A$5:$A$24,'菜品主数据'!$D$5:$D$24,0)</x:f>
        <x:v>18</x:v>
      </x:c>
      <x:c r="K297" s="31" t="n">
        <x:v>15</x:v>
      </x:c>
      <x:c r="L297" s="35" t="n">
        <x:f>J297*K297</x:f>
        <x:v>270</x:v>
      </x:c>
      <x:c r="M297" s="36" t="n">
        <x:v>0</x:v>
      </x:c>
      <x:c r="N297" s="35" t="n">
        <x:f>L297*M297</x:f>
        <x:v>0</x:v>
      </x:c>
      <x:c r="O297" s="37" t="n">
        <x:v>0</x:v>
      </x:c>
      <x:c r="P297" s="35" t="n">
        <x:f>L297*O297</x:f>
        <x:v>0</x:v>
      </x:c>
      <x:c r="Q297" s="35" t="n">
        <x:v>0</x:v>
      </x:c>
      <x:c r="R297" s="35" t="n">
        <x:f>K297*Q297</x:f>
        <x:v>0</x:v>
      </x:c>
      <x:c r="S297" s="35" t="n">
        <x:f>XLOOKUP(H297,'菜品主数据'!$A$5:$A$24,'菜品主数据'!$G$5:$G$24,0)</x:f>
        <x:v>5.403999999999999</x:v>
      </x:c>
      <x:c r="T297" s="35" t="n">
        <x:f>K297*S297</x:f>
        <x:v>81.05999999999999</x:v>
      </x:c>
      <x:c r="U297" s="35" t="n">
        <x:f>L297-N297-P297-R297-T297</x:f>
        <x:v>188.94</x:v>
      </x:c>
      <x:c r="V297" s="21" t="n">
        <x:f>IFERROR(U297/L297,0)</x:f>
        <x:v>0.6997777777777777</x:v>
      </x:c>
    </x:row>
    <x:row r="298">
      <x:c r="A298" s="19" t="str">
        <x:v>SALE-00294</x:v>
      </x:c>
      <x:c r="B298" s="34" t="n">
        <x:v>46210.5</x:v>
      </x:c>
      <x:c r="C298" s="19" t="str">
        <x:v>周二</x:v>
      </x:c>
      <x:c r="D298" s="19" t="str">
        <x:v>S02</x:v>
      </x:c>
      <x:c r="E298" s="19" t="str">
        <x:v>尊宝大厦店</x:v>
      </x:c>
      <x:c r="F298" s="19" t="str">
        <x:v>堂食</x:v>
      </x:c>
      <x:c r="G298" s="19" t="str">
        <x:v>全日</x:v>
      </x:c>
      <x:c r="H298" s="19" t="str">
        <x:v>D14</x:v>
      </x:c>
      <x:c r="I298" s="19" t="str">
        <x:v>酸辣鸡杂</x:v>
      </x:c>
      <x:c r="J298" s="22" t="n">
        <x:f>XLOOKUP(H298,'菜品主数据'!$A$5:$A$24,'菜品主数据'!$D$5:$D$24,0)</x:f>
        <x:v>28</x:v>
      </x:c>
      <x:c r="K298" s="31" t="n">
        <x:v>9</x:v>
      </x:c>
      <x:c r="L298" s="35" t="n">
        <x:f>J298*K298</x:f>
        <x:v>252</x:v>
      </x:c>
      <x:c r="M298" s="36" t="n">
        <x:v>0</x:v>
      </x:c>
      <x:c r="N298" s="35" t="n">
        <x:f>L298*M298</x:f>
        <x:v>0</x:v>
      </x:c>
      <x:c r="O298" s="37" t="n">
        <x:v>0</x:v>
      </x:c>
      <x:c r="P298" s="35" t="n">
        <x:f>L298*O298</x:f>
        <x:v>0</x:v>
      </x:c>
      <x:c r="Q298" s="35" t="n">
        <x:v>0</x:v>
      </x:c>
      <x:c r="R298" s="35" t="n">
        <x:f>K298*Q298</x:f>
        <x:v>0</x:v>
      </x:c>
      <x:c r="S298" s="35" t="n">
        <x:f>XLOOKUP(H298,'菜品主数据'!$A$5:$A$24,'菜品主数据'!$G$5:$G$24,0)</x:f>
        <x:v>8.315000000000001</x:v>
      </x:c>
      <x:c r="T298" s="35" t="n">
        <x:f>K298*S298</x:f>
        <x:v>74.83500000000001</x:v>
      </x:c>
      <x:c r="U298" s="35" t="n">
        <x:f>L298-N298-P298-R298-T298</x:f>
        <x:v>177.165</x:v>
      </x:c>
      <x:c r="V298" s="21" t="n">
        <x:f>IFERROR(U298/L298,0)</x:f>
        <x:v>0.7030357142857142</x:v>
      </x:c>
    </x:row>
    <x:row r="299">
      <x:c r="A299" s="19" t="str">
        <x:v>SALE-00295</x:v>
      </x:c>
      <x:c r="B299" s="34" t="n">
        <x:v>46210.5</x:v>
      </x:c>
      <x:c r="C299" s="19" t="str">
        <x:v>周二</x:v>
      </x:c>
      <x:c r="D299" s="19" t="str">
        <x:v>S02</x:v>
      </x:c>
      <x:c r="E299" s="19" t="str">
        <x:v>尊宝大厦店</x:v>
      </x:c>
      <x:c r="F299" s="19" t="str">
        <x:v>堂食</x:v>
      </x:c>
      <x:c r="G299" s="19" t="str">
        <x:v>全日</x:v>
      </x:c>
      <x:c r="H299" s="19" t="str">
        <x:v>D15</x:v>
      </x:c>
      <x:c r="I299" s="19" t="str">
        <x:v>湘西土匪猪肝</x:v>
      </x:c>
      <x:c r="J299" s="22" t="n">
        <x:f>XLOOKUP(H299,'菜品主数据'!$A$5:$A$24,'菜品主数据'!$D$5:$D$24,0)</x:f>
        <x:v>26</x:v>
      </x:c>
      <x:c r="K299" s="31" t="n">
        <x:v>8</x:v>
      </x:c>
      <x:c r="L299" s="35" t="n">
        <x:f>J299*K299</x:f>
        <x:v>208</x:v>
      </x:c>
      <x:c r="M299" s="36" t="n">
        <x:v>0</x:v>
      </x:c>
      <x:c r="N299" s="35" t="n">
        <x:f>L299*M299</x:f>
        <x:v>0</x:v>
      </x:c>
      <x:c r="O299" s="37" t="n">
        <x:v>0</x:v>
      </x:c>
      <x:c r="P299" s="35" t="n">
        <x:f>L299*O299</x:f>
        <x:v>0</x:v>
      </x:c>
      <x:c r="Q299" s="35" t="n">
        <x:v>0</x:v>
      </x:c>
      <x:c r="R299" s="35" t="n">
        <x:f>K299*Q299</x:f>
        <x:v>0</x:v>
      </x:c>
      <x:c r="S299" s="35" t="n">
        <x:f>XLOOKUP(H299,'菜品主数据'!$A$5:$A$24,'菜品主数据'!$G$5:$G$24,0)</x:f>
        <x:v>6.3759999999999994</x:v>
      </x:c>
      <x:c r="T299" s="35" t="n">
        <x:f>K299*S299</x:f>
        <x:v>51.007999999999996</x:v>
      </x:c>
      <x:c r="U299" s="35" t="n">
        <x:f>L299-N299-P299-R299-T299</x:f>
        <x:v>156.99200000000002</x:v>
      </x:c>
      <x:c r="V299" s="21" t="n">
        <x:f>IFERROR(U299/L299,0)</x:f>
        <x:v>0.7547692307692309</x:v>
      </x:c>
    </x:row>
    <x:row r="300">
      <x:c r="A300" s="19" t="str">
        <x:v>SALE-00296</x:v>
      </x:c>
      <x:c r="B300" s="34" t="n">
        <x:v>46210.5</x:v>
      </x:c>
      <x:c r="C300" s="19" t="str">
        <x:v>周二</x:v>
      </x:c>
      <x:c r="D300" s="19" t="str">
        <x:v>S02</x:v>
      </x:c>
      <x:c r="E300" s="19" t="str">
        <x:v>尊宝大厦店</x:v>
      </x:c>
      <x:c r="F300" s="19" t="str">
        <x:v>堂食</x:v>
      </x:c>
      <x:c r="G300" s="19" t="str">
        <x:v>全日</x:v>
      </x:c>
      <x:c r="H300" s="19" t="str">
        <x:v>D16</x:v>
      </x:c>
      <x:c r="I300" s="19" t="str">
        <x:v>小豆角炒五花</x:v>
      </x:c>
      <x:c r="J300" s="22" t="n">
        <x:f>XLOOKUP(H300,'菜品主数据'!$A$5:$A$24,'菜品主数据'!$D$5:$D$24,0)</x:f>
        <x:v>25</x:v>
      </x:c>
      <x:c r="K300" s="31" t="n">
        <x:v>8</x:v>
      </x:c>
      <x:c r="L300" s="35" t="n">
        <x:f>J300*K300</x:f>
        <x:v>200</x:v>
      </x:c>
      <x:c r="M300" s="36" t="n">
        <x:v>0</x:v>
      </x:c>
      <x:c r="N300" s="35" t="n">
        <x:f>L300*M300</x:f>
        <x:v>0</x:v>
      </x:c>
      <x:c r="O300" s="37" t="n">
        <x:v>0</x:v>
      </x:c>
      <x:c r="P300" s="35" t="n">
        <x:f>L300*O300</x:f>
        <x:v>0</x:v>
      </x:c>
      <x:c r="Q300" s="35" t="n">
        <x:v>0</x:v>
      </x:c>
      <x:c r="R300" s="35" t="n">
        <x:f>K300*Q300</x:f>
        <x:v>0</x:v>
      </x:c>
      <x:c r="S300" s="35" t="n">
        <x:f>XLOOKUP(H300,'菜品主数据'!$A$5:$A$24,'菜品主数据'!$G$5:$G$24,0)</x:f>
        <x:v>8.184</x:v>
      </x:c>
      <x:c r="T300" s="35" t="n">
        <x:f>K300*S300</x:f>
        <x:v>65.472</x:v>
      </x:c>
      <x:c r="U300" s="35" t="n">
        <x:f>L300-N300-P300-R300-T300</x:f>
        <x:v>134.52800000000002</x:v>
      </x:c>
      <x:c r="V300" s="21" t="n">
        <x:f>IFERROR(U300/L300,0)</x:f>
        <x:v>0.6726400000000001</x:v>
      </x:c>
    </x:row>
    <x:row r="301">
      <x:c r="A301" s="19" t="str">
        <x:v>SALE-00297</x:v>
      </x:c>
      <x:c r="B301" s="34" t="n">
        <x:v>46210.5</x:v>
      </x:c>
      <x:c r="C301" s="19" t="str">
        <x:v>周二</x:v>
      </x:c>
      <x:c r="D301" s="19" t="str">
        <x:v>S02</x:v>
      </x:c>
      <x:c r="E301" s="19" t="str">
        <x:v>尊宝大厦店</x:v>
      </x:c>
      <x:c r="F301" s="19" t="str">
        <x:v>堂食</x:v>
      </x:c>
      <x:c r="G301" s="19" t="str">
        <x:v>全日</x:v>
      </x:c>
      <x:c r="H301" s="19" t="str">
        <x:v>D17</x:v>
      </x:c>
      <x:c r="I301" s="19" t="str">
        <x:v>蒜蓉粉丝虾</x:v>
      </x:c>
      <x:c r="J301" s="22" t="n">
        <x:f>XLOOKUP(H301,'菜品主数据'!$A$5:$A$24,'菜品主数据'!$D$5:$D$24,0)</x:f>
        <x:v>36</x:v>
      </x:c>
      <x:c r="K301" s="31" t="n">
        <x:v>5</x:v>
      </x:c>
      <x:c r="L301" s="35" t="n">
        <x:f>J301*K301</x:f>
        <x:v>180</x:v>
      </x:c>
      <x:c r="M301" s="36" t="n">
        <x:v>0</x:v>
      </x:c>
      <x:c r="N301" s="35" t="n">
        <x:f>L301*M301</x:f>
        <x:v>0</x:v>
      </x:c>
      <x:c r="O301" s="37" t="n">
        <x:v>0</x:v>
      </x:c>
      <x:c r="P301" s="35" t="n">
        <x:f>L301*O301</x:f>
        <x:v>0</x:v>
      </x:c>
      <x:c r="Q301" s="35" t="n">
        <x:v>0</x:v>
      </x:c>
      <x:c r="R301" s="35" t="n">
        <x:f>K301*Q301</x:f>
        <x:v>0</x:v>
      </x:c>
      <x:c r="S301" s="35" t="n">
        <x:f>XLOOKUP(H301,'菜品主数据'!$A$5:$A$24,'菜品主数据'!$G$5:$G$24,0)</x:f>
        <x:v>13.594</x:v>
      </x:c>
      <x:c r="T301" s="35" t="n">
        <x:f>K301*S301</x:f>
        <x:v>67.97</x:v>
      </x:c>
      <x:c r="U301" s="35" t="n">
        <x:f>L301-N301-P301-R301-T301</x:f>
        <x:v>112.03</x:v>
      </x:c>
      <x:c r="V301" s="21" t="n">
        <x:f>IFERROR(U301/L301,0)</x:f>
        <x:v>0.6223888888888889</x:v>
      </x:c>
    </x:row>
    <x:row r="302">
      <x:c r="A302" s="19" t="str">
        <x:v>SALE-00298</x:v>
      </x:c>
      <x:c r="B302" s="34" t="n">
        <x:v>46210.5</x:v>
      </x:c>
      <x:c r="C302" s="19" t="str">
        <x:v>周二</x:v>
      </x:c>
      <x:c r="D302" s="19" t="str">
        <x:v>S02</x:v>
      </x:c>
      <x:c r="E302" s="19" t="str">
        <x:v>尊宝大厦店</x:v>
      </x:c>
      <x:c r="F302" s="19" t="str">
        <x:v>堂食</x:v>
      </x:c>
      <x:c r="G302" s="19" t="str">
        <x:v>全日</x:v>
      </x:c>
      <x:c r="H302" s="19" t="str">
        <x:v>D18</x:v>
      </x:c>
      <x:c r="I302" s="19" t="str">
        <x:v>青椒炒油麦菜</x:v>
      </x:c>
      <x:c r="J302" s="22" t="n">
        <x:f>XLOOKUP(H302,'菜品主数据'!$A$5:$A$24,'菜品主数据'!$D$5:$D$24,0)</x:f>
        <x:v>18</x:v>
      </x:c>
      <x:c r="K302" s="31" t="n">
        <x:v>8</x:v>
      </x:c>
      <x:c r="L302" s="35" t="n">
        <x:f>J302*K302</x:f>
        <x:v>144</x:v>
      </x:c>
      <x:c r="M302" s="36" t="n">
        <x:v>0</x:v>
      </x:c>
      <x:c r="N302" s="35" t="n">
        <x:f>L302*M302</x:f>
        <x:v>0</x:v>
      </x:c>
      <x:c r="O302" s="37" t="n">
        <x:v>0</x:v>
      </x:c>
      <x:c r="P302" s="35" t="n">
        <x:f>L302*O302</x:f>
        <x:v>0</x:v>
      </x:c>
      <x:c r="Q302" s="35" t="n">
        <x:v>0</x:v>
      </x:c>
      <x:c r="R302" s="35" t="n">
        <x:f>K302*Q302</x:f>
        <x:v>0</x:v>
      </x:c>
      <x:c r="S302" s="35" t="n">
        <x:f>XLOOKUP(H302,'菜品主数据'!$A$5:$A$24,'菜品主数据'!$G$5:$G$24,0)</x:f>
        <x:v>3.1759999999999993</x:v>
      </x:c>
      <x:c r="T302" s="35" t="n">
        <x:f>K302*S302</x:f>
        <x:v>25.407999999999994</x:v>
      </x:c>
      <x:c r="U302" s="35" t="n">
        <x:f>L302-N302-P302-R302-T302</x:f>
        <x:v>118.59200000000001</x:v>
      </x:c>
      <x:c r="V302" s="21" t="n">
        <x:f>IFERROR(U302/L302,0)</x:f>
        <x:v>0.8235555555555556</x:v>
      </x:c>
    </x:row>
    <x:row r="303">
      <x:c r="A303" s="19" t="str">
        <x:v>SALE-00299</x:v>
      </x:c>
      <x:c r="B303" s="34" t="n">
        <x:v>46210.5</x:v>
      </x:c>
      <x:c r="C303" s="19" t="str">
        <x:v>周二</x:v>
      </x:c>
      <x:c r="D303" s="19" t="str">
        <x:v>S02</x:v>
      </x:c>
      <x:c r="E303" s="19" t="str">
        <x:v>尊宝大厦店</x:v>
      </x:c>
      <x:c r="F303" s="19" t="str">
        <x:v>堂食</x:v>
      </x:c>
      <x:c r="G303" s="19" t="str">
        <x:v>全日</x:v>
      </x:c>
      <x:c r="H303" s="19" t="str">
        <x:v>D19</x:v>
      </x:c>
      <x:c r="I303" s="19" t="str">
        <x:v>酸萝卜炒鸡杂</x:v>
      </x:c>
      <x:c r="J303" s="22" t="n">
        <x:f>XLOOKUP(H303,'菜品主数据'!$A$5:$A$24,'菜品主数据'!$D$5:$D$24,0)</x:f>
        <x:v>25</x:v>
      </x:c>
      <x:c r="K303" s="31" t="n">
        <x:v>7</x:v>
      </x:c>
      <x:c r="L303" s="35" t="n">
        <x:f>J303*K303</x:f>
        <x:v>175</x:v>
      </x:c>
      <x:c r="M303" s="36" t="n">
        <x:v>0</x:v>
      </x:c>
      <x:c r="N303" s="35" t="n">
        <x:f>L303*M303</x:f>
        <x:v>0</x:v>
      </x:c>
      <x:c r="O303" s="37" t="n">
        <x:v>0</x:v>
      </x:c>
      <x:c r="P303" s="35" t="n">
        <x:f>L303*O303</x:f>
        <x:v>0</x:v>
      </x:c>
      <x:c r="Q303" s="35" t="n">
        <x:v>0</x:v>
      </x:c>
      <x:c r="R303" s="35" t="n">
        <x:f>K303*Q303</x:f>
        <x:v>0</x:v>
      </x:c>
      <x:c r="S303" s="35" t="n">
        <x:f>XLOOKUP(H303,'菜品主数据'!$A$5:$A$24,'菜品主数据'!$G$5:$G$24,0)</x:f>
        <x:v>7.9399999999999995</x:v>
      </x:c>
      <x:c r="T303" s="35" t="n">
        <x:f>K303*S303</x:f>
        <x:v>55.58</x:v>
      </x:c>
      <x:c r="U303" s="35" t="n">
        <x:f>L303-N303-P303-R303-T303</x:f>
        <x:v>119.42</x:v>
      </x:c>
      <x:c r="V303" s="21" t="n">
        <x:f>IFERROR(U303/L303,0)</x:f>
        <x:v>0.6824</x:v>
      </x:c>
    </x:row>
    <x:row r="304">
      <x:c r="A304" s="19" t="str">
        <x:v>SALE-00300</x:v>
      </x:c>
      <x:c r="B304" s="34" t="n">
        <x:v>46210.5</x:v>
      </x:c>
      <x:c r="C304" s="19" t="str">
        <x:v>周二</x:v>
      </x:c>
      <x:c r="D304" s="19" t="str">
        <x:v>S02</x:v>
      </x:c>
      <x:c r="E304" s="19" t="str">
        <x:v>尊宝大厦店</x:v>
      </x:c>
      <x:c r="F304" s="19" t="str">
        <x:v>堂食</x:v>
      </x:c>
      <x:c r="G304" s="19" t="str">
        <x:v>全日</x:v>
      </x:c>
      <x:c r="H304" s="19" t="str">
        <x:v>D20</x:v>
      </x:c>
      <x:c r="I304" s="19" t="str">
        <x:v>雪菜肉末青豆</x:v>
      </x:c>
      <x:c r="J304" s="22" t="n">
        <x:f>XLOOKUP(H304,'菜品主数据'!$A$5:$A$24,'菜品主数据'!$D$5:$D$24,0)</x:f>
        <x:v>18</x:v>
      </x:c>
      <x:c r="K304" s="31" t="n">
        <x:v>9</x:v>
      </x:c>
      <x:c r="L304" s="35" t="n">
        <x:f>J304*K304</x:f>
        <x:v>162</x:v>
      </x:c>
      <x:c r="M304" s="36" t="n">
        <x:v>0</x:v>
      </x:c>
      <x:c r="N304" s="35" t="n">
        <x:f>L304*M304</x:f>
        <x:v>0</x:v>
      </x:c>
      <x:c r="O304" s="37" t="n">
        <x:v>0</x:v>
      </x:c>
      <x:c r="P304" s="35" t="n">
        <x:f>L304*O304</x:f>
        <x:v>0</x:v>
      </x:c>
      <x:c r="Q304" s="35" t="n">
        <x:v>0</x:v>
      </x:c>
      <x:c r="R304" s="35" t="n">
        <x:f>K304*Q304</x:f>
        <x:v>0</x:v>
      </x:c>
      <x:c r="S304" s="35" t="n">
        <x:f>XLOOKUP(H304,'菜品主数据'!$A$5:$A$24,'菜品主数据'!$G$5:$G$24,0)</x:f>
        <x:v>7.303999999999999</x:v>
      </x:c>
      <x:c r="T304" s="35" t="n">
        <x:f>K304*S304</x:f>
        <x:v>65.73599999999999</x:v>
      </x:c>
      <x:c r="U304" s="35" t="n">
        <x:f>L304-N304-P304-R304-T304</x:f>
        <x:v>96.26400000000001</x:v>
      </x:c>
      <x:c r="V304" s="21" t="n">
        <x:f>IFERROR(U304/L304,0)</x:f>
        <x:v>0.5942222222222223</x:v>
      </x:c>
    </x:row>
    <x:row r="305">
      <x:c r="A305" s="19" t="str">
        <x:v>SALE-00301</x:v>
      </x:c>
      <x:c r="B305" s="34" t="n">
        <x:v>46210.5</x:v>
      </x:c>
      <x:c r="C305" s="19" t="str">
        <x:v>周二</x:v>
      </x:c>
      <x:c r="D305" s="19" t="str">
        <x:v>S02</x:v>
      </x:c>
      <x:c r="E305" s="19" t="str">
        <x:v>尊宝大厦店</x:v>
      </x:c>
      <x:c r="F305" s="19" t="str">
        <x:v>外卖</x:v>
      </x:c>
      <x:c r="G305" s="19" t="str">
        <x:v>全日</x:v>
      </x:c>
      <x:c r="H305" s="19" t="str">
        <x:v>D01</x:v>
      </x:c>
      <x:c r="I305" s="19" t="str">
        <x:v>辣椒炒肉</x:v>
      </x:c>
      <x:c r="J305" s="22" t="n">
        <x:f>XLOOKUP(H305,'菜品主数据'!$A$5:$A$24,'菜品主数据'!$D$5:$D$24,0)</x:f>
        <x:v>29</x:v>
      </x:c>
      <x:c r="K305" s="31" t="n">
        <x:v>5</x:v>
      </x:c>
      <x:c r="L305" s="35" t="n">
        <x:f>J305*K305</x:f>
        <x:v>145</x:v>
      </x:c>
      <x:c r="M305" s="36" t="n">
        <x:v>0.08</x:v>
      </x:c>
      <x:c r="N305" s="35" t="n">
        <x:f>L305*M305</x:f>
        <x:v>11.6</x:v>
      </x:c>
      <x:c r="O305" s="37" t="n">
        <x:v>0.18</x:v>
      </x:c>
      <x:c r="P305" s="35" t="n">
        <x:f>L305*O305</x:f>
        <x:v>26.099999999999998</x:v>
      </x:c>
      <x:c r="Q305" s="35" t="n">
        <x:v>1.2</x:v>
      </x:c>
      <x:c r="R305" s="35" t="n">
        <x:f>K305*Q305</x:f>
        <x:v>6</x:v>
      </x:c>
      <x:c r="S305" s="35" t="n">
        <x:f>XLOOKUP(H305,'菜品主数据'!$A$5:$A$24,'菜品主数据'!$G$5:$G$24,0)</x:f>
        <x:v>8.634400000000001</x:v>
      </x:c>
      <x:c r="T305" s="35" t="n">
        <x:f>K305*S305</x:f>
        <x:v>43.172000000000004</x:v>
      </x:c>
      <x:c r="U305" s="35" t="n">
        <x:f>L305-N305-P305-R305-T305</x:f>
        <x:v>58.12800000000001</x:v>
      </x:c>
      <x:c r="V305" s="21" t="n">
        <x:f>IFERROR(U305/L305,0)</x:f>
        <x:v>0.4008827586206897</x:v>
      </x:c>
    </x:row>
    <x:row r="306">
      <x:c r="A306" s="19" t="str">
        <x:v>SALE-00302</x:v>
      </x:c>
      <x:c r="B306" s="34" t="n">
        <x:v>46210.5</x:v>
      </x:c>
      <x:c r="C306" s="19" t="str">
        <x:v>周二</x:v>
      </x:c>
      <x:c r="D306" s="19" t="str">
        <x:v>S02</x:v>
      </x:c>
      <x:c r="E306" s="19" t="str">
        <x:v>尊宝大厦店</x:v>
      </x:c>
      <x:c r="F306" s="19" t="str">
        <x:v>外卖</x:v>
      </x:c>
      <x:c r="G306" s="19" t="str">
        <x:v>全日</x:v>
      </x:c>
      <x:c r="H306" s="19" t="str">
        <x:v>D02</x:v>
      </x:c>
      <x:c r="I306" s="19" t="str">
        <x:v>小炒黄牛肉</x:v>
      </x:c>
      <x:c r="J306" s="22" t="n">
        <x:f>XLOOKUP(H306,'菜品主数据'!$A$5:$A$24,'菜品主数据'!$D$5:$D$24,0)</x:f>
        <x:v>49</x:v>
      </x:c>
      <x:c r="K306" s="31" t="n">
        <x:v>8</x:v>
      </x:c>
      <x:c r="L306" s="35" t="n">
        <x:f>J306*K306</x:f>
        <x:v>392</x:v>
      </x:c>
      <x:c r="M306" s="36" t="n">
        <x:v>0.08</x:v>
      </x:c>
      <x:c r="N306" s="35" t="n">
        <x:f>L306*M306</x:f>
        <x:v>31.36</x:v>
      </x:c>
      <x:c r="O306" s="37" t="n">
        <x:v>0.18</x:v>
      </x:c>
      <x:c r="P306" s="35" t="n">
        <x:f>L306*O306</x:f>
        <x:v>70.56</x:v>
      </x:c>
      <x:c r="Q306" s="35" t="n">
        <x:v>1.2</x:v>
      </x:c>
      <x:c r="R306" s="35" t="n">
        <x:f>K306*Q306</x:f>
        <x:v>9.6</x:v>
      </x:c>
      <x:c r="S306" s="35" t="n">
        <x:f>XLOOKUP(H306,'菜品主数据'!$A$5:$A$24,'菜品主数据'!$G$5:$G$24,0)</x:f>
        <x:v>17.577</x:v>
      </x:c>
      <x:c r="T306" s="35" t="n">
        <x:f>K306*S306</x:f>
        <x:v>140.616</x:v>
      </x:c>
      <x:c r="U306" s="35" t="n">
        <x:f>L306-N306-P306-R306-T306</x:f>
        <x:v>139.86399999999995</x:v>
      </x:c>
      <x:c r="V306" s="21" t="n">
        <x:f>IFERROR(U306/L306,0)</x:f>
        <x:v>0.3567959183673468</x:v>
      </x:c>
    </x:row>
    <x:row r="307">
      <x:c r="A307" s="19" t="str">
        <x:v>SALE-00303</x:v>
      </x:c>
      <x:c r="B307" s="34" t="n">
        <x:v>46210.5</x:v>
      </x:c>
      <x:c r="C307" s="19" t="str">
        <x:v>周二</x:v>
      </x:c>
      <x:c r="D307" s="19" t="str">
        <x:v>S02</x:v>
      </x:c>
      <x:c r="E307" s="19" t="str">
        <x:v>尊宝大厦店</x:v>
      </x:c>
      <x:c r="F307" s="19" t="str">
        <x:v>外卖</x:v>
      </x:c>
      <x:c r="G307" s="19" t="str">
        <x:v>全日</x:v>
      </x:c>
      <x:c r="H307" s="19" t="str">
        <x:v>D03</x:v>
      </x:c>
      <x:c r="I307" s="19" t="str">
        <x:v>香醋炒蛋</x:v>
      </x:c>
      <x:c r="J307" s="22" t="n">
        <x:f>XLOOKUP(H307,'菜品主数据'!$A$5:$A$24,'菜品主数据'!$D$5:$D$24,0)</x:f>
        <x:v>14.9</x:v>
      </x:c>
      <x:c r="K307" s="31" t="n">
        <x:v>4</x:v>
      </x:c>
      <x:c r="L307" s="35" t="n">
        <x:f>J307*K307</x:f>
        <x:v>59.6</x:v>
      </x:c>
      <x:c r="M307" s="36" t="n">
        <x:v>0.08</x:v>
      </x:c>
      <x:c r="N307" s="35" t="n">
        <x:f>L307*M307</x:f>
        <x:v>4.768</x:v>
      </x:c>
      <x:c r="O307" s="37" t="n">
        <x:v>0.18</x:v>
      </x:c>
      <x:c r="P307" s="35" t="n">
        <x:f>L307*O307</x:f>
        <x:v>10.728</x:v>
      </x:c>
      <x:c r="Q307" s="35" t="n">
        <x:v>1.2</x:v>
      </x:c>
      <x:c r="R307" s="35" t="n">
        <x:f>K307*Q307</x:f>
        <x:v>4.8</x:v>
      </x:c>
      <x:c r="S307" s="35" t="n">
        <x:f>XLOOKUP(H307,'菜品主数据'!$A$5:$A$24,'菜品主数据'!$G$5:$G$24,0)</x:f>
        <x:v>3.7459999999999996</x:v>
      </x:c>
      <x:c r="T307" s="35" t="n">
        <x:f>K307*S307</x:f>
        <x:v>14.983999999999998</x:v>
      </x:c>
      <x:c r="U307" s="35" t="n">
        <x:f>L307-N307-P307-R307-T307</x:f>
        <x:v>24.320000000000004</x:v>
      </x:c>
      <x:c r="V307" s="21" t="n">
        <x:f>IFERROR(U307/L307,0)</x:f>
        <x:v>0.40805369127516783</x:v>
      </x:c>
    </x:row>
    <x:row r="308">
      <x:c r="A308" s="19" t="str">
        <x:v>SALE-00304</x:v>
      </x:c>
      <x:c r="B308" s="34" t="n">
        <x:v>46210.5</x:v>
      </x:c>
      <x:c r="C308" s="19" t="str">
        <x:v>周二</x:v>
      </x:c>
      <x:c r="D308" s="19" t="str">
        <x:v>S02</x:v>
      </x:c>
      <x:c r="E308" s="19" t="str">
        <x:v>尊宝大厦店</x:v>
      </x:c>
      <x:c r="F308" s="19" t="str">
        <x:v>外卖</x:v>
      </x:c>
      <x:c r="G308" s="19" t="str">
        <x:v>全日</x:v>
      </x:c>
      <x:c r="H308" s="19" t="str">
        <x:v>D04</x:v>
      </x:c>
      <x:c r="I308" s="19" t="str">
        <x:v>酸包菜炒粉皮</x:v>
      </x:c>
      <x:c r="J308" s="22" t="n">
        <x:f>XLOOKUP(H308,'菜品主数据'!$A$5:$A$24,'菜品主数据'!$D$5:$D$24,0)</x:f>
        <x:v>16</x:v>
      </x:c>
      <x:c r="K308" s="31" t="n">
        <x:v>3</x:v>
      </x:c>
      <x:c r="L308" s="35" t="n">
        <x:f>J308*K308</x:f>
        <x:v>48</x:v>
      </x:c>
      <x:c r="M308" s="36" t="n">
        <x:v>0.08</x:v>
      </x:c>
      <x:c r="N308" s="35" t="n">
        <x:f>L308*M308</x:f>
        <x:v>3.84</x:v>
      </x:c>
      <x:c r="O308" s="37" t="n">
        <x:v>0.18</x:v>
      </x:c>
      <x:c r="P308" s="35" t="n">
        <x:f>L308*O308</x:f>
        <x:v>8.64</x:v>
      </x:c>
      <x:c r="Q308" s="35" t="n">
        <x:v>1.2</x:v>
      </x:c>
      <x:c r="R308" s="35" t="n">
        <x:f>K308*Q308</x:f>
        <x:v>3.5999999999999996</x:v>
      </x:c>
      <x:c r="S308" s="35" t="n">
        <x:f>XLOOKUP(H308,'菜品主数据'!$A$5:$A$24,'菜品主数据'!$G$5:$G$24,0)</x:f>
        <x:v>3.978</x:v>
      </x:c>
      <x:c r="T308" s="35" t="n">
        <x:f>K308*S308</x:f>
        <x:v>11.934000000000001</x:v>
      </x:c>
      <x:c r="U308" s="35" t="n">
        <x:f>L308-N308-P308-R308-T308</x:f>
        <x:v>19.985999999999994</x:v>
      </x:c>
      <x:c r="V308" s="21" t="n">
        <x:f>IFERROR(U308/L308,0)</x:f>
        <x:v>0.4163749999999999</x:v>
      </x:c>
    </x:row>
    <x:row r="309">
      <x:c r="A309" s="19" t="str">
        <x:v>SALE-00305</x:v>
      </x:c>
      <x:c r="B309" s="34" t="n">
        <x:v>46210.5</x:v>
      </x:c>
      <x:c r="C309" s="19" t="str">
        <x:v>周二</x:v>
      </x:c>
      <x:c r="D309" s="19" t="str">
        <x:v>S02</x:v>
      </x:c>
      <x:c r="E309" s="19" t="str">
        <x:v>尊宝大厦店</x:v>
      </x:c>
      <x:c r="F309" s="19" t="str">
        <x:v>外卖</x:v>
      </x:c>
      <x:c r="G309" s="19" t="str">
        <x:v>全日</x:v>
      </x:c>
      <x:c r="H309" s="19" t="str">
        <x:v>D05</x:v>
      </x:c>
      <x:c r="I309" s="19" t="str">
        <x:v>麻婆豆腐</x:v>
      </x:c>
      <x:c r="J309" s="22" t="n">
        <x:f>XLOOKUP(H309,'菜品主数据'!$A$5:$A$24,'菜品主数据'!$D$5:$D$24,0)</x:f>
        <x:v>9.9</x:v>
      </x:c>
      <x:c r="K309" s="31" t="n">
        <x:v>6</x:v>
      </x:c>
      <x:c r="L309" s="35" t="n">
        <x:f>J309*K309</x:f>
        <x:v>59.400000000000006</x:v>
      </x:c>
      <x:c r="M309" s="36" t="n">
        <x:v>0.08</x:v>
      </x:c>
      <x:c r="N309" s="35" t="n">
        <x:f>L309*M309</x:f>
        <x:v>4.752000000000001</x:v>
      </x:c>
      <x:c r="O309" s="37" t="n">
        <x:v>0.18</x:v>
      </x:c>
      <x:c r="P309" s="35" t="n">
        <x:f>L309*O309</x:f>
        <x:v>10.692</x:v>
      </x:c>
      <x:c r="Q309" s="35" t="n">
        <x:v>1.2</x:v>
      </x:c>
      <x:c r="R309" s="35" t="n">
        <x:f>K309*Q309</x:f>
        <x:v>7.199999999999999</x:v>
      </x:c>
      <x:c r="S309" s="35" t="n">
        <x:f>XLOOKUP(H309,'菜品主数据'!$A$5:$A$24,'菜品主数据'!$G$5:$G$24,0)</x:f>
        <x:v>5.367000000000001</x:v>
      </x:c>
      <x:c r="T309" s="35" t="n">
        <x:f>K309*S309</x:f>
        <x:v>32.202000000000005</x:v>
      </x:c>
      <x:c r="U309" s="35" t="n">
        <x:f>L309-N309-P309-R309-T309</x:f>
        <x:v>4.553999999999995</x:v>
      </x:c>
      <x:c r="V309" s="21" t="n">
        <x:f>IFERROR(U309/L309,0)</x:f>
        <x:v>0.07666666666666658</x:v>
      </x:c>
    </x:row>
    <x:row r="310">
      <x:c r="A310" s="19" t="str">
        <x:v>SALE-00306</x:v>
      </x:c>
      <x:c r="B310" s="34" t="n">
        <x:v>46210.5</x:v>
      </x:c>
      <x:c r="C310" s="19" t="str">
        <x:v>周二</x:v>
      </x:c>
      <x:c r="D310" s="19" t="str">
        <x:v>S02</x:v>
      </x:c>
      <x:c r="E310" s="19" t="str">
        <x:v>尊宝大厦店</x:v>
      </x:c>
      <x:c r="F310" s="19" t="str">
        <x:v>外卖</x:v>
      </x:c>
      <x:c r="G310" s="19" t="str">
        <x:v>全日</x:v>
      </x:c>
      <x:c r="H310" s="19" t="str">
        <x:v>D06</x:v>
      </x:c>
      <x:c r="I310" s="19" t="str">
        <x:v>剁椒鱼头</x:v>
      </x:c>
      <x:c r="J310" s="22" t="n">
        <x:f>XLOOKUP(H310,'菜品主数据'!$A$5:$A$24,'菜品主数据'!$D$5:$D$24,0)</x:f>
        <x:v>39</x:v>
      </x:c>
      <x:c r="K310" s="31" t="n">
        <x:v>2</x:v>
      </x:c>
      <x:c r="L310" s="35" t="n">
        <x:f>J310*K310</x:f>
        <x:v>78</x:v>
      </x:c>
      <x:c r="M310" s="36" t="n">
        <x:v>0.08</x:v>
      </x:c>
      <x:c r="N310" s="35" t="n">
        <x:f>L310*M310</x:f>
        <x:v>6.24</x:v>
      </x:c>
      <x:c r="O310" s="37" t="n">
        <x:v>0.18</x:v>
      </x:c>
      <x:c r="P310" s="35" t="n">
        <x:f>L310*O310</x:f>
        <x:v>14.04</x:v>
      </x:c>
      <x:c r="Q310" s="35" t="n">
        <x:v>1.2</x:v>
      </x:c>
      <x:c r="R310" s="35" t="n">
        <x:f>K310*Q310</x:f>
        <x:v>2.4</x:v>
      </x:c>
      <x:c r="S310" s="35" t="n">
        <x:f>XLOOKUP(H310,'菜品主数据'!$A$5:$A$24,'菜品主数据'!$G$5:$G$24,0)</x:f>
        <x:v>17.446</x:v>
      </x:c>
      <x:c r="T310" s="35" t="n">
        <x:f>K310*S310</x:f>
        <x:v>34.892</x:v>
      </x:c>
      <x:c r="U310" s="35" t="n">
        <x:f>L310-N310-P310-R310-T310</x:f>
        <x:v>20.428000000000004</x:v>
      </x:c>
      <x:c r="V310" s="21" t="n">
        <x:f>IFERROR(U310/L310,0)</x:f>
        <x:v>0.26189743589743597</x:v>
      </x:c>
    </x:row>
    <x:row r="311">
      <x:c r="A311" s="19" t="str">
        <x:v>SALE-00307</x:v>
      </x:c>
      <x:c r="B311" s="34" t="n">
        <x:v>46210.5</x:v>
      </x:c>
      <x:c r="C311" s="19" t="str">
        <x:v>周二</x:v>
      </x:c>
      <x:c r="D311" s="19" t="str">
        <x:v>S02</x:v>
      </x:c>
      <x:c r="E311" s="19" t="str">
        <x:v>尊宝大厦店</x:v>
      </x:c>
      <x:c r="F311" s="19" t="str">
        <x:v>外卖</x:v>
      </x:c>
      <x:c r="G311" s="19" t="str">
        <x:v>全日</x:v>
      </x:c>
      <x:c r="H311" s="19" t="str">
        <x:v>D07</x:v>
      </x:c>
      <x:c r="I311" s="19" t="str">
        <x:v>川味回锅肉</x:v>
      </x:c>
      <x:c r="J311" s="22" t="n">
        <x:f>XLOOKUP(H311,'菜品主数据'!$A$5:$A$24,'菜品主数据'!$D$5:$D$24,0)</x:f>
        <x:v>29</x:v>
      </x:c>
      <x:c r="K311" s="31" t="n">
        <x:v>1</x:v>
      </x:c>
      <x:c r="L311" s="35" t="n">
        <x:f>J311*K311</x:f>
        <x:v>29</x:v>
      </x:c>
      <x:c r="M311" s="36" t="n">
        <x:v>0.08</x:v>
      </x:c>
      <x:c r="N311" s="35" t="n">
        <x:f>L311*M311</x:f>
        <x:v>2.32</x:v>
      </x:c>
      <x:c r="O311" s="37" t="n">
        <x:v>0.18</x:v>
      </x:c>
      <x:c r="P311" s="35" t="n">
        <x:f>L311*O311</x:f>
        <x:v>5.22</x:v>
      </x:c>
      <x:c r="Q311" s="35" t="n">
        <x:v>1.2</x:v>
      </x:c>
      <x:c r="R311" s="35" t="n">
        <x:f>K311*Q311</x:f>
        <x:v>1.2</x:v>
      </x:c>
      <x:c r="S311" s="35" t="n">
        <x:f>XLOOKUP(H311,'菜品主数据'!$A$5:$A$24,'菜品主数据'!$G$5:$G$24,0)</x:f>
        <x:v>10.231000000000002</x:v>
      </x:c>
      <x:c r="T311" s="35" t="n">
        <x:f>K311*S311</x:f>
        <x:v>10.231000000000002</x:v>
      </x:c>
      <x:c r="U311" s="35" t="n">
        <x:f>L311-N311-P311-R311-T311</x:f>
        <x:v>10.029</x:v>
      </x:c>
      <x:c r="V311" s="21" t="n">
        <x:f>IFERROR(U311/L311,0)</x:f>
        <x:v>0.3458275862068966</x:v>
      </x:c>
    </x:row>
    <x:row r="312">
      <x:c r="A312" s="19" t="str">
        <x:v>SALE-00308</x:v>
      </x:c>
      <x:c r="B312" s="34" t="n">
        <x:v>46210.5</x:v>
      </x:c>
      <x:c r="C312" s="19" t="str">
        <x:v>周二</x:v>
      </x:c>
      <x:c r="D312" s="19" t="str">
        <x:v>S02</x:v>
      </x:c>
      <x:c r="E312" s="19" t="str">
        <x:v>尊宝大厦店</x:v>
      </x:c>
      <x:c r="F312" s="19" t="str">
        <x:v>外卖</x:v>
      </x:c>
      <x:c r="G312" s="19" t="str">
        <x:v>全日</x:v>
      </x:c>
      <x:c r="H312" s="19" t="str">
        <x:v>D08</x:v>
      </x:c>
      <x:c r="I312" s="19" t="str">
        <x:v>生炒清远鸡</x:v>
      </x:c>
      <x:c r="J312" s="22" t="n">
        <x:f>XLOOKUP(H312,'菜品主数据'!$A$5:$A$24,'菜品主数据'!$D$5:$D$24,0)</x:f>
        <x:v>36</x:v>
      </x:c>
      <x:c r="K312" s="31" t="n">
        <x:v>1</x:v>
      </x:c>
      <x:c r="L312" s="35" t="n">
        <x:f>J312*K312</x:f>
        <x:v>36</x:v>
      </x:c>
      <x:c r="M312" s="36" t="n">
        <x:v>0.08</x:v>
      </x:c>
      <x:c r="N312" s="35" t="n">
        <x:f>L312*M312</x:f>
        <x:v>2.88</x:v>
      </x:c>
      <x:c r="O312" s="37" t="n">
        <x:v>0.18</x:v>
      </x:c>
      <x:c r="P312" s="35" t="n">
        <x:f>L312*O312</x:f>
        <x:v>6.4799999999999995</x:v>
      </x:c>
      <x:c r="Q312" s="35" t="n">
        <x:v>1.2</x:v>
      </x:c>
      <x:c r="R312" s="35" t="n">
        <x:f>K312*Q312</x:f>
        <x:v>1.2</x:v>
      </x:c>
      <x:c r="S312" s="35" t="n">
        <x:f>XLOOKUP(H312,'菜品主数据'!$A$5:$A$24,'菜品主数据'!$G$5:$G$24,0)</x:f>
        <x:v>13.48</x:v>
      </x:c>
      <x:c r="T312" s="35" t="n">
        <x:f>K312*S312</x:f>
        <x:v>13.48</x:v>
      </x:c>
      <x:c r="U312" s="35" t="n">
        <x:f>L312-N312-P312-R312-T312</x:f>
        <x:v>11.959999999999997</x:v>
      </x:c>
      <x:c r="V312" s="21" t="n">
        <x:f>IFERROR(U312/L312,0)</x:f>
        <x:v>0.33222222222222214</x:v>
      </x:c>
    </x:row>
    <x:row r="313">
      <x:c r="A313" s="19" t="str">
        <x:v>SALE-00309</x:v>
      </x:c>
      <x:c r="B313" s="34" t="n">
        <x:v>46210.5</x:v>
      </x:c>
      <x:c r="C313" s="19" t="str">
        <x:v>周二</x:v>
      </x:c>
      <x:c r="D313" s="19" t="str">
        <x:v>S02</x:v>
      </x:c>
      <x:c r="E313" s="19" t="str">
        <x:v>尊宝大厦店</x:v>
      </x:c>
      <x:c r="F313" s="19" t="str">
        <x:v>外卖</x:v>
      </x:c>
      <x:c r="G313" s="19" t="str">
        <x:v>全日</x:v>
      </x:c>
      <x:c r="H313" s="19" t="str">
        <x:v>D09</x:v>
      </x:c>
      <x:c r="I313" s="19" t="str">
        <x:v>炒豆干</x:v>
      </x:c>
      <x:c r="J313" s="22" t="n">
        <x:f>XLOOKUP(H313,'菜品主数据'!$A$5:$A$24,'菜品主数据'!$D$5:$D$24,0)</x:f>
        <x:v>18</x:v>
      </x:c>
      <x:c r="K313" s="31" t="n">
        <x:v>1</x:v>
      </x:c>
      <x:c r="L313" s="35" t="n">
        <x:f>J313*K313</x:f>
        <x:v>18</x:v>
      </x:c>
      <x:c r="M313" s="36" t="n">
        <x:v>0.08</x:v>
      </x:c>
      <x:c r="N313" s="35" t="n">
        <x:f>L313*M313</x:f>
        <x:v>1.44</x:v>
      </x:c>
      <x:c r="O313" s="37" t="n">
        <x:v>0.18</x:v>
      </x:c>
      <x:c r="P313" s="35" t="n">
        <x:f>L313*O313</x:f>
        <x:v>3.2399999999999998</x:v>
      </x:c>
      <x:c r="Q313" s="35" t="n">
        <x:v>1.2</x:v>
      </x:c>
      <x:c r="R313" s="35" t="n">
        <x:f>K313*Q313</x:f>
        <x:v>1.2</x:v>
      </x:c>
      <x:c r="S313" s="35" t="n">
        <x:f>XLOOKUP(H313,'菜品主数据'!$A$5:$A$24,'菜品主数据'!$G$5:$G$24,0)</x:f>
        <x:v>6.613999999999999</x:v>
      </x:c>
      <x:c r="T313" s="35" t="n">
        <x:f>K313*S313</x:f>
        <x:v>6.613999999999999</x:v>
      </x:c>
      <x:c r="U313" s="35" t="n">
        <x:f>L313-N313-P313-R313-T313</x:f>
        <x:v>5.506</x:v>
      </x:c>
      <x:c r="V313" s="21" t="n">
        <x:f>IFERROR(U313/L313,0)</x:f>
        <x:v>0.3058888888888889</x:v>
      </x:c>
    </x:row>
    <x:row r="314">
      <x:c r="A314" s="19" t="str">
        <x:v>SALE-00310</x:v>
      </x:c>
      <x:c r="B314" s="34" t="n">
        <x:v>46210.5</x:v>
      </x:c>
      <x:c r="C314" s="19" t="str">
        <x:v>周二</x:v>
      </x:c>
      <x:c r="D314" s="19" t="str">
        <x:v>S02</x:v>
      </x:c>
      <x:c r="E314" s="19" t="str">
        <x:v>尊宝大厦店</x:v>
      </x:c>
      <x:c r="F314" s="19" t="str">
        <x:v>外卖</x:v>
      </x:c>
      <x:c r="G314" s="19" t="str">
        <x:v>全日</x:v>
      </x:c>
      <x:c r="H314" s="19" t="str">
        <x:v>D10</x:v>
      </x:c>
      <x:c r="I314" s="19" t="str">
        <x:v>农家一碗香</x:v>
      </x:c>
      <x:c r="J314" s="22" t="n">
        <x:f>XLOOKUP(H314,'菜品主数据'!$A$5:$A$24,'菜品主数据'!$D$5:$D$24,0)</x:f>
        <x:v>22.9</x:v>
      </x:c>
      <x:c r="K314" s="31" t="n">
        <x:v>1</x:v>
      </x:c>
      <x:c r="L314" s="35" t="n">
        <x:f>J314*K314</x:f>
        <x:v>22.9</x:v>
      </x:c>
      <x:c r="M314" s="36" t="n">
        <x:v>0.08</x:v>
      </x:c>
      <x:c r="N314" s="35" t="n">
        <x:f>L314*M314</x:f>
        <x:v>1.8319999999999999</x:v>
      </x:c>
      <x:c r="O314" s="37" t="n">
        <x:v>0.18</x:v>
      </x:c>
      <x:c r="P314" s="35" t="n">
        <x:f>L314*O314</x:f>
        <x:v>4.122</x:v>
      </x:c>
      <x:c r="Q314" s="35" t="n">
        <x:v>1.2</x:v>
      </x:c>
      <x:c r="R314" s="35" t="n">
        <x:f>K314*Q314</x:f>
        <x:v>1.2</x:v>
      </x:c>
      <x:c r="S314" s="35" t="n">
        <x:f>XLOOKUP(H314,'菜品主数据'!$A$5:$A$24,'菜品主数据'!$G$5:$G$24,0)</x:f>
        <x:v>9.770200000000003</x:v>
      </x:c>
      <x:c r="T314" s="35" t="n">
        <x:f>K314*S314</x:f>
        <x:v>9.770200000000003</x:v>
      </x:c>
      <x:c r="U314" s="35" t="n">
        <x:f>L314-N314-P314-R314-T314</x:f>
        <x:v>5.975799999999996</x:v>
      </x:c>
      <x:c r="V314" s="21" t="n">
        <x:f>IFERROR(U314/L314,0)</x:f>
        <x:v>0.260951965065502</x:v>
      </x:c>
    </x:row>
    <x:row r="315">
      <x:c r="A315" s="19" t="str">
        <x:v>SALE-00311</x:v>
      </x:c>
      <x:c r="B315" s="34" t="n">
        <x:v>46210.5</x:v>
      </x:c>
      <x:c r="C315" s="19" t="str">
        <x:v>周二</x:v>
      </x:c>
      <x:c r="D315" s="19" t="str">
        <x:v>S02</x:v>
      </x:c>
      <x:c r="E315" s="19" t="str">
        <x:v>尊宝大厦店</x:v>
      </x:c>
      <x:c r="F315" s="19" t="str">
        <x:v>外卖</x:v>
      </x:c>
      <x:c r="G315" s="19" t="str">
        <x:v>全日</x:v>
      </x:c>
      <x:c r="H315" s="19" t="str">
        <x:v>D11</x:v>
      </x:c>
      <x:c r="I315" s="19" t="str">
        <x:v>香辣爆肥肠</x:v>
      </x:c>
      <x:c r="J315" s="22" t="n">
        <x:f>XLOOKUP(H315,'菜品主数据'!$A$5:$A$24,'菜品主数据'!$D$5:$D$24,0)</x:f>
        <x:v>39</x:v>
      </x:c>
      <x:c r="K315" s="31" t="n">
        <x:v>0</x:v>
      </x:c>
      <x:c r="L315" s="35" t="n">
        <x:f>J315*K315</x:f>
        <x:v>0</x:v>
      </x:c>
      <x:c r="M315" s="36" t="n">
        <x:v>0.08</x:v>
      </x:c>
      <x:c r="N315" s="35" t="n">
        <x:f>L315*M315</x:f>
        <x:v>0</x:v>
      </x:c>
      <x:c r="O315" s="37" t="n">
        <x:v>0.18</x:v>
      </x:c>
      <x:c r="P315" s="35" t="n">
        <x:f>L315*O315</x:f>
        <x:v>0</x:v>
      </x:c>
      <x:c r="Q315" s="35" t="n">
        <x:v>1.2</x:v>
      </x:c>
      <x:c r="R315" s="35" t="n">
        <x:f>K315*Q315</x:f>
        <x:v>0</x:v>
      </x:c>
      <x:c r="S315" s="35" t="n">
        <x:f>XLOOKUP(H315,'菜品主数据'!$A$5:$A$24,'菜品主数据'!$G$5:$G$24,0)</x:f>
        <x:v>10.397</x:v>
      </x:c>
      <x:c r="T315" s="35" t="n">
        <x:f>K315*S315</x:f>
        <x:v>0</x:v>
      </x:c>
      <x:c r="U315" s="35" t="n">
        <x:f>L315-N315-P315-R315-T315</x:f>
        <x:v>0</x:v>
      </x:c>
      <x:c r="V315" s="21" t="n">
        <x:f>IFERROR(U315/L315,0)</x:f>
        <x:v>0</x:v>
      </x:c>
    </x:row>
    <x:row r="316">
      <x:c r="A316" s="19" t="str">
        <x:v>SALE-00312</x:v>
      </x:c>
      <x:c r="B316" s="34" t="n">
        <x:v>46210.5</x:v>
      </x:c>
      <x:c r="C316" s="19" t="str">
        <x:v>周二</x:v>
      </x:c>
      <x:c r="D316" s="19" t="str">
        <x:v>S02</x:v>
      </x:c>
      <x:c r="E316" s="19" t="str">
        <x:v>尊宝大厦店</x:v>
      </x:c>
      <x:c r="F316" s="19" t="str">
        <x:v>外卖</x:v>
      </x:c>
      <x:c r="G316" s="19" t="str">
        <x:v>全日</x:v>
      </x:c>
      <x:c r="H316" s="19" t="str">
        <x:v>D12</x:v>
      </x:c>
      <x:c r="I316" s="19" t="str">
        <x:v>清蒸鲈鱼</x:v>
      </x:c>
      <x:c r="J316" s="22" t="n">
        <x:f>XLOOKUP(H316,'菜品主数据'!$A$5:$A$24,'菜品主数据'!$D$5:$D$24,0)</x:f>
        <x:v>39</x:v>
      </x:c>
      <x:c r="K316" s="31" t="n">
        <x:v>0</x:v>
      </x:c>
      <x:c r="L316" s="35" t="n">
        <x:f>J316*K316</x:f>
        <x:v>0</x:v>
      </x:c>
      <x:c r="M316" s="36" t="n">
        <x:v>0.08</x:v>
      </x:c>
      <x:c r="N316" s="35" t="n">
        <x:f>L316*M316</x:f>
        <x:v>0</x:v>
      </x:c>
      <x:c r="O316" s="37" t="n">
        <x:v>0.18</x:v>
      </x:c>
      <x:c r="P316" s="35" t="n">
        <x:f>L316*O316</x:f>
        <x:v>0</x:v>
      </x:c>
      <x:c r="Q316" s="35" t="n">
        <x:v>1.2</x:v>
      </x:c>
      <x:c r="R316" s="35" t="n">
        <x:f>K316*Q316</x:f>
        <x:v>0</x:v>
      </x:c>
      <x:c r="S316" s="35" t="n">
        <x:f>XLOOKUP(H316,'菜品主数据'!$A$5:$A$24,'菜品主数据'!$G$5:$G$24,0)</x:f>
        <x:v>18.874</x:v>
      </x:c>
      <x:c r="T316" s="35" t="n">
        <x:f>K316*S316</x:f>
        <x:v>0</x:v>
      </x:c>
      <x:c r="U316" s="35" t="n">
        <x:f>L316-N316-P316-R316-T316</x:f>
        <x:v>0</x:v>
      </x:c>
      <x:c r="V316" s="21" t="n">
        <x:f>IFERROR(U316/L316,0)</x:f>
        <x:v>0</x:v>
      </x:c>
    </x:row>
    <x:row r="317">
      <x:c r="A317" s="19" t="str">
        <x:v>SALE-00313</x:v>
      </x:c>
      <x:c r="B317" s="34" t="n">
        <x:v>46210.5</x:v>
      </x:c>
      <x:c r="C317" s="19" t="str">
        <x:v>周二</x:v>
      </x:c>
      <x:c r="D317" s="19" t="str">
        <x:v>S02</x:v>
      </x:c>
      <x:c r="E317" s="19" t="str">
        <x:v>尊宝大厦店</x:v>
      </x:c>
      <x:c r="F317" s="19" t="str">
        <x:v>外卖</x:v>
      </x:c>
      <x:c r="G317" s="19" t="str">
        <x:v>全日</x:v>
      </x:c>
      <x:c r="H317" s="19" t="str">
        <x:v>D13</x:v>
      </x:c>
      <x:c r="I317" s="19" t="str">
        <x:v>外婆菜炒蛋</x:v>
      </x:c>
      <x:c r="J317" s="22" t="n">
        <x:f>XLOOKUP(H317,'菜品主数据'!$A$5:$A$24,'菜品主数据'!$D$5:$D$24,0)</x:f>
        <x:v>18</x:v>
      </x:c>
      <x:c r="K317" s="31" t="n">
        <x:v>1</x:v>
      </x:c>
      <x:c r="L317" s="35" t="n">
        <x:f>J317*K317</x:f>
        <x:v>18</x:v>
      </x:c>
      <x:c r="M317" s="36" t="n">
        <x:v>0.08</x:v>
      </x:c>
      <x:c r="N317" s="35" t="n">
        <x:f>L317*M317</x:f>
        <x:v>1.44</x:v>
      </x:c>
      <x:c r="O317" s="37" t="n">
        <x:v>0.18</x:v>
      </x:c>
      <x:c r="P317" s="35" t="n">
        <x:f>L317*O317</x:f>
        <x:v>3.2399999999999998</x:v>
      </x:c>
      <x:c r="Q317" s="35" t="n">
        <x:v>1.2</x:v>
      </x:c>
      <x:c r="R317" s="35" t="n">
        <x:f>K317*Q317</x:f>
        <x:v>1.2</x:v>
      </x:c>
      <x:c r="S317" s="35" t="n">
        <x:f>XLOOKUP(H317,'菜品主数据'!$A$5:$A$24,'菜品主数据'!$G$5:$G$24,0)</x:f>
        <x:v>5.403999999999999</x:v>
      </x:c>
      <x:c r="T317" s="35" t="n">
        <x:f>K317*S317</x:f>
        <x:v>5.403999999999999</x:v>
      </x:c>
      <x:c r="U317" s="35" t="n">
        <x:f>L317-N317-P317-R317-T317</x:f>
        <x:v>6.716</x:v>
      </x:c>
      <x:c r="V317" s="21" t="n">
        <x:f>IFERROR(U317/L317,0)</x:f>
        <x:v>0.3731111111111111</x:v>
      </x:c>
    </x:row>
    <x:row r="318">
      <x:c r="A318" s="19" t="str">
        <x:v>SALE-00314</x:v>
      </x:c>
      <x:c r="B318" s="34" t="n">
        <x:v>46210.5</x:v>
      </x:c>
      <x:c r="C318" s="19" t="str">
        <x:v>周二</x:v>
      </x:c>
      <x:c r="D318" s="19" t="str">
        <x:v>S02</x:v>
      </x:c>
      <x:c r="E318" s="19" t="str">
        <x:v>尊宝大厦店</x:v>
      </x:c>
      <x:c r="F318" s="19" t="str">
        <x:v>外卖</x:v>
      </x:c>
      <x:c r="G318" s="19" t="str">
        <x:v>全日</x:v>
      </x:c>
      <x:c r="H318" s="19" t="str">
        <x:v>D14</x:v>
      </x:c>
      <x:c r="I318" s="19" t="str">
        <x:v>酸辣鸡杂</x:v>
      </x:c>
      <x:c r="J318" s="22" t="n">
        <x:f>XLOOKUP(H318,'菜品主数据'!$A$5:$A$24,'菜品主数据'!$D$5:$D$24,0)</x:f>
        <x:v>28</x:v>
      </x:c>
      <x:c r="K318" s="31" t="n">
        <x:v>1</x:v>
      </x:c>
      <x:c r="L318" s="35" t="n">
        <x:f>J318*K318</x:f>
        <x:v>28</x:v>
      </x:c>
      <x:c r="M318" s="36" t="n">
        <x:v>0.08</x:v>
      </x:c>
      <x:c r="N318" s="35" t="n">
        <x:f>L318*M318</x:f>
        <x:v>2.24</x:v>
      </x:c>
      <x:c r="O318" s="37" t="n">
        <x:v>0.18</x:v>
      </x:c>
      <x:c r="P318" s="35" t="n">
        <x:f>L318*O318</x:f>
        <x:v>5.04</x:v>
      </x:c>
      <x:c r="Q318" s="35" t="n">
        <x:v>1.2</x:v>
      </x:c>
      <x:c r="R318" s="35" t="n">
        <x:f>K318*Q318</x:f>
        <x:v>1.2</x:v>
      </x:c>
      <x:c r="S318" s="35" t="n">
        <x:f>XLOOKUP(H318,'菜品主数据'!$A$5:$A$24,'菜品主数据'!$G$5:$G$24,0)</x:f>
        <x:v>8.315000000000001</x:v>
      </x:c>
      <x:c r="T318" s="35" t="n">
        <x:f>K318*S318</x:f>
        <x:v>8.315000000000001</x:v>
      </x:c>
      <x:c r="U318" s="35" t="n">
        <x:f>L318-N318-P318-R318-T318</x:f>
        <x:v>11.204999999999998</x:v>
      </x:c>
      <x:c r="V318" s="21" t="n">
        <x:f>IFERROR(U318/L318,0)</x:f>
        <x:v>0.4001785714285714</x:v>
      </x:c>
    </x:row>
    <x:row r="319">
      <x:c r="A319" s="19" t="str">
        <x:v>SALE-00315</x:v>
      </x:c>
      <x:c r="B319" s="34" t="n">
        <x:v>46210.5</x:v>
      </x:c>
      <x:c r="C319" s="19" t="str">
        <x:v>周二</x:v>
      </x:c>
      <x:c r="D319" s="19" t="str">
        <x:v>S02</x:v>
      </x:c>
      <x:c r="E319" s="19" t="str">
        <x:v>尊宝大厦店</x:v>
      </x:c>
      <x:c r="F319" s="19" t="str">
        <x:v>外卖</x:v>
      </x:c>
      <x:c r="G319" s="19" t="str">
        <x:v>全日</x:v>
      </x:c>
      <x:c r="H319" s="19" t="str">
        <x:v>D15</x:v>
      </x:c>
      <x:c r="I319" s="19" t="str">
        <x:v>湘西土匪猪肝</x:v>
      </x:c>
      <x:c r="J319" s="22" t="n">
        <x:f>XLOOKUP(H319,'菜品主数据'!$A$5:$A$24,'菜品主数据'!$D$5:$D$24,0)</x:f>
        <x:v>26</x:v>
      </x:c>
      <x:c r="K319" s="31" t="n">
        <x:v>0</x:v>
      </x:c>
      <x:c r="L319" s="35" t="n">
        <x:f>J319*K319</x:f>
        <x:v>0</x:v>
      </x:c>
      <x:c r="M319" s="36" t="n">
        <x:v>0.08</x:v>
      </x:c>
      <x:c r="N319" s="35" t="n">
        <x:f>L319*M319</x:f>
        <x:v>0</x:v>
      </x:c>
      <x:c r="O319" s="37" t="n">
        <x:v>0.18</x:v>
      </x:c>
      <x:c r="P319" s="35" t="n">
        <x:f>L319*O319</x:f>
        <x:v>0</x:v>
      </x:c>
      <x:c r="Q319" s="35" t="n">
        <x:v>1.2</x:v>
      </x:c>
      <x:c r="R319" s="35" t="n">
        <x:f>K319*Q319</x:f>
        <x:v>0</x:v>
      </x:c>
      <x:c r="S319" s="35" t="n">
        <x:f>XLOOKUP(H319,'菜品主数据'!$A$5:$A$24,'菜品主数据'!$G$5:$G$24,0)</x:f>
        <x:v>6.3759999999999994</x:v>
      </x:c>
      <x:c r="T319" s="35" t="n">
        <x:f>K319*S319</x:f>
        <x:v>0</x:v>
      </x:c>
      <x:c r="U319" s="35" t="n">
        <x:f>L319-N319-P319-R319-T319</x:f>
        <x:v>0</x:v>
      </x:c>
      <x:c r="V319" s="21" t="n">
        <x:f>IFERROR(U319/L319,0)</x:f>
        <x:v>0</x:v>
      </x:c>
    </x:row>
    <x:row r="320">
      <x:c r="A320" s="19" t="str">
        <x:v>SALE-00316</x:v>
      </x:c>
      <x:c r="B320" s="34" t="n">
        <x:v>46210.5</x:v>
      </x:c>
      <x:c r="C320" s="19" t="str">
        <x:v>周二</x:v>
      </x:c>
      <x:c r="D320" s="19" t="str">
        <x:v>S02</x:v>
      </x:c>
      <x:c r="E320" s="19" t="str">
        <x:v>尊宝大厦店</x:v>
      </x:c>
      <x:c r="F320" s="19" t="str">
        <x:v>外卖</x:v>
      </x:c>
      <x:c r="G320" s="19" t="str">
        <x:v>全日</x:v>
      </x:c>
      <x:c r="H320" s="19" t="str">
        <x:v>D16</x:v>
      </x:c>
      <x:c r="I320" s="19" t="str">
        <x:v>小豆角炒五花</x:v>
      </x:c>
      <x:c r="J320" s="22" t="n">
        <x:f>XLOOKUP(H320,'菜品主数据'!$A$5:$A$24,'菜品主数据'!$D$5:$D$24,0)</x:f>
        <x:v>25</x:v>
      </x:c>
      <x:c r="K320" s="31" t="n">
        <x:v>0</x:v>
      </x:c>
      <x:c r="L320" s="35" t="n">
        <x:f>J320*K320</x:f>
        <x:v>0</x:v>
      </x:c>
      <x:c r="M320" s="36" t="n">
        <x:v>0.08</x:v>
      </x:c>
      <x:c r="N320" s="35" t="n">
        <x:f>L320*M320</x:f>
        <x:v>0</x:v>
      </x:c>
      <x:c r="O320" s="37" t="n">
        <x:v>0.18</x:v>
      </x:c>
      <x:c r="P320" s="35" t="n">
        <x:f>L320*O320</x:f>
        <x:v>0</x:v>
      </x:c>
      <x:c r="Q320" s="35" t="n">
        <x:v>1.2</x:v>
      </x:c>
      <x:c r="R320" s="35" t="n">
        <x:f>K320*Q320</x:f>
        <x:v>0</x:v>
      </x:c>
      <x:c r="S320" s="35" t="n">
        <x:f>XLOOKUP(H320,'菜品主数据'!$A$5:$A$24,'菜品主数据'!$G$5:$G$24,0)</x:f>
        <x:v>8.184</x:v>
      </x:c>
      <x:c r="T320" s="35" t="n">
        <x:f>K320*S320</x:f>
        <x:v>0</x:v>
      </x:c>
      <x:c r="U320" s="35" t="n">
        <x:f>L320-N320-P320-R320-T320</x:f>
        <x:v>0</x:v>
      </x:c>
      <x:c r="V320" s="21" t="n">
        <x:f>IFERROR(U320/L320,0)</x:f>
        <x:v>0</x:v>
      </x:c>
    </x:row>
    <x:row r="321">
      <x:c r="A321" s="19" t="str">
        <x:v>SALE-00317</x:v>
      </x:c>
      <x:c r="B321" s="34" t="n">
        <x:v>46210.5</x:v>
      </x:c>
      <x:c r="C321" s="19" t="str">
        <x:v>周二</x:v>
      </x:c>
      <x:c r="D321" s="19" t="str">
        <x:v>S02</x:v>
      </x:c>
      <x:c r="E321" s="19" t="str">
        <x:v>尊宝大厦店</x:v>
      </x:c>
      <x:c r="F321" s="19" t="str">
        <x:v>外卖</x:v>
      </x:c>
      <x:c r="G321" s="19" t="str">
        <x:v>全日</x:v>
      </x:c>
      <x:c r="H321" s="19" t="str">
        <x:v>D17</x:v>
      </x:c>
      <x:c r="I321" s="19" t="str">
        <x:v>蒜蓉粉丝虾</x:v>
      </x:c>
      <x:c r="J321" s="22" t="n">
        <x:f>XLOOKUP(H321,'菜品主数据'!$A$5:$A$24,'菜品主数据'!$D$5:$D$24,0)</x:f>
        <x:v>36</x:v>
      </x:c>
      <x:c r="K321" s="31" t="n">
        <x:v>0</x:v>
      </x:c>
      <x:c r="L321" s="35" t="n">
        <x:f>J321*K321</x:f>
        <x:v>0</x:v>
      </x:c>
      <x:c r="M321" s="36" t="n">
        <x:v>0.08</x:v>
      </x:c>
      <x:c r="N321" s="35" t="n">
        <x:f>L321*M321</x:f>
        <x:v>0</x:v>
      </x:c>
      <x:c r="O321" s="37" t="n">
        <x:v>0.18</x:v>
      </x:c>
      <x:c r="P321" s="35" t="n">
        <x:f>L321*O321</x:f>
        <x:v>0</x:v>
      </x:c>
      <x:c r="Q321" s="35" t="n">
        <x:v>1.2</x:v>
      </x:c>
      <x:c r="R321" s="35" t="n">
        <x:f>K321*Q321</x:f>
        <x:v>0</x:v>
      </x:c>
      <x:c r="S321" s="35" t="n">
        <x:f>XLOOKUP(H321,'菜品主数据'!$A$5:$A$24,'菜品主数据'!$G$5:$G$24,0)</x:f>
        <x:v>13.594</x:v>
      </x:c>
      <x:c r="T321" s="35" t="n">
        <x:f>K321*S321</x:f>
        <x:v>0</x:v>
      </x:c>
      <x:c r="U321" s="35" t="n">
        <x:f>L321-N321-P321-R321-T321</x:f>
        <x:v>0</x:v>
      </x:c>
      <x:c r="V321" s="21" t="n">
        <x:f>IFERROR(U321/L321,0)</x:f>
        <x:v>0</x:v>
      </x:c>
    </x:row>
    <x:row r="322">
      <x:c r="A322" s="19" t="str">
        <x:v>SALE-00318</x:v>
      </x:c>
      <x:c r="B322" s="34" t="n">
        <x:v>46210.5</x:v>
      </x:c>
      <x:c r="C322" s="19" t="str">
        <x:v>周二</x:v>
      </x:c>
      <x:c r="D322" s="19" t="str">
        <x:v>S02</x:v>
      </x:c>
      <x:c r="E322" s="19" t="str">
        <x:v>尊宝大厦店</x:v>
      </x:c>
      <x:c r="F322" s="19" t="str">
        <x:v>外卖</x:v>
      </x:c>
      <x:c r="G322" s="19" t="str">
        <x:v>全日</x:v>
      </x:c>
      <x:c r="H322" s="19" t="str">
        <x:v>D18</x:v>
      </x:c>
      <x:c r="I322" s="19" t="str">
        <x:v>青椒炒油麦菜</x:v>
      </x:c>
      <x:c r="J322" s="22" t="n">
        <x:f>XLOOKUP(H322,'菜品主数据'!$A$5:$A$24,'菜品主数据'!$D$5:$D$24,0)</x:f>
        <x:v>18</x:v>
      </x:c>
      <x:c r="K322" s="31" t="n">
        <x:v>1</x:v>
      </x:c>
      <x:c r="L322" s="35" t="n">
        <x:f>J322*K322</x:f>
        <x:v>18</x:v>
      </x:c>
      <x:c r="M322" s="36" t="n">
        <x:v>0.08</x:v>
      </x:c>
      <x:c r="N322" s="35" t="n">
        <x:f>L322*M322</x:f>
        <x:v>1.44</x:v>
      </x:c>
      <x:c r="O322" s="37" t="n">
        <x:v>0.18</x:v>
      </x:c>
      <x:c r="P322" s="35" t="n">
        <x:f>L322*O322</x:f>
        <x:v>3.2399999999999998</x:v>
      </x:c>
      <x:c r="Q322" s="35" t="n">
        <x:v>1.2</x:v>
      </x:c>
      <x:c r="R322" s="35" t="n">
        <x:f>K322*Q322</x:f>
        <x:v>1.2</x:v>
      </x:c>
      <x:c r="S322" s="35" t="n">
        <x:f>XLOOKUP(H322,'菜品主数据'!$A$5:$A$24,'菜品主数据'!$G$5:$G$24,0)</x:f>
        <x:v>3.1759999999999993</x:v>
      </x:c>
      <x:c r="T322" s="35" t="n">
        <x:f>K322*S322</x:f>
        <x:v>3.1759999999999993</x:v>
      </x:c>
      <x:c r="U322" s="35" t="n">
        <x:f>L322-N322-P322-R322-T322</x:f>
        <x:v>8.943999999999999</x:v>
      </x:c>
      <x:c r="V322" s="21" t="n">
        <x:f>IFERROR(U322/L322,0)</x:f>
        <x:v>0.4968888888888888</x:v>
      </x:c>
    </x:row>
    <x:row r="323">
      <x:c r="A323" s="19" t="str">
        <x:v>SALE-00319</x:v>
      </x:c>
      <x:c r="B323" s="34" t="n">
        <x:v>46210.5</x:v>
      </x:c>
      <x:c r="C323" s="19" t="str">
        <x:v>周二</x:v>
      </x:c>
      <x:c r="D323" s="19" t="str">
        <x:v>S02</x:v>
      </x:c>
      <x:c r="E323" s="19" t="str">
        <x:v>尊宝大厦店</x:v>
      </x:c>
      <x:c r="F323" s="19" t="str">
        <x:v>外卖</x:v>
      </x:c>
      <x:c r="G323" s="19" t="str">
        <x:v>全日</x:v>
      </x:c>
      <x:c r="H323" s="19" t="str">
        <x:v>D19</x:v>
      </x:c>
      <x:c r="I323" s="19" t="str">
        <x:v>酸萝卜炒鸡杂</x:v>
      </x:c>
      <x:c r="J323" s="22" t="n">
        <x:f>XLOOKUP(H323,'菜品主数据'!$A$5:$A$24,'菜品主数据'!$D$5:$D$24,0)</x:f>
        <x:v>25</x:v>
      </x:c>
      <x:c r="K323" s="31" t="n">
        <x:v>0</x:v>
      </x:c>
      <x:c r="L323" s="35" t="n">
        <x:f>J323*K323</x:f>
        <x:v>0</x:v>
      </x:c>
      <x:c r="M323" s="36" t="n">
        <x:v>0.08</x:v>
      </x:c>
      <x:c r="N323" s="35" t="n">
        <x:f>L323*M323</x:f>
        <x:v>0</x:v>
      </x:c>
      <x:c r="O323" s="37" t="n">
        <x:v>0.18</x:v>
      </x:c>
      <x:c r="P323" s="35" t="n">
        <x:f>L323*O323</x:f>
        <x:v>0</x:v>
      </x:c>
      <x:c r="Q323" s="35" t="n">
        <x:v>1.2</x:v>
      </x:c>
      <x:c r="R323" s="35" t="n">
        <x:f>K323*Q323</x:f>
        <x:v>0</x:v>
      </x:c>
      <x:c r="S323" s="35" t="n">
        <x:f>XLOOKUP(H323,'菜品主数据'!$A$5:$A$24,'菜品主数据'!$G$5:$G$24,0)</x:f>
        <x:v>7.9399999999999995</x:v>
      </x:c>
      <x:c r="T323" s="35" t="n">
        <x:f>K323*S323</x:f>
        <x:v>0</x:v>
      </x:c>
      <x:c r="U323" s="35" t="n">
        <x:f>L323-N323-P323-R323-T323</x:f>
        <x:v>0</x:v>
      </x:c>
      <x:c r="V323" s="21" t="n">
        <x:f>IFERROR(U323/L323,0)</x:f>
        <x:v>0</x:v>
      </x:c>
    </x:row>
    <x:row r="324">
      <x:c r="A324" s="19" t="str">
        <x:v>SALE-00320</x:v>
      </x:c>
      <x:c r="B324" s="34" t="n">
        <x:v>46210.5</x:v>
      </x:c>
      <x:c r="C324" s="19" t="str">
        <x:v>周二</x:v>
      </x:c>
      <x:c r="D324" s="19" t="str">
        <x:v>S02</x:v>
      </x:c>
      <x:c r="E324" s="19" t="str">
        <x:v>尊宝大厦店</x:v>
      </x:c>
      <x:c r="F324" s="19" t="str">
        <x:v>外卖</x:v>
      </x:c>
      <x:c r="G324" s="19" t="str">
        <x:v>全日</x:v>
      </x:c>
      <x:c r="H324" s="19" t="str">
        <x:v>D20</x:v>
      </x:c>
      <x:c r="I324" s="19" t="str">
        <x:v>雪菜肉末青豆</x:v>
      </x:c>
      <x:c r="J324" s="22" t="n">
        <x:f>XLOOKUP(H324,'菜品主数据'!$A$5:$A$24,'菜品主数据'!$D$5:$D$24,0)</x:f>
        <x:v>18</x:v>
      </x:c>
      <x:c r="K324" s="31" t="n">
        <x:v>1</x:v>
      </x:c>
      <x:c r="L324" s="35" t="n">
        <x:f>J324*K324</x:f>
        <x:v>18</x:v>
      </x:c>
      <x:c r="M324" s="36" t="n">
        <x:v>0.08</x:v>
      </x:c>
      <x:c r="N324" s="35" t="n">
        <x:f>L324*M324</x:f>
        <x:v>1.44</x:v>
      </x:c>
      <x:c r="O324" s="37" t="n">
        <x:v>0.18</x:v>
      </x:c>
      <x:c r="P324" s="35" t="n">
        <x:f>L324*O324</x:f>
        <x:v>3.2399999999999998</x:v>
      </x:c>
      <x:c r="Q324" s="35" t="n">
        <x:v>1.2</x:v>
      </x:c>
      <x:c r="R324" s="35" t="n">
        <x:f>K324*Q324</x:f>
        <x:v>1.2</x:v>
      </x:c>
      <x:c r="S324" s="35" t="n">
        <x:f>XLOOKUP(H324,'菜品主数据'!$A$5:$A$24,'菜品主数据'!$G$5:$G$24,0)</x:f>
        <x:v>7.303999999999999</x:v>
      </x:c>
      <x:c r="T324" s="35" t="n">
        <x:f>K324*S324</x:f>
        <x:v>7.303999999999999</x:v>
      </x:c>
      <x:c r="U324" s="35" t="n">
        <x:f>L324-N324-P324-R324-T324</x:f>
        <x:v>4.816</x:v>
      </x:c>
      <x:c r="V324" s="21" t="n">
        <x:f>IFERROR(U324/L324,0)</x:f>
        <x:v>0.26755555555555555</x:v>
      </x:c>
    </x:row>
    <x:row r="325">
      <x:c r="A325" s="19" t="str">
        <x:v>SALE-00321</x:v>
      </x:c>
      <x:c r="B325" s="34" t="n">
        <x:v>46211.5</x:v>
      </x:c>
      <x:c r="C325" s="19" t="str">
        <x:v>周三</x:v>
      </x:c>
      <x:c r="D325" s="19" t="str">
        <x:v>S02</x:v>
      </x:c>
      <x:c r="E325" s="19" t="str">
        <x:v>尊宝大厦店</x:v>
      </x:c>
      <x:c r="F325" s="19" t="str">
        <x:v>堂食</x:v>
      </x:c>
      <x:c r="G325" s="19" t="str">
        <x:v>全日</x:v>
      </x:c>
      <x:c r="H325" s="19" t="str">
        <x:v>D01</x:v>
      </x:c>
      <x:c r="I325" s="19" t="str">
        <x:v>辣椒炒肉</x:v>
      </x:c>
      <x:c r="J325" s="22" t="n">
        <x:f>XLOOKUP(H325,'菜品主数据'!$A$5:$A$24,'菜品主数据'!$D$5:$D$24,0)</x:f>
        <x:v>29</x:v>
      </x:c>
      <x:c r="K325" s="31" t="n">
        <x:v>48</x:v>
      </x:c>
      <x:c r="L325" s="35" t="n">
        <x:f>J325*K325</x:f>
        <x:v>1392</x:v>
      </x:c>
      <x:c r="M325" s="36" t="n">
        <x:v>0</x:v>
      </x:c>
      <x:c r="N325" s="35" t="n">
        <x:f>L325*M325</x:f>
        <x:v>0</x:v>
      </x:c>
      <x:c r="O325" s="37" t="n">
        <x:v>0</x:v>
      </x:c>
      <x:c r="P325" s="35" t="n">
        <x:f>L325*O325</x:f>
        <x:v>0</x:v>
      </x:c>
      <x:c r="Q325" s="35" t="n">
        <x:v>0</x:v>
      </x:c>
      <x:c r="R325" s="35" t="n">
        <x:f>K325*Q325</x:f>
        <x:v>0</x:v>
      </x:c>
      <x:c r="S325" s="35" t="n">
        <x:f>XLOOKUP(H325,'菜品主数据'!$A$5:$A$24,'菜品主数据'!$G$5:$G$24,0)</x:f>
        <x:v>8.634400000000001</x:v>
      </x:c>
      <x:c r="T325" s="35" t="n">
        <x:f>K325*S325</x:f>
        <x:v>414.4512000000001</x:v>
      </x:c>
      <x:c r="U325" s="35" t="n">
        <x:f>L325-N325-P325-R325-T325</x:f>
        <x:v>977.5487999999999</x:v>
      </x:c>
      <x:c r="V325" s="21" t="n">
        <x:f>IFERROR(U325/L325,0)</x:f>
        <x:v>0.7022620689655171</x:v>
      </x:c>
    </x:row>
    <x:row r="326">
      <x:c r="A326" s="19" t="str">
        <x:v>SALE-00322</x:v>
      </x:c>
      <x:c r="B326" s="34" t="n">
        <x:v>46211.5</x:v>
      </x:c>
      <x:c r="C326" s="19" t="str">
        <x:v>周三</x:v>
      </x:c>
      <x:c r="D326" s="19" t="str">
        <x:v>S02</x:v>
      </x:c>
      <x:c r="E326" s="19" t="str">
        <x:v>尊宝大厦店</x:v>
      </x:c>
      <x:c r="F326" s="19" t="str">
        <x:v>堂食</x:v>
      </x:c>
      <x:c r="G326" s="19" t="str">
        <x:v>全日</x:v>
      </x:c>
      <x:c r="H326" s="19" t="str">
        <x:v>D02</x:v>
      </x:c>
      <x:c r="I326" s="19" t="str">
        <x:v>小炒黄牛肉</x:v>
      </x:c>
      <x:c r="J326" s="22" t="n">
        <x:f>XLOOKUP(H326,'菜品主数据'!$A$5:$A$24,'菜品主数据'!$D$5:$D$24,0)</x:f>
        <x:v>49</x:v>
      </x:c>
      <x:c r="K326" s="31" t="n">
        <x:v>27</x:v>
      </x:c>
      <x:c r="L326" s="35" t="n">
        <x:f>J326*K326</x:f>
        <x:v>1323</x:v>
      </x:c>
      <x:c r="M326" s="36" t="n">
        <x:v>0</x:v>
      </x:c>
      <x:c r="N326" s="35" t="n">
        <x:f>L326*M326</x:f>
        <x:v>0</x:v>
      </x:c>
      <x:c r="O326" s="37" t="n">
        <x:v>0</x:v>
      </x:c>
      <x:c r="P326" s="35" t="n">
        <x:f>L326*O326</x:f>
        <x:v>0</x:v>
      </x:c>
      <x:c r="Q326" s="35" t="n">
        <x:v>0</x:v>
      </x:c>
      <x:c r="R326" s="35" t="n">
        <x:f>K326*Q326</x:f>
        <x:v>0</x:v>
      </x:c>
      <x:c r="S326" s="35" t="n">
        <x:f>XLOOKUP(H326,'菜品主数据'!$A$5:$A$24,'菜品主数据'!$G$5:$G$24,0)</x:f>
        <x:v>17.577</x:v>
      </x:c>
      <x:c r="T326" s="35" t="n">
        <x:f>K326*S326</x:f>
        <x:v>474.57900000000006</x:v>
      </x:c>
      <x:c r="U326" s="35" t="n">
        <x:f>L326-N326-P326-R326-T326</x:f>
        <x:v>848.4209999999999</x:v>
      </x:c>
      <x:c r="V326" s="21" t="n">
        <x:f>IFERROR(U326/L326,0)</x:f>
        <x:v>0.6412857142857142</x:v>
      </x:c>
    </x:row>
    <x:row r="327">
      <x:c r="A327" s="19" t="str">
        <x:v>SALE-00323</x:v>
      </x:c>
      <x:c r="B327" s="34" t="n">
        <x:v>46211.5</x:v>
      </x:c>
      <x:c r="C327" s="19" t="str">
        <x:v>周三</x:v>
      </x:c>
      <x:c r="D327" s="19" t="str">
        <x:v>S02</x:v>
      </x:c>
      <x:c r="E327" s="19" t="str">
        <x:v>尊宝大厦店</x:v>
      </x:c>
      <x:c r="F327" s="19" t="str">
        <x:v>堂食</x:v>
      </x:c>
      <x:c r="G327" s="19" t="str">
        <x:v>全日</x:v>
      </x:c>
      <x:c r="H327" s="19" t="str">
        <x:v>D03</x:v>
      </x:c>
      <x:c r="I327" s="19" t="str">
        <x:v>香醋炒蛋</x:v>
      </x:c>
      <x:c r="J327" s="22" t="n">
        <x:f>XLOOKUP(H327,'菜品主数据'!$A$5:$A$24,'菜品主数据'!$D$5:$D$24,0)</x:f>
        <x:v>14.9</x:v>
      </x:c>
      <x:c r="K327" s="31" t="n">
        <x:v>40</x:v>
      </x:c>
      <x:c r="L327" s="35" t="n">
        <x:f>J327*K327</x:f>
        <x:v>596</x:v>
      </x:c>
      <x:c r="M327" s="36" t="n">
        <x:v>0</x:v>
      </x:c>
      <x:c r="N327" s="35" t="n">
        <x:f>L327*M327</x:f>
        <x:v>0</x:v>
      </x:c>
      <x:c r="O327" s="37" t="n">
        <x:v>0</x:v>
      </x:c>
      <x:c r="P327" s="35" t="n">
        <x:f>L327*O327</x:f>
        <x:v>0</x:v>
      </x:c>
      <x:c r="Q327" s="35" t="n">
        <x:v>0</x:v>
      </x:c>
      <x:c r="R327" s="35" t="n">
        <x:f>K327*Q327</x:f>
        <x:v>0</x:v>
      </x:c>
      <x:c r="S327" s="35" t="n">
        <x:f>XLOOKUP(H327,'菜品主数据'!$A$5:$A$24,'菜品主数据'!$G$5:$G$24,0)</x:f>
        <x:v>3.7459999999999996</x:v>
      </x:c>
      <x:c r="T327" s="35" t="n">
        <x:f>K327*S327</x:f>
        <x:v>149.83999999999997</x:v>
      </x:c>
      <x:c r="U327" s="35" t="n">
        <x:f>L327-N327-P327-R327-T327</x:f>
        <x:v>446.16</x:v>
      </x:c>
      <x:c r="V327" s="21" t="n">
        <x:f>IFERROR(U327/L327,0)</x:f>
        <x:v>0.7485906040268456</x:v>
      </x:c>
    </x:row>
    <x:row r="328">
      <x:c r="A328" s="19" t="str">
        <x:v>SALE-00324</x:v>
      </x:c>
      <x:c r="B328" s="34" t="n">
        <x:v>46211.5</x:v>
      </x:c>
      <x:c r="C328" s="19" t="str">
        <x:v>周三</x:v>
      </x:c>
      <x:c r="D328" s="19" t="str">
        <x:v>S02</x:v>
      </x:c>
      <x:c r="E328" s="19" t="str">
        <x:v>尊宝大厦店</x:v>
      </x:c>
      <x:c r="F328" s="19" t="str">
        <x:v>堂食</x:v>
      </x:c>
      <x:c r="G328" s="19" t="str">
        <x:v>全日</x:v>
      </x:c>
      <x:c r="H328" s="19" t="str">
        <x:v>D04</x:v>
      </x:c>
      <x:c r="I328" s="19" t="str">
        <x:v>酸包菜炒粉皮</x:v>
      </x:c>
      <x:c r="J328" s="22" t="n">
        <x:f>XLOOKUP(H328,'菜品主数据'!$A$5:$A$24,'菜品主数据'!$D$5:$D$24,0)</x:f>
        <x:v>16</x:v>
      </x:c>
      <x:c r="K328" s="31" t="n">
        <x:v>36</x:v>
      </x:c>
      <x:c r="L328" s="35" t="n">
        <x:f>J328*K328</x:f>
        <x:v>576</x:v>
      </x:c>
      <x:c r="M328" s="36" t="n">
        <x:v>0</x:v>
      </x:c>
      <x:c r="N328" s="35" t="n">
        <x:f>L328*M328</x:f>
        <x:v>0</x:v>
      </x:c>
      <x:c r="O328" s="37" t="n">
        <x:v>0</x:v>
      </x:c>
      <x:c r="P328" s="35" t="n">
        <x:f>L328*O328</x:f>
        <x:v>0</x:v>
      </x:c>
      <x:c r="Q328" s="35" t="n">
        <x:v>0</x:v>
      </x:c>
      <x:c r="R328" s="35" t="n">
        <x:f>K328*Q328</x:f>
        <x:v>0</x:v>
      </x:c>
      <x:c r="S328" s="35" t="n">
        <x:f>XLOOKUP(H328,'菜品主数据'!$A$5:$A$24,'菜品主数据'!$G$5:$G$24,0)</x:f>
        <x:v>3.978</x:v>
      </x:c>
      <x:c r="T328" s="35" t="n">
        <x:f>K328*S328</x:f>
        <x:v>143.208</x:v>
      </x:c>
      <x:c r="U328" s="35" t="n">
        <x:f>L328-N328-P328-R328-T328</x:f>
        <x:v>432.79200000000003</x:v>
      </x:c>
      <x:c r="V328" s="21" t="n">
        <x:f>IFERROR(U328/L328,0)</x:f>
        <x:v>0.751375</x:v>
      </x:c>
    </x:row>
    <x:row r="329">
      <x:c r="A329" s="19" t="str">
        <x:v>SALE-00325</x:v>
      </x:c>
      <x:c r="B329" s="34" t="n">
        <x:v>46211.5</x:v>
      </x:c>
      <x:c r="C329" s="19" t="str">
        <x:v>周三</x:v>
      </x:c>
      <x:c r="D329" s="19" t="str">
        <x:v>S02</x:v>
      </x:c>
      <x:c r="E329" s="19" t="str">
        <x:v>尊宝大厦店</x:v>
      </x:c>
      <x:c r="F329" s="19" t="str">
        <x:v>堂食</x:v>
      </x:c>
      <x:c r="G329" s="19" t="str">
        <x:v>全日</x:v>
      </x:c>
      <x:c r="H329" s="19" t="str">
        <x:v>D05</x:v>
      </x:c>
      <x:c r="I329" s="19" t="str">
        <x:v>麻婆豆腐</x:v>
      </x:c>
      <x:c r="J329" s="22" t="n">
        <x:f>XLOOKUP(H329,'菜品主数据'!$A$5:$A$24,'菜品主数据'!$D$5:$D$24,0)</x:f>
        <x:v>9.9</x:v>
      </x:c>
      <x:c r="K329" s="31" t="n">
        <x:v>50</x:v>
      </x:c>
      <x:c r="L329" s="35" t="n">
        <x:f>J329*K329</x:f>
        <x:v>495</x:v>
      </x:c>
      <x:c r="M329" s="36" t="n">
        <x:v>0</x:v>
      </x:c>
      <x:c r="N329" s="35" t="n">
        <x:f>L329*M329</x:f>
        <x:v>0</x:v>
      </x:c>
      <x:c r="O329" s="37" t="n">
        <x:v>0</x:v>
      </x:c>
      <x:c r="P329" s="35" t="n">
        <x:f>L329*O329</x:f>
        <x:v>0</x:v>
      </x:c>
      <x:c r="Q329" s="35" t="n">
        <x:v>0</x:v>
      </x:c>
      <x:c r="R329" s="35" t="n">
        <x:f>K329*Q329</x:f>
        <x:v>0</x:v>
      </x:c>
      <x:c r="S329" s="35" t="n">
        <x:f>XLOOKUP(H329,'菜品主数据'!$A$5:$A$24,'菜品主数据'!$G$5:$G$24,0)</x:f>
        <x:v>5.367000000000001</x:v>
      </x:c>
      <x:c r="T329" s="35" t="n">
        <x:f>K329*S329</x:f>
        <x:v>268.35</x:v>
      </x:c>
      <x:c r="U329" s="35" t="n">
        <x:f>L329-N329-P329-R329-T329</x:f>
        <x:v>226.64999999999998</x:v>
      </x:c>
      <x:c r="V329" s="21" t="n">
        <x:f>IFERROR(U329/L329,0)</x:f>
        <x:v>0.45787878787878783</x:v>
      </x:c>
    </x:row>
    <x:row r="330">
      <x:c r="A330" s="19" t="str">
        <x:v>SALE-00326</x:v>
      </x:c>
      <x:c r="B330" s="34" t="n">
        <x:v>46211.5</x:v>
      </x:c>
      <x:c r="C330" s="19" t="str">
        <x:v>周三</x:v>
      </x:c>
      <x:c r="D330" s="19" t="str">
        <x:v>S02</x:v>
      </x:c>
      <x:c r="E330" s="19" t="str">
        <x:v>尊宝大厦店</x:v>
      </x:c>
      <x:c r="F330" s="19" t="str">
        <x:v>堂食</x:v>
      </x:c>
      <x:c r="G330" s="19" t="str">
        <x:v>全日</x:v>
      </x:c>
      <x:c r="H330" s="19" t="str">
        <x:v>D06</x:v>
      </x:c>
      <x:c r="I330" s="19" t="str">
        <x:v>剁椒鱼头</x:v>
      </x:c>
      <x:c r="J330" s="22" t="n">
        <x:f>XLOOKUP(H330,'菜品主数据'!$A$5:$A$24,'菜品主数据'!$D$5:$D$24,0)</x:f>
        <x:v>39</x:v>
      </x:c>
      <x:c r="K330" s="31" t="n">
        <x:v>13</x:v>
      </x:c>
      <x:c r="L330" s="35" t="n">
        <x:f>J330*K330</x:f>
        <x:v>507</x:v>
      </x:c>
      <x:c r="M330" s="36" t="n">
        <x:v>0</x:v>
      </x:c>
      <x:c r="N330" s="35" t="n">
        <x:f>L330*M330</x:f>
        <x:v>0</x:v>
      </x:c>
      <x:c r="O330" s="37" t="n">
        <x:v>0</x:v>
      </x:c>
      <x:c r="P330" s="35" t="n">
        <x:f>L330*O330</x:f>
        <x:v>0</x:v>
      </x:c>
      <x:c r="Q330" s="35" t="n">
        <x:v>0</x:v>
      </x:c>
      <x:c r="R330" s="35" t="n">
        <x:f>K330*Q330</x:f>
        <x:v>0</x:v>
      </x:c>
      <x:c r="S330" s="35" t="n">
        <x:f>XLOOKUP(H330,'菜品主数据'!$A$5:$A$24,'菜品主数据'!$G$5:$G$24,0)</x:f>
        <x:v>17.446</x:v>
      </x:c>
      <x:c r="T330" s="35" t="n">
        <x:f>K330*S330</x:f>
        <x:v>226.79800000000003</x:v>
      </x:c>
      <x:c r="U330" s="35" t="n">
        <x:f>L330-N330-P330-R330-T330</x:f>
        <x:v>280.202</x:v>
      </x:c>
      <x:c r="V330" s="21" t="n">
        <x:f>IFERROR(U330/L330,0)</x:f>
        <x:v>0.5526666666666666</x:v>
      </x:c>
    </x:row>
    <x:row r="331">
      <x:c r="A331" s="19" t="str">
        <x:v>SALE-00327</x:v>
      </x:c>
      <x:c r="B331" s="34" t="n">
        <x:v>46211.5</x:v>
      </x:c>
      <x:c r="C331" s="19" t="str">
        <x:v>周三</x:v>
      </x:c>
      <x:c r="D331" s="19" t="str">
        <x:v>S02</x:v>
      </x:c>
      <x:c r="E331" s="19" t="str">
        <x:v>尊宝大厦店</x:v>
      </x:c>
      <x:c r="F331" s="19" t="str">
        <x:v>堂食</x:v>
      </x:c>
      <x:c r="G331" s="19" t="str">
        <x:v>全日</x:v>
      </x:c>
      <x:c r="H331" s="19" t="str">
        <x:v>D07</x:v>
      </x:c>
      <x:c r="I331" s="19" t="str">
        <x:v>川味回锅肉</x:v>
      </x:c>
      <x:c r="J331" s="22" t="n">
        <x:f>XLOOKUP(H331,'菜品主数据'!$A$5:$A$24,'菜品主数据'!$D$5:$D$24,0)</x:f>
        <x:v>29</x:v>
      </x:c>
      <x:c r="K331" s="31" t="n">
        <x:v>16</x:v>
      </x:c>
      <x:c r="L331" s="35" t="n">
        <x:f>J331*K331</x:f>
        <x:v>464</x:v>
      </x:c>
      <x:c r="M331" s="36" t="n">
        <x:v>0</x:v>
      </x:c>
      <x:c r="N331" s="35" t="n">
        <x:f>L331*M331</x:f>
        <x:v>0</x:v>
      </x:c>
      <x:c r="O331" s="37" t="n">
        <x:v>0</x:v>
      </x:c>
      <x:c r="P331" s="35" t="n">
        <x:f>L331*O331</x:f>
        <x:v>0</x:v>
      </x:c>
      <x:c r="Q331" s="35" t="n">
        <x:v>0</x:v>
      </x:c>
      <x:c r="R331" s="35" t="n">
        <x:f>K331*Q331</x:f>
        <x:v>0</x:v>
      </x:c>
      <x:c r="S331" s="35" t="n">
        <x:f>XLOOKUP(H331,'菜品主数据'!$A$5:$A$24,'菜品主数据'!$G$5:$G$24,0)</x:f>
        <x:v>10.231000000000002</x:v>
      </x:c>
      <x:c r="T331" s="35" t="n">
        <x:f>K331*S331</x:f>
        <x:v>163.69600000000003</x:v>
      </x:c>
      <x:c r="U331" s="35" t="n">
        <x:f>L331-N331-P331-R331-T331</x:f>
        <x:v>300.304</x:v>
      </x:c>
      <x:c r="V331" s="21" t="n">
        <x:f>IFERROR(U331/L331,0)</x:f>
        <x:v>0.647206896551724</x:v>
      </x:c>
    </x:row>
    <x:row r="332">
      <x:c r="A332" s="19" t="str">
        <x:v>SALE-00328</x:v>
      </x:c>
      <x:c r="B332" s="34" t="n">
        <x:v>46211.5</x:v>
      </x:c>
      <x:c r="C332" s="19" t="str">
        <x:v>周三</x:v>
      </x:c>
      <x:c r="D332" s="19" t="str">
        <x:v>S02</x:v>
      </x:c>
      <x:c r="E332" s="19" t="str">
        <x:v>尊宝大厦店</x:v>
      </x:c>
      <x:c r="F332" s="19" t="str">
        <x:v>堂食</x:v>
      </x:c>
      <x:c r="G332" s="19" t="str">
        <x:v>全日</x:v>
      </x:c>
      <x:c r="H332" s="19" t="str">
        <x:v>D08</x:v>
      </x:c>
      <x:c r="I332" s="19" t="str">
        <x:v>生炒清远鸡</x:v>
      </x:c>
      <x:c r="J332" s="22" t="n">
        <x:f>XLOOKUP(H332,'菜品主数据'!$A$5:$A$24,'菜品主数据'!$D$5:$D$24,0)</x:f>
        <x:v>36</x:v>
      </x:c>
      <x:c r="K332" s="31" t="n">
        <x:v>11</x:v>
      </x:c>
      <x:c r="L332" s="35" t="n">
        <x:f>J332*K332</x:f>
        <x:v>396</x:v>
      </x:c>
      <x:c r="M332" s="36" t="n">
        <x:v>0</x:v>
      </x:c>
      <x:c r="N332" s="35" t="n">
        <x:f>L332*M332</x:f>
        <x:v>0</x:v>
      </x:c>
      <x:c r="O332" s="37" t="n">
        <x:v>0</x:v>
      </x:c>
      <x:c r="P332" s="35" t="n">
        <x:f>L332*O332</x:f>
        <x:v>0</x:v>
      </x:c>
      <x:c r="Q332" s="35" t="n">
        <x:v>0</x:v>
      </x:c>
      <x:c r="R332" s="35" t="n">
        <x:f>K332*Q332</x:f>
        <x:v>0</x:v>
      </x:c>
      <x:c r="S332" s="35" t="n">
        <x:f>XLOOKUP(H332,'菜品主数据'!$A$5:$A$24,'菜品主数据'!$G$5:$G$24,0)</x:f>
        <x:v>13.48</x:v>
      </x:c>
      <x:c r="T332" s="35" t="n">
        <x:f>K332*S332</x:f>
        <x:v>148.28</x:v>
      </x:c>
      <x:c r="U332" s="35" t="n">
        <x:f>L332-N332-P332-R332-T332</x:f>
        <x:v>247.72</x:v>
      </x:c>
      <x:c r="V332" s="21" t="n">
        <x:f>IFERROR(U332/L332,0)</x:f>
        <x:v>0.6255555555555555</x:v>
      </x:c>
    </x:row>
    <x:row r="333">
      <x:c r="A333" s="19" t="str">
        <x:v>SALE-00329</x:v>
      </x:c>
      <x:c r="B333" s="34" t="n">
        <x:v>46211.5</x:v>
      </x:c>
      <x:c r="C333" s="19" t="str">
        <x:v>周三</x:v>
      </x:c>
      <x:c r="D333" s="19" t="str">
        <x:v>S02</x:v>
      </x:c>
      <x:c r="E333" s="19" t="str">
        <x:v>尊宝大厦店</x:v>
      </x:c>
      <x:c r="F333" s="19" t="str">
        <x:v>堂食</x:v>
      </x:c>
      <x:c r="G333" s="19" t="str">
        <x:v>全日</x:v>
      </x:c>
      <x:c r="H333" s="19" t="str">
        <x:v>D09</x:v>
      </x:c>
      <x:c r="I333" s="19" t="str">
        <x:v>炒豆干</x:v>
      </x:c>
      <x:c r="J333" s="22" t="n">
        <x:f>XLOOKUP(H333,'菜品主数据'!$A$5:$A$24,'菜品主数据'!$D$5:$D$24,0)</x:f>
        <x:v>18</x:v>
      </x:c>
      <x:c r="K333" s="31" t="n">
        <x:v>17</x:v>
      </x:c>
      <x:c r="L333" s="35" t="n">
        <x:f>J333*K333</x:f>
        <x:v>306</x:v>
      </x:c>
      <x:c r="M333" s="36" t="n">
        <x:v>0</x:v>
      </x:c>
      <x:c r="N333" s="35" t="n">
        <x:f>L333*M333</x:f>
        <x:v>0</x:v>
      </x:c>
      <x:c r="O333" s="37" t="n">
        <x:v>0</x:v>
      </x:c>
      <x:c r="P333" s="35" t="n">
        <x:f>L333*O333</x:f>
        <x:v>0</x:v>
      </x:c>
      <x:c r="Q333" s="35" t="n">
        <x:v>0</x:v>
      </x:c>
      <x:c r="R333" s="35" t="n">
        <x:f>K333*Q333</x:f>
        <x:v>0</x:v>
      </x:c>
      <x:c r="S333" s="35" t="n">
        <x:f>XLOOKUP(H333,'菜品主数据'!$A$5:$A$24,'菜品主数据'!$G$5:$G$24,0)</x:f>
        <x:v>6.613999999999999</x:v>
      </x:c>
      <x:c r="T333" s="35" t="n">
        <x:f>K333*S333</x:f>
        <x:v>112.43799999999999</x:v>
      </x:c>
      <x:c r="U333" s="35" t="n">
        <x:f>L333-N333-P333-R333-T333</x:f>
        <x:v>193.562</x:v>
      </x:c>
      <x:c r="V333" s="21" t="n">
        <x:f>IFERROR(U333/L333,0)</x:f>
        <x:v>0.6325555555555556</x:v>
      </x:c>
    </x:row>
    <x:row r="334">
      <x:c r="A334" s="19" t="str">
        <x:v>SALE-00330</x:v>
      </x:c>
      <x:c r="B334" s="34" t="n">
        <x:v>46211.5</x:v>
      </x:c>
      <x:c r="C334" s="19" t="str">
        <x:v>周三</x:v>
      </x:c>
      <x:c r="D334" s="19" t="str">
        <x:v>S02</x:v>
      </x:c>
      <x:c r="E334" s="19" t="str">
        <x:v>尊宝大厦店</x:v>
      </x:c>
      <x:c r="F334" s="19" t="str">
        <x:v>堂食</x:v>
      </x:c>
      <x:c r="G334" s="19" t="str">
        <x:v>全日</x:v>
      </x:c>
      <x:c r="H334" s="19" t="str">
        <x:v>D10</x:v>
      </x:c>
      <x:c r="I334" s="19" t="str">
        <x:v>农家一碗香</x:v>
      </x:c>
      <x:c r="J334" s="22" t="n">
        <x:f>XLOOKUP(H334,'菜品主数据'!$A$5:$A$24,'菜品主数据'!$D$5:$D$24,0)</x:f>
        <x:v>22.9</x:v>
      </x:c>
      <x:c r="K334" s="31" t="n">
        <x:v>17</x:v>
      </x:c>
      <x:c r="L334" s="35" t="n">
        <x:f>J334*K334</x:f>
        <x:v>389.29999999999995</x:v>
      </x:c>
      <x:c r="M334" s="36" t="n">
        <x:v>0</x:v>
      </x:c>
      <x:c r="N334" s="35" t="n">
        <x:f>L334*M334</x:f>
        <x:v>0</x:v>
      </x:c>
      <x:c r="O334" s="37" t="n">
        <x:v>0</x:v>
      </x:c>
      <x:c r="P334" s="35" t="n">
        <x:f>L334*O334</x:f>
        <x:v>0</x:v>
      </x:c>
      <x:c r="Q334" s="35" t="n">
        <x:v>0</x:v>
      </x:c>
      <x:c r="R334" s="35" t="n">
        <x:f>K334*Q334</x:f>
        <x:v>0</x:v>
      </x:c>
      <x:c r="S334" s="35" t="n">
        <x:f>XLOOKUP(H334,'菜品主数据'!$A$5:$A$24,'菜品主数据'!$G$5:$G$24,0)</x:f>
        <x:v>9.770200000000003</x:v>
      </x:c>
      <x:c r="T334" s="35" t="n">
        <x:f>K334*S334</x:f>
        <x:v>166.09340000000003</x:v>
      </x:c>
      <x:c r="U334" s="35" t="n">
        <x:f>L334-N334-P334-R334-T334</x:f>
        <x:v>223.20659999999992</x:v>
      </x:c>
      <x:c r="V334" s="21" t="n">
        <x:f>IFERROR(U334/L334,0)</x:f>
        <x:v>0.5733537117903929</x:v>
      </x:c>
    </x:row>
    <x:row r="335">
      <x:c r="A335" s="19" t="str">
        <x:v>SALE-00331</x:v>
      </x:c>
      <x:c r="B335" s="34" t="n">
        <x:v>46211.5</x:v>
      </x:c>
      <x:c r="C335" s="19" t="str">
        <x:v>周三</x:v>
      </x:c>
      <x:c r="D335" s="19" t="str">
        <x:v>S02</x:v>
      </x:c>
      <x:c r="E335" s="19" t="str">
        <x:v>尊宝大厦店</x:v>
      </x:c>
      <x:c r="F335" s="19" t="str">
        <x:v>堂食</x:v>
      </x:c>
      <x:c r="G335" s="19" t="str">
        <x:v>全日</x:v>
      </x:c>
      <x:c r="H335" s="19" t="str">
        <x:v>D11</x:v>
      </x:c>
      <x:c r="I335" s="19" t="str">
        <x:v>香辣爆肥肠</x:v>
      </x:c>
      <x:c r="J335" s="22" t="n">
        <x:f>XLOOKUP(H335,'菜品主数据'!$A$5:$A$24,'菜品主数据'!$D$5:$D$24,0)</x:f>
        <x:v>39</x:v>
      </x:c>
      <x:c r="K335" s="31" t="n">
        <x:v>7</x:v>
      </x:c>
      <x:c r="L335" s="35" t="n">
        <x:f>J335*K335</x:f>
        <x:v>273</x:v>
      </x:c>
      <x:c r="M335" s="36" t="n">
        <x:v>0</x:v>
      </x:c>
      <x:c r="N335" s="35" t="n">
        <x:f>L335*M335</x:f>
        <x:v>0</x:v>
      </x:c>
      <x:c r="O335" s="37" t="n">
        <x:v>0</x:v>
      </x:c>
      <x:c r="P335" s="35" t="n">
        <x:f>L335*O335</x:f>
        <x:v>0</x:v>
      </x:c>
      <x:c r="Q335" s="35" t="n">
        <x:v>0</x:v>
      </x:c>
      <x:c r="R335" s="35" t="n">
        <x:f>K335*Q335</x:f>
        <x:v>0</x:v>
      </x:c>
      <x:c r="S335" s="35" t="n">
        <x:f>XLOOKUP(H335,'菜品主数据'!$A$5:$A$24,'菜品主数据'!$G$5:$G$24,0)</x:f>
        <x:v>10.397</x:v>
      </x:c>
      <x:c r="T335" s="35" t="n">
        <x:f>K335*S335</x:f>
        <x:v>72.779</x:v>
      </x:c>
      <x:c r="U335" s="35" t="n">
        <x:f>L335-N335-P335-R335-T335</x:f>
        <x:v>200.221</x:v>
      </x:c>
      <x:c r="V335" s="21" t="n">
        <x:f>IFERROR(U335/L335,0)</x:f>
        <x:v>0.7334102564102565</x:v>
      </x:c>
    </x:row>
    <x:row r="336">
      <x:c r="A336" s="19" t="str">
        <x:v>SALE-00332</x:v>
      </x:c>
      <x:c r="B336" s="34" t="n">
        <x:v>46211.5</x:v>
      </x:c>
      <x:c r="C336" s="19" t="str">
        <x:v>周三</x:v>
      </x:c>
      <x:c r="D336" s="19" t="str">
        <x:v>S02</x:v>
      </x:c>
      <x:c r="E336" s="19" t="str">
        <x:v>尊宝大厦店</x:v>
      </x:c>
      <x:c r="F336" s="19" t="str">
        <x:v>堂食</x:v>
      </x:c>
      <x:c r="G336" s="19" t="str">
        <x:v>全日</x:v>
      </x:c>
      <x:c r="H336" s="19" t="str">
        <x:v>D12</x:v>
      </x:c>
      <x:c r="I336" s="19" t="str">
        <x:v>清蒸鲈鱼</x:v>
      </x:c>
      <x:c r="J336" s="22" t="n">
        <x:f>XLOOKUP(H336,'菜品主数据'!$A$5:$A$24,'菜品主数据'!$D$5:$D$24,0)</x:f>
        <x:v>39</x:v>
      </x:c>
      <x:c r="K336" s="31" t="n">
        <x:v>7</x:v>
      </x:c>
      <x:c r="L336" s="35" t="n">
        <x:f>J336*K336</x:f>
        <x:v>273</x:v>
      </x:c>
      <x:c r="M336" s="36" t="n">
        <x:v>0</x:v>
      </x:c>
      <x:c r="N336" s="35" t="n">
        <x:f>L336*M336</x:f>
        <x:v>0</x:v>
      </x:c>
      <x:c r="O336" s="37" t="n">
        <x:v>0</x:v>
      </x:c>
      <x:c r="P336" s="35" t="n">
        <x:f>L336*O336</x:f>
        <x:v>0</x:v>
      </x:c>
      <x:c r="Q336" s="35" t="n">
        <x:v>0</x:v>
      </x:c>
      <x:c r="R336" s="35" t="n">
        <x:f>K336*Q336</x:f>
        <x:v>0</x:v>
      </x:c>
      <x:c r="S336" s="35" t="n">
        <x:f>XLOOKUP(H336,'菜品主数据'!$A$5:$A$24,'菜品主数据'!$G$5:$G$24,0)</x:f>
        <x:v>18.874</x:v>
      </x:c>
      <x:c r="T336" s="35" t="n">
        <x:f>K336*S336</x:f>
        <x:v>132.118</x:v>
      </x:c>
      <x:c r="U336" s="35" t="n">
        <x:f>L336-N336-P336-R336-T336</x:f>
        <x:v>140.882</x:v>
      </x:c>
      <x:c r="V336" s="21" t="n">
        <x:f>IFERROR(U336/L336,0)</x:f>
        <x:v>0.516051282051282</x:v>
      </x:c>
    </x:row>
    <x:row r="337">
      <x:c r="A337" s="19" t="str">
        <x:v>SALE-00333</x:v>
      </x:c>
      <x:c r="B337" s="34" t="n">
        <x:v>46211.5</x:v>
      </x:c>
      <x:c r="C337" s="19" t="str">
        <x:v>周三</x:v>
      </x:c>
      <x:c r="D337" s="19" t="str">
        <x:v>S02</x:v>
      </x:c>
      <x:c r="E337" s="19" t="str">
        <x:v>尊宝大厦店</x:v>
      </x:c>
      <x:c r="F337" s="19" t="str">
        <x:v>堂食</x:v>
      </x:c>
      <x:c r="G337" s="19" t="str">
        <x:v>全日</x:v>
      </x:c>
      <x:c r="H337" s="19" t="str">
        <x:v>D13</x:v>
      </x:c>
      <x:c r="I337" s="19" t="str">
        <x:v>外婆菜炒蛋</x:v>
      </x:c>
      <x:c r="J337" s="22" t="n">
        <x:f>XLOOKUP(H337,'菜品主数据'!$A$5:$A$24,'菜品主数据'!$D$5:$D$24,0)</x:f>
        <x:v>18</x:v>
      </x:c>
      <x:c r="K337" s="31" t="n">
        <x:v>15</x:v>
      </x:c>
      <x:c r="L337" s="35" t="n">
        <x:f>J337*K337</x:f>
        <x:v>270</x:v>
      </x:c>
      <x:c r="M337" s="36" t="n">
        <x:v>0</x:v>
      </x:c>
      <x:c r="N337" s="35" t="n">
        <x:f>L337*M337</x:f>
        <x:v>0</x:v>
      </x:c>
      <x:c r="O337" s="37" t="n">
        <x:v>0</x:v>
      </x:c>
      <x:c r="P337" s="35" t="n">
        <x:f>L337*O337</x:f>
        <x:v>0</x:v>
      </x:c>
      <x:c r="Q337" s="35" t="n">
        <x:v>0</x:v>
      </x:c>
      <x:c r="R337" s="35" t="n">
        <x:f>K337*Q337</x:f>
        <x:v>0</x:v>
      </x:c>
      <x:c r="S337" s="35" t="n">
        <x:f>XLOOKUP(H337,'菜品主数据'!$A$5:$A$24,'菜品主数据'!$G$5:$G$24,0)</x:f>
        <x:v>5.403999999999999</x:v>
      </x:c>
      <x:c r="T337" s="35" t="n">
        <x:f>K337*S337</x:f>
        <x:v>81.05999999999999</x:v>
      </x:c>
      <x:c r="U337" s="35" t="n">
        <x:f>L337-N337-P337-R337-T337</x:f>
        <x:v>188.94</x:v>
      </x:c>
      <x:c r="V337" s="21" t="n">
        <x:f>IFERROR(U337/L337,0)</x:f>
        <x:v>0.6997777777777777</x:v>
      </x:c>
    </x:row>
    <x:row r="338">
      <x:c r="A338" s="19" t="str">
        <x:v>SALE-00334</x:v>
      </x:c>
      <x:c r="B338" s="34" t="n">
        <x:v>46211.5</x:v>
      </x:c>
      <x:c r="C338" s="19" t="str">
        <x:v>周三</x:v>
      </x:c>
      <x:c r="D338" s="19" t="str">
        <x:v>S02</x:v>
      </x:c>
      <x:c r="E338" s="19" t="str">
        <x:v>尊宝大厦店</x:v>
      </x:c>
      <x:c r="F338" s="19" t="str">
        <x:v>堂食</x:v>
      </x:c>
      <x:c r="G338" s="19" t="str">
        <x:v>全日</x:v>
      </x:c>
      <x:c r="H338" s="19" t="str">
        <x:v>D14</x:v>
      </x:c>
      <x:c r="I338" s="19" t="str">
        <x:v>酸辣鸡杂</x:v>
      </x:c>
      <x:c r="J338" s="22" t="n">
        <x:f>XLOOKUP(H338,'菜品主数据'!$A$5:$A$24,'菜品主数据'!$D$5:$D$24,0)</x:f>
        <x:v>28</x:v>
      </x:c>
      <x:c r="K338" s="31" t="n">
        <x:v>8</x:v>
      </x:c>
      <x:c r="L338" s="35" t="n">
        <x:f>J338*K338</x:f>
        <x:v>224</x:v>
      </x:c>
      <x:c r="M338" s="36" t="n">
        <x:v>0</x:v>
      </x:c>
      <x:c r="N338" s="35" t="n">
        <x:f>L338*M338</x:f>
        <x:v>0</x:v>
      </x:c>
      <x:c r="O338" s="37" t="n">
        <x:v>0</x:v>
      </x:c>
      <x:c r="P338" s="35" t="n">
        <x:f>L338*O338</x:f>
        <x:v>0</x:v>
      </x:c>
      <x:c r="Q338" s="35" t="n">
        <x:v>0</x:v>
      </x:c>
      <x:c r="R338" s="35" t="n">
        <x:f>K338*Q338</x:f>
        <x:v>0</x:v>
      </x:c>
      <x:c r="S338" s="35" t="n">
        <x:f>XLOOKUP(H338,'菜品主数据'!$A$5:$A$24,'菜品主数据'!$G$5:$G$24,0)</x:f>
        <x:v>8.315000000000001</x:v>
      </x:c>
      <x:c r="T338" s="35" t="n">
        <x:f>K338*S338</x:f>
        <x:v>66.52000000000001</x:v>
      </x:c>
      <x:c r="U338" s="35" t="n">
        <x:f>L338-N338-P338-R338-T338</x:f>
        <x:v>157.48</x:v>
      </x:c>
      <x:c r="V338" s="21" t="n">
        <x:f>IFERROR(U338/L338,0)</x:f>
        <x:v>0.7030357142857142</x:v>
      </x:c>
    </x:row>
    <x:row r="339">
      <x:c r="A339" s="19" t="str">
        <x:v>SALE-00335</x:v>
      </x:c>
      <x:c r="B339" s="34" t="n">
        <x:v>46211.5</x:v>
      </x:c>
      <x:c r="C339" s="19" t="str">
        <x:v>周三</x:v>
      </x:c>
      <x:c r="D339" s="19" t="str">
        <x:v>S02</x:v>
      </x:c>
      <x:c r="E339" s="19" t="str">
        <x:v>尊宝大厦店</x:v>
      </x:c>
      <x:c r="F339" s="19" t="str">
        <x:v>堂食</x:v>
      </x:c>
      <x:c r="G339" s="19" t="str">
        <x:v>全日</x:v>
      </x:c>
      <x:c r="H339" s="19" t="str">
        <x:v>D15</x:v>
      </x:c>
      <x:c r="I339" s="19" t="str">
        <x:v>湘西土匪猪肝</x:v>
      </x:c>
      <x:c r="J339" s="22" t="n">
        <x:f>XLOOKUP(H339,'菜品主数据'!$A$5:$A$24,'菜品主数据'!$D$5:$D$24,0)</x:f>
        <x:v>26</x:v>
      </x:c>
      <x:c r="K339" s="31" t="n">
        <x:v>7</x:v>
      </x:c>
      <x:c r="L339" s="35" t="n">
        <x:f>J339*K339</x:f>
        <x:v>182</x:v>
      </x:c>
      <x:c r="M339" s="36" t="n">
        <x:v>0</x:v>
      </x:c>
      <x:c r="N339" s="35" t="n">
        <x:f>L339*M339</x:f>
        <x:v>0</x:v>
      </x:c>
      <x:c r="O339" s="37" t="n">
        <x:v>0</x:v>
      </x:c>
      <x:c r="P339" s="35" t="n">
        <x:f>L339*O339</x:f>
        <x:v>0</x:v>
      </x:c>
      <x:c r="Q339" s="35" t="n">
        <x:v>0</x:v>
      </x:c>
      <x:c r="R339" s="35" t="n">
        <x:f>K339*Q339</x:f>
        <x:v>0</x:v>
      </x:c>
      <x:c r="S339" s="35" t="n">
        <x:f>XLOOKUP(H339,'菜品主数据'!$A$5:$A$24,'菜品主数据'!$G$5:$G$24,0)</x:f>
        <x:v>6.3759999999999994</x:v>
      </x:c>
      <x:c r="T339" s="35" t="n">
        <x:f>K339*S339</x:f>
        <x:v>44.632</x:v>
      </x:c>
      <x:c r="U339" s="35" t="n">
        <x:f>L339-N339-P339-R339-T339</x:f>
        <x:v>137.368</x:v>
      </x:c>
      <x:c r="V339" s="21" t="n">
        <x:f>IFERROR(U339/L339,0)</x:f>
        <x:v>0.7547692307692307</x:v>
      </x:c>
    </x:row>
    <x:row r="340">
      <x:c r="A340" s="19" t="str">
        <x:v>SALE-00336</x:v>
      </x:c>
      <x:c r="B340" s="34" t="n">
        <x:v>46211.5</x:v>
      </x:c>
      <x:c r="C340" s="19" t="str">
        <x:v>周三</x:v>
      </x:c>
      <x:c r="D340" s="19" t="str">
        <x:v>S02</x:v>
      </x:c>
      <x:c r="E340" s="19" t="str">
        <x:v>尊宝大厦店</x:v>
      </x:c>
      <x:c r="F340" s="19" t="str">
        <x:v>堂食</x:v>
      </x:c>
      <x:c r="G340" s="19" t="str">
        <x:v>全日</x:v>
      </x:c>
      <x:c r="H340" s="19" t="str">
        <x:v>D16</x:v>
      </x:c>
      <x:c r="I340" s="19" t="str">
        <x:v>小豆角炒五花</x:v>
      </x:c>
      <x:c r="J340" s="22" t="n">
        <x:f>XLOOKUP(H340,'菜品主数据'!$A$5:$A$24,'菜品主数据'!$D$5:$D$24,0)</x:f>
        <x:v>25</x:v>
      </x:c>
      <x:c r="K340" s="31" t="n">
        <x:v>8</x:v>
      </x:c>
      <x:c r="L340" s="35" t="n">
        <x:f>J340*K340</x:f>
        <x:v>200</x:v>
      </x:c>
      <x:c r="M340" s="36" t="n">
        <x:v>0</x:v>
      </x:c>
      <x:c r="N340" s="35" t="n">
        <x:f>L340*M340</x:f>
        <x:v>0</x:v>
      </x:c>
      <x:c r="O340" s="37" t="n">
        <x:v>0</x:v>
      </x:c>
      <x:c r="P340" s="35" t="n">
        <x:f>L340*O340</x:f>
        <x:v>0</x:v>
      </x:c>
      <x:c r="Q340" s="35" t="n">
        <x:v>0</x:v>
      </x:c>
      <x:c r="R340" s="35" t="n">
        <x:f>K340*Q340</x:f>
        <x:v>0</x:v>
      </x:c>
      <x:c r="S340" s="35" t="n">
        <x:f>XLOOKUP(H340,'菜品主数据'!$A$5:$A$24,'菜品主数据'!$G$5:$G$24,0)</x:f>
        <x:v>8.184</x:v>
      </x:c>
      <x:c r="T340" s="35" t="n">
        <x:f>K340*S340</x:f>
        <x:v>65.472</x:v>
      </x:c>
      <x:c r="U340" s="35" t="n">
        <x:f>L340-N340-P340-R340-T340</x:f>
        <x:v>134.52800000000002</x:v>
      </x:c>
      <x:c r="V340" s="21" t="n">
        <x:f>IFERROR(U340/L340,0)</x:f>
        <x:v>0.6726400000000001</x:v>
      </x:c>
    </x:row>
    <x:row r="341">
      <x:c r="A341" s="19" t="str">
        <x:v>SALE-00337</x:v>
      </x:c>
      <x:c r="B341" s="34" t="n">
        <x:v>46211.5</x:v>
      </x:c>
      <x:c r="C341" s="19" t="str">
        <x:v>周三</x:v>
      </x:c>
      <x:c r="D341" s="19" t="str">
        <x:v>S02</x:v>
      </x:c>
      <x:c r="E341" s="19" t="str">
        <x:v>尊宝大厦店</x:v>
      </x:c>
      <x:c r="F341" s="19" t="str">
        <x:v>堂食</x:v>
      </x:c>
      <x:c r="G341" s="19" t="str">
        <x:v>全日</x:v>
      </x:c>
      <x:c r="H341" s="19" t="str">
        <x:v>D17</x:v>
      </x:c>
      <x:c r="I341" s="19" t="str">
        <x:v>蒜蓉粉丝虾</x:v>
      </x:c>
      <x:c r="J341" s="22" t="n">
        <x:f>XLOOKUP(H341,'菜品主数据'!$A$5:$A$24,'菜品主数据'!$D$5:$D$24,0)</x:f>
        <x:v>36</x:v>
      </x:c>
      <x:c r="K341" s="31" t="n">
        <x:v>5</x:v>
      </x:c>
      <x:c r="L341" s="35" t="n">
        <x:f>J341*K341</x:f>
        <x:v>180</x:v>
      </x:c>
      <x:c r="M341" s="36" t="n">
        <x:v>0</x:v>
      </x:c>
      <x:c r="N341" s="35" t="n">
        <x:f>L341*M341</x:f>
        <x:v>0</x:v>
      </x:c>
      <x:c r="O341" s="37" t="n">
        <x:v>0</x:v>
      </x:c>
      <x:c r="P341" s="35" t="n">
        <x:f>L341*O341</x:f>
        <x:v>0</x:v>
      </x:c>
      <x:c r="Q341" s="35" t="n">
        <x:v>0</x:v>
      </x:c>
      <x:c r="R341" s="35" t="n">
        <x:f>K341*Q341</x:f>
        <x:v>0</x:v>
      </x:c>
      <x:c r="S341" s="35" t="n">
        <x:f>XLOOKUP(H341,'菜品主数据'!$A$5:$A$24,'菜品主数据'!$G$5:$G$24,0)</x:f>
        <x:v>13.594</x:v>
      </x:c>
      <x:c r="T341" s="35" t="n">
        <x:f>K341*S341</x:f>
        <x:v>67.97</x:v>
      </x:c>
      <x:c r="U341" s="35" t="n">
        <x:f>L341-N341-P341-R341-T341</x:f>
        <x:v>112.03</x:v>
      </x:c>
      <x:c r="V341" s="21" t="n">
        <x:f>IFERROR(U341/L341,0)</x:f>
        <x:v>0.6223888888888889</x:v>
      </x:c>
    </x:row>
    <x:row r="342">
      <x:c r="A342" s="19" t="str">
        <x:v>SALE-00338</x:v>
      </x:c>
      <x:c r="B342" s="34" t="n">
        <x:v>46211.5</x:v>
      </x:c>
      <x:c r="C342" s="19" t="str">
        <x:v>周三</x:v>
      </x:c>
      <x:c r="D342" s="19" t="str">
        <x:v>S02</x:v>
      </x:c>
      <x:c r="E342" s="19" t="str">
        <x:v>尊宝大厦店</x:v>
      </x:c>
      <x:c r="F342" s="19" t="str">
        <x:v>堂食</x:v>
      </x:c>
      <x:c r="G342" s="19" t="str">
        <x:v>全日</x:v>
      </x:c>
      <x:c r="H342" s="19" t="str">
        <x:v>D18</x:v>
      </x:c>
      <x:c r="I342" s="19" t="str">
        <x:v>青椒炒油麦菜</x:v>
      </x:c>
      <x:c r="J342" s="22" t="n">
        <x:f>XLOOKUP(H342,'菜品主数据'!$A$5:$A$24,'菜品主数据'!$D$5:$D$24,0)</x:f>
        <x:v>18</x:v>
      </x:c>
      <x:c r="K342" s="31" t="n">
        <x:v>9</x:v>
      </x:c>
      <x:c r="L342" s="35" t="n">
        <x:f>J342*K342</x:f>
        <x:v>162</x:v>
      </x:c>
      <x:c r="M342" s="36" t="n">
        <x:v>0</x:v>
      </x:c>
      <x:c r="N342" s="35" t="n">
        <x:f>L342*M342</x:f>
        <x:v>0</x:v>
      </x:c>
      <x:c r="O342" s="37" t="n">
        <x:v>0</x:v>
      </x:c>
      <x:c r="P342" s="35" t="n">
        <x:f>L342*O342</x:f>
        <x:v>0</x:v>
      </x:c>
      <x:c r="Q342" s="35" t="n">
        <x:v>0</x:v>
      </x:c>
      <x:c r="R342" s="35" t="n">
        <x:f>K342*Q342</x:f>
        <x:v>0</x:v>
      </x:c>
      <x:c r="S342" s="35" t="n">
        <x:f>XLOOKUP(H342,'菜品主数据'!$A$5:$A$24,'菜品主数据'!$G$5:$G$24,0)</x:f>
        <x:v>3.1759999999999993</x:v>
      </x:c>
      <x:c r="T342" s="35" t="n">
        <x:f>K342*S342</x:f>
        <x:v>28.583999999999993</x:v>
      </x:c>
      <x:c r="U342" s="35" t="n">
        <x:f>L342-N342-P342-R342-T342</x:f>
        <x:v>133.416</x:v>
      </x:c>
      <x:c r="V342" s="21" t="n">
        <x:f>IFERROR(U342/L342,0)</x:f>
        <x:v>0.8235555555555555</x:v>
      </x:c>
    </x:row>
    <x:row r="343">
      <x:c r="A343" s="19" t="str">
        <x:v>SALE-00339</x:v>
      </x:c>
      <x:c r="B343" s="34" t="n">
        <x:v>46211.5</x:v>
      </x:c>
      <x:c r="C343" s="19" t="str">
        <x:v>周三</x:v>
      </x:c>
      <x:c r="D343" s="19" t="str">
        <x:v>S02</x:v>
      </x:c>
      <x:c r="E343" s="19" t="str">
        <x:v>尊宝大厦店</x:v>
      </x:c>
      <x:c r="F343" s="19" t="str">
        <x:v>堂食</x:v>
      </x:c>
      <x:c r="G343" s="19" t="str">
        <x:v>全日</x:v>
      </x:c>
      <x:c r="H343" s="19" t="str">
        <x:v>D19</x:v>
      </x:c>
      <x:c r="I343" s="19" t="str">
        <x:v>酸萝卜炒鸡杂</x:v>
      </x:c>
      <x:c r="J343" s="22" t="n">
        <x:f>XLOOKUP(H343,'菜品主数据'!$A$5:$A$24,'菜品主数据'!$D$5:$D$24,0)</x:f>
        <x:v>25</x:v>
      </x:c>
      <x:c r="K343" s="31" t="n">
        <x:v>6</x:v>
      </x:c>
      <x:c r="L343" s="35" t="n">
        <x:f>J343*K343</x:f>
        <x:v>150</x:v>
      </x:c>
      <x:c r="M343" s="36" t="n">
        <x:v>0</x:v>
      </x:c>
      <x:c r="N343" s="35" t="n">
        <x:f>L343*M343</x:f>
        <x:v>0</x:v>
      </x:c>
      <x:c r="O343" s="37" t="n">
        <x:v>0</x:v>
      </x:c>
      <x:c r="P343" s="35" t="n">
        <x:f>L343*O343</x:f>
        <x:v>0</x:v>
      </x:c>
      <x:c r="Q343" s="35" t="n">
        <x:v>0</x:v>
      </x:c>
      <x:c r="R343" s="35" t="n">
        <x:f>K343*Q343</x:f>
        <x:v>0</x:v>
      </x:c>
      <x:c r="S343" s="35" t="n">
        <x:f>XLOOKUP(H343,'菜品主数据'!$A$5:$A$24,'菜品主数据'!$G$5:$G$24,0)</x:f>
        <x:v>7.9399999999999995</x:v>
      </x:c>
      <x:c r="T343" s="35" t="n">
        <x:f>K343*S343</x:f>
        <x:v>47.64</x:v>
      </x:c>
      <x:c r="U343" s="35" t="n">
        <x:f>L343-N343-P343-R343-T343</x:f>
        <x:v>102.36</x:v>
      </x:c>
      <x:c r="V343" s="21" t="n">
        <x:f>IFERROR(U343/L343,0)</x:f>
        <x:v>0.6824</x:v>
      </x:c>
    </x:row>
    <x:row r="344">
      <x:c r="A344" s="19" t="str">
        <x:v>SALE-00340</x:v>
      </x:c>
      <x:c r="B344" s="34" t="n">
        <x:v>46211.5</x:v>
      </x:c>
      <x:c r="C344" s="19" t="str">
        <x:v>周三</x:v>
      </x:c>
      <x:c r="D344" s="19" t="str">
        <x:v>S02</x:v>
      </x:c>
      <x:c r="E344" s="19" t="str">
        <x:v>尊宝大厦店</x:v>
      </x:c>
      <x:c r="F344" s="19" t="str">
        <x:v>堂食</x:v>
      </x:c>
      <x:c r="G344" s="19" t="str">
        <x:v>全日</x:v>
      </x:c>
      <x:c r="H344" s="19" t="str">
        <x:v>D20</x:v>
      </x:c>
      <x:c r="I344" s="19" t="str">
        <x:v>雪菜肉末青豆</x:v>
      </x:c>
      <x:c r="J344" s="22" t="n">
        <x:f>XLOOKUP(H344,'菜品主数据'!$A$5:$A$24,'菜品主数据'!$D$5:$D$24,0)</x:f>
        <x:v>18</x:v>
      </x:c>
      <x:c r="K344" s="31" t="n">
        <x:v>8</x:v>
      </x:c>
      <x:c r="L344" s="35" t="n">
        <x:f>J344*K344</x:f>
        <x:v>144</x:v>
      </x:c>
      <x:c r="M344" s="36" t="n">
        <x:v>0</x:v>
      </x:c>
      <x:c r="N344" s="35" t="n">
        <x:f>L344*M344</x:f>
        <x:v>0</x:v>
      </x:c>
      <x:c r="O344" s="37" t="n">
        <x:v>0</x:v>
      </x:c>
      <x:c r="P344" s="35" t="n">
        <x:f>L344*O344</x:f>
        <x:v>0</x:v>
      </x:c>
      <x:c r="Q344" s="35" t="n">
        <x:v>0</x:v>
      </x:c>
      <x:c r="R344" s="35" t="n">
        <x:f>K344*Q344</x:f>
        <x:v>0</x:v>
      </x:c>
      <x:c r="S344" s="35" t="n">
        <x:f>XLOOKUP(H344,'菜品主数据'!$A$5:$A$24,'菜品主数据'!$G$5:$G$24,0)</x:f>
        <x:v>7.303999999999999</x:v>
      </x:c>
      <x:c r="T344" s="35" t="n">
        <x:f>K344*S344</x:f>
        <x:v>58.431999999999995</x:v>
      </x:c>
      <x:c r="U344" s="35" t="n">
        <x:f>L344-N344-P344-R344-T344</x:f>
        <x:v>85.56800000000001</x:v>
      </x:c>
      <x:c r="V344" s="21" t="n">
        <x:f>IFERROR(U344/L344,0)</x:f>
        <x:v>0.5942222222222223</x:v>
      </x:c>
    </x:row>
    <x:row r="345">
      <x:c r="A345" s="19" t="str">
        <x:v>SALE-00341</x:v>
      </x:c>
      <x:c r="B345" s="34" t="n">
        <x:v>46211.5</x:v>
      </x:c>
      <x:c r="C345" s="19" t="str">
        <x:v>周三</x:v>
      </x:c>
      <x:c r="D345" s="19" t="str">
        <x:v>S02</x:v>
      </x:c>
      <x:c r="E345" s="19" t="str">
        <x:v>尊宝大厦店</x:v>
      </x:c>
      <x:c r="F345" s="19" t="str">
        <x:v>外卖</x:v>
      </x:c>
      <x:c r="G345" s="19" t="str">
        <x:v>全日</x:v>
      </x:c>
      <x:c r="H345" s="19" t="str">
        <x:v>D01</x:v>
      </x:c>
      <x:c r="I345" s="19" t="str">
        <x:v>辣椒炒肉</x:v>
      </x:c>
      <x:c r="J345" s="22" t="n">
        <x:f>XLOOKUP(H345,'菜品主数据'!$A$5:$A$24,'菜品主数据'!$D$5:$D$24,0)</x:f>
        <x:v>29</x:v>
      </x:c>
      <x:c r="K345" s="31" t="n">
        <x:v>5</x:v>
      </x:c>
      <x:c r="L345" s="35" t="n">
        <x:f>J345*K345</x:f>
        <x:v>145</x:v>
      </x:c>
      <x:c r="M345" s="36" t="n">
        <x:v>0.08</x:v>
      </x:c>
      <x:c r="N345" s="35" t="n">
        <x:f>L345*M345</x:f>
        <x:v>11.6</x:v>
      </x:c>
      <x:c r="O345" s="37" t="n">
        <x:v>0.18</x:v>
      </x:c>
      <x:c r="P345" s="35" t="n">
        <x:f>L345*O345</x:f>
        <x:v>26.099999999999998</x:v>
      </x:c>
      <x:c r="Q345" s="35" t="n">
        <x:v>1.2</x:v>
      </x:c>
      <x:c r="R345" s="35" t="n">
        <x:f>K345*Q345</x:f>
        <x:v>6</x:v>
      </x:c>
      <x:c r="S345" s="35" t="n">
        <x:f>XLOOKUP(H345,'菜品主数据'!$A$5:$A$24,'菜品主数据'!$G$5:$G$24,0)</x:f>
        <x:v>8.634400000000001</x:v>
      </x:c>
      <x:c r="T345" s="35" t="n">
        <x:f>K345*S345</x:f>
        <x:v>43.172000000000004</x:v>
      </x:c>
      <x:c r="U345" s="35" t="n">
        <x:f>L345-N345-P345-R345-T345</x:f>
        <x:v>58.12800000000001</x:v>
      </x:c>
      <x:c r="V345" s="21" t="n">
        <x:f>IFERROR(U345/L345,0)</x:f>
        <x:v>0.4008827586206897</x:v>
      </x:c>
    </x:row>
    <x:row r="346">
      <x:c r="A346" s="19" t="str">
        <x:v>SALE-00342</x:v>
      </x:c>
      <x:c r="B346" s="34" t="n">
        <x:v>46211.5</x:v>
      </x:c>
      <x:c r="C346" s="19" t="str">
        <x:v>周三</x:v>
      </x:c>
      <x:c r="D346" s="19" t="str">
        <x:v>S02</x:v>
      </x:c>
      <x:c r="E346" s="19" t="str">
        <x:v>尊宝大厦店</x:v>
      </x:c>
      <x:c r="F346" s="19" t="str">
        <x:v>外卖</x:v>
      </x:c>
      <x:c r="G346" s="19" t="str">
        <x:v>全日</x:v>
      </x:c>
      <x:c r="H346" s="19" t="str">
        <x:v>D02</x:v>
      </x:c>
      <x:c r="I346" s="19" t="str">
        <x:v>小炒黄牛肉</x:v>
      </x:c>
      <x:c r="J346" s="22" t="n">
        <x:f>XLOOKUP(H346,'菜品主数据'!$A$5:$A$24,'菜品主数据'!$D$5:$D$24,0)</x:f>
        <x:v>49</x:v>
      </x:c>
      <x:c r="K346" s="31" t="n">
        <x:v>9</x:v>
      </x:c>
      <x:c r="L346" s="35" t="n">
        <x:f>J346*K346</x:f>
        <x:v>441</x:v>
      </x:c>
      <x:c r="M346" s="36" t="n">
        <x:v>0.08</x:v>
      </x:c>
      <x:c r="N346" s="35" t="n">
        <x:f>L346*M346</x:f>
        <x:v>35.28</x:v>
      </x:c>
      <x:c r="O346" s="37" t="n">
        <x:v>0.18</x:v>
      </x:c>
      <x:c r="P346" s="35" t="n">
        <x:f>L346*O346</x:f>
        <x:v>79.38</x:v>
      </x:c>
      <x:c r="Q346" s="35" t="n">
        <x:v>1.2</x:v>
      </x:c>
      <x:c r="R346" s="35" t="n">
        <x:f>K346*Q346</x:f>
        <x:v>10.799999999999999</x:v>
      </x:c>
      <x:c r="S346" s="35" t="n">
        <x:f>XLOOKUP(H346,'菜品主数据'!$A$5:$A$24,'菜品主数据'!$G$5:$G$24,0)</x:f>
        <x:v>17.577</x:v>
      </x:c>
      <x:c r="T346" s="35" t="n">
        <x:f>K346*S346</x:f>
        <x:v>158.193</x:v>
      </x:c>
      <x:c r="U346" s="35" t="n">
        <x:f>L346-N346-P346-R346-T346</x:f>
        <x:v>157.347</x:v>
      </x:c>
      <x:c r="V346" s="21" t="n">
        <x:f>IFERROR(U346/L346,0)</x:f>
        <x:v>0.356795918367347</x:v>
      </x:c>
    </x:row>
    <x:row r="347">
      <x:c r="A347" s="19" t="str">
        <x:v>SALE-00343</x:v>
      </x:c>
      <x:c r="B347" s="34" t="n">
        <x:v>46211.5</x:v>
      </x:c>
      <x:c r="C347" s="19" t="str">
        <x:v>周三</x:v>
      </x:c>
      <x:c r="D347" s="19" t="str">
        <x:v>S02</x:v>
      </x:c>
      <x:c r="E347" s="19" t="str">
        <x:v>尊宝大厦店</x:v>
      </x:c>
      <x:c r="F347" s="19" t="str">
        <x:v>外卖</x:v>
      </x:c>
      <x:c r="G347" s="19" t="str">
        <x:v>全日</x:v>
      </x:c>
      <x:c r="H347" s="19" t="str">
        <x:v>D03</x:v>
      </x:c>
      <x:c r="I347" s="19" t="str">
        <x:v>香醋炒蛋</x:v>
      </x:c>
      <x:c r="J347" s="22" t="n">
        <x:f>XLOOKUP(H347,'菜品主数据'!$A$5:$A$24,'菜品主数据'!$D$5:$D$24,0)</x:f>
        <x:v>14.9</x:v>
      </x:c>
      <x:c r="K347" s="31" t="n">
        <x:v>4</x:v>
      </x:c>
      <x:c r="L347" s="35" t="n">
        <x:f>J347*K347</x:f>
        <x:v>59.6</x:v>
      </x:c>
      <x:c r="M347" s="36" t="n">
        <x:v>0.08</x:v>
      </x:c>
      <x:c r="N347" s="35" t="n">
        <x:f>L347*M347</x:f>
        <x:v>4.768</x:v>
      </x:c>
      <x:c r="O347" s="37" t="n">
        <x:v>0.18</x:v>
      </x:c>
      <x:c r="P347" s="35" t="n">
        <x:f>L347*O347</x:f>
        <x:v>10.728</x:v>
      </x:c>
      <x:c r="Q347" s="35" t="n">
        <x:v>1.2</x:v>
      </x:c>
      <x:c r="R347" s="35" t="n">
        <x:f>K347*Q347</x:f>
        <x:v>4.8</x:v>
      </x:c>
      <x:c r="S347" s="35" t="n">
        <x:f>XLOOKUP(H347,'菜品主数据'!$A$5:$A$24,'菜品主数据'!$G$5:$G$24,0)</x:f>
        <x:v>3.7459999999999996</x:v>
      </x:c>
      <x:c r="T347" s="35" t="n">
        <x:f>K347*S347</x:f>
        <x:v>14.983999999999998</x:v>
      </x:c>
      <x:c r="U347" s="35" t="n">
        <x:f>L347-N347-P347-R347-T347</x:f>
        <x:v>24.320000000000004</x:v>
      </x:c>
      <x:c r="V347" s="21" t="n">
        <x:f>IFERROR(U347/L347,0)</x:f>
        <x:v>0.40805369127516783</x:v>
      </x:c>
    </x:row>
    <x:row r="348">
      <x:c r="A348" s="19" t="str">
        <x:v>SALE-00344</x:v>
      </x:c>
      <x:c r="B348" s="34" t="n">
        <x:v>46211.5</x:v>
      </x:c>
      <x:c r="C348" s="19" t="str">
        <x:v>周三</x:v>
      </x:c>
      <x:c r="D348" s="19" t="str">
        <x:v>S02</x:v>
      </x:c>
      <x:c r="E348" s="19" t="str">
        <x:v>尊宝大厦店</x:v>
      </x:c>
      <x:c r="F348" s="19" t="str">
        <x:v>外卖</x:v>
      </x:c>
      <x:c r="G348" s="19" t="str">
        <x:v>全日</x:v>
      </x:c>
      <x:c r="H348" s="19" t="str">
        <x:v>D04</x:v>
      </x:c>
      <x:c r="I348" s="19" t="str">
        <x:v>酸包菜炒粉皮</x:v>
      </x:c>
      <x:c r="J348" s="22" t="n">
        <x:f>XLOOKUP(H348,'菜品主数据'!$A$5:$A$24,'菜品主数据'!$D$5:$D$24,0)</x:f>
        <x:v>16</x:v>
      </x:c>
      <x:c r="K348" s="31" t="n">
        <x:v>4</x:v>
      </x:c>
      <x:c r="L348" s="35" t="n">
        <x:f>J348*K348</x:f>
        <x:v>64</x:v>
      </x:c>
      <x:c r="M348" s="36" t="n">
        <x:v>0.08</x:v>
      </x:c>
      <x:c r="N348" s="35" t="n">
        <x:f>L348*M348</x:f>
        <x:v>5.12</x:v>
      </x:c>
      <x:c r="O348" s="37" t="n">
        <x:v>0.18</x:v>
      </x:c>
      <x:c r="P348" s="35" t="n">
        <x:f>L348*O348</x:f>
        <x:v>11.52</x:v>
      </x:c>
      <x:c r="Q348" s="35" t="n">
        <x:v>1.2</x:v>
      </x:c>
      <x:c r="R348" s="35" t="n">
        <x:f>K348*Q348</x:f>
        <x:v>4.8</x:v>
      </x:c>
      <x:c r="S348" s="35" t="n">
        <x:f>XLOOKUP(H348,'菜品主数据'!$A$5:$A$24,'菜品主数据'!$G$5:$G$24,0)</x:f>
        <x:v>3.978</x:v>
      </x:c>
      <x:c r="T348" s="35" t="n">
        <x:f>K348*S348</x:f>
        <x:v>15.912</x:v>
      </x:c>
      <x:c r="U348" s="35" t="n">
        <x:f>L348-N348-P348-R348-T348</x:f>
        <x:v>26.648000000000003</x:v>
      </x:c>
      <x:c r="V348" s="21" t="n">
        <x:f>IFERROR(U348/L348,0)</x:f>
        <x:v>0.41637500000000005</x:v>
      </x:c>
    </x:row>
    <x:row r="349">
      <x:c r="A349" s="19" t="str">
        <x:v>SALE-00345</x:v>
      </x:c>
      <x:c r="B349" s="34" t="n">
        <x:v>46211.5</x:v>
      </x:c>
      <x:c r="C349" s="19" t="str">
        <x:v>周三</x:v>
      </x:c>
      <x:c r="D349" s="19" t="str">
        <x:v>S02</x:v>
      </x:c>
      <x:c r="E349" s="19" t="str">
        <x:v>尊宝大厦店</x:v>
      </x:c>
      <x:c r="F349" s="19" t="str">
        <x:v>外卖</x:v>
      </x:c>
      <x:c r="G349" s="19" t="str">
        <x:v>全日</x:v>
      </x:c>
      <x:c r="H349" s="19" t="str">
        <x:v>D05</x:v>
      </x:c>
      <x:c r="I349" s="19" t="str">
        <x:v>麻婆豆腐</x:v>
      </x:c>
      <x:c r="J349" s="22" t="n">
        <x:f>XLOOKUP(H349,'菜品主数据'!$A$5:$A$24,'菜品主数据'!$D$5:$D$24,0)</x:f>
        <x:v>9.9</x:v>
      </x:c>
      <x:c r="K349" s="31" t="n">
        <x:v>5</x:v>
      </x:c>
      <x:c r="L349" s="35" t="n">
        <x:f>J349*K349</x:f>
        <x:v>49.5</x:v>
      </x:c>
      <x:c r="M349" s="36" t="n">
        <x:v>0.08</x:v>
      </x:c>
      <x:c r="N349" s="35" t="n">
        <x:f>L349*M349</x:f>
        <x:v>3.96</x:v>
      </x:c>
      <x:c r="O349" s="37" t="n">
        <x:v>0.18</x:v>
      </x:c>
      <x:c r="P349" s="35" t="n">
        <x:f>L349*O349</x:f>
        <x:v>8.91</x:v>
      </x:c>
      <x:c r="Q349" s="35" t="n">
        <x:v>1.2</x:v>
      </x:c>
      <x:c r="R349" s="35" t="n">
        <x:f>K349*Q349</x:f>
        <x:v>6</x:v>
      </x:c>
      <x:c r="S349" s="35" t="n">
        <x:f>XLOOKUP(H349,'菜品主数据'!$A$5:$A$24,'菜品主数据'!$G$5:$G$24,0)</x:f>
        <x:v>5.367000000000001</x:v>
      </x:c>
      <x:c r="T349" s="35" t="n">
        <x:f>K349*S349</x:f>
        <x:v>26.835000000000004</x:v>
      </x:c>
      <x:c r="U349" s="35" t="n">
        <x:f>L349-N349-P349-R349-T349</x:f>
        <x:v>3.794999999999991</x:v>
      </x:c>
      <x:c r="V349" s="21" t="n">
        <x:f>IFERROR(U349/L349,0)</x:f>
        <x:v>0.07666666666666648</x:v>
      </x:c>
    </x:row>
    <x:row r="350">
      <x:c r="A350" s="19" t="str">
        <x:v>SALE-00346</x:v>
      </x:c>
      <x:c r="B350" s="34" t="n">
        <x:v>46211.5</x:v>
      </x:c>
      <x:c r="C350" s="19" t="str">
        <x:v>周三</x:v>
      </x:c>
      <x:c r="D350" s="19" t="str">
        <x:v>S02</x:v>
      </x:c>
      <x:c r="E350" s="19" t="str">
        <x:v>尊宝大厦店</x:v>
      </x:c>
      <x:c r="F350" s="19" t="str">
        <x:v>外卖</x:v>
      </x:c>
      <x:c r="G350" s="19" t="str">
        <x:v>全日</x:v>
      </x:c>
      <x:c r="H350" s="19" t="str">
        <x:v>D06</x:v>
      </x:c>
      <x:c r="I350" s="19" t="str">
        <x:v>剁椒鱼头</x:v>
      </x:c>
      <x:c r="J350" s="22" t="n">
        <x:f>XLOOKUP(H350,'菜品主数据'!$A$5:$A$24,'菜品主数据'!$D$5:$D$24,0)</x:f>
        <x:v>39</x:v>
      </x:c>
      <x:c r="K350" s="31" t="n">
        <x:v>1</x:v>
      </x:c>
      <x:c r="L350" s="35" t="n">
        <x:f>J350*K350</x:f>
        <x:v>39</x:v>
      </x:c>
      <x:c r="M350" s="36" t="n">
        <x:v>0.08</x:v>
      </x:c>
      <x:c r="N350" s="35" t="n">
        <x:f>L350*M350</x:f>
        <x:v>3.12</x:v>
      </x:c>
      <x:c r="O350" s="37" t="n">
        <x:v>0.18</x:v>
      </x:c>
      <x:c r="P350" s="35" t="n">
        <x:f>L350*O350</x:f>
        <x:v>7.02</x:v>
      </x:c>
      <x:c r="Q350" s="35" t="n">
        <x:v>1.2</x:v>
      </x:c>
      <x:c r="R350" s="35" t="n">
        <x:f>K350*Q350</x:f>
        <x:v>1.2</x:v>
      </x:c>
      <x:c r="S350" s="35" t="n">
        <x:f>XLOOKUP(H350,'菜品主数据'!$A$5:$A$24,'菜品主数据'!$G$5:$G$24,0)</x:f>
        <x:v>17.446</x:v>
      </x:c>
      <x:c r="T350" s="35" t="n">
        <x:f>K350*S350</x:f>
        <x:v>17.446</x:v>
      </x:c>
      <x:c r="U350" s="35" t="n">
        <x:f>L350-N350-P350-R350-T350</x:f>
        <x:v>10.214000000000002</x:v>
      </x:c>
      <x:c r="V350" s="21" t="n">
        <x:f>IFERROR(U350/L350,0)</x:f>
        <x:v>0.26189743589743597</x:v>
      </x:c>
    </x:row>
    <x:row r="351">
      <x:c r="A351" s="19" t="str">
        <x:v>SALE-00347</x:v>
      </x:c>
      <x:c r="B351" s="34" t="n">
        <x:v>46211.5</x:v>
      </x:c>
      <x:c r="C351" s="19" t="str">
        <x:v>周三</x:v>
      </x:c>
      <x:c r="D351" s="19" t="str">
        <x:v>S02</x:v>
      </x:c>
      <x:c r="E351" s="19" t="str">
        <x:v>尊宝大厦店</x:v>
      </x:c>
      <x:c r="F351" s="19" t="str">
        <x:v>外卖</x:v>
      </x:c>
      <x:c r="G351" s="19" t="str">
        <x:v>全日</x:v>
      </x:c>
      <x:c r="H351" s="19" t="str">
        <x:v>D07</x:v>
      </x:c>
      <x:c r="I351" s="19" t="str">
        <x:v>川味回锅肉</x:v>
      </x:c>
      <x:c r="J351" s="22" t="n">
        <x:f>XLOOKUP(H351,'菜品主数据'!$A$5:$A$24,'菜品主数据'!$D$5:$D$24,0)</x:f>
        <x:v>29</x:v>
      </x:c>
      <x:c r="K351" s="31" t="n">
        <x:v>1</x:v>
      </x:c>
      <x:c r="L351" s="35" t="n">
        <x:f>J351*K351</x:f>
        <x:v>29</x:v>
      </x:c>
      <x:c r="M351" s="36" t="n">
        <x:v>0.08</x:v>
      </x:c>
      <x:c r="N351" s="35" t="n">
        <x:f>L351*M351</x:f>
        <x:v>2.32</x:v>
      </x:c>
      <x:c r="O351" s="37" t="n">
        <x:v>0.18</x:v>
      </x:c>
      <x:c r="P351" s="35" t="n">
        <x:f>L351*O351</x:f>
        <x:v>5.22</x:v>
      </x:c>
      <x:c r="Q351" s="35" t="n">
        <x:v>1.2</x:v>
      </x:c>
      <x:c r="R351" s="35" t="n">
        <x:f>K351*Q351</x:f>
        <x:v>1.2</x:v>
      </x:c>
      <x:c r="S351" s="35" t="n">
        <x:f>XLOOKUP(H351,'菜品主数据'!$A$5:$A$24,'菜品主数据'!$G$5:$G$24,0)</x:f>
        <x:v>10.231000000000002</x:v>
      </x:c>
      <x:c r="T351" s="35" t="n">
        <x:f>K351*S351</x:f>
        <x:v>10.231000000000002</x:v>
      </x:c>
      <x:c r="U351" s="35" t="n">
        <x:f>L351-N351-P351-R351-T351</x:f>
        <x:v>10.029</x:v>
      </x:c>
      <x:c r="V351" s="21" t="n">
        <x:f>IFERROR(U351/L351,0)</x:f>
        <x:v>0.3458275862068966</x:v>
      </x:c>
    </x:row>
    <x:row r="352">
      <x:c r="A352" s="19" t="str">
        <x:v>SALE-00348</x:v>
      </x:c>
      <x:c r="B352" s="34" t="n">
        <x:v>46211.5</x:v>
      </x:c>
      <x:c r="C352" s="19" t="str">
        <x:v>周三</x:v>
      </x:c>
      <x:c r="D352" s="19" t="str">
        <x:v>S02</x:v>
      </x:c>
      <x:c r="E352" s="19" t="str">
        <x:v>尊宝大厦店</x:v>
      </x:c>
      <x:c r="F352" s="19" t="str">
        <x:v>外卖</x:v>
      </x:c>
      <x:c r="G352" s="19" t="str">
        <x:v>全日</x:v>
      </x:c>
      <x:c r="H352" s="19" t="str">
        <x:v>D08</x:v>
      </x:c>
      <x:c r="I352" s="19" t="str">
        <x:v>生炒清远鸡</x:v>
      </x:c>
      <x:c r="J352" s="22" t="n">
        <x:f>XLOOKUP(H352,'菜品主数据'!$A$5:$A$24,'菜品主数据'!$D$5:$D$24,0)</x:f>
        <x:v>36</x:v>
      </x:c>
      <x:c r="K352" s="31" t="n">
        <x:v>1</x:v>
      </x:c>
      <x:c r="L352" s="35" t="n">
        <x:f>J352*K352</x:f>
        <x:v>36</x:v>
      </x:c>
      <x:c r="M352" s="36" t="n">
        <x:v>0.08</x:v>
      </x:c>
      <x:c r="N352" s="35" t="n">
        <x:f>L352*M352</x:f>
        <x:v>2.88</x:v>
      </x:c>
      <x:c r="O352" s="37" t="n">
        <x:v>0.18</x:v>
      </x:c>
      <x:c r="P352" s="35" t="n">
        <x:f>L352*O352</x:f>
        <x:v>6.4799999999999995</x:v>
      </x:c>
      <x:c r="Q352" s="35" t="n">
        <x:v>1.2</x:v>
      </x:c>
      <x:c r="R352" s="35" t="n">
        <x:f>K352*Q352</x:f>
        <x:v>1.2</x:v>
      </x:c>
      <x:c r="S352" s="35" t="n">
        <x:f>XLOOKUP(H352,'菜品主数据'!$A$5:$A$24,'菜品主数据'!$G$5:$G$24,0)</x:f>
        <x:v>13.48</x:v>
      </x:c>
      <x:c r="T352" s="35" t="n">
        <x:f>K352*S352</x:f>
        <x:v>13.48</x:v>
      </x:c>
      <x:c r="U352" s="35" t="n">
        <x:f>L352-N352-P352-R352-T352</x:f>
        <x:v>11.959999999999997</x:v>
      </x:c>
      <x:c r="V352" s="21" t="n">
        <x:f>IFERROR(U352/L352,0)</x:f>
        <x:v>0.33222222222222214</x:v>
      </x:c>
    </x:row>
    <x:row r="353">
      <x:c r="A353" s="19" t="str">
        <x:v>SALE-00349</x:v>
      </x:c>
      <x:c r="B353" s="34" t="n">
        <x:v>46211.5</x:v>
      </x:c>
      <x:c r="C353" s="19" t="str">
        <x:v>周三</x:v>
      </x:c>
      <x:c r="D353" s="19" t="str">
        <x:v>S02</x:v>
      </x:c>
      <x:c r="E353" s="19" t="str">
        <x:v>尊宝大厦店</x:v>
      </x:c>
      <x:c r="F353" s="19" t="str">
        <x:v>外卖</x:v>
      </x:c>
      <x:c r="G353" s="19" t="str">
        <x:v>全日</x:v>
      </x:c>
      <x:c r="H353" s="19" t="str">
        <x:v>D09</x:v>
      </x:c>
      <x:c r="I353" s="19" t="str">
        <x:v>炒豆干</x:v>
      </x:c>
      <x:c r="J353" s="22" t="n">
        <x:f>XLOOKUP(H353,'菜品主数据'!$A$5:$A$24,'菜品主数据'!$D$5:$D$24,0)</x:f>
        <x:v>18</x:v>
      </x:c>
      <x:c r="K353" s="31" t="n">
        <x:v>1</x:v>
      </x:c>
      <x:c r="L353" s="35" t="n">
        <x:f>J353*K353</x:f>
        <x:v>18</x:v>
      </x:c>
      <x:c r="M353" s="36" t="n">
        <x:v>0.08</x:v>
      </x:c>
      <x:c r="N353" s="35" t="n">
        <x:f>L353*M353</x:f>
        <x:v>1.44</x:v>
      </x:c>
      <x:c r="O353" s="37" t="n">
        <x:v>0.18</x:v>
      </x:c>
      <x:c r="P353" s="35" t="n">
        <x:f>L353*O353</x:f>
        <x:v>3.2399999999999998</x:v>
      </x:c>
      <x:c r="Q353" s="35" t="n">
        <x:v>1.2</x:v>
      </x:c>
      <x:c r="R353" s="35" t="n">
        <x:f>K353*Q353</x:f>
        <x:v>1.2</x:v>
      </x:c>
      <x:c r="S353" s="35" t="n">
        <x:f>XLOOKUP(H353,'菜品主数据'!$A$5:$A$24,'菜品主数据'!$G$5:$G$24,0)</x:f>
        <x:v>6.613999999999999</x:v>
      </x:c>
      <x:c r="T353" s="35" t="n">
        <x:f>K353*S353</x:f>
        <x:v>6.613999999999999</x:v>
      </x:c>
      <x:c r="U353" s="35" t="n">
        <x:f>L353-N353-P353-R353-T353</x:f>
        <x:v>5.506</x:v>
      </x:c>
      <x:c r="V353" s="21" t="n">
        <x:f>IFERROR(U353/L353,0)</x:f>
        <x:v>0.3058888888888889</x:v>
      </x:c>
    </x:row>
    <x:row r="354">
      <x:c r="A354" s="19" t="str">
        <x:v>SALE-00350</x:v>
      </x:c>
      <x:c r="B354" s="34" t="n">
        <x:v>46211.5</x:v>
      </x:c>
      <x:c r="C354" s="19" t="str">
        <x:v>周三</x:v>
      </x:c>
      <x:c r="D354" s="19" t="str">
        <x:v>S02</x:v>
      </x:c>
      <x:c r="E354" s="19" t="str">
        <x:v>尊宝大厦店</x:v>
      </x:c>
      <x:c r="F354" s="19" t="str">
        <x:v>外卖</x:v>
      </x:c>
      <x:c r="G354" s="19" t="str">
        <x:v>全日</x:v>
      </x:c>
      <x:c r="H354" s="19" t="str">
        <x:v>D10</x:v>
      </x:c>
      <x:c r="I354" s="19" t="str">
        <x:v>农家一碗香</x:v>
      </x:c>
      <x:c r="J354" s="22" t="n">
        <x:f>XLOOKUP(H354,'菜品主数据'!$A$5:$A$24,'菜品主数据'!$D$5:$D$24,0)</x:f>
        <x:v>22.9</x:v>
      </x:c>
      <x:c r="K354" s="31" t="n">
        <x:v>1</x:v>
      </x:c>
      <x:c r="L354" s="35" t="n">
        <x:f>J354*K354</x:f>
        <x:v>22.9</x:v>
      </x:c>
      <x:c r="M354" s="36" t="n">
        <x:v>0.08</x:v>
      </x:c>
      <x:c r="N354" s="35" t="n">
        <x:f>L354*M354</x:f>
        <x:v>1.8319999999999999</x:v>
      </x:c>
      <x:c r="O354" s="37" t="n">
        <x:v>0.18</x:v>
      </x:c>
      <x:c r="P354" s="35" t="n">
        <x:f>L354*O354</x:f>
        <x:v>4.122</x:v>
      </x:c>
      <x:c r="Q354" s="35" t="n">
        <x:v>1.2</x:v>
      </x:c>
      <x:c r="R354" s="35" t="n">
        <x:f>K354*Q354</x:f>
        <x:v>1.2</x:v>
      </x:c>
      <x:c r="S354" s="35" t="n">
        <x:f>XLOOKUP(H354,'菜品主数据'!$A$5:$A$24,'菜品主数据'!$G$5:$G$24,0)</x:f>
        <x:v>9.770200000000003</x:v>
      </x:c>
      <x:c r="T354" s="35" t="n">
        <x:f>K354*S354</x:f>
        <x:v>9.770200000000003</x:v>
      </x:c>
      <x:c r="U354" s="35" t="n">
        <x:f>L354-N354-P354-R354-T354</x:f>
        <x:v>5.975799999999996</x:v>
      </x:c>
      <x:c r="V354" s="21" t="n">
        <x:f>IFERROR(U354/L354,0)</x:f>
        <x:v>0.260951965065502</x:v>
      </x:c>
    </x:row>
    <x:row r="355">
      <x:c r="A355" s="19" t="str">
        <x:v>SALE-00351</x:v>
      </x:c>
      <x:c r="B355" s="34" t="n">
        <x:v>46211.5</x:v>
      </x:c>
      <x:c r="C355" s="19" t="str">
        <x:v>周三</x:v>
      </x:c>
      <x:c r="D355" s="19" t="str">
        <x:v>S02</x:v>
      </x:c>
      <x:c r="E355" s="19" t="str">
        <x:v>尊宝大厦店</x:v>
      </x:c>
      <x:c r="F355" s="19" t="str">
        <x:v>外卖</x:v>
      </x:c>
      <x:c r="G355" s="19" t="str">
        <x:v>全日</x:v>
      </x:c>
      <x:c r="H355" s="19" t="str">
        <x:v>D11</x:v>
      </x:c>
      <x:c r="I355" s="19" t="str">
        <x:v>香辣爆肥肠</x:v>
      </x:c>
      <x:c r="J355" s="22" t="n">
        <x:f>XLOOKUP(H355,'菜品主数据'!$A$5:$A$24,'菜品主数据'!$D$5:$D$24,0)</x:f>
        <x:v>39</x:v>
      </x:c>
      <x:c r="K355" s="31" t="n">
        <x:v>0</x:v>
      </x:c>
      <x:c r="L355" s="35" t="n">
        <x:f>J355*K355</x:f>
        <x:v>0</x:v>
      </x:c>
      <x:c r="M355" s="36" t="n">
        <x:v>0.08</x:v>
      </x:c>
      <x:c r="N355" s="35" t="n">
        <x:f>L355*M355</x:f>
        <x:v>0</x:v>
      </x:c>
      <x:c r="O355" s="37" t="n">
        <x:v>0.18</x:v>
      </x:c>
      <x:c r="P355" s="35" t="n">
        <x:f>L355*O355</x:f>
        <x:v>0</x:v>
      </x:c>
      <x:c r="Q355" s="35" t="n">
        <x:v>1.2</x:v>
      </x:c>
      <x:c r="R355" s="35" t="n">
        <x:f>K355*Q355</x:f>
        <x:v>0</x:v>
      </x:c>
      <x:c r="S355" s="35" t="n">
        <x:f>XLOOKUP(H355,'菜品主数据'!$A$5:$A$24,'菜品主数据'!$G$5:$G$24,0)</x:f>
        <x:v>10.397</x:v>
      </x:c>
      <x:c r="T355" s="35" t="n">
        <x:f>K355*S355</x:f>
        <x:v>0</x:v>
      </x:c>
      <x:c r="U355" s="35" t="n">
        <x:f>L355-N355-P355-R355-T355</x:f>
        <x:v>0</x:v>
      </x:c>
      <x:c r="V355" s="21" t="n">
        <x:f>IFERROR(U355/L355,0)</x:f>
        <x:v>0</x:v>
      </x:c>
    </x:row>
    <x:row r="356">
      <x:c r="A356" s="19" t="str">
        <x:v>SALE-00352</x:v>
      </x:c>
      <x:c r="B356" s="34" t="n">
        <x:v>46211.5</x:v>
      </x:c>
      <x:c r="C356" s="19" t="str">
        <x:v>周三</x:v>
      </x:c>
      <x:c r="D356" s="19" t="str">
        <x:v>S02</x:v>
      </x:c>
      <x:c r="E356" s="19" t="str">
        <x:v>尊宝大厦店</x:v>
      </x:c>
      <x:c r="F356" s="19" t="str">
        <x:v>外卖</x:v>
      </x:c>
      <x:c r="G356" s="19" t="str">
        <x:v>全日</x:v>
      </x:c>
      <x:c r="H356" s="19" t="str">
        <x:v>D12</x:v>
      </x:c>
      <x:c r="I356" s="19" t="str">
        <x:v>清蒸鲈鱼</x:v>
      </x:c>
      <x:c r="J356" s="22" t="n">
        <x:f>XLOOKUP(H356,'菜品主数据'!$A$5:$A$24,'菜品主数据'!$D$5:$D$24,0)</x:f>
        <x:v>39</x:v>
      </x:c>
      <x:c r="K356" s="31" t="n">
        <x:v>0</x:v>
      </x:c>
      <x:c r="L356" s="35" t="n">
        <x:f>J356*K356</x:f>
        <x:v>0</x:v>
      </x:c>
      <x:c r="M356" s="36" t="n">
        <x:v>0.08</x:v>
      </x:c>
      <x:c r="N356" s="35" t="n">
        <x:f>L356*M356</x:f>
        <x:v>0</x:v>
      </x:c>
      <x:c r="O356" s="37" t="n">
        <x:v>0.18</x:v>
      </x:c>
      <x:c r="P356" s="35" t="n">
        <x:f>L356*O356</x:f>
        <x:v>0</x:v>
      </x:c>
      <x:c r="Q356" s="35" t="n">
        <x:v>1.2</x:v>
      </x:c>
      <x:c r="R356" s="35" t="n">
        <x:f>K356*Q356</x:f>
        <x:v>0</x:v>
      </x:c>
      <x:c r="S356" s="35" t="n">
        <x:f>XLOOKUP(H356,'菜品主数据'!$A$5:$A$24,'菜品主数据'!$G$5:$G$24,0)</x:f>
        <x:v>18.874</x:v>
      </x:c>
      <x:c r="T356" s="35" t="n">
        <x:f>K356*S356</x:f>
        <x:v>0</x:v>
      </x:c>
      <x:c r="U356" s="35" t="n">
        <x:f>L356-N356-P356-R356-T356</x:f>
        <x:v>0</x:v>
      </x:c>
      <x:c r="V356" s="21" t="n">
        <x:f>IFERROR(U356/L356,0)</x:f>
        <x:v>0</x:v>
      </x:c>
    </x:row>
    <x:row r="357">
      <x:c r="A357" s="19" t="str">
        <x:v>SALE-00353</x:v>
      </x:c>
      <x:c r="B357" s="34" t="n">
        <x:v>46211.5</x:v>
      </x:c>
      <x:c r="C357" s="19" t="str">
        <x:v>周三</x:v>
      </x:c>
      <x:c r="D357" s="19" t="str">
        <x:v>S02</x:v>
      </x:c>
      <x:c r="E357" s="19" t="str">
        <x:v>尊宝大厦店</x:v>
      </x:c>
      <x:c r="F357" s="19" t="str">
        <x:v>外卖</x:v>
      </x:c>
      <x:c r="G357" s="19" t="str">
        <x:v>全日</x:v>
      </x:c>
      <x:c r="H357" s="19" t="str">
        <x:v>D13</x:v>
      </x:c>
      <x:c r="I357" s="19" t="str">
        <x:v>外婆菜炒蛋</x:v>
      </x:c>
      <x:c r="J357" s="22" t="n">
        <x:f>XLOOKUP(H357,'菜品主数据'!$A$5:$A$24,'菜品主数据'!$D$5:$D$24,0)</x:f>
        <x:v>18</x:v>
      </x:c>
      <x:c r="K357" s="31" t="n">
        <x:v>1</x:v>
      </x:c>
      <x:c r="L357" s="35" t="n">
        <x:f>J357*K357</x:f>
        <x:v>18</x:v>
      </x:c>
      <x:c r="M357" s="36" t="n">
        <x:v>0.08</x:v>
      </x:c>
      <x:c r="N357" s="35" t="n">
        <x:f>L357*M357</x:f>
        <x:v>1.44</x:v>
      </x:c>
      <x:c r="O357" s="37" t="n">
        <x:v>0.18</x:v>
      </x:c>
      <x:c r="P357" s="35" t="n">
        <x:f>L357*O357</x:f>
        <x:v>3.2399999999999998</x:v>
      </x:c>
      <x:c r="Q357" s="35" t="n">
        <x:v>1.2</x:v>
      </x:c>
      <x:c r="R357" s="35" t="n">
        <x:f>K357*Q357</x:f>
        <x:v>1.2</x:v>
      </x:c>
      <x:c r="S357" s="35" t="n">
        <x:f>XLOOKUP(H357,'菜品主数据'!$A$5:$A$24,'菜品主数据'!$G$5:$G$24,0)</x:f>
        <x:v>5.403999999999999</x:v>
      </x:c>
      <x:c r="T357" s="35" t="n">
        <x:f>K357*S357</x:f>
        <x:v>5.403999999999999</x:v>
      </x:c>
      <x:c r="U357" s="35" t="n">
        <x:f>L357-N357-P357-R357-T357</x:f>
        <x:v>6.716</x:v>
      </x:c>
      <x:c r="V357" s="21" t="n">
        <x:f>IFERROR(U357/L357,0)</x:f>
        <x:v>0.3731111111111111</x:v>
      </x:c>
    </x:row>
    <x:row r="358">
      <x:c r="A358" s="19" t="str">
        <x:v>SALE-00354</x:v>
      </x:c>
      <x:c r="B358" s="34" t="n">
        <x:v>46211.5</x:v>
      </x:c>
      <x:c r="C358" s="19" t="str">
        <x:v>周三</x:v>
      </x:c>
      <x:c r="D358" s="19" t="str">
        <x:v>S02</x:v>
      </x:c>
      <x:c r="E358" s="19" t="str">
        <x:v>尊宝大厦店</x:v>
      </x:c>
      <x:c r="F358" s="19" t="str">
        <x:v>外卖</x:v>
      </x:c>
      <x:c r="G358" s="19" t="str">
        <x:v>全日</x:v>
      </x:c>
      <x:c r="H358" s="19" t="str">
        <x:v>D14</x:v>
      </x:c>
      <x:c r="I358" s="19" t="str">
        <x:v>酸辣鸡杂</x:v>
      </x:c>
      <x:c r="J358" s="22" t="n">
        <x:f>XLOOKUP(H358,'菜品主数据'!$A$5:$A$24,'菜品主数据'!$D$5:$D$24,0)</x:f>
        <x:v>28</x:v>
      </x:c>
      <x:c r="K358" s="31" t="n">
        <x:v>0</x:v>
      </x:c>
      <x:c r="L358" s="35" t="n">
        <x:f>J358*K358</x:f>
        <x:v>0</x:v>
      </x:c>
      <x:c r="M358" s="36" t="n">
        <x:v>0.08</x:v>
      </x:c>
      <x:c r="N358" s="35" t="n">
        <x:f>L358*M358</x:f>
        <x:v>0</x:v>
      </x:c>
      <x:c r="O358" s="37" t="n">
        <x:v>0.18</x:v>
      </x:c>
      <x:c r="P358" s="35" t="n">
        <x:f>L358*O358</x:f>
        <x:v>0</x:v>
      </x:c>
      <x:c r="Q358" s="35" t="n">
        <x:v>1.2</x:v>
      </x:c>
      <x:c r="R358" s="35" t="n">
        <x:f>K358*Q358</x:f>
        <x:v>0</x:v>
      </x:c>
      <x:c r="S358" s="35" t="n">
        <x:f>XLOOKUP(H358,'菜品主数据'!$A$5:$A$24,'菜品主数据'!$G$5:$G$24,0)</x:f>
        <x:v>8.315000000000001</x:v>
      </x:c>
      <x:c r="T358" s="35" t="n">
        <x:f>K358*S358</x:f>
        <x:v>0</x:v>
      </x:c>
      <x:c r="U358" s="35" t="n">
        <x:f>L358-N358-P358-R358-T358</x:f>
        <x:v>0</x:v>
      </x:c>
      <x:c r="V358" s="21" t="n">
        <x:f>IFERROR(U358/L358,0)</x:f>
        <x:v>0</x:v>
      </x:c>
    </x:row>
    <x:row r="359">
      <x:c r="A359" s="19" t="str">
        <x:v>SALE-00355</x:v>
      </x:c>
      <x:c r="B359" s="34" t="n">
        <x:v>46211.5</x:v>
      </x:c>
      <x:c r="C359" s="19" t="str">
        <x:v>周三</x:v>
      </x:c>
      <x:c r="D359" s="19" t="str">
        <x:v>S02</x:v>
      </x:c>
      <x:c r="E359" s="19" t="str">
        <x:v>尊宝大厦店</x:v>
      </x:c>
      <x:c r="F359" s="19" t="str">
        <x:v>外卖</x:v>
      </x:c>
      <x:c r="G359" s="19" t="str">
        <x:v>全日</x:v>
      </x:c>
      <x:c r="H359" s="19" t="str">
        <x:v>D15</x:v>
      </x:c>
      <x:c r="I359" s="19" t="str">
        <x:v>湘西土匪猪肝</x:v>
      </x:c>
      <x:c r="J359" s="22" t="n">
        <x:f>XLOOKUP(H359,'菜品主数据'!$A$5:$A$24,'菜品主数据'!$D$5:$D$24,0)</x:f>
        <x:v>26</x:v>
      </x:c>
      <x:c r="K359" s="31" t="n">
        <x:v>0</x:v>
      </x:c>
      <x:c r="L359" s="35" t="n">
        <x:f>J359*K359</x:f>
        <x:v>0</x:v>
      </x:c>
      <x:c r="M359" s="36" t="n">
        <x:v>0.08</x:v>
      </x:c>
      <x:c r="N359" s="35" t="n">
        <x:f>L359*M359</x:f>
        <x:v>0</x:v>
      </x:c>
      <x:c r="O359" s="37" t="n">
        <x:v>0.18</x:v>
      </x:c>
      <x:c r="P359" s="35" t="n">
        <x:f>L359*O359</x:f>
        <x:v>0</x:v>
      </x:c>
      <x:c r="Q359" s="35" t="n">
        <x:v>1.2</x:v>
      </x:c>
      <x:c r="R359" s="35" t="n">
        <x:f>K359*Q359</x:f>
        <x:v>0</x:v>
      </x:c>
      <x:c r="S359" s="35" t="n">
        <x:f>XLOOKUP(H359,'菜品主数据'!$A$5:$A$24,'菜品主数据'!$G$5:$G$24,0)</x:f>
        <x:v>6.3759999999999994</x:v>
      </x:c>
      <x:c r="T359" s="35" t="n">
        <x:f>K359*S359</x:f>
        <x:v>0</x:v>
      </x:c>
      <x:c r="U359" s="35" t="n">
        <x:f>L359-N359-P359-R359-T359</x:f>
        <x:v>0</x:v>
      </x:c>
      <x:c r="V359" s="21" t="n">
        <x:f>IFERROR(U359/L359,0)</x:f>
        <x:v>0</x:v>
      </x:c>
    </x:row>
    <x:row r="360">
      <x:c r="A360" s="19" t="str">
        <x:v>SALE-00356</x:v>
      </x:c>
      <x:c r="B360" s="34" t="n">
        <x:v>46211.5</x:v>
      </x:c>
      <x:c r="C360" s="19" t="str">
        <x:v>周三</x:v>
      </x:c>
      <x:c r="D360" s="19" t="str">
        <x:v>S02</x:v>
      </x:c>
      <x:c r="E360" s="19" t="str">
        <x:v>尊宝大厦店</x:v>
      </x:c>
      <x:c r="F360" s="19" t="str">
        <x:v>外卖</x:v>
      </x:c>
      <x:c r="G360" s="19" t="str">
        <x:v>全日</x:v>
      </x:c>
      <x:c r="H360" s="19" t="str">
        <x:v>D16</x:v>
      </x:c>
      <x:c r="I360" s="19" t="str">
        <x:v>小豆角炒五花</x:v>
      </x:c>
      <x:c r="J360" s="22" t="n">
        <x:f>XLOOKUP(H360,'菜品主数据'!$A$5:$A$24,'菜品主数据'!$D$5:$D$24,0)</x:f>
        <x:v>25</x:v>
      </x:c>
      <x:c r="K360" s="31" t="n">
        <x:v>0</x:v>
      </x:c>
      <x:c r="L360" s="35" t="n">
        <x:f>J360*K360</x:f>
        <x:v>0</x:v>
      </x:c>
      <x:c r="M360" s="36" t="n">
        <x:v>0.08</x:v>
      </x:c>
      <x:c r="N360" s="35" t="n">
        <x:f>L360*M360</x:f>
        <x:v>0</x:v>
      </x:c>
      <x:c r="O360" s="37" t="n">
        <x:v>0.18</x:v>
      </x:c>
      <x:c r="P360" s="35" t="n">
        <x:f>L360*O360</x:f>
        <x:v>0</x:v>
      </x:c>
      <x:c r="Q360" s="35" t="n">
        <x:v>1.2</x:v>
      </x:c>
      <x:c r="R360" s="35" t="n">
        <x:f>K360*Q360</x:f>
        <x:v>0</x:v>
      </x:c>
      <x:c r="S360" s="35" t="n">
        <x:f>XLOOKUP(H360,'菜品主数据'!$A$5:$A$24,'菜品主数据'!$G$5:$G$24,0)</x:f>
        <x:v>8.184</x:v>
      </x:c>
      <x:c r="T360" s="35" t="n">
        <x:f>K360*S360</x:f>
        <x:v>0</x:v>
      </x:c>
      <x:c r="U360" s="35" t="n">
        <x:f>L360-N360-P360-R360-T360</x:f>
        <x:v>0</x:v>
      </x:c>
      <x:c r="V360" s="21" t="n">
        <x:f>IFERROR(U360/L360,0)</x:f>
        <x:v>0</x:v>
      </x:c>
    </x:row>
    <x:row r="361">
      <x:c r="A361" s="19" t="str">
        <x:v>SALE-00357</x:v>
      </x:c>
      <x:c r="B361" s="34" t="n">
        <x:v>46211.5</x:v>
      </x:c>
      <x:c r="C361" s="19" t="str">
        <x:v>周三</x:v>
      </x:c>
      <x:c r="D361" s="19" t="str">
        <x:v>S02</x:v>
      </x:c>
      <x:c r="E361" s="19" t="str">
        <x:v>尊宝大厦店</x:v>
      </x:c>
      <x:c r="F361" s="19" t="str">
        <x:v>外卖</x:v>
      </x:c>
      <x:c r="G361" s="19" t="str">
        <x:v>全日</x:v>
      </x:c>
      <x:c r="H361" s="19" t="str">
        <x:v>D17</x:v>
      </x:c>
      <x:c r="I361" s="19" t="str">
        <x:v>蒜蓉粉丝虾</x:v>
      </x:c>
      <x:c r="J361" s="22" t="n">
        <x:f>XLOOKUP(H361,'菜品主数据'!$A$5:$A$24,'菜品主数据'!$D$5:$D$24,0)</x:f>
        <x:v>36</x:v>
      </x:c>
      <x:c r="K361" s="31" t="n">
        <x:v>0</x:v>
      </x:c>
      <x:c r="L361" s="35" t="n">
        <x:f>J361*K361</x:f>
        <x:v>0</x:v>
      </x:c>
      <x:c r="M361" s="36" t="n">
        <x:v>0.08</x:v>
      </x:c>
      <x:c r="N361" s="35" t="n">
        <x:f>L361*M361</x:f>
        <x:v>0</x:v>
      </x:c>
      <x:c r="O361" s="37" t="n">
        <x:v>0.18</x:v>
      </x:c>
      <x:c r="P361" s="35" t="n">
        <x:f>L361*O361</x:f>
        <x:v>0</x:v>
      </x:c>
      <x:c r="Q361" s="35" t="n">
        <x:v>1.2</x:v>
      </x:c>
      <x:c r="R361" s="35" t="n">
        <x:f>K361*Q361</x:f>
        <x:v>0</x:v>
      </x:c>
      <x:c r="S361" s="35" t="n">
        <x:f>XLOOKUP(H361,'菜品主数据'!$A$5:$A$24,'菜品主数据'!$G$5:$G$24,0)</x:f>
        <x:v>13.594</x:v>
      </x:c>
      <x:c r="T361" s="35" t="n">
        <x:f>K361*S361</x:f>
        <x:v>0</x:v>
      </x:c>
      <x:c r="U361" s="35" t="n">
        <x:f>L361-N361-P361-R361-T361</x:f>
        <x:v>0</x:v>
      </x:c>
      <x:c r="V361" s="21" t="n">
        <x:f>IFERROR(U361/L361,0)</x:f>
        <x:v>0</x:v>
      </x:c>
    </x:row>
    <x:row r="362">
      <x:c r="A362" s="19" t="str">
        <x:v>SALE-00358</x:v>
      </x:c>
      <x:c r="B362" s="34" t="n">
        <x:v>46211.5</x:v>
      </x:c>
      <x:c r="C362" s="19" t="str">
        <x:v>周三</x:v>
      </x:c>
      <x:c r="D362" s="19" t="str">
        <x:v>S02</x:v>
      </x:c>
      <x:c r="E362" s="19" t="str">
        <x:v>尊宝大厦店</x:v>
      </x:c>
      <x:c r="F362" s="19" t="str">
        <x:v>外卖</x:v>
      </x:c>
      <x:c r="G362" s="19" t="str">
        <x:v>全日</x:v>
      </x:c>
      <x:c r="H362" s="19" t="str">
        <x:v>D18</x:v>
      </x:c>
      <x:c r="I362" s="19" t="str">
        <x:v>青椒炒油麦菜</x:v>
      </x:c>
      <x:c r="J362" s="22" t="n">
        <x:f>XLOOKUP(H362,'菜品主数据'!$A$5:$A$24,'菜品主数据'!$D$5:$D$24,0)</x:f>
        <x:v>18</x:v>
      </x:c>
      <x:c r="K362" s="31" t="n">
        <x:v>0</x:v>
      </x:c>
      <x:c r="L362" s="35" t="n">
        <x:f>J362*K362</x:f>
        <x:v>0</x:v>
      </x:c>
      <x:c r="M362" s="36" t="n">
        <x:v>0.08</x:v>
      </x:c>
      <x:c r="N362" s="35" t="n">
        <x:f>L362*M362</x:f>
        <x:v>0</x:v>
      </x:c>
      <x:c r="O362" s="37" t="n">
        <x:v>0.18</x:v>
      </x:c>
      <x:c r="P362" s="35" t="n">
        <x:f>L362*O362</x:f>
        <x:v>0</x:v>
      </x:c>
      <x:c r="Q362" s="35" t="n">
        <x:v>1.2</x:v>
      </x:c>
      <x:c r="R362" s="35" t="n">
        <x:f>K362*Q362</x:f>
        <x:v>0</x:v>
      </x:c>
      <x:c r="S362" s="35" t="n">
        <x:f>XLOOKUP(H362,'菜品主数据'!$A$5:$A$24,'菜品主数据'!$G$5:$G$24,0)</x:f>
        <x:v>3.1759999999999993</x:v>
      </x:c>
      <x:c r="T362" s="35" t="n">
        <x:f>K362*S362</x:f>
        <x:v>0</x:v>
      </x:c>
      <x:c r="U362" s="35" t="n">
        <x:f>L362-N362-P362-R362-T362</x:f>
        <x:v>0</x:v>
      </x:c>
      <x:c r="V362" s="21" t="n">
        <x:f>IFERROR(U362/L362,0)</x:f>
        <x:v>0</x:v>
      </x:c>
    </x:row>
    <x:row r="363">
      <x:c r="A363" s="19" t="str">
        <x:v>SALE-00359</x:v>
      </x:c>
      <x:c r="B363" s="34" t="n">
        <x:v>46211.5</x:v>
      </x:c>
      <x:c r="C363" s="19" t="str">
        <x:v>周三</x:v>
      </x:c>
      <x:c r="D363" s="19" t="str">
        <x:v>S02</x:v>
      </x:c>
      <x:c r="E363" s="19" t="str">
        <x:v>尊宝大厦店</x:v>
      </x:c>
      <x:c r="F363" s="19" t="str">
        <x:v>外卖</x:v>
      </x:c>
      <x:c r="G363" s="19" t="str">
        <x:v>全日</x:v>
      </x:c>
      <x:c r="H363" s="19" t="str">
        <x:v>D19</x:v>
      </x:c>
      <x:c r="I363" s="19" t="str">
        <x:v>酸萝卜炒鸡杂</x:v>
      </x:c>
      <x:c r="J363" s="22" t="n">
        <x:f>XLOOKUP(H363,'菜品主数据'!$A$5:$A$24,'菜品主数据'!$D$5:$D$24,0)</x:f>
        <x:v>25</x:v>
      </x:c>
      <x:c r="K363" s="31" t="n">
        <x:v>0</x:v>
      </x:c>
      <x:c r="L363" s="35" t="n">
        <x:f>J363*K363</x:f>
        <x:v>0</x:v>
      </x:c>
      <x:c r="M363" s="36" t="n">
        <x:v>0.08</x:v>
      </x:c>
      <x:c r="N363" s="35" t="n">
        <x:f>L363*M363</x:f>
        <x:v>0</x:v>
      </x:c>
      <x:c r="O363" s="37" t="n">
        <x:v>0.18</x:v>
      </x:c>
      <x:c r="P363" s="35" t="n">
        <x:f>L363*O363</x:f>
        <x:v>0</x:v>
      </x:c>
      <x:c r="Q363" s="35" t="n">
        <x:v>1.2</x:v>
      </x:c>
      <x:c r="R363" s="35" t="n">
        <x:f>K363*Q363</x:f>
        <x:v>0</x:v>
      </x:c>
      <x:c r="S363" s="35" t="n">
        <x:f>XLOOKUP(H363,'菜品主数据'!$A$5:$A$24,'菜品主数据'!$G$5:$G$24,0)</x:f>
        <x:v>7.9399999999999995</x:v>
      </x:c>
      <x:c r="T363" s="35" t="n">
        <x:f>K363*S363</x:f>
        <x:v>0</x:v>
      </x:c>
      <x:c r="U363" s="35" t="n">
        <x:f>L363-N363-P363-R363-T363</x:f>
        <x:v>0</x:v>
      </x:c>
      <x:c r="V363" s="21" t="n">
        <x:f>IFERROR(U363/L363,0)</x:f>
        <x:v>0</x:v>
      </x:c>
    </x:row>
    <x:row r="364">
      <x:c r="A364" s="19" t="str">
        <x:v>SALE-00360</x:v>
      </x:c>
      <x:c r="B364" s="34" t="n">
        <x:v>46211.5</x:v>
      </x:c>
      <x:c r="C364" s="19" t="str">
        <x:v>周三</x:v>
      </x:c>
      <x:c r="D364" s="19" t="str">
        <x:v>S02</x:v>
      </x:c>
      <x:c r="E364" s="19" t="str">
        <x:v>尊宝大厦店</x:v>
      </x:c>
      <x:c r="F364" s="19" t="str">
        <x:v>外卖</x:v>
      </x:c>
      <x:c r="G364" s="19" t="str">
        <x:v>全日</x:v>
      </x:c>
      <x:c r="H364" s="19" t="str">
        <x:v>D20</x:v>
      </x:c>
      <x:c r="I364" s="19" t="str">
        <x:v>雪菜肉末青豆</x:v>
      </x:c>
      <x:c r="J364" s="22" t="n">
        <x:f>XLOOKUP(H364,'菜品主数据'!$A$5:$A$24,'菜品主数据'!$D$5:$D$24,0)</x:f>
        <x:v>18</x:v>
      </x:c>
      <x:c r="K364" s="31" t="n">
        <x:v>1</x:v>
      </x:c>
      <x:c r="L364" s="35" t="n">
        <x:f>J364*K364</x:f>
        <x:v>18</x:v>
      </x:c>
      <x:c r="M364" s="36" t="n">
        <x:v>0.08</x:v>
      </x:c>
      <x:c r="N364" s="35" t="n">
        <x:f>L364*M364</x:f>
        <x:v>1.44</x:v>
      </x:c>
      <x:c r="O364" s="37" t="n">
        <x:v>0.18</x:v>
      </x:c>
      <x:c r="P364" s="35" t="n">
        <x:f>L364*O364</x:f>
        <x:v>3.2399999999999998</x:v>
      </x:c>
      <x:c r="Q364" s="35" t="n">
        <x:v>1.2</x:v>
      </x:c>
      <x:c r="R364" s="35" t="n">
        <x:f>K364*Q364</x:f>
        <x:v>1.2</x:v>
      </x:c>
      <x:c r="S364" s="35" t="n">
        <x:f>XLOOKUP(H364,'菜品主数据'!$A$5:$A$24,'菜品主数据'!$G$5:$G$24,0)</x:f>
        <x:v>7.303999999999999</x:v>
      </x:c>
      <x:c r="T364" s="35" t="n">
        <x:f>K364*S364</x:f>
        <x:v>7.303999999999999</x:v>
      </x:c>
      <x:c r="U364" s="35" t="n">
        <x:f>L364-N364-P364-R364-T364</x:f>
        <x:v>4.816</x:v>
      </x:c>
      <x:c r="V364" s="21" t="n">
        <x:f>IFERROR(U364/L364,0)</x:f>
        <x:v>0.26755555555555555</x:v>
      </x:c>
    </x:row>
    <x:row r="365">
      <x:c r="A365" s="19" t="str">
        <x:v>SALE-00361</x:v>
      </x:c>
      <x:c r="B365" s="34" t="n">
        <x:v>46212.5</x:v>
      </x:c>
      <x:c r="C365" s="19" t="str">
        <x:v>周四</x:v>
      </x:c>
      <x:c r="D365" s="19" t="str">
        <x:v>S02</x:v>
      </x:c>
      <x:c r="E365" s="19" t="str">
        <x:v>尊宝大厦店</x:v>
      </x:c>
      <x:c r="F365" s="19" t="str">
        <x:v>堂食</x:v>
      </x:c>
      <x:c r="G365" s="19" t="str">
        <x:v>全日</x:v>
      </x:c>
      <x:c r="H365" s="19" t="str">
        <x:v>D01</x:v>
      </x:c>
      <x:c r="I365" s="19" t="str">
        <x:v>辣椒炒肉</x:v>
      </x:c>
      <x:c r="J365" s="22" t="n">
        <x:f>XLOOKUP(H365,'菜品主数据'!$A$5:$A$24,'菜品主数据'!$D$5:$D$24,0)</x:f>
        <x:v>29</x:v>
      </x:c>
      <x:c r="K365" s="31" t="n">
        <x:v>47</x:v>
      </x:c>
      <x:c r="L365" s="35" t="n">
        <x:f>J365*K365</x:f>
        <x:v>1363</x:v>
      </x:c>
      <x:c r="M365" s="36" t="n">
        <x:v>0</x:v>
      </x:c>
      <x:c r="N365" s="35" t="n">
        <x:f>L365*M365</x:f>
        <x:v>0</x:v>
      </x:c>
      <x:c r="O365" s="37" t="n">
        <x:v>0</x:v>
      </x:c>
      <x:c r="P365" s="35" t="n">
        <x:f>L365*O365</x:f>
        <x:v>0</x:v>
      </x:c>
      <x:c r="Q365" s="35" t="n">
        <x:v>0</x:v>
      </x:c>
      <x:c r="R365" s="35" t="n">
        <x:f>K365*Q365</x:f>
        <x:v>0</x:v>
      </x:c>
      <x:c r="S365" s="35" t="n">
        <x:f>XLOOKUP(H365,'菜品主数据'!$A$5:$A$24,'菜品主数据'!$G$5:$G$24,0)</x:f>
        <x:v>8.634400000000001</x:v>
      </x:c>
      <x:c r="T365" s="35" t="n">
        <x:f>K365*S365</x:f>
        <x:v>405.81680000000006</x:v>
      </x:c>
      <x:c r="U365" s="35" t="n">
        <x:f>L365-N365-P365-R365-T365</x:f>
        <x:v>957.1831999999999</x:v>
      </x:c>
      <x:c r="V365" s="21" t="n">
        <x:f>IFERROR(U365/L365,0)</x:f>
        <x:v>0.7022620689655172</x:v>
      </x:c>
    </x:row>
    <x:row r="366">
      <x:c r="A366" s="19" t="str">
        <x:v>SALE-00362</x:v>
      </x:c>
      <x:c r="B366" s="34" t="n">
        <x:v>46212.5</x:v>
      </x:c>
      <x:c r="C366" s="19" t="str">
        <x:v>周四</x:v>
      </x:c>
      <x:c r="D366" s="19" t="str">
        <x:v>S02</x:v>
      </x:c>
      <x:c r="E366" s="19" t="str">
        <x:v>尊宝大厦店</x:v>
      </x:c>
      <x:c r="F366" s="19" t="str">
        <x:v>堂食</x:v>
      </x:c>
      <x:c r="G366" s="19" t="str">
        <x:v>全日</x:v>
      </x:c>
      <x:c r="H366" s="19" t="str">
        <x:v>D02</x:v>
      </x:c>
      <x:c r="I366" s="19" t="str">
        <x:v>小炒黄牛肉</x:v>
      </x:c>
      <x:c r="J366" s="22" t="n">
        <x:f>XLOOKUP(H366,'菜品主数据'!$A$5:$A$24,'菜品主数据'!$D$5:$D$24,0)</x:f>
        <x:v>49</x:v>
      </x:c>
      <x:c r="K366" s="31" t="n">
        <x:v>27</x:v>
      </x:c>
      <x:c r="L366" s="35" t="n">
        <x:f>J366*K366</x:f>
        <x:v>1323</x:v>
      </x:c>
      <x:c r="M366" s="36" t="n">
        <x:v>0</x:v>
      </x:c>
      <x:c r="N366" s="35" t="n">
        <x:f>L366*M366</x:f>
        <x:v>0</x:v>
      </x:c>
      <x:c r="O366" s="37" t="n">
        <x:v>0</x:v>
      </x:c>
      <x:c r="P366" s="35" t="n">
        <x:f>L366*O366</x:f>
        <x:v>0</x:v>
      </x:c>
      <x:c r="Q366" s="35" t="n">
        <x:v>0</x:v>
      </x:c>
      <x:c r="R366" s="35" t="n">
        <x:f>K366*Q366</x:f>
        <x:v>0</x:v>
      </x:c>
      <x:c r="S366" s="35" t="n">
        <x:f>XLOOKUP(H366,'菜品主数据'!$A$5:$A$24,'菜品主数据'!$G$5:$G$24,0)</x:f>
        <x:v>17.577</x:v>
      </x:c>
      <x:c r="T366" s="35" t="n">
        <x:f>K366*S366</x:f>
        <x:v>474.57900000000006</x:v>
      </x:c>
      <x:c r="U366" s="35" t="n">
        <x:f>L366-N366-P366-R366-T366</x:f>
        <x:v>848.4209999999999</x:v>
      </x:c>
      <x:c r="V366" s="21" t="n">
        <x:f>IFERROR(U366/L366,0)</x:f>
        <x:v>0.6412857142857142</x:v>
      </x:c>
    </x:row>
    <x:row r="367">
      <x:c r="A367" s="19" t="str">
        <x:v>SALE-00363</x:v>
      </x:c>
      <x:c r="B367" s="34" t="n">
        <x:v>46212.5</x:v>
      </x:c>
      <x:c r="C367" s="19" t="str">
        <x:v>周四</x:v>
      </x:c>
      <x:c r="D367" s="19" t="str">
        <x:v>S02</x:v>
      </x:c>
      <x:c r="E367" s="19" t="str">
        <x:v>尊宝大厦店</x:v>
      </x:c>
      <x:c r="F367" s="19" t="str">
        <x:v>堂食</x:v>
      </x:c>
      <x:c r="G367" s="19" t="str">
        <x:v>全日</x:v>
      </x:c>
      <x:c r="H367" s="19" t="str">
        <x:v>D03</x:v>
      </x:c>
      <x:c r="I367" s="19" t="str">
        <x:v>香醋炒蛋</x:v>
      </x:c>
      <x:c r="J367" s="22" t="n">
        <x:f>XLOOKUP(H367,'菜品主数据'!$A$5:$A$24,'菜品主数据'!$D$5:$D$24,0)</x:f>
        <x:v>14.9</x:v>
      </x:c>
      <x:c r="K367" s="31" t="n">
        <x:v>38</x:v>
      </x:c>
      <x:c r="L367" s="35" t="n">
        <x:f>J367*K367</x:f>
        <x:v>566.2</x:v>
      </x:c>
      <x:c r="M367" s="36" t="n">
        <x:v>0</x:v>
      </x:c>
      <x:c r="N367" s="35" t="n">
        <x:f>L367*M367</x:f>
        <x:v>0</x:v>
      </x:c>
      <x:c r="O367" s="37" t="n">
        <x:v>0</x:v>
      </x:c>
      <x:c r="P367" s="35" t="n">
        <x:f>L367*O367</x:f>
        <x:v>0</x:v>
      </x:c>
      <x:c r="Q367" s="35" t="n">
        <x:v>0</x:v>
      </x:c>
      <x:c r="R367" s="35" t="n">
        <x:f>K367*Q367</x:f>
        <x:v>0</x:v>
      </x:c>
      <x:c r="S367" s="35" t="n">
        <x:f>XLOOKUP(H367,'菜品主数据'!$A$5:$A$24,'菜品主数据'!$G$5:$G$24,0)</x:f>
        <x:v>3.7459999999999996</x:v>
      </x:c>
      <x:c r="T367" s="35" t="n">
        <x:f>K367*S367</x:f>
        <x:v>142.34799999999998</x:v>
      </x:c>
      <x:c r="U367" s="35" t="n">
        <x:f>L367-N367-P367-R367-T367</x:f>
        <x:v>423.8520000000001</x:v>
      </x:c>
      <x:c r="V367" s="21" t="n">
        <x:f>IFERROR(U367/L367,0)</x:f>
        <x:v>0.7485906040268457</x:v>
      </x:c>
    </x:row>
    <x:row r="368">
      <x:c r="A368" s="19" t="str">
        <x:v>SALE-00364</x:v>
      </x:c>
      <x:c r="B368" s="34" t="n">
        <x:v>46212.5</x:v>
      </x:c>
      <x:c r="C368" s="19" t="str">
        <x:v>周四</x:v>
      </x:c>
      <x:c r="D368" s="19" t="str">
        <x:v>S02</x:v>
      </x:c>
      <x:c r="E368" s="19" t="str">
        <x:v>尊宝大厦店</x:v>
      </x:c>
      <x:c r="F368" s="19" t="str">
        <x:v>堂食</x:v>
      </x:c>
      <x:c r="G368" s="19" t="str">
        <x:v>全日</x:v>
      </x:c>
      <x:c r="H368" s="19" t="str">
        <x:v>D04</x:v>
      </x:c>
      <x:c r="I368" s="19" t="str">
        <x:v>酸包菜炒粉皮</x:v>
      </x:c>
      <x:c r="J368" s="22" t="n">
        <x:f>XLOOKUP(H368,'菜品主数据'!$A$5:$A$24,'菜品主数据'!$D$5:$D$24,0)</x:f>
        <x:v>16</x:v>
      </x:c>
      <x:c r="K368" s="31" t="n">
        <x:v>35</x:v>
      </x:c>
      <x:c r="L368" s="35" t="n">
        <x:f>J368*K368</x:f>
        <x:v>560</x:v>
      </x:c>
      <x:c r="M368" s="36" t="n">
        <x:v>0</x:v>
      </x:c>
      <x:c r="N368" s="35" t="n">
        <x:f>L368*M368</x:f>
        <x:v>0</x:v>
      </x:c>
      <x:c r="O368" s="37" t="n">
        <x:v>0</x:v>
      </x:c>
      <x:c r="P368" s="35" t="n">
        <x:f>L368*O368</x:f>
        <x:v>0</x:v>
      </x:c>
      <x:c r="Q368" s="35" t="n">
        <x:v>0</x:v>
      </x:c>
      <x:c r="R368" s="35" t="n">
        <x:f>K368*Q368</x:f>
        <x:v>0</x:v>
      </x:c>
      <x:c r="S368" s="35" t="n">
        <x:f>XLOOKUP(H368,'菜品主数据'!$A$5:$A$24,'菜品主数据'!$G$5:$G$24,0)</x:f>
        <x:v>3.978</x:v>
      </x:c>
      <x:c r="T368" s="35" t="n">
        <x:f>K368*S368</x:f>
        <x:v>139.23000000000002</x:v>
      </x:c>
      <x:c r="U368" s="35" t="n">
        <x:f>L368-N368-P368-R368-T368</x:f>
        <x:v>420.77</x:v>
      </x:c>
      <x:c r="V368" s="21" t="n">
        <x:f>IFERROR(U368/L368,0)</x:f>
        <x:v>0.751375</x:v>
      </x:c>
    </x:row>
    <x:row r="369">
      <x:c r="A369" s="19" t="str">
        <x:v>SALE-00365</x:v>
      </x:c>
      <x:c r="B369" s="34" t="n">
        <x:v>46212.5</x:v>
      </x:c>
      <x:c r="C369" s="19" t="str">
        <x:v>周四</x:v>
      </x:c>
      <x:c r="D369" s="19" t="str">
        <x:v>S02</x:v>
      </x:c>
      <x:c r="E369" s="19" t="str">
        <x:v>尊宝大厦店</x:v>
      </x:c>
      <x:c r="F369" s="19" t="str">
        <x:v>堂食</x:v>
      </x:c>
      <x:c r="G369" s="19" t="str">
        <x:v>全日</x:v>
      </x:c>
      <x:c r="H369" s="19" t="str">
        <x:v>D05</x:v>
      </x:c>
      <x:c r="I369" s="19" t="str">
        <x:v>麻婆豆腐</x:v>
      </x:c>
      <x:c r="J369" s="22" t="n">
        <x:f>XLOOKUP(H369,'菜品主数据'!$A$5:$A$24,'菜品主数据'!$D$5:$D$24,0)</x:f>
        <x:v>9.9</x:v>
      </x:c>
      <x:c r="K369" s="31" t="n">
        <x:v>53</x:v>
      </x:c>
      <x:c r="L369" s="35" t="n">
        <x:f>J369*K369</x:f>
        <x:v>524.7</x:v>
      </x:c>
      <x:c r="M369" s="36" t="n">
        <x:v>0</x:v>
      </x:c>
      <x:c r="N369" s="35" t="n">
        <x:f>L369*M369</x:f>
        <x:v>0</x:v>
      </x:c>
      <x:c r="O369" s="37" t="n">
        <x:v>0</x:v>
      </x:c>
      <x:c r="P369" s="35" t="n">
        <x:f>L369*O369</x:f>
        <x:v>0</x:v>
      </x:c>
      <x:c r="Q369" s="35" t="n">
        <x:v>0</x:v>
      </x:c>
      <x:c r="R369" s="35" t="n">
        <x:f>K369*Q369</x:f>
        <x:v>0</x:v>
      </x:c>
      <x:c r="S369" s="35" t="n">
        <x:f>XLOOKUP(H369,'菜品主数据'!$A$5:$A$24,'菜品主数据'!$G$5:$G$24,0)</x:f>
        <x:v>5.367000000000001</x:v>
      </x:c>
      <x:c r="T369" s="35" t="n">
        <x:f>K369*S369</x:f>
        <x:v>284.451</x:v>
      </x:c>
      <x:c r="U369" s="35" t="n">
        <x:f>L369-N369-P369-R369-T369</x:f>
        <x:v>240.24900000000002</x:v>
      </x:c>
      <x:c r="V369" s="21" t="n">
        <x:f>IFERROR(U369/L369,0)</x:f>
        <x:v>0.4578787878787879</x:v>
      </x:c>
    </x:row>
    <x:row r="370">
      <x:c r="A370" s="19" t="str">
        <x:v>SALE-00366</x:v>
      </x:c>
      <x:c r="B370" s="34" t="n">
        <x:v>46212.5</x:v>
      </x:c>
      <x:c r="C370" s="19" t="str">
        <x:v>周四</x:v>
      </x:c>
      <x:c r="D370" s="19" t="str">
        <x:v>S02</x:v>
      </x:c>
      <x:c r="E370" s="19" t="str">
        <x:v>尊宝大厦店</x:v>
      </x:c>
      <x:c r="F370" s="19" t="str">
        <x:v>堂食</x:v>
      </x:c>
      <x:c r="G370" s="19" t="str">
        <x:v>全日</x:v>
      </x:c>
      <x:c r="H370" s="19" t="str">
        <x:v>D06</x:v>
      </x:c>
      <x:c r="I370" s="19" t="str">
        <x:v>剁椒鱼头</x:v>
      </x:c>
      <x:c r="J370" s="22" t="n">
        <x:f>XLOOKUP(H370,'菜品主数据'!$A$5:$A$24,'菜品主数据'!$D$5:$D$24,0)</x:f>
        <x:v>39</x:v>
      </x:c>
      <x:c r="K370" s="31" t="n">
        <x:v>11</x:v>
      </x:c>
      <x:c r="L370" s="35" t="n">
        <x:f>J370*K370</x:f>
        <x:v>429</x:v>
      </x:c>
      <x:c r="M370" s="36" t="n">
        <x:v>0</x:v>
      </x:c>
      <x:c r="N370" s="35" t="n">
        <x:f>L370*M370</x:f>
        <x:v>0</x:v>
      </x:c>
      <x:c r="O370" s="37" t="n">
        <x:v>0</x:v>
      </x:c>
      <x:c r="P370" s="35" t="n">
        <x:f>L370*O370</x:f>
        <x:v>0</x:v>
      </x:c>
      <x:c r="Q370" s="35" t="n">
        <x:v>0</x:v>
      </x:c>
      <x:c r="R370" s="35" t="n">
        <x:f>K370*Q370</x:f>
        <x:v>0</x:v>
      </x:c>
      <x:c r="S370" s="35" t="n">
        <x:f>XLOOKUP(H370,'菜品主数据'!$A$5:$A$24,'菜品主数据'!$G$5:$G$24,0)</x:f>
        <x:v>17.446</x:v>
      </x:c>
      <x:c r="T370" s="35" t="n">
        <x:f>K370*S370</x:f>
        <x:v>191.906</x:v>
      </x:c>
      <x:c r="U370" s="35" t="n">
        <x:f>L370-N370-P370-R370-T370</x:f>
        <x:v>237.094</x:v>
      </x:c>
      <x:c r="V370" s="21" t="n">
        <x:f>IFERROR(U370/L370,0)</x:f>
        <x:v>0.5526666666666666</x:v>
      </x:c>
    </x:row>
    <x:row r="371">
      <x:c r="A371" s="19" t="str">
        <x:v>SALE-00367</x:v>
      </x:c>
      <x:c r="B371" s="34" t="n">
        <x:v>46212.5</x:v>
      </x:c>
      <x:c r="C371" s="19" t="str">
        <x:v>周四</x:v>
      </x:c>
      <x:c r="D371" s="19" t="str">
        <x:v>S02</x:v>
      </x:c>
      <x:c r="E371" s="19" t="str">
        <x:v>尊宝大厦店</x:v>
      </x:c>
      <x:c r="F371" s="19" t="str">
        <x:v>堂食</x:v>
      </x:c>
      <x:c r="G371" s="19" t="str">
        <x:v>全日</x:v>
      </x:c>
      <x:c r="H371" s="19" t="str">
        <x:v>D07</x:v>
      </x:c>
      <x:c r="I371" s="19" t="str">
        <x:v>川味回锅肉</x:v>
      </x:c>
      <x:c r="J371" s="22" t="n">
        <x:f>XLOOKUP(H371,'菜品主数据'!$A$5:$A$24,'菜品主数据'!$D$5:$D$24,0)</x:f>
        <x:v>29</x:v>
      </x:c>
      <x:c r="K371" s="31" t="n">
        <x:v>15</x:v>
      </x:c>
      <x:c r="L371" s="35" t="n">
        <x:f>J371*K371</x:f>
        <x:v>435</x:v>
      </x:c>
      <x:c r="M371" s="36" t="n">
        <x:v>0</x:v>
      </x:c>
      <x:c r="N371" s="35" t="n">
        <x:f>L371*M371</x:f>
        <x:v>0</x:v>
      </x:c>
      <x:c r="O371" s="37" t="n">
        <x:v>0</x:v>
      </x:c>
      <x:c r="P371" s="35" t="n">
        <x:f>L371*O371</x:f>
        <x:v>0</x:v>
      </x:c>
      <x:c r="Q371" s="35" t="n">
        <x:v>0</x:v>
      </x:c>
      <x:c r="R371" s="35" t="n">
        <x:f>K371*Q371</x:f>
        <x:v>0</x:v>
      </x:c>
      <x:c r="S371" s="35" t="n">
        <x:f>XLOOKUP(H371,'菜品主数据'!$A$5:$A$24,'菜品主数据'!$G$5:$G$24,0)</x:f>
        <x:v>10.231000000000002</x:v>
      </x:c>
      <x:c r="T371" s="35" t="n">
        <x:f>K371*S371</x:f>
        <x:v>153.46500000000003</x:v>
      </x:c>
      <x:c r="U371" s="35" t="n">
        <x:f>L371-N371-P371-R371-T371</x:f>
        <x:v>281.53499999999997</x:v>
      </x:c>
      <x:c r="V371" s="21" t="n">
        <x:f>IFERROR(U371/L371,0)</x:f>
        <x:v>0.647206896551724</x:v>
      </x:c>
    </x:row>
    <x:row r="372">
      <x:c r="A372" s="19" t="str">
        <x:v>SALE-00368</x:v>
      </x:c>
      <x:c r="B372" s="34" t="n">
        <x:v>46212.5</x:v>
      </x:c>
      <x:c r="C372" s="19" t="str">
        <x:v>周四</x:v>
      </x:c>
      <x:c r="D372" s="19" t="str">
        <x:v>S02</x:v>
      </x:c>
      <x:c r="E372" s="19" t="str">
        <x:v>尊宝大厦店</x:v>
      </x:c>
      <x:c r="F372" s="19" t="str">
        <x:v>堂食</x:v>
      </x:c>
      <x:c r="G372" s="19" t="str">
        <x:v>全日</x:v>
      </x:c>
      <x:c r="H372" s="19" t="str">
        <x:v>D08</x:v>
      </x:c>
      <x:c r="I372" s="19" t="str">
        <x:v>生炒清远鸡</x:v>
      </x:c>
      <x:c r="J372" s="22" t="n">
        <x:f>XLOOKUP(H372,'菜品主数据'!$A$5:$A$24,'菜品主数据'!$D$5:$D$24,0)</x:f>
        <x:v>36</x:v>
      </x:c>
      <x:c r="K372" s="31" t="n">
        <x:v>11</x:v>
      </x:c>
      <x:c r="L372" s="35" t="n">
        <x:f>J372*K372</x:f>
        <x:v>396</x:v>
      </x:c>
      <x:c r="M372" s="36" t="n">
        <x:v>0</x:v>
      </x:c>
      <x:c r="N372" s="35" t="n">
        <x:f>L372*M372</x:f>
        <x:v>0</x:v>
      </x:c>
      <x:c r="O372" s="37" t="n">
        <x:v>0</x:v>
      </x:c>
      <x:c r="P372" s="35" t="n">
        <x:f>L372*O372</x:f>
        <x:v>0</x:v>
      </x:c>
      <x:c r="Q372" s="35" t="n">
        <x:v>0</x:v>
      </x:c>
      <x:c r="R372" s="35" t="n">
        <x:f>K372*Q372</x:f>
        <x:v>0</x:v>
      </x:c>
      <x:c r="S372" s="35" t="n">
        <x:f>XLOOKUP(H372,'菜品主数据'!$A$5:$A$24,'菜品主数据'!$G$5:$G$24,0)</x:f>
        <x:v>13.48</x:v>
      </x:c>
      <x:c r="T372" s="35" t="n">
        <x:f>K372*S372</x:f>
        <x:v>148.28</x:v>
      </x:c>
      <x:c r="U372" s="35" t="n">
        <x:f>L372-N372-P372-R372-T372</x:f>
        <x:v>247.72</x:v>
      </x:c>
      <x:c r="V372" s="21" t="n">
        <x:f>IFERROR(U372/L372,0)</x:f>
        <x:v>0.6255555555555555</x:v>
      </x:c>
    </x:row>
    <x:row r="373">
      <x:c r="A373" s="19" t="str">
        <x:v>SALE-00369</x:v>
      </x:c>
      <x:c r="B373" s="34" t="n">
        <x:v>46212.5</x:v>
      </x:c>
      <x:c r="C373" s="19" t="str">
        <x:v>周四</x:v>
      </x:c>
      <x:c r="D373" s="19" t="str">
        <x:v>S02</x:v>
      </x:c>
      <x:c r="E373" s="19" t="str">
        <x:v>尊宝大厦店</x:v>
      </x:c>
      <x:c r="F373" s="19" t="str">
        <x:v>堂食</x:v>
      </x:c>
      <x:c r="G373" s="19" t="str">
        <x:v>全日</x:v>
      </x:c>
      <x:c r="H373" s="19" t="str">
        <x:v>D09</x:v>
      </x:c>
      <x:c r="I373" s="19" t="str">
        <x:v>炒豆干</x:v>
      </x:c>
      <x:c r="J373" s="22" t="n">
        <x:f>XLOOKUP(H373,'菜品主数据'!$A$5:$A$24,'菜品主数据'!$D$5:$D$24,0)</x:f>
        <x:v>18</x:v>
      </x:c>
      <x:c r="K373" s="31" t="n">
        <x:v>15</x:v>
      </x:c>
      <x:c r="L373" s="35" t="n">
        <x:f>J373*K373</x:f>
        <x:v>270</x:v>
      </x:c>
      <x:c r="M373" s="36" t="n">
        <x:v>0</x:v>
      </x:c>
      <x:c r="N373" s="35" t="n">
        <x:f>L373*M373</x:f>
        <x:v>0</x:v>
      </x:c>
      <x:c r="O373" s="37" t="n">
        <x:v>0</x:v>
      </x:c>
      <x:c r="P373" s="35" t="n">
        <x:f>L373*O373</x:f>
        <x:v>0</x:v>
      </x:c>
      <x:c r="Q373" s="35" t="n">
        <x:v>0</x:v>
      </x:c>
      <x:c r="R373" s="35" t="n">
        <x:f>K373*Q373</x:f>
        <x:v>0</x:v>
      </x:c>
      <x:c r="S373" s="35" t="n">
        <x:f>XLOOKUP(H373,'菜品主数据'!$A$5:$A$24,'菜品主数据'!$G$5:$G$24,0)</x:f>
        <x:v>6.613999999999999</x:v>
      </x:c>
      <x:c r="T373" s="35" t="n">
        <x:f>K373*S373</x:f>
        <x:v>99.20999999999998</x:v>
      </x:c>
      <x:c r="U373" s="35" t="n">
        <x:f>L373-N373-P373-R373-T373</x:f>
        <x:v>170.79000000000002</x:v>
      </x:c>
      <x:c r="V373" s="21" t="n">
        <x:f>IFERROR(U373/L373,0)</x:f>
        <x:v>0.6325555555555556</x:v>
      </x:c>
    </x:row>
    <x:row r="374">
      <x:c r="A374" s="19" t="str">
        <x:v>SALE-00370</x:v>
      </x:c>
      <x:c r="B374" s="34" t="n">
        <x:v>46212.5</x:v>
      </x:c>
      <x:c r="C374" s="19" t="str">
        <x:v>周四</x:v>
      </x:c>
      <x:c r="D374" s="19" t="str">
        <x:v>S02</x:v>
      </x:c>
      <x:c r="E374" s="19" t="str">
        <x:v>尊宝大厦店</x:v>
      </x:c>
      <x:c r="F374" s="19" t="str">
        <x:v>堂食</x:v>
      </x:c>
      <x:c r="G374" s="19" t="str">
        <x:v>全日</x:v>
      </x:c>
      <x:c r="H374" s="19" t="str">
        <x:v>D10</x:v>
      </x:c>
      <x:c r="I374" s="19" t="str">
        <x:v>农家一碗香</x:v>
      </x:c>
      <x:c r="J374" s="22" t="n">
        <x:f>XLOOKUP(H374,'菜品主数据'!$A$5:$A$24,'菜品主数据'!$D$5:$D$24,0)</x:f>
        <x:v>22.9</x:v>
      </x:c>
      <x:c r="K374" s="31" t="n">
        <x:v>18</x:v>
      </x:c>
      <x:c r="L374" s="35" t="n">
        <x:f>J374*K374</x:f>
        <x:v>412.2</x:v>
      </x:c>
      <x:c r="M374" s="36" t="n">
        <x:v>0</x:v>
      </x:c>
      <x:c r="N374" s="35" t="n">
        <x:f>L374*M374</x:f>
        <x:v>0</x:v>
      </x:c>
      <x:c r="O374" s="37" t="n">
        <x:v>0</x:v>
      </x:c>
      <x:c r="P374" s="35" t="n">
        <x:f>L374*O374</x:f>
        <x:v>0</x:v>
      </x:c>
      <x:c r="Q374" s="35" t="n">
        <x:v>0</x:v>
      </x:c>
      <x:c r="R374" s="35" t="n">
        <x:f>K374*Q374</x:f>
        <x:v>0</x:v>
      </x:c>
      <x:c r="S374" s="35" t="n">
        <x:f>XLOOKUP(H374,'菜品主数据'!$A$5:$A$24,'菜品主数据'!$G$5:$G$24,0)</x:f>
        <x:v>9.770200000000003</x:v>
      </x:c>
      <x:c r="T374" s="35" t="n">
        <x:f>K374*S374</x:f>
        <x:v>175.86360000000005</x:v>
      </x:c>
      <x:c r="U374" s="35" t="n">
        <x:f>L374-N374-P374-R374-T374</x:f>
        <x:v>236.33639999999994</x:v>
      </x:c>
      <x:c r="V374" s="21" t="n">
        <x:f>IFERROR(U374/L374,0)</x:f>
        <x:v>0.5733537117903929</x:v>
      </x:c>
    </x:row>
    <x:row r="375">
      <x:c r="A375" s="19" t="str">
        <x:v>SALE-00371</x:v>
      </x:c>
      <x:c r="B375" s="34" t="n">
        <x:v>46212.5</x:v>
      </x:c>
      <x:c r="C375" s="19" t="str">
        <x:v>周四</x:v>
      </x:c>
      <x:c r="D375" s="19" t="str">
        <x:v>S02</x:v>
      </x:c>
      <x:c r="E375" s="19" t="str">
        <x:v>尊宝大厦店</x:v>
      </x:c>
      <x:c r="F375" s="19" t="str">
        <x:v>堂食</x:v>
      </x:c>
      <x:c r="G375" s="19" t="str">
        <x:v>全日</x:v>
      </x:c>
      <x:c r="H375" s="19" t="str">
        <x:v>D11</x:v>
      </x:c>
      <x:c r="I375" s="19" t="str">
        <x:v>香辣爆肥肠</x:v>
      </x:c>
      <x:c r="J375" s="22" t="n">
        <x:f>XLOOKUP(H375,'菜品主数据'!$A$5:$A$24,'菜品主数据'!$D$5:$D$24,0)</x:f>
        <x:v>39</x:v>
      </x:c>
      <x:c r="K375" s="31" t="n">
        <x:v>6</x:v>
      </x:c>
      <x:c r="L375" s="35" t="n">
        <x:f>J375*K375</x:f>
        <x:v>234</x:v>
      </x:c>
      <x:c r="M375" s="36" t="n">
        <x:v>0</x:v>
      </x:c>
      <x:c r="N375" s="35" t="n">
        <x:f>L375*M375</x:f>
        <x:v>0</x:v>
      </x:c>
      <x:c r="O375" s="37" t="n">
        <x:v>0</x:v>
      </x:c>
      <x:c r="P375" s="35" t="n">
        <x:f>L375*O375</x:f>
        <x:v>0</x:v>
      </x:c>
      <x:c r="Q375" s="35" t="n">
        <x:v>0</x:v>
      </x:c>
      <x:c r="R375" s="35" t="n">
        <x:f>K375*Q375</x:f>
        <x:v>0</x:v>
      </x:c>
      <x:c r="S375" s="35" t="n">
        <x:f>XLOOKUP(H375,'菜品主数据'!$A$5:$A$24,'菜品主数据'!$G$5:$G$24,0)</x:f>
        <x:v>10.397</x:v>
      </x:c>
      <x:c r="T375" s="35" t="n">
        <x:f>K375*S375</x:f>
        <x:v>62.382000000000005</x:v>
      </x:c>
      <x:c r="U375" s="35" t="n">
        <x:f>L375-N375-P375-R375-T375</x:f>
        <x:v>171.618</x:v>
      </x:c>
      <x:c r="V375" s="21" t="n">
        <x:f>IFERROR(U375/L375,0)</x:f>
        <x:v>0.7334102564102564</x:v>
      </x:c>
    </x:row>
    <x:row r="376">
      <x:c r="A376" s="19" t="str">
        <x:v>SALE-00372</x:v>
      </x:c>
      <x:c r="B376" s="34" t="n">
        <x:v>46212.5</x:v>
      </x:c>
      <x:c r="C376" s="19" t="str">
        <x:v>周四</x:v>
      </x:c>
      <x:c r="D376" s="19" t="str">
        <x:v>S02</x:v>
      </x:c>
      <x:c r="E376" s="19" t="str">
        <x:v>尊宝大厦店</x:v>
      </x:c>
      <x:c r="F376" s="19" t="str">
        <x:v>堂食</x:v>
      </x:c>
      <x:c r="G376" s="19" t="str">
        <x:v>全日</x:v>
      </x:c>
      <x:c r="H376" s="19" t="str">
        <x:v>D12</x:v>
      </x:c>
      <x:c r="I376" s="19" t="str">
        <x:v>清蒸鲈鱼</x:v>
      </x:c>
      <x:c r="J376" s="22" t="n">
        <x:f>XLOOKUP(H376,'菜品主数据'!$A$5:$A$24,'菜品主数据'!$D$5:$D$24,0)</x:f>
        <x:v>39</x:v>
      </x:c>
      <x:c r="K376" s="31" t="n">
        <x:v>7</x:v>
      </x:c>
      <x:c r="L376" s="35" t="n">
        <x:f>J376*K376</x:f>
        <x:v>273</x:v>
      </x:c>
      <x:c r="M376" s="36" t="n">
        <x:v>0</x:v>
      </x:c>
      <x:c r="N376" s="35" t="n">
        <x:f>L376*M376</x:f>
        <x:v>0</x:v>
      </x:c>
      <x:c r="O376" s="37" t="n">
        <x:v>0</x:v>
      </x:c>
      <x:c r="P376" s="35" t="n">
        <x:f>L376*O376</x:f>
        <x:v>0</x:v>
      </x:c>
      <x:c r="Q376" s="35" t="n">
        <x:v>0</x:v>
      </x:c>
      <x:c r="R376" s="35" t="n">
        <x:f>K376*Q376</x:f>
        <x:v>0</x:v>
      </x:c>
      <x:c r="S376" s="35" t="n">
        <x:f>XLOOKUP(H376,'菜品主数据'!$A$5:$A$24,'菜品主数据'!$G$5:$G$24,0)</x:f>
        <x:v>18.874</x:v>
      </x:c>
      <x:c r="T376" s="35" t="n">
        <x:f>K376*S376</x:f>
        <x:v>132.118</x:v>
      </x:c>
      <x:c r="U376" s="35" t="n">
        <x:f>L376-N376-P376-R376-T376</x:f>
        <x:v>140.882</x:v>
      </x:c>
      <x:c r="V376" s="21" t="n">
        <x:f>IFERROR(U376/L376,0)</x:f>
        <x:v>0.516051282051282</x:v>
      </x:c>
    </x:row>
    <x:row r="377">
      <x:c r="A377" s="19" t="str">
        <x:v>SALE-00373</x:v>
      </x:c>
      <x:c r="B377" s="34" t="n">
        <x:v>46212.5</x:v>
      </x:c>
      <x:c r="C377" s="19" t="str">
        <x:v>周四</x:v>
      </x:c>
      <x:c r="D377" s="19" t="str">
        <x:v>S02</x:v>
      </x:c>
      <x:c r="E377" s="19" t="str">
        <x:v>尊宝大厦店</x:v>
      </x:c>
      <x:c r="F377" s="19" t="str">
        <x:v>堂食</x:v>
      </x:c>
      <x:c r="G377" s="19" t="str">
        <x:v>全日</x:v>
      </x:c>
      <x:c r="H377" s="19" t="str">
        <x:v>D13</x:v>
      </x:c>
      <x:c r="I377" s="19" t="str">
        <x:v>外婆菜炒蛋</x:v>
      </x:c>
      <x:c r="J377" s="22" t="n">
        <x:f>XLOOKUP(H377,'菜品主数据'!$A$5:$A$24,'菜品主数据'!$D$5:$D$24,0)</x:f>
        <x:v>18</x:v>
      </x:c>
      <x:c r="K377" s="31" t="n">
        <x:v>15</x:v>
      </x:c>
      <x:c r="L377" s="35" t="n">
        <x:f>J377*K377</x:f>
        <x:v>270</x:v>
      </x:c>
      <x:c r="M377" s="36" t="n">
        <x:v>0</x:v>
      </x:c>
      <x:c r="N377" s="35" t="n">
        <x:f>L377*M377</x:f>
        <x:v>0</x:v>
      </x:c>
      <x:c r="O377" s="37" t="n">
        <x:v>0</x:v>
      </x:c>
      <x:c r="P377" s="35" t="n">
        <x:f>L377*O377</x:f>
        <x:v>0</x:v>
      </x:c>
      <x:c r="Q377" s="35" t="n">
        <x:v>0</x:v>
      </x:c>
      <x:c r="R377" s="35" t="n">
        <x:f>K377*Q377</x:f>
        <x:v>0</x:v>
      </x:c>
      <x:c r="S377" s="35" t="n">
        <x:f>XLOOKUP(H377,'菜品主数据'!$A$5:$A$24,'菜品主数据'!$G$5:$G$24,0)</x:f>
        <x:v>5.403999999999999</x:v>
      </x:c>
      <x:c r="T377" s="35" t="n">
        <x:f>K377*S377</x:f>
        <x:v>81.05999999999999</x:v>
      </x:c>
      <x:c r="U377" s="35" t="n">
        <x:f>L377-N377-P377-R377-T377</x:f>
        <x:v>188.94</x:v>
      </x:c>
      <x:c r="V377" s="21" t="n">
        <x:f>IFERROR(U377/L377,0)</x:f>
        <x:v>0.6997777777777777</x:v>
      </x:c>
    </x:row>
    <x:row r="378">
      <x:c r="A378" s="19" t="str">
        <x:v>SALE-00374</x:v>
      </x:c>
      <x:c r="B378" s="34" t="n">
        <x:v>46212.5</x:v>
      </x:c>
      <x:c r="C378" s="19" t="str">
        <x:v>周四</x:v>
      </x:c>
      <x:c r="D378" s="19" t="str">
        <x:v>S02</x:v>
      </x:c>
      <x:c r="E378" s="19" t="str">
        <x:v>尊宝大厦店</x:v>
      </x:c>
      <x:c r="F378" s="19" t="str">
        <x:v>堂食</x:v>
      </x:c>
      <x:c r="G378" s="19" t="str">
        <x:v>全日</x:v>
      </x:c>
      <x:c r="H378" s="19" t="str">
        <x:v>D14</x:v>
      </x:c>
      <x:c r="I378" s="19" t="str">
        <x:v>酸辣鸡杂</x:v>
      </x:c>
      <x:c r="J378" s="22" t="n">
        <x:f>XLOOKUP(H378,'菜品主数据'!$A$5:$A$24,'菜品主数据'!$D$5:$D$24,0)</x:f>
        <x:v>28</x:v>
      </x:c>
      <x:c r="K378" s="31" t="n">
        <x:v>8</x:v>
      </x:c>
      <x:c r="L378" s="35" t="n">
        <x:f>J378*K378</x:f>
        <x:v>224</x:v>
      </x:c>
      <x:c r="M378" s="36" t="n">
        <x:v>0</x:v>
      </x:c>
      <x:c r="N378" s="35" t="n">
        <x:f>L378*M378</x:f>
        <x:v>0</x:v>
      </x:c>
      <x:c r="O378" s="37" t="n">
        <x:v>0</x:v>
      </x:c>
      <x:c r="P378" s="35" t="n">
        <x:f>L378*O378</x:f>
        <x:v>0</x:v>
      </x:c>
      <x:c r="Q378" s="35" t="n">
        <x:v>0</x:v>
      </x:c>
      <x:c r="R378" s="35" t="n">
        <x:f>K378*Q378</x:f>
        <x:v>0</x:v>
      </x:c>
      <x:c r="S378" s="35" t="n">
        <x:f>XLOOKUP(H378,'菜品主数据'!$A$5:$A$24,'菜品主数据'!$G$5:$G$24,0)</x:f>
        <x:v>8.315000000000001</x:v>
      </x:c>
      <x:c r="T378" s="35" t="n">
        <x:f>K378*S378</x:f>
        <x:v>66.52000000000001</x:v>
      </x:c>
      <x:c r="U378" s="35" t="n">
        <x:f>L378-N378-P378-R378-T378</x:f>
        <x:v>157.48</x:v>
      </x:c>
      <x:c r="V378" s="21" t="n">
        <x:f>IFERROR(U378/L378,0)</x:f>
        <x:v>0.7030357142857142</x:v>
      </x:c>
    </x:row>
    <x:row r="379">
      <x:c r="A379" s="19" t="str">
        <x:v>SALE-00375</x:v>
      </x:c>
      <x:c r="B379" s="34" t="n">
        <x:v>46212.5</x:v>
      </x:c>
      <x:c r="C379" s="19" t="str">
        <x:v>周四</x:v>
      </x:c>
      <x:c r="D379" s="19" t="str">
        <x:v>S02</x:v>
      </x:c>
      <x:c r="E379" s="19" t="str">
        <x:v>尊宝大厦店</x:v>
      </x:c>
      <x:c r="F379" s="19" t="str">
        <x:v>堂食</x:v>
      </x:c>
      <x:c r="G379" s="19" t="str">
        <x:v>全日</x:v>
      </x:c>
      <x:c r="H379" s="19" t="str">
        <x:v>D15</x:v>
      </x:c>
      <x:c r="I379" s="19" t="str">
        <x:v>湘西土匪猪肝</x:v>
      </x:c>
      <x:c r="J379" s="22" t="n">
        <x:f>XLOOKUP(H379,'菜品主数据'!$A$5:$A$24,'菜品主数据'!$D$5:$D$24,0)</x:f>
        <x:v>26</x:v>
      </x:c>
      <x:c r="K379" s="31" t="n">
        <x:v>8</x:v>
      </x:c>
      <x:c r="L379" s="35" t="n">
        <x:f>J379*K379</x:f>
        <x:v>208</x:v>
      </x:c>
      <x:c r="M379" s="36" t="n">
        <x:v>0</x:v>
      </x:c>
      <x:c r="N379" s="35" t="n">
        <x:f>L379*M379</x:f>
        <x:v>0</x:v>
      </x:c>
      <x:c r="O379" s="37" t="n">
        <x:v>0</x:v>
      </x:c>
      <x:c r="P379" s="35" t="n">
        <x:f>L379*O379</x:f>
        <x:v>0</x:v>
      </x:c>
      <x:c r="Q379" s="35" t="n">
        <x:v>0</x:v>
      </x:c>
      <x:c r="R379" s="35" t="n">
        <x:f>K379*Q379</x:f>
        <x:v>0</x:v>
      </x:c>
      <x:c r="S379" s="35" t="n">
        <x:f>XLOOKUP(H379,'菜品主数据'!$A$5:$A$24,'菜品主数据'!$G$5:$G$24,0)</x:f>
        <x:v>6.3759999999999994</x:v>
      </x:c>
      <x:c r="T379" s="35" t="n">
        <x:f>K379*S379</x:f>
        <x:v>51.007999999999996</x:v>
      </x:c>
      <x:c r="U379" s="35" t="n">
        <x:f>L379-N379-P379-R379-T379</x:f>
        <x:v>156.99200000000002</x:v>
      </x:c>
      <x:c r="V379" s="21" t="n">
        <x:f>IFERROR(U379/L379,0)</x:f>
        <x:v>0.7547692307692309</x:v>
      </x:c>
    </x:row>
    <x:row r="380">
      <x:c r="A380" s="19" t="str">
        <x:v>SALE-00376</x:v>
      </x:c>
      <x:c r="B380" s="34" t="n">
        <x:v>46212.5</x:v>
      </x:c>
      <x:c r="C380" s="19" t="str">
        <x:v>周四</x:v>
      </x:c>
      <x:c r="D380" s="19" t="str">
        <x:v>S02</x:v>
      </x:c>
      <x:c r="E380" s="19" t="str">
        <x:v>尊宝大厦店</x:v>
      </x:c>
      <x:c r="F380" s="19" t="str">
        <x:v>堂食</x:v>
      </x:c>
      <x:c r="G380" s="19" t="str">
        <x:v>全日</x:v>
      </x:c>
      <x:c r="H380" s="19" t="str">
        <x:v>D16</x:v>
      </x:c>
      <x:c r="I380" s="19" t="str">
        <x:v>小豆角炒五花</x:v>
      </x:c>
      <x:c r="J380" s="22" t="n">
        <x:f>XLOOKUP(H380,'菜品主数据'!$A$5:$A$24,'菜品主数据'!$D$5:$D$24,0)</x:f>
        <x:v>25</x:v>
      </x:c>
      <x:c r="K380" s="31" t="n">
        <x:v>8</x:v>
      </x:c>
      <x:c r="L380" s="35" t="n">
        <x:f>J380*K380</x:f>
        <x:v>200</x:v>
      </x:c>
      <x:c r="M380" s="36" t="n">
        <x:v>0</x:v>
      </x:c>
      <x:c r="N380" s="35" t="n">
        <x:f>L380*M380</x:f>
        <x:v>0</x:v>
      </x:c>
      <x:c r="O380" s="37" t="n">
        <x:v>0</x:v>
      </x:c>
      <x:c r="P380" s="35" t="n">
        <x:f>L380*O380</x:f>
        <x:v>0</x:v>
      </x:c>
      <x:c r="Q380" s="35" t="n">
        <x:v>0</x:v>
      </x:c>
      <x:c r="R380" s="35" t="n">
        <x:f>K380*Q380</x:f>
        <x:v>0</x:v>
      </x:c>
      <x:c r="S380" s="35" t="n">
        <x:f>XLOOKUP(H380,'菜品主数据'!$A$5:$A$24,'菜品主数据'!$G$5:$G$24,0)</x:f>
        <x:v>8.184</x:v>
      </x:c>
      <x:c r="T380" s="35" t="n">
        <x:f>K380*S380</x:f>
        <x:v>65.472</x:v>
      </x:c>
      <x:c r="U380" s="35" t="n">
        <x:f>L380-N380-P380-R380-T380</x:f>
        <x:v>134.52800000000002</x:v>
      </x:c>
      <x:c r="V380" s="21" t="n">
        <x:f>IFERROR(U380/L380,0)</x:f>
        <x:v>0.6726400000000001</x:v>
      </x:c>
    </x:row>
    <x:row r="381">
      <x:c r="A381" s="19" t="str">
        <x:v>SALE-00377</x:v>
      </x:c>
      <x:c r="B381" s="34" t="n">
        <x:v>46212.5</x:v>
      </x:c>
      <x:c r="C381" s="19" t="str">
        <x:v>周四</x:v>
      </x:c>
      <x:c r="D381" s="19" t="str">
        <x:v>S02</x:v>
      </x:c>
      <x:c r="E381" s="19" t="str">
        <x:v>尊宝大厦店</x:v>
      </x:c>
      <x:c r="F381" s="19" t="str">
        <x:v>堂食</x:v>
      </x:c>
      <x:c r="G381" s="19" t="str">
        <x:v>全日</x:v>
      </x:c>
      <x:c r="H381" s="19" t="str">
        <x:v>D17</x:v>
      </x:c>
      <x:c r="I381" s="19" t="str">
        <x:v>蒜蓉粉丝虾</x:v>
      </x:c>
      <x:c r="J381" s="22" t="n">
        <x:f>XLOOKUP(H381,'菜品主数据'!$A$5:$A$24,'菜品主数据'!$D$5:$D$24,0)</x:f>
        <x:v>36</x:v>
      </x:c>
      <x:c r="K381" s="31" t="n">
        <x:v>5</x:v>
      </x:c>
      <x:c r="L381" s="35" t="n">
        <x:f>J381*K381</x:f>
        <x:v>180</x:v>
      </x:c>
      <x:c r="M381" s="36" t="n">
        <x:v>0</x:v>
      </x:c>
      <x:c r="N381" s="35" t="n">
        <x:f>L381*M381</x:f>
        <x:v>0</x:v>
      </x:c>
      <x:c r="O381" s="37" t="n">
        <x:v>0</x:v>
      </x:c>
      <x:c r="P381" s="35" t="n">
        <x:f>L381*O381</x:f>
        <x:v>0</x:v>
      </x:c>
      <x:c r="Q381" s="35" t="n">
        <x:v>0</x:v>
      </x:c>
      <x:c r="R381" s="35" t="n">
        <x:f>K381*Q381</x:f>
        <x:v>0</x:v>
      </x:c>
      <x:c r="S381" s="35" t="n">
        <x:f>XLOOKUP(H381,'菜品主数据'!$A$5:$A$24,'菜品主数据'!$G$5:$G$24,0)</x:f>
        <x:v>13.594</x:v>
      </x:c>
      <x:c r="T381" s="35" t="n">
        <x:f>K381*S381</x:f>
        <x:v>67.97</x:v>
      </x:c>
      <x:c r="U381" s="35" t="n">
        <x:f>L381-N381-P381-R381-T381</x:f>
        <x:v>112.03</x:v>
      </x:c>
      <x:c r="V381" s="21" t="n">
        <x:f>IFERROR(U381/L381,0)</x:f>
        <x:v>0.6223888888888889</x:v>
      </x:c>
    </x:row>
    <x:row r="382">
      <x:c r="A382" s="19" t="str">
        <x:v>SALE-00378</x:v>
      </x:c>
      <x:c r="B382" s="34" t="n">
        <x:v>46212.5</x:v>
      </x:c>
      <x:c r="C382" s="19" t="str">
        <x:v>周四</x:v>
      </x:c>
      <x:c r="D382" s="19" t="str">
        <x:v>S02</x:v>
      </x:c>
      <x:c r="E382" s="19" t="str">
        <x:v>尊宝大厦店</x:v>
      </x:c>
      <x:c r="F382" s="19" t="str">
        <x:v>堂食</x:v>
      </x:c>
      <x:c r="G382" s="19" t="str">
        <x:v>全日</x:v>
      </x:c>
      <x:c r="H382" s="19" t="str">
        <x:v>D18</x:v>
      </x:c>
      <x:c r="I382" s="19" t="str">
        <x:v>青椒炒油麦菜</x:v>
      </x:c>
      <x:c r="J382" s="22" t="n">
        <x:f>XLOOKUP(H382,'菜品主数据'!$A$5:$A$24,'菜品主数据'!$D$5:$D$24,0)</x:f>
        <x:v>18</x:v>
      </x:c>
      <x:c r="K382" s="31" t="n">
        <x:v>9</x:v>
      </x:c>
      <x:c r="L382" s="35" t="n">
        <x:f>J382*K382</x:f>
        <x:v>162</x:v>
      </x:c>
      <x:c r="M382" s="36" t="n">
        <x:v>0</x:v>
      </x:c>
      <x:c r="N382" s="35" t="n">
        <x:f>L382*M382</x:f>
        <x:v>0</x:v>
      </x:c>
      <x:c r="O382" s="37" t="n">
        <x:v>0</x:v>
      </x:c>
      <x:c r="P382" s="35" t="n">
        <x:f>L382*O382</x:f>
        <x:v>0</x:v>
      </x:c>
      <x:c r="Q382" s="35" t="n">
        <x:v>0</x:v>
      </x:c>
      <x:c r="R382" s="35" t="n">
        <x:f>K382*Q382</x:f>
        <x:v>0</x:v>
      </x:c>
      <x:c r="S382" s="35" t="n">
        <x:f>XLOOKUP(H382,'菜品主数据'!$A$5:$A$24,'菜品主数据'!$G$5:$G$24,0)</x:f>
        <x:v>3.1759999999999993</x:v>
      </x:c>
      <x:c r="T382" s="35" t="n">
        <x:f>K382*S382</x:f>
        <x:v>28.583999999999993</x:v>
      </x:c>
      <x:c r="U382" s="35" t="n">
        <x:f>L382-N382-P382-R382-T382</x:f>
        <x:v>133.416</x:v>
      </x:c>
      <x:c r="V382" s="21" t="n">
        <x:f>IFERROR(U382/L382,0)</x:f>
        <x:v>0.8235555555555555</x:v>
      </x:c>
    </x:row>
    <x:row r="383">
      <x:c r="A383" s="19" t="str">
        <x:v>SALE-00379</x:v>
      </x:c>
      <x:c r="B383" s="34" t="n">
        <x:v>46212.5</x:v>
      </x:c>
      <x:c r="C383" s="19" t="str">
        <x:v>周四</x:v>
      </x:c>
      <x:c r="D383" s="19" t="str">
        <x:v>S02</x:v>
      </x:c>
      <x:c r="E383" s="19" t="str">
        <x:v>尊宝大厦店</x:v>
      </x:c>
      <x:c r="F383" s="19" t="str">
        <x:v>堂食</x:v>
      </x:c>
      <x:c r="G383" s="19" t="str">
        <x:v>全日</x:v>
      </x:c>
      <x:c r="H383" s="19" t="str">
        <x:v>D19</x:v>
      </x:c>
      <x:c r="I383" s="19" t="str">
        <x:v>酸萝卜炒鸡杂</x:v>
      </x:c>
      <x:c r="J383" s="22" t="n">
        <x:f>XLOOKUP(H383,'菜品主数据'!$A$5:$A$24,'菜品主数据'!$D$5:$D$24,0)</x:f>
        <x:v>25</x:v>
      </x:c>
      <x:c r="K383" s="31" t="n">
        <x:v>6</x:v>
      </x:c>
      <x:c r="L383" s="35" t="n">
        <x:f>J383*K383</x:f>
        <x:v>150</x:v>
      </x:c>
      <x:c r="M383" s="36" t="n">
        <x:v>0</x:v>
      </x:c>
      <x:c r="N383" s="35" t="n">
        <x:f>L383*M383</x:f>
        <x:v>0</x:v>
      </x:c>
      <x:c r="O383" s="37" t="n">
        <x:v>0</x:v>
      </x:c>
      <x:c r="P383" s="35" t="n">
        <x:f>L383*O383</x:f>
        <x:v>0</x:v>
      </x:c>
      <x:c r="Q383" s="35" t="n">
        <x:v>0</x:v>
      </x:c>
      <x:c r="R383" s="35" t="n">
        <x:f>K383*Q383</x:f>
        <x:v>0</x:v>
      </x:c>
      <x:c r="S383" s="35" t="n">
        <x:f>XLOOKUP(H383,'菜品主数据'!$A$5:$A$24,'菜品主数据'!$G$5:$G$24,0)</x:f>
        <x:v>7.9399999999999995</x:v>
      </x:c>
      <x:c r="T383" s="35" t="n">
        <x:f>K383*S383</x:f>
        <x:v>47.64</x:v>
      </x:c>
      <x:c r="U383" s="35" t="n">
        <x:f>L383-N383-P383-R383-T383</x:f>
        <x:v>102.36</x:v>
      </x:c>
      <x:c r="V383" s="21" t="n">
        <x:f>IFERROR(U383/L383,0)</x:f>
        <x:v>0.6824</x:v>
      </x:c>
    </x:row>
    <x:row r="384">
      <x:c r="A384" s="19" t="str">
        <x:v>SALE-00380</x:v>
      </x:c>
      <x:c r="B384" s="34" t="n">
        <x:v>46212.5</x:v>
      </x:c>
      <x:c r="C384" s="19" t="str">
        <x:v>周四</x:v>
      </x:c>
      <x:c r="D384" s="19" t="str">
        <x:v>S02</x:v>
      </x:c>
      <x:c r="E384" s="19" t="str">
        <x:v>尊宝大厦店</x:v>
      </x:c>
      <x:c r="F384" s="19" t="str">
        <x:v>堂食</x:v>
      </x:c>
      <x:c r="G384" s="19" t="str">
        <x:v>全日</x:v>
      </x:c>
      <x:c r="H384" s="19" t="str">
        <x:v>D20</x:v>
      </x:c>
      <x:c r="I384" s="19" t="str">
        <x:v>雪菜肉末青豆</x:v>
      </x:c>
      <x:c r="J384" s="22" t="n">
        <x:f>XLOOKUP(H384,'菜品主数据'!$A$5:$A$24,'菜品主数据'!$D$5:$D$24,0)</x:f>
        <x:v>18</x:v>
      </x:c>
      <x:c r="K384" s="31" t="n">
        <x:v>9</x:v>
      </x:c>
      <x:c r="L384" s="35" t="n">
        <x:f>J384*K384</x:f>
        <x:v>162</x:v>
      </x:c>
      <x:c r="M384" s="36" t="n">
        <x:v>0</x:v>
      </x:c>
      <x:c r="N384" s="35" t="n">
        <x:f>L384*M384</x:f>
        <x:v>0</x:v>
      </x:c>
      <x:c r="O384" s="37" t="n">
        <x:v>0</x:v>
      </x:c>
      <x:c r="P384" s="35" t="n">
        <x:f>L384*O384</x:f>
        <x:v>0</x:v>
      </x:c>
      <x:c r="Q384" s="35" t="n">
        <x:v>0</x:v>
      </x:c>
      <x:c r="R384" s="35" t="n">
        <x:f>K384*Q384</x:f>
        <x:v>0</x:v>
      </x:c>
      <x:c r="S384" s="35" t="n">
        <x:f>XLOOKUP(H384,'菜品主数据'!$A$5:$A$24,'菜品主数据'!$G$5:$G$24,0)</x:f>
        <x:v>7.303999999999999</x:v>
      </x:c>
      <x:c r="T384" s="35" t="n">
        <x:f>K384*S384</x:f>
        <x:v>65.73599999999999</x:v>
      </x:c>
      <x:c r="U384" s="35" t="n">
        <x:f>L384-N384-P384-R384-T384</x:f>
        <x:v>96.26400000000001</x:v>
      </x:c>
      <x:c r="V384" s="21" t="n">
        <x:f>IFERROR(U384/L384,0)</x:f>
        <x:v>0.5942222222222223</x:v>
      </x:c>
    </x:row>
    <x:row r="385">
      <x:c r="A385" s="19" t="str">
        <x:v>SALE-00381</x:v>
      </x:c>
      <x:c r="B385" s="34" t="n">
        <x:v>46212.5</x:v>
      </x:c>
      <x:c r="C385" s="19" t="str">
        <x:v>周四</x:v>
      </x:c>
      <x:c r="D385" s="19" t="str">
        <x:v>S02</x:v>
      </x:c>
      <x:c r="E385" s="19" t="str">
        <x:v>尊宝大厦店</x:v>
      </x:c>
      <x:c r="F385" s="19" t="str">
        <x:v>外卖</x:v>
      </x:c>
      <x:c r="G385" s="19" t="str">
        <x:v>全日</x:v>
      </x:c>
      <x:c r="H385" s="19" t="str">
        <x:v>D01</x:v>
      </x:c>
      <x:c r="I385" s="19" t="str">
        <x:v>辣椒炒肉</x:v>
      </x:c>
      <x:c r="J385" s="22" t="n">
        <x:f>XLOOKUP(H385,'菜品主数据'!$A$5:$A$24,'菜品主数据'!$D$5:$D$24,0)</x:f>
        <x:v>29</x:v>
      </x:c>
      <x:c r="K385" s="31" t="n">
        <x:v>5</x:v>
      </x:c>
      <x:c r="L385" s="35" t="n">
        <x:f>J385*K385</x:f>
        <x:v>145</x:v>
      </x:c>
      <x:c r="M385" s="36" t="n">
        <x:v>0.08</x:v>
      </x:c>
      <x:c r="N385" s="35" t="n">
        <x:f>L385*M385</x:f>
        <x:v>11.6</x:v>
      </x:c>
      <x:c r="O385" s="37" t="n">
        <x:v>0.18</x:v>
      </x:c>
      <x:c r="P385" s="35" t="n">
        <x:f>L385*O385</x:f>
        <x:v>26.099999999999998</x:v>
      </x:c>
      <x:c r="Q385" s="35" t="n">
        <x:v>1.2</x:v>
      </x:c>
      <x:c r="R385" s="35" t="n">
        <x:f>K385*Q385</x:f>
        <x:v>6</x:v>
      </x:c>
      <x:c r="S385" s="35" t="n">
        <x:f>XLOOKUP(H385,'菜品主数据'!$A$5:$A$24,'菜品主数据'!$G$5:$G$24,0)</x:f>
        <x:v>8.634400000000001</x:v>
      </x:c>
      <x:c r="T385" s="35" t="n">
        <x:f>K385*S385</x:f>
        <x:v>43.172000000000004</x:v>
      </x:c>
      <x:c r="U385" s="35" t="n">
        <x:f>L385-N385-P385-R385-T385</x:f>
        <x:v>58.12800000000001</x:v>
      </x:c>
      <x:c r="V385" s="21" t="n">
        <x:f>IFERROR(U385/L385,0)</x:f>
        <x:v>0.4008827586206897</x:v>
      </x:c>
    </x:row>
    <x:row r="386">
      <x:c r="A386" s="19" t="str">
        <x:v>SALE-00382</x:v>
      </x:c>
      <x:c r="B386" s="34" t="n">
        <x:v>46212.5</x:v>
      </x:c>
      <x:c r="C386" s="19" t="str">
        <x:v>周四</x:v>
      </x:c>
      <x:c r="D386" s="19" t="str">
        <x:v>S02</x:v>
      </x:c>
      <x:c r="E386" s="19" t="str">
        <x:v>尊宝大厦店</x:v>
      </x:c>
      <x:c r="F386" s="19" t="str">
        <x:v>外卖</x:v>
      </x:c>
      <x:c r="G386" s="19" t="str">
        <x:v>全日</x:v>
      </x:c>
      <x:c r="H386" s="19" t="str">
        <x:v>D02</x:v>
      </x:c>
      <x:c r="I386" s="19" t="str">
        <x:v>小炒黄牛肉</x:v>
      </x:c>
      <x:c r="J386" s="22" t="n">
        <x:f>XLOOKUP(H386,'菜品主数据'!$A$5:$A$24,'菜品主数据'!$D$5:$D$24,0)</x:f>
        <x:v>49</x:v>
      </x:c>
      <x:c r="K386" s="31" t="n">
        <x:v>8</x:v>
      </x:c>
      <x:c r="L386" s="35" t="n">
        <x:f>J386*K386</x:f>
        <x:v>392</x:v>
      </x:c>
      <x:c r="M386" s="36" t="n">
        <x:v>0.08</x:v>
      </x:c>
      <x:c r="N386" s="35" t="n">
        <x:f>L386*M386</x:f>
        <x:v>31.36</x:v>
      </x:c>
      <x:c r="O386" s="37" t="n">
        <x:v>0.18</x:v>
      </x:c>
      <x:c r="P386" s="35" t="n">
        <x:f>L386*O386</x:f>
        <x:v>70.56</x:v>
      </x:c>
      <x:c r="Q386" s="35" t="n">
        <x:v>1.2</x:v>
      </x:c>
      <x:c r="R386" s="35" t="n">
        <x:f>K386*Q386</x:f>
        <x:v>9.6</x:v>
      </x:c>
      <x:c r="S386" s="35" t="n">
        <x:f>XLOOKUP(H386,'菜品主数据'!$A$5:$A$24,'菜品主数据'!$G$5:$G$24,0)</x:f>
        <x:v>17.577</x:v>
      </x:c>
      <x:c r="T386" s="35" t="n">
        <x:f>K386*S386</x:f>
        <x:v>140.616</x:v>
      </x:c>
      <x:c r="U386" s="35" t="n">
        <x:f>L386-N386-P386-R386-T386</x:f>
        <x:v>139.86399999999995</x:v>
      </x:c>
      <x:c r="V386" s="21" t="n">
        <x:f>IFERROR(U386/L386,0)</x:f>
        <x:v>0.3567959183673468</x:v>
      </x:c>
    </x:row>
    <x:row r="387">
      <x:c r="A387" s="19" t="str">
        <x:v>SALE-00383</x:v>
      </x:c>
      <x:c r="B387" s="34" t="n">
        <x:v>46212.5</x:v>
      </x:c>
      <x:c r="C387" s="19" t="str">
        <x:v>周四</x:v>
      </x:c>
      <x:c r="D387" s="19" t="str">
        <x:v>S02</x:v>
      </x:c>
      <x:c r="E387" s="19" t="str">
        <x:v>尊宝大厦店</x:v>
      </x:c>
      <x:c r="F387" s="19" t="str">
        <x:v>外卖</x:v>
      </x:c>
      <x:c r="G387" s="19" t="str">
        <x:v>全日</x:v>
      </x:c>
      <x:c r="H387" s="19" t="str">
        <x:v>D03</x:v>
      </x:c>
      <x:c r="I387" s="19" t="str">
        <x:v>香醋炒蛋</x:v>
      </x:c>
      <x:c r="J387" s="22" t="n">
        <x:f>XLOOKUP(H387,'菜品主数据'!$A$5:$A$24,'菜品主数据'!$D$5:$D$24,0)</x:f>
        <x:v>14.9</x:v>
      </x:c>
      <x:c r="K387" s="31" t="n">
        <x:v>4</x:v>
      </x:c>
      <x:c r="L387" s="35" t="n">
        <x:f>J387*K387</x:f>
        <x:v>59.6</x:v>
      </x:c>
      <x:c r="M387" s="36" t="n">
        <x:v>0.08</x:v>
      </x:c>
      <x:c r="N387" s="35" t="n">
        <x:f>L387*M387</x:f>
        <x:v>4.768</x:v>
      </x:c>
      <x:c r="O387" s="37" t="n">
        <x:v>0.18</x:v>
      </x:c>
      <x:c r="P387" s="35" t="n">
        <x:f>L387*O387</x:f>
        <x:v>10.728</x:v>
      </x:c>
      <x:c r="Q387" s="35" t="n">
        <x:v>1.2</x:v>
      </x:c>
      <x:c r="R387" s="35" t="n">
        <x:f>K387*Q387</x:f>
        <x:v>4.8</x:v>
      </x:c>
      <x:c r="S387" s="35" t="n">
        <x:f>XLOOKUP(H387,'菜品主数据'!$A$5:$A$24,'菜品主数据'!$G$5:$G$24,0)</x:f>
        <x:v>3.7459999999999996</x:v>
      </x:c>
      <x:c r="T387" s="35" t="n">
        <x:f>K387*S387</x:f>
        <x:v>14.983999999999998</x:v>
      </x:c>
      <x:c r="U387" s="35" t="n">
        <x:f>L387-N387-P387-R387-T387</x:f>
        <x:v>24.320000000000004</x:v>
      </x:c>
      <x:c r="V387" s="21" t="n">
        <x:f>IFERROR(U387/L387,0)</x:f>
        <x:v>0.40805369127516783</x:v>
      </x:c>
    </x:row>
    <x:row r="388">
      <x:c r="A388" s="19" t="str">
        <x:v>SALE-00384</x:v>
      </x:c>
      <x:c r="B388" s="34" t="n">
        <x:v>46212.5</x:v>
      </x:c>
      <x:c r="C388" s="19" t="str">
        <x:v>周四</x:v>
      </x:c>
      <x:c r="D388" s="19" t="str">
        <x:v>S02</x:v>
      </x:c>
      <x:c r="E388" s="19" t="str">
        <x:v>尊宝大厦店</x:v>
      </x:c>
      <x:c r="F388" s="19" t="str">
        <x:v>外卖</x:v>
      </x:c>
      <x:c r="G388" s="19" t="str">
        <x:v>全日</x:v>
      </x:c>
      <x:c r="H388" s="19" t="str">
        <x:v>D04</x:v>
      </x:c>
      <x:c r="I388" s="19" t="str">
        <x:v>酸包菜炒粉皮</x:v>
      </x:c>
      <x:c r="J388" s="22" t="n">
        <x:f>XLOOKUP(H388,'菜品主数据'!$A$5:$A$24,'菜品主数据'!$D$5:$D$24,0)</x:f>
        <x:v>16</x:v>
      </x:c>
      <x:c r="K388" s="31" t="n">
        <x:v>4</x:v>
      </x:c>
      <x:c r="L388" s="35" t="n">
        <x:f>J388*K388</x:f>
        <x:v>64</x:v>
      </x:c>
      <x:c r="M388" s="36" t="n">
        <x:v>0.08</x:v>
      </x:c>
      <x:c r="N388" s="35" t="n">
        <x:f>L388*M388</x:f>
        <x:v>5.12</x:v>
      </x:c>
      <x:c r="O388" s="37" t="n">
        <x:v>0.18</x:v>
      </x:c>
      <x:c r="P388" s="35" t="n">
        <x:f>L388*O388</x:f>
        <x:v>11.52</x:v>
      </x:c>
      <x:c r="Q388" s="35" t="n">
        <x:v>1.2</x:v>
      </x:c>
      <x:c r="R388" s="35" t="n">
        <x:f>K388*Q388</x:f>
        <x:v>4.8</x:v>
      </x:c>
      <x:c r="S388" s="35" t="n">
        <x:f>XLOOKUP(H388,'菜品主数据'!$A$5:$A$24,'菜品主数据'!$G$5:$G$24,0)</x:f>
        <x:v>3.978</x:v>
      </x:c>
      <x:c r="T388" s="35" t="n">
        <x:f>K388*S388</x:f>
        <x:v>15.912</x:v>
      </x:c>
      <x:c r="U388" s="35" t="n">
        <x:f>L388-N388-P388-R388-T388</x:f>
        <x:v>26.648000000000003</x:v>
      </x:c>
      <x:c r="V388" s="21" t="n">
        <x:f>IFERROR(U388/L388,0)</x:f>
        <x:v>0.41637500000000005</x:v>
      </x:c>
    </x:row>
    <x:row r="389">
      <x:c r="A389" s="19" t="str">
        <x:v>SALE-00385</x:v>
      </x:c>
      <x:c r="B389" s="34" t="n">
        <x:v>46212.5</x:v>
      </x:c>
      <x:c r="C389" s="19" t="str">
        <x:v>周四</x:v>
      </x:c>
      <x:c r="D389" s="19" t="str">
        <x:v>S02</x:v>
      </x:c>
      <x:c r="E389" s="19" t="str">
        <x:v>尊宝大厦店</x:v>
      </x:c>
      <x:c r="F389" s="19" t="str">
        <x:v>外卖</x:v>
      </x:c>
      <x:c r="G389" s="19" t="str">
        <x:v>全日</x:v>
      </x:c>
      <x:c r="H389" s="19" t="str">
        <x:v>D05</x:v>
      </x:c>
      <x:c r="I389" s="19" t="str">
        <x:v>麻婆豆腐</x:v>
      </x:c>
      <x:c r="J389" s="22" t="n">
        <x:f>XLOOKUP(H389,'菜品主数据'!$A$5:$A$24,'菜品主数据'!$D$5:$D$24,0)</x:f>
        <x:v>9.9</x:v>
      </x:c>
      <x:c r="K389" s="31" t="n">
        <x:v>5</x:v>
      </x:c>
      <x:c r="L389" s="35" t="n">
        <x:f>J389*K389</x:f>
        <x:v>49.5</x:v>
      </x:c>
      <x:c r="M389" s="36" t="n">
        <x:v>0.08</x:v>
      </x:c>
      <x:c r="N389" s="35" t="n">
        <x:f>L389*M389</x:f>
        <x:v>3.96</x:v>
      </x:c>
      <x:c r="O389" s="37" t="n">
        <x:v>0.18</x:v>
      </x:c>
      <x:c r="P389" s="35" t="n">
        <x:f>L389*O389</x:f>
        <x:v>8.91</x:v>
      </x:c>
      <x:c r="Q389" s="35" t="n">
        <x:v>1.2</x:v>
      </x:c>
      <x:c r="R389" s="35" t="n">
        <x:f>K389*Q389</x:f>
        <x:v>6</x:v>
      </x:c>
      <x:c r="S389" s="35" t="n">
        <x:f>XLOOKUP(H389,'菜品主数据'!$A$5:$A$24,'菜品主数据'!$G$5:$G$24,0)</x:f>
        <x:v>5.367000000000001</x:v>
      </x:c>
      <x:c r="T389" s="35" t="n">
        <x:f>K389*S389</x:f>
        <x:v>26.835000000000004</x:v>
      </x:c>
      <x:c r="U389" s="35" t="n">
        <x:f>L389-N389-P389-R389-T389</x:f>
        <x:v>3.794999999999991</x:v>
      </x:c>
      <x:c r="V389" s="21" t="n">
        <x:f>IFERROR(U389/L389,0)</x:f>
        <x:v>0.07666666666666648</x:v>
      </x:c>
    </x:row>
    <x:row r="390">
      <x:c r="A390" s="19" t="str">
        <x:v>SALE-00386</x:v>
      </x:c>
      <x:c r="B390" s="34" t="n">
        <x:v>46212.5</x:v>
      </x:c>
      <x:c r="C390" s="19" t="str">
        <x:v>周四</x:v>
      </x:c>
      <x:c r="D390" s="19" t="str">
        <x:v>S02</x:v>
      </x:c>
      <x:c r="E390" s="19" t="str">
        <x:v>尊宝大厦店</x:v>
      </x:c>
      <x:c r="F390" s="19" t="str">
        <x:v>外卖</x:v>
      </x:c>
      <x:c r="G390" s="19" t="str">
        <x:v>全日</x:v>
      </x:c>
      <x:c r="H390" s="19" t="str">
        <x:v>D06</x:v>
      </x:c>
      <x:c r="I390" s="19" t="str">
        <x:v>剁椒鱼头</x:v>
      </x:c>
      <x:c r="J390" s="22" t="n">
        <x:f>XLOOKUP(H390,'菜品主数据'!$A$5:$A$24,'菜品主数据'!$D$5:$D$24,0)</x:f>
        <x:v>39</x:v>
      </x:c>
      <x:c r="K390" s="31" t="n">
        <x:v>1</x:v>
      </x:c>
      <x:c r="L390" s="35" t="n">
        <x:f>J390*K390</x:f>
        <x:v>39</x:v>
      </x:c>
      <x:c r="M390" s="36" t="n">
        <x:v>0.08</x:v>
      </x:c>
      <x:c r="N390" s="35" t="n">
        <x:f>L390*M390</x:f>
        <x:v>3.12</x:v>
      </x:c>
      <x:c r="O390" s="37" t="n">
        <x:v>0.18</x:v>
      </x:c>
      <x:c r="P390" s="35" t="n">
        <x:f>L390*O390</x:f>
        <x:v>7.02</x:v>
      </x:c>
      <x:c r="Q390" s="35" t="n">
        <x:v>1.2</x:v>
      </x:c>
      <x:c r="R390" s="35" t="n">
        <x:f>K390*Q390</x:f>
        <x:v>1.2</x:v>
      </x:c>
      <x:c r="S390" s="35" t="n">
        <x:f>XLOOKUP(H390,'菜品主数据'!$A$5:$A$24,'菜品主数据'!$G$5:$G$24,0)</x:f>
        <x:v>17.446</x:v>
      </x:c>
      <x:c r="T390" s="35" t="n">
        <x:f>K390*S390</x:f>
        <x:v>17.446</x:v>
      </x:c>
      <x:c r="U390" s="35" t="n">
        <x:f>L390-N390-P390-R390-T390</x:f>
        <x:v>10.214000000000002</x:v>
      </x:c>
      <x:c r="V390" s="21" t="n">
        <x:f>IFERROR(U390/L390,0)</x:f>
        <x:v>0.26189743589743597</x:v>
      </x:c>
    </x:row>
    <x:row r="391">
      <x:c r="A391" s="19" t="str">
        <x:v>SALE-00387</x:v>
      </x:c>
      <x:c r="B391" s="34" t="n">
        <x:v>46212.5</x:v>
      </x:c>
      <x:c r="C391" s="19" t="str">
        <x:v>周四</x:v>
      </x:c>
      <x:c r="D391" s="19" t="str">
        <x:v>S02</x:v>
      </x:c>
      <x:c r="E391" s="19" t="str">
        <x:v>尊宝大厦店</x:v>
      </x:c>
      <x:c r="F391" s="19" t="str">
        <x:v>外卖</x:v>
      </x:c>
      <x:c r="G391" s="19" t="str">
        <x:v>全日</x:v>
      </x:c>
      <x:c r="H391" s="19" t="str">
        <x:v>D07</x:v>
      </x:c>
      <x:c r="I391" s="19" t="str">
        <x:v>川味回锅肉</x:v>
      </x:c>
      <x:c r="J391" s="22" t="n">
        <x:f>XLOOKUP(H391,'菜品主数据'!$A$5:$A$24,'菜品主数据'!$D$5:$D$24,0)</x:f>
        <x:v>29</x:v>
      </x:c>
      <x:c r="K391" s="31" t="n">
        <x:v>1</x:v>
      </x:c>
      <x:c r="L391" s="35" t="n">
        <x:f>J391*K391</x:f>
        <x:v>29</x:v>
      </x:c>
      <x:c r="M391" s="36" t="n">
        <x:v>0.08</x:v>
      </x:c>
      <x:c r="N391" s="35" t="n">
        <x:f>L391*M391</x:f>
        <x:v>2.32</x:v>
      </x:c>
      <x:c r="O391" s="37" t="n">
        <x:v>0.18</x:v>
      </x:c>
      <x:c r="P391" s="35" t="n">
        <x:f>L391*O391</x:f>
        <x:v>5.22</x:v>
      </x:c>
      <x:c r="Q391" s="35" t="n">
        <x:v>1.2</x:v>
      </x:c>
      <x:c r="R391" s="35" t="n">
        <x:f>K391*Q391</x:f>
        <x:v>1.2</x:v>
      </x:c>
      <x:c r="S391" s="35" t="n">
        <x:f>XLOOKUP(H391,'菜品主数据'!$A$5:$A$24,'菜品主数据'!$G$5:$G$24,0)</x:f>
        <x:v>10.231000000000002</x:v>
      </x:c>
      <x:c r="T391" s="35" t="n">
        <x:f>K391*S391</x:f>
        <x:v>10.231000000000002</x:v>
      </x:c>
      <x:c r="U391" s="35" t="n">
        <x:f>L391-N391-P391-R391-T391</x:f>
        <x:v>10.029</x:v>
      </x:c>
      <x:c r="V391" s="21" t="n">
        <x:f>IFERROR(U391/L391,0)</x:f>
        <x:v>0.3458275862068966</x:v>
      </x:c>
    </x:row>
    <x:row r="392">
      <x:c r="A392" s="19" t="str">
        <x:v>SALE-00388</x:v>
      </x:c>
      <x:c r="B392" s="34" t="n">
        <x:v>46212.5</x:v>
      </x:c>
      <x:c r="C392" s="19" t="str">
        <x:v>周四</x:v>
      </x:c>
      <x:c r="D392" s="19" t="str">
        <x:v>S02</x:v>
      </x:c>
      <x:c r="E392" s="19" t="str">
        <x:v>尊宝大厦店</x:v>
      </x:c>
      <x:c r="F392" s="19" t="str">
        <x:v>外卖</x:v>
      </x:c>
      <x:c r="G392" s="19" t="str">
        <x:v>全日</x:v>
      </x:c>
      <x:c r="H392" s="19" t="str">
        <x:v>D08</x:v>
      </x:c>
      <x:c r="I392" s="19" t="str">
        <x:v>生炒清远鸡</x:v>
      </x:c>
      <x:c r="J392" s="22" t="n">
        <x:f>XLOOKUP(H392,'菜品主数据'!$A$5:$A$24,'菜品主数据'!$D$5:$D$24,0)</x:f>
        <x:v>36</x:v>
      </x:c>
      <x:c r="K392" s="31" t="n">
        <x:v>1</x:v>
      </x:c>
      <x:c r="L392" s="35" t="n">
        <x:f>J392*K392</x:f>
        <x:v>36</x:v>
      </x:c>
      <x:c r="M392" s="36" t="n">
        <x:v>0.08</x:v>
      </x:c>
      <x:c r="N392" s="35" t="n">
        <x:f>L392*M392</x:f>
        <x:v>2.88</x:v>
      </x:c>
      <x:c r="O392" s="37" t="n">
        <x:v>0.18</x:v>
      </x:c>
      <x:c r="P392" s="35" t="n">
        <x:f>L392*O392</x:f>
        <x:v>6.4799999999999995</x:v>
      </x:c>
      <x:c r="Q392" s="35" t="n">
        <x:v>1.2</x:v>
      </x:c>
      <x:c r="R392" s="35" t="n">
        <x:f>K392*Q392</x:f>
        <x:v>1.2</x:v>
      </x:c>
      <x:c r="S392" s="35" t="n">
        <x:f>XLOOKUP(H392,'菜品主数据'!$A$5:$A$24,'菜品主数据'!$G$5:$G$24,0)</x:f>
        <x:v>13.48</x:v>
      </x:c>
      <x:c r="T392" s="35" t="n">
        <x:f>K392*S392</x:f>
        <x:v>13.48</x:v>
      </x:c>
      <x:c r="U392" s="35" t="n">
        <x:f>L392-N392-P392-R392-T392</x:f>
        <x:v>11.959999999999997</x:v>
      </x:c>
      <x:c r="V392" s="21" t="n">
        <x:f>IFERROR(U392/L392,0)</x:f>
        <x:v>0.33222222222222214</x:v>
      </x:c>
    </x:row>
    <x:row r="393">
      <x:c r="A393" s="19" t="str">
        <x:v>SALE-00389</x:v>
      </x:c>
      <x:c r="B393" s="34" t="n">
        <x:v>46212.5</x:v>
      </x:c>
      <x:c r="C393" s="19" t="str">
        <x:v>周四</x:v>
      </x:c>
      <x:c r="D393" s="19" t="str">
        <x:v>S02</x:v>
      </x:c>
      <x:c r="E393" s="19" t="str">
        <x:v>尊宝大厦店</x:v>
      </x:c>
      <x:c r="F393" s="19" t="str">
        <x:v>外卖</x:v>
      </x:c>
      <x:c r="G393" s="19" t="str">
        <x:v>全日</x:v>
      </x:c>
      <x:c r="H393" s="19" t="str">
        <x:v>D09</x:v>
      </x:c>
      <x:c r="I393" s="19" t="str">
        <x:v>炒豆干</x:v>
      </x:c>
      <x:c r="J393" s="22" t="n">
        <x:f>XLOOKUP(H393,'菜品主数据'!$A$5:$A$24,'菜品主数据'!$D$5:$D$24,0)</x:f>
        <x:v>18</x:v>
      </x:c>
      <x:c r="K393" s="31" t="n">
        <x:v>2</x:v>
      </x:c>
      <x:c r="L393" s="35" t="n">
        <x:f>J393*K393</x:f>
        <x:v>36</x:v>
      </x:c>
      <x:c r="M393" s="36" t="n">
        <x:v>0.08</x:v>
      </x:c>
      <x:c r="N393" s="35" t="n">
        <x:f>L393*M393</x:f>
        <x:v>2.88</x:v>
      </x:c>
      <x:c r="O393" s="37" t="n">
        <x:v>0.18</x:v>
      </x:c>
      <x:c r="P393" s="35" t="n">
        <x:f>L393*O393</x:f>
        <x:v>6.4799999999999995</x:v>
      </x:c>
      <x:c r="Q393" s="35" t="n">
        <x:v>1.2</x:v>
      </x:c>
      <x:c r="R393" s="35" t="n">
        <x:f>K393*Q393</x:f>
        <x:v>2.4</x:v>
      </x:c>
      <x:c r="S393" s="35" t="n">
        <x:f>XLOOKUP(H393,'菜品主数据'!$A$5:$A$24,'菜品主数据'!$G$5:$G$24,0)</x:f>
        <x:v>6.613999999999999</x:v>
      </x:c>
      <x:c r="T393" s="35" t="n">
        <x:f>K393*S393</x:f>
        <x:v>13.227999999999998</x:v>
      </x:c>
      <x:c r="U393" s="35" t="n">
        <x:f>L393-N393-P393-R393-T393</x:f>
        <x:v>11.012</x:v>
      </x:c>
      <x:c r="V393" s="21" t="n">
        <x:f>IFERROR(U393/L393,0)</x:f>
        <x:v>0.3058888888888889</x:v>
      </x:c>
    </x:row>
    <x:row r="394">
      <x:c r="A394" s="19" t="str">
        <x:v>SALE-00390</x:v>
      </x:c>
      <x:c r="B394" s="34" t="n">
        <x:v>46212.5</x:v>
      </x:c>
      <x:c r="C394" s="19" t="str">
        <x:v>周四</x:v>
      </x:c>
      <x:c r="D394" s="19" t="str">
        <x:v>S02</x:v>
      </x:c>
      <x:c r="E394" s="19" t="str">
        <x:v>尊宝大厦店</x:v>
      </x:c>
      <x:c r="F394" s="19" t="str">
        <x:v>外卖</x:v>
      </x:c>
      <x:c r="G394" s="19" t="str">
        <x:v>全日</x:v>
      </x:c>
      <x:c r="H394" s="19" t="str">
        <x:v>D10</x:v>
      </x:c>
      <x:c r="I394" s="19" t="str">
        <x:v>农家一碗香</x:v>
      </x:c>
      <x:c r="J394" s="22" t="n">
        <x:f>XLOOKUP(H394,'菜品主数据'!$A$5:$A$24,'菜品主数据'!$D$5:$D$24,0)</x:f>
        <x:v>22.9</x:v>
      </x:c>
      <x:c r="K394" s="31" t="n">
        <x:v>1</x:v>
      </x:c>
      <x:c r="L394" s="35" t="n">
        <x:f>J394*K394</x:f>
        <x:v>22.9</x:v>
      </x:c>
      <x:c r="M394" s="36" t="n">
        <x:v>0.08</x:v>
      </x:c>
      <x:c r="N394" s="35" t="n">
        <x:f>L394*M394</x:f>
        <x:v>1.8319999999999999</x:v>
      </x:c>
      <x:c r="O394" s="37" t="n">
        <x:v>0.18</x:v>
      </x:c>
      <x:c r="P394" s="35" t="n">
        <x:f>L394*O394</x:f>
        <x:v>4.122</x:v>
      </x:c>
      <x:c r="Q394" s="35" t="n">
        <x:v>1.2</x:v>
      </x:c>
      <x:c r="R394" s="35" t="n">
        <x:f>K394*Q394</x:f>
        <x:v>1.2</x:v>
      </x:c>
      <x:c r="S394" s="35" t="n">
        <x:f>XLOOKUP(H394,'菜品主数据'!$A$5:$A$24,'菜品主数据'!$G$5:$G$24,0)</x:f>
        <x:v>9.770200000000003</x:v>
      </x:c>
      <x:c r="T394" s="35" t="n">
        <x:f>K394*S394</x:f>
        <x:v>9.770200000000003</x:v>
      </x:c>
      <x:c r="U394" s="35" t="n">
        <x:f>L394-N394-P394-R394-T394</x:f>
        <x:v>5.975799999999996</x:v>
      </x:c>
      <x:c r="V394" s="21" t="n">
        <x:f>IFERROR(U394/L394,0)</x:f>
        <x:v>0.260951965065502</x:v>
      </x:c>
    </x:row>
    <x:row r="395">
      <x:c r="A395" s="19" t="str">
        <x:v>SALE-00391</x:v>
      </x:c>
      <x:c r="B395" s="34" t="n">
        <x:v>46212.5</x:v>
      </x:c>
      <x:c r="C395" s="19" t="str">
        <x:v>周四</x:v>
      </x:c>
      <x:c r="D395" s="19" t="str">
        <x:v>S02</x:v>
      </x:c>
      <x:c r="E395" s="19" t="str">
        <x:v>尊宝大厦店</x:v>
      </x:c>
      <x:c r="F395" s="19" t="str">
        <x:v>外卖</x:v>
      </x:c>
      <x:c r="G395" s="19" t="str">
        <x:v>全日</x:v>
      </x:c>
      <x:c r="H395" s="19" t="str">
        <x:v>D11</x:v>
      </x:c>
      <x:c r="I395" s="19" t="str">
        <x:v>香辣爆肥肠</x:v>
      </x:c>
      <x:c r="J395" s="22" t="n">
        <x:f>XLOOKUP(H395,'菜品主数据'!$A$5:$A$24,'菜品主数据'!$D$5:$D$24,0)</x:f>
        <x:v>39</x:v>
      </x:c>
      <x:c r="K395" s="31" t="n">
        <x:v>0</x:v>
      </x:c>
      <x:c r="L395" s="35" t="n">
        <x:f>J395*K395</x:f>
        <x:v>0</x:v>
      </x:c>
      <x:c r="M395" s="36" t="n">
        <x:v>0.08</x:v>
      </x:c>
      <x:c r="N395" s="35" t="n">
        <x:f>L395*M395</x:f>
        <x:v>0</x:v>
      </x:c>
      <x:c r="O395" s="37" t="n">
        <x:v>0.18</x:v>
      </x:c>
      <x:c r="P395" s="35" t="n">
        <x:f>L395*O395</x:f>
        <x:v>0</x:v>
      </x:c>
      <x:c r="Q395" s="35" t="n">
        <x:v>1.2</x:v>
      </x:c>
      <x:c r="R395" s="35" t="n">
        <x:f>K395*Q395</x:f>
        <x:v>0</x:v>
      </x:c>
      <x:c r="S395" s="35" t="n">
        <x:f>XLOOKUP(H395,'菜品主数据'!$A$5:$A$24,'菜品主数据'!$G$5:$G$24,0)</x:f>
        <x:v>10.397</x:v>
      </x:c>
      <x:c r="T395" s="35" t="n">
        <x:f>K395*S395</x:f>
        <x:v>0</x:v>
      </x:c>
      <x:c r="U395" s="35" t="n">
        <x:f>L395-N395-P395-R395-T395</x:f>
        <x:v>0</x:v>
      </x:c>
      <x:c r="V395" s="21" t="n">
        <x:f>IFERROR(U395/L395,0)</x:f>
        <x:v>0</x:v>
      </x:c>
    </x:row>
    <x:row r="396">
      <x:c r="A396" s="19" t="str">
        <x:v>SALE-00392</x:v>
      </x:c>
      <x:c r="B396" s="34" t="n">
        <x:v>46212.5</x:v>
      </x:c>
      <x:c r="C396" s="19" t="str">
        <x:v>周四</x:v>
      </x:c>
      <x:c r="D396" s="19" t="str">
        <x:v>S02</x:v>
      </x:c>
      <x:c r="E396" s="19" t="str">
        <x:v>尊宝大厦店</x:v>
      </x:c>
      <x:c r="F396" s="19" t="str">
        <x:v>外卖</x:v>
      </x:c>
      <x:c r="G396" s="19" t="str">
        <x:v>全日</x:v>
      </x:c>
      <x:c r="H396" s="19" t="str">
        <x:v>D12</x:v>
      </x:c>
      <x:c r="I396" s="19" t="str">
        <x:v>清蒸鲈鱼</x:v>
      </x:c>
      <x:c r="J396" s="22" t="n">
        <x:f>XLOOKUP(H396,'菜品主数据'!$A$5:$A$24,'菜品主数据'!$D$5:$D$24,0)</x:f>
        <x:v>39</x:v>
      </x:c>
      <x:c r="K396" s="31" t="n">
        <x:v>0</x:v>
      </x:c>
      <x:c r="L396" s="35" t="n">
        <x:f>J396*K396</x:f>
        <x:v>0</x:v>
      </x:c>
      <x:c r="M396" s="36" t="n">
        <x:v>0.08</x:v>
      </x:c>
      <x:c r="N396" s="35" t="n">
        <x:f>L396*M396</x:f>
        <x:v>0</x:v>
      </x:c>
      <x:c r="O396" s="37" t="n">
        <x:v>0.18</x:v>
      </x:c>
      <x:c r="P396" s="35" t="n">
        <x:f>L396*O396</x:f>
        <x:v>0</x:v>
      </x:c>
      <x:c r="Q396" s="35" t="n">
        <x:v>1.2</x:v>
      </x:c>
      <x:c r="R396" s="35" t="n">
        <x:f>K396*Q396</x:f>
        <x:v>0</x:v>
      </x:c>
      <x:c r="S396" s="35" t="n">
        <x:f>XLOOKUP(H396,'菜品主数据'!$A$5:$A$24,'菜品主数据'!$G$5:$G$24,0)</x:f>
        <x:v>18.874</x:v>
      </x:c>
      <x:c r="T396" s="35" t="n">
        <x:f>K396*S396</x:f>
        <x:v>0</x:v>
      </x:c>
      <x:c r="U396" s="35" t="n">
        <x:f>L396-N396-P396-R396-T396</x:f>
        <x:v>0</x:v>
      </x:c>
      <x:c r="V396" s="21" t="n">
        <x:f>IFERROR(U396/L396,0)</x:f>
        <x:v>0</x:v>
      </x:c>
    </x:row>
    <x:row r="397">
      <x:c r="A397" s="19" t="str">
        <x:v>SALE-00393</x:v>
      </x:c>
      <x:c r="B397" s="34" t="n">
        <x:v>46212.5</x:v>
      </x:c>
      <x:c r="C397" s="19" t="str">
        <x:v>周四</x:v>
      </x:c>
      <x:c r="D397" s="19" t="str">
        <x:v>S02</x:v>
      </x:c>
      <x:c r="E397" s="19" t="str">
        <x:v>尊宝大厦店</x:v>
      </x:c>
      <x:c r="F397" s="19" t="str">
        <x:v>外卖</x:v>
      </x:c>
      <x:c r="G397" s="19" t="str">
        <x:v>全日</x:v>
      </x:c>
      <x:c r="H397" s="19" t="str">
        <x:v>D13</x:v>
      </x:c>
      <x:c r="I397" s="19" t="str">
        <x:v>外婆菜炒蛋</x:v>
      </x:c>
      <x:c r="J397" s="22" t="n">
        <x:f>XLOOKUP(H397,'菜品主数据'!$A$5:$A$24,'菜品主数据'!$D$5:$D$24,0)</x:f>
        <x:v>18</x:v>
      </x:c>
      <x:c r="K397" s="31" t="n">
        <x:v>1</x:v>
      </x:c>
      <x:c r="L397" s="35" t="n">
        <x:f>J397*K397</x:f>
        <x:v>18</x:v>
      </x:c>
      <x:c r="M397" s="36" t="n">
        <x:v>0.08</x:v>
      </x:c>
      <x:c r="N397" s="35" t="n">
        <x:f>L397*M397</x:f>
        <x:v>1.44</x:v>
      </x:c>
      <x:c r="O397" s="37" t="n">
        <x:v>0.18</x:v>
      </x:c>
      <x:c r="P397" s="35" t="n">
        <x:f>L397*O397</x:f>
        <x:v>3.2399999999999998</x:v>
      </x:c>
      <x:c r="Q397" s="35" t="n">
        <x:v>1.2</x:v>
      </x:c>
      <x:c r="R397" s="35" t="n">
        <x:f>K397*Q397</x:f>
        <x:v>1.2</x:v>
      </x:c>
      <x:c r="S397" s="35" t="n">
        <x:f>XLOOKUP(H397,'菜品主数据'!$A$5:$A$24,'菜品主数据'!$G$5:$G$24,0)</x:f>
        <x:v>5.403999999999999</x:v>
      </x:c>
      <x:c r="T397" s="35" t="n">
        <x:f>K397*S397</x:f>
        <x:v>5.403999999999999</x:v>
      </x:c>
      <x:c r="U397" s="35" t="n">
        <x:f>L397-N397-P397-R397-T397</x:f>
        <x:v>6.716</x:v>
      </x:c>
      <x:c r="V397" s="21" t="n">
        <x:f>IFERROR(U397/L397,0)</x:f>
        <x:v>0.3731111111111111</x:v>
      </x:c>
    </x:row>
    <x:row r="398">
      <x:c r="A398" s="19" t="str">
        <x:v>SALE-00394</x:v>
      </x:c>
      <x:c r="B398" s="34" t="n">
        <x:v>46212.5</x:v>
      </x:c>
      <x:c r="C398" s="19" t="str">
        <x:v>周四</x:v>
      </x:c>
      <x:c r="D398" s="19" t="str">
        <x:v>S02</x:v>
      </x:c>
      <x:c r="E398" s="19" t="str">
        <x:v>尊宝大厦店</x:v>
      </x:c>
      <x:c r="F398" s="19" t="str">
        <x:v>外卖</x:v>
      </x:c>
      <x:c r="G398" s="19" t="str">
        <x:v>全日</x:v>
      </x:c>
      <x:c r="H398" s="19" t="str">
        <x:v>D14</x:v>
      </x:c>
      <x:c r="I398" s="19" t="str">
        <x:v>酸辣鸡杂</x:v>
      </x:c>
      <x:c r="J398" s="22" t="n">
        <x:f>XLOOKUP(H398,'菜品主数据'!$A$5:$A$24,'菜品主数据'!$D$5:$D$24,0)</x:f>
        <x:v>28</x:v>
      </x:c>
      <x:c r="K398" s="31" t="n">
        <x:v>0</x:v>
      </x:c>
      <x:c r="L398" s="35" t="n">
        <x:f>J398*K398</x:f>
        <x:v>0</x:v>
      </x:c>
      <x:c r="M398" s="36" t="n">
        <x:v>0.08</x:v>
      </x:c>
      <x:c r="N398" s="35" t="n">
        <x:f>L398*M398</x:f>
        <x:v>0</x:v>
      </x:c>
      <x:c r="O398" s="37" t="n">
        <x:v>0.18</x:v>
      </x:c>
      <x:c r="P398" s="35" t="n">
        <x:f>L398*O398</x:f>
        <x:v>0</x:v>
      </x:c>
      <x:c r="Q398" s="35" t="n">
        <x:v>1.2</x:v>
      </x:c>
      <x:c r="R398" s="35" t="n">
        <x:f>K398*Q398</x:f>
        <x:v>0</x:v>
      </x:c>
      <x:c r="S398" s="35" t="n">
        <x:f>XLOOKUP(H398,'菜品主数据'!$A$5:$A$24,'菜品主数据'!$G$5:$G$24,0)</x:f>
        <x:v>8.315000000000001</x:v>
      </x:c>
      <x:c r="T398" s="35" t="n">
        <x:f>K398*S398</x:f>
        <x:v>0</x:v>
      </x:c>
      <x:c r="U398" s="35" t="n">
        <x:f>L398-N398-P398-R398-T398</x:f>
        <x:v>0</x:v>
      </x:c>
      <x:c r="V398" s="21" t="n">
        <x:f>IFERROR(U398/L398,0)</x:f>
        <x:v>0</x:v>
      </x:c>
    </x:row>
    <x:row r="399">
      <x:c r="A399" s="19" t="str">
        <x:v>SALE-00395</x:v>
      </x:c>
      <x:c r="B399" s="34" t="n">
        <x:v>46212.5</x:v>
      </x:c>
      <x:c r="C399" s="19" t="str">
        <x:v>周四</x:v>
      </x:c>
      <x:c r="D399" s="19" t="str">
        <x:v>S02</x:v>
      </x:c>
      <x:c r="E399" s="19" t="str">
        <x:v>尊宝大厦店</x:v>
      </x:c>
      <x:c r="F399" s="19" t="str">
        <x:v>外卖</x:v>
      </x:c>
      <x:c r="G399" s="19" t="str">
        <x:v>全日</x:v>
      </x:c>
      <x:c r="H399" s="19" t="str">
        <x:v>D15</x:v>
      </x:c>
      <x:c r="I399" s="19" t="str">
        <x:v>湘西土匪猪肝</x:v>
      </x:c>
      <x:c r="J399" s="22" t="n">
        <x:f>XLOOKUP(H399,'菜品主数据'!$A$5:$A$24,'菜品主数据'!$D$5:$D$24,0)</x:f>
        <x:v>26</x:v>
      </x:c>
      <x:c r="K399" s="31" t="n">
        <x:v>0</x:v>
      </x:c>
      <x:c r="L399" s="35" t="n">
        <x:f>J399*K399</x:f>
        <x:v>0</x:v>
      </x:c>
      <x:c r="M399" s="36" t="n">
        <x:v>0.08</x:v>
      </x:c>
      <x:c r="N399" s="35" t="n">
        <x:f>L399*M399</x:f>
        <x:v>0</x:v>
      </x:c>
      <x:c r="O399" s="37" t="n">
        <x:v>0.18</x:v>
      </x:c>
      <x:c r="P399" s="35" t="n">
        <x:f>L399*O399</x:f>
        <x:v>0</x:v>
      </x:c>
      <x:c r="Q399" s="35" t="n">
        <x:v>1.2</x:v>
      </x:c>
      <x:c r="R399" s="35" t="n">
        <x:f>K399*Q399</x:f>
        <x:v>0</x:v>
      </x:c>
      <x:c r="S399" s="35" t="n">
        <x:f>XLOOKUP(H399,'菜品主数据'!$A$5:$A$24,'菜品主数据'!$G$5:$G$24,0)</x:f>
        <x:v>6.3759999999999994</x:v>
      </x:c>
      <x:c r="T399" s="35" t="n">
        <x:f>K399*S399</x:f>
        <x:v>0</x:v>
      </x:c>
      <x:c r="U399" s="35" t="n">
        <x:f>L399-N399-P399-R399-T399</x:f>
        <x:v>0</x:v>
      </x:c>
      <x:c r="V399" s="21" t="n">
        <x:f>IFERROR(U399/L399,0)</x:f>
        <x:v>0</x:v>
      </x:c>
    </x:row>
    <x:row r="400">
      <x:c r="A400" s="19" t="str">
        <x:v>SALE-00396</x:v>
      </x:c>
      <x:c r="B400" s="34" t="n">
        <x:v>46212.5</x:v>
      </x:c>
      <x:c r="C400" s="19" t="str">
        <x:v>周四</x:v>
      </x:c>
      <x:c r="D400" s="19" t="str">
        <x:v>S02</x:v>
      </x:c>
      <x:c r="E400" s="19" t="str">
        <x:v>尊宝大厦店</x:v>
      </x:c>
      <x:c r="F400" s="19" t="str">
        <x:v>外卖</x:v>
      </x:c>
      <x:c r="G400" s="19" t="str">
        <x:v>全日</x:v>
      </x:c>
      <x:c r="H400" s="19" t="str">
        <x:v>D16</x:v>
      </x:c>
      <x:c r="I400" s="19" t="str">
        <x:v>小豆角炒五花</x:v>
      </x:c>
      <x:c r="J400" s="22" t="n">
        <x:f>XLOOKUP(H400,'菜品主数据'!$A$5:$A$24,'菜品主数据'!$D$5:$D$24,0)</x:f>
        <x:v>25</x:v>
      </x:c>
      <x:c r="K400" s="31" t="n">
        <x:v>0</x:v>
      </x:c>
      <x:c r="L400" s="35" t="n">
        <x:f>J400*K400</x:f>
        <x:v>0</x:v>
      </x:c>
      <x:c r="M400" s="36" t="n">
        <x:v>0.08</x:v>
      </x:c>
      <x:c r="N400" s="35" t="n">
        <x:f>L400*M400</x:f>
        <x:v>0</x:v>
      </x:c>
      <x:c r="O400" s="37" t="n">
        <x:v>0.18</x:v>
      </x:c>
      <x:c r="P400" s="35" t="n">
        <x:f>L400*O400</x:f>
        <x:v>0</x:v>
      </x:c>
      <x:c r="Q400" s="35" t="n">
        <x:v>1.2</x:v>
      </x:c>
      <x:c r="R400" s="35" t="n">
        <x:f>K400*Q400</x:f>
        <x:v>0</x:v>
      </x:c>
      <x:c r="S400" s="35" t="n">
        <x:f>XLOOKUP(H400,'菜品主数据'!$A$5:$A$24,'菜品主数据'!$G$5:$G$24,0)</x:f>
        <x:v>8.184</x:v>
      </x:c>
      <x:c r="T400" s="35" t="n">
        <x:f>K400*S400</x:f>
        <x:v>0</x:v>
      </x:c>
      <x:c r="U400" s="35" t="n">
        <x:f>L400-N400-P400-R400-T400</x:f>
        <x:v>0</x:v>
      </x:c>
      <x:c r="V400" s="21" t="n">
        <x:f>IFERROR(U400/L400,0)</x:f>
        <x:v>0</x:v>
      </x:c>
    </x:row>
    <x:row r="401">
      <x:c r="A401" s="19" t="str">
        <x:v>SALE-00397</x:v>
      </x:c>
      <x:c r="B401" s="34" t="n">
        <x:v>46212.5</x:v>
      </x:c>
      <x:c r="C401" s="19" t="str">
        <x:v>周四</x:v>
      </x:c>
      <x:c r="D401" s="19" t="str">
        <x:v>S02</x:v>
      </x:c>
      <x:c r="E401" s="19" t="str">
        <x:v>尊宝大厦店</x:v>
      </x:c>
      <x:c r="F401" s="19" t="str">
        <x:v>外卖</x:v>
      </x:c>
      <x:c r="G401" s="19" t="str">
        <x:v>全日</x:v>
      </x:c>
      <x:c r="H401" s="19" t="str">
        <x:v>D17</x:v>
      </x:c>
      <x:c r="I401" s="19" t="str">
        <x:v>蒜蓉粉丝虾</x:v>
      </x:c>
      <x:c r="J401" s="22" t="n">
        <x:f>XLOOKUP(H401,'菜品主数据'!$A$5:$A$24,'菜品主数据'!$D$5:$D$24,0)</x:f>
        <x:v>36</x:v>
      </x:c>
      <x:c r="K401" s="31" t="n">
        <x:v>0</x:v>
      </x:c>
      <x:c r="L401" s="35" t="n">
        <x:f>J401*K401</x:f>
        <x:v>0</x:v>
      </x:c>
      <x:c r="M401" s="36" t="n">
        <x:v>0.08</x:v>
      </x:c>
      <x:c r="N401" s="35" t="n">
        <x:f>L401*M401</x:f>
        <x:v>0</x:v>
      </x:c>
      <x:c r="O401" s="37" t="n">
        <x:v>0.18</x:v>
      </x:c>
      <x:c r="P401" s="35" t="n">
        <x:f>L401*O401</x:f>
        <x:v>0</x:v>
      </x:c>
      <x:c r="Q401" s="35" t="n">
        <x:v>1.2</x:v>
      </x:c>
      <x:c r="R401" s="35" t="n">
        <x:f>K401*Q401</x:f>
        <x:v>0</x:v>
      </x:c>
      <x:c r="S401" s="35" t="n">
        <x:f>XLOOKUP(H401,'菜品主数据'!$A$5:$A$24,'菜品主数据'!$G$5:$G$24,0)</x:f>
        <x:v>13.594</x:v>
      </x:c>
      <x:c r="T401" s="35" t="n">
        <x:f>K401*S401</x:f>
        <x:v>0</x:v>
      </x:c>
      <x:c r="U401" s="35" t="n">
        <x:f>L401-N401-P401-R401-T401</x:f>
        <x:v>0</x:v>
      </x:c>
      <x:c r="V401" s="21" t="n">
        <x:f>IFERROR(U401/L401,0)</x:f>
        <x:v>0</x:v>
      </x:c>
    </x:row>
    <x:row r="402">
      <x:c r="A402" s="19" t="str">
        <x:v>SALE-00398</x:v>
      </x:c>
      <x:c r="B402" s="34" t="n">
        <x:v>46212.5</x:v>
      </x:c>
      <x:c r="C402" s="19" t="str">
        <x:v>周四</x:v>
      </x:c>
      <x:c r="D402" s="19" t="str">
        <x:v>S02</x:v>
      </x:c>
      <x:c r="E402" s="19" t="str">
        <x:v>尊宝大厦店</x:v>
      </x:c>
      <x:c r="F402" s="19" t="str">
        <x:v>外卖</x:v>
      </x:c>
      <x:c r="G402" s="19" t="str">
        <x:v>全日</x:v>
      </x:c>
      <x:c r="H402" s="19" t="str">
        <x:v>D18</x:v>
      </x:c>
      <x:c r="I402" s="19" t="str">
        <x:v>青椒炒油麦菜</x:v>
      </x:c>
      <x:c r="J402" s="22" t="n">
        <x:f>XLOOKUP(H402,'菜品主数据'!$A$5:$A$24,'菜品主数据'!$D$5:$D$24,0)</x:f>
        <x:v>18</x:v>
      </x:c>
      <x:c r="K402" s="31" t="n">
        <x:v>1</x:v>
      </x:c>
      <x:c r="L402" s="35" t="n">
        <x:f>J402*K402</x:f>
        <x:v>18</x:v>
      </x:c>
      <x:c r="M402" s="36" t="n">
        <x:v>0.08</x:v>
      </x:c>
      <x:c r="N402" s="35" t="n">
        <x:f>L402*M402</x:f>
        <x:v>1.44</x:v>
      </x:c>
      <x:c r="O402" s="37" t="n">
        <x:v>0.18</x:v>
      </x:c>
      <x:c r="P402" s="35" t="n">
        <x:f>L402*O402</x:f>
        <x:v>3.2399999999999998</x:v>
      </x:c>
      <x:c r="Q402" s="35" t="n">
        <x:v>1.2</x:v>
      </x:c>
      <x:c r="R402" s="35" t="n">
        <x:f>K402*Q402</x:f>
        <x:v>1.2</x:v>
      </x:c>
      <x:c r="S402" s="35" t="n">
        <x:f>XLOOKUP(H402,'菜品主数据'!$A$5:$A$24,'菜品主数据'!$G$5:$G$24,0)</x:f>
        <x:v>3.1759999999999993</x:v>
      </x:c>
      <x:c r="T402" s="35" t="n">
        <x:f>K402*S402</x:f>
        <x:v>3.1759999999999993</x:v>
      </x:c>
      <x:c r="U402" s="35" t="n">
        <x:f>L402-N402-P402-R402-T402</x:f>
        <x:v>8.943999999999999</x:v>
      </x:c>
      <x:c r="V402" s="21" t="n">
        <x:f>IFERROR(U402/L402,0)</x:f>
        <x:v>0.4968888888888888</x:v>
      </x:c>
    </x:row>
    <x:row r="403">
      <x:c r="A403" s="19" t="str">
        <x:v>SALE-00399</x:v>
      </x:c>
      <x:c r="B403" s="34" t="n">
        <x:v>46212.5</x:v>
      </x:c>
      <x:c r="C403" s="19" t="str">
        <x:v>周四</x:v>
      </x:c>
      <x:c r="D403" s="19" t="str">
        <x:v>S02</x:v>
      </x:c>
      <x:c r="E403" s="19" t="str">
        <x:v>尊宝大厦店</x:v>
      </x:c>
      <x:c r="F403" s="19" t="str">
        <x:v>外卖</x:v>
      </x:c>
      <x:c r="G403" s="19" t="str">
        <x:v>全日</x:v>
      </x:c>
      <x:c r="H403" s="19" t="str">
        <x:v>D19</x:v>
      </x:c>
      <x:c r="I403" s="19" t="str">
        <x:v>酸萝卜炒鸡杂</x:v>
      </x:c>
      <x:c r="J403" s="22" t="n">
        <x:f>XLOOKUP(H403,'菜品主数据'!$A$5:$A$24,'菜品主数据'!$D$5:$D$24,0)</x:f>
        <x:v>25</x:v>
      </x:c>
      <x:c r="K403" s="31" t="n">
        <x:v>0</x:v>
      </x:c>
      <x:c r="L403" s="35" t="n">
        <x:f>J403*K403</x:f>
        <x:v>0</x:v>
      </x:c>
      <x:c r="M403" s="36" t="n">
        <x:v>0.08</x:v>
      </x:c>
      <x:c r="N403" s="35" t="n">
        <x:f>L403*M403</x:f>
        <x:v>0</x:v>
      </x:c>
      <x:c r="O403" s="37" t="n">
        <x:v>0.18</x:v>
      </x:c>
      <x:c r="P403" s="35" t="n">
        <x:f>L403*O403</x:f>
        <x:v>0</x:v>
      </x:c>
      <x:c r="Q403" s="35" t="n">
        <x:v>1.2</x:v>
      </x:c>
      <x:c r="R403" s="35" t="n">
        <x:f>K403*Q403</x:f>
        <x:v>0</x:v>
      </x:c>
      <x:c r="S403" s="35" t="n">
        <x:f>XLOOKUP(H403,'菜品主数据'!$A$5:$A$24,'菜品主数据'!$G$5:$G$24,0)</x:f>
        <x:v>7.9399999999999995</x:v>
      </x:c>
      <x:c r="T403" s="35" t="n">
        <x:f>K403*S403</x:f>
        <x:v>0</x:v>
      </x:c>
      <x:c r="U403" s="35" t="n">
        <x:f>L403-N403-P403-R403-T403</x:f>
        <x:v>0</x:v>
      </x:c>
      <x:c r="V403" s="21" t="n">
        <x:f>IFERROR(U403/L403,0)</x:f>
        <x:v>0</x:v>
      </x:c>
    </x:row>
    <x:row r="404">
      <x:c r="A404" s="19" t="str">
        <x:v>SALE-00400</x:v>
      </x:c>
      <x:c r="B404" s="34" t="n">
        <x:v>46212.5</x:v>
      </x:c>
      <x:c r="C404" s="19" t="str">
        <x:v>周四</x:v>
      </x:c>
      <x:c r="D404" s="19" t="str">
        <x:v>S02</x:v>
      </x:c>
      <x:c r="E404" s="19" t="str">
        <x:v>尊宝大厦店</x:v>
      </x:c>
      <x:c r="F404" s="19" t="str">
        <x:v>外卖</x:v>
      </x:c>
      <x:c r="G404" s="19" t="str">
        <x:v>全日</x:v>
      </x:c>
      <x:c r="H404" s="19" t="str">
        <x:v>D20</x:v>
      </x:c>
      <x:c r="I404" s="19" t="str">
        <x:v>雪菜肉末青豆</x:v>
      </x:c>
      <x:c r="J404" s="22" t="n">
        <x:f>XLOOKUP(H404,'菜品主数据'!$A$5:$A$24,'菜品主数据'!$D$5:$D$24,0)</x:f>
        <x:v>18</x:v>
      </x:c>
      <x:c r="K404" s="31" t="n">
        <x:v>1</x:v>
      </x:c>
      <x:c r="L404" s="35" t="n">
        <x:f>J404*K404</x:f>
        <x:v>18</x:v>
      </x:c>
      <x:c r="M404" s="36" t="n">
        <x:v>0.08</x:v>
      </x:c>
      <x:c r="N404" s="35" t="n">
        <x:f>L404*M404</x:f>
        <x:v>1.44</x:v>
      </x:c>
      <x:c r="O404" s="37" t="n">
        <x:v>0.18</x:v>
      </x:c>
      <x:c r="P404" s="35" t="n">
        <x:f>L404*O404</x:f>
        <x:v>3.2399999999999998</x:v>
      </x:c>
      <x:c r="Q404" s="35" t="n">
        <x:v>1.2</x:v>
      </x:c>
      <x:c r="R404" s="35" t="n">
        <x:f>K404*Q404</x:f>
        <x:v>1.2</x:v>
      </x:c>
      <x:c r="S404" s="35" t="n">
        <x:f>XLOOKUP(H404,'菜品主数据'!$A$5:$A$24,'菜品主数据'!$G$5:$G$24,0)</x:f>
        <x:v>7.303999999999999</x:v>
      </x:c>
      <x:c r="T404" s="35" t="n">
        <x:f>K404*S404</x:f>
        <x:v>7.303999999999999</x:v>
      </x:c>
      <x:c r="U404" s="35" t="n">
        <x:f>L404-N404-P404-R404-T404</x:f>
        <x:v>4.816</x:v>
      </x:c>
      <x:c r="V404" s="21" t="n">
        <x:f>IFERROR(U404/L404,0)</x:f>
        <x:v>0.26755555555555555</x:v>
      </x:c>
    </x:row>
    <x:row r="405">
      <x:c r="A405" s="19" t="str">
        <x:v>SALE-00401</x:v>
      </x:c>
      <x:c r="B405" s="34" t="n">
        <x:v>46213.5</x:v>
      </x:c>
      <x:c r="C405" s="19" t="str">
        <x:v>周五</x:v>
      </x:c>
      <x:c r="D405" s="19" t="str">
        <x:v>S02</x:v>
      </x:c>
      <x:c r="E405" s="19" t="str">
        <x:v>尊宝大厦店</x:v>
      </x:c>
      <x:c r="F405" s="19" t="str">
        <x:v>堂食</x:v>
      </x:c>
      <x:c r="G405" s="19" t="str">
        <x:v>全日</x:v>
      </x:c>
      <x:c r="H405" s="19" t="str">
        <x:v>D01</x:v>
      </x:c>
      <x:c r="I405" s="19" t="str">
        <x:v>辣椒炒肉</x:v>
      </x:c>
      <x:c r="J405" s="22" t="n">
        <x:f>XLOOKUP(H405,'菜品主数据'!$A$5:$A$24,'菜品主数据'!$D$5:$D$24,0)</x:f>
        <x:v>29</x:v>
      </x:c>
      <x:c r="K405" s="31" t="n">
        <x:v>51</x:v>
      </x:c>
      <x:c r="L405" s="35" t="n">
        <x:f>J405*K405</x:f>
        <x:v>1479</x:v>
      </x:c>
      <x:c r="M405" s="36" t="n">
        <x:v>0</x:v>
      </x:c>
      <x:c r="N405" s="35" t="n">
        <x:f>L405*M405</x:f>
        <x:v>0</x:v>
      </x:c>
      <x:c r="O405" s="37" t="n">
        <x:v>0</x:v>
      </x:c>
      <x:c r="P405" s="35" t="n">
        <x:f>L405*O405</x:f>
        <x:v>0</x:v>
      </x:c>
      <x:c r="Q405" s="35" t="n">
        <x:v>0</x:v>
      </x:c>
      <x:c r="R405" s="35" t="n">
        <x:f>K405*Q405</x:f>
        <x:v>0</x:v>
      </x:c>
      <x:c r="S405" s="35" t="n">
        <x:f>XLOOKUP(H405,'菜品主数据'!$A$5:$A$24,'菜品主数据'!$G$5:$G$24,0)</x:f>
        <x:v>8.634400000000001</x:v>
      </x:c>
      <x:c r="T405" s="35" t="n">
        <x:f>K405*S405</x:f>
        <x:v>440.35440000000006</x:v>
      </x:c>
      <x:c r="U405" s="35" t="n">
        <x:f>L405-N405-P405-R405-T405</x:f>
        <x:v>1038.6455999999998</x:v>
      </x:c>
      <x:c r="V405" s="21" t="n">
        <x:f>IFERROR(U405/L405,0)</x:f>
        <x:v>0.7022620689655171</x:v>
      </x:c>
    </x:row>
    <x:row r="406">
      <x:c r="A406" s="19" t="str">
        <x:v>SALE-00402</x:v>
      </x:c>
      <x:c r="B406" s="34" t="n">
        <x:v>46213.5</x:v>
      </x:c>
      <x:c r="C406" s="19" t="str">
        <x:v>周五</x:v>
      </x:c>
      <x:c r="D406" s="19" t="str">
        <x:v>S02</x:v>
      </x:c>
      <x:c r="E406" s="19" t="str">
        <x:v>尊宝大厦店</x:v>
      </x:c>
      <x:c r="F406" s="19" t="str">
        <x:v>堂食</x:v>
      </x:c>
      <x:c r="G406" s="19" t="str">
        <x:v>全日</x:v>
      </x:c>
      <x:c r="H406" s="19" t="str">
        <x:v>D02</x:v>
      </x:c>
      <x:c r="I406" s="19" t="str">
        <x:v>小炒黄牛肉</x:v>
      </x:c>
      <x:c r="J406" s="22" t="n">
        <x:f>XLOOKUP(H406,'菜品主数据'!$A$5:$A$24,'菜品主数据'!$D$5:$D$24,0)</x:f>
        <x:v>49</x:v>
      </x:c>
      <x:c r="K406" s="31" t="n">
        <x:v>25</x:v>
      </x:c>
      <x:c r="L406" s="35" t="n">
        <x:f>J406*K406</x:f>
        <x:v>1225</x:v>
      </x:c>
      <x:c r="M406" s="36" t="n">
        <x:v>0</x:v>
      </x:c>
      <x:c r="N406" s="35" t="n">
        <x:f>L406*M406</x:f>
        <x:v>0</x:v>
      </x:c>
      <x:c r="O406" s="37" t="n">
        <x:v>0</x:v>
      </x:c>
      <x:c r="P406" s="35" t="n">
        <x:f>L406*O406</x:f>
        <x:v>0</x:v>
      </x:c>
      <x:c r="Q406" s="35" t="n">
        <x:v>0</x:v>
      </x:c>
      <x:c r="R406" s="35" t="n">
        <x:f>K406*Q406</x:f>
        <x:v>0</x:v>
      </x:c>
      <x:c r="S406" s="35" t="n">
        <x:f>XLOOKUP(H406,'菜品主数据'!$A$5:$A$24,'菜品主数据'!$G$5:$G$24,0)</x:f>
        <x:v>17.577</x:v>
      </x:c>
      <x:c r="T406" s="35" t="n">
        <x:f>K406*S406</x:f>
        <x:v>439.42500000000007</x:v>
      </x:c>
      <x:c r="U406" s="35" t="n">
        <x:f>L406-N406-P406-R406-T406</x:f>
        <x:v>785.5749999999999</x:v>
      </x:c>
      <x:c r="V406" s="21" t="n">
        <x:f>IFERROR(U406/L406,0)</x:f>
        <x:v>0.6412857142857142</x:v>
      </x:c>
    </x:row>
    <x:row r="407">
      <x:c r="A407" s="19" t="str">
        <x:v>SALE-00403</x:v>
      </x:c>
      <x:c r="B407" s="34" t="n">
        <x:v>46213.5</x:v>
      </x:c>
      <x:c r="C407" s="19" t="str">
        <x:v>周五</x:v>
      </x:c>
      <x:c r="D407" s="19" t="str">
        <x:v>S02</x:v>
      </x:c>
      <x:c r="E407" s="19" t="str">
        <x:v>尊宝大厦店</x:v>
      </x:c>
      <x:c r="F407" s="19" t="str">
        <x:v>堂食</x:v>
      </x:c>
      <x:c r="G407" s="19" t="str">
        <x:v>全日</x:v>
      </x:c>
      <x:c r="H407" s="19" t="str">
        <x:v>D03</x:v>
      </x:c>
      <x:c r="I407" s="19" t="str">
        <x:v>香醋炒蛋</x:v>
      </x:c>
      <x:c r="J407" s="22" t="n">
        <x:f>XLOOKUP(H407,'菜品主数据'!$A$5:$A$24,'菜品主数据'!$D$5:$D$24,0)</x:f>
        <x:v>14.9</x:v>
      </x:c>
      <x:c r="K407" s="31" t="n">
        <x:v>40</x:v>
      </x:c>
      <x:c r="L407" s="35" t="n">
        <x:f>J407*K407</x:f>
        <x:v>596</x:v>
      </x:c>
      <x:c r="M407" s="36" t="n">
        <x:v>0</x:v>
      </x:c>
      <x:c r="N407" s="35" t="n">
        <x:f>L407*M407</x:f>
        <x:v>0</x:v>
      </x:c>
      <x:c r="O407" s="37" t="n">
        <x:v>0</x:v>
      </x:c>
      <x:c r="P407" s="35" t="n">
        <x:f>L407*O407</x:f>
        <x:v>0</x:v>
      </x:c>
      <x:c r="Q407" s="35" t="n">
        <x:v>0</x:v>
      </x:c>
      <x:c r="R407" s="35" t="n">
        <x:f>K407*Q407</x:f>
        <x:v>0</x:v>
      </x:c>
      <x:c r="S407" s="35" t="n">
        <x:f>XLOOKUP(H407,'菜品主数据'!$A$5:$A$24,'菜品主数据'!$G$5:$G$24,0)</x:f>
        <x:v>3.7459999999999996</x:v>
      </x:c>
      <x:c r="T407" s="35" t="n">
        <x:f>K407*S407</x:f>
        <x:v>149.83999999999997</x:v>
      </x:c>
      <x:c r="U407" s="35" t="n">
        <x:f>L407-N407-P407-R407-T407</x:f>
        <x:v>446.16</x:v>
      </x:c>
      <x:c r="V407" s="21" t="n">
        <x:f>IFERROR(U407/L407,0)</x:f>
        <x:v>0.7485906040268456</x:v>
      </x:c>
    </x:row>
    <x:row r="408">
      <x:c r="A408" s="19" t="str">
        <x:v>SALE-00404</x:v>
      </x:c>
      <x:c r="B408" s="34" t="n">
        <x:v>46213.5</x:v>
      </x:c>
      <x:c r="C408" s="19" t="str">
        <x:v>周五</x:v>
      </x:c>
      <x:c r="D408" s="19" t="str">
        <x:v>S02</x:v>
      </x:c>
      <x:c r="E408" s="19" t="str">
        <x:v>尊宝大厦店</x:v>
      </x:c>
      <x:c r="F408" s="19" t="str">
        <x:v>堂食</x:v>
      </x:c>
      <x:c r="G408" s="19" t="str">
        <x:v>全日</x:v>
      </x:c>
      <x:c r="H408" s="19" t="str">
        <x:v>D04</x:v>
      </x:c>
      <x:c r="I408" s="19" t="str">
        <x:v>酸包菜炒粉皮</x:v>
      </x:c>
      <x:c r="J408" s="22" t="n">
        <x:f>XLOOKUP(H408,'菜品主数据'!$A$5:$A$24,'菜品主数据'!$D$5:$D$24,0)</x:f>
        <x:v>16</x:v>
      </x:c>
      <x:c r="K408" s="31" t="n">
        <x:v>38</x:v>
      </x:c>
      <x:c r="L408" s="35" t="n">
        <x:f>J408*K408</x:f>
        <x:v>608</x:v>
      </x:c>
      <x:c r="M408" s="36" t="n">
        <x:v>0</x:v>
      </x:c>
      <x:c r="N408" s="35" t="n">
        <x:f>L408*M408</x:f>
        <x:v>0</x:v>
      </x:c>
      <x:c r="O408" s="37" t="n">
        <x:v>0</x:v>
      </x:c>
      <x:c r="P408" s="35" t="n">
        <x:f>L408*O408</x:f>
        <x:v>0</x:v>
      </x:c>
      <x:c r="Q408" s="35" t="n">
        <x:v>0</x:v>
      </x:c>
      <x:c r="R408" s="35" t="n">
        <x:f>K408*Q408</x:f>
        <x:v>0</x:v>
      </x:c>
      <x:c r="S408" s="35" t="n">
        <x:f>XLOOKUP(H408,'菜品主数据'!$A$5:$A$24,'菜品主数据'!$G$5:$G$24,0)</x:f>
        <x:v>3.978</x:v>
      </x:c>
      <x:c r="T408" s="35" t="n">
        <x:f>K408*S408</x:f>
        <x:v>151.16400000000002</x:v>
      </x:c>
      <x:c r="U408" s="35" t="n">
        <x:f>L408-N408-P408-R408-T408</x:f>
        <x:v>456.836</x:v>
      </x:c>
      <x:c r="V408" s="21" t="n">
        <x:f>IFERROR(U408/L408,0)</x:f>
        <x:v>0.751375</x:v>
      </x:c>
    </x:row>
    <x:row r="409">
      <x:c r="A409" s="19" t="str">
        <x:v>SALE-00405</x:v>
      </x:c>
      <x:c r="B409" s="34" t="n">
        <x:v>46213.5</x:v>
      </x:c>
      <x:c r="C409" s="19" t="str">
        <x:v>周五</x:v>
      </x:c>
      <x:c r="D409" s="19" t="str">
        <x:v>S02</x:v>
      </x:c>
      <x:c r="E409" s="19" t="str">
        <x:v>尊宝大厦店</x:v>
      </x:c>
      <x:c r="F409" s="19" t="str">
        <x:v>堂食</x:v>
      </x:c>
      <x:c r="G409" s="19" t="str">
        <x:v>全日</x:v>
      </x:c>
      <x:c r="H409" s="19" t="str">
        <x:v>D05</x:v>
      </x:c>
      <x:c r="I409" s="19" t="str">
        <x:v>麻婆豆腐</x:v>
      </x:c>
      <x:c r="J409" s="22" t="n">
        <x:f>XLOOKUP(H409,'菜品主数据'!$A$5:$A$24,'菜品主数据'!$D$5:$D$24,0)</x:f>
        <x:v>9.9</x:v>
      </x:c>
      <x:c r="K409" s="31" t="n">
        <x:v>52</x:v>
      </x:c>
      <x:c r="L409" s="35" t="n">
        <x:f>J409*K409</x:f>
        <x:v>514.8000000000001</x:v>
      </x:c>
      <x:c r="M409" s="36" t="n">
        <x:v>0</x:v>
      </x:c>
      <x:c r="N409" s="35" t="n">
        <x:f>L409*M409</x:f>
        <x:v>0</x:v>
      </x:c>
      <x:c r="O409" s="37" t="n">
        <x:v>0</x:v>
      </x:c>
      <x:c r="P409" s="35" t="n">
        <x:f>L409*O409</x:f>
        <x:v>0</x:v>
      </x:c>
      <x:c r="Q409" s="35" t="n">
        <x:v>0</x:v>
      </x:c>
      <x:c r="R409" s="35" t="n">
        <x:f>K409*Q409</x:f>
        <x:v>0</x:v>
      </x:c>
      <x:c r="S409" s="35" t="n">
        <x:f>XLOOKUP(H409,'菜品主数据'!$A$5:$A$24,'菜品主数据'!$G$5:$G$24,0)</x:f>
        <x:v>5.367000000000001</x:v>
      </x:c>
      <x:c r="T409" s="35" t="n">
        <x:f>K409*S409</x:f>
        <x:v>279.08400000000006</x:v>
      </x:c>
      <x:c r="U409" s="35" t="n">
        <x:f>L409-N409-P409-R409-T409</x:f>
        <x:v>235.716</x:v>
      </x:c>
      <x:c r="V409" s="21" t="n">
        <x:f>IFERROR(U409/L409,0)</x:f>
        <x:v>0.45787878787878783</x:v>
      </x:c>
    </x:row>
    <x:row r="410">
      <x:c r="A410" s="19" t="str">
        <x:v>SALE-00406</x:v>
      </x:c>
      <x:c r="B410" s="34" t="n">
        <x:v>46213.5</x:v>
      </x:c>
      <x:c r="C410" s="19" t="str">
        <x:v>周五</x:v>
      </x:c>
      <x:c r="D410" s="19" t="str">
        <x:v>S02</x:v>
      </x:c>
      <x:c r="E410" s="19" t="str">
        <x:v>尊宝大厦店</x:v>
      </x:c>
      <x:c r="F410" s="19" t="str">
        <x:v>堂食</x:v>
      </x:c>
      <x:c r="G410" s="19" t="str">
        <x:v>全日</x:v>
      </x:c>
      <x:c r="H410" s="19" t="str">
        <x:v>D06</x:v>
      </x:c>
      <x:c r="I410" s="19" t="str">
        <x:v>剁椒鱼头</x:v>
      </x:c>
      <x:c r="J410" s="22" t="n">
        <x:f>XLOOKUP(H410,'菜品主数据'!$A$5:$A$24,'菜品主数据'!$D$5:$D$24,0)</x:f>
        <x:v>39</x:v>
      </x:c>
      <x:c r="K410" s="31" t="n">
        <x:v>13</x:v>
      </x:c>
      <x:c r="L410" s="35" t="n">
        <x:f>J410*K410</x:f>
        <x:v>507</x:v>
      </x:c>
      <x:c r="M410" s="36" t="n">
        <x:v>0</x:v>
      </x:c>
      <x:c r="N410" s="35" t="n">
        <x:f>L410*M410</x:f>
        <x:v>0</x:v>
      </x:c>
      <x:c r="O410" s="37" t="n">
        <x:v>0</x:v>
      </x:c>
      <x:c r="P410" s="35" t="n">
        <x:f>L410*O410</x:f>
        <x:v>0</x:v>
      </x:c>
      <x:c r="Q410" s="35" t="n">
        <x:v>0</x:v>
      </x:c>
      <x:c r="R410" s="35" t="n">
        <x:f>K410*Q410</x:f>
        <x:v>0</x:v>
      </x:c>
      <x:c r="S410" s="35" t="n">
        <x:f>XLOOKUP(H410,'菜品主数据'!$A$5:$A$24,'菜品主数据'!$G$5:$G$24,0)</x:f>
        <x:v>17.446</x:v>
      </x:c>
      <x:c r="T410" s="35" t="n">
        <x:f>K410*S410</x:f>
        <x:v>226.79800000000003</x:v>
      </x:c>
      <x:c r="U410" s="35" t="n">
        <x:f>L410-N410-P410-R410-T410</x:f>
        <x:v>280.202</x:v>
      </x:c>
      <x:c r="V410" s="21" t="n">
        <x:f>IFERROR(U410/L410,0)</x:f>
        <x:v>0.5526666666666666</x:v>
      </x:c>
    </x:row>
    <x:row r="411">
      <x:c r="A411" s="19" t="str">
        <x:v>SALE-00407</x:v>
      </x:c>
      <x:c r="B411" s="34" t="n">
        <x:v>46213.5</x:v>
      </x:c>
      <x:c r="C411" s="19" t="str">
        <x:v>周五</x:v>
      </x:c>
      <x:c r="D411" s="19" t="str">
        <x:v>S02</x:v>
      </x:c>
      <x:c r="E411" s="19" t="str">
        <x:v>尊宝大厦店</x:v>
      </x:c>
      <x:c r="F411" s="19" t="str">
        <x:v>堂食</x:v>
      </x:c>
      <x:c r="G411" s="19" t="str">
        <x:v>全日</x:v>
      </x:c>
      <x:c r="H411" s="19" t="str">
        <x:v>D07</x:v>
      </x:c>
      <x:c r="I411" s="19" t="str">
        <x:v>川味回锅肉</x:v>
      </x:c>
      <x:c r="J411" s="22" t="n">
        <x:f>XLOOKUP(H411,'菜品主数据'!$A$5:$A$24,'菜品主数据'!$D$5:$D$24,0)</x:f>
        <x:v>29</x:v>
      </x:c>
      <x:c r="K411" s="31" t="n">
        <x:v>15</x:v>
      </x:c>
      <x:c r="L411" s="35" t="n">
        <x:f>J411*K411</x:f>
        <x:v>435</x:v>
      </x:c>
      <x:c r="M411" s="36" t="n">
        <x:v>0</x:v>
      </x:c>
      <x:c r="N411" s="35" t="n">
        <x:f>L411*M411</x:f>
        <x:v>0</x:v>
      </x:c>
      <x:c r="O411" s="37" t="n">
        <x:v>0</x:v>
      </x:c>
      <x:c r="P411" s="35" t="n">
        <x:f>L411*O411</x:f>
        <x:v>0</x:v>
      </x:c>
      <x:c r="Q411" s="35" t="n">
        <x:v>0</x:v>
      </x:c>
      <x:c r="R411" s="35" t="n">
        <x:f>K411*Q411</x:f>
        <x:v>0</x:v>
      </x:c>
      <x:c r="S411" s="35" t="n">
        <x:f>XLOOKUP(H411,'菜品主数据'!$A$5:$A$24,'菜品主数据'!$G$5:$G$24,0)</x:f>
        <x:v>10.231000000000002</x:v>
      </x:c>
      <x:c r="T411" s="35" t="n">
        <x:f>K411*S411</x:f>
        <x:v>153.46500000000003</x:v>
      </x:c>
      <x:c r="U411" s="35" t="n">
        <x:f>L411-N411-P411-R411-T411</x:f>
        <x:v>281.53499999999997</x:v>
      </x:c>
      <x:c r="V411" s="21" t="n">
        <x:f>IFERROR(U411/L411,0)</x:f>
        <x:v>0.647206896551724</x:v>
      </x:c>
    </x:row>
    <x:row r="412">
      <x:c r="A412" s="19" t="str">
        <x:v>SALE-00408</x:v>
      </x:c>
      <x:c r="B412" s="34" t="n">
        <x:v>46213.5</x:v>
      </x:c>
      <x:c r="C412" s="19" t="str">
        <x:v>周五</x:v>
      </x:c>
      <x:c r="D412" s="19" t="str">
        <x:v>S02</x:v>
      </x:c>
      <x:c r="E412" s="19" t="str">
        <x:v>尊宝大厦店</x:v>
      </x:c>
      <x:c r="F412" s="19" t="str">
        <x:v>堂食</x:v>
      </x:c>
      <x:c r="G412" s="19" t="str">
        <x:v>全日</x:v>
      </x:c>
      <x:c r="H412" s="19" t="str">
        <x:v>D08</x:v>
      </x:c>
      <x:c r="I412" s="19" t="str">
        <x:v>生炒清远鸡</x:v>
      </x:c>
      <x:c r="J412" s="22" t="n">
        <x:f>XLOOKUP(H412,'菜品主数据'!$A$5:$A$24,'菜品主数据'!$D$5:$D$24,0)</x:f>
        <x:v>36</x:v>
      </x:c>
      <x:c r="K412" s="31" t="n">
        <x:v>12</x:v>
      </x:c>
      <x:c r="L412" s="35" t="n">
        <x:f>J412*K412</x:f>
        <x:v>432</x:v>
      </x:c>
      <x:c r="M412" s="36" t="n">
        <x:v>0</x:v>
      </x:c>
      <x:c r="N412" s="35" t="n">
        <x:f>L412*M412</x:f>
        <x:v>0</x:v>
      </x:c>
      <x:c r="O412" s="37" t="n">
        <x:v>0</x:v>
      </x:c>
      <x:c r="P412" s="35" t="n">
        <x:f>L412*O412</x:f>
        <x:v>0</x:v>
      </x:c>
      <x:c r="Q412" s="35" t="n">
        <x:v>0</x:v>
      </x:c>
      <x:c r="R412" s="35" t="n">
        <x:f>K412*Q412</x:f>
        <x:v>0</x:v>
      </x:c>
      <x:c r="S412" s="35" t="n">
        <x:f>XLOOKUP(H412,'菜品主数据'!$A$5:$A$24,'菜品主数据'!$G$5:$G$24,0)</x:f>
        <x:v>13.48</x:v>
      </x:c>
      <x:c r="T412" s="35" t="n">
        <x:f>K412*S412</x:f>
        <x:v>161.76</x:v>
      </x:c>
      <x:c r="U412" s="35" t="n">
        <x:f>L412-N412-P412-R412-T412</x:f>
        <x:v>270.24</x:v>
      </x:c>
      <x:c r="V412" s="21" t="n">
        <x:f>IFERROR(U412/L412,0)</x:f>
        <x:v>0.6255555555555555</x:v>
      </x:c>
    </x:row>
    <x:row r="413">
      <x:c r="A413" s="19" t="str">
        <x:v>SALE-00409</x:v>
      </x:c>
      <x:c r="B413" s="34" t="n">
        <x:v>46213.5</x:v>
      </x:c>
      <x:c r="C413" s="19" t="str">
        <x:v>周五</x:v>
      </x:c>
      <x:c r="D413" s="19" t="str">
        <x:v>S02</x:v>
      </x:c>
      <x:c r="E413" s="19" t="str">
        <x:v>尊宝大厦店</x:v>
      </x:c>
      <x:c r="F413" s="19" t="str">
        <x:v>堂食</x:v>
      </x:c>
      <x:c r="G413" s="19" t="str">
        <x:v>全日</x:v>
      </x:c>
      <x:c r="H413" s="19" t="str">
        <x:v>D09</x:v>
      </x:c>
      <x:c r="I413" s="19" t="str">
        <x:v>炒豆干</x:v>
      </x:c>
      <x:c r="J413" s="22" t="n">
        <x:f>XLOOKUP(H413,'菜品主数据'!$A$5:$A$24,'菜品主数据'!$D$5:$D$24,0)</x:f>
        <x:v>18</x:v>
      </x:c>
      <x:c r="K413" s="31" t="n">
        <x:v>17</x:v>
      </x:c>
      <x:c r="L413" s="35" t="n">
        <x:f>J413*K413</x:f>
        <x:v>306</x:v>
      </x:c>
      <x:c r="M413" s="36" t="n">
        <x:v>0</x:v>
      </x:c>
      <x:c r="N413" s="35" t="n">
        <x:f>L413*M413</x:f>
        <x:v>0</x:v>
      </x:c>
      <x:c r="O413" s="37" t="n">
        <x:v>0</x:v>
      </x:c>
      <x:c r="P413" s="35" t="n">
        <x:f>L413*O413</x:f>
        <x:v>0</x:v>
      </x:c>
      <x:c r="Q413" s="35" t="n">
        <x:v>0</x:v>
      </x:c>
      <x:c r="R413" s="35" t="n">
        <x:f>K413*Q413</x:f>
        <x:v>0</x:v>
      </x:c>
      <x:c r="S413" s="35" t="n">
        <x:f>XLOOKUP(H413,'菜品主数据'!$A$5:$A$24,'菜品主数据'!$G$5:$G$24,0)</x:f>
        <x:v>6.613999999999999</x:v>
      </x:c>
      <x:c r="T413" s="35" t="n">
        <x:f>K413*S413</x:f>
        <x:v>112.43799999999999</x:v>
      </x:c>
      <x:c r="U413" s="35" t="n">
        <x:f>L413-N413-P413-R413-T413</x:f>
        <x:v>193.562</x:v>
      </x:c>
      <x:c r="V413" s="21" t="n">
        <x:f>IFERROR(U413/L413,0)</x:f>
        <x:v>0.6325555555555556</x:v>
      </x:c>
    </x:row>
    <x:row r="414">
      <x:c r="A414" s="19" t="str">
        <x:v>SALE-00410</x:v>
      </x:c>
      <x:c r="B414" s="34" t="n">
        <x:v>46213.5</x:v>
      </x:c>
      <x:c r="C414" s="19" t="str">
        <x:v>周五</x:v>
      </x:c>
      <x:c r="D414" s="19" t="str">
        <x:v>S02</x:v>
      </x:c>
      <x:c r="E414" s="19" t="str">
        <x:v>尊宝大厦店</x:v>
      </x:c>
      <x:c r="F414" s="19" t="str">
        <x:v>堂食</x:v>
      </x:c>
      <x:c r="G414" s="19" t="str">
        <x:v>全日</x:v>
      </x:c>
      <x:c r="H414" s="19" t="str">
        <x:v>D10</x:v>
      </x:c>
      <x:c r="I414" s="19" t="str">
        <x:v>农家一碗香</x:v>
      </x:c>
      <x:c r="J414" s="22" t="n">
        <x:f>XLOOKUP(H414,'菜品主数据'!$A$5:$A$24,'菜品主数据'!$D$5:$D$24,0)</x:f>
        <x:v>22.9</x:v>
      </x:c>
      <x:c r="K414" s="31" t="n">
        <x:v>17</x:v>
      </x:c>
      <x:c r="L414" s="35" t="n">
        <x:f>J414*K414</x:f>
        <x:v>389.29999999999995</x:v>
      </x:c>
      <x:c r="M414" s="36" t="n">
        <x:v>0</x:v>
      </x:c>
      <x:c r="N414" s="35" t="n">
        <x:f>L414*M414</x:f>
        <x:v>0</x:v>
      </x:c>
      <x:c r="O414" s="37" t="n">
        <x:v>0</x:v>
      </x:c>
      <x:c r="P414" s="35" t="n">
        <x:f>L414*O414</x:f>
        <x:v>0</x:v>
      </x:c>
      <x:c r="Q414" s="35" t="n">
        <x:v>0</x:v>
      </x:c>
      <x:c r="R414" s="35" t="n">
        <x:f>K414*Q414</x:f>
        <x:v>0</x:v>
      </x:c>
      <x:c r="S414" s="35" t="n">
        <x:f>XLOOKUP(H414,'菜品主数据'!$A$5:$A$24,'菜品主数据'!$G$5:$G$24,0)</x:f>
        <x:v>9.770200000000003</x:v>
      </x:c>
      <x:c r="T414" s="35" t="n">
        <x:f>K414*S414</x:f>
        <x:v>166.09340000000003</x:v>
      </x:c>
      <x:c r="U414" s="35" t="n">
        <x:f>L414-N414-P414-R414-T414</x:f>
        <x:v>223.20659999999992</x:v>
      </x:c>
      <x:c r="V414" s="21" t="n">
        <x:f>IFERROR(U414/L414,0)</x:f>
        <x:v>0.5733537117903929</x:v>
      </x:c>
    </x:row>
    <x:row r="415">
      <x:c r="A415" s="19" t="str">
        <x:v>SALE-00411</x:v>
      </x:c>
      <x:c r="B415" s="34" t="n">
        <x:v>46213.5</x:v>
      </x:c>
      <x:c r="C415" s="19" t="str">
        <x:v>周五</x:v>
      </x:c>
      <x:c r="D415" s="19" t="str">
        <x:v>S02</x:v>
      </x:c>
      <x:c r="E415" s="19" t="str">
        <x:v>尊宝大厦店</x:v>
      </x:c>
      <x:c r="F415" s="19" t="str">
        <x:v>堂食</x:v>
      </x:c>
      <x:c r="G415" s="19" t="str">
        <x:v>全日</x:v>
      </x:c>
      <x:c r="H415" s="19" t="str">
        <x:v>D11</x:v>
      </x:c>
      <x:c r="I415" s="19" t="str">
        <x:v>香辣爆肥肠</x:v>
      </x:c>
      <x:c r="J415" s="22" t="n">
        <x:f>XLOOKUP(H415,'菜品主数据'!$A$5:$A$24,'菜品主数据'!$D$5:$D$24,0)</x:f>
        <x:v>39</x:v>
      </x:c>
      <x:c r="K415" s="31" t="n">
        <x:v>7</x:v>
      </x:c>
      <x:c r="L415" s="35" t="n">
        <x:f>J415*K415</x:f>
        <x:v>273</x:v>
      </x:c>
      <x:c r="M415" s="36" t="n">
        <x:v>0</x:v>
      </x:c>
      <x:c r="N415" s="35" t="n">
        <x:f>L415*M415</x:f>
        <x:v>0</x:v>
      </x:c>
      <x:c r="O415" s="37" t="n">
        <x:v>0</x:v>
      </x:c>
      <x:c r="P415" s="35" t="n">
        <x:f>L415*O415</x:f>
        <x:v>0</x:v>
      </x:c>
      <x:c r="Q415" s="35" t="n">
        <x:v>0</x:v>
      </x:c>
      <x:c r="R415" s="35" t="n">
        <x:f>K415*Q415</x:f>
        <x:v>0</x:v>
      </x:c>
      <x:c r="S415" s="35" t="n">
        <x:f>XLOOKUP(H415,'菜品主数据'!$A$5:$A$24,'菜品主数据'!$G$5:$G$24,0)</x:f>
        <x:v>10.397</x:v>
      </x:c>
      <x:c r="T415" s="35" t="n">
        <x:f>K415*S415</x:f>
        <x:v>72.779</x:v>
      </x:c>
      <x:c r="U415" s="35" t="n">
        <x:f>L415-N415-P415-R415-T415</x:f>
        <x:v>200.221</x:v>
      </x:c>
      <x:c r="V415" s="21" t="n">
        <x:f>IFERROR(U415/L415,0)</x:f>
        <x:v>0.7334102564102565</x:v>
      </x:c>
    </x:row>
    <x:row r="416">
      <x:c r="A416" s="19" t="str">
        <x:v>SALE-00412</x:v>
      </x:c>
      <x:c r="B416" s="34" t="n">
        <x:v>46213.5</x:v>
      </x:c>
      <x:c r="C416" s="19" t="str">
        <x:v>周五</x:v>
      </x:c>
      <x:c r="D416" s="19" t="str">
        <x:v>S02</x:v>
      </x:c>
      <x:c r="E416" s="19" t="str">
        <x:v>尊宝大厦店</x:v>
      </x:c>
      <x:c r="F416" s="19" t="str">
        <x:v>堂食</x:v>
      </x:c>
      <x:c r="G416" s="19" t="str">
        <x:v>全日</x:v>
      </x:c>
      <x:c r="H416" s="19" t="str">
        <x:v>D12</x:v>
      </x:c>
      <x:c r="I416" s="19" t="str">
        <x:v>清蒸鲈鱼</x:v>
      </x:c>
      <x:c r="J416" s="22" t="n">
        <x:f>XLOOKUP(H416,'菜品主数据'!$A$5:$A$24,'菜品主数据'!$D$5:$D$24,0)</x:f>
        <x:v>39</x:v>
      </x:c>
      <x:c r="K416" s="31" t="n">
        <x:v>7</x:v>
      </x:c>
      <x:c r="L416" s="35" t="n">
        <x:f>J416*K416</x:f>
        <x:v>273</x:v>
      </x:c>
      <x:c r="M416" s="36" t="n">
        <x:v>0</x:v>
      </x:c>
      <x:c r="N416" s="35" t="n">
        <x:f>L416*M416</x:f>
        <x:v>0</x:v>
      </x:c>
      <x:c r="O416" s="37" t="n">
        <x:v>0</x:v>
      </x:c>
      <x:c r="P416" s="35" t="n">
        <x:f>L416*O416</x:f>
        <x:v>0</x:v>
      </x:c>
      <x:c r="Q416" s="35" t="n">
        <x:v>0</x:v>
      </x:c>
      <x:c r="R416" s="35" t="n">
        <x:f>K416*Q416</x:f>
        <x:v>0</x:v>
      </x:c>
      <x:c r="S416" s="35" t="n">
        <x:f>XLOOKUP(H416,'菜品主数据'!$A$5:$A$24,'菜品主数据'!$G$5:$G$24,0)</x:f>
        <x:v>18.874</x:v>
      </x:c>
      <x:c r="T416" s="35" t="n">
        <x:f>K416*S416</x:f>
        <x:v>132.118</x:v>
      </x:c>
      <x:c r="U416" s="35" t="n">
        <x:f>L416-N416-P416-R416-T416</x:f>
        <x:v>140.882</x:v>
      </x:c>
      <x:c r="V416" s="21" t="n">
        <x:f>IFERROR(U416/L416,0)</x:f>
        <x:v>0.516051282051282</x:v>
      </x:c>
    </x:row>
    <x:row r="417">
      <x:c r="A417" s="19" t="str">
        <x:v>SALE-00413</x:v>
      </x:c>
      <x:c r="B417" s="34" t="n">
        <x:v>46213.5</x:v>
      </x:c>
      <x:c r="C417" s="19" t="str">
        <x:v>周五</x:v>
      </x:c>
      <x:c r="D417" s="19" t="str">
        <x:v>S02</x:v>
      </x:c>
      <x:c r="E417" s="19" t="str">
        <x:v>尊宝大厦店</x:v>
      </x:c>
      <x:c r="F417" s="19" t="str">
        <x:v>堂食</x:v>
      </x:c>
      <x:c r="G417" s="19" t="str">
        <x:v>全日</x:v>
      </x:c>
      <x:c r="H417" s="19" t="str">
        <x:v>D13</x:v>
      </x:c>
      <x:c r="I417" s="19" t="str">
        <x:v>外婆菜炒蛋</x:v>
      </x:c>
      <x:c r="J417" s="22" t="n">
        <x:f>XLOOKUP(H417,'菜品主数据'!$A$5:$A$24,'菜品主数据'!$D$5:$D$24,0)</x:f>
        <x:v>18</x:v>
      </x:c>
      <x:c r="K417" s="31" t="n">
        <x:v>15</x:v>
      </x:c>
      <x:c r="L417" s="35" t="n">
        <x:f>J417*K417</x:f>
        <x:v>270</x:v>
      </x:c>
      <x:c r="M417" s="36" t="n">
        <x:v>0</x:v>
      </x:c>
      <x:c r="N417" s="35" t="n">
        <x:f>L417*M417</x:f>
        <x:v>0</x:v>
      </x:c>
      <x:c r="O417" s="37" t="n">
        <x:v>0</x:v>
      </x:c>
      <x:c r="P417" s="35" t="n">
        <x:f>L417*O417</x:f>
        <x:v>0</x:v>
      </x:c>
      <x:c r="Q417" s="35" t="n">
        <x:v>0</x:v>
      </x:c>
      <x:c r="R417" s="35" t="n">
        <x:f>K417*Q417</x:f>
        <x:v>0</x:v>
      </x:c>
      <x:c r="S417" s="35" t="n">
        <x:f>XLOOKUP(H417,'菜品主数据'!$A$5:$A$24,'菜品主数据'!$G$5:$G$24,0)</x:f>
        <x:v>5.403999999999999</x:v>
      </x:c>
      <x:c r="T417" s="35" t="n">
        <x:f>K417*S417</x:f>
        <x:v>81.05999999999999</x:v>
      </x:c>
      <x:c r="U417" s="35" t="n">
        <x:f>L417-N417-P417-R417-T417</x:f>
        <x:v>188.94</x:v>
      </x:c>
      <x:c r="V417" s="21" t="n">
        <x:f>IFERROR(U417/L417,0)</x:f>
        <x:v>0.6997777777777777</x:v>
      </x:c>
    </x:row>
    <x:row r="418">
      <x:c r="A418" s="19" t="str">
        <x:v>SALE-00414</x:v>
      </x:c>
      <x:c r="B418" s="34" t="n">
        <x:v>46213.5</x:v>
      </x:c>
      <x:c r="C418" s="19" t="str">
        <x:v>周五</x:v>
      </x:c>
      <x:c r="D418" s="19" t="str">
        <x:v>S02</x:v>
      </x:c>
      <x:c r="E418" s="19" t="str">
        <x:v>尊宝大厦店</x:v>
      </x:c>
      <x:c r="F418" s="19" t="str">
        <x:v>堂食</x:v>
      </x:c>
      <x:c r="G418" s="19" t="str">
        <x:v>全日</x:v>
      </x:c>
      <x:c r="H418" s="19" t="str">
        <x:v>D14</x:v>
      </x:c>
      <x:c r="I418" s="19" t="str">
        <x:v>酸辣鸡杂</x:v>
      </x:c>
      <x:c r="J418" s="22" t="n">
        <x:f>XLOOKUP(H418,'菜品主数据'!$A$5:$A$24,'菜品主数据'!$D$5:$D$24,0)</x:f>
        <x:v>28</x:v>
      </x:c>
      <x:c r="K418" s="31" t="n">
        <x:v>9</x:v>
      </x:c>
      <x:c r="L418" s="35" t="n">
        <x:f>J418*K418</x:f>
        <x:v>252</x:v>
      </x:c>
      <x:c r="M418" s="36" t="n">
        <x:v>0</x:v>
      </x:c>
      <x:c r="N418" s="35" t="n">
        <x:f>L418*M418</x:f>
        <x:v>0</x:v>
      </x:c>
      <x:c r="O418" s="37" t="n">
        <x:v>0</x:v>
      </x:c>
      <x:c r="P418" s="35" t="n">
        <x:f>L418*O418</x:f>
        <x:v>0</x:v>
      </x:c>
      <x:c r="Q418" s="35" t="n">
        <x:v>0</x:v>
      </x:c>
      <x:c r="R418" s="35" t="n">
        <x:f>K418*Q418</x:f>
        <x:v>0</x:v>
      </x:c>
      <x:c r="S418" s="35" t="n">
        <x:f>XLOOKUP(H418,'菜品主数据'!$A$5:$A$24,'菜品主数据'!$G$5:$G$24,0)</x:f>
        <x:v>8.315000000000001</x:v>
      </x:c>
      <x:c r="T418" s="35" t="n">
        <x:f>K418*S418</x:f>
        <x:v>74.83500000000001</x:v>
      </x:c>
      <x:c r="U418" s="35" t="n">
        <x:f>L418-N418-P418-R418-T418</x:f>
        <x:v>177.165</x:v>
      </x:c>
      <x:c r="V418" s="21" t="n">
        <x:f>IFERROR(U418/L418,0)</x:f>
        <x:v>0.7030357142857142</x:v>
      </x:c>
    </x:row>
    <x:row r="419">
      <x:c r="A419" s="19" t="str">
        <x:v>SALE-00415</x:v>
      </x:c>
      <x:c r="B419" s="34" t="n">
        <x:v>46213.5</x:v>
      </x:c>
      <x:c r="C419" s="19" t="str">
        <x:v>周五</x:v>
      </x:c>
      <x:c r="D419" s="19" t="str">
        <x:v>S02</x:v>
      </x:c>
      <x:c r="E419" s="19" t="str">
        <x:v>尊宝大厦店</x:v>
      </x:c>
      <x:c r="F419" s="19" t="str">
        <x:v>堂食</x:v>
      </x:c>
      <x:c r="G419" s="19" t="str">
        <x:v>全日</x:v>
      </x:c>
      <x:c r="H419" s="19" t="str">
        <x:v>D15</x:v>
      </x:c>
      <x:c r="I419" s="19" t="str">
        <x:v>湘西土匪猪肝</x:v>
      </x:c>
      <x:c r="J419" s="22" t="n">
        <x:f>XLOOKUP(H419,'菜品主数据'!$A$5:$A$24,'菜品主数据'!$D$5:$D$24,0)</x:f>
        <x:v>26</x:v>
      </x:c>
      <x:c r="K419" s="31" t="n">
        <x:v>8</x:v>
      </x:c>
      <x:c r="L419" s="35" t="n">
        <x:f>J419*K419</x:f>
        <x:v>208</x:v>
      </x:c>
      <x:c r="M419" s="36" t="n">
        <x:v>0</x:v>
      </x:c>
      <x:c r="N419" s="35" t="n">
        <x:f>L419*M419</x:f>
        <x:v>0</x:v>
      </x:c>
      <x:c r="O419" s="37" t="n">
        <x:v>0</x:v>
      </x:c>
      <x:c r="P419" s="35" t="n">
        <x:f>L419*O419</x:f>
        <x:v>0</x:v>
      </x:c>
      <x:c r="Q419" s="35" t="n">
        <x:v>0</x:v>
      </x:c>
      <x:c r="R419" s="35" t="n">
        <x:f>K419*Q419</x:f>
        <x:v>0</x:v>
      </x:c>
      <x:c r="S419" s="35" t="n">
        <x:f>XLOOKUP(H419,'菜品主数据'!$A$5:$A$24,'菜品主数据'!$G$5:$G$24,0)</x:f>
        <x:v>6.3759999999999994</x:v>
      </x:c>
      <x:c r="T419" s="35" t="n">
        <x:f>K419*S419</x:f>
        <x:v>51.007999999999996</x:v>
      </x:c>
      <x:c r="U419" s="35" t="n">
        <x:f>L419-N419-P419-R419-T419</x:f>
        <x:v>156.99200000000002</x:v>
      </x:c>
      <x:c r="V419" s="21" t="n">
        <x:f>IFERROR(U419/L419,0)</x:f>
        <x:v>0.7547692307692309</x:v>
      </x:c>
    </x:row>
    <x:row r="420">
      <x:c r="A420" s="19" t="str">
        <x:v>SALE-00416</x:v>
      </x:c>
      <x:c r="B420" s="34" t="n">
        <x:v>46213.5</x:v>
      </x:c>
      <x:c r="C420" s="19" t="str">
        <x:v>周五</x:v>
      </x:c>
      <x:c r="D420" s="19" t="str">
        <x:v>S02</x:v>
      </x:c>
      <x:c r="E420" s="19" t="str">
        <x:v>尊宝大厦店</x:v>
      </x:c>
      <x:c r="F420" s="19" t="str">
        <x:v>堂食</x:v>
      </x:c>
      <x:c r="G420" s="19" t="str">
        <x:v>全日</x:v>
      </x:c>
      <x:c r="H420" s="19" t="str">
        <x:v>D16</x:v>
      </x:c>
      <x:c r="I420" s="19" t="str">
        <x:v>小豆角炒五花</x:v>
      </x:c>
      <x:c r="J420" s="22" t="n">
        <x:f>XLOOKUP(H420,'菜品主数据'!$A$5:$A$24,'菜品主数据'!$D$5:$D$24,0)</x:f>
        <x:v>25</x:v>
      </x:c>
      <x:c r="K420" s="31" t="n">
        <x:v>8</x:v>
      </x:c>
      <x:c r="L420" s="35" t="n">
        <x:f>J420*K420</x:f>
        <x:v>200</x:v>
      </x:c>
      <x:c r="M420" s="36" t="n">
        <x:v>0</x:v>
      </x:c>
      <x:c r="N420" s="35" t="n">
        <x:f>L420*M420</x:f>
        <x:v>0</x:v>
      </x:c>
      <x:c r="O420" s="37" t="n">
        <x:v>0</x:v>
      </x:c>
      <x:c r="P420" s="35" t="n">
        <x:f>L420*O420</x:f>
        <x:v>0</x:v>
      </x:c>
      <x:c r="Q420" s="35" t="n">
        <x:v>0</x:v>
      </x:c>
      <x:c r="R420" s="35" t="n">
        <x:f>K420*Q420</x:f>
        <x:v>0</x:v>
      </x:c>
      <x:c r="S420" s="35" t="n">
        <x:f>XLOOKUP(H420,'菜品主数据'!$A$5:$A$24,'菜品主数据'!$G$5:$G$24,0)</x:f>
        <x:v>8.184</x:v>
      </x:c>
      <x:c r="T420" s="35" t="n">
        <x:f>K420*S420</x:f>
        <x:v>65.472</x:v>
      </x:c>
      <x:c r="U420" s="35" t="n">
        <x:f>L420-N420-P420-R420-T420</x:f>
        <x:v>134.52800000000002</x:v>
      </x:c>
      <x:c r="V420" s="21" t="n">
        <x:f>IFERROR(U420/L420,0)</x:f>
        <x:v>0.6726400000000001</x:v>
      </x:c>
    </x:row>
    <x:row r="421">
      <x:c r="A421" s="19" t="str">
        <x:v>SALE-00417</x:v>
      </x:c>
      <x:c r="B421" s="34" t="n">
        <x:v>46213.5</x:v>
      </x:c>
      <x:c r="C421" s="19" t="str">
        <x:v>周五</x:v>
      </x:c>
      <x:c r="D421" s="19" t="str">
        <x:v>S02</x:v>
      </x:c>
      <x:c r="E421" s="19" t="str">
        <x:v>尊宝大厦店</x:v>
      </x:c>
      <x:c r="F421" s="19" t="str">
        <x:v>堂食</x:v>
      </x:c>
      <x:c r="G421" s="19" t="str">
        <x:v>全日</x:v>
      </x:c>
      <x:c r="H421" s="19" t="str">
        <x:v>D17</x:v>
      </x:c>
      <x:c r="I421" s="19" t="str">
        <x:v>蒜蓉粉丝虾</x:v>
      </x:c>
      <x:c r="J421" s="22" t="n">
        <x:f>XLOOKUP(H421,'菜品主数据'!$A$5:$A$24,'菜品主数据'!$D$5:$D$24,0)</x:f>
        <x:v>36</x:v>
      </x:c>
      <x:c r="K421" s="31" t="n">
        <x:v>6</x:v>
      </x:c>
      <x:c r="L421" s="35" t="n">
        <x:f>J421*K421</x:f>
        <x:v>216</x:v>
      </x:c>
      <x:c r="M421" s="36" t="n">
        <x:v>0</x:v>
      </x:c>
      <x:c r="N421" s="35" t="n">
        <x:f>L421*M421</x:f>
        <x:v>0</x:v>
      </x:c>
      <x:c r="O421" s="37" t="n">
        <x:v>0</x:v>
      </x:c>
      <x:c r="P421" s="35" t="n">
        <x:f>L421*O421</x:f>
        <x:v>0</x:v>
      </x:c>
      <x:c r="Q421" s="35" t="n">
        <x:v>0</x:v>
      </x:c>
      <x:c r="R421" s="35" t="n">
        <x:f>K421*Q421</x:f>
        <x:v>0</x:v>
      </x:c>
      <x:c r="S421" s="35" t="n">
        <x:f>XLOOKUP(H421,'菜品主数据'!$A$5:$A$24,'菜品主数据'!$G$5:$G$24,0)</x:f>
        <x:v>13.594</x:v>
      </x:c>
      <x:c r="T421" s="35" t="n">
        <x:f>K421*S421</x:f>
        <x:v>81.564</x:v>
      </x:c>
      <x:c r="U421" s="35" t="n">
        <x:f>L421-N421-P421-R421-T421</x:f>
        <x:v>134.436</x:v>
      </x:c>
      <x:c r="V421" s="21" t="n">
        <x:f>IFERROR(U421/L421,0)</x:f>
        <x:v>0.6223888888888889</x:v>
      </x:c>
    </x:row>
    <x:row r="422">
      <x:c r="A422" s="19" t="str">
        <x:v>SALE-00418</x:v>
      </x:c>
      <x:c r="B422" s="34" t="n">
        <x:v>46213.5</x:v>
      </x:c>
      <x:c r="C422" s="19" t="str">
        <x:v>周五</x:v>
      </x:c>
      <x:c r="D422" s="19" t="str">
        <x:v>S02</x:v>
      </x:c>
      <x:c r="E422" s="19" t="str">
        <x:v>尊宝大厦店</x:v>
      </x:c>
      <x:c r="F422" s="19" t="str">
        <x:v>堂食</x:v>
      </x:c>
      <x:c r="G422" s="19" t="str">
        <x:v>全日</x:v>
      </x:c>
      <x:c r="H422" s="19" t="str">
        <x:v>D18</x:v>
      </x:c>
      <x:c r="I422" s="19" t="str">
        <x:v>青椒炒油麦菜</x:v>
      </x:c>
      <x:c r="J422" s="22" t="n">
        <x:f>XLOOKUP(H422,'菜品主数据'!$A$5:$A$24,'菜品主数据'!$D$5:$D$24,0)</x:f>
        <x:v>18</x:v>
      </x:c>
      <x:c r="K422" s="31" t="n">
        <x:v>9</x:v>
      </x:c>
      <x:c r="L422" s="35" t="n">
        <x:f>J422*K422</x:f>
        <x:v>162</x:v>
      </x:c>
      <x:c r="M422" s="36" t="n">
        <x:v>0</x:v>
      </x:c>
      <x:c r="N422" s="35" t="n">
        <x:f>L422*M422</x:f>
        <x:v>0</x:v>
      </x:c>
      <x:c r="O422" s="37" t="n">
        <x:v>0</x:v>
      </x:c>
      <x:c r="P422" s="35" t="n">
        <x:f>L422*O422</x:f>
        <x:v>0</x:v>
      </x:c>
      <x:c r="Q422" s="35" t="n">
        <x:v>0</x:v>
      </x:c>
      <x:c r="R422" s="35" t="n">
        <x:f>K422*Q422</x:f>
        <x:v>0</x:v>
      </x:c>
      <x:c r="S422" s="35" t="n">
        <x:f>XLOOKUP(H422,'菜品主数据'!$A$5:$A$24,'菜品主数据'!$G$5:$G$24,0)</x:f>
        <x:v>3.1759999999999993</x:v>
      </x:c>
      <x:c r="T422" s="35" t="n">
        <x:f>K422*S422</x:f>
        <x:v>28.583999999999993</x:v>
      </x:c>
      <x:c r="U422" s="35" t="n">
        <x:f>L422-N422-P422-R422-T422</x:f>
        <x:v>133.416</x:v>
      </x:c>
      <x:c r="V422" s="21" t="n">
        <x:f>IFERROR(U422/L422,0)</x:f>
        <x:v>0.8235555555555555</x:v>
      </x:c>
    </x:row>
    <x:row r="423">
      <x:c r="A423" s="19" t="str">
        <x:v>SALE-00419</x:v>
      </x:c>
      <x:c r="B423" s="34" t="n">
        <x:v>46213.5</x:v>
      </x:c>
      <x:c r="C423" s="19" t="str">
        <x:v>周五</x:v>
      </x:c>
      <x:c r="D423" s="19" t="str">
        <x:v>S02</x:v>
      </x:c>
      <x:c r="E423" s="19" t="str">
        <x:v>尊宝大厦店</x:v>
      </x:c>
      <x:c r="F423" s="19" t="str">
        <x:v>堂食</x:v>
      </x:c>
      <x:c r="G423" s="19" t="str">
        <x:v>全日</x:v>
      </x:c>
      <x:c r="H423" s="19" t="str">
        <x:v>D19</x:v>
      </x:c>
      <x:c r="I423" s="19" t="str">
        <x:v>酸萝卜炒鸡杂</x:v>
      </x:c>
      <x:c r="J423" s="22" t="n">
        <x:f>XLOOKUP(H423,'菜品主数据'!$A$5:$A$24,'菜品主数据'!$D$5:$D$24,0)</x:f>
        <x:v>25</x:v>
      </x:c>
      <x:c r="K423" s="31" t="n">
        <x:v>6</x:v>
      </x:c>
      <x:c r="L423" s="35" t="n">
        <x:f>J423*K423</x:f>
        <x:v>150</x:v>
      </x:c>
      <x:c r="M423" s="36" t="n">
        <x:v>0</x:v>
      </x:c>
      <x:c r="N423" s="35" t="n">
        <x:f>L423*M423</x:f>
        <x:v>0</x:v>
      </x:c>
      <x:c r="O423" s="37" t="n">
        <x:v>0</x:v>
      </x:c>
      <x:c r="P423" s="35" t="n">
        <x:f>L423*O423</x:f>
        <x:v>0</x:v>
      </x:c>
      <x:c r="Q423" s="35" t="n">
        <x:v>0</x:v>
      </x:c>
      <x:c r="R423" s="35" t="n">
        <x:f>K423*Q423</x:f>
        <x:v>0</x:v>
      </x:c>
      <x:c r="S423" s="35" t="n">
        <x:f>XLOOKUP(H423,'菜品主数据'!$A$5:$A$24,'菜品主数据'!$G$5:$G$24,0)</x:f>
        <x:v>7.9399999999999995</x:v>
      </x:c>
      <x:c r="T423" s="35" t="n">
        <x:f>K423*S423</x:f>
        <x:v>47.64</x:v>
      </x:c>
      <x:c r="U423" s="35" t="n">
        <x:f>L423-N423-P423-R423-T423</x:f>
        <x:v>102.36</x:v>
      </x:c>
      <x:c r="V423" s="21" t="n">
        <x:f>IFERROR(U423/L423,0)</x:f>
        <x:v>0.6824</x:v>
      </x:c>
    </x:row>
    <x:row r="424">
      <x:c r="A424" s="19" t="str">
        <x:v>SALE-00420</x:v>
      </x:c>
      <x:c r="B424" s="34" t="n">
        <x:v>46213.5</x:v>
      </x:c>
      <x:c r="C424" s="19" t="str">
        <x:v>周五</x:v>
      </x:c>
      <x:c r="D424" s="19" t="str">
        <x:v>S02</x:v>
      </x:c>
      <x:c r="E424" s="19" t="str">
        <x:v>尊宝大厦店</x:v>
      </x:c>
      <x:c r="F424" s="19" t="str">
        <x:v>堂食</x:v>
      </x:c>
      <x:c r="G424" s="19" t="str">
        <x:v>全日</x:v>
      </x:c>
      <x:c r="H424" s="19" t="str">
        <x:v>D20</x:v>
      </x:c>
      <x:c r="I424" s="19" t="str">
        <x:v>雪菜肉末青豆</x:v>
      </x:c>
      <x:c r="J424" s="22" t="n">
        <x:f>XLOOKUP(H424,'菜品主数据'!$A$5:$A$24,'菜品主数据'!$D$5:$D$24,0)</x:f>
        <x:v>18</x:v>
      </x:c>
      <x:c r="K424" s="31" t="n">
        <x:v>9</x:v>
      </x:c>
      <x:c r="L424" s="35" t="n">
        <x:f>J424*K424</x:f>
        <x:v>162</x:v>
      </x:c>
      <x:c r="M424" s="36" t="n">
        <x:v>0</x:v>
      </x:c>
      <x:c r="N424" s="35" t="n">
        <x:f>L424*M424</x:f>
        <x:v>0</x:v>
      </x:c>
      <x:c r="O424" s="37" t="n">
        <x:v>0</x:v>
      </x:c>
      <x:c r="P424" s="35" t="n">
        <x:f>L424*O424</x:f>
        <x:v>0</x:v>
      </x:c>
      <x:c r="Q424" s="35" t="n">
        <x:v>0</x:v>
      </x:c>
      <x:c r="R424" s="35" t="n">
        <x:f>K424*Q424</x:f>
        <x:v>0</x:v>
      </x:c>
      <x:c r="S424" s="35" t="n">
        <x:f>XLOOKUP(H424,'菜品主数据'!$A$5:$A$24,'菜品主数据'!$G$5:$G$24,0)</x:f>
        <x:v>7.303999999999999</x:v>
      </x:c>
      <x:c r="T424" s="35" t="n">
        <x:f>K424*S424</x:f>
        <x:v>65.73599999999999</x:v>
      </x:c>
      <x:c r="U424" s="35" t="n">
        <x:f>L424-N424-P424-R424-T424</x:f>
        <x:v>96.26400000000001</x:v>
      </x:c>
      <x:c r="V424" s="21" t="n">
        <x:f>IFERROR(U424/L424,0)</x:f>
        <x:v>0.5942222222222223</x:v>
      </x:c>
    </x:row>
    <x:row r="425">
      <x:c r="A425" s="19" t="str">
        <x:v>SALE-00421</x:v>
      </x:c>
      <x:c r="B425" s="34" t="n">
        <x:v>46213.5</x:v>
      </x:c>
      <x:c r="C425" s="19" t="str">
        <x:v>周五</x:v>
      </x:c>
      <x:c r="D425" s="19" t="str">
        <x:v>S02</x:v>
      </x:c>
      <x:c r="E425" s="19" t="str">
        <x:v>尊宝大厦店</x:v>
      </x:c>
      <x:c r="F425" s="19" t="str">
        <x:v>外卖</x:v>
      </x:c>
      <x:c r="G425" s="19" t="str">
        <x:v>全日</x:v>
      </x:c>
      <x:c r="H425" s="19" t="str">
        <x:v>D01</x:v>
      </x:c>
      <x:c r="I425" s="19" t="str">
        <x:v>辣椒炒肉</x:v>
      </x:c>
      <x:c r="J425" s="22" t="n">
        <x:f>XLOOKUP(H425,'菜品主数据'!$A$5:$A$24,'菜品主数据'!$D$5:$D$24,0)</x:f>
        <x:v>29</x:v>
      </x:c>
      <x:c r="K425" s="31" t="n">
        <x:v>6</x:v>
      </x:c>
      <x:c r="L425" s="35" t="n">
        <x:f>J425*K425</x:f>
        <x:v>174</x:v>
      </x:c>
      <x:c r="M425" s="36" t="n">
        <x:v>0.08</x:v>
      </x:c>
      <x:c r="N425" s="35" t="n">
        <x:f>L425*M425</x:f>
        <x:v>13.92</x:v>
      </x:c>
      <x:c r="O425" s="37" t="n">
        <x:v>0.18</x:v>
      </x:c>
      <x:c r="P425" s="35" t="n">
        <x:f>L425*O425</x:f>
        <x:v>31.32</x:v>
      </x:c>
      <x:c r="Q425" s="35" t="n">
        <x:v>1.2</x:v>
      </x:c>
      <x:c r="R425" s="35" t="n">
        <x:f>K425*Q425</x:f>
        <x:v>7.199999999999999</x:v>
      </x:c>
      <x:c r="S425" s="35" t="n">
        <x:f>XLOOKUP(H425,'菜品主数据'!$A$5:$A$24,'菜品主数据'!$G$5:$G$24,0)</x:f>
        <x:v>8.634400000000001</x:v>
      </x:c>
      <x:c r="T425" s="35" t="n">
        <x:f>K425*S425</x:f>
        <x:v>51.80640000000001</x:v>
      </x:c>
      <x:c r="U425" s="35" t="n">
        <x:f>L425-N425-P425-R425-T425</x:f>
        <x:v>69.7536</x:v>
      </x:c>
      <x:c r="V425" s="21" t="n">
        <x:f>IFERROR(U425/L425,0)</x:f>
        <x:v>0.40088275862068967</x:v>
      </x:c>
    </x:row>
    <x:row r="426">
      <x:c r="A426" s="19" t="str">
        <x:v>SALE-00422</x:v>
      </x:c>
      <x:c r="B426" s="34" t="n">
        <x:v>46213.5</x:v>
      </x:c>
      <x:c r="C426" s="19" t="str">
        <x:v>周五</x:v>
      </x:c>
      <x:c r="D426" s="19" t="str">
        <x:v>S02</x:v>
      </x:c>
      <x:c r="E426" s="19" t="str">
        <x:v>尊宝大厦店</x:v>
      </x:c>
      <x:c r="F426" s="19" t="str">
        <x:v>外卖</x:v>
      </x:c>
      <x:c r="G426" s="19" t="str">
        <x:v>全日</x:v>
      </x:c>
      <x:c r="H426" s="19" t="str">
        <x:v>D02</x:v>
      </x:c>
      <x:c r="I426" s="19" t="str">
        <x:v>小炒黄牛肉</x:v>
      </x:c>
      <x:c r="J426" s="22" t="n">
        <x:f>XLOOKUP(H426,'菜品主数据'!$A$5:$A$24,'菜品主数据'!$D$5:$D$24,0)</x:f>
        <x:v>49</x:v>
      </x:c>
      <x:c r="K426" s="31" t="n">
        <x:v>8</x:v>
      </x:c>
      <x:c r="L426" s="35" t="n">
        <x:f>J426*K426</x:f>
        <x:v>392</x:v>
      </x:c>
      <x:c r="M426" s="36" t="n">
        <x:v>0.08</x:v>
      </x:c>
      <x:c r="N426" s="35" t="n">
        <x:f>L426*M426</x:f>
        <x:v>31.36</x:v>
      </x:c>
      <x:c r="O426" s="37" t="n">
        <x:v>0.18</x:v>
      </x:c>
      <x:c r="P426" s="35" t="n">
        <x:f>L426*O426</x:f>
        <x:v>70.56</x:v>
      </x:c>
      <x:c r="Q426" s="35" t="n">
        <x:v>1.2</x:v>
      </x:c>
      <x:c r="R426" s="35" t="n">
        <x:f>K426*Q426</x:f>
        <x:v>9.6</x:v>
      </x:c>
      <x:c r="S426" s="35" t="n">
        <x:f>XLOOKUP(H426,'菜品主数据'!$A$5:$A$24,'菜品主数据'!$G$5:$G$24,0)</x:f>
        <x:v>17.577</x:v>
      </x:c>
      <x:c r="T426" s="35" t="n">
        <x:f>K426*S426</x:f>
        <x:v>140.616</x:v>
      </x:c>
      <x:c r="U426" s="35" t="n">
        <x:f>L426-N426-P426-R426-T426</x:f>
        <x:v>139.86399999999995</x:v>
      </x:c>
      <x:c r="V426" s="21" t="n">
        <x:f>IFERROR(U426/L426,0)</x:f>
        <x:v>0.3567959183673468</x:v>
      </x:c>
    </x:row>
    <x:row r="427">
      <x:c r="A427" s="19" t="str">
        <x:v>SALE-00423</x:v>
      </x:c>
      <x:c r="B427" s="34" t="n">
        <x:v>46213.5</x:v>
      </x:c>
      <x:c r="C427" s="19" t="str">
        <x:v>周五</x:v>
      </x:c>
      <x:c r="D427" s="19" t="str">
        <x:v>S02</x:v>
      </x:c>
      <x:c r="E427" s="19" t="str">
        <x:v>尊宝大厦店</x:v>
      </x:c>
      <x:c r="F427" s="19" t="str">
        <x:v>外卖</x:v>
      </x:c>
      <x:c r="G427" s="19" t="str">
        <x:v>全日</x:v>
      </x:c>
      <x:c r="H427" s="19" t="str">
        <x:v>D03</x:v>
      </x:c>
      <x:c r="I427" s="19" t="str">
        <x:v>香醋炒蛋</x:v>
      </x:c>
      <x:c r="J427" s="22" t="n">
        <x:f>XLOOKUP(H427,'菜品主数据'!$A$5:$A$24,'菜品主数据'!$D$5:$D$24,0)</x:f>
        <x:v>14.9</x:v>
      </x:c>
      <x:c r="K427" s="31" t="n">
        <x:v>4</x:v>
      </x:c>
      <x:c r="L427" s="35" t="n">
        <x:f>J427*K427</x:f>
        <x:v>59.6</x:v>
      </x:c>
      <x:c r="M427" s="36" t="n">
        <x:v>0.08</x:v>
      </x:c>
      <x:c r="N427" s="35" t="n">
        <x:f>L427*M427</x:f>
        <x:v>4.768</x:v>
      </x:c>
      <x:c r="O427" s="37" t="n">
        <x:v>0.18</x:v>
      </x:c>
      <x:c r="P427" s="35" t="n">
        <x:f>L427*O427</x:f>
        <x:v>10.728</x:v>
      </x:c>
      <x:c r="Q427" s="35" t="n">
        <x:v>1.2</x:v>
      </x:c>
      <x:c r="R427" s="35" t="n">
        <x:f>K427*Q427</x:f>
        <x:v>4.8</x:v>
      </x:c>
      <x:c r="S427" s="35" t="n">
        <x:f>XLOOKUP(H427,'菜品主数据'!$A$5:$A$24,'菜品主数据'!$G$5:$G$24,0)</x:f>
        <x:v>3.7459999999999996</x:v>
      </x:c>
      <x:c r="T427" s="35" t="n">
        <x:f>K427*S427</x:f>
        <x:v>14.983999999999998</x:v>
      </x:c>
      <x:c r="U427" s="35" t="n">
        <x:f>L427-N427-P427-R427-T427</x:f>
        <x:v>24.320000000000004</x:v>
      </x:c>
      <x:c r="V427" s="21" t="n">
        <x:f>IFERROR(U427/L427,0)</x:f>
        <x:v>0.40805369127516783</x:v>
      </x:c>
    </x:row>
    <x:row r="428">
      <x:c r="A428" s="19" t="str">
        <x:v>SALE-00424</x:v>
      </x:c>
      <x:c r="B428" s="34" t="n">
        <x:v>46213.5</x:v>
      </x:c>
      <x:c r="C428" s="19" t="str">
        <x:v>周五</x:v>
      </x:c>
      <x:c r="D428" s="19" t="str">
        <x:v>S02</x:v>
      </x:c>
      <x:c r="E428" s="19" t="str">
        <x:v>尊宝大厦店</x:v>
      </x:c>
      <x:c r="F428" s="19" t="str">
        <x:v>外卖</x:v>
      </x:c>
      <x:c r="G428" s="19" t="str">
        <x:v>全日</x:v>
      </x:c>
      <x:c r="H428" s="19" t="str">
        <x:v>D04</x:v>
      </x:c>
      <x:c r="I428" s="19" t="str">
        <x:v>酸包菜炒粉皮</x:v>
      </x:c>
      <x:c r="J428" s="22" t="n">
        <x:f>XLOOKUP(H428,'菜品主数据'!$A$5:$A$24,'菜品主数据'!$D$5:$D$24,0)</x:f>
        <x:v>16</x:v>
      </x:c>
      <x:c r="K428" s="31" t="n">
        <x:v>4</x:v>
      </x:c>
      <x:c r="L428" s="35" t="n">
        <x:f>J428*K428</x:f>
        <x:v>64</x:v>
      </x:c>
      <x:c r="M428" s="36" t="n">
        <x:v>0.08</x:v>
      </x:c>
      <x:c r="N428" s="35" t="n">
        <x:f>L428*M428</x:f>
        <x:v>5.12</x:v>
      </x:c>
      <x:c r="O428" s="37" t="n">
        <x:v>0.18</x:v>
      </x:c>
      <x:c r="P428" s="35" t="n">
        <x:f>L428*O428</x:f>
        <x:v>11.52</x:v>
      </x:c>
      <x:c r="Q428" s="35" t="n">
        <x:v>1.2</x:v>
      </x:c>
      <x:c r="R428" s="35" t="n">
        <x:f>K428*Q428</x:f>
        <x:v>4.8</x:v>
      </x:c>
      <x:c r="S428" s="35" t="n">
        <x:f>XLOOKUP(H428,'菜品主数据'!$A$5:$A$24,'菜品主数据'!$G$5:$G$24,0)</x:f>
        <x:v>3.978</x:v>
      </x:c>
      <x:c r="T428" s="35" t="n">
        <x:f>K428*S428</x:f>
        <x:v>15.912</x:v>
      </x:c>
      <x:c r="U428" s="35" t="n">
        <x:f>L428-N428-P428-R428-T428</x:f>
        <x:v>26.648000000000003</x:v>
      </x:c>
      <x:c r="V428" s="21" t="n">
        <x:f>IFERROR(U428/L428,0)</x:f>
        <x:v>0.41637500000000005</x:v>
      </x:c>
    </x:row>
    <x:row r="429">
      <x:c r="A429" s="19" t="str">
        <x:v>SALE-00425</x:v>
      </x:c>
      <x:c r="B429" s="34" t="n">
        <x:v>46213.5</x:v>
      </x:c>
      <x:c r="C429" s="19" t="str">
        <x:v>周五</x:v>
      </x:c>
      <x:c r="D429" s="19" t="str">
        <x:v>S02</x:v>
      </x:c>
      <x:c r="E429" s="19" t="str">
        <x:v>尊宝大厦店</x:v>
      </x:c>
      <x:c r="F429" s="19" t="str">
        <x:v>外卖</x:v>
      </x:c>
      <x:c r="G429" s="19" t="str">
        <x:v>全日</x:v>
      </x:c>
      <x:c r="H429" s="19" t="str">
        <x:v>D05</x:v>
      </x:c>
      <x:c r="I429" s="19" t="str">
        <x:v>麻婆豆腐</x:v>
      </x:c>
      <x:c r="J429" s="22" t="n">
        <x:f>XLOOKUP(H429,'菜品主数据'!$A$5:$A$24,'菜品主数据'!$D$5:$D$24,0)</x:f>
        <x:v>9.9</x:v>
      </x:c>
      <x:c r="K429" s="31" t="n">
        <x:v>5</x:v>
      </x:c>
      <x:c r="L429" s="35" t="n">
        <x:f>J429*K429</x:f>
        <x:v>49.5</x:v>
      </x:c>
      <x:c r="M429" s="36" t="n">
        <x:v>0.08</x:v>
      </x:c>
      <x:c r="N429" s="35" t="n">
        <x:f>L429*M429</x:f>
        <x:v>3.96</x:v>
      </x:c>
      <x:c r="O429" s="37" t="n">
        <x:v>0.18</x:v>
      </x:c>
      <x:c r="P429" s="35" t="n">
        <x:f>L429*O429</x:f>
        <x:v>8.91</x:v>
      </x:c>
      <x:c r="Q429" s="35" t="n">
        <x:v>1.2</x:v>
      </x:c>
      <x:c r="R429" s="35" t="n">
        <x:f>K429*Q429</x:f>
        <x:v>6</x:v>
      </x:c>
      <x:c r="S429" s="35" t="n">
        <x:f>XLOOKUP(H429,'菜品主数据'!$A$5:$A$24,'菜品主数据'!$G$5:$G$24,0)</x:f>
        <x:v>5.367000000000001</x:v>
      </x:c>
      <x:c r="T429" s="35" t="n">
        <x:f>K429*S429</x:f>
        <x:v>26.835000000000004</x:v>
      </x:c>
      <x:c r="U429" s="35" t="n">
        <x:f>L429-N429-P429-R429-T429</x:f>
        <x:v>3.794999999999991</x:v>
      </x:c>
      <x:c r="V429" s="21" t="n">
        <x:f>IFERROR(U429/L429,0)</x:f>
        <x:v>0.07666666666666648</x:v>
      </x:c>
    </x:row>
    <x:row r="430">
      <x:c r="A430" s="19" t="str">
        <x:v>SALE-00426</x:v>
      </x:c>
      <x:c r="B430" s="34" t="n">
        <x:v>46213.5</x:v>
      </x:c>
      <x:c r="C430" s="19" t="str">
        <x:v>周五</x:v>
      </x:c>
      <x:c r="D430" s="19" t="str">
        <x:v>S02</x:v>
      </x:c>
      <x:c r="E430" s="19" t="str">
        <x:v>尊宝大厦店</x:v>
      </x:c>
      <x:c r="F430" s="19" t="str">
        <x:v>外卖</x:v>
      </x:c>
      <x:c r="G430" s="19" t="str">
        <x:v>全日</x:v>
      </x:c>
      <x:c r="H430" s="19" t="str">
        <x:v>D06</x:v>
      </x:c>
      <x:c r="I430" s="19" t="str">
        <x:v>剁椒鱼头</x:v>
      </x:c>
      <x:c r="J430" s="22" t="n">
        <x:f>XLOOKUP(H430,'菜品主数据'!$A$5:$A$24,'菜品主数据'!$D$5:$D$24,0)</x:f>
        <x:v>39</x:v>
      </x:c>
      <x:c r="K430" s="31" t="n">
        <x:v>1</x:v>
      </x:c>
      <x:c r="L430" s="35" t="n">
        <x:f>J430*K430</x:f>
        <x:v>39</x:v>
      </x:c>
      <x:c r="M430" s="36" t="n">
        <x:v>0.08</x:v>
      </x:c>
      <x:c r="N430" s="35" t="n">
        <x:f>L430*M430</x:f>
        <x:v>3.12</x:v>
      </x:c>
      <x:c r="O430" s="37" t="n">
        <x:v>0.18</x:v>
      </x:c>
      <x:c r="P430" s="35" t="n">
        <x:f>L430*O430</x:f>
        <x:v>7.02</x:v>
      </x:c>
      <x:c r="Q430" s="35" t="n">
        <x:v>1.2</x:v>
      </x:c>
      <x:c r="R430" s="35" t="n">
        <x:f>K430*Q430</x:f>
        <x:v>1.2</x:v>
      </x:c>
      <x:c r="S430" s="35" t="n">
        <x:f>XLOOKUP(H430,'菜品主数据'!$A$5:$A$24,'菜品主数据'!$G$5:$G$24,0)</x:f>
        <x:v>17.446</x:v>
      </x:c>
      <x:c r="T430" s="35" t="n">
        <x:f>K430*S430</x:f>
        <x:v>17.446</x:v>
      </x:c>
      <x:c r="U430" s="35" t="n">
        <x:f>L430-N430-P430-R430-T430</x:f>
        <x:v>10.214000000000002</x:v>
      </x:c>
      <x:c r="V430" s="21" t="n">
        <x:f>IFERROR(U430/L430,0)</x:f>
        <x:v>0.26189743589743597</x:v>
      </x:c>
    </x:row>
    <x:row r="431">
      <x:c r="A431" s="19" t="str">
        <x:v>SALE-00427</x:v>
      </x:c>
      <x:c r="B431" s="34" t="n">
        <x:v>46213.5</x:v>
      </x:c>
      <x:c r="C431" s="19" t="str">
        <x:v>周五</x:v>
      </x:c>
      <x:c r="D431" s="19" t="str">
        <x:v>S02</x:v>
      </x:c>
      <x:c r="E431" s="19" t="str">
        <x:v>尊宝大厦店</x:v>
      </x:c>
      <x:c r="F431" s="19" t="str">
        <x:v>外卖</x:v>
      </x:c>
      <x:c r="G431" s="19" t="str">
        <x:v>全日</x:v>
      </x:c>
      <x:c r="H431" s="19" t="str">
        <x:v>D07</x:v>
      </x:c>
      <x:c r="I431" s="19" t="str">
        <x:v>川味回锅肉</x:v>
      </x:c>
      <x:c r="J431" s="22" t="n">
        <x:f>XLOOKUP(H431,'菜品主数据'!$A$5:$A$24,'菜品主数据'!$D$5:$D$24,0)</x:f>
        <x:v>29</x:v>
      </x:c>
      <x:c r="K431" s="31" t="n">
        <x:v>1</x:v>
      </x:c>
      <x:c r="L431" s="35" t="n">
        <x:f>J431*K431</x:f>
        <x:v>29</x:v>
      </x:c>
      <x:c r="M431" s="36" t="n">
        <x:v>0.08</x:v>
      </x:c>
      <x:c r="N431" s="35" t="n">
        <x:f>L431*M431</x:f>
        <x:v>2.32</x:v>
      </x:c>
      <x:c r="O431" s="37" t="n">
        <x:v>0.18</x:v>
      </x:c>
      <x:c r="P431" s="35" t="n">
        <x:f>L431*O431</x:f>
        <x:v>5.22</x:v>
      </x:c>
      <x:c r="Q431" s="35" t="n">
        <x:v>1.2</x:v>
      </x:c>
      <x:c r="R431" s="35" t="n">
        <x:f>K431*Q431</x:f>
        <x:v>1.2</x:v>
      </x:c>
      <x:c r="S431" s="35" t="n">
        <x:f>XLOOKUP(H431,'菜品主数据'!$A$5:$A$24,'菜品主数据'!$G$5:$G$24,0)</x:f>
        <x:v>10.231000000000002</x:v>
      </x:c>
      <x:c r="T431" s="35" t="n">
        <x:f>K431*S431</x:f>
        <x:v>10.231000000000002</x:v>
      </x:c>
      <x:c r="U431" s="35" t="n">
        <x:f>L431-N431-P431-R431-T431</x:f>
        <x:v>10.029</x:v>
      </x:c>
      <x:c r="V431" s="21" t="n">
        <x:f>IFERROR(U431/L431,0)</x:f>
        <x:v>0.3458275862068966</x:v>
      </x:c>
    </x:row>
    <x:row r="432">
      <x:c r="A432" s="19" t="str">
        <x:v>SALE-00428</x:v>
      </x:c>
      <x:c r="B432" s="34" t="n">
        <x:v>46213.5</x:v>
      </x:c>
      <x:c r="C432" s="19" t="str">
        <x:v>周五</x:v>
      </x:c>
      <x:c r="D432" s="19" t="str">
        <x:v>S02</x:v>
      </x:c>
      <x:c r="E432" s="19" t="str">
        <x:v>尊宝大厦店</x:v>
      </x:c>
      <x:c r="F432" s="19" t="str">
        <x:v>外卖</x:v>
      </x:c>
      <x:c r="G432" s="19" t="str">
        <x:v>全日</x:v>
      </x:c>
      <x:c r="H432" s="19" t="str">
        <x:v>D08</x:v>
      </x:c>
      <x:c r="I432" s="19" t="str">
        <x:v>生炒清远鸡</x:v>
      </x:c>
      <x:c r="J432" s="22" t="n">
        <x:f>XLOOKUP(H432,'菜品主数据'!$A$5:$A$24,'菜品主数据'!$D$5:$D$24,0)</x:f>
        <x:v>36</x:v>
      </x:c>
      <x:c r="K432" s="31" t="n">
        <x:v>1</x:v>
      </x:c>
      <x:c r="L432" s="35" t="n">
        <x:f>J432*K432</x:f>
        <x:v>36</x:v>
      </x:c>
      <x:c r="M432" s="36" t="n">
        <x:v>0.08</x:v>
      </x:c>
      <x:c r="N432" s="35" t="n">
        <x:f>L432*M432</x:f>
        <x:v>2.88</x:v>
      </x:c>
      <x:c r="O432" s="37" t="n">
        <x:v>0.18</x:v>
      </x:c>
      <x:c r="P432" s="35" t="n">
        <x:f>L432*O432</x:f>
        <x:v>6.4799999999999995</x:v>
      </x:c>
      <x:c r="Q432" s="35" t="n">
        <x:v>1.2</x:v>
      </x:c>
      <x:c r="R432" s="35" t="n">
        <x:f>K432*Q432</x:f>
        <x:v>1.2</x:v>
      </x:c>
      <x:c r="S432" s="35" t="n">
        <x:f>XLOOKUP(H432,'菜品主数据'!$A$5:$A$24,'菜品主数据'!$G$5:$G$24,0)</x:f>
        <x:v>13.48</x:v>
      </x:c>
      <x:c r="T432" s="35" t="n">
        <x:f>K432*S432</x:f>
        <x:v>13.48</x:v>
      </x:c>
      <x:c r="U432" s="35" t="n">
        <x:f>L432-N432-P432-R432-T432</x:f>
        <x:v>11.959999999999997</x:v>
      </x:c>
      <x:c r="V432" s="21" t="n">
        <x:f>IFERROR(U432/L432,0)</x:f>
        <x:v>0.33222222222222214</x:v>
      </x:c>
    </x:row>
    <x:row r="433">
      <x:c r="A433" s="19" t="str">
        <x:v>SALE-00429</x:v>
      </x:c>
      <x:c r="B433" s="34" t="n">
        <x:v>46213.5</x:v>
      </x:c>
      <x:c r="C433" s="19" t="str">
        <x:v>周五</x:v>
      </x:c>
      <x:c r="D433" s="19" t="str">
        <x:v>S02</x:v>
      </x:c>
      <x:c r="E433" s="19" t="str">
        <x:v>尊宝大厦店</x:v>
      </x:c>
      <x:c r="F433" s="19" t="str">
        <x:v>外卖</x:v>
      </x:c>
      <x:c r="G433" s="19" t="str">
        <x:v>全日</x:v>
      </x:c>
      <x:c r="H433" s="19" t="str">
        <x:v>D09</x:v>
      </x:c>
      <x:c r="I433" s="19" t="str">
        <x:v>炒豆干</x:v>
      </x:c>
      <x:c r="J433" s="22" t="n">
        <x:f>XLOOKUP(H433,'菜品主数据'!$A$5:$A$24,'菜品主数据'!$D$5:$D$24,0)</x:f>
        <x:v>18</x:v>
      </x:c>
      <x:c r="K433" s="31" t="n">
        <x:v>1</x:v>
      </x:c>
      <x:c r="L433" s="35" t="n">
        <x:f>J433*K433</x:f>
        <x:v>18</x:v>
      </x:c>
      <x:c r="M433" s="36" t="n">
        <x:v>0.08</x:v>
      </x:c>
      <x:c r="N433" s="35" t="n">
        <x:f>L433*M433</x:f>
        <x:v>1.44</x:v>
      </x:c>
      <x:c r="O433" s="37" t="n">
        <x:v>0.18</x:v>
      </x:c>
      <x:c r="P433" s="35" t="n">
        <x:f>L433*O433</x:f>
        <x:v>3.2399999999999998</x:v>
      </x:c>
      <x:c r="Q433" s="35" t="n">
        <x:v>1.2</x:v>
      </x:c>
      <x:c r="R433" s="35" t="n">
        <x:f>K433*Q433</x:f>
        <x:v>1.2</x:v>
      </x:c>
      <x:c r="S433" s="35" t="n">
        <x:f>XLOOKUP(H433,'菜品主数据'!$A$5:$A$24,'菜品主数据'!$G$5:$G$24,0)</x:f>
        <x:v>6.613999999999999</x:v>
      </x:c>
      <x:c r="T433" s="35" t="n">
        <x:f>K433*S433</x:f>
        <x:v>6.613999999999999</x:v>
      </x:c>
      <x:c r="U433" s="35" t="n">
        <x:f>L433-N433-P433-R433-T433</x:f>
        <x:v>5.506</x:v>
      </x:c>
      <x:c r="V433" s="21" t="n">
        <x:f>IFERROR(U433/L433,0)</x:f>
        <x:v>0.3058888888888889</x:v>
      </x:c>
    </x:row>
    <x:row r="434">
      <x:c r="A434" s="19" t="str">
        <x:v>SALE-00430</x:v>
      </x:c>
      <x:c r="B434" s="34" t="n">
        <x:v>46213.5</x:v>
      </x:c>
      <x:c r="C434" s="19" t="str">
        <x:v>周五</x:v>
      </x:c>
      <x:c r="D434" s="19" t="str">
        <x:v>S02</x:v>
      </x:c>
      <x:c r="E434" s="19" t="str">
        <x:v>尊宝大厦店</x:v>
      </x:c>
      <x:c r="F434" s="19" t="str">
        <x:v>外卖</x:v>
      </x:c>
      <x:c r="G434" s="19" t="str">
        <x:v>全日</x:v>
      </x:c>
      <x:c r="H434" s="19" t="str">
        <x:v>D10</x:v>
      </x:c>
      <x:c r="I434" s="19" t="str">
        <x:v>农家一碗香</x:v>
      </x:c>
      <x:c r="J434" s="22" t="n">
        <x:f>XLOOKUP(H434,'菜品主数据'!$A$5:$A$24,'菜品主数据'!$D$5:$D$24,0)</x:f>
        <x:v>22.9</x:v>
      </x:c>
      <x:c r="K434" s="31" t="n">
        <x:v>2</x:v>
      </x:c>
      <x:c r="L434" s="35" t="n">
        <x:f>J434*K434</x:f>
        <x:v>45.8</x:v>
      </x:c>
      <x:c r="M434" s="36" t="n">
        <x:v>0.08</x:v>
      </x:c>
      <x:c r="N434" s="35" t="n">
        <x:f>L434*M434</x:f>
        <x:v>3.6639999999999997</x:v>
      </x:c>
      <x:c r="O434" s="37" t="n">
        <x:v>0.18</x:v>
      </x:c>
      <x:c r="P434" s="35" t="n">
        <x:f>L434*O434</x:f>
        <x:v>8.244</x:v>
      </x:c>
      <x:c r="Q434" s="35" t="n">
        <x:v>1.2</x:v>
      </x:c>
      <x:c r="R434" s="35" t="n">
        <x:f>K434*Q434</x:f>
        <x:v>2.4</x:v>
      </x:c>
      <x:c r="S434" s="35" t="n">
        <x:f>XLOOKUP(H434,'菜品主数据'!$A$5:$A$24,'菜品主数据'!$G$5:$G$24,0)</x:f>
        <x:v>9.770200000000003</x:v>
      </x:c>
      <x:c r="T434" s="35" t="n">
        <x:f>K434*S434</x:f>
        <x:v>19.540400000000005</x:v>
      </x:c>
      <x:c r="U434" s="35" t="n">
        <x:f>L434-N434-P434-R434-T434</x:f>
        <x:v>11.951599999999992</x:v>
      </x:c>
      <x:c r="V434" s="21" t="n">
        <x:f>IFERROR(U434/L434,0)</x:f>
        <x:v>0.260951965065502</x:v>
      </x:c>
    </x:row>
    <x:row r="435">
      <x:c r="A435" s="19" t="str">
        <x:v>SALE-00431</x:v>
      </x:c>
      <x:c r="B435" s="34" t="n">
        <x:v>46213.5</x:v>
      </x:c>
      <x:c r="C435" s="19" t="str">
        <x:v>周五</x:v>
      </x:c>
      <x:c r="D435" s="19" t="str">
        <x:v>S02</x:v>
      </x:c>
      <x:c r="E435" s="19" t="str">
        <x:v>尊宝大厦店</x:v>
      </x:c>
      <x:c r="F435" s="19" t="str">
        <x:v>外卖</x:v>
      </x:c>
      <x:c r="G435" s="19" t="str">
        <x:v>全日</x:v>
      </x:c>
      <x:c r="H435" s="19" t="str">
        <x:v>D11</x:v>
      </x:c>
      <x:c r="I435" s="19" t="str">
        <x:v>香辣爆肥肠</x:v>
      </x:c>
      <x:c r="J435" s="22" t="n">
        <x:f>XLOOKUP(H435,'菜品主数据'!$A$5:$A$24,'菜品主数据'!$D$5:$D$24,0)</x:f>
        <x:v>39</x:v>
      </x:c>
      <x:c r="K435" s="31" t="n">
        <x:v>0</x:v>
      </x:c>
      <x:c r="L435" s="35" t="n">
        <x:f>J435*K435</x:f>
        <x:v>0</x:v>
      </x:c>
      <x:c r="M435" s="36" t="n">
        <x:v>0.08</x:v>
      </x:c>
      <x:c r="N435" s="35" t="n">
        <x:f>L435*M435</x:f>
        <x:v>0</x:v>
      </x:c>
      <x:c r="O435" s="37" t="n">
        <x:v>0.18</x:v>
      </x:c>
      <x:c r="P435" s="35" t="n">
        <x:f>L435*O435</x:f>
        <x:v>0</x:v>
      </x:c>
      <x:c r="Q435" s="35" t="n">
        <x:v>1.2</x:v>
      </x:c>
      <x:c r="R435" s="35" t="n">
        <x:f>K435*Q435</x:f>
        <x:v>0</x:v>
      </x:c>
      <x:c r="S435" s="35" t="n">
        <x:f>XLOOKUP(H435,'菜品主数据'!$A$5:$A$24,'菜品主数据'!$G$5:$G$24,0)</x:f>
        <x:v>10.397</x:v>
      </x:c>
      <x:c r="T435" s="35" t="n">
        <x:f>K435*S435</x:f>
        <x:v>0</x:v>
      </x:c>
      <x:c r="U435" s="35" t="n">
        <x:f>L435-N435-P435-R435-T435</x:f>
        <x:v>0</x:v>
      </x:c>
      <x:c r="V435" s="21" t="n">
        <x:f>IFERROR(U435/L435,0)</x:f>
        <x:v>0</x:v>
      </x:c>
    </x:row>
    <x:row r="436">
      <x:c r="A436" s="19" t="str">
        <x:v>SALE-00432</x:v>
      </x:c>
      <x:c r="B436" s="34" t="n">
        <x:v>46213.5</x:v>
      </x:c>
      <x:c r="C436" s="19" t="str">
        <x:v>周五</x:v>
      </x:c>
      <x:c r="D436" s="19" t="str">
        <x:v>S02</x:v>
      </x:c>
      <x:c r="E436" s="19" t="str">
        <x:v>尊宝大厦店</x:v>
      </x:c>
      <x:c r="F436" s="19" t="str">
        <x:v>外卖</x:v>
      </x:c>
      <x:c r="G436" s="19" t="str">
        <x:v>全日</x:v>
      </x:c>
      <x:c r="H436" s="19" t="str">
        <x:v>D12</x:v>
      </x:c>
      <x:c r="I436" s="19" t="str">
        <x:v>清蒸鲈鱼</x:v>
      </x:c>
      <x:c r="J436" s="22" t="n">
        <x:f>XLOOKUP(H436,'菜品主数据'!$A$5:$A$24,'菜品主数据'!$D$5:$D$24,0)</x:f>
        <x:v>39</x:v>
      </x:c>
      <x:c r="K436" s="31" t="n">
        <x:v>0</x:v>
      </x:c>
      <x:c r="L436" s="35" t="n">
        <x:f>J436*K436</x:f>
        <x:v>0</x:v>
      </x:c>
      <x:c r="M436" s="36" t="n">
        <x:v>0.08</x:v>
      </x:c>
      <x:c r="N436" s="35" t="n">
        <x:f>L436*M436</x:f>
        <x:v>0</x:v>
      </x:c>
      <x:c r="O436" s="37" t="n">
        <x:v>0.18</x:v>
      </x:c>
      <x:c r="P436" s="35" t="n">
        <x:f>L436*O436</x:f>
        <x:v>0</x:v>
      </x:c>
      <x:c r="Q436" s="35" t="n">
        <x:v>1.2</x:v>
      </x:c>
      <x:c r="R436" s="35" t="n">
        <x:f>K436*Q436</x:f>
        <x:v>0</x:v>
      </x:c>
      <x:c r="S436" s="35" t="n">
        <x:f>XLOOKUP(H436,'菜品主数据'!$A$5:$A$24,'菜品主数据'!$G$5:$G$24,0)</x:f>
        <x:v>18.874</x:v>
      </x:c>
      <x:c r="T436" s="35" t="n">
        <x:f>K436*S436</x:f>
        <x:v>0</x:v>
      </x:c>
      <x:c r="U436" s="35" t="n">
        <x:f>L436-N436-P436-R436-T436</x:f>
        <x:v>0</x:v>
      </x:c>
      <x:c r="V436" s="21" t="n">
        <x:f>IFERROR(U436/L436,0)</x:f>
        <x:v>0</x:v>
      </x:c>
    </x:row>
    <x:row r="437">
      <x:c r="A437" s="19" t="str">
        <x:v>SALE-00433</x:v>
      </x:c>
      <x:c r="B437" s="34" t="n">
        <x:v>46213.5</x:v>
      </x:c>
      <x:c r="C437" s="19" t="str">
        <x:v>周五</x:v>
      </x:c>
      <x:c r="D437" s="19" t="str">
        <x:v>S02</x:v>
      </x:c>
      <x:c r="E437" s="19" t="str">
        <x:v>尊宝大厦店</x:v>
      </x:c>
      <x:c r="F437" s="19" t="str">
        <x:v>外卖</x:v>
      </x:c>
      <x:c r="G437" s="19" t="str">
        <x:v>全日</x:v>
      </x:c>
      <x:c r="H437" s="19" t="str">
        <x:v>D13</x:v>
      </x:c>
      <x:c r="I437" s="19" t="str">
        <x:v>外婆菜炒蛋</x:v>
      </x:c>
      <x:c r="J437" s="22" t="n">
        <x:f>XLOOKUP(H437,'菜品主数据'!$A$5:$A$24,'菜品主数据'!$D$5:$D$24,0)</x:f>
        <x:v>18</x:v>
      </x:c>
      <x:c r="K437" s="31" t="n">
        <x:v>1</x:v>
      </x:c>
      <x:c r="L437" s="35" t="n">
        <x:f>J437*K437</x:f>
        <x:v>18</x:v>
      </x:c>
      <x:c r="M437" s="36" t="n">
        <x:v>0.08</x:v>
      </x:c>
      <x:c r="N437" s="35" t="n">
        <x:f>L437*M437</x:f>
        <x:v>1.44</x:v>
      </x:c>
      <x:c r="O437" s="37" t="n">
        <x:v>0.18</x:v>
      </x:c>
      <x:c r="P437" s="35" t="n">
        <x:f>L437*O437</x:f>
        <x:v>3.2399999999999998</x:v>
      </x:c>
      <x:c r="Q437" s="35" t="n">
        <x:v>1.2</x:v>
      </x:c>
      <x:c r="R437" s="35" t="n">
        <x:f>K437*Q437</x:f>
        <x:v>1.2</x:v>
      </x:c>
      <x:c r="S437" s="35" t="n">
        <x:f>XLOOKUP(H437,'菜品主数据'!$A$5:$A$24,'菜品主数据'!$G$5:$G$24,0)</x:f>
        <x:v>5.403999999999999</x:v>
      </x:c>
      <x:c r="T437" s="35" t="n">
        <x:f>K437*S437</x:f>
        <x:v>5.403999999999999</x:v>
      </x:c>
      <x:c r="U437" s="35" t="n">
        <x:f>L437-N437-P437-R437-T437</x:f>
        <x:v>6.716</x:v>
      </x:c>
      <x:c r="V437" s="21" t="n">
        <x:f>IFERROR(U437/L437,0)</x:f>
        <x:v>0.3731111111111111</x:v>
      </x:c>
    </x:row>
    <x:row r="438">
      <x:c r="A438" s="19" t="str">
        <x:v>SALE-00434</x:v>
      </x:c>
      <x:c r="B438" s="34" t="n">
        <x:v>46213.5</x:v>
      </x:c>
      <x:c r="C438" s="19" t="str">
        <x:v>周五</x:v>
      </x:c>
      <x:c r="D438" s="19" t="str">
        <x:v>S02</x:v>
      </x:c>
      <x:c r="E438" s="19" t="str">
        <x:v>尊宝大厦店</x:v>
      </x:c>
      <x:c r="F438" s="19" t="str">
        <x:v>外卖</x:v>
      </x:c>
      <x:c r="G438" s="19" t="str">
        <x:v>全日</x:v>
      </x:c>
      <x:c r="H438" s="19" t="str">
        <x:v>D14</x:v>
      </x:c>
      <x:c r="I438" s="19" t="str">
        <x:v>酸辣鸡杂</x:v>
      </x:c>
      <x:c r="J438" s="22" t="n">
        <x:f>XLOOKUP(H438,'菜品主数据'!$A$5:$A$24,'菜品主数据'!$D$5:$D$24,0)</x:f>
        <x:v>28</x:v>
      </x:c>
      <x:c r="K438" s="31" t="n">
        <x:v>0</x:v>
      </x:c>
      <x:c r="L438" s="35" t="n">
        <x:f>J438*K438</x:f>
        <x:v>0</x:v>
      </x:c>
      <x:c r="M438" s="36" t="n">
        <x:v>0.08</x:v>
      </x:c>
      <x:c r="N438" s="35" t="n">
        <x:f>L438*M438</x:f>
        <x:v>0</x:v>
      </x:c>
      <x:c r="O438" s="37" t="n">
        <x:v>0.18</x:v>
      </x:c>
      <x:c r="P438" s="35" t="n">
        <x:f>L438*O438</x:f>
        <x:v>0</x:v>
      </x:c>
      <x:c r="Q438" s="35" t="n">
        <x:v>1.2</x:v>
      </x:c>
      <x:c r="R438" s="35" t="n">
        <x:f>K438*Q438</x:f>
        <x:v>0</x:v>
      </x:c>
      <x:c r="S438" s="35" t="n">
        <x:f>XLOOKUP(H438,'菜品主数据'!$A$5:$A$24,'菜品主数据'!$G$5:$G$24,0)</x:f>
        <x:v>8.315000000000001</x:v>
      </x:c>
      <x:c r="T438" s="35" t="n">
        <x:f>K438*S438</x:f>
        <x:v>0</x:v>
      </x:c>
      <x:c r="U438" s="35" t="n">
        <x:f>L438-N438-P438-R438-T438</x:f>
        <x:v>0</x:v>
      </x:c>
      <x:c r="V438" s="21" t="n">
        <x:f>IFERROR(U438/L438,0)</x:f>
        <x:v>0</x:v>
      </x:c>
    </x:row>
    <x:row r="439">
      <x:c r="A439" s="19" t="str">
        <x:v>SALE-00435</x:v>
      </x:c>
      <x:c r="B439" s="34" t="n">
        <x:v>46213.5</x:v>
      </x:c>
      <x:c r="C439" s="19" t="str">
        <x:v>周五</x:v>
      </x:c>
      <x:c r="D439" s="19" t="str">
        <x:v>S02</x:v>
      </x:c>
      <x:c r="E439" s="19" t="str">
        <x:v>尊宝大厦店</x:v>
      </x:c>
      <x:c r="F439" s="19" t="str">
        <x:v>外卖</x:v>
      </x:c>
      <x:c r="G439" s="19" t="str">
        <x:v>全日</x:v>
      </x:c>
      <x:c r="H439" s="19" t="str">
        <x:v>D15</x:v>
      </x:c>
      <x:c r="I439" s="19" t="str">
        <x:v>湘西土匪猪肝</x:v>
      </x:c>
      <x:c r="J439" s="22" t="n">
        <x:f>XLOOKUP(H439,'菜品主数据'!$A$5:$A$24,'菜品主数据'!$D$5:$D$24,0)</x:f>
        <x:v>26</x:v>
      </x:c>
      <x:c r="K439" s="31" t="n">
        <x:v>0</x:v>
      </x:c>
      <x:c r="L439" s="35" t="n">
        <x:f>J439*K439</x:f>
        <x:v>0</x:v>
      </x:c>
      <x:c r="M439" s="36" t="n">
        <x:v>0.08</x:v>
      </x:c>
      <x:c r="N439" s="35" t="n">
        <x:f>L439*M439</x:f>
        <x:v>0</x:v>
      </x:c>
      <x:c r="O439" s="37" t="n">
        <x:v>0.18</x:v>
      </x:c>
      <x:c r="P439" s="35" t="n">
        <x:f>L439*O439</x:f>
        <x:v>0</x:v>
      </x:c>
      <x:c r="Q439" s="35" t="n">
        <x:v>1.2</x:v>
      </x:c>
      <x:c r="R439" s="35" t="n">
        <x:f>K439*Q439</x:f>
        <x:v>0</x:v>
      </x:c>
      <x:c r="S439" s="35" t="n">
        <x:f>XLOOKUP(H439,'菜品主数据'!$A$5:$A$24,'菜品主数据'!$G$5:$G$24,0)</x:f>
        <x:v>6.3759999999999994</x:v>
      </x:c>
      <x:c r="T439" s="35" t="n">
        <x:f>K439*S439</x:f>
        <x:v>0</x:v>
      </x:c>
      <x:c r="U439" s="35" t="n">
        <x:f>L439-N439-P439-R439-T439</x:f>
        <x:v>0</x:v>
      </x:c>
      <x:c r="V439" s="21" t="n">
        <x:f>IFERROR(U439/L439,0)</x:f>
        <x:v>0</x:v>
      </x:c>
    </x:row>
    <x:row r="440">
      <x:c r="A440" s="19" t="str">
        <x:v>SALE-00436</x:v>
      </x:c>
      <x:c r="B440" s="34" t="n">
        <x:v>46213.5</x:v>
      </x:c>
      <x:c r="C440" s="19" t="str">
        <x:v>周五</x:v>
      </x:c>
      <x:c r="D440" s="19" t="str">
        <x:v>S02</x:v>
      </x:c>
      <x:c r="E440" s="19" t="str">
        <x:v>尊宝大厦店</x:v>
      </x:c>
      <x:c r="F440" s="19" t="str">
        <x:v>外卖</x:v>
      </x:c>
      <x:c r="G440" s="19" t="str">
        <x:v>全日</x:v>
      </x:c>
      <x:c r="H440" s="19" t="str">
        <x:v>D16</x:v>
      </x:c>
      <x:c r="I440" s="19" t="str">
        <x:v>小豆角炒五花</x:v>
      </x:c>
      <x:c r="J440" s="22" t="n">
        <x:f>XLOOKUP(H440,'菜品主数据'!$A$5:$A$24,'菜品主数据'!$D$5:$D$24,0)</x:f>
        <x:v>25</x:v>
      </x:c>
      <x:c r="K440" s="31" t="n">
        <x:v>0</x:v>
      </x:c>
      <x:c r="L440" s="35" t="n">
        <x:f>J440*K440</x:f>
        <x:v>0</x:v>
      </x:c>
      <x:c r="M440" s="36" t="n">
        <x:v>0.08</x:v>
      </x:c>
      <x:c r="N440" s="35" t="n">
        <x:f>L440*M440</x:f>
        <x:v>0</x:v>
      </x:c>
      <x:c r="O440" s="37" t="n">
        <x:v>0.18</x:v>
      </x:c>
      <x:c r="P440" s="35" t="n">
        <x:f>L440*O440</x:f>
        <x:v>0</x:v>
      </x:c>
      <x:c r="Q440" s="35" t="n">
        <x:v>1.2</x:v>
      </x:c>
      <x:c r="R440" s="35" t="n">
        <x:f>K440*Q440</x:f>
        <x:v>0</x:v>
      </x:c>
      <x:c r="S440" s="35" t="n">
        <x:f>XLOOKUP(H440,'菜品主数据'!$A$5:$A$24,'菜品主数据'!$G$5:$G$24,0)</x:f>
        <x:v>8.184</x:v>
      </x:c>
      <x:c r="T440" s="35" t="n">
        <x:f>K440*S440</x:f>
        <x:v>0</x:v>
      </x:c>
      <x:c r="U440" s="35" t="n">
        <x:f>L440-N440-P440-R440-T440</x:f>
        <x:v>0</x:v>
      </x:c>
      <x:c r="V440" s="21" t="n">
        <x:f>IFERROR(U440/L440,0)</x:f>
        <x:v>0</x:v>
      </x:c>
    </x:row>
    <x:row r="441">
      <x:c r="A441" s="19" t="str">
        <x:v>SALE-00437</x:v>
      </x:c>
      <x:c r="B441" s="34" t="n">
        <x:v>46213.5</x:v>
      </x:c>
      <x:c r="C441" s="19" t="str">
        <x:v>周五</x:v>
      </x:c>
      <x:c r="D441" s="19" t="str">
        <x:v>S02</x:v>
      </x:c>
      <x:c r="E441" s="19" t="str">
        <x:v>尊宝大厦店</x:v>
      </x:c>
      <x:c r="F441" s="19" t="str">
        <x:v>外卖</x:v>
      </x:c>
      <x:c r="G441" s="19" t="str">
        <x:v>全日</x:v>
      </x:c>
      <x:c r="H441" s="19" t="str">
        <x:v>D17</x:v>
      </x:c>
      <x:c r="I441" s="19" t="str">
        <x:v>蒜蓉粉丝虾</x:v>
      </x:c>
      <x:c r="J441" s="22" t="n">
        <x:f>XLOOKUP(H441,'菜品主数据'!$A$5:$A$24,'菜品主数据'!$D$5:$D$24,0)</x:f>
        <x:v>36</x:v>
      </x:c>
      <x:c r="K441" s="31" t="n">
        <x:v>0</x:v>
      </x:c>
      <x:c r="L441" s="35" t="n">
        <x:f>J441*K441</x:f>
        <x:v>0</x:v>
      </x:c>
      <x:c r="M441" s="36" t="n">
        <x:v>0.08</x:v>
      </x:c>
      <x:c r="N441" s="35" t="n">
        <x:f>L441*M441</x:f>
        <x:v>0</x:v>
      </x:c>
      <x:c r="O441" s="37" t="n">
        <x:v>0.18</x:v>
      </x:c>
      <x:c r="P441" s="35" t="n">
        <x:f>L441*O441</x:f>
        <x:v>0</x:v>
      </x:c>
      <x:c r="Q441" s="35" t="n">
        <x:v>1.2</x:v>
      </x:c>
      <x:c r="R441" s="35" t="n">
        <x:f>K441*Q441</x:f>
        <x:v>0</x:v>
      </x:c>
      <x:c r="S441" s="35" t="n">
        <x:f>XLOOKUP(H441,'菜品主数据'!$A$5:$A$24,'菜品主数据'!$G$5:$G$24,0)</x:f>
        <x:v>13.594</x:v>
      </x:c>
      <x:c r="T441" s="35" t="n">
        <x:f>K441*S441</x:f>
        <x:v>0</x:v>
      </x:c>
      <x:c r="U441" s="35" t="n">
        <x:f>L441-N441-P441-R441-T441</x:f>
        <x:v>0</x:v>
      </x:c>
      <x:c r="V441" s="21" t="n">
        <x:f>IFERROR(U441/L441,0)</x:f>
        <x:v>0</x:v>
      </x:c>
    </x:row>
    <x:row r="442">
      <x:c r="A442" s="19" t="str">
        <x:v>SALE-00438</x:v>
      </x:c>
      <x:c r="B442" s="34" t="n">
        <x:v>46213.5</x:v>
      </x:c>
      <x:c r="C442" s="19" t="str">
        <x:v>周五</x:v>
      </x:c>
      <x:c r="D442" s="19" t="str">
        <x:v>S02</x:v>
      </x:c>
      <x:c r="E442" s="19" t="str">
        <x:v>尊宝大厦店</x:v>
      </x:c>
      <x:c r="F442" s="19" t="str">
        <x:v>外卖</x:v>
      </x:c>
      <x:c r="G442" s="19" t="str">
        <x:v>全日</x:v>
      </x:c>
      <x:c r="H442" s="19" t="str">
        <x:v>D18</x:v>
      </x:c>
      <x:c r="I442" s="19" t="str">
        <x:v>青椒炒油麦菜</x:v>
      </x:c>
      <x:c r="J442" s="22" t="n">
        <x:f>XLOOKUP(H442,'菜品主数据'!$A$5:$A$24,'菜品主数据'!$D$5:$D$24,0)</x:f>
        <x:v>18</x:v>
      </x:c>
      <x:c r="K442" s="31" t="n">
        <x:v>1</x:v>
      </x:c>
      <x:c r="L442" s="35" t="n">
        <x:f>J442*K442</x:f>
        <x:v>18</x:v>
      </x:c>
      <x:c r="M442" s="36" t="n">
        <x:v>0.08</x:v>
      </x:c>
      <x:c r="N442" s="35" t="n">
        <x:f>L442*M442</x:f>
        <x:v>1.44</x:v>
      </x:c>
      <x:c r="O442" s="37" t="n">
        <x:v>0.18</x:v>
      </x:c>
      <x:c r="P442" s="35" t="n">
        <x:f>L442*O442</x:f>
        <x:v>3.2399999999999998</x:v>
      </x:c>
      <x:c r="Q442" s="35" t="n">
        <x:v>1.2</x:v>
      </x:c>
      <x:c r="R442" s="35" t="n">
        <x:f>K442*Q442</x:f>
        <x:v>1.2</x:v>
      </x:c>
      <x:c r="S442" s="35" t="n">
        <x:f>XLOOKUP(H442,'菜品主数据'!$A$5:$A$24,'菜品主数据'!$G$5:$G$24,0)</x:f>
        <x:v>3.1759999999999993</x:v>
      </x:c>
      <x:c r="T442" s="35" t="n">
        <x:f>K442*S442</x:f>
        <x:v>3.1759999999999993</x:v>
      </x:c>
      <x:c r="U442" s="35" t="n">
        <x:f>L442-N442-P442-R442-T442</x:f>
        <x:v>8.943999999999999</x:v>
      </x:c>
      <x:c r="V442" s="21" t="n">
        <x:f>IFERROR(U442/L442,0)</x:f>
        <x:v>0.4968888888888888</x:v>
      </x:c>
    </x:row>
    <x:row r="443">
      <x:c r="A443" s="19" t="str">
        <x:v>SALE-00439</x:v>
      </x:c>
      <x:c r="B443" s="34" t="n">
        <x:v>46213.5</x:v>
      </x:c>
      <x:c r="C443" s="19" t="str">
        <x:v>周五</x:v>
      </x:c>
      <x:c r="D443" s="19" t="str">
        <x:v>S02</x:v>
      </x:c>
      <x:c r="E443" s="19" t="str">
        <x:v>尊宝大厦店</x:v>
      </x:c>
      <x:c r="F443" s="19" t="str">
        <x:v>外卖</x:v>
      </x:c>
      <x:c r="G443" s="19" t="str">
        <x:v>全日</x:v>
      </x:c>
      <x:c r="H443" s="19" t="str">
        <x:v>D19</x:v>
      </x:c>
      <x:c r="I443" s="19" t="str">
        <x:v>酸萝卜炒鸡杂</x:v>
      </x:c>
      <x:c r="J443" s="22" t="n">
        <x:f>XLOOKUP(H443,'菜品主数据'!$A$5:$A$24,'菜品主数据'!$D$5:$D$24,0)</x:f>
        <x:v>25</x:v>
      </x:c>
      <x:c r="K443" s="31" t="n">
        <x:v>0</x:v>
      </x:c>
      <x:c r="L443" s="35" t="n">
        <x:f>J443*K443</x:f>
        <x:v>0</x:v>
      </x:c>
      <x:c r="M443" s="36" t="n">
        <x:v>0.08</x:v>
      </x:c>
      <x:c r="N443" s="35" t="n">
        <x:f>L443*M443</x:f>
        <x:v>0</x:v>
      </x:c>
      <x:c r="O443" s="37" t="n">
        <x:v>0.18</x:v>
      </x:c>
      <x:c r="P443" s="35" t="n">
        <x:f>L443*O443</x:f>
        <x:v>0</x:v>
      </x:c>
      <x:c r="Q443" s="35" t="n">
        <x:v>1.2</x:v>
      </x:c>
      <x:c r="R443" s="35" t="n">
        <x:f>K443*Q443</x:f>
        <x:v>0</x:v>
      </x:c>
      <x:c r="S443" s="35" t="n">
        <x:f>XLOOKUP(H443,'菜品主数据'!$A$5:$A$24,'菜品主数据'!$G$5:$G$24,0)</x:f>
        <x:v>7.9399999999999995</x:v>
      </x:c>
      <x:c r="T443" s="35" t="n">
        <x:f>K443*S443</x:f>
        <x:v>0</x:v>
      </x:c>
      <x:c r="U443" s="35" t="n">
        <x:f>L443-N443-P443-R443-T443</x:f>
        <x:v>0</x:v>
      </x:c>
      <x:c r="V443" s="21" t="n">
        <x:f>IFERROR(U443/L443,0)</x:f>
        <x:v>0</x:v>
      </x:c>
    </x:row>
    <x:row r="444">
      <x:c r="A444" s="19" t="str">
        <x:v>SALE-00440</x:v>
      </x:c>
      <x:c r="B444" s="34" t="n">
        <x:v>46213.5</x:v>
      </x:c>
      <x:c r="C444" s="19" t="str">
        <x:v>周五</x:v>
      </x:c>
      <x:c r="D444" s="19" t="str">
        <x:v>S02</x:v>
      </x:c>
      <x:c r="E444" s="19" t="str">
        <x:v>尊宝大厦店</x:v>
      </x:c>
      <x:c r="F444" s="19" t="str">
        <x:v>外卖</x:v>
      </x:c>
      <x:c r="G444" s="19" t="str">
        <x:v>全日</x:v>
      </x:c>
      <x:c r="H444" s="19" t="str">
        <x:v>D20</x:v>
      </x:c>
      <x:c r="I444" s="19" t="str">
        <x:v>雪菜肉末青豆</x:v>
      </x:c>
      <x:c r="J444" s="22" t="n">
        <x:f>XLOOKUP(H444,'菜品主数据'!$A$5:$A$24,'菜品主数据'!$D$5:$D$24,0)</x:f>
        <x:v>18</x:v>
      </x:c>
      <x:c r="K444" s="31" t="n">
        <x:v>1</x:v>
      </x:c>
      <x:c r="L444" s="35" t="n">
        <x:f>J444*K444</x:f>
        <x:v>18</x:v>
      </x:c>
      <x:c r="M444" s="36" t="n">
        <x:v>0.08</x:v>
      </x:c>
      <x:c r="N444" s="35" t="n">
        <x:f>L444*M444</x:f>
        <x:v>1.44</x:v>
      </x:c>
      <x:c r="O444" s="37" t="n">
        <x:v>0.18</x:v>
      </x:c>
      <x:c r="P444" s="35" t="n">
        <x:f>L444*O444</x:f>
        <x:v>3.2399999999999998</x:v>
      </x:c>
      <x:c r="Q444" s="35" t="n">
        <x:v>1.2</x:v>
      </x:c>
      <x:c r="R444" s="35" t="n">
        <x:f>K444*Q444</x:f>
        <x:v>1.2</x:v>
      </x:c>
      <x:c r="S444" s="35" t="n">
        <x:f>XLOOKUP(H444,'菜品主数据'!$A$5:$A$24,'菜品主数据'!$G$5:$G$24,0)</x:f>
        <x:v>7.303999999999999</x:v>
      </x:c>
      <x:c r="T444" s="35" t="n">
        <x:f>K444*S444</x:f>
        <x:v>7.303999999999999</x:v>
      </x:c>
      <x:c r="U444" s="35" t="n">
        <x:f>L444-N444-P444-R444-T444</x:f>
        <x:v>4.816</x:v>
      </x:c>
      <x:c r="V444" s="21" t="n">
        <x:f>IFERROR(U444/L444,0)</x:f>
        <x:v>0.26755555555555555</x:v>
      </x:c>
    </x:row>
    <x:row r="445">
      <x:c r="A445" s="19" t="str">
        <x:v>SALE-00441</x:v>
      </x:c>
      <x:c r="B445" s="34" t="n">
        <x:v>46214.5</x:v>
      </x:c>
      <x:c r="C445" s="19" t="str">
        <x:v>周六</x:v>
      </x:c>
      <x:c r="D445" s="19" t="str">
        <x:v>S02</x:v>
      </x:c>
      <x:c r="E445" s="19" t="str">
        <x:v>尊宝大厦店</x:v>
      </x:c>
      <x:c r="F445" s="19" t="str">
        <x:v>堂食</x:v>
      </x:c>
      <x:c r="G445" s="19" t="str">
        <x:v>全日</x:v>
      </x:c>
      <x:c r="H445" s="19" t="str">
        <x:v>D01</x:v>
      </x:c>
      <x:c r="I445" s="19" t="str">
        <x:v>辣椒炒肉</x:v>
      </x:c>
      <x:c r="J445" s="22" t="n">
        <x:f>XLOOKUP(H445,'菜品主数据'!$A$5:$A$24,'菜品主数据'!$D$5:$D$24,0)</x:f>
        <x:v>29</x:v>
      </x:c>
      <x:c r="K445" s="31" t="n">
        <x:v>36</x:v>
      </x:c>
      <x:c r="L445" s="35" t="n">
        <x:f>J445*K445</x:f>
        <x:v>1044</x:v>
      </x:c>
      <x:c r="M445" s="36" t="n">
        <x:v>0</x:v>
      </x:c>
      <x:c r="N445" s="35" t="n">
        <x:f>L445*M445</x:f>
        <x:v>0</x:v>
      </x:c>
      <x:c r="O445" s="37" t="n">
        <x:v>0</x:v>
      </x:c>
      <x:c r="P445" s="35" t="n">
        <x:f>L445*O445</x:f>
        <x:v>0</x:v>
      </x:c>
      <x:c r="Q445" s="35" t="n">
        <x:v>0</x:v>
      </x:c>
      <x:c r="R445" s="35" t="n">
        <x:f>K445*Q445</x:f>
        <x:v>0</x:v>
      </x:c>
      <x:c r="S445" s="35" t="n">
        <x:f>XLOOKUP(H445,'菜品主数据'!$A$5:$A$24,'菜品主数据'!$G$5:$G$24,0)</x:f>
        <x:v>8.634400000000001</x:v>
      </x:c>
      <x:c r="T445" s="35" t="n">
        <x:f>K445*S445</x:f>
        <x:v>310.83840000000004</x:v>
      </x:c>
      <x:c r="U445" s="35" t="n">
        <x:f>L445-N445-P445-R445-T445</x:f>
        <x:v>733.1615999999999</x:v>
      </x:c>
      <x:c r="V445" s="21" t="n">
        <x:f>IFERROR(U445/L445,0)</x:f>
        <x:v>0.7022620689655171</x:v>
      </x:c>
    </x:row>
    <x:row r="446">
      <x:c r="A446" s="19" t="str">
        <x:v>SALE-00442</x:v>
      </x:c>
      <x:c r="B446" s="34" t="n">
        <x:v>46214.5</x:v>
      </x:c>
      <x:c r="C446" s="19" t="str">
        <x:v>周六</x:v>
      </x:c>
      <x:c r="D446" s="19" t="str">
        <x:v>S02</x:v>
      </x:c>
      <x:c r="E446" s="19" t="str">
        <x:v>尊宝大厦店</x:v>
      </x:c>
      <x:c r="F446" s="19" t="str">
        <x:v>堂食</x:v>
      </x:c>
      <x:c r="G446" s="19" t="str">
        <x:v>全日</x:v>
      </x:c>
      <x:c r="H446" s="19" t="str">
        <x:v>D02</x:v>
      </x:c>
      <x:c r="I446" s="19" t="str">
        <x:v>小炒黄牛肉</x:v>
      </x:c>
      <x:c r="J446" s="22" t="n">
        <x:f>XLOOKUP(H446,'菜品主数据'!$A$5:$A$24,'菜品主数据'!$D$5:$D$24,0)</x:f>
        <x:v>49</x:v>
      </x:c>
      <x:c r="K446" s="31" t="n">
        <x:v>23</x:v>
      </x:c>
      <x:c r="L446" s="35" t="n">
        <x:f>J446*K446</x:f>
        <x:v>1127</x:v>
      </x:c>
      <x:c r="M446" s="36" t="n">
        <x:v>0</x:v>
      </x:c>
      <x:c r="N446" s="35" t="n">
        <x:f>L446*M446</x:f>
        <x:v>0</x:v>
      </x:c>
      <x:c r="O446" s="37" t="n">
        <x:v>0</x:v>
      </x:c>
      <x:c r="P446" s="35" t="n">
        <x:f>L446*O446</x:f>
        <x:v>0</x:v>
      </x:c>
      <x:c r="Q446" s="35" t="n">
        <x:v>0</x:v>
      </x:c>
      <x:c r="R446" s="35" t="n">
        <x:f>K446*Q446</x:f>
        <x:v>0</x:v>
      </x:c>
      <x:c r="S446" s="35" t="n">
        <x:f>XLOOKUP(H446,'菜品主数据'!$A$5:$A$24,'菜品主数据'!$G$5:$G$24,0)</x:f>
        <x:v>17.577</x:v>
      </x:c>
      <x:c r="T446" s="35" t="n">
        <x:f>K446*S446</x:f>
        <x:v>404.271</x:v>
      </x:c>
      <x:c r="U446" s="35" t="n">
        <x:f>L446-N446-P446-R446-T446</x:f>
        <x:v>722.729</x:v>
      </x:c>
      <x:c r="V446" s="21" t="n">
        <x:f>IFERROR(U446/L446,0)</x:f>
        <x:v>0.6412857142857143</x:v>
      </x:c>
    </x:row>
    <x:row r="447">
      <x:c r="A447" s="19" t="str">
        <x:v>SALE-00443</x:v>
      </x:c>
      <x:c r="B447" s="34" t="n">
        <x:v>46214.5</x:v>
      </x:c>
      <x:c r="C447" s="19" t="str">
        <x:v>周六</x:v>
      </x:c>
      <x:c r="D447" s="19" t="str">
        <x:v>S02</x:v>
      </x:c>
      <x:c r="E447" s="19" t="str">
        <x:v>尊宝大厦店</x:v>
      </x:c>
      <x:c r="F447" s="19" t="str">
        <x:v>堂食</x:v>
      </x:c>
      <x:c r="G447" s="19" t="str">
        <x:v>全日</x:v>
      </x:c>
      <x:c r="H447" s="19" t="str">
        <x:v>D03</x:v>
      </x:c>
      <x:c r="I447" s="19" t="str">
        <x:v>香醋炒蛋</x:v>
      </x:c>
      <x:c r="J447" s="22" t="n">
        <x:f>XLOOKUP(H447,'菜品主数据'!$A$5:$A$24,'菜品主数据'!$D$5:$D$24,0)</x:f>
        <x:v>14.9</x:v>
      </x:c>
      <x:c r="K447" s="31" t="n">
        <x:v>29</x:v>
      </x:c>
      <x:c r="L447" s="35" t="n">
        <x:f>J447*K447</x:f>
        <x:v>432.1</x:v>
      </x:c>
      <x:c r="M447" s="36" t="n">
        <x:v>0</x:v>
      </x:c>
      <x:c r="N447" s="35" t="n">
        <x:f>L447*M447</x:f>
        <x:v>0</x:v>
      </x:c>
      <x:c r="O447" s="37" t="n">
        <x:v>0</x:v>
      </x:c>
      <x:c r="P447" s="35" t="n">
        <x:f>L447*O447</x:f>
        <x:v>0</x:v>
      </x:c>
      <x:c r="Q447" s="35" t="n">
        <x:v>0</x:v>
      </x:c>
      <x:c r="R447" s="35" t="n">
        <x:f>K447*Q447</x:f>
        <x:v>0</x:v>
      </x:c>
      <x:c r="S447" s="35" t="n">
        <x:f>XLOOKUP(H447,'菜品主数据'!$A$5:$A$24,'菜品主数据'!$G$5:$G$24,0)</x:f>
        <x:v>3.7459999999999996</x:v>
      </x:c>
      <x:c r="T447" s="35" t="n">
        <x:f>K447*S447</x:f>
        <x:v>108.63399999999999</x:v>
      </x:c>
      <x:c r="U447" s="35" t="n">
        <x:f>L447-N447-P447-R447-T447</x:f>
        <x:v>323.466</x:v>
      </x:c>
      <x:c r="V447" s="21" t="n">
        <x:f>IFERROR(U447/L447,0)</x:f>
        <x:v>0.7485906040268456</x:v>
      </x:c>
    </x:row>
    <x:row r="448">
      <x:c r="A448" s="19" t="str">
        <x:v>SALE-00444</x:v>
      </x:c>
      <x:c r="B448" s="34" t="n">
        <x:v>46214.5</x:v>
      </x:c>
      <x:c r="C448" s="19" t="str">
        <x:v>周六</x:v>
      </x:c>
      <x:c r="D448" s="19" t="str">
        <x:v>S02</x:v>
      </x:c>
      <x:c r="E448" s="19" t="str">
        <x:v>尊宝大厦店</x:v>
      </x:c>
      <x:c r="F448" s="19" t="str">
        <x:v>堂食</x:v>
      </x:c>
      <x:c r="G448" s="19" t="str">
        <x:v>全日</x:v>
      </x:c>
      <x:c r="H448" s="19" t="str">
        <x:v>D04</x:v>
      </x:c>
      <x:c r="I448" s="19" t="str">
        <x:v>酸包菜炒粉皮</x:v>
      </x:c>
      <x:c r="J448" s="22" t="n">
        <x:f>XLOOKUP(H448,'菜品主数据'!$A$5:$A$24,'菜品主数据'!$D$5:$D$24,0)</x:f>
        <x:v>16</x:v>
      </x:c>
      <x:c r="K448" s="31" t="n">
        <x:v>27</x:v>
      </x:c>
      <x:c r="L448" s="35" t="n">
        <x:f>J448*K448</x:f>
        <x:v>432</x:v>
      </x:c>
      <x:c r="M448" s="36" t="n">
        <x:v>0</x:v>
      </x:c>
      <x:c r="N448" s="35" t="n">
        <x:f>L448*M448</x:f>
        <x:v>0</x:v>
      </x:c>
      <x:c r="O448" s="37" t="n">
        <x:v>0</x:v>
      </x:c>
      <x:c r="P448" s="35" t="n">
        <x:f>L448*O448</x:f>
        <x:v>0</x:v>
      </x:c>
      <x:c r="Q448" s="35" t="n">
        <x:v>0</x:v>
      </x:c>
      <x:c r="R448" s="35" t="n">
        <x:f>K448*Q448</x:f>
        <x:v>0</x:v>
      </x:c>
      <x:c r="S448" s="35" t="n">
        <x:f>XLOOKUP(H448,'菜品主数据'!$A$5:$A$24,'菜品主数据'!$G$5:$G$24,0)</x:f>
        <x:v>3.978</x:v>
      </x:c>
      <x:c r="T448" s="35" t="n">
        <x:f>K448*S448</x:f>
        <x:v>107.406</x:v>
      </x:c>
      <x:c r="U448" s="35" t="n">
        <x:f>L448-N448-P448-R448-T448</x:f>
        <x:v>324.594</x:v>
      </x:c>
      <x:c r="V448" s="21" t="n">
        <x:f>IFERROR(U448/L448,0)</x:f>
        <x:v>0.751375</x:v>
      </x:c>
    </x:row>
    <x:row r="449">
      <x:c r="A449" s="19" t="str">
        <x:v>SALE-00445</x:v>
      </x:c>
      <x:c r="B449" s="34" t="n">
        <x:v>46214.5</x:v>
      </x:c>
      <x:c r="C449" s="19" t="str">
        <x:v>周六</x:v>
      </x:c>
      <x:c r="D449" s="19" t="str">
        <x:v>S02</x:v>
      </x:c>
      <x:c r="E449" s="19" t="str">
        <x:v>尊宝大厦店</x:v>
      </x:c>
      <x:c r="F449" s="19" t="str">
        <x:v>堂食</x:v>
      </x:c>
      <x:c r="G449" s="19" t="str">
        <x:v>全日</x:v>
      </x:c>
      <x:c r="H449" s="19" t="str">
        <x:v>D05</x:v>
      </x:c>
      <x:c r="I449" s="19" t="str">
        <x:v>麻婆豆腐</x:v>
      </x:c>
      <x:c r="J449" s="22" t="n">
        <x:f>XLOOKUP(H449,'菜品主数据'!$A$5:$A$24,'菜品主数据'!$D$5:$D$24,0)</x:f>
        <x:v>9.9</x:v>
      </x:c>
      <x:c r="K449" s="31" t="n">
        <x:v>41</x:v>
      </x:c>
      <x:c r="L449" s="35" t="n">
        <x:f>J449*K449</x:f>
        <x:v>405.90000000000003</x:v>
      </x:c>
      <x:c r="M449" s="36" t="n">
        <x:v>0</x:v>
      </x:c>
      <x:c r="N449" s="35" t="n">
        <x:f>L449*M449</x:f>
        <x:v>0</x:v>
      </x:c>
      <x:c r="O449" s="37" t="n">
        <x:v>0</x:v>
      </x:c>
      <x:c r="P449" s="35" t="n">
        <x:f>L449*O449</x:f>
        <x:v>0</x:v>
      </x:c>
      <x:c r="Q449" s="35" t="n">
        <x:v>0</x:v>
      </x:c>
      <x:c r="R449" s="35" t="n">
        <x:f>K449*Q449</x:f>
        <x:v>0</x:v>
      </x:c>
      <x:c r="S449" s="35" t="n">
        <x:f>XLOOKUP(H449,'菜品主数据'!$A$5:$A$24,'菜品主数据'!$G$5:$G$24,0)</x:f>
        <x:v>5.367000000000001</x:v>
      </x:c>
      <x:c r="T449" s="35" t="n">
        <x:f>K449*S449</x:f>
        <x:v>220.04700000000003</x:v>
      </x:c>
      <x:c r="U449" s="35" t="n">
        <x:f>L449-N449-P449-R449-T449</x:f>
        <x:v>185.853</x:v>
      </x:c>
      <x:c r="V449" s="21" t="n">
        <x:f>IFERROR(U449/L449,0)</x:f>
        <x:v>0.4578787878787879</x:v>
      </x:c>
    </x:row>
    <x:row r="450">
      <x:c r="A450" s="19" t="str">
        <x:v>SALE-00446</x:v>
      </x:c>
      <x:c r="B450" s="34" t="n">
        <x:v>46214.5</x:v>
      </x:c>
      <x:c r="C450" s="19" t="str">
        <x:v>周六</x:v>
      </x:c>
      <x:c r="D450" s="19" t="str">
        <x:v>S02</x:v>
      </x:c>
      <x:c r="E450" s="19" t="str">
        <x:v>尊宝大厦店</x:v>
      </x:c>
      <x:c r="F450" s="19" t="str">
        <x:v>堂食</x:v>
      </x:c>
      <x:c r="G450" s="19" t="str">
        <x:v>全日</x:v>
      </x:c>
      <x:c r="H450" s="19" t="str">
        <x:v>D06</x:v>
      </x:c>
      <x:c r="I450" s="19" t="str">
        <x:v>剁椒鱼头</x:v>
      </x:c>
      <x:c r="J450" s="22" t="n">
        <x:f>XLOOKUP(H450,'菜品主数据'!$A$5:$A$24,'菜品主数据'!$D$5:$D$24,0)</x:f>
        <x:v>39</x:v>
      </x:c>
      <x:c r="K450" s="31" t="n">
        <x:v>9</x:v>
      </x:c>
      <x:c r="L450" s="35" t="n">
        <x:f>J450*K450</x:f>
        <x:v>351</x:v>
      </x:c>
      <x:c r="M450" s="36" t="n">
        <x:v>0</x:v>
      </x:c>
      <x:c r="N450" s="35" t="n">
        <x:f>L450*M450</x:f>
        <x:v>0</x:v>
      </x:c>
      <x:c r="O450" s="37" t="n">
        <x:v>0</x:v>
      </x:c>
      <x:c r="P450" s="35" t="n">
        <x:f>L450*O450</x:f>
        <x:v>0</x:v>
      </x:c>
      <x:c r="Q450" s="35" t="n">
        <x:v>0</x:v>
      </x:c>
      <x:c r="R450" s="35" t="n">
        <x:f>K450*Q450</x:f>
        <x:v>0</x:v>
      </x:c>
      <x:c r="S450" s="35" t="n">
        <x:f>XLOOKUP(H450,'菜品主数据'!$A$5:$A$24,'菜品主数据'!$G$5:$G$24,0)</x:f>
        <x:v>17.446</x:v>
      </x:c>
      <x:c r="T450" s="35" t="n">
        <x:f>K450*S450</x:f>
        <x:v>157.014</x:v>
      </x:c>
      <x:c r="U450" s="35" t="n">
        <x:f>L450-N450-P450-R450-T450</x:f>
        <x:v>193.986</x:v>
      </x:c>
      <x:c r="V450" s="21" t="n">
        <x:f>IFERROR(U450/L450,0)</x:f>
        <x:v>0.5526666666666666</x:v>
      </x:c>
    </x:row>
    <x:row r="451">
      <x:c r="A451" s="19" t="str">
        <x:v>SALE-00447</x:v>
      </x:c>
      <x:c r="B451" s="34" t="n">
        <x:v>46214.5</x:v>
      </x:c>
      <x:c r="C451" s="19" t="str">
        <x:v>周六</x:v>
      </x:c>
      <x:c r="D451" s="19" t="str">
        <x:v>S02</x:v>
      </x:c>
      <x:c r="E451" s="19" t="str">
        <x:v>尊宝大厦店</x:v>
      </x:c>
      <x:c r="F451" s="19" t="str">
        <x:v>堂食</x:v>
      </x:c>
      <x:c r="G451" s="19" t="str">
        <x:v>全日</x:v>
      </x:c>
      <x:c r="H451" s="19" t="str">
        <x:v>D07</x:v>
      </x:c>
      <x:c r="I451" s="19" t="str">
        <x:v>川味回锅肉</x:v>
      </x:c>
      <x:c r="J451" s="22" t="n">
        <x:f>XLOOKUP(H451,'菜品主数据'!$A$5:$A$24,'菜品主数据'!$D$5:$D$24,0)</x:f>
        <x:v>29</x:v>
      </x:c>
      <x:c r="K451" s="31" t="n">
        <x:v>12</x:v>
      </x:c>
      <x:c r="L451" s="35" t="n">
        <x:f>J451*K451</x:f>
        <x:v>348</x:v>
      </x:c>
      <x:c r="M451" s="36" t="n">
        <x:v>0</x:v>
      </x:c>
      <x:c r="N451" s="35" t="n">
        <x:f>L451*M451</x:f>
        <x:v>0</x:v>
      </x:c>
      <x:c r="O451" s="37" t="n">
        <x:v>0</x:v>
      </x:c>
      <x:c r="P451" s="35" t="n">
        <x:f>L451*O451</x:f>
        <x:v>0</x:v>
      </x:c>
      <x:c r="Q451" s="35" t="n">
        <x:v>0</x:v>
      </x:c>
      <x:c r="R451" s="35" t="n">
        <x:f>K451*Q451</x:f>
        <x:v>0</x:v>
      </x:c>
      <x:c r="S451" s="35" t="n">
        <x:f>XLOOKUP(H451,'菜品主数据'!$A$5:$A$24,'菜品主数据'!$G$5:$G$24,0)</x:f>
        <x:v>10.231000000000002</x:v>
      </x:c>
      <x:c r="T451" s="35" t="n">
        <x:f>K451*S451</x:f>
        <x:v>122.77200000000002</x:v>
      </x:c>
      <x:c r="U451" s="35" t="n">
        <x:f>L451-N451-P451-R451-T451</x:f>
        <x:v>225.22799999999998</x:v>
      </x:c>
      <x:c r="V451" s="21" t="n">
        <x:f>IFERROR(U451/L451,0)</x:f>
        <x:v>0.647206896551724</x:v>
      </x:c>
    </x:row>
    <x:row r="452">
      <x:c r="A452" s="19" t="str">
        <x:v>SALE-00448</x:v>
      </x:c>
      <x:c r="B452" s="34" t="n">
        <x:v>46214.5</x:v>
      </x:c>
      <x:c r="C452" s="19" t="str">
        <x:v>周六</x:v>
      </x:c>
      <x:c r="D452" s="19" t="str">
        <x:v>S02</x:v>
      </x:c>
      <x:c r="E452" s="19" t="str">
        <x:v>尊宝大厦店</x:v>
      </x:c>
      <x:c r="F452" s="19" t="str">
        <x:v>堂食</x:v>
      </x:c>
      <x:c r="G452" s="19" t="str">
        <x:v>全日</x:v>
      </x:c>
      <x:c r="H452" s="19" t="str">
        <x:v>D08</x:v>
      </x:c>
      <x:c r="I452" s="19" t="str">
        <x:v>生炒清远鸡</x:v>
      </x:c>
      <x:c r="J452" s="22" t="n">
        <x:f>XLOOKUP(H452,'菜品主数据'!$A$5:$A$24,'菜品主数据'!$D$5:$D$24,0)</x:f>
        <x:v>36</x:v>
      </x:c>
      <x:c r="K452" s="31" t="n">
        <x:v>9</x:v>
      </x:c>
      <x:c r="L452" s="35" t="n">
        <x:f>J452*K452</x:f>
        <x:v>324</x:v>
      </x:c>
      <x:c r="M452" s="36" t="n">
        <x:v>0</x:v>
      </x:c>
      <x:c r="N452" s="35" t="n">
        <x:f>L452*M452</x:f>
        <x:v>0</x:v>
      </x:c>
      <x:c r="O452" s="37" t="n">
        <x:v>0</x:v>
      </x:c>
      <x:c r="P452" s="35" t="n">
        <x:f>L452*O452</x:f>
        <x:v>0</x:v>
      </x:c>
      <x:c r="Q452" s="35" t="n">
        <x:v>0</x:v>
      </x:c>
      <x:c r="R452" s="35" t="n">
        <x:f>K452*Q452</x:f>
        <x:v>0</x:v>
      </x:c>
      <x:c r="S452" s="35" t="n">
        <x:f>XLOOKUP(H452,'菜品主数据'!$A$5:$A$24,'菜品主数据'!$G$5:$G$24,0)</x:f>
        <x:v>13.48</x:v>
      </x:c>
      <x:c r="T452" s="35" t="n">
        <x:f>K452*S452</x:f>
        <x:v>121.32000000000001</x:v>
      </x:c>
      <x:c r="U452" s="35" t="n">
        <x:f>L452-N452-P452-R452-T452</x:f>
        <x:v>202.68</x:v>
      </x:c>
      <x:c r="V452" s="21" t="n">
        <x:f>IFERROR(U452/L452,0)</x:f>
        <x:v>0.6255555555555555</x:v>
      </x:c>
    </x:row>
    <x:row r="453">
      <x:c r="A453" s="19" t="str">
        <x:v>SALE-00449</x:v>
      </x:c>
      <x:c r="B453" s="34" t="n">
        <x:v>46214.5</x:v>
      </x:c>
      <x:c r="C453" s="19" t="str">
        <x:v>周六</x:v>
      </x:c>
      <x:c r="D453" s="19" t="str">
        <x:v>S02</x:v>
      </x:c>
      <x:c r="E453" s="19" t="str">
        <x:v>尊宝大厦店</x:v>
      </x:c>
      <x:c r="F453" s="19" t="str">
        <x:v>堂食</x:v>
      </x:c>
      <x:c r="G453" s="19" t="str">
        <x:v>全日</x:v>
      </x:c>
      <x:c r="H453" s="19" t="str">
        <x:v>D09</x:v>
      </x:c>
      <x:c r="I453" s="19" t="str">
        <x:v>炒豆干</x:v>
      </x:c>
      <x:c r="J453" s="22" t="n">
        <x:f>XLOOKUP(H453,'菜品主数据'!$A$5:$A$24,'菜品主数据'!$D$5:$D$24,0)</x:f>
        <x:v>18</x:v>
      </x:c>
      <x:c r="K453" s="31" t="n">
        <x:v>13</x:v>
      </x:c>
      <x:c r="L453" s="35" t="n">
        <x:f>J453*K453</x:f>
        <x:v>234</x:v>
      </x:c>
      <x:c r="M453" s="36" t="n">
        <x:v>0</x:v>
      </x:c>
      <x:c r="N453" s="35" t="n">
        <x:f>L453*M453</x:f>
        <x:v>0</x:v>
      </x:c>
      <x:c r="O453" s="37" t="n">
        <x:v>0</x:v>
      </x:c>
      <x:c r="P453" s="35" t="n">
        <x:f>L453*O453</x:f>
        <x:v>0</x:v>
      </x:c>
      <x:c r="Q453" s="35" t="n">
        <x:v>0</x:v>
      </x:c>
      <x:c r="R453" s="35" t="n">
        <x:f>K453*Q453</x:f>
        <x:v>0</x:v>
      </x:c>
      <x:c r="S453" s="35" t="n">
        <x:f>XLOOKUP(H453,'菜品主数据'!$A$5:$A$24,'菜品主数据'!$G$5:$G$24,0)</x:f>
        <x:v>6.613999999999999</x:v>
      </x:c>
      <x:c r="T453" s="35" t="n">
        <x:f>K453*S453</x:f>
        <x:v>85.98199999999999</x:v>
      </x:c>
      <x:c r="U453" s="35" t="n">
        <x:f>L453-N453-P453-R453-T453</x:f>
        <x:v>148.01800000000003</x:v>
      </x:c>
      <x:c r="V453" s="21" t="n">
        <x:f>IFERROR(U453/L453,0)</x:f>
        <x:v>0.6325555555555556</x:v>
      </x:c>
    </x:row>
    <x:row r="454">
      <x:c r="A454" s="19" t="str">
        <x:v>SALE-00450</x:v>
      </x:c>
      <x:c r="B454" s="34" t="n">
        <x:v>46214.5</x:v>
      </x:c>
      <x:c r="C454" s="19" t="str">
        <x:v>周六</x:v>
      </x:c>
      <x:c r="D454" s="19" t="str">
        <x:v>S02</x:v>
      </x:c>
      <x:c r="E454" s="19" t="str">
        <x:v>尊宝大厦店</x:v>
      </x:c>
      <x:c r="F454" s="19" t="str">
        <x:v>堂食</x:v>
      </x:c>
      <x:c r="G454" s="19" t="str">
        <x:v>全日</x:v>
      </x:c>
      <x:c r="H454" s="19" t="str">
        <x:v>D10</x:v>
      </x:c>
      <x:c r="I454" s="19" t="str">
        <x:v>农家一碗香</x:v>
      </x:c>
      <x:c r="J454" s="22" t="n">
        <x:f>XLOOKUP(H454,'菜品主数据'!$A$5:$A$24,'菜品主数据'!$D$5:$D$24,0)</x:f>
        <x:v>22.9</x:v>
      </x:c>
      <x:c r="K454" s="31" t="n">
        <x:v>14</x:v>
      </x:c>
      <x:c r="L454" s="35" t="n">
        <x:f>J454*K454</x:f>
        <x:v>320.59999999999997</x:v>
      </x:c>
      <x:c r="M454" s="36" t="n">
        <x:v>0</x:v>
      </x:c>
      <x:c r="N454" s="35" t="n">
        <x:f>L454*M454</x:f>
        <x:v>0</x:v>
      </x:c>
      <x:c r="O454" s="37" t="n">
        <x:v>0</x:v>
      </x:c>
      <x:c r="P454" s="35" t="n">
        <x:f>L454*O454</x:f>
        <x:v>0</x:v>
      </x:c>
      <x:c r="Q454" s="35" t="n">
        <x:v>0</x:v>
      </x:c>
      <x:c r="R454" s="35" t="n">
        <x:f>K454*Q454</x:f>
        <x:v>0</x:v>
      </x:c>
      <x:c r="S454" s="35" t="n">
        <x:f>XLOOKUP(H454,'菜品主数据'!$A$5:$A$24,'菜品主数据'!$G$5:$G$24,0)</x:f>
        <x:v>9.770200000000003</x:v>
      </x:c>
      <x:c r="T454" s="35" t="n">
        <x:f>K454*S454</x:f>
        <x:v>136.78280000000004</x:v>
      </x:c>
      <x:c r="U454" s="35" t="n">
        <x:f>L454-N454-P454-R454-T454</x:f>
        <x:v>183.81719999999993</x:v>
      </x:c>
      <x:c r="V454" s="21" t="n">
        <x:f>IFERROR(U454/L454,0)</x:f>
        <x:v>0.5733537117903929</x:v>
      </x:c>
    </x:row>
    <x:row r="455">
      <x:c r="A455" s="19" t="str">
        <x:v>SALE-00451</x:v>
      </x:c>
      <x:c r="B455" s="34" t="n">
        <x:v>46214.5</x:v>
      </x:c>
      <x:c r="C455" s="19" t="str">
        <x:v>周六</x:v>
      </x:c>
      <x:c r="D455" s="19" t="str">
        <x:v>S02</x:v>
      </x:c>
      <x:c r="E455" s="19" t="str">
        <x:v>尊宝大厦店</x:v>
      </x:c>
      <x:c r="F455" s="19" t="str">
        <x:v>堂食</x:v>
      </x:c>
      <x:c r="G455" s="19" t="str">
        <x:v>全日</x:v>
      </x:c>
      <x:c r="H455" s="19" t="str">
        <x:v>D11</x:v>
      </x:c>
      <x:c r="I455" s="19" t="str">
        <x:v>香辣爆肥肠</x:v>
      </x:c>
      <x:c r="J455" s="22" t="n">
        <x:f>XLOOKUP(H455,'菜品主数据'!$A$5:$A$24,'菜品主数据'!$D$5:$D$24,0)</x:f>
        <x:v>39</x:v>
      </x:c>
      <x:c r="K455" s="31" t="n">
        <x:v>5</x:v>
      </x:c>
      <x:c r="L455" s="35" t="n">
        <x:f>J455*K455</x:f>
        <x:v>195</x:v>
      </x:c>
      <x:c r="M455" s="36" t="n">
        <x:v>0</x:v>
      </x:c>
      <x:c r="N455" s="35" t="n">
        <x:f>L455*M455</x:f>
        <x:v>0</x:v>
      </x:c>
      <x:c r="O455" s="37" t="n">
        <x:v>0</x:v>
      </x:c>
      <x:c r="P455" s="35" t="n">
        <x:f>L455*O455</x:f>
        <x:v>0</x:v>
      </x:c>
      <x:c r="Q455" s="35" t="n">
        <x:v>0</x:v>
      </x:c>
      <x:c r="R455" s="35" t="n">
        <x:f>K455*Q455</x:f>
        <x:v>0</x:v>
      </x:c>
      <x:c r="S455" s="35" t="n">
        <x:f>XLOOKUP(H455,'菜品主数据'!$A$5:$A$24,'菜品主数据'!$G$5:$G$24,0)</x:f>
        <x:v>10.397</x:v>
      </x:c>
      <x:c r="T455" s="35" t="n">
        <x:f>K455*S455</x:f>
        <x:v>51.985</x:v>
      </x:c>
      <x:c r="U455" s="35" t="n">
        <x:f>L455-N455-P455-R455-T455</x:f>
        <x:v>143.015</x:v>
      </x:c>
      <x:c r="V455" s="21" t="n">
        <x:f>IFERROR(U455/L455,0)</x:f>
        <x:v>0.7334102564102564</x:v>
      </x:c>
    </x:row>
    <x:row r="456">
      <x:c r="A456" s="19" t="str">
        <x:v>SALE-00452</x:v>
      </x:c>
      <x:c r="B456" s="34" t="n">
        <x:v>46214.5</x:v>
      </x:c>
      <x:c r="C456" s="19" t="str">
        <x:v>周六</x:v>
      </x:c>
      <x:c r="D456" s="19" t="str">
        <x:v>S02</x:v>
      </x:c>
      <x:c r="E456" s="19" t="str">
        <x:v>尊宝大厦店</x:v>
      </x:c>
      <x:c r="F456" s="19" t="str">
        <x:v>堂食</x:v>
      </x:c>
      <x:c r="G456" s="19" t="str">
        <x:v>全日</x:v>
      </x:c>
      <x:c r="H456" s="19" t="str">
        <x:v>D12</x:v>
      </x:c>
      <x:c r="I456" s="19" t="str">
        <x:v>清蒸鲈鱼</x:v>
      </x:c>
      <x:c r="J456" s="22" t="n">
        <x:f>XLOOKUP(H456,'菜品主数据'!$A$5:$A$24,'菜品主数据'!$D$5:$D$24,0)</x:f>
        <x:v>39</x:v>
      </x:c>
      <x:c r="K456" s="31" t="n">
        <x:v>6</x:v>
      </x:c>
      <x:c r="L456" s="35" t="n">
        <x:f>J456*K456</x:f>
        <x:v>234</x:v>
      </x:c>
      <x:c r="M456" s="36" t="n">
        <x:v>0</x:v>
      </x:c>
      <x:c r="N456" s="35" t="n">
        <x:f>L456*M456</x:f>
        <x:v>0</x:v>
      </x:c>
      <x:c r="O456" s="37" t="n">
        <x:v>0</x:v>
      </x:c>
      <x:c r="P456" s="35" t="n">
        <x:f>L456*O456</x:f>
        <x:v>0</x:v>
      </x:c>
      <x:c r="Q456" s="35" t="n">
        <x:v>0</x:v>
      </x:c>
      <x:c r="R456" s="35" t="n">
        <x:f>K456*Q456</x:f>
        <x:v>0</x:v>
      </x:c>
      <x:c r="S456" s="35" t="n">
        <x:f>XLOOKUP(H456,'菜品主数据'!$A$5:$A$24,'菜品主数据'!$G$5:$G$24,0)</x:f>
        <x:v>18.874</x:v>
      </x:c>
      <x:c r="T456" s="35" t="n">
        <x:f>K456*S456</x:f>
        <x:v>113.244</x:v>
      </x:c>
      <x:c r="U456" s="35" t="n">
        <x:f>L456-N456-P456-R456-T456</x:f>
        <x:v>120.756</x:v>
      </x:c>
      <x:c r="V456" s="21" t="n">
        <x:f>IFERROR(U456/L456,0)</x:f>
        <x:v>0.516051282051282</x:v>
      </x:c>
    </x:row>
    <x:row r="457">
      <x:c r="A457" s="19" t="str">
        <x:v>SALE-00453</x:v>
      </x:c>
      <x:c r="B457" s="34" t="n">
        <x:v>46214.5</x:v>
      </x:c>
      <x:c r="C457" s="19" t="str">
        <x:v>周六</x:v>
      </x:c>
      <x:c r="D457" s="19" t="str">
        <x:v>S02</x:v>
      </x:c>
      <x:c r="E457" s="19" t="str">
        <x:v>尊宝大厦店</x:v>
      </x:c>
      <x:c r="F457" s="19" t="str">
        <x:v>堂食</x:v>
      </x:c>
      <x:c r="G457" s="19" t="str">
        <x:v>全日</x:v>
      </x:c>
      <x:c r="H457" s="19" t="str">
        <x:v>D13</x:v>
      </x:c>
      <x:c r="I457" s="19" t="str">
        <x:v>外婆菜炒蛋</x:v>
      </x:c>
      <x:c r="J457" s="22" t="n">
        <x:f>XLOOKUP(H457,'菜品主数据'!$A$5:$A$24,'菜品主数据'!$D$5:$D$24,0)</x:f>
        <x:v>18</x:v>
      </x:c>
      <x:c r="K457" s="31" t="n">
        <x:v>12</x:v>
      </x:c>
      <x:c r="L457" s="35" t="n">
        <x:f>J457*K457</x:f>
        <x:v>216</x:v>
      </x:c>
      <x:c r="M457" s="36" t="n">
        <x:v>0</x:v>
      </x:c>
      <x:c r="N457" s="35" t="n">
        <x:f>L457*M457</x:f>
        <x:v>0</x:v>
      </x:c>
      <x:c r="O457" s="37" t="n">
        <x:v>0</x:v>
      </x:c>
      <x:c r="P457" s="35" t="n">
        <x:f>L457*O457</x:f>
        <x:v>0</x:v>
      </x:c>
      <x:c r="Q457" s="35" t="n">
        <x:v>0</x:v>
      </x:c>
      <x:c r="R457" s="35" t="n">
        <x:f>K457*Q457</x:f>
        <x:v>0</x:v>
      </x:c>
      <x:c r="S457" s="35" t="n">
        <x:f>XLOOKUP(H457,'菜品主数据'!$A$5:$A$24,'菜品主数据'!$G$5:$G$24,0)</x:f>
        <x:v>5.403999999999999</x:v>
      </x:c>
      <x:c r="T457" s="35" t="n">
        <x:f>K457*S457</x:f>
        <x:v>64.84799999999998</x:v>
      </x:c>
      <x:c r="U457" s="35" t="n">
        <x:f>L457-N457-P457-R457-T457</x:f>
        <x:v>151.15200000000002</x:v>
      </x:c>
      <x:c r="V457" s="21" t="n">
        <x:f>IFERROR(U457/L457,0)</x:f>
        <x:v>0.6997777777777778</x:v>
      </x:c>
    </x:row>
    <x:row r="458">
      <x:c r="A458" s="19" t="str">
        <x:v>SALE-00454</x:v>
      </x:c>
      <x:c r="B458" s="34" t="n">
        <x:v>46214.5</x:v>
      </x:c>
      <x:c r="C458" s="19" t="str">
        <x:v>周六</x:v>
      </x:c>
      <x:c r="D458" s="19" t="str">
        <x:v>S02</x:v>
      </x:c>
      <x:c r="E458" s="19" t="str">
        <x:v>尊宝大厦店</x:v>
      </x:c>
      <x:c r="F458" s="19" t="str">
        <x:v>堂食</x:v>
      </x:c>
      <x:c r="G458" s="19" t="str">
        <x:v>全日</x:v>
      </x:c>
      <x:c r="H458" s="19" t="str">
        <x:v>D14</x:v>
      </x:c>
      <x:c r="I458" s="19" t="str">
        <x:v>酸辣鸡杂</x:v>
      </x:c>
      <x:c r="J458" s="22" t="n">
        <x:f>XLOOKUP(H458,'菜品主数据'!$A$5:$A$24,'菜品主数据'!$D$5:$D$24,0)</x:f>
        <x:v>28</x:v>
      </x:c>
      <x:c r="K458" s="31" t="n">
        <x:v>7</x:v>
      </x:c>
      <x:c r="L458" s="35" t="n">
        <x:f>J458*K458</x:f>
        <x:v>196</x:v>
      </x:c>
      <x:c r="M458" s="36" t="n">
        <x:v>0</x:v>
      </x:c>
      <x:c r="N458" s="35" t="n">
        <x:f>L458*M458</x:f>
        <x:v>0</x:v>
      </x:c>
      <x:c r="O458" s="37" t="n">
        <x:v>0</x:v>
      </x:c>
      <x:c r="P458" s="35" t="n">
        <x:f>L458*O458</x:f>
        <x:v>0</x:v>
      </x:c>
      <x:c r="Q458" s="35" t="n">
        <x:v>0</x:v>
      </x:c>
      <x:c r="R458" s="35" t="n">
        <x:f>K458*Q458</x:f>
        <x:v>0</x:v>
      </x:c>
      <x:c r="S458" s="35" t="n">
        <x:f>XLOOKUP(H458,'菜品主数据'!$A$5:$A$24,'菜品主数据'!$G$5:$G$24,0)</x:f>
        <x:v>8.315000000000001</x:v>
      </x:c>
      <x:c r="T458" s="35" t="n">
        <x:f>K458*S458</x:f>
        <x:v>58.20500000000001</x:v>
      </x:c>
      <x:c r="U458" s="35" t="n">
        <x:f>L458-N458-P458-R458-T458</x:f>
        <x:v>137.795</x:v>
      </x:c>
      <x:c r="V458" s="21" t="n">
        <x:f>IFERROR(U458/L458,0)</x:f>
        <x:v>0.7030357142857142</x:v>
      </x:c>
    </x:row>
    <x:row r="459">
      <x:c r="A459" s="19" t="str">
        <x:v>SALE-00455</x:v>
      </x:c>
      <x:c r="B459" s="34" t="n">
        <x:v>46214.5</x:v>
      </x:c>
      <x:c r="C459" s="19" t="str">
        <x:v>周六</x:v>
      </x:c>
      <x:c r="D459" s="19" t="str">
        <x:v>S02</x:v>
      </x:c>
      <x:c r="E459" s="19" t="str">
        <x:v>尊宝大厦店</x:v>
      </x:c>
      <x:c r="F459" s="19" t="str">
        <x:v>堂食</x:v>
      </x:c>
      <x:c r="G459" s="19" t="str">
        <x:v>全日</x:v>
      </x:c>
      <x:c r="H459" s="19" t="str">
        <x:v>D15</x:v>
      </x:c>
      <x:c r="I459" s="19" t="str">
        <x:v>湘西土匪猪肝</x:v>
      </x:c>
      <x:c r="J459" s="22" t="n">
        <x:f>XLOOKUP(H459,'菜品主数据'!$A$5:$A$24,'菜品主数据'!$D$5:$D$24,0)</x:f>
        <x:v>26</x:v>
      </x:c>
      <x:c r="K459" s="31" t="n">
        <x:v>6</x:v>
      </x:c>
      <x:c r="L459" s="35" t="n">
        <x:f>J459*K459</x:f>
        <x:v>156</x:v>
      </x:c>
      <x:c r="M459" s="36" t="n">
        <x:v>0</x:v>
      </x:c>
      <x:c r="N459" s="35" t="n">
        <x:f>L459*M459</x:f>
        <x:v>0</x:v>
      </x:c>
      <x:c r="O459" s="37" t="n">
        <x:v>0</x:v>
      </x:c>
      <x:c r="P459" s="35" t="n">
        <x:f>L459*O459</x:f>
        <x:v>0</x:v>
      </x:c>
      <x:c r="Q459" s="35" t="n">
        <x:v>0</x:v>
      </x:c>
      <x:c r="R459" s="35" t="n">
        <x:f>K459*Q459</x:f>
        <x:v>0</x:v>
      </x:c>
      <x:c r="S459" s="35" t="n">
        <x:f>XLOOKUP(H459,'菜品主数据'!$A$5:$A$24,'菜品主数据'!$G$5:$G$24,0)</x:f>
        <x:v>6.3759999999999994</x:v>
      </x:c>
      <x:c r="T459" s="35" t="n">
        <x:f>K459*S459</x:f>
        <x:v>38.256</x:v>
      </x:c>
      <x:c r="U459" s="35" t="n">
        <x:f>L459-N459-P459-R459-T459</x:f>
        <x:v>117.744</x:v>
      </x:c>
      <x:c r="V459" s="21" t="n">
        <x:f>IFERROR(U459/L459,0)</x:f>
        <x:v>0.7547692307692307</x:v>
      </x:c>
    </x:row>
    <x:row r="460">
      <x:c r="A460" s="19" t="str">
        <x:v>SALE-00456</x:v>
      </x:c>
      <x:c r="B460" s="34" t="n">
        <x:v>46214.5</x:v>
      </x:c>
      <x:c r="C460" s="19" t="str">
        <x:v>周六</x:v>
      </x:c>
      <x:c r="D460" s="19" t="str">
        <x:v>S02</x:v>
      </x:c>
      <x:c r="E460" s="19" t="str">
        <x:v>尊宝大厦店</x:v>
      </x:c>
      <x:c r="F460" s="19" t="str">
        <x:v>堂食</x:v>
      </x:c>
      <x:c r="G460" s="19" t="str">
        <x:v>全日</x:v>
      </x:c>
      <x:c r="H460" s="19" t="str">
        <x:v>D16</x:v>
      </x:c>
      <x:c r="I460" s="19" t="str">
        <x:v>小豆角炒五花</x:v>
      </x:c>
      <x:c r="J460" s="22" t="n">
        <x:f>XLOOKUP(H460,'菜品主数据'!$A$5:$A$24,'菜品主数据'!$D$5:$D$24,0)</x:f>
        <x:v>25</x:v>
      </x:c>
      <x:c r="K460" s="31" t="n">
        <x:v>6</x:v>
      </x:c>
      <x:c r="L460" s="35" t="n">
        <x:f>J460*K460</x:f>
        <x:v>150</x:v>
      </x:c>
      <x:c r="M460" s="36" t="n">
        <x:v>0</x:v>
      </x:c>
      <x:c r="N460" s="35" t="n">
        <x:f>L460*M460</x:f>
        <x:v>0</x:v>
      </x:c>
      <x:c r="O460" s="37" t="n">
        <x:v>0</x:v>
      </x:c>
      <x:c r="P460" s="35" t="n">
        <x:f>L460*O460</x:f>
        <x:v>0</x:v>
      </x:c>
      <x:c r="Q460" s="35" t="n">
        <x:v>0</x:v>
      </x:c>
      <x:c r="R460" s="35" t="n">
        <x:f>K460*Q460</x:f>
        <x:v>0</x:v>
      </x:c>
      <x:c r="S460" s="35" t="n">
        <x:f>XLOOKUP(H460,'菜品主数据'!$A$5:$A$24,'菜品主数据'!$G$5:$G$24,0)</x:f>
        <x:v>8.184</x:v>
      </x:c>
      <x:c r="T460" s="35" t="n">
        <x:f>K460*S460</x:f>
        <x:v>49.104</x:v>
      </x:c>
      <x:c r="U460" s="35" t="n">
        <x:f>L460-N460-P460-R460-T460</x:f>
        <x:v>100.896</x:v>
      </x:c>
      <x:c r="V460" s="21" t="n">
        <x:f>IFERROR(U460/L460,0)</x:f>
        <x:v>0.67264</x:v>
      </x:c>
    </x:row>
    <x:row r="461">
      <x:c r="A461" s="19" t="str">
        <x:v>SALE-00457</x:v>
      </x:c>
      <x:c r="B461" s="34" t="n">
        <x:v>46214.5</x:v>
      </x:c>
      <x:c r="C461" s="19" t="str">
        <x:v>周六</x:v>
      </x:c>
      <x:c r="D461" s="19" t="str">
        <x:v>S02</x:v>
      </x:c>
      <x:c r="E461" s="19" t="str">
        <x:v>尊宝大厦店</x:v>
      </x:c>
      <x:c r="F461" s="19" t="str">
        <x:v>堂食</x:v>
      </x:c>
      <x:c r="G461" s="19" t="str">
        <x:v>全日</x:v>
      </x:c>
      <x:c r="H461" s="19" t="str">
        <x:v>D17</x:v>
      </x:c>
      <x:c r="I461" s="19" t="str">
        <x:v>蒜蓉粉丝虾</x:v>
      </x:c>
      <x:c r="J461" s="22" t="n">
        <x:f>XLOOKUP(H461,'菜品主数据'!$A$5:$A$24,'菜品主数据'!$D$5:$D$24,0)</x:f>
        <x:v>36</x:v>
      </x:c>
      <x:c r="K461" s="31" t="n">
        <x:v>4</x:v>
      </x:c>
      <x:c r="L461" s="35" t="n">
        <x:f>J461*K461</x:f>
        <x:v>144</x:v>
      </x:c>
      <x:c r="M461" s="36" t="n">
        <x:v>0</x:v>
      </x:c>
      <x:c r="N461" s="35" t="n">
        <x:f>L461*M461</x:f>
        <x:v>0</x:v>
      </x:c>
      <x:c r="O461" s="37" t="n">
        <x:v>0</x:v>
      </x:c>
      <x:c r="P461" s="35" t="n">
        <x:f>L461*O461</x:f>
        <x:v>0</x:v>
      </x:c>
      <x:c r="Q461" s="35" t="n">
        <x:v>0</x:v>
      </x:c>
      <x:c r="R461" s="35" t="n">
        <x:f>K461*Q461</x:f>
        <x:v>0</x:v>
      </x:c>
      <x:c r="S461" s="35" t="n">
        <x:f>XLOOKUP(H461,'菜品主数据'!$A$5:$A$24,'菜品主数据'!$G$5:$G$24,0)</x:f>
        <x:v>13.594</x:v>
      </x:c>
      <x:c r="T461" s="35" t="n">
        <x:f>K461*S461</x:f>
        <x:v>54.376</x:v>
      </x:c>
      <x:c r="U461" s="35" t="n">
        <x:f>L461-N461-P461-R461-T461</x:f>
        <x:v>89.624</x:v>
      </x:c>
      <x:c r="V461" s="21" t="n">
        <x:f>IFERROR(U461/L461,0)</x:f>
        <x:v>0.6223888888888889</x:v>
      </x:c>
    </x:row>
    <x:row r="462">
      <x:c r="A462" s="19" t="str">
        <x:v>SALE-00458</x:v>
      </x:c>
      <x:c r="B462" s="34" t="n">
        <x:v>46214.5</x:v>
      </x:c>
      <x:c r="C462" s="19" t="str">
        <x:v>周六</x:v>
      </x:c>
      <x:c r="D462" s="19" t="str">
        <x:v>S02</x:v>
      </x:c>
      <x:c r="E462" s="19" t="str">
        <x:v>尊宝大厦店</x:v>
      </x:c>
      <x:c r="F462" s="19" t="str">
        <x:v>堂食</x:v>
      </x:c>
      <x:c r="G462" s="19" t="str">
        <x:v>全日</x:v>
      </x:c>
      <x:c r="H462" s="19" t="str">
        <x:v>D18</x:v>
      </x:c>
      <x:c r="I462" s="19" t="str">
        <x:v>青椒炒油麦菜</x:v>
      </x:c>
      <x:c r="J462" s="22" t="n">
        <x:f>XLOOKUP(H462,'菜品主数据'!$A$5:$A$24,'菜品主数据'!$D$5:$D$24,0)</x:f>
        <x:v>18</x:v>
      </x:c>
      <x:c r="K462" s="31" t="n">
        <x:v>7</x:v>
      </x:c>
      <x:c r="L462" s="35" t="n">
        <x:f>J462*K462</x:f>
        <x:v>126</x:v>
      </x:c>
      <x:c r="M462" s="36" t="n">
        <x:v>0</x:v>
      </x:c>
      <x:c r="N462" s="35" t="n">
        <x:f>L462*M462</x:f>
        <x:v>0</x:v>
      </x:c>
      <x:c r="O462" s="37" t="n">
        <x:v>0</x:v>
      </x:c>
      <x:c r="P462" s="35" t="n">
        <x:f>L462*O462</x:f>
        <x:v>0</x:v>
      </x:c>
      <x:c r="Q462" s="35" t="n">
        <x:v>0</x:v>
      </x:c>
      <x:c r="R462" s="35" t="n">
        <x:f>K462*Q462</x:f>
        <x:v>0</x:v>
      </x:c>
      <x:c r="S462" s="35" t="n">
        <x:f>XLOOKUP(H462,'菜品主数据'!$A$5:$A$24,'菜品主数据'!$G$5:$G$24,0)</x:f>
        <x:v>3.1759999999999993</x:v>
      </x:c>
      <x:c r="T462" s="35" t="n">
        <x:f>K462*S462</x:f>
        <x:v>22.231999999999996</x:v>
      </x:c>
      <x:c r="U462" s="35" t="n">
        <x:f>L462-N462-P462-R462-T462</x:f>
        <x:v>103.768</x:v>
      </x:c>
      <x:c r="V462" s="21" t="n">
        <x:f>IFERROR(U462/L462,0)</x:f>
        <x:v>0.8235555555555556</x:v>
      </x:c>
    </x:row>
    <x:row r="463">
      <x:c r="A463" s="19" t="str">
        <x:v>SALE-00459</x:v>
      </x:c>
      <x:c r="B463" s="34" t="n">
        <x:v>46214.5</x:v>
      </x:c>
      <x:c r="C463" s="19" t="str">
        <x:v>周六</x:v>
      </x:c>
      <x:c r="D463" s="19" t="str">
        <x:v>S02</x:v>
      </x:c>
      <x:c r="E463" s="19" t="str">
        <x:v>尊宝大厦店</x:v>
      </x:c>
      <x:c r="F463" s="19" t="str">
        <x:v>堂食</x:v>
      </x:c>
      <x:c r="G463" s="19" t="str">
        <x:v>全日</x:v>
      </x:c>
      <x:c r="H463" s="19" t="str">
        <x:v>D19</x:v>
      </x:c>
      <x:c r="I463" s="19" t="str">
        <x:v>酸萝卜炒鸡杂</x:v>
      </x:c>
      <x:c r="J463" s="22" t="n">
        <x:f>XLOOKUP(H463,'菜品主数据'!$A$5:$A$24,'菜品主数据'!$D$5:$D$24,0)</x:f>
        <x:v>25</x:v>
      </x:c>
      <x:c r="K463" s="31" t="n">
        <x:v>4</x:v>
      </x:c>
      <x:c r="L463" s="35" t="n">
        <x:f>J463*K463</x:f>
        <x:v>100</x:v>
      </x:c>
      <x:c r="M463" s="36" t="n">
        <x:v>0</x:v>
      </x:c>
      <x:c r="N463" s="35" t="n">
        <x:f>L463*M463</x:f>
        <x:v>0</x:v>
      </x:c>
      <x:c r="O463" s="37" t="n">
        <x:v>0</x:v>
      </x:c>
      <x:c r="P463" s="35" t="n">
        <x:f>L463*O463</x:f>
        <x:v>0</x:v>
      </x:c>
      <x:c r="Q463" s="35" t="n">
        <x:v>0</x:v>
      </x:c>
      <x:c r="R463" s="35" t="n">
        <x:f>K463*Q463</x:f>
        <x:v>0</x:v>
      </x:c>
      <x:c r="S463" s="35" t="n">
        <x:f>XLOOKUP(H463,'菜品主数据'!$A$5:$A$24,'菜品主数据'!$G$5:$G$24,0)</x:f>
        <x:v>7.9399999999999995</x:v>
      </x:c>
      <x:c r="T463" s="35" t="n">
        <x:f>K463*S463</x:f>
        <x:v>31.759999999999998</x:v>
      </x:c>
      <x:c r="U463" s="35" t="n">
        <x:f>L463-N463-P463-R463-T463</x:f>
        <x:v>68.24000000000001</x:v>
      </x:c>
      <x:c r="V463" s="21" t="n">
        <x:f>IFERROR(U463/L463,0)</x:f>
        <x:v>0.6824000000000001</x:v>
      </x:c>
    </x:row>
    <x:row r="464">
      <x:c r="A464" s="19" t="str">
        <x:v>SALE-00460</x:v>
      </x:c>
      <x:c r="B464" s="34" t="n">
        <x:v>46214.5</x:v>
      </x:c>
      <x:c r="C464" s="19" t="str">
        <x:v>周六</x:v>
      </x:c>
      <x:c r="D464" s="19" t="str">
        <x:v>S02</x:v>
      </x:c>
      <x:c r="E464" s="19" t="str">
        <x:v>尊宝大厦店</x:v>
      </x:c>
      <x:c r="F464" s="19" t="str">
        <x:v>堂食</x:v>
      </x:c>
      <x:c r="G464" s="19" t="str">
        <x:v>全日</x:v>
      </x:c>
      <x:c r="H464" s="19" t="str">
        <x:v>D20</x:v>
      </x:c>
      <x:c r="I464" s="19" t="str">
        <x:v>雪菜肉末青豆</x:v>
      </x:c>
      <x:c r="J464" s="22" t="n">
        <x:f>XLOOKUP(H464,'菜品主数据'!$A$5:$A$24,'菜品主数据'!$D$5:$D$24,0)</x:f>
        <x:v>18</x:v>
      </x:c>
      <x:c r="K464" s="31" t="n">
        <x:v>6</x:v>
      </x:c>
      <x:c r="L464" s="35" t="n">
        <x:f>J464*K464</x:f>
        <x:v>108</x:v>
      </x:c>
      <x:c r="M464" s="36" t="n">
        <x:v>0</x:v>
      </x:c>
      <x:c r="N464" s="35" t="n">
        <x:f>L464*M464</x:f>
        <x:v>0</x:v>
      </x:c>
      <x:c r="O464" s="37" t="n">
        <x:v>0</x:v>
      </x:c>
      <x:c r="P464" s="35" t="n">
        <x:f>L464*O464</x:f>
        <x:v>0</x:v>
      </x:c>
      <x:c r="Q464" s="35" t="n">
        <x:v>0</x:v>
      </x:c>
      <x:c r="R464" s="35" t="n">
        <x:f>K464*Q464</x:f>
        <x:v>0</x:v>
      </x:c>
      <x:c r="S464" s="35" t="n">
        <x:f>XLOOKUP(H464,'菜品主数据'!$A$5:$A$24,'菜品主数据'!$G$5:$G$24,0)</x:f>
        <x:v>7.303999999999999</x:v>
      </x:c>
      <x:c r="T464" s="35" t="n">
        <x:f>K464*S464</x:f>
        <x:v>43.824</x:v>
      </x:c>
      <x:c r="U464" s="35" t="n">
        <x:f>L464-N464-P464-R464-T464</x:f>
        <x:v>64.176</x:v>
      </x:c>
      <x:c r="V464" s="21" t="n">
        <x:f>IFERROR(U464/L464,0)</x:f>
        <x:v>0.5942222222222222</x:v>
      </x:c>
    </x:row>
    <x:row r="465">
      <x:c r="A465" s="19" t="str">
        <x:v>SALE-00461</x:v>
      </x:c>
      <x:c r="B465" s="34" t="n">
        <x:v>46214.5</x:v>
      </x:c>
      <x:c r="C465" s="19" t="str">
        <x:v>周六</x:v>
      </x:c>
      <x:c r="D465" s="19" t="str">
        <x:v>S02</x:v>
      </x:c>
      <x:c r="E465" s="19" t="str">
        <x:v>尊宝大厦店</x:v>
      </x:c>
      <x:c r="F465" s="19" t="str">
        <x:v>外卖</x:v>
      </x:c>
      <x:c r="G465" s="19" t="str">
        <x:v>全日</x:v>
      </x:c>
      <x:c r="H465" s="19" t="str">
        <x:v>D01</x:v>
      </x:c>
      <x:c r="I465" s="19" t="str">
        <x:v>辣椒炒肉</x:v>
      </x:c>
      <x:c r="J465" s="22" t="n">
        <x:f>XLOOKUP(H465,'菜品主数据'!$A$5:$A$24,'菜品主数据'!$D$5:$D$24,0)</x:f>
        <x:v>29</x:v>
      </x:c>
      <x:c r="K465" s="31" t="n">
        <x:v>4</x:v>
      </x:c>
      <x:c r="L465" s="35" t="n">
        <x:f>J465*K465</x:f>
        <x:v>116</x:v>
      </x:c>
      <x:c r="M465" s="36" t="n">
        <x:v>0.08</x:v>
      </x:c>
      <x:c r="N465" s="35" t="n">
        <x:f>L465*M465</x:f>
        <x:v>9.28</x:v>
      </x:c>
      <x:c r="O465" s="37" t="n">
        <x:v>0.18</x:v>
      </x:c>
      <x:c r="P465" s="35" t="n">
        <x:f>L465*O465</x:f>
        <x:v>20.88</x:v>
      </x:c>
      <x:c r="Q465" s="35" t="n">
        <x:v>1.2</x:v>
      </x:c>
      <x:c r="R465" s="35" t="n">
        <x:f>K465*Q465</x:f>
        <x:v>4.8</x:v>
      </x:c>
      <x:c r="S465" s="35" t="n">
        <x:f>XLOOKUP(H465,'菜品主数据'!$A$5:$A$24,'菜品主数据'!$G$5:$G$24,0)</x:f>
        <x:v>8.634400000000001</x:v>
      </x:c>
      <x:c r="T465" s="35" t="n">
        <x:f>K465*S465</x:f>
        <x:v>34.537600000000005</x:v>
      </x:c>
      <x:c r="U465" s="35" t="n">
        <x:f>L465-N465-P465-R465-T465</x:f>
        <x:v>46.5024</x:v>
      </x:c>
      <x:c r="V465" s="21" t="n">
        <x:f>IFERROR(U465/L465,0)</x:f>
        <x:v>0.40088275862068967</x:v>
      </x:c>
    </x:row>
    <x:row r="466">
      <x:c r="A466" s="19" t="str">
        <x:v>SALE-00462</x:v>
      </x:c>
      <x:c r="B466" s="34" t="n">
        <x:v>46214.5</x:v>
      </x:c>
      <x:c r="C466" s="19" t="str">
        <x:v>周六</x:v>
      </x:c>
      <x:c r="D466" s="19" t="str">
        <x:v>S02</x:v>
      </x:c>
      <x:c r="E466" s="19" t="str">
        <x:v>尊宝大厦店</x:v>
      </x:c>
      <x:c r="F466" s="19" t="str">
        <x:v>外卖</x:v>
      </x:c>
      <x:c r="G466" s="19" t="str">
        <x:v>全日</x:v>
      </x:c>
      <x:c r="H466" s="19" t="str">
        <x:v>D02</x:v>
      </x:c>
      <x:c r="I466" s="19" t="str">
        <x:v>小炒黄牛肉</x:v>
      </x:c>
      <x:c r="J466" s="22" t="n">
        <x:f>XLOOKUP(H466,'菜品主数据'!$A$5:$A$24,'菜品主数据'!$D$5:$D$24,0)</x:f>
        <x:v>49</x:v>
      </x:c>
      <x:c r="K466" s="31" t="n">
        <x:v>6</x:v>
      </x:c>
      <x:c r="L466" s="35" t="n">
        <x:f>J466*K466</x:f>
        <x:v>294</x:v>
      </x:c>
      <x:c r="M466" s="36" t="n">
        <x:v>0.08</x:v>
      </x:c>
      <x:c r="N466" s="35" t="n">
        <x:f>L466*M466</x:f>
        <x:v>23.52</x:v>
      </x:c>
      <x:c r="O466" s="37" t="n">
        <x:v>0.18</x:v>
      </x:c>
      <x:c r="P466" s="35" t="n">
        <x:f>L466*O466</x:f>
        <x:v>52.919999999999995</x:v>
      </x:c>
      <x:c r="Q466" s="35" t="n">
        <x:v>1.2</x:v>
      </x:c>
      <x:c r="R466" s="35" t="n">
        <x:f>K466*Q466</x:f>
        <x:v>7.199999999999999</x:v>
      </x:c>
      <x:c r="S466" s="35" t="n">
        <x:f>XLOOKUP(H466,'菜品主数据'!$A$5:$A$24,'菜品主数据'!$G$5:$G$24,0)</x:f>
        <x:v>17.577</x:v>
      </x:c>
      <x:c r="T466" s="35" t="n">
        <x:f>K466*S466</x:f>
        <x:v>105.46200000000002</x:v>
      </x:c>
      <x:c r="U466" s="35" t="n">
        <x:f>L466-N466-P466-R466-T466</x:f>
        <x:v>104.89800000000002</x:v>
      </x:c>
      <x:c r="V466" s="21" t="n">
        <x:f>IFERROR(U466/L466,0)</x:f>
        <x:v>0.35679591836734703</x:v>
      </x:c>
    </x:row>
    <x:row r="467">
      <x:c r="A467" s="19" t="str">
        <x:v>SALE-00463</x:v>
      </x:c>
      <x:c r="B467" s="34" t="n">
        <x:v>46214.5</x:v>
      </x:c>
      <x:c r="C467" s="19" t="str">
        <x:v>周六</x:v>
      </x:c>
      <x:c r="D467" s="19" t="str">
        <x:v>S02</x:v>
      </x:c>
      <x:c r="E467" s="19" t="str">
        <x:v>尊宝大厦店</x:v>
      </x:c>
      <x:c r="F467" s="19" t="str">
        <x:v>外卖</x:v>
      </x:c>
      <x:c r="G467" s="19" t="str">
        <x:v>全日</x:v>
      </x:c>
      <x:c r="H467" s="19" t="str">
        <x:v>D03</x:v>
      </x:c>
      <x:c r="I467" s="19" t="str">
        <x:v>香醋炒蛋</x:v>
      </x:c>
      <x:c r="J467" s="22" t="n">
        <x:f>XLOOKUP(H467,'菜品主数据'!$A$5:$A$24,'菜品主数据'!$D$5:$D$24,0)</x:f>
        <x:v>14.9</x:v>
      </x:c>
      <x:c r="K467" s="31" t="n">
        <x:v>3</x:v>
      </x:c>
      <x:c r="L467" s="35" t="n">
        <x:f>J467*K467</x:f>
        <x:v>44.7</x:v>
      </x:c>
      <x:c r="M467" s="36" t="n">
        <x:v>0.08</x:v>
      </x:c>
      <x:c r="N467" s="35" t="n">
        <x:f>L467*M467</x:f>
        <x:v>3.5760000000000005</x:v>
      </x:c>
      <x:c r="O467" s="37" t="n">
        <x:v>0.18</x:v>
      </x:c>
      <x:c r="P467" s="35" t="n">
        <x:f>L467*O467</x:f>
        <x:v>8.046</x:v>
      </x:c>
      <x:c r="Q467" s="35" t="n">
        <x:v>1.2</x:v>
      </x:c>
      <x:c r="R467" s="35" t="n">
        <x:f>K467*Q467</x:f>
        <x:v>3.5999999999999996</x:v>
      </x:c>
      <x:c r="S467" s="35" t="n">
        <x:f>XLOOKUP(H467,'菜品主数据'!$A$5:$A$24,'菜品主数据'!$G$5:$G$24,0)</x:f>
        <x:v>3.7459999999999996</x:v>
      </x:c>
      <x:c r="T467" s="35" t="n">
        <x:f>K467*S467</x:f>
        <x:v>11.238</x:v>
      </x:c>
      <x:c r="U467" s="35" t="n">
        <x:f>L467-N467-P467-R467-T467</x:f>
        <x:v>18.240000000000002</x:v>
      </x:c>
      <x:c r="V467" s="21" t="n">
        <x:f>IFERROR(U467/L467,0)</x:f>
        <x:v>0.40805369127516783</x:v>
      </x:c>
    </x:row>
    <x:row r="468">
      <x:c r="A468" s="19" t="str">
        <x:v>SALE-00464</x:v>
      </x:c>
      <x:c r="B468" s="34" t="n">
        <x:v>46214.5</x:v>
      </x:c>
      <x:c r="C468" s="19" t="str">
        <x:v>周六</x:v>
      </x:c>
      <x:c r="D468" s="19" t="str">
        <x:v>S02</x:v>
      </x:c>
      <x:c r="E468" s="19" t="str">
        <x:v>尊宝大厦店</x:v>
      </x:c>
      <x:c r="F468" s="19" t="str">
        <x:v>外卖</x:v>
      </x:c>
      <x:c r="G468" s="19" t="str">
        <x:v>全日</x:v>
      </x:c>
      <x:c r="H468" s="19" t="str">
        <x:v>D04</x:v>
      </x:c>
      <x:c r="I468" s="19" t="str">
        <x:v>酸包菜炒粉皮</x:v>
      </x:c>
      <x:c r="J468" s="22" t="n">
        <x:f>XLOOKUP(H468,'菜品主数据'!$A$5:$A$24,'菜品主数据'!$D$5:$D$24,0)</x:f>
        <x:v>16</x:v>
      </x:c>
      <x:c r="K468" s="31" t="n">
        <x:v>3</x:v>
      </x:c>
      <x:c r="L468" s="35" t="n">
        <x:f>J468*K468</x:f>
        <x:v>48</x:v>
      </x:c>
      <x:c r="M468" s="36" t="n">
        <x:v>0.08</x:v>
      </x:c>
      <x:c r="N468" s="35" t="n">
        <x:f>L468*M468</x:f>
        <x:v>3.84</x:v>
      </x:c>
      <x:c r="O468" s="37" t="n">
        <x:v>0.18</x:v>
      </x:c>
      <x:c r="P468" s="35" t="n">
        <x:f>L468*O468</x:f>
        <x:v>8.64</x:v>
      </x:c>
      <x:c r="Q468" s="35" t="n">
        <x:v>1.2</x:v>
      </x:c>
      <x:c r="R468" s="35" t="n">
        <x:f>K468*Q468</x:f>
        <x:v>3.5999999999999996</x:v>
      </x:c>
      <x:c r="S468" s="35" t="n">
        <x:f>XLOOKUP(H468,'菜品主数据'!$A$5:$A$24,'菜品主数据'!$G$5:$G$24,0)</x:f>
        <x:v>3.978</x:v>
      </x:c>
      <x:c r="T468" s="35" t="n">
        <x:f>K468*S468</x:f>
        <x:v>11.934000000000001</x:v>
      </x:c>
      <x:c r="U468" s="35" t="n">
        <x:f>L468-N468-P468-R468-T468</x:f>
        <x:v>19.985999999999994</x:v>
      </x:c>
      <x:c r="V468" s="21" t="n">
        <x:f>IFERROR(U468/L468,0)</x:f>
        <x:v>0.4163749999999999</x:v>
      </x:c>
    </x:row>
    <x:row r="469">
      <x:c r="A469" s="19" t="str">
        <x:v>SALE-00465</x:v>
      </x:c>
      <x:c r="B469" s="34" t="n">
        <x:v>46214.5</x:v>
      </x:c>
      <x:c r="C469" s="19" t="str">
        <x:v>周六</x:v>
      </x:c>
      <x:c r="D469" s="19" t="str">
        <x:v>S02</x:v>
      </x:c>
      <x:c r="E469" s="19" t="str">
        <x:v>尊宝大厦店</x:v>
      </x:c>
      <x:c r="F469" s="19" t="str">
        <x:v>外卖</x:v>
      </x:c>
      <x:c r="G469" s="19" t="str">
        <x:v>全日</x:v>
      </x:c>
      <x:c r="H469" s="19" t="str">
        <x:v>D05</x:v>
      </x:c>
      <x:c r="I469" s="19" t="str">
        <x:v>麻婆豆腐</x:v>
      </x:c>
      <x:c r="J469" s="22" t="n">
        <x:f>XLOOKUP(H469,'菜品主数据'!$A$5:$A$24,'菜品主数据'!$D$5:$D$24,0)</x:f>
        <x:v>9.9</x:v>
      </x:c>
      <x:c r="K469" s="31" t="n">
        <x:v>4</x:v>
      </x:c>
      <x:c r="L469" s="35" t="n">
        <x:f>J469*K469</x:f>
        <x:v>39.6</x:v>
      </x:c>
      <x:c r="M469" s="36" t="n">
        <x:v>0.08</x:v>
      </x:c>
      <x:c r="N469" s="35" t="n">
        <x:f>L469*M469</x:f>
        <x:v>3.168</x:v>
      </x:c>
      <x:c r="O469" s="37" t="n">
        <x:v>0.18</x:v>
      </x:c>
      <x:c r="P469" s="35" t="n">
        <x:f>L469*O469</x:f>
        <x:v>7.128</x:v>
      </x:c>
      <x:c r="Q469" s="35" t="n">
        <x:v>1.2</x:v>
      </x:c>
      <x:c r="R469" s="35" t="n">
        <x:f>K469*Q469</x:f>
        <x:v>4.8</x:v>
      </x:c>
      <x:c r="S469" s="35" t="n">
        <x:f>XLOOKUP(H469,'菜品主数据'!$A$5:$A$24,'菜品主数据'!$G$5:$G$24,0)</x:f>
        <x:v>5.367000000000001</x:v>
      </x:c>
      <x:c r="T469" s="35" t="n">
        <x:f>K469*S469</x:f>
        <x:v>21.468000000000004</x:v>
      </x:c>
      <x:c r="U469" s="35" t="n">
        <x:f>L469-N469-P469-R469-T469</x:f>
        <x:v>3.035999999999998</x:v>
      </x:c>
      <x:c r="V469" s="21" t="n">
        <x:f>IFERROR(U469/L469,0)</x:f>
        <x:v>0.0766666666666666</x:v>
      </x:c>
    </x:row>
    <x:row r="470">
      <x:c r="A470" s="19" t="str">
        <x:v>SALE-00466</x:v>
      </x:c>
      <x:c r="B470" s="34" t="n">
        <x:v>46214.5</x:v>
      </x:c>
      <x:c r="C470" s="19" t="str">
        <x:v>周六</x:v>
      </x:c>
      <x:c r="D470" s="19" t="str">
        <x:v>S02</x:v>
      </x:c>
      <x:c r="E470" s="19" t="str">
        <x:v>尊宝大厦店</x:v>
      </x:c>
      <x:c r="F470" s="19" t="str">
        <x:v>外卖</x:v>
      </x:c>
      <x:c r="G470" s="19" t="str">
        <x:v>全日</x:v>
      </x:c>
      <x:c r="H470" s="19" t="str">
        <x:v>D06</x:v>
      </x:c>
      <x:c r="I470" s="19" t="str">
        <x:v>剁椒鱼头</x:v>
      </x:c>
      <x:c r="J470" s="22" t="n">
        <x:f>XLOOKUP(H470,'菜品主数据'!$A$5:$A$24,'菜品主数据'!$D$5:$D$24,0)</x:f>
        <x:v>39</x:v>
      </x:c>
      <x:c r="K470" s="31" t="n">
        <x:v>1</x:v>
      </x:c>
      <x:c r="L470" s="35" t="n">
        <x:f>J470*K470</x:f>
        <x:v>39</x:v>
      </x:c>
      <x:c r="M470" s="36" t="n">
        <x:v>0.08</x:v>
      </x:c>
      <x:c r="N470" s="35" t="n">
        <x:f>L470*M470</x:f>
        <x:v>3.12</x:v>
      </x:c>
      <x:c r="O470" s="37" t="n">
        <x:v>0.18</x:v>
      </x:c>
      <x:c r="P470" s="35" t="n">
        <x:f>L470*O470</x:f>
        <x:v>7.02</x:v>
      </x:c>
      <x:c r="Q470" s="35" t="n">
        <x:v>1.2</x:v>
      </x:c>
      <x:c r="R470" s="35" t="n">
        <x:f>K470*Q470</x:f>
        <x:v>1.2</x:v>
      </x:c>
      <x:c r="S470" s="35" t="n">
        <x:f>XLOOKUP(H470,'菜品主数据'!$A$5:$A$24,'菜品主数据'!$G$5:$G$24,0)</x:f>
        <x:v>17.446</x:v>
      </x:c>
      <x:c r="T470" s="35" t="n">
        <x:f>K470*S470</x:f>
        <x:v>17.446</x:v>
      </x:c>
      <x:c r="U470" s="35" t="n">
        <x:f>L470-N470-P470-R470-T470</x:f>
        <x:v>10.214000000000002</x:v>
      </x:c>
      <x:c r="V470" s="21" t="n">
        <x:f>IFERROR(U470/L470,0)</x:f>
        <x:v>0.26189743589743597</x:v>
      </x:c>
    </x:row>
    <x:row r="471">
      <x:c r="A471" s="19" t="str">
        <x:v>SALE-00467</x:v>
      </x:c>
      <x:c r="B471" s="34" t="n">
        <x:v>46214.5</x:v>
      </x:c>
      <x:c r="C471" s="19" t="str">
        <x:v>周六</x:v>
      </x:c>
      <x:c r="D471" s="19" t="str">
        <x:v>S02</x:v>
      </x:c>
      <x:c r="E471" s="19" t="str">
        <x:v>尊宝大厦店</x:v>
      </x:c>
      <x:c r="F471" s="19" t="str">
        <x:v>外卖</x:v>
      </x:c>
      <x:c r="G471" s="19" t="str">
        <x:v>全日</x:v>
      </x:c>
      <x:c r="H471" s="19" t="str">
        <x:v>D07</x:v>
      </x:c>
      <x:c r="I471" s="19" t="str">
        <x:v>川味回锅肉</x:v>
      </x:c>
      <x:c r="J471" s="22" t="n">
        <x:f>XLOOKUP(H471,'菜品主数据'!$A$5:$A$24,'菜品主数据'!$D$5:$D$24,0)</x:f>
        <x:v>29</x:v>
      </x:c>
      <x:c r="K471" s="31" t="n">
        <x:v>1</x:v>
      </x:c>
      <x:c r="L471" s="35" t="n">
        <x:f>J471*K471</x:f>
        <x:v>29</x:v>
      </x:c>
      <x:c r="M471" s="36" t="n">
        <x:v>0.08</x:v>
      </x:c>
      <x:c r="N471" s="35" t="n">
        <x:f>L471*M471</x:f>
        <x:v>2.32</x:v>
      </x:c>
      <x:c r="O471" s="37" t="n">
        <x:v>0.18</x:v>
      </x:c>
      <x:c r="P471" s="35" t="n">
        <x:f>L471*O471</x:f>
        <x:v>5.22</x:v>
      </x:c>
      <x:c r="Q471" s="35" t="n">
        <x:v>1.2</x:v>
      </x:c>
      <x:c r="R471" s="35" t="n">
        <x:f>K471*Q471</x:f>
        <x:v>1.2</x:v>
      </x:c>
      <x:c r="S471" s="35" t="n">
        <x:f>XLOOKUP(H471,'菜品主数据'!$A$5:$A$24,'菜品主数据'!$G$5:$G$24,0)</x:f>
        <x:v>10.231000000000002</x:v>
      </x:c>
      <x:c r="T471" s="35" t="n">
        <x:f>K471*S471</x:f>
        <x:v>10.231000000000002</x:v>
      </x:c>
      <x:c r="U471" s="35" t="n">
        <x:f>L471-N471-P471-R471-T471</x:f>
        <x:v>10.029</x:v>
      </x:c>
      <x:c r="V471" s="21" t="n">
        <x:f>IFERROR(U471/L471,0)</x:f>
        <x:v>0.3458275862068966</x:v>
      </x:c>
    </x:row>
    <x:row r="472">
      <x:c r="A472" s="19" t="str">
        <x:v>SALE-00468</x:v>
      </x:c>
      <x:c r="B472" s="34" t="n">
        <x:v>46214.5</x:v>
      </x:c>
      <x:c r="C472" s="19" t="str">
        <x:v>周六</x:v>
      </x:c>
      <x:c r="D472" s="19" t="str">
        <x:v>S02</x:v>
      </x:c>
      <x:c r="E472" s="19" t="str">
        <x:v>尊宝大厦店</x:v>
      </x:c>
      <x:c r="F472" s="19" t="str">
        <x:v>外卖</x:v>
      </x:c>
      <x:c r="G472" s="19" t="str">
        <x:v>全日</x:v>
      </x:c>
      <x:c r="H472" s="19" t="str">
        <x:v>D08</x:v>
      </x:c>
      <x:c r="I472" s="19" t="str">
        <x:v>生炒清远鸡</x:v>
      </x:c>
      <x:c r="J472" s="22" t="n">
        <x:f>XLOOKUP(H472,'菜品主数据'!$A$5:$A$24,'菜品主数据'!$D$5:$D$24,0)</x:f>
        <x:v>36</x:v>
      </x:c>
      <x:c r="K472" s="31" t="n">
        <x:v>2</x:v>
      </x:c>
      <x:c r="L472" s="35" t="n">
        <x:f>J472*K472</x:f>
        <x:v>72</x:v>
      </x:c>
      <x:c r="M472" s="36" t="n">
        <x:v>0.08</x:v>
      </x:c>
      <x:c r="N472" s="35" t="n">
        <x:f>L472*M472</x:f>
        <x:v>5.76</x:v>
      </x:c>
      <x:c r="O472" s="37" t="n">
        <x:v>0.18</x:v>
      </x:c>
      <x:c r="P472" s="35" t="n">
        <x:f>L472*O472</x:f>
        <x:v>12.959999999999999</x:v>
      </x:c>
      <x:c r="Q472" s="35" t="n">
        <x:v>1.2</x:v>
      </x:c>
      <x:c r="R472" s="35" t="n">
        <x:f>K472*Q472</x:f>
        <x:v>2.4</x:v>
      </x:c>
      <x:c r="S472" s="35" t="n">
        <x:f>XLOOKUP(H472,'菜品主数据'!$A$5:$A$24,'菜品主数据'!$G$5:$G$24,0)</x:f>
        <x:v>13.48</x:v>
      </x:c>
      <x:c r="T472" s="35" t="n">
        <x:f>K472*S472</x:f>
        <x:v>26.96</x:v>
      </x:c>
      <x:c r="U472" s="35" t="n">
        <x:f>L472-N472-P472-R472-T472</x:f>
        <x:v>23.919999999999995</x:v>
      </x:c>
      <x:c r="V472" s="21" t="n">
        <x:f>IFERROR(U472/L472,0)</x:f>
        <x:v>0.33222222222222214</x:v>
      </x:c>
    </x:row>
    <x:row r="473">
      <x:c r="A473" s="19" t="str">
        <x:v>SALE-00469</x:v>
      </x:c>
      <x:c r="B473" s="34" t="n">
        <x:v>46214.5</x:v>
      </x:c>
      <x:c r="C473" s="19" t="str">
        <x:v>周六</x:v>
      </x:c>
      <x:c r="D473" s="19" t="str">
        <x:v>S02</x:v>
      </x:c>
      <x:c r="E473" s="19" t="str">
        <x:v>尊宝大厦店</x:v>
      </x:c>
      <x:c r="F473" s="19" t="str">
        <x:v>外卖</x:v>
      </x:c>
      <x:c r="G473" s="19" t="str">
        <x:v>全日</x:v>
      </x:c>
      <x:c r="H473" s="19" t="str">
        <x:v>D09</x:v>
      </x:c>
      <x:c r="I473" s="19" t="str">
        <x:v>炒豆干</x:v>
      </x:c>
      <x:c r="J473" s="22" t="n">
        <x:f>XLOOKUP(H473,'菜品主数据'!$A$5:$A$24,'菜品主数据'!$D$5:$D$24,0)</x:f>
        <x:v>18</x:v>
      </x:c>
      <x:c r="K473" s="31" t="n">
        <x:v>1</x:v>
      </x:c>
      <x:c r="L473" s="35" t="n">
        <x:f>J473*K473</x:f>
        <x:v>18</x:v>
      </x:c>
      <x:c r="M473" s="36" t="n">
        <x:v>0.08</x:v>
      </x:c>
      <x:c r="N473" s="35" t="n">
        <x:f>L473*M473</x:f>
        <x:v>1.44</x:v>
      </x:c>
      <x:c r="O473" s="37" t="n">
        <x:v>0.18</x:v>
      </x:c>
      <x:c r="P473" s="35" t="n">
        <x:f>L473*O473</x:f>
        <x:v>3.2399999999999998</x:v>
      </x:c>
      <x:c r="Q473" s="35" t="n">
        <x:v>1.2</x:v>
      </x:c>
      <x:c r="R473" s="35" t="n">
        <x:f>K473*Q473</x:f>
        <x:v>1.2</x:v>
      </x:c>
      <x:c r="S473" s="35" t="n">
        <x:f>XLOOKUP(H473,'菜品主数据'!$A$5:$A$24,'菜品主数据'!$G$5:$G$24,0)</x:f>
        <x:v>6.613999999999999</x:v>
      </x:c>
      <x:c r="T473" s="35" t="n">
        <x:f>K473*S473</x:f>
        <x:v>6.613999999999999</x:v>
      </x:c>
      <x:c r="U473" s="35" t="n">
        <x:f>L473-N473-P473-R473-T473</x:f>
        <x:v>5.506</x:v>
      </x:c>
      <x:c r="V473" s="21" t="n">
        <x:f>IFERROR(U473/L473,0)</x:f>
        <x:v>0.3058888888888889</x:v>
      </x:c>
    </x:row>
    <x:row r="474">
      <x:c r="A474" s="19" t="str">
        <x:v>SALE-00470</x:v>
      </x:c>
      <x:c r="B474" s="34" t="n">
        <x:v>46214.5</x:v>
      </x:c>
      <x:c r="C474" s="19" t="str">
        <x:v>周六</x:v>
      </x:c>
      <x:c r="D474" s="19" t="str">
        <x:v>S02</x:v>
      </x:c>
      <x:c r="E474" s="19" t="str">
        <x:v>尊宝大厦店</x:v>
      </x:c>
      <x:c r="F474" s="19" t="str">
        <x:v>外卖</x:v>
      </x:c>
      <x:c r="G474" s="19" t="str">
        <x:v>全日</x:v>
      </x:c>
      <x:c r="H474" s="19" t="str">
        <x:v>D10</x:v>
      </x:c>
      <x:c r="I474" s="19" t="str">
        <x:v>农家一碗香</x:v>
      </x:c>
      <x:c r="J474" s="22" t="n">
        <x:f>XLOOKUP(H474,'菜品主数据'!$A$5:$A$24,'菜品主数据'!$D$5:$D$24,0)</x:f>
        <x:v>22.9</x:v>
      </x:c>
      <x:c r="K474" s="31" t="n">
        <x:v>1</x:v>
      </x:c>
      <x:c r="L474" s="35" t="n">
        <x:f>J474*K474</x:f>
        <x:v>22.9</x:v>
      </x:c>
      <x:c r="M474" s="36" t="n">
        <x:v>0.08</x:v>
      </x:c>
      <x:c r="N474" s="35" t="n">
        <x:f>L474*M474</x:f>
        <x:v>1.8319999999999999</x:v>
      </x:c>
      <x:c r="O474" s="37" t="n">
        <x:v>0.18</x:v>
      </x:c>
      <x:c r="P474" s="35" t="n">
        <x:f>L474*O474</x:f>
        <x:v>4.122</x:v>
      </x:c>
      <x:c r="Q474" s="35" t="n">
        <x:v>1.2</x:v>
      </x:c>
      <x:c r="R474" s="35" t="n">
        <x:f>K474*Q474</x:f>
        <x:v>1.2</x:v>
      </x:c>
      <x:c r="S474" s="35" t="n">
        <x:f>XLOOKUP(H474,'菜品主数据'!$A$5:$A$24,'菜品主数据'!$G$5:$G$24,0)</x:f>
        <x:v>9.770200000000003</x:v>
      </x:c>
      <x:c r="T474" s="35" t="n">
        <x:f>K474*S474</x:f>
        <x:v>9.770200000000003</x:v>
      </x:c>
      <x:c r="U474" s="35" t="n">
        <x:f>L474-N474-P474-R474-T474</x:f>
        <x:v>5.975799999999996</x:v>
      </x:c>
      <x:c r="V474" s="21" t="n">
        <x:f>IFERROR(U474/L474,0)</x:f>
        <x:v>0.260951965065502</x:v>
      </x:c>
    </x:row>
    <x:row r="475">
      <x:c r="A475" s="19" t="str">
        <x:v>SALE-00471</x:v>
      </x:c>
      <x:c r="B475" s="34" t="n">
        <x:v>46214.5</x:v>
      </x:c>
      <x:c r="C475" s="19" t="str">
        <x:v>周六</x:v>
      </x:c>
      <x:c r="D475" s="19" t="str">
        <x:v>S02</x:v>
      </x:c>
      <x:c r="E475" s="19" t="str">
        <x:v>尊宝大厦店</x:v>
      </x:c>
      <x:c r="F475" s="19" t="str">
        <x:v>外卖</x:v>
      </x:c>
      <x:c r="G475" s="19" t="str">
        <x:v>全日</x:v>
      </x:c>
      <x:c r="H475" s="19" t="str">
        <x:v>D11</x:v>
      </x:c>
      <x:c r="I475" s="19" t="str">
        <x:v>香辣爆肥肠</x:v>
      </x:c>
      <x:c r="J475" s="22" t="n">
        <x:f>XLOOKUP(H475,'菜品主数据'!$A$5:$A$24,'菜品主数据'!$D$5:$D$24,0)</x:f>
        <x:v>39</x:v>
      </x:c>
      <x:c r="K475" s="31" t="n">
        <x:v>0</x:v>
      </x:c>
      <x:c r="L475" s="35" t="n">
        <x:f>J475*K475</x:f>
        <x:v>0</x:v>
      </x:c>
      <x:c r="M475" s="36" t="n">
        <x:v>0.08</x:v>
      </x:c>
      <x:c r="N475" s="35" t="n">
        <x:f>L475*M475</x:f>
        <x:v>0</x:v>
      </x:c>
      <x:c r="O475" s="37" t="n">
        <x:v>0.18</x:v>
      </x:c>
      <x:c r="P475" s="35" t="n">
        <x:f>L475*O475</x:f>
        <x:v>0</x:v>
      </x:c>
      <x:c r="Q475" s="35" t="n">
        <x:v>1.2</x:v>
      </x:c>
      <x:c r="R475" s="35" t="n">
        <x:f>K475*Q475</x:f>
        <x:v>0</x:v>
      </x:c>
      <x:c r="S475" s="35" t="n">
        <x:f>XLOOKUP(H475,'菜品主数据'!$A$5:$A$24,'菜品主数据'!$G$5:$G$24,0)</x:f>
        <x:v>10.397</x:v>
      </x:c>
      <x:c r="T475" s="35" t="n">
        <x:f>K475*S475</x:f>
        <x:v>0</x:v>
      </x:c>
      <x:c r="U475" s="35" t="n">
        <x:f>L475-N475-P475-R475-T475</x:f>
        <x:v>0</x:v>
      </x:c>
      <x:c r="V475" s="21" t="n">
        <x:f>IFERROR(U475/L475,0)</x:f>
        <x:v>0</x:v>
      </x:c>
    </x:row>
    <x:row r="476">
      <x:c r="A476" s="19" t="str">
        <x:v>SALE-00472</x:v>
      </x:c>
      <x:c r="B476" s="34" t="n">
        <x:v>46214.5</x:v>
      </x:c>
      <x:c r="C476" s="19" t="str">
        <x:v>周六</x:v>
      </x:c>
      <x:c r="D476" s="19" t="str">
        <x:v>S02</x:v>
      </x:c>
      <x:c r="E476" s="19" t="str">
        <x:v>尊宝大厦店</x:v>
      </x:c>
      <x:c r="F476" s="19" t="str">
        <x:v>外卖</x:v>
      </x:c>
      <x:c r="G476" s="19" t="str">
        <x:v>全日</x:v>
      </x:c>
      <x:c r="H476" s="19" t="str">
        <x:v>D12</x:v>
      </x:c>
      <x:c r="I476" s="19" t="str">
        <x:v>清蒸鲈鱼</x:v>
      </x:c>
      <x:c r="J476" s="22" t="n">
        <x:f>XLOOKUP(H476,'菜品主数据'!$A$5:$A$24,'菜品主数据'!$D$5:$D$24,0)</x:f>
        <x:v>39</x:v>
      </x:c>
      <x:c r="K476" s="31" t="n">
        <x:v>0</x:v>
      </x:c>
      <x:c r="L476" s="35" t="n">
        <x:f>J476*K476</x:f>
        <x:v>0</x:v>
      </x:c>
      <x:c r="M476" s="36" t="n">
        <x:v>0.08</x:v>
      </x:c>
      <x:c r="N476" s="35" t="n">
        <x:f>L476*M476</x:f>
        <x:v>0</x:v>
      </x:c>
      <x:c r="O476" s="37" t="n">
        <x:v>0.18</x:v>
      </x:c>
      <x:c r="P476" s="35" t="n">
        <x:f>L476*O476</x:f>
        <x:v>0</x:v>
      </x:c>
      <x:c r="Q476" s="35" t="n">
        <x:v>1.2</x:v>
      </x:c>
      <x:c r="R476" s="35" t="n">
        <x:f>K476*Q476</x:f>
        <x:v>0</x:v>
      </x:c>
      <x:c r="S476" s="35" t="n">
        <x:f>XLOOKUP(H476,'菜品主数据'!$A$5:$A$24,'菜品主数据'!$G$5:$G$24,0)</x:f>
        <x:v>18.874</x:v>
      </x:c>
      <x:c r="T476" s="35" t="n">
        <x:f>K476*S476</x:f>
        <x:v>0</x:v>
      </x:c>
      <x:c r="U476" s="35" t="n">
        <x:f>L476-N476-P476-R476-T476</x:f>
        <x:v>0</x:v>
      </x:c>
      <x:c r="V476" s="21" t="n">
        <x:f>IFERROR(U476/L476,0)</x:f>
        <x:v>0</x:v>
      </x:c>
    </x:row>
    <x:row r="477">
      <x:c r="A477" s="19" t="str">
        <x:v>SALE-00473</x:v>
      </x:c>
      <x:c r="B477" s="34" t="n">
        <x:v>46214.5</x:v>
      </x:c>
      <x:c r="C477" s="19" t="str">
        <x:v>周六</x:v>
      </x:c>
      <x:c r="D477" s="19" t="str">
        <x:v>S02</x:v>
      </x:c>
      <x:c r="E477" s="19" t="str">
        <x:v>尊宝大厦店</x:v>
      </x:c>
      <x:c r="F477" s="19" t="str">
        <x:v>外卖</x:v>
      </x:c>
      <x:c r="G477" s="19" t="str">
        <x:v>全日</x:v>
      </x:c>
      <x:c r="H477" s="19" t="str">
        <x:v>D13</x:v>
      </x:c>
      <x:c r="I477" s="19" t="str">
        <x:v>外婆菜炒蛋</x:v>
      </x:c>
      <x:c r="J477" s="22" t="n">
        <x:f>XLOOKUP(H477,'菜品主数据'!$A$5:$A$24,'菜品主数据'!$D$5:$D$24,0)</x:f>
        <x:v>18</x:v>
      </x:c>
      <x:c r="K477" s="31" t="n">
        <x:v>1</x:v>
      </x:c>
      <x:c r="L477" s="35" t="n">
        <x:f>J477*K477</x:f>
        <x:v>18</x:v>
      </x:c>
      <x:c r="M477" s="36" t="n">
        <x:v>0.08</x:v>
      </x:c>
      <x:c r="N477" s="35" t="n">
        <x:f>L477*M477</x:f>
        <x:v>1.44</x:v>
      </x:c>
      <x:c r="O477" s="37" t="n">
        <x:v>0.18</x:v>
      </x:c>
      <x:c r="P477" s="35" t="n">
        <x:f>L477*O477</x:f>
        <x:v>3.2399999999999998</x:v>
      </x:c>
      <x:c r="Q477" s="35" t="n">
        <x:v>1.2</x:v>
      </x:c>
      <x:c r="R477" s="35" t="n">
        <x:f>K477*Q477</x:f>
        <x:v>1.2</x:v>
      </x:c>
      <x:c r="S477" s="35" t="n">
        <x:f>XLOOKUP(H477,'菜品主数据'!$A$5:$A$24,'菜品主数据'!$G$5:$G$24,0)</x:f>
        <x:v>5.403999999999999</x:v>
      </x:c>
      <x:c r="T477" s="35" t="n">
        <x:f>K477*S477</x:f>
        <x:v>5.403999999999999</x:v>
      </x:c>
      <x:c r="U477" s="35" t="n">
        <x:f>L477-N477-P477-R477-T477</x:f>
        <x:v>6.716</x:v>
      </x:c>
      <x:c r="V477" s="21" t="n">
        <x:f>IFERROR(U477/L477,0)</x:f>
        <x:v>0.3731111111111111</x:v>
      </x:c>
    </x:row>
    <x:row r="478">
      <x:c r="A478" s="19" t="str">
        <x:v>SALE-00474</x:v>
      </x:c>
      <x:c r="B478" s="34" t="n">
        <x:v>46214.5</x:v>
      </x:c>
      <x:c r="C478" s="19" t="str">
        <x:v>周六</x:v>
      </x:c>
      <x:c r="D478" s="19" t="str">
        <x:v>S02</x:v>
      </x:c>
      <x:c r="E478" s="19" t="str">
        <x:v>尊宝大厦店</x:v>
      </x:c>
      <x:c r="F478" s="19" t="str">
        <x:v>外卖</x:v>
      </x:c>
      <x:c r="G478" s="19" t="str">
        <x:v>全日</x:v>
      </x:c>
      <x:c r="H478" s="19" t="str">
        <x:v>D14</x:v>
      </x:c>
      <x:c r="I478" s="19" t="str">
        <x:v>酸辣鸡杂</x:v>
      </x:c>
      <x:c r="J478" s="22" t="n">
        <x:f>XLOOKUP(H478,'菜品主数据'!$A$5:$A$24,'菜品主数据'!$D$5:$D$24,0)</x:f>
        <x:v>28</x:v>
      </x:c>
      <x:c r="K478" s="31" t="n">
        <x:v>0</x:v>
      </x:c>
      <x:c r="L478" s="35" t="n">
        <x:f>J478*K478</x:f>
        <x:v>0</x:v>
      </x:c>
      <x:c r="M478" s="36" t="n">
        <x:v>0.08</x:v>
      </x:c>
      <x:c r="N478" s="35" t="n">
        <x:f>L478*M478</x:f>
        <x:v>0</x:v>
      </x:c>
      <x:c r="O478" s="37" t="n">
        <x:v>0.18</x:v>
      </x:c>
      <x:c r="P478" s="35" t="n">
        <x:f>L478*O478</x:f>
        <x:v>0</x:v>
      </x:c>
      <x:c r="Q478" s="35" t="n">
        <x:v>1.2</x:v>
      </x:c>
      <x:c r="R478" s="35" t="n">
        <x:f>K478*Q478</x:f>
        <x:v>0</x:v>
      </x:c>
      <x:c r="S478" s="35" t="n">
        <x:f>XLOOKUP(H478,'菜品主数据'!$A$5:$A$24,'菜品主数据'!$G$5:$G$24,0)</x:f>
        <x:v>8.315000000000001</x:v>
      </x:c>
      <x:c r="T478" s="35" t="n">
        <x:f>K478*S478</x:f>
        <x:v>0</x:v>
      </x:c>
      <x:c r="U478" s="35" t="n">
        <x:f>L478-N478-P478-R478-T478</x:f>
        <x:v>0</x:v>
      </x:c>
      <x:c r="V478" s="21" t="n">
        <x:f>IFERROR(U478/L478,0)</x:f>
        <x:v>0</x:v>
      </x:c>
    </x:row>
    <x:row r="479">
      <x:c r="A479" s="19" t="str">
        <x:v>SALE-00475</x:v>
      </x:c>
      <x:c r="B479" s="34" t="n">
        <x:v>46214.5</x:v>
      </x:c>
      <x:c r="C479" s="19" t="str">
        <x:v>周六</x:v>
      </x:c>
      <x:c r="D479" s="19" t="str">
        <x:v>S02</x:v>
      </x:c>
      <x:c r="E479" s="19" t="str">
        <x:v>尊宝大厦店</x:v>
      </x:c>
      <x:c r="F479" s="19" t="str">
        <x:v>外卖</x:v>
      </x:c>
      <x:c r="G479" s="19" t="str">
        <x:v>全日</x:v>
      </x:c>
      <x:c r="H479" s="19" t="str">
        <x:v>D15</x:v>
      </x:c>
      <x:c r="I479" s="19" t="str">
        <x:v>湘西土匪猪肝</x:v>
      </x:c>
      <x:c r="J479" s="22" t="n">
        <x:f>XLOOKUP(H479,'菜品主数据'!$A$5:$A$24,'菜品主数据'!$D$5:$D$24,0)</x:f>
        <x:v>26</x:v>
      </x:c>
      <x:c r="K479" s="31" t="n">
        <x:v>0</x:v>
      </x:c>
      <x:c r="L479" s="35" t="n">
        <x:f>J479*K479</x:f>
        <x:v>0</x:v>
      </x:c>
      <x:c r="M479" s="36" t="n">
        <x:v>0.08</x:v>
      </x:c>
      <x:c r="N479" s="35" t="n">
        <x:f>L479*M479</x:f>
        <x:v>0</x:v>
      </x:c>
      <x:c r="O479" s="37" t="n">
        <x:v>0.18</x:v>
      </x:c>
      <x:c r="P479" s="35" t="n">
        <x:f>L479*O479</x:f>
        <x:v>0</x:v>
      </x:c>
      <x:c r="Q479" s="35" t="n">
        <x:v>1.2</x:v>
      </x:c>
      <x:c r="R479" s="35" t="n">
        <x:f>K479*Q479</x:f>
        <x:v>0</x:v>
      </x:c>
      <x:c r="S479" s="35" t="n">
        <x:f>XLOOKUP(H479,'菜品主数据'!$A$5:$A$24,'菜品主数据'!$G$5:$G$24,0)</x:f>
        <x:v>6.3759999999999994</x:v>
      </x:c>
      <x:c r="T479" s="35" t="n">
        <x:f>K479*S479</x:f>
        <x:v>0</x:v>
      </x:c>
      <x:c r="U479" s="35" t="n">
        <x:f>L479-N479-P479-R479-T479</x:f>
        <x:v>0</x:v>
      </x:c>
      <x:c r="V479" s="21" t="n">
        <x:f>IFERROR(U479/L479,0)</x:f>
        <x:v>0</x:v>
      </x:c>
    </x:row>
    <x:row r="480">
      <x:c r="A480" s="19" t="str">
        <x:v>SALE-00476</x:v>
      </x:c>
      <x:c r="B480" s="34" t="n">
        <x:v>46214.5</x:v>
      </x:c>
      <x:c r="C480" s="19" t="str">
        <x:v>周六</x:v>
      </x:c>
      <x:c r="D480" s="19" t="str">
        <x:v>S02</x:v>
      </x:c>
      <x:c r="E480" s="19" t="str">
        <x:v>尊宝大厦店</x:v>
      </x:c>
      <x:c r="F480" s="19" t="str">
        <x:v>外卖</x:v>
      </x:c>
      <x:c r="G480" s="19" t="str">
        <x:v>全日</x:v>
      </x:c>
      <x:c r="H480" s="19" t="str">
        <x:v>D16</x:v>
      </x:c>
      <x:c r="I480" s="19" t="str">
        <x:v>小豆角炒五花</x:v>
      </x:c>
      <x:c r="J480" s="22" t="n">
        <x:f>XLOOKUP(H480,'菜品主数据'!$A$5:$A$24,'菜品主数据'!$D$5:$D$24,0)</x:f>
        <x:v>25</x:v>
      </x:c>
      <x:c r="K480" s="31" t="n">
        <x:v>0</x:v>
      </x:c>
      <x:c r="L480" s="35" t="n">
        <x:f>J480*K480</x:f>
        <x:v>0</x:v>
      </x:c>
      <x:c r="M480" s="36" t="n">
        <x:v>0.08</x:v>
      </x:c>
      <x:c r="N480" s="35" t="n">
        <x:f>L480*M480</x:f>
        <x:v>0</x:v>
      </x:c>
      <x:c r="O480" s="37" t="n">
        <x:v>0.18</x:v>
      </x:c>
      <x:c r="P480" s="35" t="n">
        <x:f>L480*O480</x:f>
        <x:v>0</x:v>
      </x:c>
      <x:c r="Q480" s="35" t="n">
        <x:v>1.2</x:v>
      </x:c>
      <x:c r="R480" s="35" t="n">
        <x:f>K480*Q480</x:f>
        <x:v>0</x:v>
      </x:c>
      <x:c r="S480" s="35" t="n">
        <x:f>XLOOKUP(H480,'菜品主数据'!$A$5:$A$24,'菜品主数据'!$G$5:$G$24,0)</x:f>
        <x:v>8.184</x:v>
      </x:c>
      <x:c r="T480" s="35" t="n">
        <x:f>K480*S480</x:f>
        <x:v>0</x:v>
      </x:c>
      <x:c r="U480" s="35" t="n">
        <x:f>L480-N480-P480-R480-T480</x:f>
        <x:v>0</x:v>
      </x:c>
      <x:c r="V480" s="21" t="n">
        <x:f>IFERROR(U480/L480,0)</x:f>
        <x:v>0</x:v>
      </x:c>
    </x:row>
    <x:row r="481">
      <x:c r="A481" s="19" t="str">
        <x:v>SALE-00477</x:v>
      </x:c>
      <x:c r="B481" s="34" t="n">
        <x:v>46214.5</x:v>
      </x:c>
      <x:c r="C481" s="19" t="str">
        <x:v>周六</x:v>
      </x:c>
      <x:c r="D481" s="19" t="str">
        <x:v>S02</x:v>
      </x:c>
      <x:c r="E481" s="19" t="str">
        <x:v>尊宝大厦店</x:v>
      </x:c>
      <x:c r="F481" s="19" t="str">
        <x:v>外卖</x:v>
      </x:c>
      <x:c r="G481" s="19" t="str">
        <x:v>全日</x:v>
      </x:c>
      <x:c r="H481" s="19" t="str">
        <x:v>D17</x:v>
      </x:c>
      <x:c r="I481" s="19" t="str">
        <x:v>蒜蓉粉丝虾</x:v>
      </x:c>
      <x:c r="J481" s="22" t="n">
        <x:f>XLOOKUP(H481,'菜品主数据'!$A$5:$A$24,'菜品主数据'!$D$5:$D$24,0)</x:f>
        <x:v>36</x:v>
      </x:c>
      <x:c r="K481" s="31" t="n">
        <x:v>0</x:v>
      </x:c>
      <x:c r="L481" s="35" t="n">
        <x:f>J481*K481</x:f>
        <x:v>0</x:v>
      </x:c>
      <x:c r="M481" s="36" t="n">
        <x:v>0.08</x:v>
      </x:c>
      <x:c r="N481" s="35" t="n">
        <x:f>L481*M481</x:f>
        <x:v>0</x:v>
      </x:c>
      <x:c r="O481" s="37" t="n">
        <x:v>0.18</x:v>
      </x:c>
      <x:c r="P481" s="35" t="n">
        <x:f>L481*O481</x:f>
        <x:v>0</x:v>
      </x:c>
      <x:c r="Q481" s="35" t="n">
        <x:v>1.2</x:v>
      </x:c>
      <x:c r="R481" s="35" t="n">
        <x:f>K481*Q481</x:f>
        <x:v>0</x:v>
      </x:c>
      <x:c r="S481" s="35" t="n">
        <x:f>XLOOKUP(H481,'菜品主数据'!$A$5:$A$24,'菜品主数据'!$G$5:$G$24,0)</x:f>
        <x:v>13.594</x:v>
      </x:c>
      <x:c r="T481" s="35" t="n">
        <x:f>K481*S481</x:f>
        <x:v>0</x:v>
      </x:c>
      <x:c r="U481" s="35" t="n">
        <x:f>L481-N481-P481-R481-T481</x:f>
        <x:v>0</x:v>
      </x:c>
      <x:c r="V481" s="21" t="n">
        <x:f>IFERROR(U481/L481,0)</x:f>
        <x:v>0</x:v>
      </x:c>
    </x:row>
    <x:row r="482">
      <x:c r="A482" s="19" t="str">
        <x:v>SALE-00478</x:v>
      </x:c>
      <x:c r="B482" s="34" t="n">
        <x:v>46214.5</x:v>
      </x:c>
      <x:c r="C482" s="19" t="str">
        <x:v>周六</x:v>
      </x:c>
      <x:c r="D482" s="19" t="str">
        <x:v>S02</x:v>
      </x:c>
      <x:c r="E482" s="19" t="str">
        <x:v>尊宝大厦店</x:v>
      </x:c>
      <x:c r="F482" s="19" t="str">
        <x:v>外卖</x:v>
      </x:c>
      <x:c r="G482" s="19" t="str">
        <x:v>全日</x:v>
      </x:c>
      <x:c r="H482" s="19" t="str">
        <x:v>D18</x:v>
      </x:c>
      <x:c r="I482" s="19" t="str">
        <x:v>青椒炒油麦菜</x:v>
      </x:c>
      <x:c r="J482" s="22" t="n">
        <x:f>XLOOKUP(H482,'菜品主数据'!$A$5:$A$24,'菜品主数据'!$D$5:$D$24,0)</x:f>
        <x:v>18</x:v>
      </x:c>
      <x:c r="K482" s="31" t="n">
        <x:v>0</x:v>
      </x:c>
      <x:c r="L482" s="35" t="n">
        <x:f>J482*K482</x:f>
        <x:v>0</x:v>
      </x:c>
      <x:c r="M482" s="36" t="n">
        <x:v>0.08</x:v>
      </x:c>
      <x:c r="N482" s="35" t="n">
        <x:f>L482*M482</x:f>
        <x:v>0</x:v>
      </x:c>
      <x:c r="O482" s="37" t="n">
        <x:v>0.18</x:v>
      </x:c>
      <x:c r="P482" s="35" t="n">
        <x:f>L482*O482</x:f>
        <x:v>0</x:v>
      </x:c>
      <x:c r="Q482" s="35" t="n">
        <x:v>1.2</x:v>
      </x:c>
      <x:c r="R482" s="35" t="n">
        <x:f>K482*Q482</x:f>
        <x:v>0</x:v>
      </x:c>
      <x:c r="S482" s="35" t="n">
        <x:f>XLOOKUP(H482,'菜品主数据'!$A$5:$A$24,'菜品主数据'!$G$5:$G$24,0)</x:f>
        <x:v>3.1759999999999993</x:v>
      </x:c>
      <x:c r="T482" s="35" t="n">
        <x:f>K482*S482</x:f>
        <x:v>0</x:v>
      </x:c>
      <x:c r="U482" s="35" t="n">
        <x:f>L482-N482-P482-R482-T482</x:f>
        <x:v>0</x:v>
      </x:c>
      <x:c r="V482" s="21" t="n">
        <x:f>IFERROR(U482/L482,0)</x:f>
        <x:v>0</x:v>
      </x:c>
    </x:row>
    <x:row r="483">
      <x:c r="A483" s="19" t="str">
        <x:v>SALE-00479</x:v>
      </x:c>
      <x:c r="B483" s="34" t="n">
        <x:v>46214.5</x:v>
      </x:c>
      <x:c r="C483" s="19" t="str">
        <x:v>周六</x:v>
      </x:c>
      <x:c r="D483" s="19" t="str">
        <x:v>S02</x:v>
      </x:c>
      <x:c r="E483" s="19" t="str">
        <x:v>尊宝大厦店</x:v>
      </x:c>
      <x:c r="F483" s="19" t="str">
        <x:v>外卖</x:v>
      </x:c>
      <x:c r="G483" s="19" t="str">
        <x:v>全日</x:v>
      </x:c>
      <x:c r="H483" s="19" t="str">
        <x:v>D19</x:v>
      </x:c>
      <x:c r="I483" s="19" t="str">
        <x:v>酸萝卜炒鸡杂</x:v>
      </x:c>
      <x:c r="J483" s="22" t="n">
        <x:f>XLOOKUP(H483,'菜品主数据'!$A$5:$A$24,'菜品主数据'!$D$5:$D$24,0)</x:f>
        <x:v>25</x:v>
      </x:c>
      <x:c r="K483" s="31" t="n">
        <x:v>0</x:v>
      </x:c>
      <x:c r="L483" s="35" t="n">
        <x:f>J483*K483</x:f>
        <x:v>0</x:v>
      </x:c>
      <x:c r="M483" s="36" t="n">
        <x:v>0.08</x:v>
      </x:c>
      <x:c r="N483" s="35" t="n">
        <x:f>L483*M483</x:f>
        <x:v>0</x:v>
      </x:c>
      <x:c r="O483" s="37" t="n">
        <x:v>0.18</x:v>
      </x:c>
      <x:c r="P483" s="35" t="n">
        <x:f>L483*O483</x:f>
        <x:v>0</x:v>
      </x:c>
      <x:c r="Q483" s="35" t="n">
        <x:v>1.2</x:v>
      </x:c>
      <x:c r="R483" s="35" t="n">
        <x:f>K483*Q483</x:f>
        <x:v>0</x:v>
      </x:c>
      <x:c r="S483" s="35" t="n">
        <x:f>XLOOKUP(H483,'菜品主数据'!$A$5:$A$24,'菜品主数据'!$G$5:$G$24,0)</x:f>
        <x:v>7.9399999999999995</x:v>
      </x:c>
      <x:c r="T483" s="35" t="n">
        <x:f>K483*S483</x:f>
        <x:v>0</x:v>
      </x:c>
      <x:c r="U483" s="35" t="n">
        <x:f>L483-N483-P483-R483-T483</x:f>
        <x:v>0</x:v>
      </x:c>
      <x:c r="V483" s="21" t="n">
        <x:f>IFERROR(U483/L483,0)</x:f>
        <x:v>0</x:v>
      </x:c>
    </x:row>
    <x:row r="484">
      <x:c r="A484" s="19" t="str">
        <x:v>SALE-00480</x:v>
      </x:c>
      <x:c r="B484" s="34" t="n">
        <x:v>46214.5</x:v>
      </x:c>
      <x:c r="C484" s="19" t="str">
        <x:v>周六</x:v>
      </x:c>
      <x:c r="D484" s="19" t="str">
        <x:v>S02</x:v>
      </x:c>
      <x:c r="E484" s="19" t="str">
        <x:v>尊宝大厦店</x:v>
      </x:c>
      <x:c r="F484" s="19" t="str">
        <x:v>外卖</x:v>
      </x:c>
      <x:c r="G484" s="19" t="str">
        <x:v>全日</x:v>
      </x:c>
      <x:c r="H484" s="19" t="str">
        <x:v>D20</x:v>
      </x:c>
      <x:c r="I484" s="19" t="str">
        <x:v>雪菜肉末青豆</x:v>
      </x:c>
      <x:c r="J484" s="22" t="n">
        <x:f>XLOOKUP(H484,'菜品主数据'!$A$5:$A$24,'菜品主数据'!$D$5:$D$24,0)</x:f>
        <x:v>18</x:v>
      </x:c>
      <x:c r="K484" s="31" t="n">
        <x:v>0</x:v>
      </x:c>
      <x:c r="L484" s="35" t="n">
        <x:f>J484*K484</x:f>
        <x:v>0</x:v>
      </x:c>
      <x:c r="M484" s="36" t="n">
        <x:v>0.08</x:v>
      </x:c>
      <x:c r="N484" s="35" t="n">
        <x:f>L484*M484</x:f>
        <x:v>0</x:v>
      </x:c>
      <x:c r="O484" s="37" t="n">
        <x:v>0.18</x:v>
      </x:c>
      <x:c r="P484" s="35" t="n">
        <x:f>L484*O484</x:f>
        <x:v>0</x:v>
      </x:c>
      <x:c r="Q484" s="35" t="n">
        <x:v>1.2</x:v>
      </x:c>
      <x:c r="R484" s="35" t="n">
        <x:f>K484*Q484</x:f>
        <x:v>0</x:v>
      </x:c>
      <x:c r="S484" s="35" t="n">
        <x:f>XLOOKUP(H484,'菜品主数据'!$A$5:$A$24,'菜品主数据'!$G$5:$G$24,0)</x:f>
        <x:v>7.303999999999999</x:v>
      </x:c>
      <x:c r="T484" s="35" t="n">
        <x:f>K484*S484</x:f>
        <x:v>0</x:v>
      </x:c>
      <x:c r="U484" s="35" t="n">
        <x:f>L484-N484-P484-R484-T484</x:f>
        <x:v>0</x:v>
      </x:c>
      <x:c r="V484" s="21" t="n">
        <x:f>IFERROR(U484/L484,0)</x:f>
        <x:v>0</x:v>
      </x:c>
    </x:row>
    <x:row r="485">
      <x:c r="A485" s="19" t="str">
        <x:v>SALE-00481</x:v>
      </x:c>
      <x:c r="B485" s="34" t="n">
        <x:v>46215.5</x:v>
      </x:c>
      <x:c r="C485" s="19" t="str">
        <x:v>周日</x:v>
      </x:c>
      <x:c r="D485" s="19" t="str">
        <x:v>S02</x:v>
      </x:c>
      <x:c r="E485" s="19" t="str">
        <x:v>尊宝大厦店</x:v>
      </x:c>
      <x:c r="F485" s="19" t="str">
        <x:v>堂食</x:v>
      </x:c>
      <x:c r="G485" s="19" t="str">
        <x:v>全日</x:v>
      </x:c>
      <x:c r="H485" s="19" t="str">
        <x:v>D01</x:v>
      </x:c>
      <x:c r="I485" s="19" t="str">
        <x:v>辣椒炒肉</x:v>
      </x:c>
      <x:c r="J485" s="22" t="n">
        <x:f>XLOOKUP(H485,'菜品主数据'!$A$5:$A$24,'菜品主数据'!$D$5:$D$24,0)</x:f>
        <x:v>29</x:v>
      </x:c>
      <x:c r="K485" s="31" t="n">
        <x:v>38</x:v>
      </x:c>
      <x:c r="L485" s="35" t="n">
        <x:f>J485*K485</x:f>
        <x:v>1102</x:v>
      </x:c>
      <x:c r="M485" s="36" t="n">
        <x:v>0</x:v>
      </x:c>
      <x:c r="N485" s="35" t="n">
        <x:f>L485*M485</x:f>
        <x:v>0</x:v>
      </x:c>
      <x:c r="O485" s="37" t="n">
        <x:v>0</x:v>
      </x:c>
      <x:c r="P485" s="35" t="n">
        <x:f>L485*O485</x:f>
        <x:v>0</x:v>
      </x:c>
      <x:c r="Q485" s="35" t="n">
        <x:v>0</x:v>
      </x:c>
      <x:c r="R485" s="35" t="n">
        <x:f>K485*Q485</x:f>
        <x:v>0</x:v>
      </x:c>
      <x:c r="S485" s="35" t="n">
        <x:f>XLOOKUP(H485,'菜品主数据'!$A$5:$A$24,'菜品主数据'!$G$5:$G$24,0)</x:f>
        <x:v>8.634400000000001</x:v>
      </x:c>
      <x:c r="T485" s="35" t="n">
        <x:f>K485*S485</x:f>
        <x:v>328.10720000000003</x:v>
      </x:c>
      <x:c r="U485" s="35" t="n">
        <x:f>L485-N485-P485-R485-T485</x:f>
        <x:v>773.8928</x:v>
      </x:c>
      <x:c r="V485" s="21" t="n">
        <x:f>IFERROR(U485/L485,0)</x:f>
        <x:v>0.7022620689655172</x:v>
      </x:c>
    </x:row>
    <x:row r="486">
      <x:c r="A486" s="19" t="str">
        <x:v>SALE-00482</x:v>
      </x:c>
      <x:c r="B486" s="34" t="n">
        <x:v>46215.5</x:v>
      </x:c>
      <x:c r="C486" s="19" t="str">
        <x:v>周日</x:v>
      </x:c>
      <x:c r="D486" s="19" t="str">
        <x:v>S02</x:v>
      </x:c>
      <x:c r="E486" s="19" t="str">
        <x:v>尊宝大厦店</x:v>
      </x:c>
      <x:c r="F486" s="19" t="str">
        <x:v>堂食</x:v>
      </x:c>
      <x:c r="G486" s="19" t="str">
        <x:v>全日</x:v>
      </x:c>
      <x:c r="H486" s="19" t="str">
        <x:v>D02</x:v>
      </x:c>
      <x:c r="I486" s="19" t="str">
        <x:v>小炒黄牛肉</x:v>
      </x:c>
      <x:c r="J486" s="22" t="n">
        <x:f>XLOOKUP(H486,'菜品主数据'!$A$5:$A$24,'菜品主数据'!$D$5:$D$24,0)</x:f>
        <x:v>49</x:v>
      </x:c>
      <x:c r="K486" s="31" t="n">
        <x:v>21</x:v>
      </x:c>
      <x:c r="L486" s="35" t="n">
        <x:f>J486*K486</x:f>
        <x:v>1029</x:v>
      </x:c>
      <x:c r="M486" s="36" t="n">
        <x:v>0</x:v>
      </x:c>
      <x:c r="N486" s="35" t="n">
        <x:f>L486*M486</x:f>
        <x:v>0</x:v>
      </x:c>
      <x:c r="O486" s="37" t="n">
        <x:v>0</x:v>
      </x:c>
      <x:c r="P486" s="35" t="n">
        <x:f>L486*O486</x:f>
        <x:v>0</x:v>
      </x:c>
      <x:c r="Q486" s="35" t="n">
        <x:v>0</x:v>
      </x:c>
      <x:c r="R486" s="35" t="n">
        <x:f>K486*Q486</x:f>
        <x:v>0</x:v>
      </x:c>
      <x:c r="S486" s="35" t="n">
        <x:f>XLOOKUP(H486,'菜品主数据'!$A$5:$A$24,'菜品主数据'!$G$5:$G$24,0)</x:f>
        <x:v>17.577</x:v>
      </x:c>
      <x:c r="T486" s="35" t="n">
        <x:f>K486*S486</x:f>
        <x:v>369.117</x:v>
      </x:c>
      <x:c r="U486" s="35" t="n">
        <x:f>L486-N486-P486-R486-T486</x:f>
        <x:v>659.883</x:v>
      </x:c>
      <x:c r="V486" s="21" t="n">
        <x:f>IFERROR(U486/L486,0)</x:f>
        <x:v>0.6412857142857143</x:v>
      </x:c>
    </x:row>
    <x:row r="487">
      <x:c r="A487" s="19" t="str">
        <x:v>SALE-00483</x:v>
      </x:c>
      <x:c r="B487" s="34" t="n">
        <x:v>46215.5</x:v>
      </x:c>
      <x:c r="C487" s="19" t="str">
        <x:v>周日</x:v>
      </x:c>
      <x:c r="D487" s="19" t="str">
        <x:v>S02</x:v>
      </x:c>
      <x:c r="E487" s="19" t="str">
        <x:v>尊宝大厦店</x:v>
      </x:c>
      <x:c r="F487" s="19" t="str">
        <x:v>堂食</x:v>
      </x:c>
      <x:c r="G487" s="19" t="str">
        <x:v>全日</x:v>
      </x:c>
      <x:c r="H487" s="19" t="str">
        <x:v>D03</x:v>
      </x:c>
      <x:c r="I487" s="19" t="str">
        <x:v>香醋炒蛋</x:v>
      </x:c>
      <x:c r="J487" s="22" t="n">
        <x:f>XLOOKUP(H487,'菜品主数据'!$A$5:$A$24,'菜品主数据'!$D$5:$D$24,0)</x:f>
        <x:v>14.9</x:v>
      </x:c>
      <x:c r="K487" s="31" t="n">
        <x:v>29</x:v>
      </x:c>
      <x:c r="L487" s="35" t="n">
        <x:f>J487*K487</x:f>
        <x:v>432.1</x:v>
      </x:c>
      <x:c r="M487" s="36" t="n">
        <x:v>0</x:v>
      </x:c>
      <x:c r="N487" s="35" t="n">
        <x:f>L487*M487</x:f>
        <x:v>0</x:v>
      </x:c>
      <x:c r="O487" s="37" t="n">
        <x:v>0</x:v>
      </x:c>
      <x:c r="P487" s="35" t="n">
        <x:f>L487*O487</x:f>
        <x:v>0</x:v>
      </x:c>
      <x:c r="Q487" s="35" t="n">
        <x:v>0</x:v>
      </x:c>
      <x:c r="R487" s="35" t="n">
        <x:f>K487*Q487</x:f>
        <x:v>0</x:v>
      </x:c>
      <x:c r="S487" s="35" t="n">
        <x:f>XLOOKUP(H487,'菜品主数据'!$A$5:$A$24,'菜品主数据'!$G$5:$G$24,0)</x:f>
        <x:v>3.7459999999999996</x:v>
      </x:c>
      <x:c r="T487" s="35" t="n">
        <x:f>K487*S487</x:f>
        <x:v>108.63399999999999</x:v>
      </x:c>
      <x:c r="U487" s="35" t="n">
        <x:f>L487-N487-P487-R487-T487</x:f>
        <x:v>323.466</x:v>
      </x:c>
      <x:c r="V487" s="21" t="n">
        <x:f>IFERROR(U487/L487,0)</x:f>
        <x:v>0.7485906040268456</x:v>
      </x:c>
    </x:row>
    <x:row r="488">
      <x:c r="A488" s="19" t="str">
        <x:v>SALE-00484</x:v>
      </x:c>
      <x:c r="B488" s="34" t="n">
        <x:v>46215.5</x:v>
      </x:c>
      <x:c r="C488" s="19" t="str">
        <x:v>周日</x:v>
      </x:c>
      <x:c r="D488" s="19" t="str">
        <x:v>S02</x:v>
      </x:c>
      <x:c r="E488" s="19" t="str">
        <x:v>尊宝大厦店</x:v>
      </x:c>
      <x:c r="F488" s="19" t="str">
        <x:v>堂食</x:v>
      </x:c>
      <x:c r="G488" s="19" t="str">
        <x:v>全日</x:v>
      </x:c>
      <x:c r="H488" s="19" t="str">
        <x:v>D04</x:v>
      </x:c>
      <x:c r="I488" s="19" t="str">
        <x:v>酸包菜炒粉皮</x:v>
      </x:c>
      <x:c r="J488" s="22" t="n">
        <x:f>XLOOKUP(H488,'菜品主数据'!$A$5:$A$24,'菜品主数据'!$D$5:$D$24,0)</x:f>
        <x:v>16</x:v>
      </x:c>
      <x:c r="K488" s="31" t="n">
        <x:v>28</x:v>
      </x:c>
      <x:c r="L488" s="35" t="n">
        <x:f>J488*K488</x:f>
        <x:v>448</x:v>
      </x:c>
      <x:c r="M488" s="36" t="n">
        <x:v>0</x:v>
      </x:c>
      <x:c r="N488" s="35" t="n">
        <x:f>L488*M488</x:f>
        <x:v>0</x:v>
      </x:c>
      <x:c r="O488" s="37" t="n">
        <x:v>0</x:v>
      </x:c>
      <x:c r="P488" s="35" t="n">
        <x:f>L488*O488</x:f>
        <x:v>0</x:v>
      </x:c>
      <x:c r="Q488" s="35" t="n">
        <x:v>0</x:v>
      </x:c>
      <x:c r="R488" s="35" t="n">
        <x:f>K488*Q488</x:f>
        <x:v>0</x:v>
      </x:c>
      <x:c r="S488" s="35" t="n">
        <x:f>XLOOKUP(H488,'菜品主数据'!$A$5:$A$24,'菜品主数据'!$G$5:$G$24,0)</x:f>
        <x:v>3.978</x:v>
      </x:c>
      <x:c r="T488" s="35" t="n">
        <x:f>K488*S488</x:f>
        <x:v>111.384</x:v>
      </x:c>
      <x:c r="U488" s="35" t="n">
        <x:f>L488-N488-P488-R488-T488</x:f>
        <x:v>336.616</x:v>
      </x:c>
      <x:c r="V488" s="21" t="n">
        <x:f>IFERROR(U488/L488,0)</x:f>
        <x:v>0.751375</x:v>
      </x:c>
    </x:row>
    <x:row r="489">
      <x:c r="A489" s="19" t="str">
        <x:v>SALE-00485</x:v>
      </x:c>
      <x:c r="B489" s="34" t="n">
        <x:v>46215.5</x:v>
      </x:c>
      <x:c r="C489" s="19" t="str">
        <x:v>周日</x:v>
      </x:c>
      <x:c r="D489" s="19" t="str">
        <x:v>S02</x:v>
      </x:c>
      <x:c r="E489" s="19" t="str">
        <x:v>尊宝大厦店</x:v>
      </x:c>
      <x:c r="F489" s="19" t="str">
        <x:v>堂食</x:v>
      </x:c>
      <x:c r="G489" s="19" t="str">
        <x:v>全日</x:v>
      </x:c>
      <x:c r="H489" s="19" t="str">
        <x:v>D05</x:v>
      </x:c>
      <x:c r="I489" s="19" t="str">
        <x:v>麻婆豆腐</x:v>
      </x:c>
      <x:c r="J489" s="22" t="n">
        <x:f>XLOOKUP(H489,'菜品主数据'!$A$5:$A$24,'菜品主数据'!$D$5:$D$24,0)</x:f>
        <x:v>9.9</x:v>
      </x:c>
      <x:c r="K489" s="31" t="n">
        <x:v>39</x:v>
      </x:c>
      <x:c r="L489" s="35" t="n">
        <x:f>J489*K489</x:f>
        <x:v>386.1</x:v>
      </x:c>
      <x:c r="M489" s="36" t="n">
        <x:v>0</x:v>
      </x:c>
      <x:c r="N489" s="35" t="n">
        <x:f>L489*M489</x:f>
        <x:v>0</x:v>
      </x:c>
      <x:c r="O489" s="37" t="n">
        <x:v>0</x:v>
      </x:c>
      <x:c r="P489" s="35" t="n">
        <x:f>L489*O489</x:f>
        <x:v>0</x:v>
      </x:c>
      <x:c r="Q489" s="35" t="n">
        <x:v>0</x:v>
      </x:c>
      <x:c r="R489" s="35" t="n">
        <x:f>K489*Q489</x:f>
        <x:v>0</x:v>
      </x:c>
      <x:c r="S489" s="35" t="n">
        <x:f>XLOOKUP(H489,'菜品主数据'!$A$5:$A$24,'菜品主数据'!$G$5:$G$24,0)</x:f>
        <x:v>5.367000000000001</x:v>
      </x:c>
      <x:c r="T489" s="35" t="n">
        <x:f>K489*S489</x:f>
        <x:v>209.31300000000005</x:v>
      </x:c>
      <x:c r="U489" s="35" t="n">
        <x:f>L489-N489-P489-R489-T489</x:f>
        <x:v>176.78699999999998</x:v>
      </x:c>
      <x:c r="V489" s="21" t="n">
        <x:f>IFERROR(U489/L489,0)</x:f>
        <x:v>0.4578787878787878</x:v>
      </x:c>
    </x:row>
    <x:row r="490">
      <x:c r="A490" s="19" t="str">
        <x:v>SALE-00486</x:v>
      </x:c>
      <x:c r="B490" s="34" t="n">
        <x:v>46215.5</x:v>
      </x:c>
      <x:c r="C490" s="19" t="str">
        <x:v>周日</x:v>
      </x:c>
      <x:c r="D490" s="19" t="str">
        <x:v>S02</x:v>
      </x:c>
      <x:c r="E490" s="19" t="str">
        <x:v>尊宝大厦店</x:v>
      </x:c>
      <x:c r="F490" s="19" t="str">
        <x:v>堂食</x:v>
      </x:c>
      <x:c r="G490" s="19" t="str">
        <x:v>全日</x:v>
      </x:c>
      <x:c r="H490" s="19" t="str">
        <x:v>D06</x:v>
      </x:c>
      <x:c r="I490" s="19" t="str">
        <x:v>剁椒鱼头</x:v>
      </x:c>
      <x:c r="J490" s="22" t="n">
        <x:f>XLOOKUP(H490,'菜品主数据'!$A$5:$A$24,'菜品主数据'!$D$5:$D$24,0)</x:f>
        <x:v>39</x:v>
      </x:c>
      <x:c r="K490" s="31" t="n">
        <x:v>10</x:v>
      </x:c>
      <x:c r="L490" s="35" t="n">
        <x:f>J490*K490</x:f>
        <x:v>390</x:v>
      </x:c>
      <x:c r="M490" s="36" t="n">
        <x:v>0</x:v>
      </x:c>
      <x:c r="N490" s="35" t="n">
        <x:f>L490*M490</x:f>
        <x:v>0</x:v>
      </x:c>
      <x:c r="O490" s="37" t="n">
        <x:v>0</x:v>
      </x:c>
      <x:c r="P490" s="35" t="n">
        <x:f>L490*O490</x:f>
        <x:v>0</x:v>
      </x:c>
      <x:c r="Q490" s="35" t="n">
        <x:v>0</x:v>
      </x:c>
      <x:c r="R490" s="35" t="n">
        <x:f>K490*Q490</x:f>
        <x:v>0</x:v>
      </x:c>
      <x:c r="S490" s="35" t="n">
        <x:f>XLOOKUP(H490,'菜品主数据'!$A$5:$A$24,'菜品主数据'!$G$5:$G$24,0)</x:f>
        <x:v>17.446</x:v>
      </x:c>
      <x:c r="T490" s="35" t="n">
        <x:f>K490*S490</x:f>
        <x:v>174.46</x:v>
      </x:c>
      <x:c r="U490" s="35" t="n">
        <x:f>L490-N490-P490-R490-T490</x:f>
        <x:v>215.54</x:v>
      </x:c>
      <x:c r="V490" s="21" t="n">
        <x:f>IFERROR(U490/L490,0)</x:f>
        <x:v>0.5526666666666666</x:v>
      </x:c>
    </x:row>
    <x:row r="491">
      <x:c r="A491" s="19" t="str">
        <x:v>SALE-00487</x:v>
      </x:c>
      <x:c r="B491" s="34" t="n">
        <x:v>46215.5</x:v>
      </x:c>
      <x:c r="C491" s="19" t="str">
        <x:v>周日</x:v>
      </x:c>
      <x:c r="D491" s="19" t="str">
        <x:v>S02</x:v>
      </x:c>
      <x:c r="E491" s="19" t="str">
        <x:v>尊宝大厦店</x:v>
      </x:c>
      <x:c r="F491" s="19" t="str">
        <x:v>堂食</x:v>
      </x:c>
      <x:c r="G491" s="19" t="str">
        <x:v>全日</x:v>
      </x:c>
      <x:c r="H491" s="19" t="str">
        <x:v>D07</x:v>
      </x:c>
      <x:c r="I491" s="19" t="str">
        <x:v>川味回锅肉</x:v>
      </x:c>
      <x:c r="J491" s="22" t="n">
        <x:f>XLOOKUP(H491,'菜品主数据'!$A$5:$A$24,'菜品主数据'!$D$5:$D$24,0)</x:f>
        <x:v>29</x:v>
      </x:c>
      <x:c r="K491" s="31" t="n">
        <x:v>12</x:v>
      </x:c>
      <x:c r="L491" s="35" t="n">
        <x:f>J491*K491</x:f>
        <x:v>348</x:v>
      </x:c>
      <x:c r="M491" s="36" t="n">
        <x:v>0</x:v>
      </x:c>
      <x:c r="N491" s="35" t="n">
        <x:f>L491*M491</x:f>
        <x:v>0</x:v>
      </x:c>
      <x:c r="O491" s="37" t="n">
        <x:v>0</x:v>
      </x:c>
      <x:c r="P491" s="35" t="n">
        <x:f>L491*O491</x:f>
        <x:v>0</x:v>
      </x:c>
      <x:c r="Q491" s="35" t="n">
        <x:v>0</x:v>
      </x:c>
      <x:c r="R491" s="35" t="n">
        <x:f>K491*Q491</x:f>
        <x:v>0</x:v>
      </x:c>
      <x:c r="S491" s="35" t="n">
        <x:f>XLOOKUP(H491,'菜品主数据'!$A$5:$A$24,'菜品主数据'!$G$5:$G$24,0)</x:f>
        <x:v>10.231000000000002</x:v>
      </x:c>
      <x:c r="T491" s="35" t="n">
        <x:f>K491*S491</x:f>
        <x:v>122.77200000000002</x:v>
      </x:c>
      <x:c r="U491" s="35" t="n">
        <x:f>L491-N491-P491-R491-T491</x:f>
        <x:v>225.22799999999998</x:v>
      </x:c>
      <x:c r="V491" s="21" t="n">
        <x:f>IFERROR(U491/L491,0)</x:f>
        <x:v>0.647206896551724</x:v>
      </x:c>
    </x:row>
    <x:row r="492">
      <x:c r="A492" s="19" t="str">
        <x:v>SALE-00488</x:v>
      </x:c>
      <x:c r="B492" s="34" t="n">
        <x:v>46215.5</x:v>
      </x:c>
      <x:c r="C492" s="19" t="str">
        <x:v>周日</x:v>
      </x:c>
      <x:c r="D492" s="19" t="str">
        <x:v>S02</x:v>
      </x:c>
      <x:c r="E492" s="19" t="str">
        <x:v>尊宝大厦店</x:v>
      </x:c>
      <x:c r="F492" s="19" t="str">
        <x:v>堂食</x:v>
      </x:c>
      <x:c r="G492" s="19" t="str">
        <x:v>全日</x:v>
      </x:c>
      <x:c r="H492" s="19" t="str">
        <x:v>D08</x:v>
      </x:c>
      <x:c r="I492" s="19" t="str">
        <x:v>生炒清远鸡</x:v>
      </x:c>
      <x:c r="J492" s="22" t="n">
        <x:f>XLOOKUP(H492,'菜品主数据'!$A$5:$A$24,'菜品主数据'!$D$5:$D$24,0)</x:f>
        <x:v>36</x:v>
      </x:c>
      <x:c r="K492" s="31" t="n">
        <x:v>8</x:v>
      </x:c>
      <x:c r="L492" s="35" t="n">
        <x:f>J492*K492</x:f>
        <x:v>288</x:v>
      </x:c>
      <x:c r="M492" s="36" t="n">
        <x:v>0</x:v>
      </x:c>
      <x:c r="N492" s="35" t="n">
        <x:f>L492*M492</x:f>
        <x:v>0</x:v>
      </x:c>
      <x:c r="O492" s="37" t="n">
        <x:v>0</x:v>
      </x:c>
      <x:c r="P492" s="35" t="n">
        <x:f>L492*O492</x:f>
        <x:v>0</x:v>
      </x:c>
      <x:c r="Q492" s="35" t="n">
        <x:v>0</x:v>
      </x:c>
      <x:c r="R492" s="35" t="n">
        <x:f>K492*Q492</x:f>
        <x:v>0</x:v>
      </x:c>
      <x:c r="S492" s="35" t="n">
        <x:f>XLOOKUP(H492,'菜品主数据'!$A$5:$A$24,'菜品主数据'!$G$5:$G$24,0)</x:f>
        <x:v>13.48</x:v>
      </x:c>
      <x:c r="T492" s="35" t="n">
        <x:f>K492*S492</x:f>
        <x:v>107.84</x:v>
      </x:c>
      <x:c r="U492" s="35" t="n">
        <x:f>L492-N492-P492-R492-T492</x:f>
        <x:v>180.16</x:v>
      </x:c>
      <x:c r="V492" s="21" t="n">
        <x:f>IFERROR(U492/L492,0)</x:f>
        <x:v>0.6255555555555555</x:v>
      </x:c>
    </x:row>
    <x:row r="493">
      <x:c r="A493" s="19" t="str">
        <x:v>SALE-00489</x:v>
      </x:c>
      <x:c r="B493" s="34" t="n">
        <x:v>46215.5</x:v>
      </x:c>
      <x:c r="C493" s="19" t="str">
        <x:v>周日</x:v>
      </x:c>
      <x:c r="D493" s="19" t="str">
        <x:v>S02</x:v>
      </x:c>
      <x:c r="E493" s="19" t="str">
        <x:v>尊宝大厦店</x:v>
      </x:c>
      <x:c r="F493" s="19" t="str">
        <x:v>堂食</x:v>
      </x:c>
      <x:c r="G493" s="19" t="str">
        <x:v>全日</x:v>
      </x:c>
      <x:c r="H493" s="19" t="str">
        <x:v>D09</x:v>
      </x:c>
      <x:c r="I493" s="19" t="str">
        <x:v>炒豆干</x:v>
      </x:c>
      <x:c r="J493" s="22" t="n">
        <x:f>XLOOKUP(H493,'菜品主数据'!$A$5:$A$24,'菜品主数据'!$D$5:$D$24,0)</x:f>
        <x:v>18</x:v>
      </x:c>
      <x:c r="K493" s="31" t="n">
        <x:v>12</x:v>
      </x:c>
      <x:c r="L493" s="35" t="n">
        <x:f>J493*K493</x:f>
        <x:v>216</x:v>
      </x:c>
      <x:c r="M493" s="36" t="n">
        <x:v>0</x:v>
      </x:c>
      <x:c r="N493" s="35" t="n">
        <x:f>L493*M493</x:f>
        <x:v>0</x:v>
      </x:c>
      <x:c r="O493" s="37" t="n">
        <x:v>0</x:v>
      </x:c>
      <x:c r="P493" s="35" t="n">
        <x:f>L493*O493</x:f>
        <x:v>0</x:v>
      </x:c>
      <x:c r="Q493" s="35" t="n">
        <x:v>0</x:v>
      </x:c>
      <x:c r="R493" s="35" t="n">
        <x:f>K493*Q493</x:f>
        <x:v>0</x:v>
      </x:c>
      <x:c r="S493" s="35" t="n">
        <x:f>XLOOKUP(H493,'菜品主数据'!$A$5:$A$24,'菜品主数据'!$G$5:$G$24,0)</x:f>
        <x:v>6.613999999999999</x:v>
      </x:c>
      <x:c r="T493" s="35" t="n">
        <x:f>K493*S493</x:f>
        <x:v>79.368</x:v>
      </x:c>
      <x:c r="U493" s="35" t="n">
        <x:f>L493-N493-P493-R493-T493</x:f>
        <x:v>136.632</x:v>
      </x:c>
      <x:c r="V493" s="21" t="n">
        <x:f>IFERROR(U493/L493,0)</x:f>
        <x:v>0.6325555555555555</x:v>
      </x:c>
    </x:row>
    <x:row r="494">
      <x:c r="A494" s="19" t="str">
        <x:v>SALE-00490</x:v>
      </x:c>
      <x:c r="B494" s="34" t="n">
        <x:v>46215.5</x:v>
      </x:c>
      <x:c r="C494" s="19" t="str">
        <x:v>周日</x:v>
      </x:c>
      <x:c r="D494" s="19" t="str">
        <x:v>S02</x:v>
      </x:c>
      <x:c r="E494" s="19" t="str">
        <x:v>尊宝大厦店</x:v>
      </x:c>
      <x:c r="F494" s="19" t="str">
        <x:v>堂食</x:v>
      </x:c>
      <x:c r="G494" s="19" t="str">
        <x:v>全日</x:v>
      </x:c>
      <x:c r="H494" s="19" t="str">
        <x:v>D10</x:v>
      </x:c>
      <x:c r="I494" s="19" t="str">
        <x:v>农家一碗香</x:v>
      </x:c>
      <x:c r="J494" s="22" t="n">
        <x:f>XLOOKUP(H494,'菜品主数据'!$A$5:$A$24,'菜品主数据'!$D$5:$D$24,0)</x:f>
        <x:v>22.9</x:v>
      </x:c>
      <x:c r="K494" s="31" t="n">
        <x:v>14</x:v>
      </x:c>
      <x:c r="L494" s="35" t="n">
        <x:f>J494*K494</x:f>
        <x:v>320.59999999999997</x:v>
      </x:c>
      <x:c r="M494" s="36" t="n">
        <x:v>0</x:v>
      </x:c>
      <x:c r="N494" s="35" t="n">
        <x:f>L494*M494</x:f>
        <x:v>0</x:v>
      </x:c>
      <x:c r="O494" s="37" t="n">
        <x:v>0</x:v>
      </x:c>
      <x:c r="P494" s="35" t="n">
        <x:f>L494*O494</x:f>
        <x:v>0</x:v>
      </x:c>
      <x:c r="Q494" s="35" t="n">
        <x:v>0</x:v>
      </x:c>
      <x:c r="R494" s="35" t="n">
        <x:f>K494*Q494</x:f>
        <x:v>0</x:v>
      </x:c>
      <x:c r="S494" s="35" t="n">
        <x:f>XLOOKUP(H494,'菜品主数据'!$A$5:$A$24,'菜品主数据'!$G$5:$G$24,0)</x:f>
        <x:v>9.770200000000003</x:v>
      </x:c>
      <x:c r="T494" s="35" t="n">
        <x:f>K494*S494</x:f>
        <x:v>136.78280000000004</x:v>
      </x:c>
      <x:c r="U494" s="35" t="n">
        <x:f>L494-N494-P494-R494-T494</x:f>
        <x:v>183.81719999999993</x:v>
      </x:c>
      <x:c r="V494" s="21" t="n">
        <x:f>IFERROR(U494/L494,0)</x:f>
        <x:v>0.5733537117903929</x:v>
      </x:c>
    </x:row>
    <x:row r="495">
      <x:c r="A495" s="19" t="str">
        <x:v>SALE-00491</x:v>
      </x:c>
      <x:c r="B495" s="34" t="n">
        <x:v>46215.5</x:v>
      </x:c>
      <x:c r="C495" s="19" t="str">
        <x:v>周日</x:v>
      </x:c>
      <x:c r="D495" s="19" t="str">
        <x:v>S02</x:v>
      </x:c>
      <x:c r="E495" s="19" t="str">
        <x:v>尊宝大厦店</x:v>
      </x:c>
      <x:c r="F495" s="19" t="str">
        <x:v>堂食</x:v>
      </x:c>
      <x:c r="G495" s="19" t="str">
        <x:v>全日</x:v>
      </x:c>
      <x:c r="H495" s="19" t="str">
        <x:v>D11</x:v>
      </x:c>
      <x:c r="I495" s="19" t="str">
        <x:v>香辣爆肥肠</x:v>
      </x:c>
      <x:c r="J495" s="22" t="n">
        <x:f>XLOOKUP(H495,'菜品主数据'!$A$5:$A$24,'菜品主数据'!$D$5:$D$24,0)</x:f>
        <x:v>39</x:v>
      </x:c>
      <x:c r="K495" s="31" t="n">
        <x:v>5</x:v>
      </x:c>
      <x:c r="L495" s="35" t="n">
        <x:f>J495*K495</x:f>
        <x:v>195</x:v>
      </x:c>
      <x:c r="M495" s="36" t="n">
        <x:v>0</x:v>
      </x:c>
      <x:c r="N495" s="35" t="n">
        <x:f>L495*M495</x:f>
        <x:v>0</x:v>
      </x:c>
      <x:c r="O495" s="37" t="n">
        <x:v>0</x:v>
      </x:c>
      <x:c r="P495" s="35" t="n">
        <x:f>L495*O495</x:f>
        <x:v>0</x:v>
      </x:c>
      <x:c r="Q495" s="35" t="n">
        <x:v>0</x:v>
      </x:c>
      <x:c r="R495" s="35" t="n">
        <x:f>K495*Q495</x:f>
        <x:v>0</x:v>
      </x:c>
      <x:c r="S495" s="35" t="n">
        <x:f>XLOOKUP(H495,'菜品主数据'!$A$5:$A$24,'菜品主数据'!$G$5:$G$24,0)</x:f>
        <x:v>10.397</x:v>
      </x:c>
      <x:c r="T495" s="35" t="n">
        <x:f>K495*S495</x:f>
        <x:v>51.985</x:v>
      </x:c>
      <x:c r="U495" s="35" t="n">
        <x:f>L495-N495-P495-R495-T495</x:f>
        <x:v>143.015</x:v>
      </x:c>
      <x:c r="V495" s="21" t="n">
        <x:f>IFERROR(U495/L495,0)</x:f>
        <x:v>0.7334102564102564</x:v>
      </x:c>
    </x:row>
    <x:row r="496">
      <x:c r="A496" s="19" t="str">
        <x:v>SALE-00492</x:v>
      </x:c>
      <x:c r="B496" s="34" t="n">
        <x:v>46215.5</x:v>
      </x:c>
      <x:c r="C496" s="19" t="str">
        <x:v>周日</x:v>
      </x:c>
      <x:c r="D496" s="19" t="str">
        <x:v>S02</x:v>
      </x:c>
      <x:c r="E496" s="19" t="str">
        <x:v>尊宝大厦店</x:v>
      </x:c>
      <x:c r="F496" s="19" t="str">
        <x:v>堂食</x:v>
      </x:c>
      <x:c r="G496" s="19" t="str">
        <x:v>全日</x:v>
      </x:c>
      <x:c r="H496" s="19" t="str">
        <x:v>D12</x:v>
      </x:c>
      <x:c r="I496" s="19" t="str">
        <x:v>清蒸鲈鱼</x:v>
      </x:c>
      <x:c r="J496" s="22" t="n">
        <x:f>XLOOKUP(H496,'菜品主数据'!$A$5:$A$24,'菜品主数据'!$D$5:$D$24,0)</x:f>
        <x:v>39</x:v>
      </x:c>
      <x:c r="K496" s="31" t="n">
        <x:v>5</x:v>
      </x:c>
      <x:c r="L496" s="35" t="n">
        <x:f>J496*K496</x:f>
        <x:v>195</x:v>
      </x:c>
      <x:c r="M496" s="36" t="n">
        <x:v>0</x:v>
      </x:c>
      <x:c r="N496" s="35" t="n">
        <x:f>L496*M496</x:f>
        <x:v>0</x:v>
      </x:c>
      <x:c r="O496" s="37" t="n">
        <x:v>0</x:v>
      </x:c>
      <x:c r="P496" s="35" t="n">
        <x:f>L496*O496</x:f>
        <x:v>0</x:v>
      </x:c>
      <x:c r="Q496" s="35" t="n">
        <x:v>0</x:v>
      </x:c>
      <x:c r="R496" s="35" t="n">
        <x:f>K496*Q496</x:f>
        <x:v>0</x:v>
      </x:c>
      <x:c r="S496" s="35" t="n">
        <x:f>XLOOKUP(H496,'菜品主数据'!$A$5:$A$24,'菜品主数据'!$G$5:$G$24,0)</x:f>
        <x:v>18.874</x:v>
      </x:c>
      <x:c r="T496" s="35" t="n">
        <x:f>K496*S496</x:f>
        <x:v>94.36999999999999</x:v>
      </x:c>
      <x:c r="U496" s="35" t="n">
        <x:f>L496-N496-P496-R496-T496</x:f>
        <x:v>100.63000000000001</x:v>
      </x:c>
      <x:c r="V496" s="21" t="n">
        <x:f>IFERROR(U496/L496,0)</x:f>
        <x:v>0.5160512820512821</x:v>
      </x:c>
    </x:row>
    <x:row r="497">
      <x:c r="A497" s="19" t="str">
        <x:v>SALE-00493</x:v>
      </x:c>
      <x:c r="B497" s="34" t="n">
        <x:v>46215.5</x:v>
      </x:c>
      <x:c r="C497" s="19" t="str">
        <x:v>周日</x:v>
      </x:c>
      <x:c r="D497" s="19" t="str">
        <x:v>S02</x:v>
      </x:c>
      <x:c r="E497" s="19" t="str">
        <x:v>尊宝大厦店</x:v>
      </x:c>
      <x:c r="F497" s="19" t="str">
        <x:v>堂食</x:v>
      </x:c>
      <x:c r="G497" s="19" t="str">
        <x:v>全日</x:v>
      </x:c>
      <x:c r="H497" s="19" t="str">
        <x:v>D13</x:v>
      </x:c>
      <x:c r="I497" s="19" t="str">
        <x:v>外婆菜炒蛋</x:v>
      </x:c>
      <x:c r="J497" s="22" t="n">
        <x:f>XLOOKUP(H497,'菜品主数据'!$A$5:$A$24,'菜品主数据'!$D$5:$D$24,0)</x:f>
        <x:v>18</x:v>
      </x:c>
      <x:c r="K497" s="31" t="n">
        <x:v>11</x:v>
      </x:c>
      <x:c r="L497" s="35" t="n">
        <x:f>J497*K497</x:f>
        <x:v>198</x:v>
      </x:c>
      <x:c r="M497" s="36" t="n">
        <x:v>0</x:v>
      </x:c>
      <x:c r="N497" s="35" t="n">
        <x:f>L497*M497</x:f>
        <x:v>0</x:v>
      </x:c>
      <x:c r="O497" s="37" t="n">
        <x:v>0</x:v>
      </x:c>
      <x:c r="P497" s="35" t="n">
        <x:f>L497*O497</x:f>
        <x:v>0</x:v>
      </x:c>
      <x:c r="Q497" s="35" t="n">
        <x:v>0</x:v>
      </x:c>
      <x:c r="R497" s="35" t="n">
        <x:f>K497*Q497</x:f>
        <x:v>0</x:v>
      </x:c>
      <x:c r="S497" s="35" t="n">
        <x:f>XLOOKUP(H497,'菜品主数据'!$A$5:$A$24,'菜品主数据'!$G$5:$G$24,0)</x:f>
        <x:v>5.403999999999999</x:v>
      </x:c>
      <x:c r="T497" s="35" t="n">
        <x:f>K497*S497</x:f>
        <x:v>59.44399999999999</x:v>
      </x:c>
      <x:c r="U497" s="35" t="n">
        <x:f>L497-N497-P497-R497-T497</x:f>
        <x:v>138.556</x:v>
      </x:c>
      <x:c r="V497" s="21" t="n">
        <x:f>IFERROR(U497/L497,0)</x:f>
        <x:v>0.6997777777777778</x:v>
      </x:c>
    </x:row>
    <x:row r="498">
      <x:c r="A498" s="19" t="str">
        <x:v>SALE-00494</x:v>
      </x:c>
      <x:c r="B498" s="34" t="n">
        <x:v>46215.5</x:v>
      </x:c>
      <x:c r="C498" s="19" t="str">
        <x:v>周日</x:v>
      </x:c>
      <x:c r="D498" s="19" t="str">
        <x:v>S02</x:v>
      </x:c>
      <x:c r="E498" s="19" t="str">
        <x:v>尊宝大厦店</x:v>
      </x:c>
      <x:c r="F498" s="19" t="str">
        <x:v>堂食</x:v>
      </x:c>
      <x:c r="G498" s="19" t="str">
        <x:v>全日</x:v>
      </x:c>
      <x:c r="H498" s="19" t="str">
        <x:v>D14</x:v>
      </x:c>
      <x:c r="I498" s="19" t="str">
        <x:v>酸辣鸡杂</x:v>
      </x:c>
      <x:c r="J498" s="22" t="n">
        <x:f>XLOOKUP(H498,'菜品主数据'!$A$5:$A$24,'菜品主数据'!$D$5:$D$24,0)</x:f>
        <x:v>28</x:v>
      </x:c>
      <x:c r="K498" s="31" t="n">
        <x:v>6</x:v>
      </x:c>
      <x:c r="L498" s="35" t="n">
        <x:f>J498*K498</x:f>
        <x:v>168</x:v>
      </x:c>
      <x:c r="M498" s="36" t="n">
        <x:v>0</x:v>
      </x:c>
      <x:c r="N498" s="35" t="n">
        <x:f>L498*M498</x:f>
        <x:v>0</x:v>
      </x:c>
      <x:c r="O498" s="37" t="n">
        <x:v>0</x:v>
      </x:c>
      <x:c r="P498" s="35" t="n">
        <x:f>L498*O498</x:f>
        <x:v>0</x:v>
      </x:c>
      <x:c r="Q498" s="35" t="n">
        <x:v>0</x:v>
      </x:c>
      <x:c r="R498" s="35" t="n">
        <x:f>K498*Q498</x:f>
        <x:v>0</x:v>
      </x:c>
      <x:c r="S498" s="35" t="n">
        <x:f>XLOOKUP(H498,'菜品主数据'!$A$5:$A$24,'菜品主数据'!$G$5:$G$24,0)</x:f>
        <x:v>8.315000000000001</x:v>
      </x:c>
      <x:c r="T498" s="35" t="n">
        <x:f>K498*S498</x:f>
        <x:v>49.89000000000001</x:v>
      </x:c>
      <x:c r="U498" s="35" t="n">
        <x:f>L498-N498-P498-R498-T498</x:f>
        <x:v>118.10999999999999</x:v>
      </x:c>
      <x:c r="V498" s="21" t="n">
        <x:f>IFERROR(U498/L498,0)</x:f>
        <x:v>0.7030357142857142</x:v>
      </x:c>
    </x:row>
    <x:row r="499">
      <x:c r="A499" s="19" t="str">
        <x:v>SALE-00495</x:v>
      </x:c>
      <x:c r="B499" s="34" t="n">
        <x:v>46215.5</x:v>
      </x:c>
      <x:c r="C499" s="19" t="str">
        <x:v>周日</x:v>
      </x:c>
      <x:c r="D499" s="19" t="str">
        <x:v>S02</x:v>
      </x:c>
      <x:c r="E499" s="19" t="str">
        <x:v>尊宝大厦店</x:v>
      </x:c>
      <x:c r="F499" s="19" t="str">
        <x:v>堂食</x:v>
      </x:c>
      <x:c r="G499" s="19" t="str">
        <x:v>全日</x:v>
      </x:c>
      <x:c r="H499" s="19" t="str">
        <x:v>D15</x:v>
      </x:c>
      <x:c r="I499" s="19" t="str">
        <x:v>湘西土匪猪肝</x:v>
      </x:c>
      <x:c r="J499" s="22" t="n">
        <x:f>XLOOKUP(H499,'菜品主数据'!$A$5:$A$24,'菜品主数据'!$D$5:$D$24,0)</x:f>
        <x:v>26</x:v>
      </x:c>
      <x:c r="K499" s="31" t="n">
        <x:v>5</x:v>
      </x:c>
      <x:c r="L499" s="35" t="n">
        <x:f>J499*K499</x:f>
        <x:v>130</x:v>
      </x:c>
      <x:c r="M499" s="36" t="n">
        <x:v>0</x:v>
      </x:c>
      <x:c r="N499" s="35" t="n">
        <x:f>L499*M499</x:f>
        <x:v>0</x:v>
      </x:c>
      <x:c r="O499" s="37" t="n">
        <x:v>0</x:v>
      </x:c>
      <x:c r="P499" s="35" t="n">
        <x:f>L499*O499</x:f>
        <x:v>0</x:v>
      </x:c>
      <x:c r="Q499" s="35" t="n">
        <x:v>0</x:v>
      </x:c>
      <x:c r="R499" s="35" t="n">
        <x:f>K499*Q499</x:f>
        <x:v>0</x:v>
      </x:c>
      <x:c r="S499" s="35" t="n">
        <x:f>XLOOKUP(H499,'菜品主数据'!$A$5:$A$24,'菜品主数据'!$G$5:$G$24,0)</x:f>
        <x:v>6.3759999999999994</x:v>
      </x:c>
      <x:c r="T499" s="35" t="n">
        <x:f>K499*S499</x:f>
        <x:v>31.879999999999995</x:v>
      </x:c>
      <x:c r="U499" s="35" t="n">
        <x:f>L499-N499-P499-R499-T499</x:f>
        <x:v>98.12</x:v>
      </x:c>
      <x:c r="V499" s="21" t="n">
        <x:f>IFERROR(U499/L499,0)</x:f>
        <x:v>0.7547692307692309</x:v>
      </x:c>
    </x:row>
    <x:row r="500">
      <x:c r="A500" s="19" t="str">
        <x:v>SALE-00496</x:v>
      </x:c>
      <x:c r="B500" s="34" t="n">
        <x:v>46215.5</x:v>
      </x:c>
      <x:c r="C500" s="19" t="str">
        <x:v>周日</x:v>
      </x:c>
      <x:c r="D500" s="19" t="str">
        <x:v>S02</x:v>
      </x:c>
      <x:c r="E500" s="19" t="str">
        <x:v>尊宝大厦店</x:v>
      </x:c>
      <x:c r="F500" s="19" t="str">
        <x:v>堂食</x:v>
      </x:c>
      <x:c r="G500" s="19" t="str">
        <x:v>全日</x:v>
      </x:c>
      <x:c r="H500" s="19" t="str">
        <x:v>D16</x:v>
      </x:c>
      <x:c r="I500" s="19" t="str">
        <x:v>小豆角炒五花</x:v>
      </x:c>
      <x:c r="J500" s="22" t="n">
        <x:f>XLOOKUP(H500,'菜品主数据'!$A$5:$A$24,'菜品主数据'!$D$5:$D$24,0)</x:f>
        <x:v>25</x:v>
      </x:c>
      <x:c r="K500" s="31" t="n">
        <x:v>6</x:v>
      </x:c>
      <x:c r="L500" s="35" t="n">
        <x:f>J500*K500</x:f>
        <x:v>150</x:v>
      </x:c>
      <x:c r="M500" s="36" t="n">
        <x:v>0</x:v>
      </x:c>
      <x:c r="N500" s="35" t="n">
        <x:f>L500*M500</x:f>
        <x:v>0</x:v>
      </x:c>
      <x:c r="O500" s="37" t="n">
        <x:v>0</x:v>
      </x:c>
      <x:c r="P500" s="35" t="n">
        <x:f>L500*O500</x:f>
        <x:v>0</x:v>
      </x:c>
      <x:c r="Q500" s="35" t="n">
        <x:v>0</x:v>
      </x:c>
      <x:c r="R500" s="35" t="n">
        <x:f>K500*Q500</x:f>
        <x:v>0</x:v>
      </x:c>
      <x:c r="S500" s="35" t="n">
        <x:f>XLOOKUP(H500,'菜品主数据'!$A$5:$A$24,'菜品主数据'!$G$5:$G$24,0)</x:f>
        <x:v>8.184</x:v>
      </x:c>
      <x:c r="T500" s="35" t="n">
        <x:f>K500*S500</x:f>
        <x:v>49.104</x:v>
      </x:c>
      <x:c r="U500" s="35" t="n">
        <x:f>L500-N500-P500-R500-T500</x:f>
        <x:v>100.896</x:v>
      </x:c>
      <x:c r="V500" s="21" t="n">
        <x:f>IFERROR(U500/L500,0)</x:f>
        <x:v>0.67264</x:v>
      </x:c>
    </x:row>
    <x:row r="501">
      <x:c r="A501" s="19" t="str">
        <x:v>SALE-00497</x:v>
      </x:c>
      <x:c r="B501" s="34" t="n">
        <x:v>46215.5</x:v>
      </x:c>
      <x:c r="C501" s="19" t="str">
        <x:v>周日</x:v>
      </x:c>
      <x:c r="D501" s="19" t="str">
        <x:v>S02</x:v>
      </x:c>
      <x:c r="E501" s="19" t="str">
        <x:v>尊宝大厦店</x:v>
      </x:c>
      <x:c r="F501" s="19" t="str">
        <x:v>堂食</x:v>
      </x:c>
      <x:c r="G501" s="19" t="str">
        <x:v>全日</x:v>
      </x:c>
      <x:c r="H501" s="19" t="str">
        <x:v>D17</x:v>
      </x:c>
      <x:c r="I501" s="19" t="str">
        <x:v>蒜蓉粉丝虾</x:v>
      </x:c>
      <x:c r="J501" s="22" t="n">
        <x:f>XLOOKUP(H501,'菜品主数据'!$A$5:$A$24,'菜品主数据'!$D$5:$D$24,0)</x:f>
        <x:v>36</x:v>
      </x:c>
      <x:c r="K501" s="31" t="n">
        <x:v>4</x:v>
      </x:c>
      <x:c r="L501" s="35" t="n">
        <x:f>J501*K501</x:f>
        <x:v>144</x:v>
      </x:c>
      <x:c r="M501" s="36" t="n">
        <x:v>0</x:v>
      </x:c>
      <x:c r="N501" s="35" t="n">
        <x:f>L501*M501</x:f>
        <x:v>0</x:v>
      </x:c>
      <x:c r="O501" s="37" t="n">
        <x:v>0</x:v>
      </x:c>
      <x:c r="P501" s="35" t="n">
        <x:f>L501*O501</x:f>
        <x:v>0</x:v>
      </x:c>
      <x:c r="Q501" s="35" t="n">
        <x:v>0</x:v>
      </x:c>
      <x:c r="R501" s="35" t="n">
        <x:f>K501*Q501</x:f>
        <x:v>0</x:v>
      </x:c>
      <x:c r="S501" s="35" t="n">
        <x:f>XLOOKUP(H501,'菜品主数据'!$A$5:$A$24,'菜品主数据'!$G$5:$G$24,0)</x:f>
        <x:v>13.594</x:v>
      </x:c>
      <x:c r="T501" s="35" t="n">
        <x:f>K501*S501</x:f>
        <x:v>54.376</x:v>
      </x:c>
      <x:c r="U501" s="35" t="n">
        <x:f>L501-N501-P501-R501-T501</x:f>
        <x:v>89.624</x:v>
      </x:c>
      <x:c r="V501" s="21" t="n">
        <x:f>IFERROR(U501/L501,0)</x:f>
        <x:v>0.6223888888888889</x:v>
      </x:c>
    </x:row>
    <x:row r="502">
      <x:c r="A502" s="19" t="str">
        <x:v>SALE-00498</x:v>
      </x:c>
      <x:c r="B502" s="34" t="n">
        <x:v>46215.5</x:v>
      </x:c>
      <x:c r="C502" s="19" t="str">
        <x:v>周日</x:v>
      </x:c>
      <x:c r="D502" s="19" t="str">
        <x:v>S02</x:v>
      </x:c>
      <x:c r="E502" s="19" t="str">
        <x:v>尊宝大厦店</x:v>
      </x:c>
      <x:c r="F502" s="19" t="str">
        <x:v>堂食</x:v>
      </x:c>
      <x:c r="G502" s="19" t="str">
        <x:v>全日</x:v>
      </x:c>
      <x:c r="H502" s="19" t="str">
        <x:v>D18</x:v>
      </x:c>
      <x:c r="I502" s="19" t="str">
        <x:v>青椒炒油麦菜</x:v>
      </x:c>
      <x:c r="J502" s="22" t="n">
        <x:f>XLOOKUP(H502,'菜品主数据'!$A$5:$A$24,'菜品主数据'!$D$5:$D$24,0)</x:f>
        <x:v>18</x:v>
      </x:c>
      <x:c r="K502" s="31" t="n">
        <x:v>6</x:v>
      </x:c>
      <x:c r="L502" s="35" t="n">
        <x:f>J502*K502</x:f>
        <x:v>108</x:v>
      </x:c>
      <x:c r="M502" s="36" t="n">
        <x:v>0</x:v>
      </x:c>
      <x:c r="N502" s="35" t="n">
        <x:f>L502*M502</x:f>
        <x:v>0</x:v>
      </x:c>
      <x:c r="O502" s="37" t="n">
        <x:v>0</x:v>
      </x:c>
      <x:c r="P502" s="35" t="n">
        <x:f>L502*O502</x:f>
        <x:v>0</x:v>
      </x:c>
      <x:c r="Q502" s="35" t="n">
        <x:v>0</x:v>
      </x:c>
      <x:c r="R502" s="35" t="n">
        <x:f>K502*Q502</x:f>
        <x:v>0</x:v>
      </x:c>
      <x:c r="S502" s="35" t="n">
        <x:f>XLOOKUP(H502,'菜品主数据'!$A$5:$A$24,'菜品主数据'!$G$5:$G$24,0)</x:f>
        <x:v>3.1759999999999993</x:v>
      </x:c>
      <x:c r="T502" s="35" t="n">
        <x:f>K502*S502</x:f>
        <x:v>19.055999999999997</x:v>
      </x:c>
      <x:c r="U502" s="35" t="n">
        <x:f>L502-N502-P502-R502-T502</x:f>
        <x:v>88.944</x:v>
      </x:c>
      <x:c r="V502" s="21" t="n">
        <x:f>IFERROR(U502/L502,0)</x:f>
        <x:v>0.8235555555555556</x:v>
      </x:c>
    </x:row>
    <x:row r="503">
      <x:c r="A503" s="19" t="str">
        <x:v>SALE-00499</x:v>
      </x:c>
      <x:c r="B503" s="34" t="n">
        <x:v>46215.5</x:v>
      </x:c>
      <x:c r="C503" s="19" t="str">
        <x:v>周日</x:v>
      </x:c>
      <x:c r="D503" s="19" t="str">
        <x:v>S02</x:v>
      </x:c>
      <x:c r="E503" s="19" t="str">
        <x:v>尊宝大厦店</x:v>
      </x:c>
      <x:c r="F503" s="19" t="str">
        <x:v>堂食</x:v>
      </x:c>
      <x:c r="G503" s="19" t="str">
        <x:v>全日</x:v>
      </x:c>
      <x:c r="H503" s="19" t="str">
        <x:v>D19</x:v>
      </x:c>
      <x:c r="I503" s="19" t="str">
        <x:v>酸萝卜炒鸡杂</x:v>
      </x:c>
      <x:c r="J503" s="22" t="n">
        <x:f>XLOOKUP(H503,'菜品主数据'!$A$5:$A$24,'菜品主数据'!$D$5:$D$24,0)</x:f>
        <x:v>25</x:v>
      </x:c>
      <x:c r="K503" s="31" t="n">
        <x:v>5</x:v>
      </x:c>
      <x:c r="L503" s="35" t="n">
        <x:f>J503*K503</x:f>
        <x:v>125</x:v>
      </x:c>
      <x:c r="M503" s="36" t="n">
        <x:v>0</x:v>
      </x:c>
      <x:c r="N503" s="35" t="n">
        <x:f>L503*M503</x:f>
        <x:v>0</x:v>
      </x:c>
      <x:c r="O503" s="37" t="n">
        <x:v>0</x:v>
      </x:c>
      <x:c r="P503" s="35" t="n">
        <x:f>L503*O503</x:f>
        <x:v>0</x:v>
      </x:c>
      <x:c r="Q503" s="35" t="n">
        <x:v>0</x:v>
      </x:c>
      <x:c r="R503" s="35" t="n">
        <x:f>K503*Q503</x:f>
        <x:v>0</x:v>
      </x:c>
      <x:c r="S503" s="35" t="n">
        <x:f>XLOOKUP(H503,'菜品主数据'!$A$5:$A$24,'菜品主数据'!$G$5:$G$24,0)</x:f>
        <x:v>7.9399999999999995</x:v>
      </x:c>
      <x:c r="T503" s="35" t="n">
        <x:f>K503*S503</x:f>
        <x:v>39.699999999999996</x:v>
      </x:c>
      <x:c r="U503" s="35" t="n">
        <x:f>L503-N503-P503-R503-T503</x:f>
        <x:v>85.30000000000001</x:v>
      </x:c>
      <x:c r="V503" s="21" t="n">
        <x:f>IFERROR(U503/L503,0)</x:f>
        <x:v>0.6824000000000001</x:v>
      </x:c>
    </x:row>
    <x:row r="504">
      <x:c r="A504" s="19" t="str">
        <x:v>SALE-00500</x:v>
      </x:c>
      <x:c r="B504" s="34" t="n">
        <x:v>46215.5</x:v>
      </x:c>
      <x:c r="C504" s="19" t="str">
        <x:v>周日</x:v>
      </x:c>
      <x:c r="D504" s="19" t="str">
        <x:v>S02</x:v>
      </x:c>
      <x:c r="E504" s="19" t="str">
        <x:v>尊宝大厦店</x:v>
      </x:c>
      <x:c r="F504" s="19" t="str">
        <x:v>堂食</x:v>
      </x:c>
      <x:c r="G504" s="19" t="str">
        <x:v>全日</x:v>
      </x:c>
      <x:c r="H504" s="19" t="str">
        <x:v>D20</x:v>
      </x:c>
      <x:c r="I504" s="19" t="str">
        <x:v>雪菜肉末青豆</x:v>
      </x:c>
      <x:c r="J504" s="22" t="n">
        <x:f>XLOOKUP(H504,'菜品主数据'!$A$5:$A$24,'菜品主数据'!$D$5:$D$24,0)</x:f>
        <x:v>18</x:v>
      </x:c>
      <x:c r="K504" s="31" t="n">
        <x:v>6</x:v>
      </x:c>
      <x:c r="L504" s="35" t="n">
        <x:f>J504*K504</x:f>
        <x:v>108</x:v>
      </x:c>
      <x:c r="M504" s="36" t="n">
        <x:v>0</x:v>
      </x:c>
      <x:c r="N504" s="35" t="n">
        <x:f>L504*M504</x:f>
        <x:v>0</x:v>
      </x:c>
      <x:c r="O504" s="37" t="n">
        <x:v>0</x:v>
      </x:c>
      <x:c r="P504" s="35" t="n">
        <x:f>L504*O504</x:f>
        <x:v>0</x:v>
      </x:c>
      <x:c r="Q504" s="35" t="n">
        <x:v>0</x:v>
      </x:c>
      <x:c r="R504" s="35" t="n">
        <x:f>K504*Q504</x:f>
        <x:v>0</x:v>
      </x:c>
      <x:c r="S504" s="35" t="n">
        <x:f>XLOOKUP(H504,'菜品主数据'!$A$5:$A$24,'菜品主数据'!$G$5:$G$24,0)</x:f>
        <x:v>7.303999999999999</x:v>
      </x:c>
      <x:c r="T504" s="35" t="n">
        <x:f>K504*S504</x:f>
        <x:v>43.824</x:v>
      </x:c>
      <x:c r="U504" s="35" t="n">
        <x:f>L504-N504-P504-R504-T504</x:f>
        <x:v>64.176</x:v>
      </x:c>
      <x:c r="V504" s="21" t="n">
        <x:f>IFERROR(U504/L504,0)</x:f>
        <x:v>0.5942222222222222</x:v>
      </x:c>
    </x:row>
    <x:row r="505">
      <x:c r="A505" s="19" t="str">
        <x:v>SALE-00501</x:v>
      </x:c>
      <x:c r="B505" s="34" t="n">
        <x:v>46215.5</x:v>
      </x:c>
      <x:c r="C505" s="19" t="str">
        <x:v>周日</x:v>
      </x:c>
      <x:c r="D505" s="19" t="str">
        <x:v>S02</x:v>
      </x:c>
      <x:c r="E505" s="19" t="str">
        <x:v>尊宝大厦店</x:v>
      </x:c>
      <x:c r="F505" s="19" t="str">
        <x:v>外卖</x:v>
      </x:c>
      <x:c r="G505" s="19" t="str">
        <x:v>全日</x:v>
      </x:c>
      <x:c r="H505" s="19" t="str">
        <x:v>D01</x:v>
      </x:c>
      <x:c r="I505" s="19" t="str">
        <x:v>辣椒炒肉</x:v>
      </x:c>
      <x:c r="J505" s="22" t="n">
        <x:f>XLOOKUP(H505,'菜品主数据'!$A$5:$A$24,'菜品主数据'!$D$5:$D$24,0)</x:f>
        <x:v>29</x:v>
      </x:c>
      <x:c r="K505" s="31" t="n">
        <x:v>4</x:v>
      </x:c>
      <x:c r="L505" s="35" t="n">
        <x:f>J505*K505</x:f>
        <x:v>116</x:v>
      </x:c>
      <x:c r="M505" s="36" t="n">
        <x:v>0.08</x:v>
      </x:c>
      <x:c r="N505" s="35" t="n">
        <x:f>L505*M505</x:f>
        <x:v>9.28</x:v>
      </x:c>
      <x:c r="O505" s="37" t="n">
        <x:v>0.18</x:v>
      </x:c>
      <x:c r="P505" s="35" t="n">
        <x:f>L505*O505</x:f>
        <x:v>20.88</x:v>
      </x:c>
      <x:c r="Q505" s="35" t="n">
        <x:v>1.2</x:v>
      </x:c>
      <x:c r="R505" s="35" t="n">
        <x:f>K505*Q505</x:f>
        <x:v>4.8</x:v>
      </x:c>
      <x:c r="S505" s="35" t="n">
        <x:f>XLOOKUP(H505,'菜品主数据'!$A$5:$A$24,'菜品主数据'!$G$5:$G$24,0)</x:f>
        <x:v>8.634400000000001</x:v>
      </x:c>
      <x:c r="T505" s="35" t="n">
        <x:f>K505*S505</x:f>
        <x:v>34.537600000000005</x:v>
      </x:c>
      <x:c r="U505" s="35" t="n">
        <x:f>L505-N505-P505-R505-T505</x:f>
        <x:v>46.5024</x:v>
      </x:c>
      <x:c r="V505" s="21" t="n">
        <x:f>IFERROR(U505/L505,0)</x:f>
        <x:v>0.40088275862068967</x:v>
      </x:c>
    </x:row>
    <x:row r="506">
      <x:c r="A506" s="19" t="str">
        <x:v>SALE-00502</x:v>
      </x:c>
      <x:c r="B506" s="34" t="n">
        <x:v>46215.5</x:v>
      </x:c>
      <x:c r="C506" s="19" t="str">
        <x:v>周日</x:v>
      </x:c>
      <x:c r="D506" s="19" t="str">
        <x:v>S02</x:v>
      </x:c>
      <x:c r="E506" s="19" t="str">
        <x:v>尊宝大厦店</x:v>
      </x:c>
      <x:c r="F506" s="19" t="str">
        <x:v>外卖</x:v>
      </x:c>
      <x:c r="G506" s="19" t="str">
        <x:v>全日</x:v>
      </x:c>
      <x:c r="H506" s="19" t="str">
        <x:v>D02</x:v>
      </x:c>
      <x:c r="I506" s="19" t="str">
        <x:v>小炒黄牛肉</x:v>
      </x:c>
      <x:c r="J506" s="22" t="n">
        <x:f>XLOOKUP(H506,'菜品主数据'!$A$5:$A$24,'菜品主数据'!$D$5:$D$24,0)</x:f>
        <x:v>49</x:v>
      </x:c>
      <x:c r="K506" s="31" t="n">
        <x:v>6</x:v>
      </x:c>
      <x:c r="L506" s="35" t="n">
        <x:f>J506*K506</x:f>
        <x:v>294</x:v>
      </x:c>
      <x:c r="M506" s="36" t="n">
        <x:v>0.08</x:v>
      </x:c>
      <x:c r="N506" s="35" t="n">
        <x:f>L506*M506</x:f>
        <x:v>23.52</x:v>
      </x:c>
      <x:c r="O506" s="37" t="n">
        <x:v>0.18</x:v>
      </x:c>
      <x:c r="P506" s="35" t="n">
        <x:f>L506*O506</x:f>
        <x:v>52.919999999999995</x:v>
      </x:c>
      <x:c r="Q506" s="35" t="n">
        <x:v>1.2</x:v>
      </x:c>
      <x:c r="R506" s="35" t="n">
        <x:f>K506*Q506</x:f>
        <x:v>7.199999999999999</x:v>
      </x:c>
      <x:c r="S506" s="35" t="n">
        <x:f>XLOOKUP(H506,'菜品主数据'!$A$5:$A$24,'菜品主数据'!$G$5:$G$24,0)</x:f>
        <x:v>17.577</x:v>
      </x:c>
      <x:c r="T506" s="35" t="n">
        <x:f>K506*S506</x:f>
        <x:v>105.46200000000002</x:v>
      </x:c>
      <x:c r="U506" s="35" t="n">
        <x:f>L506-N506-P506-R506-T506</x:f>
        <x:v>104.89800000000002</x:v>
      </x:c>
      <x:c r="V506" s="21" t="n">
        <x:f>IFERROR(U506/L506,0)</x:f>
        <x:v>0.35679591836734703</x:v>
      </x:c>
    </x:row>
    <x:row r="507">
      <x:c r="A507" s="19" t="str">
        <x:v>SALE-00503</x:v>
      </x:c>
      <x:c r="B507" s="34" t="n">
        <x:v>46215.5</x:v>
      </x:c>
      <x:c r="C507" s="19" t="str">
        <x:v>周日</x:v>
      </x:c>
      <x:c r="D507" s="19" t="str">
        <x:v>S02</x:v>
      </x:c>
      <x:c r="E507" s="19" t="str">
        <x:v>尊宝大厦店</x:v>
      </x:c>
      <x:c r="F507" s="19" t="str">
        <x:v>外卖</x:v>
      </x:c>
      <x:c r="G507" s="19" t="str">
        <x:v>全日</x:v>
      </x:c>
      <x:c r="H507" s="19" t="str">
        <x:v>D03</x:v>
      </x:c>
      <x:c r="I507" s="19" t="str">
        <x:v>香醋炒蛋</x:v>
      </x:c>
      <x:c r="J507" s="22" t="n">
        <x:f>XLOOKUP(H507,'菜品主数据'!$A$5:$A$24,'菜品主数据'!$D$5:$D$24,0)</x:f>
        <x:v>14.9</x:v>
      </x:c>
      <x:c r="K507" s="31" t="n">
        <x:v>4</x:v>
      </x:c>
      <x:c r="L507" s="35" t="n">
        <x:f>J507*K507</x:f>
        <x:v>59.6</x:v>
      </x:c>
      <x:c r="M507" s="36" t="n">
        <x:v>0.08</x:v>
      </x:c>
      <x:c r="N507" s="35" t="n">
        <x:f>L507*M507</x:f>
        <x:v>4.768</x:v>
      </x:c>
      <x:c r="O507" s="37" t="n">
        <x:v>0.18</x:v>
      </x:c>
      <x:c r="P507" s="35" t="n">
        <x:f>L507*O507</x:f>
        <x:v>10.728</x:v>
      </x:c>
      <x:c r="Q507" s="35" t="n">
        <x:v>1.2</x:v>
      </x:c>
      <x:c r="R507" s="35" t="n">
        <x:f>K507*Q507</x:f>
        <x:v>4.8</x:v>
      </x:c>
      <x:c r="S507" s="35" t="n">
        <x:f>XLOOKUP(H507,'菜品主数据'!$A$5:$A$24,'菜品主数据'!$G$5:$G$24,0)</x:f>
        <x:v>3.7459999999999996</x:v>
      </x:c>
      <x:c r="T507" s="35" t="n">
        <x:f>K507*S507</x:f>
        <x:v>14.983999999999998</x:v>
      </x:c>
      <x:c r="U507" s="35" t="n">
        <x:f>L507-N507-P507-R507-T507</x:f>
        <x:v>24.320000000000004</x:v>
      </x:c>
      <x:c r="V507" s="21" t="n">
        <x:f>IFERROR(U507/L507,0)</x:f>
        <x:v>0.40805369127516783</x:v>
      </x:c>
    </x:row>
    <x:row r="508">
      <x:c r="A508" s="19" t="str">
        <x:v>SALE-00504</x:v>
      </x:c>
      <x:c r="B508" s="34" t="n">
        <x:v>46215.5</x:v>
      </x:c>
      <x:c r="C508" s="19" t="str">
        <x:v>周日</x:v>
      </x:c>
      <x:c r="D508" s="19" t="str">
        <x:v>S02</x:v>
      </x:c>
      <x:c r="E508" s="19" t="str">
        <x:v>尊宝大厦店</x:v>
      </x:c>
      <x:c r="F508" s="19" t="str">
        <x:v>外卖</x:v>
      </x:c>
      <x:c r="G508" s="19" t="str">
        <x:v>全日</x:v>
      </x:c>
      <x:c r="H508" s="19" t="str">
        <x:v>D04</x:v>
      </x:c>
      <x:c r="I508" s="19" t="str">
        <x:v>酸包菜炒粉皮</x:v>
      </x:c>
      <x:c r="J508" s="22" t="n">
        <x:f>XLOOKUP(H508,'菜品主数据'!$A$5:$A$24,'菜品主数据'!$D$5:$D$24,0)</x:f>
        <x:v>16</x:v>
      </x:c>
      <x:c r="K508" s="31" t="n">
        <x:v>3</x:v>
      </x:c>
      <x:c r="L508" s="35" t="n">
        <x:f>J508*K508</x:f>
        <x:v>48</x:v>
      </x:c>
      <x:c r="M508" s="36" t="n">
        <x:v>0.08</x:v>
      </x:c>
      <x:c r="N508" s="35" t="n">
        <x:f>L508*M508</x:f>
        <x:v>3.84</x:v>
      </x:c>
      <x:c r="O508" s="37" t="n">
        <x:v>0.18</x:v>
      </x:c>
      <x:c r="P508" s="35" t="n">
        <x:f>L508*O508</x:f>
        <x:v>8.64</x:v>
      </x:c>
      <x:c r="Q508" s="35" t="n">
        <x:v>1.2</x:v>
      </x:c>
      <x:c r="R508" s="35" t="n">
        <x:f>K508*Q508</x:f>
        <x:v>3.5999999999999996</x:v>
      </x:c>
      <x:c r="S508" s="35" t="n">
        <x:f>XLOOKUP(H508,'菜品主数据'!$A$5:$A$24,'菜品主数据'!$G$5:$G$24,0)</x:f>
        <x:v>3.978</x:v>
      </x:c>
      <x:c r="T508" s="35" t="n">
        <x:f>K508*S508</x:f>
        <x:v>11.934000000000001</x:v>
      </x:c>
      <x:c r="U508" s="35" t="n">
        <x:f>L508-N508-P508-R508-T508</x:f>
        <x:v>19.985999999999994</x:v>
      </x:c>
      <x:c r="V508" s="21" t="n">
        <x:f>IFERROR(U508/L508,0)</x:f>
        <x:v>0.4163749999999999</x:v>
      </x:c>
    </x:row>
    <x:row r="509">
      <x:c r="A509" s="19" t="str">
        <x:v>SALE-00505</x:v>
      </x:c>
      <x:c r="B509" s="34" t="n">
        <x:v>46215.5</x:v>
      </x:c>
      <x:c r="C509" s="19" t="str">
        <x:v>周日</x:v>
      </x:c>
      <x:c r="D509" s="19" t="str">
        <x:v>S02</x:v>
      </x:c>
      <x:c r="E509" s="19" t="str">
        <x:v>尊宝大厦店</x:v>
      </x:c>
      <x:c r="F509" s="19" t="str">
        <x:v>外卖</x:v>
      </x:c>
      <x:c r="G509" s="19" t="str">
        <x:v>全日</x:v>
      </x:c>
      <x:c r="H509" s="19" t="str">
        <x:v>D05</x:v>
      </x:c>
      <x:c r="I509" s="19" t="str">
        <x:v>麻婆豆腐</x:v>
      </x:c>
      <x:c r="J509" s="22" t="n">
        <x:f>XLOOKUP(H509,'菜品主数据'!$A$5:$A$24,'菜品主数据'!$D$5:$D$24,0)</x:f>
        <x:v>9.9</x:v>
      </x:c>
      <x:c r="K509" s="31" t="n">
        <x:v>4</x:v>
      </x:c>
      <x:c r="L509" s="35" t="n">
        <x:f>J509*K509</x:f>
        <x:v>39.6</x:v>
      </x:c>
      <x:c r="M509" s="36" t="n">
        <x:v>0.08</x:v>
      </x:c>
      <x:c r="N509" s="35" t="n">
        <x:f>L509*M509</x:f>
        <x:v>3.168</x:v>
      </x:c>
      <x:c r="O509" s="37" t="n">
        <x:v>0.18</x:v>
      </x:c>
      <x:c r="P509" s="35" t="n">
        <x:f>L509*O509</x:f>
        <x:v>7.128</x:v>
      </x:c>
      <x:c r="Q509" s="35" t="n">
        <x:v>1.2</x:v>
      </x:c>
      <x:c r="R509" s="35" t="n">
        <x:f>K509*Q509</x:f>
        <x:v>4.8</x:v>
      </x:c>
      <x:c r="S509" s="35" t="n">
        <x:f>XLOOKUP(H509,'菜品主数据'!$A$5:$A$24,'菜品主数据'!$G$5:$G$24,0)</x:f>
        <x:v>5.367000000000001</x:v>
      </x:c>
      <x:c r="T509" s="35" t="n">
        <x:f>K509*S509</x:f>
        <x:v>21.468000000000004</x:v>
      </x:c>
      <x:c r="U509" s="35" t="n">
        <x:f>L509-N509-P509-R509-T509</x:f>
        <x:v>3.035999999999998</x:v>
      </x:c>
      <x:c r="V509" s="21" t="n">
        <x:f>IFERROR(U509/L509,0)</x:f>
        <x:v>0.0766666666666666</x:v>
      </x:c>
    </x:row>
    <x:row r="510">
      <x:c r="A510" s="19" t="str">
        <x:v>SALE-00506</x:v>
      </x:c>
      <x:c r="B510" s="34" t="n">
        <x:v>46215.5</x:v>
      </x:c>
      <x:c r="C510" s="19" t="str">
        <x:v>周日</x:v>
      </x:c>
      <x:c r="D510" s="19" t="str">
        <x:v>S02</x:v>
      </x:c>
      <x:c r="E510" s="19" t="str">
        <x:v>尊宝大厦店</x:v>
      </x:c>
      <x:c r="F510" s="19" t="str">
        <x:v>外卖</x:v>
      </x:c>
      <x:c r="G510" s="19" t="str">
        <x:v>全日</x:v>
      </x:c>
      <x:c r="H510" s="19" t="str">
        <x:v>D06</x:v>
      </x:c>
      <x:c r="I510" s="19" t="str">
        <x:v>剁椒鱼头</x:v>
      </x:c>
      <x:c r="J510" s="22" t="n">
        <x:f>XLOOKUP(H510,'菜品主数据'!$A$5:$A$24,'菜品主数据'!$D$5:$D$24,0)</x:f>
        <x:v>39</x:v>
      </x:c>
      <x:c r="K510" s="31" t="n">
        <x:v>1</x:v>
      </x:c>
      <x:c r="L510" s="35" t="n">
        <x:f>J510*K510</x:f>
        <x:v>39</x:v>
      </x:c>
      <x:c r="M510" s="36" t="n">
        <x:v>0.08</x:v>
      </x:c>
      <x:c r="N510" s="35" t="n">
        <x:f>L510*M510</x:f>
        <x:v>3.12</x:v>
      </x:c>
      <x:c r="O510" s="37" t="n">
        <x:v>0.18</x:v>
      </x:c>
      <x:c r="P510" s="35" t="n">
        <x:f>L510*O510</x:f>
        <x:v>7.02</x:v>
      </x:c>
      <x:c r="Q510" s="35" t="n">
        <x:v>1.2</x:v>
      </x:c>
      <x:c r="R510" s="35" t="n">
        <x:f>K510*Q510</x:f>
        <x:v>1.2</x:v>
      </x:c>
      <x:c r="S510" s="35" t="n">
        <x:f>XLOOKUP(H510,'菜品主数据'!$A$5:$A$24,'菜品主数据'!$G$5:$G$24,0)</x:f>
        <x:v>17.446</x:v>
      </x:c>
      <x:c r="T510" s="35" t="n">
        <x:f>K510*S510</x:f>
        <x:v>17.446</x:v>
      </x:c>
      <x:c r="U510" s="35" t="n">
        <x:f>L510-N510-P510-R510-T510</x:f>
        <x:v>10.214000000000002</x:v>
      </x:c>
      <x:c r="V510" s="21" t="n">
        <x:f>IFERROR(U510/L510,0)</x:f>
        <x:v>0.26189743589743597</x:v>
      </x:c>
    </x:row>
    <x:row r="511">
      <x:c r="A511" s="19" t="str">
        <x:v>SALE-00507</x:v>
      </x:c>
      <x:c r="B511" s="34" t="n">
        <x:v>46215.5</x:v>
      </x:c>
      <x:c r="C511" s="19" t="str">
        <x:v>周日</x:v>
      </x:c>
      <x:c r="D511" s="19" t="str">
        <x:v>S02</x:v>
      </x:c>
      <x:c r="E511" s="19" t="str">
        <x:v>尊宝大厦店</x:v>
      </x:c>
      <x:c r="F511" s="19" t="str">
        <x:v>外卖</x:v>
      </x:c>
      <x:c r="G511" s="19" t="str">
        <x:v>全日</x:v>
      </x:c>
      <x:c r="H511" s="19" t="str">
        <x:v>D07</x:v>
      </x:c>
      <x:c r="I511" s="19" t="str">
        <x:v>川味回锅肉</x:v>
      </x:c>
      <x:c r="J511" s="22" t="n">
        <x:f>XLOOKUP(H511,'菜品主数据'!$A$5:$A$24,'菜品主数据'!$D$5:$D$24,0)</x:f>
        <x:v>29</x:v>
      </x:c>
      <x:c r="K511" s="31" t="n">
        <x:v>1</x:v>
      </x:c>
      <x:c r="L511" s="35" t="n">
        <x:f>J511*K511</x:f>
        <x:v>29</x:v>
      </x:c>
      <x:c r="M511" s="36" t="n">
        <x:v>0.08</x:v>
      </x:c>
      <x:c r="N511" s="35" t="n">
        <x:f>L511*M511</x:f>
        <x:v>2.32</x:v>
      </x:c>
      <x:c r="O511" s="37" t="n">
        <x:v>0.18</x:v>
      </x:c>
      <x:c r="P511" s="35" t="n">
        <x:f>L511*O511</x:f>
        <x:v>5.22</x:v>
      </x:c>
      <x:c r="Q511" s="35" t="n">
        <x:v>1.2</x:v>
      </x:c>
      <x:c r="R511" s="35" t="n">
        <x:f>K511*Q511</x:f>
        <x:v>1.2</x:v>
      </x:c>
      <x:c r="S511" s="35" t="n">
        <x:f>XLOOKUP(H511,'菜品主数据'!$A$5:$A$24,'菜品主数据'!$G$5:$G$24,0)</x:f>
        <x:v>10.231000000000002</x:v>
      </x:c>
      <x:c r="T511" s="35" t="n">
        <x:f>K511*S511</x:f>
        <x:v>10.231000000000002</x:v>
      </x:c>
      <x:c r="U511" s="35" t="n">
        <x:f>L511-N511-P511-R511-T511</x:f>
        <x:v>10.029</x:v>
      </x:c>
      <x:c r="V511" s="21" t="n">
        <x:f>IFERROR(U511/L511,0)</x:f>
        <x:v>0.3458275862068966</x:v>
      </x:c>
    </x:row>
    <x:row r="512">
      <x:c r="A512" s="19" t="str">
        <x:v>SALE-00508</x:v>
      </x:c>
      <x:c r="B512" s="34" t="n">
        <x:v>46215.5</x:v>
      </x:c>
      <x:c r="C512" s="19" t="str">
        <x:v>周日</x:v>
      </x:c>
      <x:c r="D512" s="19" t="str">
        <x:v>S02</x:v>
      </x:c>
      <x:c r="E512" s="19" t="str">
        <x:v>尊宝大厦店</x:v>
      </x:c>
      <x:c r="F512" s="19" t="str">
        <x:v>外卖</x:v>
      </x:c>
      <x:c r="G512" s="19" t="str">
        <x:v>全日</x:v>
      </x:c>
      <x:c r="H512" s="19" t="str">
        <x:v>D08</x:v>
      </x:c>
      <x:c r="I512" s="19" t="str">
        <x:v>生炒清远鸡</x:v>
      </x:c>
      <x:c r="J512" s="22" t="n">
        <x:f>XLOOKUP(H512,'菜品主数据'!$A$5:$A$24,'菜品主数据'!$D$5:$D$24,0)</x:f>
        <x:v>36</x:v>
      </x:c>
      <x:c r="K512" s="31" t="n">
        <x:v>1</x:v>
      </x:c>
      <x:c r="L512" s="35" t="n">
        <x:f>J512*K512</x:f>
        <x:v>36</x:v>
      </x:c>
      <x:c r="M512" s="36" t="n">
        <x:v>0.08</x:v>
      </x:c>
      <x:c r="N512" s="35" t="n">
        <x:f>L512*M512</x:f>
        <x:v>2.88</x:v>
      </x:c>
      <x:c r="O512" s="37" t="n">
        <x:v>0.18</x:v>
      </x:c>
      <x:c r="P512" s="35" t="n">
        <x:f>L512*O512</x:f>
        <x:v>6.4799999999999995</x:v>
      </x:c>
      <x:c r="Q512" s="35" t="n">
        <x:v>1.2</x:v>
      </x:c>
      <x:c r="R512" s="35" t="n">
        <x:f>K512*Q512</x:f>
        <x:v>1.2</x:v>
      </x:c>
      <x:c r="S512" s="35" t="n">
        <x:f>XLOOKUP(H512,'菜品主数据'!$A$5:$A$24,'菜品主数据'!$G$5:$G$24,0)</x:f>
        <x:v>13.48</x:v>
      </x:c>
      <x:c r="T512" s="35" t="n">
        <x:f>K512*S512</x:f>
        <x:v>13.48</x:v>
      </x:c>
      <x:c r="U512" s="35" t="n">
        <x:f>L512-N512-P512-R512-T512</x:f>
        <x:v>11.959999999999997</x:v>
      </x:c>
      <x:c r="V512" s="21" t="n">
        <x:f>IFERROR(U512/L512,0)</x:f>
        <x:v>0.33222222222222214</x:v>
      </x:c>
    </x:row>
    <x:row r="513">
      <x:c r="A513" s="19" t="str">
        <x:v>SALE-00509</x:v>
      </x:c>
      <x:c r="B513" s="34" t="n">
        <x:v>46215.5</x:v>
      </x:c>
      <x:c r="C513" s="19" t="str">
        <x:v>周日</x:v>
      </x:c>
      <x:c r="D513" s="19" t="str">
        <x:v>S02</x:v>
      </x:c>
      <x:c r="E513" s="19" t="str">
        <x:v>尊宝大厦店</x:v>
      </x:c>
      <x:c r="F513" s="19" t="str">
        <x:v>外卖</x:v>
      </x:c>
      <x:c r="G513" s="19" t="str">
        <x:v>全日</x:v>
      </x:c>
      <x:c r="H513" s="19" t="str">
        <x:v>D09</x:v>
      </x:c>
      <x:c r="I513" s="19" t="str">
        <x:v>炒豆干</x:v>
      </x:c>
      <x:c r="J513" s="22" t="n">
        <x:f>XLOOKUP(H513,'菜品主数据'!$A$5:$A$24,'菜品主数据'!$D$5:$D$24,0)</x:f>
        <x:v>18</x:v>
      </x:c>
      <x:c r="K513" s="31" t="n">
        <x:v>1</x:v>
      </x:c>
      <x:c r="L513" s="35" t="n">
        <x:f>J513*K513</x:f>
        <x:v>18</x:v>
      </x:c>
      <x:c r="M513" s="36" t="n">
        <x:v>0.08</x:v>
      </x:c>
      <x:c r="N513" s="35" t="n">
        <x:f>L513*M513</x:f>
        <x:v>1.44</x:v>
      </x:c>
      <x:c r="O513" s="37" t="n">
        <x:v>0.18</x:v>
      </x:c>
      <x:c r="P513" s="35" t="n">
        <x:f>L513*O513</x:f>
        <x:v>3.2399999999999998</x:v>
      </x:c>
      <x:c r="Q513" s="35" t="n">
        <x:v>1.2</x:v>
      </x:c>
      <x:c r="R513" s="35" t="n">
        <x:f>K513*Q513</x:f>
        <x:v>1.2</x:v>
      </x:c>
      <x:c r="S513" s="35" t="n">
        <x:f>XLOOKUP(H513,'菜品主数据'!$A$5:$A$24,'菜品主数据'!$G$5:$G$24,0)</x:f>
        <x:v>6.613999999999999</x:v>
      </x:c>
      <x:c r="T513" s="35" t="n">
        <x:f>K513*S513</x:f>
        <x:v>6.613999999999999</x:v>
      </x:c>
      <x:c r="U513" s="35" t="n">
        <x:f>L513-N513-P513-R513-T513</x:f>
        <x:v>5.506</x:v>
      </x:c>
      <x:c r="V513" s="21" t="n">
        <x:f>IFERROR(U513/L513,0)</x:f>
        <x:v>0.3058888888888889</x:v>
      </x:c>
    </x:row>
    <x:row r="514">
      <x:c r="A514" s="19" t="str">
        <x:v>SALE-00510</x:v>
      </x:c>
      <x:c r="B514" s="34" t="n">
        <x:v>46215.5</x:v>
      </x:c>
      <x:c r="C514" s="19" t="str">
        <x:v>周日</x:v>
      </x:c>
      <x:c r="D514" s="19" t="str">
        <x:v>S02</x:v>
      </x:c>
      <x:c r="E514" s="19" t="str">
        <x:v>尊宝大厦店</x:v>
      </x:c>
      <x:c r="F514" s="19" t="str">
        <x:v>外卖</x:v>
      </x:c>
      <x:c r="G514" s="19" t="str">
        <x:v>全日</x:v>
      </x:c>
      <x:c r="H514" s="19" t="str">
        <x:v>D10</x:v>
      </x:c>
      <x:c r="I514" s="19" t="str">
        <x:v>农家一碗香</x:v>
      </x:c>
      <x:c r="J514" s="22" t="n">
        <x:f>XLOOKUP(H514,'菜品主数据'!$A$5:$A$24,'菜品主数据'!$D$5:$D$24,0)</x:f>
        <x:v>22.9</x:v>
      </x:c>
      <x:c r="K514" s="31" t="n">
        <x:v>1</x:v>
      </x:c>
      <x:c r="L514" s="35" t="n">
        <x:f>J514*K514</x:f>
        <x:v>22.9</x:v>
      </x:c>
      <x:c r="M514" s="36" t="n">
        <x:v>0.08</x:v>
      </x:c>
      <x:c r="N514" s="35" t="n">
        <x:f>L514*M514</x:f>
        <x:v>1.8319999999999999</x:v>
      </x:c>
      <x:c r="O514" s="37" t="n">
        <x:v>0.18</x:v>
      </x:c>
      <x:c r="P514" s="35" t="n">
        <x:f>L514*O514</x:f>
        <x:v>4.122</x:v>
      </x:c>
      <x:c r="Q514" s="35" t="n">
        <x:v>1.2</x:v>
      </x:c>
      <x:c r="R514" s="35" t="n">
        <x:f>K514*Q514</x:f>
        <x:v>1.2</x:v>
      </x:c>
      <x:c r="S514" s="35" t="n">
        <x:f>XLOOKUP(H514,'菜品主数据'!$A$5:$A$24,'菜品主数据'!$G$5:$G$24,0)</x:f>
        <x:v>9.770200000000003</x:v>
      </x:c>
      <x:c r="T514" s="35" t="n">
        <x:f>K514*S514</x:f>
        <x:v>9.770200000000003</x:v>
      </x:c>
      <x:c r="U514" s="35" t="n">
        <x:f>L514-N514-P514-R514-T514</x:f>
        <x:v>5.975799999999996</x:v>
      </x:c>
      <x:c r="V514" s="21" t="n">
        <x:f>IFERROR(U514/L514,0)</x:f>
        <x:v>0.260951965065502</x:v>
      </x:c>
    </x:row>
    <x:row r="515">
      <x:c r="A515" s="19" t="str">
        <x:v>SALE-00511</x:v>
      </x:c>
      <x:c r="B515" s="34" t="n">
        <x:v>46215.5</x:v>
      </x:c>
      <x:c r="C515" s="19" t="str">
        <x:v>周日</x:v>
      </x:c>
      <x:c r="D515" s="19" t="str">
        <x:v>S02</x:v>
      </x:c>
      <x:c r="E515" s="19" t="str">
        <x:v>尊宝大厦店</x:v>
      </x:c>
      <x:c r="F515" s="19" t="str">
        <x:v>外卖</x:v>
      </x:c>
      <x:c r="G515" s="19" t="str">
        <x:v>全日</x:v>
      </x:c>
      <x:c r="H515" s="19" t="str">
        <x:v>D11</x:v>
      </x:c>
      <x:c r="I515" s="19" t="str">
        <x:v>香辣爆肥肠</x:v>
      </x:c>
      <x:c r="J515" s="22" t="n">
        <x:f>XLOOKUP(H515,'菜品主数据'!$A$5:$A$24,'菜品主数据'!$D$5:$D$24,0)</x:f>
        <x:v>39</x:v>
      </x:c>
      <x:c r="K515" s="31" t="n">
        <x:v>0</x:v>
      </x:c>
      <x:c r="L515" s="35" t="n">
        <x:f>J515*K515</x:f>
        <x:v>0</x:v>
      </x:c>
      <x:c r="M515" s="36" t="n">
        <x:v>0.08</x:v>
      </x:c>
      <x:c r="N515" s="35" t="n">
        <x:f>L515*M515</x:f>
        <x:v>0</x:v>
      </x:c>
      <x:c r="O515" s="37" t="n">
        <x:v>0.18</x:v>
      </x:c>
      <x:c r="P515" s="35" t="n">
        <x:f>L515*O515</x:f>
        <x:v>0</x:v>
      </x:c>
      <x:c r="Q515" s="35" t="n">
        <x:v>1.2</x:v>
      </x:c>
      <x:c r="R515" s="35" t="n">
        <x:f>K515*Q515</x:f>
        <x:v>0</x:v>
      </x:c>
      <x:c r="S515" s="35" t="n">
        <x:f>XLOOKUP(H515,'菜品主数据'!$A$5:$A$24,'菜品主数据'!$G$5:$G$24,0)</x:f>
        <x:v>10.397</x:v>
      </x:c>
      <x:c r="T515" s="35" t="n">
        <x:f>K515*S515</x:f>
        <x:v>0</x:v>
      </x:c>
      <x:c r="U515" s="35" t="n">
        <x:f>L515-N515-P515-R515-T515</x:f>
        <x:v>0</x:v>
      </x:c>
      <x:c r="V515" s="21" t="n">
        <x:f>IFERROR(U515/L515,0)</x:f>
        <x:v>0</x:v>
      </x:c>
    </x:row>
    <x:row r="516">
      <x:c r="A516" s="19" t="str">
        <x:v>SALE-00512</x:v>
      </x:c>
      <x:c r="B516" s="34" t="n">
        <x:v>46215.5</x:v>
      </x:c>
      <x:c r="C516" s="19" t="str">
        <x:v>周日</x:v>
      </x:c>
      <x:c r="D516" s="19" t="str">
        <x:v>S02</x:v>
      </x:c>
      <x:c r="E516" s="19" t="str">
        <x:v>尊宝大厦店</x:v>
      </x:c>
      <x:c r="F516" s="19" t="str">
        <x:v>外卖</x:v>
      </x:c>
      <x:c r="G516" s="19" t="str">
        <x:v>全日</x:v>
      </x:c>
      <x:c r="H516" s="19" t="str">
        <x:v>D12</x:v>
      </x:c>
      <x:c r="I516" s="19" t="str">
        <x:v>清蒸鲈鱼</x:v>
      </x:c>
      <x:c r="J516" s="22" t="n">
        <x:f>XLOOKUP(H516,'菜品主数据'!$A$5:$A$24,'菜品主数据'!$D$5:$D$24,0)</x:f>
        <x:v>39</x:v>
      </x:c>
      <x:c r="K516" s="31" t="n">
        <x:v>0</x:v>
      </x:c>
      <x:c r="L516" s="35" t="n">
        <x:f>J516*K516</x:f>
        <x:v>0</x:v>
      </x:c>
      <x:c r="M516" s="36" t="n">
        <x:v>0.08</x:v>
      </x:c>
      <x:c r="N516" s="35" t="n">
        <x:f>L516*M516</x:f>
        <x:v>0</x:v>
      </x:c>
      <x:c r="O516" s="37" t="n">
        <x:v>0.18</x:v>
      </x:c>
      <x:c r="P516" s="35" t="n">
        <x:f>L516*O516</x:f>
        <x:v>0</x:v>
      </x:c>
      <x:c r="Q516" s="35" t="n">
        <x:v>1.2</x:v>
      </x:c>
      <x:c r="R516" s="35" t="n">
        <x:f>K516*Q516</x:f>
        <x:v>0</x:v>
      </x:c>
      <x:c r="S516" s="35" t="n">
        <x:f>XLOOKUP(H516,'菜品主数据'!$A$5:$A$24,'菜品主数据'!$G$5:$G$24,0)</x:f>
        <x:v>18.874</x:v>
      </x:c>
      <x:c r="T516" s="35" t="n">
        <x:f>K516*S516</x:f>
        <x:v>0</x:v>
      </x:c>
      <x:c r="U516" s="35" t="n">
        <x:f>L516-N516-P516-R516-T516</x:f>
        <x:v>0</x:v>
      </x:c>
      <x:c r="V516" s="21" t="n">
        <x:f>IFERROR(U516/L516,0)</x:f>
        <x:v>0</x:v>
      </x:c>
    </x:row>
    <x:row r="517">
      <x:c r="A517" s="19" t="str">
        <x:v>SALE-00513</x:v>
      </x:c>
      <x:c r="B517" s="34" t="n">
        <x:v>46215.5</x:v>
      </x:c>
      <x:c r="C517" s="19" t="str">
        <x:v>周日</x:v>
      </x:c>
      <x:c r="D517" s="19" t="str">
        <x:v>S02</x:v>
      </x:c>
      <x:c r="E517" s="19" t="str">
        <x:v>尊宝大厦店</x:v>
      </x:c>
      <x:c r="F517" s="19" t="str">
        <x:v>外卖</x:v>
      </x:c>
      <x:c r="G517" s="19" t="str">
        <x:v>全日</x:v>
      </x:c>
      <x:c r="H517" s="19" t="str">
        <x:v>D13</x:v>
      </x:c>
      <x:c r="I517" s="19" t="str">
        <x:v>外婆菜炒蛋</x:v>
      </x:c>
      <x:c r="J517" s="22" t="n">
        <x:f>XLOOKUP(H517,'菜品主数据'!$A$5:$A$24,'菜品主数据'!$D$5:$D$24,0)</x:f>
        <x:v>18</x:v>
      </x:c>
      <x:c r="K517" s="31" t="n">
        <x:v>1</x:v>
      </x:c>
      <x:c r="L517" s="35" t="n">
        <x:f>J517*K517</x:f>
        <x:v>18</x:v>
      </x:c>
      <x:c r="M517" s="36" t="n">
        <x:v>0.08</x:v>
      </x:c>
      <x:c r="N517" s="35" t="n">
        <x:f>L517*M517</x:f>
        <x:v>1.44</x:v>
      </x:c>
      <x:c r="O517" s="37" t="n">
        <x:v>0.18</x:v>
      </x:c>
      <x:c r="P517" s="35" t="n">
        <x:f>L517*O517</x:f>
        <x:v>3.2399999999999998</x:v>
      </x:c>
      <x:c r="Q517" s="35" t="n">
        <x:v>1.2</x:v>
      </x:c>
      <x:c r="R517" s="35" t="n">
        <x:f>K517*Q517</x:f>
        <x:v>1.2</x:v>
      </x:c>
      <x:c r="S517" s="35" t="n">
        <x:f>XLOOKUP(H517,'菜品主数据'!$A$5:$A$24,'菜品主数据'!$G$5:$G$24,0)</x:f>
        <x:v>5.403999999999999</x:v>
      </x:c>
      <x:c r="T517" s="35" t="n">
        <x:f>K517*S517</x:f>
        <x:v>5.403999999999999</x:v>
      </x:c>
      <x:c r="U517" s="35" t="n">
        <x:f>L517-N517-P517-R517-T517</x:f>
        <x:v>6.716</x:v>
      </x:c>
      <x:c r="V517" s="21" t="n">
        <x:f>IFERROR(U517/L517,0)</x:f>
        <x:v>0.3731111111111111</x:v>
      </x:c>
    </x:row>
    <x:row r="518">
      <x:c r="A518" s="19" t="str">
        <x:v>SALE-00514</x:v>
      </x:c>
      <x:c r="B518" s="34" t="n">
        <x:v>46215.5</x:v>
      </x:c>
      <x:c r="C518" s="19" t="str">
        <x:v>周日</x:v>
      </x:c>
      <x:c r="D518" s="19" t="str">
        <x:v>S02</x:v>
      </x:c>
      <x:c r="E518" s="19" t="str">
        <x:v>尊宝大厦店</x:v>
      </x:c>
      <x:c r="F518" s="19" t="str">
        <x:v>外卖</x:v>
      </x:c>
      <x:c r="G518" s="19" t="str">
        <x:v>全日</x:v>
      </x:c>
      <x:c r="H518" s="19" t="str">
        <x:v>D14</x:v>
      </x:c>
      <x:c r="I518" s="19" t="str">
        <x:v>酸辣鸡杂</x:v>
      </x:c>
      <x:c r="J518" s="22" t="n">
        <x:f>XLOOKUP(H518,'菜品主数据'!$A$5:$A$24,'菜品主数据'!$D$5:$D$24,0)</x:f>
        <x:v>28</x:v>
      </x:c>
      <x:c r="K518" s="31" t="n">
        <x:v>0</x:v>
      </x:c>
      <x:c r="L518" s="35" t="n">
        <x:f>J518*K518</x:f>
        <x:v>0</x:v>
      </x:c>
      <x:c r="M518" s="36" t="n">
        <x:v>0.08</x:v>
      </x:c>
      <x:c r="N518" s="35" t="n">
        <x:f>L518*M518</x:f>
        <x:v>0</x:v>
      </x:c>
      <x:c r="O518" s="37" t="n">
        <x:v>0.18</x:v>
      </x:c>
      <x:c r="P518" s="35" t="n">
        <x:f>L518*O518</x:f>
        <x:v>0</x:v>
      </x:c>
      <x:c r="Q518" s="35" t="n">
        <x:v>1.2</x:v>
      </x:c>
      <x:c r="R518" s="35" t="n">
        <x:f>K518*Q518</x:f>
        <x:v>0</x:v>
      </x:c>
      <x:c r="S518" s="35" t="n">
        <x:f>XLOOKUP(H518,'菜品主数据'!$A$5:$A$24,'菜品主数据'!$G$5:$G$24,0)</x:f>
        <x:v>8.315000000000001</x:v>
      </x:c>
      <x:c r="T518" s="35" t="n">
        <x:f>K518*S518</x:f>
        <x:v>0</x:v>
      </x:c>
      <x:c r="U518" s="35" t="n">
        <x:f>L518-N518-P518-R518-T518</x:f>
        <x:v>0</x:v>
      </x:c>
      <x:c r="V518" s="21" t="n">
        <x:f>IFERROR(U518/L518,0)</x:f>
        <x:v>0</x:v>
      </x:c>
    </x:row>
    <x:row r="519">
      <x:c r="A519" s="19" t="str">
        <x:v>SALE-00515</x:v>
      </x:c>
      <x:c r="B519" s="34" t="n">
        <x:v>46215.5</x:v>
      </x:c>
      <x:c r="C519" s="19" t="str">
        <x:v>周日</x:v>
      </x:c>
      <x:c r="D519" s="19" t="str">
        <x:v>S02</x:v>
      </x:c>
      <x:c r="E519" s="19" t="str">
        <x:v>尊宝大厦店</x:v>
      </x:c>
      <x:c r="F519" s="19" t="str">
        <x:v>外卖</x:v>
      </x:c>
      <x:c r="G519" s="19" t="str">
        <x:v>全日</x:v>
      </x:c>
      <x:c r="H519" s="19" t="str">
        <x:v>D15</x:v>
      </x:c>
      <x:c r="I519" s="19" t="str">
        <x:v>湘西土匪猪肝</x:v>
      </x:c>
      <x:c r="J519" s="22" t="n">
        <x:f>XLOOKUP(H519,'菜品主数据'!$A$5:$A$24,'菜品主数据'!$D$5:$D$24,0)</x:f>
        <x:v>26</x:v>
      </x:c>
      <x:c r="K519" s="31" t="n">
        <x:v>0</x:v>
      </x:c>
      <x:c r="L519" s="35" t="n">
        <x:f>J519*K519</x:f>
        <x:v>0</x:v>
      </x:c>
      <x:c r="M519" s="36" t="n">
        <x:v>0.08</x:v>
      </x:c>
      <x:c r="N519" s="35" t="n">
        <x:f>L519*M519</x:f>
        <x:v>0</x:v>
      </x:c>
      <x:c r="O519" s="37" t="n">
        <x:v>0.18</x:v>
      </x:c>
      <x:c r="P519" s="35" t="n">
        <x:f>L519*O519</x:f>
        <x:v>0</x:v>
      </x:c>
      <x:c r="Q519" s="35" t="n">
        <x:v>1.2</x:v>
      </x:c>
      <x:c r="R519" s="35" t="n">
        <x:f>K519*Q519</x:f>
        <x:v>0</x:v>
      </x:c>
      <x:c r="S519" s="35" t="n">
        <x:f>XLOOKUP(H519,'菜品主数据'!$A$5:$A$24,'菜品主数据'!$G$5:$G$24,0)</x:f>
        <x:v>6.3759999999999994</x:v>
      </x:c>
      <x:c r="T519" s="35" t="n">
        <x:f>K519*S519</x:f>
        <x:v>0</x:v>
      </x:c>
      <x:c r="U519" s="35" t="n">
        <x:f>L519-N519-P519-R519-T519</x:f>
        <x:v>0</x:v>
      </x:c>
      <x:c r="V519" s="21" t="n">
        <x:f>IFERROR(U519/L519,0)</x:f>
        <x:v>0</x:v>
      </x:c>
    </x:row>
    <x:row r="520">
      <x:c r="A520" s="19" t="str">
        <x:v>SALE-00516</x:v>
      </x:c>
      <x:c r="B520" s="34" t="n">
        <x:v>46215.5</x:v>
      </x:c>
      <x:c r="C520" s="19" t="str">
        <x:v>周日</x:v>
      </x:c>
      <x:c r="D520" s="19" t="str">
        <x:v>S02</x:v>
      </x:c>
      <x:c r="E520" s="19" t="str">
        <x:v>尊宝大厦店</x:v>
      </x:c>
      <x:c r="F520" s="19" t="str">
        <x:v>外卖</x:v>
      </x:c>
      <x:c r="G520" s="19" t="str">
        <x:v>全日</x:v>
      </x:c>
      <x:c r="H520" s="19" t="str">
        <x:v>D16</x:v>
      </x:c>
      <x:c r="I520" s="19" t="str">
        <x:v>小豆角炒五花</x:v>
      </x:c>
      <x:c r="J520" s="22" t="n">
        <x:f>XLOOKUP(H520,'菜品主数据'!$A$5:$A$24,'菜品主数据'!$D$5:$D$24,0)</x:f>
        <x:v>25</x:v>
      </x:c>
      <x:c r="K520" s="31" t="n">
        <x:v>0</x:v>
      </x:c>
      <x:c r="L520" s="35" t="n">
        <x:f>J520*K520</x:f>
        <x:v>0</x:v>
      </x:c>
      <x:c r="M520" s="36" t="n">
        <x:v>0.08</x:v>
      </x:c>
      <x:c r="N520" s="35" t="n">
        <x:f>L520*M520</x:f>
        <x:v>0</x:v>
      </x:c>
      <x:c r="O520" s="37" t="n">
        <x:v>0.18</x:v>
      </x:c>
      <x:c r="P520" s="35" t="n">
        <x:f>L520*O520</x:f>
        <x:v>0</x:v>
      </x:c>
      <x:c r="Q520" s="35" t="n">
        <x:v>1.2</x:v>
      </x:c>
      <x:c r="R520" s="35" t="n">
        <x:f>K520*Q520</x:f>
        <x:v>0</x:v>
      </x:c>
      <x:c r="S520" s="35" t="n">
        <x:f>XLOOKUP(H520,'菜品主数据'!$A$5:$A$24,'菜品主数据'!$G$5:$G$24,0)</x:f>
        <x:v>8.184</x:v>
      </x:c>
      <x:c r="T520" s="35" t="n">
        <x:f>K520*S520</x:f>
        <x:v>0</x:v>
      </x:c>
      <x:c r="U520" s="35" t="n">
        <x:f>L520-N520-P520-R520-T520</x:f>
        <x:v>0</x:v>
      </x:c>
      <x:c r="V520" s="21" t="n">
        <x:f>IFERROR(U520/L520,0)</x:f>
        <x:v>0</x:v>
      </x:c>
    </x:row>
    <x:row r="521">
      <x:c r="A521" s="19" t="str">
        <x:v>SALE-00517</x:v>
      </x:c>
      <x:c r="B521" s="34" t="n">
        <x:v>46215.5</x:v>
      </x:c>
      <x:c r="C521" s="19" t="str">
        <x:v>周日</x:v>
      </x:c>
      <x:c r="D521" s="19" t="str">
        <x:v>S02</x:v>
      </x:c>
      <x:c r="E521" s="19" t="str">
        <x:v>尊宝大厦店</x:v>
      </x:c>
      <x:c r="F521" s="19" t="str">
        <x:v>外卖</x:v>
      </x:c>
      <x:c r="G521" s="19" t="str">
        <x:v>全日</x:v>
      </x:c>
      <x:c r="H521" s="19" t="str">
        <x:v>D17</x:v>
      </x:c>
      <x:c r="I521" s="19" t="str">
        <x:v>蒜蓉粉丝虾</x:v>
      </x:c>
      <x:c r="J521" s="22" t="n">
        <x:f>XLOOKUP(H521,'菜品主数据'!$A$5:$A$24,'菜品主数据'!$D$5:$D$24,0)</x:f>
        <x:v>36</x:v>
      </x:c>
      <x:c r="K521" s="31" t="n">
        <x:v>0</x:v>
      </x:c>
      <x:c r="L521" s="35" t="n">
        <x:f>J521*K521</x:f>
        <x:v>0</x:v>
      </x:c>
      <x:c r="M521" s="36" t="n">
        <x:v>0.08</x:v>
      </x:c>
      <x:c r="N521" s="35" t="n">
        <x:f>L521*M521</x:f>
        <x:v>0</x:v>
      </x:c>
      <x:c r="O521" s="37" t="n">
        <x:v>0.18</x:v>
      </x:c>
      <x:c r="P521" s="35" t="n">
        <x:f>L521*O521</x:f>
        <x:v>0</x:v>
      </x:c>
      <x:c r="Q521" s="35" t="n">
        <x:v>1.2</x:v>
      </x:c>
      <x:c r="R521" s="35" t="n">
        <x:f>K521*Q521</x:f>
        <x:v>0</x:v>
      </x:c>
      <x:c r="S521" s="35" t="n">
        <x:f>XLOOKUP(H521,'菜品主数据'!$A$5:$A$24,'菜品主数据'!$G$5:$G$24,0)</x:f>
        <x:v>13.594</x:v>
      </x:c>
      <x:c r="T521" s="35" t="n">
        <x:f>K521*S521</x:f>
        <x:v>0</x:v>
      </x:c>
      <x:c r="U521" s="35" t="n">
        <x:f>L521-N521-P521-R521-T521</x:f>
        <x:v>0</x:v>
      </x:c>
      <x:c r="V521" s="21" t="n">
        <x:f>IFERROR(U521/L521,0)</x:f>
        <x:v>0</x:v>
      </x:c>
    </x:row>
    <x:row r="522">
      <x:c r="A522" s="19" t="str">
        <x:v>SALE-00518</x:v>
      </x:c>
      <x:c r="B522" s="34" t="n">
        <x:v>46215.5</x:v>
      </x:c>
      <x:c r="C522" s="19" t="str">
        <x:v>周日</x:v>
      </x:c>
      <x:c r="D522" s="19" t="str">
        <x:v>S02</x:v>
      </x:c>
      <x:c r="E522" s="19" t="str">
        <x:v>尊宝大厦店</x:v>
      </x:c>
      <x:c r="F522" s="19" t="str">
        <x:v>外卖</x:v>
      </x:c>
      <x:c r="G522" s="19" t="str">
        <x:v>全日</x:v>
      </x:c>
      <x:c r="H522" s="19" t="str">
        <x:v>D18</x:v>
      </x:c>
      <x:c r="I522" s="19" t="str">
        <x:v>青椒炒油麦菜</x:v>
      </x:c>
      <x:c r="J522" s="22" t="n">
        <x:f>XLOOKUP(H522,'菜品主数据'!$A$5:$A$24,'菜品主数据'!$D$5:$D$24,0)</x:f>
        <x:v>18</x:v>
      </x:c>
      <x:c r="K522" s="31" t="n">
        <x:v>0</x:v>
      </x:c>
      <x:c r="L522" s="35" t="n">
        <x:f>J522*K522</x:f>
        <x:v>0</x:v>
      </x:c>
      <x:c r="M522" s="36" t="n">
        <x:v>0.08</x:v>
      </x:c>
      <x:c r="N522" s="35" t="n">
        <x:f>L522*M522</x:f>
        <x:v>0</x:v>
      </x:c>
      <x:c r="O522" s="37" t="n">
        <x:v>0.18</x:v>
      </x:c>
      <x:c r="P522" s="35" t="n">
        <x:f>L522*O522</x:f>
        <x:v>0</x:v>
      </x:c>
      <x:c r="Q522" s="35" t="n">
        <x:v>1.2</x:v>
      </x:c>
      <x:c r="R522" s="35" t="n">
        <x:f>K522*Q522</x:f>
        <x:v>0</x:v>
      </x:c>
      <x:c r="S522" s="35" t="n">
        <x:f>XLOOKUP(H522,'菜品主数据'!$A$5:$A$24,'菜品主数据'!$G$5:$G$24,0)</x:f>
        <x:v>3.1759999999999993</x:v>
      </x:c>
      <x:c r="T522" s="35" t="n">
        <x:f>K522*S522</x:f>
        <x:v>0</x:v>
      </x:c>
      <x:c r="U522" s="35" t="n">
        <x:f>L522-N522-P522-R522-T522</x:f>
        <x:v>0</x:v>
      </x:c>
      <x:c r="V522" s="21" t="n">
        <x:f>IFERROR(U522/L522,0)</x:f>
        <x:v>0</x:v>
      </x:c>
    </x:row>
    <x:row r="523">
      <x:c r="A523" s="19" t="str">
        <x:v>SALE-00519</x:v>
      </x:c>
      <x:c r="B523" s="34" t="n">
        <x:v>46215.5</x:v>
      </x:c>
      <x:c r="C523" s="19" t="str">
        <x:v>周日</x:v>
      </x:c>
      <x:c r="D523" s="19" t="str">
        <x:v>S02</x:v>
      </x:c>
      <x:c r="E523" s="19" t="str">
        <x:v>尊宝大厦店</x:v>
      </x:c>
      <x:c r="F523" s="19" t="str">
        <x:v>外卖</x:v>
      </x:c>
      <x:c r="G523" s="19" t="str">
        <x:v>全日</x:v>
      </x:c>
      <x:c r="H523" s="19" t="str">
        <x:v>D19</x:v>
      </x:c>
      <x:c r="I523" s="19" t="str">
        <x:v>酸萝卜炒鸡杂</x:v>
      </x:c>
      <x:c r="J523" s="22" t="n">
        <x:f>XLOOKUP(H523,'菜品主数据'!$A$5:$A$24,'菜品主数据'!$D$5:$D$24,0)</x:f>
        <x:v>25</x:v>
      </x:c>
      <x:c r="K523" s="31" t="n">
        <x:v>0</x:v>
      </x:c>
      <x:c r="L523" s="35" t="n">
        <x:f>J523*K523</x:f>
        <x:v>0</x:v>
      </x:c>
      <x:c r="M523" s="36" t="n">
        <x:v>0.08</x:v>
      </x:c>
      <x:c r="N523" s="35" t="n">
        <x:f>L523*M523</x:f>
        <x:v>0</x:v>
      </x:c>
      <x:c r="O523" s="37" t="n">
        <x:v>0.18</x:v>
      </x:c>
      <x:c r="P523" s="35" t="n">
        <x:f>L523*O523</x:f>
        <x:v>0</x:v>
      </x:c>
      <x:c r="Q523" s="35" t="n">
        <x:v>1.2</x:v>
      </x:c>
      <x:c r="R523" s="35" t="n">
        <x:f>K523*Q523</x:f>
        <x:v>0</x:v>
      </x:c>
      <x:c r="S523" s="35" t="n">
        <x:f>XLOOKUP(H523,'菜品主数据'!$A$5:$A$24,'菜品主数据'!$G$5:$G$24,0)</x:f>
        <x:v>7.9399999999999995</x:v>
      </x:c>
      <x:c r="T523" s="35" t="n">
        <x:f>K523*S523</x:f>
        <x:v>0</x:v>
      </x:c>
      <x:c r="U523" s="35" t="n">
        <x:f>L523-N523-P523-R523-T523</x:f>
        <x:v>0</x:v>
      </x:c>
      <x:c r="V523" s="21" t="n">
        <x:f>IFERROR(U523/L523,0)</x:f>
        <x:v>0</x:v>
      </x:c>
    </x:row>
    <x:row r="524">
      <x:c r="A524" s="19" t="str">
        <x:v>SALE-00520</x:v>
      </x:c>
      <x:c r="B524" s="34" t="n">
        <x:v>46215.5</x:v>
      </x:c>
      <x:c r="C524" s="19" t="str">
        <x:v>周日</x:v>
      </x:c>
      <x:c r="D524" s="19" t="str">
        <x:v>S02</x:v>
      </x:c>
      <x:c r="E524" s="19" t="str">
        <x:v>尊宝大厦店</x:v>
      </x:c>
      <x:c r="F524" s="19" t="str">
        <x:v>外卖</x:v>
      </x:c>
      <x:c r="G524" s="19" t="str">
        <x:v>全日</x:v>
      </x:c>
      <x:c r="H524" s="19" t="str">
        <x:v>D20</x:v>
      </x:c>
      <x:c r="I524" s="19" t="str">
        <x:v>雪菜肉末青豆</x:v>
      </x:c>
      <x:c r="J524" s="22" t="n">
        <x:f>XLOOKUP(H524,'菜品主数据'!$A$5:$A$24,'菜品主数据'!$D$5:$D$24,0)</x:f>
        <x:v>18</x:v>
      </x:c>
      <x:c r="K524" s="31" t="n">
        <x:v>0</x:v>
      </x:c>
      <x:c r="L524" s="35" t="n">
        <x:f>J524*K524</x:f>
        <x:v>0</x:v>
      </x:c>
      <x:c r="M524" s="36" t="n">
        <x:v>0.08</x:v>
      </x:c>
      <x:c r="N524" s="35" t="n">
        <x:f>L524*M524</x:f>
        <x:v>0</x:v>
      </x:c>
      <x:c r="O524" s="37" t="n">
        <x:v>0.18</x:v>
      </x:c>
      <x:c r="P524" s="35" t="n">
        <x:f>L524*O524</x:f>
        <x:v>0</x:v>
      </x:c>
      <x:c r="Q524" s="35" t="n">
        <x:v>1.2</x:v>
      </x:c>
      <x:c r="R524" s="35" t="n">
        <x:f>K524*Q524</x:f>
        <x:v>0</x:v>
      </x:c>
      <x:c r="S524" s="35" t="n">
        <x:f>XLOOKUP(H524,'菜品主数据'!$A$5:$A$24,'菜品主数据'!$G$5:$G$24,0)</x:f>
        <x:v>7.303999999999999</x:v>
      </x:c>
      <x:c r="T524" s="35" t="n">
        <x:f>K524*S524</x:f>
        <x:v>0</x:v>
      </x:c>
      <x:c r="U524" s="35" t="n">
        <x:f>L524-N524-P524-R524-T524</x:f>
        <x:v>0</x:v>
      </x:c>
      <x:c r="V524" s="21" t="n">
        <x:f>IFERROR(U524/L524,0)</x:f>
        <x:v>0</x:v>
      </x:c>
    </x:row>
    <x:row r="525">
      <x:c r="A525" s="19" t="str">
        <x:v>SALE-00521</x:v>
      </x:c>
      <x:c r="B525" s="34" t="n">
        <x:v>46216.5</x:v>
      </x:c>
      <x:c r="C525" s="19" t="str">
        <x:v>周一</x:v>
      </x:c>
      <x:c r="D525" s="19" t="str">
        <x:v>S02</x:v>
      </x:c>
      <x:c r="E525" s="19" t="str">
        <x:v>尊宝大厦店</x:v>
      </x:c>
      <x:c r="F525" s="19" t="str">
        <x:v>堂食</x:v>
      </x:c>
      <x:c r="G525" s="19" t="str">
        <x:v>全日</x:v>
      </x:c>
      <x:c r="H525" s="19" t="str">
        <x:v>D01</x:v>
      </x:c>
      <x:c r="I525" s="19" t="str">
        <x:v>辣椒炒肉</x:v>
      </x:c>
      <x:c r="J525" s="22" t="n">
        <x:f>XLOOKUP(H525,'菜品主数据'!$A$5:$A$24,'菜品主数据'!$D$5:$D$24,0)</x:f>
        <x:v>29</x:v>
      </x:c>
      <x:c r="K525" s="31" t="n">
        <x:v>49</x:v>
      </x:c>
      <x:c r="L525" s="35" t="n">
        <x:f>J525*K525</x:f>
        <x:v>1421</x:v>
      </x:c>
      <x:c r="M525" s="36" t="n">
        <x:v>0</x:v>
      </x:c>
      <x:c r="N525" s="35" t="n">
        <x:f>L525*M525</x:f>
        <x:v>0</x:v>
      </x:c>
      <x:c r="O525" s="37" t="n">
        <x:v>0</x:v>
      </x:c>
      <x:c r="P525" s="35" t="n">
        <x:f>L525*O525</x:f>
        <x:v>0</x:v>
      </x:c>
      <x:c r="Q525" s="35" t="n">
        <x:v>0</x:v>
      </x:c>
      <x:c r="R525" s="35" t="n">
        <x:f>K525*Q525</x:f>
        <x:v>0</x:v>
      </x:c>
      <x:c r="S525" s="35" t="n">
        <x:f>XLOOKUP(H525,'菜品主数据'!$A$5:$A$24,'菜品主数据'!$G$5:$G$24,0)</x:f>
        <x:v>8.634400000000001</x:v>
      </x:c>
      <x:c r="T525" s="35" t="n">
        <x:f>K525*S525</x:f>
        <x:v>423.08560000000006</x:v>
      </x:c>
      <x:c r="U525" s="35" t="n">
        <x:f>L525-N525-P525-R525-T525</x:f>
        <x:v>997.9143999999999</x:v>
      </x:c>
      <x:c r="V525" s="21" t="n">
        <x:f>IFERROR(U525/L525,0)</x:f>
        <x:v>0.7022620689655171</x:v>
      </x:c>
    </x:row>
    <x:row r="526">
      <x:c r="A526" s="19" t="str">
        <x:v>SALE-00522</x:v>
      </x:c>
      <x:c r="B526" s="34" t="n">
        <x:v>46216.5</x:v>
      </x:c>
      <x:c r="C526" s="19" t="str">
        <x:v>周一</x:v>
      </x:c>
      <x:c r="D526" s="19" t="str">
        <x:v>S02</x:v>
      </x:c>
      <x:c r="E526" s="19" t="str">
        <x:v>尊宝大厦店</x:v>
      </x:c>
      <x:c r="F526" s="19" t="str">
        <x:v>堂食</x:v>
      </x:c>
      <x:c r="G526" s="19" t="str">
        <x:v>全日</x:v>
      </x:c>
      <x:c r="H526" s="19" t="str">
        <x:v>D02</x:v>
      </x:c>
      <x:c r="I526" s="19" t="str">
        <x:v>小炒黄牛肉</x:v>
      </x:c>
      <x:c r="J526" s="22" t="n">
        <x:f>XLOOKUP(H526,'菜品主数据'!$A$5:$A$24,'菜品主数据'!$D$5:$D$24,0)</x:f>
        <x:v>49</x:v>
      </x:c>
      <x:c r="K526" s="31" t="n">
        <x:v>29</x:v>
      </x:c>
      <x:c r="L526" s="35" t="n">
        <x:f>J526*K526</x:f>
        <x:v>1421</x:v>
      </x:c>
      <x:c r="M526" s="36" t="n">
        <x:v>0</x:v>
      </x:c>
      <x:c r="N526" s="35" t="n">
        <x:f>L526*M526</x:f>
        <x:v>0</x:v>
      </x:c>
      <x:c r="O526" s="37" t="n">
        <x:v>0</x:v>
      </x:c>
      <x:c r="P526" s="35" t="n">
        <x:f>L526*O526</x:f>
        <x:v>0</x:v>
      </x:c>
      <x:c r="Q526" s="35" t="n">
        <x:v>0</x:v>
      </x:c>
      <x:c r="R526" s="35" t="n">
        <x:f>K526*Q526</x:f>
        <x:v>0</x:v>
      </x:c>
      <x:c r="S526" s="35" t="n">
        <x:f>XLOOKUP(H526,'菜品主数据'!$A$5:$A$24,'菜品主数据'!$G$5:$G$24,0)</x:f>
        <x:v>17.577</x:v>
      </x:c>
      <x:c r="T526" s="35" t="n">
        <x:f>K526*S526</x:f>
        <x:v>509.73300000000006</x:v>
      </x:c>
      <x:c r="U526" s="35" t="n">
        <x:f>L526-N526-P526-R526-T526</x:f>
        <x:v>911.2669999999999</x:v>
      </x:c>
      <x:c r="V526" s="21" t="n">
        <x:f>IFERROR(U526/L526,0)</x:f>
        <x:v>0.6412857142857142</x:v>
      </x:c>
    </x:row>
    <x:row r="527">
      <x:c r="A527" s="19" t="str">
        <x:v>SALE-00523</x:v>
      </x:c>
      <x:c r="B527" s="34" t="n">
        <x:v>46216.5</x:v>
      </x:c>
      <x:c r="C527" s="19" t="str">
        <x:v>周一</x:v>
      </x:c>
      <x:c r="D527" s="19" t="str">
        <x:v>S02</x:v>
      </x:c>
      <x:c r="E527" s="19" t="str">
        <x:v>尊宝大厦店</x:v>
      </x:c>
      <x:c r="F527" s="19" t="str">
        <x:v>堂食</x:v>
      </x:c>
      <x:c r="G527" s="19" t="str">
        <x:v>全日</x:v>
      </x:c>
      <x:c r="H527" s="19" t="str">
        <x:v>D03</x:v>
      </x:c>
      <x:c r="I527" s="19" t="str">
        <x:v>香醋炒蛋</x:v>
      </x:c>
      <x:c r="J527" s="22" t="n">
        <x:f>XLOOKUP(H527,'菜品主数据'!$A$5:$A$24,'菜品主数据'!$D$5:$D$24,0)</x:f>
        <x:v>14.9</x:v>
      </x:c>
      <x:c r="K527" s="31" t="n">
        <x:v>44</x:v>
      </x:c>
      <x:c r="L527" s="35" t="n">
        <x:f>J527*K527</x:f>
        <x:v>655.6</x:v>
      </x:c>
      <x:c r="M527" s="36" t="n">
        <x:v>0</x:v>
      </x:c>
      <x:c r="N527" s="35" t="n">
        <x:f>L527*M527</x:f>
        <x:v>0</x:v>
      </x:c>
      <x:c r="O527" s="37" t="n">
        <x:v>0</x:v>
      </x:c>
      <x:c r="P527" s="35" t="n">
        <x:f>L527*O527</x:f>
        <x:v>0</x:v>
      </x:c>
      <x:c r="Q527" s="35" t="n">
        <x:v>0</x:v>
      </x:c>
      <x:c r="R527" s="35" t="n">
        <x:f>K527*Q527</x:f>
        <x:v>0</x:v>
      </x:c>
      <x:c r="S527" s="35" t="n">
        <x:f>XLOOKUP(H527,'菜品主数据'!$A$5:$A$24,'菜品主数据'!$G$5:$G$24,0)</x:f>
        <x:v>3.7459999999999996</x:v>
      </x:c>
      <x:c r="T527" s="35" t="n">
        <x:f>K527*S527</x:f>
        <x:v>164.82399999999998</x:v>
      </x:c>
      <x:c r="U527" s="35" t="n">
        <x:f>L527-N527-P527-R527-T527</x:f>
        <x:v>490.77600000000007</x:v>
      </x:c>
      <x:c r="V527" s="21" t="n">
        <x:f>IFERROR(U527/L527,0)</x:f>
        <x:v>0.7485906040268457</x:v>
      </x:c>
    </x:row>
    <x:row r="528">
      <x:c r="A528" s="19" t="str">
        <x:v>SALE-00524</x:v>
      </x:c>
      <x:c r="B528" s="34" t="n">
        <x:v>46216.5</x:v>
      </x:c>
      <x:c r="C528" s="19" t="str">
        <x:v>周一</x:v>
      </x:c>
      <x:c r="D528" s="19" t="str">
        <x:v>S02</x:v>
      </x:c>
      <x:c r="E528" s="19" t="str">
        <x:v>尊宝大厦店</x:v>
      </x:c>
      <x:c r="F528" s="19" t="str">
        <x:v>堂食</x:v>
      </x:c>
      <x:c r="G528" s="19" t="str">
        <x:v>全日</x:v>
      </x:c>
      <x:c r="H528" s="19" t="str">
        <x:v>D04</x:v>
      </x:c>
      <x:c r="I528" s="19" t="str">
        <x:v>酸包菜炒粉皮</x:v>
      </x:c>
      <x:c r="J528" s="22" t="n">
        <x:f>XLOOKUP(H528,'菜品主数据'!$A$5:$A$24,'菜品主数据'!$D$5:$D$24,0)</x:f>
        <x:v>16</x:v>
      </x:c>
      <x:c r="K528" s="31" t="n">
        <x:v>44</x:v>
      </x:c>
      <x:c r="L528" s="35" t="n">
        <x:f>J528*K528</x:f>
        <x:v>704</x:v>
      </x:c>
      <x:c r="M528" s="36" t="n">
        <x:v>0</x:v>
      </x:c>
      <x:c r="N528" s="35" t="n">
        <x:f>L528*M528</x:f>
        <x:v>0</x:v>
      </x:c>
      <x:c r="O528" s="37" t="n">
        <x:v>0</x:v>
      </x:c>
      <x:c r="P528" s="35" t="n">
        <x:f>L528*O528</x:f>
        <x:v>0</x:v>
      </x:c>
      <x:c r="Q528" s="35" t="n">
        <x:v>0</x:v>
      </x:c>
      <x:c r="R528" s="35" t="n">
        <x:f>K528*Q528</x:f>
        <x:v>0</x:v>
      </x:c>
      <x:c r="S528" s="35" t="n">
        <x:f>XLOOKUP(H528,'菜品主数据'!$A$5:$A$24,'菜品主数据'!$G$5:$G$24,0)</x:f>
        <x:v>3.978</x:v>
      </x:c>
      <x:c r="T528" s="35" t="n">
        <x:f>K528*S528</x:f>
        <x:v>175.032</x:v>
      </x:c>
      <x:c r="U528" s="35" t="n">
        <x:f>L528-N528-P528-R528-T528</x:f>
        <x:v>528.968</x:v>
      </x:c>
      <x:c r="V528" s="21" t="n">
        <x:f>IFERROR(U528/L528,0)</x:f>
        <x:v>0.7513749999999999</x:v>
      </x:c>
    </x:row>
    <x:row r="529">
      <x:c r="A529" s="19" t="str">
        <x:v>SALE-00525</x:v>
      </x:c>
      <x:c r="B529" s="34" t="n">
        <x:v>46216.5</x:v>
      </x:c>
      <x:c r="C529" s="19" t="str">
        <x:v>周一</x:v>
      </x:c>
      <x:c r="D529" s="19" t="str">
        <x:v>S02</x:v>
      </x:c>
      <x:c r="E529" s="19" t="str">
        <x:v>尊宝大厦店</x:v>
      </x:c>
      <x:c r="F529" s="19" t="str">
        <x:v>堂食</x:v>
      </x:c>
      <x:c r="G529" s="19" t="str">
        <x:v>全日</x:v>
      </x:c>
      <x:c r="H529" s="19" t="str">
        <x:v>D05</x:v>
      </x:c>
      <x:c r="I529" s="19" t="str">
        <x:v>麻婆豆腐</x:v>
      </x:c>
      <x:c r="J529" s="22" t="n">
        <x:f>XLOOKUP(H529,'菜品主数据'!$A$5:$A$24,'菜品主数据'!$D$5:$D$24,0)</x:f>
        <x:v>9.9</x:v>
      </x:c>
      <x:c r="K529" s="31" t="n">
        <x:v>52</x:v>
      </x:c>
      <x:c r="L529" s="35" t="n">
        <x:f>J529*K529</x:f>
        <x:v>514.8000000000001</x:v>
      </x:c>
      <x:c r="M529" s="36" t="n">
        <x:v>0</x:v>
      </x:c>
      <x:c r="N529" s="35" t="n">
        <x:f>L529*M529</x:f>
        <x:v>0</x:v>
      </x:c>
      <x:c r="O529" s="37" t="n">
        <x:v>0</x:v>
      </x:c>
      <x:c r="P529" s="35" t="n">
        <x:f>L529*O529</x:f>
        <x:v>0</x:v>
      </x:c>
      <x:c r="Q529" s="35" t="n">
        <x:v>0</x:v>
      </x:c>
      <x:c r="R529" s="35" t="n">
        <x:f>K529*Q529</x:f>
        <x:v>0</x:v>
      </x:c>
      <x:c r="S529" s="35" t="n">
        <x:f>XLOOKUP(H529,'菜品主数据'!$A$5:$A$24,'菜品主数据'!$G$5:$G$24,0)</x:f>
        <x:v>5.367000000000001</x:v>
      </x:c>
      <x:c r="T529" s="35" t="n">
        <x:f>K529*S529</x:f>
        <x:v>279.08400000000006</x:v>
      </x:c>
      <x:c r="U529" s="35" t="n">
        <x:f>L529-N529-P529-R529-T529</x:f>
        <x:v>235.716</x:v>
      </x:c>
      <x:c r="V529" s="21" t="n">
        <x:f>IFERROR(U529/L529,0)</x:f>
        <x:v>0.45787878787878783</x:v>
      </x:c>
    </x:row>
    <x:row r="530">
      <x:c r="A530" s="19" t="str">
        <x:v>SALE-00526</x:v>
      </x:c>
      <x:c r="B530" s="34" t="n">
        <x:v>46216.5</x:v>
      </x:c>
      <x:c r="C530" s="19" t="str">
        <x:v>周一</x:v>
      </x:c>
      <x:c r="D530" s="19" t="str">
        <x:v>S02</x:v>
      </x:c>
      <x:c r="E530" s="19" t="str">
        <x:v>尊宝大厦店</x:v>
      </x:c>
      <x:c r="F530" s="19" t="str">
        <x:v>堂食</x:v>
      </x:c>
      <x:c r="G530" s="19" t="str">
        <x:v>全日</x:v>
      </x:c>
      <x:c r="H530" s="19" t="str">
        <x:v>D06</x:v>
      </x:c>
      <x:c r="I530" s="19" t="str">
        <x:v>剁椒鱼头</x:v>
      </x:c>
      <x:c r="J530" s="22" t="n">
        <x:f>XLOOKUP(H530,'菜品主数据'!$A$5:$A$24,'菜品主数据'!$D$5:$D$24,0)</x:f>
        <x:v>39</x:v>
      </x:c>
      <x:c r="K530" s="31" t="n">
        <x:v>13</x:v>
      </x:c>
      <x:c r="L530" s="35" t="n">
        <x:f>J530*K530</x:f>
        <x:v>507</x:v>
      </x:c>
      <x:c r="M530" s="36" t="n">
        <x:v>0</x:v>
      </x:c>
      <x:c r="N530" s="35" t="n">
        <x:f>L530*M530</x:f>
        <x:v>0</x:v>
      </x:c>
      <x:c r="O530" s="37" t="n">
        <x:v>0</x:v>
      </x:c>
      <x:c r="P530" s="35" t="n">
        <x:f>L530*O530</x:f>
        <x:v>0</x:v>
      </x:c>
      <x:c r="Q530" s="35" t="n">
        <x:v>0</x:v>
      </x:c>
      <x:c r="R530" s="35" t="n">
        <x:f>K530*Q530</x:f>
        <x:v>0</x:v>
      </x:c>
      <x:c r="S530" s="35" t="n">
        <x:f>XLOOKUP(H530,'菜品主数据'!$A$5:$A$24,'菜品主数据'!$G$5:$G$24,0)</x:f>
        <x:v>17.446</x:v>
      </x:c>
      <x:c r="T530" s="35" t="n">
        <x:f>K530*S530</x:f>
        <x:v>226.79800000000003</x:v>
      </x:c>
      <x:c r="U530" s="35" t="n">
        <x:f>L530-N530-P530-R530-T530</x:f>
        <x:v>280.202</x:v>
      </x:c>
      <x:c r="V530" s="21" t="n">
        <x:f>IFERROR(U530/L530,0)</x:f>
        <x:v>0.5526666666666666</x:v>
      </x:c>
    </x:row>
    <x:row r="531">
      <x:c r="A531" s="19" t="str">
        <x:v>SALE-00527</x:v>
      </x:c>
      <x:c r="B531" s="34" t="n">
        <x:v>46216.5</x:v>
      </x:c>
      <x:c r="C531" s="19" t="str">
        <x:v>周一</x:v>
      </x:c>
      <x:c r="D531" s="19" t="str">
        <x:v>S02</x:v>
      </x:c>
      <x:c r="E531" s="19" t="str">
        <x:v>尊宝大厦店</x:v>
      </x:c>
      <x:c r="F531" s="19" t="str">
        <x:v>堂食</x:v>
      </x:c>
      <x:c r="G531" s="19" t="str">
        <x:v>全日</x:v>
      </x:c>
      <x:c r="H531" s="19" t="str">
        <x:v>D07</x:v>
      </x:c>
      <x:c r="I531" s="19" t="str">
        <x:v>川味回锅肉</x:v>
      </x:c>
      <x:c r="J531" s="22" t="n">
        <x:f>XLOOKUP(H531,'菜品主数据'!$A$5:$A$24,'菜品主数据'!$D$5:$D$24,0)</x:f>
        <x:v>29</x:v>
      </x:c>
      <x:c r="K531" s="31" t="n">
        <x:v>17</x:v>
      </x:c>
      <x:c r="L531" s="35" t="n">
        <x:f>J531*K531</x:f>
        <x:v>493</x:v>
      </x:c>
      <x:c r="M531" s="36" t="n">
        <x:v>0</x:v>
      </x:c>
      <x:c r="N531" s="35" t="n">
        <x:f>L531*M531</x:f>
        <x:v>0</x:v>
      </x:c>
      <x:c r="O531" s="37" t="n">
        <x:v>0</x:v>
      </x:c>
      <x:c r="P531" s="35" t="n">
        <x:f>L531*O531</x:f>
        <x:v>0</x:v>
      </x:c>
      <x:c r="Q531" s="35" t="n">
        <x:v>0</x:v>
      </x:c>
      <x:c r="R531" s="35" t="n">
        <x:f>K531*Q531</x:f>
        <x:v>0</x:v>
      </x:c>
      <x:c r="S531" s="35" t="n">
        <x:f>XLOOKUP(H531,'菜品主数据'!$A$5:$A$24,'菜品主数据'!$G$5:$G$24,0)</x:f>
        <x:v>10.231000000000002</x:v>
      </x:c>
      <x:c r="T531" s="35" t="n">
        <x:f>K531*S531</x:f>
        <x:v>173.92700000000002</x:v>
      </x:c>
      <x:c r="U531" s="35" t="n">
        <x:f>L531-N531-P531-R531-T531</x:f>
        <x:v>319.073</x:v>
      </x:c>
      <x:c r="V531" s="21" t="n">
        <x:f>IFERROR(U531/L531,0)</x:f>
        <x:v>0.6472068965517241</x:v>
      </x:c>
    </x:row>
    <x:row r="532">
      <x:c r="A532" s="19" t="str">
        <x:v>SALE-00528</x:v>
      </x:c>
      <x:c r="B532" s="34" t="n">
        <x:v>46216.5</x:v>
      </x:c>
      <x:c r="C532" s="19" t="str">
        <x:v>周一</x:v>
      </x:c>
      <x:c r="D532" s="19" t="str">
        <x:v>S02</x:v>
      </x:c>
      <x:c r="E532" s="19" t="str">
        <x:v>尊宝大厦店</x:v>
      </x:c>
      <x:c r="F532" s="19" t="str">
        <x:v>堂食</x:v>
      </x:c>
      <x:c r="G532" s="19" t="str">
        <x:v>全日</x:v>
      </x:c>
      <x:c r="H532" s="19" t="str">
        <x:v>D08</x:v>
      </x:c>
      <x:c r="I532" s="19" t="str">
        <x:v>生炒清远鸡</x:v>
      </x:c>
      <x:c r="J532" s="22" t="n">
        <x:f>XLOOKUP(H532,'菜品主数据'!$A$5:$A$24,'菜品主数据'!$D$5:$D$24,0)</x:f>
        <x:v>36</x:v>
      </x:c>
      <x:c r="K532" s="31" t="n">
        <x:v>12</x:v>
      </x:c>
      <x:c r="L532" s="35" t="n">
        <x:f>J532*K532</x:f>
        <x:v>432</x:v>
      </x:c>
      <x:c r="M532" s="36" t="n">
        <x:v>0</x:v>
      </x:c>
      <x:c r="N532" s="35" t="n">
        <x:f>L532*M532</x:f>
        <x:v>0</x:v>
      </x:c>
      <x:c r="O532" s="37" t="n">
        <x:v>0</x:v>
      </x:c>
      <x:c r="P532" s="35" t="n">
        <x:f>L532*O532</x:f>
        <x:v>0</x:v>
      </x:c>
      <x:c r="Q532" s="35" t="n">
        <x:v>0</x:v>
      </x:c>
      <x:c r="R532" s="35" t="n">
        <x:f>K532*Q532</x:f>
        <x:v>0</x:v>
      </x:c>
      <x:c r="S532" s="35" t="n">
        <x:f>XLOOKUP(H532,'菜品主数据'!$A$5:$A$24,'菜品主数据'!$G$5:$G$24,0)</x:f>
        <x:v>13.48</x:v>
      </x:c>
      <x:c r="T532" s="35" t="n">
        <x:f>K532*S532</x:f>
        <x:v>161.76</x:v>
      </x:c>
      <x:c r="U532" s="35" t="n">
        <x:f>L532-N532-P532-R532-T532</x:f>
        <x:v>270.24</x:v>
      </x:c>
      <x:c r="V532" s="21" t="n">
        <x:f>IFERROR(U532/L532,0)</x:f>
        <x:v>0.6255555555555555</x:v>
      </x:c>
    </x:row>
    <x:row r="533">
      <x:c r="A533" s="19" t="str">
        <x:v>SALE-00529</x:v>
      </x:c>
      <x:c r="B533" s="34" t="n">
        <x:v>46216.5</x:v>
      </x:c>
      <x:c r="C533" s="19" t="str">
        <x:v>周一</x:v>
      </x:c>
      <x:c r="D533" s="19" t="str">
        <x:v>S02</x:v>
      </x:c>
      <x:c r="E533" s="19" t="str">
        <x:v>尊宝大厦店</x:v>
      </x:c>
      <x:c r="F533" s="19" t="str">
        <x:v>堂食</x:v>
      </x:c>
      <x:c r="G533" s="19" t="str">
        <x:v>全日</x:v>
      </x:c>
      <x:c r="H533" s="19" t="str">
        <x:v>D09</x:v>
      </x:c>
      <x:c r="I533" s="19" t="str">
        <x:v>炒豆干</x:v>
      </x:c>
      <x:c r="J533" s="22" t="n">
        <x:f>XLOOKUP(H533,'菜品主数据'!$A$5:$A$24,'菜品主数据'!$D$5:$D$24,0)</x:f>
        <x:v>18</x:v>
      </x:c>
      <x:c r="K533" s="31" t="n">
        <x:v>19</x:v>
      </x:c>
      <x:c r="L533" s="35" t="n">
        <x:f>J533*K533</x:f>
        <x:v>342</x:v>
      </x:c>
      <x:c r="M533" s="36" t="n">
        <x:v>0</x:v>
      </x:c>
      <x:c r="N533" s="35" t="n">
        <x:f>L533*M533</x:f>
        <x:v>0</x:v>
      </x:c>
      <x:c r="O533" s="37" t="n">
        <x:v>0</x:v>
      </x:c>
      <x:c r="P533" s="35" t="n">
        <x:f>L533*O533</x:f>
        <x:v>0</x:v>
      </x:c>
      <x:c r="Q533" s="35" t="n">
        <x:v>0</x:v>
      </x:c>
      <x:c r="R533" s="35" t="n">
        <x:f>K533*Q533</x:f>
        <x:v>0</x:v>
      </x:c>
      <x:c r="S533" s="35" t="n">
        <x:f>XLOOKUP(H533,'菜品主数据'!$A$5:$A$24,'菜品主数据'!$G$5:$G$24,0)</x:f>
        <x:v>6.613999999999999</x:v>
      </x:c>
      <x:c r="T533" s="35" t="n">
        <x:f>K533*S533</x:f>
        <x:v>125.66599999999998</x:v>
      </x:c>
      <x:c r="U533" s="35" t="n">
        <x:f>L533-N533-P533-R533-T533</x:f>
        <x:v>216.334</x:v>
      </x:c>
      <x:c r="V533" s="21" t="n">
        <x:f>IFERROR(U533/L533,0)</x:f>
        <x:v>0.6325555555555555</x:v>
      </x:c>
    </x:row>
    <x:row r="534">
      <x:c r="A534" s="19" t="str">
        <x:v>SALE-00530</x:v>
      </x:c>
      <x:c r="B534" s="34" t="n">
        <x:v>46216.5</x:v>
      </x:c>
      <x:c r="C534" s="19" t="str">
        <x:v>周一</x:v>
      </x:c>
      <x:c r="D534" s="19" t="str">
        <x:v>S02</x:v>
      </x:c>
      <x:c r="E534" s="19" t="str">
        <x:v>尊宝大厦店</x:v>
      </x:c>
      <x:c r="F534" s="19" t="str">
        <x:v>堂食</x:v>
      </x:c>
      <x:c r="G534" s="19" t="str">
        <x:v>全日</x:v>
      </x:c>
      <x:c r="H534" s="19" t="str">
        <x:v>D10</x:v>
      </x:c>
      <x:c r="I534" s="19" t="str">
        <x:v>农家一碗香</x:v>
      </x:c>
      <x:c r="J534" s="22" t="n">
        <x:f>XLOOKUP(H534,'菜品主数据'!$A$5:$A$24,'菜品主数据'!$D$5:$D$24,0)</x:f>
        <x:v>22.9</x:v>
      </x:c>
      <x:c r="K534" s="31" t="n">
        <x:v>21</x:v>
      </x:c>
      <x:c r="L534" s="35" t="n">
        <x:f>J534*K534</x:f>
        <x:v>480.9</x:v>
      </x:c>
      <x:c r="M534" s="36" t="n">
        <x:v>0</x:v>
      </x:c>
      <x:c r="N534" s="35" t="n">
        <x:f>L534*M534</x:f>
        <x:v>0</x:v>
      </x:c>
      <x:c r="O534" s="37" t="n">
        <x:v>0</x:v>
      </x:c>
      <x:c r="P534" s="35" t="n">
        <x:f>L534*O534</x:f>
        <x:v>0</x:v>
      </x:c>
      <x:c r="Q534" s="35" t="n">
        <x:v>0</x:v>
      </x:c>
      <x:c r="R534" s="35" t="n">
        <x:f>K534*Q534</x:f>
        <x:v>0</x:v>
      </x:c>
      <x:c r="S534" s="35" t="n">
        <x:f>XLOOKUP(H534,'菜品主数据'!$A$5:$A$24,'菜品主数据'!$G$5:$G$24,0)</x:f>
        <x:v>9.770200000000003</x:v>
      </x:c>
      <x:c r="T534" s="35" t="n">
        <x:f>K534*S534</x:f>
        <x:v>205.17420000000004</x:v>
      </x:c>
      <x:c r="U534" s="35" t="n">
        <x:f>L534-N534-P534-R534-T534</x:f>
        <x:v>275.72579999999994</x:v>
      </x:c>
      <x:c r="V534" s="21" t="n">
        <x:f>IFERROR(U534/L534,0)</x:f>
        <x:v>0.573353711790393</x:v>
      </x:c>
    </x:row>
    <x:row r="535">
      <x:c r="A535" s="19" t="str">
        <x:v>SALE-00531</x:v>
      </x:c>
      <x:c r="B535" s="34" t="n">
        <x:v>46216.5</x:v>
      </x:c>
      <x:c r="C535" s="19" t="str">
        <x:v>周一</x:v>
      </x:c>
      <x:c r="D535" s="19" t="str">
        <x:v>S02</x:v>
      </x:c>
      <x:c r="E535" s="19" t="str">
        <x:v>尊宝大厦店</x:v>
      </x:c>
      <x:c r="F535" s="19" t="str">
        <x:v>堂食</x:v>
      </x:c>
      <x:c r="G535" s="19" t="str">
        <x:v>全日</x:v>
      </x:c>
      <x:c r="H535" s="19" t="str">
        <x:v>D11</x:v>
      </x:c>
      <x:c r="I535" s="19" t="str">
        <x:v>香辣爆肥肠</x:v>
      </x:c>
      <x:c r="J535" s="22" t="n">
        <x:f>XLOOKUP(H535,'菜品主数据'!$A$5:$A$24,'菜品主数据'!$D$5:$D$24,0)</x:f>
        <x:v>39</x:v>
      </x:c>
      <x:c r="K535" s="31" t="n">
        <x:v>8</x:v>
      </x:c>
      <x:c r="L535" s="35" t="n">
        <x:f>J535*K535</x:f>
        <x:v>312</x:v>
      </x:c>
      <x:c r="M535" s="36" t="n">
        <x:v>0</x:v>
      </x:c>
      <x:c r="N535" s="35" t="n">
        <x:f>L535*M535</x:f>
        <x:v>0</x:v>
      </x:c>
      <x:c r="O535" s="37" t="n">
        <x:v>0</x:v>
      </x:c>
      <x:c r="P535" s="35" t="n">
        <x:f>L535*O535</x:f>
        <x:v>0</x:v>
      </x:c>
      <x:c r="Q535" s="35" t="n">
        <x:v>0</x:v>
      </x:c>
      <x:c r="R535" s="35" t="n">
        <x:f>K535*Q535</x:f>
        <x:v>0</x:v>
      </x:c>
      <x:c r="S535" s="35" t="n">
        <x:f>XLOOKUP(H535,'菜品主数据'!$A$5:$A$24,'菜品主数据'!$G$5:$G$24,0)</x:f>
        <x:v>10.397</x:v>
      </x:c>
      <x:c r="T535" s="35" t="n">
        <x:f>K535*S535</x:f>
        <x:v>83.176</x:v>
      </x:c>
      <x:c r="U535" s="35" t="n">
        <x:f>L535-N535-P535-R535-T535</x:f>
        <x:v>228.824</x:v>
      </x:c>
      <x:c r="V535" s="21" t="n">
        <x:f>IFERROR(U535/L535,0)</x:f>
        <x:v>0.7334102564102565</x:v>
      </x:c>
    </x:row>
    <x:row r="536">
      <x:c r="A536" s="19" t="str">
        <x:v>SALE-00532</x:v>
      </x:c>
      <x:c r="B536" s="34" t="n">
        <x:v>46216.5</x:v>
      </x:c>
      <x:c r="C536" s="19" t="str">
        <x:v>周一</x:v>
      </x:c>
      <x:c r="D536" s="19" t="str">
        <x:v>S02</x:v>
      </x:c>
      <x:c r="E536" s="19" t="str">
        <x:v>尊宝大厦店</x:v>
      </x:c>
      <x:c r="F536" s="19" t="str">
        <x:v>堂食</x:v>
      </x:c>
      <x:c r="G536" s="19" t="str">
        <x:v>全日</x:v>
      </x:c>
      <x:c r="H536" s="19" t="str">
        <x:v>D12</x:v>
      </x:c>
      <x:c r="I536" s="19" t="str">
        <x:v>清蒸鲈鱼</x:v>
      </x:c>
      <x:c r="J536" s="22" t="n">
        <x:f>XLOOKUP(H536,'菜品主数据'!$A$5:$A$24,'菜品主数据'!$D$5:$D$24,0)</x:f>
        <x:v>39</x:v>
      </x:c>
      <x:c r="K536" s="31" t="n">
        <x:v>8</x:v>
      </x:c>
      <x:c r="L536" s="35" t="n">
        <x:f>J536*K536</x:f>
        <x:v>312</x:v>
      </x:c>
      <x:c r="M536" s="36" t="n">
        <x:v>0</x:v>
      </x:c>
      <x:c r="N536" s="35" t="n">
        <x:f>L536*M536</x:f>
        <x:v>0</x:v>
      </x:c>
      <x:c r="O536" s="37" t="n">
        <x:v>0</x:v>
      </x:c>
      <x:c r="P536" s="35" t="n">
        <x:f>L536*O536</x:f>
        <x:v>0</x:v>
      </x:c>
      <x:c r="Q536" s="35" t="n">
        <x:v>0</x:v>
      </x:c>
      <x:c r="R536" s="35" t="n">
        <x:f>K536*Q536</x:f>
        <x:v>0</x:v>
      </x:c>
      <x:c r="S536" s="35" t="n">
        <x:f>XLOOKUP(H536,'菜品主数据'!$A$5:$A$24,'菜品主数据'!$G$5:$G$24,0)</x:f>
        <x:v>18.874</x:v>
      </x:c>
      <x:c r="T536" s="35" t="n">
        <x:f>K536*S536</x:f>
        <x:v>150.992</x:v>
      </x:c>
      <x:c r="U536" s="35" t="n">
        <x:f>L536-N536-P536-R536-T536</x:f>
        <x:v>161.008</x:v>
      </x:c>
      <x:c r="V536" s="21" t="n">
        <x:f>IFERROR(U536/L536,0)</x:f>
        <x:v>0.516051282051282</x:v>
      </x:c>
    </x:row>
    <x:row r="537">
      <x:c r="A537" s="19" t="str">
        <x:v>SALE-00533</x:v>
      </x:c>
      <x:c r="B537" s="34" t="n">
        <x:v>46216.5</x:v>
      </x:c>
      <x:c r="C537" s="19" t="str">
        <x:v>周一</x:v>
      </x:c>
      <x:c r="D537" s="19" t="str">
        <x:v>S02</x:v>
      </x:c>
      <x:c r="E537" s="19" t="str">
        <x:v>尊宝大厦店</x:v>
      </x:c>
      <x:c r="F537" s="19" t="str">
        <x:v>堂食</x:v>
      </x:c>
      <x:c r="G537" s="19" t="str">
        <x:v>全日</x:v>
      </x:c>
      <x:c r="H537" s="19" t="str">
        <x:v>D13</x:v>
      </x:c>
      <x:c r="I537" s="19" t="str">
        <x:v>外婆菜炒蛋</x:v>
      </x:c>
      <x:c r="J537" s="22" t="n">
        <x:f>XLOOKUP(H537,'菜品主数据'!$A$5:$A$24,'菜品主数据'!$D$5:$D$24,0)</x:f>
        <x:v>18</x:v>
      </x:c>
      <x:c r="K537" s="31" t="n">
        <x:v>17</x:v>
      </x:c>
      <x:c r="L537" s="35" t="n">
        <x:f>J537*K537</x:f>
        <x:v>306</x:v>
      </x:c>
      <x:c r="M537" s="36" t="n">
        <x:v>0</x:v>
      </x:c>
      <x:c r="N537" s="35" t="n">
        <x:f>L537*M537</x:f>
        <x:v>0</x:v>
      </x:c>
      <x:c r="O537" s="37" t="n">
        <x:v>0</x:v>
      </x:c>
      <x:c r="P537" s="35" t="n">
        <x:f>L537*O537</x:f>
        <x:v>0</x:v>
      </x:c>
      <x:c r="Q537" s="35" t="n">
        <x:v>0</x:v>
      </x:c>
      <x:c r="R537" s="35" t="n">
        <x:f>K537*Q537</x:f>
        <x:v>0</x:v>
      </x:c>
      <x:c r="S537" s="35" t="n">
        <x:f>XLOOKUP(H537,'菜品主数据'!$A$5:$A$24,'菜品主数据'!$G$5:$G$24,0)</x:f>
        <x:v>5.403999999999999</x:v>
      </x:c>
      <x:c r="T537" s="35" t="n">
        <x:f>K537*S537</x:f>
        <x:v>91.86799999999998</x:v>
      </x:c>
      <x:c r="U537" s="35" t="n">
        <x:f>L537-N537-P537-R537-T537</x:f>
        <x:v>214.132</x:v>
      </x:c>
      <x:c r="V537" s="21" t="n">
        <x:f>IFERROR(U537/L537,0)</x:f>
        <x:v>0.6997777777777778</x:v>
      </x:c>
    </x:row>
    <x:row r="538">
      <x:c r="A538" s="19" t="str">
        <x:v>SALE-00534</x:v>
      </x:c>
      <x:c r="B538" s="34" t="n">
        <x:v>46216.5</x:v>
      </x:c>
      <x:c r="C538" s="19" t="str">
        <x:v>周一</x:v>
      </x:c>
      <x:c r="D538" s="19" t="str">
        <x:v>S02</x:v>
      </x:c>
      <x:c r="E538" s="19" t="str">
        <x:v>尊宝大厦店</x:v>
      </x:c>
      <x:c r="F538" s="19" t="str">
        <x:v>堂食</x:v>
      </x:c>
      <x:c r="G538" s="19" t="str">
        <x:v>全日</x:v>
      </x:c>
      <x:c r="H538" s="19" t="str">
        <x:v>D14</x:v>
      </x:c>
      <x:c r="I538" s="19" t="str">
        <x:v>酸辣鸡杂</x:v>
      </x:c>
      <x:c r="J538" s="22" t="n">
        <x:f>XLOOKUP(H538,'菜品主数据'!$A$5:$A$24,'菜品主数据'!$D$5:$D$24,0)</x:f>
        <x:v>28</x:v>
      </x:c>
      <x:c r="K538" s="31" t="n">
        <x:v>9</x:v>
      </x:c>
      <x:c r="L538" s="35" t="n">
        <x:f>J538*K538</x:f>
        <x:v>252</x:v>
      </x:c>
      <x:c r="M538" s="36" t="n">
        <x:v>0</x:v>
      </x:c>
      <x:c r="N538" s="35" t="n">
        <x:f>L538*M538</x:f>
        <x:v>0</x:v>
      </x:c>
      <x:c r="O538" s="37" t="n">
        <x:v>0</x:v>
      </x:c>
      <x:c r="P538" s="35" t="n">
        <x:f>L538*O538</x:f>
        <x:v>0</x:v>
      </x:c>
      <x:c r="Q538" s="35" t="n">
        <x:v>0</x:v>
      </x:c>
      <x:c r="R538" s="35" t="n">
        <x:f>K538*Q538</x:f>
        <x:v>0</x:v>
      </x:c>
      <x:c r="S538" s="35" t="n">
        <x:f>XLOOKUP(H538,'菜品主数据'!$A$5:$A$24,'菜品主数据'!$G$5:$G$24,0)</x:f>
        <x:v>8.315000000000001</x:v>
      </x:c>
      <x:c r="T538" s="35" t="n">
        <x:f>K538*S538</x:f>
        <x:v>74.83500000000001</x:v>
      </x:c>
      <x:c r="U538" s="35" t="n">
        <x:f>L538-N538-P538-R538-T538</x:f>
        <x:v>177.165</x:v>
      </x:c>
      <x:c r="V538" s="21" t="n">
        <x:f>IFERROR(U538/L538,0)</x:f>
        <x:v>0.7030357142857142</x:v>
      </x:c>
    </x:row>
    <x:row r="539">
      <x:c r="A539" s="19" t="str">
        <x:v>SALE-00535</x:v>
      </x:c>
      <x:c r="B539" s="34" t="n">
        <x:v>46216.5</x:v>
      </x:c>
      <x:c r="C539" s="19" t="str">
        <x:v>周一</x:v>
      </x:c>
      <x:c r="D539" s="19" t="str">
        <x:v>S02</x:v>
      </x:c>
      <x:c r="E539" s="19" t="str">
        <x:v>尊宝大厦店</x:v>
      </x:c>
      <x:c r="F539" s="19" t="str">
        <x:v>堂食</x:v>
      </x:c>
      <x:c r="G539" s="19" t="str">
        <x:v>全日</x:v>
      </x:c>
      <x:c r="H539" s="19" t="str">
        <x:v>D15</x:v>
      </x:c>
      <x:c r="I539" s="19" t="str">
        <x:v>湘西土匪猪肝</x:v>
      </x:c>
      <x:c r="J539" s="22" t="n">
        <x:f>XLOOKUP(H539,'菜品主数据'!$A$5:$A$24,'菜品主数据'!$D$5:$D$24,0)</x:f>
        <x:v>26</x:v>
      </x:c>
      <x:c r="K539" s="31" t="n">
        <x:v>8</x:v>
      </x:c>
      <x:c r="L539" s="35" t="n">
        <x:f>J539*K539</x:f>
        <x:v>208</x:v>
      </x:c>
      <x:c r="M539" s="36" t="n">
        <x:v>0</x:v>
      </x:c>
      <x:c r="N539" s="35" t="n">
        <x:f>L539*M539</x:f>
        <x:v>0</x:v>
      </x:c>
      <x:c r="O539" s="37" t="n">
        <x:v>0</x:v>
      </x:c>
      <x:c r="P539" s="35" t="n">
        <x:f>L539*O539</x:f>
        <x:v>0</x:v>
      </x:c>
      <x:c r="Q539" s="35" t="n">
        <x:v>0</x:v>
      </x:c>
      <x:c r="R539" s="35" t="n">
        <x:f>K539*Q539</x:f>
        <x:v>0</x:v>
      </x:c>
      <x:c r="S539" s="35" t="n">
        <x:f>XLOOKUP(H539,'菜品主数据'!$A$5:$A$24,'菜品主数据'!$G$5:$G$24,0)</x:f>
        <x:v>6.3759999999999994</x:v>
      </x:c>
      <x:c r="T539" s="35" t="n">
        <x:f>K539*S539</x:f>
        <x:v>51.007999999999996</x:v>
      </x:c>
      <x:c r="U539" s="35" t="n">
        <x:f>L539-N539-P539-R539-T539</x:f>
        <x:v>156.99200000000002</x:v>
      </x:c>
      <x:c r="V539" s="21" t="n">
        <x:f>IFERROR(U539/L539,0)</x:f>
        <x:v>0.7547692307692309</x:v>
      </x:c>
    </x:row>
    <x:row r="540">
      <x:c r="A540" s="19" t="str">
        <x:v>SALE-00536</x:v>
      </x:c>
      <x:c r="B540" s="34" t="n">
        <x:v>46216.5</x:v>
      </x:c>
      <x:c r="C540" s="19" t="str">
        <x:v>周一</x:v>
      </x:c>
      <x:c r="D540" s="19" t="str">
        <x:v>S02</x:v>
      </x:c>
      <x:c r="E540" s="19" t="str">
        <x:v>尊宝大厦店</x:v>
      </x:c>
      <x:c r="F540" s="19" t="str">
        <x:v>堂食</x:v>
      </x:c>
      <x:c r="G540" s="19" t="str">
        <x:v>全日</x:v>
      </x:c>
      <x:c r="H540" s="19" t="str">
        <x:v>D16</x:v>
      </x:c>
      <x:c r="I540" s="19" t="str">
        <x:v>小豆角炒五花</x:v>
      </x:c>
      <x:c r="J540" s="22" t="n">
        <x:f>XLOOKUP(H540,'菜品主数据'!$A$5:$A$24,'菜品主数据'!$D$5:$D$24,0)</x:f>
        <x:v>25</x:v>
      </x:c>
      <x:c r="K540" s="31" t="n">
        <x:v>8</x:v>
      </x:c>
      <x:c r="L540" s="35" t="n">
        <x:f>J540*K540</x:f>
        <x:v>200</x:v>
      </x:c>
      <x:c r="M540" s="36" t="n">
        <x:v>0</x:v>
      </x:c>
      <x:c r="N540" s="35" t="n">
        <x:f>L540*M540</x:f>
        <x:v>0</x:v>
      </x:c>
      <x:c r="O540" s="37" t="n">
        <x:v>0</x:v>
      </x:c>
      <x:c r="P540" s="35" t="n">
        <x:f>L540*O540</x:f>
        <x:v>0</x:v>
      </x:c>
      <x:c r="Q540" s="35" t="n">
        <x:v>0</x:v>
      </x:c>
      <x:c r="R540" s="35" t="n">
        <x:f>K540*Q540</x:f>
        <x:v>0</x:v>
      </x:c>
      <x:c r="S540" s="35" t="n">
        <x:f>XLOOKUP(H540,'菜品主数据'!$A$5:$A$24,'菜品主数据'!$G$5:$G$24,0)</x:f>
        <x:v>8.184</x:v>
      </x:c>
      <x:c r="T540" s="35" t="n">
        <x:f>K540*S540</x:f>
        <x:v>65.472</x:v>
      </x:c>
      <x:c r="U540" s="35" t="n">
        <x:f>L540-N540-P540-R540-T540</x:f>
        <x:v>134.52800000000002</x:v>
      </x:c>
      <x:c r="V540" s="21" t="n">
        <x:f>IFERROR(U540/L540,0)</x:f>
        <x:v>0.6726400000000001</x:v>
      </x:c>
    </x:row>
    <x:row r="541">
      <x:c r="A541" s="19" t="str">
        <x:v>SALE-00537</x:v>
      </x:c>
      <x:c r="B541" s="34" t="n">
        <x:v>46216.5</x:v>
      </x:c>
      <x:c r="C541" s="19" t="str">
        <x:v>周一</x:v>
      </x:c>
      <x:c r="D541" s="19" t="str">
        <x:v>S02</x:v>
      </x:c>
      <x:c r="E541" s="19" t="str">
        <x:v>尊宝大厦店</x:v>
      </x:c>
      <x:c r="F541" s="19" t="str">
        <x:v>堂食</x:v>
      </x:c>
      <x:c r="G541" s="19" t="str">
        <x:v>全日</x:v>
      </x:c>
      <x:c r="H541" s="19" t="str">
        <x:v>D17</x:v>
      </x:c>
      <x:c r="I541" s="19" t="str">
        <x:v>蒜蓉粉丝虾</x:v>
      </x:c>
      <x:c r="J541" s="22" t="n">
        <x:f>XLOOKUP(H541,'菜品主数据'!$A$5:$A$24,'菜品主数据'!$D$5:$D$24,0)</x:f>
        <x:v>36</x:v>
      </x:c>
      <x:c r="K541" s="31" t="n">
        <x:v>6</x:v>
      </x:c>
      <x:c r="L541" s="35" t="n">
        <x:f>J541*K541</x:f>
        <x:v>216</x:v>
      </x:c>
      <x:c r="M541" s="36" t="n">
        <x:v>0</x:v>
      </x:c>
      <x:c r="N541" s="35" t="n">
        <x:f>L541*M541</x:f>
        <x:v>0</x:v>
      </x:c>
      <x:c r="O541" s="37" t="n">
        <x:v>0</x:v>
      </x:c>
      <x:c r="P541" s="35" t="n">
        <x:f>L541*O541</x:f>
        <x:v>0</x:v>
      </x:c>
      <x:c r="Q541" s="35" t="n">
        <x:v>0</x:v>
      </x:c>
      <x:c r="R541" s="35" t="n">
        <x:f>K541*Q541</x:f>
        <x:v>0</x:v>
      </x:c>
      <x:c r="S541" s="35" t="n">
        <x:f>XLOOKUP(H541,'菜品主数据'!$A$5:$A$24,'菜品主数据'!$G$5:$G$24,0)</x:f>
        <x:v>13.594</x:v>
      </x:c>
      <x:c r="T541" s="35" t="n">
        <x:f>K541*S541</x:f>
        <x:v>81.564</x:v>
      </x:c>
      <x:c r="U541" s="35" t="n">
        <x:f>L541-N541-P541-R541-T541</x:f>
        <x:v>134.436</x:v>
      </x:c>
      <x:c r="V541" s="21" t="n">
        <x:f>IFERROR(U541/L541,0)</x:f>
        <x:v>0.6223888888888889</x:v>
      </x:c>
    </x:row>
    <x:row r="542">
      <x:c r="A542" s="19" t="str">
        <x:v>SALE-00538</x:v>
      </x:c>
      <x:c r="B542" s="34" t="n">
        <x:v>46216.5</x:v>
      </x:c>
      <x:c r="C542" s="19" t="str">
        <x:v>周一</x:v>
      </x:c>
      <x:c r="D542" s="19" t="str">
        <x:v>S02</x:v>
      </x:c>
      <x:c r="E542" s="19" t="str">
        <x:v>尊宝大厦店</x:v>
      </x:c>
      <x:c r="F542" s="19" t="str">
        <x:v>堂食</x:v>
      </x:c>
      <x:c r="G542" s="19" t="str">
        <x:v>全日</x:v>
      </x:c>
      <x:c r="H542" s="19" t="str">
        <x:v>D18</x:v>
      </x:c>
      <x:c r="I542" s="19" t="str">
        <x:v>青椒炒油麦菜</x:v>
      </x:c>
      <x:c r="J542" s="22" t="n">
        <x:f>XLOOKUP(H542,'菜品主数据'!$A$5:$A$24,'菜品主数据'!$D$5:$D$24,0)</x:f>
        <x:v>18</x:v>
      </x:c>
      <x:c r="K542" s="31" t="n">
        <x:v>10</x:v>
      </x:c>
      <x:c r="L542" s="35" t="n">
        <x:f>J542*K542</x:f>
        <x:v>180</x:v>
      </x:c>
      <x:c r="M542" s="36" t="n">
        <x:v>0</x:v>
      </x:c>
      <x:c r="N542" s="35" t="n">
        <x:f>L542*M542</x:f>
        <x:v>0</x:v>
      </x:c>
      <x:c r="O542" s="37" t="n">
        <x:v>0</x:v>
      </x:c>
      <x:c r="P542" s="35" t="n">
        <x:f>L542*O542</x:f>
        <x:v>0</x:v>
      </x:c>
      <x:c r="Q542" s="35" t="n">
        <x:v>0</x:v>
      </x:c>
      <x:c r="R542" s="35" t="n">
        <x:f>K542*Q542</x:f>
        <x:v>0</x:v>
      </x:c>
      <x:c r="S542" s="35" t="n">
        <x:f>XLOOKUP(H542,'菜品主数据'!$A$5:$A$24,'菜品主数据'!$G$5:$G$24,0)</x:f>
        <x:v>3.1759999999999993</x:v>
      </x:c>
      <x:c r="T542" s="35" t="n">
        <x:f>K542*S542</x:f>
        <x:v>31.75999999999999</x:v>
      </x:c>
      <x:c r="U542" s="35" t="n">
        <x:f>L542-N542-P542-R542-T542</x:f>
        <x:v>148.24</x:v>
      </x:c>
      <x:c r="V542" s="21" t="n">
        <x:f>IFERROR(U542/L542,0)</x:f>
        <x:v>0.8235555555555556</x:v>
      </x:c>
    </x:row>
    <x:row r="543">
      <x:c r="A543" s="19" t="str">
        <x:v>SALE-00539</x:v>
      </x:c>
      <x:c r="B543" s="34" t="n">
        <x:v>46216.5</x:v>
      </x:c>
      <x:c r="C543" s="19" t="str">
        <x:v>周一</x:v>
      </x:c>
      <x:c r="D543" s="19" t="str">
        <x:v>S02</x:v>
      </x:c>
      <x:c r="E543" s="19" t="str">
        <x:v>尊宝大厦店</x:v>
      </x:c>
      <x:c r="F543" s="19" t="str">
        <x:v>堂食</x:v>
      </x:c>
      <x:c r="G543" s="19" t="str">
        <x:v>全日</x:v>
      </x:c>
      <x:c r="H543" s="19" t="str">
        <x:v>D19</x:v>
      </x:c>
      <x:c r="I543" s="19" t="str">
        <x:v>酸萝卜炒鸡杂</x:v>
      </x:c>
      <x:c r="J543" s="22" t="n">
        <x:f>XLOOKUP(H543,'菜品主数据'!$A$5:$A$24,'菜品主数据'!$D$5:$D$24,0)</x:f>
        <x:v>25</x:v>
      </x:c>
      <x:c r="K543" s="31" t="n">
        <x:v>7</x:v>
      </x:c>
      <x:c r="L543" s="35" t="n">
        <x:f>J543*K543</x:f>
        <x:v>175</x:v>
      </x:c>
      <x:c r="M543" s="36" t="n">
        <x:v>0</x:v>
      </x:c>
      <x:c r="N543" s="35" t="n">
        <x:f>L543*M543</x:f>
        <x:v>0</x:v>
      </x:c>
      <x:c r="O543" s="37" t="n">
        <x:v>0</x:v>
      </x:c>
      <x:c r="P543" s="35" t="n">
        <x:f>L543*O543</x:f>
        <x:v>0</x:v>
      </x:c>
      <x:c r="Q543" s="35" t="n">
        <x:v>0</x:v>
      </x:c>
      <x:c r="R543" s="35" t="n">
        <x:f>K543*Q543</x:f>
        <x:v>0</x:v>
      </x:c>
      <x:c r="S543" s="35" t="n">
        <x:f>XLOOKUP(H543,'菜品主数据'!$A$5:$A$24,'菜品主数据'!$G$5:$G$24,0)</x:f>
        <x:v>7.9399999999999995</x:v>
      </x:c>
      <x:c r="T543" s="35" t="n">
        <x:f>K543*S543</x:f>
        <x:v>55.58</x:v>
      </x:c>
      <x:c r="U543" s="35" t="n">
        <x:f>L543-N543-P543-R543-T543</x:f>
        <x:v>119.42</x:v>
      </x:c>
      <x:c r="V543" s="21" t="n">
        <x:f>IFERROR(U543/L543,0)</x:f>
        <x:v>0.6824</x:v>
      </x:c>
    </x:row>
    <x:row r="544">
      <x:c r="A544" s="19" t="str">
        <x:v>SALE-00540</x:v>
      </x:c>
      <x:c r="B544" s="34" t="n">
        <x:v>46216.5</x:v>
      </x:c>
      <x:c r="C544" s="19" t="str">
        <x:v>周一</x:v>
      </x:c>
      <x:c r="D544" s="19" t="str">
        <x:v>S02</x:v>
      </x:c>
      <x:c r="E544" s="19" t="str">
        <x:v>尊宝大厦店</x:v>
      </x:c>
      <x:c r="F544" s="19" t="str">
        <x:v>堂食</x:v>
      </x:c>
      <x:c r="G544" s="19" t="str">
        <x:v>全日</x:v>
      </x:c>
      <x:c r="H544" s="19" t="str">
        <x:v>D20</x:v>
      </x:c>
      <x:c r="I544" s="19" t="str">
        <x:v>雪菜肉末青豆</x:v>
      </x:c>
      <x:c r="J544" s="22" t="n">
        <x:f>XLOOKUP(H544,'菜品主数据'!$A$5:$A$24,'菜品主数据'!$D$5:$D$24,0)</x:f>
        <x:v>18</x:v>
      </x:c>
      <x:c r="K544" s="31" t="n">
        <x:v>10</x:v>
      </x:c>
      <x:c r="L544" s="35" t="n">
        <x:f>J544*K544</x:f>
        <x:v>180</x:v>
      </x:c>
      <x:c r="M544" s="36" t="n">
        <x:v>0</x:v>
      </x:c>
      <x:c r="N544" s="35" t="n">
        <x:f>L544*M544</x:f>
        <x:v>0</x:v>
      </x:c>
      <x:c r="O544" s="37" t="n">
        <x:v>0</x:v>
      </x:c>
      <x:c r="P544" s="35" t="n">
        <x:f>L544*O544</x:f>
        <x:v>0</x:v>
      </x:c>
      <x:c r="Q544" s="35" t="n">
        <x:v>0</x:v>
      </x:c>
      <x:c r="R544" s="35" t="n">
        <x:f>K544*Q544</x:f>
        <x:v>0</x:v>
      </x:c>
      <x:c r="S544" s="35" t="n">
        <x:f>XLOOKUP(H544,'菜品主数据'!$A$5:$A$24,'菜品主数据'!$G$5:$G$24,0)</x:f>
        <x:v>7.303999999999999</x:v>
      </x:c>
      <x:c r="T544" s="35" t="n">
        <x:f>K544*S544</x:f>
        <x:v>73.03999999999999</x:v>
      </x:c>
      <x:c r="U544" s="35" t="n">
        <x:f>L544-N544-P544-R544-T544</x:f>
        <x:v>106.96000000000001</x:v>
      </x:c>
      <x:c r="V544" s="21" t="n">
        <x:f>IFERROR(U544/L544,0)</x:f>
        <x:v>0.5942222222222223</x:v>
      </x:c>
    </x:row>
    <x:row r="545">
      <x:c r="A545" s="19" t="str">
        <x:v>SALE-00541</x:v>
      </x:c>
      <x:c r="B545" s="34" t="n">
        <x:v>46216.5</x:v>
      </x:c>
      <x:c r="C545" s="19" t="str">
        <x:v>周一</x:v>
      </x:c>
      <x:c r="D545" s="19" t="str">
        <x:v>S02</x:v>
      </x:c>
      <x:c r="E545" s="19" t="str">
        <x:v>尊宝大厦店</x:v>
      </x:c>
      <x:c r="F545" s="19" t="str">
        <x:v>外卖</x:v>
      </x:c>
      <x:c r="G545" s="19" t="str">
        <x:v>全日</x:v>
      </x:c>
      <x:c r="H545" s="19" t="str">
        <x:v>D01</x:v>
      </x:c>
      <x:c r="I545" s="19" t="str">
        <x:v>辣椒炒肉</x:v>
      </x:c>
      <x:c r="J545" s="22" t="n">
        <x:f>XLOOKUP(H545,'菜品主数据'!$A$5:$A$24,'菜品主数据'!$D$5:$D$24,0)</x:f>
        <x:v>29</x:v>
      </x:c>
      <x:c r="K545" s="31" t="n">
        <x:v>6</x:v>
      </x:c>
      <x:c r="L545" s="35" t="n">
        <x:f>J545*K545</x:f>
        <x:v>174</x:v>
      </x:c>
      <x:c r="M545" s="36" t="n">
        <x:v>0.08</x:v>
      </x:c>
      <x:c r="N545" s="35" t="n">
        <x:f>L545*M545</x:f>
        <x:v>13.92</x:v>
      </x:c>
      <x:c r="O545" s="37" t="n">
        <x:v>0.18</x:v>
      </x:c>
      <x:c r="P545" s="35" t="n">
        <x:f>L545*O545</x:f>
        <x:v>31.32</x:v>
      </x:c>
      <x:c r="Q545" s="35" t="n">
        <x:v>1.2</x:v>
      </x:c>
      <x:c r="R545" s="35" t="n">
        <x:f>K545*Q545</x:f>
        <x:v>7.199999999999999</x:v>
      </x:c>
      <x:c r="S545" s="35" t="n">
        <x:f>XLOOKUP(H545,'菜品主数据'!$A$5:$A$24,'菜品主数据'!$G$5:$G$24,0)</x:f>
        <x:v>8.634400000000001</x:v>
      </x:c>
      <x:c r="T545" s="35" t="n">
        <x:f>K545*S545</x:f>
        <x:v>51.80640000000001</x:v>
      </x:c>
      <x:c r="U545" s="35" t="n">
        <x:f>L545-N545-P545-R545-T545</x:f>
        <x:v>69.7536</x:v>
      </x:c>
      <x:c r="V545" s="21" t="n">
        <x:f>IFERROR(U545/L545,0)</x:f>
        <x:v>0.40088275862068967</x:v>
      </x:c>
    </x:row>
    <x:row r="546">
      <x:c r="A546" s="19" t="str">
        <x:v>SALE-00542</x:v>
      </x:c>
      <x:c r="B546" s="34" t="n">
        <x:v>46216.5</x:v>
      </x:c>
      <x:c r="C546" s="19" t="str">
        <x:v>周一</x:v>
      </x:c>
      <x:c r="D546" s="19" t="str">
        <x:v>S02</x:v>
      </x:c>
      <x:c r="E546" s="19" t="str">
        <x:v>尊宝大厦店</x:v>
      </x:c>
      <x:c r="F546" s="19" t="str">
        <x:v>外卖</x:v>
      </x:c>
      <x:c r="G546" s="19" t="str">
        <x:v>全日</x:v>
      </x:c>
      <x:c r="H546" s="19" t="str">
        <x:v>D02</x:v>
      </x:c>
      <x:c r="I546" s="19" t="str">
        <x:v>小炒黄牛肉</x:v>
      </x:c>
      <x:c r="J546" s="22" t="n">
        <x:f>XLOOKUP(H546,'菜品主数据'!$A$5:$A$24,'菜品主数据'!$D$5:$D$24,0)</x:f>
        <x:v>49</x:v>
      </x:c>
      <x:c r="K546" s="31" t="n">
        <x:v>8</x:v>
      </x:c>
      <x:c r="L546" s="35" t="n">
        <x:f>J546*K546</x:f>
        <x:v>392</x:v>
      </x:c>
      <x:c r="M546" s="36" t="n">
        <x:v>0.08</x:v>
      </x:c>
      <x:c r="N546" s="35" t="n">
        <x:f>L546*M546</x:f>
        <x:v>31.36</x:v>
      </x:c>
      <x:c r="O546" s="37" t="n">
        <x:v>0.18</x:v>
      </x:c>
      <x:c r="P546" s="35" t="n">
        <x:f>L546*O546</x:f>
        <x:v>70.56</x:v>
      </x:c>
      <x:c r="Q546" s="35" t="n">
        <x:v>1.2</x:v>
      </x:c>
      <x:c r="R546" s="35" t="n">
        <x:f>K546*Q546</x:f>
        <x:v>9.6</x:v>
      </x:c>
      <x:c r="S546" s="35" t="n">
        <x:f>XLOOKUP(H546,'菜品主数据'!$A$5:$A$24,'菜品主数据'!$G$5:$G$24,0)</x:f>
        <x:v>17.577</x:v>
      </x:c>
      <x:c r="T546" s="35" t="n">
        <x:f>K546*S546</x:f>
        <x:v>140.616</x:v>
      </x:c>
      <x:c r="U546" s="35" t="n">
        <x:f>L546-N546-P546-R546-T546</x:f>
        <x:v>139.86399999999995</x:v>
      </x:c>
      <x:c r="V546" s="21" t="n">
        <x:f>IFERROR(U546/L546,0)</x:f>
        <x:v>0.3567959183673468</x:v>
      </x:c>
    </x:row>
    <x:row r="547">
      <x:c r="A547" s="19" t="str">
        <x:v>SALE-00543</x:v>
      </x:c>
      <x:c r="B547" s="34" t="n">
        <x:v>46216.5</x:v>
      </x:c>
      <x:c r="C547" s="19" t="str">
        <x:v>周一</x:v>
      </x:c>
      <x:c r="D547" s="19" t="str">
        <x:v>S02</x:v>
      </x:c>
      <x:c r="E547" s="19" t="str">
        <x:v>尊宝大厦店</x:v>
      </x:c>
      <x:c r="F547" s="19" t="str">
        <x:v>外卖</x:v>
      </x:c>
      <x:c r="G547" s="19" t="str">
        <x:v>全日</x:v>
      </x:c>
      <x:c r="H547" s="19" t="str">
        <x:v>D03</x:v>
      </x:c>
      <x:c r="I547" s="19" t="str">
        <x:v>香醋炒蛋</x:v>
      </x:c>
      <x:c r="J547" s="22" t="n">
        <x:f>XLOOKUP(H547,'菜品主数据'!$A$5:$A$24,'菜品主数据'!$D$5:$D$24,0)</x:f>
        <x:v>14.9</x:v>
      </x:c>
      <x:c r="K547" s="31" t="n">
        <x:v>4</x:v>
      </x:c>
      <x:c r="L547" s="35" t="n">
        <x:f>J547*K547</x:f>
        <x:v>59.6</x:v>
      </x:c>
      <x:c r="M547" s="36" t="n">
        <x:v>0.08</x:v>
      </x:c>
      <x:c r="N547" s="35" t="n">
        <x:f>L547*M547</x:f>
        <x:v>4.768</x:v>
      </x:c>
      <x:c r="O547" s="37" t="n">
        <x:v>0.18</x:v>
      </x:c>
      <x:c r="P547" s="35" t="n">
        <x:f>L547*O547</x:f>
        <x:v>10.728</x:v>
      </x:c>
      <x:c r="Q547" s="35" t="n">
        <x:v>1.2</x:v>
      </x:c>
      <x:c r="R547" s="35" t="n">
        <x:f>K547*Q547</x:f>
        <x:v>4.8</x:v>
      </x:c>
      <x:c r="S547" s="35" t="n">
        <x:f>XLOOKUP(H547,'菜品主数据'!$A$5:$A$24,'菜品主数据'!$G$5:$G$24,0)</x:f>
        <x:v>3.7459999999999996</x:v>
      </x:c>
      <x:c r="T547" s="35" t="n">
        <x:f>K547*S547</x:f>
        <x:v>14.983999999999998</x:v>
      </x:c>
      <x:c r="U547" s="35" t="n">
        <x:f>L547-N547-P547-R547-T547</x:f>
        <x:v>24.320000000000004</x:v>
      </x:c>
      <x:c r="V547" s="21" t="n">
        <x:f>IFERROR(U547/L547,0)</x:f>
        <x:v>0.40805369127516783</x:v>
      </x:c>
    </x:row>
    <x:row r="548">
      <x:c r="A548" s="19" t="str">
        <x:v>SALE-00544</x:v>
      </x:c>
      <x:c r="B548" s="34" t="n">
        <x:v>46216.5</x:v>
      </x:c>
      <x:c r="C548" s="19" t="str">
        <x:v>周一</x:v>
      </x:c>
      <x:c r="D548" s="19" t="str">
        <x:v>S02</x:v>
      </x:c>
      <x:c r="E548" s="19" t="str">
        <x:v>尊宝大厦店</x:v>
      </x:c>
      <x:c r="F548" s="19" t="str">
        <x:v>外卖</x:v>
      </x:c>
      <x:c r="G548" s="19" t="str">
        <x:v>全日</x:v>
      </x:c>
      <x:c r="H548" s="19" t="str">
        <x:v>D04</x:v>
      </x:c>
      <x:c r="I548" s="19" t="str">
        <x:v>酸包菜炒粉皮</x:v>
      </x:c>
      <x:c r="J548" s="22" t="n">
        <x:f>XLOOKUP(H548,'菜品主数据'!$A$5:$A$24,'菜品主数据'!$D$5:$D$24,0)</x:f>
        <x:v>16</x:v>
      </x:c>
      <x:c r="K548" s="31" t="n">
        <x:v>4</x:v>
      </x:c>
      <x:c r="L548" s="35" t="n">
        <x:f>J548*K548</x:f>
        <x:v>64</x:v>
      </x:c>
      <x:c r="M548" s="36" t="n">
        <x:v>0.08</x:v>
      </x:c>
      <x:c r="N548" s="35" t="n">
        <x:f>L548*M548</x:f>
        <x:v>5.12</x:v>
      </x:c>
      <x:c r="O548" s="37" t="n">
        <x:v>0.18</x:v>
      </x:c>
      <x:c r="P548" s="35" t="n">
        <x:f>L548*O548</x:f>
        <x:v>11.52</x:v>
      </x:c>
      <x:c r="Q548" s="35" t="n">
        <x:v>1.2</x:v>
      </x:c>
      <x:c r="R548" s="35" t="n">
        <x:f>K548*Q548</x:f>
        <x:v>4.8</x:v>
      </x:c>
      <x:c r="S548" s="35" t="n">
        <x:f>XLOOKUP(H548,'菜品主数据'!$A$5:$A$24,'菜品主数据'!$G$5:$G$24,0)</x:f>
        <x:v>3.978</x:v>
      </x:c>
      <x:c r="T548" s="35" t="n">
        <x:f>K548*S548</x:f>
        <x:v>15.912</x:v>
      </x:c>
      <x:c r="U548" s="35" t="n">
        <x:f>L548-N548-P548-R548-T548</x:f>
        <x:v>26.648000000000003</x:v>
      </x:c>
      <x:c r="V548" s="21" t="n">
        <x:f>IFERROR(U548/L548,0)</x:f>
        <x:v>0.41637500000000005</x:v>
      </x:c>
    </x:row>
    <x:row r="549">
      <x:c r="A549" s="19" t="str">
        <x:v>SALE-00545</x:v>
      </x:c>
      <x:c r="B549" s="34" t="n">
        <x:v>46216.5</x:v>
      </x:c>
      <x:c r="C549" s="19" t="str">
        <x:v>周一</x:v>
      </x:c>
      <x:c r="D549" s="19" t="str">
        <x:v>S02</x:v>
      </x:c>
      <x:c r="E549" s="19" t="str">
        <x:v>尊宝大厦店</x:v>
      </x:c>
      <x:c r="F549" s="19" t="str">
        <x:v>外卖</x:v>
      </x:c>
      <x:c r="G549" s="19" t="str">
        <x:v>全日</x:v>
      </x:c>
      <x:c r="H549" s="19" t="str">
        <x:v>D05</x:v>
      </x:c>
      <x:c r="I549" s="19" t="str">
        <x:v>麻婆豆腐</x:v>
      </x:c>
      <x:c r="J549" s="22" t="n">
        <x:f>XLOOKUP(H549,'菜品主数据'!$A$5:$A$24,'菜品主数据'!$D$5:$D$24,0)</x:f>
        <x:v>9.9</x:v>
      </x:c>
      <x:c r="K549" s="31" t="n">
        <x:v>5</x:v>
      </x:c>
      <x:c r="L549" s="35" t="n">
        <x:f>J549*K549</x:f>
        <x:v>49.5</x:v>
      </x:c>
      <x:c r="M549" s="36" t="n">
        <x:v>0.08</x:v>
      </x:c>
      <x:c r="N549" s="35" t="n">
        <x:f>L549*M549</x:f>
        <x:v>3.96</x:v>
      </x:c>
      <x:c r="O549" s="37" t="n">
        <x:v>0.18</x:v>
      </x:c>
      <x:c r="P549" s="35" t="n">
        <x:f>L549*O549</x:f>
        <x:v>8.91</x:v>
      </x:c>
      <x:c r="Q549" s="35" t="n">
        <x:v>1.2</x:v>
      </x:c>
      <x:c r="R549" s="35" t="n">
        <x:f>K549*Q549</x:f>
        <x:v>6</x:v>
      </x:c>
      <x:c r="S549" s="35" t="n">
        <x:f>XLOOKUP(H549,'菜品主数据'!$A$5:$A$24,'菜品主数据'!$G$5:$G$24,0)</x:f>
        <x:v>5.367000000000001</x:v>
      </x:c>
      <x:c r="T549" s="35" t="n">
        <x:f>K549*S549</x:f>
        <x:v>26.835000000000004</x:v>
      </x:c>
      <x:c r="U549" s="35" t="n">
        <x:f>L549-N549-P549-R549-T549</x:f>
        <x:v>3.794999999999991</x:v>
      </x:c>
      <x:c r="V549" s="21" t="n">
        <x:f>IFERROR(U549/L549,0)</x:f>
        <x:v>0.07666666666666648</x:v>
      </x:c>
    </x:row>
    <x:row r="550">
      <x:c r="A550" s="19" t="str">
        <x:v>SALE-00546</x:v>
      </x:c>
      <x:c r="B550" s="34" t="n">
        <x:v>46216.5</x:v>
      </x:c>
      <x:c r="C550" s="19" t="str">
        <x:v>周一</x:v>
      </x:c>
      <x:c r="D550" s="19" t="str">
        <x:v>S02</x:v>
      </x:c>
      <x:c r="E550" s="19" t="str">
        <x:v>尊宝大厦店</x:v>
      </x:c>
      <x:c r="F550" s="19" t="str">
        <x:v>外卖</x:v>
      </x:c>
      <x:c r="G550" s="19" t="str">
        <x:v>全日</x:v>
      </x:c>
      <x:c r="H550" s="19" t="str">
        <x:v>D06</x:v>
      </x:c>
      <x:c r="I550" s="19" t="str">
        <x:v>剁椒鱼头</x:v>
      </x:c>
      <x:c r="J550" s="22" t="n">
        <x:f>XLOOKUP(H550,'菜品主数据'!$A$5:$A$24,'菜品主数据'!$D$5:$D$24,0)</x:f>
        <x:v>39</x:v>
      </x:c>
      <x:c r="K550" s="31" t="n">
        <x:v>1</x:v>
      </x:c>
      <x:c r="L550" s="35" t="n">
        <x:f>J550*K550</x:f>
        <x:v>39</x:v>
      </x:c>
      <x:c r="M550" s="36" t="n">
        <x:v>0.08</x:v>
      </x:c>
      <x:c r="N550" s="35" t="n">
        <x:f>L550*M550</x:f>
        <x:v>3.12</x:v>
      </x:c>
      <x:c r="O550" s="37" t="n">
        <x:v>0.18</x:v>
      </x:c>
      <x:c r="P550" s="35" t="n">
        <x:f>L550*O550</x:f>
        <x:v>7.02</x:v>
      </x:c>
      <x:c r="Q550" s="35" t="n">
        <x:v>1.2</x:v>
      </x:c>
      <x:c r="R550" s="35" t="n">
        <x:f>K550*Q550</x:f>
        <x:v>1.2</x:v>
      </x:c>
      <x:c r="S550" s="35" t="n">
        <x:f>XLOOKUP(H550,'菜品主数据'!$A$5:$A$24,'菜品主数据'!$G$5:$G$24,0)</x:f>
        <x:v>17.446</x:v>
      </x:c>
      <x:c r="T550" s="35" t="n">
        <x:f>K550*S550</x:f>
        <x:v>17.446</x:v>
      </x:c>
      <x:c r="U550" s="35" t="n">
        <x:f>L550-N550-P550-R550-T550</x:f>
        <x:v>10.214000000000002</x:v>
      </x:c>
      <x:c r="V550" s="21" t="n">
        <x:f>IFERROR(U550/L550,0)</x:f>
        <x:v>0.26189743589743597</x:v>
      </x:c>
    </x:row>
    <x:row r="551">
      <x:c r="A551" s="19" t="str">
        <x:v>SALE-00547</x:v>
      </x:c>
      <x:c r="B551" s="34" t="n">
        <x:v>46216.5</x:v>
      </x:c>
      <x:c r="C551" s="19" t="str">
        <x:v>周一</x:v>
      </x:c>
      <x:c r="D551" s="19" t="str">
        <x:v>S02</x:v>
      </x:c>
      <x:c r="E551" s="19" t="str">
        <x:v>尊宝大厦店</x:v>
      </x:c>
      <x:c r="F551" s="19" t="str">
        <x:v>外卖</x:v>
      </x:c>
      <x:c r="G551" s="19" t="str">
        <x:v>全日</x:v>
      </x:c>
      <x:c r="H551" s="19" t="str">
        <x:v>D07</x:v>
      </x:c>
      <x:c r="I551" s="19" t="str">
        <x:v>川味回锅肉</x:v>
      </x:c>
      <x:c r="J551" s="22" t="n">
        <x:f>XLOOKUP(H551,'菜品主数据'!$A$5:$A$24,'菜品主数据'!$D$5:$D$24,0)</x:f>
        <x:v>29</x:v>
      </x:c>
      <x:c r="K551" s="31" t="n">
        <x:v>1</x:v>
      </x:c>
      <x:c r="L551" s="35" t="n">
        <x:f>J551*K551</x:f>
        <x:v>29</x:v>
      </x:c>
      <x:c r="M551" s="36" t="n">
        <x:v>0.08</x:v>
      </x:c>
      <x:c r="N551" s="35" t="n">
        <x:f>L551*M551</x:f>
        <x:v>2.32</x:v>
      </x:c>
      <x:c r="O551" s="37" t="n">
        <x:v>0.18</x:v>
      </x:c>
      <x:c r="P551" s="35" t="n">
        <x:f>L551*O551</x:f>
        <x:v>5.22</x:v>
      </x:c>
      <x:c r="Q551" s="35" t="n">
        <x:v>1.2</x:v>
      </x:c>
      <x:c r="R551" s="35" t="n">
        <x:f>K551*Q551</x:f>
        <x:v>1.2</x:v>
      </x:c>
      <x:c r="S551" s="35" t="n">
        <x:f>XLOOKUP(H551,'菜品主数据'!$A$5:$A$24,'菜品主数据'!$G$5:$G$24,0)</x:f>
        <x:v>10.231000000000002</x:v>
      </x:c>
      <x:c r="T551" s="35" t="n">
        <x:f>K551*S551</x:f>
        <x:v>10.231000000000002</x:v>
      </x:c>
      <x:c r="U551" s="35" t="n">
        <x:f>L551-N551-P551-R551-T551</x:f>
        <x:v>10.029</x:v>
      </x:c>
      <x:c r="V551" s="21" t="n">
        <x:f>IFERROR(U551/L551,0)</x:f>
        <x:v>0.3458275862068966</x:v>
      </x:c>
    </x:row>
    <x:row r="552">
      <x:c r="A552" s="19" t="str">
        <x:v>SALE-00548</x:v>
      </x:c>
      <x:c r="B552" s="34" t="n">
        <x:v>46216.5</x:v>
      </x:c>
      <x:c r="C552" s="19" t="str">
        <x:v>周一</x:v>
      </x:c>
      <x:c r="D552" s="19" t="str">
        <x:v>S02</x:v>
      </x:c>
      <x:c r="E552" s="19" t="str">
        <x:v>尊宝大厦店</x:v>
      </x:c>
      <x:c r="F552" s="19" t="str">
        <x:v>外卖</x:v>
      </x:c>
      <x:c r="G552" s="19" t="str">
        <x:v>全日</x:v>
      </x:c>
      <x:c r="H552" s="19" t="str">
        <x:v>D08</x:v>
      </x:c>
      <x:c r="I552" s="19" t="str">
        <x:v>生炒清远鸡</x:v>
      </x:c>
      <x:c r="J552" s="22" t="n">
        <x:f>XLOOKUP(H552,'菜品主数据'!$A$5:$A$24,'菜品主数据'!$D$5:$D$24,0)</x:f>
        <x:v>36</x:v>
      </x:c>
      <x:c r="K552" s="31" t="n">
        <x:v>1</x:v>
      </x:c>
      <x:c r="L552" s="35" t="n">
        <x:f>J552*K552</x:f>
        <x:v>36</x:v>
      </x:c>
      <x:c r="M552" s="36" t="n">
        <x:v>0.08</x:v>
      </x:c>
      <x:c r="N552" s="35" t="n">
        <x:f>L552*M552</x:f>
        <x:v>2.88</x:v>
      </x:c>
      <x:c r="O552" s="37" t="n">
        <x:v>0.18</x:v>
      </x:c>
      <x:c r="P552" s="35" t="n">
        <x:f>L552*O552</x:f>
        <x:v>6.4799999999999995</x:v>
      </x:c>
      <x:c r="Q552" s="35" t="n">
        <x:v>1.2</x:v>
      </x:c>
      <x:c r="R552" s="35" t="n">
        <x:f>K552*Q552</x:f>
        <x:v>1.2</x:v>
      </x:c>
      <x:c r="S552" s="35" t="n">
        <x:f>XLOOKUP(H552,'菜品主数据'!$A$5:$A$24,'菜品主数据'!$G$5:$G$24,0)</x:f>
        <x:v>13.48</x:v>
      </x:c>
      <x:c r="T552" s="35" t="n">
        <x:f>K552*S552</x:f>
        <x:v>13.48</x:v>
      </x:c>
      <x:c r="U552" s="35" t="n">
        <x:f>L552-N552-P552-R552-T552</x:f>
        <x:v>11.959999999999997</x:v>
      </x:c>
      <x:c r="V552" s="21" t="n">
        <x:f>IFERROR(U552/L552,0)</x:f>
        <x:v>0.33222222222222214</x:v>
      </x:c>
    </x:row>
    <x:row r="553">
      <x:c r="A553" s="19" t="str">
        <x:v>SALE-00549</x:v>
      </x:c>
      <x:c r="B553" s="34" t="n">
        <x:v>46216.5</x:v>
      </x:c>
      <x:c r="C553" s="19" t="str">
        <x:v>周一</x:v>
      </x:c>
      <x:c r="D553" s="19" t="str">
        <x:v>S02</x:v>
      </x:c>
      <x:c r="E553" s="19" t="str">
        <x:v>尊宝大厦店</x:v>
      </x:c>
      <x:c r="F553" s="19" t="str">
        <x:v>外卖</x:v>
      </x:c>
      <x:c r="G553" s="19" t="str">
        <x:v>全日</x:v>
      </x:c>
      <x:c r="H553" s="19" t="str">
        <x:v>D09</x:v>
      </x:c>
      <x:c r="I553" s="19" t="str">
        <x:v>炒豆干</x:v>
      </x:c>
      <x:c r="J553" s="22" t="n">
        <x:f>XLOOKUP(H553,'菜品主数据'!$A$5:$A$24,'菜品主数据'!$D$5:$D$24,0)</x:f>
        <x:v>18</x:v>
      </x:c>
      <x:c r="K553" s="31" t="n">
        <x:v>1</x:v>
      </x:c>
      <x:c r="L553" s="35" t="n">
        <x:f>J553*K553</x:f>
        <x:v>18</x:v>
      </x:c>
      <x:c r="M553" s="36" t="n">
        <x:v>0.08</x:v>
      </x:c>
      <x:c r="N553" s="35" t="n">
        <x:f>L553*M553</x:f>
        <x:v>1.44</x:v>
      </x:c>
      <x:c r="O553" s="37" t="n">
        <x:v>0.18</x:v>
      </x:c>
      <x:c r="P553" s="35" t="n">
        <x:f>L553*O553</x:f>
        <x:v>3.2399999999999998</x:v>
      </x:c>
      <x:c r="Q553" s="35" t="n">
        <x:v>1.2</x:v>
      </x:c>
      <x:c r="R553" s="35" t="n">
        <x:f>K553*Q553</x:f>
        <x:v>1.2</x:v>
      </x:c>
      <x:c r="S553" s="35" t="n">
        <x:f>XLOOKUP(H553,'菜品主数据'!$A$5:$A$24,'菜品主数据'!$G$5:$G$24,0)</x:f>
        <x:v>6.613999999999999</x:v>
      </x:c>
      <x:c r="T553" s="35" t="n">
        <x:f>K553*S553</x:f>
        <x:v>6.613999999999999</x:v>
      </x:c>
      <x:c r="U553" s="35" t="n">
        <x:f>L553-N553-P553-R553-T553</x:f>
        <x:v>5.506</x:v>
      </x:c>
      <x:c r="V553" s="21" t="n">
        <x:f>IFERROR(U553/L553,0)</x:f>
        <x:v>0.3058888888888889</x:v>
      </x:c>
    </x:row>
    <x:row r="554">
      <x:c r="A554" s="19" t="str">
        <x:v>SALE-00550</x:v>
      </x:c>
      <x:c r="B554" s="34" t="n">
        <x:v>46216.5</x:v>
      </x:c>
      <x:c r="C554" s="19" t="str">
        <x:v>周一</x:v>
      </x:c>
      <x:c r="D554" s="19" t="str">
        <x:v>S02</x:v>
      </x:c>
      <x:c r="E554" s="19" t="str">
        <x:v>尊宝大厦店</x:v>
      </x:c>
      <x:c r="F554" s="19" t="str">
        <x:v>外卖</x:v>
      </x:c>
      <x:c r="G554" s="19" t="str">
        <x:v>全日</x:v>
      </x:c>
      <x:c r="H554" s="19" t="str">
        <x:v>D10</x:v>
      </x:c>
      <x:c r="I554" s="19" t="str">
        <x:v>农家一碗香</x:v>
      </x:c>
      <x:c r="J554" s="22" t="n">
        <x:f>XLOOKUP(H554,'菜品主数据'!$A$5:$A$24,'菜品主数据'!$D$5:$D$24,0)</x:f>
        <x:v>22.9</x:v>
      </x:c>
      <x:c r="K554" s="31" t="n">
        <x:v>2</x:v>
      </x:c>
      <x:c r="L554" s="35" t="n">
        <x:f>J554*K554</x:f>
        <x:v>45.8</x:v>
      </x:c>
      <x:c r="M554" s="36" t="n">
        <x:v>0.08</x:v>
      </x:c>
      <x:c r="N554" s="35" t="n">
        <x:f>L554*M554</x:f>
        <x:v>3.6639999999999997</x:v>
      </x:c>
      <x:c r="O554" s="37" t="n">
        <x:v>0.18</x:v>
      </x:c>
      <x:c r="P554" s="35" t="n">
        <x:f>L554*O554</x:f>
        <x:v>8.244</x:v>
      </x:c>
      <x:c r="Q554" s="35" t="n">
        <x:v>1.2</x:v>
      </x:c>
      <x:c r="R554" s="35" t="n">
        <x:f>K554*Q554</x:f>
        <x:v>2.4</x:v>
      </x:c>
      <x:c r="S554" s="35" t="n">
        <x:f>XLOOKUP(H554,'菜品主数据'!$A$5:$A$24,'菜品主数据'!$G$5:$G$24,0)</x:f>
        <x:v>9.770200000000003</x:v>
      </x:c>
      <x:c r="T554" s="35" t="n">
        <x:f>K554*S554</x:f>
        <x:v>19.540400000000005</x:v>
      </x:c>
      <x:c r="U554" s="35" t="n">
        <x:f>L554-N554-P554-R554-T554</x:f>
        <x:v>11.951599999999992</x:v>
      </x:c>
      <x:c r="V554" s="21" t="n">
        <x:f>IFERROR(U554/L554,0)</x:f>
        <x:v>0.260951965065502</x:v>
      </x:c>
    </x:row>
    <x:row r="555">
      <x:c r="A555" s="19" t="str">
        <x:v>SALE-00551</x:v>
      </x:c>
      <x:c r="B555" s="34" t="n">
        <x:v>46216.5</x:v>
      </x:c>
      <x:c r="C555" s="19" t="str">
        <x:v>周一</x:v>
      </x:c>
      <x:c r="D555" s="19" t="str">
        <x:v>S02</x:v>
      </x:c>
      <x:c r="E555" s="19" t="str">
        <x:v>尊宝大厦店</x:v>
      </x:c>
      <x:c r="F555" s="19" t="str">
        <x:v>外卖</x:v>
      </x:c>
      <x:c r="G555" s="19" t="str">
        <x:v>全日</x:v>
      </x:c>
      <x:c r="H555" s="19" t="str">
        <x:v>D11</x:v>
      </x:c>
      <x:c r="I555" s="19" t="str">
        <x:v>香辣爆肥肠</x:v>
      </x:c>
      <x:c r="J555" s="22" t="n">
        <x:f>XLOOKUP(H555,'菜品主数据'!$A$5:$A$24,'菜品主数据'!$D$5:$D$24,0)</x:f>
        <x:v>39</x:v>
      </x:c>
      <x:c r="K555" s="31" t="n">
        <x:v>0</x:v>
      </x:c>
      <x:c r="L555" s="35" t="n">
        <x:f>J555*K555</x:f>
        <x:v>0</x:v>
      </x:c>
      <x:c r="M555" s="36" t="n">
        <x:v>0.08</x:v>
      </x:c>
      <x:c r="N555" s="35" t="n">
        <x:f>L555*M555</x:f>
        <x:v>0</x:v>
      </x:c>
      <x:c r="O555" s="37" t="n">
        <x:v>0.18</x:v>
      </x:c>
      <x:c r="P555" s="35" t="n">
        <x:f>L555*O555</x:f>
        <x:v>0</x:v>
      </x:c>
      <x:c r="Q555" s="35" t="n">
        <x:v>1.2</x:v>
      </x:c>
      <x:c r="R555" s="35" t="n">
        <x:f>K555*Q555</x:f>
        <x:v>0</x:v>
      </x:c>
      <x:c r="S555" s="35" t="n">
        <x:f>XLOOKUP(H555,'菜品主数据'!$A$5:$A$24,'菜品主数据'!$G$5:$G$24,0)</x:f>
        <x:v>10.397</x:v>
      </x:c>
      <x:c r="T555" s="35" t="n">
        <x:f>K555*S555</x:f>
        <x:v>0</x:v>
      </x:c>
      <x:c r="U555" s="35" t="n">
        <x:f>L555-N555-P555-R555-T555</x:f>
        <x:v>0</x:v>
      </x:c>
      <x:c r="V555" s="21" t="n">
        <x:f>IFERROR(U555/L555,0)</x:f>
        <x:v>0</x:v>
      </x:c>
    </x:row>
    <x:row r="556">
      <x:c r="A556" s="19" t="str">
        <x:v>SALE-00552</x:v>
      </x:c>
      <x:c r="B556" s="34" t="n">
        <x:v>46216.5</x:v>
      </x:c>
      <x:c r="C556" s="19" t="str">
        <x:v>周一</x:v>
      </x:c>
      <x:c r="D556" s="19" t="str">
        <x:v>S02</x:v>
      </x:c>
      <x:c r="E556" s="19" t="str">
        <x:v>尊宝大厦店</x:v>
      </x:c>
      <x:c r="F556" s="19" t="str">
        <x:v>外卖</x:v>
      </x:c>
      <x:c r="G556" s="19" t="str">
        <x:v>全日</x:v>
      </x:c>
      <x:c r="H556" s="19" t="str">
        <x:v>D12</x:v>
      </x:c>
      <x:c r="I556" s="19" t="str">
        <x:v>清蒸鲈鱼</x:v>
      </x:c>
      <x:c r="J556" s="22" t="n">
        <x:f>XLOOKUP(H556,'菜品主数据'!$A$5:$A$24,'菜品主数据'!$D$5:$D$24,0)</x:f>
        <x:v>39</x:v>
      </x:c>
      <x:c r="K556" s="31" t="n">
        <x:v>0</x:v>
      </x:c>
      <x:c r="L556" s="35" t="n">
        <x:f>J556*K556</x:f>
        <x:v>0</x:v>
      </x:c>
      <x:c r="M556" s="36" t="n">
        <x:v>0.08</x:v>
      </x:c>
      <x:c r="N556" s="35" t="n">
        <x:f>L556*M556</x:f>
        <x:v>0</x:v>
      </x:c>
      <x:c r="O556" s="37" t="n">
        <x:v>0.18</x:v>
      </x:c>
      <x:c r="P556" s="35" t="n">
        <x:f>L556*O556</x:f>
        <x:v>0</x:v>
      </x:c>
      <x:c r="Q556" s="35" t="n">
        <x:v>1.2</x:v>
      </x:c>
      <x:c r="R556" s="35" t="n">
        <x:f>K556*Q556</x:f>
        <x:v>0</x:v>
      </x:c>
      <x:c r="S556" s="35" t="n">
        <x:f>XLOOKUP(H556,'菜品主数据'!$A$5:$A$24,'菜品主数据'!$G$5:$G$24,0)</x:f>
        <x:v>18.874</x:v>
      </x:c>
      <x:c r="T556" s="35" t="n">
        <x:f>K556*S556</x:f>
        <x:v>0</x:v>
      </x:c>
      <x:c r="U556" s="35" t="n">
        <x:f>L556-N556-P556-R556-T556</x:f>
        <x:v>0</x:v>
      </x:c>
      <x:c r="V556" s="21" t="n">
        <x:f>IFERROR(U556/L556,0)</x:f>
        <x:v>0</x:v>
      </x:c>
    </x:row>
    <x:row r="557">
      <x:c r="A557" s="19" t="str">
        <x:v>SALE-00553</x:v>
      </x:c>
      <x:c r="B557" s="34" t="n">
        <x:v>46216.5</x:v>
      </x:c>
      <x:c r="C557" s="19" t="str">
        <x:v>周一</x:v>
      </x:c>
      <x:c r="D557" s="19" t="str">
        <x:v>S02</x:v>
      </x:c>
      <x:c r="E557" s="19" t="str">
        <x:v>尊宝大厦店</x:v>
      </x:c>
      <x:c r="F557" s="19" t="str">
        <x:v>外卖</x:v>
      </x:c>
      <x:c r="G557" s="19" t="str">
        <x:v>全日</x:v>
      </x:c>
      <x:c r="H557" s="19" t="str">
        <x:v>D13</x:v>
      </x:c>
      <x:c r="I557" s="19" t="str">
        <x:v>外婆菜炒蛋</x:v>
      </x:c>
      <x:c r="J557" s="22" t="n">
        <x:f>XLOOKUP(H557,'菜品主数据'!$A$5:$A$24,'菜品主数据'!$D$5:$D$24,0)</x:f>
        <x:v>18</x:v>
      </x:c>
      <x:c r="K557" s="31" t="n">
        <x:v>2</x:v>
      </x:c>
      <x:c r="L557" s="35" t="n">
        <x:f>J557*K557</x:f>
        <x:v>36</x:v>
      </x:c>
      <x:c r="M557" s="36" t="n">
        <x:v>0.08</x:v>
      </x:c>
      <x:c r="N557" s="35" t="n">
        <x:f>L557*M557</x:f>
        <x:v>2.88</x:v>
      </x:c>
      <x:c r="O557" s="37" t="n">
        <x:v>0.18</x:v>
      </x:c>
      <x:c r="P557" s="35" t="n">
        <x:f>L557*O557</x:f>
        <x:v>6.4799999999999995</x:v>
      </x:c>
      <x:c r="Q557" s="35" t="n">
        <x:v>1.2</x:v>
      </x:c>
      <x:c r="R557" s="35" t="n">
        <x:f>K557*Q557</x:f>
        <x:v>2.4</x:v>
      </x:c>
      <x:c r="S557" s="35" t="n">
        <x:f>XLOOKUP(H557,'菜品主数据'!$A$5:$A$24,'菜品主数据'!$G$5:$G$24,0)</x:f>
        <x:v>5.403999999999999</x:v>
      </x:c>
      <x:c r="T557" s="35" t="n">
        <x:f>K557*S557</x:f>
        <x:v>10.807999999999998</x:v>
      </x:c>
      <x:c r="U557" s="35" t="n">
        <x:f>L557-N557-P557-R557-T557</x:f>
        <x:v>13.432</x:v>
      </x:c>
      <x:c r="V557" s="21" t="n">
        <x:f>IFERROR(U557/L557,0)</x:f>
        <x:v>0.3731111111111111</x:v>
      </x:c>
    </x:row>
    <x:row r="558">
      <x:c r="A558" s="19" t="str">
        <x:v>SALE-00554</x:v>
      </x:c>
      <x:c r="B558" s="34" t="n">
        <x:v>46216.5</x:v>
      </x:c>
      <x:c r="C558" s="19" t="str">
        <x:v>周一</x:v>
      </x:c>
      <x:c r="D558" s="19" t="str">
        <x:v>S02</x:v>
      </x:c>
      <x:c r="E558" s="19" t="str">
        <x:v>尊宝大厦店</x:v>
      </x:c>
      <x:c r="F558" s="19" t="str">
        <x:v>外卖</x:v>
      </x:c>
      <x:c r="G558" s="19" t="str">
        <x:v>全日</x:v>
      </x:c>
      <x:c r="H558" s="19" t="str">
        <x:v>D14</x:v>
      </x:c>
      <x:c r="I558" s="19" t="str">
        <x:v>酸辣鸡杂</x:v>
      </x:c>
      <x:c r="J558" s="22" t="n">
        <x:f>XLOOKUP(H558,'菜品主数据'!$A$5:$A$24,'菜品主数据'!$D$5:$D$24,0)</x:f>
        <x:v>28</x:v>
      </x:c>
      <x:c r="K558" s="31" t="n">
        <x:v>1</x:v>
      </x:c>
      <x:c r="L558" s="35" t="n">
        <x:f>J558*K558</x:f>
        <x:v>28</x:v>
      </x:c>
      <x:c r="M558" s="36" t="n">
        <x:v>0.08</x:v>
      </x:c>
      <x:c r="N558" s="35" t="n">
        <x:f>L558*M558</x:f>
        <x:v>2.24</x:v>
      </x:c>
      <x:c r="O558" s="37" t="n">
        <x:v>0.18</x:v>
      </x:c>
      <x:c r="P558" s="35" t="n">
        <x:f>L558*O558</x:f>
        <x:v>5.04</x:v>
      </x:c>
      <x:c r="Q558" s="35" t="n">
        <x:v>1.2</x:v>
      </x:c>
      <x:c r="R558" s="35" t="n">
        <x:f>K558*Q558</x:f>
        <x:v>1.2</x:v>
      </x:c>
      <x:c r="S558" s="35" t="n">
        <x:f>XLOOKUP(H558,'菜品主数据'!$A$5:$A$24,'菜品主数据'!$G$5:$G$24,0)</x:f>
        <x:v>8.315000000000001</x:v>
      </x:c>
      <x:c r="T558" s="35" t="n">
        <x:f>K558*S558</x:f>
        <x:v>8.315000000000001</x:v>
      </x:c>
      <x:c r="U558" s="35" t="n">
        <x:f>L558-N558-P558-R558-T558</x:f>
        <x:v>11.204999999999998</x:v>
      </x:c>
      <x:c r="V558" s="21" t="n">
        <x:f>IFERROR(U558/L558,0)</x:f>
        <x:v>0.4001785714285714</x:v>
      </x:c>
    </x:row>
    <x:row r="559">
      <x:c r="A559" s="19" t="str">
        <x:v>SALE-00555</x:v>
      </x:c>
      <x:c r="B559" s="34" t="n">
        <x:v>46216.5</x:v>
      </x:c>
      <x:c r="C559" s="19" t="str">
        <x:v>周一</x:v>
      </x:c>
      <x:c r="D559" s="19" t="str">
        <x:v>S02</x:v>
      </x:c>
      <x:c r="E559" s="19" t="str">
        <x:v>尊宝大厦店</x:v>
      </x:c>
      <x:c r="F559" s="19" t="str">
        <x:v>外卖</x:v>
      </x:c>
      <x:c r="G559" s="19" t="str">
        <x:v>全日</x:v>
      </x:c>
      <x:c r="H559" s="19" t="str">
        <x:v>D15</x:v>
      </x:c>
      <x:c r="I559" s="19" t="str">
        <x:v>湘西土匪猪肝</x:v>
      </x:c>
      <x:c r="J559" s="22" t="n">
        <x:f>XLOOKUP(H559,'菜品主数据'!$A$5:$A$24,'菜品主数据'!$D$5:$D$24,0)</x:f>
        <x:v>26</x:v>
      </x:c>
      <x:c r="K559" s="31" t="n">
        <x:v>1</x:v>
      </x:c>
      <x:c r="L559" s="35" t="n">
        <x:f>J559*K559</x:f>
        <x:v>26</x:v>
      </x:c>
      <x:c r="M559" s="36" t="n">
        <x:v>0.08</x:v>
      </x:c>
      <x:c r="N559" s="35" t="n">
        <x:f>L559*M559</x:f>
        <x:v>2.08</x:v>
      </x:c>
      <x:c r="O559" s="37" t="n">
        <x:v>0.18</x:v>
      </x:c>
      <x:c r="P559" s="35" t="n">
        <x:f>L559*O559</x:f>
        <x:v>4.68</x:v>
      </x:c>
      <x:c r="Q559" s="35" t="n">
        <x:v>1.2</x:v>
      </x:c>
      <x:c r="R559" s="35" t="n">
        <x:f>K559*Q559</x:f>
        <x:v>1.2</x:v>
      </x:c>
      <x:c r="S559" s="35" t="n">
        <x:f>XLOOKUP(H559,'菜品主数据'!$A$5:$A$24,'菜品主数据'!$G$5:$G$24,0)</x:f>
        <x:v>6.3759999999999994</x:v>
      </x:c>
      <x:c r="T559" s="35" t="n">
        <x:f>K559*S559</x:f>
        <x:v>6.3759999999999994</x:v>
      </x:c>
      <x:c r="U559" s="35" t="n">
        <x:f>L559-N559-P559-R559-T559</x:f>
        <x:v>11.664000000000003</x:v>
      </x:c>
      <x:c r="V559" s="21" t="n">
        <x:f>IFERROR(U559/L559,0)</x:f>
        <x:v>0.44861538461538475</x:v>
      </x:c>
    </x:row>
    <x:row r="560">
      <x:c r="A560" s="19" t="str">
        <x:v>SALE-00556</x:v>
      </x:c>
      <x:c r="B560" s="34" t="n">
        <x:v>46216.5</x:v>
      </x:c>
      <x:c r="C560" s="19" t="str">
        <x:v>周一</x:v>
      </x:c>
      <x:c r="D560" s="19" t="str">
        <x:v>S02</x:v>
      </x:c>
      <x:c r="E560" s="19" t="str">
        <x:v>尊宝大厦店</x:v>
      </x:c>
      <x:c r="F560" s="19" t="str">
        <x:v>外卖</x:v>
      </x:c>
      <x:c r="G560" s="19" t="str">
        <x:v>全日</x:v>
      </x:c>
      <x:c r="H560" s="19" t="str">
        <x:v>D16</x:v>
      </x:c>
      <x:c r="I560" s="19" t="str">
        <x:v>小豆角炒五花</x:v>
      </x:c>
      <x:c r="J560" s="22" t="n">
        <x:f>XLOOKUP(H560,'菜品主数据'!$A$5:$A$24,'菜品主数据'!$D$5:$D$24,0)</x:f>
        <x:v>25</x:v>
      </x:c>
      <x:c r="K560" s="31" t="n">
        <x:v>0</x:v>
      </x:c>
      <x:c r="L560" s="35" t="n">
        <x:f>J560*K560</x:f>
        <x:v>0</x:v>
      </x:c>
      <x:c r="M560" s="36" t="n">
        <x:v>0.08</x:v>
      </x:c>
      <x:c r="N560" s="35" t="n">
        <x:f>L560*M560</x:f>
        <x:v>0</x:v>
      </x:c>
      <x:c r="O560" s="37" t="n">
        <x:v>0.18</x:v>
      </x:c>
      <x:c r="P560" s="35" t="n">
        <x:f>L560*O560</x:f>
        <x:v>0</x:v>
      </x:c>
      <x:c r="Q560" s="35" t="n">
        <x:v>1.2</x:v>
      </x:c>
      <x:c r="R560" s="35" t="n">
        <x:f>K560*Q560</x:f>
        <x:v>0</x:v>
      </x:c>
      <x:c r="S560" s="35" t="n">
        <x:f>XLOOKUP(H560,'菜品主数据'!$A$5:$A$24,'菜品主数据'!$G$5:$G$24,0)</x:f>
        <x:v>8.184</x:v>
      </x:c>
      <x:c r="T560" s="35" t="n">
        <x:f>K560*S560</x:f>
        <x:v>0</x:v>
      </x:c>
      <x:c r="U560" s="35" t="n">
        <x:f>L560-N560-P560-R560-T560</x:f>
        <x:v>0</x:v>
      </x:c>
      <x:c r="V560" s="21" t="n">
        <x:f>IFERROR(U560/L560,0)</x:f>
        <x:v>0</x:v>
      </x:c>
    </x:row>
    <x:row r="561">
      <x:c r="A561" s="19" t="str">
        <x:v>SALE-00557</x:v>
      </x:c>
      <x:c r="B561" s="34" t="n">
        <x:v>46216.5</x:v>
      </x:c>
      <x:c r="C561" s="19" t="str">
        <x:v>周一</x:v>
      </x:c>
      <x:c r="D561" s="19" t="str">
        <x:v>S02</x:v>
      </x:c>
      <x:c r="E561" s="19" t="str">
        <x:v>尊宝大厦店</x:v>
      </x:c>
      <x:c r="F561" s="19" t="str">
        <x:v>外卖</x:v>
      </x:c>
      <x:c r="G561" s="19" t="str">
        <x:v>全日</x:v>
      </x:c>
      <x:c r="H561" s="19" t="str">
        <x:v>D17</x:v>
      </x:c>
      <x:c r="I561" s="19" t="str">
        <x:v>蒜蓉粉丝虾</x:v>
      </x:c>
      <x:c r="J561" s="22" t="n">
        <x:f>XLOOKUP(H561,'菜品主数据'!$A$5:$A$24,'菜品主数据'!$D$5:$D$24,0)</x:f>
        <x:v>36</x:v>
      </x:c>
      <x:c r="K561" s="31" t="n">
        <x:v>0</x:v>
      </x:c>
      <x:c r="L561" s="35" t="n">
        <x:f>J561*K561</x:f>
        <x:v>0</x:v>
      </x:c>
      <x:c r="M561" s="36" t="n">
        <x:v>0.08</x:v>
      </x:c>
      <x:c r="N561" s="35" t="n">
        <x:f>L561*M561</x:f>
        <x:v>0</x:v>
      </x:c>
      <x:c r="O561" s="37" t="n">
        <x:v>0.18</x:v>
      </x:c>
      <x:c r="P561" s="35" t="n">
        <x:f>L561*O561</x:f>
        <x:v>0</x:v>
      </x:c>
      <x:c r="Q561" s="35" t="n">
        <x:v>1.2</x:v>
      </x:c>
      <x:c r="R561" s="35" t="n">
        <x:f>K561*Q561</x:f>
        <x:v>0</x:v>
      </x:c>
      <x:c r="S561" s="35" t="n">
        <x:f>XLOOKUP(H561,'菜品主数据'!$A$5:$A$24,'菜品主数据'!$G$5:$G$24,0)</x:f>
        <x:v>13.594</x:v>
      </x:c>
      <x:c r="T561" s="35" t="n">
        <x:f>K561*S561</x:f>
        <x:v>0</x:v>
      </x:c>
      <x:c r="U561" s="35" t="n">
        <x:f>L561-N561-P561-R561-T561</x:f>
        <x:v>0</x:v>
      </x:c>
      <x:c r="V561" s="21" t="n">
        <x:f>IFERROR(U561/L561,0)</x:f>
        <x:v>0</x:v>
      </x:c>
    </x:row>
    <x:row r="562">
      <x:c r="A562" s="19" t="str">
        <x:v>SALE-00558</x:v>
      </x:c>
      <x:c r="B562" s="34" t="n">
        <x:v>46216.5</x:v>
      </x:c>
      <x:c r="C562" s="19" t="str">
        <x:v>周一</x:v>
      </x:c>
      <x:c r="D562" s="19" t="str">
        <x:v>S02</x:v>
      </x:c>
      <x:c r="E562" s="19" t="str">
        <x:v>尊宝大厦店</x:v>
      </x:c>
      <x:c r="F562" s="19" t="str">
        <x:v>外卖</x:v>
      </x:c>
      <x:c r="G562" s="19" t="str">
        <x:v>全日</x:v>
      </x:c>
      <x:c r="H562" s="19" t="str">
        <x:v>D18</x:v>
      </x:c>
      <x:c r="I562" s="19" t="str">
        <x:v>青椒炒油麦菜</x:v>
      </x:c>
      <x:c r="J562" s="22" t="n">
        <x:f>XLOOKUP(H562,'菜品主数据'!$A$5:$A$24,'菜品主数据'!$D$5:$D$24,0)</x:f>
        <x:v>18</x:v>
      </x:c>
      <x:c r="K562" s="31" t="n">
        <x:v>1</x:v>
      </x:c>
      <x:c r="L562" s="35" t="n">
        <x:f>J562*K562</x:f>
        <x:v>18</x:v>
      </x:c>
      <x:c r="M562" s="36" t="n">
        <x:v>0.08</x:v>
      </x:c>
      <x:c r="N562" s="35" t="n">
        <x:f>L562*M562</x:f>
        <x:v>1.44</x:v>
      </x:c>
      <x:c r="O562" s="37" t="n">
        <x:v>0.18</x:v>
      </x:c>
      <x:c r="P562" s="35" t="n">
        <x:f>L562*O562</x:f>
        <x:v>3.2399999999999998</x:v>
      </x:c>
      <x:c r="Q562" s="35" t="n">
        <x:v>1.2</x:v>
      </x:c>
      <x:c r="R562" s="35" t="n">
        <x:f>K562*Q562</x:f>
        <x:v>1.2</x:v>
      </x:c>
      <x:c r="S562" s="35" t="n">
        <x:f>XLOOKUP(H562,'菜品主数据'!$A$5:$A$24,'菜品主数据'!$G$5:$G$24,0)</x:f>
        <x:v>3.1759999999999993</x:v>
      </x:c>
      <x:c r="T562" s="35" t="n">
        <x:f>K562*S562</x:f>
        <x:v>3.1759999999999993</x:v>
      </x:c>
      <x:c r="U562" s="35" t="n">
        <x:f>L562-N562-P562-R562-T562</x:f>
        <x:v>8.943999999999999</x:v>
      </x:c>
      <x:c r="V562" s="21" t="n">
        <x:f>IFERROR(U562/L562,0)</x:f>
        <x:v>0.4968888888888888</x:v>
      </x:c>
    </x:row>
    <x:row r="563">
      <x:c r="A563" s="19" t="str">
        <x:v>SALE-00559</x:v>
      </x:c>
      <x:c r="B563" s="34" t="n">
        <x:v>46216.5</x:v>
      </x:c>
      <x:c r="C563" s="19" t="str">
        <x:v>周一</x:v>
      </x:c>
      <x:c r="D563" s="19" t="str">
        <x:v>S02</x:v>
      </x:c>
      <x:c r="E563" s="19" t="str">
        <x:v>尊宝大厦店</x:v>
      </x:c>
      <x:c r="F563" s="19" t="str">
        <x:v>外卖</x:v>
      </x:c>
      <x:c r="G563" s="19" t="str">
        <x:v>全日</x:v>
      </x:c>
      <x:c r="H563" s="19" t="str">
        <x:v>D19</x:v>
      </x:c>
      <x:c r="I563" s="19" t="str">
        <x:v>酸萝卜炒鸡杂</x:v>
      </x:c>
      <x:c r="J563" s="22" t="n">
        <x:f>XLOOKUP(H563,'菜品主数据'!$A$5:$A$24,'菜品主数据'!$D$5:$D$24,0)</x:f>
        <x:v>25</x:v>
      </x:c>
      <x:c r="K563" s="31" t="n">
        <x:v>0</x:v>
      </x:c>
      <x:c r="L563" s="35" t="n">
        <x:f>J563*K563</x:f>
        <x:v>0</x:v>
      </x:c>
      <x:c r="M563" s="36" t="n">
        <x:v>0.08</x:v>
      </x:c>
      <x:c r="N563" s="35" t="n">
        <x:f>L563*M563</x:f>
        <x:v>0</x:v>
      </x:c>
      <x:c r="O563" s="37" t="n">
        <x:v>0.18</x:v>
      </x:c>
      <x:c r="P563" s="35" t="n">
        <x:f>L563*O563</x:f>
        <x:v>0</x:v>
      </x:c>
      <x:c r="Q563" s="35" t="n">
        <x:v>1.2</x:v>
      </x:c>
      <x:c r="R563" s="35" t="n">
        <x:f>K563*Q563</x:f>
        <x:v>0</x:v>
      </x:c>
      <x:c r="S563" s="35" t="n">
        <x:f>XLOOKUP(H563,'菜品主数据'!$A$5:$A$24,'菜品主数据'!$G$5:$G$24,0)</x:f>
        <x:v>7.9399999999999995</x:v>
      </x:c>
      <x:c r="T563" s="35" t="n">
        <x:f>K563*S563</x:f>
        <x:v>0</x:v>
      </x:c>
      <x:c r="U563" s="35" t="n">
        <x:f>L563-N563-P563-R563-T563</x:f>
        <x:v>0</x:v>
      </x:c>
      <x:c r="V563" s="21" t="n">
        <x:f>IFERROR(U563/L563,0)</x:f>
        <x:v>0</x:v>
      </x:c>
    </x:row>
    <x:row r="564">
      <x:c r="A564" s="19" t="str">
        <x:v>SALE-00560</x:v>
      </x:c>
      <x:c r="B564" s="34" t="n">
        <x:v>46216.5</x:v>
      </x:c>
      <x:c r="C564" s="19" t="str">
        <x:v>周一</x:v>
      </x:c>
      <x:c r="D564" s="19" t="str">
        <x:v>S02</x:v>
      </x:c>
      <x:c r="E564" s="19" t="str">
        <x:v>尊宝大厦店</x:v>
      </x:c>
      <x:c r="F564" s="19" t="str">
        <x:v>外卖</x:v>
      </x:c>
      <x:c r="G564" s="19" t="str">
        <x:v>全日</x:v>
      </x:c>
      <x:c r="H564" s="19" t="str">
        <x:v>D20</x:v>
      </x:c>
      <x:c r="I564" s="19" t="str">
        <x:v>雪菜肉末青豆</x:v>
      </x:c>
      <x:c r="J564" s="22" t="n">
        <x:f>XLOOKUP(H564,'菜品主数据'!$A$5:$A$24,'菜品主数据'!$D$5:$D$24,0)</x:f>
        <x:v>18</x:v>
      </x:c>
      <x:c r="K564" s="31" t="n">
        <x:v>1</x:v>
      </x:c>
      <x:c r="L564" s="35" t="n">
        <x:f>J564*K564</x:f>
        <x:v>18</x:v>
      </x:c>
      <x:c r="M564" s="36" t="n">
        <x:v>0.08</x:v>
      </x:c>
      <x:c r="N564" s="35" t="n">
        <x:f>L564*M564</x:f>
        <x:v>1.44</x:v>
      </x:c>
      <x:c r="O564" s="37" t="n">
        <x:v>0.18</x:v>
      </x:c>
      <x:c r="P564" s="35" t="n">
        <x:f>L564*O564</x:f>
        <x:v>3.2399999999999998</x:v>
      </x:c>
      <x:c r="Q564" s="35" t="n">
        <x:v>1.2</x:v>
      </x:c>
      <x:c r="R564" s="35" t="n">
        <x:f>K564*Q564</x:f>
        <x:v>1.2</x:v>
      </x:c>
      <x:c r="S564" s="35" t="n">
        <x:f>XLOOKUP(H564,'菜品主数据'!$A$5:$A$24,'菜品主数据'!$G$5:$G$24,0)</x:f>
        <x:v>7.303999999999999</x:v>
      </x:c>
      <x:c r="T564" s="35" t="n">
        <x:f>K564*S564</x:f>
        <x:v>7.303999999999999</x:v>
      </x:c>
      <x:c r="U564" s="35" t="n">
        <x:f>L564-N564-P564-R564-T564</x:f>
        <x:v>4.816</x:v>
      </x:c>
      <x:c r="V564" s="21" t="n">
        <x:f>IFERROR(U564/L564,0)</x:f>
        <x:v>0.26755555555555555</x:v>
      </x:c>
    </x:row>
    <x:row r="565">
      <x:c r="A565" s="19" t="str">
        <x:v>SALE-00561</x:v>
      </x:c>
      <x:c r="B565" s="34" t="n">
        <x:v>46210.5</x:v>
      </x:c>
      <x:c r="C565" s="19" t="str">
        <x:v>周二</x:v>
      </x:c>
      <x:c r="D565" s="19" t="str">
        <x:v>S03</x:v>
      </x:c>
      <x:c r="E565" s="19" t="str">
        <x:v>铂悦城店</x:v>
      </x:c>
      <x:c r="F565" s="19" t="str">
        <x:v>堂食</x:v>
      </x:c>
      <x:c r="G565" s="19" t="str">
        <x:v>全日</x:v>
      </x:c>
      <x:c r="H565" s="19" t="str">
        <x:v>D01</x:v>
      </x:c>
      <x:c r="I565" s="19" t="str">
        <x:v>辣椒炒肉</x:v>
      </x:c>
      <x:c r="J565" s="22" t="n">
        <x:f>XLOOKUP(H565,'菜品主数据'!$A$5:$A$24,'菜品主数据'!$D$5:$D$24,0)</x:f>
        <x:v>29</x:v>
      </x:c>
      <x:c r="K565" s="31" t="n">
        <x:v>48</x:v>
      </x:c>
      <x:c r="L565" s="35" t="n">
        <x:f>J565*K565</x:f>
        <x:v>1392</x:v>
      </x:c>
      <x:c r="M565" s="36" t="n">
        <x:v>0</x:v>
      </x:c>
      <x:c r="N565" s="35" t="n">
        <x:f>L565*M565</x:f>
        <x:v>0</x:v>
      </x:c>
      <x:c r="O565" s="37" t="n">
        <x:v>0</x:v>
      </x:c>
      <x:c r="P565" s="35" t="n">
        <x:f>L565*O565</x:f>
        <x:v>0</x:v>
      </x:c>
      <x:c r="Q565" s="35" t="n">
        <x:v>0</x:v>
      </x:c>
      <x:c r="R565" s="35" t="n">
        <x:f>K565*Q565</x:f>
        <x:v>0</x:v>
      </x:c>
      <x:c r="S565" s="35" t="n">
        <x:f>XLOOKUP(H565,'菜品主数据'!$A$5:$A$24,'菜品主数据'!$G$5:$G$24,0)</x:f>
        <x:v>8.634400000000001</x:v>
      </x:c>
      <x:c r="T565" s="35" t="n">
        <x:f>K565*S565</x:f>
        <x:v>414.4512000000001</x:v>
      </x:c>
      <x:c r="U565" s="35" t="n">
        <x:f>L565-N565-P565-R565-T565</x:f>
        <x:v>977.5487999999999</x:v>
      </x:c>
      <x:c r="V565" s="21" t="n">
        <x:f>IFERROR(U565/L565,0)</x:f>
        <x:v>0.7022620689655171</x:v>
      </x:c>
    </x:row>
    <x:row r="566">
      <x:c r="A566" s="19" t="str">
        <x:v>SALE-00562</x:v>
      </x:c>
      <x:c r="B566" s="34" t="n">
        <x:v>46210.5</x:v>
      </x:c>
      <x:c r="C566" s="19" t="str">
        <x:v>周二</x:v>
      </x:c>
      <x:c r="D566" s="19" t="str">
        <x:v>S03</x:v>
      </x:c>
      <x:c r="E566" s="19" t="str">
        <x:v>铂悦城店</x:v>
      </x:c>
      <x:c r="F566" s="19" t="str">
        <x:v>堂食</x:v>
      </x:c>
      <x:c r="G566" s="19" t="str">
        <x:v>全日</x:v>
      </x:c>
      <x:c r="H566" s="19" t="str">
        <x:v>D02</x:v>
      </x:c>
      <x:c r="I566" s="19" t="str">
        <x:v>小炒黄牛肉</x:v>
      </x:c>
      <x:c r="J566" s="22" t="n">
        <x:f>XLOOKUP(H566,'菜品主数据'!$A$5:$A$24,'菜品主数据'!$D$5:$D$24,0)</x:f>
        <x:v>49</x:v>
      </x:c>
      <x:c r="K566" s="31" t="n">
        <x:v>25</x:v>
      </x:c>
      <x:c r="L566" s="35" t="n">
        <x:f>J566*K566</x:f>
        <x:v>1225</x:v>
      </x:c>
      <x:c r="M566" s="36" t="n">
        <x:v>0</x:v>
      </x:c>
      <x:c r="N566" s="35" t="n">
        <x:f>L566*M566</x:f>
        <x:v>0</x:v>
      </x:c>
      <x:c r="O566" s="37" t="n">
        <x:v>0</x:v>
      </x:c>
      <x:c r="P566" s="35" t="n">
        <x:f>L566*O566</x:f>
        <x:v>0</x:v>
      </x:c>
      <x:c r="Q566" s="35" t="n">
        <x:v>0</x:v>
      </x:c>
      <x:c r="R566" s="35" t="n">
        <x:f>K566*Q566</x:f>
        <x:v>0</x:v>
      </x:c>
      <x:c r="S566" s="35" t="n">
        <x:f>XLOOKUP(H566,'菜品主数据'!$A$5:$A$24,'菜品主数据'!$G$5:$G$24,0)</x:f>
        <x:v>17.577</x:v>
      </x:c>
      <x:c r="T566" s="35" t="n">
        <x:f>K566*S566</x:f>
        <x:v>439.42500000000007</x:v>
      </x:c>
      <x:c r="U566" s="35" t="n">
        <x:f>L566-N566-P566-R566-T566</x:f>
        <x:v>785.5749999999999</x:v>
      </x:c>
      <x:c r="V566" s="21" t="n">
        <x:f>IFERROR(U566/L566,0)</x:f>
        <x:v>0.6412857142857142</x:v>
      </x:c>
    </x:row>
    <x:row r="567">
      <x:c r="A567" s="19" t="str">
        <x:v>SALE-00563</x:v>
      </x:c>
      <x:c r="B567" s="34" t="n">
        <x:v>46210.5</x:v>
      </x:c>
      <x:c r="C567" s="19" t="str">
        <x:v>周二</x:v>
      </x:c>
      <x:c r="D567" s="19" t="str">
        <x:v>S03</x:v>
      </x:c>
      <x:c r="E567" s="19" t="str">
        <x:v>铂悦城店</x:v>
      </x:c>
      <x:c r="F567" s="19" t="str">
        <x:v>堂食</x:v>
      </x:c>
      <x:c r="G567" s="19" t="str">
        <x:v>全日</x:v>
      </x:c>
      <x:c r="H567" s="19" t="str">
        <x:v>D03</x:v>
      </x:c>
      <x:c r="I567" s="19" t="str">
        <x:v>香醋炒蛋</x:v>
      </x:c>
      <x:c r="J567" s="22" t="n">
        <x:f>XLOOKUP(H567,'菜品主数据'!$A$5:$A$24,'菜品主数据'!$D$5:$D$24,0)</x:f>
        <x:v>14.9</x:v>
      </x:c>
      <x:c r="K567" s="31" t="n">
        <x:v>42</x:v>
      </x:c>
      <x:c r="L567" s="35" t="n">
        <x:f>J567*K567</x:f>
        <x:v>625.8000000000001</x:v>
      </x:c>
      <x:c r="M567" s="36" t="n">
        <x:v>0</x:v>
      </x:c>
      <x:c r="N567" s="35" t="n">
        <x:f>L567*M567</x:f>
        <x:v>0</x:v>
      </x:c>
      <x:c r="O567" s="37" t="n">
        <x:v>0</x:v>
      </x:c>
      <x:c r="P567" s="35" t="n">
        <x:f>L567*O567</x:f>
        <x:v>0</x:v>
      </x:c>
      <x:c r="Q567" s="35" t="n">
        <x:v>0</x:v>
      </x:c>
      <x:c r="R567" s="35" t="n">
        <x:f>K567*Q567</x:f>
        <x:v>0</x:v>
      </x:c>
      <x:c r="S567" s="35" t="n">
        <x:f>XLOOKUP(H567,'菜品主数据'!$A$5:$A$24,'菜品主数据'!$G$5:$G$24,0)</x:f>
        <x:v>3.7459999999999996</x:v>
      </x:c>
      <x:c r="T567" s="35" t="n">
        <x:f>K567*S567</x:f>
        <x:v>157.332</x:v>
      </x:c>
      <x:c r="U567" s="35" t="n">
        <x:f>L567-N567-P567-R567-T567</x:f>
        <x:v>468.4680000000001</x:v>
      </x:c>
      <x:c r="V567" s="21" t="n">
        <x:f>IFERROR(U567/L567,0)</x:f>
        <x:v>0.7485906040268456</x:v>
      </x:c>
    </x:row>
    <x:row r="568">
      <x:c r="A568" s="19" t="str">
        <x:v>SALE-00564</x:v>
      </x:c>
      <x:c r="B568" s="34" t="n">
        <x:v>46210.5</x:v>
      </x:c>
      <x:c r="C568" s="19" t="str">
        <x:v>周二</x:v>
      </x:c>
      <x:c r="D568" s="19" t="str">
        <x:v>S03</x:v>
      </x:c>
      <x:c r="E568" s="19" t="str">
        <x:v>铂悦城店</x:v>
      </x:c>
      <x:c r="F568" s="19" t="str">
        <x:v>堂食</x:v>
      </x:c>
      <x:c r="G568" s="19" t="str">
        <x:v>全日</x:v>
      </x:c>
      <x:c r="H568" s="19" t="str">
        <x:v>D04</x:v>
      </x:c>
      <x:c r="I568" s="19" t="str">
        <x:v>酸包菜炒粉皮</x:v>
      </x:c>
      <x:c r="J568" s="22" t="n">
        <x:f>XLOOKUP(H568,'菜品主数据'!$A$5:$A$24,'菜品主数据'!$D$5:$D$24,0)</x:f>
        <x:v>16</x:v>
      </x:c>
      <x:c r="K568" s="31" t="n">
        <x:v>38</x:v>
      </x:c>
      <x:c r="L568" s="35" t="n">
        <x:f>J568*K568</x:f>
        <x:v>608</x:v>
      </x:c>
      <x:c r="M568" s="36" t="n">
        <x:v>0</x:v>
      </x:c>
      <x:c r="N568" s="35" t="n">
        <x:f>L568*M568</x:f>
        <x:v>0</x:v>
      </x:c>
      <x:c r="O568" s="37" t="n">
        <x:v>0</x:v>
      </x:c>
      <x:c r="P568" s="35" t="n">
        <x:f>L568*O568</x:f>
        <x:v>0</x:v>
      </x:c>
      <x:c r="Q568" s="35" t="n">
        <x:v>0</x:v>
      </x:c>
      <x:c r="R568" s="35" t="n">
        <x:f>K568*Q568</x:f>
        <x:v>0</x:v>
      </x:c>
      <x:c r="S568" s="35" t="n">
        <x:f>XLOOKUP(H568,'菜品主数据'!$A$5:$A$24,'菜品主数据'!$G$5:$G$24,0)</x:f>
        <x:v>3.978</x:v>
      </x:c>
      <x:c r="T568" s="35" t="n">
        <x:f>K568*S568</x:f>
        <x:v>151.16400000000002</x:v>
      </x:c>
      <x:c r="U568" s="35" t="n">
        <x:f>L568-N568-P568-R568-T568</x:f>
        <x:v>456.836</x:v>
      </x:c>
      <x:c r="V568" s="21" t="n">
        <x:f>IFERROR(U568/L568,0)</x:f>
        <x:v>0.751375</x:v>
      </x:c>
    </x:row>
    <x:row r="569">
      <x:c r="A569" s="19" t="str">
        <x:v>SALE-00565</x:v>
      </x:c>
      <x:c r="B569" s="34" t="n">
        <x:v>46210.5</x:v>
      </x:c>
      <x:c r="C569" s="19" t="str">
        <x:v>周二</x:v>
      </x:c>
      <x:c r="D569" s="19" t="str">
        <x:v>S03</x:v>
      </x:c>
      <x:c r="E569" s="19" t="str">
        <x:v>铂悦城店</x:v>
      </x:c>
      <x:c r="F569" s="19" t="str">
        <x:v>堂食</x:v>
      </x:c>
      <x:c r="G569" s="19" t="str">
        <x:v>全日</x:v>
      </x:c>
      <x:c r="H569" s="19" t="str">
        <x:v>D05</x:v>
      </x:c>
      <x:c r="I569" s="19" t="str">
        <x:v>麻婆豆腐</x:v>
      </x:c>
      <x:c r="J569" s="22" t="n">
        <x:f>XLOOKUP(H569,'菜品主数据'!$A$5:$A$24,'菜品主数据'!$D$5:$D$24,0)</x:f>
        <x:v>9.9</x:v>
      </x:c>
      <x:c r="K569" s="31" t="n">
        <x:v>50</x:v>
      </x:c>
      <x:c r="L569" s="35" t="n">
        <x:f>J569*K569</x:f>
        <x:v>495</x:v>
      </x:c>
      <x:c r="M569" s="36" t="n">
        <x:v>0</x:v>
      </x:c>
      <x:c r="N569" s="35" t="n">
        <x:f>L569*M569</x:f>
        <x:v>0</x:v>
      </x:c>
      <x:c r="O569" s="37" t="n">
        <x:v>0</x:v>
      </x:c>
      <x:c r="P569" s="35" t="n">
        <x:f>L569*O569</x:f>
        <x:v>0</x:v>
      </x:c>
      <x:c r="Q569" s="35" t="n">
        <x:v>0</x:v>
      </x:c>
      <x:c r="R569" s="35" t="n">
        <x:f>K569*Q569</x:f>
        <x:v>0</x:v>
      </x:c>
      <x:c r="S569" s="35" t="n">
        <x:f>XLOOKUP(H569,'菜品主数据'!$A$5:$A$24,'菜品主数据'!$G$5:$G$24,0)</x:f>
        <x:v>5.367000000000001</x:v>
      </x:c>
      <x:c r="T569" s="35" t="n">
        <x:f>K569*S569</x:f>
        <x:v>268.35</x:v>
      </x:c>
      <x:c r="U569" s="35" t="n">
        <x:f>L569-N569-P569-R569-T569</x:f>
        <x:v>226.64999999999998</x:v>
      </x:c>
      <x:c r="V569" s="21" t="n">
        <x:f>IFERROR(U569/L569,0)</x:f>
        <x:v>0.45787878787878783</x:v>
      </x:c>
    </x:row>
    <x:row r="570">
      <x:c r="A570" s="19" t="str">
        <x:v>SALE-00566</x:v>
      </x:c>
      <x:c r="B570" s="34" t="n">
        <x:v>46210.5</x:v>
      </x:c>
      <x:c r="C570" s="19" t="str">
        <x:v>周二</x:v>
      </x:c>
      <x:c r="D570" s="19" t="str">
        <x:v>S03</x:v>
      </x:c>
      <x:c r="E570" s="19" t="str">
        <x:v>铂悦城店</x:v>
      </x:c>
      <x:c r="F570" s="19" t="str">
        <x:v>堂食</x:v>
      </x:c>
      <x:c r="G570" s="19" t="str">
        <x:v>全日</x:v>
      </x:c>
      <x:c r="H570" s="19" t="str">
        <x:v>D06</x:v>
      </x:c>
      <x:c r="I570" s="19" t="str">
        <x:v>剁椒鱼头</x:v>
      </x:c>
      <x:c r="J570" s="22" t="n">
        <x:f>XLOOKUP(H570,'菜品主数据'!$A$5:$A$24,'菜品主数据'!$D$5:$D$24,0)</x:f>
        <x:v>39</x:v>
      </x:c>
      <x:c r="K570" s="31" t="n">
        <x:v>12</x:v>
      </x:c>
      <x:c r="L570" s="35" t="n">
        <x:f>J570*K570</x:f>
        <x:v>468</x:v>
      </x:c>
      <x:c r="M570" s="36" t="n">
        <x:v>0</x:v>
      </x:c>
      <x:c r="N570" s="35" t="n">
        <x:f>L570*M570</x:f>
        <x:v>0</x:v>
      </x:c>
      <x:c r="O570" s="37" t="n">
        <x:v>0</x:v>
      </x:c>
      <x:c r="P570" s="35" t="n">
        <x:f>L570*O570</x:f>
        <x:v>0</x:v>
      </x:c>
      <x:c r="Q570" s="35" t="n">
        <x:v>0</x:v>
      </x:c>
      <x:c r="R570" s="35" t="n">
        <x:f>K570*Q570</x:f>
        <x:v>0</x:v>
      </x:c>
      <x:c r="S570" s="35" t="n">
        <x:f>XLOOKUP(H570,'菜品主数据'!$A$5:$A$24,'菜品主数据'!$G$5:$G$24,0)</x:f>
        <x:v>17.446</x:v>
      </x:c>
      <x:c r="T570" s="35" t="n">
        <x:f>K570*S570</x:f>
        <x:v>209.35200000000003</x:v>
      </x:c>
      <x:c r="U570" s="35" t="n">
        <x:f>L570-N570-P570-R570-T570</x:f>
        <x:v>258.64799999999997</x:v>
      </x:c>
      <x:c r="V570" s="21" t="n">
        <x:f>IFERROR(U570/L570,0)</x:f>
        <x:v>0.5526666666666666</x:v>
      </x:c>
    </x:row>
    <x:row r="571">
      <x:c r="A571" s="19" t="str">
        <x:v>SALE-00567</x:v>
      </x:c>
      <x:c r="B571" s="34" t="n">
        <x:v>46210.5</x:v>
      </x:c>
      <x:c r="C571" s="19" t="str">
        <x:v>周二</x:v>
      </x:c>
      <x:c r="D571" s="19" t="str">
        <x:v>S03</x:v>
      </x:c>
      <x:c r="E571" s="19" t="str">
        <x:v>铂悦城店</x:v>
      </x:c>
      <x:c r="F571" s="19" t="str">
        <x:v>堂食</x:v>
      </x:c>
      <x:c r="G571" s="19" t="str">
        <x:v>全日</x:v>
      </x:c>
      <x:c r="H571" s="19" t="str">
        <x:v>D07</x:v>
      </x:c>
      <x:c r="I571" s="19" t="str">
        <x:v>川味回锅肉</x:v>
      </x:c>
      <x:c r="J571" s="22" t="n">
        <x:f>XLOOKUP(H571,'菜品主数据'!$A$5:$A$24,'菜品主数据'!$D$5:$D$24,0)</x:f>
        <x:v>29</x:v>
      </x:c>
      <x:c r="K571" s="31" t="n">
        <x:v>16</x:v>
      </x:c>
      <x:c r="L571" s="35" t="n">
        <x:f>J571*K571</x:f>
        <x:v>464</x:v>
      </x:c>
      <x:c r="M571" s="36" t="n">
        <x:v>0</x:v>
      </x:c>
      <x:c r="N571" s="35" t="n">
        <x:f>L571*M571</x:f>
        <x:v>0</x:v>
      </x:c>
      <x:c r="O571" s="37" t="n">
        <x:v>0</x:v>
      </x:c>
      <x:c r="P571" s="35" t="n">
        <x:f>L571*O571</x:f>
        <x:v>0</x:v>
      </x:c>
      <x:c r="Q571" s="35" t="n">
        <x:v>0</x:v>
      </x:c>
      <x:c r="R571" s="35" t="n">
        <x:f>K571*Q571</x:f>
        <x:v>0</x:v>
      </x:c>
      <x:c r="S571" s="35" t="n">
        <x:f>XLOOKUP(H571,'菜品主数据'!$A$5:$A$24,'菜品主数据'!$G$5:$G$24,0)</x:f>
        <x:v>10.231000000000002</x:v>
      </x:c>
      <x:c r="T571" s="35" t="n">
        <x:f>K571*S571</x:f>
        <x:v>163.69600000000003</x:v>
      </x:c>
      <x:c r="U571" s="35" t="n">
        <x:f>L571-N571-P571-R571-T571</x:f>
        <x:v>300.304</x:v>
      </x:c>
      <x:c r="V571" s="21" t="n">
        <x:f>IFERROR(U571/L571,0)</x:f>
        <x:v>0.647206896551724</x:v>
      </x:c>
    </x:row>
    <x:row r="572">
      <x:c r="A572" s="19" t="str">
        <x:v>SALE-00568</x:v>
      </x:c>
      <x:c r="B572" s="34" t="n">
        <x:v>46210.5</x:v>
      </x:c>
      <x:c r="C572" s="19" t="str">
        <x:v>周二</x:v>
      </x:c>
      <x:c r="D572" s="19" t="str">
        <x:v>S03</x:v>
      </x:c>
      <x:c r="E572" s="19" t="str">
        <x:v>铂悦城店</x:v>
      </x:c>
      <x:c r="F572" s="19" t="str">
        <x:v>堂食</x:v>
      </x:c>
      <x:c r="G572" s="19" t="str">
        <x:v>全日</x:v>
      </x:c>
      <x:c r="H572" s="19" t="str">
        <x:v>D08</x:v>
      </x:c>
      <x:c r="I572" s="19" t="str">
        <x:v>生炒清远鸡</x:v>
      </x:c>
      <x:c r="J572" s="22" t="n">
        <x:f>XLOOKUP(H572,'菜品主数据'!$A$5:$A$24,'菜品主数据'!$D$5:$D$24,0)</x:f>
        <x:v>36</x:v>
      </x:c>
      <x:c r="K572" s="31" t="n">
        <x:v>10</x:v>
      </x:c>
      <x:c r="L572" s="35" t="n">
        <x:f>J572*K572</x:f>
        <x:v>360</x:v>
      </x:c>
      <x:c r="M572" s="36" t="n">
        <x:v>0</x:v>
      </x:c>
      <x:c r="N572" s="35" t="n">
        <x:f>L572*M572</x:f>
        <x:v>0</x:v>
      </x:c>
      <x:c r="O572" s="37" t="n">
        <x:v>0</x:v>
      </x:c>
      <x:c r="P572" s="35" t="n">
        <x:f>L572*O572</x:f>
        <x:v>0</x:v>
      </x:c>
      <x:c r="Q572" s="35" t="n">
        <x:v>0</x:v>
      </x:c>
      <x:c r="R572" s="35" t="n">
        <x:f>K572*Q572</x:f>
        <x:v>0</x:v>
      </x:c>
      <x:c r="S572" s="35" t="n">
        <x:f>XLOOKUP(H572,'菜品主数据'!$A$5:$A$24,'菜品主数据'!$G$5:$G$24,0)</x:f>
        <x:v>13.48</x:v>
      </x:c>
      <x:c r="T572" s="35" t="n">
        <x:f>K572*S572</x:f>
        <x:v>134.8</x:v>
      </x:c>
      <x:c r="U572" s="35" t="n">
        <x:f>L572-N572-P572-R572-T572</x:f>
        <x:v>225.2</x:v>
      </x:c>
      <x:c r="V572" s="21" t="n">
        <x:f>IFERROR(U572/L572,0)</x:f>
        <x:v>0.6255555555555555</x:v>
      </x:c>
    </x:row>
    <x:row r="573">
      <x:c r="A573" s="19" t="str">
        <x:v>SALE-00569</x:v>
      </x:c>
      <x:c r="B573" s="34" t="n">
        <x:v>46210.5</x:v>
      </x:c>
      <x:c r="C573" s="19" t="str">
        <x:v>周二</x:v>
      </x:c>
      <x:c r="D573" s="19" t="str">
        <x:v>S03</x:v>
      </x:c>
      <x:c r="E573" s="19" t="str">
        <x:v>铂悦城店</x:v>
      </x:c>
      <x:c r="F573" s="19" t="str">
        <x:v>堂食</x:v>
      </x:c>
      <x:c r="G573" s="19" t="str">
        <x:v>全日</x:v>
      </x:c>
      <x:c r="H573" s="19" t="str">
        <x:v>D09</x:v>
      </x:c>
      <x:c r="I573" s="19" t="str">
        <x:v>炒豆干</x:v>
      </x:c>
      <x:c r="J573" s="22" t="n">
        <x:f>XLOOKUP(H573,'菜品主数据'!$A$5:$A$24,'菜品主数据'!$D$5:$D$24,0)</x:f>
        <x:v>18</x:v>
      </x:c>
      <x:c r="K573" s="31" t="n">
        <x:v>16</x:v>
      </x:c>
      <x:c r="L573" s="35" t="n">
        <x:f>J573*K573</x:f>
        <x:v>288</x:v>
      </x:c>
      <x:c r="M573" s="36" t="n">
        <x:v>0</x:v>
      </x:c>
      <x:c r="N573" s="35" t="n">
        <x:f>L573*M573</x:f>
        <x:v>0</x:v>
      </x:c>
      <x:c r="O573" s="37" t="n">
        <x:v>0</x:v>
      </x:c>
      <x:c r="P573" s="35" t="n">
        <x:f>L573*O573</x:f>
        <x:v>0</x:v>
      </x:c>
      <x:c r="Q573" s="35" t="n">
        <x:v>0</x:v>
      </x:c>
      <x:c r="R573" s="35" t="n">
        <x:f>K573*Q573</x:f>
        <x:v>0</x:v>
      </x:c>
      <x:c r="S573" s="35" t="n">
        <x:f>XLOOKUP(H573,'菜品主数据'!$A$5:$A$24,'菜品主数据'!$G$5:$G$24,0)</x:f>
        <x:v>6.613999999999999</x:v>
      </x:c>
      <x:c r="T573" s="35" t="n">
        <x:f>K573*S573</x:f>
        <x:v>105.82399999999998</x:v>
      </x:c>
      <x:c r="U573" s="35" t="n">
        <x:f>L573-N573-P573-R573-T573</x:f>
        <x:v>182.17600000000002</x:v>
      </x:c>
      <x:c r="V573" s="21" t="n">
        <x:f>IFERROR(U573/L573,0)</x:f>
        <x:v>0.6325555555555556</x:v>
      </x:c>
    </x:row>
    <x:row r="574">
      <x:c r="A574" s="19" t="str">
        <x:v>SALE-00570</x:v>
      </x:c>
      <x:c r="B574" s="34" t="n">
        <x:v>46210.5</x:v>
      </x:c>
      <x:c r="C574" s="19" t="str">
        <x:v>周二</x:v>
      </x:c>
      <x:c r="D574" s="19" t="str">
        <x:v>S03</x:v>
      </x:c>
      <x:c r="E574" s="19" t="str">
        <x:v>铂悦城店</x:v>
      </x:c>
      <x:c r="F574" s="19" t="str">
        <x:v>堂食</x:v>
      </x:c>
      <x:c r="G574" s="19" t="str">
        <x:v>全日</x:v>
      </x:c>
      <x:c r="H574" s="19" t="str">
        <x:v>D10</x:v>
      </x:c>
      <x:c r="I574" s="19" t="str">
        <x:v>农家一碗香</x:v>
      </x:c>
      <x:c r="J574" s="22" t="n">
        <x:f>XLOOKUP(H574,'菜品主数据'!$A$5:$A$24,'菜品主数据'!$D$5:$D$24,0)</x:f>
        <x:v>22.9</x:v>
      </x:c>
      <x:c r="K574" s="31" t="n">
        <x:v>17</x:v>
      </x:c>
      <x:c r="L574" s="35" t="n">
        <x:f>J574*K574</x:f>
        <x:v>389.29999999999995</x:v>
      </x:c>
      <x:c r="M574" s="36" t="n">
        <x:v>0</x:v>
      </x:c>
      <x:c r="N574" s="35" t="n">
        <x:f>L574*M574</x:f>
        <x:v>0</x:v>
      </x:c>
      <x:c r="O574" s="37" t="n">
        <x:v>0</x:v>
      </x:c>
      <x:c r="P574" s="35" t="n">
        <x:f>L574*O574</x:f>
        <x:v>0</x:v>
      </x:c>
      <x:c r="Q574" s="35" t="n">
        <x:v>0</x:v>
      </x:c>
      <x:c r="R574" s="35" t="n">
        <x:f>K574*Q574</x:f>
        <x:v>0</x:v>
      </x:c>
      <x:c r="S574" s="35" t="n">
        <x:f>XLOOKUP(H574,'菜品主数据'!$A$5:$A$24,'菜品主数据'!$G$5:$G$24,0)</x:f>
        <x:v>9.770200000000003</x:v>
      </x:c>
      <x:c r="T574" s="35" t="n">
        <x:f>K574*S574</x:f>
        <x:v>166.09340000000003</x:v>
      </x:c>
      <x:c r="U574" s="35" t="n">
        <x:f>L574-N574-P574-R574-T574</x:f>
        <x:v>223.20659999999992</x:v>
      </x:c>
      <x:c r="V574" s="21" t="n">
        <x:f>IFERROR(U574/L574,0)</x:f>
        <x:v>0.5733537117903929</x:v>
      </x:c>
    </x:row>
    <x:row r="575">
      <x:c r="A575" s="19" t="str">
        <x:v>SALE-00571</x:v>
      </x:c>
      <x:c r="B575" s="34" t="n">
        <x:v>46210.5</x:v>
      </x:c>
      <x:c r="C575" s="19" t="str">
        <x:v>周二</x:v>
      </x:c>
      <x:c r="D575" s="19" t="str">
        <x:v>S03</x:v>
      </x:c>
      <x:c r="E575" s="19" t="str">
        <x:v>铂悦城店</x:v>
      </x:c>
      <x:c r="F575" s="19" t="str">
        <x:v>堂食</x:v>
      </x:c>
      <x:c r="G575" s="19" t="str">
        <x:v>全日</x:v>
      </x:c>
      <x:c r="H575" s="19" t="str">
        <x:v>D11</x:v>
      </x:c>
      <x:c r="I575" s="19" t="str">
        <x:v>香辣爆肥肠</x:v>
      </x:c>
      <x:c r="J575" s="22" t="n">
        <x:f>XLOOKUP(H575,'菜品主数据'!$A$5:$A$24,'菜品主数据'!$D$5:$D$24,0)</x:f>
        <x:v>39</x:v>
      </x:c>
      <x:c r="K575" s="31" t="n">
        <x:v>7</x:v>
      </x:c>
      <x:c r="L575" s="35" t="n">
        <x:f>J575*K575</x:f>
        <x:v>273</x:v>
      </x:c>
      <x:c r="M575" s="36" t="n">
        <x:v>0</x:v>
      </x:c>
      <x:c r="N575" s="35" t="n">
        <x:f>L575*M575</x:f>
        <x:v>0</x:v>
      </x:c>
      <x:c r="O575" s="37" t="n">
        <x:v>0</x:v>
      </x:c>
      <x:c r="P575" s="35" t="n">
        <x:f>L575*O575</x:f>
        <x:v>0</x:v>
      </x:c>
      <x:c r="Q575" s="35" t="n">
        <x:v>0</x:v>
      </x:c>
      <x:c r="R575" s="35" t="n">
        <x:f>K575*Q575</x:f>
        <x:v>0</x:v>
      </x:c>
      <x:c r="S575" s="35" t="n">
        <x:f>XLOOKUP(H575,'菜品主数据'!$A$5:$A$24,'菜品主数据'!$G$5:$G$24,0)</x:f>
        <x:v>10.397</x:v>
      </x:c>
      <x:c r="T575" s="35" t="n">
        <x:f>K575*S575</x:f>
        <x:v>72.779</x:v>
      </x:c>
      <x:c r="U575" s="35" t="n">
        <x:f>L575-N575-P575-R575-T575</x:f>
        <x:v>200.221</x:v>
      </x:c>
      <x:c r="V575" s="21" t="n">
        <x:f>IFERROR(U575/L575,0)</x:f>
        <x:v>0.7334102564102565</x:v>
      </x:c>
    </x:row>
    <x:row r="576">
      <x:c r="A576" s="19" t="str">
        <x:v>SALE-00572</x:v>
      </x:c>
      <x:c r="B576" s="34" t="n">
        <x:v>46210.5</x:v>
      </x:c>
      <x:c r="C576" s="19" t="str">
        <x:v>周二</x:v>
      </x:c>
      <x:c r="D576" s="19" t="str">
        <x:v>S03</x:v>
      </x:c>
      <x:c r="E576" s="19" t="str">
        <x:v>铂悦城店</x:v>
      </x:c>
      <x:c r="F576" s="19" t="str">
        <x:v>堂食</x:v>
      </x:c>
      <x:c r="G576" s="19" t="str">
        <x:v>全日</x:v>
      </x:c>
      <x:c r="H576" s="19" t="str">
        <x:v>D12</x:v>
      </x:c>
      <x:c r="I576" s="19" t="str">
        <x:v>清蒸鲈鱼</x:v>
      </x:c>
      <x:c r="J576" s="22" t="n">
        <x:f>XLOOKUP(H576,'菜品主数据'!$A$5:$A$24,'菜品主数据'!$D$5:$D$24,0)</x:f>
        <x:v>39</x:v>
      </x:c>
      <x:c r="K576" s="31" t="n">
        <x:v>7</x:v>
      </x:c>
      <x:c r="L576" s="35" t="n">
        <x:f>J576*K576</x:f>
        <x:v>273</x:v>
      </x:c>
      <x:c r="M576" s="36" t="n">
        <x:v>0</x:v>
      </x:c>
      <x:c r="N576" s="35" t="n">
        <x:f>L576*M576</x:f>
        <x:v>0</x:v>
      </x:c>
      <x:c r="O576" s="37" t="n">
        <x:v>0</x:v>
      </x:c>
      <x:c r="P576" s="35" t="n">
        <x:f>L576*O576</x:f>
        <x:v>0</x:v>
      </x:c>
      <x:c r="Q576" s="35" t="n">
        <x:v>0</x:v>
      </x:c>
      <x:c r="R576" s="35" t="n">
        <x:f>K576*Q576</x:f>
        <x:v>0</x:v>
      </x:c>
      <x:c r="S576" s="35" t="n">
        <x:f>XLOOKUP(H576,'菜品主数据'!$A$5:$A$24,'菜品主数据'!$G$5:$G$24,0)</x:f>
        <x:v>18.874</x:v>
      </x:c>
      <x:c r="T576" s="35" t="n">
        <x:f>K576*S576</x:f>
        <x:v>132.118</x:v>
      </x:c>
      <x:c r="U576" s="35" t="n">
        <x:f>L576-N576-P576-R576-T576</x:f>
        <x:v>140.882</x:v>
      </x:c>
      <x:c r="V576" s="21" t="n">
        <x:f>IFERROR(U576/L576,0)</x:f>
        <x:v>0.516051282051282</x:v>
      </x:c>
    </x:row>
    <x:row r="577">
      <x:c r="A577" s="19" t="str">
        <x:v>SALE-00573</x:v>
      </x:c>
      <x:c r="B577" s="34" t="n">
        <x:v>46210.5</x:v>
      </x:c>
      <x:c r="C577" s="19" t="str">
        <x:v>周二</x:v>
      </x:c>
      <x:c r="D577" s="19" t="str">
        <x:v>S03</x:v>
      </x:c>
      <x:c r="E577" s="19" t="str">
        <x:v>铂悦城店</x:v>
      </x:c>
      <x:c r="F577" s="19" t="str">
        <x:v>堂食</x:v>
      </x:c>
      <x:c r="G577" s="19" t="str">
        <x:v>全日</x:v>
      </x:c>
      <x:c r="H577" s="19" t="str">
        <x:v>D13</x:v>
      </x:c>
      <x:c r="I577" s="19" t="str">
        <x:v>外婆菜炒蛋</x:v>
      </x:c>
      <x:c r="J577" s="22" t="n">
        <x:f>XLOOKUP(H577,'菜品主数据'!$A$5:$A$24,'菜品主数据'!$D$5:$D$24,0)</x:f>
        <x:v>18</x:v>
      </x:c>
      <x:c r="K577" s="31" t="n">
        <x:v>15</x:v>
      </x:c>
      <x:c r="L577" s="35" t="n">
        <x:f>J577*K577</x:f>
        <x:v>270</x:v>
      </x:c>
      <x:c r="M577" s="36" t="n">
        <x:v>0</x:v>
      </x:c>
      <x:c r="N577" s="35" t="n">
        <x:f>L577*M577</x:f>
        <x:v>0</x:v>
      </x:c>
      <x:c r="O577" s="37" t="n">
        <x:v>0</x:v>
      </x:c>
      <x:c r="P577" s="35" t="n">
        <x:f>L577*O577</x:f>
        <x:v>0</x:v>
      </x:c>
      <x:c r="Q577" s="35" t="n">
        <x:v>0</x:v>
      </x:c>
      <x:c r="R577" s="35" t="n">
        <x:f>K577*Q577</x:f>
        <x:v>0</x:v>
      </x:c>
      <x:c r="S577" s="35" t="n">
        <x:f>XLOOKUP(H577,'菜品主数据'!$A$5:$A$24,'菜品主数据'!$G$5:$G$24,0)</x:f>
        <x:v>5.403999999999999</x:v>
      </x:c>
      <x:c r="T577" s="35" t="n">
        <x:f>K577*S577</x:f>
        <x:v>81.05999999999999</x:v>
      </x:c>
      <x:c r="U577" s="35" t="n">
        <x:f>L577-N577-P577-R577-T577</x:f>
        <x:v>188.94</x:v>
      </x:c>
      <x:c r="V577" s="21" t="n">
        <x:f>IFERROR(U577/L577,0)</x:f>
        <x:v>0.6997777777777777</x:v>
      </x:c>
    </x:row>
    <x:row r="578">
      <x:c r="A578" s="19" t="str">
        <x:v>SALE-00574</x:v>
      </x:c>
      <x:c r="B578" s="34" t="n">
        <x:v>46210.5</x:v>
      </x:c>
      <x:c r="C578" s="19" t="str">
        <x:v>周二</x:v>
      </x:c>
      <x:c r="D578" s="19" t="str">
        <x:v>S03</x:v>
      </x:c>
      <x:c r="E578" s="19" t="str">
        <x:v>铂悦城店</x:v>
      </x:c>
      <x:c r="F578" s="19" t="str">
        <x:v>堂食</x:v>
      </x:c>
      <x:c r="G578" s="19" t="str">
        <x:v>全日</x:v>
      </x:c>
      <x:c r="H578" s="19" t="str">
        <x:v>D14</x:v>
      </x:c>
      <x:c r="I578" s="19" t="str">
        <x:v>酸辣鸡杂</x:v>
      </x:c>
      <x:c r="J578" s="22" t="n">
        <x:f>XLOOKUP(H578,'菜品主数据'!$A$5:$A$24,'菜品主数据'!$D$5:$D$24,0)</x:f>
        <x:v>28</x:v>
      </x:c>
      <x:c r="K578" s="31" t="n">
        <x:v>8</x:v>
      </x:c>
      <x:c r="L578" s="35" t="n">
        <x:f>J578*K578</x:f>
        <x:v>224</x:v>
      </x:c>
      <x:c r="M578" s="36" t="n">
        <x:v>0</x:v>
      </x:c>
      <x:c r="N578" s="35" t="n">
        <x:f>L578*M578</x:f>
        <x:v>0</x:v>
      </x:c>
      <x:c r="O578" s="37" t="n">
        <x:v>0</x:v>
      </x:c>
      <x:c r="P578" s="35" t="n">
        <x:f>L578*O578</x:f>
        <x:v>0</x:v>
      </x:c>
      <x:c r="Q578" s="35" t="n">
        <x:v>0</x:v>
      </x:c>
      <x:c r="R578" s="35" t="n">
        <x:f>K578*Q578</x:f>
        <x:v>0</x:v>
      </x:c>
      <x:c r="S578" s="35" t="n">
        <x:f>XLOOKUP(H578,'菜品主数据'!$A$5:$A$24,'菜品主数据'!$G$5:$G$24,0)</x:f>
        <x:v>8.315000000000001</x:v>
      </x:c>
      <x:c r="T578" s="35" t="n">
        <x:f>K578*S578</x:f>
        <x:v>66.52000000000001</x:v>
      </x:c>
      <x:c r="U578" s="35" t="n">
        <x:f>L578-N578-P578-R578-T578</x:f>
        <x:v>157.48</x:v>
      </x:c>
      <x:c r="V578" s="21" t="n">
        <x:f>IFERROR(U578/L578,0)</x:f>
        <x:v>0.7030357142857142</x:v>
      </x:c>
    </x:row>
    <x:row r="579">
      <x:c r="A579" s="19" t="str">
        <x:v>SALE-00575</x:v>
      </x:c>
      <x:c r="B579" s="34" t="n">
        <x:v>46210.5</x:v>
      </x:c>
      <x:c r="C579" s="19" t="str">
        <x:v>周二</x:v>
      </x:c>
      <x:c r="D579" s="19" t="str">
        <x:v>S03</x:v>
      </x:c>
      <x:c r="E579" s="19" t="str">
        <x:v>铂悦城店</x:v>
      </x:c>
      <x:c r="F579" s="19" t="str">
        <x:v>堂食</x:v>
      </x:c>
      <x:c r="G579" s="19" t="str">
        <x:v>全日</x:v>
      </x:c>
      <x:c r="H579" s="19" t="str">
        <x:v>D15</x:v>
      </x:c>
      <x:c r="I579" s="19" t="str">
        <x:v>湘西土匪猪肝</x:v>
      </x:c>
      <x:c r="J579" s="22" t="n">
        <x:f>XLOOKUP(H579,'菜品主数据'!$A$5:$A$24,'菜品主数据'!$D$5:$D$24,0)</x:f>
        <x:v>26</x:v>
      </x:c>
      <x:c r="K579" s="31" t="n">
        <x:v>8</x:v>
      </x:c>
      <x:c r="L579" s="35" t="n">
        <x:f>J579*K579</x:f>
        <x:v>208</x:v>
      </x:c>
      <x:c r="M579" s="36" t="n">
        <x:v>0</x:v>
      </x:c>
      <x:c r="N579" s="35" t="n">
        <x:f>L579*M579</x:f>
        <x:v>0</x:v>
      </x:c>
      <x:c r="O579" s="37" t="n">
        <x:v>0</x:v>
      </x:c>
      <x:c r="P579" s="35" t="n">
        <x:f>L579*O579</x:f>
        <x:v>0</x:v>
      </x:c>
      <x:c r="Q579" s="35" t="n">
        <x:v>0</x:v>
      </x:c>
      <x:c r="R579" s="35" t="n">
        <x:f>K579*Q579</x:f>
        <x:v>0</x:v>
      </x:c>
      <x:c r="S579" s="35" t="n">
        <x:f>XLOOKUP(H579,'菜品主数据'!$A$5:$A$24,'菜品主数据'!$G$5:$G$24,0)</x:f>
        <x:v>6.3759999999999994</x:v>
      </x:c>
      <x:c r="T579" s="35" t="n">
        <x:f>K579*S579</x:f>
        <x:v>51.007999999999996</x:v>
      </x:c>
      <x:c r="U579" s="35" t="n">
        <x:f>L579-N579-P579-R579-T579</x:f>
        <x:v>156.99200000000002</x:v>
      </x:c>
      <x:c r="V579" s="21" t="n">
        <x:f>IFERROR(U579/L579,0)</x:f>
        <x:v>0.7547692307692309</x:v>
      </x:c>
    </x:row>
    <x:row r="580">
      <x:c r="A580" s="19" t="str">
        <x:v>SALE-00576</x:v>
      </x:c>
      <x:c r="B580" s="34" t="n">
        <x:v>46210.5</x:v>
      </x:c>
      <x:c r="C580" s="19" t="str">
        <x:v>周二</x:v>
      </x:c>
      <x:c r="D580" s="19" t="str">
        <x:v>S03</x:v>
      </x:c>
      <x:c r="E580" s="19" t="str">
        <x:v>铂悦城店</x:v>
      </x:c>
      <x:c r="F580" s="19" t="str">
        <x:v>堂食</x:v>
      </x:c>
      <x:c r="G580" s="19" t="str">
        <x:v>全日</x:v>
      </x:c>
      <x:c r="H580" s="19" t="str">
        <x:v>D16</x:v>
      </x:c>
      <x:c r="I580" s="19" t="str">
        <x:v>小豆角炒五花</x:v>
      </x:c>
      <x:c r="J580" s="22" t="n">
        <x:f>XLOOKUP(H580,'菜品主数据'!$A$5:$A$24,'菜品主数据'!$D$5:$D$24,0)</x:f>
        <x:v>25</x:v>
      </x:c>
      <x:c r="K580" s="31" t="n">
        <x:v>8</x:v>
      </x:c>
      <x:c r="L580" s="35" t="n">
        <x:f>J580*K580</x:f>
        <x:v>200</x:v>
      </x:c>
      <x:c r="M580" s="36" t="n">
        <x:v>0</x:v>
      </x:c>
      <x:c r="N580" s="35" t="n">
        <x:f>L580*M580</x:f>
        <x:v>0</x:v>
      </x:c>
      <x:c r="O580" s="37" t="n">
        <x:v>0</x:v>
      </x:c>
      <x:c r="P580" s="35" t="n">
        <x:f>L580*O580</x:f>
        <x:v>0</x:v>
      </x:c>
      <x:c r="Q580" s="35" t="n">
        <x:v>0</x:v>
      </x:c>
      <x:c r="R580" s="35" t="n">
        <x:f>K580*Q580</x:f>
        <x:v>0</x:v>
      </x:c>
      <x:c r="S580" s="35" t="n">
        <x:f>XLOOKUP(H580,'菜品主数据'!$A$5:$A$24,'菜品主数据'!$G$5:$G$24,0)</x:f>
        <x:v>8.184</x:v>
      </x:c>
      <x:c r="T580" s="35" t="n">
        <x:f>K580*S580</x:f>
        <x:v>65.472</x:v>
      </x:c>
      <x:c r="U580" s="35" t="n">
        <x:f>L580-N580-P580-R580-T580</x:f>
        <x:v>134.52800000000002</x:v>
      </x:c>
      <x:c r="V580" s="21" t="n">
        <x:f>IFERROR(U580/L580,0)</x:f>
        <x:v>0.6726400000000001</x:v>
      </x:c>
    </x:row>
    <x:row r="581">
      <x:c r="A581" s="19" t="str">
        <x:v>SALE-00577</x:v>
      </x:c>
      <x:c r="B581" s="34" t="n">
        <x:v>46210.5</x:v>
      </x:c>
      <x:c r="C581" s="19" t="str">
        <x:v>周二</x:v>
      </x:c>
      <x:c r="D581" s="19" t="str">
        <x:v>S03</x:v>
      </x:c>
      <x:c r="E581" s="19" t="str">
        <x:v>铂悦城店</x:v>
      </x:c>
      <x:c r="F581" s="19" t="str">
        <x:v>堂食</x:v>
      </x:c>
      <x:c r="G581" s="19" t="str">
        <x:v>全日</x:v>
      </x:c>
      <x:c r="H581" s="19" t="str">
        <x:v>D17</x:v>
      </x:c>
      <x:c r="I581" s="19" t="str">
        <x:v>蒜蓉粉丝虾</x:v>
      </x:c>
      <x:c r="J581" s="22" t="n">
        <x:f>XLOOKUP(H581,'菜品主数据'!$A$5:$A$24,'菜品主数据'!$D$5:$D$24,0)</x:f>
        <x:v>36</x:v>
      </x:c>
      <x:c r="K581" s="31" t="n">
        <x:v>5</x:v>
      </x:c>
      <x:c r="L581" s="35" t="n">
        <x:f>J581*K581</x:f>
        <x:v>180</x:v>
      </x:c>
      <x:c r="M581" s="36" t="n">
        <x:v>0</x:v>
      </x:c>
      <x:c r="N581" s="35" t="n">
        <x:f>L581*M581</x:f>
        <x:v>0</x:v>
      </x:c>
      <x:c r="O581" s="37" t="n">
        <x:v>0</x:v>
      </x:c>
      <x:c r="P581" s="35" t="n">
        <x:f>L581*O581</x:f>
        <x:v>0</x:v>
      </x:c>
      <x:c r="Q581" s="35" t="n">
        <x:v>0</x:v>
      </x:c>
      <x:c r="R581" s="35" t="n">
        <x:f>K581*Q581</x:f>
        <x:v>0</x:v>
      </x:c>
      <x:c r="S581" s="35" t="n">
        <x:f>XLOOKUP(H581,'菜品主数据'!$A$5:$A$24,'菜品主数据'!$G$5:$G$24,0)</x:f>
        <x:v>13.594</x:v>
      </x:c>
      <x:c r="T581" s="35" t="n">
        <x:f>K581*S581</x:f>
        <x:v>67.97</x:v>
      </x:c>
      <x:c r="U581" s="35" t="n">
        <x:f>L581-N581-P581-R581-T581</x:f>
        <x:v>112.03</x:v>
      </x:c>
      <x:c r="V581" s="21" t="n">
        <x:f>IFERROR(U581/L581,0)</x:f>
        <x:v>0.6223888888888889</x:v>
      </x:c>
    </x:row>
    <x:row r="582">
      <x:c r="A582" s="19" t="str">
        <x:v>SALE-00578</x:v>
      </x:c>
      <x:c r="B582" s="34" t="n">
        <x:v>46210.5</x:v>
      </x:c>
      <x:c r="C582" s="19" t="str">
        <x:v>周二</x:v>
      </x:c>
      <x:c r="D582" s="19" t="str">
        <x:v>S03</x:v>
      </x:c>
      <x:c r="E582" s="19" t="str">
        <x:v>铂悦城店</x:v>
      </x:c>
      <x:c r="F582" s="19" t="str">
        <x:v>堂食</x:v>
      </x:c>
      <x:c r="G582" s="19" t="str">
        <x:v>全日</x:v>
      </x:c>
      <x:c r="H582" s="19" t="str">
        <x:v>D18</x:v>
      </x:c>
      <x:c r="I582" s="19" t="str">
        <x:v>青椒炒油麦菜</x:v>
      </x:c>
      <x:c r="J582" s="22" t="n">
        <x:f>XLOOKUP(H582,'菜品主数据'!$A$5:$A$24,'菜品主数据'!$D$5:$D$24,0)</x:f>
        <x:v>18</x:v>
      </x:c>
      <x:c r="K582" s="31" t="n">
        <x:v>8</x:v>
      </x:c>
      <x:c r="L582" s="35" t="n">
        <x:f>J582*K582</x:f>
        <x:v>144</x:v>
      </x:c>
      <x:c r="M582" s="36" t="n">
        <x:v>0</x:v>
      </x:c>
      <x:c r="N582" s="35" t="n">
        <x:f>L582*M582</x:f>
        <x:v>0</x:v>
      </x:c>
      <x:c r="O582" s="37" t="n">
        <x:v>0</x:v>
      </x:c>
      <x:c r="P582" s="35" t="n">
        <x:f>L582*O582</x:f>
        <x:v>0</x:v>
      </x:c>
      <x:c r="Q582" s="35" t="n">
        <x:v>0</x:v>
      </x:c>
      <x:c r="R582" s="35" t="n">
        <x:f>K582*Q582</x:f>
        <x:v>0</x:v>
      </x:c>
      <x:c r="S582" s="35" t="n">
        <x:f>XLOOKUP(H582,'菜品主数据'!$A$5:$A$24,'菜品主数据'!$G$5:$G$24,0)</x:f>
        <x:v>3.1759999999999993</x:v>
      </x:c>
      <x:c r="T582" s="35" t="n">
        <x:f>K582*S582</x:f>
        <x:v>25.407999999999994</x:v>
      </x:c>
      <x:c r="U582" s="35" t="n">
        <x:f>L582-N582-P582-R582-T582</x:f>
        <x:v>118.59200000000001</x:v>
      </x:c>
      <x:c r="V582" s="21" t="n">
        <x:f>IFERROR(U582/L582,0)</x:f>
        <x:v>0.8235555555555556</x:v>
      </x:c>
    </x:row>
    <x:row r="583">
      <x:c r="A583" s="19" t="str">
        <x:v>SALE-00579</x:v>
      </x:c>
      <x:c r="B583" s="34" t="n">
        <x:v>46210.5</x:v>
      </x:c>
      <x:c r="C583" s="19" t="str">
        <x:v>周二</x:v>
      </x:c>
      <x:c r="D583" s="19" t="str">
        <x:v>S03</x:v>
      </x:c>
      <x:c r="E583" s="19" t="str">
        <x:v>铂悦城店</x:v>
      </x:c>
      <x:c r="F583" s="19" t="str">
        <x:v>堂食</x:v>
      </x:c>
      <x:c r="G583" s="19" t="str">
        <x:v>全日</x:v>
      </x:c>
      <x:c r="H583" s="19" t="str">
        <x:v>D19</x:v>
      </x:c>
      <x:c r="I583" s="19" t="str">
        <x:v>酸萝卜炒鸡杂</x:v>
      </x:c>
      <x:c r="J583" s="22" t="n">
        <x:f>XLOOKUP(H583,'菜品主数据'!$A$5:$A$24,'菜品主数据'!$D$5:$D$24,0)</x:f>
        <x:v>25</x:v>
      </x:c>
      <x:c r="K583" s="31" t="n">
        <x:v>7</x:v>
      </x:c>
      <x:c r="L583" s="35" t="n">
        <x:f>J583*K583</x:f>
        <x:v>175</x:v>
      </x:c>
      <x:c r="M583" s="36" t="n">
        <x:v>0</x:v>
      </x:c>
      <x:c r="N583" s="35" t="n">
        <x:f>L583*M583</x:f>
        <x:v>0</x:v>
      </x:c>
      <x:c r="O583" s="37" t="n">
        <x:v>0</x:v>
      </x:c>
      <x:c r="P583" s="35" t="n">
        <x:f>L583*O583</x:f>
        <x:v>0</x:v>
      </x:c>
      <x:c r="Q583" s="35" t="n">
        <x:v>0</x:v>
      </x:c>
      <x:c r="R583" s="35" t="n">
        <x:f>K583*Q583</x:f>
        <x:v>0</x:v>
      </x:c>
      <x:c r="S583" s="35" t="n">
        <x:f>XLOOKUP(H583,'菜品主数据'!$A$5:$A$24,'菜品主数据'!$G$5:$G$24,0)</x:f>
        <x:v>7.9399999999999995</x:v>
      </x:c>
      <x:c r="T583" s="35" t="n">
        <x:f>K583*S583</x:f>
        <x:v>55.58</x:v>
      </x:c>
      <x:c r="U583" s="35" t="n">
        <x:f>L583-N583-P583-R583-T583</x:f>
        <x:v>119.42</x:v>
      </x:c>
      <x:c r="V583" s="21" t="n">
        <x:f>IFERROR(U583/L583,0)</x:f>
        <x:v>0.6824</x:v>
      </x:c>
    </x:row>
    <x:row r="584">
      <x:c r="A584" s="19" t="str">
        <x:v>SALE-00580</x:v>
      </x:c>
      <x:c r="B584" s="34" t="n">
        <x:v>46210.5</x:v>
      </x:c>
      <x:c r="C584" s="19" t="str">
        <x:v>周二</x:v>
      </x:c>
      <x:c r="D584" s="19" t="str">
        <x:v>S03</x:v>
      </x:c>
      <x:c r="E584" s="19" t="str">
        <x:v>铂悦城店</x:v>
      </x:c>
      <x:c r="F584" s="19" t="str">
        <x:v>堂食</x:v>
      </x:c>
      <x:c r="G584" s="19" t="str">
        <x:v>全日</x:v>
      </x:c>
      <x:c r="H584" s="19" t="str">
        <x:v>D20</x:v>
      </x:c>
      <x:c r="I584" s="19" t="str">
        <x:v>雪菜肉末青豆</x:v>
      </x:c>
      <x:c r="J584" s="22" t="n">
        <x:f>XLOOKUP(H584,'菜品主数据'!$A$5:$A$24,'菜品主数据'!$D$5:$D$24,0)</x:f>
        <x:v>18</x:v>
      </x:c>
      <x:c r="K584" s="31" t="n">
        <x:v>9</x:v>
      </x:c>
      <x:c r="L584" s="35" t="n">
        <x:f>J584*K584</x:f>
        <x:v>162</x:v>
      </x:c>
      <x:c r="M584" s="36" t="n">
        <x:v>0</x:v>
      </x:c>
      <x:c r="N584" s="35" t="n">
        <x:f>L584*M584</x:f>
        <x:v>0</x:v>
      </x:c>
      <x:c r="O584" s="37" t="n">
        <x:v>0</x:v>
      </x:c>
      <x:c r="P584" s="35" t="n">
        <x:f>L584*O584</x:f>
        <x:v>0</x:v>
      </x:c>
      <x:c r="Q584" s="35" t="n">
        <x:v>0</x:v>
      </x:c>
      <x:c r="R584" s="35" t="n">
        <x:f>K584*Q584</x:f>
        <x:v>0</x:v>
      </x:c>
      <x:c r="S584" s="35" t="n">
        <x:f>XLOOKUP(H584,'菜品主数据'!$A$5:$A$24,'菜品主数据'!$G$5:$G$24,0)</x:f>
        <x:v>7.303999999999999</x:v>
      </x:c>
      <x:c r="T584" s="35" t="n">
        <x:f>K584*S584</x:f>
        <x:v>65.73599999999999</x:v>
      </x:c>
      <x:c r="U584" s="35" t="n">
        <x:f>L584-N584-P584-R584-T584</x:f>
        <x:v>96.26400000000001</x:v>
      </x:c>
      <x:c r="V584" s="21" t="n">
        <x:f>IFERROR(U584/L584,0)</x:f>
        <x:v>0.5942222222222223</x:v>
      </x:c>
    </x:row>
    <x:row r="585">
      <x:c r="A585" s="19" t="str">
        <x:v>SALE-00581</x:v>
      </x:c>
      <x:c r="B585" s="34" t="n">
        <x:v>46210.5</x:v>
      </x:c>
      <x:c r="C585" s="19" t="str">
        <x:v>周二</x:v>
      </x:c>
      <x:c r="D585" s="19" t="str">
        <x:v>S03</x:v>
      </x:c>
      <x:c r="E585" s="19" t="str">
        <x:v>铂悦城店</x:v>
      </x:c>
      <x:c r="F585" s="19" t="str">
        <x:v>外卖</x:v>
      </x:c>
      <x:c r="G585" s="19" t="str">
        <x:v>全日</x:v>
      </x:c>
      <x:c r="H585" s="19" t="str">
        <x:v>D01</x:v>
      </x:c>
      <x:c r="I585" s="19" t="str">
        <x:v>辣椒炒肉</x:v>
      </x:c>
      <x:c r="J585" s="22" t="n">
        <x:f>XLOOKUP(H585,'菜品主数据'!$A$5:$A$24,'菜品主数据'!$D$5:$D$24,0)</x:f>
        <x:v>29</x:v>
      </x:c>
      <x:c r="K585" s="31" t="n">
        <x:v>5</x:v>
      </x:c>
      <x:c r="L585" s="35" t="n">
        <x:f>J585*K585</x:f>
        <x:v>145</x:v>
      </x:c>
      <x:c r="M585" s="36" t="n">
        <x:v>0.08</x:v>
      </x:c>
      <x:c r="N585" s="35" t="n">
        <x:f>L585*M585</x:f>
        <x:v>11.6</x:v>
      </x:c>
      <x:c r="O585" s="37" t="n">
        <x:v>0.18</x:v>
      </x:c>
      <x:c r="P585" s="35" t="n">
        <x:f>L585*O585</x:f>
        <x:v>26.099999999999998</x:v>
      </x:c>
      <x:c r="Q585" s="35" t="n">
        <x:v>1.2</x:v>
      </x:c>
      <x:c r="R585" s="35" t="n">
        <x:f>K585*Q585</x:f>
        <x:v>6</x:v>
      </x:c>
      <x:c r="S585" s="35" t="n">
        <x:f>XLOOKUP(H585,'菜品主数据'!$A$5:$A$24,'菜品主数据'!$G$5:$G$24,0)</x:f>
        <x:v>8.634400000000001</x:v>
      </x:c>
      <x:c r="T585" s="35" t="n">
        <x:f>K585*S585</x:f>
        <x:v>43.172000000000004</x:v>
      </x:c>
      <x:c r="U585" s="35" t="n">
        <x:f>L585-N585-P585-R585-T585</x:f>
        <x:v>58.12800000000001</x:v>
      </x:c>
      <x:c r="V585" s="21" t="n">
        <x:f>IFERROR(U585/L585,0)</x:f>
        <x:v>0.4008827586206897</x:v>
      </x:c>
    </x:row>
    <x:row r="586">
      <x:c r="A586" s="19" t="str">
        <x:v>SALE-00582</x:v>
      </x:c>
      <x:c r="B586" s="34" t="n">
        <x:v>46210.5</x:v>
      </x:c>
      <x:c r="C586" s="19" t="str">
        <x:v>周二</x:v>
      </x:c>
      <x:c r="D586" s="19" t="str">
        <x:v>S03</x:v>
      </x:c>
      <x:c r="E586" s="19" t="str">
        <x:v>铂悦城店</x:v>
      </x:c>
      <x:c r="F586" s="19" t="str">
        <x:v>外卖</x:v>
      </x:c>
      <x:c r="G586" s="19" t="str">
        <x:v>全日</x:v>
      </x:c>
      <x:c r="H586" s="19" t="str">
        <x:v>D02</x:v>
      </x:c>
      <x:c r="I586" s="19" t="str">
        <x:v>小炒黄牛肉</x:v>
      </x:c>
      <x:c r="J586" s="22" t="n">
        <x:f>XLOOKUP(H586,'菜品主数据'!$A$5:$A$24,'菜品主数据'!$D$5:$D$24,0)</x:f>
        <x:v>49</x:v>
      </x:c>
      <x:c r="K586" s="31" t="n">
        <x:v>8</x:v>
      </x:c>
      <x:c r="L586" s="35" t="n">
        <x:f>J586*K586</x:f>
        <x:v>392</x:v>
      </x:c>
      <x:c r="M586" s="36" t="n">
        <x:v>0.08</x:v>
      </x:c>
      <x:c r="N586" s="35" t="n">
        <x:f>L586*M586</x:f>
        <x:v>31.36</x:v>
      </x:c>
      <x:c r="O586" s="37" t="n">
        <x:v>0.18</x:v>
      </x:c>
      <x:c r="P586" s="35" t="n">
        <x:f>L586*O586</x:f>
        <x:v>70.56</x:v>
      </x:c>
      <x:c r="Q586" s="35" t="n">
        <x:v>1.2</x:v>
      </x:c>
      <x:c r="R586" s="35" t="n">
        <x:f>K586*Q586</x:f>
        <x:v>9.6</x:v>
      </x:c>
      <x:c r="S586" s="35" t="n">
        <x:f>XLOOKUP(H586,'菜品主数据'!$A$5:$A$24,'菜品主数据'!$G$5:$G$24,0)</x:f>
        <x:v>17.577</x:v>
      </x:c>
      <x:c r="T586" s="35" t="n">
        <x:f>K586*S586</x:f>
        <x:v>140.616</x:v>
      </x:c>
      <x:c r="U586" s="35" t="n">
        <x:f>L586-N586-P586-R586-T586</x:f>
        <x:v>139.86399999999995</x:v>
      </x:c>
      <x:c r="V586" s="21" t="n">
        <x:f>IFERROR(U586/L586,0)</x:f>
        <x:v>0.3567959183673468</x:v>
      </x:c>
    </x:row>
    <x:row r="587">
      <x:c r="A587" s="19" t="str">
        <x:v>SALE-00583</x:v>
      </x:c>
      <x:c r="B587" s="34" t="n">
        <x:v>46210.5</x:v>
      </x:c>
      <x:c r="C587" s="19" t="str">
        <x:v>周二</x:v>
      </x:c>
      <x:c r="D587" s="19" t="str">
        <x:v>S03</x:v>
      </x:c>
      <x:c r="E587" s="19" t="str">
        <x:v>铂悦城店</x:v>
      </x:c>
      <x:c r="F587" s="19" t="str">
        <x:v>外卖</x:v>
      </x:c>
      <x:c r="G587" s="19" t="str">
        <x:v>全日</x:v>
      </x:c>
      <x:c r="H587" s="19" t="str">
        <x:v>D03</x:v>
      </x:c>
      <x:c r="I587" s="19" t="str">
        <x:v>香醋炒蛋</x:v>
      </x:c>
      <x:c r="J587" s="22" t="n">
        <x:f>XLOOKUP(H587,'菜品主数据'!$A$5:$A$24,'菜品主数据'!$D$5:$D$24,0)</x:f>
        <x:v>14.9</x:v>
      </x:c>
      <x:c r="K587" s="31" t="n">
        <x:v>4</x:v>
      </x:c>
      <x:c r="L587" s="35" t="n">
        <x:f>J587*K587</x:f>
        <x:v>59.6</x:v>
      </x:c>
      <x:c r="M587" s="36" t="n">
        <x:v>0.08</x:v>
      </x:c>
      <x:c r="N587" s="35" t="n">
        <x:f>L587*M587</x:f>
        <x:v>4.768</x:v>
      </x:c>
      <x:c r="O587" s="37" t="n">
        <x:v>0.18</x:v>
      </x:c>
      <x:c r="P587" s="35" t="n">
        <x:f>L587*O587</x:f>
        <x:v>10.728</x:v>
      </x:c>
      <x:c r="Q587" s="35" t="n">
        <x:v>1.2</x:v>
      </x:c>
      <x:c r="R587" s="35" t="n">
        <x:f>K587*Q587</x:f>
        <x:v>4.8</x:v>
      </x:c>
      <x:c r="S587" s="35" t="n">
        <x:f>XLOOKUP(H587,'菜品主数据'!$A$5:$A$24,'菜品主数据'!$G$5:$G$24,0)</x:f>
        <x:v>3.7459999999999996</x:v>
      </x:c>
      <x:c r="T587" s="35" t="n">
        <x:f>K587*S587</x:f>
        <x:v>14.983999999999998</x:v>
      </x:c>
      <x:c r="U587" s="35" t="n">
        <x:f>L587-N587-P587-R587-T587</x:f>
        <x:v>24.320000000000004</x:v>
      </x:c>
      <x:c r="V587" s="21" t="n">
        <x:f>IFERROR(U587/L587,0)</x:f>
        <x:v>0.40805369127516783</x:v>
      </x:c>
    </x:row>
    <x:row r="588">
      <x:c r="A588" s="19" t="str">
        <x:v>SALE-00584</x:v>
      </x:c>
      <x:c r="B588" s="34" t="n">
        <x:v>46210.5</x:v>
      </x:c>
      <x:c r="C588" s="19" t="str">
        <x:v>周二</x:v>
      </x:c>
      <x:c r="D588" s="19" t="str">
        <x:v>S03</x:v>
      </x:c>
      <x:c r="E588" s="19" t="str">
        <x:v>铂悦城店</x:v>
      </x:c>
      <x:c r="F588" s="19" t="str">
        <x:v>外卖</x:v>
      </x:c>
      <x:c r="G588" s="19" t="str">
        <x:v>全日</x:v>
      </x:c>
      <x:c r="H588" s="19" t="str">
        <x:v>D04</x:v>
      </x:c>
      <x:c r="I588" s="19" t="str">
        <x:v>酸包菜炒粉皮</x:v>
      </x:c>
      <x:c r="J588" s="22" t="n">
        <x:f>XLOOKUP(H588,'菜品主数据'!$A$5:$A$24,'菜品主数据'!$D$5:$D$24,0)</x:f>
        <x:v>16</x:v>
      </x:c>
      <x:c r="K588" s="31" t="n">
        <x:v>3</x:v>
      </x:c>
      <x:c r="L588" s="35" t="n">
        <x:f>J588*K588</x:f>
        <x:v>48</x:v>
      </x:c>
      <x:c r="M588" s="36" t="n">
        <x:v>0.08</x:v>
      </x:c>
      <x:c r="N588" s="35" t="n">
        <x:f>L588*M588</x:f>
        <x:v>3.84</x:v>
      </x:c>
      <x:c r="O588" s="37" t="n">
        <x:v>0.18</x:v>
      </x:c>
      <x:c r="P588" s="35" t="n">
        <x:f>L588*O588</x:f>
        <x:v>8.64</x:v>
      </x:c>
      <x:c r="Q588" s="35" t="n">
        <x:v>1.2</x:v>
      </x:c>
      <x:c r="R588" s="35" t="n">
        <x:f>K588*Q588</x:f>
        <x:v>3.5999999999999996</x:v>
      </x:c>
      <x:c r="S588" s="35" t="n">
        <x:f>XLOOKUP(H588,'菜品主数据'!$A$5:$A$24,'菜品主数据'!$G$5:$G$24,0)</x:f>
        <x:v>3.978</x:v>
      </x:c>
      <x:c r="T588" s="35" t="n">
        <x:f>K588*S588</x:f>
        <x:v>11.934000000000001</x:v>
      </x:c>
      <x:c r="U588" s="35" t="n">
        <x:f>L588-N588-P588-R588-T588</x:f>
        <x:v>19.985999999999994</x:v>
      </x:c>
      <x:c r="V588" s="21" t="n">
        <x:f>IFERROR(U588/L588,0)</x:f>
        <x:v>0.4163749999999999</x:v>
      </x:c>
    </x:row>
    <x:row r="589">
      <x:c r="A589" s="19" t="str">
        <x:v>SALE-00585</x:v>
      </x:c>
      <x:c r="B589" s="34" t="n">
        <x:v>46210.5</x:v>
      </x:c>
      <x:c r="C589" s="19" t="str">
        <x:v>周二</x:v>
      </x:c>
      <x:c r="D589" s="19" t="str">
        <x:v>S03</x:v>
      </x:c>
      <x:c r="E589" s="19" t="str">
        <x:v>铂悦城店</x:v>
      </x:c>
      <x:c r="F589" s="19" t="str">
        <x:v>外卖</x:v>
      </x:c>
      <x:c r="G589" s="19" t="str">
        <x:v>全日</x:v>
      </x:c>
      <x:c r="H589" s="19" t="str">
        <x:v>D05</x:v>
      </x:c>
      <x:c r="I589" s="19" t="str">
        <x:v>麻婆豆腐</x:v>
      </x:c>
      <x:c r="J589" s="22" t="n">
        <x:f>XLOOKUP(H589,'菜品主数据'!$A$5:$A$24,'菜品主数据'!$D$5:$D$24,0)</x:f>
        <x:v>9.9</x:v>
      </x:c>
      <x:c r="K589" s="31" t="n">
        <x:v>5</x:v>
      </x:c>
      <x:c r="L589" s="35" t="n">
        <x:f>J589*K589</x:f>
        <x:v>49.5</x:v>
      </x:c>
      <x:c r="M589" s="36" t="n">
        <x:v>0.08</x:v>
      </x:c>
      <x:c r="N589" s="35" t="n">
        <x:f>L589*M589</x:f>
        <x:v>3.96</x:v>
      </x:c>
      <x:c r="O589" s="37" t="n">
        <x:v>0.18</x:v>
      </x:c>
      <x:c r="P589" s="35" t="n">
        <x:f>L589*O589</x:f>
        <x:v>8.91</x:v>
      </x:c>
      <x:c r="Q589" s="35" t="n">
        <x:v>1.2</x:v>
      </x:c>
      <x:c r="R589" s="35" t="n">
        <x:f>K589*Q589</x:f>
        <x:v>6</x:v>
      </x:c>
      <x:c r="S589" s="35" t="n">
        <x:f>XLOOKUP(H589,'菜品主数据'!$A$5:$A$24,'菜品主数据'!$G$5:$G$24,0)</x:f>
        <x:v>5.367000000000001</x:v>
      </x:c>
      <x:c r="T589" s="35" t="n">
        <x:f>K589*S589</x:f>
        <x:v>26.835000000000004</x:v>
      </x:c>
      <x:c r="U589" s="35" t="n">
        <x:f>L589-N589-P589-R589-T589</x:f>
        <x:v>3.794999999999991</x:v>
      </x:c>
      <x:c r="V589" s="21" t="n">
        <x:f>IFERROR(U589/L589,0)</x:f>
        <x:v>0.07666666666666648</x:v>
      </x:c>
    </x:row>
    <x:row r="590">
      <x:c r="A590" s="19" t="str">
        <x:v>SALE-00586</x:v>
      </x:c>
      <x:c r="B590" s="34" t="n">
        <x:v>46210.5</x:v>
      </x:c>
      <x:c r="C590" s="19" t="str">
        <x:v>周二</x:v>
      </x:c>
      <x:c r="D590" s="19" t="str">
        <x:v>S03</x:v>
      </x:c>
      <x:c r="E590" s="19" t="str">
        <x:v>铂悦城店</x:v>
      </x:c>
      <x:c r="F590" s="19" t="str">
        <x:v>外卖</x:v>
      </x:c>
      <x:c r="G590" s="19" t="str">
        <x:v>全日</x:v>
      </x:c>
      <x:c r="H590" s="19" t="str">
        <x:v>D06</x:v>
      </x:c>
      <x:c r="I590" s="19" t="str">
        <x:v>剁椒鱼头</x:v>
      </x:c>
      <x:c r="J590" s="22" t="n">
        <x:f>XLOOKUP(H590,'菜品主数据'!$A$5:$A$24,'菜品主数据'!$D$5:$D$24,0)</x:f>
        <x:v>39</x:v>
      </x:c>
      <x:c r="K590" s="31" t="n">
        <x:v>1</x:v>
      </x:c>
      <x:c r="L590" s="35" t="n">
        <x:f>J590*K590</x:f>
        <x:v>39</x:v>
      </x:c>
      <x:c r="M590" s="36" t="n">
        <x:v>0.08</x:v>
      </x:c>
      <x:c r="N590" s="35" t="n">
        <x:f>L590*M590</x:f>
        <x:v>3.12</x:v>
      </x:c>
      <x:c r="O590" s="37" t="n">
        <x:v>0.18</x:v>
      </x:c>
      <x:c r="P590" s="35" t="n">
        <x:f>L590*O590</x:f>
        <x:v>7.02</x:v>
      </x:c>
      <x:c r="Q590" s="35" t="n">
        <x:v>1.2</x:v>
      </x:c>
      <x:c r="R590" s="35" t="n">
        <x:f>K590*Q590</x:f>
        <x:v>1.2</x:v>
      </x:c>
      <x:c r="S590" s="35" t="n">
        <x:f>XLOOKUP(H590,'菜品主数据'!$A$5:$A$24,'菜品主数据'!$G$5:$G$24,0)</x:f>
        <x:v>17.446</x:v>
      </x:c>
      <x:c r="T590" s="35" t="n">
        <x:f>K590*S590</x:f>
        <x:v>17.446</x:v>
      </x:c>
      <x:c r="U590" s="35" t="n">
        <x:f>L590-N590-P590-R590-T590</x:f>
        <x:v>10.214000000000002</x:v>
      </x:c>
      <x:c r="V590" s="21" t="n">
        <x:f>IFERROR(U590/L590,0)</x:f>
        <x:v>0.26189743589743597</x:v>
      </x:c>
    </x:row>
    <x:row r="591">
      <x:c r="A591" s="19" t="str">
        <x:v>SALE-00587</x:v>
      </x:c>
      <x:c r="B591" s="34" t="n">
        <x:v>46210.5</x:v>
      </x:c>
      <x:c r="C591" s="19" t="str">
        <x:v>周二</x:v>
      </x:c>
      <x:c r="D591" s="19" t="str">
        <x:v>S03</x:v>
      </x:c>
      <x:c r="E591" s="19" t="str">
        <x:v>铂悦城店</x:v>
      </x:c>
      <x:c r="F591" s="19" t="str">
        <x:v>外卖</x:v>
      </x:c>
      <x:c r="G591" s="19" t="str">
        <x:v>全日</x:v>
      </x:c>
      <x:c r="H591" s="19" t="str">
        <x:v>D07</x:v>
      </x:c>
      <x:c r="I591" s="19" t="str">
        <x:v>川味回锅肉</x:v>
      </x:c>
      <x:c r="J591" s="22" t="n">
        <x:f>XLOOKUP(H591,'菜品主数据'!$A$5:$A$24,'菜品主数据'!$D$5:$D$24,0)</x:f>
        <x:v>29</x:v>
      </x:c>
      <x:c r="K591" s="31" t="n">
        <x:v>1</x:v>
      </x:c>
      <x:c r="L591" s="35" t="n">
        <x:f>J591*K591</x:f>
        <x:v>29</x:v>
      </x:c>
      <x:c r="M591" s="36" t="n">
        <x:v>0.08</x:v>
      </x:c>
      <x:c r="N591" s="35" t="n">
        <x:f>L591*M591</x:f>
        <x:v>2.32</x:v>
      </x:c>
      <x:c r="O591" s="37" t="n">
        <x:v>0.18</x:v>
      </x:c>
      <x:c r="P591" s="35" t="n">
        <x:f>L591*O591</x:f>
        <x:v>5.22</x:v>
      </x:c>
      <x:c r="Q591" s="35" t="n">
        <x:v>1.2</x:v>
      </x:c>
      <x:c r="R591" s="35" t="n">
        <x:f>K591*Q591</x:f>
        <x:v>1.2</x:v>
      </x:c>
      <x:c r="S591" s="35" t="n">
        <x:f>XLOOKUP(H591,'菜品主数据'!$A$5:$A$24,'菜品主数据'!$G$5:$G$24,0)</x:f>
        <x:v>10.231000000000002</x:v>
      </x:c>
      <x:c r="T591" s="35" t="n">
        <x:f>K591*S591</x:f>
        <x:v>10.231000000000002</x:v>
      </x:c>
      <x:c r="U591" s="35" t="n">
        <x:f>L591-N591-P591-R591-T591</x:f>
        <x:v>10.029</x:v>
      </x:c>
      <x:c r="V591" s="21" t="n">
        <x:f>IFERROR(U591/L591,0)</x:f>
        <x:v>0.3458275862068966</x:v>
      </x:c>
    </x:row>
    <x:row r="592">
      <x:c r="A592" s="19" t="str">
        <x:v>SALE-00588</x:v>
      </x:c>
      <x:c r="B592" s="34" t="n">
        <x:v>46210.5</x:v>
      </x:c>
      <x:c r="C592" s="19" t="str">
        <x:v>周二</x:v>
      </x:c>
      <x:c r="D592" s="19" t="str">
        <x:v>S03</x:v>
      </x:c>
      <x:c r="E592" s="19" t="str">
        <x:v>铂悦城店</x:v>
      </x:c>
      <x:c r="F592" s="19" t="str">
        <x:v>外卖</x:v>
      </x:c>
      <x:c r="G592" s="19" t="str">
        <x:v>全日</x:v>
      </x:c>
      <x:c r="H592" s="19" t="str">
        <x:v>D08</x:v>
      </x:c>
      <x:c r="I592" s="19" t="str">
        <x:v>生炒清远鸡</x:v>
      </x:c>
      <x:c r="J592" s="22" t="n">
        <x:f>XLOOKUP(H592,'菜品主数据'!$A$5:$A$24,'菜品主数据'!$D$5:$D$24,0)</x:f>
        <x:v>36</x:v>
      </x:c>
      <x:c r="K592" s="31" t="n">
        <x:v>1</x:v>
      </x:c>
      <x:c r="L592" s="35" t="n">
        <x:f>J592*K592</x:f>
        <x:v>36</x:v>
      </x:c>
      <x:c r="M592" s="36" t="n">
        <x:v>0.08</x:v>
      </x:c>
      <x:c r="N592" s="35" t="n">
        <x:f>L592*M592</x:f>
        <x:v>2.88</x:v>
      </x:c>
      <x:c r="O592" s="37" t="n">
        <x:v>0.18</x:v>
      </x:c>
      <x:c r="P592" s="35" t="n">
        <x:f>L592*O592</x:f>
        <x:v>6.4799999999999995</x:v>
      </x:c>
      <x:c r="Q592" s="35" t="n">
        <x:v>1.2</x:v>
      </x:c>
      <x:c r="R592" s="35" t="n">
        <x:f>K592*Q592</x:f>
        <x:v>1.2</x:v>
      </x:c>
      <x:c r="S592" s="35" t="n">
        <x:f>XLOOKUP(H592,'菜品主数据'!$A$5:$A$24,'菜品主数据'!$G$5:$G$24,0)</x:f>
        <x:v>13.48</x:v>
      </x:c>
      <x:c r="T592" s="35" t="n">
        <x:f>K592*S592</x:f>
        <x:v>13.48</x:v>
      </x:c>
      <x:c r="U592" s="35" t="n">
        <x:f>L592-N592-P592-R592-T592</x:f>
        <x:v>11.959999999999997</x:v>
      </x:c>
      <x:c r="V592" s="21" t="n">
        <x:f>IFERROR(U592/L592,0)</x:f>
        <x:v>0.33222222222222214</x:v>
      </x:c>
    </x:row>
    <x:row r="593">
      <x:c r="A593" s="19" t="str">
        <x:v>SALE-00589</x:v>
      </x:c>
      <x:c r="B593" s="34" t="n">
        <x:v>46210.5</x:v>
      </x:c>
      <x:c r="C593" s="19" t="str">
        <x:v>周二</x:v>
      </x:c>
      <x:c r="D593" s="19" t="str">
        <x:v>S03</x:v>
      </x:c>
      <x:c r="E593" s="19" t="str">
        <x:v>铂悦城店</x:v>
      </x:c>
      <x:c r="F593" s="19" t="str">
        <x:v>外卖</x:v>
      </x:c>
      <x:c r="G593" s="19" t="str">
        <x:v>全日</x:v>
      </x:c>
      <x:c r="H593" s="19" t="str">
        <x:v>D09</x:v>
      </x:c>
      <x:c r="I593" s="19" t="str">
        <x:v>炒豆干</x:v>
      </x:c>
      <x:c r="J593" s="22" t="n">
        <x:f>XLOOKUP(H593,'菜品主数据'!$A$5:$A$24,'菜品主数据'!$D$5:$D$24,0)</x:f>
        <x:v>18</x:v>
      </x:c>
      <x:c r="K593" s="31" t="n">
        <x:v>2</x:v>
      </x:c>
      <x:c r="L593" s="35" t="n">
        <x:f>J593*K593</x:f>
        <x:v>36</x:v>
      </x:c>
      <x:c r="M593" s="36" t="n">
        <x:v>0.08</x:v>
      </x:c>
      <x:c r="N593" s="35" t="n">
        <x:f>L593*M593</x:f>
        <x:v>2.88</x:v>
      </x:c>
      <x:c r="O593" s="37" t="n">
        <x:v>0.18</x:v>
      </x:c>
      <x:c r="P593" s="35" t="n">
        <x:f>L593*O593</x:f>
        <x:v>6.4799999999999995</x:v>
      </x:c>
      <x:c r="Q593" s="35" t="n">
        <x:v>1.2</x:v>
      </x:c>
      <x:c r="R593" s="35" t="n">
        <x:f>K593*Q593</x:f>
        <x:v>2.4</x:v>
      </x:c>
      <x:c r="S593" s="35" t="n">
        <x:f>XLOOKUP(H593,'菜品主数据'!$A$5:$A$24,'菜品主数据'!$G$5:$G$24,0)</x:f>
        <x:v>6.613999999999999</x:v>
      </x:c>
      <x:c r="T593" s="35" t="n">
        <x:f>K593*S593</x:f>
        <x:v>13.227999999999998</x:v>
      </x:c>
      <x:c r="U593" s="35" t="n">
        <x:f>L593-N593-P593-R593-T593</x:f>
        <x:v>11.012</x:v>
      </x:c>
      <x:c r="V593" s="21" t="n">
        <x:f>IFERROR(U593/L593,0)</x:f>
        <x:v>0.3058888888888889</x:v>
      </x:c>
    </x:row>
    <x:row r="594">
      <x:c r="A594" s="19" t="str">
        <x:v>SALE-00590</x:v>
      </x:c>
      <x:c r="B594" s="34" t="n">
        <x:v>46210.5</x:v>
      </x:c>
      <x:c r="C594" s="19" t="str">
        <x:v>周二</x:v>
      </x:c>
      <x:c r="D594" s="19" t="str">
        <x:v>S03</x:v>
      </x:c>
      <x:c r="E594" s="19" t="str">
        <x:v>铂悦城店</x:v>
      </x:c>
      <x:c r="F594" s="19" t="str">
        <x:v>外卖</x:v>
      </x:c>
      <x:c r="G594" s="19" t="str">
        <x:v>全日</x:v>
      </x:c>
      <x:c r="H594" s="19" t="str">
        <x:v>D10</x:v>
      </x:c>
      <x:c r="I594" s="19" t="str">
        <x:v>农家一碗香</x:v>
      </x:c>
      <x:c r="J594" s="22" t="n">
        <x:f>XLOOKUP(H594,'菜品主数据'!$A$5:$A$24,'菜品主数据'!$D$5:$D$24,0)</x:f>
        <x:v>22.9</x:v>
      </x:c>
      <x:c r="K594" s="31" t="n">
        <x:v>2</x:v>
      </x:c>
      <x:c r="L594" s="35" t="n">
        <x:f>J594*K594</x:f>
        <x:v>45.8</x:v>
      </x:c>
      <x:c r="M594" s="36" t="n">
        <x:v>0.08</x:v>
      </x:c>
      <x:c r="N594" s="35" t="n">
        <x:f>L594*M594</x:f>
        <x:v>3.6639999999999997</x:v>
      </x:c>
      <x:c r="O594" s="37" t="n">
        <x:v>0.18</x:v>
      </x:c>
      <x:c r="P594" s="35" t="n">
        <x:f>L594*O594</x:f>
        <x:v>8.244</x:v>
      </x:c>
      <x:c r="Q594" s="35" t="n">
        <x:v>1.2</x:v>
      </x:c>
      <x:c r="R594" s="35" t="n">
        <x:f>K594*Q594</x:f>
        <x:v>2.4</x:v>
      </x:c>
      <x:c r="S594" s="35" t="n">
        <x:f>XLOOKUP(H594,'菜品主数据'!$A$5:$A$24,'菜品主数据'!$G$5:$G$24,0)</x:f>
        <x:v>9.770200000000003</x:v>
      </x:c>
      <x:c r="T594" s="35" t="n">
        <x:f>K594*S594</x:f>
        <x:v>19.540400000000005</x:v>
      </x:c>
      <x:c r="U594" s="35" t="n">
        <x:f>L594-N594-P594-R594-T594</x:f>
        <x:v>11.951599999999992</x:v>
      </x:c>
      <x:c r="V594" s="21" t="n">
        <x:f>IFERROR(U594/L594,0)</x:f>
        <x:v>0.260951965065502</x:v>
      </x:c>
    </x:row>
    <x:row r="595">
      <x:c r="A595" s="19" t="str">
        <x:v>SALE-00591</x:v>
      </x:c>
      <x:c r="B595" s="34" t="n">
        <x:v>46210.5</x:v>
      </x:c>
      <x:c r="C595" s="19" t="str">
        <x:v>周二</x:v>
      </x:c>
      <x:c r="D595" s="19" t="str">
        <x:v>S03</x:v>
      </x:c>
      <x:c r="E595" s="19" t="str">
        <x:v>铂悦城店</x:v>
      </x:c>
      <x:c r="F595" s="19" t="str">
        <x:v>外卖</x:v>
      </x:c>
      <x:c r="G595" s="19" t="str">
        <x:v>全日</x:v>
      </x:c>
      <x:c r="H595" s="19" t="str">
        <x:v>D11</x:v>
      </x:c>
      <x:c r="I595" s="19" t="str">
        <x:v>香辣爆肥肠</x:v>
      </x:c>
      <x:c r="J595" s="22" t="n">
        <x:f>XLOOKUP(H595,'菜品主数据'!$A$5:$A$24,'菜品主数据'!$D$5:$D$24,0)</x:f>
        <x:v>39</x:v>
      </x:c>
      <x:c r="K595" s="31" t="n">
        <x:v>0</x:v>
      </x:c>
      <x:c r="L595" s="35" t="n">
        <x:f>J595*K595</x:f>
        <x:v>0</x:v>
      </x:c>
      <x:c r="M595" s="36" t="n">
        <x:v>0.08</x:v>
      </x:c>
      <x:c r="N595" s="35" t="n">
        <x:f>L595*M595</x:f>
        <x:v>0</x:v>
      </x:c>
      <x:c r="O595" s="37" t="n">
        <x:v>0.18</x:v>
      </x:c>
      <x:c r="P595" s="35" t="n">
        <x:f>L595*O595</x:f>
        <x:v>0</x:v>
      </x:c>
      <x:c r="Q595" s="35" t="n">
        <x:v>1.2</x:v>
      </x:c>
      <x:c r="R595" s="35" t="n">
        <x:f>K595*Q595</x:f>
        <x:v>0</x:v>
      </x:c>
      <x:c r="S595" s="35" t="n">
        <x:f>XLOOKUP(H595,'菜品主数据'!$A$5:$A$24,'菜品主数据'!$G$5:$G$24,0)</x:f>
        <x:v>10.397</x:v>
      </x:c>
      <x:c r="T595" s="35" t="n">
        <x:f>K595*S595</x:f>
        <x:v>0</x:v>
      </x:c>
      <x:c r="U595" s="35" t="n">
        <x:f>L595-N595-P595-R595-T595</x:f>
        <x:v>0</x:v>
      </x:c>
      <x:c r="V595" s="21" t="n">
        <x:f>IFERROR(U595/L595,0)</x:f>
        <x:v>0</x:v>
      </x:c>
    </x:row>
    <x:row r="596">
      <x:c r="A596" s="19" t="str">
        <x:v>SALE-00592</x:v>
      </x:c>
      <x:c r="B596" s="34" t="n">
        <x:v>46210.5</x:v>
      </x:c>
      <x:c r="C596" s="19" t="str">
        <x:v>周二</x:v>
      </x:c>
      <x:c r="D596" s="19" t="str">
        <x:v>S03</x:v>
      </x:c>
      <x:c r="E596" s="19" t="str">
        <x:v>铂悦城店</x:v>
      </x:c>
      <x:c r="F596" s="19" t="str">
        <x:v>外卖</x:v>
      </x:c>
      <x:c r="G596" s="19" t="str">
        <x:v>全日</x:v>
      </x:c>
      <x:c r="H596" s="19" t="str">
        <x:v>D12</x:v>
      </x:c>
      <x:c r="I596" s="19" t="str">
        <x:v>清蒸鲈鱼</x:v>
      </x:c>
      <x:c r="J596" s="22" t="n">
        <x:f>XLOOKUP(H596,'菜品主数据'!$A$5:$A$24,'菜品主数据'!$D$5:$D$24,0)</x:f>
        <x:v>39</x:v>
      </x:c>
      <x:c r="K596" s="31" t="n">
        <x:v>0</x:v>
      </x:c>
      <x:c r="L596" s="35" t="n">
        <x:f>J596*K596</x:f>
        <x:v>0</x:v>
      </x:c>
      <x:c r="M596" s="36" t="n">
        <x:v>0.08</x:v>
      </x:c>
      <x:c r="N596" s="35" t="n">
        <x:f>L596*M596</x:f>
        <x:v>0</x:v>
      </x:c>
      <x:c r="O596" s="37" t="n">
        <x:v>0.18</x:v>
      </x:c>
      <x:c r="P596" s="35" t="n">
        <x:f>L596*O596</x:f>
        <x:v>0</x:v>
      </x:c>
      <x:c r="Q596" s="35" t="n">
        <x:v>1.2</x:v>
      </x:c>
      <x:c r="R596" s="35" t="n">
        <x:f>K596*Q596</x:f>
        <x:v>0</x:v>
      </x:c>
      <x:c r="S596" s="35" t="n">
        <x:f>XLOOKUP(H596,'菜品主数据'!$A$5:$A$24,'菜品主数据'!$G$5:$G$24,0)</x:f>
        <x:v>18.874</x:v>
      </x:c>
      <x:c r="T596" s="35" t="n">
        <x:f>K596*S596</x:f>
        <x:v>0</x:v>
      </x:c>
      <x:c r="U596" s="35" t="n">
        <x:f>L596-N596-P596-R596-T596</x:f>
        <x:v>0</x:v>
      </x:c>
      <x:c r="V596" s="21" t="n">
        <x:f>IFERROR(U596/L596,0)</x:f>
        <x:v>0</x:v>
      </x:c>
    </x:row>
    <x:row r="597">
      <x:c r="A597" s="19" t="str">
        <x:v>SALE-00593</x:v>
      </x:c>
      <x:c r="B597" s="34" t="n">
        <x:v>46210.5</x:v>
      </x:c>
      <x:c r="C597" s="19" t="str">
        <x:v>周二</x:v>
      </x:c>
      <x:c r="D597" s="19" t="str">
        <x:v>S03</x:v>
      </x:c>
      <x:c r="E597" s="19" t="str">
        <x:v>铂悦城店</x:v>
      </x:c>
      <x:c r="F597" s="19" t="str">
        <x:v>外卖</x:v>
      </x:c>
      <x:c r="G597" s="19" t="str">
        <x:v>全日</x:v>
      </x:c>
      <x:c r="H597" s="19" t="str">
        <x:v>D13</x:v>
      </x:c>
      <x:c r="I597" s="19" t="str">
        <x:v>外婆菜炒蛋</x:v>
      </x:c>
      <x:c r="J597" s="22" t="n">
        <x:f>XLOOKUP(H597,'菜品主数据'!$A$5:$A$24,'菜品主数据'!$D$5:$D$24,0)</x:f>
        <x:v>18</x:v>
      </x:c>
      <x:c r="K597" s="31" t="n">
        <x:v>1</x:v>
      </x:c>
      <x:c r="L597" s="35" t="n">
        <x:f>J597*K597</x:f>
        <x:v>18</x:v>
      </x:c>
      <x:c r="M597" s="36" t="n">
        <x:v>0.08</x:v>
      </x:c>
      <x:c r="N597" s="35" t="n">
        <x:f>L597*M597</x:f>
        <x:v>1.44</x:v>
      </x:c>
      <x:c r="O597" s="37" t="n">
        <x:v>0.18</x:v>
      </x:c>
      <x:c r="P597" s="35" t="n">
        <x:f>L597*O597</x:f>
        <x:v>3.2399999999999998</x:v>
      </x:c>
      <x:c r="Q597" s="35" t="n">
        <x:v>1.2</x:v>
      </x:c>
      <x:c r="R597" s="35" t="n">
        <x:f>K597*Q597</x:f>
        <x:v>1.2</x:v>
      </x:c>
      <x:c r="S597" s="35" t="n">
        <x:f>XLOOKUP(H597,'菜品主数据'!$A$5:$A$24,'菜品主数据'!$G$5:$G$24,0)</x:f>
        <x:v>5.403999999999999</x:v>
      </x:c>
      <x:c r="T597" s="35" t="n">
        <x:f>K597*S597</x:f>
        <x:v>5.403999999999999</x:v>
      </x:c>
      <x:c r="U597" s="35" t="n">
        <x:f>L597-N597-P597-R597-T597</x:f>
        <x:v>6.716</x:v>
      </x:c>
      <x:c r="V597" s="21" t="n">
        <x:f>IFERROR(U597/L597,0)</x:f>
        <x:v>0.3731111111111111</x:v>
      </x:c>
    </x:row>
    <x:row r="598">
      <x:c r="A598" s="19" t="str">
        <x:v>SALE-00594</x:v>
      </x:c>
      <x:c r="B598" s="34" t="n">
        <x:v>46210.5</x:v>
      </x:c>
      <x:c r="C598" s="19" t="str">
        <x:v>周二</x:v>
      </x:c>
      <x:c r="D598" s="19" t="str">
        <x:v>S03</x:v>
      </x:c>
      <x:c r="E598" s="19" t="str">
        <x:v>铂悦城店</x:v>
      </x:c>
      <x:c r="F598" s="19" t="str">
        <x:v>外卖</x:v>
      </x:c>
      <x:c r="G598" s="19" t="str">
        <x:v>全日</x:v>
      </x:c>
      <x:c r="H598" s="19" t="str">
        <x:v>D14</x:v>
      </x:c>
      <x:c r="I598" s="19" t="str">
        <x:v>酸辣鸡杂</x:v>
      </x:c>
      <x:c r="J598" s="22" t="n">
        <x:f>XLOOKUP(H598,'菜品主数据'!$A$5:$A$24,'菜品主数据'!$D$5:$D$24,0)</x:f>
        <x:v>28</x:v>
      </x:c>
      <x:c r="K598" s="31" t="n">
        <x:v>0</x:v>
      </x:c>
      <x:c r="L598" s="35" t="n">
        <x:f>J598*K598</x:f>
        <x:v>0</x:v>
      </x:c>
      <x:c r="M598" s="36" t="n">
        <x:v>0.08</x:v>
      </x:c>
      <x:c r="N598" s="35" t="n">
        <x:f>L598*M598</x:f>
        <x:v>0</x:v>
      </x:c>
      <x:c r="O598" s="37" t="n">
        <x:v>0.18</x:v>
      </x:c>
      <x:c r="P598" s="35" t="n">
        <x:f>L598*O598</x:f>
        <x:v>0</x:v>
      </x:c>
      <x:c r="Q598" s="35" t="n">
        <x:v>1.2</x:v>
      </x:c>
      <x:c r="R598" s="35" t="n">
        <x:f>K598*Q598</x:f>
        <x:v>0</x:v>
      </x:c>
      <x:c r="S598" s="35" t="n">
        <x:f>XLOOKUP(H598,'菜品主数据'!$A$5:$A$24,'菜品主数据'!$G$5:$G$24,0)</x:f>
        <x:v>8.315000000000001</x:v>
      </x:c>
      <x:c r="T598" s="35" t="n">
        <x:f>K598*S598</x:f>
        <x:v>0</x:v>
      </x:c>
      <x:c r="U598" s="35" t="n">
        <x:f>L598-N598-P598-R598-T598</x:f>
        <x:v>0</x:v>
      </x:c>
      <x:c r="V598" s="21" t="n">
        <x:f>IFERROR(U598/L598,0)</x:f>
        <x:v>0</x:v>
      </x:c>
    </x:row>
    <x:row r="599">
      <x:c r="A599" s="19" t="str">
        <x:v>SALE-00595</x:v>
      </x:c>
      <x:c r="B599" s="34" t="n">
        <x:v>46210.5</x:v>
      </x:c>
      <x:c r="C599" s="19" t="str">
        <x:v>周二</x:v>
      </x:c>
      <x:c r="D599" s="19" t="str">
        <x:v>S03</x:v>
      </x:c>
      <x:c r="E599" s="19" t="str">
        <x:v>铂悦城店</x:v>
      </x:c>
      <x:c r="F599" s="19" t="str">
        <x:v>外卖</x:v>
      </x:c>
      <x:c r="G599" s="19" t="str">
        <x:v>全日</x:v>
      </x:c>
      <x:c r="H599" s="19" t="str">
        <x:v>D15</x:v>
      </x:c>
      <x:c r="I599" s="19" t="str">
        <x:v>湘西土匪猪肝</x:v>
      </x:c>
      <x:c r="J599" s="22" t="n">
        <x:f>XLOOKUP(H599,'菜品主数据'!$A$5:$A$24,'菜品主数据'!$D$5:$D$24,0)</x:f>
        <x:v>26</x:v>
      </x:c>
      <x:c r="K599" s="31" t="n">
        <x:v>0</x:v>
      </x:c>
      <x:c r="L599" s="35" t="n">
        <x:f>J599*K599</x:f>
        <x:v>0</x:v>
      </x:c>
      <x:c r="M599" s="36" t="n">
        <x:v>0.08</x:v>
      </x:c>
      <x:c r="N599" s="35" t="n">
        <x:f>L599*M599</x:f>
        <x:v>0</x:v>
      </x:c>
      <x:c r="O599" s="37" t="n">
        <x:v>0.18</x:v>
      </x:c>
      <x:c r="P599" s="35" t="n">
        <x:f>L599*O599</x:f>
        <x:v>0</x:v>
      </x:c>
      <x:c r="Q599" s="35" t="n">
        <x:v>1.2</x:v>
      </x:c>
      <x:c r="R599" s="35" t="n">
        <x:f>K599*Q599</x:f>
        <x:v>0</x:v>
      </x:c>
      <x:c r="S599" s="35" t="n">
        <x:f>XLOOKUP(H599,'菜品主数据'!$A$5:$A$24,'菜品主数据'!$G$5:$G$24,0)</x:f>
        <x:v>6.3759999999999994</x:v>
      </x:c>
      <x:c r="T599" s="35" t="n">
        <x:f>K599*S599</x:f>
        <x:v>0</x:v>
      </x:c>
      <x:c r="U599" s="35" t="n">
        <x:f>L599-N599-P599-R599-T599</x:f>
        <x:v>0</x:v>
      </x:c>
      <x:c r="V599" s="21" t="n">
        <x:f>IFERROR(U599/L599,0)</x:f>
        <x:v>0</x:v>
      </x:c>
    </x:row>
    <x:row r="600">
      <x:c r="A600" s="19" t="str">
        <x:v>SALE-00596</x:v>
      </x:c>
      <x:c r="B600" s="34" t="n">
        <x:v>46210.5</x:v>
      </x:c>
      <x:c r="C600" s="19" t="str">
        <x:v>周二</x:v>
      </x:c>
      <x:c r="D600" s="19" t="str">
        <x:v>S03</x:v>
      </x:c>
      <x:c r="E600" s="19" t="str">
        <x:v>铂悦城店</x:v>
      </x:c>
      <x:c r="F600" s="19" t="str">
        <x:v>外卖</x:v>
      </x:c>
      <x:c r="G600" s="19" t="str">
        <x:v>全日</x:v>
      </x:c>
      <x:c r="H600" s="19" t="str">
        <x:v>D16</x:v>
      </x:c>
      <x:c r="I600" s="19" t="str">
        <x:v>小豆角炒五花</x:v>
      </x:c>
      <x:c r="J600" s="22" t="n">
        <x:f>XLOOKUP(H600,'菜品主数据'!$A$5:$A$24,'菜品主数据'!$D$5:$D$24,0)</x:f>
        <x:v>25</x:v>
      </x:c>
      <x:c r="K600" s="31" t="n">
        <x:v>0</x:v>
      </x:c>
      <x:c r="L600" s="35" t="n">
        <x:f>J600*K600</x:f>
        <x:v>0</x:v>
      </x:c>
      <x:c r="M600" s="36" t="n">
        <x:v>0.08</x:v>
      </x:c>
      <x:c r="N600" s="35" t="n">
        <x:f>L600*M600</x:f>
        <x:v>0</x:v>
      </x:c>
      <x:c r="O600" s="37" t="n">
        <x:v>0.18</x:v>
      </x:c>
      <x:c r="P600" s="35" t="n">
        <x:f>L600*O600</x:f>
        <x:v>0</x:v>
      </x:c>
      <x:c r="Q600" s="35" t="n">
        <x:v>1.2</x:v>
      </x:c>
      <x:c r="R600" s="35" t="n">
        <x:f>K600*Q600</x:f>
        <x:v>0</x:v>
      </x:c>
      <x:c r="S600" s="35" t="n">
        <x:f>XLOOKUP(H600,'菜品主数据'!$A$5:$A$24,'菜品主数据'!$G$5:$G$24,0)</x:f>
        <x:v>8.184</x:v>
      </x:c>
      <x:c r="T600" s="35" t="n">
        <x:f>K600*S600</x:f>
        <x:v>0</x:v>
      </x:c>
      <x:c r="U600" s="35" t="n">
        <x:f>L600-N600-P600-R600-T600</x:f>
        <x:v>0</x:v>
      </x:c>
      <x:c r="V600" s="21" t="n">
        <x:f>IFERROR(U600/L600,0)</x:f>
        <x:v>0</x:v>
      </x:c>
    </x:row>
    <x:row r="601">
      <x:c r="A601" s="19" t="str">
        <x:v>SALE-00597</x:v>
      </x:c>
      <x:c r="B601" s="34" t="n">
        <x:v>46210.5</x:v>
      </x:c>
      <x:c r="C601" s="19" t="str">
        <x:v>周二</x:v>
      </x:c>
      <x:c r="D601" s="19" t="str">
        <x:v>S03</x:v>
      </x:c>
      <x:c r="E601" s="19" t="str">
        <x:v>铂悦城店</x:v>
      </x:c>
      <x:c r="F601" s="19" t="str">
        <x:v>外卖</x:v>
      </x:c>
      <x:c r="G601" s="19" t="str">
        <x:v>全日</x:v>
      </x:c>
      <x:c r="H601" s="19" t="str">
        <x:v>D17</x:v>
      </x:c>
      <x:c r="I601" s="19" t="str">
        <x:v>蒜蓉粉丝虾</x:v>
      </x:c>
      <x:c r="J601" s="22" t="n">
        <x:f>XLOOKUP(H601,'菜品主数据'!$A$5:$A$24,'菜品主数据'!$D$5:$D$24,0)</x:f>
        <x:v>36</x:v>
      </x:c>
      <x:c r="K601" s="31" t="n">
        <x:v>0</x:v>
      </x:c>
      <x:c r="L601" s="35" t="n">
        <x:f>J601*K601</x:f>
        <x:v>0</x:v>
      </x:c>
      <x:c r="M601" s="36" t="n">
        <x:v>0.08</x:v>
      </x:c>
      <x:c r="N601" s="35" t="n">
        <x:f>L601*M601</x:f>
        <x:v>0</x:v>
      </x:c>
      <x:c r="O601" s="37" t="n">
        <x:v>0.18</x:v>
      </x:c>
      <x:c r="P601" s="35" t="n">
        <x:f>L601*O601</x:f>
        <x:v>0</x:v>
      </x:c>
      <x:c r="Q601" s="35" t="n">
        <x:v>1.2</x:v>
      </x:c>
      <x:c r="R601" s="35" t="n">
        <x:f>K601*Q601</x:f>
        <x:v>0</x:v>
      </x:c>
      <x:c r="S601" s="35" t="n">
        <x:f>XLOOKUP(H601,'菜品主数据'!$A$5:$A$24,'菜品主数据'!$G$5:$G$24,0)</x:f>
        <x:v>13.594</x:v>
      </x:c>
      <x:c r="T601" s="35" t="n">
        <x:f>K601*S601</x:f>
        <x:v>0</x:v>
      </x:c>
      <x:c r="U601" s="35" t="n">
        <x:f>L601-N601-P601-R601-T601</x:f>
        <x:v>0</x:v>
      </x:c>
      <x:c r="V601" s="21" t="n">
        <x:f>IFERROR(U601/L601,0)</x:f>
        <x:v>0</x:v>
      </x:c>
    </x:row>
    <x:row r="602">
      <x:c r="A602" s="19" t="str">
        <x:v>SALE-00598</x:v>
      </x:c>
      <x:c r="B602" s="34" t="n">
        <x:v>46210.5</x:v>
      </x:c>
      <x:c r="C602" s="19" t="str">
        <x:v>周二</x:v>
      </x:c>
      <x:c r="D602" s="19" t="str">
        <x:v>S03</x:v>
      </x:c>
      <x:c r="E602" s="19" t="str">
        <x:v>铂悦城店</x:v>
      </x:c>
      <x:c r="F602" s="19" t="str">
        <x:v>外卖</x:v>
      </x:c>
      <x:c r="G602" s="19" t="str">
        <x:v>全日</x:v>
      </x:c>
      <x:c r="H602" s="19" t="str">
        <x:v>D18</x:v>
      </x:c>
      <x:c r="I602" s="19" t="str">
        <x:v>青椒炒油麦菜</x:v>
      </x:c>
      <x:c r="J602" s="22" t="n">
        <x:f>XLOOKUP(H602,'菜品主数据'!$A$5:$A$24,'菜品主数据'!$D$5:$D$24,0)</x:f>
        <x:v>18</x:v>
      </x:c>
      <x:c r="K602" s="31" t="n">
        <x:v>1</x:v>
      </x:c>
      <x:c r="L602" s="35" t="n">
        <x:f>J602*K602</x:f>
        <x:v>18</x:v>
      </x:c>
      <x:c r="M602" s="36" t="n">
        <x:v>0.08</x:v>
      </x:c>
      <x:c r="N602" s="35" t="n">
        <x:f>L602*M602</x:f>
        <x:v>1.44</x:v>
      </x:c>
      <x:c r="O602" s="37" t="n">
        <x:v>0.18</x:v>
      </x:c>
      <x:c r="P602" s="35" t="n">
        <x:f>L602*O602</x:f>
        <x:v>3.2399999999999998</x:v>
      </x:c>
      <x:c r="Q602" s="35" t="n">
        <x:v>1.2</x:v>
      </x:c>
      <x:c r="R602" s="35" t="n">
        <x:f>K602*Q602</x:f>
        <x:v>1.2</x:v>
      </x:c>
      <x:c r="S602" s="35" t="n">
        <x:f>XLOOKUP(H602,'菜品主数据'!$A$5:$A$24,'菜品主数据'!$G$5:$G$24,0)</x:f>
        <x:v>3.1759999999999993</x:v>
      </x:c>
      <x:c r="T602" s="35" t="n">
        <x:f>K602*S602</x:f>
        <x:v>3.1759999999999993</x:v>
      </x:c>
      <x:c r="U602" s="35" t="n">
        <x:f>L602-N602-P602-R602-T602</x:f>
        <x:v>8.943999999999999</x:v>
      </x:c>
      <x:c r="V602" s="21" t="n">
        <x:f>IFERROR(U602/L602,0)</x:f>
        <x:v>0.4968888888888888</x:v>
      </x:c>
    </x:row>
    <x:row r="603">
      <x:c r="A603" s="19" t="str">
        <x:v>SALE-00599</x:v>
      </x:c>
      <x:c r="B603" s="34" t="n">
        <x:v>46210.5</x:v>
      </x:c>
      <x:c r="C603" s="19" t="str">
        <x:v>周二</x:v>
      </x:c>
      <x:c r="D603" s="19" t="str">
        <x:v>S03</x:v>
      </x:c>
      <x:c r="E603" s="19" t="str">
        <x:v>铂悦城店</x:v>
      </x:c>
      <x:c r="F603" s="19" t="str">
        <x:v>外卖</x:v>
      </x:c>
      <x:c r="G603" s="19" t="str">
        <x:v>全日</x:v>
      </x:c>
      <x:c r="H603" s="19" t="str">
        <x:v>D19</x:v>
      </x:c>
      <x:c r="I603" s="19" t="str">
        <x:v>酸萝卜炒鸡杂</x:v>
      </x:c>
      <x:c r="J603" s="22" t="n">
        <x:f>XLOOKUP(H603,'菜品主数据'!$A$5:$A$24,'菜品主数据'!$D$5:$D$24,0)</x:f>
        <x:v>25</x:v>
      </x:c>
      <x:c r="K603" s="31" t="n">
        <x:v>0</x:v>
      </x:c>
      <x:c r="L603" s="35" t="n">
        <x:f>J603*K603</x:f>
        <x:v>0</x:v>
      </x:c>
      <x:c r="M603" s="36" t="n">
        <x:v>0.08</x:v>
      </x:c>
      <x:c r="N603" s="35" t="n">
        <x:f>L603*M603</x:f>
        <x:v>0</x:v>
      </x:c>
      <x:c r="O603" s="37" t="n">
        <x:v>0.18</x:v>
      </x:c>
      <x:c r="P603" s="35" t="n">
        <x:f>L603*O603</x:f>
        <x:v>0</x:v>
      </x:c>
      <x:c r="Q603" s="35" t="n">
        <x:v>1.2</x:v>
      </x:c>
      <x:c r="R603" s="35" t="n">
        <x:f>K603*Q603</x:f>
        <x:v>0</x:v>
      </x:c>
      <x:c r="S603" s="35" t="n">
        <x:f>XLOOKUP(H603,'菜品主数据'!$A$5:$A$24,'菜品主数据'!$G$5:$G$24,0)</x:f>
        <x:v>7.9399999999999995</x:v>
      </x:c>
      <x:c r="T603" s="35" t="n">
        <x:f>K603*S603</x:f>
        <x:v>0</x:v>
      </x:c>
      <x:c r="U603" s="35" t="n">
        <x:f>L603-N603-P603-R603-T603</x:f>
        <x:v>0</x:v>
      </x:c>
      <x:c r="V603" s="21" t="n">
        <x:f>IFERROR(U603/L603,0)</x:f>
        <x:v>0</x:v>
      </x:c>
    </x:row>
    <x:row r="604">
      <x:c r="A604" s="19" t="str">
        <x:v>SALE-00600</x:v>
      </x:c>
      <x:c r="B604" s="34" t="n">
        <x:v>46210.5</x:v>
      </x:c>
      <x:c r="C604" s="19" t="str">
        <x:v>周二</x:v>
      </x:c>
      <x:c r="D604" s="19" t="str">
        <x:v>S03</x:v>
      </x:c>
      <x:c r="E604" s="19" t="str">
        <x:v>铂悦城店</x:v>
      </x:c>
      <x:c r="F604" s="19" t="str">
        <x:v>外卖</x:v>
      </x:c>
      <x:c r="G604" s="19" t="str">
        <x:v>全日</x:v>
      </x:c>
      <x:c r="H604" s="19" t="str">
        <x:v>D20</x:v>
      </x:c>
      <x:c r="I604" s="19" t="str">
        <x:v>雪菜肉末青豆</x:v>
      </x:c>
      <x:c r="J604" s="22" t="n">
        <x:f>XLOOKUP(H604,'菜品主数据'!$A$5:$A$24,'菜品主数据'!$D$5:$D$24,0)</x:f>
        <x:v>18</x:v>
      </x:c>
      <x:c r="K604" s="31" t="n">
        <x:v>1</x:v>
      </x:c>
      <x:c r="L604" s="35" t="n">
        <x:f>J604*K604</x:f>
        <x:v>18</x:v>
      </x:c>
      <x:c r="M604" s="36" t="n">
        <x:v>0.08</x:v>
      </x:c>
      <x:c r="N604" s="35" t="n">
        <x:f>L604*M604</x:f>
        <x:v>1.44</x:v>
      </x:c>
      <x:c r="O604" s="37" t="n">
        <x:v>0.18</x:v>
      </x:c>
      <x:c r="P604" s="35" t="n">
        <x:f>L604*O604</x:f>
        <x:v>3.2399999999999998</x:v>
      </x:c>
      <x:c r="Q604" s="35" t="n">
        <x:v>1.2</x:v>
      </x:c>
      <x:c r="R604" s="35" t="n">
        <x:f>K604*Q604</x:f>
        <x:v>1.2</x:v>
      </x:c>
      <x:c r="S604" s="35" t="n">
        <x:f>XLOOKUP(H604,'菜品主数据'!$A$5:$A$24,'菜品主数据'!$G$5:$G$24,0)</x:f>
        <x:v>7.303999999999999</x:v>
      </x:c>
      <x:c r="T604" s="35" t="n">
        <x:f>K604*S604</x:f>
        <x:v>7.303999999999999</x:v>
      </x:c>
      <x:c r="U604" s="35" t="n">
        <x:f>L604-N604-P604-R604-T604</x:f>
        <x:v>4.816</x:v>
      </x:c>
      <x:c r="V604" s="21" t="n">
        <x:f>IFERROR(U604/L604,0)</x:f>
        <x:v>0.26755555555555555</x:v>
      </x:c>
    </x:row>
    <x:row r="605">
      <x:c r="A605" s="19" t="str">
        <x:v>SALE-00601</x:v>
      </x:c>
      <x:c r="B605" s="34" t="n">
        <x:v>46211.5</x:v>
      </x:c>
      <x:c r="C605" s="19" t="str">
        <x:v>周三</x:v>
      </x:c>
      <x:c r="D605" s="19" t="str">
        <x:v>S03</x:v>
      </x:c>
      <x:c r="E605" s="19" t="str">
        <x:v>铂悦城店</x:v>
      </x:c>
      <x:c r="F605" s="19" t="str">
        <x:v>堂食</x:v>
      </x:c>
      <x:c r="G605" s="19" t="str">
        <x:v>全日</x:v>
      </x:c>
      <x:c r="H605" s="19" t="str">
        <x:v>D01</x:v>
      </x:c>
      <x:c r="I605" s="19" t="str">
        <x:v>辣椒炒肉</x:v>
      </x:c>
      <x:c r="J605" s="22" t="n">
        <x:f>XLOOKUP(H605,'菜品主数据'!$A$5:$A$24,'菜品主数据'!$D$5:$D$24,0)</x:f>
        <x:v>29</x:v>
      </x:c>
      <x:c r="K605" s="31" t="n">
        <x:v>47</x:v>
      </x:c>
      <x:c r="L605" s="35" t="n">
        <x:f>J605*K605</x:f>
        <x:v>1363</x:v>
      </x:c>
      <x:c r="M605" s="36" t="n">
        <x:v>0</x:v>
      </x:c>
      <x:c r="N605" s="35" t="n">
        <x:f>L605*M605</x:f>
        <x:v>0</x:v>
      </x:c>
      <x:c r="O605" s="37" t="n">
        <x:v>0</x:v>
      </x:c>
      <x:c r="P605" s="35" t="n">
        <x:f>L605*O605</x:f>
        <x:v>0</x:v>
      </x:c>
      <x:c r="Q605" s="35" t="n">
        <x:v>0</x:v>
      </x:c>
      <x:c r="R605" s="35" t="n">
        <x:f>K605*Q605</x:f>
        <x:v>0</x:v>
      </x:c>
      <x:c r="S605" s="35" t="n">
        <x:f>XLOOKUP(H605,'菜品主数据'!$A$5:$A$24,'菜品主数据'!$G$5:$G$24,0)</x:f>
        <x:v>8.634400000000001</x:v>
      </x:c>
      <x:c r="T605" s="35" t="n">
        <x:f>K605*S605</x:f>
        <x:v>405.81680000000006</x:v>
      </x:c>
      <x:c r="U605" s="35" t="n">
        <x:f>L605-N605-P605-R605-T605</x:f>
        <x:v>957.1831999999999</x:v>
      </x:c>
      <x:c r="V605" s="21" t="n">
        <x:f>IFERROR(U605/L605,0)</x:f>
        <x:v>0.7022620689655172</x:v>
      </x:c>
    </x:row>
    <x:row r="606">
      <x:c r="A606" s="19" t="str">
        <x:v>SALE-00602</x:v>
      </x:c>
      <x:c r="B606" s="34" t="n">
        <x:v>46211.5</x:v>
      </x:c>
      <x:c r="C606" s="19" t="str">
        <x:v>周三</x:v>
      </x:c>
      <x:c r="D606" s="19" t="str">
        <x:v>S03</x:v>
      </x:c>
      <x:c r="E606" s="19" t="str">
        <x:v>铂悦城店</x:v>
      </x:c>
      <x:c r="F606" s="19" t="str">
        <x:v>堂食</x:v>
      </x:c>
      <x:c r="G606" s="19" t="str">
        <x:v>全日</x:v>
      </x:c>
      <x:c r="H606" s="19" t="str">
        <x:v>D02</x:v>
      </x:c>
      <x:c r="I606" s="19" t="str">
        <x:v>小炒黄牛肉</x:v>
      </x:c>
      <x:c r="J606" s="22" t="n">
        <x:f>XLOOKUP(H606,'菜品主数据'!$A$5:$A$24,'菜品主数据'!$D$5:$D$24,0)</x:f>
        <x:v>49</x:v>
      </x:c>
      <x:c r="K606" s="31" t="n">
        <x:v>25</x:v>
      </x:c>
      <x:c r="L606" s="35" t="n">
        <x:f>J606*K606</x:f>
        <x:v>1225</x:v>
      </x:c>
      <x:c r="M606" s="36" t="n">
        <x:v>0</x:v>
      </x:c>
      <x:c r="N606" s="35" t="n">
        <x:f>L606*M606</x:f>
        <x:v>0</x:v>
      </x:c>
      <x:c r="O606" s="37" t="n">
        <x:v>0</x:v>
      </x:c>
      <x:c r="P606" s="35" t="n">
        <x:f>L606*O606</x:f>
        <x:v>0</x:v>
      </x:c>
      <x:c r="Q606" s="35" t="n">
        <x:v>0</x:v>
      </x:c>
      <x:c r="R606" s="35" t="n">
        <x:f>K606*Q606</x:f>
        <x:v>0</x:v>
      </x:c>
      <x:c r="S606" s="35" t="n">
        <x:f>XLOOKUP(H606,'菜品主数据'!$A$5:$A$24,'菜品主数据'!$G$5:$G$24,0)</x:f>
        <x:v>17.577</x:v>
      </x:c>
      <x:c r="T606" s="35" t="n">
        <x:f>K606*S606</x:f>
        <x:v>439.42500000000007</x:v>
      </x:c>
      <x:c r="U606" s="35" t="n">
        <x:f>L606-N606-P606-R606-T606</x:f>
        <x:v>785.5749999999999</x:v>
      </x:c>
      <x:c r="V606" s="21" t="n">
        <x:f>IFERROR(U606/L606,0)</x:f>
        <x:v>0.6412857142857142</x:v>
      </x:c>
    </x:row>
    <x:row r="607">
      <x:c r="A607" s="19" t="str">
        <x:v>SALE-00603</x:v>
      </x:c>
      <x:c r="B607" s="34" t="n">
        <x:v>46211.5</x:v>
      </x:c>
      <x:c r="C607" s="19" t="str">
        <x:v>周三</x:v>
      </x:c>
      <x:c r="D607" s="19" t="str">
        <x:v>S03</x:v>
      </x:c>
      <x:c r="E607" s="19" t="str">
        <x:v>铂悦城店</x:v>
      </x:c>
      <x:c r="F607" s="19" t="str">
        <x:v>堂食</x:v>
      </x:c>
      <x:c r="G607" s="19" t="str">
        <x:v>全日</x:v>
      </x:c>
      <x:c r="H607" s="19" t="str">
        <x:v>D03</x:v>
      </x:c>
      <x:c r="I607" s="19" t="str">
        <x:v>香醋炒蛋</x:v>
      </x:c>
      <x:c r="J607" s="22" t="n">
        <x:f>XLOOKUP(H607,'菜品主数据'!$A$5:$A$24,'菜品主数据'!$D$5:$D$24,0)</x:f>
        <x:v>14.9</x:v>
      </x:c>
      <x:c r="K607" s="31" t="n">
        <x:v>39</x:v>
      </x:c>
      <x:c r="L607" s="35" t="n">
        <x:f>J607*K607</x:f>
        <x:v>581.1</x:v>
      </x:c>
      <x:c r="M607" s="36" t="n">
        <x:v>0</x:v>
      </x:c>
      <x:c r="N607" s="35" t="n">
        <x:f>L607*M607</x:f>
        <x:v>0</x:v>
      </x:c>
      <x:c r="O607" s="37" t="n">
        <x:v>0</x:v>
      </x:c>
      <x:c r="P607" s="35" t="n">
        <x:f>L607*O607</x:f>
        <x:v>0</x:v>
      </x:c>
      <x:c r="Q607" s="35" t="n">
        <x:v>0</x:v>
      </x:c>
      <x:c r="R607" s="35" t="n">
        <x:f>K607*Q607</x:f>
        <x:v>0</x:v>
      </x:c>
      <x:c r="S607" s="35" t="n">
        <x:f>XLOOKUP(H607,'菜品主数据'!$A$5:$A$24,'菜品主数据'!$G$5:$G$24,0)</x:f>
        <x:v>3.7459999999999996</x:v>
      </x:c>
      <x:c r="T607" s="35" t="n">
        <x:f>K607*S607</x:f>
        <x:v>146.094</x:v>
      </x:c>
      <x:c r="U607" s="35" t="n">
        <x:f>L607-N607-P607-R607-T607</x:f>
        <x:v>435.00600000000003</x:v>
      </x:c>
      <x:c r="V607" s="21" t="n">
        <x:f>IFERROR(U607/L607,0)</x:f>
        <x:v>0.7485906040268456</x:v>
      </x:c>
    </x:row>
    <x:row r="608">
      <x:c r="A608" s="19" t="str">
        <x:v>SALE-00604</x:v>
      </x:c>
      <x:c r="B608" s="34" t="n">
        <x:v>46211.5</x:v>
      </x:c>
      <x:c r="C608" s="19" t="str">
        <x:v>周三</x:v>
      </x:c>
      <x:c r="D608" s="19" t="str">
        <x:v>S03</x:v>
      </x:c>
      <x:c r="E608" s="19" t="str">
        <x:v>铂悦城店</x:v>
      </x:c>
      <x:c r="F608" s="19" t="str">
        <x:v>堂食</x:v>
      </x:c>
      <x:c r="G608" s="19" t="str">
        <x:v>全日</x:v>
      </x:c>
      <x:c r="H608" s="19" t="str">
        <x:v>D04</x:v>
      </x:c>
      <x:c r="I608" s="19" t="str">
        <x:v>酸包菜炒粉皮</x:v>
      </x:c>
      <x:c r="J608" s="22" t="n">
        <x:f>XLOOKUP(H608,'菜品主数据'!$A$5:$A$24,'菜品主数据'!$D$5:$D$24,0)</x:f>
        <x:v>16</x:v>
      </x:c>
      <x:c r="K608" s="31" t="n">
        <x:v>37</x:v>
      </x:c>
      <x:c r="L608" s="35" t="n">
        <x:f>J608*K608</x:f>
        <x:v>592</x:v>
      </x:c>
      <x:c r="M608" s="36" t="n">
        <x:v>0</x:v>
      </x:c>
      <x:c r="N608" s="35" t="n">
        <x:f>L608*M608</x:f>
        <x:v>0</x:v>
      </x:c>
      <x:c r="O608" s="37" t="n">
        <x:v>0</x:v>
      </x:c>
      <x:c r="P608" s="35" t="n">
        <x:f>L608*O608</x:f>
        <x:v>0</x:v>
      </x:c>
      <x:c r="Q608" s="35" t="n">
        <x:v>0</x:v>
      </x:c>
      <x:c r="R608" s="35" t="n">
        <x:f>K608*Q608</x:f>
        <x:v>0</x:v>
      </x:c>
      <x:c r="S608" s="35" t="n">
        <x:f>XLOOKUP(H608,'菜品主数据'!$A$5:$A$24,'菜品主数据'!$G$5:$G$24,0)</x:f>
        <x:v>3.978</x:v>
      </x:c>
      <x:c r="T608" s="35" t="n">
        <x:f>K608*S608</x:f>
        <x:v>147.186</x:v>
      </x:c>
      <x:c r="U608" s="35" t="n">
        <x:f>L608-N608-P608-R608-T608</x:f>
        <x:v>444.81399999999996</x:v>
      </x:c>
      <x:c r="V608" s="21" t="n">
        <x:f>IFERROR(U608/L608,0)</x:f>
        <x:v>0.7513749999999999</x:v>
      </x:c>
    </x:row>
    <x:row r="609">
      <x:c r="A609" s="19" t="str">
        <x:v>SALE-00605</x:v>
      </x:c>
      <x:c r="B609" s="34" t="n">
        <x:v>46211.5</x:v>
      </x:c>
      <x:c r="C609" s="19" t="str">
        <x:v>周三</x:v>
      </x:c>
      <x:c r="D609" s="19" t="str">
        <x:v>S03</x:v>
      </x:c>
      <x:c r="E609" s="19" t="str">
        <x:v>铂悦城店</x:v>
      </x:c>
      <x:c r="F609" s="19" t="str">
        <x:v>堂食</x:v>
      </x:c>
      <x:c r="G609" s="19" t="str">
        <x:v>全日</x:v>
      </x:c>
      <x:c r="H609" s="19" t="str">
        <x:v>D05</x:v>
      </x:c>
      <x:c r="I609" s="19" t="str">
        <x:v>麻婆豆腐</x:v>
      </x:c>
      <x:c r="J609" s="22" t="n">
        <x:f>XLOOKUP(H609,'菜品主数据'!$A$5:$A$24,'菜品主数据'!$D$5:$D$24,0)</x:f>
        <x:v>9.9</x:v>
      </x:c>
      <x:c r="K609" s="31" t="n">
        <x:v>47</x:v>
      </x:c>
      <x:c r="L609" s="35" t="n">
        <x:f>J609*K609</x:f>
        <x:v>465.3</x:v>
      </x:c>
      <x:c r="M609" s="36" t="n">
        <x:v>0</x:v>
      </x:c>
      <x:c r="N609" s="35" t="n">
        <x:f>L609*M609</x:f>
        <x:v>0</x:v>
      </x:c>
      <x:c r="O609" s="37" t="n">
        <x:v>0</x:v>
      </x:c>
      <x:c r="P609" s="35" t="n">
        <x:f>L609*O609</x:f>
        <x:v>0</x:v>
      </x:c>
      <x:c r="Q609" s="35" t="n">
        <x:v>0</x:v>
      </x:c>
      <x:c r="R609" s="35" t="n">
        <x:f>K609*Q609</x:f>
        <x:v>0</x:v>
      </x:c>
      <x:c r="S609" s="35" t="n">
        <x:f>XLOOKUP(H609,'菜品主数据'!$A$5:$A$24,'菜品主数据'!$G$5:$G$24,0)</x:f>
        <x:v>5.367000000000001</x:v>
      </x:c>
      <x:c r="T609" s="35" t="n">
        <x:f>K609*S609</x:f>
        <x:v>252.24900000000005</x:v>
      </x:c>
      <x:c r="U609" s="35" t="n">
        <x:f>L609-N609-P609-R609-T609</x:f>
        <x:v>213.05099999999996</x:v>
      </x:c>
      <x:c r="V609" s="21" t="n">
        <x:f>IFERROR(U609/L609,0)</x:f>
        <x:v>0.4578787878787878</x:v>
      </x:c>
    </x:row>
    <x:row r="610">
      <x:c r="A610" s="19" t="str">
        <x:v>SALE-00606</x:v>
      </x:c>
      <x:c r="B610" s="34" t="n">
        <x:v>46211.5</x:v>
      </x:c>
      <x:c r="C610" s="19" t="str">
        <x:v>周三</x:v>
      </x:c>
      <x:c r="D610" s="19" t="str">
        <x:v>S03</x:v>
      </x:c>
      <x:c r="E610" s="19" t="str">
        <x:v>铂悦城店</x:v>
      </x:c>
      <x:c r="F610" s="19" t="str">
        <x:v>堂食</x:v>
      </x:c>
      <x:c r="G610" s="19" t="str">
        <x:v>全日</x:v>
      </x:c>
      <x:c r="H610" s="19" t="str">
        <x:v>D06</x:v>
      </x:c>
      <x:c r="I610" s="19" t="str">
        <x:v>剁椒鱼头</x:v>
      </x:c>
      <x:c r="J610" s="22" t="n">
        <x:f>XLOOKUP(H610,'菜品主数据'!$A$5:$A$24,'菜品主数据'!$D$5:$D$24,0)</x:f>
        <x:v>39</x:v>
      </x:c>
      <x:c r="K610" s="31" t="n">
        <x:v>12</x:v>
      </x:c>
      <x:c r="L610" s="35" t="n">
        <x:f>J610*K610</x:f>
        <x:v>468</x:v>
      </x:c>
      <x:c r="M610" s="36" t="n">
        <x:v>0</x:v>
      </x:c>
      <x:c r="N610" s="35" t="n">
        <x:f>L610*M610</x:f>
        <x:v>0</x:v>
      </x:c>
      <x:c r="O610" s="37" t="n">
        <x:v>0</x:v>
      </x:c>
      <x:c r="P610" s="35" t="n">
        <x:f>L610*O610</x:f>
        <x:v>0</x:v>
      </x:c>
      <x:c r="Q610" s="35" t="n">
        <x:v>0</x:v>
      </x:c>
      <x:c r="R610" s="35" t="n">
        <x:f>K610*Q610</x:f>
        <x:v>0</x:v>
      </x:c>
      <x:c r="S610" s="35" t="n">
        <x:f>XLOOKUP(H610,'菜品主数据'!$A$5:$A$24,'菜品主数据'!$G$5:$G$24,0)</x:f>
        <x:v>17.446</x:v>
      </x:c>
      <x:c r="T610" s="35" t="n">
        <x:f>K610*S610</x:f>
        <x:v>209.35200000000003</x:v>
      </x:c>
      <x:c r="U610" s="35" t="n">
        <x:f>L610-N610-P610-R610-T610</x:f>
        <x:v>258.64799999999997</x:v>
      </x:c>
      <x:c r="V610" s="21" t="n">
        <x:f>IFERROR(U610/L610,0)</x:f>
        <x:v>0.5526666666666666</x:v>
      </x:c>
    </x:row>
    <x:row r="611">
      <x:c r="A611" s="19" t="str">
        <x:v>SALE-00607</x:v>
      </x:c>
      <x:c r="B611" s="34" t="n">
        <x:v>46211.5</x:v>
      </x:c>
      <x:c r="C611" s="19" t="str">
        <x:v>周三</x:v>
      </x:c>
      <x:c r="D611" s="19" t="str">
        <x:v>S03</x:v>
      </x:c>
      <x:c r="E611" s="19" t="str">
        <x:v>铂悦城店</x:v>
      </x:c>
      <x:c r="F611" s="19" t="str">
        <x:v>堂食</x:v>
      </x:c>
      <x:c r="G611" s="19" t="str">
        <x:v>全日</x:v>
      </x:c>
      <x:c r="H611" s="19" t="str">
        <x:v>D07</x:v>
      </x:c>
      <x:c r="I611" s="19" t="str">
        <x:v>川味回锅肉</x:v>
      </x:c>
      <x:c r="J611" s="22" t="n">
        <x:f>XLOOKUP(H611,'菜品主数据'!$A$5:$A$24,'菜品主数据'!$D$5:$D$24,0)</x:f>
        <x:v>29</x:v>
      </x:c>
      <x:c r="K611" s="31" t="n">
        <x:v>14</x:v>
      </x:c>
      <x:c r="L611" s="35" t="n">
        <x:f>J611*K611</x:f>
        <x:v>406</x:v>
      </x:c>
      <x:c r="M611" s="36" t="n">
        <x:v>0</x:v>
      </x:c>
      <x:c r="N611" s="35" t="n">
        <x:f>L611*M611</x:f>
        <x:v>0</x:v>
      </x:c>
      <x:c r="O611" s="37" t="n">
        <x:v>0</x:v>
      </x:c>
      <x:c r="P611" s="35" t="n">
        <x:f>L611*O611</x:f>
        <x:v>0</x:v>
      </x:c>
      <x:c r="Q611" s="35" t="n">
        <x:v>0</x:v>
      </x:c>
      <x:c r="R611" s="35" t="n">
        <x:f>K611*Q611</x:f>
        <x:v>0</x:v>
      </x:c>
      <x:c r="S611" s="35" t="n">
        <x:f>XLOOKUP(H611,'菜品主数据'!$A$5:$A$24,'菜品主数据'!$G$5:$G$24,0)</x:f>
        <x:v>10.231000000000002</x:v>
      </x:c>
      <x:c r="T611" s="35" t="n">
        <x:f>K611*S611</x:f>
        <x:v>143.23400000000004</x:v>
      </x:c>
      <x:c r="U611" s="35" t="n">
        <x:f>L611-N611-P611-R611-T611</x:f>
        <x:v>262.76599999999996</x:v>
      </x:c>
      <x:c r="V611" s="21" t="n">
        <x:f>IFERROR(U611/L611,0)</x:f>
        <x:v>0.647206896551724</x:v>
      </x:c>
    </x:row>
    <x:row r="612">
      <x:c r="A612" s="19" t="str">
        <x:v>SALE-00608</x:v>
      </x:c>
      <x:c r="B612" s="34" t="n">
        <x:v>46211.5</x:v>
      </x:c>
      <x:c r="C612" s="19" t="str">
        <x:v>周三</x:v>
      </x:c>
      <x:c r="D612" s="19" t="str">
        <x:v>S03</x:v>
      </x:c>
      <x:c r="E612" s="19" t="str">
        <x:v>铂悦城店</x:v>
      </x:c>
      <x:c r="F612" s="19" t="str">
        <x:v>堂食</x:v>
      </x:c>
      <x:c r="G612" s="19" t="str">
        <x:v>全日</x:v>
      </x:c>
      <x:c r="H612" s="19" t="str">
        <x:v>D08</x:v>
      </x:c>
      <x:c r="I612" s="19" t="str">
        <x:v>生炒清远鸡</x:v>
      </x:c>
      <x:c r="J612" s="22" t="n">
        <x:f>XLOOKUP(H612,'菜品主数据'!$A$5:$A$24,'菜品主数据'!$D$5:$D$24,0)</x:f>
        <x:v>36</x:v>
      </x:c>
      <x:c r="K612" s="31" t="n">
        <x:v>11</x:v>
      </x:c>
      <x:c r="L612" s="35" t="n">
        <x:f>J612*K612</x:f>
        <x:v>396</x:v>
      </x:c>
      <x:c r="M612" s="36" t="n">
        <x:v>0</x:v>
      </x:c>
      <x:c r="N612" s="35" t="n">
        <x:f>L612*M612</x:f>
        <x:v>0</x:v>
      </x:c>
      <x:c r="O612" s="37" t="n">
        <x:v>0</x:v>
      </x:c>
      <x:c r="P612" s="35" t="n">
        <x:f>L612*O612</x:f>
        <x:v>0</x:v>
      </x:c>
      <x:c r="Q612" s="35" t="n">
        <x:v>0</x:v>
      </x:c>
      <x:c r="R612" s="35" t="n">
        <x:f>K612*Q612</x:f>
        <x:v>0</x:v>
      </x:c>
      <x:c r="S612" s="35" t="n">
        <x:f>XLOOKUP(H612,'菜品主数据'!$A$5:$A$24,'菜品主数据'!$G$5:$G$24,0)</x:f>
        <x:v>13.48</x:v>
      </x:c>
      <x:c r="T612" s="35" t="n">
        <x:f>K612*S612</x:f>
        <x:v>148.28</x:v>
      </x:c>
      <x:c r="U612" s="35" t="n">
        <x:f>L612-N612-P612-R612-T612</x:f>
        <x:v>247.72</x:v>
      </x:c>
      <x:c r="V612" s="21" t="n">
        <x:f>IFERROR(U612/L612,0)</x:f>
        <x:v>0.6255555555555555</x:v>
      </x:c>
    </x:row>
    <x:row r="613">
      <x:c r="A613" s="19" t="str">
        <x:v>SALE-00609</x:v>
      </x:c>
      <x:c r="B613" s="34" t="n">
        <x:v>46211.5</x:v>
      </x:c>
      <x:c r="C613" s="19" t="str">
        <x:v>周三</x:v>
      </x:c>
      <x:c r="D613" s="19" t="str">
        <x:v>S03</x:v>
      </x:c>
      <x:c r="E613" s="19" t="str">
        <x:v>铂悦城店</x:v>
      </x:c>
      <x:c r="F613" s="19" t="str">
        <x:v>堂食</x:v>
      </x:c>
      <x:c r="G613" s="19" t="str">
        <x:v>全日</x:v>
      </x:c>
      <x:c r="H613" s="19" t="str">
        <x:v>D09</x:v>
      </x:c>
      <x:c r="I613" s="19" t="str">
        <x:v>炒豆干</x:v>
      </x:c>
      <x:c r="J613" s="22" t="n">
        <x:f>XLOOKUP(H613,'菜品主数据'!$A$5:$A$24,'菜品主数据'!$D$5:$D$24,0)</x:f>
        <x:v>18</x:v>
      </x:c>
      <x:c r="K613" s="31" t="n">
        <x:v>16</x:v>
      </x:c>
      <x:c r="L613" s="35" t="n">
        <x:f>J613*K613</x:f>
        <x:v>288</x:v>
      </x:c>
      <x:c r="M613" s="36" t="n">
        <x:v>0</x:v>
      </x:c>
      <x:c r="N613" s="35" t="n">
        <x:f>L613*M613</x:f>
        <x:v>0</x:v>
      </x:c>
      <x:c r="O613" s="37" t="n">
        <x:v>0</x:v>
      </x:c>
      <x:c r="P613" s="35" t="n">
        <x:f>L613*O613</x:f>
        <x:v>0</x:v>
      </x:c>
      <x:c r="Q613" s="35" t="n">
        <x:v>0</x:v>
      </x:c>
      <x:c r="R613" s="35" t="n">
        <x:f>K613*Q613</x:f>
        <x:v>0</x:v>
      </x:c>
      <x:c r="S613" s="35" t="n">
        <x:f>XLOOKUP(H613,'菜品主数据'!$A$5:$A$24,'菜品主数据'!$G$5:$G$24,0)</x:f>
        <x:v>6.613999999999999</x:v>
      </x:c>
      <x:c r="T613" s="35" t="n">
        <x:f>K613*S613</x:f>
        <x:v>105.82399999999998</x:v>
      </x:c>
      <x:c r="U613" s="35" t="n">
        <x:f>L613-N613-P613-R613-T613</x:f>
        <x:v>182.17600000000002</x:v>
      </x:c>
      <x:c r="V613" s="21" t="n">
        <x:f>IFERROR(U613/L613,0)</x:f>
        <x:v>0.6325555555555556</x:v>
      </x:c>
    </x:row>
    <x:row r="614">
      <x:c r="A614" s="19" t="str">
        <x:v>SALE-00610</x:v>
      </x:c>
      <x:c r="B614" s="34" t="n">
        <x:v>46211.5</x:v>
      </x:c>
      <x:c r="C614" s="19" t="str">
        <x:v>周三</x:v>
      </x:c>
      <x:c r="D614" s="19" t="str">
        <x:v>S03</x:v>
      </x:c>
      <x:c r="E614" s="19" t="str">
        <x:v>铂悦城店</x:v>
      </x:c>
      <x:c r="F614" s="19" t="str">
        <x:v>堂食</x:v>
      </x:c>
      <x:c r="G614" s="19" t="str">
        <x:v>全日</x:v>
      </x:c>
      <x:c r="H614" s="19" t="str">
        <x:v>D10</x:v>
      </x:c>
      <x:c r="I614" s="19" t="str">
        <x:v>农家一碗香</x:v>
      </x:c>
      <x:c r="J614" s="22" t="n">
        <x:f>XLOOKUP(H614,'菜品主数据'!$A$5:$A$24,'菜品主数据'!$D$5:$D$24,0)</x:f>
        <x:v>22.9</x:v>
      </x:c>
      <x:c r="K614" s="31" t="n">
        <x:v>16</x:v>
      </x:c>
      <x:c r="L614" s="35" t="n">
        <x:f>J614*K614</x:f>
        <x:v>366.4</x:v>
      </x:c>
      <x:c r="M614" s="36" t="n">
        <x:v>0</x:v>
      </x:c>
      <x:c r="N614" s="35" t="n">
        <x:f>L614*M614</x:f>
        <x:v>0</x:v>
      </x:c>
      <x:c r="O614" s="37" t="n">
        <x:v>0</x:v>
      </x:c>
      <x:c r="P614" s="35" t="n">
        <x:f>L614*O614</x:f>
        <x:v>0</x:v>
      </x:c>
      <x:c r="Q614" s="35" t="n">
        <x:v>0</x:v>
      </x:c>
      <x:c r="R614" s="35" t="n">
        <x:f>K614*Q614</x:f>
        <x:v>0</x:v>
      </x:c>
      <x:c r="S614" s="35" t="n">
        <x:f>XLOOKUP(H614,'菜品主数据'!$A$5:$A$24,'菜品主数据'!$G$5:$G$24,0)</x:f>
        <x:v>9.770200000000003</x:v>
      </x:c>
      <x:c r="T614" s="35" t="n">
        <x:f>K614*S614</x:f>
        <x:v>156.32320000000004</x:v>
      </x:c>
      <x:c r="U614" s="35" t="n">
        <x:f>L614-N614-P614-R614-T614</x:f>
        <x:v>210.07679999999993</x:v>
      </x:c>
      <x:c r="V614" s="21" t="n">
        <x:f>IFERROR(U614/L614,0)</x:f>
        <x:v>0.5733537117903929</x:v>
      </x:c>
    </x:row>
    <x:row r="615">
      <x:c r="A615" s="19" t="str">
        <x:v>SALE-00611</x:v>
      </x:c>
      <x:c r="B615" s="34" t="n">
        <x:v>46211.5</x:v>
      </x:c>
      <x:c r="C615" s="19" t="str">
        <x:v>周三</x:v>
      </x:c>
      <x:c r="D615" s="19" t="str">
        <x:v>S03</x:v>
      </x:c>
      <x:c r="E615" s="19" t="str">
        <x:v>铂悦城店</x:v>
      </x:c>
      <x:c r="F615" s="19" t="str">
        <x:v>堂食</x:v>
      </x:c>
      <x:c r="G615" s="19" t="str">
        <x:v>全日</x:v>
      </x:c>
      <x:c r="H615" s="19" t="str">
        <x:v>D11</x:v>
      </x:c>
      <x:c r="I615" s="19" t="str">
        <x:v>香辣爆肥肠</x:v>
      </x:c>
      <x:c r="J615" s="22" t="n">
        <x:f>XLOOKUP(H615,'菜品主数据'!$A$5:$A$24,'菜品主数据'!$D$5:$D$24,0)</x:f>
        <x:v>39</x:v>
      </x:c>
      <x:c r="K615" s="31" t="n">
        <x:v>7</x:v>
      </x:c>
      <x:c r="L615" s="35" t="n">
        <x:f>J615*K615</x:f>
        <x:v>273</x:v>
      </x:c>
      <x:c r="M615" s="36" t="n">
        <x:v>0</x:v>
      </x:c>
      <x:c r="N615" s="35" t="n">
        <x:f>L615*M615</x:f>
        <x:v>0</x:v>
      </x:c>
      <x:c r="O615" s="37" t="n">
        <x:v>0</x:v>
      </x:c>
      <x:c r="P615" s="35" t="n">
        <x:f>L615*O615</x:f>
        <x:v>0</x:v>
      </x:c>
      <x:c r="Q615" s="35" t="n">
        <x:v>0</x:v>
      </x:c>
      <x:c r="R615" s="35" t="n">
        <x:f>K615*Q615</x:f>
        <x:v>0</x:v>
      </x:c>
      <x:c r="S615" s="35" t="n">
        <x:f>XLOOKUP(H615,'菜品主数据'!$A$5:$A$24,'菜品主数据'!$G$5:$G$24,0)</x:f>
        <x:v>10.397</x:v>
      </x:c>
      <x:c r="T615" s="35" t="n">
        <x:f>K615*S615</x:f>
        <x:v>72.779</x:v>
      </x:c>
      <x:c r="U615" s="35" t="n">
        <x:f>L615-N615-P615-R615-T615</x:f>
        <x:v>200.221</x:v>
      </x:c>
      <x:c r="V615" s="21" t="n">
        <x:f>IFERROR(U615/L615,0)</x:f>
        <x:v>0.7334102564102565</x:v>
      </x:c>
    </x:row>
    <x:row r="616">
      <x:c r="A616" s="19" t="str">
        <x:v>SALE-00612</x:v>
      </x:c>
      <x:c r="B616" s="34" t="n">
        <x:v>46211.5</x:v>
      </x:c>
      <x:c r="C616" s="19" t="str">
        <x:v>周三</x:v>
      </x:c>
      <x:c r="D616" s="19" t="str">
        <x:v>S03</x:v>
      </x:c>
      <x:c r="E616" s="19" t="str">
        <x:v>铂悦城店</x:v>
      </x:c>
      <x:c r="F616" s="19" t="str">
        <x:v>堂食</x:v>
      </x:c>
      <x:c r="G616" s="19" t="str">
        <x:v>全日</x:v>
      </x:c>
      <x:c r="H616" s="19" t="str">
        <x:v>D12</x:v>
      </x:c>
      <x:c r="I616" s="19" t="str">
        <x:v>清蒸鲈鱼</x:v>
      </x:c>
      <x:c r="J616" s="22" t="n">
        <x:f>XLOOKUP(H616,'菜品主数据'!$A$5:$A$24,'菜品主数据'!$D$5:$D$24,0)</x:f>
        <x:v>39</x:v>
      </x:c>
      <x:c r="K616" s="31" t="n">
        <x:v>6</x:v>
      </x:c>
      <x:c r="L616" s="35" t="n">
        <x:f>J616*K616</x:f>
        <x:v>234</x:v>
      </x:c>
      <x:c r="M616" s="36" t="n">
        <x:v>0</x:v>
      </x:c>
      <x:c r="N616" s="35" t="n">
        <x:f>L616*M616</x:f>
        <x:v>0</x:v>
      </x:c>
      <x:c r="O616" s="37" t="n">
        <x:v>0</x:v>
      </x:c>
      <x:c r="P616" s="35" t="n">
        <x:f>L616*O616</x:f>
        <x:v>0</x:v>
      </x:c>
      <x:c r="Q616" s="35" t="n">
        <x:v>0</x:v>
      </x:c>
      <x:c r="R616" s="35" t="n">
        <x:f>K616*Q616</x:f>
        <x:v>0</x:v>
      </x:c>
      <x:c r="S616" s="35" t="n">
        <x:f>XLOOKUP(H616,'菜品主数据'!$A$5:$A$24,'菜品主数据'!$G$5:$G$24,0)</x:f>
        <x:v>18.874</x:v>
      </x:c>
      <x:c r="T616" s="35" t="n">
        <x:f>K616*S616</x:f>
        <x:v>113.244</x:v>
      </x:c>
      <x:c r="U616" s="35" t="n">
        <x:f>L616-N616-P616-R616-T616</x:f>
        <x:v>120.756</x:v>
      </x:c>
      <x:c r="V616" s="21" t="n">
        <x:f>IFERROR(U616/L616,0)</x:f>
        <x:v>0.516051282051282</x:v>
      </x:c>
    </x:row>
    <x:row r="617">
      <x:c r="A617" s="19" t="str">
        <x:v>SALE-00613</x:v>
      </x:c>
      <x:c r="B617" s="34" t="n">
        <x:v>46211.5</x:v>
      </x:c>
      <x:c r="C617" s="19" t="str">
        <x:v>周三</x:v>
      </x:c>
      <x:c r="D617" s="19" t="str">
        <x:v>S03</x:v>
      </x:c>
      <x:c r="E617" s="19" t="str">
        <x:v>铂悦城店</x:v>
      </x:c>
      <x:c r="F617" s="19" t="str">
        <x:v>堂食</x:v>
      </x:c>
      <x:c r="G617" s="19" t="str">
        <x:v>全日</x:v>
      </x:c>
      <x:c r="H617" s="19" t="str">
        <x:v>D13</x:v>
      </x:c>
      <x:c r="I617" s="19" t="str">
        <x:v>外婆菜炒蛋</x:v>
      </x:c>
      <x:c r="J617" s="22" t="n">
        <x:f>XLOOKUP(H617,'菜品主数据'!$A$5:$A$24,'菜品主数据'!$D$5:$D$24,0)</x:f>
        <x:v>18</x:v>
      </x:c>
      <x:c r="K617" s="31" t="n">
        <x:v>16</x:v>
      </x:c>
      <x:c r="L617" s="35" t="n">
        <x:f>J617*K617</x:f>
        <x:v>288</x:v>
      </x:c>
      <x:c r="M617" s="36" t="n">
        <x:v>0</x:v>
      </x:c>
      <x:c r="N617" s="35" t="n">
        <x:f>L617*M617</x:f>
        <x:v>0</x:v>
      </x:c>
      <x:c r="O617" s="37" t="n">
        <x:v>0</x:v>
      </x:c>
      <x:c r="P617" s="35" t="n">
        <x:f>L617*O617</x:f>
        <x:v>0</x:v>
      </x:c>
      <x:c r="Q617" s="35" t="n">
        <x:v>0</x:v>
      </x:c>
      <x:c r="R617" s="35" t="n">
        <x:f>K617*Q617</x:f>
        <x:v>0</x:v>
      </x:c>
      <x:c r="S617" s="35" t="n">
        <x:f>XLOOKUP(H617,'菜品主数据'!$A$5:$A$24,'菜品主数据'!$G$5:$G$24,0)</x:f>
        <x:v>5.403999999999999</x:v>
      </x:c>
      <x:c r="T617" s="35" t="n">
        <x:f>K617*S617</x:f>
        <x:v>86.46399999999998</x:v>
      </x:c>
      <x:c r="U617" s="35" t="n">
        <x:f>L617-N617-P617-R617-T617</x:f>
        <x:v>201.536</x:v>
      </x:c>
      <x:c r="V617" s="21" t="n">
        <x:f>IFERROR(U617/L617,0)</x:f>
        <x:v>0.6997777777777778</x:v>
      </x:c>
    </x:row>
    <x:row r="618">
      <x:c r="A618" s="19" t="str">
        <x:v>SALE-00614</x:v>
      </x:c>
      <x:c r="B618" s="34" t="n">
        <x:v>46211.5</x:v>
      </x:c>
      <x:c r="C618" s="19" t="str">
        <x:v>周三</x:v>
      </x:c>
      <x:c r="D618" s="19" t="str">
        <x:v>S03</x:v>
      </x:c>
      <x:c r="E618" s="19" t="str">
        <x:v>铂悦城店</x:v>
      </x:c>
      <x:c r="F618" s="19" t="str">
        <x:v>堂食</x:v>
      </x:c>
      <x:c r="G618" s="19" t="str">
        <x:v>全日</x:v>
      </x:c>
      <x:c r="H618" s="19" t="str">
        <x:v>D14</x:v>
      </x:c>
      <x:c r="I618" s="19" t="str">
        <x:v>酸辣鸡杂</x:v>
      </x:c>
      <x:c r="J618" s="22" t="n">
        <x:f>XLOOKUP(H618,'菜品主数据'!$A$5:$A$24,'菜品主数据'!$D$5:$D$24,0)</x:f>
        <x:v>28</x:v>
      </x:c>
      <x:c r="K618" s="31" t="n">
        <x:v>8</x:v>
      </x:c>
      <x:c r="L618" s="35" t="n">
        <x:f>J618*K618</x:f>
        <x:v>224</x:v>
      </x:c>
      <x:c r="M618" s="36" t="n">
        <x:v>0</x:v>
      </x:c>
      <x:c r="N618" s="35" t="n">
        <x:f>L618*M618</x:f>
        <x:v>0</x:v>
      </x:c>
      <x:c r="O618" s="37" t="n">
        <x:v>0</x:v>
      </x:c>
      <x:c r="P618" s="35" t="n">
        <x:f>L618*O618</x:f>
        <x:v>0</x:v>
      </x:c>
      <x:c r="Q618" s="35" t="n">
        <x:v>0</x:v>
      </x:c>
      <x:c r="R618" s="35" t="n">
        <x:f>K618*Q618</x:f>
        <x:v>0</x:v>
      </x:c>
      <x:c r="S618" s="35" t="n">
        <x:f>XLOOKUP(H618,'菜品主数据'!$A$5:$A$24,'菜品主数据'!$G$5:$G$24,0)</x:f>
        <x:v>8.315000000000001</x:v>
      </x:c>
      <x:c r="T618" s="35" t="n">
        <x:f>K618*S618</x:f>
        <x:v>66.52000000000001</x:v>
      </x:c>
      <x:c r="U618" s="35" t="n">
        <x:f>L618-N618-P618-R618-T618</x:f>
        <x:v>157.48</x:v>
      </x:c>
      <x:c r="V618" s="21" t="n">
        <x:f>IFERROR(U618/L618,0)</x:f>
        <x:v>0.7030357142857142</x:v>
      </x:c>
    </x:row>
    <x:row r="619">
      <x:c r="A619" s="19" t="str">
        <x:v>SALE-00615</x:v>
      </x:c>
      <x:c r="B619" s="34" t="n">
        <x:v>46211.5</x:v>
      </x:c>
      <x:c r="C619" s="19" t="str">
        <x:v>周三</x:v>
      </x:c>
      <x:c r="D619" s="19" t="str">
        <x:v>S03</x:v>
      </x:c>
      <x:c r="E619" s="19" t="str">
        <x:v>铂悦城店</x:v>
      </x:c>
      <x:c r="F619" s="19" t="str">
        <x:v>堂食</x:v>
      </x:c>
      <x:c r="G619" s="19" t="str">
        <x:v>全日</x:v>
      </x:c>
      <x:c r="H619" s="19" t="str">
        <x:v>D15</x:v>
      </x:c>
      <x:c r="I619" s="19" t="str">
        <x:v>湘西土匪猪肝</x:v>
      </x:c>
      <x:c r="J619" s="22" t="n">
        <x:f>XLOOKUP(H619,'菜品主数据'!$A$5:$A$24,'菜品主数据'!$D$5:$D$24,0)</x:f>
        <x:v>26</x:v>
      </x:c>
      <x:c r="K619" s="31" t="n">
        <x:v>7</x:v>
      </x:c>
      <x:c r="L619" s="35" t="n">
        <x:f>J619*K619</x:f>
        <x:v>182</x:v>
      </x:c>
      <x:c r="M619" s="36" t="n">
        <x:v>0</x:v>
      </x:c>
      <x:c r="N619" s="35" t="n">
        <x:f>L619*M619</x:f>
        <x:v>0</x:v>
      </x:c>
      <x:c r="O619" s="37" t="n">
        <x:v>0</x:v>
      </x:c>
      <x:c r="P619" s="35" t="n">
        <x:f>L619*O619</x:f>
        <x:v>0</x:v>
      </x:c>
      <x:c r="Q619" s="35" t="n">
        <x:v>0</x:v>
      </x:c>
      <x:c r="R619" s="35" t="n">
        <x:f>K619*Q619</x:f>
        <x:v>0</x:v>
      </x:c>
      <x:c r="S619" s="35" t="n">
        <x:f>XLOOKUP(H619,'菜品主数据'!$A$5:$A$24,'菜品主数据'!$G$5:$G$24,0)</x:f>
        <x:v>6.3759999999999994</x:v>
      </x:c>
      <x:c r="T619" s="35" t="n">
        <x:f>K619*S619</x:f>
        <x:v>44.632</x:v>
      </x:c>
      <x:c r="U619" s="35" t="n">
        <x:f>L619-N619-P619-R619-T619</x:f>
        <x:v>137.368</x:v>
      </x:c>
      <x:c r="V619" s="21" t="n">
        <x:f>IFERROR(U619/L619,0)</x:f>
        <x:v>0.7547692307692307</x:v>
      </x:c>
    </x:row>
    <x:row r="620">
      <x:c r="A620" s="19" t="str">
        <x:v>SALE-00616</x:v>
      </x:c>
      <x:c r="B620" s="34" t="n">
        <x:v>46211.5</x:v>
      </x:c>
      <x:c r="C620" s="19" t="str">
        <x:v>周三</x:v>
      </x:c>
      <x:c r="D620" s="19" t="str">
        <x:v>S03</x:v>
      </x:c>
      <x:c r="E620" s="19" t="str">
        <x:v>铂悦城店</x:v>
      </x:c>
      <x:c r="F620" s="19" t="str">
        <x:v>堂食</x:v>
      </x:c>
      <x:c r="G620" s="19" t="str">
        <x:v>全日</x:v>
      </x:c>
      <x:c r="H620" s="19" t="str">
        <x:v>D16</x:v>
      </x:c>
      <x:c r="I620" s="19" t="str">
        <x:v>小豆角炒五花</x:v>
      </x:c>
      <x:c r="J620" s="22" t="n">
        <x:f>XLOOKUP(H620,'菜品主数据'!$A$5:$A$24,'菜品主数据'!$D$5:$D$24,0)</x:f>
        <x:v>25</x:v>
      </x:c>
      <x:c r="K620" s="31" t="n">
        <x:v>8</x:v>
      </x:c>
      <x:c r="L620" s="35" t="n">
        <x:f>J620*K620</x:f>
        <x:v>200</x:v>
      </x:c>
      <x:c r="M620" s="36" t="n">
        <x:v>0</x:v>
      </x:c>
      <x:c r="N620" s="35" t="n">
        <x:f>L620*M620</x:f>
        <x:v>0</x:v>
      </x:c>
      <x:c r="O620" s="37" t="n">
        <x:v>0</x:v>
      </x:c>
      <x:c r="P620" s="35" t="n">
        <x:f>L620*O620</x:f>
        <x:v>0</x:v>
      </x:c>
      <x:c r="Q620" s="35" t="n">
        <x:v>0</x:v>
      </x:c>
      <x:c r="R620" s="35" t="n">
        <x:f>K620*Q620</x:f>
        <x:v>0</x:v>
      </x:c>
      <x:c r="S620" s="35" t="n">
        <x:f>XLOOKUP(H620,'菜品主数据'!$A$5:$A$24,'菜品主数据'!$G$5:$G$24,0)</x:f>
        <x:v>8.184</x:v>
      </x:c>
      <x:c r="T620" s="35" t="n">
        <x:f>K620*S620</x:f>
        <x:v>65.472</x:v>
      </x:c>
      <x:c r="U620" s="35" t="n">
        <x:f>L620-N620-P620-R620-T620</x:f>
        <x:v>134.52800000000002</x:v>
      </x:c>
      <x:c r="V620" s="21" t="n">
        <x:f>IFERROR(U620/L620,0)</x:f>
        <x:v>0.6726400000000001</x:v>
      </x:c>
    </x:row>
    <x:row r="621">
      <x:c r="A621" s="19" t="str">
        <x:v>SALE-00617</x:v>
      </x:c>
      <x:c r="B621" s="34" t="n">
        <x:v>46211.5</x:v>
      </x:c>
      <x:c r="C621" s="19" t="str">
        <x:v>周三</x:v>
      </x:c>
      <x:c r="D621" s="19" t="str">
        <x:v>S03</x:v>
      </x:c>
      <x:c r="E621" s="19" t="str">
        <x:v>铂悦城店</x:v>
      </x:c>
      <x:c r="F621" s="19" t="str">
        <x:v>堂食</x:v>
      </x:c>
      <x:c r="G621" s="19" t="str">
        <x:v>全日</x:v>
      </x:c>
      <x:c r="H621" s="19" t="str">
        <x:v>D17</x:v>
      </x:c>
      <x:c r="I621" s="19" t="str">
        <x:v>蒜蓉粉丝虾</x:v>
      </x:c>
      <x:c r="J621" s="22" t="n">
        <x:f>XLOOKUP(H621,'菜品主数据'!$A$5:$A$24,'菜品主数据'!$D$5:$D$24,0)</x:f>
        <x:v>36</x:v>
      </x:c>
      <x:c r="K621" s="31" t="n">
        <x:v>5</x:v>
      </x:c>
      <x:c r="L621" s="35" t="n">
        <x:f>J621*K621</x:f>
        <x:v>180</x:v>
      </x:c>
      <x:c r="M621" s="36" t="n">
        <x:v>0</x:v>
      </x:c>
      <x:c r="N621" s="35" t="n">
        <x:f>L621*M621</x:f>
        <x:v>0</x:v>
      </x:c>
      <x:c r="O621" s="37" t="n">
        <x:v>0</x:v>
      </x:c>
      <x:c r="P621" s="35" t="n">
        <x:f>L621*O621</x:f>
        <x:v>0</x:v>
      </x:c>
      <x:c r="Q621" s="35" t="n">
        <x:v>0</x:v>
      </x:c>
      <x:c r="R621" s="35" t="n">
        <x:f>K621*Q621</x:f>
        <x:v>0</x:v>
      </x:c>
      <x:c r="S621" s="35" t="n">
        <x:f>XLOOKUP(H621,'菜品主数据'!$A$5:$A$24,'菜品主数据'!$G$5:$G$24,0)</x:f>
        <x:v>13.594</x:v>
      </x:c>
      <x:c r="T621" s="35" t="n">
        <x:f>K621*S621</x:f>
        <x:v>67.97</x:v>
      </x:c>
      <x:c r="U621" s="35" t="n">
        <x:f>L621-N621-P621-R621-T621</x:f>
        <x:v>112.03</x:v>
      </x:c>
      <x:c r="V621" s="21" t="n">
        <x:f>IFERROR(U621/L621,0)</x:f>
        <x:v>0.6223888888888889</x:v>
      </x:c>
    </x:row>
    <x:row r="622">
      <x:c r="A622" s="19" t="str">
        <x:v>SALE-00618</x:v>
      </x:c>
      <x:c r="B622" s="34" t="n">
        <x:v>46211.5</x:v>
      </x:c>
      <x:c r="C622" s="19" t="str">
        <x:v>周三</x:v>
      </x:c>
      <x:c r="D622" s="19" t="str">
        <x:v>S03</x:v>
      </x:c>
      <x:c r="E622" s="19" t="str">
        <x:v>铂悦城店</x:v>
      </x:c>
      <x:c r="F622" s="19" t="str">
        <x:v>堂食</x:v>
      </x:c>
      <x:c r="G622" s="19" t="str">
        <x:v>全日</x:v>
      </x:c>
      <x:c r="H622" s="19" t="str">
        <x:v>D18</x:v>
      </x:c>
      <x:c r="I622" s="19" t="str">
        <x:v>青椒炒油麦菜</x:v>
      </x:c>
      <x:c r="J622" s="22" t="n">
        <x:f>XLOOKUP(H622,'菜品主数据'!$A$5:$A$24,'菜品主数据'!$D$5:$D$24,0)</x:f>
        <x:v>18</x:v>
      </x:c>
      <x:c r="K622" s="31" t="n">
        <x:v>8</x:v>
      </x:c>
      <x:c r="L622" s="35" t="n">
        <x:f>J622*K622</x:f>
        <x:v>144</x:v>
      </x:c>
      <x:c r="M622" s="36" t="n">
        <x:v>0</x:v>
      </x:c>
      <x:c r="N622" s="35" t="n">
        <x:f>L622*M622</x:f>
        <x:v>0</x:v>
      </x:c>
      <x:c r="O622" s="37" t="n">
        <x:v>0</x:v>
      </x:c>
      <x:c r="P622" s="35" t="n">
        <x:f>L622*O622</x:f>
        <x:v>0</x:v>
      </x:c>
      <x:c r="Q622" s="35" t="n">
        <x:v>0</x:v>
      </x:c>
      <x:c r="R622" s="35" t="n">
        <x:f>K622*Q622</x:f>
        <x:v>0</x:v>
      </x:c>
      <x:c r="S622" s="35" t="n">
        <x:f>XLOOKUP(H622,'菜品主数据'!$A$5:$A$24,'菜品主数据'!$G$5:$G$24,0)</x:f>
        <x:v>3.1759999999999993</x:v>
      </x:c>
      <x:c r="T622" s="35" t="n">
        <x:f>K622*S622</x:f>
        <x:v>25.407999999999994</x:v>
      </x:c>
      <x:c r="U622" s="35" t="n">
        <x:f>L622-N622-P622-R622-T622</x:f>
        <x:v>118.59200000000001</x:v>
      </x:c>
      <x:c r="V622" s="21" t="n">
        <x:f>IFERROR(U622/L622,0)</x:f>
        <x:v>0.8235555555555556</x:v>
      </x:c>
    </x:row>
    <x:row r="623">
      <x:c r="A623" s="19" t="str">
        <x:v>SALE-00619</x:v>
      </x:c>
      <x:c r="B623" s="34" t="n">
        <x:v>46211.5</x:v>
      </x:c>
      <x:c r="C623" s="19" t="str">
        <x:v>周三</x:v>
      </x:c>
      <x:c r="D623" s="19" t="str">
        <x:v>S03</x:v>
      </x:c>
      <x:c r="E623" s="19" t="str">
        <x:v>铂悦城店</x:v>
      </x:c>
      <x:c r="F623" s="19" t="str">
        <x:v>堂食</x:v>
      </x:c>
      <x:c r="G623" s="19" t="str">
        <x:v>全日</x:v>
      </x:c>
      <x:c r="H623" s="19" t="str">
        <x:v>D19</x:v>
      </x:c>
      <x:c r="I623" s="19" t="str">
        <x:v>酸萝卜炒鸡杂</x:v>
      </x:c>
      <x:c r="J623" s="22" t="n">
        <x:f>XLOOKUP(H623,'菜品主数据'!$A$5:$A$24,'菜品主数据'!$D$5:$D$24,0)</x:f>
        <x:v>25</x:v>
      </x:c>
      <x:c r="K623" s="31" t="n">
        <x:v>6</x:v>
      </x:c>
      <x:c r="L623" s="35" t="n">
        <x:f>J623*K623</x:f>
        <x:v>150</x:v>
      </x:c>
      <x:c r="M623" s="36" t="n">
        <x:v>0</x:v>
      </x:c>
      <x:c r="N623" s="35" t="n">
        <x:f>L623*M623</x:f>
        <x:v>0</x:v>
      </x:c>
      <x:c r="O623" s="37" t="n">
        <x:v>0</x:v>
      </x:c>
      <x:c r="P623" s="35" t="n">
        <x:f>L623*O623</x:f>
        <x:v>0</x:v>
      </x:c>
      <x:c r="Q623" s="35" t="n">
        <x:v>0</x:v>
      </x:c>
      <x:c r="R623" s="35" t="n">
        <x:f>K623*Q623</x:f>
        <x:v>0</x:v>
      </x:c>
      <x:c r="S623" s="35" t="n">
        <x:f>XLOOKUP(H623,'菜品主数据'!$A$5:$A$24,'菜品主数据'!$G$5:$G$24,0)</x:f>
        <x:v>7.9399999999999995</x:v>
      </x:c>
      <x:c r="T623" s="35" t="n">
        <x:f>K623*S623</x:f>
        <x:v>47.64</x:v>
      </x:c>
      <x:c r="U623" s="35" t="n">
        <x:f>L623-N623-P623-R623-T623</x:f>
        <x:v>102.36</x:v>
      </x:c>
      <x:c r="V623" s="21" t="n">
        <x:f>IFERROR(U623/L623,0)</x:f>
        <x:v>0.6824</x:v>
      </x:c>
    </x:row>
    <x:row r="624">
      <x:c r="A624" s="19" t="str">
        <x:v>SALE-00620</x:v>
      </x:c>
      <x:c r="B624" s="34" t="n">
        <x:v>46211.5</x:v>
      </x:c>
      <x:c r="C624" s="19" t="str">
        <x:v>周三</x:v>
      </x:c>
      <x:c r="D624" s="19" t="str">
        <x:v>S03</x:v>
      </x:c>
      <x:c r="E624" s="19" t="str">
        <x:v>铂悦城店</x:v>
      </x:c>
      <x:c r="F624" s="19" t="str">
        <x:v>堂食</x:v>
      </x:c>
      <x:c r="G624" s="19" t="str">
        <x:v>全日</x:v>
      </x:c>
      <x:c r="H624" s="19" t="str">
        <x:v>D20</x:v>
      </x:c>
      <x:c r="I624" s="19" t="str">
        <x:v>雪菜肉末青豆</x:v>
      </x:c>
      <x:c r="J624" s="22" t="n">
        <x:f>XLOOKUP(H624,'菜品主数据'!$A$5:$A$24,'菜品主数据'!$D$5:$D$24,0)</x:f>
        <x:v>18</x:v>
      </x:c>
      <x:c r="K624" s="31" t="n">
        <x:v>9</x:v>
      </x:c>
      <x:c r="L624" s="35" t="n">
        <x:f>J624*K624</x:f>
        <x:v>162</x:v>
      </x:c>
      <x:c r="M624" s="36" t="n">
        <x:v>0</x:v>
      </x:c>
      <x:c r="N624" s="35" t="n">
        <x:f>L624*M624</x:f>
        <x:v>0</x:v>
      </x:c>
      <x:c r="O624" s="37" t="n">
        <x:v>0</x:v>
      </x:c>
      <x:c r="P624" s="35" t="n">
        <x:f>L624*O624</x:f>
        <x:v>0</x:v>
      </x:c>
      <x:c r="Q624" s="35" t="n">
        <x:v>0</x:v>
      </x:c>
      <x:c r="R624" s="35" t="n">
        <x:f>K624*Q624</x:f>
        <x:v>0</x:v>
      </x:c>
      <x:c r="S624" s="35" t="n">
        <x:f>XLOOKUP(H624,'菜品主数据'!$A$5:$A$24,'菜品主数据'!$G$5:$G$24,0)</x:f>
        <x:v>7.303999999999999</x:v>
      </x:c>
      <x:c r="T624" s="35" t="n">
        <x:f>K624*S624</x:f>
        <x:v>65.73599999999999</x:v>
      </x:c>
      <x:c r="U624" s="35" t="n">
        <x:f>L624-N624-P624-R624-T624</x:f>
        <x:v>96.26400000000001</x:v>
      </x:c>
      <x:c r="V624" s="21" t="n">
        <x:f>IFERROR(U624/L624,0)</x:f>
        <x:v>0.5942222222222223</x:v>
      </x:c>
    </x:row>
    <x:row r="625">
      <x:c r="A625" s="19" t="str">
        <x:v>SALE-00621</x:v>
      </x:c>
      <x:c r="B625" s="34" t="n">
        <x:v>46211.5</x:v>
      </x:c>
      <x:c r="C625" s="19" t="str">
        <x:v>周三</x:v>
      </x:c>
      <x:c r="D625" s="19" t="str">
        <x:v>S03</x:v>
      </x:c>
      <x:c r="E625" s="19" t="str">
        <x:v>铂悦城店</x:v>
      </x:c>
      <x:c r="F625" s="19" t="str">
        <x:v>外卖</x:v>
      </x:c>
      <x:c r="G625" s="19" t="str">
        <x:v>全日</x:v>
      </x:c>
      <x:c r="H625" s="19" t="str">
        <x:v>D01</x:v>
      </x:c>
      <x:c r="I625" s="19" t="str">
        <x:v>辣椒炒肉</x:v>
      </x:c>
      <x:c r="J625" s="22" t="n">
        <x:f>XLOOKUP(H625,'菜品主数据'!$A$5:$A$24,'菜品主数据'!$D$5:$D$24,0)</x:f>
        <x:v>29</x:v>
      </x:c>
      <x:c r="K625" s="31" t="n">
        <x:v>5</x:v>
      </x:c>
      <x:c r="L625" s="35" t="n">
        <x:f>J625*K625</x:f>
        <x:v>145</x:v>
      </x:c>
      <x:c r="M625" s="36" t="n">
        <x:v>0.08</x:v>
      </x:c>
      <x:c r="N625" s="35" t="n">
        <x:f>L625*M625</x:f>
        <x:v>11.6</x:v>
      </x:c>
      <x:c r="O625" s="37" t="n">
        <x:v>0.18</x:v>
      </x:c>
      <x:c r="P625" s="35" t="n">
        <x:f>L625*O625</x:f>
        <x:v>26.099999999999998</x:v>
      </x:c>
      <x:c r="Q625" s="35" t="n">
        <x:v>1.2</x:v>
      </x:c>
      <x:c r="R625" s="35" t="n">
        <x:f>K625*Q625</x:f>
        <x:v>6</x:v>
      </x:c>
      <x:c r="S625" s="35" t="n">
        <x:f>XLOOKUP(H625,'菜品主数据'!$A$5:$A$24,'菜品主数据'!$G$5:$G$24,0)</x:f>
        <x:v>8.634400000000001</x:v>
      </x:c>
      <x:c r="T625" s="35" t="n">
        <x:f>K625*S625</x:f>
        <x:v>43.172000000000004</x:v>
      </x:c>
      <x:c r="U625" s="35" t="n">
        <x:f>L625-N625-P625-R625-T625</x:f>
        <x:v>58.12800000000001</x:v>
      </x:c>
      <x:c r="V625" s="21" t="n">
        <x:f>IFERROR(U625/L625,0)</x:f>
        <x:v>0.4008827586206897</x:v>
      </x:c>
    </x:row>
    <x:row r="626">
      <x:c r="A626" s="19" t="str">
        <x:v>SALE-00622</x:v>
      </x:c>
      <x:c r="B626" s="34" t="n">
        <x:v>46211.5</x:v>
      </x:c>
      <x:c r="C626" s="19" t="str">
        <x:v>周三</x:v>
      </x:c>
      <x:c r="D626" s="19" t="str">
        <x:v>S03</x:v>
      </x:c>
      <x:c r="E626" s="19" t="str">
        <x:v>铂悦城店</x:v>
      </x:c>
      <x:c r="F626" s="19" t="str">
        <x:v>外卖</x:v>
      </x:c>
      <x:c r="G626" s="19" t="str">
        <x:v>全日</x:v>
      </x:c>
      <x:c r="H626" s="19" t="str">
        <x:v>D02</x:v>
      </x:c>
      <x:c r="I626" s="19" t="str">
        <x:v>小炒黄牛肉</x:v>
      </x:c>
      <x:c r="J626" s="22" t="n">
        <x:f>XLOOKUP(H626,'菜品主数据'!$A$5:$A$24,'菜品主数据'!$D$5:$D$24,0)</x:f>
        <x:v>49</x:v>
      </x:c>
      <x:c r="K626" s="31" t="n">
        <x:v>8</x:v>
      </x:c>
      <x:c r="L626" s="35" t="n">
        <x:f>J626*K626</x:f>
        <x:v>392</x:v>
      </x:c>
      <x:c r="M626" s="36" t="n">
        <x:v>0.08</x:v>
      </x:c>
      <x:c r="N626" s="35" t="n">
        <x:f>L626*M626</x:f>
        <x:v>31.36</x:v>
      </x:c>
      <x:c r="O626" s="37" t="n">
        <x:v>0.18</x:v>
      </x:c>
      <x:c r="P626" s="35" t="n">
        <x:f>L626*O626</x:f>
        <x:v>70.56</x:v>
      </x:c>
      <x:c r="Q626" s="35" t="n">
        <x:v>1.2</x:v>
      </x:c>
      <x:c r="R626" s="35" t="n">
        <x:f>K626*Q626</x:f>
        <x:v>9.6</x:v>
      </x:c>
      <x:c r="S626" s="35" t="n">
        <x:f>XLOOKUP(H626,'菜品主数据'!$A$5:$A$24,'菜品主数据'!$G$5:$G$24,0)</x:f>
        <x:v>17.577</x:v>
      </x:c>
      <x:c r="T626" s="35" t="n">
        <x:f>K626*S626</x:f>
        <x:v>140.616</x:v>
      </x:c>
      <x:c r="U626" s="35" t="n">
        <x:f>L626-N626-P626-R626-T626</x:f>
        <x:v>139.86399999999995</x:v>
      </x:c>
      <x:c r="V626" s="21" t="n">
        <x:f>IFERROR(U626/L626,0)</x:f>
        <x:v>0.3567959183673468</x:v>
      </x:c>
    </x:row>
    <x:row r="627">
      <x:c r="A627" s="19" t="str">
        <x:v>SALE-00623</x:v>
      </x:c>
      <x:c r="B627" s="34" t="n">
        <x:v>46211.5</x:v>
      </x:c>
      <x:c r="C627" s="19" t="str">
        <x:v>周三</x:v>
      </x:c>
      <x:c r="D627" s="19" t="str">
        <x:v>S03</x:v>
      </x:c>
      <x:c r="E627" s="19" t="str">
        <x:v>铂悦城店</x:v>
      </x:c>
      <x:c r="F627" s="19" t="str">
        <x:v>外卖</x:v>
      </x:c>
      <x:c r="G627" s="19" t="str">
        <x:v>全日</x:v>
      </x:c>
      <x:c r="H627" s="19" t="str">
        <x:v>D03</x:v>
      </x:c>
      <x:c r="I627" s="19" t="str">
        <x:v>香醋炒蛋</x:v>
      </x:c>
      <x:c r="J627" s="22" t="n">
        <x:f>XLOOKUP(H627,'菜品主数据'!$A$5:$A$24,'菜品主数据'!$D$5:$D$24,0)</x:f>
        <x:v>14.9</x:v>
      </x:c>
      <x:c r="K627" s="31" t="n">
        <x:v>4</x:v>
      </x:c>
      <x:c r="L627" s="35" t="n">
        <x:f>J627*K627</x:f>
        <x:v>59.6</x:v>
      </x:c>
      <x:c r="M627" s="36" t="n">
        <x:v>0.08</x:v>
      </x:c>
      <x:c r="N627" s="35" t="n">
        <x:f>L627*M627</x:f>
        <x:v>4.768</x:v>
      </x:c>
      <x:c r="O627" s="37" t="n">
        <x:v>0.18</x:v>
      </x:c>
      <x:c r="P627" s="35" t="n">
        <x:f>L627*O627</x:f>
        <x:v>10.728</x:v>
      </x:c>
      <x:c r="Q627" s="35" t="n">
        <x:v>1.2</x:v>
      </x:c>
      <x:c r="R627" s="35" t="n">
        <x:f>K627*Q627</x:f>
        <x:v>4.8</x:v>
      </x:c>
      <x:c r="S627" s="35" t="n">
        <x:f>XLOOKUP(H627,'菜品主数据'!$A$5:$A$24,'菜品主数据'!$G$5:$G$24,0)</x:f>
        <x:v>3.7459999999999996</x:v>
      </x:c>
      <x:c r="T627" s="35" t="n">
        <x:f>K627*S627</x:f>
        <x:v>14.983999999999998</x:v>
      </x:c>
      <x:c r="U627" s="35" t="n">
        <x:f>L627-N627-P627-R627-T627</x:f>
        <x:v>24.320000000000004</x:v>
      </x:c>
      <x:c r="V627" s="21" t="n">
        <x:f>IFERROR(U627/L627,0)</x:f>
        <x:v>0.40805369127516783</x:v>
      </x:c>
    </x:row>
    <x:row r="628">
      <x:c r="A628" s="19" t="str">
        <x:v>SALE-00624</x:v>
      </x:c>
      <x:c r="B628" s="34" t="n">
        <x:v>46211.5</x:v>
      </x:c>
      <x:c r="C628" s="19" t="str">
        <x:v>周三</x:v>
      </x:c>
      <x:c r="D628" s="19" t="str">
        <x:v>S03</x:v>
      </x:c>
      <x:c r="E628" s="19" t="str">
        <x:v>铂悦城店</x:v>
      </x:c>
      <x:c r="F628" s="19" t="str">
        <x:v>外卖</x:v>
      </x:c>
      <x:c r="G628" s="19" t="str">
        <x:v>全日</x:v>
      </x:c>
      <x:c r="H628" s="19" t="str">
        <x:v>D04</x:v>
      </x:c>
      <x:c r="I628" s="19" t="str">
        <x:v>酸包菜炒粉皮</x:v>
      </x:c>
      <x:c r="J628" s="22" t="n">
        <x:f>XLOOKUP(H628,'菜品主数据'!$A$5:$A$24,'菜品主数据'!$D$5:$D$24,0)</x:f>
        <x:v>16</x:v>
      </x:c>
      <x:c r="K628" s="31" t="n">
        <x:v>4</x:v>
      </x:c>
      <x:c r="L628" s="35" t="n">
        <x:f>J628*K628</x:f>
        <x:v>64</x:v>
      </x:c>
      <x:c r="M628" s="36" t="n">
        <x:v>0.08</x:v>
      </x:c>
      <x:c r="N628" s="35" t="n">
        <x:f>L628*M628</x:f>
        <x:v>5.12</x:v>
      </x:c>
      <x:c r="O628" s="37" t="n">
        <x:v>0.18</x:v>
      </x:c>
      <x:c r="P628" s="35" t="n">
        <x:f>L628*O628</x:f>
        <x:v>11.52</x:v>
      </x:c>
      <x:c r="Q628" s="35" t="n">
        <x:v>1.2</x:v>
      </x:c>
      <x:c r="R628" s="35" t="n">
        <x:f>K628*Q628</x:f>
        <x:v>4.8</x:v>
      </x:c>
      <x:c r="S628" s="35" t="n">
        <x:f>XLOOKUP(H628,'菜品主数据'!$A$5:$A$24,'菜品主数据'!$G$5:$G$24,0)</x:f>
        <x:v>3.978</x:v>
      </x:c>
      <x:c r="T628" s="35" t="n">
        <x:f>K628*S628</x:f>
        <x:v>15.912</x:v>
      </x:c>
      <x:c r="U628" s="35" t="n">
        <x:f>L628-N628-P628-R628-T628</x:f>
        <x:v>26.648000000000003</x:v>
      </x:c>
      <x:c r="V628" s="21" t="n">
        <x:f>IFERROR(U628/L628,0)</x:f>
        <x:v>0.41637500000000005</x:v>
      </x:c>
    </x:row>
    <x:row r="629">
      <x:c r="A629" s="19" t="str">
        <x:v>SALE-00625</x:v>
      </x:c>
      <x:c r="B629" s="34" t="n">
        <x:v>46211.5</x:v>
      </x:c>
      <x:c r="C629" s="19" t="str">
        <x:v>周三</x:v>
      </x:c>
      <x:c r="D629" s="19" t="str">
        <x:v>S03</x:v>
      </x:c>
      <x:c r="E629" s="19" t="str">
        <x:v>铂悦城店</x:v>
      </x:c>
      <x:c r="F629" s="19" t="str">
        <x:v>外卖</x:v>
      </x:c>
      <x:c r="G629" s="19" t="str">
        <x:v>全日</x:v>
      </x:c>
      <x:c r="H629" s="19" t="str">
        <x:v>D05</x:v>
      </x:c>
      <x:c r="I629" s="19" t="str">
        <x:v>麻婆豆腐</x:v>
      </x:c>
      <x:c r="J629" s="22" t="n">
        <x:f>XLOOKUP(H629,'菜品主数据'!$A$5:$A$24,'菜品主数据'!$D$5:$D$24,0)</x:f>
        <x:v>9.9</x:v>
      </x:c>
      <x:c r="K629" s="31" t="n">
        <x:v>5</x:v>
      </x:c>
      <x:c r="L629" s="35" t="n">
        <x:f>J629*K629</x:f>
        <x:v>49.5</x:v>
      </x:c>
      <x:c r="M629" s="36" t="n">
        <x:v>0.08</x:v>
      </x:c>
      <x:c r="N629" s="35" t="n">
        <x:f>L629*M629</x:f>
        <x:v>3.96</x:v>
      </x:c>
      <x:c r="O629" s="37" t="n">
        <x:v>0.18</x:v>
      </x:c>
      <x:c r="P629" s="35" t="n">
        <x:f>L629*O629</x:f>
        <x:v>8.91</x:v>
      </x:c>
      <x:c r="Q629" s="35" t="n">
        <x:v>1.2</x:v>
      </x:c>
      <x:c r="R629" s="35" t="n">
        <x:f>K629*Q629</x:f>
        <x:v>6</x:v>
      </x:c>
      <x:c r="S629" s="35" t="n">
        <x:f>XLOOKUP(H629,'菜品主数据'!$A$5:$A$24,'菜品主数据'!$G$5:$G$24,0)</x:f>
        <x:v>5.367000000000001</x:v>
      </x:c>
      <x:c r="T629" s="35" t="n">
        <x:f>K629*S629</x:f>
        <x:v>26.835000000000004</x:v>
      </x:c>
      <x:c r="U629" s="35" t="n">
        <x:f>L629-N629-P629-R629-T629</x:f>
        <x:v>3.794999999999991</x:v>
      </x:c>
      <x:c r="V629" s="21" t="n">
        <x:f>IFERROR(U629/L629,0)</x:f>
        <x:v>0.07666666666666648</x:v>
      </x:c>
    </x:row>
    <x:row r="630">
      <x:c r="A630" s="19" t="str">
        <x:v>SALE-00626</x:v>
      </x:c>
      <x:c r="B630" s="34" t="n">
        <x:v>46211.5</x:v>
      </x:c>
      <x:c r="C630" s="19" t="str">
        <x:v>周三</x:v>
      </x:c>
      <x:c r="D630" s="19" t="str">
        <x:v>S03</x:v>
      </x:c>
      <x:c r="E630" s="19" t="str">
        <x:v>铂悦城店</x:v>
      </x:c>
      <x:c r="F630" s="19" t="str">
        <x:v>外卖</x:v>
      </x:c>
      <x:c r="G630" s="19" t="str">
        <x:v>全日</x:v>
      </x:c>
      <x:c r="H630" s="19" t="str">
        <x:v>D06</x:v>
      </x:c>
      <x:c r="I630" s="19" t="str">
        <x:v>剁椒鱼头</x:v>
      </x:c>
      <x:c r="J630" s="22" t="n">
        <x:f>XLOOKUP(H630,'菜品主数据'!$A$5:$A$24,'菜品主数据'!$D$5:$D$24,0)</x:f>
        <x:v>39</x:v>
      </x:c>
      <x:c r="K630" s="31" t="n">
        <x:v>1</x:v>
      </x:c>
      <x:c r="L630" s="35" t="n">
        <x:f>J630*K630</x:f>
        <x:v>39</x:v>
      </x:c>
      <x:c r="M630" s="36" t="n">
        <x:v>0.08</x:v>
      </x:c>
      <x:c r="N630" s="35" t="n">
        <x:f>L630*M630</x:f>
        <x:v>3.12</x:v>
      </x:c>
      <x:c r="O630" s="37" t="n">
        <x:v>0.18</x:v>
      </x:c>
      <x:c r="P630" s="35" t="n">
        <x:f>L630*O630</x:f>
        <x:v>7.02</x:v>
      </x:c>
      <x:c r="Q630" s="35" t="n">
        <x:v>1.2</x:v>
      </x:c>
      <x:c r="R630" s="35" t="n">
        <x:f>K630*Q630</x:f>
        <x:v>1.2</x:v>
      </x:c>
      <x:c r="S630" s="35" t="n">
        <x:f>XLOOKUP(H630,'菜品主数据'!$A$5:$A$24,'菜品主数据'!$G$5:$G$24,0)</x:f>
        <x:v>17.446</x:v>
      </x:c>
      <x:c r="T630" s="35" t="n">
        <x:f>K630*S630</x:f>
        <x:v>17.446</x:v>
      </x:c>
      <x:c r="U630" s="35" t="n">
        <x:f>L630-N630-P630-R630-T630</x:f>
        <x:v>10.214000000000002</x:v>
      </x:c>
      <x:c r="V630" s="21" t="n">
        <x:f>IFERROR(U630/L630,0)</x:f>
        <x:v>0.26189743589743597</x:v>
      </x:c>
    </x:row>
    <x:row r="631">
      <x:c r="A631" s="19" t="str">
        <x:v>SALE-00627</x:v>
      </x:c>
      <x:c r="B631" s="34" t="n">
        <x:v>46211.5</x:v>
      </x:c>
      <x:c r="C631" s="19" t="str">
        <x:v>周三</x:v>
      </x:c>
      <x:c r="D631" s="19" t="str">
        <x:v>S03</x:v>
      </x:c>
      <x:c r="E631" s="19" t="str">
        <x:v>铂悦城店</x:v>
      </x:c>
      <x:c r="F631" s="19" t="str">
        <x:v>外卖</x:v>
      </x:c>
      <x:c r="G631" s="19" t="str">
        <x:v>全日</x:v>
      </x:c>
      <x:c r="H631" s="19" t="str">
        <x:v>D07</x:v>
      </x:c>
      <x:c r="I631" s="19" t="str">
        <x:v>川味回锅肉</x:v>
      </x:c>
      <x:c r="J631" s="22" t="n">
        <x:f>XLOOKUP(H631,'菜品主数据'!$A$5:$A$24,'菜品主数据'!$D$5:$D$24,0)</x:f>
        <x:v>29</x:v>
      </x:c>
      <x:c r="K631" s="31" t="n">
        <x:v>1</x:v>
      </x:c>
      <x:c r="L631" s="35" t="n">
        <x:f>J631*K631</x:f>
        <x:v>29</x:v>
      </x:c>
      <x:c r="M631" s="36" t="n">
        <x:v>0.08</x:v>
      </x:c>
      <x:c r="N631" s="35" t="n">
        <x:f>L631*M631</x:f>
        <x:v>2.32</x:v>
      </x:c>
      <x:c r="O631" s="37" t="n">
        <x:v>0.18</x:v>
      </x:c>
      <x:c r="P631" s="35" t="n">
        <x:f>L631*O631</x:f>
        <x:v>5.22</x:v>
      </x:c>
      <x:c r="Q631" s="35" t="n">
        <x:v>1.2</x:v>
      </x:c>
      <x:c r="R631" s="35" t="n">
        <x:f>K631*Q631</x:f>
        <x:v>1.2</x:v>
      </x:c>
      <x:c r="S631" s="35" t="n">
        <x:f>XLOOKUP(H631,'菜品主数据'!$A$5:$A$24,'菜品主数据'!$G$5:$G$24,0)</x:f>
        <x:v>10.231000000000002</x:v>
      </x:c>
      <x:c r="T631" s="35" t="n">
        <x:f>K631*S631</x:f>
        <x:v>10.231000000000002</x:v>
      </x:c>
      <x:c r="U631" s="35" t="n">
        <x:f>L631-N631-P631-R631-T631</x:f>
        <x:v>10.029</x:v>
      </x:c>
      <x:c r="V631" s="21" t="n">
        <x:f>IFERROR(U631/L631,0)</x:f>
        <x:v>0.3458275862068966</x:v>
      </x:c>
    </x:row>
    <x:row r="632">
      <x:c r="A632" s="19" t="str">
        <x:v>SALE-00628</x:v>
      </x:c>
      <x:c r="B632" s="34" t="n">
        <x:v>46211.5</x:v>
      </x:c>
      <x:c r="C632" s="19" t="str">
        <x:v>周三</x:v>
      </x:c>
      <x:c r="D632" s="19" t="str">
        <x:v>S03</x:v>
      </x:c>
      <x:c r="E632" s="19" t="str">
        <x:v>铂悦城店</x:v>
      </x:c>
      <x:c r="F632" s="19" t="str">
        <x:v>外卖</x:v>
      </x:c>
      <x:c r="G632" s="19" t="str">
        <x:v>全日</x:v>
      </x:c>
      <x:c r="H632" s="19" t="str">
        <x:v>D08</x:v>
      </x:c>
      <x:c r="I632" s="19" t="str">
        <x:v>生炒清远鸡</x:v>
      </x:c>
      <x:c r="J632" s="22" t="n">
        <x:f>XLOOKUP(H632,'菜品主数据'!$A$5:$A$24,'菜品主数据'!$D$5:$D$24,0)</x:f>
        <x:v>36</x:v>
      </x:c>
      <x:c r="K632" s="31" t="n">
        <x:v>2</x:v>
      </x:c>
      <x:c r="L632" s="35" t="n">
        <x:f>J632*K632</x:f>
        <x:v>72</x:v>
      </x:c>
      <x:c r="M632" s="36" t="n">
        <x:v>0.08</x:v>
      </x:c>
      <x:c r="N632" s="35" t="n">
        <x:f>L632*M632</x:f>
        <x:v>5.76</x:v>
      </x:c>
      <x:c r="O632" s="37" t="n">
        <x:v>0.18</x:v>
      </x:c>
      <x:c r="P632" s="35" t="n">
        <x:f>L632*O632</x:f>
        <x:v>12.959999999999999</x:v>
      </x:c>
      <x:c r="Q632" s="35" t="n">
        <x:v>1.2</x:v>
      </x:c>
      <x:c r="R632" s="35" t="n">
        <x:f>K632*Q632</x:f>
        <x:v>2.4</x:v>
      </x:c>
      <x:c r="S632" s="35" t="n">
        <x:f>XLOOKUP(H632,'菜品主数据'!$A$5:$A$24,'菜品主数据'!$G$5:$G$24,0)</x:f>
        <x:v>13.48</x:v>
      </x:c>
      <x:c r="T632" s="35" t="n">
        <x:f>K632*S632</x:f>
        <x:v>26.96</x:v>
      </x:c>
      <x:c r="U632" s="35" t="n">
        <x:f>L632-N632-P632-R632-T632</x:f>
        <x:v>23.919999999999995</x:v>
      </x:c>
      <x:c r="V632" s="21" t="n">
        <x:f>IFERROR(U632/L632,0)</x:f>
        <x:v>0.33222222222222214</x:v>
      </x:c>
    </x:row>
    <x:row r="633">
      <x:c r="A633" s="19" t="str">
        <x:v>SALE-00629</x:v>
      </x:c>
      <x:c r="B633" s="34" t="n">
        <x:v>46211.5</x:v>
      </x:c>
      <x:c r="C633" s="19" t="str">
        <x:v>周三</x:v>
      </x:c>
      <x:c r="D633" s="19" t="str">
        <x:v>S03</x:v>
      </x:c>
      <x:c r="E633" s="19" t="str">
        <x:v>铂悦城店</x:v>
      </x:c>
      <x:c r="F633" s="19" t="str">
        <x:v>外卖</x:v>
      </x:c>
      <x:c r="G633" s="19" t="str">
        <x:v>全日</x:v>
      </x:c>
      <x:c r="H633" s="19" t="str">
        <x:v>D09</x:v>
      </x:c>
      <x:c r="I633" s="19" t="str">
        <x:v>炒豆干</x:v>
      </x:c>
      <x:c r="J633" s="22" t="n">
        <x:f>XLOOKUP(H633,'菜品主数据'!$A$5:$A$24,'菜品主数据'!$D$5:$D$24,0)</x:f>
        <x:v>18</x:v>
      </x:c>
      <x:c r="K633" s="31" t="n">
        <x:v>1</x:v>
      </x:c>
      <x:c r="L633" s="35" t="n">
        <x:f>J633*K633</x:f>
        <x:v>18</x:v>
      </x:c>
      <x:c r="M633" s="36" t="n">
        <x:v>0.08</x:v>
      </x:c>
      <x:c r="N633" s="35" t="n">
        <x:f>L633*M633</x:f>
        <x:v>1.44</x:v>
      </x:c>
      <x:c r="O633" s="37" t="n">
        <x:v>0.18</x:v>
      </x:c>
      <x:c r="P633" s="35" t="n">
        <x:f>L633*O633</x:f>
        <x:v>3.2399999999999998</x:v>
      </x:c>
      <x:c r="Q633" s="35" t="n">
        <x:v>1.2</x:v>
      </x:c>
      <x:c r="R633" s="35" t="n">
        <x:f>K633*Q633</x:f>
        <x:v>1.2</x:v>
      </x:c>
      <x:c r="S633" s="35" t="n">
        <x:f>XLOOKUP(H633,'菜品主数据'!$A$5:$A$24,'菜品主数据'!$G$5:$G$24,0)</x:f>
        <x:v>6.613999999999999</x:v>
      </x:c>
      <x:c r="T633" s="35" t="n">
        <x:f>K633*S633</x:f>
        <x:v>6.613999999999999</x:v>
      </x:c>
      <x:c r="U633" s="35" t="n">
        <x:f>L633-N633-P633-R633-T633</x:f>
        <x:v>5.506</x:v>
      </x:c>
      <x:c r="V633" s="21" t="n">
        <x:f>IFERROR(U633/L633,0)</x:f>
        <x:v>0.3058888888888889</x:v>
      </x:c>
    </x:row>
    <x:row r="634">
      <x:c r="A634" s="19" t="str">
        <x:v>SALE-00630</x:v>
      </x:c>
      <x:c r="B634" s="34" t="n">
        <x:v>46211.5</x:v>
      </x:c>
      <x:c r="C634" s="19" t="str">
        <x:v>周三</x:v>
      </x:c>
      <x:c r="D634" s="19" t="str">
        <x:v>S03</x:v>
      </x:c>
      <x:c r="E634" s="19" t="str">
        <x:v>铂悦城店</x:v>
      </x:c>
      <x:c r="F634" s="19" t="str">
        <x:v>外卖</x:v>
      </x:c>
      <x:c r="G634" s="19" t="str">
        <x:v>全日</x:v>
      </x:c>
      <x:c r="H634" s="19" t="str">
        <x:v>D10</x:v>
      </x:c>
      <x:c r="I634" s="19" t="str">
        <x:v>农家一碗香</x:v>
      </x:c>
      <x:c r="J634" s="22" t="n">
        <x:f>XLOOKUP(H634,'菜品主数据'!$A$5:$A$24,'菜品主数据'!$D$5:$D$24,0)</x:f>
        <x:v>22.9</x:v>
      </x:c>
      <x:c r="K634" s="31" t="n">
        <x:v>1</x:v>
      </x:c>
      <x:c r="L634" s="35" t="n">
        <x:f>J634*K634</x:f>
        <x:v>22.9</x:v>
      </x:c>
      <x:c r="M634" s="36" t="n">
        <x:v>0.08</x:v>
      </x:c>
      <x:c r="N634" s="35" t="n">
        <x:f>L634*M634</x:f>
        <x:v>1.8319999999999999</x:v>
      </x:c>
      <x:c r="O634" s="37" t="n">
        <x:v>0.18</x:v>
      </x:c>
      <x:c r="P634" s="35" t="n">
        <x:f>L634*O634</x:f>
        <x:v>4.122</x:v>
      </x:c>
      <x:c r="Q634" s="35" t="n">
        <x:v>1.2</x:v>
      </x:c>
      <x:c r="R634" s="35" t="n">
        <x:f>K634*Q634</x:f>
        <x:v>1.2</x:v>
      </x:c>
      <x:c r="S634" s="35" t="n">
        <x:f>XLOOKUP(H634,'菜品主数据'!$A$5:$A$24,'菜品主数据'!$G$5:$G$24,0)</x:f>
        <x:v>9.770200000000003</x:v>
      </x:c>
      <x:c r="T634" s="35" t="n">
        <x:f>K634*S634</x:f>
        <x:v>9.770200000000003</x:v>
      </x:c>
      <x:c r="U634" s="35" t="n">
        <x:f>L634-N634-P634-R634-T634</x:f>
        <x:v>5.975799999999996</x:v>
      </x:c>
      <x:c r="V634" s="21" t="n">
        <x:f>IFERROR(U634/L634,0)</x:f>
        <x:v>0.260951965065502</x:v>
      </x:c>
    </x:row>
    <x:row r="635">
      <x:c r="A635" s="19" t="str">
        <x:v>SALE-00631</x:v>
      </x:c>
      <x:c r="B635" s="34" t="n">
        <x:v>46211.5</x:v>
      </x:c>
      <x:c r="C635" s="19" t="str">
        <x:v>周三</x:v>
      </x:c>
      <x:c r="D635" s="19" t="str">
        <x:v>S03</x:v>
      </x:c>
      <x:c r="E635" s="19" t="str">
        <x:v>铂悦城店</x:v>
      </x:c>
      <x:c r="F635" s="19" t="str">
        <x:v>外卖</x:v>
      </x:c>
      <x:c r="G635" s="19" t="str">
        <x:v>全日</x:v>
      </x:c>
      <x:c r="H635" s="19" t="str">
        <x:v>D11</x:v>
      </x:c>
      <x:c r="I635" s="19" t="str">
        <x:v>香辣爆肥肠</x:v>
      </x:c>
      <x:c r="J635" s="22" t="n">
        <x:f>XLOOKUP(H635,'菜品主数据'!$A$5:$A$24,'菜品主数据'!$D$5:$D$24,0)</x:f>
        <x:v>39</x:v>
      </x:c>
      <x:c r="K635" s="31" t="n">
        <x:v>0</x:v>
      </x:c>
      <x:c r="L635" s="35" t="n">
        <x:f>J635*K635</x:f>
        <x:v>0</x:v>
      </x:c>
      <x:c r="M635" s="36" t="n">
        <x:v>0.08</x:v>
      </x:c>
      <x:c r="N635" s="35" t="n">
        <x:f>L635*M635</x:f>
        <x:v>0</x:v>
      </x:c>
      <x:c r="O635" s="37" t="n">
        <x:v>0.18</x:v>
      </x:c>
      <x:c r="P635" s="35" t="n">
        <x:f>L635*O635</x:f>
        <x:v>0</x:v>
      </x:c>
      <x:c r="Q635" s="35" t="n">
        <x:v>1.2</x:v>
      </x:c>
      <x:c r="R635" s="35" t="n">
        <x:f>K635*Q635</x:f>
        <x:v>0</x:v>
      </x:c>
      <x:c r="S635" s="35" t="n">
        <x:f>XLOOKUP(H635,'菜品主数据'!$A$5:$A$24,'菜品主数据'!$G$5:$G$24,0)</x:f>
        <x:v>10.397</x:v>
      </x:c>
      <x:c r="T635" s="35" t="n">
        <x:f>K635*S635</x:f>
        <x:v>0</x:v>
      </x:c>
      <x:c r="U635" s="35" t="n">
        <x:f>L635-N635-P635-R635-T635</x:f>
        <x:v>0</x:v>
      </x:c>
      <x:c r="V635" s="21" t="n">
        <x:f>IFERROR(U635/L635,0)</x:f>
        <x:v>0</x:v>
      </x:c>
    </x:row>
    <x:row r="636">
      <x:c r="A636" s="19" t="str">
        <x:v>SALE-00632</x:v>
      </x:c>
      <x:c r="B636" s="34" t="n">
        <x:v>46211.5</x:v>
      </x:c>
      <x:c r="C636" s="19" t="str">
        <x:v>周三</x:v>
      </x:c>
      <x:c r="D636" s="19" t="str">
        <x:v>S03</x:v>
      </x:c>
      <x:c r="E636" s="19" t="str">
        <x:v>铂悦城店</x:v>
      </x:c>
      <x:c r="F636" s="19" t="str">
        <x:v>外卖</x:v>
      </x:c>
      <x:c r="G636" s="19" t="str">
        <x:v>全日</x:v>
      </x:c>
      <x:c r="H636" s="19" t="str">
        <x:v>D12</x:v>
      </x:c>
      <x:c r="I636" s="19" t="str">
        <x:v>清蒸鲈鱼</x:v>
      </x:c>
      <x:c r="J636" s="22" t="n">
        <x:f>XLOOKUP(H636,'菜品主数据'!$A$5:$A$24,'菜品主数据'!$D$5:$D$24,0)</x:f>
        <x:v>39</x:v>
      </x:c>
      <x:c r="K636" s="31" t="n">
        <x:v>0</x:v>
      </x:c>
      <x:c r="L636" s="35" t="n">
        <x:f>J636*K636</x:f>
        <x:v>0</x:v>
      </x:c>
      <x:c r="M636" s="36" t="n">
        <x:v>0.08</x:v>
      </x:c>
      <x:c r="N636" s="35" t="n">
        <x:f>L636*M636</x:f>
        <x:v>0</x:v>
      </x:c>
      <x:c r="O636" s="37" t="n">
        <x:v>0.18</x:v>
      </x:c>
      <x:c r="P636" s="35" t="n">
        <x:f>L636*O636</x:f>
        <x:v>0</x:v>
      </x:c>
      <x:c r="Q636" s="35" t="n">
        <x:v>1.2</x:v>
      </x:c>
      <x:c r="R636" s="35" t="n">
        <x:f>K636*Q636</x:f>
        <x:v>0</x:v>
      </x:c>
      <x:c r="S636" s="35" t="n">
        <x:f>XLOOKUP(H636,'菜品主数据'!$A$5:$A$24,'菜品主数据'!$G$5:$G$24,0)</x:f>
        <x:v>18.874</x:v>
      </x:c>
      <x:c r="T636" s="35" t="n">
        <x:f>K636*S636</x:f>
        <x:v>0</x:v>
      </x:c>
      <x:c r="U636" s="35" t="n">
        <x:f>L636-N636-P636-R636-T636</x:f>
        <x:v>0</x:v>
      </x:c>
      <x:c r="V636" s="21" t="n">
        <x:f>IFERROR(U636/L636,0)</x:f>
        <x:v>0</x:v>
      </x:c>
    </x:row>
    <x:row r="637">
      <x:c r="A637" s="19" t="str">
        <x:v>SALE-00633</x:v>
      </x:c>
      <x:c r="B637" s="34" t="n">
        <x:v>46211.5</x:v>
      </x:c>
      <x:c r="C637" s="19" t="str">
        <x:v>周三</x:v>
      </x:c>
      <x:c r="D637" s="19" t="str">
        <x:v>S03</x:v>
      </x:c>
      <x:c r="E637" s="19" t="str">
        <x:v>铂悦城店</x:v>
      </x:c>
      <x:c r="F637" s="19" t="str">
        <x:v>外卖</x:v>
      </x:c>
      <x:c r="G637" s="19" t="str">
        <x:v>全日</x:v>
      </x:c>
      <x:c r="H637" s="19" t="str">
        <x:v>D13</x:v>
      </x:c>
      <x:c r="I637" s="19" t="str">
        <x:v>外婆菜炒蛋</x:v>
      </x:c>
      <x:c r="J637" s="22" t="n">
        <x:f>XLOOKUP(H637,'菜品主数据'!$A$5:$A$24,'菜品主数据'!$D$5:$D$24,0)</x:f>
        <x:v>18</x:v>
      </x:c>
      <x:c r="K637" s="31" t="n">
        <x:v>1</x:v>
      </x:c>
      <x:c r="L637" s="35" t="n">
        <x:f>J637*K637</x:f>
        <x:v>18</x:v>
      </x:c>
      <x:c r="M637" s="36" t="n">
        <x:v>0.08</x:v>
      </x:c>
      <x:c r="N637" s="35" t="n">
        <x:f>L637*M637</x:f>
        <x:v>1.44</x:v>
      </x:c>
      <x:c r="O637" s="37" t="n">
        <x:v>0.18</x:v>
      </x:c>
      <x:c r="P637" s="35" t="n">
        <x:f>L637*O637</x:f>
        <x:v>3.2399999999999998</x:v>
      </x:c>
      <x:c r="Q637" s="35" t="n">
        <x:v>1.2</x:v>
      </x:c>
      <x:c r="R637" s="35" t="n">
        <x:f>K637*Q637</x:f>
        <x:v>1.2</x:v>
      </x:c>
      <x:c r="S637" s="35" t="n">
        <x:f>XLOOKUP(H637,'菜品主数据'!$A$5:$A$24,'菜品主数据'!$G$5:$G$24,0)</x:f>
        <x:v>5.403999999999999</x:v>
      </x:c>
      <x:c r="T637" s="35" t="n">
        <x:f>K637*S637</x:f>
        <x:v>5.403999999999999</x:v>
      </x:c>
      <x:c r="U637" s="35" t="n">
        <x:f>L637-N637-P637-R637-T637</x:f>
        <x:v>6.716</x:v>
      </x:c>
      <x:c r="V637" s="21" t="n">
        <x:f>IFERROR(U637/L637,0)</x:f>
        <x:v>0.3731111111111111</x:v>
      </x:c>
    </x:row>
    <x:row r="638">
      <x:c r="A638" s="19" t="str">
        <x:v>SALE-00634</x:v>
      </x:c>
      <x:c r="B638" s="34" t="n">
        <x:v>46211.5</x:v>
      </x:c>
      <x:c r="C638" s="19" t="str">
        <x:v>周三</x:v>
      </x:c>
      <x:c r="D638" s="19" t="str">
        <x:v>S03</x:v>
      </x:c>
      <x:c r="E638" s="19" t="str">
        <x:v>铂悦城店</x:v>
      </x:c>
      <x:c r="F638" s="19" t="str">
        <x:v>外卖</x:v>
      </x:c>
      <x:c r="G638" s="19" t="str">
        <x:v>全日</x:v>
      </x:c>
      <x:c r="H638" s="19" t="str">
        <x:v>D14</x:v>
      </x:c>
      <x:c r="I638" s="19" t="str">
        <x:v>酸辣鸡杂</x:v>
      </x:c>
      <x:c r="J638" s="22" t="n">
        <x:f>XLOOKUP(H638,'菜品主数据'!$A$5:$A$24,'菜品主数据'!$D$5:$D$24,0)</x:f>
        <x:v>28</x:v>
      </x:c>
      <x:c r="K638" s="31" t="n">
        <x:v>0</x:v>
      </x:c>
      <x:c r="L638" s="35" t="n">
        <x:f>J638*K638</x:f>
        <x:v>0</x:v>
      </x:c>
      <x:c r="M638" s="36" t="n">
        <x:v>0.08</x:v>
      </x:c>
      <x:c r="N638" s="35" t="n">
        <x:f>L638*M638</x:f>
        <x:v>0</x:v>
      </x:c>
      <x:c r="O638" s="37" t="n">
        <x:v>0.18</x:v>
      </x:c>
      <x:c r="P638" s="35" t="n">
        <x:f>L638*O638</x:f>
        <x:v>0</x:v>
      </x:c>
      <x:c r="Q638" s="35" t="n">
        <x:v>1.2</x:v>
      </x:c>
      <x:c r="R638" s="35" t="n">
        <x:f>K638*Q638</x:f>
        <x:v>0</x:v>
      </x:c>
      <x:c r="S638" s="35" t="n">
        <x:f>XLOOKUP(H638,'菜品主数据'!$A$5:$A$24,'菜品主数据'!$G$5:$G$24,0)</x:f>
        <x:v>8.315000000000001</x:v>
      </x:c>
      <x:c r="T638" s="35" t="n">
        <x:f>K638*S638</x:f>
        <x:v>0</x:v>
      </x:c>
      <x:c r="U638" s="35" t="n">
        <x:f>L638-N638-P638-R638-T638</x:f>
        <x:v>0</x:v>
      </x:c>
      <x:c r="V638" s="21" t="n">
        <x:f>IFERROR(U638/L638,0)</x:f>
        <x:v>0</x:v>
      </x:c>
    </x:row>
    <x:row r="639">
      <x:c r="A639" s="19" t="str">
        <x:v>SALE-00635</x:v>
      </x:c>
      <x:c r="B639" s="34" t="n">
        <x:v>46211.5</x:v>
      </x:c>
      <x:c r="C639" s="19" t="str">
        <x:v>周三</x:v>
      </x:c>
      <x:c r="D639" s="19" t="str">
        <x:v>S03</x:v>
      </x:c>
      <x:c r="E639" s="19" t="str">
        <x:v>铂悦城店</x:v>
      </x:c>
      <x:c r="F639" s="19" t="str">
        <x:v>外卖</x:v>
      </x:c>
      <x:c r="G639" s="19" t="str">
        <x:v>全日</x:v>
      </x:c>
      <x:c r="H639" s="19" t="str">
        <x:v>D15</x:v>
      </x:c>
      <x:c r="I639" s="19" t="str">
        <x:v>湘西土匪猪肝</x:v>
      </x:c>
      <x:c r="J639" s="22" t="n">
        <x:f>XLOOKUP(H639,'菜品主数据'!$A$5:$A$24,'菜品主数据'!$D$5:$D$24,0)</x:f>
        <x:v>26</x:v>
      </x:c>
      <x:c r="K639" s="31" t="n">
        <x:v>0</x:v>
      </x:c>
      <x:c r="L639" s="35" t="n">
        <x:f>J639*K639</x:f>
        <x:v>0</x:v>
      </x:c>
      <x:c r="M639" s="36" t="n">
        <x:v>0.08</x:v>
      </x:c>
      <x:c r="N639" s="35" t="n">
        <x:f>L639*M639</x:f>
        <x:v>0</x:v>
      </x:c>
      <x:c r="O639" s="37" t="n">
        <x:v>0.18</x:v>
      </x:c>
      <x:c r="P639" s="35" t="n">
        <x:f>L639*O639</x:f>
        <x:v>0</x:v>
      </x:c>
      <x:c r="Q639" s="35" t="n">
        <x:v>1.2</x:v>
      </x:c>
      <x:c r="R639" s="35" t="n">
        <x:f>K639*Q639</x:f>
        <x:v>0</x:v>
      </x:c>
      <x:c r="S639" s="35" t="n">
        <x:f>XLOOKUP(H639,'菜品主数据'!$A$5:$A$24,'菜品主数据'!$G$5:$G$24,0)</x:f>
        <x:v>6.3759999999999994</x:v>
      </x:c>
      <x:c r="T639" s="35" t="n">
        <x:f>K639*S639</x:f>
        <x:v>0</x:v>
      </x:c>
      <x:c r="U639" s="35" t="n">
        <x:f>L639-N639-P639-R639-T639</x:f>
        <x:v>0</x:v>
      </x:c>
      <x:c r="V639" s="21" t="n">
        <x:f>IFERROR(U639/L639,0)</x:f>
        <x:v>0</x:v>
      </x:c>
    </x:row>
    <x:row r="640">
      <x:c r="A640" s="19" t="str">
        <x:v>SALE-00636</x:v>
      </x:c>
      <x:c r="B640" s="34" t="n">
        <x:v>46211.5</x:v>
      </x:c>
      <x:c r="C640" s="19" t="str">
        <x:v>周三</x:v>
      </x:c>
      <x:c r="D640" s="19" t="str">
        <x:v>S03</x:v>
      </x:c>
      <x:c r="E640" s="19" t="str">
        <x:v>铂悦城店</x:v>
      </x:c>
      <x:c r="F640" s="19" t="str">
        <x:v>外卖</x:v>
      </x:c>
      <x:c r="G640" s="19" t="str">
        <x:v>全日</x:v>
      </x:c>
      <x:c r="H640" s="19" t="str">
        <x:v>D16</x:v>
      </x:c>
      <x:c r="I640" s="19" t="str">
        <x:v>小豆角炒五花</x:v>
      </x:c>
      <x:c r="J640" s="22" t="n">
        <x:f>XLOOKUP(H640,'菜品主数据'!$A$5:$A$24,'菜品主数据'!$D$5:$D$24,0)</x:f>
        <x:v>25</x:v>
      </x:c>
      <x:c r="K640" s="31" t="n">
        <x:v>0</x:v>
      </x:c>
      <x:c r="L640" s="35" t="n">
        <x:f>J640*K640</x:f>
        <x:v>0</x:v>
      </x:c>
      <x:c r="M640" s="36" t="n">
        <x:v>0.08</x:v>
      </x:c>
      <x:c r="N640" s="35" t="n">
        <x:f>L640*M640</x:f>
        <x:v>0</x:v>
      </x:c>
      <x:c r="O640" s="37" t="n">
        <x:v>0.18</x:v>
      </x:c>
      <x:c r="P640" s="35" t="n">
        <x:f>L640*O640</x:f>
        <x:v>0</x:v>
      </x:c>
      <x:c r="Q640" s="35" t="n">
        <x:v>1.2</x:v>
      </x:c>
      <x:c r="R640" s="35" t="n">
        <x:f>K640*Q640</x:f>
        <x:v>0</x:v>
      </x:c>
      <x:c r="S640" s="35" t="n">
        <x:f>XLOOKUP(H640,'菜品主数据'!$A$5:$A$24,'菜品主数据'!$G$5:$G$24,0)</x:f>
        <x:v>8.184</x:v>
      </x:c>
      <x:c r="T640" s="35" t="n">
        <x:f>K640*S640</x:f>
        <x:v>0</x:v>
      </x:c>
      <x:c r="U640" s="35" t="n">
        <x:f>L640-N640-P640-R640-T640</x:f>
        <x:v>0</x:v>
      </x:c>
      <x:c r="V640" s="21" t="n">
        <x:f>IFERROR(U640/L640,0)</x:f>
        <x:v>0</x:v>
      </x:c>
    </x:row>
    <x:row r="641">
      <x:c r="A641" s="19" t="str">
        <x:v>SALE-00637</x:v>
      </x:c>
      <x:c r="B641" s="34" t="n">
        <x:v>46211.5</x:v>
      </x:c>
      <x:c r="C641" s="19" t="str">
        <x:v>周三</x:v>
      </x:c>
      <x:c r="D641" s="19" t="str">
        <x:v>S03</x:v>
      </x:c>
      <x:c r="E641" s="19" t="str">
        <x:v>铂悦城店</x:v>
      </x:c>
      <x:c r="F641" s="19" t="str">
        <x:v>外卖</x:v>
      </x:c>
      <x:c r="G641" s="19" t="str">
        <x:v>全日</x:v>
      </x:c>
      <x:c r="H641" s="19" t="str">
        <x:v>D17</x:v>
      </x:c>
      <x:c r="I641" s="19" t="str">
        <x:v>蒜蓉粉丝虾</x:v>
      </x:c>
      <x:c r="J641" s="22" t="n">
        <x:f>XLOOKUP(H641,'菜品主数据'!$A$5:$A$24,'菜品主数据'!$D$5:$D$24,0)</x:f>
        <x:v>36</x:v>
      </x:c>
      <x:c r="K641" s="31" t="n">
        <x:v>0</x:v>
      </x:c>
      <x:c r="L641" s="35" t="n">
        <x:f>J641*K641</x:f>
        <x:v>0</x:v>
      </x:c>
      <x:c r="M641" s="36" t="n">
        <x:v>0.08</x:v>
      </x:c>
      <x:c r="N641" s="35" t="n">
        <x:f>L641*M641</x:f>
        <x:v>0</x:v>
      </x:c>
      <x:c r="O641" s="37" t="n">
        <x:v>0.18</x:v>
      </x:c>
      <x:c r="P641" s="35" t="n">
        <x:f>L641*O641</x:f>
        <x:v>0</x:v>
      </x:c>
      <x:c r="Q641" s="35" t="n">
        <x:v>1.2</x:v>
      </x:c>
      <x:c r="R641" s="35" t="n">
        <x:f>K641*Q641</x:f>
        <x:v>0</x:v>
      </x:c>
      <x:c r="S641" s="35" t="n">
        <x:f>XLOOKUP(H641,'菜品主数据'!$A$5:$A$24,'菜品主数据'!$G$5:$G$24,0)</x:f>
        <x:v>13.594</x:v>
      </x:c>
      <x:c r="T641" s="35" t="n">
        <x:f>K641*S641</x:f>
        <x:v>0</x:v>
      </x:c>
      <x:c r="U641" s="35" t="n">
        <x:f>L641-N641-P641-R641-T641</x:f>
        <x:v>0</x:v>
      </x:c>
      <x:c r="V641" s="21" t="n">
        <x:f>IFERROR(U641/L641,0)</x:f>
        <x:v>0</x:v>
      </x:c>
    </x:row>
    <x:row r="642">
      <x:c r="A642" s="19" t="str">
        <x:v>SALE-00638</x:v>
      </x:c>
      <x:c r="B642" s="34" t="n">
        <x:v>46211.5</x:v>
      </x:c>
      <x:c r="C642" s="19" t="str">
        <x:v>周三</x:v>
      </x:c>
      <x:c r="D642" s="19" t="str">
        <x:v>S03</x:v>
      </x:c>
      <x:c r="E642" s="19" t="str">
        <x:v>铂悦城店</x:v>
      </x:c>
      <x:c r="F642" s="19" t="str">
        <x:v>外卖</x:v>
      </x:c>
      <x:c r="G642" s="19" t="str">
        <x:v>全日</x:v>
      </x:c>
      <x:c r="H642" s="19" t="str">
        <x:v>D18</x:v>
      </x:c>
      <x:c r="I642" s="19" t="str">
        <x:v>青椒炒油麦菜</x:v>
      </x:c>
      <x:c r="J642" s="22" t="n">
        <x:f>XLOOKUP(H642,'菜品主数据'!$A$5:$A$24,'菜品主数据'!$D$5:$D$24,0)</x:f>
        <x:v>18</x:v>
      </x:c>
      <x:c r="K642" s="31" t="n">
        <x:v>0</x:v>
      </x:c>
      <x:c r="L642" s="35" t="n">
        <x:f>J642*K642</x:f>
        <x:v>0</x:v>
      </x:c>
      <x:c r="M642" s="36" t="n">
        <x:v>0.08</x:v>
      </x:c>
      <x:c r="N642" s="35" t="n">
        <x:f>L642*M642</x:f>
        <x:v>0</x:v>
      </x:c>
      <x:c r="O642" s="37" t="n">
        <x:v>0.18</x:v>
      </x:c>
      <x:c r="P642" s="35" t="n">
        <x:f>L642*O642</x:f>
        <x:v>0</x:v>
      </x:c>
      <x:c r="Q642" s="35" t="n">
        <x:v>1.2</x:v>
      </x:c>
      <x:c r="R642" s="35" t="n">
        <x:f>K642*Q642</x:f>
        <x:v>0</x:v>
      </x:c>
      <x:c r="S642" s="35" t="n">
        <x:f>XLOOKUP(H642,'菜品主数据'!$A$5:$A$24,'菜品主数据'!$G$5:$G$24,0)</x:f>
        <x:v>3.1759999999999993</x:v>
      </x:c>
      <x:c r="T642" s="35" t="n">
        <x:f>K642*S642</x:f>
        <x:v>0</x:v>
      </x:c>
      <x:c r="U642" s="35" t="n">
        <x:f>L642-N642-P642-R642-T642</x:f>
        <x:v>0</x:v>
      </x:c>
      <x:c r="V642" s="21" t="n">
        <x:f>IFERROR(U642/L642,0)</x:f>
        <x:v>0</x:v>
      </x:c>
    </x:row>
    <x:row r="643">
      <x:c r="A643" s="19" t="str">
        <x:v>SALE-00639</x:v>
      </x:c>
      <x:c r="B643" s="34" t="n">
        <x:v>46211.5</x:v>
      </x:c>
      <x:c r="C643" s="19" t="str">
        <x:v>周三</x:v>
      </x:c>
      <x:c r="D643" s="19" t="str">
        <x:v>S03</x:v>
      </x:c>
      <x:c r="E643" s="19" t="str">
        <x:v>铂悦城店</x:v>
      </x:c>
      <x:c r="F643" s="19" t="str">
        <x:v>外卖</x:v>
      </x:c>
      <x:c r="G643" s="19" t="str">
        <x:v>全日</x:v>
      </x:c>
      <x:c r="H643" s="19" t="str">
        <x:v>D19</x:v>
      </x:c>
      <x:c r="I643" s="19" t="str">
        <x:v>酸萝卜炒鸡杂</x:v>
      </x:c>
      <x:c r="J643" s="22" t="n">
        <x:f>XLOOKUP(H643,'菜品主数据'!$A$5:$A$24,'菜品主数据'!$D$5:$D$24,0)</x:f>
        <x:v>25</x:v>
      </x:c>
      <x:c r="K643" s="31" t="n">
        <x:v>0</x:v>
      </x:c>
      <x:c r="L643" s="35" t="n">
        <x:f>J643*K643</x:f>
        <x:v>0</x:v>
      </x:c>
      <x:c r="M643" s="36" t="n">
        <x:v>0.08</x:v>
      </x:c>
      <x:c r="N643" s="35" t="n">
        <x:f>L643*M643</x:f>
        <x:v>0</x:v>
      </x:c>
      <x:c r="O643" s="37" t="n">
        <x:v>0.18</x:v>
      </x:c>
      <x:c r="P643" s="35" t="n">
        <x:f>L643*O643</x:f>
        <x:v>0</x:v>
      </x:c>
      <x:c r="Q643" s="35" t="n">
        <x:v>1.2</x:v>
      </x:c>
      <x:c r="R643" s="35" t="n">
        <x:f>K643*Q643</x:f>
        <x:v>0</x:v>
      </x:c>
      <x:c r="S643" s="35" t="n">
        <x:f>XLOOKUP(H643,'菜品主数据'!$A$5:$A$24,'菜品主数据'!$G$5:$G$24,0)</x:f>
        <x:v>7.9399999999999995</x:v>
      </x:c>
      <x:c r="T643" s="35" t="n">
        <x:f>K643*S643</x:f>
        <x:v>0</x:v>
      </x:c>
      <x:c r="U643" s="35" t="n">
        <x:f>L643-N643-P643-R643-T643</x:f>
        <x:v>0</x:v>
      </x:c>
      <x:c r="V643" s="21" t="n">
        <x:f>IFERROR(U643/L643,0)</x:f>
        <x:v>0</x:v>
      </x:c>
    </x:row>
    <x:row r="644">
      <x:c r="A644" s="19" t="str">
        <x:v>SALE-00640</x:v>
      </x:c>
      <x:c r="B644" s="34" t="n">
        <x:v>46211.5</x:v>
      </x:c>
      <x:c r="C644" s="19" t="str">
        <x:v>周三</x:v>
      </x:c>
      <x:c r="D644" s="19" t="str">
        <x:v>S03</x:v>
      </x:c>
      <x:c r="E644" s="19" t="str">
        <x:v>铂悦城店</x:v>
      </x:c>
      <x:c r="F644" s="19" t="str">
        <x:v>外卖</x:v>
      </x:c>
      <x:c r="G644" s="19" t="str">
        <x:v>全日</x:v>
      </x:c>
      <x:c r="H644" s="19" t="str">
        <x:v>D20</x:v>
      </x:c>
      <x:c r="I644" s="19" t="str">
        <x:v>雪菜肉末青豆</x:v>
      </x:c>
      <x:c r="J644" s="22" t="n">
        <x:f>XLOOKUP(H644,'菜品主数据'!$A$5:$A$24,'菜品主数据'!$D$5:$D$24,0)</x:f>
        <x:v>18</x:v>
      </x:c>
      <x:c r="K644" s="31" t="n">
        <x:v>0</x:v>
      </x:c>
      <x:c r="L644" s="35" t="n">
        <x:f>J644*K644</x:f>
        <x:v>0</x:v>
      </x:c>
      <x:c r="M644" s="36" t="n">
        <x:v>0.08</x:v>
      </x:c>
      <x:c r="N644" s="35" t="n">
        <x:f>L644*M644</x:f>
        <x:v>0</x:v>
      </x:c>
      <x:c r="O644" s="37" t="n">
        <x:v>0.18</x:v>
      </x:c>
      <x:c r="P644" s="35" t="n">
        <x:f>L644*O644</x:f>
        <x:v>0</x:v>
      </x:c>
      <x:c r="Q644" s="35" t="n">
        <x:v>1.2</x:v>
      </x:c>
      <x:c r="R644" s="35" t="n">
        <x:f>K644*Q644</x:f>
        <x:v>0</x:v>
      </x:c>
      <x:c r="S644" s="35" t="n">
        <x:f>XLOOKUP(H644,'菜品主数据'!$A$5:$A$24,'菜品主数据'!$G$5:$G$24,0)</x:f>
        <x:v>7.303999999999999</x:v>
      </x:c>
      <x:c r="T644" s="35" t="n">
        <x:f>K644*S644</x:f>
        <x:v>0</x:v>
      </x:c>
      <x:c r="U644" s="35" t="n">
        <x:f>L644-N644-P644-R644-T644</x:f>
        <x:v>0</x:v>
      </x:c>
      <x:c r="V644" s="21" t="n">
        <x:f>IFERROR(U644/L644,0)</x:f>
        <x:v>0</x:v>
      </x:c>
    </x:row>
    <x:row r="645">
      <x:c r="A645" s="19" t="str">
        <x:v>SALE-00641</x:v>
      </x:c>
      <x:c r="B645" s="34" t="n">
        <x:v>46212.5</x:v>
      </x:c>
      <x:c r="C645" s="19" t="str">
        <x:v>周四</x:v>
      </x:c>
      <x:c r="D645" s="19" t="str">
        <x:v>S03</x:v>
      </x:c>
      <x:c r="E645" s="19" t="str">
        <x:v>铂悦城店</x:v>
      </x:c>
      <x:c r="F645" s="19" t="str">
        <x:v>堂食</x:v>
      </x:c>
      <x:c r="G645" s="19" t="str">
        <x:v>全日</x:v>
      </x:c>
      <x:c r="H645" s="19" t="str">
        <x:v>D01</x:v>
      </x:c>
      <x:c r="I645" s="19" t="str">
        <x:v>辣椒炒肉</x:v>
      </x:c>
      <x:c r="J645" s="22" t="n">
        <x:f>XLOOKUP(H645,'菜品主数据'!$A$5:$A$24,'菜品主数据'!$D$5:$D$24,0)</x:f>
        <x:v>29</x:v>
      </x:c>
      <x:c r="K645" s="31" t="n">
        <x:v>47</x:v>
      </x:c>
      <x:c r="L645" s="35" t="n">
        <x:f>J645*K645</x:f>
        <x:v>1363</x:v>
      </x:c>
      <x:c r="M645" s="36" t="n">
        <x:v>0</x:v>
      </x:c>
      <x:c r="N645" s="35" t="n">
        <x:f>L645*M645</x:f>
        <x:v>0</x:v>
      </x:c>
      <x:c r="O645" s="37" t="n">
        <x:v>0</x:v>
      </x:c>
      <x:c r="P645" s="35" t="n">
        <x:f>L645*O645</x:f>
        <x:v>0</x:v>
      </x:c>
      <x:c r="Q645" s="35" t="n">
        <x:v>0</x:v>
      </x:c>
      <x:c r="R645" s="35" t="n">
        <x:f>K645*Q645</x:f>
        <x:v>0</x:v>
      </x:c>
      <x:c r="S645" s="35" t="n">
        <x:f>XLOOKUP(H645,'菜品主数据'!$A$5:$A$24,'菜品主数据'!$G$5:$G$24,0)</x:f>
        <x:v>8.634400000000001</x:v>
      </x:c>
      <x:c r="T645" s="35" t="n">
        <x:f>K645*S645</x:f>
        <x:v>405.81680000000006</x:v>
      </x:c>
      <x:c r="U645" s="35" t="n">
        <x:f>L645-N645-P645-R645-T645</x:f>
        <x:v>957.1831999999999</x:v>
      </x:c>
      <x:c r="V645" s="21" t="n">
        <x:f>IFERROR(U645/L645,0)</x:f>
        <x:v>0.7022620689655172</x:v>
      </x:c>
    </x:row>
    <x:row r="646">
      <x:c r="A646" s="19" t="str">
        <x:v>SALE-00642</x:v>
      </x:c>
      <x:c r="B646" s="34" t="n">
        <x:v>46212.5</x:v>
      </x:c>
      <x:c r="C646" s="19" t="str">
        <x:v>周四</x:v>
      </x:c>
      <x:c r="D646" s="19" t="str">
        <x:v>S03</x:v>
      </x:c>
      <x:c r="E646" s="19" t="str">
        <x:v>铂悦城店</x:v>
      </x:c>
      <x:c r="F646" s="19" t="str">
        <x:v>堂食</x:v>
      </x:c>
      <x:c r="G646" s="19" t="str">
        <x:v>全日</x:v>
      </x:c>
      <x:c r="H646" s="19" t="str">
        <x:v>D02</x:v>
      </x:c>
      <x:c r="I646" s="19" t="str">
        <x:v>小炒黄牛肉</x:v>
      </x:c>
      <x:c r="J646" s="22" t="n">
        <x:f>XLOOKUP(H646,'菜品主数据'!$A$5:$A$24,'菜品主数据'!$D$5:$D$24,0)</x:f>
        <x:v>49</x:v>
      </x:c>
      <x:c r="K646" s="31" t="n">
        <x:v>25</x:v>
      </x:c>
      <x:c r="L646" s="35" t="n">
        <x:f>J646*K646</x:f>
        <x:v>1225</x:v>
      </x:c>
      <x:c r="M646" s="36" t="n">
        <x:v>0</x:v>
      </x:c>
      <x:c r="N646" s="35" t="n">
        <x:f>L646*M646</x:f>
        <x:v>0</x:v>
      </x:c>
      <x:c r="O646" s="37" t="n">
        <x:v>0</x:v>
      </x:c>
      <x:c r="P646" s="35" t="n">
        <x:f>L646*O646</x:f>
        <x:v>0</x:v>
      </x:c>
      <x:c r="Q646" s="35" t="n">
        <x:v>0</x:v>
      </x:c>
      <x:c r="R646" s="35" t="n">
        <x:f>K646*Q646</x:f>
        <x:v>0</x:v>
      </x:c>
      <x:c r="S646" s="35" t="n">
        <x:f>XLOOKUP(H646,'菜品主数据'!$A$5:$A$24,'菜品主数据'!$G$5:$G$24,0)</x:f>
        <x:v>17.577</x:v>
      </x:c>
      <x:c r="T646" s="35" t="n">
        <x:f>K646*S646</x:f>
        <x:v>439.42500000000007</x:v>
      </x:c>
      <x:c r="U646" s="35" t="n">
        <x:f>L646-N646-P646-R646-T646</x:f>
        <x:v>785.5749999999999</x:v>
      </x:c>
      <x:c r="V646" s="21" t="n">
        <x:f>IFERROR(U646/L646,0)</x:f>
        <x:v>0.6412857142857142</x:v>
      </x:c>
    </x:row>
    <x:row r="647">
      <x:c r="A647" s="19" t="str">
        <x:v>SALE-00643</x:v>
      </x:c>
      <x:c r="B647" s="34" t="n">
        <x:v>46212.5</x:v>
      </x:c>
      <x:c r="C647" s="19" t="str">
        <x:v>周四</x:v>
      </x:c>
      <x:c r="D647" s="19" t="str">
        <x:v>S03</x:v>
      </x:c>
      <x:c r="E647" s="19" t="str">
        <x:v>铂悦城店</x:v>
      </x:c>
      <x:c r="F647" s="19" t="str">
        <x:v>堂食</x:v>
      </x:c>
      <x:c r="G647" s="19" t="str">
        <x:v>全日</x:v>
      </x:c>
      <x:c r="H647" s="19" t="str">
        <x:v>D03</x:v>
      </x:c>
      <x:c r="I647" s="19" t="str">
        <x:v>香醋炒蛋</x:v>
      </x:c>
      <x:c r="J647" s="22" t="n">
        <x:f>XLOOKUP(H647,'菜品主数据'!$A$5:$A$24,'菜品主数据'!$D$5:$D$24,0)</x:f>
        <x:v>14.9</x:v>
      </x:c>
      <x:c r="K647" s="31" t="n">
        <x:v>36</x:v>
      </x:c>
      <x:c r="L647" s="35" t="n">
        <x:f>J647*K647</x:f>
        <x:v>536.4</x:v>
      </x:c>
      <x:c r="M647" s="36" t="n">
        <x:v>0</x:v>
      </x:c>
      <x:c r="N647" s="35" t="n">
        <x:f>L647*M647</x:f>
        <x:v>0</x:v>
      </x:c>
      <x:c r="O647" s="37" t="n">
        <x:v>0</x:v>
      </x:c>
      <x:c r="P647" s="35" t="n">
        <x:f>L647*O647</x:f>
        <x:v>0</x:v>
      </x:c>
      <x:c r="Q647" s="35" t="n">
        <x:v>0</x:v>
      </x:c>
      <x:c r="R647" s="35" t="n">
        <x:f>K647*Q647</x:f>
        <x:v>0</x:v>
      </x:c>
      <x:c r="S647" s="35" t="n">
        <x:f>XLOOKUP(H647,'菜品主数据'!$A$5:$A$24,'菜品主数据'!$G$5:$G$24,0)</x:f>
        <x:v>3.7459999999999996</x:v>
      </x:c>
      <x:c r="T647" s="35" t="n">
        <x:f>K647*S647</x:f>
        <x:v>134.856</x:v>
      </x:c>
      <x:c r="U647" s="35" t="n">
        <x:f>L647-N647-P647-R647-T647</x:f>
        <x:v>401.544</x:v>
      </x:c>
      <x:c r="V647" s="21" t="n">
        <x:f>IFERROR(U647/L647,0)</x:f>
        <x:v>0.7485906040268456</x:v>
      </x:c>
    </x:row>
    <x:row r="648">
      <x:c r="A648" s="19" t="str">
        <x:v>SALE-00644</x:v>
      </x:c>
      <x:c r="B648" s="34" t="n">
        <x:v>46212.5</x:v>
      </x:c>
      <x:c r="C648" s="19" t="str">
        <x:v>周四</x:v>
      </x:c>
      <x:c r="D648" s="19" t="str">
        <x:v>S03</x:v>
      </x:c>
      <x:c r="E648" s="19" t="str">
        <x:v>铂悦城店</x:v>
      </x:c>
      <x:c r="F648" s="19" t="str">
        <x:v>堂食</x:v>
      </x:c>
      <x:c r="G648" s="19" t="str">
        <x:v>全日</x:v>
      </x:c>
      <x:c r="H648" s="19" t="str">
        <x:v>D04</x:v>
      </x:c>
      <x:c r="I648" s="19" t="str">
        <x:v>酸包菜炒粉皮</x:v>
      </x:c>
      <x:c r="J648" s="22" t="n">
        <x:f>XLOOKUP(H648,'菜品主数据'!$A$5:$A$24,'菜品主数据'!$D$5:$D$24,0)</x:f>
        <x:v>16</x:v>
      </x:c>
      <x:c r="K648" s="31" t="n">
        <x:v>34</x:v>
      </x:c>
      <x:c r="L648" s="35" t="n">
        <x:f>J648*K648</x:f>
        <x:v>544</x:v>
      </x:c>
      <x:c r="M648" s="36" t="n">
        <x:v>0</x:v>
      </x:c>
      <x:c r="N648" s="35" t="n">
        <x:f>L648*M648</x:f>
        <x:v>0</x:v>
      </x:c>
      <x:c r="O648" s="37" t="n">
        <x:v>0</x:v>
      </x:c>
      <x:c r="P648" s="35" t="n">
        <x:f>L648*O648</x:f>
        <x:v>0</x:v>
      </x:c>
      <x:c r="Q648" s="35" t="n">
        <x:v>0</x:v>
      </x:c>
      <x:c r="R648" s="35" t="n">
        <x:f>K648*Q648</x:f>
        <x:v>0</x:v>
      </x:c>
      <x:c r="S648" s="35" t="n">
        <x:f>XLOOKUP(H648,'菜品主数据'!$A$5:$A$24,'菜品主数据'!$G$5:$G$24,0)</x:f>
        <x:v>3.978</x:v>
      </x:c>
      <x:c r="T648" s="35" t="n">
        <x:f>K648*S648</x:f>
        <x:v>135.252</x:v>
      </x:c>
      <x:c r="U648" s="35" t="n">
        <x:f>L648-N648-P648-R648-T648</x:f>
        <x:v>408.748</x:v>
      </x:c>
      <x:c r="V648" s="21" t="n">
        <x:f>IFERROR(U648/L648,0)</x:f>
        <x:v>0.751375</x:v>
      </x:c>
    </x:row>
    <x:row r="649">
      <x:c r="A649" s="19" t="str">
        <x:v>SALE-00645</x:v>
      </x:c>
      <x:c r="B649" s="34" t="n">
        <x:v>46212.5</x:v>
      </x:c>
      <x:c r="C649" s="19" t="str">
        <x:v>周四</x:v>
      </x:c>
      <x:c r="D649" s="19" t="str">
        <x:v>S03</x:v>
      </x:c>
      <x:c r="E649" s="19" t="str">
        <x:v>铂悦城店</x:v>
      </x:c>
      <x:c r="F649" s="19" t="str">
        <x:v>堂食</x:v>
      </x:c>
      <x:c r="G649" s="19" t="str">
        <x:v>全日</x:v>
      </x:c>
      <x:c r="H649" s="19" t="str">
        <x:v>D05</x:v>
      </x:c>
      <x:c r="I649" s="19" t="str">
        <x:v>麻婆豆腐</x:v>
      </x:c>
      <x:c r="J649" s="22" t="n">
        <x:f>XLOOKUP(H649,'菜品主数据'!$A$5:$A$24,'菜品主数据'!$D$5:$D$24,0)</x:f>
        <x:v>9.9</x:v>
      </x:c>
      <x:c r="K649" s="31" t="n">
        <x:v>50</x:v>
      </x:c>
      <x:c r="L649" s="35" t="n">
        <x:f>J649*K649</x:f>
        <x:v>495</x:v>
      </x:c>
      <x:c r="M649" s="36" t="n">
        <x:v>0</x:v>
      </x:c>
      <x:c r="N649" s="35" t="n">
        <x:f>L649*M649</x:f>
        <x:v>0</x:v>
      </x:c>
      <x:c r="O649" s="37" t="n">
        <x:v>0</x:v>
      </x:c>
      <x:c r="P649" s="35" t="n">
        <x:f>L649*O649</x:f>
        <x:v>0</x:v>
      </x:c>
      <x:c r="Q649" s="35" t="n">
        <x:v>0</x:v>
      </x:c>
      <x:c r="R649" s="35" t="n">
        <x:f>K649*Q649</x:f>
        <x:v>0</x:v>
      </x:c>
      <x:c r="S649" s="35" t="n">
        <x:f>XLOOKUP(H649,'菜品主数据'!$A$5:$A$24,'菜品主数据'!$G$5:$G$24,0)</x:f>
        <x:v>5.367000000000001</x:v>
      </x:c>
      <x:c r="T649" s="35" t="n">
        <x:f>K649*S649</x:f>
        <x:v>268.35</x:v>
      </x:c>
      <x:c r="U649" s="35" t="n">
        <x:f>L649-N649-P649-R649-T649</x:f>
        <x:v>226.64999999999998</x:v>
      </x:c>
      <x:c r="V649" s="21" t="n">
        <x:f>IFERROR(U649/L649,0)</x:f>
        <x:v>0.45787878787878783</x:v>
      </x:c>
    </x:row>
    <x:row r="650">
      <x:c r="A650" s="19" t="str">
        <x:v>SALE-00646</x:v>
      </x:c>
      <x:c r="B650" s="34" t="n">
        <x:v>46212.5</x:v>
      </x:c>
      <x:c r="C650" s="19" t="str">
        <x:v>周四</x:v>
      </x:c>
      <x:c r="D650" s="19" t="str">
        <x:v>S03</x:v>
      </x:c>
      <x:c r="E650" s="19" t="str">
        <x:v>铂悦城店</x:v>
      </x:c>
      <x:c r="F650" s="19" t="str">
        <x:v>堂食</x:v>
      </x:c>
      <x:c r="G650" s="19" t="str">
        <x:v>全日</x:v>
      </x:c>
      <x:c r="H650" s="19" t="str">
        <x:v>D06</x:v>
      </x:c>
      <x:c r="I650" s="19" t="str">
        <x:v>剁椒鱼头</x:v>
      </x:c>
      <x:c r="J650" s="22" t="n">
        <x:f>XLOOKUP(H650,'菜品主数据'!$A$5:$A$24,'菜品主数据'!$D$5:$D$24,0)</x:f>
        <x:v>39</x:v>
      </x:c>
      <x:c r="K650" s="31" t="n">
        <x:v>13</x:v>
      </x:c>
      <x:c r="L650" s="35" t="n">
        <x:f>J650*K650</x:f>
        <x:v>507</x:v>
      </x:c>
      <x:c r="M650" s="36" t="n">
        <x:v>0</x:v>
      </x:c>
      <x:c r="N650" s="35" t="n">
        <x:f>L650*M650</x:f>
        <x:v>0</x:v>
      </x:c>
      <x:c r="O650" s="37" t="n">
        <x:v>0</x:v>
      </x:c>
      <x:c r="P650" s="35" t="n">
        <x:f>L650*O650</x:f>
        <x:v>0</x:v>
      </x:c>
      <x:c r="Q650" s="35" t="n">
        <x:v>0</x:v>
      </x:c>
      <x:c r="R650" s="35" t="n">
        <x:f>K650*Q650</x:f>
        <x:v>0</x:v>
      </x:c>
      <x:c r="S650" s="35" t="n">
        <x:f>XLOOKUP(H650,'菜品主数据'!$A$5:$A$24,'菜品主数据'!$G$5:$G$24,0)</x:f>
        <x:v>17.446</x:v>
      </x:c>
      <x:c r="T650" s="35" t="n">
        <x:f>K650*S650</x:f>
        <x:v>226.79800000000003</x:v>
      </x:c>
      <x:c r="U650" s="35" t="n">
        <x:f>L650-N650-P650-R650-T650</x:f>
        <x:v>280.202</x:v>
      </x:c>
      <x:c r="V650" s="21" t="n">
        <x:f>IFERROR(U650/L650,0)</x:f>
        <x:v>0.5526666666666666</x:v>
      </x:c>
    </x:row>
    <x:row r="651">
      <x:c r="A651" s="19" t="str">
        <x:v>SALE-00647</x:v>
      </x:c>
      <x:c r="B651" s="34" t="n">
        <x:v>46212.5</x:v>
      </x:c>
      <x:c r="C651" s="19" t="str">
        <x:v>周四</x:v>
      </x:c>
      <x:c r="D651" s="19" t="str">
        <x:v>S03</x:v>
      </x:c>
      <x:c r="E651" s="19" t="str">
        <x:v>铂悦城店</x:v>
      </x:c>
      <x:c r="F651" s="19" t="str">
        <x:v>堂食</x:v>
      </x:c>
      <x:c r="G651" s="19" t="str">
        <x:v>全日</x:v>
      </x:c>
      <x:c r="H651" s="19" t="str">
        <x:v>D07</x:v>
      </x:c>
      <x:c r="I651" s="19" t="str">
        <x:v>川味回锅肉</x:v>
      </x:c>
      <x:c r="J651" s="22" t="n">
        <x:f>XLOOKUP(H651,'菜品主数据'!$A$5:$A$24,'菜品主数据'!$D$5:$D$24,0)</x:f>
        <x:v>29</x:v>
      </x:c>
      <x:c r="K651" s="31" t="n">
        <x:v>14</x:v>
      </x:c>
      <x:c r="L651" s="35" t="n">
        <x:f>J651*K651</x:f>
        <x:v>406</x:v>
      </x:c>
      <x:c r="M651" s="36" t="n">
        <x:v>0</x:v>
      </x:c>
      <x:c r="N651" s="35" t="n">
        <x:f>L651*M651</x:f>
        <x:v>0</x:v>
      </x:c>
      <x:c r="O651" s="37" t="n">
        <x:v>0</x:v>
      </x:c>
      <x:c r="P651" s="35" t="n">
        <x:f>L651*O651</x:f>
        <x:v>0</x:v>
      </x:c>
      <x:c r="Q651" s="35" t="n">
        <x:v>0</x:v>
      </x:c>
      <x:c r="R651" s="35" t="n">
        <x:f>K651*Q651</x:f>
        <x:v>0</x:v>
      </x:c>
      <x:c r="S651" s="35" t="n">
        <x:f>XLOOKUP(H651,'菜品主数据'!$A$5:$A$24,'菜品主数据'!$G$5:$G$24,0)</x:f>
        <x:v>10.231000000000002</x:v>
      </x:c>
      <x:c r="T651" s="35" t="n">
        <x:f>K651*S651</x:f>
        <x:v>143.23400000000004</x:v>
      </x:c>
      <x:c r="U651" s="35" t="n">
        <x:f>L651-N651-P651-R651-T651</x:f>
        <x:v>262.76599999999996</x:v>
      </x:c>
      <x:c r="V651" s="21" t="n">
        <x:f>IFERROR(U651/L651,0)</x:f>
        <x:v>0.647206896551724</x:v>
      </x:c>
    </x:row>
    <x:row r="652">
      <x:c r="A652" s="19" t="str">
        <x:v>SALE-00648</x:v>
      </x:c>
      <x:c r="B652" s="34" t="n">
        <x:v>46212.5</x:v>
      </x:c>
      <x:c r="C652" s="19" t="str">
        <x:v>周四</x:v>
      </x:c>
      <x:c r="D652" s="19" t="str">
        <x:v>S03</x:v>
      </x:c>
      <x:c r="E652" s="19" t="str">
        <x:v>铂悦城店</x:v>
      </x:c>
      <x:c r="F652" s="19" t="str">
        <x:v>堂食</x:v>
      </x:c>
      <x:c r="G652" s="19" t="str">
        <x:v>全日</x:v>
      </x:c>
      <x:c r="H652" s="19" t="str">
        <x:v>D08</x:v>
      </x:c>
      <x:c r="I652" s="19" t="str">
        <x:v>生炒清远鸡</x:v>
      </x:c>
      <x:c r="J652" s="22" t="n">
        <x:f>XLOOKUP(H652,'菜品主数据'!$A$5:$A$24,'菜品主数据'!$D$5:$D$24,0)</x:f>
        <x:v>36</x:v>
      </x:c>
      <x:c r="K652" s="31" t="n">
        <x:v>10</x:v>
      </x:c>
      <x:c r="L652" s="35" t="n">
        <x:f>J652*K652</x:f>
        <x:v>360</x:v>
      </x:c>
      <x:c r="M652" s="36" t="n">
        <x:v>0</x:v>
      </x:c>
      <x:c r="N652" s="35" t="n">
        <x:f>L652*M652</x:f>
        <x:v>0</x:v>
      </x:c>
      <x:c r="O652" s="37" t="n">
        <x:v>0</x:v>
      </x:c>
      <x:c r="P652" s="35" t="n">
        <x:f>L652*O652</x:f>
        <x:v>0</x:v>
      </x:c>
      <x:c r="Q652" s="35" t="n">
        <x:v>0</x:v>
      </x:c>
      <x:c r="R652" s="35" t="n">
        <x:f>K652*Q652</x:f>
        <x:v>0</x:v>
      </x:c>
      <x:c r="S652" s="35" t="n">
        <x:f>XLOOKUP(H652,'菜品主数据'!$A$5:$A$24,'菜品主数据'!$G$5:$G$24,0)</x:f>
        <x:v>13.48</x:v>
      </x:c>
      <x:c r="T652" s="35" t="n">
        <x:f>K652*S652</x:f>
        <x:v>134.8</x:v>
      </x:c>
      <x:c r="U652" s="35" t="n">
        <x:f>L652-N652-P652-R652-T652</x:f>
        <x:v>225.2</x:v>
      </x:c>
      <x:c r="V652" s="21" t="n">
        <x:f>IFERROR(U652/L652,0)</x:f>
        <x:v>0.6255555555555555</x:v>
      </x:c>
    </x:row>
    <x:row r="653">
      <x:c r="A653" s="19" t="str">
        <x:v>SALE-00649</x:v>
      </x:c>
      <x:c r="B653" s="34" t="n">
        <x:v>46212.5</x:v>
      </x:c>
      <x:c r="C653" s="19" t="str">
        <x:v>周四</x:v>
      </x:c>
      <x:c r="D653" s="19" t="str">
        <x:v>S03</x:v>
      </x:c>
      <x:c r="E653" s="19" t="str">
        <x:v>铂悦城店</x:v>
      </x:c>
      <x:c r="F653" s="19" t="str">
        <x:v>堂食</x:v>
      </x:c>
      <x:c r="G653" s="19" t="str">
        <x:v>全日</x:v>
      </x:c>
      <x:c r="H653" s="19" t="str">
        <x:v>D09</x:v>
      </x:c>
      <x:c r="I653" s="19" t="str">
        <x:v>炒豆干</x:v>
      </x:c>
      <x:c r="J653" s="22" t="n">
        <x:f>XLOOKUP(H653,'菜品主数据'!$A$5:$A$24,'菜品主数据'!$D$5:$D$24,0)</x:f>
        <x:v>18</x:v>
      </x:c>
      <x:c r="K653" s="31" t="n">
        <x:v>14</x:v>
      </x:c>
      <x:c r="L653" s="35" t="n">
        <x:f>J653*K653</x:f>
        <x:v>252</x:v>
      </x:c>
      <x:c r="M653" s="36" t="n">
        <x:v>0</x:v>
      </x:c>
      <x:c r="N653" s="35" t="n">
        <x:f>L653*M653</x:f>
        <x:v>0</x:v>
      </x:c>
      <x:c r="O653" s="37" t="n">
        <x:v>0</x:v>
      </x:c>
      <x:c r="P653" s="35" t="n">
        <x:f>L653*O653</x:f>
        <x:v>0</x:v>
      </x:c>
      <x:c r="Q653" s="35" t="n">
        <x:v>0</x:v>
      </x:c>
      <x:c r="R653" s="35" t="n">
        <x:f>K653*Q653</x:f>
        <x:v>0</x:v>
      </x:c>
      <x:c r="S653" s="35" t="n">
        <x:f>XLOOKUP(H653,'菜品主数据'!$A$5:$A$24,'菜品主数据'!$G$5:$G$24,0)</x:f>
        <x:v>6.613999999999999</x:v>
      </x:c>
      <x:c r="T653" s="35" t="n">
        <x:f>K653*S653</x:f>
        <x:v>92.59599999999999</x:v>
      </x:c>
      <x:c r="U653" s="35" t="n">
        <x:f>L653-N653-P653-R653-T653</x:f>
        <x:v>159.404</x:v>
      </x:c>
      <x:c r="V653" s="21" t="n">
        <x:f>IFERROR(U653/L653,0)</x:f>
        <x:v>0.6325555555555555</x:v>
      </x:c>
    </x:row>
    <x:row r="654">
      <x:c r="A654" s="19" t="str">
        <x:v>SALE-00650</x:v>
      </x:c>
      <x:c r="B654" s="34" t="n">
        <x:v>46212.5</x:v>
      </x:c>
      <x:c r="C654" s="19" t="str">
        <x:v>周四</x:v>
      </x:c>
      <x:c r="D654" s="19" t="str">
        <x:v>S03</x:v>
      </x:c>
      <x:c r="E654" s="19" t="str">
        <x:v>铂悦城店</x:v>
      </x:c>
      <x:c r="F654" s="19" t="str">
        <x:v>堂食</x:v>
      </x:c>
      <x:c r="G654" s="19" t="str">
        <x:v>全日</x:v>
      </x:c>
      <x:c r="H654" s="19" t="str">
        <x:v>D10</x:v>
      </x:c>
      <x:c r="I654" s="19" t="str">
        <x:v>农家一碗香</x:v>
      </x:c>
      <x:c r="J654" s="22" t="n">
        <x:f>XLOOKUP(H654,'菜品主数据'!$A$5:$A$24,'菜品主数据'!$D$5:$D$24,0)</x:f>
        <x:v>22.9</x:v>
      </x:c>
      <x:c r="K654" s="31" t="n">
        <x:v>16</x:v>
      </x:c>
      <x:c r="L654" s="35" t="n">
        <x:f>J654*K654</x:f>
        <x:v>366.4</x:v>
      </x:c>
      <x:c r="M654" s="36" t="n">
        <x:v>0</x:v>
      </x:c>
      <x:c r="N654" s="35" t="n">
        <x:f>L654*M654</x:f>
        <x:v>0</x:v>
      </x:c>
      <x:c r="O654" s="37" t="n">
        <x:v>0</x:v>
      </x:c>
      <x:c r="P654" s="35" t="n">
        <x:f>L654*O654</x:f>
        <x:v>0</x:v>
      </x:c>
      <x:c r="Q654" s="35" t="n">
        <x:v>0</x:v>
      </x:c>
      <x:c r="R654" s="35" t="n">
        <x:f>K654*Q654</x:f>
        <x:v>0</x:v>
      </x:c>
      <x:c r="S654" s="35" t="n">
        <x:f>XLOOKUP(H654,'菜品主数据'!$A$5:$A$24,'菜品主数据'!$G$5:$G$24,0)</x:f>
        <x:v>9.770200000000003</x:v>
      </x:c>
      <x:c r="T654" s="35" t="n">
        <x:f>K654*S654</x:f>
        <x:v>156.32320000000004</x:v>
      </x:c>
      <x:c r="U654" s="35" t="n">
        <x:f>L654-N654-P654-R654-T654</x:f>
        <x:v>210.07679999999993</x:v>
      </x:c>
      <x:c r="V654" s="21" t="n">
        <x:f>IFERROR(U654/L654,0)</x:f>
        <x:v>0.5733537117903929</x:v>
      </x:c>
    </x:row>
    <x:row r="655">
      <x:c r="A655" s="19" t="str">
        <x:v>SALE-00651</x:v>
      </x:c>
      <x:c r="B655" s="34" t="n">
        <x:v>46212.5</x:v>
      </x:c>
      <x:c r="C655" s="19" t="str">
        <x:v>周四</x:v>
      </x:c>
      <x:c r="D655" s="19" t="str">
        <x:v>S03</x:v>
      </x:c>
      <x:c r="E655" s="19" t="str">
        <x:v>铂悦城店</x:v>
      </x:c>
      <x:c r="F655" s="19" t="str">
        <x:v>堂食</x:v>
      </x:c>
      <x:c r="G655" s="19" t="str">
        <x:v>全日</x:v>
      </x:c>
      <x:c r="H655" s="19" t="str">
        <x:v>D11</x:v>
      </x:c>
      <x:c r="I655" s="19" t="str">
        <x:v>香辣爆肥肠</x:v>
      </x:c>
      <x:c r="J655" s="22" t="n">
        <x:f>XLOOKUP(H655,'菜品主数据'!$A$5:$A$24,'菜品主数据'!$D$5:$D$24,0)</x:f>
        <x:v>39</x:v>
      </x:c>
      <x:c r="K655" s="31" t="n">
        <x:v>6</x:v>
      </x:c>
      <x:c r="L655" s="35" t="n">
        <x:f>J655*K655</x:f>
        <x:v>234</x:v>
      </x:c>
      <x:c r="M655" s="36" t="n">
        <x:v>0</x:v>
      </x:c>
      <x:c r="N655" s="35" t="n">
        <x:f>L655*M655</x:f>
        <x:v>0</x:v>
      </x:c>
      <x:c r="O655" s="37" t="n">
        <x:v>0</x:v>
      </x:c>
      <x:c r="P655" s="35" t="n">
        <x:f>L655*O655</x:f>
        <x:v>0</x:v>
      </x:c>
      <x:c r="Q655" s="35" t="n">
        <x:v>0</x:v>
      </x:c>
      <x:c r="R655" s="35" t="n">
        <x:f>K655*Q655</x:f>
        <x:v>0</x:v>
      </x:c>
      <x:c r="S655" s="35" t="n">
        <x:f>XLOOKUP(H655,'菜品主数据'!$A$5:$A$24,'菜品主数据'!$G$5:$G$24,0)</x:f>
        <x:v>10.397</x:v>
      </x:c>
      <x:c r="T655" s="35" t="n">
        <x:f>K655*S655</x:f>
        <x:v>62.382000000000005</x:v>
      </x:c>
      <x:c r="U655" s="35" t="n">
        <x:f>L655-N655-P655-R655-T655</x:f>
        <x:v>171.618</x:v>
      </x:c>
      <x:c r="V655" s="21" t="n">
        <x:f>IFERROR(U655/L655,0)</x:f>
        <x:v>0.7334102564102564</x:v>
      </x:c>
    </x:row>
    <x:row r="656">
      <x:c r="A656" s="19" t="str">
        <x:v>SALE-00652</x:v>
      </x:c>
      <x:c r="B656" s="34" t="n">
        <x:v>46212.5</x:v>
      </x:c>
      <x:c r="C656" s="19" t="str">
        <x:v>周四</x:v>
      </x:c>
      <x:c r="D656" s="19" t="str">
        <x:v>S03</x:v>
      </x:c>
      <x:c r="E656" s="19" t="str">
        <x:v>铂悦城店</x:v>
      </x:c>
      <x:c r="F656" s="19" t="str">
        <x:v>堂食</x:v>
      </x:c>
      <x:c r="G656" s="19" t="str">
        <x:v>全日</x:v>
      </x:c>
      <x:c r="H656" s="19" t="str">
        <x:v>D12</x:v>
      </x:c>
      <x:c r="I656" s="19" t="str">
        <x:v>清蒸鲈鱼</x:v>
      </x:c>
      <x:c r="J656" s="22" t="n">
        <x:f>XLOOKUP(H656,'菜品主数据'!$A$5:$A$24,'菜品主数据'!$D$5:$D$24,0)</x:f>
        <x:v>39</x:v>
      </x:c>
      <x:c r="K656" s="31" t="n">
        <x:v>7</x:v>
      </x:c>
      <x:c r="L656" s="35" t="n">
        <x:f>J656*K656</x:f>
        <x:v>273</x:v>
      </x:c>
      <x:c r="M656" s="36" t="n">
        <x:v>0</x:v>
      </x:c>
      <x:c r="N656" s="35" t="n">
        <x:f>L656*M656</x:f>
        <x:v>0</x:v>
      </x:c>
      <x:c r="O656" s="37" t="n">
        <x:v>0</x:v>
      </x:c>
      <x:c r="P656" s="35" t="n">
        <x:f>L656*O656</x:f>
        <x:v>0</x:v>
      </x:c>
      <x:c r="Q656" s="35" t="n">
        <x:v>0</x:v>
      </x:c>
      <x:c r="R656" s="35" t="n">
        <x:f>K656*Q656</x:f>
        <x:v>0</x:v>
      </x:c>
      <x:c r="S656" s="35" t="n">
        <x:f>XLOOKUP(H656,'菜品主数据'!$A$5:$A$24,'菜品主数据'!$G$5:$G$24,0)</x:f>
        <x:v>18.874</x:v>
      </x:c>
      <x:c r="T656" s="35" t="n">
        <x:f>K656*S656</x:f>
        <x:v>132.118</x:v>
      </x:c>
      <x:c r="U656" s="35" t="n">
        <x:f>L656-N656-P656-R656-T656</x:f>
        <x:v>140.882</x:v>
      </x:c>
      <x:c r="V656" s="21" t="n">
        <x:f>IFERROR(U656/L656,0)</x:f>
        <x:v>0.516051282051282</x:v>
      </x:c>
    </x:row>
    <x:row r="657">
      <x:c r="A657" s="19" t="str">
        <x:v>SALE-00653</x:v>
      </x:c>
      <x:c r="B657" s="34" t="n">
        <x:v>46212.5</x:v>
      </x:c>
      <x:c r="C657" s="19" t="str">
        <x:v>周四</x:v>
      </x:c>
      <x:c r="D657" s="19" t="str">
        <x:v>S03</x:v>
      </x:c>
      <x:c r="E657" s="19" t="str">
        <x:v>铂悦城店</x:v>
      </x:c>
      <x:c r="F657" s="19" t="str">
        <x:v>堂食</x:v>
      </x:c>
      <x:c r="G657" s="19" t="str">
        <x:v>全日</x:v>
      </x:c>
      <x:c r="H657" s="19" t="str">
        <x:v>D13</x:v>
      </x:c>
      <x:c r="I657" s="19" t="str">
        <x:v>外婆菜炒蛋</x:v>
      </x:c>
      <x:c r="J657" s="22" t="n">
        <x:f>XLOOKUP(H657,'菜品主数据'!$A$5:$A$24,'菜品主数据'!$D$5:$D$24,0)</x:f>
        <x:v>18</x:v>
      </x:c>
      <x:c r="K657" s="31" t="n">
        <x:v>15</x:v>
      </x:c>
      <x:c r="L657" s="35" t="n">
        <x:f>J657*K657</x:f>
        <x:v>270</x:v>
      </x:c>
      <x:c r="M657" s="36" t="n">
        <x:v>0</x:v>
      </x:c>
      <x:c r="N657" s="35" t="n">
        <x:f>L657*M657</x:f>
        <x:v>0</x:v>
      </x:c>
      <x:c r="O657" s="37" t="n">
        <x:v>0</x:v>
      </x:c>
      <x:c r="P657" s="35" t="n">
        <x:f>L657*O657</x:f>
        <x:v>0</x:v>
      </x:c>
      <x:c r="Q657" s="35" t="n">
        <x:v>0</x:v>
      </x:c>
      <x:c r="R657" s="35" t="n">
        <x:f>K657*Q657</x:f>
        <x:v>0</x:v>
      </x:c>
      <x:c r="S657" s="35" t="n">
        <x:f>XLOOKUP(H657,'菜品主数据'!$A$5:$A$24,'菜品主数据'!$G$5:$G$24,0)</x:f>
        <x:v>5.403999999999999</x:v>
      </x:c>
      <x:c r="T657" s="35" t="n">
        <x:f>K657*S657</x:f>
        <x:v>81.05999999999999</x:v>
      </x:c>
      <x:c r="U657" s="35" t="n">
        <x:f>L657-N657-P657-R657-T657</x:f>
        <x:v>188.94</x:v>
      </x:c>
      <x:c r="V657" s="21" t="n">
        <x:f>IFERROR(U657/L657,0)</x:f>
        <x:v>0.6997777777777777</x:v>
      </x:c>
    </x:row>
    <x:row r="658">
      <x:c r="A658" s="19" t="str">
        <x:v>SALE-00654</x:v>
      </x:c>
      <x:c r="B658" s="34" t="n">
        <x:v>46212.5</x:v>
      </x:c>
      <x:c r="C658" s="19" t="str">
        <x:v>周四</x:v>
      </x:c>
      <x:c r="D658" s="19" t="str">
        <x:v>S03</x:v>
      </x:c>
      <x:c r="E658" s="19" t="str">
        <x:v>铂悦城店</x:v>
      </x:c>
      <x:c r="F658" s="19" t="str">
        <x:v>堂食</x:v>
      </x:c>
      <x:c r="G658" s="19" t="str">
        <x:v>全日</x:v>
      </x:c>
      <x:c r="H658" s="19" t="str">
        <x:v>D14</x:v>
      </x:c>
      <x:c r="I658" s="19" t="str">
        <x:v>酸辣鸡杂</x:v>
      </x:c>
      <x:c r="J658" s="22" t="n">
        <x:f>XLOOKUP(H658,'菜品主数据'!$A$5:$A$24,'菜品主数据'!$D$5:$D$24,0)</x:f>
        <x:v>28</x:v>
      </x:c>
      <x:c r="K658" s="31" t="n">
        <x:v>8</x:v>
      </x:c>
      <x:c r="L658" s="35" t="n">
        <x:f>J658*K658</x:f>
        <x:v>224</x:v>
      </x:c>
      <x:c r="M658" s="36" t="n">
        <x:v>0</x:v>
      </x:c>
      <x:c r="N658" s="35" t="n">
        <x:f>L658*M658</x:f>
        <x:v>0</x:v>
      </x:c>
      <x:c r="O658" s="37" t="n">
        <x:v>0</x:v>
      </x:c>
      <x:c r="P658" s="35" t="n">
        <x:f>L658*O658</x:f>
        <x:v>0</x:v>
      </x:c>
      <x:c r="Q658" s="35" t="n">
        <x:v>0</x:v>
      </x:c>
      <x:c r="R658" s="35" t="n">
        <x:f>K658*Q658</x:f>
        <x:v>0</x:v>
      </x:c>
      <x:c r="S658" s="35" t="n">
        <x:f>XLOOKUP(H658,'菜品主数据'!$A$5:$A$24,'菜品主数据'!$G$5:$G$24,0)</x:f>
        <x:v>8.315000000000001</x:v>
      </x:c>
      <x:c r="T658" s="35" t="n">
        <x:f>K658*S658</x:f>
        <x:v>66.52000000000001</x:v>
      </x:c>
      <x:c r="U658" s="35" t="n">
        <x:f>L658-N658-P658-R658-T658</x:f>
        <x:v>157.48</x:v>
      </x:c>
      <x:c r="V658" s="21" t="n">
        <x:f>IFERROR(U658/L658,0)</x:f>
        <x:v>0.7030357142857142</x:v>
      </x:c>
    </x:row>
    <x:row r="659">
      <x:c r="A659" s="19" t="str">
        <x:v>SALE-00655</x:v>
      </x:c>
      <x:c r="B659" s="34" t="n">
        <x:v>46212.5</x:v>
      </x:c>
      <x:c r="C659" s="19" t="str">
        <x:v>周四</x:v>
      </x:c>
      <x:c r="D659" s="19" t="str">
        <x:v>S03</x:v>
      </x:c>
      <x:c r="E659" s="19" t="str">
        <x:v>铂悦城店</x:v>
      </x:c>
      <x:c r="F659" s="19" t="str">
        <x:v>堂食</x:v>
      </x:c>
      <x:c r="G659" s="19" t="str">
        <x:v>全日</x:v>
      </x:c>
      <x:c r="H659" s="19" t="str">
        <x:v>D15</x:v>
      </x:c>
      <x:c r="I659" s="19" t="str">
        <x:v>湘西土匪猪肝</x:v>
      </x:c>
      <x:c r="J659" s="22" t="n">
        <x:f>XLOOKUP(H659,'菜品主数据'!$A$5:$A$24,'菜品主数据'!$D$5:$D$24,0)</x:f>
        <x:v>26</x:v>
      </x:c>
      <x:c r="K659" s="31" t="n">
        <x:v>7</x:v>
      </x:c>
      <x:c r="L659" s="35" t="n">
        <x:f>J659*K659</x:f>
        <x:v>182</x:v>
      </x:c>
      <x:c r="M659" s="36" t="n">
        <x:v>0</x:v>
      </x:c>
      <x:c r="N659" s="35" t="n">
        <x:f>L659*M659</x:f>
        <x:v>0</x:v>
      </x:c>
      <x:c r="O659" s="37" t="n">
        <x:v>0</x:v>
      </x:c>
      <x:c r="P659" s="35" t="n">
        <x:f>L659*O659</x:f>
        <x:v>0</x:v>
      </x:c>
      <x:c r="Q659" s="35" t="n">
        <x:v>0</x:v>
      </x:c>
      <x:c r="R659" s="35" t="n">
        <x:f>K659*Q659</x:f>
        <x:v>0</x:v>
      </x:c>
      <x:c r="S659" s="35" t="n">
        <x:f>XLOOKUP(H659,'菜品主数据'!$A$5:$A$24,'菜品主数据'!$G$5:$G$24,0)</x:f>
        <x:v>6.3759999999999994</x:v>
      </x:c>
      <x:c r="T659" s="35" t="n">
        <x:f>K659*S659</x:f>
        <x:v>44.632</x:v>
      </x:c>
      <x:c r="U659" s="35" t="n">
        <x:f>L659-N659-P659-R659-T659</x:f>
        <x:v>137.368</x:v>
      </x:c>
      <x:c r="V659" s="21" t="n">
        <x:f>IFERROR(U659/L659,0)</x:f>
        <x:v>0.7547692307692307</x:v>
      </x:c>
    </x:row>
    <x:row r="660">
      <x:c r="A660" s="19" t="str">
        <x:v>SALE-00656</x:v>
      </x:c>
      <x:c r="B660" s="34" t="n">
        <x:v>46212.5</x:v>
      </x:c>
      <x:c r="C660" s="19" t="str">
        <x:v>周四</x:v>
      </x:c>
      <x:c r="D660" s="19" t="str">
        <x:v>S03</x:v>
      </x:c>
      <x:c r="E660" s="19" t="str">
        <x:v>铂悦城店</x:v>
      </x:c>
      <x:c r="F660" s="19" t="str">
        <x:v>堂食</x:v>
      </x:c>
      <x:c r="G660" s="19" t="str">
        <x:v>全日</x:v>
      </x:c>
      <x:c r="H660" s="19" t="str">
        <x:v>D16</x:v>
      </x:c>
      <x:c r="I660" s="19" t="str">
        <x:v>小豆角炒五花</x:v>
      </x:c>
      <x:c r="J660" s="22" t="n">
        <x:f>XLOOKUP(H660,'菜品主数据'!$A$5:$A$24,'菜品主数据'!$D$5:$D$24,0)</x:f>
        <x:v>25</x:v>
      </x:c>
      <x:c r="K660" s="31" t="n">
        <x:v>7</x:v>
      </x:c>
      <x:c r="L660" s="35" t="n">
        <x:f>J660*K660</x:f>
        <x:v>175</x:v>
      </x:c>
      <x:c r="M660" s="36" t="n">
        <x:v>0</x:v>
      </x:c>
      <x:c r="N660" s="35" t="n">
        <x:f>L660*M660</x:f>
        <x:v>0</x:v>
      </x:c>
      <x:c r="O660" s="37" t="n">
        <x:v>0</x:v>
      </x:c>
      <x:c r="P660" s="35" t="n">
        <x:f>L660*O660</x:f>
        <x:v>0</x:v>
      </x:c>
      <x:c r="Q660" s="35" t="n">
        <x:v>0</x:v>
      </x:c>
      <x:c r="R660" s="35" t="n">
        <x:f>K660*Q660</x:f>
        <x:v>0</x:v>
      </x:c>
      <x:c r="S660" s="35" t="n">
        <x:f>XLOOKUP(H660,'菜品主数据'!$A$5:$A$24,'菜品主数据'!$G$5:$G$24,0)</x:f>
        <x:v>8.184</x:v>
      </x:c>
      <x:c r="T660" s="35" t="n">
        <x:f>K660*S660</x:f>
        <x:v>57.288</x:v>
      </x:c>
      <x:c r="U660" s="35" t="n">
        <x:f>L660-N660-P660-R660-T660</x:f>
        <x:v>117.712</x:v>
      </x:c>
      <x:c r="V660" s="21" t="n">
        <x:f>IFERROR(U660/L660,0)</x:f>
        <x:v>0.67264</x:v>
      </x:c>
    </x:row>
    <x:row r="661">
      <x:c r="A661" s="19" t="str">
        <x:v>SALE-00657</x:v>
      </x:c>
      <x:c r="B661" s="34" t="n">
        <x:v>46212.5</x:v>
      </x:c>
      <x:c r="C661" s="19" t="str">
        <x:v>周四</x:v>
      </x:c>
      <x:c r="D661" s="19" t="str">
        <x:v>S03</x:v>
      </x:c>
      <x:c r="E661" s="19" t="str">
        <x:v>铂悦城店</x:v>
      </x:c>
      <x:c r="F661" s="19" t="str">
        <x:v>堂食</x:v>
      </x:c>
      <x:c r="G661" s="19" t="str">
        <x:v>全日</x:v>
      </x:c>
      <x:c r="H661" s="19" t="str">
        <x:v>D17</x:v>
      </x:c>
      <x:c r="I661" s="19" t="str">
        <x:v>蒜蓉粉丝虾</x:v>
      </x:c>
      <x:c r="J661" s="22" t="n">
        <x:f>XLOOKUP(H661,'菜品主数据'!$A$5:$A$24,'菜品主数据'!$D$5:$D$24,0)</x:f>
        <x:v>36</x:v>
      </x:c>
      <x:c r="K661" s="31" t="n">
        <x:v>5</x:v>
      </x:c>
      <x:c r="L661" s="35" t="n">
        <x:f>J661*K661</x:f>
        <x:v>180</x:v>
      </x:c>
      <x:c r="M661" s="36" t="n">
        <x:v>0</x:v>
      </x:c>
      <x:c r="N661" s="35" t="n">
        <x:f>L661*M661</x:f>
        <x:v>0</x:v>
      </x:c>
      <x:c r="O661" s="37" t="n">
        <x:v>0</x:v>
      </x:c>
      <x:c r="P661" s="35" t="n">
        <x:f>L661*O661</x:f>
        <x:v>0</x:v>
      </x:c>
      <x:c r="Q661" s="35" t="n">
        <x:v>0</x:v>
      </x:c>
      <x:c r="R661" s="35" t="n">
        <x:f>K661*Q661</x:f>
        <x:v>0</x:v>
      </x:c>
      <x:c r="S661" s="35" t="n">
        <x:f>XLOOKUP(H661,'菜品主数据'!$A$5:$A$24,'菜品主数据'!$G$5:$G$24,0)</x:f>
        <x:v>13.594</x:v>
      </x:c>
      <x:c r="T661" s="35" t="n">
        <x:f>K661*S661</x:f>
        <x:v>67.97</x:v>
      </x:c>
      <x:c r="U661" s="35" t="n">
        <x:f>L661-N661-P661-R661-T661</x:f>
        <x:v>112.03</x:v>
      </x:c>
      <x:c r="V661" s="21" t="n">
        <x:f>IFERROR(U661/L661,0)</x:f>
        <x:v>0.6223888888888889</x:v>
      </x:c>
    </x:row>
    <x:row r="662">
      <x:c r="A662" s="19" t="str">
        <x:v>SALE-00658</x:v>
      </x:c>
      <x:c r="B662" s="34" t="n">
        <x:v>46212.5</x:v>
      </x:c>
      <x:c r="C662" s="19" t="str">
        <x:v>周四</x:v>
      </x:c>
      <x:c r="D662" s="19" t="str">
        <x:v>S03</x:v>
      </x:c>
      <x:c r="E662" s="19" t="str">
        <x:v>铂悦城店</x:v>
      </x:c>
      <x:c r="F662" s="19" t="str">
        <x:v>堂食</x:v>
      </x:c>
      <x:c r="G662" s="19" t="str">
        <x:v>全日</x:v>
      </x:c>
      <x:c r="H662" s="19" t="str">
        <x:v>D18</x:v>
      </x:c>
      <x:c r="I662" s="19" t="str">
        <x:v>青椒炒油麦菜</x:v>
      </x:c>
      <x:c r="J662" s="22" t="n">
        <x:f>XLOOKUP(H662,'菜品主数据'!$A$5:$A$24,'菜品主数据'!$D$5:$D$24,0)</x:f>
        <x:v>18</x:v>
      </x:c>
      <x:c r="K662" s="31" t="n">
        <x:v>8</x:v>
      </x:c>
      <x:c r="L662" s="35" t="n">
        <x:f>J662*K662</x:f>
        <x:v>144</x:v>
      </x:c>
      <x:c r="M662" s="36" t="n">
        <x:v>0</x:v>
      </x:c>
      <x:c r="N662" s="35" t="n">
        <x:f>L662*M662</x:f>
        <x:v>0</x:v>
      </x:c>
      <x:c r="O662" s="37" t="n">
        <x:v>0</x:v>
      </x:c>
      <x:c r="P662" s="35" t="n">
        <x:f>L662*O662</x:f>
        <x:v>0</x:v>
      </x:c>
      <x:c r="Q662" s="35" t="n">
        <x:v>0</x:v>
      </x:c>
      <x:c r="R662" s="35" t="n">
        <x:f>K662*Q662</x:f>
        <x:v>0</x:v>
      </x:c>
      <x:c r="S662" s="35" t="n">
        <x:f>XLOOKUP(H662,'菜品主数据'!$A$5:$A$24,'菜品主数据'!$G$5:$G$24,0)</x:f>
        <x:v>3.1759999999999993</x:v>
      </x:c>
      <x:c r="T662" s="35" t="n">
        <x:f>K662*S662</x:f>
        <x:v>25.407999999999994</x:v>
      </x:c>
      <x:c r="U662" s="35" t="n">
        <x:f>L662-N662-P662-R662-T662</x:f>
        <x:v>118.59200000000001</x:v>
      </x:c>
      <x:c r="V662" s="21" t="n">
        <x:f>IFERROR(U662/L662,0)</x:f>
        <x:v>0.8235555555555556</x:v>
      </x:c>
    </x:row>
    <x:row r="663">
      <x:c r="A663" s="19" t="str">
        <x:v>SALE-00659</x:v>
      </x:c>
      <x:c r="B663" s="34" t="n">
        <x:v>46212.5</x:v>
      </x:c>
      <x:c r="C663" s="19" t="str">
        <x:v>周四</x:v>
      </x:c>
      <x:c r="D663" s="19" t="str">
        <x:v>S03</x:v>
      </x:c>
      <x:c r="E663" s="19" t="str">
        <x:v>铂悦城店</x:v>
      </x:c>
      <x:c r="F663" s="19" t="str">
        <x:v>堂食</x:v>
      </x:c>
      <x:c r="G663" s="19" t="str">
        <x:v>全日</x:v>
      </x:c>
      <x:c r="H663" s="19" t="str">
        <x:v>D19</x:v>
      </x:c>
      <x:c r="I663" s="19" t="str">
        <x:v>酸萝卜炒鸡杂</x:v>
      </x:c>
      <x:c r="J663" s="22" t="n">
        <x:f>XLOOKUP(H663,'菜品主数据'!$A$5:$A$24,'菜品主数据'!$D$5:$D$24,0)</x:f>
        <x:v>25</x:v>
      </x:c>
      <x:c r="K663" s="31" t="n">
        <x:v>6</x:v>
      </x:c>
      <x:c r="L663" s="35" t="n">
        <x:f>J663*K663</x:f>
        <x:v>150</x:v>
      </x:c>
      <x:c r="M663" s="36" t="n">
        <x:v>0</x:v>
      </x:c>
      <x:c r="N663" s="35" t="n">
        <x:f>L663*M663</x:f>
        <x:v>0</x:v>
      </x:c>
      <x:c r="O663" s="37" t="n">
        <x:v>0</x:v>
      </x:c>
      <x:c r="P663" s="35" t="n">
        <x:f>L663*O663</x:f>
        <x:v>0</x:v>
      </x:c>
      <x:c r="Q663" s="35" t="n">
        <x:v>0</x:v>
      </x:c>
      <x:c r="R663" s="35" t="n">
        <x:f>K663*Q663</x:f>
        <x:v>0</x:v>
      </x:c>
      <x:c r="S663" s="35" t="n">
        <x:f>XLOOKUP(H663,'菜品主数据'!$A$5:$A$24,'菜品主数据'!$G$5:$G$24,0)</x:f>
        <x:v>7.9399999999999995</x:v>
      </x:c>
      <x:c r="T663" s="35" t="n">
        <x:f>K663*S663</x:f>
        <x:v>47.64</x:v>
      </x:c>
      <x:c r="U663" s="35" t="n">
        <x:f>L663-N663-P663-R663-T663</x:f>
        <x:v>102.36</x:v>
      </x:c>
      <x:c r="V663" s="21" t="n">
        <x:f>IFERROR(U663/L663,0)</x:f>
        <x:v>0.6824</x:v>
      </x:c>
    </x:row>
    <x:row r="664">
      <x:c r="A664" s="19" t="str">
        <x:v>SALE-00660</x:v>
      </x:c>
      <x:c r="B664" s="34" t="n">
        <x:v>46212.5</x:v>
      </x:c>
      <x:c r="C664" s="19" t="str">
        <x:v>周四</x:v>
      </x:c>
      <x:c r="D664" s="19" t="str">
        <x:v>S03</x:v>
      </x:c>
      <x:c r="E664" s="19" t="str">
        <x:v>铂悦城店</x:v>
      </x:c>
      <x:c r="F664" s="19" t="str">
        <x:v>堂食</x:v>
      </x:c>
      <x:c r="G664" s="19" t="str">
        <x:v>全日</x:v>
      </x:c>
      <x:c r="H664" s="19" t="str">
        <x:v>D20</x:v>
      </x:c>
      <x:c r="I664" s="19" t="str">
        <x:v>雪菜肉末青豆</x:v>
      </x:c>
      <x:c r="J664" s="22" t="n">
        <x:f>XLOOKUP(H664,'菜品主数据'!$A$5:$A$24,'菜品主数据'!$D$5:$D$24,0)</x:f>
        <x:v>18</x:v>
      </x:c>
      <x:c r="K664" s="31" t="n">
        <x:v>8</x:v>
      </x:c>
      <x:c r="L664" s="35" t="n">
        <x:f>J664*K664</x:f>
        <x:v>144</x:v>
      </x:c>
      <x:c r="M664" s="36" t="n">
        <x:v>0</x:v>
      </x:c>
      <x:c r="N664" s="35" t="n">
        <x:f>L664*M664</x:f>
        <x:v>0</x:v>
      </x:c>
      <x:c r="O664" s="37" t="n">
        <x:v>0</x:v>
      </x:c>
      <x:c r="P664" s="35" t="n">
        <x:f>L664*O664</x:f>
        <x:v>0</x:v>
      </x:c>
      <x:c r="Q664" s="35" t="n">
        <x:v>0</x:v>
      </x:c>
      <x:c r="R664" s="35" t="n">
        <x:f>K664*Q664</x:f>
        <x:v>0</x:v>
      </x:c>
      <x:c r="S664" s="35" t="n">
        <x:f>XLOOKUP(H664,'菜品主数据'!$A$5:$A$24,'菜品主数据'!$G$5:$G$24,0)</x:f>
        <x:v>7.303999999999999</x:v>
      </x:c>
      <x:c r="T664" s="35" t="n">
        <x:f>K664*S664</x:f>
        <x:v>58.431999999999995</x:v>
      </x:c>
      <x:c r="U664" s="35" t="n">
        <x:f>L664-N664-P664-R664-T664</x:f>
        <x:v>85.56800000000001</x:v>
      </x:c>
      <x:c r="V664" s="21" t="n">
        <x:f>IFERROR(U664/L664,0)</x:f>
        <x:v>0.5942222222222223</x:v>
      </x:c>
    </x:row>
    <x:row r="665">
      <x:c r="A665" s="19" t="str">
        <x:v>SALE-00661</x:v>
      </x:c>
      <x:c r="B665" s="34" t="n">
        <x:v>46212.5</x:v>
      </x:c>
      <x:c r="C665" s="19" t="str">
        <x:v>周四</x:v>
      </x:c>
      <x:c r="D665" s="19" t="str">
        <x:v>S03</x:v>
      </x:c>
      <x:c r="E665" s="19" t="str">
        <x:v>铂悦城店</x:v>
      </x:c>
      <x:c r="F665" s="19" t="str">
        <x:v>外卖</x:v>
      </x:c>
      <x:c r="G665" s="19" t="str">
        <x:v>全日</x:v>
      </x:c>
      <x:c r="H665" s="19" t="str">
        <x:v>D01</x:v>
      </x:c>
      <x:c r="I665" s="19" t="str">
        <x:v>辣椒炒肉</x:v>
      </x:c>
      <x:c r="J665" s="22" t="n">
        <x:f>XLOOKUP(H665,'菜品主数据'!$A$5:$A$24,'菜品主数据'!$D$5:$D$24,0)</x:f>
        <x:v>29</x:v>
      </x:c>
      <x:c r="K665" s="31" t="n">
        <x:v>4</x:v>
      </x:c>
      <x:c r="L665" s="35" t="n">
        <x:f>J665*K665</x:f>
        <x:v>116</x:v>
      </x:c>
      <x:c r="M665" s="36" t="n">
        <x:v>0.08</x:v>
      </x:c>
      <x:c r="N665" s="35" t="n">
        <x:f>L665*M665</x:f>
        <x:v>9.28</x:v>
      </x:c>
      <x:c r="O665" s="37" t="n">
        <x:v>0.18</x:v>
      </x:c>
      <x:c r="P665" s="35" t="n">
        <x:f>L665*O665</x:f>
        <x:v>20.88</x:v>
      </x:c>
      <x:c r="Q665" s="35" t="n">
        <x:v>1.2</x:v>
      </x:c>
      <x:c r="R665" s="35" t="n">
        <x:f>K665*Q665</x:f>
        <x:v>4.8</x:v>
      </x:c>
      <x:c r="S665" s="35" t="n">
        <x:f>XLOOKUP(H665,'菜品主数据'!$A$5:$A$24,'菜品主数据'!$G$5:$G$24,0)</x:f>
        <x:v>8.634400000000001</x:v>
      </x:c>
      <x:c r="T665" s="35" t="n">
        <x:f>K665*S665</x:f>
        <x:v>34.537600000000005</x:v>
      </x:c>
      <x:c r="U665" s="35" t="n">
        <x:f>L665-N665-P665-R665-T665</x:f>
        <x:v>46.5024</x:v>
      </x:c>
      <x:c r="V665" s="21" t="n">
        <x:f>IFERROR(U665/L665,0)</x:f>
        <x:v>0.40088275862068967</x:v>
      </x:c>
    </x:row>
    <x:row r="666">
      <x:c r="A666" s="19" t="str">
        <x:v>SALE-00662</x:v>
      </x:c>
      <x:c r="B666" s="34" t="n">
        <x:v>46212.5</x:v>
      </x:c>
      <x:c r="C666" s="19" t="str">
        <x:v>周四</x:v>
      </x:c>
      <x:c r="D666" s="19" t="str">
        <x:v>S03</x:v>
      </x:c>
      <x:c r="E666" s="19" t="str">
        <x:v>铂悦城店</x:v>
      </x:c>
      <x:c r="F666" s="19" t="str">
        <x:v>外卖</x:v>
      </x:c>
      <x:c r="G666" s="19" t="str">
        <x:v>全日</x:v>
      </x:c>
      <x:c r="H666" s="19" t="str">
        <x:v>D02</x:v>
      </x:c>
      <x:c r="I666" s="19" t="str">
        <x:v>小炒黄牛肉</x:v>
      </x:c>
      <x:c r="J666" s="22" t="n">
        <x:f>XLOOKUP(H666,'菜品主数据'!$A$5:$A$24,'菜品主数据'!$D$5:$D$24,0)</x:f>
        <x:v>49</x:v>
      </x:c>
      <x:c r="K666" s="31" t="n">
        <x:v>8</x:v>
      </x:c>
      <x:c r="L666" s="35" t="n">
        <x:f>J666*K666</x:f>
        <x:v>392</x:v>
      </x:c>
      <x:c r="M666" s="36" t="n">
        <x:v>0.08</x:v>
      </x:c>
      <x:c r="N666" s="35" t="n">
        <x:f>L666*M666</x:f>
        <x:v>31.36</x:v>
      </x:c>
      <x:c r="O666" s="37" t="n">
        <x:v>0.18</x:v>
      </x:c>
      <x:c r="P666" s="35" t="n">
        <x:f>L666*O666</x:f>
        <x:v>70.56</x:v>
      </x:c>
      <x:c r="Q666" s="35" t="n">
        <x:v>1.2</x:v>
      </x:c>
      <x:c r="R666" s="35" t="n">
        <x:f>K666*Q666</x:f>
        <x:v>9.6</x:v>
      </x:c>
      <x:c r="S666" s="35" t="n">
        <x:f>XLOOKUP(H666,'菜品主数据'!$A$5:$A$24,'菜品主数据'!$G$5:$G$24,0)</x:f>
        <x:v>17.577</x:v>
      </x:c>
      <x:c r="T666" s="35" t="n">
        <x:f>K666*S666</x:f>
        <x:v>140.616</x:v>
      </x:c>
      <x:c r="U666" s="35" t="n">
        <x:f>L666-N666-P666-R666-T666</x:f>
        <x:v>139.86399999999995</x:v>
      </x:c>
      <x:c r="V666" s="21" t="n">
        <x:f>IFERROR(U666/L666,0)</x:f>
        <x:v>0.3567959183673468</x:v>
      </x:c>
    </x:row>
    <x:row r="667">
      <x:c r="A667" s="19" t="str">
        <x:v>SALE-00663</x:v>
      </x:c>
      <x:c r="B667" s="34" t="n">
        <x:v>46212.5</x:v>
      </x:c>
      <x:c r="C667" s="19" t="str">
        <x:v>周四</x:v>
      </x:c>
      <x:c r="D667" s="19" t="str">
        <x:v>S03</x:v>
      </x:c>
      <x:c r="E667" s="19" t="str">
        <x:v>铂悦城店</x:v>
      </x:c>
      <x:c r="F667" s="19" t="str">
        <x:v>外卖</x:v>
      </x:c>
      <x:c r="G667" s="19" t="str">
        <x:v>全日</x:v>
      </x:c>
      <x:c r="H667" s="19" t="str">
        <x:v>D03</x:v>
      </x:c>
      <x:c r="I667" s="19" t="str">
        <x:v>香醋炒蛋</x:v>
      </x:c>
      <x:c r="J667" s="22" t="n">
        <x:f>XLOOKUP(H667,'菜品主数据'!$A$5:$A$24,'菜品主数据'!$D$5:$D$24,0)</x:f>
        <x:v>14.9</x:v>
      </x:c>
      <x:c r="K667" s="31" t="n">
        <x:v>4</x:v>
      </x:c>
      <x:c r="L667" s="35" t="n">
        <x:f>J667*K667</x:f>
        <x:v>59.6</x:v>
      </x:c>
      <x:c r="M667" s="36" t="n">
        <x:v>0.08</x:v>
      </x:c>
      <x:c r="N667" s="35" t="n">
        <x:f>L667*M667</x:f>
        <x:v>4.768</x:v>
      </x:c>
      <x:c r="O667" s="37" t="n">
        <x:v>0.18</x:v>
      </x:c>
      <x:c r="P667" s="35" t="n">
        <x:f>L667*O667</x:f>
        <x:v>10.728</x:v>
      </x:c>
      <x:c r="Q667" s="35" t="n">
        <x:v>1.2</x:v>
      </x:c>
      <x:c r="R667" s="35" t="n">
        <x:f>K667*Q667</x:f>
        <x:v>4.8</x:v>
      </x:c>
      <x:c r="S667" s="35" t="n">
        <x:f>XLOOKUP(H667,'菜品主数据'!$A$5:$A$24,'菜品主数据'!$G$5:$G$24,0)</x:f>
        <x:v>3.7459999999999996</x:v>
      </x:c>
      <x:c r="T667" s="35" t="n">
        <x:f>K667*S667</x:f>
        <x:v>14.983999999999998</x:v>
      </x:c>
      <x:c r="U667" s="35" t="n">
        <x:f>L667-N667-P667-R667-T667</x:f>
        <x:v>24.320000000000004</x:v>
      </x:c>
      <x:c r="V667" s="21" t="n">
        <x:f>IFERROR(U667/L667,0)</x:f>
        <x:v>0.40805369127516783</x:v>
      </x:c>
    </x:row>
    <x:row r="668">
      <x:c r="A668" s="19" t="str">
        <x:v>SALE-00664</x:v>
      </x:c>
      <x:c r="B668" s="34" t="n">
        <x:v>46212.5</x:v>
      </x:c>
      <x:c r="C668" s="19" t="str">
        <x:v>周四</x:v>
      </x:c>
      <x:c r="D668" s="19" t="str">
        <x:v>S03</x:v>
      </x:c>
      <x:c r="E668" s="19" t="str">
        <x:v>铂悦城店</x:v>
      </x:c>
      <x:c r="F668" s="19" t="str">
        <x:v>外卖</x:v>
      </x:c>
      <x:c r="G668" s="19" t="str">
        <x:v>全日</x:v>
      </x:c>
      <x:c r="H668" s="19" t="str">
        <x:v>D04</x:v>
      </x:c>
      <x:c r="I668" s="19" t="str">
        <x:v>酸包菜炒粉皮</x:v>
      </x:c>
      <x:c r="J668" s="22" t="n">
        <x:f>XLOOKUP(H668,'菜品主数据'!$A$5:$A$24,'菜品主数据'!$D$5:$D$24,0)</x:f>
        <x:v>16</x:v>
      </x:c>
      <x:c r="K668" s="31" t="n">
        <x:v>3</x:v>
      </x:c>
      <x:c r="L668" s="35" t="n">
        <x:f>J668*K668</x:f>
        <x:v>48</x:v>
      </x:c>
      <x:c r="M668" s="36" t="n">
        <x:v>0.08</x:v>
      </x:c>
      <x:c r="N668" s="35" t="n">
        <x:f>L668*M668</x:f>
        <x:v>3.84</x:v>
      </x:c>
      <x:c r="O668" s="37" t="n">
        <x:v>0.18</x:v>
      </x:c>
      <x:c r="P668" s="35" t="n">
        <x:f>L668*O668</x:f>
        <x:v>8.64</x:v>
      </x:c>
      <x:c r="Q668" s="35" t="n">
        <x:v>1.2</x:v>
      </x:c>
      <x:c r="R668" s="35" t="n">
        <x:f>K668*Q668</x:f>
        <x:v>3.5999999999999996</x:v>
      </x:c>
      <x:c r="S668" s="35" t="n">
        <x:f>XLOOKUP(H668,'菜品主数据'!$A$5:$A$24,'菜品主数据'!$G$5:$G$24,0)</x:f>
        <x:v>3.978</x:v>
      </x:c>
      <x:c r="T668" s="35" t="n">
        <x:f>K668*S668</x:f>
        <x:v>11.934000000000001</x:v>
      </x:c>
      <x:c r="U668" s="35" t="n">
        <x:f>L668-N668-P668-R668-T668</x:f>
        <x:v>19.985999999999994</x:v>
      </x:c>
      <x:c r="V668" s="21" t="n">
        <x:f>IFERROR(U668/L668,0)</x:f>
        <x:v>0.4163749999999999</x:v>
      </x:c>
    </x:row>
    <x:row r="669">
      <x:c r="A669" s="19" t="str">
        <x:v>SALE-00665</x:v>
      </x:c>
      <x:c r="B669" s="34" t="n">
        <x:v>46212.5</x:v>
      </x:c>
      <x:c r="C669" s="19" t="str">
        <x:v>周四</x:v>
      </x:c>
      <x:c r="D669" s="19" t="str">
        <x:v>S03</x:v>
      </x:c>
      <x:c r="E669" s="19" t="str">
        <x:v>铂悦城店</x:v>
      </x:c>
      <x:c r="F669" s="19" t="str">
        <x:v>外卖</x:v>
      </x:c>
      <x:c r="G669" s="19" t="str">
        <x:v>全日</x:v>
      </x:c>
      <x:c r="H669" s="19" t="str">
        <x:v>D05</x:v>
      </x:c>
      <x:c r="I669" s="19" t="str">
        <x:v>麻婆豆腐</x:v>
      </x:c>
      <x:c r="J669" s="22" t="n">
        <x:f>XLOOKUP(H669,'菜品主数据'!$A$5:$A$24,'菜品主数据'!$D$5:$D$24,0)</x:f>
        <x:v>9.9</x:v>
      </x:c>
      <x:c r="K669" s="31" t="n">
        <x:v>5</x:v>
      </x:c>
      <x:c r="L669" s="35" t="n">
        <x:f>J669*K669</x:f>
        <x:v>49.5</x:v>
      </x:c>
      <x:c r="M669" s="36" t="n">
        <x:v>0.08</x:v>
      </x:c>
      <x:c r="N669" s="35" t="n">
        <x:f>L669*M669</x:f>
        <x:v>3.96</x:v>
      </x:c>
      <x:c r="O669" s="37" t="n">
        <x:v>0.18</x:v>
      </x:c>
      <x:c r="P669" s="35" t="n">
        <x:f>L669*O669</x:f>
        <x:v>8.91</x:v>
      </x:c>
      <x:c r="Q669" s="35" t="n">
        <x:v>1.2</x:v>
      </x:c>
      <x:c r="R669" s="35" t="n">
        <x:f>K669*Q669</x:f>
        <x:v>6</x:v>
      </x:c>
      <x:c r="S669" s="35" t="n">
        <x:f>XLOOKUP(H669,'菜品主数据'!$A$5:$A$24,'菜品主数据'!$G$5:$G$24,0)</x:f>
        <x:v>5.367000000000001</x:v>
      </x:c>
      <x:c r="T669" s="35" t="n">
        <x:f>K669*S669</x:f>
        <x:v>26.835000000000004</x:v>
      </x:c>
      <x:c r="U669" s="35" t="n">
        <x:f>L669-N669-P669-R669-T669</x:f>
        <x:v>3.794999999999991</x:v>
      </x:c>
      <x:c r="V669" s="21" t="n">
        <x:f>IFERROR(U669/L669,0)</x:f>
        <x:v>0.07666666666666648</x:v>
      </x:c>
    </x:row>
    <x:row r="670">
      <x:c r="A670" s="19" t="str">
        <x:v>SALE-00666</x:v>
      </x:c>
      <x:c r="B670" s="34" t="n">
        <x:v>46212.5</x:v>
      </x:c>
      <x:c r="C670" s="19" t="str">
        <x:v>周四</x:v>
      </x:c>
      <x:c r="D670" s="19" t="str">
        <x:v>S03</x:v>
      </x:c>
      <x:c r="E670" s="19" t="str">
        <x:v>铂悦城店</x:v>
      </x:c>
      <x:c r="F670" s="19" t="str">
        <x:v>外卖</x:v>
      </x:c>
      <x:c r="G670" s="19" t="str">
        <x:v>全日</x:v>
      </x:c>
      <x:c r="H670" s="19" t="str">
        <x:v>D06</x:v>
      </x:c>
      <x:c r="I670" s="19" t="str">
        <x:v>剁椒鱼头</x:v>
      </x:c>
      <x:c r="J670" s="22" t="n">
        <x:f>XLOOKUP(H670,'菜品主数据'!$A$5:$A$24,'菜品主数据'!$D$5:$D$24,0)</x:f>
        <x:v>39</x:v>
      </x:c>
      <x:c r="K670" s="31" t="n">
        <x:v>2</x:v>
      </x:c>
      <x:c r="L670" s="35" t="n">
        <x:f>J670*K670</x:f>
        <x:v>78</x:v>
      </x:c>
      <x:c r="M670" s="36" t="n">
        <x:v>0.08</x:v>
      </x:c>
      <x:c r="N670" s="35" t="n">
        <x:f>L670*M670</x:f>
        <x:v>6.24</x:v>
      </x:c>
      <x:c r="O670" s="37" t="n">
        <x:v>0.18</x:v>
      </x:c>
      <x:c r="P670" s="35" t="n">
        <x:f>L670*O670</x:f>
        <x:v>14.04</x:v>
      </x:c>
      <x:c r="Q670" s="35" t="n">
        <x:v>1.2</x:v>
      </x:c>
      <x:c r="R670" s="35" t="n">
        <x:f>K670*Q670</x:f>
        <x:v>2.4</x:v>
      </x:c>
      <x:c r="S670" s="35" t="n">
        <x:f>XLOOKUP(H670,'菜品主数据'!$A$5:$A$24,'菜品主数据'!$G$5:$G$24,0)</x:f>
        <x:v>17.446</x:v>
      </x:c>
      <x:c r="T670" s="35" t="n">
        <x:f>K670*S670</x:f>
        <x:v>34.892</x:v>
      </x:c>
      <x:c r="U670" s="35" t="n">
        <x:f>L670-N670-P670-R670-T670</x:f>
        <x:v>20.428000000000004</x:v>
      </x:c>
      <x:c r="V670" s="21" t="n">
        <x:f>IFERROR(U670/L670,0)</x:f>
        <x:v>0.26189743589743597</x:v>
      </x:c>
    </x:row>
    <x:row r="671">
      <x:c r="A671" s="19" t="str">
        <x:v>SALE-00667</x:v>
      </x:c>
      <x:c r="B671" s="34" t="n">
        <x:v>46212.5</x:v>
      </x:c>
      <x:c r="C671" s="19" t="str">
        <x:v>周四</x:v>
      </x:c>
      <x:c r="D671" s="19" t="str">
        <x:v>S03</x:v>
      </x:c>
      <x:c r="E671" s="19" t="str">
        <x:v>铂悦城店</x:v>
      </x:c>
      <x:c r="F671" s="19" t="str">
        <x:v>外卖</x:v>
      </x:c>
      <x:c r="G671" s="19" t="str">
        <x:v>全日</x:v>
      </x:c>
      <x:c r="H671" s="19" t="str">
        <x:v>D07</x:v>
      </x:c>
      <x:c r="I671" s="19" t="str">
        <x:v>川味回锅肉</x:v>
      </x:c>
      <x:c r="J671" s="22" t="n">
        <x:f>XLOOKUP(H671,'菜品主数据'!$A$5:$A$24,'菜品主数据'!$D$5:$D$24,0)</x:f>
        <x:v>29</x:v>
      </x:c>
      <x:c r="K671" s="31" t="n">
        <x:v>1</x:v>
      </x:c>
      <x:c r="L671" s="35" t="n">
        <x:f>J671*K671</x:f>
        <x:v>29</x:v>
      </x:c>
      <x:c r="M671" s="36" t="n">
        <x:v>0.08</x:v>
      </x:c>
      <x:c r="N671" s="35" t="n">
        <x:f>L671*M671</x:f>
        <x:v>2.32</x:v>
      </x:c>
      <x:c r="O671" s="37" t="n">
        <x:v>0.18</x:v>
      </x:c>
      <x:c r="P671" s="35" t="n">
        <x:f>L671*O671</x:f>
        <x:v>5.22</x:v>
      </x:c>
      <x:c r="Q671" s="35" t="n">
        <x:v>1.2</x:v>
      </x:c>
      <x:c r="R671" s="35" t="n">
        <x:f>K671*Q671</x:f>
        <x:v>1.2</x:v>
      </x:c>
      <x:c r="S671" s="35" t="n">
        <x:f>XLOOKUP(H671,'菜品主数据'!$A$5:$A$24,'菜品主数据'!$G$5:$G$24,0)</x:f>
        <x:v>10.231000000000002</x:v>
      </x:c>
      <x:c r="T671" s="35" t="n">
        <x:f>K671*S671</x:f>
        <x:v>10.231000000000002</x:v>
      </x:c>
      <x:c r="U671" s="35" t="n">
        <x:f>L671-N671-P671-R671-T671</x:f>
        <x:v>10.029</x:v>
      </x:c>
      <x:c r="V671" s="21" t="n">
        <x:f>IFERROR(U671/L671,0)</x:f>
        <x:v>0.3458275862068966</x:v>
      </x:c>
    </x:row>
    <x:row r="672">
      <x:c r="A672" s="19" t="str">
        <x:v>SALE-00668</x:v>
      </x:c>
      <x:c r="B672" s="34" t="n">
        <x:v>46212.5</x:v>
      </x:c>
      <x:c r="C672" s="19" t="str">
        <x:v>周四</x:v>
      </x:c>
      <x:c r="D672" s="19" t="str">
        <x:v>S03</x:v>
      </x:c>
      <x:c r="E672" s="19" t="str">
        <x:v>铂悦城店</x:v>
      </x:c>
      <x:c r="F672" s="19" t="str">
        <x:v>外卖</x:v>
      </x:c>
      <x:c r="G672" s="19" t="str">
        <x:v>全日</x:v>
      </x:c>
      <x:c r="H672" s="19" t="str">
        <x:v>D08</x:v>
      </x:c>
      <x:c r="I672" s="19" t="str">
        <x:v>生炒清远鸡</x:v>
      </x:c>
      <x:c r="J672" s="22" t="n">
        <x:f>XLOOKUP(H672,'菜品主数据'!$A$5:$A$24,'菜品主数据'!$D$5:$D$24,0)</x:f>
        <x:v>36</x:v>
      </x:c>
      <x:c r="K672" s="31" t="n">
        <x:v>1</x:v>
      </x:c>
      <x:c r="L672" s="35" t="n">
        <x:f>J672*K672</x:f>
        <x:v>36</x:v>
      </x:c>
      <x:c r="M672" s="36" t="n">
        <x:v>0.08</x:v>
      </x:c>
      <x:c r="N672" s="35" t="n">
        <x:f>L672*M672</x:f>
        <x:v>2.88</x:v>
      </x:c>
      <x:c r="O672" s="37" t="n">
        <x:v>0.18</x:v>
      </x:c>
      <x:c r="P672" s="35" t="n">
        <x:f>L672*O672</x:f>
        <x:v>6.4799999999999995</x:v>
      </x:c>
      <x:c r="Q672" s="35" t="n">
        <x:v>1.2</x:v>
      </x:c>
      <x:c r="R672" s="35" t="n">
        <x:f>K672*Q672</x:f>
        <x:v>1.2</x:v>
      </x:c>
      <x:c r="S672" s="35" t="n">
        <x:f>XLOOKUP(H672,'菜品主数据'!$A$5:$A$24,'菜品主数据'!$G$5:$G$24,0)</x:f>
        <x:v>13.48</x:v>
      </x:c>
      <x:c r="T672" s="35" t="n">
        <x:f>K672*S672</x:f>
        <x:v>13.48</x:v>
      </x:c>
      <x:c r="U672" s="35" t="n">
        <x:f>L672-N672-P672-R672-T672</x:f>
        <x:v>11.959999999999997</x:v>
      </x:c>
      <x:c r="V672" s="21" t="n">
        <x:f>IFERROR(U672/L672,0)</x:f>
        <x:v>0.33222222222222214</x:v>
      </x:c>
    </x:row>
    <x:row r="673">
      <x:c r="A673" s="19" t="str">
        <x:v>SALE-00669</x:v>
      </x:c>
      <x:c r="B673" s="34" t="n">
        <x:v>46212.5</x:v>
      </x:c>
      <x:c r="C673" s="19" t="str">
        <x:v>周四</x:v>
      </x:c>
      <x:c r="D673" s="19" t="str">
        <x:v>S03</x:v>
      </x:c>
      <x:c r="E673" s="19" t="str">
        <x:v>铂悦城店</x:v>
      </x:c>
      <x:c r="F673" s="19" t="str">
        <x:v>外卖</x:v>
      </x:c>
      <x:c r="G673" s="19" t="str">
        <x:v>全日</x:v>
      </x:c>
      <x:c r="H673" s="19" t="str">
        <x:v>D09</x:v>
      </x:c>
      <x:c r="I673" s="19" t="str">
        <x:v>炒豆干</x:v>
      </x:c>
      <x:c r="J673" s="22" t="n">
        <x:f>XLOOKUP(H673,'菜品主数据'!$A$5:$A$24,'菜品主数据'!$D$5:$D$24,0)</x:f>
        <x:v>18</x:v>
      </x:c>
      <x:c r="K673" s="31" t="n">
        <x:v>1</x:v>
      </x:c>
      <x:c r="L673" s="35" t="n">
        <x:f>J673*K673</x:f>
        <x:v>18</x:v>
      </x:c>
      <x:c r="M673" s="36" t="n">
        <x:v>0.08</x:v>
      </x:c>
      <x:c r="N673" s="35" t="n">
        <x:f>L673*M673</x:f>
        <x:v>1.44</x:v>
      </x:c>
      <x:c r="O673" s="37" t="n">
        <x:v>0.18</x:v>
      </x:c>
      <x:c r="P673" s="35" t="n">
        <x:f>L673*O673</x:f>
        <x:v>3.2399999999999998</x:v>
      </x:c>
      <x:c r="Q673" s="35" t="n">
        <x:v>1.2</x:v>
      </x:c>
      <x:c r="R673" s="35" t="n">
        <x:f>K673*Q673</x:f>
        <x:v>1.2</x:v>
      </x:c>
      <x:c r="S673" s="35" t="n">
        <x:f>XLOOKUP(H673,'菜品主数据'!$A$5:$A$24,'菜品主数据'!$G$5:$G$24,0)</x:f>
        <x:v>6.613999999999999</x:v>
      </x:c>
      <x:c r="T673" s="35" t="n">
        <x:f>K673*S673</x:f>
        <x:v>6.613999999999999</x:v>
      </x:c>
      <x:c r="U673" s="35" t="n">
        <x:f>L673-N673-P673-R673-T673</x:f>
        <x:v>5.506</x:v>
      </x:c>
      <x:c r="V673" s="21" t="n">
        <x:f>IFERROR(U673/L673,0)</x:f>
        <x:v>0.3058888888888889</x:v>
      </x:c>
    </x:row>
    <x:row r="674">
      <x:c r="A674" s="19" t="str">
        <x:v>SALE-00670</x:v>
      </x:c>
      <x:c r="B674" s="34" t="n">
        <x:v>46212.5</x:v>
      </x:c>
      <x:c r="C674" s="19" t="str">
        <x:v>周四</x:v>
      </x:c>
      <x:c r="D674" s="19" t="str">
        <x:v>S03</x:v>
      </x:c>
      <x:c r="E674" s="19" t="str">
        <x:v>铂悦城店</x:v>
      </x:c>
      <x:c r="F674" s="19" t="str">
        <x:v>外卖</x:v>
      </x:c>
      <x:c r="G674" s="19" t="str">
        <x:v>全日</x:v>
      </x:c>
      <x:c r="H674" s="19" t="str">
        <x:v>D10</x:v>
      </x:c>
      <x:c r="I674" s="19" t="str">
        <x:v>农家一碗香</x:v>
      </x:c>
      <x:c r="J674" s="22" t="n">
        <x:f>XLOOKUP(H674,'菜品主数据'!$A$5:$A$24,'菜品主数据'!$D$5:$D$24,0)</x:f>
        <x:v>22.9</x:v>
      </x:c>
      <x:c r="K674" s="31" t="n">
        <x:v>2</x:v>
      </x:c>
      <x:c r="L674" s="35" t="n">
        <x:f>J674*K674</x:f>
        <x:v>45.8</x:v>
      </x:c>
      <x:c r="M674" s="36" t="n">
        <x:v>0.08</x:v>
      </x:c>
      <x:c r="N674" s="35" t="n">
        <x:f>L674*M674</x:f>
        <x:v>3.6639999999999997</x:v>
      </x:c>
      <x:c r="O674" s="37" t="n">
        <x:v>0.18</x:v>
      </x:c>
      <x:c r="P674" s="35" t="n">
        <x:f>L674*O674</x:f>
        <x:v>8.244</x:v>
      </x:c>
      <x:c r="Q674" s="35" t="n">
        <x:v>1.2</x:v>
      </x:c>
      <x:c r="R674" s="35" t="n">
        <x:f>K674*Q674</x:f>
        <x:v>2.4</x:v>
      </x:c>
      <x:c r="S674" s="35" t="n">
        <x:f>XLOOKUP(H674,'菜品主数据'!$A$5:$A$24,'菜品主数据'!$G$5:$G$24,0)</x:f>
        <x:v>9.770200000000003</x:v>
      </x:c>
      <x:c r="T674" s="35" t="n">
        <x:f>K674*S674</x:f>
        <x:v>19.540400000000005</x:v>
      </x:c>
      <x:c r="U674" s="35" t="n">
        <x:f>L674-N674-P674-R674-T674</x:f>
        <x:v>11.951599999999992</x:v>
      </x:c>
      <x:c r="V674" s="21" t="n">
        <x:f>IFERROR(U674/L674,0)</x:f>
        <x:v>0.260951965065502</x:v>
      </x:c>
    </x:row>
    <x:row r="675">
      <x:c r="A675" s="19" t="str">
        <x:v>SALE-00671</x:v>
      </x:c>
      <x:c r="B675" s="34" t="n">
        <x:v>46212.5</x:v>
      </x:c>
      <x:c r="C675" s="19" t="str">
        <x:v>周四</x:v>
      </x:c>
      <x:c r="D675" s="19" t="str">
        <x:v>S03</x:v>
      </x:c>
      <x:c r="E675" s="19" t="str">
        <x:v>铂悦城店</x:v>
      </x:c>
      <x:c r="F675" s="19" t="str">
        <x:v>外卖</x:v>
      </x:c>
      <x:c r="G675" s="19" t="str">
        <x:v>全日</x:v>
      </x:c>
      <x:c r="H675" s="19" t="str">
        <x:v>D11</x:v>
      </x:c>
      <x:c r="I675" s="19" t="str">
        <x:v>香辣爆肥肠</x:v>
      </x:c>
      <x:c r="J675" s="22" t="n">
        <x:f>XLOOKUP(H675,'菜品主数据'!$A$5:$A$24,'菜品主数据'!$D$5:$D$24,0)</x:f>
        <x:v>39</x:v>
      </x:c>
      <x:c r="K675" s="31" t="n">
        <x:v>0</x:v>
      </x:c>
      <x:c r="L675" s="35" t="n">
        <x:f>J675*K675</x:f>
        <x:v>0</x:v>
      </x:c>
      <x:c r="M675" s="36" t="n">
        <x:v>0.08</x:v>
      </x:c>
      <x:c r="N675" s="35" t="n">
        <x:f>L675*M675</x:f>
        <x:v>0</x:v>
      </x:c>
      <x:c r="O675" s="37" t="n">
        <x:v>0.18</x:v>
      </x:c>
      <x:c r="P675" s="35" t="n">
        <x:f>L675*O675</x:f>
        <x:v>0</x:v>
      </x:c>
      <x:c r="Q675" s="35" t="n">
        <x:v>1.2</x:v>
      </x:c>
      <x:c r="R675" s="35" t="n">
        <x:f>K675*Q675</x:f>
        <x:v>0</x:v>
      </x:c>
      <x:c r="S675" s="35" t="n">
        <x:f>XLOOKUP(H675,'菜品主数据'!$A$5:$A$24,'菜品主数据'!$G$5:$G$24,0)</x:f>
        <x:v>10.397</x:v>
      </x:c>
      <x:c r="T675" s="35" t="n">
        <x:f>K675*S675</x:f>
        <x:v>0</x:v>
      </x:c>
      <x:c r="U675" s="35" t="n">
        <x:f>L675-N675-P675-R675-T675</x:f>
        <x:v>0</x:v>
      </x:c>
      <x:c r="V675" s="21" t="n">
        <x:f>IFERROR(U675/L675,0)</x:f>
        <x:v>0</x:v>
      </x:c>
    </x:row>
    <x:row r="676">
      <x:c r="A676" s="19" t="str">
        <x:v>SALE-00672</x:v>
      </x:c>
      <x:c r="B676" s="34" t="n">
        <x:v>46212.5</x:v>
      </x:c>
      <x:c r="C676" s="19" t="str">
        <x:v>周四</x:v>
      </x:c>
      <x:c r="D676" s="19" t="str">
        <x:v>S03</x:v>
      </x:c>
      <x:c r="E676" s="19" t="str">
        <x:v>铂悦城店</x:v>
      </x:c>
      <x:c r="F676" s="19" t="str">
        <x:v>外卖</x:v>
      </x:c>
      <x:c r="G676" s="19" t="str">
        <x:v>全日</x:v>
      </x:c>
      <x:c r="H676" s="19" t="str">
        <x:v>D12</x:v>
      </x:c>
      <x:c r="I676" s="19" t="str">
        <x:v>清蒸鲈鱼</x:v>
      </x:c>
      <x:c r="J676" s="22" t="n">
        <x:f>XLOOKUP(H676,'菜品主数据'!$A$5:$A$24,'菜品主数据'!$D$5:$D$24,0)</x:f>
        <x:v>39</x:v>
      </x:c>
      <x:c r="K676" s="31" t="n">
        <x:v>0</x:v>
      </x:c>
      <x:c r="L676" s="35" t="n">
        <x:f>J676*K676</x:f>
        <x:v>0</x:v>
      </x:c>
      <x:c r="M676" s="36" t="n">
        <x:v>0.08</x:v>
      </x:c>
      <x:c r="N676" s="35" t="n">
        <x:f>L676*M676</x:f>
        <x:v>0</x:v>
      </x:c>
      <x:c r="O676" s="37" t="n">
        <x:v>0.18</x:v>
      </x:c>
      <x:c r="P676" s="35" t="n">
        <x:f>L676*O676</x:f>
        <x:v>0</x:v>
      </x:c>
      <x:c r="Q676" s="35" t="n">
        <x:v>1.2</x:v>
      </x:c>
      <x:c r="R676" s="35" t="n">
        <x:f>K676*Q676</x:f>
        <x:v>0</x:v>
      </x:c>
      <x:c r="S676" s="35" t="n">
        <x:f>XLOOKUP(H676,'菜品主数据'!$A$5:$A$24,'菜品主数据'!$G$5:$G$24,0)</x:f>
        <x:v>18.874</x:v>
      </x:c>
      <x:c r="T676" s="35" t="n">
        <x:f>K676*S676</x:f>
        <x:v>0</x:v>
      </x:c>
      <x:c r="U676" s="35" t="n">
        <x:f>L676-N676-P676-R676-T676</x:f>
        <x:v>0</x:v>
      </x:c>
      <x:c r="V676" s="21" t="n">
        <x:f>IFERROR(U676/L676,0)</x:f>
        <x:v>0</x:v>
      </x:c>
    </x:row>
    <x:row r="677">
      <x:c r="A677" s="19" t="str">
        <x:v>SALE-00673</x:v>
      </x:c>
      <x:c r="B677" s="34" t="n">
        <x:v>46212.5</x:v>
      </x:c>
      <x:c r="C677" s="19" t="str">
        <x:v>周四</x:v>
      </x:c>
      <x:c r="D677" s="19" t="str">
        <x:v>S03</x:v>
      </x:c>
      <x:c r="E677" s="19" t="str">
        <x:v>铂悦城店</x:v>
      </x:c>
      <x:c r="F677" s="19" t="str">
        <x:v>外卖</x:v>
      </x:c>
      <x:c r="G677" s="19" t="str">
        <x:v>全日</x:v>
      </x:c>
      <x:c r="H677" s="19" t="str">
        <x:v>D13</x:v>
      </x:c>
      <x:c r="I677" s="19" t="str">
        <x:v>外婆菜炒蛋</x:v>
      </x:c>
      <x:c r="J677" s="22" t="n">
        <x:f>XLOOKUP(H677,'菜品主数据'!$A$5:$A$24,'菜品主数据'!$D$5:$D$24,0)</x:f>
        <x:v>18</x:v>
      </x:c>
      <x:c r="K677" s="31" t="n">
        <x:v>1</x:v>
      </x:c>
      <x:c r="L677" s="35" t="n">
        <x:f>J677*K677</x:f>
        <x:v>18</x:v>
      </x:c>
      <x:c r="M677" s="36" t="n">
        <x:v>0.08</x:v>
      </x:c>
      <x:c r="N677" s="35" t="n">
        <x:f>L677*M677</x:f>
        <x:v>1.44</x:v>
      </x:c>
      <x:c r="O677" s="37" t="n">
        <x:v>0.18</x:v>
      </x:c>
      <x:c r="P677" s="35" t="n">
        <x:f>L677*O677</x:f>
        <x:v>3.2399999999999998</x:v>
      </x:c>
      <x:c r="Q677" s="35" t="n">
        <x:v>1.2</x:v>
      </x:c>
      <x:c r="R677" s="35" t="n">
        <x:f>K677*Q677</x:f>
        <x:v>1.2</x:v>
      </x:c>
      <x:c r="S677" s="35" t="n">
        <x:f>XLOOKUP(H677,'菜品主数据'!$A$5:$A$24,'菜品主数据'!$G$5:$G$24,0)</x:f>
        <x:v>5.403999999999999</x:v>
      </x:c>
      <x:c r="T677" s="35" t="n">
        <x:f>K677*S677</x:f>
        <x:v>5.403999999999999</x:v>
      </x:c>
      <x:c r="U677" s="35" t="n">
        <x:f>L677-N677-P677-R677-T677</x:f>
        <x:v>6.716</x:v>
      </x:c>
      <x:c r="V677" s="21" t="n">
        <x:f>IFERROR(U677/L677,0)</x:f>
        <x:v>0.3731111111111111</x:v>
      </x:c>
    </x:row>
    <x:row r="678">
      <x:c r="A678" s="19" t="str">
        <x:v>SALE-00674</x:v>
      </x:c>
      <x:c r="B678" s="34" t="n">
        <x:v>46212.5</x:v>
      </x:c>
      <x:c r="C678" s="19" t="str">
        <x:v>周四</x:v>
      </x:c>
      <x:c r="D678" s="19" t="str">
        <x:v>S03</x:v>
      </x:c>
      <x:c r="E678" s="19" t="str">
        <x:v>铂悦城店</x:v>
      </x:c>
      <x:c r="F678" s="19" t="str">
        <x:v>外卖</x:v>
      </x:c>
      <x:c r="G678" s="19" t="str">
        <x:v>全日</x:v>
      </x:c>
      <x:c r="H678" s="19" t="str">
        <x:v>D14</x:v>
      </x:c>
      <x:c r="I678" s="19" t="str">
        <x:v>酸辣鸡杂</x:v>
      </x:c>
      <x:c r="J678" s="22" t="n">
        <x:f>XLOOKUP(H678,'菜品主数据'!$A$5:$A$24,'菜品主数据'!$D$5:$D$24,0)</x:f>
        <x:v>28</x:v>
      </x:c>
      <x:c r="K678" s="31" t="n">
        <x:v>0</x:v>
      </x:c>
      <x:c r="L678" s="35" t="n">
        <x:f>J678*K678</x:f>
        <x:v>0</x:v>
      </x:c>
      <x:c r="M678" s="36" t="n">
        <x:v>0.08</x:v>
      </x:c>
      <x:c r="N678" s="35" t="n">
        <x:f>L678*M678</x:f>
        <x:v>0</x:v>
      </x:c>
      <x:c r="O678" s="37" t="n">
        <x:v>0.18</x:v>
      </x:c>
      <x:c r="P678" s="35" t="n">
        <x:f>L678*O678</x:f>
        <x:v>0</x:v>
      </x:c>
      <x:c r="Q678" s="35" t="n">
        <x:v>1.2</x:v>
      </x:c>
      <x:c r="R678" s="35" t="n">
        <x:f>K678*Q678</x:f>
        <x:v>0</x:v>
      </x:c>
      <x:c r="S678" s="35" t="n">
        <x:f>XLOOKUP(H678,'菜品主数据'!$A$5:$A$24,'菜品主数据'!$G$5:$G$24,0)</x:f>
        <x:v>8.315000000000001</x:v>
      </x:c>
      <x:c r="T678" s="35" t="n">
        <x:f>K678*S678</x:f>
        <x:v>0</x:v>
      </x:c>
      <x:c r="U678" s="35" t="n">
        <x:f>L678-N678-P678-R678-T678</x:f>
        <x:v>0</x:v>
      </x:c>
      <x:c r="V678" s="21" t="n">
        <x:f>IFERROR(U678/L678,0)</x:f>
        <x:v>0</x:v>
      </x:c>
    </x:row>
    <x:row r="679">
      <x:c r="A679" s="19" t="str">
        <x:v>SALE-00675</x:v>
      </x:c>
      <x:c r="B679" s="34" t="n">
        <x:v>46212.5</x:v>
      </x:c>
      <x:c r="C679" s="19" t="str">
        <x:v>周四</x:v>
      </x:c>
      <x:c r="D679" s="19" t="str">
        <x:v>S03</x:v>
      </x:c>
      <x:c r="E679" s="19" t="str">
        <x:v>铂悦城店</x:v>
      </x:c>
      <x:c r="F679" s="19" t="str">
        <x:v>外卖</x:v>
      </x:c>
      <x:c r="G679" s="19" t="str">
        <x:v>全日</x:v>
      </x:c>
      <x:c r="H679" s="19" t="str">
        <x:v>D15</x:v>
      </x:c>
      <x:c r="I679" s="19" t="str">
        <x:v>湘西土匪猪肝</x:v>
      </x:c>
      <x:c r="J679" s="22" t="n">
        <x:f>XLOOKUP(H679,'菜品主数据'!$A$5:$A$24,'菜品主数据'!$D$5:$D$24,0)</x:f>
        <x:v>26</x:v>
      </x:c>
      <x:c r="K679" s="31" t="n">
        <x:v>0</x:v>
      </x:c>
      <x:c r="L679" s="35" t="n">
        <x:f>J679*K679</x:f>
        <x:v>0</x:v>
      </x:c>
      <x:c r="M679" s="36" t="n">
        <x:v>0.08</x:v>
      </x:c>
      <x:c r="N679" s="35" t="n">
        <x:f>L679*M679</x:f>
        <x:v>0</x:v>
      </x:c>
      <x:c r="O679" s="37" t="n">
        <x:v>0.18</x:v>
      </x:c>
      <x:c r="P679" s="35" t="n">
        <x:f>L679*O679</x:f>
        <x:v>0</x:v>
      </x:c>
      <x:c r="Q679" s="35" t="n">
        <x:v>1.2</x:v>
      </x:c>
      <x:c r="R679" s="35" t="n">
        <x:f>K679*Q679</x:f>
        <x:v>0</x:v>
      </x:c>
      <x:c r="S679" s="35" t="n">
        <x:f>XLOOKUP(H679,'菜品主数据'!$A$5:$A$24,'菜品主数据'!$G$5:$G$24,0)</x:f>
        <x:v>6.3759999999999994</x:v>
      </x:c>
      <x:c r="T679" s="35" t="n">
        <x:f>K679*S679</x:f>
        <x:v>0</x:v>
      </x:c>
      <x:c r="U679" s="35" t="n">
        <x:f>L679-N679-P679-R679-T679</x:f>
        <x:v>0</x:v>
      </x:c>
      <x:c r="V679" s="21" t="n">
        <x:f>IFERROR(U679/L679,0)</x:f>
        <x:v>0</x:v>
      </x:c>
    </x:row>
    <x:row r="680">
      <x:c r="A680" s="19" t="str">
        <x:v>SALE-00676</x:v>
      </x:c>
      <x:c r="B680" s="34" t="n">
        <x:v>46212.5</x:v>
      </x:c>
      <x:c r="C680" s="19" t="str">
        <x:v>周四</x:v>
      </x:c>
      <x:c r="D680" s="19" t="str">
        <x:v>S03</x:v>
      </x:c>
      <x:c r="E680" s="19" t="str">
        <x:v>铂悦城店</x:v>
      </x:c>
      <x:c r="F680" s="19" t="str">
        <x:v>外卖</x:v>
      </x:c>
      <x:c r="G680" s="19" t="str">
        <x:v>全日</x:v>
      </x:c>
      <x:c r="H680" s="19" t="str">
        <x:v>D16</x:v>
      </x:c>
      <x:c r="I680" s="19" t="str">
        <x:v>小豆角炒五花</x:v>
      </x:c>
      <x:c r="J680" s="22" t="n">
        <x:f>XLOOKUP(H680,'菜品主数据'!$A$5:$A$24,'菜品主数据'!$D$5:$D$24,0)</x:f>
        <x:v>25</x:v>
      </x:c>
      <x:c r="K680" s="31" t="n">
        <x:v>0</x:v>
      </x:c>
      <x:c r="L680" s="35" t="n">
        <x:f>J680*K680</x:f>
        <x:v>0</x:v>
      </x:c>
      <x:c r="M680" s="36" t="n">
        <x:v>0.08</x:v>
      </x:c>
      <x:c r="N680" s="35" t="n">
        <x:f>L680*M680</x:f>
        <x:v>0</x:v>
      </x:c>
      <x:c r="O680" s="37" t="n">
        <x:v>0.18</x:v>
      </x:c>
      <x:c r="P680" s="35" t="n">
        <x:f>L680*O680</x:f>
        <x:v>0</x:v>
      </x:c>
      <x:c r="Q680" s="35" t="n">
        <x:v>1.2</x:v>
      </x:c>
      <x:c r="R680" s="35" t="n">
        <x:f>K680*Q680</x:f>
        <x:v>0</x:v>
      </x:c>
      <x:c r="S680" s="35" t="n">
        <x:f>XLOOKUP(H680,'菜品主数据'!$A$5:$A$24,'菜品主数据'!$G$5:$G$24,0)</x:f>
        <x:v>8.184</x:v>
      </x:c>
      <x:c r="T680" s="35" t="n">
        <x:f>K680*S680</x:f>
        <x:v>0</x:v>
      </x:c>
      <x:c r="U680" s="35" t="n">
        <x:f>L680-N680-P680-R680-T680</x:f>
        <x:v>0</x:v>
      </x:c>
      <x:c r="V680" s="21" t="n">
        <x:f>IFERROR(U680/L680,0)</x:f>
        <x:v>0</x:v>
      </x:c>
    </x:row>
    <x:row r="681">
      <x:c r="A681" s="19" t="str">
        <x:v>SALE-00677</x:v>
      </x:c>
      <x:c r="B681" s="34" t="n">
        <x:v>46212.5</x:v>
      </x:c>
      <x:c r="C681" s="19" t="str">
        <x:v>周四</x:v>
      </x:c>
      <x:c r="D681" s="19" t="str">
        <x:v>S03</x:v>
      </x:c>
      <x:c r="E681" s="19" t="str">
        <x:v>铂悦城店</x:v>
      </x:c>
      <x:c r="F681" s="19" t="str">
        <x:v>外卖</x:v>
      </x:c>
      <x:c r="G681" s="19" t="str">
        <x:v>全日</x:v>
      </x:c>
      <x:c r="H681" s="19" t="str">
        <x:v>D17</x:v>
      </x:c>
      <x:c r="I681" s="19" t="str">
        <x:v>蒜蓉粉丝虾</x:v>
      </x:c>
      <x:c r="J681" s="22" t="n">
        <x:f>XLOOKUP(H681,'菜品主数据'!$A$5:$A$24,'菜品主数据'!$D$5:$D$24,0)</x:f>
        <x:v>36</x:v>
      </x:c>
      <x:c r="K681" s="31" t="n">
        <x:v>0</x:v>
      </x:c>
      <x:c r="L681" s="35" t="n">
        <x:f>J681*K681</x:f>
        <x:v>0</x:v>
      </x:c>
      <x:c r="M681" s="36" t="n">
        <x:v>0.08</x:v>
      </x:c>
      <x:c r="N681" s="35" t="n">
        <x:f>L681*M681</x:f>
        <x:v>0</x:v>
      </x:c>
      <x:c r="O681" s="37" t="n">
        <x:v>0.18</x:v>
      </x:c>
      <x:c r="P681" s="35" t="n">
        <x:f>L681*O681</x:f>
        <x:v>0</x:v>
      </x:c>
      <x:c r="Q681" s="35" t="n">
        <x:v>1.2</x:v>
      </x:c>
      <x:c r="R681" s="35" t="n">
        <x:f>K681*Q681</x:f>
        <x:v>0</x:v>
      </x:c>
      <x:c r="S681" s="35" t="n">
        <x:f>XLOOKUP(H681,'菜品主数据'!$A$5:$A$24,'菜品主数据'!$G$5:$G$24,0)</x:f>
        <x:v>13.594</x:v>
      </x:c>
      <x:c r="T681" s="35" t="n">
        <x:f>K681*S681</x:f>
        <x:v>0</x:v>
      </x:c>
      <x:c r="U681" s="35" t="n">
        <x:f>L681-N681-P681-R681-T681</x:f>
        <x:v>0</x:v>
      </x:c>
      <x:c r="V681" s="21" t="n">
        <x:f>IFERROR(U681/L681,0)</x:f>
        <x:v>0</x:v>
      </x:c>
    </x:row>
    <x:row r="682">
      <x:c r="A682" s="19" t="str">
        <x:v>SALE-00678</x:v>
      </x:c>
      <x:c r="B682" s="34" t="n">
        <x:v>46212.5</x:v>
      </x:c>
      <x:c r="C682" s="19" t="str">
        <x:v>周四</x:v>
      </x:c>
      <x:c r="D682" s="19" t="str">
        <x:v>S03</x:v>
      </x:c>
      <x:c r="E682" s="19" t="str">
        <x:v>铂悦城店</x:v>
      </x:c>
      <x:c r="F682" s="19" t="str">
        <x:v>外卖</x:v>
      </x:c>
      <x:c r="G682" s="19" t="str">
        <x:v>全日</x:v>
      </x:c>
      <x:c r="H682" s="19" t="str">
        <x:v>D18</x:v>
      </x:c>
      <x:c r="I682" s="19" t="str">
        <x:v>青椒炒油麦菜</x:v>
      </x:c>
      <x:c r="J682" s="22" t="n">
        <x:f>XLOOKUP(H682,'菜品主数据'!$A$5:$A$24,'菜品主数据'!$D$5:$D$24,0)</x:f>
        <x:v>18</x:v>
      </x:c>
      <x:c r="K682" s="31" t="n">
        <x:v>0</x:v>
      </x:c>
      <x:c r="L682" s="35" t="n">
        <x:f>J682*K682</x:f>
        <x:v>0</x:v>
      </x:c>
      <x:c r="M682" s="36" t="n">
        <x:v>0.08</x:v>
      </x:c>
      <x:c r="N682" s="35" t="n">
        <x:f>L682*M682</x:f>
        <x:v>0</x:v>
      </x:c>
      <x:c r="O682" s="37" t="n">
        <x:v>0.18</x:v>
      </x:c>
      <x:c r="P682" s="35" t="n">
        <x:f>L682*O682</x:f>
        <x:v>0</x:v>
      </x:c>
      <x:c r="Q682" s="35" t="n">
        <x:v>1.2</x:v>
      </x:c>
      <x:c r="R682" s="35" t="n">
        <x:f>K682*Q682</x:f>
        <x:v>0</x:v>
      </x:c>
      <x:c r="S682" s="35" t="n">
        <x:f>XLOOKUP(H682,'菜品主数据'!$A$5:$A$24,'菜品主数据'!$G$5:$G$24,0)</x:f>
        <x:v>3.1759999999999993</x:v>
      </x:c>
      <x:c r="T682" s="35" t="n">
        <x:f>K682*S682</x:f>
        <x:v>0</x:v>
      </x:c>
      <x:c r="U682" s="35" t="n">
        <x:f>L682-N682-P682-R682-T682</x:f>
        <x:v>0</x:v>
      </x:c>
      <x:c r="V682" s="21" t="n">
        <x:f>IFERROR(U682/L682,0)</x:f>
        <x:v>0</x:v>
      </x:c>
    </x:row>
    <x:row r="683">
      <x:c r="A683" s="19" t="str">
        <x:v>SALE-00679</x:v>
      </x:c>
      <x:c r="B683" s="34" t="n">
        <x:v>46212.5</x:v>
      </x:c>
      <x:c r="C683" s="19" t="str">
        <x:v>周四</x:v>
      </x:c>
      <x:c r="D683" s="19" t="str">
        <x:v>S03</x:v>
      </x:c>
      <x:c r="E683" s="19" t="str">
        <x:v>铂悦城店</x:v>
      </x:c>
      <x:c r="F683" s="19" t="str">
        <x:v>外卖</x:v>
      </x:c>
      <x:c r="G683" s="19" t="str">
        <x:v>全日</x:v>
      </x:c>
      <x:c r="H683" s="19" t="str">
        <x:v>D19</x:v>
      </x:c>
      <x:c r="I683" s="19" t="str">
        <x:v>酸萝卜炒鸡杂</x:v>
      </x:c>
      <x:c r="J683" s="22" t="n">
        <x:f>XLOOKUP(H683,'菜品主数据'!$A$5:$A$24,'菜品主数据'!$D$5:$D$24,0)</x:f>
        <x:v>25</x:v>
      </x:c>
      <x:c r="K683" s="31" t="n">
        <x:v>0</x:v>
      </x:c>
      <x:c r="L683" s="35" t="n">
        <x:f>J683*K683</x:f>
        <x:v>0</x:v>
      </x:c>
      <x:c r="M683" s="36" t="n">
        <x:v>0.08</x:v>
      </x:c>
      <x:c r="N683" s="35" t="n">
        <x:f>L683*M683</x:f>
        <x:v>0</x:v>
      </x:c>
      <x:c r="O683" s="37" t="n">
        <x:v>0.18</x:v>
      </x:c>
      <x:c r="P683" s="35" t="n">
        <x:f>L683*O683</x:f>
        <x:v>0</x:v>
      </x:c>
      <x:c r="Q683" s="35" t="n">
        <x:v>1.2</x:v>
      </x:c>
      <x:c r="R683" s="35" t="n">
        <x:f>K683*Q683</x:f>
        <x:v>0</x:v>
      </x:c>
      <x:c r="S683" s="35" t="n">
        <x:f>XLOOKUP(H683,'菜品主数据'!$A$5:$A$24,'菜品主数据'!$G$5:$G$24,0)</x:f>
        <x:v>7.9399999999999995</x:v>
      </x:c>
      <x:c r="T683" s="35" t="n">
        <x:f>K683*S683</x:f>
        <x:v>0</x:v>
      </x:c>
      <x:c r="U683" s="35" t="n">
        <x:f>L683-N683-P683-R683-T683</x:f>
        <x:v>0</x:v>
      </x:c>
      <x:c r="V683" s="21" t="n">
        <x:f>IFERROR(U683/L683,0)</x:f>
        <x:v>0</x:v>
      </x:c>
    </x:row>
    <x:row r="684">
      <x:c r="A684" s="19" t="str">
        <x:v>SALE-00680</x:v>
      </x:c>
      <x:c r="B684" s="34" t="n">
        <x:v>46212.5</x:v>
      </x:c>
      <x:c r="C684" s="19" t="str">
        <x:v>周四</x:v>
      </x:c>
      <x:c r="D684" s="19" t="str">
        <x:v>S03</x:v>
      </x:c>
      <x:c r="E684" s="19" t="str">
        <x:v>铂悦城店</x:v>
      </x:c>
      <x:c r="F684" s="19" t="str">
        <x:v>外卖</x:v>
      </x:c>
      <x:c r="G684" s="19" t="str">
        <x:v>全日</x:v>
      </x:c>
      <x:c r="H684" s="19" t="str">
        <x:v>D20</x:v>
      </x:c>
      <x:c r="I684" s="19" t="str">
        <x:v>雪菜肉末青豆</x:v>
      </x:c>
      <x:c r="J684" s="22" t="n">
        <x:f>XLOOKUP(H684,'菜品主数据'!$A$5:$A$24,'菜品主数据'!$D$5:$D$24,0)</x:f>
        <x:v>18</x:v>
      </x:c>
      <x:c r="K684" s="31" t="n">
        <x:v>0</x:v>
      </x:c>
      <x:c r="L684" s="35" t="n">
        <x:f>J684*K684</x:f>
        <x:v>0</x:v>
      </x:c>
      <x:c r="M684" s="36" t="n">
        <x:v>0.08</x:v>
      </x:c>
      <x:c r="N684" s="35" t="n">
        <x:f>L684*M684</x:f>
        <x:v>0</x:v>
      </x:c>
      <x:c r="O684" s="37" t="n">
        <x:v>0.18</x:v>
      </x:c>
      <x:c r="P684" s="35" t="n">
        <x:f>L684*O684</x:f>
        <x:v>0</x:v>
      </x:c>
      <x:c r="Q684" s="35" t="n">
        <x:v>1.2</x:v>
      </x:c>
      <x:c r="R684" s="35" t="n">
        <x:f>K684*Q684</x:f>
        <x:v>0</x:v>
      </x:c>
      <x:c r="S684" s="35" t="n">
        <x:f>XLOOKUP(H684,'菜品主数据'!$A$5:$A$24,'菜品主数据'!$G$5:$G$24,0)</x:f>
        <x:v>7.303999999999999</x:v>
      </x:c>
      <x:c r="T684" s="35" t="n">
        <x:f>K684*S684</x:f>
        <x:v>0</x:v>
      </x:c>
      <x:c r="U684" s="35" t="n">
        <x:f>L684-N684-P684-R684-T684</x:f>
        <x:v>0</x:v>
      </x:c>
      <x:c r="V684" s="21" t="n">
        <x:f>IFERROR(U684/L684,0)</x:f>
        <x:v>0</x:v>
      </x:c>
    </x:row>
    <x:row r="685">
      <x:c r="A685" s="19" t="str">
        <x:v>SALE-00681</x:v>
      </x:c>
      <x:c r="B685" s="34" t="n">
        <x:v>46213.5</x:v>
      </x:c>
      <x:c r="C685" s="19" t="str">
        <x:v>周五</x:v>
      </x:c>
      <x:c r="D685" s="19" t="str">
        <x:v>S03</x:v>
      </x:c>
      <x:c r="E685" s="19" t="str">
        <x:v>铂悦城店</x:v>
      </x:c>
      <x:c r="F685" s="19" t="str">
        <x:v>堂食</x:v>
      </x:c>
      <x:c r="G685" s="19" t="str">
        <x:v>全日</x:v>
      </x:c>
      <x:c r="H685" s="19" t="str">
        <x:v>D01</x:v>
      </x:c>
      <x:c r="I685" s="19" t="str">
        <x:v>辣椒炒肉</x:v>
      </x:c>
      <x:c r="J685" s="22" t="n">
        <x:f>XLOOKUP(H685,'菜品主数据'!$A$5:$A$24,'菜品主数据'!$D$5:$D$24,0)</x:f>
        <x:v>29</x:v>
      </x:c>
      <x:c r="K685" s="31" t="n">
        <x:v>48</x:v>
      </x:c>
      <x:c r="L685" s="35" t="n">
        <x:f>J685*K685</x:f>
        <x:v>1392</x:v>
      </x:c>
      <x:c r="M685" s="36" t="n">
        <x:v>0</x:v>
      </x:c>
      <x:c r="N685" s="35" t="n">
        <x:f>L685*M685</x:f>
        <x:v>0</x:v>
      </x:c>
      <x:c r="O685" s="37" t="n">
        <x:v>0</x:v>
      </x:c>
      <x:c r="P685" s="35" t="n">
        <x:f>L685*O685</x:f>
        <x:v>0</x:v>
      </x:c>
      <x:c r="Q685" s="35" t="n">
        <x:v>0</x:v>
      </x:c>
      <x:c r="R685" s="35" t="n">
        <x:f>K685*Q685</x:f>
        <x:v>0</x:v>
      </x:c>
      <x:c r="S685" s="35" t="n">
        <x:f>XLOOKUP(H685,'菜品主数据'!$A$5:$A$24,'菜品主数据'!$G$5:$G$24,0)</x:f>
        <x:v>8.634400000000001</x:v>
      </x:c>
      <x:c r="T685" s="35" t="n">
        <x:f>K685*S685</x:f>
        <x:v>414.4512000000001</x:v>
      </x:c>
      <x:c r="U685" s="35" t="n">
        <x:f>L685-N685-P685-R685-T685</x:f>
        <x:v>977.5487999999999</x:v>
      </x:c>
      <x:c r="V685" s="21" t="n">
        <x:f>IFERROR(U685/L685,0)</x:f>
        <x:v>0.7022620689655171</x:v>
      </x:c>
    </x:row>
    <x:row r="686">
      <x:c r="A686" s="19" t="str">
        <x:v>SALE-00682</x:v>
      </x:c>
      <x:c r="B686" s="34" t="n">
        <x:v>46213.5</x:v>
      </x:c>
      <x:c r="C686" s="19" t="str">
        <x:v>周五</x:v>
      </x:c>
      <x:c r="D686" s="19" t="str">
        <x:v>S03</x:v>
      </x:c>
      <x:c r="E686" s="19" t="str">
        <x:v>铂悦城店</x:v>
      </x:c>
      <x:c r="F686" s="19" t="str">
        <x:v>堂食</x:v>
      </x:c>
      <x:c r="G686" s="19" t="str">
        <x:v>全日</x:v>
      </x:c>
      <x:c r="H686" s="19" t="str">
        <x:v>D02</x:v>
      </x:c>
      <x:c r="I686" s="19" t="str">
        <x:v>小炒黄牛肉</x:v>
      </x:c>
      <x:c r="J686" s="22" t="n">
        <x:f>XLOOKUP(H686,'菜品主数据'!$A$5:$A$24,'菜品主数据'!$D$5:$D$24,0)</x:f>
        <x:v>49</x:v>
      </x:c>
      <x:c r="K686" s="31" t="n">
        <x:v>25</x:v>
      </x:c>
      <x:c r="L686" s="35" t="n">
        <x:f>J686*K686</x:f>
        <x:v>1225</x:v>
      </x:c>
      <x:c r="M686" s="36" t="n">
        <x:v>0</x:v>
      </x:c>
      <x:c r="N686" s="35" t="n">
        <x:f>L686*M686</x:f>
        <x:v>0</x:v>
      </x:c>
      <x:c r="O686" s="37" t="n">
        <x:v>0</x:v>
      </x:c>
      <x:c r="P686" s="35" t="n">
        <x:f>L686*O686</x:f>
        <x:v>0</x:v>
      </x:c>
      <x:c r="Q686" s="35" t="n">
        <x:v>0</x:v>
      </x:c>
      <x:c r="R686" s="35" t="n">
        <x:f>K686*Q686</x:f>
        <x:v>0</x:v>
      </x:c>
      <x:c r="S686" s="35" t="n">
        <x:f>XLOOKUP(H686,'菜品主数据'!$A$5:$A$24,'菜品主数据'!$G$5:$G$24,0)</x:f>
        <x:v>17.577</x:v>
      </x:c>
      <x:c r="T686" s="35" t="n">
        <x:f>K686*S686</x:f>
        <x:v>439.42500000000007</x:v>
      </x:c>
      <x:c r="U686" s="35" t="n">
        <x:f>L686-N686-P686-R686-T686</x:f>
        <x:v>785.5749999999999</x:v>
      </x:c>
      <x:c r="V686" s="21" t="n">
        <x:f>IFERROR(U686/L686,0)</x:f>
        <x:v>0.6412857142857142</x:v>
      </x:c>
    </x:row>
    <x:row r="687">
      <x:c r="A687" s="19" t="str">
        <x:v>SALE-00683</x:v>
      </x:c>
      <x:c r="B687" s="34" t="n">
        <x:v>46213.5</x:v>
      </x:c>
      <x:c r="C687" s="19" t="str">
        <x:v>周五</x:v>
      </x:c>
      <x:c r="D687" s="19" t="str">
        <x:v>S03</x:v>
      </x:c>
      <x:c r="E687" s="19" t="str">
        <x:v>铂悦城店</x:v>
      </x:c>
      <x:c r="F687" s="19" t="str">
        <x:v>堂食</x:v>
      </x:c>
      <x:c r="G687" s="19" t="str">
        <x:v>全日</x:v>
      </x:c>
      <x:c r="H687" s="19" t="str">
        <x:v>D03</x:v>
      </x:c>
      <x:c r="I687" s="19" t="str">
        <x:v>香醋炒蛋</x:v>
      </x:c>
      <x:c r="J687" s="22" t="n">
        <x:f>XLOOKUP(H687,'菜品主数据'!$A$5:$A$24,'菜品主数据'!$D$5:$D$24,0)</x:f>
        <x:v>14.9</x:v>
      </x:c>
      <x:c r="K687" s="31" t="n">
        <x:v>38</x:v>
      </x:c>
      <x:c r="L687" s="35" t="n">
        <x:f>J687*K687</x:f>
        <x:v>566.2</x:v>
      </x:c>
      <x:c r="M687" s="36" t="n">
        <x:v>0</x:v>
      </x:c>
      <x:c r="N687" s="35" t="n">
        <x:f>L687*M687</x:f>
        <x:v>0</x:v>
      </x:c>
      <x:c r="O687" s="37" t="n">
        <x:v>0</x:v>
      </x:c>
      <x:c r="P687" s="35" t="n">
        <x:f>L687*O687</x:f>
        <x:v>0</x:v>
      </x:c>
      <x:c r="Q687" s="35" t="n">
        <x:v>0</x:v>
      </x:c>
      <x:c r="R687" s="35" t="n">
        <x:f>K687*Q687</x:f>
        <x:v>0</x:v>
      </x:c>
      <x:c r="S687" s="35" t="n">
        <x:f>XLOOKUP(H687,'菜品主数据'!$A$5:$A$24,'菜品主数据'!$G$5:$G$24,0)</x:f>
        <x:v>3.7459999999999996</x:v>
      </x:c>
      <x:c r="T687" s="35" t="n">
        <x:f>K687*S687</x:f>
        <x:v>142.34799999999998</x:v>
      </x:c>
      <x:c r="U687" s="35" t="n">
        <x:f>L687-N687-P687-R687-T687</x:f>
        <x:v>423.8520000000001</x:v>
      </x:c>
      <x:c r="V687" s="21" t="n">
        <x:f>IFERROR(U687/L687,0)</x:f>
        <x:v>0.7485906040268457</x:v>
      </x:c>
    </x:row>
    <x:row r="688">
      <x:c r="A688" s="19" t="str">
        <x:v>SALE-00684</x:v>
      </x:c>
      <x:c r="B688" s="34" t="n">
        <x:v>46213.5</x:v>
      </x:c>
      <x:c r="C688" s="19" t="str">
        <x:v>周五</x:v>
      </x:c>
      <x:c r="D688" s="19" t="str">
        <x:v>S03</x:v>
      </x:c>
      <x:c r="E688" s="19" t="str">
        <x:v>铂悦城店</x:v>
      </x:c>
      <x:c r="F688" s="19" t="str">
        <x:v>堂食</x:v>
      </x:c>
      <x:c r="G688" s="19" t="str">
        <x:v>全日</x:v>
      </x:c>
      <x:c r="H688" s="19" t="str">
        <x:v>D04</x:v>
      </x:c>
      <x:c r="I688" s="19" t="str">
        <x:v>酸包菜炒粉皮</x:v>
      </x:c>
      <x:c r="J688" s="22" t="n">
        <x:f>XLOOKUP(H688,'菜品主数据'!$A$5:$A$24,'菜品主数据'!$D$5:$D$24,0)</x:f>
        <x:v>16</x:v>
      </x:c>
      <x:c r="K688" s="31" t="n">
        <x:v>35</x:v>
      </x:c>
      <x:c r="L688" s="35" t="n">
        <x:f>J688*K688</x:f>
        <x:v>560</x:v>
      </x:c>
      <x:c r="M688" s="36" t="n">
        <x:v>0</x:v>
      </x:c>
      <x:c r="N688" s="35" t="n">
        <x:f>L688*M688</x:f>
        <x:v>0</x:v>
      </x:c>
      <x:c r="O688" s="37" t="n">
        <x:v>0</x:v>
      </x:c>
      <x:c r="P688" s="35" t="n">
        <x:f>L688*O688</x:f>
        <x:v>0</x:v>
      </x:c>
      <x:c r="Q688" s="35" t="n">
        <x:v>0</x:v>
      </x:c>
      <x:c r="R688" s="35" t="n">
        <x:f>K688*Q688</x:f>
        <x:v>0</x:v>
      </x:c>
      <x:c r="S688" s="35" t="n">
        <x:f>XLOOKUP(H688,'菜品主数据'!$A$5:$A$24,'菜品主数据'!$G$5:$G$24,0)</x:f>
        <x:v>3.978</x:v>
      </x:c>
      <x:c r="T688" s="35" t="n">
        <x:f>K688*S688</x:f>
        <x:v>139.23000000000002</x:v>
      </x:c>
      <x:c r="U688" s="35" t="n">
        <x:f>L688-N688-P688-R688-T688</x:f>
        <x:v>420.77</x:v>
      </x:c>
      <x:c r="V688" s="21" t="n">
        <x:f>IFERROR(U688/L688,0)</x:f>
        <x:v>0.751375</x:v>
      </x:c>
    </x:row>
    <x:row r="689">
      <x:c r="A689" s="19" t="str">
        <x:v>SALE-00685</x:v>
      </x:c>
      <x:c r="B689" s="34" t="n">
        <x:v>46213.5</x:v>
      </x:c>
      <x:c r="C689" s="19" t="str">
        <x:v>周五</x:v>
      </x:c>
      <x:c r="D689" s="19" t="str">
        <x:v>S03</x:v>
      </x:c>
      <x:c r="E689" s="19" t="str">
        <x:v>铂悦城店</x:v>
      </x:c>
      <x:c r="F689" s="19" t="str">
        <x:v>堂食</x:v>
      </x:c>
      <x:c r="G689" s="19" t="str">
        <x:v>全日</x:v>
      </x:c>
      <x:c r="H689" s="19" t="str">
        <x:v>D05</x:v>
      </x:c>
      <x:c r="I689" s="19" t="str">
        <x:v>麻婆豆腐</x:v>
      </x:c>
      <x:c r="J689" s="22" t="n">
        <x:f>XLOOKUP(H689,'菜品主数据'!$A$5:$A$24,'菜品主数据'!$D$5:$D$24,0)</x:f>
        <x:v>9.9</x:v>
      </x:c>
      <x:c r="K689" s="31" t="n">
        <x:v>54</x:v>
      </x:c>
      <x:c r="L689" s="35" t="n">
        <x:f>J689*K689</x:f>
        <x:v>534.6</x:v>
      </x:c>
      <x:c r="M689" s="36" t="n">
        <x:v>0</x:v>
      </x:c>
      <x:c r="N689" s="35" t="n">
        <x:f>L689*M689</x:f>
        <x:v>0</x:v>
      </x:c>
      <x:c r="O689" s="37" t="n">
        <x:v>0</x:v>
      </x:c>
      <x:c r="P689" s="35" t="n">
        <x:f>L689*O689</x:f>
        <x:v>0</x:v>
      </x:c>
      <x:c r="Q689" s="35" t="n">
        <x:v>0</x:v>
      </x:c>
      <x:c r="R689" s="35" t="n">
        <x:f>K689*Q689</x:f>
        <x:v>0</x:v>
      </x:c>
      <x:c r="S689" s="35" t="n">
        <x:f>XLOOKUP(H689,'菜品主数据'!$A$5:$A$24,'菜品主数据'!$G$5:$G$24,0)</x:f>
        <x:v>5.367000000000001</x:v>
      </x:c>
      <x:c r="T689" s="35" t="n">
        <x:f>K689*S689</x:f>
        <x:v>289.81800000000004</x:v>
      </x:c>
      <x:c r="U689" s="35" t="n">
        <x:f>L689-N689-P689-R689-T689</x:f>
        <x:v>244.78199999999998</x:v>
      </x:c>
      <x:c r="V689" s="21" t="n">
        <x:f>IFERROR(U689/L689,0)</x:f>
        <x:v>0.45787878787878783</x:v>
      </x:c>
    </x:row>
    <x:row r="690">
      <x:c r="A690" s="19" t="str">
        <x:v>SALE-00686</x:v>
      </x:c>
      <x:c r="B690" s="34" t="n">
        <x:v>46213.5</x:v>
      </x:c>
      <x:c r="C690" s="19" t="str">
        <x:v>周五</x:v>
      </x:c>
      <x:c r="D690" s="19" t="str">
        <x:v>S03</x:v>
      </x:c>
      <x:c r="E690" s="19" t="str">
        <x:v>铂悦城店</x:v>
      </x:c>
      <x:c r="F690" s="19" t="str">
        <x:v>堂食</x:v>
      </x:c>
      <x:c r="G690" s="19" t="str">
        <x:v>全日</x:v>
      </x:c>
      <x:c r="H690" s="19" t="str">
        <x:v>D06</x:v>
      </x:c>
      <x:c r="I690" s="19" t="str">
        <x:v>剁椒鱼头</x:v>
      </x:c>
      <x:c r="J690" s="22" t="n">
        <x:f>XLOOKUP(H690,'菜品主数据'!$A$5:$A$24,'菜品主数据'!$D$5:$D$24,0)</x:f>
        <x:v>39</x:v>
      </x:c>
      <x:c r="K690" s="31" t="n">
        <x:v>11</x:v>
      </x:c>
      <x:c r="L690" s="35" t="n">
        <x:f>J690*K690</x:f>
        <x:v>429</x:v>
      </x:c>
      <x:c r="M690" s="36" t="n">
        <x:v>0</x:v>
      </x:c>
      <x:c r="N690" s="35" t="n">
        <x:f>L690*M690</x:f>
        <x:v>0</x:v>
      </x:c>
      <x:c r="O690" s="37" t="n">
        <x:v>0</x:v>
      </x:c>
      <x:c r="P690" s="35" t="n">
        <x:f>L690*O690</x:f>
        <x:v>0</x:v>
      </x:c>
      <x:c r="Q690" s="35" t="n">
        <x:v>0</x:v>
      </x:c>
      <x:c r="R690" s="35" t="n">
        <x:f>K690*Q690</x:f>
        <x:v>0</x:v>
      </x:c>
      <x:c r="S690" s="35" t="n">
        <x:f>XLOOKUP(H690,'菜品主数据'!$A$5:$A$24,'菜品主数据'!$G$5:$G$24,0)</x:f>
        <x:v>17.446</x:v>
      </x:c>
      <x:c r="T690" s="35" t="n">
        <x:f>K690*S690</x:f>
        <x:v>191.906</x:v>
      </x:c>
      <x:c r="U690" s="35" t="n">
        <x:f>L690-N690-P690-R690-T690</x:f>
        <x:v>237.094</x:v>
      </x:c>
      <x:c r="V690" s="21" t="n">
        <x:f>IFERROR(U690/L690,0)</x:f>
        <x:v>0.5526666666666666</x:v>
      </x:c>
    </x:row>
    <x:row r="691">
      <x:c r="A691" s="19" t="str">
        <x:v>SALE-00687</x:v>
      </x:c>
      <x:c r="B691" s="34" t="n">
        <x:v>46213.5</x:v>
      </x:c>
      <x:c r="C691" s="19" t="str">
        <x:v>周五</x:v>
      </x:c>
      <x:c r="D691" s="19" t="str">
        <x:v>S03</x:v>
      </x:c>
      <x:c r="E691" s="19" t="str">
        <x:v>铂悦城店</x:v>
      </x:c>
      <x:c r="F691" s="19" t="str">
        <x:v>堂食</x:v>
      </x:c>
      <x:c r="G691" s="19" t="str">
        <x:v>全日</x:v>
      </x:c>
      <x:c r="H691" s="19" t="str">
        <x:v>D07</x:v>
      </x:c>
      <x:c r="I691" s="19" t="str">
        <x:v>川味回锅肉</x:v>
      </x:c>
      <x:c r="J691" s="22" t="n">
        <x:f>XLOOKUP(H691,'菜品主数据'!$A$5:$A$24,'菜品主数据'!$D$5:$D$24,0)</x:f>
        <x:v>29</x:v>
      </x:c>
      <x:c r="K691" s="31" t="n">
        <x:v>16</x:v>
      </x:c>
      <x:c r="L691" s="35" t="n">
        <x:f>J691*K691</x:f>
        <x:v>464</x:v>
      </x:c>
      <x:c r="M691" s="36" t="n">
        <x:v>0</x:v>
      </x:c>
      <x:c r="N691" s="35" t="n">
        <x:f>L691*M691</x:f>
        <x:v>0</x:v>
      </x:c>
      <x:c r="O691" s="37" t="n">
        <x:v>0</x:v>
      </x:c>
      <x:c r="P691" s="35" t="n">
        <x:f>L691*O691</x:f>
        <x:v>0</x:v>
      </x:c>
      <x:c r="Q691" s="35" t="n">
        <x:v>0</x:v>
      </x:c>
      <x:c r="R691" s="35" t="n">
        <x:f>K691*Q691</x:f>
        <x:v>0</x:v>
      </x:c>
      <x:c r="S691" s="35" t="n">
        <x:f>XLOOKUP(H691,'菜品主数据'!$A$5:$A$24,'菜品主数据'!$G$5:$G$24,0)</x:f>
        <x:v>10.231000000000002</x:v>
      </x:c>
      <x:c r="T691" s="35" t="n">
        <x:f>K691*S691</x:f>
        <x:v>163.69600000000003</x:v>
      </x:c>
      <x:c r="U691" s="35" t="n">
        <x:f>L691-N691-P691-R691-T691</x:f>
        <x:v>300.304</x:v>
      </x:c>
      <x:c r="V691" s="21" t="n">
        <x:f>IFERROR(U691/L691,0)</x:f>
        <x:v>0.647206896551724</x:v>
      </x:c>
    </x:row>
    <x:row r="692">
      <x:c r="A692" s="19" t="str">
        <x:v>SALE-00688</x:v>
      </x:c>
      <x:c r="B692" s="34" t="n">
        <x:v>46213.5</x:v>
      </x:c>
      <x:c r="C692" s="19" t="str">
        <x:v>周五</x:v>
      </x:c>
      <x:c r="D692" s="19" t="str">
        <x:v>S03</x:v>
      </x:c>
      <x:c r="E692" s="19" t="str">
        <x:v>铂悦城店</x:v>
      </x:c>
      <x:c r="F692" s="19" t="str">
        <x:v>堂食</x:v>
      </x:c>
      <x:c r="G692" s="19" t="str">
        <x:v>全日</x:v>
      </x:c>
      <x:c r="H692" s="19" t="str">
        <x:v>D08</x:v>
      </x:c>
      <x:c r="I692" s="19" t="str">
        <x:v>生炒清远鸡</x:v>
      </x:c>
      <x:c r="J692" s="22" t="n">
        <x:f>XLOOKUP(H692,'菜品主数据'!$A$5:$A$24,'菜品主数据'!$D$5:$D$24,0)</x:f>
        <x:v>36</x:v>
      </x:c>
      <x:c r="K692" s="31" t="n">
        <x:v>11</x:v>
      </x:c>
      <x:c r="L692" s="35" t="n">
        <x:f>J692*K692</x:f>
        <x:v>396</x:v>
      </x:c>
      <x:c r="M692" s="36" t="n">
        <x:v>0</x:v>
      </x:c>
      <x:c r="N692" s="35" t="n">
        <x:f>L692*M692</x:f>
        <x:v>0</x:v>
      </x:c>
      <x:c r="O692" s="37" t="n">
        <x:v>0</x:v>
      </x:c>
      <x:c r="P692" s="35" t="n">
        <x:f>L692*O692</x:f>
        <x:v>0</x:v>
      </x:c>
      <x:c r="Q692" s="35" t="n">
        <x:v>0</x:v>
      </x:c>
      <x:c r="R692" s="35" t="n">
        <x:f>K692*Q692</x:f>
        <x:v>0</x:v>
      </x:c>
      <x:c r="S692" s="35" t="n">
        <x:f>XLOOKUP(H692,'菜品主数据'!$A$5:$A$24,'菜品主数据'!$G$5:$G$24,0)</x:f>
        <x:v>13.48</x:v>
      </x:c>
      <x:c r="T692" s="35" t="n">
        <x:f>K692*S692</x:f>
        <x:v>148.28</x:v>
      </x:c>
      <x:c r="U692" s="35" t="n">
        <x:f>L692-N692-P692-R692-T692</x:f>
        <x:v>247.72</x:v>
      </x:c>
      <x:c r="V692" s="21" t="n">
        <x:f>IFERROR(U692/L692,0)</x:f>
        <x:v>0.6255555555555555</x:v>
      </x:c>
    </x:row>
    <x:row r="693">
      <x:c r="A693" s="19" t="str">
        <x:v>SALE-00689</x:v>
      </x:c>
      <x:c r="B693" s="34" t="n">
        <x:v>46213.5</x:v>
      </x:c>
      <x:c r="C693" s="19" t="str">
        <x:v>周五</x:v>
      </x:c>
      <x:c r="D693" s="19" t="str">
        <x:v>S03</x:v>
      </x:c>
      <x:c r="E693" s="19" t="str">
        <x:v>铂悦城店</x:v>
      </x:c>
      <x:c r="F693" s="19" t="str">
        <x:v>堂食</x:v>
      </x:c>
      <x:c r="G693" s="19" t="str">
        <x:v>全日</x:v>
      </x:c>
      <x:c r="H693" s="19" t="str">
        <x:v>D09</x:v>
      </x:c>
      <x:c r="I693" s="19" t="str">
        <x:v>炒豆干</x:v>
      </x:c>
      <x:c r="J693" s="22" t="n">
        <x:f>XLOOKUP(H693,'菜品主数据'!$A$5:$A$24,'菜品主数据'!$D$5:$D$24,0)</x:f>
        <x:v>18</x:v>
      </x:c>
      <x:c r="K693" s="31" t="n">
        <x:v>16</x:v>
      </x:c>
      <x:c r="L693" s="35" t="n">
        <x:f>J693*K693</x:f>
        <x:v>288</x:v>
      </x:c>
      <x:c r="M693" s="36" t="n">
        <x:v>0</x:v>
      </x:c>
      <x:c r="N693" s="35" t="n">
        <x:f>L693*M693</x:f>
        <x:v>0</x:v>
      </x:c>
      <x:c r="O693" s="37" t="n">
        <x:v>0</x:v>
      </x:c>
      <x:c r="P693" s="35" t="n">
        <x:f>L693*O693</x:f>
        <x:v>0</x:v>
      </x:c>
      <x:c r="Q693" s="35" t="n">
        <x:v>0</x:v>
      </x:c>
      <x:c r="R693" s="35" t="n">
        <x:f>K693*Q693</x:f>
        <x:v>0</x:v>
      </x:c>
      <x:c r="S693" s="35" t="n">
        <x:f>XLOOKUP(H693,'菜品主数据'!$A$5:$A$24,'菜品主数据'!$G$5:$G$24,0)</x:f>
        <x:v>6.613999999999999</x:v>
      </x:c>
      <x:c r="T693" s="35" t="n">
        <x:f>K693*S693</x:f>
        <x:v>105.82399999999998</x:v>
      </x:c>
      <x:c r="U693" s="35" t="n">
        <x:f>L693-N693-P693-R693-T693</x:f>
        <x:v>182.17600000000002</x:v>
      </x:c>
      <x:c r="V693" s="21" t="n">
        <x:f>IFERROR(U693/L693,0)</x:f>
        <x:v>0.6325555555555556</x:v>
      </x:c>
    </x:row>
    <x:row r="694">
      <x:c r="A694" s="19" t="str">
        <x:v>SALE-00690</x:v>
      </x:c>
      <x:c r="B694" s="34" t="n">
        <x:v>46213.5</x:v>
      </x:c>
      <x:c r="C694" s="19" t="str">
        <x:v>周五</x:v>
      </x:c>
      <x:c r="D694" s="19" t="str">
        <x:v>S03</x:v>
      </x:c>
      <x:c r="E694" s="19" t="str">
        <x:v>铂悦城店</x:v>
      </x:c>
      <x:c r="F694" s="19" t="str">
        <x:v>堂食</x:v>
      </x:c>
      <x:c r="G694" s="19" t="str">
        <x:v>全日</x:v>
      </x:c>
      <x:c r="H694" s="19" t="str">
        <x:v>D10</x:v>
      </x:c>
      <x:c r="I694" s="19" t="str">
        <x:v>农家一碗香</x:v>
      </x:c>
      <x:c r="J694" s="22" t="n">
        <x:f>XLOOKUP(H694,'菜品主数据'!$A$5:$A$24,'菜品主数据'!$D$5:$D$24,0)</x:f>
        <x:v>22.9</x:v>
      </x:c>
      <x:c r="K694" s="31" t="n">
        <x:v>19</x:v>
      </x:c>
      <x:c r="L694" s="35" t="n">
        <x:f>J694*K694</x:f>
        <x:v>435.09999999999997</x:v>
      </x:c>
      <x:c r="M694" s="36" t="n">
        <x:v>0</x:v>
      </x:c>
      <x:c r="N694" s="35" t="n">
        <x:f>L694*M694</x:f>
        <x:v>0</x:v>
      </x:c>
      <x:c r="O694" s="37" t="n">
        <x:v>0</x:v>
      </x:c>
      <x:c r="P694" s="35" t="n">
        <x:f>L694*O694</x:f>
        <x:v>0</x:v>
      </x:c>
      <x:c r="Q694" s="35" t="n">
        <x:v>0</x:v>
      </x:c>
      <x:c r="R694" s="35" t="n">
        <x:f>K694*Q694</x:f>
        <x:v>0</x:v>
      </x:c>
      <x:c r="S694" s="35" t="n">
        <x:f>XLOOKUP(H694,'菜品主数据'!$A$5:$A$24,'菜品主数据'!$G$5:$G$24,0)</x:f>
        <x:v>9.770200000000003</x:v>
      </x:c>
      <x:c r="T694" s="35" t="n">
        <x:f>K694*S694</x:f>
        <x:v>185.63380000000006</x:v>
      </x:c>
      <x:c r="U694" s="35" t="n">
        <x:f>L694-N694-P694-R694-T694</x:f>
        <x:v>249.4661999999999</x:v>
      </x:c>
      <x:c r="V694" s="21" t="n">
        <x:f>IFERROR(U694/L694,0)</x:f>
        <x:v>0.5733537117903929</x:v>
      </x:c>
    </x:row>
    <x:row r="695">
      <x:c r="A695" s="19" t="str">
        <x:v>SALE-00691</x:v>
      </x:c>
      <x:c r="B695" s="34" t="n">
        <x:v>46213.5</x:v>
      </x:c>
      <x:c r="C695" s="19" t="str">
        <x:v>周五</x:v>
      </x:c>
      <x:c r="D695" s="19" t="str">
        <x:v>S03</x:v>
      </x:c>
      <x:c r="E695" s="19" t="str">
        <x:v>铂悦城店</x:v>
      </x:c>
      <x:c r="F695" s="19" t="str">
        <x:v>堂食</x:v>
      </x:c>
      <x:c r="G695" s="19" t="str">
        <x:v>全日</x:v>
      </x:c>
      <x:c r="H695" s="19" t="str">
        <x:v>D11</x:v>
      </x:c>
      <x:c r="I695" s="19" t="str">
        <x:v>香辣爆肥肠</x:v>
      </x:c>
      <x:c r="J695" s="22" t="n">
        <x:f>XLOOKUP(H695,'菜品主数据'!$A$5:$A$24,'菜品主数据'!$D$5:$D$24,0)</x:f>
        <x:v>39</x:v>
      </x:c>
      <x:c r="K695" s="31" t="n">
        <x:v>6</x:v>
      </x:c>
      <x:c r="L695" s="35" t="n">
        <x:f>J695*K695</x:f>
        <x:v>234</x:v>
      </x:c>
      <x:c r="M695" s="36" t="n">
        <x:v>0</x:v>
      </x:c>
      <x:c r="N695" s="35" t="n">
        <x:f>L695*M695</x:f>
        <x:v>0</x:v>
      </x:c>
      <x:c r="O695" s="37" t="n">
        <x:v>0</x:v>
      </x:c>
      <x:c r="P695" s="35" t="n">
        <x:f>L695*O695</x:f>
        <x:v>0</x:v>
      </x:c>
      <x:c r="Q695" s="35" t="n">
        <x:v>0</x:v>
      </x:c>
      <x:c r="R695" s="35" t="n">
        <x:f>K695*Q695</x:f>
        <x:v>0</x:v>
      </x:c>
      <x:c r="S695" s="35" t="n">
        <x:f>XLOOKUP(H695,'菜品主数据'!$A$5:$A$24,'菜品主数据'!$G$5:$G$24,0)</x:f>
        <x:v>10.397</x:v>
      </x:c>
      <x:c r="T695" s="35" t="n">
        <x:f>K695*S695</x:f>
        <x:v>62.382000000000005</x:v>
      </x:c>
      <x:c r="U695" s="35" t="n">
        <x:f>L695-N695-P695-R695-T695</x:f>
        <x:v>171.618</x:v>
      </x:c>
      <x:c r="V695" s="21" t="n">
        <x:f>IFERROR(U695/L695,0)</x:f>
        <x:v>0.7334102564102564</x:v>
      </x:c>
    </x:row>
    <x:row r="696">
      <x:c r="A696" s="19" t="str">
        <x:v>SALE-00692</x:v>
      </x:c>
      <x:c r="B696" s="34" t="n">
        <x:v>46213.5</x:v>
      </x:c>
      <x:c r="C696" s="19" t="str">
        <x:v>周五</x:v>
      </x:c>
      <x:c r="D696" s="19" t="str">
        <x:v>S03</x:v>
      </x:c>
      <x:c r="E696" s="19" t="str">
        <x:v>铂悦城店</x:v>
      </x:c>
      <x:c r="F696" s="19" t="str">
        <x:v>堂食</x:v>
      </x:c>
      <x:c r="G696" s="19" t="str">
        <x:v>全日</x:v>
      </x:c>
      <x:c r="H696" s="19" t="str">
        <x:v>D12</x:v>
      </x:c>
      <x:c r="I696" s="19" t="str">
        <x:v>清蒸鲈鱼</x:v>
      </x:c>
      <x:c r="J696" s="22" t="n">
        <x:f>XLOOKUP(H696,'菜品主数据'!$A$5:$A$24,'菜品主数据'!$D$5:$D$24,0)</x:f>
        <x:v>39</x:v>
      </x:c>
      <x:c r="K696" s="31" t="n">
        <x:v>7</x:v>
      </x:c>
      <x:c r="L696" s="35" t="n">
        <x:f>J696*K696</x:f>
        <x:v>273</x:v>
      </x:c>
      <x:c r="M696" s="36" t="n">
        <x:v>0</x:v>
      </x:c>
      <x:c r="N696" s="35" t="n">
        <x:f>L696*M696</x:f>
        <x:v>0</x:v>
      </x:c>
      <x:c r="O696" s="37" t="n">
        <x:v>0</x:v>
      </x:c>
      <x:c r="P696" s="35" t="n">
        <x:f>L696*O696</x:f>
        <x:v>0</x:v>
      </x:c>
      <x:c r="Q696" s="35" t="n">
        <x:v>0</x:v>
      </x:c>
      <x:c r="R696" s="35" t="n">
        <x:f>K696*Q696</x:f>
        <x:v>0</x:v>
      </x:c>
      <x:c r="S696" s="35" t="n">
        <x:f>XLOOKUP(H696,'菜品主数据'!$A$5:$A$24,'菜品主数据'!$G$5:$G$24,0)</x:f>
        <x:v>18.874</x:v>
      </x:c>
      <x:c r="T696" s="35" t="n">
        <x:f>K696*S696</x:f>
        <x:v>132.118</x:v>
      </x:c>
      <x:c r="U696" s="35" t="n">
        <x:f>L696-N696-P696-R696-T696</x:f>
        <x:v>140.882</x:v>
      </x:c>
      <x:c r="V696" s="21" t="n">
        <x:f>IFERROR(U696/L696,0)</x:f>
        <x:v>0.516051282051282</x:v>
      </x:c>
    </x:row>
    <x:row r="697">
      <x:c r="A697" s="19" t="str">
        <x:v>SALE-00693</x:v>
      </x:c>
      <x:c r="B697" s="34" t="n">
        <x:v>46213.5</x:v>
      </x:c>
      <x:c r="C697" s="19" t="str">
        <x:v>周五</x:v>
      </x:c>
      <x:c r="D697" s="19" t="str">
        <x:v>S03</x:v>
      </x:c>
      <x:c r="E697" s="19" t="str">
        <x:v>铂悦城店</x:v>
      </x:c>
      <x:c r="F697" s="19" t="str">
        <x:v>堂食</x:v>
      </x:c>
      <x:c r="G697" s="19" t="str">
        <x:v>全日</x:v>
      </x:c>
      <x:c r="H697" s="19" t="str">
        <x:v>D13</x:v>
      </x:c>
      <x:c r="I697" s="19" t="str">
        <x:v>外婆菜炒蛋</x:v>
      </x:c>
      <x:c r="J697" s="22" t="n">
        <x:f>XLOOKUP(H697,'菜品主数据'!$A$5:$A$24,'菜品主数据'!$D$5:$D$24,0)</x:f>
        <x:v>18</x:v>
      </x:c>
      <x:c r="K697" s="31" t="n">
        <x:v>16</x:v>
      </x:c>
      <x:c r="L697" s="35" t="n">
        <x:f>J697*K697</x:f>
        <x:v>288</x:v>
      </x:c>
      <x:c r="M697" s="36" t="n">
        <x:v>0</x:v>
      </x:c>
      <x:c r="N697" s="35" t="n">
        <x:f>L697*M697</x:f>
        <x:v>0</x:v>
      </x:c>
      <x:c r="O697" s="37" t="n">
        <x:v>0</x:v>
      </x:c>
      <x:c r="P697" s="35" t="n">
        <x:f>L697*O697</x:f>
        <x:v>0</x:v>
      </x:c>
      <x:c r="Q697" s="35" t="n">
        <x:v>0</x:v>
      </x:c>
      <x:c r="R697" s="35" t="n">
        <x:f>K697*Q697</x:f>
        <x:v>0</x:v>
      </x:c>
      <x:c r="S697" s="35" t="n">
        <x:f>XLOOKUP(H697,'菜品主数据'!$A$5:$A$24,'菜品主数据'!$G$5:$G$24,0)</x:f>
        <x:v>5.403999999999999</x:v>
      </x:c>
      <x:c r="T697" s="35" t="n">
        <x:f>K697*S697</x:f>
        <x:v>86.46399999999998</x:v>
      </x:c>
      <x:c r="U697" s="35" t="n">
        <x:f>L697-N697-P697-R697-T697</x:f>
        <x:v>201.536</x:v>
      </x:c>
      <x:c r="V697" s="21" t="n">
        <x:f>IFERROR(U697/L697,0)</x:f>
        <x:v>0.6997777777777778</x:v>
      </x:c>
    </x:row>
    <x:row r="698">
      <x:c r="A698" s="19" t="str">
        <x:v>SALE-00694</x:v>
      </x:c>
      <x:c r="B698" s="34" t="n">
        <x:v>46213.5</x:v>
      </x:c>
      <x:c r="C698" s="19" t="str">
        <x:v>周五</x:v>
      </x:c>
      <x:c r="D698" s="19" t="str">
        <x:v>S03</x:v>
      </x:c>
      <x:c r="E698" s="19" t="str">
        <x:v>铂悦城店</x:v>
      </x:c>
      <x:c r="F698" s="19" t="str">
        <x:v>堂食</x:v>
      </x:c>
      <x:c r="G698" s="19" t="str">
        <x:v>全日</x:v>
      </x:c>
      <x:c r="H698" s="19" t="str">
        <x:v>D14</x:v>
      </x:c>
      <x:c r="I698" s="19" t="str">
        <x:v>酸辣鸡杂</x:v>
      </x:c>
      <x:c r="J698" s="22" t="n">
        <x:f>XLOOKUP(H698,'菜品主数据'!$A$5:$A$24,'菜品主数据'!$D$5:$D$24,0)</x:f>
        <x:v>28</x:v>
      </x:c>
      <x:c r="K698" s="31" t="n">
        <x:v>8</x:v>
      </x:c>
      <x:c r="L698" s="35" t="n">
        <x:f>J698*K698</x:f>
        <x:v>224</x:v>
      </x:c>
      <x:c r="M698" s="36" t="n">
        <x:v>0</x:v>
      </x:c>
      <x:c r="N698" s="35" t="n">
        <x:f>L698*M698</x:f>
        <x:v>0</x:v>
      </x:c>
      <x:c r="O698" s="37" t="n">
        <x:v>0</x:v>
      </x:c>
      <x:c r="P698" s="35" t="n">
        <x:f>L698*O698</x:f>
        <x:v>0</x:v>
      </x:c>
      <x:c r="Q698" s="35" t="n">
        <x:v>0</x:v>
      </x:c>
      <x:c r="R698" s="35" t="n">
        <x:f>K698*Q698</x:f>
        <x:v>0</x:v>
      </x:c>
      <x:c r="S698" s="35" t="n">
        <x:f>XLOOKUP(H698,'菜品主数据'!$A$5:$A$24,'菜品主数据'!$G$5:$G$24,0)</x:f>
        <x:v>8.315000000000001</x:v>
      </x:c>
      <x:c r="T698" s="35" t="n">
        <x:f>K698*S698</x:f>
        <x:v>66.52000000000001</x:v>
      </x:c>
      <x:c r="U698" s="35" t="n">
        <x:f>L698-N698-P698-R698-T698</x:f>
        <x:v>157.48</x:v>
      </x:c>
      <x:c r="V698" s="21" t="n">
        <x:f>IFERROR(U698/L698,0)</x:f>
        <x:v>0.7030357142857142</x:v>
      </x:c>
    </x:row>
    <x:row r="699">
      <x:c r="A699" s="19" t="str">
        <x:v>SALE-00695</x:v>
      </x:c>
      <x:c r="B699" s="34" t="n">
        <x:v>46213.5</x:v>
      </x:c>
      <x:c r="C699" s="19" t="str">
        <x:v>周五</x:v>
      </x:c>
      <x:c r="D699" s="19" t="str">
        <x:v>S03</x:v>
      </x:c>
      <x:c r="E699" s="19" t="str">
        <x:v>铂悦城店</x:v>
      </x:c>
      <x:c r="F699" s="19" t="str">
        <x:v>堂食</x:v>
      </x:c>
      <x:c r="G699" s="19" t="str">
        <x:v>全日</x:v>
      </x:c>
      <x:c r="H699" s="19" t="str">
        <x:v>D15</x:v>
      </x:c>
      <x:c r="I699" s="19" t="str">
        <x:v>湘西土匪猪肝</x:v>
      </x:c>
      <x:c r="J699" s="22" t="n">
        <x:f>XLOOKUP(H699,'菜品主数据'!$A$5:$A$24,'菜品主数据'!$D$5:$D$24,0)</x:f>
        <x:v>26</x:v>
      </x:c>
      <x:c r="K699" s="31" t="n">
        <x:v>8</x:v>
      </x:c>
      <x:c r="L699" s="35" t="n">
        <x:f>J699*K699</x:f>
        <x:v>208</x:v>
      </x:c>
      <x:c r="M699" s="36" t="n">
        <x:v>0</x:v>
      </x:c>
      <x:c r="N699" s="35" t="n">
        <x:f>L699*M699</x:f>
        <x:v>0</x:v>
      </x:c>
      <x:c r="O699" s="37" t="n">
        <x:v>0</x:v>
      </x:c>
      <x:c r="P699" s="35" t="n">
        <x:f>L699*O699</x:f>
        <x:v>0</x:v>
      </x:c>
      <x:c r="Q699" s="35" t="n">
        <x:v>0</x:v>
      </x:c>
      <x:c r="R699" s="35" t="n">
        <x:f>K699*Q699</x:f>
        <x:v>0</x:v>
      </x:c>
      <x:c r="S699" s="35" t="n">
        <x:f>XLOOKUP(H699,'菜品主数据'!$A$5:$A$24,'菜品主数据'!$G$5:$G$24,0)</x:f>
        <x:v>6.3759999999999994</x:v>
      </x:c>
      <x:c r="T699" s="35" t="n">
        <x:f>K699*S699</x:f>
        <x:v>51.007999999999996</x:v>
      </x:c>
      <x:c r="U699" s="35" t="n">
        <x:f>L699-N699-P699-R699-T699</x:f>
        <x:v>156.99200000000002</x:v>
      </x:c>
      <x:c r="V699" s="21" t="n">
        <x:f>IFERROR(U699/L699,0)</x:f>
        <x:v>0.7547692307692309</x:v>
      </x:c>
    </x:row>
    <x:row r="700">
      <x:c r="A700" s="19" t="str">
        <x:v>SALE-00696</x:v>
      </x:c>
      <x:c r="B700" s="34" t="n">
        <x:v>46213.5</x:v>
      </x:c>
      <x:c r="C700" s="19" t="str">
        <x:v>周五</x:v>
      </x:c>
      <x:c r="D700" s="19" t="str">
        <x:v>S03</x:v>
      </x:c>
      <x:c r="E700" s="19" t="str">
        <x:v>铂悦城店</x:v>
      </x:c>
      <x:c r="F700" s="19" t="str">
        <x:v>堂食</x:v>
      </x:c>
      <x:c r="G700" s="19" t="str">
        <x:v>全日</x:v>
      </x:c>
      <x:c r="H700" s="19" t="str">
        <x:v>D16</x:v>
      </x:c>
      <x:c r="I700" s="19" t="str">
        <x:v>小豆角炒五花</x:v>
      </x:c>
      <x:c r="J700" s="22" t="n">
        <x:f>XLOOKUP(H700,'菜品主数据'!$A$5:$A$24,'菜品主数据'!$D$5:$D$24,0)</x:f>
        <x:v>25</x:v>
      </x:c>
      <x:c r="K700" s="31" t="n">
        <x:v>7</x:v>
      </x:c>
      <x:c r="L700" s="35" t="n">
        <x:f>J700*K700</x:f>
        <x:v>175</x:v>
      </x:c>
      <x:c r="M700" s="36" t="n">
        <x:v>0</x:v>
      </x:c>
      <x:c r="N700" s="35" t="n">
        <x:f>L700*M700</x:f>
        <x:v>0</x:v>
      </x:c>
      <x:c r="O700" s="37" t="n">
        <x:v>0</x:v>
      </x:c>
      <x:c r="P700" s="35" t="n">
        <x:f>L700*O700</x:f>
        <x:v>0</x:v>
      </x:c>
      <x:c r="Q700" s="35" t="n">
        <x:v>0</x:v>
      </x:c>
      <x:c r="R700" s="35" t="n">
        <x:f>K700*Q700</x:f>
        <x:v>0</x:v>
      </x:c>
      <x:c r="S700" s="35" t="n">
        <x:f>XLOOKUP(H700,'菜品主数据'!$A$5:$A$24,'菜品主数据'!$G$5:$G$24,0)</x:f>
        <x:v>8.184</x:v>
      </x:c>
      <x:c r="T700" s="35" t="n">
        <x:f>K700*S700</x:f>
        <x:v>57.288</x:v>
      </x:c>
      <x:c r="U700" s="35" t="n">
        <x:f>L700-N700-P700-R700-T700</x:f>
        <x:v>117.712</x:v>
      </x:c>
      <x:c r="V700" s="21" t="n">
        <x:f>IFERROR(U700/L700,0)</x:f>
        <x:v>0.67264</x:v>
      </x:c>
    </x:row>
    <x:row r="701">
      <x:c r="A701" s="19" t="str">
        <x:v>SALE-00697</x:v>
      </x:c>
      <x:c r="B701" s="34" t="n">
        <x:v>46213.5</x:v>
      </x:c>
      <x:c r="C701" s="19" t="str">
        <x:v>周五</x:v>
      </x:c>
      <x:c r="D701" s="19" t="str">
        <x:v>S03</x:v>
      </x:c>
      <x:c r="E701" s="19" t="str">
        <x:v>铂悦城店</x:v>
      </x:c>
      <x:c r="F701" s="19" t="str">
        <x:v>堂食</x:v>
      </x:c>
      <x:c r="G701" s="19" t="str">
        <x:v>全日</x:v>
      </x:c>
      <x:c r="H701" s="19" t="str">
        <x:v>D17</x:v>
      </x:c>
      <x:c r="I701" s="19" t="str">
        <x:v>蒜蓉粉丝虾</x:v>
      </x:c>
      <x:c r="J701" s="22" t="n">
        <x:f>XLOOKUP(H701,'菜品主数据'!$A$5:$A$24,'菜品主数据'!$D$5:$D$24,0)</x:f>
        <x:v>36</x:v>
      </x:c>
      <x:c r="K701" s="31" t="n">
        <x:v>5</x:v>
      </x:c>
      <x:c r="L701" s="35" t="n">
        <x:f>J701*K701</x:f>
        <x:v>180</x:v>
      </x:c>
      <x:c r="M701" s="36" t="n">
        <x:v>0</x:v>
      </x:c>
      <x:c r="N701" s="35" t="n">
        <x:f>L701*M701</x:f>
        <x:v>0</x:v>
      </x:c>
      <x:c r="O701" s="37" t="n">
        <x:v>0</x:v>
      </x:c>
      <x:c r="P701" s="35" t="n">
        <x:f>L701*O701</x:f>
        <x:v>0</x:v>
      </x:c>
      <x:c r="Q701" s="35" t="n">
        <x:v>0</x:v>
      </x:c>
      <x:c r="R701" s="35" t="n">
        <x:f>K701*Q701</x:f>
        <x:v>0</x:v>
      </x:c>
      <x:c r="S701" s="35" t="n">
        <x:f>XLOOKUP(H701,'菜品主数据'!$A$5:$A$24,'菜品主数据'!$G$5:$G$24,0)</x:f>
        <x:v>13.594</x:v>
      </x:c>
      <x:c r="T701" s="35" t="n">
        <x:f>K701*S701</x:f>
        <x:v>67.97</x:v>
      </x:c>
      <x:c r="U701" s="35" t="n">
        <x:f>L701-N701-P701-R701-T701</x:f>
        <x:v>112.03</x:v>
      </x:c>
      <x:c r="V701" s="21" t="n">
        <x:f>IFERROR(U701/L701,0)</x:f>
        <x:v>0.6223888888888889</x:v>
      </x:c>
    </x:row>
    <x:row r="702">
      <x:c r="A702" s="19" t="str">
        <x:v>SALE-00698</x:v>
      </x:c>
      <x:c r="B702" s="34" t="n">
        <x:v>46213.5</x:v>
      </x:c>
      <x:c r="C702" s="19" t="str">
        <x:v>周五</x:v>
      </x:c>
      <x:c r="D702" s="19" t="str">
        <x:v>S03</x:v>
      </x:c>
      <x:c r="E702" s="19" t="str">
        <x:v>铂悦城店</x:v>
      </x:c>
      <x:c r="F702" s="19" t="str">
        <x:v>堂食</x:v>
      </x:c>
      <x:c r="G702" s="19" t="str">
        <x:v>全日</x:v>
      </x:c>
      <x:c r="H702" s="19" t="str">
        <x:v>D18</x:v>
      </x:c>
      <x:c r="I702" s="19" t="str">
        <x:v>青椒炒油麦菜</x:v>
      </x:c>
      <x:c r="J702" s="22" t="n">
        <x:f>XLOOKUP(H702,'菜品主数据'!$A$5:$A$24,'菜品主数据'!$D$5:$D$24,0)</x:f>
        <x:v>18</x:v>
      </x:c>
      <x:c r="K702" s="31" t="n">
        <x:v>9</x:v>
      </x:c>
      <x:c r="L702" s="35" t="n">
        <x:f>J702*K702</x:f>
        <x:v>162</x:v>
      </x:c>
      <x:c r="M702" s="36" t="n">
        <x:v>0</x:v>
      </x:c>
      <x:c r="N702" s="35" t="n">
        <x:f>L702*M702</x:f>
        <x:v>0</x:v>
      </x:c>
      <x:c r="O702" s="37" t="n">
        <x:v>0</x:v>
      </x:c>
      <x:c r="P702" s="35" t="n">
        <x:f>L702*O702</x:f>
        <x:v>0</x:v>
      </x:c>
      <x:c r="Q702" s="35" t="n">
        <x:v>0</x:v>
      </x:c>
      <x:c r="R702" s="35" t="n">
        <x:f>K702*Q702</x:f>
        <x:v>0</x:v>
      </x:c>
      <x:c r="S702" s="35" t="n">
        <x:f>XLOOKUP(H702,'菜品主数据'!$A$5:$A$24,'菜品主数据'!$G$5:$G$24,0)</x:f>
        <x:v>3.1759999999999993</x:v>
      </x:c>
      <x:c r="T702" s="35" t="n">
        <x:f>K702*S702</x:f>
        <x:v>28.583999999999993</x:v>
      </x:c>
      <x:c r="U702" s="35" t="n">
        <x:f>L702-N702-P702-R702-T702</x:f>
        <x:v>133.416</x:v>
      </x:c>
      <x:c r="V702" s="21" t="n">
        <x:f>IFERROR(U702/L702,0)</x:f>
        <x:v>0.8235555555555555</x:v>
      </x:c>
    </x:row>
    <x:row r="703">
      <x:c r="A703" s="19" t="str">
        <x:v>SALE-00699</x:v>
      </x:c>
      <x:c r="B703" s="34" t="n">
        <x:v>46213.5</x:v>
      </x:c>
      <x:c r="C703" s="19" t="str">
        <x:v>周五</x:v>
      </x:c>
      <x:c r="D703" s="19" t="str">
        <x:v>S03</x:v>
      </x:c>
      <x:c r="E703" s="19" t="str">
        <x:v>铂悦城店</x:v>
      </x:c>
      <x:c r="F703" s="19" t="str">
        <x:v>堂食</x:v>
      </x:c>
      <x:c r="G703" s="19" t="str">
        <x:v>全日</x:v>
      </x:c>
      <x:c r="H703" s="19" t="str">
        <x:v>D19</x:v>
      </x:c>
      <x:c r="I703" s="19" t="str">
        <x:v>酸萝卜炒鸡杂</x:v>
      </x:c>
      <x:c r="J703" s="22" t="n">
        <x:f>XLOOKUP(H703,'菜品主数据'!$A$5:$A$24,'菜品主数据'!$D$5:$D$24,0)</x:f>
        <x:v>25</x:v>
      </x:c>
      <x:c r="K703" s="31" t="n">
        <x:v>6</x:v>
      </x:c>
      <x:c r="L703" s="35" t="n">
        <x:f>J703*K703</x:f>
        <x:v>150</x:v>
      </x:c>
      <x:c r="M703" s="36" t="n">
        <x:v>0</x:v>
      </x:c>
      <x:c r="N703" s="35" t="n">
        <x:f>L703*M703</x:f>
        <x:v>0</x:v>
      </x:c>
      <x:c r="O703" s="37" t="n">
        <x:v>0</x:v>
      </x:c>
      <x:c r="P703" s="35" t="n">
        <x:f>L703*O703</x:f>
        <x:v>0</x:v>
      </x:c>
      <x:c r="Q703" s="35" t="n">
        <x:v>0</x:v>
      </x:c>
      <x:c r="R703" s="35" t="n">
        <x:f>K703*Q703</x:f>
        <x:v>0</x:v>
      </x:c>
      <x:c r="S703" s="35" t="n">
        <x:f>XLOOKUP(H703,'菜品主数据'!$A$5:$A$24,'菜品主数据'!$G$5:$G$24,0)</x:f>
        <x:v>7.9399999999999995</x:v>
      </x:c>
      <x:c r="T703" s="35" t="n">
        <x:f>K703*S703</x:f>
        <x:v>47.64</x:v>
      </x:c>
      <x:c r="U703" s="35" t="n">
        <x:f>L703-N703-P703-R703-T703</x:f>
        <x:v>102.36</x:v>
      </x:c>
      <x:c r="V703" s="21" t="n">
        <x:f>IFERROR(U703/L703,0)</x:f>
        <x:v>0.6824</x:v>
      </x:c>
    </x:row>
    <x:row r="704">
      <x:c r="A704" s="19" t="str">
        <x:v>SALE-00700</x:v>
      </x:c>
      <x:c r="B704" s="34" t="n">
        <x:v>46213.5</x:v>
      </x:c>
      <x:c r="C704" s="19" t="str">
        <x:v>周五</x:v>
      </x:c>
      <x:c r="D704" s="19" t="str">
        <x:v>S03</x:v>
      </x:c>
      <x:c r="E704" s="19" t="str">
        <x:v>铂悦城店</x:v>
      </x:c>
      <x:c r="F704" s="19" t="str">
        <x:v>堂食</x:v>
      </x:c>
      <x:c r="G704" s="19" t="str">
        <x:v>全日</x:v>
      </x:c>
      <x:c r="H704" s="19" t="str">
        <x:v>D20</x:v>
      </x:c>
      <x:c r="I704" s="19" t="str">
        <x:v>雪菜肉末青豆</x:v>
      </x:c>
      <x:c r="J704" s="22" t="n">
        <x:f>XLOOKUP(H704,'菜品主数据'!$A$5:$A$24,'菜品主数据'!$D$5:$D$24,0)</x:f>
        <x:v>18</x:v>
      </x:c>
      <x:c r="K704" s="31" t="n">
        <x:v>9</x:v>
      </x:c>
      <x:c r="L704" s="35" t="n">
        <x:f>J704*K704</x:f>
        <x:v>162</x:v>
      </x:c>
      <x:c r="M704" s="36" t="n">
        <x:v>0</x:v>
      </x:c>
      <x:c r="N704" s="35" t="n">
        <x:f>L704*M704</x:f>
        <x:v>0</x:v>
      </x:c>
      <x:c r="O704" s="37" t="n">
        <x:v>0</x:v>
      </x:c>
      <x:c r="P704" s="35" t="n">
        <x:f>L704*O704</x:f>
        <x:v>0</x:v>
      </x:c>
      <x:c r="Q704" s="35" t="n">
        <x:v>0</x:v>
      </x:c>
      <x:c r="R704" s="35" t="n">
        <x:f>K704*Q704</x:f>
        <x:v>0</x:v>
      </x:c>
      <x:c r="S704" s="35" t="n">
        <x:f>XLOOKUP(H704,'菜品主数据'!$A$5:$A$24,'菜品主数据'!$G$5:$G$24,0)</x:f>
        <x:v>7.303999999999999</x:v>
      </x:c>
      <x:c r="T704" s="35" t="n">
        <x:f>K704*S704</x:f>
        <x:v>65.73599999999999</x:v>
      </x:c>
      <x:c r="U704" s="35" t="n">
        <x:f>L704-N704-P704-R704-T704</x:f>
        <x:v>96.26400000000001</x:v>
      </x:c>
      <x:c r="V704" s="21" t="n">
        <x:f>IFERROR(U704/L704,0)</x:f>
        <x:v>0.5942222222222223</x:v>
      </x:c>
    </x:row>
    <x:row r="705">
      <x:c r="A705" s="19" t="str">
        <x:v>SALE-00701</x:v>
      </x:c>
      <x:c r="B705" s="34" t="n">
        <x:v>46213.5</x:v>
      </x:c>
      <x:c r="C705" s="19" t="str">
        <x:v>周五</x:v>
      </x:c>
      <x:c r="D705" s="19" t="str">
        <x:v>S03</x:v>
      </x:c>
      <x:c r="E705" s="19" t="str">
        <x:v>铂悦城店</x:v>
      </x:c>
      <x:c r="F705" s="19" t="str">
        <x:v>外卖</x:v>
      </x:c>
      <x:c r="G705" s="19" t="str">
        <x:v>全日</x:v>
      </x:c>
      <x:c r="H705" s="19" t="str">
        <x:v>D01</x:v>
      </x:c>
      <x:c r="I705" s="19" t="str">
        <x:v>辣椒炒肉</x:v>
      </x:c>
      <x:c r="J705" s="22" t="n">
        <x:f>XLOOKUP(H705,'菜品主数据'!$A$5:$A$24,'菜品主数据'!$D$5:$D$24,0)</x:f>
        <x:v>29</x:v>
      </x:c>
      <x:c r="K705" s="31" t="n">
        <x:v>6</x:v>
      </x:c>
      <x:c r="L705" s="35" t="n">
        <x:f>J705*K705</x:f>
        <x:v>174</x:v>
      </x:c>
      <x:c r="M705" s="36" t="n">
        <x:v>0.08</x:v>
      </x:c>
      <x:c r="N705" s="35" t="n">
        <x:f>L705*M705</x:f>
        <x:v>13.92</x:v>
      </x:c>
      <x:c r="O705" s="37" t="n">
        <x:v>0.18</x:v>
      </x:c>
      <x:c r="P705" s="35" t="n">
        <x:f>L705*O705</x:f>
        <x:v>31.32</x:v>
      </x:c>
      <x:c r="Q705" s="35" t="n">
        <x:v>1.2</x:v>
      </x:c>
      <x:c r="R705" s="35" t="n">
        <x:f>K705*Q705</x:f>
        <x:v>7.199999999999999</x:v>
      </x:c>
      <x:c r="S705" s="35" t="n">
        <x:f>XLOOKUP(H705,'菜品主数据'!$A$5:$A$24,'菜品主数据'!$G$5:$G$24,0)</x:f>
        <x:v>8.634400000000001</x:v>
      </x:c>
      <x:c r="T705" s="35" t="n">
        <x:f>K705*S705</x:f>
        <x:v>51.80640000000001</x:v>
      </x:c>
      <x:c r="U705" s="35" t="n">
        <x:f>L705-N705-P705-R705-T705</x:f>
        <x:v>69.7536</x:v>
      </x:c>
      <x:c r="V705" s="21" t="n">
        <x:f>IFERROR(U705/L705,0)</x:f>
        <x:v>0.40088275862068967</x:v>
      </x:c>
    </x:row>
    <x:row r="706">
      <x:c r="A706" s="19" t="str">
        <x:v>SALE-00702</x:v>
      </x:c>
      <x:c r="B706" s="34" t="n">
        <x:v>46213.5</x:v>
      </x:c>
      <x:c r="C706" s="19" t="str">
        <x:v>周五</x:v>
      </x:c>
      <x:c r="D706" s="19" t="str">
        <x:v>S03</x:v>
      </x:c>
      <x:c r="E706" s="19" t="str">
        <x:v>铂悦城店</x:v>
      </x:c>
      <x:c r="F706" s="19" t="str">
        <x:v>外卖</x:v>
      </x:c>
      <x:c r="G706" s="19" t="str">
        <x:v>全日</x:v>
      </x:c>
      <x:c r="H706" s="19" t="str">
        <x:v>D02</x:v>
      </x:c>
      <x:c r="I706" s="19" t="str">
        <x:v>小炒黄牛肉</x:v>
      </x:c>
      <x:c r="J706" s="22" t="n">
        <x:f>XLOOKUP(H706,'菜品主数据'!$A$5:$A$24,'菜品主数据'!$D$5:$D$24,0)</x:f>
        <x:v>49</x:v>
      </x:c>
      <x:c r="K706" s="31" t="n">
        <x:v>7</x:v>
      </x:c>
      <x:c r="L706" s="35" t="n">
        <x:f>J706*K706</x:f>
        <x:v>343</x:v>
      </x:c>
      <x:c r="M706" s="36" t="n">
        <x:v>0.08</x:v>
      </x:c>
      <x:c r="N706" s="35" t="n">
        <x:f>L706*M706</x:f>
        <x:v>27.44</x:v>
      </x:c>
      <x:c r="O706" s="37" t="n">
        <x:v>0.18</x:v>
      </x:c>
      <x:c r="P706" s="35" t="n">
        <x:f>L706*O706</x:f>
        <x:v>61.739999999999995</x:v>
      </x:c>
      <x:c r="Q706" s="35" t="n">
        <x:v>1.2</x:v>
      </x:c>
      <x:c r="R706" s="35" t="n">
        <x:f>K706*Q706</x:f>
        <x:v>8.4</x:v>
      </x:c>
      <x:c r="S706" s="35" t="n">
        <x:f>XLOOKUP(H706,'菜品主数据'!$A$5:$A$24,'菜品主数据'!$G$5:$G$24,0)</x:f>
        <x:v>17.577</x:v>
      </x:c>
      <x:c r="T706" s="35" t="n">
        <x:f>K706*S706</x:f>
        <x:v>123.03900000000002</x:v>
      </x:c>
      <x:c r="U706" s="35" t="n">
        <x:f>L706-N706-P706-R706-T706</x:f>
        <x:v>122.38099999999997</x:v>
      </x:c>
      <x:c r="V706" s="21" t="n">
        <x:f>IFERROR(U706/L706,0)</x:f>
        <x:v>0.35679591836734686</x:v>
      </x:c>
    </x:row>
    <x:row r="707">
      <x:c r="A707" s="19" t="str">
        <x:v>SALE-00703</x:v>
      </x:c>
      <x:c r="B707" s="34" t="n">
        <x:v>46213.5</x:v>
      </x:c>
      <x:c r="C707" s="19" t="str">
        <x:v>周五</x:v>
      </x:c>
      <x:c r="D707" s="19" t="str">
        <x:v>S03</x:v>
      </x:c>
      <x:c r="E707" s="19" t="str">
        <x:v>铂悦城店</x:v>
      </x:c>
      <x:c r="F707" s="19" t="str">
        <x:v>外卖</x:v>
      </x:c>
      <x:c r="G707" s="19" t="str">
        <x:v>全日</x:v>
      </x:c>
      <x:c r="H707" s="19" t="str">
        <x:v>D03</x:v>
      </x:c>
      <x:c r="I707" s="19" t="str">
        <x:v>香醋炒蛋</x:v>
      </x:c>
      <x:c r="J707" s="22" t="n">
        <x:f>XLOOKUP(H707,'菜品主数据'!$A$5:$A$24,'菜品主数据'!$D$5:$D$24,0)</x:f>
        <x:v>14.9</x:v>
      </x:c>
      <x:c r="K707" s="31" t="n">
        <x:v>4</x:v>
      </x:c>
      <x:c r="L707" s="35" t="n">
        <x:f>J707*K707</x:f>
        <x:v>59.6</x:v>
      </x:c>
      <x:c r="M707" s="36" t="n">
        <x:v>0.08</x:v>
      </x:c>
      <x:c r="N707" s="35" t="n">
        <x:f>L707*M707</x:f>
        <x:v>4.768</x:v>
      </x:c>
      <x:c r="O707" s="37" t="n">
        <x:v>0.18</x:v>
      </x:c>
      <x:c r="P707" s="35" t="n">
        <x:f>L707*O707</x:f>
        <x:v>10.728</x:v>
      </x:c>
      <x:c r="Q707" s="35" t="n">
        <x:v>1.2</x:v>
      </x:c>
      <x:c r="R707" s="35" t="n">
        <x:f>K707*Q707</x:f>
        <x:v>4.8</x:v>
      </x:c>
      <x:c r="S707" s="35" t="n">
        <x:f>XLOOKUP(H707,'菜品主数据'!$A$5:$A$24,'菜品主数据'!$G$5:$G$24,0)</x:f>
        <x:v>3.7459999999999996</x:v>
      </x:c>
      <x:c r="T707" s="35" t="n">
        <x:f>K707*S707</x:f>
        <x:v>14.983999999999998</x:v>
      </x:c>
      <x:c r="U707" s="35" t="n">
        <x:f>L707-N707-P707-R707-T707</x:f>
        <x:v>24.320000000000004</x:v>
      </x:c>
      <x:c r="V707" s="21" t="n">
        <x:f>IFERROR(U707/L707,0)</x:f>
        <x:v>0.40805369127516783</x:v>
      </x:c>
    </x:row>
    <x:row r="708">
      <x:c r="A708" s="19" t="str">
        <x:v>SALE-00704</x:v>
      </x:c>
      <x:c r="B708" s="34" t="n">
        <x:v>46213.5</x:v>
      </x:c>
      <x:c r="C708" s="19" t="str">
        <x:v>周五</x:v>
      </x:c>
      <x:c r="D708" s="19" t="str">
        <x:v>S03</x:v>
      </x:c>
      <x:c r="E708" s="19" t="str">
        <x:v>铂悦城店</x:v>
      </x:c>
      <x:c r="F708" s="19" t="str">
        <x:v>外卖</x:v>
      </x:c>
      <x:c r="G708" s="19" t="str">
        <x:v>全日</x:v>
      </x:c>
      <x:c r="H708" s="19" t="str">
        <x:v>D04</x:v>
      </x:c>
      <x:c r="I708" s="19" t="str">
        <x:v>酸包菜炒粉皮</x:v>
      </x:c>
      <x:c r="J708" s="22" t="n">
        <x:f>XLOOKUP(H708,'菜品主数据'!$A$5:$A$24,'菜品主数据'!$D$5:$D$24,0)</x:f>
        <x:v>16</x:v>
      </x:c>
      <x:c r="K708" s="31" t="n">
        <x:v>3</x:v>
      </x:c>
      <x:c r="L708" s="35" t="n">
        <x:f>J708*K708</x:f>
        <x:v>48</x:v>
      </x:c>
      <x:c r="M708" s="36" t="n">
        <x:v>0.08</x:v>
      </x:c>
      <x:c r="N708" s="35" t="n">
        <x:f>L708*M708</x:f>
        <x:v>3.84</x:v>
      </x:c>
      <x:c r="O708" s="37" t="n">
        <x:v>0.18</x:v>
      </x:c>
      <x:c r="P708" s="35" t="n">
        <x:f>L708*O708</x:f>
        <x:v>8.64</x:v>
      </x:c>
      <x:c r="Q708" s="35" t="n">
        <x:v>1.2</x:v>
      </x:c>
      <x:c r="R708" s="35" t="n">
        <x:f>K708*Q708</x:f>
        <x:v>3.5999999999999996</x:v>
      </x:c>
      <x:c r="S708" s="35" t="n">
        <x:f>XLOOKUP(H708,'菜品主数据'!$A$5:$A$24,'菜品主数据'!$G$5:$G$24,0)</x:f>
        <x:v>3.978</x:v>
      </x:c>
      <x:c r="T708" s="35" t="n">
        <x:f>K708*S708</x:f>
        <x:v>11.934000000000001</x:v>
      </x:c>
      <x:c r="U708" s="35" t="n">
        <x:f>L708-N708-P708-R708-T708</x:f>
        <x:v>19.985999999999994</x:v>
      </x:c>
      <x:c r="V708" s="21" t="n">
        <x:f>IFERROR(U708/L708,0)</x:f>
        <x:v>0.4163749999999999</x:v>
      </x:c>
    </x:row>
    <x:row r="709">
      <x:c r="A709" s="19" t="str">
        <x:v>SALE-00705</x:v>
      </x:c>
      <x:c r="B709" s="34" t="n">
        <x:v>46213.5</x:v>
      </x:c>
      <x:c r="C709" s="19" t="str">
        <x:v>周五</x:v>
      </x:c>
      <x:c r="D709" s="19" t="str">
        <x:v>S03</x:v>
      </x:c>
      <x:c r="E709" s="19" t="str">
        <x:v>铂悦城店</x:v>
      </x:c>
      <x:c r="F709" s="19" t="str">
        <x:v>外卖</x:v>
      </x:c>
      <x:c r="G709" s="19" t="str">
        <x:v>全日</x:v>
      </x:c>
      <x:c r="H709" s="19" t="str">
        <x:v>D05</x:v>
      </x:c>
      <x:c r="I709" s="19" t="str">
        <x:v>麻婆豆腐</x:v>
      </x:c>
      <x:c r="J709" s="22" t="n">
        <x:f>XLOOKUP(H709,'菜品主数据'!$A$5:$A$24,'菜品主数据'!$D$5:$D$24,0)</x:f>
        <x:v>9.9</x:v>
      </x:c>
      <x:c r="K709" s="31" t="n">
        <x:v>5</x:v>
      </x:c>
      <x:c r="L709" s="35" t="n">
        <x:f>J709*K709</x:f>
        <x:v>49.5</x:v>
      </x:c>
      <x:c r="M709" s="36" t="n">
        <x:v>0.08</x:v>
      </x:c>
      <x:c r="N709" s="35" t="n">
        <x:f>L709*M709</x:f>
        <x:v>3.96</x:v>
      </x:c>
      <x:c r="O709" s="37" t="n">
        <x:v>0.18</x:v>
      </x:c>
      <x:c r="P709" s="35" t="n">
        <x:f>L709*O709</x:f>
        <x:v>8.91</x:v>
      </x:c>
      <x:c r="Q709" s="35" t="n">
        <x:v>1.2</x:v>
      </x:c>
      <x:c r="R709" s="35" t="n">
        <x:f>K709*Q709</x:f>
        <x:v>6</x:v>
      </x:c>
      <x:c r="S709" s="35" t="n">
        <x:f>XLOOKUP(H709,'菜品主数据'!$A$5:$A$24,'菜品主数据'!$G$5:$G$24,0)</x:f>
        <x:v>5.367000000000001</x:v>
      </x:c>
      <x:c r="T709" s="35" t="n">
        <x:f>K709*S709</x:f>
        <x:v>26.835000000000004</x:v>
      </x:c>
      <x:c r="U709" s="35" t="n">
        <x:f>L709-N709-P709-R709-T709</x:f>
        <x:v>3.794999999999991</x:v>
      </x:c>
      <x:c r="V709" s="21" t="n">
        <x:f>IFERROR(U709/L709,0)</x:f>
        <x:v>0.07666666666666648</x:v>
      </x:c>
    </x:row>
    <x:row r="710">
      <x:c r="A710" s="19" t="str">
        <x:v>SALE-00706</x:v>
      </x:c>
      <x:c r="B710" s="34" t="n">
        <x:v>46213.5</x:v>
      </x:c>
      <x:c r="C710" s="19" t="str">
        <x:v>周五</x:v>
      </x:c>
      <x:c r="D710" s="19" t="str">
        <x:v>S03</x:v>
      </x:c>
      <x:c r="E710" s="19" t="str">
        <x:v>铂悦城店</x:v>
      </x:c>
      <x:c r="F710" s="19" t="str">
        <x:v>外卖</x:v>
      </x:c>
      <x:c r="G710" s="19" t="str">
        <x:v>全日</x:v>
      </x:c>
      <x:c r="H710" s="19" t="str">
        <x:v>D06</x:v>
      </x:c>
      <x:c r="I710" s="19" t="str">
        <x:v>剁椒鱼头</x:v>
      </x:c>
      <x:c r="J710" s="22" t="n">
        <x:f>XLOOKUP(H710,'菜品主数据'!$A$5:$A$24,'菜品主数据'!$D$5:$D$24,0)</x:f>
        <x:v>39</x:v>
      </x:c>
      <x:c r="K710" s="31" t="n">
        <x:v>1</x:v>
      </x:c>
      <x:c r="L710" s="35" t="n">
        <x:f>J710*K710</x:f>
        <x:v>39</x:v>
      </x:c>
      <x:c r="M710" s="36" t="n">
        <x:v>0.08</x:v>
      </x:c>
      <x:c r="N710" s="35" t="n">
        <x:f>L710*M710</x:f>
        <x:v>3.12</x:v>
      </x:c>
      <x:c r="O710" s="37" t="n">
        <x:v>0.18</x:v>
      </x:c>
      <x:c r="P710" s="35" t="n">
        <x:f>L710*O710</x:f>
        <x:v>7.02</x:v>
      </x:c>
      <x:c r="Q710" s="35" t="n">
        <x:v>1.2</x:v>
      </x:c>
      <x:c r="R710" s="35" t="n">
        <x:f>K710*Q710</x:f>
        <x:v>1.2</x:v>
      </x:c>
      <x:c r="S710" s="35" t="n">
        <x:f>XLOOKUP(H710,'菜品主数据'!$A$5:$A$24,'菜品主数据'!$G$5:$G$24,0)</x:f>
        <x:v>17.446</x:v>
      </x:c>
      <x:c r="T710" s="35" t="n">
        <x:f>K710*S710</x:f>
        <x:v>17.446</x:v>
      </x:c>
      <x:c r="U710" s="35" t="n">
        <x:f>L710-N710-P710-R710-T710</x:f>
        <x:v>10.214000000000002</x:v>
      </x:c>
      <x:c r="V710" s="21" t="n">
        <x:f>IFERROR(U710/L710,0)</x:f>
        <x:v>0.26189743589743597</x:v>
      </x:c>
    </x:row>
    <x:row r="711">
      <x:c r="A711" s="19" t="str">
        <x:v>SALE-00707</x:v>
      </x:c>
      <x:c r="B711" s="34" t="n">
        <x:v>46213.5</x:v>
      </x:c>
      <x:c r="C711" s="19" t="str">
        <x:v>周五</x:v>
      </x:c>
      <x:c r="D711" s="19" t="str">
        <x:v>S03</x:v>
      </x:c>
      <x:c r="E711" s="19" t="str">
        <x:v>铂悦城店</x:v>
      </x:c>
      <x:c r="F711" s="19" t="str">
        <x:v>外卖</x:v>
      </x:c>
      <x:c r="G711" s="19" t="str">
        <x:v>全日</x:v>
      </x:c>
      <x:c r="H711" s="19" t="str">
        <x:v>D07</x:v>
      </x:c>
      <x:c r="I711" s="19" t="str">
        <x:v>川味回锅肉</x:v>
      </x:c>
      <x:c r="J711" s="22" t="n">
        <x:f>XLOOKUP(H711,'菜品主数据'!$A$5:$A$24,'菜品主数据'!$D$5:$D$24,0)</x:f>
        <x:v>29</x:v>
      </x:c>
      <x:c r="K711" s="31" t="n">
        <x:v>1</x:v>
      </x:c>
      <x:c r="L711" s="35" t="n">
        <x:f>J711*K711</x:f>
        <x:v>29</x:v>
      </x:c>
      <x:c r="M711" s="36" t="n">
        <x:v>0.08</x:v>
      </x:c>
      <x:c r="N711" s="35" t="n">
        <x:f>L711*M711</x:f>
        <x:v>2.32</x:v>
      </x:c>
      <x:c r="O711" s="37" t="n">
        <x:v>0.18</x:v>
      </x:c>
      <x:c r="P711" s="35" t="n">
        <x:f>L711*O711</x:f>
        <x:v>5.22</x:v>
      </x:c>
      <x:c r="Q711" s="35" t="n">
        <x:v>1.2</x:v>
      </x:c>
      <x:c r="R711" s="35" t="n">
        <x:f>K711*Q711</x:f>
        <x:v>1.2</x:v>
      </x:c>
      <x:c r="S711" s="35" t="n">
        <x:f>XLOOKUP(H711,'菜品主数据'!$A$5:$A$24,'菜品主数据'!$G$5:$G$24,0)</x:f>
        <x:v>10.231000000000002</x:v>
      </x:c>
      <x:c r="T711" s="35" t="n">
        <x:f>K711*S711</x:f>
        <x:v>10.231000000000002</x:v>
      </x:c>
      <x:c r="U711" s="35" t="n">
        <x:f>L711-N711-P711-R711-T711</x:f>
        <x:v>10.029</x:v>
      </x:c>
      <x:c r="V711" s="21" t="n">
        <x:f>IFERROR(U711/L711,0)</x:f>
        <x:v>0.3458275862068966</x:v>
      </x:c>
    </x:row>
    <x:row r="712">
      <x:c r="A712" s="19" t="str">
        <x:v>SALE-00708</x:v>
      </x:c>
      <x:c r="B712" s="34" t="n">
        <x:v>46213.5</x:v>
      </x:c>
      <x:c r="C712" s="19" t="str">
        <x:v>周五</x:v>
      </x:c>
      <x:c r="D712" s="19" t="str">
        <x:v>S03</x:v>
      </x:c>
      <x:c r="E712" s="19" t="str">
        <x:v>铂悦城店</x:v>
      </x:c>
      <x:c r="F712" s="19" t="str">
        <x:v>外卖</x:v>
      </x:c>
      <x:c r="G712" s="19" t="str">
        <x:v>全日</x:v>
      </x:c>
      <x:c r="H712" s="19" t="str">
        <x:v>D08</x:v>
      </x:c>
      <x:c r="I712" s="19" t="str">
        <x:v>生炒清远鸡</x:v>
      </x:c>
      <x:c r="J712" s="22" t="n">
        <x:f>XLOOKUP(H712,'菜品主数据'!$A$5:$A$24,'菜品主数据'!$D$5:$D$24,0)</x:f>
        <x:v>36</x:v>
      </x:c>
      <x:c r="K712" s="31" t="n">
        <x:v>1</x:v>
      </x:c>
      <x:c r="L712" s="35" t="n">
        <x:f>J712*K712</x:f>
        <x:v>36</x:v>
      </x:c>
      <x:c r="M712" s="36" t="n">
        <x:v>0.08</x:v>
      </x:c>
      <x:c r="N712" s="35" t="n">
        <x:f>L712*M712</x:f>
        <x:v>2.88</x:v>
      </x:c>
      <x:c r="O712" s="37" t="n">
        <x:v>0.18</x:v>
      </x:c>
      <x:c r="P712" s="35" t="n">
        <x:f>L712*O712</x:f>
        <x:v>6.4799999999999995</x:v>
      </x:c>
      <x:c r="Q712" s="35" t="n">
        <x:v>1.2</x:v>
      </x:c>
      <x:c r="R712" s="35" t="n">
        <x:f>K712*Q712</x:f>
        <x:v>1.2</x:v>
      </x:c>
      <x:c r="S712" s="35" t="n">
        <x:f>XLOOKUP(H712,'菜品主数据'!$A$5:$A$24,'菜品主数据'!$G$5:$G$24,0)</x:f>
        <x:v>13.48</x:v>
      </x:c>
      <x:c r="T712" s="35" t="n">
        <x:f>K712*S712</x:f>
        <x:v>13.48</x:v>
      </x:c>
      <x:c r="U712" s="35" t="n">
        <x:f>L712-N712-P712-R712-T712</x:f>
        <x:v>11.959999999999997</x:v>
      </x:c>
      <x:c r="V712" s="21" t="n">
        <x:f>IFERROR(U712/L712,0)</x:f>
        <x:v>0.33222222222222214</x:v>
      </x:c>
    </x:row>
    <x:row r="713">
      <x:c r="A713" s="19" t="str">
        <x:v>SALE-00709</x:v>
      </x:c>
      <x:c r="B713" s="34" t="n">
        <x:v>46213.5</x:v>
      </x:c>
      <x:c r="C713" s="19" t="str">
        <x:v>周五</x:v>
      </x:c>
      <x:c r="D713" s="19" t="str">
        <x:v>S03</x:v>
      </x:c>
      <x:c r="E713" s="19" t="str">
        <x:v>铂悦城店</x:v>
      </x:c>
      <x:c r="F713" s="19" t="str">
        <x:v>外卖</x:v>
      </x:c>
      <x:c r="G713" s="19" t="str">
        <x:v>全日</x:v>
      </x:c>
      <x:c r="H713" s="19" t="str">
        <x:v>D09</x:v>
      </x:c>
      <x:c r="I713" s="19" t="str">
        <x:v>炒豆干</x:v>
      </x:c>
      <x:c r="J713" s="22" t="n">
        <x:f>XLOOKUP(H713,'菜品主数据'!$A$5:$A$24,'菜品主数据'!$D$5:$D$24,0)</x:f>
        <x:v>18</x:v>
      </x:c>
      <x:c r="K713" s="31" t="n">
        <x:v>1</x:v>
      </x:c>
      <x:c r="L713" s="35" t="n">
        <x:f>J713*K713</x:f>
        <x:v>18</x:v>
      </x:c>
      <x:c r="M713" s="36" t="n">
        <x:v>0.08</x:v>
      </x:c>
      <x:c r="N713" s="35" t="n">
        <x:f>L713*M713</x:f>
        <x:v>1.44</x:v>
      </x:c>
      <x:c r="O713" s="37" t="n">
        <x:v>0.18</x:v>
      </x:c>
      <x:c r="P713" s="35" t="n">
        <x:f>L713*O713</x:f>
        <x:v>3.2399999999999998</x:v>
      </x:c>
      <x:c r="Q713" s="35" t="n">
        <x:v>1.2</x:v>
      </x:c>
      <x:c r="R713" s="35" t="n">
        <x:f>K713*Q713</x:f>
        <x:v>1.2</x:v>
      </x:c>
      <x:c r="S713" s="35" t="n">
        <x:f>XLOOKUP(H713,'菜品主数据'!$A$5:$A$24,'菜品主数据'!$G$5:$G$24,0)</x:f>
        <x:v>6.613999999999999</x:v>
      </x:c>
      <x:c r="T713" s="35" t="n">
        <x:f>K713*S713</x:f>
        <x:v>6.613999999999999</x:v>
      </x:c>
      <x:c r="U713" s="35" t="n">
        <x:f>L713-N713-P713-R713-T713</x:f>
        <x:v>5.506</x:v>
      </x:c>
      <x:c r="V713" s="21" t="n">
        <x:f>IFERROR(U713/L713,0)</x:f>
        <x:v>0.3058888888888889</x:v>
      </x:c>
    </x:row>
    <x:row r="714">
      <x:c r="A714" s="19" t="str">
        <x:v>SALE-00710</x:v>
      </x:c>
      <x:c r="B714" s="34" t="n">
        <x:v>46213.5</x:v>
      </x:c>
      <x:c r="C714" s="19" t="str">
        <x:v>周五</x:v>
      </x:c>
      <x:c r="D714" s="19" t="str">
        <x:v>S03</x:v>
      </x:c>
      <x:c r="E714" s="19" t="str">
        <x:v>铂悦城店</x:v>
      </x:c>
      <x:c r="F714" s="19" t="str">
        <x:v>外卖</x:v>
      </x:c>
      <x:c r="G714" s="19" t="str">
        <x:v>全日</x:v>
      </x:c>
      <x:c r="H714" s="19" t="str">
        <x:v>D10</x:v>
      </x:c>
      <x:c r="I714" s="19" t="str">
        <x:v>农家一碗香</x:v>
      </x:c>
      <x:c r="J714" s="22" t="n">
        <x:f>XLOOKUP(H714,'菜品主数据'!$A$5:$A$24,'菜品主数据'!$D$5:$D$24,0)</x:f>
        <x:v>22.9</x:v>
      </x:c>
      <x:c r="K714" s="31" t="n">
        <x:v>2</x:v>
      </x:c>
      <x:c r="L714" s="35" t="n">
        <x:f>J714*K714</x:f>
        <x:v>45.8</x:v>
      </x:c>
      <x:c r="M714" s="36" t="n">
        <x:v>0.08</x:v>
      </x:c>
      <x:c r="N714" s="35" t="n">
        <x:f>L714*M714</x:f>
        <x:v>3.6639999999999997</x:v>
      </x:c>
      <x:c r="O714" s="37" t="n">
        <x:v>0.18</x:v>
      </x:c>
      <x:c r="P714" s="35" t="n">
        <x:f>L714*O714</x:f>
        <x:v>8.244</x:v>
      </x:c>
      <x:c r="Q714" s="35" t="n">
        <x:v>1.2</x:v>
      </x:c>
      <x:c r="R714" s="35" t="n">
        <x:f>K714*Q714</x:f>
        <x:v>2.4</x:v>
      </x:c>
      <x:c r="S714" s="35" t="n">
        <x:f>XLOOKUP(H714,'菜品主数据'!$A$5:$A$24,'菜品主数据'!$G$5:$G$24,0)</x:f>
        <x:v>9.770200000000003</x:v>
      </x:c>
      <x:c r="T714" s="35" t="n">
        <x:f>K714*S714</x:f>
        <x:v>19.540400000000005</x:v>
      </x:c>
      <x:c r="U714" s="35" t="n">
        <x:f>L714-N714-P714-R714-T714</x:f>
        <x:v>11.951599999999992</x:v>
      </x:c>
      <x:c r="V714" s="21" t="n">
        <x:f>IFERROR(U714/L714,0)</x:f>
        <x:v>0.260951965065502</x:v>
      </x:c>
    </x:row>
    <x:row r="715">
      <x:c r="A715" s="19" t="str">
        <x:v>SALE-00711</x:v>
      </x:c>
      <x:c r="B715" s="34" t="n">
        <x:v>46213.5</x:v>
      </x:c>
      <x:c r="C715" s="19" t="str">
        <x:v>周五</x:v>
      </x:c>
      <x:c r="D715" s="19" t="str">
        <x:v>S03</x:v>
      </x:c>
      <x:c r="E715" s="19" t="str">
        <x:v>铂悦城店</x:v>
      </x:c>
      <x:c r="F715" s="19" t="str">
        <x:v>外卖</x:v>
      </x:c>
      <x:c r="G715" s="19" t="str">
        <x:v>全日</x:v>
      </x:c>
      <x:c r="H715" s="19" t="str">
        <x:v>D11</x:v>
      </x:c>
      <x:c r="I715" s="19" t="str">
        <x:v>香辣爆肥肠</x:v>
      </x:c>
      <x:c r="J715" s="22" t="n">
        <x:f>XLOOKUP(H715,'菜品主数据'!$A$5:$A$24,'菜品主数据'!$D$5:$D$24,0)</x:f>
        <x:v>39</x:v>
      </x:c>
      <x:c r="K715" s="31" t="n">
        <x:v>0</x:v>
      </x:c>
      <x:c r="L715" s="35" t="n">
        <x:f>J715*K715</x:f>
        <x:v>0</x:v>
      </x:c>
      <x:c r="M715" s="36" t="n">
        <x:v>0.08</x:v>
      </x:c>
      <x:c r="N715" s="35" t="n">
        <x:f>L715*M715</x:f>
        <x:v>0</x:v>
      </x:c>
      <x:c r="O715" s="37" t="n">
        <x:v>0.18</x:v>
      </x:c>
      <x:c r="P715" s="35" t="n">
        <x:f>L715*O715</x:f>
        <x:v>0</x:v>
      </x:c>
      <x:c r="Q715" s="35" t="n">
        <x:v>1.2</x:v>
      </x:c>
      <x:c r="R715" s="35" t="n">
        <x:f>K715*Q715</x:f>
        <x:v>0</x:v>
      </x:c>
      <x:c r="S715" s="35" t="n">
        <x:f>XLOOKUP(H715,'菜品主数据'!$A$5:$A$24,'菜品主数据'!$G$5:$G$24,0)</x:f>
        <x:v>10.397</x:v>
      </x:c>
      <x:c r="T715" s="35" t="n">
        <x:f>K715*S715</x:f>
        <x:v>0</x:v>
      </x:c>
      <x:c r="U715" s="35" t="n">
        <x:f>L715-N715-P715-R715-T715</x:f>
        <x:v>0</x:v>
      </x:c>
      <x:c r="V715" s="21" t="n">
        <x:f>IFERROR(U715/L715,0)</x:f>
        <x:v>0</x:v>
      </x:c>
    </x:row>
    <x:row r="716">
      <x:c r="A716" s="19" t="str">
        <x:v>SALE-00712</x:v>
      </x:c>
      <x:c r="B716" s="34" t="n">
        <x:v>46213.5</x:v>
      </x:c>
      <x:c r="C716" s="19" t="str">
        <x:v>周五</x:v>
      </x:c>
      <x:c r="D716" s="19" t="str">
        <x:v>S03</x:v>
      </x:c>
      <x:c r="E716" s="19" t="str">
        <x:v>铂悦城店</x:v>
      </x:c>
      <x:c r="F716" s="19" t="str">
        <x:v>外卖</x:v>
      </x:c>
      <x:c r="G716" s="19" t="str">
        <x:v>全日</x:v>
      </x:c>
      <x:c r="H716" s="19" t="str">
        <x:v>D12</x:v>
      </x:c>
      <x:c r="I716" s="19" t="str">
        <x:v>清蒸鲈鱼</x:v>
      </x:c>
      <x:c r="J716" s="22" t="n">
        <x:f>XLOOKUP(H716,'菜品主数据'!$A$5:$A$24,'菜品主数据'!$D$5:$D$24,0)</x:f>
        <x:v>39</x:v>
      </x:c>
      <x:c r="K716" s="31" t="n">
        <x:v>0</x:v>
      </x:c>
      <x:c r="L716" s="35" t="n">
        <x:f>J716*K716</x:f>
        <x:v>0</x:v>
      </x:c>
      <x:c r="M716" s="36" t="n">
        <x:v>0.08</x:v>
      </x:c>
      <x:c r="N716" s="35" t="n">
        <x:f>L716*M716</x:f>
        <x:v>0</x:v>
      </x:c>
      <x:c r="O716" s="37" t="n">
        <x:v>0.18</x:v>
      </x:c>
      <x:c r="P716" s="35" t="n">
        <x:f>L716*O716</x:f>
        <x:v>0</x:v>
      </x:c>
      <x:c r="Q716" s="35" t="n">
        <x:v>1.2</x:v>
      </x:c>
      <x:c r="R716" s="35" t="n">
        <x:f>K716*Q716</x:f>
        <x:v>0</x:v>
      </x:c>
      <x:c r="S716" s="35" t="n">
        <x:f>XLOOKUP(H716,'菜品主数据'!$A$5:$A$24,'菜品主数据'!$G$5:$G$24,0)</x:f>
        <x:v>18.874</x:v>
      </x:c>
      <x:c r="T716" s="35" t="n">
        <x:f>K716*S716</x:f>
        <x:v>0</x:v>
      </x:c>
      <x:c r="U716" s="35" t="n">
        <x:f>L716-N716-P716-R716-T716</x:f>
        <x:v>0</x:v>
      </x:c>
      <x:c r="V716" s="21" t="n">
        <x:f>IFERROR(U716/L716,0)</x:f>
        <x:v>0</x:v>
      </x:c>
    </x:row>
    <x:row r="717">
      <x:c r="A717" s="19" t="str">
        <x:v>SALE-00713</x:v>
      </x:c>
      <x:c r="B717" s="34" t="n">
        <x:v>46213.5</x:v>
      </x:c>
      <x:c r="C717" s="19" t="str">
        <x:v>周五</x:v>
      </x:c>
      <x:c r="D717" s="19" t="str">
        <x:v>S03</x:v>
      </x:c>
      <x:c r="E717" s="19" t="str">
        <x:v>铂悦城店</x:v>
      </x:c>
      <x:c r="F717" s="19" t="str">
        <x:v>外卖</x:v>
      </x:c>
      <x:c r="G717" s="19" t="str">
        <x:v>全日</x:v>
      </x:c>
      <x:c r="H717" s="19" t="str">
        <x:v>D13</x:v>
      </x:c>
      <x:c r="I717" s="19" t="str">
        <x:v>外婆菜炒蛋</x:v>
      </x:c>
      <x:c r="J717" s="22" t="n">
        <x:f>XLOOKUP(H717,'菜品主数据'!$A$5:$A$24,'菜品主数据'!$D$5:$D$24,0)</x:f>
        <x:v>18</x:v>
      </x:c>
      <x:c r="K717" s="31" t="n">
        <x:v>1</x:v>
      </x:c>
      <x:c r="L717" s="35" t="n">
        <x:f>J717*K717</x:f>
        <x:v>18</x:v>
      </x:c>
      <x:c r="M717" s="36" t="n">
        <x:v>0.08</x:v>
      </x:c>
      <x:c r="N717" s="35" t="n">
        <x:f>L717*M717</x:f>
        <x:v>1.44</x:v>
      </x:c>
      <x:c r="O717" s="37" t="n">
        <x:v>0.18</x:v>
      </x:c>
      <x:c r="P717" s="35" t="n">
        <x:f>L717*O717</x:f>
        <x:v>3.2399999999999998</x:v>
      </x:c>
      <x:c r="Q717" s="35" t="n">
        <x:v>1.2</x:v>
      </x:c>
      <x:c r="R717" s="35" t="n">
        <x:f>K717*Q717</x:f>
        <x:v>1.2</x:v>
      </x:c>
      <x:c r="S717" s="35" t="n">
        <x:f>XLOOKUP(H717,'菜品主数据'!$A$5:$A$24,'菜品主数据'!$G$5:$G$24,0)</x:f>
        <x:v>5.403999999999999</x:v>
      </x:c>
      <x:c r="T717" s="35" t="n">
        <x:f>K717*S717</x:f>
        <x:v>5.403999999999999</x:v>
      </x:c>
      <x:c r="U717" s="35" t="n">
        <x:f>L717-N717-P717-R717-T717</x:f>
        <x:v>6.716</x:v>
      </x:c>
      <x:c r="V717" s="21" t="n">
        <x:f>IFERROR(U717/L717,0)</x:f>
        <x:v>0.3731111111111111</x:v>
      </x:c>
    </x:row>
    <x:row r="718">
      <x:c r="A718" s="19" t="str">
        <x:v>SALE-00714</x:v>
      </x:c>
      <x:c r="B718" s="34" t="n">
        <x:v>46213.5</x:v>
      </x:c>
      <x:c r="C718" s="19" t="str">
        <x:v>周五</x:v>
      </x:c>
      <x:c r="D718" s="19" t="str">
        <x:v>S03</x:v>
      </x:c>
      <x:c r="E718" s="19" t="str">
        <x:v>铂悦城店</x:v>
      </x:c>
      <x:c r="F718" s="19" t="str">
        <x:v>外卖</x:v>
      </x:c>
      <x:c r="G718" s="19" t="str">
        <x:v>全日</x:v>
      </x:c>
      <x:c r="H718" s="19" t="str">
        <x:v>D14</x:v>
      </x:c>
      <x:c r="I718" s="19" t="str">
        <x:v>酸辣鸡杂</x:v>
      </x:c>
      <x:c r="J718" s="22" t="n">
        <x:f>XLOOKUP(H718,'菜品主数据'!$A$5:$A$24,'菜品主数据'!$D$5:$D$24,0)</x:f>
        <x:v>28</x:v>
      </x:c>
      <x:c r="K718" s="31" t="n">
        <x:v>1</x:v>
      </x:c>
      <x:c r="L718" s="35" t="n">
        <x:f>J718*K718</x:f>
        <x:v>28</x:v>
      </x:c>
      <x:c r="M718" s="36" t="n">
        <x:v>0.08</x:v>
      </x:c>
      <x:c r="N718" s="35" t="n">
        <x:f>L718*M718</x:f>
        <x:v>2.24</x:v>
      </x:c>
      <x:c r="O718" s="37" t="n">
        <x:v>0.18</x:v>
      </x:c>
      <x:c r="P718" s="35" t="n">
        <x:f>L718*O718</x:f>
        <x:v>5.04</x:v>
      </x:c>
      <x:c r="Q718" s="35" t="n">
        <x:v>1.2</x:v>
      </x:c>
      <x:c r="R718" s="35" t="n">
        <x:f>K718*Q718</x:f>
        <x:v>1.2</x:v>
      </x:c>
      <x:c r="S718" s="35" t="n">
        <x:f>XLOOKUP(H718,'菜品主数据'!$A$5:$A$24,'菜品主数据'!$G$5:$G$24,0)</x:f>
        <x:v>8.315000000000001</x:v>
      </x:c>
      <x:c r="T718" s="35" t="n">
        <x:f>K718*S718</x:f>
        <x:v>8.315000000000001</x:v>
      </x:c>
      <x:c r="U718" s="35" t="n">
        <x:f>L718-N718-P718-R718-T718</x:f>
        <x:v>11.204999999999998</x:v>
      </x:c>
      <x:c r="V718" s="21" t="n">
        <x:f>IFERROR(U718/L718,0)</x:f>
        <x:v>0.4001785714285714</x:v>
      </x:c>
    </x:row>
    <x:row r="719">
      <x:c r="A719" s="19" t="str">
        <x:v>SALE-00715</x:v>
      </x:c>
      <x:c r="B719" s="34" t="n">
        <x:v>46213.5</x:v>
      </x:c>
      <x:c r="C719" s="19" t="str">
        <x:v>周五</x:v>
      </x:c>
      <x:c r="D719" s="19" t="str">
        <x:v>S03</x:v>
      </x:c>
      <x:c r="E719" s="19" t="str">
        <x:v>铂悦城店</x:v>
      </x:c>
      <x:c r="F719" s="19" t="str">
        <x:v>外卖</x:v>
      </x:c>
      <x:c r="G719" s="19" t="str">
        <x:v>全日</x:v>
      </x:c>
      <x:c r="H719" s="19" t="str">
        <x:v>D15</x:v>
      </x:c>
      <x:c r="I719" s="19" t="str">
        <x:v>湘西土匪猪肝</x:v>
      </x:c>
      <x:c r="J719" s="22" t="n">
        <x:f>XLOOKUP(H719,'菜品主数据'!$A$5:$A$24,'菜品主数据'!$D$5:$D$24,0)</x:f>
        <x:v>26</x:v>
      </x:c>
      <x:c r="K719" s="31" t="n">
        <x:v>0</x:v>
      </x:c>
      <x:c r="L719" s="35" t="n">
        <x:f>J719*K719</x:f>
        <x:v>0</x:v>
      </x:c>
      <x:c r="M719" s="36" t="n">
        <x:v>0.08</x:v>
      </x:c>
      <x:c r="N719" s="35" t="n">
        <x:f>L719*M719</x:f>
        <x:v>0</x:v>
      </x:c>
      <x:c r="O719" s="37" t="n">
        <x:v>0.18</x:v>
      </x:c>
      <x:c r="P719" s="35" t="n">
        <x:f>L719*O719</x:f>
        <x:v>0</x:v>
      </x:c>
      <x:c r="Q719" s="35" t="n">
        <x:v>1.2</x:v>
      </x:c>
      <x:c r="R719" s="35" t="n">
        <x:f>K719*Q719</x:f>
        <x:v>0</x:v>
      </x:c>
      <x:c r="S719" s="35" t="n">
        <x:f>XLOOKUP(H719,'菜品主数据'!$A$5:$A$24,'菜品主数据'!$G$5:$G$24,0)</x:f>
        <x:v>6.3759999999999994</x:v>
      </x:c>
      <x:c r="T719" s="35" t="n">
        <x:f>K719*S719</x:f>
        <x:v>0</x:v>
      </x:c>
      <x:c r="U719" s="35" t="n">
        <x:f>L719-N719-P719-R719-T719</x:f>
        <x:v>0</x:v>
      </x:c>
      <x:c r="V719" s="21" t="n">
        <x:f>IFERROR(U719/L719,0)</x:f>
        <x:v>0</x:v>
      </x:c>
    </x:row>
    <x:row r="720">
      <x:c r="A720" s="19" t="str">
        <x:v>SALE-00716</x:v>
      </x:c>
      <x:c r="B720" s="34" t="n">
        <x:v>46213.5</x:v>
      </x:c>
      <x:c r="C720" s="19" t="str">
        <x:v>周五</x:v>
      </x:c>
      <x:c r="D720" s="19" t="str">
        <x:v>S03</x:v>
      </x:c>
      <x:c r="E720" s="19" t="str">
        <x:v>铂悦城店</x:v>
      </x:c>
      <x:c r="F720" s="19" t="str">
        <x:v>外卖</x:v>
      </x:c>
      <x:c r="G720" s="19" t="str">
        <x:v>全日</x:v>
      </x:c>
      <x:c r="H720" s="19" t="str">
        <x:v>D16</x:v>
      </x:c>
      <x:c r="I720" s="19" t="str">
        <x:v>小豆角炒五花</x:v>
      </x:c>
      <x:c r="J720" s="22" t="n">
        <x:f>XLOOKUP(H720,'菜品主数据'!$A$5:$A$24,'菜品主数据'!$D$5:$D$24,0)</x:f>
        <x:v>25</x:v>
      </x:c>
      <x:c r="K720" s="31" t="n">
        <x:v>0</x:v>
      </x:c>
      <x:c r="L720" s="35" t="n">
        <x:f>J720*K720</x:f>
        <x:v>0</x:v>
      </x:c>
      <x:c r="M720" s="36" t="n">
        <x:v>0.08</x:v>
      </x:c>
      <x:c r="N720" s="35" t="n">
        <x:f>L720*M720</x:f>
        <x:v>0</x:v>
      </x:c>
      <x:c r="O720" s="37" t="n">
        <x:v>0.18</x:v>
      </x:c>
      <x:c r="P720" s="35" t="n">
        <x:f>L720*O720</x:f>
        <x:v>0</x:v>
      </x:c>
      <x:c r="Q720" s="35" t="n">
        <x:v>1.2</x:v>
      </x:c>
      <x:c r="R720" s="35" t="n">
        <x:f>K720*Q720</x:f>
        <x:v>0</x:v>
      </x:c>
      <x:c r="S720" s="35" t="n">
        <x:f>XLOOKUP(H720,'菜品主数据'!$A$5:$A$24,'菜品主数据'!$G$5:$G$24,0)</x:f>
        <x:v>8.184</x:v>
      </x:c>
      <x:c r="T720" s="35" t="n">
        <x:f>K720*S720</x:f>
        <x:v>0</x:v>
      </x:c>
      <x:c r="U720" s="35" t="n">
        <x:f>L720-N720-P720-R720-T720</x:f>
        <x:v>0</x:v>
      </x:c>
      <x:c r="V720" s="21" t="n">
        <x:f>IFERROR(U720/L720,0)</x:f>
        <x:v>0</x:v>
      </x:c>
    </x:row>
    <x:row r="721">
      <x:c r="A721" s="19" t="str">
        <x:v>SALE-00717</x:v>
      </x:c>
      <x:c r="B721" s="34" t="n">
        <x:v>46213.5</x:v>
      </x:c>
      <x:c r="C721" s="19" t="str">
        <x:v>周五</x:v>
      </x:c>
      <x:c r="D721" s="19" t="str">
        <x:v>S03</x:v>
      </x:c>
      <x:c r="E721" s="19" t="str">
        <x:v>铂悦城店</x:v>
      </x:c>
      <x:c r="F721" s="19" t="str">
        <x:v>外卖</x:v>
      </x:c>
      <x:c r="G721" s="19" t="str">
        <x:v>全日</x:v>
      </x:c>
      <x:c r="H721" s="19" t="str">
        <x:v>D17</x:v>
      </x:c>
      <x:c r="I721" s="19" t="str">
        <x:v>蒜蓉粉丝虾</x:v>
      </x:c>
      <x:c r="J721" s="22" t="n">
        <x:f>XLOOKUP(H721,'菜品主数据'!$A$5:$A$24,'菜品主数据'!$D$5:$D$24,0)</x:f>
        <x:v>36</x:v>
      </x:c>
      <x:c r="K721" s="31" t="n">
        <x:v>0</x:v>
      </x:c>
      <x:c r="L721" s="35" t="n">
        <x:f>J721*K721</x:f>
        <x:v>0</x:v>
      </x:c>
      <x:c r="M721" s="36" t="n">
        <x:v>0.08</x:v>
      </x:c>
      <x:c r="N721" s="35" t="n">
        <x:f>L721*M721</x:f>
        <x:v>0</x:v>
      </x:c>
      <x:c r="O721" s="37" t="n">
        <x:v>0.18</x:v>
      </x:c>
      <x:c r="P721" s="35" t="n">
        <x:f>L721*O721</x:f>
        <x:v>0</x:v>
      </x:c>
      <x:c r="Q721" s="35" t="n">
        <x:v>1.2</x:v>
      </x:c>
      <x:c r="R721" s="35" t="n">
        <x:f>K721*Q721</x:f>
        <x:v>0</x:v>
      </x:c>
      <x:c r="S721" s="35" t="n">
        <x:f>XLOOKUP(H721,'菜品主数据'!$A$5:$A$24,'菜品主数据'!$G$5:$G$24,0)</x:f>
        <x:v>13.594</x:v>
      </x:c>
      <x:c r="T721" s="35" t="n">
        <x:f>K721*S721</x:f>
        <x:v>0</x:v>
      </x:c>
      <x:c r="U721" s="35" t="n">
        <x:f>L721-N721-P721-R721-T721</x:f>
        <x:v>0</x:v>
      </x:c>
      <x:c r="V721" s="21" t="n">
        <x:f>IFERROR(U721/L721,0)</x:f>
        <x:v>0</x:v>
      </x:c>
    </x:row>
    <x:row r="722">
      <x:c r="A722" s="19" t="str">
        <x:v>SALE-00718</x:v>
      </x:c>
      <x:c r="B722" s="34" t="n">
        <x:v>46213.5</x:v>
      </x:c>
      <x:c r="C722" s="19" t="str">
        <x:v>周五</x:v>
      </x:c>
      <x:c r="D722" s="19" t="str">
        <x:v>S03</x:v>
      </x:c>
      <x:c r="E722" s="19" t="str">
        <x:v>铂悦城店</x:v>
      </x:c>
      <x:c r="F722" s="19" t="str">
        <x:v>外卖</x:v>
      </x:c>
      <x:c r="G722" s="19" t="str">
        <x:v>全日</x:v>
      </x:c>
      <x:c r="H722" s="19" t="str">
        <x:v>D18</x:v>
      </x:c>
      <x:c r="I722" s="19" t="str">
        <x:v>青椒炒油麦菜</x:v>
      </x:c>
      <x:c r="J722" s="22" t="n">
        <x:f>XLOOKUP(H722,'菜品主数据'!$A$5:$A$24,'菜品主数据'!$D$5:$D$24,0)</x:f>
        <x:v>18</x:v>
      </x:c>
      <x:c r="K722" s="31" t="n">
        <x:v>1</x:v>
      </x:c>
      <x:c r="L722" s="35" t="n">
        <x:f>J722*K722</x:f>
        <x:v>18</x:v>
      </x:c>
      <x:c r="M722" s="36" t="n">
        <x:v>0.08</x:v>
      </x:c>
      <x:c r="N722" s="35" t="n">
        <x:f>L722*M722</x:f>
        <x:v>1.44</x:v>
      </x:c>
      <x:c r="O722" s="37" t="n">
        <x:v>0.18</x:v>
      </x:c>
      <x:c r="P722" s="35" t="n">
        <x:f>L722*O722</x:f>
        <x:v>3.2399999999999998</x:v>
      </x:c>
      <x:c r="Q722" s="35" t="n">
        <x:v>1.2</x:v>
      </x:c>
      <x:c r="R722" s="35" t="n">
        <x:f>K722*Q722</x:f>
        <x:v>1.2</x:v>
      </x:c>
      <x:c r="S722" s="35" t="n">
        <x:f>XLOOKUP(H722,'菜品主数据'!$A$5:$A$24,'菜品主数据'!$G$5:$G$24,0)</x:f>
        <x:v>3.1759999999999993</x:v>
      </x:c>
      <x:c r="T722" s="35" t="n">
        <x:f>K722*S722</x:f>
        <x:v>3.1759999999999993</x:v>
      </x:c>
      <x:c r="U722" s="35" t="n">
        <x:f>L722-N722-P722-R722-T722</x:f>
        <x:v>8.943999999999999</x:v>
      </x:c>
      <x:c r="V722" s="21" t="n">
        <x:f>IFERROR(U722/L722,0)</x:f>
        <x:v>0.4968888888888888</x:v>
      </x:c>
    </x:row>
    <x:row r="723">
      <x:c r="A723" s="19" t="str">
        <x:v>SALE-00719</x:v>
      </x:c>
      <x:c r="B723" s="34" t="n">
        <x:v>46213.5</x:v>
      </x:c>
      <x:c r="C723" s="19" t="str">
        <x:v>周五</x:v>
      </x:c>
      <x:c r="D723" s="19" t="str">
        <x:v>S03</x:v>
      </x:c>
      <x:c r="E723" s="19" t="str">
        <x:v>铂悦城店</x:v>
      </x:c>
      <x:c r="F723" s="19" t="str">
        <x:v>外卖</x:v>
      </x:c>
      <x:c r="G723" s="19" t="str">
        <x:v>全日</x:v>
      </x:c>
      <x:c r="H723" s="19" t="str">
        <x:v>D19</x:v>
      </x:c>
      <x:c r="I723" s="19" t="str">
        <x:v>酸萝卜炒鸡杂</x:v>
      </x:c>
      <x:c r="J723" s="22" t="n">
        <x:f>XLOOKUP(H723,'菜品主数据'!$A$5:$A$24,'菜品主数据'!$D$5:$D$24,0)</x:f>
        <x:v>25</x:v>
      </x:c>
      <x:c r="K723" s="31" t="n">
        <x:v>0</x:v>
      </x:c>
      <x:c r="L723" s="35" t="n">
        <x:f>J723*K723</x:f>
        <x:v>0</x:v>
      </x:c>
      <x:c r="M723" s="36" t="n">
        <x:v>0.08</x:v>
      </x:c>
      <x:c r="N723" s="35" t="n">
        <x:f>L723*M723</x:f>
        <x:v>0</x:v>
      </x:c>
      <x:c r="O723" s="37" t="n">
        <x:v>0.18</x:v>
      </x:c>
      <x:c r="P723" s="35" t="n">
        <x:f>L723*O723</x:f>
        <x:v>0</x:v>
      </x:c>
      <x:c r="Q723" s="35" t="n">
        <x:v>1.2</x:v>
      </x:c>
      <x:c r="R723" s="35" t="n">
        <x:f>K723*Q723</x:f>
        <x:v>0</x:v>
      </x:c>
      <x:c r="S723" s="35" t="n">
        <x:f>XLOOKUP(H723,'菜品主数据'!$A$5:$A$24,'菜品主数据'!$G$5:$G$24,0)</x:f>
        <x:v>7.9399999999999995</x:v>
      </x:c>
      <x:c r="T723" s="35" t="n">
        <x:f>K723*S723</x:f>
        <x:v>0</x:v>
      </x:c>
      <x:c r="U723" s="35" t="n">
        <x:f>L723-N723-P723-R723-T723</x:f>
        <x:v>0</x:v>
      </x:c>
      <x:c r="V723" s="21" t="n">
        <x:f>IFERROR(U723/L723,0)</x:f>
        <x:v>0</x:v>
      </x:c>
    </x:row>
    <x:row r="724">
      <x:c r="A724" s="19" t="str">
        <x:v>SALE-00720</x:v>
      </x:c>
      <x:c r="B724" s="34" t="n">
        <x:v>46213.5</x:v>
      </x:c>
      <x:c r="C724" s="19" t="str">
        <x:v>周五</x:v>
      </x:c>
      <x:c r="D724" s="19" t="str">
        <x:v>S03</x:v>
      </x:c>
      <x:c r="E724" s="19" t="str">
        <x:v>铂悦城店</x:v>
      </x:c>
      <x:c r="F724" s="19" t="str">
        <x:v>外卖</x:v>
      </x:c>
      <x:c r="G724" s="19" t="str">
        <x:v>全日</x:v>
      </x:c>
      <x:c r="H724" s="19" t="str">
        <x:v>D20</x:v>
      </x:c>
      <x:c r="I724" s="19" t="str">
        <x:v>雪菜肉末青豆</x:v>
      </x:c>
      <x:c r="J724" s="22" t="n">
        <x:f>XLOOKUP(H724,'菜品主数据'!$A$5:$A$24,'菜品主数据'!$D$5:$D$24,0)</x:f>
        <x:v>18</x:v>
      </x:c>
      <x:c r="K724" s="31" t="n">
        <x:v>1</x:v>
      </x:c>
      <x:c r="L724" s="35" t="n">
        <x:f>J724*K724</x:f>
        <x:v>18</x:v>
      </x:c>
      <x:c r="M724" s="36" t="n">
        <x:v>0.08</x:v>
      </x:c>
      <x:c r="N724" s="35" t="n">
        <x:f>L724*M724</x:f>
        <x:v>1.44</x:v>
      </x:c>
      <x:c r="O724" s="37" t="n">
        <x:v>0.18</x:v>
      </x:c>
      <x:c r="P724" s="35" t="n">
        <x:f>L724*O724</x:f>
        <x:v>3.2399999999999998</x:v>
      </x:c>
      <x:c r="Q724" s="35" t="n">
        <x:v>1.2</x:v>
      </x:c>
      <x:c r="R724" s="35" t="n">
        <x:f>K724*Q724</x:f>
        <x:v>1.2</x:v>
      </x:c>
      <x:c r="S724" s="35" t="n">
        <x:f>XLOOKUP(H724,'菜品主数据'!$A$5:$A$24,'菜品主数据'!$G$5:$G$24,0)</x:f>
        <x:v>7.303999999999999</x:v>
      </x:c>
      <x:c r="T724" s="35" t="n">
        <x:f>K724*S724</x:f>
        <x:v>7.303999999999999</x:v>
      </x:c>
      <x:c r="U724" s="35" t="n">
        <x:f>L724-N724-P724-R724-T724</x:f>
        <x:v>4.816</x:v>
      </x:c>
      <x:c r="V724" s="21" t="n">
        <x:f>IFERROR(U724/L724,0)</x:f>
        <x:v>0.26755555555555555</x:v>
      </x:c>
    </x:row>
    <x:row r="725">
      <x:c r="A725" s="19" t="str">
        <x:v>SALE-00721</x:v>
      </x:c>
      <x:c r="B725" s="34" t="n">
        <x:v>46214.5</x:v>
      </x:c>
      <x:c r="C725" s="19" t="str">
        <x:v>周六</x:v>
      </x:c>
      <x:c r="D725" s="19" t="str">
        <x:v>S03</x:v>
      </x:c>
      <x:c r="E725" s="19" t="str">
        <x:v>铂悦城店</x:v>
      </x:c>
      <x:c r="F725" s="19" t="str">
        <x:v>堂食</x:v>
      </x:c>
      <x:c r="G725" s="19" t="str">
        <x:v>全日</x:v>
      </x:c>
      <x:c r="H725" s="19" t="str">
        <x:v>D01</x:v>
      </x:c>
      <x:c r="I725" s="19" t="str">
        <x:v>辣椒炒肉</x:v>
      </x:c>
      <x:c r="J725" s="22" t="n">
        <x:f>XLOOKUP(H725,'菜品主数据'!$A$5:$A$24,'菜品主数据'!$D$5:$D$24,0)</x:f>
        <x:v>29</x:v>
      </x:c>
      <x:c r="K725" s="31" t="n">
        <x:v>35</x:v>
      </x:c>
      <x:c r="L725" s="35" t="n">
        <x:f>J725*K725</x:f>
        <x:v>1015</x:v>
      </x:c>
      <x:c r="M725" s="36" t="n">
        <x:v>0</x:v>
      </x:c>
      <x:c r="N725" s="35" t="n">
        <x:f>L725*M725</x:f>
        <x:v>0</x:v>
      </x:c>
      <x:c r="O725" s="37" t="n">
        <x:v>0</x:v>
      </x:c>
      <x:c r="P725" s="35" t="n">
        <x:f>L725*O725</x:f>
        <x:v>0</x:v>
      </x:c>
      <x:c r="Q725" s="35" t="n">
        <x:v>0</x:v>
      </x:c>
      <x:c r="R725" s="35" t="n">
        <x:f>K725*Q725</x:f>
        <x:v>0</x:v>
      </x:c>
      <x:c r="S725" s="35" t="n">
        <x:f>XLOOKUP(H725,'菜品主数据'!$A$5:$A$24,'菜品主数据'!$G$5:$G$24,0)</x:f>
        <x:v>8.634400000000001</x:v>
      </x:c>
      <x:c r="T725" s="35" t="n">
        <x:f>K725*S725</x:f>
        <x:v>302.20400000000006</x:v>
      </x:c>
      <x:c r="U725" s="35" t="n">
        <x:f>L725-N725-P725-R725-T725</x:f>
        <x:v>712.7959999999999</x:v>
      </x:c>
      <x:c r="V725" s="21" t="n">
        <x:f>IFERROR(U725/L725,0)</x:f>
        <x:v>0.7022620689655171</x:v>
      </x:c>
    </x:row>
    <x:row r="726">
      <x:c r="A726" s="19" t="str">
        <x:v>SALE-00722</x:v>
      </x:c>
      <x:c r="B726" s="34" t="n">
        <x:v>46214.5</x:v>
      </x:c>
      <x:c r="C726" s="19" t="str">
        <x:v>周六</x:v>
      </x:c>
      <x:c r="D726" s="19" t="str">
        <x:v>S03</x:v>
      </x:c>
      <x:c r="E726" s="19" t="str">
        <x:v>铂悦城店</x:v>
      </x:c>
      <x:c r="F726" s="19" t="str">
        <x:v>堂食</x:v>
      </x:c>
      <x:c r="G726" s="19" t="str">
        <x:v>全日</x:v>
      </x:c>
      <x:c r="H726" s="19" t="str">
        <x:v>D02</x:v>
      </x:c>
      <x:c r="I726" s="19" t="str">
        <x:v>小炒黄牛肉</x:v>
      </x:c>
      <x:c r="J726" s="22" t="n">
        <x:f>XLOOKUP(H726,'菜品主数据'!$A$5:$A$24,'菜品主数据'!$D$5:$D$24,0)</x:f>
        <x:v>49</x:v>
      </x:c>
      <x:c r="K726" s="31" t="n">
        <x:v>21</x:v>
      </x:c>
      <x:c r="L726" s="35" t="n">
        <x:f>J726*K726</x:f>
        <x:v>1029</x:v>
      </x:c>
      <x:c r="M726" s="36" t="n">
        <x:v>0</x:v>
      </x:c>
      <x:c r="N726" s="35" t="n">
        <x:f>L726*M726</x:f>
        <x:v>0</x:v>
      </x:c>
      <x:c r="O726" s="37" t="n">
        <x:v>0</x:v>
      </x:c>
      <x:c r="P726" s="35" t="n">
        <x:f>L726*O726</x:f>
        <x:v>0</x:v>
      </x:c>
      <x:c r="Q726" s="35" t="n">
        <x:v>0</x:v>
      </x:c>
      <x:c r="R726" s="35" t="n">
        <x:f>K726*Q726</x:f>
        <x:v>0</x:v>
      </x:c>
      <x:c r="S726" s="35" t="n">
        <x:f>XLOOKUP(H726,'菜品主数据'!$A$5:$A$24,'菜品主数据'!$G$5:$G$24,0)</x:f>
        <x:v>17.577</x:v>
      </x:c>
      <x:c r="T726" s="35" t="n">
        <x:f>K726*S726</x:f>
        <x:v>369.117</x:v>
      </x:c>
      <x:c r="U726" s="35" t="n">
        <x:f>L726-N726-P726-R726-T726</x:f>
        <x:v>659.883</x:v>
      </x:c>
      <x:c r="V726" s="21" t="n">
        <x:f>IFERROR(U726/L726,0)</x:f>
        <x:v>0.6412857142857143</x:v>
      </x:c>
    </x:row>
    <x:row r="727">
      <x:c r="A727" s="19" t="str">
        <x:v>SALE-00723</x:v>
      </x:c>
      <x:c r="B727" s="34" t="n">
        <x:v>46214.5</x:v>
      </x:c>
      <x:c r="C727" s="19" t="str">
        <x:v>周六</x:v>
      </x:c>
      <x:c r="D727" s="19" t="str">
        <x:v>S03</x:v>
      </x:c>
      <x:c r="E727" s="19" t="str">
        <x:v>铂悦城店</x:v>
      </x:c>
      <x:c r="F727" s="19" t="str">
        <x:v>堂食</x:v>
      </x:c>
      <x:c r="G727" s="19" t="str">
        <x:v>全日</x:v>
      </x:c>
      <x:c r="H727" s="19" t="str">
        <x:v>D03</x:v>
      </x:c>
      <x:c r="I727" s="19" t="str">
        <x:v>香醋炒蛋</x:v>
      </x:c>
      <x:c r="J727" s="22" t="n">
        <x:f>XLOOKUP(H727,'菜品主数据'!$A$5:$A$24,'菜品主数据'!$D$5:$D$24,0)</x:f>
        <x:v>14.9</x:v>
      </x:c>
      <x:c r="K727" s="31" t="n">
        <x:v>30</x:v>
      </x:c>
      <x:c r="L727" s="35" t="n">
        <x:f>J727*K727</x:f>
        <x:v>447</x:v>
      </x:c>
      <x:c r="M727" s="36" t="n">
        <x:v>0</x:v>
      </x:c>
      <x:c r="N727" s="35" t="n">
        <x:f>L727*M727</x:f>
        <x:v>0</x:v>
      </x:c>
      <x:c r="O727" s="37" t="n">
        <x:v>0</x:v>
      </x:c>
      <x:c r="P727" s="35" t="n">
        <x:f>L727*O727</x:f>
        <x:v>0</x:v>
      </x:c>
      <x:c r="Q727" s="35" t="n">
        <x:v>0</x:v>
      </x:c>
      <x:c r="R727" s="35" t="n">
        <x:f>K727*Q727</x:f>
        <x:v>0</x:v>
      </x:c>
      <x:c r="S727" s="35" t="n">
        <x:f>XLOOKUP(H727,'菜品主数据'!$A$5:$A$24,'菜品主数据'!$G$5:$G$24,0)</x:f>
        <x:v>3.7459999999999996</x:v>
      </x:c>
      <x:c r="T727" s="35" t="n">
        <x:f>K727*S727</x:f>
        <x:v>112.37999999999998</x:v>
      </x:c>
      <x:c r="U727" s="35" t="n">
        <x:f>L727-N727-P727-R727-T727</x:f>
        <x:v>334.62</x:v>
      </x:c>
      <x:c r="V727" s="21" t="n">
        <x:f>IFERROR(U727/L727,0)</x:f>
        <x:v>0.7485906040268456</x:v>
      </x:c>
    </x:row>
    <x:row r="728">
      <x:c r="A728" s="19" t="str">
        <x:v>SALE-00724</x:v>
      </x:c>
      <x:c r="B728" s="34" t="n">
        <x:v>46214.5</x:v>
      </x:c>
      <x:c r="C728" s="19" t="str">
        <x:v>周六</x:v>
      </x:c>
      <x:c r="D728" s="19" t="str">
        <x:v>S03</x:v>
      </x:c>
      <x:c r="E728" s="19" t="str">
        <x:v>铂悦城店</x:v>
      </x:c>
      <x:c r="F728" s="19" t="str">
        <x:v>堂食</x:v>
      </x:c>
      <x:c r="G728" s="19" t="str">
        <x:v>全日</x:v>
      </x:c>
      <x:c r="H728" s="19" t="str">
        <x:v>D04</x:v>
      </x:c>
      <x:c r="I728" s="19" t="str">
        <x:v>酸包菜炒粉皮</x:v>
      </x:c>
      <x:c r="J728" s="22" t="n">
        <x:f>XLOOKUP(H728,'菜品主数据'!$A$5:$A$24,'菜品主数据'!$D$5:$D$24,0)</x:f>
        <x:v>16</x:v>
      </x:c>
      <x:c r="K728" s="31" t="n">
        <x:v>26</x:v>
      </x:c>
      <x:c r="L728" s="35" t="n">
        <x:f>J728*K728</x:f>
        <x:v>416</x:v>
      </x:c>
      <x:c r="M728" s="36" t="n">
        <x:v>0</x:v>
      </x:c>
      <x:c r="N728" s="35" t="n">
        <x:f>L728*M728</x:f>
        <x:v>0</x:v>
      </x:c>
      <x:c r="O728" s="37" t="n">
        <x:v>0</x:v>
      </x:c>
      <x:c r="P728" s="35" t="n">
        <x:f>L728*O728</x:f>
        <x:v>0</x:v>
      </x:c>
      <x:c r="Q728" s="35" t="n">
        <x:v>0</x:v>
      </x:c>
      <x:c r="R728" s="35" t="n">
        <x:f>K728*Q728</x:f>
        <x:v>0</x:v>
      </x:c>
      <x:c r="S728" s="35" t="n">
        <x:f>XLOOKUP(H728,'菜品主数据'!$A$5:$A$24,'菜品主数据'!$G$5:$G$24,0)</x:f>
        <x:v>3.978</x:v>
      </x:c>
      <x:c r="T728" s="35" t="n">
        <x:f>K728*S728</x:f>
        <x:v>103.42800000000001</x:v>
      </x:c>
      <x:c r="U728" s="35" t="n">
        <x:f>L728-N728-P728-R728-T728</x:f>
        <x:v>312.572</x:v>
      </x:c>
      <x:c r="V728" s="21" t="n">
        <x:f>IFERROR(U728/L728,0)</x:f>
        <x:v>0.751375</x:v>
      </x:c>
    </x:row>
    <x:row r="729">
      <x:c r="A729" s="19" t="str">
        <x:v>SALE-00725</x:v>
      </x:c>
      <x:c r="B729" s="34" t="n">
        <x:v>46214.5</x:v>
      </x:c>
      <x:c r="C729" s="19" t="str">
        <x:v>周六</x:v>
      </x:c>
      <x:c r="D729" s="19" t="str">
        <x:v>S03</x:v>
      </x:c>
      <x:c r="E729" s="19" t="str">
        <x:v>铂悦城店</x:v>
      </x:c>
      <x:c r="F729" s="19" t="str">
        <x:v>堂食</x:v>
      </x:c>
      <x:c r="G729" s="19" t="str">
        <x:v>全日</x:v>
      </x:c>
      <x:c r="H729" s="19" t="str">
        <x:v>D05</x:v>
      </x:c>
      <x:c r="I729" s="19" t="str">
        <x:v>麻婆豆腐</x:v>
      </x:c>
      <x:c r="J729" s="22" t="n">
        <x:f>XLOOKUP(H729,'菜品主数据'!$A$5:$A$24,'菜品主数据'!$D$5:$D$24,0)</x:f>
        <x:v>9.9</x:v>
      </x:c>
      <x:c r="K729" s="31" t="n">
        <x:v>38</x:v>
      </x:c>
      <x:c r="L729" s="35" t="n">
        <x:f>J729*K729</x:f>
        <x:v>376.2</x:v>
      </x:c>
      <x:c r="M729" s="36" t="n">
        <x:v>0</x:v>
      </x:c>
      <x:c r="N729" s="35" t="n">
        <x:f>L729*M729</x:f>
        <x:v>0</x:v>
      </x:c>
      <x:c r="O729" s="37" t="n">
        <x:v>0</x:v>
      </x:c>
      <x:c r="P729" s="35" t="n">
        <x:f>L729*O729</x:f>
        <x:v>0</x:v>
      </x:c>
      <x:c r="Q729" s="35" t="n">
        <x:v>0</x:v>
      </x:c>
      <x:c r="R729" s="35" t="n">
        <x:f>K729*Q729</x:f>
        <x:v>0</x:v>
      </x:c>
      <x:c r="S729" s="35" t="n">
        <x:f>XLOOKUP(H729,'菜品主数据'!$A$5:$A$24,'菜品主数据'!$G$5:$G$24,0)</x:f>
        <x:v>5.367000000000001</x:v>
      </x:c>
      <x:c r="T729" s="35" t="n">
        <x:f>K729*S729</x:f>
        <x:v>203.94600000000003</x:v>
      </x:c>
      <x:c r="U729" s="35" t="n">
        <x:f>L729-N729-P729-R729-T729</x:f>
        <x:v>172.25399999999996</x:v>
      </x:c>
      <x:c r="V729" s="21" t="n">
        <x:f>IFERROR(U729/L729,0)</x:f>
        <x:v>0.4578787878787878</x:v>
      </x:c>
    </x:row>
    <x:row r="730">
      <x:c r="A730" s="19" t="str">
        <x:v>SALE-00726</x:v>
      </x:c>
      <x:c r="B730" s="34" t="n">
        <x:v>46214.5</x:v>
      </x:c>
      <x:c r="C730" s="19" t="str">
        <x:v>周六</x:v>
      </x:c>
      <x:c r="D730" s="19" t="str">
        <x:v>S03</x:v>
      </x:c>
      <x:c r="E730" s="19" t="str">
        <x:v>铂悦城店</x:v>
      </x:c>
      <x:c r="F730" s="19" t="str">
        <x:v>堂食</x:v>
      </x:c>
      <x:c r="G730" s="19" t="str">
        <x:v>全日</x:v>
      </x:c>
      <x:c r="H730" s="19" t="str">
        <x:v>D06</x:v>
      </x:c>
      <x:c r="I730" s="19" t="str">
        <x:v>剁椒鱼头</x:v>
      </x:c>
      <x:c r="J730" s="22" t="n">
        <x:f>XLOOKUP(H730,'菜品主数据'!$A$5:$A$24,'菜品主数据'!$D$5:$D$24,0)</x:f>
        <x:v>39</x:v>
      </x:c>
      <x:c r="K730" s="31" t="n">
        <x:v>10</x:v>
      </x:c>
      <x:c r="L730" s="35" t="n">
        <x:f>J730*K730</x:f>
        <x:v>390</x:v>
      </x:c>
      <x:c r="M730" s="36" t="n">
        <x:v>0</x:v>
      </x:c>
      <x:c r="N730" s="35" t="n">
        <x:f>L730*M730</x:f>
        <x:v>0</x:v>
      </x:c>
      <x:c r="O730" s="37" t="n">
        <x:v>0</x:v>
      </x:c>
      <x:c r="P730" s="35" t="n">
        <x:f>L730*O730</x:f>
        <x:v>0</x:v>
      </x:c>
      <x:c r="Q730" s="35" t="n">
        <x:v>0</x:v>
      </x:c>
      <x:c r="R730" s="35" t="n">
        <x:f>K730*Q730</x:f>
        <x:v>0</x:v>
      </x:c>
      <x:c r="S730" s="35" t="n">
        <x:f>XLOOKUP(H730,'菜品主数据'!$A$5:$A$24,'菜品主数据'!$G$5:$G$24,0)</x:f>
        <x:v>17.446</x:v>
      </x:c>
      <x:c r="T730" s="35" t="n">
        <x:f>K730*S730</x:f>
        <x:v>174.46</x:v>
      </x:c>
      <x:c r="U730" s="35" t="n">
        <x:f>L730-N730-P730-R730-T730</x:f>
        <x:v>215.54</x:v>
      </x:c>
      <x:c r="V730" s="21" t="n">
        <x:f>IFERROR(U730/L730,0)</x:f>
        <x:v>0.5526666666666666</x:v>
      </x:c>
    </x:row>
    <x:row r="731">
      <x:c r="A731" s="19" t="str">
        <x:v>SALE-00727</x:v>
      </x:c>
      <x:c r="B731" s="34" t="n">
        <x:v>46214.5</x:v>
      </x:c>
      <x:c r="C731" s="19" t="str">
        <x:v>周六</x:v>
      </x:c>
      <x:c r="D731" s="19" t="str">
        <x:v>S03</x:v>
      </x:c>
      <x:c r="E731" s="19" t="str">
        <x:v>铂悦城店</x:v>
      </x:c>
      <x:c r="F731" s="19" t="str">
        <x:v>堂食</x:v>
      </x:c>
      <x:c r="G731" s="19" t="str">
        <x:v>全日</x:v>
      </x:c>
      <x:c r="H731" s="19" t="str">
        <x:v>D07</x:v>
      </x:c>
      <x:c r="I731" s="19" t="str">
        <x:v>川味回锅肉</x:v>
      </x:c>
      <x:c r="J731" s="22" t="n">
        <x:f>XLOOKUP(H731,'菜品主数据'!$A$5:$A$24,'菜品主数据'!$D$5:$D$24,0)</x:f>
        <x:v>29</x:v>
      </x:c>
      <x:c r="K731" s="31" t="n">
        <x:v>11</x:v>
      </x:c>
      <x:c r="L731" s="35" t="n">
        <x:f>J731*K731</x:f>
        <x:v>319</x:v>
      </x:c>
      <x:c r="M731" s="36" t="n">
        <x:v>0</x:v>
      </x:c>
      <x:c r="N731" s="35" t="n">
        <x:f>L731*M731</x:f>
        <x:v>0</x:v>
      </x:c>
      <x:c r="O731" s="37" t="n">
        <x:v>0</x:v>
      </x:c>
      <x:c r="P731" s="35" t="n">
        <x:f>L731*O731</x:f>
        <x:v>0</x:v>
      </x:c>
      <x:c r="Q731" s="35" t="n">
        <x:v>0</x:v>
      </x:c>
      <x:c r="R731" s="35" t="n">
        <x:f>K731*Q731</x:f>
        <x:v>0</x:v>
      </x:c>
      <x:c r="S731" s="35" t="n">
        <x:f>XLOOKUP(H731,'菜品主数据'!$A$5:$A$24,'菜品主数据'!$G$5:$G$24,0)</x:f>
        <x:v>10.231000000000002</x:v>
      </x:c>
      <x:c r="T731" s="35" t="n">
        <x:f>K731*S731</x:f>
        <x:v>112.54100000000003</x:v>
      </x:c>
      <x:c r="U731" s="35" t="n">
        <x:f>L731-N731-P731-R731-T731</x:f>
        <x:v>206.45899999999997</x:v>
      </x:c>
      <x:c r="V731" s="21" t="n">
        <x:f>IFERROR(U731/L731,0)</x:f>
        <x:v>0.647206896551724</x:v>
      </x:c>
    </x:row>
    <x:row r="732">
      <x:c r="A732" s="19" t="str">
        <x:v>SALE-00728</x:v>
      </x:c>
      <x:c r="B732" s="34" t="n">
        <x:v>46214.5</x:v>
      </x:c>
      <x:c r="C732" s="19" t="str">
        <x:v>周六</x:v>
      </x:c>
      <x:c r="D732" s="19" t="str">
        <x:v>S03</x:v>
      </x:c>
      <x:c r="E732" s="19" t="str">
        <x:v>铂悦城店</x:v>
      </x:c>
      <x:c r="F732" s="19" t="str">
        <x:v>堂食</x:v>
      </x:c>
      <x:c r="G732" s="19" t="str">
        <x:v>全日</x:v>
      </x:c>
      <x:c r="H732" s="19" t="str">
        <x:v>D08</x:v>
      </x:c>
      <x:c r="I732" s="19" t="str">
        <x:v>生炒清远鸡</x:v>
      </x:c>
      <x:c r="J732" s="22" t="n">
        <x:f>XLOOKUP(H732,'菜品主数据'!$A$5:$A$24,'菜品主数据'!$D$5:$D$24,0)</x:f>
        <x:v>36</x:v>
      </x:c>
      <x:c r="K732" s="31" t="n">
        <x:v>8</x:v>
      </x:c>
      <x:c r="L732" s="35" t="n">
        <x:f>J732*K732</x:f>
        <x:v>288</x:v>
      </x:c>
      <x:c r="M732" s="36" t="n">
        <x:v>0</x:v>
      </x:c>
      <x:c r="N732" s="35" t="n">
        <x:f>L732*M732</x:f>
        <x:v>0</x:v>
      </x:c>
      <x:c r="O732" s="37" t="n">
        <x:v>0</x:v>
      </x:c>
      <x:c r="P732" s="35" t="n">
        <x:f>L732*O732</x:f>
        <x:v>0</x:v>
      </x:c>
      <x:c r="Q732" s="35" t="n">
        <x:v>0</x:v>
      </x:c>
      <x:c r="R732" s="35" t="n">
        <x:f>K732*Q732</x:f>
        <x:v>0</x:v>
      </x:c>
      <x:c r="S732" s="35" t="n">
        <x:f>XLOOKUP(H732,'菜品主数据'!$A$5:$A$24,'菜品主数据'!$G$5:$G$24,0)</x:f>
        <x:v>13.48</x:v>
      </x:c>
      <x:c r="T732" s="35" t="n">
        <x:f>K732*S732</x:f>
        <x:v>107.84</x:v>
      </x:c>
      <x:c r="U732" s="35" t="n">
        <x:f>L732-N732-P732-R732-T732</x:f>
        <x:v>180.16</x:v>
      </x:c>
      <x:c r="V732" s="21" t="n">
        <x:f>IFERROR(U732/L732,0)</x:f>
        <x:v>0.6255555555555555</x:v>
      </x:c>
    </x:row>
    <x:row r="733">
      <x:c r="A733" s="19" t="str">
        <x:v>SALE-00729</x:v>
      </x:c>
      <x:c r="B733" s="34" t="n">
        <x:v>46214.5</x:v>
      </x:c>
      <x:c r="C733" s="19" t="str">
        <x:v>周六</x:v>
      </x:c>
      <x:c r="D733" s="19" t="str">
        <x:v>S03</x:v>
      </x:c>
      <x:c r="E733" s="19" t="str">
        <x:v>铂悦城店</x:v>
      </x:c>
      <x:c r="F733" s="19" t="str">
        <x:v>堂食</x:v>
      </x:c>
      <x:c r="G733" s="19" t="str">
        <x:v>全日</x:v>
      </x:c>
      <x:c r="H733" s="19" t="str">
        <x:v>D09</x:v>
      </x:c>
      <x:c r="I733" s="19" t="str">
        <x:v>炒豆干</x:v>
      </x:c>
      <x:c r="J733" s="22" t="n">
        <x:f>XLOOKUP(H733,'菜品主数据'!$A$5:$A$24,'菜品主数据'!$D$5:$D$24,0)</x:f>
        <x:v>18</x:v>
      </x:c>
      <x:c r="K733" s="31" t="n">
        <x:v>12</x:v>
      </x:c>
      <x:c r="L733" s="35" t="n">
        <x:f>J733*K733</x:f>
        <x:v>216</x:v>
      </x:c>
      <x:c r="M733" s="36" t="n">
        <x:v>0</x:v>
      </x:c>
      <x:c r="N733" s="35" t="n">
        <x:f>L733*M733</x:f>
        <x:v>0</x:v>
      </x:c>
      <x:c r="O733" s="37" t="n">
        <x:v>0</x:v>
      </x:c>
      <x:c r="P733" s="35" t="n">
        <x:f>L733*O733</x:f>
        <x:v>0</x:v>
      </x:c>
      <x:c r="Q733" s="35" t="n">
        <x:v>0</x:v>
      </x:c>
      <x:c r="R733" s="35" t="n">
        <x:f>K733*Q733</x:f>
        <x:v>0</x:v>
      </x:c>
      <x:c r="S733" s="35" t="n">
        <x:f>XLOOKUP(H733,'菜品主数据'!$A$5:$A$24,'菜品主数据'!$G$5:$G$24,0)</x:f>
        <x:v>6.613999999999999</x:v>
      </x:c>
      <x:c r="T733" s="35" t="n">
        <x:f>K733*S733</x:f>
        <x:v>79.368</x:v>
      </x:c>
      <x:c r="U733" s="35" t="n">
        <x:f>L733-N733-P733-R733-T733</x:f>
        <x:v>136.632</x:v>
      </x:c>
      <x:c r="V733" s="21" t="n">
        <x:f>IFERROR(U733/L733,0)</x:f>
        <x:v>0.6325555555555555</x:v>
      </x:c>
    </x:row>
    <x:row r="734">
      <x:c r="A734" s="19" t="str">
        <x:v>SALE-00730</x:v>
      </x:c>
      <x:c r="B734" s="34" t="n">
        <x:v>46214.5</x:v>
      </x:c>
      <x:c r="C734" s="19" t="str">
        <x:v>周六</x:v>
      </x:c>
      <x:c r="D734" s="19" t="str">
        <x:v>S03</x:v>
      </x:c>
      <x:c r="E734" s="19" t="str">
        <x:v>铂悦城店</x:v>
      </x:c>
      <x:c r="F734" s="19" t="str">
        <x:v>堂食</x:v>
      </x:c>
      <x:c r="G734" s="19" t="str">
        <x:v>全日</x:v>
      </x:c>
      <x:c r="H734" s="19" t="str">
        <x:v>D10</x:v>
      </x:c>
      <x:c r="I734" s="19" t="str">
        <x:v>农家一碗香</x:v>
      </x:c>
      <x:c r="J734" s="22" t="n">
        <x:f>XLOOKUP(H734,'菜品主数据'!$A$5:$A$24,'菜品主数据'!$D$5:$D$24,0)</x:f>
        <x:v>22.9</x:v>
      </x:c>
      <x:c r="K734" s="31" t="n">
        <x:v>15</x:v>
      </x:c>
      <x:c r="L734" s="35" t="n">
        <x:f>J734*K734</x:f>
        <x:v>343.5</x:v>
      </x:c>
      <x:c r="M734" s="36" t="n">
        <x:v>0</x:v>
      </x:c>
      <x:c r="N734" s="35" t="n">
        <x:f>L734*M734</x:f>
        <x:v>0</x:v>
      </x:c>
      <x:c r="O734" s="37" t="n">
        <x:v>0</x:v>
      </x:c>
      <x:c r="P734" s="35" t="n">
        <x:f>L734*O734</x:f>
        <x:v>0</x:v>
      </x:c>
      <x:c r="Q734" s="35" t="n">
        <x:v>0</x:v>
      </x:c>
      <x:c r="R734" s="35" t="n">
        <x:f>K734*Q734</x:f>
        <x:v>0</x:v>
      </x:c>
      <x:c r="S734" s="35" t="n">
        <x:f>XLOOKUP(H734,'菜品主数据'!$A$5:$A$24,'菜品主数据'!$G$5:$G$24,0)</x:f>
        <x:v>9.770200000000003</x:v>
      </x:c>
      <x:c r="T734" s="35" t="n">
        <x:f>K734*S734</x:f>
        <x:v>146.55300000000005</x:v>
      </x:c>
      <x:c r="U734" s="35" t="n">
        <x:f>L734-N734-P734-R734-T734</x:f>
        <x:v>196.94699999999995</x:v>
      </x:c>
      <x:c r="V734" s="21" t="n">
        <x:f>IFERROR(U734/L734,0)</x:f>
        <x:v>0.5733537117903929</x:v>
      </x:c>
    </x:row>
    <x:row r="735">
      <x:c r="A735" s="19" t="str">
        <x:v>SALE-00731</x:v>
      </x:c>
      <x:c r="B735" s="34" t="n">
        <x:v>46214.5</x:v>
      </x:c>
      <x:c r="C735" s="19" t="str">
        <x:v>周六</x:v>
      </x:c>
      <x:c r="D735" s="19" t="str">
        <x:v>S03</x:v>
      </x:c>
      <x:c r="E735" s="19" t="str">
        <x:v>铂悦城店</x:v>
      </x:c>
      <x:c r="F735" s="19" t="str">
        <x:v>堂食</x:v>
      </x:c>
      <x:c r="G735" s="19" t="str">
        <x:v>全日</x:v>
      </x:c>
      <x:c r="H735" s="19" t="str">
        <x:v>D11</x:v>
      </x:c>
      <x:c r="I735" s="19" t="str">
        <x:v>香辣爆肥肠</x:v>
      </x:c>
      <x:c r="J735" s="22" t="n">
        <x:f>XLOOKUP(H735,'菜品主数据'!$A$5:$A$24,'菜品主数据'!$D$5:$D$24,0)</x:f>
        <x:v>39</x:v>
      </x:c>
      <x:c r="K735" s="31" t="n">
        <x:v>5</x:v>
      </x:c>
      <x:c r="L735" s="35" t="n">
        <x:f>J735*K735</x:f>
        <x:v>195</x:v>
      </x:c>
      <x:c r="M735" s="36" t="n">
        <x:v>0</x:v>
      </x:c>
      <x:c r="N735" s="35" t="n">
        <x:f>L735*M735</x:f>
        <x:v>0</x:v>
      </x:c>
      <x:c r="O735" s="37" t="n">
        <x:v>0</x:v>
      </x:c>
      <x:c r="P735" s="35" t="n">
        <x:f>L735*O735</x:f>
        <x:v>0</x:v>
      </x:c>
      <x:c r="Q735" s="35" t="n">
        <x:v>0</x:v>
      </x:c>
      <x:c r="R735" s="35" t="n">
        <x:f>K735*Q735</x:f>
        <x:v>0</x:v>
      </x:c>
      <x:c r="S735" s="35" t="n">
        <x:f>XLOOKUP(H735,'菜品主数据'!$A$5:$A$24,'菜品主数据'!$G$5:$G$24,0)</x:f>
        <x:v>10.397</x:v>
      </x:c>
      <x:c r="T735" s="35" t="n">
        <x:f>K735*S735</x:f>
        <x:v>51.985</x:v>
      </x:c>
      <x:c r="U735" s="35" t="n">
        <x:f>L735-N735-P735-R735-T735</x:f>
        <x:v>143.015</x:v>
      </x:c>
      <x:c r="V735" s="21" t="n">
        <x:f>IFERROR(U735/L735,0)</x:f>
        <x:v>0.7334102564102564</x:v>
      </x:c>
    </x:row>
    <x:row r="736">
      <x:c r="A736" s="19" t="str">
        <x:v>SALE-00732</x:v>
      </x:c>
      <x:c r="B736" s="34" t="n">
        <x:v>46214.5</x:v>
      </x:c>
      <x:c r="C736" s="19" t="str">
        <x:v>周六</x:v>
      </x:c>
      <x:c r="D736" s="19" t="str">
        <x:v>S03</x:v>
      </x:c>
      <x:c r="E736" s="19" t="str">
        <x:v>铂悦城店</x:v>
      </x:c>
      <x:c r="F736" s="19" t="str">
        <x:v>堂食</x:v>
      </x:c>
      <x:c r="G736" s="19" t="str">
        <x:v>全日</x:v>
      </x:c>
      <x:c r="H736" s="19" t="str">
        <x:v>D12</x:v>
      </x:c>
      <x:c r="I736" s="19" t="str">
        <x:v>清蒸鲈鱼</x:v>
      </x:c>
      <x:c r="J736" s="22" t="n">
        <x:f>XLOOKUP(H736,'菜品主数据'!$A$5:$A$24,'菜品主数据'!$D$5:$D$24,0)</x:f>
        <x:v>39</x:v>
      </x:c>
      <x:c r="K736" s="31" t="n">
        <x:v>5</x:v>
      </x:c>
      <x:c r="L736" s="35" t="n">
        <x:f>J736*K736</x:f>
        <x:v>195</x:v>
      </x:c>
      <x:c r="M736" s="36" t="n">
        <x:v>0</x:v>
      </x:c>
      <x:c r="N736" s="35" t="n">
        <x:f>L736*M736</x:f>
        <x:v>0</x:v>
      </x:c>
      <x:c r="O736" s="37" t="n">
        <x:v>0</x:v>
      </x:c>
      <x:c r="P736" s="35" t="n">
        <x:f>L736*O736</x:f>
        <x:v>0</x:v>
      </x:c>
      <x:c r="Q736" s="35" t="n">
        <x:v>0</x:v>
      </x:c>
      <x:c r="R736" s="35" t="n">
        <x:f>K736*Q736</x:f>
        <x:v>0</x:v>
      </x:c>
      <x:c r="S736" s="35" t="n">
        <x:f>XLOOKUP(H736,'菜品主数据'!$A$5:$A$24,'菜品主数据'!$G$5:$G$24,0)</x:f>
        <x:v>18.874</x:v>
      </x:c>
      <x:c r="T736" s="35" t="n">
        <x:f>K736*S736</x:f>
        <x:v>94.36999999999999</x:v>
      </x:c>
      <x:c r="U736" s="35" t="n">
        <x:f>L736-N736-P736-R736-T736</x:f>
        <x:v>100.63000000000001</x:v>
      </x:c>
      <x:c r="V736" s="21" t="n">
        <x:f>IFERROR(U736/L736,0)</x:f>
        <x:v>0.5160512820512821</x:v>
      </x:c>
    </x:row>
    <x:row r="737">
      <x:c r="A737" s="19" t="str">
        <x:v>SALE-00733</x:v>
      </x:c>
      <x:c r="B737" s="34" t="n">
        <x:v>46214.5</x:v>
      </x:c>
      <x:c r="C737" s="19" t="str">
        <x:v>周六</x:v>
      </x:c>
      <x:c r="D737" s="19" t="str">
        <x:v>S03</x:v>
      </x:c>
      <x:c r="E737" s="19" t="str">
        <x:v>铂悦城店</x:v>
      </x:c>
      <x:c r="F737" s="19" t="str">
        <x:v>堂食</x:v>
      </x:c>
      <x:c r="G737" s="19" t="str">
        <x:v>全日</x:v>
      </x:c>
      <x:c r="H737" s="19" t="str">
        <x:v>D13</x:v>
      </x:c>
      <x:c r="I737" s="19" t="str">
        <x:v>外婆菜炒蛋</x:v>
      </x:c>
      <x:c r="J737" s="22" t="n">
        <x:f>XLOOKUP(H737,'菜品主数据'!$A$5:$A$24,'菜品主数据'!$D$5:$D$24,0)</x:f>
        <x:v>18</x:v>
      </x:c>
      <x:c r="K737" s="31" t="n">
        <x:v>12</x:v>
      </x:c>
      <x:c r="L737" s="35" t="n">
        <x:f>J737*K737</x:f>
        <x:v>216</x:v>
      </x:c>
      <x:c r="M737" s="36" t="n">
        <x:v>0</x:v>
      </x:c>
      <x:c r="N737" s="35" t="n">
        <x:f>L737*M737</x:f>
        <x:v>0</x:v>
      </x:c>
      <x:c r="O737" s="37" t="n">
        <x:v>0</x:v>
      </x:c>
      <x:c r="P737" s="35" t="n">
        <x:f>L737*O737</x:f>
        <x:v>0</x:v>
      </x:c>
      <x:c r="Q737" s="35" t="n">
        <x:v>0</x:v>
      </x:c>
      <x:c r="R737" s="35" t="n">
        <x:f>K737*Q737</x:f>
        <x:v>0</x:v>
      </x:c>
      <x:c r="S737" s="35" t="n">
        <x:f>XLOOKUP(H737,'菜品主数据'!$A$5:$A$24,'菜品主数据'!$G$5:$G$24,0)</x:f>
        <x:v>5.403999999999999</x:v>
      </x:c>
      <x:c r="T737" s="35" t="n">
        <x:f>K737*S737</x:f>
        <x:v>64.84799999999998</x:v>
      </x:c>
      <x:c r="U737" s="35" t="n">
        <x:f>L737-N737-P737-R737-T737</x:f>
        <x:v>151.15200000000002</x:v>
      </x:c>
      <x:c r="V737" s="21" t="n">
        <x:f>IFERROR(U737/L737,0)</x:f>
        <x:v>0.6997777777777778</x:v>
      </x:c>
    </x:row>
    <x:row r="738">
      <x:c r="A738" s="19" t="str">
        <x:v>SALE-00734</x:v>
      </x:c>
      <x:c r="B738" s="34" t="n">
        <x:v>46214.5</x:v>
      </x:c>
      <x:c r="C738" s="19" t="str">
        <x:v>周六</x:v>
      </x:c>
      <x:c r="D738" s="19" t="str">
        <x:v>S03</x:v>
      </x:c>
      <x:c r="E738" s="19" t="str">
        <x:v>铂悦城店</x:v>
      </x:c>
      <x:c r="F738" s="19" t="str">
        <x:v>堂食</x:v>
      </x:c>
      <x:c r="G738" s="19" t="str">
        <x:v>全日</x:v>
      </x:c>
      <x:c r="H738" s="19" t="str">
        <x:v>D14</x:v>
      </x:c>
      <x:c r="I738" s="19" t="str">
        <x:v>酸辣鸡杂</x:v>
      </x:c>
      <x:c r="J738" s="22" t="n">
        <x:f>XLOOKUP(H738,'菜品主数据'!$A$5:$A$24,'菜品主数据'!$D$5:$D$24,0)</x:f>
        <x:v>28</x:v>
      </x:c>
      <x:c r="K738" s="31" t="n">
        <x:v>6</x:v>
      </x:c>
      <x:c r="L738" s="35" t="n">
        <x:f>J738*K738</x:f>
        <x:v>168</x:v>
      </x:c>
      <x:c r="M738" s="36" t="n">
        <x:v>0</x:v>
      </x:c>
      <x:c r="N738" s="35" t="n">
        <x:f>L738*M738</x:f>
        <x:v>0</x:v>
      </x:c>
      <x:c r="O738" s="37" t="n">
        <x:v>0</x:v>
      </x:c>
      <x:c r="P738" s="35" t="n">
        <x:f>L738*O738</x:f>
        <x:v>0</x:v>
      </x:c>
      <x:c r="Q738" s="35" t="n">
        <x:v>0</x:v>
      </x:c>
      <x:c r="R738" s="35" t="n">
        <x:f>K738*Q738</x:f>
        <x:v>0</x:v>
      </x:c>
      <x:c r="S738" s="35" t="n">
        <x:f>XLOOKUP(H738,'菜品主数据'!$A$5:$A$24,'菜品主数据'!$G$5:$G$24,0)</x:f>
        <x:v>8.315000000000001</x:v>
      </x:c>
      <x:c r="T738" s="35" t="n">
        <x:f>K738*S738</x:f>
        <x:v>49.89000000000001</x:v>
      </x:c>
      <x:c r="U738" s="35" t="n">
        <x:f>L738-N738-P738-R738-T738</x:f>
        <x:v>118.10999999999999</x:v>
      </x:c>
      <x:c r="V738" s="21" t="n">
        <x:f>IFERROR(U738/L738,0)</x:f>
        <x:v>0.7030357142857142</x:v>
      </x:c>
    </x:row>
    <x:row r="739">
      <x:c r="A739" s="19" t="str">
        <x:v>SALE-00735</x:v>
      </x:c>
      <x:c r="B739" s="34" t="n">
        <x:v>46214.5</x:v>
      </x:c>
      <x:c r="C739" s="19" t="str">
        <x:v>周六</x:v>
      </x:c>
      <x:c r="D739" s="19" t="str">
        <x:v>S03</x:v>
      </x:c>
      <x:c r="E739" s="19" t="str">
        <x:v>铂悦城店</x:v>
      </x:c>
      <x:c r="F739" s="19" t="str">
        <x:v>堂食</x:v>
      </x:c>
      <x:c r="G739" s="19" t="str">
        <x:v>全日</x:v>
      </x:c>
      <x:c r="H739" s="19" t="str">
        <x:v>D15</x:v>
      </x:c>
      <x:c r="I739" s="19" t="str">
        <x:v>湘西土匪猪肝</x:v>
      </x:c>
      <x:c r="J739" s="22" t="n">
        <x:f>XLOOKUP(H739,'菜品主数据'!$A$5:$A$24,'菜品主数据'!$D$5:$D$24,0)</x:f>
        <x:v>26</x:v>
      </x:c>
      <x:c r="K739" s="31" t="n">
        <x:v>6</x:v>
      </x:c>
      <x:c r="L739" s="35" t="n">
        <x:f>J739*K739</x:f>
        <x:v>156</x:v>
      </x:c>
      <x:c r="M739" s="36" t="n">
        <x:v>0</x:v>
      </x:c>
      <x:c r="N739" s="35" t="n">
        <x:f>L739*M739</x:f>
        <x:v>0</x:v>
      </x:c>
      <x:c r="O739" s="37" t="n">
        <x:v>0</x:v>
      </x:c>
      <x:c r="P739" s="35" t="n">
        <x:f>L739*O739</x:f>
        <x:v>0</x:v>
      </x:c>
      <x:c r="Q739" s="35" t="n">
        <x:v>0</x:v>
      </x:c>
      <x:c r="R739" s="35" t="n">
        <x:f>K739*Q739</x:f>
        <x:v>0</x:v>
      </x:c>
      <x:c r="S739" s="35" t="n">
        <x:f>XLOOKUP(H739,'菜品主数据'!$A$5:$A$24,'菜品主数据'!$G$5:$G$24,0)</x:f>
        <x:v>6.3759999999999994</x:v>
      </x:c>
      <x:c r="T739" s="35" t="n">
        <x:f>K739*S739</x:f>
        <x:v>38.256</x:v>
      </x:c>
      <x:c r="U739" s="35" t="n">
        <x:f>L739-N739-P739-R739-T739</x:f>
        <x:v>117.744</x:v>
      </x:c>
      <x:c r="V739" s="21" t="n">
        <x:f>IFERROR(U739/L739,0)</x:f>
        <x:v>0.7547692307692307</x:v>
      </x:c>
    </x:row>
    <x:row r="740">
      <x:c r="A740" s="19" t="str">
        <x:v>SALE-00736</x:v>
      </x:c>
      <x:c r="B740" s="34" t="n">
        <x:v>46214.5</x:v>
      </x:c>
      <x:c r="C740" s="19" t="str">
        <x:v>周六</x:v>
      </x:c>
      <x:c r="D740" s="19" t="str">
        <x:v>S03</x:v>
      </x:c>
      <x:c r="E740" s="19" t="str">
        <x:v>铂悦城店</x:v>
      </x:c>
      <x:c r="F740" s="19" t="str">
        <x:v>堂食</x:v>
      </x:c>
      <x:c r="G740" s="19" t="str">
        <x:v>全日</x:v>
      </x:c>
      <x:c r="H740" s="19" t="str">
        <x:v>D16</x:v>
      </x:c>
      <x:c r="I740" s="19" t="str">
        <x:v>小豆角炒五花</x:v>
      </x:c>
      <x:c r="J740" s="22" t="n">
        <x:f>XLOOKUP(H740,'菜品主数据'!$A$5:$A$24,'菜品主数据'!$D$5:$D$24,0)</x:f>
        <x:v>25</x:v>
      </x:c>
      <x:c r="K740" s="31" t="n">
        <x:v>6</x:v>
      </x:c>
      <x:c r="L740" s="35" t="n">
        <x:f>J740*K740</x:f>
        <x:v>150</x:v>
      </x:c>
      <x:c r="M740" s="36" t="n">
        <x:v>0</x:v>
      </x:c>
      <x:c r="N740" s="35" t="n">
        <x:f>L740*M740</x:f>
        <x:v>0</x:v>
      </x:c>
      <x:c r="O740" s="37" t="n">
        <x:v>0</x:v>
      </x:c>
      <x:c r="P740" s="35" t="n">
        <x:f>L740*O740</x:f>
        <x:v>0</x:v>
      </x:c>
      <x:c r="Q740" s="35" t="n">
        <x:v>0</x:v>
      </x:c>
      <x:c r="R740" s="35" t="n">
        <x:f>K740*Q740</x:f>
        <x:v>0</x:v>
      </x:c>
      <x:c r="S740" s="35" t="n">
        <x:f>XLOOKUP(H740,'菜品主数据'!$A$5:$A$24,'菜品主数据'!$G$5:$G$24,0)</x:f>
        <x:v>8.184</x:v>
      </x:c>
      <x:c r="T740" s="35" t="n">
        <x:f>K740*S740</x:f>
        <x:v>49.104</x:v>
      </x:c>
      <x:c r="U740" s="35" t="n">
        <x:f>L740-N740-P740-R740-T740</x:f>
        <x:v>100.896</x:v>
      </x:c>
      <x:c r="V740" s="21" t="n">
        <x:f>IFERROR(U740/L740,0)</x:f>
        <x:v>0.67264</x:v>
      </x:c>
    </x:row>
    <x:row r="741">
      <x:c r="A741" s="19" t="str">
        <x:v>SALE-00737</x:v>
      </x:c>
      <x:c r="B741" s="34" t="n">
        <x:v>46214.5</x:v>
      </x:c>
      <x:c r="C741" s="19" t="str">
        <x:v>周六</x:v>
      </x:c>
      <x:c r="D741" s="19" t="str">
        <x:v>S03</x:v>
      </x:c>
      <x:c r="E741" s="19" t="str">
        <x:v>铂悦城店</x:v>
      </x:c>
      <x:c r="F741" s="19" t="str">
        <x:v>堂食</x:v>
      </x:c>
      <x:c r="G741" s="19" t="str">
        <x:v>全日</x:v>
      </x:c>
      <x:c r="H741" s="19" t="str">
        <x:v>D17</x:v>
      </x:c>
      <x:c r="I741" s="19" t="str">
        <x:v>蒜蓉粉丝虾</x:v>
      </x:c>
      <x:c r="J741" s="22" t="n">
        <x:f>XLOOKUP(H741,'菜品主数据'!$A$5:$A$24,'菜品主数据'!$D$5:$D$24,0)</x:f>
        <x:v>36</x:v>
      </x:c>
      <x:c r="K741" s="31" t="n">
        <x:v>4</x:v>
      </x:c>
      <x:c r="L741" s="35" t="n">
        <x:f>J741*K741</x:f>
        <x:v>144</x:v>
      </x:c>
      <x:c r="M741" s="36" t="n">
        <x:v>0</x:v>
      </x:c>
      <x:c r="N741" s="35" t="n">
        <x:f>L741*M741</x:f>
        <x:v>0</x:v>
      </x:c>
      <x:c r="O741" s="37" t="n">
        <x:v>0</x:v>
      </x:c>
      <x:c r="P741" s="35" t="n">
        <x:f>L741*O741</x:f>
        <x:v>0</x:v>
      </x:c>
      <x:c r="Q741" s="35" t="n">
        <x:v>0</x:v>
      </x:c>
      <x:c r="R741" s="35" t="n">
        <x:f>K741*Q741</x:f>
        <x:v>0</x:v>
      </x:c>
      <x:c r="S741" s="35" t="n">
        <x:f>XLOOKUP(H741,'菜品主数据'!$A$5:$A$24,'菜品主数据'!$G$5:$G$24,0)</x:f>
        <x:v>13.594</x:v>
      </x:c>
      <x:c r="T741" s="35" t="n">
        <x:f>K741*S741</x:f>
        <x:v>54.376</x:v>
      </x:c>
      <x:c r="U741" s="35" t="n">
        <x:f>L741-N741-P741-R741-T741</x:f>
        <x:v>89.624</x:v>
      </x:c>
      <x:c r="V741" s="21" t="n">
        <x:f>IFERROR(U741/L741,0)</x:f>
        <x:v>0.6223888888888889</x:v>
      </x:c>
    </x:row>
    <x:row r="742">
      <x:c r="A742" s="19" t="str">
        <x:v>SALE-00738</x:v>
      </x:c>
      <x:c r="B742" s="34" t="n">
        <x:v>46214.5</x:v>
      </x:c>
      <x:c r="C742" s="19" t="str">
        <x:v>周六</x:v>
      </x:c>
      <x:c r="D742" s="19" t="str">
        <x:v>S03</x:v>
      </x:c>
      <x:c r="E742" s="19" t="str">
        <x:v>铂悦城店</x:v>
      </x:c>
      <x:c r="F742" s="19" t="str">
        <x:v>堂食</x:v>
      </x:c>
      <x:c r="G742" s="19" t="str">
        <x:v>全日</x:v>
      </x:c>
      <x:c r="H742" s="19" t="str">
        <x:v>D18</x:v>
      </x:c>
      <x:c r="I742" s="19" t="str">
        <x:v>青椒炒油麦菜</x:v>
      </x:c>
      <x:c r="J742" s="22" t="n">
        <x:f>XLOOKUP(H742,'菜品主数据'!$A$5:$A$24,'菜品主数据'!$D$5:$D$24,0)</x:f>
        <x:v>18</x:v>
      </x:c>
      <x:c r="K742" s="31" t="n">
        <x:v>7</x:v>
      </x:c>
      <x:c r="L742" s="35" t="n">
        <x:f>J742*K742</x:f>
        <x:v>126</x:v>
      </x:c>
      <x:c r="M742" s="36" t="n">
        <x:v>0</x:v>
      </x:c>
      <x:c r="N742" s="35" t="n">
        <x:f>L742*M742</x:f>
        <x:v>0</x:v>
      </x:c>
      <x:c r="O742" s="37" t="n">
        <x:v>0</x:v>
      </x:c>
      <x:c r="P742" s="35" t="n">
        <x:f>L742*O742</x:f>
        <x:v>0</x:v>
      </x:c>
      <x:c r="Q742" s="35" t="n">
        <x:v>0</x:v>
      </x:c>
      <x:c r="R742" s="35" t="n">
        <x:f>K742*Q742</x:f>
        <x:v>0</x:v>
      </x:c>
      <x:c r="S742" s="35" t="n">
        <x:f>XLOOKUP(H742,'菜品主数据'!$A$5:$A$24,'菜品主数据'!$G$5:$G$24,0)</x:f>
        <x:v>3.1759999999999993</x:v>
      </x:c>
      <x:c r="T742" s="35" t="n">
        <x:f>K742*S742</x:f>
        <x:v>22.231999999999996</x:v>
      </x:c>
      <x:c r="U742" s="35" t="n">
        <x:f>L742-N742-P742-R742-T742</x:f>
        <x:v>103.768</x:v>
      </x:c>
      <x:c r="V742" s="21" t="n">
        <x:f>IFERROR(U742/L742,0)</x:f>
        <x:v>0.8235555555555556</x:v>
      </x:c>
    </x:row>
    <x:row r="743">
      <x:c r="A743" s="19" t="str">
        <x:v>SALE-00739</x:v>
      </x:c>
      <x:c r="B743" s="34" t="n">
        <x:v>46214.5</x:v>
      </x:c>
      <x:c r="C743" s="19" t="str">
        <x:v>周六</x:v>
      </x:c>
      <x:c r="D743" s="19" t="str">
        <x:v>S03</x:v>
      </x:c>
      <x:c r="E743" s="19" t="str">
        <x:v>铂悦城店</x:v>
      </x:c>
      <x:c r="F743" s="19" t="str">
        <x:v>堂食</x:v>
      </x:c>
      <x:c r="G743" s="19" t="str">
        <x:v>全日</x:v>
      </x:c>
      <x:c r="H743" s="19" t="str">
        <x:v>D19</x:v>
      </x:c>
      <x:c r="I743" s="19" t="str">
        <x:v>酸萝卜炒鸡杂</x:v>
      </x:c>
      <x:c r="J743" s="22" t="n">
        <x:f>XLOOKUP(H743,'菜品主数据'!$A$5:$A$24,'菜品主数据'!$D$5:$D$24,0)</x:f>
        <x:v>25</x:v>
      </x:c>
      <x:c r="K743" s="31" t="n">
        <x:v>4</x:v>
      </x:c>
      <x:c r="L743" s="35" t="n">
        <x:f>J743*K743</x:f>
        <x:v>100</x:v>
      </x:c>
      <x:c r="M743" s="36" t="n">
        <x:v>0</x:v>
      </x:c>
      <x:c r="N743" s="35" t="n">
        <x:f>L743*M743</x:f>
        <x:v>0</x:v>
      </x:c>
      <x:c r="O743" s="37" t="n">
        <x:v>0</x:v>
      </x:c>
      <x:c r="P743" s="35" t="n">
        <x:f>L743*O743</x:f>
        <x:v>0</x:v>
      </x:c>
      <x:c r="Q743" s="35" t="n">
        <x:v>0</x:v>
      </x:c>
      <x:c r="R743" s="35" t="n">
        <x:f>K743*Q743</x:f>
        <x:v>0</x:v>
      </x:c>
      <x:c r="S743" s="35" t="n">
        <x:f>XLOOKUP(H743,'菜品主数据'!$A$5:$A$24,'菜品主数据'!$G$5:$G$24,0)</x:f>
        <x:v>7.9399999999999995</x:v>
      </x:c>
      <x:c r="T743" s="35" t="n">
        <x:f>K743*S743</x:f>
        <x:v>31.759999999999998</x:v>
      </x:c>
      <x:c r="U743" s="35" t="n">
        <x:f>L743-N743-P743-R743-T743</x:f>
        <x:v>68.24000000000001</x:v>
      </x:c>
      <x:c r="V743" s="21" t="n">
        <x:f>IFERROR(U743/L743,0)</x:f>
        <x:v>0.6824000000000001</x:v>
      </x:c>
    </x:row>
    <x:row r="744">
      <x:c r="A744" s="19" t="str">
        <x:v>SALE-00740</x:v>
      </x:c>
      <x:c r="B744" s="34" t="n">
        <x:v>46214.5</x:v>
      </x:c>
      <x:c r="C744" s="19" t="str">
        <x:v>周六</x:v>
      </x:c>
      <x:c r="D744" s="19" t="str">
        <x:v>S03</x:v>
      </x:c>
      <x:c r="E744" s="19" t="str">
        <x:v>铂悦城店</x:v>
      </x:c>
      <x:c r="F744" s="19" t="str">
        <x:v>堂食</x:v>
      </x:c>
      <x:c r="G744" s="19" t="str">
        <x:v>全日</x:v>
      </x:c>
      <x:c r="H744" s="19" t="str">
        <x:v>D20</x:v>
      </x:c>
      <x:c r="I744" s="19" t="str">
        <x:v>雪菜肉末青豆</x:v>
      </x:c>
      <x:c r="J744" s="22" t="n">
        <x:f>XLOOKUP(H744,'菜品主数据'!$A$5:$A$24,'菜品主数据'!$D$5:$D$24,0)</x:f>
        <x:v>18</x:v>
      </x:c>
      <x:c r="K744" s="31" t="n">
        <x:v>6</x:v>
      </x:c>
      <x:c r="L744" s="35" t="n">
        <x:f>J744*K744</x:f>
        <x:v>108</x:v>
      </x:c>
      <x:c r="M744" s="36" t="n">
        <x:v>0</x:v>
      </x:c>
      <x:c r="N744" s="35" t="n">
        <x:f>L744*M744</x:f>
        <x:v>0</x:v>
      </x:c>
      <x:c r="O744" s="37" t="n">
        <x:v>0</x:v>
      </x:c>
      <x:c r="P744" s="35" t="n">
        <x:f>L744*O744</x:f>
        <x:v>0</x:v>
      </x:c>
      <x:c r="Q744" s="35" t="n">
        <x:v>0</x:v>
      </x:c>
      <x:c r="R744" s="35" t="n">
        <x:f>K744*Q744</x:f>
        <x:v>0</x:v>
      </x:c>
      <x:c r="S744" s="35" t="n">
        <x:f>XLOOKUP(H744,'菜品主数据'!$A$5:$A$24,'菜品主数据'!$G$5:$G$24,0)</x:f>
        <x:v>7.303999999999999</x:v>
      </x:c>
      <x:c r="T744" s="35" t="n">
        <x:f>K744*S744</x:f>
        <x:v>43.824</x:v>
      </x:c>
      <x:c r="U744" s="35" t="n">
        <x:f>L744-N744-P744-R744-T744</x:f>
        <x:v>64.176</x:v>
      </x:c>
      <x:c r="V744" s="21" t="n">
        <x:f>IFERROR(U744/L744,0)</x:f>
        <x:v>0.5942222222222222</x:v>
      </x:c>
    </x:row>
    <x:row r="745">
      <x:c r="A745" s="19" t="str">
        <x:v>SALE-00741</x:v>
      </x:c>
      <x:c r="B745" s="34" t="n">
        <x:v>46214.5</x:v>
      </x:c>
      <x:c r="C745" s="19" t="str">
        <x:v>周六</x:v>
      </x:c>
      <x:c r="D745" s="19" t="str">
        <x:v>S03</x:v>
      </x:c>
      <x:c r="E745" s="19" t="str">
        <x:v>铂悦城店</x:v>
      </x:c>
      <x:c r="F745" s="19" t="str">
        <x:v>外卖</x:v>
      </x:c>
      <x:c r="G745" s="19" t="str">
        <x:v>全日</x:v>
      </x:c>
      <x:c r="H745" s="19" t="str">
        <x:v>D01</x:v>
      </x:c>
      <x:c r="I745" s="19" t="str">
        <x:v>辣椒炒肉</x:v>
      </x:c>
      <x:c r="J745" s="22" t="n">
        <x:f>XLOOKUP(H745,'菜品主数据'!$A$5:$A$24,'菜品主数据'!$D$5:$D$24,0)</x:f>
        <x:v>29</x:v>
      </x:c>
      <x:c r="K745" s="31" t="n">
        <x:v>4</x:v>
      </x:c>
      <x:c r="L745" s="35" t="n">
        <x:f>J745*K745</x:f>
        <x:v>116</x:v>
      </x:c>
      <x:c r="M745" s="36" t="n">
        <x:v>0.08</x:v>
      </x:c>
      <x:c r="N745" s="35" t="n">
        <x:f>L745*M745</x:f>
        <x:v>9.28</x:v>
      </x:c>
      <x:c r="O745" s="37" t="n">
        <x:v>0.18</x:v>
      </x:c>
      <x:c r="P745" s="35" t="n">
        <x:f>L745*O745</x:f>
        <x:v>20.88</x:v>
      </x:c>
      <x:c r="Q745" s="35" t="n">
        <x:v>1.2</x:v>
      </x:c>
      <x:c r="R745" s="35" t="n">
        <x:f>K745*Q745</x:f>
        <x:v>4.8</x:v>
      </x:c>
      <x:c r="S745" s="35" t="n">
        <x:f>XLOOKUP(H745,'菜品主数据'!$A$5:$A$24,'菜品主数据'!$G$5:$G$24,0)</x:f>
        <x:v>8.634400000000001</x:v>
      </x:c>
      <x:c r="T745" s="35" t="n">
        <x:f>K745*S745</x:f>
        <x:v>34.537600000000005</x:v>
      </x:c>
      <x:c r="U745" s="35" t="n">
        <x:f>L745-N745-P745-R745-T745</x:f>
        <x:v>46.5024</x:v>
      </x:c>
      <x:c r="V745" s="21" t="n">
        <x:f>IFERROR(U745/L745,0)</x:f>
        <x:v>0.40088275862068967</x:v>
      </x:c>
    </x:row>
    <x:row r="746">
      <x:c r="A746" s="19" t="str">
        <x:v>SALE-00742</x:v>
      </x:c>
      <x:c r="B746" s="34" t="n">
        <x:v>46214.5</x:v>
      </x:c>
      <x:c r="C746" s="19" t="str">
        <x:v>周六</x:v>
      </x:c>
      <x:c r="D746" s="19" t="str">
        <x:v>S03</x:v>
      </x:c>
      <x:c r="E746" s="19" t="str">
        <x:v>铂悦城店</x:v>
      </x:c>
      <x:c r="F746" s="19" t="str">
        <x:v>外卖</x:v>
      </x:c>
      <x:c r="G746" s="19" t="str">
        <x:v>全日</x:v>
      </x:c>
      <x:c r="H746" s="19" t="str">
        <x:v>D02</x:v>
      </x:c>
      <x:c r="I746" s="19" t="str">
        <x:v>小炒黄牛肉</x:v>
      </x:c>
      <x:c r="J746" s="22" t="n">
        <x:f>XLOOKUP(H746,'菜品主数据'!$A$5:$A$24,'菜品主数据'!$D$5:$D$24,0)</x:f>
        <x:v>49</x:v>
      </x:c>
      <x:c r="K746" s="31" t="n">
        <x:v>6</x:v>
      </x:c>
      <x:c r="L746" s="35" t="n">
        <x:f>J746*K746</x:f>
        <x:v>294</x:v>
      </x:c>
      <x:c r="M746" s="36" t="n">
        <x:v>0.08</x:v>
      </x:c>
      <x:c r="N746" s="35" t="n">
        <x:f>L746*M746</x:f>
        <x:v>23.52</x:v>
      </x:c>
      <x:c r="O746" s="37" t="n">
        <x:v>0.18</x:v>
      </x:c>
      <x:c r="P746" s="35" t="n">
        <x:f>L746*O746</x:f>
        <x:v>52.919999999999995</x:v>
      </x:c>
      <x:c r="Q746" s="35" t="n">
        <x:v>1.2</x:v>
      </x:c>
      <x:c r="R746" s="35" t="n">
        <x:f>K746*Q746</x:f>
        <x:v>7.199999999999999</x:v>
      </x:c>
      <x:c r="S746" s="35" t="n">
        <x:f>XLOOKUP(H746,'菜品主数据'!$A$5:$A$24,'菜品主数据'!$G$5:$G$24,0)</x:f>
        <x:v>17.577</x:v>
      </x:c>
      <x:c r="T746" s="35" t="n">
        <x:f>K746*S746</x:f>
        <x:v>105.46200000000002</x:v>
      </x:c>
      <x:c r="U746" s="35" t="n">
        <x:f>L746-N746-P746-R746-T746</x:f>
        <x:v>104.89800000000002</x:v>
      </x:c>
      <x:c r="V746" s="21" t="n">
        <x:f>IFERROR(U746/L746,0)</x:f>
        <x:v>0.35679591836734703</x:v>
      </x:c>
    </x:row>
    <x:row r="747">
      <x:c r="A747" s="19" t="str">
        <x:v>SALE-00743</x:v>
      </x:c>
      <x:c r="B747" s="34" t="n">
        <x:v>46214.5</x:v>
      </x:c>
      <x:c r="C747" s="19" t="str">
        <x:v>周六</x:v>
      </x:c>
      <x:c r="D747" s="19" t="str">
        <x:v>S03</x:v>
      </x:c>
      <x:c r="E747" s="19" t="str">
        <x:v>铂悦城店</x:v>
      </x:c>
      <x:c r="F747" s="19" t="str">
        <x:v>外卖</x:v>
      </x:c>
      <x:c r="G747" s="19" t="str">
        <x:v>全日</x:v>
      </x:c>
      <x:c r="H747" s="19" t="str">
        <x:v>D03</x:v>
      </x:c>
      <x:c r="I747" s="19" t="str">
        <x:v>香醋炒蛋</x:v>
      </x:c>
      <x:c r="J747" s="22" t="n">
        <x:f>XLOOKUP(H747,'菜品主数据'!$A$5:$A$24,'菜品主数据'!$D$5:$D$24,0)</x:f>
        <x:v>14.9</x:v>
      </x:c>
      <x:c r="K747" s="31" t="n">
        <x:v>3</x:v>
      </x:c>
      <x:c r="L747" s="35" t="n">
        <x:f>J747*K747</x:f>
        <x:v>44.7</x:v>
      </x:c>
      <x:c r="M747" s="36" t="n">
        <x:v>0.08</x:v>
      </x:c>
      <x:c r="N747" s="35" t="n">
        <x:f>L747*M747</x:f>
        <x:v>3.5760000000000005</x:v>
      </x:c>
      <x:c r="O747" s="37" t="n">
        <x:v>0.18</x:v>
      </x:c>
      <x:c r="P747" s="35" t="n">
        <x:f>L747*O747</x:f>
        <x:v>8.046</x:v>
      </x:c>
      <x:c r="Q747" s="35" t="n">
        <x:v>1.2</x:v>
      </x:c>
      <x:c r="R747" s="35" t="n">
        <x:f>K747*Q747</x:f>
        <x:v>3.5999999999999996</x:v>
      </x:c>
      <x:c r="S747" s="35" t="n">
        <x:f>XLOOKUP(H747,'菜品主数据'!$A$5:$A$24,'菜品主数据'!$G$5:$G$24,0)</x:f>
        <x:v>3.7459999999999996</x:v>
      </x:c>
      <x:c r="T747" s="35" t="n">
        <x:f>K747*S747</x:f>
        <x:v>11.238</x:v>
      </x:c>
      <x:c r="U747" s="35" t="n">
        <x:f>L747-N747-P747-R747-T747</x:f>
        <x:v>18.240000000000002</x:v>
      </x:c>
      <x:c r="V747" s="21" t="n">
        <x:f>IFERROR(U747/L747,0)</x:f>
        <x:v>0.40805369127516783</x:v>
      </x:c>
    </x:row>
    <x:row r="748">
      <x:c r="A748" s="19" t="str">
        <x:v>SALE-00744</x:v>
      </x:c>
      <x:c r="B748" s="34" t="n">
        <x:v>46214.5</x:v>
      </x:c>
      <x:c r="C748" s="19" t="str">
        <x:v>周六</x:v>
      </x:c>
      <x:c r="D748" s="19" t="str">
        <x:v>S03</x:v>
      </x:c>
      <x:c r="E748" s="19" t="str">
        <x:v>铂悦城店</x:v>
      </x:c>
      <x:c r="F748" s="19" t="str">
        <x:v>外卖</x:v>
      </x:c>
      <x:c r="G748" s="19" t="str">
        <x:v>全日</x:v>
      </x:c>
      <x:c r="H748" s="19" t="str">
        <x:v>D04</x:v>
      </x:c>
      <x:c r="I748" s="19" t="str">
        <x:v>酸包菜炒粉皮</x:v>
      </x:c>
      <x:c r="J748" s="22" t="n">
        <x:f>XLOOKUP(H748,'菜品主数据'!$A$5:$A$24,'菜品主数据'!$D$5:$D$24,0)</x:f>
        <x:v>16</x:v>
      </x:c>
      <x:c r="K748" s="31" t="n">
        <x:v>3</x:v>
      </x:c>
      <x:c r="L748" s="35" t="n">
        <x:f>J748*K748</x:f>
        <x:v>48</x:v>
      </x:c>
      <x:c r="M748" s="36" t="n">
        <x:v>0.08</x:v>
      </x:c>
      <x:c r="N748" s="35" t="n">
        <x:f>L748*M748</x:f>
        <x:v>3.84</x:v>
      </x:c>
      <x:c r="O748" s="37" t="n">
        <x:v>0.18</x:v>
      </x:c>
      <x:c r="P748" s="35" t="n">
        <x:f>L748*O748</x:f>
        <x:v>8.64</x:v>
      </x:c>
      <x:c r="Q748" s="35" t="n">
        <x:v>1.2</x:v>
      </x:c>
      <x:c r="R748" s="35" t="n">
        <x:f>K748*Q748</x:f>
        <x:v>3.5999999999999996</x:v>
      </x:c>
      <x:c r="S748" s="35" t="n">
        <x:f>XLOOKUP(H748,'菜品主数据'!$A$5:$A$24,'菜品主数据'!$G$5:$G$24,0)</x:f>
        <x:v>3.978</x:v>
      </x:c>
      <x:c r="T748" s="35" t="n">
        <x:f>K748*S748</x:f>
        <x:v>11.934000000000001</x:v>
      </x:c>
      <x:c r="U748" s="35" t="n">
        <x:f>L748-N748-P748-R748-T748</x:f>
        <x:v>19.985999999999994</x:v>
      </x:c>
      <x:c r="V748" s="21" t="n">
        <x:f>IFERROR(U748/L748,0)</x:f>
        <x:v>0.4163749999999999</x:v>
      </x:c>
    </x:row>
    <x:row r="749">
      <x:c r="A749" s="19" t="str">
        <x:v>SALE-00745</x:v>
      </x:c>
      <x:c r="B749" s="34" t="n">
        <x:v>46214.5</x:v>
      </x:c>
      <x:c r="C749" s="19" t="str">
        <x:v>周六</x:v>
      </x:c>
      <x:c r="D749" s="19" t="str">
        <x:v>S03</x:v>
      </x:c>
      <x:c r="E749" s="19" t="str">
        <x:v>铂悦城店</x:v>
      </x:c>
      <x:c r="F749" s="19" t="str">
        <x:v>外卖</x:v>
      </x:c>
      <x:c r="G749" s="19" t="str">
        <x:v>全日</x:v>
      </x:c>
      <x:c r="H749" s="19" t="str">
        <x:v>D05</x:v>
      </x:c>
      <x:c r="I749" s="19" t="str">
        <x:v>麻婆豆腐</x:v>
      </x:c>
      <x:c r="J749" s="22" t="n">
        <x:f>XLOOKUP(H749,'菜品主数据'!$A$5:$A$24,'菜品主数据'!$D$5:$D$24,0)</x:f>
        <x:v>9.9</x:v>
      </x:c>
      <x:c r="K749" s="31" t="n">
        <x:v>4</x:v>
      </x:c>
      <x:c r="L749" s="35" t="n">
        <x:f>J749*K749</x:f>
        <x:v>39.6</x:v>
      </x:c>
      <x:c r="M749" s="36" t="n">
        <x:v>0.08</x:v>
      </x:c>
      <x:c r="N749" s="35" t="n">
        <x:f>L749*M749</x:f>
        <x:v>3.168</x:v>
      </x:c>
      <x:c r="O749" s="37" t="n">
        <x:v>0.18</x:v>
      </x:c>
      <x:c r="P749" s="35" t="n">
        <x:f>L749*O749</x:f>
        <x:v>7.128</x:v>
      </x:c>
      <x:c r="Q749" s="35" t="n">
        <x:v>1.2</x:v>
      </x:c>
      <x:c r="R749" s="35" t="n">
        <x:f>K749*Q749</x:f>
        <x:v>4.8</x:v>
      </x:c>
      <x:c r="S749" s="35" t="n">
        <x:f>XLOOKUP(H749,'菜品主数据'!$A$5:$A$24,'菜品主数据'!$G$5:$G$24,0)</x:f>
        <x:v>5.367000000000001</x:v>
      </x:c>
      <x:c r="T749" s="35" t="n">
        <x:f>K749*S749</x:f>
        <x:v>21.468000000000004</x:v>
      </x:c>
      <x:c r="U749" s="35" t="n">
        <x:f>L749-N749-P749-R749-T749</x:f>
        <x:v>3.035999999999998</x:v>
      </x:c>
      <x:c r="V749" s="21" t="n">
        <x:f>IFERROR(U749/L749,0)</x:f>
        <x:v>0.0766666666666666</x:v>
      </x:c>
    </x:row>
    <x:row r="750">
      <x:c r="A750" s="19" t="str">
        <x:v>SALE-00746</x:v>
      </x:c>
      <x:c r="B750" s="34" t="n">
        <x:v>46214.5</x:v>
      </x:c>
      <x:c r="C750" s="19" t="str">
        <x:v>周六</x:v>
      </x:c>
      <x:c r="D750" s="19" t="str">
        <x:v>S03</x:v>
      </x:c>
      <x:c r="E750" s="19" t="str">
        <x:v>铂悦城店</x:v>
      </x:c>
      <x:c r="F750" s="19" t="str">
        <x:v>外卖</x:v>
      </x:c>
      <x:c r="G750" s="19" t="str">
        <x:v>全日</x:v>
      </x:c>
      <x:c r="H750" s="19" t="str">
        <x:v>D06</x:v>
      </x:c>
      <x:c r="I750" s="19" t="str">
        <x:v>剁椒鱼头</x:v>
      </x:c>
      <x:c r="J750" s="22" t="n">
        <x:f>XLOOKUP(H750,'菜品主数据'!$A$5:$A$24,'菜品主数据'!$D$5:$D$24,0)</x:f>
        <x:v>39</x:v>
      </x:c>
      <x:c r="K750" s="31" t="n">
        <x:v>1</x:v>
      </x:c>
      <x:c r="L750" s="35" t="n">
        <x:f>J750*K750</x:f>
        <x:v>39</x:v>
      </x:c>
      <x:c r="M750" s="36" t="n">
        <x:v>0.08</x:v>
      </x:c>
      <x:c r="N750" s="35" t="n">
        <x:f>L750*M750</x:f>
        <x:v>3.12</x:v>
      </x:c>
      <x:c r="O750" s="37" t="n">
        <x:v>0.18</x:v>
      </x:c>
      <x:c r="P750" s="35" t="n">
        <x:f>L750*O750</x:f>
        <x:v>7.02</x:v>
      </x:c>
      <x:c r="Q750" s="35" t="n">
        <x:v>1.2</x:v>
      </x:c>
      <x:c r="R750" s="35" t="n">
        <x:f>K750*Q750</x:f>
        <x:v>1.2</x:v>
      </x:c>
      <x:c r="S750" s="35" t="n">
        <x:f>XLOOKUP(H750,'菜品主数据'!$A$5:$A$24,'菜品主数据'!$G$5:$G$24,0)</x:f>
        <x:v>17.446</x:v>
      </x:c>
      <x:c r="T750" s="35" t="n">
        <x:f>K750*S750</x:f>
        <x:v>17.446</x:v>
      </x:c>
      <x:c r="U750" s="35" t="n">
        <x:f>L750-N750-P750-R750-T750</x:f>
        <x:v>10.214000000000002</x:v>
      </x:c>
      <x:c r="V750" s="21" t="n">
        <x:f>IFERROR(U750/L750,0)</x:f>
        <x:v>0.26189743589743597</x:v>
      </x:c>
    </x:row>
    <x:row r="751">
      <x:c r="A751" s="19" t="str">
        <x:v>SALE-00747</x:v>
      </x:c>
      <x:c r="B751" s="34" t="n">
        <x:v>46214.5</x:v>
      </x:c>
      <x:c r="C751" s="19" t="str">
        <x:v>周六</x:v>
      </x:c>
      <x:c r="D751" s="19" t="str">
        <x:v>S03</x:v>
      </x:c>
      <x:c r="E751" s="19" t="str">
        <x:v>铂悦城店</x:v>
      </x:c>
      <x:c r="F751" s="19" t="str">
        <x:v>外卖</x:v>
      </x:c>
      <x:c r="G751" s="19" t="str">
        <x:v>全日</x:v>
      </x:c>
      <x:c r="H751" s="19" t="str">
        <x:v>D07</x:v>
      </x:c>
      <x:c r="I751" s="19" t="str">
        <x:v>川味回锅肉</x:v>
      </x:c>
      <x:c r="J751" s="22" t="n">
        <x:f>XLOOKUP(H751,'菜品主数据'!$A$5:$A$24,'菜品主数据'!$D$5:$D$24,0)</x:f>
        <x:v>29</x:v>
      </x:c>
      <x:c r="K751" s="31" t="n">
        <x:v>1</x:v>
      </x:c>
      <x:c r="L751" s="35" t="n">
        <x:f>J751*K751</x:f>
        <x:v>29</x:v>
      </x:c>
      <x:c r="M751" s="36" t="n">
        <x:v>0.08</x:v>
      </x:c>
      <x:c r="N751" s="35" t="n">
        <x:f>L751*M751</x:f>
        <x:v>2.32</x:v>
      </x:c>
      <x:c r="O751" s="37" t="n">
        <x:v>0.18</x:v>
      </x:c>
      <x:c r="P751" s="35" t="n">
        <x:f>L751*O751</x:f>
        <x:v>5.22</x:v>
      </x:c>
      <x:c r="Q751" s="35" t="n">
        <x:v>1.2</x:v>
      </x:c>
      <x:c r="R751" s="35" t="n">
        <x:f>K751*Q751</x:f>
        <x:v>1.2</x:v>
      </x:c>
      <x:c r="S751" s="35" t="n">
        <x:f>XLOOKUP(H751,'菜品主数据'!$A$5:$A$24,'菜品主数据'!$G$5:$G$24,0)</x:f>
        <x:v>10.231000000000002</x:v>
      </x:c>
      <x:c r="T751" s="35" t="n">
        <x:f>K751*S751</x:f>
        <x:v>10.231000000000002</x:v>
      </x:c>
      <x:c r="U751" s="35" t="n">
        <x:f>L751-N751-P751-R751-T751</x:f>
        <x:v>10.029</x:v>
      </x:c>
      <x:c r="V751" s="21" t="n">
        <x:f>IFERROR(U751/L751,0)</x:f>
        <x:v>0.3458275862068966</x:v>
      </x:c>
    </x:row>
    <x:row r="752">
      <x:c r="A752" s="19" t="str">
        <x:v>SALE-00748</x:v>
      </x:c>
      <x:c r="B752" s="34" t="n">
        <x:v>46214.5</x:v>
      </x:c>
      <x:c r="C752" s="19" t="str">
        <x:v>周六</x:v>
      </x:c>
      <x:c r="D752" s="19" t="str">
        <x:v>S03</x:v>
      </x:c>
      <x:c r="E752" s="19" t="str">
        <x:v>铂悦城店</x:v>
      </x:c>
      <x:c r="F752" s="19" t="str">
        <x:v>外卖</x:v>
      </x:c>
      <x:c r="G752" s="19" t="str">
        <x:v>全日</x:v>
      </x:c>
      <x:c r="H752" s="19" t="str">
        <x:v>D08</x:v>
      </x:c>
      <x:c r="I752" s="19" t="str">
        <x:v>生炒清远鸡</x:v>
      </x:c>
      <x:c r="J752" s="22" t="n">
        <x:f>XLOOKUP(H752,'菜品主数据'!$A$5:$A$24,'菜品主数据'!$D$5:$D$24,0)</x:f>
        <x:v>36</x:v>
      </x:c>
      <x:c r="K752" s="31" t="n">
        <x:v>1</x:v>
      </x:c>
      <x:c r="L752" s="35" t="n">
        <x:f>J752*K752</x:f>
        <x:v>36</x:v>
      </x:c>
      <x:c r="M752" s="36" t="n">
        <x:v>0.08</x:v>
      </x:c>
      <x:c r="N752" s="35" t="n">
        <x:f>L752*M752</x:f>
        <x:v>2.88</x:v>
      </x:c>
      <x:c r="O752" s="37" t="n">
        <x:v>0.18</x:v>
      </x:c>
      <x:c r="P752" s="35" t="n">
        <x:f>L752*O752</x:f>
        <x:v>6.4799999999999995</x:v>
      </x:c>
      <x:c r="Q752" s="35" t="n">
        <x:v>1.2</x:v>
      </x:c>
      <x:c r="R752" s="35" t="n">
        <x:f>K752*Q752</x:f>
        <x:v>1.2</x:v>
      </x:c>
      <x:c r="S752" s="35" t="n">
        <x:f>XLOOKUP(H752,'菜品主数据'!$A$5:$A$24,'菜品主数据'!$G$5:$G$24,0)</x:f>
        <x:v>13.48</x:v>
      </x:c>
      <x:c r="T752" s="35" t="n">
        <x:f>K752*S752</x:f>
        <x:v>13.48</x:v>
      </x:c>
      <x:c r="U752" s="35" t="n">
        <x:f>L752-N752-P752-R752-T752</x:f>
        <x:v>11.959999999999997</x:v>
      </x:c>
      <x:c r="V752" s="21" t="n">
        <x:f>IFERROR(U752/L752,0)</x:f>
        <x:v>0.33222222222222214</x:v>
      </x:c>
    </x:row>
    <x:row r="753">
      <x:c r="A753" s="19" t="str">
        <x:v>SALE-00749</x:v>
      </x:c>
      <x:c r="B753" s="34" t="n">
        <x:v>46214.5</x:v>
      </x:c>
      <x:c r="C753" s="19" t="str">
        <x:v>周六</x:v>
      </x:c>
      <x:c r="D753" s="19" t="str">
        <x:v>S03</x:v>
      </x:c>
      <x:c r="E753" s="19" t="str">
        <x:v>铂悦城店</x:v>
      </x:c>
      <x:c r="F753" s="19" t="str">
        <x:v>外卖</x:v>
      </x:c>
      <x:c r="G753" s="19" t="str">
        <x:v>全日</x:v>
      </x:c>
      <x:c r="H753" s="19" t="str">
        <x:v>D09</x:v>
      </x:c>
      <x:c r="I753" s="19" t="str">
        <x:v>炒豆干</x:v>
      </x:c>
      <x:c r="J753" s="22" t="n">
        <x:f>XLOOKUP(H753,'菜品主数据'!$A$5:$A$24,'菜品主数据'!$D$5:$D$24,0)</x:f>
        <x:v>18</x:v>
      </x:c>
      <x:c r="K753" s="31" t="n">
        <x:v>1</x:v>
      </x:c>
      <x:c r="L753" s="35" t="n">
        <x:f>J753*K753</x:f>
        <x:v>18</x:v>
      </x:c>
      <x:c r="M753" s="36" t="n">
        <x:v>0.08</x:v>
      </x:c>
      <x:c r="N753" s="35" t="n">
        <x:f>L753*M753</x:f>
        <x:v>1.44</x:v>
      </x:c>
      <x:c r="O753" s="37" t="n">
        <x:v>0.18</x:v>
      </x:c>
      <x:c r="P753" s="35" t="n">
        <x:f>L753*O753</x:f>
        <x:v>3.2399999999999998</x:v>
      </x:c>
      <x:c r="Q753" s="35" t="n">
        <x:v>1.2</x:v>
      </x:c>
      <x:c r="R753" s="35" t="n">
        <x:f>K753*Q753</x:f>
        <x:v>1.2</x:v>
      </x:c>
      <x:c r="S753" s="35" t="n">
        <x:f>XLOOKUP(H753,'菜品主数据'!$A$5:$A$24,'菜品主数据'!$G$5:$G$24,0)</x:f>
        <x:v>6.613999999999999</x:v>
      </x:c>
      <x:c r="T753" s="35" t="n">
        <x:f>K753*S753</x:f>
        <x:v>6.613999999999999</x:v>
      </x:c>
      <x:c r="U753" s="35" t="n">
        <x:f>L753-N753-P753-R753-T753</x:f>
        <x:v>5.506</x:v>
      </x:c>
      <x:c r="V753" s="21" t="n">
        <x:f>IFERROR(U753/L753,0)</x:f>
        <x:v>0.3058888888888889</x:v>
      </x:c>
    </x:row>
    <x:row r="754">
      <x:c r="A754" s="19" t="str">
        <x:v>SALE-00750</x:v>
      </x:c>
      <x:c r="B754" s="34" t="n">
        <x:v>46214.5</x:v>
      </x:c>
      <x:c r="C754" s="19" t="str">
        <x:v>周六</x:v>
      </x:c>
      <x:c r="D754" s="19" t="str">
        <x:v>S03</x:v>
      </x:c>
      <x:c r="E754" s="19" t="str">
        <x:v>铂悦城店</x:v>
      </x:c>
      <x:c r="F754" s="19" t="str">
        <x:v>外卖</x:v>
      </x:c>
      <x:c r="G754" s="19" t="str">
        <x:v>全日</x:v>
      </x:c>
      <x:c r="H754" s="19" t="str">
        <x:v>D10</x:v>
      </x:c>
      <x:c r="I754" s="19" t="str">
        <x:v>农家一碗香</x:v>
      </x:c>
      <x:c r="J754" s="22" t="n">
        <x:f>XLOOKUP(H754,'菜品主数据'!$A$5:$A$24,'菜品主数据'!$D$5:$D$24,0)</x:f>
        <x:v>22.9</x:v>
      </x:c>
      <x:c r="K754" s="31" t="n">
        <x:v>1</x:v>
      </x:c>
      <x:c r="L754" s="35" t="n">
        <x:f>J754*K754</x:f>
        <x:v>22.9</x:v>
      </x:c>
      <x:c r="M754" s="36" t="n">
        <x:v>0.08</x:v>
      </x:c>
      <x:c r="N754" s="35" t="n">
        <x:f>L754*M754</x:f>
        <x:v>1.8319999999999999</x:v>
      </x:c>
      <x:c r="O754" s="37" t="n">
        <x:v>0.18</x:v>
      </x:c>
      <x:c r="P754" s="35" t="n">
        <x:f>L754*O754</x:f>
        <x:v>4.122</x:v>
      </x:c>
      <x:c r="Q754" s="35" t="n">
        <x:v>1.2</x:v>
      </x:c>
      <x:c r="R754" s="35" t="n">
        <x:f>K754*Q754</x:f>
        <x:v>1.2</x:v>
      </x:c>
      <x:c r="S754" s="35" t="n">
        <x:f>XLOOKUP(H754,'菜品主数据'!$A$5:$A$24,'菜品主数据'!$G$5:$G$24,0)</x:f>
        <x:v>9.770200000000003</x:v>
      </x:c>
      <x:c r="T754" s="35" t="n">
        <x:f>K754*S754</x:f>
        <x:v>9.770200000000003</x:v>
      </x:c>
      <x:c r="U754" s="35" t="n">
        <x:f>L754-N754-P754-R754-T754</x:f>
        <x:v>5.975799999999996</x:v>
      </x:c>
      <x:c r="V754" s="21" t="n">
        <x:f>IFERROR(U754/L754,0)</x:f>
        <x:v>0.260951965065502</x:v>
      </x:c>
    </x:row>
    <x:row r="755">
      <x:c r="A755" s="19" t="str">
        <x:v>SALE-00751</x:v>
      </x:c>
      <x:c r="B755" s="34" t="n">
        <x:v>46214.5</x:v>
      </x:c>
      <x:c r="C755" s="19" t="str">
        <x:v>周六</x:v>
      </x:c>
      <x:c r="D755" s="19" t="str">
        <x:v>S03</x:v>
      </x:c>
      <x:c r="E755" s="19" t="str">
        <x:v>铂悦城店</x:v>
      </x:c>
      <x:c r="F755" s="19" t="str">
        <x:v>外卖</x:v>
      </x:c>
      <x:c r="G755" s="19" t="str">
        <x:v>全日</x:v>
      </x:c>
      <x:c r="H755" s="19" t="str">
        <x:v>D11</x:v>
      </x:c>
      <x:c r="I755" s="19" t="str">
        <x:v>香辣爆肥肠</x:v>
      </x:c>
      <x:c r="J755" s="22" t="n">
        <x:f>XLOOKUP(H755,'菜品主数据'!$A$5:$A$24,'菜品主数据'!$D$5:$D$24,0)</x:f>
        <x:v>39</x:v>
      </x:c>
      <x:c r="K755" s="31" t="n">
        <x:v>0</x:v>
      </x:c>
      <x:c r="L755" s="35" t="n">
        <x:f>J755*K755</x:f>
        <x:v>0</x:v>
      </x:c>
      <x:c r="M755" s="36" t="n">
        <x:v>0.08</x:v>
      </x:c>
      <x:c r="N755" s="35" t="n">
        <x:f>L755*M755</x:f>
        <x:v>0</x:v>
      </x:c>
      <x:c r="O755" s="37" t="n">
        <x:v>0.18</x:v>
      </x:c>
      <x:c r="P755" s="35" t="n">
        <x:f>L755*O755</x:f>
        <x:v>0</x:v>
      </x:c>
      <x:c r="Q755" s="35" t="n">
        <x:v>1.2</x:v>
      </x:c>
      <x:c r="R755" s="35" t="n">
        <x:f>K755*Q755</x:f>
        <x:v>0</x:v>
      </x:c>
      <x:c r="S755" s="35" t="n">
        <x:f>XLOOKUP(H755,'菜品主数据'!$A$5:$A$24,'菜品主数据'!$G$5:$G$24,0)</x:f>
        <x:v>10.397</x:v>
      </x:c>
      <x:c r="T755" s="35" t="n">
        <x:f>K755*S755</x:f>
        <x:v>0</x:v>
      </x:c>
      <x:c r="U755" s="35" t="n">
        <x:f>L755-N755-P755-R755-T755</x:f>
        <x:v>0</x:v>
      </x:c>
      <x:c r="V755" s="21" t="n">
        <x:f>IFERROR(U755/L755,0)</x:f>
        <x:v>0</x:v>
      </x:c>
    </x:row>
    <x:row r="756">
      <x:c r="A756" s="19" t="str">
        <x:v>SALE-00752</x:v>
      </x:c>
      <x:c r="B756" s="34" t="n">
        <x:v>46214.5</x:v>
      </x:c>
      <x:c r="C756" s="19" t="str">
        <x:v>周六</x:v>
      </x:c>
      <x:c r="D756" s="19" t="str">
        <x:v>S03</x:v>
      </x:c>
      <x:c r="E756" s="19" t="str">
        <x:v>铂悦城店</x:v>
      </x:c>
      <x:c r="F756" s="19" t="str">
        <x:v>外卖</x:v>
      </x:c>
      <x:c r="G756" s="19" t="str">
        <x:v>全日</x:v>
      </x:c>
      <x:c r="H756" s="19" t="str">
        <x:v>D12</x:v>
      </x:c>
      <x:c r="I756" s="19" t="str">
        <x:v>清蒸鲈鱼</x:v>
      </x:c>
      <x:c r="J756" s="22" t="n">
        <x:f>XLOOKUP(H756,'菜品主数据'!$A$5:$A$24,'菜品主数据'!$D$5:$D$24,0)</x:f>
        <x:v>39</x:v>
      </x:c>
      <x:c r="K756" s="31" t="n">
        <x:v>0</x:v>
      </x:c>
      <x:c r="L756" s="35" t="n">
        <x:f>J756*K756</x:f>
        <x:v>0</x:v>
      </x:c>
      <x:c r="M756" s="36" t="n">
        <x:v>0.08</x:v>
      </x:c>
      <x:c r="N756" s="35" t="n">
        <x:f>L756*M756</x:f>
        <x:v>0</x:v>
      </x:c>
      <x:c r="O756" s="37" t="n">
        <x:v>0.18</x:v>
      </x:c>
      <x:c r="P756" s="35" t="n">
        <x:f>L756*O756</x:f>
        <x:v>0</x:v>
      </x:c>
      <x:c r="Q756" s="35" t="n">
        <x:v>1.2</x:v>
      </x:c>
      <x:c r="R756" s="35" t="n">
        <x:f>K756*Q756</x:f>
        <x:v>0</x:v>
      </x:c>
      <x:c r="S756" s="35" t="n">
        <x:f>XLOOKUP(H756,'菜品主数据'!$A$5:$A$24,'菜品主数据'!$G$5:$G$24,0)</x:f>
        <x:v>18.874</x:v>
      </x:c>
      <x:c r="T756" s="35" t="n">
        <x:f>K756*S756</x:f>
        <x:v>0</x:v>
      </x:c>
      <x:c r="U756" s="35" t="n">
        <x:f>L756-N756-P756-R756-T756</x:f>
        <x:v>0</x:v>
      </x:c>
      <x:c r="V756" s="21" t="n">
        <x:f>IFERROR(U756/L756,0)</x:f>
        <x:v>0</x:v>
      </x:c>
    </x:row>
    <x:row r="757">
      <x:c r="A757" s="19" t="str">
        <x:v>SALE-00753</x:v>
      </x:c>
      <x:c r="B757" s="34" t="n">
        <x:v>46214.5</x:v>
      </x:c>
      <x:c r="C757" s="19" t="str">
        <x:v>周六</x:v>
      </x:c>
      <x:c r="D757" s="19" t="str">
        <x:v>S03</x:v>
      </x:c>
      <x:c r="E757" s="19" t="str">
        <x:v>铂悦城店</x:v>
      </x:c>
      <x:c r="F757" s="19" t="str">
        <x:v>外卖</x:v>
      </x:c>
      <x:c r="G757" s="19" t="str">
        <x:v>全日</x:v>
      </x:c>
      <x:c r="H757" s="19" t="str">
        <x:v>D13</x:v>
      </x:c>
      <x:c r="I757" s="19" t="str">
        <x:v>外婆菜炒蛋</x:v>
      </x:c>
      <x:c r="J757" s="22" t="n">
        <x:f>XLOOKUP(H757,'菜品主数据'!$A$5:$A$24,'菜品主数据'!$D$5:$D$24,0)</x:f>
        <x:v>18</x:v>
      </x:c>
      <x:c r="K757" s="31" t="n">
        <x:v>1</x:v>
      </x:c>
      <x:c r="L757" s="35" t="n">
        <x:f>J757*K757</x:f>
        <x:v>18</x:v>
      </x:c>
      <x:c r="M757" s="36" t="n">
        <x:v>0.08</x:v>
      </x:c>
      <x:c r="N757" s="35" t="n">
        <x:f>L757*M757</x:f>
        <x:v>1.44</x:v>
      </x:c>
      <x:c r="O757" s="37" t="n">
        <x:v>0.18</x:v>
      </x:c>
      <x:c r="P757" s="35" t="n">
        <x:f>L757*O757</x:f>
        <x:v>3.2399999999999998</x:v>
      </x:c>
      <x:c r="Q757" s="35" t="n">
        <x:v>1.2</x:v>
      </x:c>
      <x:c r="R757" s="35" t="n">
        <x:f>K757*Q757</x:f>
        <x:v>1.2</x:v>
      </x:c>
      <x:c r="S757" s="35" t="n">
        <x:f>XLOOKUP(H757,'菜品主数据'!$A$5:$A$24,'菜品主数据'!$G$5:$G$24,0)</x:f>
        <x:v>5.403999999999999</x:v>
      </x:c>
      <x:c r="T757" s="35" t="n">
        <x:f>K757*S757</x:f>
        <x:v>5.403999999999999</x:v>
      </x:c>
      <x:c r="U757" s="35" t="n">
        <x:f>L757-N757-P757-R757-T757</x:f>
        <x:v>6.716</x:v>
      </x:c>
      <x:c r="V757" s="21" t="n">
        <x:f>IFERROR(U757/L757,0)</x:f>
        <x:v>0.3731111111111111</x:v>
      </x:c>
    </x:row>
    <x:row r="758">
      <x:c r="A758" s="19" t="str">
        <x:v>SALE-00754</x:v>
      </x:c>
      <x:c r="B758" s="34" t="n">
        <x:v>46214.5</x:v>
      </x:c>
      <x:c r="C758" s="19" t="str">
        <x:v>周六</x:v>
      </x:c>
      <x:c r="D758" s="19" t="str">
        <x:v>S03</x:v>
      </x:c>
      <x:c r="E758" s="19" t="str">
        <x:v>铂悦城店</x:v>
      </x:c>
      <x:c r="F758" s="19" t="str">
        <x:v>外卖</x:v>
      </x:c>
      <x:c r="G758" s="19" t="str">
        <x:v>全日</x:v>
      </x:c>
      <x:c r="H758" s="19" t="str">
        <x:v>D14</x:v>
      </x:c>
      <x:c r="I758" s="19" t="str">
        <x:v>酸辣鸡杂</x:v>
      </x:c>
      <x:c r="J758" s="22" t="n">
        <x:f>XLOOKUP(H758,'菜品主数据'!$A$5:$A$24,'菜品主数据'!$D$5:$D$24,0)</x:f>
        <x:v>28</x:v>
      </x:c>
      <x:c r="K758" s="31" t="n">
        <x:v>0</x:v>
      </x:c>
      <x:c r="L758" s="35" t="n">
        <x:f>J758*K758</x:f>
        <x:v>0</x:v>
      </x:c>
      <x:c r="M758" s="36" t="n">
        <x:v>0.08</x:v>
      </x:c>
      <x:c r="N758" s="35" t="n">
        <x:f>L758*M758</x:f>
        <x:v>0</x:v>
      </x:c>
      <x:c r="O758" s="37" t="n">
        <x:v>0.18</x:v>
      </x:c>
      <x:c r="P758" s="35" t="n">
        <x:f>L758*O758</x:f>
        <x:v>0</x:v>
      </x:c>
      <x:c r="Q758" s="35" t="n">
        <x:v>1.2</x:v>
      </x:c>
      <x:c r="R758" s="35" t="n">
        <x:f>K758*Q758</x:f>
        <x:v>0</x:v>
      </x:c>
      <x:c r="S758" s="35" t="n">
        <x:f>XLOOKUP(H758,'菜品主数据'!$A$5:$A$24,'菜品主数据'!$G$5:$G$24,0)</x:f>
        <x:v>8.315000000000001</x:v>
      </x:c>
      <x:c r="T758" s="35" t="n">
        <x:f>K758*S758</x:f>
        <x:v>0</x:v>
      </x:c>
      <x:c r="U758" s="35" t="n">
        <x:f>L758-N758-P758-R758-T758</x:f>
        <x:v>0</x:v>
      </x:c>
      <x:c r="V758" s="21" t="n">
        <x:f>IFERROR(U758/L758,0)</x:f>
        <x:v>0</x:v>
      </x:c>
    </x:row>
    <x:row r="759">
      <x:c r="A759" s="19" t="str">
        <x:v>SALE-00755</x:v>
      </x:c>
      <x:c r="B759" s="34" t="n">
        <x:v>46214.5</x:v>
      </x:c>
      <x:c r="C759" s="19" t="str">
        <x:v>周六</x:v>
      </x:c>
      <x:c r="D759" s="19" t="str">
        <x:v>S03</x:v>
      </x:c>
      <x:c r="E759" s="19" t="str">
        <x:v>铂悦城店</x:v>
      </x:c>
      <x:c r="F759" s="19" t="str">
        <x:v>外卖</x:v>
      </x:c>
      <x:c r="G759" s="19" t="str">
        <x:v>全日</x:v>
      </x:c>
      <x:c r="H759" s="19" t="str">
        <x:v>D15</x:v>
      </x:c>
      <x:c r="I759" s="19" t="str">
        <x:v>湘西土匪猪肝</x:v>
      </x:c>
      <x:c r="J759" s="22" t="n">
        <x:f>XLOOKUP(H759,'菜品主数据'!$A$5:$A$24,'菜品主数据'!$D$5:$D$24,0)</x:f>
        <x:v>26</x:v>
      </x:c>
      <x:c r="K759" s="31" t="n">
        <x:v>0</x:v>
      </x:c>
      <x:c r="L759" s="35" t="n">
        <x:f>J759*K759</x:f>
        <x:v>0</x:v>
      </x:c>
      <x:c r="M759" s="36" t="n">
        <x:v>0.08</x:v>
      </x:c>
      <x:c r="N759" s="35" t="n">
        <x:f>L759*M759</x:f>
        <x:v>0</x:v>
      </x:c>
      <x:c r="O759" s="37" t="n">
        <x:v>0.18</x:v>
      </x:c>
      <x:c r="P759" s="35" t="n">
        <x:f>L759*O759</x:f>
        <x:v>0</x:v>
      </x:c>
      <x:c r="Q759" s="35" t="n">
        <x:v>1.2</x:v>
      </x:c>
      <x:c r="R759" s="35" t="n">
        <x:f>K759*Q759</x:f>
        <x:v>0</x:v>
      </x:c>
      <x:c r="S759" s="35" t="n">
        <x:f>XLOOKUP(H759,'菜品主数据'!$A$5:$A$24,'菜品主数据'!$G$5:$G$24,0)</x:f>
        <x:v>6.3759999999999994</x:v>
      </x:c>
      <x:c r="T759" s="35" t="n">
        <x:f>K759*S759</x:f>
        <x:v>0</x:v>
      </x:c>
      <x:c r="U759" s="35" t="n">
        <x:f>L759-N759-P759-R759-T759</x:f>
        <x:v>0</x:v>
      </x:c>
      <x:c r="V759" s="21" t="n">
        <x:f>IFERROR(U759/L759,0)</x:f>
        <x:v>0</x:v>
      </x:c>
    </x:row>
    <x:row r="760">
      <x:c r="A760" s="19" t="str">
        <x:v>SALE-00756</x:v>
      </x:c>
      <x:c r="B760" s="34" t="n">
        <x:v>46214.5</x:v>
      </x:c>
      <x:c r="C760" s="19" t="str">
        <x:v>周六</x:v>
      </x:c>
      <x:c r="D760" s="19" t="str">
        <x:v>S03</x:v>
      </x:c>
      <x:c r="E760" s="19" t="str">
        <x:v>铂悦城店</x:v>
      </x:c>
      <x:c r="F760" s="19" t="str">
        <x:v>外卖</x:v>
      </x:c>
      <x:c r="G760" s="19" t="str">
        <x:v>全日</x:v>
      </x:c>
      <x:c r="H760" s="19" t="str">
        <x:v>D16</x:v>
      </x:c>
      <x:c r="I760" s="19" t="str">
        <x:v>小豆角炒五花</x:v>
      </x:c>
      <x:c r="J760" s="22" t="n">
        <x:f>XLOOKUP(H760,'菜品主数据'!$A$5:$A$24,'菜品主数据'!$D$5:$D$24,0)</x:f>
        <x:v>25</x:v>
      </x:c>
      <x:c r="K760" s="31" t="n">
        <x:v>0</x:v>
      </x:c>
      <x:c r="L760" s="35" t="n">
        <x:f>J760*K760</x:f>
        <x:v>0</x:v>
      </x:c>
      <x:c r="M760" s="36" t="n">
        <x:v>0.08</x:v>
      </x:c>
      <x:c r="N760" s="35" t="n">
        <x:f>L760*M760</x:f>
        <x:v>0</x:v>
      </x:c>
      <x:c r="O760" s="37" t="n">
        <x:v>0.18</x:v>
      </x:c>
      <x:c r="P760" s="35" t="n">
        <x:f>L760*O760</x:f>
        <x:v>0</x:v>
      </x:c>
      <x:c r="Q760" s="35" t="n">
        <x:v>1.2</x:v>
      </x:c>
      <x:c r="R760" s="35" t="n">
        <x:f>K760*Q760</x:f>
        <x:v>0</x:v>
      </x:c>
      <x:c r="S760" s="35" t="n">
        <x:f>XLOOKUP(H760,'菜品主数据'!$A$5:$A$24,'菜品主数据'!$G$5:$G$24,0)</x:f>
        <x:v>8.184</x:v>
      </x:c>
      <x:c r="T760" s="35" t="n">
        <x:f>K760*S760</x:f>
        <x:v>0</x:v>
      </x:c>
      <x:c r="U760" s="35" t="n">
        <x:f>L760-N760-P760-R760-T760</x:f>
        <x:v>0</x:v>
      </x:c>
      <x:c r="V760" s="21" t="n">
        <x:f>IFERROR(U760/L760,0)</x:f>
        <x:v>0</x:v>
      </x:c>
    </x:row>
    <x:row r="761">
      <x:c r="A761" s="19" t="str">
        <x:v>SALE-00757</x:v>
      </x:c>
      <x:c r="B761" s="34" t="n">
        <x:v>46214.5</x:v>
      </x:c>
      <x:c r="C761" s="19" t="str">
        <x:v>周六</x:v>
      </x:c>
      <x:c r="D761" s="19" t="str">
        <x:v>S03</x:v>
      </x:c>
      <x:c r="E761" s="19" t="str">
        <x:v>铂悦城店</x:v>
      </x:c>
      <x:c r="F761" s="19" t="str">
        <x:v>外卖</x:v>
      </x:c>
      <x:c r="G761" s="19" t="str">
        <x:v>全日</x:v>
      </x:c>
      <x:c r="H761" s="19" t="str">
        <x:v>D17</x:v>
      </x:c>
      <x:c r="I761" s="19" t="str">
        <x:v>蒜蓉粉丝虾</x:v>
      </x:c>
      <x:c r="J761" s="22" t="n">
        <x:f>XLOOKUP(H761,'菜品主数据'!$A$5:$A$24,'菜品主数据'!$D$5:$D$24,0)</x:f>
        <x:v>36</x:v>
      </x:c>
      <x:c r="K761" s="31" t="n">
        <x:v>0</x:v>
      </x:c>
      <x:c r="L761" s="35" t="n">
        <x:f>J761*K761</x:f>
        <x:v>0</x:v>
      </x:c>
      <x:c r="M761" s="36" t="n">
        <x:v>0.08</x:v>
      </x:c>
      <x:c r="N761" s="35" t="n">
        <x:f>L761*M761</x:f>
        <x:v>0</x:v>
      </x:c>
      <x:c r="O761" s="37" t="n">
        <x:v>0.18</x:v>
      </x:c>
      <x:c r="P761" s="35" t="n">
        <x:f>L761*O761</x:f>
        <x:v>0</x:v>
      </x:c>
      <x:c r="Q761" s="35" t="n">
        <x:v>1.2</x:v>
      </x:c>
      <x:c r="R761" s="35" t="n">
        <x:f>K761*Q761</x:f>
        <x:v>0</x:v>
      </x:c>
      <x:c r="S761" s="35" t="n">
        <x:f>XLOOKUP(H761,'菜品主数据'!$A$5:$A$24,'菜品主数据'!$G$5:$G$24,0)</x:f>
        <x:v>13.594</x:v>
      </x:c>
      <x:c r="T761" s="35" t="n">
        <x:f>K761*S761</x:f>
        <x:v>0</x:v>
      </x:c>
      <x:c r="U761" s="35" t="n">
        <x:f>L761-N761-P761-R761-T761</x:f>
        <x:v>0</x:v>
      </x:c>
      <x:c r="V761" s="21" t="n">
        <x:f>IFERROR(U761/L761,0)</x:f>
        <x:v>0</x:v>
      </x:c>
    </x:row>
    <x:row r="762">
      <x:c r="A762" s="19" t="str">
        <x:v>SALE-00758</x:v>
      </x:c>
      <x:c r="B762" s="34" t="n">
        <x:v>46214.5</x:v>
      </x:c>
      <x:c r="C762" s="19" t="str">
        <x:v>周六</x:v>
      </x:c>
      <x:c r="D762" s="19" t="str">
        <x:v>S03</x:v>
      </x:c>
      <x:c r="E762" s="19" t="str">
        <x:v>铂悦城店</x:v>
      </x:c>
      <x:c r="F762" s="19" t="str">
        <x:v>外卖</x:v>
      </x:c>
      <x:c r="G762" s="19" t="str">
        <x:v>全日</x:v>
      </x:c>
      <x:c r="H762" s="19" t="str">
        <x:v>D18</x:v>
      </x:c>
      <x:c r="I762" s="19" t="str">
        <x:v>青椒炒油麦菜</x:v>
      </x:c>
      <x:c r="J762" s="22" t="n">
        <x:f>XLOOKUP(H762,'菜品主数据'!$A$5:$A$24,'菜品主数据'!$D$5:$D$24,0)</x:f>
        <x:v>18</x:v>
      </x:c>
      <x:c r="K762" s="31" t="n">
        <x:v>0</x:v>
      </x:c>
      <x:c r="L762" s="35" t="n">
        <x:f>J762*K762</x:f>
        <x:v>0</x:v>
      </x:c>
      <x:c r="M762" s="36" t="n">
        <x:v>0.08</x:v>
      </x:c>
      <x:c r="N762" s="35" t="n">
        <x:f>L762*M762</x:f>
        <x:v>0</x:v>
      </x:c>
      <x:c r="O762" s="37" t="n">
        <x:v>0.18</x:v>
      </x:c>
      <x:c r="P762" s="35" t="n">
        <x:f>L762*O762</x:f>
        <x:v>0</x:v>
      </x:c>
      <x:c r="Q762" s="35" t="n">
        <x:v>1.2</x:v>
      </x:c>
      <x:c r="R762" s="35" t="n">
        <x:f>K762*Q762</x:f>
        <x:v>0</x:v>
      </x:c>
      <x:c r="S762" s="35" t="n">
        <x:f>XLOOKUP(H762,'菜品主数据'!$A$5:$A$24,'菜品主数据'!$G$5:$G$24,0)</x:f>
        <x:v>3.1759999999999993</x:v>
      </x:c>
      <x:c r="T762" s="35" t="n">
        <x:f>K762*S762</x:f>
        <x:v>0</x:v>
      </x:c>
      <x:c r="U762" s="35" t="n">
        <x:f>L762-N762-P762-R762-T762</x:f>
        <x:v>0</x:v>
      </x:c>
      <x:c r="V762" s="21" t="n">
        <x:f>IFERROR(U762/L762,0)</x:f>
        <x:v>0</x:v>
      </x:c>
    </x:row>
    <x:row r="763">
      <x:c r="A763" s="19" t="str">
        <x:v>SALE-00759</x:v>
      </x:c>
      <x:c r="B763" s="34" t="n">
        <x:v>46214.5</x:v>
      </x:c>
      <x:c r="C763" s="19" t="str">
        <x:v>周六</x:v>
      </x:c>
      <x:c r="D763" s="19" t="str">
        <x:v>S03</x:v>
      </x:c>
      <x:c r="E763" s="19" t="str">
        <x:v>铂悦城店</x:v>
      </x:c>
      <x:c r="F763" s="19" t="str">
        <x:v>外卖</x:v>
      </x:c>
      <x:c r="G763" s="19" t="str">
        <x:v>全日</x:v>
      </x:c>
      <x:c r="H763" s="19" t="str">
        <x:v>D19</x:v>
      </x:c>
      <x:c r="I763" s="19" t="str">
        <x:v>酸萝卜炒鸡杂</x:v>
      </x:c>
      <x:c r="J763" s="22" t="n">
        <x:f>XLOOKUP(H763,'菜品主数据'!$A$5:$A$24,'菜品主数据'!$D$5:$D$24,0)</x:f>
        <x:v>25</x:v>
      </x:c>
      <x:c r="K763" s="31" t="n">
        <x:v>0</x:v>
      </x:c>
      <x:c r="L763" s="35" t="n">
        <x:f>J763*K763</x:f>
        <x:v>0</x:v>
      </x:c>
      <x:c r="M763" s="36" t="n">
        <x:v>0.08</x:v>
      </x:c>
      <x:c r="N763" s="35" t="n">
        <x:f>L763*M763</x:f>
        <x:v>0</x:v>
      </x:c>
      <x:c r="O763" s="37" t="n">
        <x:v>0.18</x:v>
      </x:c>
      <x:c r="P763" s="35" t="n">
        <x:f>L763*O763</x:f>
        <x:v>0</x:v>
      </x:c>
      <x:c r="Q763" s="35" t="n">
        <x:v>1.2</x:v>
      </x:c>
      <x:c r="R763" s="35" t="n">
        <x:f>K763*Q763</x:f>
        <x:v>0</x:v>
      </x:c>
      <x:c r="S763" s="35" t="n">
        <x:f>XLOOKUP(H763,'菜品主数据'!$A$5:$A$24,'菜品主数据'!$G$5:$G$24,0)</x:f>
        <x:v>7.9399999999999995</x:v>
      </x:c>
      <x:c r="T763" s="35" t="n">
        <x:f>K763*S763</x:f>
        <x:v>0</x:v>
      </x:c>
      <x:c r="U763" s="35" t="n">
        <x:f>L763-N763-P763-R763-T763</x:f>
        <x:v>0</x:v>
      </x:c>
      <x:c r="V763" s="21" t="n">
        <x:f>IFERROR(U763/L763,0)</x:f>
        <x:v>0</x:v>
      </x:c>
    </x:row>
    <x:row r="764">
      <x:c r="A764" s="19" t="str">
        <x:v>SALE-00760</x:v>
      </x:c>
      <x:c r="B764" s="34" t="n">
        <x:v>46214.5</x:v>
      </x:c>
      <x:c r="C764" s="19" t="str">
        <x:v>周六</x:v>
      </x:c>
      <x:c r="D764" s="19" t="str">
        <x:v>S03</x:v>
      </x:c>
      <x:c r="E764" s="19" t="str">
        <x:v>铂悦城店</x:v>
      </x:c>
      <x:c r="F764" s="19" t="str">
        <x:v>外卖</x:v>
      </x:c>
      <x:c r="G764" s="19" t="str">
        <x:v>全日</x:v>
      </x:c>
      <x:c r="H764" s="19" t="str">
        <x:v>D20</x:v>
      </x:c>
      <x:c r="I764" s="19" t="str">
        <x:v>雪菜肉末青豆</x:v>
      </x:c>
      <x:c r="J764" s="22" t="n">
        <x:f>XLOOKUP(H764,'菜品主数据'!$A$5:$A$24,'菜品主数据'!$D$5:$D$24,0)</x:f>
        <x:v>18</x:v>
      </x:c>
      <x:c r="K764" s="31" t="n">
        <x:v>0</x:v>
      </x:c>
      <x:c r="L764" s="35" t="n">
        <x:f>J764*K764</x:f>
        <x:v>0</x:v>
      </x:c>
      <x:c r="M764" s="36" t="n">
        <x:v>0.08</x:v>
      </x:c>
      <x:c r="N764" s="35" t="n">
        <x:f>L764*M764</x:f>
        <x:v>0</x:v>
      </x:c>
      <x:c r="O764" s="37" t="n">
        <x:v>0.18</x:v>
      </x:c>
      <x:c r="P764" s="35" t="n">
        <x:f>L764*O764</x:f>
        <x:v>0</x:v>
      </x:c>
      <x:c r="Q764" s="35" t="n">
        <x:v>1.2</x:v>
      </x:c>
      <x:c r="R764" s="35" t="n">
        <x:f>K764*Q764</x:f>
        <x:v>0</x:v>
      </x:c>
      <x:c r="S764" s="35" t="n">
        <x:f>XLOOKUP(H764,'菜品主数据'!$A$5:$A$24,'菜品主数据'!$G$5:$G$24,0)</x:f>
        <x:v>7.303999999999999</x:v>
      </x:c>
      <x:c r="T764" s="35" t="n">
        <x:f>K764*S764</x:f>
        <x:v>0</x:v>
      </x:c>
      <x:c r="U764" s="35" t="n">
        <x:f>L764-N764-P764-R764-T764</x:f>
        <x:v>0</x:v>
      </x:c>
      <x:c r="V764" s="21" t="n">
        <x:f>IFERROR(U764/L764,0)</x:f>
        <x:v>0</x:v>
      </x:c>
    </x:row>
    <x:row r="765">
      <x:c r="A765" s="19" t="str">
        <x:v>SALE-00761</x:v>
      </x:c>
      <x:c r="B765" s="34" t="n">
        <x:v>46215.5</x:v>
      </x:c>
      <x:c r="C765" s="19" t="str">
        <x:v>周日</x:v>
      </x:c>
      <x:c r="D765" s="19" t="str">
        <x:v>S03</x:v>
      </x:c>
      <x:c r="E765" s="19" t="str">
        <x:v>铂悦城店</x:v>
      </x:c>
      <x:c r="F765" s="19" t="str">
        <x:v>堂食</x:v>
      </x:c>
      <x:c r="G765" s="19" t="str">
        <x:v>全日</x:v>
      </x:c>
      <x:c r="H765" s="19" t="str">
        <x:v>D01</x:v>
      </x:c>
      <x:c r="I765" s="19" t="str">
        <x:v>辣椒炒肉</x:v>
      </x:c>
      <x:c r="J765" s="22" t="n">
        <x:f>XLOOKUP(H765,'菜品主数据'!$A$5:$A$24,'菜品主数据'!$D$5:$D$24,0)</x:f>
        <x:v>29</x:v>
      </x:c>
      <x:c r="K765" s="31" t="n">
        <x:v>33</x:v>
      </x:c>
      <x:c r="L765" s="35" t="n">
        <x:f>J765*K765</x:f>
        <x:v>957</x:v>
      </x:c>
      <x:c r="M765" s="36" t="n">
        <x:v>0</x:v>
      </x:c>
      <x:c r="N765" s="35" t="n">
        <x:f>L765*M765</x:f>
        <x:v>0</x:v>
      </x:c>
      <x:c r="O765" s="37" t="n">
        <x:v>0</x:v>
      </x:c>
      <x:c r="P765" s="35" t="n">
        <x:f>L765*O765</x:f>
        <x:v>0</x:v>
      </x:c>
      <x:c r="Q765" s="35" t="n">
        <x:v>0</x:v>
      </x:c>
      <x:c r="R765" s="35" t="n">
        <x:f>K765*Q765</x:f>
        <x:v>0</x:v>
      </x:c>
      <x:c r="S765" s="35" t="n">
        <x:f>XLOOKUP(H765,'菜品主数据'!$A$5:$A$24,'菜品主数据'!$G$5:$G$24,0)</x:f>
        <x:v>8.634400000000001</x:v>
      </x:c>
      <x:c r="T765" s="35" t="n">
        <x:f>K765*S765</x:f>
        <x:v>284.93520000000007</x:v>
      </x:c>
      <x:c r="U765" s="35" t="n">
        <x:f>L765-N765-P765-R765-T765</x:f>
        <x:v>672.0647999999999</x:v>
      </x:c>
      <x:c r="V765" s="21" t="n">
        <x:f>IFERROR(U765/L765,0)</x:f>
        <x:v>0.7022620689655171</x:v>
      </x:c>
    </x:row>
    <x:row r="766">
      <x:c r="A766" s="19" t="str">
        <x:v>SALE-00762</x:v>
      </x:c>
      <x:c r="B766" s="34" t="n">
        <x:v>46215.5</x:v>
      </x:c>
      <x:c r="C766" s="19" t="str">
        <x:v>周日</x:v>
      </x:c>
      <x:c r="D766" s="19" t="str">
        <x:v>S03</x:v>
      </x:c>
      <x:c r="E766" s="19" t="str">
        <x:v>铂悦城店</x:v>
      </x:c>
      <x:c r="F766" s="19" t="str">
        <x:v>堂食</x:v>
      </x:c>
      <x:c r="G766" s="19" t="str">
        <x:v>全日</x:v>
      </x:c>
      <x:c r="H766" s="19" t="str">
        <x:v>D02</x:v>
      </x:c>
      <x:c r="I766" s="19" t="str">
        <x:v>小炒黄牛肉</x:v>
      </x:c>
      <x:c r="J766" s="22" t="n">
        <x:f>XLOOKUP(H766,'菜品主数据'!$A$5:$A$24,'菜品主数据'!$D$5:$D$24,0)</x:f>
        <x:v>49</x:v>
      </x:c>
      <x:c r="K766" s="31" t="n">
        <x:v>19</x:v>
      </x:c>
      <x:c r="L766" s="35" t="n">
        <x:f>J766*K766</x:f>
        <x:v>931</x:v>
      </x:c>
      <x:c r="M766" s="36" t="n">
        <x:v>0</x:v>
      </x:c>
      <x:c r="N766" s="35" t="n">
        <x:f>L766*M766</x:f>
        <x:v>0</x:v>
      </x:c>
      <x:c r="O766" s="37" t="n">
        <x:v>0</x:v>
      </x:c>
      <x:c r="P766" s="35" t="n">
        <x:f>L766*O766</x:f>
        <x:v>0</x:v>
      </x:c>
      <x:c r="Q766" s="35" t="n">
        <x:v>0</x:v>
      </x:c>
      <x:c r="R766" s="35" t="n">
        <x:f>K766*Q766</x:f>
        <x:v>0</x:v>
      </x:c>
      <x:c r="S766" s="35" t="n">
        <x:f>XLOOKUP(H766,'菜品主数据'!$A$5:$A$24,'菜品主数据'!$G$5:$G$24,0)</x:f>
        <x:v>17.577</x:v>
      </x:c>
      <x:c r="T766" s="35" t="n">
        <x:f>K766*S766</x:f>
        <x:v>333.963</x:v>
      </x:c>
      <x:c r="U766" s="35" t="n">
        <x:f>L766-N766-P766-R766-T766</x:f>
        <x:v>597.037</x:v>
      </x:c>
      <x:c r="V766" s="21" t="n">
        <x:f>IFERROR(U766/L766,0)</x:f>
        <x:v>0.6412857142857143</x:v>
      </x:c>
    </x:row>
    <x:row r="767">
      <x:c r="A767" s="19" t="str">
        <x:v>SALE-00763</x:v>
      </x:c>
      <x:c r="B767" s="34" t="n">
        <x:v>46215.5</x:v>
      </x:c>
      <x:c r="C767" s="19" t="str">
        <x:v>周日</x:v>
      </x:c>
      <x:c r="D767" s="19" t="str">
        <x:v>S03</x:v>
      </x:c>
      <x:c r="E767" s="19" t="str">
        <x:v>铂悦城店</x:v>
      </x:c>
      <x:c r="F767" s="19" t="str">
        <x:v>堂食</x:v>
      </x:c>
      <x:c r="G767" s="19" t="str">
        <x:v>全日</x:v>
      </x:c>
      <x:c r="H767" s="19" t="str">
        <x:v>D03</x:v>
      </x:c>
      <x:c r="I767" s="19" t="str">
        <x:v>香醋炒蛋</x:v>
      </x:c>
      <x:c r="J767" s="22" t="n">
        <x:f>XLOOKUP(H767,'菜品主数据'!$A$5:$A$24,'菜品主数据'!$D$5:$D$24,0)</x:f>
        <x:v>14.9</x:v>
      </x:c>
      <x:c r="K767" s="31" t="n">
        <x:v>29</x:v>
      </x:c>
      <x:c r="L767" s="35" t="n">
        <x:f>J767*K767</x:f>
        <x:v>432.1</x:v>
      </x:c>
      <x:c r="M767" s="36" t="n">
        <x:v>0</x:v>
      </x:c>
      <x:c r="N767" s="35" t="n">
        <x:f>L767*M767</x:f>
        <x:v>0</x:v>
      </x:c>
      <x:c r="O767" s="37" t="n">
        <x:v>0</x:v>
      </x:c>
      <x:c r="P767" s="35" t="n">
        <x:f>L767*O767</x:f>
        <x:v>0</x:v>
      </x:c>
      <x:c r="Q767" s="35" t="n">
        <x:v>0</x:v>
      </x:c>
      <x:c r="R767" s="35" t="n">
        <x:f>K767*Q767</x:f>
        <x:v>0</x:v>
      </x:c>
      <x:c r="S767" s="35" t="n">
        <x:f>XLOOKUP(H767,'菜品主数据'!$A$5:$A$24,'菜品主数据'!$G$5:$G$24,0)</x:f>
        <x:v>3.7459999999999996</x:v>
      </x:c>
      <x:c r="T767" s="35" t="n">
        <x:f>K767*S767</x:f>
        <x:v>108.63399999999999</x:v>
      </x:c>
      <x:c r="U767" s="35" t="n">
        <x:f>L767-N767-P767-R767-T767</x:f>
        <x:v>323.466</x:v>
      </x:c>
      <x:c r="V767" s="21" t="n">
        <x:f>IFERROR(U767/L767,0)</x:f>
        <x:v>0.7485906040268456</x:v>
      </x:c>
    </x:row>
    <x:row r="768">
      <x:c r="A768" s="19" t="str">
        <x:v>SALE-00764</x:v>
      </x:c>
      <x:c r="B768" s="34" t="n">
        <x:v>46215.5</x:v>
      </x:c>
      <x:c r="C768" s="19" t="str">
        <x:v>周日</x:v>
      </x:c>
      <x:c r="D768" s="19" t="str">
        <x:v>S03</x:v>
      </x:c>
      <x:c r="E768" s="19" t="str">
        <x:v>铂悦城店</x:v>
      </x:c>
      <x:c r="F768" s="19" t="str">
        <x:v>堂食</x:v>
      </x:c>
      <x:c r="G768" s="19" t="str">
        <x:v>全日</x:v>
      </x:c>
      <x:c r="H768" s="19" t="str">
        <x:v>D04</x:v>
      </x:c>
      <x:c r="I768" s="19" t="str">
        <x:v>酸包菜炒粉皮</x:v>
      </x:c>
      <x:c r="J768" s="22" t="n">
        <x:f>XLOOKUP(H768,'菜品主数据'!$A$5:$A$24,'菜品主数据'!$D$5:$D$24,0)</x:f>
        <x:v>16</x:v>
      </x:c>
      <x:c r="K768" s="31" t="n">
        <x:v>27</x:v>
      </x:c>
      <x:c r="L768" s="35" t="n">
        <x:f>J768*K768</x:f>
        <x:v>432</x:v>
      </x:c>
      <x:c r="M768" s="36" t="n">
        <x:v>0</x:v>
      </x:c>
      <x:c r="N768" s="35" t="n">
        <x:f>L768*M768</x:f>
        <x:v>0</x:v>
      </x:c>
      <x:c r="O768" s="37" t="n">
        <x:v>0</x:v>
      </x:c>
      <x:c r="P768" s="35" t="n">
        <x:f>L768*O768</x:f>
        <x:v>0</x:v>
      </x:c>
      <x:c r="Q768" s="35" t="n">
        <x:v>0</x:v>
      </x:c>
      <x:c r="R768" s="35" t="n">
        <x:f>K768*Q768</x:f>
        <x:v>0</x:v>
      </x:c>
      <x:c r="S768" s="35" t="n">
        <x:f>XLOOKUP(H768,'菜品主数据'!$A$5:$A$24,'菜品主数据'!$G$5:$G$24,0)</x:f>
        <x:v>3.978</x:v>
      </x:c>
      <x:c r="T768" s="35" t="n">
        <x:f>K768*S768</x:f>
        <x:v>107.406</x:v>
      </x:c>
      <x:c r="U768" s="35" t="n">
        <x:f>L768-N768-P768-R768-T768</x:f>
        <x:v>324.594</x:v>
      </x:c>
      <x:c r="V768" s="21" t="n">
        <x:f>IFERROR(U768/L768,0)</x:f>
        <x:v>0.751375</x:v>
      </x:c>
    </x:row>
    <x:row r="769">
      <x:c r="A769" s="19" t="str">
        <x:v>SALE-00765</x:v>
      </x:c>
      <x:c r="B769" s="34" t="n">
        <x:v>46215.5</x:v>
      </x:c>
      <x:c r="C769" s="19" t="str">
        <x:v>周日</x:v>
      </x:c>
      <x:c r="D769" s="19" t="str">
        <x:v>S03</x:v>
      </x:c>
      <x:c r="E769" s="19" t="str">
        <x:v>铂悦城店</x:v>
      </x:c>
      <x:c r="F769" s="19" t="str">
        <x:v>堂食</x:v>
      </x:c>
      <x:c r="G769" s="19" t="str">
        <x:v>全日</x:v>
      </x:c>
      <x:c r="H769" s="19" t="str">
        <x:v>D05</x:v>
      </x:c>
      <x:c r="I769" s="19" t="str">
        <x:v>麻婆豆腐</x:v>
      </x:c>
      <x:c r="J769" s="22" t="n">
        <x:f>XLOOKUP(H769,'菜品主数据'!$A$5:$A$24,'菜品主数据'!$D$5:$D$24,0)</x:f>
        <x:v>9.9</x:v>
      </x:c>
      <x:c r="K769" s="31" t="n">
        <x:v>35</x:v>
      </x:c>
      <x:c r="L769" s="35" t="n">
        <x:f>J769*K769</x:f>
        <x:v>346.5</x:v>
      </x:c>
      <x:c r="M769" s="36" t="n">
        <x:v>0</x:v>
      </x:c>
      <x:c r="N769" s="35" t="n">
        <x:f>L769*M769</x:f>
        <x:v>0</x:v>
      </x:c>
      <x:c r="O769" s="37" t="n">
        <x:v>0</x:v>
      </x:c>
      <x:c r="P769" s="35" t="n">
        <x:f>L769*O769</x:f>
        <x:v>0</x:v>
      </x:c>
      <x:c r="Q769" s="35" t="n">
        <x:v>0</x:v>
      </x:c>
      <x:c r="R769" s="35" t="n">
        <x:f>K769*Q769</x:f>
        <x:v>0</x:v>
      </x:c>
      <x:c r="S769" s="35" t="n">
        <x:f>XLOOKUP(H769,'菜品主数据'!$A$5:$A$24,'菜品主数据'!$G$5:$G$24,0)</x:f>
        <x:v>5.367000000000001</x:v>
      </x:c>
      <x:c r="T769" s="35" t="n">
        <x:f>K769*S769</x:f>
        <x:v>187.84500000000003</x:v>
      </x:c>
      <x:c r="U769" s="35" t="n">
        <x:f>L769-N769-P769-R769-T769</x:f>
        <x:v>158.65499999999997</x:v>
      </x:c>
      <x:c r="V769" s="21" t="n">
        <x:f>IFERROR(U769/L769,0)</x:f>
        <x:v>0.4578787878787878</x:v>
      </x:c>
    </x:row>
    <x:row r="770">
      <x:c r="A770" s="19" t="str">
        <x:v>SALE-00766</x:v>
      </x:c>
      <x:c r="B770" s="34" t="n">
        <x:v>46215.5</x:v>
      </x:c>
      <x:c r="C770" s="19" t="str">
        <x:v>周日</x:v>
      </x:c>
      <x:c r="D770" s="19" t="str">
        <x:v>S03</x:v>
      </x:c>
      <x:c r="E770" s="19" t="str">
        <x:v>铂悦城店</x:v>
      </x:c>
      <x:c r="F770" s="19" t="str">
        <x:v>堂食</x:v>
      </x:c>
      <x:c r="G770" s="19" t="str">
        <x:v>全日</x:v>
      </x:c>
      <x:c r="H770" s="19" t="str">
        <x:v>D06</x:v>
      </x:c>
      <x:c r="I770" s="19" t="str">
        <x:v>剁椒鱼头</x:v>
      </x:c>
      <x:c r="J770" s="22" t="n">
        <x:f>XLOOKUP(H770,'菜品主数据'!$A$5:$A$24,'菜品主数据'!$D$5:$D$24,0)</x:f>
        <x:v>39</x:v>
      </x:c>
      <x:c r="K770" s="31" t="n">
        <x:v>10</x:v>
      </x:c>
      <x:c r="L770" s="35" t="n">
        <x:f>J770*K770</x:f>
        <x:v>390</x:v>
      </x:c>
      <x:c r="M770" s="36" t="n">
        <x:v>0</x:v>
      </x:c>
      <x:c r="N770" s="35" t="n">
        <x:f>L770*M770</x:f>
        <x:v>0</x:v>
      </x:c>
      <x:c r="O770" s="37" t="n">
        <x:v>0</x:v>
      </x:c>
      <x:c r="P770" s="35" t="n">
        <x:f>L770*O770</x:f>
        <x:v>0</x:v>
      </x:c>
      <x:c r="Q770" s="35" t="n">
        <x:v>0</x:v>
      </x:c>
      <x:c r="R770" s="35" t="n">
        <x:f>K770*Q770</x:f>
        <x:v>0</x:v>
      </x:c>
      <x:c r="S770" s="35" t="n">
        <x:f>XLOOKUP(H770,'菜品主数据'!$A$5:$A$24,'菜品主数据'!$G$5:$G$24,0)</x:f>
        <x:v>17.446</x:v>
      </x:c>
      <x:c r="T770" s="35" t="n">
        <x:f>K770*S770</x:f>
        <x:v>174.46</x:v>
      </x:c>
      <x:c r="U770" s="35" t="n">
        <x:f>L770-N770-P770-R770-T770</x:f>
        <x:v>215.54</x:v>
      </x:c>
      <x:c r="V770" s="21" t="n">
        <x:f>IFERROR(U770/L770,0)</x:f>
        <x:v>0.5526666666666666</x:v>
      </x:c>
    </x:row>
    <x:row r="771">
      <x:c r="A771" s="19" t="str">
        <x:v>SALE-00767</x:v>
      </x:c>
      <x:c r="B771" s="34" t="n">
        <x:v>46215.5</x:v>
      </x:c>
      <x:c r="C771" s="19" t="str">
        <x:v>周日</x:v>
      </x:c>
      <x:c r="D771" s="19" t="str">
        <x:v>S03</x:v>
      </x:c>
      <x:c r="E771" s="19" t="str">
        <x:v>铂悦城店</x:v>
      </x:c>
      <x:c r="F771" s="19" t="str">
        <x:v>堂食</x:v>
      </x:c>
      <x:c r="G771" s="19" t="str">
        <x:v>全日</x:v>
      </x:c>
      <x:c r="H771" s="19" t="str">
        <x:v>D07</x:v>
      </x:c>
      <x:c r="I771" s="19" t="str">
        <x:v>川味回锅肉</x:v>
      </x:c>
      <x:c r="J771" s="22" t="n">
        <x:f>XLOOKUP(H771,'菜品主数据'!$A$5:$A$24,'菜品主数据'!$D$5:$D$24,0)</x:f>
        <x:v>29</x:v>
      </x:c>
      <x:c r="K771" s="31" t="n">
        <x:v>11</x:v>
      </x:c>
      <x:c r="L771" s="35" t="n">
        <x:f>J771*K771</x:f>
        <x:v>319</x:v>
      </x:c>
      <x:c r="M771" s="36" t="n">
        <x:v>0</x:v>
      </x:c>
      <x:c r="N771" s="35" t="n">
        <x:f>L771*M771</x:f>
        <x:v>0</x:v>
      </x:c>
      <x:c r="O771" s="37" t="n">
        <x:v>0</x:v>
      </x:c>
      <x:c r="P771" s="35" t="n">
        <x:f>L771*O771</x:f>
        <x:v>0</x:v>
      </x:c>
      <x:c r="Q771" s="35" t="n">
        <x:v>0</x:v>
      </x:c>
      <x:c r="R771" s="35" t="n">
        <x:f>K771*Q771</x:f>
        <x:v>0</x:v>
      </x:c>
      <x:c r="S771" s="35" t="n">
        <x:f>XLOOKUP(H771,'菜品主数据'!$A$5:$A$24,'菜品主数据'!$G$5:$G$24,0)</x:f>
        <x:v>10.231000000000002</x:v>
      </x:c>
      <x:c r="T771" s="35" t="n">
        <x:f>K771*S771</x:f>
        <x:v>112.54100000000003</x:v>
      </x:c>
      <x:c r="U771" s="35" t="n">
        <x:f>L771-N771-P771-R771-T771</x:f>
        <x:v>206.45899999999997</x:v>
      </x:c>
      <x:c r="V771" s="21" t="n">
        <x:f>IFERROR(U771/L771,0)</x:f>
        <x:v>0.647206896551724</x:v>
      </x:c>
    </x:row>
    <x:row r="772">
      <x:c r="A772" s="19" t="str">
        <x:v>SALE-00768</x:v>
      </x:c>
      <x:c r="B772" s="34" t="n">
        <x:v>46215.5</x:v>
      </x:c>
      <x:c r="C772" s="19" t="str">
        <x:v>周日</x:v>
      </x:c>
      <x:c r="D772" s="19" t="str">
        <x:v>S03</x:v>
      </x:c>
      <x:c r="E772" s="19" t="str">
        <x:v>铂悦城店</x:v>
      </x:c>
      <x:c r="F772" s="19" t="str">
        <x:v>堂食</x:v>
      </x:c>
      <x:c r="G772" s="19" t="str">
        <x:v>全日</x:v>
      </x:c>
      <x:c r="H772" s="19" t="str">
        <x:v>D08</x:v>
      </x:c>
      <x:c r="I772" s="19" t="str">
        <x:v>生炒清远鸡</x:v>
      </x:c>
      <x:c r="J772" s="22" t="n">
        <x:f>XLOOKUP(H772,'菜品主数据'!$A$5:$A$24,'菜品主数据'!$D$5:$D$24,0)</x:f>
        <x:v>36</x:v>
      </x:c>
      <x:c r="K772" s="31" t="n">
        <x:v>8</x:v>
      </x:c>
      <x:c r="L772" s="35" t="n">
        <x:f>J772*K772</x:f>
        <x:v>288</x:v>
      </x:c>
      <x:c r="M772" s="36" t="n">
        <x:v>0</x:v>
      </x:c>
      <x:c r="N772" s="35" t="n">
        <x:f>L772*M772</x:f>
        <x:v>0</x:v>
      </x:c>
      <x:c r="O772" s="37" t="n">
        <x:v>0</x:v>
      </x:c>
      <x:c r="P772" s="35" t="n">
        <x:f>L772*O772</x:f>
        <x:v>0</x:v>
      </x:c>
      <x:c r="Q772" s="35" t="n">
        <x:v>0</x:v>
      </x:c>
      <x:c r="R772" s="35" t="n">
        <x:f>K772*Q772</x:f>
        <x:v>0</x:v>
      </x:c>
      <x:c r="S772" s="35" t="n">
        <x:f>XLOOKUP(H772,'菜品主数据'!$A$5:$A$24,'菜品主数据'!$G$5:$G$24,0)</x:f>
        <x:v>13.48</x:v>
      </x:c>
      <x:c r="T772" s="35" t="n">
        <x:f>K772*S772</x:f>
        <x:v>107.84</x:v>
      </x:c>
      <x:c r="U772" s="35" t="n">
        <x:f>L772-N772-P772-R772-T772</x:f>
        <x:v>180.16</x:v>
      </x:c>
      <x:c r="V772" s="21" t="n">
        <x:f>IFERROR(U772/L772,0)</x:f>
        <x:v>0.6255555555555555</x:v>
      </x:c>
    </x:row>
    <x:row r="773">
      <x:c r="A773" s="19" t="str">
        <x:v>SALE-00769</x:v>
      </x:c>
      <x:c r="B773" s="34" t="n">
        <x:v>46215.5</x:v>
      </x:c>
      <x:c r="C773" s="19" t="str">
        <x:v>周日</x:v>
      </x:c>
      <x:c r="D773" s="19" t="str">
        <x:v>S03</x:v>
      </x:c>
      <x:c r="E773" s="19" t="str">
        <x:v>铂悦城店</x:v>
      </x:c>
      <x:c r="F773" s="19" t="str">
        <x:v>堂食</x:v>
      </x:c>
      <x:c r="G773" s="19" t="str">
        <x:v>全日</x:v>
      </x:c>
      <x:c r="H773" s="19" t="str">
        <x:v>D09</x:v>
      </x:c>
      <x:c r="I773" s="19" t="str">
        <x:v>炒豆干</x:v>
      </x:c>
      <x:c r="J773" s="22" t="n">
        <x:f>XLOOKUP(H773,'菜品主数据'!$A$5:$A$24,'菜品主数据'!$D$5:$D$24,0)</x:f>
        <x:v>18</x:v>
      </x:c>
      <x:c r="K773" s="31" t="n">
        <x:v>11</x:v>
      </x:c>
      <x:c r="L773" s="35" t="n">
        <x:f>J773*K773</x:f>
        <x:v>198</x:v>
      </x:c>
      <x:c r="M773" s="36" t="n">
        <x:v>0</x:v>
      </x:c>
      <x:c r="N773" s="35" t="n">
        <x:f>L773*M773</x:f>
        <x:v>0</x:v>
      </x:c>
      <x:c r="O773" s="37" t="n">
        <x:v>0</x:v>
      </x:c>
      <x:c r="P773" s="35" t="n">
        <x:f>L773*O773</x:f>
        <x:v>0</x:v>
      </x:c>
      <x:c r="Q773" s="35" t="n">
        <x:v>0</x:v>
      </x:c>
      <x:c r="R773" s="35" t="n">
        <x:f>K773*Q773</x:f>
        <x:v>0</x:v>
      </x:c>
      <x:c r="S773" s="35" t="n">
        <x:f>XLOOKUP(H773,'菜品主数据'!$A$5:$A$24,'菜品主数据'!$G$5:$G$24,0)</x:f>
        <x:v>6.613999999999999</x:v>
      </x:c>
      <x:c r="T773" s="35" t="n">
        <x:f>K773*S773</x:f>
        <x:v>72.75399999999999</x:v>
      </x:c>
      <x:c r="U773" s="35" t="n">
        <x:f>L773-N773-P773-R773-T773</x:f>
        <x:v>125.24600000000001</x:v>
      </x:c>
      <x:c r="V773" s="21" t="n">
        <x:f>IFERROR(U773/L773,0)</x:f>
        <x:v>0.6325555555555556</x:v>
      </x:c>
    </x:row>
    <x:row r="774">
      <x:c r="A774" s="19" t="str">
        <x:v>SALE-00770</x:v>
      </x:c>
      <x:c r="B774" s="34" t="n">
        <x:v>46215.5</x:v>
      </x:c>
      <x:c r="C774" s="19" t="str">
        <x:v>周日</x:v>
      </x:c>
      <x:c r="D774" s="19" t="str">
        <x:v>S03</x:v>
      </x:c>
      <x:c r="E774" s="19" t="str">
        <x:v>铂悦城店</x:v>
      </x:c>
      <x:c r="F774" s="19" t="str">
        <x:v>堂食</x:v>
      </x:c>
      <x:c r="G774" s="19" t="str">
        <x:v>全日</x:v>
      </x:c>
      <x:c r="H774" s="19" t="str">
        <x:v>D10</x:v>
      </x:c>
      <x:c r="I774" s="19" t="str">
        <x:v>农家一碗香</x:v>
      </x:c>
      <x:c r="J774" s="22" t="n">
        <x:f>XLOOKUP(H774,'菜品主数据'!$A$5:$A$24,'菜品主数据'!$D$5:$D$24,0)</x:f>
        <x:v>22.9</x:v>
      </x:c>
      <x:c r="K774" s="31" t="n">
        <x:v>14</x:v>
      </x:c>
      <x:c r="L774" s="35" t="n">
        <x:f>J774*K774</x:f>
        <x:v>320.59999999999997</x:v>
      </x:c>
      <x:c r="M774" s="36" t="n">
        <x:v>0</x:v>
      </x:c>
      <x:c r="N774" s="35" t="n">
        <x:f>L774*M774</x:f>
        <x:v>0</x:v>
      </x:c>
      <x:c r="O774" s="37" t="n">
        <x:v>0</x:v>
      </x:c>
      <x:c r="P774" s="35" t="n">
        <x:f>L774*O774</x:f>
        <x:v>0</x:v>
      </x:c>
      <x:c r="Q774" s="35" t="n">
        <x:v>0</x:v>
      </x:c>
      <x:c r="R774" s="35" t="n">
        <x:f>K774*Q774</x:f>
        <x:v>0</x:v>
      </x:c>
      <x:c r="S774" s="35" t="n">
        <x:f>XLOOKUP(H774,'菜品主数据'!$A$5:$A$24,'菜品主数据'!$G$5:$G$24,0)</x:f>
        <x:v>9.770200000000003</x:v>
      </x:c>
      <x:c r="T774" s="35" t="n">
        <x:f>K774*S774</x:f>
        <x:v>136.78280000000004</x:v>
      </x:c>
      <x:c r="U774" s="35" t="n">
        <x:f>L774-N774-P774-R774-T774</x:f>
        <x:v>183.81719999999993</x:v>
      </x:c>
      <x:c r="V774" s="21" t="n">
        <x:f>IFERROR(U774/L774,0)</x:f>
        <x:v>0.5733537117903929</x:v>
      </x:c>
    </x:row>
    <x:row r="775">
      <x:c r="A775" s="19" t="str">
        <x:v>SALE-00771</x:v>
      </x:c>
      <x:c r="B775" s="34" t="n">
        <x:v>46215.5</x:v>
      </x:c>
      <x:c r="C775" s="19" t="str">
        <x:v>周日</x:v>
      </x:c>
      <x:c r="D775" s="19" t="str">
        <x:v>S03</x:v>
      </x:c>
      <x:c r="E775" s="19" t="str">
        <x:v>铂悦城店</x:v>
      </x:c>
      <x:c r="F775" s="19" t="str">
        <x:v>堂食</x:v>
      </x:c>
      <x:c r="G775" s="19" t="str">
        <x:v>全日</x:v>
      </x:c>
      <x:c r="H775" s="19" t="str">
        <x:v>D11</x:v>
      </x:c>
      <x:c r="I775" s="19" t="str">
        <x:v>香辣爆肥肠</x:v>
      </x:c>
      <x:c r="J775" s="22" t="n">
        <x:f>XLOOKUP(H775,'菜品主数据'!$A$5:$A$24,'菜品主数据'!$D$5:$D$24,0)</x:f>
        <x:v>39</x:v>
      </x:c>
      <x:c r="K775" s="31" t="n">
        <x:v>5</x:v>
      </x:c>
      <x:c r="L775" s="35" t="n">
        <x:f>J775*K775</x:f>
        <x:v>195</x:v>
      </x:c>
      <x:c r="M775" s="36" t="n">
        <x:v>0</x:v>
      </x:c>
      <x:c r="N775" s="35" t="n">
        <x:f>L775*M775</x:f>
        <x:v>0</x:v>
      </x:c>
      <x:c r="O775" s="37" t="n">
        <x:v>0</x:v>
      </x:c>
      <x:c r="P775" s="35" t="n">
        <x:f>L775*O775</x:f>
        <x:v>0</x:v>
      </x:c>
      <x:c r="Q775" s="35" t="n">
        <x:v>0</x:v>
      </x:c>
      <x:c r="R775" s="35" t="n">
        <x:f>K775*Q775</x:f>
        <x:v>0</x:v>
      </x:c>
      <x:c r="S775" s="35" t="n">
        <x:f>XLOOKUP(H775,'菜品主数据'!$A$5:$A$24,'菜品主数据'!$G$5:$G$24,0)</x:f>
        <x:v>10.397</x:v>
      </x:c>
      <x:c r="T775" s="35" t="n">
        <x:f>K775*S775</x:f>
        <x:v>51.985</x:v>
      </x:c>
      <x:c r="U775" s="35" t="n">
        <x:f>L775-N775-P775-R775-T775</x:f>
        <x:v>143.015</x:v>
      </x:c>
      <x:c r="V775" s="21" t="n">
        <x:f>IFERROR(U775/L775,0)</x:f>
        <x:v>0.7334102564102564</x:v>
      </x:c>
    </x:row>
    <x:row r="776">
      <x:c r="A776" s="19" t="str">
        <x:v>SALE-00772</x:v>
      </x:c>
      <x:c r="B776" s="34" t="n">
        <x:v>46215.5</x:v>
      </x:c>
      <x:c r="C776" s="19" t="str">
        <x:v>周日</x:v>
      </x:c>
      <x:c r="D776" s="19" t="str">
        <x:v>S03</x:v>
      </x:c>
      <x:c r="E776" s="19" t="str">
        <x:v>铂悦城店</x:v>
      </x:c>
      <x:c r="F776" s="19" t="str">
        <x:v>堂食</x:v>
      </x:c>
      <x:c r="G776" s="19" t="str">
        <x:v>全日</x:v>
      </x:c>
      <x:c r="H776" s="19" t="str">
        <x:v>D12</x:v>
      </x:c>
      <x:c r="I776" s="19" t="str">
        <x:v>清蒸鲈鱼</x:v>
      </x:c>
      <x:c r="J776" s="22" t="n">
        <x:f>XLOOKUP(H776,'菜品主数据'!$A$5:$A$24,'菜品主数据'!$D$5:$D$24,0)</x:f>
        <x:v>39</x:v>
      </x:c>
      <x:c r="K776" s="31" t="n">
        <x:v>6</x:v>
      </x:c>
      <x:c r="L776" s="35" t="n">
        <x:f>J776*K776</x:f>
        <x:v>234</x:v>
      </x:c>
      <x:c r="M776" s="36" t="n">
        <x:v>0</x:v>
      </x:c>
      <x:c r="N776" s="35" t="n">
        <x:f>L776*M776</x:f>
        <x:v>0</x:v>
      </x:c>
      <x:c r="O776" s="37" t="n">
        <x:v>0</x:v>
      </x:c>
      <x:c r="P776" s="35" t="n">
        <x:f>L776*O776</x:f>
        <x:v>0</x:v>
      </x:c>
      <x:c r="Q776" s="35" t="n">
        <x:v>0</x:v>
      </x:c>
      <x:c r="R776" s="35" t="n">
        <x:f>K776*Q776</x:f>
        <x:v>0</x:v>
      </x:c>
      <x:c r="S776" s="35" t="n">
        <x:f>XLOOKUP(H776,'菜品主数据'!$A$5:$A$24,'菜品主数据'!$G$5:$G$24,0)</x:f>
        <x:v>18.874</x:v>
      </x:c>
      <x:c r="T776" s="35" t="n">
        <x:f>K776*S776</x:f>
        <x:v>113.244</x:v>
      </x:c>
      <x:c r="U776" s="35" t="n">
        <x:f>L776-N776-P776-R776-T776</x:f>
        <x:v>120.756</x:v>
      </x:c>
      <x:c r="V776" s="21" t="n">
        <x:f>IFERROR(U776/L776,0)</x:f>
        <x:v>0.516051282051282</x:v>
      </x:c>
    </x:row>
    <x:row r="777">
      <x:c r="A777" s="19" t="str">
        <x:v>SALE-00773</x:v>
      </x:c>
      <x:c r="B777" s="34" t="n">
        <x:v>46215.5</x:v>
      </x:c>
      <x:c r="C777" s="19" t="str">
        <x:v>周日</x:v>
      </x:c>
      <x:c r="D777" s="19" t="str">
        <x:v>S03</x:v>
      </x:c>
      <x:c r="E777" s="19" t="str">
        <x:v>铂悦城店</x:v>
      </x:c>
      <x:c r="F777" s="19" t="str">
        <x:v>堂食</x:v>
      </x:c>
      <x:c r="G777" s="19" t="str">
        <x:v>全日</x:v>
      </x:c>
      <x:c r="H777" s="19" t="str">
        <x:v>D13</x:v>
      </x:c>
      <x:c r="I777" s="19" t="str">
        <x:v>外婆菜炒蛋</x:v>
      </x:c>
      <x:c r="J777" s="22" t="n">
        <x:f>XLOOKUP(H777,'菜品主数据'!$A$5:$A$24,'菜品主数据'!$D$5:$D$24,0)</x:f>
        <x:v>18</x:v>
      </x:c>
      <x:c r="K777" s="31" t="n">
        <x:v>12</x:v>
      </x:c>
      <x:c r="L777" s="35" t="n">
        <x:f>J777*K777</x:f>
        <x:v>216</x:v>
      </x:c>
      <x:c r="M777" s="36" t="n">
        <x:v>0</x:v>
      </x:c>
      <x:c r="N777" s="35" t="n">
        <x:f>L777*M777</x:f>
        <x:v>0</x:v>
      </x:c>
      <x:c r="O777" s="37" t="n">
        <x:v>0</x:v>
      </x:c>
      <x:c r="P777" s="35" t="n">
        <x:f>L777*O777</x:f>
        <x:v>0</x:v>
      </x:c>
      <x:c r="Q777" s="35" t="n">
        <x:v>0</x:v>
      </x:c>
      <x:c r="R777" s="35" t="n">
        <x:f>K777*Q777</x:f>
        <x:v>0</x:v>
      </x:c>
      <x:c r="S777" s="35" t="n">
        <x:f>XLOOKUP(H777,'菜品主数据'!$A$5:$A$24,'菜品主数据'!$G$5:$G$24,0)</x:f>
        <x:v>5.403999999999999</x:v>
      </x:c>
      <x:c r="T777" s="35" t="n">
        <x:f>K777*S777</x:f>
        <x:v>64.84799999999998</x:v>
      </x:c>
      <x:c r="U777" s="35" t="n">
        <x:f>L777-N777-P777-R777-T777</x:f>
        <x:v>151.15200000000002</x:v>
      </x:c>
      <x:c r="V777" s="21" t="n">
        <x:f>IFERROR(U777/L777,0)</x:f>
        <x:v>0.6997777777777778</x:v>
      </x:c>
    </x:row>
    <x:row r="778">
      <x:c r="A778" s="19" t="str">
        <x:v>SALE-00774</x:v>
      </x:c>
      <x:c r="B778" s="34" t="n">
        <x:v>46215.5</x:v>
      </x:c>
      <x:c r="C778" s="19" t="str">
        <x:v>周日</x:v>
      </x:c>
      <x:c r="D778" s="19" t="str">
        <x:v>S03</x:v>
      </x:c>
      <x:c r="E778" s="19" t="str">
        <x:v>铂悦城店</x:v>
      </x:c>
      <x:c r="F778" s="19" t="str">
        <x:v>堂食</x:v>
      </x:c>
      <x:c r="G778" s="19" t="str">
        <x:v>全日</x:v>
      </x:c>
      <x:c r="H778" s="19" t="str">
        <x:v>D14</x:v>
      </x:c>
      <x:c r="I778" s="19" t="str">
        <x:v>酸辣鸡杂</x:v>
      </x:c>
      <x:c r="J778" s="22" t="n">
        <x:f>XLOOKUP(H778,'菜品主数据'!$A$5:$A$24,'菜品主数据'!$D$5:$D$24,0)</x:f>
        <x:v>28</x:v>
      </x:c>
      <x:c r="K778" s="31" t="n">
        <x:v>7</x:v>
      </x:c>
      <x:c r="L778" s="35" t="n">
        <x:f>J778*K778</x:f>
        <x:v>196</x:v>
      </x:c>
      <x:c r="M778" s="36" t="n">
        <x:v>0</x:v>
      </x:c>
      <x:c r="N778" s="35" t="n">
        <x:f>L778*M778</x:f>
        <x:v>0</x:v>
      </x:c>
      <x:c r="O778" s="37" t="n">
        <x:v>0</x:v>
      </x:c>
      <x:c r="P778" s="35" t="n">
        <x:f>L778*O778</x:f>
        <x:v>0</x:v>
      </x:c>
      <x:c r="Q778" s="35" t="n">
        <x:v>0</x:v>
      </x:c>
      <x:c r="R778" s="35" t="n">
        <x:f>K778*Q778</x:f>
        <x:v>0</x:v>
      </x:c>
      <x:c r="S778" s="35" t="n">
        <x:f>XLOOKUP(H778,'菜品主数据'!$A$5:$A$24,'菜品主数据'!$G$5:$G$24,0)</x:f>
        <x:v>8.315000000000001</x:v>
      </x:c>
      <x:c r="T778" s="35" t="n">
        <x:f>K778*S778</x:f>
        <x:v>58.20500000000001</x:v>
      </x:c>
      <x:c r="U778" s="35" t="n">
        <x:f>L778-N778-P778-R778-T778</x:f>
        <x:v>137.795</x:v>
      </x:c>
      <x:c r="V778" s="21" t="n">
        <x:f>IFERROR(U778/L778,0)</x:f>
        <x:v>0.7030357142857142</x:v>
      </x:c>
    </x:row>
    <x:row r="779">
      <x:c r="A779" s="19" t="str">
        <x:v>SALE-00775</x:v>
      </x:c>
      <x:c r="B779" s="34" t="n">
        <x:v>46215.5</x:v>
      </x:c>
      <x:c r="C779" s="19" t="str">
        <x:v>周日</x:v>
      </x:c>
      <x:c r="D779" s="19" t="str">
        <x:v>S03</x:v>
      </x:c>
      <x:c r="E779" s="19" t="str">
        <x:v>铂悦城店</x:v>
      </x:c>
      <x:c r="F779" s="19" t="str">
        <x:v>堂食</x:v>
      </x:c>
      <x:c r="G779" s="19" t="str">
        <x:v>全日</x:v>
      </x:c>
      <x:c r="H779" s="19" t="str">
        <x:v>D15</x:v>
      </x:c>
      <x:c r="I779" s="19" t="str">
        <x:v>湘西土匪猪肝</x:v>
      </x:c>
      <x:c r="J779" s="22" t="n">
        <x:f>XLOOKUP(H779,'菜品主数据'!$A$5:$A$24,'菜品主数据'!$D$5:$D$24,0)</x:f>
        <x:v>26</x:v>
      </x:c>
      <x:c r="K779" s="31" t="n">
        <x:v>5</x:v>
      </x:c>
      <x:c r="L779" s="35" t="n">
        <x:f>J779*K779</x:f>
        <x:v>130</x:v>
      </x:c>
      <x:c r="M779" s="36" t="n">
        <x:v>0</x:v>
      </x:c>
      <x:c r="N779" s="35" t="n">
        <x:f>L779*M779</x:f>
        <x:v>0</x:v>
      </x:c>
      <x:c r="O779" s="37" t="n">
        <x:v>0</x:v>
      </x:c>
      <x:c r="P779" s="35" t="n">
        <x:f>L779*O779</x:f>
        <x:v>0</x:v>
      </x:c>
      <x:c r="Q779" s="35" t="n">
        <x:v>0</x:v>
      </x:c>
      <x:c r="R779" s="35" t="n">
        <x:f>K779*Q779</x:f>
        <x:v>0</x:v>
      </x:c>
      <x:c r="S779" s="35" t="n">
        <x:f>XLOOKUP(H779,'菜品主数据'!$A$5:$A$24,'菜品主数据'!$G$5:$G$24,0)</x:f>
        <x:v>6.3759999999999994</x:v>
      </x:c>
      <x:c r="T779" s="35" t="n">
        <x:f>K779*S779</x:f>
        <x:v>31.879999999999995</x:v>
      </x:c>
      <x:c r="U779" s="35" t="n">
        <x:f>L779-N779-P779-R779-T779</x:f>
        <x:v>98.12</x:v>
      </x:c>
      <x:c r="V779" s="21" t="n">
        <x:f>IFERROR(U779/L779,0)</x:f>
        <x:v>0.7547692307692309</x:v>
      </x:c>
    </x:row>
    <x:row r="780">
      <x:c r="A780" s="19" t="str">
        <x:v>SALE-00776</x:v>
      </x:c>
      <x:c r="B780" s="34" t="n">
        <x:v>46215.5</x:v>
      </x:c>
      <x:c r="C780" s="19" t="str">
        <x:v>周日</x:v>
      </x:c>
      <x:c r="D780" s="19" t="str">
        <x:v>S03</x:v>
      </x:c>
      <x:c r="E780" s="19" t="str">
        <x:v>铂悦城店</x:v>
      </x:c>
      <x:c r="F780" s="19" t="str">
        <x:v>堂食</x:v>
      </x:c>
      <x:c r="G780" s="19" t="str">
        <x:v>全日</x:v>
      </x:c>
      <x:c r="H780" s="19" t="str">
        <x:v>D16</x:v>
      </x:c>
      <x:c r="I780" s="19" t="str">
        <x:v>小豆角炒五花</x:v>
      </x:c>
      <x:c r="J780" s="22" t="n">
        <x:f>XLOOKUP(H780,'菜品主数据'!$A$5:$A$24,'菜品主数据'!$D$5:$D$24,0)</x:f>
        <x:v>25</x:v>
      </x:c>
      <x:c r="K780" s="31" t="n">
        <x:v>6</x:v>
      </x:c>
      <x:c r="L780" s="35" t="n">
        <x:f>J780*K780</x:f>
        <x:v>150</x:v>
      </x:c>
      <x:c r="M780" s="36" t="n">
        <x:v>0</x:v>
      </x:c>
      <x:c r="N780" s="35" t="n">
        <x:f>L780*M780</x:f>
        <x:v>0</x:v>
      </x:c>
      <x:c r="O780" s="37" t="n">
        <x:v>0</x:v>
      </x:c>
      <x:c r="P780" s="35" t="n">
        <x:f>L780*O780</x:f>
        <x:v>0</x:v>
      </x:c>
      <x:c r="Q780" s="35" t="n">
        <x:v>0</x:v>
      </x:c>
      <x:c r="R780" s="35" t="n">
        <x:f>K780*Q780</x:f>
        <x:v>0</x:v>
      </x:c>
      <x:c r="S780" s="35" t="n">
        <x:f>XLOOKUP(H780,'菜品主数据'!$A$5:$A$24,'菜品主数据'!$G$5:$G$24,0)</x:f>
        <x:v>8.184</x:v>
      </x:c>
      <x:c r="T780" s="35" t="n">
        <x:f>K780*S780</x:f>
        <x:v>49.104</x:v>
      </x:c>
      <x:c r="U780" s="35" t="n">
        <x:f>L780-N780-P780-R780-T780</x:f>
        <x:v>100.896</x:v>
      </x:c>
      <x:c r="V780" s="21" t="n">
        <x:f>IFERROR(U780/L780,0)</x:f>
        <x:v>0.67264</x:v>
      </x:c>
    </x:row>
    <x:row r="781">
      <x:c r="A781" s="19" t="str">
        <x:v>SALE-00777</x:v>
      </x:c>
      <x:c r="B781" s="34" t="n">
        <x:v>46215.5</x:v>
      </x:c>
      <x:c r="C781" s="19" t="str">
        <x:v>周日</x:v>
      </x:c>
      <x:c r="D781" s="19" t="str">
        <x:v>S03</x:v>
      </x:c>
      <x:c r="E781" s="19" t="str">
        <x:v>铂悦城店</x:v>
      </x:c>
      <x:c r="F781" s="19" t="str">
        <x:v>堂食</x:v>
      </x:c>
      <x:c r="G781" s="19" t="str">
        <x:v>全日</x:v>
      </x:c>
      <x:c r="H781" s="19" t="str">
        <x:v>D17</x:v>
      </x:c>
      <x:c r="I781" s="19" t="str">
        <x:v>蒜蓉粉丝虾</x:v>
      </x:c>
      <x:c r="J781" s="22" t="n">
        <x:f>XLOOKUP(H781,'菜品主数据'!$A$5:$A$24,'菜品主数据'!$D$5:$D$24,0)</x:f>
        <x:v>36</x:v>
      </x:c>
      <x:c r="K781" s="31" t="n">
        <x:v>4</x:v>
      </x:c>
      <x:c r="L781" s="35" t="n">
        <x:f>J781*K781</x:f>
        <x:v>144</x:v>
      </x:c>
      <x:c r="M781" s="36" t="n">
        <x:v>0</x:v>
      </x:c>
      <x:c r="N781" s="35" t="n">
        <x:f>L781*M781</x:f>
        <x:v>0</x:v>
      </x:c>
      <x:c r="O781" s="37" t="n">
        <x:v>0</x:v>
      </x:c>
      <x:c r="P781" s="35" t="n">
        <x:f>L781*O781</x:f>
        <x:v>0</x:v>
      </x:c>
      <x:c r="Q781" s="35" t="n">
        <x:v>0</x:v>
      </x:c>
      <x:c r="R781" s="35" t="n">
        <x:f>K781*Q781</x:f>
        <x:v>0</x:v>
      </x:c>
      <x:c r="S781" s="35" t="n">
        <x:f>XLOOKUP(H781,'菜品主数据'!$A$5:$A$24,'菜品主数据'!$G$5:$G$24,0)</x:f>
        <x:v>13.594</x:v>
      </x:c>
      <x:c r="T781" s="35" t="n">
        <x:f>K781*S781</x:f>
        <x:v>54.376</x:v>
      </x:c>
      <x:c r="U781" s="35" t="n">
        <x:f>L781-N781-P781-R781-T781</x:f>
        <x:v>89.624</x:v>
      </x:c>
      <x:c r="V781" s="21" t="n">
        <x:f>IFERROR(U781/L781,0)</x:f>
        <x:v>0.6223888888888889</x:v>
      </x:c>
    </x:row>
    <x:row r="782">
      <x:c r="A782" s="19" t="str">
        <x:v>SALE-00778</x:v>
      </x:c>
      <x:c r="B782" s="34" t="n">
        <x:v>46215.5</x:v>
      </x:c>
      <x:c r="C782" s="19" t="str">
        <x:v>周日</x:v>
      </x:c>
      <x:c r="D782" s="19" t="str">
        <x:v>S03</x:v>
      </x:c>
      <x:c r="E782" s="19" t="str">
        <x:v>铂悦城店</x:v>
      </x:c>
      <x:c r="F782" s="19" t="str">
        <x:v>堂食</x:v>
      </x:c>
      <x:c r="G782" s="19" t="str">
        <x:v>全日</x:v>
      </x:c>
      <x:c r="H782" s="19" t="str">
        <x:v>D18</x:v>
      </x:c>
      <x:c r="I782" s="19" t="str">
        <x:v>青椒炒油麦菜</x:v>
      </x:c>
      <x:c r="J782" s="22" t="n">
        <x:f>XLOOKUP(H782,'菜品主数据'!$A$5:$A$24,'菜品主数据'!$D$5:$D$24,0)</x:f>
        <x:v>18</x:v>
      </x:c>
      <x:c r="K782" s="31" t="n">
        <x:v>6</x:v>
      </x:c>
      <x:c r="L782" s="35" t="n">
        <x:f>J782*K782</x:f>
        <x:v>108</x:v>
      </x:c>
      <x:c r="M782" s="36" t="n">
        <x:v>0</x:v>
      </x:c>
      <x:c r="N782" s="35" t="n">
        <x:f>L782*M782</x:f>
        <x:v>0</x:v>
      </x:c>
      <x:c r="O782" s="37" t="n">
        <x:v>0</x:v>
      </x:c>
      <x:c r="P782" s="35" t="n">
        <x:f>L782*O782</x:f>
        <x:v>0</x:v>
      </x:c>
      <x:c r="Q782" s="35" t="n">
        <x:v>0</x:v>
      </x:c>
      <x:c r="R782" s="35" t="n">
        <x:f>K782*Q782</x:f>
        <x:v>0</x:v>
      </x:c>
      <x:c r="S782" s="35" t="n">
        <x:f>XLOOKUP(H782,'菜品主数据'!$A$5:$A$24,'菜品主数据'!$G$5:$G$24,0)</x:f>
        <x:v>3.1759999999999993</x:v>
      </x:c>
      <x:c r="T782" s="35" t="n">
        <x:f>K782*S782</x:f>
        <x:v>19.055999999999997</x:v>
      </x:c>
      <x:c r="U782" s="35" t="n">
        <x:f>L782-N782-P782-R782-T782</x:f>
        <x:v>88.944</x:v>
      </x:c>
      <x:c r="V782" s="21" t="n">
        <x:f>IFERROR(U782/L782,0)</x:f>
        <x:v>0.8235555555555556</x:v>
      </x:c>
    </x:row>
    <x:row r="783">
      <x:c r="A783" s="19" t="str">
        <x:v>SALE-00779</x:v>
      </x:c>
      <x:c r="B783" s="34" t="n">
        <x:v>46215.5</x:v>
      </x:c>
      <x:c r="C783" s="19" t="str">
        <x:v>周日</x:v>
      </x:c>
      <x:c r="D783" s="19" t="str">
        <x:v>S03</x:v>
      </x:c>
      <x:c r="E783" s="19" t="str">
        <x:v>铂悦城店</x:v>
      </x:c>
      <x:c r="F783" s="19" t="str">
        <x:v>堂食</x:v>
      </x:c>
      <x:c r="G783" s="19" t="str">
        <x:v>全日</x:v>
      </x:c>
      <x:c r="H783" s="19" t="str">
        <x:v>D19</x:v>
      </x:c>
      <x:c r="I783" s="19" t="str">
        <x:v>酸萝卜炒鸡杂</x:v>
      </x:c>
      <x:c r="J783" s="22" t="n">
        <x:f>XLOOKUP(H783,'菜品主数据'!$A$5:$A$24,'菜品主数据'!$D$5:$D$24,0)</x:f>
        <x:v>25</x:v>
      </x:c>
      <x:c r="K783" s="31" t="n">
        <x:v>5</x:v>
      </x:c>
      <x:c r="L783" s="35" t="n">
        <x:f>J783*K783</x:f>
        <x:v>125</x:v>
      </x:c>
      <x:c r="M783" s="36" t="n">
        <x:v>0</x:v>
      </x:c>
      <x:c r="N783" s="35" t="n">
        <x:f>L783*M783</x:f>
        <x:v>0</x:v>
      </x:c>
      <x:c r="O783" s="37" t="n">
        <x:v>0</x:v>
      </x:c>
      <x:c r="P783" s="35" t="n">
        <x:f>L783*O783</x:f>
        <x:v>0</x:v>
      </x:c>
      <x:c r="Q783" s="35" t="n">
        <x:v>0</x:v>
      </x:c>
      <x:c r="R783" s="35" t="n">
        <x:f>K783*Q783</x:f>
        <x:v>0</x:v>
      </x:c>
      <x:c r="S783" s="35" t="n">
        <x:f>XLOOKUP(H783,'菜品主数据'!$A$5:$A$24,'菜品主数据'!$G$5:$G$24,0)</x:f>
        <x:v>7.9399999999999995</x:v>
      </x:c>
      <x:c r="T783" s="35" t="n">
        <x:f>K783*S783</x:f>
        <x:v>39.699999999999996</x:v>
      </x:c>
      <x:c r="U783" s="35" t="n">
        <x:f>L783-N783-P783-R783-T783</x:f>
        <x:v>85.30000000000001</x:v>
      </x:c>
      <x:c r="V783" s="21" t="n">
        <x:f>IFERROR(U783/L783,0)</x:f>
        <x:v>0.6824000000000001</x:v>
      </x:c>
    </x:row>
    <x:row r="784">
      <x:c r="A784" s="19" t="str">
        <x:v>SALE-00780</x:v>
      </x:c>
      <x:c r="B784" s="34" t="n">
        <x:v>46215.5</x:v>
      </x:c>
      <x:c r="C784" s="19" t="str">
        <x:v>周日</x:v>
      </x:c>
      <x:c r="D784" s="19" t="str">
        <x:v>S03</x:v>
      </x:c>
      <x:c r="E784" s="19" t="str">
        <x:v>铂悦城店</x:v>
      </x:c>
      <x:c r="F784" s="19" t="str">
        <x:v>堂食</x:v>
      </x:c>
      <x:c r="G784" s="19" t="str">
        <x:v>全日</x:v>
      </x:c>
      <x:c r="H784" s="19" t="str">
        <x:v>D20</x:v>
      </x:c>
      <x:c r="I784" s="19" t="str">
        <x:v>雪菜肉末青豆</x:v>
      </x:c>
      <x:c r="J784" s="22" t="n">
        <x:f>XLOOKUP(H784,'菜品主数据'!$A$5:$A$24,'菜品主数据'!$D$5:$D$24,0)</x:f>
        <x:v>18</x:v>
      </x:c>
      <x:c r="K784" s="31" t="n">
        <x:v>7</x:v>
      </x:c>
      <x:c r="L784" s="35" t="n">
        <x:f>J784*K784</x:f>
        <x:v>126</x:v>
      </x:c>
      <x:c r="M784" s="36" t="n">
        <x:v>0</x:v>
      </x:c>
      <x:c r="N784" s="35" t="n">
        <x:f>L784*M784</x:f>
        <x:v>0</x:v>
      </x:c>
      <x:c r="O784" s="37" t="n">
        <x:v>0</x:v>
      </x:c>
      <x:c r="P784" s="35" t="n">
        <x:f>L784*O784</x:f>
        <x:v>0</x:v>
      </x:c>
      <x:c r="Q784" s="35" t="n">
        <x:v>0</x:v>
      </x:c>
      <x:c r="R784" s="35" t="n">
        <x:f>K784*Q784</x:f>
        <x:v>0</x:v>
      </x:c>
      <x:c r="S784" s="35" t="n">
        <x:f>XLOOKUP(H784,'菜品主数据'!$A$5:$A$24,'菜品主数据'!$G$5:$G$24,0)</x:f>
        <x:v>7.303999999999999</x:v>
      </x:c>
      <x:c r="T784" s="35" t="n">
        <x:f>K784*S784</x:f>
        <x:v>51.12799999999999</x:v>
      </x:c>
      <x:c r="U784" s="35" t="n">
        <x:f>L784-N784-P784-R784-T784</x:f>
        <x:v>74.87200000000001</x:v>
      </x:c>
      <x:c r="V784" s="21" t="n">
        <x:f>IFERROR(U784/L784,0)</x:f>
        <x:v>0.5942222222222223</x:v>
      </x:c>
    </x:row>
    <x:row r="785">
      <x:c r="A785" s="19" t="str">
        <x:v>SALE-00781</x:v>
      </x:c>
      <x:c r="B785" s="34" t="n">
        <x:v>46215.5</x:v>
      </x:c>
      <x:c r="C785" s="19" t="str">
        <x:v>周日</x:v>
      </x:c>
      <x:c r="D785" s="19" t="str">
        <x:v>S03</x:v>
      </x:c>
      <x:c r="E785" s="19" t="str">
        <x:v>铂悦城店</x:v>
      </x:c>
      <x:c r="F785" s="19" t="str">
        <x:v>外卖</x:v>
      </x:c>
      <x:c r="G785" s="19" t="str">
        <x:v>全日</x:v>
      </x:c>
      <x:c r="H785" s="19" t="str">
        <x:v>D01</x:v>
      </x:c>
      <x:c r="I785" s="19" t="str">
        <x:v>辣椒炒肉</x:v>
      </x:c>
      <x:c r="J785" s="22" t="n">
        <x:f>XLOOKUP(H785,'菜品主数据'!$A$5:$A$24,'菜品主数据'!$D$5:$D$24,0)</x:f>
        <x:v>29</x:v>
      </x:c>
      <x:c r="K785" s="31" t="n">
        <x:v>3</x:v>
      </x:c>
      <x:c r="L785" s="35" t="n">
        <x:f>J785*K785</x:f>
        <x:v>87</x:v>
      </x:c>
      <x:c r="M785" s="36" t="n">
        <x:v>0.08</x:v>
      </x:c>
      <x:c r="N785" s="35" t="n">
        <x:f>L785*M785</x:f>
        <x:v>6.96</x:v>
      </x:c>
      <x:c r="O785" s="37" t="n">
        <x:v>0.18</x:v>
      </x:c>
      <x:c r="P785" s="35" t="n">
        <x:f>L785*O785</x:f>
        <x:v>15.66</x:v>
      </x:c>
      <x:c r="Q785" s="35" t="n">
        <x:v>1.2</x:v>
      </x:c>
      <x:c r="R785" s="35" t="n">
        <x:f>K785*Q785</x:f>
        <x:v>3.5999999999999996</x:v>
      </x:c>
      <x:c r="S785" s="35" t="n">
        <x:f>XLOOKUP(H785,'菜品主数据'!$A$5:$A$24,'菜品主数据'!$G$5:$G$24,0)</x:f>
        <x:v>8.634400000000001</x:v>
      </x:c>
      <x:c r="T785" s="35" t="n">
        <x:f>K785*S785</x:f>
        <x:v>25.903200000000005</x:v>
      </x:c>
      <x:c r="U785" s="35" t="n">
        <x:f>L785-N785-P785-R785-T785</x:f>
        <x:v>34.8768</x:v>
      </x:c>
      <x:c r="V785" s="21" t="n">
        <x:f>IFERROR(U785/L785,0)</x:f>
        <x:v>0.40088275862068967</x:v>
      </x:c>
    </x:row>
    <x:row r="786">
      <x:c r="A786" s="19" t="str">
        <x:v>SALE-00782</x:v>
      </x:c>
      <x:c r="B786" s="34" t="n">
        <x:v>46215.5</x:v>
      </x:c>
      <x:c r="C786" s="19" t="str">
        <x:v>周日</x:v>
      </x:c>
      <x:c r="D786" s="19" t="str">
        <x:v>S03</x:v>
      </x:c>
      <x:c r="E786" s="19" t="str">
        <x:v>铂悦城店</x:v>
      </x:c>
      <x:c r="F786" s="19" t="str">
        <x:v>外卖</x:v>
      </x:c>
      <x:c r="G786" s="19" t="str">
        <x:v>全日</x:v>
      </x:c>
      <x:c r="H786" s="19" t="str">
        <x:v>D02</x:v>
      </x:c>
      <x:c r="I786" s="19" t="str">
        <x:v>小炒黄牛肉</x:v>
      </x:c>
      <x:c r="J786" s="22" t="n">
        <x:f>XLOOKUP(H786,'菜品主数据'!$A$5:$A$24,'菜品主数据'!$D$5:$D$24,0)</x:f>
        <x:v>49</x:v>
      </x:c>
      <x:c r="K786" s="31" t="n">
        <x:v>7</x:v>
      </x:c>
      <x:c r="L786" s="35" t="n">
        <x:f>J786*K786</x:f>
        <x:v>343</x:v>
      </x:c>
      <x:c r="M786" s="36" t="n">
        <x:v>0.08</x:v>
      </x:c>
      <x:c r="N786" s="35" t="n">
        <x:f>L786*M786</x:f>
        <x:v>27.44</x:v>
      </x:c>
      <x:c r="O786" s="37" t="n">
        <x:v>0.18</x:v>
      </x:c>
      <x:c r="P786" s="35" t="n">
        <x:f>L786*O786</x:f>
        <x:v>61.739999999999995</x:v>
      </x:c>
      <x:c r="Q786" s="35" t="n">
        <x:v>1.2</x:v>
      </x:c>
      <x:c r="R786" s="35" t="n">
        <x:f>K786*Q786</x:f>
        <x:v>8.4</x:v>
      </x:c>
      <x:c r="S786" s="35" t="n">
        <x:f>XLOOKUP(H786,'菜品主数据'!$A$5:$A$24,'菜品主数据'!$G$5:$G$24,0)</x:f>
        <x:v>17.577</x:v>
      </x:c>
      <x:c r="T786" s="35" t="n">
        <x:f>K786*S786</x:f>
        <x:v>123.03900000000002</x:v>
      </x:c>
      <x:c r="U786" s="35" t="n">
        <x:f>L786-N786-P786-R786-T786</x:f>
        <x:v>122.38099999999997</x:v>
      </x:c>
      <x:c r="V786" s="21" t="n">
        <x:f>IFERROR(U786/L786,0)</x:f>
        <x:v>0.35679591836734686</x:v>
      </x:c>
    </x:row>
    <x:row r="787">
      <x:c r="A787" s="19" t="str">
        <x:v>SALE-00783</x:v>
      </x:c>
      <x:c r="B787" s="34" t="n">
        <x:v>46215.5</x:v>
      </x:c>
      <x:c r="C787" s="19" t="str">
        <x:v>周日</x:v>
      </x:c>
      <x:c r="D787" s="19" t="str">
        <x:v>S03</x:v>
      </x:c>
      <x:c r="E787" s="19" t="str">
        <x:v>铂悦城店</x:v>
      </x:c>
      <x:c r="F787" s="19" t="str">
        <x:v>外卖</x:v>
      </x:c>
      <x:c r="G787" s="19" t="str">
        <x:v>全日</x:v>
      </x:c>
      <x:c r="H787" s="19" t="str">
        <x:v>D03</x:v>
      </x:c>
      <x:c r="I787" s="19" t="str">
        <x:v>香醋炒蛋</x:v>
      </x:c>
      <x:c r="J787" s="22" t="n">
        <x:f>XLOOKUP(H787,'菜品主数据'!$A$5:$A$24,'菜品主数据'!$D$5:$D$24,0)</x:f>
        <x:v>14.9</x:v>
      </x:c>
      <x:c r="K787" s="31" t="n">
        <x:v>3</x:v>
      </x:c>
      <x:c r="L787" s="35" t="n">
        <x:f>J787*K787</x:f>
        <x:v>44.7</x:v>
      </x:c>
      <x:c r="M787" s="36" t="n">
        <x:v>0.08</x:v>
      </x:c>
      <x:c r="N787" s="35" t="n">
        <x:f>L787*M787</x:f>
        <x:v>3.5760000000000005</x:v>
      </x:c>
      <x:c r="O787" s="37" t="n">
        <x:v>0.18</x:v>
      </x:c>
      <x:c r="P787" s="35" t="n">
        <x:f>L787*O787</x:f>
        <x:v>8.046</x:v>
      </x:c>
      <x:c r="Q787" s="35" t="n">
        <x:v>1.2</x:v>
      </x:c>
      <x:c r="R787" s="35" t="n">
        <x:f>K787*Q787</x:f>
        <x:v>3.5999999999999996</x:v>
      </x:c>
      <x:c r="S787" s="35" t="n">
        <x:f>XLOOKUP(H787,'菜品主数据'!$A$5:$A$24,'菜品主数据'!$G$5:$G$24,0)</x:f>
        <x:v>3.7459999999999996</x:v>
      </x:c>
      <x:c r="T787" s="35" t="n">
        <x:f>K787*S787</x:f>
        <x:v>11.238</x:v>
      </x:c>
      <x:c r="U787" s="35" t="n">
        <x:f>L787-N787-P787-R787-T787</x:f>
        <x:v>18.240000000000002</x:v>
      </x:c>
      <x:c r="V787" s="21" t="n">
        <x:f>IFERROR(U787/L787,0)</x:f>
        <x:v>0.40805369127516783</x:v>
      </x:c>
    </x:row>
    <x:row r="788">
      <x:c r="A788" s="19" t="str">
        <x:v>SALE-00784</x:v>
      </x:c>
      <x:c r="B788" s="34" t="n">
        <x:v>46215.5</x:v>
      </x:c>
      <x:c r="C788" s="19" t="str">
        <x:v>周日</x:v>
      </x:c>
      <x:c r="D788" s="19" t="str">
        <x:v>S03</x:v>
      </x:c>
      <x:c r="E788" s="19" t="str">
        <x:v>铂悦城店</x:v>
      </x:c>
      <x:c r="F788" s="19" t="str">
        <x:v>外卖</x:v>
      </x:c>
      <x:c r="G788" s="19" t="str">
        <x:v>全日</x:v>
      </x:c>
      <x:c r="H788" s="19" t="str">
        <x:v>D04</x:v>
      </x:c>
      <x:c r="I788" s="19" t="str">
        <x:v>酸包菜炒粉皮</x:v>
      </x:c>
      <x:c r="J788" s="22" t="n">
        <x:f>XLOOKUP(H788,'菜品主数据'!$A$5:$A$24,'菜品主数据'!$D$5:$D$24,0)</x:f>
        <x:v>16</x:v>
      </x:c>
      <x:c r="K788" s="31" t="n">
        <x:v>3</x:v>
      </x:c>
      <x:c r="L788" s="35" t="n">
        <x:f>J788*K788</x:f>
        <x:v>48</x:v>
      </x:c>
      <x:c r="M788" s="36" t="n">
        <x:v>0.08</x:v>
      </x:c>
      <x:c r="N788" s="35" t="n">
        <x:f>L788*M788</x:f>
        <x:v>3.84</x:v>
      </x:c>
      <x:c r="O788" s="37" t="n">
        <x:v>0.18</x:v>
      </x:c>
      <x:c r="P788" s="35" t="n">
        <x:f>L788*O788</x:f>
        <x:v>8.64</x:v>
      </x:c>
      <x:c r="Q788" s="35" t="n">
        <x:v>1.2</x:v>
      </x:c>
      <x:c r="R788" s="35" t="n">
        <x:f>K788*Q788</x:f>
        <x:v>3.5999999999999996</x:v>
      </x:c>
      <x:c r="S788" s="35" t="n">
        <x:f>XLOOKUP(H788,'菜品主数据'!$A$5:$A$24,'菜品主数据'!$G$5:$G$24,0)</x:f>
        <x:v>3.978</x:v>
      </x:c>
      <x:c r="T788" s="35" t="n">
        <x:f>K788*S788</x:f>
        <x:v>11.934000000000001</x:v>
      </x:c>
      <x:c r="U788" s="35" t="n">
        <x:f>L788-N788-P788-R788-T788</x:f>
        <x:v>19.985999999999994</x:v>
      </x:c>
      <x:c r="V788" s="21" t="n">
        <x:f>IFERROR(U788/L788,0)</x:f>
        <x:v>0.4163749999999999</x:v>
      </x:c>
    </x:row>
    <x:row r="789">
      <x:c r="A789" s="19" t="str">
        <x:v>SALE-00785</x:v>
      </x:c>
      <x:c r="B789" s="34" t="n">
        <x:v>46215.5</x:v>
      </x:c>
      <x:c r="C789" s="19" t="str">
        <x:v>周日</x:v>
      </x:c>
      <x:c r="D789" s="19" t="str">
        <x:v>S03</x:v>
      </x:c>
      <x:c r="E789" s="19" t="str">
        <x:v>铂悦城店</x:v>
      </x:c>
      <x:c r="F789" s="19" t="str">
        <x:v>外卖</x:v>
      </x:c>
      <x:c r="G789" s="19" t="str">
        <x:v>全日</x:v>
      </x:c>
      <x:c r="H789" s="19" t="str">
        <x:v>D05</x:v>
      </x:c>
      <x:c r="I789" s="19" t="str">
        <x:v>麻婆豆腐</x:v>
      </x:c>
      <x:c r="J789" s="22" t="n">
        <x:f>XLOOKUP(H789,'菜品主数据'!$A$5:$A$24,'菜品主数据'!$D$5:$D$24,0)</x:f>
        <x:v>9.9</x:v>
      </x:c>
      <x:c r="K789" s="31" t="n">
        <x:v>4</x:v>
      </x:c>
      <x:c r="L789" s="35" t="n">
        <x:f>J789*K789</x:f>
        <x:v>39.6</x:v>
      </x:c>
      <x:c r="M789" s="36" t="n">
        <x:v>0.08</x:v>
      </x:c>
      <x:c r="N789" s="35" t="n">
        <x:f>L789*M789</x:f>
        <x:v>3.168</x:v>
      </x:c>
      <x:c r="O789" s="37" t="n">
        <x:v>0.18</x:v>
      </x:c>
      <x:c r="P789" s="35" t="n">
        <x:f>L789*O789</x:f>
        <x:v>7.128</x:v>
      </x:c>
      <x:c r="Q789" s="35" t="n">
        <x:v>1.2</x:v>
      </x:c>
      <x:c r="R789" s="35" t="n">
        <x:f>K789*Q789</x:f>
        <x:v>4.8</x:v>
      </x:c>
      <x:c r="S789" s="35" t="n">
        <x:f>XLOOKUP(H789,'菜品主数据'!$A$5:$A$24,'菜品主数据'!$G$5:$G$24,0)</x:f>
        <x:v>5.367000000000001</x:v>
      </x:c>
      <x:c r="T789" s="35" t="n">
        <x:f>K789*S789</x:f>
        <x:v>21.468000000000004</x:v>
      </x:c>
      <x:c r="U789" s="35" t="n">
        <x:f>L789-N789-P789-R789-T789</x:f>
        <x:v>3.035999999999998</x:v>
      </x:c>
      <x:c r="V789" s="21" t="n">
        <x:f>IFERROR(U789/L789,0)</x:f>
        <x:v>0.0766666666666666</x:v>
      </x:c>
    </x:row>
    <x:row r="790">
      <x:c r="A790" s="19" t="str">
        <x:v>SALE-00786</x:v>
      </x:c>
      <x:c r="B790" s="34" t="n">
        <x:v>46215.5</x:v>
      </x:c>
      <x:c r="C790" s="19" t="str">
        <x:v>周日</x:v>
      </x:c>
      <x:c r="D790" s="19" t="str">
        <x:v>S03</x:v>
      </x:c>
      <x:c r="E790" s="19" t="str">
        <x:v>铂悦城店</x:v>
      </x:c>
      <x:c r="F790" s="19" t="str">
        <x:v>外卖</x:v>
      </x:c>
      <x:c r="G790" s="19" t="str">
        <x:v>全日</x:v>
      </x:c>
      <x:c r="H790" s="19" t="str">
        <x:v>D06</x:v>
      </x:c>
      <x:c r="I790" s="19" t="str">
        <x:v>剁椒鱼头</x:v>
      </x:c>
      <x:c r="J790" s="22" t="n">
        <x:f>XLOOKUP(H790,'菜品主数据'!$A$5:$A$24,'菜品主数据'!$D$5:$D$24,0)</x:f>
        <x:v>39</x:v>
      </x:c>
      <x:c r="K790" s="31" t="n">
        <x:v>1</x:v>
      </x:c>
      <x:c r="L790" s="35" t="n">
        <x:f>J790*K790</x:f>
        <x:v>39</x:v>
      </x:c>
      <x:c r="M790" s="36" t="n">
        <x:v>0.08</x:v>
      </x:c>
      <x:c r="N790" s="35" t="n">
        <x:f>L790*M790</x:f>
        <x:v>3.12</x:v>
      </x:c>
      <x:c r="O790" s="37" t="n">
        <x:v>0.18</x:v>
      </x:c>
      <x:c r="P790" s="35" t="n">
        <x:f>L790*O790</x:f>
        <x:v>7.02</x:v>
      </x:c>
      <x:c r="Q790" s="35" t="n">
        <x:v>1.2</x:v>
      </x:c>
      <x:c r="R790" s="35" t="n">
        <x:f>K790*Q790</x:f>
        <x:v>1.2</x:v>
      </x:c>
      <x:c r="S790" s="35" t="n">
        <x:f>XLOOKUP(H790,'菜品主数据'!$A$5:$A$24,'菜品主数据'!$G$5:$G$24,0)</x:f>
        <x:v>17.446</x:v>
      </x:c>
      <x:c r="T790" s="35" t="n">
        <x:f>K790*S790</x:f>
        <x:v>17.446</x:v>
      </x:c>
      <x:c r="U790" s="35" t="n">
        <x:f>L790-N790-P790-R790-T790</x:f>
        <x:v>10.214000000000002</x:v>
      </x:c>
      <x:c r="V790" s="21" t="n">
        <x:f>IFERROR(U790/L790,0)</x:f>
        <x:v>0.26189743589743597</x:v>
      </x:c>
    </x:row>
    <x:row r="791">
      <x:c r="A791" s="19" t="str">
        <x:v>SALE-00787</x:v>
      </x:c>
      <x:c r="B791" s="34" t="n">
        <x:v>46215.5</x:v>
      </x:c>
      <x:c r="C791" s="19" t="str">
        <x:v>周日</x:v>
      </x:c>
      <x:c r="D791" s="19" t="str">
        <x:v>S03</x:v>
      </x:c>
      <x:c r="E791" s="19" t="str">
        <x:v>铂悦城店</x:v>
      </x:c>
      <x:c r="F791" s="19" t="str">
        <x:v>外卖</x:v>
      </x:c>
      <x:c r="G791" s="19" t="str">
        <x:v>全日</x:v>
      </x:c>
      <x:c r="H791" s="19" t="str">
        <x:v>D07</x:v>
      </x:c>
      <x:c r="I791" s="19" t="str">
        <x:v>川味回锅肉</x:v>
      </x:c>
      <x:c r="J791" s="22" t="n">
        <x:f>XLOOKUP(H791,'菜品主数据'!$A$5:$A$24,'菜品主数据'!$D$5:$D$24,0)</x:f>
        <x:v>29</x:v>
      </x:c>
      <x:c r="K791" s="31" t="n">
        <x:v>1</x:v>
      </x:c>
      <x:c r="L791" s="35" t="n">
        <x:f>J791*K791</x:f>
        <x:v>29</x:v>
      </x:c>
      <x:c r="M791" s="36" t="n">
        <x:v>0.08</x:v>
      </x:c>
      <x:c r="N791" s="35" t="n">
        <x:f>L791*M791</x:f>
        <x:v>2.32</x:v>
      </x:c>
      <x:c r="O791" s="37" t="n">
        <x:v>0.18</x:v>
      </x:c>
      <x:c r="P791" s="35" t="n">
        <x:f>L791*O791</x:f>
        <x:v>5.22</x:v>
      </x:c>
      <x:c r="Q791" s="35" t="n">
        <x:v>1.2</x:v>
      </x:c>
      <x:c r="R791" s="35" t="n">
        <x:f>K791*Q791</x:f>
        <x:v>1.2</x:v>
      </x:c>
      <x:c r="S791" s="35" t="n">
        <x:f>XLOOKUP(H791,'菜品主数据'!$A$5:$A$24,'菜品主数据'!$G$5:$G$24,0)</x:f>
        <x:v>10.231000000000002</x:v>
      </x:c>
      <x:c r="T791" s="35" t="n">
        <x:f>K791*S791</x:f>
        <x:v>10.231000000000002</x:v>
      </x:c>
      <x:c r="U791" s="35" t="n">
        <x:f>L791-N791-P791-R791-T791</x:f>
        <x:v>10.029</x:v>
      </x:c>
      <x:c r="V791" s="21" t="n">
        <x:f>IFERROR(U791/L791,0)</x:f>
        <x:v>0.3458275862068966</x:v>
      </x:c>
    </x:row>
    <x:row r="792">
      <x:c r="A792" s="19" t="str">
        <x:v>SALE-00788</x:v>
      </x:c>
      <x:c r="B792" s="34" t="n">
        <x:v>46215.5</x:v>
      </x:c>
      <x:c r="C792" s="19" t="str">
        <x:v>周日</x:v>
      </x:c>
      <x:c r="D792" s="19" t="str">
        <x:v>S03</x:v>
      </x:c>
      <x:c r="E792" s="19" t="str">
        <x:v>铂悦城店</x:v>
      </x:c>
      <x:c r="F792" s="19" t="str">
        <x:v>外卖</x:v>
      </x:c>
      <x:c r="G792" s="19" t="str">
        <x:v>全日</x:v>
      </x:c>
      <x:c r="H792" s="19" t="str">
        <x:v>D08</x:v>
      </x:c>
      <x:c r="I792" s="19" t="str">
        <x:v>生炒清远鸡</x:v>
      </x:c>
      <x:c r="J792" s="22" t="n">
        <x:f>XLOOKUP(H792,'菜品主数据'!$A$5:$A$24,'菜品主数据'!$D$5:$D$24,0)</x:f>
        <x:v>36</x:v>
      </x:c>
      <x:c r="K792" s="31" t="n">
        <x:v>0</x:v>
      </x:c>
      <x:c r="L792" s="35" t="n">
        <x:f>J792*K792</x:f>
        <x:v>0</x:v>
      </x:c>
      <x:c r="M792" s="36" t="n">
        <x:v>0.08</x:v>
      </x:c>
      <x:c r="N792" s="35" t="n">
        <x:f>L792*M792</x:f>
        <x:v>0</x:v>
      </x:c>
      <x:c r="O792" s="37" t="n">
        <x:v>0.18</x:v>
      </x:c>
      <x:c r="P792" s="35" t="n">
        <x:f>L792*O792</x:f>
        <x:v>0</x:v>
      </x:c>
      <x:c r="Q792" s="35" t="n">
        <x:v>1.2</x:v>
      </x:c>
      <x:c r="R792" s="35" t="n">
        <x:f>K792*Q792</x:f>
        <x:v>0</x:v>
      </x:c>
      <x:c r="S792" s="35" t="n">
        <x:f>XLOOKUP(H792,'菜品主数据'!$A$5:$A$24,'菜品主数据'!$G$5:$G$24,0)</x:f>
        <x:v>13.48</x:v>
      </x:c>
      <x:c r="T792" s="35" t="n">
        <x:f>K792*S792</x:f>
        <x:v>0</x:v>
      </x:c>
      <x:c r="U792" s="35" t="n">
        <x:f>L792-N792-P792-R792-T792</x:f>
        <x:v>0</x:v>
      </x:c>
      <x:c r="V792" s="21" t="n">
        <x:f>IFERROR(U792/L792,0)</x:f>
        <x:v>0</x:v>
      </x:c>
    </x:row>
    <x:row r="793">
      <x:c r="A793" s="19" t="str">
        <x:v>SALE-00789</x:v>
      </x:c>
      <x:c r="B793" s="34" t="n">
        <x:v>46215.5</x:v>
      </x:c>
      <x:c r="C793" s="19" t="str">
        <x:v>周日</x:v>
      </x:c>
      <x:c r="D793" s="19" t="str">
        <x:v>S03</x:v>
      </x:c>
      <x:c r="E793" s="19" t="str">
        <x:v>铂悦城店</x:v>
      </x:c>
      <x:c r="F793" s="19" t="str">
        <x:v>外卖</x:v>
      </x:c>
      <x:c r="G793" s="19" t="str">
        <x:v>全日</x:v>
      </x:c>
      <x:c r="H793" s="19" t="str">
        <x:v>D09</x:v>
      </x:c>
      <x:c r="I793" s="19" t="str">
        <x:v>炒豆干</x:v>
      </x:c>
      <x:c r="J793" s="22" t="n">
        <x:f>XLOOKUP(H793,'菜品主数据'!$A$5:$A$24,'菜品主数据'!$D$5:$D$24,0)</x:f>
        <x:v>18</x:v>
      </x:c>
      <x:c r="K793" s="31" t="n">
        <x:v>1</x:v>
      </x:c>
      <x:c r="L793" s="35" t="n">
        <x:f>J793*K793</x:f>
        <x:v>18</x:v>
      </x:c>
      <x:c r="M793" s="36" t="n">
        <x:v>0.08</x:v>
      </x:c>
      <x:c r="N793" s="35" t="n">
        <x:f>L793*M793</x:f>
        <x:v>1.44</x:v>
      </x:c>
      <x:c r="O793" s="37" t="n">
        <x:v>0.18</x:v>
      </x:c>
      <x:c r="P793" s="35" t="n">
        <x:f>L793*O793</x:f>
        <x:v>3.2399999999999998</x:v>
      </x:c>
      <x:c r="Q793" s="35" t="n">
        <x:v>1.2</x:v>
      </x:c>
      <x:c r="R793" s="35" t="n">
        <x:f>K793*Q793</x:f>
        <x:v>1.2</x:v>
      </x:c>
      <x:c r="S793" s="35" t="n">
        <x:f>XLOOKUP(H793,'菜品主数据'!$A$5:$A$24,'菜品主数据'!$G$5:$G$24,0)</x:f>
        <x:v>6.613999999999999</x:v>
      </x:c>
      <x:c r="T793" s="35" t="n">
        <x:f>K793*S793</x:f>
        <x:v>6.613999999999999</x:v>
      </x:c>
      <x:c r="U793" s="35" t="n">
        <x:f>L793-N793-P793-R793-T793</x:f>
        <x:v>5.506</x:v>
      </x:c>
      <x:c r="V793" s="21" t="n">
        <x:f>IFERROR(U793/L793,0)</x:f>
        <x:v>0.3058888888888889</x:v>
      </x:c>
    </x:row>
    <x:row r="794">
      <x:c r="A794" s="19" t="str">
        <x:v>SALE-00790</x:v>
      </x:c>
      <x:c r="B794" s="34" t="n">
        <x:v>46215.5</x:v>
      </x:c>
      <x:c r="C794" s="19" t="str">
        <x:v>周日</x:v>
      </x:c>
      <x:c r="D794" s="19" t="str">
        <x:v>S03</x:v>
      </x:c>
      <x:c r="E794" s="19" t="str">
        <x:v>铂悦城店</x:v>
      </x:c>
      <x:c r="F794" s="19" t="str">
        <x:v>外卖</x:v>
      </x:c>
      <x:c r="G794" s="19" t="str">
        <x:v>全日</x:v>
      </x:c>
      <x:c r="H794" s="19" t="str">
        <x:v>D10</x:v>
      </x:c>
      <x:c r="I794" s="19" t="str">
        <x:v>农家一碗香</x:v>
      </x:c>
      <x:c r="J794" s="22" t="n">
        <x:f>XLOOKUP(H794,'菜品主数据'!$A$5:$A$24,'菜品主数据'!$D$5:$D$24,0)</x:f>
        <x:v>22.9</x:v>
      </x:c>
      <x:c r="K794" s="31" t="n">
        <x:v>1</x:v>
      </x:c>
      <x:c r="L794" s="35" t="n">
        <x:f>J794*K794</x:f>
        <x:v>22.9</x:v>
      </x:c>
      <x:c r="M794" s="36" t="n">
        <x:v>0.08</x:v>
      </x:c>
      <x:c r="N794" s="35" t="n">
        <x:f>L794*M794</x:f>
        <x:v>1.8319999999999999</x:v>
      </x:c>
      <x:c r="O794" s="37" t="n">
        <x:v>0.18</x:v>
      </x:c>
      <x:c r="P794" s="35" t="n">
        <x:f>L794*O794</x:f>
        <x:v>4.122</x:v>
      </x:c>
      <x:c r="Q794" s="35" t="n">
        <x:v>1.2</x:v>
      </x:c>
      <x:c r="R794" s="35" t="n">
        <x:f>K794*Q794</x:f>
        <x:v>1.2</x:v>
      </x:c>
      <x:c r="S794" s="35" t="n">
        <x:f>XLOOKUP(H794,'菜品主数据'!$A$5:$A$24,'菜品主数据'!$G$5:$G$24,0)</x:f>
        <x:v>9.770200000000003</x:v>
      </x:c>
      <x:c r="T794" s="35" t="n">
        <x:f>K794*S794</x:f>
        <x:v>9.770200000000003</x:v>
      </x:c>
      <x:c r="U794" s="35" t="n">
        <x:f>L794-N794-P794-R794-T794</x:f>
        <x:v>5.975799999999996</x:v>
      </x:c>
      <x:c r="V794" s="21" t="n">
        <x:f>IFERROR(U794/L794,0)</x:f>
        <x:v>0.260951965065502</x:v>
      </x:c>
    </x:row>
    <x:row r="795">
      <x:c r="A795" s="19" t="str">
        <x:v>SALE-00791</x:v>
      </x:c>
      <x:c r="B795" s="34" t="n">
        <x:v>46215.5</x:v>
      </x:c>
      <x:c r="C795" s="19" t="str">
        <x:v>周日</x:v>
      </x:c>
      <x:c r="D795" s="19" t="str">
        <x:v>S03</x:v>
      </x:c>
      <x:c r="E795" s="19" t="str">
        <x:v>铂悦城店</x:v>
      </x:c>
      <x:c r="F795" s="19" t="str">
        <x:v>外卖</x:v>
      </x:c>
      <x:c r="G795" s="19" t="str">
        <x:v>全日</x:v>
      </x:c>
      <x:c r="H795" s="19" t="str">
        <x:v>D11</x:v>
      </x:c>
      <x:c r="I795" s="19" t="str">
        <x:v>香辣爆肥肠</x:v>
      </x:c>
      <x:c r="J795" s="22" t="n">
        <x:f>XLOOKUP(H795,'菜品主数据'!$A$5:$A$24,'菜品主数据'!$D$5:$D$24,0)</x:f>
        <x:v>39</x:v>
      </x:c>
      <x:c r="K795" s="31" t="n">
        <x:v>0</x:v>
      </x:c>
      <x:c r="L795" s="35" t="n">
        <x:f>J795*K795</x:f>
        <x:v>0</x:v>
      </x:c>
      <x:c r="M795" s="36" t="n">
        <x:v>0.08</x:v>
      </x:c>
      <x:c r="N795" s="35" t="n">
        <x:f>L795*M795</x:f>
        <x:v>0</x:v>
      </x:c>
      <x:c r="O795" s="37" t="n">
        <x:v>0.18</x:v>
      </x:c>
      <x:c r="P795" s="35" t="n">
        <x:f>L795*O795</x:f>
        <x:v>0</x:v>
      </x:c>
      <x:c r="Q795" s="35" t="n">
        <x:v>1.2</x:v>
      </x:c>
      <x:c r="R795" s="35" t="n">
        <x:f>K795*Q795</x:f>
        <x:v>0</x:v>
      </x:c>
      <x:c r="S795" s="35" t="n">
        <x:f>XLOOKUP(H795,'菜品主数据'!$A$5:$A$24,'菜品主数据'!$G$5:$G$24,0)</x:f>
        <x:v>10.397</x:v>
      </x:c>
      <x:c r="T795" s="35" t="n">
        <x:f>K795*S795</x:f>
        <x:v>0</x:v>
      </x:c>
      <x:c r="U795" s="35" t="n">
        <x:f>L795-N795-P795-R795-T795</x:f>
        <x:v>0</x:v>
      </x:c>
      <x:c r="V795" s="21" t="n">
        <x:f>IFERROR(U795/L795,0)</x:f>
        <x:v>0</x:v>
      </x:c>
    </x:row>
    <x:row r="796">
      <x:c r="A796" s="19" t="str">
        <x:v>SALE-00792</x:v>
      </x:c>
      <x:c r="B796" s="34" t="n">
        <x:v>46215.5</x:v>
      </x:c>
      <x:c r="C796" s="19" t="str">
        <x:v>周日</x:v>
      </x:c>
      <x:c r="D796" s="19" t="str">
        <x:v>S03</x:v>
      </x:c>
      <x:c r="E796" s="19" t="str">
        <x:v>铂悦城店</x:v>
      </x:c>
      <x:c r="F796" s="19" t="str">
        <x:v>外卖</x:v>
      </x:c>
      <x:c r="G796" s="19" t="str">
        <x:v>全日</x:v>
      </x:c>
      <x:c r="H796" s="19" t="str">
        <x:v>D12</x:v>
      </x:c>
      <x:c r="I796" s="19" t="str">
        <x:v>清蒸鲈鱼</x:v>
      </x:c>
      <x:c r="J796" s="22" t="n">
        <x:f>XLOOKUP(H796,'菜品主数据'!$A$5:$A$24,'菜品主数据'!$D$5:$D$24,0)</x:f>
        <x:v>39</x:v>
      </x:c>
      <x:c r="K796" s="31" t="n">
        <x:v>0</x:v>
      </x:c>
      <x:c r="L796" s="35" t="n">
        <x:f>J796*K796</x:f>
        <x:v>0</x:v>
      </x:c>
      <x:c r="M796" s="36" t="n">
        <x:v>0.08</x:v>
      </x:c>
      <x:c r="N796" s="35" t="n">
        <x:f>L796*M796</x:f>
        <x:v>0</x:v>
      </x:c>
      <x:c r="O796" s="37" t="n">
        <x:v>0.18</x:v>
      </x:c>
      <x:c r="P796" s="35" t="n">
        <x:f>L796*O796</x:f>
        <x:v>0</x:v>
      </x:c>
      <x:c r="Q796" s="35" t="n">
        <x:v>1.2</x:v>
      </x:c>
      <x:c r="R796" s="35" t="n">
        <x:f>K796*Q796</x:f>
        <x:v>0</x:v>
      </x:c>
      <x:c r="S796" s="35" t="n">
        <x:f>XLOOKUP(H796,'菜品主数据'!$A$5:$A$24,'菜品主数据'!$G$5:$G$24,0)</x:f>
        <x:v>18.874</x:v>
      </x:c>
      <x:c r="T796" s="35" t="n">
        <x:f>K796*S796</x:f>
        <x:v>0</x:v>
      </x:c>
      <x:c r="U796" s="35" t="n">
        <x:f>L796-N796-P796-R796-T796</x:f>
        <x:v>0</x:v>
      </x:c>
      <x:c r="V796" s="21" t="n">
        <x:f>IFERROR(U796/L796,0)</x:f>
        <x:v>0</x:v>
      </x:c>
    </x:row>
    <x:row r="797">
      <x:c r="A797" s="19" t="str">
        <x:v>SALE-00793</x:v>
      </x:c>
      <x:c r="B797" s="34" t="n">
        <x:v>46215.5</x:v>
      </x:c>
      <x:c r="C797" s="19" t="str">
        <x:v>周日</x:v>
      </x:c>
      <x:c r="D797" s="19" t="str">
        <x:v>S03</x:v>
      </x:c>
      <x:c r="E797" s="19" t="str">
        <x:v>铂悦城店</x:v>
      </x:c>
      <x:c r="F797" s="19" t="str">
        <x:v>外卖</x:v>
      </x:c>
      <x:c r="G797" s="19" t="str">
        <x:v>全日</x:v>
      </x:c>
      <x:c r="H797" s="19" t="str">
        <x:v>D13</x:v>
      </x:c>
      <x:c r="I797" s="19" t="str">
        <x:v>外婆菜炒蛋</x:v>
      </x:c>
      <x:c r="J797" s="22" t="n">
        <x:f>XLOOKUP(H797,'菜品主数据'!$A$5:$A$24,'菜品主数据'!$D$5:$D$24,0)</x:f>
        <x:v>18</x:v>
      </x:c>
      <x:c r="K797" s="31" t="n">
        <x:v>1</x:v>
      </x:c>
      <x:c r="L797" s="35" t="n">
        <x:f>J797*K797</x:f>
        <x:v>18</x:v>
      </x:c>
      <x:c r="M797" s="36" t="n">
        <x:v>0.08</x:v>
      </x:c>
      <x:c r="N797" s="35" t="n">
        <x:f>L797*M797</x:f>
        <x:v>1.44</x:v>
      </x:c>
      <x:c r="O797" s="37" t="n">
        <x:v>0.18</x:v>
      </x:c>
      <x:c r="P797" s="35" t="n">
        <x:f>L797*O797</x:f>
        <x:v>3.2399999999999998</x:v>
      </x:c>
      <x:c r="Q797" s="35" t="n">
        <x:v>1.2</x:v>
      </x:c>
      <x:c r="R797" s="35" t="n">
        <x:f>K797*Q797</x:f>
        <x:v>1.2</x:v>
      </x:c>
      <x:c r="S797" s="35" t="n">
        <x:f>XLOOKUP(H797,'菜品主数据'!$A$5:$A$24,'菜品主数据'!$G$5:$G$24,0)</x:f>
        <x:v>5.403999999999999</x:v>
      </x:c>
      <x:c r="T797" s="35" t="n">
        <x:f>K797*S797</x:f>
        <x:v>5.403999999999999</x:v>
      </x:c>
      <x:c r="U797" s="35" t="n">
        <x:f>L797-N797-P797-R797-T797</x:f>
        <x:v>6.716</x:v>
      </x:c>
      <x:c r="V797" s="21" t="n">
        <x:f>IFERROR(U797/L797,0)</x:f>
        <x:v>0.3731111111111111</x:v>
      </x:c>
    </x:row>
    <x:row r="798">
      <x:c r="A798" s="19" t="str">
        <x:v>SALE-00794</x:v>
      </x:c>
      <x:c r="B798" s="34" t="n">
        <x:v>46215.5</x:v>
      </x:c>
      <x:c r="C798" s="19" t="str">
        <x:v>周日</x:v>
      </x:c>
      <x:c r="D798" s="19" t="str">
        <x:v>S03</x:v>
      </x:c>
      <x:c r="E798" s="19" t="str">
        <x:v>铂悦城店</x:v>
      </x:c>
      <x:c r="F798" s="19" t="str">
        <x:v>外卖</x:v>
      </x:c>
      <x:c r="G798" s="19" t="str">
        <x:v>全日</x:v>
      </x:c>
      <x:c r="H798" s="19" t="str">
        <x:v>D14</x:v>
      </x:c>
      <x:c r="I798" s="19" t="str">
        <x:v>酸辣鸡杂</x:v>
      </x:c>
      <x:c r="J798" s="22" t="n">
        <x:f>XLOOKUP(H798,'菜品主数据'!$A$5:$A$24,'菜品主数据'!$D$5:$D$24,0)</x:f>
        <x:v>28</x:v>
      </x:c>
      <x:c r="K798" s="31" t="n">
        <x:v>0</x:v>
      </x:c>
      <x:c r="L798" s="35" t="n">
        <x:f>J798*K798</x:f>
        <x:v>0</x:v>
      </x:c>
      <x:c r="M798" s="36" t="n">
        <x:v>0.08</x:v>
      </x:c>
      <x:c r="N798" s="35" t="n">
        <x:f>L798*M798</x:f>
        <x:v>0</x:v>
      </x:c>
      <x:c r="O798" s="37" t="n">
        <x:v>0.18</x:v>
      </x:c>
      <x:c r="P798" s="35" t="n">
        <x:f>L798*O798</x:f>
        <x:v>0</x:v>
      </x:c>
      <x:c r="Q798" s="35" t="n">
        <x:v>1.2</x:v>
      </x:c>
      <x:c r="R798" s="35" t="n">
        <x:f>K798*Q798</x:f>
        <x:v>0</x:v>
      </x:c>
      <x:c r="S798" s="35" t="n">
        <x:f>XLOOKUP(H798,'菜品主数据'!$A$5:$A$24,'菜品主数据'!$G$5:$G$24,0)</x:f>
        <x:v>8.315000000000001</x:v>
      </x:c>
      <x:c r="T798" s="35" t="n">
        <x:f>K798*S798</x:f>
        <x:v>0</x:v>
      </x:c>
      <x:c r="U798" s="35" t="n">
        <x:f>L798-N798-P798-R798-T798</x:f>
        <x:v>0</x:v>
      </x:c>
      <x:c r="V798" s="21" t="n">
        <x:f>IFERROR(U798/L798,0)</x:f>
        <x:v>0</x:v>
      </x:c>
    </x:row>
    <x:row r="799">
      <x:c r="A799" s="19" t="str">
        <x:v>SALE-00795</x:v>
      </x:c>
      <x:c r="B799" s="34" t="n">
        <x:v>46215.5</x:v>
      </x:c>
      <x:c r="C799" s="19" t="str">
        <x:v>周日</x:v>
      </x:c>
      <x:c r="D799" s="19" t="str">
        <x:v>S03</x:v>
      </x:c>
      <x:c r="E799" s="19" t="str">
        <x:v>铂悦城店</x:v>
      </x:c>
      <x:c r="F799" s="19" t="str">
        <x:v>外卖</x:v>
      </x:c>
      <x:c r="G799" s="19" t="str">
        <x:v>全日</x:v>
      </x:c>
      <x:c r="H799" s="19" t="str">
        <x:v>D15</x:v>
      </x:c>
      <x:c r="I799" s="19" t="str">
        <x:v>湘西土匪猪肝</x:v>
      </x:c>
      <x:c r="J799" s="22" t="n">
        <x:f>XLOOKUP(H799,'菜品主数据'!$A$5:$A$24,'菜品主数据'!$D$5:$D$24,0)</x:f>
        <x:v>26</x:v>
      </x:c>
      <x:c r="K799" s="31" t="n">
        <x:v>0</x:v>
      </x:c>
      <x:c r="L799" s="35" t="n">
        <x:f>J799*K799</x:f>
        <x:v>0</x:v>
      </x:c>
      <x:c r="M799" s="36" t="n">
        <x:v>0.08</x:v>
      </x:c>
      <x:c r="N799" s="35" t="n">
        <x:f>L799*M799</x:f>
        <x:v>0</x:v>
      </x:c>
      <x:c r="O799" s="37" t="n">
        <x:v>0.18</x:v>
      </x:c>
      <x:c r="P799" s="35" t="n">
        <x:f>L799*O799</x:f>
        <x:v>0</x:v>
      </x:c>
      <x:c r="Q799" s="35" t="n">
        <x:v>1.2</x:v>
      </x:c>
      <x:c r="R799" s="35" t="n">
        <x:f>K799*Q799</x:f>
        <x:v>0</x:v>
      </x:c>
      <x:c r="S799" s="35" t="n">
        <x:f>XLOOKUP(H799,'菜品主数据'!$A$5:$A$24,'菜品主数据'!$G$5:$G$24,0)</x:f>
        <x:v>6.3759999999999994</x:v>
      </x:c>
      <x:c r="T799" s="35" t="n">
        <x:f>K799*S799</x:f>
        <x:v>0</x:v>
      </x:c>
      <x:c r="U799" s="35" t="n">
        <x:f>L799-N799-P799-R799-T799</x:f>
        <x:v>0</x:v>
      </x:c>
      <x:c r="V799" s="21" t="n">
        <x:f>IFERROR(U799/L799,0)</x:f>
        <x:v>0</x:v>
      </x:c>
    </x:row>
    <x:row r="800">
      <x:c r="A800" s="19" t="str">
        <x:v>SALE-00796</x:v>
      </x:c>
      <x:c r="B800" s="34" t="n">
        <x:v>46215.5</x:v>
      </x:c>
      <x:c r="C800" s="19" t="str">
        <x:v>周日</x:v>
      </x:c>
      <x:c r="D800" s="19" t="str">
        <x:v>S03</x:v>
      </x:c>
      <x:c r="E800" s="19" t="str">
        <x:v>铂悦城店</x:v>
      </x:c>
      <x:c r="F800" s="19" t="str">
        <x:v>外卖</x:v>
      </x:c>
      <x:c r="G800" s="19" t="str">
        <x:v>全日</x:v>
      </x:c>
      <x:c r="H800" s="19" t="str">
        <x:v>D16</x:v>
      </x:c>
      <x:c r="I800" s="19" t="str">
        <x:v>小豆角炒五花</x:v>
      </x:c>
      <x:c r="J800" s="22" t="n">
        <x:f>XLOOKUP(H800,'菜品主数据'!$A$5:$A$24,'菜品主数据'!$D$5:$D$24,0)</x:f>
        <x:v>25</x:v>
      </x:c>
      <x:c r="K800" s="31" t="n">
        <x:v>0</x:v>
      </x:c>
      <x:c r="L800" s="35" t="n">
        <x:f>J800*K800</x:f>
        <x:v>0</x:v>
      </x:c>
      <x:c r="M800" s="36" t="n">
        <x:v>0.08</x:v>
      </x:c>
      <x:c r="N800" s="35" t="n">
        <x:f>L800*M800</x:f>
        <x:v>0</x:v>
      </x:c>
      <x:c r="O800" s="37" t="n">
        <x:v>0.18</x:v>
      </x:c>
      <x:c r="P800" s="35" t="n">
        <x:f>L800*O800</x:f>
        <x:v>0</x:v>
      </x:c>
      <x:c r="Q800" s="35" t="n">
        <x:v>1.2</x:v>
      </x:c>
      <x:c r="R800" s="35" t="n">
        <x:f>K800*Q800</x:f>
        <x:v>0</x:v>
      </x:c>
      <x:c r="S800" s="35" t="n">
        <x:f>XLOOKUP(H800,'菜品主数据'!$A$5:$A$24,'菜品主数据'!$G$5:$G$24,0)</x:f>
        <x:v>8.184</x:v>
      </x:c>
      <x:c r="T800" s="35" t="n">
        <x:f>K800*S800</x:f>
        <x:v>0</x:v>
      </x:c>
      <x:c r="U800" s="35" t="n">
        <x:f>L800-N800-P800-R800-T800</x:f>
        <x:v>0</x:v>
      </x:c>
      <x:c r="V800" s="21" t="n">
        <x:f>IFERROR(U800/L800,0)</x:f>
        <x:v>0</x:v>
      </x:c>
    </x:row>
    <x:row r="801">
      <x:c r="A801" s="19" t="str">
        <x:v>SALE-00797</x:v>
      </x:c>
      <x:c r="B801" s="34" t="n">
        <x:v>46215.5</x:v>
      </x:c>
      <x:c r="C801" s="19" t="str">
        <x:v>周日</x:v>
      </x:c>
      <x:c r="D801" s="19" t="str">
        <x:v>S03</x:v>
      </x:c>
      <x:c r="E801" s="19" t="str">
        <x:v>铂悦城店</x:v>
      </x:c>
      <x:c r="F801" s="19" t="str">
        <x:v>外卖</x:v>
      </x:c>
      <x:c r="G801" s="19" t="str">
        <x:v>全日</x:v>
      </x:c>
      <x:c r="H801" s="19" t="str">
        <x:v>D17</x:v>
      </x:c>
      <x:c r="I801" s="19" t="str">
        <x:v>蒜蓉粉丝虾</x:v>
      </x:c>
      <x:c r="J801" s="22" t="n">
        <x:f>XLOOKUP(H801,'菜品主数据'!$A$5:$A$24,'菜品主数据'!$D$5:$D$24,0)</x:f>
        <x:v>36</x:v>
      </x:c>
      <x:c r="K801" s="31" t="n">
        <x:v>0</x:v>
      </x:c>
      <x:c r="L801" s="35" t="n">
        <x:f>J801*K801</x:f>
        <x:v>0</x:v>
      </x:c>
      <x:c r="M801" s="36" t="n">
        <x:v>0.08</x:v>
      </x:c>
      <x:c r="N801" s="35" t="n">
        <x:f>L801*M801</x:f>
        <x:v>0</x:v>
      </x:c>
      <x:c r="O801" s="37" t="n">
        <x:v>0.18</x:v>
      </x:c>
      <x:c r="P801" s="35" t="n">
        <x:f>L801*O801</x:f>
        <x:v>0</x:v>
      </x:c>
      <x:c r="Q801" s="35" t="n">
        <x:v>1.2</x:v>
      </x:c>
      <x:c r="R801" s="35" t="n">
        <x:f>K801*Q801</x:f>
        <x:v>0</x:v>
      </x:c>
      <x:c r="S801" s="35" t="n">
        <x:f>XLOOKUP(H801,'菜品主数据'!$A$5:$A$24,'菜品主数据'!$G$5:$G$24,0)</x:f>
        <x:v>13.594</x:v>
      </x:c>
      <x:c r="T801" s="35" t="n">
        <x:f>K801*S801</x:f>
        <x:v>0</x:v>
      </x:c>
      <x:c r="U801" s="35" t="n">
        <x:f>L801-N801-P801-R801-T801</x:f>
        <x:v>0</x:v>
      </x:c>
      <x:c r="V801" s="21" t="n">
        <x:f>IFERROR(U801/L801,0)</x:f>
        <x:v>0</x:v>
      </x:c>
    </x:row>
    <x:row r="802">
      <x:c r="A802" s="19" t="str">
        <x:v>SALE-00798</x:v>
      </x:c>
      <x:c r="B802" s="34" t="n">
        <x:v>46215.5</x:v>
      </x:c>
      <x:c r="C802" s="19" t="str">
        <x:v>周日</x:v>
      </x:c>
      <x:c r="D802" s="19" t="str">
        <x:v>S03</x:v>
      </x:c>
      <x:c r="E802" s="19" t="str">
        <x:v>铂悦城店</x:v>
      </x:c>
      <x:c r="F802" s="19" t="str">
        <x:v>外卖</x:v>
      </x:c>
      <x:c r="G802" s="19" t="str">
        <x:v>全日</x:v>
      </x:c>
      <x:c r="H802" s="19" t="str">
        <x:v>D18</x:v>
      </x:c>
      <x:c r="I802" s="19" t="str">
        <x:v>青椒炒油麦菜</x:v>
      </x:c>
      <x:c r="J802" s="22" t="n">
        <x:f>XLOOKUP(H802,'菜品主数据'!$A$5:$A$24,'菜品主数据'!$D$5:$D$24,0)</x:f>
        <x:v>18</x:v>
      </x:c>
      <x:c r="K802" s="31" t="n">
        <x:v>0</x:v>
      </x:c>
      <x:c r="L802" s="35" t="n">
        <x:f>J802*K802</x:f>
        <x:v>0</x:v>
      </x:c>
      <x:c r="M802" s="36" t="n">
        <x:v>0.08</x:v>
      </x:c>
      <x:c r="N802" s="35" t="n">
        <x:f>L802*M802</x:f>
        <x:v>0</x:v>
      </x:c>
      <x:c r="O802" s="37" t="n">
        <x:v>0.18</x:v>
      </x:c>
      <x:c r="P802" s="35" t="n">
        <x:f>L802*O802</x:f>
        <x:v>0</x:v>
      </x:c>
      <x:c r="Q802" s="35" t="n">
        <x:v>1.2</x:v>
      </x:c>
      <x:c r="R802" s="35" t="n">
        <x:f>K802*Q802</x:f>
        <x:v>0</x:v>
      </x:c>
      <x:c r="S802" s="35" t="n">
        <x:f>XLOOKUP(H802,'菜品主数据'!$A$5:$A$24,'菜品主数据'!$G$5:$G$24,0)</x:f>
        <x:v>3.1759999999999993</x:v>
      </x:c>
      <x:c r="T802" s="35" t="n">
        <x:f>K802*S802</x:f>
        <x:v>0</x:v>
      </x:c>
      <x:c r="U802" s="35" t="n">
        <x:f>L802-N802-P802-R802-T802</x:f>
        <x:v>0</x:v>
      </x:c>
      <x:c r="V802" s="21" t="n">
        <x:f>IFERROR(U802/L802,0)</x:f>
        <x:v>0</x:v>
      </x:c>
    </x:row>
    <x:row r="803">
      <x:c r="A803" s="19" t="str">
        <x:v>SALE-00799</x:v>
      </x:c>
      <x:c r="B803" s="34" t="n">
        <x:v>46215.5</x:v>
      </x:c>
      <x:c r="C803" s="19" t="str">
        <x:v>周日</x:v>
      </x:c>
      <x:c r="D803" s="19" t="str">
        <x:v>S03</x:v>
      </x:c>
      <x:c r="E803" s="19" t="str">
        <x:v>铂悦城店</x:v>
      </x:c>
      <x:c r="F803" s="19" t="str">
        <x:v>外卖</x:v>
      </x:c>
      <x:c r="G803" s="19" t="str">
        <x:v>全日</x:v>
      </x:c>
      <x:c r="H803" s="19" t="str">
        <x:v>D19</x:v>
      </x:c>
      <x:c r="I803" s="19" t="str">
        <x:v>酸萝卜炒鸡杂</x:v>
      </x:c>
      <x:c r="J803" s="22" t="n">
        <x:f>XLOOKUP(H803,'菜品主数据'!$A$5:$A$24,'菜品主数据'!$D$5:$D$24,0)</x:f>
        <x:v>25</x:v>
      </x:c>
      <x:c r="K803" s="31" t="n">
        <x:v>0</x:v>
      </x:c>
      <x:c r="L803" s="35" t="n">
        <x:f>J803*K803</x:f>
        <x:v>0</x:v>
      </x:c>
      <x:c r="M803" s="36" t="n">
        <x:v>0.08</x:v>
      </x:c>
      <x:c r="N803" s="35" t="n">
        <x:f>L803*M803</x:f>
        <x:v>0</x:v>
      </x:c>
      <x:c r="O803" s="37" t="n">
        <x:v>0.18</x:v>
      </x:c>
      <x:c r="P803" s="35" t="n">
        <x:f>L803*O803</x:f>
        <x:v>0</x:v>
      </x:c>
      <x:c r="Q803" s="35" t="n">
        <x:v>1.2</x:v>
      </x:c>
      <x:c r="R803" s="35" t="n">
        <x:f>K803*Q803</x:f>
        <x:v>0</x:v>
      </x:c>
      <x:c r="S803" s="35" t="n">
        <x:f>XLOOKUP(H803,'菜品主数据'!$A$5:$A$24,'菜品主数据'!$G$5:$G$24,0)</x:f>
        <x:v>7.9399999999999995</x:v>
      </x:c>
      <x:c r="T803" s="35" t="n">
        <x:f>K803*S803</x:f>
        <x:v>0</x:v>
      </x:c>
      <x:c r="U803" s="35" t="n">
        <x:f>L803-N803-P803-R803-T803</x:f>
        <x:v>0</x:v>
      </x:c>
      <x:c r="V803" s="21" t="n">
        <x:f>IFERROR(U803/L803,0)</x:f>
        <x:v>0</x:v>
      </x:c>
    </x:row>
    <x:row r="804">
      <x:c r="A804" s="19" t="str">
        <x:v>SALE-00800</x:v>
      </x:c>
      <x:c r="B804" s="34" t="n">
        <x:v>46215.5</x:v>
      </x:c>
      <x:c r="C804" s="19" t="str">
        <x:v>周日</x:v>
      </x:c>
      <x:c r="D804" s="19" t="str">
        <x:v>S03</x:v>
      </x:c>
      <x:c r="E804" s="19" t="str">
        <x:v>铂悦城店</x:v>
      </x:c>
      <x:c r="F804" s="19" t="str">
        <x:v>外卖</x:v>
      </x:c>
      <x:c r="G804" s="19" t="str">
        <x:v>全日</x:v>
      </x:c>
      <x:c r="H804" s="19" t="str">
        <x:v>D20</x:v>
      </x:c>
      <x:c r="I804" s="19" t="str">
        <x:v>雪菜肉末青豆</x:v>
      </x:c>
      <x:c r="J804" s="22" t="n">
        <x:f>XLOOKUP(H804,'菜品主数据'!$A$5:$A$24,'菜品主数据'!$D$5:$D$24,0)</x:f>
        <x:v>18</x:v>
      </x:c>
      <x:c r="K804" s="31" t="n">
        <x:v>0</x:v>
      </x:c>
      <x:c r="L804" s="35" t="n">
        <x:f>J804*K804</x:f>
        <x:v>0</x:v>
      </x:c>
      <x:c r="M804" s="36" t="n">
        <x:v>0.08</x:v>
      </x:c>
      <x:c r="N804" s="35" t="n">
        <x:f>L804*M804</x:f>
        <x:v>0</x:v>
      </x:c>
      <x:c r="O804" s="37" t="n">
        <x:v>0.18</x:v>
      </x:c>
      <x:c r="P804" s="35" t="n">
        <x:f>L804*O804</x:f>
        <x:v>0</x:v>
      </x:c>
      <x:c r="Q804" s="35" t="n">
        <x:v>1.2</x:v>
      </x:c>
      <x:c r="R804" s="35" t="n">
        <x:f>K804*Q804</x:f>
        <x:v>0</x:v>
      </x:c>
      <x:c r="S804" s="35" t="n">
        <x:f>XLOOKUP(H804,'菜品主数据'!$A$5:$A$24,'菜品主数据'!$G$5:$G$24,0)</x:f>
        <x:v>7.303999999999999</x:v>
      </x:c>
      <x:c r="T804" s="35" t="n">
        <x:f>K804*S804</x:f>
        <x:v>0</x:v>
      </x:c>
      <x:c r="U804" s="35" t="n">
        <x:f>L804-N804-P804-R804-T804</x:f>
        <x:v>0</x:v>
      </x:c>
      <x:c r="V804" s="21" t="n">
        <x:f>IFERROR(U804/L804,0)</x:f>
        <x:v>0</x:v>
      </x:c>
    </x:row>
    <x:row r="805">
      <x:c r="A805" s="19" t="str">
        <x:v>SALE-00801</x:v>
      </x:c>
      <x:c r="B805" s="34" t="n">
        <x:v>46216.5</x:v>
      </x:c>
      <x:c r="C805" s="19" t="str">
        <x:v>周一</x:v>
      </x:c>
      <x:c r="D805" s="19" t="str">
        <x:v>S03</x:v>
      </x:c>
      <x:c r="E805" s="19" t="str">
        <x:v>铂悦城店</x:v>
      </x:c>
      <x:c r="F805" s="19" t="str">
        <x:v>堂食</x:v>
      </x:c>
      <x:c r="G805" s="19" t="str">
        <x:v>全日</x:v>
      </x:c>
      <x:c r="H805" s="19" t="str">
        <x:v>D01</x:v>
      </x:c>
      <x:c r="I805" s="19" t="str">
        <x:v>辣椒炒肉</x:v>
      </x:c>
      <x:c r="J805" s="22" t="n">
        <x:f>XLOOKUP(H805,'菜品主数据'!$A$5:$A$24,'菜品主数据'!$D$5:$D$24,0)</x:f>
        <x:v>29</x:v>
      </x:c>
      <x:c r="K805" s="31" t="n">
        <x:v>46</x:v>
      </x:c>
      <x:c r="L805" s="35" t="n">
        <x:f>J805*K805</x:f>
        <x:v>1334</x:v>
      </x:c>
      <x:c r="M805" s="36" t="n">
        <x:v>0</x:v>
      </x:c>
      <x:c r="N805" s="35" t="n">
        <x:f>L805*M805</x:f>
        <x:v>0</x:v>
      </x:c>
      <x:c r="O805" s="37" t="n">
        <x:v>0</x:v>
      </x:c>
      <x:c r="P805" s="35" t="n">
        <x:f>L805*O805</x:f>
        <x:v>0</x:v>
      </x:c>
      <x:c r="Q805" s="35" t="n">
        <x:v>0</x:v>
      </x:c>
      <x:c r="R805" s="35" t="n">
        <x:f>K805*Q805</x:f>
        <x:v>0</x:v>
      </x:c>
      <x:c r="S805" s="35" t="n">
        <x:f>XLOOKUP(H805,'菜品主数据'!$A$5:$A$24,'菜品主数据'!$G$5:$G$24,0)</x:f>
        <x:v>8.634400000000001</x:v>
      </x:c>
      <x:c r="T805" s="35" t="n">
        <x:f>K805*S805</x:f>
        <x:v>397.18240000000003</x:v>
      </x:c>
      <x:c r="U805" s="35" t="n">
        <x:f>L805-N805-P805-R805-T805</x:f>
        <x:v>936.8176</x:v>
      </x:c>
      <x:c r="V805" s="21" t="n">
        <x:f>IFERROR(U805/L805,0)</x:f>
        <x:v>0.7022620689655172</x:v>
      </x:c>
    </x:row>
    <x:row r="806">
      <x:c r="A806" s="19" t="str">
        <x:v>SALE-00802</x:v>
      </x:c>
      <x:c r="B806" s="34" t="n">
        <x:v>46216.5</x:v>
      </x:c>
      <x:c r="C806" s="19" t="str">
        <x:v>周一</x:v>
      </x:c>
      <x:c r="D806" s="19" t="str">
        <x:v>S03</x:v>
      </x:c>
      <x:c r="E806" s="19" t="str">
        <x:v>铂悦城店</x:v>
      </x:c>
      <x:c r="F806" s="19" t="str">
        <x:v>堂食</x:v>
      </x:c>
      <x:c r="G806" s="19" t="str">
        <x:v>全日</x:v>
      </x:c>
      <x:c r="H806" s="19" t="str">
        <x:v>D02</x:v>
      </x:c>
      <x:c r="I806" s="19" t="str">
        <x:v>小炒黄牛肉</x:v>
      </x:c>
      <x:c r="J806" s="22" t="n">
        <x:f>XLOOKUP(H806,'菜品主数据'!$A$5:$A$24,'菜品主数据'!$D$5:$D$24,0)</x:f>
        <x:v>49</x:v>
      </x:c>
      <x:c r="K806" s="31" t="n">
        <x:v>28</x:v>
      </x:c>
      <x:c r="L806" s="35" t="n">
        <x:f>J806*K806</x:f>
        <x:v>1372</x:v>
      </x:c>
      <x:c r="M806" s="36" t="n">
        <x:v>0</x:v>
      </x:c>
      <x:c r="N806" s="35" t="n">
        <x:f>L806*M806</x:f>
        <x:v>0</x:v>
      </x:c>
      <x:c r="O806" s="37" t="n">
        <x:v>0</x:v>
      </x:c>
      <x:c r="P806" s="35" t="n">
        <x:f>L806*O806</x:f>
        <x:v>0</x:v>
      </x:c>
      <x:c r="Q806" s="35" t="n">
        <x:v>0</x:v>
      </x:c>
      <x:c r="R806" s="35" t="n">
        <x:f>K806*Q806</x:f>
        <x:v>0</x:v>
      </x:c>
      <x:c r="S806" s="35" t="n">
        <x:f>XLOOKUP(H806,'菜品主数据'!$A$5:$A$24,'菜品主数据'!$G$5:$G$24,0)</x:f>
        <x:v>17.577</x:v>
      </x:c>
      <x:c r="T806" s="35" t="n">
        <x:f>K806*S806</x:f>
        <x:v>492.15600000000006</x:v>
      </x:c>
      <x:c r="U806" s="35" t="n">
        <x:f>L806-N806-P806-R806-T806</x:f>
        <x:v>879.8439999999999</x:v>
      </x:c>
      <x:c r="V806" s="21" t="n">
        <x:f>IFERROR(U806/L806,0)</x:f>
        <x:v>0.6412857142857142</x:v>
      </x:c>
    </x:row>
    <x:row r="807">
      <x:c r="A807" s="19" t="str">
        <x:v>SALE-00803</x:v>
      </x:c>
      <x:c r="B807" s="34" t="n">
        <x:v>46216.5</x:v>
      </x:c>
      <x:c r="C807" s="19" t="str">
        <x:v>周一</x:v>
      </x:c>
      <x:c r="D807" s="19" t="str">
        <x:v>S03</x:v>
      </x:c>
      <x:c r="E807" s="19" t="str">
        <x:v>铂悦城店</x:v>
      </x:c>
      <x:c r="F807" s="19" t="str">
        <x:v>堂食</x:v>
      </x:c>
      <x:c r="G807" s="19" t="str">
        <x:v>全日</x:v>
      </x:c>
      <x:c r="H807" s="19" t="str">
        <x:v>D03</x:v>
      </x:c>
      <x:c r="I807" s="19" t="str">
        <x:v>香醋炒蛋</x:v>
      </x:c>
      <x:c r="J807" s="22" t="n">
        <x:f>XLOOKUP(H807,'菜品主数据'!$A$5:$A$24,'菜品主数据'!$D$5:$D$24,0)</x:f>
        <x:v>14.9</x:v>
      </x:c>
      <x:c r="K807" s="31" t="n">
        <x:v>42</x:v>
      </x:c>
      <x:c r="L807" s="35" t="n">
        <x:f>J807*K807</x:f>
        <x:v>625.8000000000001</x:v>
      </x:c>
      <x:c r="M807" s="36" t="n">
        <x:v>0</x:v>
      </x:c>
      <x:c r="N807" s="35" t="n">
        <x:f>L807*M807</x:f>
        <x:v>0</x:v>
      </x:c>
      <x:c r="O807" s="37" t="n">
        <x:v>0</x:v>
      </x:c>
      <x:c r="P807" s="35" t="n">
        <x:f>L807*O807</x:f>
        <x:v>0</x:v>
      </x:c>
      <x:c r="Q807" s="35" t="n">
        <x:v>0</x:v>
      </x:c>
      <x:c r="R807" s="35" t="n">
        <x:f>K807*Q807</x:f>
        <x:v>0</x:v>
      </x:c>
      <x:c r="S807" s="35" t="n">
        <x:f>XLOOKUP(H807,'菜品主数据'!$A$5:$A$24,'菜品主数据'!$G$5:$G$24,0)</x:f>
        <x:v>3.7459999999999996</x:v>
      </x:c>
      <x:c r="T807" s="35" t="n">
        <x:f>K807*S807</x:f>
        <x:v>157.332</x:v>
      </x:c>
      <x:c r="U807" s="35" t="n">
        <x:f>L807-N807-P807-R807-T807</x:f>
        <x:v>468.4680000000001</x:v>
      </x:c>
      <x:c r="V807" s="21" t="n">
        <x:f>IFERROR(U807/L807,0)</x:f>
        <x:v>0.7485906040268456</x:v>
      </x:c>
    </x:row>
    <x:row r="808">
      <x:c r="A808" s="19" t="str">
        <x:v>SALE-00804</x:v>
      </x:c>
      <x:c r="B808" s="34" t="n">
        <x:v>46216.5</x:v>
      </x:c>
      <x:c r="C808" s="19" t="str">
        <x:v>周一</x:v>
      </x:c>
      <x:c r="D808" s="19" t="str">
        <x:v>S03</x:v>
      </x:c>
      <x:c r="E808" s="19" t="str">
        <x:v>铂悦城店</x:v>
      </x:c>
      <x:c r="F808" s="19" t="str">
        <x:v>堂食</x:v>
      </x:c>
      <x:c r="G808" s="19" t="str">
        <x:v>全日</x:v>
      </x:c>
      <x:c r="H808" s="19" t="str">
        <x:v>D04</x:v>
      </x:c>
      <x:c r="I808" s="19" t="str">
        <x:v>酸包菜炒粉皮</x:v>
      </x:c>
      <x:c r="J808" s="22" t="n">
        <x:f>XLOOKUP(H808,'菜品主数据'!$A$5:$A$24,'菜品主数据'!$D$5:$D$24,0)</x:f>
        <x:v>16</x:v>
      </x:c>
      <x:c r="K808" s="31" t="n">
        <x:v>39</x:v>
      </x:c>
      <x:c r="L808" s="35" t="n">
        <x:f>J808*K808</x:f>
        <x:v>624</x:v>
      </x:c>
      <x:c r="M808" s="36" t="n">
        <x:v>0</x:v>
      </x:c>
      <x:c r="N808" s="35" t="n">
        <x:f>L808*M808</x:f>
        <x:v>0</x:v>
      </x:c>
      <x:c r="O808" s="37" t="n">
        <x:v>0</x:v>
      </x:c>
      <x:c r="P808" s="35" t="n">
        <x:f>L808*O808</x:f>
        <x:v>0</x:v>
      </x:c>
      <x:c r="Q808" s="35" t="n">
        <x:v>0</x:v>
      </x:c>
      <x:c r="R808" s="35" t="n">
        <x:f>K808*Q808</x:f>
        <x:v>0</x:v>
      </x:c>
      <x:c r="S808" s="35" t="n">
        <x:f>XLOOKUP(H808,'菜品主数据'!$A$5:$A$24,'菜品主数据'!$G$5:$G$24,0)</x:f>
        <x:v>3.978</x:v>
      </x:c>
      <x:c r="T808" s="35" t="n">
        <x:f>K808*S808</x:f>
        <x:v>155.142</x:v>
      </x:c>
      <x:c r="U808" s="35" t="n">
        <x:f>L808-N808-P808-R808-T808</x:f>
        <x:v>468.858</x:v>
      </x:c>
      <x:c r="V808" s="21" t="n">
        <x:f>IFERROR(U808/L808,0)</x:f>
        <x:v>0.751375</x:v>
      </x:c>
    </x:row>
    <x:row r="809">
      <x:c r="A809" s="19" t="str">
        <x:v>SALE-00805</x:v>
      </x:c>
      <x:c r="B809" s="34" t="n">
        <x:v>46216.5</x:v>
      </x:c>
      <x:c r="C809" s="19" t="str">
        <x:v>周一</x:v>
      </x:c>
      <x:c r="D809" s="19" t="str">
        <x:v>S03</x:v>
      </x:c>
      <x:c r="E809" s="19" t="str">
        <x:v>铂悦城店</x:v>
      </x:c>
      <x:c r="F809" s="19" t="str">
        <x:v>堂食</x:v>
      </x:c>
      <x:c r="G809" s="19" t="str">
        <x:v>全日</x:v>
      </x:c>
      <x:c r="H809" s="19" t="str">
        <x:v>D05</x:v>
      </x:c>
      <x:c r="I809" s="19" t="str">
        <x:v>麻婆豆腐</x:v>
      </x:c>
      <x:c r="J809" s="22" t="n">
        <x:f>XLOOKUP(H809,'菜品主数据'!$A$5:$A$24,'菜品主数据'!$D$5:$D$24,0)</x:f>
        <x:v>9.9</x:v>
      </x:c>
      <x:c r="K809" s="31" t="n">
        <x:v>53</x:v>
      </x:c>
      <x:c r="L809" s="35" t="n">
        <x:f>J809*K809</x:f>
        <x:v>524.7</x:v>
      </x:c>
      <x:c r="M809" s="36" t="n">
        <x:v>0</x:v>
      </x:c>
      <x:c r="N809" s="35" t="n">
        <x:f>L809*M809</x:f>
        <x:v>0</x:v>
      </x:c>
      <x:c r="O809" s="37" t="n">
        <x:v>0</x:v>
      </x:c>
      <x:c r="P809" s="35" t="n">
        <x:f>L809*O809</x:f>
        <x:v>0</x:v>
      </x:c>
      <x:c r="Q809" s="35" t="n">
        <x:v>0</x:v>
      </x:c>
      <x:c r="R809" s="35" t="n">
        <x:f>K809*Q809</x:f>
        <x:v>0</x:v>
      </x:c>
      <x:c r="S809" s="35" t="n">
        <x:f>XLOOKUP(H809,'菜品主数据'!$A$5:$A$24,'菜品主数据'!$G$5:$G$24,0)</x:f>
        <x:v>5.367000000000001</x:v>
      </x:c>
      <x:c r="T809" s="35" t="n">
        <x:f>K809*S809</x:f>
        <x:v>284.451</x:v>
      </x:c>
      <x:c r="U809" s="35" t="n">
        <x:f>L809-N809-P809-R809-T809</x:f>
        <x:v>240.24900000000002</x:v>
      </x:c>
      <x:c r="V809" s="21" t="n">
        <x:f>IFERROR(U809/L809,0)</x:f>
        <x:v>0.4578787878787879</x:v>
      </x:c>
    </x:row>
    <x:row r="810">
      <x:c r="A810" s="19" t="str">
        <x:v>SALE-00806</x:v>
      </x:c>
      <x:c r="B810" s="34" t="n">
        <x:v>46216.5</x:v>
      </x:c>
      <x:c r="C810" s="19" t="str">
        <x:v>周一</x:v>
      </x:c>
      <x:c r="D810" s="19" t="str">
        <x:v>S03</x:v>
      </x:c>
      <x:c r="E810" s="19" t="str">
        <x:v>铂悦城店</x:v>
      </x:c>
      <x:c r="F810" s="19" t="str">
        <x:v>堂食</x:v>
      </x:c>
      <x:c r="G810" s="19" t="str">
        <x:v>全日</x:v>
      </x:c>
      <x:c r="H810" s="19" t="str">
        <x:v>D06</x:v>
      </x:c>
      <x:c r="I810" s="19" t="str">
        <x:v>剁椒鱼头</x:v>
      </x:c>
      <x:c r="J810" s="22" t="n">
        <x:f>XLOOKUP(H810,'菜品主数据'!$A$5:$A$24,'菜品主数据'!$D$5:$D$24,0)</x:f>
        <x:v>39</x:v>
      </x:c>
      <x:c r="K810" s="31" t="n">
        <x:v>14</x:v>
      </x:c>
      <x:c r="L810" s="35" t="n">
        <x:f>J810*K810</x:f>
        <x:v>546</x:v>
      </x:c>
      <x:c r="M810" s="36" t="n">
        <x:v>0</x:v>
      </x:c>
      <x:c r="N810" s="35" t="n">
        <x:f>L810*M810</x:f>
        <x:v>0</x:v>
      </x:c>
      <x:c r="O810" s="37" t="n">
        <x:v>0</x:v>
      </x:c>
      <x:c r="P810" s="35" t="n">
        <x:f>L810*O810</x:f>
        <x:v>0</x:v>
      </x:c>
      <x:c r="Q810" s="35" t="n">
        <x:v>0</x:v>
      </x:c>
      <x:c r="R810" s="35" t="n">
        <x:f>K810*Q810</x:f>
        <x:v>0</x:v>
      </x:c>
      <x:c r="S810" s="35" t="n">
        <x:f>XLOOKUP(H810,'菜品主数据'!$A$5:$A$24,'菜品主数据'!$G$5:$G$24,0)</x:f>
        <x:v>17.446</x:v>
      </x:c>
      <x:c r="T810" s="35" t="n">
        <x:f>K810*S810</x:f>
        <x:v>244.24400000000003</x:v>
      </x:c>
      <x:c r="U810" s="35" t="n">
        <x:f>L810-N810-P810-R810-T810</x:f>
        <x:v>301.756</x:v>
      </x:c>
      <x:c r="V810" s="21" t="n">
        <x:f>IFERROR(U810/L810,0)</x:f>
        <x:v>0.5526666666666666</x:v>
      </x:c>
    </x:row>
    <x:row r="811">
      <x:c r="A811" s="19" t="str">
        <x:v>SALE-00807</x:v>
      </x:c>
      <x:c r="B811" s="34" t="n">
        <x:v>46216.5</x:v>
      </x:c>
      <x:c r="C811" s="19" t="str">
        <x:v>周一</x:v>
      </x:c>
      <x:c r="D811" s="19" t="str">
        <x:v>S03</x:v>
      </x:c>
      <x:c r="E811" s="19" t="str">
        <x:v>铂悦城店</x:v>
      </x:c>
      <x:c r="F811" s="19" t="str">
        <x:v>堂食</x:v>
      </x:c>
      <x:c r="G811" s="19" t="str">
        <x:v>全日</x:v>
      </x:c>
      <x:c r="H811" s="19" t="str">
        <x:v>D07</x:v>
      </x:c>
      <x:c r="I811" s="19" t="str">
        <x:v>川味回锅肉</x:v>
      </x:c>
      <x:c r="J811" s="22" t="n">
        <x:f>XLOOKUP(H811,'菜品主数据'!$A$5:$A$24,'菜品主数据'!$D$5:$D$24,0)</x:f>
        <x:v>29</x:v>
      </x:c>
      <x:c r="K811" s="31" t="n">
        <x:v>16</x:v>
      </x:c>
      <x:c r="L811" s="35" t="n">
        <x:f>J811*K811</x:f>
        <x:v>464</x:v>
      </x:c>
      <x:c r="M811" s="36" t="n">
        <x:v>0</x:v>
      </x:c>
      <x:c r="N811" s="35" t="n">
        <x:f>L811*M811</x:f>
        <x:v>0</x:v>
      </x:c>
      <x:c r="O811" s="37" t="n">
        <x:v>0</x:v>
      </x:c>
      <x:c r="P811" s="35" t="n">
        <x:f>L811*O811</x:f>
        <x:v>0</x:v>
      </x:c>
      <x:c r="Q811" s="35" t="n">
        <x:v>0</x:v>
      </x:c>
      <x:c r="R811" s="35" t="n">
        <x:f>K811*Q811</x:f>
        <x:v>0</x:v>
      </x:c>
      <x:c r="S811" s="35" t="n">
        <x:f>XLOOKUP(H811,'菜品主数据'!$A$5:$A$24,'菜品主数据'!$G$5:$G$24,0)</x:f>
        <x:v>10.231000000000002</x:v>
      </x:c>
      <x:c r="T811" s="35" t="n">
        <x:f>K811*S811</x:f>
        <x:v>163.69600000000003</x:v>
      </x:c>
      <x:c r="U811" s="35" t="n">
        <x:f>L811-N811-P811-R811-T811</x:f>
        <x:v>300.304</x:v>
      </x:c>
      <x:c r="V811" s="21" t="n">
        <x:f>IFERROR(U811/L811,0)</x:f>
        <x:v>0.647206896551724</x:v>
      </x:c>
    </x:row>
    <x:row r="812">
      <x:c r="A812" s="19" t="str">
        <x:v>SALE-00808</x:v>
      </x:c>
      <x:c r="B812" s="34" t="n">
        <x:v>46216.5</x:v>
      </x:c>
      <x:c r="C812" s="19" t="str">
        <x:v>周一</x:v>
      </x:c>
      <x:c r="D812" s="19" t="str">
        <x:v>S03</x:v>
      </x:c>
      <x:c r="E812" s="19" t="str">
        <x:v>铂悦城店</x:v>
      </x:c>
      <x:c r="F812" s="19" t="str">
        <x:v>堂食</x:v>
      </x:c>
      <x:c r="G812" s="19" t="str">
        <x:v>全日</x:v>
      </x:c>
      <x:c r="H812" s="19" t="str">
        <x:v>D08</x:v>
      </x:c>
      <x:c r="I812" s="19" t="str">
        <x:v>生炒清远鸡</x:v>
      </x:c>
      <x:c r="J812" s="22" t="n">
        <x:f>XLOOKUP(H812,'菜品主数据'!$A$5:$A$24,'菜品主数据'!$D$5:$D$24,0)</x:f>
        <x:v>36</x:v>
      </x:c>
      <x:c r="K812" s="31" t="n">
        <x:v>12</x:v>
      </x:c>
      <x:c r="L812" s="35" t="n">
        <x:f>J812*K812</x:f>
        <x:v>432</x:v>
      </x:c>
      <x:c r="M812" s="36" t="n">
        <x:v>0</x:v>
      </x:c>
      <x:c r="N812" s="35" t="n">
        <x:f>L812*M812</x:f>
        <x:v>0</x:v>
      </x:c>
      <x:c r="O812" s="37" t="n">
        <x:v>0</x:v>
      </x:c>
      <x:c r="P812" s="35" t="n">
        <x:f>L812*O812</x:f>
        <x:v>0</x:v>
      </x:c>
      <x:c r="Q812" s="35" t="n">
        <x:v>0</x:v>
      </x:c>
      <x:c r="R812" s="35" t="n">
        <x:f>K812*Q812</x:f>
        <x:v>0</x:v>
      </x:c>
      <x:c r="S812" s="35" t="n">
        <x:f>XLOOKUP(H812,'菜品主数据'!$A$5:$A$24,'菜品主数据'!$G$5:$G$24,0)</x:f>
        <x:v>13.48</x:v>
      </x:c>
      <x:c r="T812" s="35" t="n">
        <x:f>K812*S812</x:f>
        <x:v>161.76</x:v>
      </x:c>
      <x:c r="U812" s="35" t="n">
        <x:f>L812-N812-P812-R812-T812</x:f>
        <x:v>270.24</x:v>
      </x:c>
      <x:c r="V812" s="21" t="n">
        <x:f>IFERROR(U812/L812,0)</x:f>
        <x:v>0.6255555555555555</x:v>
      </x:c>
    </x:row>
    <x:row r="813">
      <x:c r="A813" s="19" t="str">
        <x:v>SALE-00809</x:v>
      </x:c>
      <x:c r="B813" s="34" t="n">
        <x:v>46216.5</x:v>
      </x:c>
      <x:c r="C813" s="19" t="str">
        <x:v>周一</x:v>
      </x:c>
      <x:c r="D813" s="19" t="str">
        <x:v>S03</x:v>
      </x:c>
      <x:c r="E813" s="19" t="str">
        <x:v>铂悦城店</x:v>
      </x:c>
      <x:c r="F813" s="19" t="str">
        <x:v>堂食</x:v>
      </x:c>
      <x:c r="G813" s="19" t="str">
        <x:v>全日</x:v>
      </x:c>
      <x:c r="H813" s="19" t="str">
        <x:v>D09</x:v>
      </x:c>
      <x:c r="I813" s="19" t="str">
        <x:v>炒豆干</x:v>
      </x:c>
      <x:c r="J813" s="22" t="n">
        <x:f>XLOOKUP(H813,'菜品主数据'!$A$5:$A$24,'菜品主数据'!$D$5:$D$24,0)</x:f>
        <x:v>18</x:v>
      </x:c>
      <x:c r="K813" s="31" t="n">
        <x:v>17</x:v>
      </x:c>
      <x:c r="L813" s="35" t="n">
        <x:f>J813*K813</x:f>
        <x:v>306</x:v>
      </x:c>
      <x:c r="M813" s="36" t="n">
        <x:v>0</x:v>
      </x:c>
      <x:c r="N813" s="35" t="n">
        <x:f>L813*M813</x:f>
        <x:v>0</x:v>
      </x:c>
      <x:c r="O813" s="37" t="n">
        <x:v>0</x:v>
      </x:c>
      <x:c r="P813" s="35" t="n">
        <x:f>L813*O813</x:f>
        <x:v>0</x:v>
      </x:c>
      <x:c r="Q813" s="35" t="n">
        <x:v>0</x:v>
      </x:c>
      <x:c r="R813" s="35" t="n">
        <x:f>K813*Q813</x:f>
        <x:v>0</x:v>
      </x:c>
      <x:c r="S813" s="35" t="n">
        <x:f>XLOOKUP(H813,'菜品主数据'!$A$5:$A$24,'菜品主数据'!$G$5:$G$24,0)</x:f>
        <x:v>6.613999999999999</x:v>
      </x:c>
      <x:c r="T813" s="35" t="n">
        <x:f>K813*S813</x:f>
        <x:v>112.43799999999999</x:v>
      </x:c>
      <x:c r="U813" s="35" t="n">
        <x:f>L813-N813-P813-R813-T813</x:f>
        <x:v>193.562</x:v>
      </x:c>
      <x:c r="V813" s="21" t="n">
        <x:f>IFERROR(U813/L813,0)</x:f>
        <x:v>0.6325555555555556</x:v>
      </x:c>
    </x:row>
    <x:row r="814">
      <x:c r="A814" s="19" t="str">
        <x:v>SALE-00810</x:v>
      </x:c>
      <x:c r="B814" s="34" t="n">
        <x:v>46216.5</x:v>
      </x:c>
      <x:c r="C814" s="19" t="str">
        <x:v>周一</x:v>
      </x:c>
      <x:c r="D814" s="19" t="str">
        <x:v>S03</x:v>
      </x:c>
      <x:c r="E814" s="19" t="str">
        <x:v>铂悦城店</x:v>
      </x:c>
      <x:c r="F814" s="19" t="str">
        <x:v>堂食</x:v>
      </x:c>
      <x:c r="G814" s="19" t="str">
        <x:v>全日</x:v>
      </x:c>
      <x:c r="H814" s="19" t="str">
        <x:v>D10</x:v>
      </x:c>
      <x:c r="I814" s="19" t="str">
        <x:v>农家一碗香</x:v>
      </x:c>
      <x:c r="J814" s="22" t="n">
        <x:f>XLOOKUP(H814,'菜品主数据'!$A$5:$A$24,'菜品主数据'!$D$5:$D$24,0)</x:f>
        <x:v>22.9</x:v>
      </x:c>
      <x:c r="K814" s="31" t="n">
        <x:v>19</x:v>
      </x:c>
      <x:c r="L814" s="35" t="n">
        <x:f>J814*K814</x:f>
        <x:v>435.09999999999997</x:v>
      </x:c>
      <x:c r="M814" s="36" t="n">
        <x:v>0</x:v>
      </x:c>
      <x:c r="N814" s="35" t="n">
        <x:f>L814*M814</x:f>
        <x:v>0</x:v>
      </x:c>
      <x:c r="O814" s="37" t="n">
        <x:v>0</x:v>
      </x:c>
      <x:c r="P814" s="35" t="n">
        <x:f>L814*O814</x:f>
        <x:v>0</x:v>
      </x:c>
      <x:c r="Q814" s="35" t="n">
        <x:v>0</x:v>
      </x:c>
      <x:c r="R814" s="35" t="n">
        <x:f>K814*Q814</x:f>
        <x:v>0</x:v>
      </x:c>
      <x:c r="S814" s="35" t="n">
        <x:f>XLOOKUP(H814,'菜品主数据'!$A$5:$A$24,'菜品主数据'!$G$5:$G$24,0)</x:f>
        <x:v>9.770200000000003</x:v>
      </x:c>
      <x:c r="T814" s="35" t="n">
        <x:f>K814*S814</x:f>
        <x:v>185.63380000000006</x:v>
      </x:c>
      <x:c r="U814" s="35" t="n">
        <x:f>L814-N814-P814-R814-T814</x:f>
        <x:v>249.4661999999999</x:v>
      </x:c>
      <x:c r="V814" s="21" t="n">
        <x:f>IFERROR(U814/L814,0)</x:f>
        <x:v>0.5733537117903929</x:v>
      </x:c>
    </x:row>
    <x:row r="815">
      <x:c r="A815" s="19" t="str">
        <x:v>SALE-00811</x:v>
      </x:c>
      <x:c r="B815" s="34" t="n">
        <x:v>46216.5</x:v>
      </x:c>
      <x:c r="C815" s="19" t="str">
        <x:v>周一</x:v>
      </x:c>
      <x:c r="D815" s="19" t="str">
        <x:v>S03</x:v>
      </x:c>
      <x:c r="E815" s="19" t="str">
        <x:v>铂悦城店</x:v>
      </x:c>
      <x:c r="F815" s="19" t="str">
        <x:v>堂食</x:v>
      </x:c>
      <x:c r="G815" s="19" t="str">
        <x:v>全日</x:v>
      </x:c>
      <x:c r="H815" s="19" t="str">
        <x:v>D11</x:v>
      </x:c>
      <x:c r="I815" s="19" t="str">
        <x:v>香辣爆肥肠</x:v>
      </x:c>
      <x:c r="J815" s="22" t="n">
        <x:f>XLOOKUP(H815,'菜品主数据'!$A$5:$A$24,'菜品主数据'!$D$5:$D$24,0)</x:f>
        <x:v>39</x:v>
      </x:c>
      <x:c r="K815" s="31" t="n">
        <x:v>8</x:v>
      </x:c>
      <x:c r="L815" s="35" t="n">
        <x:f>J815*K815</x:f>
        <x:v>312</x:v>
      </x:c>
      <x:c r="M815" s="36" t="n">
        <x:v>0</x:v>
      </x:c>
      <x:c r="N815" s="35" t="n">
        <x:f>L815*M815</x:f>
        <x:v>0</x:v>
      </x:c>
      <x:c r="O815" s="37" t="n">
        <x:v>0</x:v>
      </x:c>
      <x:c r="P815" s="35" t="n">
        <x:f>L815*O815</x:f>
        <x:v>0</x:v>
      </x:c>
      <x:c r="Q815" s="35" t="n">
        <x:v>0</x:v>
      </x:c>
      <x:c r="R815" s="35" t="n">
        <x:f>K815*Q815</x:f>
        <x:v>0</x:v>
      </x:c>
      <x:c r="S815" s="35" t="n">
        <x:f>XLOOKUP(H815,'菜品主数据'!$A$5:$A$24,'菜品主数据'!$G$5:$G$24,0)</x:f>
        <x:v>10.397</x:v>
      </x:c>
      <x:c r="T815" s="35" t="n">
        <x:f>K815*S815</x:f>
        <x:v>83.176</x:v>
      </x:c>
      <x:c r="U815" s="35" t="n">
        <x:f>L815-N815-P815-R815-T815</x:f>
        <x:v>228.824</x:v>
      </x:c>
      <x:c r="V815" s="21" t="n">
        <x:f>IFERROR(U815/L815,0)</x:f>
        <x:v>0.7334102564102565</x:v>
      </x:c>
    </x:row>
    <x:row r="816">
      <x:c r="A816" s="19" t="str">
        <x:v>SALE-00812</x:v>
      </x:c>
      <x:c r="B816" s="34" t="n">
        <x:v>46216.5</x:v>
      </x:c>
      <x:c r="C816" s="19" t="str">
        <x:v>周一</x:v>
      </x:c>
      <x:c r="D816" s="19" t="str">
        <x:v>S03</x:v>
      </x:c>
      <x:c r="E816" s="19" t="str">
        <x:v>铂悦城店</x:v>
      </x:c>
      <x:c r="F816" s="19" t="str">
        <x:v>堂食</x:v>
      </x:c>
      <x:c r="G816" s="19" t="str">
        <x:v>全日</x:v>
      </x:c>
      <x:c r="H816" s="19" t="str">
        <x:v>D12</x:v>
      </x:c>
      <x:c r="I816" s="19" t="str">
        <x:v>清蒸鲈鱼</x:v>
      </x:c>
      <x:c r="J816" s="22" t="n">
        <x:f>XLOOKUP(H816,'菜品主数据'!$A$5:$A$24,'菜品主数据'!$D$5:$D$24,0)</x:f>
        <x:v>39</x:v>
      </x:c>
      <x:c r="K816" s="31" t="n">
        <x:v>8</x:v>
      </x:c>
      <x:c r="L816" s="35" t="n">
        <x:f>J816*K816</x:f>
        <x:v>312</x:v>
      </x:c>
      <x:c r="M816" s="36" t="n">
        <x:v>0</x:v>
      </x:c>
      <x:c r="N816" s="35" t="n">
        <x:f>L816*M816</x:f>
        <x:v>0</x:v>
      </x:c>
      <x:c r="O816" s="37" t="n">
        <x:v>0</x:v>
      </x:c>
      <x:c r="P816" s="35" t="n">
        <x:f>L816*O816</x:f>
        <x:v>0</x:v>
      </x:c>
      <x:c r="Q816" s="35" t="n">
        <x:v>0</x:v>
      </x:c>
      <x:c r="R816" s="35" t="n">
        <x:f>K816*Q816</x:f>
        <x:v>0</x:v>
      </x:c>
      <x:c r="S816" s="35" t="n">
        <x:f>XLOOKUP(H816,'菜品主数据'!$A$5:$A$24,'菜品主数据'!$G$5:$G$24,0)</x:f>
        <x:v>18.874</x:v>
      </x:c>
      <x:c r="T816" s="35" t="n">
        <x:f>K816*S816</x:f>
        <x:v>150.992</x:v>
      </x:c>
      <x:c r="U816" s="35" t="n">
        <x:f>L816-N816-P816-R816-T816</x:f>
        <x:v>161.008</x:v>
      </x:c>
      <x:c r="V816" s="21" t="n">
        <x:f>IFERROR(U816/L816,0)</x:f>
        <x:v>0.516051282051282</x:v>
      </x:c>
    </x:row>
    <x:row r="817">
      <x:c r="A817" s="19" t="str">
        <x:v>SALE-00813</x:v>
      </x:c>
      <x:c r="B817" s="34" t="n">
        <x:v>46216.5</x:v>
      </x:c>
      <x:c r="C817" s="19" t="str">
        <x:v>周一</x:v>
      </x:c>
      <x:c r="D817" s="19" t="str">
        <x:v>S03</x:v>
      </x:c>
      <x:c r="E817" s="19" t="str">
        <x:v>铂悦城店</x:v>
      </x:c>
      <x:c r="F817" s="19" t="str">
        <x:v>堂食</x:v>
      </x:c>
      <x:c r="G817" s="19" t="str">
        <x:v>全日</x:v>
      </x:c>
      <x:c r="H817" s="19" t="str">
        <x:v>D13</x:v>
      </x:c>
      <x:c r="I817" s="19" t="str">
        <x:v>外婆菜炒蛋</x:v>
      </x:c>
      <x:c r="J817" s="22" t="n">
        <x:f>XLOOKUP(H817,'菜品主数据'!$A$5:$A$24,'菜品主数据'!$D$5:$D$24,0)</x:f>
        <x:v>18</x:v>
      </x:c>
      <x:c r="K817" s="31" t="n">
        <x:v>17</x:v>
      </x:c>
      <x:c r="L817" s="35" t="n">
        <x:f>J817*K817</x:f>
        <x:v>306</x:v>
      </x:c>
      <x:c r="M817" s="36" t="n">
        <x:v>0</x:v>
      </x:c>
      <x:c r="N817" s="35" t="n">
        <x:f>L817*M817</x:f>
        <x:v>0</x:v>
      </x:c>
      <x:c r="O817" s="37" t="n">
        <x:v>0</x:v>
      </x:c>
      <x:c r="P817" s="35" t="n">
        <x:f>L817*O817</x:f>
        <x:v>0</x:v>
      </x:c>
      <x:c r="Q817" s="35" t="n">
        <x:v>0</x:v>
      </x:c>
      <x:c r="R817" s="35" t="n">
        <x:f>K817*Q817</x:f>
        <x:v>0</x:v>
      </x:c>
      <x:c r="S817" s="35" t="n">
        <x:f>XLOOKUP(H817,'菜品主数据'!$A$5:$A$24,'菜品主数据'!$G$5:$G$24,0)</x:f>
        <x:v>5.403999999999999</x:v>
      </x:c>
      <x:c r="T817" s="35" t="n">
        <x:f>K817*S817</x:f>
        <x:v>91.86799999999998</x:v>
      </x:c>
      <x:c r="U817" s="35" t="n">
        <x:f>L817-N817-P817-R817-T817</x:f>
        <x:v>214.132</x:v>
      </x:c>
      <x:c r="V817" s="21" t="n">
        <x:f>IFERROR(U817/L817,0)</x:f>
        <x:v>0.6997777777777778</x:v>
      </x:c>
    </x:row>
    <x:row r="818">
      <x:c r="A818" s="19" t="str">
        <x:v>SALE-00814</x:v>
      </x:c>
      <x:c r="B818" s="34" t="n">
        <x:v>46216.5</x:v>
      </x:c>
      <x:c r="C818" s="19" t="str">
        <x:v>周一</x:v>
      </x:c>
      <x:c r="D818" s="19" t="str">
        <x:v>S03</x:v>
      </x:c>
      <x:c r="E818" s="19" t="str">
        <x:v>铂悦城店</x:v>
      </x:c>
      <x:c r="F818" s="19" t="str">
        <x:v>堂食</x:v>
      </x:c>
      <x:c r="G818" s="19" t="str">
        <x:v>全日</x:v>
      </x:c>
      <x:c r="H818" s="19" t="str">
        <x:v>D14</x:v>
      </x:c>
      <x:c r="I818" s="19" t="str">
        <x:v>酸辣鸡杂</x:v>
      </x:c>
      <x:c r="J818" s="22" t="n">
        <x:f>XLOOKUP(H818,'菜品主数据'!$A$5:$A$24,'菜品主数据'!$D$5:$D$24,0)</x:f>
        <x:v>28</x:v>
      </x:c>
      <x:c r="K818" s="31" t="n">
        <x:v>9</x:v>
      </x:c>
      <x:c r="L818" s="35" t="n">
        <x:f>J818*K818</x:f>
        <x:v>252</x:v>
      </x:c>
      <x:c r="M818" s="36" t="n">
        <x:v>0</x:v>
      </x:c>
      <x:c r="N818" s="35" t="n">
        <x:f>L818*M818</x:f>
        <x:v>0</x:v>
      </x:c>
      <x:c r="O818" s="37" t="n">
        <x:v>0</x:v>
      </x:c>
      <x:c r="P818" s="35" t="n">
        <x:f>L818*O818</x:f>
        <x:v>0</x:v>
      </x:c>
      <x:c r="Q818" s="35" t="n">
        <x:v>0</x:v>
      </x:c>
      <x:c r="R818" s="35" t="n">
        <x:f>K818*Q818</x:f>
        <x:v>0</x:v>
      </x:c>
      <x:c r="S818" s="35" t="n">
        <x:f>XLOOKUP(H818,'菜品主数据'!$A$5:$A$24,'菜品主数据'!$G$5:$G$24,0)</x:f>
        <x:v>8.315000000000001</x:v>
      </x:c>
      <x:c r="T818" s="35" t="n">
        <x:f>K818*S818</x:f>
        <x:v>74.83500000000001</x:v>
      </x:c>
      <x:c r="U818" s="35" t="n">
        <x:f>L818-N818-P818-R818-T818</x:f>
        <x:v>177.165</x:v>
      </x:c>
      <x:c r="V818" s="21" t="n">
        <x:f>IFERROR(U818/L818,0)</x:f>
        <x:v>0.7030357142857142</x:v>
      </x:c>
    </x:row>
    <x:row r="819">
      <x:c r="A819" s="19" t="str">
        <x:v>SALE-00815</x:v>
      </x:c>
      <x:c r="B819" s="34" t="n">
        <x:v>46216.5</x:v>
      </x:c>
      <x:c r="C819" s="19" t="str">
        <x:v>周一</x:v>
      </x:c>
      <x:c r="D819" s="19" t="str">
        <x:v>S03</x:v>
      </x:c>
      <x:c r="E819" s="19" t="str">
        <x:v>铂悦城店</x:v>
      </x:c>
      <x:c r="F819" s="19" t="str">
        <x:v>堂食</x:v>
      </x:c>
      <x:c r="G819" s="19" t="str">
        <x:v>全日</x:v>
      </x:c>
      <x:c r="H819" s="19" t="str">
        <x:v>D15</x:v>
      </x:c>
      <x:c r="I819" s="19" t="str">
        <x:v>湘西土匪猪肝</x:v>
      </x:c>
      <x:c r="J819" s="22" t="n">
        <x:f>XLOOKUP(H819,'菜品主数据'!$A$5:$A$24,'菜品主数据'!$D$5:$D$24,0)</x:f>
        <x:v>26</x:v>
      </x:c>
      <x:c r="K819" s="31" t="n">
        <x:v>9</x:v>
      </x:c>
      <x:c r="L819" s="35" t="n">
        <x:f>J819*K819</x:f>
        <x:v>234</x:v>
      </x:c>
      <x:c r="M819" s="36" t="n">
        <x:v>0</x:v>
      </x:c>
      <x:c r="N819" s="35" t="n">
        <x:f>L819*M819</x:f>
        <x:v>0</x:v>
      </x:c>
      <x:c r="O819" s="37" t="n">
        <x:v>0</x:v>
      </x:c>
      <x:c r="P819" s="35" t="n">
        <x:f>L819*O819</x:f>
        <x:v>0</x:v>
      </x:c>
      <x:c r="Q819" s="35" t="n">
        <x:v>0</x:v>
      </x:c>
      <x:c r="R819" s="35" t="n">
        <x:f>K819*Q819</x:f>
        <x:v>0</x:v>
      </x:c>
      <x:c r="S819" s="35" t="n">
        <x:f>XLOOKUP(H819,'菜品主数据'!$A$5:$A$24,'菜品主数据'!$G$5:$G$24,0)</x:f>
        <x:v>6.3759999999999994</x:v>
      </x:c>
      <x:c r="T819" s="35" t="n">
        <x:f>K819*S819</x:f>
        <x:v>57.38399999999999</x:v>
      </x:c>
      <x:c r="U819" s="35" t="n">
        <x:f>L819-N819-P819-R819-T819</x:f>
        <x:v>176.616</x:v>
      </x:c>
      <x:c r="V819" s="21" t="n">
        <x:f>IFERROR(U819/L819,0)</x:f>
        <x:v>0.7547692307692309</x:v>
      </x:c>
    </x:row>
    <x:row r="820">
      <x:c r="A820" s="19" t="str">
        <x:v>SALE-00816</x:v>
      </x:c>
      <x:c r="B820" s="34" t="n">
        <x:v>46216.5</x:v>
      </x:c>
      <x:c r="C820" s="19" t="str">
        <x:v>周一</x:v>
      </x:c>
      <x:c r="D820" s="19" t="str">
        <x:v>S03</x:v>
      </x:c>
      <x:c r="E820" s="19" t="str">
        <x:v>铂悦城店</x:v>
      </x:c>
      <x:c r="F820" s="19" t="str">
        <x:v>堂食</x:v>
      </x:c>
      <x:c r="G820" s="19" t="str">
        <x:v>全日</x:v>
      </x:c>
      <x:c r="H820" s="19" t="str">
        <x:v>D16</x:v>
      </x:c>
      <x:c r="I820" s="19" t="str">
        <x:v>小豆角炒五花</x:v>
      </x:c>
      <x:c r="J820" s="22" t="n">
        <x:f>XLOOKUP(H820,'菜品主数据'!$A$5:$A$24,'菜品主数据'!$D$5:$D$24,0)</x:f>
        <x:v>25</x:v>
      </x:c>
      <x:c r="K820" s="31" t="n">
        <x:v>8</x:v>
      </x:c>
      <x:c r="L820" s="35" t="n">
        <x:f>J820*K820</x:f>
        <x:v>200</x:v>
      </x:c>
      <x:c r="M820" s="36" t="n">
        <x:v>0</x:v>
      </x:c>
      <x:c r="N820" s="35" t="n">
        <x:f>L820*M820</x:f>
        <x:v>0</x:v>
      </x:c>
      <x:c r="O820" s="37" t="n">
        <x:v>0</x:v>
      </x:c>
      <x:c r="P820" s="35" t="n">
        <x:f>L820*O820</x:f>
        <x:v>0</x:v>
      </x:c>
      <x:c r="Q820" s="35" t="n">
        <x:v>0</x:v>
      </x:c>
      <x:c r="R820" s="35" t="n">
        <x:f>K820*Q820</x:f>
        <x:v>0</x:v>
      </x:c>
      <x:c r="S820" s="35" t="n">
        <x:f>XLOOKUP(H820,'菜品主数据'!$A$5:$A$24,'菜品主数据'!$G$5:$G$24,0)</x:f>
        <x:v>8.184</x:v>
      </x:c>
      <x:c r="T820" s="35" t="n">
        <x:f>K820*S820</x:f>
        <x:v>65.472</x:v>
      </x:c>
      <x:c r="U820" s="35" t="n">
        <x:f>L820-N820-P820-R820-T820</x:f>
        <x:v>134.52800000000002</x:v>
      </x:c>
      <x:c r="V820" s="21" t="n">
        <x:f>IFERROR(U820/L820,0)</x:f>
        <x:v>0.6726400000000001</x:v>
      </x:c>
    </x:row>
    <x:row r="821">
      <x:c r="A821" s="19" t="str">
        <x:v>SALE-00817</x:v>
      </x:c>
      <x:c r="B821" s="34" t="n">
        <x:v>46216.5</x:v>
      </x:c>
      <x:c r="C821" s="19" t="str">
        <x:v>周一</x:v>
      </x:c>
      <x:c r="D821" s="19" t="str">
        <x:v>S03</x:v>
      </x:c>
      <x:c r="E821" s="19" t="str">
        <x:v>铂悦城店</x:v>
      </x:c>
      <x:c r="F821" s="19" t="str">
        <x:v>堂食</x:v>
      </x:c>
      <x:c r="G821" s="19" t="str">
        <x:v>全日</x:v>
      </x:c>
      <x:c r="H821" s="19" t="str">
        <x:v>D17</x:v>
      </x:c>
      <x:c r="I821" s="19" t="str">
        <x:v>蒜蓉粉丝虾</x:v>
      </x:c>
      <x:c r="J821" s="22" t="n">
        <x:f>XLOOKUP(H821,'菜品主数据'!$A$5:$A$24,'菜品主数据'!$D$5:$D$24,0)</x:f>
        <x:v>36</x:v>
      </x:c>
      <x:c r="K821" s="31" t="n">
        <x:v>5</x:v>
      </x:c>
      <x:c r="L821" s="35" t="n">
        <x:f>J821*K821</x:f>
        <x:v>180</x:v>
      </x:c>
      <x:c r="M821" s="36" t="n">
        <x:v>0</x:v>
      </x:c>
      <x:c r="N821" s="35" t="n">
        <x:f>L821*M821</x:f>
        <x:v>0</x:v>
      </x:c>
      <x:c r="O821" s="37" t="n">
        <x:v>0</x:v>
      </x:c>
      <x:c r="P821" s="35" t="n">
        <x:f>L821*O821</x:f>
        <x:v>0</x:v>
      </x:c>
      <x:c r="Q821" s="35" t="n">
        <x:v>0</x:v>
      </x:c>
      <x:c r="R821" s="35" t="n">
        <x:f>K821*Q821</x:f>
        <x:v>0</x:v>
      </x:c>
      <x:c r="S821" s="35" t="n">
        <x:f>XLOOKUP(H821,'菜品主数据'!$A$5:$A$24,'菜品主数据'!$G$5:$G$24,0)</x:f>
        <x:v>13.594</x:v>
      </x:c>
      <x:c r="T821" s="35" t="n">
        <x:f>K821*S821</x:f>
        <x:v>67.97</x:v>
      </x:c>
      <x:c r="U821" s="35" t="n">
        <x:f>L821-N821-P821-R821-T821</x:f>
        <x:v>112.03</x:v>
      </x:c>
      <x:c r="V821" s="21" t="n">
        <x:f>IFERROR(U821/L821,0)</x:f>
        <x:v>0.6223888888888889</x:v>
      </x:c>
    </x:row>
    <x:row r="822">
      <x:c r="A822" s="19" t="str">
        <x:v>SALE-00818</x:v>
      </x:c>
      <x:c r="B822" s="34" t="n">
        <x:v>46216.5</x:v>
      </x:c>
      <x:c r="C822" s="19" t="str">
        <x:v>周一</x:v>
      </x:c>
      <x:c r="D822" s="19" t="str">
        <x:v>S03</x:v>
      </x:c>
      <x:c r="E822" s="19" t="str">
        <x:v>铂悦城店</x:v>
      </x:c>
      <x:c r="F822" s="19" t="str">
        <x:v>堂食</x:v>
      </x:c>
      <x:c r="G822" s="19" t="str">
        <x:v>全日</x:v>
      </x:c>
      <x:c r="H822" s="19" t="str">
        <x:v>D18</x:v>
      </x:c>
      <x:c r="I822" s="19" t="str">
        <x:v>青椒炒油麦菜</x:v>
      </x:c>
      <x:c r="J822" s="22" t="n">
        <x:f>XLOOKUP(H822,'菜品主数据'!$A$5:$A$24,'菜品主数据'!$D$5:$D$24,0)</x:f>
        <x:v>18</x:v>
      </x:c>
      <x:c r="K822" s="31" t="n">
        <x:v>10</x:v>
      </x:c>
      <x:c r="L822" s="35" t="n">
        <x:f>J822*K822</x:f>
        <x:v>180</x:v>
      </x:c>
      <x:c r="M822" s="36" t="n">
        <x:v>0</x:v>
      </x:c>
      <x:c r="N822" s="35" t="n">
        <x:f>L822*M822</x:f>
        <x:v>0</x:v>
      </x:c>
      <x:c r="O822" s="37" t="n">
        <x:v>0</x:v>
      </x:c>
      <x:c r="P822" s="35" t="n">
        <x:f>L822*O822</x:f>
        <x:v>0</x:v>
      </x:c>
      <x:c r="Q822" s="35" t="n">
        <x:v>0</x:v>
      </x:c>
      <x:c r="R822" s="35" t="n">
        <x:f>K822*Q822</x:f>
        <x:v>0</x:v>
      </x:c>
      <x:c r="S822" s="35" t="n">
        <x:f>XLOOKUP(H822,'菜品主数据'!$A$5:$A$24,'菜品主数据'!$G$5:$G$24,0)</x:f>
        <x:v>3.1759999999999993</x:v>
      </x:c>
      <x:c r="T822" s="35" t="n">
        <x:f>K822*S822</x:f>
        <x:v>31.75999999999999</x:v>
      </x:c>
      <x:c r="U822" s="35" t="n">
        <x:f>L822-N822-P822-R822-T822</x:f>
        <x:v>148.24</x:v>
      </x:c>
      <x:c r="V822" s="21" t="n">
        <x:f>IFERROR(U822/L822,0)</x:f>
        <x:v>0.8235555555555556</x:v>
      </x:c>
    </x:row>
    <x:row r="823">
      <x:c r="A823" s="19" t="str">
        <x:v>SALE-00819</x:v>
      </x:c>
      <x:c r="B823" s="34" t="n">
        <x:v>46216.5</x:v>
      </x:c>
      <x:c r="C823" s="19" t="str">
        <x:v>周一</x:v>
      </x:c>
      <x:c r="D823" s="19" t="str">
        <x:v>S03</x:v>
      </x:c>
      <x:c r="E823" s="19" t="str">
        <x:v>铂悦城店</x:v>
      </x:c>
      <x:c r="F823" s="19" t="str">
        <x:v>堂食</x:v>
      </x:c>
      <x:c r="G823" s="19" t="str">
        <x:v>全日</x:v>
      </x:c>
      <x:c r="H823" s="19" t="str">
        <x:v>D19</x:v>
      </x:c>
      <x:c r="I823" s="19" t="str">
        <x:v>酸萝卜炒鸡杂</x:v>
      </x:c>
      <x:c r="J823" s="22" t="n">
        <x:f>XLOOKUP(H823,'菜品主数据'!$A$5:$A$24,'菜品主数据'!$D$5:$D$24,0)</x:f>
        <x:v>25</x:v>
      </x:c>
      <x:c r="K823" s="31" t="n">
        <x:v>6</x:v>
      </x:c>
      <x:c r="L823" s="35" t="n">
        <x:f>J823*K823</x:f>
        <x:v>150</x:v>
      </x:c>
      <x:c r="M823" s="36" t="n">
        <x:v>0</x:v>
      </x:c>
      <x:c r="N823" s="35" t="n">
        <x:f>L823*M823</x:f>
        <x:v>0</x:v>
      </x:c>
      <x:c r="O823" s="37" t="n">
        <x:v>0</x:v>
      </x:c>
      <x:c r="P823" s="35" t="n">
        <x:f>L823*O823</x:f>
        <x:v>0</x:v>
      </x:c>
      <x:c r="Q823" s="35" t="n">
        <x:v>0</x:v>
      </x:c>
      <x:c r="R823" s="35" t="n">
        <x:f>K823*Q823</x:f>
        <x:v>0</x:v>
      </x:c>
      <x:c r="S823" s="35" t="n">
        <x:f>XLOOKUP(H823,'菜品主数据'!$A$5:$A$24,'菜品主数据'!$G$5:$G$24,0)</x:f>
        <x:v>7.9399999999999995</x:v>
      </x:c>
      <x:c r="T823" s="35" t="n">
        <x:f>K823*S823</x:f>
        <x:v>47.64</x:v>
      </x:c>
      <x:c r="U823" s="35" t="n">
        <x:f>L823-N823-P823-R823-T823</x:f>
        <x:v>102.36</x:v>
      </x:c>
      <x:c r="V823" s="21" t="n">
        <x:f>IFERROR(U823/L823,0)</x:f>
        <x:v>0.6824</x:v>
      </x:c>
    </x:row>
    <x:row r="824">
      <x:c r="A824" s="19" t="str">
        <x:v>SALE-00820</x:v>
      </x:c>
      <x:c r="B824" s="34" t="n">
        <x:v>46216.5</x:v>
      </x:c>
      <x:c r="C824" s="19" t="str">
        <x:v>周一</x:v>
      </x:c>
      <x:c r="D824" s="19" t="str">
        <x:v>S03</x:v>
      </x:c>
      <x:c r="E824" s="19" t="str">
        <x:v>铂悦城店</x:v>
      </x:c>
      <x:c r="F824" s="19" t="str">
        <x:v>堂食</x:v>
      </x:c>
      <x:c r="G824" s="19" t="str">
        <x:v>全日</x:v>
      </x:c>
      <x:c r="H824" s="19" t="str">
        <x:v>D20</x:v>
      </x:c>
      <x:c r="I824" s="19" t="str">
        <x:v>雪菜肉末青豆</x:v>
      </x:c>
      <x:c r="J824" s="22" t="n">
        <x:f>XLOOKUP(H824,'菜品主数据'!$A$5:$A$24,'菜品主数据'!$D$5:$D$24,0)</x:f>
        <x:v>18</x:v>
      </x:c>
      <x:c r="K824" s="31" t="n">
        <x:v>10</x:v>
      </x:c>
      <x:c r="L824" s="35" t="n">
        <x:f>J824*K824</x:f>
        <x:v>180</x:v>
      </x:c>
      <x:c r="M824" s="36" t="n">
        <x:v>0</x:v>
      </x:c>
      <x:c r="N824" s="35" t="n">
        <x:f>L824*M824</x:f>
        <x:v>0</x:v>
      </x:c>
      <x:c r="O824" s="37" t="n">
        <x:v>0</x:v>
      </x:c>
      <x:c r="P824" s="35" t="n">
        <x:f>L824*O824</x:f>
        <x:v>0</x:v>
      </x:c>
      <x:c r="Q824" s="35" t="n">
        <x:v>0</x:v>
      </x:c>
      <x:c r="R824" s="35" t="n">
        <x:f>K824*Q824</x:f>
        <x:v>0</x:v>
      </x:c>
      <x:c r="S824" s="35" t="n">
        <x:f>XLOOKUP(H824,'菜品主数据'!$A$5:$A$24,'菜品主数据'!$G$5:$G$24,0)</x:f>
        <x:v>7.303999999999999</x:v>
      </x:c>
      <x:c r="T824" s="35" t="n">
        <x:f>K824*S824</x:f>
        <x:v>73.03999999999999</x:v>
      </x:c>
      <x:c r="U824" s="35" t="n">
        <x:f>L824-N824-P824-R824-T824</x:f>
        <x:v>106.96000000000001</x:v>
      </x:c>
      <x:c r="V824" s="21" t="n">
        <x:f>IFERROR(U824/L824,0)</x:f>
        <x:v>0.5942222222222223</x:v>
      </x:c>
    </x:row>
    <x:row r="825">
      <x:c r="A825" s="19" t="str">
        <x:v>SALE-00821</x:v>
      </x:c>
      <x:c r="B825" s="34" t="n">
        <x:v>46216.5</x:v>
      </x:c>
      <x:c r="C825" s="19" t="str">
        <x:v>周一</x:v>
      </x:c>
      <x:c r="D825" s="19" t="str">
        <x:v>S03</x:v>
      </x:c>
      <x:c r="E825" s="19" t="str">
        <x:v>铂悦城店</x:v>
      </x:c>
      <x:c r="F825" s="19" t="str">
        <x:v>外卖</x:v>
      </x:c>
      <x:c r="G825" s="19" t="str">
        <x:v>全日</x:v>
      </x:c>
      <x:c r="H825" s="19" t="str">
        <x:v>D01</x:v>
      </x:c>
      <x:c r="I825" s="19" t="str">
        <x:v>辣椒炒肉</x:v>
      </x:c>
      <x:c r="J825" s="22" t="n">
        <x:f>XLOOKUP(H825,'菜品主数据'!$A$5:$A$24,'菜品主数据'!$D$5:$D$24,0)</x:f>
        <x:v>29</x:v>
      </x:c>
      <x:c r="K825" s="31" t="n">
        <x:v>6</x:v>
      </x:c>
      <x:c r="L825" s="35" t="n">
        <x:f>J825*K825</x:f>
        <x:v>174</x:v>
      </x:c>
      <x:c r="M825" s="36" t="n">
        <x:v>0.08</x:v>
      </x:c>
      <x:c r="N825" s="35" t="n">
        <x:f>L825*M825</x:f>
        <x:v>13.92</x:v>
      </x:c>
      <x:c r="O825" s="37" t="n">
        <x:v>0.18</x:v>
      </x:c>
      <x:c r="P825" s="35" t="n">
        <x:f>L825*O825</x:f>
        <x:v>31.32</x:v>
      </x:c>
      <x:c r="Q825" s="35" t="n">
        <x:v>1.2</x:v>
      </x:c>
      <x:c r="R825" s="35" t="n">
        <x:f>K825*Q825</x:f>
        <x:v>7.199999999999999</x:v>
      </x:c>
      <x:c r="S825" s="35" t="n">
        <x:f>XLOOKUP(H825,'菜品主数据'!$A$5:$A$24,'菜品主数据'!$G$5:$G$24,0)</x:f>
        <x:v>8.634400000000001</x:v>
      </x:c>
      <x:c r="T825" s="35" t="n">
        <x:f>K825*S825</x:f>
        <x:v>51.80640000000001</x:v>
      </x:c>
      <x:c r="U825" s="35" t="n">
        <x:f>L825-N825-P825-R825-T825</x:f>
        <x:v>69.7536</x:v>
      </x:c>
      <x:c r="V825" s="21" t="n">
        <x:f>IFERROR(U825/L825,0)</x:f>
        <x:v>0.40088275862068967</x:v>
      </x:c>
    </x:row>
    <x:row r="826">
      <x:c r="A826" s="19" t="str">
        <x:v>SALE-00822</x:v>
      </x:c>
      <x:c r="B826" s="34" t="n">
        <x:v>46216.5</x:v>
      </x:c>
      <x:c r="C826" s="19" t="str">
        <x:v>周一</x:v>
      </x:c>
      <x:c r="D826" s="19" t="str">
        <x:v>S03</x:v>
      </x:c>
      <x:c r="E826" s="19" t="str">
        <x:v>铂悦城店</x:v>
      </x:c>
      <x:c r="F826" s="19" t="str">
        <x:v>外卖</x:v>
      </x:c>
      <x:c r="G826" s="19" t="str">
        <x:v>全日</x:v>
      </x:c>
      <x:c r="H826" s="19" t="str">
        <x:v>D02</x:v>
      </x:c>
      <x:c r="I826" s="19" t="str">
        <x:v>小炒黄牛肉</x:v>
      </x:c>
      <x:c r="J826" s="22" t="n">
        <x:f>XLOOKUP(H826,'菜品主数据'!$A$5:$A$24,'菜品主数据'!$D$5:$D$24,0)</x:f>
        <x:v>49</x:v>
      </x:c>
      <x:c r="K826" s="31" t="n">
        <x:v>8</x:v>
      </x:c>
      <x:c r="L826" s="35" t="n">
        <x:f>J826*K826</x:f>
        <x:v>392</x:v>
      </x:c>
      <x:c r="M826" s="36" t="n">
        <x:v>0.08</x:v>
      </x:c>
      <x:c r="N826" s="35" t="n">
        <x:f>L826*M826</x:f>
        <x:v>31.36</x:v>
      </x:c>
      <x:c r="O826" s="37" t="n">
        <x:v>0.18</x:v>
      </x:c>
      <x:c r="P826" s="35" t="n">
        <x:f>L826*O826</x:f>
        <x:v>70.56</x:v>
      </x:c>
      <x:c r="Q826" s="35" t="n">
        <x:v>1.2</x:v>
      </x:c>
      <x:c r="R826" s="35" t="n">
        <x:f>K826*Q826</x:f>
        <x:v>9.6</x:v>
      </x:c>
      <x:c r="S826" s="35" t="n">
        <x:f>XLOOKUP(H826,'菜品主数据'!$A$5:$A$24,'菜品主数据'!$G$5:$G$24,0)</x:f>
        <x:v>17.577</x:v>
      </x:c>
      <x:c r="T826" s="35" t="n">
        <x:f>K826*S826</x:f>
        <x:v>140.616</x:v>
      </x:c>
      <x:c r="U826" s="35" t="n">
        <x:f>L826-N826-P826-R826-T826</x:f>
        <x:v>139.86399999999995</x:v>
      </x:c>
      <x:c r="V826" s="21" t="n">
        <x:f>IFERROR(U826/L826,0)</x:f>
        <x:v>0.3567959183673468</x:v>
      </x:c>
    </x:row>
    <x:row r="827">
      <x:c r="A827" s="19" t="str">
        <x:v>SALE-00823</x:v>
      </x:c>
      <x:c r="B827" s="34" t="n">
        <x:v>46216.5</x:v>
      </x:c>
      <x:c r="C827" s="19" t="str">
        <x:v>周一</x:v>
      </x:c>
      <x:c r="D827" s="19" t="str">
        <x:v>S03</x:v>
      </x:c>
      <x:c r="E827" s="19" t="str">
        <x:v>铂悦城店</x:v>
      </x:c>
      <x:c r="F827" s="19" t="str">
        <x:v>外卖</x:v>
      </x:c>
      <x:c r="G827" s="19" t="str">
        <x:v>全日</x:v>
      </x:c>
      <x:c r="H827" s="19" t="str">
        <x:v>D03</x:v>
      </x:c>
      <x:c r="I827" s="19" t="str">
        <x:v>香醋炒蛋</x:v>
      </x:c>
      <x:c r="J827" s="22" t="n">
        <x:f>XLOOKUP(H827,'菜品主数据'!$A$5:$A$24,'菜品主数据'!$D$5:$D$24,0)</x:f>
        <x:v>14.9</x:v>
      </x:c>
      <x:c r="K827" s="31" t="n">
        <x:v>4</x:v>
      </x:c>
      <x:c r="L827" s="35" t="n">
        <x:f>J827*K827</x:f>
        <x:v>59.6</x:v>
      </x:c>
      <x:c r="M827" s="36" t="n">
        <x:v>0.08</x:v>
      </x:c>
      <x:c r="N827" s="35" t="n">
        <x:f>L827*M827</x:f>
        <x:v>4.768</x:v>
      </x:c>
      <x:c r="O827" s="37" t="n">
        <x:v>0.18</x:v>
      </x:c>
      <x:c r="P827" s="35" t="n">
        <x:f>L827*O827</x:f>
        <x:v>10.728</x:v>
      </x:c>
      <x:c r="Q827" s="35" t="n">
        <x:v>1.2</x:v>
      </x:c>
      <x:c r="R827" s="35" t="n">
        <x:f>K827*Q827</x:f>
        <x:v>4.8</x:v>
      </x:c>
      <x:c r="S827" s="35" t="n">
        <x:f>XLOOKUP(H827,'菜品主数据'!$A$5:$A$24,'菜品主数据'!$G$5:$G$24,0)</x:f>
        <x:v>3.7459999999999996</x:v>
      </x:c>
      <x:c r="T827" s="35" t="n">
        <x:f>K827*S827</x:f>
        <x:v>14.983999999999998</x:v>
      </x:c>
      <x:c r="U827" s="35" t="n">
        <x:f>L827-N827-P827-R827-T827</x:f>
        <x:v>24.320000000000004</x:v>
      </x:c>
      <x:c r="V827" s="21" t="n">
        <x:f>IFERROR(U827/L827,0)</x:f>
        <x:v>0.40805369127516783</x:v>
      </x:c>
    </x:row>
    <x:row r="828">
      <x:c r="A828" s="19" t="str">
        <x:v>SALE-00824</x:v>
      </x:c>
      <x:c r="B828" s="34" t="n">
        <x:v>46216.5</x:v>
      </x:c>
      <x:c r="C828" s="19" t="str">
        <x:v>周一</x:v>
      </x:c>
      <x:c r="D828" s="19" t="str">
        <x:v>S03</x:v>
      </x:c>
      <x:c r="E828" s="19" t="str">
        <x:v>铂悦城店</x:v>
      </x:c>
      <x:c r="F828" s="19" t="str">
        <x:v>外卖</x:v>
      </x:c>
      <x:c r="G828" s="19" t="str">
        <x:v>全日</x:v>
      </x:c>
      <x:c r="H828" s="19" t="str">
        <x:v>D04</x:v>
      </x:c>
      <x:c r="I828" s="19" t="str">
        <x:v>酸包菜炒粉皮</x:v>
      </x:c>
      <x:c r="J828" s="22" t="n">
        <x:f>XLOOKUP(H828,'菜品主数据'!$A$5:$A$24,'菜品主数据'!$D$5:$D$24,0)</x:f>
        <x:v>16</x:v>
      </x:c>
      <x:c r="K828" s="31" t="n">
        <x:v>4</x:v>
      </x:c>
      <x:c r="L828" s="35" t="n">
        <x:f>J828*K828</x:f>
        <x:v>64</x:v>
      </x:c>
      <x:c r="M828" s="36" t="n">
        <x:v>0.08</x:v>
      </x:c>
      <x:c r="N828" s="35" t="n">
        <x:f>L828*M828</x:f>
        <x:v>5.12</x:v>
      </x:c>
      <x:c r="O828" s="37" t="n">
        <x:v>0.18</x:v>
      </x:c>
      <x:c r="P828" s="35" t="n">
        <x:f>L828*O828</x:f>
        <x:v>11.52</x:v>
      </x:c>
      <x:c r="Q828" s="35" t="n">
        <x:v>1.2</x:v>
      </x:c>
      <x:c r="R828" s="35" t="n">
        <x:f>K828*Q828</x:f>
        <x:v>4.8</x:v>
      </x:c>
      <x:c r="S828" s="35" t="n">
        <x:f>XLOOKUP(H828,'菜品主数据'!$A$5:$A$24,'菜品主数据'!$G$5:$G$24,0)</x:f>
        <x:v>3.978</x:v>
      </x:c>
      <x:c r="T828" s="35" t="n">
        <x:f>K828*S828</x:f>
        <x:v>15.912</x:v>
      </x:c>
      <x:c r="U828" s="35" t="n">
        <x:f>L828-N828-P828-R828-T828</x:f>
        <x:v>26.648000000000003</x:v>
      </x:c>
      <x:c r="V828" s="21" t="n">
        <x:f>IFERROR(U828/L828,0)</x:f>
        <x:v>0.41637500000000005</x:v>
      </x:c>
    </x:row>
    <x:row r="829">
      <x:c r="A829" s="19" t="str">
        <x:v>SALE-00825</x:v>
      </x:c>
      <x:c r="B829" s="34" t="n">
        <x:v>46216.5</x:v>
      </x:c>
      <x:c r="C829" s="19" t="str">
        <x:v>周一</x:v>
      </x:c>
      <x:c r="D829" s="19" t="str">
        <x:v>S03</x:v>
      </x:c>
      <x:c r="E829" s="19" t="str">
        <x:v>铂悦城店</x:v>
      </x:c>
      <x:c r="F829" s="19" t="str">
        <x:v>外卖</x:v>
      </x:c>
      <x:c r="G829" s="19" t="str">
        <x:v>全日</x:v>
      </x:c>
      <x:c r="H829" s="19" t="str">
        <x:v>D05</x:v>
      </x:c>
      <x:c r="I829" s="19" t="str">
        <x:v>麻婆豆腐</x:v>
      </x:c>
      <x:c r="J829" s="22" t="n">
        <x:f>XLOOKUP(H829,'菜品主数据'!$A$5:$A$24,'菜品主数据'!$D$5:$D$24,0)</x:f>
        <x:v>9.9</x:v>
      </x:c>
      <x:c r="K829" s="31" t="n">
        <x:v>5</x:v>
      </x:c>
      <x:c r="L829" s="35" t="n">
        <x:f>J829*K829</x:f>
        <x:v>49.5</x:v>
      </x:c>
      <x:c r="M829" s="36" t="n">
        <x:v>0.08</x:v>
      </x:c>
      <x:c r="N829" s="35" t="n">
        <x:f>L829*M829</x:f>
        <x:v>3.96</x:v>
      </x:c>
      <x:c r="O829" s="37" t="n">
        <x:v>0.18</x:v>
      </x:c>
      <x:c r="P829" s="35" t="n">
        <x:f>L829*O829</x:f>
        <x:v>8.91</x:v>
      </x:c>
      <x:c r="Q829" s="35" t="n">
        <x:v>1.2</x:v>
      </x:c>
      <x:c r="R829" s="35" t="n">
        <x:f>K829*Q829</x:f>
        <x:v>6</x:v>
      </x:c>
      <x:c r="S829" s="35" t="n">
        <x:f>XLOOKUP(H829,'菜品主数据'!$A$5:$A$24,'菜品主数据'!$G$5:$G$24,0)</x:f>
        <x:v>5.367000000000001</x:v>
      </x:c>
      <x:c r="T829" s="35" t="n">
        <x:f>K829*S829</x:f>
        <x:v>26.835000000000004</x:v>
      </x:c>
      <x:c r="U829" s="35" t="n">
        <x:f>L829-N829-P829-R829-T829</x:f>
        <x:v>3.794999999999991</x:v>
      </x:c>
      <x:c r="V829" s="21" t="n">
        <x:f>IFERROR(U829/L829,0)</x:f>
        <x:v>0.07666666666666648</x:v>
      </x:c>
    </x:row>
    <x:row r="830">
      <x:c r="A830" s="19" t="str">
        <x:v>SALE-00826</x:v>
      </x:c>
      <x:c r="B830" s="34" t="n">
        <x:v>46216.5</x:v>
      </x:c>
      <x:c r="C830" s="19" t="str">
        <x:v>周一</x:v>
      </x:c>
      <x:c r="D830" s="19" t="str">
        <x:v>S03</x:v>
      </x:c>
      <x:c r="E830" s="19" t="str">
        <x:v>铂悦城店</x:v>
      </x:c>
      <x:c r="F830" s="19" t="str">
        <x:v>外卖</x:v>
      </x:c>
      <x:c r="G830" s="19" t="str">
        <x:v>全日</x:v>
      </x:c>
      <x:c r="H830" s="19" t="str">
        <x:v>D06</x:v>
      </x:c>
      <x:c r="I830" s="19" t="str">
        <x:v>剁椒鱼头</x:v>
      </x:c>
      <x:c r="J830" s="22" t="n">
        <x:f>XLOOKUP(H830,'菜品主数据'!$A$5:$A$24,'菜品主数据'!$D$5:$D$24,0)</x:f>
        <x:v>39</x:v>
      </x:c>
      <x:c r="K830" s="31" t="n">
        <x:v>1</x:v>
      </x:c>
      <x:c r="L830" s="35" t="n">
        <x:f>J830*K830</x:f>
        <x:v>39</x:v>
      </x:c>
      <x:c r="M830" s="36" t="n">
        <x:v>0.08</x:v>
      </x:c>
      <x:c r="N830" s="35" t="n">
        <x:f>L830*M830</x:f>
        <x:v>3.12</x:v>
      </x:c>
      <x:c r="O830" s="37" t="n">
        <x:v>0.18</x:v>
      </x:c>
      <x:c r="P830" s="35" t="n">
        <x:f>L830*O830</x:f>
        <x:v>7.02</x:v>
      </x:c>
      <x:c r="Q830" s="35" t="n">
        <x:v>1.2</x:v>
      </x:c>
      <x:c r="R830" s="35" t="n">
        <x:f>K830*Q830</x:f>
        <x:v>1.2</x:v>
      </x:c>
      <x:c r="S830" s="35" t="n">
        <x:f>XLOOKUP(H830,'菜品主数据'!$A$5:$A$24,'菜品主数据'!$G$5:$G$24,0)</x:f>
        <x:v>17.446</x:v>
      </x:c>
      <x:c r="T830" s="35" t="n">
        <x:f>K830*S830</x:f>
        <x:v>17.446</x:v>
      </x:c>
      <x:c r="U830" s="35" t="n">
        <x:f>L830-N830-P830-R830-T830</x:f>
        <x:v>10.214000000000002</x:v>
      </x:c>
      <x:c r="V830" s="21" t="n">
        <x:f>IFERROR(U830/L830,0)</x:f>
        <x:v>0.26189743589743597</x:v>
      </x:c>
    </x:row>
    <x:row r="831">
      <x:c r="A831" s="19" t="str">
        <x:v>SALE-00827</x:v>
      </x:c>
      <x:c r="B831" s="34" t="n">
        <x:v>46216.5</x:v>
      </x:c>
      <x:c r="C831" s="19" t="str">
        <x:v>周一</x:v>
      </x:c>
      <x:c r="D831" s="19" t="str">
        <x:v>S03</x:v>
      </x:c>
      <x:c r="E831" s="19" t="str">
        <x:v>铂悦城店</x:v>
      </x:c>
      <x:c r="F831" s="19" t="str">
        <x:v>外卖</x:v>
      </x:c>
      <x:c r="G831" s="19" t="str">
        <x:v>全日</x:v>
      </x:c>
      <x:c r="H831" s="19" t="str">
        <x:v>D07</x:v>
      </x:c>
      <x:c r="I831" s="19" t="str">
        <x:v>川味回锅肉</x:v>
      </x:c>
      <x:c r="J831" s="22" t="n">
        <x:f>XLOOKUP(H831,'菜品主数据'!$A$5:$A$24,'菜品主数据'!$D$5:$D$24,0)</x:f>
        <x:v>29</x:v>
      </x:c>
      <x:c r="K831" s="31" t="n">
        <x:v>1</x:v>
      </x:c>
      <x:c r="L831" s="35" t="n">
        <x:f>J831*K831</x:f>
        <x:v>29</x:v>
      </x:c>
      <x:c r="M831" s="36" t="n">
        <x:v>0.08</x:v>
      </x:c>
      <x:c r="N831" s="35" t="n">
        <x:f>L831*M831</x:f>
        <x:v>2.32</x:v>
      </x:c>
      <x:c r="O831" s="37" t="n">
        <x:v>0.18</x:v>
      </x:c>
      <x:c r="P831" s="35" t="n">
        <x:f>L831*O831</x:f>
        <x:v>5.22</x:v>
      </x:c>
      <x:c r="Q831" s="35" t="n">
        <x:v>1.2</x:v>
      </x:c>
      <x:c r="R831" s="35" t="n">
        <x:f>K831*Q831</x:f>
        <x:v>1.2</x:v>
      </x:c>
      <x:c r="S831" s="35" t="n">
        <x:f>XLOOKUP(H831,'菜品主数据'!$A$5:$A$24,'菜品主数据'!$G$5:$G$24,0)</x:f>
        <x:v>10.231000000000002</x:v>
      </x:c>
      <x:c r="T831" s="35" t="n">
        <x:f>K831*S831</x:f>
        <x:v>10.231000000000002</x:v>
      </x:c>
      <x:c r="U831" s="35" t="n">
        <x:f>L831-N831-P831-R831-T831</x:f>
        <x:v>10.029</x:v>
      </x:c>
      <x:c r="V831" s="21" t="n">
        <x:f>IFERROR(U831/L831,0)</x:f>
        <x:v>0.3458275862068966</x:v>
      </x:c>
    </x:row>
    <x:row r="832">
      <x:c r="A832" s="19" t="str">
        <x:v>SALE-00828</x:v>
      </x:c>
      <x:c r="B832" s="34" t="n">
        <x:v>46216.5</x:v>
      </x:c>
      <x:c r="C832" s="19" t="str">
        <x:v>周一</x:v>
      </x:c>
      <x:c r="D832" s="19" t="str">
        <x:v>S03</x:v>
      </x:c>
      <x:c r="E832" s="19" t="str">
        <x:v>铂悦城店</x:v>
      </x:c>
      <x:c r="F832" s="19" t="str">
        <x:v>外卖</x:v>
      </x:c>
      <x:c r="G832" s="19" t="str">
        <x:v>全日</x:v>
      </x:c>
      <x:c r="H832" s="19" t="str">
        <x:v>D08</x:v>
      </x:c>
      <x:c r="I832" s="19" t="str">
        <x:v>生炒清远鸡</x:v>
      </x:c>
      <x:c r="J832" s="22" t="n">
        <x:f>XLOOKUP(H832,'菜品主数据'!$A$5:$A$24,'菜品主数据'!$D$5:$D$24,0)</x:f>
        <x:v>36</x:v>
      </x:c>
      <x:c r="K832" s="31" t="n">
        <x:v>1</x:v>
      </x:c>
      <x:c r="L832" s="35" t="n">
        <x:f>J832*K832</x:f>
        <x:v>36</x:v>
      </x:c>
      <x:c r="M832" s="36" t="n">
        <x:v>0.08</x:v>
      </x:c>
      <x:c r="N832" s="35" t="n">
        <x:f>L832*M832</x:f>
        <x:v>2.88</x:v>
      </x:c>
      <x:c r="O832" s="37" t="n">
        <x:v>0.18</x:v>
      </x:c>
      <x:c r="P832" s="35" t="n">
        <x:f>L832*O832</x:f>
        <x:v>6.4799999999999995</x:v>
      </x:c>
      <x:c r="Q832" s="35" t="n">
        <x:v>1.2</x:v>
      </x:c>
      <x:c r="R832" s="35" t="n">
        <x:f>K832*Q832</x:f>
        <x:v>1.2</x:v>
      </x:c>
      <x:c r="S832" s="35" t="n">
        <x:f>XLOOKUP(H832,'菜品主数据'!$A$5:$A$24,'菜品主数据'!$G$5:$G$24,0)</x:f>
        <x:v>13.48</x:v>
      </x:c>
      <x:c r="T832" s="35" t="n">
        <x:f>K832*S832</x:f>
        <x:v>13.48</x:v>
      </x:c>
      <x:c r="U832" s="35" t="n">
        <x:f>L832-N832-P832-R832-T832</x:f>
        <x:v>11.959999999999997</x:v>
      </x:c>
      <x:c r="V832" s="21" t="n">
        <x:f>IFERROR(U832/L832,0)</x:f>
        <x:v>0.33222222222222214</x:v>
      </x:c>
    </x:row>
    <x:row r="833">
      <x:c r="A833" s="19" t="str">
        <x:v>SALE-00829</x:v>
      </x:c>
      <x:c r="B833" s="34" t="n">
        <x:v>46216.5</x:v>
      </x:c>
      <x:c r="C833" s="19" t="str">
        <x:v>周一</x:v>
      </x:c>
      <x:c r="D833" s="19" t="str">
        <x:v>S03</x:v>
      </x:c>
      <x:c r="E833" s="19" t="str">
        <x:v>铂悦城店</x:v>
      </x:c>
      <x:c r="F833" s="19" t="str">
        <x:v>外卖</x:v>
      </x:c>
      <x:c r="G833" s="19" t="str">
        <x:v>全日</x:v>
      </x:c>
      <x:c r="H833" s="19" t="str">
        <x:v>D09</x:v>
      </x:c>
      <x:c r="I833" s="19" t="str">
        <x:v>炒豆干</x:v>
      </x:c>
      <x:c r="J833" s="22" t="n">
        <x:f>XLOOKUP(H833,'菜品主数据'!$A$5:$A$24,'菜品主数据'!$D$5:$D$24,0)</x:f>
        <x:v>18</x:v>
      </x:c>
      <x:c r="K833" s="31" t="n">
        <x:v>1</x:v>
      </x:c>
      <x:c r="L833" s="35" t="n">
        <x:f>J833*K833</x:f>
        <x:v>18</x:v>
      </x:c>
      <x:c r="M833" s="36" t="n">
        <x:v>0.08</x:v>
      </x:c>
      <x:c r="N833" s="35" t="n">
        <x:f>L833*M833</x:f>
        <x:v>1.44</x:v>
      </x:c>
      <x:c r="O833" s="37" t="n">
        <x:v>0.18</x:v>
      </x:c>
      <x:c r="P833" s="35" t="n">
        <x:f>L833*O833</x:f>
        <x:v>3.2399999999999998</x:v>
      </x:c>
      <x:c r="Q833" s="35" t="n">
        <x:v>1.2</x:v>
      </x:c>
      <x:c r="R833" s="35" t="n">
        <x:f>K833*Q833</x:f>
        <x:v>1.2</x:v>
      </x:c>
      <x:c r="S833" s="35" t="n">
        <x:f>XLOOKUP(H833,'菜品主数据'!$A$5:$A$24,'菜品主数据'!$G$5:$G$24,0)</x:f>
        <x:v>6.613999999999999</x:v>
      </x:c>
      <x:c r="T833" s="35" t="n">
        <x:f>K833*S833</x:f>
        <x:v>6.613999999999999</x:v>
      </x:c>
      <x:c r="U833" s="35" t="n">
        <x:f>L833-N833-P833-R833-T833</x:f>
        <x:v>5.506</x:v>
      </x:c>
      <x:c r="V833" s="21" t="n">
        <x:f>IFERROR(U833/L833,0)</x:f>
        <x:v>0.3058888888888889</x:v>
      </x:c>
    </x:row>
    <x:row r="834">
      <x:c r="A834" s="19" t="str">
        <x:v>SALE-00830</x:v>
      </x:c>
      <x:c r="B834" s="34" t="n">
        <x:v>46216.5</x:v>
      </x:c>
      <x:c r="C834" s="19" t="str">
        <x:v>周一</x:v>
      </x:c>
      <x:c r="D834" s="19" t="str">
        <x:v>S03</x:v>
      </x:c>
      <x:c r="E834" s="19" t="str">
        <x:v>铂悦城店</x:v>
      </x:c>
      <x:c r="F834" s="19" t="str">
        <x:v>外卖</x:v>
      </x:c>
      <x:c r="G834" s="19" t="str">
        <x:v>全日</x:v>
      </x:c>
      <x:c r="H834" s="19" t="str">
        <x:v>D10</x:v>
      </x:c>
      <x:c r="I834" s="19" t="str">
        <x:v>农家一碗香</x:v>
      </x:c>
      <x:c r="J834" s="22" t="n">
        <x:f>XLOOKUP(H834,'菜品主数据'!$A$5:$A$24,'菜品主数据'!$D$5:$D$24,0)</x:f>
        <x:v>22.9</x:v>
      </x:c>
      <x:c r="K834" s="31" t="n">
        <x:v>2</x:v>
      </x:c>
      <x:c r="L834" s="35" t="n">
        <x:f>J834*K834</x:f>
        <x:v>45.8</x:v>
      </x:c>
      <x:c r="M834" s="36" t="n">
        <x:v>0.08</x:v>
      </x:c>
      <x:c r="N834" s="35" t="n">
        <x:f>L834*M834</x:f>
        <x:v>3.6639999999999997</x:v>
      </x:c>
      <x:c r="O834" s="37" t="n">
        <x:v>0.18</x:v>
      </x:c>
      <x:c r="P834" s="35" t="n">
        <x:f>L834*O834</x:f>
        <x:v>8.244</x:v>
      </x:c>
      <x:c r="Q834" s="35" t="n">
        <x:v>1.2</x:v>
      </x:c>
      <x:c r="R834" s="35" t="n">
        <x:f>K834*Q834</x:f>
        <x:v>2.4</x:v>
      </x:c>
      <x:c r="S834" s="35" t="n">
        <x:f>XLOOKUP(H834,'菜品主数据'!$A$5:$A$24,'菜品主数据'!$G$5:$G$24,0)</x:f>
        <x:v>9.770200000000003</x:v>
      </x:c>
      <x:c r="T834" s="35" t="n">
        <x:f>K834*S834</x:f>
        <x:v>19.540400000000005</x:v>
      </x:c>
      <x:c r="U834" s="35" t="n">
        <x:f>L834-N834-P834-R834-T834</x:f>
        <x:v>11.951599999999992</x:v>
      </x:c>
      <x:c r="V834" s="21" t="n">
        <x:f>IFERROR(U834/L834,0)</x:f>
        <x:v>0.260951965065502</x:v>
      </x:c>
    </x:row>
    <x:row r="835">
      <x:c r="A835" s="19" t="str">
        <x:v>SALE-00831</x:v>
      </x:c>
      <x:c r="B835" s="34" t="n">
        <x:v>46216.5</x:v>
      </x:c>
      <x:c r="C835" s="19" t="str">
        <x:v>周一</x:v>
      </x:c>
      <x:c r="D835" s="19" t="str">
        <x:v>S03</x:v>
      </x:c>
      <x:c r="E835" s="19" t="str">
        <x:v>铂悦城店</x:v>
      </x:c>
      <x:c r="F835" s="19" t="str">
        <x:v>外卖</x:v>
      </x:c>
      <x:c r="G835" s="19" t="str">
        <x:v>全日</x:v>
      </x:c>
      <x:c r="H835" s="19" t="str">
        <x:v>D11</x:v>
      </x:c>
      <x:c r="I835" s="19" t="str">
        <x:v>香辣爆肥肠</x:v>
      </x:c>
      <x:c r="J835" s="22" t="n">
        <x:f>XLOOKUP(H835,'菜品主数据'!$A$5:$A$24,'菜品主数据'!$D$5:$D$24,0)</x:f>
        <x:v>39</x:v>
      </x:c>
      <x:c r="K835" s="31" t="n">
        <x:v>0</x:v>
      </x:c>
      <x:c r="L835" s="35" t="n">
        <x:f>J835*K835</x:f>
        <x:v>0</x:v>
      </x:c>
      <x:c r="M835" s="36" t="n">
        <x:v>0.08</x:v>
      </x:c>
      <x:c r="N835" s="35" t="n">
        <x:f>L835*M835</x:f>
        <x:v>0</x:v>
      </x:c>
      <x:c r="O835" s="37" t="n">
        <x:v>0.18</x:v>
      </x:c>
      <x:c r="P835" s="35" t="n">
        <x:f>L835*O835</x:f>
        <x:v>0</x:v>
      </x:c>
      <x:c r="Q835" s="35" t="n">
        <x:v>1.2</x:v>
      </x:c>
      <x:c r="R835" s="35" t="n">
        <x:f>K835*Q835</x:f>
        <x:v>0</x:v>
      </x:c>
      <x:c r="S835" s="35" t="n">
        <x:f>XLOOKUP(H835,'菜品主数据'!$A$5:$A$24,'菜品主数据'!$G$5:$G$24,0)</x:f>
        <x:v>10.397</x:v>
      </x:c>
      <x:c r="T835" s="35" t="n">
        <x:f>K835*S835</x:f>
        <x:v>0</x:v>
      </x:c>
      <x:c r="U835" s="35" t="n">
        <x:f>L835-N835-P835-R835-T835</x:f>
        <x:v>0</x:v>
      </x:c>
      <x:c r="V835" s="21" t="n">
        <x:f>IFERROR(U835/L835,0)</x:f>
        <x:v>0</x:v>
      </x:c>
    </x:row>
    <x:row r="836">
      <x:c r="A836" s="19" t="str">
        <x:v>SALE-00832</x:v>
      </x:c>
      <x:c r="B836" s="34" t="n">
        <x:v>46216.5</x:v>
      </x:c>
      <x:c r="C836" s="19" t="str">
        <x:v>周一</x:v>
      </x:c>
      <x:c r="D836" s="19" t="str">
        <x:v>S03</x:v>
      </x:c>
      <x:c r="E836" s="19" t="str">
        <x:v>铂悦城店</x:v>
      </x:c>
      <x:c r="F836" s="19" t="str">
        <x:v>外卖</x:v>
      </x:c>
      <x:c r="G836" s="19" t="str">
        <x:v>全日</x:v>
      </x:c>
      <x:c r="H836" s="19" t="str">
        <x:v>D12</x:v>
      </x:c>
      <x:c r="I836" s="19" t="str">
        <x:v>清蒸鲈鱼</x:v>
      </x:c>
      <x:c r="J836" s="22" t="n">
        <x:f>XLOOKUP(H836,'菜品主数据'!$A$5:$A$24,'菜品主数据'!$D$5:$D$24,0)</x:f>
        <x:v>39</x:v>
      </x:c>
      <x:c r="K836" s="31" t="n">
        <x:v>0</x:v>
      </x:c>
      <x:c r="L836" s="35" t="n">
        <x:f>J836*K836</x:f>
        <x:v>0</x:v>
      </x:c>
      <x:c r="M836" s="36" t="n">
        <x:v>0.08</x:v>
      </x:c>
      <x:c r="N836" s="35" t="n">
        <x:f>L836*M836</x:f>
        <x:v>0</x:v>
      </x:c>
      <x:c r="O836" s="37" t="n">
        <x:v>0.18</x:v>
      </x:c>
      <x:c r="P836" s="35" t="n">
        <x:f>L836*O836</x:f>
        <x:v>0</x:v>
      </x:c>
      <x:c r="Q836" s="35" t="n">
        <x:v>1.2</x:v>
      </x:c>
      <x:c r="R836" s="35" t="n">
        <x:f>K836*Q836</x:f>
        <x:v>0</x:v>
      </x:c>
      <x:c r="S836" s="35" t="n">
        <x:f>XLOOKUP(H836,'菜品主数据'!$A$5:$A$24,'菜品主数据'!$G$5:$G$24,0)</x:f>
        <x:v>18.874</x:v>
      </x:c>
      <x:c r="T836" s="35" t="n">
        <x:f>K836*S836</x:f>
        <x:v>0</x:v>
      </x:c>
      <x:c r="U836" s="35" t="n">
        <x:f>L836-N836-P836-R836-T836</x:f>
        <x:v>0</x:v>
      </x:c>
      <x:c r="V836" s="21" t="n">
        <x:f>IFERROR(U836/L836,0)</x:f>
        <x:v>0</x:v>
      </x:c>
    </x:row>
    <x:row r="837">
      <x:c r="A837" s="19" t="str">
        <x:v>SALE-00833</x:v>
      </x:c>
      <x:c r="B837" s="34" t="n">
        <x:v>46216.5</x:v>
      </x:c>
      <x:c r="C837" s="19" t="str">
        <x:v>周一</x:v>
      </x:c>
      <x:c r="D837" s="19" t="str">
        <x:v>S03</x:v>
      </x:c>
      <x:c r="E837" s="19" t="str">
        <x:v>铂悦城店</x:v>
      </x:c>
      <x:c r="F837" s="19" t="str">
        <x:v>外卖</x:v>
      </x:c>
      <x:c r="G837" s="19" t="str">
        <x:v>全日</x:v>
      </x:c>
      <x:c r="H837" s="19" t="str">
        <x:v>D13</x:v>
      </x:c>
      <x:c r="I837" s="19" t="str">
        <x:v>外婆菜炒蛋</x:v>
      </x:c>
      <x:c r="J837" s="22" t="n">
        <x:f>XLOOKUP(H837,'菜品主数据'!$A$5:$A$24,'菜品主数据'!$D$5:$D$24,0)</x:f>
        <x:v>18</x:v>
      </x:c>
      <x:c r="K837" s="31" t="n">
        <x:v>1</x:v>
      </x:c>
      <x:c r="L837" s="35" t="n">
        <x:f>J837*K837</x:f>
        <x:v>18</x:v>
      </x:c>
      <x:c r="M837" s="36" t="n">
        <x:v>0.08</x:v>
      </x:c>
      <x:c r="N837" s="35" t="n">
        <x:f>L837*M837</x:f>
        <x:v>1.44</x:v>
      </x:c>
      <x:c r="O837" s="37" t="n">
        <x:v>0.18</x:v>
      </x:c>
      <x:c r="P837" s="35" t="n">
        <x:f>L837*O837</x:f>
        <x:v>3.2399999999999998</x:v>
      </x:c>
      <x:c r="Q837" s="35" t="n">
        <x:v>1.2</x:v>
      </x:c>
      <x:c r="R837" s="35" t="n">
        <x:f>K837*Q837</x:f>
        <x:v>1.2</x:v>
      </x:c>
      <x:c r="S837" s="35" t="n">
        <x:f>XLOOKUP(H837,'菜品主数据'!$A$5:$A$24,'菜品主数据'!$G$5:$G$24,0)</x:f>
        <x:v>5.403999999999999</x:v>
      </x:c>
      <x:c r="T837" s="35" t="n">
        <x:f>K837*S837</x:f>
        <x:v>5.403999999999999</x:v>
      </x:c>
      <x:c r="U837" s="35" t="n">
        <x:f>L837-N837-P837-R837-T837</x:f>
        <x:v>6.716</x:v>
      </x:c>
      <x:c r="V837" s="21" t="n">
        <x:f>IFERROR(U837/L837,0)</x:f>
        <x:v>0.3731111111111111</x:v>
      </x:c>
    </x:row>
    <x:row r="838">
      <x:c r="A838" s="19" t="str">
        <x:v>SALE-00834</x:v>
      </x:c>
      <x:c r="B838" s="34" t="n">
        <x:v>46216.5</x:v>
      </x:c>
      <x:c r="C838" s="19" t="str">
        <x:v>周一</x:v>
      </x:c>
      <x:c r="D838" s="19" t="str">
        <x:v>S03</x:v>
      </x:c>
      <x:c r="E838" s="19" t="str">
        <x:v>铂悦城店</x:v>
      </x:c>
      <x:c r="F838" s="19" t="str">
        <x:v>外卖</x:v>
      </x:c>
      <x:c r="G838" s="19" t="str">
        <x:v>全日</x:v>
      </x:c>
      <x:c r="H838" s="19" t="str">
        <x:v>D14</x:v>
      </x:c>
      <x:c r="I838" s="19" t="str">
        <x:v>酸辣鸡杂</x:v>
      </x:c>
      <x:c r="J838" s="22" t="n">
        <x:f>XLOOKUP(H838,'菜品主数据'!$A$5:$A$24,'菜品主数据'!$D$5:$D$24,0)</x:f>
        <x:v>28</x:v>
      </x:c>
      <x:c r="K838" s="31" t="n">
        <x:v>1</x:v>
      </x:c>
      <x:c r="L838" s="35" t="n">
        <x:f>J838*K838</x:f>
        <x:v>28</x:v>
      </x:c>
      <x:c r="M838" s="36" t="n">
        <x:v>0.08</x:v>
      </x:c>
      <x:c r="N838" s="35" t="n">
        <x:f>L838*M838</x:f>
        <x:v>2.24</x:v>
      </x:c>
      <x:c r="O838" s="37" t="n">
        <x:v>0.18</x:v>
      </x:c>
      <x:c r="P838" s="35" t="n">
        <x:f>L838*O838</x:f>
        <x:v>5.04</x:v>
      </x:c>
      <x:c r="Q838" s="35" t="n">
        <x:v>1.2</x:v>
      </x:c>
      <x:c r="R838" s="35" t="n">
        <x:f>K838*Q838</x:f>
        <x:v>1.2</x:v>
      </x:c>
      <x:c r="S838" s="35" t="n">
        <x:f>XLOOKUP(H838,'菜品主数据'!$A$5:$A$24,'菜品主数据'!$G$5:$G$24,0)</x:f>
        <x:v>8.315000000000001</x:v>
      </x:c>
      <x:c r="T838" s="35" t="n">
        <x:f>K838*S838</x:f>
        <x:v>8.315000000000001</x:v>
      </x:c>
      <x:c r="U838" s="35" t="n">
        <x:f>L838-N838-P838-R838-T838</x:f>
        <x:v>11.204999999999998</x:v>
      </x:c>
      <x:c r="V838" s="21" t="n">
        <x:f>IFERROR(U838/L838,0)</x:f>
        <x:v>0.4001785714285714</x:v>
      </x:c>
    </x:row>
    <x:row r="839">
      <x:c r="A839" s="19" t="str">
        <x:v>SALE-00835</x:v>
      </x:c>
      <x:c r="B839" s="34" t="n">
        <x:v>46216.5</x:v>
      </x:c>
      <x:c r="C839" s="19" t="str">
        <x:v>周一</x:v>
      </x:c>
      <x:c r="D839" s="19" t="str">
        <x:v>S03</x:v>
      </x:c>
      <x:c r="E839" s="19" t="str">
        <x:v>铂悦城店</x:v>
      </x:c>
      <x:c r="F839" s="19" t="str">
        <x:v>外卖</x:v>
      </x:c>
      <x:c r="G839" s="19" t="str">
        <x:v>全日</x:v>
      </x:c>
      <x:c r="H839" s="19" t="str">
        <x:v>D15</x:v>
      </x:c>
      <x:c r="I839" s="19" t="str">
        <x:v>湘西土匪猪肝</x:v>
      </x:c>
      <x:c r="J839" s="22" t="n">
        <x:f>XLOOKUP(H839,'菜品主数据'!$A$5:$A$24,'菜品主数据'!$D$5:$D$24,0)</x:f>
        <x:v>26</x:v>
      </x:c>
      <x:c r="K839" s="31" t="n">
        <x:v>1</x:v>
      </x:c>
      <x:c r="L839" s="35" t="n">
        <x:f>J839*K839</x:f>
        <x:v>26</x:v>
      </x:c>
      <x:c r="M839" s="36" t="n">
        <x:v>0.08</x:v>
      </x:c>
      <x:c r="N839" s="35" t="n">
        <x:f>L839*M839</x:f>
        <x:v>2.08</x:v>
      </x:c>
      <x:c r="O839" s="37" t="n">
        <x:v>0.18</x:v>
      </x:c>
      <x:c r="P839" s="35" t="n">
        <x:f>L839*O839</x:f>
        <x:v>4.68</x:v>
      </x:c>
      <x:c r="Q839" s="35" t="n">
        <x:v>1.2</x:v>
      </x:c>
      <x:c r="R839" s="35" t="n">
        <x:f>K839*Q839</x:f>
        <x:v>1.2</x:v>
      </x:c>
      <x:c r="S839" s="35" t="n">
        <x:f>XLOOKUP(H839,'菜品主数据'!$A$5:$A$24,'菜品主数据'!$G$5:$G$24,0)</x:f>
        <x:v>6.3759999999999994</x:v>
      </x:c>
      <x:c r="T839" s="35" t="n">
        <x:f>K839*S839</x:f>
        <x:v>6.3759999999999994</x:v>
      </x:c>
      <x:c r="U839" s="35" t="n">
        <x:f>L839-N839-P839-R839-T839</x:f>
        <x:v>11.664000000000003</x:v>
      </x:c>
      <x:c r="V839" s="21" t="n">
        <x:f>IFERROR(U839/L839,0)</x:f>
        <x:v>0.44861538461538475</x:v>
      </x:c>
    </x:row>
    <x:row r="840">
      <x:c r="A840" s="19" t="str">
        <x:v>SALE-00836</x:v>
      </x:c>
      <x:c r="B840" s="34" t="n">
        <x:v>46216.5</x:v>
      </x:c>
      <x:c r="C840" s="19" t="str">
        <x:v>周一</x:v>
      </x:c>
      <x:c r="D840" s="19" t="str">
        <x:v>S03</x:v>
      </x:c>
      <x:c r="E840" s="19" t="str">
        <x:v>铂悦城店</x:v>
      </x:c>
      <x:c r="F840" s="19" t="str">
        <x:v>外卖</x:v>
      </x:c>
      <x:c r="G840" s="19" t="str">
        <x:v>全日</x:v>
      </x:c>
      <x:c r="H840" s="19" t="str">
        <x:v>D16</x:v>
      </x:c>
      <x:c r="I840" s="19" t="str">
        <x:v>小豆角炒五花</x:v>
      </x:c>
      <x:c r="J840" s="22" t="n">
        <x:f>XLOOKUP(H840,'菜品主数据'!$A$5:$A$24,'菜品主数据'!$D$5:$D$24,0)</x:f>
        <x:v>25</x:v>
      </x:c>
      <x:c r="K840" s="31" t="n">
        <x:v>0</x:v>
      </x:c>
      <x:c r="L840" s="35" t="n">
        <x:f>J840*K840</x:f>
        <x:v>0</x:v>
      </x:c>
      <x:c r="M840" s="36" t="n">
        <x:v>0.08</x:v>
      </x:c>
      <x:c r="N840" s="35" t="n">
        <x:f>L840*M840</x:f>
        <x:v>0</x:v>
      </x:c>
      <x:c r="O840" s="37" t="n">
        <x:v>0.18</x:v>
      </x:c>
      <x:c r="P840" s="35" t="n">
        <x:f>L840*O840</x:f>
        <x:v>0</x:v>
      </x:c>
      <x:c r="Q840" s="35" t="n">
        <x:v>1.2</x:v>
      </x:c>
      <x:c r="R840" s="35" t="n">
        <x:f>K840*Q840</x:f>
        <x:v>0</x:v>
      </x:c>
      <x:c r="S840" s="35" t="n">
        <x:f>XLOOKUP(H840,'菜品主数据'!$A$5:$A$24,'菜品主数据'!$G$5:$G$24,0)</x:f>
        <x:v>8.184</x:v>
      </x:c>
      <x:c r="T840" s="35" t="n">
        <x:f>K840*S840</x:f>
        <x:v>0</x:v>
      </x:c>
      <x:c r="U840" s="35" t="n">
        <x:f>L840-N840-P840-R840-T840</x:f>
        <x:v>0</x:v>
      </x:c>
      <x:c r="V840" s="21" t="n">
        <x:f>IFERROR(U840/L840,0)</x:f>
        <x:v>0</x:v>
      </x:c>
    </x:row>
    <x:row r="841">
      <x:c r="A841" s="19" t="str">
        <x:v>SALE-00837</x:v>
      </x:c>
      <x:c r="B841" s="34" t="n">
        <x:v>46216.5</x:v>
      </x:c>
      <x:c r="C841" s="19" t="str">
        <x:v>周一</x:v>
      </x:c>
      <x:c r="D841" s="19" t="str">
        <x:v>S03</x:v>
      </x:c>
      <x:c r="E841" s="19" t="str">
        <x:v>铂悦城店</x:v>
      </x:c>
      <x:c r="F841" s="19" t="str">
        <x:v>外卖</x:v>
      </x:c>
      <x:c r="G841" s="19" t="str">
        <x:v>全日</x:v>
      </x:c>
      <x:c r="H841" s="19" t="str">
        <x:v>D17</x:v>
      </x:c>
      <x:c r="I841" s="19" t="str">
        <x:v>蒜蓉粉丝虾</x:v>
      </x:c>
      <x:c r="J841" s="22" t="n">
        <x:f>XLOOKUP(H841,'菜品主数据'!$A$5:$A$24,'菜品主数据'!$D$5:$D$24,0)</x:f>
        <x:v>36</x:v>
      </x:c>
      <x:c r="K841" s="31" t="n">
        <x:v>0</x:v>
      </x:c>
      <x:c r="L841" s="35" t="n">
        <x:f>J841*K841</x:f>
        <x:v>0</x:v>
      </x:c>
      <x:c r="M841" s="36" t="n">
        <x:v>0.08</x:v>
      </x:c>
      <x:c r="N841" s="35" t="n">
        <x:f>L841*M841</x:f>
        <x:v>0</x:v>
      </x:c>
      <x:c r="O841" s="37" t="n">
        <x:v>0.18</x:v>
      </x:c>
      <x:c r="P841" s="35" t="n">
        <x:f>L841*O841</x:f>
        <x:v>0</x:v>
      </x:c>
      <x:c r="Q841" s="35" t="n">
        <x:v>1.2</x:v>
      </x:c>
      <x:c r="R841" s="35" t="n">
        <x:f>K841*Q841</x:f>
        <x:v>0</x:v>
      </x:c>
      <x:c r="S841" s="35" t="n">
        <x:f>XLOOKUP(H841,'菜品主数据'!$A$5:$A$24,'菜品主数据'!$G$5:$G$24,0)</x:f>
        <x:v>13.594</x:v>
      </x:c>
      <x:c r="T841" s="35" t="n">
        <x:f>K841*S841</x:f>
        <x:v>0</x:v>
      </x:c>
      <x:c r="U841" s="35" t="n">
        <x:f>L841-N841-P841-R841-T841</x:f>
        <x:v>0</x:v>
      </x:c>
      <x:c r="V841" s="21" t="n">
        <x:f>IFERROR(U841/L841,0)</x:f>
        <x:v>0</x:v>
      </x:c>
    </x:row>
    <x:row r="842">
      <x:c r="A842" s="19" t="str">
        <x:v>SALE-00838</x:v>
      </x:c>
      <x:c r="B842" s="34" t="n">
        <x:v>46216.5</x:v>
      </x:c>
      <x:c r="C842" s="19" t="str">
        <x:v>周一</x:v>
      </x:c>
      <x:c r="D842" s="19" t="str">
        <x:v>S03</x:v>
      </x:c>
      <x:c r="E842" s="19" t="str">
        <x:v>铂悦城店</x:v>
      </x:c>
      <x:c r="F842" s="19" t="str">
        <x:v>外卖</x:v>
      </x:c>
      <x:c r="G842" s="19" t="str">
        <x:v>全日</x:v>
      </x:c>
      <x:c r="H842" s="19" t="str">
        <x:v>D18</x:v>
      </x:c>
      <x:c r="I842" s="19" t="str">
        <x:v>青椒炒油麦菜</x:v>
      </x:c>
      <x:c r="J842" s="22" t="n">
        <x:f>XLOOKUP(H842,'菜品主数据'!$A$5:$A$24,'菜品主数据'!$D$5:$D$24,0)</x:f>
        <x:v>18</x:v>
      </x:c>
      <x:c r="K842" s="31" t="n">
        <x:v>0</x:v>
      </x:c>
      <x:c r="L842" s="35" t="n">
        <x:f>J842*K842</x:f>
        <x:v>0</x:v>
      </x:c>
      <x:c r="M842" s="36" t="n">
        <x:v>0.08</x:v>
      </x:c>
      <x:c r="N842" s="35" t="n">
        <x:f>L842*M842</x:f>
        <x:v>0</x:v>
      </x:c>
      <x:c r="O842" s="37" t="n">
        <x:v>0.18</x:v>
      </x:c>
      <x:c r="P842" s="35" t="n">
        <x:f>L842*O842</x:f>
        <x:v>0</x:v>
      </x:c>
      <x:c r="Q842" s="35" t="n">
        <x:v>1.2</x:v>
      </x:c>
      <x:c r="R842" s="35" t="n">
        <x:f>K842*Q842</x:f>
        <x:v>0</x:v>
      </x:c>
      <x:c r="S842" s="35" t="n">
        <x:f>XLOOKUP(H842,'菜品主数据'!$A$5:$A$24,'菜品主数据'!$G$5:$G$24,0)</x:f>
        <x:v>3.1759999999999993</x:v>
      </x:c>
      <x:c r="T842" s="35" t="n">
        <x:f>K842*S842</x:f>
        <x:v>0</x:v>
      </x:c>
      <x:c r="U842" s="35" t="n">
        <x:f>L842-N842-P842-R842-T842</x:f>
        <x:v>0</x:v>
      </x:c>
      <x:c r="V842" s="21" t="n">
        <x:f>IFERROR(U842/L842,0)</x:f>
        <x:v>0</x:v>
      </x:c>
    </x:row>
    <x:row r="843">
      <x:c r="A843" s="19" t="str">
        <x:v>SALE-00839</x:v>
      </x:c>
      <x:c r="B843" s="34" t="n">
        <x:v>46216.5</x:v>
      </x:c>
      <x:c r="C843" s="19" t="str">
        <x:v>周一</x:v>
      </x:c>
      <x:c r="D843" s="19" t="str">
        <x:v>S03</x:v>
      </x:c>
      <x:c r="E843" s="19" t="str">
        <x:v>铂悦城店</x:v>
      </x:c>
      <x:c r="F843" s="19" t="str">
        <x:v>外卖</x:v>
      </x:c>
      <x:c r="G843" s="19" t="str">
        <x:v>全日</x:v>
      </x:c>
      <x:c r="H843" s="19" t="str">
        <x:v>D19</x:v>
      </x:c>
      <x:c r="I843" s="19" t="str">
        <x:v>酸萝卜炒鸡杂</x:v>
      </x:c>
      <x:c r="J843" s="22" t="n">
        <x:f>XLOOKUP(H843,'菜品主数据'!$A$5:$A$24,'菜品主数据'!$D$5:$D$24,0)</x:f>
        <x:v>25</x:v>
      </x:c>
      <x:c r="K843" s="31" t="n">
        <x:v>0</x:v>
      </x:c>
      <x:c r="L843" s="35" t="n">
        <x:f>J843*K843</x:f>
        <x:v>0</x:v>
      </x:c>
      <x:c r="M843" s="36" t="n">
        <x:v>0.08</x:v>
      </x:c>
      <x:c r="N843" s="35" t="n">
        <x:f>L843*M843</x:f>
        <x:v>0</x:v>
      </x:c>
      <x:c r="O843" s="37" t="n">
        <x:v>0.18</x:v>
      </x:c>
      <x:c r="P843" s="35" t="n">
        <x:f>L843*O843</x:f>
        <x:v>0</x:v>
      </x:c>
      <x:c r="Q843" s="35" t="n">
        <x:v>1.2</x:v>
      </x:c>
      <x:c r="R843" s="35" t="n">
        <x:f>K843*Q843</x:f>
        <x:v>0</x:v>
      </x:c>
      <x:c r="S843" s="35" t="n">
        <x:f>XLOOKUP(H843,'菜品主数据'!$A$5:$A$24,'菜品主数据'!$G$5:$G$24,0)</x:f>
        <x:v>7.9399999999999995</x:v>
      </x:c>
      <x:c r="T843" s="35" t="n">
        <x:f>K843*S843</x:f>
        <x:v>0</x:v>
      </x:c>
      <x:c r="U843" s="35" t="n">
        <x:f>L843-N843-P843-R843-T843</x:f>
        <x:v>0</x:v>
      </x:c>
      <x:c r="V843" s="21" t="n">
        <x:f>IFERROR(U843/L843,0)</x:f>
        <x:v>0</x:v>
      </x:c>
    </x:row>
    <x:row r="844">
      <x:c r="A844" s="19" t="str">
        <x:v>SALE-00840</x:v>
      </x:c>
      <x:c r="B844" s="34" t="n">
        <x:v>46216.5</x:v>
      </x:c>
      <x:c r="C844" s="19" t="str">
        <x:v>周一</x:v>
      </x:c>
      <x:c r="D844" s="19" t="str">
        <x:v>S03</x:v>
      </x:c>
      <x:c r="E844" s="19" t="str">
        <x:v>铂悦城店</x:v>
      </x:c>
      <x:c r="F844" s="19" t="str">
        <x:v>外卖</x:v>
      </x:c>
      <x:c r="G844" s="19" t="str">
        <x:v>全日</x:v>
      </x:c>
      <x:c r="H844" s="19" t="str">
        <x:v>D20</x:v>
      </x:c>
      <x:c r="I844" s="19" t="str">
        <x:v>雪菜肉末青豆</x:v>
      </x:c>
      <x:c r="J844" s="22" t="n">
        <x:f>XLOOKUP(H844,'菜品主数据'!$A$5:$A$24,'菜品主数据'!$D$5:$D$24,0)</x:f>
        <x:v>18</x:v>
      </x:c>
      <x:c r="K844" s="31" t="n">
        <x:v>1</x:v>
      </x:c>
      <x:c r="L844" s="35" t="n">
        <x:f>J844*K844</x:f>
        <x:v>18</x:v>
      </x:c>
      <x:c r="M844" s="36" t="n">
        <x:v>0.08</x:v>
      </x:c>
      <x:c r="N844" s="35" t="n">
        <x:f>L844*M844</x:f>
        <x:v>1.44</x:v>
      </x:c>
      <x:c r="O844" s="37" t="n">
        <x:v>0.18</x:v>
      </x:c>
      <x:c r="P844" s="35" t="n">
        <x:f>L844*O844</x:f>
        <x:v>3.2399999999999998</x:v>
      </x:c>
      <x:c r="Q844" s="35" t="n">
        <x:v>1.2</x:v>
      </x:c>
      <x:c r="R844" s="35" t="n">
        <x:f>K844*Q844</x:f>
        <x:v>1.2</x:v>
      </x:c>
      <x:c r="S844" s="35" t="n">
        <x:f>XLOOKUP(H844,'菜品主数据'!$A$5:$A$24,'菜品主数据'!$G$5:$G$24,0)</x:f>
        <x:v>7.303999999999999</x:v>
      </x:c>
      <x:c r="T844" s="35" t="n">
        <x:f>K844*S844</x:f>
        <x:v>7.303999999999999</x:v>
      </x:c>
      <x:c r="U844" s="35" t="n">
        <x:f>L844-N844-P844-R844-T844</x:f>
        <x:v>4.816</x:v>
      </x:c>
      <x:c r="V844" s="21" t="n">
        <x:f>IFERROR(U844/L844,0)</x:f>
        <x:v>0.26755555555555555</x:v>
      </x:c>
    </x:row>
    <x:row r="845">
      <x:c r="A845" s="19" t="str">
        <x:v>SALE-00841</x:v>
      </x:c>
      <x:c r="B845" s="34" t="n">
        <x:v>46210.5</x:v>
      </x:c>
      <x:c r="C845" s="19" t="str">
        <x:v>周二</x:v>
      </x:c>
      <x:c r="D845" s="19" t="str">
        <x:v>S04</x:v>
      </x:c>
      <x:c r="E845" s="19" t="str">
        <x:v>金街美地店</x:v>
      </x:c>
      <x:c r="F845" s="19" t="str">
        <x:v>堂食</x:v>
      </x:c>
      <x:c r="G845" s="19" t="str">
        <x:v>全日</x:v>
      </x:c>
      <x:c r="H845" s="19" t="str">
        <x:v>D01</x:v>
      </x:c>
      <x:c r="I845" s="19" t="str">
        <x:v>辣椒炒肉</x:v>
      </x:c>
      <x:c r="J845" s="22" t="n">
        <x:f>XLOOKUP(H845,'菜品主数据'!$A$5:$A$24,'菜品主数据'!$D$5:$D$24,0)</x:f>
        <x:v>29</x:v>
      </x:c>
      <x:c r="K845" s="31" t="n">
        <x:v>45</x:v>
      </x:c>
      <x:c r="L845" s="35" t="n">
        <x:f>J845*K845</x:f>
        <x:v>1305</x:v>
      </x:c>
      <x:c r="M845" s="36" t="n">
        <x:v>0</x:v>
      </x:c>
      <x:c r="N845" s="35" t="n">
        <x:f>L845*M845</x:f>
        <x:v>0</x:v>
      </x:c>
      <x:c r="O845" s="37" t="n">
        <x:v>0</x:v>
      </x:c>
      <x:c r="P845" s="35" t="n">
        <x:f>L845*O845</x:f>
        <x:v>0</x:v>
      </x:c>
      <x:c r="Q845" s="35" t="n">
        <x:v>0</x:v>
      </x:c>
      <x:c r="R845" s="35" t="n">
        <x:f>K845*Q845</x:f>
        <x:v>0</x:v>
      </x:c>
      <x:c r="S845" s="35" t="n">
        <x:f>XLOOKUP(H845,'菜品主数据'!$A$5:$A$24,'菜品主数据'!$G$5:$G$24,0)</x:f>
        <x:v>8.634400000000001</x:v>
      </x:c>
      <x:c r="T845" s="35" t="n">
        <x:f>K845*S845</x:f>
        <x:v>388.54800000000006</x:v>
      </x:c>
      <x:c r="U845" s="35" t="n">
        <x:f>L845-N845-P845-R845-T845</x:f>
        <x:v>916.452</x:v>
      </x:c>
      <x:c r="V845" s="21" t="n">
        <x:f>IFERROR(U845/L845,0)</x:f>
        <x:v>0.7022620689655172</x:v>
      </x:c>
    </x:row>
    <x:row r="846">
      <x:c r="A846" s="19" t="str">
        <x:v>SALE-00842</x:v>
      </x:c>
      <x:c r="B846" s="34" t="n">
        <x:v>46210.5</x:v>
      </x:c>
      <x:c r="C846" s="19" t="str">
        <x:v>周二</x:v>
      </x:c>
      <x:c r="D846" s="19" t="str">
        <x:v>S04</x:v>
      </x:c>
      <x:c r="E846" s="19" t="str">
        <x:v>金街美地店</x:v>
      </x:c>
      <x:c r="F846" s="19" t="str">
        <x:v>堂食</x:v>
      </x:c>
      <x:c r="G846" s="19" t="str">
        <x:v>全日</x:v>
      </x:c>
      <x:c r="H846" s="19" t="str">
        <x:v>D02</x:v>
      </x:c>
      <x:c r="I846" s="19" t="str">
        <x:v>小炒黄牛肉</x:v>
      </x:c>
      <x:c r="J846" s="22" t="n">
        <x:f>XLOOKUP(H846,'菜品主数据'!$A$5:$A$24,'菜品主数据'!$D$5:$D$24,0)</x:f>
        <x:v>49</x:v>
      </x:c>
      <x:c r="K846" s="31" t="n">
        <x:v>26</x:v>
      </x:c>
      <x:c r="L846" s="35" t="n">
        <x:f>J846*K846</x:f>
        <x:v>1274</x:v>
      </x:c>
      <x:c r="M846" s="36" t="n">
        <x:v>0</x:v>
      </x:c>
      <x:c r="N846" s="35" t="n">
        <x:f>L846*M846</x:f>
        <x:v>0</x:v>
      </x:c>
      <x:c r="O846" s="37" t="n">
        <x:v>0</x:v>
      </x:c>
      <x:c r="P846" s="35" t="n">
        <x:f>L846*O846</x:f>
        <x:v>0</x:v>
      </x:c>
      <x:c r="Q846" s="35" t="n">
        <x:v>0</x:v>
      </x:c>
      <x:c r="R846" s="35" t="n">
        <x:f>K846*Q846</x:f>
        <x:v>0</x:v>
      </x:c>
      <x:c r="S846" s="35" t="n">
        <x:f>XLOOKUP(H846,'菜品主数据'!$A$5:$A$24,'菜品主数据'!$G$5:$G$24,0)</x:f>
        <x:v>17.577</x:v>
      </x:c>
      <x:c r="T846" s="35" t="n">
        <x:f>K846*S846</x:f>
        <x:v>457.00200000000007</x:v>
      </x:c>
      <x:c r="U846" s="35" t="n">
        <x:f>L846-N846-P846-R846-T846</x:f>
        <x:v>816.9979999999999</x:v>
      </x:c>
      <x:c r="V846" s="21" t="n">
        <x:f>IFERROR(U846/L846,0)</x:f>
        <x:v>0.6412857142857142</x:v>
      </x:c>
    </x:row>
    <x:row r="847">
      <x:c r="A847" s="19" t="str">
        <x:v>SALE-00843</x:v>
      </x:c>
      <x:c r="B847" s="34" t="n">
        <x:v>46210.5</x:v>
      </x:c>
      <x:c r="C847" s="19" t="str">
        <x:v>周二</x:v>
      </x:c>
      <x:c r="D847" s="19" t="str">
        <x:v>S04</x:v>
      </x:c>
      <x:c r="E847" s="19" t="str">
        <x:v>金街美地店</x:v>
      </x:c>
      <x:c r="F847" s="19" t="str">
        <x:v>堂食</x:v>
      </x:c>
      <x:c r="G847" s="19" t="str">
        <x:v>全日</x:v>
      </x:c>
      <x:c r="H847" s="19" t="str">
        <x:v>D03</x:v>
      </x:c>
      <x:c r="I847" s="19" t="str">
        <x:v>香醋炒蛋</x:v>
      </x:c>
      <x:c r="J847" s="22" t="n">
        <x:f>XLOOKUP(H847,'菜品主数据'!$A$5:$A$24,'菜品主数据'!$D$5:$D$24,0)</x:f>
        <x:v>14.9</x:v>
      </x:c>
      <x:c r="K847" s="31" t="n">
        <x:v>36</x:v>
      </x:c>
      <x:c r="L847" s="35" t="n">
        <x:f>J847*K847</x:f>
        <x:v>536.4</x:v>
      </x:c>
      <x:c r="M847" s="36" t="n">
        <x:v>0</x:v>
      </x:c>
      <x:c r="N847" s="35" t="n">
        <x:f>L847*M847</x:f>
        <x:v>0</x:v>
      </x:c>
      <x:c r="O847" s="37" t="n">
        <x:v>0</x:v>
      </x:c>
      <x:c r="P847" s="35" t="n">
        <x:f>L847*O847</x:f>
        <x:v>0</x:v>
      </x:c>
      <x:c r="Q847" s="35" t="n">
        <x:v>0</x:v>
      </x:c>
      <x:c r="R847" s="35" t="n">
        <x:f>K847*Q847</x:f>
        <x:v>0</x:v>
      </x:c>
      <x:c r="S847" s="35" t="n">
        <x:f>XLOOKUP(H847,'菜品主数据'!$A$5:$A$24,'菜品主数据'!$G$5:$G$24,0)</x:f>
        <x:v>3.7459999999999996</x:v>
      </x:c>
      <x:c r="T847" s="35" t="n">
        <x:f>K847*S847</x:f>
        <x:v>134.856</x:v>
      </x:c>
      <x:c r="U847" s="35" t="n">
        <x:f>L847-N847-P847-R847-T847</x:f>
        <x:v>401.544</x:v>
      </x:c>
      <x:c r="V847" s="21" t="n">
        <x:f>IFERROR(U847/L847,0)</x:f>
        <x:v>0.7485906040268456</x:v>
      </x:c>
    </x:row>
    <x:row r="848">
      <x:c r="A848" s="19" t="str">
        <x:v>SALE-00844</x:v>
      </x:c>
      <x:c r="B848" s="34" t="n">
        <x:v>46210.5</x:v>
      </x:c>
      <x:c r="C848" s="19" t="str">
        <x:v>周二</x:v>
      </x:c>
      <x:c r="D848" s="19" t="str">
        <x:v>S04</x:v>
      </x:c>
      <x:c r="E848" s="19" t="str">
        <x:v>金街美地店</x:v>
      </x:c>
      <x:c r="F848" s="19" t="str">
        <x:v>堂食</x:v>
      </x:c>
      <x:c r="G848" s="19" t="str">
        <x:v>全日</x:v>
      </x:c>
      <x:c r="H848" s="19" t="str">
        <x:v>D04</x:v>
      </x:c>
      <x:c r="I848" s="19" t="str">
        <x:v>酸包菜炒粉皮</x:v>
      </x:c>
      <x:c r="J848" s="22" t="n">
        <x:f>XLOOKUP(H848,'菜品主数据'!$A$5:$A$24,'菜品主数据'!$D$5:$D$24,0)</x:f>
        <x:v>16</x:v>
      </x:c>
      <x:c r="K848" s="31" t="n">
        <x:v>36</x:v>
      </x:c>
      <x:c r="L848" s="35" t="n">
        <x:f>J848*K848</x:f>
        <x:v>576</x:v>
      </x:c>
      <x:c r="M848" s="36" t="n">
        <x:v>0</x:v>
      </x:c>
      <x:c r="N848" s="35" t="n">
        <x:f>L848*M848</x:f>
        <x:v>0</x:v>
      </x:c>
      <x:c r="O848" s="37" t="n">
        <x:v>0</x:v>
      </x:c>
      <x:c r="P848" s="35" t="n">
        <x:f>L848*O848</x:f>
        <x:v>0</x:v>
      </x:c>
      <x:c r="Q848" s="35" t="n">
        <x:v>0</x:v>
      </x:c>
      <x:c r="R848" s="35" t="n">
        <x:f>K848*Q848</x:f>
        <x:v>0</x:v>
      </x:c>
      <x:c r="S848" s="35" t="n">
        <x:f>XLOOKUP(H848,'菜品主数据'!$A$5:$A$24,'菜品主数据'!$G$5:$G$24,0)</x:f>
        <x:v>3.978</x:v>
      </x:c>
      <x:c r="T848" s="35" t="n">
        <x:f>K848*S848</x:f>
        <x:v>143.208</x:v>
      </x:c>
      <x:c r="U848" s="35" t="n">
        <x:f>L848-N848-P848-R848-T848</x:f>
        <x:v>432.79200000000003</x:v>
      </x:c>
      <x:c r="V848" s="21" t="n">
        <x:f>IFERROR(U848/L848,0)</x:f>
        <x:v>0.751375</x:v>
      </x:c>
    </x:row>
    <x:row r="849">
      <x:c r="A849" s="19" t="str">
        <x:v>SALE-00845</x:v>
      </x:c>
      <x:c r="B849" s="34" t="n">
        <x:v>46210.5</x:v>
      </x:c>
      <x:c r="C849" s="19" t="str">
        <x:v>周二</x:v>
      </x:c>
      <x:c r="D849" s="19" t="str">
        <x:v>S04</x:v>
      </x:c>
      <x:c r="E849" s="19" t="str">
        <x:v>金街美地店</x:v>
      </x:c>
      <x:c r="F849" s="19" t="str">
        <x:v>堂食</x:v>
      </x:c>
      <x:c r="G849" s="19" t="str">
        <x:v>全日</x:v>
      </x:c>
      <x:c r="H849" s="19" t="str">
        <x:v>D05</x:v>
      </x:c>
      <x:c r="I849" s="19" t="str">
        <x:v>麻婆豆腐</x:v>
      </x:c>
      <x:c r="J849" s="22" t="n">
        <x:f>XLOOKUP(H849,'菜品主数据'!$A$5:$A$24,'菜品主数据'!$D$5:$D$24,0)</x:f>
        <x:v>9.9</x:v>
      </x:c>
      <x:c r="K849" s="31" t="n">
        <x:v>48</x:v>
      </x:c>
      <x:c r="L849" s="35" t="n">
        <x:f>J849*K849</x:f>
        <x:v>475.20000000000005</x:v>
      </x:c>
      <x:c r="M849" s="36" t="n">
        <x:v>0</x:v>
      </x:c>
      <x:c r="N849" s="35" t="n">
        <x:f>L849*M849</x:f>
        <x:v>0</x:v>
      </x:c>
      <x:c r="O849" s="37" t="n">
        <x:v>0</x:v>
      </x:c>
      <x:c r="P849" s="35" t="n">
        <x:f>L849*O849</x:f>
        <x:v>0</x:v>
      </x:c>
      <x:c r="Q849" s="35" t="n">
        <x:v>0</x:v>
      </x:c>
      <x:c r="R849" s="35" t="n">
        <x:f>K849*Q849</x:f>
        <x:v>0</x:v>
      </x:c>
      <x:c r="S849" s="35" t="n">
        <x:f>XLOOKUP(H849,'菜品主数据'!$A$5:$A$24,'菜品主数据'!$G$5:$G$24,0)</x:f>
        <x:v>5.367000000000001</x:v>
      </x:c>
      <x:c r="T849" s="35" t="n">
        <x:f>K849*S849</x:f>
        <x:v>257.61600000000004</x:v>
      </x:c>
      <x:c r="U849" s="35" t="n">
        <x:f>L849-N849-P849-R849-T849</x:f>
        <x:v>217.584</x:v>
      </x:c>
      <x:c r="V849" s="21" t="n">
        <x:f>IFERROR(U849/L849,0)</x:f>
        <x:v>0.45787878787878783</x:v>
      </x:c>
    </x:row>
    <x:row r="850">
      <x:c r="A850" s="19" t="str">
        <x:v>SALE-00846</x:v>
      </x:c>
      <x:c r="B850" s="34" t="n">
        <x:v>46210.5</x:v>
      </x:c>
      <x:c r="C850" s="19" t="str">
        <x:v>周二</x:v>
      </x:c>
      <x:c r="D850" s="19" t="str">
        <x:v>S04</x:v>
      </x:c>
      <x:c r="E850" s="19" t="str">
        <x:v>金街美地店</x:v>
      </x:c>
      <x:c r="F850" s="19" t="str">
        <x:v>堂食</x:v>
      </x:c>
      <x:c r="G850" s="19" t="str">
        <x:v>全日</x:v>
      </x:c>
      <x:c r="H850" s="19" t="str">
        <x:v>D06</x:v>
      </x:c>
      <x:c r="I850" s="19" t="str">
        <x:v>剁椒鱼头</x:v>
      </x:c>
      <x:c r="J850" s="22" t="n">
        <x:f>XLOOKUP(H850,'菜品主数据'!$A$5:$A$24,'菜品主数据'!$D$5:$D$24,0)</x:f>
        <x:v>39</x:v>
      </x:c>
      <x:c r="K850" s="31" t="n">
        <x:v>12</x:v>
      </x:c>
      <x:c r="L850" s="35" t="n">
        <x:f>J850*K850</x:f>
        <x:v>468</x:v>
      </x:c>
      <x:c r="M850" s="36" t="n">
        <x:v>0</x:v>
      </x:c>
      <x:c r="N850" s="35" t="n">
        <x:f>L850*M850</x:f>
        <x:v>0</x:v>
      </x:c>
      <x:c r="O850" s="37" t="n">
        <x:v>0</x:v>
      </x:c>
      <x:c r="P850" s="35" t="n">
        <x:f>L850*O850</x:f>
        <x:v>0</x:v>
      </x:c>
      <x:c r="Q850" s="35" t="n">
        <x:v>0</x:v>
      </x:c>
      <x:c r="R850" s="35" t="n">
        <x:f>K850*Q850</x:f>
        <x:v>0</x:v>
      </x:c>
      <x:c r="S850" s="35" t="n">
        <x:f>XLOOKUP(H850,'菜品主数据'!$A$5:$A$24,'菜品主数据'!$G$5:$G$24,0)</x:f>
        <x:v>17.446</x:v>
      </x:c>
      <x:c r="T850" s="35" t="n">
        <x:f>K850*S850</x:f>
        <x:v>209.35200000000003</x:v>
      </x:c>
      <x:c r="U850" s="35" t="n">
        <x:f>L850-N850-P850-R850-T850</x:f>
        <x:v>258.64799999999997</x:v>
      </x:c>
      <x:c r="V850" s="21" t="n">
        <x:f>IFERROR(U850/L850,0)</x:f>
        <x:v>0.5526666666666666</x:v>
      </x:c>
    </x:row>
    <x:row r="851">
      <x:c r="A851" s="19" t="str">
        <x:v>SALE-00847</x:v>
      </x:c>
      <x:c r="B851" s="34" t="n">
        <x:v>46210.5</x:v>
      </x:c>
      <x:c r="C851" s="19" t="str">
        <x:v>周二</x:v>
      </x:c>
      <x:c r="D851" s="19" t="str">
        <x:v>S04</x:v>
      </x:c>
      <x:c r="E851" s="19" t="str">
        <x:v>金街美地店</x:v>
      </x:c>
      <x:c r="F851" s="19" t="str">
        <x:v>堂食</x:v>
      </x:c>
      <x:c r="G851" s="19" t="str">
        <x:v>全日</x:v>
      </x:c>
      <x:c r="H851" s="19" t="str">
        <x:v>D07</x:v>
      </x:c>
      <x:c r="I851" s="19" t="str">
        <x:v>川味回锅肉</x:v>
      </x:c>
      <x:c r="J851" s="22" t="n">
        <x:f>XLOOKUP(H851,'菜品主数据'!$A$5:$A$24,'菜品主数据'!$D$5:$D$24,0)</x:f>
        <x:v>29</x:v>
      </x:c>
      <x:c r="K851" s="31" t="n">
        <x:v>15</x:v>
      </x:c>
      <x:c r="L851" s="35" t="n">
        <x:f>J851*K851</x:f>
        <x:v>435</x:v>
      </x:c>
      <x:c r="M851" s="36" t="n">
        <x:v>0</x:v>
      </x:c>
      <x:c r="N851" s="35" t="n">
        <x:f>L851*M851</x:f>
        <x:v>0</x:v>
      </x:c>
      <x:c r="O851" s="37" t="n">
        <x:v>0</x:v>
      </x:c>
      <x:c r="P851" s="35" t="n">
        <x:f>L851*O851</x:f>
        <x:v>0</x:v>
      </x:c>
      <x:c r="Q851" s="35" t="n">
        <x:v>0</x:v>
      </x:c>
      <x:c r="R851" s="35" t="n">
        <x:f>K851*Q851</x:f>
        <x:v>0</x:v>
      </x:c>
      <x:c r="S851" s="35" t="n">
        <x:f>XLOOKUP(H851,'菜品主数据'!$A$5:$A$24,'菜品主数据'!$G$5:$G$24,0)</x:f>
        <x:v>10.231000000000002</x:v>
      </x:c>
      <x:c r="T851" s="35" t="n">
        <x:f>K851*S851</x:f>
        <x:v>153.46500000000003</x:v>
      </x:c>
      <x:c r="U851" s="35" t="n">
        <x:f>L851-N851-P851-R851-T851</x:f>
        <x:v>281.53499999999997</x:v>
      </x:c>
      <x:c r="V851" s="21" t="n">
        <x:f>IFERROR(U851/L851,0)</x:f>
        <x:v>0.647206896551724</x:v>
      </x:c>
    </x:row>
    <x:row r="852">
      <x:c r="A852" s="19" t="str">
        <x:v>SALE-00848</x:v>
      </x:c>
      <x:c r="B852" s="34" t="n">
        <x:v>46210.5</x:v>
      </x:c>
      <x:c r="C852" s="19" t="str">
        <x:v>周二</x:v>
      </x:c>
      <x:c r="D852" s="19" t="str">
        <x:v>S04</x:v>
      </x:c>
      <x:c r="E852" s="19" t="str">
        <x:v>金街美地店</x:v>
      </x:c>
      <x:c r="F852" s="19" t="str">
        <x:v>堂食</x:v>
      </x:c>
      <x:c r="G852" s="19" t="str">
        <x:v>全日</x:v>
      </x:c>
      <x:c r="H852" s="19" t="str">
        <x:v>D08</x:v>
      </x:c>
      <x:c r="I852" s="19" t="str">
        <x:v>生炒清远鸡</x:v>
      </x:c>
      <x:c r="J852" s="22" t="n">
        <x:f>XLOOKUP(H852,'菜品主数据'!$A$5:$A$24,'菜品主数据'!$D$5:$D$24,0)</x:f>
        <x:v>36</x:v>
      </x:c>
      <x:c r="K852" s="31" t="n">
        <x:v>11</x:v>
      </x:c>
      <x:c r="L852" s="35" t="n">
        <x:f>J852*K852</x:f>
        <x:v>396</x:v>
      </x:c>
      <x:c r="M852" s="36" t="n">
        <x:v>0</x:v>
      </x:c>
      <x:c r="N852" s="35" t="n">
        <x:f>L852*M852</x:f>
        <x:v>0</x:v>
      </x:c>
      <x:c r="O852" s="37" t="n">
        <x:v>0</x:v>
      </x:c>
      <x:c r="P852" s="35" t="n">
        <x:f>L852*O852</x:f>
        <x:v>0</x:v>
      </x:c>
      <x:c r="Q852" s="35" t="n">
        <x:v>0</x:v>
      </x:c>
      <x:c r="R852" s="35" t="n">
        <x:f>K852*Q852</x:f>
        <x:v>0</x:v>
      </x:c>
      <x:c r="S852" s="35" t="n">
        <x:f>XLOOKUP(H852,'菜品主数据'!$A$5:$A$24,'菜品主数据'!$G$5:$G$24,0)</x:f>
        <x:v>13.48</x:v>
      </x:c>
      <x:c r="T852" s="35" t="n">
        <x:f>K852*S852</x:f>
        <x:v>148.28</x:v>
      </x:c>
      <x:c r="U852" s="35" t="n">
        <x:f>L852-N852-P852-R852-T852</x:f>
        <x:v>247.72</x:v>
      </x:c>
      <x:c r="V852" s="21" t="n">
        <x:f>IFERROR(U852/L852,0)</x:f>
        <x:v>0.6255555555555555</x:v>
      </x:c>
    </x:row>
    <x:row r="853">
      <x:c r="A853" s="19" t="str">
        <x:v>SALE-00849</x:v>
      </x:c>
      <x:c r="B853" s="34" t="n">
        <x:v>46210.5</x:v>
      </x:c>
      <x:c r="C853" s="19" t="str">
        <x:v>周二</x:v>
      </x:c>
      <x:c r="D853" s="19" t="str">
        <x:v>S04</x:v>
      </x:c>
      <x:c r="E853" s="19" t="str">
        <x:v>金街美地店</x:v>
      </x:c>
      <x:c r="F853" s="19" t="str">
        <x:v>堂食</x:v>
      </x:c>
      <x:c r="G853" s="19" t="str">
        <x:v>全日</x:v>
      </x:c>
      <x:c r="H853" s="19" t="str">
        <x:v>D09</x:v>
      </x:c>
      <x:c r="I853" s="19" t="str">
        <x:v>炒豆干</x:v>
      </x:c>
      <x:c r="J853" s="22" t="n">
        <x:f>XLOOKUP(H853,'菜品主数据'!$A$5:$A$24,'菜品主数据'!$D$5:$D$24,0)</x:f>
        <x:v>18</x:v>
      </x:c>
      <x:c r="K853" s="31" t="n">
        <x:v>17</x:v>
      </x:c>
      <x:c r="L853" s="35" t="n">
        <x:f>J853*K853</x:f>
        <x:v>306</x:v>
      </x:c>
      <x:c r="M853" s="36" t="n">
        <x:v>0</x:v>
      </x:c>
      <x:c r="N853" s="35" t="n">
        <x:f>L853*M853</x:f>
        <x:v>0</x:v>
      </x:c>
      <x:c r="O853" s="37" t="n">
        <x:v>0</x:v>
      </x:c>
      <x:c r="P853" s="35" t="n">
        <x:f>L853*O853</x:f>
        <x:v>0</x:v>
      </x:c>
      <x:c r="Q853" s="35" t="n">
        <x:v>0</x:v>
      </x:c>
      <x:c r="R853" s="35" t="n">
        <x:f>K853*Q853</x:f>
        <x:v>0</x:v>
      </x:c>
      <x:c r="S853" s="35" t="n">
        <x:f>XLOOKUP(H853,'菜品主数据'!$A$5:$A$24,'菜品主数据'!$G$5:$G$24,0)</x:f>
        <x:v>6.613999999999999</x:v>
      </x:c>
      <x:c r="T853" s="35" t="n">
        <x:f>K853*S853</x:f>
        <x:v>112.43799999999999</x:v>
      </x:c>
      <x:c r="U853" s="35" t="n">
        <x:f>L853-N853-P853-R853-T853</x:f>
        <x:v>193.562</x:v>
      </x:c>
      <x:c r="V853" s="21" t="n">
        <x:f>IFERROR(U853/L853,0)</x:f>
        <x:v>0.6325555555555556</x:v>
      </x:c>
    </x:row>
    <x:row r="854">
      <x:c r="A854" s="19" t="str">
        <x:v>SALE-00850</x:v>
      </x:c>
      <x:c r="B854" s="34" t="n">
        <x:v>46210.5</x:v>
      </x:c>
      <x:c r="C854" s="19" t="str">
        <x:v>周二</x:v>
      </x:c>
      <x:c r="D854" s="19" t="str">
        <x:v>S04</x:v>
      </x:c>
      <x:c r="E854" s="19" t="str">
        <x:v>金街美地店</x:v>
      </x:c>
      <x:c r="F854" s="19" t="str">
        <x:v>堂食</x:v>
      </x:c>
      <x:c r="G854" s="19" t="str">
        <x:v>全日</x:v>
      </x:c>
      <x:c r="H854" s="19" t="str">
        <x:v>D10</x:v>
      </x:c>
      <x:c r="I854" s="19" t="str">
        <x:v>农家一碗香</x:v>
      </x:c>
      <x:c r="J854" s="22" t="n">
        <x:f>XLOOKUP(H854,'菜品主数据'!$A$5:$A$24,'菜品主数据'!$D$5:$D$24,0)</x:f>
        <x:v>22.9</x:v>
      </x:c>
      <x:c r="K854" s="31" t="n">
        <x:v>17</x:v>
      </x:c>
      <x:c r="L854" s="35" t="n">
        <x:f>J854*K854</x:f>
        <x:v>389.29999999999995</x:v>
      </x:c>
      <x:c r="M854" s="36" t="n">
        <x:v>0</x:v>
      </x:c>
      <x:c r="N854" s="35" t="n">
        <x:f>L854*M854</x:f>
        <x:v>0</x:v>
      </x:c>
      <x:c r="O854" s="37" t="n">
        <x:v>0</x:v>
      </x:c>
      <x:c r="P854" s="35" t="n">
        <x:f>L854*O854</x:f>
        <x:v>0</x:v>
      </x:c>
      <x:c r="Q854" s="35" t="n">
        <x:v>0</x:v>
      </x:c>
      <x:c r="R854" s="35" t="n">
        <x:f>K854*Q854</x:f>
        <x:v>0</x:v>
      </x:c>
      <x:c r="S854" s="35" t="n">
        <x:f>XLOOKUP(H854,'菜品主数据'!$A$5:$A$24,'菜品主数据'!$G$5:$G$24,0)</x:f>
        <x:v>9.770200000000003</x:v>
      </x:c>
      <x:c r="T854" s="35" t="n">
        <x:f>K854*S854</x:f>
        <x:v>166.09340000000003</x:v>
      </x:c>
      <x:c r="U854" s="35" t="n">
        <x:f>L854-N854-P854-R854-T854</x:f>
        <x:v>223.20659999999992</x:v>
      </x:c>
      <x:c r="V854" s="21" t="n">
        <x:f>IFERROR(U854/L854,0)</x:f>
        <x:v>0.5733537117903929</x:v>
      </x:c>
    </x:row>
    <x:row r="855">
      <x:c r="A855" s="19" t="str">
        <x:v>SALE-00851</x:v>
      </x:c>
      <x:c r="B855" s="34" t="n">
        <x:v>46210.5</x:v>
      </x:c>
      <x:c r="C855" s="19" t="str">
        <x:v>周二</x:v>
      </x:c>
      <x:c r="D855" s="19" t="str">
        <x:v>S04</x:v>
      </x:c>
      <x:c r="E855" s="19" t="str">
        <x:v>金街美地店</x:v>
      </x:c>
      <x:c r="F855" s="19" t="str">
        <x:v>堂食</x:v>
      </x:c>
      <x:c r="G855" s="19" t="str">
        <x:v>全日</x:v>
      </x:c>
      <x:c r="H855" s="19" t="str">
        <x:v>D11</x:v>
      </x:c>
      <x:c r="I855" s="19" t="str">
        <x:v>香辣爆肥肠</x:v>
      </x:c>
      <x:c r="J855" s="22" t="n">
        <x:f>XLOOKUP(H855,'菜品主数据'!$A$5:$A$24,'菜品主数据'!$D$5:$D$24,0)</x:f>
        <x:v>39</x:v>
      </x:c>
      <x:c r="K855" s="31" t="n">
        <x:v>7</x:v>
      </x:c>
      <x:c r="L855" s="35" t="n">
        <x:f>J855*K855</x:f>
        <x:v>273</x:v>
      </x:c>
      <x:c r="M855" s="36" t="n">
        <x:v>0</x:v>
      </x:c>
      <x:c r="N855" s="35" t="n">
        <x:f>L855*M855</x:f>
        <x:v>0</x:v>
      </x:c>
      <x:c r="O855" s="37" t="n">
        <x:v>0</x:v>
      </x:c>
      <x:c r="P855" s="35" t="n">
        <x:f>L855*O855</x:f>
        <x:v>0</x:v>
      </x:c>
      <x:c r="Q855" s="35" t="n">
        <x:v>0</x:v>
      </x:c>
      <x:c r="R855" s="35" t="n">
        <x:f>K855*Q855</x:f>
        <x:v>0</x:v>
      </x:c>
      <x:c r="S855" s="35" t="n">
        <x:f>XLOOKUP(H855,'菜品主数据'!$A$5:$A$24,'菜品主数据'!$G$5:$G$24,0)</x:f>
        <x:v>10.397</x:v>
      </x:c>
      <x:c r="T855" s="35" t="n">
        <x:f>K855*S855</x:f>
        <x:v>72.779</x:v>
      </x:c>
      <x:c r="U855" s="35" t="n">
        <x:f>L855-N855-P855-R855-T855</x:f>
        <x:v>200.221</x:v>
      </x:c>
      <x:c r="V855" s="21" t="n">
        <x:f>IFERROR(U855/L855,0)</x:f>
        <x:v>0.7334102564102565</x:v>
      </x:c>
    </x:row>
    <x:row r="856">
      <x:c r="A856" s="19" t="str">
        <x:v>SALE-00852</x:v>
      </x:c>
      <x:c r="B856" s="34" t="n">
        <x:v>46210.5</x:v>
      </x:c>
      <x:c r="C856" s="19" t="str">
        <x:v>周二</x:v>
      </x:c>
      <x:c r="D856" s="19" t="str">
        <x:v>S04</x:v>
      </x:c>
      <x:c r="E856" s="19" t="str">
        <x:v>金街美地店</x:v>
      </x:c>
      <x:c r="F856" s="19" t="str">
        <x:v>堂食</x:v>
      </x:c>
      <x:c r="G856" s="19" t="str">
        <x:v>全日</x:v>
      </x:c>
      <x:c r="H856" s="19" t="str">
        <x:v>D12</x:v>
      </x:c>
      <x:c r="I856" s="19" t="str">
        <x:v>清蒸鲈鱼</x:v>
      </x:c>
      <x:c r="J856" s="22" t="n">
        <x:f>XLOOKUP(H856,'菜品主数据'!$A$5:$A$24,'菜品主数据'!$D$5:$D$24,0)</x:f>
        <x:v>39</x:v>
      </x:c>
      <x:c r="K856" s="31" t="n">
        <x:v>7</x:v>
      </x:c>
      <x:c r="L856" s="35" t="n">
        <x:f>J856*K856</x:f>
        <x:v>273</x:v>
      </x:c>
      <x:c r="M856" s="36" t="n">
        <x:v>0</x:v>
      </x:c>
      <x:c r="N856" s="35" t="n">
        <x:f>L856*M856</x:f>
        <x:v>0</x:v>
      </x:c>
      <x:c r="O856" s="37" t="n">
        <x:v>0</x:v>
      </x:c>
      <x:c r="P856" s="35" t="n">
        <x:f>L856*O856</x:f>
        <x:v>0</x:v>
      </x:c>
      <x:c r="Q856" s="35" t="n">
        <x:v>0</x:v>
      </x:c>
      <x:c r="R856" s="35" t="n">
        <x:f>K856*Q856</x:f>
        <x:v>0</x:v>
      </x:c>
      <x:c r="S856" s="35" t="n">
        <x:f>XLOOKUP(H856,'菜品主数据'!$A$5:$A$24,'菜品主数据'!$G$5:$G$24,0)</x:f>
        <x:v>18.874</x:v>
      </x:c>
      <x:c r="T856" s="35" t="n">
        <x:f>K856*S856</x:f>
        <x:v>132.118</x:v>
      </x:c>
      <x:c r="U856" s="35" t="n">
        <x:f>L856-N856-P856-R856-T856</x:f>
        <x:v>140.882</x:v>
      </x:c>
      <x:c r="V856" s="21" t="n">
        <x:f>IFERROR(U856/L856,0)</x:f>
        <x:v>0.516051282051282</x:v>
      </x:c>
    </x:row>
    <x:row r="857">
      <x:c r="A857" s="19" t="str">
        <x:v>SALE-00853</x:v>
      </x:c>
      <x:c r="B857" s="34" t="n">
        <x:v>46210.5</x:v>
      </x:c>
      <x:c r="C857" s="19" t="str">
        <x:v>周二</x:v>
      </x:c>
      <x:c r="D857" s="19" t="str">
        <x:v>S04</x:v>
      </x:c>
      <x:c r="E857" s="19" t="str">
        <x:v>金街美地店</x:v>
      </x:c>
      <x:c r="F857" s="19" t="str">
        <x:v>堂食</x:v>
      </x:c>
      <x:c r="G857" s="19" t="str">
        <x:v>全日</x:v>
      </x:c>
      <x:c r="H857" s="19" t="str">
        <x:v>D13</x:v>
      </x:c>
      <x:c r="I857" s="19" t="str">
        <x:v>外婆菜炒蛋</x:v>
      </x:c>
      <x:c r="J857" s="22" t="n">
        <x:f>XLOOKUP(H857,'菜品主数据'!$A$5:$A$24,'菜品主数据'!$D$5:$D$24,0)</x:f>
        <x:v>18</x:v>
      </x:c>
      <x:c r="K857" s="31" t="n">
        <x:v>17</x:v>
      </x:c>
      <x:c r="L857" s="35" t="n">
        <x:f>J857*K857</x:f>
        <x:v>306</x:v>
      </x:c>
      <x:c r="M857" s="36" t="n">
        <x:v>0</x:v>
      </x:c>
      <x:c r="N857" s="35" t="n">
        <x:f>L857*M857</x:f>
        <x:v>0</x:v>
      </x:c>
      <x:c r="O857" s="37" t="n">
        <x:v>0</x:v>
      </x:c>
      <x:c r="P857" s="35" t="n">
        <x:f>L857*O857</x:f>
        <x:v>0</x:v>
      </x:c>
      <x:c r="Q857" s="35" t="n">
        <x:v>0</x:v>
      </x:c>
      <x:c r="R857" s="35" t="n">
        <x:f>K857*Q857</x:f>
        <x:v>0</x:v>
      </x:c>
      <x:c r="S857" s="35" t="n">
        <x:f>XLOOKUP(H857,'菜品主数据'!$A$5:$A$24,'菜品主数据'!$G$5:$G$24,0)</x:f>
        <x:v>5.403999999999999</x:v>
      </x:c>
      <x:c r="T857" s="35" t="n">
        <x:f>K857*S857</x:f>
        <x:v>91.86799999999998</x:v>
      </x:c>
      <x:c r="U857" s="35" t="n">
        <x:f>L857-N857-P857-R857-T857</x:f>
        <x:v>214.132</x:v>
      </x:c>
      <x:c r="V857" s="21" t="n">
        <x:f>IFERROR(U857/L857,0)</x:f>
        <x:v>0.6997777777777778</x:v>
      </x:c>
    </x:row>
    <x:row r="858">
      <x:c r="A858" s="19" t="str">
        <x:v>SALE-00854</x:v>
      </x:c>
      <x:c r="B858" s="34" t="n">
        <x:v>46210.5</x:v>
      </x:c>
      <x:c r="C858" s="19" t="str">
        <x:v>周二</x:v>
      </x:c>
      <x:c r="D858" s="19" t="str">
        <x:v>S04</x:v>
      </x:c>
      <x:c r="E858" s="19" t="str">
        <x:v>金街美地店</x:v>
      </x:c>
      <x:c r="F858" s="19" t="str">
        <x:v>堂食</x:v>
      </x:c>
      <x:c r="G858" s="19" t="str">
        <x:v>全日</x:v>
      </x:c>
      <x:c r="H858" s="19" t="str">
        <x:v>D14</x:v>
      </x:c>
      <x:c r="I858" s="19" t="str">
        <x:v>酸辣鸡杂</x:v>
      </x:c>
      <x:c r="J858" s="22" t="n">
        <x:f>XLOOKUP(H858,'菜品主数据'!$A$5:$A$24,'菜品主数据'!$D$5:$D$24,0)</x:f>
        <x:v>28</x:v>
      </x:c>
      <x:c r="K858" s="31" t="n">
        <x:v>9</x:v>
      </x:c>
      <x:c r="L858" s="35" t="n">
        <x:f>J858*K858</x:f>
        <x:v>252</x:v>
      </x:c>
      <x:c r="M858" s="36" t="n">
        <x:v>0</x:v>
      </x:c>
      <x:c r="N858" s="35" t="n">
        <x:f>L858*M858</x:f>
        <x:v>0</x:v>
      </x:c>
      <x:c r="O858" s="37" t="n">
        <x:v>0</x:v>
      </x:c>
      <x:c r="P858" s="35" t="n">
        <x:f>L858*O858</x:f>
        <x:v>0</x:v>
      </x:c>
      <x:c r="Q858" s="35" t="n">
        <x:v>0</x:v>
      </x:c>
      <x:c r="R858" s="35" t="n">
        <x:f>K858*Q858</x:f>
        <x:v>0</x:v>
      </x:c>
      <x:c r="S858" s="35" t="n">
        <x:f>XLOOKUP(H858,'菜品主数据'!$A$5:$A$24,'菜品主数据'!$G$5:$G$24,0)</x:f>
        <x:v>8.315000000000001</x:v>
      </x:c>
      <x:c r="T858" s="35" t="n">
        <x:f>K858*S858</x:f>
        <x:v>74.83500000000001</x:v>
      </x:c>
      <x:c r="U858" s="35" t="n">
        <x:f>L858-N858-P858-R858-T858</x:f>
        <x:v>177.165</x:v>
      </x:c>
      <x:c r="V858" s="21" t="n">
        <x:f>IFERROR(U858/L858,0)</x:f>
        <x:v>0.7030357142857142</x:v>
      </x:c>
    </x:row>
    <x:row r="859">
      <x:c r="A859" s="19" t="str">
        <x:v>SALE-00855</x:v>
      </x:c>
      <x:c r="B859" s="34" t="n">
        <x:v>46210.5</x:v>
      </x:c>
      <x:c r="C859" s="19" t="str">
        <x:v>周二</x:v>
      </x:c>
      <x:c r="D859" s="19" t="str">
        <x:v>S04</x:v>
      </x:c>
      <x:c r="E859" s="19" t="str">
        <x:v>金街美地店</x:v>
      </x:c>
      <x:c r="F859" s="19" t="str">
        <x:v>堂食</x:v>
      </x:c>
      <x:c r="G859" s="19" t="str">
        <x:v>全日</x:v>
      </x:c>
      <x:c r="H859" s="19" t="str">
        <x:v>D15</x:v>
      </x:c>
      <x:c r="I859" s="19" t="str">
        <x:v>湘西土匪猪肝</x:v>
      </x:c>
      <x:c r="J859" s="22" t="n">
        <x:f>XLOOKUP(H859,'菜品主数据'!$A$5:$A$24,'菜品主数据'!$D$5:$D$24,0)</x:f>
        <x:v>26</x:v>
      </x:c>
      <x:c r="K859" s="31" t="n">
        <x:v>7</x:v>
      </x:c>
      <x:c r="L859" s="35" t="n">
        <x:f>J859*K859</x:f>
        <x:v>182</x:v>
      </x:c>
      <x:c r="M859" s="36" t="n">
        <x:v>0</x:v>
      </x:c>
      <x:c r="N859" s="35" t="n">
        <x:f>L859*M859</x:f>
        <x:v>0</x:v>
      </x:c>
      <x:c r="O859" s="37" t="n">
        <x:v>0</x:v>
      </x:c>
      <x:c r="P859" s="35" t="n">
        <x:f>L859*O859</x:f>
        <x:v>0</x:v>
      </x:c>
      <x:c r="Q859" s="35" t="n">
        <x:v>0</x:v>
      </x:c>
      <x:c r="R859" s="35" t="n">
        <x:f>K859*Q859</x:f>
        <x:v>0</x:v>
      </x:c>
      <x:c r="S859" s="35" t="n">
        <x:f>XLOOKUP(H859,'菜品主数据'!$A$5:$A$24,'菜品主数据'!$G$5:$G$24,0)</x:f>
        <x:v>6.3759999999999994</x:v>
      </x:c>
      <x:c r="T859" s="35" t="n">
        <x:f>K859*S859</x:f>
        <x:v>44.632</x:v>
      </x:c>
      <x:c r="U859" s="35" t="n">
        <x:f>L859-N859-P859-R859-T859</x:f>
        <x:v>137.368</x:v>
      </x:c>
      <x:c r="V859" s="21" t="n">
        <x:f>IFERROR(U859/L859,0)</x:f>
        <x:v>0.7547692307692307</x:v>
      </x:c>
    </x:row>
    <x:row r="860">
      <x:c r="A860" s="19" t="str">
        <x:v>SALE-00856</x:v>
      </x:c>
      <x:c r="B860" s="34" t="n">
        <x:v>46210.5</x:v>
      </x:c>
      <x:c r="C860" s="19" t="str">
        <x:v>周二</x:v>
      </x:c>
      <x:c r="D860" s="19" t="str">
        <x:v>S04</x:v>
      </x:c>
      <x:c r="E860" s="19" t="str">
        <x:v>金街美地店</x:v>
      </x:c>
      <x:c r="F860" s="19" t="str">
        <x:v>堂食</x:v>
      </x:c>
      <x:c r="G860" s="19" t="str">
        <x:v>全日</x:v>
      </x:c>
      <x:c r="H860" s="19" t="str">
        <x:v>D16</x:v>
      </x:c>
      <x:c r="I860" s="19" t="str">
        <x:v>小豆角炒五花</x:v>
      </x:c>
      <x:c r="J860" s="22" t="n">
        <x:f>XLOOKUP(H860,'菜品主数据'!$A$5:$A$24,'菜品主数据'!$D$5:$D$24,0)</x:f>
        <x:v>25</x:v>
      </x:c>
      <x:c r="K860" s="31" t="n">
        <x:v>7</x:v>
      </x:c>
      <x:c r="L860" s="35" t="n">
        <x:f>J860*K860</x:f>
        <x:v>175</x:v>
      </x:c>
      <x:c r="M860" s="36" t="n">
        <x:v>0</x:v>
      </x:c>
      <x:c r="N860" s="35" t="n">
        <x:f>L860*M860</x:f>
        <x:v>0</x:v>
      </x:c>
      <x:c r="O860" s="37" t="n">
        <x:v>0</x:v>
      </x:c>
      <x:c r="P860" s="35" t="n">
        <x:f>L860*O860</x:f>
        <x:v>0</x:v>
      </x:c>
      <x:c r="Q860" s="35" t="n">
        <x:v>0</x:v>
      </x:c>
      <x:c r="R860" s="35" t="n">
        <x:f>K860*Q860</x:f>
        <x:v>0</x:v>
      </x:c>
      <x:c r="S860" s="35" t="n">
        <x:f>XLOOKUP(H860,'菜品主数据'!$A$5:$A$24,'菜品主数据'!$G$5:$G$24,0)</x:f>
        <x:v>8.184</x:v>
      </x:c>
      <x:c r="T860" s="35" t="n">
        <x:f>K860*S860</x:f>
        <x:v>57.288</x:v>
      </x:c>
      <x:c r="U860" s="35" t="n">
        <x:f>L860-N860-P860-R860-T860</x:f>
        <x:v>117.712</x:v>
      </x:c>
      <x:c r="V860" s="21" t="n">
        <x:f>IFERROR(U860/L860,0)</x:f>
        <x:v>0.67264</x:v>
      </x:c>
    </x:row>
    <x:row r="861">
      <x:c r="A861" s="19" t="str">
        <x:v>SALE-00857</x:v>
      </x:c>
      <x:c r="B861" s="34" t="n">
        <x:v>46210.5</x:v>
      </x:c>
      <x:c r="C861" s="19" t="str">
        <x:v>周二</x:v>
      </x:c>
      <x:c r="D861" s="19" t="str">
        <x:v>S04</x:v>
      </x:c>
      <x:c r="E861" s="19" t="str">
        <x:v>金街美地店</x:v>
      </x:c>
      <x:c r="F861" s="19" t="str">
        <x:v>堂食</x:v>
      </x:c>
      <x:c r="G861" s="19" t="str">
        <x:v>全日</x:v>
      </x:c>
      <x:c r="H861" s="19" t="str">
        <x:v>D17</x:v>
      </x:c>
      <x:c r="I861" s="19" t="str">
        <x:v>蒜蓉粉丝虾</x:v>
      </x:c>
      <x:c r="J861" s="22" t="n">
        <x:f>XLOOKUP(H861,'菜品主数据'!$A$5:$A$24,'菜品主数据'!$D$5:$D$24,0)</x:f>
        <x:v>36</x:v>
      </x:c>
      <x:c r="K861" s="31" t="n">
        <x:v>5</x:v>
      </x:c>
      <x:c r="L861" s="35" t="n">
        <x:f>J861*K861</x:f>
        <x:v>180</x:v>
      </x:c>
      <x:c r="M861" s="36" t="n">
        <x:v>0</x:v>
      </x:c>
      <x:c r="N861" s="35" t="n">
        <x:f>L861*M861</x:f>
        <x:v>0</x:v>
      </x:c>
      <x:c r="O861" s="37" t="n">
        <x:v>0</x:v>
      </x:c>
      <x:c r="P861" s="35" t="n">
        <x:f>L861*O861</x:f>
        <x:v>0</x:v>
      </x:c>
      <x:c r="Q861" s="35" t="n">
        <x:v>0</x:v>
      </x:c>
      <x:c r="R861" s="35" t="n">
        <x:f>K861*Q861</x:f>
        <x:v>0</x:v>
      </x:c>
      <x:c r="S861" s="35" t="n">
        <x:f>XLOOKUP(H861,'菜品主数据'!$A$5:$A$24,'菜品主数据'!$G$5:$G$24,0)</x:f>
        <x:v>13.594</x:v>
      </x:c>
      <x:c r="T861" s="35" t="n">
        <x:f>K861*S861</x:f>
        <x:v>67.97</x:v>
      </x:c>
      <x:c r="U861" s="35" t="n">
        <x:f>L861-N861-P861-R861-T861</x:f>
        <x:v>112.03</x:v>
      </x:c>
      <x:c r="V861" s="21" t="n">
        <x:f>IFERROR(U861/L861,0)</x:f>
        <x:v>0.6223888888888889</x:v>
      </x:c>
    </x:row>
    <x:row r="862">
      <x:c r="A862" s="19" t="str">
        <x:v>SALE-00858</x:v>
      </x:c>
      <x:c r="B862" s="34" t="n">
        <x:v>46210.5</x:v>
      </x:c>
      <x:c r="C862" s="19" t="str">
        <x:v>周二</x:v>
      </x:c>
      <x:c r="D862" s="19" t="str">
        <x:v>S04</x:v>
      </x:c>
      <x:c r="E862" s="19" t="str">
        <x:v>金街美地店</x:v>
      </x:c>
      <x:c r="F862" s="19" t="str">
        <x:v>堂食</x:v>
      </x:c>
      <x:c r="G862" s="19" t="str">
        <x:v>全日</x:v>
      </x:c>
      <x:c r="H862" s="19" t="str">
        <x:v>D18</x:v>
      </x:c>
      <x:c r="I862" s="19" t="str">
        <x:v>青椒炒油麦菜</x:v>
      </x:c>
      <x:c r="J862" s="22" t="n">
        <x:f>XLOOKUP(H862,'菜品主数据'!$A$5:$A$24,'菜品主数据'!$D$5:$D$24,0)</x:f>
        <x:v>18</x:v>
      </x:c>
      <x:c r="K862" s="31" t="n">
        <x:v>9</x:v>
      </x:c>
      <x:c r="L862" s="35" t="n">
        <x:f>J862*K862</x:f>
        <x:v>162</x:v>
      </x:c>
      <x:c r="M862" s="36" t="n">
        <x:v>0</x:v>
      </x:c>
      <x:c r="N862" s="35" t="n">
        <x:f>L862*M862</x:f>
        <x:v>0</x:v>
      </x:c>
      <x:c r="O862" s="37" t="n">
        <x:v>0</x:v>
      </x:c>
      <x:c r="P862" s="35" t="n">
        <x:f>L862*O862</x:f>
        <x:v>0</x:v>
      </x:c>
      <x:c r="Q862" s="35" t="n">
        <x:v>0</x:v>
      </x:c>
      <x:c r="R862" s="35" t="n">
        <x:f>K862*Q862</x:f>
        <x:v>0</x:v>
      </x:c>
      <x:c r="S862" s="35" t="n">
        <x:f>XLOOKUP(H862,'菜品主数据'!$A$5:$A$24,'菜品主数据'!$G$5:$G$24,0)</x:f>
        <x:v>3.1759999999999993</x:v>
      </x:c>
      <x:c r="T862" s="35" t="n">
        <x:f>K862*S862</x:f>
        <x:v>28.583999999999993</x:v>
      </x:c>
      <x:c r="U862" s="35" t="n">
        <x:f>L862-N862-P862-R862-T862</x:f>
        <x:v>133.416</x:v>
      </x:c>
      <x:c r="V862" s="21" t="n">
        <x:f>IFERROR(U862/L862,0)</x:f>
        <x:v>0.8235555555555555</x:v>
      </x:c>
    </x:row>
    <x:row r="863">
      <x:c r="A863" s="19" t="str">
        <x:v>SALE-00859</x:v>
      </x:c>
      <x:c r="B863" s="34" t="n">
        <x:v>46210.5</x:v>
      </x:c>
      <x:c r="C863" s="19" t="str">
        <x:v>周二</x:v>
      </x:c>
      <x:c r="D863" s="19" t="str">
        <x:v>S04</x:v>
      </x:c>
      <x:c r="E863" s="19" t="str">
        <x:v>金街美地店</x:v>
      </x:c>
      <x:c r="F863" s="19" t="str">
        <x:v>堂食</x:v>
      </x:c>
      <x:c r="G863" s="19" t="str">
        <x:v>全日</x:v>
      </x:c>
      <x:c r="H863" s="19" t="str">
        <x:v>D19</x:v>
      </x:c>
      <x:c r="I863" s="19" t="str">
        <x:v>酸萝卜炒鸡杂</x:v>
      </x:c>
      <x:c r="J863" s="22" t="n">
        <x:f>XLOOKUP(H863,'菜品主数据'!$A$5:$A$24,'菜品主数据'!$D$5:$D$24,0)</x:f>
        <x:v>25</x:v>
      </x:c>
      <x:c r="K863" s="31" t="n">
        <x:v>6</x:v>
      </x:c>
      <x:c r="L863" s="35" t="n">
        <x:f>J863*K863</x:f>
        <x:v>150</x:v>
      </x:c>
      <x:c r="M863" s="36" t="n">
        <x:v>0</x:v>
      </x:c>
      <x:c r="N863" s="35" t="n">
        <x:f>L863*M863</x:f>
        <x:v>0</x:v>
      </x:c>
      <x:c r="O863" s="37" t="n">
        <x:v>0</x:v>
      </x:c>
      <x:c r="P863" s="35" t="n">
        <x:f>L863*O863</x:f>
        <x:v>0</x:v>
      </x:c>
      <x:c r="Q863" s="35" t="n">
        <x:v>0</x:v>
      </x:c>
      <x:c r="R863" s="35" t="n">
        <x:f>K863*Q863</x:f>
        <x:v>0</x:v>
      </x:c>
      <x:c r="S863" s="35" t="n">
        <x:f>XLOOKUP(H863,'菜品主数据'!$A$5:$A$24,'菜品主数据'!$G$5:$G$24,0)</x:f>
        <x:v>7.9399999999999995</x:v>
      </x:c>
      <x:c r="T863" s="35" t="n">
        <x:f>K863*S863</x:f>
        <x:v>47.64</x:v>
      </x:c>
      <x:c r="U863" s="35" t="n">
        <x:f>L863-N863-P863-R863-T863</x:f>
        <x:v>102.36</x:v>
      </x:c>
      <x:c r="V863" s="21" t="n">
        <x:f>IFERROR(U863/L863,0)</x:f>
        <x:v>0.6824</x:v>
      </x:c>
    </x:row>
    <x:row r="864">
      <x:c r="A864" s="19" t="str">
        <x:v>SALE-00860</x:v>
      </x:c>
      <x:c r="B864" s="34" t="n">
        <x:v>46210.5</x:v>
      </x:c>
      <x:c r="C864" s="19" t="str">
        <x:v>周二</x:v>
      </x:c>
      <x:c r="D864" s="19" t="str">
        <x:v>S04</x:v>
      </x:c>
      <x:c r="E864" s="19" t="str">
        <x:v>金街美地店</x:v>
      </x:c>
      <x:c r="F864" s="19" t="str">
        <x:v>堂食</x:v>
      </x:c>
      <x:c r="G864" s="19" t="str">
        <x:v>全日</x:v>
      </x:c>
      <x:c r="H864" s="19" t="str">
        <x:v>D20</x:v>
      </x:c>
      <x:c r="I864" s="19" t="str">
        <x:v>雪菜肉末青豆</x:v>
      </x:c>
      <x:c r="J864" s="22" t="n">
        <x:f>XLOOKUP(H864,'菜品主数据'!$A$5:$A$24,'菜品主数据'!$D$5:$D$24,0)</x:f>
        <x:v>18</x:v>
      </x:c>
      <x:c r="K864" s="31" t="n">
        <x:v>8</x:v>
      </x:c>
      <x:c r="L864" s="35" t="n">
        <x:f>J864*K864</x:f>
        <x:v>144</x:v>
      </x:c>
      <x:c r="M864" s="36" t="n">
        <x:v>0</x:v>
      </x:c>
      <x:c r="N864" s="35" t="n">
        <x:f>L864*M864</x:f>
        <x:v>0</x:v>
      </x:c>
      <x:c r="O864" s="37" t="n">
        <x:v>0</x:v>
      </x:c>
      <x:c r="P864" s="35" t="n">
        <x:f>L864*O864</x:f>
        <x:v>0</x:v>
      </x:c>
      <x:c r="Q864" s="35" t="n">
        <x:v>0</x:v>
      </x:c>
      <x:c r="R864" s="35" t="n">
        <x:f>K864*Q864</x:f>
        <x:v>0</x:v>
      </x:c>
      <x:c r="S864" s="35" t="n">
        <x:f>XLOOKUP(H864,'菜品主数据'!$A$5:$A$24,'菜品主数据'!$G$5:$G$24,0)</x:f>
        <x:v>7.303999999999999</x:v>
      </x:c>
      <x:c r="T864" s="35" t="n">
        <x:f>K864*S864</x:f>
        <x:v>58.431999999999995</x:v>
      </x:c>
      <x:c r="U864" s="35" t="n">
        <x:f>L864-N864-P864-R864-T864</x:f>
        <x:v>85.56800000000001</x:v>
      </x:c>
      <x:c r="V864" s="21" t="n">
        <x:f>IFERROR(U864/L864,0)</x:f>
        <x:v>0.5942222222222223</x:v>
      </x:c>
    </x:row>
    <x:row r="865">
      <x:c r="A865" s="19" t="str">
        <x:v>SALE-00861</x:v>
      </x:c>
      <x:c r="B865" s="34" t="n">
        <x:v>46210.5</x:v>
      </x:c>
      <x:c r="C865" s="19" t="str">
        <x:v>周二</x:v>
      </x:c>
      <x:c r="D865" s="19" t="str">
        <x:v>S04</x:v>
      </x:c>
      <x:c r="E865" s="19" t="str">
        <x:v>金街美地店</x:v>
      </x:c>
      <x:c r="F865" s="19" t="str">
        <x:v>外卖</x:v>
      </x:c>
      <x:c r="G865" s="19" t="str">
        <x:v>全日</x:v>
      </x:c>
      <x:c r="H865" s="19" t="str">
        <x:v>D01</x:v>
      </x:c>
      <x:c r="I865" s="19" t="str">
        <x:v>辣椒炒肉</x:v>
      </x:c>
      <x:c r="J865" s="22" t="n">
        <x:f>XLOOKUP(H865,'菜品主数据'!$A$5:$A$24,'菜品主数据'!$D$5:$D$24,0)</x:f>
        <x:v>29</x:v>
      </x:c>
      <x:c r="K865" s="31" t="n">
        <x:v>4</x:v>
      </x:c>
      <x:c r="L865" s="35" t="n">
        <x:f>J865*K865</x:f>
        <x:v>116</x:v>
      </x:c>
      <x:c r="M865" s="36" t="n">
        <x:v>0.08</x:v>
      </x:c>
      <x:c r="N865" s="35" t="n">
        <x:f>L865*M865</x:f>
        <x:v>9.28</x:v>
      </x:c>
      <x:c r="O865" s="37" t="n">
        <x:v>0.18</x:v>
      </x:c>
      <x:c r="P865" s="35" t="n">
        <x:f>L865*O865</x:f>
        <x:v>20.88</x:v>
      </x:c>
      <x:c r="Q865" s="35" t="n">
        <x:v>1.2</x:v>
      </x:c>
      <x:c r="R865" s="35" t="n">
        <x:f>K865*Q865</x:f>
        <x:v>4.8</x:v>
      </x:c>
      <x:c r="S865" s="35" t="n">
        <x:f>XLOOKUP(H865,'菜品主数据'!$A$5:$A$24,'菜品主数据'!$G$5:$G$24,0)</x:f>
        <x:v>8.634400000000001</x:v>
      </x:c>
      <x:c r="T865" s="35" t="n">
        <x:f>K865*S865</x:f>
        <x:v>34.537600000000005</x:v>
      </x:c>
      <x:c r="U865" s="35" t="n">
        <x:f>L865-N865-P865-R865-T865</x:f>
        <x:v>46.5024</x:v>
      </x:c>
      <x:c r="V865" s="21" t="n">
        <x:f>IFERROR(U865/L865,0)</x:f>
        <x:v>0.40088275862068967</x:v>
      </x:c>
    </x:row>
    <x:row r="866">
      <x:c r="A866" s="19" t="str">
        <x:v>SALE-00862</x:v>
      </x:c>
      <x:c r="B866" s="34" t="n">
        <x:v>46210.5</x:v>
      </x:c>
      <x:c r="C866" s="19" t="str">
        <x:v>周二</x:v>
      </x:c>
      <x:c r="D866" s="19" t="str">
        <x:v>S04</x:v>
      </x:c>
      <x:c r="E866" s="19" t="str">
        <x:v>金街美地店</x:v>
      </x:c>
      <x:c r="F866" s="19" t="str">
        <x:v>外卖</x:v>
      </x:c>
      <x:c r="G866" s="19" t="str">
        <x:v>全日</x:v>
      </x:c>
      <x:c r="H866" s="19" t="str">
        <x:v>D02</x:v>
      </x:c>
      <x:c r="I866" s="19" t="str">
        <x:v>小炒黄牛肉</x:v>
      </x:c>
      <x:c r="J866" s="22" t="n">
        <x:f>XLOOKUP(H866,'菜品主数据'!$A$5:$A$24,'菜品主数据'!$D$5:$D$24,0)</x:f>
        <x:v>49</x:v>
      </x:c>
      <x:c r="K866" s="31" t="n">
        <x:v>9</x:v>
      </x:c>
      <x:c r="L866" s="35" t="n">
        <x:f>J866*K866</x:f>
        <x:v>441</x:v>
      </x:c>
      <x:c r="M866" s="36" t="n">
        <x:v>0.08</x:v>
      </x:c>
      <x:c r="N866" s="35" t="n">
        <x:f>L866*M866</x:f>
        <x:v>35.28</x:v>
      </x:c>
      <x:c r="O866" s="37" t="n">
        <x:v>0.18</x:v>
      </x:c>
      <x:c r="P866" s="35" t="n">
        <x:f>L866*O866</x:f>
        <x:v>79.38</x:v>
      </x:c>
      <x:c r="Q866" s="35" t="n">
        <x:v>1.2</x:v>
      </x:c>
      <x:c r="R866" s="35" t="n">
        <x:f>K866*Q866</x:f>
        <x:v>10.799999999999999</x:v>
      </x:c>
      <x:c r="S866" s="35" t="n">
        <x:f>XLOOKUP(H866,'菜品主数据'!$A$5:$A$24,'菜品主数据'!$G$5:$G$24,0)</x:f>
        <x:v>17.577</x:v>
      </x:c>
      <x:c r="T866" s="35" t="n">
        <x:f>K866*S866</x:f>
        <x:v>158.193</x:v>
      </x:c>
      <x:c r="U866" s="35" t="n">
        <x:f>L866-N866-P866-R866-T866</x:f>
        <x:v>157.347</x:v>
      </x:c>
      <x:c r="V866" s="21" t="n">
        <x:f>IFERROR(U866/L866,0)</x:f>
        <x:v>0.356795918367347</x:v>
      </x:c>
    </x:row>
    <x:row r="867">
      <x:c r="A867" s="19" t="str">
        <x:v>SALE-00863</x:v>
      </x:c>
      <x:c r="B867" s="34" t="n">
        <x:v>46210.5</x:v>
      </x:c>
      <x:c r="C867" s="19" t="str">
        <x:v>周二</x:v>
      </x:c>
      <x:c r="D867" s="19" t="str">
        <x:v>S04</x:v>
      </x:c>
      <x:c r="E867" s="19" t="str">
        <x:v>金街美地店</x:v>
      </x:c>
      <x:c r="F867" s="19" t="str">
        <x:v>外卖</x:v>
      </x:c>
      <x:c r="G867" s="19" t="str">
        <x:v>全日</x:v>
      </x:c>
      <x:c r="H867" s="19" t="str">
        <x:v>D03</x:v>
      </x:c>
      <x:c r="I867" s="19" t="str">
        <x:v>香醋炒蛋</x:v>
      </x:c>
      <x:c r="J867" s="22" t="n">
        <x:f>XLOOKUP(H867,'菜品主数据'!$A$5:$A$24,'菜品主数据'!$D$5:$D$24,0)</x:f>
        <x:v>14.9</x:v>
      </x:c>
      <x:c r="K867" s="31" t="n">
        <x:v>4</x:v>
      </x:c>
      <x:c r="L867" s="35" t="n">
        <x:f>J867*K867</x:f>
        <x:v>59.6</x:v>
      </x:c>
      <x:c r="M867" s="36" t="n">
        <x:v>0.08</x:v>
      </x:c>
      <x:c r="N867" s="35" t="n">
        <x:f>L867*M867</x:f>
        <x:v>4.768</x:v>
      </x:c>
      <x:c r="O867" s="37" t="n">
        <x:v>0.18</x:v>
      </x:c>
      <x:c r="P867" s="35" t="n">
        <x:f>L867*O867</x:f>
        <x:v>10.728</x:v>
      </x:c>
      <x:c r="Q867" s="35" t="n">
        <x:v>1.2</x:v>
      </x:c>
      <x:c r="R867" s="35" t="n">
        <x:f>K867*Q867</x:f>
        <x:v>4.8</x:v>
      </x:c>
      <x:c r="S867" s="35" t="n">
        <x:f>XLOOKUP(H867,'菜品主数据'!$A$5:$A$24,'菜品主数据'!$G$5:$G$24,0)</x:f>
        <x:v>3.7459999999999996</x:v>
      </x:c>
      <x:c r="T867" s="35" t="n">
        <x:f>K867*S867</x:f>
        <x:v>14.983999999999998</x:v>
      </x:c>
      <x:c r="U867" s="35" t="n">
        <x:f>L867-N867-P867-R867-T867</x:f>
        <x:v>24.320000000000004</x:v>
      </x:c>
      <x:c r="V867" s="21" t="n">
        <x:f>IFERROR(U867/L867,0)</x:f>
        <x:v>0.40805369127516783</x:v>
      </x:c>
    </x:row>
    <x:row r="868">
      <x:c r="A868" s="19" t="str">
        <x:v>SALE-00864</x:v>
      </x:c>
      <x:c r="B868" s="34" t="n">
        <x:v>46210.5</x:v>
      </x:c>
      <x:c r="C868" s="19" t="str">
        <x:v>周二</x:v>
      </x:c>
      <x:c r="D868" s="19" t="str">
        <x:v>S04</x:v>
      </x:c>
      <x:c r="E868" s="19" t="str">
        <x:v>金街美地店</x:v>
      </x:c>
      <x:c r="F868" s="19" t="str">
        <x:v>外卖</x:v>
      </x:c>
      <x:c r="G868" s="19" t="str">
        <x:v>全日</x:v>
      </x:c>
      <x:c r="H868" s="19" t="str">
        <x:v>D04</x:v>
      </x:c>
      <x:c r="I868" s="19" t="str">
        <x:v>酸包菜炒粉皮</x:v>
      </x:c>
      <x:c r="J868" s="22" t="n">
        <x:f>XLOOKUP(H868,'菜品主数据'!$A$5:$A$24,'菜品主数据'!$D$5:$D$24,0)</x:f>
        <x:v>16</x:v>
      </x:c>
      <x:c r="K868" s="31" t="n">
        <x:v>3</x:v>
      </x:c>
      <x:c r="L868" s="35" t="n">
        <x:f>J868*K868</x:f>
        <x:v>48</x:v>
      </x:c>
      <x:c r="M868" s="36" t="n">
        <x:v>0.08</x:v>
      </x:c>
      <x:c r="N868" s="35" t="n">
        <x:f>L868*M868</x:f>
        <x:v>3.84</x:v>
      </x:c>
      <x:c r="O868" s="37" t="n">
        <x:v>0.18</x:v>
      </x:c>
      <x:c r="P868" s="35" t="n">
        <x:f>L868*O868</x:f>
        <x:v>8.64</x:v>
      </x:c>
      <x:c r="Q868" s="35" t="n">
        <x:v>1.2</x:v>
      </x:c>
      <x:c r="R868" s="35" t="n">
        <x:f>K868*Q868</x:f>
        <x:v>3.5999999999999996</x:v>
      </x:c>
      <x:c r="S868" s="35" t="n">
        <x:f>XLOOKUP(H868,'菜品主数据'!$A$5:$A$24,'菜品主数据'!$G$5:$G$24,0)</x:f>
        <x:v>3.978</x:v>
      </x:c>
      <x:c r="T868" s="35" t="n">
        <x:f>K868*S868</x:f>
        <x:v>11.934000000000001</x:v>
      </x:c>
      <x:c r="U868" s="35" t="n">
        <x:f>L868-N868-P868-R868-T868</x:f>
        <x:v>19.985999999999994</x:v>
      </x:c>
      <x:c r="V868" s="21" t="n">
        <x:f>IFERROR(U868/L868,0)</x:f>
        <x:v>0.4163749999999999</x:v>
      </x:c>
    </x:row>
    <x:row r="869">
      <x:c r="A869" s="19" t="str">
        <x:v>SALE-00865</x:v>
      </x:c>
      <x:c r="B869" s="34" t="n">
        <x:v>46210.5</x:v>
      </x:c>
      <x:c r="C869" s="19" t="str">
        <x:v>周二</x:v>
      </x:c>
      <x:c r="D869" s="19" t="str">
        <x:v>S04</x:v>
      </x:c>
      <x:c r="E869" s="19" t="str">
        <x:v>金街美地店</x:v>
      </x:c>
      <x:c r="F869" s="19" t="str">
        <x:v>外卖</x:v>
      </x:c>
      <x:c r="G869" s="19" t="str">
        <x:v>全日</x:v>
      </x:c>
      <x:c r="H869" s="19" t="str">
        <x:v>D05</x:v>
      </x:c>
      <x:c r="I869" s="19" t="str">
        <x:v>麻婆豆腐</x:v>
      </x:c>
      <x:c r="J869" s="22" t="n">
        <x:f>XLOOKUP(H869,'菜品主数据'!$A$5:$A$24,'菜品主数据'!$D$5:$D$24,0)</x:f>
        <x:v>9.9</x:v>
      </x:c>
      <x:c r="K869" s="31" t="n">
        <x:v>5</x:v>
      </x:c>
      <x:c r="L869" s="35" t="n">
        <x:f>J869*K869</x:f>
        <x:v>49.5</x:v>
      </x:c>
      <x:c r="M869" s="36" t="n">
        <x:v>0.08</x:v>
      </x:c>
      <x:c r="N869" s="35" t="n">
        <x:f>L869*M869</x:f>
        <x:v>3.96</x:v>
      </x:c>
      <x:c r="O869" s="37" t="n">
        <x:v>0.18</x:v>
      </x:c>
      <x:c r="P869" s="35" t="n">
        <x:f>L869*O869</x:f>
        <x:v>8.91</x:v>
      </x:c>
      <x:c r="Q869" s="35" t="n">
        <x:v>1.2</x:v>
      </x:c>
      <x:c r="R869" s="35" t="n">
        <x:f>K869*Q869</x:f>
        <x:v>6</x:v>
      </x:c>
      <x:c r="S869" s="35" t="n">
        <x:f>XLOOKUP(H869,'菜品主数据'!$A$5:$A$24,'菜品主数据'!$G$5:$G$24,0)</x:f>
        <x:v>5.367000000000001</x:v>
      </x:c>
      <x:c r="T869" s="35" t="n">
        <x:f>K869*S869</x:f>
        <x:v>26.835000000000004</x:v>
      </x:c>
      <x:c r="U869" s="35" t="n">
        <x:f>L869-N869-P869-R869-T869</x:f>
        <x:v>3.794999999999991</x:v>
      </x:c>
      <x:c r="V869" s="21" t="n">
        <x:f>IFERROR(U869/L869,0)</x:f>
        <x:v>0.07666666666666648</x:v>
      </x:c>
    </x:row>
    <x:row r="870">
      <x:c r="A870" s="19" t="str">
        <x:v>SALE-00866</x:v>
      </x:c>
      <x:c r="B870" s="34" t="n">
        <x:v>46210.5</x:v>
      </x:c>
      <x:c r="C870" s="19" t="str">
        <x:v>周二</x:v>
      </x:c>
      <x:c r="D870" s="19" t="str">
        <x:v>S04</x:v>
      </x:c>
      <x:c r="E870" s="19" t="str">
        <x:v>金街美地店</x:v>
      </x:c>
      <x:c r="F870" s="19" t="str">
        <x:v>外卖</x:v>
      </x:c>
      <x:c r="G870" s="19" t="str">
        <x:v>全日</x:v>
      </x:c>
      <x:c r="H870" s="19" t="str">
        <x:v>D06</x:v>
      </x:c>
      <x:c r="I870" s="19" t="str">
        <x:v>剁椒鱼头</x:v>
      </x:c>
      <x:c r="J870" s="22" t="n">
        <x:f>XLOOKUP(H870,'菜品主数据'!$A$5:$A$24,'菜品主数据'!$D$5:$D$24,0)</x:f>
        <x:v>39</x:v>
      </x:c>
      <x:c r="K870" s="31" t="n">
        <x:v>1</x:v>
      </x:c>
      <x:c r="L870" s="35" t="n">
        <x:f>J870*K870</x:f>
        <x:v>39</x:v>
      </x:c>
      <x:c r="M870" s="36" t="n">
        <x:v>0.08</x:v>
      </x:c>
      <x:c r="N870" s="35" t="n">
        <x:f>L870*M870</x:f>
        <x:v>3.12</x:v>
      </x:c>
      <x:c r="O870" s="37" t="n">
        <x:v>0.18</x:v>
      </x:c>
      <x:c r="P870" s="35" t="n">
        <x:f>L870*O870</x:f>
        <x:v>7.02</x:v>
      </x:c>
      <x:c r="Q870" s="35" t="n">
        <x:v>1.2</x:v>
      </x:c>
      <x:c r="R870" s="35" t="n">
        <x:f>K870*Q870</x:f>
        <x:v>1.2</x:v>
      </x:c>
      <x:c r="S870" s="35" t="n">
        <x:f>XLOOKUP(H870,'菜品主数据'!$A$5:$A$24,'菜品主数据'!$G$5:$G$24,0)</x:f>
        <x:v>17.446</x:v>
      </x:c>
      <x:c r="T870" s="35" t="n">
        <x:f>K870*S870</x:f>
        <x:v>17.446</x:v>
      </x:c>
      <x:c r="U870" s="35" t="n">
        <x:f>L870-N870-P870-R870-T870</x:f>
        <x:v>10.214000000000002</x:v>
      </x:c>
      <x:c r="V870" s="21" t="n">
        <x:f>IFERROR(U870/L870,0)</x:f>
        <x:v>0.26189743589743597</x:v>
      </x:c>
    </x:row>
    <x:row r="871">
      <x:c r="A871" s="19" t="str">
        <x:v>SALE-00867</x:v>
      </x:c>
      <x:c r="B871" s="34" t="n">
        <x:v>46210.5</x:v>
      </x:c>
      <x:c r="C871" s="19" t="str">
        <x:v>周二</x:v>
      </x:c>
      <x:c r="D871" s="19" t="str">
        <x:v>S04</x:v>
      </x:c>
      <x:c r="E871" s="19" t="str">
        <x:v>金街美地店</x:v>
      </x:c>
      <x:c r="F871" s="19" t="str">
        <x:v>外卖</x:v>
      </x:c>
      <x:c r="G871" s="19" t="str">
        <x:v>全日</x:v>
      </x:c>
      <x:c r="H871" s="19" t="str">
        <x:v>D07</x:v>
      </x:c>
      <x:c r="I871" s="19" t="str">
        <x:v>川味回锅肉</x:v>
      </x:c>
      <x:c r="J871" s="22" t="n">
        <x:f>XLOOKUP(H871,'菜品主数据'!$A$5:$A$24,'菜品主数据'!$D$5:$D$24,0)</x:f>
        <x:v>29</x:v>
      </x:c>
      <x:c r="K871" s="31" t="n">
        <x:v>1</x:v>
      </x:c>
      <x:c r="L871" s="35" t="n">
        <x:f>J871*K871</x:f>
        <x:v>29</x:v>
      </x:c>
      <x:c r="M871" s="36" t="n">
        <x:v>0.08</x:v>
      </x:c>
      <x:c r="N871" s="35" t="n">
        <x:f>L871*M871</x:f>
        <x:v>2.32</x:v>
      </x:c>
      <x:c r="O871" s="37" t="n">
        <x:v>0.18</x:v>
      </x:c>
      <x:c r="P871" s="35" t="n">
        <x:f>L871*O871</x:f>
        <x:v>5.22</x:v>
      </x:c>
      <x:c r="Q871" s="35" t="n">
        <x:v>1.2</x:v>
      </x:c>
      <x:c r="R871" s="35" t="n">
        <x:f>K871*Q871</x:f>
        <x:v>1.2</x:v>
      </x:c>
      <x:c r="S871" s="35" t="n">
        <x:f>XLOOKUP(H871,'菜品主数据'!$A$5:$A$24,'菜品主数据'!$G$5:$G$24,0)</x:f>
        <x:v>10.231000000000002</x:v>
      </x:c>
      <x:c r="T871" s="35" t="n">
        <x:f>K871*S871</x:f>
        <x:v>10.231000000000002</x:v>
      </x:c>
      <x:c r="U871" s="35" t="n">
        <x:f>L871-N871-P871-R871-T871</x:f>
        <x:v>10.029</x:v>
      </x:c>
      <x:c r="V871" s="21" t="n">
        <x:f>IFERROR(U871/L871,0)</x:f>
        <x:v>0.3458275862068966</x:v>
      </x:c>
    </x:row>
    <x:row r="872">
      <x:c r="A872" s="19" t="str">
        <x:v>SALE-00868</x:v>
      </x:c>
      <x:c r="B872" s="34" t="n">
        <x:v>46210.5</x:v>
      </x:c>
      <x:c r="C872" s="19" t="str">
        <x:v>周二</x:v>
      </x:c>
      <x:c r="D872" s="19" t="str">
        <x:v>S04</x:v>
      </x:c>
      <x:c r="E872" s="19" t="str">
        <x:v>金街美地店</x:v>
      </x:c>
      <x:c r="F872" s="19" t="str">
        <x:v>外卖</x:v>
      </x:c>
      <x:c r="G872" s="19" t="str">
        <x:v>全日</x:v>
      </x:c>
      <x:c r="H872" s="19" t="str">
        <x:v>D08</x:v>
      </x:c>
      <x:c r="I872" s="19" t="str">
        <x:v>生炒清远鸡</x:v>
      </x:c>
      <x:c r="J872" s="22" t="n">
        <x:f>XLOOKUP(H872,'菜品主数据'!$A$5:$A$24,'菜品主数据'!$D$5:$D$24,0)</x:f>
        <x:v>36</x:v>
      </x:c>
      <x:c r="K872" s="31" t="n">
        <x:v>1</x:v>
      </x:c>
      <x:c r="L872" s="35" t="n">
        <x:f>J872*K872</x:f>
        <x:v>36</x:v>
      </x:c>
      <x:c r="M872" s="36" t="n">
        <x:v>0.08</x:v>
      </x:c>
      <x:c r="N872" s="35" t="n">
        <x:f>L872*M872</x:f>
        <x:v>2.88</x:v>
      </x:c>
      <x:c r="O872" s="37" t="n">
        <x:v>0.18</x:v>
      </x:c>
      <x:c r="P872" s="35" t="n">
        <x:f>L872*O872</x:f>
        <x:v>6.4799999999999995</x:v>
      </x:c>
      <x:c r="Q872" s="35" t="n">
        <x:v>1.2</x:v>
      </x:c>
      <x:c r="R872" s="35" t="n">
        <x:f>K872*Q872</x:f>
        <x:v>1.2</x:v>
      </x:c>
      <x:c r="S872" s="35" t="n">
        <x:f>XLOOKUP(H872,'菜品主数据'!$A$5:$A$24,'菜品主数据'!$G$5:$G$24,0)</x:f>
        <x:v>13.48</x:v>
      </x:c>
      <x:c r="T872" s="35" t="n">
        <x:f>K872*S872</x:f>
        <x:v>13.48</x:v>
      </x:c>
      <x:c r="U872" s="35" t="n">
        <x:f>L872-N872-P872-R872-T872</x:f>
        <x:v>11.959999999999997</x:v>
      </x:c>
      <x:c r="V872" s="21" t="n">
        <x:f>IFERROR(U872/L872,0)</x:f>
        <x:v>0.33222222222222214</x:v>
      </x:c>
    </x:row>
    <x:row r="873">
      <x:c r="A873" s="19" t="str">
        <x:v>SALE-00869</x:v>
      </x:c>
      <x:c r="B873" s="34" t="n">
        <x:v>46210.5</x:v>
      </x:c>
      <x:c r="C873" s="19" t="str">
        <x:v>周二</x:v>
      </x:c>
      <x:c r="D873" s="19" t="str">
        <x:v>S04</x:v>
      </x:c>
      <x:c r="E873" s="19" t="str">
        <x:v>金街美地店</x:v>
      </x:c>
      <x:c r="F873" s="19" t="str">
        <x:v>外卖</x:v>
      </x:c>
      <x:c r="G873" s="19" t="str">
        <x:v>全日</x:v>
      </x:c>
      <x:c r="H873" s="19" t="str">
        <x:v>D09</x:v>
      </x:c>
      <x:c r="I873" s="19" t="str">
        <x:v>炒豆干</x:v>
      </x:c>
      <x:c r="J873" s="22" t="n">
        <x:f>XLOOKUP(H873,'菜品主数据'!$A$5:$A$24,'菜品主数据'!$D$5:$D$24,0)</x:f>
        <x:v>18</x:v>
      </x:c>
      <x:c r="K873" s="31" t="n">
        <x:v>1</x:v>
      </x:c>
      <x:c r="L873" s="35" t="n">
        <x:f>J873*K873</x:f>
        <x:v>18</x:v>
      </x:c>
      <x:c r="M873" s="36" t="n">
        <x:v>0.08</x:v>
      </x:c>
      <x:c r="N873" s="35" t="n">
        <x:f>L873*M873</x:f>
        <x:v>1.44</x:v>
      </x:c>
      <x:c r="O873" s="37" t="n">
        <x:v>0.18</x:v>
      </x:c>
      <x:c r="P873" s="35" t="n">
        <x:f>L873*O873</x:f>
        <x:v>3.2399999999999998</x:v>
      </x:c>
      <x:c r="Q873" s="35" t="n">
        <x:v>1.2</x:v>
      </x:c>
      <x:c r="R873" s="35" t="n">
        <x:f>K873*Q873</x:f>
        <x:v>1.2</x:v>
      </x:c>
      <x:c r="S873" s="35" t="n">
        <x:f>XLOOKUP(H873,'菜品主数据'!$A$5:$A$24,'菜品主数据'!$G$5:$G$24,0)</x:f>
        <x:v>6.613999999999999</x:v>
      </x:c>
      <x:c r="T873" s="35" t="n">
        <x:f>K873*S873</x:f>
        <x:v>6.613999999999999</x:v>
      </x:c>
      <x:c r="U873" s="35" t="n">
        <x:f>L873-N873-P873-R873-T873</x:f>
        <x:v>5.506</x:v>
      </x:c>
      <x:c r="V873" s="21" t="n">
        <x:f>IFERROR(U873/L873,0)</x:f>
        <x:v>0.3058888888888889</x:v>
      </x:c>
    </x:row>
    <x:row r="874">
      <x:c r="A874" s="19" t="str">
        <x:v>SALE-00870</x:v>
      </x:c>
      <x:c r="B874" s="34" t="n">
        <x:v>46210.5</x:v>
      </x:c>
      <x:c r="C874" s="19" t="str">
        <x:v>周二</x:v>
      </x:c>
      <x:c r="D874" s="19" t="str">
        <x:v>S04</x:v>
      </x:c>
      <x:c r="E874" s="19" t="str">
        <x:v>金街美地店</x:v>
      </x:c>
      <x:c r="F874" s="19" t="str">
        <x:v>外卖</x:v>
      </x:c>
      <x:c r="G874" s="19" t="str">
        <x:v>全日</x:v>
      </x:c>
      <x:c r="H874" s="19" t="str">
        <x:v>D10</x:v>
      </x:c>
      <x:c r="I874" s="19" t="str">
        <x:v>农家一碗香</x:v>
      </x:c>
      <x:c r="J874" s="22" t="n">
        <x:f>XLOOKUP(H874,'菜品主数据'!$A$5:$A$24,'菜品主数据'!$D$5:$D$24,0)</x:f>
        <x:v>22.9</x:v>
      </x:c>
      <x:c r="K874" s="31" t="n">
        <x:v>2</x:v>
      </x:c>
      <x:c r="L874" s="35" t="n">
        <x:f>J874*K874</x:f>
        <x:v>45.8</x:v>
      </x:c>
      <x:c r="M874" s="36" t="n">
        <x:v>0.08</x:v>
      </x:c>
      <x:c r="N874" s="35" t="n">
        <x:f>L874*M874</x:f>
        <x:v>3.6639999999999997</x:v>
      </x:c>
      <x:c r="O874" s="37" t="n">
        <x:v>0.18</x:v>
      </x:c>
      <x:c r="P874" s="35" t="n">
        <x:f>L874*O874</x:f>
        <x:v>8.244</x:v>
      </x:c>
      <x:c r="Q874" s="35" t="n">
        <x:v>1.2</x:v>
      </x:c>
      <x:c r="R874" s="35" t="n">
        <x:f>K874*Q874</x:f>
        <x:v>2.4</x:v>
      </x:c>
      <x:c r="S874" s="35" t="n">
        <x:f>XLOOKUP(H874,'菜品主数据'!$A$5:$A$24,'菜品主数据'!$G$5:$G$24,0)</x:f>
        <x:v>9.770200000000003</x:v>
      </x:c>
      <x:c r="T874" s="35" t="n">
        <x:f>K874*S874</x:f>
        <x:v>19.540400000000005</x:v>
      </x:c>
      <x:c r="U874" s="35" t="n">
        <x:f>L874-N874-P874-R874-T874</x:f>
        <x:v>11.951599999999992</x:v>
      </x:c>
      <x:c r="V874" s="21" t="n">
        <x:f>IFERROR(U874/L874,0)</x:f>
        <x:v>0.260951965065502</x:v>
      </x:c>
    </x:row>
    <x:row r="875">
      <x:c r="A875" s="19" t="str">
        <x:v>SALE-00871</x:v>
      </x:c>
      <x:c r="B875" s="34" t="n">
        <x:v>46210.5</x:v>
      </x:c>
      <x:c r="C875" s="19" t="str">
        <x:v>周二</x:v>
      </x:c>
      <x:c r="D875" s="19" t="str">
        <x:v>S04</x:v>
      </x:c>
      <x:c r="E875" s="19" t="str">
        <x:v>金街美地店</x:v>
      </x:c>
      <x:c r="F875" s="19" t="str">
        <x:v>外卖</x:v>
      </x:c>
      <x:c r="G875" s="19" t="str">
        <x:v>全日</x:v>
      </x:c>
      <x:c r="H875" s="19" t="str">
        <x:v>D11</x:v>
      </x:c>
      <x:c r="I875" s="19" t="str">
        <x:v>香辣爆肥肠</x:v>
      </x:c>
      <x:c r="J875" s="22" t="n">
        <x:f>XLOOKUP(H875,'菜品主数据'!$A$5:$A$24,'菜品主数据'!$D$5:$D$24,0)</x:f>
        <x:v>39</x:v>
      </x:c>
      <x:c r="K875" s="31" t="n">
        <x:v>0</x:v>
      </x:c>
      <x:c r="L875" s="35" t="n">
        <x:f>J875*K875</x:f>
        <x:v>0</x:v>
      </x:c>
      <x:c r="M875" s="36" t="n">
        <x:v>0.08</x:v>
      </x:c>
      <x:c r="N875" s="35" t="n">
        <x:f>L875*M875</x:f>
        <x:v>0</x:v>
      </x:c>
      <x:c r="O875" s="37" t="n">
        <x:v>0.18</x:v>
      </x:c>
      <x:c r="P875" s="35" t="n">
        <x:f>L875*O875</x:f>
        <x:v>0</x:v>
      </x:c>
      <x:c r="Q875" s="35" t="n">
        <x:v>1.2</x:v>
      </x:c>
      <x:c r="R875" s="35" t="n">
        <x:f>K875*Q875</x:f>
        <x:v>0</x:v>
      </x:c>
      <x:c r="S875" s="35" t="n">
        <x:f>XLOOKUP(H875,'菜品主数据'!$A$5:$A$24,'菜品主数据'!$G$5:$G$24,0)</x:f>
        <x:v>10.397</x:v>
      </x:c>
      <x:c r="T875" s="35" t="n">
        <x:f>K875*S875</x:f>
        <x:v>0</x:v>
      </x:c>
      <x:c r="U875" s="35" t="n">
        <x:f>L875-N875-P875-R875-T875</x:f>
        <x:v>0</x:v>
      </x:c>
      <x:c r="V875" s="21" t="n">
        <x:f>IFERROR(U875/L875,0)</x:f>
        <x:v>0</x:v>
      </x:c>
    </x:row>
    <x:row r="876">
      <x:c r="A876" s="19" t="str">
        <x:v>SALE-00872</x:v>
      </x:c>
      <x:c r="B876" s="34" t="n">
        <x:v>46210.5</x:v>
      </x:c>
      <x:c r="C876" s="19" t="str">
        <x:v>周二</x:v>
      </x:c>
      <x:c r="D876" s="19" t="str">
        <x:v>S04</x:v>
      </x:c>
      <x:c r="E876" s="19" t="str">
        <x:v>金街美地店</x:v>
      </x:c>
      <x:c r="F876" s="19" t="str">
        <x:v>外卖</x:v>
      </x:c>
      <x:c r="G876" s="19" t="str">
        <x:v>全日</x:v>
      </x:c>
      <x:c r="H876" s="19" t="str">
        <x:v>D12</x:v>
      </x:c>
      <x:c r="I876" s="19" t="str">
        <x:v>清蒸鲈鱼</x:v>
      </x:c>
      <x:c r="J876" s="22" t="n">
        <x:f>XLOOKUP(H876,'菜品主数据'!$A$5:$A$24,'菜品主数据'!$D$5:$D$24,0)</x:f>
        <x:v>39</x:v>
      </x:c>
      <x:c r="K876" s="31" t="n">
        <x:v>0</x:v>
      </x:c>
      <x:c r="L876" s="35" t="n">
        <x:f>J876*K876</x:f>
        <x:v>0</x:v>
      </x:c>
      <x:c r="M876" s="36" t="n">
        <x:v>0.08</x:v>
      </x:c>
      <x:c r="N876" s="35" t="n">
        <x:f>L876*M876</x:f>
        <x:v>0</x:v>
      </x:c>
      <x:c r="O876" s="37" t="n">
        <x:v>0.18</x:v>
      </x:c>
      <x:c r="P876" s="35" t="n">
        <x:f>L876*O876</x:f>
        <x:v>0</x:v>
      </x:c>
      <x:c r="Q876" s="35" t="n">
        <x:v>1.2</x:v>
      </x:c>
      <x:c r="R876" s="35" t="n">
        <x:f>K876*Q876</x:f>
        <x:v>0</x:v>
      </x:c>
      <x:c r="S876" s="35" t="n">
        <x:f>XLOOKUP(H876,'菜品主数据'!$A$5:$A$24,'菜品主数据'!$G$5:$G$24,0)</x:f>
        <x:v>18.874</x:v>
      </x:c>
      <x:c r="T876" s="35" t="n">
        <x:f>K876*S876</x:f>
        <x:v>0</x:v>
      </x:c>
      <x:c r="U876" s="35" t="n">
        <x:f>L876-N876-P876-R876-T876</x:f>
        <x:v>0</x:v>
      </x:c>
      <x:c r="V876" s="21" t="n">
        <x:f>IFERROR(U876/L876,0)</x:f>
        <x:v>0</x:v>
      </x:c>
    </x:row>
    <x:row r="877">
      <x:c r="A877" s="19" t="str">
        <x:v>SALE-00873</x:v>
      </x:c>
      <x:c r="B877" s="34" t="n">
        <x:v>46210.5</x:v>
      </x:c>
      <x:c r="C877" s="19" t="str">
        <x:v>周二</x:v>
      </x:c>
      <x:c r="D877" s="19" t="str">
        <x:v>S04</x:v>
      </x:c>
      <x:c r="E877" s="19" t="str">
        <x:v>金街美地店</x:v>
      </x:c>
      <x:c r="F877" s="19" t="str">
        <x:v>外卖</x:v>
      </x:c>
      <x:c r="G877" s="19" t="str">
        <x:v>全日</x:v>
      </x:c>
      <x:c r="H877" s="19" t="str">
        <x:v>D13</x:v>
      </x:c>
      <x:c r="I877" s="19" t="str">
        <x:v>外婆菜炒蛋</x:v>
      </x:c>
      <x:c r="J877" s="22" t="n">
        <x:f>XLOOKUP(H877,'菜品主数据'!$A$5:$A$24,'菜品主数据'!$D$5:$D$24,0)</x:f>
        <x:v>18</x:v>
      </x:c>
      <x:c r="K877" s="31" t="n">
        <x:v>1</x:v>
      </x:c>
      <x:c r="L877" s="35" t="n">
        <x:f>J877*K877</x:f>
        <x:v>18</x:v>
      </x:c>
      <x:c r="M877" s="36" t="n">
        <x:v>0.08</x:v>
      </x:c>
      <x:c r="N877" s="35" t="n">
        <x:f>L877*M877</x:f>
        <x:v>1.44</x:v>
      </x:c>
      <x:c r="O877" s="37" t="n">
        <x:v>0.18</x:v>
      </x:c>
      <x:c r="P877" s="35" t="n">
        <x:f>L877*O877</x:f>
        <x:v>3.2399999999999998</x:v>
      </x:c>
      <x:c r="Q877" s="35" t="n">
        <x:v>1.2</x:v>
      </x:c>
      <x:c r="R877" s="35" t="n">
        <x:f>K877*Q877</x:f>
        <x:v>1.2</x:v>
      </x:c>
      <x:c r="S877" s="35" t="n">
        <x:f>XLOOKUP(H877,'菜品主数据'!$A$5:$A$24,'菜品主数据'!$G$5:$G$24,0)</x:f>
        <x:v>5.403999999999999</x:v>
      </x:c>
      <x:c r="T877" s="35" t="n">
        <x:f>K877*S877</x:f>
        <x:v>5.403999999999999</x:v>
      </x:c>
      <x:c r="U877" s="35" t="n">
        <x:f>L877-N877-P877-R877-T877</x:f>
        <x:v>6.716</x:v>
      </x:c>
      <x:c r="V877" s="21" t="n">
        <x:f>IFERROR(U877/L877,0)</x:f>
        <x:v>0.3731111111111111</x:v>
      </x:c>
    </x:row>
    <x:row r="878">
      <x:c r="A878" s="19" t="str">
        <x:v>SALE-00874</x:v>
      </x:c>
      <x:c r="B878" s="34" t="n">
        <x:v>46210.5</x:v>
      </x:c>
      <x:c r="C878" s="19" t="str">
        <x:v>周二</x:v>
      </x:c>
      <x:c r="D878" s="19" t="str">
        <x:v>S04</x:v>
      </x:c>
      <x:c r="E878" s="19" t="str">
        <x:v>金街美地店</x:v>
      </x:c>
      <x:c r="F878" s="19" t="str">
        <x:v>外卖</x:v>
      </x:c>
      <x:c r="G878" s="19" t="str">
        <x:v>全日</x:v>
      </x:c>
      <x:c r="H878" s="19" t="str">
        <x:v>D14</x:v>
      </x:c>
      <x:c r="I878" s="19" t="str">
        <x:v>酸辣鸡杂</x:v>
      </x:c>
      <x:c r="J878" s="22" t="n">
        <x:f>XLOOKUP(H878,'菜品主数据'!$A$5:$A$24,'菜品主数据'!$D$5:$D$24,0)</x:f>
        <x:v>28</x:v>
      </x:c>
      <x:c r="K878" s="31" t="n">
        <x:v>0</x:v>
      </x:c>
      <x:c r="L878" s="35" t="n">
        <x:f>J878*K878</x:f>
        <x:v>0</x:v>
      </x:c>
      <x:c r="M878" s="36" t="n">
        <x:v>0.08</x:v>
      </x:c>
      <x:c r="N878" s="35" t="n">
        <x:f>L878*M878</x:f>
        <x:v>0</x:v>
      </x:c>
      <x:c r="O878" s="37" t="n">
        <x:v>0.18</x:v>
      </x:c>
      <x:c r="P878" s="35" t="n">
        <x:f>L878*O878</x:f>
        <x:v>0</x:v>
      </x:c>
      <x:c r="Q878" s="35" t="n">
        <x:v>1.2</x:v>
      </x:c>
      <x:c r="R878" s="35" t="n">
        <x:f>K878*Q878</x:f>
        <x:v>0</x:v>
      </x:c>
      <x:c r="S878" s="35" t="n">
        <x:f>XLOOKUP(H878,'菜品主数据'!$A$5:$A$24,'菜品主数据'!$G$5:$G$24,0)</x:f>
        <x:v>8.315000000000001</x:v>
      </x:c>
      <x:c r="T878" s="35" t="n">
        <x:f>K878*S878</x:f>
        <x:v>0</x:v>
      </x:c>
      <x:c r="U878" s="35" t="n">
        <x:f>L878-N878-P878-R878-T878</x:f>
        <x:v>0</x:v>
      </x:c>
      <x:c r="V878" s="21" t="n">
        <x:f>IFERROR(U878/L878,0)</x:f>
        <x:v>0</x:v>
      </x:c>
    </x:row>
    <x:row r="879">
      <x:c r="A879" s="19" t="str">
        <x:v>SALE-00875</x:v>
      </x:c>
      <x:c r="B879" s="34" t="n">
        <x:v>46210.5</x:v>
      </x:c>
      <x:c r="C879" s="19" t="str">
        <x:v>周二</x:v>
      </x:c>
      <x:c r="D879" s="19" t="str">
        <x:v>S04</x:v>
      </x:c>
      <x:c r="E879" s="19" t="str">
        <x:v>金街美地店</x:v>
      </x:c>
      <x:c r="F879" s="19" t="str">
        <x:v>外卖</x:v>
      </x:c>
      <x:c r="G879" s="19" t="str">
        <x:v>全日</x:v>
      </x:c>
      <x:c r="H879" s="19" t="str">
        <x:v>D15</x:v>
      </x:c>
      <x:c r="I879" s="19" t="str">
        <x:v>湘西土匪猪肝</x:v>
      </x:c>
      <x:c r="J879" s="22" t="n">
        <x:f>XLOOKUP(H879,'菜品主数据'!$A$5:$A$24,'菜品主数据'!$D$5:$D$24,0)</x:f>
        <x:v>26</x:v>
      </x:c>
      <x:c r="K879" s="31" t="n">
        <x:v>0</x:v>
      </x:c>
      <x:c r="L879" s="35" t="n">
        <x:f>J879*K879</x:f>
        <x:v>0</x:v>
      </x:c>
      <x:c r="M879" s="36" t="n">
        <x:v>0.08</x:v>
      </x:c>
      <x:c r="N879" s="35" t="n">
        <x:f>L879*M879</x:f>
        <x:v>0</x:v>
      </x:c>
      <x:c r="O879" s="37" t="n">
        <x:v>0.18</x:v>
      </x:c>
      <x:c r="P879" s="35" t="n">
        <x:f>L879*O879</x:f>
        <x:v>0</x:v>
      </x:c>
      <x:c r="Q879" s="35" t="n">
        <x:v>1.2</x:v>
      </x:c>
      <x:c r="R879" s="35" t="n">
        <x:f>K879*Q879</x:f>
        <x:v>0</x:v>
      </x:c>
      <x:c r="S879" s="35" t="n">
        <x:f>XLOOKUP(H879,'菜品主数据'!$A$5:$A$24,'菜品主数据'!$G$5:$G$24,0)</x:f>
        <x:v>6.3759999999999994</x:v>
      </x:c>
      <x:c r="T879" s="35" t="n">
        <x:f>K879*S879</x:f>
        <x:v>0</x:v>
      </x:c>
      <x:c r="U879" s="35" t="n">
        <x:f>L879-N879-P879-R879-T879</x:f>
        <x:v>0</x:v>
      </x:c>
      <x:c r="V879" s="21" t="n">
        <x:f>IFERROR(U879/L879,0)</x:f>
        <x:v>0</x:v>
      </x:c>
    </x:row>
    <x:row r="880">
      <x:c r="A880" s="19" t="str">
        <x:v>SALE-00876</x:v>
      </x:c>
      <x:c r="B880" s="34" t="n">
        <x:v>46210.5</x:v>
      </x:c>
      <x:c r="C880" s="19" t="str">
        <x:v>周二</x:v>
      </x:c>
      <x:c r="D880" s="19" t="str">
        <x:v>S04</x:v>
      </x:c>
      <x:c r="E880" s="19" t="str">
        <x:v>金街美地店</x:v>
      </x:c>
      <x:c r="F880" s="19" t="str">
        <x:v>外卖</x:v>
      </x:c>
      <x:c r="G880" s="19" t="str">
        <x:v>全日</x:v>
      </x:c>
      <x:c r="H880" s="19" t="str">
        <x:v>D16</x:v>
      </x:c>
      <x:c r="I880" s="19" t="str">
        <x:v>小豆角炒五花</x:v>
      </x:c>
      <x:c r="J880" s="22" t="n">
        <x:f>XLOOKUP(H880,'菜品主数据'!$A$5:$A$24,'菜品主数据'!$D$5:$D$24,0)</x:f>
        <x:v>25</x:v>
      </x:c>
      <x:c r="K880" s="31" t="n">
        <x:v>0</x:v>
      </x:c>
      <x:c r="L880" s="35" t="n">
        <x:f>J880*K880</x:f>
        <x:v>0</x:v>
      </x:c>
      <x:c r="M880" s="36" t="n">
        <x:v>0.08</x:v>
      </x:c>
      <x:c r="N880" s="35" t="n">
        <x:f>L880*M880</x:f>
        <x:v>0</x:v>
      </x:c>
      <x:c r="O880" s="37" t="n">
        <x:v>0.18</x:v>
      </x:c>
      <x:c r="P880" s="35" t="n">
        <x:f>L880*O880</x:f>
        <x:v>0</x:v>
      </x:c>
      <x:c r="Q880" s="35" t="n">
        <x:v>1.2</x:v>
      </x:c>
      <x:c r="R880" s="35" t="n">
        <x:f>K880*Q880</x:f>
        <x:v>0</x:v>
      </x:c>
      <x:c r="S880" s="35" t="n">
        <x:f>XLOOKUP(H880,'菜品主数据'!$A$5:$A$24,'菜品主数据'!$G$5:$G$24,0)</x:f>
        <x:v>8.184</x:v>
      </x:c>
      <x:c r="T880" s="35" t="n">
        <x:f>K880*S880</x:f>
        <x:v>0</x:v>
      </x:c>
      <x:c r="U880" s="35" t="n">
        <x:f>L880-N880-P880-R880-T880</x:f>
        <x:v>0</x:v>
      </x:c>
      <x:c r="V880" s="21" t="n">
        <x:f>IFERROR(U880/L880,0)</x:f>
        <x:v>0</x:v>
      </x:c>
    </x:row>
    <x:row r="881">
      <x:c r="A881" s="19" t="str">
        <x:v>SALE-00877</x:v>
      </x:c>
      <x:c r="B881" s="34" t="n">
        <x:v>46210.5</x:v>
      </x:c>
      <x:c r="C881" s="19" t="str">
        <x:v>周二</x:v>
      </x:c>
      <x:c r="D881" s="19" t="str">
        <x:v>S04</x:v>
      </x:c>
      <x:c r="E881" s="19" t="str">
        <x:v>金街美地店</x:v>
      </x:c>
      <x:c r="F881" s="19" t="str">
        <x:v>外卖</x:v>
      </x:c>
      <x:c r="G881" s="19" t="str">
        <x:v>全日</x:v>
      </x:c>
      <x:c r="H881" s="19" t="str">
        <x:v>D17</x:v>
      </x:c>
      <x:c r="I881" s="19" t="str">
        <x:v>蒜蓉粉丝虾</x:v>
      </x:c>
      <x:c r="J881" s="22" t="n">
        <x:f>XLOOKUP(H881,'菜品主数据'!$A$5:$A$24,'菜品主数据'!$D$5:$D$24,0)</x:f>
        <x:v>36</x:v>
      </x:c>
      <x:c r="K881" s="31" t="n">
        <x:v>0</x:v>
      </x:c>
      <x:c r="L881" s="35" t="n">
        <x:f>J881*K881</x:f>
        <x:v>0</x:v>
      </x:c>
      <x:c r="M881" s="36" t="n">
        <x:v>0.08</x:v>
      </x:c>
      <x:c r="N881" s="35" t="n">
        <x:f>L881*M881</x:f>
        <x:v>0</x:v>
      </x:c>
      <x:c r="O881" s="37" t="n">
        <x:v>0.18</x:v>
      </x:c>
      <x:c r="P881" s="35" t="n">
        <x:f>L881*O881</x:f>
        <x:v>0</x:v>
      </x:c>
      <x:c r="Q881" s="35" t="n">
        <x:v>1.2</x:v>
      </x:c>
      <x:c r="R881" s="35" t="n">
        <x:f>K881*Q881</x:f>
        <x:v>0</x:v>
      </x:c>
      <x:c r="S881" s="35" t="n">
        <x:f>XLOOKUP(H881,'菜品主数据'!$A$5:$A$24,'菜品主数据'!$G$5:$G$24,0)</x:f>
        <x:v>13.594</x:v>
      </x:c>
      <x:c r="T881" s="35" t="n">
        <x:f>K881*S881</x:f>
        <x:v>0</x:v>
      </x:c>
      <x:c r="U881" s="35" t="n">
        <x:f>L881-N881-P881-R881-T881</x:f>
        <x:v>0</x:v>
      </x:c>
      <x:c r="V881" s="21" t="n">
        <x:f>IFERROR(U881/L881,0)</x:f>
        <x:v>0</x:v>
      </x:c>
    </x:row>
    <x:row r="882">
      <x:c r="A882" s="19" t="str">
        <x:v>SALE-00878</x:v>
      </x:c>
      <x:c r="B882" s="34" t="n">
        <x:v>46210.5</x:v>
      </x:c>
      <x:c r="C882" s="19" t="str">
        <x:v>周二</x:v>
      </x:c>
      <x:c r="D882" s="19" t="str">
        <x:v>S04</x:v>
      </x:c>
      <x:c r="E882" s="19" t="str">
        <x:v>金街美地店</x:v>
      </x:c>
      <x:c r="F882" s="19" t="str">
        <x:v>外卖</x:v>
      </x:c>
      <x:c r="G882" s="19" t="str">
        <x:v>全日</x:v>
      </x:c>
      <x:c r="H882" s="19" t="str">
        <x:v>D18</x:v>
      </x:c>
      <x:c r="I882" s="19" t="str">
        <x:v>青椒炒油麦菜</x:v>
      </x:c>
      <x:c r="J882" s="22" t="n">
        <x:f>XLOOKUP(H882,'菜品主数据'!$A$5:$A$24,'菜品主数据'!$D$5:$D$24,0)</x:f>
        <x:v>18</x:v>
      </x:c>
      <x:c r="K882" s="31" t="n">
        <x:v>0</x:v>
      </x:c>
      <x:c r="L882" s="35" t="n">
        <x:f>J882*K882</x:f>
        <x:v>0</x:v>
      </x:c>
      <x:c r="M882" s="36" t="n">
        <x:v>0.08</x:v>
      </x:c>
      <x:c r="N882" s="35" t="n">
        <x:f>L882*M882</x:f>
        <x:v>0</x:v>
      </x:c>
      <x:c r="O882" s="37" t="n">
        <x:v>0.18</x:v>
      </x:c>
      <x:c r="P882" s="35" t="n">
        <x:f>L882*O882</x:f>
        <x:v>0</x:v>
      </x:c>
      <x:c r="Q882" s="35" t="n">
        <x:v>1.2</x:v>
      </x:c>
      <x:c r="R882" s="35" t="n">
        <x:f>K882*Q882</x:f>
        <x:v>0</x:v>
      </x:c>
      <x:c r="S882" s="35" t="n">
        <x:f>XLOOKUP(H882,'菜品主数据'!$A$5:$A$24,'菜品主数据'!$G$5:$G$24,0)</x:f>
        <x:v>3.1759999999999993</x:v>
      </x:c>
      <x:c r="T882" s="35" t="n">
        <x:f>K882*S882</x:f>
        <x:v>0</x:v>
      </x:c>
      <x:c r="U882" s="35" t="n">
        <x:f>L882-N882-P882-R882-T882</x:f>
        <x:v>0</x:v>
      </x:c>
      <x:c r="V882" s="21" t="n">
        <x:f>IFERROR(U882/L882,0)</x:f>
        <x:v>0</x:v>
      </x:c>
    </x:row>
    <x:row r="883">
      <x:c r="A883" s="19" t="str">
        <x:v>SALE-00879</x:v>
      </x:c>
      <x:c r="B883" s="34" t="n">
        <x:v>46210.5</x:v>
      </x:c>
      <x:c r="C883" s="19" t="str">
        <x:v>周二</x:v>
      </x:c>
      <x:c r="D883" s="19" t="str">
        <x:v>S04</x:v>
      </x:c>
      <x:c r="E883" s="19" t="str">
        <x:v>金街美地店</x:v>
      </x:c>
      <x:c r="F883" s="19" t="str">
        <x:v>外卖</x:v>
      </x:c>
      <x:c r="G883" s="19" t="str">
        <x:v>全日</x:v>
      </x:c>
      <x:c r="H883" s="19" t="str">
        <x:v>D19</x:v>
      </x:c>
      <x:c r="I883" s="19" t="str">
        <x:v>酸萝卜炒鸡杂</x:v>
      </x:c>
      <x:c r="J883" s="22" t="n">
        <x:f>XLOOKUP(H883,'菜品主数据'!$A$5:$A$24,'菜品主数据'!$D$5:$D$24,0)</x:f>
        <x:v>25</x:v>
      </x:c>
      <x:c r="K883" s="31" t="n">
        <x:v>0</x:v>
      </x:c>
      <x:c r="L883" s="35" t="n">
        <x:f>J883*K883</x:f>
        <x:v>0</x:v>
      </x:c>
      <x:c r="M883" s="36" t="n">
        <x:v>0.08</x:v>
      </x:c>
      <x:c r="N883" s="35" t="n">
        <x:f>L883*M883</x:f>
        <x:v>0</x:v>
      </x:c>
      <x:c r="O883" s="37" t="n">
        <x:v>0.18</x:v>
      </x:c>
      <x:c r="P883" s="35" t="n">
        <x:f>L883*O883</x:f>
        <x:v>0</x:v>
      </x:c>
      <x:c r="Q883" s="35" t="n">
        <x:v>1.2</x:v>
      </x:c>
      <x:c r="R883" s="35" t="n">
        <x:f>K883*Q883</x:f>
        <x:v>0</x:v>
      </x:c>
      <x:c r="S883" s="35" t="n">
        <x:f>XLOOKUP(H883,'菜品主数据'!$A$5:$A$24,'菜品主数据'!$G$5:$G$24,0)</x:f>
        <x:v>7.9399999999999995</x:v>
      </x:c>
      <x:c r="T883" s="35" t="n">
        <x:f>K883*S883</x:f>
        <x:v>0</x:v>
      </x:c>
      <x:c r="U883" s="35" t="n">
        <x:f>L883-N883-P883-R883-T883</x:f>
        <x:v>0</x:v>
      </x:c>
      <x:c r="V883" s="21" t="n">
        <x:f>IFERROR(U883/L883,0)</x:f>
        <x:v>0</x:v>
      </x:c>
    </x:row>
    <x:row r="884">
      <x:c r="A884" s="19" t="str">
        <x:v>SALE-00880</x:v>
      </x:c>
      <x:c r="B884" s="34" t="n">
        <x:v>46210.5</x:v>
      </x:c>
      <x:c r="C884" s="19" t="str">
        <x:v>周二</x:v>
      </x:c>
      <x:c r="D884" s="19" t="str">
        <x:v>S04</x:v>
      </x:c>
      <x:c r="E884" s="19" t="str">
        <x:v>金街美地店</x:v>
      </x:c>
      <x:c r="F884" s="19" t="str">
        <x:v>外卖</x:v>
      </x:c>
      <x:c r="G884" s="19" t="str">
        <x:v>全日</x:v>
      </x:c>
      <x:c r="H884" s="19" t="str">
        <x:v>D20</x:v>
      </x:c>
      <x:c r="I884" s="19" t="str">
        <x:v>雪菜肉末青豆</x:v>
      </x:c>
      <x:c r="J884" s="22" t="n">
        <x:f>XLOOKUP(H884,'菜品主数据'!$A$5:$A$24,'菜品主数据'!$D$5:$D$24,0)</x:f>
        <x:v>18</x:v>
      </x:c>
      <x:c r="K884" s="31" t="n">
        <x:v>1</x:v>
      </x:c>
      <x:c r="L884" s="35" t="n">
        <x:f>J884*K884</x:f>
        <x:v>18</x:v>
      </x:c>
      <x:c r="M884" s="36" t="n">
        <x:v>0.08</x:v>
      </x:c>
      <x:c r="N884" s="35" t="n">
        <x:f>L884*M884</x:f>
        <x:v>1.44</x:v>
      </x:c>
      <x:c r="O884" s="37" t="n">
        <x:v>0.18</x:v>
      </x:c>
      <x:c r="P884" s="35" t="n">
        <x:f>L884*O884</x:f>
        <x:v>3.2399999999999998</x:v>
      </x:c>
      <x:c r="Q884" s="35" t="n">
        <x:v>1.2</x:v>
      </x:c>
      <x:c r="R884" s="35" t="n">
        <x:f>K884*Q884</x:f>
        <x:v>1.2</x:v>
      </x:c>
      <x:c r="S884" s="35" t="n">
        <x:f>XLOOKUP(H884,'菜品主数据'!$A$5:$A$24,'菜品主数据'!$G$5:$G$24,0)</x:f>
        <x:v>7.303999999999999</x:v>
      </x:c>
      <x:c r="T884" s="35" t="n">
        <x:f>K884*S884</x:f>
        <x:v>7.303999999999999</x:v>
      </x:c>
      <x:c r="U884" s="35" t="n">
        <x:f>L884-N884-P884-R884-T884</x:f>
        <x:v>4.816</x:v>
      </x:c>
      <x:c r="V884" s="21" t="n">
        <x:f>IFERROR(U884/L884,0)</x:f>
        <x:v>0.26755555555555555</x:v>
      </x:c>
    </x:row>
    <x:row r="885">
      <x:c r="A885" s="19" t="str">
        <x:v>SALE-00881</x:v>
      </x:c>
      <x:c r="B885" s="34" t="n">
        <x:v>46211.5</x:v>
      </x:c>
      <x:c r="C885" s="19" t="str">
        <x:v>周三</x:v>
      </x:c>
      <x:c r="D885" s="19" t="str">
        <x:v>S04</x:v>
      </x:c>
      <x:c r="E885" s="19" t="str">
        <x:v>金街美地店</x:v>
      </x:c>
      <x:c r="F885" s="19" t="str">
        <x:v>堂食</x:v>
      </x:c>
      <x:c r="G885" s="19" t="str">
        <x:v>全日</x:v>
      </x:c>
      <x:c r="H885" s="19" t="str">
        <x:v>D01</x:v>
      </x:c>
      <x:c r="I885" s="19" t="str">
        <x:v>辣椒炒肉</x:v>
      </x:c>
      <x:c r="J885" s="22" t="n">
        <x:f>XLOOKUP(H885,'菜品主数据'!$A$5:$A$24,'菜品主数据'!$D$5:$D$24,0)</x:f>
        <x:v>29</x:v>
      </x:c>
      <x:c r="K885" s="31" t="n">
        <x:v>43</x:v>
      </x:c>
      <x:c r="L885" s="35" t="n">
        <x:f>J885*K885</x:f>
        <x:v>1247</x:v>
      </x:c>
      <x:c r="M885" s="36" t="n">
        <x:v>0</x:v>
      </x:c>
      <x:c r="N885" s="35" t="n">
        <x:f>L885*M885</x:f>
        <x:v>0</x:v>
      </x:c>
      <x:c r="O885" s="37" t="n">
        <x:v>0</x:v>
      </x:c>
      <x:c r="P885" s="35" t="n">
        <x:f>L885*O885</x:f>
        <x:v>0</x:v>
      </x:c>
      <x:c r="Q885" s="35" t="n">
        <x:v>0</x:v>
      </x:c>
      <x:c r="R885" s="35" t="n">
        <x:f>K885*Q885</x:f>
        <x:v>0</x:v>
      </x:c>
      <x:c r="S885" s="35" t="n">
        <x:f>XLOOKUP(H885,'菜品主数据'!$A$5:$A$24,'菜品主数据'!$G$5:$G$24,0)</x:f>
        <x:v>8.634400000000001</x:v>
      </x:c>
      <x:c r="T885" s="35" t="n">
        <x:f>K885*S885</x:f>
        <x:v>371.27920000000006</x:v>
      </x:c>
      <x:c r="U885" s="35" t="n">
        <x:f>L885-N885-P885-R885-T885</x:f>
        <x:v>875.7207999999999</x:v>
      </x:c>
      <x:c r="V885" s="21" t="n">
        <x:f>IFERROR(U885/L885,0)</x:f>
        <x:v>0.7022620689655172</x:v>
      </x:c>
    </x:row>
    <x:row r="886">
      <x:c r="A886" s="19" t="str">
        <x:v>SALE-00882</x:v>
      </x:c>
      <x:c r="B886" s="34" t="n">
        <x:v>46211.5</x:v>
      </x:c>
      <x:c r="C886" s="19" t="str">
        <x:v>周三</x:v>
      </x:c>
      <x:c r="D886" s="19" t="str">
        <x:v>S04</x:v>
      </x:c>
      <x:c r="E886" s="19" t="str">
        <x:v>金街美地店</x:v>
      </x:c>
      <x:c r="F886" s="19" t="str">
        <x:v>堂食</x:v>
      </x:c>
      <x:c r="G886" s="19" t="str">
        <x:v>全日</x:v>
      </x:c>
      <x:c r="H886" s="19" t="str">
        <x:v>D02</x:v>
      </x:c>
      <x:c r="I886" s="19" t="str">
        <x:v>小炒黄牛肉</x:v>
      </x:c>
      <x:c r="J886" s="22" t="n">
        <x:f>XLOOKUP(H886,'菜品主数据'!$A$5:$A$24,'菜品主数据'!$D$5:$D$24,0)</x:f>
        <x:v>49</x:v>
      </x:c>
      <x:c r="K886" s="31" t="n">
        <x:v>26</x:v>
      </x:c>
      <x:c r="L886" s="35" t="n">
        <x:f>J886*K886</x:f>
        <x:v>1274</x:v>
      </x:c>
      <x:c r="M886" s="36" t="n">
        <x:v>0</x:v>
      </x:c>
      <x:c r="N886" s="35" t="n">
        <x:f>L886*M886</x:f>
        <x:v>0</x:v>
      </x:c>
      <x:c r="O886" s="37" t="n">
        <x:v>0</x:v>
      </x:c>
      <x:c r="P886" s="35" t="n">
        <x:f>L886*O886</x:f>
        <x:v>0</x:v>
      </x:c>
      <x:c r="Q886" s="35" t="n">
        <x:v>0</x:v>
      </x:c>
      <x:c r="R886" s="35" t="n">
        <x:f>K886*Q886</x:f>
        <x:v>0</x:v>
      </x:c>
      <x:c r="S886" s="35" t="n">
        <x:f>XLOOKUP(H886,'菜品主数据'!$A$5:$A$24,'菜品主数据'!$G$5:$G$24,0)</x:f>
        <x:v>17.577</x:v>
      </x:c>
      <x:c r="T886" s="35" t="n">
        <x:f>K886*S886</x:f>
        <x:v>457.00200000000007</x:v>
      </x:c>
      <x:c r="U886" s="35" t="n">
        <x:f>L886-N886-P886-R886-T886</x:f>
        <x:v>816.9979999999999</x:v>
      </x:c>
      <x:c r="V886" s="21" t="n">
        <x:f>IFERROR(U886/L886,0)</x:f>
        <x:v>0.6412857142857142</x:v>
      </x:c>
    </x:row>
    <x:row r="887">
      <x:c r="A887" s="19" t="str">
        <x:v>SALE-00883</x:v>
      </x:c>
      <x:c r="B887" s="34" t="n">
        <x:v>46211.5</x:v>
      </x:c>
      <x:c r="C887" s="19" t="str">
        <x:v>周三</x:v>
      </x:c>
      <x:c r="D887" s="19" t="str">
        <x:v>S04</x:v>
      </x:c>
      <x:c r="E887" s="19" t="str">
        <x:v>金街美地店</x:v>
      </x:c>
      <x:c r="F887" s="19" t="str">
        <x:v>堂食</x:v>
      </x:c>
      <x:c r="G887" s="19" t="str">
        <x:v>全日</x:v>
      </x:c>
      <x:c r="H887" s="19" t="str">
        <x:v>D03</x:v>
      </x:c>
      <x:c r="I887" s="19" t="str">
        <x:v>香醋炒蛋</x:v>
      </x:c>
      <x:c r="J887" s="22" t="n">
        <x:f>XLOOKUP(H887,'菜品主数据'!$A$5:$A$24,'菜品主数据'!$D$5:$D$24,0)</x:f>
        <x:v>14.9</x:v>
      </x:c>
      <x:c r="K887" s="31" t="n">
        <x:v>38</x:v>
      </x:c>
      <x:c r="L887" s="35" t="n">
        <x:f>J887*K887</x:f>
        <x:v>566.2</x:v>
      </x:c>
      <x:c r="M887" s="36" t="n">
        <x:v>0</x:v>
      </x:c>
      <x:c r="N887" s="35" t="n">
        <x:f>L887*M887</x:f>
        <x:v>0</x:v>
      </x:c>
      <x:c r="O887" s="37" t="n">
        <x:v>0</x:v>
      </x:c>
      <x:c r="P887" s="35" t="n">
        <x:f>L887*O887</x:f>
        <x:v>0</x:v>
      </x:c>
      <x:c r="Q887" s="35" t="n">
        <x:v>0</x:v>
      </x:c>
      <x:c r="R887" s="35" t="n">
        <x:f>K887*Q887</x:f>
        <x:v>0</x:v>
      </x:c>
      <x:c r="S887" s="35" t="n">
        <x:f>XLOOKUP(H887,'菜品主数据'!$A$5:$A$24,'菜品主数据'!$G$5:$G$24,0)</x:f>
        <x:v>3.7459999999999996</x:v>
      </x:c>
      <x:c r="T887" s="35" t="n">
        <x:f>K887*S887</x:f>
        <x:v>142.34799999999998</x:v>
      </x:c>
      <x:c r="U887" s="35" t="n">
        <x:f>L887-N887-P887-R887-T887</x:f>
        <x:v>423.8520000000001</x:v>
      </x:c>
      <x:c r="V887" s="21" t="n">
        <x:f>IFERROR(U887/L887,0)</x:f>
        <x:v>0.7485906040268457</x:v>
      </x:c>
    </x:row>
    <x:row r="888">
      <x:c r="A888" s="19" t="str">
        <x:v>SALE-00884</x:v>
      </x:c>
      <x:c r="B888" s="34" t="n">
        <x:v>46211.5</x:v>
      </x:c>
      <x:c r="C888" s="19" t="str">
        <x:v>周三</x:v>
      </x:c>
      <x:c r="D888" s="19" t="str">
        <x:v>S04</x:v>
      </x:c>
      <x:c r="E888" s="19" t="str">
        <x:v>金街美地店</x:v>
      </x:c>
      <x:c r="F888" s="19" t="str">
        <x:v>堂食</x:v>
      </x:c>
      <x:c r="G888" s="19" t="str">
        <x:v>全日</x:v>
      </x:c>
      <x:c r="H888" s="19" t="str">
        <x:v>D04</x:v>
      </x:c>
      <x:c r="I888" s="19" t="str">
        <x:v>酸包菜炒粉皮</x:v>
      </x:c>
      <x:c r="J888" s="22" t="n">
        <x:f>XLOOKUP(H888,'菜品主数据'!$A$5:$A$24,'菜品主数据'!$D$5:$D$24,0)</x:f>
        <x:v>16</x:v>
      </x:c>
      <x:c r="K888" s="31" t="n">
        <x:v>35</x:v>
      </x:c>
      <x:c r="L888" s="35" t="n">
        <x:f>J888*K888</x:f>
        <x:v>560</x:v>
      </x:c>
      <x:c r="M888" s="36" t="n">
        <x:v>0</x:v>
      </x:c>
      <x:c r="N888" s="35" t="n">
        <x:f>L888*M888</x:f>
        <x:v>0</x:v>
      </x:c>
      <x:c r="O888" s="37" t="n">
        <x:v>0</x:v>
      </x:c>
      <x:c r="P888" s="35" t="n">
        <x:f>L888*O888</x:f>
        <x:v>0</x:v>
      </x:c>
      <x:c r="Q888" s="35" t="n">
        <x:v>0</x:v>
      </x:c>
      <x:c r="R888" s="35" t="n">
        <x:f>K888*Q888</x:f>
        <x:v>0</x:v>
      </x:c>
      <x:c r="S888" s="35" t="n">
        <x:f>XLOOKUP(H888,'菜品主数据'!$A$5:$A$24,'菜品主数据'!$G$5:$G$24,0)</x:f>
        <x:v>3.978</x:v>
      </x:c>
      <x:c r="T888" s="35" t="n">
        <x:f>K888*S888</x:f>
        <x:v>139.23000000000002</x:v>
      </x:c>
      <x:c r="U888" s="35" t="n">
        <x:f>L888-N888-P888-R888-T888</x:f>
        <x:v>420.77</x:v>
      </x:c>
      <x:c r="V888" s="21" t="n">
        <x:f>IFERROR(U888/L888,0)</x:f>
        <x:v>0.751375</x:v>
      </x:c>
    </x:row>
    <x:row r="889">
      <x:c r="A889" s="19" t="str">
        <x:v>SALE-00885</x:v>
      </x:c>
      <x:c r="B889" s="34" t="n">
        <x:v>46211.5</x:v>
      </x:c>
      <x:c r="C889" s="19" t="str">
        <x:v>周三</x:v>
      </x:c>
      <x:c r="D889" s="19" t="str">
        <x:v>S04</x:v>
      </x:c>
      <x:c r="E889" s="19" t="str">
        <x:v>金街美地店</x:v>
      </x:c>
      <x:c r="F889" s="19" t="str">
        <x:v>堂食</x:v>
      </x:c>
      <x:c r="G889" s="19" t="str">
        <x:v>全日</x:v>
      </x:c>
      <x:c r="H889" s="19" t="str">
        <x:v>D05</x:v>
      </x:c>
      <x:c r="I889" s="19" t="str">
        <x:v>麻婆豆腐</x:v>
      </x:c>
      <x:c r="J889" s="22" t="n">
        <x:f>XLOOKUP(H889,'菜品主数据'!$A$5:$A$24,'菜品主数据'!$D$5:$D$24,0)</x:f>
        <x:v>9.9</x:v>
      </x:c>
      <x:c r="K889" s="31" t="n">
        <x:v>44</x:v>
      </x:c>
      <x:c r="L889" s="35" t="n">
        <x:f>J889*K889</x:f>
        <x:v>435.6</x:v>
      </x:c>
      <x:c r="M889" s="36" t="n">
        <x:v>0</x:v>
      </x:c>
      <x:c r="N889" s="35" t="n">
        <x:f>L889*M889</x:f>
        <x:v>0</x:v>
      </x:c>
      <x:c r="O889" s="37" t="n">
        <x:v>0</x:v>
      </x:c>
      <x:c r="P889" s="35" t="n">
        <x:f>L889*O889</x:f>
        <x:v>0</x:v>
      </x:c>
      <x:c r="Q889" s="35" t="n">
        <x:v>0</x:v>
      </x:c>
      <x:c r="R889" s="35" t="n">
        <x:f>K889*Q889</x:f>
        <x:v>0</x:v>
      </x:c>
      <x:c r="S889" s="35" t="n">
        <x:f>XLOOKUP(H889,'菜品主数据'!$A$5:$A$24,'菜品主数据'!$G$5:$G$24,0)</x:f>
        <x:v>5.367000000000001</x:v>
      </x:c>
      <x:c r="T889" s="35" t="n">
        <x:f>K889*S889</x:f>
        <x:v>236.14800000000002</x:v>
      </x:c>
      <x:c r="U889" s="35" t="n">
        <x:f>L889-N889-P889-R889-T889</x:f>
        <x:v>199.452</x:v>
      </x:c>
      <x:c r="V889" s="21" t="n">
        <x:f>IFERROR(U889/L889,0)</x:f>
        <x:v>0.45787878787878783</x:v>
      </x:c>
    </x:row>
    <x:row r="890">
      <x:c r="A890" s="19" t="str">
        <x:v>SALE-00886</x:v>
      </x:c>
      <x:c r="B890" s="34" t="n">
        <x:v>46211.5</x:v>
      </x:c>
      <x:c r="C890" s="19" t="str">
        <x:v>周三</x:v>
      </x:c>
      <x:c r="D890" s="19" t="str">
        <x:v>S04</x:v>
      </x:c>
      <x:c r="E890" s="19" t="str">
        <x:v>金街美地店</x:v>
      </x:c>
      <x:c r="F890" s="19" t="str">
        <x:v>堂食</x:v>
      </x:c>
      <x:c r="G890" s="19" t="str">
        <x:v>全日</x:v>
      </x:c>
      <x:c r="H890" s="19" t="str">
        <x:v>D06</x:v>
      </x:c>
      <x:c r="I890" s="19" t="str">
        <x:v>剁椒鱼头</x:v>
      </x:c>
      <x:c r="J890" s="22" t="n">
        <x:f>XLOOKUP(H890,'菜品主数据'!$A$5:$A$24,'菜品主数据'!$D$5:$D$24,0)</x:f>
        <x:v>39</x:v>
      </x:c>
      <x:c r="K890" s="31" t="n">
        <x:v>12</x:v>
      </x:c>
      <x:c r="L890" s="35" t="n">
        <x:f>J890*K890</x:f>
        <x:v>468</x:v>
      </x:c>
      <x:c r="M890" s="36" t="n">
        <x:v>0</x:v>
      </x:c>
      <x:c r="N890" s="35" t="n">
        <x:f>L890*M890</x:f>
        <x:v>0</x:v>
      </x:c>
      <x:c r="O890" s="37" t="n">
        <x:v>0</x:v>
      </x:c>
      <x:c r="P890" s="35" t="n">
        <x:f>L890*O890</x:f>
        <x:v>0</x:v>
      </x:c>
      <x:c r="Q890" s="35" t="n">
        <x:v>0</x:v>
      </x:c>
      <x:c r="R890" s="35" t="n">
        <x:f>K890*Q890</x:f>
        <x:v>0</x:v>
      </x:c>
      <x:c r="S890" s="35" t="n">
        <x:f>XLOOKUP(H890,'菜品主数据'!$A$5:$A$24,'菜品主数据'!$G$5:$G$24,0)</x:f>
        <x:v>17.446</x:v>
      </x:c>
      <x:c r="T890" s="35" t="n">
        <x:f>K890*S890</x:f>
        <x:v>209.35200000000003</x:v>
      </x:c>
      <x:c r="U890" s="35" t="n">
        <x:f>L890-N890-P890-R890-T890</x:f>
        <x:v>258.64799999999997</x:v>
      </x:c>
      <x:c r="V890" s="21" t="n">
        <x:f>IFERROR(U890/L890,0)</x:f>
        <x:v>0.5526666666666666</x:v>
      </x:c>
    </x:row>
    <x:row r="891">
      <x:c r="A891" s="19" t="str">
        <x:v>SALE-00887</x:v>
      </x:c>
      <x:c r="B891" s="34" t="n">
        <x:v>46211.5</x:v>
      </x:c>
      <x:c r="C891" s="19" t="str">
        <x:v>周三</x:v>
      </x:c>
      <x:c r="D891" s="19" t="str">
        <x:v>S04</x:v>
      </x:c>
      <x:c r="E891" s="19" t="str">
        <x:v>金街美地店</x:v>
      </x:c>
      <x:c r="F891" s="19" t="str">
        <x:v>堂食</x:v>
      </x:c>
      <x:c r="G891" s="19" t="str">
        <x:v>全日</x:v>
      </x:c>
      <x:c r="H891" s="19" t="str">
        <x:v>D07</x:v>
      </x:c>
      <x:c r="I891" s="19" t="str">
        <x:v>川味回锅肉</x:v>
      </x:c>
      <x:c r="J891" s="22" t="n">
        <x:f>XLOOKUP(H891,'菜品主数据'!$A$5:$A$24,'菜品主数据'!$D$5:$D$24,0)</x:f>
        <x:v>29</x:v>
      </x:c>
      <x:c r="K891" s="31" t="n">
        <x:v>14</x:v>
      </x:c>
      <x:c r="L891" s="35" t="n">
        <x:f>J891*K891</x:f>
        <x:v>406</x:v>
      </x:c>
      <x:c r="M891" s="36" t="n">
        <x:v>0</x:v>
      </x:c>
      <x:c r="N891" s="35" t="n">
        <x:f>L891*M891</x:f>
        <x:v>0</x:v>
      </x:c>
      <x:c r="O891" s="37" t="n">
        <x:v>0</x:v>
      </x:c>
      <x:c r="P891" s="35" t="n">
        <x:f>L891*O891</x:f>
        <x:v>0</x:v>
      </x:c>
      <x:c r="Q891" s="35" t="n">
        <x:v>0</x:v>
      </x:c>
      <x:c r="R891" s="35" t="n">
        <x:f>K891*Q891</x:f>
        <x:v>0</x:v>
      </x:c>
      <x:c r="S891" s="35" t="n">
        <x:f>XLOOKUP(H891,'菜品主数据'!$A$5:$A$24,'菜品主数据'!$G$5:$G$24,0)</x:f>
        <x:v>10.231000000000002</x:v>
      </x:c>
      <x:c r="T891" s="35" t="n">
        <x:f>K891*S891</x:f>
        <x:v>143.23400000000004</x:v>
      </x:c>
      <x:c r="U891" s="35" t="n">
        <x:f>L891-N891-P891-R891-T891</x:f>
        <x:v>262.76599999999996</x:v>
      </x:c>
      <x:c r="V891" s="21" t="n">
        <x:f>IFERROR(U891/L891,0)</x:f>
        <x:v>0.647206896551724</x:v>
      </x:c>
    </x:row>
    <x:row r="892">
      <x:c r="A892" s="19" t="str">
        <x:v>SALE-00888</x:v>
      </x:c>
      <x:c r="B892" s="34" t="n">
        <x:v>46211.5</x:v>
      </x:c>
      <x:c r="C892" s="19" t="str">
        <x:v>周三</x:v>
      </x:c>
      <x:c r="D892" s="19" t="str">
        <x:v>S04</x:v>
      </x:c>
      <x:c r="E892" s="19" t="str">
        <x:v>金街美地店</x:v>
      </x:c>
      <x:c r="F892" s="19" t="str">
        <x:v>堂食</x:v>
      </x:c>
      <x:c r="G892" s="19" t="str">
        <x:v>全日</x:v>
      </x:c>
      <x:c r="H892" s="19" t="str">
        <x:v>D08</x:v>
      </x:c>
      <x:c r="I892" s="19" t="str">
        <x:v>生炒清远鸡</x:v>
      </x:c>
      <x:c r="J892" s="22" t="n">
        <x:f>XLOOKUP(H892,'菜品主数据'!$A$5:$A$24,'菜品主数据'!$D$5:$D$24,0)</x:f>
        <x:v>36</x:v>
      </x:c>
      <x:c r="K892" s="31" t="n">
        <x:v>11</x:v>
      </x:c>
      <x:c r="L892" s="35" t="n">
        <x:f>J892*K892</x:f>
        <x:v>396</x:v>
      </x:c>
      <x:c r="M892" s="36" t="n">
        <x:v>0</x:v>
      </x:c>
      <x:c r="N892" s="35" t="n">
        <x:f>L892*M892</x:f>
        <x:v>0</x:v>
      </x:c>
      <x:c r="O892" s="37" t="n">
        <x:v>0</x:v>
      </x:c>
      <x:c r="P892" s="35" t="n">
        <x:f>L892*O892</x:f>
        <x:v>0</x:v>
      </x:c>
      <x:c r="Q892" s="35" t="n">
        <x:v>0</x:v>
      </x:c>
      <x:c r="R892" s="35" t="n">
        <x:f>K892*Q892</x:f>
        <x:v>0</x:v>
      </x:c>
      <x:c r="S892" s="35" t="n">
        <x:f>XLOOKUP(H892,'菜品主数据'!$A$5:$A$24,'菜品主数据'!$G$5:$G$24,0)</x:f>
        <x:v>13.48</x:v>
      </x:c>
      <x:c r="T892" s="35" t="n">
        <x:f>K892*S892</x:f>
        <x:v>148.28</x:v>
      </x:c>
      <x:c r="U892" s="35" t="n">
        <x:f>L892-N892-P892-R892-T892</x:f>
        <x:v>247.72</x:v>
      </x:c>
      <x:c r="V892" s="21" t="n">
        <x:f>IFERROR(U892/L892,0)</x:f>
        <x:v>0.6255555555555555</x:v>
      </x:c>
    </x:row>
    <x:row r="893">
      <x:c r="A893" s="19" t="str">
        <x:v>SALE-00889</x:v>
      </x:c>
      <x:c r="B893" s="34" t="n">
        <x:v>46211.5</x:v>
      </x:c>
      <x:c r="C893" s="19" t="str">
        <x:v>周三</x:v>
      </x:c>
      <x:c r="D893" s="19" t="str">
        <x:v>S04</x:v>
      </x:c>
      <x:c r="E893" s="19" t="str">
        <x:v>金街美地店</x:v>
      </x:c>
      <x:c r="F893" s="19" t="str">
        <x:v>堂食</x:v>
      </x:c>
      <x:c r="G893" s="19" t="str">
        <x:v>全日</x:v>
      </x:c>
      <x:c r="H893" s="19" t="str">
        <x:v>D09</x:v>
      </x:c>
      <x:c r="I893" s="19" t="str">
        <x:v>炒豆干</x:v>
      </x:c>
      <x:c r="J893" s="22" t="n">
        <x:f>XLOOKUP(H893,'菜品主数据'!$A$5:$A$24,'菜品主数据'!$D$5:$D$24,0)</x:f>
        <x:v>18</x:v>
      </x:c>
      <x:c r="K893" s="31" t="n">
        <x:v>16</x:v>
      </x:c>
      <x:c r="L893" s="35" t="n">
        <x:f>J893*K893</x:f>
        <x:v>288</x:v>
      </x:c>
      <x:c r="M893" s="36" t="n">
        <x:v>0</x:v>
      </x:c>
      <x:c r="N893" s="35" t="n">
        <x:f>L893*M893</x:f>
        <x:v>0</x:v>
      </x:c>
      <x:c r="O893" s="37" t="n">
        <x:v>0</x:v>
      </x:c>
      <x:c r="P893" s="35" t="n">
        <x:f>L893*O893</x:f>
        <x:v>0</x:v>
      </x:c>
      <x:c r="Q893" s="35" t="n">
        <x:v>0</x:v>
      </x:c>
      <x:c r="R893" s="35" t="n">
        <x:f>K893*Q893</x:f>
        <x:v>0</x:v>
      </x:c>
      <x:c r="S893" s="35" t="n">
        <x:f>XLOOKUP(H893,'菜品主数据'!$A$5:$A$24,'菜品主数据'!$G$5:$G$24,0)</x:f>
        <x:v>6.613999999999999</x:v>
      </x:c>
      <x:c r="T893" s="35" t="n">
        <x:f>K893*S893</x:f>
        <x:v>105.82399999999998</x:v>
      </x:c>
      <x:c r="U893" s="35" t="n">
        <x:f>L893-N893-P893-R893-T893</x:f>
        <x:v>182.17600000000002</x:v>
      </x:c>
      <x:c r="V893" s="21" t="n">
        <x:f>IFERROR(U893/L893,0)</x:f>
        <x:v>0.6325555555555556</x:v>
      </x:c>
    </x:row>
    <x:row r="894">
      <x:c r="A894" s="19" t="str">
        <x:v>SALE-00890</x:v>
      </x:c>
      <x:c r="B894" s="34" t="n">
        <x:v>46211.5</x:v>
      </x:c>
      <x:c r="C894" s="19" t="str">
        <x:v>周三</x:v>
      </x:c>
      <x:c r="D894" s="19" t="str">
        <x:v>S04</x:v>
      </x:c>
      <x:c r="E894" s="19" t="str">
        <x:v>金街美地店</x:v>
      </x:c>
      <x:c r="F894" s="19" t="str">
        <x:v>堂食</x:v>
      </x:c>
      <x:c r="G894" s="19" t="str">
        <x:v>全日</x:v>
      </x:c>
      <x:c r="H894" s="19" t="str">
        <x:v>D10</x:v>
      </x:c>
      <x:c r="I894" s="19" t="str">
        <x:v>农家一碗香</x:v>
      </x:c>
      <x:c r="J894" s="22" t="n">
        <x:f>XLOOKUP(H894,'菜品主数据'!$A$5:$A$24,'菜品主数据'!$D$5:$D$24,0)</x:f>
        <x:v>22.9</x:v>
      </x:c>
      <x:c r="K894" s="31" t="n">
        <x:v>16</x:v>
      </x:c>
      <x:c r="L894" s="35" t="n">
        <x:f>J894*K894</x:f>
        <x:v>366.4</x:v>
      </x:c>
      <x:c r="M894" s="36" t="n">
        <x:v>0</x:v>
      </x:c>
      <x:c r="N894" s="35" t="n">
        <x:f>L894*M894</x:f>
        <x:v>0</x:v>
      </x:c>
      <x:c r="O894" s="37" t="n">
        <x:v>0</x:v>
      </x:c>
      <x:c r="P894" s="35" t="n">
        <x:f>L894*O894</x:f>
        <x:v>0</x:v>
      </x:c>
      <x:c r="Q894" s="35" t="n">
        <x:v>0</x:v>
      </x:c>
      <x:c r="R894" s="35" t="n">
        <x:f>K894*Q894</x:f>
        <x:v>0</x:v>
      </x:c>
      <x:c r="S894" s="35" t="n">
        <x:f>XLOOKUP(H894,'菜品主数据'!$A$5:$A$24,'菜品主数据'!$G$5:$G$24,0)</x:f>
        <x:v>9.770200000000003</x:v>
      </x:c>
      <x:c r="T894" s="35" t="n">
        <x:f>K894*S894</x:f>
        <x:v>156.32320000000004</x:v>
      </x:c>
      <x:c r="U894" s="35" t="n">
        <x:f>L894-N894-P894-R894-T894</x:f>
        <x:v>210.07679999999993</x:v>
      </x:c>
      <x:c r="V894" s="21" t="n">
        <x:f>IFERROR(U894/L894,0)</x:f>
        <x:v>0.5733537117903929</x:v>
      </x:c>
    </x:row>
    <x:row r="895">
      <x:c r="A895" s="19" t="str">
        <x:v>SALE-00891</x:v>
      </x:c>
      <x:c r="B895" s="34" t="n">
        <x:v>46211.5</x:v>
      </x:c>
      <x:c r="C895" s="19" t="str">
        <x:v>周三</x:v>
      </x:c>
      <x:c r="D895" s="19" t="str">
        <x:v>S04</x:v>
      </x:c>
      <x:c r="E895" s="19" t="str">
        <x:v>金街美地店</x:v>
      </x:c>
      <x:c r="F895" s="19" t="str">
        <x:v>堂食</x:v>
      </x:c>
      <x:c r="G895" s="19" t="str">
        <x:v>全日</x:v>
      </x:c>
      <x:c r="H895" s="19" t="str">
        <x:v>D11</x:v>
      </x:c>
      <x:c r="I895" s="19" t="str">
        <x:v>香辣爆肥肠</x:v>
      </x:c>
      <x:c r="J895" s="22" t="n">
        <x:f>XLOOKUP(H895,'菜品主数据'!$A$5:$A$24,'菜品主数据'!$D$5:$D$24,0)</x:f>
        <x:v>39</x:v>
      </x:c>
      <x:c r="K895" s="31" t="n">
        <x:v>7</x:v>
      </x:c>
      <x:c r="L895" s="35" t="n">
        <x:f>J895*K895</x:f>
        <x:v>273</x:v>
      </x:c>
      <x:c r="M895" s="36" t="n">
        <x:v>0</x:v>
      </x:c>
      <x:c r="N895" s="35" t="n">
        <x:f>L895*M895</x:f>
        <x:v>0</x:v>
      </x:c>
      <x:c r="O895" s="37" t="n">
        <x:v>0</x:v>
      </x:c>
      <x:c r="P895" s="35" t="n">
        <x:f>L895*O895</x:f>
        <x:v>0</x:v>
      </x:c>
      <x:c r="Q895" s="35" t="n">
        <x:v>0</x:v>
      </x:c>
      <x:c r="R895" s="35" t="n">
        <x:f>K895*Q895</x:f>
        <x:v>0</x:v>
      </x:c>
      <x:c r="S895" s="35" t="n">
        <x:f>XLOOKUP(H895,'菜品主数据'!$A$5:$A$24,'菜品主数据'!$G$5:$G$24,0)</x:f>
        <x:v>10.397</x:v>
      </x:c>
      <x:c r="T895" s="35" t="n">
        <x:f>K895*S895</x:f>
        <x:v>72.779</x:v>
      </x:c>
      <x:c r="U895" s="35" t="n">
        <x:f>L895-N895-P895-R895-T895</x:f>
        <x:v>200.221</x:v>
      </x:c>
      <x:c r="V895" s="21" t="n">
        <x:f>IFERROR(U895/L895,0)</x:f>
        <x:v>0.7334102564102565</x:v>
      </x:c>
    </x:row>
    <x:row r="896">
      <x:c r="A896" s="19" t="str">
        <x:v>SALE-00892</x:v>
      </x:c>
      <x:c r="B896" s="34" t="n">
        <x:v>46211.5</x:v>
      </x:c>
      <x:c r="C896" s="19" t="str">
        <x:v>周三</x:v>
      </x:c>
      <x:c r="D896" s="19" t="str">
        <x:v>S04</x:v>
      </x:c>
      <x:c r="E896" s="19" t="str">
        <x:v>金街美地店</x:v>
      </x:c>
      <x:c r="F896" s="19" t="str">
        <x:v>堂食</x:v>
      </x:c>
      <x:c r="G896" s="19" t="str">
        <x:v>全日</x:v>
      </x:c>
      <x:c r="H896" s="19" t="str">
        <x:v>D12</x:v>
      </x:c>
      <x:c r="I896" s="19" t="str">
        <x:v>清蒸鲈鱼</x:v>
      </x:c>
      <x:c r="J896" s="22" t="n">
        <x:f>XLOOKUP(H896,'菜品主数据'!$A$5:$A$24,'菜品主数据'!$D$5:$D$24,0)</x:f>
        <x:v>39</x:v>
      </x:c>
      <x:c r="K896" s="31" t="n">
        <x:v>7</x:v>
      </x:c>
      <x:c r="L896" s="35" t="n">
        <x:f>J896*K896</x:f>
        <x:v>273</x:v>
      </x:c>
      <x:c r="M896" s="36" t="n">
        <x:v>0</x:v>
      </x:c>
      <x:c r="N896" s="35" t="n">
        <x:f>L896*M896</x:f>
        <x:v>0</x:v>
      </x:c>
      <x:c r="O896" s="37" t="n">
        <x:v>0</x:v>
      </x:c>
      <x:c r="P896" s="35" t="n">
        <x:f>L896*O896</x:f>
        <x:v>0</x:v>
      </x:c>
      <x:c r="Q896" s="35" t="n">
        <x:v>0</x:v>
      </x:c>
      <x:c r="R896" s="35" t="n">
        <x:f>K896*Q896</x:f>
        <x:v>0</x:v>
      </x:c>
      <x:c r="S896" s="35" t="n">
        <x:f>XLOOKUP(H896,'菜品主数据'!$A$5:$A$24,'菜品主数据'!$G$5:$G$24,0)</x:f>
        <x:v>18.874</x:v>
      </x:c>
      <x:c r="T896" s="35" t="n">
        <x:f>K896*S896</x:f>
        <x:v>132.118</x:v>
      </x:c>
      <x:c r="U896" s="35" t="n">
        <x:f>L896-N896-P896-R896-T896</x:f>
        <x:v>140.882</x:v>
      </x:c>
      <x:c r="V896" s="21" t="n">
        <x:f>IFERROR(U896/L896,0)</x:f>
        <x:v>0.516051282051282</x:v>
      </x:c>
    </x:row>
    <x:row r="897">
      <x:c r="A897" s="19" t="str">
        <x:v>SALE-00893</x:v>
      </x:c>
      <x:c r="B897" s="34" t="n">
        <x:v>46211.5</x:v>
      </x:c>
      <x:c r="C897" s="19" t="str">
        <x:v>周三</x:v>
      </x:c>
      <x:c r="D897" s="19" t="str">
        <x:v>S04</x:v>
      </x:c>
      <x:c r="E897" s="19" t="str">
        <x:v>金街美地店</x:v>
      </x:c>
      <x:c r="F897" s="19" t="str">
        <x:v>堂食</x:v>
      </x:c>
      <x:c r="G897" s="19" t="str">
        <x:v>全日</x:v>
      </x:c>
      <x:c r="H897" s="19" t="str">
        <x:v>D13</x:v>
      </x:c>
      <x:c r="I897" s="19" t="str">
        <x:v>外婆菜炒蛋</x:v>
      </x:c>
      <x:c r="J897" s="22" t="n">
        <x:f>XLOOKUP(H897,'菜品主数据'!$A$5:$A$24,'菜品主数据'!$D$5:$D$24,0)</x:f>
        <x:v>18</x:v>
      </x:c>
      <x:c r="K897" s="31" t="n">
        <x:v>16</x:v>
      </x:c>
      <x:c r="L897" s="35" t="n">
        <x:f>J897*K897</x:f>
        <x:v>288</x:v>
      </x:c>
      <x:c r="M897" s="36" t="n">
        <x:v>0</x:v>
      </x:c>
      <x:c r="N897" s="35" t="n">
        <x:f>L897*M897</x:f>
        <x:v>0</x:v>
      </x:c>
      <x:c r="O897" s="37" t="n">
        <x:v>0</x:v>
      </x:c>
      <x:c r="P897" s="35" t="n">
        <x:f>L897*O897</x:f>
        <x:v>0</x:v>
      </x:c>
      <x:c r="Q897" s="35" t="n">
        <x:v>0</x:v>
      </x:c>
      <x:c r="R897" s="35" t="n">
        <x:f>K897*Q897</x:f>
        <x:v>0</x:v>
      </x:c>
      <x:c r="S897" s="35" t="n">
        <x:f>XLOOKUP(H897,'菜品主数据'!$A$5:$A$24,'菜品主数据'!$G$5:$G$24,0)</x:f>
        <x:v>5.403999999999999</x:v>
      </x:c>
      <x:c r="T897" s="35" t="n">
        <x:f>K897*S897</x:f>
        <x:v>86.46399999999998</x:v>
      </x:c>
      <x:c r="U897" s="35" t="n">
        <x:f>L897-N897-P897-R897-T897</x:f>
        <x:v>201.536</x:v>
      </x:c>
      <x:c r="V897" s="21" t="n">
        <x:f>IFERROR(U897/L897,0)</x:f>
        <x:v>0.6997777777777778</x:v>
      </x:c>
    </x:row>
    <x:row r="898">
      <x:c r="A898" s="19" t="str">
        <x:v>SALE-00894</x:v>
      </x:c>
      <x:c r="B898" s="34" t="n">
        <x:v>46211.5</x:v>
      </x:c>
      <x:c r="C898" s="19" t="str">
        <x:v>周三</x:v>
      </x:c>
      <x:c r="D898" s="19" t="str">
        <x:v>S04</x:v>
      </x:c>
      <x:c r="E898" s="19" t="str">
        <x:v>金街美地店</x:v>
      </x:c>
      <x:c r="F898" s="19" t="str">
        <x:v>堂食</x:v>
      </x:c>
      <x:c r="G898" s="19" t="str">
        <x:v>全日</x:v>
      </x:c>
      <x:c r="H898" s="19" t="str">
        <x:v>D14</x:v>
      </x:c>
      <x:c r="I898" s="19" t="str">
        <x:v>酸辣鸡杂</x:v>
      </x:c>
      <x:c r="J898" s="22" t="n">
        <x:f>XLOOKUP(H898,'菜品主数据'!$A$5:$A$24,'菜品主数据'!$D$5:$D$24,0)</x:f>
        <x:v>28</x:v>
      </x:c>
      <x:c r="K898" s="31" t="n">
        <x:v>7</x:v>
      </x:c>
      <x:c r="L898" s="35" t="n">
        <x:f>J898*K898</x:f>
        <x:v>196</x:v>
      </x:c>
      <x:c r="M898" s="36" t="n">
        <x:v>0</x:v>
      </x:c>
      <x:c r="N898" s="35" t="n">
        <x:f>L898*M898</x:f>
        <x:v>0</x:v>
      </x:c>
      <x:c r="O898" s="37" t="n">
        <x:v>0</x:v>
      </x:c>
      <x:c r="P898" s="35" t="n">
        <x:f>L898*O898</x:f>
        <x:v>0</x:v>
      </x:c>
      <x:c r="Q898" s="35" t="n">
        <x:v>0</x:v>
      </x:c>
      <x:c r="R898" s="35" t="n">
        <x:f>K898*Q898</x:f>
        <x:v>0</x:v>
      </x:c>
      <x:c r="S898" s="35" t="n">
        <x:f>XLOOKUP(H898,'菜品主数据'!$A$5:$A$24,'菜品主数据'!$G$5:$G$24,0)</x:f>
        <x:v>8.315000000000001</x:v>
      </x:c>
      <x:c r="T898" s="35" t="n">
        <x:f>K898*S898</x:f>
        <x:v>58.20500000000001</x:v>
      </x:c>
      <x:c r="U898" s="35" t="n">
        <x:f>L898-N898-P898-R898-T898</x:f>
        <x:v>137.795</x:v>
      </x:c>
      <x:c r="V898" s="21" t="n">
        <x:f>IFERROR(U898/L898,0)</x:f>
        <x:v>0.7030357142857142</x:v>
      </x:c>
    </x:row>
    <x:row r="899">
      <x:c r="A899" s="19" t="str">
        <x:v>SALE-00895</x:v>
      </x:c>
      <x:c r="B899" s="34" t="n">
        <x:v>46211.5</x:v>
      </x:c>
      <x:c r="C899" s="19" t="str">
        <x:v>周三</x:v>
      </x:c>
      <x:c r="D899" s="19" t="str">
        <x:v>S04</x:v>
      </x:c>
      <x:c r="E899" s="19" t="str">
        <x:v>金街美地店</x:v>
      </x:c>
      <x:c r="F899" s="19" t="str">
        <x:v>堂食</x:v>
      </x:c>
      <x:c r="G899" s="19" t="str">
        <x:v>全日</x:v>
      </x:c>
      <x:c r="H899" s="19" t="str">
        <x:v>D15</x:v>
      </x:c>
      <x:c r="I899" s="19" t="str">
        <x:v>湘西土匪猪肝</x:v>
      </x:c>
      <x:c r="J899" s="22" t="n">
        <x:f>XLOOKUP(H899,'菜品主数据'!$A$5:$A$24,'菜品主数据'!$D$5:$D$24,0)</x:f>
        <x:v>26</x:v>
      </x:c>
      <x:c r="K899" s="31" t="n">
        <x:v>7</x:v>
      </x:c>
      <x:c r="L899" s="35" t="n">
        <x:f>J899*K899</x:f>
        <x:v>182</x:v>
      </x:c>
      <x:c r="M899" s="36" t="n">
        <x:v>0</x:v>
      </x:c>
      <x:c r="N899" s="35" t="n">
        <x:f>L899*M899</x:f>
        <x:v>0</x:v>
      </x:c>
      <x:c r="O899" s="37" t="n">
        <x:v>0</x:v>
      </x:c>
      <x:c r="P899" s="35" t="n">
        <x:f>L899*O899</x:f>
        <x:v>0</x:v>
      </x:c>
      <x:c r="Q899" s="35" t="n">
        <x:v>0</x:v>
      </x:c>
      <x:c r="R899" s="35" t="n">
        <x:f>K899*Q899</x:f>
        <x:v>0</x:v>
      </x:c>
      <x:c r="S899" s="35" t="n">
        <x:f>XLOOKUP(H899,'菜品主数据'!$A$5:$A$24,'菜品主数据'!$G$5:$G$24,0)</x:f>
        <x:v>6.3759999999999994</x:v>
      </x:c>
      <x:c r="T899" s="35" t="n">
        <x:f>K899*S899</x:f>
        <x:v>44.632</x:v>
      </x:c>
      <x:c r="U899" s="35" t="n">
        <x:f>L899-N899-P899-R899-T899</x:f>
        <x:v>137.368</x:v>
      </x:c>
      <x:c r="V899" s="21" t="n">
        <x:f>IFERROR(U899/L899,0)</x:f>
        <x:v>0.7547692307692307</x:v>
      </x:c>
    </x:row>
    <x:row r="900">
      <x:c r="A900" s="19" t="str">
        <x:v>SALE-00896</x:v>
      </x:c>
      <x:c r="B900" s="34" t="n">
        <x:v>46211.5</x:v>
      </x:c>
      <x:c r="C900" s="19" t="str">
        <x:v>周三</x:v>
      </x:c>
      <x:c r="D900" s="19" t="str">
        <x:v>S04</x:v>
      </x:c>
      <x:c r="E900" s="19" t="str">
        <x:v>金街美地店</x:v>
      </x:c>
      <x:c r="F900" s="19" t="str">
        <x:v>堂食</x:v>
      </x:c>
      <x:c r="G900" s="19" t="str">
        <x:v>全日</x:v>
      </x:c>
      <x:c r="H900" s="19" t="str">
        <x:v>D16</x:v>
      </x:c>
      <x:c r="I900" s="19" t="str">
        <x:v>小豆角炒五花</x:v>
      </x:c>
      <x:c r="J900" s="22" t="n">
        <x:f>XLOOKUP(H900,'菜品主数据'!$A$5:$A$24,'菜品主数据'!$D$5:$D$24,0)</x:f>
        <x:v>25</x:v>
      </x:c>
      <x:c r="K900" s="31" t="n">
        <x:v>7</x:v>
      </x:c>
      <x:c r="L900" s="35" t="n">
        <x:f>J900*K900</x:f>
        <x:v>175</x:v>
      </x:c>
      <x:c r="M900" s="36" t="n">
        <x:v>0</x:v>
      </x:c>
      <x:c r="N900" s="35" t="n">
        <x:f>L900*M900</x:f>
        <x:v>0</x:v>
      </x:c>
      <x:c r="O900" s="37" t="n">
        <x:v>0</x:v>
      </x:c>
      <x:c r="P900" s="35" t="n">
        <x:f>L900*O900</x:f>
        <x:v>0</x:v>
      </x:c>
      <x:c r="Q900" s="35" t="n">
        <x:v>0</x:v>
      </x:c>
      <x:c r="R900" s="35" t="n">
        <x:f>K900*Q900</x:f>
        <x:v>0</x:v>
      </x:c>
      <x:c r="S900" s="35" t="n">
        <x:f>XLOOKUP(H900,'菜品主数据'!$A$5:$A$24,'菜品主数据'!$G$5:$G$24,0)</x:f>
        <x:v>8.184</x:v>
      </x:c>
      <x:c r="T900" s="35" t="n">
        <x:f>K900*S900</x:f>
        <x:v>57.288</x:v>
      </x:c>
      <x:c r="U900" s="35" t="n">
        <x:f>L900-N900-P900-R900-T900</x:f>
        <x:v>117.712</x:v>
      </x:c>
      <x:c r="V900" s="21" t="n">
        <x:f>IFERROR(U900/L900,0)</x:f>
        <x:v>0.67264</x:v>
      </x:c>
    </x:row>
    <x:row r="901">
      <x:c r="A901" s="19" t="str">
        <x:v>SALE-00897</x:v>
      </x:c>
      <x:c r="B901" s="34" t="n">
        <x:v>46211.5</x:v>
      </x:c>
      <x:c r="C901" s="19" t="str">
        <x:v>周三</x:v>
      </x:c>
      <x:c r="D901" s="19" t="str">
        <x:v>S04</x:v>
      </x:c>
      <x:c r="E901" s="19" t="str">
        <x:v>金街美地店</x:v>
      </x:c>
      <x:c r="F901" s="19" t="str">
        <x:v>堂食</x:v>
      </x:c>
      <x:c r="G901" s="19" t="str">
        <x:v>全日</x:v>
      </x:c>
      <x:c r="H901" s="19" t="str">
        <x:v>D17</x:v>
      </x:c>
      <x:c r="I901" s="19" t="str">
        <x:v>蒜蓉粉丝虾</x:v>
      </x:c>
      <x:c r="J901" s="22" t="n">
        <x:f>XLOOKUP(H901,'菜品主数据'!$A$5:$A$24,'菜品主数据'!$D$5:$D$24,0)</x:f>
        <x:v>36</x:v>
      </x:c>
      <x:c r="K901" s="31" t="n">
        <x:v>5</x:v>
      </x:c>
      <x:c r="L901" s="35" t="n">
        <x:f>J901*K901</x:f>
        <x:v>180</x:v>
      </x:c>
      <x:c r="M901" s="36" t="n">
        <x:v>0</x:v>
      </x:c>
      <x:c r="N901" s="35" t="n">
        <x:f>L901*M901</x:f>
        <x:v>0</x:v>
      </x:c>
      <x:c r="O901" s="37" t="n">
        <x:v>0</x:v>
      </x:c>
      <x:c r="P901" s="35" t="n">
        <x:f>L901*O901</x:f>
        <x:v>0</x:v>
      </x:c>
      <x:c r="Q901" s="35" t="n">
        <x:v>0</x:v>
      </x:c>
      <x:c r="R901" s="35" t="n">
        <x:f>K901*Q901</x:f>
        <x:v>0</x:v>
      </x:c>
      <x:c r="S901" s="35" t="n">
        <x:f>XLOOKUP(H901,'菜品主数据'!$A$5:$A$24,'菜品主数据'!$G$5:$G$24,0)</x:f>
        <x:v>13.594</x:v>
      </x:c>
      <x:c r="T901" s="35" t="n">
        <x:f>K901*S901</x:f>
        <x:v>67.97</x:v>
      </x:c>
      <x:c r="U901" s="35" t="n">
        <x:f>L901-N901-P901-R901-T901</x:f>
        <x:v>112.03</x:v>
      </x:c>
      <x:c r="V901" s="21" t="n">
        <x:f>IFERROR(U901/L901,0)</x:f>
        <x:v>0.6223888888888889</x:v>
      </x:c>
    </x:row>
    <x:row r="902">
      <x:c r="A902" s="19" t="str">
        <x:v>SALE-00898</x:v>
      </x:c>
      <x:c r="B902" s="34" t="n">
        <x:v>46211.5</x:v>
      </x:c>
      <x:c r="C902" s="19" t="str">
        <x:v>周三</x:v>
      </x:c>
      <x:c r="D902" s="19" t="str">
        <x:v>S04</x:v>
      </x:c>
      <x:c r="E902" s="19" t="str">
        <x:v>金街美地店</x:v>
      </x:c>
      <x:c r="F902" s="19" t="str">
        <x:v>堂食</x:v>
      </x:c>
      <x:c r="G902" s="19" t="str">
        <x:v>全日</x:v>
      </x:c>
      <x:c r="H902" s="19" t="str">
        <x:v>D18</x:v>
      </x:c>
      <x:c r="I902" s="19" t="str">
        <x:v>青椒炒油麦菜</x:v>
      </x:c>
      <x:c r="J902" s="22" t="n">
        <x:f>XLOOKUP(H902,'菜品主数据'!$A$5:$A$24,'菜品主数据'!$D$5:$D$24,0)</x:f>
        <x:v>18</x:v>
      </x:c>
      <x:c r="K902" s="31" t="n">
        <x:v>9</x:v>
      </x:c>
      <x:c r="L902" s="35" t="n">
        <x:f>J902*K902</x:f>
        <x:v>162</x:v>
      </x:c>
      <x:c r="M902" s="36" t="n">
        <x:v>0</x:v>
      </x:c>
      <x:c r="N902" s="35" t="n">
        <x:f>L902*M902</x:f>
        <x:v>0</x:v>
      </x:c>
      <x:c r="O902" s="37" t="n">
        <x:v>0</x:v>
      </x:c>
      <x:c r="P902" s="35" t="n">
        <x:f>L902*O902</x:f>
        <x:v>0</x:v>
      </x:c>
      <x:c r="Q902" s="35" t="n">
        <x:v>0</x:v>
      </x:c>
      <x:c r="R902" s="35" t="n">
        <x:f>K902*Q902</x:f>
        <x:v>0</x:v>
      </x:c>
      <x:c r="S902" s="35" t="n">
        <x:f>XLOOKUP(H902,'菜品主数据'!$A$5:$A$24,'菜品主数据'!$G$5:$G$24,0)</x:f>
        <x:v>3.1759999999999993</x:v>
      </x:c>
      <x:c r="T902" s="35" t="n">
        <x:f>K902*S902</x:f>
        <x:v>28.583999999999993</x:v>
      </x:c>
      <x:c r="U902" s="35" t="n">
        <x:f>L902-N902-P902-R902-T902</x:f>
        <x:v>133.416</x:v>
      </x:c>
      <x:c r="V902" s="21" t="n">
        <x:f>IFERROR(U902/L902,0)</x:f>
        <x:v>0.8235555555555555</x:v>
      </x:c>
    </x:row>
    <x:row r="903">
      <x:c r="A903" s="19" t="str">
        <x:v>SALE-00899</x:v>
      </x:c>
      <x:c r="B903" s="34" t="n">
        <x:v>46211.5</x:v>
      </x:c>
      <x:c r="C903" s="19" t="str">
        <x:v>周三</x:v>
      </x:c>
      <x:c r="D903" s="19" t="str">
        <x:v>S04</x:v>
      </x:c>
      <x:c r="E903" s="19" t="str">
        <x:v>金街美地店</x:v>
      </x:c>
      <x:c r="F903" s="19" t="str">
        <x:v>堂食</x:v>
      </x:c>
      <x:c r="G903" s="19" t="str">
        <x:v>全日</x:v>
      </x:c>
      <x:c r="H903" s="19" t="str">
        <x:v>D19</x:v>
      </x:c>
      <x:c r="I903" s="19" t="str">
        <x:v>酸萝卜炒鸡杂</x:v>
      </x:c>
      <x:c r="J903" s="22" t="n">
        <x:f>XLOOKUP(H903,'菜品主数据'!$A$5:$A$24,'菜品主数据'!$D$5:$D$24,0)</x:f>
        <x:v>25</x:v>
      </x:c>
      <x:c r="K903" s="31" t="n">
        <x:v>6</x:v>
      </x:c>
      <x:c r="L903" s="35" t="n">
        <x:f>J903*K903</x:f>
        <x:v>150</x:v>
      </x:c>
      <x:c r="M903" s="36" t="n">
        <x:v>0</x:v>
      </x:c>
      <x:c r="N903" s="35" t="n">
        <x:f>L903*M903</x:f>
        <x:v>0</x:v>
      </x:c>
      <x:c r="O903" s="37" t="n">
        <x:v>0</x:v>
      </x:c>
      <x:c r="P903" s="35" t="n">
        <x:f>L903*O903</x:f>
        <x:v>0</x:v>
      </x:c>
      <x:c r="Q903" s="35" t="n">
        <x:v>0</x:v>
      </x:c>
      <x:c r="R903" s="35" t="n">
        <x:f>K903*Q903</x:f>
        <x:v>0</x:v>
      </x:c>
      <x:c r="S903" s="35" t="n">
        <x:f>XLOOKUP(H903,'菜品主数据'!$A$5:$A$24,'菜品主数据'!$G$5:$G$24,0)</x:f>
        <x:v>7.9399999999999995</x:v>
      </x:c>
      <x:c r="T903" s="35" t="n">
        <x:f>K903*S903</x:f>
        <x:v>47.64</x:v>
      </x:c>
      <x:c r="U903" s="35" t="n">
        <x:f>L903-N903-P903-R903-T903</x:f>
        <x:v>102.36</x:v>
      </x:c>
      <x:c r="V903" s="21" t="n">
        <x:f>IFERROR(U903/L903,0)</x:f>
        <x:v>0.6824</x:v>
      </x:c>
    </x:row>
    <x:row r="904">
      <x:c r="A904" s="19" t="str">
        <x:v>SALE-00900</x:v>
      </x:c>
      <x:c r="B904" s="34" t="n">
        <x:v>46211.5</x:v>
      </x:c>
      <x:c r="C904" s="19" t="str">
        <x:v>周三</x:v>
      </x:c>
      <x:c r="D904" s="19" t="str">
        <x:v>S04</x:v>
      </x:c>
      <x:c r="E904" s="19" t="str">
        <x:v>金街美地店</x:v>
      </x:c>
      <x:c r="F904" s="19" t="str">
        <x:v>堂食</x:v>
      </x:c>
      <x:c r="G904" s="19" t="str">
        <x:v>全日</x:v>
      </x:c>
      <x:c r="H904" s="19" t="str">
        <x:v>D20</x:v>
      </x:c>
      <x:c r="I904" s="19" t="str">
        <x:v>雪菜肉末青豆</x:v>
      </x:c>
      <x:c r="J904" s="22" t="n">
        <x:f>XLOOKUP(H904,'菜品主数据'!$A$5:$A$24,'菜品主数据'!$D$5:$D$24,0)</x:f>
        <x:v>18</x:v>
      </x:c>
      <x:c r="K904" s="31" t="n">
        <x:v>8</x:v>
      </x:c>
      <x:c r="L904" s="35" t="n">
        <x:f>J904*K904</x:f>
        <x:v>144</x:v>
      </x:c>
      <x:c r="M904" s="36" t="n">
        <x:v>0</x:v>
      </x:c>
      <x:c r="N904" s="35" t="n">
        <x:f>L904*M904</x:f>
        <x:v>0</x:v>
      </x:c>
      <x:c r="O904" s="37" t="n">
        <x:v>0</x:v>
      </x:c>
      <x:c r="P904" s="35" t="n">
        <x:f>L904*O904</x:f>
        <x:v>0</x:v>
      </x:c>
      <x:c r="Q904" s="35" t="n">
        <x:v>0</x:v>
      </x:c>
      <x:c r="R904" s="35" t="n">
        <x:f>K904*Q904</x:f>
        <x:v>0</x:v>
      </x:c>
      <x:c r="S904" s="35" t="n">
        <x:f>XLOOKUP(H904,'菜品主数据'!$A$5:$A$24,'菜品主数据'!$G$5:$G$24,0)</x:f>
        <x:v>7.303999999999999</x:v>
      </x:c>
      <x:c r="T904" s="35" t="n">
        <x:f>K904*S904</x:f>
        <x:v>58.431999999999995</x:v>
      </x:c>
      <x:c r="U904" s="35" t="n">
        <x:f>L904-N904-P904-R904-T904</x:f>
        <x:v>85.56800000000001</x:v>
      </x:c>
      <x:c r="V904" s="21" t="n">
        <x:f>IFERROR(U904/L904,0)</x:f>
        <x:v>0.5942222222222223</x:v>
      </x:c>
    </x:row>
    <x:row r="905">
      <x:c r="A905" s="19" t="str">
        <x:v>SALE-00901</x:v>
      </x:c>
      <x:c r="B905" s="34" t="n">
        <x:v>46211.5</x:v>
      </x:c>
      <x:c r="C905" s="19" t="str">
        <x:v>周三</x:v>
      </x:c>
      <x:c r="D905" s="19" t="str">
        <x:v>S04</x:v>
      </x:c>
      <x:c r="E905" s="19" t="str">
        <x:v>金街美地店</x:v>
      </x:c>
      <x:c r="F905" s="19" t="str">
        <x:v>外卖</x:v>
      </x:c>
      <x:c r="G905" s="19" t="str">
        <x:v>全日</x:v>
      </x:c>
      <x:c r="H905" s="19" t="str">
        <x:v>D01</x:v>
      </x:c>
      <x:c r="I905" s="19" t="str">
        <x:v>辣椒炒肉</x:v>
      </x:c>
      <x:c r="J905" s="22" t="n">
        <x:f>XLOOKUP(H905,'菜品主数据'!$A$5:$A$24,'菜品主数据'!$D$5:$D$24,0)</x:f>
        <x:v>29</x:v>
      </x:c>
      <x:c r="K905" s="31" t="n">
        <x:v>4</x:v>
      </x:c>
      <x:c r="L905" s="35" t="n">
        <x:f>J905*K905</x:f>
        <x:v>116</x:v>
      </x:c>
      <x:c r="M905" s="36" t="n">
        <x:v>0.08</x:v>
      </x:c>
      <x:c r="N905" s="35" t="n">
        <x:f>L905*M905</x:f>
        <x:v>9.28</x:v>
      </x:c>
      <x:c r="O905" s="37" t="n">
        <x:v>0.18</x:v>
      </x:c>
      <x:c r="P905" s="35" t="n">
        <x:f>L905*O905</x:f>
        <x:v>20.88</x:v>
      </x:c>
      <x:c r="Q905" s="35" t="n">
        <x:v>1.2</x:v>
      </x:c>
      <x:c r="R905" s="35" t="n">
        <x:f>K905*Q905</x:f>
        <x:v>4.8</x:v>
      </x:c>
      <x:c r="S905" s="35" t="n">
        <x:f>XLOOKUP(H905,'菜品主数据'!$A$5:$A$24,'菜品主数据'!$G$5:$G$24,0)</x:f>
        <x:v>8.634400000000001</x:v>
      </x:c>
      <x:c r="T905" s="35" t="n">
        <x:f>K905*S905</x:f>
        <x:v>34.537600000000005</x:v>
      </x:c>
      <x:c r="U905" s="35" t="n">
        <x:f>L905-N905-P905-R905-T905</x:f>
        <x:v>46.5024</x:v>
      </x:c>
      <x:c r="V905" s="21" t="n">
        <x:f>IFERROR(U905/L905,0)</x:f>
        <x:v>0.40088275862068967</x:v>
      </x:c>
    </x:row>
    <x:row r="906">
      <x:c r="A906" s="19" t="str">
        <x:v>SALE-00902</x:v>
      </x:c>
      <x:c r="B906" s="34" t="n">
        <x:v>46211.5</x:v>
      </x:c>
      <x:c r="C906" s="19" t="str">
        <x:v>周三</x:v>
      </x:c>
      <x:c r="D906" s="19" t="str">
        <x:v>S04</x:v>
      </x:c>
      <x:c r="E906" s="19" t="str">
        <x:v>金街美地店</x:v>
      </x:c>
      <x:c r="F906" s="19" t="str">
        <x:v>外卖</x:v>
      </x:c>
      <x:c r="G906" s="19" t="str">
        <x:v>全日</x:v>
      </x:c>
      <x:c r="H906" s="19" t="str">
        <x:v>D02</x:v>
      </x:c>
      <x:c r="I906" s="19" t="str">
        <x:v>小炒黄牛肉</x:v>
      </x:c>
      <x:c r="J906" s="22" t="n">
        <x:f>XLOOKUP(H906,'菜品主数据'!$A$5:$A$24,'菜品主数据'!$D$5:$D$24,0)</x:f>
        <x:v>49</x:v>
      </x:c>
      <x:c r="K906" s="31" t="n">
        <x:v>9</x:v>
      </x:c>
      <x:c r="L906" s="35" t="n">
        <x:f>J906*K906</x:f>
        <x:v>441</x:v>
      </x:c>
      <x:c r="M906" s="36" t="n">
        <x:v>0.08</x:v>
      </x:c>
      <x:c r="N906" s="35" t="n">
        <x:f>L906*M906</x:f>
        <x:v>35.28</x:v>
      </x:c>
      <x:c r="O906" s="37" t="n">
        <x:v>0.18</x:v>
      </x:c>
      <x:c r="P906" s="35" t="n">
        <x:f>L906*O906</x:f>
        <x:v>79.38</x:v>
      </x:c>
      <x:c r="Q906" s="35" t="n">
        <x:v>1.2</x:v>
      </x:c>
      <x:c r="R906" s="35" t="n">
        <x:f>K906*Q906</x:f>
        <x:v>10.799999999999999</x:v>
      </x:c>
      <x:c r="S906" s="35" t="n">
        <x:f>XLOOKUP(H906,'菜品主数据'!$A$5:$A$24,'菜品主数据'!$G$5:$G$24,0)</x:f>
        <x:v>17.577</x:v>
      </x:c>
      <x:c r="T906" s="35" t="n">
        <x:f>K906*S906</x:f>
        <x:v>158.193</x:v>
      </x:c>
      <x:c r="U906" s="35" t="n">
        <x:f>L906-N906-P906-R906-T906</x:f>
        <x:v>157.347</x:v>
      </x:c>
      <x:c r="V906" s="21" t="n">
        <x:f>IFERROR(U906/L906,0)</x:f>
        <x:v>0.356795918367347</x:v>
      </x:c>
    </x:row>
    <x:row r="907">
      <x:c r="A907" s="19" t="str">
        <x:v>SALE-00903</x:v>
      </x:c>
      <x:c r="B907" s="34" t="n">
        <x:v>46211.5</x:v>
      </x:c>
      <x:c r="C907" s="19" t="str">
        <x:v>周三</x:v>
      </x:c>
      <x:c r="D907" s="19" t="str">
        <x:v>S04</x:v>
      </x:c>
      <x:c r="E907" s="19" t="str">
        <x:v>金街美地店</x:v>
      </x:c>
      <x:c r="F907" s="19" t="str">
        <x:v>外卖</x:v>
      </x:c>
      <x:c r="G907" s="19" t="str">
        <x:v>全日</x:v>
      </x:c>
      <x:c r="H907" s="19" t="str">
        <x:v>D03</x:v>
      </x:c>
      <x:c r="I907" s="19" t="str">
        <x:v>香醋炒蛋</x:v>
      </x:c>
      <x:c r="J907" s="22" t="n">
        <x:f>XLOOKUP(H907,'菜品主数据'!$A$5:$A$24,'菜品主数据'!$D$5:$D$24,0)</x:f>
        <x:v>14.9</x:v>
      </x:c>
      <x:c r="K907" s="31" t="n">
        <x:v>4</x:v>
      </x:c>
      <x:c r="L907" s="35" t="n">
        <x:f>J907*K907</x:f>
        <x:v>59.6</x:v>
      </x:c>
      <x:c r="M907" s="36" t="n">
        <x:v>0.08</x:v>
      </x:c>
      <x:c r="N907" s="35" t="n">
        <x:f>L907*M907</x:f>
        <x:v>4.768</x:v>
      </x:c>
      <x:c r="O907" s="37" t="n">
        <x:v>0.18</x:v>
      </x:c>
      <x:c r="P907" s="35" t="n">
        <x:f>L907*O907</x:f>
        <x:v>10.728</x:v>
      </x:c>
      <x:c r="Q907" s="35" t="n">
        <x:v>1.2</x:v>
      </x:c>
      <x:c r="R907" s="35" t="n">
        <x:f>K907*Q907</x:f>
        <x:v>4.8</x:v>
      </x:c>
      <x:c r="S907" s="35" t="n">
        <x:f>XLOOKUP(H907,'菜品主数据'!$A$5:$A$24,'菜品主数据'!$G$5:$G$24,0)</x:f>
        <x:v>3.7459999999999996</x:v>
      </x:c>
      <x:c r="T907" s="35" t="n">
        <x:f>K907*S907</x:f>
        <x:v>14.983999999999998</x:v>
      </x:c>
      <x:c r="U907" s="35" t="n">
        <x:f>L907-N907-P907-R907-T907</x:f>
        <x:v>24.320000000000004</x:v>
      </x:c>
      <x:c r="V907" s="21" t="n">
        <x:f>IFERROR(U907/L907,0)</x:f>
        <x:v>0.40805369127516783</x:v>
      </x:c>
    </x:row>
    <x:row r="908">
      <x:c r="A908" s="19" t="str">
        <x:v>SALE-00904</x:v>
      </x:c>
      <x:c r="B908" s="34" t="n">
        <x:v>46211.5</x:v>
      </x:c>
      <x:c r="C908" s="19" t="str">
        <x:v>周三</x:v>
      </x:c>
      <x:c r="D908" s="19" t="str">
        <x:v>S04</x:v>
      </x:c>
      <x:c r="E908" s="19" t="str">
        <x:v>金街美地店</x:v>
      </x:c>
      <x:c r="F908" s="19" t="str">
        <x:v>外卖</x:v>
      </x:c>
      <x:c r="G908" s="19" t="str">
        <x:v>全日</x:v>
      </x:c>
      <x:c r="H908" s="19" t="str">
        <x:v>D04</x:v>
      </x:c>
      <x:c r="I908" s="19" t="str">
        <x:v>酸包菜炒粉皮</x:v>
      </x:c>
      <x:c r="J908" s="22" t="n">
        <x:f>XLOOKUP(H908,'菜品主数据'!$A$5:$A$24,'菜品主数据'!$D$5:$D$24,0)</x:f>
        <x:v>16</x:v>
      </x:c>
      <x:c r="K908" s="31" t="n">
        <x:v>4</x:v>
      </x:c>
      <x:c r="L908" s="35" t="n">
        <x:f>J908*K908</x:f>
        <x:v>64</x:v>
      </x:c>
      <x:c r="M908" s="36" t="n">
        <x:v>0.08</x:v>
      </x:c>
      <x:c r="N908" s="35" t="n">
        <x:f>L908*M908</x:f>
        <x:v>5.12</x:v>
      </x:c>
      <x:c r="O908" s="37" t="n">
        <x:v>0.18</x:v>
      </x:c>
      <x:c r="P908" s="35" t="n">
        <x:f>L908*O908</x:f>
        <x:v>11.52</x:v>
      </x:c>
      <x:c r="Q908" s="35" t="n">
        <x:v>1.2</x:v>
      </x:c>
      <x:c r="R908" s="35" t="n">
        <x:f>K908*Q908</x:f>
        <x:v>4.8</x:v>
      </x:c>
      <x:c r="S908" s="35" t="n">
        <x:f>XLOOKUP(H908,'菜品主数据'!$A$5:$A$24,'菜品主数据'!$G$5:$G$24,0)</x:f>
        <x:v>3.978</x:v>
      </x:c>
      <x:c r="T908" s="35" t="n">
        <x:f>K908*S908</x:f>
        <x:v>15.912</x:v>
      </x:c>
      <x:c r="U908" s="35" t="n">
        <x:f>L908-N908-P908-R908-T908</x:f>
        <x:v>26.648000000000003</x:v>
      </x:c>
      <x:c r="V908" s="21" t="n">
        <x:f>IFERROR(U908/L908,0)</x:f>
        <x:v>0.41637500000000005</x:v>
      </x:c>
    </x:row>
    <x:row r="909">
      <x:c r="A909" s="19" t="str">
        <x:v>SALE-00905</x:v>
      </x:c>
      <x:c r="B909" s="34" t="n">
        <x:v>46211.5</x:v>
      </x:c>
      <x:c r="C909" s="19" t="str">
        <x:v>周三</x:v>
      </x:c>
      <x:c r="D909" s="19" t="str">
        <x:v>S04</x:v>
      </x:c>
      <x:c r="E909" s="19" t="str">
        <x:v>金街美地店</x:v>
      </x:c>
      <x:c r="F909" s="19" t="str">
        <x:v>外卖</x:v>
      </x:c>
      <x:c r="G909" s="19" t="str">
        <x:v>全日</x:v>
      </x:c>
      <x:c r="H909" s="19" t="str">
        <x:v>D05</x:v>
      </x:c>
      <x:c r="I909" s="19" t="str">
        <x:v>麻婆豆腐</x:v>
      </x:c>
      <x:c r="J909" s="22" t="n">
        <x:f>XLOOKUP(H909,'菜品主数据'!$A$5:$A$24,'菜品主数据'!$D$5:$D$24,0)</x:f>
        <x:v>9.9</x:v>
      </x:c>
      <x:c r="K909" s="31" t="n">
        <x:v>4</x:v>
      </x:c>
      <x:c r="L909" s="35" t="n">
        <x:f>J909*K909</x:f>
        <x:v>39.6</x:v>
      </x:c>
      <x:c r="M909" s="36" t="n">
        <x:v>0.08</x:v>
      </x:c>
      <x:c r="N909" s="35" t="n">
        <x:f>L909*M909</x:f>
        <x:v>3.168</x:v>
      </x:c>
      <x:c r="O909" s="37" t="n">
        <x:v>0.18</x:v>
      </x:c>
      <x:c r="P909" s="35" t="n">
        <x:f>L909*O909</x:f>
        <x:v>7.128</x:v>
      </x:c>
      <x:c r="Q909" s="35" t="n">
        <x:v>1.2</x:v>
      </x:c>
      <x:c r="R909" s="35" t="n">
        <x:f>K909*Q909</x:f>
        <x:v>4.8</x:v>
      </x:c>
      <x:c r="S909" s="35" t="n">
        <x:f>XLOOKUP(H909,'菜品主数据'!$A$5:$A$24,'菜品主数据'!$G$5:$G$24,0)</x:f>
        <x:v>5.367000000000001</x:v>
      </x:c>
      <x:c r="T909" s="35" t="n">
        <x:f>K909*S909</x:f>
        <x:v>21.468000000000004</x:v>
      </x:c>
      <x:c r="U909" s="35" t="n">
        <x:f>L909-N909-P909-R909-T909</x:f>
        <x:v>3.035999999999998</x:v>
      </x:c>
      <x:c r="V909" s="21" t="n">
        <x:f>IFERROR(U909/L909,0)</x:f>
        <x:v>0.0766666666666666</x:v>
      </x:c>
    </x:row>
    <x:row r="910">
      <x:c r="A910" s="19" t="str">
        <x:v>SALE-00906</x:v>
      </x:c>
      <x:c r="B910" s="34" t="n">
        <x:v>46211.5</x:v>
      </x:c>
      <x:c r="C910" s="19" t="str">
        <x:v>周三</x:v>
      </x:c>
      <x:c r="D910" s="19" t="str">
        <x:v>S04</x:v>
      </x:c>
      <x:c r="E910" s="19" t="str">
        <x:v>金街美地店</x:v>
      </x:c>
      <x:c r="F910" s="19" t="str">
        <x:v>外卖</x:v>
      </x:c>
      <x:c r="G910" s="19" t="str">
        <x:v>全日</x:v>
      </x:c>
      <x:c r="H910" s="19" t="str">
        <x:v>D06</x:v>
      </x:c>
      <x:c r="I910" s="19" t="str">
        <x:v>剁椒鱼头</x:v>
      </x:c>
      <x:c r="J910" s="22" t="n">
        <x:f>XLOOKUP(H910,'菜品主数据'!$A$5:$A$24,'菜品主数据'!$D$5:$D$24,0)</x:f>
        <x:v>39</x:v>
      </x:c>
      <x:c r="K910" s="31" t="n">
        <x:v>1</x:v>
      </x:c>
      <x:c r="L910" s="35" t="n">
        <x:f>J910*K910</x:f>
        <x:v>39</x:v>
      </x:c>
      <x:c r="M910" s="36" t="n">
        <x:v>0.08</x:v>
      </x:c>
      <x:c r="N910" s="35" t="n">
        <x:f>L910*M910</x:f>
        <x:v>3.12</x:v>
      </x:c>
      <x:c r="O910" s="37" t="n">
        <x:v>0.18</x:v>
      </x:c>
      <x:c r="P910" s="35" t="n">
        <x:f>L910*O910</x:f>
        <x:v>7.02</x:v>
      </x:c>
      <x:c r="Q910" s="35" t="n">
        <x:v>1.2</x:v>
      </x:c>
      <x:c r="R910" s="35" t="n">
        <x:f>K910*Q910</x:f>
        <x:v>1.2</x:v>
      </x:c>
      <x:c r="S910" s="35" t="n">
        <x:f>XLOOKUP(H910,'菜品主数据'!$A$5:$A$24,'菜品主数据'!$G$5:$G$24,0)</x:f>
        <x:v>17.446</x:v>
      </x:c>
      <x:c r="T910" s="35" t="n">
        <x:f>K910*S910</x:f>
        <x:v>17.446</x:v>
      </x:c>
      <x:c r="U910" s="35" t="n">
        <x:f>L910-N910-P910-R910-T910</x:f>
        <x:v>10.214000000000002</x:v>
      </x:c>
      <x:c r="V910" s="21" t="n">
        <x:f>IFERROR(U910/L910,0)</x:f>
        <x:v>0.26189743589743597</x:v>
      </x:c>
    </x:row>
    <x:row r="911">
      <x:c r="A911" s="19" t="str">
        <x:v>SALE-00907</x:v>
      </x:c>
      <x:c r="B911" s="34" t="n">
        <x:v>46211.5</x:v>
      </x:c>
      <x:c r="C911" s="19" t="str">
        <x:v>周三</x:v>
      </x:c>
      <x:c r="D911" s="19" t="str">
        <x:v>S04</x:v>
      </x:c>
      <x:c r="E911" s="19" t="str">
        <x:v>金街美地店</x:v>
      </x:c>
      <x:c r="F911" s="19" t="str">
        <x:v>外卖</x:v>
      </x:c>
      <x:c r="G911" s="19" t="str">
        <x:v>全日</x:v>
      </x:c>
      <x:c r="H911" s="19" t="str">
        <x:v>D07</x:v>
      </x:c>
      <x:c r="I911" s="19" t="str">
        <x:v>川味回锅肉</x:v>
      </x:c>
      <x:c r="J911" s="22" t="n">
        <x:f>XLOOKUP(H911,'菜品主数据'!$A$5:$A$24,'菜品主数据'!$D$5:$D$24,0)</x:f>
        <x:v>29</x:v>
      </x:c>
      <x:c r="K911" s="31" t="n">
        <x:v>1</x:v>
      </x:c>
      <x:c r="L911" s="35" t="n">
        <x:f>J911*K911</x:f>
        <x:v>29</x:v>
      </x:c>
      <x:c r="M911" s="36" t="n">
        <x:v>0.08</x:v>
      </x:c>
      <x:c r="N911" s="35" t="n">
        <x:f>L911*M911</x:f>
        <x:v>2.32</x:v>
      </x:c>
      <x:c r="O911" s="37" t="n">
        <x:v>0.18</x:v>
      </x:c>
      <x:c r="P911" s="35" t="n">
        <x:f>L911*O911</x:f>
        <x:v>5.22</x:v>
      </x:c>
      <x:c r="Q911" s="35" t="n">
        <x:v>1.2</x:v>
      </x:c>
      <x:c r="R911" s="35" t="n">
        <x:f>K911*Q911</x:f>
        <x:v>1.2</x:v>
      </x:c>
      <x:c r="S911" s="35" t="n">
        <x:f>XLOOKUP(H911,'菜品主数据'!$A$5:$A$24,'菜品主数据'!$G$5:$G$24,0)</x:f>
        <x:v>10.231000000000002</x:v>
      </x:c>
      <x:c r="T911" s="35" t="n">
        <x:f>K911*S911</x:f>
        <x:v>10.231000000000002</x:v>
      </x:c>
      <x:c r="U911" s="35" t="n">
        <x:f>L911-N911-P911-R911-T911</x:f>
        <x:v>10.029</x:v>
      </x:c>
      <x:c r="V911" s="21" t="n">
        <x:f>IFERROR(U911/L911,0)</x:f>
        <x:v>0.3458275862068966</x:v>
      </x:c>
    </x:row>
    <x:row r="912">
      <x:c r="A912" s="19" t="str">
        <x:v>SALE-00908</x:v>
      </x:c>
      <x:c r="B912" s="34" t="n">
        <x:v>46211.5</x:v>
      </x:c>
      <x:c r="C912" s="19" t="str">
        <x:v>周三</x:v>
      </x:c>
      <x:c r="D912" s="19" t="str">
        <x:v>S04</x:v>
      </x:c>
      <x:c r="E912" s="19" t="str">
        <x:v>金街美地店</x:v>
      </x:c>
      <x:c r="F912" s="19" t="str">
        <x:v>外卖</x:v>
      </x:c>
      <x:c r="G912" s="19" t="str">
        <x:v>全日</x:v>
      </x:c>
      <x:c r="H912" s="19" t="str">
        <x:v>D08</x:v>
      </x:c>
      <x:c r="I912" s="19" t="str">
        <x:v>生炒清远鸡</x:v>
      </x:c>
      <x:c r="J912" s="22" t="n">
        <x:f>XLOOKUP(H912,'菜品主数据'!$A$5:$A$24,'菜品主数据'!$D$5:$D$24,0)</x:f>
        <x:v>36</x:v>
      </x:c>
      <x:c r="K912" s="31" t="n">
        <x:v>1</x:v>
      </x:c>
      <x:c r="L912" s="35" t="n">
        <x:f>J912*K912</x:f>
        <x:v>36</x:v>
      </x:c>
      <x:c r="M912" s="36" t="n">
        <x:v>0.08</x:v>
      </x:c>
      <x:c r="N912" s="35" t="n">
        <x:f>L912*M912</x:f>
        <x:v>2.88</x:v>
      </x:c>
      <x:c r="O912" s="37" t="n">
        <x:v>0.18</x:v>
      </x:c>
      <x:c r="P912" s="35" t="n">
        <x:f>L912*O912</x:f>
        <x:v>6.4799999999999995</x:v>
      </x:c>
      <x:c r="Q912" s="35" t="n">
        <x:v>1.2</x:v>
      </x:c>
      <x:c r="R912" s="35" t="n">
        <x:f>K912*Q912</x:f>
        <x:v>1.2</x:v>
      </x:c>
      <x:c r="S912" s="35" t="n">
        <x:f>XLOOKUP(H912,'菜品主数据'!$A$5:$A$24,'菜品主数据'!$G$5:$G$24,0)</x:f>
        <x:v>13.48</x:v>
      </x:c>
      <x:c r="T912" s="35" t="n">
        <x:f>K912*S912</x:f>
        <x:v>13.48</x:v>
      </x:c>
      <x:c r="U912" s="35" t="n">
        <x:f>L912-N912-P912-R912-T912</x:f>
        <x:v>11.959999999999997</x:v>
      </x:c>
      <x:c r="V912" s="21" t="n">
        <x:f>IFERROR(U912/L912,0)</x:f>
        <x:v>0.33222222222222214</x:v>
      </x:c>
    </x:row>
    <x:row r="913">
      <x:c r="A913" s="19" t="str">
        <x:v>SALE-00909</x:v>
      </x:c>
      <x:c r="B913" s="34" t="n">
        <x:v>46211.5</x:v>
      </x:c>
      <x:c r="C913" s="19" t="str">
        <x:v>周三</x:v>
      </x:c>
      <x:c r="D913" s="19" t="str">
        <x:v>S04</x:v>
      </x:c>
      <x:c r="E913" s="19" t="str">
        <x:v>金街美地店</x:v>
      </x:c>
      <x:c r="F913" s="19" t="str">
        <x:v>外卖</x:v>
      </x:c>
      <x:c r="G913" s="19" t="str">
        <x:v>全日</x:v>
      </x:c>
      <x:c r="H913" s="19" t="str">
        <x:v>D09</x:v>
      </x:c>
      <x:c r="I913" s="19" t="str">
        <x:v>炒豆干</x:v>
      </x:c>
      <x:c r="J913" s="22" t="n">
        <x:f>XLOOKUP(H913,'菜品主数据'!$A$5:$A$24,'菜品主数据'!$D$5:$D$24,0)</x:f>
        <x:v>18</x:v>
      </x:c>
      <x:c r="K913" s="31" t="n">
        <x:v>1</x:v>
      </x:c>
      <x:c r="L913" s="35" t="n">
        <x:f>J913*K913</x:f>
        <x:v>18</x:v>
      </x:c>
      <x:c r="M913" s="36" t="n">
        <x:v>0.08</x:v>
      </x:c>
      <x:c r="N913" s="35" t="n">
        <x:f>L913*M913</x:f>
        <x:v>1.44</x:v>
      </x:c>
      <x:c r="O913" s="37" t="n">
        <x:v>0.18</x:v>
      </x:c>
      <x:c r="P913" s="35" t="n">
        <x:f>L913*O913</x:f>
        <x:v>3.2399999999999998</x:v>
      </x:c>
      <x:c r="Q913" s="35" t="n">
        <x:v>1.2</x:v>
      </x:c>
      <x:c r="R913" s="35" t="n">
        <x:f>K913*Q913</x:f>
        <x:v>1.2</x:v>
      </x:c>
      <x:c r="S913" s="35" t="n">
        <x:f>XLOOKUP(H913,'菜品主数据'!$A$5:$A$24,'菜品主数据'!$G$5:$G$24,0)</x:f>
        <x:v>6.613999999999999</x:v>
      </x:c>
      <x:c r="T913" s="35" t="n">
        <x:f>K913*S913</x:f>
        <x:v>6.613999999999999</x:v>
      </x:c>
      <x:c r="U913" s="35" t="n">
        <x:f>L913-N913-P913-R913-T913</x:f>
        <x:v>5.506</x:v>
      </x:c>
      <x:c r="V913" s="21" t="n">
        <x:f>IFERROR(U913/L913,0)</x:f>
        <x:v>0.3058888888888889</x:v>
      </x:c>
    </x:row>
    <x:row r="914">
      <x:c r="A914" s="19" t="str">
        <x:v>SALE-00910</x:v>
      </x:c>
      <x:c r="B914" s="34" t="n">
        <x:v>46211.5</x:v>
      </x:c>
      <x:c r="C914" s="19" t="str">
        <x:v>周三</x:v>
      </x:c>
      <x:c r="D914" s="19" t="str">
        <x:v>S04</x:v>
      </x:c>
      <x:c r="E914" s="19" t="str">
        <x:v>金街美地店</x:v>
      </x:c>
      <x:c r="F914" s="19" t="str">
        <x:v>外卖</x:v>
      </x:c>
      <x:c r="G914" s="19" t="str">
        <x:v>全日</x:v>
      </x:c>
      <x:c r="H914" s="19" t="str">
        <x:v>D10</x:v>
      </x:c>
      <x:c r="I914" s="19" t="str">
        <x:v>农家一碗香</x:v>
      </x:c>
      <x:c r="J914" s="22" t="n">
        <x:f>XLOOKUP(H914,'菜品主数据'!$A$5:$A$24,'菜品主数据'!$D$5:$D$24,0)</x:f>
        <x:v>22.9</x:v>
      </x:c>
      <x:c r="K914" s="31" t="n">
        <x:v>1</x:v>
      </x:c>
      <x:c r="L914" s="35" t="n">
        <x:f>J914*K914</x:f>
        <x:v>22.9</x:v>
      </x:c>
      <x:c r="M914" s="36" t="n">
        <x:v>0.08</x:v>
      </x:c>
      <x:c r="N914" s="35" t="n">
        <x:f>L914*M914</x:f>
        <x:v>1.8319999999999999</x:v>
      </x:c>
      <x:c r="O914" s="37" t="n">
        <x:v>0.18</x:v>
      </x:c>
      <x:c r="P914" s="35" t="n">
        <x:f>L914*O914</x:f>
        <x:v>4.122</x:v>
      </x:c>
      <x:c r="Q914" s="35" t="n">
        <x:v>1.2</x:v>
      </x:c>
      <x:c r="R914" s="35" t="n">
        <x:f>K914*Q914</x:f>
        <x:v>1.2</x:v>
      </x:c>
      <x:c r="S914" s="35" t="n">
        <x:f>XLOOKUP(H914,'菜品主数据'!$A$5:$A$24,'菜品主数据'!$G$5:$G$24,0)</x:f>
        <x:v>9.770200000000003</x:v>
      </x:c>
      <x:c r="T914" s="35" t="n">
        <x:f>K914*S914</x:f>
        <x:v>9.770200000000003</x:v>
      </x:c>
      <x:c r="U914" s="35" t="n">
        <x:f>L914-N914-P914-R914-T914</x:f>
        <x:v>5.975799999999996</x:v>
      </x:c>
      <x:c r="V914" s="21" t="n">
        <x:f>IFERROR(U914/L914,0)</x:f>
        <x:v>0.260951965065502</x:v>
      </x:c>
    </x:row>
    <x:row r="915">
      <x:c r="A915" s="19" t="str">
        <x:v>SALE-00911</x:v>
      </x:c>
      <x:c r="B915" s="34" t="n">
        <x:v>46211.5</x:v>
      </x:c>
      <x:c r="C915" s="19" t="str">
        <x:v>周三</x:v>
      </x:c>
      <x:c r="D915" s="19" t="str">
        <x:v>S04</x:v>
      </x:c>
      <x:c r="E915" s="19" t="str">
        <x:v>金街美地店</x:v>
      </x:c>
      <x:c r="F915" s="19" t="str">
        <x:v>外卖</x:v>
      </x:c>
      <x:c r="G915" s="19" t="str">
        <x:v>全日</x:v>
      </x:c>
      <x:c r="H915" s="19" t="str">
        <x:v>D11</x:v>
      </x:c>
      <x:c r="I915" s="19" t="str">
        <x:v>香辣爆肥肠</x:v>
      </x:c>
      <x:c r="J915" s="22" t="n">
        <x:f>XLOOKUP(H915,'菜品主数据'!$A$5:$A$24,'菜品主数据'!$D$5:$D$24,0)</x:f>
        <x:v>39</x:v>
      </x:c>
      <x:c r="K915" s="31" t="n">
        <x:v>0</x:v>
      </x:c>
      <x:c r="L915" s="35" t="n">
        <x:f>J915*K915</x:f>
        <x:v>0</x:v>
      </x:c>
      <x:c r="M915" s="36" t="n">
        <x:v>0.08</x:v>
      </x:c>
      <x:c r="N915" s="35" t="n">
        <x:f>L915*M915</x:f>
        <x:v>0</x:v>
      </x:c>
      <x:c r="O915" s="37" t="n">
        <x:v>0.18</x:v>
      </x:c>
      <x:c r="P915" s="35" t="n">
        <x:f>L915*O915</x:f>
        <x:v>0</x:v>
      </x:c>
      <x:c r="Q915" s="35" t="n">
        <x:v>1.2</x:v>
      </x:c>
      <x:c r="R915" s="35" t="n">
        <x:f>K915*Q915</x:f>
        <x:v>0</x:v>
      </x:c>
      <x:c r="S915" s="35" t="n">
        <x:f>XLOOKUP(H915,'菜品主数据'!$A$5:$A$24,'菜品主数据'!$G$5:$G$24,0)</x:f>
        <x:v>10.397</x:v>
      </x:c>
      <x:c r="T915" s="35" t="n">
        <x:f>K915*S915</x:f>
        <x:v>0</x:v>
      </x:c>
      <x:c r="U915" s="35" t="n">
        <x:f>L915-N915-P915-R915-T915</x:f>
        <x:v>0</x:v>
      </x:c>
      <x:c r="V915" s="21" t="n">
        <x:f>IFERROR(U915/L915,0)</x:f>
        <x:v>0</x:v>
      </x:c>
    </x:row>
    <x:row r="916">
      <x:c r="A916" s="19" t="str">
        <x:v>SALE-00912</x:v>
      </x:c>
      <x:c r="B916" s="34" t="n">
        <x:v>46211.5</x:v>
      </x:c>
      <x:c r="C916" s="19" t="str">
        <x:v>周三</x:v>
      </x:c>
      <x:c r="D916" s="19" t="str">
        <x:v>S04</x:v>
      </x:c>
      <x:c r="E916" s="19" t="str">
        <x:v>金街美地店</x:v>
      </x:c>
      <x:c r="F916" s="19" t="str">
        <x:v>外卖</x:v>
      </x:c>
      <x:c r="G916" s="19" t="str">
        <x:v>全日</x:v>
      </x:c>
      <x:c r="H916" s="19" t="str">
        <x:v>D12</x:v>
      </x:c>
      <x:c r="I916" s="19" t="str">
        <x:v>清蒸鲈鱼</x:v>
      </x:c>
      <x:c r="J916" s="22" t="n">
        <x:f>XLOOKUP(H916,'菜品主数据'!$A$5:$A$24,'菜品主数据'!$D$5:$D$24,0)</x:f>
        <x:v>39</x:v>
      </x:c>
      <x:c r="K916" s="31" t="n">
        <x:v>0</x:v>
      </x:c>
      <x:c r="L916" s="35" t="n">
        <x:f>J916*K916</x:f>
        <x:v>0</x:v>
      </x:c>
      <x:c r="M916" s="36" t="n">
        <x:v>0.08</x:v>
      </x:c>
      <x:c r="N916" s="35" t="n">
        <x:f>L916*M916</x:f>
        <x:v>0</x:v>
      </x:c>
      <x:c r="O916" s="37" t="n">
        <x:v>0.18</x:v>
      </x:c>
      <x:c r="P916" s="35" t="n">
        <x:f>L916*O916</x:f>
        <x:v>0</x:v>
      </x:c>
      <x:c r="Q916" s="35" t="n">
        <x:v>1.2</x:v>
      </x:c>
      <x:c r="R916" s="35" t="n">
        <x:f>K916*Q916</x:f>
        <x:v>0</x:v>
      </x:c>
      <x:c r="S916" s="35" t="n">
        <x:f>XLOOKUP(H916,'菜品主数据'!$A$5:$A$24,'菜品主数据'!$G$5:$G$24,0)</x:f>
        <x:v>18.874</x:v>
      </x:c>
      <x:c r="T916" s="35" t="n">
        <x:f>K916*S916</x:f>
        <x:v>0</x:v>
      </x:c>
      <x:c r="U916" s="35" t="n">
        <x:f>L916-N916-P916-R916-T916</x:f>
        <x:v>0</x:v>
      </x:c>
      <x:c r="V916" s="21" t="n">
        <x:f>IFERROR(U916/L916,0)</x:f>
        <x:v>0</x:v>
      </x:c>
    </x:row>
    <x:row r="917">
      <x:c r="A917" s="19" t="str">
        <x:v>SALE-00913</x:v>
      </x:c>
      <x:c r="B917" s="34" t="n">
        <x:v>46211.5</x:v>
      </x:c>
      <x:c r="C917" s="19" t="str">
        <x:v>周三</x:v>
      </x:c>
      <x:c r="D917" s="19" t="str">
        <x:v>S04</x:v>
      </x:c>
      <x:c r="E917" s="19" t="str">
        <x:v>金街美地店</x:v>
      </x:c>
      <x:c r="F917" s="19" t="str">
        <x:v>外卖</x:v>
      </x:c>
      <x:c r="G917" s="19" t="str">
        <x:v>全日</x:v>
      </x:c>
      <x:c r="H917" s="19" t="str">
        <x:v>D13</x:v>
      </x:c>
      <x:c r="I917" s="19" t="str">
        <x:v>外婆菜炒蛋</x:v>
      </x:c>
      <x:c r="J917" s="22" t="n">
        <x:f>XLOOKUP(H917,'菜品主数据'!$A$5:$A$24,'菜品主数据'!$D$5:$D$24,0)</x:f>
        <x:v>18</x:v>
      </x:c>
      <x:c r="K917" s="31" t="n">
        <x:v>1</x:v>
      </x:c>
      <x:c r="L917" s="35" t="n">
        <x:f>J917*K917</x:f>
        <x:v>18</x:v>
      </x:c>
      <x:c r="M917" s="36" t="n">
        <x:v>0.08</x:v>
      </x:c>
      <x:c r="N917" s="35" t="n">
        <x:f>L917*M917</x:f>
        <x:v>1.44</x:v>
      </x:c>
      <x:c r="O917" s="37" t="n">
        <x:v>0.18</x:v>
      </x:c>
      <x:c r="P917" s="35" t="n">
        <x:f>L917*O917</x:f>
        <x:v>3.2399999999999998</x:v>
      </x:c>
      <x:c r="Q917" s="35" t="n">
        <x:v>1.2</x:v>
      </x:c>
      <x:c r="R917" s="35" t="n">
        <x:f>K917*Q917</x:f>
        <x:v>1.2</x:v>
      </x:c>
      <x:c r="S917" s="35" t="n">
        <x:f>XLOOKUP(H917,'菜品主数据'!$A$5:$A$24,'菜品主数据'!$G$5:$G$24,0)</x:f>
        <x:v>5.403999999999999</x:v>
      </x:c>
      <x:c r="T917" s="35" t="n">
        <x:f>K917*S917</x:f>
        <x:v>5.403999999999999</x:v>
      </x:c>
      <x:c r="U917" s="35" t="n">
        <x:f>L917-N917-P917-R917-T917</x:f>
        <x:v>6.716</x:v>
      </x:c>
      <x:c r="V917" s="21" t="n">
        <x:f>IFERROR(U917/L917,0)</x:f>
        <x:v>0.3731111111111111</x:v>
      </x:c>
    </x:row>
    <x:row r="918">
      <x:c r="A918" s="19" t="str">
        <x:v>SALE-00914</x:v>
      </x:c>
      <x:c r="B918" s="34" t="n">
        <x:v>46211.5</x:v>
      </x:c>
      <x:c r="C918" s="19" t="str">
        <x:v>周三</x:v>
      </x:c>
      <x:c r="D918" s="19" t="str">
        <x:v>S04</x:v>
      </x:c>
      <x:c r="E918" s="19" t="str">
        <x:v>金街美地店</x:v>
      </x:c>
      <x:c r="F918" s="19" t="str">
        <x:v>外卖</x:v>
      </x:c>
      <x:c r="G918" s="19" t="str">
        <x:v>全日</x:v>
      </x:c>
      <x:c r="H918" s="19" t="str">
        <x:v>D14</x:v>
      </x:c>
      <x:c r="I918" s="19" t="str">
        <x:v>酸辣鸡杂</x:v>
      </x:c>
      <x:c r="J918" s="22" t="n">
        <x:f>XLOOKUP(H918,'菜品主数据'!$A$5:$A$24,'菜品主数据'!$D$5:$D$24,0)</x:f>
        <x:v>28</x:v>
      </x:c>
      <x:c r="K918" s="31" t="n">
        <x:v>0</x:v>
      </x:c>
      <x:c r="L918" s="35" t="n">
        <x:f>J918*K918</x:f>
        <x:v>0</x:v>
      </x:c>
      <x:c r="M918" s="36" t="n">
        <x:v>0.08</x:v>
      </x:c>
      <x:c r="N918" s="35" t="n">
        <x:f>L918*M918</x:f>
        <x:v>0</x:v>
      </x:c>
      <x:c r="O918" s="37" t="n">
        <x:v>0.18</x:v>
      </x:c>
      <x:c r="P918" s="35" t="n">
        <x:f>L918*O918</x:f>
        <x:v>0</x:v>
      </x:c>
      <x:c r="Q918" s="35" t="n">
        <x:v>1.2</x:v>
      </x:c>
      <x:c r="R918" s="35" t="n">
        <x:f>K918*Q918</x:f>
        <x:v>0</x:v>
      </x:c>
      <x:c r="S918" s="35" t="n">
        <x:f>XLOOKUP(H918,'菜品主数据'!$A$5:$A$24,'菜品主数据'!$G$5:$G$24,0)</x:f>
        <x:v>8.315000000000001</x:v>
      </x:c>
      <x:c r="T918" s="35" t="n">
        <x:f>K918*S918</x:f>
        <x:v>0</x:v>
      </x:c>
      <x:c r="U918" s="35" t="n">
        <x:f>L918-N918-P918-R918-T918</x:f>
        <x:v>0</x:v>
      </x:c>
      <x:c r="V918" s="21" t="n">
        <x:f>IFERROR(U918/L918,0)</x:f>
        <x:v>0</x:v>
      </x:c>
    </x:row>
    <x:row r="919">
      <x:c r="A919" s="19" t="str">
        <x:v>SALE-00915</x:v>
      </x:c>
      <x:c r="B919" s="34" t="n">
        <x:v>46211.5</x:v>
      </x:c>
      <x:c r="C919" s="19" t="str">
        <x:v>周三</x:v>
      </x:c>
      <x:c r="D919" s="19" t="str">
        <x:v>S04</x:v>
      </x:c>
      <x:c r="E919" s="19" t="str">
        <x:v>金街美地店</x:v>
      </x:c>
      <x:c r="F919" s="19" t="str">
        <x:v>外卖</x:v>
      </x:c>
      <x:c r="G919" s="19" t="str">
        <x:v>全日</x:v>
      </x:c>
      <x:c r="H919" s="19" t="str">
        <x:v>D15</x:v>
      </x:c>
      <x:c r="I919" s="19" t="str">
        <x:v>湘西土匪猪肝</x:v>
      </x:c>
      <x:c r="J919" s="22" t="n">
        <x:f>XLOOKUP(H919,'菜品主数据'!$A$5:$A$24,'菜品主数据'!$D$5:$D$24,0)</x:f>
        <x:v>26</x:v>
      </x:c>
      <x:c r="K919" s="31" t="n">
        <x:v>0</x:v>
      </x:c>
      <x:c r="L919" s="35" t="n">
        <x:f>J919*K919</x:f>
        <x:v>0</x:v>
      </x:c>
      <x:c r="M919" s="36" t="n">
        <x:v>0.08</x:v>
      </x:c>
      <x:c r="N919" s="35" t="n">
        <x:f>L919*M919</x:f>
        <x:v>0</x:v>
      </x:c>
      <x:c r="O919" s="37" t="n">
        <x:v>0.18</x:v>
      </x:c>
      <x:c r="P919" s="35" t="n">
        <x:f>L919*O919</x:f>
        <x:v>0</x:v>
      </x:c>
      <x:c r="Q919" s="35" t="n">
        <x:v>1.2</x:v>
      </x:c>
      <x:c r="R919" s="35" t="n">
        <x:f>K919*Q919</x:f>
        <x:v>0</x:v>
      </x:c>
      <x:c r="S919" s="35" t="n">
        <x:f>XLOOKUP(H919,'菜品主数据'!$A$5:$A$24,'菜品主数据'!$G$5:$G$24,0)</x:f>
        <x:v>6.3759999999999994</x:v>
      </x:c>
      <x:c r="T919" s="35" t="n">
        <x:f>K919*S919</x:f>
        <x:v>0</x:v>
      </x:c>
      <x:c r="U919" s="35" t="n">
        <x:f>L919-N919-P919-R919-T919</x:f>
        <x:v>0</x:v>
      </x:c>
      <x:c r="V919" s="21" t="n">
        <x:f>IFERROR(U919/L919,0)</x:f>
        <x:v>0</x:v>
      </x:c>
    </x:row>
    <x:row r="920">
      <x:c r="A920" s="19" t="str">
        <x:v>SALE-00916</x:v>
      </x:c>
      <x:c r="B920" s="34" t="n">
        <x:v>46211.5</x:v>
      </x:c>
      <x:c r="C920" s="19" t="str">
        <x:v>周三</x:v>
      </x:c>
      <x:c r="D920" s="19" t="str">
        <x:v>S04</x:v>
      </x:c>
      <x:c r="E920" s="19" t="str">
        <x:v>金街美地店</x:v>
      </x:c>
      <x:c r="F920" s="19" t="str">
        <x:v>外卖</x:v>
      </x:c>
      <x:c r="G920" s="19" t="str">
        <x:v>全日</x:v>
      </x:c>
      <x:c r="H920" s="19" t="str">
        <x:v>D16</x:v>
      </x:c>
      <x:c r="I920" s="19" t="str">
        <x:v>小豆角炒五花</x:v>
      </x:c>
      <x:c r="J920" s="22" t="n">
        <x:f>XLOOKUP(H920,'菜品主数据'!$A$5:$A$24,'菜品主数据'!$D$5:$D$24,0)</x:f>
        <x:v>25</x:v>
      </x:c>
      <x:c r="K920" s="31" t="n">
        <x:v>0</x:v>
      </x:c>
      <x:c r="L920" s="35" t="n">
        <x:f>J920*K920</x:f>
        <x:v>0</x:v>
      </x:c>
      <x:c r="M920" s="36" t="n">
        <x:v>0.08</x:v>
      </x:c>
      <x:c r="N920" s="35" t="n">
        <x:f>L920*M920</x:f>
        <x:v>0</x:v>
      </x:c>
      <x:c r="O920" s="37" t="n">
        <x:v>0.18</x:v>
      </x:c>
      <x:c r="P920" s="35" t="n">
        <x:f>L920*O920</x:f>
        <x:v>0</x:v>
      </x:c>
      <x:c r="Q920" s="35" t="n">
        <x:v>1.2</x:v>
      </x:c>
      <x:c r="R920" s="35" t="n">
        <x:f>K920*Q920</x:f>
        <x:v>0</x:v>
      </x:c>
      <x:c r="S920" s="35" t="n">
        <x:f>XLOOKUP(H920,'菜品主数据'!$A$5:$A$24,'菜品主数据'!$G$5:$G$24,0)</x:f>
        <x:v>8.184</x:v>
      </x:c>
      <x:c r="T920" s="35" t="n">
        <x:f>K920*S920</x:f>
        <x:v>0</x:v>
      </x:c>
      <x:c r="U920" s="35" t="n">
        <x:f>L920-N920-P920-R920-T920</x:f>
        <x:v>0</x:v>
      </x:c>
      <x:c r="V920" s="21" t="n">
        <x:f>IFERROR(U920/L920,0)</x:f>
        <x:v>0</x:v>
      </x:c>
    </x:row>
    <x:row r="921">
      <x:c r="A921" s="19" t="str">
        <x:v>SALE-00917</x:v>
      </x:c>
      <x:c r="B921" s="34" t="n">
        <x:v>46211.5</x:v>
      </x:c>
      <x:c r="C921" s="19" t="str">
        <x:v>周三</x:v>
      </x:c>
      <x:c r="D921" s="19" t="str">
        <x:v>S04</x:v>
      </x:c>
      <x:c r="E921" s="19" t="str">
        <x:v>金街美地店</x:v>
      </x:c>
      <x:c r="F921" s="19" t="str">
        <x:v>外卖</x:v>
      </x:c>
      <x:c r="G921" s="19" t="str">
        <x:v>全日</x:v>
      </x:c>
      <x:c r="H921" s="19" t="str">
        <x:v>D17</x:v>
      </x:c>
      <x:c r="I921" s="19" t="str">
        <x:v>蒜蓉粉丝虾</x:v>
      </x:c>
      <x:c r="J921" s="22" t="n">
        <x:f>XLOOKUP(H921,'菜品主数据'!$A$5:$A$24,'菜品主数据'!$D$5:$D$24,0)</x:f>
        <x:v>36</x:v>
      </x:c>
      <x:c r="K921" s="31" t="n">
        <x:v>0</x:v>
      </x:c>
      <x:c r="L921" s="35" t="n">
        <x:f>J921*K921</x:f>
        <x:v>0</x:v>
      </x:c>
      <x:c r="M921" s="36" t="n">
        <x:v>0.08</x:v>
      </x:c>
      <x:c r="N921" s="35" t="n">
        <x:f>L921*M921</x:f>
        <x:v>0</x:v>
      </x:c>
      <x:c r="O921" s="37" t="n">
        <x:v>0.18</x:v>
      </x:c>
      <x:c r="P921" s="35" t="n">
        <x:f>L921*O921</x:f>
        <x:v>0</x:v>
      </x:c>
      <x:c r="Q921" s="35" t="n">
        <x:v>1.2</x:v>
      </x:c>
      <x:c r="R921" s="35" t="n">
        <x:f>K921*Q921</x:f>
        <x:v>0</x:v>
      </x:c>
      <x:c r="S921" s="35" t="n">
        <x:f>XLOOKUP(H921,'菜品主数据'!$A$5:$A$24,'菜品主数据'!$G$5:$G$24,0)</x:f>
        <x:v>13.594</x:v>
      </x:c>
      <x:c r="T921" s="35" t="n">
        <x:f>K921*S921</x:f>
        <x:v>0</x:v>
      </x:c>
      <x:c r="U921" s="35" t="n">
        <x:f>L921-N921-P921-R921-T921</x:f>
        <x:v>0</x:v>
      </x:c>
      <x:c r="V921" s="21" t="n">
        <x:f>IFERROR(U921/L921,0)</x:f>
        <x:v>0</x:v>
      </x:c>
    </x:row>
    <x:row r="922">
      <x:c r="A922" s="19" t="str">
        <x:v>SALE-00918</x:v>
      </x:c>
      <x:c r="B922" s="34" t="n">
        <x:v>46211.5</x:v>
      </x:c>
      <x:c r="C922" s="19" t="str">
        <x:v>周三</x:v>
      </x:c>
      <x:c r="D922" s="19" t="str">
        <x:v>S04</x:v>
      </x:c>
      <x:c r="E922" s="19" t="str">
        <x:v>金街美地店</x:v>
      </x:c>
      <x:c r="F922" s="19" t="str">
        <x:v>外卖</x:v>
      </x:c>
      <x:c r="G922" s="19" t="str">
        <x:v>全日</x:v>
      </x:c>
      <x:c r="H922" s="19" t="str">
        <x:v>D18</x:v>
      </x:c>
      <x:c r="I922" s="19" t="str">
        <x:v>青椒炒油麦菜</x:v>
      </x:c>
      <x:c r="J922" s="22" t="n">
        <x:f>XLOOKUP(H922,'菜品主数据'!$A$5:$A$24,'菜品主数据'!$D$5:$D$24,0)</x:f>
        <x:v>18</x:v>
      </x:c>
      <x:c r="K922" s="31" t="n">
        <x:v>0</x:v>
      </x:c>
      <x:c r="L922" s="35" t="n">
        <x:f>J922*K922</x:f>
        <x:v>0</x:v>
      </x:c>
      <x:c r="M922" s="36" t="n">
        <x:v>0.08</x:v>
      </x:c>
      <x:c r="N922" s="35" t="n">
        <x:f>L922*M922</x:f>
        <x:v>0</x:v>
      </x:c>
      <x:c r="O922" s="37" t="n">
        <x:v>0.18</x:v>
      </x:c>
      <x:c r="P922" s="35" t="n">
        <x:f>L922*O922</x:f>
        <x:v>0</x:v>
      </x:c>
      <x:c r="Q922" s="35" t="n">
        <x:v>1.2</x:v>
      </x:c>
      <x:c r="R922" s="35" t="n">
        <x:f>K922*Q922</x:f>
        <x:v>0</x:v>
      </x:c>
      <x:c r="S922" s="35" t="n">
        <x:f>XLOOKUP(H922,'菜品主数据'!$A$5:$A$24,'菜品主数据'!$G$5:$G$24,0)</x:f>
        <x:v>3.1759999999999993</x:v>
      </x:c>
      <x:c r="T922" s="35" t="n">
        <x:f>K922*S922</x:f>
        <x:v>0</x:v>
      </x:c>
      <x:c r="U922" s="35" t="n">
        <x:f>L922-N922-P922-R922-T922</x:f>
        <x:v>0</x:v>
      </x:c>
      <x:c r="V922" s="21" t="n">
        <x:f>IFERROR(U922/L922,0)</x:f>
        <x:v>0</x:v>
      </x:c>
    </x:row>
    <x:row r="923">
      <x:c r="A923" s="19" t="str">
        <x:v>SALE-00919</x:v>
      </x:c>
      <x:c r="B923" s="34" t="n">
        <x:v>46211.5</x:v>
      </x:c>
      <x:c r="C923" s="19" t="str">
        <x:v>周三</x:v>
      </x:c>
      <x:c r="D923" s="19" t="str">
        <x:v>S04</x:v>
      </x:c>
      <x:c r="E923" s="19" t="str">
        <x:v>金街美地店</x:v>
      </x:c>
      <x:c r="F923" s="19" t="str">
        <x:v>外卖</x:v>
      </x:c>
      <x:c r="G923" s="19" t="str">
        <x:v>全日</x:v>
      </x:c>
      <x:c r="H923" s="19" t="str">
        <x:v>D19</x:v>
      </x:c>
      <x:c r="I923" s="19" t="str">
        <x:v>酸萝卜炒鸡杂</x:v>
      </x:c>
      <x:c r="J923" s="22" t="n">
        <x:f>XLOOKUP(H923,'菜品主数据'!$A$5:$A$24,'菜品主数据'!$D$5:$D$24,0)</x:f>
        <x:v>25</x:v>
      </x:c>
      <x:c r="K923" s="31" t="n">
        <x:v>0</x:v>
      </x:c>
      <x:c r="L923" s="35" t="n">
        <x:f>J923*K923</x:f>
        <x:v>0</x:v>
      </x:c>
      <x:c r="M923" s="36" t="n">
        <x:v>0.08</x:v>
      </x:c>
      <x:c r="N923" s="35" t="n">
        <x:f>L923*M923</x:f>
        <x:v>0</x:v>
      </x:c>
      <x:c r="O923" s="37" t="n">
        <x:v>0.18</x:v>
      </x:c>
      <x:c r="P923" s="35" t="n">
        <x:f>L923*O923</x:f>
        <x:v>0</x:v>
      </x:c>
      <x:c r="Q923" s="35" t="n">
        <x:v>1.2</x:v>
      </x:c>
      <x:c r="R923" s="35" t="n">
        <x:f>K923*Q923</x:f>
        <x:v>0</x:v>
      </x:c>
      <x:c r="S923" s="35" t="n">
        <x:f>XLOOKUP(H923,'菜品主数据'!$A$5:$A$24,'菜品主数据'!$G$5:$G$24,0)</x:f>
        <x:v>7.9399999999999995</x:v>
      </x:c>
      <x:c r="T923" s="35" t="n">
        <x:f>K923*S923</x:f>
        <x:v>0</x:v>
      </x:c>
      <x:c r="U923" s="35" t="n">
        <x:f>L923-N923-P923-R923-T923</x:f>
        <x:v>0</x:v>
      </x:c>
      <x:c r="V923" s="21" t="n">
        <x:f>IFERROR(U923/L923,0)</x:f>
        <x:v>0</x:v>
      </x:c>
    </x:row>
    <x:row r="924">
      <x:c r="A924" s="19" t="str">
        <x:v>SALE-00920</x:v>
      </x:c>
      <x:c r="B924" s="34" t="n">
        <x:v>46211.5</x:v>
      </x:c>
      <x:c r="C924" s="19" t="str">
        <x:v>周三</x:v>
      </x:c>
      <x:c r="D924" s="19" t="str">
        <x:v>S04</x:v>
      </x:c>
      <x:c r="E924" s="19" t="str">
        <x:v>金街美地店</x:v>
      </x:c>
      <x:c r="F924" s="19" t="str">
        <x:v>外卖</x:v>
      </x:c>
      <x:c r="G924" s="19" t="str">
        <x:v>全日</x:v>
      </x:c>
      <x:c r="H924" s="19" t="str">
        <x:v>D20</x:v>
      </x:c>
      <x:c r="I924" s="19" t="str">
        <x:v>雪菜肉末青豆</x:v>
      </x:c>
      <x:c r="J924" s="22" t="n">
        <x:f>XLOOKUP(H924,'菜品主数据'!$A$5:$A$24,'菜品主数据'!$D$5:$D$24,0)</x:f>
        <x:v>18</x:v>
      </x:c>
      <x:c r="K924" s="31" t="n">
        <x:v>0</x:v>
      </x:c>
      <x:c r="L924" s="35" t="n">
        <x:f>J924*K924</x:f>
        <x:v>0</x:v>
      </x:c>
      <x:c r="M924" s="36" t="n">
        <x:v>0.08</x:v>
      </x:c>
      <x:c r="N924" s="35" t="n">
        <x:f>L924*M924</x:f>
        <x:v>0</x:v>
      </x:c>
      <x:c r="O924" s="37" t="n">
        <x:v>0.18</x:v>
      </x:c>
      <x:c r="P924" s="35" t="n">
        <x:f>L924*O924</x:f>
        <x:v>0</x:v>
      </x:c>
      <x:c r="Q924" s="35" t="n">
        <x:v>1.2</x:v>
      </x:c>
      <x:c r="R924" s="35" t="n">
        <x:f>K924*Q924</x:f>
        <x:v>0</x:v>
      </x:c>
      <x:c r="S924" s="35" t="n">
        <x:f>XLOOKUP(H924,'菜品主数据'!$A$5:$A$24,'菜品主数据'!$G$5:$G$24,0)</x:f>
        <x:v>7.303999999999999</x:v>
      </x:c>
      <x:c r="T924" s="35" t="n">
        <x:f>K924*S924</x:f>
        <x:v>0</x:v>
      </x:c>
      <x:c r="U924" s="35" t="n">
        <x:f>L924-N924-P924-R924-T924</x:f>
        <x:v>0</x:v>
      </x:c>
      <x:c r="V924" s="21" t="n">
        <x:f>IFERROR(U924/L924,0)</x:f>
        <x:v>0</x:v>
      </x:c>
    </x:row>
    <x:row r="925">
      <x:c r="A925" s="19" t="str">
        <x:v>SALE-00921</x:v>
      </x:c>
      <x:c r="B925" s="34" t="n">
        <x:v>46212.5</x:v>
      </x:c>
      <x:c r="C925" s="19" t="str">
        <x:v>周四</x:v>
      </x:c>
      <x:c r="D925" s="19" t="str">
        <x:v>S04</x:v>
      </x:c>
      <x:c r="E925" s="19" t="str">
        <x:v>金街美地店</x:v>
      </x:c>
      <x:c r="F925" s="19" t="str">
        <x:v>堂食</x:v>
      </x:c>
      <x:c r="G925" s="19" t="str">
        <x:v>全日</x:v>
      </x:c>
      <x:c r="H925" s="19" t="str">
        <x:v>D01</x:v>
      </x:c>
      <x:c r="I925" s="19" t="str">
        <x:v>辣椒炒肉</x:v>
      </x:c>
      <x:c r="J925" s="22" t="n">
        <x:f>XLOOKUP(H925,'菜品主数据'!$A$5:$A$24,'菜品主数据'!$D$5:$D$24,0)</x:f>
        <x:v>29</x:v>
      </x:c>
      <x:c r="K925" s="31" t="n">
        <x:v>43</x:v>
      </x:c>
      <x:c r="L925" s="35" t="n">
        <x:f>J925*K925</x:f>
        <x:v>1247</x:v>
      </x:c>
      <x:c r="M925" s="36" t="n">
        <x:v>0</x:v>
      </x:c>
      <x:c r="N925" s="35" t="n">
        <x:f>L925*M925</x:f>
        <x:v>0</x:v>
      </x:c>
      <x:c r="O925" s="37" t="n">
        <x:v>0</x:v>
      </x:c>
      <x:c r="P925" s="35" t="n">
        <x:f>L925*O925</x:f>
        <x:v>0</x:v>
      </x:c>
      <x:c r="Q925" s="35" t="n">
        <x:v>0</x:v>
      </x:c>
      <x:c r="R925" s="35" t="n">
        <x:f>K925*Q925</x:f>
        <x:v>0</x:v>
      </x:c>
      <x:c r="S925" s="35" t="n">
        <x:f>XLOOKUP(H925,'菜品主数据'!$A$5:$A$24,'菜品主数据'!$G$5:$G$24,0)</x:f>
        <x:v>8.634400000000001</x:v>
      </x:c>
      <x:c r="T925" s="35" t="n">
        <x:f>K925*S925</x:f>
        <x:v>371.27920000000006</x:v>
      </x:c>
      <x:c r="U925" s="35" t="n">
        <x:f>L925-N925-P925-R925-T925</x:f>
        <x:v>875.7207999999999</x:v>
      </x:c>
      <x:c r="V925" s="21" t="n">
        <x:f>IFERROR(U925/L925,0)</x:f>
        <x:v>0.7022620689655172</x:v>
      </x:c>
    </x:row>
    <x:row r="926">
      <x:c r="A926" s="19" t="str">
        <x:v>SALE-00922</x:v>
      </x:c>
      <x:c r="B926" s="34" t="n">
        <x:v>46212.5</x:v>
      </x:c>
      <x:c r="C926" s="19" t="str">
        <x:v>周四</x:v>
      </x:c>
      <x:c r="D926" s="19" t="str">
        <x:v>S04</x:v>
      </x:c>
      <x:c r="E926" s="19" t="str">
        <x:v>金街美地店</x:v>
      </x:c>
      <x:c r="F926" s="19" t="str">
        <x:v>堂食</x:v>
      </x:c>
      <x:c r="G926" s="19" t="str">
        <x:v>全日</x:v>
      </x:c>
      <x:c r="H926" s="19" t="str">
        <x:v>D02</x:v>
      </x:c>
      <x:c r="I926" s="19" t="str">
        <x:v>小炒黄牛肉</x:v>
      </x:c>
      <x:c r="J926" s="22" t="n">
        <x:f>XLOOKUP(H926,'菜品主数据'!$A$5:$A$24,'菜品主数据'!$D$5:$D$24,0)</x:f>
        <x:v>49</x:v>
      </x:c>
      <x:c r="K926" s="31" t="n">
        <x:v>25</x:v>
      </x:c>
      <x:c r="L926" s="35" t="n">
        <x:f>J926*K926</x:f>
        <x:v>1225</x:v>
      </x:c>
      <x:c r="M926" s="36" t="n">
        <x:v>0</x:v>
      </x:c>
      <x:c r="N926" s="35" t="n">
        <x:f>L926*M926</x:f>
        <x:v>0</x:v>
      </x:c>
      <x:c r="O926" s="37" t="n">
        <x:v>0</x:v>
      </x:c>
      <x:c r="P926" s="35" t="n">
        <x:f>L926*O926</x:f>
        <x:v>0</x:v>
      </x:c>
      <x:c r="Q926" s="35" t="n">
        <x:v>0</x:v>
      </x:c>
      <x:c r="R926" s="35" t="n">
        <x:f>K926*Q926</x:f>
        <x:v>0</x:v>
      </x:c>
      <x:c r="S926" s="35" t="n">
        <x:f>XLOOKUP(H926,'菜品主数据'!$A$5:$A$24,'菜品主数据'!$G$5:$G$24,0)</x:f>
        <x:v>17.577</x:v>
      </x:c>
      <x:c r="T926" s="35" t="n">
        <x:f>K926*S926</x:f>
        <x:v>439.42500000000007</x:v>
      </x:c>
      <x:c r="U926" s="35" t="n">
        <x:f>L926-N926-P926-R926-T926</x:f>
        <x:v>785.5749999999999</x:v>
      </x:c>
      <x:c r="V926" s="21" t="n">
        <x:f>IFERROR(U926/L926,0)</x:f>
        <x:v>0.6412857142857142</x:v>
      </x:c>
    </x:row>
    <x:row r="927">
      <x:c r="A927" s="19" t="str">
        <x:v>SALE-00923</x:v>
      </x:c>
      <x:c r="B927" s="34" t="n">
        <x:v>46212.5</x:v>
      </x:c>
      <x:c r="C927" s="19" t="str">
        <x:v>周四</x:v>
      </x:c>
      <x:c r="D927" s="19" t="str">
        <x:v>S04</x:v>
      </x:c>
      <x:c r="E927" s="19" t="str">
        <x:v>金街美地店</x:v>
      </x:c>
      <x:c r="F927" s="19" t="str">
        <x:v>堂食</x:v>
      </x:c>
      <x:c r="G927" s="19" t="str">
        <x:v>全日</x:v>
      </x:c>
      <x:c r="H927" s="19" t="str">
        <x:v>D03</x:v>
      </x:c>
      <x:c r="I927" s="19" t="str">
        <x:v>香醋炒蛋</x:v>
      </x:c>
      <x:c r="J927" s="22" t="n">
        <x:f>XLOOKUP(H927,'菜品主数据'!$A$5:$A$24,'菜品主数据'!$D$5:$D$24,0)</x:f>
        <x:v>14.9</x:v>
      </x:c>
      <x:c r="K927" s="31" t="n">
        <x:v>38</x:v>
      </x:c>
      <x:c r="L927" s="35" t="n">
        <x:f>J927*K927</x:f>
        <x:v>566.2</x:v>
      </x:c>
      <x:c r="M927" s="36" t="n">
        <x:v>0</x:v>
      </x:c>
      <x:c r="N927" s="35" t="n">
        <x:f>L927*M927</x:f>
        <x:v>0</x:v>
      </x:c>
      <x:c r="O927" s="37" t="n">
        <x:v>0</x:v>
      </x:c>
      <x:c r="P927" s="35" t="n">
        <x:f>L927*O927</x:f>
        <x:v>0</x:v>
      </x:c>
      <x:c r="Q927" s="35" t="n">
        <x:v>0</x:v>
      </x:c>
      <x:c r="R927" s="35" t="n">
        <x:f>K927*Q927</x:f>
        <x:v>0</x:v>
      </x:c>
      <x:c r="S927" s="35" t="n">
        <x:f>XLOOKUP(H927,'菜品主数据'!$A$5:$A$24,'菜品主数据'!$G$5:$G$24,0)</x:f>
        <x:v>3.7459999999999996</x:v>
      </x:c>
      <x:c r="T927" s="35" t="n">
        <x:f>K927*S927</x:f>
        <x:v>142.34799999999998</x:v>
      </x:c>
      <x:c r="U927" s="35" t="n">
        <x:f>L927-N927-P927-R927-T927</x:f>
        <x:v>423.8520000000001</x:v>
      </x:c>
      <x:c r="V927" s="21" t="n">
        <x:f>IFERROR(U927/L927,0)</x:f>
        <x:v>0.7485906040268457</x:v>
      </x:c>
    </x:row>
    <x:row r="928">
      <x:c r="A928" s="19" t="str">
        <x:v>SALE-00924</x:v>
      </x:c>
      <x:c r="B928" s="34" t="n">
        <x:v>46212.5</x:v>
      </x:c>
      <x:c r="C928" s="19" t="str">
        <x:v>周四</x:v>
      </x:c>
      <x:c r="D928" s="19" t="str">
        <x:v>S04</x:v>
      </x:c>
      <x:c r="E928" s="19" t="str">
        <x:v>金街美地店</x:v>
      </x:c>
      <x:c r="F928" s="19" t="str">
        <x:v>堂食</x:v>
      </x:c>
      <x:c r="G928" s="19" t="str">
        <x:v>全日</x:v>
      </x:c>
      <x:c r="H928" s="19" t="str">
        <x:v>D04</x:v>
      </x:c>
      <x:c r="I928" s="19" t="str">
        <x:v>酸包菜炒粉皮</x:v>
      </x:c>
      <x:c r="J928" s="22" t="n">
        <x:f>XLOOKUP(H928,'菜品主数据'!$A$5:$A$24,'菜品主数据'!$D$5:$D$24,0)</x:f>
        <x:v>16</x:v>
      </x:c>
      <x:c r="K928" s="31" t="n">
        <x:v>36</x:v>
      </x:c>
      <x:c r="L928" s="35" t="n">
        <x:f>J928*K928</x:f>
        <x:v>576</x:v>
      </x:c>
      <x:c r="M928" s="36" t="n">
        <x:v>0</x:v>
      </x:c>
      <x:c r="N928" s="35" t="n">
        <x:f>L928*M928</x:f>
        <x:v>0</x:v>
      </x:c>
      <x:c r="O928" s="37" t="n">
        <x:v>0</x:v>
      </x:c>
      <x:c r="P928" s="35" t="n">
        <x:f>L928*O928</x:f>
        <x:v>0</x:v>
      </x:c>
      <x:c r="Q928" s="35" t="n">
        <x:v>0</x:v>
      </x:c>
      <x:c r="R928" s="35" t="n">
        <x:f>K928*Q928</x:f>
        <x:v>0</x:v>
      </x:c>
      <x:c r="S928" s="35" t="n">
        <x:f>XLOOKUP(H928,'菜品主数据'!$A$5:$A$24,'菜品主数据'!$G$5:$G$24,0)</x:f>
        <x:v>3.978</x:v>
      </x:c>
      <x:c r="T928" s="35" t="n">
        <x:f>K928*S928</x:f>
        <x:v>143.208</x:v>
      </x:c>
      <x:c r="U928" s="35" t="n">
        <x:f>L928-N928-P928-R928-T928</x:f>
        <x:v>432.79200000000003</x:v>
      </x:c>
      <x:c r="V928" s="21" t="n">
        <x:f>IFERROR(U928/L928,0)</x:f>
        <x:v>0.751375</x:v>
      </x:c>
    </x:row>
    <x:row r="929">
      <x:c r="A929" s="19" t="str">
        <x:v>SALE-00925</x:v>
      </x:c>
      <x:c r="B929" s="34" t="n">
        <x:v>46212.5</x:v>
      </x:c>
      <x:c r="C929" s="19" t="str">
        <x:v>周四</x:v>
      </x:c>
      <x:c r="D929" s="19" t="str">
        <x:v>S04</x:v>
      </x:c>
      <x:c r="E929" s="19" t="str">
        <x:v>金街美地店</x:v>
      </x:c>
      <x:c r="F929" s="19" t="str">
        <x:v>堂食</x:v>
      </x:c>
      <x:c r="G929" s="19" t="str">
        <x:v>全日</x:v>
      </x:c>
      <x:c r="H929" s="19" t="str">
        <x:v>D05</x:v>
      </x:c>
      <x:c r="I929" s="19" t="str">
        <x:v>麻婆豆腐</x:v>
      </x:c>
      <x:c r="J929" s="22" t="n">
        <x:f>XLOOKUP(H929,'菜品主数据'!$A$5:$A$24,'菜品主数据'!$D$5:$D$24,0)</x:f>
        <x:v>9.9</x:v>
      </x:c>
      <x:c r="K929" s="31" t="n">
        <x:v>46</x:v>
      </x:c>
      <x:c r="L929" s="35" t="n">
        <x:f>J929*K929</x:f>
        <x:v>455.40000000000003</x:v>
      </x:c>
      <x:c r="M929" s="36" t="n">
        <x:v>0</x:v>
      </x:c>
      <x:c r="N929" s="35" t="n">
        <x:f>L929*M929</x:f>
        <x:v>0</x:v>
      </x:c>
      <x:c r="O929" s="37" t="n">
        <x:v>0</x:v>
      </x:c>
      <x:c r="P929" s="35" t="n">
        <x:f>L929*O929</x:f>
        <x:v>0</x:v>
      </x:c>
      <x:c r="Q929" s="35" t="n">
        <x:v>0</x:v>
      </x:c>
      <x:c r="R929" s="35" t="n">
        <x:f>K929*Q929</x:f>
        <x:v>0</x:v>
      </x:c>
      <x:c r="S929" s="35" t="n">
        <x:f>XLOOKUP(H929,'菜品主数据'!$A$5:$A$24,'菜品主数据'!$G$5:$G$24,0)</x:f>
        <x:v>5.367000000000001</x:v>
      </x:c>
      <x:c r="T929" s="35" t="n">
        <x:f>K929*S929</x:f>
        <x:v>246.88200000000003</x:v>
      </x:c>
      <x:c r="U929" s="35" t="n">
        <x:f>L929-N929-P929-R929-T929</x:f>
        <x:v>208.518</x:v>
      </x:c>
      <x:c r="V929" s="21" t="n">
        <x:f>IFERROR(U929/L929,0)</x:f>
        <x:v>0.45787878787878783</x:v>
      </x:c>
    </x:row>
    <x:row r="930">
      <x:c r="A930" s="19" t="str">
        <x:v>SALE-00926</x:v>
      </x:c>
      <x:c r="B930" s="34" t="n">
        <x:v>46212.5</x:v>
      </x:c>
      <x:c r="C930" s="19" t="str">
        <x:v>周四</x:v>
      </x:c>
      <x:c r="D930" s="19" t="str">
        <x:v>S04</x:v>
      </x:c>
      <x:c r="E930" s="19" t="str">
        <x:v>金街美地店</x:v>
      </x:c>
      <x:c r="F930" s="19" t="str">
        <x:v>堂食</x:v>
      </x:c>
      <x:c r="G930" s="19" t="str">
        <x:v>全日</x:v>
      </x:c>
      <x:c r="H930" s="19" t="str">
        <x:v>D06</x:v>
      </x:c>
      <x:c r="I930" s="19" t="str">
        <x:v>剁椒鱼头</x:v>
      </x:c>
      <x:c r="J930" s="22" t="n">
        <x:f>XLOOKUP(H930,'菜品主数据'!$A$5:$A$24,'菜品主数据'!$D$5:$D$24,0)</x:f>
        <x:v>39</x:v>
      </x:c>
      <x:c r="K930" s="31" t="n">
        <x:v>12</x:v>
      </x:c>
      <x:c r="L930" s="35" t="n">
        <x:f>J930*K930</x:f>
        <x:v>468</x:v>
      </x:c>
      <x:c r="M930" s="36" t="n">
        <x:v>0</x:v>
      </x:c>
      <x:c r="N930" s="35" t="n">
        <x:f>L930*M930</x:f>
        <x:v>0</x:v>
      </x:c>
      <x:c r="O930" s="37" t="n">
        <x:v>0</x:v>
      </x:c>
      <x:c r="P930" s="35" t="n">
        <x:f>L930*O930</x:f>
        <x:v>0</x:v>
      </x:c>
      <x:c r="Q930" s="35" t="n">
        <x:v>0</x:v>
      </x:c>
      <x:c r="R930" s="35" t="n">
        <x:f>K930*Q930</x:f>
        <x:v>0</x:v>
      </x:c>
      <x:c r="S930" s="35" t="n">
        <x:f>XLOOKUP(H930,'菜品主数据'!$A$5:$A$24,'菜品主数据'!$G$5:$G$24,0)</x:f>
        <x:v>17.446</x:v>
      </x:c>
      <x:c r="T930" s="35" t="n">
        <x:f>K930*S930</x:f>
        <x:v>209.35200000000003</x:v>
      </x:c>
      <x:c r="U930" s="35" t="n">
        <x:f>L930-N930-P930-R930-T930</x:f>
        <x:v>258.64799999999997</x:v>
      </x:c>
      <x:c r="V930" s="21" t="n">
        <x:f>IFERROR(U930/L930,0)</x:f>
        <x:v>0.5526666666666666</x:v>
      </x:c>
    </x:row>
    <x:row r="931">
      <x:c r="A931" s="19" t="str">
        <x:v>SALE-00927</x:v>
      </x:c>
      <x:c r="B931" s="34" t="n">
        <x:v>46212.5</x:v>
      </x:c>
      <x:c r="C931" s="19" t="str">
        <x:v>周四</x:v>
      </x:c>
      <x:c r="D931" s="19" t="str">
        <x:v>S04</x:v>
      </x:c>
      <x:c r="E931" s="19" t="str">
        <x:v>金街美地店</x:v>
      </x:c>
      <x:c r="F931" s="19" t="str">
        <x:v>堂食</x:v>
      </x:c>
      <x:c r="G931" s="19" t="str">
        <x:v>全日</x:v>
      </x:c>
      <x:c r="H931" s="19" t="str">
        <x:v>D07</x:v>
      </x:c>
      <x:c r="I931" s="19" t="str">
        <x:v>川味回锅肉</x:v>
      </x:c>
      <x:c r="J931" s="22" t="n">
        <x:f>XLOOKUP(H931,'菜品主数据'!$A$5:$A$24,'菜品主数据'!$D$5:$D$24,0)</x:f>
        <x:v>29</x:v>
      </x:c>
      <x:c r="K931" s="31" t="n">
        <x:v>13</x:v>
      </x:c>
      <x:c r="L931" s="35" t="n">
        <x:f>J931*K931</x:f>
        <x:v>377</x:v>
      </x:c>
      <x:c r="M931" s="36" t="n">
        <x:v>0</x:v>
      </x:c>
      <x:c r="N931" s="35" t="n">
        <x:f>L931*M931</x:f>
        <x:v>0</x:v>
      </x:c>
      <x:c r="O931" s="37" t="n">
        <x:v>0</x:v>
      </x:c>
      <x:c r="P931" s="35" t="n">
        <x:f>L931*O931</x:f>
        <x:v>0</x:v>
      </x:c>
      <x:c r="Q931" s="35" t="n">
        <x:v>0</x:v>
      </x:c>
      <x:c r="R931" s="35" t="n">
        <x:f>K931*Q931</x:f>
        <x:v>0</x:v>
      </x:c>
      <x:c r="S931" s="35" t="n">
        <x:f>XLOOKUP(H931,'菜品主数据'!$A$5:$A$24,'菜品主数据'!$G$5:$G$24,0)</x:f>
        <x:v>10.231000000000002</x:v>
      </x:c>
      <x:c r="T931" s="35" t="n">
        <x:f>K931*S931</x:f>
        <x:v>133.00300000000001</x:v>
      </x:c>
      <x:c r="U931" s="35" t="n">
        <x:f>L931-N931-P931-R931-T931</x:f>
        <x:v>243.99699999999999</x:v>
      </x:c>
      <x:c r="V931" s="21" t="n">
        <x:f>IFERROR(U931/L931,0)</x:f>
        <x:v>0.6472068965517241</x:v>
      </x:c>
    </x:row>
    <x:row r="932">
      <x:c r="A932" s="19" t="str">
        <x:v>SALE-00928</x:v>
      </x:c>
      <x:c r="B932" s="34" t="n">
        <x:v>46212.5</x:v>
      </x:c>
      <x:c r="C932" s="19" t="str">
        <x:v>周四</x:v>
      </x:c>
      <x:c r="D932" s="19" t="str">
        <x:v>S04</x:v>
      </x:c>
      <x:c r="E932" s="19" t="str">
        <x:v>金街美地店</x:v>
      </x:c>
      <x:c r="F932" s="19" t="str">
        <x:v>堂食</x:v>
      </x:c>
      <x:c r="G932" s="19" t="str">
        <x:v>全日</x:v>
      </x:c>
      <x:c r="H932" s="19" t="str">
        <x:v>D08</x:v>
      </x:c>
      <x:c r="I932" s="19" t="str">
        <x:v>生炒清远鸡</x:v>
      </x:c>
      <x:c r="J932" s="22" t="n">
        <x:f>XLOOKUP(H932,'菜品主数据'!$A$5:$A$24,'菜品主数据'!$D$5:$D$24,0)</x:f>
        <x:v>36</x:v>
      </x:c>
      <x:c r="K932" s="31" t="n">
        <x:v>11</x:v>
      </x:c>
      <x:c r="L932" s="35" t="n">
        <x:f>J932*K932</x:f>
        <x:v>396</x:v>
      </x:c>
      <x:c r="M932" s="36" t="n">
        <x:v>0</x:v>
      </x:c>
      <x:c r="N932" s="35" t="n">
        <x:f>L932*M932</x:f>
        <x:v>0</x:v>
      </x:c>
      <x:c r="O932" s="37" t="n">
        <x:v>0</x:v>
      </x:c>
      <x:c r="P932" s="35" t="n">
        <x:f>L932*O932</x:f>
        <x:v>0</x:v>
      </x:c>
      <x:c r="Q932" s="35" t="n">
        <x:v>0</x:v>
      </x:c>
      <x:c r="R932" s="35" t="n">
        <x:f>K932*Q932</x:f>
        <x:v>0</x:v>
      </x:c>
      <x:c r="S932" s="35" t="n">
        <x:f>XLOOKUP(H932,'菜品主数据'!$A$5:$A$24,'菜品主数据'!$G$5:$G$24,0)</x:f>
        <x:v>13.48</x:v>
      </x:c>
      <x:c r="T932" s="35" t="n">
        <x:f>K932*S932</x:f>
        <x:v>148.28</x:v>
      </x:c>
      <x:c r="U932" s="35" t="n">
        <x:f>L932-N932-P932-R932-T932</x:f>
        <x:v>247.72</x:v>
      </x:c>
      <x:c r="V932" s="21" t="n">
        <x:f>IFERROR(U932/L932,0)</x:f>
        <x:v>0.6255555555555555</x:v>
      </x:c>
    </x:row>
    <x:row r="933">
      <x:c r="A933" s="19" t="str">
        <x:v>SALE-00929</x:v>
      </x:c>
      <x:c r="B933" s="34" t="n">
        <x:v>46212.5</x:v>
      </x:c>
      <x:c r="C933" s="19" t="str">
        <x:v>周四</x:v>
      </x:c>
      <x:c r="D933" s="19" t="str">
        <x:v>S04</x:v>
      </x:c>
      <x:c r="E933" s="19" t="str">
        <x:v>金街美地店</x:v>
      </x:c>
      <x:c r="F933" s="19" t="str">
        <x:v>堂食</x:v>
      </x:c>
      <x:c r="G933" s="19" t="str">
        <x:v>全日</x:v>
      </x:c>
      <x:c r="H933" s="19" t="str">
        <x:v>D09</x:v>
      </x:c>
      <x:c r="I933" s="19" t="str">
        <x:v>炒豆干</x:v>
      </x:c>
      <x:c r="J933" s="22" t="n">
        <x:f>XLOOKUP(H933,'菜品主数据'!$A$5:$A$24,'菜品主数据'!$D$5:$D$24,0)</x:f>
        <x:v>18</x:v>
      </x:c>
      <x:c r="K933" s="31" t="n">
        <x:v>15</x:v>
      </x:c>
      <x:c r="L933" s="35" t="n">
        <x:f>J933*K933</x:f>
        <x:v>270</x:v>
      </x:c>
      <x:c r="M933" s="36" t="n">
        <x:v>0</x:v>
      </x:c>
      <x:c r="N933" s="35" t="n">
        <x:f>L933*M933</x:f>
        <x:v>0</x:v>
      </x:c>
      <x:c r="O933" s="37" t="n">
        <x:v>0</x:v>
      </x:c>
      <x:c r="P933" s="35" t="n">
        <x:f>L933*O933</x:f>
        <x:v>0</x:v>
      </x:c>
      <x:c r="Q933" s="35" t="n">
        <x:v>0</x:v>
      </x:c>
      <x:c r="R933" s="35" t="n">
        <x:f>K933*Q933</x:f>
        <x:v>0</x:v>
      </x:c>
      <x:c r="S933" s="35" t="n">
        <x:f>XLOOKUP(H933,'菜品主数据'!$A$5:$A$24,'菜品主数据'!$G$5:$G$24,0)</x:f>
        <x:v>6.613999999999999</x:v>
      </x:c>
      <x:c r="T933" s="35" t="n">
        <x:f>K933*S933</x:f>
        <x:v>99.20999999999998</x:v>
      </x:c>
      <x:c r="U933" s="35" t="n">
        <x:f>L933-N933-P933-R933-T933</x:f>
        <x:v>170.79000000000002</x:v>
      </x:c>
      <x:c r="V933" s="21" t="n">
        <x:f>IFERROR(U933/L933,0)</x:f>
        <x:v>0.6325555555555556</x:v>
      </x:c>
    </x:row>
    <x:row r="934">
      <x:c r="A934" s="19" t="str">
        <x:v>SALE-00930</x:v>
      </x:c>
      <x:c r="B934" s="34" t="n">
        <x:v>46212.5</x:v>
      </x:c>
      <x:c r="C934" s="19" t="str">
        <x:v>周四</x:v>
      </x:c>
      <x:c r="D934" s="19" t="str">
        <x:v>S04</x:v>
      </x:c>
      <x:c r="E934" s="19" t="str">
        <x:v>金街美地店</x:v>
      </x:c>
      <x:c r="F934" s="19" t="str">
        <x:v>堂食</x:v>
      </x:c>
      <x:c r="G934" s="19" t="str">
        <x:v>全日</x:v>
      </x:c>
      <x:c r="H934" s="19" t="str">
        <x:v>D10</x:v>
      </x:c>
      <x:c r="I934" s="19" t="str">
        <x:v>农家一碗香</x:v>
      </x:c>
      <x:c r="J934" s="22" t="n">
        <x:f>XLOOKUP(H934,'菜品主数据'!$A$5:$A$24,'菜品主数据'!$D$5:$D$24,0)</x:f>
        <x:v>22.9</x:v>
      </x:c>
      <x:c r="K934" s="31" t="n">
        <x:v>16</x:v>
      </x:c>
      <x:c r="L934" s="35" t="n">
        <x:f>J934*K934</x:f>
        <x:v>366.4</x:v>
      </x:c>
      <x:c r="M934" s="36" t="n">
        <x:v>0</x:v>
      </x:c>
      <x:c r="N934" s="35" t="n">
        <x:f>L934*M934</x:f>
        <x:v>0</x:v>
      </x:c>
      <x:c r="O934" s="37" t="n">
        <x:v>0</x:v>
      </x:c>
      <x:c r="P934" s="35" t="n">
        <x:f>L934*O934</x:f>
        <x:v>0</x:v>
      </x:c>
      <x:c r="Q934" s="35" t="n">
        <x:v>0</x:v>
      </x:c>
      <x:c r="R934" s="35" t="n">
        <x:f>K934*Q934</x:f>
        <x:v>0</x:v>
      </x:c>
      <x:c r="S934" s="35" t="n">
        <x:f>XLOOKUP(H934,'菜品主数据'!$A$5:$A$24,'菜品主数据'!$G$5:$G$24,0)</x:f>
        <x:v>9.770200000000003</x:v>
      </x:c>
      <x:c r="T934" s="35" t="n">
        <x:f>K934*S934</x:f>
        <x:v>156.32320000000004</x:v>
      </x:c>
      <x:c r="U934" s="35" t="n">
        <x:f>L934-N934-P934-R934-T934</x:f>
        <x:v>210.07679999999993</x:v>
      </x:c>
      <x:c r="V934" s="21" t="n">
        <x:f>IFERROR(U934/L934,0)</x:f>
        <x:v>0.5733537117903929</x:v>
      </x:c>
    </x:row>
    <x:row r="935">
      <x:c r="A935" s="19" t="str">
        <x:v>SALE-00931</x:v>
      </x:c>
      <x:c r="B935" s="34" t="n">
        <x:v>46212.5</x:v>
      </x:c>
      <x:c r="C935" s="19" t="str">
        <x:v>周四</x:v>
      </x:c>
      <x:c r="D935" s="19" t="str">
        <x:v>S04</x:v>
      </x:c>
      <x:c r="E935" s="19" t="str">
        <x:v>金街美地店</x:v>
      </x:c>
      <x:c r="F935" s="19" t="str">
        <x:v>堂食</x:v>
      </x:c>
      <x:c r="G935" s="19" t="str">
        <x:v>全日</x:v>
      </x:c>
      <x:c r="H935" s="19" t="str">
        <x:v>D11</x:v>
      </x:c>
      <x:c r="I935" s="19" t="str">
        <x:v>香辣爆肥肠</x:v>
      </x:c>
      <x:c r="J935" s="22" t="n">
        <x:f>XLOOKUP(H935,'菜品主数据'!$A$5:$A$24,'菜品主数据'!$D$5:$D$24,0)</x:f>
        <x:v>39</x:v>
      </x:c>
      <x:c r="K935" s="31" t="n">
        <x:v>7</x:v>
      </x:c>
      <x:c r="L935" s="35" t="n">
        <x:f>J935*K935</x:f>
        <x:v>273</x:v>
      </x:c>
      <x:c r="M935" s="36" t="n">
        <x:v>0</x:v>
      </x:c>
      <x:c r="N935" s="35" t="n">
        <x:f>L935*M935</x:f>
        <x:v>0</x:v>
      </x:c>
      <x:c r="O935" s="37" t="n">
        <x:v>0</x:v>
      </x:c>
      <x:c r="P935" s="35" t="n">
        <x:f>L935*O935</x:f>
        <x:v>0</x:v>
      </x:c>
      <x:c r="Q935" s="35" t="n">
        <x:v>0</x:v>
      </x:c>
      <x:c r="R935" s="35" t="n">
        <x:f>K935*Q935</x:f>
        <x:v>0</x:v>
      </x:c>
      <x:c r="S935" s="35" t="n">
        <x:f>XLOOKUP(H935,'菜品主数据'!$A$5:$A$24,'菜品主数据'!$G$5:$G$24,0)</x:f>
        <x:v>10.397</x:v>
      </x:c>
      <x:c r="T935" s="35" t="n">
        <x:f>K935*S935</x:f>
        <x:v>72.779</x:v>
      </x:c>
      <x:c r="U935" s="35" t="n">
        <x:f>L935-N935-P935-R935-T935</x:f>
        <x:v>200.221</x:v>
      </x:c>
      <x:c r="V935" s="21" t="n">
        <x:f>IFERROR(U935/L935,0)</x:f>
        <x:v>0.7334102564102565</x:v>
      </x:c>
    </x:row>
    <x:row r="936">
      <x:c r="A936" s="19" t="str">
        <x:v>SALE-00932</x:v>
      </x:c>
      <x:c r="B936" s="34" t="n">
        <x:v>46212.5</x:v>
      </x:c>
      <x:c r="C936" s="19" t="str">
        <x:v>周四</x:v>
      </x:c>
      <x:c r="D936" s="19" t="str">
        <x:v>S04</x:v>
      </x:c>
      <x:c r="E936" s="19" t="str">
        <x:v>金街美地店</x:v>
      </x:c>
      <x:c r="F936" s="19" t="str">
        <x:v>堂食</x:v>
      </x:c>
      <x:c r="G936" s="19" t="str">
        <x:v>全日</x:v>
      </x:c>
      <x:c r="H936" s="19" t="str">
        <x:v>D12</x:v>
      </x:c>
      <x:c r="I936" s="19" t="str">
        <x:v>清蒸鲈鱼</x:v>
      </x:c>
      <x:c r="J936" s="22" t="n">
        <x:f>XLOOKUP(H936,'菜品主数据'!$A$5:$A$24,'菜品主数据'!$D$5:$D$24,0)</x:f>
        <x:v>39</x:v>
      </x:c>
      <x:c r="K936" s="31" t="n">
        <x:v>6</x:v>
      </x:c>
      <x:c r="L936" s="35" t="n">
        <x:f>J936*K936</x:f>
        <x:v>234</x:v>
      </x:c>
      <x:c r="M936" s="36" t="n">
        <x:v>0</x:v>
      </x:c>
      <x:c r="N936" s="35" t="n">
        <x:f>L936*M936</x:f>
        <x:v>0</x:v>
      </x:c>
      <x:c r="O936" s="37" t="n">
        <x:v>0</x:v>
      </x:c>
      <x:c r="P936" s="35" t="n">
        <x:f>L936*O936</x:f>
        <x:v>0</x:v>
      </x:c>
      <x:c r="Q936" s="35" t="n">
        <x:v>0</x:v>
      </x:c>
      <x:c r="R936" s="35" t="n">
        <x:f>K936*Q936</x:f>
        <x:v>0</x:v>
      </x:c>
      <x:c r="S936" s="35" t="n">
        <x:f>XLOOKUP(H936,'菜品主数据'!$A$5:$A$24,'菜品主数据'!$G$5:$G$24,0)</x:f>
        <x:v>18.874</x:v>
      </x:c>
      <x:c r="T936" s="35" t="n">
        <x:f>K936*S936</x:f>
        <x:v>113.244</x:v>
      </x:c>
      <x:c r="U936" s="35" t="n">
        <x:f>L936-N936-P936-R936-T936</x:f>
        <x:v>120.756</x:v>
      </x:c>
      <x:c r="V936" s="21" t="n">
        <x:f>IFERROR(U936/L936,0)</x:f>
        <x:v>0.516051282051282</x:v>
      </x:c>
    </x:row>
    <x:row r="937">
      <x:c r="A937" s="19" t="str">
        <x:v>SALE-00933</x:v>
      </x:c>
      <x:c r="B937" s="34" t="n">
        <x:v>46212.5</x:v>
      </x:c>
      <x:c r="C937" s="19" t="str">
        <x:v>周四</x:v>
      </x:c>
      <x:c r="D937" s="19" t="str">
        <x:v>S04</x:v>
      </x:c>
      <x:c r="E937" s="19" t="str">
        <x:v>金街美地店</x:v>
      </x:c>
      <x:c r="F937" s="19" t="str">
        <x:v>堂食</x:v>
      </x:c>
      <x:c r="G937" s="19" t="str">
        <x:v>全日</x:v>
      </x:c>
      <x:c r="H937" s="19" t="str">
        <x:v>D13</x:v>
      </x:c>
      <x:c r="I937" s="19" t="str">
        <x:v>外婆菜炒蛋</x:v>
      </x:c>
      <x:c r="J937" s="22" t="n">
        <x:f>XLOOKUP(H937,'菜品主数据'!$A$5:$A$24,'菜品主数据'!$D$5:$D$24,0)</x:f>
        <x:v>18</x:v>
      </x:c>
      <x:c r="K937" s="31" t="n">
        <x:v>14</x:v>
      </x:c>
      <x:c r="L937" s="35" t="n">
        <x:f>J937*K937</x:f>
        <x:v>252</x:v>
      </x:c>
      <x:c r="M937" s="36" t="n">
        <x:v>0</x:v>
      </x:c>
      <x:c r="N937" s="35" t="n">
        <x:f>L937*M937</x:f>
        <x:v>0</x:v>
      </x:c>
      <x:c r="O937" s="37" t="n">
        <x:v>0</x:v>
      </x:c>
      <x:c r="P937" s="35" t="n">
        <x:f>L937*O937</x:f>
        <x:v>0</x:v>
      </x:c>
      <x:c r="Q937" s="35" t="n">
        <x:v>0</x:v>
      </x:c>
      <x:c r="R937" s="35" t="n">
        <x:f>K937*Q937</x:f>
        <x:v>0</x:v>
      </x:c>
      <x:c r="S937" s="35" t="n">
        <x:f>XLOOKUP(H937,'菜品主数据'!$A$5:$A$24,'菜品主数据'!$G$5:$G$24,0)</x:f>
        <x:v>5.403999999999999</x:v>
      </x:c>
      <x:c r="T937" s="35" t="n">
        <x:f>K937*S937</x:f>
        <x:v>75.65599999999999</x:v>
      </x:c>
      <x:c r="U937" s="35" t="n">
        <x:f>L937-N937-P937-R937-T937</x:f>
        <x:v>176.344</x:v>
      </x:c>
      <x:c r="V937" s="21" t="n">
        <x:f>IFERROR(U937/L937,0)</x:f>
        <x:v>0.6997777777777777</x:v>
      </x:c>
    </x:row>
    <x:row r="938">
      <x:c r="A938" s="19" t="str">
        <x:v>SALE-00934</x:v>
      </x:c>
      <x:c r="B938" s="34" t="n">
        <x:v>46212.5</x:v>
      </x:c>
      <x:c r="C938" s="19" t="str">
        <x:v>周四</x:v>
      </x:c>
      <x:c r="D938" s="19" t="str">
        <x:v>S04</x:v>
      </x:c>
      <x:c r="E938" s="19" t="str">
        <x:v>金街美地店</x:v>
      </x:c>
      <x:c r="F938" s="19" t="str">
        <x:v>堂食</x:v>
      </x:c>
      <x:c r="G938" s="19" t="str">
        <x:v>全日</x:v>
      </x:c>
      <x:c r="H938" s="19" t="str">
        <x:v>D14</x:v>
      </x:c>
      <x:c r="I938" s="19" t="str">
        <x:v>酸辣鸡杂</x:v>
      </x:c>
      <x:c r="J938" s="22" t="n">
        <x:f>XLOOKUP(H938,'菜品主数据'!$A$5:$A$24,'菜品主数据'!$D$5:$D$24,0)</x:f>
        <x:v>28</x:v>
      </x:c>
      <x:c r="K938" s="31" t="n">
        <x:v>8</x:v>
      </x:c>
      <x:c r="L938" s="35" t="n">
        <x:f>J938*K938</x:f>
        <x:v>224</x:v>
      </x:c>
      <x:c r="M938" s="36" t="n">
        <x:v>0</x:v>
      </x:c>
      <x:c r="N938" s="35" t="n">
        <x:f>L938*M938</x:f>
        <x:v>0</x:v>
      </x:c>
      <x:c r="O938" s="37" t="n">
        <x:v>0</x:v>
      </x:c>
      <x:c r="P938" s="35" t="n">
        <x:f>L938*O938</x:f>
        <x:v>0</x:v>
      </x:c>
      <x:c r="Q938" s="35" t="n">
        <x:v>0</x:v>
      </x:c>
      <x:c r="R938" s="35" t="n">
        <x:f>K938*Q938</x:f>
        <x:v>0</x:v>
      </x:c>
      <x:c r="S938" s="35" t="n">
        <x:f>XLOOKUP(H938,'菜品主数据'!$A$5:$A$24,'菜品主数据'!$G$5:$G$24,0)</x:f>
        <x:v>8.315000000000001</x:v>
      </x:c>
      <x:c r="T938" s="35" t="n">
        <x:f>K938*S938</x:f>
        <x:v>66.52000000000001</x:v>
      </x:c>
      <x:c r="U938" s="35" t="n">
        <x:f>L938-N938-P938-R938-T938</x:f>
        <x:v>157.48</x:v>
      </x:c>
      <x:c r="V938" s="21" t="n">
        <x:f>IFERROR(U938/L938,0)</x:f>
        <x:v>0.7030357142857142</x:v>
      </x:c>
    </x:row>
    <x:row r="939">
      <x:c r="A939" s="19" t="str">
        <x:v>SALE-00935</x:v>
      </x:c>
      <x:c r="B939" s="34" t="n">
        <x:v>46212.5</x:v>
      </x:c>
      <x:c r="C939" s="19" t="str">
        <x:v>周四</x:v>
      </x:c>
      <x:c r="D939" s="19" t="str">
        <x:v>S04</x:v>
      </x:c>
      <x:c r="E939" s="19" t="str">
        <x:v>金街美地店</x:v>
      </x:c>
      <x:c r="F939" s="19" t="str">
        <x:v>堂食</x:v>
      </x:c>
      <x:c r="G939" s="19" t="str">
        <x:v>全日</x:v>
      </x:c>
      <x:c r="H939" s="19" t="str">
        <x:v>D15</x:v>
      </x:c>
      <x:c r="I939" s="19" t="str">
        <x:v>湘西土匪猪肝</x:v>
      </x:c>
      <x:c r="J939" s="22" t="n">
        <x:f>XLOOKUP(H939,'菜品主数据'!$A$5:$A$24,'菜品主数据'!$D$5:$D$24,0)</x:f>
        <x:v>26</x:v>
      </x:c>
      <x:c r="K939" s="31" t="n">
        <x:v>7</x:v>
      </x:c>
      <x:c r="L939" s="35" t="n">
        <x:f>J939*K939</x:f>
        <x:v>182</x:v>
      </x:c>
      <x:c r="M939" s="36" t="n">
        <x:v>0</x:v>
      </x:c>
      <x:c r="N939" s="35" t="n">
        <x:f>L939*M939</x:f>
        <x:v>0</x:v>
      </x:c>
      <x:c r="O939" s="37" t="n">
        <x:v>0</x:v>
      </x:c>
      <x:c r="P939" s="35" t="n">
        <x:f>L939*O939</x:f>
        <x:v>0</x:v>
      </x:c>
      <x:c r="Q939" s="35" t="n">
        <x:v>0</x:v>
      </x:c>
      <x:c r="R939" s="35" t="n">
        <x:f>K939*Q939</x:f>
        <x:v>0</x:v>
      </x:c>
      <x:c r="S939" s="35" t="n">
        <x:f>XLOOKUP(H939,'菜品主数据'!$A$5:$A$24,'菜品主数据'!$G$5:$G$24,0)</x:f>
        <x:v>6.3759999999999994</x:v>
      </x:c>
      <x:c r="T939" s="35" t="n">
        <x:f>K939*S939</x:f>
        <x:v>44.632</x:v>
      </x:c>
      <x:c r="U939" s="35" t="n">
        <x:f>L939-N939-P939-R939-T939</x:f>
        <x:v>137.368</x:v>
      </x:c>
      <x:c r="V939" s="21" t="n">
        <x:f>IFERROR(U939/L939,0)</x:f>
        <x:v>0.7547692307692307</x:v>
      </x:c>
    </x:row>
    <x:row r="940">
      <x:c r="A940" s="19" t="str">
        <x:v>SALE-00936</x:v>
      </x:c>
      <x:c r="B940" s="34" t="n">
        <x:v>46212.5</x:v>
      </x:c>
      <x:c r="C940" s="19" t="str">
        <x:v>周四</x:v>
      </x:c>
      <x:c r="D940" s="19" t="str">
        <x:v>S04</x:v>
      </x:c>
      <x:c r="E940" s="19" t="str">
        <x:v>金街美地店</x:v>
      </x:c>
      <x:c r="F940" s="19" t="str">
        <x:v>堂食</x:v>
      </x:c>
      <x:c r="G940" s="19" t="str">
        <x:v>全日</x:v>
      </x:c>
      <x:c r="H940" s="19" t="str">
        <x:v>D16</x:v>
      </x:c>
      <x:c r="I940" s="19" t="str">
        <x:v>小豆角炒五花</x:v>
      </x:c>
      <x:c r="J940" s="22" t="n">
        <x:f>XLOOKUP(H940,'菜品主数据'!$A$5:$A$24,'菜品主数据'!$D$5:$D$24,0)</x:f>
        <x:v>25</x:v>
      </x:c>
      <x:c r="K940" s="31" t="n">
        <x:v>7</x:v>
      </x:c>
      <x:c r="L940" s="35" t="n">
        <x:f>J940*K940</x:f>
        <x:v>175</x:v>
      </x:c>
      <x:c r="M940" s="36" t="n">
        <x:v>0</x:v>
      </x:c>
      <x:c r="N940" s="35" t="n">
        <x:f>L940*M940</x:f>
        <x:v>0</x:v>
      </x:c>
      <x:c r="O940" s="37" t="n">
        <x:v>0</x:v>
      </x:c>
      <x:c r="P940" s="35" t="n">
        <x:f>L940*O940</x:f>
        <x:v>0</x:v>
      </x:c>
      <x:c r="Q940" s="35" t="n">
        <x:v>0</x:v>
      </x:c>
      <x:c r="R940" s="35" t="n">
        <x:f>K940*Q940</x:f>
        <x:v>0</x:v>
      </x:c>
      <x:c r="S940" s="35" t="n">
        <x:f>XLOOKUP(H940,'菜品主数据'!$A$5:$A$24,'菜品主数据'!$G$5:$G$24,0)</x:f>
        <x:v>8.184</x:v>
      </x:c>
      <x:c r="T940" s="35" t="n">
        <x:f>K940*S940</x:f>
        <x:v>57.288</x:v>
      </x:c>
      <x:c r="U940" s="35" t="n">
        <x:f>L940-N940-P940-R940-T940</x:f>
        <x:v>117.712</x:v>
      </x:c>
      <x:c r="V940" s="21" t="n">
        <x:f>IFERROR(U940/L940,0)</x:f>
        <x:v>0.67264</x:v>
      </x:c>
    </x:row>
    <x:row r="941">
      <x:c r="A941" s="19" t="str">
        <x:v>SALE-00937</x:v>
      </x:c>
      <x:c r="B941" s="34" t="n">
        <x:v>46212.5</x:v>
      </x:c>
      <x:c r="C941" s="19" t="str">
        <x:v>周四</x:v>
      </x:c>
      <x:c r="D941" s="19" t="str">
        <x:v>S04</x:v>
      </x:c>
      <x:c r="E941" s="19" t="str">
        <x:v>金街美地店</x:v>
      </x:c>
      <x:c r="F941" s="19" t="str">
        <x:v>堂食</x:v>
      </x:c>
      <x:c r="G941" s="19" t="str">
        <x:v>全日</x:v>
      </x:c>
      <x:c r="H941" s="19" t="str">
        <x:v>D17</x:v>
      </x:c>
      <x:c r="I941" s="19" t="str">
        <x:v>蒜蓉粉丝虾</x:v>
      </x:c>
      <x:c r="J941" s="22" t="n">
        <x:f>XLOOKUP(H941,'菜品主数据'!$A$5:$A$24,'菜品主数据'!$D$5:$D$24,0)</x:f>
        <x:v>36</x:v>
      </x:c>
      <x:c r="K941" s="31" t="n">
        <x:v>5</x:v>
      </x:c>
      <x:c r="L941" s="35" t="n">
        <x:f>J941*K941</x:f>
        <x:v>180</x:v>
      </x:c>
      <x:c r="M941" s="36" t="n">
        <x:v>0</x:v>
      </x:c>
      <x:c r="N941" s="35" t="n">
        <x:f>L941*M941</x:f>
        <x:v>0</x:v>
      </x:c>
      <x:c r="O941" s="37" t="n">
        <x:v>0</x:v>
      </x:c>
      <x:c r="P941" s="35" t="n">
        <x:f>L941*O941</x:f>
        <x:v>0</x:v>
      </x:c>
      <x:c r="Q941" s="35" t="n">
        <x:v>0</x:v>
      </x:c>
      <x:c r="R941" s="35" t="n">
        <x:f>K941*Q941</x:f>
        <x:v>0</x:v>
      </x:c>
      <x:c r="S941" s="35" t="n">
        <x:f>XLOOKUP(H941,'菜品主数据'!$A$5:$A$24,'菜品主数据'!$G$5:$G$24,0)</x:f>
        <x:v>13.594</x:v>
      </x:c>
      <x:c r="T941" s="35" t="n">
        <x:f>K941*S941</x:f>
        <x:v>67.97</x:v>
      </x:c>
      <x:c r="U941" s="35" t="n">
        <x:f>L941-N941-P941-R941-T941</x:f>
        <x:v>112.03</x:v>
      </x:c>
      <x:c r="V941" s="21" t="n">
        <x:f>IFERROR(U941/L941,0)</x:f>
        <x:v>0.6223888888888889</x:v>
      </x:c>
    </x:row>
    <x:row r="942">
      <x:c r="A942" s="19" t="str">
        <x:v>SALE-00938</x:v>
      </x:c>
      <x:c r="B942" s="34" t="n">
        <x:v>46212.5</x:v>
      </x:c>
      <x:c r="C942" s="19" t="str">
        <x:v>周四</x:v>
      </x:c>
      <x:c r="D942" s="19" t="str">
        <x:v>S04</x:v>
      </x:c>
      <x:c r="E942" s="19" t="str">
        <x:v>金街美地店</x:v>
      </x:c>
      <x:c r="F942" s="19" t="str">
        <x:v>堂食</x:v>
      </x:c>
      <x:c r="G942" s="19" t="str">
        <x:v>全日</x:v>
      </x:c>
      <x:c r="H942" s="19" t="str">
        <x:v>D18</x:v>
      </x:c>
      <x:c r="I942" s="19" t="str">
        <x:v>青椒炒油麦菜</x:v>
      </x:c>
      <x:c r="J942" s="22" t="n">
        <x:f>XLOOKUP(H942,'菜品主数据'!$A$5:$A$24,'菜品主数据'!$D$5:$D$24,0)</x:f>
        <x:v>18</x:v>
      </x:c>
      <x:c r="K942" s="31" t="n">
        <x:v>8</x:v>
      </x:c>
      <x:c r="L942" s="35" t="n">
        <x:f>J942*K942</x:f>
        <x:v>144</x:v>
      </x:c>
      <x:c r="M942" s="36" t="n">
        <x:v>0</x:v>
      </x:c>
      <x:c r="N942" s="35" t="n">
        <x:f>L942*M942</x:f>
        <x:v>0</x:v>
      </x:c>
      <x:c r="O942" s="37" t="n">
        <x:v>0</x:v>
      </x:c>
      <x:c r="P942" s="35" t="n">
        <x:f>L942*O942</x:f>
        <x:v>0</x:v>
      </x:c>
      <x:c r="Q942" s="35" t="n">
        <x:v>0</x:v>
      </x:c>
      <x:c r="R942" s="35" t="n">
        <x:f>K942*Q942</x:f>
        <x:v>0</x:v>
      </x:c>
      <x:c r="S942" s="35" t="n">
        <x:f>XLOOKUP(H942,'菜品主数据'!$A$5:$A$24,'菜品主数据'!$G$5:$G$24,0)</x:f>
        <x:v>3.1759999999999993</x:v>
      </x:c>
      <x:c r="T942" s="35" t="n">
        <x:f>K942*S942</x:f>
        <x:v>25.407999999999994</x:v>
      </x:c>
      <x:c r="U942" s="35" t="n">
        <x:f>L942-N942-P942-R942-T942</x:f>
        <x:v>118.59200000000001</x:v>
      </x:c>
      <x:c r="V942" s="21" t="n">
        <x:f>IFERROR(U942/L942,0)</x:f>
        <x:v>0.8235555555555556</x:v>
      </x:c>
    </x:row>
    <x:row r="943">
      <x:c r="A943" s="19" t="str">
        <x:v>SALE-00939</x:v>
      </x:c>
      <x:c r="B943" s="34" t="n">
        <x:v>46212.5</x:v>
      </x:c>
      <x:c r="C943" s="19" t="str">
        <x:v>周四</x:v>
      </x:c>
      <x:c r="D943" s="19" t="str">
        <x:v>S04</x:v>
      </x:c>
      <x:c r="E943" s="19" t="str">
        <x:v>金街美地店</x:v>
      </x:c>
      <x:c r="F943" s="19" t="str">
        <x:v>堂食</x:v>
      </x:c>
      <x:c r="G943" s="19" t="str">
        <x:v>全日</x:v>
      </x:c>
      <x:c r="H943" s="19" t="str">
        <x:v>D19</x:v>
      </x:c>
      <x:c r="I943" s="19" t="str">
        <x:v>酸萝卜炒鸡杂</x:v>
      </x:c>
      <x:c r="J943" s="22" t="n">
        <x:f>XLOOKUP(H943,'菜品主数据'!$A$5:$A$24,'菜品主数据'!$D$5:$D$24,0)</x:f>
        <x:v>25</x:v>
      </x:c>
      <x:c r="K943" s="31" t="n">
        <x:v>5</x:v>
      </x:c>
      <x:c r="L943" s="35" t="n">
        <x:f>J943*K943</x:f>
        <x:v>125</x:v>
      </x:c>
      <x:c r="M943" s="36" t="n">
        <x:v>0</x:v>
      </x:c>
      <x:c r="N943" s="35" t="n">
        <x:f>L943*M943</x:f>
        <x:v>0</x:v>
      </x:c>
      <x:c r="O943" s="37" t="n">
        <x:v>0</x:v>
      </x:c>
      <x:c r="P943" s="35" t="n">
        <x:f>L943*O943</x:f>
        <x:v>0</x:v>
      </x:c>
      <x:c r="Q943" s="35" t="n">
        <x:v>0</x:v>
      </x:c>
      <x:c r="R943" s="35" t="n">
        <x:f>K943*Q943</x:f>
        <x:v>0</x:v>
      </x:c>
      <x:c r="S943" s="35" t="n">
        <x:f>XLOOKUP(H943,'菜品主数据'!$A$5:$A$24,'菜品主数据'!$G$5:$G$24,0)</x:f>
        <x:v>7.9399999999999995</x:v>
      </x:c>
      <x:c r="T943" s="35" t="n">
        <x:f>K943*S943</x:f>
        <x:v>39.699999999999996</x:v>
      </x:c>
      <x:c r="U943" s="35" t="n">
        <x:f>L943-N943-P943-R943-T943</x:f>
        <x:v>85.30000000000001</x:v>
      </x:c>
      <x:c r="V943" s="21" t="n">
        <x:f>IFERROR(U943/L943,0)</x:f>
        <x:v>0.6824000000000001</x:v>
      </x:c>
    </x:row>
    <x:row r="944">
      <x:c r="A944" s="19" t="str">
        <x:v>SALE-00940</x:v>
      </x:c>
      <x:c r="B944" s="34" t="n">
        <x:v>46212.5</x:v>
      </x:c>
      <x:c r="C944" s="19" t="str">
        <x:v>周四</x:v>
      </x:c>
      <x:c r="D944" s="19" t="str">
        <x:v>S04</x:v>
      </x:c>
      <x:c r="E944" s="19" t="str">
        <x:v>金街美地店</x:v>
      </x:c>
      <x:c r="F944" s="19" t="str">
        <x:v>堂食</x:v>
      </x:c>
      <x:c r="G944" s="19" t="str">
        <x:v>全日</x:v>
      </x:c>
      <x:c r="H944" s="19" t="str">
        <x:v>D20</x:v>
      </x:c>
      <x:c r="I944" s="19" t="str">
        <x:v>雪菜肉末青豆</x:v>
      </x:c>
      <x:c r="J944" s="22" t="n">
        <x:f>XLOOKUP(H944,'菜品主数据'!$A$5:$A$24,'菜品主数据'!$D$5:$D$24,0)</x:f>
        <x:v>18</x:v>
      </x:c>
      <x:c r="K944" s="31" t="n">
        <x:v>8</x:v>
      </x:c>
      <x:c r="L944" s="35" t="n">
        <x:f>J944*K944</x:f>
        <x:v>144</x:v>
      </x:c>
      <x:c r="M944" s="36" t="n">
        <x:v>0</x:v>
      </x:c>
      <x:c r="N944" s="35" t="n">
        <x:f>L944*M944</x:f>
        <x:v>0</x:v>
      </x:c>
      <x:c r="O944" s="37" t="n">
        <x:v>0</x:v>
      </x:c>
      <x:c r="P944" s="35" t="n">
        <x:f>L944*O944</x:f>
        <x:v>0</x:v>
      </x:c>
      <x:c r="Q944" s="35" t="n">
        <x:v>0</x:v>
      </x:c>
      <x:c r="R944" s="35" t="n">
        <x:f>K944*Q944</x:f>
        <x:v>0</x:v>
      </x:c>
      <x:c r="S944" s="35" t="n">
        <x:f>XLOOKUP(H944,'菜品主数据'!$A$5:$A$24,'菜品主数据'!$G$5:$G$24,0)</x:f>
        <x:v>7.303999999999999</x:v>
      </x:c>
      <x:c r="T944" s="35" t="n">
        <x:f>K944*S944</x:f>
        <x:v>58.431999999999995</x:v>
      </x:c>
      <x:c r="U944" s="35" t="n">
        <x:f>L944-N944-P944-R944-T944</x:f>
        <x:v>85.56800000000001</x:v>
      </x:c>
      <x:c r="V944" s="21" t="n">
        <x:f>IFERROR(U944/L944,0)</x:f>
        <x:v>0.5942222222222223</x:v>
      </x:c>
    </x:row>
    <x:row r="945">
      <x:c r="A945" s="19" t="str">
        <x:v>SALE-00941</x:v>
      </x:c>
      <x:c r="B945" s="34" t="n">
        <x:v>46212.5</x:v>
      </x:c>
      <x:c r="C945" s="19" t="str">
        <x:v>周四</x:v>
      </x:c>
      <x:c r="D945" s="19" t="str">
        <x:v>S04</x:v>
      </x:c>
      <x:c r="E945" s="19" t="str">
        <x:v>金街美地店</x:v>
      </x:c>
      <x:c r="F945" s="19" t="str">
        <x:v>外卖</x:v>
      </x:c>
      <x:c r="G945" s="19" t="str">
        <x:v>全日</x:v>
      </x:c>
      <x:c r="H945" s="19" t="str">
        <x:v>D01</x:v>
      </x:c>
      <x:c r="I945" s="19" t="str">
        <x:v>辣椒炒肉</x:v>
      </x:c>
      <x:c r="J945" s="22" t="n">
        <x:f>XLOOKUP(H945,'菜品主数据'!$A$5:$A$24,'菜品主数据'!$D$5:$D$24,0)</x:f>
        <x:v>29</x:v>
      </x:c>
      <x:c r="K945" s="31" t="n">
        <x:v>5</x:v>
      </x:c>
      <x:c r="L945" s="35" t="n">
        <x:f>J945*K945</x:f>
        <x:v>145</x:v>
      </x:c>
      <x:c r="M945" s="36" t="n">
        <x:v>0.08</x:v>
      </x:c>
      <x:c r="N945" s="35" t="n">
        <x:f>L945*M945</x:f>
        <x:v>11.6</x:v>
      </x:c>
      <x:c r="O945" s="37" t="n">
        <x:v>0.18</x:v>
      </x:c>
      <x:c r="P945" s="35" t="n">
        <x:f>L945*O945</x:f>
        <x:v>26.099999999999998</x:v>
      </x:c>
      <x:c r="Q945" s="35" t="n">
        <x:v>1.2</x:v>
      </x:c>
      <x:c r="R945" s="35" t="n">
        <x:f>K945*Q945</x:f>
        <x:v>6</x:v>
      </x:c>
      <x:c r="S945" s="35" t="n">
        <x:f>XLOOKUP(H945,'菜品主数据'!$A$5:$A$24,'菜品主数据'!$G$5:$G$24,0)</x:f>
        <x:v>8.634400000000001</x:v>
      </x:c>
      <x:c r="T945" s="35" t="n">
        <x:f>K945*S945</x:f>
        <x:v>43.172000000000004</x:v>
      </x:c>
      <x:c r="U945" s="35" t="n">
        <x:f>L945-N945-P945-R945-T945</x:f>
        <x:v>58.12800000000001</x:v>
      </x:c>
      <x:c r="V945" s="21" t="n">
        <x:f>IFERROR(U945/L945,0)</x:f>
        <x:v>0.4008827586206897</x:v>
      </x:c>
    </x:row>
    <x:row r="946">
      <x:c r="A946" s="19" t="str">
        <x:v>SALE-00942</x:v>
      </x:c>
      <x:c r="B946" s="34" t="n">
        <x:v>46212.5</x:v>
      </x:c>
      <x:c r="C946" s="19" t="str">
        <x:v>周四</x:v>
      </x:c>
      <x:c r="D946" s="19" t="str">
        <x:v>S04</x:v>
      </x:c>
      <x:c r="E946" s="19" t="str">
        <x:v>金街美地店</x:v>
      </x:c>
      <x:c r="F946" s="19" t="str">
        <x:v>外卖</x:v>
      </x:c>
      <x:c r="G946" s="19" t="str">
        <x:v>全日</x:v>
      </x:c>
      <x:c r="H946" s="19" t="str">
        <x:v>D02</x:v>
      </x:c>
      <x:c r="I946" s="19" t="str">
        <x:v>小炒黄牛肉</x:v>
      </x:c>
      <x:c r="J946" s="22" t="n">
        <x:f>XLOOKUP(H946,'菜品主数据'!$A$5:$A$24,'菜品主数据'!$D$5:$D$24,0)</x:f>
        <x:v>49</x:v>
      </x:c>
      <x:c r="K946" s="31" t="n">
        <x:v>8</x:v>
      </x:c>
      <x:c r="L946" s="35" t="n">
        <x:f>J946*K946</x:f>
        <x:v>392</x:v>
      </x:c>
      <x:c r="M946" s="36" t="n">
        <x:v>0.08</x:v>
      </x:c>
      <x:c r="N946" s="35" t="n">
        <x:f>L946*M946</x:f>
        <x:v>31.36</x:v>
      </x:c>
      <x:c r="O946" s="37" t="n">
        <x:v>0.18</x:v>
      </x:c>
      <x:c r="P946" s="35" t="n">
        <x:f>L946*O946</x:f>
        <x:v>70.56</x:v>
      </x:c>
      <x:c r="Q946" s="35" t="n">
        <x:v>1.2</x:v>
      </x:c>
      <x:c r="R946" s="35" t="n">
        <x:f>K946*Q946</x:f>
        <x:v>9.6</x:v>
      </x:c>
      <x:c r="S946" s="35" t="n">
        <x:f>XLOOKUP(H946,'菜品主数据'!$A$5:$A$24,'菜品主数据'!$G$5:$G$24,0)</x:f>
        <x:v>17.577</x:v>
      </x:c>
      <x:c r="T946" s="35" t="n">
        <x:f>K946*S946</x:f>
        <x:v>140.616</x:v>
      </x:c>
      <x:c r="U946" s="35" t="n">
        <x:f>L946-N946-P946-R946-T946</x:f>
        <x:v>139.86399999999995</x:v>
      </x:c>
      <x:c r="V946" s="21" t="n">
        <x:f>IFERROR(U946/L946,0)</x:f>
        <x:v>0.3567959183673468</x:v>
      </x:c>
    </x:row>
    <x:row r="947">
      <x:c r="A947" s="19" t="str">
        <x:v>SALE-00943</x:v>
      </x:c>
      <x:c r="B947" s="34" t="n">
        <x:v>46212.5</x:v>
      </x:c>
      <x:c r="C947" s="19" t="str">
        <x:v>周四</x:v>
      </x:c>
      <x:c r="D947" s="19" t="str">
        <x:v>S04</x:v>
      </x:c>
      <x:c r="E947" s="19" t="str">
        <x:v>金街美地店</x:v>
      </x:c>
      <x:c r="F947" s="19" t="str">
        <x:v>外卖</x:v>
      </x:c>
      <x:c r="G947" s="19" t="str">
        <x:v>全日</x:v>
      </x:c>
      <x:c r="H947" s="19" t="str">
        <x:v>D03</x:v>
      </x:c>
      <x:c r="I947" s="19" t="str">
        <x:v>香醋炒蛋</x:v>
      </x:c>
      <x:c r="J947" s="22" t="n">
        <x:f>XLOOKUP(H947,'菜品主数据'!$A$5:$A$24,'菜品主数据'!$D$5:$D$24,0)</x:f>
        <x:v>14.9</x:v>
      </x:c>
      <x:c r="K947" s="31" t="n">
        <x:v>4</x:v>
      </x:c>
      <x:c r="L947" s="35" t="n">
        <x:f>J947*K947</x:f>
        <x:v>59.6</x:v>
      </x:c>
      <x:c r="M947" s="36" t="n">
        <x:v>0.08</x:v>
      </x:c>
      <x:c r="N947" s="35" t="n">
        <x:f>L947*M947</x:f>
        <x:v>4.768</x:v>
      </x:c>
      <x:c r="O947" s="37" t="n">
        <x:v>0.18</x:v>
      </x:c>
      <x:c r="P947" s="35" t="n">
        <x:f>L947*O947</x:f>
        <x:v>10.728</x:v>
      </x:c>
      <x:c r="Q947" s="35" t="n">
        <x:v>1.2</x:v>
      </x:c>
      <x:c r="R947" s="35" t="n">
        <x:f>K947*Q947</x:f>
        <x:v>4.8</x:v>
      </x:c>
      <x:c r="S947" s="35" t="n">
        <x:f>XLOOKUP(H947,'菜品主数据'!$A$5:$A$24,'菜品主数据'!$G$5:$G$24,0)</x:f>
        <x:v>3.7459999999999996</x:v>
      </x:c>
      <x:c r="T947" s="35" t="n">
        <x:f>K947*S947</x:f>
        <x:v>14.983999999999998</x:v>
      </x:c>
      <x:c r="U947" s="35" t="n">
        <x:f>L947-N947-P947-R947-T947</x:f>
        <x:v>24.320000000000004</x:v>
      </x:c>
      <x:c r="V947" s="21" t="n">
        <x:f>IFERROR(U947/L947,0)</x:f>
        <x:v>0.40805369127516783</x:v>
      </x:c>
    </x:row>
    <x:row r="948">
      <x:c r="A948" s="19" t="str">
        <x:v>SALE-00944</x:v>
      </x:c>
      <x:c r="B948" s="34" t="n">
        <x:v>46212.5</x:v>
      </x:c>
      <x:c r="C948" s="19" t="str">
        <x:v>周四</x:v>
      </x:c>
      <x:c r="D948" s="19" t="str">
        <x:v>S04</x:v>
      </x:c>
      <x:c r="E948" s="19" t="str">
        <x:v>金街美地店</x:v>
      </x:c>
      <x:c r="F948" s="19" t="str">
        <x:v>外卖</x:v>
      </x:c>
      <x:c r="G948" s="19" t="str">
        <x:v>全日</x:v>
      </x:c>
      <x:c r="H948" s="19" t="str">
        <x:v>D04</x:v>
      </x:c>
      <x:c r="I948" s="19" t="str">
        <x:v>酸包菜炒粉皮</x:v>
      </x:c>
      <x:c r="J948" s="22" t="n">
        <x:f>XLOOKUP(H948,'菜品主数据'!$A$5:$A$24,'菜品主数据'!$D$5:$D$24,0)</x:f>
        <x:v>16</x:v>
      </x:c>
      <x:c r="K948" s="31" t="n">
        <x:v>3</x:v>
      </x:c>
      <x:c r="L948" s="35" t="n">
        <x:f>J948*K948</x:f>
        <x:v>48</x:v>
      </x:c>
      <x:c r="M948" s="36" t="n">
        <x:v>0.08</x:v>
      </x:c>
      <x:c r="N948" s="35" t="n">
        <x:f>L948*M948</x:f>
        <x:v>3.84</x:v>
      </x:c>
      <x:c r="O948" s="37" t="n">
        <x:v>0.18</x:v>
      </x:c>
      <x:c r="P948" s="35" t="n">
        <x:f>L948*O948</x:f>
        <x:v>8.64</x:v>
      </x:c>
      <x:c r="Q948" s="35" t="n">
        <x:v>1.2</x:v>
      </x:c>
      <x:c r="R948" s="35" t="n">
        <x:f>K948*Q948</x:f>
        <x:v>3.5999999999999996</x:v>
      </x:c>
      <x:c r="S948" s="35" t="n">
        <x:f>XLOOKUP(H948,'菜品主数据'!$A$5:$A$24,'菜品主数据'!$G$5:$G$24,0)</x:f>
        <x:v>3.978</x:v>
      </x:c>
      <x:c r="T948" s="35" t="n">
        <x:f>K948*S948</x:f>
        <x:v>11.934000000000001</x:v>
      </x:c>
      <x:c r="U948" s="35" t="n">
        <x:f>L948-N948-P948-R948-T948</x:f>
        <x:v>19.985999999999994</x:v>
      </x:c>
      <x:c r="V948" s="21" t="n">
        <x:f>IFERROR(U948/L948,0)</x:f>
        <x:v>0.4163749999999999</x:v>
      </x:c>
    </x:row>
    <x:row r="949">
      <x:c r="A949" s="19" t="str">
        <x:v>SALE-00945</x:v>
      </x:c>
      <x:c r="B949" s="34" t="n">
        <x:v>46212.5</x:v>
      </x:c>
      <x:c r="C949" s="19" t="str">
        <x:v>周四</x:v>
      </x:c>
      <x:c r="D949" s="19" t="str">
        <x:v>S04</x:v>
      </x:c>
      <x:c r="E949" s="19" t="str">
        <x:v>金街美地店</x:v>
      </x:c>
      <x:c r="F949" s="19" t="str">
        <x:v>外卖</x:v>
      </x:c>
      <x:c r="G949" s="19" t="str">
        <x:v>全日</x:v>
      </x:c>
      <x:c r="H949" s="19" t="str">
        <x:v>D05</x:v>
      </x:c>
      <x:c r="I949" s="19" t="str">
        <x:v>麻婆豆腐</x:v>
      </x:c>
      <x:c r="J949" s="22" t="n">
        <x:f>XLOOKUP(H949,'菜品主数据'!$A$5:$A$24,'菜品主数据'!$D$5:$D$24,0)</x:f>
        <x:v>9.9</x:v>
      </x:c>
      <x:c r="K949" s="31" t="n">
        <x:v>4</x:v>
      </x:c>
      <x:c r="L949" s="35" t="n">
        <x:f>J949*K949</x:f>
        <x:v>39.6</x:v>
      </x:c>
      <x:c r="M949" s="36" t="n">
        <x:v>0.08</x:v>
      </x:c>
      <x:c r="N949" s="35" t="n">
        <x:f>L949*M949</x:f>
        <x:v>3.168</x:v>
      </x:c>
      <x:c r="O949" s="37" t="n">
        <x:v>0.18</x:v>
      </x:c>
      <x:c r="P949" s="35" t="n">
        <x:f>L949*O949</x:f>
        <x:v>7.128</x:v>
      </x:c>
      <x:c r="Q949" s="35" t="n">
        <x:v>1.2</x:v>
      </x:c>
      <x:c r="R949" s="35" t="n">
        <x:f>K949*Q949</x:f>
        <x:v>4.8</x:v>
      </x:c>
      <x:c r="S949" s="35" t="n">
        <x:f>XLOOKUP(H949,'菜品主数据'!$A$5:$A$24,'菜品主数据'!$G$5:$G$24,0)</x:f>
        <x:v>5.367000000000001</x:v>
      </x:c>
      <x:c r="T949" s="35" t="n">
        <x:f>K949*S949</x:f>
        <x:v>21.468000000000004</x:v>
      </x:c>
      <x:c r="U949" s="35" t="n">
        <x:f>L949-N949-P949-R949-T949</x:f>
        <x:v>3.035999999999998</x:v>
      </x:c>
      <x:c r="V949" s="21" t="n">
        <x:f>IFERROR(U949/L949,0)</x:f>
        <x:v>0.0766666666666666</x:v>
      </x:c>
    </x:row>
    <x:row r="950">
      <x:c r="A950" s="19" t="str">
        <x:v>SALE-00946</x:v>
      </x:c>
      <x:c r="B950" s="34" t="n">
        <x:v>46212.5</x:v>
      </x:c>
      <x:c r="C950" s="19" t="str">
        <x:v>周四</x:v>
      </x:c>
      <x:c r="D950" s="19" t="str">
        <x:v>S04</x:v>
      </x:c>
      <x:c r="E950" s="19" t="str">
        <x:v>金街美地店</x:v>
      </x:c>
      <x:c r="F950" s="19" t="str">
        <x:v>外卖</x:v>
      </x:c>
      <x:c r="G950" s="19" t="str">
        <x:v>全日</x:v>
      </x:c>
      <x:c r="H950" s="19" t="str">
        <x:v>D06</x:v>
      </x:c>
      <x:c r="I950" s="19" t="str">
        <x:v>剁椒鱼头</x:v>
      </x:c>
      <x:c r="J950" s="22" t="n">
        <x:f>XLOOKUP(H950,'菜品主数据'!$A$5:$A$24,'菜品主数据'!$D$5:$D$24,0)</x:f>
        <x:v>39</x:v>
      </x:c>
      <x:c r="K950" s="31" t="n">
        <x:v>1</x:v>
      </x:c>
      <x:c r="L950" s="35" t="n">
        <x:f>J950*K950</x:f>
        <x:v>39</x:v>
      </x:c>
      <x:c r="M950" s="36" t="n">
        <x:v>0.08</x:v>
      </x:c>
      <x:c r="N950" s="35" t="n">
        <x:f>L950*M950</x:f>
        <x:v>3.12</x:v>
      </x:c>
      <x:c r="O950" s="37" t="n">
        <x:v>0.18</x:v>
      </x:c>
      <x:c r="P950" s="35" t="n">
        <x:f>L950*O950</x:f>
        <x:v>7.02</x:v>
      </x:c>
      <x:c r="Q950" s="35" t="n">
        <x:v>1.2</x:v>
      </x:c>
      <x:c r="R950" s="35" t="n">
        <x:f>K950*Q950</x:f>
        <x:v>1.2</x:v>
      </x:c>
      <x:c r="S950" s="35" t="n">
        <x:f>XLOOKUP(H950,'菜品主数据'!$A$5:$A$24,'菜品主数据'!$G$5:$G$24,0)</x:f>
        <x:v>17.446</x:v>
      </x:c>
      <x:c r="T950" s="35" t="n">
        <x:f>K950*S950</x:f>
        <x:v>17.446</x:v>
      </x:c>
      <x:c r="U950" s="35" t="n">
        <x:f>L950-N950-P950-R950-T950</x:f>
        <x:v>10.214000000000002</x:v>
      </x:c>
      <x:c r="V950" s="21" t="n">
        <x:f>IFERROR(U950/L950,0)</x:f>
        <x:v>0.26189743589743597</x:v>
      </x:c>
    </x:row>
    <x:row r="951">
      <x:c r="A951" s="19" t="str">
        <x:v>SALE-00947</x:v>
      </x:c>
      <x:c r="B951" s="34" t="n">
        <x:v>46212.5</x:v>
      </x:c>
      <x:c r="C951" s="19" t="str">
        <x:v>周四</x:v>
      </x:c>
      <x:c r="D951" s="19" t="str">
        <x:v>S04</x:v>
      </x:c>
      <x:c r="E951" s="19" t="str">
        <x:v>金街美地店</x:v>
      </x:c>
      <x:c r="F951" s="19" t="str">
        <x:v>外卖</x:v>
      </x:c>
      <x:c r="G951" s="19" t="str">
        <x:v>全日</x:v>
      </x:c>
      <x:c r="H951" s="19" t="str">
        <x:v>D07</x:v>
      </x:c>
      <x:c r="I951" s="19" t="str">
        <x:v>川味回锅肉</x:v>
      </x:c>
      <x:c r="J951" s="22" t="n">
        <x:f>XLOOKUP(H951,'菜品主数据'!$A$5:$A$24,'菜品主数据'!$D$5:$D$24,0)</x:f>
        <x:v>29</x:v>
      </x:c>
      <x:c r="K951" s="31" t="n">
        <x:v>1</x:v>
      </x:c>
      <x:c r="L951" s="35" t="n">
        <x:f>J951*K951</x:f>
        <x:v>29</x:v>
      </x:c>
      <x:c r="M951" s="36" t="n">
        <x:v>0.08</x:v>
      </x:c>
      <x:c r="N951" s="35" t="n">
        <x:f>L951*M951</x:f>
        <x:v>2.32</x:v>
      </x:c>
      <x:c r="O951" s="37" t="n">
        <x:v>0.18</x:v>
      </x:c>
      <x:c r="P951" s="35" t="n">
        <x:f>L951*O951</x:f>
        <x:v>5.22</x:v>
      </x:c>
      <x:c r="Q951" s="35" t="n">
        <x:v>1.2</x:v>
      </x:c>
      <x:c r="R951" s="35" t="n">
        <x:f>K951*Q951</x:f>
        <x:v>1.2</x:v>
      </x:c>
      <x:c r="S951" s="35" t="n">
        <x:f>XLOOKUP(H951,'菜品主数据'!$A$5:$A$24,'菜品主数据'!$G$5:$G$24,0)</x:f>
        <x:v>10.231000000000002</x:v>
      </x:c>
      <x:c r="T951" s="35" t="n">
        <x:f>K951*S951</x:f>
        <x:v>10.231000000000002</x:v>
      </x:c>
      <x:c r="U951" s="35" t="n">
        <x:f>L951-N951-P951-R951-T951</x:f>
        <x:v>10.029</x:v>
      </x:c>
      <x:c r="V951" s="21" t="n">
        <x:f>IFERROR(U951/L951,0)</x:f>
        <x:v>0.3458275862068966</x:v>
      </x:c>
    </x:row>
    <x:row r="952">
      <x:c r="A952" s="19" t="str">
        <x:v>SALE-00948</x:v>
      </x:c>
      <x:c r="B952" s="34" t="n">
        <x:v>46212.5</x:v>
      </x:c>
      <x:c r="C952" s="19" t="str">
        <x:v>周四</x:v>
      </x:c>
      <x:c r="D952" s="19" t="str">
        <x:v>S04</x:v>
      </x:c>
      <x:c r="E952" s="19" t="str">
        <x:v>金街美地店</x:v>
      </x:c>
      <x:c r="F952" s="19" t="str">
        <x:v>外卖</x:v>
      </x:c>
      <x:c r="G952" s="19" t="str">
        <x:v>全日</x:v>
      </x:c>
      <x:c r="H952" s="19" t="str">
        <x:v>D08</x:v>
      </x:c>
      <x:c r="I952" s="19" t="str">
        <x:v>生炒清远鸡</x:v>
      </x:c>
      <x:c r="J952" s="22" t="n">
        <x:f>XLOOKUP(H952,'菜品主数据'!$A$5:$A$24,'菜品主数据'!$D$5:$D$24,0)</x:f>
        <x:v>36</x:v>
      </x:c>
      <x:c r="K952" s="31" t="n">
        <x:v>1</x:v>
      </x:c>
      <x:c r="L952" s="35" t="n">
        <x:f>J952*K952</x:f>
        <x:v>36</x:v>
      </x:c>
      <x:c r="M952" s="36" t="n">
        <x:v>0.08</x:v>
      </x:c>
      <x:c r="N952" s="35" t="n">
        <x:f>L952*M952</x:f>
        <x:v>2.88</x:v>
      </x:c>
      <x:c r="O952" s="37" t="n">
        <x:v>0.18</x:v>
      </x:c>
      <x:c r="P952" s="35" t="n">
        <x:f>L952*O952</x:f>
        <x:v>6.4799999999999995</x:v>
      </x:c>
      <x:c r="Q952" s="35" t="n">
        <x:v>1.2</x:v>
      </x:c>
      <x:c r="R952" s="35" t="n">
        <x:f>K952*Q952</x:f>
        <x:v>1.2</x:v>
      </x:c>
      <x:c r="S952" s="35" t="n">
        <x:f>XLOOKUP(H952,'菜品主数据'!$A$5:$A$24,'菜品主数据'!$G$5:$G$24,0)</x:f>
        <x:v>13.48</x:v>
      </x:c>
      <x:c r="T952" s="35" t="n">
        <x:f>K952*S952</x:f>
        <x:v>13.48</x:v>
      </x:c>
      <x:c r="U952" s="35" t="n">
        <x:f>L952-N952-P952-R952-T952</x:f>
        <x:v>11.959999999999997</x:v>
      </x:c>
      <x:c r="V952" s="21" t="n">
        <x:f>IFERROR(U952/L952,0)</x:f>
        <x:v>0.33222222222222214</x:v>
      </x:c>
    </x:row>
    <x:row r="953">
      <x:c r="A953" s="19" t="str">
        <x:v>SALE-00949</x:v>
      </x:c>
      <x:c r="B953" s="34" t="n">
        <x:v>46212.5</x:v>
      </x:c>
      <x:c r="C953" s="19" t="str">
        <x:v>周四</x:v>
      </x:c>
      <x:c r="D953" s="19" t="str">
        <x:v>S04</x:v>
      </x:c>
      <x:c r="E953" s="19" t="str">
        <x:v>金街美地店</x:v>
      </x:c>
      <x:c r="F953" s="19" t="str">
        <x:v>外卖</x:v>
      </x:c>
      <x:c r="G953" s="19" t="str">
        <x:v>全日</x:v>
      </x:c>
      <x:c r="H953" s="19" t="str">
        <x:v>D09</x:v>
      </x:c>
      <x:c r="I953" s="19" t="str">
        <x:v>炒豆干</x:v>
      </x:c>
      <x:c r="J953" s="22" t="n">
        <x:f>XLOOKUP(H953,'菜品主数据'!$A$5:$A$24,'菜品主数据'!$D$5:$D$24,0)</x:f>
        <x:v>18</x:v>
      </x:c>
      <x:c r="K953" s="31" t="n">
        <x:v>1</x:v>
      </x:c>
      <x:c r="L953" s="35" t="n">
        <x:f>J953*K953</x:f>
        <x:v>18</x:v>
      </x:c>
      <x:c r="M953" s="36" t="n">
        <x:v>0.08</x:v>
      </x:c>
      <x:c r="N953" s="35" t="n">
        <x:f>L953*M953</x:f>
        <x:v>1.44</x:v>
      </x:c>
      <x:c r="O953" s="37" t="n">
        <x:v>0.18</x:v>
      </x:c>
      <x:c r="P953" s="35" t="n">
        <x:f>L953*O953</x:f>
        <x:v>3.2399999999999998</x:v>
      </x:c>
      <x:c r="Q953" s="35" t="n">
        <x:v>1.2</x:v>
      </x:c>
      <x:c r="R953" s="35" t="n">
        <x:f>K953*Q953</x:f>
        <x:v>1.2</x:v>
      </x:c>
      <x:c r="S953" s="35" t="n">
        <x:f>XLOOKUP(H953,'菜品主数据'!$A$5:$A$24,'菜品主数据'!$G$5:$G$24,0)</x:f>
        <x:v>6.613999999999999</x:v>
      </x:c>
      <x:c r="T953" s="35" t="n">
        <x:f>K953*S953</x:f>
        <x:v>6.613999999999999</x:v>
      </x:c>
      <x:c r="U953" s="35" t="n">
        <x:f>L953-N953-P953-R953-T953</x:f>
        <x:v>5.506</x:v>
      </x:c>
      <x:c r="V953" s="21" t="n">
        <x:f>IFERROR(U953/L953,0)</x:f>
        <x:v>0.3058888888888889</x:v>
      </x:c>
    </x:row>
    <x:row r="954">
      <x:c r="A954" s="19" t="str">
        <x:v>SALE-00950</x:v>
      </x:c>
      <x:c r="B954" s="34" t="n">
        <x:v>46212.5</x:v>
      </x:c>
      <x:c r="C954" s="19" t="str">
        <x:v>周四</x:v>
      </x:c>
      <x:c r="D954" s="19" t="str">
        <x:v>S04</x:v>
      </x:c>
      <x:c r="E954" s="19" t="str">
        <x:v>金街美地店</x:v>
      </x:c>
      <x:c r="F954" s="19" t="str">
        <x:v>外卖</x:v>
      </x:c>
      <x:c r="G954" s="19" t="str">
        <x:v>全日</x:v>
      </x:c>
      <x:c r="H954" s="19" t="str">
        <x:v>D10</x:v>
      </x:c>
      <x:c r="I954" s="19" t="str">
        <x:v>农家一碗香</x:v>
      </x:c>
      <x:c r="J954" s="22" t="n">
        <x:f>XLOOKUP(H954,'菜品主数据'!$A$5:$A$24,'菜品主数据'!$D$5:$D$24,0)</x:f>
        <x:v>22.9</x:v>
      </x:c>
      <x:c r="K954" s="31" t="n">
        <x:v>1</x:v>
      </x:c>
      <x:c r="L954" s="35" t="n">
        <x:f>J954*K954</x:f>
        <x:v>22.9</x:v>
      </x:c>
      <x:c r="M954" s="36" t="n">
        <x:v>0.08</x:v>
      </x:c>
      <x:c r="N954" s="35" t="n">
        <x:f>L954*M954</x:f>
        <x:v>1.8319999999999999</x:v>
      </x:c>
      <x:c r="O954" s="37" t="n">
        <x:v>0.18</x:v>
      </x:c>
      <x:c r="P954" s="35" t="n">
        <x:f>L954*O954</x:f>
        <x:v>4.122</x:v>
      </x:c>
      <x:c r="Q954" s="35" t="n">
        <x:v>1.2</x:v>
      </x:c>
      <x:c r="R954" s="35" t="n">
        <x:f>K954*Q954</x:f>
        <x:v>1.2</x:v>
      </x:c>
      <x:c r="S954" s="35" t="n">
        <x:f>XLOOKUP(H954,'菜品主数据'!$A$5:$A$24,'菜品主数据'!$G$5:$G$24,0)</x:f>
        <x:v>9.770200000000003</x:v>
      </x:c>
      <x:c r="T954" s="35" t="n">
        <x:f>K954*S954</x:f>
        <x:v>9.770200000000003</x:v>
      </x:c>
      <x:c r="U954" s="35" t="n">
        <x:f>L954-N954-P954-R954-T954</x:f>
        <x:v>5.975799999999996</x:v>
      </x:c>
      <x:c r="V954" s="21" t="n">
        <x:f>IFERROR(U954/L954,0)</x:f>
        <x:v>0.260951965065502</x:v>
      </x:c>
    </x:row>
    <x:row r="955">
      <x:c r="A955" s="19" t="str">
        <x:v>SALE-00951</x:v>
      </x:c>
      <x:c r="B955" s="34" t="n">
        <x:v>46212.5</x:v>
      </x:c>
      <x:c r="C955" s="19" t="str">
        <x:v>周四</x:v>
      </x:c>
      <x:c r="D955" s="19" t="str">
        <x:v>S04</x:v>
      </x:c>
      <x:c r="E955" s="19" t="str">
        <x:v>金街美地店</x:v>
      </x:c>
      <x:c r="F955" s="19" t="str">
        <x:v>外卖</x:v>
      </x:c>
      <x:c r="G955" s="19" t="str">
        <x:v>全日</x:v>
      </x:c>
      <x:c r="H955" s="19" t="str">
        <x:v>D11</x:v>
      </x:c>
      <x:c r="I955" s="19" t="str">
        <x:v>香辣爆肥肠</x:v>
      </x:c>
      <x:c r="J955" s="22" t="n">
        <x:f>XLOOKUP(H955,'菜品主数据'!$A$5:$A$24,'菜品主数据'!$D$5:$D$24,0)</x:f>
        <x:v>39</x:v>
      </x:c>
      <x:c r="K955" s="31" t="n">
        <x:v>0</x:v>
      </x:c>
      <x:c r="L955" s="35" t="n">
        <x:f>J955*K955</x:f>
        <x:v>0</x:v>
      </x:c>
      <x:c r="M955" s="36" t="n">
        <x:v>0.08</x:v>
      </x:c>
      <x:c r="N955" s="35" t="n">
        <x:f>L955*M955</x:f>
        <x:v>0</x:v>
      </x:c>
      <x:c r="O955" s="37" t="n">
        <x:v>0.18</x:v>
      </x:c>
      <x:c r="P955" s="35" t="n">
        <x:f>L955*O955</x:f>
        <x:v>0</x:v>
      </x:c>
      <x:c r="Q955" s="35" t="n">
        <x:v>1.2</x:v>
      </x:c>
      <x:c r="R955" s="35" t="n">
        <x:f>K955*Q955</x:f>
        <x:v>0</x:v>
      </x:c>
      <x:c r="S955" s="35" t="n">
        <x:f>XLOOKUP(H955,'菜品主数据'!$A$5:$A$24,'菜品主数据'!$G$5:$G$24,0)</x:f>
        <x:v>10.397</x:v>
      </x:c>
      <x:c r="T955" s="35" t="n">
        <x:f>K955*S955</x:f>
        <x:v>0</x:v>
      </x:c>
      <x:c r="U955" s="35" t="n">
        <x:f>L955-N955-P955-R955-T955</x:f>
        <x:v>0</x:v>
      </x:c>
      <x:c r="V955" s="21" t="n">
        <x:f>IFERROR(U955/L955,0)</x:f>
        <x:v>0</x:v>
      </x:c>
    </x:row>
    <x:row r="956">
      <x:c r="A956" s="19" t="str">
        <x:v>SALE-00952</x:v>
      </x:c>
      <x:c r="B956" s="34" t="n">
        <x:v>46212.5</x:v>
      </x:c>
      <x:c r="C956" s="19" t="str">
        <x:v>周四</x:v>
      </x:c>
      <x:c r="D956" s="19" t="str">
        <x:v>S04</x:v>
      </x:c>
      <x:c r="E956" s="19" t="str">
        <x:v>金街美地店</x:v>
      </x:c>
      <x:c r="F956" s="19" t="str">
        <x:v>外卖</x:v>
      </x:c>
      <x:c r="G956" s="19" t="str">
        <x:v>全日</x:v>
      </x:c>
      <x:c r="H956" s="19" t="str">
        <x:v>D12</x:v>
      </x:c>
      <x:c r="I956" s="19" t="str">
        <x:v>清蒸鲈鱼</x:v>
      </x:c>
      <x:c r="J956" s="22" t="n">
        <x:f>XLOOKUP(H956,'菜品主数据'!$A$5:$A$24,'菜品主数据'!$D$5:$D$24,0)</x:f>
        <x:v>39</x:v>
      </x:c>
      <x:c r="K956" s="31" t="n">
        <x:v>0</x:v>
      </x:c>
      <x:c r="L956" s="35" t="n">
        <x:f>J956*K956</x:f>
        <x:v>0</x:v>
      </x:c>
      <x:c r="M956" s="36" t="n">
        <x:v>0.08</x:v>
      </x:c>
      <x:c r="N956" s="35" t="n">
        <x:f>L956*M956</x:f>
        <x:v>0</x:v>
      </x:c>
      <x:c r="O956" s="37" t="n">
        <x:v>0.18</x:v>
      </x:c>
      <x:c r="P956" s="35" t="n">
        <x:f>L956*O956</x:f>
        <x:v>0</x:v>
      </x:c>
      <x:c r="Q956" s="35" t="n">
        <x:v>1.2</x:v>
      </x:c>
      <x:c r="R956" s="35" t="n">
        <x:f>K956*Q956</x:f>
        <x:v>0</x:v>
      </x:c>
      <x:c r="S956" s="35" t="n">
        <x:f>XLOOKUP(H956,'菜品主数据'!$A$5:$A$24,'菜品主数据'!$G$5:$G$24,0)</x:f>
        <x:v>18.874</x:v>
      </x:c>
      <x:c r="T956" s="35" t="n">
        <x:f>K956*S956</x:f>
        <x:v>0</x:v>
      </x:c>
      <x:c r="U956" s="35" t="n">
        <x:f>L956-N956-P956-R956-T956</x:f>
        <x:v>0</x:v>
      </x:c>
      <x:c r="V956" s="21" t="n">
        <x:f>IFERROR(U956/L956,0)</x:f>
        <x:v>0</x:v>
      </x:c>
    </x:row>
    <x:row r="957">
      <x:c r="A957" s="19" t="str">
        <x:v>SALE-00953</x:v>
      </x:c>
      <x:c r="B957" s="34" t="n">
        <x:v>46212.5</x:v>
      </x:c>
      <x:c r="C957" s="19" t="str">
        <x:v>周四</x:v>
      </x:c>
      <x:c r="D957" s="19" t="str">
        <x:v>S04</x:v>
      </x:c>
      <x:c r="E957" s="19" t="str">
        <x:v>金街美地店</x:v>
      </x:c>
      <x:c r="F957" s="19" t="str">
        <x:v>外卖</x:v>
      </x:c>
      <x:c r="G957" s="19" t="str">
        <x:v>全日</x:v>
      </x:c>
      <x:c r="H957" s="19" t="str">
        <x:v>D13</x:v>
      </x:c>
      <x:c r="I957" s="19" t="str">
        <x:v>外婆菜炒蛋</x:v>
      </x:c>
      <x:c r="J957" s="22" t="n">
        <x:f>XLOOKUP(H957,'菜品主数据'!$A$5:$A$24,'菜品主数据'!$D$5:$D$24,0)</x:f>
        <x:v>18</x:v>
      </x:c>
      <x:c r="K957" s="31" t="n">
        <x:v>1</x:v>
      </x:c>
      <x:c r="L957" s="35" t="n">
        <x:f>J957*K957</x:f>
        <x:v>18</x:v>
      </x:c>
      <x:c r="M957" s="36" t="n">
        <x:v>0.08</x:v>
      </x:c>
      <x:c r="N957" s="35" t="n">
        <x:f>L957*M957</x:f>
        <x:v>1.44</x:v>
      </x:c>
      <x:c r="O957" s="37" t="n">
        <x:v>0.18</x:v>
      </x:c>
      <x:c r="P957" s="35" t="n">
        <x:f>L957*O957</x:f>
        <x:v>3.2399999999999998</x:v>
      </x:c>
      <x:c r="Q957" s="35" t="n">
        <x:v>1.2</x:v>
      </x:c>
      <x:c r="R957" s="35" t="n">
        <x:f>K957*Q957</x:f>
        <x:v>1.2</x:v>
      </x:c>
      <x:c r="S957" s="35" t="n">
        <x:f>XLOOKUP(H957,'菜品主数据'!$A$5:$A$24,'菜品主数据'!$G$5:$G$24,0)</x:f>
        <x:v>5.403999999999999</x:v>
      </x:c>
      <x:c r="T957" s="35" t="n">
        <x:f>K957*S957</x:f>
        <x:v>5.403999999999999</x:v>
      </x:c>
      <x:c r="U957" s="35" t="n">
        <x:f>L957-N957-P957-R957-T957</x:f>
        <x:v>6.716</x:v>
      </x:c>
      <x:c r="V957" s="21" t="n">
        <x:f>IFERROR(U957/L957,0)</x:f>
        <x:v>0.3731111111111111</x:v>
      </x:c>
    </x:row>
    <x:row r="958">
      <x:c r="A958" s="19" t="str">
        <x:v>SALE-00954</x:v>
      </x:c>
      <x:c r="B958" s="34" t="n">
        <x:v>46212.5</x:v>
      </x:c>
      <x:c r="C958" s="19" t="str">
        <x:v>周四</x:v>
      </x:c>
      <x:c r="D958" s="19" t="str">
        <x:v>S04</x:v>
      </x:c>
      <x:c r="E958" s="19" t="str">
        <x:v>金街美地店</x:v>
      </x:c>
      <x:c r="F958" s="19" t="str">
        <x:v>外卖</x:v>
      </x:c>
      <x:c r="G958" s="19" t="str">
        <x:v>全日</x:v>
      </x:c>
      <x:c r="H958" s="19" t="str">
        <x:v>D14</x:v>
      </x:c>
      <x:c r="I958" s="19" t="str">
        <x:v>酸辣鸡杂</x:v>
      </x:c>
      <x:c r="J958" s="22" t="n">
        <x:f>XLOOKUP(H958,'菜品主数据'!$A$5:$A$24,'菜品主数据'!$D$5:$D$24,0)</x:f>
        <x:v>28</x:v>
      </x:c>
      <x:c r="K958" s="31" t="n">
        <x:v>1</x:v>
      </x:c>
      <x:c r="L958" s="35" t="n">
        <x:f>J958*K958</x:f>
        <x:v>28</x:v>
      </x:c>
      <x:c r="M958" s="36" t="n">
        <x:v>0.08</x:v>
      </x:c>
      <x:c r="N958" s="35" t="n">
        <x:f>L958*M958</x:f>
        <x:v>2.24</x:v>
      </x:c>
      <x:c r="O958" s="37" t="n">
        <x:v>0.18</x:v>
      </x:c>
      <x:c r="P958" s="35" t="n">
        <x:f>L958*O958</x:f>
        <x:v>5.04</x:v>
      </x:c>
      <x:c r="Q958" s="35" t="n">
        <x:v>1.2</x:v>
      </x:c>
      <x:c r="R958" s="35" t="n">
        <x:f>K958*Q958</x:f>
        <x:v>1.2</x:v>
      </x:c>
      <x:c r="S958" s="35" t="n">
        <x:f>XLOOKUP(H958,'菜品主数据'!$A$5:$A$24,'菜品主数据'!$G$5:$G$24,0)</x:f>
        <x:v>8.315000000000001</x:v>
      </x:c>
      <x:c r="T958" s="35" t="n">
        <x:f>K958*S958</x:f>
        <x:v>8.315000000000001</x:v>
      </x:c>
      <x:c r="U958" s="35" t="n">
        <x:f>L958-N958-P958-R958-T958</x:f>
        <x:v>11.204999999999998</x:v>
      </x:c>
      <x:c r="V958" s="21" t="n">
        <x:f>IFERROR(U958/L958,0)</x:f>
        <x:v>0.4001785714285714</x:v>
      </x:c>
    </x:row>
    <x:row r="959">
      <x:c r="A959" s="19" t="str">
        <x:v>SALE-00955</x:v>
      </x:c>
      <x:c r="B959" s="34" t="n">
        <x:v>46212.5</x:v>
      </x:c>
      <x:c r="C959" s="19" t="str">
        <x:v>周四</x:v>
      </x:c>
      <x:c r="D959" s="19" t="str">
        <x:v>S04</x:v>
      </x:c>
      <x:c r="E959" s="19" t="str">
        <x:v>金街美地店</x:v>
      </x:c>
      <x:c r="F959" s="19" t="str">
        <x:v>外卖</x:v>
      </x:c>
      <x:c r="G959" s="19" t="str">
        <x:v>全日</x:v>
      </x:c>
      <x:c r="H959" s="19" t="str">
        <x:v>D15</x:v>
      </x:c>
      <x:c r="I959" s="19" t="str">
        <x:v>湘西土匪猪肝</x:v>
      </x:c>
      <x:c r="J959" s="22" t="n">
        <x:f>XLOOKUP(H959,'菜品主数据'!$A$5:$A$24,'菜品主数据'!$D$5:$D$24,0)</x:f>
        <x:v>26</x:v>
      </x:c>
      <x:c r="K959" s="31" t="n">
        <x:v>0</x:v>
      </x:c>
      <x:c r="L959" s="35" t="n">
        <x:f>J959*K959</x:f>
        <x:v>0</x:v>
      </x:c>
      <x:c r="M959" s="36" t="n">
        <x:v>0.08</x:v>
      </x:c>
      <x:c r="N959" s="35" t="n">
        <x:f>L959*M959</x:f>
        <x:v>0</x:v>
      </x:c>
      <x:c r="O959" s="37" t="n">
        <x:v>0.18</x:v>
      </x:c>
      <x:c r="P959" s="35" t="n">
        <x:f>L959*O959</x:f>
        <x:v>0</x:v>
      </x:c>
      <x:c r="Q959" s="35" t="n">
        <x:v>1.2</x:v>
      </x:c>
      <x:c r="R959" s="35" t="n">
        <x:f>K959*Q959</x:f>
        <x:v>0</x:v>
      </x:c>
      <x:c r="S959" s="35" t="n">
        <x:f>XLOOKUP(H959,'菜品主数据'!$A$5:$A$24,'菜品主数据'!$G$5:$G$24,0)</x:f>
        <x:v>6.3759999999999994</x:v>
      </x:c>
      <x:c r="T959" s="35" t="n">
        <x:f>K959*S959</x:f>
        <x:v>0</x:v>
      </x:c>
      <x:c r="U959" s="35" t="n">
        <x:f>L959-N959-P959-R959-T959</x:f>
        <x:v>0</x:v>
      </x:c>
      <x:c r="V959" s="21" t="n">
        <x:f>IFERROR(U959/L959,0)</x:f>
        <x:v>0</x:v>
      </x:c>
    </x:row>
    <x:row r="960">
      <x:c r="A960" s="19" t="str">
        <x:v>SALE-00956</x:v>
      </x:c>
      <x:c r="B960" s="34" t="n">
        <x:v>46212.5</x:v>
      </x:c>
      <x:c r="C960" s="19" t="str">
        <x:v>周四</x:v>
      </x:c>
      <x:c r="D960" s="19" t="str">
        <x:v>S04</x:v>
      </x:c>
      <x:c r="E960" s="19" t="str">
        <x:v>金街美地店</x:v>
      </x:c>
      <x:c r="F960" s="19" t="str">
        <x:v>外卖</x:v>
      </x:c>
      <x:c r="G960" s="19" t="str">
        <x:v>全日</x:v>
      </x:c>
      <x:c r="H960" s="19" t="str">
        <x:v>D16</x:v>
      </x:c>
      <x:c r="I960" s="19" t="str">
        <x:v>小豆角炒五花</x:v>
      </x:c>
      <x:c r="J960" s="22" t="n">
        <x:f>XLOOKUP(H960,'菜品主数据'!$A$5:$A$24,'菜品主数据'!$D$5:$D$24,0)</x:f>
        <x:v>25</x:v>
      </x:c>
      <x:c r="K960" s="31" t="n">
        <x:v>0</x:v>
      </x:c>
      <x:c r="L960" s="35" t="n">
        <x:f>J960*K960</x:f>
        <x:v>0</x:v>
      </x:c>
      <x:c r="M960" s="36" t="n">
        <x:v>0.08</x:v>
      </x:c>
      <x:c r="N960" s="35" t="n">
        <x:f>L960*M960</x:f>
        <x:v>0</x:v>
      </x:c>
      <x:c r="O960" s="37" t="n">
        <x:v>0.18</x:v>
      </x:c>
      <x:c r="P960" s="35" t="n">
        <x:f>L960*O960</x:f>
        <x:v>0</x:v>
      </x:c>
      <x:c r="Q960" s="35" t="n">
        <x:v>1.2</x:v>
      </x:c>
      <x:c r="R960" s="35" t="n">
        <x:f>K960*Q960</x:f>
        <x:v>0</x:v>
      </x:c>
      <x:c r="S960" s="35" t="n">
        <x:f>XLOOKUP(H960,'菜品主数据'!$A$5:$A$24,'菜品主数据'!$G$5:$G$24,0)</x:f>
        <x:v>8.184</x:v>
      </x:c>
      <x:c r="T960" s="35" t="n">
        <x:f>K960*S960</x:f>
        <x:v>0</x:v>
      </x:c>
      <x:c r="U960" s="35" t="n">
        <x:f>L960-N960-P960-R960-T960</x:f>
        <x:v>0</x:v>
      </x:c>
      <x:c r="V960" s="21" t="n">
        <x:f>IFERROR(U960/L960,0)</x:f>
        <x:v>0</x:v>
      </x:c>
    </x:row>
    <x:row r="961">
      <x:c r="A961" s="19" t="str">
        <x:v>SALE-00957</x:v>
      </x:c>
      <x:c r="B961" s="34" t="n">
        <x:v>46212.5</x:v>
      </x:c>
      <x:c r="C961" s="19" t="str">
        <x:v>周四</x:v>
      </x:c>
      <x:c r="D961" s="19" t="str">
        <x:v>S04</x:v>
      </x:c>
      <x:c r="E961" s="19" t="str">
        <x:v>金街美地店</x:v>
      </x:c>
      <x:c r="F961" s="19" t="str">
        <x:v>外卖</x:v>
      </x:c>
      <x:c r="G961" s="19" t="str">
        <x:v>全日</x:v>
      </x:c>
      <x:c r="H961" s="19" t="str">
        <x:v>D17</x:v>
      </x:c>
      <x:c r="I961" s="19" t="str">
        <x:v>蒜蓉粉丝虾</x:v>
      </x:c>
      <x:c r="J961" s="22" t="n">
        <x:f>XLOOKUP(H961,'菜品主数据'!$A$5:$A$24,'菜品主数据'!$D$5:$D$24,0)</x:f>
        <x:v>36</x:v>
      </x:c>
      <x:c r="K961" s="31" t="n">
        <x:v>0</x:v>
      </x:c>
      <x:c r="L961" s="35" t="n">
        <x:f>J961*K961</x:f>
        <x:v>0</x:v>
      </x:c>
      <x:c r="M961" s="36" t="n">
        <x:v>0.08</x:v>
      </x:c>
      <x:c r="N961" s="35" t="n">
        <x:f>L961*M961</x:f>
        <x:v>0</x:v>
      </x:c>
      <x:c r="O961" s="37" t="n">
        <x:v>0.18</x:v>
      </x:c>
      <x:c r="P961" s="35" t="n">
        <x:f>L961*O961</x:f>
        <x:v>0</x:v>
      </x:c>
      <x:c r="Q961" s="35" t="n">
        <x:v>1.2</x:v>
      </x:c>
      <x:c r="R961" s="35" t="n">
        <x:f>K961*Q961</x:f>
        <x:v>0</x:v>
      </x:c>
      <x:c r="S961" s="35" t="n">
        <x:f>XLOOKUP(H961,'菜品主数据'!$A$5:$A$24,'菜品主数据'!$G$5:$G$24,0)</x:f>
        <x:v>13.594</x:v>
      </x:c>
      <x:c r="T961" s="35" t="n">
        <x:f>K961*S961</x:f>
        <x:v>0</x:v>
      </x:c>
      <x:c r="U961" s="35" t="n">
        <x:f>L961-N961-P961-R961-T961</x:f>
        <x:v>0</x:v>
      </x:c>
      <x:c r="V961" s="21" t="n">
        <x:f>IFERROR(U961/L961,0)</x:f>
        <x:v>0</x:v>
      </x:c>
    </x:row>
    <x:row r="962">
      <x:c r="A962" s="19" t="str">
        <x:v>SALE-00958</x:v>
      </x:c>
      <x:c r="B962" s="34" t="n">
        <x:v>46212.5</x:v>
      </x:c>
      <x:c r="C962" s="19" t="str">
        <x:v>周四</x:v>
      </x:c>
      <x:c r="D962" s="19" t="str">
        <x:v>S04</x:v>
      </x:c>
      <x:c r="E962" s="19" t="str">
        <x:v>金街美地店</x:v>
      </x:c>
      <x:c r="F962" s="19" t="str">
        <x:v>外卖</x:v>
      </x:c>
      <x:c r="G962" s="19" t="str">
        <x:v>全日</x:v>
      </x:c>
      <x:c r="H962" s="19" t="str">
        <x:v>D18</x:v>
      </x:c>
      <x:c r="I962" s="19" t="str">
        <x:v>青椒炒油麦菜</x:v>
      </x:c>
      <x:c r="J962" s="22" t="n">
        <x:f>XLOOKUP(H962,'菜品主数据'!$A$5:$A$24,'菜品主数据'!$D$5:$D$24,0)</x:f>
        <x:v>18</x:v>
      </x:c>
      <x:c r="K962" s="31" t="n">
        <x:v>0</x:v>
      </x:c>
      <x:c r="L962" s="35" t="n">
        <x:f>J962*K962</x:f>
        <x:v>0</x:v>
      </x:c>
      <x:c r="M962" s="36" t="n">
        <x:v>0.08</x:v>
      </x:c>
      <x:c r="N962" s="35" t="n">
        <x:f>L962*M962</x:f>
        <x:v>0</x:v>
      </x:c>
      <x:c r="O962" s="37" t="n">
        <x:v>0.18</x:v>
      </x:c>
      <x:c r="P962" s="35" t="n">
        <x:f>L962*O962</x:f>
        <x:v>0</x:v>
      </x:c>
      <x:c r="Q962" s="35" t="n">
        <x:v>1.2</x:v>
      </x:c>
      <x:c r="R962" s="35" t="n">
        <x:f>K962*Q962</x:f>
        <x:v>0</x:v>
      </x:c>
      <x:c r="S962" s="35" t="n">
        <x:f>XLOOKUP(H962,'菜品主数据'!$A$5:$A$24,'菜品主数据'!$G$5:$G$24,0)</x:f>
        <x:v>3.1759999999999993</x:v>
      </x:c>
      <x:c r="T962" s="35" t="n">
        <x:f>K962*S962</x:f>
        <x:v>0</x:v>
      </x:c>
      <x:c r="U962" s="35" t="n">
        <x:f>L962-N962-P962-R962-T962</x:f>
        <x:v>0</x:v>
      </x:c>
      <x:c r="V962" s="21" t="n">
        <x:f>IFERROR(U962/L962,0)</x:f>
        <x:v>0</x:v>
      </x:c>
    </x:row>
    <x:row r="963">
      <x:c r="A963" s="19" t="str">
        <x:v>SALE-00959</x:v>
      </x:c>
      <x:c r="B963" s="34" t="n">
        <x:v>46212.5</x:v>
      </x:c>
      <x:c r="C963" s="19" t="str">
        <x:v>周四</x:v>
      </x:c>
      <x:c r="D963" s="19" t="str">
        <x:v>S04</x:v>
      </x:c>
      <x:c r="E963" s="19" t="str">
        <x:v>金街美地店</x:v>
      </x:c>
      <x:c r="F963" s="19" t="str">
        <x:v>外卖</x:v>
      </x:c>
      <x:c r="G963" s="19" t="str">
        <x:v>全日</x:v>
      </x:c>
      <x:c r="H963" s="19" t="str">
        <x:v>D19</x:v>
      </x:c>
      <x:c r="I963" s="19" t="str">
        <x:v>酸萝卜炒鸡杂</x:v>
      </x:c>
      <x:c r="J963" s="22" t="n">
        <x:f>XLOOKUP(H963,'菜品主数据'!$A$5:$A$24,'菜品主数据'!$D$5:$D$24,0)</x:f>
        <x:v>25</x:v>
      </x:c>
      <x:c r="K963" s="31" t="n">
        <x:v>0</x:v>
      </x:c>
      <x:c r="L963" s="35" t="n">
        <x:f>J963*K963</x:f>
        <x:v>0</x:v>
      </x:c>
      <x:c r="M963" s="36" t="n">
        <x:v>0.08</x:v>
      </x:c>
      <x:c r="N963" s="35" t="n">
        <x:f>L963*M963</x:f>
        <x:v>0</x:v>
      </x:c>
      <x:c r="O963" s="37" t="n">
        <x:v>0.18</x:v>
      </x:c>
      <x:c r="P963" s="35" t="n">
        <x:f>L963*O963</x:f>
        <x:v>0</x:v>
      </x:c>
      <x:c r="Q963" s="35" t="n">
        <x:v>1.2</x:v>
      </x:c>
      <x:c r="R963" s="35" t="n">
        <x:f>K963*Q963</x:f>
        <x:v>0</x:v>
      </x:c>
      <x:c r="S963" s="35" t="n">
        <x:f>XLOOKUP(H963,'菜品主数据'!$A$5:$A$24,'菜品主数据'!$G$5:$G$24,0)</x:f>
        <x:v>7.9399999999999995</x:v>
      </x:c>
      <x:c r="T963" s="35" t="n">
        <x:f>K963*S963</x:f>
        <x:v>0</x:v>
      </x:c>
      <x:c r="U963" s="35" t="n">
        <x:f>L963-N963-P963-R963-T963</x:f>
        <x:v>0</x:v>
      </x:c>
      <x:c r="V963" s="21" t="n">
        <x:f>IFERROR(U963/L963,0)</x:f>
        <x:v>0</x:v>
      </x:c>
    </x:row>
    <x:row r="964">
      <x:c r="A964" s="19" t="str">
        <x:v>SALE-00960</x:v>
      </x:c>
      <x:c r="B964" s="34" t="n">
        <x:v>46212.5</x:v>
      </x:c>
      <x:c r="C964" s="19" t="str">
        <x:v>周四</x:v>
      </x:c>
      <x:c r="D964" s="19" t="str">
        <x:v>S04</x:v>
      </x:c>
      <x:c r="E964" s="19" t="str">
        <x:v>金街美地店</x:v>
      </x:c>
      <x:c r="F964" s="19" t="str">
        <x:v>外卖</x:v>
      </x:c>
      <x:c r="G964" s="19" t="str">
        <x:v>全日</x:v>
      </x:c>
      <x:c r="H964" s="19" t="str">
        <x:v>D20</x:v>
      </x:c>
      <x:c r="I964" s="19" t="str">
        <x:v>雪菜肉末青豆</x:v>
      </x:c>
      <x:c r="J964" s="22" t="n">
        <x:f>XLOOKUP(H964,'菜品主数据'!$A$5:$A$24,'菜品主数据'!$D$5:$D$24,0)</x:f>
        <x:v>18</x:v>
      </x:c>
      <x:c r="K964" s="31" t="n">
        <x:v>0</x:v>
      </x:c>
      <x:c r="L964" s="35" t="n">
        <x:f>J964*K964</x:f>
        <x:v>0</x:v>
      </x:c>
      <x:c r="M964" s="36" t="n">
        <x:v>0.08</x:v>
      </x:c>
      <x:c r="N964" s="35" t="n">
        <x:f>L964*M964</x:f>
        <x:v>0</x:v>
      </x:c>
      <x:c r="O964" s="37" t="n">
        <x:v>0.18</x:v>
      </x:c>
      <x:c r="P964" s="35" t="n">
        <x:f>L964*O964</x:f>
        <x:v>0</x:v>
      </x:c>
      <x:c r="Q964" s="35" t="n">
        <x:v>1.2</x:v>
      </x:c>
      <x:c r="R964" s="35" t="n">
        <x:f>K964*Q964</x:f>
        <x:v>0</x:v>
      </x:c>
      <x:c r="S964" s="35" t="n">
        <x:f>XLOOKUP(H964,'菜品主数据'!$A$5:$A$24,'菜品主数据'!$G$5:$G$24,0)</x:f>
        <x:v>7.303999999999999</x:v>
      </x:c>
      <x:c r="T964" s="35" t="n">
        <x:f>K964*S964</x:f>
        <x:v>0</x:v>
      </x:c>
      <x:c r="U964" s="35" t="n">
        <x:f>L964-N964-P964-R964-T964</x:f>
        <x:v>0</x:v>
      </x:c>
      <x:c r="V964" s="21" t="n">
        <x:f>IFERROR(U964/L964,0)</x:f>
        <x:v>0</x:v>
      </x:c>
    </x:row>
    <x:row r="965">
      <x:c r="A965" s="19" t="str">
        <x:v>SALE-00961</x:v>
      </x:c>
      <x:c r="B965" s="34" t="n">
        <x:v>46213.5</x:v>
      </x:c>
      <x:c r="C965" s="19" t="str">
        <x:v>周五</x:v>
      </x:c>
      <x:c r="D965" s="19" t="str">
        <x:v>S04</x:v>
      </x:c>
      <x:c r="E965" s="19" t="str">
        <x:v>金街美地店</x:v>
      </x:c>
      <x:c r="F965" s="19" t="str">
        <x:v>堂食</x:v>
      </x:c>
      <x:c r="G965" s="19" t="str">
        <x:v>全日</x:v>
      </x:c>
      <x:c r="H965" s="19" t="str">
        <x:v>D01</x:v>
      </x:c>
      <x:c r="I965" s="19" t="str">
        <x:v>辣椒炒肉</x:v>
      </x:c>
      <x:c r="J965" s="22" t="n">
        <x:f>XLOOKUP(H965,'菜品主数据'!$A$5:$A$24,'菜品主数据'!$D$5:$D$24,0)</x:f>
        <x:v>29</x:v>
      </x:c>
      <x:c r="K965" s="31" t="n">
        <x:v>45</x:v>
      </x:c>
      <x:c r="L965" s="35" t="n">
        <x:f>J965*K965</x:f>
        <x:v>1305</x:v>
      </x:c>
      <x:c r="M965" s="36" t="n">
        <x:v>0</x:v>
      </x:c>
      <x:c r="N965" s="35" t="n">
        <x:f>L965*M965</x:f>
        <x:v>0</x:v>
      </x:c>
      <x:c r="O965" s="37" t="n">
        <x:v>0</x:v>
      </x:c>
      <x:c r="P965" s="35" t="n">
        <x:f>L965*O965</x:f>
        <x:v>0</x:v>
      </x:c>
      <x:c r="Q965" s="35" t="n">
        <x:v>0</x:v>
      </x:c>
      <x:c r="R965" s="35" t="n">
        <x:f>K965*Q965</x:f>
        <x:v>0</x:v>
      </x:c>
      <x:c r="S965" s="35" t="n">
        <x:f>XLOOKUP(H965,'菜品主数据'!$A$5:$A$24,'菜品主数据'!$G$5:$G$24,0)</x:f>
        <x:v>8.634400000000001</x:v>
      </x:c>
      <x:c r="T965" s="35" t="n">
        <x:f>K965*S965</x:f>
        <x:v>388.54800000000006</x:v>
      </x:c>
      <x:c r="U965" s="35" t="n">
        <x:f>L965-N965-P965-R965-T965</x:f>
        <x:v>916.452</x:v>
      </x:c>
      <x:c r="V965" s="21" t="n">
        <x:f>IFERROR(U965/L965,0)</x:f>
        <x:v>0.7022620689655172</x:v>
      </x:c>
    </x:row>
    <x:row r="966">
      <x:c r="A966" s="19" t="str">
        <x:v>SALE-00962</x:v>
      </x:c>
      <x:c r="B966" s="34" t="n">
        <x:v>46213.5</x:v>
      </x:c>
      <x:c r="C966" s="19" t="str">
        <x:v>周五</x:v>
      </x:c>
      <x:c r="D966" s="19" t="str">
        <x:v>S04</x:v>
      </x:c>
      <x:c r="E966" s="19" t="str">
        <x:v>金街美地店</x:v>
      </x:c>
      <x:c r="F966" s="19" t="str">
        <x:v>堂食</x:v>
      </x:c>
      <x:c r="G966" s="19" t="str">
        <x:v>全日</x:v>
      </x:c>
      <x:c r="H966" s="19" t="str">
        <x:v>D02</x:v>
      </x:c>
      <x:c r="I966" s="19" t="str">
        <x:v>小炒黄牛肉</x:v>
      </x:c>
      <x:c r="J966" s="22" t="n">
        <x:f>XLOOKUP(H966,'菜品主数据'!$A$5:$A$24,'菜品主数据'!$D$5:$D$24,0)</x:f>
        <x:v>49</x:v>
      </x:c>
      <x:c r="K966" s="31" t="n">
        <x:v>25</x:v>
      </x:c>
      <x:c r="L966" s="35" t="n">
        <x:f>J966*K966</x:f>
        <x:v>1225</x:v>
      </x:c>
      <x:c r="M966" s="36" t="n">
        <x:v>0</x:v>
      </x:c>
      <x:c r="N966" s="35" t="n">
        <x:f>L966*M966</x:f>
        <x:v>0</x:v>
      </x:c>
      <x:c r="O966" s="37" t="n">
        <x:v>0</x:v>
      </x:c>
      <x:c r="P966" s="35" t="n">
        <x:f>L966*O966</x:f>
        <x:v>0</x:v>
      </x:c>
      <x:c r="Q966" s="35" t="n">
        <x:v>0</x:v>
      </x:c>
      <x:c r="R966" s="35" t="n">
        <x:f>K966*Q966</x:f>
        <x:v>0</x:v>
      </x:c>
      <x:c r="S966" s="35" t="n">
        <x:f>XLOOKUP(H966,'菜品主数据'!$A$5:$A$24,'菜品主数据'!$G$5:$G$24,0)</x:f>
        <x:v>17.577</x:v>
      </x:c>
      <x:c r="T966" s="35" t="n">
        <x:f>K966*S966</x:f>
        <x:v>439.42500000000007</x:v>
      </x:c>
      <x:c r="U966" s="35" t="n">
        <x:f>L966-N966-P966-R966-T966</x:f>
        <x:v>785.5749999999999</x:v>
      </x:c>
      <x:c r="V966" s="21" t="n">
        <x:f>IFERROR(U966/L966,0)</x:f>
        <x:v>0.6412857142857142</x:v>
      </x:c>
    </x:row>
    <x:row r="967">
      <x:c r="A967" s="19" t="str">
        <x:v>SALE-00963</x:v>
      </x:c>
      <x:c r="B967" s="34" t="n">
        <x:v>46213.5</x:v>
      </x:c>
      <x:c r="C967" s="19" t="str">
        <x:v>周五</x:v>
      </x:c>
      <x:c r="D967" s="19" t="str">
        <x:v>S04</x:v>
      </x:c>
      <x:c r="E967" s="19" t="str">
        <x:v>金街美地店</x:v>
      </x:c>
      <x:c r="F967" s="19" t="str">
        <x:v>堂食</x:v>
      </x:c>
      <x:c r="G967" s="19" t="str">
        <x:v>全日</x:v>
      </x:c>
      <x:c r="H967" s="19" t="str">
        <x:v>D03</x:v>
      </x:c>
      <x:c r="I967" s="19" t="str">
        <x:v>香醋炒蛋</x:v>
      </x:c>
      <x:c r="J967" s="22" t="n">
        <x:f>XLOOKUP(H967,'菜品主数据'!$A$5:$A$24,'菜品主数据'!$D$5:$D$24,0)</x:f>
        <x:v>14.9</x:v>
      </x:c>
      <x:c r="K967" s="31" t="n">
        <x:v>40</x:v>
      </x:c>
      <x:c r="L967" s="35" t="n">
        <x:f>J967*K967</x:f>
        <x:v>596</x:v>
      </x:c>
      <x:c r="M967" s="36" t="n">
        <x:v>0</x:v>
      </x:c>
      <x:c r="N967" s="35" t="n">
        <x:f>L967*M967</x:f>
        <x:v>0</x:v>
      </x:c>
      <x:c r="O967" s="37" t="n">
        <x:v>0</x:v>
      </x:c>
      <x:c r="P967" s="35" t="n">
        <x:f>L967*O967</x:f>
        <x:v>0</x:v>
      </x:c>
      <x:c r="Q967" s="35" t="n">
        <x:v>0</x:v>
      </x:c>
      <x:c r="R967" s="35" t="n">
        <x:f>K967*Q967</x:f>
        <x:v>0</x:v>
      </x:c>
      <x:c r="S967" s="35" t="n">
        <x:f>XLOOKUP(H967,'菜品主数据'!$A$5:$A$24,'菜品主数据'!$G$5:$G$24,0)</x:f>
        <x:v>3.7459999999999996</x:v>
      </x:c>
      <x:c r="T967" s="35" t="n">
        <x:f>K967*S967</x:f>
        <x:v>149.83999999999997</x:v>
      </x:c>
      <x:c r="U967" s="35" t="n">
        <x:f>L967-N967-P967-R967-T967</x:f>
        <x:v>446.16</x:v>
      </x:c>
      <x:c r="V967" s="21" t="n">
        <x:f>IFERROR(U967/L967,0)</x:f>
        <x:v>0.7485906040268456</x:v>
      </x:c>
    </x:row>
    <x:row r="968">
      <x:c r="A968" s="19" t="str">
        <x:v>SALE-00964</x:v>
      </x:c>
      <x:c r="B968" s="34" t="n">
        <x:v>46213.5</x:v>
      </x:c>
      <x:c r="C968" s="19" t="str">
        <x:v>周五</x:v>
      </x:c>
      <x:c r="D968" s="19" t="str">
        <x:v>S04</x:v>
      </x:c>
      <x:c r="E968" s="19" t="str">
        <x:v>金街美地店</x:v>
      </x:c>
      <x:c r="F968" s="19" t="str">
        <x:v>堂食</x:v>
      </x:c>
      <x:c r="G968" s="19" t="str">
        <x:v>全日</x:v>
      </x:c>
      <x:c r="H968" s="19" t="str">
        <x:v>D04</x:v>
      </x:c>
      <x:c r="I968" s="19" t="str">
        <x:v>酸包菜炒粉皮</x:v>
      </x:c>
      <x:c r="J968" s="22" t="n">
        <x:f>XLOOKUP(H968,'菜品主数据'!$A$5:$A$24,'菜品主数据'!$D$5:$D$24,0)</x:f>
        <x:v>16</x:v>
      </x:c>
      <x:c r="K968" s="31" t="n">
        <x:v>33</x:v>
      </x:c>
      <x:c r="L968" s="35" t="n">
        <x:f>J968*K968</x:f>
        <x:v>528</x:v>
      </x:c>
      <x:c r="M968" s="36" t="n">
        <x:v>0</x:v>
      </x:c>
      <x:c r="N968" s="35" t="n">
        <x:f>L968*M968</x:f>
        <x:v>0</x:v>
      </x:c>
      <x:c r="O968" s="37" t="n">
        <x:v>0</x:v>
      </x:c>
      <x:c r="P968" s="35" t="n">
        <x:f>L968*O968</x:f>
        <x:v>0</x:v>
      </x:c>
      <x:c r="Q968" s="35" t="n">
        <x:v>0</x:v>
      </x:c>
      <x:c r="R968" s="35" t="n">
        <x:f>K968*Q968</x:f>
        <x:v>0</x:v>
      </x:c>
      <x:c r="S968" s="35" t="n">
        <x:f>XLOOKUP(H968,'菜品主数据'!$A$5:$A$24,'菜品主数据'!$G$5:$G$24,0)</x:f>
        <x:v>3.978</x:v>
      </x:c>
      <x:c r="T968" s="35" t="n">
        <x:f>K968*S968</x:f>
        <x:v>131.274</x:v>
      </x:c>
      <x:c r="U968" s="35" t="n">
        <x:f>L968-N968-P968-R968-T968</x:f>
        <x:v>396.726</x:v>
      </x:c>
      <x:c r="V968" s="21" t="n">
        <x:f>IFERROR(U968/L968,0)</x:f>
        <x:v>0.751375</x:v>
      </x:c>
    </x:row>
    <x:row r="969">
      <x:c r="A969" s="19" t="str">
        <x:v>SALE-00965</x:v>
      </x:c>
      <x:c r="B969" s="34" t="n">
        <x:v>46213.5</x:v>
      </x:c>
      <x:c r="C969" s="19" t="str">
        <x:v>周五</x:v>
      </x:c>
      <x:c r="D969" s="19" t="str">
        <x:v>S04</x:v>
      </x:c>
      <x:c r="E969" s="19" t="str">
        <x:v>金街美地店</x:v>
      </x:c>
      <x:c r="F969" s="19" t="str">
        <x:v>堂食</x:v>
      </x:c>
      <x:c r="G969" s="19" t="str">
        <x:v>全日</x:v>
      </x:c>
      <x:c r="H969" s="19" t="str">
        <x:v>D05</x:v>
      </x:c>
      <x:c r="I969" s="19" t="str">
        <x:v>麻婆豆腐</x:v>
      </x:c>
      <x:c r="J969" s="22" t="n">
        <x:f>XLOOKUP(H969,'菜品主数据'!$A$5:$A$24,'菜品主数据'!$D$5:$D$24,0)</x:f>
        <x:v>9.9</x:v>
      </x:c>
      <x:c r="K969" s="31" t="n">
        <x:v>49</x:v>
      </x:c>
      <x:c r="L969" s="35" t="n">
        <x:f>J969*K969</x:f>
        <x:v>485.1</x:v>
      </x:c>
      <x:c r="M969" s="36" t="n">
        <x:v>0</x:v>
      </x:c>
      <x:c r="N969" s="35" t="n">
        <x:f>L969*M969</x:f>
        <x:v>0</x:v>
      </x:c>
      <x:c r="O969" s="37" t="n">
        <x:v>0</x:v>
      </x:c>
      <x:c r="P969" s="35" t="n">
        <x:f>L969*O969</x:f>
        <x:v>0</x:v>
      </x:c>
      <x:c r="Q969" s="35" t="n">
        <x:v>0</x:v>
      </x:c>
      <x:c r="R969" s="35" t="n">
        <x:f>K969*Q969</x:f>
        <x:v>0</x:v>
      </x:c>
      <x:c r="S969" s="35" t="n">
        <x:f>XLOOKUP(H969,'菜品主数据'!$A$5:$A$24,'菜品主数据'!$G$5:$G$24,0)</x:f>
        <x:v>5.367000000000001</x:v>
      </x:c>
      <x:c r="T969" s="35" t="n">
        <x:f>K969*S969</x:f>
        <x:v>262.98300000000006</x:v>
      </x:c>
      <x:c r="U969" s="35" t="n">
        <x:f>L969-N969-P969-R969-T969</x:f>
        <x:v>222.11699999999996</x:v>
      </x:c>
      <x:c r="V969" s="21" t="n">
        <x:f>IFERROR(U969/L969,0)</x:f>
        <x:v>0.4578787878787878</x:v>
      </x:c>
    </x:row>
    <x:row r="970">
      <x:c r="A970" s="19" t="str">
        <x:v>SALE-00966</x:v>
      </x:c>
      <x:c r="B970" s="34" t="n">
        <x:v>46213.5</x:v>
      </x:c>
      <x:c r="C970" s="19" t="str">
        <x:v>周五</x:v>
      </x:c>
      <x:c r="D970" s="19" t="str">
        <x:v>S04</x:v>
      </x:c>
      <x:c r="E970" s="19" t="str">
        <x:v>金街美地店</x:v>
      </x:c>
      <x:c r="F970" s="19" t="str">
        <x:v>堂食</x:v>
      </x:c>
      <x:c r="G970" s="19" t="str">
        <x:v>全日</x:v>
      </x:c>
      <x:c r="H970" s="19" t="str">
        <x:v>D06</x:v>
      </x:c>
      <x:c r="I970" s="19" t="str">
        <x:v>剁椒鱼头</x:v>
      </x:c>
      <x:c r="J970" s="22" t="n">
        <x:f>XLOOKUP(H970,'菜品主数据'!$A$5:$A$24,'菜品主数据'!$D$5:$D$24,0)</x:f>
        <x:v>39</x:v>
      </x:c>
      <x:c r="K970" s="31" t="n">
        <x:v>12</x:v>
      </x:c>
      <x:c r="L970" s="35" t="n">
        <x:f>J970*K970</x:f>
        <x:v>468</x:v>
      </x:c>
      <x:c r="M970" s="36" t="n">
        <x:v>0</x:v>
      </x:c>
      <x:c r="N970" s="35" t="n">
        <x:f>L970*M970</x:f>
        <x:v>0</x:v>
      </x:c>
      <x:c r="O970" s="37" t="n">
        <x:v>0</x:v>
      </x:c>
      <x:c r="P970" s="35" t="n">
        <x:f>L970*O970</x:f>
        <x:v>0</x:v>
      </x:c>
      <x:c r="Q970" s="35" t="n">
        <x:v>0</x:v>
      </x:c>
      <x:c r="R970" s="35" t="n">
        <x:f>K970*Q970</x:f>
        <x:v>0</x:v>
      </x:c>
      <x:c r="S970" s="35" t="n">
        <x:f>XLOOKUP(H970,'菜品主数据'!$A$5:$A$24,'菜品主数据'!$G$5:$G$24,0)</x:f>
        <x:v>17.446</x:v>
      </x:c>
      <x:c r="T970" s="35" t="n">
        <x:f>K970*S970</x:f>
        <x:v>209.35200000000003</x:v>
      </x:c>
      <x:c r="U970" s="35" t="n">
        <x:f>L970-N970-P970-R970-T970</x:f>
        <x:v>258.64799999999997</x:v>
      </x:c>
      <x:c r="V970" s="21" t="n">
        <x:f>IFERROR(U970/L970,0)</x:f>
        <x:v>0.5526666666666666</x:v>
      </x:c>
    </x:row>
    <x:row r="971">
      <x:c r="A971" s="19" t="str">
        <x:v>SALE-00967</x:v>
      </x:c>
      <x:c r="B971" s="34" t="n">
        <x:v>46213.5</x:v>
      </x:c>
      <x:c r="C971" s="19" t="str">
        <x:v>周五</x:v>
      </x:c>
      <x:c r="D971" s="19" t="str">
        <x:v>S04</x:v>
      </x:c>
      <x:c r="E971" s="19" t="str">
        <x:v>金街美地店</x:v>
      </x:c>
      <x:c r="F971" s="19" t="str">
        <x:v>堂食</x:v>
      </x:c>
      <x:c r="G971" s="19" t="str">
        <x:v>全日</x:v>
      </x:c>
      <x:c r="H971" s="19" t="str">
        <x:v>D07</x:v>
      </x:c>
      <x:c r="I971" s="19" t="str">
        <x:v>川味回锅肉</x:v>
      </x:c>
      <x:c r="J971" s="22" t="n">
        <x:f>XLOOKUP(H971,'菜品主数据'!$A$5:$A$24,'菜品主数据'!$D$5:$D$24,0)</x:f>
        <x:v>29</x:v>
      </x:c>
      <x:c r="K971" s="31" t="n">
        <x:v>14</x:v>
      </x:c>
      <x:c r="L971" s="35" t="n">
        <x:f>J971*K971</x:f>
        <x:v>406</x:v>
      </x:c>
      <x:c r="M971" s="36" t="n">
        <x:v>0</x:v>
      </x:c>
      <x:c r="N971" s="35" t="n">
        <x:f>L971*M971</x:f>
        <x:v>0</x:v>
      </x:c>
      <x:c r="O971" s="37" t="n">
        <x:v>0</x:v>
      </x:c>
      <x:c r="P971" s="35" t="n">
        <x:f>L971*O971</x:f>
        <x:v>0</x:v>
      </x:c>
      <x:c r="Q971" s="35" t="n">
        <x:v>0</x:v>
      </x:c>
      <x:c r="R971" s="35" t="n">
        <x:f>K971*Q971</x:f>
        <x:v>0</x:v>
      </x:c>
      <x:c r="S971" s="35" t="n">
        <x:f>XLOOKUP(H971,'菜品主数据'!$A$5:$A$24,'菜品主数据'!$G$5:$G$24,0)</x:f>
        <x:v>10.231000000000002</x:v>
      </x:c>
      <x:c r="T971" s="35" t="n">
        <x:f>K971*S971</x:f>
        <x:v>143.23400000000004</x:v>
      </x:c>
      <x:c r="U971" s="35" t="n">
        <x:f>L971-N971-P971-R971-T971</x:f>
        <x:v>262.76599999999996</x:v>
      </x:c>
      <x:c r="V971" s="21" t="n">
        <x:f>IFERROR(U971/L971,0)</x:f>
        <x:v>0.647206896551724</x:v>
      </x:c>
    </x:row>
    <x:row r="972">
      <x:c r="A972" s="19" t="str">
        <x:v>SALE-00968</x:v>
      </x:c>
      <x:c r="B972" s="34" t="n">
        <x:v>46213.5</x:v>
      </x:c>
      <x:c r="C972" s="19" t="str">
        <x:v>周五</x:v>
      </x:c>
      <x:c r="D972" s="19" t="str">
        <x:v>S04</x:v>
      </x:c>
      <x:c r="E972" s="19" t="str">
        <x:v>金街美地店</x:v>
      </x:c>
      <x:c r="F972" s="19" t="str">
        <x:v>堂食</x:v>
      </x:c>
      <x:c r="G972" s="19" t="str">
        <x:v>全日</x:v>
      </x:c>
      <x:c r="H972" s="19" t="str">
        <x:v>D08</x:v>
      </x:c>
      <x:c r="I972" s="19" t="str">
        <x:v>生炒清远鸡</x:v>
      </x:c>
      <x:c r="J972" s="22" t="n">
        <x:f>XLOOKUP(H972,'菜品主数据'!$A$5:$A$24,'菜品主数据'!$D$5:$D$24,0)</x:f>
        <x:v>36</x:v>
      </x:c>
      <x:c r="K972" s="31" t="n">
        <x:v>11</x:v>
      </x:c>
      <x:c r="L972" s="35" t="n">
        <x:f>J972*K972</x:f>
        <x:v>396</x:v>
      </x:c>
      <x:c r="M972" s="36" t="n">
        <x:v>0</x:v>
      </x:c>
      <x:c r="N972" s="35" t="n">
        <x:f>L972*M972</x:f>
        <x:v>0</x:v>
      </x:c>
      <x:c r="O972" s="37" t="n">
        <x:v>0</x:v>
      </x:c>
      <x:c r="P972" s="35" t="n">
        <x:f>L972*O972</x:f>
        <x:v>0</x:v>
      </x:c>
      <x:c r="Q972" s="35" t="n">
        <x:v>0</x:v>
      </x:c>
      <x:c r="R972" s="35" t="n">
        <x:f>K972*Q972</x:f>
        <x:v>0</x:v>
      </x:c>
      <x:c r="S972" s="35" t="n">
        <x:f>XLOOKUP(H972,'菜品主数据'!$A$5:$A$24,'菜品主数据'!$G$5:$G$24,0)</x:f>
        <x:v>13.48</x:v>
      </x:c>
      <x:c r="T972" s="35" t="n">
        <x:f>K972*S972</x:f>
        <x:v>148.28</x:v>
      </x:c>
      <x:c r="U972" s="35" t="n">
        <x:f>L972-N972-P972-R972-T972</x:f>
        <x:v>247.72</x:v>
      </x:c>
      <x:c r="V972" s="21" t="n">
        <x:f>IFERROR(U972/L972,0)</x:f>
        <x:v>0.6255555555555555</x:v>
      </x:c>
    </x:row>
    <x:row r="973">
      <x:c r="A973" s="19" t="str">
        <x:v>SALE-00969</x:v>
      </x:c>
      <x:c r="B973" s="34" t="n">
        <x:v>46213.5</x:v>
      </x:c>
      <x:c r="C973" s="19" t="str">
        <x:v>周五</x:v>
      </x:c>
      <x:c r="D973" s="19" t="str">
        <x:v>S04</x:v>
      </x:c>
      <x:c r="E973" s="19" t="str">
        <x:v>金街美地店</x:v>
      </x:c>
      <x:c r="F973" s="19" t="str">
        <x:v>堂食</x:v>
      </x:c>
      <x:c r="G973" s="19" t="str">
        <x:v>全日</x:v>
      </x:c>
      <x:c r="H973" s="19" t="str">
        <x:v>D09</x:v>
      </x:c>
      <x:c r="I973" s="19" t="str">
        <x:v>炒豆干</x:v>
      </x:c>
      <x:c r="J973" s="22" t="n">
        <x:f>XLOOKUP(H973,'菜品主数据'!$A$5:$A$24,'菜品主数据'!$D$5:$D$24,0)</x:f>
        <x:v>18</x:v>
      </x:c>
      <x:c r="K973" s="31" t="n">
        <x:v>15</x:v>
      </x:c>
      <x:c r="L973" s="35" t="n">
        <x:f>J973*K973</x:f>
        <x:v>270</x:v>
      </x:c>
      <x:c r="M973" s="36" t="n">
        <x:v>0</x:v>
      </x:c>
      <x:c r="N973" s="35" t="n">
        <x:f>L973*M973</x:f>
        <x:v>0</x:v>
      </x:c>
      <x:c r="O973" s="37" t="n">
        <x:v>0</x:v>
      </x:c>
      <x:c r="P973" s="35" t="n">
        <x:f>L973*O973</x:f>
        <x:v>0</x:v>
      </x:c>
      <x:c r="Q973" s="35" t="n">
        <x:v>0</x:v>
      </x:c>
      <x:c r="R973" s="35" t="n">
        <x:f>K973*Q973</x:f>
        <x:v>0</x:v>
      </x:c>
      <x:c r="S973" s="35" t="n">
        <x:f>XLOOKUP(H973,'菜品主数据'!$A$5:$A$24,'菜品主数据'!$G$5:$G$24,0)</x:f>
        <x:v>6.613999999999999</x:v>
      </x:c>
      <x:c r="T973" s="35" t="n">
        <x:f>K973*S973</x:f>
        <x:v>99.20999999999998</x:v>
      </x:c>
      <x:c r="U973" s="35" t="n">
        <x:f>L973-N973-P973-R973-T973</x:f>
        <x:v>170.79000000000002</x:v>
      </x:c>
      <x:c r="V973" s="21" t="n">
        <x:f>IFERROR(U973/L973,0)</x:f>
        <x:v>0.6325555555555556</x:v>
      </x:c>
    </x:row>
    <x:row r="974">
      <x:c r="A974" s="19" t="str">
        <x:v>SALE-00970</x:v>
      </x:c>
      <x:c r="B974" s="34" t="n">
        <x:v>46213.5</x:v>
      </x:c>
      <x:c r="C974" s="19" t="str">
        <x:v>周五</x:v>
      </x:c>
      <x:c r="D974" s="19" t="str">
        <x:v>S04</x:v>
      </x:c>
      <x:c r="E974" s="19" t="str">
        <x:v>金街美地店</x:v>
      </x:c>
      <x:c r="F974" s="19" t="str">
        <x:v>堂食</x:v>
      </x:c>
      <x:c r="G974" s="19" t="str">
        <x:v>全日</x:v>
      </x:c>
      <x:c r="H974" s="19" t="str">
        <x:v>D10</x:v>
      </x:c>
      <x:c r="I974" s="19" t="str">
        <x:v>农家一碗香</x:v>
      </x:c>
      <x:c r="J974" s="22" t="n">
        <x:f>XLOOKUP(H974,'菜品主数据'!$A$5:$A$24,'菜品主数据'!$D$5:$D$24,0)</x:f>
        <x:v>22.9</x:v>
      </x:c>
      <x:c r="K974" s="31" t="n">
        <x:v>17</x:v>
      </x:c>
      <x:c r="L974" s="35" t="n">
        <x:f>J974*K974</x:f>
        <x:v>389.29999999999995</x:v>
      </x:c>
      <x:c r="M974" s="36" t="n">
        <x:v>0</x:v>
      </x:c>
      <x:c r="N974" s="35" t="n">
        <x:f>L974*M974</x:f>
        <x:v>0</x:v>
      </x:c>
      <x:c r="O974" s="37" t="n">
        <x:v>0</x:v>
      </x:c>
      <x:c r="P974" s="35" t="n">
        <x:f>L974*O974</x:f>
        <x:v>0</x:v>
      </x:c>
      <x:c r="Q974" s="35" t="n">
        <x:v>0</x:v>
      </x:c>
      <x:c r="R974" s="35" t="n">
        <x:f>K974*Q974</x:f>
        <x:v>0</x:v>
      </x:c>
      <x:c r="S974" s="35" t="n">
        <x:f>XLOOKUP(H974,'菜品主数据'!$A$5:$A$24,'菜品主数据'!$G$5:$G$24,0)</x:f>
        <x:v>9.770200000000003</x:v>
      </x:c>
      <x:c r="T974" s="35" t="n">
        <x:f>K974*S974</x:f>
        <x:v>166.09340000000003</x:v>
      </x:c>
      <x:c r="U974" s="35" t="n">
        <x:f>L974-N974-P974-R974-T974</x:f>
        <x:v>223.20659999999992</x:v>
      </x:c>
      <x:c r="V974" s="21" t="n">
        <x:f>IFERROR(U974/L974,0)</x:f>
        <x:v>0.5733537117903929</x:v>
      </x:c>
    </x:row>
    <x:row r="975">
      <x:c r="A975" s="19" t="str">
        <x:v>SALE-00971</x:v>
      </x:c>
      <x:c r="B975" s="34" t="n">
        <x:v>46213.5</x:v>
      </x:c>
      <x:c r="C975" s="19" t="str">
        <x:v>周五</x:v>
      </x:c>
      <x:c r="D975" s="19" t="str">
        <x:v>S04</x:v>
      </x:c>
      <x:c r="E975" s="19" t="str">
        <x:v>金街美地店</x:v>
      </x:c>
      <x:c r="F975" s="19" t="str">
        <x:v>堂食</x:v>
      </x:c>
      <x:c r="G975" s="19" t="str">
        <x:v>全日</x:v>
      </x:c>
      <x:c r="H975" s="19" t="str">
        <x:v>D11</x:v>
      </x:c>
      <x:c r="I975" s="19" t="str">
        <x:v>香辣爆肥肠</x:v>
      </x:c>
      <x:c r="J975" s="22" t="n">
        <x:f>XLOOKUP(H975,'菜品主数据'!$A$5:$A$24,'菜品主数据'!$D$5:$D$24,0)</x:f>
        <x:v>39</x:v>
      </x:c>
      <x:c r="K975" s="31" t="n">
        <x:v>7</x:v>
      </x:c>
      <x:c r="L975" s="35" t="n">
        <x:f>J975*K975</x:f>
        <x:v>273</x:v>
      </x:c>
      <x:c r="M975" s="36" t="n">
        <x:v>0</x:v>
      </x:c>
      <x:c r="N975" s="35" t="n">
        <x:f>L975*M975</x:f>
        <x:v>0</x:v>
      </x:c>
      <x:c r="O975" s="37" t="n">
        <x:v>0</x:v>
      </x:c>
      <x:c r="P975" s="35" t="n">
        <x:f>L975*O975</x:f>
        <x:v>0</x:v>
      </x:c>
      <x:c r="Q975" s="35" t="n">
        <x:v>0</x:v>
      </x:c>
      <x:c r="R975" s="35" t="n">
        <x:f>K975*Q975</x:f>
        <x:v>0</x:v>
      </x:c>
      <x:c r="S975" s="35" t="n">
        <x:f>XLOOKUP(H975,'菜品主数据'!$A$5:$A$24,'菜品主数据'!$G$5:$G$24,0)</x:f>
        <x:v>10.397</x:v>
      </x:c>
      <x:c r="T975" s="35" t="n">
        <x:f>K975*S975</x:f>
        <x:v>72.779</x:v>
      </x:c>
      <x:c r="U975" s="35" t="n">
        <x:f>L975-N975-P975-R975-T975</x:f>
        <x:v>200.221</x:v>
      </x:c>
      <x:c r="V975" s="21" t="n">
        <x:f>IFERROR(U975/L975,0)</x:f>
        <x:v>0.7334102564102565</x:v>
      </x:c>
    </x:row>
    <x:row r="976">
      <x:c r="A976" s="19" t="str">
        <x:v>SALE-00972</x:v>
      </x:c>
      <x:c r="B976" s="34" t="n">
        <x:v>46213.5</x:v>
      </x:c>
      <x:c r="C976" s="19" t="str">
        <x:v>周五</x:v>
      </x:c>
      <x:c r="D976" s="19" t="str">
        <x:v>S04</x:v>
      </x:c>
      <x:c r="E976" s="19" t="str">
        <x:v>金街美地店</x:v>
      </x:c>
      <x:c r="F976" s="19" t="str">
        <x:v>堂食</x:v>
      </x:c>
      <x:c r="G976" s="19" t="str">
        <x:v>全日</x:v>
      </x:c>
      <x:c r="H976" s="19" t="str">
        <x:v>D12</x:v>
      </x:c>
      <x:c r="I976" s="19" t="str">
        <x:v>清蒸鲈鱼</x:v>
      </x:c>
      <x:c r="J976" s="22" t="n">
        <x:f>XLOOKUP(H976,'菜品主数据'!$A$5:$A$24,'菜品主数据'!$D$5:$D$24,0)</x:f>
        <x:v>39</x:v>
      </x:c>
      <x:c r="K976" s="31" t="n">
        <x:v>7</x:v>
      </x:c>
      <x:c r="L976" s="35" t="n">
        <x:f>J976*K976</x:f>
        <x:v>273</x:v>
      </x:c>
      <x:c r="M976" s="36" t="n">
        <x:v>0</x:v>
      </x:c>
      <x:c r="N976" s="35" t="n">
        <x:f>L976*M976</x:f>
        <x:v>0</x:v>
      </x:c>
      <x:c r="O976" s="37" t="n">
        <x:v>0</x:v>
      </x:c>
      <x:c r="P976" s="35" t="n">
        <x:f>L976*O976</x:f>
        <x:v>0</x:v>
      </x:c>
      <x:c r="Q976" s="35" t="n">
        <x:v>0</x:v>
      </x:c>
      <x:c r="R976" s="35" t="n">
        <x:f>K976*Q976</x:f>
        <x:v>0</x:v>
      </x:c>
      <x:c r="S976" s="35" t="n">
        <x:f>XLOOKUP(H976,'菜品主数据'!$A$5:$A$24,'菜品主数据'!$G$5:$G$24,0)</x:f>
        <x:v>18.874</x:v>
      </x:c>
      <x:c r="T976" s="35" t="n">
        <x:f>K976*S976</x:f>
        <x:v>132.118</x:v>
      </x:c>
      <x:c r="U976" s="35" t="n">
        <x:f>L976-N976-P976-R976-T976</x:f>
        <x:v>140.882</x:v>
      </x:c>
      <x:c r="V976" s="21" t="n">
        <x:f>IFERROR(U976/L976,0)</x:f>
        <x:v>0.516051282051282</x:v>
      </x:c>
    </x:row>
    <x:row r="977">
      <x:c r="A977" s="19" t="str">
        <x:v>SALE-00973</x:v>
      </x:c>
      <x:c r="B977" s="34" t="n">
        <x:v>46213.5</x:v>
      </x:c>
      <x:c r="C977" s="19" t="str">
        <x:v>周五</x:v>
      </x:c>
      <x:c r="D977" s="19" t="str">
        <x:v>S04</x:v>
      </x:c>
      <x:c r="E977" s="19" t="str">
        <x:v>金街美地店</x:v>
      </x:c>
      <x:c r="F977" s="19" t="str">
        <x:v>堂食</x:v>
      </x:c>
      <x:c r="G977" s="19" t="str">
        <x:v>全日</x:v>
      </x:c>
      <x:c r="H977" s="19" t="str">
        <x:v>D13</x:v>
      </x:c>
      <x:c r="I977" s="19" t="str">
        <x:v>外婆菜炒蛋</x:v>
      </x:c>
      <x:c r="J977" s="22" t="n">
        <x:f>XLOOKUP(H977,'菜品主数据'!$A$5:$A$24,'菜品主数据'!$D$5:$D$24,0)</x:f>
        <x:v>18</x:v>
      </x:c>
      <x:c r="K977" s="31" t="n">
        <x:v>15</x:v>
      </x:c>
      <x:c r="L977" s="35" t="n">
        <x:f>J977*K977</x:f>
        <x:v>270</x:v>
      </x:c>
      <x:c r="M977" s="36" t="n">
        <x:v>0</x:v>
      </x:c>
      <x:c r="N977" s="35" t="n">
        <x:f>L977*M977</x:f>
        <x:v>0</x:v>
      </x:c>
      <x:c r="O977" s="37" t="n">
        <x:v>0</x:v>
      </x:c>
      <x:c r="P977" s="35" t="n">
        <x:f>L977*O977</x:f>
        <x:v>0</x:v>
      </x:c>
      <x:c r="Q977" s="35" t="n">
        <x:v>0</x:v>
      </x:c>
      <x:c r="R977" s="35" t="n">
        <x:f>K977*Q977</x:f>
        <x:v>0</x:v>
      </x:c>
      <x:c r="S977" s="35" t="n">
        <x:f>XLOOKUP(H977,'菜品主数据'!$A$5:$A$24,'菜品主数据'!$G$5:$G$24,0)</x:f>
        <x:v>5.403999999999999</x:v>
      </x:c>
      <x:c r="T977" s="35" t="n">
        <x:f>K977*S977</x:f>
        <x:v>81.05999999999999</x:v>
      </x:c>
      <x:c r="U977" s="35" t="n">
        <x:f>L977-N977-P977-R977-T977</x:f>
        <x:v>188.94</x:v>
      </x:c>
      <x:c r="V977" s="21" t="n">
        <x:f>IFERROR(U977/L977,0)</x:f>
        <x:v>0.6997777777777777</x:v>
      </x:c>
    </x:row>
    <x:row r="978">
      <x:c r="A978" s="19" t="str">
        <x:v>SALE-00974</x:v>
      </x:c>
      <x:c r="B978" s="34" t="n">
        <x:v>46213.5</x:v>
      </x:c>
      <x:c r="C978" s="19" t="str">
        <x:v>周五</x:v>
      </x:c>
      <x:c r="D978" s="19" t="str">
        <x:v>S04</x:v>
      </x:c>
      <x:c r="E978" s="19" t="str">
        <x:v>金街美地店</x:v>
      </x:c>
      <x:c r="F978" s="19" t="str">
        <x:v>堂食</x:v>
      </x:c>
      <x:c r="G978" s="19" t="str">
        <x:v>全日</x:v>
      </x:c>
      <x:c r="H978" s="19" t="str">
        <x:v>D14</x:v>
      </x:c>
      <x:c r="I978" s="19" t="str">
        <x:v>酸辣鸡杂</x:v>
      </x:c>
      <x:c r="J978" s="22" t="n">
        <x:f>XLOOKUP(H978,'菜品主数据'!$A$5:$A$24,'菜品主数据'!$D$5:$D$24,0)</x:f>
        <x:v>28</x:v>
      </x:c>
      <x:c r="K978" s="31" t="n">
        <x:v>8</x:v>
      </x:c>
      <x:c r="L978" s="35" t="n">
        <x:f>J978*K978</x:f>
        <x:v>224</x:v>
      </x:c>
      <x:c r="M978" s="36" t="n">
        <x:v>0</x:v>
      </x:c>
      <x:c r="N978" s="35" t="n">
        <x:f>L978*M978</x:f>
        <x:v>0</x:v>
      </x:c>
      <x:c r="O978" s="37" t="n">
        <x:v>0</x:v>
      </x:c>
      <x:c r="P978" s="35" t="n">
        <x:f>L978*O978</x:f>
        <x:v>0</x:v>
      </x:c>
      <x:c r="Q978" s="35" t="n">
        <x:v>0</x:v>
      </x:c>
      <x:c r="R978" s="35" t="n">
        <x:f>K978*Q978</x:f>
        <x:v>0</x:v>
      </x:c>
      <x:c r="S978" s="35" t="n">
        <x:f>XLOOKUP(H978,'菜品主数据'!$A$5:$A$24,'菜品主数据'!$G$5:$G$24,0)</x:f>
        <x:v>8.315000000000001</x:v>
      </x:c>
      <x:c r="T978" s="35" t="n">
        <x:f>K978*S978</x:f>
        <x:v>66.52000000000001</x:v>
      </x:c>
      <x:c r="U978" s="35" t="n">
        <x:f>L978-N978-P978-R978-T978</x:f>
        <x:v>157.48</x:v>
      </x:c>
      <x:c r="V978" s="21" t="n">
        <x:f>IFERROR(U978/L978,0)</x:f>
        <x:v>0.7030357142857142</x:v>
      </x:c>
    </x:row>
    <x:row r="979">
      <x:c r="A979" s="19" t="str">
        <x:v>SALE-00975</x:v>
      </x:c>
      <x:c r="B979" s="34" t="n">
        <x:v>46213.5</x:v>
      </x:c>
      <x:c r="C979" s="19" t="str">
        <x:v>周五</x:v>
      </x:c>
      <x:c r="D979" s="19" t="str">
        <x:v>S04</x:v>
      </x:c>
      <x:c r="E979" s="19" t="str">
        <x:v>金街美地店</x:v>
      </x:c>
      <x:c r="F979" s="19" t="str">
        <x:v>堂食</x:v>
      </x:c>
      <x:c r="G979" s="19" t="str">
        <x:v>全日</x:v>
      </x:c>
      <x:c r="H979" s="19" t="str">
        <x:v>D15</x:v>
      </x:c>
      <x:c r="I979" s="19" t="str">
        <x:v>湘西土匪猪肝</x:v>
      </x:c>
      <x:c r="J979" s="22" t="n">
        <x:f>XLOOKUP(H979,'菜品主数据'!$A$5:$A$24,'菜品主数据'!$D$5:$D$24,0)</x:f>
        <x:v>26</x:v>
      </x:c>
      <x:c r="K979" s="31" t="n">
        <x:v>8</x:v>
      </x:c>
      <x:c r="L979" s="35" t="n">
        <x:f>J979*K979</x:f>
        <x:v>208</x:v>
      </x:c>
      <x:c r="M979" s="36" t="n">
        <x:v>0</x:v>
      </x:c>
      <x:c r="N979" s="35" t="n">
        <x:f>L979*M979</x:f>
        <x:v>0</x:v>
      </x:c>
      <x:c r="O979" s="37" t="n">
        <x:v>0</x:v>
      </x:c>
      <x:c r="P979" s="35" t="n">
        <x:f>L979*O979</x:f>
        <x:v>0</x:v>
      </x:c>
      <x:c r="Q979" s="35" t="n">
        <x:v>0</x:v>
      </x:c>
      <x:c r="R979" s="35" t="n">
        <x:f>K979*Q979</x:f>
        <x:v>0</x:v>
      </x:c>
      <x:c r="S979" s="35" t="n">
        <x:f>XLOOKUP(H979,'菜品主数据'!$A$5:$A$24,'菜品主数据'!$G$5:$G$24,0)</x:f>
        <x:v>6.3759999999999994</x:v>
      </x:c>
      <x:c r="T979" s="35" t="n">
        <x:f>K979*S979</x:f>
        <x:v>51.007999999999996</x:v>
      </x:c>
      <x:c r="U979" s="35" t="n">
        <x:f>L979-N979-P979-R979-T979</x:f>
        <x:v>156.99200000000002</x:v>
      </x:c>
      <x:c r="V979" s="21" t="n">
        <x:f>IFERROR(U979/L979,0)</x:f>
        <x:v>0.7547692307692309</x:v>
      </x:c>
    </x:row>
    <x:row r="980">
      <x:c r="A980" s="19" t="str">
        <x:v>SALE-00976</x:v>
      </x:c>
      <x:c r="B980" s="34" t="n">
        <x:v>46213.5</x:v>
      </x:c>
      <x:c r="C980" s="19" t="str">
        <x:v>周五</x:v>
      </x:c>
      <x:c r="D980" s="19" t="str">
        <x:v>S04</x:v>
      </x:c>
      <x:c r="E980" s="19" t="str">
        <x:v>金街美地店</x:v>
      </x:c>
      <x:c r="F980" s="19" t="str">
        <x:v>堂食</x:v>
      </x:c>
      <x:c r="G980" s="19" t="str">
        <x:v>全日</x:v>
      </x:c>
      <x:c r="H980" s="19" t="str">
        <x:v>D16</x:v>
      </x:c>
      <x:c r="I980" s="19" t="str">
        <x:v>小豆角炒五花</x:v>
      </x:c>
      <x:c r="J980" s="22" t="n">
        <x:f>XLOOKUP(H980,'菜品主数据'!$A$5:$A$24,'菜品主数据'!$D$5:$D$24,0)</x:f>
        <x:v>25</x:v>
      </x:c>
      <x:c r="K980" s="31" t="n">
        <x:v>8</x:v>
      </x:c>
      <x:c r="L980" s="35" t="n">
        <x:f>J980*K980</x:f>
        <x:v>200</x:v>
      </x:c>
      <x:c r="M980" s="36" t="n">
        <x:v>0</x:v>
      </x:c>
      <x:c r="N980" s="35" t="n">
        <x:f>L980*M980</x:f>
        <x:v>0</x:v>
      </x:c>
      <x:c r="O980" s="37" t="n">
        <x:v>0</x:v>
      </x:c>
      <x:c r="P980" s="35" t="n">
        <x:f>L980*O980</x:f>
        <x:v>0</x:v>
      </x:c>
      <x:c r="Q980" s="35" t="n">
        <x:v>0</x:v>
      </x:c>
      <x:c r="R980" s="35" t="n">
        <x:f>K980*Q980</x:f>
        <x:v>0</x:v>
      </x:c>
      <x:c r="S980" s="35" t="n">
        <x:f>XLOOKUP(H980,'菜品主数据'!$A$5:$A$24,'菜品主数据'!$G$5:$G$24,0)</x:f>
        <x:v>8.184</x:v>
      </x:c>
      <x:c r="T980" s="35" t="n">
        <x:f>K980*S980</x:f>
        <x:v>65.472</x:v>
      </x:c>
      <x:c r="U980" s="35" t="n">
        <x:f>L980-N980-P980-R980-T980</x:f>
        <x:v>134.52800000000002</x:v>
      </x:c>
      <x:c r="V980" s="21" t="n">
        <x:f>IFERROR(U980/L980,0)</x:f>
        <x:v>0.6726400000000001</x:v>
      </x:c>
    </x:row>
    <x:row r="981">
      <x:c r="A981" s="19" t="str">
        <x:v>SALE-00977</x:v>
      </x:c>
      <x:c r="B981" s="34" t="n">
        <x:v>46213.5</x:v>
      </x:c>
      <x:c r="C981" s="19" t="str">
        <x:v>周五</x:v>
      </x:c>
      <x:c r="D981" s="19" t="str">
        <x:v>S04</x:v>
      </x:c>
      <x:c r="E981" s="19" t="str">
        <x:v>金街美地店</x:v>
      </x:c>
      <x:c r="F981" s="19" t="str">
        <x:v>堂食</x:v>
      </x:c>
      <x:c r="G981" s="19" t="str">
        <x:v>全日</x:v>
      </x:c>
      <x:c r="H981" s="19" t="str">
        <x:v>D17</x:v>
      </x:c>
      <x:c r="I981" s="19" t="str">
        <x:v>蒜蓉粉丝虾</x:v>
      </x:c>
      <x:c r="J981" s="22" t="n">
        <x:f>XLOOKUP(H981,'菜品主数据'!$A$5:$A$24,'菜品主数据'!$D$5:$D$24,0)</x:f>
        <x:v>36</x:v>
      </x:c>
      <x:c r="K981" s="31" t="n">
        <x:v>5</x:v>
      </x:c>
      <x:c r="L981" s="35" t="n">
        <x:f>J981*K981</x:f>
        <x:v>180</x:v>
      </x:c>
      <x:c r="M981" s="36" t="n">
        <x:v>0</x:v>
      </x:c>
      <x:c r="N981" s="35" t="n">
        <x:f>L981*M981</x:f>
        <x:v>0</x:v>
      </x:c>
      <x:c r="O981" s="37" t="n">
        <x:v>0</x:v>
      </x:c>
      <x:c r="P981" s="35" t="n">
        <x:f>L981*O981</x:f>
        <x:v>0</x:v>
      </x:c>
      <x:c r="Q981" s="35" t="n">
        <x:v>0</x:v>
      </x:c>
      <x:c r="R981" s="35" t="n">
        <x:f>K981*Q981</x:f>
        <x:v>0</x:v>
      </x:c>
      <x:c r="S981" s="35" t="n">
        <x:f>XLOOKUP(H981,'菜品主数据'!$A$5:$A$24,'菜品主数据'!$G$5:$G$24,0)</x:f>
        <x:v>13.594</x:v>
      </x:c>
      <x:c r="T981" s="35" t="n">
        <x:f>K981*S981</x:f>
        <x:v>67.97</x:v>
      </x:c>
      <x:c r="U981" s="35" t="n">
        <x:f>L981-N981-P981-R981-T981</x:f>
        <x:v>112.03</x:v>
      </x:c>
      <x:c r="V981" s="21" t="n">
        <x:f>IFERROR(U981/L981,0)</x:f>
        <x:v>0.6223888888888889</x:v>
      </x:c>
    </x:row>
    <x:row r="982">
      <x:c r="A982" s="19" t="str">
        <x:v>SALE-00978</x:v>
      </x:c>
      <x:c r="B982" s="34" t="n">
        <x:v>46213.5</x:v>
      </x:c>
      <x:c r="C982" s="19" t="str">
        <x:v>周五</x:v>
      </x:c>
      <x:c r="D982" s="19" t="str">
        <x:v>S04</x:v>
      </x:c>
      <x:c r="E982" s="19" t="str">
        <x:v>金街美地店</x:v>
      </x:c>
      <x:c r="F982" s="19" t="str">
        <x:v>堂食</x:v>
      </x:c>
      <x:c r="G982" s="19" t="str">
        <x:v>全日</x:v>
      </x:c>
      <x:c r="H982" s="19" t="str">
        <x:v>D18</x:v>
      </x:c>
      <x:c r="I982" s="19" t="str">
        <x:v>青椒炒油麦菜</x:v>
      </x:c>
      <x:c r="J982" s="22" t="n">
        <x:f>XLOOKUP(H982,'菜品主数据'!$A$5:$A$24,'菜品主数据'!$D$5:$D$24,0)</x:f>
        <x:v>18</x:v>
      </x:c>
      <x:c r="K982" s="31" t="n">
        <x:v>8</x:v>
      </x:c>
      <x:c r="L982" s="35" t="n">
        <x:f>J982*K982</x:f>
        <x:v>144</x:v>
      </x:c>
      <x:c r="M982" s="36" t="n">
        <x:v>0</x:v>
      </x:c>
      <x:c r="N982" s="35" t="n">
        <x:f>L982*M982</x:f>
        <x:v>0</x:v>
      </x:c>
      <x:c r="O982" s="37" t="n">
        <x:v>0</x:v>
      </x:c>
      <x:c r="P982" s="35" t="n">
        <x:f>L982*O982</x:f>
        <x:v>0</x:v>
      </x:c>
      <x:c r="Q982" s="35" t="n">
        <x:v>0</x:v>
      </x:c>
      <x:c r="R982" s="35" t="n">
        <x:f>K982*Q982</x:f>
        <x:v>0</x:v>
      </x:c>
      <x:c r="S982" s="35" t="n">
        <x:f>XLOOKUP(H982,'菜品主数据'!$A$5:$A$24,'菜品主数据'!$G$5:$G$24,0)</x:f>
        <x:v>3.1759999999999993</x:v>
      </x:c>
      <x:c r="T982" s="35" t="n">
        <x:f>K982*S982</x:f>
        <x:v>25.407999999999994</x:v>
      </x:c>
      <x:c r="U982" s="35" t="n">
        <x:f>L982-N982-P982-R982-T982</x:f>
        <x:v>118.59200000000001</x:v>
      </x:c>
      <x:c r="V982" s="21" t="n">
        <x:f>IFERROR(U982/L982,0)</x:f>
        <x:v>0.8235555555555556</x:v>
      </x:c>
    </x:row>
    <x:row r="983">
      <x:c r="A983" s="19" t="str">
        <x:v>SALE-00979</x:v>
      </x:c>
      <x:c r="B983" s="34" t="n">
        <x:v>46213.5</x:v>
      </x:c>
      <x:c r="C983" s="19" t="str">
        <x:v>周五</x:v>
      </x:c>
      <x:c r="D983" s="19" t="str">
        <x:v>S04</x:v>
      </x:c>
      <x:c r="E983" s="19" t="str">
        <x:v>金街美地店</x:v>
      </x:c>
      <x:c r="F983" s="19" t="str">
        <x:v>堂食</x:v>
      </x:c>
      <x:c r="G983" s="19" t="str">
        <x:v>全日</x:v>
      </x:c>
      <x:c r="H983" s="19" t="str">
        <x:v>D19</x:v>
      </x:c>
      <x:c r="I983" s="19" t="str">
        <x:v>酸萝卜炒鸡杂</x:v>
      </x:c>
      <x:c r="J983" s="22" t="n">
        <x:f>XLOOKUP(H983,'菜品主数据'!$A$5:$A$24,'菜品主数据'!$D$5:$D$24,0)</x:f>
        <x:v>25</x:v>
      </x:c>
      <x:c r="K983" s="31" t="n">
        <x:v>7</x:v>
      </x:c>
      <x:c r="L983" s="35" t="n">
        <x:f>J983*K983</x:f>
        <x:v>175</x:v>
      </x:c>
      <x:c r="M983" s="36" t="n">
        <x:v>0</x:v>
      </x:c>
      <x:c r="N983" s="35" t="n">
        <x:f>L983*M983</x:f>
        <x:v>0</x:v>
      </x:c>
      <x:c r="O983" s="37" t="n">
        <x:v>0</x:v>
      </x:c>
      <x:c r="P983" s="35" t="n">
        <x:f>L983*O983</x:f>
        <x:v>0</x:v>
      </x:c>
      <x:c r="Q983" s="35" t="n">
        <x:v>0</x:v>
      </x:c>
      <x:c r="R983" s="35" t="n">
        <x:f>K983*Q983</x:f>
        <x:v>0</x:v>
      </x:c>
      <x:c r="S983" s="35" t="n">
        <x:f>XLOOKUP(H983,'菜品主数据'!$A$5:$A$24,'菜品主数据'!$G$5:$G$24,0)</x:f>
        <x:v>7.9399999999999995</x:v>
      </x:c>
      <x:c r="T983" s="35" t="n">
        <x:f>K983*S983</x:f>
        <x:v>55.58</x:v>
      </x:c>
      <x:c r="U983" s="35" t="n">
        <x:f>L983-N983-P983-R983-T983</x:f>
        <x:v>119.42</x:v>
      </x:c>
      <x:c r="V983" s="21" t="n">
        <x:f>IFERROR(U983/L983,0)</x:f>
        <x:v>0.6824</x:v>
      </x:c>
    </x:row>
    <x:row r="984">
      <x:c r="A984" s="19" t="str">
        <x:v>SALE-00980</x:v>
      </x:c>
      <x:c r="B984" s="34" t="n">
        <x:v>46213.5</x:v>
      </x:c>
      <x:c r="C984" s="19" t="str">
        <x:v>周五</x:v>
      </x:c>
      <x:c r="D984" s="19" t="str">
        <x:v>S04</x:v>
      </x:c>
      <x:c r="E984" s="19" t="str">
        <x:v>金街美地店</x:v>
      </x:c>
      <x:c r="F984" s="19" t="str">
        <x:v>堂食</x:v>
      </x:c>
      <x:c r="G984" s="19" t="str">
        <x:v>全日</x:v>
      </x:c>
      <x:c r="H984" s="19" t="str">
        <x:v>D20</x:v>
      </x:c>
      <x:c r="I984" s="19" t="str">
        <x:v>雪菜肉末青豆</x:v>
      </x:c>
      <x:c r="J984" s="22" t="n">
        <x:f>XLOOKUP(H984,'菜品主数据'!$A$5:$A$24,'菜品主数据'!$D$5:$D$24,0)</x:f>
        <x:v>18</x:v>
      </x:c>
      <x:c r="K984" s="31" t="n">
        <x:v>9</x:v>
      </x:c>
      <x:c r="L984" s="35" t="n">
        <x:f>J984*K984</x:f>
        <x:v>162</x:v>
      </x:c>
      <x:c r="M984" s="36" t="n">
        <x:v>0</x:v>
      </x:c>
      <x:c r="N984" s="35" t="n">
        <x:f>L984*M984</x:f>
        <x:v>0</x:v>
      </x:c>
      <x:c r="O984" s="37" t="n">
        <x:v>0</x:v>
      </x:c>
      <x:c r="P984" s="35" t="n">
        <x:f>L984*O984</x:f>
        <x:v>0</x:v>
      </x:c>
      <x:c r="Q984" s="35" t="n">
        <x:v>0</x:v>
      </x:c>
      <x:c r="R984" s="35" t="n">
        <x:f>K984*Q984</x:f>
        <x:v>0</x:v>
      </x:c>
      <x:c r="S984" s="35" t="n">
        <x:f>XLOOKUP(H984,'菜品主数据'!$A$5:$A$24,'菜品主数据'!$G$5:$G$24,0)</x:f>
        <x:v>7.303999999999999</x:v>
      </x:c>
      <x:c r="T984" s="35" t="n">
        <x:f>K984*S984</x:f>
        <x:v>65.73599999999999</x:v>
      </x:c>
      <x:c r="U984" s="35" t="n">
        <x:f>L984-N984-P984-R984-T984</x:f>
        <x:v>96.26400000000001</x:v>
      </x:c>
      <x:c r="V984" s="21" t="n">
        <x:f>IFERROR(U984/L984,0)</x:f>
        <x:v>0.5942222222222223</x:v>
      </x:c>
    </x:row>
    <x:row r="985">
      <x:c r="A985" s="19" t="str">
        <x:v>SALE-00981</x:v>
      </x:c>
      <x:c r="B985" s="34" t="n">
        <x:v>46213.5</x:v>
      </x:c>
      <x:c r="C985" s="19" t="str">
        <x:v>周五</x:v>
      </x:c>
      <x:c r="D985" s="19" t="str">
        <x:v>S04</x:v>
      </x:c>
      <x:c r="E985" s="19" t="str">
        <x:v>金街美地店</x:v>
      </x:c>
      <x:c r="F985" s="19" t="str">
        <x:v>外卖</x:v>
      </x:c>
      <x:c r="G985" s="19" t="str">
        <x:v>全日</x:v>
      </x:c>
      <x:c r="H985" s="19" t="str">
        <x:v>D01</x:v>
      </x:c>
      <x:c r="I985" s="19" t="str">
        <x:v>辣椒炒肉</x:v>
      </x:c>
      <x:c r="J985" s="22" t="n">
        <x:f>XLOOKUP(H985,'菜品主数据'!$A$5:$A$24,'菜品主数据'!$D$5:$D$24,0)</x:f>
        <x:v>29</x:v>
      </x:c>
      <x:c r="K985" s="31" t="n">
        <x:v>6</x:v>
      </x:c>
      <x:c r="L985" s="35" t="n">
        <x:f>J985*K985</x:f>
        <x:v>174</x:v>
      </x:c>
      <x:c r="M985" s="36" t="n">
        <x:v>0.08</x:v>
      </x:c>
      <x:c r="N985" s="35" t="n">
        <x:f>L985*M985</x:f>
        <x:v>13.92</x:v>
      </x:c>
      <x:c r="O985" s="37" t="n">
        <x:v>0.18</x:v>
      </x:c>
      <x:c r="P985" s="35" t="n">
        <x:f>L985*O985</x:f>
        <x:v>31.32</x:v>
      </x:c>
      <x:c r="Q985" s="35" t="n">
        <x:v>1.2</x:v>
      </x:c>
      <x:c r="R985" s="35" t="n">
        <x:f>K985*Q985</x:f>
        <x:v>7.199999999999999</x:v>
      </x:c>
      <x:c r="S985" s="35" t="n">
        <x:f>XLOOKUP(H985,'菜品主数据'!$A$5:$A$24,'菜品主数据'!$G$5:$G$24,0)</x:f>
        <x:v>8.634400000000001</x:v>
      </x:c>
      <x:c r="T985" s="35" t="n">
        <x:f>K985*S985</x:f>
        <x:v>51.80640000000001</x:v>
      </x:c>
      <x:c r="U985" s="35" t="n">
        <x:f>L985-N985-P985-R985-T985</x:f>
        <x:v>69.7536</x:v>
      </x:c>
      <x:c r="V985" s="21" t="n">
        <x:f>IFERROR(U985/L985,0)</x:f>
        <x:v>0.40088275862068967</x:v>
      </x:c>
    </x:row>
    <x:row r="986">
      <x:c r="A986" s="19" t="str">
        <x:v>SALE-00982</x:v>
      </x:c>
      <x:c r="B986" s="34" t="n">
        <x:v>46213.5</x:v>
      </x:c>
      <x:c r="C986" s="19" t="str">
        <x:v>周五</x:v>
      </x:c>
      <x:c r="D986" s="19" t="str">
        <x:v>S04</x:v>
      </x:c>
      <x:c r="E986" s="19" t="str">
        <x:v>金街美地店</x:v>
      </x:c>
      <x:c r="F986" s="19" t="str">
        <x:v>外卖</x:v>
      </x:c>
      <x:c r="G986" s="19" t="str">
        <x:v>全日</x:v>
      </x:c>
      <x:c r="H986" s="19" t="str">
        <x:v>D02</x:v>
      </x:c>
      <x:c r="I986" s="19" t="str">
        <x:v>小炒黄牛肉</x:v>
      </x:c>
      <x:c r="J986" s="22" t="n">
        <x:f>XLOOKUP(H986,'菜品主数据'!$A$5:$A$24,'菜品主数据'!$D$5:$D$24,0)</x:f>
        <x:v>49</x:v>
      </x:c>
      <x:c r="K986" s="31" t="n">
        <x:v>8</x:v>
      </x:c>
      <x:c r="L986" s="35" t="n">
        <x:f>J986*K986</x:f>
        <x:v>392</x:v>
      </x:c>
      <x:c r="M986" s="36" t="n">
        <x:v>0.08</x:v>
      </x:c>
      <x:c r="N986" s="35" t="n">
        <x:f>L986*M986</x:f>
        <x:v>31.36</x:v>
      </x:c>
      <x:c r="O986" s="37" t="n">
        <x:v>0.18</x:v>
      </x:c>
      <x:c r="P986" s="35" t="n">
        <x:f>L986*O986</x:f>
        <x:v>70.56</x:v>
      </x:c>
      <x:c r="Q986" s="35" t="n">
        <x:v>1.2</x:v>
      </x:c>
      <x:c r="R986" s="35" t="n">
        <x:f>K986*Q986</x:f>
        <x:v>9.6</x:v>
      </x:c>
      <x:c r="S986" s="35" t="n">
        <x:f>XLOOKUP(H986,'菜品主数据'!$A$5:$A$24,'菜品主数据'!$G$5:$G$24,0)</x:f>
        <x:v>17.577</x:v>
      </x:c>
      <x:c r="T986" s="35" t="n">
        <x:f>K986*S986</x:f>
        <x:v>140.616</x:v>
      </x:c>
      <x:c r="U986" s="35" t="n">
        <x:f>L986-N986-P986-R986-T986</x:f>
        <x:v>139.86399999999995</x:v>
      </x:c>
      <x:c r="V986" s="21" t="n">
        <x:f>IFERROR(U986/L986,0)</x:f>
        <x:v>0.3567959183673468</x:v>
      </x:c>
    </x:row>
    <x:row r="987">
      <x:c r="A987" s="19" t="str">
        <x:v>SALE-00983</x:v>
      </x:c>
      <x:c r="B987" s="34" t="n">
        <x:v>46213.5</x:v>
      </x:c>
      <x:c r="C987" s="19" t="str">
        <x:v>周五</x:v>
      </x:c>
      <x:c r="D987" s="19" t="str">
        <x:v>S04</x:v>
      </x:c>
      <x:c r="E987" s="19" t="str">
        <x:v>金街美地店</x:v>
      </x:c>
      <x:c r="F987" s="19" t="str">
        <x:v>外卖</x:v>
      </x:c>
      <x:c r="G987" s="19" t="str">
        <x:v>全日</x:v>
      </x:c>
      <x:c r="H987" s="19" t="str">
        <x:v>D03</x:v>
      </x:c>
      <x:c r="I987" s="19" t="str">
        <x:v>香醋炒蛋</x:v>
      </x:c>
      <x:c r="J987" s="22" t="n">
        <x:f>XLOOKUP(H987,'菜品主数据'!$A$5:$A$24,'菜品主数据'!$D$5:$D$24,0)</x:f>
        <x:v>14.9</x:v>
      </x:c>
      <x:c r="K987" s="31" t="n">
        <x:v>4</x:v>
      </x:c>
      <x:c r="L987" s="35" t="n">
        <x:f>J987*K987</x:f>
        <x:v>59.6</x:v>
      </x:c>
      <x:c r="M987" s="36" t="n">
        <x:v>0.08</x:v>
      </x:c>
      <x:c r="N987" s="35" t="n">
        <x:f>L987*M987</x:f>
        <x:v>4.768</x:v>
      </x:c>
      <x:c r="O987" s="37" t="n">
        <x:v>0.18</x:v>
      </x:c>
      <x:c r="P987" s="35" t="n">
        <x:f>L987*O987</x:f>
        <x:v>10.728</x:v>
      </x:c>
      <x:c r="Q987" s="35" t="n">
        <x:v>1.2</x:v>
      </x:c>
      <x:c r="R987" s="35" t="n">
        <x:f>K987*Q987</x:f>
        <x:v>4.8</x:v>
      </x:c>
      <x:c r="S987" s="35" t="n">
        <x:f>XLOOKUP(H987,'菜品主数据'!$A$5:$A$24,'菜品主数据'!$G$5:$G$24,0)</x:f>
        <x:v>3.7459999999999996</x:v>
      </x:c>
      <x:c r="T987" s="35" t="n">
        <x:f>K987*S987</x:f>
        <x:v>14.983999999999998</x:v>
      </x:c>
      <x:c r="U987" s="35" t="n">
        <x:f>L987-N987-P987-R987-T987</x:f>
        <x:v>24.320000000000004</x:v>
      </x:c>
      <x:c r="V987" s="21" t="n">
        <x:f>IFERROR(U987/L987,0)</x:f>
        <x:v>0.40805369127516783</x:v>
      </x:c>
    </x:row>
    <x:row r="988">
      <x:c r="A988" s="19" t="str">
        <x:v>SALE-00984</x:v>
      </x:c>
      <x:c r="B988" s="34" t="n">
        <x:v>46213.5</x:v>
      </x:c>
      <x:c r="C988" s="19" t="str">
        <x:v>周五</x:v>
      </x:c>
      <x:c r="D988" s="19" t="str">
        <x:v>S04</x:v>
      </x:c>
      <x:c r="E988" s="19" t="str">
        <x:v>金街美地店</x:v>
      </x:c>
      <x:c r="F988" s="19" t="str">
        <x:v>外卖</x:v>
      </x:c>
      <x:c r="G988" s="19" t="str">
        <x:v>全日</x:v>
      </x:c>
      <x:c r="H988" s="19" t="str">
        <x:v>D04</x:v>
      </x:c>
      <x:c r="I988" s="19" t="str">
        <x:v>酸包菜炒粉皮</x:v>
      </x:c>
      <x:c r="J988" s="22" t="n">
        <x:f>XLOOKUP(H988,'菜品主数据'!$A$5:$A$24,'菜品主数据'!$D$5:$D$24,0)</x:f>
        <x:v>16</x:v>
      </x:c>
      <x:c r="K988" s="31" t="n">
        <x:v>3</x:v>
      </x:c>
      <x:c r="L988" s="35" t="n">
        <x:f>J988*K988</x:f>
        <x:v>48</x:v>
      </x:c>
      <x:c r="M988" s="36" t="n">
        <x:v>0.08</x:v>
      </x:c>
      <x:c r="N988" s="35" t="n">
        <x:f>L988*M988</x:f>
        <x:v>3.84</x:v>
      </x:c>
      <x:c r="O988" s="37" t="n">
        <x:v>0.18</x:v>
      </x:c>
      <x:c r="P988" s="35" t="n">
        <x:f>L988*O988</x:f>
        <x:v>8.64</x:v>
      </x:c>
      <x:c r="Q988" s="35" t="n">
        <x:v>1.2</x:v>
      </x:c>
      <x:c r="R988" s="35" t="n">
        <x:f>K988*Q988</x:f>
        <x:v>3.5999999999999996</x:v>
      </x:c>
      <x:c r="S988" s="35" t="n">
        <x:f>XLOOKUP(H988,'菜品主数据'!$A$5:$A$24,'菜品主数据'!$G$5:$G$24,0)</x:f>
        <x:v>3.978</x:v>
      </x:c>
      <x:c r="T988" s="35" t="n">
        <x:f>K988*S988</x:f>
        <x:v>11.934000000000001</x:v>
      </x:c>
      <x:c r="U988" s="35" t="n">
        <x:f>L988-N988-P988-R988-T988</x:f>
        <x:v>19.985999999999994</x:v>
      </x:c>
      <x:c r="V988" s="21" t="n">
        <x:f>IFERROR(U988/L988,0)</x:f>
        <x:v>0.4163749999999999</x:v>
      </x:c>
    </x:row>
    <x:row r="989">
      <x:c r="A989" s="19" t="str">
        <x:v>SALE-00985</x:v>
      </x:c>
      <x:c r="B989" s="34" t="n">
        <x:v>46213.5</x:v>
      </x:c>
      <x:c r="C989" s="19" t="str">
        <x:v>周五</x:v>
      </x:c>
      <x:c r="D989" s="19" t="str">
        <x:v>S04</x:v>
      </x:c>
      <x:c r="E989" s="19" t="str">
        <x:v>金街美地店</x:v>
      </x:c>
      <x:c r="F989" s="19" t="str">
        <x:v>外卖</x:v>
      </x:c>
      <x:c r="G989" s="19" t="str">
        <x:v>全日</x:v>
      </x:c>
      <x:c r="H989" s="19" t="str">
        <x:v>D05</x:v>
      </x:c>
      <x:c r="I989" s="19" t="str">
        <x:v>麻婆豆腐</x:v>
      </x:c>
      <x:c r="J989" s="22" t="n">
        <x:f>XLOOKUP(H989,'菜品主数据'!$A$5:$A$24,'菜品主数据'!$D$5:$D$24,0)</x:f>
        <x:v>9.9</x:v>
      </x:c>
      <x:c r="K989" s="31" t="n">
        <x:v>5</x:v>
      </x:c>
      <x:c r="L989" s="35" t="n">
        <x:f>J989*K989</x:f>
        <x:v>49.5</x:v>
      </x:c>
      <x:c r="M989" s="36" t="n">
        <x:v>0.08</x:v>
      </x:c>
      <x:c r="N989" s="35" t="n">
        <x:f>L989*M989</x:f>
        <x:v>3.96</x:v>
      </x:c>
      <x:c r="O989" s="37" t="n">
        <x:v>0.18</x:v>
      </x:c>
      <x:c r="P989" s="35" t="n">
        <x:f>L989*O989</x:f>
        <x:v>8.91</x:v>
      </x:c>
      <x:c r="Q989" s="35" t="n">
        <x:v>1.2</x:v>
      </x:c>
      <x:c r="R989" s="35" t="n">
        <x:f>K989*Q989</x:f>
        <x:v>6</x:v>
      </x:c>
      <x:c r="S989" s="35" t="n">
        <x:f>XLOOKUP(H989,'菜品主数据'!$A$5:$A$24,'菜品主数据'!$G$5:$G$24,0)</x:f>
        <x:v>5.367000000000001</x:v>
      </x:c>
      <x:c r="T989" s="35" t="n">
        <x:f>K989*S989</x:f>
        <x:v>26.835000000000004</x:v>
      </x:c>
      <x:c r="U989" s="35" t="n">
        <x:f>L989-N989-P989-R989-T989</x:f>
        <x:v>3.794999999999991</x:v>
      </x:c>
      <x:c r="V989" s="21" t="n">
        <x:f>IFERROR(U989/L989,0)</x:f>
        <x:v>0.07666666666666648</x:v>
      </x:c>
    </x:row>
    <x:row r="990">
      <x:c r="A990" s="19" t="str">
        <x:v>SALE-00986</x:v>
      </x:c>
      <x:c r="B990" s="34" t="n">
        <x:v>46213.5</x:v>
      </x:c>
      <x:c r="C990" s="19" t="str">
        <x:v>周五</x:v>
      </x:c>
      <x:c r="D990" s="19" t="str">
        <x:v>S04</x:v>
      </x:c>
      <x:c r="E990" s="19" t="str">
        <x:v>金街美地店</x:v>
      </x:c>
      <x:c r="F990" s="19" t="str">
        <x:v>外卖</x:v>
      </x:c>
      <x:c r="G990" s="19" t="str">
        <x:v>全日</x:v>
      </x:c>
      <x:c r="H990" s="19" t="str">
        <x:v>D06</x:v>
      </x:c>
      <x:c r="I990" s="19" t="str">
        <x:v>剁椒鱼头</x:v>
      </x:c>
      <x:c r="J990" s="22" t="n">
        <x:f>XLOOKUP(H990,'菜品主数据'!$A$5:$A$24,'菜品主数据'!$D$5:$D$24,0)</x:f>
        <x:v>39</x:v>
      </x:c>
      <x:c r="K990" s="31" t="n">
        <x:v>1</x:v>
      </x:c>
      <x:c r="L990" s="35" t="n">
        <x:f>J990*K990</x:f>
        <x:v>39</x:v>
      </x:c>
      <x:c r="M990" s="36" t="n">
        <x:v>0.08</x:v>
      </x:c>
      <x:c r="N990" s="35" t="n">
        <x:f>L990*M990</x:f>
        <x:v>3.12</x:v>
      </x:c>
      <x:c r="O990" s="37" t="n">
        <x:v>0.18</x:v>
      </x:c>
      <x:c r="P990" s="35" t="n">
        <x:f>L990*O990</x:f>
        <x:v>7.02</x:v>
      </x:c>
      <x:c r="Q990" s="35" t="n">
        <x:v>1.2</x:v>
      </x:c>
      <x:c r="R990" s="35" t="n">
        <x:f>K990*Q990</x:f>
        <x:v>1.2</x:v>
      </x:c>
      <x:c r="S990" s="35" t="n">
        <x:f>XLOOKUP(H990,'菜品主数据'!$A$5:$A$24,'菜品主数据'!$G$5:$G$24,0)</x:f>
        <x:v>17.446</x:v>
      </x:c>
      <x:c r="T990" s="35" t="n">
        <x:f>K990*S990</x:f>
        <x:v>17.446</x:v>
      </x:c>
      <x:c r="U990" s="35" t="n">
        <x:f>L990-N990-P990-R990-T990</x:f>
        <x:v>10.214000000000002</x:v>
      </x:c>
      <x:c r="V990" s="21" t="n">
        <x:f>IFERROR(U990/L990,0)</x:f>
        <x:v>0.26189743589743597</x:v>
      </x:c>
    </x:row>
    <x:row r="991">
      <x:c r="A991" s="19" t="str">
        <x:v>SALE-00987</x:v>
      </x:c>
      <x:c r="B991" s="34" t="n">
        <x:v>46213.5</x:v>
      </x:c>
      <x:c r="C991" s="19" t="str">
        <x:v>周五</x:v>
      </x:c>
      <x:c r="D991" s="19" t="str">
        <x:v>S04</x:v>
      </x:c>
      <x:c r="E991" s="19" t="str">
        <x:v>金街美地店</x:v>
      </x:c>
      <x:c r="F991" s="19" t="str">
        <x:v>外卖</x:v>
      </x:c>
      <x:c r="G991" s="19" t="str">
        <x:v>全日</x:v>
      </x:c>
      <x:c r="H991" s="19" t="str">
        <x:v>D07</x:v>
      </x:c>
      <x:c r="I991" s="19" t="str">
        <x:v>川味回锅肉</x:v>
      </x:c>
      <x:c r="J991" s="22" t="n">
        <x:f>XLOOKUP(H991,'菜品主数据'!$A$5:$A$24,'菜品主数据'!$D$5:$D$24,0)</x:f>
        <x:v>29</x:v>
      </x:c>
      <x:c r="K991" s="31" t="n">
        <x:v>1</x:v>
      </x:c>
      <x:c r="L991" s="35" t="n">
        <x:f>J991*K991</x:f>
        <x:v>29</x:v>
      </x:c>
      <x:c r="M991" s="36" t="n">
        <x:v>0.08</x:v>
      </x:c>
      <x:c r="N991" s="35" t="n">
        <x:f>L991*M991</x:f>
        <x:v>2.32</x:v>
      </x:c>
      <x:c r="O991" s="37" t="n">
        <x:v>0.18</x:v>
      </x:c>
      <x:c r="P991" s="35" t="n">
        <x:f>L991*O991</x:f>
        <x:v>5.22</x:v>
      </x:c>
      <x:c r="Q991" s="35" t="n">
        <x:v>1.2</x:v>
      </x:c>
      <x:c r="R991" s="35" t="n">
        <x:f>K991*Q991</x:f>
        <x:v>1.2</x:v>
      </x:c>
      <x:c r="S991" s="35" t="n">
        <x:f>XLOOKUP(H991,'菜品主数据'!$A$5:$A$24,'菜品主数据'!$G$5:$G$24,0)</x:f>
        <x:v>10.231000000000002</x:v>
      </x:c>
      <x:c r="T991" s="35" t="n">
        <x:f>K991*S991</x:f>
        <x:v>10.231000000000002</x:v>
      </x:c>
      <x:c r="U991" s="35" t="n">
        <x:f>L991-N991-P991-R991-T991</x:f>
        <x:v>10.029</x:v>
      </x:c>
      <x:c r="V991" s="21" t="n">
        <x:f>IFERROR(U991/L991,0)</x:f>
        <x:v>0.3458275862068966</x:v>
      </x:c>
    </x:row>
    <x:row r="992">
      <x:c r="A992" s="19" t="str">
        <x:v>SALE-00988</x:v>
      </x:c>
      <x:c r="B992" s="34" t="n">
        <x:v>46213.5</x:v>
      </x:c>
      <x:c r="C992" s="19" t="str">
        <x:v>周五</x:v>
      </x:c>
      <x:c r="D992" s="19" t="str">
        <x:v>S04</x:v>
      </x:c>
      <x:c r="E992" s="19" t="str">
        <x:v>金街美地店</x:v>
      </x:c>
      <x:c r="F992" s="19" t="str">
        <x:v>外卖</x:v>
      </x:c>
      <x:c r="G992" s="19" t="str">
        <x:v>全日</x:v>
      </x:c>
      <x:c r="H992" s="19" t="str">
        <x:v>D08</x:v>
      </x:c>
      <x:c r="I992" s="19" t="str">
        <x:v>生炒清远鸡</x:v>
      </x:c>
      <x:c r="J992" s="22" t="n">
        <x:f>XLOOKUP(H992,'菜品主数据'!$A$5:$A$24,'菜品主数据'!$D$5:$D$24,0)</x:f>
        <x:v>36</x:v>
      </x:c>
      <x:c r="K992" s="31" t="n">
        <x:v>1</x:v>
      </x:c>
      <x:c r="L992" s="35" t="n">
        <x:f>J992*K992</x:f>
        <x:v>36</x:v>
      </x:c>
      <x:c r="M992" s="36" t="n">
        <x:v>0.08</x:v>
      </x:c>
      <x:c r="N992" s="35" t="n">
        <x:f>L992*M992</x:f>
        <x:v>2.88</x:v>
      </x:c>
      <x:c r="O992" s="37" t="n">
        <x:v>0.18</x:v>
      </x:c>
      <x:c r="P992" s="35" t="n">
        <x:f>L992*O992</x:f>
        <x:v>6.4799999999999995</x:v>
      </x:c>
      <x:c r="Q992" s="35" t="n">
        <x:v>1.2</x:v>
      </x:c>
      <x:c r="R992" s="35" t="n">
        <x:f>K992*Q992</x:f>
        <x:v>1.2</x:v>
      </x:c>
      <x:c r="S992" s="35" t="n">
        <x:f>XLOOKUP(H992,'菜品主数据'!$A$5:$A$24,'菜品主数据'!$G$5:$G$24,0)</x:f>
        <x:v>13.48</x:v>
      </x:c>
      <x:c r="T992" s="35" t="n">
        <x:f>K992*S992</x:f>
        <x:v>13.48</x:v>
      </x:c>
      <x:c r="U992" s="35" t="n">
        <x:f>L992-N992-P992-R992-T992</x:f>
        <x:v>11.959999999999997</x:v>
      </x:c>
      <x:c r="V992" s="21" t="n">
        <x:f>IFERROR(U992/L992,0)</x:f>
        <x:v>0.33222222222222214</x:v>
      </x:c>
    </x:row>
    <x:row r="993">
      <x:c r="A993" s="19" t="str">
        <x:v>SALE-00989</x:v>
      </x:c>
      <x:c r="B993" s="34" t="n">
        <x:v>46213.5</x:v>
      </x:c>
      <x:c r="C993" s="19" t="str">
        <x:v>周五</x:v>
      </x:c>
      <x:c r="D993" s="19" t="str">
        <x:v>S04</x:v>
      </x:c>
      <x:c r="E993" s="19" t="str">
        <x:v>金街美地店</x:v>
      </x:c>
      <x:c r="F993" s="19" t="str">
        <x:v>外卖</x:v>
      </x:c>
      <x:c r="G993" s="19" t="str">
        <x:v>全日</x:v>
      </x:c>
      <x:c r="H993" s="19" t="str">
        <x:v>D09</x:v>
      </x:c>
      <x:c r="I993" s="19" t="str">
        <x:v>炒豆干</x:v>
      </x:c>
      <x:c r="J993" s="22" t="n">
        <x:f>XLOOKUP(H993,'菜品主数据'!$A$5:$A$24,'菜品主数据'!$D$5:$D$24,0)</x:f>
        <x:v>18</x:v>
      </x:c>
      <x:c r="K993" s="31" t="n">
        <x:v>1</x:v>
      </x:c>
      <x:c r="L993" s="35" t="n">
        <x:f>J993*K993</x:f>
        <x:v>18</x:v>
      </x:c>
      <x:c r="M993" s="36" t="n">
        <x:v>0.08</x:v>
      </x:c>
      <x:c r="N993" s="35" t="n">
        <x:f>L993*M993</x:f>
        <x:v>1.44</x:v>
      </x:c>
      <x:c r="O993" s="37" t="n">
        <x:v>0.18</x:v>
      </x:c>
      <x:c r="P993" s="35" t="n">
        <x:f>L993*O993</x:f>
        <x:v>3.2399999999999998</x:v>
      </x:c>
      <x:c r="Q993" s="35" t="n">
        <x:v>1.2</x:v>
      </x:c>
      <x:c r="R993" s="35" t="n">
        <x:f>K993*Q993</x:f>
        <x:v>1.2</x:v>
      </x:c>
      <x:c r="S993" s="35" t="n">
        <x:f>XLOOKUP(H993,'菜品主数据'!$A$5:$A$24,'菜品主数据'!$G$5:$G$24,0)</x:f>
        <x:v>6.613999999999999</x:v>
      </x:c>
      <x:c r="T993" s="35" t="n">
        <x:f>K993*S993</x:f>
        <x:v>6.613999999999999</x:v>
      </x:c>
      <x:c r="U993" s="35" t="n">
        <x:f>L993-N993-P993-R993-T993</x:f>
        <x:v>5.506</x:v>
      </x:c>
      <x:c r="V993" s="21" t="n">
        <x:f>IFERROR(U993/L993,0)</x:f>
        <x:v>0.3058888888888889</x:v>
      </x:c>
    </x:row>
    <x:row r="994">
      <x:c r="A994" s="19" t="str">
        <x:v>SALE-00990</x:v>
      </x:c>
      <x:c r="B994" s="34" t="n">
        <x:v>46213.5</x:v>
      </x:c>
      <x:c r="C994" s="19" t="str">
        <x:v>周五</x:v>
      </x:c>
      <x:c r="D994" s="19" t="str">
        <x:v>S04</x:v>
      </x:c>
      <x:c r="E994" s="19" t="str">
        <x:v>金街美地店</x:v>
      </x:c>
      <x:c r="F994" s="19" t="str">
        <x:v>外卖</x:v>
      </x:c>
      <x:c r="G994" s="19" t="str">
        <x:v>全日</x:v>
      </x:c>
      <x:c r="H994" s="19" t="str">
        <x:v>D10</x:v>
      </x:c>
      <x:c r="I994" s="19" t="str">
        <x:v>农家一碗香</x:v>
      </x:c>
      <x:c r="J994" s="22" t="n">
        <x:f>XLOOKUP(H994,'菜品主数据'!$A$5:$A$24,'菜品主数据'!$D$5:$D$24,0)</x:f>
        <x:v>22.9</x:v>
      </x:c>
      <x:c r="K994" s="31" t="n">
        <x:v>2</x:v>
      </x:c>
      <x:c r="L994" s="35" t="n">
        <x:f>J994*K994</x:f>
        <x:v>45.8</x:v>
      </x:c>
      <x:c r="M994" s="36" t="n">
        <x:v>0.08</x:v>
      </x:c>
      <x:c r="N994" s="35" t="n">
        <x:f>L994*M994</x:f>
        <x:v>3.6639999999999997</x:v>
      </x:c>
      <x:c r="O994" s="37" t="n">
        <x:v>0.18</x:v>
      </x:c>
      <x:c r="P994" s="35" t="n">
        <x:f>L994*O994</x:f>
        <x:v>8.244</x:v>
      </x:c>
      <x:c r="Q994" s="35" t="n">
        <x:v>1.2</x:v>
      </x:c>
      <x:c r="R994" s="35" t="n">
        <x:f>K994*Q994</x:f>
        <x:v>2.4</x:v>
      </x:c>
      <x:c r="S994" s="35" t="n">
        <x:f>XLOOKUP(H994,'菜品主数据'!$A$5:$A$24,'菜品主数据'!$G$5:$G$24,0)</x:f>
        <x:v>9.770200000000003</x:v>
      </x:c>
      <x:c r="T994" s="35" t="n">
        <x:f>K994*S994</x:f>
        <x:v>19.540400000000005</x:v>
      </x:c>
      <x:c r="U994" s="35" t="n">
        <x:f>L994-N994-P994-R994-T994</x:f>
        <x:v>11.951599999999992</x:v>
      </x:c>
      <x:c r="V994" s="21" t="n">
        <x:f>IFERROR(U994/L994,0)</x:f>
        <x:v>0.260951965065502</x:v>
      </x:c>
    </x:row>
    <x:row r="995">
      <x:c r="A995" s="19" t="str">
        <x:v>SALE-00991</x:v>
      </x:c>
      <x:c r="B995" s="34" t="n">
        <x:v>46213.5</x:v>
      </x:c>
      <x:c r="C995" s="19" t="str">
        <x:v>周五</x:v>
      </x:c>
      <x:c r="D995" s="19" t="str">
        <x:v>S04</x:v>
      </x:c>
      <x:c r="E995" s="19" t="str">
        <x:v>金街美地店</x:v>
      </x:c>
      <x:c r="F995" s="19" t="str">
        <x:v>外卖</x:v>
      </x:c>
      <x:c r="G995" s="19" t="str">
        <x:v>全日</x:v>
      </x:c>
      <x:c r="H995" s="19" t="str">
        <x:v>D11</x:v>
      </x:c>
      <x:c r="I995" s="19" t="str">
        <x:v>香辣爆肥肠</x:v>
      </x:c>
      <x:c r="J995" s="22" t="n">
        <x:f>XLOOKUP(H995,'菜品主数据'!$A$5:$A$24,'菜品主数据'!$D$5:$D$24,0)</x:f>
        <x:v>39</x:v>
      </x:c>
      <x:c r="K995" s="31" t="n">
        <x:v>0</x:v>
      </x:c>
      <x:c r="L995" s="35" t="n">
        <x:f>J995*K995</x:f>
        <x:v>0</x:v>
      </x:c>
      <x:c r="M995" s="36" t="n">
        <x:v>0.08</x:v>
      </x:c>
      <x:c r="N995" s="35" t="n">
        <x:f>L995*M995</x:f>
        <x:v>0</x:v>
      </x:c>
      <x:c r="O995" s="37" t="n">
        <x:v>0.18</x:v>
      </x:c>
      <x:c r="P995" s="35" t="n">
        <x:f>L995*O995</x:f>
        <x:v>0</x:v>
      </x:c>
      <x:c r="Q995" s="35" t="n">
        <x:v>1.2</x:v>
      </x:c>
      <x:c r="R995" s="35" t="n">
        <x:f>K995*Q995</x:f>
        <x:v>0</x:v>
      </x:c>
      <x:c r="S995" s="35" t="n">
        <x:f>XLOOKUP(H995,'菜品主数据'!$A$5:$A$24,'菜品主数据'!$G$5:$G$24,0)</x:f>
        <x:v>10.397</x:v>
      </x:c>
      <x:c r="T995" s="35" t="n">
        <x:f>K995*S995</x:f>
        <x:v>0</x:v>
      </x:c>
      <x:c r="U995" s="35" t="n">
        <x:f>L995-N995-P995-R995-T995</x:f>
        <x:v>0</x:v>
      </x:c>
      <x:c r="V995" s="21" t="n">
        <x:f>IFERROR(U995/L995,0)</x:f>
        <x:v>0</x:v>
      </x:c>
    </x:row>
    <x:row r="996">
      <x:c r="A996" s="19" t="str">
        <x:v>SALE-00992</x:v>
      </x:c>
      <x:c r="B996" s="34" t="n">
        <x:v>46213.5</x:v>
      </x:c>
      <x:c r="C996" s="19" t="str">
        <x:v>周五</x:v>
      </x:c>
      <x:c r="D996" s="19" t="str">
        <x:v>S04</x:v>
      </x:c>
      <x:c r="E996" s="19" t="str">
        <x:v>金街美地店</x:v>
      </x:c>
      <x:c r="F996" s="19" t="str">
        <x:v>外卖</x:v>
      </x:c>
      <x:c r="G996" s="19" t="str">
        <x:v>全日</x:v>
      </x:c>
      <x:c r="H996" s="19" t="str">
        <x:v>D12</x:v>
      </x:c>
      <x:c r="I996" s="19" t="str">
        <x:v>清蒸鲈鱼</x:v>
      </x:c>
      <x:c r="J996" s="22" t="n">
        <x:f>XLOOKUP(H996,'菜品主数据'!$A$5:$A$24,'菜品主数据'!$D$5:$D$24,0)</x:f>
        <x:v>39</x:v>
      </x:c>
      <x:c r="K996" s="31" t="n">
        <x:v>0</x:v>
      </x:c>
      <x:c r="L996" s="35" t="n">
        <x:f>J996*K996</x:f>
        <x:v>0</x:v>
      </x:c>
      <x:c r="M996" s="36" t="n">
        <x:v>0.08</x:v>
      </x:c>
      <x:c r="N996" s="35" t="n">
        <x:f>L996*M996</x:f>
        <x:v>0</x:v>
      </x:c>
      <x:c r="O996" s="37" t="n">
        <x:v>0.18</x:v>
      </x:c>
      <x:c r="P996" s="35" t="n">
        <x:f>L996*O996</x:f>
        <x:v>0</x:v>
      </x:c>
      <x:c r="Q996" s="35" t="n">
        <x:v>1.2</x:v>
      </x:c>
      <x:c r="R996" s="35" t="n">
        <x:f>K996*Q996</x:f>
        <x:v>0</x:v>
      </x:c>
      <x:c r="S996" s="35" t="n">
        <x:f>XLOOKUP(H996,'菜品主数据'!$A$5:$A$24,'菜品主数据'!$G$5:$G$24,0)</x:f>
        <x:v>18.874</x:v>
      </x:c>
      <x:c r="T996" s="35" t="n">
        <x:f>K996*S996</x:f>
        <x:v>0</x:v>
      </x:c>
      <x:c r="U996" s="35" t="n">
        <x:f>L996-N996-P996-R996-T996</x:f>
        <x:v>0</x:v>
      </x:c>
      <x:c r="V996" s="21" t="n">
        <x:f>IFERROR(U996/L996,0)</x:f>
        <x:v>0</x:v>
      </x:c>
    </x:row>
    <x:row r="997">
      <x:c r="A997" s="19" t="str">
        <x:v>SALE-00993</x:v>
      </x:c>
      <x:c r="B997" s="34" t="n">
        <x:v>46213.5</x:v>
      </x:c>
      <x:c r="C997" s="19" t="str">
        <x:v>周五</x:v>
      </x:c>
      <x:c r="D997" s="19" t="str">
        <x:v>S04</x:v>
      </x:c>
      <x:c r="E997" s="19" t="str">
        <x:v>金街美地店</x:v>
      </x:c>
      <x:c r="F997" s="19" t="str">
        <x:v>外卖</x:v>
      </x:c>
      <x:c r="G997" s="19" t="str">
        <x:v>全日</x:v>
      </x:c>
      <x:c r="H997" s="19" t="str">
        <x:v>D13</x:v>
      </x:c>
      <x:c r="I997" s="19" t="str">
        <x:v>外婆菜炒蛋</x:v>
      </x:c>
      <x:c r="J997" s="22" t="n">
        <x:f>XLOOKUP(H997,'菜品主数据'!$A$5:$A$24,'菜品主数据'!$D$5:$D$24,0)</x:f>
        <x:v>18</x:v>
      </x:c>
      <x:c r="K997" s="31" t="n">
        <x:v>1</x:v>
      </x:c>
      <x:c r="L997" s="35" t="n">
        <x:f>J997*K997</x:f>
        <x:v>18</x:v>
      </x:c>
      <x:c r="M997" s="36" t="n">
        <x:v>0.08</x:v>
      </x:c>
      <x:c r="N997" s="35" t="n">
        <x:f>L997*M997</x:f>
        <x:v>1.44</x:v>
      </x:c>
      <x:c r="O997" s="37" t="n">
        <x:v>0.18</x:v>
      </x:c>
      <x:c r="P997" s="35" t="n">
        <x:f>L997*O997</x:f>
        <x:v>3.2399999999999998</x:v>
      </x:c>
      <x:c r="Q997" s="35" t="n">
        <x:v>1.2</x:v>
      </x:c>
      <x:c r="R997" s="35" t="n">
        <x:f>K997*Q997</x:f>
        <x:v>1.2</x:v>
      </x:c>
      <x:c r="S997" s="35" t="n">
        <x:f>XLOOKUP(H997,'菜品主数据'!$A$5:$A$24,'菜品主数据'!$G$5:$G$24,0)</x:f>
        <x:v>5.403999999999999</x:v>
      </x:c>
      <x:c r="T997" s="35" t="n">
        <x:f>K997*S997</x:f>
        <x:v>5.403999999999999</x:v>
      </x:c>
      <x:c r="U997" s="35" t="n">
        <x:f>L997-N997-P997-R997-T997</x:f>
        <x:v>6.716</x:v>
      </x:c>
      <x:c r="V997" s="21" t="n">
        <x:f>IFERROR(U997/L997,0)</x:f>
        <x:v>0.3731111111111111</x:v>
      </x:c>
    </x:row>
    <x:row r="998">
      <x:c r="A998" s="19" t="str">
        <x:v>SALE-00994</x:v>
      </x:c>
      <x:c r="B998" s="34" t="n">
        <x:v>46213.5</x:v>
      </x:c>
      <x:c r="C998" s="19" t="str">
        <x:v>周五</x:v>
      </x:c>
      <x:c r="D998" s="19" t="str">
        <x:v>S04</x:v>
      </x:c>
      <x:c r="E998" s="19" t="str">
        <x:v>金街美地店</x:v>
      </x:c>
      <x:c r="F998" s="19" t="str">
        <x:v>外卖</x:v>
      </x:c>
      <x:c r="G998" s="19" t="str">
        <x:v>全日</x:v>
      </x:c>
      <x:c r="H998" s="19" t="str">
        <x:v>D14</x:v>
      </x:c>
      <x:c r="I998" s="19" t="str">
        <x:v>酸辣鸡杂</x:v>
      </x:c>
      <x:c r="J998" s="22" t="n">
        <x:f>XLOOKUP(H998,'菜品主数据'!$A$5:$A$24,'菜品主数据'!$D$5:$D$24,0)</x:f>
        <x:v>28</x:v>
      </x:c>
      <x:c r="K998" s="31" t="n">
        <x:v>0</x:v>
      </x:c>
      <x:c r="L998" s="35" t="n">
        <x:f>J998*K998</x:f>
        <x:v>0</x:v>
      </x:c>
      <x:c r="M998" s="36" t="n">
        <x:v>0.08</x:v>
      </x:c>
      <x:c r="N998" s="35" t="n">
        <x:f>L998*M998</x:f>
        <x:v>0</x:v>
      </x:c>
      <x:c r="O998" s="37" t="n">
        <x:v>0.18</x:v>
      </x:c>
      <x:c r="P998" s="35" t="n">
        <x:f>L998*O998</x:f>
        <x:v>0</x:v>
      </x:c>
      <x:c r="Q998" s="35" t="n">
        <x:v>1.2</x:v>
      </x:c>
      <x:c r="R998" s="35" t="n">
        <x:f>K998*Q998</x:f>
        <x:v>0</x:v>
      </x:c>
      <x:c r="S998" s="35" t="n">
        <x:f>XLOOKUP(H998,'菜品主数据'!$A$5:$A$24,'菜品主数据'!$G$5:$G$24,0)</x:f>
        <x:v>8.315000000000001</x:v>
      </x:c>
      <x:c r="T998" s="35" t="n">
        <x:f>K998*S998</x:f>
        <x:v>0</x:v>
      </x:c>
      <x:c r="U998" s="35" t="n">
        <x:f>L998-N998-P998-R998-T998</x:f>
        <x:v>0</x:v>
      </x:c>
      <x:c r="V998" s="21" t="n">
        <x:f>IFERROR(U998/L998,0)</x:f>
        <x:v>0</x:v>
      </x:c>
    </x:row>
    <x:row r="999">
      <x:c r="A999" s="19" t="str">
        <x:v>SALE-00995</x:v>
      </x:c>
      <x:c r="B999" s="34" t="n">
        <x:v>46213.5</x:v>
      </x:c>
      <x:c r="C999" s="19" t="str">
        <x:v>周五</x:v>
      </x:c>
      <x:c r="D999" s="19" t="str">
        <x:v>S04</x:v>
      </x:c>
      <x:c r="E999" s="19" t="str">
        <x:v>金街美地店</x:v>
      </x:c>
      <x:c r="F999" s="19" t="str">
        <x:v>外卖</x:v>
      </x:c>
      <x:c r="G999" s="19" t="str">
        <x:v>全日</x:v>
      </x:c>
      <x:c r="H999" s="19" t="str">
        <x:v>D15</x:v>
      </x:c>
      <x:c r="I999" s="19" t="str">
        <x:v>湘西土匪猪肝</x:v>
      </x:c>
      <x:c r="J999" s="22" t="n">
        <x:f>XLOOKUP(H999,'菜品主数据'!$A$5:$A$24,'菜品主数据'!$D$5:$D$24,0)</x:f>
        <x:v>26</x:v>
      </x:c>
      <x:c r="K999" s="31" t="n">
        <x:v>0</x:v>
      </x:c>
      <x:c r="L999" s="35" t="n">
        <x:f>J999*K999</x:f>
        <x:v>0</x:v>
      </x:c>
      <x:c r="M999" s="36" t="n">
        <x:v>0.08</x:v>
      </x:c>
      <x:c r="N999" s="35" t="n">
        <x:f>L999*M999</x:f>
        <x:v>0</x:v>
      </x:c>
      <x:c r="O999" s="37" t="n">
        <x:v>0.18</x:v>
      </x:c>
      <x:c r="P999" s="35" t="n">
        <x:f>L999*O999</x:f>
        <x:v>0</x:v>
      </x:c>
      <x:c r="Q999" s="35" t="n">
        <x:v>1.2</x:v>
      </x:c>
      <x:c r="R999" s="35" t="n">
        <x:f>K999*Q999</x:f>
        <x:v>0</x:v>
      </x:c>
      <x:c r="S999" s="35" t="n">
        <x:f>XLOOKUP(H999,'菜品主数据'!$A$5:$A$24,'菜品主数据'!$G$5:$G$24,0)</x:f>
        <x:v>6.3759999999999994</x:v>
      </x:c>
      <x:c r="T999" s="35" t="n">
        <x:f>K999*S999</x:f>
        <x:v>0</x:v>
      </x:c>
      <x:c r="U999" s="35" t="n">
        <x:f>L999-N999-P999-R999-T999</x:f>
        <x:v>0</x:v>
      </x:c>
      <x:c r="V999" s="21" t="n">
        <x:f>IFERROR(U999/L999,0)</x:f>
        <x:v>0</x:v>
      </x:c>
    </x:row>
    <x:row r="1000">
      <x:c r="A1000" s="19" t="str">
        <x:v>SALE-00996</x:v>
      </x:c>
      <x:c r="B1000" s="34" t="n">
        <x:v>46213.5</x:v>
      </x:c>
      <x:c r="C1000" s="19" t="str">
        <x:v>周五</x:v>
      </x:c>
      <x:c r="D1000" s="19" t="str">
        <x:v>S04</x:v>
      </x:c>
      <x:c r="E1000" s="19" t="str">
        <x:v>金街美地店</x:v>
      </x:c>
      <x:c r="F1000" s="19" t="str">
        <x:v>外卖</x:v>
      </x:c>
      <x:c r="G1000" s="19" t="str">
        <x:v>全日</x:v>
      </x:c>
      <x:c r="H1000" s="19" t="str">
        <x:v>D16</x:v>
      </x:c>
      <x:c r="I1000" s="19" t="str">
        <x:v>小豆角炒五花</x:v>
      </x:c>
      <x:c r="J1000" s="22" t="n">
        <x:f>XLOOKUP(H1000,'菜品主数据'!$A$5:$A$24,'菜品主数据'!$D$5:$D$24,0)</x:f>
        <x:v>25</x:v>
      </x:c>
      <x:c r="K1000" s="31" t="n">
        <x:v>0</x:v>
      </x:c>
      <x:c r="L1000" s="35" t="n">
        <x:f>J1000*K1000</x:f>
        <x:v>0</x:v>
      </x:c>
      <x:c r="M1000" s="36" t="n">
        <x:v>0.08</x:v>
      </x:c>
      <x:c r="N1000" s="35" t="n">
        <x:f>L1000*M1000</x:f>
        <x:v>0</x:v>
      </x:c>
      <x:c r="O1000" s="37" t="n">
        <x:v>0.18</x:v>
      </x:c>
      <x:c r="P1000" s="35" t="n">
        <x:f>L1000*O1000</x:f>
        <x:v>0</x:v>
      </x:c>
      <x:c r="Q1000" s="35" t="n">
        <x:v>1.2</x:v>
      </x:c>
      <x:c r="R1000" s="35" t="n">
        <x:f>K1000*Q1000</x:f>
        <x:v>0</x:v>
      </x:c>
      <x:c r="S1000" s="35" t="n">
        <x:f>XLOOKUP(H1000,'菜品主数据'!$A$5:$A$24,'菜品主数据'!$G$5:$G$24,0)</x:f>
        <x:v>8.184</x:v>
      </x:c>
      <x:c r="T1000" s="35" t="n">
        <x:f>K1000*S1000</x:f>
        <x:v>0</x:v>
      </x:c>
      <x:c r="U1000" s="35" t="n">
        <x:f>L1000-N1000-P1000-R1000-T1000</x:f>
        <x:v>0</x:v>
      </x:c>
      <x:c r="V1000" s="21" t="n">
        <x:f>IFERROR(U1000/L1000,0)</x:f>
        <x:v>0</x:v>
      </x:c>
    </x:row>
    <x:row r="1001">
      <x:c r="A1001" s="19" t="str">
        <x:v>SALE-00997</x:v>
      </x:c>
      <x:c r="B1001" s="34" t="n">
        <x:v>46213.5</x:v>
      </x:c>
      <x:c r="C1001" s="19" t="str">
        <x:v>周五</x:v>
      </x:c>
      <x:c r="D1001" s="19" t="str">
        <x:v>S04</x:v>
      </x:c>
      <x:c r="E1001" s="19" t="str">
        <x:v>金街美地店</x:v>
      </x:c>
      <x:c r="F1001" s="19" t="str">
        <x:v>外卖</x:v>
      </x:c>
      <x:c r="G1001" s="19" t="str">
        <x:v>全日</x:v>
      </x:c>
      <x:c r="H1001" s="19" t="str">
        <x:v>D17</x:v>
      </x:c>
      <x:c r="I1001" s="19" t="str">
        <x:v>蒜蓉粉丝虾</x:v>
      </x:c>
      <x:c r="J1001" s="22" t="n">
        <x:f>XLOOKUP(H1001,'菜品主数据'!$A$5:$A$24,'菜品主数据'!$D$5:$D$24,0)</x:f>
        <x:v>36</x:v>
      </x:c>
      <x:c r="K1001" s="31" t="n">
        <x:v>0</x:v>
      </x:c>
      <x:c r="L1001" s="35" t="n">
        <x:f>J1001*K1001</x:f>
        <x:v>0</x:v>
      </x:c>
      <x:c r="M1001" s="36" t="n">
        <x:v>0.08</x:v>
      </x:c>
      <x:c r="N1001" s="35" t="n">
        <x:f>L1001*M1001</x:f>
        <x:v>0</x:v>
      </x:c>
      <x:c r="O1001" s="37" t="n">
        <x:v>0.18</x:v>
      </x:c>
      <x:c r="P1001" s="35" t="n">
        <x:f>L1001*O1001</x:f>
        <x:v>0</x:v>
      </x:c>
      <x:c r="Q1001" s="35" t="n">
        <x:v>1.2</x:v>
      </x:c>
      <x:c r="R1001" s="35" t="n">
        <x:f>K1001*Q1001</x:f>
        <x:v>0</x:v>
      </x:c>
      <x:c r="S1001" s="35" t="n">
        <x:f>XLOOKUP(H1001,'菜品主数据'!$A$5:$A$24,'菜品主数据'!$G$5:$G$24,0)</x:f>
        <x:v>13.594</x:v>
      </x:c>
      <x:c r="T1001" s="35" t="n">
        <x:f>K1001*S1001</x:f>
        <x:v>0</x:v>
      </x:c>
      <x:c r="U1001" s="35" t="n">
        <x:f>L1001-N1001-P1001-R1001-T1001</x:f>
        <x:v>0</x:v>
      </x:c>
      <x:c r="V1001" s="21" t="n">
        <x:f>IFERROR(U1001/L1001,0)</x:f>
        <x:v>0</x:v>
      </x:c>
    </x:row>
    <x:row r="1002">
      <x:c r="A1002" s="19" t="str">
        <x:v>SALE-00998</x:v>
      </x:c>
      <x:c r="B1002" s="34" t="n">
        <x:v>46213.5</x:v>
      </x:c>
      <x:c r="C1002" s="19" t="str">
        <x:v>周五</x:v>
      </x:c>
      <x:c r="D1002" s="19" t="str">
        <x:v>S04</x:v>
      </x:c>
      <x:c r="E1002" s="19" t="str">
        <x:v>金街美地店</x:v>
      </x:c>
      <x:c r="F1002" s="19" t="str">
        <x:v>外卖</x:v>
      </x:c>
      <x:c r="G1002" s="19" t="str">
        <x:v>全日</x:v>
      </x:c>
      <x:c r="H1002" s="19" t="str">
        <x:v>D18</x:v>
      </x:c>
      <x:c r="I1002" s="19" t="str">
        <x:v>青椒炒油麦菜</x:v>
      </x:c>
      <x:c r="J1002" s="22" t="n">
        <x:f>XLOOKUP(H1002,'菜品主数据'!$A$5:$A$24,'菜品主数据'!$D$5:$D$24,0)</x:f>
        <x:v>18</x:v>
      </x:c>
      <x:c r="K1002" s="31" t="n">
        <x:v>0</x:v>
      </x:c>
      <x:c r="L1002" s="35" t="n">
        <x:f>J1002*K1002</x:f>
        <x:v>0</x:v>
      </x:c>
      <x:c r="M1002" s="36" t="n">
        <x:v>0.08</x:v>
      </x:c>
      <x:c r="N1002" s="35" t="n">
        <x:f>L1002*M1002</x:f>
        <x:v>0</x:v>
      </x:c>
      <x:c r="O1002" s="37" t="n">
        <x:v>0.18</x:v>
      </x:c>
      <x:c r="P1002" s="35" t="n">
        <x:f>L1002*O1002</x:f>
        <x:v>0</x:v>
      </x:c>
      <x:c r="Q1002" s="35" t="n">
        <x:v>1.2</x:v>
      </x:c>
      <x:c r="R1002" s="35" t="n">
        <x:f>K1002*Q1002</x:f>
        <x:v>0</x:v>
      </x:c>
      <x:c r="S1002" s="35" t="n">
        <x:f>XLOOKUP(H1002,'菜品主数据'!$A$5:$A$24,'菜品主数据'!$G$5:$G$24,0)</x:f>
        <x:v>3.1759999999999993</x:v>
      </x:c>
      <x:c r="T1002" s="35" t="n">
        <x:f>K1002*S1002</x:f>
        <x:v>0</x:v>
      </x:c>
      <x:c r="U1002" s="35" t="n">
        <x:f>L1002-N1002-P1002-R1002-T1002</x:f>
        <x:v>0</x:v>
      </x:c>
      <x:c r="V1002" s="21" t="n">
        <x:f>IFERROR(U1002/L1002,0)</x:f>
        <x:v>0</x:v>
      </x:c>
    </x:row>
    <x:row r="1003">
      <x:c r="A1003" s="19" t="str">
        <x:v>SALE-00999</x:v>
      </x:c>
      <x:c r="B1003" s="34" t="n">
        <x:v>46213.5</x:v>
      </x:c>
      <x:c r="C1003" s="19" t="str">
        <x:v>周五</x:v>
      </x:c>
      <x:c r="D1003" s="19" t="str">
        <x:v>S04</x:v>
      </x:c>
      <x:c r="E1003" s="19" t="str">
        <x:v>金街美地店</x:v>
      </x:c>
      <x:c r="F1003" s="19" t="str">
        <x:v>外卖</x:v>
      </x:c>
      <x:c r="G1003" s="19" t="str">
        <x:v>全日</x:v>
      </x:c>
      <x:c r="H1003" s="19" t="str">
        <x:v>D19</x:v>
      </x:c>
      <x:c r="I1003" s="19" t="str">
        <x:v>酸萝卜炒鸡杂</x:v>
      </x:c>
      <x:c r="J1003" s="22" t="n">
        <x:f>XLOOKUP(H1003,'菜品主数据'!$A$5:$A$24,'菜品主数据'!$D$5:$D$24,0)</x:f>
        <x:v>25</x:v>
      </x:c>
      <x:c r="K1003" s="31" t="n">
        <x:v>0</x:v>
      </x:c>
      <x:c r="L1003" s="35" t="n">
        <x:f>J1003*K1003</x:f>
        <x:v>0</x:v>
      </x:c>
      <x:c r="M1003" s="36" t="n">
        <x:v>0.08</x:v>
      </x:c>
      <x:c r="N1003" s="35" t="n">
        <x:f>L1003*M1003</x:f>
        <x:v>0</x:v>
      </x:c>
      <x:c r="O1003" s="37" t="n">
        <x:v>0.18</x:v>
      </x:c>
      <x:c r="P1003" s="35" t="n">
        <x:f>L1003*O1003</x:f>
        <x:v>0</x:v>
      </x:c>
      <x:c r="Q1003" s="35" t="n">
        <x:v>1.2</x:v>
      </x:c>
      <x:c r="R1003" s="35" t="n">
        <x:f>K1003*Q1003</x:f>
        <x:v>0</x:v>
      </x:c>
      <x:c r="S1003" s="35" t="n">
        <x:f>XLOOKUP(H1003,'菜品主数据'!$A$5:$A$24,'菜品主数据'!$G$5:$G$24,0)</x:f>
        <x:v>7.9399999999999995</x:v>
      </x:c>
      <x:c r="T1003" s="35" t="n">
        <x:f>K1003*S1003</x:f>
        <x:v>0</x:v>
      </x:c>
      <x:c r="U1003" s="35" t="n">
        <x:f>L1003-N1003-P1003-R1003-T1003</x:f>
        <x:v>0</x:v>
      </x:c>
      <x:c r="V1003" s="21" t="n">
        <x:f>IFERROR(U1003/L1003,0)</x:f>
        <x:v>0</x:v>
      </x:c>
    </x:row>
    <x:row r="1004">
      <x:c r="A1004" s="19" t="str">
        <x:v>SALE-01000</x:v>
      </x:c>
      <x:c r="B1004" s="34" t="n">
        <x:v>46213.5</x:v>
      </x:c>
      <x:c r="C1004" s="19" t="str">
        <x:v>周五</x:v>
      </x:c>
      <x:c r="D1004" s="19" t="str">
        <x:v>S04</x:v>
      </x:c>
      <x:c r="E1004" s="19" t="str">
        <x:v>金街美地店</x:v>
      </x:c>
      <x:c r="F1004" s="19" t="str">
        <x:v>外卖</x:v>
      </x:c>
      <x:c r="G1004" s="19" t="str">
        <x:v>全日</x:v>
      </x:c>
      <x:c r="H1004" s="19" t="str">
        <x:v>D20</x:v>
      </x:c>
      <x:c r="I1004" s="19" t="str">
        <x:v>雪菜肉末青豆</x:v>
      </x:c>
      <x:c r="J1004" s="22" t="n">
        <x:f>XLOOKUP(H1004,'菜品主数据'!$A$5:$A$24,'菜品主数据'!$D$5:$D$24,0)</x:f>
        <x:v>18</x:v>
      </x:c>
      <x:c r="K1004" s="31" t="n">
        <x:v>0</x:v>
      </x:c>
      <x:c r="L1004" s="35" t="n">
        <x:f>J1004*K1004</x:f>
        <x:v>0</x:v>
      </x:c>
      <x:c r="M1004" s="36" t="n">
        <x:v>0.08</x:v>
      </x:c>
      <x:c r="N1004" s="35" t="n">
        <x:f>L1004*M1004</x:f>
        <x:v>0</x:v>
      </x:c>
      <x:c r="O1004" s="37" t="n">
        <x:v>0.18</x:v>
      </x:c>
      <x:c r="P1004" s="35" t="n">
        <x:f>L1004*O1004</x:f>
        <x:v>0</x:v>
      </x:c>
      <x:c r="Q1004" s="35" t="n">
        <x:v>1.2</x:v>
      </x:c>
      <x:c r="R1004" s="35" t="n">
        <x:f>K1004*Q1004</x:f>
        <x:v>0</x:v>
      </x:c>
      <x:c r="S1004" s="35" t="n">
        <x:f>XLOOKUP(H1004,'菜品主数据'!$A$5:$A$24,'菜品主数据'!$G$5:$G$24,0)</x:f>
        <x:v>7.303999999999999</x:v>
      </x:c>
      <x:c r="T1004" s="35" t="n">
        <x:f>K1004*S1004</x:f>
        <x:v>0</x:v>
      </x:c>
      <x:c r="U1004" s="35" t="n">
        <x:f>L1004-N1004-P1004-R1004-T1004</x:f>
        <x:v>0</x:v>
      </x:c>
      <x:c r="V1004" s="21" t="n">
        <x:f>IFERROR(U1004/L1004,0)</x:f>
        <x:v>0</x:v>
      </x:c>
    </x:row>
    <x:row r="1005">
      <x:c r="A1005" s="19" t="str">
        <x:v>SALE-01001</x:v>
      </x:c>
      <x:c r="B1005" s="34" t="n">
        <x:v>46214.5</x:v>
      </x:c>
      <x:c r="C1005" s="19" t="str">
        <x:v>周六</x:v>
      </x:c>
      <x:c r="D1005" s="19" t="str">
        <x:v>S04</x:v>
      </x:c>
      <x:c r="E1005" s="19" t="str">
        <x:v>金街美地店</x:v>
      </x:c>
      <x:c r="F1005" s="19" t="str">
        <x:v>堂食</x:v>
      </x:c>
      <x:c r="G1005" s="19" t="str">
        <x:v>全日</x:v>
      </x:c>
      <x:c r="H1005" s="19" t="str">
        <x:v>D01</x:v>
      </x:c>
      <x:c r="I1005" s="19" t="str">
        <x:v>辣椒炒肉</x:v>
      </x:c>
      <x:c r="J1005" s="22" t="n">
        <x:f>XLOOKUP(H1005,'菜品主数据'!$A$5:$A$24,'菜品主数据'!$D$5:$D$24,0)</x:f>
        <x:v>29</x:v>
      </x:c>
      <x:c r="K1005" s="31" t="n">
        <x:v>34</x:v>
      </x:c>
      <x:c r="L1005" s="35" t="n">
        <x:f>J1005*K1005</x:f>
        <x:v>986</x:v>
      </x:c>
      <x:c r="M1005" s="36" t="n">
        <x:v>0</x:v>
      </x:c>
      <x:c r="N1005" s="35" t="n">
        <x:f>L1005*M1005</x:f>
        <x:v>0</x:v>
      </x:c>
      <x:c r="O1005" s="37" t="n">
        <x:v>0</x:v>
      </x:c>
      <x:c r="P1005" s="35" t="n">
        <x:f>L1005*O1005</x:f>
        <x:v>0</x:v>
      </x:c>
      <x:c r="Q1005" s="35" t="n">
        <x:v>0</x:v>
      </x:c>
      <x:c r="R1005" s="35" t="n">
        <x:f>K1005*Q1005</x:f>
        <x:v>0</x:v>
      </x:c>
      <x:c r="S1005" s="35" t="n">
        <x:f>XLOOKUP(H1005,'菜品主数据'!$A$5:$A$24,'菜品主数据'!$G$5:$G$24,0)</x:f>
        <x:v>8.634400000000001</x:v>
      </x:c>
      <x:c r="T1005" s="35" t="n">
        <x:f>K1005*S1005</x:f>
        <x:v>293.56960000000004</x:v>
      </x:c>
      <x:c r="U1005" s="35" t="n">
        <x:f>L1005-N1005-P1005-R1005-T1005</x:f>
        <x:v>692.4304</x:v>
      </x:c>
      <x:c r="V1005" s="21" t="n">
        <x:f>IFERROR(U1005/L1005,0)</x:f>
        <x:v>0.7022620689655172</x:v>
      </x:c>
    </x:row>
    <x:row r="1006">
      <x:c r="A1006" s="19" t="str">
        <x:v>SALE-01002</x:v>
      </x:c>
      <x:c r="B1006" s="34" t="n">
        <x:v>46214.5</x:v>
      </x:c>
      <x:c r="C1006" s="19" t="str">
        <x:v>周六</x:v>
      </x:c>
      <x:c r="D1006" s="19" t="str">
        <x:v>S04</x:v>
      </x:c>
      <x:c r="E1006" s="19" t="str">
        <x:v>金街美地店</x:v>
      </x:c>
      <x:c r="F1006" s="19" t="str">
        <x:v>堂食</x:v>
      </x:c>
      <x:c r="G1006" s="19" t="str">
        <x:v>全日</x:v>
      </x:c>
      <x:c r="H1006" s="19" t="str">
        <x:v>D02</x:v>
      </x:c>
      <x:c r="I1006" s="19" t="str">
        <x:v>小炒黄牛肉</x:v>
      </x:c>
      <x:c r="J1006" s="22" t="n">
        <x:f>XLOOKUP(H1006,'菜品主数据'!$A$5:$A$24,'菜品主数据'!$D$5:$D$24,0)</x:f>
        <x:v>49</x:v>
      </x:c>
      <x:c r="K1006" s="31" t="n">
        <x:v>21</x:v>
      </x:c>
      <x:c r="L1006" s="35" t="n">
        <x:f>J1006*K1006</x:f>
        <x:v>1029</x:v>
      </x:c>
      <x:c r="M1006" s="36" t="n">
        <x:v>0</x:v>
      </x:c>
      <x:c r="N1006" s="35" t="n">
        <x:f>L1006*M1006</x:f>
        <x:v>0</x:v>
      </x:c>
      <x:c r="O1006" s="37" t="n">
        <x:v>0</x:v>
      </x:c>
      <x:c r="P1006" s="35" t="n">
        <x:f>L1006*O1006</x:f>
        <x:v>0</x:v>
      </x:c>
      <x:c r="Q1006" s="35" t="n">
        <x:v>0</x:v>
      </x:c>
      <x:c r="R1006" s="35" t="n">
        <x:f>K1006*Q1006</x:f>
        <x:v>0</x:v>
      </x:c>
      <x:c r="S1006" s="35" t="n">
        <x:f>XLOOKUP(H1006,'菜品主数据'!$A$5:$A$24,'菜品主数据'!$G$5:$G$24,0)</x:f>
        <x:v>17.577</x:v>
      </x:c>
      <x:c r="T1006" s="35" t="n">
        <x:f>K1006*S1006</x:f>
        <x:v>369.117</x:v>
      </x:c>
      <x:c r="U1006" s="35" t="n">
        <x:f>L1006-N1006-P1006-R1006-T1006</x:f>
        <x:v>659.883</x:v>
      </x:c>
      <x:c r="V1006" s="21" t="n">
        <x:f>IFERROR(U1006/L1006,0)</x:f>
        <x:v>0.6412857142857143</x:v>
      </x:c>
    </x:row>
    <x:row r="1007">
      <x:c r="A1007" s="19" t="str">
        <x:v>SALE-01003</x:v>
      </x:c>
      <x:c r="B1007" s="34" t="n">
        <x:v>46214.5</x:v>
      </x:c>
      <x:c r="C1007" s="19" t="str">
        <x:v>周六</x:v>
      </x:c>
      <x:c r="D1007" s="19" t="str">
        <x:v>S04</x:v>
      </x:c>
      <x:c r="E1007" s="19" t="str">
        <x:v>金街美地店</x:v>
      </x:c>
      <x:c r="F1007" s="19" t="str">
        <x:v>堂食</x:v>
      </x:c>
      <x:c r="G1007" s="19" t="str">
        <x:v>全日</x:v>
      </x:c>
      <x:c r="H1007" s="19" t="str">
        <x:v>D03</x:v>
      </x:c>
      <x:c r="I1007" s="19" t="str">
        <x:v>香醋炒蛋</x:v>
      </x:c>
      <x:c r="J1007" s="22" t="n">
        <x:f>XLOOKUP(H1007,'菜品主数据'!$A$5:$A$24,'菜品主数据'!$D$5:$D$24,0)</x:f>
        <x:v>14.9</x:v>
      </x:c>
      <x:c r="K1007" s="31" t="n">
        <x:v>28</x:v>
      </x:c>
      <x:c r="L1007" s="35" t="n">
        <x:f>J1007*K1007</x:f>
        <x:v>417.2</x:v>
      </x:c>
      <x:c r="M1007" s="36" t="n">
        <x:v>0</x:v>
      </x:c>
      <x:c r="N1007" s="35" t="n">
        <x:f>L1007*M1007</x:f>
        <x:v>0</x:v>
      </x:c>
      <x:c r="O1007" s="37" t="n">
        <x:v>0</x:v>
      </x:c>
      <x:c r="P1007" s="35" t="n">
        <x:f>L1007*O1007</x:f>
        <x:v>0</x:v>
      </x:c>
      <x:c r="Q1007" s="35" t="n">
        <x:v>0</x:v>
      </x:c>
      <x:c r="R1007" s="35" t="n">
        <x:f>K1007*Q1007</x:f>
        <x:v>0</x:v>
      </x:c>
      <x:c r="S1007" s="35" t="n">
        <x:f>XLOOKUP(H1007,'菜品主数据'!$A$5:$A$24,'菜品主数据'!$G$5:$G$24,0)</x:f>
        <x:v>3.7459999999999996</x:v>
      </x:c>
      <x:c r="T1007" s="35" t="n">
        <x:f>K1007*S1007</x:f>
        <x:v>104.88799999999999</x:v>
      </x:c>
      <x:c r="U1007" s="35" t="n">
        <x:f>L1007-N1007-P1007-R1007-T1007</x:f>
        <x:v>312.312</x:v>
      </x:c>
      <x:c r="V1007" s="21" t="n">
        <x:f>IFERROR(U1007/L1007,0)</x:f>
        <x:v>0.7485906040268457</x:v>
      </x:c>
    </x:row>
    <x:row r="1008">
      <x:c r="A1008" s="19" t="str">
        <x:v>SALE-01004</x:v>
      </x:c>
      <x:c r="B1008" s="34" t="n">
        <x:v>46214.5</x:v>
      </x:c>
      <x:c r="C1008" s="19" t="str">
        <x:v>周六</x:v>
      </x:c>
      <x:c r="D1008" s="19" t="str">
        <x:v>S04</x:v>
      </x:c>
      <x:c r="E1008" s="19" t="str">
        <x:v>金街美地店</x:v>
      </x:c>
      <x:c r="F1008" s="19" t="str">
        <x:v>堂食</x:v>
      </x:c>
      <x:c r="G1008" s="19" t="str">
        <x:v>全日</x:v>
      </x:c>
      <x:c r="H1008" s="19" t="str">
        <x:v>D04</x:v>
      </x:c>
      <x:c r="I1008" s="19" t="str">
        <x:v>酸包菜炒粉皮</x:v>
      </x:c>
      <x:c r="J1008" s="22" t="n">
        <x:f>XLOOKUP(H1008,'菜品主数据'!$A$5:$A$24,'菜品主数据'!$D$5:$D$24,0)</x:f>
        <x:v>16</x:v>
      </x:c>
      <x:c r="K1008" s="31" t="n">
        <x:v>28</x:v>
      </x:c>
      <x:c r="L1008" s="35" t="n">
        <x:f>J1008*K1008</x:f>
        <x:v>448</x:v>
      </x:c>
      <x:c r="M1008" s="36" t="n">
        <x:v>0</x:v>
      </x:c>
      <x:c r="N1008" s="35" t="n">
        <x:f>L1008*M1008</x:f>
        <x:v>0</x:v>
      </x:c>
      <x:c r="O1008" s="37" t="n">
        <x:v>0</x:v>
      </x:c>
      <x:c r="P1008" s="35" t="n">
        <x:f>L1008*O1008</x:f>
        <x:v>0</x:v>
      </x:c>
      <x:c r="Q1008" s="35" t="n">
        <x:v>0</x:v>
      </x:c>
      <x:c r="R1008" s="35" t="n">
        <x:f>K1008*Q1008</x:f>
        <x:v>0</x:v>
      </x:c>
      <x:c r="S1008" s="35" t="n">
        <x:f>XLOOKUP(H1008,'菜品主数据'!$A$5:$A$24,'菜品主数据'!$G$5:$G$24,0)</x:f>
        <x:v>3.978</x:v>
      </x:c>
      <x:c r="T1008" s="35" t="n">
        <x:f>K1008*S1008</x:f>
        <x:v>111.384</x:v>
      </x:c>
      <x:c r="U1008" s="35" t="n">
        <x:f>L1008-N1008-P1008-R1008-T1008</x:f>
        <x:v>336.616</x:v>
      </x:c>
      <x:c r="V1008" s="21" t="n">
        <x:f>IFERROR(U1008/L1008,0)</x:f>
        <x:v>0.751375</x:v>
      </x:c>
    </x:row>
    <x:row r="1009">
      <x:c r="A1009" s="19" t="str">
        <x:v>SALE-01005</x:v>
      </x:c>
      <x:c r="B1009" s="34" t="n">
        <x:v>46214.5</x:v>
      </x:c>
      <x:c r="C1009" s="19" t="str">
        <x:v>周六</x:v>
      </x:c>
      <x:c r="D1009" s="19" t="str">
        <x:v>S04</x:v>
      </x:c>
      <x:c r="E1009" s="19" t="str">
        <x:v>金街美地店</x:v>
      </x:c>
      <x:c r="F1009" s="19" t="str">
        <x:v>堂食</x:v>
      </x:c>
      <x:c r="G1009" s="19" t="str">
        <x:v>全日</x:v>
      </x:c>
      <x:c r="H1009" s="19" t="str">
        <x:v>D05</x:v>
      </x:c>
      <x:c r="I1009" s="19" t="str">
        <x:v>麻婆豆腐</x:v>
      </x:c>
      <x:c r="J1009" s="22" t="n">
        <x:f>XLOOKUP(H1009,'菜品主数据'!$A$5:$A$24,'菜品主数据'!$D$5:$D$24,0)</x:f>
        <x:v>9.9</x:v>
      </x:c>
      <x:c r="K1009" s="31" t="n">
        <x:v>39</x:v>
      </x:c>
      <x:c r="L1009" s="35" t="n">
        <x:f>J1009*K1009</x:f>
        <x:v>386.1</x:v>
      </x:c>
      <x:c r="M1009" s="36" t="n">
        <x:v>0</x:v>
      </x:c>
      <x:c r="N1009" s="35" t="n">
        <x:f>L1009*M1009</x:f>
        <x:v>0</x:v>
      </x:c>
      <x:c r="O1009" s="37" t="n">
        <x:v>0</x:v>
      </x:c>
      <x:c r="P1009" s="35" t="n">
        <x:f>L1009*O1009</x:f>
        <x:v>0</x:v>
      </x:c>
      <x:c r="Q1009" s="35" t="n">
        <x:v>0</x:v>
      </x:c>
      <x:c r="R1009" s="35" t="n">
        <x:f>K1009*Q1009</x:f>
        <x:v>0</x:v>
      </x:c>
      <x:c r="S1009" s="35" t="n">
        <x:f>XLOOKUP(H1009,'菜品主数据'!$A$5:$A$24,'菜品主数据'!$G$5:$G$24,0)</x:f>
        <x:v>5.367000000000001</x:v>
      </x:c>
      <x:c r="T1009" s="35" t="n">
        <x:f>K1009*S1009</x:f>
        <x:v>209.31300000000005</x:v>
      </x:c>
      <x:c r="U1009" s="35" t="n">
        <x:f>L1009-N1009-P1009-R1009-T1009</x:f>
        <x:v>176.78699999999998</x:v>
      </x:c>
      <x:c r="V1009" s="21" t="n">
        <x:f>IFERROR(U1009/L1009,0)</x:f>
        <x:v>0.4578787878787878</x:v>
      </x:c>
    </x:row>
    <x:row r="1010">
      <x:c r="A1010" s="19" t="str">
        <x:v>SALE-01006</x:v>
      </x:c>
      <x:c r="B1010" s="34" t="n">
        <x:v>46214.5</x:v>
      </x:c>
      <x:c r="C1010" s="19" t="str">
        <x:v>周六</x:v>
      </x:c>
      <x:c r="D1010" s="19" t="str">
        <x:v>S04</x:v>
      </x:c>
      <x:c r="E1010" s="19" t="str">
        <x:v>金街美地店</x:v>
      </x:c>
      <x:c r="F1010" s="19" t="str">
        <x:v>堂食</x:v>
      </x:c>
      <x:c r="G1010" s="19" t="str">
        <x:v>全日</x:v>
      </x:c>
      <x:c r="H1010" s="19" t="str">
        <x:v>D06</x:v>
      </x:c>
      <x:c r="I1010" s="19" t="str">
        <x:v>剁椒鱼头</x:v>
      </x:c>
      <x:c r="J1010" s="22" t="n">
        <x:f>XLOOKUP(H1010,'菜品主数据'!$A$5:$A$24,'菜品主数据'!$D$5:$D$24,0)</x:f>
        <x:v>39</x:v>
      </x:c>
      <x:c r="K1010" s="31" t="n">
        <x:v>9</x:v>
      </x:c>
      <x:c r="L1010" s="35" t="n">
        <x:f>J1010*K1010</x:f>
        <x:v>351</x:v>
      </x:c>
      <x:c r="M1010" s="36" t="n">
        <x:v>0</x:v>
      </x:c>
      <x:c r="N1010" s="35" t="n">
        <x:f>L1010*M1010</x:f>
        <x:v>0</x:v>
      </x:c>
      <x:c r="O1010" s="37" t="n">
        <x:v>0</x:v>
      </x:c>
      <x:c r="P1010" s="35" t="n">
        <x:f>L1010*O1010</x:f>
        <x:v>0</x:v>
      </x:c>
      <x:c r="Q1010" s="35" t="n">
        <x:v>0</x:v>
      </x:c>
      <x:c r="R1010" s="35" t="n">
        <x:f>K1010*Q1010</x:f>
        <x:v>0</x:v>
      </x:c>
      <x:c r="S1010" s="35" t="n">
        <x:f>XLOOKUP(H1010,'菜品主数据'!$A$5:$A$24,'菜品主数据'!$G$5:$G$24,0)</x:f>
        <x:v>17.446</x:v>
      </x:c>
      <x:c r="T1010" s="35" t="n">
        <x:f>K1010*S1010</x:f>
        <x:v>157.014</x:v>
      </x:c>
      <x:c r="U1010" s="35" t="n">
        <x:f>L1010-N1010-P1010-R1010-T1010</x:f>
        <x:v>193.986</x:v>
      </x:c>
      <x:c r="V1010" s="21" t="n">
        <x:f>IFERROR(U1010/L1010,0)</x:f>
        <x:v>0.5526666666666666</x:v>
      </x:c>
    </x:row>
    <x:row r="1011">
      <x:c r="A1011" s="19" t="str">
        <x:v>SALE-01007</x:v>
      </x:c>
      <x:c r="B1011" s="34" t="n">
        <x:v>46214.5</x:v>
      </x:c>
      <x:c r="C1011" s="19" t="str">
        <x:v>周六</x:v>
      </x:c>
      <x:c r="D1011" s="19" t="str">
        <x:v>S04</x:v>
      </x:c>
      <x:c r="E1011" s="19" t="str">
        <x:v>金街美地店</x:v>
      </x:c>
      <x:c r="F1011" s="19" t="str">
        <x:v>堂食</x:v>
      </x:c>
      <x:c r="G1011" s="19" t="str">
        <x:v>全日</x:v>
      </x:c>
      <x:c r="H1011" s="19" t="str">
        <x:v>D07</x:v>
      </x:c>
      <x:c r="I1011" s="19" t="str">
        <x:v>川味回锅肉</x:v>
      </x:c>
      <x:c r="J1011" s="22" t="n">
        <x:f>XLOOKUP(H1011,'菜品主数据'!$A$5:$A$24,'菜品主数据'!$D$5:$D$24,0)</x:f>
        <x:v>29</x:v>
      </x:c>
      <x:c r="K1011" s="31" t="n">
        <x:v>10</x:v>
      </x:c>
      <x:c r="L1011" s="35" t="n">
        <x:f>J1011*K1011</x:f>
        <x:v>290</x:v>
      </x:c>
      <x:c r="M1011" s="36" t="n">
        <x:v>0</x:v>
      </x:c>
      <x:c r="N1011" s="35" t="n">
        <x:f>L1011*M1011</x:f>
        <x:v>0</x:v>
      </x:c>
      <x:c r="O1011" s="37" t="n">
        <x:v>0</x:v>
      </x:c>
      <x:c r="P1011" s="35" t="n">
        <x:f>L1011*O1011</x:f>
        <x:v>0</x:v>
      </x:c>
      <x:c r="Q1011" s="35" t="n">
        <x:v>0</x:v>
      </x:c>
      <x:c r="R1011" s="35" t="n">
        <x:f>K1011*Q1011</x:f>
        <x:v>0</x:v>
      </x:c>
      <x:c r="S1011" s="35" t="n">
        <x:f>XLOOKUP(H1011,'菜品主数据'!$A$5:$A$24,'菜品主数据'!$G$5:$G$24,0)</x:f>
        <x:v>10.231000000000002</x:v>
      </x:c>
      <x:c r="T1011" s="35" t="n">
        <x:f>K1011*S1011</x:f>
        <x:v>102.31000000000002</x:v>
      </x:c>
      <x:c r="U1011" s="35" t="n">
        <x:f>L1011-N1011-P1011-R1011-T1011</x:f>
        <x:v>187.69</x:v>
      </x:c>
      <x:c r="V1011" s="21" t="n">
        <x:f>IFERROR(U1011/L1011,0)</x:f>
        <x:v>0.6472068965517241</x:v>
      </x:c>
    </x:row>
    <x:row r="1012">
      <x:c r="A1012" s="19" t="str">
        <x:v>SALE-01008</x:v>
      </x:c>
      <x:c r="B1012" s="34" t="n">
        <x:v>46214.5</x:v>
      </x:c>
      <x:c r="C1012" s="19" t="str">
        <x:v>周六</x:v>
      </x:c>
      <x:c r="D1012" s="19" t="str">
        <x:v>S04</x:v>
      </x:c>
      <x:c r="E1012" s="19" t="str">
        <x:v>金街美地店</x:v>
      </x:c>
      <x:c r="F1012" s="19" t="str">
        <x:v>堂食</x:v>
      </x:c>
      <x:c r="G1012" s="19" t="str">
        <x:v>全日</x:v>
      </x:c>
      <x:c r="H1012" s="19" t="str">
        <x:v>D08</x:v>
      </x:c>
      <x:c r="I1012" s="19" t="str">
        <x:v>生炒清远鸡</x:v>
      </x:c>
      <x:c r="J1012" s="22" t="n">
        <x:f>XLOOKUP(H1012,'菜品主数据'!$A$5:$A$24,'菜品主数据'!$D$5:$D$24,0)</x:f>
        <x:v>36</x:v>
      </x:c>
      <x:c r="K1012" s="31" t="n">
        <x:v>8</x:v>
      </x:c>
      <x:c r="L1012" s="35" t="n">
        <x:f>J1012*K1012</x:f>
        <x:v>288</x:v>
      </x:c>
      <x:c r="M1012" s="36" t="n">
        <x:v>0</x:v>
      </x:c>
      <x:c r="N1012" s="35" t="n">
        <x:f>L1012*M1012</x:f>
        <x:v>0</x:v>
      </x:c>
      <x:c r="O1012" s="37" t="n">
        <x:v>0</x:v>
      </x:c>
      <x:c r="P1012" s="35" t="n">
        <x:f>L1012*O1012</x:f>
        <x:v>0</x:v>
      </x:c>
      <x:c r="Q1012" s="35" t="n">
        <x:v>0</x:v>
      </x:c>
      <x:c r="R1012" s="35" t="n">
        <x:f>K1012*Q1012</x:f>
        <x:v>0</x:v>
      </x:c>
      <x:c r="S1012" s="35" t="n">
        <x:f>XLOOKUP(H1012,'菜品主数据'!$A$5:$A$24,'菜品主数据'!$G$5:$G$24,0)</x:f>
        <x:v>13.48</x:v>
      </x:c>
      <x:c r="T1012" s="35" t="n">
        <x:f>K1012*S1012</x:f>
        <x:v>107.84</x:v>
      </x:c>
      <x:c r="U1012" s="35" t="n">
        <x:f>L1012-N1012-P1012-R1012-T1012</x:f>
        <x:v>180.16</x:v>
      </x:c>
      <x:c r="V1012" s="21" t="n">
        <x:f>IFERROR(U1012/L1012,0)</x:f>
        <x:v>0.6255555555555555</x:v>
      </x:c>
    </x:row>
    <x:row r="1013">
      <x:c r="A1013" s="19" t="str">
        <x:v>SALE-01009</x:v>
      </x:c>
      <x:c r="B1013" s="34" t="n">
        <x:v>46214.5</x:v>
      </x:c>
      <x:c r="C1013" s="19" t="str">
        <x:v>周六</x:v>
      </x:c>
      <x:c r="D1013" s="19" t="str">
        <x:v>S04</x:v>
      </x:c>
      <x:c r="E1013" s="19" t="str">
        <x:v>金街美地店</x:v>
      </x:c>
      <x:c r="F1013" s="19" t="str">
        <x:v>堂食</x:v>
      </x:c>
      <x:c r="G1013" s="19" t="str">
        <x:v>全日</x:v>
      </x:c>
      <x:c r="H1013" s="19" t="str">
        <x:v>D09</x:v>
      </x:c>
      <x:c r="I1013" s="19" t="str">
        <x:v>炒豆干</x:v>
      </x:c>
      <x:c r="J1013" s="22" t="n">
        <x:f>XLOOKUP(H1013,'菜品主数据'!$A$5:$A$24,'菜品主数据'!$D$5:$D$24,0)</x:f>
        <x:v>18</x:v>
      </x:c>
      <x:c r="K1013" s="31" t="n">
        <x:v>12</x:v>
      </x:c>
      <x:c r="L1013" s="35" t="n">
        <x:f>J1013*K1013</x:f>
        <x:v>216</x:v>
      </x:c>
      <x:c r="M1013" s="36" t="n">
        <x:v>0</x:v>
      </x:c>
      <x:c r="N1013" s="35" t="n">
        <x:f>L1013*M1013</x:f>
        <x:v>0</x:v>
      </x:c>
      <x:c r="O1013" s="37" t="n">
        <x:v>0</x:v>
      </x:c>
      <x:c r="P1013" s="35" t="n">
        <x:f>L1013*O1013</x:f>
        <x:v>0</x:v>
      </x:c>
      <x:c r="Q1013" s="35" t="n">
        <x:v>0</x:v>
      </x:c>
      <x:c r="R1013" s="35" t="n">
        <x:f>K1013*Q1013</x:f>
        <x:v>0</x:v>
      </x:c>
      <x:c r="S1013" s="35" t="n">
        <x:f>XLOOKUP(H1013,'菜品主数据'!$A$5:$A$24,'菜品主数据'!$G$5:$G$24,0)</x:f>
        <x:v>6.613999999999999</x:v>
      </x:c>
      <x:c r="T1013" s="35" t="n">
        <x:f>K1013*S1013</x:f>
        <x:v>79.368</x:v>
      </x:c>
      <x:c r="U1013" s="35" t="n">
        <x:f>L1013-N1013-P1013-R1013-T1013</x:f>
        <x:v>136.632</x:v>
      </x:c>
      <x:c r="V1013" s="21" t="n">
        <x:f>IFERROR(U1013/L1013,0)</x:f>
        <x:v>0.6325555555555555</x:v>
      </x:c>
    </x:row>
    <x:row r="1014">
      <x:c r="A1014" s="19" t="str">
        <x:v>SALE-01010</x:v>
      </x:c>
      <x:c r="B1014" s="34" t="n">
        <x:v>46214.5</x:v>
      </x:c>
      <x:c r="C1014" s="19" t="str">
        <x:v>周六</x:v>
      </x:c>
      <x:c r="D1014" s="19" t="str">
        <x:v>S04</x:v>
      </x:c>
      <x:c r="E1014" s="19" t="str">
        <x:v>金街美地店</x:v>
      </x:c>
      <x:c r="F1014" s="19" t="str">
        <x:v>堂食</x:v>
      </x:c>
      <x:c r="G1014" s="19" t="str">
        <x:v>全日</x:v>
      </x:c>
      <x:c r="H1014" s="19" t="str">
        <x:v>D10</x:v>
      </x:c>
      <x:c r="I1014" s="19" t="str">
        <x:v>农家一碗香</x:v>
      </x:c>
      <x:c r="J1014" s="22" t="n">
        <x:f>XLOOKUP(H1014,'菜品主数据'!$A$5:$A$24,'菜品主数据'!$D$5:$D$24,0)</x:f>
        <x:v>22.9</x:v>
      </x:c>
      <x:c r="K1014" s="31" t="n">
        <x:v>14</x:v>
      </x:c>
      <x:c r="L1014" s="35" t="n">
        <x:f>J1014*K1014</x:f>
        <x:v>320.59999999999997</x:v>
      </x:c>
      <x:c r="M1014" s="36" t="n">
        <x:v>0</x:v>
      </x:c>
      <x:c r="N1014" s="35" t="n">
        <x:f>L1014*M1014</x:f>
        <x:v>0</x:v>
      </x:c>
      <x:c r="O1014" s="37" t="n">
        <x:v>0</x:v>
      </x:c>
      <x:c r="P1014" s="35" t="n">
        <x:f>L1014*O1014</x:f>
        <x:v>0</x:v>
      </x:c>
      <x:c r="Q1014" s="35" t="n">
        <x:v>0</x:v>
      </x:c>
      <x:c r="R1014" s="35" t="n">
        <x:f>K1014*Q1014</x:f>
        <x:v>0</x:v>
      </x:c>
      <x:c r="S1014" s="35" t="n">
        <x:f>XLOOKUP(H1014,'菜品主数据'!$A$5:$A$24,'菜品主数据'!$G$5:$G$24,0)</x:f>
        <x:v>9.770200000000003</x:v>
      </x:c>
      <x:c r="T1014" s="35" t="n">
        <x:f>K1014*S1014</x:f>
        <x:v>136.78280000000004</x:v>
      </x:c>
      <x:c r="U1014" s="35" t="n">
        <x:f>L1014-N1014-P1014-R1014-T1014</x:f>
        <x:v>183.81719999999993</x:v>
      </x:c>
      <x:c r="V1014" s="21" t="n">
        <x:f>IFERROR(U1014/L1014,0)</x:f>
        <x:v>0.5733537117903929</x:v>
      </x:c>
    </x:row>
    <x:row r="1015">
      <x:c r="A1015" s="19" t="str">
        <x:v>SALE-01011</x:v>
      </x:c>
      <x:c r="B1015" s="34" t="n">
        <x:v>46214.5</x:v>
      </x:c>
      <x:c r="C1015" s="19" t="str">
        <x:v>周六</x:v>
      </x:c>
      <x:c r="D1015" s="19" t="str">
        <x:v>S04</x:v>
      </x:c>
      <x:c r="E1015" s="19" t="str">
        <x:v>金街美地店</x:v>
      </x:c>
      <x:c r="F1015" s="19" t="str">
        <x:v>堂食</x:v>
      </x:c>
      <x:c r="G1015" s="19" t="str">
        <x:v>全日</x:v>
      </x:c>
      <x:c r="H1015" s="19" t="str">
        <x:v>D11</x:v>
      </x:c>
      <x:c r="I1015" s="19" t="str">
        <x:v>香辣爆肥肠</x:v>
      </x:c>
      <x:c r="J1015" s="22" t="n">
        <x:f>XLOOKUP(H1015,'菜品主数据'!$A$5:$A$24,'菜品主数据'!$D$5:$D$24,0)</x:f>
        <x:v>39</x:v>
      </x:c>
      <x:c r="K1015" s="31" t="n">
        <x:v>5</x:v>
      </x:c>
      <x:c r="L1015" s="35" t="n">
        <x:f>J1015*K1015</x:f>
        <x:v>195</x:v>
      </x:c>
      <x:c r="M1015" s="36" t="n">
        <x:v>0</x:v>
      </x:c>
      <x:c r="N1015" s="35" t="n">
        <x:f>L1015*M1015</x:f>
        <x:v>0</x:v>
      </x:c>
      <x:c r="O1015" s="37" t="n">
        <x:v>0</x:v>
      </x:c>
      <x:c r="P1015" s="35" t="n">
        <x:f>L1015*O1015</x:f>
        <x:v>0</x:v>
      </x:c>
      <x:c r="Q1015" s="35" t="n">
        <x:v>0</x:v>
      </x:c>
      <x:c r="R1015" s="35" t="n">
        <x:f>K1015*Q1015</x:f>
        <x:v>0</x:v>
      </x:c>
      <x:c r="S1015" s="35" t="n">
        <x:f>XLOOKUP(H1015,'菜品主数据'!$A$5:$A$24,'菜品主数据'!$G$5:$G$24,0)</x:f>
        <x:v>10.397</x:v>
      </x:c>
      <x:c r="T1015" s="35" t="n">
        <x:f>K1015*S1015</x:f>
        <x:v>51.985</x:v>
      </x:c>
      <x:c r="U1015" s="35" t="n">
        <x:f>L1015-N1015-P1015-R1015-T1015</x:f>
        <x:v>143.015</x:v>
      </x:c>
      <x:c r="V1015" s="21" t="n">
        <x:f>IFERROR(U1015/L1015,0)</x:f>
        <x:v>0.7334102564102564</x:v>
      </x:c>
    </x:row>
    <x:row r="1016">
      <x:c r="A1016" s="19" t="str">
        <x:v>SALE-01012</x:v>
      </x:c>
      <x:c r="B1016" s="34" t="n">
        <x:v>46214.5</x:v>
      </x:c>
      <x:c r="C1016" s="19" t="str">
        <x:v>周六</x:v>
      </x:c>
      <x:c r="D1016" s="19" t="str">
        <x:v>S04</x:v>
      </x:c>
      <x:c r="E1016" s="19" t="str">
        <x:v>金街美地店</x:v>
      </x:c>
      <x:c r="F1016" s="19" t="str">
        <x:v>堂食</x:v>
      </x:c>
      <x:c r="G1016" s="19" t="str">
        <x:v>全日</x:v>
      </x:c>
      <x:c r="H1016" s="19" t="str">
        <x:v>D12</x:v>
      </x:c>
      <x:c r="I1016" s="19" t="str">
        <x:v>清蒸鲈鱼</x:v>
      </x:c>
      <x:c r="J1016" s="22" t="n">
        <x:f>XLOOKUP(H1016,'菜品主数据'!$A$5:$A$24,'菜品主数据'!$D$5:$D$24,0)</x:f>
        <x:v>39</x:v>
      </x:c>
      <x:c r="K1016" s="31" t="n">
        <x:v>5</x:v>
      </x:c>
      <x:c r="L1016" s="35" t="n">
        <x:f>J1016*K1016</x:f>
        <x:v>195</x:v>
      </x:c>
      <x:c r="M1016" s="36" t="n">
        <x:v>0</x:v>
      </x:c>
      <x:c r="N1016" s="35" t="n">
        <x:f>L1016*M1016</x:f>
        <x:v>0</x:v>
      </x:c>
      <x:c r="O1016" s="37" t="n">
        <x:v>0</x:v>
      </x:c>
      <x:c r="P1016" s="35" t="n">
        <x:f>L1016*O1016</x:f>
        <x:v>0</x:v>
      </x:c>
      <x:c r="Q1016" s="35" t="n">
        <x:v>0</x:v>
      </x:c>
      <x:c r="R1016" s="35" t="n">
        <x:f>K1016*Q1016</x:f>
        <x:v>0</x:v>
      </x:c>
      <x:c r="S1016" s="35" t="n">
        <x:f>XLOOKUP(H1016,'菜品主数据'!$A$5:$A$24,'菜品主数据'!$G$5:$G$24,0)</x:f>
        <x:v>18.874</x:v>
      </x:c>
      <x:c r="T1016" s="35" t="n">
        <x:f>K1016*S1016</x:f>
        <x:v>94.36999999999999</x:v>
      </x:c>
      <x:c r="U1016" s="35" t="n">
        <x:f>L1016-N1016-P1016-R1016-T1016</x:f>
        <x:v>100.63000000000001</x:v>
      </x:c>
      <x:c r="V1016" s="21" t="n">
        <x:f>IFERROR(U1016/L1016,0)</x:f>
        <x:v>0.5160512820512821</x:v>
      </x:c>
    </x:row>
    <x:row r="1017">
      <x:c r="A1017" s="19" t="str">
        <x:v>SALE-01013</x:v>
      </x:c>
      <x:c r="B1017" s="34" t="n">
        <x:v>46214.5</x:v>
      </x:c>
      <x:c r="C1017" s="19" t="str">
        <x:v>周六</x:v>
      </x:c>
      <x:c r="D1017" s="19" t="str">
        <x:v>S04</x:v>
      </x:c>
      <x:c r="E1017" s="19" t="str">
        <x:v>金街美地店</x:v>
      </x:c>
      <x:c r="F1017" s="19" t="str">
        <x:v>堂食</x:v>
      </x:c>
      <x:c r="G1017" s="19" t="str">
        <x:v>全日</x:v>
      </x:c>
      <x:c r="H1017" s="19" t="str">
        <x:v>D13</x:v>
      </x:c>
      <x:c r="I1017" s="19" t="str">
        <x:v>外婆菜炒蛋</x:v>
      </x:c>
      <x:c r="J1017" s="22" t="n">
        <x:f>XLOOKUP(H1017,'菜品主数据'!$A$5:$A$24,'菜品主数据'!$D$5:$D$24,0)</x:f>
        <x:v>18</x:v>
      </x:c>
      <x:c r="K1017" s="31" t="n">
        <x:v>12</x:v>
      </x:c>
      <x:c r="L1017" s="35" t="n">
        <x:f>J1017*K1017</x:f>
        <x:v>216</x:v>
      </x:c>
      <x:c r="M1017" s="36" t="n">
        <x:v>0</x:v>
      </x:c>
      <x:c r="N1017" s="35" t="n">
        <x:f>L1017*M1017</x:f>
        <x:v>0</x:v>
      </x:c>
      <x:c r="O1017" s="37" t="n">
        <x:v>0</x:v>
      </x:c>
      <x:c r="P1017" s="35" t="n">
        <x:f>L1017*O1017</x:f>
        <x:v>0</x:v>
      </x:c>
      <x:c r="Q1017" s="35" t="n">
        <x:v>0</x:v>
      </x:c>
      <x:c r="R1017" s="35" t="n">
        <x:f>K1017*Q1017</x:f>
        <x:v>0</x:v>
      </x:c>
      <x:c r="S1017" s="35" t="n">
        <x:f>XLOOKUP(H1017,'菜品主数据'!$A$5:$A$24,'菜品主数据'!$G$5:$G$24,0)</x:f>
        <x:v>5.403999999999999</x:v>
      </x:c>
      <x:c r="T1017" s="35" t="n">
        <x:f>K1017*S1017</x:f>
        <x:v>64.84799999999998</x:v>
      </x:c>
      <x:c r="U1017" s="35" t="n">
        <x:f>L1017-N1017-P1017-R1017-T1017</x:f>
        <x:v>151.15200000000002</x:v>
      </x:c>
      <x:c r="V1017" s="21" t="n">
        <x:f>IFERROR(U1017/L1017,0)</x:f>
        <x:v>0.6997777777777778</x:v>
      </x:c>
    </x:row>
    <x:row r="1018">
      <x:c r="A1018" s="19" t="str">
        <x:v>SALE-01014</x:v>
      </x:c>
      <x:c r="B1018" s="34" t="n">
        <x:v>46214.5</x:v>
      </x:c>
      <x:c r="C1018" s="19" t="str">
        <x:v>周六</x:v>
      </x:c>
      <x:c r="D1018" s="19" t="str">
        <x:v>S04</x:v>
      </x:c>
      <x:c r="E1018" s="19" t="str">
        <x:v>金街美地店</x:v>
      </x:c>
      <x:c r="F1018" s="19" t="str">
        <x:v>堂食</x:v>
      </x:c>
      <x:c r="G1018" s="19" t="str">
        <x:v>全日</x:v>
      </x:c>
      <x:c r="H1018" s="19" t="str">
        <x:v>D14</x:v>
      </x:c>
      <x:c r="I1018" s="19" t="str">
        <x:v>酸辣鸡杂</x:v>
      </x:c>
      <x:c r="J1018" s="22" t="n">
        <x:f>XLOOKUP(H1018,'菜品主数据'!$A$5:$A$24,'菜品主数据'!$D$5:$D$24,0)</x:f>
        <x:v>28</x:v>
      </x:c>
      <x:c r="K1018" s="31" t="n">
        <x:v>6</x:v>
      </x:c>
      <x:c r="L1018" s="35" t="n">
        <x:f>J1018*K1018</x:f>
        <x:v>168</x:v>
      </x:c>
      <x:c r="M1018" s="36" t="n">
        <x:v>0</x:v>
      </x:c>
      <x:c r="N1018" s="35" t="n">
        <x:f>L1018*M1018</x:f>
        <x:v>0</x:v>
      </x:c>
      <x:c r="O1018" s="37" t="n">
        <x:v>0</x:v>
      </x:c>
      <x:c r="P1018" s="35" t="n">
        <x:f>L1018*O1018</x:f>
        <x:v>0</x:v>
      </x:c>
      <x:c r="Q1018" s="35" t="n">
        <x:v>0</x:v>
      </x:c>
      <x:c r="R1018" s="35" t="n">
        <x:f>K1018*Q1018</x:f>
        <x:v>0</x:v>
      </x:c>
      <x:c r="S1018" s="35" t="n">
        <x:f>XLOOKUP(H1018,'菜品主数据'!$A$5:$A$24,'菜品主数据'!$G$5:$G$24,0)</x:f>
        <x:v>8.315000000000001</x:v>
      </x:c>
      <x:c r="T1018" s="35" t="n">
        <x:f>K1018*S1018</x:f>
        <x:v>49.89000000000001</x:v>
      </x:c>
      <x:c r="U1018" s="35" t="n">
        <x:f>L1018-N1018-P1018-R1018-T1018</x:f>
        <x:v>118.10999999999999</x:v>
      </x:c>
      <x:c r="V1018" s="21" t="n">
        <x:f>IFERROR(U1018/L1018,0)</x:f>
        <x:v>0.7030357142857142</x:v>
      </x:c>
    </x:row>
    <x:row r="1019">
      <x:c r="A1019" s="19" t="str">
        <x:v>SALE-01015</x:v>
      </x:c>
      <x:c r="B1019" s="34" t="n">
        <x:v>46214.5</x:v>
      </x:c>
      <x:c r="C1019" s="19" t="str">
        <x:v>周六</x:v>
      </x:c>
      <x:c r="D1019" s="19" t="str">
        <x:v>S04</x:v>
      </x:c>
      <x:c r="E1019" s="19" t="str">
        <x:v>金街美地店</x:v>
      </x:c>
      <x:c r="F1019" s="19" t="str">
        <x:v>堂食</x:v>
      </x:c>
      <x:c r="G1019" s="19" t="str">
        <x:v>全日</x:v>
      </x:c>
      <x:c r="H1019" s="19" t="str">
        <x:v>D15</x:v>
      </x:c>
      <x:c r="I1019" s="19" t="str">
        <x:v>湘西土匪猪肝</x:v>
      </x:c>
      <x:c r="J1019" s="22" t="n">
        <x:f>XLOOKUP(H1019,'菜品主数据'!$A$5:$A$24,'菜品主数据'!$D$5:$D$24,0)</x:f>
        <x:v>26</x:v>
      </x:c>
      <x:c r="K1019" s="31" t="n">
        <x:v>6</x:v>
      </x:c>
      <x:c r="L1019" s="35" t="n">
        <x:f>J1019*K1019</x:f>
        <x:v>156</x:v>
      </x:c>
      <x:c r="M1019" s="36" t="n">
        <x:v>0</x:v>
      </x:c>
      <x:c r="N1019" s="35" t="n">
        <x:f>L1019*M1019</x:f>
        <x:v>0</x:v>
      </x:c>
      <x:c r="O1019" s="37" t="n">
        <x:v>0</x:v>
      </x:c>
      <x:c r="P1019" s="35" t="n">
        <x:f>L1019*O1019</x:f>
        <x:v>0</x:v>
      </x:c>
      <x:c r="Q1019" s="35" t="n">
        <x:v>0</x:v>
      </x:c>
      <x:c r="R1019" s="35" t="n">
        <x:f>K1019*Q1019</x:f>
        <x:v>0</x:v>
      </x:c>
      <x:c r="S1019" s="35" t="n">
        <x:f>XLOOKUP(H1019,'菜品主数据'!$A$5:$A$24,'菜品主数据'!$G$5:$G$24,0)</x:f>
        <x:v>6.3759999999999994</x:v>
      </x:c>
      <x:c r="T1019" s="35" t="n">
        <x:f>K1019*S1019</x:f>
        <x:v>38.256</x:v>
      </x:c>
      <x:c r="U1019" s="35" t="n">
        <x:f>L1019-N1019-P1019-R1019-T1019</x:f>
        <x:v>117.744</x:v>
      </x:c>
      <x:c r="V1019" s="21" t="n">
        <x:f>IFERROR(U1019/L1019,0)</x:f>
        <x:v>0.7547692307692307</x:v>
      </x:c>
    </x:row>
    <x:row r="1020">
      <x:c r="A1020" s="19" t="str">
        <x:v>SALE-01016</x:v>
      </x:c>
      <x:c r="B1020" s="34" t="n">
        <x:v>46214.5</x:v>
      </x:c>
      <x:c r="C1020" s="19" t="str">
        <x:v>周六</x:v>
      </x:c>
      <x:c r="D1020" s="19" t="str">
        <x:v>S04</x:v>
      </x:c>
      <x:c r="E1020" s="19" t="str">
        <x:v>金街美地店</x:v>
      </x:c>
      <x:c r="F1020" s="19" t="str">
        <x:v>堂食</x:v>
      </x:c>
      <x:c r="G1020" s="19" t="str">
        <x:v>全日</x:v>
      </x:c>
      <x:c r="H1020" s="19" t="str">
        <x:v>D16</x:v>
      </x:c>
      <x:c r="I1020" s="19" t="str">
        <x:v>小豆角炒五花</x:v>
      </x:c>
      <x:c r="J1020" s="22" t="n">
        <x:f>XLOOKUP(H1020,'菜品主数据'!$A$5:$A$24,'菜品主数据'!$D$5:$D$24,0)</x:f>
        <x:v>25</x:v>
      </x:c>
      <x:c r="K1020" s="31" t="n">
        <x:v>5</x:v>
      </x:c>
      <x:c r="L1020" s="35" t="n">
        <x:f>J1020*K1020</x:f>
        <x:v>125</x:v>
      </x:c>
      <x:c r="M1020" s="36" t="n">
        <x:v>0</x:v>
      </x:c>
      <x:c r="N1020" s="35" t="n">
        <x:f>L1020*M1020</x:f>
        <x:v>0</x:v>
      </x:c>
      <x:c r="O1020" s="37" t="n">
        <x:v>0</x:v>
      </x:c>
      <x:c r="P1020" s="35" t="n">
        <x:f>L1020*O1020</x:f>
        <x:v>0</x:v>
      </x:c>
      <x:c r="Q1020" s="35" t="n">
        <x:v>0</x:v>
      </x:c>
      <x:c r="R1020" s="35" t="n">
        <x:f>K1020*Q1020</x:f>
        <x:v>0</x:v>
      </x:c>
      <x:c r="S1020" s="35" t="n">
        <x:f>XLOOKUP(H1020,'菜品主数据'!$A$5:$A$24,'菜品主数据'!$G$5:$G$24,0)</x:f>
        <x:v>8.184</x:v>
      </x:c>
      <x:c r="T1020" s="35" t="n">
        <x:f>K1020*S1020</x:f>
        <x:v>40.919999999999995</x:v>
      </x:c>
      <x:c r="U1020" s="35" t="n">
        <x:f>L1020-N1020-P1020-R1020-T1020</x:f>
        <x:v>84.08000000000001</x:v>
      </x:c>
      <x:c r="V1020" s="21" t="n">
        <x:f>IFERROR(U1020/L1020,0)</x:f>
        <x:v>0.6726400000000001</x:v>
      </x:c>
    </x:row>
    <x:row r="1021">
      <x:c r="A1021" s="19" t="str">
        <x:v>SALE-01017</x:v>
      </x:c>
      <x:c r="B1021" s="34" t="n">
        <x:v>46214.5</x:v>
      </x:c>
      <x:c r="C1021" s="19" t="str">
        <x:v>周六</x:v>
      </x:c>
      <x:c r="D1021" s="19" t="str">
        <x:v>S04</x:v>
      </x:c>
      <x:c r="E1021" s="19" t="str">
        <x:v>金街美地店</x:v>
      </x:c>
      <x:c r="F1021" s="19" t="str">
        <x:v>堂食</x:v>
      </x:c>
      <x:c r="G1021" s="19" t="str">
        <x:v>全日</x:v>
      </x:c>
      <x:c r="H1021" s="19" t="str">
        <x:v>D17</x:v>
      </x:c>
      <x:c r="I1021" s="19" t="str">
        <x:v>蒜蓉粉丝虾</x:v>
      </x:c>
      <x:c r="J1021" s="22" t="n">
        <x:f>XLOOKUP(H1021,'菜品主数据'!$A$5:$A$24,'菜品主数据'!$D$5:$D$24,0)</x:f>
        <x:v>36</x:v>
      </x:c>
      <x:c r="K1021" s="31" t="n">
        <x:v>4</x:v>
      </x:c>
      <x:c r="L1021" s="35" t="n">
        <x:f>J1021*K1021</x:f>
        <x:v>144</x:v>
      </x:c>
      <x:c r="M1021" s="36" t="n">
        <x:v>0</x:v>
      </x:c>
      <x:c r="N1021" s="35" t="n">
        <x:f>L1021*M1021</x:f>
        <x:v>0</x:v>
      </x:c>
      <x:c r="O1021" s="37" t="n">
        <x:v>0</x:v>
      </x:c>
      <x:c r="P1021" s="35" t="n">
        <x:f>L1021*O1021</x:f>
        <x:v>0</x:v>
      </x:c>
      <x:c r="Q1021" s="35" t="n">
        <x:v>0</x:v>
      </x:c>
      <x:c r="R1021" s="35" t="n">
        <x:f>K1021*Q1021</x:f>
        <x:v>0</x:v>
      </x:c>
      <x:c r="S1021" s="35" t="n">
        <x:f>XLOOKUP(H1021,'菜品主数据'!$A$5:$A$24,'菜品主数据'!$G$5:$G$24,0)</x:f>
        <x:v>13.594</x:v>
      </x:c>
      <x:c r="T1021" s="35" t="n">
        <x:f>K1021*S1021</x:f>
        <x:v>54.376</x:v>
      </x:c>
      <x:c r="U1021" s="35" t="n">
        <x:f>L1021-N1021-P1021-R1021-T1021</x:f>
        <x:v>89.624</x:v>
      </x:c>
      <x:c r="V1021" s="21" t="n">
        <x:f>IFERROR(U1021/L1021,0)</x:f>
        <x:v>0.6223888888888889</x:v>
      </x:c>
    </x:row>
    <x:row r="1022">
      <x:c r="A1022" s="19" t="str">
        <x:v>SALE-01018</x:v>
      </x:c>
      <x:c r="B1022" s="34" t="n">
        <x:v>46214.5</x:v>
      </x:c>
      <x:c r="C1022" s="19" t="str">
        <x:v>周六</x:v>
      </x:c>
      <x:c r="D1022" s="19" t="str">
        <x:v>S04</x:v>
      </x:c>
      <x:c r="E1022" s="19" t="str">
        <x:v>金街美地店</x:v>
      </x:c>
      <x:c r="F1022" s="19" t="str">
        <x:v>堂食</x:v>
      </x:c>
      <x:c r="G1022" s="19" t="str">
        <x:v>全日</x:v>
      </x:c>
      <x:c r="H1022" s="19" t="str">
        <x:v>D18</x:v>
      </x:c>
      <x:c r="I1022" s="19" t="str">
        <x:v>青椒炒油麦菜</x:v>
      </x:c>
      <x:c r="J1022" s="22" t="n">
        <x:f>XLOOKUP(H1022,'菜品主数据'!$A$5:$A$24,'菜品主数据'!$D$5:$D$24,0)</x:f>
        <x:v>18</x:v>
      </x:c>
      <x:c r="K1022" s="31" t="n">
        <x:v>6</x:v>
      </x:c>
      <x:c r="L1022" s="35" t="n">
        <x:f>J1022*K1022</x:f>
        <x:v>108</x:v>
      </x:c>
      <x:c r="M1022" s="36" t="n">
        <x:v>0</x:v>
      </x:c>
      <x:c r="N1022" s="35" t="n">
        <x:f>L1022*M1022</x:f>
        <x:v>0</x:v>
      </x:c>
      <x:c r="O1022" s="37" t="n">
        <x:v>0</x:v>
      </x:c>
      <x:c r="P1022" s="35" t="n">
        <x:f>L1022*O1022</x:f>
        <x:v>0</x:v>
      </x:c>
      <x:c r="Q1022" s="35" t="n">
        <x:v>0</x:v>
      </x:c>
      <x:c r="R1022" s="35" t="n">
        <x:f>K1022*Q1022</x:f>
        <x:v>0</x:v>
      </x:c>
      <x:c r="S1022" s="35" t="n">
        <x:f>XLOOKUP(H1022,'菜品主数据'!$A$5:$A$24,'菜品主数据'!$G$5:$G$24,0)</x:f>
        <x:v>3.1759999999999993</x:v>
      </x:c>
      <x:c r="T1022" s="35" t="n">
        <x:f>K1022*S1022</x:f>
        <x:v>19.055999999999997</x:v>
      </x:c>
      <x:c r="U1022" s="35" t="n">
        <x:f>L1022-N1022-P1022-R1022-T1022</x:f>
        <x:v>88.944</x:v>
      </x:c>
      <x:c r="V1022" s="21" t="n">
        <x:f>IFERROR(U1022/L1022,0)</x:f>
        <x:v>0.8235555555555556</x:v>
      </x:c>
    </x:row>
    <x:row r="1023">
      <x:c r="A1023" s="19" t="str">
        <x:v>SALE-01019</x:v>
      </x:c>
      <x:c r="B1023" s="34" t="n">
        <x:v>46214.5</x:v>
      </x:c>
      <x:c r="C1023" s="19" t="str">
        <x:v>周六</x:v>
      </x:c>
      <x:c r="D1023" s="19" t="str">
        <x:v>S04</x:v>
      </x:c>
      <x:c r="E1023" s="19" t="str">
        <x:v>金街美地店</x:v>
      </x:c>
      <x:c r="F1023" s="19" t="str">
        <x:v>堂食</x:v>
      </x:c>
      <x:c r="G1023" s="19" t="str">
        <x:v>全日</x:v>
      </x:c>
      <x:c r="H1023" s="19" t="str">
        <x:v>D19</x:v>
      </x:c>
      <x:c r="I1023" s="19" t="str">
        <x:v>酸萝卜炒鸡杂</x:v>
      </x:c>
      <x:c r="J1023" s="22" t="n">
        <x:f>XLOOKUP(H1023,'菜品主数据'!$A$5:$A$24,'菜品主数据'!$D$5:$D$24,0)</x:f>
        <x:v>25</x:v>
      </x:c>
      <x:c r="K1023" s="31" t="n">
        <x:v>5</x:v>
      </x:c>
      <x:c r="L1023" s="35" t="n">
        <x:f>J1023*K1023</x:f>
        <x:v>125</x:v>
      </x:c>
      <x:c r="M1023" s="36" t="n">
        <x:v>0</x:v>
      </x:c>
      <x:c r="N1023" s="35" t="n">
        <x:f>L1023*M1023</x:f>
        <x:v>0</x:v>
      </x:c>
      <x:c r="O1023" s="37" t="n">
        <x:v>0</x:v>
      </x:c>
      <x:c r="P1023" s="35" t="n">
        <x:f>L1023*O1023</x:f>
        <x:v>0</x:v>
      </x:c>
      <x:c r="Q1023" s="35" t="n">
        <x:v>0</x:v>
      </x:c>
      <x:c r="R1023" s="35" t="n">
        <x:f>K1023*Q1023</x:f>
        <x:v>0</x:v>
      </x:c>
      <x:c r="S1023" s="35" t="n">
        <x:f>XLOOKUP(H1023,'菜品主数据'!$A$5:$A$24,'菜品主数据'!$G$5:$G$24,0)</x:f>
        <x:v>7.9399999999999995</x:v>
      </x:c>
      <x:c r="T1023" s="35" t="n">
        <x:f>K1023*S1023</x:f>
        <x:v>39.699999999999996</x:v>
      </x:c>
      <x:c r="U1023" s="35" t="n">
        <x:f>L1023-N1023-P1023-R1023-T1023</x:f>
        <x:v>85.30000000000001</x:v>
      </x:c>
      <x:c r="V1023" s="21" t="n">
        <x:f>IFERROR(U1023/L1023,0)</x:f>
        <x:v>0.6824000000000001</x:v>
      </x:c>
    </x:row>
    <x:row r="1024">
      <x:c r="A1024" s="19" t="str">
        <x:v>SALE-01020</x:v>
      </x:c>
      <x:c r="B1024" s="34" t="n">
        <x:v>46214.5</x:v>
      </x:c>
      <x:c r="C1024" s="19" t="str">
        <x:v>周六</x:v>
      </x:c>
      <x:c r="D1024" s="19" t="str">
        <x:v>S04</x:v>
      </x:c>
      <x:c r="E1024" s="19" t="str">
        <x:v>金街美地店</x:v>
      </x:c>
      <x:c r="F1024" s="19" t="str">
        <x:v>堂食</x:v>
      </x:c>
      <x:c r="G1024" s="19" t="str">
        <x:v>全日</x:v>
      </x:c>
      <x:c r="H1024" s="19" t="str">
        <x:v>D20</x:v>
      </x:c>
      <x:c r="I1024" s="19" t="str">
        <x:v>雪菜肉末青豆</x:v>
      </x:c>
      <x:c r="J1024" s="22" t="n">
        <x:f>XLOOKUP(H1024,'菜品主数据'!$A$5:$A$24,'菜品主数据'!$D$5:$D$24,0)</x:f>
        <x:v>18</x:v>
      </x:c>
      <x:c r="K1024" s="31" t="n">
        <x:v>6</x:v>
      </x:c>
      <x:c r="L1024" s="35" t="n">
        <x:f>J1024*K1024</x:f>
        <x:v>108</x:v>
      </x:c>
      <x:c r="M1024" s="36" t="n">
        <x:v>0</x:v>
      </x:c>
      <x:c r="N1024" s="35" t="n">
        <x:f>L1024*M1024</x:f>
        <x:v>0</x:v>
      </x:c>
      <x:c r="O1024" s="37" t="n">
        <x:v>0</x:v>
      </x:c>
      <x:c r="P1024" s="35" t="n">
        <x:f>L1024*O1024</x:f>
        <x:v>0</x:v>
      </x:c>
      <x:c r="Q1024" s="35" t="n">
        <x:v>0</x:v>
      </x:c>
      <x:c r="R1024" s="35" t="n">
        <x:f>K1024*Q1024</x:f>
        <x:v>0</x:v>
      </x:c>
      <x:c r="S1024" s="35" t="n">
        <x:f>XLOOKUP(H1024,'菜品主数据'!$A$5:$A$24,'菜品主数据'!$G$5:$G$24,0)</x:f>
        <x:v>7.303999999999999</x:v>
      </x:c>
      <x:c r="T1024" s="35" t="n">
        <x:f>K1024*S1024</x:f>
        <x:v>43.824</x:v>
      </x:c>
      <x:c r="U1024" s="35" t="n">
        <x:f>L1024-N1024-P1024-R1024-T1024</x:f>
        <x:v>64.176</x:v>
      </x:c>
      <x:c r="V1024" s="21" t="n">
        <x:f>IFERROR(U1024/L1024,0)</x:f>
        <x:v>0.5942222222222222</x:v>
      </x:c>
    </x:row>
    <x:row r="1025">
      <x:c r="A1025" s="19" t="str">
        <x:v>SALE-01021</x:v>
      </x:c>
      <x:c r="B1025" s="34" t="n">
        <x:v>46214.5</x:v>
      </x:c>
      <x:c r="C1025" s="19" t="str">
        <x:v>周六</x:v>
      </x:c>
      <x:c r="D1025" s="19" t="str">
        <x:v>S04</x:v>
      </x:c>
      <x:c r="E1025" s="19" t="str">
        <x:v>金街美地店</x:v>
      </x:c>
      <x:c r="F1025" s="19" t="str">
        <x:v>外卖</x:v>
      </x:c>
      <x:c r="G1025" s="19" t="str">
        <x:v>全日</x:v>
      </x:c>
      <x:c r="H1025" s="19" t="str">
        <x:v>D01</x:v>
      </x:c>
      <x:c r="I1025" s="19" t="str">
        <x:v>辣椒炒肉</x:v>
      </x:c>
      <x:c r="J1025" s="22" t="n">
        <x:f>XLOOKUP(H1025,'菜品主数据'!$A$5:$A$24,'菜品主数据'!$D$5:$D$24,0)</x:f>
        <x:v>29</x:v>
      </x:c>
      <x:c r="K1025" s="31" t="n">
        <x:v>3</x:v>
      </x:c>
      <x:c r="L1025" s="35" t="n">
        <x:f>J1025*K1025</x:f>
        <x:v>87</x:v>
      </x:c>
      <x:c r="M1025" s="36" t="n">
        <x:v>0.08</x:v>
      </x:c>
      <x:c r="N1025" s="35" t="n">
        <x:f>L1025*M1025</x:f>
        <x:v>6.96</x:v>
      </x:c>
      <x:c r="O1025" s="37" t="n">
        <x:v>0.18</x:v>
      </x:c>
      <x:c r="P1025" s="35" t="n">
        <x:f>L1025*O1025</x:f>
        <x:v>15.66</x:v>
      </x:c>
      <x:c r="Q1025" s="35" t="n">
        <x:v>1.2</x:v>
      </x:c>
      <x:c r="R1025" s="35" t="n">
        <x:f>K1025*Q1025</x:f>
        <x:v>3.5999999999999996</x:v>
      </x:c>
      <x:c r="S1025" s="35" t="n">
        <x:f>XLOOKUP(H1025,'菜品主数据'!$A$5:$A$24,'菜品主数据'!$G$5:$G$24,0)</x:f>
        <x:v>8.634400000000001</x:v>
      </x:c>
      <x:c r="T1025" s="35" t="n">
        <x:f>K1025*S1025</x:f>
        <x:v>25.903200000000005</x:v>
      </x:c>
      <x:c r="U1025" s="35" t="n">
        <x:f>L1025-N1025-P1025-R1025-T1025</x:f>
        <x:v>34.8768</x:v>
      </x:c>
      <x:c r="V1025" s="21" t="n">
        <x:f>IFERROR(U1025/L1025,0)</x:f>
        <x:v>0.40088275862068967</x:v>
      </x:c>
    </x:row>
    <x:row r="1026">
      <x:c r="A1026" s="19" t="str">
        <x:v>SALE-01022</x:v>
      </x:c>
      <x:c r="B1026" s="34" t="n">
        <x:v>46214.5</x:v>
      </x:c>
      <x:c r="C1026" s="19" t="str">
        <x:v>周六</x:v>
      </x:c>
      <x:c r="D1026" s="19" t="str">
        <x:v>S04</x:v>
      </x:c>
      <x:c r="E1026" s="19" t="str">
        <x:v>金街美地店</x:v>
      </x:c>
      <x:c r="F1026" s="19" t="str">
        <x:v>外卖</x:v>
      </x:c>
      <x:c r="G1026" s="19" t="str">
        <x:v>全日</x:v>
      </x:c>
      <x:c r="H1026" s="19" t="str">
        <x:v>D02</x:v>
      </x:c>
      <x:c r="I1026" s="19" t="str">
        <x:v>小炒黄牛肉</x:v>
      </x:c>
      <x:c r="J1026" s="22" t="n">
        <x:f>XLOOKUP(H1026,'菜品主数据'!$A$5:$A$24,'菜品主数据'!$D$5:$D$24,0)</x:f>
        <x:v>49</x:v>
      </x:c>
      <x:c r="K1026" s="31" t="n">
        <x:v>7</x:v>
      </x:c>
      <x:c r="L1026" s="35" t="n">
        <x:f>J1026*K1026</x:f>
        <x:v>343</x:v>
      </x:c>
      <x:c r="M1026" s="36" t="n">
        <x:v>0.08</x:v>
      </x:c>
      <x:c r="N1026" s="35" t="n">
        <x:f>L1026*M1026</x:f>
        <x:v>27.44</x:v>
      </x:c>
      <x:c r="O1026" s="37" t="n">
        <x:v>0.18</x:v>
      </x:c>
      <x:c r="P1026" s="35" t="n">
        <x:f>L1026*O1026</x:f>
        <x:v>61.739999999999995</x:v>
      </x:c>
      <x:c r="Q1026" s="35" t="n">
        <x:v>1.2</x:v>
      </x:c>
      <x:c r="R1026" s="35" t="n">
        <x:f>K1026*Q1026</x:f>
        <x:v>8.4</x:v>
      </x:c>
      <x:c r="S1026" s="35" t="n">
        <x:f>XLOOKUP(H1026,'菜品主数据'!$A$5:$A$24,'菜品主数据'!$G$5:$G$24,0)</x:f>
        <x:v>17.577</x:v>
      </x:c>
      <x:c r="T1026" s="35" t="n">
        <x:f>K1026*S1026</x:f>
        <x:v>123.03900000000002</x:v>
      </x:c>
      <x:c r="U1026" s="35" t="n">
        <x:f>L1026-N1026-P1026-R1026-T1026</x:f>
        <x:v>122.38099999999997</x:v>
      </x:c>
      <x:c r="V1026" s="21" t="n">
        <x:f>IFERROR(U1026/L1026,0)</x:f>
        <x:v>0.35679591836734686</x:v>
      </x:c>
    </x:row>
    <x:row r="1027">
      <x:c r="A1027" s="19" t="str">
        <x:v>SALE-01023</x:v>
      </x:c>
      <x:c r="B1027" s="34" t="n">
        <x:v>46214.5</x:v>
      </x:c>
      <x:c r="C1027" s="19" t="str">
        <x:v>周六</x:v>
      </x:c>
      <x:c r="D1027" s="19" t="str">
        <x:v>S04</x:v>
      </x:c>
      <x:c r="E1027" s="19" t="str">
        <x:v>金街美地店</x:v>
      </x:c>
      <x:c r="F1027" s="19" t="str">
        <x:v>外卖</x:v>
      </x:c>
      <x:c r="G1027" s="19" t="str">
        <x:v>全日</x:v>
      </x:c>
      <x:c r="H1027" s="19" t="str">
        <x:v>D03</x:v>
      </x:c>
      <x:c r="I1027" s="19" t="str">
        <x:v>香醋炒蛋</x:v>
      </x:c>
      <x:c r="J1027" s="22" t="n">
        <x:f>XLOOKUP(H1027,'菜品主数据'!$A$5:$A$24,'菜品主数据'!$D$5:$D$24,0)</x:f>
        <x:v>14.9</x:v>
      </x:c>
      <x:c r="K1027" s="31" t="n">
        <x:v>3</x:v>
      </x:c>
      <x:c r="L1027" s="35" t="n">
        <x:f>J1027*K1027</x:f>
        <x:v>44.7</x:v>
      </x:c>
      <x:c r="M1027" s="36" t="n">
        <x:v>0.08</x:v>
      </x:c>
      <x:c r="N1027" s="35" t="n">
        <x:f>L1027*M1027</x:f>
        <x:v>3.5760000000000005</x:v>
      </x:c>
      <x:c r="O1027" s="37" t="n">
        <x:v>0.18</x:v>
      </x:c>
      <x:c r="P1027" s="35" t="n">
        <x:f>L1027*O1027</x:f>
        <x:v>8.046</x:v>
      </x:c>
      <x:c r="Q1027" s="35" t="n">
        <x:v>1.2</x:v>
      </x:c>
      <x:c r="R1027" s="35" t="n">
        <x:f>K1027*Q1027</x:f>
        <x:v>3.5999999999999996</x:v>
      </x:c>
      <x:c r="S1027" s="35" t="n">
        <x:f>XLOOKUP(H1027,'菜品主数据'!$A$5:$A$24,'菜品主数据'!$G$5:$G$24,0)</x:f>
        <x:v>3.7459999999999996</x:v>
      </x:c>
      <x:c r="T1027" s="35" t="n">
        <x:f>K1027*S1027</x:f>
        <x:v>11.238</x:v>
      </x:c>
      <x:c r="U1027" s="35" t="n">
        <x:f>L1027-N1027-P1027-R1027-T1027</x:f>
        <x:v>18.240000000000002</x:v>
      </x:c>
      <x:c r="V1027" s="21" t="n">
        <x:f>IFERROR(U1027/L1027,0)</x:f>
        <x:v>0.40805369127516783</x:v>
      </x:c>
    </x:row>
    <x:row r="1028">
      <x:c r="A1028" s="19" t="str">
        <x:v>SALE-01024</x:v>
      </x:c>
      <x:c r="B1028" s="34" t="n">
        <x:v>46214.5</x:v>
      </x:c>
      <x:c r="C1028" s="19" t="str">
        <x:v>周六</x:v>
      </x:c>
      <x:c r="D1028" s="19" t="str">
        <x:v>S04</x:v>
      </x:c>
      <x:c r="E1028" s="19" t="str">
        <x:v>金街美地店</x:v>
      </x:c>
      <x:c r="F1028" s="19" t="str">
        <x:v>外卖</x:v>
      </x:c>
      <x:c r="G1028" s="19" t="str">
        <x:v>全日</x:v>
      </x:c>
      <x:c r="H1028" s="19" t="str">
        <x:v>D04</x:v>
      </x:c>
      <x:c r="I1028" s="19" t="str">
        <x:v>酸包菜炒粉皮</x:v>
      </x:c>
      <x:c r="J1028" s="22" t="n">
        <x:f>XLOOKUP(H1028,'菜品主数据'!$A$5:$A$24,'菜品主数据'!$D$5:$D$24,0)</x:f>
        <x:v>16</x:v>
      </x:c>
      <x:c r="K1028" s="31" t="n">
        <x:v>2</x:v>
      </x:c>
      <x:c r="L1028" s="35" t="n">
        <x:f>J1028*K1028</x:f>
        <x:v>32</x:v>
      </x:c>
      <x:c r="M1028" s="36" t="n">
        <x:v>0.08</x:v>
      </x:c>
      <x:c r="N1028" s="35" t="n">
        <x:f>L1028*M1028</x:f>
        <x:v>2.56</x:v>
      </x:c>
      <x:c r="O1028" s="37" t="n">
        <x:v>0.18</x:v>
      </x:c>
      <x:c r="P1028" s="35" t="n">
        <x:f>L1028*O1028</x:f>
        <x:v>5.76</x:v>
      </x:c>
      <x:c r="Q1028" s="35" t="n">
        <x:v>1.2</x:v>
      </x:c>
      <x:c r="R1028" s="35" t="n">
        <x:f>K1028*Q1028</x:f>
        <x:v>2.4</x:v>
      </x:c>
      <x:c r="S1028" s="35" t="n">
        <x:f>XLOOKUP(H1028,'菜品主数据'!$A$5:$A$24,'菜品主数据'!$G$5:$G$24,0)</x:f>
        <x:v>3.978</x:v>
      </x:c>
      <x:c r="T1028" s="35" t="n">
        <x:f>K1028*S1028</x:f>
        <x:v>7.956</x:v>
      </x:c>
      <x:c r="U1028" s="35" t="n">
        <x:f>L1028-N1028-P1028-R1028-T1028</x:f>
        <x:v>13.324000000000002</x:v>
      </x:c>
      <x:c r="V1028" s="21" t="n">
        <x:f>IFERROR(U1028/L1028,0)</x:f>
        <x:v>0.41637500000000005</x:v>
      </x:c>
    </x:row>
    <x:row r="1029">
      <x:c r="A1029" s="19" t="str">
        <x:v>SALE-01025</x:v>
      </x:c>
      <x:c r="B1029" s="34" t="n">
        <x:v>46214.5</x:v>
      </x:c>
      <x:c r="C1029" s="19" t="str">
        <x:v>周六</x:v>
      </x:c>
      <x:c r="D1029" s="19" t="str">
        <x:v>S04</x:v>
      </x:c>
      <x:c r="E1029" s="19" t="str">
        <x:v>金街美地店</x:v>
      </x:c>
      <x:c r="F1029" s="19" t="str">
        <x:v>外卖</x:v>
      </x:c>
      <x:c r="G1029" s="19" t="str">
        <x:v>全日</x:v>
      </x:c>
      <x:c r="H1029" s="19" t="str">
        <x:v>D05</x:v>
      </x:c>
      <x:c r="I1029" s="19" t="str">
        <x:v>麻婆豆腐</x:v>
      </x:c>
      <x:c r="J1029" s="22" t="n">
        <x:f>XLOOKUP(H1029,'菜品主数据'!$A$5:$A$24,'菜品主数据'!$D$5:$D$24,0)</x:f>
        <x:v>9.9</x:v>
      </x:c>
      <x:c r="K1029" s="31" t="n">
        <x:v>4</x:v>
      </x:c>
      <x:c r="L1029" s="35" t="n">
        <x:f>J1029*K1029</x:f>
        <x:v>39.6</x:v>
      </x:c>
      <x:c r="M1029" s="36" t="n">
        <x:v>0.08</x:v>
      </x:c>
      <x:c r="N1029" s="35" t="n">
        <x:f>L1029*M1029</x:f>
        <x:v>3.168</x:v>
      </x:c>
      <x:c r="O1029" s="37" t="n">
        <x:v>0.18</x:v>
      </x:c>
      <x:c r="P1029" s="35" t="n">
        <x:f>L1029*O1029</x:f>
        <x:v>7.128</x:v>
      </x:c>
      <x:c r="Q1029" s="35" t="n">
        <x:v>1.2</x:v>
      </x:c>
      <x:c r="R1029" s="35" t="n">
        <x:f>K1029*Q1029</x:f>
        <x:v>4.8</x:v>
      </x:c>
      <x:c r="S1029" s="35" t="n">
        <x:f>XLOOKUP(H1029,'菜品主数据'!$A$5:$A$24,'菜品主数据'!$G$5:$G$24,0)</x:f>
        <x:v>5.367000000000001</x:v>
      </x:c>
      <x:c r="T1029" s="35" t="n">
        <x:f>K1029*S1029</x:f>
        <x:v>21.468000000000004</x:v>
      </x:c>
      <x:c r="U1029" s="35" t="n">
        <x:f>L1029-N1029-P1029-R1029-T1029</x:f>
        <x:v>3.035999999999998</x:v>
      </x:c>
      <x:c r="V1029" s="21" t="n">
        <x:f>IFERROR(U1029/L1029,0)</x:f>
        <x:v>0.0766666666666666</x:v>
      </x:c>
    </x:row>
    <x:row r="1030">
      <x:c r="A1030" s="19" t="str">
        <x:v>SALE-01026</x:v>
      </x:c>
      <x:c r="B1030" s="34" t="n">
        <x:v>46214.5</x:v>
      </x:c>
      <x:c r="C1030" s="19" t="str">
        <x:v>周六</x:v>
      </x:c>
      <x:c r="D1030" s="19" t="str">
        <x:v>S04</x:v>
      </x:c>
      <x:c r="E1030" s="19" t="str">
        <x:v>金街美地店</x:v>
      </x:c>
      <x:c r="F1030" s="19" t="str">
        <x:v>外卖</x:v>
      </x:c>
      <x:c r="G1030" s="19" t="str">
        <x:v>全日</x:v>
      </x:c>
      <x:c r="H1030" s="19" t="str">
        <x:v>D06</x:v>
      </x:c>
      <x:c r="I1030" s="19" t="str">
        <x:v>剁椒鱼头</x:v>
      </x:c>
      <x:c r="J1030" s="22" t="n">
        <x:f>XLOOKUP(H1030,'菜品主数据'!$A$5:$A$24,'菜品主数据'!$D$5:$D$24,0)</x:f>
        <x:v>39</x:v>
      </x:c>
      <x:c r="K1030" s="31" t="n">
        <x:v>1</x:v>
      </x:c>
      <x:c r="L1030" s="35" t="n">
        <x:f>J1030*K1030</x:f>
        <x:v>39</x:v>
      </x:c>
      <x:c r="M1030" s="36" t="n">
        <x:v>0.08</x:v>
      </x:c>
      <x:c r="N1030" s="35" t="n">
        <x:f>L1030*M1030</x:f>
        <x:v>3.12</x:v>
      </x:c>
      <x:c r="O1030" s="37" t="n">
        <x:v>0.18</x:v>
      </x:c>
      <x:c r="P1030" s="35" t="n">
        <x:f>L1030*O1030</x:f>
        <x:v>7.02</x:v>
      </x:c>
      <x:c r="Q1030" s="35" t="n">
        <x:v>1.2</x:v>
      </x:c>
      <x:c r="R1030" s="35" t="n">
        <x:f>K1030*Q1030</x:f>
        <x:v>1.2</x:v>
      </x:c>
      <x:c r="S1030" s="35" t="n">
        <x:f>XLOOKUP(H1030,'菜品主数据'!$A$5:$A$24,'菜品主数据'!$G$5:$G$24,0)</x:f>
        <x:v>17.446</x:v>
      </x:c>
      <x:c r="T1030" s="35" t="n">
        <x:f>K1030*S1030</x:f>
        <x:v>17.446</x:v>
      </x:c>
      <x:c r="U1030" s="35" t="n">
        <x:f>L1030-N1030-P1030-R1030-T1030</x:f>
        <x:v>10.214000000000002</x:v>
      </x:c>
      <x:c r="V1030" s="21" t="n">
        <x:f>IFERROR(U1030/L1030,0)</x:f>
        <x:v>0.26189743589743597</x:v>
      </x:c>
    </x:row>
    <x:row r="1031">
      <x:c r="A1031" s="19" t="str">
        <x:v>SALE-01027</x:v>
      </x:c>
      <x:c r="B1031" s="34" t="n">
        <x:v>46214.5</x:v>
      </x:c>
      <x:c r="C1031" s="19" t="str">
        <x:v>周六</x:v>
      </x:c>
      <x:c r="D1031" s="19" t="str">
        <x:v>S04</x:v>
      </x:c>
      <x:c r="E1031" s="19" t="str">
        <x:v>金街美地店</x:v>
      </x:c>
      <x:c r="F1031" s="19" t="str">
        <x:v>外卖</x:v>
      </x:c>
      <x:c r="G1031" s="19" t="str">
        <x:v>全日</x:v>
      </x:c>
      <x:c r="H1031" s="19" t="str">
        <x:v>D07</x:v>
      </x:c>
      <x:c r="I1031" s="19" t="str">
        <x:v>川味回锅肉</x:v>
      </x:c>
      <x:c r="J1031" s="22" t="n">
        <x:f>XLOOKUP(H1031,'菜品主数据'!$A$5:$A$24,'菜品主数据'!$D$5:$D$24,0)</x:f>
        <x:v>29</x:v>
      </x:c>
      <x:c r="K1031" s="31" t="n">
        <x:v>1</x:v>
      </x:c>
      <x:c r="L1031" s="35" t="n">
        <x:f>J1031*K1031</x:f>
        <x:v>29</x:v>
      </x:c>
      <x:c r="M1031" s="36" t="n">
        <x:v>0.08</x:v>
      </x:c>
      <x:c r="N1031" s="35" t="n">
        <x:f>L1031*M1031</x:f>
        <x:v>2.32</x:v>
      </x:c>
      <x:c r="O1031" s="37" t="n">
        <x:v>0.18</x:v>
      </x:c>
      <x:c r="P1031" s="35" t="n">
        <x:f>L1031*O1031</x:f>
        <x:v>5.22</x:v>
      </x:c>
      <x:c r="Q1031" s="35" t="n">
        <x:v>1.2</x:v>
      </x:c>
      <x:c r="R1031" s="35" t="n">
        <x:f>K1031*Q1031</x:f>
        <x:v>1.2</x:v>
      </x:c>
      <x:c r="S1031" s="35" t="n">
        <x:f>XLOOKUP(H1031,'菜品主数据'!$A$5:$A$24,'菜品主数据'!$G$5:$G$24,0)</x:f>
        <x:v>10.231000000000002</x:v>
      </x:c>
      <x:c r="T1031" s="35" t="n">
        <x:f>K1031*S1031</x:f>
        <x:v>10.231000000000002</x:v>
      </x:c>
      <x:c r="U1031" s="35" t="n">
        <x:f>L1031-N1031-P1031-R1031-T1031</x:f>
        <x:v>10.029</x:v>
      </x:c>
      <x:c r="V1031" s="21" t="n">
        <x:f>IFERROR(U1031/L1031,0)</x:f>
        <x:v>0.3458275862068966</x:v>
      </x:c>
    </x:row>
    <x:row r="1032">
      <x:c r="A1032" s="19" t="str">
        <x:v>SALE-01028</x:v>
      </x:c>
      <x:c r="B1032" s="34" t="n">
        <x:v>46214.5</x:v>
      </x:c>
      <x:c r="C1032" s="19" t="str">
        <x:v>周六</x:v>
      </x:c>
      <x:c r="D1032" s="19" t="str">
        <x:v>S04</x:v>
      </x:c>
      <x:c r="E1032" s="19" t="str">
        <x:v>金街美地店</x:v>
      </x:c>
      <x:c r="F1032" s="19" t="str">
        <x:v>外卖</x:v>
      </x:c>
      <x:c r="G1032" s="19" t="str">
        <x:v>全日</x:v>
      </x:c>
      <x:c r="H1032" s="19" t="str">
        <x:v>D08</x:v>
      </x:c>
      <x:c r="I1032" s="19" t="str">
        <x:v>生炒清远鸡</x:v>
      </x:c>
      <x:c r="J1032" s="22" t="n">
        <x:f>XLOOKUP(H1032,'菜品主数据'!$A$5:$A$24,'菜品主数据'!$D$5:$D$24,0)</x:f>
        <x:v>36</x:v>
      </x:c>
      <x:c r="K1032" s="31" t="n">
        <x:v>0</x:v>
      </x:c>
      <x:c r="L1032" s="35" t="n">
        <x:f>J1032*K1032</x:f>
        <x:v>0</x:v>
      </x:c>
      <x:c r="M1032" s="36" t="n">
        <x:v>0.08</x:v>
      </x:c>
      <x:c r="N1032" s="35" t="n">
        <x:f>L1032*M1032</x:f>
        <x:v>0</x:v>
      </x:c>
      <x:c r="O1032" s="37" t="n">
        <x:v>0.18</x:v>
      </x:c>
      <x:c r="P1032" s="35" t="n">
        <x:f>L1032*O1032</x:f>
        <x:v>0</x:v>
      </x:c>
      <x:c r="Q1032" s="35" t="n">
        <x:v>1.2</x:v>
      </x:c>
      <x:c r="R1032" s="35" t="n">
        <x:f>K1032*Q1032</x:f>
        <x:v>0</x:v>
      </x:c>
      <x:c r="S1032" s="35" t="n">
        <x:f>XLOOKUP(H1032,'菜品主数据'!$A$5:$A$24,'菜品主数据'!$G$5:$G$24,0)</x:f>
        <x:v>13.48</x:v>
      </x:c>
      <x:c r="T1032" s="35" t="n">
        <x:f>K1032*S1032</x:f>
        <x:v>0</x:v>
      </x:c>
      <x:c r="U1032" s="35" t="n">
        <x:f>L1032-N1032-P1032-R1032-T1032</x:f>
        <x:v>0</x:v>
      </x:c>
      <x:c r="V1032" s="21" t="n">
        <x:f>IFERROR(U1032/L1032,0)</x:f>
        <x:v>0</x:v>
      </x:c>
    </x:row>
    <x:row r="1033">
      <x:c r="A1033" s="19" t="str">
        <x:v>SALE-01029</x:v>
      </x:c>
      <x:c r="B1033" s="34" t="n">
        <x:v>46214.5</x:v>
      </x:c>
      <x:c r="C1033" s="19" t="str">
        <x:v>周六</x:v>
      </x:c>
      <x:c r="D1033" s="19" t="str">
        <x:v>S04</x:v>
      </x:c>
      <x:c r="E1033" s="19" t="str">
        <x:v>金街美地店</x:v>
      </x:c>
      <x:c r="F1033" s="19" t="str">
        <x:v>外卖</x:v>
      </x:c>
      <x:c r="G1033" s="19" t="str">
        <x:v>全日</x:v>
      </x:c>
      <x:c r="H1033" s="19" t="str">
        <x:v>D09</x:v>
      </x:c>
      <x:c r="I1033" s="19" t="str">
        <x:v>炒豆干</x:v>
      </x:c>
      <x:c r="J1033" s="22" t="n">
        <x:f>XLOOKUP(H1033,'菜品主数据'!$A$5:$A$24,'菜品主数据'!$D$5:$D$24,0)</x:f>
        <x:v>18</x:v>
      </x:c>
      <x:c r="K1033" s="31" t="n">
        <x:v>1</x:v>
      </x:c>
      <x:c r="L1033" s="35" t="n">
        <x:f>J1033*K1033</x:f>
        <x:v>18</x:v>
      </x:c>
      <x:c r="M1033" s="36" t="n">
        <x:v>0.08</x:v>
      </x:c>
      <x:c r="N1033" s="35" t="n">
        <x:f>L1033*M1033</x:f>
        <x:v>1.44</x:v>
      </x:c>
      <x:c r="O1033" s="37" t="n">
        <x:v>0.18</x:v>
      </x:c>
      <x:c r="P1033" s="35" t="n">
        <x:f>L1033*O1033</x:f>
        <x:v>3.2399999999999998</x:v>
      </x:c>
      <x:c r="Q1033" s="35" t="n">
        <x:v>1.2</x:v>
      </x:c>
      <x:c r="R1033" s="35" t="n">
        <x:f>K1033*Q1033</x:f>
        <x:v>1.2</x:v>
      </x:c>
      <x:c r="S1033" s="35" t="n">
        <x:f>XLOOKUP(H1033,'菜品主数据'!$A$5:$A$24,'菜品主数据'!$G$5:$G$24,0)</x:f>
        <x:v>6.613999999999999</x:v>
      </x:c>
      <x:c r="T1033" s="35" t="n">
        <x:f>K1033*S1033</x:f>
        <x:v>6.613999999999999</x:v>
      </x:c>
      <x:c r="U1033" s="35" t="n">
        <x:f>L1033-N1033-P1033-R1033-T1033</x:f>
        <x:v>5.506</x:v>
      </x:c>
      <x:c r="V1033" s="21" t="n">
        <x:f>IFERROR(U1033/L1033,0)</x:f>
        <x:v>0.3058888888888889</x:v>
      </x:c>
    </x:row>
    <x:row r="1034">
      <x:c r="A1034" s="19" t="str">
        <x:v>SALE-01030</x:v>
      </x:c>
      <x:c r="B1034" s="34" t="n">
        <x:v>46214.5</x:v>
      </x:c>
      <x:c r="C1034" s="19" t="str">
        <x:v>周六</x:v>
      </x:c>
      <x:c r="D1034" s="19" t="str">
        <x:v>S04</x:v>
      </x:c>
      <x:c r="E1034" s="19" t="str">
        <x:v>金街美地店</x:v>
      </x:c>
      <x:c r="F1034" s="19" t="str">
        <x:v>外卖</x:v>
      </x:c>
      <x:c r="G1034" s="19" t="str">
        <x:v>全日</x:v>
      </x:c>
      <x:c r="H1034" s="19" t="str">
        <x:v>D10</x:v>
      </x:c>
      <x:c r="I1034" s="19" t="str">
        <x:v>农家一碗香</x:v>
      </x:c>
      <x:c r="J1034" s="22" t="n">
        <x:f>XLOOKUP(H1034,'菜品主数据'!$A$5:$A$24,'菜品主数据'!$D$5:$D$24,0)</x:f>
        <x:v>22.9</x:v>
      </x:c>
      <x:c r="K1034" s="31" t="n">
        <x:v>2</x:v>
      </x:c>
      <x:c r="L1034" s="35" t="n">
        <x:f>J1034*K1034</x:f>
        <x:v>45.8</x:v>
      </x:c>
      <x:c r="M1034" s="36" t="n">
        <x:v>0.08</x:v>
      </x:c>
      <x:c r="N1034" s="35" t="n">
        <x:f>L1034*M1034</x:f>
        <x:v>3.6639999999999997</x:v>
      </x:c>
      <x:c r="O1034" s="37" t="n">
        <x:v>0.18</x:v>
      </x:c>
      <x:c r="P1034" s="35" t="n">
        <x:f>L1034*O1034</x:f>
        <x:v>8.244</x:v>
      </x:c>
      <x:c r="Q1034" s="35" t="n">
        <x:v>1.2</x:v>
      </x:c>
      <x:c r="R1034" s="35" t="n">
        <x:f>K1034*Q1034</x:f>
        <x:v>2.4</x:v>
      </x:c>
      <x:c r="S1034" s="35" t="n">
        <x:f>XLOOKUP(H1034,'菜品主数据'!$A$5:$A$24,'菜品主数据'!$G$5:$G$24,0)</x:f>
        <x:v>9.770200000000003</x:v>
      </x:c>
      <x:c r="T1034" s="35" t="n">
        <x:f>K1034*S1034</x:f>
        <x:v>19.540400000000005</x:v>
      </x:c>
      <x:c r="U1034" s="35" t="n">
        <x:f>L1034-N1034-P1034-R1034-T1034</x:f>
        <x:v>11.951599999999992</x:v>
      </x:c>
      <x:c r="V1034" s="21" t="n">
        <x:f>IFERROR(U1034/L1034,0)</x:f>
        <x:v>0.260951965065502</x:v>
      </x:c>
    </x:row>
    <x:row r="1035">
      <x:c r="A1035" s="19" t="str">
        <x:v>SALE-01031</x:v>
      </x:c>
      <x:c r="B1035" s="34" t="n">
        <x:v>46214.5</x:v>
      </x:c>
      <x:c r="C1035" s="19" t="str">
        <x:v>周六</x:v>
      </x:c>
      <x:c r="D1035" s="19" t="str">
        <x:v>S04</x:v>
      </x:c>
      <x:c r="E1035" s="19" t="str">
        <x:v>金街美地店</x:v>
      </x:c>
      <x:c r="F1035" s="19" t="str">
        <x:v>外卖</x:v>
      </x:c>
      <x:c r="G1035" s="19" t="str">
        <x:v>全日</x:v>
      </x:c>
      <x:c r="H1035" s="19" t="str">
        <x:v>D11</x:v>
      </x:c>
      <x:c r="I1035" s="19" t="str">
        <x:v>香辣爆肥肠</x:v>
      </x:c>
      <x:c r="J1035" s="22" t="n">
        <x:f>XLOOKUP(H1035,'菜品主数据'!$A$5:$A$24,'菜品主数据'!$D$5:$D$24,0)</x:f>
        <x:v>39</x:v>
      </x:c>
      <x:c r="K1035" s="31" t="n">
        <x:v>0</x:v>
      </x:c>
      <x:c r="L1035" s="35" t="n">
        <x:f>J1035*K1035</x:f>
        <x:v>0</x:v>
      </x:c>
      <x:c r="M1035" s="36" t="n">
        <x:v>0.08</x:v>
      </x:c>
      <x:c r="N1035" s="35" t="n">
        <x:f>L1035*M1035</x:f>
        <x:v>0</x:v>
      </x:c>
      <x:c r="O1035" s="37" t="n">
        <x:v>0.18</x:v>
      </x:c>
      <x:c r="P1035" s="35" t="n">
        <x:f>L1035*O1035</x:f>
        <x:v>0</x:v>
      </x:c>
      <x:c r="Q1035" s="35" t="n">
        <x:v>1.2</x:v>
      </x:c>
      <x:c r="R1035" s="35" t="n">
        <x:f>K1035*Q1035</x:f>
        <x:v>0</x:v>
      </x:c>
      <x:c r="S1035" s="35" t="n">
        <x:f>XLOOKUP(H1035,'菜品主数据'!$A$5:$A$24,'菜品主数据'!$G$5:$G$24,0)</x:f>
        <x:v>10.397</x:v>
      </x:c>
      <x:c r="T1035" s="35" t="n">
        <x:f>K1035*S1035</x:f>
        <x:v>0</x:v>
      </x:c>
      <x:c r="U1035" s="35" t="n">
        <x:f>L1035-N1035-P1035-R1035-T1035</x:f>
        <x:v>0</x:v>
      </x:c>
      <x:c r="V1035" s="21" t="n">
        <x:f>IFERROR(U1035/L1035,0)</x:f>
        <x:v>0</x:v>
      </x:c>
    </x:row>
    <x:row r="1036">
      <x:c r="A1036" s="19" t="str">
        <x:v>SALE-01032</x:v>
      </x:c>
      <x:c r="B1036" s="34" t="n">
        <x:v>46214.5</x:v>
      </x:c>
      <x:c r="C1036" s="19" t="str">
        <x:v>周六</x:v>
      </x:c>
      <x:c r="D1036" s="19" t="str">
        <x:v>S04</x:v>
      </x:c>
      <x:c r="E1036" s="19" t="str">
        <x:v>金街美地店</x:v>
      </x:c>
      <x:c r="F1036" s="19" t="str">
        <x:v>外卖</x:v>
      </x:c>
      <x:c r="G1036" s="19" t="str">
        <x:v>全日</x:v>
      </x:c>
      <x:c r="H1036" s="19" t="str">
        <x:v>D12</x:v>
      </x:c>
      <x:c r="I1036" s="19" t="str">
        <x:v>清蒸鲈鱼</x:v>
      </x:c>
      <x:c r="J1036" s="22" t="n">
        <x:f>XLOOKUP(H1036,'菜品主数据'!$A$5:$A$24,'菜品主数据'!$D$5:$D$24,0)</x:f>
        <x:v>39</x:v>
      </x:c>
      <x:c r="K1036" s="31" t="n">
        <x:v>0</x:v>
      </x:c>
      <x:c r="L1036" s="35" t="n">
        <x:f>J1036*K1036</x:f>
        <x:v>0</x:v>
      </x:c>
      <x:c r="M1036" s="36" t="n">
        <x:v>0.08</x:v>
      </x:c>
      <x:c r="N1036" s="35" t="n">
        <x:f>L1036*M1036</x:f>
        <x:v>0</x:v>
      </x:c>
      <x:c r="O1036" s="37" t="n">
        <x:v>0.18</x:v>
      </x:c>
      <x:c r="P1036" s="35" t="n">
        <x:f>L1036*O1036</x:f>
        <x:v>0</x:v>
      </x:c>
      <x:c r="Q1036" s="35" t="n">
        <x:v>1.2</x:v>
      </x:c>
      <x:c r="R1036" s="35" t="n">
        <x:f>K1036*Q1036</x:f>
        <x:v>0</x:v>
      </x:c>
      <x:c r="S1036" s="35" t="n">
        <x:f>XLOOKUP(H1036,'菜品主数据'!$A$5:$A$24,'菜品主数据'!$G$5:$G$24,0)</x:f>
        <x:v>18.874</x:v>
      </x:c>
      <x:c r="T1036" s="35" t="n">
        <x:f>K1036*S1036</x:f>
        <x:v>0</x:v>
      </x:c>
      <x:c r="U1036" s="35" t="n">
        <x:f>L1036-N1036-P1036-R1036-T1036</x:f>
        <x:v>0</x:v>
      </x:c>
      <x:c r="V1036" s="21" t="n">
        <x:f>IFERROR(U1036/L1036,0)</x:f>
        <x:v>0</x:v>
      </x:c>
    </x:row>
    <x:row r="1037">
      <x:c r="A1037" s="19" t="str">
        <x:v>SALE-01033</x:v>
      </x:c>
      <x:c r="B1037" s="34" t="n">
        <x:v>46214.5</x:v>
      </x:c>
      <x:c r="C1037" s="19" t="str">
        <x:v>周六</x:v>
      </x:c>
      <x:c r="D1037" s="19" t="str">
        <x:v>S04</x:v>
      </x:c>
      <x:c r="E1037" s="19" t="str">
        <x:v>金街美地店</x:v>
      </x:c>
      <x:c r="F1037" s="19" t="str">
        <x:v>外卖</x:v>
      </x:c>
      <x:c r="G1037" s="19" t="str">
        <x:v>全日</x:v>
      </x:c>
      <x:c r="H1037" s="19" t="str">
        <x:v>D13</x:v>
      </x:c>
      <x:c r="I1037" s="19" t="str">
        <x:v>外婆菜炒蛋</x:v>
      </x:c>
      <x:c r="J1037" s="22" t="n">
        <x:f>XLOOKUP(H1037,'菜品主数据'!$A$5:$A$24,'菜品主数据'!$D$5:$D$24,0)</x:f>
        <x:v>18</x:v>
      </x:c>
      <x:c r="K1037" s="31" t="n">
        <x:v>1</x:v>
      </x:c>
      <x:c r="L1037" s="35" t="n">
        <x:f>J1037*K1037</x:f>
        <x:v>18</x:v>
      </x:c>
      <x:c r="M1037" s="36" t="n">
        <x:v>0.08</x:v>
      </x:c>
      <x:c r="N1037" s="35" t="n">
        <x:f>L1037*M1037</x:f>
        <x:v>1.44</x:v>
      </x:c>
      <x:c r="O1037" s="37" t="n">
        <x:v>0.18</x:v>
      </x:c>
      <x:c r="P1037" s="35" t="n">
        <x:f>L1037*O1037</x:f>
        <x:v>3.2399999999999998</x:v>
      </x:c>
      <x:c r="Q1037" s="35" t="n">
        <x:v>1.2</x:v>
      </x:c>
      <x:c r="R1037" s="35" t="n">
        <x:f>K1037*Q1037</x:f>
        <x:v>1.2</x:v>
      </x:c>
      <x:c r="S1037" s="35" t="n">
        <x:f>XLOOKUP(H1037,'菜品主数据'!$A$5:$A$24,'菜品主数据'!$G$5:$G$24,0)</x:f>
        <x:v>5.403999999999999</x:v>
      </x:c>
      <x:c r="T1037" s="35" t="n">
        <x:f>K1037*S1037</x:f>
        <x:v>5.403999999999999</x:v>
      </x:c>
      <x:c r="U1037" s="35" t="n">
        <x:f>L1037-N1037-P1037-R1037-T1037</x:f>
        <x:v>6.716</x:v>
      </x:c>
      <x:c r="V1037" s="21" t="n">
        <x:f>IFERROR(U1037/L1037,0)</x:f>
        <x:v>0.3731111111111111</x:v>
      </x:c>
    </x:row>
    <x:row r="1038">
      <x:c r="A1038" s="19" t="str">
        <x:v>SALE-01034</x:v>
      </x:c>
      <x:c r="B1038" s="34" t="n">
        <x:v>46214.5</x:v>
      </x:c>
      <x:c r="C1038" s="19" t="str">
        <x:v>周六</x:v>
      </x:c>
      <x:c r="D1038" s="19" t="str">
        <x:v>S04</x:v>
      </x:c>
      <x:c r="E1038" s="19" t="str">
        <x:v>金街美地店</x:v>
      </x:c>
      <x:c r="F1038" s="19" t="str">
        <x:v>外卖</x:v>
      </x:c>
      <x:c r="G1038" s="19" t="str">
        <x:v>全日</x:v>
      </x:c>
      <x:c r="H1038" s="19" t="str">
        <x:v>D14</x:v>
      </x:c>
      <x:c r="I1038" s="19" t="str">
        <x:v>酸辣鸡杂</x:v>
      </x:c>
      <x:c r="J1038" s="22" t="n">
        <x:f>XLOOKUP(H1038,'菜品主数据'!$A$5:$A$24,'菜品主数据'!$D$5:$D$24,0)</x:f>
        <x:v>28</x:v>
      </x:c>
      <x:c r="K1038" s="31" t="n">
        <x:v>0</x:v>
      </x:c>
      <x:c r="L1038" s="35" t="n">
        <x:f>J1038*K1038</x:f>
        <x:v>0</x:v>
      </x:c>
      <x:c r="M1038" s="36" t="n">
        <x:v>0.08</x:v>
      </x:c>
      <x:c r="N1038" s="35" t="n">
        <x:f>L1038*M1038</x:f>
        <x:v>0</x:v>
      </x:c>
      <x:c r="O1038" s="37" t="n">
        <x:v>0.18</x:v>
      </x:c>
      <x:c r="P1038" s="35" t="n">
        <x:f>L1038*O1038</x:f>
        <x:v>0</x:v>
      </x:c>
      <x:c r="Q1038" s="35" t="n">
        <x:v>1.2</x:v>
      </x:c>
      <x:c r="R1038" s="35" t="n">
        <x:f>K1038*Q1038</x:f>
        <x:v>0</x:v>
      </x:c>
      <x:c r="S1038" s="35" t="n">
        <x:f>XLOOKUP(H1038,'菜品主数据'!$A$5:$A$24,'菜品主数据'!$G$5:$G$24,0)</x:f>
        <x:v>8.315000000000001</x:v>
      </x:c>
      <x:c r="T1038" s="35" t="n">
        <x:f>K1038*S1038</x:f>
        <x:v>0</x:v>
      </x:c>
      <x:c r="U1038" s="35" t="n">
        <x:f>L1038-N1038-P1038-R1038-T1038</x:f>
        <x:v>0</x:v>
      </x:c>
      <x:c r="V1038" s="21" t="n">
        <x:f>IFERROR(U1038/L1038,0)</x:f>
        <x:v>0</x:v>
      </x:c>
    </x:row>
    <x:row r="1039">
      <x:c r="A1039" s="19" t="str">
        <x:v>SALE-01035</x:v>
      </x:c>
      <x:c r="B1039" s="34" t="n">
        <x:v>46214.5</x:v>
      </x:c>
      <x:c r="C1039" s="19" t="str">
        <x:v>周六</x:v>
      </x:c>
      <x:c r="D1039" s="19" t="str">
        <x:v>S04</x:v>
      </x:c>
      <x:c r="E1039" s="19" t="str">
        <x:v>金街美地店</x:v>
      </x:c>
      <x:c r="F1039" s="19" t="str">
        <x:v>外卖</x:v>
      </x:c>
      <x:c r="G1039" s="19" t="str">
        <x:v>全日</x:v>
      </x:c>
      <x:c r="H1039" s="19" t="str">
        <x:v>D15</x:v>
      </x:c>
      <x:c r="I1039" s="19" t="str">
        <x:v>湘西土匪猪肝</x:v>
      </x:c>
      <x:c r="J1039" s="22" t="n">
        <x:f>XLOOKUP(H1039,'菜品主数据'!$A$5:$A$24,'菜品主数据'!$D$5:$D$24,0)</x:f>
        <x:v>26</x:v>
      </x:c>
      <x:c r="K1039" s="31" t="n">
        <x:v>0</x:v>
      </x:c>
      <x:c r="L1039" s="35" t="n">
        <x:f>J1039*K1039</x:f>
        <x:v>0</x:v>
      </x:c>
      <x:c r="M1039" s="36" t="n">
        <x:v>0.08</x:v>
      </x:c>
      <x:c r="N1039" s="35" t="n">
        <x:f>L1039*M1039</x:f>
        <x:v>0</x:v>
      </x:c>
      <x:c r="O1039" s="37" t="n">
        <x:v>0.18</x:v>
      </x:c>
      <x:c r="P1039" s="35" t="n">
        <x:f>L1039*O1039</x:f>
        <x:v>0</x:v>
      </x:c>
      <x:c r="Q1039" s="35" t="n">
        <x:v>1.2</x:v>
      </x:c>
      <x:c r="R1039" s="35" t="n">
        <x:f>K1039*Q1039</x:f>
        <x:v>0</x:v>
      </x:c>
      <x:c r="S1039" s="35" t="n">
        <x:f>XLOOKUP(H1039,'菜品主数据'!$A$5:$A$24,'菜品主数据'!$G$5:$G$24,0)</x:f>
        <x:v>6.3759999999999994</x:v>
      </x:c>
      <x:c r="T1039" s="35" t="n">
        <x:f>K1039*S1039</x:f>
        <x:v>0</x:v>
      </x:c>
      <x:c r="U1039" s="35" t="n">
        <x:f>L1039-N1039-P1039-R1039-T1039</x:f>
        <x:v>0</x:v>
      </x:c>
      <x:c r="V1039" s="21" t="n">
        <x:f>IFERROR(U1039/L1039,0)</x:f>
        <x:v>0</x:v>
      </x:c>
    </x:row>
    <x:row r="1040">
      <x:c r="A1040" s="19" t="str">
        <x:v>SALE-01036</x:v>
      </x:c>
      <x:c r="B1040" s="34" t="n">
        <x:v>46214.5</x:v>
      </x:c>
      <x:c r="C1040" s="19" t="str">
        <x:v>周六</x:v>
      </x:c>
      <x:c r="D1040" s="19" t="str">
        <x:v>S04</x:v>
      </x:c>
      <x:c r="E1040" s="19" t="str">
        <x:v>金街美地店</x:v>
      </x:c>
      <x:c r="F1040" s="19" t="str">
        <x:v>外卖</x:v>
      </x:c>
      <x:c r="G1040" s="19" t="str">
        <x:v>全日</x:v>
      </x:c>
      <x:c r="H1040" s="19" t="str">
        <x:v>D16</x:v>
      </x:c>
      <x:c r="I1040" s="19" t="str">
        <x:v>小豆角炒五花</x:v>
      </x:c>
      <x:c r="J1040" s="22" t="n">
        <x:f>XLOOKUP(H1040,'菜品主数据'!$A$5:$A$24,'菜品主数据'!$D$5:$D$24,0)</x:f>
        <x:v>25</x:v>
      </x:c>
      <x:c r="K1040" s="31" t="n">
        <x:v>0</x:v>
      </x:c>
      <x:c r="L1040" s="35" t="n">
        <x:f>J1040*K1040</x:f>
        <x:v>0</x:v>
      </x:c>
      <x:c r="M1040" s="36" t="n">
        <x:v>0.08</x:v>
      </x:c>
      <x:c r="N1040" s="35" t="n">
        <x:f>L1040*M1040</x:f>
        <x:v>0</x:v>
      </x:c>
      <x:c r="O1040" s="37" t="n">
        <x:v>0.18</x:v>
      </x:c>
      <x:c r="P1040" s="35" t="n">
        <x:f>L1040*O1040</x:f>
        <x:v>0</x:v>
      </x:c>
      <x:c r="Q1040" s="35" t="n">
        <x:v>1.2</x:v>
      </x:c>
      <x:c r="R1040" s="35" t="n">
        <x:f>K1040*Q1040</x:f>
        <x:v>0</x:v>
      </x:c>
      <x:c r="S1040" s="35" t="n">
        <x:f>XLOOKUP(H1040,'菜品主数据'!$A$5:$A$24,'菜品主数据'!$G$5:$G$24,0)</x:f>
        <x:v>8.184</x:v>
      </x:c>
      <x:c r="T1040" s="35" t="n">
        <x:f>K1040*S1040</x:f>
        <x:v>0</x:v>
      </x:c>
      <x:c r="U1040" s="35" t="n">
        <x:f>L1040-N1040-P1040-R1040-T1040</x:f>
        <x:v>0</x:v>
      </x:c>
      <x:c r="V1040" s="21" t="n">
        <x:f>IFERROR(U1040/L1040,0)</x:f>
        <x:v>0</x:v>
      </x:c>
    </x:row>
    <x:row r="1041">
      <x:c r="A1041" s="19" t="str">
        <x:v>SALE-01037</x:v>
      </x:c>
      <x:c r="B1041" s="34" t="n">
        <x:v>46214.5</x:v>
      </x:c>
      <x:c r="C1041" s="19" t="str">
        <x:v>周六</x:v>
      </x:c>
      <x:c r="D1041" s="19" t="str">
        <x:v>S04</x:v>
      </x:c>
      <x:c r="E1041" s="19" t="str">
        <x:v>金街美地店</x:v>
      </x:c>
      <x:c r="F1041" s="19" t="str">
        <x:v>外卖</x:v>
      </x:c>
      <x:c r="G1041" s="19" t="str">
        <x:v>全日</x:v>
      </x:c>
      <x:c r="H1041" s="19" t="str">
        <x:v>D17</x:v>
      </x:c>
      <x:c r="I1041" s="19" t="str">
        <x:v>蒜蓉粉丝虾</x:v>
      </x:c>
      <x:c r="J1041" s="22" t="n">
        <x:f>XLOOKUP(H1041,'菜品主数据'!$A$5:$A$24,'菜品主数据'!$D$5:$D$24,0)</x:f>
        <x:v>36</x:v>
      </x:c>
      <x:c r="K1041" s="31" t="n">
        <x:v>0</x:v>
      </x:c>
      <x:c r="L1041" s="35" t="n">
        <x:f>J1041*K1041</x:f>
        <x:v>0</x:v>
      </x:c>
      <x:c r="M1041" s="36" t="n">
        <x:v>0.08</x:v>
      </x:c>
      <x:c r="N1041" s="35" t="n">
        <x:f>L1041*M1041</x:f>
        <x:v>0</x:v>
      </x:c>
      <x:c r="O1041" s="37" t="n">
        <x:v>0.18</x:v>
      </x:c>
      <x:c r="P1041" s="35" t="n">
        <x:f>L1041*O1041</x:f>
        <x:v>0</x:v>
      </x:c>
      <x:c r="Q1041" s="35" t="n">
        <x:v>1.2</x:v>
      </x:c>
      <x:c r="R1041" s="35" t="n">
        <x:f>K1041*Q1041</x:f>
        <x:v>0</x:v>
      </x:c>
      <x:c r="S1041" s="35" t="n">
        <x:f>XLOOKUP(H1041,'菜品主数据'!$A$5:$A$24,'菜品主数据'!$G$5:$G$24,0)</x:f>
        <x:v>13.594</x:v>
      </x:c>
      <x:c r="T1041" s="35" t="n">
        <x:f>K1041*S1041</x:f>
        <x:v>0</x:v>
      </x:c>
      <x:c r="U1041" s="35" t="n">
        <x:f>L1041-N1041-P1041-R1041-T1041</x:f>
        <x:v>0</x:v>
      </x:c>
      <x:c r="V1041" s="21" t="n">
        <x:f>IFERROR(U1041/L1041,0)</x:f>
        <x:v>0</x:v>
      </x:c>
    </x:row>
    <x:row r="1042">
      <x:c r="A1042" s="19" t="str">
        <x:v>SALE-01038</x:v>
      </x:c>
      <x:c r="B1042" s="34" t="n">
        <x:v>46214.5</x:v>
      </x:c>
      <x:c r="C1042" s="19" t="str">
        <x:v>周六</x:v>
      </x:c>
      <x:c r="D1042" s="19" t="str">
        <x:v>S04</x:v>
      </x:c>
      <x:c r="E1042" s="19" t="str">
        <x:v>金街美地店</x:v>
      </x:c>
      <x:c r="F1042" s="19" t="str">
        <x:v>外卖</x:v>
      </x:c>
      <x:c r="G1042" s="19" t="str">
        <x:v>全日</x:v>
      </x:c>
      <x:c r="H1042" s="19" t="str">
        <x:v>D18</x:v>
      </x:c>
      <x:c r="I1042" s="19" t="str">
        <x:v>青椒炒油麦菜</x:v>
      </x:c>
      <x:c r="J1042" s="22" t="n">
        <x:f>XLOOKUP(H1042,'菜品主数据'!$A$5:$A$24,'菜品主数据'!$D$5:$D$24,0)</x:f>
        <x:v>18</x:v>
      </x:c>
      <x:c r="K1042" s="31" t="n">
        <x:v>0</x:v>
      </x:c>
      <x:c r="L1042" s="35" t="n">
        <x:f>J1042*K1042</x:f>
        <x:v>0</x:v>
      </x:c>
      <x:c r="M1042" s="36" t="n">
        <x:v>0.08</x:v>
      </x:c>
      <x:c r="N1042" s="35" t="n">
        <x:f>L1042*M1042</x:f>
        <x:v>0</x:v>
      </x:c>
      <x:c r="O1042" s="37" t="n">
        <x:v>0.18</x:v>
      </x:c>
      <x:c r="P1042" s="35" t="n">
        <x:f>L1042*O1042</x:f>
        <x:v>0</x:v>
      </x:c>
      <x:c r="Q1042" s="35" t="n">
        <x:v>1.2</x:v>
      </x:c>
      <x:c r="R1042" s="35" t="n">
        <x:f>K1042*Q1042</x:f>
        <x:v>0</x:v>
      </x:c>
      <x:c r="S1042" s="35" t="n">
        <x:f>XLOOKUP(H1042,'菜品主数据'!$A$5:$A$24,'菜品主数据'!$G$5:$G$24,0)</x:f>
        <x:v>3.1759999999999993</x:v>
      </x:c>
      <x:c r="T1042" s="35" t="n">
        <x:f>K1042*S1042</x:f>
        <x:v>0</x:v>
      </x:c>
      <x:c r="U1042" s="35" t="n">
        <x:f>L1042-N1042-P1042-R1042-T1042</x:f>
        <x:v>0</x:v>
      </x:c>
      <x:c r="V1042" s="21" t="n">
        <x:f>IFERROR(U1042/L1042,0)</x:f>
        <x:v>0</x:v>
      </x:c>
    </x:row>
    <x:row r="1043">
      <x:c r="A1043" s="19" t="str">
        <x:v>SALE-01039</x:v>
      </x:c>
      <x:c r="B1043" s="34" t="n">
        <x:v>46214.5</x:v>
      </x:c>
      <x:c r="C1043" s="19" t="str">
        <x:v>周六</x:v>
      </x:c>
      <x:c r="D1043" s="19" t="str">
        <x:v>S04</x:v>
      </x:c>
      <x:c r="E1043" s="19" t="str">
        <x:v>金街美地店</x:v>
      </x:c>
      <x:c r="F1043" s="19" t="str">
        <x:v>外卖</x:v>
      </x:c>
      <x:c r="G1043" s="19" t="str">
        <x:v>全日</x:v>
      </x:c>
      <x:c r="H1043" s="19" t="str">
        <x:v>D19</x:v>
      </x:c>
      <x:c r="I1043" s="19" t="str">
        <x:v>酸萝卜炒鸡杂</x:v>
      </x:c>
      <x:c r="J1043" s="22" t="n">
        <x:f>XLOOKUP(H1043,'菜品主数据'!$A$5:$A$24,'菜品主数据'!$D$5:$D$24,0)</x:f>
        <x:v>25</x:v>
      </x:c>
      <x:c r="K1043" s="31" t="n">
        <x:v>0</x:v>
      </x:c>
      <x:c r="L1043" s="35" t="n">
        <x:f>J1043*K1043</x:f>
        <x:v>0</x:v>
      </x:c>
      <x:c r="M1043" s="36" t="n">
        <x:v>0.08</x:v>
      </x:c>
      <x:c r="N1043" s="35" t="n">
        <x:f>L1043*M1043</x:f>
        <x:v>0</x:v>
      </x:c>
      <x:c r="O1043" s="37" t="n">
        <x:v>0.18</x:v>
      </x:c>
      <x:c r="P1043" s="35" t="n">
        <x:f>L1043*O1043</x:f>
        <x:v>0</x:v>
      </x:c>
      <x:c r="Q1043" s="35" t="n">
        <x:v>1.2</x:v>
      </x:c>
      <x:c r="R1043" s="35" t="n">
        <x:f>K1043*Q1043</x:f>
        <x:v>0</x:v>
      </x:c>
      <x:c r="S1043" s="35" t="n">
        <x:f>XLOOKUP(H1043,'菜品主数据'!$A$5:$A$24,'菜品主数据'!$G$5:$G$24,0)</x:f>
        <x:v>7.9399999999999995</x:v>
      </x:c>
      <x:c r="T1043" s="35" t="n">
        <x:f>K1043*S1043</x:f>
        <x:v>0</x:v>
      </x:c>
      <x:c r="U1043" s="35" t="n">
        <x:f>L1043-N1043-P1043-R1043-T1043</x:f>
        <x:v>0</x:v>
      </x:c>
      <x:c r="V1043" s="21" t="n">
        <x:f>IFERROR(U1043/L1043,0)</x:f>
        <x:v>0</x:v>
      </x:c>
    </x:row>
    <x:row r="1044">
      <x:c r="A1044" s="19" t="str">
        <x:v>SALE-01040</x:v>
      </x:c>
      <x:c r="B1044" s="34" t="n">
        <x:v>46214.5</x:v>
      </x:c>
      <x:c r="C1044" s="19" t="str">
        <x:v>周六</x:v>
      </x:c>
      <x:c r="D1044" s="19" t="str">
        <x:v>S04</x:v>
      </x:c>
      <x:c r="E1044" s="19" t="str">
        <x:v>金街美地店</x:v>
      </x:c>
      <x:c r="F1044" s="19" t="str">
        <x:v>外卖</x:v>
      </x:c>
      <x:c r="G1044" s="19" t="str">
        <x:v>全日</x:v>
      </x:c>
      <x:c r="H1044" s="19" t="str">
        <x:v>D20</x:v>
      </x:c>
      <x:c r="I1044" s="19" t="str">
        <x:v>雪菜肉末青豆</x:v>
      </x:c>
      <x:c r="J1044" s="22" t="n">
        <x:f>XLOOKUP(H1044,'菜品主数据'!$A$5:$A$24,'菜品主数据'!$D$5:$D$24,0)</x:f>
        <x:v>18</x:v>
      </x:c>
      <x:c r="K1044" s="31" t="n">
        <x:v>0</x:v>
      </x:c>
      <x:c r="L1044" s="35" t="n">
        <x:f>J1044*K1044</x:f>
        <x:v>0</x:v>
      </x:c>
      <x:c r="M1044" s="36" t="n">
        <x:v>0.08</x:v>
      </x:c>
      <x:c r="N1044" s="35" t="n">
        <x:f>L1044*M1044</x:f>
        <x:v>0</x:v>
      </x:c>
      <x:c r="O1044" s="37" t="n">
        <x:v>0.18</x:v>
      </x:c>
      <x:c r="P1044" s="35" t="n">
        <x:f>L1044*O1044</x:f>
        <x:v>0</x:v>
      </x:c>
      <x:c r="Q1044" s="35" t="n">
        <x:v>1.2</x:v>
      </x:c>
      <x:c r="R1044" s="35" t="n">
        <x:f>K1044*Q1044</x:f>
        <x:v>0</x:v>
      </x:c>
      <x:c r="S1044" s="35" t="n">
        <x:f>XLOOKUP(H1044,'菜品主数据'!$A$5:$A$24,'菜品主数据'!$G$5:$G$24,0)</x:f>
        <x:v>7.303999999999999</x:v>
      </x:c>
      <x:c r="T1044" s="35" t="n">
        <x:f>K1044*S1044</x:f>
        <x:v>0</x:v>
      </x:c>
      <x:c r="U1044" s="35" t="n">
        <x:f>L1044-N1044-P1044-R1044-T1044</x:f>
        <x:v>0</x:v>
      </x:c>
      <x:c r="V1044" s="21" t="n">
        <x:f>IFERROR(U1044/L1044,0)</x:f>
        <x:v>0</x:v>
      </x:c>
    </x:row>
    <x:row r="1045">
      <x:c r="A1045" s="19" t="str">
        <x:v>SALE-01041</x:v>
      </x:c>
      <x:c r="B1045" s="34" t="n">
        <x:v>46215.5</x:v>
      </x:c>
      <x:c r="C1045" s="19" t="str">
        <x:v>周日</x:v>
      </x:c>
      <x:c r="D1045" s="19" t="str">
        <x:v>S04</x:v>
      </x:c>
      <x:c r="E1045" s="19" t="str">
        <x:v>金街美地店</x:v>
      </x:c>
      <x:c r="F1045" s="19" t="str">
        <x:v>堂食</x:v>
      </x:c>
      <x:c r="G1045" s="19" t="str">
        <x:v>全日</x:v>
      </x:c>
      <x:c r="H1045" s="19" t="str">
        <x:v>D01</x:v>
      </x:c>
      <x:c r="I1045" s="19" t="str">
        <x:v>辣椒炒肉</x:v>
      </x:c>
      <x:c r="J1045" s="22" t="n">
        <x:f>XLOOKUP(H1045,'菜品主数据'!$A$5:$A$24,'菜品主数据'!$D$5:$D$24,0)</x:f>
        <x:v>29</x:v>
      </x:c>
      <x:c r="K1045" s="31" t="n">
        <x:v>34</x:v>
      </x:c>
      <x:c r="L1045" s="35" t="n">
        <x:f>J1045*K1045</x:f>
        <x:v>986</x:v>
      </x:c>
      <x:c r="M1045" s="36" t="n">
        <x:v>0</x:v>
      </x:c>
      <x:c r="N1045" s="35" t="n">
        <x:f>L1045*M1045</x:f>
        <x:v>0</x:v>
      </x:c>
      <x:c r="O1045" s="37" t="n">
        <x:v>0</x:v>
      </x:c>
      <x:c r="P1045" s="35" t="n">
        <x:f>L1045*O1045</x:f>
        <x:v>0</x:v>
      </x:c>
      <x:c r="Q1045" s="35" t="n">
        <x:v>0</x:v>
      </x:c>
      <x:c r="R1045" s="35" t="n">
        <x:f>K1045*Q1045</x:f>
        <x:v>0</x:v>
      </x:c>
      <x:c r="S1045" s="35" t="n">
        <x:f>XLOOKUP(H1045,'菜品主数据'!$A$5:$A$24,'菜品主数据'!$G$5:$G$24,0)</x:f>
        <x:v>8.634400000000001</x:v>
      </x:c>
      <x:c r="T1045" s="35" t="n">
        <x:f>K1045*S1045</x:f>
        <x:v>293.56960000000004</x:v>
      </x:c>
      <x:c r="U1045" s="35" t="n">
        <x:f>L1045-N1045-P1045-R1045-T1045</x:f>
        <x:v>692.4304</x:v>
      </x:c>
      <x:c r="V1045" s="21" t="n">
        <x:f>IFERROR(U1045/L1045,0)</x:f>
        <x:v>0.7022620689655172</x:v>
      </x:c>
    </x:row>
    <x:row r="1046">
      <x:c r="A1046" s="19" t="str">
        <x:v>SALE-01042</x:v>
      </x:c>
      <x:c r="B1046" s="34" t="n">
        <x:v>46215.5</x:v>
      </x:c>
      <x:c r="C1046" s="19" t="str">
        <x:v>周日</x:v>
      </x:c>
      <x:c r="D1046" s="19" t="str">
        <x:v>S04</x:v>
      </x:c>
      <x:c r="E1046" s="19" t="str">
        <x:v>金街美地店</x:v>
      </x:c>
      <x:c r="F1046" s="19" t="str">
        <x:v>堂食</x:v>
      </x:c>
      <x:c r="G1046" s="19" t="str">
        <x:v>全日</x:v>
      </x:c>
      <x:c r="H1046" s="19" t="str">
        <x:v>D02</x:v>
      </x:c>
      <x:c r="I1046" s="19" t="str">
        <x:v>小炒黄牛肉</x:v>
      </x:c>
      <x:c r="J1046" s="22" t="n">
        <x:f>XLOOKUP(H1046,'菜品主数据'!$A$5:$A$24,'菜品主数据'!$D$5:$D$24,0)</x:f>
        <x:v>49</x:v>
      </x:c>
      <x:c r="K1046" s="31" t="n">
        <x:v>22</x:v>
      </x:c>
      <x:c r="L1046" s="35" t="n">
        <x:f>J1046*K1046</x:f>
        <x:v>1078</x:v>
      </x:c>
      <x:c r="M1046" s="36" t="n">
        <x:v>0</x:v>
      </x:c>
      <x:c r="N1046" s="35" t="n">
        <x:f>L1046*M1046</x:f>
        <x:v>0</x:v>
      </x:c>
      <x:c r="O1046" s="37" t="n">
        <x:v>0</x:v>
      </x:c>
      <x:c r="P1046" s="35" t="n">
        <x:f>L1046*O1046</x:f>
        <x:v>0</x:v>
      </x:c>
      <x:c r="Q1046" s="35" t="n">
        <x:v>0</x:v>
      </x:c>
      <x:c r="R1046" s="35" t="n">
        <x:f>K1046*Q1046</x:f>
        <x:v>0</x:v>
      </x:c>
      <x:c r="S1046" s="35" t="n">
        <x:f>XLOOKUP(H1046,'菜品主数据'!$A$5:$A$24,'菜品主数据'!$G$5:$G$24,0)</x:f>
        <x:v>17.577</x:v>
      </x:c>
      <x:c r="T1046" s="35" t="n">
        <x:f>K1046*S1046</x:f>
        <x:v>386.694</x:v>
      </x:c>
      <x:c r="U1046" s="35" t="n">
        <x:f>L1046-N1046-P1046-R1046-T1046</x:f>
        <x:v>691.306</x:v>
      </x:c>
      <x:c r="V1046" s="21" t="n">
        <x:f>IFERROR(U1046/L1046,0)</x:f>
        <x:v>0.6412857142857143</x:v>
      </x:c>
    </x:row>
    <x:row r="1047">
      <x:c r="A1047" s="19" t="str">
        <x:v>SALE-01043</x:v>
      </x:c>
      <x:c r="B1047" s="34" t="n">
        <x:v>46215.5</x:v>
      </x:c>
      <x:c r="C1047" s="19" t="str">
        <x:v>周日</x:v>
      </x:c>
      <x:c r="D1047" s="19" t="str">
        <x:v>S04</x:v>
      </x:c>
      <x:c r="E1047" s="19" t="str">
        <x:v>金街美地店</x:v>
      </x:c>
      <x:c r="F1047" s="19" t="str">
        <x:v>堂食</x:v>
      </x:c>
      <x:c r="G1047" s="19" t="str">
        <x:v>全日</x:v>
      </x:c>
      <x:c r="H1047" s="19" t="str">
        <x:v>D03</x:v>
      </x:c>
      <x:c r="I1047" s="19" t="str">
        <x:v>香醋炒蛋</x:v>
      </x:c>
      <x:c r="J1047" s="22" t="n">
        <x:f>XLOOKUP(H1047,'菜品主数据'!$A$5:$A$24,'菜品主数据'!$D$5:$D$24,0)</x:f>
        <x:v>14.9</x:v>
      </x:c>
      <x:c r="K1047" s="31" t="n">
        <x:v>30</x:v>
      </x:c>
      <x:c r="L1047" s="35" t="n">
        <x:f>J1047*K1047</x:f>
        <x:v>447</x:v>
      </x:c>
      <x:c r="M1047" s="36" t="n">
        <x:v>0</x:v>
      </x:c>
      <x:c r="N1047" s="35" t="n">
        <x:f>L1047*M1047</x:f>
        <x:v>0</x:v>
      </x:c>
      <x:c r="O1047" s="37" t="n">
        <x:v>0</x:v>
      </x:c>
      <x:c r="P1047" s="35" t="n">
        <x:f>L1047*O1047</x:f>
        <x:v>0</x:v>
      </x:c>
      <x:c r="Q1047" s="35" t="n">
        <x:v>0</x:v>
      </x:c>
      <x:c r="R1047" s="35" t="n">
        <x:f>K1047*Q1047</x:f>
        <x:v>0</x:v>
      </x:c>
      <x:c r="S1047" s="35" t="n">
        <x:f>XLOOKUP(H1047,'菜品主数据'!$A$5:$A$24,'菜品主数据'!$G$5:$G$24,0)</x:f>
        <x:v>3.7459999999999996</x:v>
      </x:c>
      <x:c r="T1047" s="35" t="n">
        <x:f>K1047*S1047</x:f>
        <x:v>112.37999999999998</x:v>
      </x:c>
      <x:c r="U1047" s="35" t="n">
        <x:f>L1047-N1047-P1047-R1047-T1047</x:f>
        <x:v>334.62</x:v>
      </x:c>
      <x:c r="V1047" s="21" t="n">
        <x:f>IFERROR(U1047/L1047,0)</x:f>
        <x:v>0.7485906040268456</x:v>
      </x:c>
    </x:row>
    <x:row r="1048">
      <x:c r="A1048" s="19" t="str">
        <x:v>SALE-01044</x:v>
      </x:c>
      <x:c r="B1048" s="34" t="n">
        <x:v>46215.5</x:v>
      </x:c>
      <x:c r="C1048" s="19" t="str">
        <x:v>周日</x:v>
      </x:c>
      <x:c r="D1048" s="19" t="str">
        <x:v>S04</x:v>
      </x:c>
      <x:c r="E1048" s="19" t="str">
        <x:v>金街美地店</x:v>
      </x:c>
      <x:c r="F1048" s="19" t="str">
        <x:v>堂食</x:v>
      </x:c>
      <x:c r="G1048" s="19" t="str">
        <x:v>全日</x:v>
      </x:c>
      <x:c r="H1048" s="19" t="str">
        <x:v>D04</x:v>
      </x:c>
      <x:c r="I1048" s="19" t="str">
        <x:v>酸包菜炒粉皮</x:v>
      </x:c>
      <x:c r="J1048" s="22" t="n">
        <x:f>XLOOKUP(H1048,'菜品主数据'!$A$5:$A$24,'菜品主数据'!$D$5:$D$24,0)</x:f>
        <x:v>16</x:v>
      </x:c>
      <x:c r="K1048" s="31" t="n">
        <x:v>25</x:v>
      </x:c>
      <x:c r="L1048" s="35" t="n">
        <x:f>J1048*K1048</x:f>
        <x:v>400</x:v>
      </x:c>
      <x:c r="M1048" s="36" t="n">
        <x:v>0</x:v>
      </x:c>
      <x:c r="N1048" s="35" t="n">
        <x:f>L1048*M1048</x:f>
        <x:v>0</x:v>
      </x:c>
      <x:c r="O1048" s="37" t="n">
        <x:v>0</x:v>
      </x:c>
      <x:c r="P1048" s="35" t="n">
        <x:f>L1048*O1048</x:f>
        <x:v>0</x:v>
      </x:c>
      <x:c r="Q1048" s="35" t="n">
        <x:v>0</x:v>
      </x:c>
      <x:c r="R1048" s="35" t="n">
        <x:f>K1048*Q1048</x:f>
        <x:v>0</x:v>
      </x:c>
      <x:c r="S1048" s="35" t="n">
        <x:f>XLOOKUP(H1048,'菜品主数据'!$A$5:$A$24,'菜品主数据'!$G$5:$G$24,0)</x:f>
        <x:v>3.978</x:v>
      </x:c>
      <x:c r="T1048" s="35" t="n">
        <x:f>K1048*S1048</x:f>
        <x:v>99.45</x:v>
      </x:c>
      <x:c r="U1048" s="35" t="n">
        <x:f>L1048-N1048-P1048-R1048-T1048</x:f>
        <x:v>300.55</x:v>
      </x:c>
      <x:c r="V1048" s="21" t="n">
        <x:f>IFERROR(U1048/L1048,0)</x:f>
        <x:v>0.751375</x:v>
      </x:c>
    </x:row>
    <x:row r="1049">
      <x:c r="A1049" s="19" t="str">
        <x:v>SALE-01045</x:v>
      </x:c>
      <x:c r="B1049" s="34" t="n">
        <x:v>46215.5</x:v>
      </x:c>
      <x:c r="C1049" s="19" t="str">
        <x:v>周日</x:v>
      </x:c>
      <x:c r="D1049" s="19" t="str">
        <x:v>S04</x:v>
      </x:c>
      <x:c r="E1049" s="19" t="str">
        <x:v>金街美地店</x:v>
      </x:c>
      <x:c r="F1049" s="19" t="str">
        <x:v>堂食</x:v>
      </x:c>
      <x:c r="G1049" s="19" t="str">
        <x:v>全日</x:v>
      </x:c>
      <x:c r="H1049" s="19" t="str">
        <x:v>D05</x:v>
      </x:c>
      <x:c r="I1049" s="19" t="str">
        <x:v>麻婆豆腐</x:v>
      </x:c>
      <x:c r="J1049" s="22" t="n">
        <x:f>XLOOKUP(H1049,'菜品主数据'!$A$5:$A$24,'菜品主数据'!$D$5:$D$24,0)</x:f>
        <x:v>9.9</x:v>
      </x:c>
      <x:c r="K1049" s="31" t="n">
        <x:v>36</x:v>
      </x:c>
      <x:c r="L1049" s="35" t="n">
        <x:f>J1049*K1049</x:f>
        <x:v>356.40000000000003</x:v>
      </x:c>
      <x:c r="M1049" s="36" t="n">
        <x:v>0</x:v>
      </x:c>
      <x:c r="N1049" s="35" t="n">
        <x:f>L1049*M1049</x:f>
        <x:v>0</x:v>
      </x:c>
      <x:c r="O1049" s="37" t="n">
        <x:v>0</x:v>
      </x:c>
      <x:c r="P1049" s="35" t="n">
        <x:f>L1049*O1049</x:f>
        <x:v>0</x:v>
      </x:c>
      <x:c r="Q1049" s="35" t="n">
        <x:v>0</x:v>
      </x:c>
      <x:c r="R1049" s="35" t="n">
        <x:f>K1049*Q1049</x:f>
        <x:v>0</x:v>
      </x:c>
      <x:c r="S1049" s="35" t="n">
        <x:f>XLOOKUP(H1049,'菜品主数据'!$A$5:$A$24,'菜品主数据'!$G$5:$G$24,0)</x:f>
        <x:v>5.367000000000001</x:v>
      </x:c>
      <x:c r="T1049" s="35" t="n">
        <x:f>K1049*S1049</x:f>
        <x:v>193.21200000000005</x:v>
      </x:c>
      <x:c r="U1049" s="35" t="n">
        <x:f>L1049-N1049-P1049-R1049-T1049</x:f>
        <x:v>163.188</x:v>
      </x:c>
      <x:c r="V1049" s="21" t="n">
        <x:f>IFERROR(U1049/L1049,0)</x:f>
        <x:v>0.4578787878787878</x:v>
      </x:c>
    </x:row>
    <x:row r="1050">
      <x:c r="A1050" s="19" t="str">
        <x:v>SALE-01046</x:v>
      </x:c>
      <x:c r="B1050" s="34" t="n">
        <x:v>46215.5</x:v>
      </x:c>
      <x:c r="C1050" s="19" t="str">
        <x:v>周日</x:v>
      </x:c>
      <x:c r="D1050" s="19" t="str">
        <x:v>S04</x:v>
      </x:c>
      <x:c r="E1050" s="19" t="str">
        <x:v>金街美地店</x:v>
      </x:c>
      <x:c r="F1050" s="19" t="str">
        <x:v>堂食</x:v>
      </x:c>
      <x:c r="G1050" s="19" t="str">
        <x:v>全日</x:v>
      </x:c>
      <x:c r="H1050" s="19" t="str">
        <x:v>D06</x:v>
      </x:c>
      <x:c r="I1050" s="19" t="str">
        <x:v>剁椒鱼头</x:v>
      </x:c>
      <x:c r="J1050" s="22" t="n">
        <x:f>XLOOKUP(H1050,'菜品主数据'!$A$5:$A$24,'菜品主数据'!$D$5:$D$24,0)</x:f>
        <x:v>39</x:v>
      </x:c>
      <x:c r="K1050" s="31" t="n">
        <x:v>8</x:v>
      </x:c>
      <x:c r="L1050" s="35" t="n">
        <x:f>J1050*K1050</x:f>
        <x:v>312</x:v>
      </x:c>
      <x:c r="M1050" s="36" t="n">
        <x:v>0</x:v>
      </x:c>
      <x:c r="N1050" s="35" t="n">
        <x:f>L1050*M1050</x:f>
        <x:v>0</x:v>
      </x:c>
      <x:c r="O1050" s="37" t="n">
        <x:v>0</x:v>
      </x:c>
      <x:c r="P1050" s="35" t="n">
        <x:f>L1050*O1050</x:f>
        <x:v>0</x:v>
      </x:c>
      <x:c r="Q1050" s="35" t="n">
        <x:v>0</x:v>
      </x:c>
      <x:c r="R1050" s="35" t="n">
        <x:f>K1050*Q1050</x:f>
        <x:v>0</x:v>
      </x:c>
      <x:c r="S1050" s="35" t="n">
        <x:f>XLOOKUP(H1050,'菜品主数据'!$A$5:$A$24,'菜品主数据'!$G$5:$G$24,0)</x:f>
        <x:v>17.446</x:v>
      </x:c>
      <x:c r="T1050" s="35" t="n">
        <x:f>K1050*S1050</x:f>
        <x:v>139.568</x:v>
      </x:c>
      <x:c r="U1050" s="35" t="n">
        <x:f>L1050-N1050-P1050-R1050-T1050</x:f>
        <x:v>172.432</x:v>
      </x:c>
      <x:c r="V1050" s="21" t="n">
        <x:f>IFERROR(U1050/L1050,0)</x:f>
        <x:v>0.5526666666666666</x:v>
      </x:c>
    </x:row>
    <x:row r="1051">
      <x:c r="A1051" s="19" t="str">
        <x:v>SALE-01047</x:v>
      </x:c>
      <x:c r="B1051" s="34" t="n">
        <x:v>46215.5</x:v>
      </x:c>
      <x:c r="C1051" s="19" t="str">
        <x:v>周日</x:v>
      </x:c>
      <x:c r="D1051" s="19" t="str">
        <x:v>S04</x:v>
      </x:c>
      <x:c r="E1051" s="19" t="str">
        <x:v>金街美地店</x:v>
      </x:c>
      <x:c r="F1051" s="19" t="str">
        <x:v>堂食</x:v>
      </x:c>
      <x:c r="G1051" s="19" t="str">
        <x:v>全日</x:v>
      </x:c>
      <x:c r="H1051" s="19" t="str">
        <x:v>D07</x:v>
      </x:c>
      <x:c r="I1051" s="19" t="str">
        <x:v>川味回锅肉</x:v>
      </x:c>
      <x:c r="J1051" s="22" t="n">
        <x:f>XLOOKUP(H1051,'菜品主数据'!$A$5:$A$24,'菜品主数据'!$D$5:$D$24,0)</x:f>
        <x:v>29</x:v>
      </x:c>
      <x:c r="K1051" s="31" t="n">
        <x:v>11</x:v>
      </x:c>
      <x:c r="L1051" s="35" t="n">
        <x:f>J1051*K1051</x:f>
        <x:v>319</x:v>
      </x:c>
      <x:c r="M1051" s="36" t="n">
        <x:v>0</x:v>
      </x:c>
      <x:c r="N1051" s="35" t="n">
        <x:f>L1051*M1051</x:f>
        <x:v>0</x:v>
      </x:c>
      <x:c r="O1051" s="37" t="n">
        <x:v>0</x:v>
      </x:c>
      <x:c r="P1051" s="35" t="n">
        <x:f>L1051*O1051</x:f>
        <x:v>0</x:v>
      </x:c>
      <x:c r="Q1051" s="35" t="n">
        <x:v>0</x:v>
      </x:c>
      <x:c r="R1051" s="35" t="n">
        <x:f>K1051*Q1051</x:f>
        <x:v>0</x:v>
      </x:c>
      <x:c r="S1051" s="35" t="n">
        <x:f>XLOOKUP(H1051,'菜品主数据'!$A$5:$A$24,'菜品主数据'!$G$5:$G$24,0)</x:f>
        <x:v>10.231000000000002</x:v>
      </x:c>
      <x:c r="T1051" s="35" t="n">
        <x:f>K1051*S1051</x:f>
        <x:v>112.54100000000003</x:v>
      </x:c>
      <x:c r="U1051" s="35" t="n">
        <x:f>L1051-N1051-P1051-R1051-T1051</x:f>
        <x:v>206.45899999999997</x:v>
      </x:c>
      <x:c r="V1051" s="21" t="n">
        <x:f>IFERROR(U1051/L1051,0)</x:f>
        <x:v>0.647206896551724</x:v>
      </x:c>
    </x:row>
    <x:row r="1052">
      <x:c r="A1052" s="19" t="str">
        <x:v>SALE-01048</x:v>
      </x:c>
      <x:c r="B1052" s="34" t="n">
        <x:v>46215.5</x:v>
      </x:c>
      <x:c r="C1052" s="19" t="str">
        <x:v>周日</x:v>
      </x:c>
      <x:c r="D1052" s="19" t="str">
        <x:v>S04</x:v>
      </x:c>
      <x:c r="E1052" s="19" t="str">
        <x:v>金街美地店</x:v>
      </x:c>
      <x:c r="F1052" s="19" t="str">
        <x:v>堂食</x:v>
      </x:c>
      <x:c r="G1052" s="19" t="str">
        <x:v>全日</x:v>
      </x:c>
      <x:c r="H1052" s="19" t="str">
        <x:v>D08</x:v>
      </x:c>
      <x:c r="I1052" s="19" t="str">
        <x:v>生炒清远鸡</x:v>
      </x:c>
      <x:c r="J1052" s="22" t="n">
        <x:f>XLOOKUP(H1052,'菜品主数据'!$A$5:$A$24,'菜品主数据'!$D$5:$D$24,0)</x:f>
        <x:v>36</x:v>
      </x:c>
      <x:c r="K1052" s="31" t="n">
        <x:v>7</x:v>
      </x:c>
      <x:c r="L1052" s="35" t="n">
        <x:f>J1052*K1052</x:f>
        <x:v>252</x:v>
      </x:c>
      <x:c r="M1052" s="36" t="n">
        <x:v>0</x:v>
      </x:c>
      <x:c r="N1052" s="35" t="n">
        <x:f>L1052*M1052</x:f>
        <x:v>0</x:v>
      </x:c>
      <x:c r="O1052" s="37" t="n">
        <x:v>0</x:v>
      </x:c>
      <x:c r="P1052" s="35" t="n">
        <x:f>L1052*O1052</x:f>
        <x:v>0</x:v>
      </x:c>
      <x:c r="Q1052" s="35" t="n">
        <x:v>0</x:v>
      </x:c>
      <x:c r="R1052" s="35" t="n">
        <x:f>K1052*Q1052</x:f>
        <x:v>0</x:v>
      </x:c>
      <x:c r="S1052" s="35" t="n">
        <x:f>XLOOKUP(H1052,'菜品主数据'!$A$5:$A$24,'菜品主数据'!$G$5:$G$24,0)</x:f>
        <x:v>13.48</x:v>
      </x:c>
      <x:c r="T1052" s="35" t="n">
        <x:f>K1052*S1052</x:f>
        <x:v>94.36</x:v>
      </x:c>
      <x:c r="U1052" s="35" t="n">
        <x:f>L1052-N1052-P1052-R1052-T1052</x:f>
        <x:v>157.64</x:v>
      </x:c>
      <x:c r="V1052" s="21" t="n">
        <x:f>IFERROR(U1052/L1052,0)</x:f>
        <x:v>0.6255555555555555</x:v>
      </x:c>
    </x:row>
    <x:row r="1053">
      <x:c r="A1053" s="19" t="str">
        <x:v>SALE-01049</x:v>
      </x:c>
      <x:c r="B1053" s="34" t="n">
        <x:v>46215.5</x:v>
      </x:c>
      <x:c r="C1053" s="19" t="str">
        <x:v>周日</x:v>
      </x:c>
      <x:c r="D1053" s="19" t="str">
        <x:v>S04</x:v>
      </x:c>
      <x:c r="E1053" s="19" t="str">
        <x:v>金街美地店</x:v>
      </x:c>
      <x:c r="F1053" s="19" t="str">
        <x:v>堂食</x:v>
      </x:c>
      <x:c r="G1053" s="19" t="str">
        <x:v>全日</x:v>
      </x:c>
      <x:c r="H1053" s="19" t="str">
        <x:v>D09</x:v>
      </x:c>
      <x:c r="I1053" s="19" t="str">
        <x:v>炒豆干</x:v>
      </x:c>
      <x:c r="J1053" s="22" t="n">
        <x:f>XLOOKUP(H1053,'菜品主数据'!$A$5:$A$24,'菜品主数据'!$D$5:$D$24,0)</x:f>
        <x:v>18</x:v>
      </x:c>
      <x:c r="K1053" s="31" t="n">
        <x:v>12</x:v>
      </x:c>
      <x:c r="L1053" s="35" t="n">
        <x:f>J1053*K1053</x:f>
        <x:v>216</x:v>
      </x:c>
      <x:c r="M1053" s="36" t="n">
        <x:v>0</x:v>
      </x:c>
      <x:c r="N1053" s="35" t="n">
        <x:f>L1053*M1053</x:f>
        <x:v>0</x:v>
      </x:c>
      <x:c r="O1053" s="37" t="n">
        <x:v>0</x:v>
      </x:c>
      <x:c r="P1053" s="35" t="n">
        <x:f>L1053*O1053</x:f>
        <x:v>0</x:v>
      </x:c>
      <x:c r="Q1053" s="35" t="n">
        <x:v>0</x:v>
      </x:c>
      <x:c r="R1053" s="35" t="n">
        <x:f>K1053*Q1053</x:f>
        <x:v>0</x:v>
      </x:c>
      <x:c r="S1053" s="35" t="n">
        <x:f>XLOOKUP(H1053,'菜品主数据'!$A$5:$A$24,'菜品主数据'!$G$5:$G$24,0)</x:f>
        <x:v>6.613999999999999</x:v>
      </x:c>
      <x:c r="T1053" s="35" t="n">
        <x:f>K1053*S1053</x:f>
        <x:v>79.368</x:v>
      </x:c>
      <x:c r="U1053" s="35" t="n">
        <x:f>L1053-N1053-P1053-R1053-T1053</x:f>
        <x:v>136.632</x:v>
      </x:c>
      <x:c r="V1053" s="21" t="n">
        <x:f>IFERROR(U1053/L1053,0)</x:f>
        <x:v>0.6325555555555555</x:v>
      </x:c>
    </x:row>
    <x:row r="1054">
      <x:c r="A1054" s="19" t="str">
        <x:v>SALE-01050</x:v>
      </x:c>
      <x:c r="B1054" s="34" t="n">
        <x:v>46215.5</x:v>
      </x:c>
      <x:c r="C1054" s="19" t="str">
        <x:v>周日</x:v>
      </x:c>
      <x:c r="D1054" s="19" t="str">
        <x:v>S04</x:v>
      </x:c>
      <x:c r="E1054" s="19" t="str">
        <x:v>金街美地店</x:v>
      </x:c>
      <x:c r="F1054" s="19" t="str">
        <x:v>堂食</x:v>
      </x:c>
      <x:c r="G1054" s="19" t="str">
        <x:v>全日</x:v>
      </x:c>
      <x:c r="H1054" s="19" t="str">
        <x:v>D10</x:v>
      </x:c>
      <x:c r="I1054" s="19" t="str">
        <x:v>农家一碗香</x:v>
      </x:c>
      <x:c r="J1054" s="22" t="n">
        <x:f>XLOOKUP(H1054,'菜品主数据'!$A$5:$A$24,'菜品主数据'!$D$5:$D$24,0)</x:f>
        <x:v>22.9</x:v>
      </x:c>
      <x:c r="K1054" s="31" t="n">
        <x:v>13</x:v>
      </x:c>
      <x:c r="L1054" s="35" t="n">
        <x:f>J1054*K1054</x:f>
        <x:v>297.7</x:v>
      </x:c>
      <x:c r="M1054" s="36" t="n">
        <x:v>0</x:v>
      </x:c>
      <x:c r="N1054" s="35" t="n">
        <x:f>L1054*M1054</x:f>
        <x:v>0</x:v>
      </x:c>
      <x:c r="O1054" s="37" t="n">
        <x:v>0</x:v>
      </x:c>
      <x:c r="P1054" s="35" t="n">
        <x:f>L1054*O1054</x:f>
        <x:v>0</x:v>
      </x:c>
      <x:c r="Q1054" s="35" t="n">
        <x:v>0</x:v>
      </x:c>
      <x:c r="R1054" s="35" t="n">
        <x:f>K1054*Q1054</x:f>
        <x:v>0</x:v>
      </x:c>
      <x:c r="S1054" s="35" t="n">
        <x:f>XLOOKUP(H1054,'菜品主数据'!$A$5:$A$24,'菜品主数据'!$G$5:$G$24,0)</x:f>
        <x:v>9.770200000000003</x:v>
      </x:c>
      <x:c r="T1054" s="35" t="n">
        <x:f>K1054*S1054</x:f>
        <x:v>127.01260000000003</x:v>
      </x:c>
      <x:c r="U1054" s="35" t="n">
        <x:f>L1054-N1054-P1054-R1054-T1054</x:f>
        <x:v>170.68739999999997</x:v>
      </x:c>
      <x:c r="V1054" s="21" t="n">
        <x:f>IFERROR(U1054/L1054,0)</x:f>
        <x:v>0.573353711790393</x:v>
      </x:c>
    </x:row>
    <x:row r="1055">
      <x:c r="A1055" s="19" t="str">
        <x:v>SALE-01051</x:v>
      </x:c>
      <x:c r="B1055" s="34" t="n">
        <x:v>46215.5</x:v>
      </x:c>
      <x:c r="C1055" s="19" t="str">
        <x:v>周日</x:v>
      </x:c>
      <x:c r="D1055" s="19" t="str">
        <x:v>S04</x:v>
      </x:c>
      <x:c r="E1055" s="19" t="str">
        <x:v>金街美地店</x:v>
      </x:c>
      <x:c r="F1055" s="19" t="str">
        <x:v>堂食</x:v>
      </x:c>
      <x:c r="G1055" s="19" t="str">
        <x:v>全日</x:v>
      </x:c>
      <x:c r="H1055" s="19" t="str">
        <x:v>D11</x:v>
      </x:c>
      <x:c r="I1055" s="19" t="str">
        <x:v>香辣爆肥肠</x:v>
      </x:c>
      <x:c r="J1055" s="22" t="n">
        <x:f>XLOOKUP(H1055,'菜品主数据'!$A$5:$A$24,'菜品主数据'!$D$5:$D$24,0)</x:f>
        <x:v>39</x:v>
      </x:c>
      <x:c r="K1055" s="31" t="n">
        <x:v>5</x:v>
      </x:c>
      <x:c r="L1055" s="35" t="n">
        <x:f>J1055*K1055</x:f>
        <x:v>195</x:v>
      </x:c>
      <x:c r="M1055" s="36" t="n">
        <x:v>0</x:v>
      </x:c>
      <x:c r="N1055" s="35" t="n">
        <x:f>L1055*M1055</x:f>
        <x:v>0</x:v>
      </x:c>
      <x:c r="O1055" s="37" t="n">
        <x:v>0</x:v>
      </x:c>
      <x:c r="P1055" s="35" t="n">
        <x:f>L1055*O1055</x:f>
        <x:v>0</x:v>
      </x:c>
      <x:c r="Q1055" s="35" t="n">
        <x:v>0</x:v>
      </x:c>
      <x:c r="R1055" s="35" t="n">
        <x:f>K1055*Q1055</x:f>
        <x:v>0</x:v>
      </x:c>
      <x:c r="S1055" s="35" t="n">
        <x:f>XLOOKUP(H1055,'菜品主数据'!$A$5:$A$24,'菜品主数据'!$G$5:$G$24,0)</x:f>
        <x:v>10.397</x:v>
      </x:c>
      <x:c r="T1055" s="35" t="n">
        <x:f>K1055*S1055</x:f>
        <x:v>51.985</x:v>
      </x:c>
      <x:c r="U1055" s="35" t="n">
        <x:f>L1055-N1055-P1055-R1055-T1055</x:f>
        <x:v>143.015</x:v>
      </x:c>
      <x:c r="V1055" s="21" t="n">
        <x:f>IFERROR(U1055/L1055,0)</x:f>
        <x:v>0.7334102564102564</x:v>
      </x:c>
    </x:row>
    <x:row r="1056">
      <x:c r="A1056" s="19" t="str">
        <x:v>SALE-01052</x:v>
      </x:c>
      <x:c r="B1056" s="34" t="n">
        <x:v>46215.5</x:v>
      </x:c>
      <x:c r="C1056" s="19" t="str">
        <x:v>周日</x:v>
      </x:c>
      <x:c r="D1056" s="19" t="str">
        <x:v>S04</x:v>
      </x:c>
      <x:c r="E1056" s="19" t="str">
        <x:v>金街美地店</x:v>
      </x:c>
      <x:c r="F1056" s="19" t="str">
        <x:v>堂食</x:v>
      </x:c>
      <x:c r="G1056" s="19" t="str">
        <x:v>全日</x:v>
      </x:c>
      <x:c r="H1056" s="19" t="str">
        <x:v>D12</x:v>
      </x:c>
      <x:c r="I1056" s="19" t="str">
        <x:v>清蒸鲈鱼</x:v>
      </x:c>
      <x:c r="J1056" s="22" t="n">
        <x:f>XLOOKUP(H1056,'菜品主数据'!$A$5:$A$24,'菜品主数据'!$D$5:$D$24,0)</x:f>
        <x:v>39</x:v>
      </x:c>
      <x:c r="K1056" s="31" t="n">
        <x:v>5</x:v>
      </x:c>
      <x:c r="L1056" s="35" t="n">
        <x:f>J1056*K1056</x:f>
        <x:v>195</x:v>
      </x:c>
      <x:c r="M1056" s="36" t="n">
        <x:v>0</x:v>
      </x:c>
      <x:c r="N1056" s="35" t="n">
        <x:f>L1056*M1056</x:f>
        <x:v>0</x:v>
      </x:c>
      <x:c r="O1056" s="37" t="n">
        <x:v>0</x:v>
      </x:c>
      <x:c r="P1056" s="35" t="n">
        <x:f>L1056*O1056</x:f>
        <x:v>0</x:v>
      </x:c>
      <x:c r="Q1056" s="35" t="n">
        <x:v>0</x:v>
      </x:c>
      <x:c r="R1056" s="35" t="n">
        <x:f>K1056*Q1056</x:f>
        <x:v>0</x:v>
      </x:c>
      <x:c r="S1056" s="35" t="n">
        <x:f>XLOOKUP(H1056,'菜品主数据'!$A$5:$A$24,'菜品主数据'!$G$5:$G$24,0)</x:f>
        <x:v>18.874</x:v>
      </x:c>
      <x:c r="T1056" s="35" t="n">
        <x:f>K1056*S1056</x:f>
        <x:v>94.36999999999999</x:v>
      </x:c>
      <x:c r="U1056" s="35" t="n">
        <x:f>L1056-N1056-P1056-R1056-T1056</x:f>
        <x:v>100.63000000000001</x:v>
      </x:c>
      <x:c r="V1056" s="21" t="n">
        <x:f>IFERROR(U1056/L1056,0)</x:f>
        <x:v>0.5160512820512821</x:v>
      </x:c>
    </x:row>
    <x:row r="1057">
      <x:c r="A1057" s="19" t="str">
        <x:v>SALE-01053</x:v>
      </x:c>
      <x:c r="B1057" s="34" t="n">
        <x:v>46215.5</x:v>
      </x:c>
      <x:c r="C1057" s="19" t="str">
        <x:v>周日</x:v>
      </x:c>
      <x:c r="D1057" s="19" t="str">
        <x:v>S04</x:v>
      </x:c>
      <x:c r="E1057" s="19" t="str">
        <x:v>金街美地店</x:v>
      </x:c>
      <x:c r="F1057" s="19" t="str">
        <x:v>堂食</x:v>
      </x:c>
      <x:c r="G1057" s="19" t="str">
        <x:v>全日</x:v>
      </x:c>
      <x:c r="H1057" s="19" t="str">
        <x:v>D13</x:v>
      </x:c>
      <x:c r="I1057" s="19" t="str">
        <x:v>外婆菜炒蛋</x:v>
      </x:c>
      <x:c r="J1057" s="22" t="n">
        <x:f>XLOOKUP(H1057,'菜品主数据'!$A$5:$A$24,'菜品主数据'!$D$5:$D$24,0)</x:f>
        <x:v>18</x:v>
      </x:c>
      <x:c r="K1057" s="31" t="n">
        <x:v>12</x:v>
      </x:c>
      <x:c r="L1057" s="35" t="n">
        <x:f>J1057*K1057</x:f>
        <x:v>216</x:v>
      </x:c>
      <x:c r="M1057" s="36" t="n">
        <x:v>0</x:v>
      </x:c>
      <x:c r="N1057" s="35" t="n">
        <x:f>L1057*M1057</x:f>
        <x:v>0</x:v>
      </x:c>
      <x:c r="O1057" s="37" t="n">
        <x:v>0</x:v>
      </x:c>
      <x:c r="P1057" s="35" t="n">
        <x:f>L1057*O1057</x:f>
        <x:v>0</x:v>
      </x:c>
      <x:c r="Q1057" s="35" t="n">
        <x:v>0</x:v>
      </x:c>
      <x:c r="R1057" s="35" t="n">
        <x:f>K1057*Q1057</x:f>
        <x:v>0</x:v>
      </x:c>
      <x:c r="S1057" s="35" t="n">
        <x:f>XLOOKUP(H1057,'菜品主数据'!$A$5:$A$24,'菜品主数据'!$G$5:$G$24,0)</x:f>
        <x:v>5.403999999999999</x:v>
      </x:c>
      <x:c r="T1057" s="35" t="n">
        <x:f>K1057*S1057</x:f>
        <x:v>64.84799999999998</x:v>
      </x:c>
      <x:c r="U1057" s="35" t="n">
        <x:f>L1057-N1057-P1057-R1057-T1057</x:f>
        <x:v>151.15200000000002</x:v>
      </x:c>
      <x:c r="V1057" s="21" t="n">
        <x:f>IFERROR(U1057/L1057,0)</x:f>
        <x:v>0.6997777777777778</x:v>
      </x:c>
    </x:row>
    <x:row r="1058">
      <x:c r="A1058" s="19" t="str">
        <x:v>SALE-01054</x:v>
      </x:c>
      <x:c r="B1058" s="34" t="n">
        <x:v>46215.5</x:v>
      </x:c>
      <x:c r="C1058" s="19" t="str">
        <x:v>周日</x:v>
      </x:c>
      <x:c r="D1058" s="19" t="str">
        <x:v>S04</x:v>
      </x:c>
      <x:c r="E1058" s="19" t="str">
        <x:v>金街美地店</x:v>
      </x:c>
      <x:c r="F1058" s="19" t="str">
        <x:v>堂食</x:v>
      </x:c>
      <x:c r="G1058" s="19" t="str">
        <x:v>全日</x:v>
      </x:c>
      <x:c r="H1058" s="19" t="str">
        <x:v>D14</x:v>
      </x:c>
      <x:c r="I1058" s="19" t="str">
        <x:v>酸辣鸡杂</x:v>
      </x:c>
      <x:c r="J1058" s="22" t="n">
        <x:f>XLOOKUP(H1058,'菜品主数据'!$A$5:$A$24,'菜品主数据'!$D$5:$D$24,0)</x:f>
        <x:v>28</x:v>
      </x:c>
      <x:c r="K1058" s="31" t="n">
        <x:v>6</x:v>
      </x:c>
      <x:c r="L1058" s="35" t="n">
        <x:f>J1058*K1058</x:f>
        <x:v>168</x:v>
      </x:c>
      <x:c r="M1058" s="36" t="n">
        <x:v>0</x:v>
      </x:c>
      <x:c r="N1058" s="35" t="n">
        <x:f>L1058*M1058</x:f>
        <x:v>0</x:v>
      </x:c>
      <x:c r="O1058" s="37" t="n">
        <x:v>0</x:v>
      </x:c>
      <x:c r="P1058" s="35" t="n">
        <x:f>L1058*O1058</x:f>
        <x:v>0</x:v>
      </x:c>
      <x:c r="Q1058" s="35" t="n">
        <x:v>0</x:v>
      </x:c>
      <x:c r="R1058" s="35" t="n">
        <x:f>K1058*Q1058</x:f>
        <x:v>0</x:v>
      </x:c>
      <x:c r="S1058" s="35" t="n">
        <x:f>XLOOKUP(H1058,'菜品主数据'!$A$5:$A$24,'菜品主数据'!$G$5:$G$24,0)</x:f>
        <x:v>8.315000000000001</x:v>
      </x:c>
      <x:c r="T1058" s="35" t="n">
        <x:f>K1058*S1058</x:f>
        <x:v>49.89000000000001</x:v>
      </x:c>
      <x:c r="U1058" s="35" t="n">
        <x:f>L1058-N1058-P1058-R1058-T1058</x:f>
        <x:v>118.10999999999999</x:v>
      </x:c>
      <x:c r="V1058" s="21" t="n">
        <x:f>IFERROR(U1058/L1058,0)</x:f>
        <x:v>0.7030357142857142</x:v>
      </x:c>
    </x:row>
    <x:row r="1059">
      <x:c r="A1059" s="19" t="str">
        <x:v>SALE-01055</x:v>
      </x:c>
      <x:c r="B1059" s="34" t="n">
        <x:v>46215.5</x:v>
      </x:c>
      <x:c r="C1059" s="19" t="str">
        <x:v>周日</x:v>
      </x:c>
      <x:c r="D1059" s="19" t="str">
        <x:v>S04</x:v>
      </x:c>
      <x:c r="E1059" s="19" t="str">
        <x:v>金街美地店</x:v>
      </x:c>
      <x:c r="F1059" s="19" t="str">
        <x:v>堂食</x:v>
      </x:c>
      <x:c r="G1059" s="19" t="str">
        <x:v>全日</x:v>
      </x:c>
      <x:c r="H1059" s="19" t="str">
        <x:v>D15</x:v>
      </x:c>
      <x:c r="I1059" s="19" t="str">
        <x:v>湘西土匪猪肝</x:v>
      </x:c>
      <x:c r="J1059" s="22" t="n">
        <x:f>XLOOKUP(H1059,'菜品主数据'!$A$5:$A$24,'菜品主数据'!$D$5:$D$24,0)</x:f>
        <x:v>26</x:v>
      </x:c>
      <x:c r="K1059" s="31" t="n">
        <x:v>5</x:v>
      </x:c>
      <x:c r="L1059" s="35" t="n">
        <x:f>J1059*K1059</x:f>
        <x:v>130</x:v>
      </x:c>
      <x:c r="M1059" s="36" t="n">
        <x:v>0</x:v>
      </x:c>
      <x:c r="N1059" s="35" t="n">
        <x:f>L1059*M1059</x:f>
        <x:v>0</x:v>
      </x:c>
      <x:c r="O1059" s="37" t="n">
        <x:v>0</x:v>
      </x:c>
      <x:c r="P1059" s="35" t="n">
        <x:f>L1059*O1059</x:f>
        <x:v>0</x:v>
      </x:c>
      <x:c r="Q1059" s="35" t="n">
        <x:v>0</x:v>
      </x:c>
      <x:c r="R1059" s="35" t="n">
        <x:f>K1059*Q1059</x:f>
        <x:v>0</x:v>
      </x:c>
      <x:c r="S1059" s="35" t="n">
        <x:f>XLOOKUP(H1059,'菜品主数据'!$A$5:$A$24,'菜品主数据'!$G$5:$G$24,0)</x:f>
        <x:v>6.3759999999999994</x:v>
      </x:c>
      <x:c r="T1059" s="35" t="n">
        <x:f>K1059*S1059</x:f>
        <x:v>31.879999999999995</x:v>
      </x:c>
      <x:c r="U1059" s="35" t="n">
        <x:f>L1059-N1059-P1059-R1059-T1059</x:f>
        <x:v>98.12</x:v>
      </x:c>
      <x:c r="V1059" s="21" t="n">
        <x:f>IFERROR(U1059/L1059,0)</x:f>
        <x:v>0.7547692307692309</x:v>
      </x:c>
    </x:row>
    <x:row r="1060">
      <x:c r="A1060" s="19" t="str">
        <x:v>SALE-01056</x:v>
      </x:c>
      <x:c r="B1060" s="34" t="n">
        <x:v>46215.5</x:v>
      </x:c>
      <x:c r="C1060" s="19" t="str">
        <x:v>周日</x:v>
      </x:c>
      <x:c r="D1060" s="19" t="str">
        <x:v>S04</x:v>
      </x:c>
      <x:c r="E1060" s="19" t="str">
        <x:v>金街美地店</x:v>
      </x:c>
      <x:c r="F1060" s="19" t="str">
        <x:v>堂食</x:v>
      </x:c>
      <x:c r="G1060" s="19" t="str">
        <x:v>全日</x:v>
      </x:c>
      <x:c r="H1060" s="19" t="str">
        <x:v>D16</x:v>
      </x:c>
      <x:c r="I1060" s="19" t="str">
        <x:v>小豆角炒五花</x:v>
      </x:c>
      <x:c r="J1060" s="22" t="n">
        <x:f>XLOOKUP(H1060,'菜品主数据'!$A$5:$A$24,'菜品主数据'!$D$5:$D$24,0)</x:f>
        <x:v>25</x:v>
      </x:c>
      <x:c r="K1060" s="31" t="n">
        <x:v>5</x:v>
      </x:c>
      <x:c r="L1060" s="35" t="n">
        <x:f>J1060*K1060</x:f>
        <x:v>125</x:v>
      </x:c>
      <x:c r="M1060" s="36" t="n">
        <x:v>0</x:v>
      </x:c>
      <x:c r="N1060" s="35" t="n">
        <x:f>L1060*M1060</x:f>
        <x:v>0</x:v>
      </x:c>
      <x:c r="O1060" s="37" t="n">
        <x:v>0</x:v>
      </x:c>
      <x:c r="P1060" s="35" t="n">
        <x:f>L1060*O1060</x:f>
        <x:v>0</x:v>
      </x:c>
      <x:c r="Q1060" s="35" t="n">
        <x:v>0</x:v>
      </x:c>
      <x:c r="R1060" s="35" t="n">
        <x:f>K1060*Q1060</x:f>
        <x:v>0</x:v>
      </x:c>
      <x:c r="S1060" s="35" t="n">
        <x:f>XLOOKUP(H1060,'菜品主数据'!$A$5:$A$24,'菜品主数据'!$G$5:$G$24,0)</x:f>
        <x:v>8.184</x:v>
      </x:c>
      <x:c r="T1060" s="35" t="n">
        <x:f>K1060*S1060</x:f>
        <x:v>40.919999999999995</x:v>
      </x:c>
      <x:c r="U1060" s="35" t="n">
        <x:f>L1060-N1060-P1060-R1060-T1060</x:f>
        <x:v>84.08000000000001</x:v>
      </x:c>
      <x:c r="V1060" s="21" t="n">
        <x:f>IFERROR(U1060/L1060,0)</x:f>
        <x:v>0.6726400000000001</x:v>
      </x:c>
    </x:row>
    <x:row r="1061">
      <x:c r="A1061" s="19" t="str">
        <x:v>SALE-01057</x:v>
      </x:c>
      <x:c r="B1061" s="34" t="n">
        <x:v>46215.5</x:v>
      </x:c>
      <x:c r="C1061" s="19" t="str">
        <x:v>周日</x:v>
      </x:c>
      <x:c r="D1061" s="19" t="str">
        <x:v>S04</x:v>
      </x:c>
      <x:c r="E1061" s="19" t="str">
        <x:v>金街美地店</x:v>
      </x:c>
      <x:c r="F1061" s="19" t="str">
        <x:v>堂食</x:v>
      </x:c>
      <x:c r="G1061" s="19" t="str">
        <x:v>全日</x:v>
      </x:c>
      <x:c r="H1061" s="19" t="str">
        <x:v>D17</x:v>
      </x:c>
      <x:c r="I1061" s="19" t="str">
        <x:v>蒜蓉粉丝虾</x:v>
      </x:c>
      <x:c r="J1061" s="22" t="n">
        <x:f>XLOOKUP(H1061,'菜品主数据'!$A$5:$A$24,'菜品主数据'!$D$5:$D$24,0)</x:f>
        <x:v>36</x:v>
      </x:c>
      <x:c r="K1061" s="31" t="n">
        <x:v>3</x:v>
      </x:c>
      <x:c r="L1061" s="35" t="n">
        <x:f>J1061*K1061</x:f>
        <x:v>108</x:v>
      </x:c>
      <x:c r="M1061" s="36" t="n">
        <x:v>0</x:v>
      </x:c>
      <x:c r="N1061" s="35" t="n">
        <x:f>L1061*M1061</x:f>
        <x:v>0</x:v>
      </x:c>
      <x:c r="O1061" s="37" t="n">
        <x:v>0</x:v>
      </x:c>
      <x:c r="P1061" s="35" t="n">
        <x:f>L1061*O1061</x:f>
        <x:v>0</x:v>
      </x:c>
      <x:c r="Q1061" s="35" t="n">
        <x:v>0</x:v>
      </x:c>
      <x:c r="R1061" s="35" t="n">
        <x:f>K1061*Q1061</x:f>
        <x:v>0</x:v>
      </x:c>
      <x:c r="S1061" s="35" t="n">
        <x:f>XLOOKUP(H1061,'菜品主数据'!$A$5:$A$24,'菜品主数据'!$G$5:$G$24,0)</x:f>
        <x:v>13.594</x:v>
      </x:c>
      <x:c r="T1061" s="35" t="n">
        <x:f>K1061*S1061</x:f>
        <x:v>40.782</x:v>
      </x:c>
      <x:c r="U1061" s="35" t="n">
        <x:f>L1061-N1061-P1061-R1061-T1061</x:f>
        <x:v>67.218</x:v>
      </x:c>
      <x:c r="V1061" s="21" t="n">
        <x:f>IFERROR(U1061/L1061,0)</x:f>
        <x:v>0.6223888888888889</x:v>
      </x:c>
    </x:row>
    <x:row r="1062">
      <x:c r="A1062" s="19" t="str">
        <x:v>SALE-01058</x:v>
      </x:c>
      <x:c r="B1062" s="34" t="n">
        <x:v>46215.5</x:v>
      </x:c>
      <x:c r="C1062" s="19" t="str">
        <x:v>周日</x:v>
      </x:c>
      <x:c r="D1062" s="19" t="str">
        <x:v>S04</x:v>
      </x:c>
      <x:c r="E1062" s="19" t="str">
        <x:v>金街美地店</x:v>
      </x:c>
      <x:c r="F1062" s="19" t="str">
        <x:v>堂食</x:v>
      </x:c>
      <x:c r="G1062" s="19" t="str">
        <x:v>全日</x:v>
      </x:c>
      <x:c r="H1062" s="19" t="str">
        <x:v>D18</x:v>
      </x:c>
      <x:c r="I1062" s="19" t="str">
        <x:v>青椒炒油麦菜</x:v>
      </x:c>
      <x:c r="J1062" s="22" t="n">
        <x:f>XLOOKUP(H1062,'菜品主数据'!$A$5:$A$24,'菜品主数据'!$D$5:$D$24,0)</x:f>
        <x:v>18</x:v>
      </x:c>
      <x:c r="K1062" s="31" t="n">
        <x:v>6</x:v>
      </x:c>
      <x:c r="L1062" s="35" t="n">
        <x:f>J1062*K1062</x:f>
        <x:v>108</x:v>
      </x:c>
      <x:c r="M1062" s="36" t="n">
        <x:v>0</x:v>
      </x:c>
      <x:c r="N1062" s="35" t="n">
        <x:f>L1062*M1062</x:f>
        <x:v>0</x:v>
      </x:c>
      <x:c r="O1062" s="37" t="n">
        <x:v>0</x:v>
      </x:c>
      <x:c r="P1062" s="35" t="n">
        <x:f>L1062*O1062</x:f>
        <x:v>0</x:v>
      </x:c>
      <x:c r="Q1062" s="35" t="n">
        <x:v>0</x:v>
      </x:c>
      <x:c r="R1062" s="35" t="n">
        <x:f>K1062*Q1062</x:f>
        <x:v>0</x:v>
      </x:c>
      <x:c r="S1062" s="35" t="n">
        <x:f>XLOOKUP(H1062,'菜品主数据'!$A$5:$A$24,'菜品主数据'!$G$5:$G$24,0)</x:f>
        <x:v>3.1759999999999993</x:v>
      </x:c>
      <x:c r="T1062" s="35" t="n">
        <x:f>K1062*S1062</x:f>
        <x:v>19.055999999999997</x:v>
      </x:c>
      <x:c r="U1062" s="35" t="n">
        <x:f>L1062-N1062-P1062-R1062-T1062</x:f>
        <x:v>88.944</x:v>
      </x:c>
      <x:c r="V1062" s="21" t="n">
        <x:f>IFERROR(U1062/L1062,0)</x:f>
        <x:v>0.8235555555555556</x:v>
      </x:c>
    </x:row>
    <x:row r="1063">
      <x:c r="A1063" s="19" t="str">
        <x:v>SALE-01059</x:v>
      </x:c>
      <x:c r="B1063" s="34" t="n">
        <x:v>46215.5</x:v>
      </x:c>
      <x:c r="C1063" s="19" t="str">
        <x:v>周日</x:v>
      </x:c>
      <x:c r="D1063" s="19" t="str">
        <x:v>S04</x:v>
      </x:c>
      <x:c r="E1063" s="19" t="str">
        <x:v>金街美地店</x:v>
      </x:c>
      <x:c r="F1063" s="19" t="str">
        <x:v>堂食</x:v>
      </x:c>
      <x:c r="G1063" s="19" t="str">
        <x:v>全日</x:v>
      </x:c>
      <x:c r="H1063" s="19" t="str">
        <x:v>D19</x:v>
      </x:c>
      <x:c r="I1063" s="19" t="str">
        <x:v>酸萝卜炒鸡杂</x:v>
      </x:c>
      <x:c r="J1063" s="22" t="n">
        <x:f>XLOOKUP(H1063,'菜品主数据'!$A$5:$A$24,'菜品主数据'!$D$5:$D$24,0)</x:f>
        <x:v>25</x:v>
      </x:c>
      <x:c r="K1063" s="31" t="n">
        <x:v>4</x:v>
      </x:c>
      <x:c r="L1063" s="35" t="n">
        <x:f>J1063*K1063</x:f>
        <x:v>100</x:v>
      </x:c>
      <x:c r="M1063" s="36" t="n">
        <x:v>0</x:v>
      </x:c>
      <x:c r="N1063" s="35" t="n">
        <x:f>L1063*M1063</x:f>
        <x:v>0</x:v>
      </x:c>
      <x:c r="O1063" s="37" t="n">
        <x:v>0</x:v>
      </x:c>
      <x:c r="P1063" s="35" t="n">
        <x:f>L1063*O1063</x:f>
        <x:v>0</x:v>
      </x:c>
      <x:c r="Q1063" s="35" t="n">
        <x:v>0</x:v>
      </x:c>
      <x:c r="R1063" s="35" t="n">
        <x:f>K1063*Q1063</x:f>
        <x:v>0</x:v>
      </x:c>
      <x:c r="S1063" s="35" t="n">
        <x:f>XLOOKUP(H1063,'菜品主数据'!$A$5:$A$24,'菜品主数据'!$G$5:$G$24,0)</x:f>
        <x:v>7.9399999999999995</x:v>
      </x:c>
      <x:c r="T1063" s="35" t="n">
        <x:f>K1063*S1063</x:f>
        <x:v>31.759999999999998</x:v>
      </x:c>
      <x:c r="U1063" s="35" t="n">
        <x:f>L1063-N1063-P1063-R1063-T1063</x:f>
        <x:v>68.24000000000001</x:v>
      </x:c>
      <x:c r="V1063" s="21" t="n">
        <x:f>IFERROR(U1063/L1063,0)</x:f>
        <x:v>0.6824000000000001</x:v>
      </x:c>
    </x:row>
    <x:row r="1064">
      <x:c r="A1064" s="19" t="str">
        <x:v>SALE-01060</x:v>
      </x:c>
      <x:c r="B1064" s="34" t="n">
        <x:v>46215.5</x:v>
      </x:c>
      <x:c r="C1064" s="19" t="str">
        <x:v>周日</x:v>
      </x:c>
      <x:c r="D1064" s="19" t="str">
        <x:v>S04</x:v>
      </x:c>
      <x:c r="E1064" s="19" t="str">
        <x:v>金街美地店</x:v>
      </x:c>
      <x:c r="F1064" s="19" t="str">
        <x:v>堂食</x:v>
      </x:c>
      <x:c r="G1064" s="19" t="str">
        <x:v>全日</x:v>
      </x:c>
      <x:c r="H1064" s="19" t="str">
        <x:v>D20</x:v>
      </x:c>
      <x:c r="I1064" s="19" t="str">
        <x:v>雪菜肉末青豆</x:v>
      </x:c>
      <x:c r="J1064" s="22" t="n">
        <x:f>XLOOKUP(H1064,'菜品主数据'!$A$5:$A$24,'菜品主数据'!$D$5:$D$24,0)</x:f>
        <x:v>18</x:v>
      </x:c>
      <x:c r="K1064" s="31" t="n">
        <x:v>6</x:v>
      </x:c>
      <x:c r="L1064" s="35" t="n">
        <x:f>J1064*K1064</x:f>
        <x:v>108</x:v>
      </x:c>
      <x:c r="M1064" s="36" t="n">
        <x:v>0</x:v>
      </x:c>
      <x:c r="N1064" s="35" t="n">
        <x:f>L1064*M1064</x:f>
        <x:v>0</x:v>
      </x:c>
      <x:c r="O1064" s="37" t="n">
        <x:v>0</x:v>
      </x:c>
      <x:c r="P1064" s="35" t="n">
        <x:f>L1064*O1064</x:f>
        <x:v>0</x:v>
      </x:c>
      <x:c r="Q1064" s="35" t="n">
        <x:v>0</x:v>
      </x:c>
      <x:c r="R1064" s="35" t="n">
        <x:f>K1064*Q1064</x:f>
        <x:v>0</x:v>
      </x:c>
      <x:c r="S1064" s="35" t="n">
        <x:f>XLOOKUP(H1064,'菜品主数据'!$A$5:$A$24,'菜品主数据'!$G$5:$G$24,0)</x:f>
        <x:v>7.303999999999999</x:v>
      </x:c>
      <x:c r="T1064" s="35" t="n">
        <x:f>K1064*S1064</x:f>
        <x:v>43.824</x:v>
      </x:c>
      <x:c r="U1064" s="35" t="n">
        <x:f>L1064-N1064-P1064-R1064-T1064</x:f>
        <x:v>64.176</x:v>
      </x:c>
      <x:c r="V1064" s="21" t="n">
        <x:f>IFERROR(U1064/L1064,0)</x:f>
        <x:v>0.5942222222222222</x:v>
      </x:c>
    </x:row>
    <x:row r="1065">
      <x:c r="A1065" s="19" t="str">
        <x:v>SALE-01061</x:v>
      </x:c>
      <x:c r="B1065" s="34" t="n">
        <x:v>46215.5</x:v>
      </x:c>
      <x:c r="C1065" s="19" t="str">
        <x:v>周日</x:v>
      </x:c>
      <x:c r="D1065" s="19" t="str">
        <x:v>S04</x:v>
      </x:c>
      <x:c r="E1065" s="19" t="str">
        <x:v>金街美地店</x:v>
      </x:c>
      <x:c r="F1065" s="19" t="str">
        <x:v>外卖</x:v>
      </x:c>
      <x:c r="G1065" s="19" t="str">
        <x:v>全日</x:v>
      </x:c>
      <x:c r="H1065" s="19" t="str">
        <x:v>D01</x:v>
      </x:c>
      <x:c r="I1065" s="19" t="str">
        <x:v>辣椒炒肉</x:v>
      </x:c>
      <x:c r="J1065" s="22" t="n">
        <x:f>XLOOKUP(H1065,'菜品主数据'!$A$5:$A$24,'菜品主数据'!$D$5:$D$24,0)</x:f>
        <x:v>29</x:v>
      </x:c>
      <x:c r="K1065" s="31" t="n">
        <x:v>3</x:v>
      </x:c>
      <x:c r="L1065" s="35" t="n">
        <x:f>J1065*K1065</x:f>
        <x:v>87</x:v>
      </x:c>
      <x:c r="M1065" s="36" t="n">
        <x:v>0.08</x:v>
      </x:c>
      <x:c r="N1065" s="35" t="n">
        <x:f>L1065*M1065</x:f>
        <x:v>6.96</x:v>
      </x:c>
      <x:c r="O1065" s="37" t="n">
        <x:v>0.18</x:v>
      </x:c>
      <x:c r="P1065" s="35" t="n">
        <x:f>L1065*O1065</x:f>
        <x:v>15.66</x:v>
      </x:c>
      <x:c r="Q1065" s="35" t="n">
        <x:v>1.2</x:v>
      </x:c>
      <x:c r="R1065" s="35" t="n">
        <x:f>K1065*Q1065</x:f>
        <x:v>3.5999999999999996</x:v>
      </x:c>
      <x:c r="S1065" s="35" t="n">
        <x:f>XLOOKUP(H1065,'菜品主数据'!$A$5:$A$24,'菜品主数据'!$G$5:$G$24,0)</x:f>
        <x:v>8.634400000000001</x:v>
      </x:c>
      <x:c r="T1065" s="35" t="n">
        <x:f>K1065*S1065</x:f>
        <x:v>25.903200000000005</x:v>
      </x:c>
      <x:c r="U1065" s="35" t="n">
        <x:f>L1065-N1065-P1065-R1065-T1065</x:f>
        <x:v>34.8768</x:v>
      </x:c>
      <x:c r="V1065" s="21" t="n">
        <x:f>IFERROR(U1065/L1065,0)</x:f>
        <x:v>0.40088275862068967</x:v>
      </x:c>
    </x:row>
    <x:row r="1066">
      <x:c r="A1066" s="19" t="str">
        <x:v>SALE-01062</x:v>
      </x:c>
      <x:c r="B1066" s="34" t="n">
        <x:v>46215.5</x:v>
      </x:c>
      <x:c r="C1066" s="19" t="str">
        <x:v>周日</x:v>
      </x:c>
      <x:c r="D1066" s="19" t="str">
        <x:v>S04</x:v>
      </x:c>
      <x:c r="E1066" s="19" t="str">
        <x:v>金街美地店</x:v>
      </x:c>
      <x:c r="F1066" s="19" t="str">
        <x:v>外卖</x:v>
      </x:c>
      <x:c r="G1066" s="19" t="str">
        <x:v>全日</x:v>
      </x:c>
      <x:c r="H1066" s="19" t="str">
        <x:v>D02</x:v>
      </x:c>
      <x:c r="I1066" s="19" t="str">
        <x:v>小炒黄牛肉</x:v>
      </x:c>
      <x:c r="J1066" s="22" t="n">
        <x:f>XLOOKUP(H1066,'菜品主数据'!$A$5:$A$24,'菜品主数据'!$D$5:$D$24,0)</x:f>
        <x:v>49</x:v>
      </x:c>
      <x:c r="K1066" s="31" t="n">
        <x:v>7</x:v>
      </x:c>
      <x:c r="L1066" s="35" t="n">
        <x:f>J1066*K1066</x:f>
        <x:v>343</x:v>
      </x:c>
      <x:c r="M1066" s="36" t="n">
        <x:v>0.08</x:v>
      </x:c>
      <x:c r="N1066" s="35" t="n">
        <x:f>L1066*M1066</x:f>
        <x:v>27.44</x:v>
      </x:c>
      <x:c r="O1066" s="37" t="n">
        <x:v>0.18</x:v>
      </x:c>
      <x:c r="P1066" s="35" t="n">
        <x:f>L1066*O1066</x:f>
        <x:v>61.739999999999995</x:v>
      </x:c>
      <x:c r="Q1066" s="35" t="n">
        <x:v>1.2</x:v>
      </x:c>
      <x:c r="R1066" s="35" t="n">
        <x:f>K1066*Q1066</x:f>
        <x:v>8.4</x:v>
      </x:c>
      <x:c r="S1066" s="35" t="n">
        <x:f>XLOOKUP(H1066,'菜品主数据'!$A$5:$A$24,'菜品主数据'!$G$5:$G$24,0)</x:f>
        <x:v>17.577</x:v>
      </x:c>
      <x:c r="T1066" s="35" t="n">
        <x:f>K1066*S1066</x:f>
        <x:v>123.03900000000002</x:v>
      </x:c>
      <x:c r="U1066" s="35" t="n">
        <x:f>L1066-N1066-P1066-R1066-T1066</x:f>
        <x:v>122.38099999999997</x:v>
      </x:c>
      <x:c r="V1066" s="21" t="n">
        <x:f>IFERROR(U1066/L1066,0)</x:f>
        <x:v>0.35679591836734686</x:v>
      </x:c>
    </x:row>
    <x:row r="1067">
      <x:c r="A1067" s="19" t="str">
        <x:v>SALE-01063</x:v>
      </x:c>
      <x:c r="B1067" s="34" t="n">
        <x:v>46215.5</x:v>
      </x:c>
      <x:c r="C1067" s="19" t="str">
        <x:v>周日</x:v>
      </x:c>
      <x:c r="D1067" s="19" t="str">
        <x:v>S04</x:v>
      </x:c>
      <x:c r="E1067" s="19" t="str">
        <x:v>金街美地店</x:v>
      </x:c>
      <x:c r="F1067" s="19" t="str">
        <x:v>外卖</x:v>
      </x:c>
      <x:c r="G1067" s="19" t="str">
        <x:v>全日</x:v>
      </x:c>
      <x:c r="H1067" s="19" t="str">
        <x:v>D03</x:v>
      </x:c>
      <x:c r="I1067" s="19" t="str">
        <x:v>香醋炒蛋</x:v>
      </x:c>
      <x:c r="J1067" s="22" t="n">
        <x:f>XLOOKUP(H1067,'菜品主数据'!$A$5:$A$24,'菜品主数据'!$D$5:$D$24,0)</x:f>
        <x:v>14.9</x:v>
      </x:c>
      <x:c r="K1067" s="31" t="n">
        <x:v>3</x:v>
      </x:c>
      <x:c r="L1067" s="35" t="n">
        <x:f>J1067*K1067</x:f>
        <x:v>44.7</x:v>
      </x:c>
      <x:c r="M1067" s="36" t="n">
        <x:v>0.08</x:v>
      </x:c>
      <x:c r="N1067" s="35" t="n">
        <x:f>L1067*M1067</x:f>
        <x:v>3.5760000000000005</x:v>
      </x:c>
      <x:c r="O1067" s="37" t="n">
        <x:v>0.18</x:v>
      </x:c>
      <x:c r="P1067" s="35" t="n">
        <x:f>L1067*O1067</x:f>
        <x:v>8.046</x:v>
      </x:c>
      <x:c r="Q1067" s="35" t="n">
        <x:v>1.2</x:v>
      </x:c>
      <x:c r="R1067" s="35" t="n">
        <x:f>K1067*Q1067</x:f>
        <x:v>3.5999999999999996</x:v>
      </x:c>
      <x:c r="S1067" s="35" t="n">
        <x:f>XLOOKUP(H1067,'菜品主数据'!$A$5:$A$24,'菜品主数据'!$G$5:$G$24,0)</x:f>
        <x:v>3.7459999999999996</x:v>
      </x:c>
      <x:c r="T1067" s="35" t="n">
        <x:f>K1067*S1067</x:f>
        <x:v>11.238</x:v>
      </x:c>
      <x:c r="U1067" s="35" t="n">
        <x:f>L1067-N1067-P1067-R1067-T1067</x:f>
        <x:v>18.240000000000002</x:v>
      </x:c>
      <x:c r="V1067" s="21" t="n">
        <x:f>IFERROR(U1067/L1067,0)</x:f>
        <x:v>0.40805369127516783</x:v>
      </x:c>
    </x:row>
    <x:row r="1068">
      <x:c r="A1068" s="19" t="str">
        <x:v>SALE-01064</x:v>
      </x:c>
      <x:c r="B1068" s="34" t="n">
        <x:v>46215.5</x:v>
      </x:c>
      <x:c r="C1068" s="19" t="str">
        <x:v>周日</x:v>
      </x:c>
      <x:c r="D1068" s="19" t="str">
        <x:v>S04</x:v>
      </x:c>
      <x:c r="E1068" s="19" t="str">
        <x:v>金街美地店</x:v>
      </x:c>
      <x:c r="F1068" s="19" t="str">
        <x:v>外卖</x:v>
      </x:c>
      <x:c r="G1068" s="19" t="str">
        <x:v>全日</x:v>
      </x:c>
      <x:c r="H1068" s="19" t="str">
        <x:v>D04</x:v>
      </x:c>
      <x:c r="I1068" s="19" t="str">
        <x:v>酸包菜炒粉皮</x:v>
      </x:c>
      <x:c r="J1068" s="22" t="n">
        <x:f>XLOOKUP(H1068,'菜品主数据'!$A$5:$A$24,'菜品主数据'!$D$5:$D$24,0)</x:f>
        <x:v>16</x:v>
      </x:c>
      <x:c r="K1068" s="31" t="n">
        <x:v>3</x:v>
      </x:c>
      <x:c r="L1068" s="35" t="n">
        <x:f>J1068*K1068</x:f>
        <x:v>48</x:v>
      </x:c>
      <x:c r="M1068" s="36" t="n">
        <x:v>0.08</x:v>
      </x:c>
      <x:c r="N1068" s="35" t="n">
        <x:f>L1068*M1068</x:f>
        <x:v>3.84</x:v>
      </x:c>
      <x:c r="O1068" s="37" t="n">
        <x:v>0.18</x:v>
      </x:c>
      <x:c r="P1068" s="35" t="n">
        <x:f>L1068*O1068</x:f>
        <x:v>8.64</x:v>
      </x:c>
      <x:c r="Q1068" s="35" t="n">
        <x:v>1.2</x:v>
      </x:c>
      <x:c r="R1068" s="35" t="n">
        <x:f>K1068*Q1068</x:f>
        <x:v>3.5999999999999996</x:v>
      </x:c>
      <x:c r="S1068" s="35" t="n">
        <x:f>XLOOKUP(H1068,'菜品主数据'!$A$5:$A$24,'菜品主数据'!$G$5:$G$24,0)</x:f>
        <x:v>3.978</x:v>
      </x:c>
      <x:c r="T1068" s="35" t="n">
        <x:f>K1068*S1068</x:f>
        <x:v>11.934000000000001</x:v>
      </x:c>
      <x:c r="U1068" s="35" t="n">
        <x:f>L1068-N1068-P1068-R1068-T1068</x:f>
        <x:v>19.985999999999994</x:v>
      </x:c>
      <x:c r="V1068" s="21" t="n">
        <x:f>IFERROR(U1068/L1068,0)</x:f>
        <x:v>0.4163749999999999</x:v>
      </x:c>
    </x:row>
    <x:row r="1069">
      <x:c r="A1069" s="19" t="str">
        <x:v>SALE-01065</x:v>
      </x:c>
      <x:c r="B1069" s="34" t="n">
        <x:v>46215.5</x:v>
      </x:c>
      <x:c r="C1069" s="19" t="str">
        <x:v>周日</x:v>
      </x:c>
      <x:c r="D1069" s="19" t="str">
        <x:v>S04</x:v>
      </x:c>
      <x:c r="E1069" s="19" t="str">
        <x:v>金街美地店</x:v>
      </x:c>
      <x:c r="F1069" s="19" t="str">
        <x:v>外卖</x:v>
      </x:c>
      <x:c r="G1069" s="19" t="str">
        <x:v>全日</x:v>
      </x:c>
      <x:c r="H1069" s="19" t="str">
        <x:v>D05</x:v>
      </x:c>
      <x:c r="I1069" s="19" t="str">
        <x:v>麻婆豆腐</x:v>
      </x:c>
      <x:c r="J1069" s="22" t="n">
        <x:f>XLOOKUP(H1069,'菜品主数据'!$A$5:$A$24,'菜品主数据'!$D$5:$D$24,0)</x:f>
        <x:v>9.9</x:v>
      </x:c>
      <x:c r="K1069" s="31" t="n">
        <x:v>3</x:v>
      </x:c>
      <x:c r="L1069" s="35" t="n">
        <x:f>J1069*K1069</x:f>
        <x:v>29.700000000000003</x:v>
      </x:c>
      <x:c r="M1069" s="36" t="n">
        <x:v>0.08</x:v>
      </x:c>
      <x:c r="N1069" s="35" t="n">
        <x:f>L1069*M1069</x:f>
        <x:v>2.3760000000000003</x:v>
      </x:c>
      <x:c r="O1069" s="37" t="n">
        <x:v>0.18</x:v>
      </x:c>
      <x:c r="P1069" s="35" t="n">
        <x:f>L1069*O1069</x:f>
        <x:v>5.346</x:v>
      </x:c>
      <x:c r="Q1069" s="35" t="n">
        <x:v>1.2</x:v>
      </x:c>
      <x:c r="R1069" s="35" t="n">
        <x:f>K1069*Q1069</x:f>
        <x:v>3.5999999999999996</x:v>
      </x:c>
      <x:c r="S1069" s="35" t="n">
        <x:f>XLOOKUP(H1069,'菜品主数据'!$A$5:$A$24,'菜品主数据'!$G$5:$G$24,0)</x:f>
        <x:v>5.367000000000001</x:v>
      </x:c>
      <x:c r="T1069" s="35" t="n">
        <x:f>K1069*S1069</x:f>
        <x:v>16.101000000000003</x:v>
      </x:c>
      <x:c r="U1069" s="35" t="n">
        <x:f>L1069-N1069-P1069-R1069-T1069</x:f>
        <x:v>2.2769999999999975</x:v>
      </x:c>
      <x:c r="V1069" s="21" t="n">
        <x:f>IFERROR(U1069/L1069,0)</x:f>
        <x:v>0.07666666666666658</x:v>
      </x:c>
    </x:row>
    <x:row r="1070">
      <x:c r="A1070" s="19" t="str">
        <x:v>SALE-01066</x:v>
      </x:c>
      <x:c r="B1070" s="34" t="n">
        <x:v>46215.5</x:v>
      </x:c>
      <x:c r="C1070" s="19" t="str">
        <x:v>周日</x:v>
      </x:c>
      <x:c r="D1070" s="19" t="str">
        <x:v>S04</x:v>
      </x:c>
      <x:c r="E1070" s="19" t="str">
        <x:v>金街美地店</x:v>
      </x:c>
      <x:c r="F1070" s="19" t="str">
        <x:v>外卖</x:v>
      </x:c>
      <x:c r="G1070" s="19" t="str">
        <x:v>全日</x:v>
      </x:c>
      <x:c r="H1070" s="19" t="str">
        <x:v>D06</x:v>
      </x:c>
      <x:c r="I1070" s="19" t="str">
        <x:v>剁椒鱼头</x:v>
      </x:c>
      <x:c r="J1070" s="22" t="n">
        <x:f>XLOOKUP(H1070,'菜品主数据'!$A$5:$A$24,'菜品主数据'!$D$5:$D$24,0)</x:f>
        <x:v>39</x:v>
      </x:c>
      <x:c r="K1070" s="31" t="n">
        <x:v>1</x:v>
      </x:c>
      <x:c r="L1070" s="35" t="n">
        <x:f>J1070*K1070</x:f>
        <x:v>39</x:v>
      </x:c>
      <x:c r="M1070" s="36" t="n">
        <x:v>0.08</x:v>
      </x:c>
      <x:c r="N1070" s="35" t="n">
        <x:f>L1070*M1070</x:f>
        <x:v>3.12</x:v>
      </x:c>
      <x:c r="O1070" s="37" t="n">
        <x:v>0.18</x:v>
      </x:c>
      <x:c r="P1070" s="35" t="n">
        <x:f>L1070*O1070</x:f>
        <x:v>7.02</x:v>
      </x:c>
      <x:c r="Q1070" s="35" t="n">
        <x:v>1.2</x:v>
      </x:c>
      <x:c r="R1070" s="35" t="n">
        <x:f>K1070*Q1070</x:f>
        <x:v>1.2</x:v>
      </x:c>
      <x:c r="S1070" s="35" t="n">
        <x:f>XLOOKUP(H1070,'菜品主数据'!$A$5:$A$24,'菜品主数据'!$G$5:$G$24,0)</x:f>
        <x:v>17.446</x:v>
      </x:c>
      <x:c r="T1070" s="35" t="n">
        <x:f>K1070*S1070</x:f>
        <x:v>17.446</x:v>
      </x:c>
      <x:c r="U1070" s="35" t="n">
        <x:f>L1070-N1070-P1070-R1070-T1070</x:f>
        <x:v>10.214000000000002</x:v>
      </x:c>
      <x:c r="V1070" s="21" t="n">
        <x:f>IFERROR(U1070/L1070,0)</x:f>
        <x:v>0.26189743589743597</x:v>
      </x:c>
    </x:row>
    <x:row r="1071">
      <x:c r="A1071" s="19" t="str">
        <x:v>SALE-01067</x:v>
      </x:c>
      <x:c r="B1071" s="34" t="n">
        <x:v>46215.5</x:v>
      </x:c>
      <x:c r="C1071" s="19" t="str">
        <x:v>周日</x:v>
      </x:c>
      <x:c r="D1071" s="19" t="str">
        <x:v>S04</x:v>
      </x:c>
      <x:c r="E1071" s="19" t="str">
        <x:v>金街美地店</x:v>
      </x:c>
      <x:c r="F1071" s="19" t="str">
        <x:v>外卖</x:v>
      </x:c>
      <x:c r="G1071" s="19" t="str">
        <x:v>全日</x:v>
      </x:c>
      <x:c r="H1071" s="19" t="str">
        <x:v>D07</x:v>
      </x:c>
      <x:c r="I1071" s="19" t="str">
        <x:v>川味回锅肉</x:v>
      </x:c>
      <x:c r="J1071" s="22" t="n">
        <x:f>XLOOKUP(H1071,'菜品主数据'!$A$5:$A$24,'菜品主数据'!$D$5:$D$24,0)</x:f>
        <x:v>29</x:v>
      </x:c>
      <x:c r="K1071" s="31" t="n">
        <x:v>1</x:v>
      </x:c>
      <x:c r="L1071" s="35" t="n">
        <x:f>J1071*K1071</x:f>
        <x:v>29</x:v>
      </x:c>
      <x:c r="M1071" s="36" t="n">
        <x:v>0.08</x:v>
      </x:c>
      <x:c r="N1071" s="35" t="n">
        <x:f>L1071*M1071</x:f>
        <x:v>2.32</x:v>
      </x:c>
      <x:c r="O1071" s="37" t="n">
        <x:v>0.18</x:v>
      </x:c>
      <x:c r="P1071" s="35" t="n">
        <x:f>L1071*O1071</x:f>
        <x:v>5.22</x:v>
      </x:c>
      <x:c r="Q1071" s="35" t="n">
        <x:v>1.2</x:v>
      </x:c>
      <x:c r="R1071" s="35" t="n">
        <x:f>K1071*Q1071</x:f>
        <x:v>1.2</x:v>
      </x:c>
      <x:c r="S1071" s="35" t="n">
        <x:f>XLOOKUP(H1071,'菜品主数据'!$A$5:$A$24,'菜品主数据'!$G$5:$G$24,0)</x:f>
        <x:v>10.231000000000002</x:v>
      </x:c>
      <x:c r="T1071" s="35" t="n">
        <x:f>K1071*S1071</x:f>
        <x:v>10.231000000000002</x:v>
      </x:c>
      <x:c r="U1071" s="35" t="n">
        <x:f>L1071-N1071-P1071-R1071-T1071</x:f>
        <x:v>10.029</x:v>
      </x:c>
      <x:c r="V1071" s="21" t="n">
        <x:f>IFERROR(U1071/L1071,0)</x:f>
        <x:v>0.3458275862068966</x:v>
      </x:c>
    </x:row>
    <x:row r="1072">
      <x:c r="A1072" s="19" t="str">
        <x:v>SALE-01068</x:v>
      </x:c>
      <x:c r="B1072" s="34" t="n">
        <x:v>46215.5</x:v>
      </x:c>
      <x:c r="C1072" s="19" t="str">
        <x:v>周日</x:v>
      </x:c>
      <x:c r="D1072" s="19" t="str">
        <x:v>S04</x:v>
      </x:c>
      <x:c r="E1072" s="19" t="str">
        <x:v>金街美地店</x:v>
      </x:c>
      <x:c r="F1072" s="19" t="str">
        <x:v>外卖</x:v>
      </x:c>
      <x:c r="G1072" s="19" t="str">
        <x:v>全日</x:v>
      </x:c>
      <x:c r="H1072" s="19" t="str">
        <x:v>D08</x:v>
      </x:c>
      <x:c r="I1072" s="19" t="str">
        <x:v>生炒清远鸡</x:v>
      </x:c>
      <x:c r="J1072" s="22" t="n">
        <x:f>XLOOKUP(H1072,'菜品主数据'!$A$5:$A$24,'菜品主数据'!$D$5:$D$24,0)</x:f>
        <x:v>36</x:v>
      </x:c>
      <x:c r="K1072" s="31" t="n">
        <x:v>0</x:v>
      </x:c>
      <x:c r="L1072" s="35" t="n">
        <x:f>J1072*K1072</x:f>
        <x:v>0</x:v>
      </x:c>
      <x:c r="M1072" s="36" t="n">
        <x:v>0.08</x:v>
      </x:c>
      <x:c r="N1072" s="35" t="n">
        <x:f>L1072*M1072</x:f>
        <x:v>0</x:v>
      </x:c>
      <x:c r="O1072" s="37" t="n">
        <x:v>0.18</x:v>
      </x:c>
      <x:c r="P1072" s="35" t="n">
        <x:f>L1072*O1072</x:f>
        <x:v>0</x:v>
      </x:c>
      <x:c r="Q1072" s="35" t="n">
        <x:v>1.2</x:v>
      </x:c>
      <x:c r="R1072" s="35" t="n">
        <x:f>K1072*Q1072</x:f>
        <x:v>0</x:v>
      </x:c>
      <x:c r="S1072" s="35" t="n">
        <x:f>XLOOKUP(H1072,'菜品主数据'!$A$5:$A$24,'菜品主数据'!$G$5:$G$24,0)</x:f>
        <x:v>13.48</x:v>
      </x:c>
      <x:c r="T1072" s="35" t="n">
        <x:f>K1072*S1072</x:f>
        <x:v>0</x:v>
      </x:c>
      <x:c r="U1072" s="35" t="n">
        <x:f>L1072-N1072-P1072-R1072-T1072</x:f>
        <x:v>0</x:v>
      </x:c>
      <x:c r="V1072" s="21" t="n">
        <x:f>IFERROR(U1072/L1072,0)</x:f>
        <x:v>0</x:v>
      </x:c>
    </x:row>
    <x:row r="1073">
      <x:c r="A1073" s="19" t="str">
        <x:v>SALE-01069</x:v>
      </x:c>
      <x:c r="B1073" s="34" t="n">
        <x:v>46215.5</x:v>
      </x:c>
      <x:c r="C1073" s="19" t="str">
        <x:v>周日</x:v>
      </x:c>
      <x:c r="D1073" s="19" t="str">
        <x:v>S04</x:v>
      </x:c>
      <x:c r="E1073" s="19" t="str">
        <x:v>金街美地店</x:v>
      </x:c>
      <x:c r="F1073" s="19" t="str">
        <x:v>外卖</x:v>
      </x:c>
      <x:c r="G1073" s="19" t="str">
        <x:v>全日</x:v>
      </x:c>
      <x:c r="H1073" s="19" t="str">
        <x:v>D09</x:v>
      </x:c>
      <x:c r="I1073" s="19" t="str">
        <x:v>炒豆干</x:v>
      </x:c>
      <x:c r="J1073" s="22" t="n">
        <x:f>XLOOKUP(H1073,'菜品主数据'!$A$5:$A$24,'菜品主数据'!$D$5:$D$24,0)</x:f>
        <x:v>18</x:v>
      </x:c>
      <x:c r="K1073" s="31" t="n">
        <x:v>1</x:v>
      </x:c>
      <x:c r="L1073" s="35" t="n">
        <x:f>J1073*K1073</x:f>
        <x:v>18</x:v>
      </x:c>
      <x:c r="M1073" s="36" t="n">
        <x:v>0.08</x:v>
      </x:c>
      <x:c r="N1073" s="35" t="n">
        <x:f>L1073*M1073</x:f>
        <x:v>1.44</x:v>
      </x:c>
      <x:c r="O1073" s="37" t="n">
        <x:v>0.18</x:v>
      </x:c>
      <x:c r="P1073" s="35" t="n">
        <x:f>L1073*O1073</x:f>
        <x:v>3.2399999999999998</x:v>
      </x:c>
      <x:c r="Q1073" s="35" t="n">
        <x:v>1.2</x:v>
      </x:c>
      <x:c r="R1073" s="35" t="n">
        <x:f>K1073*Q1073</x:f>
        <x:v>1.2</x:v>
      </x:c>
      <x:c r="S1073" s="35" t="n">
        <x:f>XLOOKUP(H1073,'菜品主数据'!$A$5:$A$24,'菜品主数据'!$G$5:$G$24,0)</x:f>
        <x:v>6.613999999999999</x:v>
      </x:c>
      <x:c r="T1073" s="35" t="n">
        <x:f>K1073*S1073</x:f>
        <x:v>6.613999999999999</x:v>
      </x:c>
      <x:c r="U1073" s="35" t="n">
        <x:f>L1073-N1073-P1073-R1073-T1073</x:f>
        <x:v>5.506</x:v>
      </x:c>
      <x:c r="V1073" s="21" t="n">
        <x:f>IFERROR(U1073/L1073,0)</x:f>
        <x:v>0.3058888888888889</x:v>
      </x:c>
    </x:row>
    <x:row r="1074">
      <x:c r="A1074" s="19" t="str">
        <x:v>SALE-01070</x:v>
      </x:c>
      <x:c r="B1074" s="34" t="n">
        <x:v>46215.5</x:v>
      </x:c>
      <x:c r="C1074" s="19" t="str">
        <x:v>周日</x:v>
      </x:c>
      <x:c r="D1074" s="19" t="str">
        <x:v>S04</x:v>
      </x:c>
      <x:c r="E1074" s="19" t="str">
        <x:v>金街美地店</x:v>
      </x:c>
      <x:c r="F1074" s="19" t="str">
        <x:v>外卖</x:v>
      </x:c>
      <x:c r="G1074" s="19" t="str">
        <x:v>全日</x:v>
      </x:c>
      <x:c r="H1074" s="19" t="str">
        <x:v>D10</x:v>
      </x:c>
      <x:c r="I1074" s="19" t="str">
        <x:v>农家一碗香</x:v>
      </x:c>
      <x:c r="J1074" s="22" t="n">
        <x:f>XLOOKUP(H1074,'菜品主数据'!$A$5:$A$24,'菜品主数据'!$D$5:$D$24,0)</x:f>
        <x:v>22.9</x:v>
      </x:c>
      <x:c r="K1074" s="31" t="n">
        <x:v>1</x:v>
      </x:c>
      <x:c r="L1074" s="35" t="n">
        <x:f>J1074*K1074</x:f>
        <x:v>22.9</x:v>
      </x:c>
      <x:c r="M1074" s="36" t="n">
        <x:v>0.08</x:v>
      </x:c>
      <x:c r="N1074" s="35" t="n">
        <x:f>L1074*M1074</x:f>
        <x:v>1.8319999999999999</x:v>
      </x:c>
      <x:c r="O1074" s="37" t="n">
        <x:v>0.18</x:v>
      </x:c>
      <x:c r="P1074" s="35" t="n">
        <x:f>L1074*O1074</x:f>
        <x:v>4.122</x:v>
      </x:c>
      <x:c r="Q1074" s="35" t="n">
        <x:v>1.2</x:v>
      </x:c>
      <x:c r="R1074" s="35" t="n">
        <x:f>K1074*Q1074</x:f>
        <x:v>1.2</x:v>
      </x:c>
      <x:c r="S1074" s="35" t="n">
        <x:f>XLOOKUP(H1074,'菜品主数据'!$A$5:$A$24,'菜品主数据'!$G$5:$G$24,0)</x:f>
        <x:v>9.770200000000003</x:v>
      </x:c>
      <x:c r="T1074" s="35" t="n">
        <x:f>K1074*S1074</x:f>
        <x:v>9.770200000000003</x:v>
      </x:c>
      <x:c r="U1074" s="35" t="n">
        <x:f>L1074-N1074-P1074-R1074-T1074</x:f>
        <x:v>5.975799999999996</x:v>
      </x:c>
      <x:c r="V1074" s="21" t="n">
        <x:f>IFERROR(U1074/L1074,0)</x:f>
        <x:v>0.260951965065502</x:v>
      </x:c>
    </x:row>
    <x:row r="1075">
      <x:c r="A1075" s="19" t="str">
        <x:v>SALE-01071</x:v>
      </x:c>
      <x:c r="B1075" s="34" t="n">
        <x:v>46215.5</x:v>
      </x:c>
      <x:c r="C1075" s="19" t="str">
        <x:v>周日</x:v>
      </x:c>
      <x:c r="D1075" s="19" t="str">
        <x:v>S04</x:v>
      </x:c>
      <x:c r="E1075" s="19" t="str">
        <x:v>金街美地店</x:v>
      </x:c>
      <x:c r="F1075" s="19" t="str">
        <x:v>外卖</x:v>
      </x:c>
      <x:c r="G1075" s="19" t="str">
        <x:v>全日</x:v>
      </x:c>
      <x:c r="H1075" s="19" t="str">
        <x:v>D11</x:v>
      </x:c>
      <x:c r="I1075" s="19" t="str">
        <x:v>香辣爆肥肠</x:v>
      </x:c>
      <x:c r="J1075" s="22" t="n">
        <x:f>XLOOKUP(H1075,'菜品主数据'!$A$5:$A$24,'菜品主数据'!$D$5:$D$24,0)</x:f>
        <x:v>39</x:v>
      </x:c>
      <x:c r="K1075" s="31" t="n">
        <x:v>0</x:v>
      </x:c>
      <x:c r="L1075" s="35" t="n">
        <x:f>J1075*K1075</x:f>
        <x:v>0</x:v>
      </x:c>
      <x:c r="M1075" s="36" t="n">
        <x:v>0.08</x:v>
      </x:c>
      <x:c r="N1075" s="35" t="n">
        <x:f>L1075*M1075</x:f>
        <x:v>0</x:v>
      </x:c>
      <x:c r="O1075" s="37" t="n">
        <x:v>0.18</x:v>
      </x:c>
      <x:c r="P1075" s="35" t="n">
        <x:f>L1075*O1075</x:f>
        <x:v>0</x:v>
      </x:c>
      <x:c r="Q1075" s="35" t="n">
        <x:v>1.2</x:v>
      </x:c>
      <x:c r="R1075" s="35" t="n">
        <x:f>K1075*Q1075</x:f>
        <x:v>0</x:v>
      </x:c>
      <x:c r="S1075" s="35" t="n">
        <x:f>XLOOKUP(H1075,'菜品主数据'!$A$5:$A$24,'菜品主数据'!$G$5:$G$24,0)</x:f>
        <x:v>10.397</x:v>
      </x:c>
      <x:c r="T1075" s="35" t="n">
        <x:f>K1075*S1075</x:f>
        <x:v>0</x:v>
      </x:c>
      <x:c r="U1075" s="35" t="n">
        <x:f>L1075-N1075-P1075-R1075-T1075</x:f>
        <x:v>0</x:v>
      </x:c>
      <x:c r="V1075" s="21" t="n">
        <x:f>IFERROR(U1075/L1075,0)</x:f>
        <x:v>0</x:v>
      </x:c>
    </x:row>
    <x:row r="1076">
      <x:c r="A1076" s="19" t="str">
        <x:v>SALE-01072</x:v>
      </x:c>
      <x:c r="B1076" s="34" t="n">
        <x:v>46215.5</x:v>
      </x:c>
      <x:c r="C1076" s="19" t="str">
        <x:v>周日</x:v>
      </x:c>
      <x:c r="D1076" s="19" t="str">
        <x:v>S04</x:v>
      </x:c>
      <x:c r="E1076" s="19" t="str">
        <x:v>金街美地店</x:v>
      </x:c>
      <x:c r="F1076" s="19" t="str">
        <x:v>外卖</x:v>
      </x:c>
      <x:c r="G1076" s="19" t="str">
        <x:v>全日</x:v>
      </x:c>
      <x:c r="H1076" s="19" t="str">
        <x:v>D12</x:v>
      </x:c>
      <x:c r="I1076" s="19" t="str">
        <x:v>清蒸鲈鱼</x:v>
      </x:c>
      <x:c r="J1076" s="22" t="n">
        <x:f>XLOOKUP(H1076,'菜品主数据'!$A$5:$A$24,'菜品主数据'!$D$5:$D$24,0)</x:f>
        <x:v>39</x:v>
      </x:c>
      <x:c r="K1076" s="31" t="n">
        <x:v>0</x:v>
      </x:c>
      <x:c r="L1076" s="35" t="n">
        <x:f>J1076*K1076</x:f>
        <x:v>0</x:v>
      </x:c>
      <x:c r="M1076" s="36" t="n">
        <x:v>0.08</x:v>
      </x:c>
      <x:c r="N1076" s="35" t="n">
        <x:f>L1076*M1076</x:f>
        <x:v>0</x:v>
      </x:c>
      <x:c r="O1076" s="37" t="n">
        <x:v>0.18</x:v>
      </x:c>
      <x:c r="P1076" s="35" t="n">
        <x:f>L1076*O1076</x:f>
        <x:v>0</x:v>
      </x:c>
      <x:c r="Q1076" s="35" t="n">
        <x:v>1.2</x:v>
      </x:c>
      <x:c r="R1076" s="35" t="n">
        <x:f>K1076*Q1076</x:f>
        <x:v>0</x:v>
      </x:c>
      <x:c r="S1076" s="35" t="n">
        <x:f>XLOOKUP(H1076,'菜品主数据'!$A$5:$A$24,'菜品主数据'!$G$5:$G$24,0)</x:f>
        <x:v>18.874</x:v>
      </x:c>
      <x:c r="T1076" s="35" t="n">
        <x:f>K1076*S1076</x:f>
        <x:v>0</x:v>
      </x:c>
      <x:c r="U1076" s="35" t="n">
        <x:f>L1076-N1076-P1076-R1076-T1076</x:f>
        <x:v>0</x:v>
      </x:c>
      <x:c r="V1076" s="21" t="n">
        <x:f>IFERROR(U1076/L1076,0)</x:f>
        <x:v>0</x:v>
      </x:c>
    </x:row>
    <x:row r="1077">
      <x:c r="A1077" s="19" t="str">
        <x:v>SALE-01073</x:v>
      </x:c>
      <x:c r="B1077" s="34" t="n">
        <x:v>46215.5</x:v>
      </x:c>
      <x:c r="C1077" s="19" t="str">
        <x:v>周日</x:v>
      </x:c>
      <x:c r="D1077" s="19" t="str">
        <x:v>S04</x:v>
      </x:c>
      <x:c r="E1077" s="19" t="str">
        <x:v>金街美地店</x:v>
      </x:c>
      <x:c r="F1077" s="19" t="str">
        <x:v>外卖</x:v>
      </x:c>
      <x:c r="G1077" s="19" t="str">
        <x:v>全日</x:v>
      </x:c>
      <x:c r="H1077" s="19" t="str">
        <x:v>D13</x:v>
      </x:c>
      <x:c r="I1077" s="19" t="str">
        <x:v>外婆菜炒蛋</x:v>
      </x:c>
      <x:c r="J1077" s="22" t="n">
        <x:f>XLOOKUP(H1077,'菜品主数据'!$A$5:$A$24,'菜品主数据'!$D$5:$D$24,0)</x:f>
        <x:v>18</x:v>
      </x:c>
      <x:c r="K1077" s="31" t="n">
        <x:v>1</x:v>
      </x:c>
      <x:c r="L1077" s="35" t="n">
        <x:f>J1077*K1077</x:f>
        <x:v>18</x:v>
      </x:c>
      <x:c r="M1077" s="36" t="n">
        <x:v>0.08</x:v>
      </x:c>
      <x:c r="N1077" s="35" t="n">
        <x:f>L1077*M1077</x:f>
        <x:v>1.44</x:v>
      </x:c>
      <x:c r="O1077" s="37" t="n">
        <x:v>0.18</x:v>
      </x:c>
      <x:c r="P1077" s="35" t="n">
        <x:f>L1077*O1077</x:f>
        <x:v>3.2399999999999998</x:v>
      </x:c>
      <x:c r="Q1077" s="35" t="n">
        <x:v>1.2</x:v>
      </x:c>
      <x:c r="R1077" s="35" t="n">
        <x:f>K1077*Q1077</x:f>
        <x:v>1.2</x:v>
      </x:c>
      <x:c r="S1077" s="35" t="n">
        <x:f>XLOOKUP(H1077,'菜品主数据'!$A$5:$A$24,'菜品主数据'!$G$5:$G$24,0)</x:f>
        <x:v>5.403999999999999</x:v>
      </x:c>
      <x:c r="T1077" s="35" t="n">
        <x:f>K1077*S1077</x:f>
        <x:v>5.403999999999999</x:v>
      </x:c>
      <x:c r="U1077" s="35" t="n">
        <x:f>L1077-N1077-P1077-R1077-T1077</x:f>
        <x:v>6.716</x:v>
      </x:c>
      <x:c r="V1077" s="21" t="n">
        <x:f>IFERROR(U1077/L1077,0)</x:f>
        <x:v>0.3731111111111111</x:v>
      </x:c>
    </x:row>
    <x:row r="1078">
      <x:c r="A1078" s="19" t="str">
        <x:v>SALE-01074</x:v>
      </x:c>
      <x:c r="B1078" s="34" t="n">
        <x:v>46215.5</x:v>
      </x:c>
      <x:c r="C1078" s="19" t="str">
        <x:v>周日</x:v>
      </x:c>
      <x:c r="D1078" s="19" t="str">
        <x:v>S04</x:v>
      </x:c>
      <x:c r="E1078" s="19" t="str">
        <x:v>金街美地店</x:v>
      </x:c>
      <x:c r="F1078" s="19" t="str">
        <x:v>外卖</x:v>
      </x:c>
      <x:c r="G1078" s="19" t="str">
        <x:v>全日</x:v>
      </x:c>
      <x:c r="H1078" s="19" t="str">
        <x:v>D14</x:v>
      </x:c>
      <x:c r="I1078" s="19" t="str">
        <x:v>酸辣鸡杂</x:v>
      </x:c>
      <x:c r="J1078" s="22" t="n">
        <x:f>XLOOKUP(H1078,'菜品主数据'!$A$5:$A$24,'菜品主数据'!$D$5:$D$24,0)</x:f>
        <x:v>28</x:v>
      </x:c>
      <x:c r="K1078" s="31" t="n">
        <x:v>0</x:v>
      </x:c>
      <x:c r="L1078" s="35" t="n">
        <x:f>J1078*K1078</x:f>
        <x:v>0</x:v>
      </x:c>
      <x:c r="M1078" s="36" t="n">
        <x:v>0.08</x:v>
      </x:c>
      <x:c r="N1078" s="35" t="n">
        <x:f>L1078*M1078</x:f>
        <x:v>0</x:v>
      </x:c>
      <x:c r="O1078" s="37" t="n">
        <x:v>0.18</x:v>
      </x:c>
      <x:c r="P1078" s="35" t="n">
        <x:f>L1078*O1078</x:f>
        <x:v>0</x:v>
      </x:c>
      <x:c r="Q1078" s="35" t="n">
        <x:v>1.2</x:v>
      </x:c>
      <x:c r="R1078" s="35" t="n">
        <x:f>K1078*Q1078</x:f>
        <x:v>0</x:v>
      </x:c>
      <x:c r="S1078" s="35" t="n">
        <x:f>XLOOKUP(H1078,'菜品主数据'!$A$5:$A$24,'菜品主数据'!$G$5:$G$24,0)</x:f>
        <x:v>8.315000000000001</x:v>
      </x:c>
      <x:c r="T1078" s="35" t="n">
        <x:f>K1078*S1078</x:f>
        <x:v>0</x:v>
      </x:c>
      <x:c r="U1078" s="35" t="n">
        <x:f>L1078-N1078-P1078-R1078-T1078</x:f>
        <x:v>0</x:v>
      </x:c>
      <x:c r="V1078" s="21" t="n">
        <x:f>IFERROR(U1078/L1078,0)</x:f>
        <x:v>0</x:v>
      </x:c>
    </x:row>
    <x:row r="1079">
      <x:c r="A1079" s="19" t="str">
        <x:v>SALE-01075</x:v>
      </x:c>
      <x:c r="B1079" s="34" t="n">
        <x:v>46215.5</x:v>
      </x:c>
      <x:c r="C1079" s="19" t="str">
        <x:v>周日</x:v>
      </x:c>
      <x:c r="D1079" s="19" t="str">
        <x:v>S04</x:v>
      </x:c>
      <x:c r="E1079" s="19" t="str">
        <x:v>金街美地店</x:v>
      </x:c>
      <x:c r="F1079" s="19" t="str">
        <x:v>外卖</x:v>
      </x:c>
      <x:c r="G1079" s="19" t="str">
        <x:v>全日</x:v>
      </x:c>
      <x:c r="H1079" s="19" t="str">
        <x:v>D15</x:v>
      </x:c>
      <x:c r="I1079" s="19" t="str">
        <x:v>湘西土匪猪肝</x:v>
      </x:c>
      <x:c r="J1079" s="22" t="n">
        <x:f>XLOOKUP(H1079,'菜品主数据'!$A$5:$A$24,'菜品主数据'!$D$5:$D$24,0)</x:f>
        <x:v>26</x:v>
      </x:c>
      <x:c r="K1079" s="31" t="n">
        <x:v>0</x:v>
      </x:c>
      <x:c r="L1079" s="35" t="n">
        <x:f>J1079*K1079</x:f>
        <x:v>0</x:v>
      </x:c>
      <x:c r="M1079" s="36" t="n">
        <x:v>0.08</x:v>
      </x:c>
      <x:c r="N1079" s="35" t="n">
        <x:f>L1079*M1079</x:f>
        <x:v>0</x:v>
      </x:c>
      <x:c r="O1079" s="37" t="n">
        <x:v>0.18</x:v>
      </x:c>
      <x:c r="P1079" s="35" t="n">
        <x:f>L1079*O1079</x:f>
        <x:v>0</x:v>
      </x:c>
      <x:c r="Q1079" s="35" t="n">
        <x:v>1.2</x:v>
      </x:c>
      <x:c r="R1079" s="35" t="n">
        <x:f>K1079*Q1079</x:f>
        <x:v>0</x:v>
      </x:c>
      <x:c r="S1079" s="35" t="n">
        <x:f>XLOOKUP(H1079,'菜品主数据'!$A$5:$A$24,'菜品主数据'!$G$5:$G$24,0)</x:f>
        <x:v>6.3759999999999994</x:v>
      </x:c>
      <x:c r="T1079" s="35" t="n">
        <x:f>K1079*S1079</x:f>
        <x:v>0</x:v>
      </x:c>
      <x:c r="U1079" s="35" t="n">
        <x:f>L1079-N1079-P1079-R1079-T1079</x:f>
        <x:v>0</x:v>
      </x:c>
      <x:c r="V1079" s="21" t="n">
        <x:f>IFERROR(U1079/L1079,0)</x:f>
        <x:v>0</x:v>
      </x:c>
    </x:row>
    <x:row r="1080">
      <x:c r="A1080" s="19" t="str">
        <x:v>SALE-01076</x:v>
      </x:c>
      <x:c r="B1080" s="34" t="n">
        <x:v>46215.5</x:v>
      </x:c>
      <x:c r="C1080" s="19" t="str">
        <x:v>周日</x:v>
      </x:c>
      <x:c r="D1080" s="19" t="str">
        <x:v>S04</x:v>
      </x:c>
      <x:c r="E1080" s="19" t="str">
        <x:v>金街美地店</x:v>
      </x:c>
      <x:c r="F1080" s="19" t="str">
        <x:v>外卖</x:v>
      </x:c>
      <x:c r="G1080" s="19" t="str">
        <x:v>全日</x:v>
      </x:c>
      <x:c r="H1080" s="19" t="str">
        <x:v>D16</x:v>
      </x:c>
      <x:c r="I1080" s="19" t="str">
        <x:v>小豆角炒五花</x:v>
      </x:c>
      <x:c r="J1080" s="22" t="n">
        <x:f>XLOOKUP(H1080,'菜品主数据'!$A$5:$A$24,'菜品主数据'!$D$5:$D$24,0)</x:f>
        <x:v>25</x:v>
      </x:c>
      <x:c r="K1080" s="31" t="n">
        <x:v>0</x:v>
      </x:c>
      <x:c r="L1080" s="35" t="n">
        <x:f>J1080*K1080</x:f>
        <x:v>0</x:v>
      </x:c>
      <x:c r="M1080" s="36" t="n">
        <x:v>0.08</x:v>
      </x:c>
      <x:c r="N1080" s="35" t="n">
        <x:f>L1080*M1080</x:f>
        <x:v>0</x:v>
      </x:c>
      <x:c r="O1080" s="37" t="n">
        <x:v>0.18</x:v>
      </x:c>
      <x:c r="P1080" s="35" t="n">
        <x:f>L1080*O1080</x:f>
        <x:v>0</x:v>
      </x:c>
      <x:c r="Q1080" s="35" t="n">
        <x:v>1.2</x:v>
      </x:c>
      <x:c r="R1080" s="35" t="n">
        <x:f>K1080*Q1080</x:f>
        <x:v>0</x:v>
      </x:c>
      <x:c r="S1080" s="35" t="n">
        <x:f>XLOOKUP(H1080,'菜品主数据'!$A$5:$A$24,'菜品主数据'!$G$5:$G$24,0)</x:f>
        <x:v>8.184</x:v>
      </x:c>
      <x:c r="T1080" s="35" t="n">
        <x:f>K1080*S1080</x:f>
        <x:v>0</x:v>
      </x:c>
      <x:c r="U1080" s="35" t="n">
        <x:f>L1080-N1080-P1080-R1080-T1080</x:f>
        <x:v>0</x:v>
      </x:c>
      <x:c r="V1080" s="21" t="n">
        <x:f>IFERROR(U1080/L1080,0)</x:f>
        <x:v>0</x:v>
      </x:c>
    </x:row>
    <x:row r="1081">
      <x:c r="A1081" s="19" t="str">
        <x:v>SALE-01077</x:v>
      </x:c>
      <x:c r="B1081" s="34" t="n">
        <x:v>46215.5</x:v>
      </x:c>
      <x:c r="C1081" s="19" t="str">
        <x:v>周日</x:v>
      </x:c>
      <x:c r="D1081" s="19" t="str">
        <x:v>S04</x:v>
      </x:c>
      <x:c r="E1081" s="19" t="str">
        <x:v>金街美地店</x:v>
      </x:c>
      <x:c r="F1081" s="19" t="str">
        <x:v>外卖</x:v>
      </x:c>
      <x:c r="G1081" s="19" t="str">
        <x:v>全日</x:v>
      </x:c>
      <x:c r="H1081" s="19" t="str">
        <x:v>D17</x:v>
      </x:c>
      <x:c r="I1081" s="19" t="str">
        <x:v>蒜蓉粉丝虾</x:v>
      </x:c>
      <x:c r="J1081" s="22" t="n">
        <x:f>XLOOKUP(H1081,'菜品主数据'!$A$5:$A$24,'菜品主数据'!$D$5:$D$24,0)</x:f>
        <x:v>36</x:v>
      </x:c>
      <x:c r="K1081" s="31" t="n">
        <x:v>0</x:v>
      </x:c>
      <x:c r="L1081" s="35" t="n">
        <x:f>J1081*K1081</x:f>
        <x:v>0</x:v>
      </x:c>
      <x:c r="M1081" s="36" t="n">
        <x:v>0.08</x:v>
      </x:c>
      <x:c r="N1081" s="35" t="n">
        <x:f>L1081*M1081</x:f>
        <x:v>0</x:v>
      </x:c>
      <x:c r="O1081" s="37" t="n">
        <x:v>0.18</x:v>
      </x:c>
      <x:c r="P1081" s="35" t="n">
        <x:f>L1081*O1081</x:f>
        <x:v>0</x:v>
      </x:c>
      <x:c r="Q1081" s="35" t="n">
        <x:v>1.2</x:v>
      </x:c>
      <x:c r="R1081" s="35" t="n">
        <x:f>K1081*Q1081</x:f>
        <x:v>0</x:v>
      </x:c>
      <x:c r="S1081" s="35" t="n">
        <x:f>XLOOKUP(H1081,'菜品主数据'!$A$5:$A$24,'菜品主数据'!$G$5:$G$24,0)</x:f>
        <x:v>13.594</x:v>
      </x:c>
      <x:c r="T1081" s="35" t="n">
        <x:f>K1081*S1081</x:f>
        <x:v>0</x:v>
      </x:c>
      <x:c r="U1081" s="35" t="n">
        <x:f>L1081-N1081-P1081-R1081-T1081</x:f>
        <x:v>0</x:v>
      </x:c>
      <x:c r="V1081" s="21" t="n">
        <x:f>IFERROR(U1081/L1081,0)</x:f>
        <x:v>0</x:v>
      </x:c>
    </x:row>
    <x:row r="1082">
      <x:c r="A1082" s="19" t="str">
        <x:v>SALE-01078</x:v>
      </x:c>
      <x:c r="B1082" s="34" t="n">
        <x:v>46215.5</x:v>
      </x:c>
      <x:c r="C1082" s="19" t="str">
        <x:v>周日</x:v>
      </x:c>
      <x:c r="D1082" s="19" t="str">
        <x:v>S04</x:v>
      </x:c>
      <x:c r="E1082" s="19" t="str">
        <x:v>金街美地店</x:v>
      </x:c>
      <x:c r="F1082" s="19" t="str">
        <x:v>外卖</x:v>
      </x:c>
      <x:c r="G1082" s="19" t="str">
        <x:v>全日</x:v>
      </x:c>
      <x:c r="H1082" s="19" t="str">
        <x:v>D18</x:v>
      </x:c>
      <x:c r="I1082" s="19" t="str">
        <x:v>青椒炒油麦菜</x:v>
      </x:c>
      <x:c r="J1082" s="22" t="n">
        <x:f>XLOOKUP(H1082,'菜品主数据'!$A$5:$A$24,'菜品主数据'!$D$5:$D$24,0)</x:f>
        <x:v>18</x:v>
      </x:c>
      <x:c r="K1082" s="31" t="n">
        <x:v>0</x:v>
      </x:c>
      <x:c r="L1082" s="35" t="n">
        <x:f>J1082*K1082</x:f>
        <x:v>0</x:v>
      </x:c>
      <x:c r="M1082" s="36" t="n">
        <x:v>0.08</x:v>
      </x:c>
      <x:c r="N1082" s="35" t="n">
        <x:f>L1082*M1082</x:f>
        <x:v>0</x:v>
      </x:c>
      <x:c r="O1082" s="37" t="n">
        <x:v>0.18</x:v>
      </x:c>
      <x:c r="P1082" s="35" t="n">
        <x:f>L1082*O1082</x:f>
        <x:v>0</x:v>
      </x:c>
      <x:c r="Q1082" s="35" t="n">
        <x:v>1.2</x:v>
      </x:c>
      <x:c r="R1082" s="35" t="n">
        <x:f>K1082*Q1082</x:f>
        <x:v>0</x:v>
      </x:c>
      <x:c r="S1082" s="35" t="n">
        <x:f>XLOOKUP(H1082,'菜品主数据'!$A$5:$A$24,'菜品主数据'!$G$5:$G$24,0)</x:f>
        <x:v>3.1759999999999993</x:v>
      </x:c>
      <x:c r="T1082" s="35" t="n">
        <x:f>K1082*S1082</x:f>
        <x:v>0</x:v>
      </x:c>
      <x:c r="U1082" s="35" t="n">
        <x:f>L1082-N1082-P1082-R1082-T1082</x:f>
        <x:v>0</x:v>
      </x:c>
      <x:c r="V1082" s="21" t="n">
        <x:f>IFERROR(U1082/L1082,0)</x:f>
        <x:v>0</x:v>
      </x:c>
    </x:row>
    <x:row r="1083">
      <x:c r="A1083" s="19" t="str">
        <x:v>SALE-01079</x:v>
      </x:c>
      <x:c r="B1083" s="34" t="n">
        <x:v>46215.5</x:v>
      </x:c>
      <x:c r="C1083" s="19" t="str">
        <x:v>周日</x:v>
      </x:c>
      <x:c r="D1083" s="19" t="str">
        <x:v>S04</x:v>
      </x:c>
      <x:c r="E1083" s="19" t="str">
        <x:v>金街美地店</x:v>
      </x:c>
      <x:c r="F1083" s="19" t="str">
        <x:v>外卖</x:v>
      </x:c>
      <x:c r="G1083" s="19" t="str">
        <x:v>全日</x:v>
      </x:c>
      <x:c r="H1083" s="19" t="str">
        <x:v>D19</x:v>
      </x:c>
      <x:c r="I1083" s="19" t="str">
        <x:v>酸萝卜炒鸡杂</x:v>
      </x:c>
      <x:c r="J1083" s="22" t="n">
        <x:f>XLOOKUP(H1083,'菜品主数据'!$A$5:$A$24,'菜品主数据'!$D$5:$D$24,0)</x:f>
        <x:v>25</x:v>
      </x:c>
      <x:c r="K1083" s="31" t="n">
        <x:v>0</x:v>
      </x:c>
      <x:c r="L1083" s="35" t="n">
        <x:f>J1083*K1083</x:f>
        <x:v>0</x:v>
      </x:c>
      <x:c r="M1083" s="36" t="n">
        <x:v>0.08</x:v>
      </x:c>
      <x:c r="N1083" s="35" t="n">
        <x:f>L1083*M1083</x:f>
        <x:v>0</x:v>
      </x:c>
      <x:c r="O1083" s="37" t="n">
        <x:v>0.18</x:v>
      </x:c>
      <x:c r="P1083" s="35" t="n">
        <x:f>L1083*O1083</x:f>
        <x:v>0</x:v>
      </x:c>
      <x:c r="Q1083" s="35" t="n">
        <x:v>1.2</x:v>
      </x:c>
      <x:c r="R1083" s="35" t="n">
        <x:f>K1083*Q1083</x:f>
        <x:v>0</x:v>
      </x:c>
      <x:c r="S1083" s="35" t="n">
        <x:f>XLOOKUP(H1083,'菜品主数据'!$A$5:$A$24,'菜品主数据'!$G$5:$G$24,0)</x:f>
        <x:v>7.9399999999999995</x:v>
      </x:c>
      <x:c r="T1083" s="35" t="n">
        <x:f>K1083*S1083</x:f>
        <x:v>0</x:v>
      </x:c>
      <x:c r="U1083" s="35" t="n">
        <x:f>L1083-N1083-P1083-R1083-T1083</x:f>
        <x:v>0</x:v>
      </x:c>
      <x:c r="V1083" s="21" t="n">
        <x:f>IFERROR(U1083/L1083,0)</x:f>
        <x:v>0</x:v>
      </x:c>
    </x:row>
    <x:row r="1084">
      <x:c r="A1084" s="19" t="str">
        <x:v>SALE-01080</x:v>
      </x:c>
      <x:c r="B1084" s="34" t="n">
        <x:v>46215.5</x:v>
      </x:c>
      <x:c r="C1084" s="19" t="str">
        <x:v>周日</x:v>
      </x:c>
      <x:c r="D1084" s="19" t="str">
        <x:v>S04</x:v>
      </x:c>
      <x:c r="E1084" s="19" t="str">
        <x:v>金街美地店</x:v>
      </x:c>
      <x:c r="F1084" s="19" t="str">
        <x:v>外卖</x:v>
      </x:c>
      <x:c r="G1084" s="19" t="str">
        <x:v>全日</x:v>
      </x:c>
      <x:c r="H1084" s="19" t="str">
        <x:v>D20</x:v>
      </x:c>
      <x:c r="I1084" s="19" t="str">
        <x:v>雪菜肉末青豆</x:v>
      </x:c>
      <x:c r="J1084" s="22" t="n">
        <x:f>XLOOKUP(H1084,'菜品主数据'!$A$5:$A$24,'菜品主数据'!$D$5:$D$24,0)</x:f>
        <x:v>18</x:v>
      </x:c>
      <x:c r="K1084" s="31" t="n">
        <x:v>0</x:v>
      </x:c>
      <x:c r="L1084" s="35" t="n">
        <x:f>J1084*K1084</x:f>
        <x:v>0</x:v>
      </x:c>
      <x:c r="M1084" s="36" t="n">
        <x:v>0.08</x:v>
      </x:c>
      <x:c r="N1084" s="35" t="n">
        <x:f>L1084*M1084</x:f>
        <x:v>0</x:v>
      </x:c>
      <x:c r="O1084" s="37" t="n">
        <x:v>0.18</x:v>
      </x:c>
      <x:c r="P1084" s="35" t="n">
        <x:f>L1084*O1084</x:f>
        <x:v>0</x:v>
      </x:c>
      <x:c r="Q1084" s="35" t="n">
        <x:v>1.2</x:v>
      </x:c>
      <x:c r="R1084" s="35" t="n">
        <x:f>K1084*Q1084</x:f>
        <x:v>0</x:v>
      </x:c>
      <x:c r="S1084" s="35" t="n">
        <x:f>XLOOKUP(H1084,'菜品主数据'!$A$5:$A$24,'菜品主数据'!$G$5:$G$24,0)</x:f>
        <x:v>7.303999999999999</x:v>
      </x:c>
      <x:c r="T1084" s="35" t="n">
        <x:f>K1084*S1084</x:f>
        <x:v>0</x:v>
      </x:c>
      <x:c r="U1084" s="35" t="n">
        <x:f>L1084-N1084-P1084-R1084-T1084</x:f>
        <x:v>0</x:v>
      </x:c>
      <x:c r="V1084" s="21" t="n">
        <x:f>IFERROR(U1084/L1084,0)</x:f>
        <x:v>0</x:v>
      </x:c>
    </x:row>
    <x:row r="1085">
      <x:c r="A1085" s="19" t="str">
        <x:v>SALE-01081</x:v>
      </x:c>
      <x:c r="B1085" s="34" t="n">
        <x:v>46216.5</x:v>
      </x:c>
      <x:c r="C1085" s="19" t="str">
        <x:v>周一</x:v>
      </x:c>
      <x:c r="D1085" s="19" t="str">
        <x:v>S04</x:v>
      </x:c>
      <x:c r="E1085" s="19" t="str">
        <x:v>金街美地店</x:v>
      </x:c>
      <x:c r="F1085" s="19" t="str">
        <x:v>堂食</x:v>
      </x:c>
      <x:c r="G1085" s="19" t="str">
        <x:v>全日</x:v>
      </x:c>
      <x:c r="H1085" s="19" t="str">
        <x:v>D01</x:v>
      </x:c>
      <x:c r="I1085" s="19" t="str">
        <x:v>辣椒炒肉</x:v>
      </x:c>
      <x:c r="J1085" s="22" t="n">
        <x:f>XLOOKUP(H1085,'菜品主数据'!$A$5:$A$24,'菜品主数据'!$D$5:$D$24,0)</x:f>
        <x:v>29</x:v>
      </x:c>
      <x:c r="K1085" s="31" t="n">
        <x:v>47</x:v>
      </x:c>
      <x:c r="L1085" s="35" t="n">
        <x:f>J1085*K1085</x:f>
        <x:v>1363</x:v>
      </x:c>
      <x:c r="M1085" s="36" t="n">
        <x:v>0</x:v>
      </x:c>
      <x:c r="N1085" s="35" t="n">
        <x:f>L1085*M1085</x:f>
        <x:v>0</x:v>
      </x:c>
      <x:c r="O1085" s="37" t="n">
        <x:v>0</x:v>
      </x:c>
      <x:c r="P1085" s="35" t="n">
        <x:f>L1085*O1085</x:f>
        <x:v>0</x:v>
      </x:c>
      <x:c r="Q1085" s="35" t="n">
        <x:v>0</x:v>
      </x:c>
      <x:c r="R1085" s="35" t="n">
        <x:f>K1085*Q1085</x:f>
        <x:v>0</x:v>
      </x:c>
      <x:c r="S1085" s="35" t="n">
        <x:f>XLOOKUP(H1085,'菜品主数据'!$A$5:$A$24,'菜品主数据'!$G$5:$G$24,0)</x:f>
        <x:v>8.634400000000001</x:v>
      </x:c>
      <x:c r="T1085" s="35" t="n">
        <x:f>K1085*S1085</x:f>
        <x:v>405.81680000000006</x:v>
      </x:c>
      <x:c r="U1085" s="35" t="n">
        <x:f>L1085-N1085-P1085-R1085-T1085</x:f>
        <x:v>957.1831999999999</x:v>
      </x:c>
      <x:c r="V1085" s="21" t="n">
        <x:f>IFERROR(U1085/L1085,0)</x:f>
        <x:v>0.7022620689655172</x:v>
      </x:c>
    </x:row>
    <x:row r="1086">
      <x:c r="A1086" s="19" t="str">
        <x:v>SALE-01082</x:v>
      </x:c>
      <x:c r="B1086" s="34" t="n">
        <x:v>46216.5</x:v>
      </x:c>
      <x:c r="C1086" s="19" t="str">
        <x:v>周一</x:v>
      </x:c>
      <x:c r="D1086" s="19" t="str">
        <x:v>S04</x:v>
      </x:c>
      <x:c r="E1086" s="19" t="str">
        <x:v>金街美地店</x:v>
      </x:c>
      <x:c r="F1086" s="19" t="str">
        <x:v>堂食</x:v>
      </x:c>
      <x:c r="G1086" s="19" t="str">
        <x:v>全日</x:v>
      </x:c>
      <x:c r="H1086" s="19" t="str">
        <x:v>D02</x:v>
      </x:c>
      <x:c r="I1086" s="19" t="str">
        <x:v>小炒黄牛肉</x:v>
      </x:c>
      <x:c r="J1086" s="22" t="n">
        <x:f>XLOOKUP(H1086,'菜品主数据'!$A$5:$A$24,'菜品主数据'!$D$5:$D$24,0)</x:f>
        <x:v>49</x:v>
      </x:c>
      <x:c r="K1086" s="31" t="n">
        <x:v>26</x:v>
      </x:c>
      <x:c r="L1086" s="35" t="n">
        <x:f>J1086*K1086</x:f>
        <x:v>1274</x:v>
      </x:c>
      <x:c r="M1086" s="36" t="n">
        <x:v>0</x:v>
      </x:c>
      <x:c r="N1086" s="35" t="n">
        <x:f>L1086*M1086</x:f>
        <x:v>0</x:v>
      </x:c>
      <x:c r="O1086" s="37" t="n">
        <x:v>0</x:v>
      </x:c>
      <x:c r="P1086" s="35" t="n">
        <x:f>L1086*O1086</x:f>
        <x:v>0</x:v>
      </x:c>
      <x:c r="Q1086" s="35" t="n">
        <x:v>0</x:v>
      </x:c>
      <x:c r="R1086" s="35" t="n">
        <x:f>K1086*Q1086</x:f>
        <x:v>0</x:v>
      </x:c>
      <x:c r="S1086" s="35" t="n">
        <x:f>XLOOKUP(H1086,'菜品主数据'!$A$5:$A$24,'菜品主数据'!$G$5:$G$24,0)</x:f>
        <x:v>17.577</x:v>
      </x:c>
      <x:c r="T1086" s="35" t="n">
        <x:f>K1086*S1086</x:f>
        <x:v>457.00200000000007</x:v>
      </x:c>
      <x:c r="U1086" s="35" t="n">
        <x:f>L1086-N1086-P1086-R1086-T1086</x:f>
        <x:v>816.9979999999999</x:v>
      </x:c>
      <x:c r="V1086" s="21" t="n">
        <x:f>IFERROR(U1086/L1086,0)</x:f>
        <x:v>0.6412857142857142</x:v>
      </x:c>
    </x:row>
    <x:row r="1087">
      <x:c r="A1087" s="19" t="str">
        <x:v>SALE-01083</x:v>
      </x:c>
      <x:c r="B1087" s="34" t="n">
        <x:v>46216.5</x:v>
      </x:c>
      <x:c r="C1087" s="19" t="str">
        <x:v>周一</x:v>
      </x:c>
      <x:c r="D1087" s="19" t="str">
        <x:v>S04</x:v>
      </x:c>
      <x:c r="E1087" s="19" t="str">
        <x:v>金街美地店</x:v>
      </x:c>
      <x:c r="F1087" s="19" t="str">
        <x:v>堂食</x:v>
      </x:c>
      <x:c r="G1087" s="19" t="str">
        <x:v>全日</x:v>
      </x:c>
      <x:c r="H1087" s="19" t="str">
        <x:v>D03</x:v>
      </x:c>
      <x:c r="I1087" s="19" t="str">
        <x:v>香醋炒蛋</x:v>
      </x:c>
      <x:c r="J1087" s="22" t="n">
        <x:f>XLOOKUP(H1087,'菜品主数据'!$A$5:$A$24,'菜品主数据'!$D$5:$D$24,0)</x:f>
        <x:v>14.9</x:v>
      </x:c>
      <x:c r="K1087" s="31" t="n">
        <x:v>42</x:v>
      </x:c>
      <x:c r="L1087" s="35" t="n">
        <x:f>J1087*K1087</x:f>
        <x:v>625.8000000000001</x:v>
      </x:c>
      <x:c r="M1087" s="36" t="n">
        <x:v>0</x:v>
      </x:c>
      <x:c r="N1087" s="35" t="n">
        <x:f>L1087*M1087</x:f>
        <x:v>0</x:v>
      </x:c>
      <x:c r="O1087" s="37" t="n">
        <x:v>0</x:v>
      </x:c>
      <x:c r="P1087" s="35" t="n">
        <x:f>L1087*O1087</x:f>
        <x:v>0</x:v>
      </x:c>
      <x:c r="Q1087" s="35" t="n">
        <x:v>0</x:v>
      </x:c>
      <x:c r="R1087" s="35" t="n">
        <x:f>K1087*Q1087</x:f>
        <x:v>0</x:v>
      </x:c>
      <x:c r="S1087" s="35" t="n">
        <x:f>XLOOKUP(H1087,'菜品主数据'!$A$5:$A$24,'菜品主数据'!$G$5:$G$24,0)</x:f>
        <x:v>3.7459999999999996</x:v>
      </x:c>
      <x:c r="T1087" s="35" t="n">
        <x:f>K1087*S1087</x:f>
        <x:v>157.332</x:v>
      </x:c>
      <x:c r="U1087" s="35" t="n">
        <x:f>L1087-N1087-P1087-R1087-T1087</x:f>
        <x:v>468.4680000000001</x:v>
      </x:c>
      <x:c r="V1087" s="21" t="n">
        <x:f>IFERROR(U1087/L1087,0)</x:f>
        <x:v>0.7485906040268456</x:v>
      </x:c>
    </x:row>
    <x:row r="1088">
      <x:c r="A1088" s="19" t="str">
        <x:v>SALE-01084</x:v>
      </x:c>
      <x:c r="B1088" s="34" t="n">
        <x:v>46216.5</x:v>
      </x:c>
      <x:c r="C1088" s="19" t="str">
        <x:v>周一</x:v>
      </x:c>
      <x:c r="D1088" s="19" t="str">
        <x:v>S04</x:v>
      </x:c>
      <x:c r="E1088" s="19" t="str">
        <x:v>金街美地店</x:v>
      </x:c>
      <x:c r="F1088" s="19" t="str">
        <x:v>堂食</x:v>
      </x:c>
      <x:c r="G1088" s="19" t="str">
        <x:v>全日</x:v>
      </x:c>
      <x:c r="H1088" s="19" t="str">
        <x:v>D04</x:v>
      </x:c>
      <x:c r="I1088" s="19" t="str">
        <x:v>酸包菜炒粉皮</x:v>
      </x:c>
      <x:c r="J1088" s="22" t="n">
        <x:f>XLOOKUP(H1088,'菜品主数据'!$A$5:$A$24,'菜品主数据'!$D$5:$D$24,0)</x:f>
        <x:v>16</x:v>
      </x:c>
      <x:c r="K1088" s="31" t="n">
        <x:v>41</x:v>
      </x:c>
      <x:c r="L1088" s="35" t="n">
        <x:f>J1088*K1088</x:f>
        <x:v>656</x:v>
      </x:c>
      <x:c r="M1088" s="36" t="n">
        <x:v>0</x:v>
      </x:c>
      <x:c r="N1088" s="35" t="n">
        <x:f>L1088*M1088</x:f>
        <x:v>0</x:v>
      </x:c>
      <x:c r="O1088" s="37" t="n">
        <x:v>0</x:v>
      </x:c>
      <x:c r="P1088" s="35" t="n">
        <x:f>L1088*O1088</x:f>
        <x:v>0</x:v>
      </x:c>
      <x:c r="Q1088" s="35" t="n">
        <x:v>0</x:v>
      </x:c>
      <x:c r="R1088" s="35" t="n">
        <x:f>K1088*Q1088</x:f>
        <x:v>0</x:v>
      </x:c>
      <x:c r="S1088" s="35" t="n">
        <x:f>XLOOKUP(H1088,'菜品主数据'!$A$5:$A$24,'菜品主数据'!$G$5:$G$24,0)</x:f>
        <x:v>3.978</x:v>
      </x:c>
      <x:c r="T1088" s="35" t="n">
        <x:f>K1088*S1088</x:f>
        <x:v>163.098</x:v>
      </x:c>
      <x:c r="U1088" s="35" t="n">
        <x:f>L1088-N1088-P1088-R1088-T1088</x:f>
        <x:v>492.902</x:v>
      </x:c>
      <x:c r="V1088" s="21" t="n">
        <x:f>IFERROR(U1088/L1088,0)</x:f>
        <x:v>0.751375</x:v>
      </x:c>
    </x:row>
    <x:row r="1089">
      <x:c r="A1089" s="19" t="str">
        <x:v>SALE-01085</x:v>
      </x:c>
      <x:c r="B1089" s="34" t="n">
        <x:v>46216.5</x:v>
      </x:c>
      <x:c r="C1089" s="19" t="str">
        <x:v>周一</x:v>
      </x:c>
      <x:c r="D1089" s="19" t="str">
        <x:v>S04</x:v>
      </x:c>
      <x:c r="E1089" s="19" t="str">
        <x:v>金街美地店</x:v>
      </x:c>
      <x:c r="F1089" s="19" t="str">
        <x:v>堂食</x:v>
      </x:c>
      <x:c r="G1089" s="19" t="str">
        <x:v>全日</x:v>
      </x:c>
      <x:c r="H1089" s="19" t="str">
        <x:v>D05</x:v>
      </x:c>
      <x:c r="I1089" s="19" t="str">
        <x:v>麻婆豆腐</x:v>
      </x:c>
      <x:c r="J1089" s="22" t="n">
        <x:f>XLOOKUP(H1089,'菜品主数据'!$A$5:$A$24,'菜品主数据'!$D$5:$D$24,0)</x:f>
        <x:v>9.9</x:v>
      </x:c>
      <x:c r="K1089" s="31" t="n">
        <x:v>53</x:v>
      </x:c>
      <x:c r="L1089" s="35" t="n">
        <x:f>J1089*K1089</x:f>
        <x:v>524.7</x:v>
      </x:c>
      <x:c r="M1089" s="36" t="n">
        <x:v>0</x:v>
      </x:c>
      <x:c r="N1089" s="35" t="n">
        <x:f>L1089*M1089</x:f>
        <x:v>0</x:v>
      </x:c>
      <x:c r="O1089" s="37" t="n">
        <x:v>0</x:v>
      </x:c>
      <x:c r="P1089" s="35" t="n">
        <x:f>L1089*O1089</x:f>
        <x:v>0</x:v>
      </x:c>
      <x:c r="Q1089" s="35" t="n">
        <x:v>0</x:v>
      </x:c>
      <x:c r="R1089" s="35" t="n">
        <x:f>K1089*Q1089</x:f>
        <x:v>0</x:v>
      </x:c>
      <x:c r="S1089" s="35" t="n">
        <x:f>XLOOKUP(H1089,'菜品主数据'!$A$5:$A$24,'菜品主数据'!$G$5:$G$24,0)</x:f>
        <x:v>5.367000000000001</x:v>
      </x:c>
      <x:c r="T1089" s="35" t="n">
        <x:f>K1089*S1089</x:f>
        <x:v>284.451</x:v>
      </x:c>
      <x:c r="U1089" s="35" t="n">
        <x:f>L1089-N1089-P1089-R1089-T1089</x:f>
        <x:v>240.24900000000002</x:v>
      </x:c>
      <x:c r="V1089" s="21" t="n">
        <x:f>IFERROR(U1089/L1089,0)</x:f>
        <x:v>0.4578787878787879</x:v>
      </x:c>
    </x:row>
    <x:row r="1090">
      <x:c r="A1090" s="19" t="str">
        <x:v>SALE-01086</x:v>
      </x:c>
      <x:c r="B1090" s="34" t="n">
        <x:v>46216.5</x:v>
      </x:c>
      <x:c r="C1090" s="19" t="str">
        <x:v>周一</x:v>
      </x:c>
      <x:c r="D1090" s="19" t="str">
        <x:v>S04</x:v>
      </x:c>
      <x:c r="E1090" s="19" t="str">
        <x:v>金街美地店</x:v>
      </x:c>
      <x:c r="F1090" s="19" t="str">
        <x:v>堂食</x:v>
      </x:c>
      <x:c r="G1090" s="19" t="str">
        <x:v>全日</x:v>
      </x:c>
      <x:c r="H1090" s="19" t="str">
        <x:v>D06</x:v>
      </x:c>
      <x:c r="I1090" s="19" t="str">
        <x:v>剁椒鱼头</x:v>
      </x:c>
      <x:c r="J1090" s="22" t="n">
        <x:f>XLOOKUP(H1090,'菜品主数据'!$A$5:$A$24,'菜品主数据'!$D$5:$D$24,0)</x:f>
        <x:v>39</x:v>
      </x:c>
      <x:c r="K1090" s="31" t="n">
        <x:v>13</x:v>
      </x:c>
      <x:c r="L1090" s="35" t="n">
        <x:f>J1090*K1090</x:f>
        <x:v>507</x:v>
      </x:c>
      <x:c r="M1090" s="36" t="n">
        <x:v>0</x:v>
      </x:c>
      <x:c r="N1090" s="35" t="n">
        <x:f>L1090*M1090</x:f>
        <x:v>0</x:v>
      </x:c>
      <x:c r="O1090" s="37" t="n">
        <x:v>0</x:v>
      </x:c>
      <x:c r="P1090" s="35" t="n">
        <x:f>L1090*O1090</x:f>
        <x:v>0</x:v>
      </x:c>
      <x:c r="Q1090" s="35" t="n">
        <x:v>0</x:v>
      </x:c>
      <x:c r="R1090" s="35" t="n">
        <x:f>K1090*Q1090</x:f>
        <x:v>0</x:v>
      </x:c>
      <x:c r="S1090" s="35" t="n">
        <x:f>XLOOKUP(H1090,'菜品主数据'!$A$5:$A$24,'菜品主数据'!$G$5:$G$24,0)</x:f>
        <x:v>17.446</x:v>
      </x:c>
      <x:c r="T1090" s="35" t="n">
        <x:f>K1090*S1090</x:f>
        <x:v>226.79800000000003</x:v>
      </x:c>
      <x:c r="U1090" s="35" t="n">
        <x:f>L1090-N1090-P1090-R1090-T1090</x:f>
        <x:v>280.202</x:v>
      </x:c>
      <x:c r="V1090" s="21" t="n">
        <x:f>IFERROR(U1090/L1090,0)</x:f>
        <x:v>0.5526666666666666</x:v>
      </x:c>
    </x:row>
    <x:row r="1091">
      <x:c r="A1091" s="19" t="str">
        <x:v>SALE-01087</x:v>
      </x:c>
      <x:c r="B1091" s="34" t="n">
        <x:v>46216.5</x:v>
      </x:c>
      <x:c r="C1091" s="19" t="str">
        <x:v>周一</x:v>
      </x:c>
      <x:c r="D1091" s="19" t="str">
        <x:v>S04</x:v>
      </x:c>
      <x:c r="E1091" s="19" t="str">
        <x:v>金街美地店</x:v>
      </x:c>
      <x:c r="F1091" s="19" t="str">
        <x:v>堂食</x:v>
      </x:c>
      <x:c r="G1091" s="19" t="str">
        <x:v>全日</x:v>
      </x:c>
      <x:c r="H1091" s="19" t="str">
        <x:v>D07</x:v>
      </x:c>
      <x:c r="I1091" s="19" t="str">
        <x:v>川味回锅肉</x:v>
      </x:c>
      <x:c r="J1091" s="22" t="n">
        <x:f>XLOOKUP(H1091,'菜品主数据'!$A$5:$A$24,'菜品主数据'!$D$5:$D$24,0)</x:f>
        <x:v>29</x:v>
      </x:c>
      <x:c r="K1091" s="31" t="n">
        <x:v>16</x:v>
      </x:c>
      <x:c r="L1091" s="35" t="n">
        <x:f>J1091*K1091</x:f>
        <x:v>464</x:v>
      </x:c>
      <x:c r="M1091" s="36" t="n">
        <x:v>0</x:v>
      </x:c>
      <x:c r="N1091" s="35" t="n">
        <x:f>L1091*M1091</x:f>
        <x:v>0</x:v>
      </x:c>
      <x:c r="O1091" s="37" t="n">
        <x:v>0</x:v>
      </x:c>
      <x:c r="P1091" s="35" t="n">
        <x:f>L1091*O1091</x:f>
        <x:v>0</x:v>
      </x:c>
      <x:c r="Q1091" s="35" t="n">
        <x:v>0</x:v>
      </x:c>
      <x:c r="R1091" s="35" t="n">
        <x:f>K1091*Q1091</x:f>
        <x:v>0</x:v>
      </x:c>
      <x:c r="S1091" s="35" t="n">
        <x:f>XLOOKUP(H1091,'菜品主数据'!$A$5:$A$24,'菜品主数据'!$G$5:$G$24,0)</x:f>
        <x:v>10.231000000000002</x:v>
      </x:c>
      <x:c r="T1091" s="35" t="n">
        <x:f>K1091*S1091</x:f>
        <x:v>163.69600000000003</x:v>
      </x:c>
      <x:c r="U1091" s="35" t="n">
        <x:f>L1091-N1091-P1091-R1091-T1091</x:f>
        <x:v>300.304</x:v>
      </x:c>
      <x:c r="V1091" s="21" t="n">
        <x:f>IFERROR(U1091/L1091,0)</x:f>
        <x:v>0.647206896551724</x:v>
      </x:c>
    </x:row>
    <x:row r="1092">
      <x:c r="A1092" s="19" t="str">
        <x:v>SALE-01088</x:v>
      </x:c>
      <x:c r="B1092" s="34" t="n">
        <x:v>46216.5</x:v>
      </x:c>
      <x:c r="C1092" s="19" t="str">
        <x:v>周一</x:v>
      </x:c>
      <x:c r="D1092" s="19" t="str">
        <x:v>S04</x:v>
      </x:c>
      <x:c r="E1092" s="19" t="str">
        <x:v>金街美地店</x:v>
      </x:c>
      <x:c r="F1092" s="19" t="str">
        <x:v>堂食</x:v>
      </x:c>
      <x:c r="G1092" s="19" t="str">
        <x:v>全日</x:v>
      </x:c>
      <x:c r="H1092" s="19" t="str">
        <x:v>D08</x:v>
      </x:c>
      <x:c r="I1092" s="19" t="str">
        <x:v>生炒清远鸡</x:v>
      </x:c>
      <x:c r="J1092" s="22" t="n">
        <x:f>XLOOKUP(H1092,'菜品主数据'!$A$5:$A$24,'菜品主数据'!$D$5:$D$24,0)</x:f>
        <x:v>36</x:v>
      </x:c>
      <x:c r="K1092" s="31" t="n">
        <x:v>11</x:v>
      </x:c>
      <x:c r="L1092" s="35" t="n">
        <x:f>J1092*K1092</x:f>
        <x:v>396</x:v>
      </x:c>
      <x:c r="M1092" s="36" t="n">
        <x:v>0</x:v>
      </x:c>
      <x:c r="N1092" s="35" t="n">
        <x:f>L1092*M1092</x:f>
        <x:v>0</x:v>
      </x:c>
      <x:c r="O1092" s="37" t="n">
        <x:v>0</x:v>
      </x:c>
      <x:c r="P1092" s="35" t="n">
        <x:f>L1092*O1092</x:f>
        <x:v>0</x:v>
      </x:c>
      <x:c r="Q1092" s="35" t="n">
        <x:v>0</x:v>
      </x:c>
      <x:c r="R1092" s="35" t="n">
        <x:f>K1092*Q1092</x:f>
        <x:v>0</x:v>
      </x:c>
      <x:c r="S1092" s="35" t="n">
        <x:f>XLOOKUP(H1092,'菜品主数据'!$A$5:$A$24,'菜品主数据'!$G$5:$G$24,0)</x:f>
        <x:v>13.48</x:v>
      </x:c>
      <x:c r="T1092" s="35" t="n">
        <x:f>K1092*S1092</x:f>
        <x:v>148.28</x:v>
      </x:c>
      <x:c r="U1092" s="35" t="n">
        <x:f>L1092-N1092-P1092-R1092-T1092</x:f>
        <x:v>247.72</x:v>
      </x:c>
      <x:c r="V1092" s="21" t="n">
        <x:f>IFERROR(U1092/L1092,0)</x:f>
        <x:v>0.6255555555555555</x:v>
      </x:c>
    </x:row>
    <x:row r="1093">
      <x:c r="A1093" s="19" t="str">
        <x:v>SALE-01089</x:v>
      </x:c>
      <x:c r="B1093" s="34" t="n">
        <x:v>46216.5</x:v>
      </x:c>
      <x:c r="C1093" s="19" t="str">
        <x:v>周一</x:v>
      </x:c>
      <x:c r="D1093" s="19" t="str">
        <x:v>S04</x:v>
      </x:c>
      <x:c r="E1093" s="19" t="str">
        <x:v>金街美地店</x:v>
      </x:c>
      <x:c r="F1093" s="19" t="str">
        <x:v>堂食</x:v>
      </x:c>
      <x:c r="G1093" s="19" t="str">
        <x:v>全日</x:v>
      </x:c>
      <x:c r="H1093" s="19" t="str">
        <x:v>D09</x:v>
      </x:c>
      <x:c r="I1093" s="19" t="str">
        <x:v>炒豆干</x:v>
      </x:c>
      <x:c r="J1093" s="22" t="n">
        <x:f>XLOOKUP(H1093,'菜品主数据'!$A$5:$A$24,'菜品主数据'!$D$5:$D$24,0)</x:f>
        <x:v>18</x:v>
      </x:c>
      <x:c r="K1093" s="31" t="n">
        <x:v>15</x:v>
      </x:c>
      <x:c r="L1093" s="35" t="n">
        <x:f>J1093*K1093</x:f>
        <x:v>270</x:v>
      </x:c>
      <x:c r="M1093" s="36" t="n">
        <x:v>0</x:v>
      </x:c>
      <x:c r="N1093" s="35" t="n">
        <x:f>L1093*M1093</x:f>
        <x:v>0</x:v>
      </x:c>
      <x:c r="O1093" s="37" t="n">
        <x:v>0</x:v>
      </x:c>
      <x:c r="P1093" s="35" t="n">
        <x:f>L1093*O1093</x:f>
        <x:v>0</x:v>
      </x:c>
      <x:c r="Q1093" s="35" t="n">
        <x:v>0</x:v>
      </x:c>
      <x:c r="R1093" s="35" t="n">
        <x:f>K1093*Q1093</x:f>
        <x:v>0</x:v>
      </x:c>
      <x:c r="S1093" s="35" t="n">
        <x:f>XLOOKUP(H1093,'菜品主数据'!$A$5:$A$24,'菜品主数据'!$G$5:$G$24,0)</x:f>
        <x:v>6.613999999999999</x:v>
      </x:c>
      <x:c r="T1093" s="35" t="n">
        <x:f>K1093*S1093</x:f>
        <x:v>99.20999999999998</x:v>
      </x:c>
      <x:c r="U1093" s="35" t="n">
        <x:f>L1093-N1093-P1093-R1093-T1093</x:f>
        <x:v>170.79000000000002</x:v>
      </x:c>
      <x:c r="V1093" s="21" t="n">
        <x:f>IFERROR(U1093/L1093,0)</x:f>
        <x:v>0.6325555555555556</x:v>
      </x:c>
    </x:row>
    <x:row r="1094">
      <x:c r="A1094" s="19" t="str">
        <x:v>SALE-01090</x:v>
      </x:c>
      <x:c r="B1094" s="34" t="n">
        <x:v>46216.5</x:v>
      </x:c>
      <x:c r="C1094" s="19" t="str">
        <x:v>周一</x:v>
      </x:c>
      <x:c r="D1094" s="19" t="str">
        <x:v>S04</x:v>
      </x:c>
      <x:c r="E1094" s="19" t="str">
        <x:v>金街美地店</x:v>
      </x:c>
      <x:c r="F1094" s="19" t="str">
        <x:v>堂食</x:v>
      </x:c>
      <x:c r="G1094" s="19" t="str">
        <x:v>全日</x:v>
      </x:c>
      <x:c r="H1094" s="19" t="str">
        <x:v>D10</x:v>
      </x:c>
      <x:c r="I1094" s="19" t="str">
        <x:v>农家一碗香</x:v>
      </x:c>
      <x:c r="J1094" s="22" t="n">
        <x:f>XLOOKUP(H1094,'菜品主数据'!$A$5:$A$24,'菜品主数据'!$D$5:$D$24,0)</x:f>
        <x:v>22.9</x:v>
      </x:c>
      <x:c r="K1094" s="31" t="n">
        <x:v>19</x:v>
      </x:c>
      <x:c r="L1094" s="35" t="n">
        <x:f>J1094*K1094</x:f>
        <x:v>435.09999999999997</x:v>
      </x:c>
      <x:c r="M1094" s="36" t="n">
        <x:v>0</x:v>
      </x:c>
      <x:c r="N1094" s="35" t="n">
        <x:f>L1094*M1094</x:f>
        <x:v>0</x:v>
      </x:c>
      <x:c r="O1094" s="37" t="n">
        <x:v>0</x:v>
      </x:c>
      <x:c r="P1094" s="35" t="n">
        <x:f>L1094*O1094</x:f>
        <x:v>0</x:v>
      </x:c>
      <x:c r="Q1094" s="35" t="n">
        <x:v>0</x:v>
      </x:c>
      <x:c r="R1094" s="35" t="n">
        <x:f>K1094*Q1094</x:f>
        <x:v>0</x:v>
      </x:c>
      <x:c r="S1094" s="35" t="n">
        <x:f>XLOOKUP(H1094,'菜品主数据'!$A$5:$A$24,'菜品主数据'!$G$5:$G$24,0)</x:f>
        <x:v>9.770200000000003</x:v>
      </x:c>
      <x:c r="T1094" s="35" t="n">
        <x:f>K1094*S1094</x:f>
        <x:v>185.63380000000006</x:v>
      </x:c>
      <x:c r="U1094" s="35" t="n">
        <x:f>L1094-N1094-P1094-R1094-T1094</x:f>
        <x:v>249.4661999999999</x:v>
      </x:c>
      <x:c r="V1094" s="21" t="n">
        <x:f>IFERROR(U1094/L1094,0)</x:f>
        <x:v>0.5733537117903929</x:v>
      </x:c>
    </x:row>
    <x:row r="1095">
      <x:c r="A1095" s="19" t="str">
        <x:v>SALE-01091</x:v>
      </x:c>
      <x:c r="B1095" s="34" t="n">
        <x:v>46216.5</x:v>
      </x:c>
      <x:c r="C1095" s="19" t="str">
        <x:v>周一</x:v>
      </x:c>
      <x:c r="D1095" s="19" t="str">
        <x:v>S04</x:v>
      </x:c>
      <x:c r="E1095" s="19" t="str">
        <x:v>金街美地店</x:v>
      </x:c>
      <x:c r="F1095" s="19" t="str">
        <x:v>堂食</x:v>
      </x:c>
      <x:c r="G1095" s="19" t="str">
        <x:v>全日</x:v>
      </x:c>
      <x:c r="H1095" s="19" t="str">
        <x:v>D11</x:v>
      </x:c>
      <x:c r="I1095" s="19" t="str">
        <x:v>香辣爆肥肠</x:v>
      </x:c>
      <x:c r="J1095" s="22" t="n">
        <x:f>XLOOKUP(H1095,'菜品主数据'!$A$5:$A$24,'菜品主数据'!$D$5:$D$24,0)</x:f>
        <x:v>39</x:v>
      </x:c>
      <x:c r="K1095" s="31" t="n">
        <x:v>7</x:v>
      </x:c>
      <x:c r="L1095" s="35" t="n">
        <x:f>J1095*K1095</x:f>
        <x:v>273</x:v>
      </x:c>
      <x:c r="M1095" s="36" t="n">
        <x:v>0</x:v>
      </x:c>
      <x:c r="N1095" s="35" t="n">
        <x:f>L1095*M1095</x:f>
        <x:v>0</x:v>
      </x:c>
      <x:c r="O1095" s="37" t="n">
        <x:v>0</x:v>
      </x:c>
      <x:c r="P1095" s="35" t="n">
        <x:f>L1095*O1095</x:f>
        <x:v>0</x:v>
      </x:c>
      <x:c r="Q1095" s="35" t="n">
        <x:v>0</x:v>
      </x:c>
      <x:c r="R1095" s="35" t="n">
        <x:f>K1095*Q1095</x:f>
        <x:v>0</x:v>
      </x:c>
      <x:c r="S1095" s="35" t="n">
        <x:f>XLOOKUP(H1095,'菜品主数据'!$A$5:$A$24,'菜品主数据'!$G$5:$G$24,0)</x:f>
        <x:v>10.397</x:v>
      </x:c>
      <x:c r="T1095" s="35" t="n">
        <x:f>K1095*S1095</x:f>
        <x:v>72.779</x:v>
      </x:c>
      <x:c r="U1095" s="35" t="n">
        <x:f>L1095-N1095-P1095-R1095-T1095</x:f>
        <x:v>200.221</x:v>
      </x:c>
      <x:c r="V1095" s="21" t="n">
        <x:f>IFERROR(U1095/L1095,0)</x:f>
        <x:v>0.7334102564102565</x:v>
      </x:c>
    </x:row>
    <x:row r="1096">
      <x:c r="A1096" s="19" t="str">
        <x:v>SALE-01092</x:v>
      </x:c>
      <x:c r="B1096" s="34" t="n">
        <x:v>46216.5</x:v>
      </x:c>
      <x:c r="C1096" s="19" t="str">
        <x:v>周一</x:v>
      </x:c>
      <x:c r="D1096" s="19" t="str">
        <x:v>S04</x:v>
      </x:c>
      <x:c r="E1096" s="19" t="str">
        <x:v>金街美地店</x:v>
      </x:c>
      <x:c r="F1096" s="19" t="str">
        <x:v>堂食</x:v>
      </x:c>
      <x:c r="G1096" s="19" t="str">
        <x:v>全日</x:v>
      </x:c>
      <x:c r="H1096" s="19" t="str">
        <x:v>D12</x:v>
      </x:c>
      <x:c r="I1096" s="19" t="str">
        <x:v>清蒸鲈鱼</x:v>
      </x:c>
      <x:c r="J1096" s="22" t="n">
        <x:f>XLOOKUP(H1096,'菜品主数据'!$A$5:$A$24,'菜品主数据'!$D$5:$D$24,0)</x:f>
        <x:v>39</x:v>
      </x:c>
      <x:c r="K1096" s="31" t="n">
        <x:v>8</x:v>
      </x:c>
      <x:c r="L1096" s="35" t="n">
        <x:f>J1096*K1096</x:f>
        <x:v>312</x:v>
      </x:c>
      <x:c r="M1096" s="36" t="n">
        <x:v>0</x:v>
      </x:c>
      <x:c r="N1096" s="35" t="n">
        <x:f>L1096*M1096</x:f>
        <x:v>0</x:v>
      </x:c>
      <x:c r="O1096" s="37" t="n">
        <x:v>0</x:v>
      </x:c>
      <x:c r="P1096" s="35" t="n">
        <x:f>L1096*O1096</x:f>
        <x:v>0</x:v>
      </x:c>
      <x:c r="Q1096" s="35" t="n">
        <x:v>0</x:v>
      </x:c>
      <x:c r="R1096" s="35" t="n">
        <x:f>K1096*Q1096</x:f>
        <x:v>0</x:v>
      </x:c>
      <x:c r="S1096" s="35" t="n">
        <x:f>XLOOKUP(H1096,'菜品主数据'!$A$5:$A$24,'菜品主数据'!$G$5:$G$24,0)</x:f>
        <x:v>18.874</x:v>
      </x:c>
      <x:c r="T1096" s="35" t="n">
        <x:f>K1096*S1096</x:f>
        <x:v>150.992</x:v>
      </x:c>
      <x:c r="U1096" s="35" t="n">
        <x:f>L1096-N1096-P1096-R1096-T1096</x:f>
        <x:v>161.008</x:v>
      </x:c>
      <x:c r="V1096" s="21" t="n">
        <x:f>IFERROR(U1096/L1096,0)</x:f>
        <x:v>0.516051282051282</x:v>
      </x:c>
    </x:row>
    <x:row r="1097">
      <x:c r="A1097" s="19" t="str">
        <x:v>SALE-01093</x:v>
      </x:c>
      <x:c r="B1097" s="34" t="n">
        <x:v>46216.5</x:v>
      </x:c>
      <x:c r="C1097" s="19" t="str">
        <x:v>周一</x:v>
      </x:c>
      <x:c r="D1097" s="19" t="str">
        <x:v>S04</x:v>
      </x:c>
      <x:c r="E1097" s="19" t="str">
        <x:v>金街美地店</x:v>
      </x:c>
      <x:c r="F1097" s="19" t="str">
        <x:v>堂食</x:v>
      </x:c>
      <x:c r="G1097" s="19" t="str">
        <x:v>全日</x:v>
      </x:c>
      <x:c r="H1097" s="19" t="str">
        <x:v>D13</x:v>
      </x:c>
      <x:c r="I1097" s="19" t="str">
        <x:v>外婆菜炒蛋</x:v>
      </x:c>
      <x:c r="J1097" s="22" t="n">
        <x:f>XLOOKUP(H1097,'菜品主数据'!$A$5:$A$24,'菜品主数据'!$D$5:$D$24,0)</x:f>
        <x:v>18</x:v>
      </x:c>
      <x:c r="K1097" s="31" t="n">
        <x:v>18</x:v>
      </x:c>
      <x:c r="L1097" s="35" t="n">
        <x:f>J1097*K1097</x:f>
        <x:v>324</x:v>
      </x:c>
      <x:c r="M1097" s="36" t="n">
        <x:v>0</x:v>
      </x:c>
      <x:c r="N1097" s="35" t="n">
        <x:f>L1097*M1097</x:f>
        <x:v>0</x:v>
      </x:c>
      <x:c r="O1097" s="37" t="n">
        <x:v>0</x:v>
      </x:c>
      <x:c r="P1097" s="35" t="n">
        <x:f>L1097*O1097</x:f>
        <x:v>0</x:v>
      </x:c>
      <x:c r="Q1097" s="35" t="n">
        <x:v>0</x:v>
      </x:c>
      <x:c r="R1097" s="35" t="n">
        <x:f>K1097*Q1097</x:f>
        <x:v>0</x:v>
      </x:c>
      <x:c r="S1097" s="35" t="n">
        <x:f>XLOOKUP(H1097,'菜品主数据'!$A$5:$A$24,'菜品主数据'!$G$5:$G$24,0)</x:f>
        <x:v>5.403999999999999</x:v>
      </x:c>
      <x:c r="T1097" s="35" t="n">
        <x:f>K1097*S1097</x:f>
        <x:v>97.27199999999998</x:v>
      </x:c>
      <x:c r="U1097" s="35" t="n">
        <x:f>L1097-N1097-P1097-R1097-T1097</x:f>
        <x:v>226.728</x:v>
      </x:c>
      <x:c r="V1097" s="21" t="n">
        <x:f>IFERROR(U1097/L1097,0)</x:f>
        <x:v>0.6997777777777778</x:v>
      </x:c>
    </x:row>
    <x:row r="1098">
      <x:c r="A1098" s="19" t="str">
        <x:v>SALE-01094</x:v>
      </x:c>
      <x:c r="B1098" s="34" t="n">
        <x:v>46216.5</x:v>
      </x:c>
      <x:c r="C1098" s="19" t="str">
        <x:v>周一</x:v>
      </x:c>
      <x:c r="D1098" s="19" t="str">
        <x:v>S04</x:v>
      </x:c>
      <x:c r="E1098" s="19" t="str">
        <x:v>金街美地店</x:v>
      </x:c>
      <x:c r="F1098" s="19" t="str">
        <x:v>堂食</x:v>
      </x:c>
      <x:c r="G1098" s="19" t="str">
        <x:v>全日</x:v>
      </x:c>
      <x:c r="H1098" s="19" t="str">
        <x:v>D14</x:v>
      </x:c>
      <x:c r="I1098" s="19" t="str">
        <x:v>酸辣鸡杂</x:v>
      </x:c>
      <x:c r="J1098" s="22" t="n">
        <x:f>XLOOKUP(H1098,'菜品主数据'!$A$5:$A$24,'菜品主数据'!$D$5:$D$24,0)</x:f>
        <x:v>28</x:v>
      </x:c>
      <x:c r="K1098" s="31" t="n">
        <x:v>8</x:v>
      </x:c>
      <x:c r="L1098" s="35" t="n">
        <x:f>J1098*K1098</x:f>
        <x:v>224</x:v>
      </x:c>
      <x:c r="M1098" s="36" t="n">
        <x:v>0</x:v>
      </x:c>
      <x:c r="N1098" s="35" t="n">
        <x:f>L1098*M1098</x:f>
        <x:v>0</x:v>
      </x:c>
      <x:c r="O1098" s="37" t="n">
        <x:v>0</x:v>
      </x:c>
      <x:c r="P1098" s="35" t="n">
        <x:f>L1098*O1098</x:f>
        <x:v>0</x:v>
      </x:c>
      <x:c r="Q1098" s="35" t="n">
        <x:v>0</x:v>
      </x:c>
      <x:c r="R1098" s="35" t="n">
        <x:f>K1098*Q1098</x:f>
        <x:v>0</x:v>
      </x:c>
      <x:c r="S1098" s="35" t="n">
        <x:f>XLOOKUP(H1098,'菜品主数据'!$A$5:$A$24,'菜品主数据'!$G$5:$G$24,0)</x:f>
        <x:v>8.315000000000001</x:v>
      </x:c>
      <x:c r="T1098" s="35" t="n">
        <x:f>K1098*S1098</x:f>
        <x:v>66.52000000000001</x:v>
      </x:c>
      <x:c r="U1098" s="35" t="n">
        <x:f>L1098-N1098-P1098-R1098-T1098</x:f>
        <x:v>157.48</x:v>
      </x:c>
      <x:c r="V1098" s="21" t="n">
        <x:f>IFERROR(U1098/L1098,0)</x:f>
        <x:v>0.7030357142857142</x:v>
      </x:c>
    </x:row>
    <x:row r="1099">
      <x:c r="A1099" s="19" t="str">
        <x:v>SALE-01095</x:v>
      </x:c>
      <x:c r="B1099" s="34" t="n">
        <x:v>46216.5</x:v>
      </x:c>
      <x:c r="C1099" s="19" t="str">
        <x:v>周一</x:v>
      </x:c>
      <x:c r="D1099" s="19" t="str">
        <x:v>S04</x:v>
      </x:c>
      <x:c r="E1099" s="19" t="str">
        <x:v>金街美地店</x:v>
      </x:c>
      <x:c r="F1099" s="19" t="str">
        <x:v>堂食</x:v>
      </x:c>
      <x:c r="G1099" s="19" t="str">
        <x:v>全日</x:v>
      </x:c>
      <x:c r="H1099" s="19" t="str">
        <x:v>D15</x:v>
      </x:c>
      <x:c r="I1099" s="19" t="str">
        <x:v>湘西土匪猪肝</x:v>
      </x:c>
      <x:c r="J1099" s="22" t="n">
        <x:f>XLOOKUP(H1099,'菜品主数据'!$A$5:$A$24,'菜品主数据'!$D$5:$D$24,0)</x:f>
        <x:v>26</x:v>
      </x:c>
      <x:c r="K1099" s="31" t="n">
        <x:v>9</x:v>
      </x:c>
      <x:c r="L1099" s="35" t="n">
        <x:f>J1099*K1099</x:f>
        <x:v>234</x:v>
      </x:c>
      <x:c r="M1099" s="36" t="n">
        <x:v>0</x:v>
      </x:c>
      <x:c r="N1099" s="35" t="n">
        <x:f>L1099*M1099</x:f>
        <x:v>0</x:v>
      </x:c>
      <x:c r="O1099" s="37" t="n">
        <x:v>0</x:v>
      </x:c>
      <x:c r="P1099" s="35" t="n">
        <x:f>L1099*O1099</x:f>
        <x:v>0</x:v>
      </x:c>
      <x:c r="Q1099" s="35" t="n">
        <x:v>0</x:v>
      </x:c>
      <x:c r="R1099" s="35" t="n">
        <x:f>K1099*Q1099</x:f>
        <x:v>0</x:v>
      </x:c>
      <x:c r="S1099" s="35" t="n">
        <x:f>XLOOKUP(H1099,'菜品主数据'!$A$5:$A$24,'菜品主数据'!$G$5:$G$24,0)</x:f>
        <x:v>6.3759999999999994</x:v>
      </x:c>
      <x:c r="T1099" s="35" t="n">
        <x:f>K1099*S1099</x:f>
        <x:v>57.38399999999999</x:v>
      </x:c>
      <x:c r="U1099" s="35" t="n">
        <x:f>L1099-N1099-P1099-R1099-T1099</x:f>
        <x:v>176.616</x:v>
      </x:c>
      <x:c r="V1099" s="21" t="n">
        <x:f>IFERROR(U1099/L1099,0)</x:f>
        <x:v>0.7547692307692309</x:v>
      </x:c>
    </x:row>
    <x:row r="1100">
      <x:c r="A1100" s="19" t="str">
        <x:v>SALE-01096</x:v>
      </x:c>
      <x:c r="B1100" s="34" t="n">
        <x:v>46216.5</x:v>
      </x:c>
      <x:c r="C1100" s="19" t="str">
        <x:v>周一</x:v>
      </x:c>
      <x:c r="D1100" s="19" t="str">
        <x:v>S04</x:v>
      </x:c>
      <x:c r="E1100" s="19" t="str">
        <x:v>金街美地店</x:v>
      </x:c>
      <x:c r="F1100" s="19" t="str">
        <x:v>堂食</x:v>
      </x:c>
      <x:c r="G1100" s="19" t="str">
        <x:v>全日</x:v>
      </x:c>
      <x:c r="H1100" s="19" t="str">
        <x:v>D16</x:v>
      </x:c>
      <x:c r="I1100" s="19" t="str">
        <x:v>小豆角炒五花</x:v>
      </x:c>
      <x:c r="J1100" s="22" t="n">
        <x:f>XLOOKUP(H1100,'菜品主数据'!$A$5:$A$24,'菜品主数据'!$D$5:$D$24,0)</x:f>
        <x:v>25</x:v>
      </x:c>
      <x:c r="K1100" s="31" t="n">
        <x:v>8</x:v>
      </x:c>
      <x:c r="L1100" s="35" t="n">
        <x:f>J1100*K1100</x:f>
        <x:v>200</x:v>
      </x:c>
      <x:c r="M1100" s="36" t="n">
        <x:v>0</x:v>
      </x:c>
      <x:c r="N1100" s="35" t="n">
        <x:f>L1100*M1100</x:f>
        <x:v>0</x:v>
      </x:c>
      <x:c r="O1100" s="37" t="n">
        <x:v>0</x:v>
      </x:c>
      <x:c r="P1100" s="35" t="n">
        <x:f>L1100*O1100</x:f>
        <x:v>0</x:v>
      </x:c>
      <x:c r="Q1100" s="35" t="n">
        <x:v>0</x:v>
      </x:c>
      <x:c r="R1100" s="35" t="n">
        <x:f>K1100*Q1100</x:f>
        <x:v>0</x:v>
      </x:c>
      <x:c r="S1100" s="35" t="n">
        <x:f>XLOOKUP(H1100,'菜品主数据'!$A$5:$A$24,'菜品主数据'!$G$5:$G$24,0)</x:f>
        <x:v>8.184</x:v>
      </x:c>
      <x:c r="T1100" s="35" t="n">
        <x:f>K1100*S1100</x:f>
        <x:v>65.472</x:v>
      </x:c>
      <x:c r="U1100" s="35" t="n">
        <x:f>L1100-N1100-P1100-R1100-T1100</x:f>
        <x:v>134.52800000000002</x:v>
      </x:c>
      <x:c r="V1100" s="21" t="n">
        <x:f>IFERROR(U1100/L1100,0)</x:f>
        <x:v>0.6726400000000001</x:v>
      </x:c>
    </x:row>
    <x:row r="1101">
      <x:c r="A1101" s="19" t="str">
        <x:v>SALE-01097</x:v>
      </x:c>
      <x:c r="B1101" s="34" t="n">
        <x:v>46216.5</x:v>
      </x:c>
      <x:c r="C1101" s="19" t="str">
        <x:v>周一</x:v>
      </x:c>
      <x:c r="D1101" s="19" t="str">
        <x:v>S04</x:v>
      </x:c>
      <x:c r="E1101" s="19" t="str">
        <x:v>金街美地店</x:v>
      </x:c>
      <x:c r="F1101" s="19" t="str">
        <x:v>堂食</x:v>
      </x:c>
      <x:c r="G1101" s="19" t="str">
        <x:v>全日</x:v>
      </x:c>
      <x:c r="H1101" s="19" t="str">
        <x:v>D17</x:v>
      </x:c>
      <x:c r="I1101" s="19" t="str">
        <x:v>蒜蓉粉丝虾</x:v>
      </x:c>
      <x:c r="J1101" s="22" t="n">
        <x:f>XLOOKUP(H1101,'菜品主数据'!$A$5:$A$24,'菜品主数据'!$D$5:$D$24,0)</x:f>
        <x:v>36</x:v>
      </x:c>
      <x:c r="K1101" s="31" t="n">
        <x:v>6</x:v>
      </x:c>
      <x:c r="L1101" s="35" t="n">
        <x:f>J1101*K1101</x:f>
        <x:v>216</x:v>
      </x:c>
      <x:c r="M1101" s="36" t="n">
        <x:v>0</x:v>
      </x:c>
      <x:c r="N1101" s="35" t="n">
        <x:f>L1101*M1101</x:f>
        <x:v>0</x:v>
      </x:c>
      <x:c r="O1101" s="37" t="n">
        <x:v>0</x:v>
      </x:c>
      <x:c r="P1101" s="35" t="n">
        <x:f>L1101*O1101</x:f>
        <x:v>0</x:v>
      </x:c>
      <x:c r="Q1101" s="35" t="n">
        <x:v>0</x:v>
      </x:c>
      <x:c r="R1101" s="35" t="n">
        <x:f>K1101*Q1101</x:f>
        <x:v>0</x:v>
      </x:c>
      <x:c r="S1101" s="35" t="n">
        <x:f>XLOOKUP(H1101,'菜品主数据'!$A$5:$A$24,'菜品主数据'!$G$5:$G$24,0)</x:f>
        <x:v>13.594</x:v>
      </x:c>
      <x:c r="T1101" s="35" t="n">
        <x:f>K1101*S1101</x:f>
        <x:v>81.564</x:v>
      </x:c>
      <x:c r="U1101" s="35" t="n">
        <x:f>L1101-N1101-P1101-R1101-T1101</x:f>
        <x:v>134.436</x:v>
      </x:c>
      <x:c r="V1101" s="21" t="n">
        <x:f>IFERROR(U1101/L1101,0)</x:f>
        <x:v>0.6223888888888889</x:v>
      </x:c>
    </x:row>
    <x:row r="1102">
      <x:c r="A1102" s="19" t="str">
        <x:v>SALE-01098</x:v>
      </x:c>
      <x:c r="B1102" s="34" t="n">
        <x:v>46216.5</x:v>
      </x:c>
      <x:c r="C1102" s="19" t="str">
        <x:v>周一</x:v>
      </x:c>
      <x:c r="D1102" s="19" t="str">
        <x:v>S04</x:v>
      </x:c>
      <x:c r="E1102" s="19" t="str">
        <x:v>金街美地店</x:v>
      </x:c>
      <x:c r="F1102" s="19" t="str">
        <x:v>堂食</x:v>
      </x:c>
      <x:c r="G1102" s="19" t="str">
        <x:v>全日</x:v>
      </x:c>
      <x:c r="H1102" s="19" t="str">
        <x:v>D18</x:v>
      </x:c>
      <x:c r="I1102" s="19" t="str">
        <x:v>青椒炒油麦菜</x:v>
      </x:c>
      <x:c r="J1102" s="22" t="n">
        <x:f>XLOOKUP(H1102,'菜品主数据'!$A$5:$A$24,'菜品主数据'!$D$5:$D$24,0)</x:f>
        <x:v>18</x:v>
      </x:c>
      <x:c r="K1102" s="31" t="n">
        <x:v>9</x:v>
      </x:c>
      <x:c r="L1102" s="35" t="n">
        <x:f>J1102*K1102</x:f>
        <x:v>162</x:v>
      </x:c>
      <x:c r="M1102" s="36" t="n">
        <x:v>0</x:v>
      </x:c>
      <x:c r="N1102" s="35" t="n">
        <x:f>L1102*M1102</x:f>
        <x:v>0</x:v>
      </x:c>
      <x:c r="O1102" s="37" t="n">
        <x:v>0</x:v>
      </x:c>
      <x:c r="P1102" s="35" t="n">
        <x:f>L1102*O1102</x:f>
        <x:v>0</x:v>
      </x:c>
      <x:c r="Q1102" s="35" t="n">
        <x:v>0</x:v>
      </x:c>
      <x:c r="R1102" s="35" t="n">
        <x:f>K1102*Q1102</x:f>
        <x:v>0</x:v>
      </x:c>
      <x:c r="S1102" s="35" t="n">
        <x:f>XLOOKUP(H1102,'菜品主数据'!$A$5:$A$24,'菜品主数据'!$G$5:$G$24,0)</x:f>
        <x:v>3.1759999999999993</x:v>
      </x:c>
      <x:c r="T1102" s="35" t="n">
        <x:f>K1102*S1102</x:f>
        <x:v>28.583999999999993</x:v>
      </x:c>
      <x:c r="U1102" s="35" t="n">
        <x:f>L1102-N1102-P1102-R1102-T1102</x:f>
        <x:v>133.416</x:v>
      </x:c>
      <x:c r="V1102" s="21" t="n">
        <x:f>IFERROR(U1102/L1102,0)</x:f>
        <x:v>0.8235555555555555</x:v>
      </x:c>
    </x:row>
    <x:row r="1103">
      <x:c r="A1103" s="19" t="str">
        <x:v>SALE-01099</x:v>
      </x:c>
      <x:c r="B1103" s="34" t="n">
        <x:v>46216.5</x:v>
      </x:c>
      <x:c r="C1103" s="19" t="str">
        <x:v>周一</x:v>
      </x:c>
      <x:c r="D1103" s="19" t="str">
        <x:v>S04</x:v>
      </x:c>
      <x:c r="E1103" s="19" t="str">
        <x:v>金街美地店</x:v>
      </x:c>
      <x:c r="F1103" s="19" t="str">
        <x:v>堂食</x:v>
      </x:c>
      <x:c r="G1103" s="19" t="str">
        <x:v>全日</x:v>
      </x:c>
      <x:c r="H1103" s="19" t="str">
        <x:v>D19</x:v>
      </x:c>
      <x:c r="I1103" s="19" t="str">
        <x:v>酸萝卜炒鸡杂</x:v>
      </x:c>
      <x:c r="J1103" s="22" t="n">
        <x:f>XLOOKUP(H1103,'菜品主数据'!$A$5:$A$24,'菜品主数据'!$D$5:$D$24,0)</x:f>
        <x:v>25</x:v>
      </x:c>
      <x:c r="K1103" s="31" t="n">
        <x:v>7</x:v>
      </x:c>
      <x:c r="L1103" s="35" t="n">
        <x:f>J1103*K1103</x:f>
        <x:v>175</x:v>
      </x:c>
      <x:c r="M1103" s="36" t="n">
        <x:v>0</x:v>
      </x:c>
      <x:c r="N1103" s="35" t="n">
        <x:f>L1103*M1103</x:f>
        <x:v>0</x:v>
      </x:c>
      <x:c r="O1103" s="37" t="n">
        <x:v>0</x:v>
      </x:c>
      <x:c r="P1103" s="35" t="n">
        <x:f>L1103*O1103</x:f>
        <x:v>0</x:v>
      </x:c>
      <x:c r="Q1103" s="35" t="n">
        <x:v>0</x:v>
      </x:c>
      <x:c r="R1103" s="35" t="n">
        <x:f>K1103*Q1103</x:f>
        <x:v>0</x:v>
      </x:c>
      <x:c r="S1103" s="35" t="n">
        <x:f>XLOOKUP(H1103,'菜品主数据'!$A$5:$A$24,'菜品主数据'!$G$5:$G$24,0)</x:f>
        <x:v>7.9399999999999995</x:v>
      </x:c>
      <x:c r="T1103" s="35" t="n">
        <x:f>K1103*S1103</x:f>
        <x:v>55.58</x:v>
      </x:c>
      <x:c r="U1103" s="35" t="n">
        <x:f>L1103-N1103-P1103-R1103-T1103</x:f>
        <x:v>119.42</x:v>
      </x:c>
      <x:c r="V1103" s="21" t="n">
        <x:f>IFERROR(U1103/L1103,0)</x:f>
        <x:v>0.6824</x:v>
      </x:c>
    </x:row>
    <x:row r="1104">
      <x:c r="A1104" s="19" t="str">
        <x:v>SALE-01100</x:v>
      </x:c>
      <x:c r="B1104" s="34" t="n">
        <x:v>46216.5</x:v>
      </x:c>
      <x:c r="C1104" s="19" t="str">
        <x:v>周一</x:v>
      </x:c>
      <x:c r="D1104" s="19" t="str">
        <x:v>S04</x:v>
      </x:c>
      <x:c r="E1104" s="19" t="str">
        <x:v>金街美地店</x:v>
      </x:c>
      <x:c r="F1104" s="19" t="str">
        <x:v>堂食</x:v>
      </x:c>
      <x:c r="G1104" s="19" t="str">
        <x:v>全日</x:v>
      </x:c>
      <x:c r="H1104" s="19" t="str">
        <x:v>D20</x:v>
      </x:c>
      <x:c r="I1104" s="19" t="str">
        <x:v>雪菜肉末青豆</x:v>
      </x:c>
      <x:c r="J1104" s="22" t="n">
        <x:f>XLOOKUP(H1104,'菜品主数据'!$A$5:$A$24,'菜品主数据'!$D$5:$D$24,0)</x:f>
        <x:v>18</x:v>
      </x:c>
      <x:c r="K1104" s="31" t="n">
        <x:v>9</x:v>
      </x:c>
      <x:c r="L1104" s="35" t="n">
        <x:f>J1104*K1104</x:f>
        <x:v>162</x:v>
      </x:c>
      <x:c r="M1104" s="36" t="n">
        <x:v>0</x:v>
      </x:c>
      <x:c r="N1104" s="35" t="n">
        <x:f>L1104*M1104</x:f>
        <x:v>0</x:v>
      </x:c>
      <x:c r="O1104" s="37" t="n">
        <x:v>0</x:v>
      </x:c>
      <x:c r="P1104" s="35" t="n">
        <x:f>L1104*O1104</x:f>
        <x:v>0</x:v>
      </x:c>
      <x:c r="Q1104" s="35" t="n">
        <x:v>0</x:v>
      </x:c>
      <x:c r="R1104" s="35" t="n">
        <x:f>K1104*Q1104</x:f>
        <x:v>0</x:v>
      </x:c>
      <x:c r="S1104" s="35" t="n">
        <x:f>XLOOKUP(H1104,'菜品主数据'!$A$5:$A$24,'菜品主数据'!$G$5:$G$24,0)</x:f>
        <x:v>7.303999999999999</x:v>
      </x:c>
      <x:c r="T1104" s="35" t="n">
        <x:f>K1104*S1104</x:f>
        <x:v>65.73599999999999</x:v>
      </x:c>
      <x:c r="U1104" s="35" t="n">
        <x:f>L1104-N1104-P1104-R1104-T1104</x:f>
        <x:v>96.26400000000001</x:v>
      </x:c>
      <x:c r="V1104" s="21" t="n">
        <x:f>IFERROR(U1104/L1104,0)</x:f>
        <x:v>0.5942222222222223</x:v>
      </x:c>
    </x:row>
    <x:row r="1105">
      <x:c r="A1105" s="19" t="str">
        <x:v>SALE-01101</x:v>
      </x:c>
      <x:c r="B1105" s="34" t="n">
        <x:v>46216.5</x:v>
      </x:c>
      <x:c r="C1105" s="19" t="str">
        <x:v>周一</x:v>
      </x:c>
      <x:c r="D1105" s="19" t="str">
        <x:v>S04</x:v>
      </x:c>
      <x:c r="E1105" s="19" t="str">
        <x:v>金街美地店</x:v>
      </x:c>
      <x:c r="F1105" s="19" t="str">
        <x:v>外卖</x:v>
      </x:c>
      <x:c r="G1105" s="19" t="str">
        <x:v>全日</x:v>
      </x:c>
      <x:c r="H1105" s="19" t="str">
        <x:v>D01</x:v>
      </x:c>
      <x:c r="I1105" s="19" t="str">
        <x:v>辣椒炒肉</x:v>
      </x:c>
      <x:c r="J1105" s="22" t="n">
        <x:f>XLOOKUP(H1105,'菜品主数据'!$A$5:$A$24,'菜品主数据'!$D$5:$D$24,0)</x:f>
        <x:v>29</x:v>
      </x:c>
      <x:c r="K1105" s="31" t="n">
        <x:v>5</x:v>
      </x:c>
      <x:c r="L1105" s="35" t="n">
        <x:f>J1105*K1105</x:f>
        <x:v>145</x:v>
      </x:c>
      <x:c r="M1105" s="36" t="n">
        <x:v>0.08</x:v>
      </x:c>
      <x:c r="N1105" s="35" t="n">
        <x:f>L1105*M1105</x:f>
        <x:v>11.6</x:v>
      </x:c>
      <x:c r="O1105" s="37" t="n">
        <x:v>0.18</x:v>
      </x:c>
      <x:c r="P1105" s="35" t="n">
        <x:f>L1105*O1105</x:f>
        <x:v>26.099999999999998</x:v>
      </x:c>
      <x:c r="Q1105" s="35" t="n">
        <x:v>1.2</x:v>
      </x:c>
      <x:c r="R1105" s="35" t="n">
        <x:f>K1105*Q1105</x:f>
        <x:v>6</x:v>
      </x:c>
      <x:c r="S1105" s="35" t="n">
        <x:f>XLOOKUP(H1105,'菜品主数据'!$A$5:$A$24,'菜品主数据'!$G$5:$G$24,0)</x:f>
        <x:v>8.634400000000001</x:v>
      </x:c>
      <x:c r="T1105" s="35" t="n">
        <x:f>K1105*S1105</x:f>
        <x:v>43.172000000000004</x:v>
      </x:c>
      <x:c r="U1105" s="35" t="n">
        <x:f>L1105-N1105-P1105-R1105-T1105</x:f>
        <x:v>58.12800000000001</x:v>
      </x:c>
      <x:c r="V1105" s="21" t="n">
        <x:f>IFERROR(U1105/L1105,0)</x:f>
        <x:v>0.4008827586206897</x:v>
      </x:c>
    </x:row>
    <x:row r="1106">
      <x:c r="A1106" s="19" t="str">
        <x:v>SALE-01102</x:v>
      </x:c>
      <x:c r="B1106" s="34" t="n">
        <x:v>46216.5</x:v>
      </x:c>
      <x:c r="C1106" s="19" t="str">
        <x:v>周一</x:v>
      </x:c>
      <x:c r="D1106" s="19" t="str">
        <x:v>S04</x:v>
      </x:c>
      <x:c r="E1106" s="19" t="str">
        <x:v>金街美地店</x:v>
      </x:c>
      <x:c r="F1106" s="19" t="str">
        <x:v>外卖</x:v>
      </x:c>
      <x:c r="G1106" s="19" t="str">
        <x:v>全日</x:v>
      </x:c>
      <x:c r="H1106" s="19" t="str">
        <x:v>D02</x:v>
      </x:c>
      <x:c r="I1106" s="19" t="str">
        <x:v>小炒黄牛肉</x:v>
      </x:c>
      <x:c r="J1106" s="22" t="n">
        <x:f>XLOOKUP(H1106,'菜品主数据'!$A$5:$A$24,'菜品主数据'!$D$5:$D$24,0)</x:f>
        <x:v>49</x:v>
      </x:c>
      <x:c r="K1106" s="31" t="n">
        <x:v>7</x:v>
      </x:c>
      <x:c r="L1106" s="35" t="n">
        <x:f>J1106*K1106</x:f>
        <x:v>343</x:v>
      </x:c>
      <x:c r="M1106" s="36" t="n">
        <x:v>0.08</x:v>
      </x:c>
      <x:c r="N1106" s="35" t="n">
        <x:f>L1106*M1106</x:f>
        <x:v>27.44</x:v>
      </x:c>
      <x:c r="O1106" s="37" t="n">
        <x:v>0.18</x:v>
      </x:c>
      <x:c r="P1106" s="35" t="n">
        <x:f>L1106*O1106</x:f>
        <x:v>61.739999999999995</x:v>
      </x:c>
      <x:c r="Q1106" s="35" t="n">
        <x:v>1.2</x:v>
      </x:c>
      <x:c r="R1106" s="35" t="n">
        <x:f>K1106*Q1106</x:f>
        <x:v>8.4</x:v>
      </x:c>
      <x:c r="S1106" s="35" t="n">
        <x:f>XLOOKUP(H1106,'菜品主数据'!$A$5:$A$24,'菜品主数据'!$G$5:$G$24,0)</x:f>
        <x:v>17.577</x:v>
      </x:c>
      <x:c r="T1106" s="35" t="n">
        <x:f>K1106*S1106</x:f>
        <x:v>123.03900000000002</x:v>
      </x:c>
      <x:c r="U1106" s="35" t="n">
        <x:f>L1106-N1106-P1106-R1106-T1106</x:f>
        <x:v>122.38099999999997</x:v>
      </x:c>
      <x:c r="V1106" s="21" t="n">
        <x:f>IFERROR(U1106/L1106,0)</x:f>
        <x:v>0.35679591836734686</x:v>
      </x:c>
    </x:row>
    <x:row r="1107">
      <x:c r="A1107" s="19" t="str">
        <x:v>SALE-01103</x:v>
      </x:c>
      <x:c r="B1107" s="34" t="n">
        <x:v>46216.5</x:v>
      </x:c>
      <x:c r="C1107" s="19" t="str">
        <x:v>周一</x:v>
      </x:c>
      <x:c r="D1107" s="19" t="str">
        <x:v>S04</x:v>
      </x:c>
      <x:c r="E1107" s="19" t="str">
        <x:v>金街美地店</x:v>
      </x:c>
      <x:c r="F1107" s="19" t="str">
        <x:v>外卖</x:v>
      </x:c>
      <x:c r="G1107" s="19" t="str">
        <x:v>全日</x:v>
      </x:c>
      <x:c r="H1107" s="19" t="str">
        <x:v>D03</x:v>
      </x:c>
      <x:c r="I1107" s="19" t="str">
        <x:v>香醋炒蛋</x:v>
      </x:c>
      <x:c r="J1107" s="22" t="n">
        <x:f>XLOOKUP(H1107,'菜品主数据'!$A$5:$A$24,'菜品主数据'!$D$5:$D$24,0)</x:f>
        <x:v>14.9</x:v>
      </x:c>
      <x:c r="K1107" s="31" t="n">
        <x:v>4</x:v>
      </x:c>
      <x:c r="L1107" s="35" t="n">
        <x:f>J1107*K1107</x:f>
        <x:v>59.6</x:v>
      </x:c>
      <x:c r="M1107" s="36" t="n">
        <x:v>0.08</x:v>
      </x:c>
      <x:c r="N1107" s="35" t="n">
        <x:f>L1107*M1107</x:f>
        <x:v>4.768</x:v>
      </x:c>
      <x:c r="O1107" s="37" t="n">
        <x:v>0.18</x:v>
      </x:c>
      <x:c r="P1107" s="35" t="n">
        <x:f>L1107*O1107</x:f>
        <x:v>10.728</x:v>
      </x:c>
      <x:c r="Q1107" s="35" t="n">
        <x:v>1.2</x:v>
      </x:c>
      <x:c r="R1107" s="35" t="n">
        <x:f>K1107*Q1107</x:f>
        <x:v>4.8</x:v>
      </x:c>
      <x:c r="S1107" s="35" t="n">
        <x:f>XLOOKUP(H1107,'菜品主数据'!$A$5:$A$24,'菜品主数据'!$G$5:$G$24,0)</x:f>
        <x:v>3.7459999999999996</x:v>
      </x:c>
      <x:c r="T1107" s="35" t="n">
        <x:f>K1107*S1107</x:f>
        <x:v>14.983999999999998</x:v>
      </x:c>
      <x:c r="U1107" s="35" t="n">
        <x:f>L1107-N1107-P1107-R1107-T1107</x:f>
        <x:v>24.320000000000004</x:v>
      </x:c>
      <x:c r="V1107" s="21" t="n">
        <x:f>IFERROR(U1107/L1107,0)</x:f>
        <x:v>0.40805369127516783</x:v>
      </x:c>
    </x:row>
    <x:row r="1108">
      <x:c r="A1108" s="19" t="str">
        <x:v>SALE-01104</x:v>
      </x:c>
      <x:c r="B1108" s="34" t="n">
        <x:v>46216.5</x:v>
      </x:c>
      <x:c r="C1108" s="19" t="str">
        <x:v>周一</x:v>
      </x:c>
      <x:c r="D1108" s="19" t="str">
        <x:v>S04</x:v>
      </x:c>
      <x:c r="E1108" s="19" t="str">
        <x:v>金街美地店</x:v>
      </x:c>
      <x:c r="F1108" s="19" t="str">
        <x:v>外卖</x:v>
      </x:c>
      <x:c r="G1108" s="19" t="str">
        <x:v>全日</x:v>
      </x:c>
      <x:c r="H1108" s="19" t="str">
        <x:v>D04</x:v>
      </x:c>
      <x:c r="I1108" s="19" t="str">
        <x:v>酸包菜炒粉皮</x:v>
      </x:c>
      <x:c r="J1108" s="22" t="n">
        <x:f>XLOOKUP(H1108,'菜品主数据'!$A$5:$A$24,'菜品主数据'!$D$5:$D$24,0)</x:f>
        <x:v>16</x:v>
      </x:c>
      <x:c r="K1108" s="31" t="n">
        <x:v>4</x:v>
      </x:c>
      <x:c r="L1108" s="35" t="n">
        <x:f>J1108*K1108</x:f>
        <x:v>64</x:v>
      </x:c>
      <x:c r="M1108" s="36" t="n">
        <x:v>0.08</x:v>
      </x:c>
      <x:c r="N1108" s="35" t="n">
        <x:f>L1108*M1108</x:f>
        <x:v>5.12</x:v>
      </x:c>
      <x:c r="O1108" s="37" t="n">
        <x:v>0.18</x:v>
      </x:c>
      <x:c r="P1108" s="35" t="n">
        <x:f>L1108*O1108</x:f>
        <x:v>11.52</x:v>
      </x:c>
      <x:c r="Q1108" s="35" t="n">
        <x:v>1.2</x:v>
      </x:c>
      <x:c r="R1108" s="35" t="n">
        <x:f>K1108*Q1108</x:f>
        <x:v>4.8</x:v>
      </x:c>
      <x:c r="S1108" s="35" t="n">
        <x:f>XLOOKUP(H1108,'菜品主数据'!$A$5:$A$24,'菜品主数据'!$G$5:$G$24,0)</x:f>
        <x:v>3.978</x:v>
      </x:c>
      <x:c r="T1108" s="35" t="n">
        <x:f>K1108*S1108</x:f>
        <x:v>15.912</x:v>
      </x:c>
      <x:c r="U1108" s="35" t="n">
        <x:f>L1108-N1108-P1108-R1108-T1108</x:f>
        <x:v>26.648000000000003</x:v>
      </x:c>
      <x:c r="V1108" s="21" t="n">
        <x:f>IFERROR(U1108/L1108,0)</x:f>
        <x:v>0.41637500000000005</x:v>
      </x:c>
    </x:row>
    <x:row r="1109">
      <x:c r="A1109" s="19" t="str">
        <x:v>SALE-01105</x:v>
      </x:c>
      <x:c r="B1109" s="34" t="n">
        <x:v>46216.5</x:v>
      </x:c>
      <x:c r="C1109" s="19" t="str">
        <x:v>周一</x:v>
      </x:c>
      <x:c r="D1109" s="19" t="str">
        <x:v>S04</x:v>
      </x:c>
      <x:c r="E1109" s="19" t="str">
        <x:v>金街美地店</x:v>
      </x:c>
      <x:c r="F1109" s="19" t="str">
        <x:v>外卖</x:v>
      </x:c>
      <x:c r="G1109" s="19" t="str">
        <x:v>全日</x:v>
      </x:c>
      <x:c r="H1109" s="19" t="str">
        <x:v>D05</x:v>
      </x:c>
      <x:c r="I1109" s="19" t="str">
        <x:v>麻婆豆腐</x:v>
      </x:c>
      <x:c r="J1109" s="22" t="n">
        <x:f>XLOOKUP(H1109,'菜品主数据'!$A$5:$A$24,'菜品主数据'!$D$5:$D$24,0)</x:f>
        <x:v>9.9</x:v>
      </x:c>
      <x:c r="K1109" s="31" t="n">
        <x:v>5</x:v>
      </x:c>
      <x:c r="L1109" s="35" t="n">
        <x:f>J1109*K1109</x:f>
        <x:v>49.5</x:v>
      </x:c>
      <x:c r="M1109" s="36" t="n">
        <x:v>0.08</x:v>
      </x:c>
      <x:c r="N1109" s="35" t="n">
        <x:f>L1109*M1109</x:f>
        <x:v>3.96</x:v>
      </x:c>
      <x:c r="O1109" s="37" t="n">
        <x:v>0.18</x:v>
      </x:c>
      <x:c r="P1109" s="35" t="n">
        <x:f>L1109*O1109</x:f>
        <x:v>8.91</x:v>
      </x:c>
      <x:c r="Q1109" s="35" t="n">
        <x:v>1.2</x:v>
      </x:c>
      <x:c r="R1109" s="35" t="n">
        <x:f>K1109*Q1109</x:f>
        <x:v>6</x:v>
      </x:c>
      <x:c r="S1109" s="35" t="n">
        <x:f>XLOOKUP(H1109,'菜品主数据'!$A$5:$A$24,'菜品主数据'!$G$5:$G$24,0)</x:f>
        <x:v>5.367000000000001</x:v>
      </x:c>
      <x:c r="T1109" s="35" t="n">
        <x:f>K1109*S1109</x:f>
        <x:v>26.835000000000004</x:v>
      </x:c>
      <x:c r="U1109" s="35" t="n">
        <x:f>L1109-N1109-P1109-R1109-T1109</x:f>
        <x:v>3.794999999999991</x:v>
      </x:c>
      <x:c r="V1109" s="21" t="n">
        <x:f>IFERROR(U1109/L1109,0)</x:f>
        <x:v>0.07666666666666648</x:v>
      </x:c>
    </x:row>
    <x:row r="1110">
      <x:c r="A1110" s="19" t="str">
        <x:v>SALE-01106</x:v>
      </x:c>
      <x:c r="B1110" s="34" t="n">
        <x:v>46216.5</x:v>
      </x:c>
      <x:c r="C1110" s="19" t="str">
        <x:v>周一</x:v>
      </x:c>
      <x:c r="D1110" s="19" t="str">
        <x:v>S04</x:v>
      </x:c>
      <x:c r="E1110" s="19" t="str">
        <x:v>金街美地店</x:v>
      </x:c>
      <x:c r="F1110" s="19" t="str">
        <x:v>外卖</x:v>
      </x:c>
      <x:c r="G1110" s="19" t="str">
        <x:v>全日</x:v>
      </x:c>
      <x:c r="H1110" s="19" t="str">
        <x:v>D06</x:v>
      </x:c>
      <x:c r="I1110" s="19" t="str">
        <x:v>剁椒鱼头</x:v>
      </x:c>
      <x:c r="J1110" s="22" t="n">
        <x:f>XLOOKUP(H1110,'菜品主数据'!$A$5:$A$24,'菜品主数据'!$D$5:$D$24,0)</x:f>
        <x:v>39</x:v>
      </x:c>
      <x:c r="K1110" s="31" t="n">
        <x:v>2</x:v>
      </x:c>
      <x:c r="L1110" s="35" t="n">
        <x:f>J1110*K1110</x:f>
        <x:v>78</x:v>
      </x:c>
      <x:c r="M1110" s="36" t="n">
        <x:v>0.08</x:v>
      </x:c>
      <x:c r="N1110" s="35" t="n">
        <x:f>L1110*M1110</x:f>
        <x:v>6.24</x:v>
      </x:c>
      <x:c r="O1110" s="37" t="n">
        <x:v>0.18</x:v>
      </x:c>
      <x:c r="P1110" s="35" t="n">
        <x:f>L1110*O1110</x:f>
        <x:v>14.04</x:v>
      </x:c>
      <x:c r="Q1110" s="35" t="n">
        <x:v>1.2</x:v>
      </x:c>
      <x:c r="R1110" s="35" t="n">
        <x:f>K1110*Q1110</x:f>
        <x:v>2.4</x:v>
      </x:c>
      <x:c r="S1110" s="35" t="n">
        <x:f>XLOOKUP(H1110,'菜品主数据'!$A$5:$A$24,'菜品主数据'!$G$5:$G$24,0)</x:f>
        <x:v>17.446</x:v>
      </x:c>
      <x:c r="T1110" s="35" t="n">
        <x:f>K1110*S1110</x:f>
        <x:v>34.892</x:v>
      </x:c>
      <x:c r="U1110" s="35" t="n">
        <x:f>L1110-N1110-P1110-R1110-T1110</x:f>
        <x:v>20.428000000000004</x:v>
      </x:c>
      <x:c r="V1110" s="21" t="n">
        <x:f>IFERROR(U1110/L1110,0)</x:f>
        <x:v>0.26189743589743597</x:v>
      </x:c>
    </x:row>
    <x:row r="1111">
      <x:c r="A1111" s="19" t="str">
        <x:v>SALE-01107</x:v>
      </x:c>
      <x:c r="B1111" s="34" t="n">
        <x:v>46216.5</x:v>
      </x:c>
      <x:c r="C1111" s="19" t="str">
        <x:v>周一</x:v>
      </x:c>
      <x:c r="D1111" s="19" t="str">
        <x:v>S04</x:v>
      </x:c>
      <x:c r="E1111" s="19" t="str">
        <x:v>金街美地店</x:v>
      </x:c>
      <x:c r="F1111" s="19" t="str">
        <x:v>外卖</x:v>
      </x:c>
      <x:c r="G1111" s="19" t="str">
        <x:v>全日</x:v>
      </x:c>
      <x:c r="H1111" s="19" t="str">
        <x:v>D07</x:v>
      </x:c>
      <x:c r="I1111" s="19" t="str">
        <x:v>川味回锅肉</x:v>
      </x:c>
      <x:c r="J1111" s="22" t="n">
        <x:f>XLOOKUP(H1111,'菜品主数据'!$A$5:$A$24,'菜品主数据'!$D$5:$D$24,0)</x:f>
        <x:v>29</x:v>
      </x:c>
      <x:c r="K1111" s="31" t="n">
        <x:v>1</x:v>
      </x:c>
      <x:c r="L1111" s="35" t="n">
        <x:f>J1111*K1111</x:f>
        <x:v>29</x:v>
      </x:c>
      <x:c r="M1111" s="36" t="n">
        <x:v>0.08</x:v>
      </x:c>
      <x:c r="N1111" s="35" t="n">
        <x:f>L1111*M1111</x:f>
        <x:v>2.32</x:v>
      </x:c>
      <x:c r="O1111" s="37" t="n">
        <x:v>0.18</x:v>
      </x:c>
      <x:c r="P1111" s="35" t="n">
        <x:f>L1111*O1111</x:f>
        <x:v>5.22</x:v>
      </x:c>
      <x:c r="Q1111" s="35" t="n">
        <x:v>1.2</x:v>
      </x:c>
      <x:c r="R1111" s="35" t="n">
        <x:f>K1111*Q1111</x:f>
        <x:v>1.2</x:v>
      </x:c>
      <x:c r="S1111" s="35" t="n">
        <x:f>XLOOKUP(H1111,'菜品主数据'!$A$5:$A$24,'菜品主数据'!$G$5:$G$24,0)</x:f>
        <x:v>10.231000000000002</x:v>
      </x:c>
      <x:c r="T1111" s="35" t="n">
        <x:f>K1111*S1111</x:f>
        <x:v>10.231000000000002</x:v>
      </x:c>
      <x:c r="U1111" s="35" t="n">
        <x:f>L1111-N1111-P1111-R1111-T1111</x:f>
        <x:v>10.029</x:v>
      </x:c>
      <x:c r="V1111" s="21" t="n">
        <x:f>IFERROR(U1111/L1111,0)</x:f>
        <x:v>0.3458275862068966</x:v>
      </x:c>
    </x:row>
    <x:row r="1112">
      <x:c r="A1112" s="19" t="str">
        <x:v>SALE-01108</x:v>
      </x:c>
      <x:c r="B1112" s="34" t="n">
        <x:v>46216.5</x:v>
      </x:c>
      <x:c r="C1112" s="19" t="str">
        <x:v>周一</x:v>
      </x:c>
      <x:c r="D1112" s="19" t="str">
        <x:v>S04</x:v>
      </x:c>
      <x:c r="E1112" s="19" t="str">
        <x:v>金街美地店</x:v>
      </x:c>
      <x:c r="F1112" s="19" t="str">
        <x:v>外卖</x:v>
      </x:c>
      <x:c r="G1112" s="19" t="str">
        <x:v>全日</x:v>
      </x:c>
      <x:c r="H1112" s="19" t="str">
        <x:v>D08</x:v>
      </x:c>
      <x:c r="I1112" s="19" t="str">
        <x:v>生炒清远鸡</x:v>
      </x:c>
      <x:c r="J1112" s="22" t="n">
        <x:f>XLOOKUP(H1112,'菜品主数据'!$A$5:$A$24,'菜品主数据'!$D$5:$D$24,0)</x:f>
        <x:v>36</x:v>
      </x:c>
      <x:c r="K1112" s="31" t="n">
        <x:v>1</x:v>
      </x:c>
      <x:c r="L1112" s="35" t="n">
        <x:f>J1112*K1112</x:f>
        <x:v>36</x:v>
      </x:c>
      <x:c r="M1112" s="36" t="n">
        <x:v>0.08</x:v>
      </x:c>
      <x:c r="N1112" s="35" t="n">
        <x:f>L1112*M1112</x:f>
        <x:v>2.88</x:v>
      </x:c>
      <x:c r="O1112" s="37" t="n">
        <x:v>0.18</x:v>
      </x:c>
      <x:c r="P1112" s="35" t="n">
        <x:f>L1112*O1112</x:f>
        <x:v>6.4799999999999995</x:v>
      </x:c>
      <x:c r="Q1112" s="35" t="n">
        <x:v>1.2</x:v>
      </x:c>
      <x:c r="R1112" s="35" t="n">
        <x:f>K1112*Q1112</x:f>
        <x:v>1.2</x:v>
      </x:c>
      <x:c r="S1112" s="35" t="n">
        <x:f>XLOOKUP(H1112,'菜品主数据'!$A$5:$A$24,'菜品主数据'!$G$5:$G$24,0)</x:f>
        <x:v>13.48</x:v>
      </x:c>
      <x:c r="T1112" s="35" t="n">
        <x:f>K1112*S1112</x:f>
        <x:v>13.48</x:v>
      </x:c>
      <x:c r="U1112" s="35" t="n">
        <x:f>L1112-N1112-P1112-R1112-T1112</x:f>
        <x:v>11.959999999999997</x:v>
      </x:c>
      <x:c r="V1112" s="21" t="n">
        <x:f>IFERROR(U1112/L1112,0)</x:f>
        <x:v>0.33222222222222214</x:v>
      </x:c>
    </x:row>
    <x:row r="1113">
      <x:c r="A1113" s="19" t="str">
        <x:v>SALE-01109</x:v>
      </x:c>
      <x:c r="B1113" s="34" t="n">
        <x:v>46216.5</x:v>
      </x:c>
      <x:c r="C1113" s="19" t="str">
        <x:v>周一</x:v>
      </x:c>
      <x:c r="D1113" s="19" t="str">
        <x:v>S04</x:v>
      </x:c>
      <x:c r="E1113" s="19" t="str">
        <x:v>金街美地店</x:v>
      </x:c>
      <x:c r="F1113" s="19" t="str">
        <x:v>外卖</x:v>
      </x:c>
      <x:c r="G1113" s="19" t="str">
        <x:v>全日</x:v>
      </x:c>
      <x:c r="H1113" s="19" t="str">
        <x:v>D09</x:v>
      </x:c>
      <x:c r="I1113" s="19" t="str">
        <x:v>炒豆干</x:v>
      </x:c>
      <x:c r="J1113" s="22" t="n">
        <x:f>XLOOKUP(H1113,'菜品主数据'!$A$5:$A$24,'菜品主数据'!$D$5:$D$24,0)</x:f>
        <x:v>18</x:v>
      </x:c>
      <x:c r="K1113" s="31" t="n">
        <x:v>1</x:v>
      </x:c>
      <x:c r="L1113" s="35" t="n">
        <x:f>J1113*K1113</x:f>
        <x:v>18</x:v>
      </x:c>
      <x:c r="M1113" s="36" t="n">
        <x:v>0.08</x:v>
      </x:c>
      <x:c r="N1113" s="35" t="n">
        <x:f>L1113*M1113</x:f>
        <x:v>1.44</x:v>
      </x:c>
      <x:c r="O1113" s="37" t="n">
        <x:v>0.18</x:v>
      </x:c>
      <x:c r="P1113" s="35" t="n">
        <x:f>L1113*O1113</x:f>
        <x:v>3.2399999999999998</x:v>
      </x:c>
      <x:c r="Q1113" s="35" t="n">
        <x:v>1.2</x:v>
      </x:c>
      <x:c r="R1113" s="35" t="n">
        <x:f>K1113*Q1113</x:f>
        <x:v>1.2</x:v>
      </x:c>
      <x:c r="S1113" s="35" t="n">
        <x:f>XLOOKUP(H1113,'菜品主数据'!$A$5:$A$24,'菜品主数据'!$G$5:$G$24,0)</x:f>
        <x:v>6.613999999999999</x:v>
      </x:c>
      <x:c r="T1113" s="35" t="n">
        <x:f>K1113*S1113</x:f>
        <x:v>6.613999999999999</x:v>
      </x:c>
      <x:c r="U1113" s="35" t="n">
        <x:f>L1113-N1113-P1113-R1113-T1113</x:f>
        <x:v>5.506</x:v>
      </x:c>
      <x:c r="V1113" s="21" t="n">
        <x:f>IFERROR(U1113/L1113,0)</x:f>
        <x:v>0.3058888888888889</x:v>
      </x:c>
    </x:row>
    <x:row r="1114">
      <x:c r="A1114" s="19" t="str">
        <x:v>SALE-01110</x:v>
      </x:c>
      <x:c r="B1114" s="34" t="n">
        <x:v>46216.5</x:v>
      </x:c>
      <x:c r="C1114" s="19" t="str">
        <x:v>周一</x:v>
      </x:c>
      <x:c r="D1114" s="19" t="str">
        <x:v>S04</x:v>
      </x:c>
      <x:c r="E1114" s="19" t="str">
        <x:v>金街美地店</x:v>
      </x:c>
      <x:c r="F1114" s="19" t="str">
        <x:v>外卖</x:v>
      </x:c>
      <x:c r="G1114" s="19" t="str">
        <x:v>全日</x:v>
      </x:c>
      <x:c r="H1114" s="19" t="str">
        <x:v>D10</x:v>
      </x:c>
      <x:c r="I1114" s="19" t="str">
        <x:v>农家一碗香</x:v>
      </x:c>
      <x:c r="J1114" s="22" t="n">
        <x:f>XLOOKUP(H1114,'菜品主数据'!$A$5:$A$24,'菜品主数据'!$D$5:$D$24,0)</x:f>
        <x:v>22.9</x:v>
      </x:c>
      <x:c r="K1114" s="31" t="n">
        <x:v>2</x:v>
      </x:c>
      <x:c r="L1114" s="35" t="n">
        <x:f>J1114*K1114</x:f>
        <x:v>45.8</x:v>
      </x:c>
      <x:c r="M1114" s="36" t="n">
        <x:v>0.08</x:v>
      </x:c>
      <x:c r="N1114" s="35" t="n">
        <x:f>L1114*M1114</x:f>
        <x:v>3.6639999999999997</x:v>
      </x:c>
      <x:c r="O1114" s="37" t="n">
        <x:v>0.18</x:v>
      </x:c>
      <x:c r="P1114" s="35" t="n">
        <x:f>L1114*O1114</x:f>
        <x:v>8.244</x:v>
      </x:c>
      <x:c r="Q1114" s="35" t="n">
        <x:v>1.2</x:v>
      </x:c>
      <x:c r="R1114" s="35" t="n">
        <x:f>K1114*Q1114</x:f>
        <x:v>2.4</x:v>
      </x:c>
      <x:c r="S1114" s="35" t="n">
        <x:f>XLOOKUP(H1114,'菜品主数据'!$A$5:$A$24,'菜品主数据'!$G$5:$G$24,0)</x:f>
        <x:v>9.770200000000003</x:v>
      </x:c>
      <x:c r="T1114" s="35" t="n">
        <x:f>K1114*S1114</x:f>
        <x:v>19.540400000000005</x:v>
      </x:c>
      <x:c r="U1114" s="35" t="n">
        <x:f>L1114-N1114-P1114-R1114-T1114</x:f>
        <x:v>11.951599999999992</x:v>
      </x:c>
      <x:c r="V1114" s="21" t="n">
        <x:f>IFERROR(U1114/L1114,0)</x:f>
        <x:v>0.260951965065502</x:v>
      </x:c>
    </x:row>
    <x:row r="1115">
      <x:c r="A1115" s="19" t="str">
        <x:v>SALE-01111</x:v>
      </x:c>
      <x:c r="B1115" s="34" t="n">
        <x:v>46216.5</x:v>
      </x:c>
      <x:c r="C1115" s="19" t="str">
        <x:v>周一</x:v>
      </x:c>
      <x:c r="D1115" s="19" t="str">
        <x:v>S04</x:v>
      </x:c>
      <x:c r="E1115" s="19" t="str">
        <x:v>金街美地店</x:v>
      </x:c>
      <x:c r="F1115" s="19" t="str">
        <x:v>外卖</x:v>
      </x:c>
      <x:c r="G1115" s="19" t="str">
        <x:v>全日</x:v>
      </x:c>
      <x:c r="H1115" s="19" t="str">
        <x:v>D11</x:v>
      </x:c>
      <x:c r="I1115" s="19" t="str">
        <x:v>香辣爆肥肠</x:v>
      </x:c>
      <x:c r="J1115" s="22" t="n">
        <x:f>XLOOKUP(H1115,'菜品主数据'!$A$5:$A$24,'菜品主数据'!$D$5:$D$24,0)</x:f>
        <x:v>39</x:v>
      </x:c>
      <x:c r="K1115" s="31" t="n">
        <x:v>0</x:v>
      </x:c>
      <x:c r="L1115" s="35" t="n">
        <x:f>J1115*K1115</x:f>
        <x:v>0</x:v>
      </x:c>
      <x:c r="M1115" s="36" t="n">
        <x:v>0.08</x:v>
      </x:c>
      <x:c r="N1115" s="35" t="n">
        <x:f>L1115*M1115</x:f>
        <x:v>0</x:v>
      </x:c>
      <x:c r="O1115" s="37" t="n">
        <x:v>0.18</x:v>
      </x:c>
      <x:c r="P1115" s="35" t="n">
        <x:f>L1115*O1115</x:f>
        <x:v>0</x:v>
      </x:c>
      <x:c r="Q1115" s="35" t="n">
        <x:v>1.2</x:v>
      </x:c>
      <x:c r="R1115" s="35" t="n">
        <x:f>K1115*Q1115</x:f>
        <x:v>0</x:v>
      </x:c>
      <x:c r="S1115" s="35" t="n">
        <x:f>XLOOKUP(H1115,'菜品主数据'!$A$5:$A$24,'菜品主数据'!$G$5:$G$24,0)</x:f>
        <x:v>10.397</x:v>
      </x:c>
      <x:c r="T1115" s="35" t="n">
        <x:f>K1115*S1115</x:f>
        <x:v>0</x:v>
      </x:c>
      <x:c r="U1115" s="35" t="n">
        <x:f>L1115-N1115-P1115-R1115-T1115</x:f>
        <x:v>0</x:v>
      </x:c>
      <x:c r="V1115" s="21" t="n">
        <x:f>IFERROR(U1115/L1115,0)</x:f>
        <x:v>0</x:v>
      </x:c>
    </x:row>
    <x:row r="1116">
      <x:c r="A1116" s="19" t="str">
        <x:v>SALE-01112</x:v>
      </x:c>
      <x:c r="B1116" s="34" t="n">
        <x:v>46216.5</x:v>
      </x:c>
      <x:c r="C1116" s="19" t="str">
        <x:v>周一</x:v>
      </x:c>
      <x:c r="D1116" s="19" t="str">
        <x:v>S04</x:v>
      </x:c>
      <x:c r="E1116" s="19" t="str">
        <x:v>金街美地店</x:v>
      </x:c>
      <x:c r="F1116" s="19" t="str">
        <x:v>外卖</x:v>
      </x:c>
      <x:c r="G1116" s="19" t="str">
        <x:v>全日</x:v>
      </x:c>
      <x:c r="H1116" s="19" t="str">
        <x:v>D12</x:v>
      </x:c>
      <x:c r="I1116" s="19" t="str">
        <x:v>清蒸鲈鱼</x:v>
      </x:c>
      <x:c r="J1116" s="22" t="n">
        <x:f>XLOOKUP(H1116,'菜品主数据'!$A$5:$A$24,'菜品主数据'!$D$5:$D$24,0)</x:f>
        <x:v>39</x:v>
      </x:c>
      <x:c r="K1116" s="31" t="n">
        <x:v>0</x:v>
      </x:c>
      <x:c r="L1116" s="35" t="n">
        <x:f>J1116*K1116</x:f>
        <x:v>0</x:v>
      </x:c>
      <x:c r="M1116" s="36" t="n">
        <x:v>0.08</x:v>
      </x:c>
      <x:c r="N1116" s="35" t="n">
        <x:f>L1116*M1116</x:f>
        <x:v>0</x:v>
      </x:c>
      <x:c r="O1116" s="37" t="n">
        <x:v>0.18</x:v>
      </x:c>
      <x:c r="P1116" s="35" t="n">
        <x:f>L1116*O1116</x:f>
        <x:v>0</x:v>
      </x:c>
      <x:c r="Q1116" s="35" t="n">
        <x:v>1.2</x:v>
      </x:c>
      <x:c r="R1116" s="35" t="n">
        <x:f>K1116*Q1116</x:f>
        <x:v>0</x:v>
      </x:c>
      <x:c r="S1116" s="35" t="n">
        <x:f>XLOOKUP(H1116,'菜品主数据'!$A$5:$A$24,'菜品主数据'!$G$5:$G$24,0)</x:f>
        <x:v>18.874</x:v>
      </x:c>
      <x:c r="T1116" s="35" t="n">
        <x:f>K1116*S1116</x:f>
        <x:v>0</x:v>
      </x:c>
      <x:c r="U1116" s="35" t="n">
        <x:f>L1116-N1116-P1116-R1116-T1116</x:f>
        <x:v>0</x:v>
      </x:c>
      <x:c r="V1116" s="21" t="n">
        <x:f>IFERROR(U1116/L1116,0)</x:f>
        <x:v>0</x:v>
      </x:c>
    </x:row>
    <x:row r="1117">
      <x:c r="A1117" s="19" t="str">
        <x:v>SALE-01113</x:v>
      </x:c>
      <x:c r="B1117" s="34" t="n">
        <x:v>46216.5</x:v>
      </x:c>
      <x:c r="C1117" s="19" t="str">
        <x:v>周一</x:v>
      </x:c>
      <x:c r="D1117" s="19" t="str">
        <x:v>S04</x:v>
      </x:c>
      <x:c r="E1117" s="19" t="str">
        <x:v>金街美地店</x:v>
      </x:c>
      <x:c r="F1117" s="19" t="str">
        <x:v>外卖</x:v>
      </x:c>
      <x:c r="G1117" s="19" t="str">
        <x:v>全日</x:v>
      </x:c>
      <x:c r="H1117" s="19" t="str">
        <x:v>D13</x:v>
      </x:c>
      <x:c r="I1117" s="19" t="str">
        <x:v>外婆菜炒蛋</x:v>
      </x:c>
      <x:c r="J1117" s="22" t="n">
        <x:f>XLOOKUP(H1117,'菜品主数据'!$A$5:$A$24,'菜品主数据'!$D$5:$D$24,0)</x:f>
        <x:v>18</x:v>
      </x:c>
      <x:c r="K1117" s="31" t="n">
        <x:v>1</x:v>
      </x:c>
      <x:c r="L1117" s="35" t="n">
        <x:f>J1117*K1117</x:f>
        <x:v>18</x:v>
      </x:c>
      <x:c r="M1117" s="36" t="n">
        <x:v>0.08</x:v>
      </x:c>
      <x:c r="N1117" s="35" t="n">
        <x:f>L1117*M1117</x:f>
        <x:v>1.44</x:v>
      </x:c>
      <x:c r="O1117" s="37" t="n">
        <x:v>0.18</x:v>
      </x:c>
      <x:c r="P1117" s="35" t="n">
        <x:f>L1117*O1117</x:f>
        <x:v>3.2399999999999998</x:v>
      </x:c>
      <x:c r="Q1117" s="35" t="n">
        <x:v>1.2</x:v>
      </x:c>
      <x:c r="R1117" s="35" t="n">
        <x:f>K1117*Q1117</x:f>
        <x:v>1.2</x:v>
      </x:c>
      <x:c r="S1117" s="35" t="n">
        <x:f>XLOOKUP(H1117,'菜品主数据'!$A$5:$A$24,'菜品主数据'!$G$5:$G$24,0)</x:f>
        <x:v>5.403999999999999</x:v>
      </x:c>
      <x:c r="T1117" s="35" t="n">
        <x:f>K1117*S1117</x:f>
        <x:v>5.403999999999999</x:v>
      </x:c>
      <x:c r="U1117" s="35" t="n">
        <x:f>L1117-N1117-P1117-R1117-T1117</x:f>
        <x:v>6.716</x:v>
      </x:c>
      <x:c r="V1117" s="21" t="n">
        <x:f>IFERROR(U1117/L1117,0)</x:f>
        <x:v>0.3731111111111111</x:v>
      </x:c>
    </x:row>
    <x:row r="1118">
      <x:c r="A1118" s="19" t="str">
        <x:v>SALE-01114</x:v>
      </x:c>
      <x:c r="B1118" s="34" t="n">
        <x:v>46216.5</x:v>
      </x:c>
      <x:c r="C1118" s="19" t="str">
        <x:v>周一</x:v>
      </x:c>
      <x:c r="D1118" s="19" t="str">
        <x:v>S04</x:v>
      </x:c>
      <x:c r="E1118" s="19" t="str">
        <x:v>金街美地店</x:v>
      </x:c>
      <x:c r="F1118" s="19" t="str">
        <x:v>外卖</x:v>
      </x:c>
      <x:c r="G1118" s="19" t="str">
        <x:v>全日</x:v>
      </x:c>
      <x:c r="H1118" s="19" t="str">
        <x:v>D14</x:v>
      </x:c>
      <x:c r="I1118" s="19" t="str">
        <x:v>酸辣鸡杂</x:v>
      </x:c>
      <x:c r="J1118" s="22" t="n">
        <x:f>XLOOKUP(H1118,'菜品主数据'!$A$5:$A$24,'菜品主数据'!$D$5:$D$24,0)</x:f>
        <x:v>28</x:v>
      </x:c>
      <x:c r="K1118" s="31" t="n">
        <x:v>1</x:v>
      </x:c>
      <x:c r="L1118" s="35" t="n">
        <x:f>J1118*K1118</x:f>
        <x:v>28</x:v>
      </x:c>
      <x:c r="M1118" s="36" t="n">
        <x:v>0.08</x:v>
      </x:c>
      <x:c r="N1118" s="35" t="n">
        <x:f>L1118*M1118</x:f>
        <x:v>2.24</x:v>
      </x:c>
      <x:c r="O1118" s="37" t="n">
        <x:v>0.18</x:v>
      </x:c>
      <x:c r="P1118" s="35" t="n">
        <x:f>L1118*O1118</x:f>
        <x:v>5.04</x:v>
      </x:c>
      <x:c r="Q1118" s="35" t="n">
        <x:v>1.2</x:v>
      </x:c>
      <x:c r="R1118" s="35" t="n">
        <x:f>K1118*Q1118</x:f>
        <x:v>1.2</x:v>
      </x:c>
      <x:c r="S1118" s="35" t="n">
        <x:f>XLOOKUP(H1118,'菜品主数据'!$A$5:$A$24,'菜品主数据'!$G$5:$G$24,0)</x:f>
        <x:v>8.315000000000001</x:v>
      </x:c>
      <x:c r="T1118" s="35" t="n">
        <x:f>K1118*S1118</x:f>
        <x:v>8.315000000000001</x:v>
      </x:c>
      <x:c r="U1118" s="35" t="n">
        <x:f>L1118-N1118-P1118-R1118-T1118</x:f>
        <x:v>11.204999999999998</x:v>
      </x:c>
      <x:c r="V1118" s="21" t="n">
        <x:f>IFERROR(U1118/L1118,0)</x:f>
        <x:v>0.4001785714285714</x:v>
      </x:c>
    </x:row>
    <x:row r="1119">
      <x:c r="A1119" s="19" t="str">
        <x:v>SALE-01115</x:v>
      </x:c>
      <x:c r="B1119" s="34" t="n">
        <x:v>46216.5</x:v>
      </x:c>
      <x:c r="C1119" s="19" t="str">
        <x:v>周一</x:v>
      </x:c>
      <x:c r="D1119" s="19" t="str">
        <x:v>S04</x:v>
      </x:c>
      <x:c r="E1119" s="19" t="str">
        <x:v>金街美地店</x:v>
      </x:c>
      <x:c r="F1119" s="19" t="str">
        <x:v>外卖</x:v>
      </x:c>
      <x:c r="G1119" s="19" t="str">
        <x:v>全日</x:v>
      </x:c>
      <x:c r="H1119" s="19" t="str">
        <x:v>D15</x:v>
      </x:c>
      <x:c r="I1119" s="19" t="str">
        <x:v>湘西土匪猪肝</x:v>
      </x:c>
      <x:c r="J1119" s="22" t="n">
        <x:f>XLOOKUP(H1119,'菜品主数据'!$A$5:$A$24,'菜品主数据'!$D$5:$D$24,0)</x:f>
        <x:v>26</x:v>
      </x:c>
      <x:c r="K1119" s="31" t="n">
        <x:v>0</x:v>
      </x:c>
      <x:c r="L1119" s="35" t="n">
        <x:f>J1119*K1119</x:f>
        <x:v>0</x:v>
      </x:c>
      <x:c r="M1119" s="36" t="n">
        <x:v>0.08</x:v>
      </x:c>
      <x:c r="N1119" s="35" t="n">
        <x:f>L1119*M1119</x:f>
        <x:v>0</x:v>
      </x:c>
      <x:c r="O1119" s="37" t="n">
        <x:v>0.18</x:v>
      </x:c>
      <x:c r="P1119" s="35" t="n">
        <x:f>L1119*O1119</x:f>
        <x:v>0</x:v>
      </x:c>
      <x:c r="Q1119" s="35" t="n">
        <x:v>1.2</x:v>
      </x:c>
      <x:c r="R1119" s="35" t="n">
        <x:f>K1119*Q1119</x:f>
        <x:v>0</x:v>
      </x:c>
      <x:c r="S1119" s="35" t="n">
        <x:f>XLOOKUP(H1119,'菜品主数据'!$A$5:$A$24,'菜品主数据'!$G$5:$G$24,0)</x:f>
        <x:v>6.3759999999999994</x:v>
      </x:c>
      <x:c r="T1119" s="35" t="n">
        <x:f>K1119*S1119</x:f>
        <x:v>0</x:v>
      </x:c>
      <x:c r="U1119" s="35" t="n">
        <x:f>L1119-N1119-P1119-R1119-T1119</x:f>
        <x:v>0</x:v>
      </x:c>
      <x:c r="V1119" s="21" t="n">
        <x:f>IFERROR(U1119/L1119,0)</x:f>
        <x:v>0</x:v>
      </x:c>
    </x:row>
    <x:row r="1120">
      <x:c r="A1120" s="19" t="str">
        <x:v>SALE-01116</x:v>
      </x:c>
      <x:c r="B1120" s="34" t="n">
        <x:v>46216.5</x:v>
      </x:c>
      <x:c r="C1120" s="19" t="str">
        <x:v>周一</x:v>
      </x:c>
      <x:c r="D1120" s="19" t="str">
        <x:v>S04</x:v>
      </x:c>
      <x:c r="E1120" s="19" t="str">
        <x:v>金街美地店</x:v>
      </x:c>
      <x:c r="F1120" s="19" t="str">
        <x:v>外卖</x:v>
      </x:c>
      <x:c r="G1120" s="19" t="str">
        <x:v>全日</x:v>
      </x:c>
      <x:c r="H1120" s="19" t="str">
        <x:v>D16</x:v>
      </x:c>
      <x:c r="I1120" s="19" t="str">
        <x:v>小豆角炒五花</x:v>
      </x:c>
      <x:c r="J1120" s="22" t="n">
        <x:f>XLOOKUP(H1120,'菜品主数据'!$A$5:$A$24,'菜品主数据'!$D$5:$D$24,0)</x:f>
        <x:v>25</x:v>
      </x:c>
      <x:c r="K1120" s="31" t="n">
        <x:v>1</x:v>
      </x:c>
      <x:c r="L1120" s="35" t="n">
        <x:f>J1120*K1120</x:f>
        <x:v>25</x:v>
      </x:c>
      <x:c r="M1120" s="36" t="n">
        <x:v>0.08</x:v>
      </x:c>
      <x:c r="N1120" s="35" t="n">
        <x:f>L1120*M1120</x:f>
        <x:v>2</x:v>
      </x:c>
      <x:c r="O1120" s="37" t="n">
        <x:v>0.18</x:v>
      </x:c>
      <x:c r="P1120" s="35" t="n">
        <x:f>L1120*O1120</x:f>
        <x:v>4.5</x:v>
      </x:c>
      <x:c r="Q1120" s="35" t="n">
        <x:v>1.2</x:v>
      </x:c>
      <x:c r="R1120" s="35" t="n">
        <x:f>K1120*Q1120</x:f>
        <x:v>1.2</x:v>
      </x:c>
      <x:c r="S1120" s="35" t="n">
        <x:f>XLOOKUP(H1120,'菜品主数据'!$A$5:$A$24,'菜品主数据'!$G$5:$G$24,0)</x:f>
        <x:v>8.184</x:v>
      </x:c>
      <x:c r="T1120" s="35" t="n">
        <x:f>K1120*S1120</x:f>
        <x:v>8.184</x:v>
      </x:c>
      <x:c r="U1120" s="35" t="n">
        <x:f>L1120-N1120-P1120-R1120-T1120</x:f>
        <x:v>9.116000000000001</x:v>
      </x:c>
      <x:c r="V1120" s="21" t="n">
        <x:f>IFERROR(U1120/L1120,0)</x:f>
        <x:v>0.3646400000000001</x:v>
      </x:c>
    </x:row>
    <x:row r="1121">
      <x:c r="A1121" s="19" t="str">
        <x:v>SALE-01117</x:v>
      </x:c>
      <x:c r="B1121" s="34" t="n">
        <x:v>46216.5</x:v>
      </x:c>
      <x:c r="C1121" s="19" t="str">
        <x:v>周一</x:v>
      </x:c>
      <x:c r="D1121" s="19" t="str">
        <x:v>S04</x:v>
      </x:c>
      <x:c r="E1121" s="19" t="str">
        <x:v>金街美地店</x:v>
      </x:c>
      <x:c r="F1121" s="19" t="str">
        <x:v>外卖</x:v>
      </x:c>
      <x:c r="G1121" s="19" t="str">
        <x:v>全日</x:v>
      </x:c>
      <x:c r="H1121" s="19" t="str">
        <x:v>D17</x:v>
      </x:c>
      <x:c r="I1121" s="19" t="str">
        <x:v>蒜蓉粉丝虾</x:v>
      </x:c>
      <x:c r="J1121" s="22" t="n">
        <x:f>XLOOKUP(H1121,'菜品主数据'!$A$5:$A$24,'菜品主数据'!$D$5:$D$24,0)</x:f>
        <x:v>36</x:v>
      </x:c>
      <x:c r="K1121" s="31" t="n">
        <x:v>0</x:v>
      </x:c>
      <x:c r="L1121" s="35" t="n">
        <x:f>J1121*K1121</x:f>
        <x:v>0</x:v>
      </x:c>
      <x:c r="M1121" s="36" t="n">
        <x:v>0.08</x:v>
      </x:c>
      <x:c r="N1121" s="35" t="n">
        <x:f>L1121*M1121</x:f>
        <x:v>0</x:v>
      </x:c>
      <x:c r="O1121" s="37" t="n">
        <x:v>0.18</x:v>
      </x:c>
      <x:c r="P1121" s="35" t="n">
        <x:f>L1121*O1121</x:f>
        <x:v>0</x:v>
      </x:c>
      <x:c r="Q1121" s="35" t="n">
        <x:v>1.2</x:v>
      </x:c>
      <x:c r="R1121" s="35" t="n">
        <x:f>K1121*Q1121</x:f>
        <x:v>0</x:v>
      </x:c>
      <x:c r="S1121" s="35" t="n">
        <x:f>XLOOKUP(H1121,'菜品主数据'!$A$5:$A$24,'菜品主数据'!$G$5:$G$24,0)</x:f>
        <x:v>13.594</x:v>
      </x:c>
      <x:c r="T1121" s="35" t="n">
        <x:f>K1121*S1121</x:f>
        <x:v>0</x:v>
      </x:c>
      <x:c r="U1121" s="35" t="n">
        <x:f>L1121-N1121-P1121-R1121-T1121</x:f>
        <x:v>0</x:v>
      </x:c>
      <x:c r="V1121" s="21" t="n">
        <x:f>IFERROR(U1121/L1121,0)</x:f>
        <x:v>0</x:v>
      </x:c>
    </x:row>
    <x:row r="1122">
      <x:c r="A1122" s="19" t="str">
        <x:v>SALE-01118</x:v>
      </x:c>
      <x:c r="B1122" s="34" t="n">
        <x:v>46216.5</x:v>
      </x:c>
      <x:c r="C1122" s="19" t="str">
        <x:v>周一</x:v>
      </x:c>
      <x:c r="D1122" s="19" t="str">
        <x:v>S04</x:v>
      </x:c>
      <x:c r="E1122" s="19" t="str">
        <x:v>金街美地店</x:v>
      </x:c>
      <x:c r="F1122" s="19" t="str">
        <x:v>外卖</x:v>
      </x:c>
      <x:c r="G1122" s="19" t="str">
        <x:v>全日</x:v>
      </x:c>
      <x:c r="H1122" s="19" t="str">
        <x:v>D18</x:v>
      </x:c>
      <x:c r="I1122" s="19" t="str">
        <x:v>青椒炒油麦菜</x:v>
      </x:c>
      <x:c r="J1122" s="22" t="n">
        <x:f>XLOOKUP(H1122,'菜品主数据'!$A$5:$A$24,'菜品主数据'!$D$5:$D$24,0)</x:f>
        <x:v>18</x:v>
      </x:c>
      <x:c r="K1122" s="31" t="n">
        <x:v>1</x:v>
      </x:c>
      <x:c r="L1122" s="35" t="n">
        <x:f>J1122*K1122</x:f>
        <x:v>18</x:v>
      </x:c>
      <x:c r="M1122" s="36" t="n">
        <x:v>0.08</x:v>
      </x:c>
      <x:c r="N1122" s="35" t="n">
        <x:f>L1122*M1122</x:f>
        <x:v>1.44</x:v>
      </x:c>
      <x:c r="O1122" s="37" t="n">
        <x:v>0.18</x:v>
      </x:c>
      <x:c r="P1122" s="35" t="n">
        <x:f>L1122*O1122</x:f>
        <x:v>3.2399999999999998</x:v>
      </x:c>
      <x:c r="Q1122" s="35" t="n">
        <x:v>1.2</x:v>
      </x:c>
      <x:c r="R1122" s="35" t="n">
        <x:f>K1122*Q1122</x:f>
        <x:v>1.2</x:v>
      </x:c>
      <x:c r="S1122" s="35" t="n">
        <x:f>XLOOKUP(H1122,'菜品主数据'!$A$5:$A$24,'菜品主数据'!$G$5:$G$24,0)</x:f>
        <x:v>3.1759999999999993</x:v>
      </x:c>
      <x:c r="T1122" s="35" t="n">
        <x:f>K1122*S1122</x:f>
        <x:v>3.1759999999999993</x:v>
      </x:c>
      <x:c r="U1122" s="35" t="n">
        <x:f>L1122-N1122-P1122-R1122-T1122</x:f>
        <x:v>8.943999999999999</x:v>
      </x:c>
      <x:c r="V1122" s="21" t="n">
        <x:f>IFERROR(U1122/L1122,0)</x:f>
        <x:v>0.4968888888888888</x:v>
      </x:c>
    </x:row>
    <x:row r="1123">
      <x:c r="A1123" s="19" t="str">
        <x:v>SALE-01119</x:v>
      </x:c>
      <x:c r="B1123" s="34" t="n">
        <x:v>46216.5</x:v>
      </x:c>
      <x:c r="C1123" s="19" t="str">
        <x:v>周一</x:v>
      </x:c>
      <x:c r="D1123" s="19" t="str">
        <x:v>S04</x:v>
      </x:c>
      <x:c r="E1123" s="19" t="str">
        <x:v>金街美地店</x:v>
      </x:c>
      <x:c r="F1123" s="19" t="str">
        <x:v>外卖</x:v>
      </x:c>
      <x:c r="G1123" s="19" t="str">
        <x:v>全日</x:v>
      </x:c>
      <x:c r="H1123" s="19" t="str">
        <x:v>D19</x:v>
      </x:c>
      <x:c r="I1123" s="19" t="str">
        <x:v>酸萝卜炒鸡杂</x:v>
      </x:c>
      <x:c r="J1123" s="22" t="n">
        <x:f>XLOOKUP(H1123,'菜品主数据'!$A$5:$A$24,'菜品主数据'!$D$5:$D$24,0)</x:f>
        <x:v>25</x:v>
      </x:c>
      <x:c r="K1123" s="31" t="n">
        <x:v>0</x:v>
      </x:c>
      <x:c r="L1123" s="35" t="n">
        <x:f>J1123*K1123</x:f>
        <x:v>0</x:v>
      </x:c>
      <x:c r="M1123" s="36" t="n">
        <x:v>0.08</x:v>
      </x:c>
      <x:c r="N1123" s="35" t="n">
        <x:f>L1123*M1123</x:f>
        <x:v>0</x:v>
      </x:c>
      <x:c r="O1123" s="37" t="n">
        <x:v>0.18</x:v>
      </x:c>
      <x:c r="P1123" s="35" t="n">
        <x:f>L1123*O1123</x:f>
        <x:v>0</x:v>
      </x:c>
      <x:c r="Q1123" s="35" t="n">
        <x:v>1.2</x:v>
      </x:c>
      <x:c r="R1123" s="35" t="n">
        <x:f>K1123*Q1123</x:f>
        <x:v>0</x:v>
      </x:c>
      <x:c r="S1123" s="35" t="n">
        <x:f>XLOOKUP(H1123,'菜品主数据'!$A$5:$A$24,'菜品主数据'!$G$5:$G$24,0)</x:f>
        <x:v>7.9399999999999995</x:v>
      </x:c>
      <x:c r="T1123" s="35" t="n">
        <x:f>K1123*S1123</x:f>
        <x:v>0</x:v>
      </x:c>
      <x:c r="U1123" s="35" t="n">
        <x:f>L1123-N1123-P1123-R1123-T1123</x:f>
        <x:v>0</x:v>
      </x:c>
      <x:c r="V1123" s="21" t="n">
        <x:f>IFERROR(U1123/L1123,0)</x:f>
        <x:v>0</x:v>
      </x:c>
    </x:row>
    <x:row r="1124">
      <x:c r="A1124" s="19" t="str">
        <x:v>SALE-01120</x:v>
      </x:c>
      <x:c r="B1124" s="34" t="n">
        <x:v>46216.5</x:v>
      </x:c>
      <x:c r="C1124" s="19" t="str">
        <x:v>周一</x:v>
      </x:c>
      <x:c r="D1124" s="19" t="str">
        <x:v>S04</x:v>
      </x:c>
      <x:c r="E1124" s="19" t="str">
        <x:v>金街美地店</x:v>
      </x:c>
      <x:c r="F1124" s="19" t="str">
        <x:v>外卖</x:v>
      </x:c>
      <x:c r="G1124" s="19" t="str">
        <x:v>全日</x:v>
      </x:c>
      <x:c r="H1124" s="19" t="str">
        <x:v>D20</x:v>
      </x:c>
      <x:c r="I1124" s="19" t="str">
        <x:v>雪菜肉末青豆</x:v>
      </x:c>
      <x:c r="J1124" s="22" t="n">
        <x:f>XLOOKUP(H1124,'菜品主数据'!$A$5:$A$24,'菜品主数据'!$D$5:$D$24,0)</x:f>
        <x:v>18</x:v>
      </x:c>
      <x:c r="K1124" s="31" t="n">
        <x:v>1</x:v>
      </x:c>
      <x:c r="L1124" s="35" t="n">
        <x:f>J1124*K1124</x:f>
        <x:v>18</x:v>
      </x:c>
      <x:c r="M1124" s="36" t="n">
        <x:v>0.08</x:v>
      </x:c>
      <x:c r="N1124" s="35" t="n">
        <x:f>L1124*M1124</x:f>
        <x:v>1.44</x:v>
      </x:c>
      <x:c r="O1124" s="37" t="n">
        <x:v>0.18</x:v>
      </x:c>
      <x:c r="P1124" s="35" t="n">
        <x:f>L1124*O1124</x:f>
        <x:v>3.2399999999999998</x:v>
      </x:c>
      <x:c r="Q1124" s="35" t="n">
        <x:v>1.2</x:v>
      </x:c>
      <x:c r="R1124" s="35" t="n">
        <x:f>K1124*Q1124</x:f>
        <x:v>1.2</x:v>
      </x:c>
      <x:c r="S1124" s="35" t="n">
        <x:f>XLOOKUP(H1124,'菜品主数据'!$A$5:$A$24,'菜品主数据'!$G$5:$G$24,0)</x:f>
        <x:v>7.303999999999999</x:v>
      </x:c>
      <x:c r="T1124" s="35" t="n">
        <x:f>K1124*S1124</x:f>
        <x:v>7.303999999999999</x:v>
      </x:c>
      <x:c r="U1124" s="35" t="n">
        <x:f>L1124-N1124-P1124-R1124-T1124</x:f>
        <x:v>4.816</x:v>
      </x:c>
      <x:c r="V1124" s="21" t="n">
        <x:f>IFERROR(U1124/L1124,0)</x:f>
        <x:v>0.26755555555555555</x:v>
      </x:c>
    </x:row>
    <x:row r="1125">
      <x:c r="A1125" s="19" t="str">
        <x:v>SALE-01121</x:v>
      </x:c>
      <x:c r="B1125" s="34" t="n">
        <x:v>46210.5</x:v>
      </x:c>
      <x:c r="C1125" s="19" t="str">
        <x:v>周二</x:v>
      </x:c>
      <x:c r="D1125" s="19" t="str">
        <x:v>S05</x:v>
      </x:c>
      <x:c r="E1125" s="19" t="str">
        <x:v>同顺街店</x:v>
      </x:c>
      <x:c r="F1125" s="19" t="str">
        <x:v>堂食</x:v>
      </x:c>
      <x:c r="G1125" s="19" t="str">
        <x:v>全日</x:v>
      </x:c>
      <x:c r="H1125" s="19" t="str">
        <x:v>D01</x:v>
      </x:c>
      <x:c r="I1125" s="19" t="str">
        <x:v>辣椒炒肉</x:v>
      </x:c>
      <x:c r="J1125" s="22" t="n">
        <x:f>XLOOKUP(H1125,'菜品主数据'!$A$5:$A$24,'菜品主数据'!$D$5:$D$24,0)</x:f>
        <x:v>29</x:v>
      </x:c>
      <x:c r="K1125" s="31" t="n">
        <x:v>42</x:v>
      </x:c>
      <x:c r="L1125" s="35" t="n">
        <x:f>J1125*K1125</x:f>
        <x:v>1218</x:v>
      </x:c>
      <x:c r="M1125" s="36" t="n">
        <x:v>0</x:v>
      </x:c>
      <x:c r="N1125" s="35" t="n">
        <x:f>L1125*M1125</x:f>
        <x:v>0</x:v>
      </x:c>
      <x:c r="O1125" s="37" t="n">
        <x:v>0</x:v>
      </x:c>
      <x:c r="P1125" s="35" t="n">
        <x:f>L1125*O1125</x:f>
        <x:v>0</x:v>
      </x:c>
      <x:c r="Q1125" s="35" t="n">
        <x:v>0</x:v>
      </x:c>
      <x:c r="R1125" s="35" t="n">
        <x:f>K1125*Q1125</x:f>
        <x:v>0</x:v>
      </x:c>
      <x:c r="S1125" s="35" t="n">
        <x:f>XLOOKUP(H1125,'菜品主数据'!$A$5:$A$24,'菜品主数据'!$G$5:$G$24,0)</x:f>
        <x:v>8.634400000000001</x:v>
      </x:c>
      <x:c r="T1125" s="35" t="n">
        <x:f>K1125*S1125</x:f>
        <x:v>362.64480000000003</x:v>
      </x:c>
      <x:c r="U1125" s="35" t="n">
        <x:f>L1125-N1125-P1125-R1125-T1125</x:f>
        <x:v>855.3552</x:v>
      </x:c>
      <x:c r="V1125" s="21" t="n">
        <x:f>IFERROR(U1125/L1125,0)</x:f>
        <x:v>0.7022620689655172</x:v>
      </x:c>
    </x:row>
    <x:row r="1126">
      <x:c r="A1126" s="19" t="str">
        <x:v>SALE-01122</x:v>
      </x:c>
      <x:c r="B1126" s="34" t="n">
        <x:v>46210.5</x:v>
      </x:c>
      <x:c r="C1126" s="19" t="str">
        <x:v>周二</x:v>
      </x:c>
      <x:c r="D1126" s="19" t="str">
        <x:v>S05</x:v>
      </x:c>
      <x:c r="E1126" s="19" t="str">
        <x:v>同顺街店</x:v>
      </x:c>
      <x:c r="F1126" s="19" t="str">
        <x:v>堂食</x:v>
      </x:c>
      <x:c r="G1126" s="19" t="str">
        <x:v>全日</x:v>
      </x:c>
      <x:c r="H1126" s="19" t="str">
        <x:v>D02</x:v>
      </x:c>
      <x:c r="I1126" s="19" t="str">
        <x:v>小炒黄牛肉</x:v>
      </x:c>
      <x:c r="J1126" s="22" t="n">
        <x:f>XLOOKUP(H1126,'菜品主数据'!$A$5:$A$24,'菜品主数据'!$D$5:$D$24,0)</x:f>
        <x:v>49</x:v>
      </x:c>
      <x:c r="K1126" s="31" t="n">
        <x:v>27</x:v>
      </x:c>
      <x:c r="L1126" s="35" t="n">
        <x:f>J1126*K1126</x:f>
        <x:v>1323</x:v>
      </x:c>
      <x:c r="M1126" s="36" t="n">
        <x:v>0</x:v>
      </x:c>
      <x:c r="N1126" s="35" t="n">
        <x:f>L1126*M1126</x:f>
        <x:v>0</x:v>
      </x:c>
      <x:c r="O1126" s="37" t="n">
        <x:v>0</x:v>
      </x:c>
      <x:c r="P1126" s="35" t="n">
        <x:f>L1126*O1126</x:f>
        <x:v>0</x:v>
      </x:c>
      <x:c r="Q1126" s="35" t="n">
        <x:v>0</x:v>
      </x:c>
      <x:c r="R1126" s="35" t="n">
        <x:f>K1126*Q1126</x:f>
        <x:v>0</x:v>
      </x:c>
      <x:c r="S1126" s="35" t="n">
        <x:f>XLOOKUP(H1126,'菜品主数据'!$A$5:$A$24,'菜品主数据'!$G$5:$G$24,0)</x:f>
        <x:v>17.577</x:v>
      </x:c>
      <x:c r="T1126" s="35" t="n">
        <x:f>K1126*S1126</x:f>
        <x:v>474.57900000000006</x:v>
      </x:c>
      <x:c r="U1126" s="35" t="n">
        <x:f>L1126-N1126-P1126-R1126-T1126</x:f>
        <x:v>848.4209999999999</x:v>
      </x:c>
      <x:c r="V1126" s="21" t="n">
        <x:f>IFERROR(U1126/L1126,0)</x:f>
        <x:v>0.6412857142857142</x:v>
      </x:c>
    </x:row>
    <x:row r="1127">
      <x:c r="A1127" s="19" t="str">
        <x:v>SALE-01123</x:v>
      </x:c>
      <x:c r="B1127" s="34" t="n">
        <x:v>46210.5</x:v>
      </x:c>
      <x:c r="C1127" s="19" t="str">
        <x:v>周二</x:v>
      </x:c>
      <x:c r="D1127" s="19" t="str">
        <x:v>S05</x:v>
      </x:c>
      <x:c r="E1127" s="19" t="str">
        <x:v>同顺街店</x:v>
      </x:c>
      <x:c r="F1127" s="19" t="str">
        <x:v>堂食</x:v>
      </x:c>
      <x:c r="G1127" s="19" t="str">
        <x:v>全日</x:v>
      </x:c>
      <x:c r="H1127" s="19" t="str">
        <x:v>D03</x:v>
      </x:c>
      <x:c r="I1127" s="19" t="str">
        <x:v>香醋炒蛋</x:v>
      </x:c>
      <x:c r="J1127" s="22" t="n">
        <x:f>XLOOKUP(H1127,'菜品主数据'!$A$5:$A$24,'菜品主数据'!$D$5:$D$24,0)</x:f>
        <x:v>14.9</x:v>
      </x:c>
      <x:c r="K1127" s="31" t="n">
        <x:v>36</x:v>
      </x:c>
      <x:c r="L1127" s="35" t="n">
        <x:f>J1127*K1127</x:f>
        <x:v>536.4</x:v>
      </x:c>
      <x:c r="M1127" s="36" t="n">
        <x:v>0</x:v>
      </x:c>
      <x:c r="N1127" s="35" t="n">
        <x:f>L1127*M1127</x:f>
        <x:v>0</x:v>
      </x:c>
      <x:c r="O1127" s="37" t="n">
        <x:v>0</x:v>
      </x:c>
      <x:c r="P1127" s="35" t="n">
        <x:f>L1127*O1127</x:f>
        <x:v>0</x:v>
      </x:c>
      <x:c r="Q1127" s="35" t="n">
        <x:v>0</x:v>
      </x:c>
      <x:c r="R1127" s="35" t="n">
        <x:f>K1127*Q1127</x:f>
        <x:v>0</x:v>
      </x:c>
      <x:c r="S1127" s="35" t="n">
        <x:f>XLOOKUP(H1127,'菜品主数据'!$A$5:$A$24,'菜品主数据'!$G$5:$G$24,0)</x:f>
        <x:v>3.7459999999999996</x:v>
      </x:c>
      <x:c r="T1127" s="35" t="n">
        <x:f>K1127*S1127</x:f>
        <x:v>134.856</x:v>
      </x:c>
      <x:c r="U1127" s="35" t="n">
        <x:f>L1127-N1127-P1127-R1127-T1127</x:f>
        <x:v>401.544</x:v>
      </x:c>
      <x:c r="V1127" s="21" t="n">
        <x:f>IFERROR(U1127/L1127,0)</x:f>
        <x:v>0.7485906040268456</x:v>
      </x:c>
    </x:row>
    <x:row r="1128">
      <x:c r="A1128" s="19" t="str">
        <x:v>SALE-01124</x:v>
      </x:c>
      <x:c r="B1128" s="34" t="n">
        <x:v>46210.5</x:v>
      </x:c>
      <x:c r="C1128" s="19" t="str">
        <x:v>周二</x:v>
      </x:c>
      <x:c r="D1128" s="19" t="str">
        <x:v>S05</x:v>
      </x:c>
      <x:c r="E1128" s="19" t="str">
        <x:v>同顺街店</x:v>
      </x:c>
      <x:c r="F1128" s="19" t="str">
        <x:v>堂食</x:v>
      </x:c>
      <x:c r="G1128" s="19" t="str">
        <x:v>全日</x:v>
      </x:c>
      <x:c r="H1128" s="19" t="str">
        <x:v>D04</x:v>
      </x:c>
      <x:c r="I1128" s="19" t="str">
        <x:v>酸包菜炒粉皮</x:v>
      </x:c>
      <x:c r="J1128" s="22" t="n">
        <x:f>XLOOKUP(H1128,'菜品主数据'!$A$5:$A$24,'菜品主数据'!$D$5:$D$24,0)</x:f>
        <x:v>16</x:v>
      </x:c>
      <x:c r="K1128" s="31" t="n">
        <x:v>36</x:v>
      </x:c>
      <x:c r="L1128" s="35" t="n">
        <x:f>J1128*K1128</x:f>
        <x:v>576</x:v>
      </x:c>
      <x:c r="M1128" s="36" t="n">
        <x:v>0</x:v>
      </x:c>
      <x:c r="N1128" s="35" t="n">
        <x:f>L1128*M1128</x:f>
        <x:v>0</x:v>
      </x:c>
      <x:c r="O1128" s="37" t="n">
        <x:v>0</x:v>
      </x:c>
      <x:c r="P1128" s="35" t="n">
        <x:f>L1128*O1128</x:f>
        <x:v>0</x:v>
      </x:c>
      <x:c r="Q1128" s="35" t="n">
        <x:v>0</x:v>
      </x:c>
      <x:c r="R1128" s="35" t="n">
        <x:f>K1128*Q1128</x:f>
        <x:v>0</x:v>
      </x:c>
      <x:c r="S1128" s="35" t="n">
        <x:f>XLOOKUP(H1128,'菜品主数据'!$A$5:$A$24,'菜品主数据'!$G$5:$G$24,0)</x:f>
        <x:v>3.978</x:v>
      </x:c>
      <x:c r="T1128" s="35" t="n">
        <x:f>K1128*S1128</x:f>
        <x:v>143.208</x:v>
      </x:c>
      <x:c r="U1128" s="35" t="n">
        <x:f>L1128-N1128-P1128-R1128-T1128</x:f>
        <x:v>432.79200000000003</x:v>
      </x:c>
      <x:c r="V1128" s="21" t="n">
        <x:f>IFERROR(U1128/L1128,0)</x:f>
        <x:v>0.751375</x:v>
      </x:c>
    </x:row>
    <x:row r="1129">
      <x:c r="A1129" s="19" t="str">
        <x:v>SALE-01125</x:v>
      </x:c>
      <x:c r="B1129" s="34" t="n">
        <x:v>46210.5</x:v>
      </x:c>
      <x:c r="C1129" s="19" t="str">
        <x:v>周二</x:v>
      </x:c>
      <x:c r="D1129" s="19" t="str">
        <x:v>S05</x:v>
      </x:c>
      <x:c r="E1129" s="19" t="str">
        <x:v>同顺街店</x:v>
      </x:c>
      <x:c r="F1129" s="19" t="str">
        <x:v>堂食</x:v>
      </x:c>
      <x:c r="G1129" s="19" t="str">
        <x:v>全日</x:v>
      </x:c>
      <x:c r="H1129" s="19" t="str">
        <x:v>D05</x:v>
      </x:c>
      <x:c r="I1129" s="19" t="str">
        <x:v>麻婆豆腐</x:v>
      </x:c>
      <x:c r="J1129" s="22" t="n">
        <x:f>XLOOKUP(H1129,'菜品主数据'!$A$5:$A$24,'菜品主数据'!$D$5:$D$24,0)</x:f>
        <x:v>9.9</x:v>
      </x:c>
      <x:c r="K1129" s="31" t="n">
        <x:v>47</x:v>
      </x:c>
      <x:c r="L1129" s="35" t="n">
        <x:f>J1129*K1129</x:f>
        <x:v>465.3</x:v>
      </x:c>
      <x:c r="M1129" s="36" t="n">
        <x:v>0</x:v>
      </x:c>
      <x:c r="N1129" s="35" t="n">
        <x:f>L1129*M1129</x:f>
        <x:v>0</x:v>
      </x:c>
      <x:c r="O1129" s="37" t="n">
        <x:v>0</x:v>
      </x:c>
      <x:c r="P1129" s="35" t="n">
        <x:f>L1129*O1129</x:f>
        <x:v>0</x:v>
      </x:c>
      <x:c r="Q1129" s="35" t="n">
        <x:v>0</x:v>
      </x:c>
      <x:c r="R1129" s="35" t="n">
        <x:f>K1129*Q1129</x:f>
        <x:v>0</x:v>
      </x:c>
      <x:c r="S1129" s="35" t="n">
        <x:f>XLOOKUP(H1129,'菜品主数据'!$A$5:$A$24,'菜品主数据'!$G$5:$G$24,0)</x:f>
        <x:v>5.367000000000001</x:v>
      </x:c>
      <x:c r="T1129" s="35" t="n">
        <x:f>K1129*S1129</x:f>
        <x:v>252.24900000000005</x:v>
      </x:c>
      <x:c r="U1129" s="35" t="n">
        <x:f>L1129-N1129-P1129-R1129-T1129</x:f>
        <x:v>213.05099999999996</x:v>
      </x:c>
      <x:c r="V1129" s="21" t="n">
        <x:f>IFERROR(U1129/L1129,0)</x:f>
        <x:v>0.4578787878787878</x:v>
      </x:c>
    </x:row>
    <x:row r="1130">
      <x:c r="A1130" s="19" t="str">
        <x:v>SALE-01126</x:v>
      </x:c>
      <x:c r="B1130" s="34" t="n">
        <x:v>46210.5</x:v>
      </x:c>
      <x:c r="C1130" s="19" t="str">
        <x:v>周二</x:v>
      </x:c>
      <x:c r="D1130" s="19" t="str">
        <x:v>S05</x:v>
      </x:c>
      <x:c r="E1130" s="19" t="str">
        <x:v>同顺街店</x:v>
      </x:c>
      <x:c r="F1130" s="19" t="str">
        <x:v>堂食</x:v>
      </x:c>
      <x:c r="G1130" s="19" t="str">
        <x:v>全日</x:v>
      </x:c>
      <x:c r="H1130" s="19" t="str">
        <x:v>D06</x:v>
      </x:c>
      <x:c r="I1130" s="19" t="str">
        <x:v>剁椒鱼头</x:v>
      </x:c>
      <x:c r="J1130" s="22" t="n">
        <x:f>XLOOKUP(H1130,'菜品主数据'!$A$5:$A$24,'菜品主数据'!$D$5:$D$24,0)</x:f>
        <x:v>39</x:v>
      </x:c>
      <x:c r="K1130" s="31" t="n">
        <x:v>11</x:v>
      </x:c>
      <x:c r="L1130" s="35" t="n">
        <x:f>J1130*K1130</x:f>
        <x:v>429</x:v>
      </x:c>
      <x:c r="M1130" s="36" t="n">
        <x:v>0</x:v>
      </x:c>
      <x:c r="N1130" s="35" t="n">
        <x:f>L1130*M1130</x:f>
        <x:v>0</x:v>
      </x:c>
      <x:c r="O1130" s="37" t="n">
        <x:v>0</x:v>
      </x:c>
      <x:c r="P1130" s="35" t="n">
        <x:f>L1130*O1130</x:f>
        <x:v>0</x:v>
      </x:c>
      <x:c r="Q1130" s="35" t="n">
        <x:v>0</x:v>
      </x:c>
      <x:c r="R1130" s="35" t="n">
        <x:f>K1130*Q1130</x:f>
        <x:v>0</x:v>
      </x:c>
      <x:c r="S1130" s="35" t="n">
        <x:f>XLOOKUP(H1130,'菜品主数据'!$A$5:$A$24,'菜品主数据'!$G$5:$G$24,0)</x:f>
        <x:v>17.446</x:v>
      </x:c>
      <x:c r="T1130" s="35" t="n">
        <x:f>K1130*S1130</x:f>
        <x:v>191.906</x:v>
      </x:c>
      <x:c r="U1130" s="35" t="n">
        <x:f>L1130-N1130-P1130-R1130-T1130</x:f>
        <x:v>237.094</x:v>
      </x:c>
      <x:c r="V1130" s="21" t="n">
        <x:f>IFERROR(U1130/L1130,0)</x:f>
        <x:v>0.5526666666666666</x:v>
      </x:c>
    </x:row>
    <x:row r="1131">
      <x:c r="A1131" s="19" t="str">
        <x:v>SALE-01127</x:v>
      </x:c>
      <x:c r="B1131" s="34" t="n">
        <x:v>46210.5</x:v>
      </x:c>
      <x:c r="C1131" s="19" t="str">
        <x:v>周二</x:v>
      </x:c>
      <x:c r="D1131" s="19" t="str">
        <x:v>S05</x:v>
      </x:c>
      <x:c r="E1131" s="19" t="str">
        <x:v>同顺街店</x:v>
      </x:c>
      <x:c r="F1131" s="19" t="str">
        <x:v>堂食</x:v>
      </x:c>
      <x:c r="G1131" s="19" t="str">
        <x:v>全日</x:v>
      </x:c>
      <x:c r="H1131" s="19" t="str">
        <x:v>D07</x:v>
      </x:c>
      <x:c r="I1131" s="19" t="str">
        <x:v>川味回锅肉</x:v>
      </x:c>
      <x:c r="J1131" s="22" t="n">
        <x:f>XLOOKUP(H1131,'菜品主数据'!$A$5:$A$24,'菜品主数据'!$D$5:$D$24,0)</x:f>
        <x:v>29</x:v>
      </x:c>
      <x:c r="K1131" s="31" t="n">
        <x:v>15</x:v>
      </x:c>
      <x:c r="L1131" s="35" t="n">
        <x:f>J1131*K1131</x:f>
        <x:v>435</x:v>
      </x:c>
      <x:c r="M1131" s="36" t="n">
        <x:v>0</x:v>
      </x:c>
      <x:c r="N1131" s="35" t="n">
        <x:f>L1131*M1131</x:f>
        <x:v>0</x:v>
      </x:c>
      <x:c r="O1131" s="37" t="n">
        <x:v>0</x:v>
      </x:c>
      <x:c r="P1131" s="35" t="n">
        <x:f>L1131*O1131</x:f>
        <x:v>0</x:v>
      </x:c>
      <x:c r="Q1131" s="35" t="n">
        <x:v>0</x:v>
      </x:c>
      <x:c r="R1131" s="35" t="n">
        <x:f>K1131*Q1131</x:f>
        <x:v>0</x:v>
      </x:c>
      <x:c r="S1131" s="35" t="n">
        <x:f>XLOOKUP(H1131,'菜品主数据'!$A$5:$A$24,'菜品主数据'!$G$5:$G$24,0)</x:f>
        <x:v>10.231000000000002</x:v>
      </x:c>
      <x:c r="T1131" s="35" t="n">
        <x:f>K1131*S1131</x:f>
        <x:v>153.46500000000003</x:v>
      </x:c>
      <x:c r="U1131" s="35" t="n">
        <x:f>L1131-N1131-P1131-R1131-T1131</x:f>
        <x:v>281.53499999999997</x:v>
      </x:c>
      <x:c r="V1131" s="21" t="n">
        <x:f>IFERROR(U1131/L1131,0)</x:f>
        <x:v>0.647206896551724</x:v>
      </x:c>
    </x:row>
    <x:row r="1132">
      <x:c r="A1132" s="19" t="str">
        <x:v>SALE-01128</x:v>
      </x:c>
      <x:c r="B1132" s="34" t="n">
        <x:v>46210.5</x:v>
      </x:c>
      <x:c r="C1132" s="19" t="str">
        <x:v>周二</x:v>
      </x:c>
      <x:c r="D1132" s="19" t="str">
        <x:v>S05</x:v>
      </x:c>
      <x:c r="E1132" s="19" t="str">
        <x:v>同顺街店</x:v>
      </x:c>
      <x:c r="F1132" s="19" t="str">
        <x:v>堂食</x:v>
      </x:c>
      <x:c r="G1132" s="19" t="str">
        <x:v>全日</x:v>
      </x:c>
      <x:c r="H1132" s="19" t="str">
        <x:v>D08</x:v>
      </x:c>
      <x:c r="I1132" s="19" t="str">
        <x:v>生炒清远鸡</x:v>
      </x:c>
      <x:c r="J1132" s="22" t="n">
        <x:f>XLOOKUP(H1132,'菜品主数据'!$A$5:$A$24,'菜品主数据'!$D$5:$D$24,0)</x:f>
        <x:v>36</x:v>
      </x:c>
      <x:c r="K1132" s="31" t="n">
        <x:v>11</x:v>
      </x:c>
      <x:c r="L1132" s="35" t="n">
        <x:f>J1132*K1132</x:f>
        <x:v>396</x:v>
      </x:c>
      <x:c r="M1132" s="36" t="n">
        <x:v>0</x:v>
      </x:c>
      <x:c r="N1132" s="35" t="n">
        <x:f>L1132*M1132</x:f>
        <x:v>0</x:v>
      </x:c>
      <x:c r="O1132" s="37" t="n">
        <x:v>0</x:v>
      </x:c>
      <x:c r="P1132" s="35" t="n">
        <x:f>L1132*O1132</x:f>
        <x:v>0</x:v>
      </x:c>
      <x:c r="Q1132" s="35" t="n">
        <x:v>0</x:v>
      </x:c>
      <x:c r="R1132" s="35" t="n">
        <x:f>K1132*Q1132</x:f>
        <x:v>0</x:v>
      </x:c>
      <x:c r="S1132" s="35" t="n">
        <x:f>XLOOKUP(H1132,'菜品主数据'!$A$5:$A$24,'菜品主数据'!$G$5:$G$24,0)</x:f>
        <x:v>13.48</x:v>
      </x:c>
      <x:c r="T1132" s="35" t="n">
        <x:f>K1132*S1132</x:f>
        <x:v>148.28</x:v>
      </x:c>
      <x:c r="U1132" s="35" t="n">
        <x:f>L1132-N1132-P1132-R1132-T1132</x:f>
        <x:v>247.72</x:v>
      </x:c>
      <x:c r="V1132" s="21" t="n">
        <x:f>IFERROR(U1132/L1132,0)</x:f>
        <x:v>0.6255555555555555</x:v>
      </x:c>
    </x:row>
    <x:row r="1133">
      <x:c r="A1133" s="19" t="str">
        <x:v>SALE-01129</x:v>
      </x:c>
      <x:c r="B1133" s="34" t="n">
        <x:v>46210.5</x:v>
      </x:c>
      <x:c r="C1133" s="19" t="str">
        <x:v>周二</x:v>
      </x:c>
      <x:c r="D1133" s="19" t="str">
        <x:v>S05</x:v>
      </x:c>
      <x:c r="E1133" s="19" t="str">
        <x:v>同顺街店</x:v>
      </x:c>
      <x:c r="F1133" s="19" t="str">
        <x:v>堂食</x:v>
      </x:c>
      <x:c r="G1133" s="19" t="str">
        <x:v>全日</x:v>
      </x:c>
      <x:c r="H1133" s="19" t="str">
        <x:v>D09</x:v>
      </x:c>
      <x:c r="I1133" s="19" t="str">
        <x:v>炒豆干</x:v>
      </x:c>
      <x:c r="J1133" s="22" t="n">
        <x:f>XLOOKUP(H1133,'菜品主数据'!$A$5:$A$24,'菜品主数据'!$D$5:$D$24,0)</x:f>
        <x:v>18</x:v>
      </x:c>
      <x:c r="K1133" s="31" t="n">
        <x:v>14</x:v>
      </x:c>
      <x:c r="L1133" s="35" t="n">
        <x:f>J1133*K1133</x:f>
        <x:v>252</x:v>
      </x:c>
      <x:c r="M1133" s="36" t="n">
        <x:v>0</x:v>
      </x:c>
      <x:c r="N1133" s="35" t="n">
        <x:f>L1133*M1133</x:f>
        <x:v>0</x:v>
      </x:c>
      <x:c r="O1133" s="37" t="n">
        <x:v>0</x:v>
      </x:c>
      <x:c r="P1133" s="35" t="n">
        <x:f>L1133*O1133</x:f>
        <x:v>0</x:v>
      </x:c>
      <x:c r="Q1133" s="35" t="n">
        <x:v>0</x:v>
      </x:c>
      <x:c r="R1133" s="35" t="n">
        <x:f>K1133*Q1133</x:f>
        <x:v>0</x:v>
      </x:c>
      <x:c r="S1133" s="35" t="n">
        <x:f>XLOOKUP(H1133,'菜品主数据'!$A$5:$A$24,'菜品主数据'!$G$5:$G$24,0)</x:f>
        <x:v>6.613999999999999</x:v>
      </x:c>
      <x:c r="T1133" s="35" t="n">
        <x:f>K1133*S1133</x:f>
        <x:v>92.59599999999999</x:v>
      </x:c>
      <x:c r="U1133" s="35" t="n">
        <x:f>L1133-N1133-P1133-R1133-T1133</x:f>
        <x:v>159.404</x:v>
      </x:c>
      <x:c r="V1133" s="21" t="n">
        <x:f>IFERROR(U1133/L1133,0)</x:f>
        <x:v>0.6325555555555555</x:v>
      </x:c>
    </x:row>
    <x:row r="1134">
      <x:c r="A1134" s="19" t="str">
        <x:v>SALE-01130</x:v>
      </x:c>
      <x:c r="B1134" s="34" t="n">
        <x:v>46210.5</x:v>
      </x:c>
      <x:c r="C1134" s="19" t="str">
        <x:v>周二</x:v>
      </x:c>
      <x:c r="D1134" s="19" t="str">
        <x:v>S05</x:v>
      </x:c>
      <x:c r="E1134" s="19" t="str">
        <x:v>同顺街店</x:v>
      </x:c>
      <x:c r="F1134" s="19" t="str">
        <x:v>堂食</x:v>
      </x:c>
      <x:c r="G1134" s="19" t="str">
        <x:v>全日</x:v>
      </x:c>
      <x:c r="H1134" s="19" t="str">
        <x:v>D10</x:v>
      </x:c>
      <x:c r="I1134" s="19" t="str">
        <x:v>农家一碗香</x:v>
      </x:c>
      <x:c r="J1134" s="22" t="n">
        <x:f>XLOOKUP(H1134,'菜品主数据'!$A$5:$A$24,'菜品主数据'!$D$5:$D$24,0)</x:f>
        <x:v>22.9</x:v>
      </x:c>
      <x:c r="K1134" s="31" t="n">
        <x:v>17</x:v>
      </x:c>
      <x:c r="L1134" s="35" t="n">
        <x:f>J1134*K1134</x:f>
        <x:v>389.29999999999995</x:v>
      </x:c>
      <x:c r="M1134" s="36" t="n">
        <x:v>0</x:v>
      </x:c>
      <x:c r="N1134" s="35" t="n">
        <x:f>L1134*M1134</x:f>
        <x:v>0</x:v>
      </x:c>
      <x:c r="O1134" s="37" t="n">
        <x:v>0</x:v>
      </x:c>
      <x:c r="P1134" s="35" t="n">
        <x:f>L1134*O1134</x:f>
        <x:v>0</x:v>
      </x:c>
      <x:c r="Q1134" s="35" t="n">
        <x:v>0</x:v>
      </x:c>
      <x:c r="R1134" s="35" t="n">
        <x:f>K1134*Q1134</x:f>
        <x:v>0</x:v>
      </x:c>
      <x:c r="S1134" s="35" t="n">
        <x:f>XLOOKUP(H1134,'菜品主数据'!$A$5:$A$24,'菜品主数据'!$G$5:$G$24,0)</x:f>
        <x:v>9.770200000000003</x:v>
      </x:c>
      <x:c r="T1134" s="35" t="n">
        <x:f>K1134*S1134</x:f>
        <x:v>166.09340000000003</x:v>
      </x:c>
      <x:c r="U1134" s="35" t="n">
        <x:f>L1134-N1134-P1134-R1134-T1134</x:f>
        <x:v>223.20659999999992</x:v>
      </x:c>
      <x:c r="V1134" s="21" t="n">
        <x:f>IFERROR(U1134/L1134,0)</x:f>
        <x:v>0.5733537117903929</x:v>
      </x:c>
    </x:row>
    <x:row r="1135">
      <x:c r="A1135" s="19" t="str">
        <x:v>SALE-01131</x:v>
      </x:c>
      <x:c r="B1135" s="34" t="n">
        <x:v>46210.5</x:v>
      </x:c>
      <x:c r="C1135" s="19" t="str">
        <x:v>周二</x:v>
      </x:c>
      <x:c r="D1135" s="19" t="str">
        <x:v>S05</x:v>
      </x:c>
      <x:c r="E1135" s="19" t="str">
        <x:v>同顺街店</x:v>
      </x:c>
      <x:c r="F1135" s="19" t="str">
        <x:v>堂食</x:v>
      </x:c>
      <x:c r="G1135" s="19" t="str">
        <x:v>全日</x:v>
      </x:c>
      <x:c r="H1135" s="19" t="str">
        <x:v>D11</x:v>
      </x:c>
      <x:c r="I1135" s="19" t="str">
        <x:v>香辣爆肥肠</x:v>
      </x:c>
      <x:c r="J1135" s="22" t="n">
        <x:f>XLOOKUP(H1135,'菜品主数据'!$A$5:$A$24,'菜品主数据'!$D$5:$D$24,0)</x:f>
        <x:v>39</x:v>
      </x:c>
      <x:c r="K1135" s="31" t="n">
        <x:v>7</x:v>
      </x:c>
      <x:c r="L1135" s="35" t="n">
        <x:f>J1135*K1135</x:f>
        <x:v>273</x:v>
      </x:c>
      <x:c r="M1135" s="36" t="n">
        <x:v>0</x:v>
      </x:c>
      <x:c r="N1135" s="35" t="n">
        <x:f>L1135*M1135</x:f>
        <x:v>0</x:v>
      </x:c>
      <x:c r="O1135" s="37" t="n">
        <x:v>0</x:v>
      </x:c>
      <x:c r="P1135" s="35" t="n">
        <x:f>L1135*O1135</x:f>
        <x:v>0</x:v>
      </x:c>
      <x:c r="Q1135" s="35" t="n">
        <x:v>0</x:v>
      </x:c>
      <x:c r="R1135" s="35" t="n">
        <x:f>K1135*Q1135</x:f>
        <x:v>0</x:v>
      </x:c>
      <x:c r="S1135" s="35" t="n">
        <x:f>XLOOKUP(H1135,'菜品主数据'!$A$5:$A$24,'菜品主数据'!$G$5:$G$24,0)</x:f>
        <x:v>10.397</x:v>
      </x:c>
      <x:c r="T1135" s="35" t="n">
        <x:f>K1135*S1135</x:f>
        <x:v>72.779</x:v>
      </x:c>
      <x:c r="U1135" s="35" t="n">
        <x:f>L1135-N1135-P1135-R1135-T1135</x:f>
        <x:v>200.221</x:v>
      </x:c>
      <x:c r="V1135" s="21" t="n">
        <x:f>IFERROR(U1135/L1135,0)</x:f>
        <x:v>0.7334102564102565</x:v>
      </x:c>
    </x:row>
    <x:row r="1136">
      <x:c r="A1136" s="19" t="str">
        <x:v>SALE-01132</x:v>
      </x:c>
      <x:c r="B1136" s="34" t="n">
        <x:v>46210.5</x:v>
      </x:c>
      <x:c r="C1136" s="19" t="str">
        <x:v>周二</x:v>
      </x:c>
      <x:c r="D1136" s="19" t="str">
        <x:v>S05</x:v>
      </x:c>
      <x:c r="E1136" s="19" t="str">
        <x:v>同顺街店</x:v>
      </x:c>
      <x:c r="F1136" s="19" t="str">
        <x:v>堂食</x:v>
      </x:c>
      <x:c r="G1136" s="19" t="str">
        <x:v>全日</x:v>
      </x:c>
      <x:c r="H1136" s="19" t="str">
        <x:v>D12</x:v>
      </x:c>
      <x:c r="I1136" s="19" t="str">
        <x:v>清蒸鲈鱼</x:v>
      </x:c>
      <x:c r="J1136" s="22" t="n">
        <x:f>XLOOKUP(H1136,'菜品主数据'!$A$5:$A$24,'菜品主数据'!$D$5:$D$24,0)</x:f>
        <x:v>39</x:v>
      </x:c>
      <x:c r="K1136" s="31" t="n">
        <x:v>7</x:v>
      </x:c>
      <x:c r="L1136" s="35" t="n">
        <x:f>J1136*K1136</x:f>
        <x:v>273</x:v>
      </x:c>
      <x:c r="M1136" s="36" t="n">
        <x:v>0</x:v>
      </x:c>
      <x:c r="N1136" s="35" t="n">
        <x:f>L1136*M1136</x:f>
        <x:v>0</x:v>
      </x:c>
      <x:c r="O1136" s="37" t="n">
        <x:v>0</x:v>
      </x:c>
      <x:c r="P1136" s="35" t="n">
        <x:f>L1136*O1136</x:f>
        <x:v>0</x:v>
      </x:c>
      <x:c r="Q1136" s="35" t="n">
        <x:v>0</x:v>
      </x:c>
      <x:c r="R1136" s="35" t="n">
        <x:f>K1136*Q1136</x:f>
        <x:v>0</x:v>
      </x:c>
      <x:c r="S1136" s="35" t="n">
        <x:f>XLOOKUP(H1136,'菜品主数据'!$A$5:$A$24,'菜品主数据'!$G$5:$G$24,0)</x:f>
        <x:v>18.874</x:v>
      </x:c>
      <x:c r="T1136" s="35" t="n">
        <x:f>K1136*S1136</x:f>
        <x:v>132.118</x:v>
      </x:c>
      <x:c r="U1136" s="35" t="n">
        <x:f>L1136-N1136-P1136-R1136-T1136</x:f>
        <x:v>140.882</x:v>
      </x:c>
      <x:c r="V1136" s="21" t="n">
        <x:f>IFERROR(U1136/L1136,0)</x:f>
        <x:v>0.516051282051282</x:v>
      </x:c>
    </x:row>
    <x:row r="1137">
      <x:c r="A1137" s="19" t="str">
        <x:v>SALE-01133</x:v>
      </x:c>
      <x:c r="B1137" s="34" t="n">
        <x:v>46210.5</x:v>
      </x:c>
      <x:c r="C1137" s="19" t="str">
        <x:v>周二</x:v>
      </x:c>
      <x:c r="D1137" s="19" t="str">
        <x:v>S05</x:v>
      </x:c>
      <x:c r="E1137" s="19" t="str">
        <x:v>同顺街店</x:v>
      </x:c>
      <x:c r="F1137" s="19" t="str">
        <x:v>堂食</x:v>
      </x:c>
      <x:c r="G1137" s="19" t="str">
        <x:v>全日</x:v>
      </x:c>
      <x:c r="H1137" s="19" t="str">
        <x:v>D13</x:v>
      </x:c>
      <x:c r="I1137" s="19" t="str">
        <x:v>外婆菜炒蛋</x:v>
      </x:c>
      <x:c r="J1137" s="22" t="n">
        <x:f>XLOOKUP(H1137,'菜品主数据'!$A$5:$A$24,'菜品主数据'!$D$5:$D$24,0)</x:f>
        <x:v>18</x:v>
      </x:c>
      <x:c r="K1137" s="31" t="n">
        <x:v>15</x:v>
      </x:c>
      <x:c r="L1137" s="35" t="n">
        <x:f>J1137*K1137</x:f>
        <x:v>270</x:v>
      </x:c>
      <x:c r="M1137" s="36" t="n">
        <x:v>0</x:v>
      </x:c>
      <x:c r="N1137" s="35" t="n">
        <x:f>L1137*M1137</x:f>
        <x:v>0</x:v>
      </x:c>
      <x:c r="O1137" s="37" t="n">
        <x:v>0</x:v>
      </x:c>
      <x:c r="P1137" s="35" t="n">
        <x:f>L1137*O1137</x:f>
        <x:v>0</x:v>
      </x:c>
      <x:c r="Q1137" s="35" t="n">
        <x:v>0</x:v>
      </x:c>
      <x:c r="R1137" s="35" t="n">
        <x:f>K1137*Q1137</x:f>
        <x:v>0</x:v>
      </x:c>
      <x:c r="S1137" s="35" t="n">
        <x:f>XLOOKUP(H1137,'菜品主数据'!$A$5:$A$24,'菜品主数据'!$G$5:$G$24,0)</x:f>
        <x:v>5.403999999999999</x:v>
      </x:c>
      <x:c r="T1137" s="35" t="n">
        <x:f>K1137*S1137</x:f>
        <x:v>81.05999999999999</x:v>
      </x:c>
      <x:c r="U1137" s="35" t="n">
        <x:f>L1137-N1137-P1137-R1137-T1137</x:f>
        <x:v>188.94</x:v>
      </x:c>
      <x:c r="V1137" s="21" t="n">
        <x:f>IFERROR(U1137/L1137,0)</x:f>
        <x:v>0.6997777777777777</x:v>
      </x:c>
    </x:row>
    <x:row r="1138">
      <x:c r="A1138" s="19" t="str">
        <x:v>SALE-01134</x:v>
      </x:c>
      <x:c r="B1138" s="34" t="n">
        <x:v>46210.5</x:v>
      </x:c>
      <x:c r="C1138" s="19" t="str">
        <x:v>周二</x:v>
      </x:c>
      <x:c r="D1138" s="19" t="str">
        <x:v>S05</x:v>
      </x:c>
      <x:c r="E1138" s="19" t="str">
        <x:v>同顺街店</x:v>
      </x:c>
      <x:c r="F1138" s="19" t="str">
        <x:v>堂食</x:v>
      </x:c>
      <x:c r="G1138" s="19" t="str">
        <x:v>全日</x:v>
      </x:c>
      <x:c r="H1138" s="19" t="str">
        <x:v>D14</x:v>
      </x:c>
      <x:c r="I1138" s="19" t="str">
        <x:v>酸辣鸡杂</x:v>
      </x:c>
      <x:c r="J1138" s="22" t="n">
        <x:f>XLOOKUP(H1138,'菜品主数据'!$A$5:$A$24,'菜品主数据'!$D$5:$D$24,0)</x:f>
        <x:v>28</x:v>
      </x:c>
      <x:c r="K1138" s="31" t="n">
        <x:v>8</x:v>
      </x:c>
      <x:c r="L1138" s="35" t="n">
        <x:f>J1138*K1138</x:f>
        <x:v>224</x:v>
      </x:c>
      <x:c r="M1138" s="36" t="n">
        <x:v>0</x:v>
      </x:c>
      <x:c r="N1138" s="35" t="n">
        <x:f>L1138*M1138</x:f>
        <x:v>0</x:v>
      </x:c>
      <x:c r="O1138" s="37" t="n">
        <x:v>0</x:v>
      </x:c>
      <x:c r="P1138" s="35" t="n">
        <x:f>L1138*O1138</x:f>
        <x:v>0</x:v>
      </x:c>
      <x:c r="Q1138" s="35" t="n">
        <x:v>0</x:v>
      </x:c>
      <x:c r="R1138" s="35" t="n">
        <x:f>K1138*Q1138</x:f>
        <x:v>0</x:v>
      </x:c>
      <x:c r="S1138" s="35" t="n">
        <x:f>XLOOKUP(H1138,'菜品主数据'!$A$5:$A$24,'菜品主数据'!$G$5:$G$24,0)</x:f>
        <x:v>8.315000000000001</x:v>
      </x:c>
      <x:c r="T1138" s="35" t="n">
        <x:f>K1138*S1138</x:f>
        <x:v>66.52000000000001</x:v>
      </x:c>
      <x:c r="U1138" s="35" t="n">
        <x:f>L1138-N1138-P1138-R1138-T1138</x:f>
        <x:v>157.48</x:v>
      </x:c>
      <x:c r="V1138" s="21" t="n">
        <x:f>IFERROR(U1138/L1138,0)</x:f>
        <x:v>0.7030357142857142</x:v>
      </x:c>
    </x:row>
    <x:row r="1139">
      <x:c r="A1139" s="19" t="str">
        <x:v>SALE-01135</x:v>
      </x:c>
      <x:c r="B1139" s="34" t="n">
        <x:v>46210.5</x:v>
      </x:c>
      <x:c r="C1139" s="19" t="str">
        <x:v>周二</x:v>
      </x:c>
      <x:c r="D1139" s="19" t="str">
        <x:v>S05</x:v>
      </x:c>
      <x:c r="E1139" s="19" t="str">
        <x:v>同顺街店</x:v>
      </x:c>
      <x:c r="F1139" s="19" t="str">
        <x:v>堂食</x:v>
      </x:c>
      <x:c r="G1139" s="19" t="str">
        <x:v>全日</x:v>
      </x:c>
      <x:c r="H1139" s="19" t="str">
        <x:v>D15</x:v>
      </x:c>
      <x:c r="I1139" s="19" t="str">
        <x:v>湘西土匪猪肝</x:v>
      </x:c>
      <x:c r="J1139" s="22" t="n">
        <x:f>XLOOKUP(H1139,'菜品主数据'!$A$5:$A$24,'菜品主数据'!$D$5:$D$24,0)</x:f>
        <x:v>26</x:v>
      </x:c>
      <x:c r="K1139" s="31" t="n">
        <x:v>7</x:v>
      </x:c>
      <x:c r="L1139" s="35" t="n">
        <x:f>J1139*K1139</x:f>
        <x:v>182</x:v>
      </x:c>
      <x:c r="M1139" s="36" t="n">
        <x:v>0</x:v>
      </x:c>
      <x:c r="N1139" s="35" t="n">
        <x:f>L1139*M1139</x:f>
        <x:v>0</x:v>
      </x:c>
      <x:c r="O1139" s="37" t="n">
        <x:v>0</x:v>
      </x:c>
      <x:c r="P1139" s="35" t="n">
        <x:f>L1139*O1139</x:f>
        <x:v>0</x:v>
      </x:c>
      <x:c r="Q1139" s="35" t="n">
        <x:v>0</x:v>
      </x:c>
      <x:c r="R1139" s="35" t="n">
        <x:f>K1139*Q1139</x:f>
        <x:v>0</x:v>
      </x:c>
      <x:c r="S1139" s="35" t="n">
        <x:f>XLOOKUP(H1139,'菜品主数据'!$A$5:$A$24,'菜品主数据'!$G$5:$G$24,0)</x:f>
        <x:v>6.3759999999999994</x:v>
      </x:c>
      <x:c r="T1139" s="35" t="n">
        <x:f>K1139*S1139</x:f>
        <x:v>44.632</x:v>
      </x:c>
      <x:c r="U1139" s="35" t="n">
        <x:f>L1139-N1139-P1139-R1139-T1139</x:f>
        <x:v>137.368</x:v>
      </x:c>
      <x:c r="V1139" s="21" t="n">
        <x:f>IFERROR(U1139/L1139,0)</x:f>
        <x:v>0.7547692307692307</x:v>
      </x:c>
    </x:row>
    <x:row r="1140">
      <x:c r="A1140" s="19" t="str">
        <x:v>SALE-01136</x:v>
      </x:c>
      <x:c r="B1140" s="34" t="n">
        <x:v>46210.5</x:v>
      </x:c>
      <x:c r="C1140" s="19" t="str">
        <x:v>周二</x:v>
      </x:c>
      <x:c r="D1140" s="19" t="str">
        <x:v>S05</x:v>
      </x:c>
      <x:c r="E1140" s="19" t="str">
        <x:v>同顺街店</x:v>
      </x:c>
      <x:c r="F1140" s="19" t="str">
        <x:v>堂食</x:v>
      </x:c>
      <x:c r="G1140" s="19" t="str">
        <x:v>全日</x:v>
      </x:c>
      <x:c r="H1140" s="19" t="str">
        <x:v>D16</x:v>
      </x:c>
      <x:c r="I1140" s="19" t="str">
        <x:v>小豆角炒五花</x:v>
      </x:c>
      <x:c r="J1140" s="22" t="n">
        <x:f>XLOOKUP(H1140,'菜品主数据'!$A$5:$A$24,'菜品主数据'!$D$5:$D$24,0)</x:f>
        <x:v>25</x:v>
      </x:c>
      <x:c r="K1140" s="31" t="n">
        <x:v>7</x:v>
      </x:c>
      <x:c r="L1140" s="35" t="n">
        <x:f>J1140*K1140</x:f>
        <x:v>175</x:v>
      </x:c>
      <x:c r="M1140" s="36" t="n">
        <x:v>0</x:v>
      </x:c>
      <x:c r="N1140" s="35" t="n">
        <x:f>L1140*M1140</x:f>
        <x:v>0</x:v>
      </x:c>
      <x:c r="O1140" s="37" t="n">
        <x:v>0</x:v>
      </x:c>
      <x:c r="P1140" s="35" t="n">
        <x:f>L1140*O1140</x:f>
        <x:v>0</x:v>
      </x:c>
      <x:c r="Q1140" s="35" t="n">
        <x:v>0</x:v>
      </x:c>
      <x:c r="R1140" s="35" t="n">
        <x:f>K1140*Q1140</x:f>
        <x:v>0</x:v>
      </x:c>
      <x:c r="S1140" s="35" t="n">
        <x:f>XLOOKUP(H1140,'菜品主数据'!$A$5:$A$24,'菜品主数据'!$G$5:$G$24,0)</x:f>
        <x:v>8.184</x:v>
      </x:c>
      <x:c r="T1140" s="35" t="n">
        <x:f>K1140*S1140</x:f>
        <x:v>57.288</x:v>
      </x:c>
      <x:c r="U1140" s="35" t="n">
        <x:f>L1140-N1140-P1140-R1140-T1140</x:f>
        <x:v>117.712</x:v>
      </x:c>
      <x:c r="V1140" s="21" t="n">
        <x:f>IFERROR(U1140/L1140,0)</x:f>
        <x:v>0.67264</x:v>
      </x:c>
    </x:row>
    <x:row r="1141">
      <x:c r="A1141" s="19" t="str">
        <x:v>SALE-01137</x:v>
      </x:c>
      <x:c r="B1141" s="34" t="n">
        <x:v>46210.5</x:v>
      </x:c>
      <x:c r="C1141" s="19" t="str">
        <x:v>周二</x:v>
      </x:c>
      <x:c r="D1141" s="19" t="str">
        <x:v>S05</x:v>
      </x:c>
      <x:c r="E1141" s="19" t="str">
        <x:v>同顺街店</x:v>
      </x:c>
      <x:c r="F1141" s="19" t="str">
        <x:v>堂食</x:v>
      </x:c>
      <x:c r="G1141" s="19" t="str">
        <x:v>全日</x:v>
      </x:c>
      <x:c r="H1141" s="19" t="str">
        <x:v>D17</x:v>
      </x:c>
      <x:c r="I1141" s="19" t="str">
        <x:v>蒜蓉粉丝虾</x:v>
      </x:c>
      <x:c r="J1141" s="22" t="n">
        <x:f>XLOOKUP(H1141,'菜品主数据'!$A$5:$A$24,'菜品主数据'!$D$5:$D$24,0)</x:f>
        <x:v>36</x:v>
      </x:c>
      <x:c r="K1141" s="31" t="n">
        <x:v>5</x:v>
      </x:c>
      <x:c r="L1141" s="35" t="n">
        <x:f>J1141*K1141</x:f>
        <x:v>180</x:v>
      </x:c>
      <x:c r="M1141" s="36" t="n">
        <x:v>0</x:v>
      </x:c>
      <x:c r="N1141" s="35" t="n">
        <x:f>L1141*M1141</x:f>
        <x:v>0</x:v>
      </x:c>
      <x:c r="O1141" s="37" t="n">
        <x:v>0</x:v>
      </x:c>
      <x:c r="P1141" s="35" t="n">
        <x:f>L1141*O1141</x:f>
        <x:v>0</x:v>
      </x:c>
      <x:c r="Q1141" s="35" t="n">
        <x:v>0</x:v>
      </x:c>
      <x:c r="R1141" s="35" t="n">
        <x:f>K1141*Q1141</x:f>
        <x:v>0</x:v>
      </x:c>
      <x:c r="S1141" s="35" t="n">
        <x:f>XLOOKUP(H1141,'菜品主数据'!$A$5:$A$24,'菜品主数据'!$G$5:$G$24,0)</x:f>
        <x:v>13.594</x:v>
      </x:c>
      <x:c r="T1141" s="35" t="n">
        <x:f>K1141*S1141</x:f>
        <x:v>67.97</x:v>
      </x:c>
      <x:c r="U1141" s="35" t="n">
        <x:f>L1141-N1141-P1141-R1141-T1141</x:f>
        <x:v>112.03</x:v>
      </x:c>
      <x:c r="V1141" s="21" t="n">
        <x:f>IFERROR(U1141/L1141,0)</x:f>
        <x:v>0.6223888888888889</x:v>
      </x:c>
    </x:row>
    <x:row r="1142">
      <x:c r="A1142" s="19" t="str">
        <x:v>SALE-01138</x:v>
      </x:c>
      <x:c r="B1142" s="34" t="n">
        <x:v>46210.5</x:v>
      </x:c>
      <x:c r="C1142" s="19" t="str">
        <x:v>周二</x:v>
      </x:c>
      <x:c r="D1142" s="19" t="str">
        <x:v>S05</x:v>
      </x:c>
      <x:c r="E1142" s="19" t="str">
        <x:v>同顺街店</x:v>
      </x:c>
      <x:c r="F1142" s="19" t="str">
        <x:v>堂食</x:v>
      </x:c>
      <x:c r="G1142" s="19" t="str">
        <x:v>全日</x:v>
      </x:c>
      <x:c r="H1142" s="19" t="str">
        <x:v>D18</x:v>
      </x:c>
      <x:c r="I1142" s="19" t="str">
        <x:v>青椒炒油麦菜</x:v>
      </x:c>
      <x:c r="J1142" s="22" t="n">
        <x:f>XLOOKUP(H1142,'菜品主数据'!$A$5:$A$24,'菜品主数据'!$D$5:$D$24,0)</x:f>
        <x:v>18</x:v>
      </x:c>
      <x:c r="K1142" s="31" t="n">
        <x:v>8</x:v>
      </x:c>
      <x:c r="L1142" s="35" t="n">
        <x:f>J1142*K1142</x:f>
        <x:v>144</x:v>
      </x:c>
      <x:c r="M1142" s="36" t="n">
        <x:v>0</x:v>
      </x:c>
      <x:c r="N1142" s="35" t="n">
        <x:f>L1142*M1142</x:f>
        <x:v>0</x:v>
      </x:c>
      <x:c r="O1142" s="37" t="n">
        <x:v>0</x:v>
      </x:c>
      <x:c r="P1142" s="35" t="n">
        <x:f>L1142*O1142</x:f>
        <x:v>0</x:v>
      </x:c>
      <x:c r="Q1142" s="35" t="n">
        <x:v>0</x:v>
      </x:c>
      <x:c r="R1142" s="35" t="n">
        <x:f>K1142*Q1142</x:f>
        <x:v>0</x:v>
      </x:c>
      <x:c r="S1142" s="35" t="n">
        <x:f>XLOOKUP(H1142,'菜品主数据'!$A$5:$A$24,'菜品主数据'!$G$5:$G$24,0)</x:f>
        <x:v>3.1759999999999993</x:v>
      </x:c>
      <x:c r="T1142" s="35" t="n">
        <x:f>K1142*S1142</x:f>
        <x:v>25.407999999999994</x:v>
      </x:c>
      <x:c r="U1142" s="35" t="n">
        <x:f>L1142-N1142-P1142-R1142-T1142</x:f>
        <x:v>118.59200000000001</x:v>
      </x:c>
      <x:c r="V1142" s="21" t="n">
        <x:f>IFERROR(U1142/L1142,0)</x:f>
        <x:v>0.8235555555555556</x:v>
      </x:c>
    </x:row>
    <x:row r="1143">
      <x:c r="A1143" s="19" t="str">
        <x:v>SALE-01139</x:v>
      </x:c>
      <x:c r="B1143" s="34" t="n">
        <x:v>46210.5</x:v>
      </x:c>
      <x:c r="C1143" s="19" t="str">
        <x:v>周二</x:v>
      </x:c>
      <x:c r="D1143" s="19" t="str">
        <x:v>S05</x:v>
      </x:c>
      <x:c r="E1143" s="19" t="str">
        <x:v>同顺街店</x:v>
      </x:c>
      <x:c r="F1143" s="19" t="str">
        <x:v>堂食</x:v>
      </x:c>
      <x:c r="G1143" s="19" t="str">
        <x:v>全日</x:v>
      </x:c>
      <x:c r="H1143" s="19" t="str">
        <x:v>D19</x:v>
      </x:c>
      <x:c r="I1143" s="19" t="str">
        <x:v>酸萝卜炒鸡杂</x:v>
      </x:c>
      <x:c r="J1143" s="22" t="n">
        <x:f>XLOOKUP(H1143,'菜品主数据'!$A$5:$A$24,'菜品主数据'!$D$5:$D$24,0)</x:f>
        <x:v>25</x:v>
      </x:c>
      <x:c r="K1143" s="31" t="n">
        <x:v>6</x:v>
      </x:c>
      <x:c r="L1143" s="35" t="n">
        <x:f>J1143*K1143</x:f>
        <x:v>150</x:v>
      </x:c>
      <x:c r="M1143" s="36" t="n">
        <x:v>0</x:v>
      </x:c>
      <x:c r="N1143" s="35" t="n">
        <x:f>L1143*M1143</x:f>
        <x:v>0</x:v>
      </x:c>
      <x:c r="O1143" s="37" t="n">
        <x:v>0</x:v>
      </x:c>
      <x:c r="P1143" s="35" t="n">
        <x:f>L1143*O1143</x:f>
        <x:v>0</x:v>
      </x:c>
      <x:c r="Q1143" s="35" t="n">
        <x:v>0</x:v>
      </x:c>
      <x:c r="R1143" s="35" t="n">
        <x:f>K1143*Q1143</x:f>
        <x:v>0</x:v>
      </x:c>
      <x:c r="S1143" s="35" t="n">
        <x:f>XLOOKUP(H1143,'菜品主数据'!$A$5:$A$24,'菜品主数据'!$G$5:$G$24,0)</x:f>
        <x:v>7.9399999999999995</x:v>
      </x:c>
      <x:c r="T1143" s="35" t="n">
        <x:f>K1143*S1143</x:f>
        <x:v>47.64</x:v>
      </x:c>
      <x:c r="U1143" s="35" t="n">
        <x:f>L1143-N1143-P1143-R1143-T1143</x:f>
        <x:v>102.36</x:v>
      </x:c>
      <x:c r="V1143" s="21" t="n">
        <x:f>IFERROR(U1143/L1143,0)</x:f>
        <x:v>0.6824</x:v>
      </x:c>
    </x:row>
    <x:row r="1144">
      <x:c r="A1144" s="19" t="str">
        <x:v>SALE-01140</x:v>
      </x:c>
      <x:c r="B1144" s="34" t="n">
        <x:v>46210.5</x:v>
      </x:c>
      <x:c r="C1144" s="19" t="str">
        <x:v>周二</x:v>
      </x:c>
      <x:c r="D1144" s="19" t="str">
        <x:v>S05</x:v>
      </x:c>
      <x:c r="E1144" s="19" t="str">
        <x:v>同顺街店</x:v>
      </x:c>
      <x:c r="F1144" s="19" t="str">
        <x:v>堂食</x:v>
      </x:c>
      <x:c r="G1144" s="19" t="str">
        <x:v>全日</x:v>
      </x:c>
      <x:c r="H1144" s="19" t="str">
        <x:v>D20</x:v>
      </x:c>
      <x:c r="I1144" s="19" t="str">
        <x:v>雪菜肉末青豆</x:v>
      </x:c>
      <x:c r="J1144" s="22" t="n">
        <x:f>XLOOKUP(H1144,'菜品主数据'!$A$5:$A$24,'菜品主数据'!$D$5:$D$24,0)</x:f>
        <x:v>18</x:v>
      </x:c>
      <x:c r="K1144" s="31" t="n">
        <x:v>8</x:v>
      </x:c>
      <x:c r="L1144" s="35" t="n">
        <x:f>J1144*K1144</x:f>
        <x:v>144</x:v>
      </x:c>
      <x:c r="M1144" s="36" t="n">
        <x:v>0</x:v>
      </x:c>
      <x:c r="N1144" s="35" t="n">
        <x:f>L1144*M1144</x:f>
        <x:v>0</x:v>
      </x:c>
      <x:c r="O1144" s="37" t="n">
        <x:v>0</x:v>
      </x:c>
      <x:c r="P1144" s="35" t="n">
        <x:f>L1144*O1144</x:f>
        <x:v>0</x:v>
      </x:c>
      <x:c r="Q1144" s="35" t="n">
        <x:v>0</x:v>
      </x:c>
      <x:c r="R1144" s="35" t="n">
        <x:f>K1144*Q1144</x:f>
        <x:v>0</x:v>
      </x:c>
      <x:c r="S1144" s="35" t="n">
        <x:f>XLOOKUP(H1144,'菜品主数据'!$A$5:$A$24,'菜品主数据'!$G$5:$G$24,0)</x:f>
        <x:v>7.303999999999999</x:v>
      </x:c>
      <x:c r="T1144" s="35" t="n">
        <x:f>K1144*S1144</x:f>
        <x:v>58.431999999999995</x:v>
      </x:c>
      <x:c r="U1144" s="35" t="n">
        <x:f>L1144-N1144-P1144-R1144-T1144</x:f>
        <x:v>85.56800000000001</x:v>
      </x:c>
      <x:c r="V1144" s="21" t="n">
        <x:f>IFERROR(U1144/L1144,0)</x:f>
        <x:v>0.5942222222222223</x:v>
      </x:c>
    </x:row>
    <x:row r="1145">
      <x:c r="A1145" s="19" t="str">
        <x:v>SALE-01141</x:v>
      </x:c>
      <x:c r="B1145" s="34" t="n">
        <x:v>46210.5</x:v>
      </x:c>
      <x:c r="C1145" s="19" t="str">
        <x:v>周二</x:v>
      </x:c>
      <x:c r="D1145" s="19" t="str">
        <x:v>S05</x:v>
      </x:c>
      <x:c r="E1145" s="19" t="str">
        <x:v>同顺街店</x:v>
      </x:c>
      <x:c r="F1145" s="19" t="str">
        <x:v>外卖</x:v>
      </x:c>
      <x:c r="G1145" s="19" t="str">
        <x:v>全日</x:v>
      </x:c>
      <x:c r="H1145" s="19" t="str">
        <x:v>D01</x:v>
      </x:c>
      <x:c r="I1145" s="19" t="str">
        <x:v>辣椒炒肉</x:v>
      </x:c>
      <x:c r="J1145" s="22" t="n">
        <x:f>XLOOKUP(H1145,'菜品主数据'!$A$5:$A$24,'菜品主数据'!$D$5:$D$24,0)</x:f>
        <x:v>29</x:v>
      </x:c>
      <x:c r="K1145" s="31" t="n">
        <x:v>5</x:v>
      </x:c>
      <x:c r="L1145" s="35" t="n">
        <x:f>J1145*K1145</x:f>
        <x:v>145</x:v>
      </x:c>
      <x:c r="M1145" s="36" t="n">
        <x:v>0.08</x:v>
      </x:c>
      <x:c r="N1145" s="35" t="n">
        <x:f>L1145*M1145</x:f>
        <x:v>11.6</x:v>
      </x:c>
      <x:c r="O1145" s="37" t="n">
        <x:v>0.18</x:v>
      </x:c>
      <x:c r="P1145" s="35" t="n">
        <x:f>L1145*O1145</x:f>
        <x:v>26.099999999999998</x:v>
      </x:c>
      <x:c r="Q1145" s="35" t="n">
        <x:v>1.2</x:v>
      </x:c>
      <x:c r="R1145" s="35" t="n">
        <x:f>K1145*Q1145</x:f>
        <x:v>6</x:v>
      </x:c>
      <x:c r="S1145" s="35" t="n">
        <x:f>XLOOKUP(H1145,'菜品主数据'!$A$5:$A$24,'菜品主数据'!$G$5:$G$24,0)</x:f>
        <x:v>8.634400000000001</x:v>
      </x:c>
      <x:c r="T1145" s="35" t="n">
        <x:f>K1145*S1145</x:f>
        <x:v>43.172000000000004</x:v>
      </x:c>
      <x:c r="U1145" s="35" t="n">
        <x:f>L1145-N1145-P1145-R1145-T1145</x:f>
        <x:v>58.12800000000001</x:v>
      </x:c>
      <x:c r="V1145" s="21" t="n">
        <x:f>IFERROR(U1145/L1145,0)</x:f>
        <x:v>0.4008827586206897</x:v>
      </x:c>
    </x:row>
    <x:row r="1146">
      <x:c r="A1146" s="19" t="str">
        <x:v>SALE-01142</x:v>
      </x:c>
      <x:c r="B1146" s="34" t="n">
        <x:v>46210.5</x:v>
      </x:c>
      <x:c r="C1146" s="19" t="str">
        <x:v>周二</x:v>
      </x:c>
      <x:c r="D1146" s="19" t="str">
        <x:v>S05</x:v>
      </x:c>
      <x:c r="E1146" s="19" t="str">
        <x:v>同顺街店</x:v>
      </x:c>
      <x:c r="F1146" s="19" t="str">
        <x:v>外卖</x:v>
      </x:c>
      <x:c r="G1146" s="19" t="str">
        <x:v>全日</x:v>
      </x:c>
      <x:c r="H1146" s="19" t="str">
        <x:v>D02</x:v>
      </x:c>
      <x:c r="I1146" s="19" t="str">
        <x:v>小炒黄牛肉</x:v>
      </x:c>
      <x:c r="J1146" s="22" t="n">
        <x:f>XLOOKUP(H1146,'菜品主数据'!$A$5:$A$24,'菜品主数据'!$D$5:$D$24,0)</x:f>
        <x:v>49</x:v>
      </x:c>
      <x:c r="K1146" s="31" t="n">
        <x:v>9</x:v>
      </x:c>
      <x:c r="L1146" s="35" t="n">
        <x:f>J1146*K1146</x:f>
        <x:v>441</x:v>
      </x:c>
      <x:c r="M1146" s="36" t="n">
        <x:v>0.08</x:v>
      </x:c>
      <x:c r="N1146" s="35" t="n">
        <x:f>L1146*M1146</x:f>
        <x:v>35.28</x:v>
      </x:c>
      <x:c r="O1146" s="37" t="n">
        <x:v>0.18</x:v>
      </x:c>
      <x:c r="P1146" s="35" t="n">
        <x:f>L1146*O1146</x:f>
        <x:v>79.38</x:v>
      </x:c>
      <x:c r="Q1146" s="35" t="n">
        <x:v>1.2</x:v>
      </x:c>
      <x:c r="R1146" s="35" t="n">
        <x:f>K1146*Q1146</x:f>
        <x:v>10.799999999999999</x:v>
      </x:c>
      <x:c r="S1146" s="35" t="n">
        <x:f>XLOOKUP(H1146,'菜品主数据'!$A$5:$A$24,'菜品主数据'!$G$5:$G$24,0)</x:f>
        <x:v>17.577</x:v>
      </x:c>
      <x:c r="T1146" s="35" t="n">
        <x:f>K1146*S1146</x:f>
        <x:v>158.193</x:v>
      </x:c>
      <x:c r="U1146" s="35" t="n">
        <x:f>L1146-N1146-P1146-R1146-T1146</x:f>
        <x:v>157.347</x:v>
      </x:c>
      <x:c r="V1146" s="21" t="n">
        <x:f>IFERROR(U1146/L1146,0)</x:f>
        <x:v>0.356795918367347</x:v>
      </x:c>
    </x:row>
    <x:row r="1147">
      <x:c r="A1147" s="19" t="str">
        <x:v>SALE-01143</x:v>
      </x:c>
      <x:c r="B1147" s="34" t="n">
        <x:v>46210.5</x:v>
      </x:c>
      <x:c r="C1147" s="19" t="str">
        <x:v>周二</x:v>
      </x:c>
      <x:c r="D1147" s="19" t="str">
        <x:v>S05</x:v>
      </x:c>
      <x:c r="E1147" s="19" t="str">
        <x:v>同顺街店</x:v>
      </x:c>
      <x:c r="F1147" s="19" t="str">
        <x:v>外卖</x:v>
      </x:c>
      <x:c r="G1147" s="19" t="str">
        <x:v>全日</x:v>
      </x:c>
      <x:c r="H1147" s="19" t="str">
        <x:v>D03</x:v>
      </x:c>
      <x:c r="I1147" s="19" t="str">
        <x:v>香醋炒蛋</x:v>
      </x:c>
      <x:c r="J1147" s="22" t="n">
        <x:f>XLOOKUP(H1147,'菜品主数据'!$A$5:$A$24,'菜品主数据'!$D$5:$D$24,0)</x:f>
        <x:v>14.9</x:v>
      </x:c>
      <x:c r="K1147" s="31" t="n">
        <x:v>3</x:v>
      </x:c>
      <x:c r="L1147" s="35" t="n">
        <x:f>J1147*K1147</x:f>
        <x:v>44.7</x:v>
      </x:c>
      <x:c r="M1147" s="36" t="n">
        <x:v>0.08</x:v>
      </x:c>
      <x:c r="N1147" s="35" t="n">
        <x:f>L1147*M1147</x:f>
        <x:v>3.5760000000000005</x:v>
      </x:c>
      <x:c r="O1147" s="37" t="n">
        <x:v>0.18</x:v>
      </x:c>
      <x:c r="P1147" s="35" t="n">
        <x:f>L1147*O1147</x:f>
        <x:v>8.046</x:v>
      </x:c>
      <x:c r="Q1147" s="35" t="n">
        <x:v>1.2</x:v>
      </x:c>
      <x:c r="R1147" s="35" t="n">
        <x:f>K1147*Q1147</x:f>
        <x:v>3.5999999999999996</x:v>
      </x:c>
      <x:c r="S1147" s="35" t="n">
        <x:f>XLOOKUP(H1147,'菜品主数据'!$A$5:$A$24,'菜品主数据'!$G$5:$G$24,0)</x:f>
        <x:v>3.7459999999999996</x:v>
      </x:c>
      <x:c r="T1147" s="35" t="n">
        <x:f>K1147*S1147</x:f>
        <x:v>11.238</x:v>
      </x:c>
      <x:c r="U1147" s="35" t="n">
        <x:f>L1147-N1147-P1147-R1147-T1147</x:f>
        <x:v>18.240000000000002</x:v>
      </x:c>
      <x:c r="V1147" s="21" t="n">
        <x:f>IFERROR(U1147/L1147,0)</x:f>
        <x:v>0.40805369127516783</x:v>
      </x:c>
    </x:row>
    <x:row r="1148">
      <x:c r="A1148" s="19" t="str">
        <x:v>SALE-01144</x:v>
      </x:c>
      <x:c r="B1148" s="34" t="n">
        <x:v>46210.5</x:v>
      </x:c>
      <x:c r="C1148" s="19" t="str">
        <x:v>周二</x:v>
      </x:c>
      <x:c r="D1148" s="19" t="str">
        <x:v>S05</x:v>
      </x:c>
      <x:c r="E1148" s="19" t="str">
        <x:v>同顺街店</x:v>
      </x:c>
      <x:c r="F1148" s="19" t="str">
        <x:v>外卖</x:v>
      </x:c>
      <x:c r="G1148" s="19" t="str">
        <x:v>全日</x:v>
      </x:c>
      <x:c r="H1148" s="19" t="str">
        <x:v>D04</x:v>
      </x:c>
      <x:c r="I1148" s="19" t="str">
        <x:v>酸包菜炒粉皮</x:v>
      </x:c>
      <x:c r="J1148" s="22" t="n">
        <x:f>XLOOKUP(H1148,'菜品主数据'!$A$5:$A$24,'菜品主数据'!$D$5:$D$24,0)</x:f>
        <x:v>16</x:v>
      </x:c>
      <x:c r="K1148" s="31" t="n">
        <x:v>3</x:v>
      </x:c>
      <x:c r="L1148" s="35" t="n">
        <x:f>J1148*K1148</x:f>
        <x:v>48</x:v>
      </x:c>
      <x:c r="M1148" s="36" t="n">
        <x:v>0.08</x:v>
      </x:c>
      <x:c r="N1148" s="35" t="n">
        <x:f>L1148*M1148</x:f>
        <x:v>3.84</x:v>
      </x:c>
      <x:c r="O1148" s="37" t="n">
        <x:v>0.18</x:v>
      </x:c>
      <x:c r="P1148" s="35" t="n">
        <x:f>L1148*O1148</x:f>
        <x:v>8.64</x:v>
      </x:c>
      <x:c r="Q1148" s="35" t="n">
        <x:v>1.2</x:v>
      </x:c>
      <x:c r="R1148" s="35" t="n">
        <x:f>K1148*Q1148</x:f>
        <x:v>3.5999999999999996</x:v>
      </x:c>
      <x:c r="S1148" s="35" t="n">
        <x:f>XLOOKUP(H1148,'菜品主数据'!$A$5:$A$24,'菜品主数据'!$G$5:$G$24,0)</x:f>
        <x:v>3.978</x:v>
      </x:c>
      <x:c r="T1148" s="35" t="n">
        <x:f>K1148*S1148</x:f>
        <x:v>11.934000000000001</x:v>
      </x:c>
      <x:c r="U1148" s="35" t="n">
        <x:f>L1148-N1148-P1148-R1148-T1148</x:f>
        <x:v>19.985999999999994</x:v>
      </x:c>
      <x:c r="V1148" s="21" t="n">
        <x:f>IFERROR(U1148/L1148,0)</x:f>
        <x:v>0.4163749999999999</x:v>
      </x:c>
    </x:row>
    <x:row r="1149">
      <x:c r="A1149" s="19" t="str">
        <x:v>SALE-01145</x:v>
      </x:c>
      <x:c r="B1149" s="34" t="n">
        <x:v>46210.5</x:v>
      </x:c>
      <x:c r="C1149" s="19" t="str">
        <x:v>周二</x:v>
      </x:c>
      <x:c r="D1149" s="19" t="str">
        <x:v>S05</x:v>
      </x:c>
      <x:c r="E1149" s="19" t="str">
        <x:v>同顺街店</x:v>
      </x:c>
      <x:c r="F1149" s="19" t="str">
        <x:v>外卖</x:v>
      </x:c>
      <x:c r="G1149" s="19" t="str">
        <x:v>全日</x:v>
      </x:c>
      <x:c r="H1149" s="19" t="str">
        <x:v>D05</x:v>
      </x:c>
      <x:c r="I1149" s="19" t="str">
        <x:v>麻婆豆腐</x:v>
      </x:c>
      <x:c r="J1149" s="22" t="n">
        <x:f>XLOOKUP(H1149,'菜品主数据'!$A$5:$A$24,'菜品主数据'!$D$5:$D$24,0)</x:f>
        <x:v>9.9</x:v>
      </x:c>
      <x:c r="K1149" s="31" t="n">
        <x:v>5</x:v>
      </x:c>
      <x:c r="L1149" s="35" t="n">
        <x:f>J1149*K1149</x:f>
        <x:v>49.5</x:v>
      </x:c>
      <x:c r="M1149" s="36" t="n">
        <x:v>0.08</x:v>
      </x:c>
      <x:c r="N1149" s="35" t="n">
        <x:f>L1149*M1149</x:f>
        <x:v>3.96</x:v>
      </x:c>
      <x:c r="O1149" s="37" t="n">
        <x:v>0.18</x:v>
      </x:c>
      <x:c r="P1149" s="35" t="n">
        <x:f>L1149*O1149</x:f>
        <x:v>8.91</x:v>
      </x:c>
      <x:c r="Q1149" s="35" t="n">
        <x:v>1.2</x:v>
      </x:c>
      <x:c r="R1149" s="35" t="n">
        <x:f>K1149*Q1149</x:f>
        <x:v>6</x:v>
      </x:c>
      <x:c r="S1149" s="35" t="n">
        <x:f>XLOOKUP(H1149,'菜品主数据'!$A$5:$A$24,'菜品主数据'!$G$5:$G$24,0)</x:f>
        <x:v>5.367000000000001</x:v>
      </x:c>
      <x:c r="T1149" s="35" t="n">
        <x:f>K1149*S1149</x:f>
        <x:v>26.835000000000004</x:v>
      </x:c>
      <x:c r="U1149" s="35" t="n">
        <x:f>L1149-N1149-P1149-R1149-T1149</x:f>
        <x:v>3.794999999999991</x:v>
      </x:c>
      <x:c r="V1149" s="21" t="n">
        <x:f>IFERROR(U1149/L1149,0)</x:f>
        <x:v>0.07666666666666648</x:v>
      </x:c>
    </x:row>
    <x:row r="1150">
      <x:c r="A1150" s="19" t="str">
        <x:v>SALE-01146</x:v>
      </x:c>
      <x:c r="B1150" s="34" t="n">
        <x:v>46210.5</x:v>
      </x:c>
      <x:c r="C1150" s="19" t="str">
        <x:v>周二</x:v>
      </x:c>
      <x:c r="D1150" s="19" t="str">
        <x:v>S05</x:v>
      </x:c>
      <x:c r="E1150" s="19" t="str">
        <x:v>同顺街店</x:v>
      </x:c>
      <x:c r="F1150" s="19" t="str">
        <x:v>外卖</x:v>
      </x:c>
      <x:c r="G1150" s="19" t="str">
        <x:v>全日</x:v>
      </x:c>
      <x:c r="H1150" s="19" t="str">
        <x:v>D06</x:v>
      </x:c>
      <x:c r="I1150" s="19" t="str">
        <x:v>剁椒鱼头</x:v>
      </x:c>
      <x:c r="J1150" s="22" t="n">
        <x:f>XLOOKUP(H1150,'菜品主数据'!$A$5:$A$24,'菜品主数据'!$D$5:$D$24,0)</x:f>
        <x:v>39</x:v>
      </x:c>
      <x:c r="K1150" s="31" t="n">
        <x:v>1</x:v>
      </x:c>
      <x:c r="L1150" s="35" t="n">
        <x:f>J1150*K1150</x:f>
        <x:v>39</x:v>
      </x:c>
      <x:c r="M1150" s="36" t="n">
        <x:v>0.08</x:v>
      </x:c>
      <x:c r="N1150" s="35" t="n">
        <x:f>L1150*M1150</x:f>
        <x:v>3.12</x:v>
      </x:c>
      <x:c r="O1150" s="37" t="n">
        <x:v>0.18</x:v>
      </x:c>
      <x:c r="P1150" s="35" t="n">
        <x:f>L1150*O1150</x:f>
        <x:v>7.02</x:v>
      </x:c>
      <x:c r="Q1150" s="35" t="n">
        <x:v>1.2</x:v>
      </x:c>
      <x:c r="R1150" s="35" t="n">
        <x:f>K1150*Q1150</x:f>
        <x:v>1.2</x:v>
      </x:c>
      <x:c r="S1150" s="35" t="n">
        <x:f>XLOOKUP(H1150,'菜品主数据'!$A$5:$A$24,'菜品主数据'!$G$5:$G$24,0)</x:f>
        <x:v>17.446</x:v>
      </x:c>
      <x:c r="T1150" s="35" t="n">
        <x:f>K1150*S1150</x:f>
        <x:v>17.446</x:v>
      </x:c>
      <x:c r="U1150" s="35" t="n">
        <x:f>L1150-N1150-P1150-R1150-T1150</x:f>
        <x:v>10.214000000000002</x:v>
      </x:c>
      <x:c r="V1150" s="21" t="n">
        <x:f>IFERROR(U1150/L1150,0)</x:f>
        <x:v>0.26189743589743597</x:v>
      </x:c>
    </x:row>
    <x:row r="1151">
      <x:c r="A1151" s="19" t="str">
        <x:v>SALE-01147</x:v>
      </x:c>
      <x:c r="B1151" s="34" t="n">
        <x:v>46210.5</x:v>
      </x:c>
      <x:c r="C1151" s="19" t="str">
        <x:v>周二</x:v>
      </x:c>
      <x:c r="D1151" s="19" t="str">
        <x:v>S05</x:v>
      </x:c>
      <x:c r="E1151" s="19" t="str">
        <x:v>同顺街店</x:v>
      </x:c>
      <x:c r="F1151" s="19" t="str">
        <x:v>外卖</x:v>
      </x:c>
      <x:c r="G1151" s="19" t="str">
        <x:v>全日</x:v>
      </x:c>
      <x:c r="H1151" s="19" t="str">
        <x:v>D07</x:v>
      </x:c>
      <x:c r="I1151" s="19" t="str">
        <x:v>川味回锅肉</x:v>
      </x:c>
      <x:c r="J1151" s="22" t="n">
        <x:f>XLOOKUP(H1151,'菜品主数据'!$A$5:$A$24,'菜品主数据'!$D$5:$D$24,0)</x:f>
        <x:v>29</x:v>
      </x:c>
      <x:c r="K1151" s="31" t="n">
        <x:v>1</x:v>
      </x:c>
      <x:c r="L1151" s="35" t="n">
        <x:f>J1151*K1151</x:f>
        <x:v>29</x:v>
      </x:c>
      <x:c r="M1151" s="36" t="n">
        <x:v>0.08</x:v>
      </x:c>
      <x:c r="N1151" s="35" t="n">
        <x:f>L1151*M1151</x:f>
        <x:v>2.32</x:v>
      </x:c>
      <x:c r="O1151" s="37" t="n">
        <x:v>0.18</x:v>
      </x:c>
      <x:c r="P1151" s="35" t="n">
        <x:f>L1151*O1151</x:f>
        <x:v>5.22</x:v>
      </x:c>
      <x:c r="Q1151" s="35" t="n">
        <x:v>1.2</x:v>
      </x:c>
      <x:c r="R1151" s="35" t="n">
        <x:f>K1151*Q1151</x:f>
        <x:v>1.2</x:v>
      </x:c>
      <x:c r="S1151" s="35" t="n">
        <x:f>XLOOKUP(H1151,'菜品主数据'!$A$5:$A$24,'菜品主数据'!$G$5:$G$24,0)</x:f>
        <x:v>10.231000000000002</x:v>
      </x:c>
      <x:c r="T1151" s="35" t="n">
        <x:f>K1151*S1151</x:f>
        <x:v>10.231000000000002</x:v>
      </x:c>
      <x:c r="U1151" s="35" t="n">
        <x:f>L1151-N1151-P1151-R1151-T1151</x:f>
        <x:v>10.029</x:v>
      </x:c>
      <x:c r="V1151" s="21" t="n">
        <x:f>IFERROR(U1151/L1151,0)</x:f>
        <x:v>0.3458275862068966</x:v>
      </x:c>
    </x:row>
    <x:row r="1152">
      <x:c r="A1152" s="19" t="str">
        <x:v>SALE-01148</x:v>
      </x:c>
      <x:c r="B1152" s="34" t="n">
        <x:v>46210.5</x:v>
      </x:c>
      <x:c r="C1152" s="19" t="str">
        <x:v>周二</x:v>
      </x:c>
      <x:c r="D1152" s="19" t="str">
        <x:v>S05</x:v>
      </x:c>
      <x:c r="E1152" s="19" t="str">
        <x:v>同顺街店</x:v>
      </x:c>
      <x:c r="F1152" s="19" t="str">
        <x:v>外卖</x:v>
      </x:c>
      <x:c r="G1152" s="19" t="str">
        <x:v>全日</x:v>
      </x:c>
      <x:c r="H1152" s="19" t="str">
        <x:v>D08</x:v>
      </x:c>
      <x:c r="I1152" s="19" t="str">
        <x:v>生炒清远鸡</x:v>
      </x:c>
      <x:c r="J1152" s="22" t="n">
        <x:f>XLOOKUP(H1152,'菜品主数据'!$A$5:$A$24,'菜品主数据'!$D$5:$D$24,0)</x:f>
        <x:v>36</x:v>
      </x:c>
      <x:c r="K1152" s="31" t="n">
        <x:v>1</x:v>
      </x:c>
      <x:c r="L1152" s="35" t="n">
        <x:f>J1152*K1152</x:f>
        <x:v>36</x:v>
      </x:c>
      <x:c r="M1152" s="36" t="n">
        <x:v>0.08</x:v>
      </x:c>
      <x:c r="N1152" s="35" t="n">
        <x:f>L1152*M1152</x:f>
        <x:v>2.88</x:v>
      </x:c>
      <x:c r="O1152" s="37" t="n">
        <x:v>0.18</x:v>
      </x:c>
      <x:c r="P1152" s="35" t="n">
        <x:f>L1152*O1152</x:f>
        <x:v>6.4799999999999995</x:v>
      </x:c>
      <x:c r="Q1152" s="35" t="n">
        <x:v>1.2</x:v>
      </x:c>
      <x:c r="R1152" s="35" t="n">
        <x:f>K1152*Q1152</x:f>
        <x:v>1.2</x:v>
      </x:c>
      <x:c r="S1152" s="35" t="n">
        <x:f>XLOOKUP(H1152,'菜品主数据'!$A$5:$A$24,'菜品主数据'!$G$5:$G$24,0)</x:f>
        <x:v>13.48</x:v>
      </x:c>
      <x:c r="T1152" s="35" t="n">
        <x:f>K1152*S1152</x:f>
        <x:v>13.48</x:v>
      </x:c>
      <x:c r="U1152" s="35" t="n">
        <x:f>L1152-N1152-P1152-R1152-T1152</x:f>
        <x:v>11.959999999999997</x:v>
      </x:c>
      <x:c r="V1152" s="21" t="n">
        <x:f>IFERROR(U1152/L1152,0)</x:f>
        <x:v>0.33222222222222214</x:v>
      </x:c>
    </x:row>
    <x:row r="1153">
      <x:c r="A1153" s="19" t="str">
        <x:v>SALE-01149</x:v>
      </x:c>
      <x:c r="B1153" s="34" t="n">
        <x:v>46210.5</x:v>
      </x:c>
      <x:c r="C1153" s="19" t="str">
        <x:v>周二</x:v>
      </x:c>
      <x:c r="D1153" s="19" t="str">
        <x:v>S05</x:v>
      </x:c>
      <x:c r="E1153" s="19" t="str">
        <x:v>同顺街店</x:v>
      </x:c>
      <x:c r="F1153" s="19" t="str">
        <x:v>外卖</x:v>
      </x:c>
      <x:c r="G1153" s="19" t="str">
        <x:v>全日</x:v>
      </x:c>
      <x:c r="H1153" s="19" t="str">
        <x:v>D09</x:v>
      </x:c>
      <x:c r="I1153" s="19" t="str">
        <x:v>炒豆干</x:v>
      </x:c>
      <x:c r="J1153" s="22" t="n">
        <x:f>XLOOKUP(H1153,'菜品主数据'!$A$5:$A$24,'菜品主数据'!$D$5:$D$24,0)</x:f>
        <x:v>18</x:v>
      </x:c>
      <x:c r="K1153" s="31" t="n">
        <x:v>1</x:v>
      </x:c>
      <x:c r="L1153" s="35" t="n">
        <x:f>J1153*K1153</x:f>
        <x:v>18</x:v>
      </x:c>
      <x:c r="M1153" s="36" t="n">
        <x:v>0.08</x:v>
      </x:c>
      <x:c r="N1153" s="35" t="n">
        <x:f>L1153*M1153</x:f>
        <x:v>1.44</x:v>
      </x:c>
      <x:c r="O1153" s="37" t="n">
        <x:v>0.18</x:v>
      </x:c>
      <x:c r="P1153" s="35" t="n">
        <x:f>L1153*O1153</x:f>
        <x:v>3.2399999999999998</x:v>
      </x:c>
      <x:c r="Q1153" s="35" t="n">
        <x:v>1.2</x:v>
      </x:c>
      <x:c r="R1153" s="35" t="n">
        <x:f>K1153*Q1153</x:f>
        <x:v>1.2</x:v>
      </x:c>
      <x:c r="S1153" s="35" t="n">
        <x:f>XLOOKUP(H1153,'菜品主数据'!$A$5:$A$24,'菜品主数据'!$G$5:$G$24,0)</x:f>
        <x:v>6.613999999999999</x:v>
      </x:c>
      <x:c r="T1153" s="35" t="n">
        <x:f>K1153*S1153</x:f>
        <x:v>6.613999999999999</x:v>
      </x:c>
      <x:c r="U1153" s="35" t="n">
        <x:f>L1153-N1153-P1153-R1153-T1153</x:f>
        <x:v>5.506</x:v>
      </x:c>
      <x:c r="V1153" s="21" t="n">
        <x:f>IFERROR(U1153/L1153,0)</x:f>
        <x:v>0.3058888888888889</x:v>
      </x:c>
    </x:row>
    <x:row r="1154">
      <x:c r="A1154" s="19" t="str">
        <x:v>SALE-01150</x:v>
      </x:c>
      <x:c r="B1154" s="34" t="n">
        <x:v>46210.5</x:v>
      </x:c>
      <x:c r="C1154" s="19" t="str">
        <x:v>周二</x:v>
      </x:c>
      <x:c r="D1154" s="19" t="str">
        <x:v>S05</x:v>
      </x:c>
      <x:c r="E1154" s="19" t="str">
        <x:v>同顺街店</x:v>
      </x:c>
      <x:c r="F1154" s="19" t="str">
        <x:v>外卖</x:v>
      </x:c>
      <x:c r="G1154" s="19" t="str">
        <x:v>全日</x:v>
      </x:c>
      <x:c r="H1154" s="19" t="str">
        <x:v>D10</x:v>
      </x:c>
      <x:c r="I1154" s="19" t="str">
        <x:v>农家一碗香</x:v>
      </x:c>
      <x:c r="J1154" s="22" t="n">
        <x:f>XLOOKUP(H1154,'菜品主数据'!$A$5:$A$24,'菜品主数据'!$D$5:$D$24,0)</x:f>
        <x:v>22.9</x:v>
      </x:c>
      <x:c r="K1154" s="31" t="n">
        <x:v>1</x:v>
      </x:c>
      <x:c r="L1154" s="35" t="n">
        <x:f>J1154*K1154</x:f>
        <x:v>22.9</x:v>
      </x:c>
      <x:c r="M1154" s="36" t="n">
        <x:v>0.08</x:v>
      </x:c>
      <x:c r="N1154" s="35" t="n">
        <x:f>L1154*M1154</x:f>
        <x:v>1.8319999999999999</x:v>
      </x:c>
      <x:c r="O1154" s="37" t="n">
        <x:v>0.18</x:v>
      </x:c>
      <x:c r="P1154" s="35" t="n">
        <x:f>L1154*O1154</x:f>
        <x:v>4.122</x:v>
      </x:c>
      <x:c r="Q1154" s="35" t="n">
        <x:v>1.2</x:v>
      </x:c>
      <x:c r="R1154" s="35" t="n">
        <x:f>K1154*Q1154</x:f>
        <x:v>1.2</x:v>
      </x:c>
      <x:c r="S1154" s="35" t="n">
        <x:f>XLOOKUP(H1154,'菜品主数据'!$A$5:$A$24,'菜品主数据'!$G$5:$G$24,0)</x:f>
        <x:v>9.770200000000003</x:v>
      </x:c>
      <x:c r="T1154" s="35" t="n">
        <x:f>K1154*S1154</x:f>
        <x:v>9.770200000000003</x:v>
      </x:c>
      <x:c r="U1154" s="35" t="n">
        <x:f>L1154-N1154-P1154-R1154-T1154</x:f>
        <x:v>5.975799999999996</x:v>
      </x:c>
      <x:c r="V1154" s="21" t="n">
        <x:f>IFERROR(U1154/L1154,0)</x:f>
        <x:v>0.260951965065502</x:v>
      </x:c>
    </x:row>
    <x:row r="1155">
      <x:c r="A1155" s="19" t="str">
        <x:v>SALE-01151</x:v>
      </x:c>
      <x:c r="B1155" s="34" t="n">
        <x:v>46210.5</x:v>
      </x:c>
      <x:c r="C1155" s="19" t="str">
        <x:v>周二</x:v>
      </x:c>
      <x:c r="D1155" s="19" t="str">
        <x:v>S05</x:v>
      </x:c>
      <x:c r="E1155" s="19" t="str">
        <x:v>同顺街店</x:v>
      </x:c>
      <x:c r="F1155" s="19" t="str">
        <x:v>外卖</x:v>
      </x:c>
      <x:c r="G1155" s="19" t="str">
        <x:v>全日</x:v>
      </x:c>
      <x:c r="H1155" s="19" t="str">
        <x:v>D11</x:v>
      </x:c>
      <x:c r="I1155" s="19" t="str">
        <x:v>香辣爆肥肠</x:v>
      </x:c>
      <x:c r="J1155" s="22" t="n">
        <x:f>XLOOKUP(H1155,'菜品主数据'!$A$5:$A$24,'菜品主数据'!$D$5:$D$24,0)</x:f>
        <x:v>39</x:v>
      </x:c>
      <x:c r="K1155" s="31" t="n">
        <x:v>0</x:v>
      </x:c>
      <x:c r="L1155" s="35" t="n">
        <x:f>J1155*K1155</x:f>
        <x:v>0</x:v>
      </x:c>
      <x:c r="M1155" s="36" t="n">
        <x:v>0.08</x:v>
      </x:c>
      <x:c r="N1155" s="35" t="n">
        <x:f>L1155*M1155</x:f>
        <x:v>0</x:v>
      </x:c>
      <x:c r="O1155" s="37" t="n">
        <x:v>0.18</x:v>
      </x:c>
      <x:c r="P1155" s="35" t="n">
        <x:f>L1155*O1155</x:f>
        <x:v>0</x:v>
      </x:c>
      <x:c r="Q1155" s="35" t="n">
        <x:v>1.2</x:v>
      </x:c>
      <x:c r="R1155" s="35" t="n">
        <x:f>K1155*Q1155</x:f>
        <x:v>0</x:v>
      </x:c>
      <x:c r="S1155" s="35" t="n">
        <x:f>XLOOKUP(H1155,'菜品主数据'!$A$5:$A$24,'菜品主数据'!$G$5:$G$24,0)</x:f>
        <x:v>10.397</x:v>
      </x:c>
      <x:c r="T1155" s="35" t="n">
        <x:f>K1155*S1155</x:f>
        <x:v>0</x:v>
      </x:c>
      <x:c r="U1155" s="35" t="n">
        <x:f>L1155-N1155-P1155-R1155-T1155</x:f>
        <x:v>0</x:v>
      </x:c>
      <x:c r="V1155" s="21" t="n">
        <x:f>IFERROR(U1155/L1155,0)</x:f>
        <x:v>0</x:v>
      </x:c>
    </x:row>
    <x:row r="1156">
      <x:c r="A1156" s="19" t="str">
        <x:v>SALE-01152</x:v>
      </x:c>
      <x:c r="B1156" s="34" t="n">
        <x:v>46210.5</x:v>
      </x:c>
      <x:c r="C1156" s="19" t="str">
        <x:v>周二</x:v>
      </x:c>
      <x:c r="D1156" s="19" t="str">
        <x:v>S05</x:v>
      </x:c>
      <x:c r="E1156" s="19" t="str">
        <x:v>同顺街店</x:v>
      </x:c>
      <x:c r="F1156" s="19" t="str">
        <x:v>外卖</x:v>
      </x:c>
      <x:c r="G1156" s="19" t="str">
        <x:v>全日</x:v>
      </x:c>
      <x:c r="H1156" s="19" t="str">
        <x:v>D12</x:v>
      </x:c>
      <x:c r="I1156" s="19" t="str">
        <x:v>清蒸鲈鱼</x:v>
      </x:c>
      <x:c r="J1156" s="22" t="n">
        <x:f>XLOOKUP(H1156,'菜品主数据'!$A$5:$A$24,'菜品主数据'!$D$5:$D$24,0)</x:f>
        <x:v>39</x:v>
      </x:c>
      <x:c r="K1156" s="31" t="n">
        <x:v>0</x:v>
      </x:c>
      <x:c r="L1156" s="35" t="n">
        <x:f>J1156*K1156</x:f>
        <x:v>0</x:v>
      </x:c>
      <x:c r="M1156" s="36" t="n">
        <x:v>0.08</x:v>
      </x:c>
      <x:c r="N1156" s="35" t="n">
        <x:f>L1156*M1156</x:f>
        <x:v>0</x:v>
      </x:c>
      <x:c r="O1156" s="37" t="n">
        <x:v>0.18</x:v>
      </x:c>
      <x:c r="P1156" s="35" t="n">
        <x:f>L1156*O1156</x:f>
        <x:v>0</x:v>
      </x:c>
      <x:c r="Q1156" s="35" t="n">
        <x:v>1.2</x:v>
      </x:c>
      <x:c r="R1156" s="35" t="n">
        <x:f>K1156*Q1156</x:f>
        <x:v>0</x:v>
      </x:c>
      <x:c r="S1156" s="35" t="n">
        <x:f>XLOOKUP(H1156,'菜品主数据'!$A$5:$A$24,'菜品主数据'!$G$5:$G$24,0)</x:f>
        <x:v>18.874</x:v>
      </x:c>
      <x:c r="T1156" s="35" t="n">
        <x:f>K1156*S1156</x:f>
        <x:v>0</x:v>
      </x:c>
      <x:c r="U1156" s="35" t="n">
        <x:f>L1156-N1156-P1156-R1156-T1156</x:f>
        <x:v>0</x:v>
      </x:c>
      <x:c r="V1156" s="21" t="n">
        <x:f>IFERROR(U1156/L1156,0)</x:f>
        <x:v>0</x:v>
      </x:c>
    </x:row>
    <x:row r="1157">
      <x:c r="A1157" s="19" t="str">
        <x:v>SALE-01153</x:v>
      </x:c>
      <x:c r="B1157" s="34" t="n">
        <x:v>46210.5</x:v>
      </x:c>
      <x:c r="C1157" s="19" t="str">
        <x:v>周二</x:v>
      </x:c>
      <x:c r="D1157" s="19" t="str">
        <x:v>S05</x:v>
      </x:c>
      <x:c r="E1157" s="19" t="str">
        <x:v>同顺街店</x:v>
      </x:c>
      <x:c r="F1157" s="19" t="str">
        <x:v>外卖</x:v>
      </x:c>
      <x:c r="G1157" s="19" t="str">
        <x:v>全日</x:v>
      </x:c>
      <x:c r="H1157" s="19" t="str">
        <x:v>D13</x:v>
      </x:c>
      <x:c r="I1157" s="19" t="str">
        <x:v>外婆菜炒蛋</x:v>
      </x:c>
      <x:c r="J1157" s="22" t="n">
        <x:f>XLOOKUP(H1157,'菜品主数据'!$A$5:$A$24,'菜品主数据'!$D$5:$D$24,0)</x:f>
        <x:v>18</x:v>
      </x:c>
      <x:c r="K1157" s="31" t="n">
        <x:v>1</x:v>
      </x:c>
      <x:c r="L1157" s="35" t="n">
        <x:f>J1157*K1157</x:f>
        <x:v>18</x:v>
      </x:c>
      <x:c r="M1157" s="36" t="n">
        <x:v>0.08</x:v>
      </x:c>
      <x:c r="N1157" s="35" t="n">
        <x:f>L1157*M1157</x:f>
        <x:v>1.44</x:v>
      </x:c>
      <x:c r="O1157" s="37" t="n">
        <x:v>0.18</x:v>
      </x:c>
      <x:c r="P1157" s="35" t="n">
        <x:f>L1157*O1157</x:f>
        <x:v>3.2399999999999998</x:v>
      </x:c>
      <x:c r="Q1157" s="35" t="n">
        <x:v>1.2</x:v>
      </x:c>
      <x:c r="R1157" s="35" t="n">
        <x:f>K1157*Q1157</x:f>
        <x:v>1.2</x:v>
      </x:c>
      <x:c r="S1157" s="35" t="n">
        <x:f>XLOOKUP(H1157,'菜品主数据'!$A$5:$A$24,'菜品主数据'!$G$5:$G$24,0)</x:f>
        <x:v>5.403999999999999</x:v>
      </x:c>
      <x:c r="T1157" s="35" t="n">
        <x:f>K1157*S1157</x:f>
        <x:v>5.403999999999999</x:v>
      </x:c>
      <x:c r="U1157" s="35" t="n">
        <x:f>L1157-N1157-P1157-R1157-T1157</x:f>
        <x:v>6.716</x:v>
      </x:c>
      <x:c r="V1157" s="21" t="n">
        <x:f>IFERROR(U1157/L1157,0)</x:f>
        <x:v>0.3731111111111111</x:v>
      </x:c>
    </x:row>
    <x:row r="1158">
      <x:c r="A1158" s="19" t="str">
        <x:v>SALE-01154</x:v>
      </x:c>
      <x:c r="B1158" s="34" t="n">
        <x:v>46210.5</x:v>
      </x:c>
      <x:c r="C1158" s="19" t="str">
        <x:v>周二</x:v>
      </x:c>
      <x:c r="D1158" s="19" t="str">
        <x:v>S05</x:v>
      </x:c>
      <x:c r="E1158" s="19" t="str">
        <x:v>同顺街店</x:v>
      </x:c>
      <x:c r="F1158" s="19" t="str">
        <x:v>外卖</x:v>
      </x:c>
      <x:c r="G1158" s="19" t="str">
        <x:v>全日</x:v>
      </x:c>
      <x:c r="H1158" s="19" t="str">
        <x:v>D14</x:v>
      </x:c>
      <x:c r="I1158" s="19" t="str">
        <x:v>酸辣鸡杂</x:v>
      </x:c>
      <x:c r="J1158" s="22" t="n">
        <x:f>XLOOKUP(H1158,'菜品主数据'!$A$5:$A$24,'菜品主数据'!$D$5:$D$24,0)</x:f>
        <x:v>28</x:v>
      </x:c>
      <x:c r="K1158" s="31" t="n">
        <x:v>0</x:v>
      </x:c>
      <x:c r="L1158" s="35" t="n">
        <x:f>J1158*K1158</x:f>
        <x:v>0</x:v>
      </x:c>
      <x:c r="M1158" s="36" t="n">
        <x:v>0.08</x:v>
      </x:c>
      <x:c r="N1158" s="35" t="n">
        <x:f>L1158*M1158</x:f>
        <x:v>0</x:v>
      </x:c>
      <x:c r="O1158" s="37" t="n">
        <x:v>0.18</x:v>
      </x:c>
      <x:c r="P1158" s="35" t="n">
        <x:f>L1158*O1158</x:f>
        <x:v>0</x:v>
      </x:c>
      <x:c r="Q1158" s="35" t="n">
        <x:v>1.2</x:v>
      </x:c>
      <x:c r="R1158" s="35" t="n">
        <x:f>K1158*Q1158</x:f>
        <x:v>0</x:v>
      </x:c>
      <x:c r="S1158" s="35" t="n">
        <x:f>XLOOKUP(H1158,'菜品主数据'!$A$5:$A$24,'菜品主数据'!$G$5:$G$24,0)</x:f>
        <x:v>8.315000000000001</x:v>
      </x:c>
      <x:c r="T1158" s="35" t="n">
        <x:f>K1158*S1158</x:f>
        <x:v>0</x:v>
      </x:c>
      <x:c r="U1158" s="35" t="n">
        <x:f>L1158-N1158-P1158-R1158-T1158</x:f>
        <x:v>0</x:v>
      </x:c>
      <x:c r="V1158" s="21" t="n">
        <x:f>IFERROR(U1158/L1158,0)</x:f>
        <x:v>0</x:v>
      </x:c>
    </x:row>
    <x:row r="1159">
      <x:c r="A1159" s="19" t="str">
        <x:v>SALE-01155</x:v>
      </x:c>
      <x:c r="B1159" s="34" t="n">
        <x:v>46210.5</x:v>
      </x:c>
      <x:c r="C1159" s="19" t="str">
        <x:v>周二</x:v>
      </x:c>
      <x:c r="D1159" s="19" t="str">
        <x:v>S05</x:v>
      </x:c>
      <x:c r="E1159" s="19" t="str">
        <x:v>同顺街店</x:v>
      </x:c>
      <x:c r="F1159" s="19" t="str">
        <x:v>外卖</x:v>
      </x:c>
      <x:c r="G1159" s="19" t="str">
        <x:v>全日</x:v>
      </x:c>
      <x:c r="H1159" s="19" t="str">
        <x:v>D15</x:v>
      </x:c>
      <x:c r="I1159" s="19" t="str">
        <x:v>湘西土匪猪肝</x:v>
      </x:c>
      <x:c r="J1159" s="22" t="n">
        <x:f>XLOOKUP(H1159,'菜品主数据'!$A$5:$A$24,'菜品主数据'!$D$5:$D$24,0)</x:f>
        <x:v>26</x:v>
      </x:c>
      <x:c r="K1159" s="31" t="n">
        <x:v>0</x:v>
      </x:c>
      <x:c r="L1159" s="35" t="n">
        <x:f>J1159*K1159</x:f>
        <x:v>0</x:v>
      </x:c>
      <x:c r="M1159" s="36" t="n">
        <x:v>0.08</x:v>
      </x:c>
      <x:c r="N1159" s="35" t="n">
        <x:f>L1159*M1159</x:f>
        <x:v>0</x:v>
      </x:c>
      <x:c r="O1159" s="37" t="n">
        <x:v>0.18</x:v>
      </x:c>
      <x:c r="P1159" s="35" t="n">
        <x:f>L1159*O1159</x:f>
        <x:v>0</x:v>
      </x:c>
      <x:c r="Q1159" s="35" t="n">
        <x:v>1.2</x:v>
      </x:c>
      <x:c r="R1159" s="35" t="n">
        <x:f>K1159*Q1159</x:f>
        <x:v>0</x:v>
      </x:c>
      <x:c r="S1159" s="35" t="n">
        <x:f>XLOOKUP(H1159,'菜品主数据'!$A$5:$A$24,'菜品主数据'!$G$5:$G$24,0)</x:f>
        <x:v>6.3759999999999994</x:v>
      </x:c>
      <x:c r="T1159" s="35" t="n">
        <x:f>K1159*S1159</x:f>
        <x:v>0</x:v>
      </x:c>
      <x:c r="U1159" s="35" t="n">
        <x:f>L1159-N1159-P1159-R1159-T1159</x:f>
        <x:v>0</x:v>
      </x:c>
      <x:c r="V1159" s="21" t="n">
        <x:f>IFERROR(U1159/L1159,0)</x:f>
        <x:v>0</x:v>
      </x:c>
    </x:row>
    <x:row r="1160">
      <x:c r="A1160" s="19" t="str">
        <x:v>SALE-01156</x:v>
      </x:c>
      <x:c r="B1160" s="34" t="n">
        <x:v>46210.5</x:v>
      </x:c>
      <x:c r="C1160" s="19" t="str">
        <x:v>周二</x:v>
      </x:c>
      <x:c r="D1160" s="19" t="str">
        <x:v>S05</x:v>
      </x:c>
      <x:c r="E1160" s="19" t="str">
        <x:v>同顺街店</x:v>
      </x:c>
      <x:c r="F1160" s="19" t="str">
        <x:v>外卖</x:v>
      </x:c>
      <x:c r="G1160" s="19" t="str">
        <x:v>全日</x:v>
      </x:c>
      <x:c r="H1160" s="19" t="str">
        <x:v>D16</x:v>
      </x:c>
      <x:c r="I1160" s="19" t="str">
        <x:v>小豆角炒五花</x:v>
      </x:c>
      <x:c r="J1160" s="22" t="n">
        <x:f>XLOOKUP(H1160,'菜品主数据'!$A$5:$A$24,'菜品主数据'!$D$5:$D$24,0)</x:f>
        <x:v>25</x:v>
      </x:c>
      <x:c r="K1160" s="31" t="n">
        <x:v>0</x:v>
      </x:c>
      <x:c r="L1160" s="35" t="n">
        <x:f>J1160*K1160</x:f>
        <x:v>0</x:v>
      </x:c>
      <x:c r="M1160" s="36" t="n">
        <x:v>0.08</x:v>
      </x:c>
      <x:c r="N1160" s="35" t="n">
        <x:f>L1160*M1160</x:f>
        <x:v>0</x:v>
      </x:c>
      <x:c r="O1160" s="37" t="n">
        <x:v>0.18</x:v>
      </x:c>
      <x:c r="P1160" s="35" t="n">
        <x:f>L1160*O1160</x:f>
        <x:v>0</x:v>
      </x:c>
      <x:c r="Q1160" s="35" t="n">
        <x:v>1.2</x:v>
      </x:c>
      <x:c r="R1160" s="35" t="n">
        <x:f>K1160*Q1160</x:f>
        <x:v>0</x:v>
      </x:c>
      <x:c r="S1160" s="35" t="n">
        <x:f>XLOOKUP(H1160,'菜品主数据'!$A$5:$A$24,'菜品主数据'!$G$5:$G$24,0)</x:f>
        <x:v>8.184</x:v>
      </x:c>
      <x:c r="T1160" s="35" t="n">
        <x:f>K1160*S1160</x:f>
        <x:v>0</x:v>
      </x:c>
      <x:c r="U1160" s="35" t="n">
        <x:f>L1160-N1160-P1160-R1160-T1160</x:f>
        <x:v>0</x:v>
      </x:c>
      <x:c r="V1160" s="21" t="n">
        <x:f>IFERROR(U1160/L1160,0)</x:f>
        <x:v>0</x:v>
      </x:c>
    </x:row>
    <x:row r="1161">
      <x:c r="A1161" s="19" t="str">
        <x:v>SALE-01157</x:v>
      </x:c>
      <x:c r="B1161" s="34" t="n">
        <x:v>46210.5</x:v>
      </x:c>
      <x:c r="C1161" s="19" t="str">
        <x:v>周二</x:v>
      </x:c>
      <x:c r="D1161" s="19" t="str">
        <x:v>S05</x:v>
      </x:c>
      <x:c r="E1161" s="19" t="str">
        <x:v>同顺街店</x:v>
      </x:c>
      <x:c r="F1161" s="19" t="str">
        <x:v>外卖</x:v>
      </x:c>
      <x:c r="G1161" s="19" t="str">
        <x:v>全日</x:v>
      </x:c>
      <x:c r="H1161" s="19" t="str">
        <x:v>D17</x:v>
      </x:c>
      <x:c r="I1161" s="19" t="str">
        <x:v>蒜蓉粉丝虾</x:v>
      </x:c>
      <x:c r="J1161" s="22" t="n">
        <x:f>XLOOKUP(H1161,'菜品主数据'!$A$5:$A$24,'菜品主数据'!$D$5:$D$24,0)</x:f>
        <x:v>36</x:v>
      </x:c>
      <x:c r="K1161" s="31" t="n">
        <x:v>0</x:v>
      </x:c>
      <x:c r="L1161" s="35" t="n">
        <x:f>J1161*K1161</x:f>
        <x:v>0</x:v>
      </x:c>
      <x:c r="M1161" s="36" t="n">
        <x:v>0.08</x:v>
      </x:c>
      <x:c r="N1161" s="35" t="n">
        <x:f>L1161*M1161</x:f>
        <x:v>0</x:v>
      </x:c>
      <x:c r="O1161" s="37" t="n">
        <x:v>0.18</x:v>
      </x:c>
      <x:c r="P1161" s="35" t="n">
        <x:f>L1161*O1161</x:f>
        <x:v>0</x:v>
      </x:c>
      <x:c r="Q1161" s="35" t="n">
        <x:v>1.2</x:v>
      </x:c>
      <x:c r="R1161" s="35" t="n">
        <x:f>K1161*Q1161</x:f>
        <x:v>0</x:v>
      </x:c>
      <x:c r="S1161" s="35" t="n">
        <x:f>XLOOKUP(H1161,'菜品主数据'!$A$5:$A$24,'菜品主数据'!$G$5:$G$24,0)</x:f>
        <x:v>13.594</x:v>
      </x:c>
      <x:c r="T1161" s="35" t="n">
        <x:f>K1161*S1161</x:f>
        <x:v>0</x:v>
      </x:c>
      <x:c r="U1161" s="35" t="n">
        <x:f>L1161-N1161-P1161-R1161-T1161</x:f>
        <x:v>0</x:v>
      </x:c>
      <x:c r="V1161" s="21" t="n">
        <x:f>IFERROR(U1161/L1161,0)</x:f>
        <x:v>0</x:v>
      </x:c>
    </x:row>
    <x:row r="1162">
      <x:c r="A1162" s="19" t="str">
        <x:v>SALE-01158</x:v>
      </x:c>
      <x:c r="B1162" s="34" t="n">
        <x:v>46210.5</x:v>
      </x:c>
      <x:c r="C1162" s="19" t="str">
        <x:v>周二</x:v>
      </x:c>
      <x:c r="D1162" s="19" t="str">
        <x:v>S05</x:v>
      </x:c>
      <x:c r="E1162" s="19" t="str">
        <x:v>同顺街店</x:v>
      </x:c>
      <x:c r="F1162" s="19" t="str">
        <x:v>外卖</x:v>
      </x:c>
      <x:c r="G1162" s="19" t="str">
        <x:v>全日</x:v>
      </x:c>
      <x:c r="H1162" s="19" t="str">
        <x:v>D18</x:v>
      </x:c>
      <x:c r="I1162" s="19" t="str">
        <x:v>青椒炒油麦菜</x:v>
      </x:c>
      <x:c r="J1162" s="22" t="n">
        <x:f>XLOOKUP(H1162,'菜品主数据'!$A$5:$A$24,'菜品主数据'!$D$5:$D$24,0)</x:f>
        <x:v>18</x:v>
      </x:c>
      <x:c r="K1162" s="31" t="n">
        <x:v>0</x:v>
      </x:c>
      <x:c r="L1162" s="35" t="n">
        <x:f>J1162*K1162</x:f>
        <x:v>0</x:v>
      </x:c>
      <x:c r="M1162" s="36" t="n">
        <x:v>0.08</x:v>
      </x:c>
      <x:c r="N1162" s="35" t="n">
        <x:f>L1162*M1162</x:f>
        <x:v>0</x:v>
      </x:c>
      <x:c r="O1162" s="37" t="n">
        <x:v>0.18</x:v>
      </x:c>
      <x:c r="P1162" s="35" t="n">
        <x:f>L1162*O1162</x:f>
        <x:v>0</x:v>
      </x:c>
      <x:c r="Q1162" s="35" t="n">
        <x:v>1.2</x:v>
      </x:c>
      <x:c r="R1162" s="35" t="n">
        <x:f>K1162*Q1162</x:f>
        <x:v>0</x:v>
      </x:c>
      <x:c r="S1162" s="35" t="n">
        <x:f>XLOOKUP(H1162,'菜品主数据'!$A$5:$A$24,'菜品主数据'!$G$5:$G$24,0)</x:f>
        <x:v>3.1759999999999993</x:v>
      </x:c>
      <x:c r="T1162" s="35" t="n">
        <x:f>K1162*S1162</x:f>
        <x:v>0</x:v>
      </x:c>
      <x:c r="U1162" s="35" t="n">
        <x:f>L1162-N1162-P1162-R1162-T1162</x:f>
        <x:v>0</x:v>
      </x:c>
      <x:c r="V1162" s="21" t="n">
        <x:f>IFERROR(U1162/L1162,0)</x:f>
        <x:v>0</x:v>
      </x:c>
    </x:row>
    <x:row r="1163">
      <x:c r="A1163" s="19" t="str">
        <x:v>SALE-01159</x:v>
      </x:c>
      <x:c r="B1163" s="34" t="n">
        <x:v>46210.5</x:v>
      </x:c>
      <x:c r="C1163" s="19" t="str">
        <x:v>周二</x:v>
      </x:c>
      <x:c r="D1163" s="19" t="str">
        <x:v>S05</x:v>
      </x:c>
      <x:c r="E1163" s="19" t="str">
        <x:v>同顺街店</x:v>
      </x:c>
      <x:c r="F1163" s="19" t="str">
        <x:v>外卖</x:v>
      </x:c>
      <x:c r="G1163" s="19" t="str">
        <x:v>全日</x:v>
      </x:c>
      <x:c r="H1163" s="19" t="str">
        <x:v>D19</x:v>
      </x:c>
      <x:c r="I1163" s="19" t="str">
        <x:v>酸萝卜炒鸡杂</x:v>
      </x:c>
      <x:c r="J1163" s="22" t="n">
        <x:f>XLOOKUP(H1163,'菜品主数据'!$A$5:$A$24,'菜品主数据'!$D$5:$D$24,0)</x:f>
        <x:v>25</x:v>
      </x:c>
      <x:c r="K1163" s="31" t="n">
        <x:v>0</x:v>
      </x:c>
      <x:c r="L1163" s="35" t="n">
        <x:f>J1163*K1163</x:f>
        <x:v>0</x:v>
      </x:c>
      <x:c r="M1163" s="36" t="n">
        <x:v>0.08</x:v>
      </x:c>
      <x:c r="N1163" s="35" t="n">
        <x:f>L1163*M1163</x:f>
        <x:v>0</x:v>
      </x:c>
      <x:c r="O1163" s="37" t="n">
        <x:v>0.18</x:v>
      </x:c>
      <x:c r="P1163" s="35" t="n">
        <x:f>L1163*O1163</x:f>
        <x:v>0</x:v>
      </x:c>
      <x:c r="Q1163" s="35" t="n">
        <x:v>1.2</x:v>
      </x:c>
      <x:c r="R1163" s="35" t="n">
        <x:f>K1163*Q1163</x:f>
        <x:v>0</x:v>
      </x:c>
      <x:c r="S1163" s="35" t="n">
        <x:f>XLOOKUP(H1163,'菜品主数据'!$A$5:$A$24,'菜品主数据'!$G$5:$G$24,0)</x:f>
        <x:v>7.9399999999999995</x:v>
      </x:c>
      <x:c r="T1163" s="35" t="n">
        <x:f>K1163*S1163</x:f>
        <x:v>0</x:v>
      </x:c>
      <x:c r="U1163" s="35" t="n">
        <x:f>L1163-N1163-P1163-R1163-T1163</x:f>
        <x:v>0</x:v>
      </x:c>
      <x:c r="V1163" s="21" t="n">
        <x:f>IFERROR(U1163/L1163,0)</x:f>
        <x:v>0</x:v>
      </x:c>
    </x:row>
    <x:row r="1164">
      <x:c r="A1164" s="19" t="str">
        <x:v>SALE-01160</x:v>
      </x:c>
      <x:c r="B1164" s="34" t="n">
        <x:v>46210.5</x:v>
      </x:c>
      <x:c r="C1164" s="19" t="str">
        <x:v>周二</x:v>
      </x:c>
      <x:c r="D1164" s="19" t="str">
        <x:v>S05</x:v>
      </x:c>
      <x:c r="E1164" s="19" t="str">
        <x:v>同顺街店</x:v>
      </x:c>
      <x:c r="F1164" s="19" t="str">
        <x:v>外卖</x:v>
      </x:c>
      <x:c r="G1164" s="19" t="str">
        <x:v>全日</x:v>
      </x:c>
      <x:c r="H1164" s="19" t="str">
        <x:v>D20</x:v>
      </x:c>
      <x:c r="I1164" s="19" t="str">
        <x:v>雪菜肉末青豆</x:v>
      </x:c>
      <x:c r="J1164" s="22" t="n">
        <x:f>XLOOKUP(H1164,'菜品主数据'!$A$5:$A$24,'菜品主数据'!$D$5:$D$24,0)</x:f>
        <x:v>18</x:v>
      </x:c>
      <x:c r="K1164" s="31" t="n">
        <x:v>0</x:v>
      </x:c>
      <x:c r="L1164" s="35" t="n">
        <x:f>J1164*K1164</x:f>
        <x:v>0</x:v>
      </x:c>
      <x:c r="M1164" s="36" t="n">
        <x:v>0.08</x:v>
      </x:c>
      <x:c r="N1164" s="35" t="n">
        <x:f>L1164*M1164</x:f>
        <x:v>0</x:v>
      </x:c>
      <x:c r="O1164" s="37" t="n">
        <x:v>0.18</x:v>
      </x:c>
      <x:c r="P1164" s="35" t="n">
        <x:f>L1164*O1164</x:f>
        <x:v>0</x:v>
      </x:c>
      <x:c r="Q1164" s="35" t="n">
        <x:v>1.2</x:v>
      </x:c>
      <x:c r="R1164" s="35" t="n">
        <x:f>K1164*Q1164</x:f>
        <x:v>0</x:v>
      </x:c>
      <x:c r="S1164" s="35" t="n">
        <x:f>XLOOKUP(H1164,'菜品主数据'!$A$5:$A$24,'菜品主数据'!$G$5:$G$24,0)</x:f>
        <x:v>7.303999999999999</x:v>
      </x:c>
      <x:c r="T1164" s="35" t="n">
        <x:f>K1164*S1164</x:f>
        <x:v>0</x:v>
      </x:c>
      <x:c r="U1164" s="35" t="n">
        <x:f>L1164-N1164-P1164-R1164-T1164</x:f>
        <x:v>0</x:v>
      </x:c>
      <x:c r="V1164" s="21" t="n">
        <x:f>IFERROR(U1164/L1164,0)</x:f>
        <x:v>0</x:v>
      </x:c>
    </x:row>
    <x:row r="1165">
      <x:c r="A1165" s="19" t="str">
        <x:v>SALE-01161</x:v>
      </x:c>
      <x:c r="B1165" s="34" t="n">
        <x:v>46211.5</x:v>
      </x:c>
      <x:c r="C1165" s="19" t="str">
        <x:v>周三</x:v>
      </x:c>
      <x:c r="D1165" s="19" t="str">
        <x:v>S05</x:v>
      </x:c>
      <x:c r="E1165" s="19" t="str">
        <x:v>同顺街店</x:v>
      </x:c>
      <x:c r="F1165" s="19" t="str">
        <x:v>堂食</x:v>
      </x:c>
      <x:c r="G1165" s="19" t="str">
        <x:v>全日</x:v>
      </x:c>
      <x:c r="H1165" s="19" t="str">
        <x:v>D01</x:v>
      </x:c>
      <x:c r="I1165" s="19" t="str">
        <x:v>辣椒炒肉</x:v>
      </x:c>
      <x:c r="J1165" s="22" t="n">
        <x:f>XLOOKUP(H1165,'菜品主数据'!$A$5:$A$24,'菜品主数据'!$D$5:$D$24,0)</x:f>
        <x:v>29</x:v>
      </x:c>
      <x:c r="K1165" s="31" t="n">
        <x:v>45</x:v>
      </x:c>
      <x:c r="L1165" s="35" t="n">
        <x:f>J1165*K1165</x:f>
        <x:v>1305</x:v>
      </x:c>
      <x:c r="M1165" s="36" t="n">
        <x:v>0</x:v>
      </x:c>
      <x:c r="N1165" s="35" t="n">
        <x:f>L1165*M1165</x:f>
        <x:v>0</x:v>
      </x:c>
      <x:c r="O1165" s="37" t="n">
        <x:v>0</x:v>
      </x:c>
      <x:c r="P1165" s="35" t="n">
        <x:f>L1165*O1165</x:f>
        <x:v>0</x:v>
      </x:c>
      <x:c r="Q1165" s="35" t="n">
        <x:v>0</x:v>
      </x:c>
      <x:c r="R1165" s="35" t="n">
        <x:f>K1165*Q1165</x:f>
        <x:v>0</x:v>
      </x:c>
      <x:c r="S1165" s="35" t="n">
        <x:f>XLOOKUP(H1165,'菜品主数据'!$A$5:$A$24,'菜品主数据'!$G$5:$G$24,0)</x:f>
        <x:v>8.634400000000001</x:v>
      </x:c>
      <x:c r="T1165" s="35" t="n">
        <x:f>K1165*S1165</x:f>
        <x:v>388.54800000000006</x:v>
      </x:c>
      <x:c r="U1165" s="35" t="n">
        <x:f>L1165-N1165-P1165-R1165-T1165</x:f>
        <x:v>916.452</x:v>
      </x:c>
      <x:c r="V1165" s="21" t="n">
        <x:f>IFERROR(U1165/L1165,0)</x:f>
        <x:v>0.7022620689655172</x:v>
      </x:c>
    </x:row>
    <x:row r="1166">
      <x:c r="A1166" s="19" t="str">
        <x:v>SALE-01162</x:v>
      </x:c>
      <x:c r="B1166" s="34" t="n">
        <x:v>46211.5</x:v>
      </x:c>
      <x:c r="C1166" s="19" t="str">
        <x:v>周三</x:v>
      </x:c>
      <x:c r="D1166" s="19" t="str">
        <x:v>S05</x:v>
      </x:c>
      <x:c r="E1166" s="19" t="str">
        <x:v>同顺街店</x:v>
      </x:c>
      <x:c r="F1166" s="19" t="str">
        <x:v>堂食</x:v>
      </x:c>
      <x:c r="G1166" s="19" t="str">
        <x:v>全日</x:v>
      </x:c>
      <x:c r="H1166" s="19" t="str">
        <x:v>D02</x:v>
      </x:c>
      <x:c r="I1166" s="19" t="str">
        <x:v>小炒黄牛肉</x:v>
      </x:c>
      <x:c r="J1166" s="22" t="n">
        <x:f>XLOOKUP(H1166,'菜品主数据'!$A$5:$A$24,'菜品主数据'!$D$5:$D$24,0)</x:f>
        <x:v>49</x:v>
      </x:c>
      <x:c r="K1166" s="31" t="n">
        <x:v>25</x:v>
      </x:c>
      <x:c r="L1166" s="35" t="n">
        <x:f>J1166*K1166</x:f>
        <x:v>1225</x:v>
      </x:c>
      <x:c r="M1166" s="36" t="n">
        <x:v>0</x:v>
      </x:c>
      <x:c r="N1166" s="35" t="n">
        <x:f>L1166*M1166</x:f>
        <x:v>0</x:v>
      </x:c>
      <x:c r="O1166" s="37" t="n">
        <x:v>0</x:v>
      </x:c>
      <x:c r="P1166" s="35" t="n">
        <x:f>L1166*O1166</x:f>
        <x:v>0</x:v>
      </x:c>
      <x:c r="Q1166" s="35" t="n">
        <x:v>0</x:v>
      </x:c>
      <x:c r="R1166" s="35" t="n">
        <x:f>K1166*Q1166</x:f>
        <x:v>0</x:v>
      </x:c>
      <x:c r="S1166" s="35" t="n">
        <x:f>XLOOKUP(H1166,'菜品主数据'!$A$5:$A$24,'菜品主数据'!$G$5:$G$24,0)</x:f>
        <x:v>17.577</x:v>
      </x:c>
      <x:c r="T1166" s="35" t="n">
        <x:f>K1166*S1166</x:f>
        <x:v>439.42500000000007</x:v>
      </x:c>
      <x:c r="U1166" s="35" t="n">
        <x:f>L1166-N1166-P1166-R1166-T1166</x:f>
        <x:v>785.5749999999999</x:v>
      </x:c>
      <x:c r="V1166" s="21" t="n">
        <x:f>IFERROR(U1166/L1166,0)</x:f>
        <x:v>0.6412857142857142</x:v>
      </x:c>
    </x:row>
    <x:row r="1167">
      <x:c r="A1167" s="19" t="str">
        <x:v>SALE-01163</x:v>
      </x:c>
      <x:c r="B1167" s="34" t="n">
        <x:v>46211.5</x:v>
      </x:c>
      <x:c r="C1167" s="19" t="str">
        <x:v>周三</x:v>
      </x:c>
      <x:c r="D1167" s="19" t="str">
        <x:v>S05</x:v>
      </x:c>
      <x:c r="E1167" s="19" t="str">
        <x:v>同顺街店</x:v>
      </x:c>
      <x:c r="F1167" s="19" t="str">
        <x:v>堂食</x:v>
      </x:c>
      <x:c r="G1167" s="19" t="str">
        <x:v>全日</x:v>
      </x:c>
      <x:c r="H1167" s="19" t="str">
        <x:v>D03</x:v>
      </x:c>
      <x:c r="I1167" s="19" t="str">
        <x:v>香醋炒蛋</x:v>
      </x:c>
      <x:c r="J1167" s="22" t="n">
        <x:f>XLOOKUP(H1167,'菜品主数据'!$A$5:$A$24,'菜品主数据'!$D$5:$D$24,0)</x:f>
        <x:v>14.9</x:v>
      </x:c>
      <x:c r="K1167" s="31" t="n">
        <x:v>37</x:v>
      </x:c>
      <x:c r="L1167" s="35" t="n">
        <x:f>J1167*K1167</x:f>
        <x:v>551.3000000000001</x:v>
      </x:c>
      <x:c r="M1167" s="36" t="n">
        <x:v>0</x:v>
      </x:c>
      <x:c r="N1167" s="35" t="n">
        <x:f>L1167*M1167</x:f>
        <x:v>0</x:v>
      </x:c>
      <x:c r="O1167" s="37" t="n">
        <x:v>0</x:v>
      </x:c>
      <x:c r="P1167" s="35" t="n">
        <x:f>L1167*O1167</x:f>
        <x:v>0</x:v>
      </x:c>
      <x:c r="Q1167" s="35" t="n">
        <x:v>0</x:v>
      </x:c>
      <x:c r="R1167" s="35" t="n">
        <x:f>K1167*Q1167</x:f>
        <x:v>0</x:v>
      </x:c>
      <x:c r="S1167" s="35" t="n">
        <x:f>XLOOKUP(H1167,'菜品主数据'!$A$5:$A$24,'菜品主数据'!$G$5:$G$24,0)</x:f>
        <x:v>3.7459999999999996</x:v>
      </x:c>
      <x:c r="T1167" s="35" t="n">
        <x:f>K1167*S1167</x:f>
        <x:v>138.60199999999998</x:v>
      </x:c>
      <x:c r="U1167" s="35" t="n">
        <x:f>L1167-N1167-P1167-R1167-T1167</x:f>
        <x:v>412.6980000000001</x:v>
      </x:c>
      <x:c r="V1167" s="21" t="n">
        <x:f>IFERROR(U1167/L1167,0)</x:f>
        <x:v>0.7485906040268457</x:v>
      </x:c>
    </x:row>
    <x:row r="1168">
      <x:c r="A1168" s="19" t="str">
        <x:v>SALE-01164</x:v>
      </x:c>
      <x:c r="B1168" s="34" t="n">
        <x:v>46211.5</x:v>
      </x:c>
      <x:c r="C1168" s="19" t="str">
        <x:v>周三</x:v>
      </x:c>
      <x:c r="D1168" s="19" t="str">
        <x:v>S05</x:v>
      </x:c>
      <x:c r="E1168" s="19" t="str">
        <x:v>同顺街店</x:v>
      </x:c>
      <x:c r="F1168" s="19" t="str">
        <x:v>堂食</x:v>
      </x:c>
      <x:c r="G1168" s="19" t="str">
        <x:v>全日</x:v>
      </x:c>
      <x:c r="H1168" s="19" t="str">
        <x:v>D04</x:v>
      </x:c>
      <x:c r="I1168" s="19" t="str">
        <x:v>酸包菜炒粉皮</x:v>
      </x:c>
      <x:c r="J1168" s="22" t="n">
        <x:f>XLOOKUP(H1168,'菜品主数据'!$A$5:$A$24,'菜品主数据'!$D$5:$D$24,0)</x:f>
        <x:v>16</x:v>
      </x:c>
      <x:c r="K1168" s="31" t="n">
        <x:v>33</x:v>
      </x:c>
      <x:c r="L1168" s="35" t="n">
        <x:f>J1168*K1168</x:f>
        <x:v>528</x:v>
      </x:c>
      <x:c r="M1168" s="36" t="n">
        <x:v>0</x:v>
      </x:c>
      <x:c r="N1168" s="35" t="n">
        <x:f>L1168*M1168</x:f>
        <x:v>0</x:v>
      </x:c>
      <x:c r="O1168" s="37" t="n">
        <x:v>0</x:v>
      </x:c>
      <x:c r="P1168" s="35" t="n">
        <x:f>L1168*O1168</x:f>
        <x:v>0</x:v>
      </x:c>
      <x:c r="Q1168" s="35" t="n">
        <x:v>0</x:v>
      </x:c>
      <x:c r="R1168" s="35" t="n">
        <x:f>K1168*Q1168</x:f>
        <x:v>0</x:v>
      </x:c>
      <x:c r="S1168" s="35" t="n">
        <x:f>XLOOKUP(H1168,'菜品主数据'!$A$5:$A$24,'菜品主数据'!$G$5:$G$24,0)</x:f>
        <x:v>3.978</x:v>
      </x:c>
      <x:c r="T1168" s="35" t="n">
        <x:f>K1168*S1168</x:f>
        <x:v>131.274</x:v>
      </x:c>
      <x:c r="U1168" s="35" t="n">
        <x:f>L1168-N1168-P1168-R1168-T1168</x:f>
        <x:v>396.726</x:v>
      </x:c>
      <x:c r="V1168" s="21" t="n">
        <x:f>IFERROR(U1168/L1168,0)</x:f>
        <x:v>0.751375</x:v>
      </x:c>
    </x:row>
    <x:row r="1169">
      <x:c r="A1169" s="19" t="str">
        <x:v>SALE-01165</x:v>
      </x:c>
      <x:c r="B1169" s="34" t="n">
        <x:v>46211.5</x:v>
      </x:c>
      <x:c r="C1169" s="19" t="str">
        <x:v>周三</x:v>
      </x:c>
      <x:c r="D1169" s="19" t="str">
        <x:v>S05</x:v>
      </x:c>
      <x:c r="E1169" s="19" t="str">
        <x:v>同顺街店</x:v>
      </x:c>
      <x:c r="F1169" s="19" t="str">
        <x:v>堂食</x:v>
      </x:c>
      <x:c r="G1169" s="19" t="str">
        <x:v>全日</x:v>
      </x:c>
      <x:c r="H1169" s="19" t="str">
        <x:v>D05</x:v>
      </x:c>
      <x:c r="I1169" s="19" t="str">
        <x:v>麻婆豆腐</x:v>
      </x:c>
      <x:c r="J1169" s="22" t="n">
        <x:f>XLOOKUP(H1169,'菜品主数据'!$A$5:$A$24,'菜品主数据'!$D$5:$D$24,0)</x:f>
        <x:v>9.9</x:v>
      </x:c>
      <x:c r="K1169" s="31" t="n">
        <x:v>46</x:v>
      </x:c>
      <x:c r="L1169" s="35" t="n">
        <x:f>J1169*K1169</x:f>
        <x:v>455.40000000000003</x:v>
      </x:c>
      <x:c r="M1169" s="36" t="n">
        <x:v>0</x:v>
      </x:c>
      <x:c r="N1169" s="35" t="n">
        <x:f>L1169*M1169</x:f>
        <x:v>0</x:v>
      </x:c>
      <x:c r="O1169" s="37" t="n">
        <x:v>0</x:v>
      </x:c>
      <x:c r="P1169" s="35" t="n">
        <x:f>L1169*O1169</x:f>
        <x:v>0</x:v>
      </x:c>
      <x:c r="Q1169" s="35" t="n">
        <x:v>0</x:v>
      </x:c>
      <x:c r="R1169" s="35" t="n">
        <x:f>K1169*Q1169</x:f>
        <x:v>0</x:v>
      </x:c>
      <x:c r="S1169" s="35" t="n">
        <x:f>XLOOKUP(H1169,'菜品主数据'!$A$5:$A$24,'菜品主数据'!$G$5:$G$24,0)</x:f>
        <x:v>5.367000000000001</x:v>
      </x:c>
      <x:c r="T1169" s="35" t="n">
        <x:f>K1169*S1169</x:f>
        <x:v>246.88200000000003</x:v>
      </x:c>
      <x:c r="U1169" s="35" t="n">
        <x:f>L1169-N1169-P1169-R1169-T1169</x:f>
        <x:v>208.518</x:v>
      </x:c>
      <x:c r="V1169" s="21" t="n">
        <x:f>IFERROR(U1169/L1169,0)</x:f>
        <x:v>0.45787878787878783</x:v>
      </x:c>
    </x:row>
    <x:row r="1170">
      <x:c r="A1170" s="19" t="str">
        <x:v>SALE-01166</x:v>
      </x:c>
      <x:c r="B1170" s="34" t="n">
        <x:v>46211.5</x:v>
      </x:c>
      <x:c r="C1170" s="19" t="str">
        <x:v>周三</x:v>
      </x:c>
      <x:c r="D1170" s="19" t="str">
        <x:v>S05</x:v>
      </x:c>
      <x:c r="E1170" s="19" t="str">
        <x:v>同顺街店</x:v>
      </x:c>
      <x:c r="F1170" s="19" t="str">
        <x:v>堂食</x:v>
      </x:c>
      <x:c r="G1170" s="19" t="str">
        <x:v>全日</x:v>
      </x:c>
      <x:c r="H1170" s="19" t="str">
        <x:v>D06</x:v>
      </x:c>
      <x:c r="I1170" s="19" t="str">
        <x:v>剁椒鱼头</x:v>
      </x:c>
      <x:c r="J1170" s="22" t="n">
        <x:f>XLOOKUP(H1170,'菜品主数据'!$A$5:$A$24,'菜品主数据'!$D$5:$D$24,0)</x:f>
        <x:v>39</x:v>
      </x:c>
      <x:c r="K1170" s="31" t="n">
        <x:v>12</x:v>
      </x:c>
      <x:c r="L1170" s="35" t="n">
        <x:f>J1170*K1170</x:f>
        <x:v>468</x:v>
      </x:c>
      <x:c r="M1170" s="36" t="n">
        <x:v>0</x:v>
      </x:c>
      <x:c r="N1170" s="35" t="n">
        <x:f>L1170*M1170</x:f>
        <x:v>0</x:v>
      </x:c>
      <x:c r="O1170" s="37" t="n">
        <x:v>0</x:v>
      </x:c>
      <x:c r="P1170" s="35" t="n">
        <x:f>L1170*O1170</x:f>
        <x:v>0</x:v>
      </x:c>
      <x:c r="Q1170" s="35" t="n">
        <x:v>0</x:v>
      </x:c>
      <x:c r="R1170" s="35" t="n">
        <x:f>K1170*Q1170</x:f>
        <x:v>0</x:v>
      </x:c>
      <x:c r="S1170" s="35" t="n">
        <x:f>XLOOKUP(H1170,'菜品主数据'!$A$5:$A$24,'菜品主数据'!$G$5:$G$24,0)</x:f>
        <x:v>17.446</x:v>
      </x:c>
      <x:c r="T1170" s="35" t="n">
        <x:f>K1170*S1170</x:f>
        <x:v>209.35200000000003</x:v>
      </x:c>
      <x:c r="U1170" s="35" t="n">
        <x:f>L1170-N1170-P1170-R1170-T1170</x:f>
        <x:v>258.64799999999997</x:v>
      </x:c>
      <x:c r="V1170" s="21" t="n">
        <x:f>IFERROR(U1170/L1170,0)</x:f>
        <x:v>0.5526666666666666</x:v>
      </x:c>
    </x:row>
    <x:row r="1171">
      <x:c r="A1171" s="19" t="str">
        <x:v>SALE-01167</x:v>
      </x:c>
      <x:c r="B1171" s="34" t="n">
        <x:v>46211.5</x:v>
      </x:c>
      <x:c r="C1171" s="19" t="str">
        <x:v>周三</x:v>
      </x:c>
      <x:c r="D1171" s="19" t="str">
        <x:v>S05</x:v>
      </x:c>
      <x:c r="E1171" s="19" t="str">
        <x:v>同顺街店</x:v>
      </x:c>
      <x:c r="F1171" s="19" t="str">
        <x:v>堂食</x:v>
      </x:c>
      <x:c r="G1171" s="19" t="str">
        <x:v>全日</x:v>
      </x:c>
      <x:c r="H1171" s="19" t="str">
        <x:v>D07</x:v>
      </x:c>
      <x:c r="I1171" s="19" t="str">
        <x:v>川味回锅肉</x:v>
      </x:c>
      <x:c r="J1171" s="22" t="n">
        <x:f>XLOOKUP(H1171,'菜品主数据'!$A$5:$A$24,'菜品主数据'!$D$5:$D$24,0)</x:f>
        <x:v>29</x:v>
      </x:c>
      <x:c r="K1171" s="31" t="n">
        <x:v>14</x:v>
      </x:c>
      <x:c r="L1171" s="35" t="n">
        <x:f>J1171*K1171</x:f>
        <x:v>406</x:v>
      </x:c>
      <x:c r="M1171" s="36" t="n">
        <x:v>0</x:v>
      </x:c>
      <x:c r="N1171" s="35" t="n">
        <x:f>L1171*M1171</x:f>
        <x:v>0</x:v>
      </x:c>
      <x:c r="O1171" s="37" t="n">
        <x:v>0</x:v>
      </x:c>
      <x:c r="P1171" s="35" t="n">
        <x:f>L1171*O1171</x:f>
        <x:v>0</x:v>
      </x:c>
      <x:c r="Q1171" s="35" t="n">
        <x:v>0</x:v>
      </x:c>
      <x:c r="R1171" s="35" t="n">
        <x:f>K1171*Q1171</x:f>
        <x:v>0</x:v>
      </x:c>
      <x:c r="S1171" s="35" t="n">
        <x:f>XLOOKUP(H1171,'菜品主数据'!$A$5:$A$24,'菜品主数据'!$G$5:$G$24,0)</x:f>
        <x:v>10.231000000000002</x:v>
      </x:c>
      <x:c r="T1171" s="35" t="n">
        <x:f>K1171*S1171</x:f>
        <x:v>143.23400000000004</x:v>
      </x:c>
      <x:c r="U1171" s="35" t="n">
        <x:f>L1171-N1171-P1171-R1171-T1171</x:f>
        <x:v>262.76599999999996</x:v>
      </x:c>
      <x:c r="V1171" s="21" t="n">
        <x:f>IFERROR(U1171/L1171,0)</x:f>
        <x:v>0.647206896551724</x:v>
      </x:c>
    </x:row>
    <x:row r="1172">
      <x:c r="A1172" s="19" t="str">
        <x:v>SALE-01168</x:v>
      </x:c>
      <x:c r="B1172" s="34" t="n">
        <x:v>46211.5</x:v>
      </x:c>
      <x:c r="C1172" s="19" t="str">
        <x:v>周三</x:v>
      </x:c>
      <x:c r="D1172" s="19" t="str">
        <x:v>S05</x:v>
      </x:c>
      <x:c r="E1172" s="19" t="str">
        <x:v>同顺街店</x:v>
      </x:c>
      <x:c r="F1172" s="19" t="str">
        <x:v>堂食</x:v>
      </x:c>
      <x:c r="G1172" s="19" t="str">
        <x:v>全日</x:v>
      </x:c>
      <x:c r="H1172" s="19" t="str">
        <x:v>D08</x:v>
      </x:c>
      <x:c r="I1172" s="19" t="str">
        <x:v>生炒清远鸡</x:v>
      </x:c>
      <x:c r="J1172" s="22" t="n">
        <x:f>XLOOKUP(H1172,'菜品主数据'!$A$5:$A$24,'菜品主数据'!$D$5:$D$24,0)</x:f>
        <x:v>36</x:v>
      </x:c>
      <x:c r="K1172" s="31" t="n">
        <x:v>10</x:v>
      </x:c>
      <x:c r="L1172" s="35" t="n">
        <x:f>J1172*K1172</x:f>
        <x:v>360</x:v>
      </x:c>
      <x:c r="M1172" s="36" t="n">
        <x:v>0</x:v>
      </x:c>
      <x:c r="N1172" s="35" t="n">
        <x:f>L1172*M1172</x:f>
        <x:v>0</x:v>
      </x:c>
      <x:c r="O1172" s="37" t="n">
        <x:v>0</x:v>
      </x:c>
      <x:c r="P1172" s="35" t="n">
        <x:f>L1172*O1172</x:f>
        <x:v>0</x:v>
      </x:c>
      <x:c r="Q1172" s="35" t="n">
        <x:v>0</x:v>
      </x:c>
      <x:c r="R1172" s="35" t="n">
        <x:f>K1172*Q1172</x:f>
        <x:v>0</x:v>
      </x:c>
      <x:c r="S1172" s="35" t="n">
        <x:f>XLOOKUP(H1172,'菜品主数据'!$A$5:$A$24,'菜品主数据'!$G$5:$G$24,0)</x:f>
        <x:v>13.48</x:v>
      </x:c>
      <x:c r="T1172" s="35" t="n">
        <x:f>K1172*S1172</x:f>
        <x:v>134.8</x:v>
      </x:c>
      <x:c r="U1172" s="35" t="n">
        <x:f>L1172-N1172-P1172-R1172-T1172</x:f>
        <x:v>225.2</x:v>
      </x:c>
      <x:c r="V1172" s="21" t="n">
        <x:f>IFERROR(U1172/L1172,0)</x:f>
        <x:v>0.6255555555555555</x:v>
      </x:c>
    </x:row>
    <x:row r="1173">
      <x:c r="A1173" s="19" t="str">
        <x:v>SALE-01169</x:v>
      </x:c>
      <x:c r="B1173" s="34" t="n">
        <x:v>46211.5</x:v>
      </x:c>
      <x:c r="C1173" s="19" t="str">
        <x:v>周三</x:v>
      </x:c>
      <x:c r="D1173" s="19" t="str">
        <x:v>S05</x:v>
      </x:c>
      <x:c r="E1173" s="19" t="str">
        <x:v>同顺街店</x:v>
      </x:c>
      <x:c r="F1173" s="19" t="str">
        <x:v>堂食</x:v>
      </x:c>
      <x:c r="G1173" s="19" t="str">
        <x:v>全日</x:v>
      </x:c>
      <x:c r="H1173" s="19" t="str">
        <x:v>D09</x:v>
      </x:c>
      <x:c r="I1173" s="19" t="str">
        <x:v>炒豆干</x:v>
      </x:c>
      <x:c r="J1173" s="22" t="n">
        <x:f>XLOOKUP(H1173,'菜品主数据'!$A$5:$A$24,'菜品主数据'!$D$5:$D$24,0)</x:f>
        <x:v>18</x:v>
      </x:c>
      <x:c r="K1173" s="31" t="n">
        <x:v>15</x:v>
      </x:c>
      <x:c r="L1173" s="35" t="n">
        <x:f>J1173*K1173</x:f>
        <x:v>270</x:v>
      </x:c>
      <x:c r="M1173" s="36" t="n">
        <x:v>0</x:v>
      </x:c>
      <x:c r="N1173" s="35" t="n">
        <x:f>L1173*M1173</x:f>
        <x:v>0</x:v>
      </x:c>
      <x:c r="O1173" s="37" t="n">
        <x:v>0</x:v>
      </x:c>
      <x:c r="P1173" s="35" t="n">
        <x:f>L1173*O1173</x:f>
        <x:v>0</x:v>
      </x:c>
      <x:c r="Q1173" s="35" t="n">
        <x:v>0</x:v>
      </x:c>
      <x:c r="R1173" s="35" t="n">
        <x:f>K1173*Q1173</x:f>
        <x:v>0</x:v>
      </x:c>
      <x:c r="S1173" s="35" t="n">
        <x:f>XLOOKUP(H1173,'菜品主数据'!$A$5:$A$24,'菜品主数据'!$G$5:$G$24,0)</x:f>
        <x:v>6.613999999999999</x:v>
      </x:c>
      <x:c r="T1173" s="35" t="n">
        <x:f>K1173*S1173</x:f>
        <x:v>99.20999999999998</x:v>
      </x:c>
      <x:c r="U1173" s="35" t="n">
        <x:f>L1173-N1173-P1173-R1173-T1173</x:f>
        <x:v>170.79000000000002</x:v>
      </x:c>
      <x:c r="V1173" s="21" t="n">
        <x:f>IFERROR(U1173/L1173,0)</x:f>
        <x:v>0.6325555555555556</x:v>
      </x:c>
    </x:row>
    <x:row r="1174">
      <x:c r="A1174" s="19" t="str">
        <x:v>SALE-01170</x:v>
      </x:c>
      <x:c r="B1174" s="34" t="n">
        <x:v>46211.5</x:v>
      </x:c>
      <x:c r="C1174" s="19" t="str">
        <x:v>周三</x:v>
      </x:c>
      <x:c r="D1174" s="19" t="str">
        <x:v>S05</x:v>
      </x:c>
      <x:c r="E1174" s="19" t="str">
        <x:v>同顺街店</x:v>
      </x:c>
      <x:c r="F1174" s="19" t="str">
        <x:v>堂食</x:v>
      </x:c>
      <x:c r="G1174" s="19" t="str">
        <x:v>全日</x:v>
      </x:c>
      <x:c r="H1174" s="19" t="str">
        <x:v>D10</x:v>
      </x:c>
      <x:c r="I1174" s="19" t="str">
        <x:v>农家一碗香</x:v>
      </x:c>
      <x:c r="J1174" s="22" t="n">
        <x:f>XLOOKUP(H1174,'菜品主数据'!$A$5:$A$24,'菜品主数据'!$D$5:$D$24,0)</x:f>
        <x:v>22.9</x:v>
      </x:c>
      <x:c r="K1174" s="31" t="n">
        <x:v>16</x:v>
      </x:c>
      <x:c r="L1174" s="35" t="n">
        <x:f>J1174*K1174</x:f>
        <x:v>366.4</x:v>
      </x:c>
      <x:c r="M1174" s="36" t="n">
        <x:v>0</x:v>
      </x:c>
      <x:c r="N1174" s="35" t="n">
        <x:f>L1174*M1174</x:f>
        <x:v>0</x:v>
      </x:c>
      <x:c r="O1174" s="37" t="n">
        <x:v>0</x:v>
      </x:c>
      <x:c r="P1174" s="35" t="n">
        <x:f>L1174*O1174</x:f>
        <x:v>0</x:v>
      </x:c>
      <x:c r="Q1174" s="35" t="n">
        <x:v>0</x:v>
      </x:c>
      <x:c r="R1174" s="35" t="n">
        <x:f>K1174*Q1174</x:f>
        <x:v>0</x:v>
      </x:c>
      <x:c r="S1174" s="35" t="n">
        <x:f>XLOOKUP(H1174,'菜品主数据'!$A$5:$A$24,'菜品主数据'!$G$5:$G$24,0)</x:f>
        <x:v>9.770200000000003</x:v>
      </x:c>
      <x:c r="T1174" s="35" t="n">
        <x:f>K1174*S1174</x:f>
        <x:v>156.32320000000004</x:v>
      </x:c>
      <x:c r="U1174" s="35" t="n">
        <x:f>L1174-N1174-P1174-R1174-T1174</x:f>
        <x:v>210.07679999999993</x:v>
      </x:c>
      <x:c r="V1174" s="21" t="n">
        <x:f>IFERROR(U1174/L1174,0)</x:f>
        <x:v>0.5733537117903929</x:v>
      </x:c>
    </x:row>
    <x:row r="1175">
      <x:c r="A1175" s="19" t="str">
        <x:v>SALE-01171</x:v>
      </x:c>
      <x:c r="B1175" s="34" t="n">
        <x:v>46211.5</x:v>
      </x:c>
      <x:c r="C1175" s="19" t="str">
        <x:v>周三</x:v>
      </x:c>
      <x:c r="D1175" s="19" t="str">
        <x:v>S05</x:v>
      </x:c>
      <x:c r="E1175" s="19" t="str">
        <x:v>同顺街店</x:v>
      </x:c>
      <x:c r="F1175" s="19" t="str">
        <x:v>堂食</x:v>
      </x:c>
      <x:c r="G1175" s="19" t="str">
        <x:v>全日</x:v>
      </x:c>
      <x:c r="H1175" s="19" t="str">
        <x:v>D11</x:v>
      </x:c>
      <x:c r="I1175" s="19" t="str">
        <x:v>香辣爆肥肠</x:v>
      </x:c>
      <x:c r="J1175" s="22" t="n">
        <x:f>XLOOKUP(H1175,'菜品主数据'!$A$5:$A$24,'菜品主数据'!$D$5:$D$24,0)</x:f>
        <x:v>39</x:v>
      </x:c>
      <x:c r="K1175" s="31" t="n">
        <x:v>6</x:v>
      </x:c>
      <x:c r="L1175" s="35" t="n">
        <x:f>J1175*K1175</x:f>
        <x:v>234</x:v>
      </x:c>
      <x:c r="M1175" s="36" t="n">
        <x:v>0</x:v>
      </x:c>
      <x:c r="N1175" s="35" t="n">
        <x:f>L1175*M1175</x:f>
        <x:v>0</x:v>
      </x:c>
      <x:c r="O1175" s="37" t="n">
        <x:v>0</x:v>
      </x:c>
      <x:c r="P1175" s="35" t="n">
        <x:f>L1175*O1175</x:f>
        <x:v>0</x:v>
      </x:c>
      <x:c r="Q1175" s="35" t="n">
        <x:v>0</x:v>
      </x:c>
      <x:c r="R1175" s="35" t="n">
        <x:f>K1175*Q1175</x:f>
        <x:v>0</x:v>
      </x:c>
      <x:c r="S1175" s="35" t="n">
        <x:f>XLOOKUP(H1175,'菜品主数据'!$A$5:$A$24,'菜品主数据'!$G$5:$G$24,0)</x:f>
        <x:v>10.397</x:v>
      </x:c>
      <x:c r="T1175" s="35" t="n">
        <x:f>K1175*S1175</x:f>
        <x:v>62.382000000000005</x:v>
      </x:c>
      <x:c r="U1175" s="35" t="n">
        <x:f>L1175-N1175-P1175-R1175-T1175</x:f>
        <x:v>171.618</x:v>
      </x:c>
      <x:c r="V1175" s="21" t="n">
        <x:f>IFERROR(U1175/L1175,0)</x:f>
        <x:v>0.7334102564102564</x:v>
      </x:c>
    </x:row>
    <x:row r="1176">
      <x:c r="A1176" s="19" t="str">
        <x:v>SALE-01172</x:v>
      </x:c>
      <x:c r="B1176" s="34" t="n">
        <x:v>46211.5</x:v>
      </x:c>
      <x:c r="C1176" s="19" t="str">
        <x:v>周三</x:v>
      </x:c>
      <x:c r="D1176" s="19" t="str">
        <x:v>S05</x:v>
      </x:c>
      <x:c r="E1176" s="19" t="str">
        <x:v>同顺街店</x:v>
      </x:c>
      <x:c r="F1176" s="19" t="str">
        <x:v>堂食</x:v>
      </x:c>
      <x:c r="G1176" s="19" t="str">
        <x:v>全日</x:v>
      </x:c>
      <x:c r="H1176" s="19" t="str">
        <x:v>D12</x:v>
      </x:c>
      <x:c r="I1176" s="19" t="str">
        <x:v>清蒸鲈鱼</x:v>
      </x:c>
      <x:c r="J1176" s="22" t="n">
        <x:f>XLOOKUP(H1176,'菜品主数据'!$A$5:$A$24,'菜品主数据'!$D$5:$D$24,0)</x:f>
        <x:v>39</x:v>
      </x:c>
      <x:c r="K1176" s="31" t="n">
        <x:v>6</x:v>
      </x:c>
      <x:c r="L1176" s="35" t="n">
        <x:f>J1176*K1176</x:f>
        <x:v>234</x:v>
      </x:c>
      <x:c r="M1176" s="36" t="n">
        <x:v>0</x:v>
      </x:c>
      <x:c r="N1176" s="35" t="n">
        <x:f>L1176*M1176</x:f>
        <x:v>0</x:v>
      </x:c>
      <x:c r="O1176" s="37" t="n">
        <x:v>0</x:v>
      </x:c>
      <x:c r="P1176" s="35" t="n">
        <x:f>L1176*O1176</x:f>
        <x:v>0</x:v>
      </x:c>
      <x:c r="Q1176" s="35" t="n">
        <x:v>0</x:v>
      </x:c>
      <x:c r="R1176" s="35" t="n">
        <x:f>K1176*Q1176</x:f>
        <x:v>0</x:v>
      </x:c>
      <x:c r="S1176" s="35" t="n">
        <x:f>XLOOKUP(H1176,'菜品主数据'!$A$5:$A$24,'菜品主数据'!$G$5:$G$24,0)</x:f>
        <x:v>18.874</x:v>
      </x:c>
      <x:c r="T1176" s="35" t="n">
        <x:f>K1176*S1176</x:f>
        <x:v>113.244</x:v>
      </x:c>
      <x:c r="U1176" s="35" t="n">
        <x:f>L1176-N1176-P1176-R1176-T1176</x:f>
        <x:v>120.756</x:v>
      </x:c>
      <x:c r="V1176" s="21" t="n">
        <x:f>IFERROR(U1176/L1176,0)</x:f>
        <x:v>0.516051282051282</x:v>
      </x:c>
    </x:row>
    <x:row r="1177">
      <x:c r="A1177" s="19" t="str">
        <x:v>SALE-01173</x:v>
      </x:c>
      <x:c r="B1177" s="34" t="n">
        <x:v>46211.5</x:v>
      </x:c>
      <x:c r="C1177" s="19" t="str">
        <x:v>周三</x:v>
      </x:c>
      <x:c r="D1177" s="19" t="str">
        <x:v>S05</x:v>
      </x:c>
      <x:c r="E1177" s="19" t="str">
        <x:v>同顺街店</x:v>
      </x:c>
      <x:c r="F1177" s="19" t="str">
        <x:v>堂食</x:v>
      </x:c>
      <x:c r="G1177" s="19" t="str">
        <x:v>全日</x:v>
      </x:c>
      <x:c r="H1177" s="19" t="str">
        <x:v>D13</x:v>
      </x:c>
      <x:c r="I1177" s="19" t="str">
        <x:v>外婆菜炒蛋</x:v>
      </x:c>
      <x:c r="J1177" s="22" t="n">
        <x:f>XLOOKUP(H1177,'菜品主数据'!$A$5:$A$24,'菜品主数据'!$D$5:$D$24,0)</x:f>
        <x:v>18</x:v>
      </x:c>
      <x:c r="K1177" s="31" t="n">
        <x:v>13</x:v>
      </x:c>
      <x:c r="L1177" s="35" t="n">
        <x:f>J1177*K1177</x:f>
        <x:v>234</x:v>
      </x:c>
      <x:c r="M1177" s="36" t="n">
        <x:v>0</x:v>
      </x:c>
      <x:c r="N1177" s="35" t="n">
        <x:f>L1177*M1177</x:f>
        <x:v>0</x:v>
      </x:c>
      <x:c r="O1177" s="37" t="n">
        <x:v>0</x:v>
      </x:c>
      <x:c r="P1177" s="35" t="n">
        <x:f>L1177*O1177</x:f>
        <x:v>0</x:v>
      </x:c>
      <x:c r="Q1177" s="35" t="n">
        <x:v>0</x:v>
      </x:c>
      <x:c r="R1177" s="35" t="n">
        <x:f>K1177*Q1177</x:f>
        <x:v>0</x:v>
      </x:c>
      <x:c r="S1177" s="35" t="n">
        <x:f>XLOOKUP(H1177,'菜品主数据'!$A$5:$A$24,'菜品主数据'!$G$5:$G$24,0)</x:f>
        <x:v>5.403999999999999</x:v>
      </x:c>
      <x:c r="T1177" s="35" t="n">
        <x:f>K1177*S1177</x:f>
        <x:v>70.25199999999998</x:v>
      </x:c>
      <x:c r="U1177" s="35" t="n">
        <x:f>L1177-N1177-P1177-R1177-T1177</x:f>
        <x:v>163.74800000000002</x:v>
      </x:c>
      <x:c r="V1177" s="21" t="n">
        <x:f>IFERROR(U1177/L1177,0)</x:f>
        <x:v>0.6997777777777778</x:v>
      </x:c>
    </x:row>
    <x:row r="1178">
      <x:c r="A1178" s="19" t="str">
        <x:v>SALE-01174</x:v>
      </x:c>
      <x:c r="B1178" s="34" t="n">
        <x:v>46211.5</x:v>
      </x:c>
      <x:c r="C1178" s="19" t="str">
        <x:v>周三</x:v>
      </x:c>
      <x:c r="D1178" s="19" t="str">
        <x:v>S05</x:v>
      </x:c>
      <x:c r="E1178" s="19" t="str">
        <x:v>同顺街店</x:v>
      </x:c>
      <x:c r="F1178" s="19" t="str">
        <x:v>堂食</x:v>
      </x:c>
      <x:c r="G1178" s="19" t="str">
        <x:v>全日</x:v>
      </x:c>
      <x:c r="H1178" s="19" t="str">
        <x:v>D14</x:v>
      </x:c>
      <x:c r="I1178" s="19" t="str">
        <x:v>酸辣鸡杂</x:v>
      </x:c>
      <x:c r="J1178" s="22" t="n">
        <x:f>XLOOKUP(H1178,'菜品主数据'!$A$5:$A$24,'菜品主数据'!$D$5:$D$24,0)</x:f>
        <x:v>28</x:v>
      </x:c>
      <x:c r="K1178" s="31" t="n">
        <x:v>8</x:v>
      </x:c>
      <x:c r="L1178" s="35" t="n">
        <x:f>J1178*K1178</x:f>
        <x:v>224</x:v>
      </x:c>
      <x:c r="M1178" s="36" t="n">
        <x:v>0</x:v>
      </x:c>
      <x:c r="N1178" s="35" t="n">
        <x:f>L1178*M1178</x:f>
        <x:v>0</x:v>
      </x:c>
      <x:c r="O1178" s="37" t="n">
        <x:v>0</x:v>
      </x:c>
      <x:c r="P1178" s="35" t="n">
        <x:f>L1178*O1178</x:f>
        <x:v>0</x:v>
      </x:c>
      <x:c r="Q1178" s="35" t="n">
        <x:v>0</x:v>
      </x:c>
      <x:c r="R1178" s="35" t="n">
        <x:f>K1178*Q1178</x:f>
        <x:v>0</x:v>
      </x:c>
      <x:c r="S1178" s="35" t="n">
        <x:f>XLOOKUP(H1178,'菜品主数据'!$A$5:$A$24,'菜品主数据'!$G$5:$G$24,0)</x:f>
        <x:v>8.315000000000001</x:v>
      </x:c>
      <x:c r="T1178" s="35" t="n">
        <x:f>K1178*S1178</x:f>
        <x:v>66.52000000000001</x:v>
      </x:c>
      <x:c r="U1178" s="35" t="n">
        <x:f>L1178-N1178-P1178-R1178-T1178</x:f>
        <x:v>157.48</x:v>
      </x:c>
      <x:c r="V1178" s="21" t="n">
        <x:f>IFERROR(U1178/L1178,0)</x:f>
        <x:v>0.7030357142857142</x:v>
      </x:c>
    </x:row>
    <x:row r="1179">
      <x:c r="A1179" s="19" t="str">
        <x:v>SALE-01175</x:v>
      </x:c>
      <x:c r="B1179" s="34" t="n">
        <x:v>46211.5</x:v>
      </x:c>
      <x:c r="C1179" s="19" t="str">
        <x:v>周三</x:v>
      </x:c>
      <x:c r="D1179" s="19" t="str">
        <x:v>S05</x:v>
      </x:c>
      <x:c r="E1179" s="19" t="str">
        <x:v>同顺街店</x:v>
      </x:c>
      <x:c r="F1179" s="19" t="str">
        <x:v>堂食</x:v>
      </x:c>
      <x:c r="G1179" s="19" t="str">
        <x:v>全日</x:v>
      </x:c>
      <x:c r="H1179" s="19" t="str">
        <x:v>D15</x:v>
      </x:c>
      <x:c r="I1179" s="19" t="str">
        <x:v>湘西土匪猪肝</x:v>
      </x:c>
      <x:c r="J1179" s="22" t="n">
        <x:f>XLOOKUP(H1179,'菜品主数据'!$A$5:$A$24,'菜品主数据'!$D$5:$D$24,0)</x:f>
        <x:v>26</x:v>
      </x:c>
      <x:c r="K1179" s="31" t="n">
        <x:v>7</x:v>
      </x:c>
      <x:c r="L1179" s="35" t="n">
        <x:f>J1179*K1179</x:f>
        <x:v>182</x:v>
      </x:c>
      <x:c r="M1179" s="36" t="n">
        <x:v>0</x:v>
      </x:c>
      <x:c r="N1179" s="35" t="n">
        <x:f>L1179*M1179</x:f>
        <x:v>0</x:v>
      </x:c>
      <x:c r="O1179" s="37" t="n">
        <x:v>0</x:v>
      </x:c>
      <x:c r="P1179" s="35" t="n">
        <x:f>L1179*O1179</x:f>
        <x:v>0</x:v>
      </x:c>
      <x:c r="Q1179" s="35" t="n">
        <x:v>0</x:v>
      </x:c>
      <x:c r="R1179" s="35" t="n">
        <x:f>K1179*Q1179</x:f>
        <x:v>0</x:v>
      </x:c>
      <x:c r="S1179" s="35" t="n">
        <x:f>XLOOKUP(H1179,'菜品主数据'!$A$5:$A$24,'菜品主数据'!$G$5:$G$24,0)</x:f>
        <x:v>6.3759999999999994</x:v>
      </x:c>
      <x:c r="T1179" s="35" t="n">
        <x:f>K1179*S1179</x:f>
        <x:v>44.632</x:v>
      </x:c>
      <x:c r="U1179" s="35" t="n">
        <x:f>L1179-N1179-P1179-R1179-T1179</x:f>
        <x:v>137.368</x:v>
      </x:c>
      <x:c r="V1179" s="21" t="n">
        <x:f>IFERROR(U1179/L1179,0)</x:f>
        <x:v>0.7547692307692307</x:v>
      </x:c>
    </x:row>
    <x:row r="1180">
      <x:c r="A1180" s="19" t="str">
        <x:v>SALE-01176</x:v>
      </x:c>
      <x:c r="B1180" s="34" t="n">
        <x:v>46211.5</x:v>
      </x:c>
      <x:c r="C1180" s="19" t="str">
        <x:v>周三</x:v>
      </x:c>
      <x:c r="D1180" s="19" t="str">
        <x:v>S05</x:v>
      </x:c>
      <x:c r="E1180" s="19" t="str">
        <x:v>同顺街店</x:v>
      </x:c>
      <x:c r="F1180" s="19" t="str">
        <x:v>堂食</x:v>
      </x:c>
      <x:c r="G1180" s="19" t="str">
        <x:v>全日</x:v>
      </x:c>
      <x:c r="H1180" s="19" t="str">
        <x:v>D16</x:v>
      </x:c>
      <x:c r="I1180" s="19" t="str">
        <x:v>小豆角炒五花</x:v>
      </x:c>
      <x:c r="J1180" s="22" t="n">
        <x:f>XLOOKUP(H1180,'菜品主数据'!$A$5:$A$24,'菜品主数据'!$D$5:$D$24,0)</x:f>
        <x:v>25</x:v>
      </x:c>
      <x:c r="K1180" s="31" t="n">
        <x:v>7</x:v>
      </x:c>
      <x:c r="L1180" s="35" t="n">
        <x:f>J1180*K1180</x:f>
        <x:v>175</x:v>
      </x:c>
      <x:c r="M1180" s="36" t="n">
        <x:v>0</x:v>
      </x:c>
      <x:c r="N1180" s="35" t="n">
        <x:f>L1180*M1180</x:f>
        <x:v>0</x:v>
      </x:c>
      <x:c r="O1180" s="37" t="n">
        <x:v>0</x:v>
      </x:c>
      <x:c r="P1180" s="35" t="n">
        <x:f>L1180*O1180</x:f>
        <x:v>0</x:v>
      </x:c>
      <x:c r="Q1180" s="35" t="n">
        <x:v>0</x:v>
      </x:c>
      <x:c r="R1180" s="35" t="n">
        <x:f>K1180*Q1180</x:f>
        <x:v>0</x:v>
      </x:c>
      <x:c r="S1180" s="35" t="n">
        <x:f>XLOOKUP(H1180,'菜品主数据'!$A$5:$A$24,'菜品主数据'!$G$5:$G$24,0)</x:f>
        <x:v>8.184</x:v>
      </x:c>
      <x:c r="T1180" s="35" t="n">
        <x:f>K1180*S1180</x:f>
        <x:v>57.288</x:v>
      </x:c>
      <x:c r="U1180" s="35" t="n">
        <x:f>L1180-N1180-P1180-R1180-T1180</x:f>
        <x:v>117.712</x:v>
      </x:c>
      <x:c r="V1180" s="21" t="n">
        <x:f>IFERROR(U1180/L1180,0)</x:f>
        <x:v>0.67264</x:v>
      </x:c>
    </x:row>
    <x:row r="1181">
      <x:c r="A1181" s="19" t="str">
        <x:v>SALE-01177</x:v>
      </x:c>
      <x:c r="B1181" s="34" t="n">
        <x:v>46211.5</x:v>
      </x:c>
      <x:c r="C1181" s="19" t="str">
        <x:v>周三</x:v>
      </x:c>
      <x:c r="D1181" s="19" t="str">
        <x:v>S05</x:v>
      </x:c>
      <x:c r="E1181" s="19" t="str">
        <x:v>同顺街店</x:v>
      </x:c>
      <x:c r="F1181" s="19" t="str">
        <x:v>堂食</x:v>
      </x:c>
      <x:c r="G1181" s="19" t="str">
        <x:v>全日</x:v>
      </x:c>
      <x:c r="H1181" s="19" t="str">
        <x:v>D17</x:v>
      </x:c>
      <x:c r="I1181" s="19" t="str">
        <x:v>蒜蓉粉丝虾</x:v>
      </x:c>
      <x:c r="J1181" s="22" t="n">
        <x:f>XLOOKUP(H1181,'菜品主数据'!$A$5:$A$24,'菜品主数据'!$D$5:$D$24,0)</x:f>
        <x:v>36</x:v>
      </x:c>
      <x:c r="K1181" s="31" t="n">
        <x:v>5</x:v>
      </x:c>
      <x:c r="L1181" s="35" t="n">
        <x:f>J1181*K1181</x:f>
        <x:v>180</x:v>
      </x:c>
      <x:c r="M1181" s="36" t="n">
        <x:v>0</x:v>
      </x:c>
      <x:c r="N1181" s="35" t="n">
        <x:f>L1181*M1181</x:f>
        <x:v>0</x:v>
      </x:c>
      <x:c r="O1181" s="37" t="n">
        <x:v>0</x:v>
      </x:c>
      <x:c r="P1181" s="35" t="n">
        <x:f>L1181*O1181</x:f>
        <x:v>0</x:v>
      </x:c>
      <x:c r="Q1181" s="35" t="n">
        <x:v>0</x:v>
      </x:c>
      <x:c r="R1181" s="35" t="n">
        <x:f>K1181*Q1181</x:f>
        <x:v>0</x:v>
      </x:c>
      <x:c r="S1181" s="35" t="n">
        <x:f>XLOOKUP(H1181,'菜品主数据'!$A$5:$A$24,'菜品主数据'!$G$5:$G$24,0)</x:f>
        <x:v>13.594</x:v>
      </x:c>
      <x:c r="T1181" s="35" t="n">
        <x:f>K1181*S1181</x:f>
        <x:v>67.97</x:v>
      </x:c>
      <x:c r="U1181" s="35" t="n">
        <x:f>L1181-N1181-P1181-R1181-T1181</x:f>
        <x:v>112.03</x:v>
      </x:c>
      <x:c r="V1181" s="21" t="n">
        <x:f>IFERROR(U1181/L1181,0)</x:f>
        <x:v>0.6223888888888889</x:v>
      </x:c>
    </x:row>
    <x:row r="1182">
      <x:c r="A1182" s="19" t="str">
        <x:v>SALE-01178</x:v>
      </x:c>
      <x:c r="B1182" s="34" t="n">
        <x:v>46211.5</x:v>
      </x:c>
      <x:c r="C1182" s="19" t="str">
        <x:v>周三</x:v>
      </x:c>
      <x:c r="D1182" s="19" t="str">
        <x:v>S05</x:v>
      </x:c>
      <x:c r="E1182" s="19" t="str">
        <x:v>同顺街店</x:v>
      </x:c>
      <x:c r="F1182" s="19" t="str">
        <x:v>堂食</x:v>
      </x:c>
      <x:c r="G1182" s="19" t="str">
        <x:v>全日</x:v>
      </x:c>
      <x:c r="H1182" s="19" t="str">
        <x:v>D18</x:v>
      </x:c>
      <x:c r="I1182" s="19" t="str">
        <x:v>青椒炒油麦菜</x:v>
      </x:c>
      <x:c r="J1182" s="22" t="n">
        <x:f>XLOOKUP(H1182,'菜品主数据'!$A$5:$A$24,'菜品主数据'!$D$5:$D$24,0)</x:f>
        <x:v>18</x:v>
      </x:c>
      <x:c r="K1182" s="31" t="n">
        <x:v>8</x:v>
      </x:c>
      <x:c r="L1182" s="35" t="n">
        <x:f>J1182*K1182</x:f>
        <x:v>144</x:v>
      </x:c>
      <x:c r="M1182" s="36" t="n">
        <x:v>0</x:v>
      </x:c>
      <x:c r="N1182" s="35" t="n">
        <x:f>L1182*M1182</x:f>
        <x:v>0</x:v>
      </x:c>
      <x:c r="O1182" s="37" t="n">
        <x:v>0</x:v>
      </x:c>
      <x:c r="P1182" s="35" t="n">
        <x:f>L1182*O1182</x:f>
        <x:v>0</x:v>
      </x:c>
      <x:c r="Q1182" s="35" t="n">
        <x:v>0</x:v>
      </x:c>
      <x:c r="R1182" s="35" t="n">
        <x:f>K1182*Q1182</x:f>
        <x:v>0</x:v>
      </x:c>
      <x:c r="S1182" s="35" t="n">
        <x:f>XLOOKUP(H1182,'菜品主数据'!$A$5:$A$24,'菜品主数据'!$G$5:$G$24,0)</x:f>
        <x:v>3.1759999999999993</x:v>
      </x:c>
      <x:c r="T1182" s="35" t="n">
        <x:f>K1182*S1182</x:f>
        <x:v>25.407999999999994</x:v>
      </x:c>
      <x:c r="U1182" s="35" t="n">
        <x:f>L1182-N1182-P1182-R1182-T1182</x:f>
        <x:v>118.59200000000001</x:v>
      </x:c>
      <x:c r="V1182" s="21" t="n">
        <x:f>IFERROR(U1182/L1182,0)</x:f>
        <x:v>0.8235555555555556</x:v>
      </x:c>
    </x:row>
    <x:row r="1183">
      <x:c r="A1183" s="19" t="str">
        <x:v>SALE-01179</x:v>
      </x:c>
      <x:c r="B1183" s="34" t="n">
        <x:v>46211.5</x:v>
      </x:c>
      <x:c r="C1183" s="19" t="str">
        <x:v>周三</x:v>
      </x:c>
      <x:c r="D1183" s="19" t="str">
        <x:v>S05</x:v>
      </x:c>
      <x:c r="E1183" s="19" t="str">
        <x:v>同顺街店</x:v>
      </x:c>
      <x:c r="F1183" s="19" t="str">
        <x:v>堂食</x:v>
      </x:c>
      <x:c r="G1183" s="19" t="str">
        <x:v>全日</x:v>
      </x:c>
      <x:c r="H1183" s="19" t="str">
        <x:v>D19</x:v>
      </x:c>
      <x:c r="I1183" s="19" t="str">
        <x:v>酸萝卜炒鸡杂</x:v>
      </x:c>
      <x:c r="J1183" s="22" t="n">
        <x:f>XLOOKUP(H1183,'菜品主数据'!$A$5:$A$24,'菜品主数据'!$D$5:$D$24,0)</x:f>
        <x:v>25</x:v>
      </x:c>
      <x:c r="K1183" s="31" t="n">
        <x:v>5</x:v>
      </x:c>
      <x:c r="L1183" s="35" t="n">
        <x:f>J1183*K1183</x:f>
        <x:v>125</x:v>
      </x:c>
      <x:c r="M1183" s="36" t="n">
        <x:v>0</x:v>
      </x:c>
      <x:c r="N1183" s="35" t="n">
        <x:f>L1183*M1183</x:f>
        <x:v>0</x:v>
      </x:c>
      <x:c r="O1183" s="37" t="n">
        <x:v>0</x:v>
      </x:c>
      <x:c r="P1183" s="35" t="n">
        <x:f>L1183*O1183</x:f>
        <x:v>0</x:v>
      </x:c>
      <x:c r="Q1183" s="35" t="n">
        <x:v>0</x:v>
      </x:c>
      <x:c r="R1183" s="35" t="n">
        <x:f>K1183*Q1183</x:f>
        <x:v>0</x:v>
      </x:c>
      <x:c r="S1183" s="35" t="n">
        <x:f>XLOOKUP(H1183,'菜品主数据'!$A$5:$A$24,'菜品主数据'!$G$5:$G$24,0)</x:f>
        <x:v>7.9399999999999995</x:v>
      </x:c>
      <x:c r="T1183" s="35" t="n">
        <x:f>K1183*S1183</x:f>
        <x:v>39.699999999999996</x:v>
      </x:c>
      <x:c r="U1183" s="35" t="n">
        <x:f>L1183-N1183-P1183-R1183-T1183</x:f>
        <x:v>85.30000000000001</x:v>
      </x:c>
      <x:c r="V1183" s="21" t="n">
        <x:f>IFERROR(U1183/L1183,0)</x:f>
        <x:v>0.6824000000000001</x:v>
      </x:c>
    </x:row>
    <x:row r="1184">
      <x:c r="A1184" s="19" t="str">
        <x:v>SALE-01180</x:v>
      </x:c>
      <x:c r="B1184" s="34" t="n">
        <x:v>46211.5</x:v>
      </x:c>
      <x:c r="C1184" s="19" t="str">
        <x:v>周三</x:v>
      </x:c>
      <x:c r="D1184" s="19" t="str">
        <x:v>S05</x:v>
      </x:c>
      <x:c r="E1184" s="19" t="str">
        <x:v>同顺街店</x:v>
      </x:c>
      <x:c r="F1184" s="19" t="str">
        <x:v>堂食</x:v>
      </x:c>
      <x:c r="G1184" s="19" t="str">
        <x:v>全日</x:v>
      </x:c>
      <x:c r="H1184" s="19" t="str">
        <x:v>D20</x:v>
      </x:c>
      <x:c r="I1184" s="19" t="str">
        <x:v>雪菜肉末青豆</x:v>
      </x:c>
      <x:c r="J1184" s="22" t="n">
        <x:f>XLOOKUP(H1184,'菜品主数据'!$A$5:$A$24,'菜品主数据'!$D$5:$D$24,0)</x:f>
        <x:v>18</x:v>
      </x:c>
      <x:c r="K1184" s="31" t="n">
        <x:v>8</x:v>
      </x:c>
      <x:c r="L1184" s="35" t="n">
        <x:f>J1184*K1184</x:f>
        <x:v>144</x:v>
      </x:c>
      <x:c r="M1184" s="36" t="n">
        <x:v>0</x:v>
      </x:c>
      <x:c r="N1184" s="35" t="n">
        <x:f>L1184*M1184</x:f>
        <x:v>0</x:v>
      </x:c>
      <x:c r="O1184" s="37" t="n">
        <x:v>0</x:v>
      </x:c>
      <x:c r="P1184" s="35" t="n">
        <x:f>L1184*O1184</x:f>
        <x:v>0</x:v>
      </x:c>
      <x:c r="Q1184" s="35" t="n">
        <x:v>0</x:v>
      </x:c>
      <x:c r="R1184" s="35" t="n">
        <x:f>K1184*Q1184</x:f>
        <x:v>0</x:v>
      </x:c>
      <x:c r="S1184" s="35" t="n">
        <x:f>XLOOKUP(H1184,'菜品主数据'!$A$5:$A$24,'菜品主数据'!$G$5:$G$24,0)</x:f>
        <x:v>7.303999999999999</x:v>
      </x:c>
      <x:c r="T1184" s="35" t="n">
        <x:f>K1184*S1184</x:f>
        <x:v>58.431999999999995</x:v>
      </x:c>
      <x:c r="U1184" s="35" t="n">
        <x:f>L1184-N1184-P1184-R1184-T1184</x:f>
        <x:v>85.56800000000001</x:v>
      </x:c>
      <x:c r="V1184" s="21" t="n">
        <x:f>IFERROR(U1184/L1184,0)</x:f>
        <x:v>0.5942222222222223</x:v>
      </x:c>
    </x:row>
    <x:row r="1185">
      <x:c r="A1185" s="19" t="str">
        <x:v>SALE-01181</x:v>
      </x:c>
      <x:c r="B1185" s="34" t="n">
        <x:v>46211.5</x:v>
      </x:c>
      <x:c r="C1185" s="19" t="str">
        <x:v>周三</x:v>
      </x:c>
      <x:c r="D1185" s="19" t="str">
        <x:v>S05</x:v>
      </x:c>
      <x:c r="E1185" s="19" t="str">
        <x:v>同顺街店</x:v>
      </x:c>
      <x:c r="F1185" s="19" t="str">
        <x:v>外卖</x:v>
      </x:c>
      <x:c r="G1185" s="19" t="str">
        <x:v>全日</x:v>
      </x:c>
      <x:c r="H1185" s="19" t="str">
        <x:v>D01</x:v>
      </x:c>
      <x:c r="I1185" s="19" t="str">
        <x:v>辣椒炒肉</x:v>
      </x:c>
      <x:c r="J1185" s="22" t="n">
        <x:f>XLOOKUP(H1185,'菜品主数据'!$A$5:$A$24,'菜品主数据'!$D$5:$D$24,0)</x:f>
        <x:v>29</x:v>
      </x:c>
      <x:c r="K1185" s="31" t="n">
        <x:v>4</x:v>
      </x:c>
      <x:c r="L1185" s="35" t="n">
        <x:f>J1185*K1185</x:f>
        <x:v>116</x:v>
      </x:c>
      <x:c r="M1185" s="36" t="n">
        <x:v>0.08</x:v>
      </x:c>
      <x:c r="N1185" s="35" t="n">
        <x:f>L1185*M1185</x:f>
        <x:v>9.28</x:v>
      </x:c>
      <x:c r="O1185" s="37" t="n">
        <x:v>0.18</x:v>
      </x:c>
      <x:c r="P1185" s="35" t="n">
        <x:f>L1185*O1185</x:f>
        <x:v>20.88</x:v>
      </x:c>
      <x:c r="Q1185" s="35" t="n">
        <x:v>1.2</x:v>
      </x:c>
      <x:c r="R1185" s="35" t="n">
        <x:f>K1185*Q1185</x:f>
        <x:v>4.8</x:v>
      </x:c>
      <x:c r="S1185" s="35" t="n">
        <x:f>XLOOKUP(H1185,'菜品主数据'!$A$5:$A$24,'菜品主数据'!$G$5:$G$24,0)</x:f>
        <x:v>8.634400000000001</x:v>
      </x:c>
      <x:c r="T1185" s="35" t="n">
        <x:f>K1185*S1185</x:f>
        <x:v>34.537600000000005</x:v>
      </x:c>
      <x:c r="U1185" s="35" t="n">
        <x:f>L1185-N1185-P1185-R1185-T1185</x:f>
        <x:v>46.5024</x:v>
      </x:c>
      <x:c r="V1185" s="21" t="n">
        <x:f>IFERROR(U1185/L1185,0)</x:f>
        <x:v>0.40088275862068967</x:v>
      </x:c>
    </x:row>
    <x:row r="1186">
      <x:c r="A1186" s="19" t="str">
        <x:v>SALE-01182</x:v>
      </x:c>
      <x:c r="B1186" s="34" t="n">
        <x:v>46211.5</x:v>
      </x:c>
      <x:c r="C1186" s="19" t="str">
        <x:v>周三</x:v>
      </x:c>
      <x:c r="D1186" s="19" t="str">
        <x:v>S05</x:v>
      </x:c>
      <x:c r="E1186" s="19" t="str">
        <x:v>同顺街店</x:v>
      </x:c>
      <x:c r="F1186" s="19" t="str">
        <x:v>外卖</x:v>
      </x:c>
      <x:c r="G1186" s="19" t="str">
        <x:v>全日</x:v>
      </x:c>
      <x:c r="H1186" s="19" t="str">
        <x:v>D02</x:v>
      </x:c>
      <x:c r="I1186" s="19" t="str">
        <x:v>小炒黄牛肉</x:v>
      </x:c>
      <x:c r="J1186" s="22" t="n">
        <x:f>XLOOKUP(H1186,'菜品主数据'!$A$5:$A$24,'菜品主数据'!$D$5:$D$24,0)</x:f>
        <x:v>49</x:v>
      </x:c>
      <x:c r="K1186" s="31" t="n">
        <x:v>8</x:v>
      </x:c>
      <x:c r="L1186" s="35" t="n">
        <x:f>J1186*K1186</x:f>
        <x:v>392</x:v>
      </x:c>
      <x:c r="M1186" s="36" t="n">
        <x:v>0.08</x:v>
      </x:c>
      <x:c r="N1186" s="35" t="n">
        <x:f>L1186*M1186</x:f>
        <x:v>31.36</x:v>
      </x:c>
      <x:c r="O1186" s="37" t="n">
        <x:v>0.18</x:v>
      </x:c>
      <x:c r="P1186" s="35" t="n">
        <x:f>L1186*O1186</x:f>
        <x:v>70.56</x:v>
      </x:c>
      <x:c r="Q1186" s="35" t="n">
        <x:v>1.2</x:v>
      </x:c>
      <x:c r="R1186" s="35" t="n">
        <x:f>K1186*Q1186</x:f>
        <x:v>9.6</x:v>
      </x:c>
      <x:c r="S1186" s="35" t="n">
        <x:f>XLOOKUP(H1186,'菜品主数据'!$A$5:$A$24,'菜品主数据'!$G$5:$G$24,0)</x:f>
        <x:v>17.577</x:v>
      </x:c>
      <x:c r="T1186" s="35" t="n">
        <x:f>K1186*S1186</x:f>
        <x:v>140.616</x:v>
      </x:c>
      <x:c r="U1186" s="35" t="n">
        <x:f>L1186-N1186-P1186-R1186-T1186</x:f>
        <x:v>139.86399999999995</x:v>
      </x:c>
      <x:c r="V1186" s="21" t="n">
        <x:f>IFERROR(U1186/L1186,0)</x:f>
        <x:v>0.3567959183673468</x:v>
      </x:c>
    </x:row>
    <x:row r="1187">
      <x:c r="A1187" s="19" t="str">
        <x:v>SALE-01183</x:v>
      </x:c>
      <x:c r="B1187" s="34" t="n">
        <x:v>46211.5</x:v>
      </x:c>
      <x:c r="C1187" s="19" t="str">
        <x:v>周三</x:v>
      </x:c>
      <x:c r="D1187" s="19" t="str">
        <x:v>S05</x:v>
      </x:c>
      <x:c r="E1187" s="19" t="str">
        <x:v>同顺街店</x:v>
      </x:c>
      <x:c r="F1187" s="19" t="str">
        <x:v>外卖</x:v>
      </x:c>
      <x:c r="G1187" s="19" t="str">
        <x:v>全日</x:v>
      </x:c>
      <x:c r="H1187" s="19" t="str">
        <x:v>D03</x:v>
      </x:c>
      <x:c r="I1187" s="19" t="str">
        <x:v>香醋炒蛋</x:v>
      </x:c>
      <x:c r="J1187" s="22" t="n">
        <x:f>XLOOKUP(H1187,'菜品主数据'!$A$5:$A$24,'菜品主数据'!$D$5:$D$24,0)</x:f>
        <x:v>14.9</x:v>
      </x:c>
      <x:c r="K1187" s="31" t="n">
        <x:v>4</x:v>
      </x:c>
      <x:c r="L1187" s="35" t="n">
        <x:f>J1187*K1187</x:f>
        <x:v>59.6</x:v>
      </x:c>
      <x:c r="M1187" s="36" t="n">
        <x:v>0.08</x:v>
      </x:c>
      <x:c r="N1187" s="35" t="n">
        <x:f>L1187*M1187</x:f>
        <x:v>4.768</x:v>
      </x:c>
      <x:c r="O1187" s="37" t="n">
        <x:v>0.18</x:v>
      </x:c>
      <x:c r="P1187" s="35" t="n">
        <x:f>L1187*O1187</x:f>
        <x:v>10.728</x:v>
      </x:c>
      <x:c r="Q1187" s="35" t="n">
        <x:v>1.2</x:v>
      </x:c>
      <x:c r="R1187" s="35" t="n">
        <x:f>K1187*Q1187</x:f>
        <x:v>4.8</x:v>
      </x:c>
      <x:c r="S1187" s="35" t="n">
        <x:f>XLOOKUP(H1187,'菜品主数据'!$A$5:$A$24,'菜品主数据'!$G$5:$G$24,0)</x:f>
        <x:v>3.7459999999999996</x:v>
      </x:c>
      <x:c r="T1187" s="35" t="n">
        <x:f>K1187*S1187</x:f>
        <x:v>14.983999999999998</x:v>
      </x:c>
      <x:c r="U1187" s="35" t="n">
        <x:f>L1187-N1187-P1187-R1187-T1187</x:f>
        <x:v>24.320000000000004</x:v>
      </x:c>
      <x:c r="V1187" s="21" t="n">
        <x:f>IFERROR(U1187/L1187,0)</x:f>
        <x:v>0.40805369127516783</x:v>
      </x:c>
    </x:row>
    <x:row r="1188">
      <x:c r="A1188" s="19" t="str">
        <x:v>SALE-01184</x:v>
      </x:c>
      <x:c r="B1188" s="34" t="n">
        <x:v>46211.5</x:v>
      </x:c>
      <x:c r="C1188" s="19" t="str">
        <x:v>周三</x:v>
      </x:c>
      <x:c r="D1188" s="19" t="str">
        <x:v>S05</x:v>
      </x:c>
      <x:c r="E1188" s="19" t="str">
        <x:v>同顺街店</x:v>
      </x:c>
      <x:c r="F1188" s="19" t="str">
        <x:v>外卖</x:v>
      </x:c>
      <x:c r="G1188" s="19" t="str">
        <x:v>全日</x:v>
      </x:c>
      <x:c r="H1188" s="19" t="str">
        <x:v>D04</x:v>
      </x:c>
      <x:c r="I1188" s="19" t="str">
        <x:v>酸包菜炒粉皮</x:v>
      </x:c>
      <x:c r="J1188" s="22" t="n">
        <x:f>XLOOKUP(H1188,'菜品主数据'!$A$5:$A$24,'菜品主数据'!$D$5:$D$24,0)</x:f>
        <x:v>16</x:v>
      </x:c>
      <x:c r="K1188" s="31" t="n">
        <x:v>3</x:v>
      </x:c>
      <x:c r="L1188" s="35" t="n">
        <x:f>J1188*K1188</x:f>
        <x:v>48</x:v>
      </x:c>
      <x:c r="M1188" s="36" t="n">
        <x:v>0.08</x:v>
      </x:c>
      <x:c r="N1188" s="35" t="n">
        <x:f>L1188*M1188</x:f>
        <x:v>3.84</x:v>
      </x:c>
      <x:c r="O1188" s="37" t="n">
        <x:v>0.18</x:v>
      </x:c>
      <x:c r="P1188" s="35" t="n">
        <x:f>L1188*O1188</x:f>
        <x:v>8.64</x:v>
      </x:c>
      <x:c r="Q1188" s="35" t="n">
        <x:v>1.2</x:v>
      </x:c>
      <x:c r="R1188" s="35" t="n">
        <x:f>K1188*Q1188</x:f>
        <x:v>3.5999999999999996</x:v>
      </x:c>
      <x:c r="S1188" s="35" t="n">
        <x:f>XLOOKUP(H1188,'菜品主数据'!$A$5:$A$24,'菜品主数据'!$G$5:$G$24,0)</x:f>
        <x:v>3.978</x:v>
      </x:c>
      <x:c r="T1188" s="35" t="n">
        <x:f>K1188*S1188</x:f>
        <x:v>11.934000000000001</x:v>
      </x:c>
      <x:c r="U1188" s="35" t="n">
        <x:f>L1188-N1188-P1188-R1188-T1188</x:f>
        <x:v>19.985999999999994</x:v>
      </x:c>
      <x:c r="V1188" s="21" t="n">
        <x:f>IFERROR(U1188/L1188,0)</x:f>
        <x:v>0.4163749999999999</x:v>
      </x:c>
    </x:row>
    <x:row r="1189">
      <x:c r="A1189" s="19" t="str">
        <x:v>SALE-01185</x:v>
      </x:c>
      <x:c r="B1189" s="34" t="n">
        <x:v>46211.5</x:v>
      </x:c>
      <x:c r="C1189" s="19" t="str">
        <x:v>周三</x:v>
      </x:c>
      <x:c r="D1189" s="19" t="str">
        <x:v>S05</x:v>
      </x:c>
      <x:c r="E1189" s="19" t="str">
        <x:v>同顺街店</x:v>
      </x:c>
      <x:c r="F1189" s="19" t="str">
        <x:v>外卖</x:v>
      </x:c>
      <x:c r="G1189" s="19" t="str">
        <x:v>全日</x:v>
      </x:c>
      <x:c r="H1189" s="19" t="str">
        <x:v>D05</x:v>
      </x:c>
      <x:c r="I1189" s="19" t="str">
        <x:v>麻婆豆腐</x:v>
      </x:c>
      <x:c r="J1189" s="22" t="n">
        <x:f>XLOOKUP(H1189,'菜品主数据'!$A$5:$A$24,'菜品主数据'!$D$5:$D$24,0)</x:f>
        <x:v>9.9</x:v>
      </x:c>
      <x:c r="K1189" s="31" t="n">
        <x:v>5</x:v>
      </x:c>
      <x:c r="L1189" s="35" t="n">
        <x:f>J1189*K1189</x:f>
        <x:v>49.5</x:v>
      </x:c>
      <x:c r="M1189" s="36" t="n">
        <x:v>0.08</x:v>
      </x:c>
      <x:c r="N1189" s="35" t="n">
        <x:f>L1189*M1189</x:f>
        <x:v>3.96</x:v>
      </x:c>
      <x:c r="O1189" s="37" t="n">
        <x:v>0.18</x:v>
      </x:c>
      <x:c r="P1189" s="35" t="n">
        <x:f>L1189*O1189</x:f>
        <x:v>8.91</x:v>
      </x:c>
      <x:c r="Q1189" s="35" t="n">
        <x:v>1.2</x:v>
      </x:c>
      <x:c r="R1189" s="35" t="n">
        <x:f>K1189*Q1189</x:f>
        <x:v>6</x:v>
      </x:c>
      <x:c r="S1189" s="35" t="n">
        <x:f>XLOOKUP(H1189,'菜品主数据'!$A$5:$A$24,'菜品主数据'!$G$5:$G$24,0)</x:f>
        <x:v>5.367000000000001</x:v>
      </x:c>
      <x:c r="T1189" s="35" t="n">
        <x:f>K1189*S1189</x:f>
        <x:v>26.835000000000004</x:v>
      </x:c>
      <x:c r="U1189" s="35" t="n">
        <x:f>L1189-N1189-P1189-R1189-T1189</x:f>
        <x:v>3.794999999999991</x:v>
      </x:c>
      <x:c r="V1189" s="21" t="n">
        <x:f>IFERROR(U1189/L1189,0)</x:f>
        <x:v>0.07666666666666648</x:v>
      </x:c>
    </x:row>
    <x:row r="1190">
      <x:c r="A1190" s="19" t="str">
        <x:v>SALE-01186</x:v>
      </x:c>
      <x:c r="B1190" s="34" t="n">
        <x:v>46211.5</x:v>
      </x:c>
      <x:c r="C1190" s="19" t="str">
        <x:v>周三</x:v>
      </x:c>
      <x:c r="D1190" s="19" t="str">
        <x:v>S05</x:v>
      </x:c>
      <x:c r="E1190" s="19" t="str">
        <x:v>同顺街店</x:v>
      </x:c>
      <x:c r="F1190" s="19" t="str">
        <x:v>外卖</x:v>
      </x:c>
      <x:c r="G1190" s="19" t="str">
        <x:v>全日</x:v>
      </x:c>
      <x:c r="H1190" s="19" t="str">
        <x:v>D06</x:v>
      </x:c>
      <x:c r="I1190" s="19" t="str">
        <x:v>剁椒鱼头</x:v>
      </x:c>
      <x:c r="J1190" s="22" t="n">
        <x:f>XLOOKUP(H1190,'菜品主数据'!$A$5:$A$24,'菜品主数据'!$D$5:$D$24,0)</x:f>
        <x:v>39</x:v>
      </x:c>
      <x:c r="K1190" s="31" t="n">
        <x:v>2</x:v>
      </x:c>
      <x:c r="L1190" s="35" t="n">
        <x:f>J1190*K1190</x:f>
        <x:v>78</x:v>
      </x:c>
      <x:c r="M1190" s="36" t="n">
        <x:v>0.08</x:v>
      </x:c>
      <x:c r="N1190" s="35" t="n">
        <x:f>L1190*M1190</x:f>
        <x:v>6.24</x:v>
      </x:c>
      <x:c r="O1190" s="37" t="n">
        <x:v>0.18</x:v>
      </x:c>
      <x:c r="P1190" s="35" t="n">
        <x:f>L1190*O1190</x:f>
        <x:v>14.04</x:v>
      </x:c>
      <x:c r="Q1190" s="35" t="n">
        <x:v>1.2</x:v>
      </x:c>
      <x:c r="R1190" s="35" t="n">
        <x:f>K1190*Q1190</x:f>
        <x:v>2.4</x:v>
      </x:c>
      <x:c r="S1190" s="35" t="n">
        <x:f>XLOOKUP(H1190,'菜品主数据'!$A$5:$A$24,'菜品主数据'!$G$5:$G$24,0)</x:f>
        <x:v>17.446</x:v>
      </x:c>
      <x:c r="T1190" s="35" t="n">
        <x:f>K1190*S1190</x:f>
        <x:v>34.892</x:v>
      </x:c>
      <x:c r="U1190" s="35" t="n">
        <x:f>L1190-N1190-P1190-R1190-T1190</x:f>
        <x:v>20.428000000000004</x:v>
      </x:c>
      <x:c r="V1190" s="21" t="n">
        <x:f>IFERROR(U1190/L1190,0)</x:f>
        <x:v>0.26189743589743597</x:v>
      </x:c>
    </x:row>
    <x:row r="1191">
      <x:c r="A1191" s="19" t="str">
        <x:v>SALE-01187</x:v>
      </x:c>
      <x:c r="B1191" s="34" t="n">
        <x:v>46211.5</x:v>
      </x:c>
      <x:c r="C1191" s="19" t="str">
        <x:v>周三</x:v>
      </x:c>
      <x:c r="D1191" s="19" t="str">
        <x:v>S05</x:v>
      </x:c>
      <x:c r="E1191" s="19" t="str">
        <x:v>同顺街店</x:v>
      </x:c>
      <x:c r="F1191" s="19" t="str">
        <x:v>外卖</x:v>
      </x:c>
      <x:c r="G1191" s="19" t="str">
        <x:v>全日</x:v>
      </x:c>
      <x:c r="H1191" s="19" t="str">
        <x:v>D07</x:v>
      </x:c>
      <x:c r="I1191" s="19" t="str">
        <x:v>川味回锅肉</x:v>
      </x:c>
      <x:c r="J1191" s="22" t="n">
        <x:f>XLOOKUP(H1191,'菜品主数据'!$A$5:$A$24,'菜品主数据'!$D$5:$D$24,0)</x:f>
        <x:v>29</x:v>
      </x:c>
      <x:c r="K1191" s="31" t="n">
        <x:v>1</x:v>
      </x:c>
      <x:c r="L1191" s="35" t="n">
        <x:f>J1191*K1191</x:f>
        <x:v>29</x:v>
      </x:c>
      <x:c r="M1191" s="36" t="n">
        <x:v>0.08</x:v>
      </x:c>
      <x:c r="N1191" s="35" t="n">
        <x:f>L1191*M1191</x:f>
        <x:v>2.32</x:v>
      </x:c>
      <x:c r="O1191" s="37" t="n">
        <x:v>0.18</x:v>
      </x:c>
      <x:c r="P1191" s="35" t="n">
        <x:f>L1191*O1191</x:f>
        <x:v>5.22</x:v>
      </x:c>
      <x:c r="Q1191" s="35" t="n">
        <x:v>1.2</x:v>
      </x:c>
      <x:c r="R1191" s="35" t="n">
        <x:f>K1191*Q1191</x:f>
        <x:v>1.2</x:v>
      </x:c>
      <x:c r="S1191" s="35" t="n">
        <x:f>XLOOKUP(H1191,'菜品主数据'!$A$5:$A$24,'菜品主数据'!$G$5:$G$24,0)</x:f>
        <x:v>10.231000000000002</x:v>
      </x:c>
      <x:c r="T1191" s="35" t="n">
        <x:f>K1191*S1191</x:f>
        <x:v>10.231000000000002</x:v>
      </x:c>
      <x:c r="U1191" s="35" t="n">
        <x:f>L1191-N1191-P1191-R1191-T1191</x:f>
        <x:v>10.029</x:v>
      </x:c>
      <x:c r="V1191" s="21" t="n">
        <x:f>IFERROR(U1191/L1191,0)</x:f>
        <x:v>0.3458275862068966</x:v>
      </x:c>
    </x:row>
    <x:row r="1192">
      <x:c r="A1192" s="19" t="str">
        <x:v>SALE-01188</x:v>
      </x:c>
      <x:c r="B1192" s="34" t="n">
        <x:v>46211.5</x:v>
      </x:c>
      <x:c r="C1192" s="19" t="str">
        <x:v>周三</x:v>
      </x:c>
      <x:c r="D1192" s="19" t="str">
        <x:v>S05</x:v>
      </x:c>
      <x:c r="E1192" s="19" t="str">
        <x:v>同顺街店</x:v>
      </x:c>
      <x:c r="F1192" s="19" t="str">
        <x:v>外卖</x:v>
      </x:c>
      <x:c r="G1192" s="19" t="str">
        <x:v>全日</x:v>
      </x:c>
      <x:c r="H1192" s="19" t="str">
        <x:v>D08</x:v>
      </x:c>
      <x:c r="I1192" s="19" t="str">
        <x:v>生炒清远鸡</x:v>
      </x:c>
      <x:c r="J1192" s="22" t="n">
        <x:f>XLOOKUP(H1192,'菜品主数据'!$A$5:$A$24,'菜品主数据'!$D$5:$D$24,0)</x:f>
        <x:v>36</x:v>
      </x:c>
      <x:c r="K1192" s="31" t="n">
        <x:v>1</x:v>
      </x:c>
      <x:c r="L1192" s="35" t="n">
        <x:f>J1192*K1192</x:f>
        <x:v>36</x:v>
      </x:c>
      <x:c r="M1192" s="36" t="n">
        <x:v>0.08</x:v>
      </x:c>
      <x:c r="N1192" s="35" t="n">
        <x:f>L1192*M1192</x:f>
        <x:v>2.88</x:v>
      </x:c>
      <x:c r="O1192" s="37" t="n">
        <x:v>0.18</x:v>
      </x:c>
      <x:c r="P1192" s="35" t="n">
        <x:f>L1192*O1192</x:f>
        <x:v>6.4799999999999995</x:v>
      </x:c>
      <x:c r="Q1192" s="35" t="n">
        <x:v>1.2</x:v>
      </x:c>
      <x:c r="R1192" s="35" t="n">
        <x:f>K1192*Q1192</x:f>
        <x:v>1.2</x:v>
      </x:c>
      <x:c r="S1192" s="35" t="n">
        <x:f>XLOOKUP(H1192,'菜品主数据'!$A$5:$A$24,'菜品主数据'!$G$5:$G$24,0)</x:f>
        <x:v>13.48</x:v>
      </x:c>
      <x:c r="T1192" s="35" t="n">
        <x:f>K1192*S1192</x:f>
        <x:v>13.48</x:v>
      </x:c>
      <x:c r="U1192" s="35" t="n">
        <x:f>L1192-N1192-P1192-R1192-T1192</x:f>
        <x:v>11.959999999999997</x:v>
      </x:c>
      <x:c r="V1192" s="21" t="n">
        <x:f>IFERROR(U1192/L1192,0)</x:f>
        <x:v>0.33222222222222214</x:v>
      </x:c>
    </x:row>
    <x:row r="1193">
      <x:c r="A1193" s="19" t="str">
        <x:v>SALE-01189</x:v>
      </x:c>
      <x:c r="B1193" s="34" t="n">
        <x:v>46211.5</x:v>
      </x:c>
      <x:c r="C1193" s="19" t="str">
        <x:v>周三</x:v>
      </x:c>
      <x:c r="D1193" s="19" t="str">
        <x:v>S05</x:v>
      </x:c>
      <x:c r="E1193" s="19" t="str">
        <x:v>同顺街店</x:v>
      </x:c>
      <x:c r="F1193" s="19" t="str">
        <x:v>外卖</x:v>
      </x:c>
      <x:c r="G1193" s="19" t="str">
        <x:v>全日</x:v>
      </x:c>
      <x:c r="H1193" s="19" t="str">
        <x:v>D09</x:v>
      </x:c>
      <x:c r="I1193" s="19" t="str">
        <x:v>炒豆干</x:v>
      </x:c>
      <x:c r="J1193" s="22" t="n">
        <x:f>XLOOKUP(H1193,'菜品主数据'!$A$5:$A$24,'菜品主数据'!$D$5:$D$24,0)</x:f>
        <x:v>18</x:v>
      </x:c>
      <x:c r="K1193" s="31" t="n">
        <x:v>1</x:v>
      </x:c>
      <x:c r="L1193" s="35" t="n">
        <x:f>J1193*K1193</x:f>
        <x:v>18</x:v>
      </x:c>
      <x:c r="M1193" s="36" t="n">
        <x:v>0.08</x:v>
      </x:c>
      <x:c r="N1193" s="35" t="n">
        <x:f>L1193*M1193</x:f>
        <x:v>1.44</x:v>
      </x:c>
      <x:c r="O1193" s="37" t="n">
        <x:v>0.18</x:v>
      </x:c>
      <x:c r="P1193" s="35" t="n">
        <x:f>L1193*O1193</x:f>
        <x:v>3.2399999999999998</x:v>
      </x:c>
      <x:c r="Q1193" s="35" t="n">
        <x:v>1.2</x:v>
      </x:c>
      <x:c r="R1193" s="35" t="n">
        <x:f>K1193*Q1193</x:f>
        <x:v>1.2</x:v>
      </x:c>
      <x:c r="S1193" s="35" t="n">
        <x:f>XLOOKUP(H1193,'菜品主数据'!$A$5:$A$24,'菜品主数据'!$G$5:$G$24,0)</x:f>
        <x:v>6.613999999999999</x:v>
      </x:c>
      <x:c r="T1193" s="35" t="n">
        <x:f>K1193*S1193</x:f>
        <x:v>6.613999999999999</x:v>
      </x:c>
      <x:c r="U1193" s="35" t="n">
        <x:f>L1193-N1193-P1193-R1193-T1193</x:f>
        <x:v>5.506</x:v>
      </x:c>
      <x:c r="V1193" s="21" t="n">
        <x:f>IFERROR(U1193/L1193,0)</x:f>
        <x:v>0.3058888888888889</x:v>
      </x:c>
    </x:row>
    <x:row r="1194">
      <x:c r="A1194" s="19" t="str">
        <x:v>SALE-01190</x:v>
      </x:c>
      <x:c r="B1194" s="34" t="n">
        <x:v>46211.5</x:v>
      </x:c>
      <x:c r="C1194" s="19" t="str">
        <x:v>周三</x:v>
      </x:c>
      <x:c r="D1194" s="19" t="str">
        <x:v>S05</x:v>
      </x:c>
      <x:c r="E1194" s="19" t="str">
        <x:v>同顺街店</x:v>
      </x:c>
      <x:c r="F1194" s="19" t="str">
        <x:v>外卖</x:v>
      </x:c>
      <x:c r="G1194" s="19" t="str">
        <x:v>全日</x:v>
      </x:c>
      <x:c r="H1194" s="19" t="str">
        <x:v>D10</x:v>
      </x:c>
      <x:c r="I1194" s="19" t="str">
        <x:v>农家一碗香</x:v>
      </x:c>
      <x:c r="J1194" s="22" t="n">
        <x:f>XLOOKUP(H1194,'菜品主数据'!$A$5:$A$24,'菜品主数据'!$D$5:$D$24,0)</x:f>
        <x:v>22.9</x:v>
      </x:c>
      <x:c r="K1194" s="31" t="n">
        <x:v>1</x:v>
      </x:c>
      <x:c r="L1194" s="35" t="n">
        <x:f>J1194*K1194</x:f>
        <x:v>22.9</x:v>
      </x:c>
      <x:c r="M1194" s="36" t="n">
        <x:v>0.08</x:v>
      </x:c>
      <x:c r="N1194" s="35" t="n">
        <x:f>L1194*M1194</x:f>
        <x:v>1.8319999999999999</x:v>
      </x:c>
      <x:c r="O1194" s="37" t="n">
        <x:v>0.18</x:v>
      </x:c>
      <x:c r="P1194" s="35" t="n">
        <x:f>L1194*O1194</x:f>
        <x:v>4.122</x:v>
      </x:c>
      <x:c r="Q1194" s="35" t="n">
        <x:v>1.2</x:v>
      </x:c>
      <x:c r="R1194" s="35" t="n">
        <x:f>K1194*Q1194</x:f>
        <x:v>1.2</x:v>
      </x:c>
      <x:c r="S1194" s="35" t="n">
        <x:f>XLOOKUP(H1194,'菜品主数据'!$A$5:$A$24,'菜品主数据'!$G$5:$G$24,0)</x:f>
        <x:v>9.770200000000003</x:v>
      </x:c>
      <x:c r="T1194" s="35" t="n">
        <x:f>K1194*S1194</x:f>
        <x:v>9.770200000000003</x:v>
      </x:c>
      <x:c r="U1194" s="35" t="n">
        <x:f>L1194-N1194-P1194-R1194-T1194</x:f>
        <x:v>5.975799999999996</x:v>
      </x:c>
      <x:c r="V1194" s="21" t="n">
        <x:f>IFERROR(U1194/L1194,0)</x:f>
        <x:v>0.260951965065502</x:v>
      </x:c>
    </x:row>
    <x:row r="1195">
      <x:c r="A1195" s="19" t="str">
        <x:v>SALE-01191</x:v>
      </x:c>
      <x:c r="B1195" s="34" t="n">
        <x:v>46211.5</x:v>
      </x:c>
      <x:c r="C1195" s="19" t="str">
        <x:v>周三</x:v>
      </x:c>
      <x:c r="D1195" s="19" t="str">
        <x:v>S05</x:v>
      </x:c>
      <x:c r="E1195" s="19" t="str">
        <x:v>同顺街店</x:v>
      </x:c>
      <x:c r="F1195" s="19" t="str">
        <x:v>外卖</x:v>
      </x:c>
      <x:c r="G1195" s="19" t="str">
        <x:v>全日</x:v>
      </x:c>
      <x:c r="H1195" s="19" t="str">
        <x:v>D11</x:v>
      </x:c>
      <x:c r="I1195" s="19" t="str">
        <x:v>香辣爆肥肠</x:v>
      </x:c>
      <x:c r="J1195" s="22" t="n">
        <x:f>XLOOKUP(H1195,'菜品主数据'!$A$5:$A$24,'菜品主数据'!$D$5:$D$24,0)</x:f>
        <x:v>39</x:v>
      </x:c>
      <x:c r="K1195" s="31" t="n">
        <x:v>0</x:v>
      </x:c>
      <x:c r="L1195" s="35" t="n">
        <x:f>J1195*K1195</x:f>
        <x:v>0</x:v>
      </x:c>
      <x:c r="M1195" s="36" t="n">
        <x:v>0.08</x:v>
      </x:c>
      <x:c r="N1195" s="35" t="n">
        <x:f>L1195*M1195</x:f>
        <x:v>0</x:v>
      </x:c>
      <x:c r="O1195" s="37" t="n">
        <x:v>0.18</x:v>
      </x:c>
      <x:c r="P1195" s="35" t="n">
        <x:f>L1195*O1195</x:f>
        <x:v>0</x:v>
      </x:c>
      <x:c r="Q1195" s="35" t="n">
        <x:v>1.2</x:v>
      </x:c>
      <x:c r="R1195" s="35" t="n">
        <x:f>K1195*Q1195</x:f>
        <x:v>0</x:v>
      </x:c>
      <x:c r="S1195" s="35" t="n">
        <x:f>XLOOKUP(H1195,'菜品主数据'!$A$5:$A$24,'菜品主数据'!$G$5:$G$24,0)</x:f>
        <x:v>10.397</x:v>
      </x:c>
      <x:c r="T1195" s="35" t="n">
        <x:f>K1195*S1195</x:f>
        <x:v>0</x:v>
      </x:c>
      <x:c r="U1195" s="35" t="n">
        <x:f>L1195-N1195-P1195-R1195-T1195</x:f>
        <x:v>0</x:v>
      </x:c>
      <x:c r="V1195" s="21" t="n">
        <x:f>IFERROR(U1195/L1195,0)</x:f>
        <x:v>0</x:v>
      </x:c>
    </x:row>
    <x:row r="1196">
      <x:c r="A1196" s="19" t="str">
        <x:v>SALE-01192</x:v>
      </x:c>
      <x:c r="B1196" s="34" t="n">
        <x:v>46211.5</x:v>
      </x:c>
      <x:c r="C1196" s="19" t="str">
        <x:v>周三</x:v>
      </x:c>
      <x:c r="D1196" s="19" t="str">
        <x:v>S05</x:v>
      </x:c>
      <x:c r="E1196" s="19" t="str">
        <x:v>同顺街店</x:v>
      </x:c>
      <x:c r="F1196" s="19" t="str">
        <x:v>外卖</x:v>
      </x:c>
      <x:c r="G1196" s="19" t="str">
        <x:v>全日</x:v>
      </x:c>
      <x:c r="H1196" s="19" t="str">
        <x:v>D12</x:v>
      </x:c>
      <x:c r="I1196" s="19" t="str">
        <x:v>清蒸鲈鱼</x:v>
      </x:c>
      <x:c r="J1196" s="22" t="n">
        <x:f>XLOOKUP(H1196,'菜品主数据'!$A$5:$A$24,'菜品主数据'!$D$5:$D$24,0)</x:f>
        <x:v>39</x:v>
      </x:c>
      <x:c r="K1196" s="31" t="n">
        <x:v>0</x:v>
      </x:c>
      <x:c r="L1196" s="35" t="n">
        <x:f>J1196*K1196</x:f>
        <x:v>0</x:v>
      </x:c>
      <x:c r="M1196" s="36" t="n">
        <x:v>0.08</x:v>
      </x:c>
      <x:c r="N1196" s="35" t="n">
        <x:f>L1196*M1196</x:f>
        <x:v>0</x:v>
      </x:c>
      <x:c r="O1196" s="37" t="n">
        <x:v>0.18</x:v>
      </x:c>
      <x:c r="P1196" s="35" t="n">
        <x:f>L1196*O1196</x:f>
        <x:v>0</x:v>
      </x:c>
      <x:c r="Q1196" s="35" t="n">
        <x:v>1.2</x:v>
      </x:c>
      <x:c r="R1196" s="35" t="n">
        <x:f>K1196*Q1196</x:f>
        <x:v>0</x:v>
      </x:c>
      <x:c r="S1196" s="35" t="n">
        <x:f>XLOOKUP(H1196,'菜品主数据'!$A$5:$A$24,'菜品主数据'!$G$5:$G$24,0)</x:f>
        <x:v>18.874</x:v>
      </x:c>
      <x:c r="T1196" s="35" t="n">
        <x:f>K1196*S1196</x:f>
        <x:v>0</x:v>
      </x:c>
      <x:c r="U1196" s="35" t="n">
        <x:f>L1196-N1196-P1196-R1196-T1196</x:f>
        <x:v>0</x:v>
      </x:c>
      <x:c r="V1196" s="21" t="n">
        <x:f>IFERROR(U1196/L1196,0)</x:f>
        <x:v>0</x:v>
      </x:c>
    </x:row>
    <x:row r="1197">
      <x:c r="A1197" s="19" t="str">
        <x:v>SALE-01193</x:v>
      </x:c>
      <x:c r="B1197" s="34" t="n">
        <x:v>46211.5</x:v>
      </x:c>
      <x:c r="C1197" s="19" t="str">
        <x:v>周三</x:v>
      </x:c>
      <x:c r="D1197" s="19" t="str">
        <x:v>S05</x:v>
      </x:c>
      <x:c r="E1197" s="19" t="str">
        <x:v>同顺街店</x:v>
      </x:c>
      <x:c r="F1197" s="19" t="str">
        <x:v>外卖</x:v>
      </x:c>
      <x:c r="G1197" s="19" t="str">
        <x:v>全日</x:v>
      </x:c>
      <x:c r="H1197" s="19" t="str">
        <x:v>D13</x:v>
      </x:c>
      <x:c r="I1197" s="19" t="str">
        <x:v>外婆菜炒蛋</x:v>
      </x:c>
      <x:c r="J1197" s="22" t="n">
        <x:f>XLOOKUP(H1197,'菜品主数据'!$A$5:$A$24,'菜品主数据'!$D$5:$D$24,0)</x:f>
        <x:v>18</x:v>
      </x:c>
      <x:c r="K1197" s="31" t="n">
        <x:v>1</x:v>
      </x:c>
      <x:c r="L1197" s="35" t="n">
        <x:f>J1197*K1197</x:f>
        <x:v>18</x:v>
      </x:c>
      <x:c r="M1197" s="36" t="n">
        <x:v>0.08</x:v>
      </x:c>
      <x:c r="N1197" s="35" t="n">
        <x:f>L1197*M1197</x:f>
        <x:v>1.44</x:v>
      </x:c>
      <x:c r="O1197" s="37" t="n">
        <x:v>0.18</x:v>
      </x:c>
      <x:c r="P1197" s="35" t="n">
        <x:f>L1197*O1197</x:f>
        <x:v>3.2399999999999998</x:v>
      </x:c>
      <x:c r="Q1197" s="35" t="n">
        <x:v>1.2</x:v>
      </x:c>
      <x:c r="R1197" s="35" t="n">
        <x:f>K1197*Q1197</x:f>
        <x:v>1.2</x:v>
      </x:c>
      <x:c r="S1197" s="35" t="n">
        <x:f>XLOOKUP(H1197,'菜品主数据'!$A$5:$A$24,'菜品主数据'!$G$5:$G$24,0)</x:f>
        <x:v>5.403999999999999</x:v>
      </x:c>
      <x:c r="T1197" s="35" t="n">
        <x:f>K1197*S1197</x:f>
        <x:v>5.403999999999999</x:v>
      </x:c>
      <x:c r="U1197" s="35" t="n">
        <x:f>L1197-N1197-P1197-R1197-T1197</x:f>
        <x:v>6.716</x:v>
      </x:c>
      <x:c r="V1197" s="21" t="n">
        <x:f>IFERROR(U1197/L1197,0)</x:f>
        <x:v>0.3731111111111111</x:v>
      </x:c>
    </x:row>
    <x:row r="1198">
      <x:c r="A1198" s="19" t="str">
        <x:v>SALE-01194</x:v>
      </x:c>
      <x:c r="B1198" s="34" t="n">
        <x:v>46211.5</x:v>
      </x:c>
      <x:c r="C1198" s="19" t="str">
        <x:v>周三</x:v>
      </x:c>
      <x:c r="D1198" s="19" t="str">
        <x:v>S05</x:v>
      </x:c>
      <x:c r="E1198" s="19" t="str">
        <x:v>同顺街店</x:v>
      </x:c>
      <x:c r="F1198" s="19" t="str">
        <x:v>外卖</x:v>
      </x:c>
      <x:c r="G1198" s="19" t="str">
        <x:v>全日</x:v>
      </x:c>
      <x:c r="H1198" s="19" t="str">
        <x:v>D14</x:v>
      </x:c>
      <x:c r="I1198" s="19" t="str">
        <x:v>酸辣鸡杂</x:v>
      </x:c>
      <x:c r="J1198" s="22" t="n">
        <x:f>XLOOKUP(H1198,'菜品主数据'!$A$5:$A$24,'菜品主数据'!$D$5:$D$24,0)</x:f>
        <x:v>28</x:v>
      </x:c>
      <x:c r="K1198" s="31" t="n">
        <x:v>0</x:v>
      </x:c>
      <x:c r="L1198" s="35" t="n">
        <x:f>J1198*K1198</x:f>
        <x:v>0</x:v>
      </x:c>
      <x:c r="M1198" s="36" t="n">
        <x:v>0.08</x:v>
      </x:c>
      <x:c r="N1198" s="35" t="n">
        <x:f>L1198*M1198</x:f>
        <x:v>0</x:v>
      </x:c>
      <x:c r="O1198" s="37" t="n">
        <x:v>0.18</x:v>
      </x:c>
      <x:c r="P1198" s="35" t="n">
        <x:f>L1198*O1198</x:f>
        <x:v>0</x:v>
      </x:c>
      <x:c r="Q1198" s="35" t="n">
        <x:v>1.2</x:v>
      </x:c>
      <x:c r="R1198" s="35" t="n">
        <x:f>K1198*Q1198</x:f>
        <x:v>0</x:v>
      </x:c>
      <x:c r="S1198" s="35" t="n">
        <x:f>XLOOKUP(H1198,'菜品主数据'!$A$5:$A$24,'菜品主数据'!$G$5:$G$24,0)</x:f>
        <x:v>8.315000000000001</x:v>
      </x:c>
      <x:c r="T1198" s="35" t="n">
        <x:f>K1198*S1198</x:f>
        <x:v>0</x:v>
      </x:c>
      <x:c r="U1198" s="35" t="n">
        <x:f>L1198-N1198-P1198-R1198-T1198</x:f>
        <x:v>0</x:v>
      </x:c>
      <x:c r="V1198" s="21" t="n">
        <x:f>IFERROR(U1198/L1198,0)</x:f>
        <x:v>0</x:v>
      </x:c>
    </x:row>
    <x:row r="1199">
      <x:c r="A1199" s="19" t="str">
        <x:v>SALE-01195</x:v>
      </x:c>
      <x:c r="B1199" s="34" t="n">
        <x:v>46211.5</x:v>
      </x:c>
      <x:c r="C1199" s="19" t="str">
        <x:v>周三</x:v>
      </x:c>
      <x:c r="D1199" s="19" t="str">
        <x:v>S05</x:v>
      </x:c>
      <x:c r="E1199" s="19" t="str">
        <x:v>同顺街店</x:v>
      </x:c>
      <x:c r="F1199" s="19" t="str">
        <x:v>外卖</x:v>
      </x:c>
      <x:c r="G1199" s="19" t="str">
        <x:v>全日</x:v>
      </x:c>
      <x:c r="H1199" s="19" t="str">
        <x:v>D15</x:v>
      </x:c>
      <x:c r="I1199" s="19" t="str">
        <x:v>湘西土匪猪肝</x:v>
      </x:c>
      <x:c r="J1199" s="22" t="n">
        <x:f>XLOOKUP(H1199,'菜品主数据'!$A$5:$A$24,'菜品主数据'!$D$5:$D$24,0)</x:f>
        <x:v>26</x:v>
      </x:c>
      <x:c r="K1199" s="31" t="n">
        <x:v>0</x:v>
      </x:c>
      <x:c r="L1199" s="35" t="n">
        <x:f>J1199*K1199</x:f>
        <x:v>0</x:v>
      </x:c>
      <x:c r="M1199" s="36" t="n">
        <x:v>0.08</x:v>
      </x:c>
      <x:c r="N1199" s="35" t="n">
        <x:f>L1199*M1199</x:f>
        <x:v>0</x:v>
      </x:c>
      <x:c r="O1199" s="37" t="n">
        <x:v>0.18</x:v>
      </x:c>
      <x:c r="P1199" s="35" t="n">
        <x:f>L1199*O1199</x:f>
        <x:v>0</x:v>
      </x:c>
      <x:c r="Q1199" s="35" t="n">
        <x:v>1.2</x:v>
      </x:c>
      <x:c r="R1199" s="35" t="n">
        <x:f>K1199*Q1199</x:f>
        <x:v>0</x:v>
      </x:c>
      <x:c r="S1199" s="35" t="n">
        <x:f>XLOOKUP(H1199,'菜品主数据'!$A$5:$A$24,'菜品主数据'!$G$5:$G$24,0)</x:f>
        <x:v>6.3759999999999994</x:v>
      </x:c>
      <x:c r="T1199" s="35" t="n">
        <x:f>K1199*S1199</x:f>
        <x:v>0</x:v>
      </x:c>
      <x:c r="U1199" s="35" t="n">
        <x:f>L1199-N1199-P1199-R1199-T1199</x:f>
        <x:v>0</x:v>
      </x:c>
      <x:c r="V1199" s="21" t="n">
        <x:f>IFERROR(U1199/L1199,0)</x:f>
        <x:v>0</x:v>
      </x:c>
    </x:row>
    <x:row r="1200">
      <x:c r="A1200" s="19" t="str">
        <x:v>SALE-01196</x:v>
      </x:c>
      <x:c r="B1200" s="34" t="n">
        <x:v>46211.5</x:v>
      </x:c>
      <x:c r="C1200" s="19" t="str">
        <x:v>周三</x:v>
      </x:c>
      <x:c r="D1200" s="19" t="str">
        <x:v>S05</x:v>
      </x:c>
      <x:c r="E1200" s="19" t="str">
        <x:v>同顺街店</x:v>
      </x:c>
      <x:c r="F1200" s="19" t="str">
        <x:v>外卖</x:v>
      </x:c>
      <x:c r="G1200" s="19" t="str">
        <x:v>全日</x:v>
      </x:c>
      <x:c r="H1200" s="19" t="str">
        <x:v>D16</x:v>
      </x:c>
      <x:c r="I1200" s="19" t="str">
        <x:v>小豆角炒五花</x:v>
      </x:c>
      <x:c r="J1200" s="22" t="n">
        <x:f>XLOOKUP(H1200,'菜品主数据'!$A$5:$A$24,'菜品主数据'!$D$5:$D$24,0)</x:f>
        <x:v>25</x:v>
      </x:c>
      <x:c r="K1200" s="31" t="n">
        <x:v>0</x:v>
      </x:c>
      <x:c r="L1200" s="35" t="n">
        <x:f>J1200*K1200</x:f>
        <x:v>0</x:v>
      </x:c>
      <x:c r="M1200" s="36" t="n">
        <x:v>0.08</x:v>
      </x:c>
      <x:c r="N1200" s="35" t="n">
        <x:f>L1200*M1200</x:f>
        <x:v>0</x:v>
      </x:c>
      <x:c r="O1200" s="37" t="n">
        <x:v>0.18</x:v>
      </x:c>
      <x:c r="P1200" s="35" t="n">
        <x:f>L1200*O1200</x:f>
        <x:v>0</x:v>
      </x:c>
      <x:c r="Q1200" s="35" t="n">
        <x:v>1.2</x:v>
      </x:c>
      <x:c r="R1200" s="35" t="n">
        <x:f>K1200*Q1200</x:f>
        <x:v>0</x:v>
      </x:c>
      <x:c r="S1200" s="35" t="n">
        <x:f>XLOOKUP(H1200,'菜品主数据'!$A$5:$A$24,'菜品主数据'!$G$5:$G$24,0)</x:f>
        <x:v>8.184</x:v>
      </x:c>
      <x:c r="T1200" s="35" t="n">
        <x:f>K1200*S1200</x:f>
        <x:v>0</x:v>
      </x:c>
      <x:c r="U1200" s="35" t="n">
        <x:f>L1200-N1200-P1200-R1200-T1200</x:f>
        <x:v>0</x:v>
      </x:c>
      <x:c r="V1200" s="21" t="n">
        <x:f>IFERROR(U1200/L1200,0)</x:f>
        <x:v>0</x:v>
      </x:c>
    </x:row>
    <x:row r="1201">
      <x:c r="A1201" s="19" t="str">
        <x:v>SALE-01197</x:v>
      </x:c>
      <x:c r="B1201" s="34" t="n">
        <x:v>46211.5</x:v>
      </x:c>
      <x:c r="C1201" s="19" t="str">
        <x:v>周三</x:v>
      </x:c>
      <x:c r="D1201" s="19" t="str">
        <x:v>S05</x:v>
      </x:c>
      <x:c r="E1201" s="19" t="str">
        <x:v>同顺街店</x:v>
      </x:c>
      <x:c r="F1201" s="19" t="str">
        <x:v>外卖</x:v>
      </x:c>
      <x:c r="G1201" s="19" t="str">
        <x:v>全日</x:v>
      </x:c>
      <x:c r="H1201" s="19" t="str">
        <x:v>D17</x:v>
      </x:c>
      <x:c r="I1201" s="19" t="str">
        <x:v>蒜蓉粉丝虾</x:v>
      </x:c>
      <x:c r="J1201" s="22" t="n">
        <x:f>XLOOKUP(H1201,'菜品主数据'!$A$5:$A$24,'菜品主数据'!$D$5:$D$24,0)</x:f>
        <x:v>36</x:v>
      </x:c>
      <x:c r="K1201" s="31" t="n">
        <x:v>0</x:v>
      </x:c>
      <x:c r="L1201" s="35" t="n">
        <x:f>J1201*K1201</x:f>
        <x:v>0</x:v>
      </x:c>
      <x:c r="M1201" s="36" t="n">
        <x:v>0.08</x:v>
      </x:c>
      <x:c r="N1201" s="35" t="n">
        <x:f>L1201*M1201</x:f>
        <x:v>0</x:v>
      </x:c>
      <x:c r="O1201" s="37" t="n">
        <x:v>0.18</x:v>
      </x:c>
      <x:c r="P1201" s="35" t="n">
        <x:f>L1201*O1201</x:f>
        <x:v>0</x:v>
      </x:c>
      <x:c r="Q1201" s="35" t="n">
        <x:v>1.2</x:v>
      </x:c>
      <x:c r="R1201" s="35" t="n">
        <x:f>K1201*Q1201</x:f>
        <x:v>0</x:v>
      </x:c>
      <x:c r="S1201" s="35" t="n">
        <x:f>XLOOKUP(H1201,'菜品主数据'!$A$5:$A$24,'菜品主数据'!$G$5:$G$24,0)</x:f>
        <x:v>13.594</x:v>
      </x:c>
      <x:c r="T1201" s="35" t="n">
        <x:f>K1201*S1201</x:f>
        <x:v>0</x:v>
      </x:c>
      <x:c r="U1201" s="35" t="n">
        <x:f>L1201-N1201-P1201-R1201-T1201</x:f>
        <x:v>0</x:v>
      </x:c>
      <x:c r="V1201" s="21" t="n">
        <x:f>IFERROR(U1201/L1201,0)</x:f>
        <x:v>0</x:v>
      </x:c>
    </x:row>
    <x:row r="1202">
      <x:c r="A1202" s="19" t="str">
        <x:v>SALE-01198</x:v>
      </x:c>
      <x:c r="B1202" s="34" t="n">
        <x:v>46211.5</x:v>
      </x:c>
      <x:c r="C1202" s="19" t="str">
        <x:v>周三</x:v>
      </x:c>
      <x:c r="D1202" s="19" t="str">
        <x:v>S05</x:v>
      </x:c>
      <x:c r="E1202" s="19" t="str">
        <x:v>同顺街店</x:v>
      </x:c>
      <x:c r="F1202" s="19" t="str">
        <x:v>外卖</x:v>
      </x:c>
      <x:c r="G1202" s="19" t="str">
        <x:v>全日</x:v>
      </x:c>
      <x:c r="H1202" s="19" t="str">
        <x:v>D18</x:v>
      </x:c>
      <x:c r="I1202" s="19" t="str">
        <x:v>青椒炒油麦菜</x:v>
      </x:c>
      <x:c r="J1202" s="22" t="n">
        <x:f>XLOOKUP(H1202,'菜品主数据'!$A$5:$A$24,'菜品主数据'!$D$5:$D$24,0)</x:f>
        <x:v>18</x:v>
      </x:c>
      <x:c r="K1202" s="31" t="n">
        <x:v>0</x:v>
      </x:c>
      <x:c r="L1202" s="35" t="n">
        <x:f>J1202*K1202</x:f>
        <x:v>0</x:v>
      </x:c>
      <x:c r="M1202" s="36" t="n">
        <x:v>0.08</x:v>
      </x:c>
      <x:c r="N1202" s="35" t="n">
        <x:f>L1202*M1202</x:f>
        <x:v>0</x:v>
      </x:c>
      <x:c r="O1202" s="37" t="n">
        <x:v>0.18</x:v>
      </x:c>
      <x:c r="P1202" s="35" t="n">
        <x:f>L1202*O1202</x:f>
        <x:v>0</x:v>
      </x:c>
      <x:c r="Q1202" s="35" t="n">
        <x:v>1.2</x:v>
      </x:c>
      <x:c r="R1202" s="35" t="n">
        <x:f>K1202*Q1202</x:f>
        <x:v>0</x:v>
      </x:c>
      <x:c r="S1202" s="35" t="n">
        <x:f>XLOOKUP(H1202,'菜品主数据'!$A$5:$A$24,'菜品主数据'!$G$5:$G$24,0)</x:f>
        <x:v>3.1759999999999993</x:v>
      </x:c>
      <x:c r="T1202" s="35" t="n">
        <x:f>K1202*S1202</x:f>
        <x:v>0</x:v>
      </x:c>
      <x:c r="U1202" s="35" t="n">
        <x:f>L1202-N1202-P1202-R1202-T1202</x:f>
        <x:v>0</x:v>
      </x:c>
      <x:c r="V1202" s="21" t="n">
        <x:f>IFERROR(U1202/L1202,0)</x:f>
        <x:v>0</x:v>
      </x:c>
    </x:row>
    <x:row r="1203">
      <x:c r="A1203" s="19" t="str">
        <x:v>SALE-01199</x:v>
      </x:c>
      <x:c r="B1203" s="34" t="n">
        <x:v>46211.5</x:v>
      </x:c>
      <x:c r="C1203" s="19" t="str">
        <x:v>周三</x:v>
      </x:c>
      <x:c r="D1203" s="19" t="str">
        <x:v>S05</x:v>
      </x:c>
      <x:c r="E1203" s="19" t="str">
        <x:v>同顺街店</x:v>
      </x:c>
      <x:c r="F1203" s="19" t="str">
        <x:v>外卖</x:v>
      </x:c>
      <x:c r="G1203" s="19" t="str">
        <x:v>全日</x:v>
      </x:c>
      <x:c r="H1203" s="19" t="str">
        <x:v>D19</x:v>
      </x:c>
      <x:c r="I1203" s="19" t="str">
        <x:v>酸萝卜炒鸡杂</x:v>
      </x:c>
      <x:c r="J1203" s="22" t="n">
        <x:f>XLOOKUP(H1203,'菜品主数据'!$A$5:$A$24,'菜品主数据'!$D$5:$D$24,0)</x:f>
        <x:v>25</x:v>
      </x:c>
      <x:c r="K1203" s="31" t="n">
        <x:v>0</x:v>
      </x:c>
      <x:c r="L1203" s="35" t="n">
        <x:f>J1203*K1203</x:f>
        <x:v>0</x:v>
      </x:c>
      <x:c r="M1203" s="36" t="n">
        <x:v>0.08</x:v>
      </x:c>
      <x:c r="N1203" s="35" t="n">
        <x:f>L1203*M1203</x:f>
        <x:v>0</x:v>
      </x:c>
      <x:c r="O1203" s="37" t="n">
        <x:v>0.18</x:v>
      </x:c>
      <x:c r="P1203" s="35" t="n">
        <x:f>L1203*O1203</x:f>
        <x:v>0</x:v>
      </x:c>
      <x:c r="Q1203" s="35" t="n">
        <x:v>1.2</x:v>
      </x:c>
      <x:c r="R1203" s="35" t="n">
        <x:f>K1203*Q1203</x:f>
        <x:v>0</x:v>
      </x:c>
      <x:c r="S1203" s="35" t="n">
        <x:f>XLOOKUP(H1203,'菜品主数据'!$A$5:$A$24,'菜品主数据'!$G$5:$G$24,0)</x:f>
        <x:v>7.9399999999999995</x:v>
      </x:c>
      <x:c r="T1203" s="35" t="n">
        <x:f>K1203*S1203</x:f>
        <x:v>0</x:v>
      </x:c>
      <x:c r="U1203" s="35" t="n">
        <x:f>L1203-N1203-P1203-R1203-T1203</x:f>
        <x:v>0</x:v>
      </x:c>
      <x:c r="V1203" s="21" t="n">
        <x:f>IFERROR(U1203/L1203,0)</x:f>
        <x:v>0</x:v>
      </x:c>
    </x:row>
    <x:row r="1204">
      <x:c r="A1204" s="19" t="str">
        <x:v>SALE-01200</x:v>
      </x:c>
      <x:c r="B1204" s="34" t="n">
        <x:v>46211.5</x:v>
      </x:c>
      <x:c r="C1204" s="19" t="str">
        <x:v>周三</x:v>
      </x:c>
      <x:c r="D1204" s="19" t="str">
        <x:v>S05</x:v>
      </x:c>
      <x:c r="E1204" s="19" t="str">
        <x:v>同顺街店</x:v>
      </x:c>
      <x:c r="F1204" s="19" t="str">
        <x:v>外卖</x:v>
      </x:c>
      <x:c r="G1204" s="19" t="str">
        <x:v>全日</x:v>
      </x:c>
      <x:c r="H1204" s="19" t="str">
        <x:v>D20</x:v>
      </x:c>
      <x:c r="I1204" s="19" t="str">
        <x:v>雪菜肉末青豆</x:v>
      </x:c>
      <x:c r="J1204" s="22" t="n">
        <x:f>XLOOKUP(H1204,'菜品主数据'!$A$5:$A$24,'菜品主数据'!$D$5:$D$24,0)</x:f>
        <x:v>18</x:v>
      </x:c>
      <x:c r="K1204" s="31" t="n">
        <x:v>0</x:v>
      </x:c>
      <x:c r="L1204" s="35" t="n">
        <x:f>J1204*K1204</x:f>
        <x:v>0</x:v>
      </x:c>
      <x:c r="M1204" s="36" t="n">
        <x:v>0.08</x:v>
      </x:c>
      <x:c r="N1204" s="35" t="n">
        <x:f>L1204*M1204</x:f>
        <x:v>0</x:v>
      </x:c>
      <x:c r="O1204" s="37" t="n">
        <x:v>0.18</x:v>
      </x:c>
      <x:c r="P1204" s="35" t="n">
        <x:f>L1204*O1204</x:f>
        <x:v>0</x:v>
      </x:c>
      <x:c r="Q1204" s="35" t="n">
        <x:v>1.2</x:v>
      </x:c>
      <x:c r="R1204" s="35" t="n">
        <x:f>K1204*Q1204</x:f>
        <x:v>0</x:v>
      </x:c>
      <x:c r="S1204" s="35" t="n">
        <x:f>XLOOKUP(H1204,'菜品主数据'!$A$5:$A$24,'菜品主数据'!$G$5:$G$24,0)</x:f>
        <x:v>7.303999999999999</x:v>
      </x:c>
      <x:c r="T1204" s="35" t="n">
        <x:f>K1204*S1204</x:f>
        <x:v>0</x:v>
      </x:c>
      <x:c r="U1204" s="35" t="n">
        <x:f>L1204-N1204-P1204-R1204-T1204</x:f>
        <x:v>0</x:v>
      </x:c>
      <x:c r="V1204" s="21" t="n">
        <x:f>IFERROR(U1204/L1204,0)</x:f>
        <x:v>0</x:v>
      </x:c>
    </x:row>
    <x:row r="1205">
      <x:c r="A1205" s="19" t="str">
        <x:v>SALE-01201</x:v>
      </x:c>
      <x:c r="B1205" s="34" t="n">
        <x:v>46212.5</x:v>
      </x:c>
      <x:c r="C1205" s="19" t="str">
        <x:v>周四</x:v>
      </x:c>
      <x:c r="D1205" s="19" t="str">
        <x:v>S05</x:v>
      </x:c>
      <x:c r="E1205" s="19" t="str">
        <x:v>同顺街店</x:v>
      </x:c>
      <x:c r="F1205" s="19" t="str">
        <x:v>堂食</x:v>
      </x:c>
      <x:c r="G1205" s="19" t="str">
        <x:v>全日</x:v>
      </x:c>
      <x:c r="H1205" s="19" t="str">
        <x:v>D01</x:v>
      </x:c>
      <x:c r="I1205" s="19" t="str">
        <x:v>辣椒炒肉</x:v>
      </x:c>
      <x:c r="J1205" s="22" t="n">
        <x:f>XLOOKUP(H1205,'菜品主数据'!$A$5:$A$24,'菜品主数据'!$D$5:$D$24,0)</x:f>
        <x:v>29</x:v>
      </x:c>
      <x:c r="K1205" s="31" t="n">
        <x:v>42</x:v>
      </x:c>
      <x:c r="L1205" s="35" t="n">
        <x:f>J1205*K1205</x:f>
        <x:v>1218</x:v>
      </x:c>
      <x:c r="M1205" s="36" t="n">
        <x:v>0</x:v>
      </x:c>
      <x:c r="N1205" s="35" t="n">
        <x:f>L1205*M1205</x:f>
        <x:v>0</x:v>
      </x:c>
      <x:c r="O1205" s="37" t="n">
        <x:v>0</x:v>
      </x:c>
      <x:c r="P1205" s="35" t="n">
        <x:f>L1205*O1205</x:f>
        <x:v>0</x:v>
      </x:c>
      <x:c r="Q1205" s="35" t="n">
        <x:v>0</x:v>
      </x:c>
      <x:c r="R1205" s="35" t="n">
        <x:f>K1205*Q1205</x:f>
        <x:v>0</x:v>
      </x:c>
      <x:c r="S1205" s="35" t="n">
        <x:f>XLOOKUP(H1205,'菜品主数据'!$A$5:$A$24,'菜品主数据'!$G$5:$G$24,0)</x:f>
        <x:v>8.634400000000001</x:v>
      </x:c>
      <x:c r="T1205" s="35" t="n">
        <x:f>K1205*S1205</x:f>
        <x:v>362.64480000000003</x:v>
      </x:c>
      <x:c r="U1205" s="35" t="n">
        <x:f>L1205-N1205-P1205-R1205-T1205</x:f>
        <x:v>855.3552</x:v>
      </x:c>
      <x:c r="V1205" s="21" t="n">
        <x:f>IFERROR(U1205/L1205,0)</x:f>
        <x:v>0.7022620689655172</x:v>
      </x:c>
    </x:row>
    <x:row r="1206">
      <x:c r="A1206" s="19" t="str">
        <x:v>SALE-01202</x:v>
      </x:c>
      <x:c r="B1206" s="34" t="n">
        <x:v>46212.5</x:v>
      </x:c>
      <x:c r="C1206" s="19" t="str">
        <x:v>周四</x:v>
      </x:c>
      <x:c r="D1206" s="19" t="str">
        <x:v>S05</x:v>
      </x:c>
      <x:c r="E1206" s="19" t="str">
        <x:v>同顺街店</x:v>
      </x:c>
      <x:c r="F1206" s="19" t="str">
        <x:v>堂食</x:v>
      </x:c>
      <x:c r="G1206" s="19" t="str">
        <x:v>全日</x:v>
      </x:c>
      <x:c r="H1206" s="19" t="str">
        <x:v>D02</x:v>
      </x:c>
      <x:c r="I1206" s="19" t="str">
        <x:v>小炒黄牛肉</x:v>
      </x:c>
      <x:c r="J1206" s="22" t="n">
        <x:f>XLOOKUP(H1206,'菜品主数据'!$A$5:$A$24,'菜品主数据'!$D$5:$D$24,0)</x:f>
        <x:v>49</x:v>
      </x:c>
      <x:c r="K1206" s="31" t="n">
        <x:v>26</x:v>
      </x:c>
      <x:c r="L1206" s="35" t="n">
        <x:f>J1206*K1206</x:f>
        <x:v>1274</x:v>
      </x:c>
      <x:c r="M1206" s="36" t="n">
        <x:v>0</x:v>
      </x:c>
      <x:c r="N1206" s="35" t="n">
        <x:f>L1206*M1206</x:f>
        <x:v>0</x:v>
      </x:c>
      <x:c r="O1206" s="37" t="n">
        <x:v>0</x:v>
      </x:c>
      <x:c r="P1206" s="35" t="n">
        <x:f>L1206*O1206</x:f>
        <x:v>0</x:v>
      </x:c>
      <x:c r="Q1206" s="35" t="n">
        <x:v>0</x:v>
      </x:c>
      <x:c r="R1206" s="35" t="n">
        <x:f>K1206*Q1206</x:f>
        <x:v>0</x:v>
      </x:c>
      <x:c r="S1206" s="35" t="n">
        <x:f>XLOOKUP(H1206,'菜品主数据'!$A$5:$A$24,'菜品主数据'!$G$5:$G$24,0)</x:f>
        <x:v>17.577</x:v>
      </x:c>
      <x:c r="T1206" s="35" t="n">
        <x:f>K1206*S1206</x:f>
        <x:v>457.00200000000007</x:v>
      </x:c>
      <x:c r="U1206" s="35" t="n">
        <x:f>L1206-N1206-P1206-R1206-T1206</x:f>
        <x:v>816.9979999999999</x:v>
      </x:c>
      <x:c r="V1206" s="21" t="n">
        <x:f>IFERROR(U1206/L1206,0)</x:f>
        <x:v>0.6412857142857142</x:v>
      </x:c>
    </x:row>
    <x:row r="1207">
      <x:c r="A1207" s="19" t="str">
        <x:v>SALE-01203</x:v>
      </x:c>
      <x:c r="B1207" s="34" t="n">
        <x:v>46212.5</x:v>
      </x:c>
      <x:c r="C1207" s="19" t="str">
        <x:v>周四</x:v>
      </x:c>
      <x:c r="D1207" s="19" t="str">
        <x:v>S05</x:v>
      </x:c>
      <x:c r="E1207" s="19" t="str">
        <x:v>同顺街店</x:v>
      </x:c>
      <x:c r="F1207" s="19" t="str">
        <x:v>堂食</x:v>
      </x:c>
      <x:c r="G1207" s="19" t="str">
        <x:v>全日</x:v>
      </x:c>
      <x:c r="H1207" s="19" t="str">
        <x:v>D03</x:v>
      </x:c>
      <x:c r="I1207" s="19" t="str">
        <x:v>香醋炒蛋</x:v>
      </x:c>
      <x:c r="J1207" s="22" t="n">
        <x:f>XLOOKUP(H1207,'菜品主数据'!$A$5:$A$24,'菜品主数据'!$D$5:$D$24,0)</x:f>
        <x:v>14.9</x:v>
      </x:c>
      <x:c r="K1207" s="31" t="n">
        <x:v>37</x:v>
      </x:c>
      <x:c r="L1207" s="35" t="n">
        <x:f>J1207*K1207</x:f>
        <x:v>551.3000000000001</x:v>
      </x:c>
      <x:c r="M1207" s="36" t="n">
        <x:v>0</x:v>
      </x:c>
      <x:c r="N1207" s="35" t="n">
        <x:f>L1207*M1207</x:f>
        <x:v>0</x:v>
      </x:c>
      <x:c r="O1207" s="37" t="n">
        <x:v>0</x:v>
      </x:c>
      <x:c r="P1207" s="35" t="n">
        <x:f>L1207*O1207</x:f>
        <x:v>0</x:v>
      </x:c>
      <x:c r="Q1207" s="35" t="n">
        <x:v>0</x:v>
      </x:c>
      <x:c r="R1207" s="35" t="n">
        <x:f>K1207*Q1207</x:f>
        <x:v>0</x:v>
      </x:c>
      <x:c r="S1207" s="35" t="n">
        <x:f>XLOOKUP(H1207,'菜品主数据'!$A$5:$A$24,'菜品主数据'!$G$5:$G$24,0)</x:f>
        <x:v>3.7459999999999996</x:v>
      </x:c>
      <x:c r="T1207" s="35" t="n">
        <x:f>K1207*S1207</x:f>
        <x:v>138.60199999999998</x:v>
      </x:c>
      <x:c r="U1207" s="35" t="n">
        <x:f>L1207-N1207-P1207-R1207-T1207</x:f>
        <x:v>412.6980000000001</x:v>
      </x:c>
      <x:c r="V1207" s="21" t="n">
        <x:f>IFERROR(U1207/L1207,0)</x:f>
        <x:v>0.7485906040268457</x:v>
      </x:c>
    </x:row>
    <x:row r="1208">
      <x:c r="A1208" s="19" t="str">
        <x:v>SALE-01204</x:v>
      </x:c>
      <x:c r="B1208" s="34" t="n">
        <x:v>46212.5</x:v>
      </x:c>
      <x:c r="C1208" s="19" t="str">
        <x:v>周四</x:v>
      </x:c>
      <x:c r="D1208" s="19" t="str">
        <x:v>S05</x:v>
      </x:c>
      <x:c r="E1208" s="19" t="str">
        <x:v>同顺街店</x:v>
      </x:c>
      <x:c r="F1208" s="19" t="str">
        <x:v>堂食</x:v>
      </x:c>
      <x:c r="G1208" s="19" t="str">
        <x:v>全日</x:v>
      </x:c>
      <x:c r="H1208" s="19" t="str">
        <x:v>D04</x:v>
      </x:c>
      <x:c r="I1208" s="19" t="str">
        <x:v>酸包菜炒粉皮</x:v>
      </x:c>
      <x:c r="J1208" s="22" t="n">
        <x:f>XLOOKUP(H1208,'菜品主数据'!$A$5:$A$24,'菜品主数据'!$D$5:$D$24,0)</x:f>
        <x:v>16</x:v>
      </x:c>
      <x:c r="K1208" s="31" t="n">
        <x:v>32</x:v>
      </x:c>
      <x:c r="L1208" s="35" t="n">
        <x:f>J1208*K1208</x:f>
        <x:v>512</x:v>
      </x:c>
      <x:c r="M1208" s="36" t="n">
        <x:v>0</x:v>
      </x:c>
      <x:c r="N1208" s="35" t="n">
        <x:f>L1208*M1208</x:f>
        <x:v>0</x:v>
      </x:c>
      <x:c r="O1208" s="37" t="n">
        <x:v>0</x:v>
      </x:c>
      <x:c r="P1208" s="35" t="n">
        <x:f>L1208*O1208</x:f>
        <x:v>0</x:v>
      </x:c>
      <x:c r="Q1208" s="35" t="n">
        <x:v>0</x:v>
      </x:c>
      <x:c r="R1208" s="35" t="n">
        <x:f>K1208*Q1208</x:f>
        <x:v>0</x:v>
      </x:c>
      <x:c r="S1208" s="35" t="n">
        <x:f>XLOOKUP(H1208,'菜品主数据'!$A$5:$A$24,'菜品主数据'!$G$5:$G$24,0)</x:f>
        <x:v>3.978</x:v>
      </x:c>
      <x:c r="T1208" s="35" t="n">
        <x:f>K1208*S1208</x:f>
        <x:v>127.296</x:v>
      </x:c>
      <x:c r="U1208" s="35" t="n">
        <x:f>L1208-N1208-P1208-R1208-T1208</x:f>
        <x:v>384.704</x:v>
      </x:c>
      <x:c r="V1208" s="21" t="n">
        <x:f>IFERROR(U1208/L1208,0)</x:f>
        <x:v>0.751375</x:v>
      </x:c>
    </x:row>
    <x:row r="1209">
      <x:c r="A1209" s="19" t="str">
        <x:v>SALE-01205</x:v>
      </x:c>
      <x:c r="B1209" s="34" t="n">
        <x:v>46212.5</x:v>
      </x:c>
      <x:c r="C1209" s="19" t="str">
        <x:v>周四</x:v>
      </x:c>
      <x:c r="D1209" s="19" t="str">
        <x:v>S05</x:v>
      </x:c>
      <x:c r="E1209" s="19" t="str">
        <x:v>同顺街店</x:v>
      </x:c>
      <x:c r="F1209" s="19" t="str">
        <x:v>堂食</x:v>
      </x:c>
      <x:c r="G1209" s="19" t="str">
        <x:v>全日</x:v>
      </x:c>
      <x:c r="H1209" s="19" t="str">
        <x:v>D05</x:v>
      </x:c>
      <x:c r="I1209" s="19" t="str">
        <x:v>麻婆豆腐</x:v>
      </x:c>
      <x:c r="J1209" s="22" t="n">
        <x:f>XLOOKUP(H1209,'菜品主数据'!$A$5:$A$24,'菜品主数据'!$D$5:$D$24,0)</x:f>
        <x:v>9.9</x:v>
      </x:c>
      <x:c r="K1209" s="31" t="n">
        <x:v>47</x:v>
      </x:c>
      <x:c r="L1209" s="35" t="n">
        <x:f>J1209*K1209</x:f>
        <x:v>465.3</x:v>
      </x:c>
      <x:c r="M1209" s="36" t="n">
        <x:v>0</x:v>
      </x:c>
      <x:c r="N1209" s="35" t="n">
        <x:f>L1209*M1209</x:f>
        <x:v>0</x:v>
      </x:c>
      <x:c r="O1209" s="37" t="n">
        <x:v>0</x:v>
      </x:c>
      <x:c r="P1209" s="35" t="n">
        <x:f>L1209*O1209</x:f>
        <x:v>0</x:v>
      </x:c>
      <x:c r="Q1209" s="35" t="n">
        <x:v>0</x:v>
      </x:c>
      <x:c r="R1209" s="35" t="n">
        <x:f>K1209*Q1209</x:f>
        <x:v>0</x:v>
      </x:c>
      <x:c r="S1209" s="35" t="n">
        <x:f>XLOOKUP(H1209,'菜品主数据'!$A$5:$A$24,'菜品主数据'!$G$5:$G$24,0)</x:f>
        <x:v>5.367000000000001</x:v>
      </x:c>
      <x:c r="T1209" s="35" t="n">
        <x:f>K1209*S1209</x:f>
        <x:v>252.24900000000005</x:v>
      </x:c>
      <x:c r="U1209" s="35" t="n">
        <x:f>L1209-N1209-P1209-R1209-T1209</x:f>
        <x:v>213.05099999999996</x:v>
      </x:c>
      <x:c r="V1209" s="21" t="n">
        <x:f>IFERROR(U1209/L1209,0)</x:f>
        <x:v>0.4578787878787878</x:v>
      </x:c>
    </x:row>
    <x:row r="1210">
      <x:c r="A1210" s="19" t="str">
        <x:v>SALE-01206</x:v>
      </x:c>
      <x:c r="B1210" s="34" t="n">
        <x:v>46212.5</x:v>
      </x:c>
      <x:c r="C1210" s="19" t="str">
        <x:v>周四</x:v>
      </x:c>
      <x:c r="D1210" s="19" t="str">
        <x:v>S05</x:v>
      </x:c>
      <x:c r="E1210" s="19" t="str">
        <x:v>同顺街店</x:v>
      </x:c>
      <x:c r="F1210" s="19" t="str">
        <x:v>堂食</x:v>
      </x:c>
      <x:c r="G1210" s="19" t="str">
        <x:v>全日</x:v>
      </x:c>
      <x:c r="H1210" s="19" t="str">
        <x:v>D06</x:v>
      </x:c>
      <x:c r="I1210" s="19" t="str">
        <x:v>剁椒鱼头</x:v>
      </x:c>
      <x:c r="J1210" s="22" t="n">
        <x:f>XLOOKUP(H1210,'菜品主数据'!$A$5:$A$24,'菜品主数据'!$D$5:$D$24,0)</x:f>
        <x:v>39</x:v>
      </x:c>
      <x:c r="K1210" s="31" t="n">
        <x:v>11</x:v>
      </x:c>
      <x:c r="L1210" s="35" t="n">
        <x:f>J1210*K1210</x:f>
        <x:v>429</x:v>
      </x:c>
      <x:c r="M1210" s="36" t="n">
        <x:v>0</x:v>
      </x:c>
      <x:c r="N1210" s="35" t="n">
        <x:f>L1210*M1210</x:f>
        <x:v>0</x:v>
      </x:c>
      <x:c r="O1210" s="37" t="n">
        <x:v>0</x:v>
      </x:c>
      <x:c r="P1210" s="35" t="n">
        <x:f>L1210*O1210</x:f>
        <x:v>0</x:v>
      </x:c>
      <x:c r="Q1210" s="35" t="n">
        <x:v>0</x:v>
      </x:c>
      <x:c r="R1210" s="35" t="n">
        <x:f>K1210*Q1210</x:f>
        <x:v>0</x:v>
      </x:c>
      <x:c r="S1210" s="35" t="n">
        <x:f>XLOOKUP(H1210,'菜品主数据'!$A$5:$A$24,'菜品主数据'!$G$5:$G$24,0)</x:f>
        <x:v>17.446</x:v>
      </x:c>
      <x:c r="T1210" s="35" t="n">
        <x:f>K1210*S1210</x:f>
        <x:v>191.906</x:v>
      </x:c>
      <x:c r="U1210" s="35" t="n">
        <x:f>L1210-N1210-P1210-R1210-T1210</x:f>
        <x:v>237.094</x:v>
      </x:c>
      <x:c r="V1210" s="21" t="n">
        <x:f>IFERROR(U1210/L1210,0)</x:f>
        <x:v>0.5526666666666666</x:v>
      </x:c>
    </x:row>
    <x:row r="1211">
      <x:c r="A1211" s="19" t="str">
        <x:v>SALE-01207</x:v>
      </x:c>
      <x:c r="B1211" s="34" t="n">
        <x:v>46212.5</x:v>
      </x:c>
      <x:c r="C1211" s="19" t="str">
        <x:v>周四</x:v>
      </x:c>
      <x:c r="D1211" s="19" t="str">
        <x:v>S05</x:v>
      </x:c>
      <x:c r="E1211" s="19" t="str">
        <x:v>同顺街店</x:v>
      </x:c>
      <x:c r="F1211" s="19" t="str">
        <x:v>堂食</x:v>
      </x:c>
      <x:c r="G1211" s="19" t="str">
        <x:v>全日</x:v>
      </x:c>
      <x:c r="H1211" s="19" t="str">
        <x:v>D07</x:v>
      </x:c>
      <x:c r="I1211" s="19" t="str">
        <x:v>川味回锅肉</x:v>
      </x:c>
      <x:c r="J1211" s="22" t="n">
        <x:f>XLOOKUP(H1211,'菜品主数据'!$A$5:$A$24,'菜品主数据'!$D$5:$D$24,0)</x:f>
        <x:v>29</x:v>
      </x:c>
      <x:c r="K1211" s="31" t="n">
        <x:v>14</x:v>
      </x:c>
      <x:c r="L1211" s="35" t="n">
        <x:f>J1211*K1211</x:f>
        <x:v>406</x:v>
      </x:c>
      <x:c r="M1211" s="36" t="n">
        <x:v>0</x:v>
      </x:c>
      <x:c r="N1211" s="35" t="n">
        <x:f>L1211*M1211</x:f>
        <x:v>0</x:v>
      </x:c>
      <x:c r="O1211" s="37" t="n">
        <x:v>0</x:v>
      </x:c>
      <x:c r="P1211" s="35" t="n">
        <x:f>L1211*O1211</x:f>
        <x:v>0</x:v>
      </x:c>
      <x:c r="Q1211" s="35" t="n">
        <x:v>0</x:v>
      </x:c>
      <x:c r="R1211" s="35" t="n">
        <x:f>K1211*Q1211</x:f>
        <x:v>0</x:v>
      </x:c>
      <x:c r="S1211" s="35" t="n">
        <x:f>XLOOKUP(H1211,'菜品主数据'!$A$5:$A$24,'菜品主数据'!$G$5:$G$24,0)</x:f>
        <x:v>10.231000000000002</x:v>
      </x:c>
      <x:c r="T1211" s="35" t="n">
        <x:f>K1211*S1211</x:f>
        <x:v>143.23400000000004</x:v>
      </x:c>
      <x:c r="U1211" s="35" t="n">
        <x:f>L1211-N1211-P1211-R1211-T1211</x:f>
        <x:v>262.76599999999996</x:v>
      </x:c>
      <x:c r="V1211" s="21" t="n">
        <x:f>IFERROR(U1211/L1211,0)</x:f>
        <x:v>0.647206896551724</x:v>
      </x:c>
    </x:row>
    <x:row r="1212">
      <x:c r="A1212" s="19" t="str">
        <x:v>SALE-01208</x:v>
      </x:c>
      <x:c r="B1212" s="34" t="n">
        <x:v>46212.5</x:v>
      </x:c>
      <x:c r="C1212" s="19" t="str">
        <x:v>周四</x:v>
      </x:c>
      <x:c r="D1212" s="19" t="str">
        <x:v>S05</x:v>
      </x:c>
      <x:c r="E1212" s="19" t="str">
        <x:v>同顺街店</x:v>
      </x:c>
      <x:c r="F1212" s="19" t="str">
        <x:v>堂食</x:v>
      </x:c>
      <x:c r="G1212" s="19" t="str">
        <x:v>全日</x:v>
      </x:c>
      <x:c r="H1212" s="19" t="str">
        <x:v>D08</x:v>
      </x:c>
      <x:c r="I1212" s="19" t="str">
        <x:v>生炒清远鸡</x:v>
      </x:c>
      <x:c r="J1212" s="22" t="n">
        <x:f>XLOOKUP(H1212,'菜品主数据'!$A$5:$A$24,'菜品主数据'!$D$5:$D$24,0)</x:f>
        <x:v>36</x:v>
      </x:c>
      <x:c r="K1212" s="31" t="n">
        <x:v>9</x:v>
      </x:c>
      <x:c r="L1212" s="35" t="n">
        <x:f>J1212*K1212</x:f>
        <x:v>324</x:v>
      </x:c>
      <x:c r="M1212" s="36" t="n">
        <x:v>0</x:v>
      </x:c>
      <x:c r="N1212" s="35" t="n">
        <x:f>L1212*M1212</x:f>
        <x:v>0</x:v>
      </x:c>
      <x:c r="O1212" s="37" t="n">
        <x:v>0</x:v>
      </x:c>
      <x:c r="P1212" s="35" t="n">
        <x:f>L1212*O1212</x:f>
        <x:v>0</x:v>
      </x:c>
      <x:c r="Q1212" s="35" t="n">
        <x:v>0</x:v>
      </x:c>
      <x:c r="R1212" s="35" t="n">
        <x:f>K1212*Q1212</x:f>
        <x:v>0</x:v>
      </x:c>
      <x:c r="S1212" s="35" t="n">
        <x:f>XLOOKUP(H1212,'菜品主数据'!$A$5:$A$24,'菜品主数据'!$G$5:$G$24,0)</x:f>
        <x:v>13.48</x:v>
      </x:c>
      <x:c r="T1212" s="35" t="n">
        <x:f>K1212*S1212</x:f>
        <x:v>121.32000000000001</x:v>
      </x:c>
      <x:c r="U1212" s="35" t="n">
        <x:f>L1212-N1212-P1212-R1212-T1212</x:f>
        <x:v>202.68</x:v>
      </x:c>
      <x:c r="V1212" s="21" t="n">
        <x:f>IFERROR(U1212/L1212,0)</x:f>
        <x:v>0.6255555555555555</x:v>
      </x:c>
    </x:row>
    <x:row r="1213">
      <x:c r="A1213" s="19" t="str">
        <x:v>SALE-01209</x:v>
      </x:c>
      <x:c r="B1213" s="34" t="n">
        <x:v>46212.5</x:v>
      </x:c>
      <x:c r="C1213" s="19" t="str">
        <x:v>周四</x:v>
      </x:c>
      <x:c r="D1213" s="19" t="str">
        <x:v>S05</x:v>
      </x:c>
      <x:c r="E1213" s="19" t="str">
        <x:v>同顺街店</x:v>
      </x:c>
      <x:c r="F1213" s="19" t="str">
        <x:v>堂食</x:v>
      </x:c>
      <x:c r="G1213" s="19" t="str">
        <x:v>全日</x:v>
      </x:c>
      <x:c r="H1213" s="19" t="str">
        <x:v>D09</x:v>
      </x:c>
      <x:c r="I1213" s="19" t="str">
        <x:v>炒豆干</x:v>
      </x:c>
      <x:c r="J1213" s="22" t="n">
        <x:f>XLOOKUP(H1213,'菜品主数据'!$A$5:$A$24,'菜品主数据'!$D$5:$D$24,0)</x:f>
        <x:v>18</x:v>
      </x:c>
      <x:c r="K1213" s="31" t="n">
        <x:v>15</x:v>
      </x:c>
      <x:c r="L1213" s="35" t="n">
        <x:f>J1213*K1213</x:f>
        <x:v>270</x:v>
      </x:c>
      <x:c r="M1213" s="36" t="n">
        <x:v>0</x:v>
      </x:c>
      <x:c r="N1213" s="35" t="n">
        <x:f>L1213*M1213</x:f>
        <x:v>0</x:v>
      </x:c>
      <x:c r="O1213" s="37" t="n">
        <x:v>0</x:v>
      </x:c>
      <x:c r="P1213" s="35" t="n">
        <x:f>L1213*O1213</x:f>
        <x:v>0</x:v>
      </x:c>
      <x:c r="Q1213" s="35" t="n">
        <x:v>0</x:v>
      </x:c>
      <x:c r="R1213" s="35" t="n">
        <x:f>K1213*Q1213</x:f>
        <x:v>0</x:v>
      </x:c>
      <x:c r="S1213" s="35" t="n">
        <x:f>XLOOKUP(H1213,'菜品主数据'!$A$5:$A$24,'菜品主数据'!$G$5:$G$24,0)</x:f>
        <x:v>6.613999999999999</x:v>
      </x:c>
      <x:c r="T1213" s="35" t="n">
        <x:f>K1213*S1213</x:f>
        <x:v>99.20999999999998</x:v>
      </x:c>
      <x:c r="U1213" s="35" t="n">
        <x:f>L1213-N1213-P1213-R1213-T1213</x:f>
        <x:v>170.79000000000002</x:v>
      </x:c>
      <x:c r="V1213" s="21" t="n">
        <x:f>IFERROR(U1213/L1213,0)</x:f>
        <x:v>0.6325555555555556</x:v>
      </x:c>
    </x:row>
    <x:row r="1214">
      <x:c r="A1214" s="19" t="str">
        <x:v>SALE-01210</x:v>
      </x:c>
      <x:c r="B1214" s="34" t="n">
        <x:v>46212.5</x:v>
      </x:c>
      <x:c r="C1214" s="19" t="str">
        <x:v>周四</x:v>
      </x:c>
      <x:c r="D1214" s="19" t="str">
        <x:v>S05</x:v>
      </x:c>
      <x:c r="E1214" s="19" t="str">
        <x:v>同顺街店</x:v>
      </x:c>
      <x:c r="F1214" s="19" t="str">
        <x:v>堂食</x:v>
      </x:c>
      <x:c r="G1214" s="19" t="str">
        <x:v>全日</x:v>
      </x:c>
      <x:c r="H1214" s="19" t="str">
        <x:v>D10</x:v>
      </x:c>
      <x:c r="I1214" s="19" t="str">
        <x:v>农家一碗香</x:v>
      </x:c>
      <x:c r="J1214" s="22" t="n">
        <x:f>XLOOKUP(H1214,'菜品主数据'!$A$5:$A$24,'菜品主数据'!$D$5:$D$24,0)</x:f>
        <x:v>22.9</x:v>
      </x:c>
      <x:c r="K1214" s="31" t="n">
        <x:v>15</x:v>
      </x:c>
      <x:c r="L1214" s="35" t="n">
        <x:f>J1214*K1214</x:f>
        <x:v>343.5</x:v>
      </x:c>
      <x:c r="M1214" s="36" t="n">
        <x:v>0</x:v>
      </x:c>
      <x:c r="N1214" s="35" t="n">
        <x:f>L1214*M1214</x:f>
        <x:v>0</x:v>
      </x:c>
      <x:c r="O1214" s="37" t="n">
        <x:v>0</x:v>
      </x:c>
      <x:c r="P1214" s="35" t="n">
        <x:f>L1214*O1214</x:f>
        <x:v>0</x:v>
      </x:c>
      <x:c r="Q1214" s="35" t="n">
        <x:v>0</x:v>
      </x:c>
      <x:c r="R1214" s="35" t="n">
        <x:f>K1214*Q1214</x:f>
        <x:v>0</x:v>
      </x:c>
      <x:c r="S1214" s="35" t="n">
        <x:f>XLOOKUP(H1214,'菜品主数据'!$A$5:$A$24,'菜品主数据'!$G$5:$G$24,0)</x:f>
        <x:v>9.770200000000003</x:v>
      </x:c>
      <x:c r="T1214" s="35" t="n">
        <x:f>K1214*S1214</x:f>
        <x:v>146.55300000000005</x:v>
      </x:c>
      <x:c r="U1214" s="35" t="n">
        <x:f>L1214-N1214-P1214-R1214-T1214</x:f>
        <x:v>196.94699999999995</x:v>
      </x:c>
      <x:c r="V1214" s="21" t="n">
        <x:f>IFERROR(U1214/L1214,0)</x:f>
        <x:v>0.5733537117903929</x:v>
      </x:c>
    </x:row>
    <x:row r="1215">
      <x:c r="A1215" s="19" t="str">
        <x:v>SALE-01211</x:v>
      </x:c>
      <x:c r="B1215" s="34" t="n">
        <x:v>46212.5</x:v>
      </x:c>
      <x:c r="C1215" s="19" t="str">
        <x:v>周四</x:v>
      </x:c>
      <x:c r="D1215" s="19" t="str">
        <x:v>S05</x:v>
      </x:c>
      <x:c r="E1215" s="19" t="str">
        <x:v>同顺街店</x:v>
      </x:c>
      <x:c r="F1215" s="19" t="str">
        <x:v>堂食</x:v>
      </x:c>
      <x:c r="G1215" s="19" t="str">
        <x:v>全日</x:v>
      </x:c>
      <x:c r="H1215" s="19" t="str">
        <x:v>D11</x:v>
      </x:c>
      <x:c r="I1215" s="19" t="str">
        <x:v>香辣爆肥肠</x:v>
      </x:c>
      <x:c r="J1215" s="22" t="n">
        <x:f>XLOOKUP(H1215,'菜品主数据'!$A$5:$A$24,'菜品主数据'!$D$5:$D$24,0)</x:f>
        <x:v>39</x:v>
      </x:c>
      <x:c r="K1215" s="31" t="n">
        <x:v>6</x:v>
      </x:c>
      <x:c r="L1215" s="35" t="n">
        <x:f>J1215*K1215</x:f>
        <x:v>234</x:v>
      </x:c>
      <x:c r="M1215" s="36" t="n">
        <x:v>0</x:v>
      </x:c>
      <x:c r="N1215" s="35" t="n">
        <x:f>L1215*M1215</x:f>
        <x:v>0</x:v>
      </x:c>
      <x:c r="O1215" s="37" t="n">
        <x:v>0</x:v>
      </x:c>
      <x:c r="P1215" s="35" t="n">
        <x:f>L1215*O1215</x:f>
        <x:v>0</x:v>
      </x:c>
      <x:c r="Q1215" s="35" t="n">
        <x:v>0</x:v>
      </x:c>
      <x:c r="R1215" s="35" t="n">
        <x:f>K1215*Q1215</x:f>
        <x:v>0</x:v>
      </x:c>
      <x:c r="S1215" s="35" t="n">
        <x:f>XLOOKUP(H1215,'菜品主数据'!$A$5:$A$24,'菜品主数据'!$G$5:$G$24,0)</x:f>
        <x:v>10.397</x:v>
      </x:c>
      <x:c r="T1215" s="35" t="n">
        <x:f>K1215*S1215</x:f>
        <x:v>62.382000000000005</x:v>
      </x:c>
      <x:c r="U1215" s="35" t="n">
        <x:f>L1215-N1215-P1215-R1215-T1215</x:f>
        <x:v>171.618</x:v>
      </x:c>
      <x:c r="V1215" s="21" t="n">
        <x:f>IFERROR(U1215/L1215,0)</x:f>
        <x:v>0.7334102564102564</x:v>
      </x:c>
    </x:row>
    <x:row r="1216">
      <x:c r="A1216" s="19" t="str">
        <x:v>SALE-01212</x:v>
      </x:c>
      <x:c r="B1216" s="34" t="n">
        <x:v>46212.5</x:v>
      </x:c>
      <x:c r="C1216" s="19" t="str">
        <x:v>周四</x:v>
      </x:c>
      <x:c r="D1216" s="19" t="str">
        <x:v>S05</x:v>
      </x:c>
      <x:c r="E1216" s="19" t="str">
        <x:v>同顺街店</x:v>
      </x:c>
      <x:c r="F1216" s="19" t="str">
        <x:v>堂食</x:v>
      </x:c>
      <x:c r="G1216" s="19" t="str">
        <x:v>全日</x:v>
      </x:c>
      <x:c r="H1216" s="19" t="str">
        <x:v>D12</x:v>
      </x:c>
      <x:c r="I1216" s="19" t="str">
        <x:v>清蒸鲈鱼</x:v>
      </x:c>
      <x:c r="J1216" s="22" t="n">
        <x:f>XLOOKUP(H1216,'菜品主数据'!$A$5:$A$24,'菜品主数据'!$D$5:$D$24,0)</x:f>
        <x:v>39</x:v>
      </x:c>
      <x:c r="K1216" s="31" t="n">
        <x:v>6</x:v>
      </x:c>
      <x:c r="L1216" s="35" t="n">
        <x:f>J1216*K1216</x:f>
        <x:v>234</x:v>
      </x:c>
      <x:c r="M1216" s="36" t="n">
        <x:v>0</x:v>
      </x:c>
      <x:c r="N1216" s="35" t="n">
        <x:f>L1216*M1216</x:f>
        <x:v>0</x:v>
      </x:c>
      <x:c r="O1216" s="37" t="n">
        <x:v>0</x:v>
      </x:c>
      <x:c r="P1216" s="35" t="n">
        <x:f>L1216*O1216</x:f>
        <x:v>0</x:v>
      </x:c>
      <x:c r="Q1216" s="35" t="n">
        <x:v>0</x:v>
      </x:c>
      <x:c r="R1216" s="35" t="n">
        <x:f>K1216*Q1216</x:f>
        <x:v>0</x:v>
      </x:c>
      <x:c r="S1216" s="35" t="n">
        <x:f>XLOOKUP(H1216,'菜品主数据'!$A$5:$A$24,'菜品主数据'!$G$5:$G$24,0)</x:f>
        <x:v>18.874</x:v>
      </x:c>
      <x:c r="T1216" s="35" t="n">
        <x:f>K1216*S1216</x:f>
        <x:v>113.244</x:v>
      </x:c>
      <x:c r="U1216" s="35" t="n">
        <x:f>L1216-N1216-P1216-R1216-T1216</x:f>
        <x:v>120.756</x:v>
      </x:c>
      <x:c r="V1216" s="21" t="n">
        <x:f>IFERROR(U1216/L1216,0)</x:f>
        <x:v>0.516051282051282</x:v>
      </x:c>
    </x:row>
    <x:row r="1217">
      <x:c r="A1217" s="19" t="str">
        <x:v>SALE-01213</x:v>
      </x:c>
      <x:c r="B1217" s="34" t="n">
        <x:v>46212.5</x:v>
      </x:c>
      <x:c r="C1217" s="19" t="str">
        <x:v>周四</x:v>
      </x:c>
      <x:c r="D1217" s="19" t="str">
        <x:v>S05</x:v>
      </x:c>
      <x:c r="E1217" s="19" t="str">
        <x:v>同顺街店</x:v>
      </x:c>
      <x:c r="F1217" s="19" t="str">
        <x:v>堂食</x:v>
      </x:c>
      <x:c r="G1217" s="19" t="str">
        <x:v>全日</x:v>
      </x:c>
      <x:c r="H1217" s="19" t="str">
        <x:v>D13</x:v>
      </x:c>
      <x:c r="I1217" s="19" t="str">
        <x:v>外婆菜炒蛋</x:v>
      </x:c>
      <x:c r="J1217" s="22" t="n">
        <x:f>XLOOKUP(H1217,'菜品主数据'!$A$5:$A$24,'菜品主数据'!$D$5:$D$24,0)</x:f>
        <x:v>18</x:v>
      </x:c>
      <x:c r="K1217" s="31" t="n">
        <x:v>15</x:v>
      </x:c>
      <x:c r="L1217" s="35" t="n">
        <x:f>J1217*K1217</x:f>
        <x:v>270</x:v>
      </x:c>
      <x:c r="M1217" s="36" t="n">
        <x:v>0</x:v>
      </x:c>
      <x:c r="N1217" s="35" t="n">
        <x:f>L1217*M1217</x:f>
        <x:v>0</x:v>
      </x:c>
      <x:c r="O1217" s="37" t="n">
        <x:v>0</x:v>
      </x:c>
      <x:c r="P1217" s="35" t="n">
        <x:f>L1217*O1217</x:f>
        <x:v>0</x:v>
      </x:c>
      <x:c r="Q1217" s="35" t="n">
        <x:v>0</x:v>
      </x:c>
      <x:c r="R1217" s="35" t="n">
        <x:f>K1217*Q1217</x:f>
        <x:v>0</x:v>
      </x:c>
      <x:c r="S1217" s="35" t="n">
        <x:f>XLOOKUP(H1217,'菜品主数据'!$A$5:$A$24,'菜品主数据'!$G$5:$G$24,0)</x:f>
        <x:v>5.403999999999999</x:v>
      </x:c>
      <x:c r="T1217" s="35" t="n">
        <x:f>K1217*S1217</x:f>
        <x:v>81.05999999999999</x:v>
      </x:c>
      <x:c r="U1217" s="35" t="n">
        <x:f>L1217-N1217-P1217-R1217-T1217</x:f>
        <x:v>188.94</x:v>
      </x:c>
      <x:c r="V1217" s="21" t="n">
        <x:f>IFERROR(U1217/L1217,0)</x:f>
        <x:v>0.6997777777777777</x:v>
      </x:c>
    </x:row>
    <x:row r="1218">
      <x:c r="A1218" s="19" t="str">
        <x:v>SALE-01214</x:v>
      </x:c>
      <x:c r="B1218" s="34" t="n">
        <x:v>46212.5</x:v>
      </x:c>
      <x:c r="C1218" s="19" t="str">
        <x:v>周四</x:v>
      </x:c>
      <x:c r="D1218" s="19" t="str">
        <x:v>S05</x:v>
      </x:c>
      <x:c r="E1218" s="19" t="str">
        <x:v>同顺街店</x:v>
      </x:c>
      <x:c r="F1218" s="19" t="str">
        <x:v>堂食</x:v>
      </x:c>
      <x:c r="G1218" s="19" t="str">
        <x:v>全日</x:v>
      </x:c>
      <x:c r="H1218" s="19" t="str">
        <x:v>D14</x:v>
      </x:c>
      <x:c r="I1218" s="19" t="str">
        <x:v>酸辣鸡杂</x:v>
      </x:c>
      <x:c r="J1218" s="22" t="n">
        <x:f>XLOOKUP(H1218,'菜品主数据'!$A$5:$A$24,'菜品主数据'!$D$5:$D$24,0)</x:f>
        <x:v>28</x:v>
      </x:c>
      <x:c r="K1218" s="31" t="n">
        <x:v>8</x:v>
      </x:c>
      <x:c r="L1218" s="35" t="n">
        <x:f>J1218*K1218</x:f>
        <x:v>224</x:v>
      </x:c>
      <x:c r="M1218" s="36" t="n">
        <x:v>0</x:v>
      </x:c>
      <x:c r="N1218" s="35" t="n">
        <x:f>L1218*M1218</x:f>
        <x:v>0</x:v>
      </x:c>
      <x:c r="O1218" s="37" t="n">
        <x:v>0</x:v>
      </x:c>
      <x:c r="P1218" s="35" t="n">
        <x:f>L1218*O1218</x:f>
        <x:v>0</x:v>
      </x:c>
      <x:c r="Q1218" s="35" t="n">
        <x:v>0</x:v>
      </x:c>
      <x:c r="R1218" s="35" t="n">
        <x:f>K1218*Q1218</x:f>
        <x:v>0</x:v>
      </x:c>
      <x:c r="S1218" s="35" t="n">
        <x:f>XLOOKUP(H1218,'菜品主数据'!$A$5:$A$24,'菜品主数据'!$G$5:$G$24,0)</x:f>
        <x:v>8.315000000000001</x:v>
      </x:c>
      <x:c r="T1218" s="35" t="n">
        <x:f>K1218*S1218</x:f>
        <x:v>66.52000000000001</x:v>
      </x:c>
      <x:c r="U1218" s="35" t="n">
        <x:f>L1218-N1218-P1218-R1218-T1218</x:f>
        <x:v>157.48</x:v>
      </x:c>
      <x:c r="V1218" s="21" t="n">
        <x:f>IFERROR(U1218/L1218,0)</x:f>
        <x:v>0.7030357142857142</x:v>
      </x:c>
    </x:row>
    <x:row r="1219">
      <x:c r="A1219" s="19" t="str">
        <x:v>SALE-01215</x:v>
      </x:c>
      <x:c r="B1219" s="34" t="n">
        <x:v>46212.5</x:v>
      </x:c>
      <x:c r="C1219" s="19" t="str">
        <x:v>周四</x:v>
      </x:c>
      <x:c r="D1219" s="19" t="str">
        <x:v>S05</x:v>
      </x:c>
      <x:c r="E1219" s="19" t="str">
        <x:v>同顺街店</x:v>
      </x:c>
      <x:c r="F1219" s="19" t="str">
        <x:v>堂食</x:v>
      </x:c>
      <x:c r="G1219" s="19" t="str">
        <x:v>全日</x:v>
      </x:c>
      <x:c r="H1219" s="19" t="str">
        <x:v>D15</x:v>
      </x:c>
      <x:c r="I1219" s="19" t="str">
        <x:v>湘西土匪猪肝</x:v>
      </x:c>
      <x:c r="J1219" s="22" t="n">
        <x:f>XLOOKUP(H1219,'菜品主数据'!$A$5:$A$24,'菜品主数据'!$D$5:$D$24,0)</x:f>
        <x:v>26</x:v>
      </x:c>
      <x:c r="K1219" s="31" t="n">
        <x:v>6</x:v>
      </x:c>
      <x:c r="L1219" s="35" t="n">
        <x:f>J1219*K1219</x:f>
        <x:v>156</x:v>
      </x:c>
      <x:c r="M1219" s="36" t="n">
        <x:v>0</x:v>
      </x:c>
      <x:c r="N1219" s="35" t="n">
        <x:f>L1219*M1219</x:f>
        <x:v>0</x:v>
      </x:c>
      <x:c r="O1219" s="37" t="n">
        <x:v>0</x:v>
      </x:c>
      <x:c r="P1219" s="35" t="n">
        <x:f>L1219*O1219</x:f>
        <x:v>0</x:v>
      </x:c>
      <x:c r="Q1219" s="35" t="n">
        <x:v>0</x:v>
      </x:c>
      <x:c r="R1219" s="35" t="n">
        <x:f>K1219*Q1219</x:f>
        <x:v>0</x:v>
      </x:c>
      <x:c r="S1219" s="35" t="n">
        <x:f>XLOOKUP(H1219,'菜品主数据'!$A$5:$A$24,'菜品主数据'!$G$5:$G$24,0)</x:f>
        <x:v>6.3759999999999994</x:v>
      </x:c>
      <x:c r="T1219" s="35" t="n">
        <x:f>K1219*S1219</x:f>
        <x:v>38.256</x:v>
      </x:c>
      <x:c r="U1219" s="35" t="n">
        <x:f>L1219-N1219-P1219-R1219-T1219</x:f>
        <x:v>117.744</x:v>
      </x:c>
      <x:c r="V1219" s="21" t="n">
        <x:f>IFERROR(U1219/L1219,0)</x:f>
        <x:v>0.7547692307692307</x:v>
      </x:c>
    </x:row>
    <x:row r="1220">
      <x:c r="A1220" s="19" t="str">
        <x:v>SALE-01216</x:v>
      </x:c>
      <x:c r="B1220" s="34" t="n">
        <x:v>46212.5</x:v>
      </x:c>
      <x:c r="C1220" s="19" t="str">
        <x:v>周四</x:v>
      </x:c>
      <x:c r="D1220" s="19" t="str">
        <x:v>S05</x:v>
      </x:c>
      <x:c r="E1220" s="19" t="str">
        <x:v>同顺街店</x:v>
      </x:c>
      <x:c r="F1220" s="19" t="str">
        <x:v>堂食</x:v>
      </x:c>
      <x:c r="G1220" s="19" t="str">
        <x:v>全日</x:v>
      </x:c>
      <x:c r="H1220" s="19" t="str">
        <x:v>D16</x:v>
      </x:c>
      <x:c r="I1220" s="19" t="str">
        <x:v>小豆角炒五花</x:v>
      </x:c>
      <x:c r="J1220" s="22" t="n">
        <x:f>XLOOKUP(H1220,'菜品主数据'!$A$5:$A$24,'菜品主数据'!$D$5:$D$24,0)</x:f>
        <x:v>25</x:v>
      </x:c>
      <x:c r="K1220" s="31" t="n">
        <x:v>7</x:v>
      </x:c>
      <x:c r="L1220" s="35" t="n">
        <x:f>J1220*K1220</x:f>
        <x:v>175</x:v>
      </x:c>
      <x:c r="M1220" s="36" t="n">
        <x:v>0</x:v>
      </x:c>
      <x:c r="N1220" s="35" t="n">
        <x:f>L1220*M1220</x:f>
        <x:v>0</x:v>
      </x:c>
      <x:c r="O1220" s="37" t="n">
        <x:v>0</x:v>
      </x:c>
      <x:c r="P1220" s="35" t="n">
        <x:f>L1220*O1220</x:f>
        <x:v>0</x:v>
      </x:c>
      <x:c r="Q1220" s="35" t="n">
        <x:v>0</x:v>
      </x:c>
      <x:c r="R1220" s="35" t="n">
        <x:f>K1220*Q1220</x:f>
        <x:v>0</x:v>
      </x:c>
      <x:c r="S1220" s="35" t="n">
        <x:f>XLOOKUP(H1220,'菜品主数据'!$A$5:$A$24,'菜品主数据'!$G$5:$G$24,0)</x:f>
        <x:v>8.184</x:v>
      </x:c>
      <x:c r="T1220" s="35" t="n">
        <x:f>K1220*S1220</x:f>
        <x:v>57.288</x:v>
      </x:c>
      <x:c r="U1220" s="35" t="n">
        <x:f>L1220-N1220-P1220-R1220-T1220</x:f>
        <x:v>117.712</x:v>
      </x:c>
      <x:c r="V1220" s="21" t="n">
        <x:f>IFERROR(U1220/L1220,0)</x:f>
        <x:v>0.67264</x:v>
      </x:c>
    </x:row>
    <x:row r="1221">
      <x:c r="A1221" s="19" t="str">
        <x:v>SALE-01217</x:v>
      </x:c>
      <x:c r="B1221" s="34" t="n">
        <x:v>46212.5</x:v>
      </x:c>
      <x:c r="C1221" s="19" t="str">
        <x:v>周四</x:v>
      </x:c>
      <x:c r="D1221" s="19" t="str">
        <x:v>S05</x:v>
      </x:c>
      <x:c r="E1221" s="19" t="str">
        <x:v>同顺街店</x:v>
      </x:c>
      <x:c r="F1221" s="19" t="str">
        <x:v>堂食</x:v>
      </x:c>
      <x:c r="G1221" s="19" t="str">
        <x:v>全日</x:v>
      </x:c>
      <x:c r="H1221" s="19" t="str">
        <x:v>D17</x:v>
      </x:c>
      <x:c r="I1221" s="19" t="str">
        <x:v>蒜蓉粉丝虾</x:v>
      </x:c>
      <x:c r="J1221" s="22" t="n">
        <x:f>XLOOKUP(H1221,'菜品主数据'!$A$5:$A$24,'菜品主数据'!$D$5:$D$24,0)</x:f>
        <x:v>36</x:v>
      </x:c>
      <x:c r="K1221" s="31" t="n">
        <x:v>5</x:v>
      </x:c>
      <x:c r="L1221" s="35" t="n">
        <x:f>J1221*K1221</x:f>
        <x:v>180</x:v>
      </x:c>
      <x:c r="M1221" s="36" t="n">
        <x:v>0</x:v>
      </x:c>
      <x:c r="N1221" s="35" t="n">
        <x:f>L1221*M1221</x:f>
        <x:v>0</x:v>
      </x:c>
      <x:c r="O1221" s="37" t="n">
        <x:v>0</x:v>
      </x:c>
      <x:c r="P1221" s="35" t="n">
        <x:f>L1221*O1221</x:f>
        <x:v>0</x:v>
      </x:c>
      <x:c r="Q1221" s="35" t="n">
        <x:v>0</x:v>
      </x:c>
      <x:c r="R1221" s="35" t="n">
        <x:f>K1221*Q1221</x:f>
        <x:v>0</x:v>
      </x:c>
      <x:c r="S1221" s="35" t="n">
        <x:f>XLOOKUP(H1221,'菜品主数据'!$A$5:$A$24,'菜品主数据'!$G$5:$G$24,0)</x:f>
        <x:v>13.594</x:v>
      </x:c>
      <x:c r="T1221" s="35" t="n">
        <x:f>K1221*S1221</x:f>
        <x:v>67.97</x:v>
      </x:c>
      <x:c r="U1221" s="35" t="n">
        <x:f>L1221-N1221-P1221-R1221-T1221</x:f>
        <x:v>112.03</x:v>
      </x:c>
      <x:c r="V1221" s="21" t="n">
        <x:f>IFERROR(U1221/L1221,0)</x:f>
        <x:v>0.6223888888888889</x:v>
      </x:c>
    </x:row>
    <x:row r="1222">
      <x:c r="A1222" s="19" t="str">
        <x:v>SALE-01218</x:v>
      </x:c>
      <x:c r="B1222" s="34" t="n">
        <x:v>46212.5</x:v>
      </x:c>
      <x:c r="C1222" s="19" t="str">
        <x:v>周四</x:v>
      </x:c>
      <x:c r="D1222" s="19" t="str">
        <x:v>S05</x:v>
      </x:c>
      <x:c r="E1222" s="19" t="str">
        <x:v>同顺街店</x:v>
      </x:c>
      <x:c r="F1222" s="19" t="str">
        <x:v>堂食</x:v>
      </x:c>
      <x:c r="G1222" s="19" t="str">
        <x:v>全日</x:v>
      </x:c>
      <x:c r="H1222" s="19" t="str">
        <x:v>D18</x:v>
      </x:c>
      <x:c r="I1222" s="19" t="str">
        <x:v>青椒炒油麦菜</x:v>
      </x:c>
      <x:c r="J1222" s="22" t="n">
        <x:f>XLOOKUP(H1222,'菜品主数据'!$A$5:$A$24,'菜品主数据'!$D$5:$D$24,0)</x:f>
        <x:v>18</x:v>
      </x:c>
      <x:c r="K1222" s="31" t="n">
        <x:v>8</x:v>
      </x:c>
      <x:c r="L1222" s="35" t="n">
        <x:f>J1222*K1222</x:f>
        <x:v>144</x:v>
      </x:c>
      <x:c r="M1222" s="36" t="n">
        <x:v>0</x:v>
      </x:c>
      <x:c r="N1222" s="35" t="n">
        <x:f>L1222*M1222</x:f>
        <x:v>0</x:v>
      </x:c>
      <x:c r="O1222" s="37" t="n">
        <x:v>0</x:v>
      </x:c>
      <x:c r="P1222" s="35" t="n">
        <x:f>L1222*O1222</x:f>
        <x:v>0</x:v>
      </x:c>
      <x:c r="Q1222" s="35" t="n">
        <x:v>0</x:v>
      </x:c>
      <x:c r="R1222" s="35" t="n">
        <x:f>K1222*Q1222</x:f>
        <x:v>0</x:v>
      </x:c>
      <x:c r="S1222" s="35" t="n">
        <x:f>XLOOKUP(H1222,'菜品主数据'!$A$5:$A$24,'菜品主数据'!$G$5:$G$24,0)</x:f>
        <x:v>3.1759999999999993</x:v>
      </x:c>
      <x:c r="T1222" s="35" t="n">
        <x:f>K1222*S1222</x:f>
        <x:v>25.407999999999994</x:v>
      </x:c>
      <x:c r="U1222" s="35" t="n">
        <x:f>L1222-N1222-P1222-R1222-T1222</x:f>
        <x:v>118.59200000000001</x:v>
      </x:c>
      <x:c r="V1222" s="21" t="n">
        <x:f>IFERROR(U1222/L1222,0)</x:f>
        <x:v>0.8235555555555556</x:v>
      </x:c>
    </x:row>
    <x:row r="1223">
      <x:c r="A1223" s="19" t="str">
        <x:v>SALE-01219</x:v>
      </x:c>
      <x:c r="B1223" s="34" t="n">
        <x:v>46212.5</x:v>
      </x:c>
      <x:c r="C1223" s="19" t="str">
        <x:v>周四</x:v>
      </x:c>
      <x:c r="D1223" s="19" t="str">
        <x:v>S05</x:v>
      </x:c>
      <x:c r="E1223" s="19" t="str">
        <x:v>同顺街店</x:v>
      </x:c>
      <x:c r="F1223" s="19" t="str">
        <x:v>堂食</x:v>
      </x:c>
      <x:c r="G1223" s="19" t="str">
        <x:v>全日</x:v>
      </x:c>
      <x:c r="H1223" s="19" t="str">
        <x:v>D19</x:v>
      </x:c>
      <x:c r="I1223" s="19" t="str">
        <x:v>酸萝卜炒鸡杂</x:v>
      </x:c>
      <x:c r="J1223" s="22" t="n">
        <x:f>XLOOKUP(H1223,'菜品主数据'!$A$5:$A$24,'菜品主数据'!$D$5:$D$24,0)</x:f>
        <x:v>25</x:v>
      </x:c>
      <x:c r="K1223" s="31" t="n">
        <x:v>5</x:v>
      </x:c>
      <x:c r="L1223" s="35" t="n">
        <x:f>J1223*K1223</x:f>
        <x:v>125</x:v>
      </x:c>
      <x:c r="M1223" s="36" t="n">
        <x:v>0</x:v>
      </x:c>
      <x:c r="N1223" s="35" t="n">
        <x:f>L1223*M1223</x:f>
        <x:v>0</x:v>
      </x:c>
      <x:c r="O1223" s="37" t="n">
        <x:v>0</x:v>
      </x:c>
      <x:c r="P1223" s="35" t="n">
        <x:f>L1223*O1223</x:f>
        <x:v>0</x:v>
      </x:c>
      <x:c r="Q1223" s="35" t="n">
        <x:v>0</x:v>
      </x:c>
      <x:c r="R1223" s="35" t="n">
        <x:f>K1223*Q1223</x:f>
        <x:v>0</x:v>
      </x:c>
      <x:c r="S1223" s="35" t="n">
        <x:f>XLOOKUP(H1223,'菜品主数据'!$A$5:$A$24,'菜品主数据'!$G$5:$G$24,0)</x:f>
        <x:v>7.9399999999999995</x:v>
      </x:c>
      <x:c r="T1223" s="35" t="n">
        <x:f>K1223*S1223</x:f>
        <x:v>39.699999999999996</x:v>
      </x:c>
      <x:c r="U1223" s="35" t="n">
        <x:f>L1223-N1223-P1223-R1223-T1223</x:f>
        <x:v>85.30000000000001</x:v>
      </x:c>
      <x:c r="V1223" s="21" t="n">
        <x:f>IFERROR(U1223/L1223,0)</x:f>
        <x:v>0.6824000000000001</x:v>
      </x:c>
    </x:row>
    <x:row r="1224">
      <x:c r="A1224" s="19" t="str">
        <x:v>SALE-01220</x:v>
      </x:c>
      <x:c r="B1224" s="34" t="n">
        <x:v>46212.5</x:v>
      </x:c>
      <x:c r="C1224" s="19" t="str">
        <x:v>周四</x:v>
      </x:c>
      <x:c r="D1224" s="19" t="str">
        <x:v>S05</x:v>
      </x:c>
      <x:c r="E1224" s="19" t="str">
        <x:v>同顺街店</x:v>
      </x:c>
      <x:c r="F1224" s="19" t="str">
        <x:v>堂食</x:v>
      </x:c>
      <x:c r="G1224" s="19" t="str">
        <x:v>全日</x:v>
      </x:c>
      <x:c r="H1224" s="19" t="str">
        <x:v>D20</x:v>
      </x:c>
      <x:c r="I1224" s="19" t="str">
        <x:v>雪菜肉末青豆</x:v>
      </x:c>
      <x:c r="J1224" s="22" t="n">
        <x:f>XLOOKUP(H1224,'菜品主数据'!$A$5:$A$24,'菜品主数据'!$D$5:$D$24,0)</x:f>
        <x:v>18</x:v>
      </x:c>
      <x:c r="K1224" s="31" t="n">
        <x:v>7</x:v>
      </x:c>
      <x:c r="L1224" s="35" t="n">
        <x:f>J1224*K1224</x:f>
        <x:v>126</x:v>
      </x:c>
      <x:c r="M1224" s="36" t="n">
        <x:v>0</x:v>
      </x:c>
      <x:c r="N1224" s="35" t="n">
        <x:f>L1224*M1224</x:f>
        <x:v>0</x:v>
      </x:c>
      <x:c r="O1224" s="37" t="n">
        <x:v>0</x:v>
      </x:c>
      <x:c r="P1224" s="35" t="n">
        <x:f>L1224*O1224</x:f>
        <x:v>0</x:v>
      </x:c>
      <x:c r="Q1224" s="35" t="n">
        <x:v>0</x:v>
      </x:c>
      <x:c r="R1224" s="35" t="n">
        <x:f>K1224*Q1224</x:f>
        <x:v>0</x:v>
      </x:c>
      <x:c r="S1224" s="35" t="n">
        <x:f>XLOOKUP(H1224,'菜品主数据'!$A$5:$A$24,'菜品主数据'!$G$5:$G$24,0)</x:f>
        <x:v>7.303999999999999</x:v>
      </x:c>
      <x:c r="T1224" s="35" t="n">
        <x:f>K1224*S1224</x:f>
        <x:v>51.12799999999999</x:v>
      </x:c>
      <x:c r="U1224" s="35" t="n">
        <x:f>L1224-N1224-P1224-R1224-T1224</x:f>
        <x:v>74.87200000000001</x:v>
      </x:c>
      <x:c r="V1224" s="21" t="n">
        <x:f>IFERROR(U1224/L1224,0)</x:f>
        <x:v>0.5942222222222223</x:v>
      </x:c>
    </x:row>
    <x:row r="1225">
      <x:c r="A1225" s="19" t="str">
        <x:v>SALE-01221</x:v>
      </x:c>
      <x:c r="B1225" s="34" t="n">
        <x:v>46212.5</x:v>
      </x:c>
      <x:c r="C1225" s="19" t="str">
        <x:v>周四</x:v>
      </x:c>
      <x:c r="D1225" s="19" t="str">
        <x:v>S05</x:v>
      </x:c>
      <x:c r="E1225" s="19" t="str">
        <x:v>同顺街店</x:v>
      </x:c>
      <x:c r="F1225" s="19" t="str">
        <x:v>外卖</x:v>
      </x:c>
      <x:c r="G1225" s="19" t="str">
        <x:v>全日</x:v>
      </x:c>
      <x:c r="H1225" s="19" t="str">
        <x:v>D01</x:v>
      </x:c>
      <x:c r="I1225" s="19" t="str">
        <x:v>辣椒炒肉</x:v>
      </x:c>
      <x:c r="J1225" s="22" t="n">
        <x:f>XLOOKUP(H1225,'菜品主数据'!$A$5:$A$24,'菜品主数据'!$D$5:$D$24,0)</x:f>
        <x:v>29</x:v>
      </x:c>
      <x:c r="K1225" s="31" t="n">
        <x:v>5</x:v>
      </x:c>
      <x:c r="L1225" s="35" t="n">
        <x:f>J1225*K1225</x:f>
        <x:v>145</x:v>
      </x:c>
      <x:c r="M1225" s="36" t="n">
        <x:v>0.08</x:v>
      </x:c>
      <x:c r="N1225" s="35" t="n">
        <x:f>L1225*M1225</x:f>
        <x:v>11.6</x:v>
      </x:c>
      <x:c r="O1225" s="37" t="n">
        <x:v>0.18</x:v>
      </x:c>
      <x:c r="P1225" s="35" t="n">
        <x:f>L1225*O1225</x:f>
        <x:v>26.099999999999998</x:v>
      </x:c>
      <x:c r="Q1225" s="35" t="n">
        <x:v>1.2</x:v>
      </x:c>
      <x:c r="R1225" s="35" t="n">
        <x:f>K1225*Q1225</x:f>
        <x:v>6</x:v>
      </x:c>
      <x:c r="S1225" s="35" t="n">
        <x:f>XLOOKUP(H1225,'菜品主数据'!$A$5:$A$24,'菜品主数据'!$G$5:$G$24,0)</x:f>
        <x:v>8.634400000000001</x:v>
      </x:c>
      <x:c r="T1225" s="35" t="n">
        <x:f>K1225*S1225</x:f>
        <x:v>43.172000000000004</x:v>
      </x:c>
      <x:c r="U1225" s="35" t="n">
        <x:f>L1225-N1225-P1225-R1225-T1225</x:f>
        <x:v>58.12800000000001</x:v>
      </x:c>
      <x:c r="V1225" s="21" t="n">
        <x:f>IFERROR(U1225/L1225,0)</x:f>
        <x:v>0.4008827586206897</x:v>
      </x:c>
    </x:row>
    <x:row r="1226">
      <x:c r="A1226" s="19" t="str">
        <x:v>SALE-01222</x:v>
      </x:c>
      <x:c r="B1226" s="34" t="n">
        <x:v>46212.5</x:v>
      </x:c>
      <x:c r="C1226" s="19" t="str">
        <x:v>周四</x:v>
      </x:c>
      <x:c r="D1226" s="19" t="str">
        <x:v>S05</x:v>
      </x:c>
      <x:c r="E1226" s="19" t="str">
        <x:v>同顺街店</x:v>
      </x:c>
      <x:c r="F1226" s="19" t="str">
        <x:v>外卖</x:v>
      </x:c>
      <x:c r="G1226" s="19" t="str">
        <x:v>全日</x:v>
      </x:c>
      <x:c r="H1226" s="19" t="str">
        <x:v>D02</x:v>
      </x:c>
      <x:c r="I1226" s="19" t="str">
        <x:v>小炒黄牛肉</x:v>
      </x:c>
      <x:c r="J1226" s="22" t="n">
        <x:f>XLOOKUP(H1226,'菜品主数据'!$A$5:$A$24,'菜品主数据'!$D$5:$D$24,0)</x:f>
        <x:v>49</x:v>
      </x:c>
      <x:c r="K1226" s="31" t="n">
        <x:v>8</x:v>
      </x:c>
      <x:c r="L1226" s="35" t="n">
        <x:f>J1226*K1226</x:f>
        <x:v>392</x:v>
      </x:c>
      <x:c r="M1226" s="36" t="n">
        <x:v>0.08</x:v>
      </x:c>
      <x:c r="N1226" s="35" t="n">
        <x:f>L1226*M1226</x:f>
        <x:v>31.36</x:v>
      </x:c>
      <x:c r="O1226" s="37" t="n">
        <x:v>0.18</x:v>
      </x:c>
      <x:c r="P1226" s="35" t="n">
        <x:f>L1226*O1226</x:f>
        <x:v>70.56</x:v>
      </x:c>
      <x:c r="Q1226" s="35" t="n">
        <x:v>1.2</x:v>
      </x:c>
      <x:c r="R1226" s="35" t="n">
        <x:f>K1226*Q1226</x:f>
        <x:v>9.6</x:v>
      </x:c>
      <x:c r="S1226" s="35" t="n">
        <x:f>XLOOKUP(H1226,'菜品主数据'!$A$5:$A$24,'菜品主数据'!$G$5:$G$24,0)</x:f>
        <x:v>17.577</x:v>
      </x:c>
      <x:c r="T1226" s="35" t="n">
        <x:f>K1226*S1226</x:f>
        <x:v>140.616</x:v>
      </x:c>
      <x:c r="U1226" s="35" t="n">
        <x:f>L1226-N1226-P1226-R1226-T1226</x:f>
        <x:v>139.86399999999995</x:v>
      </x:c>
      <x:c r="V1226" s="21" t="n">
        <x:f>IFERROR(U1226/L1226,0)</x:f>
        <x:v>0.3567959183673468</x:v>
      </x:c>
    </x:row>
    <x:row r="1227">
      <x:c r="A1227" s="19" t="str">
        <x:v>SALE-01223</x:v>
      </x:c>
      <x:c r="B1227" s="34" t="n">
        <x:v>46212.5</x:v>
      </x:c>
      <x:c r="C1227" s="19" t="str">
        <x:v>周四</x:v>
      </x:c>
      <x:c r="D1227" s="19" t="str">
        <x:v>S05</x:v>
      </x:c>
      <x:c r="E1227" s="19" t="str">
        <x:v>同顺街店</x:v>
      </x:c>
      <x:c r="F1227" s="19" t="str">
        <x:v>外卖</x:v>
      </x:c>
      <x:c r="G1227" s="19" t="str">
        <x:v>全日</x:v>
      </x:c>
      <x:c r="H1227" s="19" t="str">
        <x:v>D03</x:v>
      </x:c>
      <x:c r="I1227" s="19" t="str">
        <x:v>香醋炒蛋</x:v>
      </x:c>
      <x:c r="J1227" s="22" t="n">
        <x:f>XLOOKUP(H1227,'菜品主数据'!$A$5:$A$24,'菜品主数据'!$D$5:$D$24,0)</x:f>
        <x:v>14.9</x:v>
      </x:c>
      <x:c r="K1227" s="31" t="n">
        <x:v>3</x:v>
      </x:c>
      <x:c r="L1227" s="35" t="n">
        <x:f>J1227*K1227</x:f>
        <x:v>44.7</x:v>
      </x:c>
      <x:c r="M1227" s="36" t="n">
        <x:v>0.08</x:v>
      </x:c>
      <x:c r="N1227" s="35" t="n">
        <x:f>L1227*M1227</x:f>
        <x:v>3.5760000000000005</x:v>
      </x:c>
      <x:c r="O1227" s="37" t="n">
        <x:v>0.18</x:v>
      </x:c>
      <x:c r="P1227" s="35" t="n">
        <x:f>L1227*O1227</x:f>
        <x:v>8.046</x:v>
      </x:c>
      <x:c r="Q1227" s="35" t="n">
        <x:v>1.2</x:v>
      </x:c>
      <x:c r="R1227" s="35" t="n">
        <x:f>K1227*Q1227</x:f>
        <x:v>3.5999999999999996</x:v>
      </x:c>
      <x:c r="S1227" s="35" t="n">
        <x:f>XLOOKUP(H1227,'菜品主数据'!$A$5:$A$24,'菜品主数据'!$G$5:$G$24,0)</x:f>
        <x:v>3.7459999999999996</x:v>
      </x:c>
      <x:c r="T1227" s="35" t="n">
        <x:f>K1227*S1227</x:f>
        <x:v>11.238</x:v>
      </x:c>
      <x:c r="U1227" s="35" t="n">
        <x:f>L1227-N1227-P1227-R1227-T1227</x:f>
        <x:v>18.240000000000002</x:v>
      </x:c>
      <x:c r="V1227" s="21" t="n">
        <x:f>IFERROR(U1227/L1227,0)</x:f>
        <x:v>0.40805369127516783</x:v>
      </x:c>
    </x:row>
    <x:row r="1228">
      <x:c r="A1228" s="19" t="str">
        <x:v>SALE-01224</x:v>
      </x:c>
      <x:c r="B1228" s="34" t="n">
        <x:v>46212.5</x:v>
      </x:c>
      <x:c r="C1228" s="19" t="str">
        <x:v>周四</x:v>
      </x:c>
      <x:c r="D1228" s="19" t="str">
        <x:v>S05</x:v>
      </x:c>
      <x:c r="E1228" s="19" t="str">
        <x:v>同顺街店</x:v>
      </x:c>
      <x:c r="F1228" s="19" t="str">
        <x:v>外卖</x:v>
      </x:c>
      <x:c r="G1228" s="19" t="str">
        <x:v>全日</x:v>
      </x:c>
      <x:c r="H1228" s="19" t="str">
        <x:v>D04</x:v>
      </x:c>
      <x:c r="I1228" s="19" t="str">
        <x:v>酸包菜炒粉皮</x:v>
      </x:c>
      <x:c r="J1228" s="22" t="n">
        <x:f>XLOOKUP(H1228,'菜品主数据'!$A$5:$A$24,'菜品主数据'!$D$5:$D$24,0)</x:f>
        <x:v>16</x:v>
      </x:c>
      <x:c r="K1228" s="31" t="n">
        <x:v>3</x:v>
      </x:c>
      <x:c r="L1228" s="35" t="n">
        <x:f>J1228*K1228</x:f>
        <x:v>48</x:v>
      </x:c>
      <x:c r="M1228" s="36" t="n">
        <x:v>0.08</x:v>
      </x:c>
      <x:c r="N1228" s="35" t="n">
        <x:f>L1228*M1228</x:f>
        <x:v>3.84</x:v>
      </x:c>
      <x:c r="O1228" s="37" t="n">
        <x:v>0.18</x:v>
      </x:c>
      <x:c r="P1228" s="35" t="n">
        <x:f>L1228*O1228</x:f>
        <x:v>8.64</x:v>
      </x:c>
      <x:c r="Q1228" s="35" t="n">
        <x:v>1.2</x:v>
      </x:c>
      <x:c r="R1228" s="35" t="n">
        <x:f>K1228*Q1228</x:f>
        <x:v>3.5999999999999996</x:v>
      </x:c>
      <x:c r="S1228" s="35" t="n">
        <x:f>XLOOKUP(H1228,'菜品主数据'!$A$5:$A$24,'菜品主数据'!$G$5:$G$24,0)</x:f>
        <x:v>3.978</x:v>
      </x:c>
      <x:c r="T1228" s="35" t="n">
        <x:f>K1228*S1228</x:f>
        <x:v>11.934000000000001</x:v>
      </x:c>
      <x:c r="U1228" s="35" t="n">
        <x:f>L1228-N1228-P1228-R1228-T1228</x:f>
        <x:v>19.985999999999994</x:v>
      </x:c>
      <x:c r="V1228" s="21" t="n">
        <x:f>IFERROR(U1228/L1228,0)</x:f>
        <x:v>0.4163749999999999</x:v>
      </x:c>
    </x:row>
    <x:row r="1229">
      <x:c r="A1229" s="19" t="str">
        <x:v>SALE-01225</x:v>
      </x:c>
      <x:c r="B1229" s="34" t="n">
        <x:v>46212.5</x:v>
      </x:c>
      <x:c r="C1229" s="19" t="str">
        <x:v>周四</x:v>
      </x:c>
      <x:c r="D1229" s="19" t="str">
        <x:v>S05</x:v>
      </x:c>
      <x:c r="E1229" s="19" t="str">
        <x:v>同顺街店</x:v>
      </x:c>
      <x:c r="F1229" s="19" t="str">
        <x:v>外卖</x:v>
      </x:c>
      <x:c r="G1229" s="19" t="str">
        <x:v>全日</x:v>
      </x:c>
      <x:c r="H1229" s="19" t="str">
        <x:v>D05</x:v>
      </x:c>
      <x:c r="I1229" s="19" t="str">
        <x:v>麻婆豆腐</x:v>
      </x:c>
      <x:c r="J1229" s="22" t="n">
        <x:f>XLOOKUP(H1229,'菜品主数据'!$A$5:$A$24,'菜品主数据'!$D$5:$D$24,0)</x:f>
        <x:v>9.9</x:v>
      </x:c>
      <x:c r="K1229" s="31" t="n">
        <x:v>5</x:v>
      </x:c>
      <x:c r="L1229" s="35" t="n">
        <x:f>J1229*K1229</x:f>
        <x:v>49.5</x:v>
      </x:c>
      <x:c r="M1229" s="36" t="n">
        <x:v>0.08</x:v>
      </x:c>
      <x:c r="N1229" s="35" t="n">
        <x:f>L1229*M1229</x:f>
        <x:v>3.96</x:v>
      </x:c>
      <x:c r="O1229" s="37" t="n">
        <x:v>0.18</x:v>
      </x:c>
      <x:c r="P1229" s="35" t="n">
        <x:f>L1229*O1229</x:f>
        <x:v>8.91</x:v>
      </x:c>
      <x:c r="Q1229" s="35" t="n">
        <x:v>1.2</x:v>
      </x:c>
      <x:c r="R1229" s="35" t="n">
        <x:f>K1229*Q1229</x:f>
        <x:v>6</x:v>
      </x:c>
      <x:c r="S1229" s="35" t="n">
        <x:f>XLOOKUP(H1229,'菜品主数据'!$A$5:$A$24,'菜品主数据'!$G$5:$G$24,0)</x:f>
        <x:v>5.367000000000001</x:v>
      </x:c>
      <x:c r="T1229" s="35" t="n">
        <x:f>K1229*S1229</x:f>
        <x:v>26.835000000000004</x:v>
      </x:c>
      <x:c r="U1229" s="35" t="n">
        <x:f>L1229-N1229-P1229-R1229-T1229</x:f>
        <x:v>3.794999999999991</x:v>
      </x:c>
      <x:c r="V1229" s="21" t="n">
        <x:f>IFERROR(U1229/L1229,0)</x:f>
        <x:v>0.07666666666666648</x:v>
      </x:c>
    </x:row>
    <x:row r="1230">
      <x:c r="A1230" s="19" t="str">
        <x:v>SALE-01226</x:v>
      </x:c>
      <x:c r="B1230" s="34" t="n">
        <x:v>46212.5</x:v>
      </x:c>
      <x:c r="C1230" s="19" t="str">
        <x:v>周四</x:v>
      </x:c>
      <x:c r="D1230" s="19" t="str">
        <x:v>S05</x:v>
      </x:c>
      <x:c r="E1230" s="19" t="str">
        <x:v>同顺街店</x:v>
      </x:c>
      <x:c r="F1230" s="19" t="str">
        <x:v>外卖</x:v>
      </x:c>
      <x:c r="G1230" s="19" t="str">
        <x:v>全日</x:v>
      </x:c>
      <x:c r="H1230" s="19" t="str">
        <x:v>D06</x:v>
      </x:c>
      <x:c r="I1230" s="19" t="str">
        <x:v>剁椒鱼头</x:v>
      </x:c>
      <x:c r="J1230" s="22" t="n">
        <x:f>XLOOKUP(H1230,'菜品主数据'!$A$5:$A$24,'菜品主数据'!$D$5:$D$24,0)</x:f>
        <x:v>39</x:v>
      </x:c>
      <x:c r="K1230" s="31" t="n">
        <x:v>1</x:v>
      </x:c>
      <x:c r="L1230" s="35" t="n">
        <x:f>J1230*K1230</x:f>
        <x:v>39</x:v>
      </x:c>
      <x:c r="M1230" s="36" t="n">
        <x:v>0.08</x:v>
      </x:c>
      <x:c r="N1230" s="35" t="n">
        <x:f>L1230*M1230</x:f>
        <x:v>3.12</x:v>
      </x:c>
      <x:c r="O1230" s="37" t="n">
        <x:v>0.18</x:v>
      </x:c>
      <x:c r="P1230" s="35" t="n">
        <x:f>L1230*O1230</x:f>
        <x:v>7.02</x:v>
      </x:c>
      <x:c r="Q1230" s="35" t="n">
        <x:v>1.2</x:v>
      </x:c>
      <x:c r="R1230" s="35" t="n">
        <x:f>K1230*Q1230</x:f>
        <x:v>1.2</x:v>
      </x:c>
      <x:c r="S1230" s="35" t="n">
        <x:f>XLOOKUP(H1230,'菜品主数据'!$A$5:$A$24,'菜品主数据'!$G$5:$G$24,0)</x:f>
        <x:v>17.446</x:v>
      </x:c>
      <x:c r="T1230" s="35" t="n">
        <x:f>K1230*S1230</x:f>
        <x:v>17.446</x:v>
      </x:c>
      <x:c r="U1230" s="35" t="n">
        <x:f>L1230-N1230-P1230-R1230-T1230</x:f>
        <x:v>10.214000000000002</x:v>
      </x:c>
      <x:c r="V1230" s="21" t="n">
        <x:f>IFERROR(U1230/L1230,0)</x:f>
        <x:v>0.26189743589743597</x:v>
      </x:c>
    </x:row>
    <x:row r="1231">
      <x:c r="A1231" s="19" t="str">
        <x:v>SALE-01227</x:v>
      </x:c>
      <x:c r="B1231" s="34" t="n">
        <x:v>46212.5</x:v>
      </x:c>
      <x:c r="C1231" s="19" t="str">
        <x:v>周四</x:v>
      </x:c>
      <x:c r="D1231" s="19" t="str">
        <x:v>S05</x:v>
      </x:c>
      <x:c r="E1231" s="19" t="str">
        <x:v>同顺街店</x:v>
      </x:c>
      <x:c r="F1231" s="19" t="str">
        <x:v>外卖</x:v>
      </x:c>
      <x:c r="G1231" s="19" t="str">
        <x:v>全日</x:v>
      </x:c>
      <x:c r="H1231" s="19" t="str">
        <x:v>D07</x:v>
      </x:c>
      <x:c r="I1231" s="19" t="str">
        <x:v>川味回锅肉</x:v>
      </x:c>
      <x:c r="J1231" s="22" t="n">
        <x:f>XLOOKUP(H1231,'菜品主数据'!$A$5:$A$24,'菜品主数据'!$D$5:$D$24,0)</x:f>
        <x:v>29</x:v>
      </x:c>
      <x:c r="K1231" s="31" t="n">
        <x:v>1</x:v>
      </x:c>
      <x:c r="L1231" s="35" t="n">
        <x:f>J1231*K1231</x:f>
        <x:v>29</x:v>
      </x:c>
      <x:c r="M1231" s="36" t="n">
        <x:v>0.08</x:v>
      </x:c>
      <x:c r="N1231" s="35" t="n">
        <x:f>L1231*M1231</x:f>
        <x:v>2.32</x:v>
      </x:c>
      <x:c r="O1231" s="37" t="n">
        <x:v>0.18</x:v>
      </x:c>
      <x:c r="P1231" s="35" t="n">
        <x:f>L1231*O1231</x:f>
        <x:v>5.22</x:v>
      </x:c>
      <x:c r="Q1231" s="35" t="n">
        <x:v>1.2</x:v>
      </x:c>
      <x:c r="R1231" s="35" t="n">
        <x:f>K1231*Q1231</x:f>
        <x:v>1.2</x:v>
      </x:c>
      <x:c r="S1231" s="35" t="n">
        <x:f>XLOOKUP(H1231,'菜品主数据'!$A$5:$A$24,'菜品主数据'!$G$5:$G$24,0)</x:f>
        <x:v>10.231000000000002</x:v>
      </x:c>
      <x:c r="T1231" s="35" t="n">
        <x:f>K1231*S1231</x:f>
        <x:v>10.231000000000002</x:v>
      </x:c>
      <x:c r="U1231" s="35" t="n">
        <x:f>L1231-N1231-P1231-R1231-T1231</x:f>
        <x:v>10.029</x:v>
      </x:c>
      <x:c r="V1231" s="21" t="n">
        <x:f>IFERROR(U1231/L1231,0)</x:f>
        <x:v>0.3458275862068966</x:v>
      </x:c>
    </x:row>
    <x:row r="1232">
      <x:c r="A1232" s="19" t="str">
        <x:v>SALE-01228</x:v>
      </x:c>
      <x:c r="B1232" s="34" t="n">
        <x:v>46212.5</x:v>
      </x:c>
      <x:c r="C1232" s="19" t="str">
        <x:v>周四</x:v>
      </x:c>
      <x:c r="D1232" s="19" t="str">
        <x:v>S05</x:v>
      </x:c>
      <x:c r="E1232" s="19" t="str">
        <x:v>同顺街店</x:v>
      </x:c>
      <x:c r="F1232" s="19" t="str">
        <x:v>外卖</x:v>
      </x:c>
      <x:c r="G1232" s="19" t="str">
        <x:v>全日</x:v>
      </x:c>
      <x:c r="H1232" s="19" t="str">
        <x:v>D08</x:v>
      </x:c>
      <x:c r="I1232" s="19" t="str">
        <x:v>生炒清远鸡</x:v>
      </x:c>
      <x:c r="J1232" s="22" t="n">
        <x:f>XLOOKUP(H1232,'菜品主数据'!$A$5:$A$24,'菜品主数据'!$D$5:$D$24,0)</x:f>
        <x:v>36</x:v>
      </x:c>
      <x:c r="K1232" s="31" t="n">
        <x:v>1</x:v>
      </x:c>
      <x:c r="L1232" s="35" t="n">
        <x:f>J1232*K1232</x:f>
        <x:v>36</x:v>
      </x:c>
      <x:c r="M1232" s="36" t="n">
        <x:v>0.08</x:v>
      </x:c>
      <x:c r="N1232" s="35" t="n">
        <x:f>L1232*M1232</x:f>
        <x:v>2.88</x:v>
      </x:c>
      <x:c r="O1232" s="37" t="n">
        <x:v>0.18</x:v>
      </x:c>
      <x:c r="P1232" s="35" t="n">
        <x:f>L1232*O1232</x:f>
        <x:v>6.4799999999999995</x:v>
      </x:c>
      <x:c r="Q1232" s="35" t="n">
        <x:v>1.2</x:v>
      </x:c>
      <x:c r="R1232" s="35" t="n">
        <x:f>K1232*Q1232</x:f>
        <x:v>1.2</x:v>
      </x:c>
      <x:c r="S1232" s="35" t="n">
        <x:f>XLOOKUP(H1232,'菜品主数据'!$A$5:$A$24,'菜品主数据'!$G$5:$G$24,0)</x:f>
        <x:v>13.48</x:v>
      </x:c>
      <x:c r="T1232" s="35" t="n">
        <x:f>K1232*S1232</x:f>
        <x:v>13.48</x:v>
      </x:c>
      <x:c r="U1232" s="35" t="n">
        <x:f>L1232-N1232-P1232-R1232-T1232</x:f>
        <x:v>11.959999999999997</x:v>
      </x:c>
      <x:c r="V1232" s="21" t="n">
        <x:f>IFERROR(U1232/L1232,0)</x:f>
        <x:v>0.33222222222222214</x:v>
      </x:c>
    </x:row>
    <x:row r="1233">
      <x:c r="A1233" s="19" t="str">
        <x:v>SALE-01229</x:v>
      </x:c>
      <x:c r="B1233" s="34" t="n">
        <x:v>46212.5</x:v>
      </x:c>
      <x:c r="C1233" s="19" t="str">
        <x:v>周四</x:v>
      </x:c>
      <x:c r="D1233" s="19" t="str">
        <x:v>S05</x:v>
      </x:c>
      <x:c r="E1233" s="19" t="str">
        <x:v>同顺街店</x:v>
      </x:c>
      <x:c r="F1233" s="19" t="str">
        <x:v>外卖</x:v>
      </x:c>
      <x:c r="G1233" s="19" t="str">
        <x:v>全日</x:v>
      </x:c>
      <x:c r="H1233" s="19" t="str">
        <x:v>D09</x:v>
      </x:c>
      <x:c r="I1233" s="19" t="str">
        <x:v>炒豆干</x:v>
      </x:c>
      <x:c r="J1233" s="22" t="n">
        <x:f>XLOOKUP(H1233,'菜品主数据'!$A$5:$A$24,'菜品主数据'!$D$5:$D$24,0)</x:f>
        <x:v>18</x:v>
      </x:c>
      <x:c r="K1233" s="31" t="n">
        <x:v>1</x:v>
      </x:c>
      <x:c r="L1233" s="35" t="n">
        <x:f>J1233*K1233</x:f>
        <x:v>18</x:v>
      </x:c>
      <x:c r="M1233" s="36" t="n">
        <x:v>0.08</x:v>
      </x:c>
      <x:c r="N1233" s="35" t="n">
        <x:f>L1233*M1233</x:f>
        <x:v>1.44</x:v>
      </x:c>
      <x:c r="O1233" s="37" t="n">
        <x:v>0.18</x:v>
      </x:c>
      <x:c r="P1233" s="35" t="n">
        <x:f>L1233*O1233</x:f>
        <x:v>3.2399999999999998</x:v>
      </x:c>
      <x:c r="Q1233" s="35" t="n">
        <x:v>1.2</x:v>
      </x:c>
      <x:c r="R1233" s="35" t="n">
        <x:f>K1233*Q1233</x:f>
        <x:v>1.2</x:v>
      </x:c>
      <x:c r="S1233" s="35" t="n">
        <x:f>XLOOKUP(H1233,'菜品主数据'!$A$5:$A$24,'菜品主数据'!$G$5:$G$24,0)</x:f>
        <x:v>6.613999999999999</x:v>
      </x:c>
      <x:c r="T1233" s="35" t="n">
        <x:f>K1233*S1233</x:f>
        <x:v>6.613999999999999</x:v>
      </x:c>
      <x:c r="U1233" s="35" t="n">
        <x:f>L1233-N1233-P1233-R1233-T1233</x:f>
        <x:v>5.506</x:v>
      </x:c>
      <x:c r="V1233" s="21" t="n">
        <x:f>IFERROR(U1233/L1233,0)</x:f>
        <x:v>0.3058888888888889</x:v>
      </x:c>
    </x:row>
    <x:row r="1234">
      <x:c r="A1234" s="19" t="str">
        <x:v>SALE-01230</x:v>
      </x:c>
      <x:c r="B1234" s="34" t="n">
        <x:v>46212.5</x:v>
      </x:c>
      <x:c r="C1234" s="19" t="str">
        <x:v>周四</x:v>
      </x:c>
      <x:c r="D1234" s="19" t="str">
        <x:v>S05</x:v>
      </x:c>
      <x:c r="E1234" s="19" t="str">
        <x:v>同顺街店</x:v>
      </x:c>
      <x:c r="F1234" s="19" t="str">
        <x:v>外卖</x:v>
      </x:c>
      <x:c r="G1234" s="19" t="str">
        <x:v>全日</x:v>
      </x:c>
      <x:c r="H1234" s="19" t="str">
        <x:v>D10</x:v>
      </x:c>
      <x:c r="I1234" s="19" t="str">
        <x:v>农家一碗香</x:v>
      </x:c>
      <x:c r="J1234" s="22" t="n">
        <x:f>XLOOKUP(H1234,'菜品主数据'!$A$5:$A$24,'菜品主数据'!$D$5:$D$24,0)</x:f>
        <x:v>22.9</x:v>
      </x:c>
      <x:c r="K1234" s="31" t="n">
        <x:v>1</x:v>
      </x:c>
      <x:c r="L1234" s="35" t="n">
        <x:f>J1234*K1234</x:f>
        <x:v>22.9</x:v>
      </x:c>
      <x:c r="M1234" s="36" t="n">
        <x:v>0.08</x:v>
      </x:c>
      <x:c r="N1234" s="35" t="n">
        <x:f>L1234*M1234</x:f>
        <x:v>1.8319999999999999</x:v>
      </x:c>
      <x:c r="O1234" s="37" t="n">
        <x:v>0.18</x:v>
      </x:c>
      <x:c r="P1234" s="35" t="n">
        <x:f>L1234*O1234</x:f>
        <x:v>4.122</x:v>
      </x:c>
      <x:c r="Q1234" s="35" t="n">
        <x:v>1.2</x:v>
      </x:c>
      <x:c r="R1234" s="35" t="n">
        <x:f>K1234*Q1234</x:f>
        <x:v>1.2</x:v>
      </x:c>
      <x:c r="S1234" s="35" t="n">
        <x:f>XLOOKUP(H1234,'菜品主数据'!$A$5:$A$24,'菜品主数据'!$G$5:$G$24,0)</x:f>
        <x:v>9.770200000000003</x:v>
      </x:c>
      <x:c r="T1234" s="35" t="n">
        <x:f>K1234*S1234</x:f>
        <x:v>9.770200000000003</x:v>
      </x:c>
      <x:c r="U1234" s="35" t="n">
        <x:f>L1234-N1234-P1234-R1234-T1234</x:f>
        <x:v>5.975799999999996</x:v>
      </x:c>
      <x:c r="V1234" s="21" t="n">
        <x:f>IFERROR(U1234/L1234,0)</x:f>
        <x:v>0.260951965065502</x:v>
      </x:c>
    </x:row>
    <x:row r="1235">
      <x:c r="A1235" s="19" t="str">
        <x:v>SALE-01231</x:v>
      </x:c>
      <x:c r="B1235" s="34" t="n">
        <x:v>46212.5</x:v>
      </x:c>
      <x:c r="C1235" s="19" t="str">
        <x:v>周四</x:v>
      </x:c>
      <x:c r="D1235" s="19" t="str">
        <x:v>S05</x:v>
      </x:c>
      <x:c r="E1235" s="19" t="str">
        <x:v>同顺街店</x:v>
      </x:c>
      <x:c r="F1235" s="19" t="str">
        <x:v>外卖</x:v>
      </x:c>
      <x:c r="G1235" s="19" t="str">
        <x:v>全日</x:v>
      </x:c>
      <x:c r="H1235" s="19" t="str">
        <x:v>D11</x:v>
      </x:c>
      <x:c r="I1235" s="19" t="str">
        <x:v>香辣爆肥肠</x:v>
      </x:c>
      <x:c r="J1235" s="22" t="n">
        <x:f>XLOOKUP(H1235,'菜品主数据'!$A$5:$A$24,'菜品主数据'!$D$5:$D$24,0)</x:f>
        <x:v>39</x:v>
      </x:c>
      <x:c r="K1235" s="31" t="n">
        <x:v>0</x:v>
      </x:c>
      <x:c r="L1235" s="35" t="n">
        <x:f>J1235*K1235</x:f>
        <x:v>0</x:v>
      </x:c>
      <x:c r="M1235" s="36" t="n">
        <x:v>0.08</x:v>
      </x:c>
      <x:c r="N1235" s="35" t="n">
        <x:f>L1235*M1235</x:f>
        <x:v>0</x:v>
      </x:c>
      <x:c r="O1235" s="37" t="n">
        <x:v>0.18</x:v>
      </x:c>
      <x:c r="P1235" s="35" t="n">
        <x:f>L1235*O1235</x:f>
        <x:v>0</x:v>
      </x:c>
      <x:c r="Q1235" s="35" t="n">
        <x:v>1.2</x:v>
      </x:c>
      <x:c r="R1235" s="35" t="n">
        <x:f>K1235*Q1235</x:f>
        <x:v>0</x:v>
      </x:c>
      <x:c r="S1235" s="35" t="n">
        <x:f>XLOOKUP(H1235,'菜品主数据'!$A$5:$A$24,'菜品主数据'!$G$5:$G$24,0)</x:f>
        <x:v>10.397</x:v>
      </x:c>
      <x:c r="T1235" s="35" t="n">
        <x:f>K1235*S1235</x:f>
        <x:v>0</x:v>
      </x:c>
      <x:c r="U1235" s="35" t="n">
        <x:f>L1235-N1235-P1235-R1235-T1235</x:f>
        <x:v>0</x:v>
      </x:c>
      <x:c r="V1235" s="21" t="n">
        <x:f>IFERROR(U1235/L1235,0)</x:f>
        <x:v>0</x:v>
      </x:c>
    </x:row>
    <x:row r="1236">
      <x:c r="A1236" s="19" t="str">
        <x:v>SALE-01232</x:v>
      </x:c>
      <x:c r="B1236" s="34" t="n">
        <x:v>46212.5</x:v>
      </x:c>
      <x:c r="C1236" s="19" t="str">
        <x:v>周四</x:v>
      </x:c>
      <x:c r="D1236" s="19" t="str">
        <x:v>S05</x:v>
      </x:c>
      <x:c r="E1236" s="19" t="str">
        <x:v>同顺街店</x:v>
      </x:c>
      <x:c r="F1236" s="19" t="str">
        <x:v>外卖</x:v>
      </x:c>
      <x:c r="G1236" s="19" t="str">
        <x:v>全日</x:v>
      </x:c>
      <x:c r="H1236" s="19" t="str">
        <x:v>D12</x:v>
      </x:c>
      <x:c r="I1236" s="19" t="str">
        <x:v>清蒸鲈鱼</x:v>
      </x:c>
      <x:c r="J1236" s="22" t="n">
        <x:f>XLOOKUP(H1236,'菜品主数据'!$A$5:$A$24,'菜品主数据'!$D$5:$D$24,0)</x:f>
        <x:v>39</x:v>
      </x:c>
      <x:c r="K1236" s="31" t="n">
        <x:v>0</x:v>
      </x:c>
      <x:c r="L1236" s="35" t="n">
        <x:f>J1236*K1236</x:f>
        <x:v>0</x:v>
      </x:c>
      <x:c r="M1236" s="36" t="n">
        <x:v>0.08</x:v>
      </x:c>
      <x:c r="N1236" s="35" t="n">
        <x:f>L1236*M1236</x:f>
        <x:v>0</x:v>
      </x:c>
      <x:c r="O1236" s="37" t="n">
        <x:v>0.18</x:v>
      </x:c>
      <x:c r="P1236" s="35" t="n">
        <x:f>L1236*O1236</x:f>
        <x:v>0</x:v>
      </x:c>
      <x:c r="Q1236" s="35" t="n">
        <x:v>1.2</x:v>
      </x:c>
      <x:c r="R1236" s="35" t="n">
        <x:f>K1236*Q1236</x:f>
        <x:v>0</x:v>
      </x:c>
      <x:c r="S1236" s="35" t="n">
        <x:f>XLOOKUP(H1236,'菜品主数据'!$A$5:$A$24,'菜品主数据'!$G$5:$G$24,0)</x:f>
        <x:v>18.874</x:v>
      </x:c>
      <x:c r="T1236" s="35" t="n">
        <x:f>K1236*S1236</x:f>
        <x:v>0</x:v>
      </x:c>
      <x:c r="U1236" s="35" t="n">
        <x:f>L1236-N1236-P1236-R1236-T1236</x:f>
        <x:v>0</x:v>
      </x:c>
      <x:c r="V1236" s="21" t="n">
        <x:f>IFERROR(U1236/L1236,0)</x:f>
        <x:v>0</x:v>
      </x:c>
    </x:row>
    <x:row r="1237">
      <x:c r="A1237" s="19" t="str">
        <x:v>SALE-01233</x:v>
      </x:c>
      <x:c r="B1237" s="34" t="n">
        <x:v>46212.5</x:v>
      </x:c>
      <x:c r="C1237" s="19" t="str">
        <x:v>周四</x:v>
      </x:c>
      <x:c r="D1237" s="19" t="str">
        <x:v>S05</x:v>
      </x:c>
      <x:c r="E1237" s="19" t="str">
        <x:v>同顺街店</x:v>
      </x:c>
      <x:c r="F1237" s="19" t="str">
        <x:v>外卖</x:v>
      </x:c>
      <x:c r="G1237" s="19" t="str">
        <x:v>全日</x:v>
      </x:c>
      <x:c r="H1237" s="19" t="str">
        <x:v>D13</x:v>
      </x:c>
      <x:c r="I1237" s="19" t="str">
        <x:v>外婆菜炒蛋</x:v>
      </x:c>
      <x:c r="J1237" s="22" t="n">
        <x:f>XLOOKUP(H1237,'菜品主数据'!$A$5:$A$24,'菜品主数据'!$D$5:$D$24,0)</x:f>
        <x:v>18</x:v>
      </x:c>
      <x:c r="K1237" s="31" t="n">
        <x:v>1</x:v>
      </x:c>
      <x:c r="L1237" s="35" t="n">
        <x:f>J1237*K1237</x:f>
        <x:v>18</x:v>
      </x:c>
      <x:c r="M1237" s="36" t="n">
        <x:v>0.08</x:v>
      </x:c>
      <x:c r="N1237" s="35" t="n">
        <x:f>L1237*M1237</x:f>
        <x:v>1.44</x:v>
      </x:c>
      <x:c r="O1237" s="37" t="n">
        <x:v>0.18</x:v>
      </x:c>
      <x:c r="P1237" s="35" t="n">
        <x:f>L1237*O1237</x:f>
        <x:v>3.2399999999999998</x:v>
      </x:c>
      <x:c r="Q1237" s="35" t="n">
        <x:v>1.2</x:v>
      </x:c>
      <x:c r="R1237" s="35" t="n">
        <x:f>K1237*Q1237</x:f>
        <x:v>1.2</x:v>
      </x:c>
      <x:c r="S1237" s="35" t="n">
        <x:f>XLOOKUP(H1237,'菜品主数据'!$A$5:$A$24,'菜品主数据'!$G$5:$G$24,0)</x:f>
        <x:v>5.403999999999999</x:v>
      </x:c>
      <x:c r="T1237" s="35" t="n">
        <x:f>K1237*S1237</x:f>
        <x:v>5.403999999999999</x:v>
      </x:c>
      <x:c r="U1237" s="35" t="n">
        <x:f>L1237-N1237-P1237-R1237-T1237</x:f>
        <x:v>6.716</x:v>
      </x:c>
      <x:c r="V1237" s="21" t="n">
        <x:f>IFERROR(U1237/L1237,0)</x:f>
        <x:v>0.3731111111111111</x:v>
      </x:c>
    </x:row>
    <x:row r="1238">
      <x:c r="A1238" s="19" t="str">
        <x:v>SALE-01234</x:v>
      </x:c>
      <x:c r="B1238" s="34" t="n">
        <x:v>46212.5</x:v>
      </x:c>
      <x:c r="C1238" s="19" t="str">
        <x:v>周四</x:v>
      </x:c>
      <x:c r="D1238" s="19" t="str">
        <x:v>S05</x:v>
      </x:c>
      <x:c r="E1238" s="19" t="str">
        <x:v>同顺街店</x:v>
      </x:c>
      <x:c r="F1238" s="19" t="str">
        <x:v>外卖</x:v>
      </x:c>
      <x:c r="G1238" s="19" t="str">
        <x:v>全日</x:v>
      </x:c>
      <x:c r="H1238" s="19" t="str">
        <x:v>D14</x:v>
      </x:c>
      <x:c r="I1238" s="19" t="str">
        <x:v>酸辣鸡杂</x:v>
      </x:c>
      <x:c r="J1238" s="22" t="n">
        <x:f>XLOOKUP(H1238,'菜品主数据'!$A$5:$A$24,'菜品主数据'!$D$5:$D$24,0)</x:f>
        <x:v>28</x:v>
      </x:c>
      <x:c r="K1238" s="31" t="n">
        <x:v>0</x:v>
      </x:c>
      <x:c r="L1238" s="35" t="n">
        <x:f>J1238*K1238</x:f>
        <x:v>0</x:v>
      </x:c>
      <x:c r="M1238" s="36" t="n">
        <x:v>0.08</x:v>
      </x:c>
      <x:c r="N1238" s="35" t="n">
        <x:f>L1238*M1238</x:f>
        <x:v>0</x:v>
      </x:c>
      <x:c r="O1238" s="37" t="n">
        <x:v>0.18</x:v>
      </x:c>
      <x:c r="P1238" s="35" t="n">
        <x:f>L1238*O1238</x:f>
        <x:v>0</x:v>
      </x:c>
      <x:c r="Q1238" s="35" t="n">
        <x:v>1.2</x:v>
      </x:c>
      <x:c r="R1238" s="35" t="n">
        <x:f>K1238*Q1238</x:f>
        <x:v>0</x:v>
      </x:c>
      <x:c r="S1238" s="35" t="n">
        <x:f>XLOOKUP(H1238,'菜品主数据'!$A$5:$A$24,'菜品主数据'!$G$5:$G$24,0)</x:f>
        <x:v>8.315000000000001</x:v>
      </x:c>
      <x:c r="T1238" s="35" t="n">
        <x:f>K1238*S1238</x:f>
        <x:v>0</x:v>
      </x:c>
      <x:c r="U1238" s="35" t="n">
        <x:f>L1238-N1238-P1238-R1238-T1238</x:f>
        <x:v>0</x:v>
      </x:c>
      <x:c r="V1238" s="21" t="n">
        <x:f>IFERROR(U1238/L1238,0)</x:f>
        <x:v>0</x:v>
      </x:c>
    </x:row>
    <x:row r="1239">
      <x:c r="A1239" s="19" t="str">
        <x:v>SALE-01235</x:v>
      </x:c>
      <x:c r="B1239" s="34" t="n">
        <x:v>46212.5</x:v>
      </x:c>
      <x:c r="C1239" s="19" t="str">
        <x:v>周四</x:v>
      </x:c>
      <x:c r="D1239" s="19" t="str">
        <x:v>S05</x:v>
      </x:c>
      <x:c r="E1239" s="19" t="str">
        <x:v>同顺街店</x:v>
      </x:c>
      <x:c r="F1239" s="19" t="str">
        <x:v>外卖</x:v>
      </x:c>
      <x:c r="G1239" s="19" t="str">
        <x:v>全日</x:v>
      </x:c>
      <x:c r="H1239" s="19" t="str">
        <x:v>D15</x:v>
      </x:c>
      <x:c r="I1239" s="19" t="str">
        <x:v>湘西土匪猪肝</x:v>
      </x:c>
      <x:c r="J1239" s="22" t="n">
        <x:f>XLOOKUP(H1239,'菜品主数据'!$A$5:$A$24,'菜品主数据'!$D$5:$D$24,0)</x:f>
        <x:v>26</x:v>
      </x:c>
      <x:c r="K1239" s="31" t="n">
        <x:v>0</x:v>
      </x:c>
      <x:c r="L1239" s="35" t="n">
        <x:f>J1239*K1239</x:f>
        <x:v>0</x:v>
      </x:c>
      <x:c r="M1239" s="36" t="n">
        <x:v>0.08</x:v>
      </x:c>
      <x:c r="N1239" s="35" t="n">
        <x:f>L1239*M1239</x:f>
        <x:v>0</x:v>
      </x:c>
      <x:c r="O1239" s="37" t="n">
        <x:v>0.18</x:v>
      </x:c>
      <x:c r="P1239" s="35" t="n">
        <x:f>L1239*O1239</x:f>
        <x:v>0</x:v>
      </x:c>
      <x:c r="Q1239" s="35" t="n">
        <x:v>1.2</x:v>
      </x:c>
      <x:c r="R1239" s="35" t="n">
        <x:f>K1239*Q1239</x:f>
        <x:v>0</x:v>
      </x:c>
      <x:c r="S1239" s="35" t="n">
        <x:f>XLOOKUP(H1239,'菜品主数据'!$A$5:$A$24,'菜品主数据'!$G$5:$G$24,0)</x:f>
        <x:v>6.3759999999999994</x:v>
      </x:c>
      <x:c r="T1239" s="35" t="n">
        <x:f>K1239*S1239</x:f>
        <x:v>0</x:v>
      </x:c>
      <x:c r="U1239" s="35" t="n">
        <x:f>L1239-N1239-P1239-R1239-T1239</x:f>
        <x:v>0</x:v>
      </x:c>
      <x:c r="V1239" s="21" t="n">
        <x:f>IFERROR(U1239/L1239,0)</x:f>
        <x:v>0</x:v>
      </x:c>
    </x:row>
    <x:row r="1240">
      <x:c r="A1240" s="19" t="str">
        <x:v>SALE-01236</x:v>
      </x:c>
      <x:c r="B1240" s="34" t="n">
        <x:v>46212.5</x:v>
      </x:c>
      <x:c r="C1240" s="19" t="str">
        <x:v>周四</x:v>
      </x:c>
      <x:c r="D1240" s="19" t="str">
        <x:v>S05</x:v>
      </x:c>
      <x:c r="E1240" s="19" t="str">
        <x:v>同顺街店</x:v>
      </x:c>
      <x:c r="F1240" s="19" t="str">
        <x:v>外卖</x:v>
      </x:c>
      <x:c r="G1240" s="19" t="str">
        <x:v>全日</x:v>
      </x:c>
      <x:c r="H1240" s="19" t="str">
        <x:v>D16</x:v>
      </x:c>
      <x:c r="I1240" s="19" t="str">
        <x:v>小豆角炒五花</x:v>
      </x:c>
      <x:c r="J1240" s="22" t="n">
        <x:f>XLOOKUP(H1240,'菜品主数据'!$A$5:$A$24,'菜品主数据'!$D$5:$D$24,0)</x:f>
        <x:v>25</x:v>
      </x:c>
      <x:c r="K1240" s="31" t="n">
        <x:v>0</x:v>
      </x:c>
      <x:c r="L1240" s="35" t="n">
        <x:f>J1240*K1240</x:f>
        <x:v>0</x:v>
      </x:c>
      <x:c r="M1240" s="36" t="n">
        <x:v>0.08</x:v>
      </x:c>
      <x:c r="N1240" s="35" t="n">
        <x:f>L1240*M1240</x:f>
        <x:v>0</x:v>
      </x:c>
      <x:c r="O1240" s="37" t="n">
        <x:v>0.18</x:v>
      </x:c>
      <x:c r="P1240" s="35" t="n">
        <x:f>L1240*O1240</x:f>
        <x:v>0</x:v>
      </x:c>
      <x:c r="Q1240" s="35" t="n">
        <x:v>1.2</x:v>
      </x:c>
      <x:c r="R1240" s="35" t="n">
        <x:f>K1240*Q1240</x:f>
        <x:v>0</x:v>
      </x:c>
      <x:c r="S1240" s="35" t="n">
        <x:f>XLOOKUP(H1240,'菜品主数据'!$A$5:$A$24,'菜品主数据'!$G$5:$G$24,0)</x:f>
        <x:v>8.184</x:v>
      </x:c>
      <x:c r="T1240" s="35" t="n">
        <x:f>K1240*S1240</x:f>
        <x:v>0</x:v>
      </x:c>
      <x:c r="U1240" s="35" t="n">
        <x:f>L1240-N1240-P1240-R1240-T1240</x:f>
        <x:v>0</x:v>
      </x:c>
      <x:c r="V1240" s="21" t="n">
        <x:f>IFERROR(U1240/L1240,0)</x:f>
        <x:v>0</x:v>
      </x:c>
    </x:row>
    <x:row r="1241">
      <x:c r="A1241" s="19" t="str">
        <x:v>SALE-01237</x:v>
      </x:c>
      <x:c r="B1241" s="34" t="n">
        <x:v>46212.5</x:v>
      </x:c>
      <x:c r="C1241" s="19" t="str">
        <x:v>周四</x:v>
      </x:c>
      <x:c r="D1241" s="19" t="str">
        <x:v>S05</x:v>
      </x:c>
      <x:c r="E1241" s="19" t="str">
        <x:v>同顺街店</x:v>
      </x:c>
      <x:c r="F1241" s="19" t="str">
        <x:v>外卖</x:v>
      </x:c>
      <x:c r="G1241" s="19" t="str">
        <x:v>全日</x:v>
      </x:c>
      <x:c r="H1241" s="19" t="str">
        <x:v>D17</x:v>
      </x:c>
      <x:c r="I1241" s="19" t="str">
        <x:v>蒜蓉粉丝虾</x:v>
      </x:c>
      <x:c r="J1241" s="22" t="n">
        <x:f>XLOOKUP(H1241,'菜品主数据'!$A$5:$A$24,'菜品主数据'!$D$5:$D$24,0)</x:f>
        <x:v>36</x:v>
      </x:c>
      <x:c r="K1241" s="31" t="n">
        <x:v>0</x:v>
      </x:c>
      <x:c r="L1241" s="35" t="n">
        <x:f>J1241*K1241</x:f>
        <x:v>0</x:v>
      </x:c>
      <x:c r="M1241" s="36" t="n">
        <x:v>0.08</x:v>
      </x:c>
      <x:c r="N1241" s="35" t="n">
        <x:f>L1241*M1241</x:f>
        <x:v>0</x:v>
      </x:c>
      <x:c r="O1241" s="37" t="n">
        <x:v>0.18</x:v>
      </x:c>
      <x:c r="P1241" s="35" t="n">
        <x:f>L1241*O1241</x:f>
        <x:v>0</x:v>
      </x:c>
      <x:c r="Q1241" s="35" t="n">
        <x:v>1.2</x:v>
      </x:c>
      <x:c r="R1241" s="35" t="n">
        <x:f>K1241*Q1241</x:f>
        <x:v>0</x:v>
      </x:c>
      <x:c r="S1241" s="35" t="n">
        <x:f>XLOOKUP(H1241,'菜品主数据'!$A$5:$A$24,'菜品主数据'!$G$5:$G$24,0)</x:f>
        <x:v>13.594</x:v>
      </x:c>
      <x:c r="T1241" s="35" t="n">
        <x:f>K1241*S1241</x:f>
        <x:v>0</x:v>
      </x:c>
      <x:c r="U1241" s="35" t="n">
        <x:f>L1241-N1241-P1241-R1241-T1241</x:f>
        <x:v>0</x:v>
      </x:c>
      <x:c r="V1241" s="21" t="n">
        <x:f>IFERROR(U1241/L1241,0)</x:f>
        <x:v>0</x:v>
      </x:c>
    </x:row>
    <x:row r="1242">
      <x:c r="A1242" s="19" t="str">
        <x:v>SALE-01238</x:v>
      </x:c>
      <x:c r="B1242" s="34" t="n">
        <x:v>46212.5</x:v>
      </x:c>
      <x:c r="C1242" s="19" t="str">
        <x:v>周四</x:v>
      </x:c>
      <x:c r="D1242" s="19" t="str">
        <x:v>S05</x:v>
      </x:c>
      <x:c r="E1242" s="19" t="str">
        <x:v>同顺街店</x:v>
      </x:c>
      <x:c r="F1242" s="19" t="str">
        <x:v>外卖</x:v>
      </x:c>
      <x:c r="G1242" s="19" t="str">
        <x:v>全日</x:v>
      </x:c>
      <x:c r="H1242" s="19" t="str">
        <x:v>D18</x:v>
      </x:c>
      <x:c r="I1242" s="19" t="str">
        <x:v>青椒炒油麦菜</x:v>
      </x:c>
      <x:c r="J1242" s="22" t="n">
        <x:f>XLOOKUP(H1242,'菜品主数据'!$A$5:$A$24,'菜品主数据'!$D$5:$D$24,0)</x:f>
        <x:v>18</x:v>
      </x:c>
      <x:c r="K1242" s="31" t="n">
        <x:v>0</x:v>
      </x:c>
      <x:c r="L1242" s="35" t="n">
        <x:f>J1242*K1242</x:f>
        <x:v>0</x:v>
      </x:c>
      <x:c r="M1242" s="36" t="n">
        <x:v>0.08</x:v>
      </x:c>
      <x:c r="N1242" s="35" t="n">
        <x:f>L1242*M1242</x:f>
        <x:v>0</x:v>
      </x:c>
      <x:c r="O1242" s="37" t="n">
        <x:v>0.18</x:v>
      </x:c>
      <x:c r="P1242" s="35" t="n">
        <x:f>L1242*O1242</x:f>
        <x:v>0</x:v>
      </x:c>
      <x:c r="Q1242" s="35" t="n">
        <x:v>1.2</x:v>
      </x:c>
      <x:c r="R1242" s="35" t="n">
        <x:f>K1242*Q1242</x:f>
        <x:v>0</x:v>
      </x:c>
      <x:c r="S1242" s="35" t="n">
        <x:f>XLOOKUP(H1242,'菜品主数据'!$A$5:$A$24,'菜品主数据'!$G$5:$G$24,0)</x:f>
        <x:v>3.1759999999999993</x:v>
      </x:c>
      <x:c r="T1242" s="35" t="n">
        <x:f>K1242*S1242</x:f>
        <x:v>0</x:v>
      </x:c>
      <x:c r="U1242" s="35" t="n">
        <x:f>L1242-N1242-P1242-R1242-T1242</x:f>
        <x:v>0</x:v>
      </x:c>
      <x:c r="V1242" s="21" t="n">
        <x:f>IFERROR(U1242/L1242,0)</x:f>
        <x:v>0</x:v>
      </x:c>
    </x:row>
    <x:row r="1243">
      <x:c r="A1243" s="19" t="str">
        <x:v>SALE-01239</x:v>
      </x:c>
      <x:c r="B1243" s="34" t="n">
        <x:v>46212.5</x:v>
      </x:c>
      <x:c r="C1243" s="19" t="str">
        <x:v>周四</x:v>
      </x:c>
      <x:c r="D1243" s="19" t="str">
        <x:v>S05</x:v>
      </x:c>
      <x:c r="E1243" s="19" t="str">
        <x:v>同顺街店</x:v>
      </x:c>
      <x:c r="F1243" s="19" t="str">
        <x:v>外卖</x:v>
      </x:c>
      <x:c r="G1243" s="19" t="str">
        <x:v>全日</x:v>
      </x:c>
      <x:c r="H1243" s="19" t="str">
        <x:v>D19</x:v>
      </x:c>
      <x:c r="I1243" s="19" t="str">
        <x:v>酸萝卜炒鸡杂</x:v>
      </x:c>
      <x:c r="J1243" s="22" t="n">
        <x:f>XLOOKUP(H1243,'菜品主数据'!$A$5:$A$24,'菜品主数据'!$D$5:$D$24,0)</x:f>
        <x:v>25</x:v>
      </x:c>
      <x:c r="K1243" s="31" t="n">
        <x:v>0</x:v>
      </x:c>
      <x:c r="L1243" s="35" t="n">
        <x:f>J1243*K1243</x:f>
        <x:v>0</x:v>
      </x:c>
      <x:c r="M1243" s="36" t="n">
        <x:v>0.08</x:v>
      </x:c>
      <x:c r="N1243" s="35" t="n">
        <x:f>L1243*M1243</x:f>
        <x:v>0</x:v>
      </x:c>
      <x:c r="O1243" s="37" t="n">
        <x:v>0.18</x:v>
      </x:c>
      <x:c r="P1243" s="35" t="n">
        <x:f>L1243*O1243</x:f>
        <x:v>0</x:v>
      </x:c>
      <x:c r="Q1243" s="35" t="n">
        <x:v>1.2</x:v>
      </x:c>
      <x:c r="R1243" s="35" t="n">
        <x:f>K1243*Q1243</x:f>
        <x:v>0</x:v>
      </x:c>
      <x:c r="S1243" s="35" t="n">
        <x:f>XLOOKUP(H1243,'菜品主数据'!$A$5:$A$24,'菜品主数据'!$G$5:$G$24,0)</x:f>
        <x:v>7.9399999999999995</x:v>
      </x:c>
      <x:c r="T1243" s="35" t="n">
        <x:f>K1243*S1243</x:f>
        <x:v>0</x:v>
      </x:c>
      <x:c r="U1243" s="35" t="n">
        <x:f>L1243-N1243-P1243-R1243-T1243</x:f>
        <x:v>0</x:v>
      </x:c>
      <x:c r="V1243" s="21" t="n">
        <x:f>IFERROR(U1243/L1243,0)</x:f>
        <x:v>0</x:v>
      </x:c>
    </x:row>
    <x:row r="1244">
      <x:c r="A1244" s="19" t="str">
        <x:v>SALE-01240</x:v>
      </x:c>
      <x:c r="B1244" s="34" t="n">
        <x:v>46212.5</x:v>
      </x:c>
      <x:c r="C1244" s="19" t="str">
        <x:v>周四</x:v>
      </x:c>
      <x:c r="D1244" s="19" t="str">
        <x:v>S05</x:v>
      </x:c>
      <x:c r="E1244" s="19" t="str">
        <x:v>同顺街店</x:v>
      </x:c>
      <x:c r="F1244" s="19" t="str">
        <x:v>外卖</x:v>
      </x:c>
      <x:c r="G1244" s="19" t="str">
        <x:v>全日</x:v>
      </x:c>
      <x:c r="H1244" s="19" t="str">
        <x:v>D20</x:v>
      </x:c>
      <x:c r="I1244" s="19" t="str">
        <x:v>雪菜肉末青豆</x:v>
      </x:c>
      <x:c r="J1244" s="22" t="n">
        <x:f>XLOOKUP(H1244,'菜品主数据'!$A$5:$A$24,'菜品主数据'!$D$5:$D$24,0)</x:f>
        <x:v>18</x:v>
      </x:c>
      <x:c r="K1244" s="31" t="n">
        <x:v>0</x:v>
      </x:c>
      <x:c r="L1244" s="35" t="n">
        <x:f>J1244*K1244</x:f>
        <x:v>0</x:v>
      </x:c>
      <x:c r="M1244" s="36" t="n">
        <x:v>0.08</x:v>
      </x:c>
      <x:c r="N1244" s="35" t="n">
        <x:f>L1244*M1244</x:f>
        <x:v>0</x:v>
      </x:c>
      <x:c r="O1244" s="37" t="n">
        <x:v>0.18</x:v>
      </x:c>
      <x:c r="P1244" s="35" t="n">
        <x:f>L1244*O1244</x:f>
        <x:v>0</x:v>
      </x:c>
      <x:c r="Q1244" s="35" t="n">
        <x:v>1.2</x:v>
      </x:c>
      <x:c r="R1244" s="35" t="n">
        <x:f>K1244*Q1244</x:f>
        <x:v>0</x:v>
      </x:c>
      <x:c r="S1244" s="35" t="n">
        <x:f>XLOOKUP(H1244,'菜品主数据'!$A$5:$A$24,'菜品主数据'!$G$5:$G$24,0)</x:f>
        <x:v>7.303999999999999</x:v>
      </x:c>
      <x:c r="T1244" s="35" t="n">
        <x:f>K1244*S1244</x:f>
        <x:v>0</x:v>
      </x:c>
      <x:c r="U1244" s="35" t="n">
        <x:f>L1244-N1244-P1244-R1244-T1244</x:f>
        <x:v>0</x:v>
      </x:c>
      <x:c r="V1244" s="21" t="n">
        <x:f>IFERROR(U1244/L1244,0)</x:f>
        <x:v>0</x:v>
      </x:c>
    </x:row>
    <x:row r="1245">
      <x:c r="A1245" s="19" t="str">
        <x:v>SALE-01241</x:v>
      </x:c>
      <x:c r="B1245" s="34" t="n">
        <x:v>46213.5</x:v>
      </x:c>
      <x:c r="C1245" s="19" t="str">
        <x:v>周五</x:v>
      </x:c>
      <x:c r="D1245" s="19" t="str">
        <x:v>S05</x:v>
      </x:c>
      <x:c r="E1245" s="19" t="str">
        <x:v>同顺街店</x:v>
      </x:c>
      <x:c r="F1245" s="19" t="str">
        <x:v>堂食</x:v>
      </x:c>
      <x:c r="G1245" s="19" t="str">
        <x:v>全日</x:v>
      </x:c>
      <x:c r="H1245" s="19" t="str">
        <x:v>D01</x:v>
      </x:c>
      <x:c r="I1245" s="19" t="str">
        <x:v>辣椒炒肉</x:v>
      </x:c>
      <x:c r="J1245" s="22" t="n">
        <x:f>XLOOKUP(H1245,'菜品主数据'!$A$5:$A$24,'菜品主数据'!$D$5:$D$24,0)</x:f>
        <x:v>29</x:v>
      </x:c>
      <x:c r="K1245" s="31" t="n">
        <x:v>46</x:v>
      </x:c>
      <x:c r="L1245" s="35" t="n">
        <x:f>J1245*K1245</x:f>
        <x:v>1334</x:v>
      </x:c>
      <x:c r="M1245" s="36" t="n">
        <x:v>0</x:v>
      </x:c>
      <x:c r="N1245" s="35" t="n">
        <x:f>L1245*M1245</x:f>
        <x:v>0</x:v>
      </x:c>
      <x:c r="O1245" s="37" t="n">
        <x:v>0</x:v>
      </x:c>
      <x:c r="P1245" s="35" t="n">
        <x:f>L1245*O1245</x:f>
        <x:v>0</x:v>
      </x:c>
      <x:c r="Q1245" s="35" t="n">
        <x:v>0</x:v>
      </x:c>
      <x:c r="R1245" s="35" t="n">
        <x:f>K1245*Q1245</x:f>
        <x:v>0</x:v>
      </x:c>
      <x:c r="S1245" s="35" t="n">
        <x:f>XLOOKUP(H1245,'菜品主数据'!$A$5:$A$24,'菜品主数据'!$G$5:$G$24,0)</x:f>
        <x:v>8.634400000000001</x:v>
      </x:c>
      <x:c r="T1245" s="35" t="n">
        <x:f>K1245*S1245</x:f>
        <x:v>397.18240000000003</x:v>
      </x:c>
      <x:c r="U1245" s="35" t="n">
        <x:f>L1245-N1245-P1245-R1245-T1245</x:f>
        <x:v>936.8176</x:v>
      </x:c>
      <x:c r="V1245" s="21" t="n">
        <x:f>IFERROR(U1245/L1245,0)</x:f>
        <x:v>0.7022620689655172</x:v>
      </x:c>
    </x:row>
    <x:row r="1246">
      <x:c r="A1246" s="19" t="str">
        <x:v>SALE-01242</x:v>
      </x:c>
      <x:c r="B1246" s="34" t="n">
        <x:v>46213.5</x:v>
      </x:c>
      <x:c r="C1246" s="19" t="str">
        <x:v>周五</x:v>
      </x:c>
      <x:c r="D1246" s="19" t="str">
        <x:v>S05</x:v>
      </x:c>
      <x:c r="E1246" s="19" t="str">
        <x:v>同顺街店</x:v>
      </x:c>
      <x:c r="F1246" s="19" t="str">
        <x:v>堂食</x:v>
      </x:c>
      <x:c r="G1246" s="19" t="str">
        <x:v>全日</x:v>
      </x:c>
      <x:c r="H1246" s="19" t="str">
        <x:v>D02</x:v>
      </x:c>
      <x:c r="I1246" s="19" t="str">
        <x:v>小炒黄牛肉</x:v>
      </x:c>
      <x:c r="J1246" s="22" t="n">
        <x:f>XLOOKUP(H1246,'菜品主数据'!$A$5:$A$24,'菜品主数据'!$D$5:$D$24,0)</x:f>
        <x:v>49</x:v>
      </x:c>
      <x:c r="K1246" s="31" t="n">
        <x:v>26</x:v>
      </x:c>
      <x:c r="L1246" s="35" t="n">
        <x:f>J1246*K1246</x:f>
        <x:v>1274</x:v>
      </x:c>
      <x:c r="M1246" s="36" t="n">
        <x:v>0</x:v>
      </x:c>
      <x:c r="N1246" s="35" t="n">
        <x:f>L1246*M1246</x:f>
        <x:v>0</x:v>
      </x:c>
      <x:c r="O1246" s="37" t="n">
        <x:v>0</x:v>
      </x:c>
      <x:c r="P1246" s="35" t="n">
        <x:f>L1246*O1246</x:f>
        <x:v>0</x:v>
      </x:c>
      <x:c r="Q1246" s="35" t="n">
        <x:v>0</x:v>
      </x:c>
      <x:c r="R1246" s="35" t="n">
        <x:f>K1246*Q1246</x:f>
        <x:v>0</x:v>
      </x:c>
      <x:c r="S1246" s="35" t="n">
        <x:f>XLOOKUP(H1246,'菜品主数据'!$A$5:$A$24,'菜品主数据'!$G$5:$G$24,0)</x:f>
        <x:v>17.577</x:v>
      </x:c>
      <x:c r="T1246" s="35" t="n">
        <x:f>K1246*S1246</x:f>
        <x:v>457.00200000000007</x:v>
      </x:c>
      <x:c r="U1246" s="35" t="n">
        <x:f>L1246-N1246-P1246-R1246-T1246</x:f>
        <x:v>816.9979999999999</x:v>
      </x:c>
      <x:c r="V1246" s="21" t="n">
        <x:f>IFERROR(U1246/L1246,0)</x:f>
        <x:v>0.6412857142857142</x:v>
      </x:c>
    </x:row>
    <x:row r="1247">
      <x:c r="A1247" s="19" t="str">
        <x:v>SALE-01243</x:v>
      </x:c>
      <x:c r="B1247" s="34" t="n">
        <x:v>46213.5</x:v>
      </x:c>
      <x:c r="C1247" s="19" t="str">
        <x:v>周五</x:v>
      </x:c>
      <x:c r="D1247" s="19" t="str">
        <x:v>S05</x:v>
      </x:c>
      <x:c r="E1247" s="19" t="str">
        <x:v>同顺街店</x:v>
      </x:c>
      <x:c r="F1247" s="19" t="str">
        <x:v>堂食</x:v>
      </x:c>
      <x:c r="G1247" s="19" t="str">
        <x:v>全日</x:v>
      </x:c>
      <x:c r="H1247" s="19" t="str">
        <x:v>D03</x:v>
      </x:c>
      <x:c r="I1247" s="19" t="str">
        <x:v>香醋炒蛋</x:v>
      </x:c>
      <x:c r="J1247" s="22" t="n">
        <x:f>XLOOKUP(H1247,'菜品主数据'!$A$5:$A$24,'菜品主数据'!$D$5:$D$24,0)</x:f>
        <x:v>14.9</x:v>
      </x:c>
      <x:c r="K1247" s="31" t="n">
        <x:v>38</x:v>
      </x:c>
      <x:c r="L1247" s="35" t="n">
        <x:f>J1247*K1247</x:f>
        <x:v>566.2</x:v>
      </x:c>
      <x:c r="M1247" s="36" t="n">
        <x:v>0</x:v>
      </x:c>
      <x:c r="N1247" s="35" t="n">
        <x:f>L1247*M1247</x:f>
        <x:v>0</x:v>
      </x:c>
      <x:c r="O1247" s="37" t="n">
        <x:v>0</x:v>
      </x:c>
      <x:c r="P1247" s="35" t="n">
        <x:f>L1247*O1247</x:f>
        <x:v>0</x:v>
      </x:c>
      <x:c r="Q1247" s="35" t="n">
        <x:v>0</x:v>
      </x:c>
      <x:c r="R1247" s="35" t="n">
        <x:f>K1247*Q1247</x:f>
        <x:v>0</x:v>
      </x:c>
      <x:c r="S1247" s="35" t="n">
        <x:f>XLOOKUP(H1247,'菜品主数据'!$A$5:$A$24,'菜品主数据'!$G$5:$G$24,0)</x:f>
        <x:v>3.7459999999999996</x:v>
      </x:c>
      <x:c r="T1247" s="35" t="n">
        <x:f>K1247*S1247</x:f>
        <x:v>142.34799999999998</x:v>
      </x:c>
      <x:c r="U1247" s="35" t="n">
        <x:f>L1247-N1247-P1247-R1247-T1247</x:f>
        <x:v>423.8520000000001</x:v>
      </x:c>
      <x:c r="V1247" s="21" t="n">
        <x:f>IFERROR(U1247/L1247,0)</x:f>
        <x:v>0.7485906040268457</x:v>
      </x:c>
    </x:row>
    <x:row r="1248">
      <x:c r="A1248" s="19" t="str">
        <x:v>SALE-01244</x:v>
      </x:c>
      <x:c r="B1248" s="34" t="n">
        <x:v>46213.5</x:v>
      </x:c>
      <x:c r="C1248" s="19" t="str">
        <x:v>周五</x:v>
      </x:c>
      <x:c r="D1248" s="19" t="str">
        <x:v>S05</x:v>
      </x:c>
      <x:c r="E1248" s="19" t="str">
        <x:v>同顺街店</x:v>
      </x:c>
      <x:c r="F1248" s="19" t="str">
        <x:v>堂食</x:v>
      </x:c>
      <x:c r="G1248" s="19" t="str">
        <x:v>全日</x:v>
      </x:c>
      <x:c r="H1248" s="19" t="str">
        <x:v>D04</x:v>
      </x:c>
      <x:c r="I1248" s="19" t="str">
        <x:v>酸包菜炒粉皮</x:v>
      </x:c>
      <x:c r="J1248" s="22" t="n">
        <x:f>XLOOKUP(H1248,'菜品主数据'!$A$5:$A$24,'菜品主数据'!$D$5:$D$24,0)</x:f>
        <x:v>16</x:v>
      </x:c>
      <x:c r="K1248" s="31" t="n">
        <x:v>32</x:v>
      </x:c>
      <x:c r="L1248" s="35" t="n">
        <x:f>J1248*K1248</x:f>
        <x:v>512</x:v>
      </x:c>
      <x:c r="M1248" s="36" t="n">
        <x:v>0</x:v>
      </x:c>
      <x:c r="N1248" s="35" t="n">
        <x:f>L1248*M1248</x:f>
        <x:v>0</x:v>
      </x:c>
      <x:c r="O1248" s="37" t="n">
        <x:v>0</x:v>
      </x:c>
      <x:c r="P1248" s="35" t="n">
        <x:f>L1248*O1248</x:f>
        <x:v>0</x:v>
      </x:c>
      <x:c r="Q1248" s="35" t="n">
        <x:v>0</x:v>
      </x:c>
      <x:c r="R1248" s="35" t="n">
        <x:f>K1248*Q1248</x:f>
        <x:v>0</x:v>
      </x:c>
      <x:c r="S1248" s="35" t="n">
        <x:f>XLOOKUP(H1248,'菜品主数据'!$A$5:$A$24,'菜品主数据'!$G$5:$G$24,0)</x:f>
        <x:v>3.978</x:v>
      </x:c>
      <x:c r="T1248" s="35" t="n">
        <x:f>K1248*S1248</x:f>
        <x:v>127.296</x:v>
      </x:c>
      <x:c r="U1248" s="35" t="n">
        <x:f>L1248-N1248-P1248-R1248-T1248</x:f>
        <x:v>384.704</x:v>
      </x:c>
      <x:c r="V1248" s="21" t="n">
        <x:f>IFERROR(U1248/L1248,0)</x:f>
        <x:v>0.751375</x:v>
      </x:c>
    </x:row>
    <x:row r="1249">
      <x:c r="A1249" s="19" t="str">
        <x:v>SALE-01245</x:v>
      </x:c>
      <x:c r="B1249" s="34" t="n">
        <x:v>46213.5</x:v>
      </x:c>
      <x:c r="C1249" s="19" t="str">
        <x:v>周五</x:v>
      </x:c>
      <x:c r="D1249" s="19" t="str">
        <x:v>S05</x:v>
      </x:c>
      <x:c r="E1249" s="19" t="str">
        <x:v>同顺街店</x:v>
      </x:c>
      <x:c r="F1249" s="19" t="str">
        <x:v>堂食</x:v>
      </x:c>
      <x:c r="G1249" s="19" t="str">
        <x:v>全日</x:v>
      </x:c>
      <x:c r="H1249" s="19" t="str">
        <x:v>D05</x:v>
      </x:c>
      <x:c r="I1249" s="19" t="str">
        <x:v>麻婆豆腐</x:v>
      </x:c>
      <x:c r="J1249" s="22" t="n">
        <x:f>XLOOKUP(H1249,'菜品主数据'!$A$5:$A$24,'菜品主数据'!$D$5:$D$24,0)</x:f>
        <x:v>9.9</x:v>
      </x:c>
      <x:c r="K1249" s="31" t="n">
        <x:v>47</x:v>
      </x:c>
      <x:c r="L1249" s="35" t="n">
        <x:f>J1249*K1249</x:f>
        <x:v>465.3</x:v>
      </x:c>
      <x:c r="M1249" s="36" t="n">
        <x:v>0</x:v>
      </x:c>
      <x:c r="N1249" s="35" t="n">
        <x:f>L1249*M1249</x:f>
        <x:v>0</x:v>
      </x:c>
      <x:c r="O1249" s="37" t="n">
        <x:v>0</x:v>
      </x:c>
      <x:c r="P1249" s="35" t="n">
        <x:f>L1249*O1249</x:f>
        <x:v>0</x:v>
      </x:c>
      <x:c r="Q1249" s="35" t="n">
        <x:v>0</x:v>
      </x:c>
      <x:c r="R1249" s="35" t="n">
        <x:f>K1249*Q1249</x:f>
        <x:v>0</x:v>
      </x:c>
      <x:c r="S1249" s="35" t="n">
        <x:f>XLOOKUP(H1249,'菜品主数据'!$A$5:$A$24,'菜品主数据'!$G$5:$G$24,0)</x:f>
        <x:v>5.367000000000001</x:v>
      </x:c>
      <x:c r="T1249" s="35" t="n">
        <x:f>K1249*S1249</x:f>
        <x:v>252.24900000000005</x:v>
      </x:c>
      <x:c r="U1249" s="35" t="n">
        <x:f>L1249-N1249-P1249-R1249-T1249</x:f>
        <x:v>213.05099999999996</x:v>
      </x:c>
      <x:c r="V1249" s="21" t="n">
        <x:f>IFERROR(U1249/L1249,0)</x:f>
        <x:v>0.4578787878787878</x:v>
      </x:c>
    </x:row>
    <x:row r="1250">
      <x:c r="A1250" s="19" t="str">
        <x:v>SALE-01246</x:v>
      </x:c>
      <x:c r="B1250" s="34" t="n">
        <x:v>46213.5</x:v>
      </x:c>
      <x:c r="C1250" s="19" t="str">
        <x:v>周五</x:v>
      </x:c>
      <x:c r="D1250" s="19" t="str">
        <x:v>S05</x:v>
      </x:c>
      <x:c r="E1250" s="19" t="str">
        <x:v>同顺街店</x:v>
      </x:c>
      <x:c r="F1250" s="19" t="str">
        <x:v>堂食</x:v>
      </x:c>
      <x:c r="G1250" s="19" t="str">
        <x:v>全日</x:v>
      </x:c>
      <x:c r="H1250" s="19" t="str">
        <x:v>D06</x:v>
      </x:c>
      <x:c r="I1250" s="19" t="str">
        <x:v>剁椒鱼头</x:v>
      </x:c>
      <x:c r="J1250" s="22" t="n">
        <x:f>XLOOKUP(H1250,'菜品主数据'!$A$5:$A$24,'菜品主数据'!$D$5:$D$24,0)</x:f>
        <x:v>39</x:v>
      </x:c>
      <x:c r="K1250" s="31" t="n">
        <x:v>12</x:v>
      </x:c>
      <x:c r="L1250" s="35" t="n">
        <x:f>J1250*K1250</x:f>
        <x:v>468</x:v>
      </x:c>
      <x:c r="M1250" s="36" t="n">
        <x:v>0</x:v>
      </x:c>
      <x:c r="N1250" s="35" t="n">
        <x:f>L1250*M1250</x:f>
        <x:v>0</x:v>
      </x:c>
      <x:c r="O1250" s="37" t="n">
        <x:v>0</x:v>
      </x:c>
      <x:c r="P1250" s="35" t="n">
        <x:f>L1250*O1250</x:f>
        <x:v>0</x:v>
      </x:c>
      <x:c r="Q1250" s="35" t="n">
        <x:v>0</x:v>
      </x:c>
      <x:c r="R1250" s="35" t="n">
        <x:f>K1250*Q1250</x:f>
        <x:v>0</x:v>
      </x:c>
      <x:c r="S1250" s="35" t="n">
        <x:f>XLOOKUP(H1250,'菜品主数据'!$A$5:$A$24,'菜品主数据'!$G$5:$G$24,0)</x:f>
        <x:v>17.446</x:v>
      </x:c>
      <x:c r="T1250" s="35" t="n">
        <x:f>K1250*S1250</x:f>
        <x:v>209.35200000000003</x:v>
      </x:c>
      <x:c r="U1250" s="35" t="n">
        <x:f>L1250-N1250-P1250-R1250-T1250</x:f>
        <x:v>258.64799999999997</x:v>
      </x:c>
      <x:c r="V1250" s="21" t="n">
        <x:f>IFERROR(U1250/L1250,0)</x:f>
        <x:v>0.5526666666666666</x:v>
      </x:c>
    </x:row>
    <x:row r="1251">
      <x:c r="A1251" s="19" t="str">
        <x:v>SALE-01247</x:v>
      </x:c>
      <x:c r="B1251" s="34" t="n">
        <x:v>46213.5</x:v>
      </x:c>
      <x:c r="C1251" s="19" t="str">
        <x:v>周五</x:v>
      </x:c>
      <x:c r="D1251" s="19" t="str">
        <x:v>S05</x:v>
      </x:c>
      <x:c r="E1251" s="19" t="str">
        <x:v>同顺街店</x:v>
      </x:c>
      <x:c r="F1251" s="19" t="str">
        <x:v>堂食</x:v>
      </x:c>
      <x:c r="G1251" s="19" t="str">
        <x:v>全日</x:v>
      </x:c>
      <x:c r="H1251" s="19" t="str">
        <x:v>D07</x:v>
      </x:c>
      <x:c r="I1251" s="19" t="str">
        <x:v>川味回锅肉</x:v>
      </x:c>
      <x:c r="J1251" s="22" t="n">
        <x:f>XLOOKUP(H1251,'菜品主数据'!$A$5:$A$24,'菜品主数据'!$D$5:$D$24,0)</x:f>
        <x:v>29</x:v>
      </x:c>
      <x:c r="K1251" s="31" t="n">
        <x:v>13</x:v>
      </x:c>
      <x:c r="L1251" s="35" t="n">
        <x:f>J1251*K1251</x:f>
        <x:v>377</x:v>
      </x:c>
      <x:c r="M1251" s="36" t="n">
        <x:v>0</x:v>
      </x:c>
      <x:c r="N1251" s="35" t="n">
        <x:f>L1251*M1251</x:f>
        <x:v>0</x:v>
      </x:c>
      <x:c r="O1251" s="37" t="n">
        <x:v>0</x:v>
      </x:c>
      <x:c r="P1251" s="35" t="n">
        <x:f>L1251*O1251</x:f>
        <x:v>0</x:v>
      </x:c>
      <x:c r="Q1251" s="35" t="n">
        <x:v>0</x:v>
      </x:c>
      <x:c r="R1251" s="35" t="n">
        <x:f>K1251*Q1251</x:f>
        <x:v>0</x:v>
      </x:c>
      <x:c r="S1251" s="35" t="n">
        <x:f>XLOOKUP(H1251,'菜品主数据'!$A$5:$A$24,'菜品主数据'!$G$5:$G$24,0)</x:f>
        <x:v>10.231000000000002</x:v>
      </x:c>
      <x:c r="T1251" s="35" t="n">
        <x:f>K1251*S1251</x:f>
        <x:v>133.00300000000001</x:v>
      </x:c>
      <x:c r="U1251" s="35" t="n">
        <x:f>L1251-N1251-P1251-R1251-T1251</x:f>
        <x:v>243.99699999999999</x:v>
      </x:c>
      <x:c r="V1251" s="21" t="n">
        <x:f>IFERROR(U1251/L1251,0)</x:f>
        <x:v>0.6472068965517241</x:v>
      </x:c>
    </x:row>
    <x:row r="1252">
      <x:c r="A1252" s="19" t="str">
        <x:v>SALE-01248</x:v>
      </x:c>
      <x:c r="B1252" s="34" t="n">
        <x:v>46213.5</x:v>
      </x:c>
      <x:c r="C1252" s="19" t="str">
        <x:v>周五</x:v>
      </x:c>
      <x:c r="D1252" s="19" t="str">
        <x:v>S05</x:v>
      </x:c>
      <x:c r="E1252" s="19" t="str">
        <x:v>同顺街店</x:v>
      </x:c>
      <x:c r="F1252" s="19" t="str">
        <x:v>堂食</x:v>
      </x:c>
      <x:c r="G1252" s="19" t="str">
        <x:v>全日</x:v>
      </x:c>
      <x:c r="H1252" s="19" t="str">
        <x:v>D08</x:v>
      </x:c>
      <x:c r="I1252" s="19" t="str">
        <x:v>生炒清远鸡</x:v>
      </x:c>
      <x:c r="J1252" s="22" t="n">
        <x:f>XLOOKUP(H1252,'菜品主数据'!$A$5:$A$24,'菜品主数据'!$D$5:$D$24,0)</x:f>
        <x:v>36</x:v>
      </x:c>
      <x:c r="K1252" s="31" t="n">
        <x:v>10</x:v>
      </x:c>
      <x:c r="L1252" s="35" t="n">
        <x:f>J1252*K1252</x:f>
        <x:v>360</x:v>
      </x:c>
      <x:c r="M1252" s="36" t="n">
        <x:v>0</x:v>
      </x:c>
      <x:c r="N1252" s="35" t="n">
        <x:f>L1252*M1252</x:f>
        <x:v>0</x:v>
      </x:c>
      <x:c r="O1252" s="37" t="n">
        <x:v>0</x:v>
      </x:c>
      <x:c r="P1252" s="35" t="n">
        <x:f>L1252*O1252</x:f>
        <x:v>0</x:v>
      </x:c>
      <x:c r="Q1252" s="35" t="n">
        <x:v>0</x:v>
      </x:c>
      <x:c r="R1252" s="35" t="n">
        <x:f>K1252*Q1252</x:f>
        <x:v>0</x:v>
      </x:c>
      <x:c r="S1252" s="35" t="n">
        <x:f>XLOOKUP(H1252,'菜品主数据'!$A$5:$A$24,'菜品主数据'!$G$5:$G$24,0)</x:f>
        <x:v>13.48</x:v>
      </x:c>
      <x:c r="T1252" s="35" t="n">
        <x:f>K1252*S1252</x:f>
        <x:v>134.8</x:v>
      </x:c>
      <x:c r="U1252" s="35" t="n">
        <x:f>L1252-N1252-P1252-R1252-T1252</x:f>
        <x:v>225.2</x:v>
      </x:c>
      <x:c r="V1252" s="21" t="n">
        <x:f>IFERROR(U1252/L1252,0)</x:f>
        <x:v>0.6255555555555555</x:v>
      </x:c>
    </x:row>
    <x:row r="1253">
      <x:c r="A1253" s="19" t="str">
        <x:v>SALE-01249</x:v>
      </x:c>
      <x:c r="B1253" s="34" t="n">
        <x:v>46213.5</x:v>
      </x:c>
      <x:c r="C1253" s="19" t="str">
        <x:v>周五</x:v>
      </x:c>
      <x:c r="D1253" s="19" t="str">
        <x:v>S05</x:v>
      </x:c>
      <x:c r="E1253" s="19" t="str">
        <x:v>同顺街店</x:v>
      </x:c>
      <x:c r="F1253" s="19" t="str">
        <x:v>堂食</x:v>
      </x:c>
      <x:c r="G1253" s="19" t="str">
        <x:v>全日</x:v>
      </x:c>
      <x:c r="H1253" s="19" t="str">
        <x:v>D09</x:v>
      </x:c>
      <x:c r="I1253" s="19" t="str">
        <x:v>炒豆干</x:v>
      </x:c>
      <x:c r="J1253" s="22" t="n">
        <x:f>XLOOKUP(H1253,'菜品主数据'!$A$5:$A$24,'菜品主数据'!$D$5:$D$24,0)</x:f>
        <x:v>18</x:v>
      </x:c>
      <x:c r="K1253" s="31" t="n">
        <x:v>16</x:v>
      </x:c>
      <x:c r="L1253" s="35" t="n">
        <x:f>J1253*K1253</x:f>
        <x:v>288</x:v>
      </x:c>
      <x:c r="M1253" s="36" t="n">
        <x:v>0</x:v>
      </x:c>
      <x:c r="N1253" s="35" t="n">
        <x:f>L1253*M1253</x:f>
        <x:v>0</x:v>
      </x:c>
      <x:c r="O1253" s="37" t="n">
        <x:v>0</x:v>
      </x:c>
      <x:c r="P1253" s="35" t="n">
        <x:f>L1253*O1253</x:f>
        <x:v>0</x:v>
      </x:c>
      <x:c r="Q1253" s="35" t="n">
        <x:v>0</x:v>
      </x:c>
      <x:c r="R1253" s="35" t="n">
        <x:f>K1253*Q1253</x:f>
        <x:v>0</x:v>
      </x:c>
      <x:c r="S1253" s="35" t="n">
        <x:f>XLOOKUP(H1253,'菜品主数据'!$A$5:$A$24,'菜品主数据'!$G$5:$G$24,0)</x:f>
        <x:v>6.613999999999999</x:v>
      </x:c>
      <x:c r="T1253" s="35" t="n">
        <x:f>K1253*S1253</x:f>
        <x:v>105.82399999999998</x:v>
      </x:c>
      <x:c r="U1253" s="35" t="n">
        <x:f>L1253-N1253-P1253-R1253-T1253</x:f>
        <x:v>182.17600000000002</x:v>
      </x:c>
      <x:c r="V1253" s="21" t="n">
        <x:f>IFERROR(U1253/L1253,0)</x:f>
        <x:v>0.6325555555555556</x:v>
      </x:c>
    </x:row>
    <x:row r="1254">
      <x:c r="A1254" s="19" t="str">
        <x:v>SALE-01250</x:v>
      </x:c>
      <x:c r="B1254" s="34" t="n">
        <x:v>46213.5</x:v>
      </x:c>
      <x:c r="C1254" s="19" t="str">
        <x:v>周五</x:v>
      </x:c>
      <x:c r="D1254" s="19" t="str">
        <x:v>S05</x:v>
      </x:c>
      <x:c r="E1254" s="19" t="str">
        <x:v>同顺街店</x:v>
      </x:c>
      <x:c r="F1254" s="19" t="str">
        <x:v>堂食</x:v>
      </x:c>
      <x:c r="G1254" s="19" t="str">
        <x:v>全日</x:v>
      </x:c>
      <x:c r="H1254" s="19" t="str">
        <x:v>D10</x:v>
      </x:c>
      <x:c r="I1254" s="19" t="str">
        <x:v>农家一碗香</x:v>
      </x:c>
      <x:c r="J1254" s="22" t="n">
        <x:f>XLOOKUP(H1254,'菜品主数据'!$A$5:$A$24,'菜品主数据'!$D$5:$D$24,0)</x:f>
        <x:v>22.9</x:v>
      </x:c>
      <x:c r="K1254" s="31" t="n">
        <x:v>16</x:v>
      </x:c>
      <x:c r="L1254" s="35" t="n">
        <x:f>J1254*K1254</x:f>
        <x:v>366.4</x:v>
      </x:c>
      <x:c r="M1254" s="36" t="n">
        <x:v>0</x:v>
      </x:c>
      <x:c r="N1254" s="35" t="n">
        <x:f>L1254*M1254</x:f>
        <x:v>0</x:v>
      </x:c>
      <x:c r="O1254" s="37" t="n">
        <x:v>0</x:v>
      </x:c>
      <x:c r="P1254" s="35" t="n">
        <x:f>L1254*O1254</x:f>
        <x:v>0</x:v>
      </x:c>
      <x:c r="Q1254" s="35" t="n">
        <x:v>0</x:v>
      </x:c>
      <x:c r="R1254" s="35" t="n">
        <x:f>K1254*Q1254</x:f>
        <x:v>0</x:v>
      </x:c>
      <x:c r="S1254" s="35" t="n">
        <x:f>XLOOKUP(H1254,'菜品主数据'!$A$5:$A$24,'菜品主数据'!$G$5:$G$24,0)</x:f>
        <x:v>9.770200000000003</x:v>
      </x:c>
      <x:c r="T1254" s="35" t="n">
        <x:f>K1254*S1254</x:f>
        <x:v>156.32320000000004</x:v>
      </x:c>
      <x:c r="U1254" s="35" t="n">
        <x:f>L1254-N1254-P1254-R1254-T1254</x:f>
        <x:v>210.07679999999993</x:v>
      </x:c>
      <x:c r="V1254" s="21" t="n">
        <x:f>IFERROR(U1254/L1254,0)</x:f>
        <x:v>0.5733537117903929</x:v>
      </x:c>
    </x:row>
    <x:row r="1255">
      <x:c r="A1255" s="19" t="str">
        <x:v>SALE-01251</x:v>
      </x:c>
      <x:c r="B1255" s="34" t="n">
        <x:v>46213.5</x:v>
      </x:c>
      <x:c r="C1255" s="19" t="str">
        <x:v>周五</x:v>
      </x:c>
      <x:c r="D1255" s="19" t="str">
        <x:v>S05</x:v>
      </x:c>
      <x:c r="E1255" s="19" t="str">
        <x:v>同顺街店</x:v>
      </x:c>
      <x:c r="F1255" s="19" t="str">
        <x:v>堂食</x:v>
      </x:c>
      <x:c r="G1255" s="19" t="str">
        <x:v>全日</x:v>
      </x:c>
      <x:c r="H1255" s="19" t="str">
        <x:v>D11</x:v>
      </x:c>
      <x:c r="I1255" s="19" t="str">
        <x:v>香辣爆肥肠</x:v>
      </x:c>
      <x:c r="J1255" s="22" t="n">
        <x:f>XLOOKUP(H1255,'菜品主数据'!$A$5:$A$24,'菜品主数据'!$D$5:$D$24,0)</x:f>
        <x:v>39</x:v>
      </x:c>
      <x:c r="K1255" s="31" t="n">
        <x:v>7</x:v>
      </x:c>
      <x:c r="L1255" s="35" t="n">
        <x:f>J1255*K1255</x:f>
        <x:v>273</x:v>
      </x:c>
      <x:c r="M1255" s="36" t="n">
        <x:v>0</x:v>
      </x:c>
      <x:c r="N1255" s="35" t="n">
        <x:f>L1255*M1255</x:f>
        <x:v>0</x:v>
      </x:c>
      <x:c r="O1255" s="37" t="n">
        <x:v>0</x:v>
      </x:c>
      <x:c r="P1255" s="35" t="n">
        <x:f>L1255*O1255</x:f>
        <x:v>0</x:v>
      </x:c>
      <x:c r="Q1255" s="35" t="n">
        <x:v>0</x:v>
      </x:c>
      <x:c r="R1255" s="35" t="n">
        <x:f>K1255*Q1255</x:f>
        <x:v>0</x:v>
      </x:c>
      <x:c r="S1255" s="35" t="n">
        <x:f>XLOOKUP(H1255,'菜品主数据'!$A$5:$A$24,'菜品主数据'!$G$5:$G$24,0)</x:f>
        <x:v>10.397</x:v>
      </x:c>
      <x:c r="T1255" s="35" t="n">
        <x:f>K1255*S1255</x:f>
        <x:v>72.779</x:v>
      </x:c>
      <x:c r="U1255" s="35" t="n">
        <x:f>L1255-N1255-P1255-R1255-T1255</x:f>
        <x:v>200.221</x:v>
      </x:c>
      <x:c r="V1255" s="21" t="n">
        <x:f>IFERROR(U1255/L1255,0)</x:f>
        <x:v>0.7334102564102565</x:v>
      </x:c>
    </x:row>
    <x:row r="1256">
      <x:c r="A1256" s="19" t="str">
        <x:v>SALE-01252</x:v>
      </x:c>
      <x:c r="B1256" s="34" t="n">
        <x:v>46213.5</x:v>
      </x:c>
      <x:c r="C1256" s="19" t="str">
        <x:v>周五</x:v>
      </x:c>
      <x:c r="D1256" s="19" t="str">
        <x:v>S05</x:v>
      </x:c>
      <x:c r="E1256" s="19" t="str">
        <x:v>同顺街店</x:v>
      </x:c>
      <x:c r="F1256" s="19" t="str">
        <x:v>堂食</x:v>
      </x:c>
      <x:c r="G1256" s="19" t="str">
        <x:v>全日</x:v>
      </x:c>
      <x:c r="H1256" s="19" t="str">
        <x:v>D12</x:v>
      </x:c>
      <x:c r="I1256" s="19" t="str">
        <x:v>清蒸鲈鱼</x:v>
      </x:c>
      <x:c r="J1256" s="22" t="n">
        <x:f>XLOOKUP(H1256,'菜品主数据'!$A$5:$A$24,'菜品主数据'!$D$5:$D$24,0)</x:f>
        <x:v>39</x:v>
      </x:c>
      <x:c r="K1256" s="31" t="n">
        <x:v>7</x:v>
      </x:c>
      <x:c r="L1256" s="35" t="n">
        <x:f>J1256*K1256</x:f>
        <x:v>273</x:v>
      </x:c>
      <x:c r="M1256" s="36" t="n">
        <x:v>0</x:v>
      </x:c>
      <x:c r="N1256" s="35" t="n">
        <x:f>L1256*M1256</x:f>
        <x:v>0</x:v>
      </x:c>
      <x:c r="O1256" s="37" t="n">
        <x:v>0</x:v>
      </x:c>
      <x:c r="P1256" s="35" t="n">
        <x:f>L1256*O1256</x:f>
        <x:v>0</x:v>
      </x:c>
      <x:c r="Q1256" s="35" t="n">
        <x:v>0</x:v>
      </x:c>
      <x:c r="R1256" s="35" t="n">
        <x:f>K1256*Q1256</x:f>
        <x:v>0</x:v>
      </x:c>
      <x:c r="S1256" s="35" t="n">
        <x:f>XLOOKUP(H1256,'菜品主数据'!$A$5:$A$24,'菜品主数据'!$G$5:$G$24,0)</x:f>
        <x:v>18.874</x:v>
      </x:c>
      <x:c r="T1256" s="35" t="n">
        <x:f>K1256*S1256</x:f>
        <x:v>132.118</x:v>
      </x:c>
      <x:c r="U1256" s="35" t="n">
        <x:f>L1256-N1256-P1256-R1256-T1256</x:f>
        <x:v>140.882</x:v>
      </x:c>
      <x:c r="V1256" s="21" t="n">
        <x:f>IFERROR(U1256/L1256,0)</x:f>
        <x:v>0.516051282051282</x:v>
      </x:c>
    </x:row>
    <x:row r="1257">
      <x:c r="A1257" s="19" t="str">
        <x:v>SALE-01253</x:v>
      </x:c>
      <x:c r="B1257" s="34" t="n">
        <x:v>46213.5</x:v>
      </x:c>
      <x:c r="C1257" s="19" t="str">
        <x:v>周五</x:v>
      </x:c>
      <x:c r="D1257" s="19" t="str">
        <x:v>S05</x:v>
      </x:c>
      <x:c r="E1257" s="19" t="str">
        <x:v>同顺街店</x:v>
      </x:c>
      <x:c r="F1257" s="19" t="str">
        <x:v>堂食</x:v>
      </x:c>
      <x:c r="G1257" s="19" t="str">
        <x:v>全日</x:v>
      </x:c>
      <x:c r="H1257" s="19" t="str">
        <x:v>D13</x:v>
      </x:c>
      <x:c r="I1257" s="19" t="str">
        <x:v>外婆菜炒蛋</x:v>
      </x:c>
      <x:c r="J1257" s="22" t="n">
        <x:f>XLOOKUP(H1257,'菜品主数据'!$A$5:$A$24,'菜品主数据'!$D$5:$D$24,0)</x:f>
        <x:v>18</x:v>
      </x:c>
      <x:c r="K1257" s="31" t="n">
        <x:v>13</x:v>
      </x:c>
      <x:c r="L1257" s="35" t="n">
        <x:f>J1257*K1257</x:f>
        <x:v>234</x:v>
      </x:c>
      <x:c r="M1257" s="36" t="n">
        <x:v>0</x:v>
      </x:c>
      <x:c r="N1257" s="35" t="n">
        <x:f>L1257*M1257</x:f>
        <x:v>0</x:v>
      </x:c>
      <x:c r="O1257" s="37" t="n">
        <x:v>0</x:v>
      </x:c>
      <x:c r="P1257" s="35" t="n">
        <x:f>L1257*O1257</x:f>
        <x:v>0</x:v>
      </x:c>
      <x:c r="Q1257" s="35" t="n">
        <x:v>0</x:v>
      </x:c>
      <x:c r="R1257" s="35" t="n">
        <x:f>K1257*Q1257</x:f>
        <x:v>0</x:v>
      </x:c>
      <x:c r="S1257" s="35" t="n">
        <x:f>XLOOKUP(H1257,'菜品主数据'!$A$5:$A$24,'菜品主数据'!$G$5:$G$24,0)</x:f>
        <x:v>5.403999999999999</x:v>
      </x:c>
      <x:c r="T1257" s="35" t="n">
        <x:f>K1257*S1257</x:f>
        <x:v>70.25199999999998</x:v>
      </x:c>
      <x:c r="U1257" s="35" t="n">
        <x:f>L1257-N1257-P1257-R1257-T1257</x:f>
        <x:v>163.74800000000002</x:v>
      </x:c>
      <x:c r="V1257" s="21" t="n">
        <x:f>IFERROR(U1257/L1257,0)</x:f>
        <x:v>0.6997777777777778</x:v>
      </x:c>
    </x:row>
    <x:row r="1258">
      <x:c r="A1258" s="19" t="str">
        <x:v>SALE-01254</x:v>
      </x:c>
      <x:c r="B1258" s="34" t="n">
        <x:v>46213.5</x:v>
      </x:c>
      <x:c r="C1258" s="19" t="str">
        <x:v>周五</x:v>
      </x:c>
      <x:c r="D1258" s="19" t="str">
        <x:v>S05</x:v>
      </x:c>
      <x:c r="E1258" s="19" t="str">
        <x:v>同顺街店</x:v>
      </x:c>
      <x:c r="F1258" s="19" t="str">
        <x:v>堂食</x:v>
      </x:c>
      <x:c r="G1258" s="19" t="str">
        <x:v>全日</x:v>
      </x:c>
      <x:c r="H1258" s="19" t="str">
        <x:v>D14</x:v>
      </x:c>
      <x:c r="I1258" s="19" t="str">
        <x:v>酸辣鸡杂</x:v>
      </x:c>
      <x:c r="J1258" s="22" t="n">
        <x:f>XLOOKUP(H1258,'菜品主数据'!$A$5:$A$24,'菜品主数据'!$D$5:$D$24,0)</x:f>
        <x:v>28</x:v>
      </x:c>
      <x:c r="K1258" s="31" t="n">
        <x:v>7</x:v>
      </x:c>
      <x:c r="L1258" s="35" t="n">
        <x:f>J1258*K1258</x:f>
        <x:v>196</x:v>
      </x:c>
      <x:c r="M1258" s="36" t="n">
        <x:v>0</x:v>
      </x:c>
      <x:c r="N1258" s="35" t="n">
        <x:f>L1258*M1258</x:f>
        <x:v>0</x:v>
      </x:c>
      <x:c r="O1258" s="37" t="n">
        <x:v>0</x:v>
      </x:c>
      <x:c r="P1258" s="35" t="n">
        <x:f>L1258*O1258</x:f>
        <x:v>0</x:v>
      </x:c>
      <x:c r="Q1258" s="35" t="n">
        <x:v>0</x:v>
      </x:c>
      <x:c r="R1258" s="35" t="n">
        <x:f>K1258*Q1258</x:f>
        <x:v>0</x:v>
      </x:c>
      <x:c r="S1258" s="35" t="n">
        <x:f>XLOOKUP(H1258,'菜品主数据'!$A$5:$A$24,'菜品主数据'!$G$5:$G$24,0)</x:f>
        <x:v>8.315000000000001</x:v>
      </x:c>
      <x:c r="T1258" s="35" t="n">
        <x:f>K1258*S1258</x:f>
        <x:v>58.20500000000001</x:v>
      </x:c>
      <x:c r="U1258" s="35" t="n">
        <x:f>L1258-N1258-P1258-R1258-T1258</x:f>
        <x:v>137.795</x:v>
      </x:c>
      <x:c r="V1258" s="21" t="n">
        <x:f>IFERROR(U1258/L1258,0)</x:f>
        <x:v>0.7030357142857142</x:v>
      </x:c>
    </x:row>
    <x:row r="1259">
      <x:c r="A1259" s="19" t="str">
        <x:v>SALE-01255</x:v>
      </x:c>
      <x:c r="B1259" s="34" t="n">
        <x:v>46213.5</x:v>
      </x:c>
      <x:c r="C1259" s="19" t="str">
        <x:v>周五</x:v>
      </x:c>
      <x:c r="D1259" s="19" t="str">
        <x:v>S05</x:v>
      </x:c>
      <x:c r="E1259" s="19" t="str">
        <x:v>同顺街店</x:v>
      </x:c>
      <x:c r="F1259" s="19" t="str">
        <x:v>堂食</x:v>
      </x:c>
      <x:c r="G1259" s="19" t="str">
        <x:v>全日</x:v>
      </x:c>
      <x:c r="H1259" s="19" t="str">
        <x:v>D15</x:v>
      </x:c>
      <x:c r="I1259" s="19" t="str">
        <x:v>湘西土匪猪肝</x:v>
      </x:c>
      <x:c r="J1259" s="22" t="n">
        <x:f>XLOOKUP(H1259,'菜品主数据'!$A$5:$A$24,'菜品主数据'!$D$5:$D$24,0)</x:f>
        <x:v>26</x:v>
      </x:c>
      <x:c r="K1259" s="31" t="n">
        <x:v>7</x:v>
      </x:c>
      <x:c r="L1259" s="35" t="n">
        <x:f>J1259*K1259</x:f>
        <x:v>182</x:v>
      </x:c>
      <x:c r="M1259" s="36" t="n">
        <x:v>0</x:v>
      </x:c>
      <x:c r="N1259" s="35" t="n">
        <x:f>L1259*M1259</x:f>
        <x:v>0</x:v>
      </x:c>
      <x:c r="O1259" s="37" t="n">
        <x:v>0</x:v>
      </x:c>
      <x:c r="P1259" s="35" t="n">
        <x:f>L1259*O1259</x:f>
        <x:v>0</x:v>
      </x:c>
      <x:c r="Q1259" s="35" t="n">
        <x:v>0</x:v>
      </x:c>
      <x:c r="R1259" s="35" t="n">
        <x:f>K1259*Q1259</x:f>
        <x:v>0</x:v>
      </x:c>
      <x:c r="S1259" s="35" t="n">
        <x:f>XLOOKUP(H1259,'菜品主数据'!$A$5:$A$24,'菜品主数据'!$G$5:$G$24,0)</x:f>
        <x:v>6.3759999999999994</x:v>
      </x:c>
      <x:c r="T1259" s="35" t="n">
        <x:f>K1259*S1259</x:f>
        <x:v>44.632</x:v>
      </x:c>
      <x:c r="U1259" s="35" t="n">
        <x:f>L1259-N1259-P1259-R1259-T1259</x:f>
        <x:v>137.368</x:v>
      </x:c>
      <x:c r="V1259" s="21" t="n">
        <x:f>IFERROR(U1259/L1259,0)</x:f>
        <x:v>0.7547692307692307</x:v>
      </x:c>
    </x:row>
    <x:row r="1260">
      <x:c r="A1260" s="19" t="str">
        <x:v>SALE-01256</x:v>
      </x:c>
      <x:c r="B1260" s="34" t="n">
        <x:v>46213.5</x:v>
      </x:c>
      <x:c r="C1260" s="19" t="str">
        <x:v>周五</x:v>
      </x:c>
      <x:c r="D1260" s="19" t="str">
        <x:v>S05</x:v>
      </x:c>
      <x:c r="E1260" s="19" t="str">
        <x:v>同顺街店</x:v>
      </x:c>
      <x:c r="F1260" s="19" t="str">
        <x:v>堂食</x:v>
      </x:c>
      <x:c r="G1260" s="19" t="str">
        <x:v>全日</x:v>
      </x:c>
      <x:c r="H1260" s="19" t="str">
        <x:v>D16</x:v>
      </x:c>
      <x:c r="I1260" s="19" t="str">
        <x:v>小豆角炒五花</x:v>
      </x:c>
      <x:c r="J1260" s="22" t="n">
        <x:f>XLOOKUP(H1260,'菜品主数据'!$A$5:$A$24,'菜品主数据'!$D$5:$D$24,0)</x:f>
        <x:v>25</x:v>
      </x:c>
      <x:c r="K1260" s="31" t="n">
        <x:v>7</x:v>
      </x:c>
      <x:c r="L1260" s="35" t="n">
        <x:f>J1260*K1260</x:f>
        <x:v>175</x:v>
      </x:c>
      <x:c r="M1260" s="36" t="n">
        <x:v>0</x:v>
      </x:c>
      <x:c r="N1260" s="35" t="n">
        <x:f>L1260*M1260</x:f>
        <x:v>0</x:v>
      </x:c>
      <x:c r="O1260" s="37" t="n">
        <x:v>0</x:v>
      </x:c>
      <x:c r="P1260" s="35" t="n">
        <x:f>L1260*O1260</x:f>
        <x:v>0</x:v>
      </x:c>
      <x:c r="Q1260" s="35" t="n">
        <x:v>0</x:v>
      </x:c>
      <x:c r="R1260" s="35" t="n">
        <x:f>K1260*Q1260</x:f>
        <x:v>0</x:v>
      </x:c>
      <x:c r="S1260" s="35" t="n">
        <x:f>XLOOKUP(H1260,'菜品主数据'!$A$5:$A$24,'菜品主数据'!$G$5:$G$24,0)</x:f>
        <x:v>8.184</x:v>
      </x:c>
      <x:c r="T1260" s="35" t="n">
        <x:f>K1260*S1260</x:f>
        <x:v>57.288</x:v>
      </x:c>
      <x:c r="U1260" s="35" t="n">
        <x:f>L1260-N1260-P1260-R1260-T1260</x:f>
        <x:v>117.712</x:v>
      </x:c>
      <x:c r="V1260" s="21" t="n">
        <x:f>IFERROR(U1260/L1260,0)</x:f>
        <x:v>0.67264</x:v>
      </x:c>
    </x:row>
    <x:row r="1261">
      <x:c r="A1261" s="19" t="str">
        <x:v>SALE-01257</x:v>
      </x:c>
      <x:c r="B1261" s="34" t="n">
        <x:v>46213.5</x:v>
      </x:c>
      <x:c r="C1261" s="19" t="str">
        <x:v>周五</x:v>
      </x:c>
      <x:c r="D1261" s="19" t="str">
        <x:v>S05</x:v>
      </x:c>
      <x:c r="E1261" s="19" t="str">
        <x:v>同顺街店</x:v>
      </x:c>
      <x:c r="F1261" s="19" t="str">
        <x:v>堂食</x:v>
      </x:c>
      <x:c r="G1261" s="19" t="str">
        <x:v>全日</x:v>
      </x:c>
      <x:c r="H1261" s="19" t="str">
        <x:v>D17</x:v>
      </x:c>
      <x:c r="I1261" s="19" t="str">
        <x:v>蒜蓉粉丝虾</x:v>
      </x:c>
      <x:c r="J1261" s="22" t="n">
        <x:f>XLOOKUP(H1261,'菜品主数据'!$A$5:$A$24,'菜品主数据'!$D$5:$D$24,0)</x:f>
        <x:v>36</x:v>
      </x:c>
      <x:c r="K1261" s="31" t="n">
        <x:v>5</x:v>
      </x:c>
      <x:c r="L1261" s="35" t="n">
        <x:f>J1261*K1261</x:f>
        <x:v>180</x:v>
      </x:c>
      <x:c r="M1261" s="36" t="n">
        <x:v>0</x:v>
      </x:c>
      <x:c r="N1261" s="35" t="n">
        <x:f>L1261*M1261</x:f>
        <x:v>0</x:v>
      </x:c>
      <x:c r="O1261" s="37" t="n">
        <x:v>0</x:v>
      </x:c>
      <x:c r="P1261" s="35" t="n">
        <x:f>L1261*O1261</x:f>
        <x:v>0</x:v>
      </x:c>
      <x:c r="Q1261" s="35" t="n">
        <x:v>0</x:v>
      </x:c>
      <x:c r="R1261" s="35" t="n">
        <x:f>K1261*Q1261</x:f>
        <x:v>0</x:v>
      </x:c>
      <x:c r="S1261" s="35" t="n">
        <x:f>XLOOKUP(H1261,'菜品主数据'!$A$5:$A$24,'菜品主数据'!$G$5:$G$24,0)</x:f>
        <x:v>13.594</x:v>
      </x:c>
      <x:c r="T1261" s="35" t="n">
        <x:f>K1261*S1261</x:f>
        <x:v>67.97</x:v>
      </x:c>
      <x:c r="U1261" s="35" t="n">
        <x:f>L1261-N1261-P1261-R1261-T1261</x:f>
        <x:v>112.03</x:v>
      </x:c>
      <x:c r="V1261" s="21" t="n">
        <x:f>IFERROR(U1261/L1261,0)</x:f>
        <x:v>0.6223888888888889</x:v>
      </x:c>
    </x:row>
    <x:row r="1262">
      <x:c r="A1262" s="19" t="str">
        <x:v>SALE-01258</x:v>
      </x:c>
      <x:c r="B1262" s="34" t="n">
        <x:v>46213.5</x:v>
      </x:c>
      <x:c r="C1262" s="19" t="str">
        <x:v>周五</x:v>
      </x:c>
      <x:c r="D1262" s="19" t="str">
        <x:v>S05</x:v>
      </x:c>
      <x:c r="E1262" s="19" t="str">
        <x:v>同顺街店</x:v>
      </x:c>
      <x:c r="F1262" s="19" t="str">
        <x:v>堂食</x:v>
      </x:c>
      <x:c r="G1262" s="19" t="str">
        <x:v>全日</x:v>
      </x:c>
      <x:c r="H1262" s="19" t="str">
        <x:v>D18</x:v>
      </x:c>
      <x:c r="I1262" s="19" t="str">
        <x:v>青椒炒油麦菜</x:v>
      </x:c>
      <x:c r="J1262" s="22" t="n">
        <x:f>XLOOKUP(H1262,'菜品主数据'!$A$5:$A$24,'菜品主数据'!$D$5:$D$24,0)</x:f>
        <x:v>18</x:v>
      </x:c>
      <x:c r="K1262" s="31" t="n">
        <x:v>8</x:v>
      </x:c>
      <x:c r="L1262" s="35" t="n">
        <x:f>J1262*K1262</x:f>
        <x:v>144</x:v>
      </x:c>
      <x:c r="M1262" s="36" t="n">
        <x:v>0</x:v>
      </x:c>
      <x:c r="N1262" s="35" t="n">
        <x:f>L1262*M1262</x:f>
        <x:v>0</x:v>
      </x:c>
      <x:c r="O1262" s="37" t="n">
        <x:v>0</x:v>
      </x:c>
      <x:c r="P1262" s="35" t="n">
        <x:f>L1262*O1262</x:f>
        <x:v>0</x:v>
      </x:c>
      <x:c r="Q1262" s="35" t="n">
        <x:v>0</x:v>
      </x:c>
      <x:c r="R1262" s="35" t="n">
        <x:f>K1262*Q1262</x:f>
        <x:v>0</x:v>
      </x:c>
      <x:c r="S1262" s="35" t="n">
        <x:f>XLOOKUP(H1262,'菜品主数据'!$A$5:$A$24,'菜品主数据'!$G$5:$G$24,0)</x:f>
        <x:v>3.1759999999999993</x:v>
      </x:c>
      <x:c r="T1262" s="35" t="n">
        <x:f>K1262*S1262</x:f>
        <x:v>25.407999999999994</x:v>
      </x:c>
      <x:c r="U1262" s="35" t="n">
        <x:f>L1262-N1262-P1262-R1262-T1262</x:f>
        <x:v>118.59200000000001</x:v>
      </x:c>
      <x:c r="V1262" s="21" t="n">
        <x:f>IFERROR(U1262/L1262,0)</x:f>
        <x:v>0.8235555555555556</x:v>
      </x:c>
    </x:row>
    <x:row r="1263">
      <x:c r="A1263" s="19" t="str">
        <x:v>SALE-01259</x:v>
      </x:c>
      <x:c r="B1263" s="34" t="n">
        <x:v>46213.5</x:v>
      </x:c>
      <x:c r="C1263" s="19" t="str">
        <x:v>周五</x:v>
      </x:c>
      <x:c r="D1263" s="19" t="str">
        <x:v>S05</x:v>
      </x:c>
      <x:c r="E1263" s="19" t="str">
        <x:v>同顺街店</x:v>
      </x:c>
      <x:c r="F1263" s="19" t="str">
        <x:v>堂食</x:v>
      </x:c>
      <x:c r="G1263" s="19" t="str">
        <x:v>全日</x:v>
      </x:c>
      <x:c r="H1263" s="19" t="str">
        <x:v>D19</x:v>
      </x:c>
      <x:c r="I1263" s="19" t="str">
        <x:v>酸萝卜炒鸡杂</x:v>
      </x:c>
      <x:c r="J1263" s="22" t="n">
        <x:f>XLOOKUP(H1263,'菜品主数据'!$A$5:$A$24,'菜品主数据'!$D$5:$D$24,0)</x:f>
        <x:v>25</x:v>
      </x:c>
      <x:c r="K1263" s="31" t="n">
        <x:v>6</x:v>
      </x:c>
      <x:c r="L1263" s="35" t="n">
        <x:f>J1263*K1263</x:f>
        <x:v>150</x:v>
      </x:c>
      <x:c r="M1263" s="36" t="n">
        <x:v>0</x:v>
      </x:c>
      <x:c r="N1263" s="35" t="n">
        <x:f>L1263*M1263</x:f>
        <x:v>0</x:v>
      </x:c>
      <x:c r="O1263" s="37" t="n">
        <x:v>0</x:v>
      </x:c>
      <x:c r="P1263" s="35" t="n">
        <x:f>L1263*O1263</x:f>
        <x:v>0</x:v>
      </x:c>
      <x:c r="Q1263" s="35" t="n">
        <x:v>0</x:v>
      </x:c>
      <x:c r="R1263" s="35" t="n">
        <x:f>K1263*Q1263</x:f>
        <x:v>0</x:v>
      </x:c>
      <x:c r="S1263" s="35" t="n">
        <x:f>XLOOKUP(H1263,'菜品主数据'!$A$5:$A$24,'菜品主数据'!$G$5:$G$24,0)</x:f>
        <x:v>7.9399999999999995</x:v>
      </x:c>
      <x:c r="T1263" s="35" t="n">
        <x:f>K1263*S1263</x:f>
        <x:v>47.64</x:v>
      </x:c>
      <x:c r="U1263" s="35" t="n">
        <x:f>L1263-N1263-P1263-R1263-T1263</x:f>
        <x:v>102.36</x:v>
      </x:c>
      <x:c r="V1263" s="21" t="n">
        <x:f>IFERROR(U1263/L1263,0)</x:f>
        <x:v>0.6824</x:v>
      </x:c>
    </x:row>
    <x:row r="1264">
      <x:c r="A1264" s="19" t="str">
        <x:v>SALE-01260</x:v>
      </x:c>
      <x:c r="B1264" s="34" t="n">
        <x:v>46213.5</x:v>
      </x:c>
      <x:c r="C1264" s="19" t="str">
        <x:v>周五</x:v>
      </x:c>
      <x:c r="D1264" s="19" t="str">
        <x:v>S05</x:v>
      </x:c>
      <x:c r="E1264" s="19" t="str">
        <x:v>同顺街店</x:v>
      </x:c>
      <x:c r="F1264" s="19" t="str">
        <x:v>堂食</x:v>
      </x:c>
      <x:c r="G1264" s="19" t="str">
        <x:v>全日</x:v>
      </x:c>
      <x:c r="H1264" s="19" t="str">
        <x:v>D20</x:v>
      </x:c>
      <x:c r="I1264" s="19" t="str">
        <x:v>雪菜肉末青豆</x:v>
      </x:c>
      <x:c r="J1264" s="22" t="n">
        <x:f>XLOOKUP(H1264,'菜品主数据'!$A$5:$A$24,'菜品主数据'!$D$5:$D$24,0)</x:f>
        <x:v>18</x:v>
      </x:c>
      <x:c r="K1264" s="31" t="n">
        <x:v>8</x:v>
      </x:c>
      <x:c r="L1264" s="35" t="n">
        <x:f>J1264*K1264</x:f>
        <x:v>144</x:v>
      </x:c>
      <x:c r="M1264" s="36" t="n">
        <x:v>0</x:v>
      </x:c>
      <x:c r="N1264" s="35" t="n">
        <x:f>L1264*M1264</x:f>
        <x:v>0</x:v>
      </x:c>
      <x:c r="O1264" s="37" t="n">
        <x:v>0</x:v>
      </x:c>
      <x:c r="P1264" s="35" t="n">
        <x:f>L1264*O1264</x:f>
        <x:v>0</x:v>
      </x:c>
      <x:c r="Q1264" s="35" t="n">
        <x:v>0</x:v>
      </x:c>
      <x:c r="R1264" s="35" t="n">
        <x:f>K1264*Q1264</x:f>
        <x:v>0</x:v>
      </x:c>
      <x:c r="S1264" s="35" t="n">
        <x:f>XLOOKUP(H1264,'菜品主数据'!$A$5:$A$24,'菜品主数据'!$G$5:$G$24,0)</x:f>
        <x:v>7.303999999999999</x:v>
      </x:c>
      <x:c r="T1264" s="35" t="n">
        <x:f>K1264*S1264</x:f>
        <x:v>58.431999999999995</x:v>
      </x:c>
      <x:c r="U1264" s="35" t="n">
        <x:f>L1264-N1264-P1264-R1264-T1264</x:f>
        <x:v>85.56800000000001</x:v>
      </x:c>
      <x:c r="V1264" s="21" t="n">
        <x:f>IFERROR(U1264/L1264,0)</x:f>
        <x:v>0.5942222222222223</x:v>
      </x:c>
    </x:row>
    <x:row r="1265">
      <x:c r="A1265" s="19" t="str">
        <x:v>SALE-01261</x:v>
      </x:c>
      <x:c r="B1265" s="34" t="n">
        <x:v>46213.5</x:v>
      </x:c>
      <x:c r="C1265" s="19" t="str">
        <x:v>周五</x:v>
      </x:c>
      <x:c r="D1265" s="19" t="str">
        <x:v>S05</x:v>
      </x:c>
      <x:c r="E1265" s="19" t="str">
        <x:v>同顺街店</x:v>
      </x:c>
      <x:c r="F1265" s="19" t="str">
        <x:v>外卖</x:v>
      </x:c>
      <x:c r="G1265" s="19" t="str">
        <x:v>全日</x:v>
      </x:c>
      <x:c r="H1265" s="19" t="str">
        <x:v>D01</x:v>
      </x:c>
      <x:c r="I1265" s="19" t="str">
        <x:v>辣椒炒肉</x:v>
      </x:c>
      <x:c r="J1265" s="22" t="n">
        <x:f>XLOOKUP(H1265,'菜品主数据'!$A$5:$A$24,'菜品主数据'!$D$5:$D$24,0)</x:f>
        <x:v>29</x:v>
      </x:c>
      <x:c r="K1265" s="31" t="n">
        <x:v>4</x:v>
      </x:c>
      <x:c r="L1265" s="35" t="n">
        <x:f>J1265*K1265</x:f>
        <x:v>116</x:v>
      </x:c>
      <x:c r="M1265" s="36" t="n">
        <x:v>0.08</x:v>
      </x:c>
      <x:c r="N1265" s="35" t="n">
        <x:f>L1265*M1265</x:f>
        <x:v>9.28</x:v>
      </x:c>
      <x:c r="O1265" s="37" t="n">
        <x:v>0.18</x:v>
      </x:c>
      <x:c r="P1265" s="35" t="n">
        <x:f>L1265*O1265</x:f>
        <x:v>20.88</x:v>
      </x:c>
      <x:c r="Q1265" s="35" t="n">
        <x:v>1.2</x:v>
      </x:c>
      <x:c r="R1265" s="35" t="n">
        <x:f>K1265*Q1265</x:f>
        <x:v>4.8</x:v>
      </x:c>
      <x:c r="S1265" s="35" t="n">
        <x:f>XLOOKUP(H1265,'菜品主数据'!$A$5:$A$24,'菜品主数据'!$G$5:$G$24,0)</x:f>
        <x:v>8.634400000000001</x:v>
      </x:c>
      <x:c r="T1265" s="35" t="n">
        <x:f>K1265*S1265</x:f>
        <x:v>34.537600000000005</x:v>
      </x:c>
      <x:c r="U1265" s="35" t="n">
        <x:f>L1265-N1265-P1265-R1265-T1265</x:f>
        <x:v>46.5024</x:v>
      </x:c>
      <x:c r="V1265" s="21" t="n">
        <x:f>IFERROR(U1265/L1265,0)</x:f>
        <x:v>0.40088275862068967</x:v>
      </x:c>
    </x:row>
    <x:row r="1266">
      <x:c r="A1266" s="19" t="str">
        <x:v>SALE-01262</x:v>
      </x:c>
      <x:c r="B1266" s="34" t="n">
        <x:v>46213.5</x:v>
      </x:c>
      <x:c r="C1266" s="19" t="str">
        <x:v>周五</x:v>
      </x:c>
      <x:c r="D1266" s="19" t="str">
        <x:v>S05</x:v>
      </x:c>
      <x:c r="E1266" s="19" t="str">
        <x:v>同顺街店</x:v>
      </x:c>
      <x:c r="F1266" s="19" t="str">
        <x:v>外卖</x:v>
      </x:c>
      <x:c r="G1266" s="19" t="str">
        <x:v>全日</x:v>
      </x:c>
      <x:c r="H1266" s="19" t="str">
        <x:v>D02</x:v>
      </x:c>
      <x:c r="I1266" s="19" t="str">
        <x:v>小炒黄牛肉</x:v>
      </x:c>
      <x:c r="J1266" s="22" t="n">
        <x:f>XLOOKUP(H1266,'菜品主数据'!$A$5:$A$24,'菜品主数据'!$D$5:$D$24,0)</x:f>
        <x:v>49</x:v>
      </x:c>
      <x:c r="K1266" s="31" t="n">
        <x:v>8</x:v>
      </x:c>
      <x:c r="L1266" s="35" t="n">
        <x:f>J1266*K1266</x:f>
        <x:v>392</x:v>
      </x:c>
      <x:c r="M1266" s="36" t="n">
        <x:v>0.08</x:v>
      </x:c>
      <x:c r="N1266" s="35" t="n">
        <x:f>L1266*M1266</x:f>
        <x:v>31.36</x:v>
      </x:c>
      <x:c r="O1266" s="37" t="n">
        <x:v>0.18</x:v>
      </x:c>
      <x:c r="P1266" s="35" t="n">
        <x:f>L1266*O1266</x:f>
        <x:v>70.56</x:v>
      </x:c>
      <x:c r="Q1266" s="35" t="n">
        <x:v>1.2</x:v>
      </x:c>
      <x:c r="R1266" s="35" t="n">
        <x:f>K1266*Q1266</x:f>
        <x:v>9.6</x:v>
      </x:c>
      <x:c r="S1266" s="35" t="n">
        <x:f>XLOOKUP(H1266,'菜品主数据'!$A$5:$A$24,'菜品主数据'!$G$5:$G$24,0)</x:f>
        <x:v>17.577</x:v>
      </x:c>
      <x:c r="T1266" s="35" t="n">
        <x:f>K1266*S1266</x:f>
        <x:v>140.616</x:v>
      </x:c>
      <x:c r="U1266" s="35" t="n">
        <x:f>L1266-N1266-P1266-R1266-T1266</x:f>
        <x:v>139.86399999999995</x:v>
      </x:c>
      <x:c r="V1266" s="21" t="n">
        <x:f>IFERROR(U1266/L1266,0)</x:f>
        <x:v>0.3567959183673468</x:v>
      </x:c>
    </x:row>
    <x:row r="1267">
      <x:c r="A1267" s="19" t="str">
        <x:v>SALE-01263</x:v>
      </x:c>
      <x:c r="B1267" s="34" t="n">
        <x:v>46213.5</x:v>
      </x:c>
      <x:c r="C1267" s="19" t="str">
        <x:v>周五</x:v>
      </x:c>
      <x:c r="D1267" s="19" t="str">
        <x:v>S05</x:v>
      </x:c>
      <x:c r="E1267" s="19" t="str">
        <x:v>同顺街店</x:v>
      </x:c>
      <x:c r="F1267" s="19" t="str">
        <x:v>外卖</x:v>
      </x:c>
      <x:c r="G1267" s="19" t="str">
        <x:v>全日</x:v>
      </x:c>
      <x:c r="H1267" s="19" t="str">
        <x:v>D03</x:v>
      </x:c>
      <x:c r="I1267" s="19" t="str">
        <x:v>香醋炒蛋</x:v>
      </x:c>
      <x:c r="J1267" s="22" t="n">
        <x:f>XLOOKUP(H1267,'菜品主数据'!$A$5:$A$24,'菜品主数据'!$D$5:$D$24,0)</x:f>
        <x:v>14.9</x:v>
      </x:c>
      <x:c r="K1267" s="31" t="n">
        <x:v>4</x:v>
      </x:c>
      <x:c r="L1267" s="35" t="n">
        <x:f>J1267*K1267</x:f>
        <x:v>59.6</x:v>
      </x:c>
      <x:c r="M1267" s="36" t="n">
        <x:v>0.08</x:v>
      </x:c>
      <x:c r="N1267" s="35" t="n">
        <x:f>L1267*M1267</x:f>
        <x:v>4.768</x:v>
      </x:c>
      <x:c r="O1267" s="37" t="n">
        <x:v>0.18</x:v>
      </x:c>
      <x:c r="P1267" s="35" t="n">
        <x:f>L1267*O1267</x:f>
        <x:v>10.728</x:v>
      </x:c>
      <x:c r="Q1267" s="35" t="n">
        <x:v>1.2</x:v>
      </x:c>
      <x:c r="R1267" s="35" t="n">
        <x:f>K1267*Q1267</x:f>
        <x:v>4.8</x:v>
      </x:c>
      <x:c r="S1267" s="35" t="n">
        <x:f>XLOOKUP(H1267,'菜品主数据'!$A$5:$A$24,'菜品主数据'!$G$5:$G$24,0)</x:f>
        <x:v>3.7459999999999996</x:v>
      </x:c>
      <x:c r="T1267" s="35" t="n">
        <x:f>K1267*S1267</x:f>
        <x:v>14.983999999999998</x:v>
      </x:c>
      <x:c r="U1267" s="35" t="n">
        <x:f>L1267-N1267-P1267-R1267-T1267</x:f>
        <x:v>24.320000000000004</x:v>
      </x:c>
      <x:c r="V1267" s="21" t="n">
        <x:f>IFERROR(U1267/L1267,0)</x:f>
        <x:v>0.40805369127516783</x:v>
      </x:c>
    </x:row>
    <x:row r="1268">
      <x:c r="A1268" s="19" t="str">
        <x:v>SALE-01264</x:v>
      </x:c>
      <x:c r="B1268" s="34" t="n">
        <x:v>46213.5</x:v>
      </x:c>
      <x:c r="C1268" s="19" t="str">
        <x:v>周五</x:v>
      </x:c>
      <x:c r="D1268" s="19" t="str">
        <x:v>S05</x:v>
      </x:c>
      <x:c r="E1268" s="19" t="str">
        <x:v>同顺街店</x:v>
      </x:c>
      <x:c r="F1268" s="19" t="str">
        <x:v>外卖</x:v>
      </x:c>
      <x:c r="G1268" s="19" t="str">
        <x:v>全日</x:v>
      </x:c>
      <x:c r="H1268" s="19" t="str">
        <x:v>D04</x:v>
      </x:c>
      <x:c r="I1268" s="19" t="str">
        <x:v>酸包菜炒粉皮</x:v>
      </x:c>
      <x:c r="J1268" s="22" t="n">
        <x:f>XLOOKUP(H1268,'菜品主数据'!$A$5:$A$24,'菜品主数据'!$D$5:$D$24,0)</x:f>
        <x:v>16</x:v>
      </x:c>
      <x:c r="K1268" s="31" t="n">
        <x:v>3</x:v>
      </x:c>
      <x:c r="L1268" s="35" t="n">
        <x:f>J1268*K1268</x:f>
        <x:v>48</x:v>
      </x:c>
      <x:c r="M1268" s="36" t="n">
        <x:v>0.08</x:v>
      </x:c>
      <x:c r="N1268" s="35" t="n">
        <x:f>L1268*M1268</x:f>
        <x:v>3.84</x:v>
      </x:c>
      <x:c r="O1268" s="37" t="n">
        <x:v>0.18</x:v>
      </x:c>
      <x:c r="P1268" s="35" t="n">
        <x:f>L1268*O1268</x:f>
        <x:v>8.64</x:v>
      </x:c>
      <x:c r="Q1268" s="35" t="n">
        <x:v>1.2</x:v>
      </x:c>
      <x:c r="R1268" s="35" t="n">
        <x:f>K1268*Q1268</x:f>
        <x:v>3.5999999999999996</x:v>
      </x:c>
      <x:c r="S1268" s="35" t="n">
        <x:f>XLOOKUP(H1268,'菜品主数据'!$A$5:$A$24,'菜品主数据'!$G$5:$G$24,0)</x:f>
        <x:v>3.978</x:v>
      </x:c>
      <x:c r="T1268" s="35" t="n">
        <x:f>K1268*S1268</x:f>
        <x:v>11.934000000000001</x:v>
      </x:c>
      <x:c r="U1268" s="35" t="n">
        <x:f>L1268-N1268-P1268-R1268-T1268</x:f>
        <x:v>19.985999999999994</x:v>
      </x:c>
      <x:c r="V1268" s="21" t="n">
        <x:f>IFERROR(U1268/L1268,0)</x:f>
        <x:v>0.4163749999999999</x:v>
      </x:c>
    </x:row>
    <x:row r="1269">
      <x:c r="A1269" s="19" t="str">
        <x:v>SALE-01265</x:v>
      </x:c>
      <x:c r="B1269" s="34" t="n">
        <x:v>46213.5</x:v>
      </x:c>
      <x:c r="C1269" s="19" t="str">
        <x:v>周五</x:v>
      </x:c>
      <x:c r="D1269" s="19" t="str">
        <x:v>S05</x:v>
      </x:c>
      <x:c r="E1269" s="19" t="str">
        <x:v>同顺街店</x:v>
      </x:c>
      <x:c r="F1269" s="19" t="str">
        <x:v>外卖</x:v>
      </x:c>
      <x:c r="G1269" s="19" t="str">
        <x:v>全日</x:v>
      </x:c>
      <x:c r="H1269" s="19" t="str">
        <x:v>D05</x:v>
      </x:c>
      <x:c r="I1269" s="19" t="str">
        <x:v>麻婆豆腐</x:v>
      </x:c>
      <x:c r="J1269" s="22" t="n">
        <x:f>XLOOKUP(H1269,'菜品主数据'!$A$5:$A$24,'菜品主数据'!$D$5:$D$24,0)</x:f>
        <x:v>9.9</x:v>
      </x:c>
      <x:c r="K1269" s="31" t="n">
        <x:v>4</x:v>
      </x:c>
      <x:c r="L1269" s="35" t="n">
        <x:f>J1269*K1269</x:f>
        <x:v>39.6</x:v>
      </x:c>
      <x:c r="M1269" s="36" t="n">
        <x:v>0.08</x:v>
      </x:c>
      <x:c r="N1269" s="35" t="n">
        <x:f>L1269*M1269</x:f>
        <x:v>3.168</x:v>
      </x:c>
      <x:c r="O1269" s="37" t="n">
        <x:v>0.18</x:v>
      </x:c>
      <x:c r="P1269" s="35" t="n">
        <x:f>L1269*O1269</x:f>
        <x:v>7.128</x:v>
      </x:c>
      <x:c r="Q1269" s="35" t="n">
        <x:v>1.2</x:v>
      </x:c>
      <x:c r="R1269" s="35" t="n">
        <x:f>K1269*Q1269</x:f>
        <x:v>4.8</x:v>
      </x:c>
      <x:c r="S1269" s="35" t="n">
        <x:f>XLOOKUP(H1269,'菜品主数据'!$A$5:$A$24,'菜品主数据'!$G$5:$G$24,0)</x:f>
        <x:v>5.367000000000001</x:v>
      </x:c>
      <x:c r="T1269" s="35" t="n">
        <x:f>K1269*S1269</x:f>
        <x:v>21.468000000000004</x:v>
      </x:c>
      <x:c r="U1269" s="35" t="n">
        <x:f>L1269-N1269-P1269-R1269-T1269</x:f>
        <x:v>3.035999999999998</x:v>
      </x:c>
      <x:c r="V1269" s="21" t="n">
        <x:f>IFERROR(U1269/L1269,0)</x:f>
        <x:v>0.0766666666666666</x:v>
      </x:c>
    </x:row>
    <x:row r="1270">
      <x:c r="A1270" s="19" t="str">
        <x:v>SALE-01266</x:v>
      </x:c>
      <x:c r="B1270" s="34" t="n">
        <x:v>46213.5</x:v>
      </x:c>
      <x:c r="C1270" s="19" t="str">
        <x:v>周五</x:v>
      </x:c>
      <x:c r="D1270" s="19" t="str">
        <x:v>S05</x:v>
      </x:c>
      <x:c r="E1270" s="19" t="str">
        <x:v>同顺街店</x:v>
      </x:c>
      <x:c r="F1270" s="19" t="str">
        <x:v>外卖</x:v>
      </x:c>
      <x:c r="G1270" s="19" t="str">
        <x:v>全日</x:v>
      </x:c>
      <x:c r="H1270" s="19" t="str">
        <x:v>D06</x:v>
      </x:c>
      <x:c r="I1270" s="19" t="str">
        <x:v>剁椒鱼头</x:v>
      </x:c>
      <x:c r="J1270" s="22" t="n">
        <x:f>XLOOKUP(H1270,'菜品主数据'!$A$5:$A$24,'菜品主数据'!$D$5:$D$24,0)</x:f>
        <x:v>39</x:v>
      </x:c>
      <x:c r="K1270" s="31" t="n">
        <x:v>2</x:v>
      </x:c>
      <x:c r="L1270" s="35" t="n">
        <x:f>J1270*K1270</x:f>
        <x:v>78</x:v>
      </x:c>
      <x:c r="M1270" s="36" t="n">
        <x:v>0.08</x:v>
      </x:c>
      <x:c r="N1270" s="35" t="n">
        <x:f>L1270*M1270</x:f>
        <x:v>6.24</x:v>
      </x:c>
      <x:c r="O1270" s="37" t="n">
        <x:v>0.18</x:v>
      </x:c>
      <x:c r="P1270" s="35" t="n">
        <x:f>L1270*O1270</x:f>
        <x:v>14.04</x:v>
      </x:c>
      <x:c r="Q1270" s="35" t="n">
        <x:v>1.2</x:v>
      </x:c>
      <x:c r="R1270" s="35" t="n">
        <x:f>K1270*Q1270</x:f>
        <x:v>2.4</x:v>
      </x:c>
      <x:c r="S1270" s="35" t="n">
        <x:f>XLOOKUP(H1270,'菜品主数据'!$A$5:$A$24,'菜品主数据'!$G$5:$G$24,0)</x:f>
        <x:v>17.446</x:v>
      </x:c>
      <x:c r="T1270" s="35" t="n">
        <x:f>K1270*S1270</x:f>
        <x:v>34.892</x:v>
      </x:c>
      <x:c r="U1270" s="35" t="n">
        <x:f>L1270-N1270-P1270-R1270-T1270</x:f>
        <x:v>20.428000000000004</x:v>
      </x:c>
      <x:c r="V1270" s="21" t="n">
        <x:f>IFERROR(U1270/L1270,0)</x:f>
        <x:v>0.26189743589743597</x:v>
      </x:c>
    </x:row>
    <x:row r="1271">
      <x:c r="A1271" s="19" t="str">
        <x:v>SALE-01267</x:v>
      </x:c>
      <x:c r="B1271" s="34" t="n">
        <x:v>46213.5</x:v>
      </x:c>
      <x:c r="C1271" s="19" t="str">
        <x:v>周五</x:v>
      </x:c>
      <x:c r="D1271" s="19" t="str">
        <x:v>S05</x:v>
      </x:c>
      <x:c r="E1271" s="19" t="str">
        <x:v>同顺街店</x:v>
      </x:c>
      <x:c r="F1271" s="19" t="str">
        <x:v>外卖</x:v>
      </x:c>
      <x:c r="G1271" s="19" t="str">
        <x:v>全日</x:v>
      </x:c>
      <x:c r="H1271" s="19" t="str">
        <x:v>D07</x:v>
      </x:c>
      <x:c r="I1271" s="19" t="str">
        <x:v>川味回锅肉</x:v>
      </x:c>
      <x:c r="J1271" s="22" t="n">
        <x:f>XLOOKUP(H1271,'菜品主数据'!$A$5:$A$24,'菜品主数据'!$D$5:$D$24,0)</x:f>
        <x:v>29</x:v>
      </x:c>
      <x:c r="K1271" s="31" t="n">
        <x:v>1</x:v>
      </x:c>
      <x:c r="L1271" s="35" t="n">
        <x:f>J1271*K1271</x:f>
        <x:v>29</x:v>
      </x:c>
      <x:c r="M1271" s="36" t="n">
        <x:v>0.08</x:v>
      </x:c>
      <x:c r="N1271" s="35" t="n">
        <x:f>L1271*M1271</x:f>
        <x:v>2.32</x:v>
      </x:c>
      <x:c r="O1271" s="37" t="n">
        <x:v>0.18</x:v>
      </x:c>
      <x:c r="P1271" s="35" t="n">
        <x:f>L1271*O1271</x:f>
        <x:v>5.22</x:v>
      </x:c>
      <x:c r="Q1271" s="35" t="n">
        <x:v>1.2</x:v>
      </x:c>
      <x:c r="R1271" s="35" t="n">
        <x:f>K1271*Q1271</x:f>
        <x:v>1.2</x:v>
      </x:c>
      <x:c r="S1271" s="35" t="n">
        <x:f>XLOOKUP(H1271,'菜品主数据'!$A$5:$A$24,'菜品主数据'!$G$5:$G$24,0)</x:f>
        <x:v>10.231000000000002</x:v>
      </x:c>
      <x:c r="T1271" s="35" t="n">
        <x:f>K1271*S1271</x:f>
        <x:v>10.231000000000002</x:v>
      </x:c>
      <x:c r="U1271" s="35" t="n">
        <x:f>L1271-N1271-P1271-R1271-T1271</x:f>
        <x:v>10.029</x:v>
      </x:c>
      <x:c r="V1271" s="21" t="n">
        <x:f>IFERROR(U1271/L1271,0)</x:f>
        <x:v>0.3458275862068966</x:v>
      </x:c>
    </x:row>
    <x:row r="1272">
      <x:c r="A1272" s="19" t="str">
        <x:v>SALE-01268</x:v>
      </x:c>
      <x:c r="B1272" s="34" t="n">
        <x:v>46213.5</x:v>
      </x:c>
      <x:c r="C1272" s="19" t="str">
        <x:v>周五</x:v>
      </x:c>
      <x:c r="D1272" s="19" t="str">
        <x:v>S05</x:v>
      </x:c>
      <x:c r="E1272" s="19" t="str">
        <x:v>同顺街店</x:v>
      </x:c>
      <x:c r="F1272" s="19" t="str">
        <x:v>外卖</x:v>
      </x:c>
      <x:c r="G1272" s="19" t="str">
        <x:v>全日</x:v>
      </x:c>
      <x:c r="H1272" s="19" t="str">
        <x:v>D08</x:v>
      </x:c>
      <x:c r="I1272" s="19" t="str">
        <x:v>生炒清远鸡</x:v>
      </x:c>
      <x:c r="J1272" s="22" t="n">
        <x:f>XLOOKUP(H1272,'菜品主数据'!$A$5:$A$24,'菜品主数据'!$D$5:$D$24,0)</x:f>
        <x:v>36</x:v>
      </x:c>
      <x:c r="K1272" s="31" t="n">
        <x:v>1</x:v>
      </x:c>
      <x:c r="L1272" s="35" t="n">
        <x:f>J1272*K1272</x:f>
        <x:v>36</x:v>
      </x:c>
      <x:c r="M1272" s="36" t="n">
        <x:v>0.08</x:v>
      </x:c>
      <x:c r="N1272" s="35" t="n">
        <x:f>L1272*M1272</x:f>
        <x:v>2.88</x:v>
      </x:c>
      <x:c r="O1272" s="37" t="n">
        <x:v>0.18</x:v>
      </x:c>
      <x:c r="P1272" s="35" t="n">
        <x:f>L1272*O1272</x:f>
        <x:v>6.4799999999999995</x:v>
      </x:c>
      <x:c r="Q1272" s="35" t="n">
        <x:v>1.2</x:v>
      </x:c>
      <x:c r="R1272" s="35" t="n">
        <x:f>K1272*Q1272</x:f>
        <x:v>1.2</x:v>
      </x:c>
      <x:c r="S1272" s="35" t="n">
        <x:f>XLOOKUP(H1272,'菜品主数据'!$A$5:$A$24,'菜品主数据'!$G$5:$G$24,0)</x:f>
        <x:v>13.48</x:v>
      </x:c>
      <x:c r="T1272" s="35" t="n">
        <x:f>K1272*S1272</x:f>
        <x:v>13.48</x:v>
      </x:c>
      <x:c r="U1272" s="35" t="n">
        <x:f>L1272-N1272-P1272-R1272-T1272</x:f>
        <x:v>11.959999999999997</x:v>
      </x:c>
      <x:c r="V1272" s="21" t="n">
        <x:f>IFERROR(U1272/L1272,0)</x:f>
        <x:v>0.33222222222222214</x:v>
      </x:c>
    </x:row>
    <x:row r="1273">
      <x:c r="A1273" s="19" t="str">
        <x:v>SALE-01269</x:v>
      </x:c>
      <x:c r="B1273" s="34" t="n">
        <x:v>46213.5</x:v>
      </x:c>
      <x:c r="C1273" s="19" t="str">
        <x:v>周五</x:v>
      </x:c>
      <x:c r="D1273" s="19" t="str">
        <x:v>S05</x:v>
      </x:c>
      <x:c r="E1273" s="19" t="str">
        <x:v>同顺街店</x:v>
      </x:c>
      <x:c r="F1273" s="19" t="str">
        <x:v>外卖</x:v>
      </x:c>
      <x:c r="G1273" s="19" t="str">
        <x:v>全日</x:v>
      </x:c>
      <x:c r="H1273" s="19" t="str">
        <x:v>D09</x:v>
      </x:c>
      <x:c r="I1273" s="19" t="str">
        <x:v>炒豆干</x:v>
      </x:c>
      <x:c r="J1273" s="22" t="n">
        <x:f>XLOOKUP(H1273,'菜品主数据'!$A$5:$A$24,'菜品主数据'!$D$5:$D$24,0)</x:f>
        <x:v>18</x:v>
      </x:c>
      <x:c r="K1273" s="31" t="n">
        <x:v>1</x:v>
      </x:c>
      <x:c r="L1273" s="35" t="n">
        <x:f>J1273*K1273</x:f>
        <x:v>18</x:v>
      </x:c>
      <x:c r="M1273" s="36" t="n">
        <x:v>0.08</x:v>
      </x:c>
      <x:c r="N1273" s="35" t="n">
        <x:f>L1273*M1273</x:f>
        <x:v>1.44</x:v>
      </x:c>
      <x:c r="O1273" s="37" t="n">
        <x:v>0.18</x:v>
      </x:c>
      <x:c r="P1273" s="35" t="n">
        <x:f>L1273*O1273</x:f>
        <x:v>3.2399999999999998</x:v>
      </x:c>
      <x:c r="Q1273" s="35" t="n">
        <x:v>1.2</x:v>
      </x:c>
      <x:c r="R1273" s="35" t="n">
        <x:f>K1273*Q1273</x:f>
        <x:v>1.2</x:v>
      </x:c>
      <x:c r="S1273" s="35" t="n">
        <x:f>XLOOKUP(H1273,'菜品主数据'!$A$5:$A$24,'菜品主数据'!$G$5:$G$24,0)</x:f>
        <x:v>6.613999999999999</x:v>
      </x:c>
      <x:c r="T1273" s="35" t="n">
        <x:f>K1273*S1273</x:f>
        <x:v>6.613999999999999</x:v>
      </x:c>
      <x:c r="U1273" s="35" t="n">
        <x:f>L1273-N1273-P1273-R1273-T1273</x:f>
        <x:v>5.506</x:v>
      </x:c>
      <x:c r="V1273" s="21" t="n">
        <x:f>IFERROR(U1273/L1273,0)</x:f>
        <x:v>0.3058888888888889</x:v>
      </x:c>
    </x:row>
    <x:row r="1274">
      <x:c r="A1274" s="19" t="str">
        <x:v>SALE-01270</x:v>
      </x:c>
      <x:c r="B1274" s="34" t="n">
        <x:v>46213.5</x:v>
      </x:c>
      <x:c r="C1274" s="19" t="str">
        <x:v>周五</x:v>
      </x:c>
      <x:c r="D1274" s="19" t="str">
        <x:v>S05</x:v>
      </x:c>
      <x:c r="E1274" s="19" t="str">
        <x:v>同顺街店</x:v>
      </x:c>
      <x:c r="F1274" s="19" t="str">
        <x:v>外卖</x:v>
      </x:c>
      <x:c r="G1274" s="19" t="str">
        <x:v>全日</x:v>
      </x:c>
      <x:c r="H1274" s="19" t="str">
        <x:v>D10</x:v>
      </x:c>
      <x:c r="I1274" s="19" t="str">
        <x:v>农家一碗香</x:v>
      </x:c>
      <x:c r="J1274" s="22" t="n">
        <x:f>XLOOKUP(H1274,'菜品主数据'!$A$5:$A$24,'菜品主数据'!$D$5:$D$24,0)</x:f>
        <x:v>22.9</x:v>
      </x:c>
      <x:c r="K1274" s="31" t="n">
        <x:v>2</x:v>
      </x:c>
      <x:c r="L1274" s="35" t="n">
        <x:f>J1274*K1274</x:f>
        <x:v>45.8</x:v>
      </x:c>
      <x:c r="M1274" s="36" t="n">
        <x:v>0.08</x:v>
      </x:c>
      <x:c r="N1274" s="35" t="n">
        <x:f>L1274*M1274</x:f>
        <x:v>3.6639999999999997</x:v>
      </x:c>
      <x:c r="O1274" s="37" t="n">
        <x:v>0.18</x:v>
      </x:c>
      <x:c r="P1274" s="35" t="n">
        <x:f>L1274*O1274</x:f>
        <x:v>8.244</x:v>
      </x:c>
      <x:c r="Q1274" s="35" t="n">
        <x:v>1.2</x:v>
      </x:c>
      <x:c r="R1274" s="35" t="n">
        <x:f>K1274*Q1274</x:f>
        <x:v>2.4</x:v>
      </x:c>
      <x:c r="S1274" s="35" t="n">
        <x:f>XLOOKUP(H1274,'菜品主数据'!$A$5:$A$24,'菜品主数据'!$G$5:$G$24,0)</x:f>
        <x:v>9.770200000000003</x:v>
      </x:c>
      <x:c r="T1274" s="35" t="n">
        <x:f>K1274*S1274</x:f>
        <x:v>19.540400000000005</x:v>
      </x:c>
      <x:c r="U1274" s="35" t="n">
        <x:f>L1274-N1274-P1274-R1274-T1274</x:f>
        <x:v>11.951599999999992</x:v>
      </x:c>
      <x:c r="V1274" s="21" t="n">
        <x:f>IFERROR(U1274/L1274,0)</x:f>
        <x:v>0.260951965065502</x:v>
      </x:c>
    </x:row>
    <x:row r="1275">
      <x:c r="A1275" s="19" t="str">
        <x:v>SALE-01271</x:v>
      </x:c>
      <x:c r="B1275" s="34" t="n">
        <x:v>46213.5</x:v>
      </x:c>
      <x:c r="C1275" s="19" t="str">
        <x:v>周五</x:v>
      </x:c>
      <x:c r="D1275" s="19" t="str">
        <x:v>S05</x:v>
      </x:c>
      <x:c r="E1275" s="19" t="str">
        <x:v>同顺街店</x:v>
      </x:c>
      <x:c r="F1275" s="19" t="str">
        <x:v>外卖</x:v>
      </x:c>
      <x:c r="G1275" s="19" t="str">
        <x:v>全日</x:v>
      </x:c>
      <x:c r="H1275" s="19" t="str">
        <x:v>D11</x:v>
      </x:c>
      <x:c r="I1275" s="19" t="str">
        <x:v>香辣爆肥肠</x:v>
      </x:c>
      <x:c r="J1275" s="22" t="n">
        <x:f>XLOOKUP(H1275,'菜品主数据'!$A$5:$A$24,'菜品主数据'!$D$5:$D$24,0)</x:f>
        <x:v>39</x:v>
      </x:c>
      <x:c r="K1275" s="31" t="n">
        <x:v>0</x:v>
      </x:c>
      <x:c r="L1275" s="35" t="n">
        <x:f>J1275*K1275</x:f>
        <x:v>0</x:v>
      </x:c>
      <x:c r="M1275" s="36" t="n">
        <x:v>0.08</x:v>
      </x:c>
      <x:c r="N1275" s="35" t="n">
        <x:f>L1275*M1275</x:f>
        <x:v>0</x:v>
      </x:c>
      <x:c r="O1275" s="37" t="n">
        <x:v>0.18</x:v>
      </x:c>
      <x:c r="P1275" s="35" t="n">
        <x:f>L1275*O1275</x:f>
        <x:v>0</x:v>
      </x:c>
      <x:c r="Q1275" s="35" t="n">
        <x:v>1.2</x:v>
      </x:c>
      <x:c r="R1275" s="35" t="n">
        <x:f>K1275*Q1275</x:f>
        <x:v>0</x:v>
      </x:c>
      <x:c r="S1275" s="35" t="n">
        <x:f>XLOOKUP(H1275,'菜品主数据'!$A$5:$A$24,'菜品主数据'!$G$5:$G$24,0)</x:f>
        <x:v>10.397</x:v>
      </x:c>
      <x:c r="T1275" s="35" t="n">
        <x:f>K1275*S1275</x:f>
        <x:v>0</x:v>
      </x:c>
      <x:c r="U1275" s="35" t="n">
        <x:f>L1275-N1275-P1275-R1275-T1275</x:f>
        <x:v>0</x:v>
      </x:c>
      <x:c r="V1275" s="21" t="n">
        <x:f>IFERROR(U1275/L1275,0)</x:f>
        <x:v>0</x:v>
      </x:c>
    </x:row>
    <x:row r="1276">
      <x:c r="A1276" s="19" t="str">
        <x:v>SALE-01272</x:v>
      </x:c>
      <x:c r="B1276" s="34" t="n">
        <x:v>46213.5</x:v>
      </x:c>
      <x:c r="C1276" s="19" t="str">
        <x:v>周五</x:v>
      </x:c>
      <x:c r="D1276" s="19" t="str">
        <x:v>S05</x:v>
      </x:c>
      <x:c r="E1276" s="19" t="str">
        <x:v>同顺街店</x:v>
      </x:c>
      <x:c r="F1276" s="19" t="str">
        <x:v>外卖</x:v>
      </x:c>
      <x:c r="G1276" s="19" t="str">
        <x:v>全日</x:v>
      </x:c>
      <x:c r="H1276" s="19" t="str">
        <x:v>D12</x:v>
      </x:c>
      <x:c r="I1276" s="19" t="str">
        <x:v>清蒸鲈鱼</x:v>
      </x:c>
      <x:c r="J1276" s="22" t="n">
        <x:f>XLOOKUP(H1276,'菜品主数据'!$A$5:$A$24,'菜品主数据'!$D$5:$D$24,0)</x:f>
        <x:v>39</x:v>
      </x:c>
      <x:c r="K1276" s="31" t="n">
        <x:v>0</x:v>
      </x:c>
      <x:c r="L1276" s="35" t="n">
        <x:f>J1276*K1276</x:f>
        <x:v>0</x:v>
      </x:c>
      <x:c r="M1276" s="36" t="n">
        <x:v>0.08</x:v>
      </x:c>
      <x:c r="N1276" s="35" t="n">
        <x:f>L1276*M1276</x:f>
        <x:v>0</x:v>
      </x:c>
      <x:c r="O1276" s="37" t="n">
        <x:v>0.18</x:v>
      </x:c>
      <x:c r="P1276" s="35" t="n">
        <x:f>L1276*O1276</x:f>
        <x:v>0</x:v>
      </x:c>
      <x:c r="Q1276" s="35" t="n">
        <x:v>1.2</x:v>
      </x:c>
      <x:c r="R1276" s="35" t="n">
        <x:f>K1276*Q1276</x:f>
        <x:v>0</x:v>
      </x:c>
      <x:c r="S1276" s="35" t="n">
        <x:f>XLOOKUP(H1276,'菜品主数据'!$A$5:$A$24,'菜品主数据'!$G$5:$G$24,0)</x:f>
        <x:v>18.874</x:v>
      </x:c>
      <x:c r="T1276" s="35" t="n">
        <x:f>K1276*S1276</x:f>
        <x:v>0</x:v>
      </x:c>
      <x:c r="U1276" s="35" t="n">
        <x:f>L1276-N1276-P1276-R1276-T1276</x:f>
        <x:v>0</x:v>
      </x:c>
      <x:c r="V1276" s="21" t="n">
        <x:f>IFERROR(U1276/L1276,0)</x:f>
        <x:v>0</x:v>
      </x:c>
    </x:row>
    <x:row r="1277">
      <x:c r="A1277" s="19" t="str">
        <x:v>SALE-01273</x:v>
      </x:c>
      <x:c r="B1277" s="34" t="n">
        <x:v>46213.5</x:v>
      </x:c>
      <x:c r="C1277" s="19" t="str">
        <x:v>周五</x:v>
      </x:c>
      <x:c r="D1277" s="19" t="str">
        <x:v>S05</x:v>
      </x:c>
      <x:c r="E1277" s="19" t="str">
        <x:v>同顺街店</x:v>
      </x:c>
      <x:c r="F1277" s="19" t="str">
        <x:v>外卖</x:v>
      </x:c>
      <x:c r="G1277" s="19" t="str">
        <x:v>全日</x:v>
      </x:c>
      <x:c r="H1277" s="19" t="str">
        <x:v>D13</x:v>
      </x:c>
      <x:c r="I1277" s="19" t="str">
        <x:v>外婆菜炒蛋</x:v>
      </x:c>
      <x:c r="J1277" s="22" t="n">
        <x:f>XLOOKUP(H1277,'菜品主数据'!$A$5:$A$24,'菜品主数据'!$D$5:$D$24,0)</x:f>
        <x:v>18</x:v>
      </x:c>
      <x:c r="K1277" s="31" t="n">
        <x:v>1</x:v>
      </x:c>
      <x:c r="L1277" s="35" t="n">
        <x:f>J1277*K1277</x:f>
        <x:v>18</x:v>
      </x:c>
      <x:c r="M1277" s="36" t="n">
        <x:v>0.08</x:v>
      </x:c>
      <x:c r="N1277" s="35" t="n">
        <x:f>L1277*M1277</x:f>
        <x:v>1.44</x:v>
      </x:c>
      <x:c r="O1277" s="37" t="n">
        <x:v>0.18</x:v>
      </x:c>
      <x:c r="P1277" s="35" t="n">
        <x:f>L1277*O1277</x:f>
        <x:v>3.2399999999999998</x:v>
      </x:c>
      <x:c r="Q1277" s="35" t="n">
        <x:v>1.2</x:v>
      </x:c>
      <x:c r="R1277" s="35" t="n">
        <x:f>K1277*Q1277</x:f>
        <x:v>1.2</x:v>
      </x:c>
      <x:c r="S1277" s="35" t="n">
        <x:f>XLOOKUP(H1277,'菜品主数据'!$A$5:$A$24,'菜品主数据'!$G$5:$G$24,0)</x:f>
        <x:v>5.403999999999999</x:v>
      </x:c>
      <x:c r="T1277" s="35" t="n">
        <x:f>K1277*S1277</x:f>
        <x:v>5.403999999999999</x:v>
      </x:c>
      <x:c r="U1277" s="35" t="n">
        <x:f>L1277-N1277-P1277-R1277-T1277</x:f>
        <x:v>6.716</x:v>
      </x:c>
      <x:c r="V1277" s="21" t="n">
        <x:f>IFERROR(U1277/L1277,0)</x:f>
        <x:v>0.3731111111111111</x:v>
      </x:c>
    </x:row>
    <x:row r="1278">
      <x:c r="A1278" s="19" t="str">
        <x:v>SALE-01274</x:v>
      </x:c>
      <x:c r="B1278" s="34" t="n">
        <x:v>46213.5</x:v>
      </x:c>
      <x:c r="C1278" s="19" t="str">
        <x:v>周五</x:v>
      </x:c>
      <x:c r="D1278" s="19" t="str">
        <x:v>S05</x:v>
      </x:c>
      <x:c r="E1278" s="19" t="str">
        <x:v>同顺街店</x:v>
      </x:c>
      <x:c r="F1278" s="19" t="str">
        <x:v>外卖</x:v>
      </x:c>
      <x:c r="G1278" s="19" t="str">
        <x:v>全日</x:v>
      </x:c>
      <x:c r="H1278" s="19" t="str">
        <x:v>D14</x:v>
      </x:c>
      <x:c r="I1278" s="19" t="str">
        <x:v>酸辣鸡杂</x:v>
      </x:c>
      <x:c r="J1278" s="22" t="n">
        <x:f>XLOOKUP(H1278,'菜品主数据'!$A$5:$A$24,'菜品主数据'!$D$5:$D$24,0)</x:f>
        <x:v>28</x:v>
      </x:c>
      <x:c r="K1278" s="31" t="n">
        <x:v>0</x:v>
      </x:c>
      <x:c r="L1278" s="35" t="n">
        <x:f>J1278*K1278</x:f>
        <x:v>0</x:v>
      </x:c>
      <x:c r="M1278" s="36" t="n">
        <x:v>0.08</x:v>
      </x:c>
      <x:c r="N1278" s="35" t="n">
        <x:f>L1278*M1278</x:f>
        <x:v>0</x:v>
      </x:c>
      <x:c r="O1278" s="37" t="n">
        <x:v>0.18</x:v>
      </x:c>
      <x:c r="P1278" s="35" t="n">
        <x:f>L1278*O1278</x:f>
        <x:v>0</x:v>
      </x:c>
      <x:c r="Q1278" s="35" t="n">
        <x:v>1.2</x:v>
      </x:c>
      <x:c r="R1278" s="35" t="n">
        <x:f>K1278*Q1278</x:f>
        <x:v>0</x:v>
      </x:c>
      <x:c r="S1278" s="35" t="n">
        <x:f>XLOOKUP(H1278,'菜品主数据'!$A$5:$A$24,'菜品主数据'!$G$5:$G$24,0)</x:f>
        <x:v>8.315000000000001</x:v>
      </x:c>
      <x:c r="T1278" s="35" t="n">
        <x:f>K1278*S1278</x:f>
        <x:v>0</x:v>
      </x:c>
      <x:c r="U1278" s="35" t="n">
        <x:f>L1278-N1278-P1278-R1278-T1278</x:f>
        <x:v>0</x:v>
      </x:c>
      <x:c r="V1278" s="21" t="n">
        <x:f>IFERROR(U1278/L1278,0)</x:f>
        <x:v>0</x:v>
      </x:c>
    </x:row>
    <x:row r="1279">
      <x:c r="A1279" s="19" t="str">
        <x:v>SALE-01275</x:v>
      </x:c>
      <x:c r="B1279" s="34" t="n">
        <x:v>46213.5</x:v>
      </x:c>
      <x:c r="C1279" s="19" t="str">
        <x:v>周五</x:v>
      </x:c>
      <x:c r="D1279" s="19" t="str">
        <x:v>S05</x:v>
      </x:c>
      <x:c r="E1279" s="19" t="str">
        <x:v>同顺街店</x:v>
      </x:c>
      <x:c r="F1279" s="19" t="str">
        <x:v>外卖</x:v>
      </x:c>
      <x:c r="G1279" s="19" t="str">
        <x:v>全日</x:v>
      </x:c>
      <x:c r="H1279" s="19" t="str">
        <x:v>D15</x:v>
      </x:c>
      <x:c r="I1279" s="19" t="str">
        <x:v>湘西土匪猪肝</x:v>
      </x:c>
      <x:c r="J1279" s="22" t="n">
        <x:f>XLOOKUP(H1279,'菜品主数据'!$A$5:$A$24,'菜品主数据'!$D$5:$D$24,0)</x:f>
        <x:v>26</x:v>
      </x:c>
      <x:c r="K1279" s="31" t="n">
        <x:v>0</x:v>
      </x:c>
      <x:c r="L1279" s="35" t="n">
        <x:f>J1279*K1279</x:f>
        <x:v>0</x:v>
      </x:c>
      <x:c r="M1279" s="36" t="n">
        <x:v>0.08</x:v>
      </x:c>
      <x:c r="N1279" s="35" t="n">
        <x:f>L1279*M1279</x:f>
        <x:v>0</x:v>
      </x:c>
      <x:c r="O1279" s="37" t="n">
        <x:v>0.18</x:v>
      </x:c>
      <x:c r="P1279" s="35" t="n">
        <x:f>L1279*O1279</x:f>
        <x:v>0</x:v>
      </x:c>
      <x:c r="Q1279" s="35" t="n">
        <x:v>1.2</x:v>
      </x:c>
      <x:c r="R1279" s="35" t="n">
        <x:f>K1279*Q1279</x:f>
        <x:v>0</x:v>
      </x:c>
      <x:c r="S1279" s="35" t="n">
        <x:f>XLOOKUP(H1279,'菜品主数据'!$A$5:$A$24,'菜品主数据'!$G$5:$G$24,0)</x:f>
        <x:v>6.3759999999999994</x:v>
      </x:c>
      <x:c r="T1279" s="35" t="n">
        <x:f>K1279*S1279</x:f>
        <x:v>0</x:v>
      </x:c>
      <x:c r="U1279" s="35" t="n">
        <x:f>L1279-N1279-P1279-R1279-T1279</x:f>
        <x:v>0</x:v>
      </x:c>
      <x:c r="V1279" s="21" t="n">
        <x:f>IFERROR(U1279/L1279,0)</x:f>
        <x:v>0</x:v>
      </x:c>
    </x:row>
    <x:row r="1280">
      <x:c r="A1280" s="19" t="str">
        <x:v>SALE-01276</x:v>
      </x:c>
      <x:c r="B1280" s="34" t="n">
        <x:v>46213.5</x:v>
      </x:c>
      <x:c r="C1280" s="19" t="str">
        <x:v>周五</x:v>
      </x:c>
      <x:c r="D1280" s="19" t="str">
        <x:v>S05</x:v>
      </x:c>
      <x:c r="E1280" s="19" t="str">
        <x:v>同顺街店</x:v>
      </x:c>
      <x:c r="F1280" s="19" t="str">
        <x:v>外卖</x:v>
      </x:c>
      <x:c r="G1280" s="19" t="str">
        <x:v>全日</x:v>
      </x:c>
      <x:c r="H1280" s="19" t="str">
        <x:v>D16</x:v>
      </x:c>
      <x:c r="I1280" s="19" t="str">
        <x:v>小豆角炒五花</x:v>
      </x:c>
      <x:c r="J1280" s="22" t="n">
        <x:f>XLOOKUP(H1280,'菜品主数据'!$A$5:$A$24,'菜品主数据'!$D$5:$D$24,0)</x:f>
        <x:v>25</x:v>
      </x:c>
      <x:c r="K1280" s="31" t="n">
        <x:v>0</x:v>
      </x:c>
      <x:c r="L1280" s="35" t="n">
        <x:f>J1280*K1280</x:f>
        <x:v>0</x:v>
      </x:c>
      <x:c r="M1280" s="36" t="n">
        <x:v>0.08</x:v>
      </x:c>
      <x:c r="N1280" s="35" t="n">
        <x:f>L1280*M1280</x:f>
        <x:v>0</x:v>
      </x:c>
      <x:c r="O1280" s="37" t="n">
        <x:v>0.18</x:v>
      </x:c>
      <x:c r="P1280" s="35" t="n">
        <x:f>L1280*O1280</x:f>
        <x:v>0</x:v>
      </x:c>
      <x:c r="Q1280" s="35" t="n">
        <x:v>1.2</x:v>
      </x:c>
      <x:c r="R1280" s="35" t="n">
        <x:f>K1280*Q1280</x:f>
        <x:v>0</x:v>
      </x:c>
      <x:c r="S1280" s="35" t="n">
        <x:f>XLOOKUP(H1280,'菜品主数据'!$A$5:$A$24,'菜品主数据'!$G$5:$G$24,0)</x:f>
        <x:v>8.184</x:v>
      </x:c>
      <x:c r="T1280" s="35" t="n">
        <x:f>K1280*S1280</x:f>
        <x:v>0</x:v>
      </x:c>
      <x:c r="U1280" s="35" t="n">
        <x:f>L1280-N1280-P1280-R1280-T1280</x:f>
        <x:v>0</x:v>
      </x:c>
      <x:c r="V1280" s="21" t="n">
        <x:f>IFERROR(U1280/L1280,0)</x:f>
        <x:v>0</x:v>
      </x:c>
    </x:row>
    <x:row r="1281">
      <x:c r="A1281" s="19" t="str">
        <x:v>SALE-01277</x:v>
      </x:c>
      <x:c r="B1281" s="34" t="n">
        <x:v>46213.5</x:v>
      </x:c>
      <x:c r="C1281" s="19" t="str">
        <x:v>周五</x:v>
      </x:c>
      <x:c r="D1281" s="19" t="str">
        <x:v>S05</x:v>
      </x:c>
      <x:c r="E1281" s="19" t="str">
        <x:v>同顺街店</x:v>
      </x:c>
      <x:c r="F1281" s="19" t="str">
        <x:v>外卖</x:v>
      </x:c>
      <x:c r="G1281" s="19" t="str">
        <x:v>全日</x:v>
      </x:c>
      <x:c r="H1281" s="19" t="str">
        <x:v>D17</x:v>
      </x:c>
      <x:c r="I1281" s="19" t="str">
        <x:v>蒜蓉粉丝虾</x:v>
      </x:c>
      <x:c r="J1281" s="22" t="n">
        <x:f>XLOOKUP(H1281,'菜品主数据'!$A$5:$A$24,'菜品主数据'!$D$5:$D$24,0)</x:f>
        <x:v>36</x:v>
      </x:c>
      <x:c r="K1281" s="31" t="n">
        <x:v>0</x:v>
      </x:c>
      <x:c r="L1281" s="35" t="n">
        <x:f>J1281*K1281</x:f>
        <x:v>0</x:v>
      </x:c>
      <x:c r="M1281" s="36" t="n">
        <x:v>0.08</x:v>
      </x:c>
      <x:c r="N1281" s="35" t="n">
        <x:f>L1281*M1281</x:f>
        <x:v>0</x:v>
      </x:c>
      <x:c r="O1281" s="37" t="n">
        <x:v>0.18</x:v>
      </x:c>
      <x:c r="P1281" s="35" t="n">
        <x:f>L1281*O1281</x:f>
        <x:v>0</x:v>
      </x:c>
      <x:c r="Q1281" s="35" t="n">
        <x:v>1.2</x:v>
      </x:c>
      <x:c r="R1281" s="35" t="n">
        <x:f>K1281*Q1281</x:f>
        <x:v>0</x:v>
      </x:c>
      <x:c r="S1281" s="35" t="n">
        <x:f>XLOOKUP(H1281,'菜品主数据'!$A$5:$A$24,'菜品主数据'!$G$5:$G$24,0)</x:f>
        <x:v>13.594</x:v>
      </x:c>
      <x:c r="T1281" s="35" t="n">
        <x:f>K1281*S1281</x:f>
        <x:v>0</x:v>
      </x:c>
      <x:c r="U1281" s="35" t="n">
        <x:f>L1281-N1281-P1281-R1281-T1281</x:f>
        <x:v>0</x:v>
      </x:c>
      <x:c r="V1281" s="21" t="n">
        <x:f>IFERROR(U1281/L1281,0)</x:f>
        <x:v>0</x:v>
      </x:c>
    </x:row>
    <x:row r="1282">
      <x:c r="A1282" s="19" t="str">
        <x:v>SALE-01278</x:v>
      </x:c>
      <x:c r="B1282" s="34" t="n">
        <x:v>46213.5</x:v>
      </x:c>
      <x:c r="C1282" s="19" t="str">
        <x:v>周五</x:v>
      </x:c>
      <x:c r="D1282" s="19" t="str">
        <x:v>S05</x:v>
      </x:c>
      <x:c r="E1282" s="19" t="str">
        <x:v>同顺街店</x:v>
      </x:c>
      <x:c r="F1282" s="19" t="str">
        <x:v>外卖</x:v>
      </x:c>
      <x:c r="G1282" s="19" t="str">
        <x:v>全日</x:v>
      </x:c>
      <x:c r="H1282" s="19" t="str">
        <x:v>D18</x:v>
      </x:c>
      <x:c r="I1282" s="19" t="str">
        <x:v>青椒炒油麦菜</x:v>
      </x:c>
      <x:c r="J1282" s="22" t="n">
        <x:f>XLOOKUP(H1282,'菜品主数据'!$A$5:$A$24,'菜品主数据'!$D$5:$D$24,0)</x:f>
        <x:v>18</x:v>
      </x:c>
      <x:c r="K1282" s="31" t="n">
        <x:v>0</x:v>
      </x:c>
      <x:c r="L1282" s="35" t="n">
        <x:f>J1282*K1282</x:f>
        <x:v>0</x:v>
      </x:c>
      <x:c r="M1282" s="36" t="n">
        <x:v>0.08</x:v>
      </x:c>
      <x:c r="N1282" s="35" t="n">
        <x:f>L1282*M1282</x:f>
        <x:v>0</x:v>
      </x:c>
      <x:c r="O1282" s="37" t="n">
        <x:v>0.18</x:v>
      </x:c>
      <x:c r="P1282" s="35" t="n">
        <x:f>L1282*O1282</x:f>
        <x:v>0</x:v>
      </x:c>
      <x:c r="Q1282" s="35" t="n">
        <x:v>1.2</x:v>
      </x:c>
      <x:c r="R1282" s="35" t="n">
        <x:f>K1282*Q1282</x:f>
        <x:v>0</x:v>
      </x:c>
      <x:c r="S1282" s="35" t="n">
        <x:f>XLOOKUP(H1282,'菜品主数据'!$A$5:$A$24,'菜品主数据'!$G$5:$G$24,0)</x:f>
        <x:v>3.1759999999999993</x:v>
      </x:c>
      <x:c r="T1282" s="35" t="n">
        <x:f>K1282*S1282</x:f>
        <x:v>0</x:v>
      </x:c>
      <x:c r="U1282" s="35" t="n">
        <x:f>L1282-N1282-P1282-R1282-T1282</x:f>
        <x:v>0</x:v>
      </x:c>
      <x:c r="V1282" s="21" t="n">
        <x:f>IFERROR(U1282/L1282,0)</x:f>
        <x:v>0</x:v>
      </x:c>
    </x:row>
    <x:row r="1283">
      <x:c r="A1283" s="19" t="str">
        <x:v>SALE-01279</x:v>
      </x:c>
      <x:c r="B1283" s="34" t="n">
        <x:v>46213.5</x:v>
      </x:c>
      <x:c r="C1283" s="19" t="str">
        <x:v>周五</x:v>
      </x:c>
      <x:c r="D1283" s="19" t="str">
        <x:v>S05</x:v>
      </x:c>
      <x:c r="E1283" s="19" t="str">
        <x:v>同顺街店</x:v>
      </x:c>
      <x:c r="F1283" s="19" t="str">
        <x:v>外卖</x:v>
      </x:c>
      <x:c r="G1283" s="19" t="str">
        <x:v>全日</x:v>
      </x:c>
      <x:c r="H1283" s="19" t="str">
        <x:v>D19</x:v>
      </x:c>
      <x:c r="I1283" s="19" t="str">
        <x:v>酸萝卜炒鸡杂</x:v>
      </x:c>
      <x:c r="J1283" s="22" t="n">
        <x:f>XLOOKUP(H1283,'菜品主数据'!$A$5:$A$24,'菜品主数据'!$D$5:$D$24,0)</x:f>
        <x:v>25</x:v>
      </x:c>
      <x:c r="K1283" s="31" t="n">
        <x:v>0</x:v>
      </x:c>
      <x:c r="L1283" s="35" t="n">
        <x:f>J1283*K1283</x:f>
        <x:v>0</x:v>
      </x:c>
      <x:c r="M1283" s="36" t="n">
        <x:v>0.08</x:v>
      </x:c>
      <x:c r="N1283" s="35" t="n">
        <x:f>L1283*M1283</x:f>
        <x:v>0</x:v>
      </x:c>
      <x:c r="O1283" s="37" t="n">
        <x:v>0.18</x:v>
      </x:c>
      <x:c r="P1283" s="35" t="n">
        <x:f>L1283*O1283</x:f>
        <x:v>0</x:v>
      </x:c>
      <x:c r="Q1283" s="35" t="n">
        <x:v>1.2</x:v>
      </x:c>
      <x:c r="R1283" s="35" t="n">
        <x:f>K1283*Q1283</x:f>
        <x:v>0</x:v>
      </x:c>
      <x:c r="S1283" s="35" t="n">
        <x:f>XLOOKUP(H1283,'菜品主数据'!$A$5:$A$24,'菜品主数据'!$G$5:$G$24,0)</x:f>
        <x:v>7.9399999999999995</x:v>
      </x:c>
      <x:c r="T1283" s="35" t="n">
        <x:f>K1283*S1283</x:f>
        <x:v>0</x:v>
      </x:c>
      <x:c r="U1283" s="35" t="n">
        <x:f>L1283-N1283-P1283-R1283-T1283</x:f>
        <x:v>0</x:v>
      </x:c>
      <x:c r="V1283" s="21" t="n">
        <x:f>IFERROR(U1283/L1283,0)</x:f>
        <x:v>0</x:v>
      </x:c>
    </x:row>
    <x:row r="1284">
      <x:c r="A1284" s="19" t="str">
        <x:v>SALE-01280</x:v>
      </x:c>
      <x:c r="B1284" s="34" t="n">
        <x:v>46213.5</x:v>
      </x:c>
      <x:c r="C1284" s="19" t="str">
        <x:v>周五</x:v>
      </x:c>
      <x:c r="D1284" s="19" t="str">
        <x:v>S05</x:v>
      </x:c>
      <x:c r="E1284" s="19" t="str">
        <x:v>同顺街店</x:v>
      </x:c>
      <x:c r="F1284" s="19" t="str">
        <x:v>外卖</x:v>
      </x:c>
      <x:c r="G1284" s="19" t="str">
        <x:v>全日</x:v>
      </x:c>
      <x:c r="H1284" s="19" t="str">
        <x:v>D20</x:v>
      </x:c>
      <x:c r="I1284" s="19" t="str">
        <x:v>雪菜肉末青豆</x:v>
      </x:c>
      <x:c r="J1284" s="22" t="n">
        <x:f>XLOOKUP(H1284,'菜品主数据'!$A$5:$A$24,'菜品主数据'!$D$5:$D$24,0)</x:f>
        <x:v>18</x:v>
      </x:c>
      <x:c r="K1284" s="31" t="n">
        <x:v>0</x:v>
      </x:c>
      <x:c r="L1284" s="35" t="n">
        <x:f>J1284*K1284</x:f>
        <x:v>0</x:v>
      </x:c>
      <x:c r="M1284" s="36" t="n">
        <x:v>0.08</x:v>
      </x:c>
      <x:c r="N1284" s="35" t="n">
        <x:f>L1284*M1284</x:f>
        <x:v>0</x:v>
      </x:c>
      <x:c r="O1284" s="37" t="n">
        <x:v>0.18</x:v>
      </x:c>
      <x:c r="P1284" s="35" t="n">
        <x:f>L1284*O1284</x:f>
        <x:v>0</x:v>
      </x:c>
      <x:c r="Q1284" s="35" t="n">
        <x:v>1.2</x:v>
      </x:c>
      <x:c r="R1284" s="35" t="n">
        <x:f>K1284*Q1284</x:f>
        <x:v>0</x:v>
      </x:c>
      <x:c r="S1284" s="35" t="n">
        <x:f>XLOOKUP(H1284,'菜品主数据'!$A$5:$A$24,'菜品主数据'!$G$5:$G$24,0)</x:f>
        <x:v>7.303999999999999</x:v>
      </x:c>
      <x:c r="T1284" s="35" t="n">
        <x:f>K1284*S1284</x:f>
        <x:v>0</x:v>
      </x:c>
      <x:c r="U1284" s="35" t="n">
        <x:f>L1284-N1284-P1284-R1284-T1284</x:f>
        <x:v>0</x:v>
      </x:c>
      <x:c r="V1284" s="21" t="n">
        <x:f>IFERROR(U1284/L1284,0)</x:f>
        <x:v>0</x:v>
      </x:c>
    </x:row>
    <x:row r="1285">
      <x:c r="A1285" s="19" t="str">
        <x:v>SALE-01281</x:v>
      </x:c>
      <x:c r="B1285" s="34" t="n">
        <x:v>46214.5</x:v>
      </x:c>
      <x:c r="C1285" s="19" t="str">
        <x:v>周六</x:v>
      </x:c>
      <x:c r="D1285" s="19" t="str">
        <x:v>S05</x:v>
      </x:c>
      <x:c r="E1285" s="19" t="str">
        <x:v>同顺街店</x:v>
      </x:c>
      <x:c r="F1285" s="19" t="str">
        <x:v>堂食</x:v>
      </x:c>
      <x:c r="G1285" s="19" t="str">
        <x:v>全日</x:v>
      </x:c>
      <x:c r="H1285" s="19" t="str">
        <x:v>D01</x:v>
      </x:c>
      <x:c r="I1285" s="19" t="str">
        <x:v>辣椒炒肉</x:v>
      </x:c>
      <x:c r="J1285" s="22" t="n">
        <x:f>XLOOKUP(H1285,'菜品主数据'!$A$5:$A$24,'菜品主数据'!$D$5:$D$24,0)</x:f>
        <x:v>29</x:v>
      </x:c>
      <x:c r="K1285" s="31" t="n">
        <x:v>33</x:v>
      </x:c>
      <x:c r="L1285" s="35" t="n">
        <x:f>J1285*K1285</x:f>
        <x:v>957</x:v>
      </x:c>
      <x:c r="M1285" s="36" t="n">
        <x:v>0</x:v>
      </x:c>
      <x:c r="N1285" s="35" t="n">
        <x:f>L1285*M1285</x:f>
        <x:v>0</x:v>
      </x:c>
      <x:c r="O1285" s="37" t="n">
        <x:v>0</x:v>
      </x:c>
      <x:c r="P1285" s="35" t="n">
        <x:f>L1285*O1285</x:f>
        <x:v>0</x:v>
      </x:c>
      <x:c r="Q1285" s="35" t="n">
        <x:v>0</x:v>
      </x:c>
      <x:c r="R1285" s="35" t="n">
        <x:f>K1285*Q1285</x:f>
        <x:v>0</x:v>
      </x:c>
      <x:c r="S1285" s="35" t="n">
        <x:f>XLOOKUP(H1285,'菜品主数据'!$A$5:$A$24,'菜品主数据'!$G$5:$G$24,0)</x:f>
        <x:v>8.634400000000001</x:v>
      </x:c>
      <x:c r="T1285" s="35" t="n">
        <x:f>K1285*S1285</x:f>
        <x:v>284.93520000000007</x:v>
      </x:c>
      <x:c r="U1285" s="35" t="n">
        <x:f>L1285-N1285-P1285-R1285-T1285</x:f>
        <x:v>672.0647999999999</x:v>
      </x:c>
      <x:c r="V1285" s="21" t="n">
        <x:f>IFERROR(U1285/L1285,0)</x:f>
        <x:v>0.7022620689655171</x:v>
      </x:c>
    </x:row>
    <x:row r="1286">
      <x:c r="A1286" s="19" t="str">
        <x:v>SALE-01282</x:v>
      </x:c>
      <x:c r="B1286" s="34" t="n">
        <x:v>46214.5</x:v>
      </x:c>
      <x:c r="C1286" s="19" t="str">
        <x:v>周六</x:v>
      </x:c>
      <x:c r="D1286" s="19" t="str">
        <x:v>S05</x:v>
      </x:c>
      <x:c r="E1286" s="19" t="str">
        <x:v>同顺街店</x:v>
      </x:c>
      <x:c r="F1286" s="19" t="str">
        <x:v>堂食</x:v>
      </x:c>
      <x:c r="G1286" s="19" t="str">
        <x:v>全日</x:v>
      </x:c>
      <x:c r="H1286" s="19" t="str">
        <x:v>D02</x:v>
      </x:c>
      <x:c r="I1286" s="19" t="str">
        <x:v>小炒黄牛肉</x:v>
      </x:c>
      <x:c r="J1286" s="22" t="n">
        <x:f>XLOOKUP(H1286,'菜品主数据'!$A$5:$A$24,'菜品主数据'!$D$5:$D$24,0)</x:f>
        <x:v>49</x:v>
      </x:c>
      <x:c r="K1286" s="31" t="n">
        <x:v>19</x:v>
      </x:c>
      <x:c r="L1286" s="35" t="n">
        <x:f>J1286*K1286</x:f>
        <x:v>931</x:v>
      </x:c>
      <x:c r="M1286" s="36" t="n">
        <x:v>0</x:v>
      </x:c>
      <x:c r="N1286" s="35" t="n">
        <x:f>L1286*M1286</x:f>
        <x:v>0</x:v>
      </x:c>
      <x:c r="O1286" s="37" t="n">
        <x:v>0</x:v>
      </x:c>
      <x:c r="P1286" s="35" t="n">
        <x:f>L1286*O1286</x:f>
        <x:v>0</x:v>
      </x:c>
      <x:c r="Q1286" s="35" t="n">
        <x:v>0</x:v>
      </x:c>
      <x:c r="R1286" s="35" t="n">
        <x:f>K1286*Q1286</x:f>
        <x:v>0</x:v>
      </x:c>
      <x:c r="S1286" s="35" t="n">
        <x:f>XLOOKUP(H1286,'菜品主数据'!$A$5:$A$24,'菜品主数据'!$G$5:$G$24,0)</x:f>
        <x:v>17.577</x:v>
      </x:c>
      <x:c r="T1286" s="35" t="n">
        <x:f>K1286*S1286</x:f>
        <x:v>333.963</x:v>
      </x:c>
      <x:c r="U1286" s="35" t="n">
        <x:f>L1286-N1286-P1286-R1286-T1286</x:f>
        <x:v>597.037</x:v>
      </x:c>
      <x:c r="V1286" s="21" t="n">
        <x:f>IFERROR(U1286/L1286,0)</x:f>
        <x:v>0.6412857142857143</x:v>
      </x:c>
    </x:row>
    <x:row r="1287">
      <x:c r="A1287" s="19" t="str">
        <x:v>SALE-01283</x:v>
      </x:c>
      <x:c r="B1287" s="34" t="n">
        <x:v>46214.5</x:v>
      </x:c>
      <x:c r="C1287" s="19" t="str">
        <x:v>周六</x:v>
      </x:c>
      <x:c r="D1287" s="19" t="str">
        <x:v>S05</x:v>
      </x:c>
      <x:c r="E1287" s="19" t="str">
        <x:v>同顺街店</x:v>
      </x:c>
      <x:c r="F1287" s="19" t="str">
        <x:v>堂食</x:v>
      </x:c>
      <x:c r="G1287" s="19" t="str">
        <x:v>全日</x:v>
      </x:c>
      <x:c r="H1287" s="19" t="str">
        <x:v>D03</x:v>
      </x:c>
      <x:c r="I1287" s="19" t="str">
        <x:v>香醋炒蛋</x:v>
      </x:c>
      <x:c r="J1287" s="22" t="n">
        <x:f>XLOOKUP(H1287,'菜品主数据'!$A$5:$A$24,'菜品主数据'!$D$5:$D$24,0)</x:f>
        <x:v>14.9</x:v>
      </x:c>
      <x:c r="K1287" s="31" t="n">
        <x:v>27</x:v>
      </x:c>
      <x:c r="L1287" s="35" t="n">
        <x:f>J1287*K1287</x:f>
        <x:v>402.3</x:v>
      </x:c>
      <x:c r="M1287" s="36" t="n">
        <x:v>0</x:v>
      </x:c>
      <x:c r="N1287" s="35" t="n">
        <x:f>L1287*M1287</x:f>
        <x:v>0</x:v>
      </x:c>
      <x:c r="O1287" s="37" t="n">
        <x:v>0</x:v>
      </x:c>
      <x:c r="P1287" s="35" t="n">
        <x:f>L1287*O1287</x:f>
        <x:v>0</x:v>
      </x:c>
      <x:c r="Q1287" s="35" t="n">
        <x:v>0</x:v>
      </x:c>
      <x:c r="R1287" s="35" t="n">
        <x:f>K1287*Q1287</x:f>
        <x:v>0</x:v>
      </x:c>
      <x:c r="S1287" s="35" t="n">
        <x:f>XLOOKUP(H1287,'菜品主数据'!$A$5:$A$24,'菜品主数据'!$G$5:$G$24,0)</x:f>
        <x:v>3.7459999999999996</x:v>
      </x:c>
      <x:c r="T1287" s="35" t="n">
        <x:f>K1287*S1287</x:f>
        <x:v>101.14199999999998</x:v>
      </x:c>
      <x:c r="U1287" s="35" t="n">
        <x:f>L1287-N1287-P1287-R1287-T1287</x:f>
        <x:v>301.158</x:v>
      </x:c>
      <x:c r="V1287" s="21" t="n">
        <x:f>IFERROR(U1287/L1287,0)</x:f>
        <x:v>0.7485906040268456</x:v>
      </x:c>
    </x:row>
    <x:row r="1288">
      <x:c r="A1288" s="19" t="str">
        <x:v>SALE-01284</x:v>
      </x:c>
      <x:c r="B1288" s="34" t="n">
        <x:v>46214.5</x:v>
      </x:c>
      <x:c r="C1288" s="19" t="str">
        <x:v>周六</x:v>
      </x:c>
      <x:c r="D1288" s="19" t="str">
        <x:v>S05</x:v>
      </x:c>
      <x:c r="E1288" s="19" t="str">
        <x:v>同顺街店</x:v>
      </x:c>
      <x:c r="F1288" s="19" t="str">
        <x:v>堂食</x:v>
      </x:c>
      <x:c r="G1288" s="19" t="str">
        <x:v>全日</x:v>
      </x:c>
      <x:c r="H1288" s="19" t="str">
        <x:v>D04</x:v>
      </x:c>
      <x:c r="I1288" s="19" t="str">
        <x:v>酸包菜炒粉皮</x:v>
      </x:c>
      <x:c r="J1288" s="22" t="n">
        <x:f>XLOOKUP(H1288,'菜品主数据'!$A$5:$A$24,'菜品主数据'!$D$5:$D$24,0)</x:f>
        <x:v>16</x:v>
      </x:c>
      <x:c r="K1288" s="31" t="n">
        <x:v>25</x:v>
      </x:c>
      <x:c r="L1288" s="35" t="n">
        <x:f>J1288*K1288</x:f>
        <x:v>400</x:v>
      </x:c>
      <x:c r="M1288" s="36" t="n">
        <x:v>0</x:v>
      </x:c>
      <x:c r="N1288" s="35" t="n">
        <x:f>L1288*M1288</x:f>
        <x:v>0</x:v>
      </x:c>
      <x:c r="O1288" s="37" t="n">
        <x:v>0</x:v>
      </x:c>
      <x:c r="P1288" s="35" t="n">
        <x:f>L1288*O1288</x:f>
        <x:v>0</x:v>
      </x:c>
      <x:c r="Q1288" s="35" t="n">
        <x:v>0</x:v>
      </x:c>
      <x:c r="R1288" s="35" t="n">
        <x:f>K1288*Q1288</x:f>
        <x:v>0</x:v>
      </x:c>
      <x:c r="S1288" s="35" t="n">
        <x:f>XLOOKUP(H1288,'菜品主数据'!$A$5:$A$24,'菜品主数据'!$G$5:$G$24,0)</x:f>
        <x:v>3.978</x:v>
      </x:c>
      <x:c r="T1288" s="35" t="n">
        <x:f>K1288*S1288</x:f>
        <x:v>99.45</x:v>
      </x:c>
      <x:c r="U1288" s="35" t="n">
        <x:f>L1288-N1288-P1288-R1288-T1288</x:f>
        <x:v>300.55</x:v>
      </x:c>
      <x:c r="V1288" s="21" t="n">
        <x:f>IFERROR(U1288/L1288,0)</x:f>
        <x:v>0.751375</x:v>
      </x:c>
    </x:row>
    <x:row r="1289">
      <x:c r="A1289" s="19" t="str">
        <x:v>SALE-01285</x:v>
      </x:c>
      <x:c r="B1289" s="34" t="n">
        <x:v>46214.5</x:v>
      </x:c>
      <x:c r="C1289" s="19" t="str">
        <x:v>周六</x:v>
      </x:c>
      <x:c r="D1289" s="19" t="str">
        <x:v>S05</x:v>
      </x:c>
      <x:c r="E1289" s="19" t="str">
        <x:v>同顺街店</x:v>
      </x:c>
      <x:c r="F1289" s="19" t="str">
        <x:v>堂食</x:v>
      </x:c>
      <x:c r="G1289" s="19" t="str">
        <x:v>全日</x:v>
      </x:c>
      <x:c r="H1289" s="19" t="str">
        <x:v>D05</x:v>
      </x:c>
      <x:c r="I1289" s="19" t="str">
        <x:v>麻婆豆腐</x:v>
      </x:c>
      <x:c r="J1289" s="22" t="n">
        <x:f>XLOOKUP(H1289,'菜品主数据'!$A$5:$A$24,'菜品主数据'!$D$5:$D$24,0)</x:f>
        <x:v>9.9</x:v>
      </x:c>
      <x:c r="K1289" s="31" t="n">
        <x:v>35</x:v>
      </x:c>
      <x:c r="L1289" s="35" t="n">
        <x:f>J1289*K1289</x:f>
        <x:v>346.5</x:v>
      </x:c>
      <x:c r="M1289" s="36" t="n">
        <x:v>0</x:v>
      </x:c>
      <x:c r="N1289" s="35" t="n">
        <x:f>L1289*M1289</x:f>
        <x:v>0</x:v>
      </x:c>
      <x:c r="O1289" s="37" t="n">
        <x:v>0</x:v>
      </x:c>
      <x:c r="P1289" s="35" t="n">
        <x:f>L1289*O1289</x:f>
        <x:v>0</x:v>
      </x:c>
      <x:c r="Q1289" s="35" t="n">
        <x:v>0</x:v>
      </x:c>
      <x:c r="R1289" s="35" t="n">
        <x:f>K1289*Q1289</x:f>
        <x:v>0</x:v>
      </x:c>
      <x:c r="S1289" s="35" t="n">
        <x:f>XLOOKUP(H1289,'菜品主数据'!$A$5:$A$24,'菜品主数据'!$G$5:$G$24,0)</x:f>
        <x:v>5.367000000000001</x:v>
      </x:c>
      <x:c r="T1289" s="35" t="n">
        <x:f>K1289*S1289</x:f>
        <x:v>187.84500000000003</x:v>
      </x:c>
      <x:c r="U1289" s="35" t="n">
        <x:f>L1289-N1289-P1289-R1289-T1289</x:f>
        <x:v>158.65499999999997</x:v>
      </x:c>
      <x:c r="V1289" s="21" t="n">
        <x:f>IFERROR(U1289/L1289,0)</x:f>
        <x:v>0.4578787878787878</x:v>
      </x:c>
    </x:row>
    <x:row r="1290">
      <x:c r="A1290" s="19" t="str">
        <x:v>SALE-01286</x:v>
      </x:c>
      <x:c r="B1290" s="34" t="n">
        <x:v>46214.5</x:v>
      </x:c>
      <x:c r="C1290" s="19" t="str">
        <x:v>周六</x:v>
      </x:c>
      <x:c r="D1290" s="19" t="str">
        <x:v>S05</x:v>
      </x:c>
      <x:c r="E1290" s="19" t="str">
        <x:v>同顺街店</x:v>
      </x:c>
      <x:c r="F1290" s="19" t="str">
        <x:v>堂食</x:v>
      </x:c>
      <x:c r="G1290" s="19" t="str">
        <x:v>全日</x:v>
      </x:c>
      <x:c r="H1290" s="19" t="str">
        <x:v>D06</x:v>
      </x:c>
      <x:c r="I1290" s="19" t="str">
        <x:v>剁椒鱼头</x:v>
      </x:c>
      <x:c r="J1290" s="22" t="n">
        <x:f>XLOOKUP(H1290,'菜品主数据'!$A$5:$A$24,'菜品主数据'!$D$5:$D$24,0)</x:f>
        <x:v>39</x:v>
      </x:c>
      <x:c r="K1290" s="31" t="n">
        <x:v>9</x:v>
      </x:c>
      <x:c r="L1290" s="35" t="n">
        <x:f>J1290*K1290</x:f>
        <x:v>351</x:v>
      </x:c>
      <x:c r="M1290" s="36" t="n">
        <x:v>0</x:v>
      </x:c>
      <x:c r="N1290" s="35" t="n">
        <x:f>L1290*M1290</x:f>
        <x:v>0</x:v>
      </x:c>
      <x:c r="O1290" s="37" t="n">
        <x:v>0</x:v>
      </x:c>
      <x:c r="P1290" s="35" t="n">
        <x:f>L1290*O1290</x:f>
        <x:v>0</x:v>
      </x:c>
      <x:c r="Q1290" s="35" t="n">
        <x:v>0</x:v>
      </x:c>
      <x:c r="R1290" s="35" t="n">
        <x:f>K1290*Q1290</x:f>
        <x:v>0</x:v>
      </x:c>
      <x:c r="S1290" s="35" t="n">
        <x:f>XLOOKUP(H1290,'菜品主数据'!$A$5:$A$24,'菜品主数据'!$G$5:$G$24,0)</x:f>
        <x:v>17.446</x:v>
      </x:c>
      <x:c r="T1290" s="35" t="n">
        <x:f>K1290*S1290</x:f>
        <x:v>157.014</x:v>
      </x:c>
      <x:c r="U1290" s="35" t="n">
        <x:f>L1290-N1290-P1290-R1290-T1290</x:f>
        <x:v>193.986</x:v>
      </x:c>
      <x:c r="V1290" s="21" t="n">
        <x:f>IFERROR(U1290/L1290,0)</x:f>
        <x:v>0.5526666666666666</x:v>
      </x:c>
    </x:row>
    <x:row r="1291">
      <x:c r="A1291" s="19" t="str">
        <x:v>SALE-01287</x:v>
      </x:c>
      <x:c r="B1291" s="34" t="n">
        <x:v>46214.5</x:v>
      </x:c>
      <x:c r="C1291" s="19" t="str">
        <x:v>周六</x:v>
      </x:c>
      <x:c r="D1291" s="19" t="str">
        <x:v>S05</x:v>
      </x:c>
      <x:c r="E1291" s="19" t="str">
        <x:v>同顺街店</x:v>
      </x:c>
      <x:c r="F1291" s="19" t="str">
        <x:v>堂食</x:v>
      </x:c>
      <x:c r="G1291" s="19" t="str">
        <x:v>全日</x:v>
      </x:c>
      <x:c r="H1291" s="19" t="str">
        <x:v>D07</x:v>
      </x:c>
      <x:c r="I1291" s="19" t="str">
        <x:v>川味回锅肉</x:v>
      </x:c>
      <x:c r="J1291" s="22" t="n">
        <x:f>XLOOKUP(H1291,'菜品主数据'!$A$5:$A$24,'菜品主数据'!$D$5:$D$24,0)</x:f>
        <x:v>29</x:v>
      </x:c>
      <x:c r="K1291" s="31" t="n">
        <x:v>11</x:v>
      </x:c>
      <x:c r="L1291" s="35" t="n">
        <x:f>J1291*K1291</x:f>
        <x:v>319</x:v>
      </x:c>
      <x:c r="M1291" s="36" t="n">
        <x:v>0</x:v>
      </x:c>
      <x:c r="N1291" s="35" t="n">
        <x:f>L1291*M1291</x:f>
        <x:v>0</x:v>
      </x:c>
      <x:c r="O1291" s="37" t="n">
        <x:v>0</x:v>
      </x:c>
      <x:c r="P1291" s="35" t="n">
        <x:f>L1291*O1291</x:f>
        <x:v>0</x:v>
      </x:c>
      <x:c r="Q1291" s="35" t="n">
        <x:v>0</x:v>
      </x:c>
      <x:c r="R1291" s="35" t="n">
        <x:f>K1291*Q1291</x:f>
        <x:v>0</x:v>
      </x:c>
      <x:c r="S1291" s="35" t="n">
        <x:f>XLOOKUP(H1291,'菜品主数据'!$A$5:$A$24,'菜品主数据'!$G$5:$G$24,0)</x:f>
        <x:v>10.231000000000002</x:v>
      </x:c>
      <x:c r="T1291" s="35" t="n">
        <x:f>K1291*S1291</x:f>
        <x:v>112.54100000000003</x:v>
      </x:c>
      <x:c r="U1291" s="35" t="n">
        <x:f>L1291-N1291-P1291-R1291-T1291</x:f>
        <x:v>206.45899999999997</x:v>
      </x:c>
      <x:c r="V1291" s="21" t="n">
        <x:f>IFERROR(U1291/L1291,0)</x:f>
        <x:v>0.647206896551724</x:v>
      </x:c>
    </x:row>
    <x:row r="1292">
      <x:c r="A1292" s="19" t="str">
        <x:v>SALE-01288</x:v>
      </x:c>
      <x:c r="B1292" s="34" t="n">
        <x:v>46214.5</x:v>
      </x:c>
      <x:c r="C1292" s="19" t="str">
        <x:v>周六</x:v>
      </x:c>
      <x:c r="D1292" s="19" t="str">
        <x:v>S05</x:v>
      </x:c>
      <x:c r="E1292" s="19" t="str">
        <x:v>同顺街店</x:v>
      </x:c>
      <x:c r="F1292" s="19" t="str">
        <x:v>堂食</x:v>
      </x:c>
      <x:c r="G1292" s="19" t="str">
        <x:v>全日</x:v>
      </x:c>
      <x:c r="H1292" s="19" t="str">
        <x:v>D08</x:v>
      </x:c>
      <x:c r="I1292" s="19" t="str">
        <x:v>生炒清远鸡</x:v>
      </x:c>
      <x:c r="J1292" s="22" t="n">
        <x:f>XLOOKUP(H1292,'菜品主数据'!$A$5:$A$24,'菜品主数据'!$D$5:$D$24,0)</x:f>
        <x:v>36</x:v>
      </x:c>
      <x:c r="K1292" s="31" t="n">
        <x:v>9</x:v>
      </x:c>
      <x:c r="L1292" s="35" t="n">
        <x:f>J1292*K1292</x:f>
        <x:v>324</x:v>
      </x:c>
      <x:c r="M1292" s="36" t="n">
        <x:v>0</x:v>
      </x:c>
      <x:c r="N1292" s="35" t="n">
        <x:f>L1292*M1292</x:f>
        <x:v>0</x:v>
      </x:c>
      <x:c r="O1292" s="37" t="n">
        <x:v>0</x:v>
      </x:c>
      <x:c r="P1292" s="35" t="n">
        <x:f>L1292*O1292</x:f>
        <x:v>0</x:v>
      </x:c>
      <x:c r="Q1292" s="35" t="n">
        <x:v>0</x:v>
      </x:c>
      <x:c r="R1292" s="35" t="n">
        <x:f>K1292*Q1292</x:f>
        <x:v>0</x:v>
      </x:c>
      <x:c r="S1292" s="35" t="n">
        <x:f>XLOOKUP(H1292,'菜品主数据'!$A$5:$A$24,'菜品主数据'!$G$5:$G$24,0)</x:f>
        <x:v>13.48</x:v>
      </x:c>
      <x:c r="T1292" s="35" t="n">
        <x:f>K1292*S1292</x:f>
        <x:v>121.32000000000001</x:v>
      </x:c>
      <x:c r="U1292" s="35" t="n">
        <x:f>L1292-N1292-P1292-R1292-T1292</x:f>
        <x:v>202.68</x:v>
      </x:c>
      <x:c r="V1292" s="21" t="n">
        <x:f>IFERROR(U1292/L1292,0)</x:f>
        <x:v>0.6255555555555555</x:v>
      </x:c>
    </x:row>
    <x:row r="1293">
      <x:c r="A1293" s="19" t="str">
        <x:v>SALE-01289</x:v>
      </x:c>
      <x:c r="B1293" s="34" t="n">
        <x:v>46214.5</x:v>
      </x:c>
      <x:c r="C1293" s="19" t="str">
        <x:v>周六</x:v>
      </x:c>
      <x:c r="D1293" s="19" t="str">
        <x:v>S05</x:v>
      </x:c>
      <x:c r="E1293" s="19" t="str">
        <x:v>同顺街店</x:v>
      </x:c>
      <x:c r="F1293" s="19" t="str">
        <x:v>堂食</x:v>
      </x:c>
      <x:c r="G1293" s="19" t="str">
        <x:v>全日</x:v>
      </x:c>
      <x:c r="H1293" s="19" t="str">
        <x:v>D09</x:v>
      </x:c>
      <x:c r="I1293" s="19" t="str">
        <x:v>炒豆干</x:v>
      </x:c>
      <x:c r="J1293" s="22" t="n">
        <x:f>XLOOKUP(H1293,'菜品主数据'!$A$5:$A$24,'菜品主数据'!$D$5:$D$24,0)</x:f>
        <x:v>18</x:v>
      </x:c>
      <x:c r="K1293" s="31" t="n">
        <x:v>11</x:v>
      </x:c>
      <x:c r="L1293" s="35" t="n">
        <x:f>J1293*K1293</x:f>
        <x:v>198</x:v>
      </x:c>
      <x:c r="M1293" s="36" t="n">
        <x:v>0</x:v>
      </x:c>
      <x:c r="N1293" s="35" t="n">
        <x:f>L1293*M1293</x:f>
        <x:v>0</x:v>
      </x:c>
      <x:c r="O1293" s="37" t="n">
        <x:v>0</x:v>
      </x:c>
      <x:c r="P1293" s="35" t="n">
        <x:f>L1293*O1293</x:f>
        <x:v>0</x:v>
      </x:c>
      <x:c r="Q1293" s="35" t="n">
        <x:v>0</x:v>
      </x:c>
      <x:c r="R1293" s="35" t="n">
        <x:f>K1293*Q1293</x:f>
        <x:v>0</x:v>
      </x:c>
      <x:c r="S1293" s="35" t="n">
        <x:f>XLOOKUP(H1293,'菜品主数据'!$A$5:$A$24,'菜品主数据'!$G$5:$G$24,0)</x:f>
        <x:v>6.613999999999999</x:v>
      </x:c>
      <x:c r="T1293" s="35" t="n">
        <x:f>K1293*S1293</x:f>
        <x:v>72.75399999999999</x:v>
      </x:c>
      <x:c r="U1293" s="35" t="n">
        <x:f>L1293-N1293-P1293-R1293-T1293</x:f>
        <x:v>125.24600000000001</x:v>
      </x:c>
      <x:c r="V1293" s="21" t="n">
        <x:f>IFERROR(U1293/L1293,0)</x:f>
        <x:v>0.6325555555555556</x:v>
      </x:c>
    </x:row>
    <x:row r="1294">
      <x:c r="A1294" s="19" t="str">
        <x:v>SALE-01290</x:v>
      </x:c>
      <x:c r="B1294" s="34" t="n">
        <x:v>46214.5</x:v>
      </x:c>
      <x:c r="C1294" s="19" t="str">
        <x:v>周六</x:v>
      </x:c>
      <x:c r="D1294" s="19" t="str">
        <x:v>S05</x:v>
      </x:c>
      <x:c r="E1294" s="19" t="str">
        <x:v>同顺街店</x:v>
      </x:c>
      <x:c r="F1294" s="19" t="str">
        <x:v>堂食</x:v>
      </x:c>
      <x:c r="G1294" s="19" t="str">
        <x:v>全日</x:v>
      </x:c>
      <x:c r="H1294" s="19" t="str">
        <x:v>D10</x:v>
      </x:c>
      <x:c r="I1294" s="19" t="str">
        <x:v>农家一碗香</x:v>
      </x:c>
      <x:c r="J1294" s="22" t="n">
        <x:f>XLOOKUP(H1294,'菜品主数据'!$A$5:$A$24,'菜品主数据'!$D$5:$D$24,0)</x:f>
        <x:v>22.9</x:v>
      </x:c>
      <x:c r="K1294" s="31" t="n">
        <x:v>13</x:v>
      </x:c>
      <x:c r="L1294" s="35" t="n">
        <x:f>J1294*K1294</x:f>
        <x:v>297.7</x:v>
      </x:c>
      <x:c r="M1294" s="36" t="n">
        <x:v>0</x:v>
      </x:c>
      <x:c r="N1294" s="35" t="n">
        <x:f>L1294*M1294</x:f>
        <x:v>0</x:v>
      </x:c>
      <x:c r="O1294" s="37" t="n">
        <x:v>0</x:v>
      </x:c>
      <x:c r="P1294" s="35" t="n">
        <x:f>L1294*O1294</x:f>
        <x:v>0</x:v>
      </x:c>
      <x:c r="Q1294" s="35" t="n">
        <x:v>0</x:v>
      </x:c>
      <x:c r="R1294" s="35" t="n">
        <x:f>K1294*Q1294</x:f>
        <x:v>0</x:v>
      </x:c>
      <x:c r="S1294" s="35" t="n">
        <x:f>XLOOKUP(H1294,'菜品主数据'!$A$5:$A$24,'菜品主数据'!$G$5:$G$24,0)</x:f>
        <x:v>9.770200000000003</x:v>
      </x:c>
      <x:c r="T1294" s="35" t="n">
        <x:f>K1294*S1294</x:f>
        <x:v>127.01260000000003</x:v>
      </x:c>
      <x:c r="U1294" s="35" t="n">
        <x:f>L1294-N1294-P1294-R1294-T1294</x:f>
        <x:v>170.68739999999997</x:v>
      </x:c>
      <x:c r="V1294" s="21" t="n">
        <x:f>IFERROR(U1294/L1294,0)</x:f>
        <x:v>0.573353711790393</x:v>
      </x:c>
    </x:row>
    <x:row r="1295">
      <x:c r="A1295" s="19" t="str">
        <x:v>SALE-01291</x:v>
      </x:c>
      <x:c r="B1295" s="34" t="n">
        <x:v>46214.5</x:v>
      </x:c>
      <x:c r="C1295" s="19" t="str">
        <x:v>周六</x:v>
      </x:c>
      <x:c r="D1295" s="19" t="str">
        <x:v>S05</x:v>
      </x:c>
      <x:c r="E1295" s="19" t="str">
        <x:v>同顺街店</x:v>
      </x:c>
      <x:c r="F1295" s="19" t="str">
        <x:v>堂食</x:v>
      </x:c>
      <x:c r="G1295" s="19" t="str">
        <x:v>全日</x:v>
      </x:c>
      <x:c r="H1295" s="19" t="str">
        <x:v>D11</x:v>
      </x:c>
      <x:c r="I1295" s="19" t="str">
        <x:v>香辣爆肥肠</x:v>
      </x:c>
      <x:c r="J1295" s="22" t="n">
        <x:f>XLOOKUP(H1295,'菜品主数据'!$A$5:$A$24,'菜品主数据'!$D$5:$D$24,0)</x:f>
        <x:v>39</x:v>
      </x:c>
      <x:c r="K1295" s="31" t="n">
        <x:v>5</x:v>
      </x:c>
      <x:c r="L1295" s="35" t="n">
        <x:f>J1295*K1295</x:f>
        <x:v>195</x:v>
      </x:c>
      <x:c r="M1295" s="36" t="n">
        <x:v>0</x:v>
      </x:c>
      <x:c r="N1295" s="35" t="n">
        <x:f>L1295*M1295</x:f>
        <x:v>0</x:v>
      </x:c>
      <x:c r="O1295" s="37" t="n">
        <x:v>0</x:v>
      </x:c>
      <x:c r="P1295" s="35" t="n">
        <x:f>L1295*O1295</x:f>
        <x:v>0</x:v>
      </x:c>
      <x:c r="Q1295" s="35" t="n">
        <x:v>0</x:v>
      </x:c>
      <x:c r="R1295" s="35" t="n">
        <x:f>K1295*Q1295</x:f>
        <x:v>0</x:v>
      </x:c>
      <x:c r="S1295" s="35" t="n">
        <x:f>XLOOKUP(H1295,'菜品主数据'!$A$5:$A$24,'菜品主数据'!$G$5:$G$24,0)</x:f>
        <x:v>10.397</x:v>
      </x:c>
      <x:c r="T1295" s="35" t="n">
        <x:f>K1295*S1295</x:f>
        <x:v>51.985</x:v>
      </x:c>
      <x:c r="U1295" s="35" t="n">
        <x:f>L1295-N1295-P1295-R1295-T1295</x:f>
        <x:v>143.015</x:v>
      </x:c>
      <x:c r="V1295" s="21" t="n">
        <x:f>IFERROR(U1295/L1295,0)</x:f>
        <x:v>0.7334102564102564</x:v>
      </x:c>
    </x:row>
    <x:row r="1296">
      <x:c r="A1296" s="19" t="str">
        <x:v>SALE-01292</x:v>
      </x:c>
      <x:c r="B1296" s="34" t="n">
        <x:v>46214.5</x:v>
      </x:c>
      <x:c r="C1296" s="19" t="str">
        <x:v>周六</x:v>
      </x:c>
      <x:c r="D1296" s="19" t="str">
        <x:v>S05</x:v>
      </x:c>
      <x:c r="E1296" s="19" t="str">
        <x:v>同顺街店</x:v>
      </x:c>
      <x:c r="F1296" s="19" t="str">
        <x:v>堂食</x:v>
      </x:c>
      <x:c r="G1296" s="19" t="str">
        <x:v>全日</x:v>
      </x:c>
      <x:c r="H1296" s="19" t="str">
        <x:v>D12</x:v>
      </x:c>
      <x:c r="I1296" s="19" t="str">
        <x:v>清蒸鲈鱼</x:v>
      </x:c>
      <x:c r="J1296" s="22" t="n">
        <x:f>XLOOKUP(H1296,'菜品主数据'!$A$5:$A$24,'菜品主数据'!$D$5:$D$24,0)</x:f>
        <x:v>39</x:v>
      </x:c>
      <x:c r="K1296" s="31" t="n">
        <x:v>5</x:v>
      </x:c>
      <x:c r="L1296" s="35" t="n">
        <x:f>J1296*K1296</x:f>
        <x:v>195</x:v>
      </x:c>
      <x:c r="M1296" s="36" t="n">
        <x:v>0</x:v>
      </x:c>
      <x:c r="N1296" s="35" t="n">
        <x:f>L1296*M1296</x:f>
        <x:v>0</x:v>
      </x:c>
      <x:c r="O1296" s="37" t="n">
        <x:v>0</x:v>
      </x:c>
      <x:c r="P1296" s="35" t="n">
        <x:f>L1296*O1296</x:f>
        <x:v>0</x:v>
      </x:c>
      <x:c r="Q1296" s="35" t="n">
        <x:v>0</x:v>
      </x:c>
      <x:c r="R1296" s="35" t="n">
        <x:f>K1296*Q1296</x:f>
        <x:v>0</x:v>
      </x:c>
      <x:c r="S1296" s="35" t="n">
        <x:f>XLOOKUP(H1296,'菜品主数据'!$A$5:$A$24,'菜品主数据'!$G$5:$G$24,0)</x:f>
        <x:v>18.874</x:v>
      </x:c>
      <x:c r="T1296" s="35" t="n">
        <x:f>K1296*S1296</x:f>
        <x:v>94.36999999999999</x:v>
      </x:c>
      <x:c r="U1296" s="35" t="n">
        <x:f>L1296-N1296-P1296-R1296-T1296</x:f>
        <x:v>100.63000000000001</x:v>
      </x:c>
      <x:c r="V1296" s="21" t="n">
        <x:f>IFERROR(U1296/L1296,0)</x:f>
        <x:v>0.5160512820512821</x:v>
      </x:c>
    </x:row>
    <x:row r="1297">
      <x:c r="A1297" s="19" t="str">
        <x:v>SALE-01293</x:v>
      </x:c>
      <x:c r="B1297" s="34" t="n">
        <x:v>46214.5</x:v>
      </x:c>
      <x:c r="C1297" s="19" t="str">
        <x:v>周六</x:v>
      </x:c>
      <x:c r="D1297" s="19" t="str">
        <x:v>S05</x:v>
      </x:c>
      <x:c r="E1297" s="19" t="str">
        <x:v>同顺街店</x:v>
      </x:c>
      <x:c r="F1297" s="19" t="str">
        <x:v>堂食</x:v>
      </x:c>
      <x:c r="G1297" s="19" t="str">
        <x:v>全日</x:v>
      </x:c>
      <x:c r="H1297" s="19" t="str">
        <x:v>D13</x:v>
      </x:c>
      <x:c r="I1297" s="19" t="str">
        <x:v>外婆菜炒蛋</x:v>
      </x:c>
      <x:c r="J1297" s="22" t="n">
        <x:f>XLOOKUP(H1297,'菜品主数据'!$A$5:$A$24,'菜品主数据'!$D$5:$D$24,0)</x:f>
        <x:v>18</x:v>
      </x:c>
      <x:c r="K1297" s="31" t="n">
        <x:v>12</x:v>
      </x:c>
      <x:c r="L1297" s="35" t="n">
        <x:f>J1297*K1297</x:f>
        <x:v>216</x:v>
      </x:c>
      <x:c r="M1297" s="36" t="n">
        <x:v>0</x:v>
      </x:c>
      <x:c r="N1297" s="35" t="n">
        <x:f>L1297*M1297</x:f>
        <x:v>0</x:v>
      </x:c>
      <x:c r="O1297" s="37" t="n">
        <x:v>0</x:v>
      </x:c>
      <x:c r="P1297" s="35" t="n">
        <x:f>L1297*O1297</x:f>
        <x:v>0</x:v>
      </x:c>
      <x:c r="Q1297" s="35" t="n">
        <x:v>0</x:v>
      </x:c>
      <x:c r="R1297" s="35" t="n">
        <x:f>K1297*Q1297</x:f>
        <x:v>0</x:v>
      </x:c>
      <x:c r="S1297" s="35" t="n">
        <x:f>XLOOKUP(H1297,'菜品主数据'!$A$5:$A$24,'菜品主数据'!$G$5:$G$24,0)</x:f>
        <x:v>5.403999999999999</x:v>
      </x:c>
      <x:c r="T1297" s="35" t="n">
        <x:f>K1297*S1297</x:f>
        <x:v>64.84799999999998</x:v>
      </x:c>
      <x:c r="U1297" s="35" t="n">
        <x:f>L1297-N1297-P1297-R1297-T1297</x:f>
        <x:v>151.15200000000002</x:v>
      </x:c>
      <x:c r="V1297" s="21" t="n">
        <x:f>IFERROR(U1297/L1297,0)</x:f>
        <x:v>0.6997777777777778</x:v>
      </x:c>
    </x:row>
    <x:row r="1298">
      <x:c r="A1298" s="19" t="str">
        <x:v>SALE-01294</x:v>
      </x:c>
      <x:c r="B1298" s="34" t="n">
        <x:v>46214.5</x:v>
      </x:c>
      <x:c r="C1298" s="19" t="str">
        <x:v>周六</x:v>
      </x:c>
      <x:c r="D1298" s="19" t="str">
        <x:v>S05</x:v>
      </x:c>
      <x:c r="E1298" s="19" t="str">
        <x:v>同顺街店</x:v>
      </x:c>
      <x:c r="F1298" s="19" t="str">
        <x:v>堂食</x:v>
      </x:c>
      <x:c r="G1298" s="19" t="str">
        <x:v>全日</x:v>
      </x:c>
      <x:c r="H1298" s="19" t="str">
        <x:v>D14</x:v>
      </x:c>
      <x:c r="I1298" s="19" t="str">
        <x:v>酸辣鸡杂</x:v>
      </x:c>
      <x:c r="J1298" s="22" t="n">
        <x:f>XLOOKUP(H1298,'菜品主数据'!$A$5:$A$24,'菜品主数据'!$D$5:$D$24,0)</x:f>
        <x:v>28</x:v>
      </x:c>
      <x:c r="K1298" s="31" t="n">
        <x:v>6</x:v>
      </x:c>
      <x:c r="L1298" s="35" t="n">
        <x:f>J1298*K1298</x:f>
        <x:v>168</x:v>
      </x:c>
      <x:c r="M1298" s="36" t="n">
        <x:v>0</x:v>
      </x:c>
      <x:c r="N1298" s="35" t="n">
        <x:f>L1298*M1298</x:f>
        <x:v>0</x:v>
      </x:c>
      <x:c r="O1298" s="37" t="n">
        <x:v>0</x:v>
      </x:c>
      <x:c r="P1298" s="35" t="n">
        <x:f>L1298*O1298</x:f>
        <x:v>0</x:v>
      </x:c>
      <x:c r="Q1298" s="35" t="n">
        <x:v>0</x:v>
      </x:c>
      <x:c r="R1298" s="35" t="n">
        <x:f>K1298*Q1298</x:f>
        <x:v>0</x:v>
      </x:c>
      <x:c r="S1298" s="35" t="n">
        <x:f>XLOOKUP(H1298,'菜品主数据'!$A$5:$A$24,'菜品主数据'!$G$5:$G$24,0)</x:f>
        <x:v>8.315000000000001</x:v>
      </x:c>
      <x:c r="T1298" s="35" t="n">
        <x:f>K1298*S1298</x:f>
        <x:v>49.89000000000001</x:v>
      </x:c>
      <x:c r="U1298" s="35" t="n">
        <x:f>L1298-N1298-P1298-R1298-T1298</x:f>
        <x:v>118.10999999999999</x:v>
      </x:c>
      <x:c r="V1298" s="21" t="n">
        <x:f>IFERROR(U1298/L1298,0)</x:f>
        <x:v>0.7030357142857142</x:v>
      </x:c>
    </x:row>
    <x:row r="1299">
      <x:c r="A1299" s="19" t="str">
        <x:v>SALE-01295</x:v>
      </x:c>
      <x:c r="B1299" s="34" t="n">
        <x:v>46214.5</x:v>
      </x:c>
      <x:c r="C1299" s="19" t="str">
        <x:v>周六</x:v>
      </x:c>
      <x:c r="D1299" s="19" t="str">
        <x:v>S05</x:v>
      </x:c>
      <x:c r="E1299" s="19" t="str">
        <x:v>同顺街店</x:v>
      </x:c>
      <x:c r="F1299" s="19" t="str">
        <x:v>堂食</x:v>
      </x:c>
      <x:c r="G1299" s="19" t="str">
        <x:v>全日</x:v>
      </x:c>
      <x:c r="H1299" s="19" t="str">
        <x:v>D15</x:v>
      </x:c>
      <x:c r="I1299" s="19" t="str">
        <x:v>湘西土匪猪肝</x:v>
      </x:c>
      <x:c r="J1299" s="22" t="n">
        <x:f>XLOOKUP(H1299,'菜品主数据'!$A$5:$A$24,'菜品主数据'!$D$5:$D$24,0)</x:f>
        <x:v>26</x:v>
      </x:c>
      <x:c r="K1299" s="31" t="n">
        <x:v>5</x:v>
      </x:c>
      <x:c r="L1299" s="35" t="n">
        <x:f>J1299*K1299</x:f>
        <x:v>130</x:v>
      </x:c>
      <x:c r="M1299" s="36" t="n">
        <x:v>0</x:v>
      </x:c>
      <x:c r="N1299" s="35" t="n">
        <x:f>L1299*M1299</x:f>
        <x:v>0</x:v>
      </x:c>
      <x:c r="O1299" s="37" t="n">
        <x:v>0</x:v>
      </x:c>
      <x:c r="P1299" s="35" t="n">
        <x:f>L1299*O1299</x:f>
        <x:v>0</x:v>
      </x:c>
      <x:c r="Q1299" s="35" t="n">
        <x:v>0</x:v>
      </x:c>
      <x:c r="R1299" s="35" t="n">
        <x:f>K1299*Q1299</x:f>
        <x:v>0</x:v>
      </x:c>
      <x:c r="S1299" s="35" t="n">
        <x:f>XLOOKUP(H1299,'菜品主数据'!$A$5:$A$24,'菜品主数据'!$G$5:$G$24,0)</x:f>
        <x:v>6.3759999999999994</x:v>
      </x:c>
      <x:c r="T1299" s="35" t="n">
        <x:f>K1299*S1299</x:f>
        <x:v>31.879999999999995</x:v>
      </x:c>
      <x:c r="U1299" s="35" t="n">
        <x:f>L1299-N1299-P1299-R1299-T1299</x:f>
        <x:v>98.12</x:v>
      </x:c>
      <x:c r="V1299" s="21" t="n">
        <x:f>IFERROR(U1299/L1299,0)</x:f>
        <x:v>0.7547692307692309</x:v>
      </x:c>
    </x:row>
    <x:row r="1300">
      <x:c r="A1300" s="19" t="str">
        <x:v>SALE-01296</x:v>
      </x:c>
      <x:c r="B1300" s="34" t="n">
        <x:v>46214.5</x:v>
      </x:c>
      <x:c r="C1300" s="19" t="str">
        <x:v>周六</x:v>
      </x:c>
      <x:c r="D1300" s="19" t="str">
        <x:v>S05</x:v>
      </x:c>
      <x:c r="E1300" s="19" t="str">
        <x:v>同顺街店</x:v>
      </x:c>
      <x:c r="F1300" s="19" t="str">
        <x:v>堂食</x:v>
      </x:c>
      <x:c r="G1300" s="19" t="str">
        <x:v>全日</x:v>
      </x:c>
      <x:c r="H1300" s="19" t="str">
        <x:v>D16</x:v>
      </x:c>
      <x:c r="I1300" s="19" t="str">
        <x:v>小豆角炒五花</x:v>
      </x:c>
      <x:c r="J1300" s="22" t="n">
        <x:f>XLOOKUP(H1300,'菜品主数据'!$A$5:$A$24,'菜品主数据'!$D$5:$D$24,0)</x:f>
        <x:v>25</x:v>
      </x:c>
      <x:c r="K1300" s="31" t="n">
        <x:v>6</x:v>
      </x:c>
      <x:c r="L1300" s="35" t="n">
        <x:f>J1300*K1300</x:f>
        <x:v>150</x:v>
      </x:c>
      <x:c r="M1300" s="36" t="n">
        <x:v>0</x:v>
      </x:c>
      <x:c r="N1300" s="35" t="n">
        <x:f>L1300*M1300</x:f>
        <x:v>0</x:v>
      </x:c>
      <x:c r="O1300" s="37" t="n">
        <x:v>0</x:v>
      </x:c>
      <x:c r="P1300" s="35" t="n">
        <x:f>L1300*O1300</x:f>
        <x:v>0</x:v>
      </x:c>
      <x:c r="Q1300" s="35" t="n">
        <x:v>0</x:v>
      </x:c>
      <x:c r="R1300" s="35" t="n">
        <x:f>K1300*Q1300</x:f>
        <x:v>0</x:v>
      </x:c>
      <x:c r="S1300" s="35" t="n">
        <x:f>XLOOKUP(H1300,'菜品主数据'!$A$5:$A$24,'菜品主数据'!$G$5:$G$24,0)</x:f>
        <x:v>8.184</x:v>
      </x:c>
      <x:c r="T1300" s="35" t="n">
        <x:f>K1300*S1300</x:f>
        <x:v>49.104</x:v>
      </x:c>
      <x:c r="U1300" s="35" t="n">
        <x:f>L1300-N1300-P1300-R1300-T1300</x:f>
        <x:v>100.896</x:v>
      </x:c>
      <x:c r="V1300" s="21" t="n">
        <x:f>IFERROR(U1300/L1300,0)</x:f>
        <x:v>0.67264</x:v>
      </x:c>
    </x:row>
    <x:row r="1301">
      <x:c r="A1301" s="19" t="str">
        <x:v>SALE-01297</x:v>
      </x:c>
      <x:c r="B1301" s="34" t="n">
        <x:v>46214.5</x:v>
      </x:c>
      <x:c r="C1301" s="19" t="str">
        <x:v>周六</x:v>
      </x:c>
      <x:c r="D1301" s="19" t="str">
        <x:v>S05</x:v>
      </x:c>
      <x:c r="E1301" s="19" t="str">
        <x:v>同顺街店</x:v>
      </x:c>
      <x:c r="F1301" s="19" t="str">
        <x:v>堂食</x:v>
      </x:c>
      <x:c r="G1301" s="19" t="str">
        <x:v>全日</x:v>
      </x:c>
      <x:c r="H1301" s="19" t="str">
        <x:v>D17</x:v>
      </x:c>
      <x:c r="I1301" s="19" t="str">
        <x:v>蒜蓉粉丝虾</x:v>
      </x:c>
      <x:c r="J1301" s="22" t="n">
        <x:f>XLOOKUP(H1301,'菜品主数据'!$A$5:$A$24,'菜品主数据'!$D$5:$D$24,0)</x:f>
        <x:v>36</x:v>
      </x:c>
      <x:c r="K1301" s="31" t="n">
        <x:v>4</x:v>
      </x:c>
      <x:c r="L1301" s="35" t="n">
        <x:f>J1301*K1301</x:f>
        <x:v>144</x:v>
      </x:c>
      <x:c r="M1301" s="36" t="n">
        <x:v>0</x:v>
      </x:c>
      <x:c r="N1301" s="35" t="n">
        <x:f>L1301*M1301</x:f>
        <x:v>0</x:v>
      </x:c>
      <x:c r="O1301" s="37" t="n">
        <x:v>0</x:v>
      </x:c>
      <x:c r="P1301" s="35" t="n">
        <x:f>L1301*O1301</x:f>
        <x:v>0</x:v>
      </x:c>
      <x:c r="Q1301" s="35" t="n">
        <x:v>0</x:v>
      </x:c>
      <x:c r="R1301" s="35" t="n">
        <x:f>K1301*Q1301</x:f>
        <x:v>0</x:v>
      </x:c>
      <x:c r="S1301" s="35" t="n">
        <x:f>XLOOKUP(H1301,'菜品主数据'!$A$5:$A$24,'菜品主数据'!$G$5:$G$24,0)</x:f>
        <x:v>13.594</x:v>
      </x:c>
      <x:c r="T1301" s="35" t="n">
        <x:f>K1301*S1301</x:f>
        <x:v>54.376</x:v>
      </x:c>
      <x:c r="U1301" s="35" t="n">
        <x:f>L1301-N1301-P1301-R1301-T1301</x:f>
        <x:v>89.624</x:v>
      </x:c>
      <x:c r="V1301" s="21" t="n">
        <x:f>IFERROR(U1301/L1301,0)</x:f>
        <x:v>0.6223888888888889</x:v>
      </x:c>
    </x:row>
    <x:row r="1302">
      <x:c r="A1302" s="19" t="str">
        <x:v>SALE-01298</x:v>
      </x:c>
      <x:c r="B1302" s="34" t="n">
        <x:v>46214.5</x:v>
      </x:c>
      <x:c r="C1302" s="19" t="str">
        <x:v>周六</x:v>
      </x:c>
      <x:c r="D1302" s="19" t="str">
        <x:v>S05</x:v>
      </x:c>
      <x:c r="E1302" s="19" t="str">
        <x:v>同顺街店</x:v>
      </x:c>
      <x:c r="F1302" s="19" t="str">
        <x:v>堂食</x:v>
      </x:c>
      <x:c r="G1302" s="19" t="str">
        <x:v>全日</x:v>
      </x:c>
      <x:c r="H1302" s="19" t="str">
        <x:v>D18</x:v>
      </x:c>
      <x:c r="I1302" s="19" t="str">
        <x:v>青椒炒油麦菜</x:v>
      </x:c>
      <x:c r="J1302" s="22" t="n">
        <x:f>XLOOKUP(H1302,'菜品主数据'!$A$5:$A$24,'菜品主数据'!$D$5:$D$24,0)</x:f>
        <x:v>18</x:v>
      </x:c>
      <x:c r="K1302" s="31" t="n">
        <x:v>7</x:v>
      </x:c>
      <x:c r="L1302" s="35" t="n">
        <x:f>J1302*K1302</x:f>
        <x:v>126</x:v>
      </x:c>
      <x:c r="M1302" s="36" t="n">
        <x:v>0</x:v>
      </x:c>
      <x:c r="N1302" s="35" t="n">
        <x:f>L1302*M1302</x:f>
        <x:v>0</x:v>
      </x:c>
      <x:c r="O1302" s="37" t="n">
        <x:v>0</x:v>
      </x:c>
      <x:c r="P1302" s="35" t="n">
        <x:f>L1302*O1302</x:f>
        <x:v>0</x:v>
      </x:c>
      <x:c r="Q1302" s="35" t="n">
        <x:v>0</x:v>
      </x:c>
      <x:c r="R1302" s="35" t="n">
        <x:f>K1302*Q1302</x:f>
        <x:v>0</x:v>
      </x:c>
      <x:c r="S1302" s="35" t="n">
        <x:f>XLOOKUP(H1302,'菜品主数据'!$A$5:$A$24,'菜品主数据'!$G$5:$G$24,0)</x:f>
        <x:v>3.1759999999999993</x:v>
      </x:c>
      <x:c r="T1302" s="35" t="n">
        <x:f>K1302*S1302</x:f>
        <x:v>22.231999999999996</x:v>
      </x:c>
      <x:c r="U1302" s="35" t="n">
        <x:f>L1302-N1302-P1302-R1302-T1302</x:f>
        <x:v>103.768</x:v>
      </x:c>
      <x:c r="V1302" s="21" t="n">
        <x:f>IFERROR(U1302/L1302,0)</x:f>
        <x:v>0.8235555555555556</x:v>
      </x:c>
    </x:row>
    <x:row r="1303">
      <x:c r="A1303" s="19" t="str">
        <x:v>SALE-01299</x:v>
      </x:c>
      <x:c r="B1303" s="34" t="n">
        <x:v>46214.5</x:v>
      </x:c>
      <x:c r="C1303" s="19" t="str">
        <x:v>周六</x:v>
      </x:c>
      <x:c r="D1303" s="19" t="str">
        <x:v>S05</x:v>
      </x:c>
      <x:c r="E1303" s="19" t="str">
        <x:v>同顺街店</x:v>
      </x:c>
      <x:c r="F1303" s="19" t="str">
        <x:v>堂食</x:v>
      </x:c>
      <x:c r="G1303" s="19" t="str">
        <x:v>全日</x:v>
      </x:c>
      <x:c r="H1303" s="19" t="str">
        <x:v>D19</x:v>
      </x:c>
      <x:c r="I1303" s="19" t="str">
        <x:v>酸萝卜炒鸡杂</x:v>
      </x:c>
      <x:c r="J1303" s="22" t="n">
        <x:f>XLOOKUP(H1303,'菜品主数据'!$A$5:$A$24,'菜品主数据'!$D$5:$D$24,0)</x:f>
        <x:v>25</x:v>
      </x:c>
      <x:c r="K1303" s="31" t="n">
        <x:v>5</x:v>
      </x:c>
      <x:c r="L1303" s="35" t="n">
        <x:f>J1303*K1303</x:f>
        <x:v>125</x:v>
      </x:c>
      <x:c r="M1303" s="36" t="n">
        <x:v>0</x:v>
      </x:c>
      <x:c r="N1303" s="35" t="n">
        <x:f>L1303*M1303</x:f>
        <x:v>0</x:v>
      </x:c>
      <x:c r="O1303" s="37" t="n">
        <x:v>0</x:v>
      </x:c>
      <x:c r="P1303" s="35" t="n">
        <x:f>L1303*O1303</x:f>
        <x:v>0</x:v>
      </x:c>
      <x:c r="Q1303" s="35" t="n">
        <x:v>0</x:v>
      </x:c>
      <x:c r="R1303" s="35" t="n">
        <x:f>K1303*Q1303</x:f>
        <x:v>0</x:v>
      </x:c>
      <x:c r="S1303" s="35" t="n">
        <x:f>XLOOKUP(H1303,'菜品主数据'!$A$5:$A$24,'菜品主数据'!$G$5:$G$24,0)</x:f>
        <x:v>7.9399999999999995</x:v>
      </x:c>
      <x:c r="T1303" s="35" t="n">
        <x:f>K1303*S1303</x:f>
        <x:v>39.699999999999996</x:v>
      </x:c>
      <x:c r="U1303" s="35" t="n">
        <x:f>L1303-N1303-P1303-R1303-T1303</x:f>
        <x:v>85.30000000000001</x:v>
      </x:c>
      <x:c r="V1303" s="21" t="n">
        <x:f>IFERROR(U1303/L1303,0)</x:f>
        <x:v>0.6824000000000001</x:v>
      </x:c>
    </x:row>
    <x:row r="1304">
      <x:c r="A1304" s="19" t="str">
        <x:v>SALE-01300</x:v>
      </x:c>
      <x:c r="B1304" s="34" t="n">
        <x:v>46214.5</x:v>
      </x:c>
      <x:c r="C1304" s="19" t="str">
        <x:v>周六</x:v>
      </x:c>
      <x:c r="D1304" s="19" t="str">
        <x:v>S05</x:v>
      </x:c>
      <x:c r="E1304" s="19" t="str">
        <x:v>同顺街店</x:v>
      </x:c>
      <x:c r="F1304" s="19" t="str">
        <x:v>堂食</x:v>
      </x:c>
      <x:c r="G1304" s="19" t="str">
        <x:v>全日</x:v>
      </x:c>
      <x:c r="H1304" s="19" t="str">
        <x:v>D20</x:v>
      </x:c>
      <x:c r="I1304" s="19" t="str">
        <x:v>雪菜肉末青豆</x:v>
      </x:c>
      <x:c r="J1304" s="22" t="n">
        <x:f>XLOOKUP(H1304,'菜品主数据'!$A$5:$A$24,'菜品主数据'!$D$5:$D$24,0)</x:f>
        <x:v>18</x:v>
      </x:c>
      <x:c r="K1304" s="31" t="n">
        <x:v>7</x:v>
      </x:c>
      <x:c r="L1304" s="35" t="n">
        <x:f>J1304*K1304</x:f>
        <x:v>126</x:v>
      </x:c>
      <x:c r="M1304" s="36" t="n">
        <x:v>0</x:v>
      </x:c>
      <x:c r="N1304" s="35" t="n">
        <x:f>L1304*M1304</x:f>
        <x:v>0</x:v>
      </x:c>
      <x:c r="O1304" s="37" t="n">
        <x:v>0</x:v>
      </x:c>
      <x:c r="P1304" s="35" t="n">
        <x:f>L1304*O1304</x:f>
        <x:v>0</x:v>
      </x:c>
      <x:c r="Q1304" s="35" t="n">
        <x:v>0</x:v>
      </x:c>
      <x:c r="R1304" s="35" t="n">
        <x:f>K1304*Q1304</x:f>
        <x:v>0</x:v>
      </x:c>
      <x:c r="S1304" s="35" t="n">
        <x:f>XLOOKUP(H1304,'菜品主数据'!$A$5:$A$24,'菜品主数据'!$G$5:$G$24,0)</x:f>
        <x:v>7.303999999999999</x:v>
      </x:c>
      <x:c r="T1304" s="35" t="n">
        <x:f>K1304*S1304</x:f>
        <x:v>51.12799999999999</x:v>
      </x:c>
      <x:c r="U1304" s="35" t="n">
        <x:f>L1304-N1304-P1304-R1304-T1304</x:f>
        <x:v>74.87200000000001</x:v>
      </x:c>
      <x:c r="V1304" s="21" t="n">
        <x:f>IFERROR(U1304/L1304,0)</x:f>
        <x:v>0.5942222222222223</x:v>
      </x:c>
    </x:row>
    <x:row r="1305">
      <x:c r="A1305" s="19" t="str">
        <x:v>SALE-01301</x:v>
      </x:c>
      <x:c r="B1305" s="34" t="n">
        <x:v>46214.5</x:v>
      </x:c>
      <x:c r="C1305" s="19" t="str">
        <x:v>周六</x:v>
      </x:c>
      <x:c r="D1305" s="19" t="str">
        <x:v>S05</x:v>
      </x:c>
      <x:c r="E1305" s="19" t="str">
        <x:v>同顺街店</x:v>
      </x:c>
      <x:c r="F1305" s="19" t="str">
        <x:v>外卖</x:v>
      </x:c>
      <x:c r="G1305" s="19" t="str">
        <x:v>全日</x:v>
      </x:c>
      <x:c r="H1305" s="19" t="str">
        <x:v>D01</x:v>
      </x:c>
      <x:c r="I1305" s="19" t="str">
        <x:v>辣椒炒肉</x:v>
      </x:c>
      <x:c r="J1305" s="22" t="n">
        <x:f>XLOOKUP(H1305,'菜品主数据'!$A$5:$A$24,'菜品主数据'!$D$5:$D$24,0)</x:f>
        <x:v>29</x:v>
      </x:c>
      <x:c r="K1305" s="31" t="n">
        <x:v>3</x:v>
      </x:c>
      <x:c r="L1305" s="35" t="n">
        <x:f>J1305*K1305</x:f>
        <x:v>87</x:v>
      </x:c>
      <x:c r="M1305" s="36" t="n">
        <x:v>0.08</x:v>
      </x:c>
      <x:c r="N1305" s="35" t="n">
        <x:f>L1305*M1305</x:f>
        <x:v>6.96</x:v>
      </x:c>
      <x:c r="O1305" s="37" t="n">
        <x:v>0.18</x:v>
      </x:c>
      <x:c r="P1305" s="35" t="n">
        <x:f>L1305*O1305</x:f>
        <x:v>15.66</x:v>
      </x:c>
      <x:c r="Q1305" s="35" t="n">
        <x:v>1.2</x:v>
      </x:c>
      <x:c r="R1305" s="35" t="n">
        <x:f>K1305*Q1305</x:f>
        <x:v>3.5999999999999996</x:v>
      </x:c>
      <x:c r="S1305" s="35" t="n">
        <x:f>XLOOKUP(H1305,'菜品主数据'!$A$5:$A$24,'菜品主数据'!$G$5:$G$24,0)</x:f>
        <x:v>8.634400000000001</x:v>
      </x:c>
      <x:c r="T1305" s="35" t="n">
        <x:f>K1305*S1305</x:f>
        <x:v>25.903200000000005</x:v>
      </x:c>
      <x:c r="U1305" s="35" t="n">
        <x:f>L1305-N1305-P1305-R1305-T1305</x:f>
        <x:v>34.8768</x:v>
      </x:c>
      <x:c r="V1305" s="21" t="n">
        <x:f>IFERROR(U1305/L1305,0)</x:f>
        <x:v>0.40088275862068967</x:v>
      </x:c>
    </x:row>
    <x:row r="1306">
      <x:c r="A1306" s="19" t="str">
        <x:v>SALE-01302</x:v>
      </x:c>
      <x:c r="B1306" s="34" t="n">
        <x:v>46214.5</x:v>
      </x:c>
      <x:c r="C1306" s="19" t="str">
        <x:v>周六</x:v>
      </x:c>
      <x:c r="D1306" s="19" t="str">
        <x:v>S05</x:v>
      </x:c>
      <x:c r="E1306" s="19" t="str">
        <x:v>同顺街店</x:v>
      </x:c>
      <x:c r="F1306" s="19" t="str">
        <x:v>外卖</x:v>
      </x:c>
      <x:c r="G1306" s="19" t="str">
        <x:v>全日</x:v>
      </x:c>
      <x:c r="H1306" s="19" t="str">
        <x:v>D02</x:v>
      </x:c>
      <x:c r="I1306" s="19" t="str">
        <x:v>小炒黄牛肉</x:v>
      </x:c>
      <x:c r="J1306" s="22" t="n">
        <x:f>XLOOKUP(H1306,'菜品主数据'!$A$5:$A$24,'菜品主数据'!$D$5:$D$24,0)</x:f>
        <x:v>49</x:v>
      </x:c>
      <x:c r="K1306" s="31" t="n">
        <x:v>6</x:v>
      </x:c>
      <x:c r="L1306" s="35" t="n">
        <x:f>J1306*K1306</x:f>
        <x:v>294</x:v>
      </x:c>
      <x:c r="M1306" s="36" t="n">
        <x:v>0.08</x:v>
      </x:c>
      <x:c r="N1306" s="35" t="n">
        <x:f>L1306*M1306</x:f>
        <x:v>23.52</x:v>
      </x:c>
      <x:c r="O1306" s="37" t="n">
        <x:v>0.18</x:v>
      </x:c>
      <x:c r="P1306" s="35" t="n">
        <x:f>L1306*O1306</x:f>
        <x:v>52.919999999999995</x:v>
      </x:c>
      <x:c r="Q1306" s="35" t="n">
        <x:v>1.2</x:v>
      </x:c>
      <x:c r="R1306" s="35" t="n">
        <x:f>K1306*Q1306</x:f>
        <x:v>7.199999999999999</x:v>
      </x:c>
      <x:c r="S1306" s="35" t="n">
        <x:f>XLOOKUP(H1306,'菜品主数据'!$A$5:$A$24,'菜品主数据'!$G$5:$G$24,0)</x:f>
        <x:v>17.577</x:v>
      </x:c>
      <x:c r="T1306" s="35" t="n">
        <x:f>K1306*S1306</x:f>
        <x:v>105.46200000000002</x:v>
      </x:c>
      <x:c r="U1306" s="35" t="n">
        <x:f>L1306-N1306-P1306-R1306-T1306</x:f>
        <x:v>104.89800000000002</x:v>
      </x:c>
      <x:c r="V1306" s="21" t="n">
        <x:f>IFERROR(U1306/L1306,0)</x:f>
        <x:v>0.35679591836734703</x:v>
      </x:c>
    </x:row>
    <x:row r="1307">
      <x:c r="A1307" s="19" t="str">
        <x:v>SALE-01303</x:v>
      </x:c>
      <x:c r="B1307" s="34" t="n">
        <x:v>46214.5</x:v>
      </x:c>
      <x:c r="C1307" s="19" t="str">
        <x:v>周六</x:v>
      </x:c>
      <x:c r="D1307" s="19" t="str">
        <x:v>S05</x:v>
      </x:c>
      <x:c r="E1307" s="19" t="str">
        <x:v>同顺街店</x:v>
      </x:c>
      <x:c r="F1307" s="19" t="str">
        <x:v>外卖</x:v>
      </x:c>
      <x:c r="G1307" s="19" t="str">
        <x:v>全日</x:v>
      </x:c>
      <x:c r="H1307" s="19" t="str">
        <x:v>D03</x:v>
      </x:c>
      <x:c r="I1307" s="19" t="str">
        <x:v>香醋炒蛋</x:v>
      </x:c>
      <x:c r="J1307" s="22" t="n">
        <x:f>XLOOKUP(H1307,'菜品主数据'!$A$5:$A$24,'菜品主数据'!$D$5:$D$24,0)</x:f>
        <x:v>14.9</x:v>
      </x:c>
      <x:c r="K1307" s="31" t="n">
        <x:v>3</x:v>
      </x:c>
      <x:c r="L1307" s="35" t="n">
        <x:f>J1307*K1307</x:f>
        <x:v>44.7</x:v>
      </x:c>
      <x:c r="M1307" s="36" t="n">
        <x:v>0.08</x:v>
      </x:c>
      <x:c r="N1307" s="35" t="n">
        <x:f>L1307*M1307</x:f>
        <x:v>3.5760000000000005</x:v>
      </x:c>
      <x:c r="O1307" s="37" t="n">
        <x:v>0.18</x:v>
      </x:c>
      <x:c r="P1307" s="35" t="n">
        <x:f>L1307*O1307</x:f>
        <x:v>8.046</x:v>
      </x:c>
      <x:c r="Q1307" s="35" t="n">
        <x:v>1.2</x:v>
      </x:c>
      <x:c r="R1307" s="35" t="n">
        <x:f>K1307*Q1307</x:f>
        <x:v>3.5999999999999996</x:v>
      </x:c>
      <x:c r="S1307" s="35" t="n">
        <x:f>XLOOKUP(H1307,'菜品主数据'!$A$5:$A$24,'菜品主数据'!$G$5:$G$24,0)</x:f>
        <x:v>3.7459999999999996</x:v>
      </x:c>
      <x:c r="T1307" s="35" t="n">
        <x:f>K1307*S1307</x:f>
        <x:v>11.238</x:v>
      </x:c>
      <x:c r="U1307" s="35" t="n">
        <x:f>L1307-N1307-P1307-R1307-T1307</x:f>
        <x:v>18.240000000000002</x:v>
      </x:c>
      <x:c r="V1307" s="21" t="n">
        <x:f>IFERROR(U1307/L1307,0)</x:f>
        <x:v>0.40805369127516783</x:v>
      </x:c>
    </x:row>
    <x:row r="1308">
      <x:c r="A1308" s="19" t="str">
        <x:v>SALE-01304</x:v>
      </x:c>
      <x:c r="B1308" s="34" t="n">
        <x:v>46214.5</x:v>
      </x:c>
      <x:c r="C1308" s="19" t="str">
        <x:v>周六</x:v>
      </x:c>
      <x:c r="D1308" s="19" t="str">
        <x:v>S05</x:v>
      </x:c>
      <x:c r="E1308" s="19" t="str">
        <x:v>同顺街店</x:v>
      </x:c>
      <x:c r="F1308" s="19" t="str">
        <x:v>外卖</x:v>
      </x:c>
      <x:c r="G1308" s="19" t="str">
        <x:v>全日</x:v>
      </x:c>
      <x:c r="H1308" s="19" t="str">
        <x:v>D04</x:v>
      </x:c>
      <x:c r="I1308" s="19" t="str">
        <x:v>酸包菜炒粉皮</x:v>
      </x:c>
      <x:c r="J1308" s="22" t="n">
        <x:f>XLOOKUP(H1308,'菜品主数据'!$A$5:$A$24,'菜品主数据'!$D$5:$D$24,0)</x:f>
        <x:v>16</x:v>
      </x:c>
      <x:c r="K1308" s="31" t="n">
        <x:v>3</x:v>
      </x:c>
      <x:c r="L1308" s="35" t="n">
        <x:f>J1308*K1308</x:f>
        <x:v>48</x:v>
      </x:c>
      <x:c r="M1308" s="36" t="n">
        <x:v>0.08</x:v>
      </x:c>
      <x:c r="N1308" s="35" t="n">
        <x:f>L1308*M1308</x:f>
        <x:v>3.84</x:v>
      </x:c>
      <x:c r="O1308" s="37" t="n">
        <x:v>0.18</x:v>
      </x:c>
      <x:c r="P1308" s="35" t="n">
        <x:f>L1308*O1308</x:f>
        <x:v>8.64</x:v>
      </x:c>
      <x:c r="Q1308" s="35" t="n">
        <x:v>1.2</x:v>
      </x:c>
      <x:c r="R1308" s="35" t="n">
        <x:f>K1308*Q1308</x:f>
        <x:v>3.5999999999999996</x:v>
      </x:c>
      <x:c r="S1308" s="35" t="n">
        <x:f>XLOOKUP(H1308,'菜品主数据'!$A$5:$A$24,'菜品主数据'!$G$5:$G$24,0)</x:f>
        <x:v>3.978</x:v>
      </x:c>
      <x:c r="T1308" s="35" t="n">
        <x:f>K1308*S1308</x:f>
        <x:v>11.934000000000001</x:v>
      </x:c>
      <x:c r="U1308" s="35" t="n">
        <x:f>L1308-N1308-P1308-R1308-T1308</x:f>
        <x:v>19.985999999999994</x:v>
      </x:c>
      <x:c r="V1308" s="21" t="n">
        <x:f>IFERROR(U1308/L1308,0)</x:f>
        <x:v>0.4163749999999999</x:v>
      </x:c>
    </x:row>
    <x:row r="1309">
      <x:c r="A1309" s="19" t="str">
        <x:v>SALE-01305</x:v>
      </x:c>
      <x:c r="B1309" s="34" t="n">
        <x:v>46214.5</x:v>
      </x:c>
      <x:c r="C1309" s="19" t="str">
        <x:v>周六</x:v>
      </x:c>
      <x:c r="D1309" s="19" t="str">
        <x:v>S05</x:v>
      </x:c>
      <x:c r="E1309" s="19" t="str">
        <x:v>同顺街店</x:v>
      </x:c>
      <x:c r="F1309" s="19" t="str">
        <x:v>外卖</x:v>
      </x:c>
      <x:c r="G1309" s="19" t="str">
        <x:v>全日</x:v>
      </x:c>
      <x:c r="H1309" s="19" t="str">
        <x:v>D05</x:v>
      </x:c>
      <x:c r="I1309" s="19" t="str">
        <x:v>麻婆豆腐</x:v>
      </x:c>
      <x:c r="J1309" s="22" t="n">
        <x:f>XLOOKUP(H1309,'菜品主数据'!$A$5:$A$24,'菜品主数据'!$D$5:$D$24,0)</x:f>
        <x:v>9.9</x:v>
      </x:c>
      <x:c r="K1309" s="31" t="n">
        <x:v>4</x:v>
      </x:c>
      <x:c r="L1309" s="35" t="n">
        <x:f>J1309*K1309</x:f>
        <x:v>39.6</x:v>
      </x:c>
      <x:c r="M1309" s="36" t="n">
        <x:v>0.08</x:v>
      </x:c>
      <x:c r="N1309" s="35" t="n">
        <x:f>L1309*M1309</x:f>
        <x:v>3.168</x:v>
      </x:c>
      <x:c r="O1309" s="37" t="n">
        <x:v>0.18</x:v>
      </x:c>
      <x:c r="P1309" s="35" t="n">
        <x:f>L1309*O1309</x:f>
        <x:v>7.128</x:v>
      </x:c>
      <x:c r="Q1309" s="35" t="n">
        <x:v>1.2</x:v>
      </x:c>
      <x:c r="R1309" s="35" t="n">
        <x:f>K1309*Q1309</x:f>
        <x:v>4.8</x:v>
      </x:c>
      <x:c r="S1309" s="35" t="n">
        <x:f>XLOOKUP(H1309,'菜品主数据'!$A$5:$A$24,'菜品主数据'!$G$5:$G$24,0)</x:f>
        <x:v>5.367000000000001</x:v>
      </x:c>
      <x:c r="T1309" s="35" t="n">
        <x:f>K1309*S1309</x:f>
        <x:v>21.468000000000004</x:v>
      </x:c>
      <x:c r="U1309" s="35" t="n">
        <x:f>L1309-N1309-P1309-R1309-T1309</x:f>
        <x:v>3.035999999999998</x:v>
      </x:c>
      <x:c r="V1309" s="21" t="n">
        <x:f>IFERROR(U1309/L1309,0)</x:f>
        <x:v>0.0766666666666666</x:v>
      </x:c>
    </x:row>
    <x:row r="1310">
      <x:c r="A1310" s="19" t="str">
        <x:v>SALE-01306</x:v>
      </x:c>
      <x:c r="B1310" s="34" t="n">
        <x:v>46214.5</x:v>
      </x:c>
      <x:c r="C1310" s="19" t="str">
        <x:v>周六</x:v>
      </x:c>
      <x:c r="D1310" s="19" t="str">
        <x:v>S05</x:v>
      </x:c>
      <x:c r="E1310" s="19" t="str">
        <x:v>同顺街店</x:v>
      </x:c>
      <x:c r="F1310" s="19" t="str">
        <x:v>外卖</x:v>
      </x:c>
      <x:c r="G1310" s="19" t="str">
        <x:v>全日</x:v>
      </x:c>
      <x:c r="H1310" s="19" t="str">
        <x:v>D06</x:v>
      </x:c>
      <x:c r="I1310" s="19" t="str">
        <x:v>剁椒鱼头</x:v>
      </x:c>
      <x:c r="J1310" s="22" t="n">
        <x:f>XLOOKUP(H1310,'菜品主数据'!$A$5:$A$24,'菜品主数据'!$D$5:$D$24,0)</x:f>
        <x:v>39</x:v>
      </x:c>
      <x:c r="K1310" s="31" t="n">
        <x:v>2</x:v>
      </x:c>
      <x:c r="L1310" s="35" t="n">
        <x:f>J1310*K1310</x:f>
        <x:v>78</x:v>
      </x:c>
      <x:c r="M1310" s="36" t="n">
        <x:v>0.08</x:v>
      </x:c>
      <x:c r="N1310" s="35" t="n">
        <x:f>L1310*M1310</x:f>
        <x:v>6.24</x:v>
      </x:c>
      <x:c r="O1310" s="37" t="n">
        <x:v>0.18</x:v>
      </x:c>
      <x:c r="P1310" s="35" t="n">
        <x:f>L1310*O1310</x:f>
        <x:v>14.04</x:v>
      </x:c>
      <x:c r="Q1310" s="35" t="n">
        <x:v>1.2</x:v>
      </x:c>
      <x:c r="R1310" s="35" t="n">
        <x:f>K1310*Q1310</x:f>
        <x:v>2.4</x:v>
      </x:c>
      <x:c r="S1310" s="35" t="n">
        <x:f>XLOOKUP(H1310,'菜品主数据'!$A$5:$A$24,'菜品主数据'!$G$5:$G$24,0)</x:f>
        <x:v>17.446</x:v>
      </x:c>
      <x:c r="T1310" s="35" t="n">
        <x:f>K1310*S1310</x:f>
        <x:v>34.892</x:v>
      </x:c>
      <x:c r="U1310" s="35" t="n">
        <x:f>L1310-N1310-P1310-R1310-T1310</x:f>
        <x:v>20.428000000000004</x:v>
      </x:c>
      <x:c r="V1310" s="21" t="n">
        <x:f>IFERROR(U1310/L1310,0)</x:f>
        <x:v>0.26189743589743597</x:v>
      </x:c>
    </x:row>
    <x:row r="1311">
      <x:c r="A1311" s="19" t="str">
        <x:v>SALE-01307</x:v>
      </x:c>
      <x:c r="B1311" s="34" t="n">
        <x:v>46214.5</x:v>
      </x:c>
      <x:c r="C1311" s="19" t="str">
        <x:v>周六</x:v>
      </x:c>
      <x:c r="D1311" s="19" t="str">
        <x:v>S05</x:v>
      </x:c>
      <x:c r="E1311" s="19" t="str">
        <x:v>同顺街店</x:v>
      </x:c>
      <x:c r="F1311" s="19" t="str">
        <x:v>外卖</x:v>
      </x:c>
      <x:c r="G1311" s="19" t="str">
        <x:v>全日</x:v>
      </x:c>
      <x:c r="H1311" s="19" t="str">
        <x:v>D07</x:v>
      </x:c>
      <x:c r="I1311" s="19" t="str">
        <x:v>川味回锅肉</x:v>
      </x:c>
      <x:c r="J1311" s="22" t="n">
        <x:f>XLOOKUP(H1311,'菜品主数据'!$A$5:$A$24,'菜品主数据'!$D$5:$D$24,0)</x:f>
        <x:v>29</x:v>
      </x:c>
      <x:c r="K1311" s="31" t="n">
        <x:v>1</x:v>
      </x:c>
      <x:c r="L1311" s="35" t="n">
        <x:f>J1311*K1311</x:f>
        <x:v>29</x:v>
      </x:c>
      <x:c r="M1311" s="36" t="n">
        <x:v>0.08</x:v>
      </x:c>
      <x:c r="N1311" s="35" t="n">
        <x:f>L1311*M1311</x:f>
        <x:v>2.32</x:v>
      </x:c>
      <x:c r="O1311" s="37" t="n">
        <x:v>0.18</x:v>
      </x:c>
      <x:c r="P1311" s="35" t="n">
        <x:f>L1311*O1311</x:f>
        <x:v>5.22</x:v>
      </x:c>
      <x:c r="Q1311" s="35" t="n">
        <x:v>1.2</x:v>
      </x:c>
      <x:c r="R1311" s="35" t="n">
        <x:f>K1311*Q1311</x:f>
        <x:v>1.2</x:v>
      </x:c>
      <x:c r="S1311" s="35" t="n">
        <x:f>XLOOKUP(H1311,'菜品主数据'!$A$5:$A$24,'菜品主数据'!$G$5:$G$24,0)</x:f>
        <x:v>10.231000000000002</x:v>
      </x:c>
      <x:c r="T1311" s="35" t="n">
        <x:f>K1311*S1311</x:f>
        <x:v>10.231000000000002</x:v>
      </x:c>
      <x:c r="U1311" s="35" t="n">
        <x:f>L1311-N1311-P1311-R1311-T1311</x:f>
        <x:v>10.029</x:v>
      </x:c>
      <x:c r="V1311" s="21" t="n">
        <x:f>IFERROR(U1311/L1311,0)</x:f>
        <x:v>0.3458275862068966</x:v>
      </x:c>
    </x:row>
    <x:row r="1312">
      <x:c r="A1312" s="19" t="str">
        <x:v>SALE-01308</x:v>
      </x:c>
      <x:c r="B1312" s="34" t="n">
        <x:v>46214.5</x:v>
      </x:c>
      <x:c r="C1312" s="19" t="str">
        <x:v>周六</x:v>
      </x:c>
      <x:c r="D1312" s="19" t="str">
        <x:v>S05</x:v>
      </x:c>
      <x:c r="E1312" s="19" t="str">
        <x:v>同顺街店</x:v>
      </x:c>
      <x:c r="F1312" s="19" t="str">
        <x:v>外卖</x:v>
      </x:c>
      <x:c r="G1312" s="19" t="str">
        <x:v>全日</x:v>
      </x:c>
      <x:c r="H1312" s="19" t="str">
        <x:v>D08</x:v>
      </x:c>
      <x:c r="I1312" s="19" t="str">
        <x:v>生炒清远鸡</x:v>
      </x:c>
      <x:c r="J1312" s="22" t="n">
        <x:f>XLOOKUP(H1312,'菜品主数据'!$A$5:$A$24,'菜品主数据'!$D$5:$D$24,0)</x:f>
        <x:v>36</x:v>
      </x:c>
      <x:c r="K1312" s="31" t="n">
        <x:v>0</x:v>
      </x:c>
      <x:c r="L1312" s="35" t="n">
        <x:f>J1312*K1312</x:f>
        <x:v>0</x:v>
      </x:c>
      <x:c r="M1312" s="36" t="n">
        <x:v>0.08</x:v>
      </x:c>
      <x:c r="N1312" s="35" t="n">
        <x:f>L1312*M1312</x:f>
        <x:v>0</x:v>
      </x:c>
      <x:c r="O1312" s="37" t="n">
        <x:v>0.18</x:v>
      </x:c>
      <x:c r="P1312" s="35" t="n">
        <x:f>L1312*O1312</x:f>
        <x:v>0</x:v>
      </x:c>
      <x:c r="Q1312" s="35" t="n">
        <x:v>1.2</x:v>
      </x:c>
      <x:c r="R1312" s="35" t="n">
        <x:f>K1312*Q1312</x:f>
        <x:v>0</x:v>
      </x:c>
      <x:c r="S1312" s="35" t="n">
        <x:f>XLOOKUP(H1312,'菜品主数据'!$A$5:$A$24,'菜品主数据'!$G$5:$G$24,0)</x:f>
        <x:v>13.48</x:v>
      </x:c>
      <x:c r="T1312" s="35" t="n">
        <x:f>K1312*S1312</x:f>
        <x:v>0</x:v>
      </x:c>
      <x:c r="U1312" s="35" t="n">
        <x:f>L1312-N1312-P1312-R1312-T1312</x:f>
        <x:v>0</x:v>
      </x:c>
      <x:c r="V1312" s="21" t="n">
        <x:f>IFERROR(U1312/L1312,0)</x:f>
        <x:v>0</x:v>
      </x:c>
    </x:row>
    <x:row r="1313">
      <x:c r="A1313" s="19" t="str">
        <x:v>SALE-01309</x:v>
      </x:c>
      <x:c r="B1313" s="34" t="n">
        <x:v>46214.5</x:v>
      </x:c>
      <x:c r="C1313" s="19" t="str">
        <x:v>周六</x:v>
      </x:c>
      <x:c r="D1313" s="19" t="str">
        <x:v>S05</x:v>
      </x:c>
      <x:c r="E1313" s="19" t="str">
        <x:v>同顺街店</x:v>
      </x:c>
      <x:c r="F1313" s="19" t="str">
        <x:v>外卖</x:v>
      </x:c>
      <x:c r="G1313" s="19" t="str">
        <x:v>全日</x:v>
      </x:c>
      <x:c r="H1313" s="19" t="str">
        <x:v>D09</x:v>
      </x:c>
      <x:c r="I1313" s="19" t="str">
        <x:v>炒豆干</x:v>
      </x:c>
      <x:c r="J1313" s="22" t="n">
        <x:f>XLOOKUP(H1313,'菜品主数据'!$A$5:$A$24,'菜品主数据'!$D$5:$D$24,0)</x:f>
        <x:v>18</x:v>
      </x:c>
      <x:c r="K1313" s="31" t="n">
        <x:v>1</x:v>
      </x:c>
      <x:c r="L1313" s="35" t="n">
        <x:f>J1313*K1313</x:f>
        <x:v>18</x:v>
      </x:c>
      <x:c r="M1313" s="36" t="n">
        <x:v>0.08</x:v>
      </x:c>
      <x:c r="N1313" s="35" t="n">
        <x:f>L1313*M1313</x:f>
        <x:v>1.44</x:v>
      </x:c>
      <x:c r="O1313" s="37" t="n">
        <x:v>0.18</x:v>
      </x:c>
      <x:c r="P1313" s="35" t="n">
        <x:f>L1313*O1313</x:f>
        <x:v>3.2399999999999998</x:v>
      </x:c>
      <x:c r="Q1313" s="35" t="n">
        <x:v>1.2</x:v>
      </x:c>
      <x:c r="R1313" s="35" t="n">
        <x:f>K1313*Q1313</x:f>
        <x:v>1.2</x:v>
      </x:c>
      <x:c r="S1313" s="35" t="n">
        <x:f>XLOOKUP(H1313,'菜品主数据'!$A$5:$A$24,'菜品主数据'!$G$5:$G$24,0)</x:f>
        <x:v>6.613999999999999</x:v>
      </x:c>
      <x:c r="T1313" s="35" t="n">
        <x:f>K1313*S1313</x:f>
        <x:v>6.613999999999999</x:v>
      </x:c>
      <x:c r="U1313" s="35" t="n">
        <x:f>L1313-N1313-P1313-R1313-T1313</x:f>
        <x:v>5.506</x:v>
      </x:c>
      <x:c r="V1313" s="21" t="n">
        <x:f>IFERROR(U1313/L1313,0)</x:f>
        <x:v>0.3058888888888889</x:v>
      </x:c>
    </x:row>
    <x:row r="1314">
      <x:c r="A1314" s="19" t="str">
        <x:v>SALE-01310</x:v>
      </x:c>
      <x:c r="B1314" s="34" t="n">
        <x:v>46214.5</x:v>
      </x:c>
      <x:c r="C1314" s="19" t="str">
        <x:v>周六</x:v>
      </x:c>
      <x:c r="D1314" s="19" t="str">
        <x:v>S05</x:v>
      </x:c>
      <x:c r="E1314" s="19" t="str">
        <x:v>同顺街店</x:v>
      </x:c>
      <x:c r="F1314" s="19" t="str">
        <x:v>外卖</x:v>
      </x:c>
      <x:c r="G1314" s="19" t="str">
        <x:v>全日</x:v>
      </x:c>
      <x:c r="H1314" s="19" t="str">
        <x:v>D10</x:v>
      </x:c>
      <x:c r="I1314" s="19" t="str">
        <x:v>农家一碗香</x:v>
      </x:c>
      <x:c r="J1314" s="22" t="n">
        <x:f>XLOOKUP(H1314,'菜品主数据'!$A$5:$A$24,'菜品主数据'!$D$5:$D$24,0)</x:f>
        <x:v>22.9</x:v>
      </x:c>
      <x:c r="K1314" s="31" t="n">
        <x:v>1</x:v>
      </x:c>
      <x:c r="L1314" s="35" t="n">
        <x:f>J1314*K1314</x:f>
        <x:v>22.9</x:v>
      </x:c>
      <x:c r="M1314" s="36" t="n">
        <x:v>0.08</x:v>
      </x:c>
      <x:c r="N1314" s="35" t="n">
        <x:f>L1314*M1314</x:f>
        <x:v>1.8319999999999999</x:v>
      </x:c>
      <x:c r="O1314" s="37" t="n">
        <x:v>0.18</x:v>
      </x:c>
      <x:c r="P1314" s="35" t="n">
        <x:f>L1314*O1314</x:f>
        <x:v>4.122</x:v>
      </x:c>
      <x:c r="Q1314" s="35" t="n">
        <x:v>1.2</x:v>
      </x:c>
      <x:c r="R1314" s="35" t="n">
        <x:f>K1314*Q1314</x:f>
        <x:v>1.2</x:v>
      </x:c>
      <x:c r="S1314" s="35" t="n">
        <x:f>XLOOKUP(H1314,'菜品主数据'!$A$5:$A$24,'菜品主数据'!$G$5:$G$24,0)</x:f>
        <x:v>9.770200000000003</x:v>
      </x:c>
      <x:c r="T1314" s="35" t="n">
        <x:f>K1314*S1314</x:f>
        <x:v>9.770200000000003</x:v>
      </x:c>
      <x:c r="U1314" s="35" t="n">
        <x:f>L1314-N1314-P1314-R1314-T1314</x:f>
        <x:v>5.975799999999996</x:v>
      </x:c>
      <x:c r="V1314" s="21" t="n">
        <x:f>IFERROR(U1314/L1314,0)</x:f>
        <x:v>0.260951965065502</x:v>
      </x:c>
    </x:row>
    <x:row r="1315">
      <x:c r="A1315" s="19" t="str">
        <x:v>SALE-01311</x:v>
      </x:c>
      <x:c r="B1315" s="34" t="n">
        <x:v>46214.5</x:v>
      </x:c>
      <x:c r="C1315" s="19" t="str">
        <x:v>周六</x:v>
      </x:c>
      <x:c r="D1315" s="19" t="str">
        <x:v>S05</x:v>
      </x:c>
      <x:c r="E1315" s="19" t="str">
        <x:v>同顺街店</x:v>
      </x:c>
      <x:c r="F1315" s="19" t="str">
        <x:v>外卖</x:v>
      </x:c>
      <x:c r="G1315" s="19" t="str">
        <x:v>全日</x:v>
      </x:c>
      <x:c r="H1315" s="19" t="str">
        <x:v>D11</x:v>
      </x:c>
      <x:c r="I1315" s="19" t="str">
        <x:v>香辣爆肥肠</x:v>
      </x:c>
      <x:c r="J1315" s="22" t="n">
        <x:f>XLOOKUP(H1315,'菜品主数据'!$A$5:$A$24,'菜品主数据'!$D$5:$D$24,0)</x:f>
        <x:v>39</x:v>
      </x:c>
      <x:c r="K1315" s="31" t="n">
        <x:v>0</x:v>
      </x:c>
      <x:c r="L1315" s="35" t="n">
        <x:f>J1315*K1315</x:f>
        <x:v>0</x:v>
      </x:c>
      <x:c r="M1315" s="36" t="n">
        <x:v>0.08</x:v>
      </x:c>
      <x:c r="N1315" s="35" t="n">
        <x:f>L1315*M1315</x:f>
        <x:v>0</x:v>
      </x:c>
      <x:c r="O1315" s="37" t="n">
        <x:v>0.18</x:v>
      </x:c>
      <x:c r="P1315" s="35" t="n">
        <x:f>L1315*O1315</x:f>
        <x:v>0</x:v>
      </x:c>
      <x:c r="Q1315" s="35" t="n">
        <x:v>1.2</x:v>
      </x:c>
      <x:c r="R1315" s="35" t="n">
        <x:f>K1315*Q1315</x:f>
        <x:v>0</x:v>
      </x:c>
      <x:c r="S1315" s="35" t="n">
        <x:f>XLOOKUP(H1315,'菜品主数据'!$A$5:$A$24,'菜品主数据'!$G$5:$G$24,0)</x:f>
        <x:v>10.397</x:v>
      </x:c>
      <x:c r="T1315" s="35" t="n">
        <x:f>K1315*S1315</x:f>
        <x:v>0</x:v>
      </x:c>
      <x:c r="U1315" s="35" t="n">
        <x:f>L1315-N1315-P1315-R1315-T1315</x:f>
        <x:v>0</x:v>
      </x:c>
      <x:c r="V1315" s="21" t="n">
        <x:f>IFERROR(U1315/L1315,0)</x:f>
        <x:v>0</x:v>
      </x:c>
    </x:row>
    <x:row r="1316">
      <x:c r="A1316" s="19" t="str">
        <x:v>SALE-01312</x:v>
      </x:c>
      <x:c r="B1316" s="34" t="n">
        <x:v>46214.5</x:v>
      </x:c>
      <x:c r="C1316" s="19" t="str">
        <x:v>周六</x:v>
      </x:c>
      <x:c r="D1316" s="19" t="str">
        <x:v>S05</x:v>
      </x:c>
      <x:c r="E1316" s="19" t="str">
        <x:v>同顺街店</x:v>
      </x:c>
      <x:c r="F1316" s="19" t="str">
        <x:v>外卖</x:v>
      </x:c>
      <x:c r="G1316" s="19" t="str">
        <x:v>全日</x:v>
      </x:c>
      <x:c r="H1316" s="19" t="str">
        <x:v>D12</x:v>
      </x:c>
      <x:c r="I1316" s="19" t="str">
        <x:v>清蒸鲈鱼</x:v>
      </x:c>
      <x:c r="J1316" s="22" t="n">
        <x:f>XLOOKUP(H1316,'菜品主数据'!$A$5:$A$24,'菜品主数据'!$D$5:$D$24,0)</x:f>
        <x:v>39</x:v>
      </x:c>
      <x:c r="K1316" s="31" t="n">
        <x:v>0</x:v>
      </x:c>
      <x:c r="L1316" s="35" t="n">
        <x:f>J1316*K1316</x:f>
        <x:v>0</x:v>
      </x:c>
      <x:c r="M1316" s="36" t="n">
        <x:v>0.08</x:v>
      </x:c>
      <x:c r="N1316" s="35" t="n">
        <x:f>L1316*M1316</x:f>
        <x:v>0</x:v>
      </x:c>
      <x:c r="O1316" s="37" t="n">
        <x:v>0.18</x:v>
      </x:c>
      <x:c r="P1316" s="35" t="n">
        <x:f>L1316*O1316</x:f>
        <x:v>0</x:v>
      </x:c>
      <x:c r="Q1316" s="35" t="n">
        <x:v>1.2</x:v>
      </x:c>
      <x:c r="R1316" s="35" t="n">
        <x:f>K1316*Q1316</x:f>
        <x:v>0</x:v>
      </x:c>
      <x:c r="S1316" s="35" t="n">
        <x:f>XLOOKUP(H1316,'菜品主数据'!$A$5:$A$24,'菜品主数据'!$G$5:$G$24,0)</x:f>
        <x:v>18.874</x:v>
      </x:c>
      <x:c r="T1316" s="35" t="n">
        <x:f>K1316*S1316</x:f>
        <x:v>0</x:v>
      </x:c>
      <x:c r="U1316" s="35" t="n">
        <x:f>L1316-N1316-P1316-R1316-T1316</x:f>
        <x:v>0</x:v>
      </x:c>
      <x:c r="V1316" s="21" t="n">
        <x:f>IFERROR(U1316/L1316,0)</x:f>
        <x:v>0</x:v>
      </x:c>
    </x:row>
    <x:row r="1317">
      <x:c r="A1317" s="19" t="str">
        <x:v>SALE-01313</x:v>
      </x:c>
      <x:c r="B1317" s="34" t="n">
        <x:v>46214.5</x:v>
      </x:c>
      <x:c r="C1317" s="19" t="str">
        <x:v>周六</x:v>
      </x:c>
      <x:c r="D1317" s="19" t="str">
        <x:v>S05</x:v>
      </x:c>
      <x:c r="E1317" s="19" t="str">
        <x:v>同顺街店</x:v>
      </x:c>
      <x:c r="F1317" s="19" t="str">
        <x:v>外卖</x:v>
      </x:c>
      <x:c r="G1317" s="19" t="str">
        <x:v>全日</x:v>
      </x:c>
      <x:c r="H1317" s="19" t="str">
        <x:v>D13</x:v>
      </x:c>
      <x:c r="I1317" s="19" t="str">
        <x:v>外婆菜炒蛋</x:v>
      </x:c>
      <x:c r="J1317" s="22" t="n">
        <x:f>XLOOKUP(H1317,'菜品主数据'!$A$5:$A$24,'菜品主数据'!$D$5:$D$24,0)</x:f>
        <x:v>18</x:v>
      </x:c>
      <x:c r="K1317" s="31" t="n">
        <x:v>1</x:v>
      </x:c>
      <x:c r="L1317" s="35" t="n">
        <x:f>J1317*K1317</x:f>
        <x:v>18</x:v>
      </x:c>
      <x:c r="M1317" s="36" t="n">
        <x:v>0.08</x:v>
      </x:c>
      <x:c r="N1317" s="35" t="n">
        <x:f>L1317*M1317</x:f>
        <x:v>1.44</x:v>
      </x:c>
      <x:c r="O1317" s="37" t="n">
        <x:v>0.18</x:v>
      </x:c>
      <x:c r="P1317" s="35" t="n">
        <x:f>L1317*O1317</x:f>
        <x:v>3.2399999999999998</x:v>
      </x:c>
      <x:c r="Q1317" s="35" t="n">
        <x:v>1.2</x:v>
      </x:c>
      <x:c r="R1317" s="35" t="n">
        <x:f>K1317*Q1317</x:f>
        <x:v>1.2</x:v>
      </x:c>
      <x:c r="S1317" s="35" t="n">
        <x:f>XLOOKUP(H1317,'菜品主数据'!$A$5:$A$24,'菜品主数据'!$G$5:$G$24,0)</x:f>
        <x:v>5.403999999999999</x:v>
      </x:c>
      <x:c r="T1317" s="35" t="n">
        <x:f>K1317*S1317</x:f>
        <x:v>5.403999999999999</x:v>
      </x:c>
      <x:c r="U1317" s="35" t="n">
        <x:f>L1317-N1317-P1317-R1317-T1317</x:f>
        <x:v>6.716</x:v>
      </x:c>
      <x:c r="V1317" s="21" t="n">
        <x:f>IFERROR(U1317/L1317,0)</x:f>
        <x:v>0.3731111111111111</x:v>
      </x:c>
    </x:row>
    <x:row r="1318">
      <x:c r="A1318" s="19" t="str">
        <x:v>SALE-01314</x:v>
      </x:c>
      <x:c r="B1318" s="34" t="n">
        <x:v>46214.5</x:v>
      </x:c>
      <x:c r="C1318" s="19" t="str">
        <x:v>周六</x:v>
      </x:c>
      <x:c r="D1318" s="19" t="str">
        <x:v>S05</x:v>
      </x:c>
      <x:c r="E1318" s="19" t="str">
        <x:v>同顺街店</x:v>
      </x:c>
      <x:c r="F1318" s="19" t="str">
        <x:v>外卖</x:v>
      </x:c>
      <x:c r="G1318" s="19" t="str">
        <x:v>全日</x:v>
      </x:c>
      <x:c r="H1318" s="19" t="str">
        <x:v>D14</x:v>
      </x:c>
      <x:c r="I1318" s="19" t="str">
        <x:v>酸辣鸡杂</x:v>
      </x:c>
      <x:c r="J1318" s="22" t="n">
        <x:f>XLOOKUP(H1318,'菜品主数据'!$A$5:$A$24,'菜品主数据'!$D$5:$D$24,0)</x:f>
        <x:v>28</x:v>
      </x:c>
      <x:c r="K1318" s="31" t="n">
        <x:v>0</x:v>
      </x:c>
      <x:c r="L1318" s="35" t="n">
        <x:f>J1318*K1318</x:f>
        <x:v>0</x:v>
      </x:c>
      <x:c r="M1318" s="36" t="n">
        <x:v>0.08</x:v>
      </x:c>
      <x:c r="N1318" s="35" t="n">
        <x:f>L1318*M1318</x:f>
        <x:v>0</x:v>
      </x:c>
      <x:c r="O1318" s="37" t="n">
        <x:v>0.18</x:v>
      </x:c>
      <x:c r="P1318" s="35" t="n">
        <x:f>L1318*O1318</x:f>
        <x:v>0</x:v>
      </x:c>
      <x:c r="Q1318" s="35" t="n">
        <x:v>1.2</x:v>
      </x:c>
      <x:c r="R1318" s="35" t="n">
        <x:f>K1318*Q1318</x:f>
        <x:v>0</x:v>
      </x:c>
      <x:c r="S1318" s="35" t="n">
        <x:f>XLOOKUP(H1318,'菜品主数据'!$A$5:$A$24,'菜品主数据'!$G$5:$G$24,0)</x:f>
        <x:v>8.315000000000001</x:v>
      </x:c>
      <x:c r="T1318" s="35" t="n">
        <x:f>K1318*S1318</x:f>
        <x:v>0</x:v>
      </x:c>
      <x:c r="U1318" s="35" t="n">
        <x:f>L1318-N1318-P1318-R1318-T1318</x:f>
        <x:v>0</x:v>
      </x:c>
      <x:c r="V1318" s="21" t="n">
        <x:f>IFERROR(U1318/L1318,0)</x:f>
        <x:v>0</x:v>
      </x:c>
    </x:row>
    <x:row r="1319">
      <x:c r="A1319" s="19" t="str">
        <x:v>SALE-01315</x:v>
      </x:c>
      <x:c r="B1319" s="34" t="n">
        <x:v>46214.5</x:v>
      </x:c>
      <x:c r="C1319" s="19" t="str">
        <x:v>周六</x:v>
      </x:c>
      <x:c r="D1319" s="19" t="str">
        <x:v>S05</x:v>
      </x:c>
      <x:c r="E1319" s="19" t="str">
        <x:v>同顺街店</x:v>
      </x:c>
      <x:c r="F1319" s="19" t="str">
        <x:v>外卖</x:v>
      </x:c>
      <x:c r="G1319" s="19" t="str">
        <x:v>全日</x:v>
      </x:c>
      <x:c r="H1319" s="19" t="str">
        <x:v>D15</x:v>
      </x:c>
      <x:c r="I1319" s="19" t="str">
        <x:v>湘西土匪猪肝</x:v>
      </x:c>
      <x:c r="J1319" s="22" t="n">
        <x:f>XLOOKUP(H1319,'菜品主数据'!$A$5:$A$24,'菜品主数据'!$D$5:$D$24,0)</x:f>
        <x:v>26</x:v>
      </x:c>
      <x:c r="K1319" s="31" t="n">
        <x:v>0</x:v>
      </x:c>
      <x:c r="L1319" s="35" t="n">
        <x:f>J1319*K1319</x:f>
        <x:v>0</x:v>
      </x:c>
      <x:c r="M1319" s="36" t="n">
        <x:v>0.08</x:v>
      </x:c>
      <x:c r="N1319" s="35" t="n">
        <x:f>L1319*M1319</x:f>
        <x:v>0</x:v>
      </x:c>
      <x:c r="O1319" s="37" t="n">
        <x:v>0.18</x:v>
      </x:c>
      <x:c r="P1319" s="35" t="n">
        <x:f>L1319*O1319</x:f>
        <x:v>0</x:v>
      </x:c>
      <x:c r="Q1319" s="35" t="n">
        <x:v>1.2</x:v>
      </x:c>
      <x:c r="R1319" s="35" t="n">
        <x:f>K1319*Q1319</x:f>
        <x:v>0</x:v>
      </x:c>
      <x:c r="S1319" s="35" t="n">
        <x:f>XLOOKUP(H1319,'菜品主数据'!$A$5:$A$24,'菜品主数据'!$G$5:$G$24,0)</x:f>
        <x:v>6.3759999999999994</x:v>
      </x:c>
      <x:c r="T1319" s="35" t="n">
        <x:f>K1319*S1319</x:f>
        <x:v>0</x:v>
      </x:c>
      <x:c r="U1319" s="35" t="n">
        <x:f>L1319-N1319-P1319-R1319-T1319</x:f>
        <x:v>0</x:v>
      </x:c>
      <x:c r="V1319" s="21" t="n">
        <x:f>IFERROR(U1319/L1319,0)</x:f>
        <x:v>0</x:v>
      </x:c>
    </x:row>
    <x:row r="1320">
      <x:c r="A1320" s="19" t="str">
        <x:v>SALE-01316</x:v>
      </x:c>
      <x:c r="B1320" s="34" t="n">
        <x:v>46214.5</x:v>
      </x:c>
      <x:c r="C1320" s="19" t="str">
        <x:v>周六</x:v>
      </x:c>
      <x:c r="D1320" s="19" t="str">
        <x:v>S05</x:v>
      </x:c>
      <x:c r="E1320" s="19" t="str">
        <x:v>同顺街店</x:v>
      </x:c>
      <x:c r="F1320" s="19" t="str">
        <x:v>外卖</x:v>
      </x:c>
      <x:c r="G1320" s="19" t="str">
        <x:v>全日</x:v>
      </x:c>
      <x:c r="H1320" s="19" t="str">
        <x:v>D16</x:v>
      </x:c>
      <x:c r="I1320" s="19" t="str">
        <x:v>小豆角炒五花</x:v>
      </x:c>
      <x:c r="J1320" s="22" t="n">
        <x:f>XLOOKUP(H1320,'菜品主数据'!$A$5:$A$24,'菜品主数据'!$D$5:$D$24,0)</x:f>
        <x:v>25</x:v>
      </x:c>
      <x:c r="K1320" s="31" t="n">
        <x:v>0</x:v>
      </x:c>
      <x:c r="L1320" s="35" t="n">
        <x:f>J1320*K1320</x:f>
        <x:v>0</x:v>
      </x:c>
      <x:c r="M1320" s="36" t="n">
        <x:v>0.08</x:v>
      </x:c>
      <x:c r="N1320" s="35" t="n">
        <x:f>L1320*M1320</x:f>
        <x:v>0</x:v>
      </x:c>
      <x:c r="O1320" s="37" t="n">
        <x:v>0.18</x:v>
      </x:c>
      <x:c r="P1320" s="35" t="n">
        <x:f>L1320*O1320</x:f>
        <x:v>0</x:v>
      </x:c>
      <x:c r="Q1320" s="35" t="n">
        <x:v>1.2</x:v>
      </x:c>
      <x:c r="R1320" s="35" t="n">
        <x:f>K1320*Q1320</x:f>
        <x:v>0</x:v>
      </x:c>
      <x:c r="S1320" s="35" t="n">
        <x:f>XLOOKUP(H1320,'菜品主数据'!$A$5:$A$24,'菜品主数据'!$G$5:$G$24,0)</x:f>
        <x:v>8.184</x:v>
      </x:c>
      <x:c r="T1320" s="35" t="n">
        <x:f>K1320*S1320</x:f>
        <x:v>0</x:v>
      </x:c>
      <x:c r="U1320" s="35" t="n">
        <x:f>L1320-N1320-P1320-R1320-T1320</x:f>
        <x:v>0</x:v>
      </x:c>
      <x:c r="V1320" s="21" t="n">
        <x:f>IFERROR(U1320/L1320,0)</x:f>
        <x:v>0</x:v>
      </x:c>
    </x:row>
    <x:row r="1321">
      <x:c r="A1321" s="19" t="str">
        <x:v>SALE-01317</x:v>
      </x:c>
      <x:c r="B1321" s="34" t="n">
        <x:v>46214.5</x:v>
      </x:c>
      <x:c r="C1321" s="19" t="str">
        <x:v>周六</x:v>
      </x:c>
      <x:c r="D1321" s="19" t="str">
        <x:v>S05</x:v>
      </x:c>
      <x:c r="E1321" s="19" t="str">
        <x:v>同顺街店</x:v>
      </x:c>
      <x:c r="F1321" s="19" t="str">
        <x:v>外卖</x:v>
      </x:c>
      <x:c r="G1321" s="19" t="str">
        <x:v>全日</x:v>
      </x:c>
      <x:c r="H1321" s="19" t="str">
        <x:v>D17</x:v>
      </x:c>
      <x:c r="I1321" s="19" t="str">
        <x:v>蒜蓉粉丝虾</x:v>
      </x:c>
      <x:c r="J1321" s="22" t="n">
        <x:f>XLOOKUP(H1321,'菜品主数据'!$A$5:$A$24,'菜品主数据'!$D$5:$D$24,0)</x:f>
        <x:v>36</x:v>
      </x:c>
      <x:c r="K1321" s="31" t="n">
        <x:v>0</x:v>
      </x:c>
      <x:c r="L1321" s="35" t="n">
        <x:f>J1321*K1321</x:f>
        <x:v>0</x:v>
      </x:c>
      <x:c r="M1321" s="36" t="n">
        <x:v>0.08</x:v>
      </x:c>
      <x:c r="N1321" s="35" t="n">
        <x:f>L1321*M1321</x:f>
        <x:v>0</x:v>
      </x:c>
      <x:c r="O1321" s="37" t="n">
        <x:v>0.18</x:v>
      </x:c>
      <x:c r="P1321" s="35" t="n">
        <x:f>L1321*O1321</x:f>
        <x:v>0</x:v>
      </x:c>
      <x:c r="Q1321" s="35" t="n">
        <x:v>1.2</x:v>
      </x:c>
      <x:c r="R1321" s="35" t="n">
        <x:f>K1321*Q1321</x:f>
        <x:v>0</x:v>
      </x:c>
      <x:c r="S1321" s="35" t="n">
        <x:f>XLOOKUP(H1321,'菜品主数据'!$A$5:$A$24,'菜品主数据'!$G$5:$G$24,0)</x:f>
        <x:v>13.594</x:v>
      </x:c>
      <x:c r="T1321" s="35" t="n">
        <x:f>K1321*S1321</x:f>
        <x:v>0</x:v>
      </x:c>
      <x:c r="U1321" s="35" t="n">
        <x:f>L1321-N1321-P1321-R1321-T1321</x:f>
        <x:v>0</x:v>
      </x:c>
      <x:c r="V1321" s="21" t="n">
        <x:f>IFERROR(U1321/L1321,0)</x:f>
        <x:v>0</x:v>
      </x:c>
    </x:row>
    <x:row r="1322">
      <x:c r="A1322" s="19" t="str">
        <x:v>SALE-01318</x:v>
      </x:c>
      <x:c r="B1322" s="34" t="n">
        <x:v>46214.5</x:v>
      </x:c>
      <x:c r="C1322" s="19" t="str">
        <x:v>周六</x:v>
      </x:c>
      <x:c r="D1322" s="19" t="str">
        <x:v>S05</x:v>
      </x:c>
      <x:c r="E1322" s="19" t="str">
        <x:v>同顺街店</x:v>
      </x:c>
      <x:c r="F1322" s="19" t="str">
        <x:v>外卖</x:v>
      </x:c>
      <x:c r="G1322" s="19" t="str">
        <x:v>全日</x:v>
      </x:c>
      <x:c r="H1322" s="19" t="str">
        <x:v>D18</x:v>
      </x:c>
      <x:c r="I1322" s="19" t="str">
        <x:v>青椒炒油麦菜</x:v>
      </x:c>
      <x:c r="J1322" s="22" t="n">
        <x:f>XLOOKUP(H1322,'菜品主数据'!$A$5:$A$24,'菜品主数据'!$D$5:$D$24,0)</x:f>
        <x:v>18</x:v>
      </x:c>
      <x:c r="K1322" s="31" t="n">
        <x:v>0</x:v>
      </x:c>
      <x:c r="L1322" s="35" t="n">
        <x:f>J1322*K1322</x:f>
        <x:v>0</x:v>
      </x:c>
      <x:c r="M1322" s="36" t="n">
        <x:v>0.08</x:v>
      </x:c>
      <x:c r="N1322" s="35" t="n">
        <x:f>L1322*M1322</x:f>
        <x:v>0</x:v>
      </x:c>
      <x:c r="O1322" s="37" t="n">
        <x:v>0.18</x:v>
      </x:c>
      <x:c r="P1322" s="35" t="n">
        <x:f>L1322*O1322</x:f>
        <x:v>0</x:v>
      </x:c>
      <x:c r="Q1322" s="35" t="n">
        <x:v>1.2</x:v>
      </x:c>
      <x:c r="R1322" s="35" t="n">
        <x:f>K1322*Q1322</x:f>
        <x:v>0</x:v>
      </x:c>
      <x:c r="S1322" s="35" t="n">
        <x:f>XLOOKUP(H1322,'菜品主数据'!$A$5:$A$24,'菜品主数据'!$G$5:$G$24,0)</x:f>
        <x:v>3.1759999999999993</x:v>
      </x:c>
      <x:c r="T1322" s="35" t="n">
        <x:f>K1322*S1322</x:f>
        <x:v>0</x:v>
      </x:c>
      <x:c r="U1322" s="35" t="n">
        <x:f>L1322-N1322-P1322-R1322-T1322</x:f>
        <x:v>0</x:v>
      </x:c>
      <x:c r="V1322" s="21" t="n">
        <x:f>IFERROR(U1322/L1322,0)</x:f>
        <x:v>0</x:v>
      </x:c>
    </x:row>
    <x:row r="1323">
      <x:c r="A1323" s="19" t="str">
        <x:v>SALE-01319</x:v>
      </x:c>
      <x:c r="B1323" s="34" t="n">
        <x:v>46214.5</x:v>
      </x:c>
      <x:c r="C1323" s="19" t="str">
        <x:v>周六</x:v>
      </x:c>
      <x:c r="D1323" s="19" t="str">
        <x:v>S05</x:v>
      </x:c>
      <x:c r="E1323" s="19" t="str">
        <x:v>同顺街店</x:v>
      </x:c>
      <x:c r="F1323" s="19" t="str">
        <x:v>外卖</x:v>
      </x:c>
      <x:c r="G1323" s="19" t="str">
        <x:v>全日</x:v>
      </x:c>
      <x:c r="H1323" s="19" t="str">
        <x:v>D19</x:v>
      </x:c>
      <x:c r="I1323" s="19" t="str">
        <x:v>酸萝卜炒鸡杂</x:v>
      </x:c>
      <x:c r="J1323" s="22" t="n">
        <x:f>XLOOKUP(H1323,'菜品主数据'!$A$5:$A$24,'菜品主数据'!$D$5:$D$24,0)</x:f>
        <x:v>25</x:v>
      </x:c>
      <x:c r="K1323" s="31" t="n">
        <x:v>0</x:v>
      </x:c>
      <x:c r="L1323" s="35" t="n">
        <x:f>J1323*K1323</x:f>
        <x:v>0</x:v>
      </x:c>
      <x:c r="M1323" s="36" t="n">
        <x:v>0.08</x:v>
      </x:c>
      <x:c r="N1323" s="35" t="n">
        <x:f>L1323*M1323</x:f>
        <x:v>0</x:v>
      </x:c>
      <x:c r="O1323" s="37" t="n">
        <x:v>0.18</x:v>
      </x:c>
      <x:c r="P1323" s="35" t="n">
        <x:f>L1323*O1323</x:f>
        <x:v>0</x:v>
      </x:c>
      <x:c r="Q1323" s="35" t="n">
        <x:v>1.2</x:v>
      </x:c>
      <x:c r="R1323" s="35" t="n">
        <x:f>K1323*Q1323</x:f>
        <x:v>0</x:v>
      </x:c>
      <x:c r="S1323" s="35" t="n">
        <x:f>XLOOKUP(H1323,'菜品主数据'!$A$5:$A$24,'菜品主数据'!$G$5:$G$24,0)</x:f>
        <x:v>7.9399999999999995</x:v>
      </x:c>
      <x:c r="T1323" s="35" t="n">
        <x:f>K1323*S1323</x:f>
        <x:v>0</x:v>
      </x:c>
      <x:c r="U1323" s="35" t="n">
        <x:f>L1323-N1323-P1323-R1323-T1323</x:f>
        <x:v>0</x:v>
      </x:c>
      <x:c r="V1323" s="21" t="n">
        <x:f>IFERROR(U1323/L1323,0)</x:f>
        <x:v>0</x:v>
      </x:c>
    </x:row>
    <x:row r="1324">
      <x:c r="A1324" s="19" t="str">
        <x:v>SALE-01320</x:v>
      </x:c>
      <x:c r="B1324" s="34" t="n">
        <x:v>46214.5</x:v>
      </x:c>
      <x:c r="C1324" s="19" t="str">
        <x:v>周六</x:v>
      </x:c>
      <x:c r="D1324" s="19" t="str">
        <x:v>S05</x:v>
      </x:c>
      <x:c r="E1324" s="19" t="str">
        <x:v>同顺街店</x:v>
      </x:c>
      <x:c r="F1324" s="19" t="str">
        <x:v>外卖</x:v>
      </x:c>
      <x:c r="G1324" s="19" t="str">
        <x:v>全日</x:v>
      </x:c>
      <x:c r="H1324" s="19" t="str">
        <x:v>D20</x:v>
      </x:c>
      <x:c r="I1324" s="19" t="str">
        <x:v>雪菜肉末青豆</x:v>
      </x:c>
      <x:c r="J1324" s="22" t="n">
        <x:f>XLOOKUP(H1324,'菜品主数据'!$A$5:$A$24,'菜品主数据'!$D$5:$D$24,0)</x:f>
        <x:v>18</x:v>
      </x:c>
      <x:c r="K1324" s="31" t="n">
        <x:v>0</x:v>
      </x:c>
      <x:c r="L1324" s="35" t="n">
        <x:f>J1324*K1324</x:f>
        <x:v>0</x:v>
      </x:c>
      <x:c r="M1324" s="36" t="n">
        <x:v>0.08</x:v>
      </x:c>
      <x:c r="N1324" s="35" t="n">
        <x:f>L1324*M1324</x:f>
        <x:v>0</x:v>
      </x:c>
      <x:c r="O1324" s="37" t="n">
        <x:v>0.18</x:v>
      </x:c>
      <x:c r="P1324" s="35" t="n">
        <x:f>L1324*O1324</x:f>
        <x:v>0</x:v>
      </x:c>
      <x:c r="Q1324" s="35" t="n">
        <x:v>1.2</x:v>
      </x:c>
      <x:c r="R1324" s="35" t="n">
        <x:f>K1324*Q1324</x:f>
        <x:v>0</x:v>
      </x:c>
      <x:c r="S1324" s="35" t="n">
        <x:f>XLOOKUP(H1324,'菜品主数据'!$A$5:$A$24,'菜品主数据'!$G$5:$G$24,0)</x:f>
        <x:v>7.303999999999999</x:v>
      </x:c>
      <x:c r="T1324" s="35" t="n">
        <x:f>K1324*S1324</x:f>
        <x:v>0</x:v>
      </x:c>
      <x:c r="U1324" s="35" t="n">
        <x:f>L1324-N1324-P1324-R1324-T1324</x:f>
        <x:v>0</x:v>
      </x:c>
      <x:c r="V1324" s="21" t="n">
        <x:f>IFERROR(U1324/L1324,0)</x:f>
        <x:v>0</x:v>
      </x:c>
    </x:row>
    <x:row r="1325">
      <x:c r="A1325" s="19" t="str">
        <x:v>SALE-01321</x:v>
      </x:c>
      <x:c r="B1325" s="34" t="n">
        <x:v>46215.5</x:v>
      </x:c>
      <x:c r="C1325" s="19" t="str">
        <x:v>周日</x:v>
      </x:c>
      <x:c r="D1325" s="19" t="str">
        <x:v>S05</x:v>
      </x:c>
      <x:c r="E1325" s="19" t="str">
        <x:v>同顺街店</x:v>
      </x:c>
      <x:c r="F1325" s="19" t="str">
        <x:v>堂食</x:v>
      </x:c>
      <x:c r="G1325" s="19" t="str">
        <x:v>全日</x:v>
      </x:c>
      <x:c r="H1325" s="19" t="str">
        <x:v>D01</x:v>
      </x:c>
      <x:c r="I1325" s="19" t="str">
        <x:v>辣椒炒肉</x:v>
      </x:c>
      <x:c r="J1325" s="22" t="n">
        <x:f>XLOOKUP(H1325,'菜品主数据'!$A$5:$A$24,'菜品主数据'!$D$5:$D$24,0)</x:f>
        <x:v>29</x:v>
      </x:c>
      <x:c r="K1325" s="31" t="n">
        <x:v>32</x:v>
      </x:c>
      <x:c r="L1325" s="35" t="n">
        <x:f>J1325*K1325</x:f>
        <x:v>928</x:v>
      </x:c>
      <x:c r="M1325" s="36" t="n">
        <x:v>0</x:v>
      </x:c>
      <x:c r="N1325" s="35" t="n">
        <x:f>L1325*M1325</x:f>
        <x:v>0</x:v>
      </x:c>
      <x:c r="O1325" s="37" t="n">
        <x:v>0</x:v>
      </x:c>
      <x:c r="P1325" s="35" t="n">
        <x:f>L1325*O1325</x:f>
        <x:v>0</x:v>
      </x:c>
      <x:c r="Q1325" s="35" t="n">
        <x:v>0</x:v>
      </x:c>
      <x:c r="R1325" s="35" t="n">
        <x:f>K1325*Q1325</x:f>
        <x:v>0</x:v>
      </x:c>
      <x:c r="S1325" s="35" t="n">
        <x:f>XLOOKUP(H1325,'菜品主数据'!$A$5:$A$24,'菜品主数据'!$G$5:$G$24,0)</x:f>
        <x:v>8.634400000000001</x:v>
      </x:c>
      <x:c r="T1325" s="35" t="n">
        <x:f>K1325*S1325</x:f>
        <x:v>276.30080000000004</x:v>
      </x:c>
      <x:c r="U1325" s="35" t="n">
        <x:f>L1325-N1325-P1325-R1325-T1325</x:f>
        <x:v>651.6992</x:v>
      </x:c>
      <x:c r="V1325" s="21" t="n">
        <x:f>IFERROR(U1325/L1325,0)</x:f>
        <x:v>0.7022620689655172</x:v>
      </x:c>
    </x:row>
    <x:row r="1326">
      <x:c r="A1326" s="19" t="str">
        <x:v>SALE-01322</x:v>
      </x:c>
      <x:c r="B1326" s="34" t="n">
        <x:v>46215.5</x:v>
      </x:c>
      <x:c r="C1326" s="19" t="str">
        <x:v>周日</x:v>
      </x:c>
      <x:c r="D1326" s="19" t="str">
        <x:v>S05</x:v>
      </x:c>
      <x:c r="E1326" s="19" t="str">
        <x:v>同顺街店</x:v>
      </x:c>
      <x:c r="F1326" s="19" t="str">
        <x:v>堂食</x:v>
      </x:c>
      <x:c r="G1326" s="19" t="str">
        <x:v>全日</x:v>
      </x:c>
      <x:c r="H1326" s="19" t="str">
        <x:v>D02</x:v>
      </x:c>
      <x:c r="I1326" s="19" t="str">
        <x:v>小炒黄牛肉</x:v>
      </x:c>
      <x:c r="J1326" s="22" t="n">
        <x:f>XLOOKUP(H1326,'菜品主数据'!$A$5:$A$24,'菜品主数据'!$D$5:$D$24,0)</x:f>
        <x:v>49</x:v>
      </x:c>
      <x:c r="K1326" s="31" t="n">
        <x:v>20</x:v>
      </x:c>
      <x:c r="L1326" s="35" t="n">
        <x:f>J1326*K1326</x:f>
        <x:v>980</x:v>
      </x:c>
      <x:c r="M1326" s="36" t="n">
        <x:v>0</x:v>
      </x:c>
      <x:c r="N1326" s="35" t="n">
        <x:f>L1326*M1326</x:f>
        <x:v>0</x:v>
      </x:c>
      <x:c r="O1326" s="37" t="n">
        <x:v>0</x:v>
      </x:c>
      <x:c r="P1326" s="35" t="n">
        <x:f>L1326*O1326</x:f>
        <x:v>0</x:v>
      </x:c>
      <x:c r="Q1326" s="35" t="n">
        <x:v>0</x:v>
      </x:c>
      <x:c r="R1326" s="35" t="n">
        <x:f>K1326*Q1326</x:f>
        <x:v>0</x:v>
      </x:c>
      <x:c r="S1326" s="35" t="n">
        <x:f>XLOOKUP(H1326,'菜品主数据'!$A$5:$A$24,'菜品主数据'!$G$5:$G$24,0)</x:f>
        <x:v>17.577</x:v>
      </x:c>
      <x:c r="T1326" s="35" t="n">
        <x:f>K1326*S1326</x:f>
        <x:v>351.54</x:v>
      </x:c>
      <x:c r="U1326" s="35" t="n">
        <x:f>L1326-N1326-P1326-R1326-T1326</x:f>
        <x:v>628.46</x:v>
      </x:c>
      <x:c r="V1326" s="21" t="n">
        <x:f>IFERROR(U1326/L1326,0)</x:f>
        <x:v>0.6412857142857143</x:v>
      </x:c>
    </x:row>
    <x:row r="1327">
      <x:c r="A1327" s="19" t="str">
        <x:v>SALE-01323</x:v>
      </x:c>
      <x:c r="B1327" s="34" t="n">
        <x:v>46215.5</x:v>
      </x:c>
      <x:c r="C1327" s="19" t="str">
        <x:v>周日</x:v>
      </x:c>
      <x:c r="D1327" s="19" t="str">
        <x:v>S05</x:v>
      </x:c>
      <x:c r="E1327" s="19" t="str">
        <x:v>同顺街店</x:v>
      </x:c>
      <x:c r="F1327" s="19" t="str">
        <x:v>堂食</x:v>
      </x:c>
      <x:c r="G1327" s="19" t="str">
        <x:v>全日</x:v>
      </x:c>
      <x:c r="H1327" s="19" t="str">
        <x:v>D03</x:v>
      </x:c>
      <x:c r="I1327" s="19" t="str">
        <x:v>香醋炒蛋</x:v>
      </x:c>
      <x:c r="J1327" s="22" t="n">
        <x:f>XLOOKUP(H1327,'菜品主数据'!$A$5:$A$24,'菜品主数据'!$D$5:$D$24,0)</x:f>
        <x:v>14.9</x:v>
      </x:c>
      <x:c r="K1327" s="31" t="n">
        <x:v>29</x:v>
      </x:c>
      <x:c r="L1327" s="35" t="n">
        <x:f>J1327*K1327</x:f>
        <x:v>432.1</x:v>
      </x:c>
      <x:c r="M1327" s="36" t="n">
        <x:v>0</x:v>
      </x:c>
      <x:c r="N1327" s="35" t="n">
        <x:f>L1327*M1327</x:f>
        <x:v>0</x:v>
      </x:c>
      <x:c r="O1327" s="37" t="n">
        <x:v>0</x:v>
      </x:c>
      <x:c r="P1327" s="35" t="n">
        <x:f>L1327*O1327</x:f>
        <x:v>0</x:v>
      </x:c>
      <x:c r="Q1327" s="35" t="n">
        <x:v>0</x:v>
      </x:c>
      <x:c r="R1327" s="35" t="n">
        <x:f>K1327*Q1327</x:f>
        <x:v>0</x:v>
      </x:c>
      <x:c r="S1327" s="35" t="n">
        <x:f>XLOOKUP(H1327,'菜品主数据'!$A$5:$A$24,'菜品主数据'!$G$5:$G$24,0)</x:f>
        <x:v>3.7459999999999996</x:v>
      </x:c>
      <x:c r="T1327" s="35" t="n">
        <x:f>K1327*S1327</x:f>
        <x:v>108.63399999999999</x:v>
      </x:c>
      <x:c r="U1327" s="35" t="n">
        <x:f>L1327-N1327-P1327-R1327-T1327</x:f>
        <x:v>323.466</x:v>
      </x:c>
      <x:c r="V1327" s="21" t="n">
        <x:f>IFERROR(U1327/L1327,0)</x:f>
        <x:v>0.7485906040268456</x:v>
      </x:c>
    </x:row>
    <x:row r="1328">
      <x:c r="A1328" s="19" t="str">
        <x:v>SALE-01324</x:v>
      </x:c>
      <x:c r="B1328" s="34" t="n">
        <x:v>46215.5</x:v>
      </x:c>
      <x:c r="C1328" s="19" t="str">
        <x:v>周日</x:v>
      </x:c>
      <x:c r="D1328" s="19" t="str">
        <x:v>S05</x:v>
      </x:c>
      <x:c r="E1328" s="19" t="str">
        <x:v>同顺街店</x:v>
      </x:c>
      <x:c r="F1328" s="19" t="str">
        <x:v>堂食</x:v>
      </x:c>
      <x:c r="G1328" s="19" t="str">
        <x:v>全日</x:v>
      </x:c>
      <x:c r="H1328" s="19" t="str">
        <x:v>D04</x:v>
      </x:c>
      <x:c r="I1328" s="19" t="str">
        <x:v>酸包菜炒粉皮</x:v>
      </x:c>
      <x:c r="J1328" s="22" t="n">
        <x:f>XLOOKUP(H1328,'菜品主数据'!$A$5:$A$24,'菜品主数据'!$D$5:$D$24,0)</x:f>
        <x:v>16</x:v>
      </x:c>
      <x:c r="K1328" s="31" t="n">
        <x:v>26</x:v>
      </x:c>
      <x:c r="L1328" s="35" t="n">
        <x:f>J1328*K1328</x:f>
        <x:v>416</x:v>
      </x:c>
      <x:c r="M1328" s="36" t="n">
        <x:v>0</x:v>
      </x:c>
      <x:c r="N1328" s="35" t="n">
        <x:f>L1328*M1328</x:f>
        <x:v>0</x:v>
      </x:c>
      <x:c r="O1328" s="37" t="n">
        <x:v>0</x:v>
      </x:c>
      <x:c r="P1328" s="35" t="n">
        <x:f>L1328*O1328</x:f>
        <x:v>0</x:v>
      </x:c>
      <x:c r="Q1328" s="35" t="n">
        <x:v>0</x:v>
      </x:c>
      <x:c r="R1328" s="35" t="n">
        <x:f>K1328*Q1328</x:f>
        <x:v>0</x:v>
      </x:c>
      <x:c r="S1328" s="35" t="n">
        <x:f>XLOOKUP(H1328,'菜品主数据'!$A$5:$A$24,'菜品主数据'!$G$5:$G$24,0)</x:f>
        <x:v>3.978</x:v>
      </x:c>
      <x:c r="T1328" s="35" t="n">
        <x:f>K1328*S1328</x:f>
        <x:v>103.42800000000001</x:v>
      </x:c>
      <x:c r="U1328" s="35" t="n">
        <x:f>L1328-N1328-P1328-R1328-T1328</x:f>
        <x:v>312.572</x:v>
      </x:c>
      <x:c r="V1328" s="21" t="n">
        <x:f>IFERROR(U1328/L1328,0)</x:f>
        <x:v>0.751375</x:v>
      </x:c>
    </x:row>
    <x:row r="1329">
      <x:c r="A1329" s="19" t="str">
        <x:v>SALE-01325</x:v>
      </x:c>
      <x:c r="B1329" s="34" t="n">
        <x:v>46215.5</x:v>
      </x:c>
      <x:c r="C1329" s="19" t="str">
        <x:v>周日</x:v>
      </x:c>
      <x:c r="D1329" s="19" t="str">
        <x:v>S05</x:v>
      </x:c>
      <x:c r="E1329" s="19" t="str">
        <x:v>同顺街店</x:v>
      </x:c>
      <x:c r="F1329" s="19" t="str">
        <x:v>堂食</x:v>
      </x:c>
      <x:c r="G1329" s="19" t="str">
        <x:v>全日</x:v>
      </x:c>
      <x:c r="H1329" s="19" t="str">
        <x:v>D05</x:v>
      </x:c>
      <x:c r="I1329" s="19" t="str">
        <x:v>麻婆豆腐</x:v>
      </x:c>
      <x:c r="J1329" s="22" t="n">
        <x:f>XLOOKUP(H1329,'菜品主数据'!$A$5:$A$24,'菜品主数据'!$D$5:$D$24,0)</x:f>
        <x:v>9.9</x:v>
      </x:c>
      <x:c r="K1329" s="31" t="n">
        <x:v>35</x:v>
      </x:c>
      <x:c r="L1329" s="35" t="n">
        <x:f>J1329*K1329</x:f>
        <x:v>346.5</x:v>
      </x:c>
      <x:c r="M1329" s="36" t="n">
        <x:v>0</x:v>
      </x:c>
      <x:c r="N1329" s="35" t="n">
        <x:f>L1329*M1329</x:f>
        <x:v>0</x:v>
      </x:c>
      <x:c r="O1329" s="37" t="n">
        <x:v>0</x:v>
      </x:c>
      <x:c r="P1329" s="35" t="n">
        <x:f>L1329*O1329</x:f>
        <x:v>0</x:v>
      </x:c>
      <x:c r="Q1329" s="35" t="n">
        <x:v>0</x:v>
      </x:c>
      <x:c r="R1329" s="35" t="n">
        <x:f>K1329*Q1329</x:f>
        <x:v>0</x:v>
      </x:c>
      <x:c r="S1329" s="35" t="n">
        <x:f>XLOOKUP(H1329,'菜品主数据'!$A$5:$A$24,'菜品主数据'!$G$5:$G$24,0)</x:f>
        <x:v>5.367000000000001</x:v>
      </x:c>
      <x:c r="T1329" s="35" t="n">
        <x:f>K1329*S1329</x:f>
        <x:v>187.84500000000003</x:v>
      </x:c>
      <x:c r="U1329" s="35" t="n">
        <x:f>L1329-N1329-P1329-R1329-T1329</x:f>
        <x:v>158.65499999999997</x:v>
      </x:c>
      <x:c r="V1329" s="21" t="n">
        <x:f>IFERROR(U1329/L1329,0)</x:f>
        <x:v>0.4578787878787878</x:v>
      </x:c>
    </x:row>
    <x:row r="1330">
      <x:c r="A1330" s="19" t="str">
        <x:v>SALE-01326</x:v>
      </x:c>
      <x:c r="B1330" s="34" t="n">
        <x:v>46215.5</x:v>
      </x:c>
      <x:c r="C1330" s="19" t="str">
        <x:v>周日</x:v>
      </x:c>
      <x:c r="D1330" s="19" t="str">
        <x:v>S05</x:v>
      </x:c>
      <x:c r="E1330" s="19" t="str">
        <x:v>同顺街店</x:v>
      </x:c>
      <x:c r="F1330" s="19" t="str">
        <x:v>堂食</x:v>
      </x:c>
      <x:c r="G1330" s="19" t="str">
        <x:v>全日</x:v>
      </x:c>
      <x:c r="H1330" s="19" t="str">
        <x:v>D06</x:v>
      </x:c>
      <x:c r="I1330" s="19" t="str">
        <x:v>剁椒鱼头</x:v>
      </x:c>
      <x:c r="J1330" s="22" t="n">
        <x:f>XLOOKUP(H1330,'菜品主数据'!$A$5:$A$24,'菜品主数据'!$D$5:$D$24,0)</x:f>
        <x:v>39</x:v>
      </x:c>
      <x:c r="K1330" s="31" t="n">
        <x:v>9</x:v>
      </x:c>
      <x:c r="L1330" s="35" t="n">
        <x:f>J1330*K1330</x:f>
        <x:v>351</x:v>
      </x:c>
      <x:c r="M1330" s="36" t="n">
        <x:v>0</x:v>
      </x:c>
      <x:c r="N1330" s="35" t="n">
        <x:f>L1330*M1330</x:f>
        <x:v>0</x:v>
      </x:c>
      <x:c r="O1330" s="37" t="n">
        <x:v>0</x:v>
      </x:c>
      <x:c r="P1330" s="35" t="n">
        <x:f>L1330*O1330</x:f>
        <x:v>0</x:v>
      </x:c>
      <x:c r="Q1330" s="35" t="n">
        <x:v>0</x:v>
      </x:c>
      <x:c r="R1330" s="35" t="n">
        <x:f>K1330*Q1330</x:f>
        <x:v>0</x:v>
      </x:c>
      <x:c r="S1330" s="35" t="n">
        <x:f>XLOOKUP(H1330,'菜品主数据'!$A$5:$A$24,'菜品主数据'!$G$5:$G$24,0)</x:f>
        <x:v>17.446</x:v>
      </x:c>
      <x:c r="T1330" s="35" t="n">
        <x:f>K1330*S1330</x:f>
        <x:v>157.014</x:v>
      </x:c>
      <x:c r="U1330" s="35" t="n">
        <x:f>L1330-N1330-P1330-R1330-T1330</x:f>
        <x:v>193.986</x:v>
      </x:c>
      <x:c r="V1330" s="21" t="n">
        <x:f>IFERROR(U1330/L1330,0)</x:f>
        <x:v>0.5526666666666666</x:v>
      </x:c>
    </x:row>
    <x:row r="1331">
      <x:c r="A1331" s="19" t="str">
        <x:v>SALE-01327</x:v>
      </x:c>
      <x:c r="B1331" s="34" t="n">
        <x:v>46215.5</x:v>
      </x:c>
      <x:c r="C1331" s="19" t="str">
        <x:v>周日</x:v>
      </x:c>
      <x:c r="D1331" s="19" t="str">
        <x:v>S05</x:v>
      </x:c>
      <x:c r="E1331" s="19" t="str">
        <x:v>同顺街店</x:v>
      </x:c>
      <x:c r="F1331" s="19" t="str">
        <x:v>堂食</x:v>
      </x:c>
      <x:c r="G1331" s="19" t="str">
        <x:v>全日</x:v>
      </x:c>
      <x:c r="H1331" s="19" t="str">
        <x:v>D07</x:v>
      </x:c>
      <x:c r="I1331" s="19" t="str">
        <x:v>川味回锅肉</x:v>
      </x:c>
      <x:c r="J1331" s="22" t="n">
        <x:f>XLOOKUP(H1331,'菜品主数据'!$A$5:$A$24,'菜品主数据'!$D$5:$D$24,0)</x:f>
        <x:v>29</x:v>
      </x:c>
      <x:c r="K1331" s="31" t="n">
        <x:v>11</x:v>
      </x:c>
      <x:c r="L1331" s="35" t="n">
        <x:f>J1331*K1331</x:f>
        <x:v>319</x:v>
      </x:c>
      <x:c r="M1331" s="36" t="n">
        <x:v>0</x:v>
      </x:c>
      <x:c r="N1331" s="35" t="n">
        <x:f>L1331*M1331</x:f>
        <x:v>0</x:v>
      </x:c>
      <x:c r="O1331" s="37" t="n">
        <x:v>0</x:v>
      </x:c>
      <x:c r="P1331" s="35" t="n">
        <x:f>L1331*O1331</x:f>
        <x:v>0</x:v>
      </x:c>
      <x:c r="Q1331" s="35" t="n">
        <x:v>0</x:v>
      </x:c>
      <x:c r="R1331" s="35" t="n">
        <x:f>K1331*Q1331</x:f>
        <x:v>0</x:v>
      </x:c>
      <x:c r="S1331" s="35" t="n">
        <x:f>XLOOKUP(H1331,'菜品主数据'!$A$5:$A$24,'菜品主数据'!$G$5:$G$24,0)</x:f>
        <x:v>10.231000000000002</x:v>
      </x:c>
      <x:c r="T1331" s="35" t="n">
        <x:f>K1331*S1331</x:f>
        <x:v>112.54100000000003</x:v>
      </x:c>
      <x:c r="U1331" s="35" t="n">
        <x:f>L1331-N1331-P1331-R1331-T1331</x:f>
        <x:v>206.45899999999997</x:v>
      </x:c>
      <x:c r="V1331" s="21" t="n">
        <x:f>IFERROR(U1331/L1331,0)</x:f>
        <x:v>0.647206896551724</x:v>
      </x:c>
    </x:row>
    <x:row r="1332">
      <x:c r="A1332" s="19" t="str">
        <x:v>SALE-01328</x:v>
      </x:c>
      <x:c r="B1332" s="34" t="n">
        <x:v>46215.5</x:v>
      </x:c>
      <x:c r="C1332" s="19" t="str">
        <x:v>周日</x:v>
      </x:c>
      <x:c r="D1332" s="19" t="str">
        <x:v>S05</x:v>
      </x:c>
      <x:c r="E1332" s="19" t="str">
        <x:v>同顺街店</x:v>
      </x:c>
      <x:c r="F1332" s="19" t="str">
        <x:v>堂食</x:v>
      </x:c>
      <x:c r="G1332" s="19" t="str">
        <x:v>全日</x:v>
      </x:c>
      <x:c r="H1332" s="19" t="str">
        <x:v>D08</x:v>
      </x:c>
      <x:c r="I1332" s="19" t="str">
        <x:v>生炒清远鸡</x:v>
      </x:c>
      <x:c r="J1332" s="22" t="n">
        <x:f>XLOOKUP(H1332,'菜品主数据'!$A$5:$A$24,'菜品主数据'!$D$5:$D$24,0)</x:f>
        <x:v>36</x:v>
      </x:c>
      <x:c r="K1332" s="31" t="n">
        <x:v>7</x:v>
      </x:c>
      <x:c r="L1332" s="35" t="n">
        <x:f>J1332*K1332</x:f>
        <x:v>252</x:v>
      </x:c>
      <x:c r="M1332" s="36" t="n">
        <x:v>0</x:v>
      </x:c>
      <x:c r="N1332" s="35" t="n">
        <x:f>L1332*M1332</x:f>
        <x:v>0</x:v>
      </x:c>
      <x:c r="O1332" s="37" t="n">
        <x:v>0</x:v>
      </x:c>
      <x:c r="P1332" s="35" t="n">
        <x:f>L1332*O1332</x:f>
        <x:v>0</x:v>
      </x:c>
      <x:c r="Q1332" s="35" t="n">
        <x:v>0</x:v>
      </x:c>
      <x:c r="R1332" s="35" t="n">
        <x:f>K1332*Q1332</x:f>
        <x:v>0</x:v>
      </x:c>
      <x:c r="S1332" s="35" t="n">
        <x:f>XLOOKUP(H1332,'菜品主数据'!$A$5:$A$24,'菜品主数据'!$G$5:$G$24,0)</x:f>
        <x:v>13.48</x:v>
      </x:c>
      <x:c r="T1332" s="35" t="n">
        <x:f>K1332*S1332</x:f>
        <x:v>94.36</x:v>
      </x:c>
      <x:c r="U1332" s="35" t="n">
        <x:f>L1332-N1332-P1332-R1332-T1332</x:f>
        <x:v>157.64</x:v>
      </x:c>
      <x:c r="V1332" s="21" t="n">
        <x:f>IFERROR(U1332/L1332,0)</x:f>
        <x:v>0.6255555555555555</x:v>
      </x:c>
    </x:row>
    <x:row r="1333">
      <x:c r="A1333" s="19" t="str">
        <x:v>SALE-01329</x:v>
      </x:c>
      <x:c r="B1333" s="34" t="n">
        <x:v>46215.5</x:v>
      </x:c>
      <x:c r="C1333" s="19" t="str">
        <x:v>周日</x:v>
      </x:c>
      <x:c r="D1333" s="19" t="str">
        <x:v>S05</x:v>
      </x:c>
      <x:c r="E1333" s="19" t="str">
        <x:v>同顺街店</x:v>
      </x:c>
      <x:c r="F1333" s="19" t="str">
        <x:v>堂食</x:v>
      </x:c>
      <x:c r="G1333" s="19" t="str">
        <x:v>全日</x:v>
      </x:c>
      <x:c r="H1333" s="19" t="str">
        <x:v>D09</x:v>
      </x:c>
      <x:c r="I1333" s="19" t="str">
        <x:v>炒豆干</x:v>
      </x:c>
      <x:c r="J1333" s="22" t="n">
        <x:f>XLOOKUP(H1333,'菜品主数据'!$A$5:$A$24,'菜品主数据'!$D$5:$D$24,0)</x:f>
        <x:v>18</x:v>
      </x:c>
      <x:c r="K1333" s="31" t="n">
        <x:v>11</x:v>
      </x:c>
      <x:c r="L1333" s="35" t="n">
        <x:f>J1333*K1333</x:f>
        <x:v>198</x:v>
      </x:c>
      <x:c r="M1333" s="36" t="n">
        <x:v>0</x:v>
      </x:c>
      <x:c r="N1333" s="35" t="n">
        <x:f>L1333*M1333</x:f>
        <x:v>0</x:v>
      </x:c>
      <x:c r="O1333" s="37" t="n">
        <x:v>0</x:v>
      </x:c>
      <x:c r="P1333" s="35" t="n">
        <x:f>L1333*O1333</x:f>
        <x:v>0</x:v>
      </x:c>
      <x:c r="Q1333" s="35" t="n">
        <x:v>0</x:v>
      </x:c>
      <x:c r="R1333" s="35" t="n">
        <x:f>K1333*Q1333</x:f>
        <x:v>0</x:v>
      </x:c>
      <x:c r="S1333" s="35" t="n">
        <x:f>XLOOKUP(H1333,'菜品主数据'!$A$5:$A$24,'菜品主数据'!$G$5:$G$24,0)</x:f>
        <x:v>6.613999999999999</x:v>
      </x:c>
      <x:c r="T1333" s="35" t="n">
        <x:f>K1333*S1333</x:f>
        <x:v>72.75399999999999</x:v>
      </x:c>
      <x:c r="U1333" s="35" t="n">
        <x:f>L1333-N1333-P1333-R1333-T1333</x:f>
        <x:v>125.24600000000001</x:v>
      </x:c>
      <x:c r="V1333" s="21" t="n">
        <x:f>IFERROR(U1333/L1333,0)</x:f>
        <x:v>0.6325555555555556</x:v>
      </x:c>
    </x:row>
    <x:row r="1334">
      <x:c r="A1334" s="19" t="str">
        <x:v>SALE-01330</x:v>
      </x:c>
      <x:c r="B1334" s="34" t="n">
        <x:v>46215.5</x:v>
      </x:c>
      <x:c r="C1334" s="19" t="str">
        <x:v>周日</x:v>
      </x:c>
      <x:c r="D1334" s="19" t="str">
        <x:v>S05</x:v>
      </x:c>
      <x:c r="E1334" s="19" t="str">
        <x:v>同顺街店</x:v>
      </x:c>
      <x:c r="F1334" s="19" t="str">
        <x:v>堂食</x:v>
      </x:c>
      <x:c r="G1334" s="19" t="str">
        <x:v>全日</x:v>
      </x:c>
      <x:c r="H1334" s="19" t="str">
        <x:v>D10</x:v>
      </x:c>
      <x:c r="I1334" s="19" t="str">
        <x:v>农家一碗香</x:v>
      </x:c>
      <x:c r="J1334" s="22" t="n">
        <x:f>XLOOKUP(H1334,'菜品主数据'!$A$5:$A$24,'菜品主数据'!$D$5:$D$24,0)</x:f>
        <x:v>22.9</x:v>
      </x:c>
      <x:c r="K1334" s="31" t="n">
        <x:v>12</x:v>
      </x:c>
      <x:c r="L1334" s="35" t="n">
        <x:f>J1334*K1334</x:f>
        <x:v>274.79999999999995</x:v>
      </x:c>
      <x:c r="M1334" s="36" t="n">
        <x:v>0</x:v>
      </x:c>
      <x:c r="N1334" s="35" t="n">
        <x:f>L1334*M1334</x:f>
        <x:v>0</x:v>
      </x:c>
      <x:c r="O1334" s="37" t="n">
        <x:v>0</x:v>
      </x:c>
      <x:c r="P1334" s="35" t="n">
        <x:f>L1334*O1334</x:f>
        <x:v>0</x:v>
      </x:c>
      <x:c r="Q1334" s="35" t="n">
        <x:v>0</x:v>
      </x:c>
      <x:c r="R1334" s="35" t="n">
        <x:f>K1334*Q1334</x:f>
        <x:v>0</x:v>
      </x:c>
      <x:c r="S1334" s="35" t="n">
        <x:f>XLOOKUP(H1334,'菜品主数据'!$A$5:$A$24,'菜品主数据'!$G$5:$G$24,0)</x:f>
        <x:v>9.770200000000003</x:v>
      </x:c>
      <x:c r="T1334" s="35" t="n">
        <x:f>K1334*S1334</x:f>
        <x:v>117.24240000000003</x:v>
      </x:c>
      <x:c r="U1334" s="35" t="n">
        <x:f>L1334-N1334-P1334-R1334-T1334</x:f>
        <x:v>157.55759999999992</x:v>
      </x:c>
      <x:c r="V1334" s="21" t="n">
        <x:f>IFERROR(U1334/L1334,0)</x:f>
        <x:v>0.5733537117903929</x:v>
      </x:c>
    </x:row>
    <x:row r="1335">
      <x:c r="A1335" s="19" t="str">
        <x:v>SALE-01331</x:v>
      </x:c>
      <x:c r="B1335" s="34" t="n">
        <x:v>46215.5</x:v>
      </x:c>
      <x:c r="C1335" s="19" t="str">
        <x:v>周日</x:v>
      </x:c>
      <x:c r="D1335" s="19" t="str">
        <x:v>S05</x:v>
      </x:c>
      <x:c r="E1335" s="19" t="str">
        <x:v>同顺街店</x:v>
      </x:c>
      <x:c r="F1335" s="19" t="str">
        <x:v>堂食</x:v>
      </x:c>
      <x:c r="G1335" s="19" t="str">
        <x:v>全日</x:v>
      </x:c>
      <x:c r="H1335" s="19" t="str">
        <x:v>D11</x:v>
      </x:c>
      <x:c r="I1335" s="19" t="str">
        <x:v>香辣爆肥肠</x:v>
      </x:c>
      <x:c r="J1335" s="22" t="n">
        <x:f>XLOOKUP(H1335,'菜品主数据'!$A$5:$A$24,'菜品主数据'!$D$5:$D$24,0)</x:f>
        <x:v>39</x:v>
      </x:c>
      <x:c r="K1335" s="31" t="n">
        <x:v>5</x:v>
      </x:c>
      <x:c r="L1335" s="35" t="n">
        <x:f>J1335*K1335</x:f>
        <x:v>195</x:v>
      </x:c>
      <x:c r="M1335" s="36" t="n">
        <x:v>0</x:v>
      </x:c>
      <x:c r="N1335" s="35" t="n">
        <x:f>L1335*M1335</x:f>
        <x:v>0</x:v>
      </x:c>
      <x:c r="O1335" s="37" t="n">
        <x:v>0</x:v>
      </x:c>
      <x:c r="P1335" s="35" t="n">
        <x:f>L1335*O1335</x:f>
        <x:v>0</x:v>
      </x:c>
      <x:c r="Q1335" s="35" t="n">
        <x:v>0</x:v>
      </x:c>
      <x:c r="R1335" s="35" t="n">
        <x:f>K1335*Q1335</x:f>
        <x:v>0</x:v>
      </x:c>
      <x:c r="S1335" s="35" t="n">
        <x:f>XLOOKUP(H1335,'菜品主数据'!$A$5:$A$24,'菜品主数据'!$G$5:$G$24,0)</x:f>
        <x:v>10.397</x:v>
      </x:c>
      <x:c r="T1335" s="35" t="n">
        <x:f>K1335*S1335</x:f>
        <x:v>51.985</x:v>
      </x:c>
      <x:c r="U1335" s="35" t="n">
        <x:f>L1335-N1335-P1335-R1335-T1335</x:f>
        <x:v>143.015</x:v>
      </x:c>
      <x:c r="V1335" s="21" t="n">
        <x:f>IFERROR(U1335/L1335,0)</x:f>
        <x:v>0.7334102564102564</x:v>
      </x:c>
    </x:row>
    <x:row r="1336">
      <x:c r="A1336" s="19" t="str">
        <x:v>SALE-01332</x:v>
      </x:c>
      <x:c r="B1336" s="34" t="n">
        <x:v>46215.5</x:v>
      </x:c>
      <x:c r="C1336" s="19" t="str">
        <x:v>周日</x:v>
      </x:c>
      <x:c r="D1336" s="19" t="str">
        <x:v>S05</x:v>
      </x:c>
      <x:c r="E1336" s="19" t="str">
        <x:v>同顺街店</x:v>
      </x:c>
      <x:c r="F1336" s="19" t="str">
        <x:v>堂食</x:v>
      </x:c>
      <x:c r="G1336" s="19" t="str">
        <x:v>全日</x:v>
      </x:c>
      <x:c r="H1336" s="19" t="str">
        <x:v>D12</x:v>
      </x:c>
      <x:c r="I1336" s="19" t="str">
        <x:v>清蒸鲈鱼</x:v>
      </x:c>
      <x:c r="J1336" s="22" t="n">
        <x:f>XLOOKUP(H1336,'菜品主数据'!$A$5:$A$24,'菜品主数据'!$D$5:$D$24,0)</x:f>
        <x:v>39</x:v>
      </x:c>
      <x:c r="K1336" s="31" t="n">
        <x:v>5</x:v>
      </x:c>
      <x:c r="L1336" s="35" t="n">
        <x:f>J1336*K1336</x:f>
        <x:v>195</x:v>
      </x:c>
      <x:c r="M1336" s="36" t="n">
        <x:v>0</x:v>
      </x:c>
      <x:c r="N1336" s="35" t="n">
        <x:f>L1336*M1336</x:f>
        <x:v>0</x:v>
      </x:c>
      <x:c r="O1336" s="37" t="n">
        <x:v>0</x:v>
      </x:c>
      <x:c r="P1336" s="35" t="n">
        <x:f>L1336*O1336</x:f>
        <x:v>0</x:v>
      </x:c>
      <x:c r="Q1336" s="35" t="n">
        <x:v>0</x:v>
      </x:c>
      <x:c r="R1336" s="35" t="n">
        <x:f>K1336*Q1336</x:f>
        <x:v>0</x:v>
      </x:c>
      <x:c r="S1336" s="35" t="n">
        <x:f>XLOOKUP(H1336,'菜品主数据'!$A$5:$A$24,'菜品主数据'!$G$5:$G$24,0)</x:f>
        <x:v>18.874</x:v>
      </x:c>
      <x:c r="T1336" s="35" t="n">
        <x:f>K1336*S1336</x:f>
        <x:v>94.36999999999999</x:v>
      </x:c>
      <x:c r="U1336" s="35" t="n">
        <x:f>L1336-N1336-P1336-R1336-T1336</x:f>
        <x:v>100.63000000000001</x:v>
      </x:c>
      <x:c r="V1336" s="21" t="n">
        <x:f>IFERROR(U1336/L1336,0)</x:f>
        <x:v>0.5160512820512821</x:v>
      </x:c>
    </x:row>
    <x:row r="1337">
      <x:c r="A1337" s="19" t="str">
        <x:v>SALE-01333</x:v>
      </x:c>
      <x:c r="B1337" s="34" t="n">
        <x:v>46215.5</x:v>
      </x:c>
      <x:c r="C1337" s="19" t="str">
        <x:v>周日</x:v>
      </x:c>
      <x:c r="D1337" s="19" t="str">
        <x:v>S05</x:v>
      </x:c>
      <x:c r="E1337" s="19" t="str">
        <x:v>同顺街店</x:v>
      </x:c>
      <x:c r="F1337" s="19" t="str">
        <x:v>堂食</x:v>
      </x:c>
      <x:c r="G1337" s="19" t="str">
        <x:v>全日</x:v>
      </x:c>
      <x:c r="H1337" s="19" t="str">
        <x:v>D13</x:v>
      </x:c>
      <x:c r="I1337" s="19" t="str">
        <x:v>外婆菜炒蛋</x:v>
      </x:c>
      <x:c r="J1337" s="22" t="n">
        <x:f>XLOOKUP(H1337,'菜品主数据'!$A$5:$A$24,'菜品主数据'!$D$5:$D$24,0)</x:f>
        <x:v>18</x:v>
      </x:c>
      <x:c r="K1337" s="31" t="n">
        <x:v>10</x:v>
      </x:c>
      <x:c r="L1337" s="35" t="n">
        <x:f>J1337*K1337</x:f>
        <x:v>180</x:v>
      </x:c>
      <x:c r="M1337" s="36" t="n">
        <x:v>0</x:v>
      </x:c>
      <x:c r="N1337" s="35" t="n">
        <x:f>L1337*M1337</x:f>
        <x:v>0</x:v>
      </x:c>
      <x:c r="O1337" s="37" t="n">
        <x:v>0</x:v>
      </x:c>
      <x:c r="P1337" s="35" t="n">
        <x:f>L1337*O1337</x:f>
        <x:v>0</x:v>
      </x:c>
      <x:c r="Q1337" s="35" t="n">
        <x:v>0</x:v>
      </x:c>
      <x:c r="R1337" s="35" t="n">
        <x:f>K1337*Q1337</x:f>
        <x:v>0</x:v>
      </x:c>
      <x:c r="S1337" s="35" t="n">
        <x:f>XLOOKUP(H1337,'菜品主数据'!$A$5:$A$24,'菜品主数据'!$G$5:$G$24,0)</x:f>
        <x:v>5.403999999999999</x:v>
      </x:c>
      <x:c r="T1337" s="35" t="n">
        <x:f>K1337*S1337</x:f>
        <x:v>54.03999999999999</x:v>
      </x:c>
      <x:c r="U1337" s="35" t="n">
        <x:f>L1337-N1337-P1337-R1337-T1337</x:f>
        <x:v>125.96000000000001</x:v>
      </x:c>
      <x:c r="V1337" s="21" t="n">
        <x:f>IFERROR(U1337/L1337,0)</x:f>
        <x:v>0.6997777777777778</x:v>
      </x:c>
    </x:row>
    <x:row r="1338">
      <x:c r="A1338" s="19" t="str">
        <x:v>SALE-01334</x:v>
      </x:c>
      <x:c r="B1338" s="34" t="n">
        <x:v>46215.5</x:v>
      </x:c>
      <x:c r="C1338" s="19" t="str">
        <x:v>周日</x:v>
      </x:c>
      <x:c r="D1338" s="19" t="str">
        <x:v>S05</x:v>
      </x:c>
      <x:c r="E1338" s="19" t="str">
        <x:v>同顺街店</x:v>
      </x:c>
      <x:c r="F1338" s="19" t="str">
        <x:v>堂食</x:v>
      </x:c>
      <x:c r="G1338" s="19" t="str">
        <x:v>全日</x:v>
      </x:c>
      <x:c r="H1338" s="19" t="str">
        <x:v>D14</x:v>
      </x:c>
      <x:c r="I1338" s="19" t="str">
        <x:v>酸辣鸡杂</x:v>
      </x:c>
      <x:c r="J1338" s="22" t="n">
        <x:f>XLOOKUP(H1338,'菜品主数据'!$A$5:$A$24,'菜品主数据'!$D$5:$D$24,0)</x:f>
        <x:v>28</x:v>
      </x:c>
      <x:c r="K1338" s="31" t="n">
        <x:v>6</x:v>
      </x:c>
      <x:c r="L1338" s="35" t="n">
        <x:f>J1338*K1338</x:f>
        <x:v>168</x:v>
      </x:c>
      <x:c r="M1338" s="36" t="n">
        <x:v>0</x:v>
      </x:c>
      <x:c r="N1338" s="35" t="n">
        <x:f>L1338*M1338</x:f>
        <x:v>0</x:v>
      </x:c>
      <x:c r="O1338" s="37" t="n">
        <x:v>0</x:v>
      </x:c>
      <x:c r="P1338" s="35" t="n">
        <x:f>L1338*O1338</x:f>
        <x:v>0</x:v>
      </x:c>
      <x:c r="Q1338" s="35" t="n">
        <x:v>0</x:v>
      </x:c>
      <x:c r="R1338" s="35" t="n">
        <x:f>K1338*Q1338</x:f>
        <x:v>0</x:v>
      </x:c>
      <x:c r="S1338" s="35" t="n">
        <x:f>XLOOKUP(H1338,'菜品主数据'!$A$5:$A$24,'菜品主数据'!$G$5:$G$24,0)</x:f>
        <x:v>8.315000000000001</x:v>
      </x:c>
      <x:c r="T1338" s="35" t="n">
        <x:f>K1338*S1338</x:f>
        <x:v>49.89000000000001</x:v>
      </x:c>
      <x:c r="U1338" s="35" t="n">
        <x:f>L1338-N1338-P1338-R1338-T1338</x:f>
        <x:v>118.10999999999999</x:v>
      </x:c>
      <x:c r="V1338" s="21" t="n">
        <x:f>IFERROR(U1338/L1338,0)</x:f>
        <x:v>0.7030357142857142</x:v>
      </x:c>
    </x:row>
    <x:row r="1339">
      <x:c r="A1339" s="19" t="str">
        <x:v>SALE-01335</x:v>
      </x:c>
      <x:c r="B1339" s="34" t="n">
        <x:v>46215.5</x:v>
      </x:c>
      <x:c r="C1339" s="19" t="str">
        <x:v>周日</x:v>
      </x:c>
      <x:c r="D1339" s="19" t="str">
        <x:v>S05</x:v>
      </x:c>
      <x:c r="E1339" s="19" t="str">
        <x:v>同顺街店</x:v>
      </x:c>
      <x:c r="F1339" s="19" t="str">
        <x:v>堂食</x:v>
      </x:c>
      <x:c r="G1339" s="19" t="str">
        <x:v>全日</x:v>
      </x:c>
      <x:c r="H1339" s="19" t="str">
        <x:v>D15</x:v>
      </x:c>
      <x:c r="I1339" s="19" t="str">
        <x:v>湘西土匪猪肝</x:v>
      </x:c>
      <x:c r="J1339" s="22" t="n">
        <x:f>XLOOKUP(H1339,'菜品主数据'!$A$5:$A$24,'菜品主数据'!$D$5:$D$24,0)</x:f>
        <x:v>26</x:v>
      </x:c>
      <x:c r="K1339" s="31" t="n">
        <x:v>5</x:v>
      </x:c>
      <x:c r="L1339" s="35" t="n">
        <x:f>J1339*K1339</x:f>
        <x:v>130</x:v>
      </x:c>
      <x:c r="M1339" s="36" t="n">
        <x:v>0</x:v>
      </x:c>
      <x:c r="N1339" s="35" t="n">
        <x:f>L1339*M1339</x:f>
        <x:v>0</x:v>
      </x:c>
      <x:c r="O1339" s="37" t="n">
        <x:v>0</x:v>
      </x:c>
      <x:c r="P1339" s="35" t="n">
        <x:f>L1339*O1339</x:f>
        <x:v>0</x:v>
      </x:c>
      <x:c r="Q1339" s="35" t="n">
        <x:v>0</x:v>
      </x:c>
      <x:c r="R1339" s="35" t="n">
        <x:f>K1339*Q1339</x:f>
        <x:v>0</x:v>
      </x:c>
      <x:c r="S1339" s="35" t="n">
        <x:f>XLOOKUP(H1339,'菜品主数据'!$A$5:$A$24,'菜品主数据'!$G$5:$G$24,0)</x:f>
        <x:v>6.3759999999999994</x:v>
      </x:c>
      <x:c r="T1339" s="35" t="n">
        <x:f>K1339*S1339</x:f>
        <x:v>31.879999999999995</x:v>
      </x:c>
      <x:c r="U1339" s="35" t="n">
        <x:f>L1339-N1339-P1339-R1339-T1339</x:f>
        <x:v>98.12</x:v>
      </x:c>
      <x:c r="V1339" s="21" t="n">
        <x:f>IFERROR(U1339/L1339,0)</x:f>
        <x:v>0.7547692307692309</x:v>
      </x:c>
    </x:row>
    <x:row r="1340">
      <x:c r="A1340" s="19" t="str">
        <x:v>SALE-01336</x:v>
      </x:c>
      <x:c r="B1340" s="34" t="n">
        <x:v>46215.5</x:v>
      </x:c>
      <x:c r="C1340" s="19" t="str">
        <x:v>周日</x:v>
      </x:c>
      <x:c r="D1340" s="19" t="str">
        <x:v>S05</x:v>
      </x:c>
      <x:c r="E1340" s="19" t="str">
        <x:v>同顺街店</x:v>
      </x:c>
      <x:c r="F1340" s="19" t="str">
        <x:v>堂食</x:v>
      </x:c>
      <x:c r="G1340" s="19" t="str">
        <x:v>全日</x:v>
      </x:c>
      <x:c r="H1340" s="19" t="str">
        <x:v>D16</x:v>
      </x:c>
      <x:c r="I1340" s="19" t="str">
        <x:v>小豆角炒五花</x:v>
      </x:c>
      <x:c r="J1340" s="22" t="n">
        <x:f>XLOOKUP(H1340,'菜品主数据'!$A$5:$A$24,'菜品主数据'!$D$5:$D$24,0)</x:f>
        <x:v>25</x:v>
      </x:c>
      <x:c r="K1340" s="31" t="n">
        <x:v>5</x:v>
      </x:c>
      <x:c r="L1340" s="35" t="n">
        <x:f>J1340*K1340</x:f>
        <x:v>125</x:v>
      </x:c>
      <x:c r="M1340" s="36" t="n">
        <x:v>0</x:v>
      </x:c>
      <x:c r="N1340" s="35" t="n">
        <x:f>L1340*M1340</x:f>
        <x:v>0</x:v>
      </x:c>
      <x:c r="O1340" s="37" t="n">
        <x:v>0</x:v>
      </x:c>
      <x:c r="P1340" s="35" t="n">
        <x:f>L1340*O1340</x:f>
        <x:v>0</x:v>
      </x:c>
      <x:c r="Q1340" s="35" t="n">
        <x:v>0</x:v>
      </x:c>
      <x:c r="R1340" s="35" t="n">
        <x:f>K1340*Q1340</x:f>
        <x:v>0</x:v>
      </x:c>
      <x:c r="S1340" s="35" t="n">
        <x:f>XLOOKUP(H1340,'菜品主数据'!$A$5:$A$24,'菜品主数据'!$G$5:$G$24,0)</x:f>
        <x:v>8.184</x:v>
      </x:c>
      <x:c r="T1340" s="35" t="n">
        <x:f>K1340*S1340</x:f>
        <x:v>40.919999999999995</x:v>
      </x:c>
      <x:c r="U1340" s="35" t="n">
        <x:f>L1340-N1340-P1340-R1340-T1340</x:f>
        <x:v>84.08000000000001</x:v>
      </x:c>
      <x:c r="V1340" s="21" t="n">
        <x:f>IFERROR(U1340/L1340,0)</x:f>
        <x:v>0.6726400000000001</x:v>
      </x:c>
    </x:row>
    <x:row r="1341">
      <x:c r="A1341" s="19" t="str">
        <x:v>SALE-01337</x:v>
      </x:c>
      <x:c r="B1341" s="34" t="n">
        <x:v>46215.5</x:v>
      </x:c>
      <x:c r="C1341" s="19" t="str">
        <x:v>周日</x:v>
      </x:c>
      <x:c r="D1341" s="19" t="str">
        <x:v>S05</x:v>
      </x:c>
      <x:c r="E1341" s="19" t="str">
        <x:v>同顺街店</x:v>
      </x:c>
      <x:c r="F1341" s="19" t="str">
        <x:v>堂食</x:v>
      </x:c>
      <x:c r="G1341" s="19" t="str">
        <x:v>全日</x:v>
      </x:c>
      <x:c r="H1341" s="19" t="str">
        <x:v>D17</x:v>
      </x:c>
      <x:c r="I1341" s="19" t="str">
        <x:v>蒜蓉粉丝虾</x:v>
      </x:c>
      <x:c r="J1341" s="22" t="n">
        <x:f>XLOOKUP(H1341,'菜品主数据'!$A$5:$A$24,'菜品主数据'!$D$5:$D$24,0)</x:f>
        <x:v>36</x:v>
      </x:c>
      <x:c r="K1341" s="31" t="n">
        <x:v>4</x:v>
      </x:c>
      <x:c r="L1341" s="35" t="n">
        <x:f>J1341*K1341</x:f>
        <x:v>144</x:v>
      </x:c>
      <x:c r="M1341" s="36" t="n">
        <x:v>0</x:v>
      </x:c>
      <x:c r="N1341" s="35" t="n">
        <x:f>L1341*M1341</x:f>
        <x:v>0</x:v>
      </x:c>
      <x:c r="O1341" s="37" t="n">
        <x:v>0</x:v>
      </x:c>
      <x:c r="P1341" s="35" t="n">
        <x:f>L1341*O1341</x:f>
        <x:v>0</x:v>
      </x:c>
      <x:c r="Q1341" s="35" t="n">
        <x:v>0</x:v>
      </x:c>
      <x:c r="R1341" s="35" t="n">
        <x:f>K1341*Q1341</x:f>
        <x:v>0</x:v>
      </x:c>
      <x:c r="S1341" s="35" t="n">
        <x:f>XLOOKUP(H1341,'菜品主数据'!$A$5:$A$24,'菜品主数据'!$G$5:$G$24,0)</x:f>
        <x:v>13.594</x:v>
      </x:c>
      <x:c r="T1341" s="35" t="n">
        <x:f>K1341*S1341</x:f>
        <x:v>54.376</x:v>
      </x:c>
      <x:c r="U1341" s="35" t="n">
        <x:f>L1341-N1341-P1341-R1341-T1341</x:f>
        <x:v>89.624</x:v>
      </x:c>
      <x:c r="V1341" s="21" t="n">
        <x:f>IFERROR(U1341/L1341,0)</x:f>
        <x:v>0.6223888888888889</x:v>
      </x:c>
    </x:row>
    <x:row r="1342">
      <x:c r="A1342" s="19" t="str">
        <x:v>SALE-01338</x:v>
      </x:c>
      <x:c r="B1342" s="34" t="n">
        <x:v>46215.5</x:v>
      </x:c>
      <x:c r="C1342" s="19" t="str">
        <x:v>周日</x:v>
      </x:c>
      <x:c r="D1342" s="19" t="str">
        <x:v>S05</x:v>
      </x:c>
      <x:c r="E1342" s="19" t="str">
        <x:v>同顺街店</x:v>
      </x:c>
      <x:c r="F1342" s="19" t="str">
        <x:v>堂食</x:v>
      </x:c>
      <x:c r="G1342" s="19" t="str">
        <x:v>全日</x:v>
      </x:c>
      <x:c r="H1342" s="19" t="str">
        <x:v>D18</x:v>
      </x:c>
      <x:c r="I1342" s="19" t="str">
        <x:v>青椒炒油麦菜</x:v>
      </x:c>
      <x:c r="J1342" s="22" t="n">
        <x:f>XLOOKUP(H1342,'菜品主数据'!$A$5:$A$24,'菜品主数据'!$D$5:$D$24,0)</x:f>
        <x:v>18</x:v>
      </x:c>
      <x:c r="K1342" s="31" t="n">
        <x:v>6</x:v>
      </x:c>
      <x:c r="L1342" s="35" t="n">
        <x:f>J1342*K1342</x:f>
        <x:v>108</x:v>
      </x:c>
      <x:c r="M1342" s="36" t="n">
        <x:v>0</x:v>
      </x:c>
      <x:c r="N1342" s="35" t="n">
        <x:f>L1342*M1342</x:f>
        <x:v>0</x:v>
      </x:c>
      <x:c r="O1342" s="37" t="n">
        <x:v>0</x:v>
      </x:c>
      <x:c r="P1342" s="35" t="n">
        <x:f>L1342*O1342</x:f>
        <x:v>0</x:v>
      </x:c>
      <x:c r="Q1342" s="35" t="n">
        <x:v>0</x:v>
      </x:c>
      <x:c r="R1342" s="35" t="n">
        <x:f>K1342*Q1342</x:f>
        <x:v>0</x:v>
      </x:c>
      <x:c r="S1342" s="35" t="n">
        <x:f>XLOOKUP(H1342,'菜品主数据'!$A$5:$A$24,'菜品主数据'!$G$5:$G$24,0)</x:f>
        <x:v>3.1759999999999993</x:v>
      </x:c>
      <x:c r="T1342" s="35" t="n">
        <x:f>K1342*S1342</x:f>
        <x:v>19.055999999999997</x:v>
      </x:c>
      <x:c r="U1342" s="35" t="n">
        <x:f>L1342-N1342-P1342-R1342-T1342</x:f>
        <x:v>88.944</x:v>
      </x:c>
      <x:c r="V1342" s="21" t="n">
        <x:f>IFERROR(U1342/L1342,0)</x:f>
        <x:v>0.8235555555555556</x:v>
      </x:c>
    </x:row>
    <x:row r="1343">
      <x:c r="A1343" s="19" t="str">
        <x:v>SALE-01339</x:v>
      </x:c>
      <x:c r="B1343" s="34" t="n">
        <x:v>46215.5</x:v>
      </x:c>
      <x:c r="C1343" s="19" t="str">
        <x:v>周日</x:v>
      </x:c>
      <x:c r="D1343" s="19" t="str">
        <x:v>S05</x:v>
      </x:c>
      <x:c r="E1343" s="19" t="str">
        <x:v>同顺街店</x:v>
      </x:c>
      <x:c r="F1343" s="19" t="str">
        <x:v>堂食</x:v>
      </x:c>
      <x:c r="G1343" s="19" t="str">
        <x:v>全日</x:v>
      </x:c>
      <x:c r="H1343" s="19" t="str">
        <x:v>D19</x:v>
      </x:c>
      <x:c r="I1343" s="19" t="str">
        <x:v>酸萝卜炒鸡杂</x:v>
      </x:c>
      <x:c r="J1343" s="22" t="n">
        <x:f>XLOOKUP(H1343,'菜品主数据'!$A$5:$A$24,'菜品主数据'!$D$5:$D$24,0)</x:f>
        <x:v>25</x:v>
      </x:c>
      <x:c r="K1343" s="31" t="n">
        <x:v>4</x:v>
      </x:c>
      <x:c r="L1343" s="35" t="n">
        <x:f>J1343*K1343</x:f>
        <x:v>100</x:v>
      </x:c>
      <x:c r="M1343" s="36" t="n">
        <x:v>0</x:v>
      </x:c>
      <x:c r="N1343" s="35" t="n">
        <x:f>L1343*M1343</x:f>
        <x:v>0</x:v>
      </x:c>
      <x:c r="O1343" s="37" t="n">
        <x:v>0</x:v>
      </x:c>
      <x:c r="P1343" s="35" t="n">
        <x:f>L1343*O1343</x:f>
        <x:v>0</x:v>
      </x:c>
      <x:c r="Q1343" s="35" t="n">
        <x:v>0</x:v>
      </x:c>
      <x:c r="R1343" s="35" t="n">
        <x:f>K1343*Q1343</x:f>
        <x:v>0</x:v>
      </x:c>
      <x:c r="S1343" s="35" t="n">
        <x:f>XLOOKUP(H1343,'菜品主数据'!$A$5:$A$24,'菜品主数据'!$G$5:$G$24,0)</x:f>
        <x:v>7.9399999999999995</x:v>
      </x:c>
      <x:c r="T1343" s="35" t="n">
        <x:f>K1343*S1343</x:f>
        <x:v>31.759999999999998</x:v>
      </x:c>
      <x:c r="U1343" s="35" t="n">
        <x:f>L1343-N1343-P1343-R1343-T1343</x:f>
        <x:v>68.24000000000001</x:v>
      </x:c>
      <x:c r="V1343" s="21" t="n">
        <x:f>IFERROR(U1343/L1343,0)</x:f>
        <x:v>0.6824000000000001</x:v>
      </x:c>
    </x:row>
    <x:row r="1344">
      <x:c r="A1344" s="19" t="str">
        <x:v>SALE-01340</x:v>
      </x:c>
      <x:c r="B1344" s="34" t="n">
        <x:v>46215.5</x:v>
      </x:c>
      <x:c r="C1344" s="19" t="str">
        <x:v>周日</x:v>
      </x:c>
      <x:c r="D1344" s="19" t="str">
        <x:v>S05</x:v>
      </x:c>
      <x:c r="E1344" s="19" t="str">
        <x:v>同顺街店</x:v>
      </x:c>
      <x:c r="F1344" s="19" t="str">
        <x:v>堂食</x:v>
      </x:c>
      <x:c r="G1344" s="19" t="str">
        <x:v>全日</x:v>
      </x:c>
      <x:c r="H1344" s="19" t="str">
        <x:v>D20</x:v>
      </x:c>
      <x:c r="I1344" s="19" t="str">
        <x:v>雪菜肉末青豆</x:v>
      </x:c>
      <x:c r="J1344" s="22" t="n">
        <x:f>XLOOKUP(H1344,'菜品主数据'!$A$5:$A$24,'菜品主数据'!$D$5:$D$24,0)</x:f>
        <x:v>18</x:v>
      </x:c>
      <x:c r="K1344" s="31" t="n">
        <x:v>6</x:v>
      </x:c>
      <x:c r="L1344" s="35" t="n">
        <x:f>J1344*K1344</x:f>
        <x:v>108</x:v>
      </x:c>
      <x:c r="M1344" s="36" t="n">
        <x:v>0</x:v>
      </x:c>
      <x:c r="N1344" s="35" t="n">
        <x:f>L1344*M1344</x:f>
        <x:v>0</x:v>
      </x:c>
      <x:c r="O1344" s="37" t="n">
        <x:v>0</x:v>
      </x:c>
      <x:c r="P1344" s="35" t="n">
        <x:f>L1344*O1344</x:f>
        <x:v>0</x:v>
      </x:c>
      <x:c r="Q1344" s="35" t="n">
        <x:v>0</x:v>
      </x:c>
      <x:c r="R1344" s="35" t="n">
        <x:f>K1344*Q1344</x:f>
        <x:v>0</x:v>
      </x:c>
      <x:c r="S1344" s="35" t="n">
        <x:f>XLOOKUP(H1344,'菜品主数据'!$A$5:$A$24,'菜品主数据'!$G$5:$G$24,0)</x:f>
        <x:v>7.303999999999999</x:v>
      </x:c>
      <x:c r="T1344" s="35" t="n">
        <x:f>K1344*S1344</x:f>
        <x:v>43.824</x:v>
      </x:c>
      <x:c r="U1344" s="35" t="n">
        <x:f>L1344-N1344-P1344-R1344-T1344</x:f>
        <x:v>64.176</x:v>
      </x:c>
      <x:c r="V1344" s="21" t="n">
        <x:f>IFERROR(U1344/L1344,0)</x:f>
        <x:v>0.5942222222222222</x:v>
      </x:c>
    </x:row>
    <x:row r="1345">
      <x:c r="A1345" s="19" t="str">
        <x:v>SALE-01341</x:v>
      </x:c>
      <x:c r="B1345" s="34" t="n">
        <x:v>46215.5</x:v>
      </x:c>
      <x:c r="C1345" s="19" t="str">
        <x:v>周日</x:v>
      </x:c>
      <x:c r="D1345" s="19" t="str">
        <x:v>S05</x:v>
      </x:c>
      <x:c r="E1345" s="19" t="str">
        <x:v>同顺街店</x:v>
      </x:c>
      <x:c r="F1345" s="19" t="str">
        <x:v>外卖</x:v>
      </x:c>
      <x:c r="G1345" s="19" t="str">
        <x:v>全日</x:v>
      </x:c>
      <x:c r="H1345" s="19" t="str">
        <x:v>D01</x:v>
      </x:c>
      <x:c r="I1345" s="19" t="str">
        <x:v>辣椒炒肉</x:v>
      </x:c>
      <x:c r="J1345" s="22" t="n">
        <x:f>XLOOKUP(H1345,'菜品主数据'!$A$5:$A$24,'菜品主数据'!$D$5:$D$24,0)</x:f>
        <x:v>29</x:v>
      </x:c>
      <x:c r="K1345" s="31" t="n">
        <x:v>3</x:v>
      </x:c>
      <x:c r="L1345" s="35" t="n">
        <x:f>J1345*K1345</x:f>
        <x:v>87</x:v>
      </x:c>
      <x:c r="M1345" s="36" t="n">
        <x:v>0.08</x:v>
      </x:c>
      <x:c r="N1345" s="35" t="n">
        <x:f>L1345*M1345</x:f>
        <x:v>6.96</x:v>
      </x:c>
      <x:c r="O1345" s="37" t="n">
        <x:v>0.18</x:v>
      </x:c>
      <x:c r="P1345" s="35" t="n">
        <x:f>L1345*O1345</x:f>
        <x:v>15.66</x:v>
      </x:c>
      <x:c r="Q1345" s="35" t="n">
        <x:v>1.2</x:v>
      </x:c>
      <x:c r="R1345" s="35" t="n">
        <x:f>K1345*Q1345</x:f>
        <x:v>3.5999999999999996</x:v>
      </x:c>
      <x:c r="S1345" s="35" t="n">
        <x:f>XLOOKUP(H1345,'菜品主数据'!$A$5:$A$24,'菜品主数据'!$G$5:$G$24,0)</x:f>
        <x:v>8.634400000000001</x:v>
      </x:c>
      <x:c r="T1345" s="35" t="n">
        <x:f>K1345*S1345</x:f>
        <x:v>25.903200000000005</x:v>
      </x:c>
      <x:c r="U1345" s="35" t="n">
        <x:f>L1345-N1345-P1345-R1345-T1345</x:f>
        <x:v>34.8768</x:v>
      </x:c>
      <x:c r="V1345" s="21" t="n">
        <x:f>IFERROR(U1345/L1345,0)</x:f>
        <x:v>0.40088275862068967</x:v>
      </x:c>
    </x:row>
    <x:row r="1346">
      <x:c r="A1346" s="19" t="str">
        <x:v>SALE-01342</x:v>
      </x:c>
      <x:c r="B1346" s="34" t="n">
        <x:v>46215.5</x:v>
      </x:c>
      <x:c r="C1346" s="19" t="str">
        <x:v>周日</x:v>
      </x:c>
      <x:c r="D1346" s="19" t="str">
        <x:v>S05</x:v>
      </x:c>
      <x:c r="E1346" s="19" t="str">
        <x:v>同顺街店</x:v>
      </x:c>
      <x:c r="F1346" s="19" t="str">
        <x:v>外卖</x:v>
      </x:c>
      <x:c r="G1346" s="19" t="str">
        <x:v>全日</x:v>
      </x:c>
      <x:c r="H1346" s="19" t="str">
        <x:v>D02</x:v>
      </x:c>
      <x:c r="I1346" s="19" t="str">
        <x:v>小炒黄牛肉</x:v>
      </x:c>
      <x:c r="J1346" s="22" t="n">
        <x:f>XLOOKUP(H1346,'菜品主数据'!$A$5:$A$24,'菜品主数据'!$D$5:$D$24,0)</x:f>
        <x:v>49</x:v>
      </x:c>
      <x:c r="K1346" s="31" t="n">
        <x:v>7</x:v>
      </x:c>
      <x:c r="L1346" s="35" t="n">
        <x:f>J1346*K1346</x:f>
        <x:v>343</x:v>
      </x:c>
      <x:c r="M1346" s="36" t="n">
        <x:v>0.08</x:v>
      </x:c>
      <x:c r="N1346" s="35" t="n">
        <x:f>L1346*M1346</x:f>
        <x:v>27.44</x:v>
      </x:c>
      <x:c r="O1346" s="37" t="n">
        <x:v>0.18</x:v>
      </x:c>
      <x:c r="P1346" s="35" t="n">
        <x:f>L1346*O1346</x:f>
        <x:v>61.739999999999995</x:v>
      </x:c>
      <x:c r="Q1346" s="35" t="n">
        <x:v>1.2</x:v>
      </x:c>
      <x:c r="R1346" s="35" t="n">
        <x:f>K1346*Q1346</x:f>
        <x:v>8.4</x:v>
      </x:c>
      <x:c r="S1346" s="35" t="n">
        <x:f>XLOOKUP(H1346,'菜品主数据'!$A$5:$A$24,'菜品主数据'!$G$5:$G$24,0)</x:f>
        <x:v>17.577</x:v>
      </x:c>
      <x:c r="T1346" s="35" t="n">
        <x:f>K1346*S1346</x:f>
        <x:v>123.03900000000002</x:v>
      </x:c>
      <x:c r="U1346" s="35" t="n">
        <x:f>L1346-N1346-P1346-R1346-T1346</x:f>
        <x:v>122.38099999999997</x:v>
      </x:c>
      <x:c r="V1346" s="21" t="n">
        <x:f>IFERROR(U1346/L1346,0)</x:f>
        <x:v>0.35679591836734686</x:v>
      </x:c>
    </x:row>
    <x:row r="1347">
      <x:c r="A1347" s="19" t="str">
        <x:v>SALE-01343</x:v>
      </x:c>
      <x:c r="B1347" s="34" t="n">
        <x:v>46215.5</x:v>
      </x:c>
      <x:c r="C1347" s="19" t="str">
        <x:v>周日</x:v>
      </x:c>
      <x:c r="D1347" s="19" t="str">
        <x:v>S05</x:v>
      </x:c>
      <x:c r="E1347" s="19" t="str">
        <x:v>同顺街店</x:v>
      </x:c>
      <x:c r="F1347" s="19" t="str">
        <x:v>外卖</x:v>
      </x:c>
      <x:c r="G1347" s="19" t="str">
        <x:v>全日</x:v>
      </x:c>
      <x:c r="H1347" s="19" t="str">
        <x:v>D03</x:v>
      </x:c>
      <x:c r="I1347" s="19" t="str">
        <x:v>香醋炒蛋</x:v>
      </x:c>
      <x:c r="J1347" s="22" t="n">
        <x:f>XLOOKUP(H1347,'菜品主数据'!$A$5:$A$24,'菜品主数据'!$D$5:$D$24,0)</x:f>
        <x:v>14.9</x:v>
      </x:c>
      <x:c r="K1347" s="31" t="n">
        <x:v>3</x:v>
      </x:c>
      <x:c r="L1347" s="35" t="n">
        <x:f>J1347*K1347</x:f>
        <x:v>44.7</x:v>
      </x:c>
      <x:c r="M1347" s="36" t="n">
        <x:v>0.08</x:v>
      </x:c>
      <x:c r="N1347" s="35" t="n">
        <x:f>L1347*M1347</x:f>
        <x:v>3.5760000000000005</x:v>
      </x:c>
      <x:c r="O1347" s="37" t="n">
        <x:v>0.18</x:v>
      </x:c>
      <x:c r="P1347" s="35" t="n">
        <x:f>L1347*O1347</x:f>
        <x:v>8.046</x:v>
      </x:c>
      <x:c r="Q1347" s="35" t="n">
        <x:v>1.2</x:v>
      </x:c>
      <x:c r="R1347" s="35" t="n">
        <x:f>K1347*Q1347</x:f>
        <x:v>3.5999999999999996</x:v>
      </x:c>
      <x:c r="S1347" s="35" t="n">
        <x:f>XLOOKUP(H1347,'菜品主数据'!$A$5:$A$24,'菜品主数据'!$G$5:$G$24,0)</x:f>
        <x:v>3.7459999999999996</x:v>
      </x:c>
      <x:c r="T1347" s="35" t="n">
        <x:f>K1347*S1347</x:f>
        <x:v>11.238</x:v>
      </x:c>
      <x:c r="U1347" s="35" t="n">
        <x:f>L1347-N1347-P1347-R1347-T1347</x:f>
        <x:v>18.240000000000002</x:v>
      </x:c>
      <x:c r="V1347" s="21" t="n">
        <x:f>IFERROR(U1347/L1347,0)</x:f>
        <x:v>0.40805369127516783</x:v>
      </x:c>
    </x:row>
    <x:row r="1348">
      <x:c r="A1348" s="19" t="str">
        <x:v>SALE-01344</x:v>
      </x:c>
      <x:c r="B1348" s="34" t="n">
        <x:v>46215.5</x:v>
      </x:c>
      <x:c r="C1348" s="19" t="str">
        <x:v>周日</x:v>
      </x:c>
      <x:c r="D1348" s="19" t="str">
        <x:v>S05</x:v>
      </x:c>
      <x:c r="E1348" s="19" t="str">
        <x:v>同顺街店</x:v>
      </x:c>
      <x:c r="F1348" s="19" t="str">
        <x:v>外卖</x:v>
      </x:c>
      <x:c r="G1348" s="19" t="str">
        <x:v>全日</x:v>
      </x:c>
      <x:c r="H1348" s="19" t="str">
        <x:v>D04</x:v>
      </x:c>
      <x:c r="I1348" s="19" t="str">
        <x:v>酸包菜炒粉皮</x:v>
      </x:c>
      <x:c r="J1348" s="22" t="n">
        <x:f>XLOOKUP(H1348,'菜品主数据'!$A$5:$A$24,'菜品主数据'!$D$5:$D$24,0)</x:f>
        <x:v>16</x:v>
      </x:c>
      <x:c r="K1348" s="31" t="n">
        <x:v>2</x:v>
      </x:c>
      <x:c r="L1348" s="35" t="n">
        <x:f>J1348*K1348</x:f>
        <x:v>32</x:v>
      </x:c>
      <x:c r="M1348" s="36" t="n">
        <x:v>0.08</x:v>
      </x:c>
      <x:c r="N1348" s="35" t="n">
        <x:f>L1348*M1348</x:f>
        <x:v>2.56</x:v>
      </x:c>
      <x:c r="O1348" s="37" t="n">
        <x:v>0.18</x:v>
      </x:c>
      <x:c r="P1348" s="35" t="n">
        <x:f>L1348*O1348</x:f>
        <x:v>5.76</x:v>
      </x:c>
      <x:c r="Q1348" s="35" t="n">
        <x:v>1.2</x:v>
      </x:c>
      <x:c r="R1348" s="35" t="n">
        <x:f>K1348*Q1348</x:f>
        <x:v>2.4</x:v>
      </x:c>
      <x:c r="S1348" s="35" t="n">
        <x:f>XLOOKUP(H1348,'菜品主数据'!$A$5:$A$24,'菜品主数据'!$G$5:$G$24,0)</x:f>
        <x:v>3.978</x:v>
      </x:c>
      <x:c r="T1348" s="35" t="n">
        <x:f>K1348*S1348</x:f>
        <x:v>7.956</x:v>
      </x:c>
      <x:c r="U1348" s="35" t="n">
        <x:f>L1348-N1348-P1348-R1348-T1348</x:f>
        <x:v>13.324000000000002</x:v>
      </x:c>
      <x:c r="V1348" s="21" t="n">
        <x:f>IFERROR(U1348/L1348,0)</x:f>
        <x:v>0.41637500000000005</x:v>
      </x:c>
    </x:row>
    <x:row r="1349">
      <x:c r="A1349" s="19" t="str">
        <x:v>SALE-01345</x:v>
      </x:c>
      <x:c r="B1349" s="34" t="n">
        <x:v>46215.5</x:v>
      </x:c>
      <x:c r="C1349" s="19" t="str">
        <x:v>周日</x:v>
      </x:c>
      <x:c r="D1349" s="19" t="str">
        <x:v>S05</x:v>
      </x:c>
      <x:c r="E1349" s="19" t="str">
        <x:v>同顺街店</x:v>
      </x:c>
      <x:c r="F1349" s="19" t="str">
        <x:v>外卖</x:v>
      </x:c>
      <x:c r="G1349" s="19" t="str">
        <x:v>全日</x:v>
      </x:c>
      <x:c r="H1349" s="19" t="str">
        <x:v>D05</x:v>
      </x:c>
      <x:c r="I1349" s="19" t="str">
        <x:v>麻婆豆腐</x:v>
      </x:c>
      <x:c r="J1349" s="22" t="n">
        <x:f>XLOOKUP(H1349,'菜品主数据'!$A$5:$A$24,'菜品主数据'!$D$5:$D$24,0)</x:f>
        <x:v>9.9</x:v>
      </x:c>
      <x:c r="K1349" s="31" t="n">
        <x:v>3</x:v>
      </x:c>
      <x:c r="L1349" s="35" t="n">
        <x:f>J1349*K1349</x:f>
        <x:v>29.700000000000003</x:v>
      </x:c>
      <x:c r="M1349" s="36" t="n">
        <x:v>0.08</x:v>
      </x:c>
      <x:c r="N1349" s="35" t="n">
        <x:f>L1349*M1349</x:f>
        <x:v>2.3760000000000003</x:v>
      </x:c>
      <x:c r="O1349" s="37" t="n">
        <x:v>0.18</x:v>
      </x:c>
      <x:c r="P1349" s="35" t="n">
        <x:f>L1349*O1349</x:f>
        <x:v>5.346</x:v>
      </x:c>
      <x:c r="Q1349" s="35" t="n">
        <x:v>1.2</x:v>
      </x:c>
      <x:c r="R1349" s="35" t="n">
        <x:f>K1349*Q1349</x:f>
        <x:v>3.5999999999999996</x:v>
      </x:c>
      <x:c r="S1349" s="35" t="n">
        <x:f>XLOOKUP(H1349,'菜品主数据'!$A$5:$A$24,'菜品主数据'!$G$5:$G$24,0)</x:f>
        <x:v>5.367000000000001</x:v>
      </x:c>
      <x:c r="T1349" s="35" t="n">
        <x:f>K1349*S1349</x:f>
        <x:v>16.101000000000003</x:v>
      </x:c>
      <x:c r="U1349" s="35" t="n">
        <x:f>L1349-N1349-P1349-R1349-T1349</x:f>
        <x:v>2.2769999999999975</x:v>
      </x:c>
      <x:c r="V1349" s="21" t="n">
        <x:f>IFERROR(U1349/L1349,0)</x:f>
        <x:v>0.07666666666666658</x:v>
      </x:c>
    </x:row>
    <x:row r="1350">
      <x:c r="A1350" s="19" t="str">
        <x:v>SALE-01346</x:v>
      </x:c>
      <x:c r="B1350" s="34" t="n">
        <x:v>46215.5</x:v>
      </x:c>
      <x:c r="C1350" s="19" t="str">
        <x:v>周日</x:v>
      </x:c>
      <x:c r="D1350" s="19" t="str">
        <x:v>S05</x:v>
      </x:c>
      <x:c r="E1350" s="19" t="str">
        <x:v>同顺街店</x:v>
      </x:c>
      <x:c r="F1350" s="19" t="str">
        <x:v>外卖</x:v>
      </x:c>
      <x:c r="G1350" s="19" t="str">
        <x:v>全日</x:v>
      </x:c>
      <x:c r="H1350" s="19" t="str">
        <x:v>D06</x:v>
      </x:c>
      <x:c r="I1350" s="19" t="str">
        <x:v>剁椒鱼头</x:v>
      </x:c>
      <x:c r="J1350" s="22" t="n">
        <x:f>XLOOKUP(H1350,'菜品主数据'!$A$5:$A$24,'菜品主数据'!$D$5:$D$24,0)</x:f>
        <x:v>39</x:v>
      </x:c>
      <x:c r="K1350" s="31" t="n">
        <x:v>0</x:v>
      </x:c>
      <x:c r="L1350" s="35" t="n">
        <x:f>J1350*K1350</x:f>
        <x:v>0</x:v>
      </x:c>
      <x:c r="M1350" s="36" t="n">
        <x:v>0.08</x:v>
      </x:c>
      <x:c r="N1350" s="35" t="n">
        <x:f>L1350*M1350</x:f>
        <x:v>0</x:v>
      </x:c>
      <x:c r="O1350" s="37" t="n">
        <x:v>0.18</x:v>
      </x:c>
      <x:c r="P1350" s="35" t="n">
        <x:f>L1350*O1350</x:f>
        <x:v>0</x:v>
      </x:c>
      <x:c r="Q1350" s="35" t="n">
        <x:v>1.2</x:v>
      </x:c>
      <x:c r="R1350" s="35" t="n">
        <x:f>K1350*Q1350</x:f>
        <x:v>0</x:v>
      </x:c>
      <x:c r="S1350" s="35" t="n">
        <x:f>XLOOKUP(H1350,'菜品主数据'!$A$5:$A$24,'菜品主数据'!$G$5:$G$24,0)</x:f>
        <x:v>17.446</x:v>
      </x:c>
      <x:c r="T1350" s="35" t="n">
        <x:f>K1350*S1350</x:f>
        <x:v>0</x:v>
      </x:c>
      <x:c r="U1350" s="35" t="n">
        <x:f>L1350-N1350-P1350-R1350-T1350</x:f>
        <x:v>0</x:v>
      </x:c>
      <x:c r="V1350" s="21" t="n">
        <x:f>IFERROR(U1350/L1350,0)</x:f>
        <x:v>0</x:v>
      </x:c>
    </x:row>
    <x:row r="1351">
      <x:c r="A1351" s="19" t="str">
        <x:v>SALE-01347</x:v>
      </x:c>
      <x:c r="B1351" s="34" t="n">
        <x:v>46215.5</x:v>
      </x:c>
      <x:c r="C1351" s="19" t="str">
        <x:v>周日</x:v>
      </x:c>
      <x:c r="D1351" s="19" t="str">
        <x:v>S05</x:v>
      </x:c>
      <x:c r="E1351" s="19" t="str">
        <x:v>同顺街店</x:v>
      </x:c>
      <x:c r="F1351" s="19" t="str">
        <x:v>外卖</x:v>
      </x:c>
      <x:c r="G1351" s="19" t="str">
        <x:v>全日</x:v>
      </x:c>
      <x:c r="H1351" s="19" t="str">
        <x:v>D07</x:v>
      </x:c>
      <x:c r="I1351" s="19" t="str">
        <x:v>川味回锅肉</x:v>
      </x:c>
      <x:c r="J1351" s="22" t="n">
        <x:f>XLOOKUP(H1351,'菜品主数据'!$A$5:$A$24,'菜品主数据'!$D$5:$D$24,0)</x:f>
        <x:v>29</x:v>
      </x:c>
      <x:c r="K1351" s="31" t="n">
        <x:v>1</x:v>
      </x:c>
      <x:c r="L1351" s="35" t="n">
        <x:f>J1351*K1351</x:f>
        <x:v>29</x:v>
      </x:c>
      <x:c r="M1351" s="36" t="n">
        <x:v>0.08</x:v>
      </x:c>
      <x:c r="N1351" s="35" t="n">
        <x:f>L1351*M1351</x:f>
        <x:v>2.32</x:v>
      </x:c>
      <x:c r="O1351" s="37" t="n">
        <x:v>0.18</x:v>
      </x:c>
      <x:c r="P1351" s="35" t="n">
        <x:f>L1351*O1351</x:f>
        <x:v>5.22</x:v>
      </x:c>
      <x:c r="Q1351" s="35" t="n">
        <x:v>1.2</x:v>
      </x:c>
      <x:c r="R1351" s="35" t="n">
        <x:f>K1351*Q1351</x:f>
        <x:v>1.2</x:v>
      </x:c>
      <x:c r="S1351" s="35" t="n">
        <x:f>XLOOKUP(H1351,'菜品主数据'!$A$5:$A$24,'菜品主数据'!$G$5:$G$24,0)</x:f>
        <x:v>10.231000000000002</x:v>
      </x:c>
      <x:c r="T1351" s="35" t="n">
        <x:f>K1351*S1351</x:f>
        <x:v>10.231000000000002</x:v>
      </x:c>
      <x:c r="U1351" s="35" t="n">
        <x:f>L1351-N1351-P1351-R1351-T1351</x:f>
        <x:v>10.029</x:v>
      </x:c>
      <x:c r="V1351" s="21" t="n">
        <x:f>IFERROR(U1351/L1351,0)</x:f>
        <x:v>0.3458275862068966</x:v>
      </x:c>
    </x:row>
    <x:row r="1352">
      <x:c r="A1352" s="19" t="str">
        <x:v>SALE-01348</x:v>
      </x:c>
      <x:c r="B1352" s="34" t="n">
        <x:v>46215.5</x:v>
      </x:c>
      <x:c r="C1352" s="19" t="str">
        <x:v>周日</x:v>
      </x:c>
      <x:c r="D1352" s="19" t="str">
        <x:v>S05</x:v>
      </x:c>
      <x:c r="E1352" s="19" t="str">
        <x:v>同顺街店</x:v>
      </x:c>
      <x:c r="F1352" s="19" t="str">
        <x:v>外卖</x:v>
      </x:c>
      <x:c r="G1352" s="19" t="str">
        <x:v>全日</x:v>
      </x:c>
      <x:c r="H1352" s="19" t="str">
        <x:v>D08</x:v>
      </x:c>
      <x:c r="I1352" s="19" t="str">
        <x:v>生炒清远鸡</x:v>
      </x:c>
      <x:c r="J1352" s="22" t="n">
        <x:f>XLOOKUP(H1352,'菜品主数据'!$A$5:$A$24,'菜品主数据'!$D$5:$D$24,0)</x:f>
        <x:v>36</x:v>
      </x:c>
      <x:c r="K1352" s="31" t="n">
        <x:v>1</x:v>
      </x:c>
      <x:c r="L1352" s="35" t="n">
        <x:f>J1352*K1352</x:f>
        <x:v>36</x:v>
      </x:c>
      <x:c r="M1352" s="36" t="n">
        <x:v>0.08</x:v>
      </x:c>
      <x:c r="N1352" s="35" t="n">
        <x:f>L1352*M1352</x:f>
        <x:v>2.88</x:v>
      </x:c>
      <x:c r="O1352" s="37" t="n">
        <x:v>0.18</x:v>
      </x:c>
      <x:c r="P1352" s="35" t="n">
        <x:f>L1352*O1352</x:f>
        <x:v>6.4799999999999995</x:v>
      </x:c>
      <x:c r="Q1352" s="35" t="n">
        <x:v>1.2</x:v>
      </x:c>
      <x:c r="R1352" s="35" t="n">
        <x:f>K1352*Q1352</x:f>
        <x:v>1.2</x:v>
      </x:c>
      <x:c r="S1352" s="35" t="n">
        <x:f>XLOOKUP(H1352,'菜品主数据'!$A$5:$A$24,'菜品主数据'!$G$5:$G$24,0)</x:f>
        <x:v>13.48</x:v>
      </x:c>
      <x:c r="T1352" s="35" t="n">
        <x:f>K1352*S1352</x:f>
        <x:v>13.48</x:v>
      </x:c>
      <x:c r="U1352" s="35" t="n">
        <x:f>L1352-N1352-P1352-R1352-T1352</x:f>
        <x:v>11.959999999999997</x:v>
      </x:c>
      <x:c r="V1352" s="21" t="n">
        <x:f>IFERROR(U1352/L1352,0)</x:f>
        <x:v>0.33222222222222214</x:v>
      </x:c>
    </x:row>
    <x:row r="1353">
      <x:c r="A1353" s="19" t="str">
        <x:v>SALE-01349</x:v>
      </x:c>
      <x:c r="B1353" s="34" t="n">
        <x:v>46215.5</x:v>
      </x:c>
      <x:c r="C1353" s="19" t="str">
        <x:v>周日</x:v>
      </x:c>
      <x:c r="D1353" s="19" t="str">
        <x:v>S05</x:v>
      </x:c>
      <x:c r="E1353" s="19" t="str">
        <x:v>同顺街店</x:v>
      </x:c>
      <x:c r="F1353" s="19" t="str">
        <x:v>外卖</x:v>
      </x:c>
      <x:c r="G1353" s="19" t="str">
        <x:v>全日</x:v>
      </x:c>
      <x:c r="H1353" s="19" t="str">
        <x:v>D09</x:v>
      </x:c>
      <x:c r="I1353" s="19" t="str">
        <x:v>炒豆干</x:v>
      </x:c>
      <x:c r="J1353" s="22" t="n">
        <x:f>XLOOKUP(H1353,'菜品主数据'!$A$5:$A$24,'菜品主数据'!$D$5:$D$24,0)</x:f>
        <x:v>18</x:v>
      </x:c>
      <x:c r="K1353" s="31" t="n">
        <x:v>1</x:v>
      </x:c>
      <x:c r="L1353" s="35" t="n">
        <x:f>J1353*K1353</x:f>
        <x:v>18</x:v>
      </x:c>
      <x:c r="M1353" s="36" t="n">
        <x:v>0.08</x:v>
      </x:c>
      <x:c r="N1353" s="35" t="n">
        <x:f>L1353*M1353</x:f>
        <x:v>1.44</x:v>
      </x:c>
      <x:c r="O1353" s="37" t="n">
        <x:v>0.18</x:v>
      </x:c>
      <x:c r="P1353" s="35" t="n">
        <x:f>L1353*O1353</x:f>
        <x:v>3.2399999999999998</x:v>
      </x:c>
      <x:c r="Q1353" s="35" t="n">
        <x:v>1.2</x:v>
      </x:c>
      <x:c r="R1353" s="35" t="n">
        <x:f>K1353*Q1353</x:f>
        <x:v>1.2</x:v>
      </x:c>
      <x:c r="S1353" s="35" t="n">
        <x:f>XLOOKUP(H1353,'菜品主数据'!$A$5:$A$24,'菜品主数据'!$G$5:$G$24,0)</x:f>
        <x:v>6.613999999999999</x:v>
      </x:c>
      <x:c r="T1353" s="35" t="n">
        <x:f>K1353*S1353</x:f>
        <x:v>6.613999999999999</x:v>
      </x:c>
      <x:c r="U1353" s="35" t="n">
        <x:f>L1353-N1353-P1353-R1353-T1353</x:f>
        <x:v>5.506</x:v>
      </x:c>
      <x:c r="V1353" s="21" t="n">
        <x:f>IFERROR(U1353/L1353,0)</x:f>
        <x:v>0.3058888888888889</x:v>
      </x:c>
    </x:row>
    <x:row r="1354">
      <x:c r="A1354" s="19" t="str">
        <x:v>SALE-01350</x:v>
      </x:c>
      <x:c r="B1354" s="34" t="n">
        <x:v>46215.5</x:v>
      </x:c>
      <x:c r="C1354" s="19" t="str">
        <x:v>周日</x:v>
      </x:c>
      <x:c r="D1354" s="19" t="str">
        <x:v>S05</x:v>
      </x:c>
      <x:c r="E1354" s="19" t="str">
        <x:v>同顺街店</x:v>
      </x:c>
      <x:c r="F1354" s="19" t="str">
        <x:v>外卖</x:v>
      </x:c>
      <x:c r="G1354" s="19" t="str">
        <x:v>全日</x:v>
      </x:c>
      <x:c r="H1354" s="19" t="str">
        <x:v>D10</x:v>
      </x:c>
      <x:c r="I1354" s="19" t="str">
        <x:v>农家一碗香</x:v>
      </x:c>
      <x:c r="J1354" s="22" t="n">
        <x:f>XLOOKUP(H1354,'菜品主数据'!$A$5:$A$24,'菜品主数据'!$D$5:$D$24,0)</x:f>
        <x:v>22.9</x:v>
      </x:c>
      <x:c r="K1354" s="31" t="n">
        <x:v>1</x:v>
      </x:c>
      <x:c r="L1354" s="35" t="n">
        <x:f>J1354*K1354</x:f>
        <x:v>22.9</x:v>
      </x:c>
      <x:c r="M1354" s="36" t="n">
        <x:v>0.08</x:v>
      </x:c>
      <x:c r="N1354" s="35" t="n">
        <x:f>L1354*M1354</x:f>
        <x:v>1.8319999999999999</x:v>
      </x:c>
      <x:c r="O1354" s="37" t="n">
        <x:v>0.18</x:v>
      </x:c>
      <x:c r="P1354" s="35" t="n">
        <x:f>L1354*O1354</x:f>
        <x:v>4.122</x:v>
      </x:c>
      <x:c r="Q1354" s="35" t="n">
        <x:v>1.2</x:v>
      </x:c>
      <x:c r="R1354" s="35" t="n">
        <x:f>K1354*Q1354</x:f>
        <x:v>1.2</x:v>
      </x:c>
      <x:c r="S1354" s="35" t="n">
        <x:f>XLOOKUP(H1354,'菜品主数据'!$A$5:$A$24,'菜品主数据'!$G$5:$G$24,0)</x:f>
        <x:v>9.770200000000003</x:v>
      </x:c>
      <x:c r="T1354" s="35" t="n">
        <x:f>K1354*S1354</x:f>
        <x:v>9.770200000000003</x:v>
      </x:c>
      <x:c r="U1354" s="35" t="n">
        <x:f>L1354-N1354-P1354-R1354-T1354</x:f>
        <x:v>5.975799999999996</x:v>
      </x:c>
      <x:c r="V1354" s="21" t="n">
        <x:f>IFERROR(U1354/L1354,0)</x:f>
        <x:v>0.260951965065502</x:v>
      </x:c>
    </x:row>
    <x:row r="1355">
      <x:c r="A1355" s="19" t="str">
        <x:v>SALE-01351</x:v>
      </x:c>
      <x:c r="B1355" s="34" t="n">
        <x:v>46215.5</x:v>
      </x:c>
      <x:c r="C1355" s="19" t="str">
        <x:v>周日</x:v>
      </x:c>
      <x:c r="D1355" s="19" t="str">
        <x:v>S05</x:v>
      </x:c>
      <x:c r="E1355" s="19" t="str">
        <x:v>同顺街店</x:v>
      </x:c>
      <x:c r="F1355" s="19" t="str">
        <x:v>外卖</x:v>
      </x:c>
      <x:c r="G1355" s="19" t="str">
        <x:v>全日</x:v>
      </x:c>
      <x:c r="H1355" s="19" t="str">
        <x:v>D11</x:v>
      </x:c>
      <x:c r="I1355" s="19" t="str">
        <x:v>香辣爆肥肠</x:v>
      </x:c>
      <x:c r="J1355" s="22" t="n">
        <x:f>XLOOKUP(H1355,'菜品主数据'!$A$5:$A$24,'菜品主数据'!$D$5:$D$24,0)</x:f>
        <x:v>39</x:v>
      </x:c>
      <x:c r="K1355" s="31" t="n">
        <x:v>0</x:v>
      </x:c>
      <x:c r="L1355" s="35" t="n">
        <x:f>J1355*K1355</x:f>
        <x:v>0</x:v>
      </x:c>
      <x:c r="M1355" s="36" t="n">
        <x:v>0.08</x:v>
      </x:c>
      <x:c r="N1355" s="35" t="n">
        <x:f>L1355*M1355</x:f>
        <x:v>0</x:v>
      </x:c>
      <x:c r="O1355" s="37" t="n">
        <x:v>0.18</x:v>
      </x:c>
      <x:c r="P1355" s="35" t="n">
        <x:f>L1355*O1355</x:f>
        <x:v>0</x:v>
      </x:c>
      <x:c r="Q1355" s="35" t="n">
        <x:v>1.2</x:v>
      </x:c>
      <x:c r="R1355" s="35" t="n">
        <x:f>K1355*Q1355</x:f>
        <x:v>0</x:v>
      </x:c>
      <x:c r="S1355" s="35" t="n">
        <x:f>XLOOKUP(H1355,'菜品主数据'!$A$5:$A$24,'菜品主数据'!$G$5:$G$24,0)</x:f>
        <x:v>10.397</x:v>
      </x:c>
      <x:c r="T1355" s="35" t="n">
        <x:f>K1355*S1355</x:f>
        <x:v>0</x:v>
      </x:c>
      <x:c r="U1355" s="35" t="n">
        <x:f>L1355-N1355-P1355-R1355-T1355</x:f>
        <x:v>0</x:v>
      </x:c>
      <x:c r="V1355" s="21" t="n">
        <x:f>IFERROR(U1355/L1355,0)</x:f>
        <x:v>0</x:v>
      </x:c>
    </x:row>
    <x:row r="1356">
      <x:c r="A1356" s="19" t="str">
        <x:v>SALE-01352</x:v>
      </x:c>
      <x:c r="B1356" s="34" t="n">
        <x:v>46215.5</x:v>
      </x:c>
      <x:c r="C1356" s="19" t="str">
        <x:v>周日</x:v>
      </x:c>
      <x:c r="D1356" s="19" t="str">
        <x:v>S05</x:v>
      </x:c>
      <x:c r="E1356" s="19" t="str">
        <x:v>同顺街店</x:v>
      </x:c>
      <x:c r="F1356" s="19" t="str">
        <x:v>外卖</x:v>
      </x:c>
      <x:c r="G1356" s="19" t="str">
        <x:v>全日</x:v>
      </x:c>
      <x:c r="H1356" s="19" t="str">
        <x:v>D12</x:v>
      </x:c>
      <x:c r="I1356" s="19" t="str">
        <x:v>清蒸鲈鱼</x:v>
      </x:c>
      <x:c r="J1356" s="22" t="n">
        <x:f>XLOOKUP(H1356,'菜品主数据'!$A$5:$A$24,'菜品主数据'!$D$5:$D$24,0)</x:f>
        <x:v>39</x:v>
      </x:c>
      <x:c r="K1356" s="31" t="n">
        <x:v>0</x:v>
      </x:c>
      <x:c r="L1356" s="35" t="n">
        <x:f>J1356*K1356</x:f>
        <x:v>0</x:v>
      </x:c>
      <x:c r="M1356" s="36" t="n">
        <x:v>0.08</x:v>
      </x:c>
      <x:c r="N1356" s="35" t="n">
        <x:f>L1356*M1356</x:f>
        <x:v>0</x:v>
      </x:c>
      <x:c r="O1356" s="37" t="n">
        <x:v>0.18</x:v>
      </x:c>
      <x:c r="P1356" s="35" t="n">
        <x:f>L1356*O1356</x:f>
        <x:v>0</x:v>
      </x:c>
      <x:c r="Q1356" s="35" t="n">
        <x:v>1.2</x:v>
      </x:c>
      <x:c r="R1356" s="35" t="n">
        <x:f>K1356*Q1356</x:f>
        <x:v>0</x:v>
      </x:c>
      <x:c r="S1356" s="35" t="n">
        <x:f>XLOOKUP(H1356,'菜品主数据'!$A$5:$A$24,'菜品主数据'!$G$5:$G$24,0)</x:f>
        <x:v>18.874</x:v>
      </x:c>
      <x:c r="T1356" s="35" t="n">
        <x:f>K1356*S1356</x:f>
        <x:v>0</x:v>
      </x:c>
      <x:c r="U1356" s="35" t="n">
        <x:f>L1356-N1356-P1356-R1356-T1356</x:f>
        <x:v>0</x:v>
      </x:c>
      <x:c r="V1356" s="21" t="n">
        <x:f>IFERROR(U1356/L1356,0)</x:f>
        <x:v>0</x:v>
      </x:c>
    </x:row>
    <x:row r="1357">
      <x:c r="A1357" s="19" t="str">
        <x:v>SALE-01353</x:v>
      </x:c>
      <x:c r="B1357" s="34" t="n">
        <x:v>46215.5</x:v>
      </x:c>
      <x:c r="C1357" s="19" t="str">
        <x:v>周日</x:v>
      </x:c>
      <x:c r="D1357" s="19" t="str">
        <x:v>S05</x:v>
      </x:c>
      <x:c r="E1357" s="19" t="str">
        <x:v>同顺街店</x:v>
      </x:c>
      <x:c r="F1357" s="19" t="str">
        <x:v>外卖</x:v>
      </x:c>
      <x:c r="G1357" s="19" t="str">
        <x:v>全日</x:v>
      </x:c>
      <x:c r="H1357" s="19" t="str">
        <x:v>D13</x:v>
      </x:c>
      <x:c r="I1357" s="19" t="str">
        <x:v>外婆菜炒蛋</x:v>
      </x:c>
      <x:c r="J1357" s="22" t="n">
        <x:f>XLOOKUP(H1357,'菜品主数据'!$A$5:$A$24,'菜品主数据'!$D$5:$D$24,0)</x:f>
        <x:v>18</x:v>
      </x:c>
      <x:c r="K1357" s="31" t="n">
        <x:v>1</x:v>
      </x:c>
      <x:c r="L1357" s="35" t="n">
        <x:f>J1357*K1357</x:f>
        <x:v>18</x:v>
      </x:c>
      <x:c r="M1357" s="36" t="n">
        <x:v>0.08</x:v>
      </x:c>
      <x:c r="N1357" s="35" t="n">
        <x:f>L1357*M1357</x:f>
        <x:v>1.44</x:v>
      </x:c>
      <x:c r="O1357" s="37" t="n">
        <x:v>0.18</x:v>
      </x:c>
      <x:c r="P1357" s="35" t="n">
        <x:f>L1357*O1357</x:f>
        <x:v>3.2399999999999998</x:v>
      </x:c>
      <x:c r="Q1357" s="35" t="n">
        <x:v>1.2</x:v>
      </x:c>
      <x:c r="R1357" s="35" t="n">
        <x:f>K1357*Q1357</x:f>
        <x:v>1.2</x:v>
      </x:c>
      <x:c r="S1357" s="35" t="n">
        <x:f>XLOOKUP(H1357,'菜品主数据'!$A$5:$A$24,'菜品主数据'!$G$5:$G$24,0)</x:f>
        <x:v>5.403999999999999</x:v>
      </x:c>
      <x:c r="T1357" s="35" t="n">
        <x:f>K1357*S1357</x:f>
        <x:v>5.403999999999999</x:v>
      </x:c>
      <x:c r="U1357" s="35" t="n">
        <x:f>L1357-N1357-P1357-R1357-T1357</x:f>
        <x:v>6.716</x:v>
      </x:c>
      <x:c r="V1357" s="21" t="n">
        <x:f>IFERROR(U1357/L1357,0)</x:f>
        <x:v>0.3731111111111111</x:v>
      </x:c>
    </x:row>
    <x:row r="1358">
      <x:c r="A1358" s="19" t="str">
        <x:v>SALE-01354</x:v>
      </x:c>
      <x:c r="B1358" s="34" t="n">
        <x:v>46215.5</x:v>
      </x:c>
      <x:c r="C1358" s="19" t="str">
        <x:v>周日</x:v>
      </x:c>
      <x:c r="D1358" s="19" t="str">
        <x:v>S05</x:v>
      </x:c>
      <x:c r="E1358" s="19" t="str">
        <x:v>同顺街店</x:v>
      </x:c>
      <x:c r="F1358" s="19" t="str">
        <x:v>外卖</x:v>
      </x:c>
      <x:c r="G1358" s="19" t="str">
        <x:v>全日</x:v>
      </x:c>
      <x:c r="H1358" s="19" t="str">
        <x:v>D14</x:v>
      </x:c>
      <x:c r="I1358" s="19" t="str">
        <x:v>酸辣鸡杂</x:v>
      </x:c>
      <x:c r="J1358" s="22" t="n">
        <x:f>XLOOKUP(H1358,'菜品主数据'!$A$5:$A$24,'菜品主数据'!$D$5:$D$24,0)</x:f>
        <x:v>28</x:v>
      </x:c>
      <x:c r="K1358" s="31" t="n">
        <x:v>0</x:v>
      </x:c>
      <x:c r="L1358" s="35" t="n">
        <x:f>J1358*K1358</x:f>
        <x:v>0</x:v>
      </x:c>
      <x:c r="M1358" s="36" t="n">
        <x:v>0.08</x:v>
      </x:c>
      <x:c r="N1358" s="35" t="n">
        <x:f>L1358*M1358</x:f>
        <x:v>0</x:v>
      </x:c>
      <x:c r="O1358" s="37" t="n">
        <x:v>0.18</x:v>
      </x:c>
      <x:c r="P1358" s="35" t="n">
        <x:f>L1358*O1358</x:f>
        <x:v>0</x:v>
      </x:c>
      <x:c r="Q1358" s="35" t="n">
        <x:v>1.2</x:v>
      </x:c>
      <x:c r="R1358" s="35" t="n">
        <x:f>K1358*Q1358</x:f>
        <x:v>0</x:v>
      </x:c>
      <x:c r="S1358" s="35" t="n">
        <x:f>XLOOKUP(H1358,'菜品主数据'!$A$5:$A$24,'菜品主数据'!$G$5:$G$24,0)</x:f>
        <x:v>8.315000000000001</x:v>
      </x:c>
      <x:c r="T1358" s="35" t="n">
        <x:f>K1358*S1358</x:f>
        <x:v>0</x:v>
      </x:c>
      <x:c r="U1358" s="35" t="n">
        <x:f>L1358-N1358-P1358-R1358-T1358</x:f>
        <x:v>0</x:v>
      </x:c>
      <x:c r="V1358" s="21" t="n">
        <x:f>IFERROR(U1358/L1358,0)</x:f>
        <x:v>0</x:v>
      </x:c>
    </x:row>
    <x:row r="1359">
      <x:c r="A1359" s="19" t="str">
        <x:v>SALE-01355</x:v>
      </x:c>
      <x:c r="B1359" s="34" t="n">
        <x:v>46215.5</x:v>
      </x:c>
      <x:c r="C1359" s="19" t="str">
        <x:v>周日</x:v>
      </x:c>
      <x:c r="D1359" s="19" t="str">
        <x:v>S05</x:v>
      </x:c>
      <x:c r="E1359" s="19" t="str">
        <x:v>同顺街店</x:v>
      </x:c>
      <x:c r="F1359" s="19" t="str">
        <x:v>外卖</x:v>
      </x:c>
      <x:c r="G1359" s="19" t="str">
        <x:v>全日</x:v>
      </x:c>
      <x:c r="H1359" s="19" t="str">
        <x:v>D15</x:v>
      </x:c>
      <x:c r="I1359" s="19" t="str">
        <x:v>湘西土匪猪肝</x:v>
      </x:c>
      <x:c r="J1359" s="22" t="n">
        <x:f>XLOOKUP(H1359,'菜品主数据'!$A$5:$A$24,'菜品主数据'!$D$5:$D$24,0)</x:f>
        <x:v>26</x:v>
      </x:c>
      <x:c r="K1359" s="31" t="n">
        <x:v>0</x:v>
      </x:c>
      <x:c r="L1359" s="35" t="n">
        <x:f>J1359*K1359</x:f>
        <x:v>0</x:v>
      </x:c>
      <x:c r="M1359" s="36" t="n">
        <x:v>0.08</x:v>
      </x:c>
      <x:c r="N1359" s="35" t="n">
        <x:f>L1359*M1359</x:f>
        <x:v>0</x:v>
      </x:c>
      <x:c r="O1359" s="37" t="n">
        <x:v>0.18</x:v>
      </x:c>
      <x:c r="P1359" s="35" t="n">
        <x:f>L1359*O1359</x:f>
        <x:v>0</x:v>
      </x:c>
      <x:c r="Q1359" s="35" t="n">
        <x:v>1.2</x:v>
      </x:c>
      <x:c r="R1359" s="35" t="n">
        <x:f>K1359*Q1359</x:f>
        <x:v>0</x:v>
      </x:c>
      <x:c r="S1359" s="35" t="n">
        <x:f>XLOOKUP(H1359,'菜品主数据'!$A$5:$A$24,'菜品主数据'!$G$5:$G$24,0)</x:f>
        <x:v>6.3759999999999994</x:v>
      </x:c>
      <x:c r="T1359" s="35" t="n">
        <x:f>K1359*S1359</x:f>
        <x:v>0</x:v>
      </x:c>
      <x:c r="U1359" s="35" t="n">
        <x:f>L1359-N1359-P1359-R1359-T1359</x:f>
        <x:v>0</x:v>
      </x:c>
      <x:c r="V1359" s="21" t="n">
        <x:f>IFERROR(U1359/L1359,0)</x:f>
        <x:v>0</x:v>
      </x:c>
    </x:row>
    <x:row r="1360">
      <x:c r="A1360" s="19" t="str">
        <x:v>SALE-01356</x:v>
      </x:c>
      <x:c r="B1360" s="34" t="n">
        <x:v>46215.5</x:v>
      </x:c>
      <x:c r="C1360" s="19" t="str">
        <x:v>周日</x:v>
      </x:c>
      <x:c r="D1360" s="19" t="str">
        <x:v>S05</x:v>
      </x:c>
      <x:c r="E1360" s="19" t="str">
        <x:v>同顺街店</x:v>
      </x:c>
      <x:c r="F1360" s="19" t="str">
        <x:v>外卖</x:v>
      </x:c>
      <x:c r="G1360" s="19" t="str">
        <x:v>全日</x:v>
      </x:c>
      <x:c r="H1360" s="19" t="str">
        <x:v>D16</x:v>
      </x:c>
      <x:c r="I1360" s="19" t="str">
        <x:v>小豆角炒五花</x:v>
      </x:c>
      <x:c r="J1360" s="22" t="n">
        <x:f>XLOOKUP(H1360,'菜品主数据'!$A$5:$A$24,'菜品主数据'!$D$5:$D$24,0)</x:f>
        <x:v>25</x:v>
      </x:c>
      <x:c r="K1360" s="31" t="n">
        <x:v>0</x:v>
      </x:c>
      <x:c r="L1360" s="35" t="n">
        <x:f>J1360*K1360</x:f>
        <x:v>0</x:v>
      </x:c>
      <x:c r="M1360" s="36" t="n">
        <x:v>0.08</x:v>
      </x:c>
      <x:c r="N1360" s="35" t="n">
        <x:f>L1360*M1360</x:f>
        <x:v>0</x:v>
      </x:c>
      <x:c r="O1360" s="37" t="n">
        <x:v>0.18</x:v>
      </x:c>
      <x:c r="P1360" s="35" t="n">
        <x:f>L1360*O1360</x:f>
        <x:v>0</x:v>
      </x:c>
      <x:c r="Q1360" s="35" t="n">
        <x:v>1.2</x:v>
      </x:c>
      <x:c r="R1360" s="35" t="n">
        <x:f>K1360*Q1360</x:f>
        <x:v>0</x:v>
      </x:c>
      <x:c r="S1360" s="35" t="n">
        <x:f>XLOOKUP(H1360,'菜品主数据'!$A$5:$A$24,'菜品主数据'!$G$5:$G$24,0)</x:f>
        <x:v>8.184</x:v>
      </x:c>
      <x:c r="T1360" s="35" t="n">
        <x:f>K1360*S1360</x:f>
        <x:v>0</x:v>
      </x:c>
      <x:c r="U1360" s="35" t="n">
        <x:f>L1360-N1360-P1360-R1360-T1360</x:f>
        <x:v>0</x:v>
      </x:c>
      <x:c r="V1360" s="21" t="n">
        <x:f>IFERROR(U1360/L1360,0)</x:f>
        <x:v>0</x:v>
      </x:c>
    </x:row>
    <x:row r="1361">
      <x:c r="A1361" s="19" t="str">
        <x:v>SALE-01357</x:v>
      </x:c>
      <x:c r="B1361" s="34" t="n">
        <x:v>46215.5</x:v>
      </x:c>
      <x:c r="C1361" s="19" t="str">
        <x:v>周日</x:v>
      </x:c>
      <x:c r="D1361" s="19" t="str">
        <x:v>S05</x:v>
      </x:c>
      <x:c r="E1361" s="19" t="str">
        <x:v>同顺街店</x:v>
      </x:c>
      <x:c r="F1361" s="19" t="str">
        <x:v>外卖</x:v>
      </x:c>
      <x:c r="G1361" s="19" t="str">
        <x:v>全日</x:v>
      </x:c>
      <x:c r="H1361" s="19" t="str">
        <x:v>D17</x:v>
      </x:c>
      <x:c r="I1361" s="19" t="str">
        <x:v>蒜蓉粉丝虾</x:v>
      </x:c>
      <x:c r="J1361" s="22" t="n">
        <x:f>XLOOKUP(H1361,'菜品主数据'!$A$5:$A$24,'菜品主数据'!$D$5:$D$24,0)</x:f>
        <x:v>36</x:v>
      </x:c>
      <x:c r="K1361" s="31" t="n">
        <x:v>0</x:v>
      </x:c>
      <x:c r="L1361" s="35" t="n">
        <x:f>J1361*K1361</x:f>
        <x:v>0</x:v>
      </x:c>
      <x:c r="M1361" s="36" t="n">
        <x:v>0.08</x:v>
      </x:c>
      <x:c r="N1361" s="35" t="n">
        <x:f>L1361*M1361</x:f>
        <x:v>0</x:v>
      </x:c>
      <x:c r="O1361" s="37" t="n">
        <x:v>0.18</x:v>
      </x:c>
      <x:c r="P1361" s="35" t="n">
        <x:f>L1361*O1361</x:f>
        <x:v>0</x:v>
      </x:c>
      <x:c r="Q1361" s="35" t="n">
        <x:v>1.2</x:v>
      </x:c>
      <x:c r="R1361" s="35" t="n">
        <x:f>K1361*Q1361</x:f>
        <x:v>0</x:v>
      </x:c>
      <x:c r="S1361" s="35" t="n">
        <x:f>XLOOKUP(H1361,'菜品主数据'!$A$5:$A$24,'菜品主数据'!$G$5:$G$24,0)</x:f>
        <x:v>13.594</x:v>
      </x:c>
      <x:c r="T1361" s="35" t="n">
        <x:f>K1361*S1361</x:f>
        <x:v>0</x:v>
      </x:c>
      <x:c r="U1361" s="35" t="n">
        <x:f>L1361-N1361-P1361-R1361-T1361</x:f>
        <x:v>0</x:v>
      </x:c>
      <x:c r="V1361" s="21" t="n">
        <x:f>IFERROR(U1361/L1361,0)</x:f>
        <x:v>0</x:v>
      </x:c>
    </x:row>
    <x:row r="1362">
      <x:c r="A1362" s="19" t="str">
        <x:v>SALE-01358</x:v>
      </x:c>
      <x:c r="B1362" s="34" t="n">
        <x:v>46215.5</x:v>
      </x:c>
      <x:c r="C1362" s="19" t="str">
        <x:v>周日</x:v>
      </x:c>
      <x:c r="D1362" s="19" t="str">
        <x:v>S05</x:v>
      </x:c>
      <x:c r="E1362" s="19" t="str">
        <x:v>同顺街店</x:v>
      </x:c>
      <x:c r="F1362" s="19" t="str">
        <x:v>外卖</x:v>
      </x:c>
      <x:c r="G1362" s="19" t="str">
        <x:v>全日</x:v>
      </x:c>
      <x:c r="H1362" s="19" t="str">
        <x:v>D18</x:v>
      </x:c>
      <x:c r="I1362" s="19" t="str">
        <x:v>青椒炒油麦菜</x:v>
      </x:c>
      <x:c r="J1362" s="22" t="n">
        <x:f>XLOOKUP(H1362,'菜品主数据'!$A$5:$A$24,'菜品主数据'!$D$5:$D$24,0)</x:f>
        <x:v>18</x:v>
      </x:c>
      <x:c r="K1362" s="31" t="n">
        <x:v>0</x:v>
      </x:c>
      <x:c r="L1362" s="35" t="n">
        <x:f>J1362*K1362</x:f>
        <x:v>0</x:v>
      </x:c>
      <x:c r="M1362" s="36" t="n">
        <x:v>0.08</x:v>
      </x:c>
      <x:c r="N1362" s="35" t="n">
        <x:f>L1362*M1362</x:f>
        <x:v>0</x:v>
      </x:c>
      <x:c r="O1362" s="37" t="n">
        <x:v>0.18</x:v>
      </x:c>
      <x:c r="P1362" s="35" t="n">
        <x:f>L1362*O1362</x:f>
        <x:v>0</x:v>
      </x:c>
      <x:c r="Q1362" s="35" t="n">
        <x:v>1.2</x:v>
      </x:c>
      <x:c r="R1362" s="35" t="n">
        <x:f>K1362*Q1362</x:f>
        <x:v>0</x:v>
      </x:c>
      <x:c r="S1362" s="35" t="n">
        <x:f>XLOOKUP(H1362,'菜品主数据'!$A$5:$A$24,'菜品主数据'!$G$5:$G$24,0)</x:f>
        <x:v>3.1759999999999993</x:v>
      </x:c>
      <x:c r="T1362" s="35" t="n">
        <x:f>K1362*S1362</x:f>
        <x:v>0</x:v>
      </x:c>
      <x:c r="U1362" s="35" t="n">
        <x:f>L1362-N1362-P1362-R1362-T1362</x:f>
        <x:v>0</x:v>
      </x:c>
      <x:c r="V1362" s="21" t="n">
        <x:f>IFERROR(U1362/L1362,0)</x:f>
        <x:v>0</x:v>
      </x:c>
    </x:row>
    <x:row r="1363">
      <x:c r="A1363" s="19" t="str">
        <x:v>SALE-01359</x:v>
      </x:c>
      <x:c r="B1363" s="34" t="n">
        <x:v>46215.5</x:v>
      </x:c>
      <x:c r="C1363" s="19" t="str">
        <x:v>周日</x:v>
      </x:c>
      <x:c r="D1363" s="19" t="str">
        <x:v>S05</x:v>
      </x:c>
      <x:c r="E1363" s="19" t="str">
        <x:v>同顺街店</x:v>
      </x:c>
      <x:c r="F1363" s="19" t="str">
        <x:v>外卖</x:v>
      </x:c>
      <x:c r="G1363" s="19" t="str">
        <x:v>全日</x:v>
      </x:c>
      <x:c r="H1363" s="19" t="str">
        <x:v>D19</x:v>
      </x:c>
      <x:c r="I1363" s="19" t="str">
        <x:v>酸萝卜炒鸡杂</x:v>
      </x:c>
      <x:c r="J1363" s="22" t="n">
        <x:f>XLOOKUP(H1363,'菜品主数据'!$A$5:$A$24,'菜品主数据'!$D$5:$D$24,0)</x:f>
        <x:v>25</x:v>
      </x:c>
      <x:c r="K1363" s="31" t="n">
        <x:v>0</x:v>
      </x:c>
      <x:c r="L1363" s="35" t="n">
        <x:f>J1363*K1363</x:f>
        <x:v>0</x:v>
      </x:c>
      <x:c r="M1363" s="36" t="n">
        <x:v>0.08</x:v>
      </x:c>
      <x:c r="N1363" s="35" t="n">
        <x:f>L1363*M1363</x:f>
        <x:v>0</x:v>
      </x:c>
      <x:c r="O1363" s="37" t="n">
        <x:v>0.18</x:v>
      </x:c>
      <x:c r="P1363" s="35" t="n">
        <x:f>L1363*O1363</x:f>
        <x:v>0</x:v>
      </x:c>
      <x:c r="Q1363" s="35" t="n">
        <x:v>1.2</x:v>
      </x:c>
      <x:c r="R1363" s="35" t="n">
        <x:f>K1363*Q1363</x:f>
        <x:v>0</x:v>
      </x:c>
      <x:c r="S1363" s="35" t="n">
        <x:f>XLOOKUP(H1363,'菜品主数据'!$A$5:$A$24,'菜品主数据'!$G$5:$G$24,0)</x:f>
        <x:v>7.9399999999999995</x:v>
      </x:c>
      <x:c r="T1363" s="35" t="n">
        <x:f>K1363*S1363</x:f>
        <x:v>0</x:v>
      </x:c>
      <x:c r="U1363" s="35" t="n">
        <x:f>L1363-N1363-P1363-R1363-T1363</x:f>
        <x:v>0</x:v>
      </x:c>
      <x:c r="V1363" s="21" t="n">
        <x:f>IFERROR(U1363/L1363,0)</x:f>
        <x:v>0</x:v>
      </x:c>
    </x:row>
    <x:row r="1364">
      <x:c r="A1364" s="19" t="str">
        <x:v>SALE-01360</x:v>
      </x:c>
      <x:c r="B1364" s="34" t="n">
        <x:v>46215.5</x:v>
      </x:c>
      <x:c r="C1364" s="19" t="str">
        <x:v>周日</x:v>
      </x:c>
      <x:c r="D1364" s="19" t="str">
        <x:v>S05</x:v>
      </x:c>
      <x:c r="E1364" s="19" t="str">
        <x:v>同顺街店</x:v>
      </x:c>
      <x:c r="F1364" s="19" t="str">
        <x:v>外卖</x:v>
      </x:c>
      <x:c r="G1364" s="19" t="str">
        <x:v>全日</x:v>
      </x:c>
      <x:c r="H1364" s="19" t="str">
        <x:v>D20</x:v>
      </x:c>
      <x:c r="I1364" s="19" t="str">
        <x:v>雪菜肉末青豆</x:v>
      </x:c>
      <x:c r="J1364" s="22" t="n">
        <x:f>XLOOKUP(H1364,'菜品主数据'!$A$5:$A$24,'菜品主数据'!$D$5:$D$24,0)</x:f>
        <x:v>18</x:v>
      </x:c>
      <x:c r="K1364" s="31" t="n">
        <x:v>0</x:v>
      </x:c>
      <x:c r="L1364" s="35" t="n">
        <x:f>J1364*K1364</x:f>
        <x:v>0</x:v>
      </x:c>
      <x:c r="M1364" s="36" t="n">
        <x:v>0.08</x:v>
      </x:c>
      <x:c r="N1364" s="35" t="n">
        <x:f>L1364*M1364</x:f>
        <x:v>0</x:v>
      </x:c>
      <x:c r="O1364" s="37" t="n">
        <x:v>0.18</x:v>
      </x:c>
      <x:c r="P1364" s="35" t="n">
        <x:f>L1364*O1364</x:f>
        <x:v>0</x:v>
      </x:c>
      <x:c r="Q1364" s="35" t="n">
        <x:v>1.2</x:v>
      </x:c>
      <x:c r="R1364" s="35" t="n">
        <x:f>K1364*Q1364</x:f>
        <x:v>0</x:v>
      </x:c>
      <x:c r="S1364" s="35" t="n">
        <x:f>XLOOKUP(H1364,'菜品主数据'!$A$5:$A$24,'菜品主数据'!$G$5:$G$24,0)</x:f>
        <x:v>7.303999999999999</x:v>
      </x:c>
      <x:c r="T1364" s="35" t="n">
        <x:f>K1364*S1364</x:f>
        <x:v>0</x:v>
      </x:c>
      <x:c r="U1364" s="35" t="n">
        <x:f>L1364-N1364-P1364-R1364-T1364</x:f>
        <x:v>0</x:v>
      </x:c>
      <x:c r="V1364" s="21" t="n">
        <x:f>IFERROR(U1364/L1364,0)</x:f>
        <x:v>0</x:v>
      </x:c>
    </x:row>
    <x:row r="1365">
      <x:c r="A1365" s="19" t="str">
        <x:v>SALE-01361</x:v>
      </x:c>
      <x:c r="B1365" s="34" t="n">
        <x:v>46216.5</x:v>
      </x:c>
      <x:c r="C1365" s="19" t="str">
        <x:v>周一</x:v>
      </x:c>
      <x:c r="D1365" s="19" t="str">
        <x:v>S05</x:v>
      </x:c>
      <x:c r="E1365" s="19" t="str">
        <x:v>同顺街店</x:v>
      </x:c>
      <x:c r="F1365" s="19" t="str">
        <x:v>堂食</x:v>
      </x:c>
      <x:c r="G1365" s="19" t="str">
        <x:v>全日</x:v>
      </x:c>
      <x:c r="H1365" s="19" t="str">
        <x:v>D01</x:v>
      </x:c>
      <x:c r="I1365" s="19" t="str">
        <x:v>辣椒炒肉</x:v>
      </x:c>
      <x:c r="J1365" s="22" t="n">
        <x:f>XLOOKUP(H1365,'菜品主数据'!$A$5:$A$24,'菜品主数据'!$D$5:$D$24,0)</x:f>
        <x:v>29</x:v>
      </x:c>
      <x:c r="K1365" s="31" t="n">
        <x:v>50</x:v>
      </x:c>
      <x:c r="L1365" s="35" t="n">
        <x:f>J1365*K1365</x:f>
        <x:v>1450</x:v>
      </x:c>
      <x:c r="M1365" s="36" t="n">
        <x:v>0</x:v>
      </x:c>
      <x:c r="N1365" s="35" t="n">
        <x:f>L1365*M1365</x:f>
        <x:v>0</x:v>
      </x:c>
      <x:c r="O1365" s="37" t="n">
        <x:v>0</x:v>
      </x:c>
      <x:c r="P1365" s="35" t="n">
        <x:f>L1365*O1365</x:f>
        <x:v>0</x:v>
      </x:c>
      <x:c r="Q1365" s="35" t="n">
        <x:v>0</x:v>
      </x:c>
      <x:c r="R1365" s="35" t="n">
        <x:f>K1365*Q1365</x:f>
        <x:v>0</x:v>
      </x:c>
      <x:c r="S1365" s="35" t="n">
        <x:f>XLOOKUP(H1365,'菜品主数据'!$A$5:$A$24,'菜品主数据'!$G$5:$G$24,0)</x:f>
        <x:v>8.634400000000001</x:v>
      </x:c>
      <x:c r="T1365" s="35" t="n">
        <x:f>K1365*S1365</x:f>
        <x:v>431.7200000000001</x:v>
      </x:c>
      <x:c r="U1365" s="35" t="n">
        <x:f>L1365-N1365-P1365-R1365-T1365</x:f>
        <x:v>1018.28</x:v>
      </x:c>
      <x:c r="V1365" s="21" t="n">
        <x:f>IFERROR(U1365/L1365,0)</x:f>
        <x:v>0.7022620689655172</x:v>
      </x:c>
    </x:row>
    <x:row r="1366">
      <x:c r="A1366" s="19" t="str">
        <x:v>SALE-01362</x:v>
      </x:c>
      <x:c r="B1366" s="34" t="n">
        <x:v>46216.5</x:v>
      </x:c>
      <x:c r="C1366" s="19" t="str">
        <x:v>周一</x:v>
      </x:c>
      <x:c r="D1366" s="19" t="str">
        <x:v>S05</x:v>
      </x:c>
      <x:c r="E1366" s="19" t="str">
        <x:v>同顺街店</x:v>
      </x:c>
      <x:c r="F1366" s="19" t="str">
        <x:v>堂食</x:v>
      </x:c>
      <x:c r="G1366" s="19" t="str">
        <x:v>全日</x:v>
      </x:c>
      <x:c r="H1366" s="19" t="str">
        <x:v>D02</x:v>
      </x:c>
      <x:c r="I1366" s="19" t="str">
        <x:v>小炒黄牛肉</x:v>
      </x:c>
      <x:c r="J1366" s="22" t="n">
        <x:f>XLOOKUP(H1366,'菜品主数据'!$A$5:$A$24,'菜品主数据'!$D$5:$D$24,0)</x:f>
        <x:v>49</x:v>
      </x:c>
      <x:c r="K1366" s="31" t="n">
        <x:v>28</x:v>
      </x:c>
      <x:c r="L1366" s="35" t="n">
        <x:f>J1366*K1366</x:f>
        <x:v>1372</x:v>
      </x:c>
      <x:c r="M1366" s="36" t="n">
        <x:v>0</x:v>
      </x:c>
      <x:c r="N1366" s="35" t="n">
        <x:f>L1366*M1366</x:f>
        <x:v>0</x:v>
      </x:c>
      <x:c r="O1366" s="37" t="n">
        <x:v>0</x:v>
      </x:c>
      <x:c r="P1366" s="35" t="n">
        <x:f>L1366*O1366</x:f>
        <x:v>0</x:v>
      </x:c>
      <x:c r="Q1366" s="35" t="n">
        <x:v>0</x:v>
      </x:c>
      <x:c r="R1366" s="35" t="n">
        <x:f>K1366*Q1366</x:f>
        <x:v>0</x:v>
      </x:c>
      <x:c r="S1366" s="35" t="n">
        <x:f>XLOOKUP(H1366,'菜品主数据'!$A$5:$A$24,'菜品主数据'!$G$5:$G$24,0)</x:f>
        <x:v>17.577</x:v>
      </x:c>
      <x:c r="T1366" s="35" t="n">
        <x:f>K1366*S1366</x:f>
        <x:v>492.15600000000006</x:v>
      </x:c>
      <x:c r="U1366" s="35" t="n">
        <x:f>L1366-N1366-P1366-R1366-T1366</x:f>
        <x:v>879.8439999999999</x:v>
      </x:c>
      <x:c r="V1366" s="21" t="n">
        <x:f>IFERROR(U1366/L1366,0)</x:f>
        <x:v>0.6412857142857142</x:v>
      </x:c>
    </x:row>
    <x:row r="1367">
      <x:c r="A1367" s="19" t="str">
        <x:v>SALE-01363</x:v>
      </x:c>
      <x:c r="B1367" s="34" t="n">
        <x:v>46216.5</x:v>
      </x:c>
      <x:c r="C1367" s="19" t="str">
        <x:v>周一</x:v>
      </x:c>
      <x:c r="D1367" s="19" t="str">
        <x:v>S05</x:v>
      </x:c>
      <x:c r="E1367" s="19" t="str">
        <x:v>同顺街店</x:v>
      </x:c>
      <x:c r="F1367" s="19" t="str">
        <x:v>堂食</x:v>
      </x:c>
      <x:c r="G1367" s="19" t="str">
        <x:v>全日</x:v>
      </x:c>
      <x:c r="H1367" s="19" t="str">
        <x:v>D03</x:v>
      </x:c>
      <x:c r="I1367" s="19" t="str">
        <x:v>香醋炒蛋</x:v>
      </x:c>
      <x:c r="J1367" s="22" t="n">
        <x:f>XLOOKUP(H1367,'菜品主数据'!$A$5:$A$24,'菜品主数据'!$D$5:$D$24,0)</x:f>
        <x:v>14.9</x:v>
      </x:c>
      <x:c r="K1367" s="31" t="n">
        <x:v>41</x:v>
      </x:c>
      <x:c r="L1367" s="35" t="n">
        <x:f>J1367*K1367</x:f>
        <x:v>610.9</x:v>
      </x:c>
      <x:c r="M1367" s="36" t="n">
        <x:v>0</x:v>
      </x:c>
      <x:c r="N1367" s="35" t="n">
        <x:f>L1367*M1367</x:f>
        <x:v>0</x:v>
      </x:c>
      <x:c r="O1367" s="37" t="n">
        <x:v>0</x:v>
      </x:c>
      <x:c r="P1367" s="35" t="n">
        <x:f>L1367*O1367</x:f>
        <x:v>0</x:v>
      </x:c>
      <x:c r="Q1367" s="35" t="n">
        <x:v>0</x:v>
      </x:c>
      <x:c r="R1367" s="35" t="n">
        <x:f>K1367*Q1367</x:f>
        <x:v>0</x:v>
      </x:c>
      <x:c r="S1367" s="35" t="n">
        <x:f>XLOOKUP(H1367,'菜品主数据'!$A$5:$A$24,'菜品主数据'!$G$5:$G$24,0)</x:f>
        <x:v>3.7459999999999996</x:v>
      </x:c>
      <x:c r="T1367" s="35" t="n">
        <x:f>K1367*S1367</x:f>
        <x:v>153.58599999999998</x:v>
      </x:c>
      <x:c r="U1367" s="35" t="n">
        <x:f>L1367-N1367-P1367-R1367-T1367</x:f>
        <x:v>457.31399999999996</x:v>
      </x:c>
      <x:c r="V1367" s="21" t="n">
        <x:f>IFERROR(U1367/L1367,0)</x:f>
        <x:v>0.7485906040268456</x:v>
      </x:c>
    </x:row>
    <x:row r="1368">
      <x:c r="A1368" s="19" t="str">
        <x:v>SALE-01364</x:v>
      </x:c>
      <x:c r="B1368" s="34" t="n">
        <x:v>46216.5</x:v>
      </x:c>
      <x:c r="C1368" s="19" t="str">
        <x:v>周一</x:v>
      </x:c>
      <x:c r="D1368" s="19" t="str">
        <x:v>S05</x:v>
      </x:c>
      <x:c r="E1368" s="19" t="str">
        <x:v>同顺街店</x:v>
      </x:c>
      <x:c r="F1368" s="19" t="str">
        <x:v>堂食</x:v>
      </x:c>
      <x:c r="G1368" s="19" t="str">
        <x:v>全日</x:v>
      </x:c>
      <x:c r="H1368" s="19" t="str">
        <x:v>D04</x:v>
      </x:c>
      <x:c r="I1368" s="19" t="str">
        <x:v>酸包菜炒粉皮</x:v>
      </x:c>
      <x:c r="J1368" s="22" t="n">
        <x:f>XLOOKUP(H1368,'菜品主数据'!$A$5:$A$24,'菜品主数据'!$D$5:$D$24,0)</x:f>
        <x:v>16</x:v>
      </x:c>
      <x:c r="K1368" s="31" t="n">
        <x:v>35</x:v>
      </x:c>
      <x:c r="L1368" s="35" t="n">
        <x:f>J1368*K1368</x:f>
        <x:v>560</x:v>
      </x:c>
      <x:c r="M1368" s="36" t="n">
        <x:v>0</x:v>
      </x:c>
      <x:c r="N1368" s="35" t="n">
        <x:f>L1368*M1368</x:f>
        <x:v>0</x:v>
      </x:c>
      <x:c r="O1368" s="37" t="n">
        <x:v>0</x:v>
      </x:c>
      <x:c r="P1368" s="35" t="n">
        <x:f>L1368*O1368</x:f>
        <x:v>0</x:v>
      </x:c>
      <x:c r="Q1368" s="35" t="n">
        <x:v>0</x:v>
      </x:c>
      <x:c r="R1368" s="35" t="n">
        <x:f>K1368*Q1368</x:f>
        <x:v>0</x:v>
      </x:c>
      <x:c r="S1368" s="35" t="n">
        <x:f>XLOOKUP(H1368,'菜品主数据'!$A$5:$A$24,'菜品主数据'!$G$5:$G$24,0)</x:f>
        <x:v>3.978</x:v>
      </x:c>
      <x:c r="T1368" s="35" t="n">
        <x:f>K1368*S1368</x:f>
        <x:v>139.23000000000002</x:v>
      </x:c>
      <x:c r="U1368" s="35" t="n">
        <x:f>L1368-N1368-P1368-R1368-T1368</x:f>
        <x:v>420.77</x:v>
      </x:c>
      <x:c r="V1368" s="21" t="n">
        <x:f>IFERROR(U1368/L1368,0)</x:f>
        <x:v>0.751375</x:v>
      </x:c>
    </x:row>
    <x:row r="1369">
      <x:c r="A1369" s="19" t="str">
        <x:v>SALE-01365</x:v>
      </x:c>
      <x:c r="B1369" s="34" t="n">
        <x:v>46216.5</x:v>
      </x:c>
      <x:c r="C1369" s="19" t="str">
        <x:v>周一</x:v>
      </x:c>
      <x:c r="D1369" s="19" t="str">
        <x:v>S05</x:v>
      </x:c>
      <x:c r="E1369" s="19" t="str">
        <x:v>同顺街店</x:v>
      </x:c>
      <x:c r="F1369" s="19" t="str">
        <x:v>堂食</x:v>
      </x:c>
      <x:c r="G1369" s="19" t="str">
        <x:v>全日</x:v>
      </x:c>
      <x:c r="H1369" s="19" t="str">
        <x:v>D05</x:v>
      </x:c>
      <x:c r="I1369" s="19" t="str">
        <x:v>麻婆豆腐</x:v>
      </x:c>
      <x:c r="J1369" s="22" t="n">
        <x:f>XLOOKUP(H1369,'菜品主数据'!$A$5:$A$24,'菜品主数据'!$D$5:$D$24,0)</x:f>
        <x:v>9.9</x:v>
      </x:c>
      <x:c r="K1369" s="31" t="n">
        <x:v>50</x:v>
      </x:c>
      <x:c r="L1369" s="35" t="n">
        <x:f>J1369*K1369</x:f>
        <x:v>495</x:v>
      </x:c>
      <x:c r="M1369" s="36" t="n">
        <x:v>0</x:v>
      </x:c>
      <x:c r="N1369" s="35" t="n">
        <x:f>L1369*M1369</x:f>
        <x:v>0</x:v>
      </x:c>
      <x:c r="O1369" s="37" t="n">
        <x:v>0</x:v>
      </x:c>
      <x:c r="P1369" s="35" t="n">
        <x:f>L1369*O1369</x:f>
        <x:v>0</x:v>
      </x:c>
      <x:c r="Q1369" s="35" t="n">
        <x:v>0</x:v>
      </x:c>
      <x:c r="R1369" s="35" t="n">
        <x:f>K1369*Q1369</x:f>
        <x:v>0</x:v>
      </x:c>
      <x:c r="S1369" s="35" t="n">
        <x:f>XLOOKUP(H1369,'菜品主数据'!$A$5:$A$24,'菜品主数据'!$G$5:$G$24,0)</x:f>
        <x:v>5.367000000000001</x:v>
      </x:c>
      <x:c r="T1369" s="35" t="n">
        <x:f>K1369*S1369</x:f>
        <x:v>268.35</x:v>
      </x:c>
      <x:c r="U1369" s="35" t="n">
        <x:f>L1369-N1369-P1369-R1369-T1369</x:f>
        <x:v>226.64999999999998</x:v>
      </x:c>
      <x:c r="V1369" s="21" t="n">
        <x:f>IFERROR(U1369/L1369,0)</x:f>
        <x:v>0.45787878787878783</x:v>
      </x:c>
    </x:row>
    <x:row r="1370">
      <x:c r="A1370" s="19" t="str">
        <x:v>SALE-01366</x:v>
      </x:c>
      <x:c r="B1370" s="34" t="n">
        <x:v>46216.5</x:v>
      </x:c>
      <x:c r="C1370" s="19" t="str">
        <x:v>周一</x:v>
      </x:c>
      <x:c r="D1370" s="19" t="str">
        <x:v>S05</x:v>
      </x:c>
      <x:c r="E1370" s="19" t="str">
        <x:v>同顺街店</x:v>
      </x:c>
      <x:c r="F1370" s="19" t="str">
        <x:v>堂食</x:v>
      </x:c>
      <x:c r="G1370" s="19" t="str">
        <x:v>全日</x:v>
      </x:c>
      <x:c r="H1370" s="19" t="str">
        <x:v>D06</x:v>
      </x:c>
      <x:c r="I1370" s="19" t="str">
        <x:v>剁椒鱼头</x:v>
      </x:c>
      <x:c r="J1370" s="22" t="n">
        <x:f>XLOOKUP(H1370,'菜品主数据'!$A$5:$A$24,'菜品主数据'!$D$5:$D$24,0)</x:f>
        <x:v>39</x:v>
      </x:c>
      <x:c r="K1370" s="31" t="n">
        <x:v>11</x:v>
      </x:c>
      <x:c r="L1370" s="35" t="n">
        <x:f>J1370*K1370</x:f>
        <x:v>429</x:v>
      </x:c>
      <x:c r="M1370" s="36" t="n">
        <x:v>0</x:v>
      </x:c>
      <x:c r="N1370" s="35" t="n">
        <x:f>L1370*M1370</x:f>
        <x:v>0</x:v>
      </x:c>
      <x:c r="O1370" s="37" t="n">
        <x:v>0</x:v>
      </x:c>
      <x:c r="P1370" s="35" t="n">
        <x:f>L1370*O1370</x:f>
        <x:v>0</x:v>
      </x:c>
      <x:c r="Q1370" s="35" t="n">
        <x:v>0</x:v>
      </x:c>
      <x:c r="R1370" s="35" t="n">
        <x:f>K1370*Q1370</x:f>
        <x:v>0</x:v>
      </x:c>
      <x:c r="S1370" s="35" t="n">
        <x:f>XLOOKUP(H1370,'菜品主数据'!$A$5:$A$24,'菜品主数据'!$G$5:$G$24,0)</x:f>
        <x:v>17.446</x:v>
      </x:c>
      <x:c r="T1370" s="35" t="n">
        <x:f>K1370*S1370</x:f>
        <x:v>191.906</x:v>
      </x:c>
      <x:c r="U1370" s="35" t="n">
        <x:f>L1370-N1370-P1370-R1370-T1370</x:f>
        <x:v>237.094</x:v>
      </x:c>
      <x:c r="V1370" s="21" t="n">
        <x:f>IFERROR(U1370/L1370,0)</x:f>
        <x:v>0.5526666666666666</x:v>
      </x:c>
    </x:row>
    <x:row r="1371">
      <x:c r="A1371" s="19" t="str">
        <x:v>SALE-01367</x:v>
      </x:c>
      <x:c r="B1371" s="34" t="n">
        <x:v>46216.5</x:v>
      </x:c>
      <x:c r="C1371" s="19" t="str">
        <x:v>周一</x:v>
      </x:c>
      <x:c r="D1371" s="19" t="str">
        <x:v>S05</x:v>
      </x:c>
      <x:c r="E1371" s="19" t="str">
        <x:v>同顺街店</x:v>
      </x:c>
      <x:c r="F1371" s="19" t="str">
        <x:v>堂食</x:v>
      </x:c>
      <x:c r="G1371" s="19" t="str">
        <x:v>全日</x:v>
      </x:c>
      <x:c r="H1371" s="19" t="str">
        <x:v>D07</x:v>
      </x:c>
      <x:c r="I1371" s="19" t="str">
        <x:v>川味回锅肉</x:v>
      </x:c>
      <x:c r="J1371" s="22" t="n">
        <x:f>XLOOKUP(H1371,'菜品主数据'!$A$5:$A$24,'菜品主数据'!$D$5:$D$24,0)</x:f>
        <x:v>29</x:v>
      </x:c>
      <x:c r="K1371" s="31" t="n">
        <x:v>15</x:v>
      </x:c>
      <x:c r="L1371" s="35" t="n">
        <x:f>J1371*K1371</x:f>
        <x:v>435</x:v>
      </x:c>
      <x:c r="M1371" s="36" t="n">
        <x:v>0</x:v>
      </x:c>
      <x:c r="N1371" s="35" t="n">
        <x:f>L1371*M1371</x:f>
        <x:v>0</x:v>
      </x:c>
      <x:c r="O1371" s="37" t="n">
        <x:v>0</x:v>
      </x:c>
      <x:c r="P1371" s="35" t="n">
        <x:f>L1371*O1371</x:f>
        <x:v>0</x:v>
      </x:c>
      <x:c r="Q1371" s="35" t="n">
        <x:v>0</x:v>
      </x:c>
      <x:c r="R1371" s="35" t="n">
        <x:f>K1371*Q1371</x:f>
        <x:v>0</x:v>
      </x:c>
      <x:c r="S1371" s="35" t="n">
        <x:f>XLOOKUP(H1371,'菜品主数据'!$A$5:$A$24,'菜品主数据'!$G$5:$G$24,0)</x:f>
        <x:v>10.231000000000002</x:v>
      </x:c>
      <x:c r="T1371" s="35" t="n">
        <x:f>K1371*S1371</x:f>
        <x:v>153.46500000000003</x:v>
      </x:c>
      <x:c r="U1371" s="35" t="n">
        <x:f>L1371-N1371-P1371-R1371-T1371</x:f>
        <x:v>281.53499999999997</x:v>
      </x:c>
      <x:c r="V1371" s="21" t="n">
        <x:f>IFERROR(U1371/L1371,0)</x:f>
        <x:v>0.647206896551724</x:v>
      </x:c>
    </x:row>
    <x:row r="1372">
      <x:c r="A1372" s="19" t="str">
        <x:v>SALE-01368</x:v>
      </x:c>
      <x:c r="B1372" s="34" t="n">
        <x:v>46216.5</x:v>
      </x:c>
      <x:c r="C1372" s="19" t="str">
        <x:v>周一</x:v>
      </x:c>
      <x:c r="D1372" s="19" t="str">
        <x:v>S05</x:v>
      </x:c>
      <x:c r="E1372" s="19" t="str">
        <x:v>同顺街店</x:v>
      </x:c>
      <x:c r="F1372" s="19" t="str">
        <x:v>堂食</x:v>
      </x:c>
      <x:c r="G1372" s="19" t="str">
        <x:v>全日</x:v>
      </x:c>
      <x:c r="H1372" s="19" t="str">
        <x:v>D08</x:v>
      </x:c>
      <x:c r="I1372" s="19" t="str">
        <x:v>生炒清远鸡</x:v>
      </x:c>
      <x:c r="J1372" s="22" t="n">
        <x:f>XLOOKUP(H1372,'菜品主数据'!$A$5:$A$24,'菜品主数据'!$D$5:$D$24,0)</x:f>
        <x:v>36</x:v>
      </x:c>
      <x:c r="K1372" s="31" t="n">
        <x:v>12</x:v>
      </x:c>
      <x:c r="L1372" s="35" t="n">
        <x:f>J1372*K1372</x:f>
        <x:v>432</x:v>
      </x:c>
      <x:c r="M1372" s="36" t="n">
        <x:v>0</x:v>
      </x:c>
      <x:c r="N1372" s="35" t="n">
        <x:f>L1372*M1372</x:f>
        <x:v>0</x:v>
      </x:c>
      <x:c r="O1372" s="37" t="n">
        <x:v>0</x:v>
      </x:c>
      <x:c r="P1372" s="35" t="n">
        <x:f>L1372*O1372</x:f>
        <x:v>0</x:v>
      </x:c>
      <x:c r="Q1372" s="35" t="n">
        <x:v>0</x:v>
      </x:c>
      <x:c r="R1372" s="35" t="n">
        <x:f>K1372*Q1372</x:f>
        <x:v>0</x:v>
      </x:c>
      <x:c r="S1372" s="35" t="n">
        <x:f>XLOOKUP(H1372,'菜品主数据'!$A$5:$A$24,'菜品主数据'!$G$5:$G$24,0)</x:f>
        <x:v>13.48</x:v>
      </x:c>
      <x:c r="T1372" s="35" t="n">
        <x:f>K1372*S1372</x:f>
        <x:v>161.76</x:v>
      </x:c>
      <x:c r="U1372" s="35" t="n">
        <x:f>L1372-N1372-P1372-R1372-T1372</x:f>
        <x:v>270.24</x:v>
      </x:c>
      <x:c r="V1372" s="21" t="n">
        <x:f>IFERROR(U1372/L1372,0)</x:f>
        <x:v>0.6255555555555555</x:v>
      </x:c>
    </x:row>
    <x:row r="1373">
      <x:c r="A1373" s="19" t="str">
        <x:v>SALE-01369</x:v>
      </x:c>
      <x:c r="B1373" s="34" t="n">
        <x:v>46216.5</x:v>
      </x:c>
      <x:c r="C1373" s="19" t="str">
        <x:v>周一</x:v>
      </x:c>
      <x:c r="D1373" s="19" t="str">
        <x:v>S05</x:v>
      </x:c>
      <x:c r="E1373" s="19" t="str">
        <x:v>同顺街店</x:v>
      </x:c>
      <x:c r="F1373" s="19" t="str">
        <x:v>堂食</x:v>
      </x:c>
      <x:c r="G1373" s="19" t="str">
        <x:v>全日</x:v>
      </x:c>
      <x:c r="H1373" s="19" t="str">
        <x:v>D09</x:v>
      </x:c>
      <x:c r="I1373" s="19" t="str">
        <x:v>炒豆干</x:v>
      </x:c>
      <x:c r="J1373" s="22" t="n">
        <x:f>XLOOKUP(H1373,'菜品主数据'!$A$5:$A$24,'菜品主数据'!$D$5:$D$24,0)</x:f>
        <x:v>18</x:v>
      </x:c>
      <x:c r="K1373" s="31" t="n">
        <x:v>15</x:v>
      </x:c>
      <x:c r="L1373" s="35" t="n">
        <x:f>J1373*K1373</x:f>
        <x:v>270</x:v>
      </x:c>
      <x:c r="M1373" s="36" t="n">
        <x:v>0</x:v>
      </x:c>
      <x:c r="N1373" s="35" t="n">
        <x:f>L1373*M1373</x:f>
        <x:v>0</x:v>
      </x:c>
      <x:c r="O1373" s="37" t="n">
        <x:v>0</x:v>
      </x:c>
      <x:c r="P1373" s="35" t="n">
        <x:f>L1373*O1373</x:f>
        <x:v>0</x:v>
      </x:c>
      <x:c r="Q1373" s="35" t="n">
        <x:v>0</x:v>
      </x:c>
      <x:c r="R1373" s="35" t="n">
        <x:f>K1373*Q1373</x:f>
        <x:v>0</x:v>
      </x:c>
      <x:c r="S1373" s="35" t="n">
        <x:f>XLOOKUP(H1373,'菜品主数据'!$A$5:$A$24,'菜品主数据'!$G$5:$G$24,0)</x:f>
        <x:v>6.613999999999999</x:v>
      </x:c>
      <x:c r="T1373" s="35" t="n">
        <x:f>K1373*S1373</x:f>
        <x:v>99.20999999999998</x:v>
      </x:c>
      <x:c r="U1373" s="35" t="n">
        <x:f>L1373-N1373-P1373-R1373-T1373</x:f>
        <x:v>170.79000000000002</x:v>
      </x:c>
      <x:c r="V1373" s="21" t="n">
        <x:f>IFERROR(U1373/L1373,0)</x:f>
        <x:v>0.6325555555555556</x:v>
      </x:c>
    </x:row>
    <x:row r="1374">
      <x:c r="A1374" s="19" t="str">
        <x:v>SALE-01370</x:v>
      </x:c>
      <x:c r="B1374" s="34" t="n">
        <x:v>46216.5</x:v>
      </x:c>
      <x:c r="C1374" s="19" t="str">
        <x:v>周一</x:v>
      </x:c>
      <x:c r="D1374" s="19" t="str">
        <x:v>S05</x:v>
      </x:c>
      <x:c r="E1374" s="19" t="str">
        <x:v>同顺街店</x:v>
      </x:c>
      <x:c r="F1374" s="19" t="str">
        <x:v>堂食</x:v>
      </x:c>
      <x:c r="G1374" s="19" t="str">
        <x:v>全日</x:v>
      </x:c>
      <x:c r="H1374" s="19" t="str">
        <x:v>D10</x:v>
      </x:c>
      <x:c r="I1374" s="19" t="str">
        <x:v>农家一碗香</x:v>
      </x:c>
      <x:c r="J1374" s="22" t="n">
        <x:f>XLOOKUP(H1374,'菜品主数据'!$A$5:$A$24,'菜品主数据'!$D$5:$D$24,0)</x:f>
        <x:v>22.9</x:v>
      </x:c>
      <x:c r="K1374" s="31" t="n">
        <x:v>18</x:v>
      </x:c>
      <x:c r="L1374" s="35" t="n">
        <x:f>J1374*K1374</x:f>
        <x:v>412.2</x:v>
      </x:c>
      <x:c r="M1374" s="36" t="n">
        <x:v>0</x:v>
      </x:c>
      <x:c r="N1374" s="35" t="n">
        <x:f>L1374*M1374</x:f>
        <x:v>0</x:v>
      </x:c>
      <x:c r="O1374" s="37" t="n">
        <x:v>0</x:v>
      </x:c>
      <x:c r="P1374" s="35" t="n">
        <x:f>L1374*O1374</x:f>
        <x:v>0</x:v>
      </x:c>
      <x:c r="Q1374" s="35" t="n">
        <x:v>0</x:v>
      </x:c>
      <x:c r="R1374" s="35" t="n">
        <x:f>K1374*Q1374</x:f>
        <x:v>0</x:v>
      </x:c>
      <x:c r="S1374" s="35" t="n">
        <x:f>XLOOKUP(H1374,'菜品主数据'!$A$5:$A$24,'菜品主数据'!$G$5:$G$24,0)</x:f>
        <x:v>9.770200000000003</x:v>
      </x:c>
      <x:c r="T1374" s="35" t="n">
        <x:f>K1374*S1374</x:f>
        <x:v>175.86360000000005</x:v>
      </x:c>
      <x:c r="U1374" s="35" t="n">
        <x:f>L1374-N1374-P1374-R1374-T1374</x:f>
        <x:v>236.33639999999994</x:v>
      </x:c>
      <x:c r="V1374" s="21" t="n">
        <x:f>IFERROR(U1374/L1374,0)</x:f>
        <x:v>0.5733537117903929</x:v>
      </x:c>
    </x:row>
    <x:row r="1375">
      <x:c r="A1375" s="19" t="str">
        <x:v>SALE-01371</x:v>
      </x:c>
      <x:c r="B1375" s="34" t="n">
        <x:v>46216.5</x:v>
      </x:c>
      <x:c r="C1375" s="19" t="str">
        <x:v>周一</x:v>
      </x:c>
      <x:c r="D1375" s="19" t="str">
        <x:v>S05</x:v>
      </x:c>
      <x:c r="E1375" s="19" t="str">
        <x:v>同顺街店</x:v>
      </x:c>
      <x:c r="F1375" s="19" t="str">
        <x:v>堂食</x:v>
      </x:c>
      <x:c r="G1375" s="19" t="str">
        <x:v>全日</x:v>
      </x:c>
      <x:c r="H1375" s="19" t="str">
        <x:v>D11</x:v>
      </x:c>
      <x:c r="I1375" s="19" t="str">
        <x:v>香辣爆肥肠</x:v>
      </x:c>
      <x:c r="J1375" s="22" t="n">
        <x:f>XLOOKUP(H1375,'菜品主数据'!$A$5:$A$24,'菜品主数据'!$D$5:$D$24,0)</x:f>
        <x:v>39</x:v>
      </x:c>
      <x:c r="K1375" s="31" t="n">
        <x:v>7</x:v>
      </x:c>
      <x:c r="L1375" s="35" t="n">
        <x:f>J1375*K1375</x:f>
        <x:v>273</x:v>
      </x:c>
      <x:c r="M1375" s="36" t="n">
        <x:v>0</x:v>
      </x:c>
      <x:c r="N1375" s="35" t="n">
        <x:f>L1375*M1375</x:f>
        <x:v>0</x:v>
      </x:c>
      <x:c r="O1375" s="37" t="n">
        <x:v>0</x:v>
      </x:c>
      <x:c r="P1375" s="35" t="n">
        <x:f>L1375*O1375</x:f>
        <x:v>0</x:v>
      </x:c>
      <x:c r="Q1375" s="35" t="n">
        <x:v>0</x:v>
      </x:c>
      <x:c r="R1375" s="35" t="n">
        <x:f>K1375*Q1375</x:f>
        <x:v>0</x:v>
      </x:c>
      <x:c r="S1375" s="35" t="n">
        <x:f>XLOOKUP(H1375,'菜品主数据'!$A$5:$A$24,'菜品主数据'!$G$5:$G$24,0)</x:f>
        <x:v>10.397</x:v>
      </x:c>
      <x:c r="T1375" s="35" t="n">
        <x:f>K1375*S1375</x:f>
        <x:v>72.779</x:v>
      </x:c>
      <x:c r="U1375" s="35" t="n">
        <x:f>L1375-N1375-P1375-R1375-T1375</x:f>
        <x:v>200.221</x:v>
      </x:c>
      <x:c r="V1375" s="21" t="n">
        <x:f>IFERROR(U1375/L1375,0)</x:f>
        <x:v>0.7334102564102565</x:v>
      </x:c>
    </x:row>
    <x:row r="1376">
      <x:c r="A1376" s="19" t="str">
        <x:v>SALE-01372</x:v>
      </x:c>
      <x:c r="B1376" s="34" t="n">
        <x:v>46216.5</x:v>
      </x:c>
      <x:c r="C1376" s="19" t="str">
        <x:v>周一</x:v>
      </x:c>
      <x:c r="D1376" s="19" t="str">
        <x:v>S05</x:v>
      </x:c>
      <x:c r="E1376" s="19" t="str">
        <x:v>同顺街店</x:v>
      </x:c>
      <x:c r="F1376" s="19" t="str">
        <x:v>堂食</x:v>
      </x:c>
      <x:c r="G1376" s="19" t="str">
        <x:v>全日</x:v>
      </x:c>
      <x:c r="H1376" s="19" t="str">
        <x:v>D12</x:v>
      </x:c>
      <x:c r="I1376" s="19" t="str">
        <x:v>清蒸鲈鱼</x:v>
      </x:c>
      <x:c r="J1376" s="22" t="n">
        <x:f>XLOOKUP(H1376,'菜品主数据'!$A$5:$A$24,'菜品主数据'!$D$5:$D$24,0)</x:f>
        <x:v>39</x:v>
      </x:c>
      <x:c r="K1376" s="31" t="n">
        <x:v>7</x:v>
      </x:c>
      <x:c r="L1376" s="35" t="n">
        <x:f>J1376*K1376</x:f>
        <x:v>273</x:v>
      </x:c>
      <x:c r="M1376" s="36" t="n">
        <x:v>0</x:v>
      </x:c>
      <x:c r="N1376" s="35" t="n">
        <x:f>L1376*M1376</x:f>
        <x:v>0</x:v>
      </x:c>
      <x:c r="O1376" s="37" t="n">
        <x:v>0</x:v>
      </x:c>
      <x:c r="P1376" s="35" t="n">
        <x:f>L1376*O1376</x:f>
        <x:v>0</x:v>
      </x:c>
      <x:c r="Q1376" s="35" t="n">
        <x:v>0</x:v>
      </x:c>
      <x:c r="R1376" s="35" t="n">
        <x:f>K1376*Q1376</x:f>
        <x:v>0</x:v>
      </x:c>
      <x:c r="S1376" s="35" t="n">
        <x:f>XLOOKUP(H1376,'菜品主数据'!$A$5:$A$24,'菜品主数据'!$G$5:$G$24,0)</x:f>
        <x:v>18.874</x:v>
      </x:c>
      <x:c r="T1376" s="35" t="n">
        <x:f>K1376*S1376</x:f>
        <x:v>132.118</x:v>
      </x:c>
      <x:c r="U1376" s="35" t="n">
        <x:f>L1376-N1376-P1376-R1376-T1376</x:f>
        <x:v>140.882</x:v>
      </x:c>
      <x:c r="V1376" s="21" t="n">
        <x:f>IFERROR(U1376/L1376,0)</x:f>
        <x:v>0.516051282051282</x:v>
      </x:c>
    </x:row>
    <x:row r="1377">
      <x:c r="A1377" s="19" t="str">
        <x:v>SALE-01373</x:v>
      </x:c>
      <x:c r="B1377" s="34" t="n">
        <x:v>46216.5</x:v>
      </x:c>
      <x:c r="C1377" s="19" t="str">
        <x:v>周一</x:v>
      </x:c>
      <x:c r="D1377" s="19" t="str">
        <x:v>S05</x:v>
      </x:c>
      <x:c r="E1377" s="19" t="str">
        <x:v>同顺街店</x:v>
      </x:c>
      <x:c r="F1377" s="19" t="str">
        <x:v>堂食</x:v>
      </x:c>
      <x:c r="G1377" s="19" t="str">
        <x:v>全日</x:v>
      </x:c>
      <x:c r="H1377" s="19" t="str">
        <x:v>D13</x:v>
      </x:c>
      <x:c r="I1377" s="19" t="str">
        <x:v>外婆菜炒蛋</x:v>
      </x:c>
      <x:c r="J1377" s="22" t="n">
        <x:f>XLOOKUP(H1377,'菜品主数据'!$A$5:$A$24,'菜品主数据'!$D$5:$D$24,0)</x:f>
        <x:v>18</x:v>
      </x:c>
      <x:c r="K1377" s="31" t="n">
        <x:v>16</x:v>
      </x:c>
      <x:c r="L1377" s="35" t="n">
        <x:f>J1377*K1377</x:f>
        <x:v>288</x:v>
      </x:c>
      <x:c r="M1377" s="36" t="n">
        <x:v>0</x:v>
      </x:c>
      <x:c r="N1377" s="35" t="n">
        <x:f>L1377*M1377</x:f>
        <x:v>0</x:v>
      </x:c>
      <x:c r="O1377" s="37" t="n">
        <x:v>0</x:v>
      </x:c>
      <x:c r="P1377" s="35" t="n">
        <x:f>L1377*O1377</x:f>
        <x:v>0</x:v>
      </x:c>
      <x:c r="Q1377" s="35" t="n">
        <x:v>0</x:v>
      </x:c>
      <x:c r="R1377" s="35" t="n">
        <x:f>K1377*Q1377</x:f>
        <x:v>0</x:v>
      </x:c>
      <x:c r="S1377" s="35" t="n">
        <x:f>XLOOKUP(H1377,'菜品主数据'!$A$5:$A$24,'菜品主数据'!$G$5:$G$24,0)</x:f>
        <x:v>5.403999999999999</x:v>
      </x:c>
      <x:c r="T1377" s="35" t="n">
        <x:f>K1377*S1377</x:f>
        <x:v>86.46399999999998</x:v>
      </x:c>
      <x:c r="U1377" s="35" t="n">
        <x:f>L1377-N1377-P1377-R1377-T1377</x:f>
        <x:v>201.536</x:v>
      </x:c>
      <x:c r="V1377" s="21" t="n">
        <x:f>IFERROR(U1377/L1377,0)</x:f>
        <x:v>0.6997777777777778</x:v>
      </x:c>
    </x:row>
    <x:row r="1378">
      <x:c r="A1378" s="19" t="str">
        <x:v>SALE-01374</x:v>
      </x:c>
      <x:c r="B1378" s="34" t="n">
        <x:v>46216.5</x:v>
      </x:c>
      <x:c r="C1378" s="19" t="str">
        <x:v>周一</x:v>
      </x:c>
      <x:c r="D1378" s="19" t="str">
        <x:v>S05</x:v>
      </x:c>
      <x:c r="E1378" s="19" t="str">
        <x:v>同顺街店</x:v>
      </x:c>
      <x:c r="F1378" s="19" t="str">
        <x:v>堂食</x:v>
      </x:c>
      <x:c r="G1378" s="19" t="str">
        <x:v>全日</x:v>
      </x:c>
      <x:c r="H1378" s="19" t="str">
        <x:v>D14</x:v>
      </x:c>
      <x:c r="I1378" s="19" t="str">
        <x:v>酸辣鸡杂</x:v>
      </x:c>
      <x:c r="J1378" s="22" t="n">
        <x:f>XLOOKUP(H1378,'菜品主数据'!$A$5:$A$24,'菜品主数据'!$D$5:$D$24,0)</x:f>
        <x:v>28</x:v>
      </x:c>
      <x:c r="K1378" s="31" t="n">
        <x:v>8</x:v>
      </x:c>
      <x:c r="L1378" s="35" t="n">
        <x:f>J1378*K1378</x:f>
        <x:v>224</x:v>
      </x:c>
      <x:c r="M1378" s="36" t="n">
        <x:v>0</x:v>
      </x:c>
      <x:c r="N1378" s="35" t="n">
        <x:f>L1378*M1378</x:f>
        <x:v>0</x:v>
      </x:c>
      <x:c r="O1378" s="37" t="n">
        <x:v>0</x:v>
      </x:c>
      <x:c r="P1378" s="35" t="n">
        <x:f>L1378*O1378</x:f>
        <x:v>0</x:v>
      </x:c>
      <x:c r="Q1378" s="35" t="n">
        <x:v>0</x:v>
      </x:c>
      <x:c r="R1378" s="35" t="n">
        <x:f>K1378*Q1378</x:f>
        <x:v>0</x:v>
      </x:c>
      <x:c r="S1378" s="35" t="n">
        <x:f>XLOOKUP(H1378,'菜品主数据'!$A$5:$A$24,'菜品主数据'!$G$5:$G$24,0)</x:f>
        <x:v>8.315000000000001</x:v>
      </x:c>
      <x:c r="T1378" s="35" t="n">
        <x:f>K1378*S1378</x:f>
        <x:v>66.52000000000001</x:v>
      </x:c>
      <x:c r="U1378" s="35" t="n">
        <x:f>L1378-N1378-P1378-R1378-T1378</x:f>
        <x:v>157.48</x:v>
      </x:c>
      <x:c r="V1378" s="21" t="n">
        <x:f>IFERROR(U1378/L1378,0)</x:f>
        <x:v>0.7030357142857142</x:v>
      </x:c>
    </x:row>
    <x:row r="1379">
      <x:c r="A1379" s="19" t="str">
        <x:v>SALE-01375</x:v>
      </x:c>
      <x:c r="B1379" s="34" t="n">
        <x:v>46216.5</x:v>
      </x:c>
      <x:c r="C1379" s="19" t="str">
        <x:v>周一</x:v>
      </x:c>
      <x:c r="D1379" s="19" t="str">
        <x:v>S05</x:v>
      </x:c>
      <x:c r="E1379" s="19" t="str">
        <x:v>同顺街店</x:v>
      </x:c>
      <x:c r="F1379" s="19" t="str">
        <x:v>堂食</x:v>
      </x:c>
      <x:c r="G1379" s="19" t="str">
        <x:v>全日</x:v>
      </x:c>
      <x:c r="H1379" s="19" t="str">
        <x:v>D15</x:v>
      </x:c>
      <x:c r="I1379" s="19" t="str">
        <x:v>湘西土匪猪肝</x:v>
      </x:c>
      <x:c r="J1379" s="22" t="n">
        <x:f>XLOOKUP(H1379,'菜品主数据'!$A$5:$A$24,'菜品主数据'!$D$5:$D$24,0)</x:f>
        <x:v>26</x:v>
      </x:c>
      <x:c r="K1379" s="31" t="n">
        <x:v>7</x:v>
      </x:c>
      <x:c r="L1379" s="35" t="n">
        <x:f>J1379*K1379</x:f>
        <x:v>182</x:v>
      </x:c>
      <x:c r="M1379" s="36" t="n">
        <x:v>0</x:v>
      </x:c>
      <x:c r="N1379" s="35" t="n">
        <x:f>L1379*M1379</x:f>
        <x:v>0</x:v>
      </x:c>
      <x:c r="O1379" s="37" t="n">
        <x:v>0</x:v>
      </x:c>
      <x:c r="P1379" s="35" t="n">
        <x:f>L1379*O1379</x:f>
        <x:v>0</x:v>
      </x:c>
      <x:c r="Q1379" s="35" t="n">
        <x:v>0</x:v>
      </x:c>
      <x:c r="R1379" s="35" t="n">
        <x:f>K1379*Q1379</x:f>
        <x:v>0</x:v>
      </x:c>
      <x:c r="S1379" s="35" t="n">
        <x:f>XLOOKUP(H1379,'菜品主数据'!$A$5:$A$24,'菜品主数据'!$G$5:$G$24,0)</x:f>
        <x:v>6.3759999999999994</x:v>
      </x:c>
      <x:c r="T1379" s="35" t="n">
        <x:f>K1379*S1379</x:f>
        <x:v>44.632</x:v>
      </x:c>
      <x:c r="U1379" s="35" t="n">
        <x:f>L1379-N1379-P1379-R1379-T1379</x:f>
        <x:v>137.368</x:v>
      </x:c>
      <x:c r="V1379" s="21" t="n">
        <x:f>IFERROR(U1379/L1379,0)</x:f>
        <x:v>0.7547692307692307</x:v>
      </x:c>
    </x:row>
    <x:row r="1380">
      <x:c r="A1380" s="19" t="str">
        <x:v>SALE-01376</x:v>
      </x:c>
      <x:c r="B1380" s="34" t="n">
        <x:v>46216.5</x:v>
      </x:c>
      <x:c r="C1380" s="19" t="str">
        <x:v>周一</x:v>
      </x:c>
      <x:c r="D1380" s="19" t="str">
        <x:v>S05</x:v>
      </x:c>
      <x:c r="E1380" s="19" t="str">
        <x:v>同顺街店</x:v>
      </x:c>
      <x:c r="F1380" s="19" t="str">
        <x:v>堂食</x:v>
      </x:c>
      <x:c r="G1380" s="19" t="str">
        <x:v>全日</x:v>
      </x:c>
      <x:c r="H1380" s="19" t="str">
        <x:v>D16</x:v>
      </x:c>
      <x:c r="I1380" s="19" t="str">
        <x:v>小豆角炒五花</x:v>
      </x:c>
      <x:c r="J1380" s="22" t="n">
        <x:f>XLOOKUP(H1380,'菜品主数据'!$A$5:$A$24,'菜品主数据'!$D$5:$D$24,0)</x:f>
        <x:v>25</x:v>
      </x:c>
      <x:c r="K1380" s="31" t="n">
        <x:v>8</x:v>
      </x:c>
      <x:c r="L1380" s="35" t="n">
        <x:f>J1380*K1380</x:f>
        <x:v>200</x:v>
      </x:c>
      <x:c r="M1380" s="36" t="n">
        <x:v>0</x:v>
      </x:c>
      <x:c r="N1380" s="35" t="n">
        <x:f>L1380*M1380</x:f>
        <x:v>0</x:v>
      </x:c>
      <x:c r="O1380" s="37" t="n">
        <x:v>0</x:v>
      </x:c>
      <x:c r="P1380" s="35" t="n">
        <x:f>L1380*O1380</x:f>
        <x:v>0</x:v>
      </x:c>
      <x:c r="Q1380" s="35" t="n">
        <x:v>0</x:v>
      </x:c>
      <x:c r="R1380" s="35" t="n">
        <x:f>K1380*Q1380</x:f>
        <x:v>0</x:v>
      </x:c>
      <x:c r="S1380" s="35" t="n">
        <x:f>XLOOKUP(H1380,'菜品主数据'!$A$5:$A$24,'菜品主数据'!$G$5:$G$24,0)</x:f>
        <x:v>8.184</x:v>
      </x:c>
      <x:c r="T1380" s="35" t="n">
        <x:f>K1380*S1380</x:f>
        <x:v>65.472</x:v>
      </x:c>
      <x:c r="U1380" s="35" t="n">
        <x:f>L1380-N1380-P1380-R1380-T1380</x:f>
        <x:v>134.52800000000002</x:v>
      </x:c>
      <x:c r="V1380" s="21" t="n">
        <x:f>IFERROR(U1380/L1380,0)</x:f>
        <x:v>0.6726400000000001</x:v>
      </x:c>
    </x:row>
    <x:row r="1381">
      <x:c r="A1381" s="19" t="str">
        <x:v>SALE-01377</x:v>
      </x:c>
      <x:c r="B1381" s="34" t="n">
        <x:v>46216.5</x:v>
      </x:c>
      <x:c r="C1381" s="19" t="str">
        <x:v>周一</x:v>
      </x:c>
      <x:c r="D1381" s="19" t="str">
        <x:v>S05</x:v>
      </x:c>
      <x:c r="E1381" s="19" t="str">
        <x:v>同顺街店</x:v>
      </x:c>
      <x:c r="F1381" s="19" t="str">
        <x:v>堂食</x:v>
      </x:c>
      <x:c r="G1381" s="19" t="str">
        <x:v>全日</x:v>
      </x:c>
      <x:c r="H1381" s="19" t="str">
        <x:v>D17</x:v>
      </x:c>
      <x:c r="I1381" s="19" t="str">
        <x:v>蒜蓉粉丝虾</x:v>
      </x:c>
      <x:c r="J1381" s="22" t="n">
        <x:f>XLOOKUP(H1381,'菜品主数据'!$A$5:$A$24,'菜品主数据'!$D$5:$D$24,0)</x:f>
        <x:v>36</x:v>
      </x:c>
      <x:c r="K1381" s="31" t="n">
        <x:v>5</x:v>
      </x:c>
      <x:c r="L1381" s="35" t="n">
        <x:f>J1381*K1381</x:f>
        <x:v>180</x:v>
      </x:c>
      <x:c r="M1381" s="36" t="n">
        <x:v>0</x:v>
      </x:c>
      <x:c r="N1381" s="35" t="n">
        <x:f>L1381*M1381</x:f>
        <x:v>0</x:v>
      </x:c>
      <x:c r="O1381" s="37" t="n">
        <x:v>0</x:v>
      </x:c>
      <x:c r="P1381" s="35" t="n">
        <x:f>L1381*O1381</x:f>
        <x:v>0</x:v>
      </x:c>
      <x:c r="Q1381" s="35" t="n">
        <x:v>0</x:v>
      </x:c>
      <x:c r="R1381" s="35" t="n">
        <x:f>K1381*Q1381</x:f>
        <x:v>0</x:v>
      </x:c>
      <x:c r="S1381" s="35" t="n">
        <x:f>XLOOKUP(H1381,'菜品主数据'!$A$5:$A$24,'菜品主数据'!$G$5:$G$24,0)</x:f>
        <x:v>13.594</x:v>
      </x:c>
      <x:c r="T1381" s="35" t="n">
        <x:f>K1381*S1381</x:f>
        <x:v>67.97</x:v>
      </x:c>
      <x:c r="U1381" s="35" t="n">
        <x:f>L1381-N1381-P1381-R1381-T1381</x:f>
        <x:v>112.03</x:v>
      </x:c>
      <x:c r="V1381" s="21" t="n">
        <x:f>IFERROR(U1381/L1381,0)</x:f>
        <x:v>0.6223888888888889</x:v>
      </x:c>
    </x:row>
    <x:row r="1382">
      <x:c r="A1382" s="19" t="str">
        <x:v>SALE-01378</x:v>
      </x:c>
      <x:c r="B1382" s="34" t="n">
        <x:v>46216.5</x:v>
      </x:c>
      <x:c r="C1382" s="19" t="str">
        <x:v>周一</x:v>
      </x:c>
      <x:c r="D1382" s="19" t="str">
        <x:v>S05</x:v>
      </x:c>
      <x:c r="E1382" s="19" t="str">
        <x:v>同顺街店</x:v>
      </x:c>
      <x:c r="F1382" s="19" t="str">
        <x:v>堂食</x:v>
      </x:c>
      <x:c r="G1382" s="19" t="str">
        <x:v>全日</x:v>
      </x:c>
      <x:c r="H1382" s="19" t="str">
        <x:v>D18</x:v>
      </x:c>
      <x:c r="I1382" s="19" t="str">
        <x:v>青椒炒油麦菜</x:v>
      </x:c>
      <x:c r="J1382" s="22" t="n">
        <x:f>XLOOKUP(H1382,'菜品主数据'!$A$5:$A$24,'菜品主数据'!$D$5:$D$24,0)</x:f>
        <x:v>18</x:v>
      </x:c>
      <x:c r="K1382" s="31" t="n">
        <x:v>9</x:v>
      </x:c>
      <x:c r="L1382" s="35" t="n">
        <x:f>J1382*K1382</x:f>
        <x:v>162</x:v>
      </x:c>
      <x:c r="M1382" s="36" t="n">
        <x:v>0</x:v>
      </x:c>
      <x:c r="N1382" s="35" t="n">
        <x:f>L1382*M1382</x:f>
        <x:v>0</x:v>
      </x:c>
      <x:c r="O1382" s="37" t="n">
        <x:v>0</x:v>
      </x:c>
      <x:c r="P1382" s="35" t="n">
        <x:f>L1382*O1382</x:f>
        <x:v>0</x:v>
      </x:c>
      <x:c r="Q1382" s="35" t="n">
        <x:v>0</x:v>
      </x:c>
      <x:c r="R1382" s="35" t="n">
        <x:f>K1382*Q1382</x:f>
        <x:v>0</x:v>
      </x:c>
      <x:c r="S1382" s="35" t="n">
        <x:f>XLOOKUP(H1382,'菜品主数据'!$A$5:$A$24,'菜品主数据'!$G$5:$G$24,0)</x:f>
        <x:v>3.1759999999999993</x:v>
      </x:c>
      <x:c r="T1382" s="35" t="n">
        <x:f>K1382*S1382</x:f>
        <x:v>28.583999999999993</x:v>
      </x:c>
      <x:c r="U1382" s="35" t="n">
        <x:f>L1382-N1382-P1382-R1382-T1382</x:f>
        <x:v>133.416</x:v>
      </x:c>
      <x:c r="V1382" s="21" t="n">
        <x:f>IFERROR(U1382/L1382,0)</x:f>
        <x:v>0.8235555555555555</x:v>
      </x:c>
    </x:row>
    <x:row r="1383">
      <x:c r="A1383" s="19" t="str">
        <x:v>SALE-01379</x:v>
      </x:c>
      <x:c r="B1383" s="34" t="n">
        <x:v>46216.5</x:v>
      </x:c>
      <x:c r="C1383" s="19" t="str">
        <x:v>周一</x:v>
      </x:c>
      <x:c r="D1383" s="19" t="str">
        <x:v>S05</x:v>
      </x:c>
      <x:c r="E1383" s="19" t="str">
        <x:v>同顺街店</x:v>
      </x:c>
      <x:c r="F1383" s="19" t="str">
        <x:v>堂食</x:v>
      </x:c>
      <x:c r="G1383" s="19" t="str">
        <x:v>全日</x:v>
      </x:c>
      <x:c r="H1383" s="19" t="str">
        <x:v>D19</x:v>
      </x:c>
      <x:c r="I1383" s="19" t="str">
        <x:v>酸萝卜炒鸡杂</x:v>
      </x:c>
      <x:c r="J1383" s="22" t="n">
        <x:f>XLOOKUP(H1383,'菜品主数据'!$A$5:$A$24,'菜品主数据'!$D$5:$D$24,0)</x:f>
        <x:v>25</x:v>
      </x:c>
      <x:c r="K1383" s="31" t="n">
        <x:v>6</x:v>
      </x:c>
      <x:c r="L1383" s="35" t="n">
        <x:f>J1383*K1383</x:f>
        <x:v>150</x:v>
      </x:c>
      <x:c r="M1383" s="36" t="n">
        <x:v>0</x:v>
      </x:c>
      <x:c r="N1383" s="35" t="n">
        <x:f>L1383*M1383</x:f>
        <x:v>0</x:v>
      </x:c>
      <x:c r="O1383" s="37" t="n">
        <x:v>0</x:v>
      </x:c>
      <x:c r="P1383" s="35" t="n">
        <x:f>L1383*O1383</x:f>
        <x:v>0</x:v>
      </x:c>
      <x:c r="Q1383" s="35" t="n">
        <x:v>0</x:v>
      </x:c>
      <x:c r="R1383" s="35" t="n">
        <x:f>K1383*Q1383</x:f>
        <x:v>0</x:v>
      </x:c>
      <x:c r="S1383" s="35" t="n">
        <x:f>XLOOKUP(H1383,'菜品主数据'!$A$5:$A$24,'菜品主数据'!$G$5:$G$24,0)</x:f>
        <x:v>7.9399999999999995</x:v>
      </x:c>
      <x:c r="T1383" s="35" t="n">
        <x:f>K1383*S1383</x:f>
        <x:v>47.64</x:v>
      </x:c>
      <x:c r="U1383" s="35" t="n">
        <x:f>L1383-N1383-P1383-R1383-T1383</x:f>
        <x:v>102.36</x:v>
      </x:c>
      <x:c r="V1383" s="21" t="n">
        <x:f>IFERROR(U1383/L1383,0)</x:f>
        <x:v>0.6824</x:v>
      </x:c>
    </x:row>
    <x:row r="1384">
      <x:c r="A1384" s="19" t="str">
        <x:v>SALE-01380</x:v>
      </x:c>
      <x:c r="B1384" s="34" t="n">
        <x:v>46216.5</x:v>
      </x:c>
      <x:c r="C1384" s="19" t="str">
        <x:v>周一</x:v>
      </x:c>
      <x:c r="D1384" s="19" t="str">
        <x:v>S05</x:v>
      </x:c>
      <x:c r="E1384" s="19" t="str">
        <x:v>同顺街店</x:v>
      </x:c>
      <x:c r="F1384" s="19" t="str">
        <x:v>堂食</x:v>
      </x:c>
      <x:c r="G1384" s="19" t="str">
        <x:v>全日</x:v>
      </x:c>
      <x:c r="H1384" s="19" t="str">
        <x:v>D20</x:v>
      </x:c>
      <x:c r="I1384" s="19" t="str">
        <x:v>雪菜肉末青豆</x:v>
      </x:c>
      <x:c r="J1384" s="22" t="n">
        <x:f>XLOOKUP(H1384,'菜品主数据'!$A$5:$A$24,'菜品主数据'!$D$5:$D$24,0)</x:f>
        <x:v>18</x:v>
      </x:c>
      <x:c r="K1384" s="31" t="n">
        <x:v>9</x:v>
      </x:c>
      <x:c r="L1384" s="35" t="n">
        <x:f>J1384*K1384</x:f>
        <x:v>162</x:v>
      </x:c>
      <x:c r="M1384" s="36" t="n">
        <x:v>0</x:v>
      </x:c>
      <x:c r="N1384" s="35" t="n">
        <x:f>L1384*M1384</x:f>
        <x:v>0</x:v>
      </x:c>
      <x:c r="O1384" s="37" t="n">
        <x:v>0</x:v>
      </x:c>
      <x:c r="P1384" s="35" t="n">
        <x:f>L1384*O1384</x:f>
        <x:v>0</x:v>
      </x:c>
      <x:c r="Q1384" s="35" t="n">
        <x:v>0</x:v>
      </x:c>
      <x:c r="R1384" s="35" t="n">
        <x:f>K1384*Q1384</x:f>
        <x:v>0</x:v>
      </x:c>
      <x:c r="S1384" s="35" t="n">
        <x:f>XLOOKUP(H1384,'菜品主数据'!$A$5:$A$24,'菜品主数据'!$G$5:$G$24,0)</x:f>
        <x:v>7.303999999999999</x:v>
      </x:c>
      <x:c r="T1384" s="35" t="n">
        <x:f>K1384*S1384</x:f>
        <x:v>65.73599999999999</x:v>
      </x:c>
      <x:c r="U1384" s="35" t="n">
        <x:f>L1384-N1384-P1384-R1384-T1384</x:f>
        <x:v>96.26400000000001</x:v>
      </x:c>
      <x:c r="V1384" s="21" t="n">
        <x:f>IFERROR(U1384/L1384,0)</x:f>
        <x:v>0.5942222222222223</x:v>
      </x:c>
    </x:row>
    <x:row r="1385">
      <x:c r="A1385" s="19" t="str">
        <x:v>SALE-01381</x:v>
      </x:c>
      <x:c r="B1385" s="34" t="n">
        <x:v>46216.5</x:v>
      </x:c>
      <x:c r="C1385" s="19" t="str">
        <x:v>周一</x:v>
      </x:c>
      <x:c r="D1385" s="19" t="str">
        <x:v>S05</x:v>
      </x:c>
      <x:c r="E1385" s="19" t="str">
        <x:v>同顺街店</x:v>
      </x:c>
      <x:c r="F1385" s="19" t="str">
        <x:v>外卖</x:v>
      </x:c>
      <x:c r="G1385" s="19" t="str">
        <x:v>全日</x:v>
      </x:c>
      <x:c r="H1385" s="19" t="str">
        <x:v>D01</x:v>
      </x:c>
      <x:c r="I1385" s="19" t="str">
        <x:v>辣椒炒肉</x:v>
      </x:c>
      <x:c r="J1385" s="22" t="n">
        <x:f>XLOOKUP(H1385,'菜品主数据'!$A$5:$A$24,'菜品主数据'!$D$5:$D$24,0)</x:f>
        <x:v>29</x:v>
      </x:c>
      <x:c r="K1385" s="31" t="n">
        <x:v>5</x:v>
      </x:c>
      <x:c r="L1385" s="35" t="n">
        <x:f>J1385*K1385</x:f>
        <x:v>145</x:v>
      </x:c>
      <x:c r="M1385" s="36" t="n">
        <x:v>0.08</x:v>
      </x:c>
      <x:c r="N1385" s="35" t="n">
        <x:f>L1385*M1385</x:f>
        <x:v>11.6</x:v>
      </x:c>
      <x:c r="O1385" s="37" t="n">
        <x:v>0.18</x:v>
      </x:c>
      <x:c r="P1385" s="35" t="n">
        <x:f>L1385*O1385</x:f>
        <x:v>26.099999999999998</x:v>
      </x:c>
      <x:c r="Q1385" s="35" t="n">
        <x:v>1.2</x:v>
      </x:c>
      <x:c r="R1385" s="35" t="n">
        <x:f>K1385*Q1385</x:f>
        <x:v>6</x:v>
      </x:c>
      <x:c r="S1385" s="35" t="n">
        <x:f>XLOOKUP(H1385,'菜品主数据'!$A$5:$A$24,'菜品主数据'!$G$5:$G$24,0)</x:f>
        <x:v>8.634400000000001</x:v>
      </x:c>
      <x:c r="T1385" s="35" t="n">
        <x:f>K1385*S1385</x:f>
        <x:v>43.172000000000004</x:v>
      </x:c>
      <x:c r="U1385" s="35" t="n">
        <x:f>L1385-N1385-P1385-R1385-T1385</x:f>
        <x:v>58.12800000000001</x:v>
      </x:c>
      <x:c r="V1385" s="21" t="n">
        <x:f>IFERROR(U1385/L1385,0)</x:f>
        <x:v>0.4008827586206897</x:v>
      </x:c>
    </x:row>
    <x:row r="1386">
      <x:c r="A1386" s="19" t="str">
        <x:v>SALE-01382</x:v>
      </x:c>
      <x:c r="B1386" s="34" t="n">
        <x:v>46216.5</x:v>
      </x:c>
      <x:c r="C1386" s="19" t="str">
        <x:v>周一</x:v>
      </x:c>
      <x:c r="D1386" s="19" t="str">
        <x:v>S05</x:v>
      </x:c>
      <x:c r="E1386" s="19" t="str">
        <x:v>同顺街店</x:v>
      </x:c>
      <x:c r="F1386" s="19" t="str">
        <x:v>外卖</x:v>
      </x:c>
      <x:c r="G1386" s="19" t="str">
        <x:v>全日</x:v>
      </x:c>
      <x:c r="H1386" s="19" t="str">
        <x:v>D02</x:v>
      </x:c>
      <x:c r="I1386" s="19" t="str">
        <x:v>小炒黄牛肉</x:v>
      </x:c>
      <x:c r="J1386" s="22" t="n">
        <x:f>XLOOKUP(H1386,'菜品主数据'!$A$5:$A$24,'菜品主数据'!$D$5:$D$24,0)</x:f>
        <x:v>49</x:v>
      </x:c>
      <x:c r="K1386" s="31" t="n">
        <x:v>9</x:v>
      </x:c>
      <x:c r="L1386" s="35" t="n">
        <x:f>J1386*K1386</x:f>
        <x:v>441</x:v>
      </x:c>
      <x:c r="M1386" s="36" t="n">
        <x:v>0.08</x:v>
      </x:c>
      <x:c r="N1386" s="35" t="n">
        <x:f>L1386*M1386</x:f>
        <x:v>35.28</x:v>
      </x:c>
      <x:c r="O1386" s="37" t="n">
        <x:v>0.18</x:v>
      </x:c>
      <x:c r="P1386" s="35" t="n">
        <x:f>L1386*O1386</x:f>
        <x:v>79.38</x:v>
      </x:c>
      <x:c r="Q1386" s="35" t="n">
        <x:v>1.2</x:v>
      </x:c>
      <x:c r="R1386" s="35" t="n">
        <x:f>K1386*Q1386</x:f>
        <x:v>10.799999999999999</x:v>
      </x:c>
      <x:c r="S1386" s="35" t="n">
        <x:f>XLOOKUP(H1386,'菜品主数据'!$A$5:$A$24,'菜品主数据'!$G$5:$G$24,0)</x:f>
        <x:v>17.577</x:v>
      </x:c>
      <x:c r="T1386" s="35" t="n">
        <x:f>K1386*S1386</x:f>
        <x:v>158.193</x:v>
      </x:c>
      <x:c r="U1386" s="35" t="n">
        <x:f>L1386-N1386-P1386-R1386-T1386</x:f>
        <x:v>157.347</x:v>
      </x:c>
      <x:c r="V1386" s="21" t="n">
        <x:f>IFERROR(U1386/L1386,0)</x:f>
        <x:v>0.356795918367347</x:v>
      </x:c>
    </x:row>
    <x:row r="1387">
      <x:c r="A1387" s="19" t="str">
        <x:v>SALE-01383</x:v>
      </x:c>
      <x:c r="B1387" s="34" t="n">
        <x:v>46216.5</x:v>
      </x:c>
      <x:c r="C1387" s="19" t="str">
        <x:v>周一</x:v>
      </x:c>
      <x:c r="D1387" s="19" t="str">
        <x:v>S05</x:v>
      </x:c>
      <x:c r="E1387" s="19" t="str">
        <x:v>同顺街店</x:v>
      </x:c>
      <x:c r="F1387" s="19" t="str">
        <x:v>外卖</x:v>
      </x:c>
      <x:c r="G1387" s="19" t="str">
        <x:v>全日</x:v>
      </x:c>
      <x:c r="H1387" s="19" t="str">
        <x:v>D03</x:v>
      </x:c>
      <x:c r="I1387" s="19" t="str">
        <x:v>香醋炒蛋</x:v>
      </x:c>
      <x:c r="J1387" s="22" t="n">
        <x:f>XLOOKUP(H1387,'菜品主数据'!$A$5:$A$24,'菜品主数据'!$D$5:$D$24,0)</x:f>
        <x:v>14.9</x:v>
      </x:c>
      <x:c r="K1387" s="31" t="n">
        <x:v>4</x:v>
      </x:c>
      <x:c r="L1387" s="35" t="n">
        <x:f>J1387*K1387</x:f>
        <x:v>59.6</x:v>
      </x:c>
      <x:c r="M1387" s="36" t="n">
        <x:v>0.08</x:v>
      </x:c>
      <x:c r="N1387" s="35" t="n">
        <x:f>L1387*M1387</x:f>
        <x:v>4.768</x:v>
      </x:c>
      <x:c r="O1387" s="37" t="n">
        <x:v>0.18</x:v>
      </x:c>
      <x:c r="P1387" s="35" t="n">
        <x:f>L1387*O1387</x:f>
        <x:v>10.728</x:v>
      </x:c>
      <x:c r="Q1387" s="35" t="n">
        <x:v>1.2</x:v>
      </x:c>
      <x:c r="R1387" s="35" t="n">
        <x:f>K1387*Q1387</x:f>
        <x:v>4.8</x:v>
      </x:c>
      <x:c r="S1387" s="35" t="n">
        <x:f>XLOOKUP(H1387,'菜品主数据'!$A$5:$A$24,'菜品主数据'!$G$5:$G$24,0)</x:f>
        <x:v>3.7459999999999996</x:v>
      </x:c>
      <x:c r="T1387" s="35" t="n">
        <x:f>K1387*S1387</x:f>
        <x:v>14.983999999999998</x:v>
      </x:c>
      <x:c r="U1387" s="35" t="n">
        <x:f>L1387-N1387-P1387-R1387-T1387</x:f>
        <x:v>24.320000000000004</x:v>
      </x:c>
      <x:c r="V1387" s="21" t="n">
        <x:f>IFERROR(U1387/L1387,0)</x:f>
        <x:v>0.40805369127516783</x:v>
      </x:c>
    </x:row>
    <x:row r="1388">
      <x:c r="A1388" s="19" t="str">
        <x:v>SALE-01384</x:v>
      </x:c>
      <x:c r="B1388" s="34" t="n">
        <x:v>46216.5</x:v>
      </x:c>
      <x:c r="C1388" s="19" t="str">
        <x:v>周一</x:v>
      </x:c>
      <x:c r="D1388" s="19" t="str">
        <x:v>S05</x:v>
      </x:c>
      <x:c r="E1388" s="19" t="str">
        <x:v>同顺街店</x:v>
      </x:c>
      <x:c r="F1388" s="19" t="str">
        <x:v>外卖</x:v>
      </x:c>
      <x:c r="G1388" s="19" t="str">
        <x:v>全日</x:v>
      </x:c>
      <x:c r="H1388" s="19" t="str">
        <x:v>D04</x:v>
      </x:c>
      <x:c r="I1388" s="19" t="str">
        <x:v>酸包菜炒粉皮</x:v>
      </x:c>
      <x:c r="J1388" s="22" t="n">
        <x:f>XLOOKUP(H1388,'菜品主数据'!$A$5:$A$24,'菜品主数据'!$D$5:$D$24,0)</x:f>
        <x:v>16</x:v>
      </x:c>
      <x:c r="K1388" s="31" t="n">
        <x:v>3</x:v>
      </x:c>
      <x:c r="L1388" s="35" t="n">
        <x:f>J1388*K1388</x:f>
        <x:v>48</x:v>
      </x:c>
      <x:c r="M1388" s="36" t="n">
        <x:v>0.08</x:v>
      </x:c>
      <x:c r="N1388" s="35" t="n">
        <x:f>L1388*M1388</x:f>
        <x:v>3.84</x:v>
      </x:c>
      <x:c r="O1388" s="37" t="n">
        <x:v>0.18</x:v>
      </x:c>
      <x:c r="P1388" s="35" t="n">
        <x:f>L1388*O1388</x:f>
        <x:v>8.64</x:v>
      </x:c>
      <x:c r="Q1388" s="35" t="n">
        <x:v>1.2</x:v>
      </x:c>
      <x:c r="R1388" s="35" t="n">
        <x:f>K1388*Q1388</x:f>
        <x:v>3.5999999999999996</x:v>
      </x:c>
      <x:c r="S1388" s="35" t="n">
        <x:f>XLOOKUP(H1388,'菜品主数据'!$A$5:$A$24,'菜品主数据'!$G$5:$G$24,0)</x:f>
        <x:v>3.978</x:v>
      </x:c>
      <x:c r="T1388" s="35" t="n">
        <x:f>K1388*S1388</x:f>
        <x:v>11.934000000000001</x:v>
      </x:c>
      <x:c r="U1388" s="35" t="n">
        <x:f>L1388-N1388-P1388-R1388-T1388</x:f>
        <x:v>19.985999999999994</x:v>
      </x:c>
      <x:c r="V1388" s="21" t="n">
        <x:f>IFERROR(U1388/L1388,0)</x:f>
        <x:v>0.4163749999999999</x:v>
      </x:c>
    </x:row>
    <x:row r="1389">
      <x:c r="A1389" s="19" t="str">
        <x:v>SALE-01385</x:v>
      </x:c>
      <x:c r="B1389" s="34" t="n">
        <x:v>46216.5</x:v>
      </x:c>
      <x:c r="C1389" s="19" t="str">
        <x:v>周一</x:v>
      </x:c>
      <x:c r="D1389" s="19" t="str">
        <x:v>S05</x:v>
      </x:c>
      <x:c r="E1389" s="19" t="str">
        <x:v>同顺街店</x:v>
      </x:c>
      <x:c r="F1389" s="19" t="str">
        <x:v>外卖</x:v>
      </x:c>
      <x:c r="G1389" s="19" t="str">
        <x:v>全日</x:v>
      </x:c>
      <x:c r="H1389" s="19" t="str">
        <x:v>D05</x:v>
      </x:c>
      <x:c r="I1389" s="19" t="str">
        <x:v>麻婆豆腐</x:v>
      </x:c>
      <x:c r="J1389" s="22" t="n">
        <x:f>XLOOKUP(H1389,'菜品主数据'!$A$5:$A$24,'菜品主数据'!$D$5:$D$24,0)</x:f>
        <x:v>9.9</x:v>
      </x:c>
      <x:c r="K1389" s="31" t="n">
        <x:v>5</x:v>
      </x:c>
      <x:c r="L1389" s="35" t="n">
        <x:f>J1389*K1389</x:f>
        <x:v>49.5</x:v>
      </x:c>
      <x:c r="M1389" s="36" t="n">
        <x:v>0.08</x:v>
      </x:c>
      <x:c r="N1389" s="35" t="n">
        <x:f>L1389*M1389</x:f>
        <x:v>3.96</x:v>
      </x:c>
      <x:c r="O1389" s="37" t="n">
        <x:v>0.18</x:v>
      </x:c>
      <x:c r="P1389" s="35" t="n">
        <x:f>L1389*O1389</x:f>
        <x:v>8.91</x:v>
      </x:c>
      <x:c r="Q1389" s="35" t="n">
        <x:v>1.2</x:v>
      </x:c>
      <x:c r="R1389" s="35" t="n">
        <x:f>K1389*Q1389</x:f>
        <x:v>6</x:v>
      </x:c>
      <x:c r="S1389" s="35" t="n">
        <x:f>XLOOKUP(H1389,'菜品主数据'!$A$5:$A$24,'菜品主数据'!$G$5:$G$24,0)</x:f>
        <x:v>5.367000000000001</x:v>
      </x:c>
      <x:c r="T1389" s="35" t="n">
        <x:f>K1389*S1389</x:f>
        <x:v>26.835000000000004</x:v>
      </x:c>
      <x:c r="U1389" s="35" t="n">
        <x:f>L1389-N1389-P1389-R1389-T1389</x:f>
        <x:v>3.794999999999991</x:v>
      </x:c>
      <x:c r="V1389" s="21" t="n">
        <x:f>IFERROR(U1389/L1389,0)</x:f>
        <x:v>0.07666666666666648</x:v>
      </x:c>
    </x:row>
    <x:row r="1390">
      <x:c r="A1390" s="19" t="str">
        <x:v>SALE-01386</x:v>
      </x:c>
      <x:c r="B1390" s="34" t="n">
        <x:v>46216.5</x:v>
      </x:c>
      <x:c r="C1390" s="19" t="str">
        <x:v>周一</x:v>
      </x:c>
      <x:c r="D1390" s="19" t="str">
        <x:v>S05</x:v>
      </x:c>
      <x:c r="E1390" s="19" t="str">
        <x:v>同顺街店</x:v>
      </x:c>
      <x:c r="F1390" s="19" t="str">
        <x:v>外卖</x:v>
      </x:c>
      <x:c r="G1390" s="19" t="str">
        <x:v>全日</x:v>
      </x:c>
      <x:c r="H1390" s="19" t="str">
        <x:v>D06</x:v>
      </x:c>
      <x:c r="I1390" s="19" t="str">
        <x:v>剁椒鱼头</x:v>
      </x:c>
      <x:c r="J1390" s="22" t="n">
        <x:f>XLOOKUP(H1390,'菜品主数据'!$A$5:$A$24,'菜品主数据'!$D$5:$D$24,0)</x:f>
        <x:v>39</x:v>
      </x:c>
      <x:c r="K1390" s="31" t="n">
        <x:v>1</x:v>
      </x:c>
      <x:c r="L1390" s="35" t="n">
        <x:f>J1390*K1390</x:f>
        <x:v>39</x:v>
      </x:c>
      <x:c r="M1390" s="36" t="n">
        <x:v>0.08</x:v>
      </x:c>
      <x:c r="N1390" s="35" t="n">
        <x:f>L1390*M1390</x:f>
        <x:v>3.12</x:v>
      </x:c>
      <x:c r="O1390" s="37" t="n">
        <x:v>0.18</x:v>
      </x:c>
      <x:c r="P1390" s="35" t="n">
        <x:f>L1390*O1390</x:f>
        <x:v>7.02</x:v>
      </x:c>
      <x:c r="Q1390" s="35" t="n">
        <x:v>1.2</x:v>
      </x:c>
      <x:c r="R1390" s="35" t="n">
        <x:f>K1390*Q1390</x:f>
        <x:v>1.2</x:v>
      </x:c>
      <x:c r="S1390" s="35" t="n">
        <x:f>XLOOKUP(H1390,'菜品主数据'!$A$5:$A$24,'菜品主数据'!$G$5:$G$24,0)</x:f>
        <x:v>17.446</x:v>
      </x:c>
      <x:c r="T1390" s="35" t="n">
        <x:f>K1390*S1390</x:f>
        <x:v>17.446</x:v>
      </x:c>
      <x:c r="U1390" s="35" t="n">
        <x:f>L1390-N1390-P1390-R1390-T1390</x:f>
        <x:v>10.214000000000002</x:v>
      </x:c>
      <x:c r="V1390" s="21" t="n">
        <x:f>IFERROR(U1390/L1390,0)</x:f>
        <x:v>0.26189743589743597</x:v>
      </x:c>
    </x:row>
    <x:row r="1391">
      <x:c r="A1391" s="19" t="str">
        <x:v>SALE-01387</x:v>
      </x:c>
      <x:c r="B1391" s="34" t="n">
        <x:v>46216.5</x:v>
      </x:c>
      <x:c r="C1391" s="19" t="str">
        <x:v>周一</x:v>
      </x:c>
      <x:c r="D1391" s="19" t="str">
        <x:v>S05</x:v>
      </x:c>
      <x:c r="E1391" s="19" t="str">
        <x:v>同顺街店</x:v>
      </x:c>
      <x:c r="F1391" s="19" t="str">
        <x:v>外卖</x:v>
      </x:c>
      <x:c r="G1391" s="19" t="str">
        <x:v>全日</x:v>
      </x:c>
      <x:c r="H1391" s="19" t="str">
        <x:v>D07</x:v>
      </x:c>
      <x:c r="I1391" s="19" t="str">
        <x:v>川味回锅肉</x:v>
      </x:c>
      <x:c r="J1391" s="22" t="n">
        <x:f>XLOOKUP(H1391,'菜品主数据'!$A$5:$A$24,'菜品主数据'!$D$5:$D$24,0)</x:f>
        <x:v>29</x:v>
      </x:c>
      <x:c r="K1391" s="31" t="n">
        <x:v>1</x:v>
      </x:c>
      <x:c r="L1391" s="35" t="n">
        <x:f>J1391*K1391</x:f>
        <x:v>29</x:v>
      </x:c>
      <x:c r="M1391" s="36" t="n">
        <x:v>0.08</x:v>
      </x:c>
      <x:c r="N1391" s="35" t="n">
        <x:f>L1391*M1391</x:f>
        <x:v>2.32</x:v>
      </x:c>
      <x:c r="O1391" s="37" t="n">
        <x:v>0.18</x:v>
      </x:c>
      <x:c r="P1391" s="35" t="n">
        <x:f>L1391*O1391</x:f>
        <x:v>5.22</x:v>
      </x:c>
      <x:c r="Q1391" s="35" t="n">
        <x:v>1.2</x:v>
      </x:c>
      <x:c r="R1391" s="35" t="n">
        <x:f>K1391*Q1391</x:f>
        <x:v>1.2</x:v>
      </x:c>
      <x:c r="S1391" s="35" t="n">
        <x:f>XLOOKUP(H1391,'菜品主数据'!$A$5:$A$24,'菜品主数据'!$G$5:$G$24,0)</x:f>
        <x:v>10.231000000000002</x:v>
      </x:c>
      <x:c r="T1391" s="35" t="n">
        <x:f>K1391*S1391</x:f>
        <x:v>10.231000000000002</x:v>
      </x:c>
      <x:c r="U1391" s="35" t="n">
        <x:f>L1391-N1391-P1391-R1391-T1391</x:f>
        <x:v>10.029</x:v>
      </x:c>
      <x:c r="V1391" s="21" t="n">
        <x:f>IFERROR(U1391/L1391,0)</x:f>
        <x:v>0.3458275862068966</x:v>
      </x:c>
    </x:row>
    <x:row r="1392">
      <x:c r="A1392" s="19" t="str">
        <x:v>SALE-01388</x:v>
      </x:c>
      <x:c r="B1392" s="34" t="n">
        <x:v>46216.5</x:v>
      </x:c>
      <x:c r="C1392" s="19" t="str">
        <x:v>周一</x:v>
      </x:c>
      <x:c r="D1392" s="19" t="str">
        <x:v>S05</x:v>
      </x:c>
      <x:c r="E1392" s="19" t="str">
        <x:v>同顺街店</x:v>
      </x:c>
      <x:c r="F1392" s="19" t="str">
        <x:v>外卖</x:v>
      </x:c>
      <x:c r="G1392" s="19" t="str">
        <x:v>全日</x:v>
      </x:c>
      <x:c r="H1392" s="19" t="str">
        <x:v>D08</x:v>
      </x:c>
      <x:c r="I1392" s="19" t="str">
        <x:v>生炒清远鸡</x:v>
      </x:c>
      <x:c r="J1392" s="22" t="n">
        <x:f>XLOOKUP(H1392,'菜品主数据'!$A$5:$A$24,'菜品主数据'!$D$5:$D$24,0)</x:f>
        <x:v>36</x:v>
      </x:c>
      <x:c r="K1392" s="31" t="n">
        <x:v>1</x:v>
      </x:c>
      <x:c r="L1392" s="35" t="n">
        <x:f>J1392*K1392</x:f>
        <x:v>36</x:v>
      </x:c>
      <x:c r="M1392" s="36" t="n">
        <x:v>0.08</x:v>
      </x:c>
      <x:c r="N1392" s="35" t="n">
        <x:f>L1392*M1392</x:f>
        <x:v>2.88</x:v>
      </x:c>
      <x:c r="O1392" s="37" t="n">
        <x:v>0.18</x:v>
      </x:c>
      <x:c r="P1392" s="35" t="n">
        <x:f>L1392*O1392</x:f>
        <x:v>6.4799999999999995</x:v>
      </x:c>
      <x:c r="Q1392" s="35" t="n">
        <x:v>1.2</x:v>
      </x:c>
      <x:c r="R1392" s="35" t="n">
        <x:f>K1392*Q1392</x:f>
        <x:v>1.2</x:v>
      </x:c>
      <x:c r="S1392" s="35" t="n">
        <x:f>XLOOKUP(H1392,'菜品主数据'!$A$5:$A$24,'菜品主数据'!$G$5:$G$24,0)</x:f>
        <x:v>13.48</x:v>
      </x:c>
      <x:c r="T1392" s="35" t="n">
        <x:f>K1392*S1392</x:f>
        <x:v>13.48</x:v>
      </x:c>
      <x:c r="U1392" s="35" t="n">
        <x:f>L1392-N1392-P1392-R1392-T1392</x:f>
        <x:v>11.959999999999997</x:v>
      </x:c>
      <x:c r="V1392" s="21" t="n">
        <x:f>IFERROR(U1392/L1392,0)</x:f>
        <x:v>0.33222222222222214</x:v>
      </x:c>
    </x:row>
    <x:row r="1393">
      <x:c r="A1393" s="19" t="str">
        <x:v>SALE-01389</x:v>
      </x:c>
      <x:c r="B1393" s="34" t="n">
        <x:v>46216.5</x:v>
      </x:c>
      <x:c r="C1393" s="19" t="str">
        <x:v>周一</x:v>
      </x:c>
      <x:c r="D1393" s="19" t="str">
        <x:v>S05</x:v>
      </x:c>
      <x:c r="E1393" s="19" t="str">
        <x:v>同顺街店</x:v>
      </x:c>
      <x:c r="F1393" s="19" t="str">
        <x:v>外卖</x:v>
      </x:c>
      <x:c r="G1393" s="19" t="str">
        <x:v>全日</x:v>
      </x:c>
      <x:c r="H1393" s="19" t="str">
        <x:v>D09</x:v>
      </x:c>
      <x:c r="I1393" s="19" t="str">
        <x:v>炒豆干</x:v>
      </x:c>
      <x:c r="J1393" s="22" t="n">
        <x:f>XLOOKUP(H1393,'菜品主数据'!$A$5:$A$24,'菜品主数据'!$D$5:$D$24,0)</x:f>
        <x:v>18</x:v>
      </x:c>
      <x:c r="K1393" s="31" t="n">
        <x:v>1</x:v>
      </x:c>
      <x:c r="L1393" s="35" t="n">
        <x:f>J1393*K1393</x:f>
        <x:v>18</x:v>
      </x:c>
      <x:c r="M1393" s="36" t="n">
        <x:v>0.08</x:v>
      </x:c>
      <x:c r="N1393" s="35" t="n">
        <x:f>L1393*M1393</x:f>
        <x:v>1.44</x:v>
      </x:c>
      <x:c r="O1393" s="37" t="n">
        <x:v>0.18</x:v>
      </x:c>
      <x:c r="P1393" s="35" t="n">
        <x:f>L1393*O1393</x:f>
        <x:v>3.2399999999999998</x:v>
      </x:c>
      <x:c r="Q1393" s="35" t="n">
        <x:v>1.2</x:v>
      </x:c>
      <x:c r="R1393" s="35" t="n">
        <x:f>K1393*Q1393</x:f>
        <x:v>1.2</x:v>
      </x:c>
      <x:c r="S1393" s="35" t="n">
        <x:f>XLOOKUP(H1393,'菜品主数据'!$A$5:$A$24,'菜品主数据'!$G$5:$G$24,0)</x:f>
        <x:v>6.613999999999999</x:v>
      </x:c>
      <x:c r="T1393" s="35" t="n">
        <x:f>K1393*S1393</x:f>
        <x:v>6.613999999999999</x:v>
      </x:c>
      <x:c r="U1393" s="35" t="n">
        <x:f>L1393-N1393-P1393-R1393-T1393</x:f>
        <x:v>5.506</x:v>
      </x:c>
      <x:c r="V1393" s="21" t="n">
        <x:f>IFERROR(U1393/L1393,0)</x:f>
        <x:v>0.3058888888888889</x:v>
      </x:c>
    </x:row>
    <x:row r="1394">
      <x:c r="A1394" s="19" t="str">
        <x:v>SALE-01390</x:v>
      </x:c>
      <x:c r="B1394" s="34" t="n">
        <x:v>46216.5</x:v>
      </x:c>
      <x:c r="C1394" s="19" t="str">
        <x:v>周一</x:v>
      </x:c>
      <x:c r="D1394" s="19" t="str">
        <x:v>S05</x:v>
      </x:c>
      <x:c r="E1394" s="19" t="str">
        <x:v>同顺街店</x:v>
      </x:c>
      <x:c r="F1394" s="19" t="str">
        <x:v>外卖</x:v>
      </x:c>
      <x:c r="G1394" s="19" t="str">
        <x:v>全日</x:v>
      </x:c>
      <x:c r="H1394" s="19" t="str">
        <x:v>D10</x:v>
      </x:c>
      <x:c r="I1394" s="19" t="str">
        <x:v>农家一碗香</x:v>
      </x:c>
      <x:c r="J1394" s="22" t="n">
        <x:f>XLOOKUP(H1394,'菜品主数据'!$A$5:$A$24,'菜品主数据'!$D$5:$D$24,0)</x:f>
        <x:v>22.9</x:v>
      </x:c>
      <x:c r="K1394" s="31" t="n">
        <x:v>1</x:v>
      </x:c>
      <x:c r="L1394" s="35" t="n">
        <x:f>J1394*K1394</x:f>
        <x:v>22.9</x:v>
      </x:c>
      <x:c r="M1394" s="36" t="n">
        <x:v>0.08</x:v>
      </x:c>
      <x:c r="N1394" s="35" t="n">
        <x:f>L1394*M1394</x:f>
        <x:v>1.8319999999999999</x:v>
      </x:c>
      <x:c r="O1394" s="37" t="n">
        <x:v>0.18</x:v>
      </x:c>
      <x:c r="P1394" s="35" t="n">
        <x:f>L1394*O1394</x:f>
        <x:v>4.122</x:v>
      </x:c>
      <x:c r="Q1394" s="35" t="n">
        <x:v>1.2</x:v>
      </x:c>
      <x:c r="R1394" s="35" t="n">
        <x:f>K1394*Q1394</x:f>
        <x:v>1.2</x:v>
      </x:c>
      <x:c r="S1394" s="35" t="n">
        <x:f>XLOOKUP(H1394,'菜品主数据'!$A$5:$A$24,'菜品主数据'!$G$5:$G$24,0)</x:f>
        <x:v>9.770200000000003</x:v>
      </x:c>
      <x:c r="T1394" s="35" t="n">
        <x:f>K1394*S1394</x:f>
        <x:v>9.770200000000003</x:v>
      </x:c>
      <x:c r="U1394" s="35" t="n">
        <x:f>L1394-N1394-P1394-R1394-T1394</x:f>
        <x:v>5.975799999999996</x:v>
      </x:c>
      <x:c r="V1394" s="21" t="n">
        <x:f>IFERROR(U1394/L1394,0)</x:f>
        <x:v>0.260951965065502</x:v>
      </x:c>
    </x:row>
    <x:row r="1395">
      <x:c r="A1395" s="19" t="str">
        <x:v>SALE-01391</x:v>
      </x:c>
      <x:c r="B1395" s="34" t="n">
        <x:v>46216.5</x:v>
      </x:c>
      <x:c r="C1395" s="19" t="str">
        <x:v>周一</x:v>
      </x:c>
      <x:c r="D1395" s="19" t="str">
        <x:v>S05</x:v>
      </x:c>
      <x:c r="E1395" s="19" t="str">
        <x:v>同顺街店</x:v>
      </x:c>
      <x:c r="F1395" s="19" t="str">
        <x:v>外卖</x:v>
      </x:c>
      <x:c r="G1395" s="19" t="str">
        <x:v>全日</x:v>
      </x:c>
      <x:c r="H1395" s="19" t="str">
        <x:v>D11</x:v>
      </x:c>
      <x:c r="I1395" s="19" t="str">
        <x:v>香辣爆肥肠</x:v>
      </x:c>
      <x:c r="J1395" s="22" t="n">
        <x:f>XLOOKUP(H1395,'菜品主数据'!$A$5:$A$24,'菜品主数据'!$D$5:$D$24,0)</x:f>
        <x:v>39</x:v>
      </x:c>
      <x:c r="K1395" s="31" t="n">
        <x:v>0</x:v>
      </x:c>
      <x:c r="L1395" s="35" t="n">
        <x:f>J1395*K1395</x:f>
        <x:v>0</x:v>
      </x:c>
      <x:c r="M1395" s="36" t="n">
        <x:v>0.08</x:v>
      </x:c>
      <x:c r="N1395" s="35" t="n">
        <x:f>L1395*M1395</x:f>
        <x:v>0</x:v>
      </x:c>
      <x:c r="O1395" s="37" t="n">
        <x:v>0.18</x:v>
      </x:c>
      <x:c r="P1395" s="35" t="n">
        <x:f>L1395*O1395</x:f>
        <x:v>0</x:v>
      </x:c>
      <x:c r="Q1395" s="35" t="n">
        <x:v>1.2</x:v>
      </x:c>
      <x:c r="R1395" s="35" t="n">
        <x:f>K1395*Q1395</x:f>
        <x:v>0</x:v>
      </x:c>
      <x:c r="S1395" s="35" t="n">
        <x:f>XLOOKUP(H1395,'菜品主数据'!$A$5:$A$24,'菜品主数据'!$G$5:$G$24,0)</x:f>
        <x:v>10.397</x:v>
      </x:c>
      <x:c r="T1395" s="35" t="n">
        <x:f>K1395*S1395</x:f>
        <x:v>0</x:v>
      </x:c>
      <x:c r="U1395" s="35" t="n">
        <x:f>L1395-N1395-P1395-R1395-T1395</x:f>
        <x:v>0</x:v>
      </x:c>
      <x:c r="V1395" s="21" t="n">
        <x:f>IFERROR(U1395/L1395,0)</x:f>
        <x:v>0</x:v>
      </x:c>
    </x:row>
    <x:row r="1396">
      <x:c r="A1396" s="19" t="str">
        <x:v>SALE-01392</x:v>
      </x:c>
      <x:c r="B1396" s="34" t="n">
        <x:v>46216.5</x:v>
      </x:c>
      <x:c r="C1396" s="19" t="str">
        <x:v>周一</x:v>
      </x:c>
      <x:c r="D1396" s="19" t="str">
        <x:v>S05</x:v>
      </x:c>
      <x:c r="E1396" s="19" t="str">
        <x:v>同顺街店</x:v>
      </x:c>
      <x:c r="F1396" s="19" t="str">
        <x:v>外卖</x:v>
      </x:c>
      <x:c r="G1396" s="19" t="str">
        <x:v>全日</x:v>
      </x:c>
      <x:c r="H1396" s="19" t="str">
        <x:v>D12</x:v>
      </x:c>
      <x:c r="I1396" s="19" t="str">
        <x:v>清蒸鲈鱼</x:v>
      </x:c>
      <x:c r="J1396" s="22" t="n">
        <x:f>XLOOKUP(H1396,'菜品主数据'!$A$5:$A$24,'菜品主数据'!$D$5:$D$24,0)</x:f>
        <x:v>39</x:v>
      </x:c>
      <x:c r="K1396" s="31" t="n">
        <x:v>0</x:v>
      </x:c>
      <x:c r="L1396" s="35" t="n">
        <x:f>J1396*K1396</x:f>
        <x:v>0</x:v>
      </x:c>
      <x:c r="M1396" s="36" t="n">
        <x:v>0.08</x:v>
      </x:c>
      <x:c r="N1396" s="35" t="n">
        <x:f>L1396*M1396</x:f>
        <x:v>0</x:v>
      </x:c>
      <x:c r="O1396" s="37" t="n">
        <x:v>0.18</x:v>
      </x:c>
      <x:c r="P1396" s="35" t="n">
        <x:f>L1396*O1396</x:f>
        <x:v>0</x:v>
      </x:c>
      <x:c r="Q1396" s="35" t="n">
        <x:v>1.2</x:v>
      </x:c>
      <x:c r="R1396" s="35" t="n">
        <x:f>K1396*Q1396</x:f>
        <x:v>0</x:v>
      </x:c>
      <x:c r="S1396" s="35" t="n">
        <x:f>XLOOKUP(H1396,'菜品主数据'!$A$5:$A$24,'菜品主数据'!$G$5:$G$24,0)</x:f>
        <x:v>18.874</x:v>
      </x:c>
      <x:c r="T1396" s="35" t="n">
        <x:f>K1396*S1396</x:f>
        <x:v>0</x:v>
      </x:c>
      <x:c r="U1396" s="35" t="n">
        <x:f>L1396-N1396-P1396-R1396-T1396</x:f>
        <x:v>0</x:v>
      </x:c>
      <x:c r="V1396" s="21" t="n">
        <x:f>IFERROR(U1396/L1396,0)</x:f>
        <x:v>0</x:v>
      </x:c>
    </x:row>
    <x:row r="1397">
      <x:c r="A1397" s="19" t="str">
        <x:v>SALE-01393</x:v>
      </x:c>
      <x:c r="B1397" s="34" t="n">
        <x:v>46216.5</x:v>
      </x:c>
      <x:c r="C1397" s="19" t="str">
        <x:v>周一</x:v>
      </x:c>
      <x:c r="D1397" s="19" t="str">
        <x:v>S05</x:v>
      </x:c>
      <x:c r="E1397" s="19" t="str">
        <x:v>同顺街店</x:v>
      </x:c>
      <x:c r="F1397" s="19" t="str">
        <x:v>外卖</x:v>
      </x:c>
      <x:c r="G1397" s="19" t="str">
        <x:v>全日</x:v>
      </x:c>
      <x:c r="H1397" s="19" t="str">
        <x:v>D13</x:v>
      </x:c>
      <x:c r="I1397" s="19" t="str">
        <x:v>外婆菜炒蛋</x:v>
      </x:c>
      <x:c r="J1397" s="22" t="n">
        <x:f>XLOOKUP(H1397,'菜品主数据'!$A$5:$A$24,'菜品主数据'!$D$5:$D$24,0)</x:f>
        <x:v>18</x:v>
      </x:c>
      <x:c r="K1397" s="31" t="n">
        <x:v>1</x:v>
      </x:c>
      <x:c r="L1397" s="35" t="n">
        <x:f>J1397*K1397</x:f>
        <x:v>18</x:v>
      </x:c>
      <x:c r="M1397" s="36" t="n">
        <x:v>0.08</x:v>
      </x:c>
      <x:c r="N1397" s="35" t="n">
        <x:f>L1397*M1397</x:f>
        <x:v>1.44</x:v>
      </x:c>
      <x:c r="O1397" s="37" t="n">
        <x:v>0.18</x:v>
      </x:c>
      <x:c r="P1397" s="35" t="n">
        <x:f>L1397*O1397</x:f>
        <x:v>3.2399999999999998</x:v>
      </x:c>
      <x:c r="Q1397" s="35" t="n">
        <x:v>1.2</x:v>
      </x:c>
      <x:c r="R1397" s="35" t="n">
        <x:f>K1397*Q1397</x:f>
        <x:v>1.2</x:v>
      </x:c>
      <x:c r="S1397" s="35" t="n">
        <x:f>XLOOKUP(H1397,'菜品主数据'!$A$5:$A$24,'菜品主数据'!$G$5:$G$24,0)</x:f>
        <x:v>5.403999999999999</x:v>
      </x:c>
      <x:c r="T1397" s="35" t="n">
        <x:f>K1397*S1397</x:f>
        <x:v>5.403999999999999</x:v>
      </x:c>
      <x:c r="U1397" s="35" t="n">
        <x:f>L1397-N1397-P1397-R1397-T1397</x:f>
        <x:v>6.716</x:v>
      </x:c>
      <x:c r="V1397" s="21" t="n">
        <x:f>IFERROR(U1397/L1397,0)</x:f>
        <x:v>0.3731111111111111</x:v>
      </x:c>
    </x:row>
    <x:row r="1398">
      <x:c r="A1398" s="19" t="str">
        <x:v>SALE-01394</x:v>
      </x:c>
      <x:c r="B1398" s="34" t="n">
        <x:v>46216.5</x:v>
      </x:c>
      <x:c r="C1398" s="19" t="str">
        <x:v>周一</x:v>
      </x:c>
      <x:c r="D1398" s="19" t="str">
        <x:v>S05</x:v>
      </x:c>
      <x:c r="E1398" s="19" t="str">
        <x:v>同顺街店</x:v>
      </x:c>
      <x:c r="F1398" s="19" t="str">
        <x:v>外卖</x:v>
      </x:c>
      <x:c r="G1398" s="19" t="str">
        <x:v>全日</x:v>
      </x:c>
      <x:c r="H1398" s="19" t="str">
        <x:v>D14</x:v>
      </x:c>
      <x:c r="I1398" s="19" t="str">
        <x:v>酸辣鸡杂</x:v>
      </x:c>
      <x:c r="J1398" s="22" t="n">
        <x:f>XLOOKUP(H1398,'菜品主数据'!$A$5:$A$24,'菜品主数据'!$D$5:$D$24,0)</x:f>
        <x:v>28</x:v>
      </x:c>
      <x:c r="K1398" s="31" t="n">
        <x:v>1</x:v>
      </x:c>
      <x:c r="L1398" s="35" t="n">
        <x:f>J1398*K1398</x:f>
        <x:v>28</x:v>
      </x:c>
      <x:c r="M1398" s="36" t="n">
        <x:v>0.08</x:v>
      </x:c>
      <x:c r="N1398" s="35" t="n">
        <x:f>L1398*M1398</x:f>
        <x:v>2.24</x:v>
      </x:c>
      <x:c r="O1398" s="37" t="n">
        <x:v>0.18</x:v>
      </x:c>
      <x:c r="P1398" s="35" t="n">
        <x:f>L1398*O1398</x:f>
        <x:v>5.04</x:v>
      </x:c>
      <x:c r="Q1398" s="35" t="n">
        <x:v>1.2</x:v>
      </x:c>
      <x:c r="R1398" s="35" t="n">
        <x:f>K1398*Q1398</x:f>
        <x:v>1.2</x:v>
      </x:c>
      <x:c r="S1398" s="35" t="n">
        <x:f>XLOOKUP(H1398,'菜品主数据'!$A$5:$A$24,'菜品主数据'!$G$5:$G$24,0)</x:f>
        <x:v>8.315000000000001</x:v>
      </x:c>
      <x:c r="T1398" s="35" t="n">
        <x:f>K1398*S1398</x:f>
        <x:v>8.315000000000001</x:v>
      </x:c>
      <x:c r="U1398" s="35" t="n">
        <x:f>L1398-N1398-P1398-R1398-T1398</x:f>
        <x:v>11.204999999999998</x:v>
      </x:c>
      <x:c r="V1398" s="21" t="n">
        <x:f>IFERROR(U1398/L1398,0)</x:f>
        <x:v>0.4001785714285714</x:v>
      </x:c>
    </x:row>
    <x:row r="1399">
      <x:c r="A1399" s="19" t="str">
        <x:v>SALE-01395</x:v>
      </x:c>
      <x:c r="B1399" s="34" t="n">
        <x:v>46216.5</x:v>
      </x:c>
      <x:c r="C1399" s="19" t="str">
        <x:v>周一</x:v>
      </x:c>
      <x:c r="D1399" s="19" t="str">
        <x:v>S05</x:v>
      </x:c>
      <x:c r="E1399" s="19" t="str">
        <x:v>同顺街店</x:v>
      </x:c>
      <x:c r="F1399" s="19" t="str">
        <x:v>外卖</x:v>
      </x:c>
      <x:c r="G1399" s="19" t="str">
        <x:v>全日</x:v>
      </x:c>
      <x:c r="H1399" s="19" t="str">
        <x:v>D15</x:v>
      </x:c>
      <x:c r="I1399" s="19" t="str">
        <x:v>湘西土匪猪肝</x:v>
      </x:c>
      <x:c r="J1399" s="22" t="n">
        <x:f>XLOOKUP(H1399,'菜品主数据'!$A$5:$A$24,'菜品主数据'!$D$5:$D$24,0)</x:f>
        <x:v>26</x:v>
      </x:c>
      <x:c r="K1399" s="31" t="n">
        <x:v>0</x:v>
      </x:c>
      <x:c r="L1399" s="35" t="n">
        <x:f>J1399*K1399</x:f>
        <x:v>0</x:v>
      </x:c>
      <x:c r="M1399" s="36" t="n">
        <x:v>0.08</x:v>
      </x:c>
      <x:c r="N1399" s="35" t="n">
        <x:f>L1399*M1399</x:f>
        <x:v>0</x:v>
      </x:c>
      <x:c r="O1399" s="37" t="n">
        <x:v>0.18</x:v>
      </x:c>
      <x:c r="P1399" s="35" t="n">
        <x:f>L1399*O1399</x:f>
        <x:v>0</x:v>
      </x:c>
      <x:c r="Q1399" s="35" t="n">
        <x:v>1.2</x:v>
      </x:c>
      <x:c r="R1399" s="35" t="n">
        <x:f>K1399*Q1399</x:f>
        <x:v>0</x:v>
      </x:c>
      <x:c r="S1399" s="35" t="n">
        <x:f>XLOOKUP(H1399,'菜品主数据'!$A$5:$A$24,'菜品主数据'!$G$5:$G$24,0)</x:f>
        <x:v>6.3759999999999994</x:v>
      </x:c>
      <x:c r="T1399" s="35" t="n">
        <x:f>K1399*S1399</x:f>
        <x:v>0</x:v>
      </x:c>
      <x:c r="U1399" s="35" t="n">
        <x:f>L1399-N1399-P1399-R1399-T1399</x:f>
        <x:v>0</x:v>
      </x:c>
      <x:c r="V1399" s="21" t="n">
        <x:f>IFERROR(U1399/L1399,0)</x:f>
        <x:v>0</x:v>
      </x:c>
    </x:row>
    <x:row r="1400">
      <x:c r="A1400" s="19" t="str">
        <x:v>SALE-01396</x:v>
      </x:c>
      <x:c r="B1400" s="34" t="n">
        <x:v>46216.5</x:v>
      </x:c>
      <x:c r="C1400" s="19" t="str">
        <x:v>周一</x:v>
      </x:c>
      <x:c r="D1400" s="19" t="str">
        <x:v>S05</x:v>
      </x:c>
      <x:c r="E1400" s="19" t="str">
        <x:v>同顺街店</x:v>
      </x:c>
      <x:c r="F1400" s="19" t="str">
        <x:v>外卖</x:v>
      </x:c>
      <x:c r="G1400" s="19" t="str">
        <x:v>全日</x:v>
      </x:c>
      <x:c r="H1400" s="19" t="str">
        <x:v>D16</x:v>
      </x:c>
      <x:c r="I1400" s="19" t="str">
        <x:v>小豆角炒五花</x:v>
      </x:c>
      <x:c r="J1400" s="22" t="n">
        <x:f>XLOOKUP(H1400,'菜品主数据'!$A$5:$A$24,'菜品主数据'!$D$5:$D$24,0)</x:f>
        <x:v>25</x:v>
      </x:c>
      <x:c r="K1400" s="31" t="n">
        <x:v>0</x:v>
      </x:c>
      <x:c r="L1400" s="35" t="n">
        <x:f>J1400*K1400</x:f>
        <x:v>0</x:v>
      </x:c>
      <x:c r="M1400" s="36" t="n">
        <x:v>0.08</x:v>
      </x:c>
      <x:c r="N1400" s="35" t="n">
        <x:f>L1400*M1400</x:f>
        <x:v>0</x:v>
      </x:c>
      <x:c r="O1400" s="37" t="n">
        <x:v>0.18</x:v>
      </x:c>
      <x:c r="P1400" s="35" t="n">
        <x:f>L1400*O1400</x:f>
        <x:v>0</x:v>
      </x:c>
      <x:c r="Q1400" s="35" t="n">
        <x:v>1.2</x:v>
      </x:c>
      <x:c r="R1400" s="35" t="n">
        <x:f>K1400*Q1400</x:f>
        <x:v>0</x:v>
      </x:c>
      <x:c r="S1400" s="35" t="n">
        <x:f>XLOOKUP(H1400,'菜品主数据'!$A$5:$A$24,'菜品主数据'!$G$5:$G$24,0)</x:f>
        <x:v>8.184</x:v>
      </x:c>
      <x:c r="T1400" s="35" t="n">
        <x:f>K1400*S1400</x:f>
        <x:v>0</x:v>
      </x:c>
      <x:c r="U1400" s="35" t="n">
        <x:f>L1400-N1400-P1400-R1400-T1400</x:f>
        <x:v>0</x:v>
      </x:c>
      <x:c r="V1400" s="21" t="n">
        <x:f>IFERROR(U1400/L1400,0)</x:f>
        <x:v>0</x:v>
      </x:c>
    </x:row>
    <x:row r="1401">
      <x:c r="A1401" s="19" t="str">
        <x:v>SALE-01397</x:v>
      </x:c>
      <x:c r="B1401" s="34" t="n">
        <x:v>46216.5</x:v>
      </x:c>
      <x:c r="C1401" s="19" t="str">
        <x:v>周一</x:v>
      </x:c>
      <x:c r="D1401" s="19" t="str">
        <x:v>S05</x:v>
      </x:c>
      <x:c r="E1401" s="19" t="str">
        <x:v>同顺街店</x:v>
      </x:c>
      <x:c r="F1401" s="19" t="str">
        <x:v>外卖</x:v>
      </x:c>
      <x:c r="G1401" s="19" t="str">
        <x:v>全日</x:v>
      </x:c>
      <x:c r="H1401" s="19" t="str">
        <x:v>D17</x:v>
      </x:c>
      <x:c r="I1401" s="19" t="str">
        <x:v>蒜蓉粉丝虾</x:v>
      </x:c>
      <x:c r="J1401" s="22" t="n">
        <x:f>XLOOKUP(H1401,'菜品主数据'!$A$5:$A$24,'菜品主数据'!$D$5:$D$24,0)</x:f>
        <x:v>36</x:v>
      </x:c>
      <x:c r="K1401" s="31" t="n">
        <x:v>0</x:v>
      </x:c>
      <x:c r="L1401" s="35" t="n">
        <x:f>J1401*K1401</x:f>
        <x:v>0</x:v>
      </x:c>
      <x:c r="M1401" s="36" t="n">
        <x:v>0.08</x:v>
      </x:c>
      <x:c r="N1401" s="35" t="n">
        <x:f>L1401*M1401</x:f>
        <x:v>0</x:v>
      </x:c>
      <x:c r="O1401" s="37" t="n">
        <x:v>0.18</x:v>
      </x:c>
      <x:c r="P1401" s="35" t="n">
        <x:f>L1401*O1401</x:f>
        <x:v>0</x:v>
      </x:c>
      <x:c r="Q1401" s="35" t="n">
        <x:v>1.2</x:v>
      </x:c>
      <x:c r="R1401" s="35" t="n">
        <x:f>K1401*Q1401</x:f>
        <x:v>0</x:v>
      </x:c>
      <x:c r="S1401" s="35" t="n">
        <x:f>XLOOKUP(H1401,'菜品主数据'!$A$5:$A$24,'菜品主数据'!$G$5:$G$24,0)</x:f>
        <x:v>13.594</x:v>
      </x:c>
      <x:c r="T1401" s="35" t="n">
        <x:f>K1401*S1401</x:f>
        <x:v>0</x:v>
      </x:c>
      <x:c r="U1401" s="35" t="n">
        <x:f>L1401-N1401-P1401-R1401-T1401</x:f>
        <x:v>0</x:v>
      </x:c>
      <x:c r="V1401" s="21" t="n">
        <x:f>IFERROR(U1401/L1401,0)</x:f>
        <x:v>0</x:v>
      </x:c>
    </x:row>
    <x:row r="1402">
      <x:c r="A1402" s="19" t="str">
        <x:v>SALE-01398</x:v>
      </x:c>
      <x:c r="B1402" s="34" t="n">
        <x:v>46216.5</x:v>
      </x:c>
      <x:c r="C1402" s="19" t="str">
        <x:v>周一</x:v>
      </x:c>
      <x:c r="D1402" s="19" t="str">
        <x:v>S05</x:v>
      </x:c>
      <x:c r="E1402" s="19" t="str">
        <x:v>同顺街店</x:v>
      </x:c>
      <x:c r="F1402" s="19" t="str">
        <x:v>外卖</x:v>
      </x:c>
      <x:c r="G1402" s="19" t="str">
        <x:v>全日</x:v>
      </x:c>
      <x:c r="H1402" s="19" t="str">
        <x:v>D18</x:v>
      </x:c>
      <x:c r="I1402" s="19" t="str">
        <x:v>青椒炒油麦菜</x:v>
      </x:c>
      <x:c r="J1402" s="22" t="n">
        <x:f>XLOOKUP(H1402,'菜品主数据'!$A$5:$A$24,'菜品主数据'!$D$5:$D$24,0)</x:f>
        <x:v>18</x:v>
      </x:c>
      <x:c r="K1402" s="31" t="n">
        <x:v>1</x:v>
      </x:c>
      <x:c r="L1402" s="35" t="n">
        <x:f>J1402*K1402</x:f>
        <x:v>18</x:v>
      </x:c>
      <x:c r="M1402" s="36" t="n">
        <x:v>0.08</x:v>
      </x:c>
      <x:c r="N1402" s="35" t="n">
        <x:f>L1402*M1402</x:f>
        <x:v>1.44</x:v>
      </x:c>
      <x:c r="O1402" s="37" t="n">
        <x:v>0.18</x:v>
      </x:c>
      <x:c r="P1402" s="35" t="n">
        <x:f>L1402*O1402</x:f>
        <x:v>3.2399999999999998</x:v>
      </x:c>
      <x:c r="Q1402" s="35" t="n">
        <x:v>1.2</x:v>
      </x:c>
      <x:c r="R1402" s="35" t="n">
        <x:f>K1402*Q1402</x:f>
        <x:v>1.2</x:v>
      </x:c>
      <x:c r="S1402" s="35" t="n">
        <x:f>XLOOKUP(H1402,'菜品主数据'!$A$5:$A$24,'菜品主数据'!$G$5:$G$24,0)</x:f>
        <x:v>3.1759999999999993</x:v>
      </x:c>
      <x:c r="T1402" s="35" t="n">
        <x:f>K1402*S1402</x:f>
        <x:v>3.1759999999999993</x:v>
      </x:c>
      <x:c r="U1402" s="35" t="n">
        <x:f>L1402-N1402-P1402-R1402-T1402</x:f>
        <x:v>8.943999999999999</x:v>
      </x:c>
      <x:c r="V1402" s="21" t="n">
        <x:f>IFERROR(U1402/L1402,0)</x:f>
        <x:v>0.4968888888888888</x:v>
      </x:c>
    </x:row>
    <x:row r="1403">
      <x:c r="A1403" s="19" t="str">
        <x:v>SALE-01399</x:v>
      </x:c>
      <x:c r="B1403" s="34" t="n">
        <x:v>46216.5</x:v>
      </x:c>
      <x:c r="C1403" s="19" t="str">
        <x:v>周一</x:v>
      </x:c>
      <x:c r="D1403" s="19" t="str">
        <x:v>S05</x:v>
      </x:c>
      <x:c r="E1403" s="19" t="str">
        <x:v>同顺街店</x:v>
      </x:c>
      <x:c r="F1403" s="19" t="str">
        <x:v>外卖</x:v>
      </x:c>
      <x:c r="G1403" s="19" t="str">
        <x:v>全日</x:v>
      </x:c>
      <x:c r="H1403" s="19" t="str">
        <x:v>D19</x:v>
      </x:c>
      <x:c r="I1403" s="19" t="str">
        <x:v>酸萝卜炒鸡杂</x:v>
      </x:c>
      <x:c r="J1403" s="22" t="n">
        <x:f>XLOOKUP(H1403,'菜品主数据'!$A$5:$A$24,'菜品主数据'!$D$5:$D$24,0)</x:f>
        <x:v>25</x:v>
      </x:c>
      <x:c r="K1403" s="31" t="n">
        <x:v>0</x:v>
      </x:c>
      <x:c r="L1403" s="35" t="n">
        <x:f>J1403*K1403</x:f>
        <x:v>0</x:v>
      </x:c>
      <x:c r="M1403" s="36" t="n">
        <x:v>0.08</x:v>
      </x:c>
      <x:c r="N1403" s="35" t="n">
        <x:f>L1403*M1403</x:f>
        <x:v>0</x:v>
      </x:c>
      <x:c r="O1403" s="37" t="n">
        <x:v>0.18</x:v>
      </x:c>
      <x:c r="P1403" s="35" t="n">
        <x:f>L1403*O1403</x:f>
        <x:v>0</x:v>
      </x:c>
      <x:c r="Q1403" s="35" t="n">
        <x:v>1.2</x:v>
      </x:c>
      <x:c r="R1403" s="35" t="n">
        <x:f>K1403*Q1403</x:f>
        <x:v>0</x:v>
      </x:c>
      <x:c r="S1403" s="35" t="n">
        <x:f>XLOOKUP(H1403,'菜品主数据'!$A$5:$A$24,'菜品主数据'!$G$5:$G$24,0)</x:f>
        <x:v>7.9399999999999995</x:v>
      </x:c>
      <x:c r="T1403" s="35" t="n">
        <x:f>K1403*S1403</x:f>
        <x:v>0</x:v>
      </x:c>
      <x:c r="U1403" s="35" t="n">
        <x:f>L1403-N1403-P1403-R1403-T1403</x:f>
        <x:v>0</x:v>
      </x:c>
      <x:c r="V1403" s="21" t="n">
        <x:f>IFERROR(U1403/L1403,0)</x:f>
        <x:v>0</x:v>
      </x:c>
    </x:row>
    <x:row r="1404">
      <x:c r="A1404" s="19" t="str">
        <x:v>SALE-01400</x:v>
      </x:c>
      <x:c r="B1404" s="34" t="n">
        <x:v>46216.5</x:v>
      </x:c>
      <x:c r="C1404" s="19" t="str">
        <x:v>周一</x:v>
      </x:c>
      <x:c r="D1404" s="19" t="str">
        <x:v>S05</x:v>
      </x:c>
      <x:c r="E1404" s="19" t="str">
        <x:v>同顺街店</x:v>
      </x:c>
      <x:c r="F1404" s="19" t="str">
        <x:v>外卖</x:v>
      </x:c>
      <x:c r="G1404" s="19" t="str">
        <x:v>全日</x:v>
      </x:c>
      <x:c r="H1404" s="19" t="str">
        <x:v>D20</x:v>
      </x:c>
      <x:c r="I1404" s="19" t="str">
        <x:v>雪菜肉末青豆</x:v>
      </x:c>
      <x:c r="J1404" s="22" t="n">
        <x:f>XLOOKUP(H1404,'菜品主数据'!$A$5:$A$24,'菜品主数据'!$D$5:$D$24,0)</x:f>
        <x:v>18</x:v>
      </x:c>
      <x:c r="K1404" s="31" t="n">
        <x:v>0</x:v>
      </x:c>
      <x:c r="L1404" s="35" t="n">
        <x:f>J1404*K1404</x:f>
        <x:v>0</x:v>
      </x:c>
      <x:c r="M1404" s="36" t="n">
        <x:v>0.08</x:v>
      </x:c>
      <x:c r="N1404" s="35" t="n">
        <x:f>L1404*M1404</x:f>
        <x:v>0</x:v>
      </x:c>
      <x:c r="O1404" s="37" t="n">
        <x:v>0.18</x:v>
      </x:c>
      <x:c r="P1404" s="35" t="n">
        <x:f>L1404*O1404</x:f>
        <x:v>0</x:v>
      </x:c>
      <x:c r="Q1404" s="35" t="n">
        <x:v>1.2</x:v>
      </x:c>
      <x:c r="R1404" s="35" t="n">
        <x:f>K1404*Q1404</x:f>
        <x:v>0</x:v>
      </x:c>
      <x:c r="S1404" s="35" t="n">
        <x:f>XLOOKUP(H1404,'菜品主数据'!$A$5:$A$24,'菜品主数据'!$G$5:$G$24,0)</x:f>
        <x:v>7.303999999999999</x:v>
      </x:c>
      <x:c r="T1404" s="35" t="n">
        <x:f>K1404*S1404</x:f>
        <x:v>0</x:v>
      </x:c>
      <x:c r="U1404" s="35" t="n">
        <x:f>L1404-N1404-P1404-R1404-T1404</x:f>
        <x:v>0</x:v>
      </x:c>
      <x:c r="V1404" s="21" t="n">
        <x:f>IFERROR(U1404/L1404,0)</x:f>
        <x:v>0</x:v>
      </x:c>
    </x:row>
    <x:row r="1405">
      <x:c r="A1405" s="19" t="str">
        <x:v>SALE-01401</x:v>
      </x:c>
      <x:c r="B1405" s="34" t="n">
        <x:v>46210.5</x:v>
      </x:c>
      <x:c r="C1405" s="19" t="str">
        <x:v>周二</x:v>
      </x:c>
      <x:c r="D1405" s="19" t="str">
        <x:v>S06</x:v>
      </x:c>
      <x:c r="E1405" s="19" t="str">
        <x:v>蓝钻天城店</x:v>
      </x:c>
      <x:c r="F1405" s="19" t="str">
        <x:v>堂食</x:v>
      </x:c>
      <x:c r="G1405" s="19" t="str">
        <x:v>全日</x:v>
      </x:c>
      <x:c r="H1405" s="19" t="str">
        <x:v>D01</x:v>
      </x:c>
      <x:c r="I1405" s="19" t="str">
        <x:v>辣椒炒肉</x:v>
      </x:c>
      <x:c r="J1405" s="22" t="n">
        <x:f>XLOOKUP(H1405,'菜品主数据'!$A$5:$A$24,'菜品主数据'!$D$5:$D$24,0)</x:f>
        <x:v>29</x:v>
      </x:c>
      <x:c r="K1405" s="31" t="n">
        <x:v>45</x:v>
      </x:c>
      <x:c r="L1405" s="35" t="n">
        <x:f>J1405*K1405</x:f>
        <x:v>1305</x:v>
      </x:c>
      <x:c r="M1405" s="36" t="n">
        <x:v>0</x:v>
      </x:c>
      <x:c r="N1405" s="35" t="n">
        <x:f>L1405*M1405</x:f>
        <x:v>0</x:v>
      </x:c>
      <x:c r="O1405" s="37" t="n">
        <x:v>0</x:v>
      </x:c>
      <x:c r="P1405" s="35" t="n">
        <x:f>L1405*O1405</x:f>
        <x:v>0</x:v>
      </x:c>
      <x:c r="Q1405" s="35" t="n">
        <x:v>0</x:v>
      </x:c>
      <x:c r="R1405" s="35" t="n">
        <x:f>K1405*Q1405</x:f>
        <x:v>0</x:v>
      </x:c>
      <x:c r="S1405" s="35" t="n">
        <x:f>XLOOKUP(H1405,'菜品主数据'!$A$5:$A$24,'菜品主数据'!$G$5:$G$24,0)</x:f>
        <x:v>8.634400000000001</x:v>
      </x:c>
      <x:c r="T1405" s="35" t="n">
        <x:f>K1405*S1405</x:f>
        <x:v>388.54800000000006</x:v>
      </x:c>
      <x:c r="U1405" s="35" t="n">
        <x:f>L1405-N1405-P1405-R1405-T1405</x:f>
        <x:v>916.452</x:v>
      </x:c>
      <x:c r="V1405" s="21" t="n">
        <x:f>IFERROR(U1405/L1405,0)</x:f>
        <x:v>0.7022620689655172</x:v>
      </x:c>
    </x:row>
    <x:row r="1406">
      <x:c r="A1406" s="19" t="str">
        <x:v>SALE-01402</x:v>
      </x:c>
      <x:c r="B1406" s="34" t="n">
        <x:v>46210.5</x:v>
      </x:c>
      <x:c r="C1406" s="19" t="str">
        <x:v>周二</x:v>
      </x:c>
      <x:c r="D1406" s="19" t="str">
        <x:v>S06</x:v>
      </x:c>
      <x:c r="E1406" s="19" t="str">
        <x:v>蓝钻天城店</x:v>
      </x:c>
      <x:c r="F1406" s="19" t="str">
        <x:v>堂食</x:v>
      </x:c>
      <x:c r="G1406" s="19" t="str">
        <x:v>全日</x:v>
      </x:c>
      <x:c r="H1406" s="19" t="str">
        <x:v>D02</x:v>
      </x:c>
      <x:c r="I1406" s="19" t="str">
        <x:v>小炒黄牛肉</x:v>
      </x:c>
      <x:c r="J1406" s="22" t="n">
        <x:f>XLOOKUP(H1406,'菜品主数据'!$A$5:$A$24,'菜品主数据'!$D$5:$D$24,0)</x:f>
        <x:v>49</x:v>
      </x:c>
      <x:c r="K1406" s="31" t="n">
        <x:v>24</x:v>
      </x:c>
      <x:c r="L1406" s="35" t="n">
        <x:f>J1406*K1406</x:f>
        <x:v>1176</x:v>
      </x:c>
      <x:c r="M1406" s="36" t="n">
        <x:v>0</x:v>
      </x:c>
      <x:c r="N1406" s="35" t="n">
        <x:f>L1406*M1406</x:f>
        <x:v>0</x:v>
      </x:c>
      <x:c r="O1406" s="37" t="n">
        <x:v>0</x:v>
      </x:c>
      <x:c r="P1406" s="35" t="n">
        <x:f>L1406*O1406</x:f>
        <x:v>0</x:v>
      </x:c>
      <x:c r="Q1406" s="35" t="n">
        <x:v>0</x:v>
      </x:c>
      <x:c r="R1406" s="35" t="n">
        <x:f>K1406*Q1406</x:f>
        <x:v>0</x:v>
      </x:c>
      <x:c r="S1406" s="35" t="n">
        <x:f>XLOOKUP(H1406,'菜品主数据'!$A$5:$A$24,'菜品主数据'!$G$5:$G$24,0)</x:f>
        <x:v>17.577</x:v>
      </x:c>
      <x:c r="T1406" s="35" t="n">
        <x:f>K1406*S1406</x:f>
        <x:v>421.84800000000007</x:v>
      </x:c>
      <x:c r="U1406" s="35" t="n">
        <x:f>L1406-N1406-P1406-R1406-T1406</x:f>
        <x:v>754.1519999999999</x:v>
      </x:c>
      <x:c r="V1406" s="21" t="n">
        <x:f>IFERROR(U1406/L1406,0)</x:f>
        <x:v>0.6412857142857142</x:v>
      </x:c>
    </x:row>
    <x:row r="1407">
      <x:c r="A1407" s="19" t="str">
        <x:v>SALE-01403</x:v>
      </x:c>
      <x:c r="B1407" s="34" t="n">
        <x:v>46210.5</x:v>
      </x:c>
      <x:c r="C1407" s="19" t="str">
        <x:v>周二</x:v>
      </x:c>
      <x:c r="D1407" s="19" t="str">
        <x:v>S06</x:v>
      </x:c>
      <x:c r="E1407" s="19" t="str">
        <x:v>蓝钻天城店</x:v>
      </x:c>
      <x:c r="F1407" s="19" t="str">
        <x:v>堂食</x:v>
      </x:c>
      <x:c r="G1407" s="19" t="str">
        <x:v>全日</x:v>
      </x:c>
      <x:c r="H1407" s="19" t="str">
        <x:v>D03</x:v>
      </x:c>
      <x:c r="I1407" s="19" t="str">
        <x:v>香醋炒蛋</x:v>
      </x:c>
      <x:c r="J1407" s="22" t="n">
        <x:f>XLOOKUP(H1407,'菜品主数据'!$A$5:$A$24,'菜品主数据'!$D$5:$D$24,0)</x:f>
        <x:v>14.9</x:v>
      </x:c>
      <x:c r="K1407" s="31" t="n">
        <x:v>33</x:v>
      </x:c>
      <x:c r="L1407" s="35" t="n">
        <x:f>J1407*K1407</x:f>
        <x:v>491.7</x:v>
      </x:c>
      <x:c r="M1407" s="36" t="n">
        <x:v>0</x:v>
      </x:c>
      <x:c r="N1407" s="35" t="n">
        <x:f>L1407*M1407</x:f>
        <x:v>0</x:v>
      </x:c>
      <x:c r="O1407" s="37" t="n">
        <x:v>0</x:v>
      </x:c>
      <x:c r="P1407" s="35" t="n">
        <x:f>L1407*O1407</x:f>
        <x:v>0</x:v>
      </x:c>
      <x:c r="Q1407" s="35" t="n">
        <x:v>0</x:v>
      </x:c>
      <x:c r="R1407" s="35" t="n">
        <x:f>K1407*Q1407</x:f>
        <x:v>0</x:v>
      </x:c>
      <x:c r="S1407" s="35" t="n">
        <x:f>XLOOKUP(H1407,'菜品主数据'!$A$5:$A$24,'菜品主数据'!$G$5:$G$24,0)</x:f>
        <x:v>3.7459999999999996</x:v>
      </x:c>
      <x:c r="T1407" s="35" t="n">
        <x:f>K1407*S1407</x:f>
        <x:v>123.61799999999998</x:v>
      </x:c>
      <x:c r="U1407" s="35" t="n">
        <x:f>L1407-N1407-P1407-R1407-T1407</x:f>
        <x:v>368.082</x:v>
      </x:c>
      <x:c r="V1407" s="21" t="n">
        <x:f>IFERROR(U1407/L1407,0)</x:f>
        <x:v>0.7485906040268456</x:v>
      </x:c>
    </x:row>
    <x:row r="1408">
      <x:c r="A1408" s="19" t="str">
        <x:v>SALE-01404</x:v>
      </x:c>
      <x:c r="B1408" s="34" t="n">
        <x:v>46210.5</x:v>
      </x:c>
      <x:c r="C1408" s="19" t="str">
        <x:v>周二</x:v>
      </x:c>
      <x:c r="D1408" s="19" t="str">
        <x:v>S06</x:v>
      </x:c>
      <x:c r="E1408" s="19" t="str">
        <x:v>蓝钻天城店</x:v>
      </x:c>
      <x:c r="F1408" s="19" t="str">
        <x:v>堂食</x:v>
      </x:c>
      <x:c r="G1408" s="19" t="str">
        <x:v>全日</x:v>
      </x:c>
      <x:c r="H1408" s="19" t="str">
        <x:v>D04</x:v>
      </x:c>
      <x:c r="I1408" s="19" t="str">
        <x:v>酸包菜炒粉皮</x:v>
      </x:c>
      <x:c r="J1408" s="22" t="n">
        <x:f>XLOOKUP(H1408,'菜品主数据'!$A$5:$A$24,'菜品主数据'!$D$5:$D$24,0)</x:f>
        <x:v>16</x:v>
      </x:c>
      <x:c r="K1408" s="31" t="n">
        <x:v>30</x:v>
      </x:c>
      <x:c r="L1408" s="35" t="n">
        <x:f>J1408*K1408</x:f>
        <x:v>480</x:v>
      </x:c>
      <x:c r="M1408" s="36" t="n">
        <x:v>0</x:v>
      </x:c>
      <x:c r="N1408" s="35" t="n">
        <x:f>L1408*M1408</x:f>
        <x:v>0</x:v>
      </x:c>
      <x:c r="O1408" s="37" t="n">
        <x:v>0</x:v>
      </x:c>
      <x:c r="P1408" s="35" t="n">
        <x:f>L1408*O1408</x:f>
        <x:v>0</x:v>
      </x:c>
      <x:c r="Q1408" s="35" t="n">
        <x:v>0</x:v>
      </x:c>
      <x:c r="R1408" s="35" t="n">
        <x:f>K1408*Q1408</x:f>
        <x:v>0</x:v>
      </x:c>
      <x:c r="S1408" s="35" t="n">
        <x:f>XLOOKUP(H1408,'菜品主数据'!$A$5:$A$24,'菜品主数据'!$G$5:$G$24,0)</x:f>
        <x:v>3.978</x:v>
      </x:c>
      <x:c r="T1408" s="35" t="n">
        <x:f>K1408*S1408</x:f>
        <x:v>119.34</x:v>
      </x:c>
      <x:c r="U1408" s="35" t="n">
        <x:f>L1408-N1408-P1408-R1408-T1408</x:f>
        <x:v>360.65999999999997</x:v>
      </x:c>
      <x:c r="V1408" s="21" t="n">
        <x:f>IFERROR(U1408/L1408,0)</x:f>
        <x:v>0.7513749999999999</x:v>
      </x:c>
    </x:row>
    <x:row r="1409">
      <x:c r="A1409" s="19" t="str">
        <x:v>SALE-01405</x:v>
      </x:c>
      <x:c r="B1409" s="34" t="n">
        <x:v>46210.5</x:v>
      </x:c>
      <x:c r="C1409" s="19" t="str">
        <x:v>周二</x:v>
      </x:c>
      <x:c r="D1409" s="19" t="str">
        <x:v>S06</x:v>
      </x:c>
      <x:c r="E1409" s="19" t="str">
        <x:v>蓝钻天城店</x:v>
      </x:c>
      <x:c r="F1409" s="19" t="str">
        <x:v>堂食</x:v>
      </x:c>
      <x:c r="G1409" s="19" t="str">
        <x:v>全日</x:v>
      </x:c>
      <x:c r="H1409" s="19" t="str">
        <x:v>D05</x:v>
      </x:c>
      <x:c r="I1409" s="19" t="str">
        <x:v>麻婆豆腐</x:v>
      </x:c>
      <x:c r="J1409" s="22" t="n">
        <x:f>XLOOKUP(H1409,'菜品主数据'!$A$5:$A$24,'菜品主数据'!$D$5:$D$24,0)</x:f>
        <x:v>9.9</x:v>
      </x:c>
      <x:c r="K1409" s="31" t="n">
        <x:v>49</x:v>
      </x:c>
      <x:c r="L1409" s="35" t="n">
        <x:f>J1409*K1409</x:f>
        <x:v>485.1</x:v>
      </x:c>
      <x:c r="M1409" s="36" t="n">
        <x:v>0</x:v>
      </x:c>
      <x:c r="N1409" s="35" t="n">
        <x:f>L1409*M1409</x:f>
        <x:v>0</x:v>
      </x:c>
      <x:c r="O1409" s="37" t="n">
        <x:v>0</x:v>
      </x:c>
      <x:c r="P1409" s="35" t="n">
        <x:f>L1409*O1409</x:f>
        <x:v>0</x:v>
      </x:c>
      <x:c r="Q1409" s="35" t="n">
        <x:v>0</x:v>
      </x:c>
      <x:c r="R1409" s="35" t="n">
        <x:f>K1409*Q1409</x:f>
        <x:v>0</x:v>
      </x:c>
      <x:c r="S1409" s="35" t="n">
        <x:f>XLOOKUP(H1409,'菜品主数据'!$A$5:$A$24,'菜品主数据'!$G$5:$G$24,0)</x:f>
        <x:v>5.367000000000001</x:v>
      </x:c>
      <x:c r="T1409" s="35" t="n">
        <x:f>K1409*S1409</x:f>
        <x:v>262.98300000000006</x:v>
      </x:c>
      <x:c r="U1409" s="35" t="n">
        <x:f>L1409-N1409-P1409-R1409-T1409</x:f>
        <x:v>222.11699999999996</x:v>
      </x:c>
      <x:c r="V1409" s="21" t="n">
        <x:f>IFERROR(U1409/L1409,0)</x:f>
        <x:v>0.4578787878787878</x:v>
      </x:c>
    </x:row>
    <x:row r="1410">
      <x:c r="A1410" s="19" t="str">
        <x:v>SALE-01406</x:v>
      </x:c>
      <x:c r="B1410" s="34" t="n">
        <x:v>46210.5</x:v>
      </x:c>
      <x:c r="C1410" s="19" t="str">
        <x:v>周二</x:v>
      </x:c>
      <x:c r="D1410" s="19" t="str">
        <x:v>S06</x:v>
      </x:c>
      <x:c r="E1410" s="19" t="str">
        <x:v>蓝钻天城店</x:v>
      </x:c>
      <x:c r="F1410" s="19" t="str">
        <x:v>堂食</x:v>
      </x:c>
      <x:c r="G1410" s="19" t="str">
        <x:v>全日</x:v>
      </x:c>
      <x:c r="H1410" s="19" t="str">
        <x:v>D06</x:v>
      </x:c>
      <x:c r="I1410" s="19" t="str">
        <x:v>剁椒鱼头</x:v>
      </x:c>
      <x:c r="J1410" s="22" t="n">
        <x:f>XLOOKUP(H1410,'菜品主数据'!$A$5:$A$24,'菜品主数据'!$D$5:$D$24,0)</x:f>
        <x:v>39</x:v>
      </x:c>
      <x:c r="K1410" s="31" t="n">
        <x:v>11</x:v>
      </x:c>
      <x:c r="L1410" s="35" t="n">
        <x:f>J1410*K1410</x:f>
        <x:v>429</x:v>
      </x:c>
      <x:c r="M1410" s="36" t="n">
        <x:v>0</x:v>
      </x:c>
      <x:c r="N1410" s="35" t="n">
        <x:f>L1410*M1410</x:f>
        <x:v>0</x:v>
      </x:c>
      <x:c r="O1410" s="37" t="n">
        <x:v>0</x:v>
      </x:c>
      <x:c r="P1410" s="35" t="n">
        <x:f>L1410*O1410</x:f>
        <x:v>0</x:v>
      </x:c>
      <x:c r="Q1410" s="35" t="n">
        <x:v>0</x:v>
      </x:c>
      <x:c r="R1410" s="35" t="n">
        <x:f>K1410*Q1410</x:f>
        <x:v>0</x:v>
      </x:c>
      <x:c r="S1410" s="35" t="n">
        <x:f>XLOOKUP(H1410,'菜品主数据'!$A$5:$A$24,'菜品主数据'!$G$5:$G$24,0)</x:f>
        <x:v>17.446</x:v>
      </x:c>
      <x:c r="T1410" s="35" t="n">
        <x:f>K1410*S1410</x:f>
        <x:v>191.906</x:v>
      </x:c>
      <x:c r="U1410" s="35" t="n">
        <x:f>L1410-N1410-P1410-R1410-T1410</x:f>
        <x:v>237.094</x:v>
      </x:c>
      <x:c r="V1410" s="21" t="n">
        <x:f>IFERROR(U1410/L1410,0)</x:f>
        <x:v>0.5526666666666666</x:v>
      </x:c>
    </x:row>
    <x:row r="1411">
      <x:c r="A1411" s="19" t="str">
        <x:v>SALE-01407</x:v>
      </x:c>
      <x:c r="B1411" s="34" t="n">
        <x:v>46210.5</x:v>
      </x:c>
      <x:c r="C1411" s="19" t="str">
        <x:v>周二</x:v>
      </x:c>
      <x:c r="D1411" s="19" t="str">
        <x:v>S06</x:v>
      </x:c>
      <x:c r="E1411" s="19" t="str">
        <x:v>蓝钻天城店</x:v>
      </x:c>
      <x:c r="F1411" s="19" t="str">
        <x:v>堂食</x:v>
      </x:c>
      <x:c r="G1411" s="19" t="str">
        <x:v>全日</x:v>
      </x:c>
      <x:c r="H1411" s="19" t="str">
        <x:v>D07</x:v>
      </x:c>
      <x:c r="I1411" s="19" t="str">
        <x:v>川味回锅肉</x:v>
      </x:c>
      <x:c r="J1411" s="22" t="n">
        <x:f>XLOOKUP(H1411,'菜品主数据'!$A$5:$A$24,'菜品主数据'!$D$5:$D$24,0)</x:f>
        <x:v>29</x:v>
      </x:c>
      <x:c r="K1411" s="31" t="n">
        <x:v>14</x:v>
      </x:c>
      <x:c r="L1411" s="35" t="n">
        <x:f>J1411*K1411</x:f>
        <x:v>406</x:v>
      </x:c>
      <x:c r="M1411" s="36" t="n">
        <x:v>0</x:v>
      </x:c>
      <x:c r="N1411" s="35" t="n">
        <x:f>L1411*M1411</x:f>
        <x:v>0</x:v>
      </x:c>
      <x:c r="O1411" s="37" t="n">
        <x:v>0</x:v>
      </x:c>
      <x:c r="P1411" s="35" t="n">
        <x:f>L1411*O1411</x:f>
        <x:v>0</x:v>
      </x:c>
      <x:c r="Q1411" s="35" t="n">
        <x:v>0</x:v>
      </x:c>
      <x:c r="R1411" s="35" t="n">
        <x:f>K1411*Q1411</x:f>
        <x:v>0</x:v>
      </x:c>
      <x:c r="S1411" s="35" t="n">
        <x:f>XLOOKUP(H1411,'菜品主数据'!$A$5:$A$24,'菜品主数据'!$G$5:$G$24,0)</x:f>
        <x:v>10.231000000000002</x:v>
      </x:c>
      <x:c r="T1411" s="35" t="n">
        <x:f>K1411*S1411</x:f>
        <x:v>143.23400000000004</x:v>
      </x:c>
      <x:c r="U1411" s="35" t="n">
        <x:f>L1411-N1411-P1411-R1411-T1411</x:f>
        <x:v>262.76599999999996</x:v>
      </x:c>
      <x:c r="V1411" s="21" t="n">
        <x:f>IFERROR(U1411/L1411,0)</x:f>
        <x:v>0.647206896551724</x:v>
      </x:c>
    </x:row>
    <x:row r="1412">
      <x:c r="A1412" s="19" t="str">
        <x:v>SALE-01408</x:v>
      </x:c>
      <x:c r="B1412" s="34" t="n">
        <x:v>46210.5</x:v>
      </x:c>
      <x:c r="C1412" s="19" t="str">
        <x:v>周二</x:v>
      </x:c>
      <x:c r="D1412" s="19" t="str">
        <x:v>S06</x:v>
      </x:c>
      <x:c r="E1412" s="19" t="str">
        <x:v>蓝钻天城店</x:v>
      </x:c>
      <x:c r="F1412" s="19" t="str">
        <x:v>堂食</x:v>
      </x:c>
      <x:c r="G1412" s="19" t="str">
        <x:v>全日</x:v>
      </x:c>
      <x:c r="H1412" s="19" t="str">
        <x:v>D08</x:v>
      </x:c>
      <x:c r="I1412" s="19" t="str">
        <x:v>生炒清远鸡</x:v>
      </x:c>
      <x:c r="J1412" s="22" t="n">
        <x:f>XLOOKUP(H1412,'菜品主数据'!$A$5:$A$24,'菜品主数据'!$D$5:$D$24,0)</x:f>
        <x:v>36</x:v>
      </x:c>
      <x:c r="K1412" s="31" t="n">
        <x:v>11</x:v>
      </x:c>
      <x:c r="L1412" s="35" t="n">
        <x:f>J1412*K1412</x:f>
        <x:v>396</x:v>
      </x:c>
      <x:c r="M1412" s="36" t="n">
        <x:v>0</x:v>
      </x:c>
      <x:c r="N1412" s="35" t="n">
        <x:f>L1412*M1412</x:f>
        <x:v>0</x:v>
      </x:c>
      <x:c r="O1412" s="37" t="n">
        <x:v>0</x:v>
      </x:c>
      <x:c r="P1412" s="35" t="n">
        <x:f>L1412*O1412</x:f>
        <x:v>0</x:v>
      </x:c>
      <x:c r="Q1412" s="35" t="n">
        <x:v>0</x:v>
      </x:c>
      <x:c r="R1412" s="35" t="n">
        <x:f>K1412*Q1412</x:f>
        <x:v>0</x:v>
      </x:c>
      <x:c r="S1412" s="35" t="n">
        <x:f>XLOOKUP(H1412,'菜品主数据'!$A$5:$A$24,'菜品主数据'!$G$5:$G$24,0)</x:f>
        <x:v>13.48</x:v>
      </x:c>
      <x:c r="T1412" s="35" t="n">
        <x:f>K1412*S1412</x:f>
        <x:v>148.28</x:v>
      </x:c>
      <x:c r="U1412" s="35" t="n">
        <x:f>L1412-N1412-P1412-R1412-T1412</x:f>
        <x:v>247.72</x:v>
      </x:c>
      <x:c r="V1412" s="21" t="n">
        <x:f>IFERROR(U1412/L1412,0)</x:f>
        <x:v>0.6255555555555555</x:v>
      </x:c>
    </x:row>
    <x:row r="1413">
      <x:c r="A1413" s="19" t="str">
        <x:v>SALE-01409</x:v>
      </x:c>
      <x:c r="B1413" s="34" t="n">
        <x:v>46210.5</x:v>
      </x:c>
      <x:c r="C1413" s="19" t="str">
        <x:v>周二</x:v>
      </x:c>
      <x:c r="D1413" s="19" t="str">
        <x:v>S06</x:v>
      </x:c>
      <x:c r="E1413" s="19" t="str">
        <x:v>蓝钻天城店</x:v>
      </x:c>
      <x:c r="F1413" s="19" t="str">
        <x:v>堂食</x:v>
      </x:c>
      <x:c r="G1413" s="19" t="str">
        <x:v>全日</x:v>
      </x:c>
      <x:c r="H1413" s="19" t="str">
        <x:v>D09</x:v>
      </x:c>
      <x:c r="I1413" s="19" t="str">
        <x:v>炒豆干</x:v>
      </x:c>
      <x:c r="J1413" s="22" t="n">
        <x:f>XLOOKUP(H1413,'菜品主数据'!$A$5:$A$24,'菜品主数据'!$D$5:$D$24,0)</x:f>
        <x:v>18</x:v>
      </x:c>
      <x:c r="K1413" s="31" t="n">
        <x:v>14</x:v>
      </x:c>
      <x:c r="L1413" s="35" t="n">
        <x:f>J1413*K1413</x:f>
        <x:v>252</x:v>
      </x:c>
      <x:c r="M1413" s="36" t="n">
        <x:v>0</x:v>
      </x:c>
      <x:c r="N1413" s="35" t="n">
        <x:f>L1413*M1413</x:f>
        <x:v>0</x:v>
      </x:c>
      <x:c r="O1413" s="37" t="n">
        <x:v>0</x:v>
      </x:c>
      <x:c r="P1413" s="35" t="n">
        <x:f>L1413*O1413</x:f>
        <x:v>0</x:v>
      </x:c>
      <x:c r="Q1413" s="35" t="n">
        <x:v>0</x:v>
      </x:c>
      <x:c r="R1413" s="35" t="n">
        <x:f>K1413*Q1413</x:f>
        <x:v>0</x:v>
      </x:c>
      <x:c r="S1413" s="35" t="n">
        <x:f>XLOOKUP(H1413,'菜品主数据'!$A$5:$A$24,'菜品主数据'!$G$5:$G$24,0)</x:f>
        <x:v>6.613999999999999</x:v>
      </x:c>
      <x:c r="T1413" s="35" t="n">
        <x:f>K1413*S1413</x:f>
        <x:v>92.59599999999999</x:v>
      </x:c>
      <x:c r="U1413" s="35" t="n">
        <x:f>L1413-N1413-P1413-R1413-T1413</x:f>
        <x:v>159.404</x:v>
      </x:c>
      <x:c r="V1413" s="21" t="n">
        <x:f>IFERROR(U1413/L1413,0)</x:f>
        <x:v>0.6325555555555555</x:v>
      </x:c>
    </x:row>
    <x:row r="1414">
      <x:c r="A1414" s="19" t="str">
        <x:v>SALE-01410</x:v>
      </x:c>
      <x:c r="B1414" s="34" t="n">
        <x:v>46210.5</x:v>
      </x:c>
      <x:c r="C1414" s="19" t="str">
        <x:v>周二</x:v>
      </x:c>
      <x:c r="D1414" s="19" t="str">
        <x:v>S06</x:v>
      </x:c>
      <x:c r="E1414" s="19" t="str">
        <x:v>蓝钻天城店</x:v>
      </x:c>
      <x:c r="F1414" s="19" t="str">
        <x:v>堂食</x:v>
      </x:c>
      <x:c r="G1414" s="19" t="str">
        <x:v>全日</x:v>
      </x:c>
      <x:c r="H1414" s="19" t="str">
        <x:v>D10</x:v>
      </x:c>
      <x:c r="I1414" s="19" t="str">
        <x:v>农家一碗香</x:v>
      </x:c>
      <x:c r="J1414" s="22" t="n">
        <x:f>XLOOKUP(H1414,'菜品主数据'!$A$5:$A$24,'菜品主数据'!$D$5:$D$24,0)</x:f>
        <x:v>22.9</x:v>
      </x:c>
      <x:c r="K1414" s="31" t="n">
        <x:v>17</x:v>
      </x:c>
      <x:c r="L1414" s="35" t="n">
        <x:f>J1414*K1414</x:f>
        <x:v>389.29999999999995</x:v>
      </x:c>
      <x:c r="M1414" s="36" t="n">
        <x:v>0</x:v>
      </x:c>
      <x:c r="N1414" s="35" t="n">
        <x:f>L1414*M1414</x:f>
        <x:v>0</x:v>
      </x:c>
      <x:c r="O1414" s="37" t="n">
        <x:v>0</x:v>
      </x:c>
      <x:c r="P1414" s="35" t="n">
        <x:f>L1414*O1414</x:f>
        <x:v>0</x:v>
      </x:c>
      <x:c r="Q1414" s="35" t="n">
        <x:v>0</x:v>
      </x:c>
      <x:c r="R1414" s="35" t="n">
        <x:f>K1414*Q1414</x:f>
        <x:v>0</x:v>
      </x:c>
      <x:c r="S1414" s="35" t="n">
        <x:f>XLOOKUP(H1414,'菜品主数据'!$A$5:$A$24,'菜品主数据'!$G$5:$G$24,0)</x:f>
        <x:v>9.770200000000003</x:v>
      </x:c>
      <x:c r="T1414" s="35" t="n">
        <x:f>K1414*S1414</x:f>
        <x:v>166.09340000000003</x:v>
      </x:c>
      <x:c r="U1414" s="35" t="n">
        <x:f>L1414-N1414-P1414-R1414-T1414</x:f>
        <x:v>223.20659999999992</x:v>
      </x:c>
      <x:c r="V1414" s="21" t="n">
        <x:f>IFERROR(U1414/L1414,0)</x:f>
        <x:v>0.5733537117903929</x:v>
      </x:c>
    </x:row>
    <x:row r="1415">
      <x:c r="A1415" s="19" t="str">
        <x:v>SALE-01411</x:v>
      </x:c>
      <x:c r="B1415" s="34" t="n">
        <x:v>46210.5</x:v>
      </x:c>
      <x:c r="C1415" s="19" t="str">
        <x:v>周二</x:v>
      </x:c>
      <x:c r="D1415" s="19" t="str">
        <x:v>S06</x:v>
      </x:c>
      <x:c r="E1415" s="19" t="str">
        <x:v>蓝钻天城店</x:v>
      </x:c>
      <x:c r="F1415" s="19" t="str">
        <x:v>堂食</x:v>
      </x:c>
      <x:c r="G1415" s="19" t="str">
        <x:v>全日</x:v>
      </x:c>
      <x:c r="H1415" s="19" t="str">
        <x:v>D11</x:v>
      </x:c>
      <x:c r="I1415" s="19" t="str">
        <x:v>香辣爆肥肠</x:v>
      </x:c>
      <x:c r="J1415" s="22" t="n">
        <x:f>XLOOKUP(H1415,'菜品主数据'!$A$5:$A$24,'菜品主数据'!$D$5:$D$24,0)</x:f>
        <x:v>39</x:v>
      </x:c>
      <x:c r="K1415" s="31" t="n">
        <x:v>7</x:v>
      </x:c>
      <x:c r="L1415" s="35" t="n">
        <x:f>J1415*K1415</x:f>
        <x:v>273</x:v>
      </x:c>
      <x:c r="M1415" s="36" t="n">
        <x:v>0</x:v>
      </x:c>
      <x:c r="N1415" s="35" t="n">
        <x:f>L1415*M1415</x:f>
        <x:v>0</x:v>
      </x:c>
      <x:c r="O1415" s="37" t="n">
        <x:v>0</x:v>
      </x:c>
      <x:c r="P1415" s="35" t="n">
        <x:f>L1415*O1415</x:f>
        <x:v>0</x:v>
      </x:c>
      <x:c r="Q1415" s="35" t="n">
        <x:v>0</x:v>
      </x:c>
      <x:c r="R1415" s="35" t="n">
        <x:f>K1415*Q1415</x:f>
        <x:v>0</x:v>
      </x:c>
      <x:c r="S1415" s="35" t="n">
        <x:f>XLOOKUP(H1415,'菜品主数据'!$A$5:$A$24,'菜品主数据'!$G$5:$G$24,0)</x:f>
        <x:v>10.397</x:v>
      </x:c>
      <x:c r="T1415" s="35" t="n">
        <x:f>K1415*S1415</x:f>
        <x:v>72.779</x:v>
      </x:c>
      <x:c r="U1415" s="35" t="n">
        <x:f>L1415-N1415-P1415-R1415-T1415</x:f>
        <x:v>200.221</x:v>
      </x:c>
      <x:c r="V1415" s="21" t="n">
        <x:f>IFERROR(U1415/L1415,0)</x:f>
        <x:v>0.7334102564102565</x:v>
      </x:c>
    </x:row>
    <x:row r="1416">
      <x:c r="A1416" s="19" t="str">
        <x:v>SALE-01412</x:v>
      </x:c>
      <x:c r="B1416" s="34" t="n">
        <x:v>46210.5</x:v>
      </x:c>
      <x:c r="C1416" s="19" t="str">
        <x:v>周二</x:v>
      </x:c>
      <x:c r="D1416" s="19" t="str">
        <x:v>S06</x:v>
      </x:c>
      <x:c r="E1416" s="19" t="str">
        <x:v>蓝钻天城店</x:v>
      </x:c>
      <x:c r="F1416" s="19" t="str">
        <x:v>堂食</x:v>
      </x:c>
      <x:c r="G1416" s="19" t="str">
        <x:v>全日</x:v>
      </x:c>
      <x:c r="H1416" s="19" t="str">
        <x:v>D12</x:v>
      </x:c>
      <x:c r="I1416" s="19" t="str">
        <x:v>清蒸鲈鱼</x:v>
      </x:c>
      <x:c r="J1416" s="22" t="n">
        <x:f>XLOOKUP(H1416,'菜品主数据'!$A$5:$A$24,'菜品主数据'!$D$5:$D$24,0)</x:f>
        <x:v>39</x:v>
      </x:c>
      <x:c r="K1416" s="31" t="n">
        <x:v>7</x:v>
      </x:c>
      <x:c r="L1416" s="35" t="n">
        <x:f>J1416*K1416</x:f>
        <x:v>273</x:v>
      </x:c>
      <x:c r="M1416" s="36" t="n">
        <x:v>0</x:v>
      </x:c>
      <x:c r="N1416" s="35" t="n">
        <x:f>L1416*M1416</x:f>
        <x:v>0</x:v>
      </x:c>
      <x:c r="O1416" s="37" t="n">
        <x:v>0</x:v>
      </x:c>
      <x:c r="P1416" s="35" t="n">
        <x:f>L1416*O1416</x:f>
        <x:v>0</x:v>
      </x:c>
      <x:c r="Q1416" s="35" t="n">
        <x:v>0</x:v>
      </x:c>
      <x:c r="R1416" s="35" t="n">
        <x:f>K1416*Q1416</x:f>
        <x:v>0</x:v>
      </x:c>
      <x:c r="S1416" s="35" t="n">
        <x:f>XLOOKUP(H1416,'菜品主数据'!$A$5:$A$24,'菜品主数据'!$G$5:$G$24,0)</x:f>
        <x:v>18.874</x:v>
      </x:c>
      <x:c r="T1416" s="35" t="n">
        <x:f>K1416*S1416</x:f>
        <x:v>132.118</x:v>
      </x:c>
      <x:c r="U1416" s="35" t="n">
        <x:f>L1416-N1416-P1416-R1416-T1416</x:f>
        <x:v>140.882</x:v>
      </x:c>
      <x:c r="V1416" s="21" t="n">
        <x:f>IFERROR(U1416/L1416,0)</x:f>
        <x:v>0.516051282051282</x:v>
      </x:c>
    </x:row>
    <x:row r="1417">
      <x:c r="A1417" s="19" t="str">
        <x:v>SALE-01413</x:v>
      </x:c>
      <x:c r="B1417" s="34" t="n">
        <x:v>46210.5</x:v>
      </x:c>
      <x:c r="C1417" s="19" t="str">
        <x:v>周二</x:v>
      </x:c>
      <x:c r="D1417" s="19" t="str">
        <x:v>S06</x:v>
      </x:c>
      <x:c r="E1417" s="19" t="str">
        <x:v>蓝钻天城店</x:v>
      </x:c>
      <x:c r="F1417" s="19" t="str">
        <x:v>堂食</x:v>
      </x:c>
      <x:c r="G1417" s="19" t="str">
        <x:v>全日</x:v>
      </x:c>
      <x:c r="H1417" s="19" t="str">
        <x:v>D13</x:v>
      </x:c>
      <x:c r="I1417" s="19" t="str">
        <x:v>外婆菜炒蛋</x:v>
      </x:c>
      <x:c r="J1417" s="22" t="n">
        <x:f>XLOOKUP(H1417,'菜品主数据'!$A$5:$A$24,'菜品主数据'!$D$5:$D$24,0)</x:f>
        <x:v>18</x:v>
      </x:c>
      <x:c r="K1417" s="31" t="n">
        <x:v>14</x:v>
      </x:c>
      <x:c r="L1417" s="35" t="n">
        <x:f>J1417*K1417</x:f>
        <x:v>252</x:v>
      </x:c>
      <x:c r="M1417" s="36" t="n">
        <x:v>0</x:v>
      </x:c>
      <x:c r="N1417" s="35" t="n">
        <x:f>L1417*M1417</x:f>
        <x:v>0</x:v>
      </x:c>
      <x:c r="O1417" s="37" t="n">
        <x:v>0</x:v>
      </x:c>
      <x:c r="P1417" s="35" t="n">
        <x:f>L1417*O1417</x:f>
        <x:v>0</x:v>
      </x:c>
      <x:c r="Q1417" s="35" t="n">
        <x:v>0</x:v>
      </x:c>
      <x:c r="R1417" s="35" t="n">
        <x:f>K1417*Q1417</x:f>
        <x:v>0</x:v>
      </x:c>
      <x:c r="S1417" s="35" t="n">
        <x:f>XLOOKUP(H1417,'菜品主数据'!$A$5:$A$24,'菜品主数据'!$G$5:$G$24,0)</x:f>
        <x:v>5.403999999999999</x:v>
      </x:c>
      <x:c r="T1417" s="35" t="n">
        <x:f>K1417*S1417</x:f>
        <x:v>75.65599999999999</x:v>
      </x:c>
      <x:c r="U1417" s="35" t="n">
        <x:f>L1417-N1417-P1417-R1417-T1417</x:f>
        <x:v>176.344</x:v>
      </x:c>
      <x:c r="V1417" s="21" t="n">
        <x:f>IFERROR(U1417/L1417,0)</x:f>
        <x:v>0.6997777777777777</x:v>
      </x:c>
    </x:row>
    <x:row r="1418">
      <x:c r="A1418" s="19" t="str">
        <x:v>SALE-01414</x:v>
      </x:c>
      <x:c r="B1418" s="34" t="n">
        <x:v>46210.5</x:v>
      </x:c>
      <x:c r="C1418" s="19" t="str">
        <x:v>周二</x:v>
      </x:c>
      <x:c r="D1418" s="19" t="str">
        <x:v>S06</x:v>
      </x:c>
      <x:c r="E1418" s="19" t="str">
        <x:v>蓝钻天城店</x:v>
      </x:c>
      <x:c r="F1418" s="19" t="str">
        <x:v>堂食</x:v>
      </x:c>
      <x:c r="G1418" s="19" t="str">
        <x:v>全日</x:v>
      </x:c>
      <x:c r="H1418" s="19" t="str">
        <x:v>D14</x:v>
      </x:c>
      <x:c r="I1418" s="19" t="str">
        <x:v>酸辣鸡杂</x:v>
      </x:c>
      <x:c r="J1418" s="22" t="n">
        <x:f>XLOOKUP(H1418,'菜品主数据'!$A$5:$A$24,'菜品主数据'!$D$5:$D$24,0)</x:f>
        <x:v>28</x:v>
      </x:c>
      <x:c r="K1418" s="31" t="n">
        <x:v>8</x:v>
      </x:c>
      <x:c r="L1418" s="35" t="n">
        <x:f>J1418*K1418</x:f>
        <x:v>224</x:v>
      </x:c>
      <x:c r="M1418" s="36" t="n">
        <x:v>0</x:v>
      </x:c>
      <x:c r="N1418" s="35" t="n">
        <x:f>L1418*M1418</x:f>
        <x:v>0</x:v>
      </x:c>
      <x:c r="O1418" s="37" t="n">
        <x:v>0</x:v>
      </x:c>
      <x:c r="P1418" s="35" t="n">
        <x:f>L1418*O1418</x:f>
        <x:v>0</x:v>
      </x:c>
      <x:c r="Q1418" s="35" t="n">
        <x:v>0</x:v>
      </x:c>
      <x:c r="R1418" s="35" t="n">
        <x:f>K1418*Q1418</x:f>
        <x:v>0</x:v>
      </x:c>
      <x:c r="S1418" s="35" t="n">
        <x:f>XLOOKUP(H1418,'菜品主数据'!$A$5:$A$24,'菜品主数据'!$G$5:$G$24,0)</x:f>
        <x:v>8.315000000000001</x:v>
      </x:c>
      <x:c r="T1418" s="35" t="n">
        <x:f>K1418*S1418</x:f>
        <x:v>66.52000000000001</x:v>
      </x:c>
      <x:c r="U1418" s="35" t="n">
        <x:f>L1418-N1418-P1418-R1418-T1418</x:f>
        <x:v>157.48</x:v>
      </x:c>
      <x:c r="V1418" s="21" t="n">
        <x:f>IFERROR(U1418/L1418,0)</x:f>
        <x:v>0.7030357142857142</x:v>
      </x:c>
    </x:row>
    <x:row r="1419">
      <x:c r="A1419" s="19" t="str">
        <x:v>SALE-01415</x:v>
      </x:c>
      <x:c r="B1419" s="34" t="n">
        <x:v>46210.5</x:v>
      </x:c>
      <x:c r="C1419" s="19" t="str">
        <x:v>周二</x:v>
      </x:c>
      <x:c r="D1419" s="19" t="str">
        <x:v>S06</x:v>
      </x:c>
      <x:c r="E1419" s="19" t="str">
        <x:v>蓝钻天城店</x:v>
      </x:c>
      <x:c r="F1419" s="19" t="str">
        <x:v>堂食</x:v>
      </x:c>
      <x:c r="G1419" s="19" t="str">
        <x:v>全日</x:v>
      </x:c>
      <x:c r="H1419" s="19" t="str">
        <x:v>D15</x:v>
      </x:c>
      <x:c r="I1419" s="19" t="str">
        <x:v>湘西土匪猪肝</x:v>
      </x:c>
      <x:c r="J1419" s="22" t="n">
        <x:f>XLOOKUP(H1419,'菜品主数据'!$A$5:$A$24,'菜品主数据'!$D$5:$D$24,0)</x:f>
        <x:v>26</x:v>
      </x:c>
      <x:c r="K1419" s="31" t="n">
        <x:v>7</x:v>
      </x:c>
      <x:c r="L1419" s="35" t="n">
        <x:f>J1419*K1419</x:f>
        <x:v>182</x:v>
      </x:c>
      <x:c r="M1419" s="36" t="n">
        <x:v>0</x:v>
      </x:c>
      <x:c r="N1419" s="35" t="n">
        <x:f>L1419*M1419</x:f>
        <x:v>0</x:v>
      </x:c>
      <x:c r="O1419" s="37" t="n">
        <x:v>0</x:v>
      </x:c>
      <x:c r="P1419" s="35" t="n">
        <x:f>L1419*O1419</x:f>
        <x:v>0</x:v>
      </x:c>
      <x:c r="Q1419" s="35" t="n">
        <x:v>0</x:v>
      </x:c>
      <x:c r="R1419" s="35" t="n">
        <x:f>K1419*Q1419</x:f>
        <x:v>0</x:v>
      </x:c>
      <x:c r="S1419" s="35" t="n">
        <x:f>XLOOKUP(H1419,'菜品主数据'!$A$5:$A$24,'菜品主数据'!$G$5:$G$24,0)</x:f>
        <x:v>6.3759999999999994</x:v>
      </x:c>
      <x:c r="T1419" s="35" t="n">
        <x:f>K1419*S1419</x:f>
        <x:v>44.632</x:v>
      </x:c>
      <x:c r="U1419" s="35" t="n">
        <x:f>L1419-N1419-P1419-R1419-T1419</x:f>
        <x:v>137.368</x:v>
      </x:c>
      <x:c r="V1419" s="21" t="n">
        <x:f>IFERROR(U1419/L1419,0)</x:f>
        <x:v>0.7547692307692307</x:v>
      </x:c>
    </x:row>
    <x:row r="1420">
      <x:c r="A1420" s="19" t="str">
        <x:v>SALE-01416</x:v>
      </x:c>
      <x:c r="B1420" s="34" t="n">
        <x:v>46210.5</x:v>
      </x:c>
      <x:c r="C1420" s="19" t="str">
        <x:v>周二</x:v>
      </x:c>
      <x:c r="D1420" s="19" t="str">
        <x:v>S06</x:v>
      </x:c>
      <x:c r="E1420" s="19" t="str">
        <x:v>蓝钻天城店</x:v>
      </x:c>
      <x:c r="F1420" s="19" t="str">
        <x:v>堂食</x:v>
      </x:c>
      <x:c r="G1420" s="19" t="str">
        <x:v>全日</x:v>
      </x:c>
      <x:c r="H1420" s="19" t="str">
        <x:v>D16</x:v>
      </x:c>
      <x:c r="I1420" s="19" t="str">
        <x:v>小豆角炒五花</x:v>
      </x:c>
      <x:c r="J1420" s="22" t="n">
        <x:f>XLOOKUP(H1420,'菜品主数据'!$A$5:$A$24,'菜品主数据'!$D$5:$D$24,0)</x:f>
        <x:v>25</x:v>
      </x:c>
      <x:c r="K1420" s="31" t="n">
        <x:v>7</x:v>
      </x:c>
      <x:c r="L1420" s="35" t="n">
        <x:f>J1420*K1420</x:f>
        <x:v>175</x:v>
      </x:c>
      <x:c r="M1420" s="36" t="n">
        <x:v>0</x:v>
      </x:c>
      <x:c r="N1420" s="35" t="n">
        <x:f>L1420*M1420</x:f>
        <x:v>0</x:v>
      </x:c>
      <x:c r="O1420" s="37" t="n">
        <x:v>0</x:v>
      </x:c>
      <x:c r="P1420" s="35" t="n">
        <x:f>L1420*O1420</x:f>
        <x:v>0</x:v>
      </x:c>
      <x:c r="Q1420" s="35" t="n">
        <x:v>0</x:v>
      </x:c>
      <x:c r="R1420" s="35" t="n">
        <x:f>K1420*Q1420</x:f>
        <x:v>0</x:v>
      </x:c>
      <x:c r="S1420" s="35" t="n">
        <x:f>XLOOKUP(H1420,'菜品主数据'!$A$5:$A$24,'菜品主数据'!$G$5:$G$24,0)</x:f>
        <x:v>8.184</x:v>
      </x:c>
      <x:c r="T1420" s="35" t="n">
        <x:f>K1420*S1420</x:f>
        <x:v>57.288</x:v>
      </x:c>
      <x:c r="U1420" s="35" t="n">
        <x:f>L1420-N1420-P1420-R1420-T1420</x:f>
        <x:v>117.712</x:v>
      </x:c>
      <x:c r="V1420" s="21" t="n">
        <x:f>IFERROR(U1420/L1420,0)</x:f>
        <x:v>0.67264</x:v>
      </x:c>
    </x:row>
    <x:row r="1421">
      <x:c r="A1421" s="19" t="str">
        <x:v>SALE-01417</x:v>
      </x:c>
      <x:c r="B1421" s="34" t="n">
        <x:v>46210.5</x:v>
      </x:c>
      <x:c r="C1421" s="19" t="str">
        <x:v>周二</x:v>
      </x:c>
      <x:c r="D1421" s="19" t="str">
        <x:v>S06</x:v>
      </x:c>
      <x:c r="E1421" s="19" t="str">
        <x:v>蓝钻天城店</x:v>
      </x:c>
      <x:c r="F1421" s="19" t="str">
        <x:v>堂食</x:v>
      </x:c>
      <x:c r="G1421" s="19" t="str">
        <x:v>全日</x:v>
      </x:c>
      <x:c r="H1421" s="19" t="str">
        <x:v>D17</x:v>
      </x:c>
      <x:c r="I1421" s="19" t="str">
        <x:v>蒜蓉粉丝虾</x:v>
      </x:c>
      <x:c r="J1421" s="22" t="n">
        <x:f>XLOOKUP(H1421,'菜品主数据'!$A$5:$A$24,'菜品主数据'!$D$5:$D$24,0)</x:f>
        <x:v>36</x:v>
      </x:c>
      <x:c r="K1421" s="31" t="n">
        <x:v>5</x:v>
      </x:c>
      <x:c r="L1421" s="35" t="n">
        <x:f>J1421*K1421</x:f>
        <x:v>180</x:v>
      </x:c>
      <x:c r="M1421" s="36" t="n">
        <x:v>0</x:v>
      </x:c>
      <x:c r="N1421" s="35" t="n">
        <x:f>L1421*M1421</x:f>
        <x:v>0</x:v>
      </x:c>
      <x:c r="O1421" s="37" t="n">
        <x:v>0</x:v>
      </x:c>
      <x:c r="P1421" s="35" t="n">
        <x:f>L1421*O1421</x:f>
        <x:v>0</x:v>
      </x:c>
      <x:c r="Q1421" s="35" t="n">
        <x:v>0</x:v>
      </x:c>
      <x:c r="R1421" s="35" t="n">
        <x:f>K1421*Q1421</x:f>
        <x:v>0</x:v>
      </x:c>
      <x:c r="S1421" s="35" t="n">
        <x:f>XLOOKUP(H1421,'菜品主数据'!$A$5:$A$24,'菜品主数据'!$G$5:$G$24,0)</x:f>
        <x:v>13.594</x:v>
      </x:c>
      <x:c r="T1421" s="35" t="n">
        <x:f>K1421*S1421</x:f>
        <x:v>67.97</x:v>
      </x:c>
      <x:c r="U1421" s="35" t="n">
        <x:f>L1421-N1421-P1421-R1421-T1421</x:f>
        <x:v>112.03</x:v>
      </x:c>
      <x:c r="V1421" s="21" t="n">
        <x:f>IFERROR(U1421/L1421,0)</x:f>
        <x:v>0.6223888888888889</x:v>
      </x:c>
    </x:row>
    <x:row r="1422">
      <x:c r="A1422" s="19" t="str">
        <x:v>SALE-01418</x:v>
      </x:c>
      <x:c r="B1422" s="34" t="n">
        <x:v>46210.5</x:v>
      </x:c>
      <x:c r="C1422" s="19" t="str">
        <x:v>周二</x:v>
      </x:c>
      <x:c r="D1422" s="19" t="str">
        <x:v>S06</x:v>
      </x:c>
      <x:c r="E1422" s="19" t="str">
        <x:v>蓝钻天城店</x:v>
      </x:c>
      <x:c r="F1422" s="19" t="str">
        <x:v>堂食</x:v>
      </x:c>
      <x:c r="G1422" s="19" t="str">
        <x:v>全日</x:v>
      </x:c>
      <x:c r="H1422" s="19" t="str">
        <x:v>D18</x:v>
      </x:c>
      <x:c r="I1422" s="19" t="str">
        <x:v>青椒炒油麦菜</x:v>
      </x:c>
      <x:c r="J1422" s="22" t="n">
        <x:f>XLOOKUP(H1422,'菜品主数据'!$A$5:$A$24,'菜品主数据'!$D$5:$D$24,0)</x:f>
        <x:v>18</x:v>
      </x:c>
      <x:c r="K1422" s="31" t="n">
        <x:v>7</x:v>
      </x:c>
      <x:c r="L1422" s="35" t="n">
        <x:f>J1422*K1422</x:f>
        <x:v>126</x:v>
      </x:c>
      <x:c r="M1422" s="36" t="n">
        <x:v>0</x:v>
      </x:c>
      <x:c r="N1422" s="35" t="n">
        <x:f>L1422*M1422</x:f>
        <x:v>0</x:v>
      </x:c>
      <x:c r="O1422" s="37" t="n">
        <x:v>0</x:v>
      </x:c>
      <x:c r="P1422" s="35" t="n">
        <x:f>L1422*O1422</x:f>
        <x:v>0</x:v>
      </x:c>
      <x:c r="Q1422" s="35" t="n">
        <x:v>0</x:v>
      </x:c>
      <x:c r="R1422" s="35" t="n">
        <x:f>K1422*Q1422</x:f>
        <x:v>0</x:v>
      </x:c>
      <x:c r="S1422" s="35" t="n">
        <x:f>XLOOKUP(H1422,'菜品主数据'!$A$5:$A$24,'菜品主数据'!$G$5:$G$24,0)</x:f>
        <x:v>3.1759999999999993</x:v>
      </x:c>
      <x:c r="T1422" s="35" t="n">
        <x:f>K1422*S1422</x:f>
        <x:v>22.231999999999996</x:v>
      </x:c>
      <x:c r="U1422" s="35" t="n">
        <x:f>L1422-N1422-P1422-R1422-T1422</x:f>
        <x:v>103.768</x:v>
      </x:c>
      <x:c r="V1422" s="21" t="n">
        <x:f>IFERROR(U1422/L1422,0)</x:f>
        <x:v>0.8235555555555556</x:v>
      </x:c>
    </x:row>
    <x:row r="1423">
      <x:c r="A1423" s="19" t="str">
        <x:v>SALE-01419</x:v>
      </x:c>
      <x:c r="B1423" s="34" t="n">
        <x:v>46210.5</x:v>
      </x:c>
      <x:c r="C1423" s="19" t="str">
        <x:v>周二</x:v>
      </x:c>
      <x:c r="D1423" s="19" t="str">
        <x:v>S06</x:v>
      </x:c>
      <x:c r="E1423" s="19" t="str">
        <x:v>蓝钻天城店</x:v>
      </x:c>
      <x:c r="F1423" s="19" t="str">
        <x:v>堂食</x:v>
      </x:c>
      <x:c r="G1423" s="19" t="str">
        <x:v>全日</x:v>
      </x:c>
      <x:c r="H1423" s="19" t="str">
        <x:v>D19</x:v>
      </x:c>
      <x:c r="I1423" s="19" t="str">
        <x:v>酸萝卜炒鸡杂</x:v>
      </x:c>
      <x:c r="J1423" s="22" t="n">
        <x:f>XLOOKUP(H1423,'菜品主数据'!$A$5:$A$24,'菜品主数据'!$D$5:$D$24,0)</x:f>
        <x:v>25</x:v>
      </x:c>
      <x:c r="K1423" s="31" t="n">
        <x:v>6</x:v>
      </x:c>
      <x:c r="L1423" s="35" t="n">
        <x:f>J1423*K1423</x:f>
        <x:v>150</x:v>
      </x:c>
      <x:c r="M1423" s="36" t="n">
        <x:v>0</x:v>
      </x:c>
      <x:c r="N1423" s="35" t="n">
        <x:f>L1423*M1423</x:f>
        <x:v>0</x:v>
      </x:c>
      <x:c r="O1423" s="37" t="n">
        <x:v>0</x:v>
      </x:c>
      <x:c r="P1423" s="35" t="n">
        <x:f>L1423*O1423</x:f>
        <x:v>0</x:v>
      </x:c>
      <x:c r="Q1423" s="35" t="n">
        <x:v>0</x:v>
      </x:c>
      <x:c r="R1423" s="35" t="n">
        <x:f>K1423*Q1423</x:f>
        <x:v>0</x:v>
      </x:c>
      <x:c r="S1423" s="35" t="n">
        <x:f>XLOOKUP(H1423,'菜品主数据'!$A$5:$A$24,'菜品主数据'!$G$5:$G$24,0)</x:f>
        <x:v>7.9399999999999995</x:v>
      </x:c>
      <x:c r="T1423" s="35" t="n">
        <x:f>K1423*S1423</x:f>
        <x:v>47.64</x:v>
      </x:c>
      <x:c r="U1423" s="35" t="n">
        <x:f>L1423-N1423-P1423-R1423-T1423</x:f>
        <x:v>102.36</x:v>
      </x:c>
      <x:c r="V1423" s="21" t="n">
        <x:f>IFERROR(U1423/L1423,0)</x:f>
        <x:v>0.6824</x:v>
      </x:c>
    </x:row>
    <x:row r="1424">
      <x:c r="A1424" s="19" t="str">
        <x:v>SALE-01420</x:v>
      </x:c>
      <x:c r="B1424" s="34" t="n">
        <x:v>46210.5</x:v>
      </x:c>
      <x:c r="C1424" s="19" t="str">
        <x:v>周二</x:v>
      </x:c>
      <x:c r="D1424" s="19" t="str">
        <x:v>S06</x:v>
      </x:c>
      <x:c r="E1424" s="19" t="str">
        <x:v>蓝钻天城店</x:v>
      </x:c>
      <x:c r="F1424" s="19" t="str">
        <x:v>堂食</x:v>
      </x:c>
      <x:c r="G1424" s="19" t="str">
        <x:v>全日</x:v>
      </x:c>
      <x:c r="H1424" s="19" t="str">
        <x:v>D20</x:v>
      </x:c>
      <x:c r="I1424" s="19" t="str">
        <x:v>雪菜肉末青豆</x:v>
      </x:c>
      <x:c r="J1424" s="22" t="n">
        <x:f>XLOOKUP(H1424,'菜品主数据'!$A$5:$A$24,'菜品主数据'!$D$5:$D$24,0)</x:f>
        <x:v>18</x:v>
      </x:c>
      <x:c r="K1424" s="31" t="n">
        <x:v>7</x:v>
      </x:c>
      <x:c r="L1424" s="35" t="n">
        <x:f>J1424*K1424</x:f>
        <x:v>126</x:v>
      </x:c>
      <x:c r="M1424" s="36" t="n">
        <x:v>0</x:v>
      </x:c>
      <x:c r="N1424" s="35" t="n">
        <x:f>L1424*M1424</x:f>
        <x:v>0</x:v>
      </x:c>
      <x:c r="O1424" s="37" t="n">
        <x:v>0</x:v>
      </x:c>
      <x:c r="P1424" s="35" t="n">
        <x:f>L1424*O1424</x:f>
        <x:v>0</x:v>
      </x:c>
      <x:c r="Q1424" s="35" t="n">
        <x:v>0</x:v>
      </x:c>
      <x:c r="R1424" s="35" t="n">
        <x:f>K1424*Q1424</x:f>
        <x:v>0</x:v>
      </x:c>
      <x:c r="S1424" s="35" t="n">
        <x:f>XLOOKUP(H1424,'菜品主数据'!$A$5:$A$24,'菜品主数据'!$G$5:$G$24,0)</x:f>
        <x:v>7.303999999999999</x:v>
      </x:c>
      <x:c r="T1424" s="35" t="n">
        <x:f>K1424*S1424</x:f>
        <x:v>51.12799999999999</x:v>
      </x:c>
      <x:c r="U1424" s="35" t="n">
        <x:f>L1424-N1424-P1424-R1424-T1424</x:f>
        <x:v>74.87200000000001</x:v>
      </x:c>
      <x:c r="V1424" s="21" t="n">
        <x:f>IFERROR(U1424/L1424,0)</x:f>
        <x:v>0.5942222222222223</x:v>
      </x:c>
    </x:row>
    <x:row r="1425">
      <x:c r="A1425" s="19" t="str">
        <x:v>SALE-01421</x:v>
      </x:c>
      <x:c r="B1425" s="34" t="n">
        <x:v>46210.5</x:v>
      </x:c>
      <x:c r="C1425" s="19" t="str">
        <x:v>周二</x:v>
      </x:c>
      <x:c r="D1425" s="19" t="str">
        <x:v>S06</x:v>
      </x:c>
      <x:c r="E1425" s="19" t="str">
        <x:v>蓝钻天城店</x:v>
      </x:c>
      <x:c r="F1425" s="19" t="str">
        <x:v>外卖</x:v>
      </x:c>
      <x:c r="G1425" s="19" t="str">
        <x:v>全日</x:v>
      </x:c>
      <x:c r="H1425" s="19" t="str">
        <x:v>D01</x:v>
      </x:c>
      <x:c r="I1425" s="19" t="str">
        <x:v>辣椒炒肉</x:v>
      </x:c>
      <x:c r="J1425" s="22" t="n">
        <x:f>XLOOKUP(H1425,'菜品主数据'!$A$5:$A$24,'菜品主数据'!$D$5:$D$24,0)</x:f>
        <x:v>29</x:v>
      </x:c>
      <x:c r="K1425" s="31" t="n">
        <x:v>4</x:v>
      </x:c>
      <x:c r="L1425" s="35" t="n">
        <x:f>J1425*K1425</x:f>
        <x:v>116</x:v>
      </x:c>
      <x:c r="M1425" s="36" t="n">
        <x:v>0.08</x:v>
      </x:c>
      <x:c r="N1425" s="35" t="n">
        <x:f>L1425*M1425</x:f>
        <x:v>9.28</x:v>
      </x:c>
      <x:c r="O1425" s="37" t="n">
        <x:v>0.18</x:v>
      </x:c>
      <x:c r="P1425" s="35" t="n">
        <x:f>L1425*O1425</x:f>
        <x:v>20.88</x:v>
      </x:c>
      <x:c r="Q1425" s="35" t="n">
        <x:v>1.2</x:v>
      </x:c>
      <x:c r="R1425" s="35" t="n">
        <x:f>K1425*Q1425</x:f>
        <x:v>4.8</x:v>
      </x:c>
      <x:c r="S1425" s="35" t="n">
        <x:f>XLOOKUP(H1425,'菜品主数据'!$A$5:$A$24,'菜品主数据'!$G$5:$G$24,0)</x:f>
        <x:v>8.634400000000001</x:v>
      </x:c>
      <x:c r="T1425" s="35" t="n">
        <x:f>K1425*S1425</x:f>
        <x:v>34.537600000000005</x:v>
      </x:c>
      <x:c r="U1425" s="35" t="n">
        <x:f>L1425-N1425-P1425-R1425-T1425</x:f>
        <x:v>46.5024</x:v>
      </x:c>
      <x:c r="V1425" s="21" t="n">
        <x:f>IFERROR(U1425/L1425,0)</x:f>
        <x:v>0.40088275862068967</x:v>
      </x:c>
    </x:row>
    <x:row r="1426">
      <x:c r="A1426" s="19" t="str">
        <x:v>SALE-01422</x:v>
      </x:c>
      <x:c r="B1426" s="34" t="n">
        <x:v>46210.5</x:v>
      </x:c>
      <x:c r="C1426" s="19" t="str">
        <x:v>周二</x:v>
      </x:c>
      <x:c r="D1426" s="19" t="str">
        <x:v>S06</x:v>
      </x:c>
      <x:c r="E1426" s="19" t="str">
        <x:v>蓝钻天城店</x:v>
      </x:c>
      <x:c r="F1426" s="19" t="str">
        <x:v>外卖</x:v>
      </x:c>
      <x:c r="G1426" s="19" t="str">
        <x:v>全日</x:v>
      </x:c>
      <x:c r="H1426" s="19" t="str">
        <x:v>D02</x:v>
      </x:c>
      <x:c r="I1426" s="19" t="str">
        <x:v>小炒黄牛肉</x:v>
      </x:c>
      <x:c r="J1426" s="22" t="n">
        <x:f>XLOOKUP(H1426,'菜品主数据'!$A$5:$A$24,'菜品主数据'!$D$5:$D$24,0)</x:f>
        <x:v>49</x:v>
      </x:c>
      <x:c r="K1426" s="31" t="n">
        <x:v>9</x:v>
      </x:c>
      <x:c r="L1426" s="35" t="n">
        <x:f>J1426*K1426</x:f>
        <x:v>441</x:v>
      </x:c>
      <x:c r="M1426" s="36" t="n">
        <x:v>0.08</x:v>
      </x:c>
      <x:c r="N1426" s="35" t="n">
        <x:f>L1426*M1426</x:f>
        <x:v>35.28</x:v>
      </x:c>
      <x:c r="O1426" s="37" t="n">
        <x:v>0.18</x:v>
      </x:c>
      <x:c r="P1426" s="35" t="n">
        <x:f>L1426*O1426</x:f>
        <x:v>79.38</x:v>
      </x:c>
      <x:c r="Q1426" s="35" t="n">
        <x:v>1.2</x:v>
      </x:c>
      <x:c r="R1426" s="35" t="n">
        <x:f>K1426*Q1426</x:f>
        <x:v>10.799999999999999</x:v>
      </x:c>
      <x:c r="S1426" s="35" t="n">
        <x:f>XLOOKUP(H1426,'菜品主数据'!$A$5:$A$24,'菜品主数据'!$G$5:$G$24,0)</x:f>
        <x:v>17.577</x:v>
      </x:c>
      <x:c r="T1426" s="35" t="n">
        <x:f>K1426*S1426</x:f>
        <x:v>158.193</x:v>
      </x:c>
      <x:c r="U1426" s="35" t="n">
        <x:f>L1426-N1426-P1426-R1426-T1426</x:f>
        <x:v>157.347</x:v>
      </x:c>
      <x:c r="V1426" s="21" t="n">
        <x:f>IFERROR(U1426/L1426,0)</x:f>
        <x:v>0.356795918367347</x:v>
      </x:c>
    </x:row>
    <x:row r="1427">
      <x:c r="A1427" s="19" t="str">
        <x:v>SALE-01423</x:v>
      </x:c>
      <x:c r="B1427" s="34" t="n">
        <x:v>46210.5</x:v>
      </x:c>
      <x:c r="C1427" s="19" t="str">
        <x:v>周二</x:v>
      </x:c>
      <x:c r="D1427" s="19" t="str">
        <x:v>S06</x:v>
      </x:c>
      <x:c r="E1427" s="19" t="str">
        <x:v>蓝钻天城店</x:v>
      </x:c>
      <x:c r="F1427" s="19" t="str">
        <x:v>外卖</x:v>
      </x:c>
      <x:c r="G1427" s="19" t="str">
        <x:v>全日</x:v>
      </x:c>
      <x:c r="H1427" s="19" t="str">
        <x:v>D03</x:v>
      </x:c>
      <x:c r="I1427" s="19" t="str">
        <x:v>香醋炒蛋</x:v>
      </x:c>
      <x:c r="J1427" s="22" t="n">
        <x:f>XLOOKUP(H1427,'菜品主数据'!$A$5:$A$24,'菜品主数据'!$D$5:$D$24,0)</x:f>
        <x:v>14.9</x:v>
      </x:c>
      <x:c r="K1427" s="31" t="n">
        <x:v>4</x:v>
      </x:c>
      <x:c r="L1427" s="35" t="n">
        <x:f>J1427*K1427</x:f>
        <x:v>59.6</x:v>
      </x:c>
      <x:c r="M1427" s="36" t="n">
        <x:v>0.08</x:v>
      </x:c>
      <x:c r="N1427" s="35" t="n">
        <x:f>L1427*M1427</x:f>
        <x:v>4.768</x:v>
      </x:c>
      <x:c r="O1427" s="37" t="n">
        <x:v>0.18</x:v>
      </x:c>
      <x:c r="P1427" s="35" t="n">
        <x:f>L1427*O1427</x:f>
        <x:v>10.728</x:v>
      </x:c>
      <x:c r="Q1427" s="35" t="n">
        <x:v>1.2</x:v>
      </x:c>
      <x:c r="R1427" s="35" t="n">
        <x:f>K1427*Q1427</x:f>
        <x:v>4.8</x:v>
      </x:c>
      <x:c r="S1427" s="35" t="n">
        <x:f>XLOOKUP(H1427,'菜品主数据'!$A$5:$A$24,'菜品主数据'!$G$5:$G$24,0)</x:f>
        <x:v>3.7459999999999996</x:v>
      </x:c>
      <x:c r="T1427" s="35" t="n">
        <x:f>K1427*S1427</x:f>
        <x:v>14.983999999999998</x:v>
      </x:c>
      <x:c r="U1427" s="35" t="n">
        <x:f>L1427-N1427-P1427-R1427-T1427</x:f>
        <x:v>24.320000000000004</x:v>
      </x:c>
      <x:c r="V1427" s="21" t="n">
        <x:f>IFERROR(U1427/L1427,0)</x:f>
        <x:v>0.40805369127516783</x:v>
      </x:c>
    </x:row>
    <x:row r="1428">
      <x:c r="A1428" s="19" t="str">
        <x:v>SALE-01424</x:v>
      </x:c>
      <x:c r="B1428" s="34" t="n">
        <x:v>46210.5</x:v>
      </x:c>
      <x:c r="C1428" s="19" t="str">
        <x:v>周二</x:v>
      </x:c>
      <x:c r="D1428" s="19" t="str">
        <x:v>S06</x:v>
      </x:c>
      <x:c r="E1428" s="19" t="str">
        <x:v>蓝钻天城店</x:v>
      </x:c>
      <x:c r="F1428" s="19" t="str">
        <x:v>外卖</x:v>
      </x:c>
      <x:c r="G1428" s="19" t="str">
        <x:v>全日</x:v>
      </x:c>
      <x:c r="H1428" s="19" t="str">
        <x:v>D04</x:v>
      </x:c>
      <x:c r="I1428" s="19" t="str">
        <x:v>酸包菜炒粉皮</x:v>
      </x:c>
      <x:c r="J1428" s="22" t="n">
        <x:f>XLOOKUP(H1428,'菜品主数据'!$A$5:$A$24,'菜品主数据'!$D$5:$D$24,0)</x:f>
        <x:v>16</x:v>
      </x:c>
      <x:c r="K1428" s="31" t="n">
        <x:v>3</x:v>
      </x:c>
      <x:c r="L1428" s="35" t="n">
        <x:f>J1428*K1428</x:f>
        <x:v>48</x:v>
      </x:c>
      <x:c r="M1428" s="36" t="n">
        <x:v>0.08</x:v>
      </x:c>
      <x:c r="N1428" s="35" t="n">
        <x:f>L1428*M1428</x:f>
        <x:v>3.84</x:v>
      </x:c>
      <x:c r="O1428" s="37" t="n">
        <x:v>0.18</x:v>
      </x:c>
      <x:c r="P1428" s="35" t="n">
        <x:f>L1428*O1428</x:f>
        <x:v>8.64</x:v>
      </x:c>
      <x:c r="Q1428" s="35" t="n">
        <x:v>1.2</x:v>
      </x:c>
      <x:c r="R1428" s="35" t="n">
        <x:f>K1428*Q1428</x:f>
        <x:v>3.5999999999999996</x:v>
      </x:c>
      <x:c r="S1428" s="35" t="n">
        <x:f>XLOOKUP(H1428,'菜品主数据'!$A$5:$A$24,'菜品主数据'!$G$5:$G$24,0)</x:f>
        <x:v>3.978</x:v>
      </x:c>
      <x:c r="T1428" s="35" t="n">
        <x:f>K1428*S1428</x:f>
        <x:v>11.934000000000001</x:v>
      </x:c>
      <x:c r="U1428" s="35" t="n">
        <x:f>L1428-N1428-P1428-R1428-T1428</x:f>
        <x:v>19.985999999999994</x:v>
      </x:c>
      <x:c r="V1428" s="21" t="n">
        <x:f>IFERROR(U1428/L1428,0)</x:f>
        <x:v>0.4163749999999999</x:v>
      </x:c>
    </x:row>
    <x:row r="1429">
      <x:c r="A1429" s="19" t="str">
        <x:v>SALE-01425</x:v>
      </x:c>
      <x:c r="B1429" s="34" t="n">
        <x:v>46210.5</x:v>
      </x:c>
      <x:c r="C1429" s="19" t="str">
        <x:v>周二</x:v>
      </x:c>
      <x:c r="D1429" s="19" t="str">
        <x:v>S06</x:v>
      </x:c>
      <x:c r="E1429" s="19" t="str">
        <x:v>蓝钻天城店</x:v>
      </x:c>
      <x:c r="F1429" s="19" t="str">
        <x:v>外卖</x:v>
      </x:c>
      <x:c r="G1429" s="19" t="str">
        <x:v>全日</x:v>
      </x:c>
      <x:c r="H1429" s="19" t="str">
        <x:v>D05</x:v>
      </x:c>
      <x:c r="I1429" s="19" t="str">
        <x:v>麻婆豆腐</x:v>
      </x:c>
      <x:c r="J1429" s="22" t="n">
        <x:f>XLOOKUP(H1429,'菜品主数据'!$A$5:$A$24,'菜品主数据'!$D$5:$D$24,0)</x:f>
        <x:v>9.9</x:v>
      </x:c>
      <x:c r="K1429" s="31" t="n">
        <x:v>4</x:v>
      </x:c>
      <x:c r="L1429" s="35" t="n">
        <x:f>J1429*K1429</x:f>
        <x:v>39.6</x:v>
      </x:c>
      <x:c r="M1429" s="36" t="n">
        <x:v>0.08</x:v>
      </x:c>
      <x:c r="N1429" s="35" t="n">
        <x:f>L1429*M1429</x:f>
        <x:v>3.168</x:v>
      </x:c>
      <x:c r="O1429" s="37" t="n">
        <x:v>0.18</x:v>
      </x:c>
      <x:c r="P1429" s="35" t="n">
        <x:f>L1429*O1429</x:f>
        <x:v>7.128</x:v>
      </x:c>
      <x:c r="Q1429" s="35" t="n">
        <x:v>1.2</x:v>
      </x:c>
      <x:c r="R1429" s="35" t="n">
        <x:f>K1429*Q1429</x:f>
        <x:v>4.8</x:v>
      </x:c>
      <x:c r="S1429" s="35" t="n">
        <x:f>XLOOKUP(H1429,'菜品主数据'!$A$5:$A$24,'菜品主数据'!$G$5:$G$24,0)</x:f>
        <x:v>5.367000000000001</x:v>
      </x:c>
      <x:c r="T1429" s="35" t="n">
        <x:f>K1429*S1429</x:f>
        <x:v>21.468000000000004</x:v>
      </x:c>
      <x:c r="U1429" s="35" t="n">
        <x:f>L1429-N1429-P1429-R1429-T1429</x:f>
        <x:v>3.035999999999998</x:v>
      </x:c>
      <x:c r="V1429" s="21" t="n">
        <x:f>IFERROR(U1429/L1429,0)</x:f>
        <x:v>0.0766666666666666</x:v>
      </x:c>
    </x:row>
    <x:row r="1430">
      <x:c r="A1430" s="19" t="str">
        <x:v>SALE-01426</x:v>
      </x:c>
      <x:c r="B1430" s="34" t="n">
        <x:v>46210.5</x:v>
      </x:c>
      <x:c r="C1430" s="19" t="str">
        <x:v>周二</x:v>
      </x:c>
      <x:c r="D1430" s="19" t="str">
        <x:v>S06</x:v>
      </x:c>
      <x:c r="E1430" s="19" t="str">
        <x:v>蓝钻天城店</x:v>
      </x:c>
      <x:c r="F1430" s="19" t="str">
        <x:v>外卖</x:v>
      </x:c>
      <x:c r="G1430" s="19" t="str">
        <x:v>全日</x:v>
      </x:c>
      <x:c r="H1430" s="19" t="str">
        <x:v>D06</x:v>
      </x:c>
      <x:c r="I1430" s="19" t="str">
        <x:v>剁椒鱼头</x:v>
      </x:c>
      <x:c r="J1430" s="22" t="n">
        <x:f>XLOOKUP(H1430,'菜品主数据'!$A$5:$A$24,'菜品主数据'!$D$5:$D$24,0)</x:f>
        <x:v>39</x:v>
      </x:c>
      <x:c r="K1430" s="31" t="n">
        <x:v>1</x:v>
      </x:c>
      <x:c r="L1430" s="35" t="n">
        <x:f>J1430*K1430</x:f>
        <x:v>39</x:v>
      </x:c>
      <x:c r="M1430" s="36" t="n">
        <x:v>0.08</x:v>
      </x:c>
      <x:c r="N1430" s="35" t="n">
        <x:f>L1430*M1430</x:f>
        <x:v>3.12</x:v>
      </x:c>
      <x:c r="O1430" s="37" t="n">
        <x:v>0.18</x:v>
      </x:c>
      <x:c r="P1430" s="35" t="n">
        <x:f>L1430*O1430</x:f>
        <x:v>7.02</x:v>
      </x:c>
      <x:c r="Q1430" s="35" t="n">
        <x:v>1.2</x:v>
      </x:c>
      <x:c r="R1430" s="35" t="n">
        <x:f>K1430*Q1430</x:f>
        <x:v>1.2</x:v>
      </x:c>
      <x:c r="S1430" s="35" t="n">
        <x:f>XLOOKUP(H1430,'菜品主数据'!$A$5:$A$24,'菜品主数据'!$G$5:$G$24,0)</x:f>
        <x:v>17.446</x:v>
      </x:c>
      <x:c r="T1430" s="35" t="n">
        <x:f>K1430*S1430</x:f>
        <x:v>17.446</x:v>
      </x:c>
      <x:c r="U1430" s="35" t="n">
        <x:f>L1430-N1430-P1430-R1430-T1430</x:f>
        <x:v>10.214000000000002</x:v>
      </x:c>
      <x:c r="V1430" s="21" t="n">
        <x:f>IFERROR(U1430/L1430,0)</x:f>
        <x:v>0.26189743589743597</x:v>
      </x:c>
    </x:row>
    <x:row r="1431">
      <x:c r="A1431" s="19" t="str">
        <x:v>SALE-01427</x:v>
      </x:c>
      <x:c r="B1431" s="34" t="n">
        <x:v>46210.5</x:v>
      </x:c>
      <x:c r="C1431" s="19" t="str">
        <x:v>周二</x:v>
      </x:c>
      <x:c r="D1431" s="19" t="str">
        <x:v>S06</x:v>
      </x:c>
      <x:c r="E1431" s="19" t="str">
        <x:v>蓝钻天城店</x:v>
      </x:c>
      <x:c r="F1431" s="19" t="str">
        <x:v>外卖</x:v>
      </x:c>
      <x:c r="G1431" s="19" t="str">
        <x:v>全日</x:v>
      </x:c>
      <x:c r="H1431" s="19" t="str">
        <x:v>D07</x:v>
      </x:c>
      <x:c r="I1431" s="19" t="str">
        <x:v>川味回锅肉</x:v>
      </x:c>
      <x:c r="J1431" s="22" t="n">
        <x:f>XLOOKUP(H1431,'菜品主数据'!$A$5:$A$24,'菜品主数据'!$D$5:$D$24,0)</x:f>
        <x:v>29</x:v>
      </x:c>
      <x:c r="K1431" s="31" t="n">
        <x:v>1</x:v>
      </x:c>
      <x:c r="L1431" s="35" t="n">
        <x:f>J1431*K1431</x:f>
        <x:v>29</x:v>
      </x:c>
      <x:c r="M1431" s="36" t="n">
        <x:v>0.08</x:v>
      </x:c>
      <x:c r="N1431" s="35" t="n">
        <x:f>L1431*M1431</x:f>
        <x:v>2.32</x:v>
      </x:c>
      <x:c r="O1431" s="37" t="n">
        <x:v>0.18</x:v>
      </x:c>
      <x:c r="P1431" s="35" t="n">
        <x:f>L1431*O1431</x:f>
        <x:v>5.22</x:v>
      </x:c>
      <x:c r="Q1431" s="35" t="n">
        <x:v>1.2</x:v>
      </x:c>
      <x:c r="R1431" s="35" t="n">
        <x:f>K1431*Q1431</x:f>
        <x:v>1.2</x:v>
      </x:c>
      <x:c r="S1431" s="35" t="n">
        <x:f>XLOOKUP(H1431,'菜品主数据'!$A$5:$A$24,'菜品主数据'!$G$5:$G$24,0)</x:f>
        <x:v>10.231000000000002</x:v>
      </x:c>
      <x:c r="T1431" s="35" t="n">
        <x:f>K1431*S1431</x:f>
        <x:v>10.231000000000002</x:v>
      </x:c>
      <x:c r="U1431" s="35" t="n">
        <x:f>L1431-N1431-P1431-R1431-T1431</x:f>
        <x:v>10.029</x:v>
      </x:c>
      <x:c r="V1431" s="21" t="n">
        <x:f>IFERROR(U1431/L1431,0)</x:f>
        <x:v>0.3458275862068966</x:v>
      </x:c>
    </x:row>
    <x:row r="1432">
      <x:c r="A1432" s="19" t="str">
        <x:v>SALE-01428</x:v>
      </x:c>
      <x:c r="B1432" s="34" t="n">
        <x:v>46210.5</x:v>
      </x:c>
      <x:c r="C1432" s="19" t="str">
        <x:v>周二</x:v>
      </x:c>
      <x:c r="D1432" s="19" t="str">
        <x:v>S06</x:v>
      </x:c>
      <x:c r="E1432" s="19" t="str">
        <x:v>蓝钻天城店</x:v>
      </x:c>
      <x:c r="F1432" s="19" t="str">
        <x:v>外卖</x:v>
      </x:c>
      <x:c r="G1432" s="19" t="str">
        <x:v>全日</x:v>
      </x:c>
      <x:c r="H1432" s="19" t="str">
        <x:v>D08</x:v>
      </x:c>
      <x:c r="I1432" s="19" t="str">
        <x:v>生炒清远鸡</x:v>
      </x:c>
      <x:c r="J1432" s="22" t="n">
        <x:f>XLOOKUP(H1432,'菜品主数据'!$A$5:$A$24,'菜品主数据'!$D$5:$D$24,0)</x:f>
        <x:v>36</x:v>
      </x:c>
      <x:c r="K1432" s="31" t="n">
        <x:v>1</x:v>
      </x:c>
      <x:c r="L1432" s="35" t="n">
        <x:f>J1432*K1432</x:f>
        <x:v>36</x:v>
      </x:c>
      <x:c r="M1432" s="36" t="n">
        <x:v>0.08</x:v>
      </x:c>
      <x:c r="N1432" s="35" t="n">
        <x:f>L1432*M1432</x:f>
        <x:v>2.88</x:v>
      </x:c>
      <x:c r="O1432" s="37" t="n">
        <x:v>0.18</x:v>
      </x:c>
      <x:c r="P1432" s="35" t="n">
        <x:f>L1432*O1432</x:f>
        <x:v>6.4799999999999995</x:v>
      </x:c>
      <x:c r="Q1432" s="35" t="n">
        <x:v>1.2</x:v>
      </x:c>
      <x:c r="R1432" s="35" t="n">
        <x:f>K1432*Q1432</x:f>
        <x:v>1.2</x:v>
      </x:c>
      <x:c r="S1432" s="35" t="n">
        <x:f>XLOOKUP(H1432,'菜品主数据'!$A$5:$A$24,'菜品主数据'!$G$5:$G$24,0)</x:f>
        <x:v>13.48</x:v>
      </x:c>
      <x:c r="T1432" s="35" t="n">
        <x:f>K1432*S1432</x:f>
        <x:v>13.48</x:v>
      </x:c>
      <x:c r="U1432" s="35" t="n">
        <x:f>L1432-N1432-P1432-R1432-T1432</x:f>
        <x:v>11.959999999999997</x:v>
      </x:c>
      <x:c r="V1432" s="21" t="n">
        <x:f>IFERROR(U1432/L1432,0)</x:f>
        <x:v>0.33222222222222214</x:v>
      </x:c>
    </x:row>
    <x:row r="1433">
      <x:c r="A1433" s="19" t="str">
        <x:v>SALE-01429</x:v>
      </x:c>
      <x:c r="B1433" s="34" t="n">
        <x:v>46210.5</x:v>
      </x:c>
      <x:c r="C1433" s="19" t="str">
        <x:v>周二</x:v>
      </x:c>
      <x:c r="D1433" s="19" t="str">
        <x:v>S06</x:v>
      </x:c>
      <x:c r="E1433" s="19" t="str">
        <x:v>蓝钻天城店</x:v>
      </x:c>
      <x:c r="F1433" s="19" t="str">
        <x:v>外卖</x:v>
      </x:c>
      <x:c r="G1433" s="19" t="str">
        <x:v>全日</x:v>
      </x:c>
      <x:c r="H1433" s="19" t="str">
        <x:v>D09</x:v>
      </x:c>
      <x:c r="I1433" s="19" t="str">
        <x:v>炒豆干</x:v>
      </x:c>
      <x:c r="J1433" s="22" t="n">
        <x:f>XLOOKUP(H1433,'菜品主数据'!$A$5:$A$24,'菜品主数据'!$D$5:$D$24,0)</x:f>
        <x:v>18</x:v>
      </x:c>
      <x:c r="K1433" s="31" t="n">
        <x:v>1</x:v>
      </x:c>
      <x:c r="L1433" s="35" t="n">
        <x:f>J1433*K1433</x:f>
        <x:v>18</x:v>
      </x:c>
      <x:c r="M1433" s="36" t="n">
        <x:v>0.08</x:v>
      </x:c>
      <x:c r="N1433" s="35" t="n">
        <x:f>L1433*M1433</x:f>
        <x:v>1.44</x:v>
      </x:c>
      <x:c r="O1433" s="37" t="n">
        <x:v>0.18</x:v>
      </x:c>
      <x:c r="P1433" s="35" t="n">
        <x:f>L1433*O1433</x:f>
        <x:v>3.2399999999999998</x:v>
      </x:c>
      <x:c r="Q1433" s="35" t="n">
        <x:v>1.2</x:v>
      </x:c>
      <x:c r="R1433" s="35" t="n">
        <x:f>K1433*Q1433</x:f>
        <x:v>1.2</x:v>
      </x:c>
      <x:c r="S1433" s="35" t="n">
        <x:f>XLOOKUP(H1433,'菜品主数据'!$A$5:$A$24,'菜品主数据'!$G$5:$G$24,0)</x:f>
        <x:v>6.613999999999999</x:v>
      </x:c>
      <x:c r="T1433" s="35" t="n">
        <x:f>K1433*S1433</x:f>
        <x:v>6.613999999999999</x:v>
      </x:c>
      <x:c r="U1433" s="35" t="n">
        <x:f>L1433-N1433-P1433-R1433-T1433</x:f>
        <x:v>5.506</x:v>
      </x:c>
      <x:c r="V1433" s="21" t="n">
        <x:f>IFERROR(U1433/L1433,0)</x:f>
        <x:v>0.3058888888888889</x:v>
      </x:c>
    </x:row>
    <x:row r="1434">
      <x:c r="A1434" s="19" t="str">
        <x:v>SALE-01430</x:v>
      </x:c>
      <x:c r="B1434" s="34" t="n">
        <x:v>46210.5</x:v>
      </x:c>
      <x:c r="C1434" s="19" t="str">
        <x:v>周二</x:v>
      </x:c>
      <x:c r="D1434" s="19" t="str">
        <x:v>S06</x:v>
      </x:c>
      <x:c r="E1434" s="19" t="str">
        <x:v>蓝钻天城店</x:v>
      </x:c>
      <x:c r="F1434" s="19" t="str">
        <x:v>外卖</x:v>
      </x:c>
      <x:c r="G1434" s="19" t="str">
        <x:v>全日</x:v>
      </x:c>
      <x:c r="H1434" s="19" t="str">
        <x:v>D10</x:v>
      </x:c>
      <x:c r="I1434" s="19" t="str">
        <x:v>农家一碗香</x:v>
      </x:c>
      <x:c r="J1434" s="22" t="n">
        <x:f>XLOOKUP(H1434,'菜品主数据'!$A$5:$A$24,'菜品主数据'!$D$5:$D$24,0)</x:f>
        <x:v>22.9</x:v>
      </x:c>
      <x:c r="K1434" s="31" t="n">
        <x:v>1</x:v>
      </x:c>
      <x:c r="L1434" s="35" t="n">
        <x:f>J1434*K1434</x:f>
        <x:v>22.9</x:v>
      </x:c>
      <x:c r="M1434" s="36" t="n">
        <x:v>0.08</x:v>
      </x:c>
      <x:c r="N1434" s="35" t="n">
        <x:f>L1434*M1434</x:f>
        <x:v>1.8319999999999999</x:v>
      </x:c>
      <x:c r="O1434" s="37" t="n">
        <x:v>0.18</x:v>
      </x:c>
      <x:c r="P1434" s="35" t="n">
        <x:f>L1434*O1434</x:f>
        <x:v>4.122</x:v>
      </x:c>
      <x:c r="Q1434" s="35" t="n">
        <x:v>1.2</x:v>
      </x:c>
      <x:c r="R1434" s="35" t="n">
        <x:f>K1434*Q1434</x:f>
        <x:v>1.2</x:v>
      </x:c>
      <x:c r="S1434" s="35" t="n">
        <x:f>XLOOKUP(H1434,'菜品主数据'!$A$5:$A$24,'菜品主数据'!$G$5:$G$24,0)</x:f>
        <x:v>9.770200000000003</x:v>
      </x:c>
      <x:c r="T1434" s="35" t="n">
        <x:f>K1434*S1434</x:f>
        <x:v>9.770200000000003</x:v>
      </x:c>
      <x:c r="U1434" s="35" t="n">
        <x:f>L1434-N1434-P1434-R1434-T1434</x:f>
        <x:v>5.975799999999996</x:v>
      </x:c>
      <x:c r="V1434" s="21" t="n">
        <x:f>IFERROR(U1434/L1434,0)</x:f>
        <x:v>0.260951965065502</x:v>
      </x:c>
    </x:row>
    <x:row r="1435">
      <x:c r="A1435" s="19" t="str">
        <x:v>SALE-01431</x:v>
      </x:c>
      <x:c r="B1435" s="34" t="n">
        <x:v>46210.5</x:v>
      </x:c>
      <x:c r="C1435" s="19" t="str">
        <x:v>周二</x:v>
      </x:c>
      <x:c r="D1435" s="19" t="str">
        <x:v>S06</x:v>
      </x:c>
      <x:c r="E1435" s="19" t="str">
        <x:v>蓝钻天城店</x:v>
      </x:c>
      <x:c r="F1435" s="19" t="str">
        <x:v>外卖</x:v>
      </x:c>
      <x:c r="G1435" s="19" t="str">
        <x:v>全日</x:v>
      </x:c>
      <x:c r="H1435" s="19" t="str">
        <x:v>D11</x:v>
      </x:c>
      <x:c r="I1435" s="19" t="str">
        <x:v>香辣爆肥肠</x:v>
      </x:c>
      <x:c r="J1435" s="22" t="n">
        <x:f>XLOOKUP(H1435,'菜品主数据'!$A$5:$A$24,'菜品主数据'!$D$5:$D$24,0)</x:f>
        <x:v>39</x:v>
      </x:c>
      <x:c r="K1435" s="31" t="n">
        <x:v>0</x:v>
      </x:c>
      <x:c r="L1435" s="35" t="n">
        <x:f>J1435*K1435</x:f>
        <x:v>0</x:v>
      </x:c>
      <x:c r="M1435" s="36" t="n">
        <x:v>0.08</x:v>
      </x:c>
      <x:c r="N1435" s="35" t="n">
        <x:f>L1435*M1435</x:f>
        <x:v>0</x:v>
      </x:c>
      <x:c r="O1435" s="37" t="n">
        <x:v>0.18</x:v>
      </x:c>
      <x:c r="P1435" s="35" t="n">
        <x:f>L1435*O1435</x:f>
        <x:v>0</x:v>
      </x:c>
      <x:c r="Q1435" s="35" t="n">
        <x:v>1.2</x:v>
      </x:c>
      <x:c r="R1435" s="35" t="n">
        <x:f>K1435*Q1435</x:f>
        <x:v>0</x:v>
      </x:c>
      <x:c r="S1435" s="35" t="n">
        <x:f>XLOOKUP(H1435,'菜品主数据'!$A$5:$A$24,'菜品主数据'!$G$5:$G$24,0)</x:f>
        <x:v>10.397</x:v>
      </x:c>
      <x:c r="T1435" s="35" t="n">
        <x:f>K1435*S1435</x:f>
        <x:v>0</x:v>
      </x:c>
      <x:c r="U1435" s="35" t="n">
        <x:f>L1435-N1435-P1435-R1435-T1435</x:f>
        <x:v>0</x:v>
      </x:c>
      <x:c r="V1435" s="21" t="n">
        <x:f>IFERROR(U1435/L1435,0)</x:f>
        <x:v>0</x:v>
      </x:c>
    </x:row>
    <x:row r="1436">
      <x:c r="A1436" s="19" t="str">
        <x:v>SALE-01432</x:v>
      </x:c>
      <x:c r="B1436" s="34" t="n">
        <x:v>46210.5</x:v>
      </x:c>
      <x:c r="C1436" s="19" t="str">
        <x:v>周二</x:v>
      </x:c>
      <x:c r="D1436" s="19" t="str">
        <x:v>S06</x:v>
      </x:c>
      <x:c r="E1436" s="19" t="str">
        <x:v>蓝钻天城店</x:v>
      </x:c>
      <x:c r="F1436" s="19" t="str">
        <x:v>外卖</x:v>
      </x:c>
      <x:c r="G1436" s="19" t="str">
        <x:v>全日</x:v>
      </x:c>
      <x:c r="H1436" s="19" t="str">
        <x:v>D12</x:v>
      </x:c>
      <x:c r="I1436" s="19" t="str">
        <x:v>清蒸鲈鱼</x:v>
      </x:c>
      <x:c r="J1436" s="22" t="n">
        <x:f>XLOOKUP(H1436,'菜品主数据'!$A$5:$A$24,'菜品主数据'!$D$5:$D$24,0)</x:f>
        <x:v>39</x:v>
      </x:c>
      <x:c r="K1436" s="31" t="n">
        <x:v>0</x:v>
      </x:c>
      <x:c r="L1436" s="35" t="n">
        <x:f>J1436*K1436</x:f>
        <x:v>0</x:v>
      </x:c>
      <x:c r="M1436" s="36" t="n">
        <x:v>0.08</x:v>
      </x:c>
      <x:c r="N1436" s="35" t="n">
        <x:f>L1436*M1436</x:f>
        <x:v>0</x:v>
      </x:c>
      <x:c r="O1436" s="37" t="n">
        <x:v>0.18</x:v>
      </x:c>
      <x:c r="P1436" s="35" t="n">
        <x:f>L1436*O1436</x:f>
        <x:v>0</x:v>
      </x:c>
      <x:c r="Q1436" s="35" t="n">
        <x:v>1.2</x:v>
      </x:c>
      <x:c r="R1436" s="35" t="n">
        <x:f>K1436*Q1436</x:f>
        <x:v>0</x:v>
      </x:c>
      <x:c r="S1436" s="35" t="n">
        <x:f>XLOOKUP(H1436,'菜品主数据'!$A$5:$A$24,'菜品主数据'!$G$5:$G$24,0)</x:f>
        <x:v>18.874</x:v>
      </x:c>
      <x:c r="T1436" s="35" t="n">
        <x:f>K1436*S1436</x:f>
        <x:v>0</x:v>
      </x:c>
      <x:c r="U1436" s="35" t="n">
        <x:f>L1436-N1436-P1436-R1436-T1436</x:f>
        <x:v>0</x:v>
      </x:c>
      <x:c r="V1436" s="21" t="n">
        <x:f>IFERROR(U1436/L1436,0)</x:f>
        <x:v>0</x:v>
      </x:c>
    </x:row>
    <x:row r="1437">
      <x:c r="A1437" s="19" t="str">
        <x:v>SALE-01433</x:v>
      </x:c>
      <x:c r="B1437" s="34" t="n">
        <x:v>46210.5</x:v>
      </x:c>
      <x:c r="C1437" s="19" t="str">
        <x:v>周二</x:v>
      </x:c>
      <x:c r="D1437" s="19" t="str">
        <x:v>S06</x:v>
      </x:c>
      <x:c r="E1437" s="19" t="str">
        <x:v>蓝钻天城店</x:v>
      </x:c>
      <x:c r="F1437" s="19" t="str">
        <x:v>外卖</x:v>
      </x:c>
      <x:c r="G1437" s="19" t="str">
        <x:v>全日</x:v>
      </x:c>
      <x:c r="H1437" s="19" t="str">
        <x:v>D13</x:v>
      </x:c>
      <x:c r="I1437" s="19" t="str">
        <x:v>外婆菜炒蛋</x:v>
      </x:c>
      <x:c r="J1437" s="22" t="n">
        <x:f>XLOOKUP(H1437,'菜品主数据'!$A$5:$A$24,'菜品主数据'!$D$5:$D$24,0)</x:f>
        <x:v>18</x:v>
      </x:c>
      <x:c r="K1437" s="31" t="n">
        <x:v>1</x:v>
      </x:c>
      <x:c r="L1437" s="35" t="n">
        <x:f>J1437*K1437</x:f>
        <x:v>18</x:v>
      </x:c>
      <x:c r="M1437" s="36" t="n">
        <x:v>0.08</x:v>
      </x:c>
      <x:c r="N1437" s="35" t="n">
        <x:f>L1437*M1437</x:f>
        <x:v>1.44</x:v>
      </x:c>
      <x:c r="O1437" s="37" t="n">
        <x:v>0.18</x:v>
      </x:c>
      <x:c r="P1437" s="35" t="n">
        <x:f>L1437*O1437</x:f>
        <x:v>3.2399999999999998</x:v>
      </x:c>
      <x:c r="Q1437" s="35" t="n">
        <x:v>1.2</x:v>
      </x:c>
      <x:c r="R1437" s="35" t="n">
        <x:f>K1437*Q1437</x:f>
        <x:v>1.2</x:v>
      </x:c>
      <x:c r="S1437" s="35" t="n">
        <x:f>XLOOKUP(H1437,'菜品主数据'!$A$5:$A$24,'菜品主数据'!$G$5:$G$24,0)</x:f>
        <x:v>5.403999999999999</x:v>
      </x:c>
      <x:c r="T1437" s="35" t="n">
        <x:f>K1437*S1437</x:f>
        <x:v>5.403999999999999</x:v>
      </x:c>
      <x:c r="U1437" s="35" t="n">
        <x:f>L1437-N1437-P1437-R1437-T1437</x:f>
        <x:v>6.716</x:v>
      </x:c>
      <x:c r="V1437" s="21" t="n">
        <x:f>IFERROR(U1437/L1437,0)</x:f>
        <x:v>0.3731111111111111</x:v>
      </x:c>
    </x:row>
    <x:row r="1438">
      <x:c r="A1438" s="19" t="str">
        <x:v>SALE-01434</x:v>
      </x:c>
      <x:c r="B1438" s="34" t="n">
        <x:v>46210.5</x:v>
      </x:c>
      <x:c r="C1438" s="19" t="str">
        <x:v>周二</x:v>
      </x:c>
      <x:c r="D1438" s="19" t="str">
        <x:v>S06</x:v>
      </x:c>
      <x:c r="E1438" s="19" t="str">
        <x:v>蓝钻天城店</x:v>
      </x:c>
      <x:c r="F1438" s="19" t="str">
        <x:v>外卖</x:v>
      </x:c>
      <x:c r="G1438" s="19" t="str">
        <x:v>全日</x:v>
      </x:c>
      <x:c r="H1438" s="19" t="str">
        <x:v>D14</x:v>
      </x:c>
      <x:c r="I1438" s="19" t="str">
        <x:v>酸辣鸡杂</x:v>
      </x:c>
      <x:c r="J1438" s="22" t="n">
        <x:f>XLOOKUP(H1438,'菜品主数据'!$A$5:$A$24,'菜品主数据'!$D$5:$D$24,0)</x:f>
        <x:v>28</x:v>
      </x:c>
      <x:c r="K1438" s="31" t="n">
        <x:v>0</x:v>
      </x:c>
      <x:c r="L1438" s="35" t="n">
        <x:f>J1438*K1438</x:f>
        <x:v>0</x:v>
      </x:c>
      <x:c r="M1438" s="36" t="n">
        <x:v>0.08</x:v>
      </x:c>
      <x:c r="N1438" s="35" t="n">
        <x:f>L1438*M1438</x:f>
        <x:v>0</x:v>
      </x:c>
      <x:c r="O1438" s="37" t="n">
        <x:v>0.18</x:v>
      </x:c>
      <x:c r="P1438" s="35" t="n">
        <x:f>L1438*O1438</x:f>
        <x:v>0</x:v>
      </x:c>
      <x:c r="Q1438" s="35" t="n">
        <x:v>1.2</x:v>
      </x:c>
      <x:c r="R1438" s="35" t="n">
        <x:f>K1438*Q1438</x:f>
        <x:v>0</x:v>
      </x:c>
      <x:c r="S1438" s="35" t="n">
        <x:f>XLOOKUP(H1438,'菜品主数据'!$A$5:$A$24,'菜品主数据'!$G$5:$G$24,0)</x:f>
        <x:v>8.315000000000001</x:v>
      </x:c>
      <x:c r="T1438" s="35" t="n">
        <x:f>K1438*S1438</x:f>
        <x:v>0</x:v>
      </x:c>
      <x:c r="U1438" s="35" t="n">
        <x:f>L1438-N1438-P1438-R1438-T1438</x:f>
        <x:v>0</x:v>
      </x:c>
      <x:c r="V1438" s="21" t="n">
        <x:f>IFERROR(U1438/L1438,0)</x:f>
        <x:v>0</x:v>
      </x:c>
    </x:row>
    <x:row r="1439">
      <x:c r="A1439" s="19" t="str">
        <x:v>SALE-01435</x:v>
      </x:c>
      <x:c r="B1439" s="34" t="n">
        <x:v>46210.5</x:v>
      </x:c>
      <x:c r="C1439" s="19" t="str">
        <x:v>周二</x:v>
      </x:c>
      <x:c r="D1439" s="19" t="str">
        <x:v>S06</x:v>
      </x:c>
      <x:c r="E1439" s="19" t="str">
        <x:v>蓝钻天城店</x:v>
      </x:c>
      <x:c r="F1439" s="19" t="str">
        <x:v>外卖</x:v>
      </x:c>
      <x:c r="G1439" s="19" t="str">
        <x:v>全日</x:v>
      </x:c>
      <x:c r="H1439" s="19" t="str">
        <x:v>D15</x:v>
      </x:c>
      <x:c r="I1439" s="19" t="str">
        <x:v>湘西土匪猪肝</x:v>
      </x:c>
      <x:c r="J1439" s="22" t="n">
        <x:f>XLOOKUP(H1439,'菜品主数据'!$A$5:$A$24,'菜品主数据'!$D$5:$D$24,0)</x:f>
        <x:v>26</x:v>
      </x:c>
      <x:c r="K1439" s="31" t="n">
        <x:v>0</x:v>
      </x:c>
      <x:c r="L1439" s="35" t="n">
        <x:f>J1439*K1439</x:f>
        <x:v>0</x:v>
      </x:c>
      <x:c r="M1439" s="36" t="n">
        <x:v>0.08</x:v>
      </x:c>
      <x:c r="N1439" s="35" t="n">
        <x:f>L1439*M1439</x:f>
        <x:v>0</x:v>
      </x:c>
      <x:c r="O1439" s="37" t="n">
        <x:v>0.18</x:v>
      </x:c>
      <x:c r="P1439" s="35" t="n">
        <x:f>L1439*O1439</x:f>
        <x:v>0</x:v>
      </x:c>
      <x:c r="Q1439" s="35" t="n">
        <x:v>1.2</x:v>
      </x:c>
      <x:c r="R1439" s="35" t="n">
        <x:f>K1439*Q1439</x:f>
        <x:v>0</x:v>
      </x:c>
      <x:c r="S1439" s="35" t="n">
        <x:f>XLOOKUP(H1439,'菜品主数据'!$A$5:$A$24,'菜品主数据'!$G$5:$G$24,0)</x:f>
        <x:v>6.3759999999999994</x:v>
      </x:c>
      <x:c r="T1439" s="35" t="n">
        <x:f>K1439*S1439</x:f>
        <x:v>0</x:v>
      </x:c>
      <x:c r="U1439" s="35" t="n">
        <x:f>L1439-N1439-P1439-R1439-T1439</x:f>
        <x:v>0</x:v>
      </x:c>
      <x:c r="V1439" s="21" t="n">
        <x:f>IFERROR(U1439/L1439,0)</x:f>
        <x:v>0</x:v>
      </x:c>
    </x:row>
    <x:row r="1440">
      <x:c r="A1440" s="19" t="str">
        <x:v>SALE-01436</x:v>
      </x:c>
      <x:c r="B1440" s="34" t="n">
        <x:v>46210.5</x:v>
      </x:c>
      <x:c r="C1440" s="19" t="str">
        <x:v>周二</x:v>
      </x:c>
      <x:c r="D1440" s="19" t="str">
        <x:v>S06</x:v>
      </x:c>
      <x:c r="E1440" s="19" t="str">
        <x:v>蓝钻天城店</x:v>
      </x:c>
      <x:c r="F1440" s="19" t="str">
        <x:v>外卖</x:v>
      </x:c>
      <x:c r="G1440" s="19" t="str">
        <x:v>全日</x:v>
      </x:c>
      <x:c r="H1440" s="19" t="str">
        <x:v>D16</x:v>
      </x:c>
      <x:c r="I1440" s="19" t="str">
        <x:v>小豆角炒五花</x:v>
      </x:c>
      <x:c r="J1440" s="22" t="n">
        <x:f>XLOOKUP(H1440,'菜品主数据'!$A$5:$A$24,'菜品主数据'!$D$5:$D$24,0)</x:f>
        <x:v>25</x:v>
      </x:c>
      <x:c r="K1440" s="31" t="n">
        <x:v>0</x:v>
      </x:c>
      <x:c r="L1440" s="35" t="n">
        <x:f>J1440*K1440</x:f>
        <x:v>0</x:v>
      </x:c>
      <x:c r="M1440" s="36" t="n">
        <x:v>0.08</x:v>
      </x:c>
      <x:c r="N1440" s="35" t="n">
        <x:f>L1440*M1440</x:f>
        <x:v>0</x:v>
      </x:c>
      <x:c r="O1440" s="37" t="n">
        <x:v>0.18</x:v>
      </x:c>
      <x:c r="P1440" s="35" t="n">
        <x:f>L1440*O1440</x:f>
        <x:v>0</x:v>
      </x:c>
      <x:c r="Q1440" s="35" t="n">
        <x:v>1.2</x:v>
      </x:c>
      <x:c r="R1440" s="35" t="n">
        <x:f>K1440*Q1440</x:f>
        <x:v>0</x:v>
      </x:c>
      <x:c r="S1440" s="35" t="n">
        <x:f>XLOOKUP(H1440,'菜品主数据'!$A$5:$A$24,'菜品主数据'!$G$5:$G$24,0)</x:f>
        <x:v>8.184</x:v>
      </x:c>
      <x:c r="T1440" s="35" t="n">
        <x:f>K1440*S1440</x:f>
        <x:v>0</x:v>
      </x:c>
      <x:c r="U1440" s="35" t="n">
        <x:f>L1440-N1440-P1440-R1440-T1440</x:f>
        <x:v>0</x:v>
      </x:c>
      <x:c r="V1440" s="21" t="n">
        <x:f>IFERROR(U1440/L1440,0)</x:f>
        <x:v>0</x:v>
      </x:c>
    </x:row>
    <x:row r="1441">
      <x:c r="A1441" s="19" t="str">
        <x:v>SALE-01437</x:v>
      </x:c>
      <x:c r="B1441" s="34" t="n">
        <x:v>46210.5</x:v>
      </x:c>
      <x:c r="C1441" s="19" t="str">
        <x:v>周二</x:v>
      </x:c>
      <x:c r="D1441" s="19" t="str">
        <x:v>S06</x:v>
      </x:c>
      <x:c r="E1441" s="19" t="str">
        <x:v>蓝钻天城店</x:v>
      </x:c>
      <x:c r="F1441" s="19" t="str">
        <x:v>外卖</x:v>
      </x:c>
      <x:c r="G1441" s="19" t="str">
        <x:v>全日</x:v>
      </x:c>
      <x:c r="H1441" s="19" t="str">
        <x:v>D17</x:v>
      </x:c>
      <x:c r="I1441" s="19" t="str">
        <x:v>蒜蓉粉丝虾</x:v>
      </x:c>
      <x:c r="J1441" s="22" t="n">
        <x:f>XLOOKUP(H1441,'菜品主数据'!$A$5:$A$24,'菜品主数据'!$D$5:$D$24,0)</x:f>
        <x:v>36</x:v>
      </x:c>
      <x:c r="K1441" s="31" t="n">
        <x:v>0</x:v>
      </x:c>
      <x:c r="L1441" s="35" t="n">
        <x:f>J1441*K1441</x:f>
        <x:v>0</x:v>
      </x:c>
      <x:c r="M1441" s="36" t="n">
        <x:v>0.08</x:v>
      </x:c>
      <x:c r="N1441" s="35" t="n">
        <x:f>L1441*M1441</x:f>
        <x:v>0</x:v>
      </x:c>
      <x:c r="O1441" s="37" t="n">
        <x:v>0.18</x:v>
      </x:c>
      <x:c r="P1441" s="35" t="n">
        <x:f>L1441*O1441</x:f>
        <x:v>0</x:v>
      </x:c>
      <x:c r="Q1441" s="35" t="n">
        <x:v>1.2</x:v>
      </x:c>
      <x:c r="R1441" s="35" t="n">
        <x:f>K1441*Q1441</x:f>
        <x:v>0</x:v>
      </x:c>
      <x:c r="S1441" s="35" t="n">
        <x:f>XLOOKUP(H1441,'菜品主数据'!$A$5:$A$24,'菜品主数据'!$G$5:$G$24,0)</x:f>
        <x:v>13.594</x:v>
      </x:c>
      <x:c r="T1441" s="35" t="n">
        <x:f>K1441*S1441</x:f>
        <x:v>0</x:v>
      </x:c>
      <x:c r="U1441" s="35" t="n">
        <x:f>L1441-N1441-P1441-R1441-T1441</x:f>
        <x:v>0</x:v>
      </x:c>
      <x:c r="V1441" s="21" t="n">
        <x:f>IFERROR(U1441/L1441,0)</x:f>
        <x:v>0</x:v>
      </x:c>
    </x:row>
    <x:row r="1442">
      <x:c r="A1442" s="19" t="str">
        <x:v>SALE-01438</x:v>
      </x:c>
      <x:c r="B1442" s="34" t="n">
        <x:v>46210.5</x:v>
      </x:c>
      <x:c r="C1442" s="19" t="str">
        <x:v>周二</x:v>
      </x:c>
      <x:c r="D1442" s="19" t="str">
        <x:v>S06</x:v>
      </x:c>
      <x:c r="E1442" s="19" t="str">
        <x:v>蓝钻天城店</x:v>
      </x:c>
      <x:c r="F1442" s="19" t="str">
        <x:v>外卖</x:v>
      </x:c>
      <x:c r="G1442" s="19" t="str">
        <x:v>全日</x:v>
      </x:c>
      <x:c r="H1442" s="19" t="str">
        <x:v>D18</x:v>
      </x:c>
      <x:c r="I1442" s="19" t="str">
        <x:v>青椒炒油麦菜</x:v>
      </x:c>
      <x:c r="J1442" s="22" t="n">
        <x:f>XLOOKUP(H1442,'菜品主数据'!$A$5:$A$24,'菜品主数据'!$D$5:$D$24,0)</x:f>
        <x:v>18</x:v>
      </x:c>
      <x:c r="K1442" s="31" t="n">
        <x:v>0</x:v>
      </x:c>
      <x:c r="L1442" s="35" t="n">
        <x:f>J1442*K1442</x:f>
        <x:v>0</x:v>
      </x:c>
      <x:c r="M1442" s="36" t="n">
        <x:v>0.08</x:v>
      </x:c>
      <x:c r="N1442" s="35" t="n">
        <x:f>L1442*M1442</x:f>
        <x:v>0</x:v>
      </x:c>
      <x:c r="O1442" s="37" t="n">
        <x:v>0.18</x:v>
      </x:c>
      <x:c r="P1442" s="35" t="n">
        <x:f>L1442*O1442</x:f>
        <x:v>0</x:v>
      </x:c>
      <x:c r="Q1442" s="35" t="n">
        <x:v>1.2</x:v>
      </x:c>
      <x:c r="R1442" s="35" t="n">
        <x:f>K1442*Q1442</x:f>
        <x:v>0</x:v>
      </x:c>
      <x:c r="S1442" s="35" t="n">
        <x:f>XLOOKUP(H1442,'菜品主数据'!$A$5:$A$24,'菜品主数据'!$G$5:$G$24,0)</x:f>
        <x:v>3.1759999999999993</x:v>
      </x:c>
      <x:c r="T1442" s="35" t="n">
        <x:f>K1442*S1442</x:f>
        <x:v>0</x:v>
      </x:c>
      <x:c r="U1442" s="35" t="n">
        <x:f>L1442-N1442-P1442-R1442-T1442</x:f>
        <x:v>0</x:v>
      </x:c>
      <x:c r="V1442" s="21" t="n">
        <x:f>IFERROR(U1442/L1442,0)</x:f>
        <x:v>0</x:v>
      </x:c>
    </x:row>
    <x:row r="1443">
      <x:c r="A1443" s="19" t="str">
        <x:v>SALE-01439</x:v>
      </x:c>
      <x:c r="B1443" s="34" t="n">
        <x:v>46210.5</x:v>
      </x:c>
      <x:c r="C1443" s="19" t="str">
        <x:v>周二</x:v>
      </x:c>
      <x:c r="D1443" s="19" t="str">
        <x:v>S06</x:v>
      </x:c>
      <x:c r="E1443" s="19" t="str">
        <x:v>蓝钻天城店</x:v>
      </x:c>
      <x:c r="F1443" s="19" t="str">
        <x:v>外卖</x:v>
      </x:c>
      <x:c r="G1443" s="19" t="str">
        <x:v>全日</x:v>
      </x:c>
      <x:c r="H1443" s="19" t="str">
        <x:v>D19</x:v>
      </x:c>
      <x:c r="I1443" s="19" t="str">
        <x:v>酸萝卜炒鸡杂</x:v>
      </x:c>
      <x:c r="J1443" s="22" t="n">
        <x:f>XLOOKUP(H1443,'菜品主数据'!$A$5:$A$24,'菜品主数据'!$D$5:$D$24,0)</x:f>
        <x:v>25</x:v>
      </x:c>
      <x:c r="K1443" s="31" t="n">
        <x:v>0</x:v>
      </x:c>
      <x:c r="L1443" s="35" t="n">
        <x:f>J1443*K1443</x:f>
        <x:v>0</x:v>
      </x:c>
      <x:c r="M1443" s="36" t="n">
        <x:v>0.08</x:v>
      </x:c>
      <x:c r="N1443" s="35" t="n">
        <x:f>L1443*M1443</x:f>
        <x:v>0</x:v>
      </x:c>
      <x:c r="O1443" s="37" t="n">
        <x:v>0.18</x:v>
      </x:c>
      <x:c r="P1443" s="35" t="n">
        <x:f>L1443*O1443</x:f>
        <x:v>0</x:v>
      </x:c>
      <x:c r="Q1443" s="35" t="n">
        <x:v>1.2</x:v>
      </x:c>
      <x:c r="R1443" s="35" t="n">
        <x:f>K1443*Q1443</x:f>
        <x:v>0</x:v>
      </x:c>
      <x:c r="S1443" s="35" t="n">
        <x:f>XLOOKUP(H1443,'菜品主数据'!$A$5:$A$24,'菜品主数据'!$G$5:$G$24,0)</x:f>
        <x:v>7.9399999999999995</x:v>
      </x:c>
      <x:c r="T1443" s="35" t="n">
        <x:f>K1443*S1443</x:f>
        <x:v>0</x:v>
      </x:c>
      <x:c r="U1443" s="35" t="n">
        <x:f>L1443-N1443-P1443-R1443-T1443</x:f>
        <x:v>0</x:v>
      </x:c>
      <x:c r="V1443" s="21" t="n">
        <x:f>IFERROR(U1443/L1443,0)</x:f>
        <x:v>0</x:v>
      </x:c>
    </x:row>
    <x:row r="1444">
      <x:c r="A1444" s="19" t="str">
        <x:v>SALE-01440</x:v>
      </x:c>
      <x:c r="B1444" s="34" t="n">
        <x:v>46210.5</x:v>
      </x:c>
      <x:c r="C1444" s="19" t="str">
        <x:v>周二</x:v>
      </x:c>
      <x:c r="D1444" s="19" t="str">
        <x:v>S06</x:v>
      </x:c>
      <x:c r="E1444" s="19" t="str">
        <x:v>蓝钻天城店</x:v>
      </x:c>
      <x:c r="F1444" s="19" t="str">
        <x:v>外卖</x:v>
      </x:c>
      <x:c r="G1444" s="19" t="str">
        <x:v>全日</x:v>
      </x:c>
      <x:c r="H1444" s="19" t="str">
        <x:v>D20</x:v>
      </x:c>
      <x:c r="I1444" s="19" t="str">
        <x:v>雪菜肉末青豆</x:v>
      </x:c>
      <x:c r="J1444" s="22" t="n">
        <x:f>XLOOKUP(H1444,'菜品主数据'!$A$5:$A$24,'菜品主数据'!$D$5:$D$24,0)</x:f>
        <x:v>18</x:v>
      </x:c>
      <x:c r="K1444" s="31" t="n">
        <x:v>0</x:v>
      </x:c>
      <x:c r="L1444" s="35" t="n">
        <x:f>J1444*K1444</x:f>
        <x:v>0</x:v>
      </x:c>
      <x:c r="M1444" s="36" t="n">
        <x:v>0.08</x:v>
      </x:c>
      <x:c r="N1444" s="35" t="n">
        <x:f>L1444*M1444</x:f>
        <x:v>0</x:v>
      </x:c>
      <x:c r="O1444" s="37" t="n">
        <x:v>0.18</x:v>
      </x:c>
      <x:c r="P1444" s="35" t="n">
        <x:f>L1444*O1444</x:f>
        <x:v>0</x:v>
      </x:c>
      <x:c r="Q1444" s="35" t="n">
        <x:v>1.2</x:v>
      </x:c>
      <x:c r="R1444" s="35" t="n">
        <x:f>K1444*Q1444</x:f>
        <x:v>0</x:v>
      </x:c>
      <x:c r="S1444" s="35" t="n">
        <x:f>XLOOKUP(H1444,'菜品主数据'!$A$5:$A$24,'菜品主数据'!$G$5:$G$24,0)</x:f>
        <x:v>7.303999999999999</x:v>
      </x:c>
      <x:c r="T1444" s="35" t="n">
        <x:f>K1444*S1444</x:f>
        <x:v>0</x:v>
      </x:c>
      <x:c r="U1444" s="35" t="n">
        <x:f>L1444-N1444-P1444-R1444-T1444</x:f>
        <x:v>0</x:v>
      </x:c>
      <x:c r="V1444" s="21" t="n">
        <x:f>IFERROR(U1444/L1444,0)</x:f>
        <x:v>0</x:v>
      </x:c>
    </x:row>
    <x:row r="1445">
      <x:c r="A1445" s="19" t="str">
        <x:v>SALE-01441</x:v>
      </x:c>
      <x:c r="B1445" s="34" t="n">
        <x:v>46211.5</x:v>
      </x:c>
      <x:c r="C1445" s="19" t="str">
        <x:v>周三</x:v>
      </x:c>
      <x:c r="D1445" s="19" t="str">
        <x:v>S06</x:v>
      </x:c>
      <x:c r="E1445" s="19" t="str">
        <x:v>蓝钻天城店</x:v>
      </x:c>
      <x:c r="F1445" s="19" t="str">
        <x:v>堂食</x:v>
      </x:c>
      <x:c r="G1445" s="19" t="str">
        <x:v>全日</x:v>
      </x:c>
      <x:c r="H1445" s="19" t="str">
        <x:v>D01</x:v>
      </x:c>
      <x:c r="I1445" s="19" t="str">
        <x:v>辣椒炒肉</x:v>
      </x:c>
      <x:c r="J1445" s="22" t="n">
        <x:f>XLOOKUP(H1445,'菜品主数据'!$A$5:$A$24,'菜品主数据'!$D$5:$D$24,0)</x:f>
        <x:v>29</x:v>
      </x:c>
      <x:c r="K1445" s="31" t="n">
        <x:v>43</x:v>
      </x:c>
      <x:c r="L1445" s="35" t="n">
        <x:f>J1445*K1445</x:f>
        <x:v>1247</x:v>
      </x:c>
      <x:c r="M1445" s="36" t="n">
        <x:v>0</x:v>
      </x:c>
      <x:c r="N1445" s="35" t="n">
        <x:f>L1445*M1445</x:f>
        <x:v>0</x:v>
      </x:c>
      <x:c r="O1445" s="37" t="n">
        <x:v>0</x:v>
      </x:c>
      <x:c r="P1445" s="35" t="n">
        <x:f>L1445*O1445</x:f>
        <x:v>0</x:v>
      </x:c>
      <x:c r="Q1445" s="35" t="n">
        <x:v>0</x:v>
      </x:c>
      <x:c r="R1445" s="35" t="n">
        <x:f>K1445*Q1445</x:f>
        <x:v>0</x:v>
      </x:c>
      <x:c r="S1445" s="35" t="n">
        <x:f>XLOOKUP(H1445,'菜品主数据'!$A$5:$A$24,'菜品主数据'!$G$5:$G$24,0)</x:f>
        <x:v>8.634400000000001</x:v>
      </x:c>
      <x:c r="T1445" s="35" t="n">
        <x:f>K1445*S1445</x:f>
        <x:v>371.27920000000006</x:v>
      </x:c>
      <x:c r="U1445" s="35" t="n">
        <x:f>L1445-N1445-P1445-R1445-T1445</x:f>
        <x:v>875.7207999999999</x:v>
      </x:c>
      <x:c r="V1445" s="21" t="n">
        <x:f>IFERROR(U1445/L1445,0)</x:f>
        <x:v>0.7022620689655172</x:v>
      </x:c>
    </x:row>
    <x:row r="1446">
      <x:c r="A1446" s="19" t="str">
        <x:v>SALE-01442</x:v>
      </x:c>
      <x:c r="B1446" s="34" t="n">
        <x:v>46211.5</x:v>
      </x:c>
      <x:c r="C1446" s="19" t="str">
        <x:v>周三</x:v>
      </x:c>
      <x:c r="D1446" s="19" t="str">
        <x:v>S06</x:v>
      </x:c>
      <x:c r="E1446" s="19" t="str">
        <x:v>蓝钻天城店</x:v>
      </x:c>
      <x:c r="F1446" s="19" t="str">
        <x:v>堂食</x:v>
      </x:c>
      <x:c r="G1446" s="19" t="str">
        <x:v>全日</x:v>
      </x:c>
      <x:c r="H1446" s="19" t="str">
        <x:v>D02</x:v>
      </x:c>
      <x:c r="I1446" s="19" t="str">
        <x:v>小炒黄牛肉</x:v>
      </x:c>
      <x:c r="J1446" s="22" t="n">
        <x:f>XLOOKUP(H1446,'菜品主数据'!$A$5:$A$24,'菜品主数据'!$D$5:$D$24,0)</x:f>
        <x:v>49</x:v>
      </x:c>
      <x:c r="K1446" s="31" t="n">
        <x:v>25</x:v>
      </x:c>
      <x:c r="L1446" s="35" t="n">
        <x:f>J1446*K1446</x:f>
        <x:v>1225</x:v>
      </x:c>
      <x:c r="M1446" s="36" t="n">
        <x:v>0</x:v>
      </x:c>
      <x:c r="N1446" s="35" t="n">
        <x:f>L1446*M1446</x:f>
        <x:v>0</x:v>
      </x:c>
      <x:c r="O1446" s="37" t="n">
        <x:v>0</x:v>
      </x:c>
      <x:c r="P1446" s="35" t="n">
        <x:f>L1446*O1446</x:f>
        <x:v>0</x:v>
      </x:c>
      <x:c r="Q1446" s="35" t="n">
        <x:v>0</x:v>
      </x:c>
      <x:c r="R1446" s="35" t="n">
        <x:f>K1446*Q1446</x:f>
        <x:v>0</x:v>
      </x:c>
      <x:c r="S1446" s="35" t="n">
        <x:f>XLOOKUP(H1446,'菜品主数据'!$A$5:$A$24,'菜品主数据'!$G$5:$G$24,0)</x:f>
        <x:v>17.577</x:v>
      </x:c>
      <x:c r="T1446" s="35" t="n">
        <x:f>K1446*S1446</x:f>
        <x:v>439.42500000000007</x:v>
      </x:c>
      <x:c r="U1446" s="35" t="n">
        <x:f>L1446-N1446-P1446-R1446-T1446</x:f>
        <x:v>785.5749999999999</x:v>
      </x:c>
      <x:c r="V1446" s="21" t="n">
        <x:f>IFERROR(U1446/L1446,0)</x:f>
        <x:v>0.6412857142857142</x:v>
      </x:c>
    </x:row>
    <x:row r="1447">
      <x:c r="A1447" s="19" t="str">
        <x:v>SALE-01443</x:v>
      </x:c>
      <x:c r="B1447" s="34" t="n">
        <x:v>46211.5</x:v>
      </x:c>
      <x:c r="C1447" s="19" t="str">
        <x:v>周三</x:v>
      </x:c>
      <x:c r="D1447" s="19" t="str">
        <x:v>S06</x:v>
      </x:c>
      <x:c r="E1447" s="19" t="str">
        <x:v>蓝钻天城店</x:v>
      </x:c>
      <x:c r="F1447" s="19" t="str">
        <x:v>堂食</x:v>
      </x:c>
      <x:c r="G1447" s="19" t="str">
        <x:v>全日</x:v>
      </x:c>
      <x:c r="H1447" s="19" t="str">
        <x:v>D03</x:v>
      </x:c>
      <x:c r="I1447" s="19" t="str">
        <x:v>香醋炒蛋</x:v>
      </x:c>
      <x:c r="J1447" s="22" t="n">
        <x:f>XLOOKUP(H1447,'菜品主数据'!$A$5:$A$24,'菜品主数据'!$D$5:$D$24,0)</x:f>
        <x:v>14.9</x:v>
      </x:c>
      <x:c r="K1447" s="31" t="n">
        <x:v>35</x:v>
      </x:c>
      <x:c r="L1447" s="35" t="n">
        <x:f>J1447*K1447</x:f>
        <x:v>521.5</x:v>
      </x:c>
      <x:c r="M1447" s="36" t="n">
        <x:v>0</x:v>
      </x:c>
      <x:c r="N1447" s="35" t="n">
        <x:f>L1447*M1447</x:f>
        <x:v>0</x:v>
      </x:c>
      <x:c r="O1447" s="37" t="n">
        <x:v>0</x:v>
      </x:c>
      <x:c r="P1447" s="35" t="n">
        <x:f>L1447*O1447</x:f>
        <x:v>0</x:v>
      </x:c>
      <x:c r="Q1447" s="35" t="n">
        <x:v>0</x:v>
      </x:c>
      <x:c r="R1447" s="35" t="n">
        <x:f>K1447*Q1447</x:f>
        <x:v>0</x:v>
      </x:c>
      <x:c r="S1447" s="35" t="n">
        <x:f>XLOOKUP(H1447,'菜品主数据'!$A$5:$A$24,'菜品主数据'!$G$5:$G$24,0)</x:f>
        <x:v>3.7459999999999996</x:v>
      </x:c>
      <x:c r="T1447" s="35" t="n">
        <x:f>K1447*S1447</x:f>
        <x:v>131.10999999999999</x:v>
      </x:c>
      <x:c r="U1447" s="35" t="n">
        <x:f>L1447-N1447-P1447-R1447-T1447</x:f>
        <x:v>390.39</x:v>
      </x:c>
      <x:c r="V1447" s="21" t="n">
        <x:f>IFERROR(U1447/L1447,0)</x:f>
        <x:v>0.7485906040268456</x:v>
      </x:c>
    </x:row>
    <x:row r="1448">
      <x:c r="A1448" s="19" t="str">
        <x:v>SALE-01444</x:v>
      </x:c>
      <x:c r="B1448" s="34" t="n">
        <x:v>46211.5</x:v>
      </x:c>
      <x:c r="C1448" s="19" t="str">
        <x:v>周三</x:v>
      </x:c>
      <x:c r="D1448" s="19" t="str">
        <x:v>S06</x:v>
      </x:c>
      <x:c r="E1448" s="19" t="str">
        <x:v>蓝钻天城店</x:v>
      </x:c>
      <x:c r="F1448" s="19" t="str">
        <x:v>堂食</x:v>
      </x:c>
      <x:c r="G1448" s="19" t="str">
        <x:v>全日</x:v>
      </x:c>
      <x:c r="H1448" s="19" t="str">
        <x:v>D04</x:v>
      </x:c>
      <x:c r="I1448" s="19" t="str">
        <x:v>酸包菜炒粉皮</x:v>
      </x:c>
      <x:c r="J1448" s="22" t="n">
        <x:f>XLOOKUP(H1448,'菜品主数据'!$A$5:$A$24,'菜品主数据'!$D$5:$D$24,0)</x:f>
        <x:v>16</x:v>
      </x:c>
      <x:c r="K1448" s="31" t="n">
        <x:v>33</x:v>
      </x:c>
      <x:c r="L1448" s="35" t="n">
        <x:f>J1448*K1448</x:f>
        <x:v>528</x:v>
      </x:c>
      <x:c r="M1448" s="36" t="n">
        <x:v>0</x:v>
      </x:c>
      <x:c r="N1448" s="35" t="n">
        <x:f>L1448*M1448</x:f>
        <x:v>0</x:v>
      </x:c>
      <x:c r="O1448" s="37" t="n">
        <x:v>0</x:v>
      </x:c>
      <x:c r="P1448" s="35" t="n">
        <x:f>L1448*O1448</x:f>
        <x:v>0</x:v>
      </x:c>
      <x:c r="Q1448" s="35" t="n">
        <x:v>0</x:v>
      </x:c>
      <x:c r="R1448" s="35" t="n">
        <x:f>K1448*Q1448</x:f>
        <x:v>0</x:v>
      </x:c>
      <x:c r="S1448" s="35" t="n">
        <x:f>XLOOKUP(H1448,'菜品主数据'!$A$5:$A$24,'菜品主数据'!$G$5:$G$24,0)</x:f>
        <x:v>3.978</x:v>
      </x:c>
      <x:c r="T1448" s="35" t="n">
        <x:f>K1448*S1448</x:f>
        <x:v>131.274</x:v>
      </x:c>
      <x:c r="U1448" s="35" t="n">
        <x:f>L1448-N1448-P1448-R1448-T1448</x:f>
        <x:v>396.726</x:v>
      </x:c>
      <x:c r="V1448" s="21" t="n">
        <x:f>IFERROR(U1448/L1448,0)</x:f>
        <x:v>0.751375</x:v>
      </x:c>
    </x:row>
    <x:row r="1449">
      <x:c r="A1449" s="19" t="str">
        <x:v>SALE-01445</x:v>
      </x:c>
      <x:c r="B1449" s="34" t="n">
        <x:v>46211.5</x:v>
      </x:c>
      <x:c r="C1449" s="19" t="str">
        <x:v>周三</x:v>
      </x:c>
      <x:c r="D1449" s="19" t="str">
        <x:v>S06</x:v>
      </x:c>
      <x:c r="E1449" s="19" t="str">
        <x:v>蓝钻天城店</x:v>
      </x:c>
      <x:c r="F1449" s="19" t="str">
        <x:v>堂食</x:v>
      </x:c>
      <x:c r="G1449" s="19" t="str">
        <x:v>全日</x:v>
      </x:c>
      <x:c r="H1449" s="19" t="str">
        <x:v>D05</x:v>
      </x:c>
      <x:c r="I1449" s="19" t="str">
        <x:v>麻婆豆腐</x:v>
      </x:c>
      <x:c r="J1449" s="22" t="n">
        <x:f>XLOOKUP(H1449,'菜品主数据'!$A$5:$A$24,'菜品主数据'!$D$5:$D$24,0)</x:f>
        <x:v>9.9</x:v>
      </x:c>
      <x:c r="K1449" s="31" t="n">
        <x:v>44</x:v>
      </x:c>
      <x:c r="L1449" s="35" t="n">
        <x:f>J1449*K1449</x:f>
        <x:v>435.6</x:v>
      </x:c>
      <x:c r="M1449" s="36" t="n">
        <x:v>0</x:v>
      </x:c>
      <x:c r="N1449" s="35" t="n">
        <x:f>L1449*M1449</x:f>
        <x:v>0</x:v>
      </x:c>
      <x:c r="O1449" s="37" t="n">
        <x:v>0</x:v>
      </x:c>
      <x:c r="P1449" s="35" t="n">
        <x:f>L1449*O1449</x:f>
        <x:v>0</x:v>
      </x:c>
      <x:c r="Q1449" s="35" t="n">
        <x:v>0</x:v>
      </x:c>
      <x:c r="R1449" s="35" t="n">
        <x:f>K1449*Q1449</x:f>
        <x:v>0</x:v>
      </x:c>
      <x:c r="S1449" s="35" t="n">
        <x:f>XLOOKUP(H1449,'菜品主数据'!$A$5:$A$24,'菜品主数据'!$G$5:$G$24,0)</x:f>
        <x:v>5.367000000000001</x:v>
      </x:c>
      <x:c r="T1449" s="35" t="n">
        <x:f>K1449*S1449</x:f>
        <x:v>236.14800000000002</x:v>
      </x:c>
      <x:c r="U1449" s="35" t="n">
        <x:f>L1449-N1449-P1449-R1449-T1449</x:f>
        <x:v>199.452</x:v>
      </x:c>
      <x:c r="V1449" s="21" t="n">
        <x:f>IFERROR(U1449/L1449,0)</x:f>
        <x:v>0.45787878787878783</x:v>
      </x:c>
    </x:row>
    <x:row r="1450">
      <x:c r="A1450" s="19" t="str">
        <x:v>SALE-01446</x:v>
      </x:c>
      <x:c r="B1450" s="34" t="n">
        <x:v>46211.5</x:v>
      </x:c>
      <x:c r="C1450" s="19" t="str">
        <x:v>周三</x:v>
      </x:c>
      <x:c r="D1450" s="19" t="str">
        <x:v>S06</x:v>
      </x:c>
      <x:c r="E1450" s="19" t="str">
        <x:v>蓝钻天城店</x:v>
      </x:c>
      <x:c r="F1450" s="19" t="str">
        <x:v>堂食</x:v>
      </x:c>
      <x:c r="G1450" s="19" t="str">
        <x:v>全日</x:v>
      </x:c>
      <x:c r="H1450" s="19" t="str">
        <x:v>D06</x:v>
      </x:c>
      <x:c r="I1450" s="19" t="str">
        <x:v>剁椒鱼头</x:v>
      </x:c>
      <x:c r="J1450" s="22" t="n">
        <x:f>XLOOKUP(H1450,'菜品主数据'!$A$5:$A$24,'菜品主数据'!$D$5:$D$24,0)</x:f>
        <x:v>39</x:v>
      </x:c>
      <x:c r="K1450" s="31" t="n">
        <x:v>10</x:v>
      </x:c>
      <x:c r="L1450" s="35" t="n">
        <x:f>J1450*K1450</x:f>
        <x:v>390</x:v>
      </x:c>
      <x:c r="M1450" s="36" t="n">
        <x:v>0</x:v>
      </x:c>
      <x:c r="N1450" s="35" t="n">
        <x:f>L1450*M1450</x:f>
        <x:v>0</x:v>
      </x:c>
      <x:c r="O1450" s="37" t="n">
        <x:v>0</x:v>
      </x:c>
      <x:c r="P1450" s="35" t="n">
        <x:f>L1450*O1450</x:f>
        <x:v>0</x:v>
      </x:c>
      <x:c r="Q1450" s="35" t="n">
        <x:v>0</x:v>
      </x:c>
      <x:c r="R1450" s="35" t="n">
        <x:f>K1450*Q1450</x:f>
        <x:v>0</x:v>
      </x:c>
      <x:c r="S1450" s="35" t="n">
        <x:f>XLOOKUP(H1450,'菜品主数据'!$A$5:$A$24,'菜品主数据'!$G$5:$G$24,0)</x:f>
        <x:v>17.446</x:v>
      </x:c>
      <x:c r="T1450" s="35" t="n">
        <x:f>K1450*S1450</x:f>
        <x:v>174.46</x:v>
      </x:c>
      <x:c r="U1450" s="35" t="n">
        <x:f>L1450-N1450-P1450-R1450-T1450</x:f>
        <x:v>215.54</x:v>
      </x:c>
      <x:c r="V1450" s="21" t="n">
        <x:f>IFERROR(U1450/L1450,0)</x:f>
        <x:v>0.5526666666666666</x:v>
      </x:c>
    </x:row>
    <x:row r="1451">
      <x:c r="A1451" s="19" t="str">
        <x:v>SALE-01447</x:v>
      </x:c>
      <x:c r="B1451" s="34" t="n">
        <x:v>46211.5</x:v>
      </x:c>
      <x:c r="C1451" s="19" t="str">
        <x:v>周三</x:v>
      </x:c>
      <x:c r="D1451" s="19" t="str">
        <x:v>S06</x:v>
      </x:c>
      <x:c r="E1451" s="19" t="str">
        <x:v>蓝钻天城店</x:v>
      </x:c>
      <x:c r="F1451" s="19" t="str">
        <x:v>堂食</x:v>
      </x:c>
      <x:c r="G1451" s="19" t="str">
        <x:v>全日</x:v>
      </x:c>
      <x:c r="H1451" s="19" t="str">
        <x:v>D07</x:v>
      </x:c>
      <x:c r="I1451" s="19" t="str">
        <x:v>川味回锅肉</x:v>
      </x:c>
      <x:c r="J1451" s="22" t="n">
        <x:f>XLOOKUP(H1451,'菜品主数据'!$A$5:$A$24,'菜品主数据'!$D$5:$D$24,0)</x:f>
        <x:v>29</x:v>
      </x:c>
      <x:c r="K1451" s="31" t="n">
        <x:v>14</x:v>
      </x:c>
      <x:c r="L1451" s="35" t="n">
        <x:f>J1451*K1451</x:f>
        <x:v>406</x:v>
      </x:c>
      <x:c r="M1451" s="36" t="n">
        <x:v>0</x:v>
      </x:c>
      <x:c r="N1451" s="35" t="n">
        <x:f>L1451*M1451</x:f>
        <x:v>0</x:v>
      </x:c>
      <x:c r="O1451" s="37" t="n">
        <x:v>0</x:v>
      </x:c>
      <x:c r="P1451" s="35" t="n">
        <x:f>L1451*O1451</x:f>
        <x:v>0</x:v>
      </x:c>
      <x:c r="Q1451" s="35" t="n">
        <x:v>0</x:v>
      </x:c>
      <x:c r="R1451" s="35" t="n">
        <x:f>K1451*Q1451</x:f>
        <x:v>0</x:v>
      </x:c>
      <x:c r="S1451" s="35" t="n">
        <x:f>XLOOKUP(H1451,'菜品主数据'!$A$5:$A$24,'菜品主数据'!$G$5:$G$24,0)</x:f>
        <x:v>10.231000000000002</x:v>
      </x:c>
      <x:c r="T1451" s="35" t="n">
        <x:f>K1451*S1451</x:f>
        <x:v>143.23400000000004</x:v>
      </x:c>
      <x:c r="U1451" s="35" t="n">
        <x:f>L1451-N1451-P1451-R1451-T1451</x:f>
        <x:v>262.76599999999996</x:v>
      </x:c>
      <x:c r="V1451" s="21" t="n">
        <x:f>IFERROR(U1451/L1451,0)</x:f>
        <x:v>0.647206896551724</x:v>
      </x:c>
    </x:row>
    <x:row r="1452">
      <x:c r="A1452" s="19" t="str">
        <x:v>SALE-01448</x:v>
      </x:c>
      <x:c r="B1452" s="34" t="n">
        <x:v>46211.5</x:v>
      </x:c>
      <x:c r="C1452" s="19" t="str">
        <x:v>周三</x:v>
      </x:c>
      <x:c r="D1452" s="19" t="str">
        <x:v>S06</x:v>
      </x:c>
      <x:c r="E1452" s="19" t="str">
        <x:v>蓝钻天城店</x:v>
      </x:c>
      <x:c r="F1452" s="19" t="str">
        <x:v>堂食</x:v>
      </x:c>
      <x:c r="G1452" s="19" t="str">
        <x:v>全日</x:v>
      </x:c>
      <x:c r="H1452" s="19" t="str">
        <x:v>D08</x:v>
      </x:c>
      <x:c r="I1452" s="19" t="str">
        <x:v>生炒清远鸡</x:v>
      </x:c>
      <x:c r="J1452" s="22" t="n">
        <x:f>XLOOKUP(H1452,'菜品主数据'!$A$5:$A$24,'菜品主数据'!$D$5:$D$24,0)</x:f>
        <x:v>36</x:v>
      </x:c>
      <x:c r="K1452" s="31" t="n">
        <x:v>10</x:v>
      </x:c>
      <x:c r="L1452" s="35" t="n">
        <x:f>J1452*K1452</x:f>
        <x:v>360</x:v>
      </x:c>
      <x:c r="M1452" s="36" t="n">
        <x:v>0</x:v>
      </x:c>
      <x:c r="N1452" s="35" t="n">
        <x:f>L1452*M1452</x:f>
        <x:v>0</x:v>
      </x:c>
      <x:c r="O1452" s="37" t="n">
        <x:v>0</x:v>
      </x:c>
      <x:c r="P1452" s="35" t="n">
        <x:f>L1452*O1452</x:f>
        <x:v>0</x:v>
      </x:c>
      <x:c r="Q1452" s="35" t="n">
        <x:v>0</x:v>
      </x:c>
      <x:c r="R1452" s="35" t="n">
        <x:f>K1452*Q1452</x:f>
        <x:v>0</x:v>
      </x:c>
      <x:c r="S1452" s="35" t="n">
        <x:f>XLOOKUP(H1452,'菜品主数据'!$A$5:$A$24,'菜品主数据'!$G$5:$G$24,0)</x:f>
        <x:v>13.48</x:v>
      </x:c>
      <x:c r="T1452" s="35" t="n">
        <x:f>K1452*S1452</x:f>
        <x:v>134.8</x:v>
      </x:c>
      <x:c r="U1452" s="35" t="n">
        <x:f>L1452-N1452-P1452-R1452-T1452</x:f>
        <x:v>225.2</x:v>
      </x:c>
      <x:c r="V1452" s="21" t="n">
        <x:f>IFERROR(U1452/L1452,0)</x:f>
        <x:v>0.6255555555555555</x:v>
      </x:c>
    </x:row>
    <x:row r="1453">
      <x:c r="A1453" s="19" t="str">
        <x:v>SALE-01449</x:v>
      </x:c>
      <x:c r="B1453" s="34" t="n">
        <x:v>46211.5</x:v>
      </x:c>
      <x:c r="C1453" s="19" t="str">
        <x:v>周三</x:v>
      </x:c>
      <x:c r="D1453" s="19" t="str">
        <x:v>S06</x:v>
      </x:c>
      <x:c r="E1453" s="19" t="str">
        <x:v>蓝钻天城店</x:v>
      </x:c>
      <x:c r="F1453" s="19" t="str">
        <x:v>堂食</x:v>
      </x:c>
      <x:c r="G1453" s="19" t="str">
        <x:v>全日</x:v>
      </x:c>
      <x:c r="H1453" s="19" t="str">
        <x:v>D09</x:v>
      </x:c>
      <x:c r="I1453" s="19" t="str">
        <x:v>炒豆干</x:v>
      </x:c>
      <x:c r="J1453" s="22" t="n">
        <x:f>XLOOKUP(H1453,'菜品主数据'!$A$5:$A$24,'菜品主数据'!$D$5:$D$24,0)</x:f>
        <x:v>18</x:v>
      </x:c>
      <x:c r="K1453" s="31" t="n">
        <x:v>14</x:v>
      </x:c>
      <x:c r="L1453" s="35" t="n">
        <x:f>J1453*K1453</x:f>
        <x:v>252</x:v>
      </x:c>
      <x:c r="M1453" s="36" t="n">
        <x:v>0</x:v>
      </x:c>
      <x:c r="N1453" s="35" t="n">
        <x:f>L1453*M1453</x:f>
        <x:v>0</x:v>
      </x:c>
      <x:c r="O1453" s="37" t="n">
        <x:v>0</x:v>
      </x:c>
      <x:c r="P1453" s="35" t="n">
        <x:f>L1453*O1453</x:f>
        <x:v>0</x:v>
      </x:c>
      <x:c r="Q1453" s="35" t="n">
        <x:v>0</x:v>
      </x:c>
      <x:c r="R1453" s="35" t="n">
        <x:f>K1453*Q1453</x:f>
        <x:v>0</x:v>
      </x:c>
      <x:c r="S1453" s="35" t="n">
        <x:f>XLOOKUP(H1453,'菜品主数据'!$A$5:$A$24,'菜品主数据'!$G$5:$G$24,0)</x:f>
        <x:v>6.613999999999999</x:v>
      </x:c>
      <x:c r="T1453" s="35" t="n">
        <x:f>K1453*S1453</x:f>
        <x:v>92.59599999999999</x:v>
      </x:c>
      <x:c r="U1453" s="35" t="n">
        <x:f>L1453-N1453-P1453-R1453-T1453</x:f>
        <x:v>159.404</x:v>
      </x:c>
      <x:c r="V1453" s="21" t="n">
        <x:f>IFERROR(U1453/L1453,0)</x:f>
        <x:v>0.6325555555555555</x:v>
      </x:c>
    </x:row>
    <x:row r="1454">
      <x:c r="A1454" s="19" t="str">
        <x:v>SALE-01450</x:v>
      </x:c>
      <x:c r="B1454" s="34" t="n">
        <x:v>46211.5</x:v>
      </x:c>
      <x:c r="C1454" s="19" t="str">
        <x:v>周三</x:v>
      </x:c>
      <x:c r="D1454" s="19" t="str">
        <x:v>S06</x:v>
      </x:c>
      <x:c r="E1454" s="19" t="str">
        <x:v>蓝钻天城店</x:v>
      </x:c>
      <x:c r="F1454" s="19" t="str">
        <x:v>堂食</x:v>
      </x:c>
      <x:c r="G1454" s="19" t="str">
        <x:v>全日</x:v>
      </x:c>
      <x:c r="H1454" s="19" t="str">
        <x:v>D10</x:v>
      </x:c>
      <x:c r="I1454" s="19" t="str">
        <x:v>农家一碗香</x:v>
      </x:c>
      <x:c r="J1454" s="22" t="n">
        <x:f>XLOOKUP(H1454,'菜品主数据'!$A$5:$A$24,'菜品主数据'!$D$5:$D$24,0)</x:f>
        <x:v>22.9</x:v>
      </x:c>
      <x:c r="K1454" s="31" t="n">
        <x:v>16</x:v>
      </x:c>
      <x:c r="L1454" s="35" t="n">
        <x:f>J1454*K1454</x:f>
        <x:v>366.4</x:v>
      </x:c>
      <x:c r="M1454" s="36" t="n">
        <x:v>0</x:v>
      </x:c>
      <x:c r="N1454" s="35" t="n">
        <x:f>L1454*M1454</x:f>
        <x:v>0</x:v>
      </x:c>
      <x:c r="O1454" s="37" t="n">
        <x:v>0</x:v>
      </x:c>
      <x:c r="P1454" s="35" t="n">
        <x:f>L1454*O1454</x:f>
        <x:v>0</x:v>
      </x:c>
      <x:c r="Q1454" s="35" t="n">
        <x:v>0</x:v>
      </x:c>
      <x:c r="R1454" s="35" t="n">
        <x:f>K1454*Q1454</x:f>
        <x:v>0</x:v>
      </x:c>
      <x:c r="S1454" s="35" t="n">
        <x:f>XLOOKUP(H1454,'菜品主数据'!$A$5:$A$24,'菜品主数据'!$G$5:$G$24,0)</x:f>
        <x:v>9.770200000000003</x:v>
      </x:c>
      <x:c r="T1454" s="35" t="n">
        <x:f>K1454*S1454</x:f>
        <x:v>156.32320000000004</x:v>
      </x:c>
      <x:c r="U1454" s="35" t="n">
        <x:f>L1454-N1454-P1454-R1454-T1454</x:f>
        <x:v>210.07679999999993</x:v>
      </x:c>
      <x:c r="V1454" s="21" t="n">
        <x:f>IFERROR(U1454/L1454,0)</x:f>
        <x:v>0.5733537117903929</x:v>
      </x:c>
    </x:row>
    <x:row r="1455">
      <x:c r="A1455" s="19" t="str">
        <x:v>SALE-01451</x:v>
      </x:c>
      <x:c r="B1455" s="34" t="n">
        <x:v>46211.5</x:v>
      </x:c>
      <x:c r="C1455" s="19" t="str">
        <x:v>周三</x:v>
      </x:c>
      <x:c r="D1455" s="19" t="str">
        <x:v>S06</x:v>
      </x:c>
      <x:c r="E1455" s="19" t="str">
        <x:v>蓝钻天城店</x:v>
      </x:c>
      <x:c r="F1455" s="19" t="str">
        <x:v>堂食</x:v>
      </x:c>
      <x:c r="G1455" s="19" t="str">
        <x:v>全日</x:v>
      </x:c>
      <x:c r="H1455" s="19" t="str">
        <x:v>D11</x:v>
      </x:c>
      <x:c r="I1455" s="19" t="str">
        <x:v>香辣爆肥肠</x:v>
      </x:c>
      <x:c r="J1455" s="22" t="n">
        <x:f>XLOOKUP(H1455,'菜品主数据'!$A$5:$A$24,'菜品主数据'!$D$5:$D$24,0)</x:f>
        <x:v>39</x:v>
      </x:c>
      <x:c r="K1455" s="31" t="n">
        <x:v>6</x:v>
      </x:c>
      <x:c r="L1455" s="35" t="n">
        <x:f>J1455*K1455</x:f>
        <x:v>234</x:v>
      </x:c>
      <x:c r="M1455" s="36" t="n">
        <x:v>0</x:v>
      </x:c>
      <x:c r="N1455" s="35" t="n">
        <x:f>L1455*M1455</x:f>
        <x:v>0</x:v>
      </x:c>
      <x:c r="O1455" s="37" t="n">
        <x:v>0</x:v>
      </x:c>
      <x:c r="P1455" s="35" t="n">
        <x:f>L1455*O1455</x:f>
        <x:v>0</x:v>
      </x:c>
      <x:c r="Q1455" s="35" t="n">
        <x:v>0</x:v>
      </x:c>
      <x:c r="R1455" s="35" t="n">
        <x:f>K1455*Q1455</x:f>
        <x:v>0</x:v>
      </x:c>
      <x:c r="S1455" s="35" t="n">
        <x:f>XLOOKUP(H1455,'菜品主数据'!$A$5:$A$24,'菜品主数据'!$G$5:$G$24,0)</x:f>
        <x:v>10.397</x:v>
      </x:c>
      <x:c r="T1455" s="35" t="n">
        <x:f>K1455*S1455</x:f>
        <x:v>62.382000000000005</x:v>
      </x:c>
      <x:c r="U1455" s="35" t="n">
        <x:f>L1455-N1455-P1455-R1455-T1455</x:f>
        <x:v>171.618</x:v>
      </x:c>
      <x:c r="V1455" s="21" t="n">
        <x:f>IFERROR(U1455/L1455,0)</x:f>
        <x:v>0.7334102564102564</x:v>
      </x:c>
    </x:row>
    <x:row r="1456">
      <x:c r="A1456" s="19" t="str">
        <x:v>SALE-01452</x:v>
      </x:c>
      <x:c r="B1456" s="34" t="n">
        <x:v>46211.5</x:v>
      </x:c>
      <x:c r="C1456" s="19" t="str">
        <x:v>周三</x:v>
      </x:c>
      <x:c r="D1456" s="19" t="str">
        <x:v>S06</x:v>
      </x:c>
      <x:c r="E1456" s="19" t="str">
        <x:v>蓝钻天城店</x:v>
      </x:c>
      <x:c r="F1456" s="19" t="str">
        <x:v>堂食</x:v>
      </x:c>
      <x:c r="G1456" s="19" t="str">
        <x:v>全日</x:v>
      </x:c>
      <x:c r="H1456" s="19" t="str">
        <x:v>D12</x:v>
      </x:c>
      <x:c r="I1456" s="19" t="str">
        <x:v>清蒸鲈鱼</x:v>
      </x:c>
      <x:c r="J1456" s="22" t="n">
        <x:f>XLOOKUP(H1456,'菜品主数据'!$A$5:$A$24,'菜品主数据'!$D$5:$D$24,0)</x:f>
        <x:v>39</x:v>
      </x:c>
      <x:c r="K1456" s="31" t="n">
        <x:v>6</x:v>
      </x:c>
      <x:c r="L1456" s="35" t="n">
        <x:f>J1456*K1456</x:f>
        <x:v>234</x:v>
      </x:c>
      <x:c r="M1456" s="36" t="n">
        <x:v>0</x:v>
      </x:c>
      <x:c r="N1456" s="35" t="n">
        <x:f>L1456*M1456</x:f>
        <x:v>0</x:v>
      </x:c>
      <x:c r="O1456" s="37" t="n">
        <x:v>0</x:v>
      </x:c>
      <x:c r="P1456" s="35" t="n">
        <x:f>L1456*O1456</x:f>
        <x:v>0</x:v>
      </x:c>
      <x:c r="Q1456" s="35" t="n">
        <x:v>0</x:v>
      </x:c>
      <x:c r="R1456" s="35" t="n">
        <x:f>K1456*Q1456</x:f>
        <x:v>0</x:v>
      </x:c>
      <x:c r="S1456" s="35" t="n">
        <x:f>XLOOKUP(H1456,'菜品主数据'!$A$5:$A$24,'菜品主数据'!$G$5:$G$24,0)</x:f>
        <x:v>18.874</x:v>
      </x:c>
      <x:c r="T1456" s="35" t="n">
        <x:f>K1456*S1456</x:f>
        <x:v>113.244</x:v>
      </x:c>
      <x:c r="U1456" s="35" t="n">
        <x:f>L1456-N1456-P1456-R1456-T1456</x:f>
        <x:v>120.756</x:v>
      </x:c>
      <x:c r="V1456" s="21" t="n">
        <x:f>IFERROR(U1456/L1456,0)</x:f>
        <x:v>0.516051282051282</x:v>
      </x:c>
    </x:row>
    <x:row r="1457">
      <x:c r="A1457" s="19" t="str">
        <x:v>SALE-01453</x:v>
      </x:c>
      <x:c r="B1457" s="34" t="n">
        <x:v>46211.5</x:v>
      </x:c>
      <x:c r="C1457" s="19" t="str">
        <x:v>周三</x:v>
      </x:c>
      <x:c r="D1457" s="19" t="str">
        <x:v>S06</x:v>
      </x:c>
      <x:c r="E1457" s="19" t="str">
        <x:v>蓝钻天城店</x:v>
      </x:c>
      <x:c r="F1457" s="19" t="str">
        <x:v>堂食</x:v>
      </x:c>
      <x:c r="G1457" s="19" t="str">
        <x:v>全日</x:v>
      </x:c>
      <x:c r="H1457" s="19" t="str">
        <x:v>D13</x:v>
      </x:c>
      <x:c r="I1457" s="19" t="str">
        <x:v>外婆菜炒蛋</x:v>
      </x:c>
      <x:c r="J1457" s="22" t="n">
        <x:f>XLOOKUP(H1457,'菜品主数据'!$A$5:$A$24,'菜品主数据'!$D$5:$D$24,0)</x:f>
        <x:v>18</x:v>
      </x:c>
      <x:c r="K1457" s="31" t="n">
        <x:v>15</x:v>
      </x:c>
      <x:c r="L1457" s="35" t="n">
        <x:f>J1457*K1457</x:f>
        <x:v>270</x:v>
      </x:c>
      <x:c r="M1457" s="36" t="n">
        <x:v>0</x:v>
      </x:c>
      <x:c r="N1457" s="35" t="n">
        <x:f>L1457*M1457</x:f>
        <x:v>0</x:v>
      </x:c>
      <x:c r="O1457" s="37" t="n">
        <x:v>0</x:v>
      </x:c>
      <x:c r="P1457" s="35" t="n">
        <x:f>L1457*O1457</x:f>
        <x:v>0</x:v>
      </x:c>
      <x:c r="Q1457" s="35" t="n">
        <x:v>0</x:v>
      </x:c>
      <x:c r="R1457" s="35" t="n">
        <x:f>K1457*Q1457</x:f>
        <x:v>0</x:v>
      </x:c>
      <x:c r="S1457" s="35" t="n">
        <x:f>XLOOKUP(H1457,'菜品主数据'!$A$5:$A$24,'菜品主数据'!$G$5:$G$24,0)</x:f>
        <x:v>5.403999999999999</x:v>
      </x:c>
      <x:c r="T1457" s="35" t="n">
        <x:f>K1457*S1457</x:f>
        <x:v>81.05999999999999</x:v>
      </x:c>
      <x:c r="U1457" s="35" t="n">
        <x:f>L1457-N1457-P1457-R1457-T1457</x:f>
        <x:v>188.94</x:v>
      </x:c>
      <x:c r="V1457" s="21" t="n">
        <x:f>IFERROR(U1457/L1457,0)</x:f>
        <x:v>0.6997777777777777</x:v>
      </x:c>
    </x:row>
    <x:row r="1458">
      <x:c r="A1458" s="19" t="str">
        <x:v>SALE-01454</x:v>
      </x:c>
      <x:c r="B1458" s="34" t="n">
        <x:v>46211.5</x:v>
      </x:c>
      <x:c r="C1458" s="19" t="str">
        <x:v>周三</x:v>
      </x:c>
      <x:c r="D1458" s="19" t="str">
        <x:v>S06</x:v>
      </x:c>
      <x:c r="E1458" s="19" t="str">
        <x:v>蓝钻天城店</x:v>
      </x:c>
      <x:c r="F1458" s="19" t="str">
        <x:v>堂食</x:v>
      </x:c>
      <x:c r="G1458" s="19" t="str">
        <x:v>全日</x:v>
      </x:c>
      <x:c r="H1458" s="19" t="str">
        <x:v>D14</x:v>
      </x:c>
      <x:c r="I1458" s="19" t="str">
        <x:v>酸辣鸡杂</x:v>
      </x:c>
      <x:c r="J1458" s="22" t="n">
        <x:f>XLOOKUP(H1458,'菜品主数据'!$A$5:$A$24,'菜品主数据'!$D$5:$D$24,0)</x:f>
        <x:v>28</x:v>
      </x:c>
      <x:c r="K1458" s="31" t="n">
        <x:v>7</x:v>
      </x:c>
      <x:c r="L1458" s="35" t="n">
        <x:f>J1458*K1458</x:f>
        <x:v>196</x:v>
      </x:c>
      <x:c r="M1458" s="36" t="n">
        <x:v>0</x:v>
      </x:c>
      <x:c r="N1458" s="35" t="n">
        <x:f>L1458*M1458</x:f>
        <x:v>0</x:v>
      </x:c>
      <x:c r="O1458" s="37" t="n">
        <x:v>0</x:v>
      </x:c>
      <x:c r="P1458" s="35" t="n">
        <x:f>L1458*O1458</x:f>
        <x:v>0</x:v>
      </x:c>
      <x:c r="Q1458" s="35" t="n">
        <x:v>0</x:v>
      </x:c>
      <x:c r="R1458" s="35" t="n">
        <x:f>K1458*Q1458</x:f>
        <x:v>0</x:v>
      </x:c>
      <x:c r="S1458" s="35" t="n">
        <x:f>XLOOKUP(H1458,'菜品主数据'!$A$5:$A$24,'菜品主数据'!$G$5:$G$24,0)</x:f>
        <x:v>8.315000000000001</x:v>
      </x:c>
      <x:c r="T1458" s="35" t="n">
        <x:f>K1458*S1458</x:f>
        <x:v>58.20500000000001</x:v>
      </x:c>
      <x:c r="U1458" s="35" t="n">
        <x:f>L1458-N1458-P1458-R1458-T1458</x:f>
        <x:v>137.795</x:v>
      </x:c>
      <x:c r="V1458" s="21" t="n">
        <x:f>IFERROR(U1458/L1458,0)</x:f>
        <x:v>0.7030357142857142</x:v>
      </x:c>
    </x:row>
    <x:row r="1459">
      <x:c r="A1459" s="19" t="str">
        <x:v>SALE-01455</x:v>
      </x:c>
      <x:c r="B1459" s="34" t="n">
        <x:v>46211.5</x:v>
      </x:c>
      <x:c r="C1459" s="19" t="str">
        <x:v>周三</x:v>
      </x:c>
      <x:c r="D1459" s="19" t="str">
        <x:v>S06</x:v>
      </x:c>
      <x:c r="E1459" s="19" t="str">
        <x:v>蓝钻天城店</x:v>
      </x:c>
      <x:c r="F1459" s="19" t="str">
        <x:v>堂食</x:v>
      </x:c>
      <x:c r="G1459" s="19" t="str">
        <x:v>全日</x:v>
      </x:c>
      <x:c r="H1459" s="19" t="str">
        <x:v>D15</x:v>
      </x:c>
      <x:c r="I1459" s="19" t="str">
        <x:v>湘西土匪猪肝</x:v>
      </x:c>
      <x:c r="J1459" s="22" t="n">
        <x:f>XLOOKUP(H1459,'菜品主数据'!$A$5:$A$24,'菜品主数据'!$D$5:$D$24,0)</x:f>
        <x:v>26</x:v>
      </x:c>
      <x:c r="K1459" s="31" t="n">
        <x:v>6</x:v>
      </x:c>
      <x:c r="L1459" s="35" t="n">
        <x:f>J1459*K1459</x:f>
        <x:v>156</x:v>
      </x:c>
      <x:c r="M1459" s="36" t="n">
        <x:v>0</x:v>
      </x:c>
      <x:c r="N1459" s="35" t="n">
        <x:f>L1459*M1459</x:f>
        <x:v>0</x:v>
      </x:c>
      <x:c r="O1459" s="37" t="n">
        <x:v>0</x:v>
      </x:c>
      <x:c r="P1459" s="35" t="n">
        <x:f>L1459*O1459</x:f>
        <x:v>0</x:v>
      </x:c>
      <x:c r="Q1459" s="35" t="n">
        <x:v>0</x:v>
      </x:c>
      <x:c r="R1459" s="35" t="n">
        <x:f>K1459*Q1459</x:f>
        <x:v>0</x:v>
      </x:c>
      <x:c r="S1459" s="35" t="n">
        <x:f>XLOOKUP(H1459,'菜品主数据'!$A$5:$A$24,'菜品主数据'!$G$5:$G$24,0)</x:f>
        <x:v>6.3759999999999994</x:v>
      </x:c>
      <x:c r="T1459" s="35" t="n">
        <x:f>K1459*S1459</x:f>
        <x:v>38.256</x:v>
      </x:c>
      <x:c r="U1459" s="35" t="n">
        <x:f>L1459-N1459-P1459-R1459-T1459</x:f>
        <x:v>117.744</x:v>
      </x:c>
      <x:c r="V1459" s="21" t="n">
        <x:f>IFERROR(U1459/L1459,0)</x:f>
        <x:v>0.7547692307692307</x:v>
      </x:c>
    </x:row>
    <x:row r="1460">
      <x:c r="A1460" s="19" t="str">
        <x:v>SALE-01456</x:v>
      </x:c>
      <x:c r="B1460" s="34" t="n">
        <x:v>46211.5</x:v>
      </x:c>
      <x:c r="C1460" s="19" t="str">
        <x:v>周三</x:v>
      </x:c>
      <x:c r="D1460" s="19" t="str">
        <x:v>S06</x:v>
      </x:c>
      <x:c r="E1460" s="19" t="str">
        <x:v>蓝钻天城店</x:v>
      </x:c>
      <x:c r="F1460" s="19" t="str">
        <x:v>堂食</x:v>
      </x:c>
      <x:c r="G1460" s="19" t="str">
        <x:v>全日</x:v>
      </x:c>
      <x:c r="H1460" s="19" t="str">
        <x:v>D16</x:v>
      </x:c>
      <x:c r="I1460" s="19" t="str">
        <x:v>小豆角炒五花</x:v>
      </x:c>
      <x:c r="J1460" s="22" t="n">
        <x:f>XLOOKUP(H1460,'菜品主数据'!$A$5:$A$24,'菜品主数据'!$D$5:$D$24,0)</x:f>
        <x:v>25</x:v>
      </x:c>
      <x:c r="K1460" s="31" t="n">
        <x:v>7</x:v>
      </x:c>
      <x:c r="L1460" s="35" t="n">
        <x:f>J1460*K1460</x:f>
        <x:v>175</x:v>
      </x:c>
      <x:c r="M1460" s="36" t="n">
        <x:v>0</x:v>
      </x:c>
      <x:c r="N1460" s="35" t="n">
        <x:f>L1460*M1460</x:f>
        <x:v>0</x:v>
      </x:c>
      <x:c r="O1460" s="37" t="n">
        <x:v>0</x:v>
      </x:c>
      <x:c r="P1460" s="35" t="n">
        <x:f>L1460*O1460</x:f>
        <x:v>0</x:v>
      </x:c>
      <x:c r="Q1460" s="35" t="n">
        <x:v>0</x:v>
      </x:c>
      <x:c r="R1460" s="35" t="n">
        <x:f>K1460*Q1460</x:f>
        <x:v>0</x:v>
      </x:c>
      <x:c r="S1460" s="35" t="n">
        <x:f>XLOOKUP(H1460,'菜品主数据'!$A$5:$A$24,'菜品主数据'!$G$5:$G$24,0)</x:f>
        <x:v>8.184</x:v>
      </x:c>
      <x:c r="T1460" s="35" t="n">
        <x:f>K1460*S1460</x:f>
        <x:v>57.288</x:v>
      </x:c>
      <x:c r="U1460" s="35" t="n">
        <x:f>L1460-N1460-P1460-R1460-T1460</x:f>
        <x:v>117.712</x:v>
      </x:c>
      <x:c r="V1460" s="21" t="n">
        <x:f>IFERROR(U1460/L1460,0)</x:f>
        <x:v>0.67264</x:v>
      </x:c>
    </x:row>
    <x:row r="1461">
      <x:c r="A1461" s="19" t="str">
        <x:v>SALE-01457</x:v>
      </x:c>
      <x:c r="B1461" s="34" t="n">
        <x:v>46211.5</x:v>
      </x:c>
      <x:c r="C1461" s="19" t="str">
        <x:v>周三</x:v>
      </x:c>
      <x:c r="D1461" s="19" t="str">
        <x:v>S06</x:v>
      </x:c>
      <x:c r="E1461" s="19" t="str">
        <x:v>蓝钻天城店</x:v>
      </x:c>
      <x:c r="F1461" s="19" t="str">
        <x:v>堂食</x:v>
      </x:c>
      <x:c r="G1461" s="19" t="str">
        <x:v>全日</x:v>
      </x:c>
      <x:c r="H1461" s="19" t="str">
        <x:v>D17</x:v>
      </x:c>
      <x:c r="I1461" s="19" t="str">
        <x:v>蒜蓉粉丝虾</x:v>
      </x:c>
      <x:c r="J1461" s="22" t="n">
        <x:f>XLOOKUP(H1461,'菜品主数据'!$A$5:$A$24,'菜品主数据'!$D$5:$D$24,0)</x:f>
        <x:v>36</x:v>
      </x:c>
      <x:c r="K1461" s="31" t="n">
        <x:v>4</x:v>
      </x:c>
      <x:c r="L1461" s="35" t="n">
        <x:f>J1461*K1461</x:f>
        <x:v>144</x:v>
      </x:c>
      <x:c r="M1461" s="36" t="n">
        <x:v>0</x:v>
      </x:c>
      <x:c r="N1461" s="35" t="n">
        <x:f>L1461*M1461</x:f>
        <x:v>0</x:v>
      </x:c>
      <x:c r="O1461" s="37" t="n">
        <x:v>0</x:v>
      </x:c>
      <x:c r="P1461" s="35" t="n">
        <x:f>L1461*O1461</x:f>
        <x:v>0</x:v>
      </x:c>
      <x:c r="Q1461" s="35" t="n">
        <x:v>0</x:v>
      </x:c>
      <x:c r="R1461" s="35" t="n">
        <x:f>K1461*Q1461</x:f>
        <x:v>0</x:v>
      </x:c>
      <x:c r="S1461" s="35" t="n">
        <x:f>XLOOKUP(H1461,'菜品主数据'!$A$5:$A$24,'菜品主数据'!$G$5:$G$24,0)</x:f>
        <x:v>13.594</x:v>
      </x:c>
      <x:c r="T1461" s="35" t="n">
        <x:f>K1461*S1461</x:f>
        <x:v>54.376</x:v>
      </x:c>
      <x:c r="U1461" s="35" t="n">
        <x:f>L1461-N1461-P1461-R1461-T1461</x:f>
        <x:v>89.624</x:v>
      </x:c>
      <x:c r="V1461" s="21" t="n">
        <x:f>IFERROR(U1461/L1461,0)</x:f>
        <x:v>0.6223888888888889</x:v>
      </x:c>
    </x:row>
    <x:row r="1462">
      <x:c r="A1462" s="19" t="str">
        <x:v>SALE-01458</x:v>
      </x:c>
      <x:c r="B1462" s="34" t="n">
        <x:v>46211.5</x:v>
      </x:c>
      <x:c r="C1462" s="19" t="str">
        <x:v>周三</x:v>
      </x:c>
      <x:c r="D1462" s="19" t="str">
        <x:v>S06</x:v>
      </x:c>
      <x:c r="E1462" s="19" t="str">
        <x:v>蓝钻天城店</x:v>
      </x:c>
      <x:c r="F1462" s="19" t="str">
        <x:v>堂食</x:v>
      </x:c>
      <x:c r="G1462" s="19" t="str">
        <x:v>全日</x:v>
      </x:c>
      <x:c r="H1462" s="19" t="str">
        <x:v>D18</x:v>
      </x:c>
      <x:c r="I1462" s="19" t="str">
        <x:v>青椒炒油麦菜</x:v>
      </x:c>
      <x:c r="J1462" s="22" t="n">
        <x:f>XLOOKUP(H1462,'菜品主数据'!$A$5:$A$24,'菜品主数据'!$D$5:$D$24,0)</x:f>
        <x:v>18</x:v>
      </x:c>
      <x:c r="K1462" s="31" t="n">
        <x:v>7</x:v>
      </x:c>
      <x:c r="L1462" s="35" t="n">
        <x:f>J1462*K1462</x:f>
        <x:v>126</x:v>
      </x:c>
      <x:c r="M1462" s="36" t="n">
        <x:v>0</x:v>
      </x:c>
      <x:c r="N1462" s="35" t="n">
        <x:f>L1462*M1462</x:f>
        <x:v>0</x:v>
      </x:c>
      <x:c r="O1462" s="37" t="n">
        <x:v>0</x:v>
      </x:c>
      <x:c r="P1462" s="35" t="n">
        <x:f>L1462*O1462</x:f>
        <x:v>0</x:v>
      </x:c>
      <x:c r="Q1462" s="35" t="n">
        <x:v>0</x:v>
      </x:c>
      <x:c r="R1462" s="35" t="n">
        <x:f>K1462*Q1462</x:f>
        <x:v>0</x:v>
      </x:c>
      <x:c r="S1462" s="35" t="n">
        <x:f>XLOOKUP(H1462,'菜品主数据'!$A$5:$A$24,'菜品主数据'!$G$5:$G$24,0)</x:f>
        <x:v>3.1759999999999993</x:v>
      </x:c>
      <x:c r="T1462" s="35" t="n">
        <x:f>K1462*S1462</x:f>
        <x:v>22.231999999999996</x:v>
      </x:c>
      <x:c r="U1462" s="35" t="n">
        <x:f>L1462-N1462-P1462-R1462-T1462</x:f>
        <x:v>103.768</x:v>
      </x:c>
      <x:c r="V1462" s="21" t="n">
        <x:f>IFERROR(U1462/L1462,0)</x:f>
        <x:v>0.8235555555555556</x:v>
      </x:c>
    </x:row>
    <x:row r="1463">
      <x:c r="A1463" s="19" t="str">
        <x:v>SALE-01459</x:v>
      </x:c>
      <x:c r="B1463" s="34" t="n">
        <x:v>46211.5</x:v>
      </x:c>
      <x:c r="C1463" s="19" t="str">
        <x:v>周三</x:v>
      </x:c>
      <x:c r="D1463" s="19" t="str">
        <x:v>S06</x:v>
      </x:c>
      <x:c r="E1463" s="19" t="str">
        <x:v>蓝钻天城店</x:v>
      </x:c>
      <x:c r="F1463" s="19" t="str">
        <x:v>堂食</x:v>
      </x:c>
      <x:c r="G1463" s="19" t="str">
        <x:v>全日</x:v>
      </x:c>
      <x:c r="H1463" s="19" t="str">
        <x:v>D19</x:v>
      </x:c>
      <x:c r="I1463" s="19" t="str">
        <x:v>酸萝卜炒鸡杂</x:v>
      </x:c>
      <x:c r="J1463" s="22" t="n">
        <x:f>XLOOKUP(H1463,'菜品主数据'!$A$5:$A$24,'菜品主数据'!$D$5:$D$24,0)</x:f>
        <x:v>25</x:v>
      </x:c>
      <x:c r="K1463" s="31" t="n">
        <x:v>6</x:v>
      </x:c>
      <x:c r="L1463" s="35" t="n">
        <x:f>J1463*K1463</x:f>
        <x:v>150</x:v>
      </x:c>
      <x:c r="M1463" s="36" t="n">
        <x:v>0</x:v>
      </x:c>
      <x:c r="N1463" s="35" t="n">
        <x:f>L1463*M1463</x:f>
        <x:v>0</x:v>
      </x:c>
      <x:c r="O1463" s="37" t="n">
        <x:v>0</x:v>
      </x:c>
      <x:c r="P1463" s="35" t="n">
        <x:f>L1463*O1463</x:f>
        <x:v>0</x:v>
      </x:c>
      <x:c r="Q1463" s="35" t="n">
        <x:v>0</x:v>
      </x:c>
      <x:c r="R1463" s="35" t="n">
        <x:f>K1463*Q1463</x:f>
        <x:v>0</x:v>
      </x:c>
      <x:c r="S1463" s="35" t="n">
        <x:f>XLOOKUP(H1463,'菜品主数据'!$A$5:$A$24,'菜品主数据'!$G$5:$G$24,0)</x:f>
        <x:v>7.9399999999999995</x:v>
      </x:c>
      <x:c r="T1463" s="35" t="n">
        <x:f>K1463*S1463</x:f>
        <x:v>47.64</x:v>
      </x:c>
      <x:c r="U1463" s="35" t="n">
        <x:f>L1463-N1463-P1463-R1463-T1463</x:f>
        <x:v>102.36</x:v>
      </x:c>
      <x:c r="V1463" s="21" t="n">
        <x:f>IFERROR(U1463/L1463,0)</x:f>
        <x:v>0.6824</x:v>
      </x:c>
    </x:row>
    <x:row r="1464">
      <x:c r="A1464" s="19" t="str">
        <x:v>SALE-01460</x:v>
      </x:c>
      <x:c r="B1464" s="34" t="n">
        <x:v>46211.5</x:v>
      </x:c>
      <x:c r="C1464" s="19" t="str">
        <x:v>周三</x:v>
      </x:c>
      <x:c r="D1464" s="19" t="str">
        <x:v>S06</x:v>
      </x:c>
      <x:c r="E1464" s="19" t="str">
        <x:v>蓝钻天城店</x:v>
      </x:c>
      <x:c r="F1464" s="19" t="str">
        <x:v>堂食</x:v>
      </x:c>
      <x:c r="G1464" s="19" t="str">
        <x:v>全日</x:v>
      </x:c>
      <x:c r="H1464" s="19" t="str">
        <x:v>D20</x:v>
      </x:c>
      <x:c r="I1464" s="19" t="str">
        <x:v>雪菜肉末青豆</x:v>
      </x:c>
      <x:c r="J1464" s="22" t="n">
        <x:f>XLOOKUP(H1464,'菜品主数据'!$A$5:$A$24,'菜品主数据'!$D$5:$D$24,0)</x:f>
        <x:v>18</x:v>
      </x:c>
      <x:c r="K1464" s="31" t="n">
        <x:v>8</x:v>
      </x:c>
      <x:c r="L1464" s="35" t="n">
        <x:f>J1464*K1464</x:f>
        <x:v>144</x:v>
      </x:c>
      <x:c r="M1464" s="36" t="n">
        <x:v>0</x:v>
      </x:c>
      <x:c r="N1464" s="35" t="n">
        <x:f>L1464*M1464</x:f>
        <x:v>0</x:v>
      </x:c>
      <x:c r="O1464" s="37" t="n">
        <x:v>0</x:v>
      </x:c>
      <x:c r="P1464" s="35" t="n">
        <x:f>L1464*O1464</x:f>
        <x:v>0</x:v>
      </x:c>
      <x:c r="Q1464" s="35" t="n">
        <x:v>0</x:v>
      </x:c>
      <x:c r="R1464" s="35" t="n">
        <x:f>K1464*Q1464</x:f>
        <x:v>0</x:v>
      </x:c>
      <x:c r="S1464" s="35" t="n">
        <x:f>XLOOKUP(H1464,'菜品主数据'!$A$5:$A$24,'菜品主数据'!$G$5:$G$24,0)</x:f>
        <x:v>7.303999999999999</x:v>
      </x:c>
      <x:c r="T1464" s="35" t="n">
        <x:f>K1464*S1464</x:f>
        <x:v>58.431999999999995</x:v>
      </x:c>
      <x:c r="U1464" s="35" t="n">
        <x:f>L1464-N1464-P1464-R1464-T1464</x:f>
        <x:v>85.56800000000001</x:v>
      </x:c>
      <x:c r="V1464" s="21" t="n">
        <x:f>IFERROR(U1464/L1464,0)</x:f>
        <x:v>0.5942222222222223</x:v>
      </x:c>
    </x:row>
    <x:row r="1465">
      <x:c r="A1465" s="19" t="str">
        <x:v>SALE-01461</x:v>
      </x:c>
      <x:c r="B1465" s="34" t="n">
        <x:v>46211.5</x:v>
      </x:c>
      <x:c r="C1465" s="19" t="str">
        <x:v>周三</x:v>
      </x:c>
      <x:c r="D1465" s="19" t="str">
        <x:v>S06</x:v>
      </x:c>
      <x:c r="E1465" s="19" t="str">
        <x:v>蓝钻天城店</x:v>
      </x:c>
      <x:c r="F1465" s="19" t="str">
        <x:v>外卖</x:v>
      </x:c>
      <x:c r="G1465" s="19" t="str">
        <x:v>全日</x:v>
      </x:c>
      <x:c r="H1465" s="19" t="str">
        <x:v>D01</x:v>
      </x:c>
      <x:c r="I1465" s="19" t="str">
        <x:v>辣椒炒肉</x:v>
      </x:c>
      <x:c r="J1465" s="22" t="n">
        <x:f>XLOOKUP(H1465,'菜品主数据'!$A$5:$A$24,'菜品主数据'!$D$5:$D$24,0)</x:f>
        <x:v>29</x:v>
      </x:c>
      <x:c r="K1465" s="31" t="n">
        <x:v>4</x:v>
      </x:c>
      <x:c r="L1465" s="35" t="n">
        <x:f>J1465*K1465</x:f>
        <x:v>116</x:v>
      </x:c>
      <x:c r="M1465" s="36" t="n">
        <x:v>0.08</x:v>
      </x:c>
      <x:c r="N1465" s="35" t="n">
        <x:f>L1465*M1465</x:f>
        <x:v>9.28</x:v>
      </x:c>
      <x:c r="O1465" s="37" t="n">
        <x:v>0.18</x:v>
      </x:c>
      <x:c r="P1465" s="35" t="n">
        <x:f>L1465*O1465</x:f>
        <x:v>20.88</x:v>
      </x:c>
      <x:c r="Q1465" s="35" t="n">
        <x:v>1.2</x:v>
      </x:c>
      <x:c r="R1465" s="35" t="n">
        <x:f>K1465*Q1465</x:f>
        <x:v>4.8</x:v>
      </x:c>
      <x:c r="S1465" s="35" t="n">
        <x:f>XLOOKUP(H1465,'菜品主数据'!$A$5:$A$24,'菜品主数据'!$G$5:$G$24,0)</x:f>
        <x:v>8.634400000000001</x:v>
      </x:c>
      <x:c r="T1465" s="35" t="n">
        <x:f>K1465*S1465</x:f>
        <x:v>34.537600000000005</x:v>
      </x:c>
      <x:c r="U1465" s="35" t="n">
        <x:f>L1465-N1465-P1465-R1465-T1465</x:f>
        <x:v>46.5024</x:v>
      </x:c>
      <x:c r="V1465" s="21" t="n">
        <x:f>IFERROR(U1465/L1465,0)</x:f>
        <x:v>0.40088275862068967</x:v>
      </x:c>
    </x:row>
    <x:row r="1466">
      <x:c r="A1466" s="19" t="str">
        <x:v>SALE-01462</x:v>
      </x:c>
      <x:c r="B1466" s="34" t="n">
        <x:v>46211.5</x:v>
      </x:c>
      <x:c r="C1466" s="19" t="str">
        <x:v>周三</x:v>
      </x:c>
      <x:c r="D1466" s="19" t="str">
        <x:v>S06</x:v>
      </x:c>
      <x:c r="E1466" s="19" t="str">
        <x:v>蓝钻天城店</x:v>
      </x:c>
      <x:c r="F1466" s="19" t="str">
        <x:v>外卖</x:v>
      </x:c>
      <x:c r="G1466" s="19" t="str">
        <x:v>全日</x:v>
      </x:c>
      <x:c r="H1466" s="19" t="str">
        <x:v>D02</x:v>
      </x:c>
      <x:c r="I1466" s="19" t="str">
        <x:v>小炒黄牛肉</x:v>
      </x:c>
      <x:c r="J1466" s="22" t="n">
        <x:f>XLOOKUP(H1466,'菜品主数据'!$A$5:$A$24,'菜品主数据'!$D$5:$D$24,0)</x:f>
        <x:v>49</x:v>
      </x:c>
      <x:c r="K1466" s="31" t="n">
        <x:v>8</x:v>
      </x:c>
      <x:c r="L1466" s="35" t="n">
        <x:f>J1466*K1466</x:f>
        <x:v>392</x:v>
      </x:c>
      <x:c r="M1466" s="36" t="n">
        <x:v>0.08</x:v>
      </x:c>
      <x:c r="N1466" s="35" t="n">
        <x:f>L1466*M1466</x:f>
        <x:v>31.36</x:v>
      </x:c>
      <x:c r="O1466" s="37" t="n">
        <x:v>0.18</x:v>
      </x:c>
      <x:c r="P1466" s="35" t="n">
        <x:f>L1466*O1466</x:f>
        <x:v>70.56</x:v>
      </x:c>
      <x:c r="Q1466" s="35" t="n">
        <x:v>1.2</x:v>
      </x:c>
      <x:c r="R1466" s="35" t="n">
        <x:f>K1466*Q1466</x:f>
        <x:v>9.6</x:v>
      </x:c>
      <x:c r="S1466" s="35" t="n">
        <x:f>XLOOKUP(H1466,'菜品主数据'!$A$5:$A$24,'菜品主数据'!$G$5:$G$24,0)</x:f>
        <x:v>17.577</x:v>
      </x:c>
      <x:c r="T1466" s="35" t="n">
        <x:f>K1466*S1466</x:f>
        <x:v>140.616</x:v>
      </x:c>
      <x:c r="U1466" s="35" t="n">
        <x:f>L1466-N1466-P1466-R1466-T1466</x:f>
        <x:v>139.86399999999995</x:v>
      </x:c>
      <x:c r="V1466" s="21" t="n">
        <x:f>IFERROR(U1466/L1466,0)</x:f>
        <x:v>0.3567959183673468</x:v>
      </x:c>
    </x:row>
    <x:row r="1467">
      <x:c r="A1467" s="19" t="str">
        <x:v>SALE-01463</x:v>
      </x:c>
      <x:c r="B1467" s="34" t="n">
        <x:v>46211.5</x:v>
      </x:c>
      <x:c r="C1467" s="19" t="str">
        <x:v>周三</x:v>
      </x:c>
      <x:c r="D1467" s="19" t="str">
        <x:v>S06</x:v>
      </x:c>
      <x:c r="E1467" s="19" t="str">
        <x:v>蓝钻天城店</x:v>
      </x:c>
      <x:c r="F1467" s="19" t="str">
        <x:v>外卖</x:v>
      </x:c>
      <x:c r="G1467" s="19" t="str">
        <x:v>全日</x:v>
      </x:c>
      <x:c r="H1467" s="19" t="str">
        <x:v>D03</x:v>
      </x:c>
      <x:c r="I1467" s="19" t="str">
        <x:v>香醋炒蛋</x:v>
      </x:c>
      <x:c r="J1467" s="22" t="n">
        <x:f>XLOOKUP(H1467,'菜品主数据'!$A$5:$A$24,'菜品主数据'!$D$5:$D$24,0)</x:f>
        <x:v>14.9</x:v>
      </x:c>
      <x:c r="K1467" s="31" t="n">
        <x:v>4</x:v>
      </x:c>
      <x:c r="L1467" s="35" t="n">
        <x:f>J1467*K1467</x:f>
        <x:v>59.6</x:v>
      </x:c>
      <x:c r="M1467" s="36" t="n">
        <x:v>0.08</x:v>
      </x:c>
      <x:c r="N1467" s="35" t="n">
        <x:f>L1467*M1467</x:f>
        <x:v>4.768</x:v>
      </x:c>
      <x:c r="O1467" s="37" t="n">
        <x:v>0.18</x:v>
      </x:c>
      <x:c r="P1467" s="35" t="n">
        <x:f>L1467*O1467</x:f>
        <x:v>10.728</x:v>
      </x:c>
      <x:c r="Q1467" s="35" t="n">
        <x:v>1.2</x:v>
      </x:c>
      <x:c r="R1467" s="35" t="n">
        <x:f>K1467*Q1467</x:f>
        <x:v>4.8</x:v>
      </x:c>
      <x:c r="S1467" s="35" t="n">
        <x:f>XLOOKUP(H1467,'菜品主数据'!$A$5:$A$24,'菜品主数据'!$G$5:$G$24,0)</x:f>
        <x:v>3.7459999999999996</x:v>
      </x:c>
      <x:c r="T1467" s="35" t="n">
        <x:f>K1467*S1467</x:f>
        <x:v>14.983999999999998</x:v>
      </x:c>
      <x:c r="U1467" s="35" t="n">
        <x:f>L1467-N1467-P1467-R1467-T1467</x:f>
        <x:v>24.320000000000004</x:v>
      </x:c>
      <x:c r="V1467" s="21" t="n">
        <x:f>IFERROR(U1467/L1467,0)</x:f>
        <x:v>0.40805369127516783</x:v>
      </x:c>
    </x:row>
    <x:row r="1468">
      <x:c r="A1468" s="19" t="str">
        <x:v>SALE-01464</x:v>
      </x:c>
      <x:c r="B1468" s="34" t="n">
        <x:v>46211.5</x:v>
      </x:c>
      <x:c r="C1468" s="19" t="str">
        <x:v>周三</x:v>
      </x:c>
      <x:c r="D1468" s="19" t="str">
        <x:v>S06</x:v>
      </x:c>
      <x:c r="E1468" s="19" t="str">
        <x:v>蓝钻天城店</x:v>
      </x:c>
      <x:c r="F1468" s="19" t="str">
        <x:v>外卖</x:v>
      </x:c>
      <x:c r="G1468" s="19" t="str">
        <x:v>全日</x:v>
      </x:c>
      <x:c r="H1468" s="19" t="str">
        <x:v>D04</x:v>
      </x:c>
      <x:c r="I1468" s="19" t="str">
        <x:v>酸包菜炒粉皮</x:v>
      </x:c>
      <x:c r="J1468" s="22" t="n">
        <x:f>XLOOKUP(H1468,'菜品主数据'!$A$5:$A$24,'菜品主数据'!$D$5:$D$24,0)</x:f>
        <x:v>16</x:v>
      </x:c>
      <x:c r="K1468" s="31" t="n">
        <x:v>3</x:v>
      </x:c>
      <x:c r="L1468" s="35" t="n">
        <x:f>J1468*K1468</x:f>
        <x:v>48</x:v>
      </x:c>
      <x:c r="M1468" s="36" t="n">
        <x:v>0.08</x:v>
      </x:c>
      <x:c r="N1468" s="35" t="n">
        <x:f>L1468*M1468</x:f>
        <x:v>3.84</x:v>
      </x:c>
      <x:c r="O1468" s="37" t="n">
        <x:v>0.18</x:v>
      </x:c>
      <x:c r="P1468" s="35" t="n">
        <x:f>L1468*O1468</x:f>
        <x:v>8.64</x:v>
      </x:c>
      <x:c r="Q1468" s="35" t="n">
        <x:v>1.2</x:v>
      </x:c>
      <x:c r="R1468" s="35" t="n">
        <x:f>K1468*Q1468</x:f>
        <x:v>3.5999999999999996</x:v>
      </x:c>
      <x:c r="S1468" s="35" t="n">
        <x:f>XLOOKUP(H1468,'菜品主数据'!$A$5:$A$24,'菜品主数据'!$G$5:$G$24,0)</x:f>
        <x:v>3.978</x:v>
      </x:c>
      <x:c r="T1468" s="35" t="n">
        <x:f>K1468*S1468</x:f>
        <x:v>11.934000000000001</x:v>
      </x:c>
      <x:c r="U1468" s="35" t="n">
        <x:f>L1468-N1468-P1468-R1468-T1468</x:f>
        <x:v>19.985999999999994</x:v>
      </x:c>
      <x:c r="V1468" s="21" t="n">
        <x:f>IFERROR(U1468/L1468,0)</x:f>
        <x:v>0.4163749999999999</x:v>
      </x:c>
    </x:row>
    <x:row r="1469">
      <x:c r="A1469" s="19" t="str">
        <x:v>SALE-01465</x:v>
      </x:c>
      <x:c r="B1469" s="34" t="n">
        <x:v>46211.5</x:v>
      </x:c>
      <x:c r="C1469" s="19" t="str">
        <x:v>周三</x:v>
      </x:c>
      <x:c r="D1469" s="19" t="str">
        <x:v>S06</x:v>
      </x:c>
      <x:c r="E1469" s="19" t="str">
        <x:v>蓝钻天城店</x:v>
      </x:c>
      <x:c r="F1469" s="19" t="str">
        <x:v>外卖</x:v>
      </x:c>
      <x:c r="G1469" s="19" t="str">
        <x:v>全日</x:v>
      </x:c>
      <x:c r="H1469" s="19" t="str">
        <x:v>D05</x:v>
      </x:c>
      <x:c r="I1469" s="19" t="str">
        <x:v>麻婆豆腐</x:v>
      </x:c>
      <x:c r="J1469" s="22" t="n">
        <x:f>XLOOKUP(H1469,'菜品主数据'!$A$5:$A$24,'菜品主数据'!$D$5:$D$24,0)</x:f>
        <x:v>9.9</x:v>
      </x:c>
      <x:c r="K1469" s="31" t="n">
        <x:v>6</x:v>
      </x:c>
      <x:c r="L1469" s="35" t="n">
        <x:f>J1469*K1469</x:f>
        <x:v>59.400000000000006</x:v>
      </x:c>
      <x:c r="M1469" s="36" t="n">
        <x:v>0.08</x:v>
      </x:c>
      <x:c r="N1469" s="35" t="n">
        <x:f>L1469*M1469</x:f>
        <x:v>4.752000000000001</x:v>
      </x:c>
      <x:c r="O1469" s="37" t="n">
        <x:v>0.18</x:v>
      </x:c>
      <x:c r="P1469" s="35" t="n">
        <x:f>L1469*O1469</x:f>
        <x:v>10.692</x:v>
      </x:c>
      <x:c r="Q1469" s="35" t="n">
        <x:v>1.2</x:v>
      </x:c>
      <x:c r="R1469" s="35" t="n">
        <x:f>K1469*Q1469</x:f>
        <x:v>7.199999999999999</x:v>
      </x:c>
      <x:c r="S1469" s="35" t="n">
        <x:f>XLOOKUP(H1469,'菜品主数据'!$A$5:$A$24,'菜品主数据'!$G$5:$G$24,0)</x:f>
        <x:v>5.367000000000001</x:v>
      </x:c>
      <x:c r="T1469" s="35" t="n">
        <x:f>K1469*S1469</x:f>
        <x:v>32.202000000000005</x:v>
      </x:c>
      <x:c r="U1469" s="35" t="n">
        <x:f>L1469-N1469-P1469-R1469-T1469</x:f>
        <x:v>4.553999999999995</x:v>
      </x:c>
      <x:c r="V1469" s="21" t="n">
        <x:f>IFERROR(U1469/L1469,0)</x:f>
        <x:v>0.07666666666666658</x:v>
      </x:c>
    </x:row>
    <x:row r="1470">
      <x:c r="A1470" s="19" t="str">
        <x:v>SALE-01466</x:v>
      </x:c>
      <x:c r="B1470" s="34" t="n">
        <x:v>46211.5</x:v>
      </x:c>
      <x:c r="C1470" s="19" t="str">
        <x:v>周三</x:v>
      </x:c>
      <x:c r="D1470" s="19" t="str">
        <x:v>S06</x:v>
      </x:c>
      <x:c r="E1470" s="19" t="str">
        <x:v>蓝钻天城店</x:v>
      </x:c>
      <x:c r="F1470" s="19" t="str">
        <x:v>外卖</x:v>
      </x:c>
      <x:c r="G1470" s="19" t="str">
        <x:v>全日</x:v>
      </x:c>
      <x:c r="H1470" s="19" t="str">
        <x:v>D06</x:v>
      </x:c>
      <x:c r="I1470" s="19" t="str">
        <x:v>剁椒鱼头</x:v>
      </x:c>
      <x:c r="J1470" s="22" t="n">
        <x:f>XLOOKUP(H1470,'菜品主数据'!$A$5:$A$24,'菜品主数据'!$D$5:$D$24,0)</x:f>
        <x:v>39</x:v>
      </x:c>
      <x:c r="K1470" s="31" t="n">
        <x:v>1</x:v>
      </x:c>
      <x:c r="L1470" s="35" t="n">
        <x:f>J1470*K1470</x:f>
        <x:v>39</x:v>
      </x:c>
      <x:c r="M1470" s="36" t="n">
        <x:v>0.08</x:v>
      </x:c>
      <x:c r="N1470" s="35" t="n">
        <x:f>L1470*M1470</x:f>
        <x:v>3.12</x:v>
      </x:c>
      <x:c r="O1470" s="37" t="n">
        <x:v>0.18</x:v>
      </x:c>
      <x:c r="P1470" s="35" t="n">
        <x:f>L1470*O1470</x:f>
        <x:v>7.02</x:v>
      </x:c>
      <x:c r="Q1470" s="35" t="n">
        <x:v>1.2</x:v>
      </x:c>
      <x:c r="R1470" s="35" t="n">
        <x:f>K1470*Q1470</x:f>
        <x:v>1.2</x:v>
      </x:c>
      <x:c r="S1470" s="35" t="n">
        <x:f>XLOOKUP(H1470,'菜品主数据'!$A$5:$A$24,'菜品主数据'!$G$5:$G$24,0)</x:f>
        <x:v>17.446</x:v>
      </x:c>
      <x:c r="T1470" s="35" t="n">
        <x:f>K1470*S1470</x:f>
        <x:v>17.446</x:v>
      </x:c>
      <x:c r="U1470" s="35" t="n">
        <x:f>L1470-N1470-P1470-R1470-T1470</x:f>
        <x:v>10.214000000000002</x:v>
      </x:c>
      <x:c r="V1470" s="21" t="n">
        <x:f>IFERROR(U1470/L1470,0)</x:f>
        <x:v>0.26189743589743597</x:v>
      </x:c>
    </x:row>
    <x:row r="1471">
      <x:c r="A1471" s="19" t="str">
        <x:v>SALE-01467</x:v>
      </x:c>
      <x:c r="B1471" s="34" t="n">
        <x:v>46211.5</x:v>
      </x:c>
      <x:c r="C1471" s="19" t="str">
        <x:v>周三</x:v>
      </x:c>
      <x:c r="D1471" s="19" t="str">
        <x:v>S06</x:v>
      </x:c>
      <x:c r="E1471" s="19" t="str">
        <x:v>蓝钻天城店</x:v>
      </x:c>
      <x:c r="F1471" s="19" t="str">
        <x:v>外卖</x:v>
      </x:c>
      <x:c r="G1471" s="19" t="str">
        <x:v>全日</x:v>
      </x:c>
      <x:c r="H1471" s="19" t="str">
        <x:v>D07</x:v>
      </x:c>
      <x:c r="I1471" s="19" t="str">
        <x:v>川味回锅肉</x:v>
      </x:c>
      <x:c r="J1471" s="22" t="n">
        <x:f>XLOOKUP(H1471,'菜品主数据'!$A$5:$A$24,'菜品主数据'!$D$5:$D$24,0)</x:f>
        <x:v>29</x:v>
      </x:c>
      <x:c r="K1471" s="31" t="n">
        <x:v>1</x:v>
      </x:c>
      <x:c r="L1471" s="35" t="n">
        <x:f>J1471*K1471</x:f>
        <x:v>29</x:v>
      </x:c>
      <x:c r="M1471" s="36" t="n">
        <x:v>0.08</x:v>
      </x:c>
      <x:c r="N1471" s="35" t="n">
        <x:f>L1471*M1471</x:f>
        <x:v>2.32</x:v>
      </x:c>
      <x:c r="O1471" s="37" t="n">
        <x:v>0.18</x:v>
      </x:c>
      <x:c r="P1471" s="35" t="n">
        <x:f>L1471*O1471</x:f>
        <x:v>5.22</x:v>
      </x:c>
      <x:c r="Q1471" s="35" t="n">
        <x:v>1.2</x:v>
      </x:c>
      <x:c r="R1471" s="35" t="n">
        <x:f>K1471*Q1471</x:f>
        <x:v>1.2</x:v>
      </x:c>
      <x:c r="S1471" s="35" t="n">
        <x:f>XLOOKUP(H1471,'菜品主数据'!$A$5:$A$24,'菜品主数据'!$G$5:$G$24,0)</x:f>
        <x:v>10.231000000000002</x:v>
      </x:c>
      <x:c r="T1471" s="35" t="n">
        <x:f>K1471*S1471</x:f>
        <x:v>10.231000000000002</x:v>
      </x:c>
      <x:c r="U1471" s="35" t="n">
        <x:f>L1471-N1471-P1471-R1471-T1471</x:f>
        <x:v>10.029</x:v>
      </x:c>
      <x:c r="V1471" s="21" t="n">
        <x:f>IFERROR(U1471/L1471,0)</x:f>
        <x:v>0.3458275862068966</x:v>
      </x:c>
    </x:row>
    <x:row r="1472">
      <x:c r="A1472" s="19" t="str">
        <x:v>SALE-01468</x:v>
      </x:c>
      <x:c r="B1472" s="34" t="n">
        <x:v>46211.5</x:v>
      </x:c>
      <x:c r="C1472" s="19" t="str">
        <x:v>周三</x:v>
      </x:c>
      <x:c r="D1472" s="19" t="str">
        <x:v>S06</x:v>
      </x:c>
      <x:c r="E1472" s="19" t="str">
        <x:v>蓝钻天城店</x:v>
      </x:c>
      <x:c r="F1472" s="19" t="str">
        <x:v>外卖</x:v>
      </x:c>
      <x:c r="G1472" s="19" t="str">
        <x:v>全日</x:v>
      </x:c>
      <x:c r="H1472" s="19" t="str">
        <x:v>D08</x:v>
      </x:c>
      <x:c r="I1472" s="19" t="str">
        <x:v>生炒清远鸡</x:v>
      </x:c>
      <x:c r="J1472" s="22" t="n">
        <x:f>XLOOKUP(H1472,'菜品主数据'!$A$5:$A$24,'菜品主数据'!$D$5:$D$24,0)</x:f>
        <x:v>36</x:v>
      </x:c>
      <x:c r="K1472" s="31" t="n">
        <x:v>1</x:v>
      </x:c>
      <x:c r="L1472" s="35" t="n">
        <x:f>J1472*K1472</x:f>
        <x:v>36</x:v>
      </x:c>
      <x:c r="M1472" s="36" t="n">
        <x:v>0.08</x:v>
      </x:c>
      <x:c r="N1472" s="35" t="n">
        <x:f>L1472*M1472</x:f>
        <x:v>2.88</x:v>
      </x:c>
      <x:c r="O1472" s="37" t="n">
        <x:v>0.18</x:v>
      </x:c>
      <x:c r="P1472" s="35" t="n">
        <x:f>L1472*O1472</x:f>
        <x:v>6.4799999999999995</x:v>
      </x:c>
      <x:c r="Q1472" s="35" t="n">
        <x:v>1.2</x:v>
      </x:c>
      <x:c r="R1472" s="35" t="n">
        <x:f>K1472*Q1472</x:f>
        <x:v>1.2</x:v>
      </x:c>
      <x:c r="S1472" s="35" t="n">
        <x:f>XLOOKUP(H1472,'菜品主数据'!$A$5:$A$24,'菜品主数据'!$G$5:$G$24,0)</x:f>
        <x:v>13.48</x:v>
      </x:c>
      <x:c r="T1472" s="35" t="n">
        <x:f>K1472*S1472</x:f>
        <x:v>13.48</x:v>
      </x:c>
      <x:c r="U1472" s="35" t="n">
        <x:f>L1472-N1472-P1472-R1472-T1472</x:f>
        <x:v>11.959999999999997</x:v>
      </x:c>
      <x:c r="V1472" s="21" t="n">
        <x:f>IFERROR(U1472/L1472,0)</x:f>
        <x:v>0.33222222222222214</x:v>
      </x:c>
    </x:row>
    <x:row r="1473">
      <x:c r="A1473" s="19" t="str">
        <x:v>SALE-01469</x:v>
      </x:c>
      <x:c r="B1473" s="34" t="n">
        <x:v>46211.5</x:v>
      </x:c>
      <x:c r="C1473" s="19" t="str">
        <x:v>周三</x:v>
      </x:c>
      <x:c r="D1473" s="19" t="str">
        <x:v>S06</x:v>
      </x:c>
      <x:c r="E1473" s="19" t="str">
        <x:v>蓝钻天城店</x:v>
      </x:c>
      <x:c r="F1473" s="19" t="str">
        <x:v>外卖</x:v>
      </x:c>
      <x:c r="G1473" s="19" t="str">
        <x:v>全日</x:v>
      </x:c>
      <x:c r="H1473" s="19" t="str">
        <x:v>D09</x:v>
      </x:c>
      <x:c r="I1473" s="19" t="str">
        <x:v>炒豆干</x:v>
      </x:c>
      <x:c r="J1473" s="22" t="n">
        <x:f>XLOOKUP(H1473,'菜品主数据'!$A$5:$A$24,'菜品主数据'!$D$5:$D$24,0)</x:f>
        <x:v>18</x:v>
      </x:c>
      <x:c r="K1473" s="31" t="n">
        <x:v>1</x:v>
      </x:c>
      <x:c r="L1473" s="35" t="n">
        <x:f>J1473*K1473</x:f>
        <x:v>18</x:v>
      </x:c>
      <x:c r="M1473" s="36" t="n">
        <x:v>0.08</x:v>
      </x:c>
      <x:c r="N1473" s="35" t="n">
        <x:f>L1473*M1473</x:f>
        <x:v>1.44</x:v>
      </x:c>
      <x:c r="O1473" s="37" t="n">
        <x:v>0.18</x:v>
      </x:c>
      <x:c r="P1473" s="35" t="n">
        <x:f>L1473*O1473</x:f>
        <x:v>3.2399999999999998</x:v>
      </x:c>
      <x:c r="Q1473" s="35" t="n">
        <x:v>1.2</x:v>
      </x:c>
      <x:c r="R1473" s="35" t="n">
        <x:f>K1473*Q1473</x:f>
        <x:v>1.2</x:v>
      </x:c>
      <x:c r="S1473" s="35" t="n">
        <x:f>XLOOKUP(H1473,'菜品主数据'!$A$5:$A$24,'菜品主数据'!$G$5:$G$24,0)</x:f>
        <x:v>6.613999999999999</x:v>
      </x:c>
      <x:c r="T1473" s="35" t="n">
        <x:f>K1473*S1473</x:f>
        <x:v>6.613999999999999</x:v>
      </x:c>
      <x:c r="U1473" s="35" t="n">
        <x:f>L1473-N1473-P1473-R1473-T1473</x:f>
        <x:v>5.506</x:v>
      </x:c>
      <x:c r="V1473" s="21" t="n">
        <x:f>IFERROR(U1473/L1473,0)</x:f>
        <x:v>0.3058888888888889</x:v>
      </x:c>
    </x:row>
    <x:row r="1474">
      <x:c r="A1474" s="19" t="str">
        <x:v>SALE-01470</x:v>
      </x:c>
      <x:c r="B1474" s="34" t="n">
        <x:v>46211.5</x:v>
      </x:c>
      <x:c r="C1474" s="19" t="str">
        <x:v>周三</x:v>
      </x:c>
      <x:c r="D1474" s="19" t="str">
        <x:v>S06</x:v>
      </x:c>
      <x:c r="E1474" s="19" t="str">
        <x:v>蓝钻天城店</x:v>
      </x:c>
      <x:c r="F1474" s="19" t="str">
        <x:v>外卖</x:v>
      </x:c>
      <x:c r="G1474" s="19" t="str">
        <x:v>全日</x:v>
      </x:c>
      <x:c r="H1474" s="19" t="str">
        <x:v>D10</x:v>
      </x:c>
      <x:c r="I1474" s="19" t="str">
        <x:v>农家一碗香</x:v>
      </x:c>
      <x:c r="J1474" s="22" t="n">
        <x:f>XLOOKUP(H1474,'菜品主数据'!$A$5:$A$24,'菜品主数据'!$D$5:$D$24,0)</x:f>
        <x:v>22.9</x:v>
      </x:c>
      <x:c r="K1474" s="31" t="n">
        <x:v>1</x:v>
      </x:c>
      <x:c r="L1474" s="35" t="n">
        <x:f>J1474*K1474</x:f>
        <x:v>22.9</x:v>
      </x:c>
      <x:c r="M1474" s="36" t="n">
        <x:v>0.08</x:v>
      </x:c>
      <x:c r="N1474" s="35" t="n">
        <x:f>L1474*M1474</x:f>
        <x:v>1.8319999999999999</x:v>
      </x:c>
      <x:c r="O1474" s="37" t="n">
        <x:v>0.18</x:v>
      </x:c>
      <x:c r="P1474" s="35" t="n">
        <x:f>L1474*O1474</x:f>
        <x:v>4.122</x:v>
      </x:c>
      <x:c r="Q1474" s="35" t="n">
        <x:v>1.2</x:v>
      </x:c>
      <x:c r="R1474" s="35" t="n">
        <x:f>K1474*Q1474</x:f>
        <x:v>1.2</x:v>
      </x:c>
      <x:c r="S1474" s="35" t="n">
        <x:f>XLOOKUP(H1474,'菜品主数据'!$A$5:$A$24,'菜品主数据'!$G$5:$G$24,0)</x:f>
        <x:v>9.770200000000003</x:v>
      </x:c>
      <x:c r="T1474" s="35" t="n">
        <x:f>K1474*S1474</x:f>
        <x:v>9.770200000000003</x:v>
      </x:c>
      <x:c r="U1474" s="35" t="n">
        <x:f>L1474-N1474-P1474-R1474-T1474</x:f>
        <x:v>5.975799999999996</x:v>
      </x:c>
      <x:c r="V1474" s="21" t="n">
        <x:f>IFERROR(U1474/L1474,0)</x:f>
        <x:v>0.260951965065502</x:v>
      </x:c>
    </x:row>
    <x:row r="1475">
      <x:c r="A1475" s="19" t="str">
        <x:v>SALE-01471</x:v>
      </x:c>
      <x:c r="B1475" s="34" t="n">
        <x:v>46211.5</x:v>
      </x:c>
      <x:c r="C1475" s="19" t="str">
        <x:v>周三</x:v>
      </x:c>
      <x:c r="D1475" s="19" t="str">
        <x:v>S06</x:v>
      </x:c>
      <x:c r="E1475" s="19" t="str">
        <x:v>蓝钻天城店</x:v>
      </x:c>
      <x:c r="F1475" s="19" t="str">
        <x:v>外卖</x:v>
      </x:c>
      <x:c r="G1475" s="19" t="str">
        <x:v>全日</x:v>
      </x:c>
      <x:c r="H1475" s="19" t="str">
        <x:v>D11</x:v>
      </x:c>
      <x:c r="I1475" s="19" t="str">
        <x:v>香辣爆肥肠</x:v>
      </x:c>
      <x:c r="J1475" s="22" t="n">
        <x:f>XLOOKUP(H1475,'菜品主数据'!$A$5:$A$24,'菜品主数据'!$D$5:$D$24,0)</x:f>
        <x:v>39</x:v>
      </x:c>
      <x:c r="K1475" s="31" t="n">
        <x:v>0</x:v>
      </x:c>
      <x:c r="L1475" s="35" t="n">
        <x:f>J1475*K1475</x:f>
        <x:v>0</x:v>
      </x:c>
      <x:c r="M1475" s="36" t="n">
        <x:v>0.08</x:v>
      </x:c>
      <x:c r="N1475" s="35" t="n">
        <x:f>L1475*M1475</x:f>
        <x:v>0</x:v>
      </x:c>
      <x:c r="O1475" s="37" t="n">
        <x:v>0.18</x:v>
      </x:c>
      <x:c r="P1475" s="35" t="n">
        <x:f>L1475*O1475</x:f>
        <x:v>0</x:v>
      </x:c>
      <x:c r="Q1475" s="35" t="n">
        <x:v>1.2</x:v>
      </x:c>
      <x:c r="R1475" s="35" t="n">
        <x:f>K1475*Q1475</x:f>
        <x:v>0</x:v>
      </x:c>
      <x:c r="S1475" s="35" t="n">
        <x:f>XLOOKUP(H1475,'菜品主数据'!$A$5:$A$24,'菜品主数据'!$G$5:$G$24,0)</x:f>
        <x:v>10.397</x:v>
      </x:c>
      <x:c r="T1475" s="35" t="n">
        <x:f>K1475*S1475</x:f>
        <x:v>0</x:v>
      </x:c>
      <x:c r="U1475" s="35" t="n">
        <x:f>L1475-N1475-P1475-R1475-T1475</x:f>
        <x:v>0</x:v>
      </x:c>
      <x:c r="V1475" s="21" t="n">
        <x:f>IFERROR(U1475/L1475,0)</x:f>
        <x:v>0</x:v>
      </x:c>
    </x:row>
    <x:row r="1476">
      <x:c r="A1476" s="19" t="str">
        <x:v>SALE-01472</x:v>
      </x:c>
      <x:c r="B1476" s="34" t="n">
        <x:v>46211.5</x:v>
      </x:c>
      <x:c r="C1476" s="19" t="str">
        <x:v>周三</x:v>
      </x:c>
      <x:c r="D1476" s="19" t="str">
        <x:v>S06</x:v>
      </x:c>
      <x:c r="E1476" s="19" t="str">
        <x:v>蓝钻天城店</x:v>
      </x:c>
      <x:c r="F1476" s="19" t="str">
        <x:v>外卖</x:v>
      </x:c>
      <x:c r="G1476" s="19" t="str">
        <x:v>全日</x:v>
      </x:c>
      <x:c r="H1476" s="19" t="str">
        <x:v>D12</x:v>
      </x:c>
      <x:c r="I1476" s="19" t="str">
        <x:v>清蒸鲈鱼</x:v>
      </x:c>
      <x:c r="J1476" s="22" t="n">
        <x:f>XLOOKUP(H1476,'菜品主数据'!$A$5:$A$24,'菜品主数据'!$D$5:$D$24,0)</x:f>
        <x:v>39</x:v>
      </x:c>
      <x:c r="K1476" s="31" t="n">
        <x:v>0</x:v>
      </x:c>
      <x:c r="L1476" s="35" t="n">
        <x:f>J1476*K1476</x:f>
        <x:v>0</x:v>
      </x:c>
      <x:c r="M1476" s="36" t="n">
        <x:v>0.08</x:v>
      </x:c>
      <x:c r="N1476" s="35" t="n">
        <x:f>L1476*M1476</x:f>
        <x:v>0</x:v>
      </x:c>
      <x:c r="O1476" s="37" t="n">
        <x:v>0.18</x:v>
      </x:c>
      <x:c r="P1476" s="35" t="n">
        <x:f>L1476*O1476</x:f>
        <x:v>0</x:v>
      </x:c>
      <x:c r="Q1476" s="35" t="n">
        <x:v>1.2</x:v>
      </x:c>
      <x:c r="R1476" s="35" t="n">
        <x:f>K1476*Q1476</x:f>
        <x:v>0</x:v>
      </x:c>
      <x:c r="S1476" s="35" t="n">
        <x:f>XLOOKUP(H1476,'菜品主数据'!$A$5:$A$24,'菜品主数据'!$G$5:$G$24,0)</x:f>
        <x:v>18.874</x:v>
      </x:c>
      <x:c r="T1476" s="35" t="n">
        <x:f>K1476*S1476</x:f>
        <x:v>0</x:v>
      </x:c>
      <x:c r="U1476" s="35" t="n">
        <x:f>L1476-N1476-P1476-R1476-T1476</x:f>
        <x:v>0</x:v>
      </x:c>
      <x:c r="V1476" s="21" t="n">
        <x:f>IFERROR(U1476/L1476,0)</x:f>
        <x:v>0</x:v>
      </x:c>
    </x:row>
    <x:row r="1477">
      <x:c r="A1477" s="19" t="str">
        <x:v>SALE-01473</x:v>
      </x:c>
      <x:c r="B1477" s="34" t="n">
        <x:v>46211.5</x:v>
      </x:c>
      <x:c r="C1477" s="19" t="str">
        <x:v>周三</x:v>
      </x:c>
      <x:c r="D1477" s="19" t="str">
        <x:v>S06</x:v>
      </x:c>
      <x:c r="E1477" s="19" t="str">
        <x:v>蓝钻天城店</x:v>
      </x:c>
      <x:c r="F1477" s="19" t="str">
        <x:v>外卖</x:v>
      </x:c>
      <x:c r="G1477" s="19" t="str">
        <x:v>全日</x:v>
      </x:c>
      <x:c r="H1477" s="19" t="str">
        <x:v>D13</x:v>
      </x:c>
      <x:c r="I1477" s="19" t="str">
        <x:v>外婆菜炒蛋</x:v>
      </x:c>
      <x:c r="J1477" s="22" t="n">
        <x:f>XLOOKUP(H1477,'菜品主数据'!$A$5:$A$24,'菜品主数据'!$D$5:$D$24,0)</x:f>
        <x:v>18</x:v>
      </x:c>
      <x:c r="K1477" s="31" t="n">
        <x:v>1</x:v>
      </x:c>
      <x:c r="L1477" s="35" t="n">
        <x:f>J1477*K1477</x:f>
        <x:v>18</x:v>
      </x:c>
      <x:c r="M1477" s="36" t="n">
        <x:v>0.08</x:v>
      </x:c>
      <x:c r="N1477" s="35" t="n">
        <x:f>L1477*M1477</x:f>
        <x:v>1.44</x:v>
      </x:c>
      <x:c r="O1477" s="37" t="n">
        <x:v>0.18</x:v>
      </x:c>
      <x:c r="P1477" s="35" t="n">
        <x:f>L1477*O1477</x:f>
        <x:v>3.2399999999999998</x:v>
      </x:c>
      <x:c r="Q1477" s="35" t="n">
        <x:v>1.2</x:v>
      </x:c>
      <x:c r="R1477" s="35" t="n">
        <x:f>K1477*Q1477</x:f>
        <x:v>1.2</x:v>
      </x:c>
      <x:c r="S1477" s="35" t="n">
        <x:f>XLOOKUP(H1477,'菜品主数据'!$A$5:$A$24,'菜品主数据'!$G$5:$G$24,0)</x:f>
        <x:v>5.403999999999999</x:v>
      </x:c>
      <x:c r="T1477" s="35" t="n">
        <x:f>K1477*S1477</x:f>
        <x:v>5.403999999999999</x:v>
      </x:c>
      <x:c r="U1477" s="35" t="n">
        <x:f>L1477-N1477-P1477-R1477-T1477</x:f>
        <x:v>6.716</x:v>
      </x:c>
      <x:c r="V1477" s="21" t="n">
        <x:f>IFERROR(U1477/L1477,0)</x:f>
        <x:v>0.3731111111111111</x:v>
      </x:c>
    </x:row>
    <x:row r="1478">
      <x:c r="A1478" s="19" t="str">
        <x:v>SALE-01474</x:v>
      </x:c>
      <x:c r="B1478" s="34" t="n">
        <x:v>46211.5</x:v>
      </x:c>
      <x:c r="C1478" s="19" t="str">
        <x:v>周三</x:v>
      </x:c>
      <x:c r="D1478" s="19" t="str">
        <x:v>S06</x:v>
      </x:c>
      <x:c r="E1478" s="19" t="str">
        <x:v>蓝钻天城店</x:v>
      </x:c>
      <x:c r="F1478" s="19" t="str">
        <x:v>外卖</x:v>
      </x:c>
      <x:c r="G1478" s="19" t="str">
        <x:v>全日</x:v>
      </x:c>
      <x:c r="H1478" s="19" t="str">
        <x:v>D14</x:v>
      </x:c>
      <x:c r="I1478" s="19" t="str">
        <x:v>酸辣鸡杂</x:v>
      </x:c>
      <x:c r="J1478" s="22" t="n">
        <x:f>XLOOKUP(H1478,'菜品主数据'!$A$5:$A$24,'菜品主数据'!$D$5:$D$24,0)</x:f>
        <x:v>28</x:v>
      </x:c>
      <x:c r="K1478" s="31" t="n">
        <x:v>0</x:v>
      </x:c>
      <x:c r="L1478" s="35" t="n">
        <x:f>J1478*K1478</x:f>
        <x:v>0</x:v>
      </x:c>
      <x:c r="M1478" s="36" t="n">
        <x:v>0.08</x:v>
      </x:c>
      <x:c r="N1478" s="35" t="n">
        <x:f>L1478*M1478</x:f>
        <x:v>0</x:v>
      </x:c>
      <x:c r="O1478" s="37" t="n">
        <x:v>0.18</x:v>
      </x:c>
      <x:c r="P1478" s="35" t="n">
        <x:f>L1478*O1478</x:f>
        <x:v>0</x:v>
      </x:c>
      <x:c r="Q1478" s="35" t="n">
        <x:v>1.2</x:v>
      </x:c>
      <x:c r="R1478" s="35" t="n">
        <x:f>K1478*Q1478</x:f>
        <x:v>0</x:v>
      </x:c>
      <x:c r="S1478" s="35" t="n">
        <x:f>XLOOKUP(H1478,'菜品主数据'!$A$5:$A$24,'菜品主数据'!$G$5:$G$24,0)</x:f>
        <x:v>8.315000000000001</x:v>
      </x:c>
      <x:c r="T1478" s="35" t="n">
        <x:f>K1478*S1478</x:f>
        <x:v>0</x:v>
      </x:c>
      <x:c r="U1478" s="35" t="n">
        <x:f>L1478-N1478-P1478-R1478-T1478</x:f>
        <x:v>0</x:v>
      </x:c>
      <x:c r="V1478" s="21" t="n">
        <x:f>IFERROR(U1478/L1478,0)</x:f>
        <x:v>0</x:v>
      </x:c>
    </x:row>
    <x:row r="1479">
      <x:c r="A1479" s="19" t="str">
        <x:v>SALE-01475</x:v>
      </x:c>
      <x:c r="B1479" s="34" t="n">
        <x:v>46211.5</x:v>
      </x:c>
      <x:c r="C1479" s="19" t="str">
        <x:v>周三</x:v>
      </x:c>
      <x:c r="D1479" s="19" t="str">
        <x:v>S06</x:v>
      </x:c>
      <x:c r="E1479" s="19" t="str">
        <x:v>蓝钻天城店</x:v>
      </x:c>
      <x:c r="F1479" s="19" t="str">
        <x:v>外卖</x:v>
      </x:c>
      <x:c r="G1479" s="19" t="str">
        <x:v>全日</x:v>
      </x:c>
      <x:c r="H1479" s="19" t="str">
        <x:v>D15</x:v>
      </x:c>
      <x:c r="I1479" s="19" t="str">
        <x:v>湘西土匪猪肝</x:v>
      </x:c>
      <x:c r="J1479" s="22" t="n">
        <x:f>XLOOKUP(H1479,'菜品主数据'!$A$5:$A$24,'菜品主数据'!$D$5:$D$24,0)</x:f>
        <x:v>26</x:v>
      </x:c>
      <x:c r="K1479" s="31" t="n">
        <x:v>0</x:v>
      </x:c>
      <x:c r="L1479" s="35" t="n">
        <x:f>J1479*K1479</x:f>
        <x:v>0</x:v>
      </x:c>
      <x:c r="M1479" s="36" t="n">
        <x:v>0.08</x:v>
      </x:c>
      <x:c r="N1479" s="35" t="n">
        <x:f>L1479*M1479</x:f>
        <x:v>0</x:v>
      </x:c>
      <x:c r="O1479" s="37" t="n">
        <x:v>0.18</x:v>
      </x:c>
      <x:c r="P1479" s="35" t="n">
        <x:f>L1479*O1479</x:f>
        <x:v>0</x:v>
      </x:c>
      <x:c r="Q1479" s="35" t="n">
        <x:v>1.2</x:v>
      </x:c>
      <x:c r="R1479" s="35" t="n">
        <x:f>K1479*Q1479</x:f>
        <x:v>0</x:v>
      </x:c>
      <x:c r="S1479" s="35" t="n">
        <x:f>XLOOKUP(H1479,'菜品主数据'!$A$5:$A$24,'菜品主数据'!$G$5:$G$24,0)</x:f>
        <x:v>6.3759999999999994</x:v>
      </x:c>
      <x:c r="T1479" s="35" t="n">
        <x:f>K1479*S1479</x:f>
        <x:v>0</x:v>
      </x:c>
      <x:c r="U1479" s="35" t="n">
        <x:f>L1479-N1479-P1479-R1479-T1479</x:f>
        <x:v>0</x:v>
      </x:c>
      <x:c r="V1479" s="21" t="n">
        <x:f>IFERROR(U1479/L1479,0)</x:f>
        <x:v>0</x:v>
      </x:c>
    </x:row>
    <x:row r="1480">
      <x:c r="A1480" s="19" t="str">
        <x:v>SALE-01476</x:v>
      </x:c>
      <x:c r="B1480" s="34" t="n">
        <x:v>46211.5</x:v>
      </x:c>
      <x:c r="C1480" s="19" t="str">
        <x:v>周三</x:v>
      </x:c>
      <x:c r="D1480" s="19" t="str">
        <x:v>S06</x:v>
      </x:c>
      <x:c r="E1480" s="19" t="str">
        <x:v>蓝钻天城店</x:v>
      </x:c>
      <x:c r="F1480" s="19" t="str">
        <x:v>外卖</x:v>
      </x:c>
      <x:c r="G1480" s="19" t="str">
        <x:v>全日</x:v>
      </x:c>
      <x:c r="H1480" s="19" t="str">
        <x:v>D16</x:v>
      </x:c>
      <x:c r="I1480" s="19" t="str">
        <x:v>小豆角炒五花</x:v>
      </x:c>
      <x:c r="J1480" s="22" t="n">
        <x:f>XLOOKUP(H1480,'菜品主数据'!$A$5:$A$24,'菜品主数据'!$D$5:$D$24,0)</x:f>
        <x:v>25</x:v>
      </x:c>
      <x:c r="K1480" s="31" t="n">
        <x:v>0</x:v>
      </x:c>
      <x:c r="L1480" s="35" t="n">
        <x:f>J1480*K1480</x:f>
        <x:v>0</x:v>
      </x:c>
      <x:c r="M1480" s="36" t="n">
        <x:v>0.08</x:v>
      </x:c>
      <x:c r="N1480" s="35" t="n">
        <x:f>L1480*M1480</x:f>
        <x:v>0</x:v>
      </x:c>
      <x:c r="O1480" s="37" t="n">
        <x:v>0.18</x:v>
      </x:c>
      <x:c r="P1480" s="35" t="n">
        <x:f>L1480*O1480</x:f>
        <x:v>0</x:v>
      </x:c>
      <x:c r="Q1480" s="35" t="n">
        <x:v>1.2</x:v>
      </x:c>
      <x:c r="R1480" s="35" t="n">
        <x:f>K1480*Q1480</x:f>
        <x:v>0</x:v>
      </x:c>
      <x:c r="S1480" s="35" t="n">
        <x:f>XLOOKUP(H1480,'菜品主数据'!$A$5:$A$24,'菜品主数据'!$G$5:$G$24,0)</x:f>
        <x:v>8.184</x:v>
      </x:c>
      <x:c r="T1480" s="35" t="n">
        <x:f>K1480*S1480</x:f>
        <x:v>0</x:v>
      </x:c>
      <x:c r="U1480" s="35" t="n">
        <x:f>L1480-N1480-P1480-R1480-T1480</x:f>
        <x:v>0</x:v>
      </x:c>
      <x:c r="V1480" s="21" t="n">
        <x:f>IFERROR(U1480/L1480,0)</x:f>
        <x:v>0</x:v>
      </x:c>
    </x:row>
    <x:row r="1481">
      <x:c r="A1481" s="19" t="str">
        <x:v>SALE-01477</x:v>
      </x:c>
      <x:c r="B1481" s="34" t="n">
        <x:v>46211.5</x:v>
      </x:c>
      <x:c r="C1481" s="19" t="str">
        <x:v>周三</x:v>
      </x:c>
      <x:c r="D1481" s="19" t="str">
        <x:v>S06</x:v>
      </x:c>
      <x:c r="E1481" s="19" t="str">
        <x:v>蓝钻天城店</x:v>
      </x:c>
      <x:c r="F1481" s="19" t="str">
        <x:v>外卖</x:v>
      </x:c>
      <x:c r="G1481" s="19" t="str">
        <x:v>全日</x:v>
      </x:c>
      <x:c r="H1481" s="19" t="str">
        <x:v>D17</x:v>
      </x:c>
      <x:c r="I1481" s="19" t="str">
        <x:v>蒜蓉粉丝虾</x:v>
      </x:c>
      <x:c r="J1481" s="22" t="n">
        <x:f>XLOOKUP(H1481,'菜品主数据'!$A$5:$A$24,'菜品主数据'!$D$5:$D$24,0)</x:f>
        <x:v>36</x:v>
      </x:c>
      <x:c r="K1481" s="31" t="n">
        <x:v>0</x:v>
      </x:c>
      <x:c r="L1481" s="35" t="n">
        <x:f>J1481*K1481</x:f>
        <x:v>0</x:v>
      </x:c>
      <x:c r="M1481" s="36" t="n">
        <x:v>0.08</x:v>
      </x:c>
      <x:c r="N1481" s="35" t="n">
        <x:f>L1481*M1481</x:f>
        <x:v>0</x:v>
      </x:c>
      <x:c r="O1481" s="37" t="n">
        <x:v>0.18</x:v>
      </x:c>
      <x:c r="P1481" s="35" t="n">
        <x:f>L1481*O1481</x:f>
        <x:v>0</x:v>
      </x:c>
      <x:c r="Q1481" s="35" t="n">
        <x:v>1.2</x:v>
      </x:c>
      <x:c r="R1481" s="35" t="n">
        <x:f>K1481*Q1481</x:f>
        <x:v>0</x:v>
      </x:c>
      <x:c r="S1481" s="35" t="n">
        <x:f>XLOOKUP(H1481,'菜品主数据'!$A$5:$A$24,'菜品主数据'!$G$5:$G$24,0)</x:f>
        <x:v>13.594</x:v>
      </x:c>
      <x:c r="T1481" s="35" t="n">
        <x:f>K1481*S1481</x:f>
        <x:v>0</x:v>
      </x:c>
      <x:c r="U1481" s="35" t="n">
        <x:f>L1481-N1481-P1481-R1481-T1481</x:f>
        <x:v>0</x:v>
      </x:c>
      <x:c r="V1481" s="21" t="n">
        <x:f>IFERROR(U1481/L1481,0)</x:f>
        <x:v>0</x:v>
      </x:c>
    </x:row>
    <x:row r="1482">
      <x:c r="A1482" s="19" t="str">
        <x:v>SALE-01478</x:v>
      </x:c>
      <x:c r="B1482" s="34" t="n">
        <x:v>46211.5</x:v>
      </x:c>
      <x:c r="C1482" s="19" t="str">
        <x:v>周三</x:v>
      </x:c>
      <x:c r="D1482" s="19" t="str">
        <x:v>S06</x:v>
      </x:c>
      <x:c r="E1482" s="19" t="str">
        <x:v>蓝钻天城店</x:v>
      </x:c>
      <x:c r="F1482" s="19" t="str">
        <x:v>外卖</x:v>
      </x:c>
      <x:c r="G1482" s="19" t="str">
        <x:v>全日</x:v>
      </x:c>
      <x:c r="H1482" s="19" t="str">
        <x:v>D18</x:v>
      </x:c>
      <x:c r="I1482" s="19" t="str">
        <x:v>青椒炒油麦菜</x:v>
      </x:c>
      <x:c r="J1482" s="22" t="n">
        <x:f>XLOOKUP(H1482,'菜品主数据'!$A$5:$A$24,'菜品主数据'!$D$5:$D$24,0)</x:f>
        <x:v>18</x:v>
      </x:c>
      <x:c r="K1482" s="31" t="n">
        <x:v>0</x:v>
      </x:c>
      <x:c r="L1482" s="35" t="n">
        <x:f>J1482*K1482</x:f>
        <x:v>0</x:v>
      </x:c>
      <x:c r="M1482" s="36" t="n">
        <x:v>0.08</x:v>
      </x:c>
      <x:c r="N1482" s="35" t="n">
        <x:f>L1482*M1482</x:f>
        <x:v>0</x:v>
      </x:c>
      <x:c r="O1482" s="37" t="n">
        <x:v>0.18</x:v>
      </x:c>
      <x:c r="P1482" s="35" t="n">
        <x:f>L1482*O1482</x:f>
        <x:v>0</x:v>
      </x:c>
      <x:c r="Q1482" s="35" t="n">
        <x:v>1.2</x:v>
      </x:c>
      <x:c r="R1482" s="35" t="n">
        <x:f>K1482*Q1482</x:f>
        <x:v>0</x:v>
      </x:c>
      <x:c r="S1482" s="35" t="n">
        <x:f>XLOOKUP(H1482,'菜品主数据'!$A$5:$A$24,'菜品主数据'!$G$5:$G$24,0)</x:f>
        <x:v>3.1759999999999993</x:v>
      </x:c>
      <x:c r="T1482" s="35" t="n">
        <x:f>K1482*S1482</x:f>
        <x:v>0</x:v>
      </x:c>
      <x:c r="U1482" s="35" t="n">
        <x:f>L1482-N1482-P1482-R1482-T1482</x:f>
        <x:v>0</x:v>
      </x:c>
      <x:c r="V1482" s="21" t="n">
        <x:f>IFERROR(U1482/L1482,0)</x:f>
        <x:v>0</x:v>
      </x:c>
    </x:row>
    <x:row r="1483">
      <x:c r="A1483" s="19" t="str">
        <x:v>SALE-01479</x:v>
      </x:c>
      <x:c r="B1483" s="34" t="n">
        <x:v>46211.5</x:v>
      </x:c>
      <x:c r="C1483" s="19" t="str">
        <x:v>周三</x:v>
      </x:c>
      <x:c r="D1483" s="19" t="str">
        <x:v>S06</x:v>
      </x:c>
      <x:c r="E1483" s="19" t="str">
        <x:v>蓝钻天城店</x:v>
      </x:c>
      <x:c r="F1483" s="19" t="str">
        <x:v>外卖</x:v>
      </x:c>
      <x:c r="G1483" s="19" t="str">
        <x:v>全日</x:v>
      </x:c>
      <x:c r="H1483" s="19" t="str">
        <x:v>D19</x:v>
      </x:c>
      <x:c r="I1483" s="19" t="str">
        <x:v>酸萝卜炒鸡杂</x:v>
      </x:c>
      <x:c r="J1483" s="22" t="n">
        <x:f>XLOOKUP(H1483,'菜品主数据'!$A$5:$A$24,'菜品主数据'!$D$5:$D$24,0)</x:f>
        <x:v>25</x:v>
      </x:c>
      <x:c r="K1483" s="31" t="n">
        <x:v>0</x:v>
      </x:c>
      <x:c r="L1483" s="35" t="n">
        <x:f>J1483*K1483</x:f>
        <x:v>0</x:v>
      </x:c>
      <x:c r="M1483" s="36" t="n">
        <x:v>0.08</x:v>
      </x:c>
      <x:c r="N1483" s="35" t="n">
        <x:f>L1483*M1483</x:f>
        <x:v>0</x:v>
      </x:c>
      <x:c r="O1483" s="37" t="n">
        <x:v>0.18</x:v>
      </x:c>
      <x:c r="P1483" s="35" t="n">
        <x:f>L1483*O1483</x:f>
        <x:v>0</x:v>
      </x:c>
      <x:c r="Q1483" s="35" t="n">
        <x:v>1.2</x:v>
      </x:c>
      <x:c r="R1483" s="35" t="n">
        <x:f>K1483*Q1483</x:f>
        <x:v>0</x:v>
      </x:c>
      <x:c r="S1483" s="35" t="n">
        <x:f>XLOOKUP(H1483,'菜品主数据'!$A$5:$A$24,'菜品主数据'!$G$5:$G$24,0)</x:f>
        <x:v>7.9399999999999995</x:v>
      </x:c>
      <x:c r="T1483" s="35" t="n">
        <x:f>K1483*S1483</x:f>
        <x:v>0</x:v>
      </x:c>
      <x:c r="U1483" s="35" t="n">
        <x:f>L1483-N1483-P1483-R1483-T1483</x:f>
        <x:v>0</x:v>
      </x:c>
      <x:c r="V1483" s="21" t="n">
        <x:f>IFERROR(U1483/L1483,0)</x:f>
        <x:v>0</x:v>
      </x:c>
    </x:row>
    <x:row r="1484">
      <x:c r="A1484" s="19" t="str">
        <x:v>SALE-01480</x:v>
      </x:c>
      <x:c r="B1484" s="34" t="n">
        <x:v>46211.5</x:v>
      </x:c>
      <x:c r="C1484" s="19" t="str">
        <x:v>周三</x:v>
      </x:c>
      <x:c r="D1484" s="19" t="str">
        <x:v>S06</x:v>
      </x:c>
      <x:c r="E1484" s="19" t="str">
        <x:v>蓝钻天城店</x:v>
      </x:c>
      <x:c r="F1484" s="19" t="str">
        <x:v>外卖</x:v>
      </x:c>
      <x:c r="G1484" s="19" t="str">
        <x:v>全日</x:v>
      </x:c>
      <x:c r="H1484" s="19" t="str">
        <x:v>D20</x:v>
      </x:c>
      <x:c r="I1484" s="19" t="str">
        <x:v>雪菜肉末青豆</x:v>
      </x:c>
      <x:c r="J1484" s="22" t="n">
        <x:f>XLOOKUP(H1484,'菜品主数据'!$A$5:$A$24,'菜品主数据'!$D$5:$D$24,0)</x:f>
        <x:v>18</x:v>
      </x:c>
      <x:c r="K1484" s="31" t="n">
        <x:v>0</x:v>
      </x:c>
      <x:c r="L1484" s="35" t="n">
        <x:f>J1484*K1484</x:f>
        <x:v>0</x:v>
      </x:c>
      <x:c r="M1484" s="36" t="n">
        <x:v>0.08</x:v>
      </x:c>
      <x:c r="N1484" s="35" t="n">
        <x:f>L1484*M1484</x:f>
        <x:v>0</x:v>
      </x:c>
      <x:c r="O1484" s="37" t="n">
        <x:v>0.18</x:v>
      </x:c>
      <x:c r="P1484" s="35" t="n">
        <x:f>L1484*O1484</x:f>
        <x:v>0</x:v>
      </x:c>
      <x:c r="Q1484" s="35" t="n">
        <x:v>1.2</x:v>
      </x:c>
      <x:c r="R1484" s="35" t="n">
        <x:f>K1484*Q1484</x:f>
        <x:v>0</x:v>
      </x:c>
      <x:c r="S1484" s="35" t="n">
        <x:f>XLOOKUP(H1484,'菜品主数据'!$A$5:$A$24,'菜品主数据'!$G$5:$G$24,0)</x:f>
        <x:v>7.303999999999999</x:v>
      </x:c>
      <x:c r="T1484" s="35" t="n">
        <x:f>K1484*S1484</x:f>
        <x:v>0</x:v>
      </x:c>
      <x:c r="U1484" s="35" t="n">
        <x:f>L1484-N1484-P1484-R1484-T1484</x:f>
        <x:v>0</x:v>
      </x:c>
      <x:c r="V1484" s="21" t="n">
        <x:f>IFERROR(U1484/L1484,0)</x:f>
        <x:v>0</x:v>
      </x:c>
    </x:row>
    <x:row r="1485">
      <x:c r="A1485" s="19" t="str">
        <x:v>SALE-01481</x:v>
      </x:c>
      <x:c r="B1485" s="34" t="n">
        <x:v>46212.5</x:v>
      </x:c>
      <x:c r="C1485" s="19" t="str">
        <x:v>周四</x:v>
      </x:c>
      <x:c r="D1485" s="19" t="str">
        <x:v>S06</x:v>
      </x:c>
      <x:c r="E1485" s="19" t="str">
        <x:v>蓝钻天城店</x:v>
      </x:c>
      <x:c r="F1485" s="19" t="str">
        <x:v>堂食</x:v>
      </x:c>
      <x:c r="G1485" s="19" t="str">
        <x:v>全日</x:v>
      </x:c>
      <x:c r="H1485" s="19" t="str">
        <x:v>D01</x:v>
      </x:c>
      <x:c r="I1485" s="19" t="str">
        <x:v>辣椒炒肉</x:v>
      </x:c>
      <x:c r="J1485" s="22" t="n">
        <x:f>XLOOKUP(H1485,'菜品主数据'!$A$5:$A$24,'菜品主数据'!$D$5:$D$24,0)</x:f>
        <x:v>29</x:v>
      </x:c>
      <x:c r="K1485" s="31" t="n">
        <x:v>43</x:v>
      </x:c>
      <x:c r="L1485" s="35" t="n">
        <x:f>J1485*K1485</x:f>
        <x:v>1247</x:v>
      </x:c>
      <x:c r="M1485" s="36" t="n">
        <x:v>0</x:v>
      </x:c>
      <x:c r="N1485" s="35" t="n">
        <x:f>L1485*M1485</x:f>
        <x:v>0</x:v>
      </x:c>
      <x:c r="O1485" s="37" t="n">
        <x:v>0</x:v>
      </x:c>
      <x:c r="P1485" s="35" t="n">
        <x:f>L1485*O1485</x:f>
        <x:v>0</x:v>
      </x:c>
      <x:c r="Q1485" s="35" t="n">
        <x:v>0</x:v>
      </x:c>
      <x:c r="R1485" s="35" t="n">
        <x:f>K1485*Q1485</x:f>
        <x:v>0</x:v>
      </x:c>
      <x:c r="S1485" s="35" t="n">
        <x:f>XLOOKUP(H1485,'菜品主数据'!$A$5:$A$24,'菜品主数据'!$G$5:$G$24,0)</x:f>
        <x:v>8.634400000000001</x:v>
      </x:c>
      <x:c r="T1485" s="35" t="n">
        <x:f>K1485*S1485</x:f>
        <x:v>371.27920000000006</x:v>
      </x:c>
      <x:c r="U1485" s="35" t="n">
        <x:f>L1485-N1485-P1485-R1485-T1485</x:f>
        <x:v>875.7207999999999</x:v>
      </x:c>
      <x:c r="V1485" s="21" t="n">
        <x:f>IFERROR(U1485/L1485,0)</x:f>
        <x:v>0.7022620689655172</x:v>
      </x:c>
    </x:row>
    <x:row r="1486">
      <x:c r="A1486" s="19" t="str">
        <x:v>SALE-01482</x:v>
      </x:c>
      <x:c r="B1486" s="34" t="n">
        <x:v>46212.5</x:v>
      </x:c>
      <x:c r="C1486" s="19" t="str">
        <x:v>周四</x:v>
      </x:c>
      <x:c r="D1486" s="19" t="str">
        <x:v>S06</x:v>
      </x:c>
      <x:c r="E1486" s="19" t="str">
        <x:v>蓝钻天城店</x:v>
      </x:c>
      <x:c r="F1486" s="19" t="str">
        <x:v>堂食</x:v>
      </x:c>
      <x:c r="G1486" s="19" t="str">
        <x:v>全日</x:v>
      </x:c>
      <x:c r="H1486" s="19" t="str">
        <x:v>D02</x:v>
      </x:c>
      <x:c r="I1486" s="19" t="str">
        <x:v>小炒黄牛肉</x:v>
      </x:c>
      <x:c r="J1486" s="22" t="n">
        <x:f>XLOOKUP(H1486,'菜品主数据'!$A$5:$A$24,'菜品主数据'!$D$5:$D$24,0)</x:f>
        <x:v>49</x:v>
      </x:c>
      <x:c r="K1486" s="31" t="n">
        <x:v>22</x:v>
      </x:c>
      <x:c r="L1486" s="35" t="n">
        <x:f>J1486*K1486</x:f>
        <x:v>1078</x:v>
      </x:c>
      <x:c r="M1486" s="36" t="n">
        <x:v>0</x:v>
      </x:c>
      <x:c r="N1486" s="35" t="n">
        <x:f>L1486*M1486</x:f>
        <x:v>0</x:v>
      </x:c>
      <x:c r="O1486" s="37" t="n">
        <x:v>0</x:v>
      </x:c>
      <x:c r="P1486" s="35" t="n">
        <x:f>L1486*O1486</x:f>
        <x:v>0</x:v>
      </x:c>
      <x:c r="Q1486" s="35" t="n">
        <x:v>0</x:v>
      </x:c>
      <x:c r="R1486" s="35" t="n">
        <x:f>K1486*Q1486</x:f>
        <x:v>0</x:v>
      </x:c>
      <x:c r="S1486" s="35" t="n">
        <x:f>XLOOKUP(H1486,'菜品主数据'!$A$5:$A$24,'菜品主数据'!$G$5:$G$24,0)</x:f>
        <x:v>17.577</x:v>
      </x:c>
      <x:c r="T1486" s="35" t="n">
        <x:f>K1486*S1486</x:f>
        <x:v>386.694</x:v>
      </x:c>
      <x:c r="U1486" s="35" t="n">
        <x:f>L1486-N1486-P1486-R1486-T1486</x:f>
        <x:v>691.306</x:v>
      </x:c>
      <x:c r="V1486" s="21" t="n">
        <x:f>IFERROR(U1486/L1486,0)</x:f>
        <x:v>0.6412857142857143</x:v>
      </x:c>
    </x:row>
    <x:row r="1487">
      <x:c r="A1487" s="19" t="str">
        <x:v>SALE-01483</x:v>
      </x:c>
      <x:c r="B1487" s="34" t="n">
        <x:v>46212.5</x:v>
      </x:c>
      <x:c r="C1487" s="19" t="str">
        <x:v>周四</x:v>
      </x:c>
      <x:c r="D1487" s="19" t="str">
        <x:v>S06</x:v>
      </x:c>
      <x:c r="E1487" s="19" t="str">
        <x:v>蓝钻天城店</x:v>
      </x:c>
      <x:c r="F1487" s="19" t="str">
        <x:v>堂食</x:v>
      </x:c>
      <x:c r="G1487" s="19" t="str">
        <x:v>全日</x:v>
      </x:c>
      <x:c r="H1487" s="19" t="str">
        <x:v>D03</x:v>
      </x:c>
      <x:c r="I1487" s="19" t="str">
        <x:v>香醋炒蛋</x:v>
      </x:c>
      <x:c r="J1487" s="22" t="n">
        <x:f>XLOOKUP(H1487,'菜品主数据'!$A$5:$A$24,'菜品主数据'!$D$5:$D$24,0)</x:f>
        <x:v>14.9</x:v>
      </x:c>
      <x:c r="K1487" s="31" t="n">
        <x:v>36</x:v>
      </x:c>
      <x:c r="L1487" s="35" t="n">
        <x:f>J1487*K1487</x:f>
        <x:v>536.4</x:v>
      </x:c>
      <x:c r="M1487" s="36" t="n">
        <x:v>0</x:v>
      </x:c>
      <x:c r="N1487" s="35" t="n">
        <x:f>L1487*M1487</x:f>
        <x:v>0</x:v>
      </x:c>
      <x:c r="O1487" s="37" t="n">
        <x:v>0</x:v>
      </x:c>
      <x:c r="P1487" s="35" t="n">
        <x:f>L1487*O1487</x:f>
        <x:v>0</x:v>
      </x:c>
      <x:c r="Q1487" s="35" t="n">
        <x:v>0</x:v>
      </x:c>
      <x:c r="R1487" s="35" t="n">
        <x:f>K1487*Q1487</x:f>
        <x:v>0</x:v>
      </x:c>
      <x:c r="S1487" s="35" t="n">
        <x:f>XLOOKUP(H1487,'菜品主数据'!$A$5:$A$24,'菜品主数据'!$G$5:$G$24,0)</x:f>
        <x:v>3.7459999999999996</x:v>
      </x:c>
      <x:c r="T1487" s="35" t="n">
        <x:f>K1487*S1487</x:f>
        <x:v>134.856</x:v>
      </x:c>
      <x:c r="U1487" s="35" t="n">
        <x:f>L1487-N1487-P1487-R1487-T1487</x:f>
        <x:v>401.544</x:v>
      </x:c>
      <x:c r="V1487" s="21" t="n">
        <x:f>IFERROR(U1487/L1487,0)</x:f>
        <x:v>0.7485906040268456</x:v>
      </x:c>
    </x:row>
    <x:row r="1488">
      <x:c r="A1488" s="19" t="str">
        <x:v>SALE-01484</x:v>
      </x:c>
      <x:c r="B1488" s="34" t="n">
        <x:v>46212.5</x:v>
      </x:c>
      <x:c r="C1488" s="19" t="str">
        <x:v>周四</x:v>
      </x:c>
      <x:c r="D1488" s="19" t="str">
        <x:v>S06</x:v>
      </x:c>
      <x:c r="E1488" s="19" t="str">
        <x:v>蓝钻天城店</x:v>
      </x:c>
      <x:c r="F1488" s="19" t="str">
        <x:v>堂食</x:v>
      </x:c>
      <x:c r="G1488" s="19" t="str">
        <x:v>全日</x:v>
      </x:c>
      <x:c r="H1488" s="19" t="str">
        <x:v>D04</x:v>
      </x:c>
      <x:c r="I1488" s="19" t="str">
        <x:v>酸包菜炒粉皮</x:v>
      </x:c>
      <x:c r="J1488" s="22" t="n">
        <x:f>XLOOKUP(H1488,'菜品主数据'!$A$5:$A$24,'菜品主数据'!$D$5:$D$24,0)</x:f>
        <x:v>16</x:v>
      </x:c>
      <x:c r="K1488" s="31" t="n">
        <x:v>32</x:v>
      </x:c>
      <x:c r="L1488" s="35" t="n">
        <x:f>J1488*K1488</x:f>
        <x:v>512</x:v>
      </x:c>
      <x:c r="M1488" s="36" t="n">
        <x:v>0</x:v>
      </x:c>
      <x:c r="N1488" s="35" t="n">
        <x:f>L1488*M1488</x:f>
        <x:v>0</x:v>
      </x:c>
      <x:c r="O1488" s="37" t="n">
        <x:v>0</x:v>
      </x:c>
      <x:c r="P1488" s="35" t="n">
        <x:f>L1488*O1488</x:f>
        <x:v>0</x:v>
      </x:c>
      <x:c r="Q1488" s="35" t="n">
        <x:v>0</x:v>
      </x:c>
      <x:c r="R1488" s="35" t="n">
        <x:f>K1488*Q1488</x:f>
        <x:v>0</x:v>
      </x:c>
      <x:c r="S1488" s="35" t="n">
        <x:f>XLOOKUP(H1488,'菜品主数据'!$A$5:$A$24,'菜品主数据'!$G$5:$G$24,0)</x:f>
        <x:v>3.978</x:v>
      </x:c>
      <x:c r="T1488" s="35" t="n">
        <x:f>K1488*S1488</x:f>
        <x:v>127.296</x:v>
      </x:c>
      <x:c r="U1488" s="35" t="n">
        <x:f>L1488-N1488-P1488-R1488-T1488</x:f>
        <x:v>384.704</x:v>
      </x:c>
      <x:c r="V1488" s="21" t="n">
        <x:f>IFERROR(U1488/L1488,0)</x:f>
        <x:v>0.751375</x:v>
      </x:c>
    </x:row>
    <x:row r="1489">
      <x:c r="A1489" s="19" t="str">
        <x:v>SALE-01485</x:v>
      </x:c>
      <x:c r="B1489" s="34" t="n">
        <x:v>46212.5</x:v>
      </x:c>
      <x:c r="C1489" s="19" t="str">
        <x:v>周四</x:v>
      </x:c>
      <x:c r="D1489" s="19" t="str">
        <x:v>S06</x:v>
      </x:c>
      <x:c r="E1489" s="19" t="str">
        <x:v>蓝钻天城店</x:v>
      </x:c>
      <x:c r="F1489" s="19" t="str">
        <x:v>堂食</x:v>
      </x:c>
      <x:c r="G1489" s="19" t="str">
        <x:v>全日</x:v>
      </x:c>
      <x:c r="H1489" s="19" t="str">
        <x:v>D05</x:v>
      </x:c>
      <x:c r="I1489" s="19" t="str">
        <x:v>麻婆豆腐</x:v>
      </x:c>
      <x:c r="J1489" s="22" t="n">
        <x:f>XLOOKUP(H1489,'菜品主数据'!$A$5:$A$24,'菜品主数据'!$D$5:$D$24,0)</x:f>
        <x:v>9.9</x:v>
      </x:c>
      <x:c r="K1489" s="31" t="n">
        <x:v>47</x:v>
      </x:c>
      <x:c r="L1489" s="35" t="n">
        <x:f>J1489*K1489</x:f>
        <x:v>465.3</x:v>
      </x:c>
      <x:c r="M1489" s="36" t="n">
        <x:v>0</x:v>
      </x:c>
      <x:c r="N1489" s="35" t="n">
        <x:f>L1489*M1489</x:f>
        <x:v>0</x:v>
      </x:c>
      <x:c r="O1489" s="37" t="n">
        <x:v>0</x:v>
      </x:c>
      <x:c r="P1489" s="35" t="n">
        <x:f>L1489*O1489</x:f>
        <x:v>0</x:v>
      </x:c>
      <x:c r="Q1489" s="35" t="n">
        <x:v>0</x:v>
      </x:c>
      <x:c r="R1489" s="35" t="n">
        <x:f>K1489*Q1489</x:f>
        <x:v>0</x:v>
      </x:c>
      <x:c r="S1489" s="35" t="n">
        <x:f>XLOOKUP(H1489,'菜品主数据'!$A$5:$A$24,'菜品主数据'!$G$5:$G$24,0)</x:f>
        <x:v>5.367000000000001</x:v>
      </x:c>
      <x:c r="T1489" s="35" t="n">
        <x:f>K1489*S1489</x:f>
        <x:v>252.24900000000005</x:v>
      </x:c>
      <x:c r="U1489" s="35" t="n">
        <x:f>L1489-N1489-P1489-R1489-T1489</x:f>
        <x:v>213.05099999999996</x:v>
      </x:c>
      <x:c r="V1489" s="21" t="n">
        <x:f>IFERROR(U1489/L1489,0)</x:f>
        <x:v>0.4578787878787878</x:v>
      </x:c>
    </x:row>
    <x:row r="1490">
      <x:c r="A1490" s="19" t="str">
        <x:v>SALE-01486</x:v>
      </x:c>
      <x:c r="B1490" s="34" t="n">
        <x:v>46212.5</x:v>
      </x:c>
      <x:c r="C1490" s="19" t="str">
        <x:v>周四</x:v>
      </x:c>
      <x:c r="D1490" s="19" t="str">
        <x:v>S06</x:v>
      </x:c>
      <x:c r="E1490" s="19" t="str">
        <x:v>蓝钻天城店</x:v>
      </x:c>
      <x:c r="F1490" s="19" t="str">
        <x:v>堂食</x:v>
      </x:c>
      <x:c r="G1490" s="19" t="str">
        <x:v>全日</x:v>
      </x:c>
      <x:c r="H1490" s="19" t="str">
        <x:v>D06</x:v>
      </x:c>
      <x:c r="I1490" s="19" t="str">
        <x:v>剁椒鱼头</x:v>
      </x:c>
      <x:c r="J1490" s="22" t="n">
        <x:f>XLOOKUP(H1490,'菜品主数据'!$A$5:$A$24,'菜品主数据'!$D$5:$D$24,0)</x:f>
        <x:v>39</x:v>
      </x:c>
      <x:c r="K1490" s="31" t="n">
        <x:v>11</x:v>
      </x:c>
      <x:c r="L1490" s="35" t="n">
        <x:f>J1490*K1490</x:f>
        <x:v>429</x:v>
      </x:c>
      <x:c r="M1490" s="36" t="n">
        <x:v>0</x:v>
      </x:c>
      <x:c r="N1490" s="35" t="n">
        <x:f>L1490*M1490</x:f>
        <x:v>0</x:v>
      </x:c>
      <x:c r="O1490" s="37" t="n">
        <x:v>0</x:v>
      </x:c>
      <x:c r="P1490" s="35" t="n">
        <x:f>L1490*O1490</x:f>
        <x:v>0</x:v>
      </x:c>
      <x:c r="Q1490" s="35" t="n">
        <x:v>0</x:v>
      </x:c>
      <x:c r="R1490" s="35" t="n">
        <x:f>K1490*Q1490</x:f>
        <x:v>0</x:v>
      </x:c>
      <x:c r="S1490" s="35" t="n">
        <x:f>XLOOKUP(H1490,'菜品主数据'!$A$5:$A$24,'菜品主数据'!$G$5:$G$24,0)</x:f>
        <x:v>17.446</x:v>
      </x:c>
      <x:c r="T1490" s="35" t="n">
        <x:f>K1490*S1490</x:f>
        <x:v>191.906</x:v>
      </x:c>
      <x:c r="U1490" s="35" t="n">
        <x:f>L1490-N1490-P1490-R1490-T1490</x:f>
        <x:v>237.094</x:v>
      </x:c>
      <x:c r="V1490" s="21" t="n">
        <x:f>IFERROR(U1490/L1490,0)</x:f>
        <x:v>0.5526666666666666</x:v>
      </x:c>
    </x:row>
    <x:row r="1491">
      <x:c r="A1491" s="19" t="str">
        <x:v>SALE-01487</x:v>
      </x:c>
      <x:c r="B1491" s="34" t="n">
        <x:v>46212.5</x:v>
      </x:c>
      <x:c r="C1491" s="19" t="str">
        <x:v>周四</x:v>
      </x:c>
      <x:c r="D1491" s="19" t="str">
        <x:v>S06</x:v>
      </x:c>
      <x:c r="E1491" s="19" t="str">
        <x:v>蓝钻天城店</x:v>
      </x:c>
      <x:c r="F1491" s="19" t="str">
        <x:v>堂食</x:v>
      </x:c>
      <x:c r="G1491" s="19" t="str">
        <x:v>全日</x:v>
      </x:c>
      <x:c r="H1491" s="19" t="str">
        <x:v>D07</x:v>
      </x:c>
      <x:c r="I1491" s="19" t="str">
        <x:v>川味回锅肉</x:v>
      </x:c>
      <x:c r="J1491" s="22" t="n">
        <x:f>XLOOKUP(H1491,'菜品主数据'!$A$5:$A$24,'菜品主数据'!$D$5:$D$24,0)</x:f>
        <x:v>29</x:v>
      </x:c>
      <x:c r="K1491" s="31" t="n">
        <x:v>13</x:v>
      </x:c>
      <x:c r="L1491" s="35" t="n">
        <x:f>J1491*K1491</x:f>
        <x:v>377</x:v>
      </x:c>
      <x:c r="M1491" s="36" t="n">
        <x:v>0</x:v>
      </x:c>
      <x:c r="N1491" s="35" t="n">
        <x:f>L1491*M1491</x:f>
        <x:v>0</x:v>
      </x:c>
      <x:c r="O1491" s="37" t="n">
        <x:v>0</x:v>
      </x:c>
      <x:c r="P1491" s="35" t="n">
        <x:f>L1491*O1491</x:f>
        <x:v>0</x:v>
      </x:c>
      <x:c r="Q1491" s="35" t="n">
        <x:v>0</x:v>
      </x:c>
      <x:c r="R1491" s="35" t="n">
        <x:f>K1491*Q1491</x:f>
        <x:v>0</x:v>
      </x:c>
      <x:c r="S1491" s="35" t="n">
        <x:f>XLOOKUP(H1491,'菜品主数据'!$A$5:$A$24,'菜品主数据'!$G$5:$G$24,0)</x:f>
        <x:v>10.231000000000002</x:v>
      </x:c>
      <x:c r="T1491" s="35" t="n">
        <x:f>K1491*S1491</x:f>
        <x:v>133.00300000000001</x:v>
      </x:c>
      <x:c r="U1491" s="35" t="n">
        <x:f>L1491-N1491-P1491-R1491-T1491</x:f>
        <x:v>243.99699999999999</x:v>
      </x:c>
      <x:c r="V1491" s="21" t="n">
        <x:f>IFERROR(U1491/L1491,0)</x:f>
        <x:v>0.6472068965517241</x:v>
      </x:c>
    </x:row>
    <x:row r="1492">
      <x:c r="A1492" s="19" t="str">
        <x:v>SALE-01488</x:v>
      </x:c>
      <x:c r="B1492" s="34" t="n">
        <x:v>46212.5</x:v>
      </x:c>
      <x:c r="C1492" s="19" t="str">
        <x:v>周四</x:v>
      </x:c>
      <x:c r="D1492" s="19" t="str">
        <x:v>S06</x:v>
      </x:c>
      <x:c r="E1492" s="19" t="str">
        <x:v>蓝钻天城店</x:v>
      </x:c>
      <x:c r="F1492" s="19" t="str">
        <x:v>堂食</x:v>
      </x:c>
      <x:c r="G1492" s="19" t="str">
        <x:v>全日</x:v>
      </x:c>
      <x:c r="H1492" s="19" t="str">
        <x:v>D08</x:v>
      </x:c>
      <x:c r="I1492" s="19" t="str">
        <x:v>生炒清远鸡</x:v>
      </x:c>
      <x:c r="J1492" s="22" t="n">
        <x:f>XLOOKUP(H1492,'菜品主数据'!$A$5:$A$24,'菜品主数据'!$D$5:$D$24,0)</x:f>
        <x:v>36</x:v>
      </x:c>
      <x:c r="K1492" s="31" t="n">
        <x:v>10</x:v>
      </x:c>
      <x:c r="L1492" s="35" t="n">
        <x:f>J1492*K1492</x:f>
        <x:v>360</x:v>
      </x:c>
      <x:c r="M1492" s="36" t="n">
        <x:v>0</x:v>
      </x:c>
      <x:c r="N1492" s="35" t="n">
        <x:f>L1492*M1492</x:f>
        <x:v>0</x:v>
      </x:c>
      <x:c r="O1492" s="37" t="n">
        <x:v>0</x:v>
      </x:c>
      <x:c r="P1492" s="35" t="n">
        <x:f>L1492*O1492</x:f>
        <x:v>0</x:v>
      </x:c>
      <x:c r="Q1492" s="35" t="n">
        <x:v>0</x:v>
      </x:c>
      <x:c r="R1492" s="35" t="n">
        <x:f>K1492*Q1492</x:f>
        <x:v>0</x:v>
      </x:c>
      <x:c r="S1492" s="35" t="n">
        <x:f>XLOOKUP(H1492,'菜品主数据'!$A$5:$A$24,'菜品主数据'!$G$5:$G$24,0)</x:f>
        <x:v>13.48</x:v>
      </x:c>
      <x:c r="T1492" s="35" t="n">
        <x:f>K1492*S1492</x:f>
        <x:v>134.8</x:v>
      </x:c>
      <x:c r="U1492" s="35" t="n">
        <x:f>L1492-N1492-P1492-R1492-T1492</x:f>
        <x:v>225.2</x:v>
      </x:c>
      <x:c r="V1492" s="21" t="n">
        <x:f>IFERROR(U1492/L1492,0)</x:f>
        <x:v>0.6255555555555555</x:v>
      </x:c>
    </x:row>
    <x:row r="1493">
      <x:c r="A1493" s="19" t="str">
        <x:v>SALE-01489</x:v>
      </x:c>
      <x:c r="B1493" s="34" t="n">
        <x:v>46212.5</x:v>
      </x:c>
      <x:c r="C1493" s="19" t="str">
        <x:v>周四</x:v>
      </x:c>
      <x:c r="D1493" s="19" t="str">
        <x:v>S06</x:v>
      </x:c>
      <x:c r="E1493" s="19" t="str">
        <x:v>蓝钻天城店</x:v>
      </x:c>
      <x:c r="F1493" s="19" t="str">
        <x:v>堂食</x:v>
      </x:c>
      <x:c r="G1493" s="19" t="str">
        <x:v>全日</x:v>
      </x:c>
      <x:c r="H1493" s="19" t="str">
        <x:v>D09</x:v>
      </x:c>
      <x:c r="I1493" s="19" t="str">
        <x:v>炒豆干</x:v>
      </x:c>
      <x:c r="J1493" s="22" t="n">
        <x:f>XLOOKUP(H1493,'菜品主数据'!$A$5:$A$24,'菜品主数据'!$D$5:$D$24,0)</x:f>
        <x:v>18</x:v>
      </x:c>
      <x:c r="K1493" s="31" t="n">
        <x:v>13</x:v>
      </x:c>
      <x:c r="L1493" s="35" t="n">
        <x:f>J1493*K1493</x:f>
        <x:v>234</x:v>
      </x:c>
      <x:c r="M1493" s="36" t="n">
        <x:v>0</x:v>
      </x:c>
      <x:c r="N1493" s="35" t="n">
        <x:f>L1493*M1493</x:f>
        <x:v>0</x:v>
      </x:c>
      <x:c r="O1493" s="37" t="n">
        <x:v>0</x:v>
      </x:c>
      <x:c r="P1493" s="35" t="n">
        <x:f>L1493*O1493</x:f>
        <x:v>0</x:v>
      </x:c>
      <x:c r="Q1493" s="35" t="n">
        <x:v>0</x:v>
      </x:c>
      <x:c r="R1493" s="35" t="n">
        <x:f>K1493*Q1493</x:f>
        <x:v>0</x:v>
      </x:c>
      <x:c r="S1493" s="35" t="n">
        <x:f>XLOOKUP(H1493,'菜品主数据'!$A$5:$A$24,'菜品主数据'!$G$5:$G$24,0)</x:f>
        <x:v>6.613999999999999</x:v>
      </x:c>
      <x:c r="T1493" s="35" t="n">
        <x:f>K1493*S1493</x:f>
        <x:v>85.98199999999999</x:v>
      </x:c>
      <x:c r="U1493" s="35" t="n">
        <x:f>L1493-N1493-P1493-R1493-T1493</x:f>
        <x:v>148.01800000000003</x:v>
      </x:c>
      <x:c r="V1493" s="21" t="n">
        <x:f>IFERROR(U1493/L1493,0)</x:f>
        <x:v>0.6325555555555556</x:v>
      </x:c>
    </x:row>
    <x:row r="1494">
      <x:c r="A1494" s="19" t="str">
        <x:v>SALE-01490</x:v>
      </x:c>
      <x:c r="B1494" s="34" t="n">
        <x:v>46212.5</x:v>
      </x:c>
      <x:c r="C1494" s="19" t="str">
        <x:v>周四</x:v>
      </x:c>
      <x:c r="D1494" s="19" t="str">
        <x:v>S06</x:v>
      </x:c>
      <x:c r="E1494" s="19" t="str">
        <x:v>蓝钻天城店</x:v>
      </x:c>
      <x:c r="F1494" s="19" t="str">
        <x:v>堂食</x:v>
      </x:c>
      <x:c r="G1494" s="19" t="str">
        <x:v>全日</x:v>
      </x:c>
      <x:c r="H1494" s="19" t="str">
        <x:v>D10</x:v>
      </x:c>
      <x:c r="I1494" s="19" t="str">
        <x:v>农家一碗香</x:v>
      </x:c>
      <x:c r="J1494" s="22" t="n">
        <x:f>XLOOKUP(H1494,'菜品主数据'!$A$5:$A$24,'菜品主数据'!$D$5:$D$24,0)</x:f>
        <x:v>22.9</x:v>
      </x:c>
      <x:c r="K1494" s="31" t="n">
        <x:v>16</x:v>
      </x:c>
      <x:c r="L1494" s="35" t="n">
        <x:f>J1494*K1494</x:f>
        <x:v>366.4</x:v>
      </x:c>
      <x:c r="M1494" s="36" t="n">
        <x:v>0</x:v>
      </x:c>
      <x:c r="N1494" s="35" t="n">
        <x:f>L1494*M1494</x:f>
        <x:v>0</x:v>
      </x:c>
      <x:c r="O1494" s="37" t="n">
        <x:v>0</x:v>
      </x:c>
      <x:c r="P1494" s="35" t="n">
        <x:f>L1494*O1494</x:f>
        <x:v>0</x:v>
      </x:c>
      <x:c r="Q1494" s="35" t="n">
        <x:v>0</x:v>
      </x:c>
      <x:c r="R1494" s="35" t="n">
        <x:f>K1494*Q1494</x:f>
        <x:v>0</x:v>
      </x:c>
      <x:c r="S1494" s="35" t="n">
        <x:f>XLOOKUP(H1494,'菜品主数据'!$A$5:$A$24,'菜品主数据'!$G$5:$G$24,0)</x:f>
        <x:v>9.770200000000003</x:v>
      </x:c>
      <x:c r="T1494" s="35" t="n">
        <x:f>K1494*S1494</x:f>
        <x:v>156.32320000000004</x:v>
      </x:c>
      <x:c r="U1494" s="35" t="n">
        <x:f>L1494-N1494-P1494-R1494-T1494</x:f>
        <x:v>210.07679999999993</x:v>
      </x:c>
      <x:c r="V1494" s="21" t="n">
        <x:f>IFERROR(U1494/L1494,0)</x:f>
        <x:v>0.5733537117903929</x:v>
      </x:c>
    </x:row>
    <x:row r="1495">
      <x:c r="A1495" s="19" t="str">
        <x:v>SALE-01491</x:v>
      </x:c>
      <x:c r="B1495" s="34" t="n">
        <x:v>46212.5</x:v>
      </x:c>
      <x:c r="C1495" s="19" t="str">
        <x:v>周四</x:v>
      </x:c>
      <x:c r="D1495" s="19" t="str">
        <x:v>S06</x:v>
      </x:c>
      <x:c r="E1495" s="19" t="str">
        <x:v>蓝钻天城店</x:v>
      </x:c>
      <x:c r="F1495" s="19" t="str">
        <x:v>堂食</x:v>
      </x:c>
      <x:c r="G1495" s="19" t="str">
        <x:v>全日</x:v>
      </x:c>
      <x:c r="H1495" s="19" t="str">
        <x:v>D11</x:v>
      </x:c>
      <x:c r="I1495" s="19" t="str">
        <x:v>香辣爆肥肠</x:v>
      </x:c>
      <x:c r="J1495" s="22" t="n">
        <x:f>XLOOKUP(H1495,'菜品主数据'!$A$5:$A$24,'菜品主数据'!$D$5:$D$24,0)</x:f>
        <x:v>39</x:v>
      </x:c>
      <x:c r="K1495" s="31" t="n">
        <x:v>6</x:v>
      </x:c>
      <x:c r="L1495" s="35" t="n">
        <x:f>J1495*K1495</x:f>
        <x:v>234</x:v>
      </x:c>
      <x:c r="M1495" s="36" t="n">
        <x:v>0</x:v>
      </x:c>
      <x:c r="N1495" s="35" t="n">
        <x:f>L1495*M1495</x:f>
        <x:v>0</x:v>
      </x:c>
      <x:c r="O1495" s="37" t="n">
        <x:v>0</x:v>
      </x:c>
      <x:c r="P1495" s="35" t="n">
        <x:f>L1495*O1495</x:f>
        <x:v>0</x:v>
      </x:c>
      <x:c r="Q1495" s="35" t="n">
        <x:v>0</x:v>
      </x:c>
      <x:c r="R1495" s="35" t="n">
        <x:f>K1495*Q1495</x:f>
        <x:v>0</x:v>
      </x:c>
      <x:c r="S1495" s="35" t="n">
        <x:f>XLOOKUP(H1495,'菜品主数据'!$A$5:$A$24,'菜品主数据'!$G$5:$G$24,0)</x:f>
        <x:v>10.397</x:v>
      </x:c>
      <x:c r="T1495" s="35" t="n">
        <x:f>K1495*S1495</x:f>
        <x:v>62.382000000000005</x:v>
      </x:c>
      <x:c r="U1495" s="35" t="n">
        <x:f>L1495-N1495-P1495-R1495-T1495</x:f>
        <x:v>171.618</x:v>
      </x:c>
      <x:c r="V1495" s="21" t="n">
        <x:f>IFERROR(U1495/L1495,0)</x:f>
        <x:v>0.7334102564102564</x:v>
      </x:c>
    </x:row>
    <x:row r="1496">
      <x:c r="A1496" s="19" t="str">
        <x:v>SALE-01492</x:v>
      </x:c>
      <x:c r="B1496" s="34" t="n">
        <x:v>46212.5</x:v>
      </x:c>
      <x:c r="C1496" s="19" t="str">
        <x:v>周四</x:v>
      </x:c>
      <x:c r="D1496" s="19" t="str">
        <x:v>S06</x:v>
      </x:c>
      <x:c r="E1496" s="19" t="str">
        <x:v>蓝钻天城店</x:v>
      </x:c>
      <x:c r="F1496" s="19" t="str">
        <x:v>堂食</x:v>
      </x:c>
      <x:c r="G1496" s="19" t="str">
        <x:v>全日</x:v>
      </x:c>
      <x:c r="H1496" s="19" t="str">
        <x:v>D12</x:v>
      </x:c>
      <x:c r="I1496" s="19" t="str">
        <x:v>清蒸鲈鱼</x:v>
      </x:c>
      <x:c r="J1496" s="22" t="n">
        <x:f>XLOOKUP(H1496,'菜品主数据'!$A$5:$A$24,'菜品主数据'!$D$5:$D$24,0)</x:f>
        <x:v>39</x:v>
      </x:c>
      <x:c r="K1496" s="31" t="n">
        <x:v>6</x:v>
      </x:c>
      <x:c r="L1496" s="35" t="n">
        <x:f>J1496*K1496</x:f>
        <x:v>234</x:v>
      </x:c>
      <x:c r="M1496" s="36" t="n">
        <x:v>0</x:v>
      </x:c>
      <x:c r="N1496" s="35" t="n">
        <x:f>L1496*M1496</x:f>
        <x:v>0</x:v>
      </x:c>
      <x:c r="O1496" s="37" t="n">
        <x:v>0</x:v>
      </x:c>
      <x:c r="P1496" s="35" t="n">
        <x:f>L1496*O1496</x:f>
        <x:v>0</x:v>
      </x:c>
      <x:c r="Q1496" s="35" t="n">
        <x:v>0</x:v>
      </x:c>
      <x:c r="R1496" s="35" t="n">
        <x:f>K1496*Q1496</x:f>
        <x:v>0</x:v>
      </x:c>
      <x:c r="S1496" s="35" t="n">
        <x:f>XLOOKUP(H1496,'菜品主数据'!$A$5:$A$24,'菜品主数据'!$G$5:$G$24,0)</x:f>
        <x:v>18.874</x:v>
      </x:c>
      <x:c r="T1496" s="35" t="n">
        <x:f>K1496*S1496</x:f>
        <x:v>113.244</x:v>
      </x:c>
      <x:c r="U1496" s="35" t="n">
        <x:f>L1496-N1496-P1496-R1496-T1496</x:f>
        <x:v>120.756</x:v>
      </x:c>
      <x:c r="V1496" s="21" t="n">
        <x:f>IFERROR(U1496/L1496,0)</x:f>
        <x:v>0.516051282051282</x:v>
      </x:c>
    </x:row>
    <x:row r="1497">
      <x:c r="A1497" s="19" t="str">
        <x:v>SALE-01493</x:v>
      </x:c>
      <x:c r="B1497" s="34" t="n">
        <x:v>46212.5</x:v>
      </x:c>
      <x:c r="C1497" s="19" t="str">
        <x:v>周四</x:v>
      </x:c>
      <x:c r="D1497" s="19" t="str">
        <x:v>S06</x:v>
      </x:c>
      <x:c r="E1497" s="19" t="str">
        <x:v>蓝钻天城店</x:v>
      </x:c>
      <x:c r="F1497" s="19" t="str">
        <x:v>堂食</x:v>
      </x:c>
      <x:c r="G1497" s="19" t="str">
        <x:v>全日</x:v>
      </x:c>
      <x:c r="H1497" s="19" t="str">
        <x:v>D13</x:v>
      </x:c>
      <x:c r="I1497" s="19" t="str">
        <x:v>外婆菜炒蛋</x:v>
      </x:c>
      <x:c r="J1497" s="22" t="n">
        <x:f>XLOOKUP(H1497,'菜品主数据'!$A$5:$A$24,'菜品主数据'!$D$5:$D$24,0)</x:f>
        <x:v>18</x:v>
      </x:c>
      <x:c r="K1497" s="31" t="n">
        <x:v>14</x:v>
      </x:c>
      <x:c r="L1497" s="35" t="n">
        <x:f>J1497*K1497</x:f>
        <x:v>252</x:v>
      </x:c>
      <x:c r="M1497" s="36" t="n">
        <x:v>0</x:v>
      </x:c>
      <x:c r="N1497" s="35" t="n">
        <x:f>L1497*M1497</x:f>
        <x:v>0</x:v>
      </x:c>
      <x:c r="O1497" s="37" t="n">
        <x:v>0</x:v>
      </x:c>
      <x:c r="P1497" s="35" t="n">
        <x:f>L1497*O1497</x:f>
        <x:v>0</x:v>
      </x:c>
      <x:c r="Q1497" s="35" t="n">
        <x:v>0</x:v>
      </x:c>
      <x:c r="R1497" s="35" t="n">
        <x:f>K1497*Q1497</x:f>
        <x:v>0</x:v>
      </x:c>
      <x:c r="S1497" s="35" t="n">
        <x:f>XLOOKUP(H1497,'菜品主数据'!$A$5:$A$24,'菜品主数据'!$G$5:$G$24,0)</x:f>
        <x:v>5.403999999999999</x:v>
      </x:c>
      <x:c r="T1497" s="35" t="n">
        <x:f>K1497*S1497</x:f>
        <x:v>75.65599999999999</x:v>
      </x:c>
      <x:c r="U1497" s="35" t="n">
        <x:f>L1497-N1497-P1497-R1497-T1497</x:f>
        <x:v>176.344</x:v>
      </x:c>
      <x:c r="V1497" s="21" t="n">
        <x:f>IFERROR(U1497/L1497,0)</x:f>
        <x:v>0.6997777777777777</x:v>
      </x:c>
    </x:row>
    <x:row r="1498">
      <x:c r="A1498" s="19" t="str">
        <x:v>SALE-01494</x:v>
      </x:c>
      <x:c r="B1498" s="34" t="n">
        <x:v>46212.5</x:v>
      </x:c>
      <x:c r="C1498" s="19" t="str">
        <x:v>周四</x:v>
      </x:c>
      <x:c r="D1498" s="19" t="str">
        <x:v>S06</x:v>
      </x:c>
      <x:c r="E1498" s="19" t="str">
        <x:v>蓝钻天城店</x:v>
      </x:c>
      <x:c r="F1498" s="19" t="str">
        <x:v>堂食</x:v>
      </x:c>
      <x:c r="G1498" s="19" t="str">
        <x:v>全日</x:v>
      </x:c>
      <x:c r="H1498" s="19" t="str">
        <x:v>D14</x:v>
      </x:c>
      <x:c r="I1498" s="19" t="str">
        <x:v>酸辣鸡杂</x:v>
      </x:c>
      <x:c r="J1498" s="22" t="n">
        <x:f>XLOOKUP(H1498,'菜品主数据'!$A$5:$A$24,'菜品主数据'!$D$5:$D$24,0)</x:f>
        <x:v>28</x:v>
      </x:c>
      <x:c r="K1498" s="31" t="n">
        <x:v>7</x:v>
      </x:c>
      <x:c r="L1498" s="35" t="n">
        <x:f>J1498*K1498</x:f>
        <x:v>196</x:v>
      </x:c>
      <x:c r="M1498" s="36" t="n">
        <x:v>0</x:v>
      </x:c>
      <x:c r="N1498" s="35" t="n">
        <x:f>L1498*M1498</x:f>
        <x:v>0</x:v>
      </x:c>
      <x:c r="O1498" s="37" t="n">
        <x:v>0</x:v>
      </x:c>
      <x:c r="P1498" s="35" t="n">
        <x:f>L1498*O1498</x:f>
        <x:v>0</x:v>
      </x:c>
      <x:c r="Q1498" s="35" t="n">
        <x:v>0</x:v>
      </x:c>
      <x:c r="R1498" s="35" t="n">
        <x:f>K1498*Q1498</x:f>
        <x:v>0</x:v>
      </x:c>
      <x:c r="S1498" s="35" t="n">
        <x:f>XLOOKUP(H1498,'菜品主数据'!$A$5:$A$24,'菜品主数据'!$G$5:$G$24,0)</x:f>
        <x:v>8.315000000000001</x:v>
      </x:c>
      <x:c r="T1498" s="35" t="n">
        <x:f>K1498*S1498</x:f>
        <x:v>58.20500000000001</x:v>
      </x:c>
      <x:c r="U1498" s="35" t="n">
        <x:f>L1498-N1498-P1498-R1498-T1498</x:f>
        <x:v>137.795</x:v>
      </x:c>
      <x:c r="V1498" s="21" t="n">
        <x:f>IFERROR(U1498/L1498,0)</x:f>
        <x:v>0.7030357142857142</x:v>
      </x:c>
    </x:row>
    <x:row r="1499">
      <x:c r="A1499" s="19" t="str">
        <x:v>SALE-01495</x:v>
      </x:c>
      <x:c r="B1499" s="34" t="n">
        <x:v>46212.5</x:v>
      </x:c>
      <x:c r="C1499" s="19" t="str">
        <x:v>周四</x:v>
      </x:c>
      <x:c r="D1499" s="19" t="str">
        <x:v>S06</x:v>
      </x:c>
      <x:c r="E1499" s="19" t="str">
        <x:v>蓝钻天城店</x:v>
      </x:c>
      <x:c r="F1499" s="19" t="str">
        <x:v>堂食</x:v>
      </x:c>
      <x:c r="G1499" s="19" t="str">
        <x:v>全日</x:v>
      </x:c>
      <x:c r="H1499" s="19" t="str">
        <x:v>D15</x:v>
      </x:c>
      <x:c r="I1499" s="19" t="str">
        <x:v>湘西土匪猪肝</x:v>
      </x:c>
      <x:c r="J1499" s="22" t="n">
        <x:f>XLOOKUP(H1499,'菜品主数据'!$A$5:$A$24,'菜品主数据'!$D$5:$D$24,0)</x:f>
        <x:v>26</x:v>
      </x:c>
      <x:c r="K1499" s="31" t="n">
        <x:v>6</x:v>
      </x:c>
      <x:c r="L1499" s="35" t="n">
        <x:f>J1499*K1499</x:f>
        <x:v>156</x:v>
      </x:c>
      <x:c r="M1499" s="36" t="n">
        <x:v>0</x:v>
      </x:c>
      <x:c r="N1499" s="35" t="n">
        <x:f>L1499*M1499</x:f>
        <x:v>0</x:v>
      </x:c>
      <x:c r="O1499" s="37" t="n">
        <x:v>0</x:v>
      </x:c>
      <x:c r="P1499" s="35" t="n">
        <x:f>L1499*O1499</x:f>
        <x:v>0</x:v>
      </x:c>
      <x:c r="Q1499" s="35" t="n">
        <x:v>0</x:v>
      </x:c>
      <x:c r="R1499" s="35" t="n">
        <x:f>K1499*Q1499</x:f>
        <x:v>0</x:v>
      </x:c>
      <x:c r="S1499" s="35" t="n">
        <x:f>XLOOKUP(H1499,'菜品主数据'!$A$5:$A$24,'菜品主数据'!$G$5:$G$24,0)</x:f>
        <x:v>6.3759999999999994</x:v>
      </x:c>
      <x:c r="T1499" s="35" t="n">
        <x:f>K1499*S1499</x:f>
        <x:v>38.256</x:v>
      </x:c>
      <x:c r="U1499" s="35" t="n">
        <x:f>L1499-N1499-P1499-R1499-T1499</x:f>
        <x:v>117.744</x:v>
      </x:c>
      <x:c r="V1499" s="21" t="n">
        <x:f>IFERROR(U1499/L1499,0)</x:f>
        <x:v>0.7547692307692307</x:v>
      </x:c>
    </x:row>
    <x:row r="1500">
      <x:c r="A1500" s="19" t="str">
        <x:v>SALE-01496</x:v>
      </x:c>
      <x:c r="B1500" s="34" t="n">
        <x:v>46212.5</x:v>
      </x:c>
      <x:c r="C1500" s="19" t="str">
        <x:v>周四</x:v>
      </x:c>
      <x:c r="D1500" s="19" t="str">
        <x:v>S06</x:v>
      </x:c>
      <x:c r="E1500" s="19" t="str">
        <x:v>蓝钻天城店</x:v>
      </x:c>
      <x:c r="F1500" s="19" t="str">
        <x:v>堂食</x:v>
      </x:c>
      <x:c r="G1500" s="19" t="str">
        <x:v>全日</x:v>
      </x:c>
      <x:c r="H1500" s="19" t="str">
        <x:v>D16</x:v>
      </x:c>
      <x:c r="I1500" s="19" t="str">
        <x:v>小豆角炒五花</x:v>
      </x:c>
      <x:c r="J1500" s="22" t="n">
        <x:f>XLOOKUP(H1500,'菜品主数据'!$A$5:$A$24,'菜品主数据'!$D$5:$D$24,0)</x:f>
        <x:v>25</x:v>
      </x:c>
      <x:c r="K1500" s="31" t="n">
        <x:v>7</x:v>
      </x:c>
      <x:c r="L1500" s="35" t="n">
        <x:f>J1500*K1500</x:f>
        <x:v>175</x:v>
      </x:c>
      <x:c r="M1500" s="36" t="n">
        <x:v>0</x:v>
      </x:c>
      <x:c r="N1500" s="35" t="n">
        <x:f>L1500*M1500</x:f>
        <x:v>0</x:v>
      </x:c>
      <x:c r="O1500" s="37" t="n">
        <x:v>0</x:v>
      </x:c>
      <x:c r="P1500" s="35" t="n">
        <x:f>L1500*O1500</x:f>
        <x:v>0</x:v>
      </x:c>
      <x:c r="Q1500" s="35" t="n">
        <x:v>0</x:v>
      </x:c>
      <x:c r="R1500" s="35" t="n">
        <x:f>K1500*Q1500</x:f>
        <x:v>0</x:v>
      </x:c>
      <x:c r="S1500" s="35" t="n">
        <x:f>XLOOKUP(H1500,'菜品主数据'!$A$5:$A$24,'菜品主数据'!$G$5:$G$24,0)</x:f>
        <x:v>8.184</x:v>
      </x:c>
      <x:c r="T1500" s="35" t="n">
        <x:f>K1500*S1500</x:f>
        <x:v>57.288</x:v>
      </x:c>
      <x:c r="U1500" s="35" t="n">
        <x:f>L1500-N1500-P1500-R1500-T1500</x:f>
        <x:v>117.712</x:v>
      </x:c>
      <x:c r="V1500" s="21" t="n">
        <x:f>IFERROR(U1500/L1500,0)</x:f>
        <x:v>0.67264</x:v>
      </x:c>
    </x:row>
    <x:row r="1501">
      <x:c r="A1501" s="19" t="str">
        <x:v>SALE-01497</x:v>
      </x:c>
      <x:c r="B1501" s="34" t="n">
        <x:v>46212.5</x:v>
      </x:c>
      <x:c r="C1501" s="19" t="str">
        <x:v>周四</x:v>
      </x:c>
      <x:c r="D1501" s="19" t="str">
        <x:v>S06</x:v>
      </x:c>
      <x:c r="E1501" s="19" t="str">
        <x:v>蓝钻天城店</x:v>
      </x:c>
      <x:c r="F1501" s="19" t="str">
        <x:v>堂食</x:v>
      </x:c>
      <x:c r="G1501" s="19" t="str">
        <x:v>全日</x:v>
      </x:c>
      <x:c r="H1501" s="19" t="str">
        <x:v>D17</x:v>
      </x:c>
      <x:c r="I1501" s="19" t="str">
        <x:v>蒜蓉粉丝虾</x:v>
      </x:c>
      <x:c r="J1501" s="22" t="n">
        <x:f>XLOOKUP(H1501,'菜品主数据'!$A$5:$A$24,'菜品主数据'!$D$5:$D$24,0)</x:f>
        <x:v>36</x:v>
      </x:c>
      <x:c r="K1501" s="31" t="n">
        <x:v>4</x:v>
      </x:c>
      <x:c r="L1501" s="35" t="n">
        <x:f>J1501*K1501</x:f>
        <x:v>144</x:v>
      </x:c>
      <x:c r="M1501" s="36" t="n">
        <x:v>0</x:v>
      </x:c>
      <x:c r="N1501" s="35" t="n">
        <x:f>L1501*M1501</x:f>
        <x:v>0</x:v>
      </x:c>
      <x:c r="O1501" s="37" t="n">
        <x:v>0</x:v>
      </x:c>
      <x:c r="P1501" s="35" t="n">
        <x:f>L1501*O1501</x:f>
        <x:v>0</x:v>
      </x:c>
      <x:c r="Q1501" s="35" t="n">
        <x:v>0</x:v>
      </x:c>
      <x:c r="R1501" s="35" t="n">
        <x:f>K1501*Q1501</x:f>
        <x:v>0</x:v>
      </x:c>
      <x:c r="S1501" s="35" t="n">
        <x:f>XLOOKUP(H1501,'菜品主数据'!$A$5:$A$24,'菜品主数据'!$G$5:$G$24,0)</x:f>
        <x:v>13.594</x:v>
      </x:c>
      <x:c r="T1501" s="35" t="n">
        <x:f>K1501*S1501</x:f>
        <x:v>54.376</x:v>
      </x:c>
      <x:c r="U1501" s="35" t="n">
        <x:f>L1501-N1501-P1501-R1501-T1501</x:f>
        <x:v>89.624</x:v>
      </x:c>
      <x:c r="V1501" s="21" t="n">
        <x:f>IFERROR(U1501/L1501,0)</x:f>
        <x:v>0.6223888888888889</x:v>
      </x:c>
    </x:row>
    <x:row r="1502">
      <x:c r="A1502" s="19" t="str">
        <x:v>SALE-01498</x:v>
      </x:c>
      <x:c r="B1502" s="34" t="n">
        <x:v>46212.5</x:v>
      </x:c>
      <x:c r="C1502" s="19" t="str">
        <x:v>周四</x:v>
      </x:c>
      <x:c r="D1502" s="19" t="str">
        <x:v>S06</x:v>
      </x:c>
      <x:c r="E1502" s="19" t="str">
        <x:v>蓝钻天城店</x:v>
      </x:c>
      <x:c r="F1502" s="19" t="str">
        <x:v>堂食</x:v>
      </x:c>
      <x:c r="G1502" s="19" t="str">
        <x:v>全日</x:v>
      </x:c>
      <x:c r="H1502" s="19" t="str">
        <x:v>D18</x:v>
      </x:c>
      <x:c r="I1502" s="19" t="str">
        <x:v>青椒炒油麦菜</x:v>
      </x:c>
      <x:c r="J1502" s="22" t="n">
        <x:f>XLOOKUP(H1502,'菜品主数据'!$A$5:$A$24,'菜品主数据'!$D$5:$D$24,0)</x:f>
        <x:v>18</x:v>
      </x:c>
      <x:c r="K1502" s="31" t="n">
        <x:v>8</x:v>
      </x:c>
      <x:c r="L1502" s="35" t="n">
        <x:f>J1502*K1502</x:f>
        <x:v>144</x:v>
      </x:c>
      <x:c r="M1502" s="36" t="n">
        <x:v>0</x:v>
      </x:c>
      <x:c r="N1502" s="35" t="n">
        <x:f>L1502*M1502</x:f>
        <x:v>0</x:v>
      </x:c>
      <x:c r="O1502" s="37" t="n">
        <x:v>0</x:v>
      </x:c>
      <x:c r="P1502" s="35" t="n">
        <x:f>L1502*O1502</x:f>
        <x:v>0</x:v>
      </x:c>
      <x:c r="Q1502" s="35" t="n">
        <x:v>0</x:v>
      </x:c>
      <x:c r="R1502" s="35" t="n">
        <x:f>K1502*Q1502</x:f>
        <x:v>0</x:v>
      </x:c>
      <x:c r="S1502" s="35" t="n">
        <x:f>XLOOKUP(H1502,'菜品主数据'!$A$5:$A$24,'菜品主数据'!$G$5:$G$24,0)</x:f>
        <x:v>3.1759999999999993</x:v>
      </x:c>
      <x:c r="T1502" s="35" t="n">
        <x:f>K1502*S1502</x:f>
        <x:v>25.407999999999994</x:v>
      </x:c>
      <x:c r="U1502" s="35" t="n">
        <x:f>L1502-N1502-P1502-R1502-T1502</x:f>
        <x:v>118.59200000000001</x:v>
      </x:c>
      <x:c r="V1502" s="21" t="n">
        <x:f>IFERROR(U1502/L1502,0)</x:f>
        <x:v>0.8235555555555556</x:v>
      </x:c>
    </x:row>
    <x:row r="1503">
      <x:c r="A1503" s="19" t="str">
        <x:v>SALE-01499</x:v>
      </x:c>
      <x:c r="B1503" s="34" t="n">
        <x:v>46212.5</x:v>
      </x:c>
      <x:c r="C1503" s="19" t="str">
        <x:v>周四</x:v>
      </x:c>
      <x:c r="D1503" s="19" t="str">
        <x:v>S06</x:v>
      </x:c>
      <x:c r="E1503" s="19" t="str">
        <x:v>蓝钻天城店</x:v>
      </x:c>
      <x:c r="F1503" s="19" t="str">
        <x:v>堂食</x:v>
      </x:c>
      <x:c r="G1503" s="19" t="str">
        <x:v>全日</x:v>
      </x:c>
      <x:c r="H1503" s="19" t="str">
        <x:v>D19</x:v>
      </x:c>
      <x:c r="I1503" s="19" t="str">
        <x:v>酸萝卜炒鸡杂</x:v>
      </x:c>
      <x:c r="J1503" s="22" t="n">
        <x:f>XLOOKUP(H1503,'菜品主数据'!$A$5:$A$24,'菜品主数据'!$D$5:$D$24,0)</x:f>
        <x:v>25</x:v>
      </x:c>
      <x:c r="K1503" s="31" t="n">
        <x:v>5</x:v>
      </x:c>
      <x:c r="L1503" s="35" t="n">
        <x:f>J1503*K1503</x:f>
        <x:v>125</x:v>
      </x:c>
      <x:c r="M1503" s="36" t="n">
        <x:v>0</x:v>
      </x:c>
      <x:c r="N1503" s="35" t="n">
        <x:f>L1503*M1503</x:f>
        <x:v>0</x:v>
      </x:c>
      <x:c r="O1503" s="37" t="n">
        <x:v>0</x:v>
      </x:c>
      <x:c r="P1503" s="35" t="n">
        <x:f>L1503*O1503</x:f>
        <x:v>0</x:v>
      </x:c>
      <x:c r="Q1503" s="35" t="n">
        <x:v>0</x:v>
      </x:c>
      <x:c r="R1503" s="35" t="n">
        <x:f>K1503*Q1503</x:f>
        <x:v>0</x:v>
      </x:c>
      <x:c r="S1503" s="35" t="n">
        <x:f>XLOOKUP(H1503,'菜品主数据'!$A$5:$A$24,'菜品主数据'!$G$5:$G$24,0)</x:f>
        <x:v>7.9399999999999995</x:v>
      </x:c>
      <x:c r="T1503" s="35" t="n">
        <x:f>K1503*S1503</x:f>
        <x:v>39.699999999999996</x:v>
      </x:c>
      <x:c r="U1503" s="35" t="n">
        <x:f>L1503-N1503-P1503-R1503-T1503</x:f>
        <x:v>85.30000000000001</x:v>
      </x:c>
      <x:c r="V1503" s="21" t="n">
        <x:f>IFERROR(U1503/L1503,0)</x:f>
        <x:v>0.6824000000000001</x:v>
      </x:c>
    </x:row>
    <x:row r="1504">
      <x:c r="A1504" s="19" t="str">
        <x:v>SALE-01500</x:v>
      </x:c>
      <x:c r="B1504" s="34" t="n">
        <x:v>46212.5</x:v>
      </x:c>
      <x:c r="C1504" s="19" t="str">
        <x:v>周四</x:v>
      </x:c>
      <x:c r="D1504" s="19" t="str">
        <x:v>S06</x:v>
      </x:c>
      <x:c r="E1504" s="19" t="str">
        <x:v>蓝钻天城店</x:v>
      </x:c>
      <x:c r="F1504" s="19" t="str">
        <x:v>堂食</x:v>
      </x:c>
      <x:c r="G1504" s="19" t="str">
        <x:v>全日</x:v>
      </x:c>
      <x:c r="H1504" s="19" t="str">
        <x:v>D20</x:v>
      </x:c>
      <x:c r="I1504" s="19" t="str">
        <x:v>雪菜肉末青豆</x:v>
      </x:c>
      <x:c r="J1504" s="22" t="n">
        <x:f>XLOOKUP(H1504,'菜品主数据'!$A$5:$A$24,'菜品主数据'!$D$5:$D$24,0)</x:f>
        <x:v>18</x:v>
      </x:c>
      <x:c r="K1504" s="31" t="n">
        <x:v>8</x:v>
      </x:c>
      <x:c r="L1504" s="35" t="n">
        <x:f>J1504*K1504</x:f>
        <x:v>144</x:v>
      </x:c>
      <x:c r="M1504" s="36" t="n">
        <x:v>0</x:v>
      </x:c>
      <x:c r="N1504" s="35" t="n">
        <x:f>L1504*M1504</x:f>
        <x:v>0</x:v>
      </x:c>
      <x:c r="O1504" s="37" t="n">
        <x:v>0</x:v>
      </x:c>
      <x:c r="P1504" s="35" t="n">
        <x:f>L1504*O1504</x:f>
        <x:v>0</x:v>
      </x:c>
      <x:c r="Q1504" s="35" t="n">
        <x:v>0</x:v>
      </x:c>
      <x:c r="R1504" s="35" t="n">
        <x:f>K1504*Q1504</x:f>
        <x:v>0</x:v>
      </x:c>
      <x:c r="S1504" s="35" t="n">
        <x:f>XLOOKUP(H1504,'菜品主数据'!$A$5:$A$24,'菜品主数据'!$G$5:$G$24,0)</x:f>
        <x:v>7.303999999999999</x:v>
      </x:c>
      <x:c r="T1504" s="35" t="n">
        <x:f>K1504*S1504</x:f>
        <x:v>58.431999999999995</x:v>
      </x:c>
      <x:c r="U1504" s="35" t="n">
        <x:f>L1504-N1504-P1504-R1504-T1504</x:f>
        <x:v>85.56800000000001</x:v>
      </x:c>
      <x:c r="V1504" s="21" t="n">
        <x:f>IFERROR(U1504/L1504,0)</x:f>
        <x:v>0.5942222222222223</x:v>
      </x:c>
    </x:row>
    <x:row r="1505">
      <x:c r="A1505" s="19" t="str">
        <x:v>SALE-01501</x:v>
      </x:c>
      <x:c r="B1505" s="34" t="n">
        <x:v>46212.5</x:v>
      </x:c>
      <x:c r="C1505" s="19" t="str">
        <x:v>周四</x:v>
      </x:c>
      <x:c r="D1505" s="19" t="str">
        <x:v>S06</x:v>
      </x:c>
      <x:c r="E1505" s="19" t="str">
        <x:v>蓝钻天城店</x:v>
      </x:c>
      <x:c r="F1505" s="19" t="str">
        <x:v>外卖</x:v>
      </x:c>
      <x:c r="G1505" s="19" t="str">
        <x:v>全日</x:v>
      </x:c>
      <x:c r="H1505" s="19" t="str">
        <x:v>D01</x:v>
      </x:c>
      <x:c r="I1505" s="19" t="str">
        <x:v>辣椒炒肉</x:v>
      </x:c>
      <x:c r="J1505" s="22" t="n">
        <x:f>XLOOKUP(H1505,'菜品主数据'!$A$5:$A$24,'菜品主数据'!$D$5:$D$24,0)</x:f>
        <x:v>29</x:v>
      </x:c>
      <x:c r="K1505" s="31" t="n">
        <x:v>4</x:v>
      </x:c>
      <x:c r="L1505" s="35" t="n">
        <x:f>J1505*K1505</x:f>
        <x:v>116</x:v>
      </x:c>
      <x:c r="M1505" s="36" t="n">
        <x:v>0.08</x:v>
      </x:c>
      <x:c r="N1505" s="35" t="n">
        <x:f>L1505*M1505</x:f>
        <x:v>9.28</x:v>
      </x:c>
      <x:c r="O1505" s="37" t="n">
        <x:v>0.18</x:v>
      </x:c>
      <x:c r="P1505" s="35" t="n">
        <x:f>L1505*O1505</x:f>
        <x:v>20.88</x:v>
      </x:c>
      <x:c r="Q1505" s="35" t="n">
        <x:v>1.2</x:v>
      </x:c>
      <x:c r="R1505" s="35" t="n">
        <x:f>K1505*Q1505</x:f>
        <x:v>4.8</x:v>
      </x:c>
      <x:c r="S1505" s="35" t="n">
        <x:f>XLOOKUP(H1505,'菜品主数据'!$A$5:$A$24,'菜品主数据'!$G$5:$G$24,0)</x:f>
        <x:v>8.634400000000001</x:v>
      </x:c>
      <x:c r="T1505" s="35" t="n">
        <x:f>K1505*S1505</x:f>
        <x:v>34.537600000000005</x:v>
      </x:c>
      <x:c r="U1505" s="35" t="n">
        <x:f>L1505-N1505-P1505-R1505-T1505</x:f>
        <x:v>46.5024</x:v>
      </x:c>
      <x:c r="V1505" s="21" t="n">
        <x:f>IFERROR(U1505/L1505,0)</x:f>
        <x:v>0.40088275862068967</x:v>
      </x:c>
    </x:row>
    <x:row r="1506">
      <x:c r="A1506" s="19" t="str">
        <x:v>SALE-01502</x:v>
      </x:c>
      <x:c r="B1506" s="34" t="n">
        <x:v>46212.5</x:v>
      </x:c>
      <x:c r="C1506" s="19" t="str">
        <x:v>周四</x:v>
      </x:c>
      <x:c r="D1506" s="19" t="str">
        <x:v>S06</x:v>
      </x:c>
      <x:c r="E1506" s="19" t="str">
        <x:v>蓝钻天城店</x:v>
      </x:c>
      <x:c r="F1506" s="19" t="str">
        <x:v>外卖</x:v>
      </x:c>
      <x:c r="G1506" s="19" t="str">
        <x:v>全日</x:v>
      </x:c>
      <x:c r="H1506" s="19" t="str">
        <x:v>D02</x:v>
      </x:c>
      <x:c r="I1506" s="19" t="str">
        <x:v>小炒黄牛肉</x:v>
      </x:c>
      <x:c r="J1506" s="22" t="n">
        <x:f>XLOOKUP(H1506,'菜品主数据'!$A$5:$A$24,'菜品主数据'!$D$5:$D$24,0)</x:f>
        <x:v>49</x:v>
      </x:c>
      <x:c r="K1506" s="31" t="n">
        <x:v>8</x:v>
      </x:c>
      <x:c r="L1506" s="35" t="n">
        <x:f>J1506*K1506</x:f>
        <x:v>392</x:v>
      </x:c>
      <x:c r="M1506" s="36" t="n">
        <x:v>0.08</x:v>
      </x:c>
      <x:c r="N1506" s="35" t="n">
        <x:f>L1506*M1506</x:f>
        <x:v>31.36</x:v>
      </x:c>
      <x:c r="O1506" s="37" t="n">
        <x:v>0.18</x:v>
      </x:c>
      <x:c r="P1506" s="35" t="n">
        <x:f>L1506*O1506</x:f>
        <x:v>70.56</x:v>
      </x:c>
      <x:c r="Q1506" s="35" t="n">
        <x:v>1.2</x:v>
      </x:c>
      <x:c r="R1506" s="35" t="n">
        <x:f>K1506*Q1506</x:f>
        <x:v>9.6</x:v>
      </x:c>
      <x:c r="S1506" s="35" t="n">
        <x:f>XLOOKUP(H1506,'菜品主数据'!$A$5:$A$24,'菜品主数据'!$G$5:$G$24,0)</x:f>
        <x:v>17.577</x:v>
      </x:c>
      <x:c r="T1506" s="35" t="n">
        <x:f>K1506*S1506</x:f>
        <x:v>140.616</x:v>
      </x:c>
      <x:c r="U1506" s="35" t="n">
        <x:f>L1506-N1506-P1506-R1506-T1506</x:f>
        <x:v>139.86399999999995</x:v>
      </x:c>
      <x:c r="V1506" s="21" t="n">
        <x:f>IFERROR(U1506/L1506,0)</x:f>
        <x:v>0.3567959183673468</x:v>
      </x:c>
    </x:row>
    <x:row r="1507">
      <x:c r="A1507" s="19" t="str">
        <x:v>SALE-01503</x:v>
      </x:c>
      <x:c r="B1507" s="34" t="n">
        <x:v>46212.5</x:v>
      </x:c>
      <x:c r="C1507" s="19" t="str">
        <x:v>周四</x:v>
      </x:c>
      <x:c r="D1507" s="19" t="str">
        <x:v>S06</x:v>
      </x:c>
      <x:c r="E1507" s="19" t="str">
        <x:v>蓝钻天城店</x:v>
      </x:c>
      <x:c r="F1507" s="19" t="str">
        <x:v>外卖</x:v>
      </x:c>
      <x:c r="G1507" s="19" t="str">
        <x:v>全日</x:v>
      </x:c>
      <x:c r="H1507" s="19" t="str">
        <x:v>D03</x:v>
      </x:c>
      <x:c r="I1507" s="19" t="str">
        <x:v>香醋炒蛋</x:v>
      </x:c>
      <x:c r="J1507" s="22" t="n">
        <x:f>XLOOKUP(H1507,'菜品主数据'!$A$5:$A$24,'菜品主数据'!$D$5:$D$24,0)</x:f>
        <x:v>14.9</x:v>
      </x:c>
      <x:c r="K1507" s="31" t="n">
        <x:v>3</x:v>
      </x:c>
      <x:c r="L1507" s="35" t="n">
        <x:f>J1507*K1507</x:f>
        <x:v>44.7</x:v>
      </x:c>
      <x:c r="M1507" s="36" t="n">
        <x:v>0.08</x:v>
      </x:c>
      <x:c r="N1507" s="35" t="n">
        <x:f>L1507*M1507</x:f>
        <x:v>3.5760000000000005</x:v>
      </x:c>
      <x:c r="O1507" s="37" t="n">
        <x:v>0.18</x:v>
      </x:c>
      <x:c r="P1507" s="35" t="n">
        <x:f>L1507*O1507</x:f>
        <x:v>8.046</x:v>
      </x:c>
      <x:c r="Q1507" s="35" t="n">
        <x:v>1.2</x:v>
      </x:c>
      <x:c r="R1507" s="35" t="n">
        <x:f>K1507*Q1507</x:f>
        <x:v>3.5999999999999996</x:v>
      </x:c>
      <x:c r="S1507" s="35" t="n">
        <x:f>XLOOKUP(H1507,'菜品主数据'!$A$5:$A$24,'菜品主数据'!$G$5:$G$24,0)</x:f>
        <x:v>3.7459999999999996</x:v>
      </x:c>
      <x:c r="T1507" s="35" t="n">
        <x:f>K1507*S1507</x:f>
        <x:v>11.238</x:v>
      </x:c>
      <x:c r="U1507" s="35" t="n">
        <x:f>L1507-N1507-P1507-R1507-T1507</x:f>
        <x:v>18.240000000000002</x:v>
      </x:c>
      <x:c r="V1507" s="21" t="n">
        <x:f>IFERROR(U1507/L1507,0)</x:f>
        <x:v>0.40805369127516783</x:v>
      </x:c>
    </x:row>
    <x:row r="1508">
      <x:c r="A1508" s="19" t="str">
        <x:v>SALE-01504</x:v>
      </x:c>
      <x:c r="B1508" s="34" t="n">
        <x:v>46212.5</x:v>
      </x:c>
      <x:c r="C1508" s="19" t="str">
        <x:v>周四</x:v>
      </x:c>
      <x:c r="D1508" s="19" t="str">
        <x:v>S06</x:v>
      </x:c>
      <x:c r="E1508" s="19" t="str">
        <x:v>蓝钻天城店</x:v>
      </x:c>
      <x:c r="F1508" s="19" t="str">
        <x:v>外卖</x:v>
      </x:c>
      <x:c r="G1508" s="19" t="str">
        <x:v>全日</x:v>
      </x:c>
      <x:c r="H1508" s="19" t="str">
        <x:v>D04</x:v>
      </x:c>
      <x:c r="I1508" s="19" t="str">
        <x:v>酸包菜炒粉皮</x:v>
      </x:c>
      <x:c r="J1508" s="22" t="n">
        <x:f>XLOOKUP(H1508,'菜品主数据'!$A$5:$A$24,'菜品主数据'!$D$5:$D$24,0)</x:f>
        <x:v>16</x:v>
      </x:c>
      <x:c r="K1508" s="31" t="n">
        <x:v>3</x:v>
      </x:c>
      <x:c r="L1508" s="35" t="n">
        <x:f>J1508*K1508</x:f>
        <x:v>48</x:v>
      </x:c>
      <x:c r="M1508" s="36" t="n">
        <x:v>0.08</x:v>
      </x:c>
      <x:c r="N1508" s="35" t="n">
        <x:f>L1508*M1508</x:f>
        <x:v>3.84</x:v>
      </x:c>
      <x:c r="O1508" s="37" t="n">
        <x:v>0.18</x:v>
      </x:c>
      <x:c r="P1508" s="35" t="n">
        <x:f>L1508*O1508</x:f>
        <x:v>8.64</x:v>
      </x:c>
      <x:c r="Q1508" s="35" t="n">
        <x:v>1.2</x:v>
      </x:c>
      <x:c r="R1508" s="35" t="n">
        <x:f>K1508*Q1508</x:f>
        <x:v>3.5999999999999996</x:v>
      </x:c>
      <x:c r="S1508" s="35" t="n">
        <x:f>XLOOKUP(H1508,'菜品主数据'!$A$5:$A$24,'菜品主数据'!$G$5:$G$24,0)</x:f>
        <x:v>3.978</x:v>
      </x:c>
      <x:c r="T1508" s="35" t="n">
        <x:f>K1508*S1508</x:f>
        <x:v>11.934000000000001</x:v>
      </x:c>
      <x:c r="U1508" s="35" t="n">
        <x:f>L1508-N1508-P1508-R1508-T1508</x:f>
        <x:v>19.985999999999994</x:v>
      </x:c>
      <x:c r="V1508" s="21" t="n">
        <x:f>IFERROR(U1508/L1508,0)</x:f>
        <x:v>0.4163749999999999</x:v>
      </x:c>
    </x:row>
    <x:row r="1509">
      <x:c r="A1509" s="19" t="str">
        <x:v>SALE-01505</x:v>
      </x:c>
      <x:c r="B1509" s="34" t="n">
        <x:v>46212.5</x:v>
      </x:c>
      <x:c r="C1509" s="19" t="str">
        <x:v>周四</x:v>
      </x:c>
      <x:c r="D1509" s="19" t="str">
        <x:v>S06</x:v>
      </x:c>
      <x:c r="E1509" s="19" t="str">
        <x:v>蓝钻天城店</x:v>
      </x:c>
      <x:c r="F1509" s="19" t="str">
        <x:v>外卖</x:v>
      </x:c>
      <x:c r="G1509" s="19" t="str">
        <x:v>全日</x:v>
      </x:c>
      <x:c r="H1509" s="19" t="str">
        <x:v>D05</x:v>
      </x:c>
      <x:c r="I1509" s="19" t="str">
        <x:v>麻婆豆腐</x:v>
      </x:c>
      <x:c r="J1509" s="22" t="n">
        <x:f>XLOOKUP(H1509,'菜品主数据'!$A$5:$A$24,'菜品主数据'!$D$5:$D$24,0)</x:f>
        <x:v>9.9</x:v>
      </x:c>
      <x:c r="K1509" s="31" t="n">
        <x:v>4</x:v>
      </x:c>
      <x:c r="L1509" s="35" t="n">
        <x:f>J1509*K1509</x:f>
        <x:v>39.6</x:v>
      </x:c>
      <x:c r="M1509" s="36" t="n">
        <x:v>0.08</x:v>
      </x:c>
      <x:c r="N1509" s="35" t="n">
        <x:f>L1509*M1509</x:f>
        <x:v>3.168</x:v>
      </x:c>
      <x:c r="O1509" s="37" t="n">
        <x:v>0.18</x:v>
      </x:c>
      <x:c r="P1509" s="35" t="n">
        <x:f>L1509*O1509</x:f>
        <x:v>7.128</x:v>
      </x:c>
      <x:c r="Q1509" s="35" t="n">
        <x:v>1.2</x:v>
      </x:c>
      <x:c r="R1509" s="35" t="n">
        <x:f>K1509*Q1509</x:f>
        <x:v>4.8</x:v>
      </x:c>
      <x:c r="S1509" s="35" t="n">
        <x:f>XLOOKUP(H1509,'菜品主数据'!$A$5:$A$24,'菜品主数据'!$G$5:$G$24,0)</x:f>
        <x:v>5.367000000000001</x:v>
      </x:c>
      <x:c r="T1509" s="35" t="n">
        <x:f>K1509*S1509</x:f>
        <x:v>21.468000000000004</x:v>
      </x:c>
      <x:c r="U1509" s="35" t="n">
        <x:f>L1509-N1509-P1509-R1509-T1509</x:f>
        <x:v>3.035999999999998</x:v>
      </x:c>
      <x:c r="V1509" s="21" t="n">
        <x:f>IFERROR(U1509/L1509,0)</x:f>
        <x:v>0.0766666666666666</x:v>
      </x:c>
    </x:row>
    <x:row r="1510">
      <x:c r="A1510" s="19" t="str">
        <x:v>SALE-01506</x:v>
      </x:c>
      <x:c r="B1510" s="34" t="n">
        <x:v>46212.5</x:v>
      </x:c>
      <x:c r="C1510" s="19" t="str">
        <x:v>周四</x:v>
      </x:c>
      <x:c r="D1510" s="19" t="str">
        <x:v>S06</x:v>
      </x:c>
      <x:c r="E1510" s="19" t="str">
        <x:v>蓝钻天城店</x:v>
      </x:c>
      <x:c r="F1510" s="19" t="str">
        <x:v>外卖</x:v>
      </x:c>
      <x:c r="G1510" s="19" t="str">
        <x:v>全日</x:v>
      </x:c>
      <x:c r="H1510" s="19" t="str">
        <x:v>D06</x:v>
      </x:c>
      <x:c r="I1510" s="19" t="str">
        <x:v>剁椒鱼头</x:v>
      </x:c>
      <x:c r="J1510" s="22" t="n">
        <x:f>XLOOKUP(H1510,'菜品主数据'!$A$5:$A$24,'菜品主数据'!$D$5:$D$24,0)</x:f>
        <x:v>39</x:v>
      </x:c>
      <x:c r="K1510" s="31" t="n">
        <x:v>1</x:v>
      </x:c>
      <x:c r="L1510" s="35" t="n">
        <x:f>J1510*K1510</x:f>
        <x:v>39</x:v>
      </x:c>
      <x:c r="M1510" s="36" t="n">
        <x:v>0.08</x:v>
      </x:c>
      <x:c r="N1510" s="35" t="n">
        <x:f>L1510*M1510</x:f>
        <x:v>3.12</x:v>
      </x:c>
      <x:c r="O1510" s="37" t="n">
        <x:v>0.18</x:v>
      </x:c>
      <x:c r="P1510" s="35" t="n">
        <x:f>L1510*O1510</x:f>
        <x:v>7.02</x:v>
      </x:c>
      <x:c r="Q1510" s="35" t="n">
        <x:v>1.2</x:v>
      </x:c>
      <x:c r="R1510" s="35" t="n">
        <x:f>K1510*Q1510</x:f>
        <x:v>1.2</x:v>
      </x:c>
      <x:c r="S1510" s="35" t="n">
        <x:f>XLOOKUP(H1510,'菜品主数据'!$A$5:$A$24,'菜品主数据'!$G$5:$G$24,0)</x:f>
        <x:v>17.446</x:v>
      </x:c>
      <x:c r="T1510" s="35" t="n">
        <x:f>K1510*S1510</x:f>
        <x:v>17.446</x:v>
      </x:c>
      <x:c r="U1510" s="35" t="n">
        <x:f>L1510-N1510-P1510-R1510-T1510</x:f>
        <x:v>10.214000000000002</x:v>
      </x:c>
      <x:c r="V1510" s="21" t="n">
        <x:f>IFERROR(U1510/L1510,0)</x:f>
        <x:v>0.26189743589743597</x:v>
      </x:c>
    </x:row>
    <x:row r="1511">
      <x:c r="A1511" s="19" t="str">
        <x:v>SALE-01507</x:v>
      </x:c>
      <x:c r="B1511" s="34" t="n">
        <x:v>46212.5</x:v>
      </x:c>
      <x:c r="C1511" s="19" t="str">
        <x:v>周四</x:v>
      </x:c>
      <x:c r="D1511" s="19" t="str">
        <x:v>S06</x:v>
      </x:c>
      <x:c r="E1511" s="19" t="str">
        <x:v>蓝钻天城店</x:v>
      </x:c>
      <x:c r="F1511" s="19" t="str">
        <x:v>外卖</x:v>
      </x:c>
      <x:c r="G1511" s="19" t="str">
        <x:v>全日</x:v>
      </x:c>
      <x:c r="H1511" s="19" t="str">
        <x:v>D07</x:v>
      </x:c>
      <x:c r="I1511" s="19" t="str">
        <x:v>川味回锅肉</x:v>
      </x:c>
      <x:c r="J1511" s="22" t="n">
        <x:f>XLOOKUP(H1511,'菜品主数据'!$A$5:$A$24,'菜品主数据'!$D$5:$D$24,0)</x:f>
        <x:v>29</x:v>
      </x:c>
      <x:c r="K1511" s="31" t="n">
        <x:v>1</x:v>
      </x:c>
      <x:c r="L1511" s="35" t="n">
        <x:f>J1511*K1511</x:f>
        <x:v>29</x:v>
      </x:c>
      <x:c r="M1511" s="36" t="n">
        <x:v>0.08</x:v>
      </x:c>
      <x:c r="N1511" s="35" t="n">
        <x:f>L1511*M1511</x:f>
        <x:v>2.32</x:v>
      </x:c>
      <x:c r="O1511" s="37" t="n">
        <x:v>0.18</x:v>
      </x:c>
      <x:c r="P1511" s="35" t="n">
        <x:f>L1511*O1511</x:f>
        <x:v>5.22</x:v>
      </x:c>
      <x:c r="Q1511" s="35" t="n">
        <x:v>1.2</x:v>
      </x:c>
      <x:c r="R1511" s="35" t="n">
        <x:f>K1511*Q1511</x:f>
        <x:v>1.2</x:v>
      </x:c>
      <x:c r="S1511" s="35" t="n">
        <x:f>XLOOKUP(H1511,'菜品主数据'!$A$5:$A$24,'菜品主数据'!$G$5:$G$24,0)</x:f>
        <x:v>10.231000000000002</x:v>
      </x:c>
      <x:c r="T1511" s="35" t="n">
        <x:f>K1511*S1511</x:f>
        <x:v>10.231000000000002</x:v>
      </x:c>
      <x:c r="U1511" s="35" t="n">
        <x:f>L1511-N1511-P1511-R1511-T1511</x:f>
        <x:v>10.029</x:v>
      </x:c>
      <x:c r="V1511" s="21" t="n">
        <x:f>IFERROR(U1511/L1511,0)</x:f>
        <x:v>0.3458275862068966</x:v>
      </x:c>
    </x:row>
    <x:row r="1512">
      <x:c r="A1512" s="19" t="str">
        <x:v>SALE-01508</x:v>
      </x:c>
      <x:c r="B1512" s="34" t="n">
        <x:v>46212.5</x:v>
      </x:c>
      <x:c r="C1512" s="19" t="str">
        <x:v>周四</x:v>
      </x:c>
      <x:c r="D1512" s="19" t="str">
        <x:v>S06</x:v>
      </x:c>
      <x:c r="E1512" s="19" t="str">
        <x:v>蓝钻天城店</x:v>
      </x:c>
      <x:c r="F1512" s="19" t="str">
        <x:v>外卖</x:v>
      </x:c>
      <x:c r="G1512" s="19" t="str">
        <x:v>全日</x:v>
      </x:c>
      <x:c r="H1512" s="19" t="str">
        <x:v>D08</x:v>
      </x:c>
      <x:c r="I1512" s="19" t="str">
        <x:v>生炒清远鸡</x:v>
      </x:c>
      <x:c r="J1512" s="22" t="n">
        <x:f>XLOOKUP(H1512,'菜品主数据'!$A$5:$A$24,'菜品主数据'!$D$5:$D$24,0)</x:f>
        <x:v>36</x:v>
      </x:c>
      <x:c r="K1512" s="31" t="n">
        <x:v>1</x:v>
      </x:c>
      <x:c r="L1512" s="35" t="n">
        <x:f>J1512*K1512</x:f>
        <x:v>36</x:v>
      </x:c>
      <x:c r="M1512" s="36" t="n">
        <x:v>0.08</x:v>
      </x:c>
      <x:c r="N1512" s="35" t="n">
        <x:f>L1512*M1512</x:f>
        <x:v>2.88</x:v>
      </x:c>
      <x:c r="O1512" s="37" t="n">
        <x:v>0.18</x:v>
      </x:c>
      <x:c r="P1512" s="35" t="n">
        <x:f>L1512*O1512</x:f>
        <x:v>6.4799999999999995</x:v>
      </x:c>
      <x:c r="Q1512" s="35" t="n">
        <x:v>1.2</x:v>
      </x:c>
      <x:c r="R1512" s="35" t="n">
        <x:f>K1512*Q1512</x:f>
        <x:v>1.2</x:v>
      </x:c>
      <x:c r="S1512" s="35" t="n">
        <x:f>XLOOKUP(H1512,'菜品主数据'!$A$5:$A$24,'菜品主数据'!$G$5:$G$24,0)</x:f>
        <x:v>13.48</x:v>
      </x:c>
      <x:c r="T1512" s="35" t="n">
        <x:f>K1512*S1512</x:f>
        <x:v>13.48</x:v>
      </x:c>
      <x:c r="U1512" s="35" t="n">
        <x:f>L1512-N1512-P1512-R1512-T1512</x:f>
        <x:v>11.959999999999997</x:v>
      </x:c>
      <x:c r="V1512" s="21" t="n">
        <x:f>IFERROR(U1512/L1512,0)</x:f>
        <x:v>0.33222222222222214</x:v>
      </x:c>
    </x:row>
    <x:row r="1513">
      <x:c r="A1513" s="19" t="str">
        <x:v>SALE-01509</x:v>
      </x:c>
      <x:c r="B1513" s="34" t="n">
        <x:v>46212.5</x:v>
      </x:c>
      <x:c r="C1513" s="19" t="str">
        <x:v>周四</x:v>
      </x:c>
      <x:c r="D1513" s="19" t="str">
        <x:v>S06</x:v>
      </x:c>
      <x:c r="E1513" s="19" t="str">
        <x:v>蓝钻天城店</x:v>
      </x:c>
      <x:c r="F1513" s="19" t="str">
        <x:v>外卖</x:v>
      </x:c>
      <x:c r="G1513" s="19" t="str">
        <x:v>全日</x:v>
      </x:c>
      <x:c r="H1513" s="19" t="str">
        <x:v>D09</x:v>
      </x:c>
      <x:c r="I1513" s="19" t="str">
        <x:v>炒豆干</x:v>
      </x:c>
      <x:c r="J1513" s="22" t="n">
        <x:f>XLOOKUP(H1513,'菜品主数据'!$A$5:$A$24,'菜品主数据'!$D$5:$D$24,0)</x:f>
        <x:v>18</x:v>
      </x:c>
      <x:c r="K1513" s="31" t="n">
        <x:v>1</x:v>
      </x:c>
      <x:c r="L1513" s="35" t="n">
        <x:f>J1513*K1513</x:f>
        <x:v>18</x:v>
      </x:c>
      <x:c r="M1513" s="36" t="n">
        <x:v>0.08</x:v>
      </x:c>
      <x:c r="N1513" s="35" t="n">
        <x:f>L1513*M1513</x:f>
        <x:v>1.44</x:v>
      </x:c>
      <x:c r="O1513" s="37" t="n">
        <x:v>0.18</x:v>
      </x:c>
      <x:c r="P1513" s="35" t="n">
        <x:f>L1513*O1513</x:f>
        <x:v>3.2399999999999998</x:v>
      </x:c>
      <x:c r="Q1513" s="35" t="n">
        <x:v>1.2</x:v>
      </x:c>
      <x:c r="R1513" s="35" t="n">
        <x:f>K1513*Q1513</x:f>
        <x:v>1.2</x:v>
      </x:c>
      <x:c r="S1513" s="35" t="n">
        <x:f>XLOOKUP(H1513,'菜品主数据'!$A$5:$A$24,'菜品主数据'!$G$5:$G$24,0)</x:f>
        <x:v>6.613999999999999</x:v>
      </x:c>
      <x:c r="T1513" s="35" t="n">
        <x:f>K1513*S1513</x:f>
        <x:v>6.613999999999999</x:v>
      </x:c>
      <x:c r="U1513" s="35" t="n">
        <x:f>L1513-N1513-P1513-R1513-T1513</x:f>
        <x:v>5.506</x:v>
      </x:c>
      <x:c r="V1513" s="21" t="n">
        <x:f>IFERROR(U1513/L1513,0)</x:f>
        <x:v>0.3058888888888889</x:v>
      </x:c>
    </x:row>
    <x:row r="1514">
      <x:c r="A1514" s="19" t="str">
        <x:v>SALE-01510</x:v>
      </x:c>
      <x:c r="B1514" s="34" t="n">
        <x:v>46212.5</x:v>
      </x:c>
      <x:c r="C1514" s="19" t="str">
        <x:v>周四</x:v>
      </x:c>
      <x:c r="D1514" s="19" t="str">
        <x:v>S06</x:v>
      </x:c>
      <x:c r="E1514" s="19" t="str">
        <x:v>蓝钻天城店</x:v>
      </x:c>
      <x:c r="F1514" s="19" t="str">
        <x:v>外卖</x:v>
      </x:c>
      <x:c r="G1514" s="19" t="str">
        <x:v>全日</x:v>
      </x:c>
      <x:c r="H1514" s="19" t="str">
        <x:v>D10</x:v>
      </x:c>
      <x:c r="I1514" s="19" t="str">
        <x:v>农家一碗香</x:v>
      </x:c>
      <x:c r="J1514" s="22" t="n">
        <x:f>XLOOKUP(H1514,'菜品主数据'!$A$5:$A$24,'菜品主数据'!$D$5:$D$24,0)</x:f>
        <x:v>22.9</x:v>
      </x:c>
      <x:c r="K1514" s="31" t="n">
        <x:v>2</x:v>
      </x:c>
      <x:c r="L1514" s="35" t="n">
        <x:f>J1514*K1514</x:f>
        <x:v>45.8</x:v>
      </x:c>
      <x:c r="M1514" s="36" t="n">
        <x:v>0.08</x:v>
      </x:c>
      <x:c r="N1514" s="35" t="n">
        <x:f>L1514*M1514</x:f>
        <x:v>3.6639999999999997</x:v>
      </x:c>
      <x:c r="O1514" s="37" t="n">
        <x:v>0.18</x:v>
      </x:c>
      <x:c r="P1514" s="35" t="n">
        <x:f>L1514*O1514</x:f>
        <x:v>8.244</x:v>
      </x:c>
      <x:c r="Q1514" s="35" t="n">
        <x:v>1.2</x:v>
      </x:c>
      <x:c r="R1514" s="35" t="n">
        <x:f>K1514*Q1514</x:f>
        <x:v>2.4</x:v>
      </x:c>
      <x:c r="S1514" s="35" t="n">
        <x:f>XLOOKUP(H1514,'菜品主数据'!$A$5:$A$24,'菜品主数据'!$G$5:$G$24,0)</x:f>
        <x:v>9.770200000000003</x:v>
      </x:c>
      <x:c r="T1514" s="35" t="n">
        <x:f>K1514*S1514</x:f>
        <x:v>19.540400000000005</x:v>
      </x:c>
      <x:c r="U1514" s="35" t="n">
        <x:f>L1514-N1514-P1514-R1514-T1514</x:f>
        <x:v>11.951599999999992</x:v>
      </x:c>
      <x:c r="V1514" s="21" t="n">
        <x:f>IFERROR(U1514/L1514,0)</x:f>
        <x:v>0.260951965065502</x:v>
      </x:c>
    </x:row>
    <x:row r="1515">
      <x:c r="A1515" s="19" t="str">
        <x:v>SALE-01511</x:v>
      </x:c>
      <x:c r="B1515" s="34" t="n">
        <x:v>46212.5</x:v>
      </x:c>
      <x:c r="C1515" s="19" t="str">
        <x:v>周四</x:v>
      </x:c>
      <x:c r="D1515" s="19" t="str">
        <x:v>S06</x:v>
      </x:c>
      <x:c r="E1515" s="19" t="str">
        <x:v>蓝钻天城店</x:v>
      </x:c>
      <x:c r="F1515" s="19" t="str">
        <x:v>外卖</x:v>
      </x:c>
      <x:c r="G1515" s="19" t="str">
        <x:v>全日</x:v>
      </x:c>
      <x:c r="H1515" s="19" t="str">
        <x:v>D11</x:v>
      </x:c>
      <x:c r="I1515" s="19" t="str">
        <x:v>香辣爆肥肠</x:v>
      </x:c>
      <x:c r="J1515" s="22" t="n">
        <x:f>XLOOKUP(H1515,'菜品主数据'!$A$5:$A$24,'菜品主数据'!$D$5:$D$24,0)</x:f>
        <x:v>39</x:v>
      </x:c>
      <x:c r="K1515" s="31" t="n">
        <x:v>0</x:v>
      </x:c>
      <x:c r="L1515" s="35" t="n">
        <x:f>J1515*K1515</x:f>
        <x:v>0</x:v>
      </x:c>
      <x:c r="M1515" s="36" t="n">
        <x:v>0.08</x:v>
      </x:c>
      <x:c r="N1515" s="35" t="n">
        <x:f>L1515*M1515</x:f>
        <x:v>0</x:v>
      </x:c>
      <x:c r="O1515" s="37" t="n">
        <x:v>0.18</x:v>
      </x:c>
      <x:c r="P1515" s="35" t="n">
        <x:f>L1515*O1515</x:f>
        <x:v>0</x:v>
      </x:c>
      <x:c r="Q1515" s="35" t="n">
        <x:v>1.2</x:v>
      </x:c>
      <x:c r="R1515" s="35" t="n">
        <x:f>K1515*Q1515</x:f>
        <x:v>0</x:v>
      </x:c>
      <x:c r="S1515" s="35" t="n">
        <x:f>XLOOKUP(H1515,'菜品主数据'!$A$5:$A$24,'菜品主数据'!$G$5:$G$24,0)</x:f>
        <x:v>10.397</x:v>
      </x:c>
      <x:c r="T1515" s="35" t="n">
        <x:f>K1515*S1515</x:f>
        <x:v>0</x:v>
      </x:c>
      <x:c r="U1515" s="35" t="n">
        <x:f>L1515-N1515-P1515-R1515-T1515</x:f>
        <x:v>0</x:v>
      </x:c>
      <x:c r="V1515" s="21" t="n">
        <x:f>IFERROR(U1515/L1515,0)</x:f>
        <x:v>0</x:v>
      </x:c>
    </x:row>
    <x:row r="1516">
      <x:c r="A1516" s="19" t="str">
        <x:v>SALE-01512</x:v>
      </x:c>
      <x:c r="B1516" s="34" t="n">
        <x:v>46212.5</x:v>
      </x:c>
      <x:c r="C1516" s="19" t="str">
        <x:v>周四</x:v>
      </x:c>
      <x:c r="D1516" s="19" t="str">
        <x:v>S06</x:v>
      </x:c>
      <x:c r="E1516" s="19" t="str">
        <x:v>蓝钻天城店</x:v>
      </x:c>
      <x:c r="F1516" s="19" t="str">
        <x:v>外卖</x:v>
      </x:c>
      <x:c r="G1516" s="19" t="str">
        <x:v>全日</x:v>
      </x:c>
      <x:c r="H1516" s="19" t="str">
        <x:v>D12</x:v>
      </x:c>
      <x:c r="I1516" s="19" t="str">
        <x:v>清蒸鲈鱼</x:v>
      </x:c>
      <x:c r="J1516" s="22" t="n">
        <x:f>XLOOKUP(H1516,'菜品主数据'!$A$5:$A$24,'菜品主数据'!$D$5:$D$24,0)</x:f>
        <x:v>39</x:v>
      </x:c>
      <x:c r="K1516" s="31" t="n">
        <x:v>0</x:v>
      </x:c>
      <x:c r="L1516" s="35" t="n">
        <x:f>J1516*K1516</x:f>
        <x:v>0</x:v>
      </x:c>
      <x:c r="M1516" s="36" t="n">
        <x:v>0.08</x:v>
      </x:c>
      <x:c r="N1516" s="35" t="n">
        <x:f>L1516*M1516</x:f>
        <x:v>0</x:v>
      </x:c>
      <x:c r="O1516" s="37" t="n">
        <x:v>0.18</x:v>
      </x:c>
      <x:c r="P1516" s="35" t="n">
        <x:f>L1516*O1516</x:f>
        <x:v>0</x:v>
      </x:c>
      <x:c r="Q1516" s="35" t="n">
        <x:v>1.2</x:v>
      </x:c>
      <x:c r="R1516" s="35" t="n">
        <x:f>K1516*Q1516</x:f>
        <x:v>0</x:v>
      </x:c>
      <x:c r="S1516" s="35" t="n">
        <x:f>XLOOKUP(H1516,'菜品主数据'!$A$5:$A$24,'菜品主数据'!$G$5:$G$24,0)</x:f>
        <x:v>18.874</x:v>
      </x:c>
      <x:c r="T1516" s="35" t="n">
        <x:f>K1516*S1516</x:f>
        <x:v>0</x:v>
      </x:c>
      <x:c r="U1516" s="35" t="n">
        <x:f>L1516-N1516-P1516-R1516-T1516</x:f>
        <x:v>0</x:v>
      </x:c>
      <x:c r="V1516" s="21" t="n">
        <x:f>IFERROR(U1516/L1516,0)</x:f>
        <x:v>0</x:v>
      </x:c>
    </x:row>
    <x:row r="1517">
      <x:c r="A1517" s="19" t="str">
        <x:v>SALE-01513</x:v>
      </x:c>
      <x:c r="B1517" s="34" t="n">
        <x:v>46212.5</x:v>
      </x:c>
      <x:c r="C1517" s="19" t="str">
        <x:v>周四</x:v>
      </x:c>
      <x:c r="D1517" s="19" t="str">
        <x:v>S06</x:v>
      </x:c>
      <x:c r="E1517" s="19" t="str">
        <x:v>蓝钻天城店</x:v>
      </x:c>
      <x:c r="F1517" s="19" t="str">
        <x:v>外卖</x:v>
      </x:c>
      <x:c r="G1517" s="19" t="str">
        <x:v>全日</x:v>
      </x:c>
      <x:c r="H1517" s="19" t="str">
        <x:v>D13</x:v>
      </x:c>
      <x:c r="I1517" s="19" t="str">
        <x:v>外婆菜炒蛋</x:v>
      </x:c>
      <x:c r="J1517" s="22" t="n">
        <x:f>XLOOKUP(H1517,'菜品主数据'!$A$5:$A$24,'菜品主数据'!$D$5:$D$24,0)</x:f>
        <x:v>18</x:v>
      </x:c>
      <x:c r="K1517" s="31" t="n">
        <x:v>1</x:v>
      </x:c>
      <x:c r="L1517" s="35" t="n">
        <x:f>J1517*K1517</x:f>
        <x:v>18</x:v>
      </x:c>
      <x:c r="M1517" s="36" t="n">
        <x:v>0.08</x:v>
      </x:c>
      <x:c r="N1517" s="35" t="n">
        <x:f>L1517*M1517</x:f>
        <x:v>1.44</x:v>
      </x:c>
      <x:c r="O1517" s="37" t="n">
        <x:v>0.18</x:v>
      </x:c>
      <x:c r="P1517" s="35" t="n">
        <x:f>L1517*O1517</x:f>
        <x:v>3.2399999999999998</x:v>
      </x:c>
      <x:c r="Q1517" s="35" t="n">
        <x:v>1.2</x:v>
      </x:c>
      <x:c r="R1517" s="35" t="n">
        <x:f>K1517*Q1517</x:f>
        <x:v>1.2</x:v>
      </x:c>
      <x:c r="S1517" s="35" t="n">
        <x:f>XLOOKUP(H1517,'菜品主数据'!$A$5:$A$24,'菜品主数据'!$G$5:$G$24,0)</x:f>
        <x:v>5.403999999999999</x:v>
      </x:c>
      <x:c r="T1517" s="35" t="n">
        <x:f>K1517*S1517</x:f>
        <x:v>5.403999999999999</x:v>
      </x:c>
      <x:c r="U1517" s="35" t="n">
        <x:f>L1517-N1517-P1517-R1517-T1517</x:f>
        <x:v>6.716</x:v>
      </x:c>
      <x:c r="V1517" s="21" t="n">
        <x:f>IFERROR(U1517/L1517,0)</x:f>
        <x:v>0.3731111111111111</x:v>
      </x:c>
    </x:row>
    <x:row r="1518">
      <x:c r="A1518" s="19" t="str">
        <x:v>SALE-01514</x:v>
      </x:c>
      <x:c r="B1518" s="34" t="n">
        <x:v>46212.5</x:v>
      </x:c>
      <x:c r="C1518" s="19" t="str">
        <x:v>周四</x:v>
      </x:c>
      <x:c r="D1518" s="19" t="str">
        <x:v>S06</x:v>
      </x:c>
      <x:c r="E1518" s="19" t="str">
        <x:v>蓝钻天城店</x:v>
      </x:c>
      <x:c r="F1518" s="19" t="str">
        <x:v>外卖</x:v>
      </x:c>
      <x:c r="G1518" s="19" t="str">
        <x:v>全日</x:v>
      </x:c>
      <x:c r="H1518" s="19" t="str">
        <x:v>D14</x:v>
      </x:c>
      <x:c r="I1518" s="19" t="str">
        <x:v>酸辣鸡杂</x:v>
      </x:c>
      <x:c r="J1518" s="22" t="n">
        <x:f>XLOOKUP(H1518,'菜品主数据'!$A$5:$A$24,'菜品主数据'!$D$5:$D$24,0)</x:f>
        <x:v>28</x:v>
      </x:c>
      <x:c r="K1518" s="31" t="n">
        <x:v>0</x:v>
      </x:c>
      <x:c r="L1518" s="35" t="n">
        <x:f>J1518*K1518</x:f>
        <x:v>0</x:v>
      </x:c>
      <x:c r="M1518" s="36" t="n">
        <x:v>0.08</x:v>
      </x:c>
      <x:c r="N1518" s="35" t="n">
        <x:f>L1518*M1518</x:f>
        <x:v>0</x:v>
      </x:c>
      <x:c r="O1518" s="37" t="n">
        <x:v>0.18</x:v>
      </x:c>
      <x:c r="P1518" s="35" t="n">
        <x:f>L1518*O1518</x:f>
        <x:v>0</x:v>
      </x:c>
      <x:c r="Q1518" s="35" t="n">
        <x:v>1.2</x:v>
      </x:c>
      <x:c r="R1518" s="35" t="n">
        <x:f>K1518*Q1518</x:f>
        <x:v>0</x:v>
      </x:c>
      <x:c r="S1518" s="35" t="n">
        <x:f>XLOOKUP(H1518,'菜品主数据'!$A$5:$A$24,'菜品主数据'!$G$5:$G$24,0)</x:f>
        <x:v>8.315000000000001</x:v>
      </x:c>
      <x:c r="T1518" s="35" t="n">
        <x:f>K1518*S1518</x:f>
        <x:v>0</x:v>
      </x:c>
      <x:c r="U1518" s="35" t="n">
        <x:f>L1518-N1518-P1518-R1518-T1518</x:f>
        <x:v>0</x:v>
      </x:c>
      <x:c r="V1518" s="21" t="n">
        <x:f>IFERROR(U1518/L1518,0)</x:f>
        <x:v>0</x:v>
      </x:c>
    </x:row>
    <x:row r="1519">
      <x:c r="A1519" s="19" t="str">
        <x:v>SALE-01515</x:v>
      </x:c>
      <x:c r="B1519" s="34" t="n">
        <x:v>46212.5</x:v>
      </x:c>
      <x:c r="C1519" s="19" t="str">
        <x:v>周四</x:v>
      </x:c>
      <x:c r="D1519" s="19" t="str">
        <x:v>S06</x:v>
      </x:c>
      <x:c r="E1519" s="19" t="str">
        <x:v>蓝钻天城店</x:v>
      </x:c>
      <x:c r="F1519" s="19" t="str">
        <x:v>外卖</x:v>
      </x:c>
      <x:c r="G1519" s="19" t="str">
        <x:v>全日</x:v>
      </x:c>
      <x:c r="H1519" s="19" t="str">
        <x:v>D15</x:v>
      </x:c>
      <x:c r="I1519" s="19" t="str">
        <x:v>湘西土匪猪肝</x:v>
      </x:c>
      <x:c r="J1519" s="22" t="n">
        <x:f>XLOOKUP(H1519,'菜品主数据'!$A$5:$A$24,'菜品主数据'!$D$5:$D$24,0)</x:f>
        <x:v>26</x:v>
      </x:c>
      <x:c r="K1519" s="31" t="n">
        <x:v>0</x:v>
      </x:c>
      <x:c r="L1519" s="35" t="n">
        <x:f>J1519*K1519</x:f>
        <x:v>0</x:v>
      </x:c>
      <x:c r="M1519" s="36" t="n">
        <x:v>0.08</x:v>
      </x:c>
      <x:c r="N1519" s="35" t="n">
        <x:f>L1519*M1519</x:f>
        <x:v>0</x:v>
      </x:c>
      <x:c r="O1519" s="37" t="n">
        <x:v>0.18</x:v>
      </x:c>
      <x:c r="P1519" s="35" t="n">
        <x:f>L1519*O1519</x:f>
        <x:v>0</x:v>
      </x:c>
      <x:c r="Q1519" s="35" t="n">
        <x:v>1.2</x:v>
      </x:c>
      <x:c r="R1519" s="35" t="n">
        <x:f>K1519*Q1519</x:f>
        <x:v>0</x:v>
      </x:c>
      <x:c r="S1519" s="35" t="n">
        <x:f>XLOOKUP(H1519,'菜品主数据'!$A$5:$A$24,'菜品主数据'!$G$5:$G$24,0)</x:f>
        <x:v>6.3759999999999994</x:v>
      </x:c>
      <x:c r="T1519" s="35" t="n">
        <x:f>K1519*S1519</x:f>
        <x:v>0</x:v>
      </x:c>
      <x:c r="U1519" s="35" t="n">
        <x:f>L1519-N1519-P1519-R1519-T1519</x:f>
        <x:v>0</x:v>
      </x:c>
      <x:c r="V1519" s="21" t="n">
        <x:f>IFERROR(U1519/L1519,0)</x:f>
        <x:v>0</x:v>
      </x:c>
    </x:row>
    <x:row r="1520">
      <x:c r="A1520" s="19" t="str">
        <x:v>SALE-01516</x:v>
      </x:c>
      <x:c r="B1520" s="34" t="n">
        <x:v>46212.5</x:v>
      </x:c>
      <x:c r="C1520" s="19" t="str">
        <x:v>周四</x:v>
      </x:c>
      <x:c r="D1520" s="19" t="str">
        <x:v>S06</x:v>
      </x:c>
      <x:c r="E1520" s="19" t="str">
        <x:v>蓝钻天城店</x:v>
      </x:c>
      <x:c r="F1520" s="19" t="str">
        <x:v>外卖</x:v>
      </x:c>
      <x:c r="G1520" s="19" t="str">
        <x:v>全日</x:v>
      </x:c>
      <x:c r="H1520" s="19" t="str">
        <x:v>D16</x:v>
      </x:c>
      <x:c r="I1520" s="19" t="str">
        <x:v>小豆角炒五花</x:v>
      </x:c>
      <x:c r="J1520" s="22" t="n">
        <x:f>XLOOKUP(H1520,'菜品主数据'!$A$5:$A$24,'菜品主数据'!$D$5:$D$24,0)</x:f>
        <x:v>25</x:v>
      </x:c>
      <x:c r="K1520" s="31" t="n">
        <x:v>0</x:v>
      </x:c>
      <x:c r="L1520" s="35" t="n">
        <x:f>J1520*K1520</x:f>
        <x:v>0</x:v>
      </x:c>
      <x:c r="M1520" s="36" t="n">
        <x:v>0.08</x:v>
      </x:c>
      <x:c r="N1520" s="35" t="n">
        <x:f>L1520*M1520</x:f>
        <x:v>0</x:v>
      </x:c>
      <x:c r="O1520" s="37" t="n">
        <x:v>0.18</x:v>
      </x:c>
      <x:c r="P1520" s="35" t="n">
        <x:f>L1520*O1520</x:f>
        <x:v>0</x:v>
      </x:c>
      <x:c r="Q1520" s="35" t="n">
        <x:v>1.2</x:v>
      </x:c>
      <x:c r="R1520" s="35" t="n">
        <x:f>K1520*Q1520</x:f>
        <x:v>0</x:v>
      </x:c>
      <x:c r="S1520" s="35" t="n">
        <x:f>XLOOKUP(H1520,'菜品主数据'!$A$5:$A$24,'菜品主数据'!$G$5:$G$24,0)</x:f>
        <x:v>8.184</x:v>
      </x:c>
      <x:c r="T1520" s="35" t="n">
        <x:f>K1520*S1520</x:f>
        <x:v>0</x:v>
      </x:c>
      <x:c r="U1520" s="35" t="n">
        <x:f>L1520-N1520-P1520-R1520-T1520</x:f>
        <x:v>0</x:v>
      </x:c>
      <x:c r="V1520" s="21" t="n">
        <x:f>IFERROR(U1520/L1520,0)</x:f>
        <x:v>0</x:v>
      </x:c>
    </x:row>
    <x:row r="1521">
      <x:c r="A1521" s="19" t="str">
        <x:v>SALE-01517</x:v>
      </x:c>
      <x:c r="B1521" s="34" t="n">
        <x:v>46212.5</x:v>
      </x:c>
      <x:c r="C1521" s="19" t="str">
        <x:v>周四</x:v>
      </x:c>
      <x:c r="D1521" s="19" t="str">
        <x:v>S06</x:v>
      </x:c>
      <x:c r="E1521" s="19" t="str">
        <x:v>蓝钻天城店</x:v>
      </x:c>
      <x:c r="F1521" s="19" t="str">
        <x:v>外卖</x:v>
      </x:c>
      <x:c r="G1521" s="19" t="str">
        <x:v>全日</x:v>
      </x:c>
      <x:c r="H1521" s="19" t="str">
        <x:v>D17</x:v>
      </x:c>
      <x:c r="I1521" s="19" t="str">
        <x:v>蒜蓉粉丝虾</x:v>
      </x:c>
      <x:c r="J1521" s="22" t="n">
        <x:f>XLOOKUP(H1521,'菜品主数据'!$A$5:$A$24,'菜品主数据'!$D$5:$D$24,0)</x:f>
        <x:v>36</x:v>
      </x:c>
      <x:c r="K1521" s="31" t="n">
        <x:v>0</x:v>
      </x:c>
      <x:c r="L1521" s="35" t="n">
        <x:f>J1521*K1521</x:f>
        <x:v>0</x:v>
      </x:c>
      <x:c r="M1521" s="36" t="n">
        <x:v>0.08</x:v>
      </x:c>
      <x:c r="N1521" s="35" t="n">
        <x:f>L1521*M1521</x:f>
        <x:v>0</x:v>
      </x:c>
      <x:c r="O1521" s="37" t="n">
        <x:v>0.18</x:v>
      </x:c>
      <x:c r="P1521" s="35" t="n">
        <x:f>L1521*O1521</x:f>
        <x:v>0</x:v>
      </x:c>
      <x:c r="Q1521" s="35" t="n">
        <x:v>1.2</x:v>
      </x:c>
      <x:c r="R1521" s="35" t="n">
        <x:f>K1521*Q1521</x:f>
        <x:v>0</x:v>
      </x:c>
      <x:c r="S1521" s="35" t="n">
        <x:f>XLOOKUP(H1521,'菜品主数据'!$A$5:$A$24,'菜品主数据'!$G$5:$G$24,0)</x:f>
        <x:v>13.594</x:v>
      </x:c>
      <x:c r="T1521" s="35" t="n">
        <x:f>K1521*S1521</x:f>
        <x:v>0</x:v>
      </x:c>
      <x:c r="U1521" s="35" t="n">
        <x:f>L1521-N1521-P1521-R1521-T1521</x:f>
        <x:v>0</x:v>
      </x:c>
      <x:c r="V1521" s="21" t="n">
        <x:f>IFERROR(U1521/L1521,0)</x:f>
        <x:v>0</x:v>
      </x:c>
    </x:row>
    <x:row r="1522">
      <x:c r="A1522" s="19" t="str">
        <x:v>SALE-01518</x:v>
      </x:c>
      <x:c r="B1522" s="34" t="n">
        <x:v>46212.5</x:v>
      </x:c>
      <x:c r="C1522" s="19" t="str">
        <x:v>周四</x:v>
      </x:c>
      <x:c r="D1522" s="19" t="str">
        <x:v>S06</x:v>
      </x:c>
      <x:c r="E1522" s="19" t="str">
        <x:v>蓝钻天城店</x:v>
      </x:c>
      <x:c r="F1522" s="19" t="str">
        <x:v>外卖</x:v>
      </x:c>
      <x:c r="G1522" s="19" t="str">
        <x:v>全日</x:v>
      </x:c>
      <x:c r="H1522" s="19" t="str">
        <x:v>D18</x:v>
      </x:c>
      <x:c r="I1522" s="19" t="str">
        <x:v>青椒炒油麦菜</x:v>
      </x:c>
      <x:c r="J1522" s="22" t="n">
        <x:f>XLOOKUP(H1522,'菜品主数据'!$A$5:$A$24,'菜品主数据'!$D$5:$D$24,0)</x:f>
        <x:v>18</x:v>
      </x:c>
      <x:c r="K1522" s="31" t="n">
        <x:v>0</x:v>
      </x:c>
      <x:c r="L1522" s="35" t="n">
        <x:f>J1522*K1522</x:f>
        <x:v>0</x:v>
      </x:c>
      <x:c r="M1522" s="36" t="n">
        <x:v>0.08</x:v>
      </x:c>
      <x:c r="N1522" s="35" t="n">
        <x:f>L1522*M1522</x:f>
        <x:v>0</x:v>
      </x:c>
      <x:c r="O1522" s="37" t="n">
        <x:v>0.18</x:v>
      </x:c>
      <x:c r="P1522" s="35" t="n">
        <x:f>L1522*O1522</x:f>
        <x:v>0</x:v>
      </x:c>
      <x:c r="Q1522" s="35" t="n">
        <x:v>1.2</x:v>
      </x:c>
      <x:c r="R1522" s="35" t="n">
        <x:f>K1522*Q1522</x:f>
        <x:v>0</x:v>
      </x:c>
      <x:c r="S1522" s="35" t="n">
        <x:f>XLOOKUP(H1522,'菜品主数据'!$A$5:$A$24,'菜品主数据'!$G$5:$G$24,0)</x:f>
        <x:v>3.1759999999999993</x:v>
      </x:c>
      <x:c r="T1522" s="35" t="n">
        <x:f>K1522*S1522</x:f>
        <x:v>0</x:v>
      </x:c>
      <x:c r="U1522" s="35" t="n">
        <x:f>L1522-N1522-P1522-R1522-T1522</x:f>
        <x:v>0</x:v>
      </x:c>
      <x:c r="V1522" s="21" t="n">
        <x:f>IFERROR(U1522/L1522,0)</x:f>
        <x:v>0</x:v>
      </x:c>
    </x:row>
    <x:row r="1523">
      <x:c r="A1523" s="19" t="str">
        <x:v>SALE-01519</x:v>
      </x:c>
      <x:c r="B1523" s="34" t="n">
        <x:v>46212.5</x:v>
      </x:c>
      <x:c r="C1523" s="19" t="str">
        <x:v>周四</x:v>
      </x:c>
      <x:c r="D1523" s="19" t="str">
        <x:v>S06</x:v>
      </x:c>
      <x:c r="E1523" s="19" t="str">
        <x:v>蓝钻天城店</x:v>
      </x:c>
      <x:c r="F1523" s="19" t="str">
        <x:v>外卖</x:v>
      </x:c>
      <x:c r="G1523" s="19" t="str">
        <x:v>全日</x:v>
      </x:c>
      <x:c r="H1523" s="19" t="str">
        <x:v>D19</x:v>
      </x:c>
      <x:c r="I1523" s="19" t="str">
        <x:v>酸萝卜炒鸡杂</x:v>
      </x:c>
      <x:c r="J1523" s="22" t="n">
        <x:f>XLOOKUP(H1523,'菜品主数据'!$A$5:$A$24,'菜品主数据'!$D$5:$D$24,0)</x:f>
        <x:v>25</x:v>
      </x:c>
      <x:c r="K1523" s="31" t="n">
        <x:v>0</x:v>
      </x:c>
      <x:c r="L1523" s="35" t="n">
        <x:f>J1523*K1523</x:f>
        <x:v>0</x:v>
      </x:c>
      <x:c r="M1523" s="36" t="n">
        <x:v>0.08</x:v>
      </x:c>
      <x:c r="N1523" s="35" t="n">
        <x:f>L1523*M1523</x:f>
        <x:v>0</x:v>
      </x:c>
      <x:c r="O1523" s="37" t="n">
        <x:v>0.18</x:v>
      </x:c>
      <x:c r="P1523" s="35" t="n">
        <x:f>L1523*O1523</x:f>
        <x:v>0</x:v>
      </x:c>
      <x:c r="Q1523" s="35" t="n">
        <x:v>1.2</x:v>
      </x:c>
      <x:c r="R1523" s="35" t="n">
        <x:f>K1523*Q1523</x:f>
        <x:v>0</x:v>
      </x:c>
      <x:c r="S1523" s="35" t="n">
        <x:f>XLOOKUP(H1523,'菜品主数据'!$A$5:$A$24,'菜品主数据'!$G$5:$G$24,0)</x:f>
        <x:v>7.9399999999999995</x:v>
      </x:c>
      <x:c r="T1523" s="35" t="n">
        <x:f>K1523*S1523</x:f>
        <x:v>0</x:v>
      </x:c>
      <x:c r="U1523" s="35" t="n">
        <x:f>L1523-N1523-P1523-R1523-T1523</x:f>
        <x:v>0</x:v>
      </x:c>
      <x:c r="V1523" s="21" t="n">
        <x:f>IFERROR(U1523/L1523,0)</x:f>
        <x:v>0</x:v>
      </x:c>
    </x:row>
    <x:row r="1524">
      <x:c r="A1524" s="19" t="str">
        <x:v>SALE-01520</x:v>
      </x:c>
      <x:c r="B1524" s="34" t="n">
        <x:v>46212.5</x:v>
      </x:c>
      <x:c r="C1524" s="19" t="str">
        <x:v>周四</x:v>
      </x:c>
      <x:c r="D1524" s="19" t="str">
        <x:v>S06</x:v>
      </x:c>
      <x:c r="E1524" s="19" t="str">
        <x:v>蓝钻天城店</x:v>
      </x:c>
      <x:c r="F1524" s="19" t="str">
        <x:v>外卖</x:v>
      </x:c>
      <x:c r="G1524" s="19" t="str">
        <x:v>全日</x:v>
      </x:c>
      <x:c r="H1524" s="19" t="str">
        <x:v>D20</x:v>
      </x:c>
      <x:c r="I1524" s="19" t="str">
        <x:v>雪菜肉末青豆</x:v>
      </x:c>
      <x:c r="J1524" s="22" t="n">
        <x:f>XLOOKUP(H1524,'菜品主数据'!$A$5:$A$24,'菜品主数据'!$D$5:$D$24,0)</x:f>
        <x:v>18</x:v>
      </x:c>
      <x:c r="K1524" s="31" t="n">
        <x:v>0</x:v>
      </x:c>
      <x:c r="L1524" s="35" t="n">
        <x:f>J1524*K1524</x:f>
        <x:v>0</x:v>
      </x:c>
      <x:c r="M1524" s="36" t="n">
        <x:v>0.08</x:v>
      </x:c>
      <x:c r="N1524" s="35" t="n">
        <x:f>L1524*M1524</x:f>
        <x:v>0</x:v>
      </x:c>
      <x:c r="O1524" s="37" t="n">
        <x:v>0.18</x:v>
      </x:c>
      <x:c r="P1524" s="35" t="n">
        <x:f>L1524*O1524</x:f>
        <x:v>0</x:v>
      </x:c>
      <x:c r="Q1524" s="35" t="n">
        <x:v>1.2</x:v>
      </x:c>
      <x:c r="R1524" s="35" t="n">
        <x:f>K1524*Q1524</x:f>
        <x:v>0</x:v>
      </x:c>
      <x:c r="S1524" s="35" t="n">
        <x:f>XLOOKUP(H1524,'菜品主数据'!$A$5:$A$24,'菜品主数据'!$G$5:$G$24,0)</x:f>
        <x:v>7.303999999999999</x:v>
      </x:c>
      <x:c r="T1524" s="35" t="n">
        <x:f>K1524*S1524</x:f>
        <x:v>0</x:v>
      </x:c>
      <x:c r="U1524" s="35" t="n">
        <x:f>L1524-N1524-P1524-R1524-T1524</x:f>
        <x:v>0</x:v>
      </x:c>
      <x:c r="V1524" s="21" t="n">
        <x:f>IFERROR(U1524/L1524,0)</x:f>
        <x:v>0</x:v>
      </x:c>
    </x:row>
    <x:row r="1525">
      <x:c r="A1525" s="19" t="str">
        <x:v>SALE-01521</x:v>
      </x:c>
      <x:c r="B1525" s="34" t="n">
        <x:v>46213.5</x:v>
      </x:c>
      <x:c r="C1525" s="19" t="str">
        <x:v>周五</x:v>
      </x:c>
      <x:c r="D1525" s="19" t="str">
        <x:v>S06</x:v>
      </x:c>
      <x:c r="E1525" s="19" t="str">
        <x:v>蓝钻天城店</x:v>
      </x:c>
      <x:c r="F1525" s="19" t="str">
        <x:v>堂食</x:v>
      </x:c>
      <x:c r="G1525" s="19" t="str">
        <x:v>全日</x:v>
      </x:c>
      <x:c r="H1525" s="19" t="str">
        <x:v>D01</x:v>
      </x:c>
      <x:c r="I1525" s="19" t="str">
        <x:v>辣椒炒肉</x:v>
      </x:c>
      <x:c r="J1525" s="22" t="n">
        <x:f>XLOOKUP(H1525,'菜品主数据'!$A$5:$A$24,'菜品主数据'!$D$5:$D$24,0)</x:f>
        <x:v>29</x:v>
      </x:c>
      <x:c r="K1525" s="31" t="n">
        <x:v>40</x:v>
      </x:c>
      <x:c r="L1525" s="35" t="n">
        <x:f>J1525*K1525</x:f>
        <x:v>1160</x:v>
      </x:c>
      <x:c r="M1525" s="36" t="n">
        <x:v>0</x:v>
      </x:c>
      <x:c r="N1525" s="35" t="n">
        <x:f>L1525*M1525</x:f>
        <x:v>0</x:v>
      </x:c>
      <x:c r="O1525" s="37" t="n">
        <x:v>0</x:v>
      </x:c>
      <x:c r="P1525" s="35" t="n">
        <x:f>L1525*O1525</x:f>
        <x:v>0</x:v>
      </x:c>
      <x:c r="Q1525" s="35" t="n">
        <x:v>0</x:v>
      </x:c>
      <x:c r="R1525" s="35" t="n">
        <x:f>K1525*Q1525</x:f>
        <x:v>0</x:v>
      </x:c>
      <x:c r="S1525" s="35" t="n">
        <x:f>XLOOKUP(H1525,'菜品主数据'!$A$5:$A$24,'菜品主数据'!$G$5:$G$24,0)</x:f>
        <x:v>8.634400000000001</x:v>
      </x:c>
      <x:c r="T1525" s="35" t="n">
        <x:f>K1525*S1525</x:f>
        <x:v>345.37600000000003</x:v>
      </x:c>
      <x:c r="U1525" s="35" t="n">
        <x:f>L1525-N1525-P1525-R1525-T1525</x:f>
        <x:v>814.624</x:v>
      </x:c>
      <x:c r="V1525" s="21" t="n">
        <x:f>IFERROR(U1525/L1525,0)</x:f>
        <x:v>0.7022620689655172</x:v>
      </x:c>
    </x:row>
    <x:row r="1526">
      <x:c r="A1526" s="19" t="str">
        <x:v>SALE-01522</x:v>
      </x:c>
      <x:c r="B1526" s="34" t="n">
        <x:v>46213.5</x:v>
      </x:c>
      <x:c r="C1526" s="19" t="str">
        <x:v>周五</x:v>
      </x:c>
      <x:c r="D1526" s="19" t="str">
        <x:v>S06</x:v>
      </x:c>
      <x:c r="E1526" s="19" t="str">
        <x:v>蓝钻天城店</x:v>
      </x:c>
      <x:c r="F1526" s="19" t="str">
        <x:v>堂食</x:v>
      </x:c>
      <x:c r="G1526" s="19" t="str">
        <x:v>全日</x:v>
      </x:c>
      <x:c r="H1526" s="19" t="str">
        <x:v>D02</x:v>
      </x:c>
      <x:c r="I1526" s="19" t="str">
        <x:v>小炒黄牛肉</x:v>
      </x:c>
      <x:c r="J1526" s="22" t="n">
        <x:f>XLOOKUP(H1526,'菜品主数据'!$A$5:$A$24,'菜品主数据'!$D$5:$D$24,0)</x:f>
        <x:v>49</x:v>
      </x:c>
      <x:c r="K1526" s="31" t="n">
        <x:v>24</x:v>
      </x:c>
      <x:c r="L1526" s="35" t="n">
        <x:f>J1526*K1526</x:f>
        <x:v>1176</x:v>
      </x:c>
      <x:c r="M1526" s="36" t="n">
        <x:v>0</x:v>
      </x:c>
      <x:c r="N1526" s="35" t="n">
        <x:f>L1526*M1526</x:f>
        <x:v>0</x:v>
      </x:c>
      <x:c r="O1526" s="37" t="n">
        <x:v>0</x:v>
      </x:c>
      <x:c r="P1526" s="35" t="n">
        <x:f>L1526*O1526</x:f>
        <x:v>0</x:v>
      </x:c>
      <x:c r="Q1526" s="35" t="n">
        <x:v>0</x:v>
      </x:c>
      <x:c r="R1526" s="35" t="n">
        <x:f>K1526*Q1526</x:f>
        <x:v>0</x:v>
      </x:c>
      <x:c r="S1526" s="35" t="n">
        <x:f>XLOOKUP(H1526,'菜品主数据'!$A$5:$A$24,'菜品主数据'!$G$5:$G$24,0)</x:f>
        <x:v>17.577</x:v>
      </x:c>
      <x:c r="T1526" s="35" t="n">
        <x:f>K1526*S1526</x:f>
        <x:v>421.84800000000007</x:v>
      </x:c>
      <x:c r="U1526" s="35" t="n">
        <x:f>L1526-N1526-P1526-R1526-T1526</x:f>
        <x:v>754.1519999999999</x:v>
      </x:c>
      <x:c r="V1526" s="21" t="n">
        <x:f>IFERROR(U1526/L1526,0)</x:f>
        <x:v>0.6412857142857142</x:v>
      </x:c>
    </x:row>
    <x:row r="1527">
      <x:c r="A1527" s="19" t="str">
        <x:v>SALE-01523</x:v>
      </x:c>
      <x:c r="B1527" s="34" t="n">
        <x:v>46213.5</x:v>
      </x:c>
      <x:c r="C1527" s="19" t="str">
        <x:v>周五</x:v>
      </x:c>
      <x:c r="D1527" s="19" t="str">
        <x:v>S06</x:v>
      </x:c>
      <x:c r="E1527" s="19" t="str">
        <x:v>蓝钻天城店</x:v>
      </x:c>
      <x:c r="F1527" s="19" t="str">
        <x:v>堂食</x:v>
      </x:c>
      <x:c r="G1527" s="19" t="str">
        <x:v>全日</x:v>
      </x:c>
      <x:c r="H1527" s="19" t="str">
        <x:v>D03</x:v>
      </x:c>
      <x:c r="I1527" s="19" t="str">
        <x:v>香醋炒蛋</x:v>
      </x:c>
      <x:c r="J1527" s="22" t="n">
        <x:f>XLOOKUP(H1527,'菜品主数据'!$A$5:$A$24,'菜品主数据'!$D$5:$D$24,0)</x:f>
        <x:v>14.9</x:v>
      </x:c>
      <x:c r="K1527" s="31" t="n">
        <x:v>36</x:v>
      </x:c>
      <x:c r="L1527" s="35" t="n">
        <x:f>J1527*K1527</x:f>
        <x:v>536.4</x:v>
      </x:c>
      <x:c r="M1527" s="36" t="n">
        <x:v>0</x:v>
      </x:c>
      <x:c r="N1527" s="35" t="n">
        <x:f>L1527*M1527</x:f>
        <x:v>0</x:v>
      </x:c>
      <x:c r="O1527" s="37" t="n">
        <x:v>0</x:v>
      </x:c>
      <x:c r="P1527" s="35" t="n">
        <x:f>L1527*O1527</x:f>
        <x:v>0</x:v>
      </x:c>
      <x:c r="Q1527" s="35" t="n">
        <x:v>0</x:v>
      </x:c>
      <x:c r="R1527" s="35" t="n">
        <x:f>K1527*Q1527</x:f>
        <x:v>0</x:v>
      </x:c>
      <x:c r="S1527" s="35" t="n">
        <x:f>XLOOKUP(H1527,'菜品主数据'!$A$5:$A$24,'菜品主数据'!$G$5:$G$24,0)</x:f>
        <x:v>3.7459999999999996</x:v>
      </x:c>
      <x:c r="T1527" s="35" t="n">
        <x:f>K1527*S1527</x:f>
        <x:v>134.856</x:v>
      </x:c>
      <x:c r="U1527" s="35" t="n">
        <x:f>L1527-N1527-P1527-R1527-T1527</x:f>
        <x:v>401.544</x:v>
      </x:c>
      <x:c r="V1527" s="21" t="n">
        <x:f>IFERROR(U1527/L1527,0)</x:f>
        <x:v>0.7485906040268456</x:v>
      </x:c>
    </x:row>
    <x:row r="1528">
      <x:c r="A1528" s="19" t="str">
        <x:v>SALE-01524</x:v>
      </x:c>
      <x:c r="B1528" s="34" t="n">
        <x:v>46213.5</x:v>
      </x:c>
      <x:c r="C1528" s="19" t="str">
        <x:v>周五</x:v>
      </x:c>
      <x:c r="D1528" s="19" t="str">
        <x:v>S06</x:v>
      </x:c>
      <x:c r="E1528" s="19" t="str">
        <x:v>蓝钻天城店</x:v>
      </x:c>
      <x:c r="F1528" s="19" t="str">
        <x:v>堂食</x:v>
      </x:c>
      <x:c r="G1528" s="19" t="str">
        <x:v>全日</x:v>
      </x:c>
      <x:c r="H1528" s="19" t="str">
        <x:v>D04</x:v>
      </x:c>
      <x:c r="I1528" s="19" t="str">
        <x:v>酸包菜炒粉皮</x:v>
      </x:c>
      <x:c r="J1528" s="22" t="n">
        <x:f>XLOOKUP(H1528,'菜品主数据'!$A$5:$A$24,'菜品主数据'!$D$5:$D$24,0)</x:f>
        <x:v>16</x:v>
      </x:c>
      <x:c r="K1528" s="31" t="n">
        <x:v>35</x:v>
      </x:c>
      <x:c r="L1528" s="35" t="n">
        <x:f>J1528*K1528</x:f>
        <x:v>560</x:v>
      </x:c>
      <x:c r="M1528" s="36" t="n">
        <x:v>0</x:v>
      </x:c>
      <x:c r="N1528" s="35" t="n">
        <x:f>L1528*M1528</x:f>
        <x:v>0</x:v>
      </x:c>
      <x:c r="O1528" s="37" t="n">
        <x:v>0</x:v>
      </x:c>
      <x:c r="P1528" s="35" t="n">
        <x:f>L1528*O1528</x:f>
        <x:v>0</x:v>
      </x:c>
      <x:c r="Q1528" s="35" t="n">
        <x:v>0</x:v>
      </x:c>
      <x:c r="R1528" s="35" t="n">
        <x:f>K1528*Q1528</x:f>
        <x:v>0</x:v>
      </x:c>
      <x:c r="S1528" s="35" t="n">
        <x:f>XLOOKUP(H1528,'菜品主数据'!$A$5:$A$24,'菜品主数据'!$G$5:$G$24,0)</x:f>
        <x:v>3.978</x:v>
      </x:c>
      <x:c r="T1528" s="35" t="n">
        <x:f>K1528*S1528</x:f>
        <x:v>139.23000000000002</x:v>
      </x:c>
      <x:c r="U1528" s="35" t="n">
        <x:f>L1528-N1528-P1528-R1528-T1528</x:f>
        <x:v>420.77</x:v>
      </x:c>
      <x:c r="V1528" s="21" t="n">
        <x:f>IFERROR(U1528/L1528,0)</x:f>
        <x:v>0.751375</x:v>
      </x:c>
    </x:row>
    <x:row r="1529">
      <x:c r="A1529" s="19" t="str">
        <x:v>SALE-01525</x:v>
      </x:c>
      <x:c r="B1529" s="34" t="n">
        <x:v>46213.5</x:v>
      </x:c>
      <x:c r="C1529" s="19" t="str">
        <x:v>周五</x:v>
      </x:c>
      <x:c r="D1529" s="19" t="str">
        <x:v>S06</x:v>
      </x:c>
      <x:c r="E1529" s="19" t="str">
        <x:v>蓝钻天城店</x:v>
      </x:c>
      <x:c r="F1529" s="19" t="str">
        <x:v>堂食</x:v>
      </x:c>
      <x:c r="G1529" s="19" t="str">
        <x:v>全日</x:v>
      </x:c>
      <x:c r="H1529" s="19" t="str">
        <x:v>D05</x:v>
      </x:c>
      <x:c r="I1529" s="19" t="str">
        <x:v>麻婆豆腐</x:v>
      </x:c>
      <x:c r="J1529" s="22" t="n">
        <x:f>XLOOKUP(H1529,'菜品主数据'!$A$5:$A$24,'菜品主数据'!$D$5:$D$24,0)</x:f>
        <x:v>9.9</x:v>
      </x:c>
      <x:c r="K1529" s="31" t="n">
        <x:v>49</x:v>
      </x:c>
      <x:c r="L1529" s="35" t="n">
        <x:f>J1529*K1529</x:f>
        <x:v>485.1</x:v>
      </x:c>
      <x:c r="M1529" s="36" t="n">
        <x:v>0</x:v>
      </x:c>
      <x:c r="N1529" s="35" t="n">
        <x:f>L1529*M1529</x:f>
        <x:v>0</x:v>
      </x:c>
      <x:c r="O1529" s="37" t="n">
        <x:v>0</x:v>
      </x:c>
      <x:c r="P1529" s="35" t="n">
        <x:f>L1529*O1529</x:f>
        <x:v>0</x:v>
      </x:c>
      <x:c r="Q1529" s="35" t="n">
        <x:v>0</x:v>
      </x:c>
      <x:c r="R1529" s="35" t="n">
        <x:f>K1529*Q1529</x:f>
        <x:v>0</x:v>
      </x:c>
      <x:c r="S1529" s="35" t="n">
        <x:f>XLOOKUP(H1529,'菜品主数据'!$A$5:$A$24,'菜品主数据'!$G$5:$G$24,0)</x:f>
        <x:v>5.367000000000001</x:v>
      </x:c>
      <x:c r="T1529" s="35" t="n">
        <x:f>K1529*S1529</x:f>
        <x:v>262.98300000000006</x:v>
      </x:c>
      <x:c r="U1529" s="35" t="n">
        <x:f>L1529-N1529-P1529-R1529-T1529</x:f>
        <x:v>222.11699999999996</x:v>
      </x:c>
      <x:c r="V1529" s="21" t="n">
        <x:f>IFERROR(U1529/L1529,0)</x:f>
        <x:v>0.4578787878787878</x:v>
      </x:c>
    </x:row>
    <x:row r="1530">
      <x:c r="A1530" s="19" t="str">
        <x:v>SALE-01526</x:v>
      </x:c>
      <x:c r="B1530" s="34" t="n">
        <x:v>46213.5</x:v>
      </x:c>
      <x:c r="C1530" s="19" t="str">
        <x:v>周五</x:v>
      </x:c>
      <x:c r="D1530" s="19" t="str">
        <x:v>S06</x:v>
      </x:c>
      <x:c r="E1530" s="19" t="str">
        <x:v>蓝钻天城店</x:v>
      </x:c>
      <x:c r="F1530" s="19" t="str">
        <x:v>堂食</x:v>
      </x:c>
      <x:c r="G1530" s="19" t="str">
        <x:v>全日</x:v>
      </x:c>
      <x:c r="H1530" s="19" t="str">
        <x:v>D06</x:v>
      </x:c>
      <x:c r="I1530" s="19" t="str">
        <x:v>剁椒鱼头</x:v>
      </x:c>
      <x:c r="J1530" s="22" t="n">
        <x:f>XLOOKUP(H1530,'菜品主数据'!$A$5:$A$24,'菜品主数据'!$D$5:$D$24,0)</x:f>
        <x:v>39</x:v>
      </x:c>
      <x:c r="K1530" s="31" t="n">
        <x:v>12</x:v>
      </x:c>
      <x:c r="L1530" s="35" t="n">
        <x:f>J1530*K1530</x:f>
        <x:v>468</x:v>
      </x:c>
      <x:c r="M1530" s="36" t="n">
        <x:v>0</x:v>
      </x:c>
      <x:c r="N1530" s="35" t="n">
        <x:f>L1530*M1530</x:f>
        <x:v>0</x:v>
      </x:c>
      <x:c r="O1530" s="37" t="n">
        <x:v>0</x:v>
      </x:c>
      <x:c r="P1530" s="35" t="n">
        <x:f>L1530*O1530</x:f>
        <x:v>0</x:v>
      </x:c>
      <x:c r="Q1530" s="35" t="n">
        <x:v>0</x:v>
      </x:c>
      <x:c r="R1530" s="35" t="n">
        <x:f>K1530*Q1530</x:f>
        <x:v>0</x:v>
      </x:c>
      <x:c r="S1530" s="35" t="n">
        <x:f>XLOOKUP(H1530,'菜品主数据'!$A$5:$A$24,'菜品主数据'!$G$5:$G$24,0)</x:f>
        <x:v>17.446</x:v>
      </x:c>
      <x:c r="T1530" s="35" t="n">
        <x:f>K1530*S1530</x:f>
        <x:v>209.35200000000003</x:v>
      </x:c>
      <x:c r="U1530" s="35" t="n">
        <x:f>L1530-N1530-P1530-R1530-T1530</x:f>
        <x:v>258.64799999999997</x:v>
      </x:c>
      <x:c r="V1530" s="21" t="n">
        <x:f>IFERROR(U1530/L1530,0)</x:f>
        <x:v>0.5526666666666666</x:v>
      </x:c>
    </x:row>
    <x:row r="1531">
      <x:c r="A1531" s="19" t="str">
        <x:v>SALE-01527</x:v>
      </x:c>
      <x:c r="B1531" s="34" t="n">
        <x:v>46213.5</x:v>
      </x:c>
      <x:c r="C1531" s="19" t="str">
        <x:v>周五</x:v>
      </x:c>
      <x:c r="D1531" s="19" t="str">
        <x:v>S06</x:v>
      </x:c>
      <x:c r="E1531" s="19" t="str">
        <x:v>蓝钻天城店</x:v>
      </x:c>
      <x:c r="F1531" s="19" t="str">
        <x:v>堂食</x:v>
      </x:c>
      <x:c r="G1531" s="19" t="str">
        <x:v>全日</x:v>
      </x:c>
      <x:c r="H1531" s="19" t="str">
        <x:v>D07</x:v>
      </x:c>
      <x:c r="I1531" s="19" t="str">
        <x:v>川味回锅肉</x:v>
      </x:c>
      <x:c r="J1531" s="22" t="n">
        <x:f>XLOOKUP(H1531,'菜品主数据'!$A$5:$A$24,'菜品主数据'!$D$5:$D$24,0)</x:f>
        <x:v>29</x:v>
      </x:c>
      <x:c r="K1531" s="31" t="n">
        <x:v>14</x:v>
      </x:c>
      <x:c r="L1531" s="35" t="n">
        <x:f>J1531*K1531</x:f>
        <x:v>406</x:v>
      </x:c>
      <x:c r="M1531" s="36" t="n">
        <x:v>0</x:v>
      </x:c>
      <x:c r="N1531" s="35" t="n">
        <x:f>L1531*M1531</x:f>
        <x:v>0</x:v>
      </x:c>
      <x:c r="O1531" s="37" t="n">
        <x:v>0</x:v>
      </x:c>
      <x:c r="P1531" s="35" t="n">
        <x:f>L1531*O1531</x:f>
        <x:v>0</x:v>
      </x:c>
      <x:c r="Q1531" s="35" t="n">
        <x:v>0</x:v>
      </x:c>
      <x:c r="R1531" s="35" t="n">
        <x:f>K1531*Q1531</x:f>
        <x:v>0</x:v>
      </x:c>
      <x:c r="S1531" s="35" t="n">
        <x:f>XLOOKUP(H1531,'菜品主数据'!$A$5:$A$24,'菜品主数据'!$G$5:$G$24,0)</x:f>
        <x:v>10.231000000000002</x:v>
      </x:c>
      <x:c r="T1531" s="35" t="n">
        <x:f>K1531*S1531</x:f>
        <x:v>143.23400000000004</x:v>
      </x:c>
      <x:c r="U1531" s="35" t="n">
        <x:f>L1531-N1531-P1531-R1531-T1531</x:f>
        <x:v>262.76599999999996</x:v>
      </x:c>
      <x:c r="V1531" s="21" t="n">
        <x:f>IFERROR(U1531/L1531,0)</x:f>
        <x:v>0.647206896551724</x:v>
      </x:c>
    </x:row>
    <x:row r="1532">
      <x:c r="A1532" s="19" t="str">
        <x:v>SALE-01528</x:v>
      </x:c>
      <x:c r="B1532" s="34" t="n">
        <x:v>46213.5</x:v>
      </x:c>
      <x:c r="C1532" s="19" t="str">
        <x:v>周五</x:v>
      </x:c>
      <x:c r="D1532" s="19" t="str">
        <x:v>S06</x:v>
      </x:c>
      <x:c r="E1532" s="19" t="str">
        <x:v>蓝钻天城店</x:v>
      </x:c>
      <x:c r="F1532" s="19" t="str">
        <x:v>堂食</x:v>
      </x:c>
      <x:c r="G1532" s="19" t="str">
        <x:v>全日</x:v>
      </x:c>
      <x:c r="H1532" s="19" t="str">
        <x:v>D08</x:v>
      </x:c>
      <x:c r="I1532" s="19" t="str">
        <x:v>生炒清远鸡</x:v>
      </x:c>
      <x:c r="J1532" s="22" t="n">
        <x:f>XLOOKUP(H1532,'菜品主数据'!$A$5:$A$24,'菜品主数据'!$D$5:$D$24,0)</x:f>
        <x:v>36</x:v>
      </x:c>
      <x:c r="K1532" s="31" t="n">
        <x:v>10</x:v>
      </x:c>
      <x:c r="L1532" s="35" t="n">
        <x:f>J1532*K1532</x:f>
        <x:v>360</x:v>
      </x:c>
      <x:c r="M1532" s="36" t="n">
        <x:v>0</x:v>
      </x:c>
      <x:c r="N1532" s="35" t="n">
        <x:f>L1532*M1532</x:f>
        <x:v>0</x:v>
      </x:c>
      <x:c r="O1532" s="37" t="n">
        <x:v>0</x:v>
      </x:c>
      <x:c r="P1532" s="35" t="n">
        <x:f>L1532*O1532</x:f>
        <x:v>0</x:v>
      </x:c>
      <x:c r="Q1532" s="35" t="n">
        <x:v>0</x:v>
      </x:c>
      <x:c r="R1532" s="35" t="n">
        <x:f>K1532*Q1532</x:f>
        <x:v>0</x:v>
      </x:c>
      <x:c r="S1532" s="35" t="n">
        <x:f>XLOOKUP(H1532,'菜品主数据'!$A$5:$A$24,'菜品主数据'!$G$5:$G$24,0)</x:f>
        <x:v>13.48</x:v>
      </x:c>
      <x:c r="T1532" s="35" t="n">
        <x:f>K1532*S1532</x:f>
        <x:v>134.8</x:v>
      </x:c>
      <x:c r="U1532" s="35" t="n">
        <x:f>L1532-N1532-P1532-R1532-T1532</x:f>
        <x:v>225.2</x:v>
      </x:c>
      <x:c r="V1532" s="21" t="n">
        <x:f>IFERROR(U1532/L1532,0)</x:f>
        <x:v>0.6255555555555555</x:v>
      </x:c>
    </x:row>
    <x:row r="1533">
      <x:c r="A1533" s="19" t="str">
        <x:v>SALE-01529</x:v>
      </x:c>
      <x:c r="B1533" s="34" t="n">
        <x:v>46213.5</x:v>
      </x:c>
      <x:c r="C1533" s="19" t="str">
        <x:v>周五</x:v>
      </x:c>
      <x:c r="D1533" s="19" t="str">
        <x:v>S06</x:v>
      </x:c>
      <x:c r="E1533" s="19" t="str">
        <x:v>蓝钻天城店</x:v>
      </x:c>
      <x:c r="F1533" s="19" t="str">
        <x:v>堂食</x:v>
      </x:c>
      <x:c r="G1533" s="19" t="str">
        <x:v>全日</x:v>
      </x:c>
      <x:c r="H1533" s="19" t="str">
        <x:v>D09</x:v>
      </x:c>
      <x:c r="I1533" s="19" t="str">
        <x:v>炒豆干</x:v>
      </x:c>
      <x:c r="J1533" s="22" t="n">
        <x:f>XLOOKUP(H1533,'菜品主数据'!$A$5:$A$24,'菜品主数据'!$D$5:$D$24,0)</x:f>
        <x:v>18</x:v>
      </x:c>
      <x:c r="K1533" s="31" t="n">
        <x:v>14</x:v>
      </x:c>
      <x:c r="L1533" s="35" t="n">
        <x:f>J1533*K1533</x:f>
        <x:v>252</x:v>
      </x:c>
      <x:c r="M1533" s="36" t="n">
        <x:v>0</x:v>
      </x:c>
      <x:c r="N1533" s="35" t="n">
        <x:f>L1533*M1533</x:f>
        <x:v>0</x:v>
      </x:c>
      <x:c r="O1533" s="37" t="n">
        <x:v>0</x:v>
      </x:c>
      <x:c r="P1533" s="35" t="n">
        <x:f>L1533*O1533</x:f>
        <x:v>0</x:v>
      </x:c>
      <x:c r="Q1533" s="35" t="n">
        <x:v>0</x:v>
      </x:c>
      <x:c r="R1533" s="35" t="n">
        <x:f>K1533*Q1533</x:f>
        <x:v>0</x:v>
      </x:c>
      <x:c r="S1533" s="35" t="n">
        <x:f>XLOOKUP(H1533,'菜品主数据'!$A$5:$A$24,'菜品主数据'!$G$5:$G$24,0)</x:f>
        <x:v>6.613999999999999</x:v>
      </x:c>
      <x:c r="T1533" s="35" t="n">
        <x:f>K1533*S1533</x:f>
        <x:v>92.59599999999999</x:v>
      </x:c>
      <x:c r="U1533" s="35" t="n">
        <x:f>L1533-N1533-P1533-R1533-T1533</x:f>
        <x:v>159.404</x:v>
      </x:c>
      <x:c r="V1533" s="21" t="n">
        <x:f>IFERROR(U1533/L1533,0)</x:f>
        <x:v>0.6325555555555555</x:v>
      </x:c>
    </x:row>
    <x:row r="1534">
      <x:c r="A1534" s="19" t="str">
        <x:v>SALE-01530</x:v>
      </x:c>
      <x:c r="B1534" s="34" t="n">
        <x:v>46213.5</x:v>
      </x:c>
      <x:c r="C1534" s="19" t="str">
        <x:v>周五</x:v>
      </x:c>
      <x:c r="D1534" s="19" t="str">
        <x:v>S06</x:v>
      </x:c>
      <x:c r="E1534" s="19" t="str">
        <x:v>蓝钻天城店</x:v>
      </x:c>
      <x:c r="F1534" s="19" t="str">
        <x:v>堂食</x:v>
      </x:c>
      <x:c r="G1534" s="19" t="str">
        <x:v>全日</x:v>
      </x:c>
      <x:c r="H1534" s="19" t="str">
        <x:v>D10</x:v>
      </x:c>
      <x:c r="I1534" s="19" t="str">
        <x:v>农家一碗香</x:v>
      </x:c>
      <x:c r="J1534" s="22" t="n">
        <x:f>XLOOKUP(H1534,'菜品主数据'!$A$5:$A$24,'菜品主数据'!$D$5:$D$24,0)</x:f>
        <x:v>22.9</x:v>
      </x:c>
      <x:c r="K1534" s="31" t="n">
        <x:v>18</x:v>
      </x:c>
      <x:c r="L1534" s="35" t="n">
        <x:f>J1534*K1534</x:f>
        <x:v>412.2</x:v>
      </x:c>
      <x:c r="M1534" s="36" t="n">
        <x:v>0</x:v>
      </x:c>
      <x:c r="N1534" s="35" t="n">
        <x:f>L1534*M1534</x:f>
        <x:v>0</x:v>
      </x:c>
      <x:c r="O1534" s="37" t="n">
        <x:v>0</x:v>
      </x:c>
      <x:c r="P1534" s="35" t="n">
        <x:f>L1534*O1534</x:f>
        <x:v>0</x:v>
      </x:c>
      <x:c r="Q1534" s="35" t="n">
        <x:v>0</x:v>
      </x:c>
      <x:c r="R1534" s="35" t="n">
        <x:f>K1534*Q1534</x:f>
        <x:v>0</x:v>
      </x:c>
      <x:c r="S1534" s="35" t="n">
        <x:f>XLOOKUP(H1534,'菜品主数据'!$A$5:$A$24,'菜品主数据'!$G$5:$G$24,0)</x:f>
        <x:v>9.770200000000003</x:v>
      </x:c>
      <x:c r="T1534" s="35" t="n">
        <x:f>K1534*S1534</x:f>
        <x:v>175.86360000000005</x:v>
      </x:c>
      <x:c r="U1534" s="35" t="n">
        <x:f>L1534-N1534-P1534-R1534-T1534</x:f>
        <x:v>236.33639999999994</x:v>
      </x:c>
      <x:c r="V1534" s="21" t="n">
        <x:f>IFERROR(U1534/L1534,0)</x:f>
        <x:v>0.5733537117903929</x:v>
      </x:c>
    </x:row>
    <x:row r="1535">
      <x:c r="A1535" s="19" t="str">
        <x:v>SALE-01531</x:v>
      </x:c>
      <x:c r="B1535" s="34" t="n">
        <x:v>46213.5</x:v>
      </x:c>
      <x:c r="C1535" s="19" t="str">
        <x:v>周五</x:v>
      </x:c>
      <x:c r="D1535" s="19" t="str">
        <x:v>S06</x:v>
      </x:c>
      <x:c r="E1535" s="19" t="str">
        <x:v>蓝钻天城店</x:v>
      </x:c>
      <x:c r="F1535" s="19" t="str">
        <x:v>堂食</x:v>
      </x:c>
      <x:c r="G1535" s="19" t="str">
        <x:v>全日</x:v>
      </x:c>
      <x:c r="H1535" s="19" t="str">
        <x:v>D11</x:v>
      </x:c>
      <x:c r="I1535" s="19" t="str">
        <x:v>香辣爆肥肠</x:v>
      </x:c>
      <x:c r="J1535" s="22" t="n">
        <x:f>XLOOKUP(H1535,'菜品主数据'!$A$5:$A$24,'菜品主数据'!$D$5:$D$24,0)</x:f>
        <x:v>39</x:v>
      </x:c>
      <x:c r="K1535" s="31" t="n">
        <x:v>6</x:v>
      </x:c>
      <x:c r="L1535" s="35" t="n">
        <x:f>J1535*K1535</x:f>
        <x:v>234</x:v>
      </x:c>
      <x:c r="M1535" s="36" t="n">
        <x:v>0</x:v>
      </x:c>
      <x:c r="N1535" s="35" t="n">
        <x:f>L1535*M1535</x:f>
        <x:v>0</x:v>
      </x:c>
      <x:c r="O1535" s="37" t="n">
        <x:v>0</x:v>
      </x:c>
      <x:c r="P1535" s="35" t="n">
        <x:f>L1535*O1535</x:f>
        <x:v>0</x:v>
      </x:c>
      <x:c r="Q1535" s="35" t="n">
        <x:v>0</x:v>
      </x:c>
      <x:c r="R1535" s="35" t="n">
        <x:f>K1535*Q1535</x:f>
        <x:v>0</x:v>
      </x:c>
      <x:c r="S1535" s="35" t="n">
        <x:f>XLOOKUP(H1535,'菜品主数据'!$A$5:$A$24,'菜品主数据'!$G$5:$G$24,0)</x:f>
        <x:v>10.397</x:v>
      </x:c>
      <x:c r="T1535" s="35" t="n">
        <x:f>K1535*S1535</x:f>
        <x:v>62.382000000000005</x:v>
      </x:c>
      <x:c r="U1535" s="35" t="n">
        <x:f>L1535-N1535-P1535-R1535-T1535</x:f>
        <x:v>171.618</x:v>
      </x:c>
      <x:c r="V1535" s="21" t="n">
        <x:f>IFERROR(U1535/L1535,0)</x:f>
        <x:v>0.7334102564102564</x:v>
      </x:c>
    </x:row>
    <x:row r="1536">
      <x:c r="A1536" s="19" t="str">
        <x:v>SALE-01532</x:v>
      </x:c>
      <x:c r="B1536" s="34" t="n">
        <x:v>46213.5</x:v>
      </x:c>
      <x:c r="C1536" s="19" t="str">
        <x:v>周五</x:v>
      </x:c>
      <x:c r="D1536" s="19" t="str">
        <x:v>S06</x:v>
      </x:c>
      <x:c r="E1536" s="19" t="str">
        <x:v>蓝钻天城店</x:v>
      </x:c>
      <x:c r="F1536" s="19" t="str">
        <x:v>堂食</x:v>
      </x:c>
      <x:c r="G1536" s="19" t="str">
        <x:v>全日</x:v>
      </x:c>
      <x:c r="H1536" s="19" t="str">
        <x:v>D12</x:v>
      </x:c>
      <x:c r="I1536" s="19" t="str">
        <x:v>清蒸鲈鱼</x:v>
      </x:c>
      <x:c r="J1536" s="22" t="n">
        <x:f>XLOOKUP(H1536,'菜品主数据'!$A$5:$A$24,'菜品主数据'!$D$5:$D$24,0)</x:f>
        <x:v>39</x:v>
      </x:c>
      <x:c r="K1536" s="31" t="n">
        <x:v>6</x:v>
      </x:c>
      <x:c r="L1536" s="35" t="n">
        <x:f>J1536*K1536</x:f>
        <x:v>234</x:v>
      </x:c>
      <x:c r="M1536" s="36" t="n">
        <x:v>0</x:v>
      </x:c>
      <x:c r="N1536" s="35" t="n">
        <x:f>L1536*M1536</x:f>
        <x:v>0</x:v>
      </x:c>
      <x:c r="O1536" s="37" t="n">
        <x:v>0</x:v>
      </x:c>
      <x:c r="P1536" s="35" t="n">
        <x:f>L1536*O1536</x:f>
        <x:v>0</x:v>
      </x:c>
      <x:c r="Q1536" s="35" t="n">
        <x:v>0</x:v>
      </x:c>
      <x:c r="R1536" s="35" t="n">
        <x:f>K1536*Q1536</x:f>
        <x:v>0</x:v>
      </x:c>
      <x:c r="S1536" s="35" t="n">
        <x:f>XLOOKUP(H1536,'菜品主数据'!$A$5:$A$24,'菜品主数据'!$G$5:$G$24,0)</x:f>
        <x:v>18.874</x:v>
      </x:c>
      <x:c r="T1536" s="35" t="n">
        <x:f>K1536*S1536</x:f>
        <x:v>113.244</x:v>
      </x:c>
      <x:c r="U1536" s="35" t="n">
        <x:f>L1536-N1536-P1536-R1536-T1536</x:f>
        <x:v>120.756</x:v>
      </x:c>
      <x:c r="V1536" s="21" t="n">
        <x:f>IFERROR(U1536/L1536,0)</x:f>
        <x:v>0.516051282051282</x:v>
      </x:c>
    </x:row>
    <x:row r="1537">
      <x:c r="A1537" s="19" t="str">
        <x:v>SALE-01533</x:v>
      </x:c>
      <x:c r="B1537" s="34" t="n">
        <x:v>46213.5</x:v>
      </x:c>
      <x:c r="C1537" s="19" t="str">
        <x:v>周五</x:v>
      </x:c>
      <x:c r="D1537" s="19" t="str">
        <x:v>S06</x:v>
      </x:c>
      <x:c r="E1537" s="19" t="str">
        <x:v>蓝钻天城店</x:v>
      </x:c>
      <x:c r="F1537" s="19" t="str">
        <x:v>堂食</x:v>
      </x:c>
      <x:c r="G1537" s="19" t="str">
        <x:v>全日</x:v>
      </x:c>
      <x:c r="H1537" s="19" t="str">
        <x:v>D13</x:v>
      </x:c>
      <x:c r="I1537" s="19" t="str">
        <x:v>外婆菜炒蛋</x:v>
      </x:c>
      <x:c r="J1537" s="22" t="n">
        <x:f>XLOOKUP(H1537,'菜品主数据'!$A$5:$A$24,'菜品主数据'!$D$5:$D$24,0)</x:f>
        <x:v>18</x:v>
      </x:c>
      <x:c r="K1537" s="31" t="n">
        <x:v>15</x:v>
      </x:c>
      <x:c r="L1537" s="35" t="n">
        <x:f>J1537*K1537</x:f>
        <x:v>270</x:v>
      </x:c>
      <x:c r="M1537" s="36" t="n">
        <x:v>0</x:v>
      </x:c>
      <x:c r="N1537" s="35" t="n">
        <x:f>L1537*M1537</x:f>
        <x:v>0</x:v>
      </x:c>
      <x:c r="O1537" s="37" t="n">
        <x:v>0</x:v>
      </x:c>
      <x:c r="P1537" s="35" t="n">
        <x:f>L1537*O1537</x:f>
        <x:v>0</x:v>
      </x:c>
      <x:c r="Q1537" s="35" t="n">
        <x:v>0</x:v>
      </x:c>
      <x:c r="R1537" s="35" t="n">
        <x:f>K1537*Q1537</x:f>
        <x:v>0</x:v>
      </x:c>
      <x:c r="S1537" s="35" t="n">
        <x:f>XLOOKUP(H1537,'菜品主数据'!$A$5:$A$24,'菜品主数据'!$G$5:$G$24,0)</x:f>
        <x:v>5.403999999999999</x:v>
      </x:c>
      <x:c r="T1537" s="35" t="n">
        <x:f>K1537*S1537</x:f>
        <x:v>81.05999999999999</x:v>
      </x:c>
      <x:c r="U1537" s="35" t="n">
        <x:f>L1537-N1537-P1537-R1537-T1537</x:f>
        <x:v>188.94</x:v>
      </x:c>
      <x:c r="V1537" s="21" t="n">
        <x:f>IFERROR(U1537/L1537,0)</x:f>
        <x:v>0.6997777777777777</x:v>
      </x:c>
    </x:row>
    <x:row r="1538">
      <x:c r="A1538" s="19" t="str">
        <x:v>SALE-01534</x:v>
      </x:c>
      <x:c r="B1538" s="34" t="n">
        <x:v>46213.5</x:v>
      </x:c>
      <x:c r="C1538" s="19" t="str">
        <x:v>周五</x:v>
      </x:c>
      <x:c r="D1538" s="19" t="str">
        <x:v>S06</x:v>
      </x:c>
      <x:c r="E1538" s="19" t="str">
        <x:v>蓝钻天城店</x:v>
      </x:c>
      <x:c r="F1538" s="19" t="str">
        <x:v>堂食</x:v>
      </x:c>
      <x:c r="G1538" s="19" t="str">
        <x:v>全日</x:v>
      </x:c>
      <x:c r="H1538" s="19" t="str">
        <x:v>D14</x:v>
      </x:c>
      <x:c r="I1538" s="19" t="str">
        <x:v>酸辣鸡杂</x:v>
      </x:c>
      <x:c r="J1538" s="22" t="n">
        <x:f>XLOOKUP(H1538,'菜品主数据'!$A$5:$A$24,'菜品主数据'!$D$5:$D$24,0)</x:f>
        <x:v>28</x:v>
      </x:c>
      <x:c r="K1538" s="31" t="n">
        <x:v>8</x:v>
      </x:c>
      <x:c r="L1538" s="35" t="n">
        <x:f>J1538*K1538</x:f>
        <x:v>224</x:v>
      </x:c>
      <x:c r="M1538" s="36" t="n">
        <x:v>0</x:v>
      </x:c>
      <x:c r="N1538" s="35" t="n">
        <x:f>L1538*M1538</x:f>
        <x:v>0</x:v>
      </x:c>
      <x:c r="O1538" s="37" t="n">
        <x:v>0</x:v>
      </x:c>
      <x:c r="P1538" s="35" t="n">
        <x:f>L1538*O1538</x:f>
        <x:v>0</x:v>
      </x:c>
      <x:c r="Q1538" s="35" t="n">
        <x:v>0</x:v>
      </x:c>
      <x:c r="R1538" s="35" t="n">
        <x:f>K1538*Q1538</x:f>
        <x:v>0</x:v>
      </x:c>
      <x:c r="S1538" s="35" t="n">
        <x:f>XLOOKUP(H1538,'菜品主数据'!$A$5:$A$24,'菜品主数据'!$G$5:$G$24,0)</x:f>
        <x:v>8.315000000000001</x:v>
      </x:c>
      <x:c r="T1538" s="35" t="n">
        <x:f>K1538*S1538</x:f>
        <x:v>66.52000000000001</x:v>
      </x:c>
      <x:c r="U1538" s="35" t="n">
        <x:f>L1538-N1538-P1538-R1538-T1538</x:f>
        <x:v>157.48</x:v>
      </x:c>
      <x:c r="V1538" s="21" t="n">
        <x:f>IFERROR(U1538/L1538,0)</x:f>
        <x:v>0.7030357142857142</x:v>
      </x:c>
    </x:row>
    <x:row r="1539">
      <x:c r="A1539" s="19" t="str">
        <x:v>SALE-01535</x:v>
      </x:c>
      <x:c r="B1539" s="34" t="n">
        <x:v>46213.5</x:v>
      </x:c>
      <x:c r="C1539" s="19" t="str">
        <x:v>周五</x:v>
      </x:c>
      <x:c r="D1539" s="19" t="str">
        <x:v>S06</x:v>
      </x:c>
      <x:c r="E1539" s="19" t="str">
        <x:v>蓝钻天城店</x:v>
      </x:c>
      <x:c r="F1539" s="19" t="str">
        <x:v>堂食</x:v>
      </x:c>
      <x:c r="G1539" s="19" t="str">
        <x:v>全日</x:v>
      </x:c>
      <x:c r="H1539" s="19" t="str">
        <x:v>D15</x:v>
      </x:c>
      <x:c r="I1539" s="19" t="str">
        <x:v>湘西土匪猪肝</x:v>
      </x:c>
      <x:c r="J1539" s="22" t="n">
        <x:f>XLOOKUP(H1539,'菜品主数据'!$A$5:$A$24,'菜品主数据'!$D$5:$D$24,0)</x:f>
        <x:v>26</x:v>
      </x:c>
      <x:c r="K1539" s="31" t="n">
        <x:v>6</x:v>
      </x:c>
      <x:c r="L1539" s="35" t="n">
        <x:f>J1539*K1539</x:f>
        <x:v>156</x:v>
      </x:c>
      <x:c r="M1539" s="36" t="n">
        <x:v>0</x:v>
      </x:c>
      <x:c r="N1539" s="35" t="n">
        <x:f>L1539*M1539</x:f>
        <x:v>0</x:v>
      </x:c>
      <x:c r="O1539" s="37" t="n">
        <x:v>0</x:v>
      </x:c>
      <x:c r="P1539" s="35" t="n">
        <x:f>L1539*O1539</x:f>
        <x:v>0</x:v>
      </x:c>
      <x:c r="Q1539" s="35" t="n">
        <x:v>0</x:v>
      </x:c>
      <x:c r="R1539" s="35" t="n">
        <x:f>K1539*Q1539</x:f>
        <x:v>0</x:v>
      </x:c>
      <x:c r="S1539" s="35" t="n">
        <x:f>XLOOKUP(H1539,'菜品主数据'!$A$5:$A$24,'菜品主数据'!$G$5:$G$24,0)</x:f>
        <x:v>6.3759999999999994</x:v>
      </x:c>
      <x:c r="T1539" s="35" t="n">
        <x:f>K1539*S1539</x:f>
        <x:v>38.256</x:v>
      </x:c>
      <x:c r="U1539" s="35" t="n">
        <x:f>L1539-N1539-P1539-R1539-T1539</x:f>
        <x:v>117.744</x:v>
      </x:c>
      <x:c r="V1539" s="21" t="n">
        <x:f>IFERROR(U1539/L1539,0)</x:f>
        <x:v>0.7547692307692307</x:v>
      </x:c>
    </x:row>
    <x:row r="1540">
      <x:c r="A1540" s="19" t="str">
        <x:v>SALE-01536</x:v>
      </x:c>
      <x:c r="B1540" s="34" t="n">
        <x:v>46213.5</x:v>
      </x:c>
      <x:c r="C1540" s="19" t="str">
        <x:v>周五</x:v>
      </x:c>
      <x:c r="D1540" s="19" t="str">
        <x:v>S06</x:v>
      </x:c>
      <x:c r="E1540" s="19" t="str">
        <x:v>蓝钻天城店</x:v>
      </x:c>
      <x:c r="F1540" s="19" t="str">
        <x:v>堂食</x:v>
      </x:c>
      <x:c r="G1540" s="19" t="str">
        <x:v>全日</x:v>
      </x:c>
      <x:c r="H1540" s="19" t="str">
        <x:v>D16</x:v>
      </x:c>
      <x:c r="I1540" s="19" t="str">
        <x:v>小豆角炒五花</x:v>
      </x:c>
      <x:c r="J1540" s="22" t="n">
        <x:f>XLOOKUP(H1540,'菜品主数据'!$A$5:$A$24,'菜品主数据'!$D$5:$D$24,0)</x:f>
        <x:v>25</x:v>
      </x:c>
      <x:c r="K1540" s="31" t="n">
        <x:v>7</x:v>
      </x:c>
      <x:c r="L1540" s="35" t="n">
        <x:f>J1540*K1540</x:f>
        <x:v>175</x:v>
      </x:c>
      <x:c r="M1540" s="36" t="n">
        <x:v>0</x:v>
      </x:c>
      <x:c r="N1540" s="35" t="n">
        <x:f>L1540*M1540</x:f>
        <x:v>0</x:v>
      </x:c>
      <x:c r="O1540" s="37" t="n">
        <x:v>0</x:v>
      </x:c>
      <x:c r="P1540" s="35" t="n">
        <x:f>L1540*O1540</x:f>
        <x:v>0</x:v>
      </x:c>
      <x:c r="Q1540" s="35" t="n">
        <x:v>0</x:v>
      </x:c>
      <x:c r="R1540" s="35" t="n">
        <x:f>K1540*Q1540</x:f>
        <x:v>0</x:v>
      </x:c>
      <x:c r="S1540" s="35" t="n">
        <x:f>XLOOKUP(H1540,'菜品主数据'!$A$5:$A$24,'菜品主数据'!$G$5:$G$24,0)</x:f>
        <x:v>8.184</x:v>
      </x:c>
      <x:c r="T1540" s="35" t="n">
        <x:f>K1540*S1540</x:f>
        <x:v>57.288</x:v>
      </x:c>
      <x:c r="U1540" s="35" t="n">
        <x:f>L1540-N1540-P1540-R1540-T1540</x:f>
        <x:v>117.712</x:v>
      </x:c>
      <x:c r="V1540" s="21" t="n">
        <x:f>IFERROR(U1540/L1540,0)</x:f>
        <x:v>0.67264</x:v>
      </x:c>
    </x:row>
    <x:row r="1541">
      <x:c r="A1541" s="19" t="str">
        <x:v>SALE-01537</x:v>
      </x:c>
      <x:c r="B1541" s="34" t="n">
        <x:v>46213.5</x:v>
      </x:c>
      <x:c r="C1541" s="19" t="str">
        <x:v>周五</x:v>
      </x:c>
      <x:c r="D1541" s="19" t="str">
        <x:v>S06</x:v>
      </x:c>
      <x:c r="E1541" s="19" t="str">
        <x:v>蓝钻天城店</x:v>
      </x:c>
      <x:c r="F1541" s="19" t="str">
        <x:v>堂食</x:v>
      </x:c>
      <x:c r="G1541" s="19" t="str">
        <x:v>全日</x:v>
      </x:c>
      <x:c r="H1541" s="19" t="str">
        <x:v>D17</x:v>
      </x:c>
      <x:c r="I1541" s="19" t="str">
        <x:v>蒜蓉粉丝虾</x:v>
      </x:c>
      <x:c r="J1541" s="22" t="n">
        <x:f>XLOOKUP(H1541,'菜品主数据'!$A$5:$A$24,'菜品主数据'!$D$5:$D$24,0)</x:f>
        <x:v>36</x:v>
      </x:c>
      <x:c r="K1541" s="31" t="n">
        <x:v>4</x:v>
      </x:c>
      <x:c r="L1541" s="35" t="n">
        <x:f>J1541*K1541</x:f>
        <x:v>144</x:v>
      </x:c>
      <x:c r="M1541" s="36" t="n">
        <x:v>0</x:v>
      </x:c>
      <x:c r="N1541" s="35" t="n">
        <x:f>L1541*M1541</x:f>
        <x:v>0</x:v>
      </x:c>
      <x:c r="O1541" s="37" t="n">
        <x:v>0</x:v>
      </x:c>
      <x:c r="P1541" s="35" t="n">
        <x:f>L1541*O1541</x:f>
        <x:v>0</x:v>
      </x:c>
      <x:c r="Q1541" s="35" t="n">
        <x:v>0</x:v>
      </x:c>
      <x:c r="R1541" s="35" t="n">
        <x:f>K1541*Q1541</x:f>
        <x:v>0</x:v>
      </x:c>
      <x:c r="S1541" s="35" t="n">
        <x:f>XLOOKUP(H1541,'菜品主数据'!$A$5:$A$24,'菜品主数据'!$G$5:$G$24,0)</x:f>
        <x:v>13.594</x:v>
      </x:c>
      <x:c r="T1541" s="35" t="n">
        <x:f>K1541*S1541</x:f>
        <x:v>54.376</x:v>
      </x:c>
      <x:c r="U1541" s="35" t="n">
        <x:f>L1541-N1541-P1541-R1541-T1541</x:f>
        <x:v>89.624</x:v>
      </x:c>
      <x:c r="V1541" s="21" t="n">
        <x:f>IFERROR(U1541/L1541,0)</x:f>
        <x:v>0.6223888888888889</x:v>
      </x:c>
    </x:row>
    <x:row r="1542">
      <x:c r="A1542" s="19" t="str">
        <x:v>SALE-01538</x:v>
      </x:c>
      <x:c r="B1542" s="34" t="n">
        <x:v>46213.5</x:v>
      </x:c>
      <x:c r="C1542" s="19" t="str">
        <x:v>周五</x:v>
      </x:c>
      <x:c r="D1542" s="19" t="str">
        <x:v>S06</x:v>
      </x:c>
      <x:c r="E1542" s="19" t="str">
        <x:v>蓝钻天城店</x:v>
      </x:c>
      <x:c r="F1542" s="19" t="str">
        <x:v>堂食</x:v>
      </x:c>
      <x:c r="G1542" s="19" t="str">
        <x:v>全日</x:v>
      </x:c>
      <x:c r="H1542" s="19" t="str">
        <x:v>D18</x:v>
      </x:c>
      <x:c r="I1542" s="19" t="str">
        <x:v>青椒炒油麦菜</x:v>
      </x:c>
      <x:c r="J1542" s="22" t="n">
        <x:f>XLOOKUP(H1542,'菜品主数据'!$A$5:$A$24,'菜品主数据'!$D$5:$D$24,0)</x:f>
        <x:v>18</x:v>
      </x:c>
      <x:c r="K1542" s="31" t="n">
        <x:v>9</x:v>
      </x:c>
      <x:c r="L1542" s="35" t="n">
        <x:f>J1542*K1542</x:f>
        <x:v>162</x:v>
      </x:c>
      <x:c r="M1542" s="36" t="n">
        <x:v>0</x:v>
      </x:c>
      <x:c r="N1542" s="35" t="n">
        <x:f>L1542*M1542</x:f>
        <x:v>0</x:v>
      </x:c>
      <x:c r="O1542" s="37" t="n">
        <x:v>0</x:v>
      </x:c>
      <x:c r="P1542" s="35" t="n">
        <x:f>L1542*O1542</x:f>
        <x:v>0</x:v>
      </x:c>
      <x:c r="Q1542" s="35" t="n">
        <x:v>0</x:v>
      </x:c>
      <x:c r="R1542" s="35" t="n">
        <x:f>K1542*Q1542</x:f>
        <x:v>0</x:v>
      </x:c>
      <x:c r="S1542" s="35" t="n">
        <x:f>XLOOKUP(H1542,'菜品主数据'!$A$5:$A$24,'菜品主数据'!$G$5:$G$24,0)</x:f>
        <x:v>3.1759999999999993</x:v>
      </x:c>
      <x:c r="T1542" s="35" t="n">
        <x:f>K1542*S1542</x:f>
        <x:v>28.583999999999993</x:v>
      </x:c>
      <x:c r="U1542" s="35" t="n">
        <x:f>L1542-N1542-P1542-R1542-T1542</x:f>
        <x:v>133.416</x:v>
      </x:c>
      <x:c r="V1542" s="21" t="n">
        <x:f>IFERROR(U1542/L1542,0)</x:f>
        <x:v>0.8235555555555555</x:v>
      </x:c>
    </x:row>
    <x:row r="1543">
      <x:c r="A1543" s="19" t="str">
        <x:v>SALE-01539</x:v>
      </x:c>
      <x:c r="B1543" s="34" t="n">
        <x:v>46213.5</x:v>
      </x:c>
      <x:c r="C1543" s="19" t="str">
        <x:v>周五</x:v>
      </x:c>
      <x:c r="D1543" s="19" t="str">
        <x:v>S06</x:v>
      </x:c>
      <x:c r="E1543" s="19" t="str">
        <x:v>蓝钻天城店</x:v>
      </x:c>
      <x:c r="F1543" s="19" t="str">
        <x:v>堂食</x:v>
      </x:c>
      <x:c r="G1543" s="19" t="str">
        <x:v>全日</x:v>
      </x:c>
      <x:c r="H1543" s="19" t="str">
        <x:v>D19</x:v>
      </x:c>
      <x:c r="I1543" s="19" t="str">
        <x:v>酸萝卜炒鸡杂</x:v>
      </x:c>
      <x:c r="J1543" s="22" t="n">
        <x:f>XLOOKUP(H1543,'菜品主数据'!$A$5:$A$24,'菜品主数据'!$D$5:$D$24,0)</x:f>
        <x:v>25</x:v>
      </x:c>
      <x:c r="K1543" s="31" t="n">
        <x:v>6</x:v>
      </x:c>
      <x:c r="L1543" s="35" t="n">
        <x:f>J1543*K1543</x:f>
        <x:v>150</x:v>
      </x:c>
      <x:c r="M1543" s="36" t="n">
        <x:v>0</x:v>
      </x:c>
      <x:c r="N1543" s="35" t="n">
        <x:f>L1543*M1543</x:f>
        <x:v>0</x:v>
      </x:c>
      <x:c r="O1543" s="37" t="n">
        <x:v>0</x:v>
      </x:c>
      <x:c r="P1543" s="35" t="n">
        <x:f>L1543*O1543</x:f>
        <x:v>0</x:v>
      </x:c>
      <x:c r="Q1543" s="35" t="n">
        <x:v>0</x:v>
      </x:c>
      <x:c r="R1543" s="35" t="n">
        <x:f>K1543*Q1543</x:f>
        <x:v>0</x:v>
      </x:c>
      <x:c r="S1543" s="35" t="n">
        <x:f>XLOOKUP(H1543,'菜品主数据'!$A$5:$A$24,'菜品主数据'!$G$5:$G$24,0)</x:f>
        <x:v>7.9399999999999995</x:v>
      </x:c>
      <x:c r="T1543" s="35" t="n">
        <x:f>K1543*S1543</x:f>
        <x:v>47.64</x:v>
      </x:c>
      <x:c r="U1543" s="35" t="n">
        <x:f>L1543-N1543-P1543-R1543-T1543</x:f>
        <x:v>102.36</x:v>
      </x:c>
      <x:c r="V1543" s="21" t="n">
        <x:f>IFERROR(U1543/L1543,0)</x:f>
        <x:v>0.6824</x:v>
      </x:c>
    </x:row>
    <x:row r="1544">
      <x:c r="A1544" s="19" t="str">
        <x:v>SALE-01540</x:v>
      </x:c>
      <x:c r="B1544" s="34" t="n">
        <x:v>46213.5</x:v>
      </x:c>
      <x:c r="C1544" s="19" t="str">
        <x:v>周五</x:v>
      </x:c>
      <x:c r="D1544" s="19" t="str">
        <x:v>S06</x:v>
      </x:c>
      <x:c r="E1544" s="19" t="str">
        <x:v>蓝钻天城店</x:v>
      </x:c>
      <x:c r="F1544" s="19" t="str">
        <x:v>堂食</x:v>
      </x:c>
      <x:c r="G1544" s="19" t="str">
        <x:v>全日</x:v>
      </x:c>
      <x:c r="H1544" s="19" t="str">
        <x:v>D20</x:v>
      </x:c>
      <x:c r="I1544" s="19" t="str">
        <x:v>雪菜肉末青豆</x:v>
      </x:c>
      <x:c r="J1544" s="22" t="n">
        <x:f>XLOOKUP(H1544,'菜品主数据'!$A$5:$A$24,'菜品主数据'!$D$5:$D$24,0)</x:f>
        <x:v>18</x:v>
      </x:c>
      <x:c r="K1544" s="31" t="n">
        <x:v>8</x:v>
      </x:c>
      <x:c r="L1544" s="35" t="n">
        <x:f>J1544*K1544</x:f>
        <x:v>144</x:v>
      </x:c>
      <x:c r="M1544" s="36" t="n">
        <x:v>0</x:v>
      </x:c>
      <x:c r="N1544" s="35" t="n">
        <x:f>L1544*M1544</x:f>
        <x:v>0</x:v>
      </x:c>
      <x:c r="O1544" s="37" t="n">
        <x:v>0</x:v>
      </x:c>
      <x:c r="P1544" s="35" t="n">
        <x:f>L1544*O1544</x:f>
        <x:v>0</x:v>
      </x:c>
      <x:c r="Q1544" s="35" t="n">
        <x:v>0</x:v>
      </x:c>
      <x:c r="R1544" s="35" t="n">
        <x:f>K1544*Q1544</x:f>
        <x:v>0</x:v>
      </x:c>
      <x:c r="S1544" s="35" t="n">
        <x:f>XLOOKUP(H1544,'菜品主数据'!$A$5:$A$24,'菜品主数据'!$G$5:$G$24,0)</x:f>
        <x:v>7.303999999999999</x:v>
      </x:c>
      <x:c r="T1544" s="35" t="n">
        <x:f>K1544*S1544</x:f>
        <x:v>58.431999999999995</x:v>
      </x:c>
      <x:c r="U1544" s="35" t="n">
        <x:f>L1544-N1544-P1544-R1544-T1544</x:f>
        <x:v>85.56800000000001</x:v>
      </x:c>
      <x:c r="V1544" s="21" t="n">
        <x:f>IFERROR(U1544/L1544,0)</x:f>
        <x:v>0.5942222222222223</x:v>
      </x:c>
    </x:row>
    <x:row r="1545">
      <x:c r="A1545" s="19" t="str">
        <x:v>SALE-01541</x:v>
      </x:c>
      <x:c r="B1545" s="34" t="n">
        <x:v>46213.5</x:v>
      </x:c>
      <x:c r="C1545" s="19" t="str">
        <x:v>周五</x:v>
      </x:c>
      <x:c r="D1545" s="19" t="str">
        <x:v>S06</x:v>
      </x:c>
      <x:c r="E1545" s="19" t="str">
        <x:v>蓝钻天城店</x:v>
      </x:c>
      <x:c r="F1545" s="19" t="str">
        <x:v>外卖</x:v>
      </x:c>
      <x:c r="G1545" s="19" t="str">
        <x:v>全日</x:v>
      </x:c>
      <x:c r="H1545" s="19" t="str">
        <x:v>D01</x:v>
      </x:c>
      <x:c r="I1545" s="19" t="str">
        <x:v>辣椒炒肉</x:v>
      </x:c>
      <x:c r="J1545" s="22" t="n">
        <x:f>XLOOKUP(H1545,'菜品主数据'!$A$5:$A$24,'菜品主数据'!$D$5:$D$24,0)</x:f>
        <x:v>29</x:v>
      </x:c>
      <x:c r="K1545" s="31" t="n">
        <x:v>4</x:v>
      </x:c>
      <x:c r="L1545" s="35" t="n">
        <x:f>J1545*K1545</x:f>
        <x:v>116</x:v>
      </x:c>
      <x:c r="M1545" s="36" t="n">
        <x:v>0.08</x:v>
      </x:c>
      <x:c r="N1545" s="35" t="n">
        <x:f>L1545*M1545</x:f>
        <x:v>9.28</x:v>
      </x:c>
      <x:c r="O1545" s="37" t="n">
        <x:v>0.18</x:v>
      </x:c>
      <x:c r="P1545" s="35" t="n">
        <x:f>L1545*O1545</x:f>
        <x:v>20.88</x:v>
      </x:c>
      <x:c r="Q1545" s="35" t="n">
        <x:v>1.2</x:v>
      </x:c>
      <x:c r="R1545" s="35" t="n">
        <x:f>K1545*Q1545</x:f>
        <x:v>4.8</x:v>
      </x:c>
      <x:c r="S1545" s="35" t="n">
        <x:f>XLOOKUP(H1545,'菜品主数据'!$A$5:$A$24,'菜品主数据'!$G$5:$G$24,0)</x:f>
        <x:v>8.634400000000001</x:v>
      </x:c>
      <x:c r="T1545" s="35" t="n">
        <x:f>K1545*S1545</x:f>
        <x:v>34.537600000000005</x:v>
      </x:c>
      <x:c r="U1545" s="35" t="n">
        <x:f>L1545-N1545-P1545-R1545-T1545</x:f>
        <x:v>46.5024</x:v>
      </x:c>
      <x:c r="V1545" s="21" t="n">
        <x:f>IFERROR(U1545/L1545,0)</x:f>
        <x:v>0.40088275862068967</x:v>
      </x:c>
    </x:row>
    <x:row r="1546">
      <x:c r="A1546" s="19" t="str">
        <x:v>SALE-01542</x:v>
      </x:c>
      <x:c r="B1546" s="34" t="n">
        <x:v>46213.5</x:v>
      </x:c>
      <x:c r="C1546" s="19" t="str">
        <x:v>周五</x:v>
      </x:c>
      <x:c r="D1546" s="19" t="str">
        <x:v>S06</x:v>
      </x:c>
      <x:c r="E1546" s="19" t="str">
        <x:v>蓝钻天城店</x:v>
      </x:c>
      <x:c r="F1546" s="19" t="str">
        <x:v>外卖</x:v>
      </x:c>
      <x:c r="G1546" s="19" t="str">
        <x:v>全日</x:v>
      </x:c>
      <x:c r="H1546" s="19" t="str">
        <x:v>D02</x:v>
      </x:c>
      <x:c r="I1546" s="19" t="str">
        <x:v>小炒黄牛肉</x:v>
      </x:c>
      <x:c r="J1546" s="22" t="n">
        <x:f>XLOOKUP(H1546,'菜品主数据'!$A$5:$A$24,'菜品主数据'!$D$5:$D$24,0)</x:f>
        <x:v>49</x:v>
      </x:c>
      <x:c r="K1546" s="31" t="n">
        <x:v>8</x:v>
      </x:c>
      <x:c r="L1546" s="35" t="n">
        <x:f>J1546*K1546</x:f>
        <x:v>392</x:v>
      </x:c>
      <x:c r="M1546" s="36" t="n">
        <x:v>0.08</x:v>
      </x:c>
      <x:c r="N1546" s="35" t="n">
        <x:f>L1546*M1546</x:f>
        <x:v>31.36</x:v>
      </x:c>
      <x:c r="O1546" s="37" t="n">
        <x:v>0.18</x:v>
      </x:c>
      <x:c r="P1546" s="35" t="n">
        <x:f>L1546*O1546</x:f>
        <x:v>70.56</x:v>
      </x:c>
      <x:c r="Q1546" s="35" t="n">
        <x:v>1.2</x:v>
      </x:c>
      <x:c r="R1546" s="35" t="n">
        <x:f>K1546*Q1546</x:f>
        <x:v>9.6</x:v>
      </x:c>
      <x:c r="S1546" s="35" t="n">
        <x:f>XLOOKUP(H1546,'菜品主数据'!$A$5:$A$24,'菜品主数据'!$G$5:$G$24,0)</x:f>
        <x:v>17.577</x:v>
      </x:c>
      <x:c r="T1546" s="35" t="n">
        <x:f>K1546*S1546</x:f>
        <x:v>140.616</x:v>
      </x:c>
      <x:c r="U1546" s="35" t="n">
        <x:f>L1546-N1546-P1546-R1546-T1546</x:f>
        <x:v>139.86399999999995</x:v>
      </x:c>
      <x:c r="V1546" s="21" t="n">
        <x:f>IFERROR(U1546/L1546,0)</x:f>
        <x:v>0.3567959183673468</x:v>
      </x:c>
    </x:row>
    <x:row r="1547">
      <x:c r="A1547" s="19" t="str">
        <x:v>SALE-01543</x:v>
      </x:c>
      <x:c r="B1547" s="34" t="n">
        <x:v>46213.5</x:v>
      </x:c>
      <x:c r="C1547" s="19" t="str">
        <x:v>周五</x:v>
      </x:c>
      <x:c r="D1547" s="19" t="str">
        <x:v>S06</x:v>
      </x:c>
      <x:c r="E1547" s="19" t="str">
        <x:v>蓝钻天城店</x:v>
      </x:c>
      <x:c r="F1547" s="19" t="str">
        <x:v>外卖</x:v>
      </x:c>
      <x:c r="G1547" s="19" t="str">
        <x:v>全日</x:v>
      </x:c>
      <x:c r="H1547" s="19" t="str">
        <x:v>D03</x:v>
      </x:c>
      <x:c r="I1547" s="19" t="str">
        <x:v>香醋炒蛋</x:v>
      </x:c>
      <x:c r="J1547" s="22" t="n">
        <x:f>XLOOKUP(H1547,'菜品主数据'!$A$5:$A$24,'菜品主数据'!$D$5:$D$24,0)</x:f>
        <x:v>14.9</x:v>
      </x:c>
      <x:c r="K1547" s="31" t="n">
        <x:v>4</x:v>
      </x:c>
      <x:c r="L1547" s="35" t="n">
        <x:f>J1547*K1547</x:f>
        <x:v>59.6</x:v>
      </x:c>
      <x:c r="M1547" s="36" t="n">
        <x:v>0.08</x:v>
      </x:c>
      <x:c r="N1547" s="35" t="n">
        <x:f>L1547*M1547</x:f>
        <x:v>4.768</x:v>
      </x:c>
      <x:c r="O1547" s="37" t="n">
        <x:v>0.18</x:v>
      </x:c>
      <x:c r="P1547" s="35" t="n">
        <x:f>L1547*O1547</x:f>
        <x:v>10.728</x:v>
      </x:c>
      <x:c r="Q1547" s="35" t="n">
        <x:v>1.2</x:v>
      </x:c>
      <x:c r="R1547" s="35" t="n">
        <x:f>K1547*Q1547</x:f>
        <x:v>4.8</x:v>
      </x:c>
      <x:c r="S1547" s="35" t="n">
        <x:f>XLOOKUP(H1547,'菜品主数据'!$A$5:$A$24,'菜品主数据'!$G$5:$G$24,0)</x:f>
        <x:v>3.7459999999999996</x:v>
      </x:c>
      <x:c r="T1547" s="35" t="n">
        <x:f>K1547*S1547</x:f>
        <x:v>14.983999999999998</x:v>
      </x:c>
      <x:c r="U1547" s="35" t="n">
        <x:f>L1547-N1547-P1547-R1547-T1547</x:f>
        <x:v>24.320000000000004</x:v>
      </x:c>
      <x:c r="V1547" s="21" t="n">
        <x:f>IFERROR(U1547/L1547,0)</x:f>
        <x:v>0.40805369127516783</x:v>
      </x:c>
    </x:row>
    <x:row r="1548">
      <x:c r="A1548" s="19" t="str">
        <x:v>SALE-01544</x:v>
      </x:c>
      <x:c r="B1548" s="34" t="n">
        <x:v>46213.5</x:v>
      </x:c>
      <x:c r="C1548" s="19" t="str">
        <x:v>周五</x:v>
      </x:c>
      <x:c r="D1548" s="19" t="str">
        <x:v>S06</x:v>
      </x:c>
      <x:c r="E1548" s="19" t="str">
        <x:v>蓝钻天城店</x:v>
      </x:c>
      <x:c r="F1548" s="19" t="str">
        <x:v>外卖</x:v>
      </x:c>
      <x:c r="G1548" s="19" t="str">
        <x:v>全日</x:v>
      </x:c>
      <x:c r="H1548" s="19" t="str">
        <x:v>D04</x:v>
      </x:c>
      <x:c r="I1548" s="19" t="str">
        <x:v>酸包菜炒粉皮</x:v>
      </x:c>
      <x:c r="J1548" s="22" t="n">
        <x:f>XLOOKUP(H1548,'菜品主数据'!$A$5:$A$24,'菜品主数据'!$D$5:$D$24,0)</x:f>
        <x:v>16</x:v>
      </x:c>
      <x:c r="K1548" s="31" t="n">
        <x:v>3</x:v>
      </x:c>
      <x:c r="L1548" s="35" t="n">
        <x:f>J1548*K1548</x:f>
        <x:v>48</x:v>
      </x:c>
      <x:c r="M1548" s="36" t="n">
        <x:v>0.08</x:v>
      </x:c>
      <x:c r="N1548" s="35" t="n">
        <x:f>L1548*M1548</x:f>
        <x:v>3.84</x:v>
      </x:c>
      <x:c r="O1548" s="37" t="n">
        <x:v>0.18</x:v>
      </x:c>
      <x:c r="P1548" s="35" t="n">
        <x:f>L1548*O1548</x:f>
        <x:v>8.64</x:v>
      </x:c>
      <x:c r="Q1548" s="35" t="n">
        <x:v>1.2</x:v>
      </x:c>
      <x:c r="R1548" s="35" t="n">
        <x:f>K1548*Q1548</x:f>
        <x:v>3.5999999999999996</x:v>
      </x:c>
      <x:c r="S1548" s="35" t="n">
        <x:f>XLOOKUP(H1548,'菜品主数据'!$A$5:$A$24,'菜品主数据'!$G$5:$G$24,0)</x:f>
        <x:v>3.978</x:v>
      </x:c>
      <x:c r="T1548" s="35" t="n">
        <x:f>K1548*S1548</x:f>
        <x:v>11.934000000000001</x:v>
      </x:c>
      <x:c r="U1548" s="35" t="n">
        <x:f>L1548-N1548-P1548-R1548-T1548</x:f>
        <x:v>19.985999999999994</x:v>
      </x:c>
      <x:c r="V1548" s="21" t="n">
        <x:f>IFERROR(U1548/L1548,0)</x:f>
        <x:v>0.4163749999999999</x:v>
      </x:c>
    </x:row>
    <x:row r="1549">
      <x:c r="A1549" s="19" t="str">
        <x:v>SALE-01545</x:v>
      </x:c>
      <x:c r="B1549" s="34" t="n">
        <x:v>46213.5</x:v>
      </x:c>
      <x:c r="C1549" s="19" t="str">
        <x:v>周五</x:v>
      </x:c>
      <x:c r="D1549" s="19" t="str">
        <x:v>S06</x:v>
      </x:c>
      <x:c r="E1549" s="19" t="str">
        <x:v>蓝钻天城店</x:v>
      </x:c>
      <x:c r="F1549" s="19" t="str">
        <x:v>外卖</x:v>
      </x:c>
      <x:c r="G1549" s="19" t="str">
        <x:v>全日</x:v>
      </x:c>
      <x:c r="H1549" s="19" t="str">
        <x:v>D05</x:v>
      </x:c>
      <x:c r="I1549" s="19" t="str">
        <x:v>麻婆豆腐</x:v>
      </x:c>
      <x:c r="J1549" s="22" t="n">
        <x:f>XLOOKUP(H1549,'菜品主数据'!$A$5:$A$24,'菜品主数据'!$D$5:$D$24,0)</x:f>
        <x:v>9.9</x:v>
      </x:c>
      <x:c r="K1549" s="31" t="n">
        <x:v>4</x:v>
      </x:c>
      <x:c r="L1549" s="35" t="n">
        <x:f>J1549*K1549</x:f>
        <x:v>39.6</x:v>
      </x:c>
      <x:c r="M1549" s="36" t="n">
        <x:v>0.08</x:v>
      </x:c>
      <x:c r="N1549" s="35" t="n">
        <x:f>L1549*M1549</x:f>
        <x:v>3.168</x:v>
      </x:c>
      <x:c r="O1549" s="37" t="n">
        <x:v>0.18</x:v>
      </x:c>
      <x:c r="P1549" s="35" t="n">
        <x:f>L1549*O1549</x:f>
        <x:v>7.128</x:v>
      </x:c>
      <x:c r="Q1549" s="35" t="n">
        <x:v>1.2</x:v>
      </x:c>
      <x:c r="R1549" s="35" t="n">
        <x:f>K1549*Q1549</x:f>
        <x:v>4.8</x:v>
      </x:c>
      <x:c r="S1549" s="35" t="n">
        <x:f>XLOOKUP(H1549,'菜品主数据'!$A$5:$A$24,'菜品主数据'!$G$5:$G$24,0)</x:f>
        <x:v>5.367000000000001</x:v>
      </x:c>
      <x:c r="T1549" s="35" t="n">
        <x:f>K1549*S1549</x:f>
        <x:v>21.468000000000004</x:v>
      </x:c>
      <x:c r="U1549" s="35" t="n">
        <x:f>L1549-N1549-P1549-R1549-T1549</x:f>
        <x:v>3.035999999999998</x:v>
      </x:c>
      <x:c r="V1549" s="21" t="n">
        <x:f>IFERROR(U1549/L1549,0)</x:f>
        <x:v>0.0766666666666666</x:v>
      </x:c>
    </x:row>
    <x:row r="1550">
      <x:c r="A1550" s="19" t="str">
        <x:v>SALE-01546</x:v>
      </x:c>
      <x:c r="B1550" s="34" t="n">
        <x:v>46213.5</x:v>
      </x:c>
      <x:c r="C1550" s="19" t="str">
        <x:v>周五</x:v>
      </x:c>
      <x:c r="D1550" s="19" t="str">
        <x:v>S06</x:v>
      </x:c>
      <x:c r="E1550" s="19" t="str">
        <x:v>蓝钻天城店</x:v>
      </x:c>
      <x:c r="F1550" s="19" t="str">
        <x:v>外卖</x:v>
      </x:c>
      <x:c r="G1550" s="19" t="str">
        <x:v>全日</x:v>
      </x:c>
      <x:c r="H1550" s="19" t="str">
        <x:v>D06</x:v>
      </x:c>
      <x:c r="I1550" s="19" t="str">
        <x:v>剁椒鱼头</x:v>
      </x:c>
      <x:c r="J1550" s="22" t="n">
        <x:f>XLOOKUP(H1550,'菜品主数据'!$A$5:$A$24,'菜品主数据'!$D$5:$D$24,0)</x:f>
        <x:v>39</x:v>
      </x:c>
      <x:c r="K1550" s="31" t="n">
        <x:v>2</x:v>
      </x:c>
      <x:c r="L1550" s="35" t="n">
        <x:f>J1550*K1550</x:f>
        <x:v>78</x:v>
      </x:c>
      <x:c r="M1550" s="36" t="n">
        <x:v>0.08</x:v>
      </x:c>
      <x:c r="N1550" s="35" t="n">
        <x:f>L1550*M1550</x:f>
        <x:v>6.24</x:v>
      </x:c>
      <x:c r="O1550" s="37" t="n">
        <x:v>0.18</x:v>
      </x:c>
      <x:c r="P1550" s="35" t="n">
        <x:f>L1550*O1550</x:f>
        <x:v>14.04</x:v>
      </x:c>
      <x:c r="Q1550" s="35" t="n">
        <x:v>1.2</x:v>
      </x:c>
      <x:c r="R1550" s="35" t="n">
        <x:f>K1550*Q1550</x:f>
        <x:v>2.4</x:v>
      </x:c>
      <x:c r="S1550" s="35" t="n">
        <x:f>XLOOKUP(H1550,'菜品主数据'!$A$5:$A$24,'菜品主数据'!$G$5:$G$24,0)</x:f>
        <x:v>17.446</x:v>
      </x:c>
      <x:c r="T1550" s="35" t="n">
        <x:f>K1550*S1550</x:f>
        <x:v>34.892</x:v>
      </x:c>
      <x:c r="U1550" s="35" t="n">
        <x:f>L1550-N1550-P1550-R1550-T1550</x:f>
        <x:v>20.428000000000004</x:v>
      </x:c>
      <x:c r="V1550" s="21" t="n">
        <x:f>IFERROR(U1550/L1550,0)</x:f>
        <x:v>0.26189743589743597</x:v>
      </x:c>
    </x:row>
    <x:row r="1551">
      <x:c r="A1551" s="19" t="str">
        <x:v>SALE-01547</x:v>
      </x:c>
      <x:c r="B1551" s="34" t="n">
        <x:v>46213.5</x:v>
      </x:c>
      <x:c r="C1551" s="19" t="str">
        <x:v>周五</x:v>
      </x:c>
      <x:c r="D1551" s="19" t="str">
        <x:v>S06</x:v>
      </x:c>
      <x:c r="E1551" s="19" t="str">
        <x:v>蓝钻天城店</x:v>
      </x:c>
      <x:c r="F1551" s="19" t="str">
        <x:v>外卖</x:v>
      </x:c>
      <x:c r="G1551" s="19" t="str">
        <x:v>全日</x:v>
      </x:c>
      <x:c r="H1551" s="19" t="str">
        <x:v>D07</x:v>
      </x:c>
      <x:c r="I1551" s="19" t="str">
        <x:v>川味回锅肉</x:v>
      </x:c>
      <x:c r="J1551" s="22" t="n">
        <x:f>XLOOKUP(H1551,'菜品主数据'!$A$5:$A$24,'菜品主数据'!$D$5:$D$24,0)</x:f>
        <x:v>29</x:v>
      </x:c>
      <x:c r="K1551" s="31" t="n">
        <x:v>1</x:v>
      </x:c>
      <x:c r="L1551" s="35" t="n">
        <x:f>J1551*K1551</x:f>
        <x:v>29</x:v>
      </x:c>
      <x:c r="M1551" s="36" t="n">
        <x:v>0.08</x:v>
      </x:c>
      <x:c r="N1551" s="35" t="n">
        <x:f>L1551*M1551</x:f>
        <x:v>2.32</x:v>
      </x:c>
      <x:c r="O1551" s="37" t="n">
        <x:v>0.18</x:v>
      </x:c>
      <x:c r="P1551" s="35" t="n">
        <x:f>L1551*O1551</x:f>
        <x:v>5.22</x:v>
      </x:c>
      <x:c r="Q1551" s="35" t="n">
        <x:v>1.2</x:v>
      </x:c>
      <x:c r="R1551" s="35" t="n">
        <x:f>K1551*Q1551</x:f>
        <x:v>1.2</x:v>
      </x:c>
      <x:c r="S1551" s="35" t="n">
        <x:f>XLOOKUP(H1551,'菜品主数据'!$A$5:$A$24,'菜品主数据'!$G$5:$G$24,0)</x:f>
        <x:v>10.231000000000002</x:v>
      </x:c>
      <x:c r="T1551" s="35" t="n">
        <x:f>K1551*S1551</x:f>
        <x:v>10.231000000000002</x:v>
      </x:c>
      <x:c r="U1551" s="35" t="n">
        <x:f>L1551-N1551-P1551-R1551-T1551</x:f>
        <x:v>10.029</x:v>
      </x:c>
      <x:c r="V1551" s="21" t="n">
        <x:f>IFERROR(U1551/L1551,0)</x:f>
        <x:v>0.3458275862068966</x:v>
      </x:c>
    </x:row>
    <x:row r="1552">
      <x:c r="A1552" s="19" t="str">
        <x:v>SALE-01548</x:v>
      </x:c>
      <x:c r="B1552" s="34" t="n">
        <x:v>46213.5</x:v>
      </x:c>
      <x:c r="C1552" s="19" t="str">
        <x:v>周五</x:v>
      </x:c>
      <x:c r="D1552" s="19" t="str">
        <x:v>S06</x:v>
      </x:c>
      <x:c r="E1552" s="19" t="str">
        <x:v>蓝钻天城店</x:v>
      </x:c>
      <x:c r="F1552" s="19" t="str">
        <x:v>外卖</x:v>
      </x:c>
      <x:c r="G1552" s="19" t="str">
        <x:v>全日</x:v>
      </x:c>
      <x:c r="H1552" s="19" t="str">
        <x:v>D08</x:v>
      </x:c>
      <x:c r="I1552" s="19" t="str">
        <x:v>生炒清远鸡</x:v>
      </x:c>
      <x:c r="J1552" s="22" t="n">
        <x:f>XLOOKUP(H1552,'菜品主数据'!$A$5:$A$24,'菜品主数据'!$D$5:$D$24,0)</x:f>
        <x:v>36</x:v>
      </x:c>
      <x:c r="K1552" s="31" t="n">
        <x:v>1</x:v>
      </x:c>
      <x:c r="L1552" s="35" t="n">
        <x:f>J1552*K1552</x:f>
        <x:v>36</x:v>
      </x:c>
      <x:c r="M1552" s="36" t="n">
        <x:v>0.08</x:v>
      </x:c>
      <x:c r="N1552" s="35" t="n">
        <x:f>L1552*M1552</x:f>
        <x:v>2.88</x:v>
      </x:c>
      <x:c r="O1552" s="37" t="n">
        <x:v>0.18</x:v>
      </x:c>
      <x:c r="P1552" s="35" t="n">
        <x:f>L1552*O1552</x:f>
        <x:v>6.4799999999999995</x:v>
      </x:c>
      <x:c r="Q1552" s="35" t="n">
        <x:v>1.2</x:v>
      </x:c>
      <x:c r="R1552" s="35" t="n">
        <x:f>K1552*Q1552</x:f>
        <x:v>1.2</x:v>
      </x:c>
      <x:c r="S1552" s="35" t="n">
        <x:f>XLOOKUP(H1552,'菜品主数据'!$A$5:$A$24,'菜品主数据'!$G$5:$G$24,0)</x:f>
        <x:v>13.48</x:v>
      </x:c>
      <x:c r="T1552" s="35" t="n">
        <x:f>K1552*S1552</x:f>
        <x:v>13.48</x:v>
      </x:c>
      <x:c r="U1552" s="35" t="n">
        <x:f>L1552-N1552-P1552-R1552-T1552</x:f>
        <x:v>11.959999999999997</x:v>
      </x:c>
      <x:c r="V1552" s="21" t="n">
        <x:f>IFERROR(U1552/L1552,0)</x:f>
        <x:v>0.33222222222222214</x:v>
      </x:c>
    </x:row>
    <x:row r="1553">
      <x:c r="A1553" s="19" t="str">
        <x:v>SALE-01549</x:v>
      </x:c>
      <x:c r="B1553" s="34" t="n">
        <x:v>46213.5</x:v>
      </x:c>
      <x:c r="C1553" s="19" t="str">
        <x:v>周五</x:v>
      </x:c>
      <x:c r="D1553" s="19" t="str">
        <x:v>S06</x:v>
      </x:c>
      <x:c r="E1553" s="19" t="str">
        <x:v>蓝钻天城店</x:v>
      </x:c>
      <x:c r="F1553" s="19" t="str">
        <x:v>外卖</x:v>
      </x:c>
      <x:c r="G1553" s="19" t="str">
        <x:v>全日</x:v>
      </x:c>
      <x:c r="H1553" s="19" t="str">
        <x:v>D09</x:v>
      </x:c>
      <x:c r="I1553" s="19" t="str">
        <x:v>炒豆干</x:v>
      </x:c>
      <x:c r="J1553" s="22" t="n">
        <x:f>XLOOKUP(H1553,'菜品主数据'!$A$5:$A$24,'菜品主数据'!$D$5:$D$24,0)</x:f>
        <x:v>18</x:v>
      </x:c>
      <x:c r="K1553" s="31" t="n">
        <x:v>1</x:v>
      </x:c>
      <x:c r="L1553" s="35" t="n">
        <x:f>J1553*K1553</x:f>
        <x:v>18</x:v>
      </x:c>
      <x:c r="M1553" s="36" t="n">
        <x:v>0.08</x:v>
      </x:c>
      <x:c r="N1553" s="35" t="n">
        <x:f>L1553*M1553</x:f>
        <x:v>1.44</x:v>
      </x:c>
      <x:c r="O1553" s="37" t="n">
        <x:v>0.18</x:v>
      </x:c>
      <x:c r="P1553" s="35" t="n">
        <x:f>L1553*O1553</x:f>
        <x:v>3.2399999999999998</x:v>
      </x:c>
      <x:c r="Q1553" s="35" t="n">
        <x:v>1.2</x:v>
      </x:c>
      <x:c r="R1553" s="35" t="n">
        <x:f>K1553*Q1553</x:f>
        <x:v>1.2</x:v>
      </x:c>
      <x:c r="S1553" s="35" t="n">
        <x:f>XLOOKUP(H1553,'菜品主数据'!$A$5:$A$24,'菜品主数据'!$G$5:$G$24,0)</x:f>
        <x:v>6.613999999999999</x:v>
      </x:c>
      <x:c r="T1553" s="35" t="n">
        <x:f>K1553*S1553</x:f>
        <x:v>6.613999999999999</x:v>
      </x:c>
      <x:c r="U1553" s="35" t="n">
        <x:f>L1553-N1553-P1553-R1553-T1553</x:f>
        <x:v>5.506</x:v>
      </x:c>
      <x:c r="V1553" s="21" t="n">
        <x:f>IFERROR(U1553/L1553,0)</x:f>
        <x:v>0.3058888888888889</x:v>
      </x:c>
    </x:row>
    <x:row r="1554">
      <x:c r="A1554" s="19" t="str">
        <x:v>SALE-01550</x:v>
      </x:c>
      <x:c r="B1554" s="34" t="n">
        <x:v>46213.5</x:v>
      </x:c>
      <x:c r="C1554" s="19" t="str">
        <x:v>周五</x:v>
      </x:c>
      <x:c r="D1554" s="19" t="str">
        <x:v>S06</x:v>
      </x:c>
      <x:c r="E1554" s="19" t="str">
        <x:v>蓝钻天城店</x:v>
      </x:c>
      <x:c r="F1554" s="19" t="str">
        <x:v>外卖</x:v>
      </x:c>
      <x:c r="G1554" s="19" t="str">
        <x:v>全日</x:v>
      </x:c>
      <x:c r="H1554" s="19" t="str">
        <x:v>D10</x:v>
      </x:c>
      <x:c r="I1554" s="19" t="str">
        <x:v>农家一碗香</x:v>
      </x:c>
      <x:c r="J1554" s="22" t="n">
        <x:f>XLOOKUP(H1554,'菜品主数据'!$A$5:$A$24,'菜品主数据'!$D$5:$D$24,0)</x:f>
        <x:v>22.9</x:v>
      </x:c>
      <x:c r="K1554" s="31" t="n">
        <x:v>1</x:v>
      </x:c>
      <x:c r="L1554" s="35" t="n">
        <x:f>J1554*K1554</x:f>
        <x:v>22.9</x:v>
      </x:c>
      <x:c r="M1554" s="36" t="n">
        <x:v>0.08</x:v>
      </x:c>
      <x:c r="N1554" s="35" t="n">
        <x:f>L1554*M1554</x:f>
        <x:v>1.8319999999999999</x:v>
      </x:c>
      <x:c r="O1554" s="37" t="n">
        <x:v>0.18</x:v>
      </x:c>
      <x:c r="P1554" s="35" t="n">
        <x:f>L1554*O1554</x:f>
        <x:v>4.122</x:v>
      </x:c>
      <x:c r="Q1554" s="35" t="n">
        <x:v>1.2</x:v>
      </x:c>
      <x:c r="R1554" s="35" t="n">
        <x:f>K1554*Q1554</x:f>
        <x:v>1.2</x:v>
      </x:c>
      <x:c r="S1554" s="35" t="n">
        <x:f>XLOOKUP(H1554,'菜品主数据'!$A$5:$A$24,'菜品主数据'!$G$5:$G$24,0)</x:f>
        <x:v>9.770200000000003</x:v>
      </x:c>
      <x:c r="T1554" s="35" t="n">
        <x:f>K1554*S1554</x:f>
        <x:v>9.770200000000003</x:v>
      </x:c>
      <x:c r="U1554" s="35" t="n">
        <x:f>L1554-N1554-P1554-R1554-T1554</x:f>
        <x:v>5.975799999999996</x:v>
      </x:c>
      <x:c r="V1554" s="21" t="n">
        <x:f>IFERROR(U1554/L1554,0)</x:f>
        <x:v>0.260951965065502</x:v>
      </x:c>
    </x:row>
    <x:row r="1555">
      <x:c r="A1555" s="19" t="str">
        <x:v>SALE-01551</x:v>
      </x:c>
      <x:c r="B1555" s="34" t="n">
        <x:v>46213.5</x:v>
      </x:c>
      <x:c r="C1555" s="19" t="str">
        <x:v>周五</x:v>
      </x:c>
      <x:c r="D1555" s="19" t="str">
        <x:v>S06</x:v>
      </x:c>
      <x:c r="E1555" s="19" t="str">
        <x:v>蓝钻天城店</x:v>
      </x:c>
      <x:c r="F1555" s="19" t="str">
        <x:v>外卖</x:v>
      </x:c>
      <x:c r="G1555" s="19" t="str">
        <x:v>全日</x:v>
      </x:c>
      <x:c r="H1555" s="19" t="str">
        <x:v>D11</x:v>
      </x:c>
      <x:c r="I1555" s="19" t="str">
        <x:v>香辣爆肥肠</x:v>
      </x:c>
      <x:c r="J1555" s="22" t="n">
        <x:f>XLOOKUP(H1555,'菜品主数据'!$A$5:$A$24,'菜品主数据'!$D$5:$D$24,0)</x:f>
        <x:v>39</x:v>
      </x:c>
      <x:c r="K1555" s="31" t="n">
        <x:v>0</x:v>
      </x:c>
      <x:c r="L1555" s="35" t="n">
        <x:f>J1555*K1555</x:f>
        <x:v>0</x:v>
      </x:c>
      <x:c r="M1555" s="36" t="n">
        <x:v>0.08</x:v>
      </x:c>
      <x:c r="N1555" s="35" t="n">
        <x:f>L1555*M1555</x:f>
        <x:v>0</x:v>
      </x:c>
      <x:c r="O1555" s="37" t="n">
        <x:v>0.18</x:v>
      </x:c>
      <x:c r="P1555" s="35" t="n">
        <x:f>L1555*O1555</x:f>
        <x:v>0</x:v>
      </x:c>
      <x:c r="Q1555" s="35" t="n">
        <x:v>1.2</x:v>
      </x:c>
      <x:c r="R1555" s="35" t="n">
        <x:f>K1555*Q1555</x:f>
        <x:v>0</x:v>
      </x:c>
      <x:c r="S1555" s="35" t="n">
        <x:f>XLOOKUP(H1555,'菜品主数据'!$A$5:$A$24,'菜品主数据'!$G$5:$G$24,0)</x:f>
        <x:v>10.397</x:v>
      </x:c>
      <x:c r="T1555" s="35" t="n">
        <x:f>K1555*S1555</x:f>
        <x:v>0</x:v>
      </x:c>
      <x:c r="U1555" s="35" t="n">
        <x:f>L1555-N1555-P1555-R1555-T1555</x:f>
        <x:v>0</x:v>
      </x:c>
      <x:c r="V1555" s="21" t="n">
        <x:f>IFERROR(U1555/L1555,0)</x:f>
        <x:v>0</x:v>
      </x:c>
    </x:row>
    <x:row r="1556">
      <x:c r="A1556" s="19" t="str">
        <x:v>SALE-01552</x:v>
      </x:c>
      <x:c r="B1556" s="34" t="n">
        <x:v>46213.5</x:v>
      </x:c>
      <x:c r="C1556" s="19" t="str">
        <x:v>周五</x:v>
      </x:c>
      <x:c r="D1556" s="19" t="str">
        <x:v>S06</x:v>
      </x:c>
      <x:c r="E1556" s="19" t="str">
        <x:v>蓝钻天城店</x:v>
      </x:c>
      <x:c r="F1556" s="19" t="str">
        <x:v>外卖</x:v>
      </x:c>
      <x:c r="G1556" s="19" t="str">
        <x:v>全日</x:v>
      </x:c>
      <x:c r="H1556" s="19" t="str">
        <x:v>D12</x:v>
      </x:c>
      <x:c r="I1556" s="19" t="str">
        <x:v>清蒸鲈鱼</x:v>
      </x:c>
      <x:c r="J1556" s="22" t="n">
        <x:f>XLOOKUP(H1556,'菜品主数据'!$A$5:$A$24,'菜品主数据'!$D$5:$D$24,0)</x:f>
        <x:v>39</x:v>
      </x:c>
      <x:c r="K1556" s="31" t="n">
        <x:v>0</x:v>
      </x:c>
      <x:c r="L1556" s="35" t="n">
        <x:f>J1556*K1556</x:f>
        <x:v>0</x:v>
      </x:c>
      <x:c r="M1556" s="36" t="n">
        <x:v>0.08</x:v>
      </x:c>
      <x:c r="N1556" s="35" t="n">
        <x:f>L1556*M1556</x:f>
        <x:v>0</x:v>
      </x:c>
      <x:c r="O1556" s="37" t="n">
        <x:v>0.18</x:v>
      </x:c>
      <x:c r="P1556" s="35" t="n">
        <x:f>L1556*O1556</x:f>
        <x:v>0</x:v>
      </x:c>
      <x:c r="Q1556" s="35" t="n">
        <x:v>1.2</x:v>
      </x:c>
      <x:c r="R1556" s="35" t="n">
        <x:f>K1556*Q1556</x:f>
        <x:v>0</x:v>
      </x:c>
      <x:c r="S1556" s="35" t="n">
        <x:f>XLOOKUP(H1556,'菜品主数据'!$A$5:$A$24,'菜品主数据'!$G$5:$G$24,0)</x:f>
        <x:v>18.874</x:v>
      </x:c>
      <x:c r="T1556" s="35" t="n">
        <x:f>K1556*S1556</x:f>
        <x:v>0</x:v>
      </x:c>
      <x:c r="U1556" s="35" t="n">
        <x:f>L1556-N1556-P1556-R1556-T1556</x:f>
        <x:v>0</x:v>
      </x:c>
      <x:c r="V1556" s="21" t="n">
        <x:f>IFERROR(U1556/L1556,0)</x:f>
        <x:v>0</x:v>
      </x:c>
    </x:row>
    <x:row r="1557">
      <x:c r="A1557" s="19" t="str">
        <x:v>SALE-01553</x:v>
      </x:c>
      <x:c r="B1557" s="34" t="n">
        <x:v>46213.5</x:v>
      </x:c>
      <x:c r="C1557" s="19" t="str">
        <x:v>周五</x:v>
      </x:c>
      <x:c r="D1557" s="19" t="str">
        <x:v>S06</x:v>
      </x:c>
      <x:c r="E1557" s="19" t="str">
        <x:v>蓝钻天城店</x:v>
      </x:c>
      <x:c r="F1557" s="19" t="str">
        <x:v>外卖</x:v>
      </x:c>
      <x:c r="G1557" s="19" t="str">
        <x:v>全日</x:v>
      </x:c>
      <x:c r="H1557" s="19" t="str">
        <x:v>D13</x:v>
      </x:c>
      <x:c r="I1557" s="19" t="str">
        <x:v>外婆菜炒蛋</x:v>
      </x:c>
      <x:c r="J1557" s="22" t="n">
        <x:f>XLOOKUP(H1557,'菜品主数据'!$A$5:$A$24,'菜品主数据'!$D$5:$D$24,0)</x:f>
        <x:v>18</x:v>
      </x:c>
      <x:c r="K1557" s="31" t="n">
        <x:v>1</x:v>
      </x:c>
      <x:c r="L1557" s="35" t="n">
        <x:f>J1557*K1557</x:f>
        <x:v>18</x:v>
      </x:c>
      <x:c r="M1557" s="36" t="n">
        <x:v>0.08</x:v>
      </x:c>
      <x:c r="N1557" s="35" t="n">
        <x:f>L1557*M1557</x:f>
        <x:v>1.44</x:v>
      </x:c>
      <x:c r="O1557" s="37" t="n">
        <x:v>0.18</x:v>
      </x:c>
      <x:c r="P1557" s="35" t="n">
        <x:f>L1557*O1557</x:f>
        <x:v>3.2399999999999998</x:v>
      </x:c>
      <x:c r="Q1557" s="35" t="n">
        <x:v>1.2</x:v>
      </x:c>
      <x:c r="R1557" s="35" t="n">
        <x:f>K1557*Q1557</x:f>
        <x:v>1.2</x:v>
      </x:c>
      <x:c r="S1557" s="35" t="n">
        <x:f>XLOOKUP(H1557,'菜品主数据'!$A$5:$A$24,'菜品主数据'!$G$5:$G$24,0)</x:f>
        <x:v>5.403999999999999</x:v>
      </x:c>
      <x:c r="T1557" s="35" t="n">
        <x:f>K1557*S1557</x:f>
        <x:v>5.403999999999999</x:v>
      </x:c>
      <x:c r="U1557" s="35" t="n">
        <x:f>L1557-N1557-P1557-R1557-T1557</x:f>
        <x:v>6.716</x:v>
      </x:c>
      <x:c r="V1557" s="21" t="n">
        <x:f>IFERROR(U1557/L1557,0)</x:f>
        <x:v>0.3731111111111111</x:v>
      </x:c>
    </x:row>
    <x:row r="1558">
      <x:c r="A1558" s="19" t="str">
        <x:v>SALE-01554</x:v>
      </x:c>
      <x:c r="B1558" s="34" t="n">
        <x:v>46213.5</x:v>
      </x:c>
      <x:c r="C1558" s="19" t="str">
        <x:v>周五</x:v>
      </x:c>
      <x:c r="D1558" s="19" t="str">
        <x:v>S06</x:v>
      </x:c>
      <x:c r="E1558" s="19" t="str">
        <x:v>蓝钻天城店</x:v>
      </x:c>
      <x:c r="F1558" s="19" t="str">
        <x:v>外卖</x:v>
      </x:c>
      <x:c r="G1558" s="19" t="str">
        <x:v>全日</x:v>
      </x:c>
      <x:c r="H1558" s="19" t="str">
        <x:v>D14</x:v>
      </x:c>
      <x:c r="I1558" s="19" t="str">
        <x:v>酸辣鸡杂</x:v>
      </x:c>
      <x:c r="J1558" s="22" t="n">
        <x:f>XLOOKUP(H1558,'菜品主数据'!$A$5:$A$24,'菜品主数据'!$D$5:$D$24,0)</x:f>
        <x:v>28</x:v>
      </x:c>
      <x:c r="K1558" s="31" t="n">
        <x:v>0</x:v>
      </x:c>
      <x:c r="L1558" s="35" t="n">
        <x:f>J1558*K1558</x:f>
        <x:v>0</x:v>
      </x:c>
      <x:c r="M1558" s="36" t="n">
        <x:v>0.08</x:v>
      </x:c>
      <x:c r="N1558" s="35" t="n">
        <x:f>L1558*M1558</x:f>
        <x:v>0</x:v>
      </x:c>
      <x:c r="O1558" s="37" t="n">
        <x:v>0.18</x:v>
      </x:c>
      <x:c r="P1558" s="35" t="n">
        <x:f>L1558*O1558</x:f>
        <x:v>0</x:v>
      </x:c>
      <x:c r="Q1558" s="35" t="n">
        <x:v>1.2</x:v>
      </x:c>
      <x:c r="R1558" s="35" t="n">
        <x:f>K1558*Q1558</x:f>
        <x:v>0</x:v>
      </x:c>
      <x:c r="S1558" s="35" t="n">
        <x:f>XLOOKUP(H1558,'菜品主数据'!$A$5:$A$24,'菜品主数据'!$G$5:$G$24,0)</x:f>
        <x:v>8.315000000000001</x:v>
      </x:c>
      <x:c r="T1558" s="35" t="n">
        <x:f>K1558*S1558</x:f>
        <x:v>0</x:v>
      </x:c>
      <x:c r="U1558" s="35" t="n">
        <x:f>L1558-N1558-P1558-R1558-T1558</x:f>
        <x:v>0</x:v>
      </x:c>
      <x:c r="V1558" s="21" t="n">
        <x:f>IFERROR(U1558/L1558,0)</x:f>
        <x:v>0</x:v>
      </x:c>
    </x:row>
    <x:row r="1559">
      <x:c r="A1559" s="19" t="str">
        <x:v>SALE-01555</x:v>
      </x:c>
      <x:c r="B1559" s="34" t="n">
        <x:v>46213.5</x:v>
      </x:c>
      <x:c r="C1559" s="19" t="str">
        <x:v>周五</x:v>
      </x:c>
      <x:c r="D1559" s="19" t="str">
        <x:v>S06</x:v>
      </x:c>
      <x:c r="E1559" s="19" t="str">
        <x:v>蓝钻天城店</x:v>
      </x:c>
      <x:c r="F1559" s="19" t="str">
        <x:v>外卖</x:v>
      </x:c>
      <x:c r="G1559" s="19" t="str">
        <x:v>全日</x:v>
      </x:c>
      <x:c r="H1559" s="19" t="str">
        <x:v>D15</x:v>
      </x:c>
      <x:c r="I1559" s="19" t="str">
        <x:v>湘西土匪猪肝</x:v>
      </x:c>
      <x:c r="J1559" s="22" t="n">
        <x:f>XLOOKUP(H1559,'菜品主数据'!$A$5:$A$24,'菜品主数据'!$D$5:$D$24,0)</x:f>
        <x:v>26</x:v>
      </x:c>
      <x:c r="K1559" s="31" t="n">
        <x:v>0</x:v>
      </x:c>
      <x:c r="L1559" s="35" t="n">
        <x:f>J1559*K1559</x:f>
        <x:v>0</x:v>
      </x:c>
      <x:c r="M1559" s="36" t="n">
        <x:v>0.08</x:v>
      </x:c>
      <x:c r="N1559" s="35" t="n">
        <x:f>L1559*M1559</x:f>
        <x:v>0</x:v>
      </x:c>
      <x:c r="O1559" s="37" t="n">
        <x:v>0.18</x:v>
      </x:c>
      <x:c r="P1559" s="35" t="n">
        <x:f>L1559*O1559</x:f>
        <x:v>0</x:v>
      </x:c>
      <x:c r="Q1559" s="35" t="n">
        <x:v>1.2</x:v>
      </x:c>
      <x:c r="R1559" s="35" t="n">
        <x:f>K1559*Q1559</x:f>
        <x:v>0</x:v>
      </x:c>
      <x:c r="S1559" s="35" t="n">
        <x:f>XLOOKUP(H1559,'菜品主数据'!$A$5:$A$24,'菜品主数据'!$G$5:$G$24,0)</x:f>
        <x:v>6.3759999999999994</x:v>
      </x:c>
      <x:c r="T1559" s="35" t="n">
        <x:f>K1559*S1559</x:f>
        <x:v>0</x:v>
      </x:c>
      <x:c r="U1559" s="35" t="n">
        <x:f>L1559-N1559-P1559-R1559-T1559</x:f>
        <x:v>0</x:v>
      </x:c>
      <x:c r="V1559" s="21" t="n">
        <x:f>IFERROR(U1559/L1559,0)</x:f>
        <x:v>0</x:v>
      </x:c>
    </x:row>
    <x:row r="1560">
      <x:c r="A1560" s="19" t="str">
        <x:v>SALE-01556</x:v>
      </x:c>
      <x:c r="B1560" s="34" t="n">
        <x:v>46213.5</x:v>
      </x:c>
      <x:c r="C1560" s="19" t="str">
        <x:v>周五</x:v>
      </x:c>
      <x:c r="D1560" s="19" t="str">
        <x:v>S06</x:v>
      </x:c>
      <x:c r="E1560" s="19" t="str">
        <x:v>蓝钻天城店</x:v>
      </x:c>
      <x:c r="F1560" s="19" t="str">
        <x:v>外卖</x:v>
      </x:c>
      <x:c r="G1560" s="19" t="str">
        <x:v>全日</x:v>
      </x:c>
      <x:c r="H1560" s="19" t="str">
        <x:v>D16</x:v>
      </x:c>
      <x:c r="I1560" s="19" t="str">
        <x:v>小豆角炒五花</x:v>
      </x:c>
      <x:c r="J1560" s="22" t="n">
        <x:f>XLOOKUP(H1560,'菜品主数据'!$A$5:$A$24,'菜品主数据'!$D$5:$D$24,0)</x:f>
        <x:v>25</x:v>
      </x:c>
      <x:c r="K1560" s="31" t="n">
        <x:v>0</x:v>
      </x:c>
      <x:c r="L1560" s="35" t="n">
        <x:f>J1560*K1560</x:f>
        <x:v>0</x:v>
      </x:c>
      <x:c r="M1560" s="36" t="n">
        <x:v>0.08</x:v>
      </x:c>
      <x:c r="N1560" s="35" t="n">
        <x:f>L1560*M1560</x:f>
        <x:v>0</x:v>
      </x:c>
      <x:c r="O1560" s="37" t="n">
        <x:v>0.18</x:v>
      </x:c>
      <x:c r="P1560" s="35" t="n">
        <x:f>L1560*O1560</x:f>
        <x:v>0</x:v>
      </x:c>
      <x:c r="Q1560" s="35" t="n">
        <x:v>1.2</x:v>
      </x:c>
      <x:c r="R1560" s="35" t="n">
        <x:f>K1560*Q1560</x:f>
        <x:v>0</x:v>
      </x:c>
      <x:c r="S1560" s="35" t="n">
        <x:f>XLOOKUP(H1560,'菜品主数据'!$A$5:$A$24,'菜品主数据'!$G$5:$G$24,0)</x:f>
        <x:v>8.184</x:v>
      </x:c>
      <x:c r="T1560" s="35" t="n">
        <x:f>K1560*S1560</x:f>
        <x:v>0</x:v>
      </x:c>
      <x:c r="U1560" s="35" t="n">
        <x:f>L1560-N1560-P1560-R1560-T1560</x:f>
        <x:v>0</x:v>
      </x:c>
      <x:c r="V1560" s="21" t="n">
        <x:f>IFERROR(U1560/L1560,0)</x:f>
        <x:v>0</x:v>
      </x:c>
    </x:row>
    <x:row r="1561">
      <x:c r="A1561" s="19" t="str">
        <x:v>SALE-01557</x:v>
      </x:c>
      <x:c r="B1561" s="34" t="n">
        <x:v>46213.5</x:v>
      </x:c>
      <x:c r="C1561" s="19" t="str">
        <x:v>周五</x:v>
      </x:c>
      <x:c r="D1561" s="19" t="str">
        <x:v>S06</x:v>
      </x:c>
      <x:c r="E1561" s="19" t="str">
        <x:v>蓝钻天城店</x:v>
      </x:c>
      <x:c r="F1561" s="19" t="str">
        <x:v>外卖</x:v>
      </x:c>
      <x:c r="G1561" s="19" t="str">
        <x:v>全日</x:v>
      </x:c>
      <x:c r="H1561" s="19" t="str">
        <x:v>D17</x:v>
      </x:c>
      <x:c r="I1561" s="19" t="str">
        <x:v>蒜蓉粉丝虾</x:v>
      </x:c>
      <x:c r="J1561" s="22" t="n">
        <x:f>XLOOKUP(H1561,'菜品主数据'!$A$5:$A$24,'菜品主数据'!$D$5:$D$24,0)</x:f>
        <x:v>36</x:v>
      </x:c>
      <x:c r="K1561" s="31" t="n">
        <x:v>0</x:v>
      </x:c>
      <x:c r="L1561" s="35" t="n">
        <x:f>J1561*K1561</x:f>
        <x:v>0</x:v>
      </x:c>
      <x:c r="M1561" s="36" t="n">
        <x:v>0.08</x:v>
      </x:c>
      <x:c r="N1561" s="35" t="n">
        <x:f>L1561*M1561</x:f>
        <x:v>0</x:v>
      </x:c>
      <x:c r="O1561" s="37" t="n">
        <x:v>0.18</x:v>
      </x:c>
      <x:c r="P1561" s="35" t="n">
        <x:f>L1561*O1561</x:f>
        <x:v>0</x:v>
      </x:c>
      <x:c r="Q1561" s="35" t="n">
        <x:v>1.2</x:v>
      </x:c>
      <x:c r="R1561" s="35" t="n">
        <x:f>K1561*Q1561</x:f>
        <x:v>0</x:v>
      </x:c>
      <x:c r="S1561" s="35" t="n">
        <x:f>XLOOKUP(H1561,'菜品主数据'!$A$5:$A$24,'菜品主数据'!$G$5:$G$24,0)</x:f>
        <x:v>13.594</x:v>
      </x:c>
      <x:c r="T1561" s="35" t="n">
        <x:f>K1561*S1561</x:f>
        <x:v>0</x:v>
      </x:c>
      <x:c r="U1561" s="35" t="n">
        <x:f>L1561-N1561-P1561-R1561-T1561</x:f>
        <x:v>0</x:v>
      </x:c>
      <x:c r="V1561" s="21" t="n">
        <x:f>IFERROR(U1561/L1561,0)</x:f>
        <x:v>0</x:v>
      </x:c>
    </x:row>
    <x:row r="1562">
      <x:c r="A1562" s="19" t="str">
        <x:v>SALE-01558</x:v>
      </x:c>
      <x:c r="B1562" s="34" t="n">
        <x:v>46213.5</x:v>
      </x:c>
      <x:c r="C1562" s="19" t="str">
        <x:v>周五</x:v>
      </x:c>
      <x:c r="D1562" s="19" t="str">
        <x:v>S06</x:v>
      </x:c>
      <x:c r="E1562" s="19" t="str">
        <x:v>蓝钻天城店</x:v>
      </x:c>
      <x:c r="F1562" s="19" t="str">
        <x:v>外卖</x:v>
      </x:c>
      <x:c r="G1562" s="19" t="str">
        <x:v>全日</x:v>
      </x:c>
      <x:c r="H1562" s="19" t="str">
        <x:v>D18</x:v>
      </x:c>
      <x:c r="I1562" s="19" t="str">
        <x:v>青椒炒油麦菜</x:v>
      </x:c>
      <x:c r="J1562" s="22" t="n">
        <x:f>XLOOKUP(H1562,'菜品主数据'!$A$5:$A$24,'菜品主数据'!$D$5:$D$24,0)</x:f>
        <x:v>18</x:v>
      </x:c>
      <x:c r="K1562" s="31" t="n">
        <x:v>0</x:v>
      </x:c>
      <x:c r="L1562" s="35" t="n">
        <x:f>J1562*K1562</x:f>
        <x:v>0</x:v>
      </x:c>
      <x:c r="M1562" s="36" t="n">
        <x:v>0.08</x:v>
      </x:c>
      <x:c r="N1562" s="35" t="n">
        <x:f>L1562*M1562</x:f>
        <x:v>0</x:v>
      </x:c>
      <x:c r="O1562" s="37" t="n">
        <x:v>0.18</x:v>
      </x:c>
      <x:c r="P1562" s="35" t="n">
        <x:f>L1562*O1562</x:f>
        <x:v>0</x:v>
      </x:c>
      <x:c r="Q1562" s="35" t="n">
        <x:v>1.2</x:v>
      </x:c>
      <x:c r="R1562" s="35" t="n">
        <x:f>K1562*Q1562</x:f>
        <x:v>0</x:v>
      </x:c>
      <x:c r="S1562" s="35" t="n">
        <x:f>XLOOKUP(H1562,'菜品主数据'!$A$5:$A$24,'菜品主数据'!$G$5:$G$24,0)</x:f>
        <x:v>3.1759999999999993</x:v>
      </x:c>
      <x:c r="T1562" s="35" t="n">
        <x:f>K1562*S1562</x:f>
        <x:v>0</x:v>
      </x:c>
      <x:c r="U1562" s="35" t="n">
        <x:f>L1562-N1562-P1562-R1562-T1562</x:f>
        <x:v>0</x:v>
      </x:c>
      <x:c r="V1562" s="21" t="n">
        <x:f>IFERROR(U1562/L1562,0)</x:f>
        <x:v>0</x:v>
      </x:c>
    </x:row>
    <x:row r="1563">
      <x:c r="A1563" s="19" t="str">
        <x:v>SALE-01559</x:v>
      </x:c>
      <x:c r="B1563" s="34" t="n">
        <x:v>46213.5</x:v>
      </x:c>
      <x:c r="C1563" s="19" t="str">
        <x:v>周五</x:v>
      </x:c>
      <x:c r="D1563" s="19" t="str">
        <x:v>S06</x:v>
      </x:c>
      <x:c r="E1563" s="19" t="str">
        <x:v>蓝钻天城店</x:v>
      </x:c>
      <x:c r="F1563" s="19" t="str">
        <x:v>外卖</x:v>
      </x:c>
      <x:c r="G1563" s="19" t="str">
        <x:v>全日</x:v>
      </x:c>
      <x:c r="H1563" s="19" t="str">
        <x:v>D19</x:v>
      </x:c>
      <x:c r="I1563" s="19" t="str">
        <x:v>酸萝卜炒鸡杂</x:v>
      </x:c>
      <x:c r="J1563" s="22" t="n">
        <x:f>XLOOKUP(H1563,'菜品主数据'!$A$5:$A$24,'菜品主数据'!$D$5:$D$24,0)</x:f>
        <x:v>25</x:v>
      </x:c>
      <x:c r="K1563" s="31" t="n">
        <x:v>0</x:v>
      </x:c>
      <x:c r="L1563" s="35" t="n">
        <x:f>J1563*K1563</x:f>
        <x:v>0</x:v>
      </x:c>
      <x:c r="M1563" s="36" t="n">
        <x:v>0.08</x:v>
      </x:c>
      <x:c r="N1563" s="35" t="n">
        <x:f>L1563*M1563</x:f>
        <x:v>0</x:v>
      </x:c>
      <x:c r="O1563" s="37" t="n">
        <x:v>0.18</x:v>
      </x:c>
      <x:c r="P1563" s="35" t="n">
        <x:f>L1563*O1563</x:f>
        <x:v>0</x:v>
      </x:c>
      <x:c r="Q1563" s="35" t="n">
        <x:v>1.2</x:v>
      </x:c>
      <x:c r="R1563" s="35" t="n">
        <x:f>K1563*Q1563</x:f>
        <x:v>0</x:v>
      </x:c>
      <x:c r="S1563" s="35" t="n">
        <x:f>XLOOKUP(H1563,'菜品主数据'!$A$5:$A$24,'菜品主数据'!$G$5:$G$24,0)</x:f>
        <x:v>7.9399999999999995</x:v>
      </x:c>
      <x:c r="T1563" s="35" t="n">
        <x:f>K1563*S1563</x:f>
        <x:v>0</x:v>
      </x:c>
      <x:c r="U1563" s="35" t="n">
        <x:f>L1563-N1563-P1563-R1563-T1563</x:f>
        <x:v>0</x:v>
      </x:c>
      <x:c r="V1563" s="21" t="n">
        <x:f>IFERROR(U1563/L1563,0)</x:f>
        <x:v>0</x:v>
      </x:c>
    </x:row>
    <x:row r="1564">
      <x:c r="A1564" s="19" t="str">
        <x:v>SALE-01560</x:v>
      </x:c>
      <x:c r="B1564" s="34" t="n">
        <x:v>46213.5</x:v>
      </x:c>
      <x:c r="C1564" s="19" t="str">
        <x:v>周五</x:v>
      </x:c>
      <x:c r="D1564" s="19" t="str">
        <x:v>S06</x:v>
      </x:c>
      <x:c r="E1564" s="19" t="str">
        <x:v>蓝钻天城店</x:v>
      </x:c>
      <x:c r="F1564" s="19" t="str">
        <x:v>外卖</x:v>
      </x:c>
      <x:c r="G1564" s="19" t="str">
        <x:v>全日</x:v>
      </x:c>
      <x:c r="H1564" s="19" t="str">
        <x:v>D20</x:v>
      </x:c>
      <x:c r="I1564" s="19" t="str">
        <x:v>雪菜肉末青豆</x:v>
      </x:c>
      <x:c r="J1564" s="22" t="n">
        <x:f>XLOOKUP(H1564,'菜品主数据'!$A$5:$A$24,'菜品主数据'!$D$5:$D$24,0)</x:f>
        <x:v>18</x:v>
      </x:c>
      <x:c r="K1564" s="31" t="n">
        <x:v>0</x:v>
      </x:c>
      <x:c r="L1564" s="35" t="n">
        <x:f>J1564*K1564</x:f>
        <x:v>0</x:v>
      </x:c>
      <x:c r="M1564" s="36" t="n">
        <x:v>0.08</x:v>
      </x:c>
      <x:c r="N1564" s="35" t="n">
        <x:f>L1564*M1564</x:f>
        <x:v>0</x:v>
      </x:c>
      <x:c r="O1564" s="37" t="n">
        <x:v>0.18</x:v>
      </x:c>
      <x:c r="P1564" s="35" t="n">
        <x:f>L1564*O1564</x:f>
        <x:v>0</x:v>
      </x:c>
      <x:c r="Q1564" s="35" t="n">
        <x:v>1.2</x:v>
      </x:c>
      <x:c r="R1564" s="35" t="n">
        <x:f>K1564*Q1564</x:f>
        <x:v>0</x:v>
      </x:c>
      <x:c r="S1564" s="35" t="n">
        <x:f>XLOOKUP(H1564,'菜品主数据'!$A$5:$A$24,'菜品主数据'!$G$5:$G$24,0)</x:f>
        <x:v>7.303999999999999</x:v>
      </x:c>
      <x:c r="T1564" s="35" t="n">
        <x:f>K1564*S1564</x:f>
        <x:v>0</x:v>
      </x:c>
      <x:c r="U1564" s="35" t="n">
        <x:f>L1564-N1564-P1564-R1564-T1564</x:f>
        <x:v>0</x:v>
      </x:c>
      <x:c r="V1564" s="21" t="n">
        <x:f>IFERROR(U1564/L1564,0)</x:f>
        <x:v>0</x:v>
      </x:c>
    </x:row>
    <x:row r="1565">
      <x:c r="A1565" s="19" t="str">
        <x:v>SALE-01561</x:v>
      </x:c>
      <x:c r="B1565" s="34" t="n">
        <x:v>46214.5</x:v>
      </x:c>
      <x:c r="C1565" s="19" t="str">
        <x:v>周六</x:v>
      </x:c>
      <x:c r="D1565" s="19" t="str">
        <x:v>S06</x:v>
      </x:c>
      <x:c r="E1565" s="19" t="str">
        <x:v>蓝钻天城店</x:v>
      </x:c>
      <x:c r="F1565" s="19" t="str">
        <x:v>堂食</x:v>
      </x:c>
      <x:c r="G1565" s="19" t="str">
        <x:v>全日</x:v>
      </x:c>
      <x:c r="H1565" s="19" t="str">
        <x:v>D01</x:v>
      </x:c>
      <x:c r="I1565" s="19" t="str">
        <x:v>辣椒炒肉</x:v>
      </x:c>
      <x:c r="J1565" s="22" t="n">
        <x:f>XLOOKUP(H1565,'菜品主数据'!$A$5:$A$24,'菜品主数据'!$D$5:$D$24,0)</x:f>
        <x:v>29</x:v>
      </x:c>
      <x:c r="K1565" s="31" t="n">
        <x:v>33</x:v>
      </x:c>
      <x:c r="L1565" s="35" t="n">
        <x:f>J1565*K1565</x:f>
        <x:v>957</x:v>
      </x:c>
      <x:c r="M1565" s="36" t="n">
        <x:v>0</x:v>
      </x:c>
      <x:c r="N1565" s="35" t="n">
        <x:f>L1565*M1565</x:f>
        <x:v>0</x:v>
      </x:c>
      <x:c r="O1565" s="37" t="n">
        <x:v>0</x:v>
      </x:c>
      <x:c r="P1565" s="35" t="n">
        <x:f>L1565*O1565</x:f>
        <x:v>0</x:v>
      </x:c>
      <x:c r="Q1565" s="35" t="n">
        <x:v>0</x:v>
      </x:c>
      <x:c r="R1565" s="35" t="n">
        <x:f>K1565*Q1565</x:f>
        <x:v>0</x:v>
      </x:c>
      <x:c r="S1565" s="35" t="n">
        <x:f>XLOOKUP(H1565,'菜品主数据'!$A$5:$A$24,'菜品主数据'!$G$5:$G$24,0)</x:f>
        <x:v>8.634400000000001</x:v>
      </x:c>
      <x:c r="T1565" s="35" t="n">
        <x:f>K1565*S1565</x:f>
        <x:v>284.93520000000007</x:v>
      </x:c>
      <x:c r="U1565" s="35" t="n">
        <x:f>L1565-N1565-P1565-R1565-T1565</x:f>
        <x:v>672.0647999999999</x:v>
      </x:c>
      <x:c r="V1565" s="21" t="n">
        <x:f>IFERROR(U1565/L1565,0)</x:f>
        <x:v>0.7022620689655171</x:v>
      </x:c>
    </x:row>
    <x:row r="1566">
      <x:c r="A1566" s="19" t="str">
        <x:v>SALE-01562</x:v>
      </x:c>
      <x:c r="B1566" s="34" t="n">
        <x:v>46214.5</x:v>
      </x:c>
      <x:c r="C1566" s="19" t="str">
        <x:v>周六</x:v>
      </x:c>
      <x:c r="D1566" s="19" t="str">
        <x:v>S06</x:v>
      </x:c>
      <x:c r="E1566" s="19" t="str">
        <x:v>蓝钻天城店</x:v>
      </x:c>
      <x:c r="F1566" s="19" t="str">
        <x:v>堂食</x:v>
      </x:c>
      <x:c r="G1566" s="19" t="str">
        <x:v>全日</x:v>
      </x:c>
      <x:c r="H1566" s="19" t="str">
        <x:v>D02</x:v>
      </x:c>
      <x:c r="I1566" s="19" t="str">
        <x:v>小炒黄牛肉</x:v>
      </x:c>
      <x:c r="J1566" s="22" t="n">
        <x:f>XLOOKUP(H1566,'菜品主数据'!$A$5:$A$24,'菜品主数据'!$D$5:$D$24,0)</x:f>
        <x:v>49</x:v>
      </x:c>
      <x:c r="K1566" s="31" t="n">
        <x:v>19</x:v>
      </x:c>
      <x:c r="L1566" s="35" t="n">
        <x:f>J1566*K1566</x:f>
        <x:v>931</x:v>
      </x:c>
      <x:c r="M1566" s="36" t="n">
        <x:v>0</x:v>
      </x:c>
      <x:c r="N1566" s="35" t="n">
        <x:f>L1566*M1566</x:f>
        <x:v>0</x:v>
      </x:c>
      <x:c r="O1566" s="37" t="n">
        <x:v>0</x:v>
      </x:c>
      <x:c r="P1566" s="35" t="n">
        <x:f>L1566*O1566</x:f>
        <x:v>0</x:v>
      </x:c>
      <x:c r="Q1566" s="35" t="n">
        <x:v>0</x:v>
      </x:c>
      <x:c r="R1566" s="35" t="n">
        <x:f>K1566*Q1566</x:f>
        <x:v>0</x:v>
      </x:c>
      <x:c r="S1566" s="35" t="n">
        <x:f>XLOOKUP(H1566,'菜品主数据'!$A$5:$A$24,'菜品主数据'!$G$5:$G$24,0)</x:f>
        <x:v>17.577</x:v>
      </x:c>
      <x:c r="T1566" s="35" t="n">
        <x:f>K1566*S1566</x:f>
        <x:v>333.963</x:v>
      </x:c>
      <x:c r="U1566" s="35" t="n">
        <x:f>L1566-N1566-P1566-R1566-T1566</x:f>
        <x:v>597.037</x:v>
      </x:c>
      <x:c r="V1566" s="21" t="n">
        <x:f>IFERROR(U1566/L1566,0)</x:f>
        <x:v>0.6412857142857143</x:v>
      </x:c>
    </x:row>
    <x:row r="1567">
      <x:c r="A1567" s="19" t="str">
        <x:v>SALE-01563</x:v>
      </x:c>
      <x:c r="B1567" s="34" t="n">
        <x:v>46214.5</x:v>
      </x:c>
      <x:c r="C1567" s="19" t="str">
        <x:v>周六</x:v>
      </x:c>
      <x:c r="D1567" s="19" t="str">
        <x:v>S06</x:v>
      </x:c>
      <x:c r="E1567" s="19" t="str">
        <x:v>蓝钻天城店</x:v>
      </x:c>
      <x:c r="F1567" s="19" t="str">
        <x:v>堂食</x:v>
      </x:c>
      <x:c r="G1567" s="19" t="str">
        <x:v>全日</x:v>
      </x:c>
      <x:c r="H1567" s="19" t="str">
        <x:v>D03</x:v>
      </x:c>
      <x:c r="I1567" s="19" t="str">
        <x:v>香醋炒蛋</x:v>
      </x:c>
      <x:c r="J1567" s="22" t="n">
        <x:f>XLOOKUP(H1567,'菜品主数据'!$A$5:$A$24,'菜品主数据'!$D$5:$D$24,0)</x:f>
        <x:v>14.9</x:v>
      </x:c>
      <x:c r="K1567" s="31" t="n">
        <x:v>26</x:v>
      </x:c>
      <x:c r="L1567" s="35" t="n">
        <x:f>J1567*K1567</x:f>
        <x:v>387.40000000000003</x:v>
      </x:c>
      <x:c r="M1567" s="36" t="n">
        <x:v>0</x:v>
      </x:c>
      <x:c r="N1567" s="35" t="n">
        <x:f>L1567*M1567</x:f>
        <x:v>0</x:v>
      </x:c>
      <x:c r="O1567" s="37" t="n">
        <x:v>0</x:v>
      </x:c>
      <x:c r="P1567" s="35" t="n">
        <x:f>L1567*O1567</x:f>
        <x:v>0</x:v>
      </x:c>
      <x:c r="Q1567" s="35" t="n">
        <x:v>0</x:v>
      </x:c>
      <x:c r="R1567" s="35" t="n">
        <x:f>K1567*Q1567</x:f>
        <x:v>0</x:v>
      </x:c>
      <x:c r="S1567" s="35" t="n">
        <x:f>XLOOKUP(H1567,'菜品主数据'!$A$5:$A$24,'菜品主数据'!$G$5:$G$24,0)</x:f>
        <x:v>3.7459999999999996</x:v>
      </x:c>
      <x:c r="T1567" s="35" t="n">
        <x:f>K1567*S1567</x:f>
        <x:v>97.39599999999999</x:v>
      </x:c>
      <x:c r="U1567" s="35" t="n">
        <x:f>L1567-N1567-P1567-R1567-T1567</x:f>
        <x:v>290.004</x:v>
      </x:c>
      <x:c r="V1567" s="21" t="n">
        <x:f>IFERROR(U1567/L1567,0)</x:f>
        <x:v>0.7485906040268456</x:v>
      </x:c>
    </x:row>
    <x:row r="1568">
      <x:c r="A1568" s="19" t="str">
        <x:v>SALE-01564</x:v>
      </x:c>
      <x:c r="B1568" s="34" t="n">
        <x:v>46214.5</x:v>
      </x:c>
      <x:c r="C1568" s="19" t="str">
        <x:v>周六</x:v>
      </x:c>
      <x:c r="D1568" s="19" t="str">
        <x:v>S06</x:v>
      </x:c>
      <x:c r="E1568" s="19" t="str">
        <x:v>蓝钻天城店</x:v>
      </x:c>
      <x:c r="F1568" s="19" t="str">
        <x:v>堂食</x:v>
      </x:c>
      <x:c r="G1568" s="19" t="str">
        <x:v>全日</x:v>
      </x:c>
      <x:c r="H1568" s="19" t="str">
        <x:v>D04</x:v>
      </x:c>
      <x:c r="I1568" s="19" t="str">
        <x:v>酸包菜炒粉皮</x:v>
      </x:c>
      <x:c r="J1568" s="22" t="n">
        <x:f>XLOOKUP(H1568,'菜品主数据'!$A$5:$A$24,'菜品主数据'!$D$5:$D$24,0)</x:f>
        <x:v>16</x:v>
      </x:c>
      <x:c r="K1568" s="31" t="n">
        <x:v>26</x:v>
      </x:c>
      <x:c r="L1568" s="35" t="n">
        <x:f>J1568*K1568</x:f>
        <x:v>416</x:v>
      </x:c>
      <x:c r="M1568" s="36" t="n">
        <x:v>0</x:v>
      </x:c>
      <x:c r="N1568" s="35" t="n">
        <x:f>L1568*M1568</x:f>
        <x:v>0</x:v>
      </x:c>
      <x:c r="O1568" s="37" t="n">
        <x:v>0</x:v>
      </x:c>
      <x:c r="P1568" s="35" t="n">
        <x:f>L1568*O1568</x:f>
        <x:v>0</x:v>
      </x:c>
      <x:c r="Q1568" s="35" t="n">
        <x:v>0</x:v>
      </x:c>
      <x:c r="R1568" s="35" t="n">
        <x:f>K1568*Q1568</x:f>
        <x:v>0</x:v>
      </x:c>
      <x:c r="S1568" s="35" t="n">
        <x:f>XLOOKUP(H1568,'菜品主数据'!$A$5:$A$24,'菜品主数据'!$G$5:$G$24,0)</x:f>
        <x:v>3.978</x:v>
      </x:c>
      <x:c r="T1568" s="35" t="n">
        <x:f>K1568*S1568</x:f>
        <x:v>103.42800000000001</x:v>
      </x:c>
      <x:c r="U1568" s="35" t="n">
        <x:f>L1568-N1568-P1568-R1568-T1568</x:f>
        <x:v>312.572</x:v>
      </x:c>
      <x:c r="V1568" s="21" t="n">
        <x:f>IFERROR(U1568/L1568,0)</x:f>
        <x:v>0.751375</x:v>
      </x:c>
    </x:row>
    <x:row r="1569">
      <x:c r="A1569" s="19" t="str">
        <x:v>SALE-01565</x:v>
      </x:c>
      <x:c r="B1569" s="34" t="n">
        <x:v>46214.5</x:v>
      </x:c>
      <x:c r="C1569" s="19" t="str">
        <x:v>周六</x:v>
      </x:c>
      <x:c r="D1569" s="19" t="str">
        <x:v>S06</x:v>
      </x:c>
      <x:c r="E1569" s="19" t="str">
        <x:v>蓝钻天城店</x:v>
      </x:c>
      <x:c r="F1569" s="19" t="str">
        <x:v>堂食</x:v>
      </x:c>
      <x:c r="G1569" s="19" t="str">
        <x:v>全日</x:v>
      </x:c>
      <x:c r="H1569" s="19" t="str">
        <x:v>D05</x:v>
      </x:c>
      <x:c r="I1569" s="19" t="str">
        <x:v>麻婆豆腐</x:v>
      </x:c>
      <x:c r="J1569" s="22" t="n">
        <x:f>XLOOKUP(H1569,'菜品主数据'!$A$5:$A$24,'菜品主数据'!$D$5:$D$24,0)</x:f>
        <x:v>9.9</x:v>
      </x:c>
      <x:c r="K1569" s="31" t="n">
        <x:v>38</x:v>
      </x:c>
      <x:c r="L1569" s="35" t="n">
        <x:f>J1569*K1569</x:f>
        <x:v>376.2</x:v>
      </x:c>
      <x:c r="M1569" s="36" t="n">
        <x:v>0</x:v>
      </x:c>
      <x:c r="N1569" s="35" t="n">
        <x:f>L1569*M1569</x:f>
        <x:v>0</x:v>
      </x:c>
      <x:c r="O1569" s="37" t="n">
        <x:v>0</x:v>
      </x:c>
      <x:c r="P1569" s="35" t="n">
        <x:f>L1569*O1569</x:f>
        <x:v>0</x:v>
      </x:c>
      <x:c r="Q1569" s="35" t="n">
        <x:v>0</x:v>
      </x:c>
      <x:c r="R1569" s="35" t="n">
        <x:f>K1569*Q1569</x:f>
        <x:v>0</x:v>
      </x:c>
      <x:c r="S1569" s="35" t="n">
        <x:f>XLOOKUP(H1569,'菜品主数据'!$A$5:$A$24,'菜品主数据'!$G$5:$G$24,0)</x:f>
        <x:v>5.367000000000001</x:v>
      </x:c>
      <x:c r="T1569" s="35" t="n">
        <x:f>K1569*S1569</x:f>
        <x:v>203.94600000000003</x:v>
      </x:c>
      <x:c r="U1569" s="35" t="n">
        <x:f>L1569-N1569-P1569-R1569-T1569</x:f>
        <x:v>172.25399999999996</x:v>
      </x:c>
      <x:c r="V1569" s="21" t="n">
        <x:f>IFERROR(U1569/L1569,0)</x:f>
        <x:v>0.4578787878787878</x:v>
      </x:c>
    </x:row>
    <x:row r="1570">
      <x:c r="A1570" s="19" t="str">
        <x:v>SALE-01566</x:v>
      </x:c>
      <x:c r="B1570" s="34" t="n">
        <x:v>46214.5</x:v>
      </x:c>
      <x:c r="C1570" s="19" t="str">
        <x:v>周六</x:v>
      </x:c>
      <x:c r="D1570" s="19" t="str">
        <x:v>S06</x:v>
      </x:c>
      <x:c r="E1570" s="19" t="str">
        <x:v>蓝钻天城店</x:v>
      </x:c>
      <x:c r="F1570" s="19" t="str">
        <x:v>堂食</x:v>
      </x:c>
      <x:c r="G1570" s="19" t="str">
        <x:v>全日</x:v>
      </x:c>
      <x:c r="H1570" s="19" t="str">
        <x:v>D06</x:v>
      </x:c>
      <x:c r="I1570" s="19" t="str">
        <x:v>剁椒鱼头</x:v>
      </x:c>
      <x:c r="J1570" s="22" t="n">
        <x:f>XLOOKUP(H1570,'菜品主数据'!$A$5:$A$24,'菜品主数据'!$D$5:$D$24,0)</x:f>
        <x:v>39</x:v>
      </x:c>
      <x:c r="K1570" s="31" t="n">
        <x:v>8</x:v>
      </x:c>
      <x:c r="L1570" s="35" t="n">
        <x:f>J1570*K1570</x:f>
        <x:v>312</x:v>
      </x:c>
      <x:c r="M1570" s="36" t="n">
        <x:v>0</x:v>
      </x:c>
      <x:c r="N1570" s="35" t="n">
        <x:f>L1570*M1570</x:f>
        <x:v>0</x:v>
      </x:c>
      <x:c r="O1570" s="37" t="n">
        <x:v>0</x:v>
      </x:c>
      <x:c r="P1570" s="35" t="n">
        <x:f>L1570*O1570</x:f>
        <x:v>0</x:v>
      </x:c>
      <x:c r="Q1570" s="35" t="n">
        <x:v>0</x:v>
      </x:c>
      <x:c r="R1570" s="35" t="n">
        <x:f>K1570*Q1570</x:f>
        <x:v>0</x:v>
      </x:c>
      <x:c r="S1570" s="35" t="n">
        <x:f>XLOOKUP(H1570,'菜品主数据'!$A$5:$A$24,'菜品主数据'!$G$5:$G$24,0)</x:f>
        <x:v>17.446</x:v>
      </x:c>
      <x:c r="T1570" s="35" t="n">
        <x:f>K1570*S1570</x:f>
        <x:v>139.568</x:v>
      </x:c>
      <x:c r="U1570" s="35" t="n">
        <x:f>L1570-N1570-P1570-R1570-T1570</x:f>
        <x:v>172.432</x:v>
      </x:c>
      <x:c r="V1570" s="21" t="n">
        <x:f>IFERROR(U1570/L1570,0)</x:f>
        <x:v>0.5526666666666666</x:v>
      </x:c>
    </x:row>
    <x:row r="1571">
      <x:c r="A1571" s="19" t="str">
        <x:v>SALE-01567</x:v>
      </x:c>
      <x:c r="B1571" s="34" t="n">
        <x:v>46214.5</x:v>
      </x:c>
      <x:c r="C1571" s="19" t="str">
        <x:v>周六</x:v>
      </x:c>
      <x:c r="D1571" s="19" t="str">
        <x:v>S06</x:v>
      </x:c>
      <x:c r="E1571" s="19" t="str">
        <x:v>蓝钻天城店</x:v>
      </x:c>
      <x:c r="F1571" s="19" t="str">
        <x:v>堂食</x:v>
      </x:c>
      <x:c r="G1571" s="19" t="str">
        <x:v>全日</x:v>
      </x:c>
      <x:c r="H1571" s="19" t="str">
        <x:v>D07</x:v>
      </x:c>
      <x:c r="I1571" s="19" t="str">
        <x:v>川味回锅肉</x:v>
      </x:c>
      <x:c r="J1571" s="22" t="n">
        <x:f>XLOOKUP(H1571,'菜品主数据'!$A$5:$A$24,'菜品主数据'!$D$5:$D$24,0)</x:f>
        <x:v>29</x:v>
      </x:c>
      <x:c r="K1571" s="31" t="n">
        <x:v>10</x:v>
      </x:c>
      <x:c r="L1571" s="35" t="n">
        <x:f>J1571*K1571</x:f>
        <x:v>290</x:v>
      </x:c>
      <x:c r="M1571" s="36" t="n">
        <x:v>0</x:v>
      </x:c>
      <x:c r="N1571" s="35" t="n">
        <x:f>L1571*M1571</x:f>
        <x:v>0</x:v>
      </x:c>
      <x:c r="O1571" s="37" t="n">
        <x:v>0</x:v>
      </x:c>
      <x:c r="P1571" s="35" t="n">
        <x:f>L1571*O1571</x:f>
        <x:v>0</x:v>
      </x:c>
      <x:c r="Q1571" s="35" t="n">
        <x:v>0</x:v>
      </x:c>
      <x:c r="R1571" s="35" t="n">
        <x:f>K1571*Q1571</x:f>
        <x:v>0</x:v>
      </x:c>
      <x:c r="S1571" s="35" t="n">
        <x:f>XLOOKUP(H1571,'菜品主数据'!$A$5:$A$24,'菜品主数据'!$G$5:$G$24,0)</x:f>
        <x:v>10.231000000000002</x:v>
      </x:c>
      <x:c r="T1571" s="35" t="n">
        <x:f>K1571*S1571</x:f>
        <x:v>102.31000000000002</x:v>
      </x:c>
      <x:c r="U1571" s="35" t="n">
        <x:f>L1571-N1571-P1571-R1571-T1571</x:f>
        <x:v>187.69</x:v>
      </x:c>
      <x:c r="V1571" s="21" t="n">
        <x:f>IFERROR(U1571/L1571,0)</x:f>
        <x:v>0.6472068965517241</x:v>
      </x:c>
    </x:row>
    <x:row r="1572">
      <x:c r="A1572" s="19" t="str">
        <x:v>SALE-01568</x:v>
      </x:c>
      <x:c r="B1572" s="34" t="n">
        <x:v>46214.5</x:v>
      </x:c>
      <x:c r="C1572" s="19" t="str">
        <x:v>周六</x:v>
      </x:c>
      <x:c r="D1572" s="19" t="str">
        <x:v>S06</x:v>
      </x:c>
      <x:c r="E1572" s="19" t="str">
        <x:v>蓝钻天城店</x:v>
      </x:c>
      <x:c r="F1572" s="19" t="str">
        <x:v>堂食</x:v>
      </x:c>
      <x:c r="G1572" s="19" t="str">
        <x:v>全日</x:v>
      </x:c>
      <x:c r="H1572" s="19" t="str">
        <x:v>D08</x:v>
      </x:c>
      <x:c r="I1572" s="19" t="str">
        <x:v>生炒清远鸡</x:v>
      </x:c>
      <x:c r="J1572" s="22" t="n">
        <x:f>XLOOKUP(H1572,'菜品主数据'!$A$5:$A$24,'菜品主数据'!$D$5:$D$24,0)</x:f>
        <x:v>36</x:v>
      </x:c>
      <x:c r="K1572" s="31" t="n">
        <x:v>8</x:v>
      </x:c>
      <x:c r="L1572" s="35" t="n">
        <x:f>J1572*K1572</x:f>
        <x:v>288</x:v>
      </x:c>
      <x:c r="M1572" s="36" t="n">
        <x:v>0</x:v>
      </x:c>
      <x:c r="N1572" s="35" t="n">
        <x:f>L1572*M1572</x:f>
        <x:v>0</x:v>
      </x:c>
      <x:c r="O1572" s="37" t="n">
        <x:v>0</x:v>
      </x:c>
      <x:c r="P1572" s="35" t="n">
        <x:f>L1572*O1572</x:f>
        <x:v>0</x:v>
      </x:c>
      <x:c r="Q1572" s="35" t="n">
        <x:v>0</x:v>
      </x:c>
      <x:c r="R1572" s="35" t="n">
        <x:f>K1572*Q1572</x:f>
        <x:v>0</x:v>
      </x:c>
      <x:c r="S1572" s="35" t="n">
        <x:f>XLOOKUP(H1572,'菜品主数据'!$A$5:$A$24,'菜品主数据'!$G$5:$G$24,0)</x:f>
        <x:v>13.48</x:v>
      </x:c>
      <x:c r="T1572" s="35" t="n">
        <x:f>K1572*S1572</x:f>
        <x:v>107.84</x:v>
      </x:c>
      <x:c r="U1572" s="35" t="n">
        <x:f>L1572-N1572-P1572-R1572-T1572</x:f>
        <x:v>180.16</x:v>
      </x:c>
      <x:c r="V1572" s="21" t="n">
        <x:f>IFERROR(U1572/L1572,0)</x:f>
        <x:v>0.6255555555555555</x:v>
      </x:c>
    </x:row>
    <x:row r="1573">
      <x:c r="A1573" s="19" t="str">
        <x:v>SALE-01569</x:v>
      </x:c>
      <x:c r="B1573" s="34" t="n">
        <x:v>46214.5</x:v>
      </x:c>
      <x:c r="C1573" s="19" t="str">
        <x:v>周六</x:v>
      </x:c>
      <x:c r="D1573" s="19" t="str">
        <x:v>S06</x:v>
      </x:c>
      <x:c r="E1573" s="19" t="str">
        <x:v>蓝钻天城店</x:v>
      </x:c>
      <x:c r="F1573" s="19" t="str">
        <x:v>堂食</x:v>
      </x:c>
      <x:c r="G1573" s="19" t="str">
        <x:v>全日</x:v>
      </x:c>
      <x:c r="H1573" s="19" t="str">
        <x:v>D09</x:v>
      </x:c>
      <x:c r="I1573" s="19" t="str">
        <x:v>炒豆干</x:v>
      </x:c>
      <x:c r="J1573" s="22" t="n">
        <x:f>XLOOKUP(H1573,'菜品主数据'!$A$5:$A$24,'菜品主数据'!$D$5:$D$24,0)</x:f>
        <x:v>18</x:v>
      </x:c>
      <x:c r="K1573" s="31" t="n">
        <x:v>12</x:v>
      </x:c>
      <x:c r="L1573" s="35" t="n">
        <x:f>J1573*K1573</x:f>
        <x:v>216</x:v>
      </x:c>
      <x:c r="M1573" s="36" t="n">
        <x:v>0</x:v>
      </x:c>
      <x:c r="N1573" s="35" t="n">
        <x:f>L1573*M1573</x:f>
        <x:v>0</x:v>
      </x:c>
      <x:c r="O1573" s="37" t="n">
        <x:v>0</x:v>
      </x:c>
      <x:c r="P1573" s="35" t="n">
        <x:f>L1573*O1573</x:f>
        <x:v>0</x:v>
      </x:c>
      <x:c r="Q1573" s="35" t="n">
        <x:v>0</x:v>
      </x:c>
      <x:c r="R1573" s="35" t="n">
        <x:f>K1573*Q1573</x:f>
        <x:v>0</x:v>
      </x:c>
      <x:c r="S1573" s="35" t="n">
        <x:f>XLOOKUP(H1573,'菜品主数据'!$A$5:$A$24,'菜品主数据'!$G$5:$G$24,0)</x:f>
        <x:v>6.613999999999999</x:v>
      </x:c>
      <x:c r="T1573" s="35" t="n">
        <x:f>K1573*S1573</x:f>
        <x:v>79.368</x:v>
      </x:c>
      <x:c r="U1573" s="35" t="n">
        <x:f>L1573-N1573-P1573-R1573-T1573</x:f>
        <x:v>136.632</x:v>
      </x:c>
      <x:c r="V1573" s="21" t="n">
        <x:f>IFERROR(U1573/L1573,0)</x:f>
        <x:v>0.6325555555555555</x:v>
      </x:c>
    </x:row>
    <x:row r="1574">
      <x:c r="A1574" s="19" t="str">
        <x:v>SALE-01570</x:v>
      </x:c>
      <x:c r="B1574" s="34" t="n">
        <x:v>46214.5</x:v>
      </x:c>
      <x:c r="C1574" s="19" t="str">
        <x:v>周六</x:v>
      </x:c>
      <x:c r="D1574" s="19" t="str">
        <x:v>S06</x:v>
      </x:c>
      <x:c r="E1574" s="19" t="str">
        <x:v>蓝钻天城店</x:v>
      </x:c>
      <x:c r="F1574" s="19" t="str">
        <x:v>堂食</x:v>
      </x:c>
      <x:c r="G1574" s="19" t="str">
        <x:v>全日</x:v>
      </x:c>
      <x:c r="H1574" s="19" t="str">
        <x:v>D10</x:v>
      </x:c>
      <x:c r="I1574" s="19" t="str">
        <x:v>农家一碗香</x:v>
      </x:c>
      <x:c r="J1574" s="22" t="n">
        <x:f>XLOOKUP(H1574,'菜品主数据'!$A$5:$A$24,'菜品主数据'!$D$5:$D$24,0)</x:f>
        <x:v>22.9</x:v>
      </x:c>
      <x:c r="K1574" s="31" t="n">
        <x:v>13</x:v>
      </x:c>
      <x:c r="L1574" s="35" t="n">
        <x:f>J1574*K1574</x:f>
        <x:v>297.7</x:v>
      </x:c>
      <x:c r="M1574" s="36" t="n">
        <x:v>0</x:v>
      </x:c>
      <x:c r="N1574" s="35" t="n">
        <x:f>L1574*M1574</x:f>
        <x:v>0</x:v>
      </x:c>
      <x:c r="O1574" s="37" t="n">
        <x:v>0</x:v>
      </x:c>
      <x:c r="P1574" s="35" t="n">
        <x:f>L1574*O1574</x:f>
        <x:v>0</x:v>
      </x:c>
      <x:c r="Q1574" s="35" t="n">
        <x:v>0</x:v>
      </x:c>
      <x:c r="R1574" s="35" t="n">
        <x:f>K1574*Q1574</x:f>
        <x:v>0</x:v>
      </x:c>
      <x:c r="S1574" s="35" t="n">
        <x:f>XLOOKUP(H1574,'菜品主数据'!$A$5:$A$24,'菜品主数据'!$G$5:$G$24,0)</x:f>
        <x:v>9.770200000000003</x:v>
      </x:c>
      <x:c r="T1574" s="35" t="n">
        <x:f>K1574*S1574</x:f>
        <x:v>127.01260000000003</x:v>
      </x:c>
      <x:c r="U1574" s="35" t="n">
        <x:f>L1574-N1574-P1574-R1574-T1574</x:f>
        <x:v>170.68739999999997</x:v>
      </x:c>
      <x:c r="V1574" s="21" t="n">
        <x:f>IFERROR(U1574/L1574,0)</x:f>
        <x:v>0.573353711790393</x:v>
      </x:c>
    </x:row>
    <x:row r="1575">
      <x:c r="A1575" s="19" t="str">
        <x:v>SALE-01571</x:v>
      </x:c>
      <x:c r="B1575" s="34" t="n">
        <x:v>46214.5</x:v>
      </x:c>
      <x:c r="C1575" s="19" t="str">
        <x:v>周六</x:v>
      </x:c>
      <x:c r="D1575" s="19" t="str">
        <x:v>S06</x:v>
      </x:c>
      <x:c r="E1575" s="19" t="str">
        <x:v>蓝钻天城店</x:v>
      </x:c>
      <x:c r="F1575" s="19" t="str">
        <x:v>堂食</x:v>
      </x:c>
      <x:c r="G1575" s="19" t="str">
        <x:v>全日</x:v>
      </x:c>
      <x:c r="H1575" s="19" t="str">
        <x:v>D11</x:v>
      </x:c>
      <x:c r="I1575" s="19" t="str">
        <x:v>香辣爆肥肠</x:v>
      </x:c>
      <x:c r="J1575" s="22" t="n">
        <x:f>XLOOKUP(H1575,'菜品主数据'!$A$5:$A$24,'菜品主数据'!$D$5:$D$24,0)</x:f>
        <x:v>39</x:v>
      </x:c>
      <x:c r="K1575" s="31" t="n">
        <x:v>5</x:v>
      </x:c>
      <x:c r="L1575" s="35" t="n">
        <x:f>J1575*K1575</x:f>
        <x:v>195</x:v>
      </x:c>
      <x:c r="M1575" s="36" t="n">
        <x:v>0</x:v>
      </x:c>
      <x:c r="N1575" s="35" t="n">
        <x:f>L1575*M1575</x:f>
        <x:v>0</x:v>
      </x:c>
      <x:c r="O1575" s="37" t="n">
        <x:v>0</x:v>
      </x:c>
      <x:c r="P1575" s="35" t="n">
        <x:f>L1575*O1575</x:f>
        <x:v>0</x:v>
      </x:c>
      <x:c r="Q1575" s="35" t="n">
        <x:v>0</x:v>
      </x:c>
      <x:c r="R1575" s="35" t="n">
        <x:f>K1575*Q1575</x:f>
        <x:v>0</x:v>
      </x:c>
      <x:c r="S1575" s="35" t="n">
        <x:f>XLOOKUP(H1575,'菜品主数据'!$A$5:$A$24,'菜品主数据'!$G$5:$G$24,0)</x:f>
        <x:v>10.397</x:v>
      </x:c>
      <x:c r="T1575" s="35" t="n">
        <x:f>K1575*S1575</x:f>
        <x:v>51.985</x:v>
      </x:c>
      <x:c r="U1575" s="35" t="n">
        <x:f>L1575-N1575-P1575-R1575-T1575</x:f>
        <x:v>143.015</x:v>
      </x:c>
      <x:c r="V1575" s="21" t="n">
        <x:f>IFERROR(U1575/L1575,0)</x:f>
        <x:v>0.7334102564102564</x:v>
      </x:c>
    </x:row>
    <x:row r="1576">
      <x:c r="A1576" s="19" t="str">
        <x:v>SALE-01572</x:v>
      </x:c>
      <x:c r="B1576" s="34" t="n">
        <x:v>46214.5</x:v>
      </x:c>
      <x:c r="C1576" s="19" t="str">
        <x:v>周六</x:v>
      </x:c>
      <x:c r="D1576" s="19" t="str">
        <x:v>S06</x:v>
      </x:c>
      <x:c r="E1576" s="19" t="str">
        <x:v>蓝钻天城店</x:v>
      </x:c>
      <x:c r="F1576" s="19" t="str">
        <x:v>堂食</x:v>
      </x:c>
      <x:c r="G1576" s="19" t="str">
        <x:v>全日</x:v>
      </x:c>
      <x:c r="H1576" s="19" t="str">
        <x:v>D12</x:v>
      </x:c>
      <x:c r="I1576" s="19" t="str">
        <x:v>清蒸鲈鱼</x:v>
      </x:c>
      <x:c r="J1576" s="22" t="n">
        <x:f>XLOOKUP(H1576,'菜品主数据'!$A$5:$A$24,'菜品主数据'!$D$5:$D$24,0)</x:f>
        <x:v>39</x:v>
      </x:c>
      <x:c r="K1576" s="31" t="n">
        <x:v>4</x:v>
      </x:c>
      <x:c r="L1576" s="35" t="n">
        <x:f>J1576*K1576</x:f>
        <x:v>156</x:v>
      </x:c>
      <x:c r="M1576" s="36" t="n">
        <x:v>0</x:v>
      </x:c>
      <x:c r="N1576" s="35" t="n">
        <x:f>L1576*M1576</x:f>
        <x:v>0</x:v>
      </x:c>
      <x:c r="O1576" s="37" t="n">
        <x:v>0</x:v>
      </x:c>
      <x:c r="P1576" s="35" t="n">
        <x:f>L1576*O1576</x:f>
        <x:v>0</x:v>
      </x:c>
      <x:c r="Q1576" s="35" t="n">
        <x:v>0</x:v>
      </x:c>
      <x:c r="R1576" s="35" t="n">
        <x:f>K1576*Q1576</x:f>
        <x:v>0</x:v>
      </x:c>
      <x:c r="S1576" s="35" t="n">
        <x:f>XLOOKUP(H1576,'菜品主数据'!$A$5:$A$24,'菜品主数据'!$G$5:$G$24,0)</x:f>
        <x:v>18.874</x:v>
      </x:c>
      <x:c r="T1576" s="35" t="n">
        <x:f>K1576*S1576</x:f>
        <x:v>75.496</x:v>
      </x:c>
      <x:c r="U1576" s="35" t="n">
        <x:f>L1576-N1576-P1576-R1576-T1576</x:f>
        <x:v>80.504</x:v>
      </x:c>
      <x:c r="V1576" s="21" t="n">
        <x:f>IFERROR(U1576/L1576,0)</x:f>
        <x:v>0.516051282051282</x:v>
      </x:c>
    </x:row>
    <x:row r="1577">
      <x:c r="A1577" s="19" t="str">
        <x:v>SALE-01573</x:v>
      </x:c>
      <x:c r="B1577" s="34" t="n">
        <x:v>46214.5</x:v>
      </x:c>
      <x:c r="C1577" s="19" t="str">
        <x:v>周六</x:v>
      </x:c>
      <x:c r="D1577" s="19" t="str">
        <x:v>S06</x:v>
      </x:c>
      <x:c r="E1577" s="19" t="str">
        <x:v>蓝钻天城店</x:v>
      </x:c>
      <x:c r="F1577" s="19" t="str">
        <x:v>堂食</x:v>
      </x:c>
      <x:c r="G1577" s="19" t="str">
        <x:v>全日</x:v>
      </x:c>
      <x:c r="H1577" s="19" t="str">
        <x:v>D13</x:v>
      </x:c>
      <x:c r="I1577" s="19" t="str">
        <x:v>外婆菜炒蛋</x:v>
      </x:c>
      <x:c r="J1577" s="22" t="n">
        <x:f>XLOOKUP(H1577,'菜品主数据'!$A$5:$A$24,'菜品主数据'!$D$5:$D$24,0)</x:f>
        <x:v>18</x:v>
      </x:c>
      <x:c r="K1577" s="31" t="n">
        <x:v>11</x:v>
      </x:c>
      <x:c r="L1577" s="35" t="n">
        <x:f>J1577*K1577</x:f>
        <x:v>198</x:v>
      </x:c>
      <x:c r="M1577" s="36" t="n">
        <x:v>0</x:v>
      </x:c>
      <x:c r="N1577" s="35" t="n">
        <x:f>L1577*M1577</x:f>
        <x:v>0</x:v>
      </x:c>
      <x:c r="O1577" s="37" t="n">
        <x:v>0</x:v>
      </x:c>
      <x:c r="P1577" s="35" t="n">
        <x:f>L1577*O1577</x:f>
        <x:v>0</x:v>
      </x:c>
      <x:c r="Q1577" s="35" t="n">
        <x:v>0</x:v>
      </x:c>
      <x:c r="R1577" s="35" t="n">
        <x:f>K1577*Q1577</x:f>
        <x:v>0</x:v>
      </x:c>
      <x:c r="S1577" s="35" t="n">
        <x:f>XLOOKUP(H1577,'菜品主数据'!$A$5:$A$24,'菜品主数据'!$G$5:$G$24,0)</x:f>
        <x:v>5.403999999999999</x:v>
      </x:c>
      <x:c r="T1577" s="35" t="n">
        <x:f>K1577*S1577</x:f>
        <x:v>59.44399999999999</x:v>
      </x:c>
      <x:c r="U1577" s="35" t="n">
        <x:f>L1577-N1577-P1577-R1577-T1577</x:f>
        <x:v>138.556</x:v>
      </x:c>
      <x:c r="V1577" s="21" t="n">
        <x:f>IFERROR(U1577/L1577,0)</x:f>
        <x:v>0.6997777777777778</x:v>
      </x:c>
    </x:row>
    <x:row r="1578">
      <x:c r="A1578" s="19" t="str">
        <x:v>SALE-01574</x:v>
      </x:c>
      <x:c r="B1578" s="34" t="n">
        <x:v>46214.5</x:v>
      </x:c>
      <x:c r="C1578" s="19" t="str">
        <x:v>周六</x:v>
      </x:c>
      <x:c r="D1578" s="19" t="str">
        <x:v>S06</x:v>
      </x:c>
      <x:c r="E1578" s="19" t="str">
        <x:v>蓝钻天城店</x:v>
      </x:c>
      <x:c r="F1578" s="19" t="str">
        <x:v>堂食</x:v>
      </x:c>
      <x:c r="G1578" s="19" t="str">
        <x:v>全日</x:v>
      </x:c>
      <x:c r="H1578" s="19" t="str">
        <x:v>D14</x:v>
      </x:c>
      <x:c r="I1578" s="19" t="str">
        <x:v>酸辣鸡杂</x:v>
      </x:c>
      <x:c r="J1578" s="22" t="n">
        <x:f>XLOOKUP(H1578,'菜品主数据'!$A$5:$A$24,'菜品主数据'!$D$5:$D$24,0)</x:f>
        <x:v>28</x:v>
      </x:c>
      <x:c r="K1578" s="31" t="n">
        <x:v>6</x:v>
      </x:c>
      <x:c r="L1578" s="35" t="n">
        <x:f>J1578*K1578</x:f>
        <x:v>168</x:v>
      </x:c>
      <x:c r="M1578" s="36" t="n">
        <x:v>0</x:v>
      </x:c>
      <x:c r="N1578" s="35" t="n">
        <x:f>L1578*M1578</x:f>
        <x:v>0</x:v>
      </x:c>
      <x:c r="O1578" s="37" t="n">
        <x:v>0</x:v>
      </x:c>
      <x:c r="P1578" s="35" t="n">
        <x:f>L1578*O1578</x:f>
        <x:v>0</x:v>
      </x:c>
      <x:c r="Q1578" s="35" t="n">
        <x:v>0</x:v>
      </x:c>
      <x:c r="R1578" s="35" t="n">
        <x:f>K1578*Q1578</x:f>
        <x:v>0</x:v>
      </x:c>
      <x:c r="S1578" s="35" t="n">
        <x:f>XLOOKUP(H1578,'菜品主数据'!$A$5:$A$24,'菜品主数据'!$G$5:$G$24,0)</x:f>
        <x:v>8.315000000000001</x:v>
      </x:c>
      <x:c r="T1578" s="35" t="n">
        <x:f>K1578*S1578</x:f>
        <x:v>49.89000000000001</x:v>
      </x:c>
      <x:c r="U1578" s="35" t="n">
        <x:f>L1578-N1578-P1578-R1578-T1578</x:f>
        <x:v>118.10999999999999</x:v>
      </x:c>
      <x:c r="V1578" s="21" t="n">
        <x:f>IFERROR(U1578/L1578,0)</x:f>
        <x:v>0.7030357142857142</x:v>
      </x:c>
    </x:row>
    <x:row r="1579">
      <x:c r="A1579" s="19" t="str">
        <x:v>SALE-01575</x:v>
      </x:c>
      <x:c r="B1579" s="34" t="n">
        <x:v>46214.5</x:v>
      </x:c>
      <x:c r="C1579" s="19" t="str">
        <x:v>周六</x:v>
      </x:c>
      <x:c r="D1579" s="19" t="str">
        <x:v>S06</x:v>
      </x:c>
      <x:c r="E1579" s="19" t="str">
        <x:v>蓝钻天城店</x:v>
      </x:c>
      <x:c r="F1579" s="19" t="str">
        <x:v>堂食</x:v>
      </x:c>
      <x:c r="G1579" s="19" t="str">
        <x:v>全日</x:v>
      </x:c>
      <x:c r="H1579" s="19" t="str">
        <x:v>D15</x:v>
      </x:c>
      <x:c r="I1579" s="19" t="str">
        <x:v>湘西土匪猪肝</x:v>
      </x:c>
      <x:c r="J1579" s="22" t="n">
        <x:f>XLOOKUP(H1579,'菜品主数据'!$A$5:$A$24,'菜品主数据'!$D$5:$D$24,0)</x:f>
        <x:v>26</x:v>
      </x:c>
      <x:c r="K1579" s="31" t="n">
        <x:v>5</x:v>
      </x:c>
      <x:c r="L1579" s="35" t="n">
        <x:f>J1579*K1579</x:f>
        <x:v>130</x:v>
      </x:c>
      <x:c r="M1579" s="36" t="n">
        <x:v>0</x:v>
      </x:c>
      <x:c r="N1579" s="35" t="n">
        <x:f>L1579*M1579</x:f>
        <x:v>0</x:v>
      </x:c>
      <x:c r="O1579" s="37" t="n">
        <x:v>0</x:v>
      </x:c>
      <x:c r="P1579" s="35" t="n">
        <x:f>L1579*O1579</x:f>
        <x:v>0</x:v>
      </x:c>
      <x:c r="Q1579" s="35" t="n">
        <x:v>0</x:v>
      </x:c>
      <x:c r="R1579" s="35" t="n">
        <x:f>K1579*Q1579</x:f>
        <x:v>0</x:v>
      </x:c>
      <x:c r="S1579" s="35" t="n">
        <x:f>XLOOKUP(H1579,'菜品主数据'!$A$5:$A$24,'菜品主数据'!$G$5:$G$24,0)</x:f>
        <x:v>6.3759999999999994</x:v>
      </x:c>
      <x:c r="T1579" s="35" t="n">
        <x:f>K1579*S1579</x:f>
        <x:v>31.879999999999995</x:v>
      </x:c>
      <x:c r="U1579" s="35" t="n">
        <x:f>L1579-N1579-P1579-R1579-T1579</x:f>
        <x:v>98.12</x:v>
      </x:c>
      <x:c r="V1579" s="21" t="n">
        <x:f>IFERROR(U1579/L1579,0)</x:f>
        <x:v>0.7547692307692309</x:v>
      </x:c>
    </x:row>
    <x:row r="1580">
      <x:c r="A1580" s="19" t="str">
        <x:v>SALE-01576</x:v>
      </x:c>
      <x:c r="B1580" s="34" t="n">
        <x:v>46214.5</x:v>
      </x:c>
      <x:c r="C1580" s="19" t="str">
        <x:v>周六</x:v>
      </x:c>
      <x:c r="D1580" s="19" t="str">
        <x:v>S06</x:v>
      </x:c>
      <x:c r="E1580" s="19" t="str">
        <x:v>蓝钻天城店</x:v>
      </x:c>
      <x:c r="F1580" s="19" t="str">
        <x:v>堂食</x:v>
      </x:c>
      <x:c r="G1580" s="19" t="str">
        <x:v>全日</x:v>
      </x:c>
      <x:c r="H1580" s="19" t="str">
        <x:v>D16</x:v>
      </x:c>
      <x:c r="I1580" s="19" t="str">
        <x:v>小豆角炒五花</x:v>
      </x:c>
      <x:c r="J1580" s="22" t="n">
        <x:f>XLOOKUP(H1580,'菜品主数据'!$A$5:$A$24,'菜品主数据'!$D$5:$D$24,0)</x:f>
        <x:v>25</x:v>
      </x:c>
      <x:c r="K1580" s="31" t="n">
        <x:v>5</x:v>
      </x:c>
      <x:c r="L1580" s="35" t="n">
        <x:f>J1580*K1580</x:f>
        <x:v>125</x:v>
      </x:c>
      <x:c r="M1580" s="36" t="n">
        <x:v>0</x:v>
      </x:c>
      <x:c r="N1580" s="35" t="n">
        <x:f>L1580*M1580</x:f>
        <x:v>0</x:v>
      </x:c>
      <x:c r="O1580" s="37" t="n">
        <x:v>0</x:v>
      </x:c>
      <x:c r="P1580" s="35" t="n">
        <x:f>L1580*O1580</x:f>
        <x:v>0</x:v>
      </x:c>
      <x:c r="Q1580" s="35" t="n">
        <x:v>0</x:v>
      </x:c>
      <x:c r="R1580" s="35" t="n">
        <x:f>K1580*Q1580</x:f>
        <x:v>0</x:v>
      </x:c>
      <x:c r="S1580" s="35" t="n">
        <x:f>XLOOKUP(H1580,'菜品主数据'!$A$5:$A$24,'菜品主数据'!$G$5:$G$24,0)</x:f>
        <x:v>8.184</x:v>
      </x:c>
      <x:c r="T1580" s="35" t="n">
        <x:f>K1580*S1580</x:f>
        <x:v>40.919999999999995</x:v>
      </x:c>
      <x:c r="U1580" s="35" t="n">
        <x:f>L1580-N1580-P1580-R1580-T1580</x:f>
        <x:v>84.08000000000001</x:v>
      </x:c>
      <x:c r="V1580" s="21" t="n">
        <x:f>IFERROR(U1580/L1580,0)</x:f>
        <x:v>0.6726400000000001</x:v>
      </x:c>
    </x:row>
    <x:row r="1581">
      <x:c r="A1581" s="19" t="str">
        <x:v>SALE-01577</x:v>
      </x:c>
      <x:c r="B1581" s="34" t="n">
        <x:v>46214.5</x:v>
      </x:c>
      <x:c r="C1581" s="19" t="str">
        <x:v>周六</x:v>
      </x:c>
      <x:c r="D1581" s="19" t="str">
        <x:v>S06</x:v>
      </x:c>
      <x:c r="E1581" s="19" t="str">
        <x:v>蓝钻天城店</x:v>
      </x:c>
      <x:c r="F1581" s="19" t="str">
        <x:v>堂食</x:v>
      </x:c>
      <x:c r="G1581" s="19" t="str">
        <x:v>全日</x:v>
      </x:c>
      <x:c r="H1581" s="19" t="str">
        <x:v>D17</x:v>
      </x:c>
      <x:c r="I1581" s="19" t="str">
        <x:v>蒜蓉粉丝虾</x:v>
      </x:c>
      <x:c r="J1581" s="22" t="n">
        <x:f>XLOOKUP(H1581,'菜品主数据'!$A$5:$A$24,'菜品主数据'!$D$5:$D$24,0)</x:f>
        <x:v>36</x:v>
      </x:c>
      <x:c r="K1581" s="31" t="n">
        <x:v>4</x:v>
      </x:c>
      <x:c r="L1581" s="35" t="n">
        <x:f>J1581*K1581</x:f>
        <x:v>144</x:v>
      </x:c>
      <x:c r="M1581" s="36" t="n">
        <x:v>0</x:v>
      </x:c>
      <x:c r="N1581" s="35" t="n">
        <x:f>L1581*M1581</x:f>
        <x:v>0</x:v>
      </x:c>
      <x:c r="O1581" s="37" t="n">
        <x:v>0</x:v>
      </x:c>
      <x:c r="P1581" s="35" t="n">
        <x:f>L1581*O1581</x:f>
        <x:v>0</x:v>
      </x:c>
      <x:c r="Q1581" s="35" t="n">
        <x:v>0</x:v>
      </x:c>
      <x:c r="R1581" s="35" t="n">
        <x:f>K1581*Q1581</x:f>
        <x:v>0</x:v>
      </x:c>
      <x:c r="S1581" s="35" t="n">
        <x:f>XLOOKUP(H1581,'菜品主数据'!$A$5:$A$24,'菜品主数据'!$G$5:$G$24,0)</x:f>
        <x:v>13.594</x:v>
      </x:c>
      <x:c r="T1581" s="35" t="n">
        <x:f>K1581*S1581</x:f>
        <x:v>54.376</x:v>
      </x:c>
      <x:c r="U1581" s="35" t="n">
        <x:f>L1581-N1581-P1581-R1581-T1581</x:f>
        <x:v>89.624</x:v>
      </x:c>
      <x:c r="V1581" s="21" t="n">
        <x:f>IFERROR(U1581/L1581,0)</x:f>
        <x:v>0.6223888888888889</x:v>
      </x:c>
    </x:row>
    <x:row r="1582">
      <x:c r="A1582" s="19" t="str">
        <x:v>SALE-01578</x:v>
      </x:c>
      <x:c r="B1582" s="34" t="n">
        <x:v>46214.5</x:v>
      </x:c>
      <x:c r="C1582" s="19" t="str">
        <x:v>周六</x:v>
      </x:c>
      <x:c r="D1582" s="19" t="str">
        <x:v>S06</x:v>
      </x:c>
      <x:c r="E1582" s="19" t="str">
        <x:v>蓝钻天城店</x:v>
      </x:c>
      <x:c r="F1582" s="19" t="str">
        <x:v>堂食</x:v>
      </x:c>
      <x:c r="G1582" s="19" t="str">
        <x:v>全日</x:v>
      </x:c>
      <x:c r="H1582" s="19" t="str">
        <x:v>D18</x:v>
      </x:c>
      <x:c r="I1582" s="19" t="str">
        <x:v>青椒炒油麦菜</x:v>
      </x:c>
      <x:c r="J1582" s="22" t="n">
        <x:f>XLOOKUP(H1582,'菜品主数据'!$A$5:$A$24,'菜品主数据'!$D$5:$D$24,0)</x:f>
        <x:v>18</x:v>
      </x:c>
      <x:c r="K1582" s="31" t="n">
        <x:v>6</x:v>
      </x:c>
      <x:c r="L1582" s="35" t="n">
        <x:f>J1582*K1582</x:f>
        <x:v>108</x:v>
      </x:c>
      <x:c r="M1582" s="36" t="n">
        <x:v>0</x:v>
      </x:c>
      <x:c r="N1582" s="35" t="n">
        <x:f>L1582*M1582</x:f>
        <x:v>0</x:v>
      </x:c>
      <x:c r="O1582" s="37" t="n">
        <x:v>0</x:v>
      </x:c>
      <x:c r="P1582" s="35" t="n">
        <x:f>L1582*O1582</x:f>
        <x:v>0</x:v>
      </x:c>
      <x:c r="Q1582" s="35" t="n">
        <x:v>0</x:v>
      </x:c>
      <x:c r="R1582" s="35" t="n">
        <x:f>K1582*Q1582</x:f>
        <x:v>0</x:v>
      </x:c>
      <x:c r="S1582" s="35" t="n">
        <x:f>XLOOKUP(H1582,'菜品主数据'!$A$5:$A$24,'菜品主数据'!$G$5:$G$24,0)</x:f>
        <x:v>3.1759999999999993</x:v>
      </x:c>
      <x:c r="T1582" s="35" t="n">
        <x:f>K1582*S1582</x:f>
        <x:v>19.055999999999997</x:v>
      </x:c>
      <x:c r="U1582" s="35" t="n">
        <x:f>L1582-N1582-P1582-R1582-T1582</x:f>
        <x:v>88.944</x:v>
      </x:c>
      <x:c r="V1582" s="21" t="n">
        <x:f>IFERROR(U1582/L1582,0)</x:f>
        <x:v>0.8235555555555556</x:v>
      </x:c>
    </x:row>
    <x:row r="1583">
      <x:c r="A1583" s="19" t="str">
        <x:v>SALE-01579</x:v>
      </x:c>
      <x:c r="B1583" s="34" t="n">
        <x:v>46214.5</x:v>
      </x:c>
      <x:c r="C1583" s="19" t="str">
        <x:v>周六</x:v>
      </x:c>
      <x:c r="D1583" s="19" t="str">
        <x:v>S06</x:v>
      </x:c>
      <x:c r="E1583" s="19" t="str">
        <x:v>蓝钻天城店</x:v>
      </x:c>
      <x:c r="F1583" s="19" t="str">
        <x:v>堂食</x:v>
      </x:c>
      <x:c r="G1583" s="19" t="str">
        <x:v>全日</x:v>
      </x:c>
      <x:c r="H1583" s="19" t="str">
        <x:v>D19</x:v>
      </x:c>
      <x:c r="I1583" s="19" t="str">
        <x:v>酸萝卜炒鸡杂</x:v>
      </x:c>
      <x:c r="J1583" s="22" t="n">
        <x:f>XLOOKUP(H1583,'菜品主数据'!$A$5:$A$24,'菜品主数据'!$D$5:$D$24,0)</x:f>
        <x:v>25</x:v>
      </x:c>
      <x:c r="K1583" s="31" t="n">
        <x:v>4</x:v>
      </x:c>
      <x:c r="L1583" s="35" t="n">
        <x:f>J1583*K1583</x:f>
        <x:v>100</x:v>
      </x:c>
      <x:c r="M1583" s="36" t="n">
        <x:v>0</x:v>
      </x:c>
      <x:c r="N1583" s="35" t="n">
        <x:f>L1583*M1583</x:f>
        <x:v>0</x:v>
      </x:c>
      <x:c r="O1583" s="37" t="n">
        <x:v>0</x:v>
      </x:c>
      <x:c r="P1583" s="35" t="n">
        <x:f>L1583*O1583</x:f>
        <x:v>0</x:v>
      </x:c>
      <x:c r="Q1583" s="35" t="n">
        <x:v>0</x:v>
      </x:c>
      <x:c r="R1583" s="35" t="n">
        <x:f>K1583*Q1583</x:f>
        <x:v>0</x:v>
      </x:c>
      <x:c r="S1583" s="35" t="n">
        <x:f>XLOOKUP(H1583,'菜品主数据'!$A$5:$A$24,'菜品主数据'!$G$5:$G$24,0)</x:f>
        <x:v>7.9399999999999995</x:v>
      </x:c>
      <x:c r="T1583" s="35" t="n">
        <x:f>K1583*S1583</x:f>
        <x:v>31.759999999999998</x:v>
      </x:c>
      <x:c r="U1583" s="35" t="n">
        <x:f>L1583-N1583-P1583-R1583-T1583</x:f>
        <x:v>68.24000000000001</x:v>
      </x:c>
      <x:c r="V1583" s="21" t="n">
        <x:f>IFERROR(U1583/L1583,0)</x:f>
        <x:v>0.6824000000000001</x:v>
      </x:c>
    </x:row>
    <x:row r="1584">
      <x:c r="A1584" s="19" t="str">
        <x:v>SALE-01580</x:v>
      </x:c>
      <x:c r="B1584" s="34" t="n">
        <x:v>46214.5</x:v>
      </x:c>
      <x:c r="C1584" s="19" t="str">
        <x:v>周六</x:v>
      </x:c>
      <x:c r="D1584" s="19" t="str">
        <x:v>S06</x:v>
      </x:c>
      <x:c r="E1584" s="19" t="str">
        <x:v>蓝钻天城店</x:v>
      </x:c>
      <x:c r="F1584" s="19" t="str">
        <x:v>堂食</x:v>
      </x:c>
      <x:c r="G1584" s="19" t="str">
        <x:v>全日</x:v>
      </x:c>
      <x:c r="H1584" s="19" t="str">
        <x:v>D20</x:v>
      </x:c>
      <x:c r="I1584" s="19" t="str">
        <x:v>雪菜肉末青豆</x:v>
      </x:c>
      <x:c r="J1584" s="22" t="n">
        <x:f>XLOOKUP(H1584,'菜品主数据'!$A$5:$A$24,'菜品主数据'!$D$5:$D$24,0)</x:f>
        <x:v>18</x:v>
      </x:c>
      <x:c r="K1584" s="31" t="n">
        <x:v>6</x:v>
      </x:c>
      <x:c r="L1584" s="35" t="n">
        <x:f>J1584*K1584</x:f>
        <x:v>108</x:v>
      </x:c>
      <x:c r="M1584" s="36" t="n">
        <x:v>0</x:v>
      </x:c>
      <x:c r="N1584" s="35" t="n">
        <x:f>L1584*M1584</x:f>
        <x:v>0</x:v>
      </x:c>
      <x:c r="O1584" s="37" t="n">
        <x:v>0</x:v>
      </x:c>
      <x:c r="P1584" s="35" t="n">
        <x:f>L1584*O1584</x:f>
        <x:v>0</x:v>
      </x:c>
      <x:c r="Q1584" s="35" t="n">
        <x:v>0</x:v>
      </x:c>
      <x:c r="R1584" s="35" t="n">
        <x:f>K1584*Q1584</x:f>
        <x:v>0</x:v>
      </x:c>
      <x:c r="S1584" s="35" t="n">
        <x:f>XLOOKUP(H1584,'菜品主数据'!$A$5:$A$24,'菜品主数据'!$G$5:$G$24,0)</x:f>
        <x:v>7.303999999999999</x:v>
      </x:c>
      <x:c r="T1584" s="35" t="n">
        <x:f>K1584*S1584</x:f>
        <x:v>43.824</x:v>
      </x:c>
      <x:c r="U1584" s="35" t="n">
        <x:f>L1584-N1584-P1584-R1584-T1584</x:f>
        <x:v>64.176</x:v>
      </x:c>
      <x:c r="V1584" s="21" t="n">
        <x:f>IFERROR(U1584/L1584,0)</x:f>
        <x:v>0.5942222222222222</x:v>
      </x:c>
    </x:row>
    <x:row r="1585">
      <x:c r="A1585" s="19" t="str">
        <x:v>SALE-01581</x:v>
      </x:c>
      <x:c r="B1585" s="34" t="n">
        <x:v>46214.5</x:v>
      </x:c>
      <x:c r="C1585" s="19" t="str">
        <x:v>周六</x:v>
      </x:c>
      <x:c r="D1585" s="19" t="str">
        <x:v>S06</x:v>
      </x:c>
      <x:c r="E1585" s="19" t="str">
        <x:v>蓝钻天城店</x:v>
      </x:c>
      <x:c r="F1585" s="19" t="str">
        <x:v>外卖</x:v>
      </x:c>
      <x:c r="G1585" s="19" t="str">
        <x:v>全日</x:v>
      </x:c>
      <x:c r="H1585" s="19" t="str">
        <x:v>D01</x:v>
      </x:c>
      <x:c r="I1585" s="19" t="str">
        <x:v>辣椒炒肉</x:v>
      </x:c>
      <x:c r="J1585" s="22" t="n">
        <x:f>XLOOKUP(H1585,'菜品主数据'!$A$5:$A$24,'菜品主数据'!$D$5:$D$24,0)</x:f>
        <x:v>29</x:v>
      </x:c>
      <x:c r="K1585" s="31" t="n">
        <x:v>3</x:v>
      </x:c>
      <x:c r="L1585" s="35" t="n">
        <x:f>J1585*K1585</x:f>
        <x:v>87</x:v>
      </x:c>
      <x:c r="M1585" s="36" t="n">
        <x:v>0.08</x:v>
      </x:c>
      <x:c r="N1585" s="35" t="n">
        <x:f>L1585*M1585</x:f>
        <x:v>6.96</x:v>
      </x:c>
      <x:c r="O1585" s="37" t="n">
        <x:v>0.18</x:v>
      </x:c>
      <x:c r="P1585" s="35" t="n">
        <x:f>L1585*O1585</x:f>
        <x:v>15.66</x:v>
      </x:c>
      <x:c r="Q1585" s="35" t="n">
        <x:v>1.2</x:v>
      </x:c>
      <x:c r="R1585" s="35" t="n">
        <x:f>K1585*Q1585</x:f>
        <x:v>3.5999999999999996</x:v>
      </x:c>
      <x:c r="S1585" s="35" t="n">
        <x:f>XLOOKUP(H1585,'菜品主数据'!$A$5:$A$24,'菜品主数据'!$G$5:$G$24,0)</x:f>
        <x:v>8.634400000000001</x:v>
      </x:c>
      <x:c r="T1585" s="35" t="n">
        <x:f>K1585*S1585</x:f>
        <x:v>25.903200000000005</x:v>
      </x:c>
      <x:c r="U1585" s="35" t="n">
        <x:f>L1585-N1585-P1585-R1585-T1585</x:f>
        <x:v>34.8768</x:v>
      </x:c>
      <x:c r="V1585" s="21" t="n">
        <x:f>IFERROR(U1585/L1585,0)</x:f>
        <x:v>0.40088275862068967</x:v>
      </x:c>
    </x:row>
    <x:row r="1586">
      <x:c r="A1586" s="19" t="str">
        <x:v>SALE-01582</x:v>
      </x:c>
      <x:c r="B1586" s="34" t="n">
        <x:v>46214.5</x:v>
      </x:c>
      <x:c r="C1586" s="19" t="str">
        <x:v>周六</x:v>
      </x:c>
      <x:c r="D1586" s="19" t="str">
        <x:v>S06</x:v>
      </x:c>
      <x:c r="E1586" s="19" t="str">
        <x:v>蓝钻天城店</x:v>
      </x:c>
      <x:c r="F1586" s="19" t="str">
        <x:v>外卖</x:v>
      </x:c>
      <x:c r="G1586" s="19" t="str">
        <x:v>全日</x:v>
      </x:c>
      <x:c r="H1586" s="19" t="str">
        <x:v>D02</x:v>
      </x:c>
      <x:c r="I1586" s="19" t="str">
        <x:v>小炒黄牛肉</x:v>
      </x:c>
      <x:c r="J1586" s="22" t="n">
        <x:f>XLOOKUP(H1586,'菜品主数据'!$A$5:$A$24,'菜品主数据'!$D$5:$D$24,0)</x:f>
        <x:v>49</x:v>
      </x:c>
      <x:c r="K1586" s="31" t="n">
        <x:v>6</x:v>
      </x:c>
      <x:c r="L1586" s="35" t="n">
        <x:f>J1586*K1586</x:f>
        <x:v>294</x:v>
      </x:c>
      <x:c r="M1586" s="36" t="n">
        <x:v>0.08</x:v>
      </x:c>
      <x:c r="N1586" s="35" t="n">
        <x:f>L1586*M1586</x:f>
        <x:v>23.52</x:v>
      </x:c>
      <x:c r="O1586" s="37" t="n">
        <x:v>0.18</x:v>
      </x:c>
      <x:c r="P1586" s="35" t="n">
        <x:f>L1586*O1586</x:f>
        <x:v>52.919999999999995</x:v>
      </x:c>
      <x:c r="Q1586" s="35" t="n">
        <x:v>1.2</x:v>
      </x:c>
      <x:c r="R1586" s="35" t="n">
        <x:f>K1586*Q1586</x:f>
        <x:v>7.199999999999999</x:v>
      </x:c>
      <x:c r="S1586" s="35" t="n">
        <x:f>XLOOKUP(H1586,'菜品主数据'!$A$5:$A$24,'菜品主数据'!$G$5:$G$24,0)</x:f>
        <x:v>17.577</x:v>
      </x:c>
      <x:c r="T1586" s="35" t="n">
        <x:f>K1586*S1586</x:f>
        <x:v>105.46200000000002</x:v>
      </x:c>
      <x:c r="U1586" s="35" t="n">
        <x:f>L1586-N1586-P1586-R1586-T1586</x:f>
        <x:v>104.89800000000002</x:v>
      </x:c>
      <x:c r="V1586" s="21" t="n">
        <x:f>IFERROR(U1586/L1586,0)</x:f>
        <x:v>0.35679591836734703</x:v>
      </x:c>
    </x:row>
    <x:row r="1587">
      <x:c r="A1587" s="19" t="str">
        <x:v>SALE-01583</x:v>
      </x:c>
      <x:c r="B1587" s="34" t="n">
        <x:v>46214.5</x:v>
      </x:c>
      <x:c r="C1587" s="19" t="str">
        <x:v>周六</x:v>
      </x:c>
      <x:c r="D1587" s="19" t="str">
        <x:v>S06</x:v>
      </x:c>
      <x:c r="E1587" s="19" t="str">
        <x:v>蓝钻天城店</x:v>
      </x:c>
      <x:c r="F1587" s="19" t="str">
        <x:v>外卖</x:v>
      </x:c>
      <x:c r="G1587" s="19" t="str">
        <x:v>全日</x:v>
      </x:c>
      <x:c r="H1587" s="19" t="str">
        <x:v>D03</x:v>
      </x:c>
      <x:c r="I1587" s="19" t="str">
        <x:v>香醋炒蛋</x:v>
      </x:c>
      <x:c r="J1587" s="22" t="n">
        <x:f>XLOOKUP(H1587,'菜品主数据'!$A$5:$A$24,'菜品主数据'!$D$5:$D$24,0)</x:f>
        <x:v>14.9</x:v>
      </x:c>
      <x:c r="K1587" s="31" t="n">
        <x:v>3</x:v>
      </x:c>
      <x:c r="L1587" s="35" t="n">
        <x:f>J1587*K1587</x:f>
        <x:v>44.7</x:v>
      </x:c>
      <x:c r="M1587" s="36" t="n">
        <x:v>0.08</x:v>
      </x:c>
      <x:c r="N1587" s="35" t="n">
        <x:f>L1587*M1587</x:f>
        <x:v>3.5760000000000005</x:v>
      </x:c>
      <x:c r="O1587" s="37" t="n">
        <x:v>0.18</x:v>
      </x:c>
      <x:c r="P1587" s="35" t="n">
        <x:f>L1587*O1587</x:f>
        <x:v>8.046</x:v>
      </x:c>
      <x:c r="Q1587" s="35" t="n">
        <x:v>1.2</x:v>
      </x:c>
      <x:c r="R1587" s="35" t="n">
        <x:f>K1587*Q1587</x:f>
        <x:v>3.5999999999999996</x:v>
      </x:c>
      <x:c r="S1587" s="35" t="n">
        <x:f>XLOOKUP(H1587,'菜品主数据'!$A$5:$A$24,'菜品主数据'!$G$5:$G$24,0)</x:f>
        <x:v>3.7459999999999996</x:v>
      </x:c>
      <x:c r="T1587" s="35" t="n">
        <x:f>K1587*S1587</x:f>
        <x:v>11.238</x:v>
      </x:c>
      <x:c r="U1587" s="35" t="n">
        <x:f>L1587-N1587-P1587-R1587-T1587</x:f>
        <x:v>18.240000000000002</x:v>
      </x:c>
      <x:c r="V1587" s="21" t="n">
        <x:f>IFERROR(U1587/L1587,0)</x:f>
        <x:v>0.40805369127516783</x:v>
      </x:c>
    </x:row>
    <x:row r="1588">
      <x:c r="A1588" s="19" t="str">
        <x:v>SALE-01584</x:v>
      </x:c>
      <x:c r="B1588" s="34" t="n">
        <x:v>46214.5</x:v>
      </x:c>
      <x:c r="C1588" s="19" t="str">
        <x:v>周六</x:v>
      </x:c>
      <x:c r="D1588" s="19" t="str">
        <x:v>S06</x:v>
      </x:c>
      <x:c r="E1588" s="19" t="str">
        <x:v>蓝钻天城店</x:v>
      </x:c>
      <x:c r="F1588" s="19" t="str">
        <x:v>外卖</x:v>
      </x:c>
      <x:c r="G1588" s="19" t="str">
        <x:v>全日</x:v>
      </x:c>
      <x:c r="H1588" s="19" t="str">
        <x:v>D04</x:v>
      </x:c>
      <x:c r="I1588" s="19" t="str">
        <x:v>酸包菜炒粉皮</x:v>
      </x:c>
      <x:c r="J1588" s="22" t="n">
        <x:f>XLOOKUP(H1588,'菜品主数据'!$A$5:$A$24,'菜品主数据'!$D$5:$D$24,0)</x:f>
        <x:v>16</x:v>
      </x:c>
      <x:c r="K1588" s="31" t="n">
        <x:v>4</x:v>
      </x:c>
      <x:c r="L1588" s="35" t="n">
        <x:f>J1588*K1588</x:f>
        <x:v>64</x:v>
      </x:c>
      <x:c r="M1588" s="36" t="n">
        <x:v>0.08</x:v>
      </x:c>
      <x:c r="N1588" s="35" t="n">
        <x:f>L1588*M1588</x:f>
        <x:v>5.12</x:v>
      </x:c>
      <x:c r="O1588" s="37" t="n">
        <x:v>0.18</x:v>
      </x:c>
      <x:c r="P1588" s="35" t="n">
        <x:f>L1588*O1588</x:f>
        <x:v>11.52</x:v>
      </x:c>
      <x:c r="Q1588" s="35" t="n">
        <x:v>1.2</x:v>
      </x:c>
      <x:c r="R1588" s="35" t="n">
        <x:f>K1588*Q1588</x:f>
        <x:v>4.8</x:v>
      </x:c>
      <x:c r="S1588" s="35" t="n">
        <x:f>XLOOKUP(H1588,'菜品主数据'!$A$5:$A$24,'菜品主数据'!$G$5:$G$24,0)</x:f>
        <x:v>3.978</x:v>
      </x:c>
      <x:c r="T1588" s="35" t="n">
        <x:f>K1588*S1588</x:f>
        <x:v>15.912</x:v>
      </x:c>
      <x:c r="U1588" s="35" t="n">
        <x:f>L1588-N1588-P1588-R1588-T1588</x:f>
        <x:v>26.648000000000003</x:v>
      </x:c>
      <x:c r="V1588" s="21" t="n">
        <x:f>IFERROR(U1588/L1588,0)</x:f>
        <x:v>0.41637500000000005</x:v>
      </x:c>
    </x:row>
    <x:row r="1589">
      <x:c r="A1589" s="19" t="str">
        <x:v>SALE-01585</x:v>
      </x:c>
      <x:c r="B1589" s="34" t="n">
        <x:v>46214.5</x:v>
      </x:c>
      <x:c r="C1589" s="19" t="str">
        <x:v>周六</x:v>
      </x:c>
      <x:c r="D1589" s="19" t="str">
        <x:v>S06</x:v>
      </x:c>
      <x:c r="E1589" s="19" t="str">
        <x:v>蓝钻天城店</x:v>
      </x:c>
      <x:c r="F1589" s="19" t="str">
        <x:v>外卖</x:v>
      </x:c>
      <x:c r="G1589" s="19" t="str">
        <x:v>全日</x:v>
      </x:c>
      <x:c r="H1589" s="19" t="str">
        <x:v>D05</x:v>
      </x:c>
      <x:c r="I1589" s="19" t="str">
        <x:v>麻婆豆腐</x:v>
      </x:c>
      <x:c r="J1589" s="22" t="n">
        <x:f>XLOOKUP(H1589,'菜品主数据'!$A$5:$A$24,'菜品主数据'!$D$5:$D$24,0)</x:f>
        <x:v>9.9</x:v>
      </x:c>
      <x:c r="K1589" s="31" t="n">
        <x:v>4</x:v>
      </x:c>
      <x:c r="L1589" s="35" t="n">
        <x:f>J1589*K1589</x:f>
        <x:v>39.6</x:v>
      </x:c>
      <x:c r="M1589" s="36" t="n">
        <x:v>0.08</x:v>
      </x:c>
      <x:c r="N1589" s="35" t="n">
        <x:f>L1589*M1589</x:f>
        <x:v>3.168</x:v>
      </x:c>
      <x:c r="O1589" s="37" t="n">
        <x:v>0.18</x:v>
      </x:c>
      <x:c r="P1589" s="35" t="n">
        <x:f>L1589*O1589</x:f>
        <x:v>7.128</x:v>
      </x:c>
      <x:c r="Q1589" s="35" t="n">
        <x:v>1.2</x:v>
      </x:c>
      <x:c r="R1589" s="35" t="n">
        <x:f>K1589*Q1589</x:f>
        <x:v>4.8</x:v>
      </x:c>
      <x:c r="S1589" s="35" t="n">
        <x:f>XLOOKUP(H1589,'菜品主数据'!$A$5:$A$24,'菜品主数据'!$G$5:$G$24,0)</x:f>
        <x:v>5.367000000000001</x:v>
      </x:c>
      <x:c r="T1589" s="35" t="n">
        <x:f>K1589*S1589</x:f>
        <x:v>21.468000000000004</x:v>
      </x:c>
      <x:c r="U1589" s="35" t="n">
        <x:f>L1589-N1589-P1589-R1589-T1589</x:f>
        <x:v>3.035999999999998</x:v>
      </x:c>
      <x:c r="V1589" s="21" t="n">
        <x:f>IFERROR(U1589/L1589,0)</x:f>
        <x:v>0.0766666666666666</x:v>
      </x:c>
    </x:row>
    <x:row r="1590">
      <x:c r="A1590" s="19" t="str">
        <x:v>SALE-01586</x:v>
      </x:c>
      <x:c r="B1590" s="34" t="n">
        <x:v>46214.5</x:v>
      </x:c>
      <x:c r="C1590" s="19" t="str">
        <x:v>周六</x:v>
      </x:c>
      <x:c r="D1590" s="19" t="str">
        <x:v>S06</x:v>
      </x:c>
      <x:c r="E1590" s="19" t="str">
        <x:v>蓝钻天城店</x:v>
      </x:c>
      <x:c r="F1590" s="19" t="str">
        <x:v>外卖</x:v>
      </x:c>
      <x:c r="G1590" s="19" t="str">
        <x:v>全日</x:v>
      </x:c>
      <x:c r="H1590" s="19" t="str">
        <x:v>D06</x:v>
      </x:c>
      <x:c r="I1590" s="19" t="str">
        <x:v>剁椒鱼头</x:v>
      </x:c>
      <x:c r="J1590" s="22" t="n">
        <x:f>XLOOKUP(H1590,'菜品主数据'!$A$5:$A$24,'菜品主数据'!$D$5:$D$24,0)</x:f>
        <x:v>39</x:v>
      </x:c>
      <x:c r="K1590" s="31" t="n">
        <x:v>1</x:v>
      </x:c>
      <x:c r="L1590" s="35" t="n">
        <x:f>J1590*K1590</x:f>
        <x:v>39</x:v>
      </x:c>
      <x:c r="M1590" s="36" t="n">
        <x:v>0.08</x:v>
      </x:c>
      <x:c r="N1590" s="35" t="n">
        <x:f>L1590*M1590</x:f>
        <x:v>3.12</x:v>
      </x:c>
      <x:c r="O1590" s="37" t="n">
        <x:v>0.18</x:v>
      </x:c>
      <x:c r="P1590" s="35" t="n">
        <x:f>L1590*O1590</x:f>
        <x:v>7.02</x:v>
      </x:c>
      <x:c r="Q1590" s="35" t="n">
        <x:v>1.2</x:v>
      </x:c>
      <x:c r="R1590" s="35" t="n">
        <x:f>K1590*Q1590</x:f>
        <x:v>1.2</x:v>
      </x:c>
      <x:c r="S1590" s="35" t="n">
        <x:f>XLOOKUP(H1590,'菜品主数据'!$A$5:$A$24,'菜品主数据'!$G$5:$G$24,0)</x:f>
        <x:v>17.446</x:v>
      </x:c>
      <x:c r="T1590" s="35" t="n">
        <x:f>K1590*S1590</x:f>
        <x:v>17.446</x:v>
      </x:c>
      <x:c r="U1590" s="35" t="n">
        <x:f>L1590-N1590-P1590-R1590-T1590</x:f>
        <x:v>10.214000000000002</x:v>
      </x:c>
      <x:c r="V1590" s="21" t="n">
        <x:f>IFERROR(U1590/L1590,0)</x:f>
        <x:v>0.26189743589743597</x:v>
      </x:c>
    </x:row>
    <x:row r="1591">
      <x:c r="A1591" s="19" t="str">
        <x:v>SALE-01587</x:v>
      </x:c>
      <x:c r="B1591" s="34" t="n">
        <x:v>46214.5</x:v>
      </x:c>
      <x:c r="C1591" s="19" t="str">
        <x:v>周六</x:v>
      </x:c>
      <x:c r="D1591" s="19" t="str">
        <x:v>S06</x:v>
      </x:c>
      <x:c r="E1591" s="19" t="str">
        <x:v>蓝钻天城店</x:v>
      </x:c>
      <x:c r="F1591" s="19" t="str">
        <x:v>外卖</x:v>
      </x:c>
      <x:c r="G1591" s="19" t="str">
        <x:v>全日</x:v>
      </x:c>
      <x:c r="H1591" s="19" t="str">
        <x:v>D07</x:v>
      </x:c>
      <x:c r="I1591" s="19" t="str">
        <x:v>川味回锅肉</x:v>
      </x:c>
      <x:c r="J1591" s="22" t="n">
        <x:f>XLOOKUP(H1591,'菜品主数据'!$A$5:$A$24,'菜品主数据'!$D$5:$D$24,0)</x:f>
        <x:v>29</x:v>
      </x:c>
      <x:c r="K1591" s="31" t="n">
        <x:v>1</x:v>
      </x:c>
      <x:c r="L1591" s="35" t="n">
        <x:f>J1591*K1591</x:f>
        <x:v>29</x:v>
      </x:c>
      <x:c r="M1591" s="36" t="n">
        <x:v>0.08</x:v>
      </x:c>
      <x:c r="N1591" s="35" t="n">
        <x:f>L1591*M1591</x:f>
        <x:v>2.32</x:v>
      </x:c>
      <x:c r="O1591" s="37" t="n">
        <x:v>0.18</x:v>
      </x:c>
      <x:c r="P1591" s="35" t="n">
        <x:f>L1591*O1591</x:f>
        <x:v>5.22</x:v>
      </x:c>
      <x:c r="Q1591" s="35" t="n">
        <x:v>1.2</x:v>
      </x:c>
      <x:c r="R1591" s="35" t="n">
        <x:f>K1591*Q1591</x:f>
        <x:v>1.2</x:v>
      </x:c>
      <x:c r="S1591" s="35" t="n">
        <x:f>XLOOKUP(H1591,'菜品主数据'!$A$5:$A$24,'菜品主数据'!$G$5:$G$24,0)</x:f>
        <x:v>10.231000000000002</x:v>
      </x:c>
      <x:c r="T1591" s="35" t="n">
        <x:f>K1591*S1591</x:f>
        <x:v>10.231000000000002</x:v>
      </x:c>
      <x:c r="U1591" s="35" t="n">
        <x:f>L1591-N1591-P1591-R1591-T1591</x:f>
        <x:v>10.029</x:v>
      </x:c>
      <x:c r="V1591" s="21" t="n">
        <x:f>IFERROR(U1591/L1591,0)</x:f>
        <x:v>0.3458275862068966</x:v>
      </x:c>
    </x:row>
    <x:row r="1592">
      <x:c r="A1592" s="19" t="str">
        <x:v>SALE-01588</x:v>
      </x:c>
      <x:c r="B1592" s="34" t="n">
        <x:v>46214.5</x:v>
      </x:c>
      <x:c r="C1592" s="19" t="str">
        <x:v>周六</x:v>
      </x:c>
      <x:c r="D1592" s="19" t="str">
        <x:v>S06</x:v>
      </x:c>
      <x:c r="E1592" s="19" t="str">
        <x:v>蓝钻天城店</x:v>
      </x:c>
      <x:c r="F1592" s="19" t="str">
        <x:v>外卖</x:v>
      </x:c>
      <x:c r="G1592" s="19" t="str">
        <x:v>全日</x:v>
      </x:c>
      <x:c r="H1592" s="19" t="str">
        <x:v>D08</x:v>
      </x:c>
      <x:c r="I1592" s="19" t="str">
        <x:v>生炒清远鸡</x:v>
      </x:c>
      <x:c r="J1592" s="22" t="n">
        <x:f>XLOOKUP(H1592,'菜品主数据'!$A$5:$A$24,'菜品主数据'!$D$5:$D$24,0)</x:f>
        <x:v>36</x:v>
      </x:c>
      <x:c r="K1592" s="31" t="n">
        <x:v>0</x:v>
      </x:c>
      <x:c r="L1592" s="35" t="n">
        <x:f>J1592*K1592</x:f>
        <x:v>0</x:v>
      </x:c>
      <x:c r="M1592" s="36" t="n">
        <x:v>0.08</x:v>
      </x:c>
      <x:c r="N1592" s="35" t="n">
        <x:f>L1592*M1592</x:f>
        <x:v>0</x:v>
      </x:c>
      <x:c r="O1592" s="37" t="n">
        <x:v>0.18</x:v>
      </x:c>
      <x:c r="P1592" s="35" t="n">
        <x:f>L1592*O1592</x:f>
        <x:v>0</x:v>
      </x:c>
      <x:c r="Q1592" s="35" t="n">
        <x:v>1.2</x:v>
      </x:c>
      <x:c r="R1592" s="35" t="n">
        <x:f>K1592*Q1592</x:f>
        <x:v>0</x:v>
      </x:c>
      <x:c r="S1592" s="35" t="n">
        <x:f>XLOOKUP(H1592,'菜品主数据'!$A$5:$A$24,'菜品主数据'!$G$5:$G$24,0)</x:f>
        <x:v>13.48</x:v>
      </x:c>
      <x:c r="T1592" s="35" t="n">
        <x:f>K1592*S1592</x:f>
        <x:v>0</x:v>
      </x:c>
      <x:c r="U1592" s="35" t="n">
        <x:f>L1592-N1592-P1592-R1592-T1592</x:f>
        <x:v>0</x:v>
      </x:c>
      <x:c r="V1592" s="21" t="n">
        <x:f>IFERROR(U1592/L1592,0)</x:f>
        <x:v>0</x:v>
      </x:c>
    </x:row>
    <x:row r="1593">
      <x:c r="A1593" s="19" t="str">
        <x:v>SALE-01589</x:v>
      </x:c>
      <x:c r="B1593" s="34" t="n">
        <x:v>46214.5</x:v>
      </x:c>
      <x:c r="C1593" s="19" t="str">
        <x:v>周六</x:v>
      </x:c>
      <x:c r="D1593" s="19" t="str">
        <x:v>S06</x:v>
      </x:c>
      <x:c r="E1593" s="19" t="str">
        <x:v>蓝钻天城店</x:v>
      </x:c>
      <x:c r="F1593" s="19" t="str">
        <x:v>外卖</x:v>
      </x:c>
      <x:c r="G1593" s="19" t="str">
        <x:v>全日</x:v>
      </x:c>
      <x:c r="H1593" s="19" t="str">
        <x:v>D09</x:v>
      </x:c>
      <x:c r="I1593" s="19" t="str">
        <x:v>炒豆干</x:v>
      </x:c>
      <x:c r="J1593" s="22" t="n">
        <x:f>XLOOKUP(H1593,'菜品主数据'!$A$5:$A$24,'菜品主数据'!$D$5:$D$24,0)</x:f>
        <x:v>18</x:v>
      </x:c>
      <x:c r="K1593" s="31" t="n">
        <x:v>1</x:v>
      </x:c>
      <x:c r="L1593" s="35" t="n">
        <x:f>J1593*K1593</x:f>
        <x:v>18</x:v>
      </x:c>
      <x:c r="M1593" s="36" t="n">
        <x:v>0.08</x:v>
      </x:c>
      <x:c r="N1593" s="35" t="n">
        <x:f>L1593*M1593</x:f>
        <x:v>1.44</x:v>
      </x:c>
      <x:c r="O1593" s="37" t="n">
        <x:v>0.18</x:v>
      </x:c>
      <x:c r="P1593" s="35" t="n">
        <x:f>L1593*O1593</x:f>
        <x:v>3.2399999999999998</x:v>
      </x:c>
      <x:c r="Q1593" s="35" t="n">
        <x:v>1.2</x:v>
      </x:c>
      <x:c r="R1593" s="35" t="n">
        <x:f>K1593*Q1593</x:f>
        <x:v>1.2</x:v>
      </x:c>
      <x:c r="S1593" s="35" t="n">
        <x:f>XLOOKUP(H1593,'菜品主数据'!$A$5:$A$24,'菜品主数据'!$G$5:$G$24,0)</x:f>
        <x:v>6.613999999999999</x:v>
      </x:c>
      <x:c r="T1593" s="35" t="n">
        <x:f>K1593*S1593</x:f>
        <x:v>6.613999999999999</x:v>
      </x:c>
      <x:c r="U1593" s="35" t="n">
        <x:f>L1593-N1593-P1593-R1593-T1593</x:f>
        <x:v>5.506</x:v>
      </x:c>
      <x:c r="V1593" s="21" t="n">
        <x:f>IFERROR(U1593/L1593,0)</x:f>
        <x:v>0.3058888888888889</x:v>
      </x:c>
    </x:row>
    <x:row r="1594">
      <x:c r="A1594" s="19" t="str">
        <x:v>SALE-01590</x:v>
      </x:c>
      <x:c r="B1594" s="34" t="n">
        <x:v>46214.5</x:v>
      </x:c>
      <x:c r="C1594" s="19" t="str">
        <x:v>周六</x:v>
      </x:c>
      <x:c r="D1594" s="19" t="str">
        <x:v>S06</x:v>
      </x:c>
      <x:c r="E1594" s="19" t="str">
        <x:v>蓝钻天城店</x:v>
      </x:c>
      <x:c r="F1594" s="19" t="str">
        <x:v>外卖</x:v>
      </x:c>
      <x:c r="G1594" s="19" t="str">
        <x:v>全日</x:v>
      </x:c>
      <x:c r="H1594" s="19" t="str">
        <x:v>D10</x:v>
      </x:c>
      <x:c r="I1594" s="19" t="str">
        <x:v>农家一碗香</x:v>
      </x:c>
      <x:c r="J1594" s="22" t="n">
        <x:f>XLOOKUP(H1594,'菜品主数据'!$A$5:$A$24,'菜品主数据'!$D$5:$D$24,0)</x:f>
        <x:v>22.9</x:v>
      </x:c>
      <x:c r="K1594" s="31" t="n">
        <x:v>1</x:v>
      </x:c>
      <x:c r="L1594" s="35" t="n">
        <x:f>J1594*K1594</x:f>
        <x:v>22.9</x:v>
      </x:c>
      <x:c r="M1594" s="36" t="n">
        <x:v>0.08</x:v>
      </x:c>
      <x:c r="N1594" s="35" t="n">
        <x:f>L1594*M1594</x:f>
        <x:v>1.8319999999999999</x:v>
      </x:c>
      <x:c r="O1594" s="37" t="n">
        <x:v>0.18</x:v>
      </x:c>
      <x:c r="P1594" s="35" t="n">
        <x:f>L1594*O1594</x:f>
        <x:v>4.122</x:v>
      </x:c>
      <x:c r="Q1594" s="35" t="n">
        <x:v>1.2</x:v>
      </x:c>
      <x:c r="R1594" s="35" t="n">
        <x:f>K1594*Q1594</x:f>
        <x:v>1.2</x:v>
      </x:c>
      <x:c r="S1594" s="35" t="n">
        <x:f>XLOOKUP(H1594,'菜品主数据'!$A$5:$A$24,'菜品主数据'!$G$5:$G$24,0)</x:f>
        <x:v>9.770200000000003</x:v>
      </x:c>
      <x:c r="T1594" s="35" t="n">
        <x:f>K1594*S1594</x:f>
        <x:v>9.770200000000003</x:v>
      </x:c>
      <x:c r="U1594" s="35" t="n">
        <x:f>L1594-N1594-P1594-R1594-T1594</x:f>
        <x:v>5.975799999999996</x:v>
      </x:c>
      <x:c r="V1594" s="21" t="n">
        <x:f>IFERROR(U1594/L1594,0)</x:f>
        <x:v>0.260951965065502</x:v>
      </x:c>
    </x:row>
    <x:row r="1595">
      <x:c r="A1595" s="19" t="str">
        <x:v>SALE-01591</x:v>
      </x:c>
      <x:c r="B1595" s="34" t="n">
        <x:v>46214.5</x:v>
      </x:c>
      <x:c r="C1595" s="19" t="str">
        <x:v>周六</x:v>
      </x:c>
      <x:c r="D1595" s="19" t="str">
        <x:v>S06</x:v>
      </x:c>
      <x:c r="E1595" s="19" t="str">
        <x:v>蓝钻天城店</x:v>
      </x:c>
      <x:c r="F1595" s="19" t="str">
        <x:v>外卖</x:v>
      </x:c>
      <x:c r="G1595" s="19" t="str">
        <x:v>全日</x:v>
      </x:c>
      <x:c r="H1595" s="19" t="str">
        <x:v>D11</x:v>
      </x:c>
      <x:c r="I1595" s="19" t="str">
        <x:v>香辣爆肥肠</x:v>
      </x:c>
      <x:c r="J1595" s="22" t="n">
        <x:f>XLOOKUP(H1595,'菜品主数据'!$A$5:$A$24,'菜品主数据'!$D$5:$D$24,0)</x:f>
        <x:v>39</x:v>
      </x:c>
      <x:c r="K1595" s="31" t="n">
        <x:v>0</x:v>
      </x:c>
      <x:c r="L1595" s="35" t="n">
        <x:f>J1595*K1595</x:f>
        <x:v>0</x:v>
      </x:c>
      <x:c r="M1595" s="36" t="n">
        <x:v>0.08</x:v>
      </x:c>
      <x:c r="N1595" s="35" t="n">
        <x:f>L1595*M1595</x:f>
        <x:v>0</x:v>
      </x:c>
      <x:c r="O1595" s="37" t="n">
        <x:v>0.18</x:v>
      </x:c>
      <x:c r="P1595" s="35" t="n">
        <x:f>L1595*O1595</x:f>
        <x:v>0</x:v>
      </x:c>
      <x:c r="Q1595" s="35" t="n">
        <x:v>1.2</x:v>
      </x:c>
      <x:c r="R1595" s="35" t="n">
        <x:f>K1595*Q1595</x:f>
        <x:v>0</x:v>
      </x:c>
      <x:c r="S1595" s="35" t="n">
        <x:f>XLOOKUP(H1595,'菜品主数据'!$A$5:$A$24,'菜品主数据'!$G$5:$G$24,0)</x:f>
        <x:v>10.397</x:v>
      </x:c>
      <x:c r="T1595" s="35" t="n">
        <x:f>K1595*S1595</x:f>
        <x:v>0</x:v>
      </x:c>
      <x:c r="U1595" s="35" t="n">
        <x:f>L1595-N1595-P1595-R1595-T1595</x:f>
        <x:v>0</x:v>
      </x:c>
      <x:c r="V1595" s="21" t="n">
        <x:f>IFERROR(U1595/L1595,0)</x:f>
        <x:v>0</x:v>
      </x:c>
    </x:row>
    <x:row r="1596">
      <x:c r="A1596" s="19" t="str">
        <x:v>SALE-01592</x:v>
      </x:c>
      <x:c r="B1596" s="34" t="n">
        <x:v>46214.5</x:v>
      </x:c>
      <x:c r="C1596" s="19" t="str">
        <x:v>周六</x:v>
      </x:c>
      <x:c r="D1596" s="19" t="str">
        <x:v>S06</x:v>
      </x:c>
      <x:c r="E1596" s="19" t="str">
        <x:v>蓝钻天城店</x:v>
      </x:c>
      <x:c r="F1596" s="19" t="str">
        <x:v>外卖</x:v>
      </x:c>
      <x:c r="G1596" s="19" t="str">
        <x:v>全日</x:v>
      </x:c>
      <x:c r="H1596" s="19" t="str">
        <x:v>D12</x:v>
      </x:c>
      <x:c r="I1596" s="19" t="str">
        <x:v>清蒸鲈鱼</x:v>
      </x:c>
      <x:c r="J1596" s="22" t="n">
        <x:f>XLOOKUP(H1596,'菜品主数据'!$A$5:$A$24,'菜品主数据'!$D$5:$D$24,0)</x:f>
        <x:v>39</x:v>
      </x:c>
      <x:c r="K1596" s="31" t="n">
        <x:v>0</x:v>
      </x:c>
      <x:c r="L1596" s="35" t="n">
        <x:f>J1596*K1596</x:f>
        <x:v>0</x:v>
      </x:c>
      <x:c r="M1596" s="36" t="n">
        <x:v>0.08</x:v>
      </x:c>
      <x:c r="N1596" s="35" t="n">
        <x:f>L1596*M1596</x:f>
        <x:v>0</x:v>
      </x:c>
      <x:c r="O1596" s="37" t="n">
        <x:v>0.18</x:v>
      </x:c>
      <x:c r="P1596" s="35" t="n">
        <x:f>L1596*O1596</x:f>
        <x:v>0</x:v>
      </x:c>
      <x:c r="Q1596" s="35" t="n">
        <x:v>1.2</x:v>
      </x:c>
      <x:c r="R1596" s="35" t="n">
        <x:f>K1596*Q1596</x:f>
        <x:v>0</x:v>
      </x:c>
      <x:c r="S1596" s="35" t="n">
        <x:f>XLOOKUP(H1596,'菜品主数据'!$A$5:$A$24,'菜品主数据'!$G$5:$G$24,0)</x:f>
        <x:v>18.874</x:v>
      </x:c>
      <x:c r="T1596" s="35" t="n">
        <x:f>K1596*S1596</x:f>
        <x:v>0</x:v>
      </x:c>
      <x:c r="U1596" s="35" t="n">
        <x:f>L1596-N1596-P1596-R1596-T1596</x:f>
        <x:v>0</x:v>
      </x:c>
      <x:c r="V1596" s="21" t="n">
        <x:f>IFERROR(U1596/L1596,0)</x:f>
        <x:v>0</x:v>
      </x:c>
    </x:row>
    <x:row r="1597">
      <x:c r="A1597" s="19" t="str">
        <x:v>SALE-01593</x:v>
      </x:c>
      <x:c r="B1597" s="34" t="n">
        <x:v>46214.5</x:v>
      </x:c>
      <x:c r="C1597" s="19" t="str">
        <x:v>周六</x:v>
      </x:c>
      <x:c r="D1597" s="19" t="str">
        <x:v>S06</x:v>
      </x:c>
      <x:c r="E1597" s="19" t="str">
        <x:v>蓝钻天城店</x:v>
      </x:c>
      <x:c r="F1597" s="19" t="str">
        <x:v>外卖</x:v>
      </x:c>
      <x:c r="G1597" s="19" t="str">
        <x:v>全日</x:v>
      </x:c>
      <x:c r="H1597" s="19" t="str">
        <x:v>D13</x:v>
      </x:c>
      <x:c r="I1597" s="19" t="str">
        <x:v>外婆菜炒蛋</x:v>
      </x:c>
      <x:c r="J1597" s="22" t="n">
        <x:f>XLOOKUP(H1597,'菜品主数据'!$A$5:$A$24,'菜品主数据'!$D$5:$D$24,0)</x:f>
        <x:v>18</x:v>
      </x:c>
      <x:c r="K1597" s="31" t="n">
        <x:v>1</x:v>
      </x:c>
      <x:c r="L1597" s="35" t="n">
        <x:f>J1597*K1597</x:f>
        <x:v>18</x:v>
      </x:c>
      <x:c r="M1597" s="36" t="n">
        <x:v>0.08</x:v>
      </x:c>
      <x:c r="N1597" s="35" t="n">
        <x:f>L1597*M1597</x:f>
        <x:v>1.44</x:v>
      </x:c>
      <x:c r="O1597" s="37" t="n">
        <x:v>0.18</x:v>
      </x:c>
      <x:c r="P1597" s="35" t="n">
        <x:f>L1597*O1597</x:f>
        <x:v>3.2399999999999998</x:v>
      </x:c>
      <x:c r="Q1597" s="35" t="n">
        <x:v>1.2</x:v>
      </x:c>
      <x:c r="R1597" s="35" t="n">
        <x:f>K1597*Q1597</x:f>
        <x:v>1.2</x:v>
      </x:c>
      <x:c r="S1597" s="35" t="n">
        <x:f>XLOOKUP(H1597,'菜品主数据'!$A$5:$A$24,'菜品主数据'!$G$5:$G$24,0)</x:f>
        <x:v>5.403999999999999</x:v>
      </x:c>
      <x:c r="T1597" s="35" t="n">
        <x:f>K1597*S1597</x:f>
        <x:v>5.403999999999999</x:v>
      </x:c>
      <x:c r="U1597" s="35" t="n">
        <x:f>L1597-N1597-P1597-R1597-T1597</x:f>
        <x:v>6.716</x:v>
      </x:c>
      <x:c r="V1597" s="21" t="n">
        <x:f>IFERROR(U1597/L1597,0)</x:f>
        <x:v>0.3731111111111111</x:v>
      </x:c>
    </x:row>
    <x:row r="1598">
      <x:c r="A1598" s="19" t="str">
        <x:v>SALE-01594</x:v>
      </x:c>
      <x:c r="B1598" s="34" t="n">
        <x:v>46214.5</x:v>
      </x:c>
      <x:c r="C1598" s="19" t="str">
        <x:v>周六</x:v>
      </x:c>
      <x:c r="D1598" s="19" t="str">
        <x:v>S06</x:v>
      </x:c>
      <x:c r="E1598" s="19" t="str">
        <x:v>蓝钻天城店</x:v>
      </x:c>
      <x:c r="F1598" s="19" t="str">
        <x:v>外卖</x:v>
      </x:c>
      <x:c r="G1598" s="19" t="str">
        <x:v>全日</x:v>
      </x:c>
      <x:c r="H1598" s="19" t="str">
        <x:v>D14</x:v>
      </x:c>
      <x:c r="I1598" s="19" t="str">
        <x:v>酸辣鸡杂</x:v>
      </x:c>
      <x:c r="J1598" s="22" t="n">
        <x:f>XLOOKUP(H1598,'菜品主数据'!$A$5:$A$24,'菜品主数据'!$D$5:$D$24,0)</x:f>
        <x:v>28</x:v>
      </x:c>
      <x:c r="K1598" s="31" t="n">
        <x:v>0</x:v>
      </x:c>
      <x:c r="L1598" s="35" t="n">
        <x:f>J1598*K1598</x:f>
        <x:v>0</x:v>
      </x:c>
      <x:c r="M1598" s="36" t="n">
        <x:v>0.08</x:v>
      </x:c>
      <x:c r="N1598" s="35" t="n">
        <x:f>L1598*M1598</x:f>
        <x:v>0</x:v>
      </x:c>
      <x:c r="O1598" s="37" t="n">
        <x:v>0.18</x:v>
      </x:c>
      <x:c r="P1598" s="35" t="n">
        <x:f>L1598*O1598</x:f>
        <x:v>0</x:v>
      </x:c>
      <x:c r="Q1598" s="35" t="n">
        <x:v>1.2</x:v>
      </x:c>
      <x:c r="R1598" s="35" t="n">
        <x:f>K1598*Q1598</x:f>
        <x:v>0</x:v>
      </x:c>
      <x:c r="S1598" s="35" t="n">
        <x:f>XLOOKUP(H1598,'菜品主数据'!$A$5:$A$24,'菜品主数据'!$G$5:$G$24,0)</x:f>
        <x:v>8.315000000000001</x:v>
      </x:c>
      <x:c r="T1598" s="35" t="n">
        <x:f>K1598*S1598</x:f>
        <x:v>0</x:v>
      </x:c>
      <x:c r="U1598" s="35" t="n">
        <x:f>L1598-N1598-P1598-R1598-T1598</x:f>
        <x:v>0</x:v>
      </x:c>
      <x:c r="V1598" s="21" t="n">
        <x:f>IFERROR(U1598/L1598,0)</x:f>
        <x:v>0</x:v>
      </x:c>
    </x:row>
    <x:row r="1599">
      <x:c r="A1599" s="19" t="str">
        <x:v>SALE-01595</x:v>
      </x:c>
      <x:c r="B1599" s="34" t="n">
        <x:v>46214.5</x:v>
      </x:c>
      <x:c r="C1599" s="19" t="str">
        <x:v>周六</x:v>
      </x:c>
      <x:c r="D1599" s="19" t="str">
        <x:v>S06</x:v>
      </x:c>
      <x:c r="E1599" s="19" t="str">
        <x:v>蓝钻天城店</x:v>
      </x:c>
      <x:c r="F1599" s="19" t="str">
        <x:v>外卖</x:v>
      </x:c>
      <x:c r="G1599" s="19" t="str">
        <x:v>全日</x:v>
      </x:c>
      <x:c r="H1599" s="19" t="str">
        <x:v>D15</x:v>
      </x:c>
      <x:c r="I1599" s="19" t="str">
        <x:v>湘西土匪猪肝</x:v>
      </x:c>
      <x:c r="J1599" s="22" t="n">
        <x:f>XLOOKUP(H1599,'菜品主数据'!$A$5:$A$24,'菜品主数据'!$D$5:$D$24,0)</x:f>
        <x:v>26</x:v>
      </x:c>
      <x:c r="K1599" s="31" t="n">
        <x:v>0</x:v>
      </x:c>
      <x:c r="L1599" s="35" t="n">
        <x:f>J1599*K1599</x:f>
        <x:v>0</x:v>
      </x:c>
      <x:c r="M1599" s="36" t="n">
        <x:v>0.08</x:v>
      </x:c>
      <x:c r="N1599" s="35" t="n">
        <x:f>L1599*M1599</x:f>
        <x:v>0</x:v>
      </x:c>
      <x:c r="O1599" s="37" t="n">
        <x:v>0.18</x:v>
      </x:c>
      <x:c r="P1599" s="35" t="n">
        <x:f>L1599*O1599</x:f>
        <x:v>0</x:v>
      </x:c>
      <x:c r="Q1599" s="35" t="n">
        <x:v>1.2</x:v>
      </x:c>
      <x:c r="R1599" s="35" t="n">
        <x:f>K1599*Q1599</x:f>
        <x:v>0</x:v>
      </x:c>
      <x:c r="S1599" s="35" t="n">
        <x:f>XLOOKUP(H1599,'菜品主数据'!$A$5:$A$24,'菜品主数据'!$G$5:$G$24,0)</x:f>
        <x:v>6.3759999999999994</x:v>
      </x:c>
      <x:c r="T1599" s="35" t="n">
        <x:f>K1599*S1599</x:f>
        <x:v>0</x:v>
      </x:c>
      <x:c r="U1599" s="35" t="n">
        <x:f>L1599-N1599-P1599-R1599-T1599</x:f>
        <x:v>0</x:v>
      </x:c>
      <x:c r="V1599" s="21" t="n">
        <x:f>IFERROR(U1599/L1599,0)</x:f>
        <x:v>0</x:v>
      </x:c>
    </x:row>
    <x:row r="1600">
      <x:c r="A1600" s="19" t="str">
        <x:v>SALE-01596</x:v>
      </x:c>
      <x:c r="B1600" s="34" t="n">
        <x:v>46214.5</x:v>
      </x:c>
      <x:c r="C1600" s="19" t="str">
        <x:v>周六</x:v>
      </x:c>
      <x:c r="D1600" s="19" t="str">
        <x:v>S06</x:v>
      </x:c>
      <x:c r="E1600" s="19" t="str">
        <x:v>蓝钻天城店</x:v>
      </x:c>
      <x:c r="F1600" s="19" t="str">
        <x:v>外卖</x:v>
      </x:c>
      <x:c r="G1600" s="19" t="str">
        <x:v>全日</x:v>
      </x:c>
      <x:c r="H1600" s="19" t="str">
        <x:v>D16</x:v>
      </x:c>
      <x:c r="I1600" s="19" t="str">
        <x:v>小豆角炒五花</x:v>
      </x:c>
      <x:c r="J1600" s="22" t="n">
        <x:f>XLOOKUP(H1600,'菜品主数据'!$A$5:$A$24,'菜品主数据'!$D$5:$D$24,0)</x:f>
        <x:v>25</x:v>
      </x:c>
      <x:c r="K1600" s="31" t="n">
        <x:v>0</x:v>
      </x:c>
      <x:c r="L1600" s="35" t="n">
        <x:f>J1600*K1600</x:f>
        <x:v>0</x:v>
      </x:c>
      <x:c r="M1600" s="36" t="n">
        <x:v>0.08</x:v>
      </x:c>
      <x:c r="N1600" s="35" t="n">
        <x:f>L1600*M1600</x:f>
        <x:v>0</x:v>
      </x:c>
      <x:c r="O1600" s="37" t="n">
        <x:v>0.18</x:v>
      </x:c>
      <x:c r="P1600" s="35" t="n">
        <x:f>L1600*O1600</x:f>
        <x:v>0</x:v>
      </x:c>
      <x:c r="Q1600" s="35" t="n">
        <x:v>1.2</x:v>
      </x:c>
      <x:c r="R1600" s="35" t="n">
        <x:f>K1600*Q1600</x:f>
        <x:v>0</x:v>
      </x:c>
      <x:c r="S1600" s="35" t="n">
        <x:f>XLOOKUP(H1600,'菜品主数据'!$A$5:$A$24,'菜品主数据'!$G$5:$G$24,0)</x:f>
        <x:v>8.184</x:v>
      </x:c>
      <x:c r="T1600" s="35" t="n">
        <x:f>K1600*S1600</x:f>
        <x:v>0</x:v>
      </x:c>
      <x:c r="U1600" s="35" t="n">
        <x:f>L1600-N1600-P1600-R1600-T1600</x:f>
        <x:v>0</x:v>
      </x:c>
      <x:c r="V1600" s="21" t="n">
        <x:f>IFERROR(U1600/L1600,0)</x:f>
        <x:v>0</x:v>
      </x:c>
    </x:row>
    <x:row r="1601">
      <x:c r="A1601" s="19" t="str">
        <x:v>SALE-01597</x:v>
      </x:c>
      <x:c r="B1601" s="34" t="n">
        <x:v>46214.5</x:v>
      </x:c>
      <x:c r="C1601" s="19" t="str">
        <x:v>周六</x:v>
      </x:c>
      <x:c r="D1601" s="19" t="str">
        <x:v>S06</x:v>
      </x:c>
      <x:c r="E1601" s="19" t="str">
        <x:v>蓝钻天城店</x:v>
      </x:c>
      <x:c r="F1601" s="19" t="str">
        <x:v>外卖</x:v>
      </x:c>
      <x:c r="G1601" s="19" t="str">
        <x:v>全日</x:v>
      </x:c>
      <x:c r="H1601" s="19" t="str">
        <x:v>D17</x:v>
      </x:c>
      <x:c r="I1601" s="19" t="str">
        <x:v>蒜蓉粉丝虾</x:v>
      </x:c>
      <x:c r="J1601" s="22" t="n">
        <x:f>XLOOKUP(H1601,'菜品主数据'!$A$5:$A$24,'菜品主数据'!$D$5:$D$24,0)</x:f>
        <x:v>36</x:v>
      </x:c>
      <x:c r="K1601" s="31" t="n">
        <x:v>0</x:v>
      </x:c>
      <x:c r="L1601" s="35" t="n">
        <x:f>J1601*K1601</x:f>
        <x:v>0</x:v>
      </x:c>
      <x:c r="M1601" s="36" t="n">
        <x:v>0.08</x:v>
      </x:c>
      <x:c r="N1601" s="35" t="n">
        <x:f>L1601*M1601</x:f>
        <x:v>0</x:v>
      </x:c>
      <x:c r="O1601" s="37" t="n">
        <x:v>0.18</x:v>
      </x:c>
      <x:c r="P1601" s="35" t="n">
        <x:f>L1601*O1601</x:f>
        <x:v>0</x:v>
      </x:c>
      <x:c r="Q1601" s="35" t="n">
        <x:v>1.2</x:v>
      </x:c>
      <x:c r="R1601" s="35" t="n">
        <x:f>K1601*Q1601</x:f>
        <x:v>0</x:v>
      </x:c>
      <x:c r="S1601" s="35" t="n">
        <x:f>XLOOKUP(H1601,'菜品主数据'!$A$5:$A$24,'菜品主数据'!$G$5:$G$24,0)</x:f>
        <x:v>13.594</x:v>
      </x:c>
      <x:c r="T1601" s="35" t="n">
        <x:f>K1601*S1601</x:f>
        <x:v>0</x:v>
      </x:c>
      <x:c r="U1601" s="35" t="n">
        <x:f>L1601-N1601-P1601-R1601-T1601</x:f>
        <x:v>0</x:v>
      </x:c>
      <x:c r="V1601" s="21" t="n">
        <x:f>IFERROR(U1601/L1601,0)</x:f>
        <x:v>0</x:v>
      </x:c>
    </x:row>
    <x:row r="1602">
      <x:c r="A1602" s="19" t="str">
        <x:v>SALE-01598</x:v>
      </x:c>
      <x:c r="B1602" s="34" t="n">
        <x:v>46214.5</x:v>
      </x:c>
      <x:c r="C1602" s="19" t="str">
        <x:v>周六</x:v>
      </x:c>
      <x:c r="D1602" s="19" t="str">
        <x:v>S06</x:v>
      </x:c>
      <x:c r="E1602" s="19" t="str">
        <x:v>蓝钻天城店</x:v>
      </x:c>
      <x:c r="F1602" s="19" t="str">
        <x:v>外卖</x:v>
      </x:c>
      <x:c r="G1602" s="19" t="str">
        <x:v>全日</x:v>
      </x:c>
      <x:c r="H1602" s="19" t="str">
        <x:v>D18</x:v>
      </x:c>
      <x:c r="I1602" s="19" t="str">
        <x:v>青椒炒油麦菜</x:v>
      </x:c>
      <x:c r="J1602" s="22" t="n">
        <x:f>XLOOKUP(H1602,'菜品主数据'!$A$5:$A$24,'菜品主数据'!$D$5:$D$24,0)</x:f>
        <x:v>18</x:v>
      </x:c>
      <x:c r="K1602" s="31" t="n">
        <x:v>0</x:v>
      </x:c>
      <x:c r="L1602" s="35" t="n">
        <x:f>J1602*K1602</x:f>
        <x:v>0</x:v>
      </x:c>
      <x:c r="M1602" s="36" t="n">
        <x:v>0.08</x:v>
      </x:c>
      <x:c r="N1602" s="35" t="n">
        <x:f>L1602*M1602</x:f>
        <x:v>0</x:v>
      </x:c>
      <x:c r="O1602" s="37" t="n">
        <x:v>0.18</x:v>
      </x:c>
      <x:c r="P1602" s="35" t="n">
        <x:f>L1602*O1602</x:f>
        <x:v>0</x:v>
      </x:c>
      <x:c r="Q1602" s="35" t="n">
        <x:v>1.2</x:v>
      </x:c>
      <x:c r="R1602" s="35" t="n">
        <x:f>K1602*Q1602</x:f>
        <x:v>0</x:v>
      </x:c>
      <x:c r="S1602" s="35" t="n">
        <x:f>XLOOKUP(H1602,'菜品主数据'!$A$5:$A$24,'菜品主数据'!$G$5:$G$24,0)</x:f>
        <x:v>3.1759999999999993</x:v>
      </x:c>
      <x:c r="T1602" s="35" t="n">
        <x:f>K1602*S1602</x:f>
        <x:v>0</x:v>
      </x:c>
      <x:c r="U1602" s="35" t="n">
        <x:f>L1602-N1602-P1602-R1602-T1602</x:f>
        <x:v>0</x:v>
      </x:c>
      <x:c r="V1602" s="21" t="n">
        <x:f>IFERROR(U1602/L1602,0)</x:f>
        <x:v>0</x:v>
      </x:c>
    </x:row>
    <x:row r="1603">
      <x:c r="A1603" s="19" t="str">
        <x:v>SALE-01599</x:v>
      </x:c>
      <x:c r="B1603" s="34" t="n">
        <x:v>46214.5</x:v>
      </x:c>
      <x:c r="C1603" s="19" t="str">
        <x:v>周六</x:v>
      </x:c>
      <x:c r="D1603" s="19" t="str">
        <x:v>S06</x:v>
      </x:c>
      <x:c r="E1603" s="19" t="str">
        <x:v>蓝钻天城店</x:v>
      </x:c>
      <x:c r="F1603" s="19" t="str">
        <x:v>外卖</x:v>
      </x:c>
      <x:c r="G1603" s="19" t="str">
        <x:v>全日</x:v>
      </x:c>
      <x:c r="H1603" s="19" t="str">
        <x:v>D19</x:v>
      </x:c>
      <x:c r="I1603" s="19" t="str">
        <x:v>酸萝卜炒鸡杂</x:v>
      </x:c>
      <x:c r="J1603" s="22" t="n">
        <x:f>XLOOKUP(H1603,'菜品主数据'!$A$5:$A$24,'菜品主数据'!$D$5:$D$24,0)</x:f>
        <x:v>25</x:v>
      </x:c>
      <x:c r="K1603" s="31" t="n">
        <x:v>0</x:v>
      </x:c>
      <x:c r="L1603" s="35" t="n">
        <x:f>J1603*K1603</x:f>
        <x:v>0</x:v>
      </x:c>
      <x:c r="M1603" s="36" t="n">
        <x:v>0.08</x:v>
      </x:c>
      <x:c r="N1603" s="35" t="n">
        <x:f>L1603*M1603</x:f>
        <x:v>0</x:v>
      </x:c>
      <x:c r="O1603" s="37" t="n">
        <x:v>0.18</x:v>
      </x:c>
      <x:c r="P1603" s="35" t="n">
        <x:f>L1603*O1603</x:f>
        <x:v>0</x:v>
      </x:c>
      <x:c r="Q1603" s="35" t="n">
        <x:v>1.2</x:v>
      </x:c>
      <x:c r="R1603" s="35" t="n">
        <x:f>K1603*Q1603</x:f>
        <x:v>0</x:v>
      </x:c>
      <x:c r="S1603" s="35" t="n">
        <x:f>XLOOKUP(H1603,'菜品主数据'!$A$5:$A$24,'菜品主数据'!$G$5:$G$24,0)</x:f>
        <x:v>7.9399999999999995</x:v>
      </x:c>
      <x:c r="T1603" s="35" t="n">
        <x:f>K1603*S1603</x:f>
        <x:v>0</x:v>
      </x:c>
      <x:c r="U1603" s="35" t="n">
        <x:f>L1603-N1603-P1603-R1603-T1603</x:f>
        <x:v>0</x:v>
      </x:c>
      <x:c r="V1603" s="21" t="n">
        <x:f>IFERROR(U1603/L1603,0)</x:f>
        <x:v>0</x:v>
      </x:c>
    </x:row>
    <x:row r="1604">
      <x:c r="A1604" s="19" t="str">
        <x:v>SALE-01600</x:v>
      </x:c>
      <x:c r="B1604" s="34" t="n">
        <x:v>46214.5</x:v>
      </x:c>
      <x:c r="C1604" s="19" t="str">
        <x:v>周六</x:v>
      </x:c>
      <x:c r="D1604" s="19" t="str">
        <x:v>S06</x:v>
      </x:c>
      <x:c r="E1604" s="19" t="str">
        <x:v>蓝钻天城店</x:v>
      </x:c>
      <x:c r="F1604" s="19" t="str">
        <x:v>外卖</x:v>
      </x:c>
      <x:c r="G1604" s="19" t="str">
        <x:v>全日</x:v>
      </x:c>
      <x:c r="H1604" s="19" t="str">
        <x:v>D20</x:v>
      </x:c>
      <x:c r="I1604" s="19" t="str">
        <x:v>雪菜肉末青豆</x:v>
      </x:c>
      <x:c r="J1604" s="22" t="n">
        <x:f>XLOOKUP(H1604,'菜品主数据'!$A$5:$A$24,'菜品主数据'!$D$5:$D$24,0)</x:f>
        <x:v>18</x:v>
      </x:c>
      <x:c r="K1604" s="31" t="n">
        <x:v>0</x:v>
      </x:c>
      <x:c r="L1604" s="35" t="n">
        <x:f>J1604*K1604</x:f>
        <x:v>0</x:v>
      </x:c>
      <x:c r="M1604" s="36" t="n">
        <x:v>0.08</x:v>
      </x:c>
      <x:c r="N1604" s="35" t="n">
        <x:f>L1604*M1604</x:f>
        <x:v>0</x:v>
      </x:c>
      <x:c r="O1604" s="37" t="n">
        <x:v>0.18</x:v>
      </x:c>
      <x:c r="P1604" s="35" t="n">
        <x:f>L1604*O1604</x:f>
        <x:v>0</x:v>
      </x:c>
      <x:c r="Q1604" s="35" t="n">
        <x:v>1.2</x:v>
      </x:c>
      <x:c r="R1604" s="35" t="n">
        <x:f>K1604*Q1604</x:f>
        <x:v>0</x:v>
      </x:c>
      <x:c r="S1604" s="35" t="n">
        <x:f>XLOOKUP(H1604,'菜品主数据'!$A$5:$A$24,'菜品主数据'!$G$5:$G$24,0)</x:f>
        <x:v>7.303999999999999</x:v>
      </x:c>
      <x:c r="T1604" s="35" t="n">
        <x:f>K1604*S1604</x:f>
        <x:v>0</x:v>
      </x:c>
      <x:c r="U1604" s="35" t="n">
        <x:f>L1604-N1604-P1604-R1604-T1604</x:f>
        <x:v>0</x:v>
      </x:c>
      <x:c r="V1604" s="21" t="n">
        <x:f>IFERROR(U1604/L1604,0)</x:f>
        <x:v>0</x:v>
      </x:c>
    </x:row>
    <x:row r="1605">
      <x:c r="A1605" s="19" t="str">
        <x:v>SALE-01601</x:v>
      </x:c>
      <x:c r="B1605" s="34" t="n">
        <x:v>46215.5</x:v>
      </x:c>
      <x:c r="C1605" s="19" t="str">
        <x:v>周日</x:v>
      </x:c>
      <x:c r="D1605" s="19" t="str">
        <x:v>S06</x:v>
      </x:c>
      <x:c r="E1605" s="19" t="str">
        <x:v>蓝钻天城店</x:v>
      </x:c>
      <x:c r="F1605" s="19" t="str">
        <x:v>堂食</x:v>
      </x:c>
      <x:c r="G1605" s="19" t="str">
        <x:v>全日</x:v>
      </x:c>
      <x:c r="H1605" s="19" t="str">
        <x:v>D01</x:v>
      </x:c>
      <x:c r="I1605" s="19" t="str">
        <x:v>辣椒炒肉</x:v>
      </x:c>
      <x:c r="J1605" s="22" t="n">
        <x:f>XLOOKUP(H1605,'菜品主数据'!$A$5:$A$24,'菜品主数据'!$D$5:$D$24,0)</x:f>
        <x:v>29</x:v>
      </x:c>
      <x:c r="K1605" s="31" t="n">
        <x:v>34</x:v>
      </x:c>
      <x:c r="L1605" s="35" t="n">
        <x:f>J1605*K1605</x:f>
        <x:v>986</x:v>
      </x:c>
      <x:c r="M1605" s="36" t="n">
        <x:v>0</x:v>
      </x:c>
      <x:c r="N1605" s="35" t="n">
        <x:f>L1605*M1605</x:f>
        <x:v>0</x:v>
      </x:c>
      <x:c r="O1605" s="37" t="n">
        <x:v>0</x:v>
      </x:c>
      <x:c r="P1605" s="35" t="n">
        <x:f>L1605*O1605</x:f>
        <x:v>0</x:v>
      </x:c>
      <x:c r="Q1605" s="35" t="n">
        <x:v>0</x:v>
      </x:c>
      <x:c r="R1605" s="35" t="n">
        <x:f>K1605*Q1605</x:f>
        <x:v>0</x:v>
      </x:c>
      <x:c r="S1605" s="35" t="n">
        <x:f>XLOOKUP(H1605,'菜品主数据'!$A$5:$A$24,'菜品主数据'!$G$5:$G$24,0)</x:f>
        <x:v>8.634400000000001</x:v>
      </x:c>
      <x:c r="T1605" s="35" t="n">
        <x:f>K1605*S1605</x:f>
        <x:v>293.56960000000004</x:v>
      </x:c>
      <x:c r="U1605" s="35" t="n">
        <x:f>L1605-N1605-P1605-R1605-T1605</x:f>
        <x:v>692.4304</x:v>
      </x:c>
      <x:c r="V1605" s="21" t="n">
        <x:f>IFERROR(U1605/L1605,0)</x:f>
        <x:v>0.7022620689655172</x:v>
      </x:c>
    </x:row>
    <x:row r="1606">
      <x:c r="A1606" s="19" t="str">
        <x:v>SALE-01602</x:v>
      </x:c>
      <x:c r="B1606" s="34" t="n">
        <x:v>46215.5</x:v>
      </x:c>
      <x:c r="C1606" s="19" t="str">
        <x:v>周日</x:v>
      </x:c>
      <x:c r="D1606" s="19" t="str">
        <x:v>S06</x:v>
      </x:c>
      <x:c r="E1606" s="19" t="str">
        <x:v>蓝钻天城店</x:v>
      </x:c>
      <x:c r="F1606" s="19" t="str">
        <x:v>堂食</x:v>
      </x:c>
      <x:c r="G1606" s="19" t="str">
        <x:v>全日</x:v>
      </x:c>
      <x:c r="H1606" s="19" t="str">
        <x:v>D02</x:v>
      </x:c>
      <x:c r="I1606" s="19" t="str">
        <x:v>小炒黄牛肉</x:v>
      </x:c>
      <x:c r="J1606" s="22" t="n">
        <x:f>XLOOKUP(H1606,'菜品主数据'!$A$5:$A$24,'菜品主数据'!$D$5:$D$24,0)</x:f>
        <x:v>49</x:v>
      </x:c>
      <x:c r="K1606" s="31" t="n">
        <x:v>19</x:v>
      </x:c>
      <x:c r="L1606" s="35" t="n">
        <x:f>J1606*K1606</x:f>
        <x:v>931</x:v>
      </x:c>
      <x:c r="M1606" s="36" t="n">
        <x:v>0</x:v>
      </x:c>
      <x:c r="N1606" s="35" t="n">
        <x:f>L1606*M1606</x:f>
        <x:v>0</x:v>
      </x:c>
      <x:c r="O1606" s="37" t="n">
        <x:v>0</x:v>
      </x:c>
      <x:c r="P1606" s="35" t="n">
        <x:f>L1606*O1606</x:f>
        <x:v>0</x:v>
      </x:c>
      <x:c r="Q1606" s="35" t="n">
        <x:v>0</x:v>
      </x:c>
      <x:c r="R1606" s="35" t="n">
        <x:f>K1606*Q1606</x:f>
        <x:v>0</x:v>
      </x:c>
      <x:c r="S1606" s="35" t="n">
        <x:f>XLOOKUP(H1606,'菜品主数据'!$A$5:$A$24,'菜品主数据'!$G$5:$G$24,0)</x:f>
        <x:v>17.577</x:v>
      </x:c>
      <x:c r="T1606" s="35" t="n">
        <x:f>K1606*S1606</x:f>
        <x:v>333.963</x:v>
      </x:c>
      <x:c r="U1606" s="35" t="n">
        <x:f>L1606-N1606-P1606-R1606-T1606</x:f>
        <x:v>597.037</x:v>
      </x:c>
      <x:c r="V1606" s="21" t="n">
        <x:f>IFERROR(U1606/L1606,0)</x:f>
        <x:v>0.6412857142857143</x:v>
      </x:c>
    </x:row>
    <x:row r="1607">
      <x:c r="A1607" s="19" t="str">
        <x:v>SALE-01603</x:v>
      </x:c>
      <x:c r="B1607" s="34" t="n">
        <x:v>46215.5</x:v>
      </x:c>
      <x:c r="C1607" s="19" t="str">
        <x:v>周日</x:v>
      </x:c>
      <x:c r="D1607" s="19" t="str">
        <x:v>S06</x:v>
      </x:c>
      <x:c r="E1607" s="19" t="str">
        <x:v>蓝钻天城店</x:v>
      </x:c>
      <x:c r="F1607" s="19" t="str">
        <x:v>堂食</x:v>
      </x:c>
      <x:c r="G1607" s="19" t="str">
        <x:v>全日</x:v>
      </x:c>
      <x:c r="H1607" s="19" t="str">
        <x:v>D03</x:v>
      </x:c>
      <x:c r="I1607" s="19" t="str">
        <x:v>香醋炒蛋</x:v>
      </x:c>
      <x:c r="J1607" s="22" t="n">
        <x:f>XLOOKUP(H1607,'菜品主数据'!$A$5:$A$24,'菜品主数据'!$D$5:$D$24,0)</x:f>
        <x:v>14.9</x:v>
      </x:c>
      <x:c r="K1607" s="31" t="n">
        <x:v>27</x:v>
      </x:c>
      <x:c r="L1607" s="35" t="n">
        <x:f>J1607*K1607</x:f>
        <x:v>402.3</x:v>
      </x:c>
      <x:c r="M1607" s="36" t="n">
        <x:v>0</x:v>
      </x:c>
      <x:c r="N1607" s="35" t="n">
        <x:f>L1607*M1607</x:f>
        <x:v>0</x:v>
      </x:c>
      <x:c r="O1607" s="37" t="n">
        <x:v>0</x:v>
      </x:c>
      <x:c r="P1607" s="35" t="n">
        <x:f>L1607*O1607</x:f>
        <x:v>0</x:v>
      </x:c>
      <x:c r="Q1607" s="35" t="n">
        <x:v>0</x:v>
      </x:c>
      <x:c r="R1607" s="35" t="n">
        <x:f>K1607*Q1607</x:f>
        <x:v>0</x:v>
      </x:c>
      <x:c r="S1607" s="35" t="n">
        <x:f>XLOOKUP(H1607,'菜品主数据'!$A$5:$A$24,'菜品主数据'!$G$5:$G$24,0)</x:f>
        <x:v>3.7459999999999996</x:v>
      </x:c>
      <x:c r="T1607" s="35" t="n">
        <x:f>K1607*S1607</x:f>
        <x:v>101.14199999999998</x:v>
      </x:c>
      <x:c r="U1607" s="35" t="n">
        <x:f>L1607-N1607-P1607-R1607-T1607</x:f>
        <x:v>301.158</x:v>
      </x:c>
      <x:c r="V1607" s="21" t="n">
        <x:f>IFERROR(U1607/L1607,0)</x:f>
        <x:v>0.7485906040268456</x:v>
      </x:c>
    </x:row>
    <x:row r="1608">
      <x:c r="A1608" s="19" t="str">
        <x:v>SALE-01604</x:v>
      </x:c>
      <x:c r="B1608" s="34" t="n">
        <x:v>46215.5</x:v>
      </x:c>
      <x:c r="C1608" s="19" t="str">
        <x:v>周日</x:v>
      </x:c>
      <x:c r="D1608" s="19" t="str">
        <x:v>S06</x:v>
      </x:c>
      <x:c r="E1608" s="19" t="str">
        <x:v>蓝钻天城店</x:v>
      </x:c>
      <x:c r="F1608" s="19" t="str">
        <x:v>堂食</x:v>
      </x:c>
      <x:c r="G1608" s="19" t="str">
        <x:v>全日</x:v>
      </x:c>
      <x:c r="H1608" s="19" t="str">
        <x:v>D04</x:v>
      </x:c>
      <x:c r="I1608" s="19" t="str">
        <x:v>酸包菜炒粉皮</x:v>
      </x:c>
      <x:c r="J1608" s="22" t="n">
        <x:f>XLOOKUP(H1608,'菜品主数据'!$A$5:$A$24,'菜品主数据'!$D$5:$D$24,0)</x:f>
        <x:v>16</x:v>
      </x:c>
      <x:c r="K1608" s="31" t="n">
        <x:v>23</x:v>
      </x:c>
      <x:c r="L1608" s="35" t="n">
        <x:f>J1608*K1608</x:f>
        <x:v>368</x:v>
      </x:c>
      <x:c r="M1608" s="36" t="n">
        <x:v>0</x:v>
      </x:c>
      <x:c r="N1608" s="35" t="n">
        <x:f>L1608*M1608</x:f>
        <x:v>0</x:v>
      </x:c>
      <x:c r="O1608" s="37" t="n">
        <x:v>0</x:v>
      </x:c>
      <x:c r="P1608" s="35" t="n">
        <x:f>L1608*O1608</x:f>
        <x:v>0</x:v>
      </x:c>
      <x:c r="Q1608" s="35" t="n">
        <x:v>0</x:v>
      </x:c>
      <x:c r="R1608" s="35" t="n">
        <x:f>K1608*Q1608</x:f>
        <x:v>0</x:v>
      </x:c>
      <x:c r="S1608" s="35" t="n">
        <x:f>XLOOKUP(H1608,'菜品主数据'!$A$5:$A$24,'菜品主数据'!$G$5:$G$24,0)</x:f>
        <x:v>3.978</x:v>
      </x:c>
      <x:c r="T1608" s="35" t="n">
        <x:f>K1608*S1608</x:f>
        <x:v>91.494</x:v>
      </x:c>
      <x:c r="U1608" s="35" t="n">
        <x:f>L1608-N1608-P1608-R1608-T1608</x:f>
        <x:v>276.506</x:v>
      </x:c>
      <x:c r="V1608" s="21" t="n">
        <x:f>IFERROR(U1608/L1608,0)</x:f>
        <x:v>0.7513749999999999</x:v>
      </x:c>
    </x:row>
    <x:row r="1609">
      <x:c r="A1609" s="19" t="str">
        <x:v>SALE-01605</x:v>
      </x:c>
      <x:c r="B1609" s="34" t="n">
        <x:v>46215.5</x:v>
      </x:c>
      <x:c r="C1609" s="19" t="str">
        <x:v>周日</x:v>
      </x:c>
      <x:c r="D1609" s="19" t="str">
        <x:v>S06</x:v>
      </x:c>
      <x:c r="E1609" s="19" t="str">
        <x:v>蓝钻天城店</x:v>
      </x:c>
      <x:c r="F1609" s="19" t="str">
        <x:v>堂食</x:v>
      </x:c>
      <x:c r="G1609" s="19" t="str">
        <x:v>全日</x:v>
      </x:c>
      <x:c r="H1609" s="19" t="str">
        <x:v>D05</x:v>
      </x:c>
      <x:c r="I1609" s="19" t="str">
        <x:v>麻婆豆腐</x:v>
      </x:c>
      <x:c r="J1609" s="22" t="n">
        <x:f>XLOOKUP(H1609,'菜品主数据'!$A$5:$A$24,'菜品主数据'!$D$5:$D$24,0)</x:f>
        <x:v>9.9</x:v>
      </x:c>
      <x:c r="K1609" s="31" t="n">
        <x:v>34</x:v>
      </x:c>
      <x:c r="L1609" s="35" t="n">
        <x:f>J1609*K1609</x:f>
        <x:v>336.6</x:v>
      </x:c>
      <x:c r="M1609" s="36" t="n">
        <x:v>0</x:v>
      </x:c>
      <x:c r="N1609" s="35" t="n">
        <x:f>L1609*M1609</x:f>
        <x:v>0</x:v>
      </x:c>
      <x:c r="O1609" s="37" t="n">
        <x:v>0</x:v>
      </x:c>
      <x:c r="P1609" s="35" t="n">
        <x:f>L1609*O1609</x:f>
        <x:v>0</x:v>
      </x:c>
      <x:c r="Q1609" s="35" t="n">
        <x:v>0</x:v>
      </x:c>
      <x:c r="R1609" s="35" t="n">
        <x:f>K1609*Q1609</x:f>
        <x:v>0</x:v>
      </x:c>
      <x:c r="S1609" s="35" t="n">
        <x:f>XLOOKUP(H1609,'菜品主数据'!$A$5:$A$24,'菜品主数据'!$G$5:$G$24,0)</x:f>
        <x:v>5.367000000000001</x:v>
      </x:c>
      <x:c r="T1609" s="35" t="n">
        <x:f>K1609*S1609</x:f>
        <x:v>182.47800000000004</x:v>
      </x:c>
      <x:c r="U1609" s="35" t="n">
        <x:f>L1609-N1609-P1609-R1609-T1609</x:f>
        <x:v>154.12199999999999</x:v>
      </x:c>
      <x:c r="V1609" s="21" t="n">
        <x:f>IFERROR(U1609/L1609,0)</x:f>
        <x:v>0.45787878787878783</x:v>
      </x:c>
    </x:row>
    <x:row r="1610">
      <x:c r="A1610" s="19" t="str">
        <x:v>SALE-01606</x:v>
      </x:c>
      <x:c r="B1610" s="34" t="n">
        <x:v>46215.5</x:v>
      </x:c>
      <x:c r="C1610" s="19" t="str">
        <x:v>周日</x:v>
      </x:c>
      <x:c r="D1610" s="19" t="str">
        <x:v>S06</x:v>
      </x:c>
      <x:c r="E1610" s="19" t="str">
        <x:v>蓝钻天城店</x:v>
      </x:c>
      <x:c r="F1610" s="19" t="str">
        <x:v>堂食</x:v>
      </x:c>
      <x:c r="G1610" s="19" t="str">
        <x:v>全日</x:v>
      </x:c>
      <x:c r="H1610" s="19" t="str">
        <x:v>D06</x:v>
      </x:c>
      <x:c r="I1610" s="19" t="str">
        <x:v>剁椒鱼头</x:v>
      </x:c>
      <x:c r="J1610" s="22" t="n">
        <x:f>XLOOKUP(H1610,'菜品主数据'!$A$5:$A$24,'菜品主数据'!$D$5:$D$24,0)</x:f>
        <x:v>39</x:v>
      </x:c>
      <x:c r="K1610" s="31" t="n">
        <x:v>9</x:v>
      </x:c>
      <x:c r="L1610" s="35" t="n">
        <x:f>J1610*K1610</x:f>
        <x:v>351</x:v>
      </x:c>
      <x:c r="M1610" s="36" t="n">
        <x:v>0</x:v>
      </x:c>
      <x:c r="N1610" s="35" t="n">
        <x:f>L1610*M1610</x:f>
        <x:v>0</x:v>
      </x:c>
      <x:c r="O1610" s="37" t="n">
        <x:v>0</x:v>
      </x:c>
      <x:c r="P1610" s="35" t="n">
        <x:f>L1610*O1610</x:f>
        <x:v>0</x:v>
      </x:c>
      <x:c r="Q1610" s="35" t="n">
        <x:v>0</x:v>
      </x:c>
      <x:c r="R1610" s="35" t="n">
        <x:f>K1610*Q1610</x:f>
        <x:v>0</x:v>
      </x:c>
      <x:c r="S1610" s="35" t="n">
        <x:f>XLOOKUP(H1610,'菜品主数据'!$A$5:$A$24,'菜品主数据'!$G$5:$G$24,0)</x:f>
        <x:v>17.446</x:v>
      </x:c>
      <x:c r="T1610" s="35" t="n">
        <x:f>K1610*S1610</x:f>
        <x:v>157.014</x:v>
      </x:c>
      <x:c r="U1610" s="35" t="n">
        <x:f>L1610-N1610-P1610-R1610-T1610</x:f>
        <x:v>193.986</x:v>
      </x:c>
      <x:c r="V1610" s="21" t="n">
        <x:f>IFERROR(U1610/L1610,0)</x:f>
        <x:v>0.5526666666666666</x:v>
      </x:c>
    </x:row>
    <x:row r="1611">
      <x:c r="A1611" s="19" t="str">
        <x:v>SALE-01607</x:v>
      </x:c>
      <x:c r="B1611" s="34" t="n">
        <x:v>46215.5</x:v>
      </x:c>
      <x:c r="C1611" s="19" t="str">
        <x:v>周日</x:v>
      </x:c>
      <x:c r="D1611" s="19" t="str">
        <x:v>S06</x:v>
      </x:c>
      <x:c r="E1611" s="19" t="str">
        <x:v>蓝钻天城店</x:v>
      </x:c>
      <x:c r="F1611" s="19" t="str">
        <x:v>堂食</x:v>
      </x:c>
      <x:c r="G1611" s="19" t="str">
        <x:v>全日</x:v>
      </x:c>
      <x:c r="H1611" s="19" t="str">
        <x:v>D07</x:v>
      </x:c>
      <x:c r="I1611" s="19" t="str">
        <x:v>川味回锅肉</x:v>
      </x:c>
      <x:c r="J1611" s="22" t="n">
        <x:f>XLOOKUP(H1611,'菜品主数据'!$A$5:$A$24,'菜品主数据'!$D$5:$D$24,0)</x:f>
        <x:v>29</x:v>
      </x:c>
      <x:c r="K1611" s="31" t="n">
        <x:v>10</x:v>
      </x:c>
      <x:c r="L1611" s="35" t="n">
        <x:f>J1611*K1611</x:f>
        <x:v>290</x:v>
      </x:c>
      <x:c r="M1611" s="36" t="n">
        <x:v>0</x:v>
      </x:c>
      <x:c r="N1611" s="35" t="n">
        <x:f>L1611*M1611</x:f>
        <x:v>0</x:v>
      </x:c>
      <x:c r="O1611" s="37" t="n">
        <x:v>0</x:v>
      </x:c>
      <x:c r="P1611" s="35" t="n">
        <x:f>L1611*O1611</x:f>
        <x:v>0</x:v>
      </x:c>
      <x:c r="Q1611" s="35" t="n">
        <x:v>0</x:v>
      </x:c>
      <x:c r="R1611" s="35" t="n">
        <x:f>K1611*Q1611</x:f>
        <x:v>0</x:v>
      </x:c>
      <x:c r="S1611" s="35" t="n">
        <x:f>XLOOKUP(H1611,'菜品主数据'!$A$5:$A$24,'菜品主数据'!$G$5:$G$24,0)</x:f>
        <x:v>10.231000000000002</x:v>
      </x:c>
      <x:c r="T1611" s="35" t="n">
        <x:f>K1611*S1611</x:f>
        <x:v>102.31000000000002</x:v>
      </x:c>
      <x:c r="U1611" s="35" t="n">
        <x:f>L1611-N1611-P1611-R1611-T1611</x:f>
        <x:v>187.69</x:v>
      </x:c>
      <x:c r="V1611" s="21" t="n">
        <x:f>IFERROR(U1611/L1611,0)</x:f>
        <x:v>0.6472068965517241</x:v>
      </x:c>
    </x:row>
    <x:row r="1612">
      <x:c r="A1612" s="19" t="str">
        <x:v>SALE-01608</x:v>
      </x:c>
      <x:c r="B1612" s="34" t="n">
        <x:v>46215.5</x:v>
      </x:c>
      <x:c r="C1612" s="19" t="str">
        <x:v>周日</x:v>
      </x:c>
      <x:c r="D1612" s="19" t="str">
        <x:v>S06</x:v>
      </x:c>
      <x:c r="E1612" s="19" t="str">
        <x:v>蓝钻天城店</x:v>
      </x:c>
      <x:c r="F1612" s="19" t="str">
        <x:v>堂食</x:v>
      </x:c>
      <x:c r="G1612" s="19" t="str">
        <x:v>全日</x:v>
      </x:c>
      <x:c r="H1612" s="19" t="str">
        <x:v>D08</x:v>
      </x:c>
      <x:c r="I1612" s="19" t="str">
        <x:v>生炒清远鸡</x:v>
      </x:c>
      <x:c r="J1612" s="22" t="n">
        <x:f>XLOOKUP(H1612,'菜品主数据'!$A$5:$A$24,'菜品主数据'!$D$5:$D$24,0)</x:f>
        <x:v>36</x:v>
      </x:c>
      <x:c r="K1612" s="31" t="n">
        <x:v>7</x:v>
      </x:c>
      <x:c r="L1612" s="35" t="n">
        <x:f>J1612*K1612</x:f>
        <x:v>252</x:v>
      </x:c>
      <x:c r="M1612" s="36" t="n">
        <x:v>0</x:v>
      </x:c>
      <x:c r="N1612" s="35" t="n">
        <x:f>L1612*M1612</x:f>
        <x:v>0</x:v>
      </x:c>
      <x:c r="O1612" s="37" t="n">
        <x:v>0</x:v>
      </x:c>
      <x:c r="P1612" s="35" t="n">
        <x:f>L1612*O1612</x:f>
        <x:v>0</x:v>
      </x:c>
      <x:c r="Q1612" s="35" t="n">
        <x:v>0</x:v>
      </x:c>
      <x:c r="R1612" s="35" t="n">
        <x:f>K1612*Q1612</x:f>
        <x:v>0</x:v>
      </x:c>
      <x:c r="S1612" s="35" t="n">
        <x:f>XLOOKUP(H1612,'菜品主数据'!$A$5:$A$24,'菜品主数据'!$G$5:$G$24,0)</x:f>
        <x:v>13.48</x:v>
      </x:c>
      <x:c r="T1612" s="35" t="n">
        <x:f>K1612*S1612</x:f>
        <x:v>94.36</x:v>
      </x:c>
      <x:c r="U1612" s="35" t="n">
        <x:f>L1612-N1612-P1612-R1612-T1612</x:f>
        <x:v>157.64</x:v>
      </x:c>
      <x:c r="V1612" s="21" t="n">
        <x:f>IFERROR(U1612/L1612,0)</x:f>
        <x:v>0.6255555555555555</x:v>
      </x:c>
    </x:row>
    <x:row r="1613">
      <x:c r="A1613" s="19" t="str">
        <x:v>SALE-01609</x:v>
      </x:c>
      <x:c r="B1613" s="34" t="n">
        <x:v>46215.5</x:v>
      </x:c>
      <x:c r="C1613" s="19" t="str">
        <x:v>周日</x:v>
      </x:c>
      <x:c r="D1613" s="19" t="str">
        <x:v>S06</x:v>
      </x:c>
      <x:c r="E1613" s="19" t="str">
        <x:v>蓝钻天城店</x:v>
      </x:c>
      <x:c r="F1613" s="19" t="str">
        <x:v>堂食</x:v>
      </x:c>
      <x:c r="G1613" s="19" t="str">
        <x:v>全日</x:v>
      </x:c>
      <x:c r="H1613" s="19" t="str">
        <x:v>D09</x:v>
      </x:c>
      <x:c r="I1613" s="19" t="str">
        <x:v>炒豆干</x:v>
      </x:c>
      <x:c r="J1613" s="22" t="n">
        <x:f>XLOOKUP(H1613,'菜品主数据'!$A$5:$A$24,'菜品主数据'!$D$5:$D$24,0)</x:f>
        <x:v>18</x:v>
      </x:c>
      <x:c r="K1613" s="31" t="n">
        <x:v>11</x:v>
      </x:c>
      <x:c r="L1613" s="35" t="n">
        <x:f>J1613*K1613</x:f>
        <x:v>198</x:v>
      </x:c>
      <x:c r="M1613" s="36" t="n">
        <x:v>0</x:v>
      </x:c>
      <x:c r="N1613" s="35" t="n">
        <x:f>L1613*M1613</x:f>
        <x:v>0</x:v>
      </x:c>
      <x:c r="O1613" s="37" t="n">
        <x:v>0</x:v>
      </x:c>
      <x:c r="P1613" s="35" t="n">
        <x:f>L1613*O1613</x:f>
        <x:v>0</x:v>
      </x:c>
      <x:c r="Q1613" s="35" t="n">
        <x:v>0</x:v>
      </x:c>
      <x:c r="R1613" s="35" t="n">
        <x:f>K1613*Q1613</x:f>
        <x:v>0</x:v>
      </x:c>
      <x:c r="S1613" s="35" t="n">
        <x:f>XLOOKUP(H1613,'菜品主数据'!$A$5:$A$24,'菜品主数据'!$G$5:$G$24,0)</x:f>
        <x:v>6.613999999999999</x:v>
      </x:c>
      <x:c r="T1613" s="35" t="n">
        <x:f>K1613*S1613</x:f>
        <x:v>72.75399999999999</x:v>
      </x:c>
      <x:c r="U1613" s="35" t="n">
        <x:f>L1613-N1613-P1613-R1613-T1613</x:f>
        <x:v>125.24600000000001</x:v>
      </x:c>
      <x:c r="V1613" s="21" t="n">
        <x:f>IFERROR(U1613/L1613,0)</x:f>
        <x:v>0.6325555555555556</x:v>
      </x:c>
    </x:row>
    <x:row r="1614">
      <x:c r="A1614" s="19" t="str">
        <x:v>SALE-01610</x:v>
      </x:c>
      <x:c r="B1614" s="34" t="n">
        <x:v>46215.5</x:v>
      </x:c>
      <x:c r="C1614" s="19" t="str">
        <x:v>周日</x:v>
      </x:c>
      <x:c r="D1614" s="19" t="str">
        <x:v>S06</x:v>
      </x:c>
      <x:c r="E1614" s="19" t="str">
        <x:v>蓝钻天城店</x:v>
      </x:c>
      <x:c r="F1614" s="19" t="str">
        <x:v>堂食</x:v>
      </x:c>
      <x:c r="G1614" s="19" t="str">
        <x:v>全日</x:v>
      </x:c>
      <x:c r="H1614" s="19" t="str">
        <x:v>D10</x:v>
      </x:c>
      <x:c r="I1614" s="19" t="str">
        <x:v>农家一碗香</x:v>
      </x:c>
      <x:c r="J1614" s="22" t="n">
        <x:f>XLOOKUP(H1614,'菜品主数据'!$A$5:$A$24,'菜品主数据'!$D$5:$D$24,0)</x:f>
        <x:v>22.9</x:v>
      </x:c>
      <x:c r="K1614" s="31" t="n">
        <x:v>11</x:v>
      </x:c>
      <x:c r="L1614" s="35" t="n">
        <x:f>J1614*K1614</x:f>
        <x:v>251.89999999999998</x:v>
      </x:c>
      <x:c r="M1614" s="36" t="n">
        <x:v>0</x:v>
      </x:c>
      <x:c r="N1614" s="35" t="n">
        <x:f>L1614*M1614</x:f>
        <x:v>0</x:v>
      </x:c>
      <x:c r="O1614" s="37" t="n">
        <x:v>0</x:v>
      </x:c>
      <x:c r="P1614" s="35" t="n">
        <x:f>L1614*O1614</x:f>
        <x:v>0</x:v>
      </x:c>
      <x:c r="Q1614" s="35" t="n">
        <x:v>0</x:v>
      </x:c>
      <x:c r="R1614" s="35" t="n">
        <x:f>K1614*Q1614</x:f>
        <x:v>0</x:v>
      </x:c>
      <x:c r="S1614" s="35" t="n">
        <x:f>XLOOKUP(H1614,'菜品主数据'!$A$5:$A$24,'菜品主数据'!$G$5:$G$24,0)</x:f>
        <x:v>9.770200000000003</x:v>
      </x:c>
      <x:c r="T1614" s="35" t="n">
        <x:f>K1614*S1614</x:f>
        <x:v>107.47220000000003</x:v>
      </x:c>
      <x:c r="U1614" s="35" t="n">
        <x:f>L1614-N1614-P1614-R1614-T1614</x:f>
        <x:v>144.42779999999993</x:v>
      </x:c>
      <x:c r="V1614" s="21" t="n">
        <x:f>IFERROR(U1614/L1614,0)</x:f>
        <x:v>0.5733537117903929</x:v>
      </x:c>
    </x:row>
    <x:row r="1615">
      <x:c r="A1615" s="19" t="str">
        <x:v>SALE-01611</x:v>
      </x:c>
      <x:c r="B1615" s="34" t="n">
        <x:v>46215.5</x:v>
      </x:c>
      <x:c r="C1615" s="19" t="str">
        <x:v>周日</x:v>
      </x:c>
      <x:c r="D1615" s="19" t="str">
        <x:v>S06</x:v>
      </x:c>
      <x:c r="E1615" s="19" t="str">
        <x:v>蓝钻天城店</x:v>
      </x:c>
      <x:c r="F1615" s="19" t="str">
        <x:v>堂食</x:v>
      </x:c>
      <x:c r="G1615" s="19" t="str">
        <x:v>全日</x:v>
      </x:c>
      <x:c r="H1615" s="19" t="str">
        <x:v>D11</x:v>
      </x:c>
      <x:c r="I1615" s="19" t="str">
        <x:v>香辣爆肥肠</x:v>
      </x:c>
      <x:c r="J1615" s="22" t="n">
        <x:f>XLOOKUP(H1615,'菜品主数据'!$A$5:$A$24,'菜品主数据'!$D$5:$D$24,0)</x:f>
        <x:v>39</x:v>
      </x:c>
      <x:c r="K1615" s="31" t="n">
        <x:v>4</x:v>
      </x:c>
      <x:c r="L1615" s="35" t="n">
        <x:f>J1615*K1615</x:f>
        <x:v>156</x:v>
      </x:c>
      <x:c r="M1615" s="36" t="n">
        <x:v>0</x:v>
      </x:c>
      <x:c r="N1615" s="35" t="n">
        <x:f>L1615*M1615</x:f>
        <x:v>0</x:v>
      </x:c>
      <x:c r="O1615" s="37" t="n">
        <x:v>0</x:v>
      </x:c>
      <x:c r="P1615" s="35" t="n">
        <x:f>L1615*O1615</x:f>
        <x:v>0</x:v>
      </x:c>
      <x:c r="Q1615" s="35" t="n">
        <x:v>0</x:v>
      </x:c>
      <x:c r="R1615" s="35" t="n">
        <x:f>K1615*Q1615</x:f>
        <x:v>0</x:v>
      </x:c>
      <x:c r="S1615" s="35" t="n">
        <x:f>XLOOKUP(H1615,'菜品主数据'!$A$5:$A$24,'菜品主数据'!$G$5:$G$24,0)</x:f>
        <x:v>10.397</x:v>
      </x:c>
      <x:c r="T1615" s="35" t="n">
        <x:f>K1615*S1615</x:f>
        <x:v>41.588</x:v>
      </x:c>
      <x:c r="U1615" s="35" t="n">
        <x:f>L1615-N1615-P1615-R1615-T1615</x:f>
        <x:v>114.412</x:v>
      </x:c>
      <x:c r="V1615" s="21" t="n">
        <x:f>IFERROR(U1615/L1615,0)</x:f>
        <x:v>0.7334102564102565</x:v>
      </x:c>
    </x:row>
    <x:row r="1616">
      <x:c r="A1616" s="19" t="str">
        <x:v>SALE-01612</x:v>
      </x:c>
      <x:c r="B1616" s="34" t="n">
        <x:v>46215.5</x:v>
      </x:c>
      <x:c r="C1616" s="19" t="str">
        <x:v>周日</x:v>
      </x:c>
      <x:c r="D1616" s="19" t="str">
        <x:v>S06</x:v>
      </x:c>
      <x:c r="E1616" s="19" t="str">
        <x:v>蓝钻天城店</x:v>
      </x:c>
      <x:c r="F1616" s="19" t="str">
        <x:v>堂食</x:v>
      </x:c>
      <x:c r="G1616" s="19" t="str">
        <x:v>全日</x:v>
      </x:c>
      <x:c r="H1616" s="19" t="str">
        <x:v>D12</x:v>
      </x:c>
      <x:c r="I1616" s="19" t="str">
        <x:v>清蒸鲈鱼</x:v>
      </x:c>
      <x:c r="J1616" s="22" t="n">
        <x:f>XLOOKUP(H1616,'菜品主数据'!$A$5:$A$24,'菜品主数据'!$D$5:$D$24,0)</x:f>
        <x:v>39</x:v>
      </x:c>
      <x:c r="K1616" s="31" t="n">
        <x:v>4</x:v>
      </x:c>
      <x:c r="L1616" s="35" t="n">
        <x:f>J1616*K1616</x:f>
        <x:v>156</x:v>
      </x:c>
      <x:c r="M1616" s="36" t="n">
        <x:v>0</x:v>
      </x:c>
      <x:c r="N1616" s="35" t="n">
        <x:f>L1616*M1616</x:f>
        <x:v>0</x:v>
      </x:c>
      <x:c r="O1616" s="37" t="n">
        <x:v>0</x:v>
      </x:c>
      <x:c r="P1616" s="35" t="n">
        <x:f>L1616*O1616</x:f>
        <x:v>0</x:v>
      </x:c>
      <x:c r="Q1616" s="35" t="n">
        <x:v>0</x:v>
      </x:c>
      <x:c r="R1616" s="35" t="n">
        <x:f>K1616*Q1616</x:f>
        <x:v>0</x:v>
      </x:c>
      <x:c r="S1616" s="35" t="n">
        <x:f>XLOOKUP(H1616,'菜品主数据'!$A$5:$A$24,'菜品主数据'!$G$5:$G$24,0)</x:f>
        <x:v>18.874</x:v>
      </x:c>
      <x:c r="T1616" s="35" t="n">
        <x:f>K1616*S1616</x:f>
        <x:v>75.496</x:v>
      </x:c>
      <x:c r="U1616" s="35" t="n">
        <x:f>L1616-N1616-P1616-R1616-T1616</x:f>
        <x:v>80.504</x:v>
      </x:c>
      <x:c r="V1616" s="21" t="n">
        <x:f>IFERROR(U1616/L1616,0)</x:f>
        <x:v>0.516051282051282</x:v>
      </x:c>
    </x:row>
    <x:row r="1617">
      <x:c r="A1617" s="19" t="str">
        <x:v>SALE-01613</x:v>
      </x:c>
      <x:c r="B1617" s="34" t="n">
        <x:v>46215.5</x:v>
      </x:c>
      <x:c r="C1617" s="19" t="str">
        <x:v>周日</x:v>
      </x:c>
      <x:c r="D1617" s="19" t="str">
        <x:v>S06</x:v>
      </x:c>
      <x:c r="E1617" s="19" t="str">
        <x:v>蓝钻天城店</x:v>
      </x:c>
      <x:c r="F1617" s="19" t="str">
        <x:v>堂食</x:v>
      </x:c>
      <x:c r="G1617" s="19" t="str">
        <x:v>全日</x:v>
      </x:c>
      <x:c r="H1617" s="19" t="str">
        <x:v>D13</x:v>
      </x:c>
      <x:c r="I1617" s="19" t="str">
        <x:v>外婆菜炒蛋</x:v>
      </x:c>
      <x:c r="J1617" s="22" t="n">
        <x:f>XLOOKUP(H1617,'菜品主数据'!$A$5:$A$24,'菜品主数据'!$D$5:$D$24,0)</x:f>
        <x:v>18</x:v>
      </x:c>
      <x:c r="K1617" s="31" t="n">
        <x:v>11</x:v>
      </x:c>
      <x:c r="L1617" s="35" t="n">
        <x:f>J1617*K1617</x:f>
        <x:v>198</x:v>
      </x:c>
      <x:c r="M1617" s="36" t="n">
        <x:v>0</x:v>
      </x:c>
      <x:c r="N1617" s="35" t="n">
        <x:f>L1617*M1617</x:f>
        <x:v>0</x:v>
      </x:c>
      <x:c r="O1617" s="37" t="n">
        <x:v>0</x:v>
      </x:c>
      <x:c r="P1617" s="35" t="n">
        <x:f>L1617*O1617</x:f>
        <x:v>0</x:v>
      </x:c>
      <x:c r="Q1617" s="35" t="n">
        <x:v>0</x:v>
      </x:c>
      <x:c r="R1617" s="35" t="n">
        <x:f>K1617*Q1617</x:f>
        <x:v>0</x:v>
      </x:c>
      <x:c r="S1617" s="35" t="n">
        <x:f>XLOOKUP(H1617,'菜品主数据'!$A$5:$A$24,'菜品主数据'!$G$5:$G$24,0)</x:f>
        <x:v>5.403999999999999</x:v>
      </x:c>
      <x:c r="T1617" s="35" t="n">
        <x:f>K1617*S1617</x:f>
        <x:v>59.44399999999999</x:v>
      </x:c>
      <x:c r="U1617" s="35" t="n">
        <x:f>L1617-N1617-P1617-R1617-T1617</x:f>
        <x:v>138.556</x:v>
      </x:c>
      <x:c r="V1617" s="21" t="n">
        <x:f>IFERROR(U1617/L1617,0)</x:f>
        <x:v>0.6997777777777778</x:v>
      </x:c>
    </x:row>
    <x:row r="1618">
      <x:c r="A1618" s="19" t="str">
        <x:v>SALE-01614</x:v>
      </x:c>
      <x:c r="B1618" s="34" t="n">
        <x:v>46215.5</x:v>
      </x:c>
      <x:c r="C1618" s="19" t="str">
        <x:v>周日</x:v>
      </x:c>
      <x:c r="D1618" s="19" t="str">
        <x:v>S06</x:v>
      </x:c>
      <x:c r="E1618" s="19" t="str">
        <x:v>蓝钻天城店</x:v>
      </x:c>
      <x:c r="F1618" s="19" t="str">
        <x:v>堂食</x:v>
      </x:c>
      <x:c r="G1618" s="19" t="str">
        <x:v>全日</x:v>
      </x:c>
      <x:c r="H1618" s="19" t="str">
        <x:v>D14</x:v>
      </x:c>
      <x:c r="I1618" s="19" t="str">
        <x:v>酸辣鸡杂</x:v>
      </x:c>
      <x:c r="J1618" s="22" t="n">
        <x:f>XLOOKUP(H1618,'菜品主数据'!$A$5:$A$24,'菜品主数据'!$D$5:$D$24,0)</x:f>
        <x:v>28</x:v>
      </x:c>
      <x:c r="K1618" s="31" t="n">
        <x:v>6</x:v>
      </x:c>
      <x:c r="L1618" s="35" t="n">
        <x:f>J1618*K1618</x:f>
        <x:v>168</x:v>
      </x:c>
      <x:c r="M1618" s="36" t="n">
        <x:v>0</x:v>
      </x:c>
      <x:c r="N1618" s="35" t="n">
        <x:f>L1618*M1618</x:f>
        <x:v>0</x:v>
      </x:c>
      <x:c r="O1618" s="37" t="n">
        <x:v>0</x:v>
      </x:c>
      <x:c r="P1618" s="35" t="n">
        <x:f>L1618*O1618</x:f>
        <x:v>0</x:v>
      </x:c>
      <x:c r="Q1618" s="35" t="n">
        <x:v>0</x:v>
      </x:c>
      <x:c r="R1618" s="35" t="n">
        <x:f>K1618*Q1618</x:f>
        <x:v>0</x:v>
      </x:c>
      <x:c r="S1618" s="35" t="n">
        <x:f>XLOOKUP(H1618,'菜品主数据'!$A$5:$A$24,'菜品主数据'!$G$5:$G$24,0)</x:f>
        <x:v>8.315000000000001</x:v>
      </x:c>
      <x:c r="T1618" s="35" t="n">
        <x:f>K1618*S1618</x:f>
        <x:v>49.89000000000001</x:v>
      </x:c>
      <x:c r="U1618" s="35" t="n">
        <x:f>L1618-N1618-P1618-R1618-T1618</x:f>
        <x:v>118.10999999999999</x:v>
      </x:c>
      <x:c r="V1618" s="21" t="n">
        <x:f>IFERROR(U1618/L1618,0)</x:f>
        <x:v>0.7030357142857142</x:v>
      </x:c>
    </x:row>
    <x:row r="1619">
      <x:c r="A1619" s="19" t="str">
        <x:v>SALE-01615</x:v>
      </x:c>
      <x:c r="B1619" s="34" t="n">
        <x:v>46215.5</x:v>
      </x:c>
      <x:c r="C1619" s="19" t="str">
        <x:v>周日</x:v>
      </x:c>
      <x:c r="D1619" s="19" t="str">
        <x:v>S06</x:v>
      </x:c>
      <x:c r="E1619" s="19" t="str">
        <x:v>蓝钻天城店</x:v>
      </x:c>
      <x:c r="F1619" s="19" t="str">
        <x:v>堂食</x:v>
      </x:c>
      <x:c r="G1619" s="19" t="str">
        <x:v>全日</x:v>
      </x:c>
      <x:c r="H1619" s="19" t="str">
        <x:v>D15</x:v>
      </x:c>
      <x:c r="I1619" s="19" t="str">
        <x:v>湘西土匪猪肝</x:v>
      </x:c>
      <x:c r="J1619" s="22" t="n">
        <x:f>XLOOKUP(H1619,'菜品主数据'!$A$5:$A$24,'菜品主数据'!$D$5:$D$24,0)</x:f>
        <x:v>26</x:v>
      </x:c>
      <x:c r="K1619" s="31" t="n">
        <x:v>5</x:v>
      </x:c>
      <x:c r="L1619" s="35" t="n">
        <x:f>J1619*K1619</x:f>
        <x:v>130</x:v>
      </x:c>
      <x:c r="M1619" s="36" t="n">
        <x:v>0</x:v>
      </x:c>
      <x:c r="N1619" s="35" t="n">
        <x:f>L1619*M1619</x:f>
        <x:v>0</x:v>
      </x:c>
      <x:c r="O1619" s="37" t="n">
        <x:v>0</x:v>
      </x:c>
      <x:c r="P1619" s="35" t="n">
        <x:f>L1619*O1619</x:f>
        <x:v>0</x:v>
      </x:c>
      <x:c r="Q1619" s="35" t="n">
        <x:v>0</x:v>
      </x:c>
      <x:c r="R1619" s="35" t="n">
        <x:f>K1619*Q1619</x:f>
        <x:v>0</x:v>
      </x:c>
      <x:c r="S1619" s="35" t="n">
        <x:f>XLOOKUP(H1619,'菜品主数据'!$A$5:$A$24,'菜品主数据'!$G$5:$G$24,0)</x:f>
        <x:v>6.3759999999999994</x:v>
      </x:c>
      <x:c r="T1619" s="35" t="n">
        <x:f>K1619*S1619</x:f>
        <x:v>31.879999999999995</x:v>
      </x:c>
      <x:c r="U1619" s="35" t="n">
        <x:f>L1619-N1619-P1619-R1619-T1619</x:f>
        <x:v>98.12</x:v>
      </x:c>
      <x:c r="V1619" s="21" t="n">
        <x:f>IFERROR(U1619/L1619,0)</x:f>
        <x:v>0.7547692307692309</x:v>
      </x:c>
    </x:row>
    <x:row r="1620">
      <x:c r="A1620" s="19" t="str">
        <x:v>SALE-01616</x:v>
      </x:c>
      <x:c r="B1620" s="34" t="n">
        <x:v>46215.5</x:v>
      </x:c>
      <x:c r="C1620" s="19" t="str">
        <x:v>周日</x:v>
      </x:c>
      <x:c r="D1620" s="19" t="str">
        <x:v>S06</x:v>
      </x:c>
      <x:c r="E1620" s="19" t="str">
        <x:v>蓝钻天城店</x:v>
      </x:c>
      <x:c r="F1620" s="19" t="str">
        <x:v>堂食</x:v>
      </x:c>
      <x:c r="G1620" s="19" t="str">
        <x:v>全日</x:v>
      </x:c>
      <x:c r="H1620" s="19" t="str">
        <x:v>D16</x:v>
      </x:c>
      <x:c r="I1620" s="19" t="str">
        <x:v>小豆角炒五花</x:v>
      </x:c>
      <x:c r="J1620" s="22" t="n">
        <x:f>XLOOKUP(H1620,'菜品主数据'!$A$5:$A$24,'菜品主数据'!$D$5:$D$24,0)</x:f>
        <x:v>25</x:v>
      </x:c>
      <x:c r="K1620" s="31" t="n">
        <x:v>5</x:v>
      </x:c>
      <x:c r="L1620" s="35" t="n">
        <x:f>J1620*K1620</x:f>
        <x:v>125</x:v>
      </x:c>
      <x:c r="M1620" s="36" t="n">
        <x:v>0</x:v>
      </x:c>
      <x:c r="N1620" s="35" t="n">
        <x:f>L1620*M1620</x:f>
        <x:v>0</x:v>
      </x:c>
      <x:c r="O1620" s="37" t="n">
        <x:v>0</x:v>
      </x:c>
      <x:c r="P1620" s="35" t="n">
        <x:f>L1620*O1620</x:f>
        <x:v>0</x:v>
      </x:c>
      <x:c r="Q1620" s="35" t="n">
        <x:v>0</x:v>
      </x:c>
      <x:c r="R1620" s="35" t="n">
        <x:f>K1620*Q1620</x:f>
        <x:v>0</x:v>
      </x:c>
      <x:c r="S1620" s="35" t="n">
        <x:f>XLOOKUP(H1620,'菜品主数据'!$A$5:$A$24,'菜品主数据'!$G$5:$G$24,0)</x:f>
        <x:v>8.184</x:v>
      </x:c>
      <x:c r="T1620" s="35" t="n">
        <x:f>K1620*S1620</x:f>
        <x:v>40.919999999999995</x:v>
      </x:c>
      <x:c r="U1620" s="35" t="n">
        <x:f>L1620-N1620-P1620-R1620-T1620</x:f>
        <x:v>84.08000000000001</x:v>
      </x:c>
      <x:c r="V1620" s="21" t="n">
        <x:f>IFERROR(U1620/L1620,0)</x:f>
        <x:v>0.6726400000000001</x:v>
      </x:c>
    </x:row>
    <x:row r="1621">
      <x:c r="A1621" s="19" t="str">
        <x:v>SALE-01617</x:v>
      </x:c>
      <x:c r="B1621" s="34" t="n">
        <x:v>46215.5</x:v>
      </x:c>
      <x:c r="C1621" s="19" t="str">
        <x:v>周日</x:v>
      </x:c>
      <x:c r="D1621" s="19" t="str">
        <x:v>S06</x:v>
      </x:c>
      <x:c r="E1621" s="19" t="str">
        <x:v>蓝钻天城店</x:v>
      </x:c>
      <x:c r="F1621" s="19" t="str">
        <x:v>堂食</x:v>
      </x:c>
      <x:c r="G1621" s="19" t="str">
        <x:v>全日</x:v>
      </x:c>
      <x:c r="H1621" s="19" t="str">
        <x:v>D17</x:v>
      </x:c>
      <x:c r="I1621" s="19" t="str">
        <x:v>蒜蓉粉丝虾</x:v>
      </x:c>
      <x:c r="J1621" s="22" t="n">
        <x:f>XLOOKUP(H1621,'菜品主数据'!$A$5:$A$24,'菜品主数据'!$D$5:$D$24,0)</x:f>
        <x:v>36</x:v>
      </x:c>
      <x:c r="K1621" s="31" t="n">
        <x:v>4</x:v>
      </x:c>
      <x:c r="L1621" s="35" t="n">
        <x:f>J1621*K1621</x:f>
        <x:v>144</x:v>
      </x:c>
      <x:c r="M1621" s="36" t="n">
        <x:v>0</x:v>
      </x:c>
      <x:c r="N1621" s="35" t="n">
        <x:f>L1621*M1621</x:f>
        <x:v>0</x:v>
      </x:c>
      <x:c r="O1621" s="37" t="n">
        <x:v>0</x:v>
      </x:c>
      <x:c r="P1621" s="35" t="n">
        <x:f>L1621*O1621</x:f>
        <x:v>0</x:v>
      </x:c>
      <x:c r="Q1621" s="35" t="n">
        <x:v>0</x:v>
      </x:c>
      <x:c r="R1621" s="35" t="n">
        <x:f>K1621*Q1621</x:f>
        <x:v>0</x:v>
      </x:c>
      <x:c r="S1621" s="35" t="n">
        <x:f>XLOOKUP(H1621,'菜品主数据'!$A$5:$A$24,'菜品主数据'!$G$5:$G$24,0)</x:f>
        <x:v>13.594</x:v>
      </x:c>
      <x:c r="T1621" s="35" t="n">
        <x:f>K1621*S1621</x:f>
        <x:v>54.376</x:v>
      </x:c>
      <x:c r="U1621" s="35" t="n">
        <x:f>L1621-N1621-P1621-R1621-T1621</x:f>
        <x:v>89.624</x:v>
      </x:c>
      <x:c r="V1621" s="21" t="n">
        <x:f>IFERROR(U1621/L1621,0)</x:f>
        <x:v>0.6223888888888889</x:v>
      </x:c>
    </x:row>
    <x:row r="1622">
      <x:c r="A1622" s="19" t="str">
        <x:v>SALE-01618</x:v>
      </x:c>
      <x:c r="B1622" s="34" t="n">
        <x:v>46215.5</x:v>
      </x:c>
      <x:c r="C1622" s="19" t="str">
        <x:v>周日</x:v>
      </x:c>
      <x:c r="D1622" s="19" t="str">
        <x:v>S06</x:v>
      </x:c>
      <x:c r="E1622" s="19" t="str">
        <x:v>蓝钻天城店</x:v>
      </x:c>
      <x:c r="F1622" s="19" t="str">
        <x:v>堂食</x:v>
      </x:c>
      <x:c r="G1622" s="19" t="str">
        <x:v>全日</x:v>
      </x:c>
      <x:c r="H1622" s="19" t="str">
        <x:v>D18</x:v>
      </x:c>
      <x:c r="I1622" s="19" t="str">
        <x:v>青椒炒油麦菜</x:v>
      </x:c>
      <x:c r="J1622" s="22" t="n">
        <x:f>XLOOKUP(H1622,'菜品主数据'!$A$5:$A$24,'菜品主数据'!$D$5:$D$24,0)</x:f>
        <x:v>18</x:v>
      </x:c>
      <x:c r="K1622" s="31" t="n">
        <x:v>6</x:v>
      </x:c>
      <x:c r="L1622" s="35" t="n">
        <x:f>J1622*K1622</x:f>
        <x:v>108</x:v>
      </x:c>
      <x:c r="M1622" s="36" t="n">
        <x:v>0</x:v>
      </x:c>
      <x:c r="N1622" s="35" t="n">
        <x:f>L1622*M1622</x:f>
        <x:v>0</x:v>
      </x:c>
      <x:c r="O1622" s="37" t="n">
        <x:v>0</x:v>
      </x:c>
      <x:c r="P1622" s="35" t="n">
        <x:f>L1622*O1622</x:f>
        <x:v>0</x:v>
      </x:c>
      <x:c r="Q1622" s="35" t="n">
        <x:v>0</x:v>
      </x:c>
      <x:c r="R1622" s="35" t="n">
        <x:f>K1622*Q1622</x:f>
        <x:v>0</x:v>
      </x:c>
      <x:c r="S1622" s="35" t="n">
        <x:f>XLOOKUP(H1622,'菜品主数据'!$A$5:$A$24,'菜品主数据'!$G$5:$G$24,0)</x:f>
        <x:v>3.1759999999999993</x:v>
      </x:c>
      <x:c r="T1622" s="35" t="n">
        <x:f>K1622*S1622</x:f>
        <x:v>19.055999999999997</x:v>
      </x:c>
      <x:c r="U1622" s="35" t="n">
        <x:f>L1622-N1622-P1622-R1622-T1622</x:f>
        <x:v>88.944</x:v>
      </x:c>
      <x:c r="V1622" s="21" t="n">
        <x:f>IFERROR(U1622/L1622,0)</x:f>
        <x:v>0.8235555555555556</x:v>
      </x:c>
    </x:row>
    <x:row r="1623">
      <x:c r="A1623" s="19" t="str">
        <x:v>SALE-01619</x:v>
      </x:c>
      <x:c r="B1623" s="34" t="n">
        <x:v>46215.5</x:v>
      </x:c>
      <x:c r="C1623" s="19" t="str">
        <x:v>周日</x:v>
      </x:c>
      <x:c r="D1623" s="19" t="str">
        <x:v>S06</x:v>
      </x:c>
      <x:c r="E1623" s="19" t="str">
        <x:v>蓝钻天城店</x:v>
      </x:c>
      <x:c r="F1623" s="19" t="str">
        <x:v>堂食</x:v>
      </x:c>
      <x:c r="G1623" s="19" t="str">
        <x:v>全日</x:v>
      </x:c>
      <x:c r="H1623" s="19" t="str">
        <x:v>D19</x:v>
      </x:c>
      <x:c r="I1623" s="19" t="str">
        <x:v>酸萝卜炒鸡杂</x:v>
      </x:c>
      <x:c r="J1623" s="22" t="n">
        <x:f>XLOOKUP(H1623,'菜品主数据'!$A$5:$A$24,'菜品主数据'!$D$5:$D$24,0)</x:f>
        <x:v>25</x:v>
      </x:c>
      <x:c r="K1623" s="31" t="n">
        <x:v>4</x:v>
      </x:c>
      <x:c r="L1623" s="35" t="n">
        <x:f>J1623*K1623</x:f>
        <x:v>100</x:v>
      </x:c>
      <x:c r="M1623" s="36" t="n">
        <x:v>0</x:v>
      </x:c>
      <x:c r="N1623" s="35" t="n">
        <x:f>L1623*M1623</x:f>
        <x:v>0</x:v>
      </x:c>
      <x:c r="O1623" s="37" t="n">
        <x:v>0</x:v>
      </x:c>
      <x:c r="P1623" s="35" t="n">
        <x:f>L1623*O1623</x:f>
        <x:v>0</x:v>
      </x:c>
      <x:c r="Q1623" s="35" t="n">
        <x:v>0</x:v>
      </x:c>
      <x:c r="R1623" s="35" t="n">
        <x:f>K1623*Q1623</x:f>
        <x:v>0</x:v>
      </x:c>
      <x:c r="S1623" s="35" t="n">
        <x:f>XLOOKUP(H1623,'菜品主数据'!$A$5:$A$24,'菜品主数据'!$G$5:$G$24,0)</x:f>
        <x:v>7.9399999999999995</x:v>
      </x:c>
      <x:c r="T1623" s="35" t="n">
        <x:f>K1623*S1623</x:f>
        <x:v>31.759999999999998</x:v>
      </x:c>
      <x:c r="U1623" s="35" t="n">
        <x:f>L1623-N1623-P1623-R1623-T1623</x:f>
        <x:v>68.24000000000001</x:v>
      </x:c>
      <x:c r="V1623" s="21" t="n">
        <x:f>IFERROR(U1623/L1623,0)</x:f>
        <x:v>0.6824000000000001</x:v>
      </x:c>
    </x:row>
    <x:row r="1624">
      <x:c r="A1624" s="19" t="str">
        <x:v>SALE-01620</x:v>
      </x:c>
      <x:c r="B1624" s="34" t="n">
        <x:v>46215.5</x:v>
      </x:c>
      <x:c r="C1624" s="19" t="str">
        <x:v>周日</x:v>
      </x:c>
      <x:c r="D1624" s="19" t="str">
        <x:v>S06</x:v>
      </x:c>
      <x:c r="E1624" s="19" t="str">
        <x:v>蓝钻天城店</x:v>
      </x:c>
      <x:c r="F1624" s="19" t="str">
        <x:v>堂食</x:v>
      </x:c>
      <x:c r="G1624" s="19" t="str">
        <x:v>全日</x:v>
      </x:c>
      <x:c r="H1624" s="19" t="str">
        <x:v>D20</x:v>
      </x:c>
      <x:c r="I1624" s="19" t="str">
        <x:v>雪菜肉末青豆</x:v>
      </x:c>
      <x:c r="J1624" s="22" t="n">
        <x:f>XLOOKUP(H1624,'菜品主数据'!$A$5:$A$24,'菜品主数据'!$D$5:$D$24,0)</x:f>
        <x:v>18</x:v>
      </x:c>
      <x:c r="K1624" s="31" t="n">
        <x:v>6</x:v>
      </x:c>
      <x:c r="L1624" s="35" t="n">
        <x:f>J1624*K1624</x:f>
        <x:v>108</x:v>
      </x:c>
      <x:c r="M1624" s="36" t="n">
        <x:v>0</x:v>
      </x:c>
      <x:c r="N1624" s="35" t="n">
        <x:f>L1624*M1624</x:f>
        <x:v>0</x:v>
      </x:c>
      <x:c r="O1624" s="37" t="n">
        <x:v>0</x:v>
      </x:c>
      <x:c r="P1624" s="35" t="n">
        <x:f>L1624*O1624</x:f>
        <x:v>0</x:v>
      </x:c>
      <x:c r="Q1624" s="35" t="n">
        <x:v>0</x:v>
      </x:c>
      <x:c r="R1624" s="35" t="n">
        <x:f>K1624*Q1624</x:f>
        <x:v>0</x:v>
      </x:c>
      <x:c r="S1624" s="35" t="n">
        <x:f>XLOOKUP(H1624,'菜品主数据'!$A$5:$A$24,'菜品主数据'!$G$5:$G$24,0)</x:f>
        <x:v>7.303999999999999</x:v>
      </x:c>
      <x:c r="T1624" s="35" t="n">
        <x:f>K1624*S1624</x:f>
        <x:v>43.824</x:v>
      </x:c>
      <x:c r="U1624" s="35" t="n">
        <x:f>L1624-N1624-P1624-R1624-T1624</x:f>
        <x:v>64.176</x:v>
      </x:c>
      <x:c r="V1624" s="21" t="n">
        <x:f>IFERROR(U1624/L1624,0)</x:f>
        <x:v>0.5942222222222222</x:v>
      </x:c>
    </x:row>
    <x:row r="1625">
      <x:c r="A1625" s="19" t="str">
        <x:v>SALE-01621</x:v>
      </x:c>
      <x:c r="B1625" s="34" t="n">
        <x:v>46215.5</x:v>
      </x:c>
      <x:c r="C1625" s="19" t="str">
        <x:v>周日</x:v>
      </x:c>
      <x:c r="D1625" s="19" t="str">
        <x:v>S06</x:v>
      </x:c>
      <x:c r="E1625" s="19" t="str">
        <x:v>蓝钻天城店</x:v>
      </x:c>
      <x:c r="F1625" s="19" t="str">
        <x:v>外卖</x:v>
      </x:c>
      <x:c r="G1625" s="19" t="str">
        <x:v>全日</x:v>
      </x:c>
      <x:c r="H1625" s="19" t="str">
        <x:v>D01</x:v>
      </x:c>
      <x:c r="I1625" s="19" t="str">
        <x:v>辣椒炒肉</x:v>
      </x:c>
      <x:c r="J1625" s="22" t="n">
        <x:f>XLOOKUP(H1625,'菜品主数据'!$A$5:$A$24,'菜品主数据'!$D$5:$D$24,0)</x:f>
        <x:v>29</x:v>
      </x:c>
      <x:c r="K1625" s="31" t="n">
        <x:v>4</x:v>
      </x:c>
      <x:c r="L1625" s="35" t="n">
        <x:f>J1625*K1625</x:f>
        <x:v>116</x:v>
      </x:c>
      <x:c r="M1625" s="36" t="n">
        <x:v>0.08</x:v>
      </x:c>
      <x:c r="N1625" s="35" t="n">
        <x:f>L1625*M1625</x:f>
        <x:v>9.28</x:v>
      </x:c>
      <x:c r="O1625" s="37" t="n">
        <x:v>0.18</x:v>
      </x:c>
      <x:c r="P1625" s="35" t="n">
        <x:f>L1625*O1625</x:f>
        <x:v>20.88</x:v>
      </x:c>
      <x:c r="Q1625" s="35" t="n">
        <x:v>1.2</x:v>
      </x:c>
      <x:c r="R1625" s="35" t="n">
        <x:f>K1625*Q1625</x:f>
        <x:v>4.8</x:v>
      </x:c>
      <x:c r="S1625" s="35" t="n">
        <x:f>XLOOKUP(H1625,'菜品主数据'!$A$5:$A$24,'菜品主数据'!$G$5:$G$24,0)</x:f>
        <x:v>8.634400000000001</x:v>
      </x:c>
      <x:c r="T1625" s="35" t="n">
        <x:f>K1625*S1625</x:f>
        <x:v>34.537600000000005</x:v>
      </x:c>
      <x:c r="U1625" s="35" t="n">
        <x:f>L1625-N1625-P1625-R1625-T1625</x:f>
        <x:v>46.5024</x:v>
      </x:c>
      <x:c r="V1625" s="21" t="n">
        <x:f>IFERROR(U1625/L1625,0)</x:f>
        <x:v>0.40088275862068967</x:v>
      </x:c>
    </x:row>
    <x:row r="1626">
      <x:c r="A1626" s="19" t="str">
        <x:v>SALE-01622</x:v>
      </x:c>
      <x:c r="B1626" s="34" t="n">
        <x:v>46215.5</x:v>
      </x:c>
      <x:c r="C1626" s="19" t="str">
        <x:v>周日</x:v>
      </x:c>
      <x:c r="D1626" s="19" t="str">
        <x:v>S06</x:v>
      </x:c>
      <x:c r="E1626" s="19" t="str">
        <x:v>蓝钻天城店</x:v>
      </x:c>
      <x:c r="F1626" s="19" t="str">
        <x:v>外卖</x:v>
      </x:c>
      <x:c r="G1626" s="19" t="str">
        <x:v>全日</x:v>
      </x:c>
      <x:c r="H1626" s="19" t="str">
        <x:v>D02</x:v>
      </x:c>
      <x:c r="I1626" s="19" t="str">
        <x:v>小炒黄牛肉</x:v>
      </x:c>
      <x:c r="J1626" s="22" t="n">
        <x:f>XLOOKUP(H1626,'菜品主数据'!$A$5:$A$24,'菜品主数据'!$D$5:$D$24,0)</x:f>
        <x:v>49</x:v>
      </x:c>
      <x:c r="K1626" s="31" t="n">
        <x:v>7</x:v>
      </x:c>
      <x:c r="L1626" s="35" t="n">
        <x:f>J1626*K1626</x:f>
        <x:v>343</x:v>
      </x:c>
      <x:c r="M1626" s="36" t="n">
        <x:v>0.08</x:v>
      </x:c>
      <x:c r="N1626" s="35" t="n">
        <x:f>L1626*M1626</x:f>
        <x:v>27.44</x:v>
      </x:c>
      <x:c r="O1626" s="37" t="n">
        <x:v>0.18</x:v>
      </x:c>
      <x:c r="P1626" s="35" t="n">
        <x:f>L1626*O1626</x:f>
        <x:v>61.739999999999995</x:v>
      </x:c>
      <x:c r="Q1626" s="35" t="n">
        <x:v>1.2</x:v>
      </x:c>
      <x:c r="R1626" s="35" t="n">
        <x:f>K1626*Q1626</x:f>
        <x:v>8.4</x:v>
      </x:c>
      <x:c r="S1626" s="35" t="n">
        <x:f>XLOOKUP(H1626,'菜品主数据'!$A$5:$A$24,'菜品主数据'!$G$5:$G$24,0)</x:f>
        <x:v>17.577</x:v>
      </x:c>
      <x:c r="T1626" s="35" t="n">
        <x:f>K1626*S1626</x:f>
        <x:v>123.03900000000002</x:v>
      </x:c>
      <x:c r="U1626" s="35" t="n">
        <x:f>L1626-N1626-P1626-R1626-T1626</x:f>
        <x:v>122.38099999999997</x:v>
      </x:c>
      <x:c r="V1626" s="21" t="n">
        <x:f>IFERROR(U1626/L1626,0)</x:f>
        <x:v>0.35679591836734686</x:v>
      </x:c>
    </x:row>
    <x:row r="1627">
      <x:c r="A1627" s="19" t="str">
        <x:v>SALE-01623</x:v>
      </x:c>
      <x:c r="B1627" s="34" t="n">
        <x:v>46215.5</x:v>
      </x:c>
      <x:c r="C1627" s="19" t="str">
        <x:v>周日</x:v>
      </x:c>
      <x:c r="D1627" s="19" t="str">
        <x:v>S06</x:v>
      </x:c>
      <x:c r="E1627" s="19" t="str">
        <x:v>蓝钻天城店</x:v>
      </x:c>
      <x:c r="F1627" s="19" t="str">
        <x:v>外卖</x:v>
      </x:c>
      <x:c r="G1627" s="19" t="str">
        <x:v>全日</x:v>
      </x:c>
      <x:c r="H1627" s="19" t="str">
        <x:v>D03</x:v>
      </x:c>
      <x:c r="I1627" s="19" t="str">
        <x:v>香醋炒蛋</x:v>
      </x:c>
      <x:c r="J1627" s="22" t="n">
        <x:f>XLOOKUP(H1627,'菜品主数据'!$A$5:$A$24,'菜品主数据'!$D$5:$D$24,0)</x:f>
        <x:v>14.9</x:v>
      </x:c>
      <x:c r="K1627" s="31" t="n">
        <x:v>2</x:v>
      </x:c>
      <x:c r="L1627" s="35" t="n">
        <x:f>J1627*K1627</x:f>
        <x:v>29.8</x:v>
      </x:c>
      <x:c r="M1627" s="36" t="n">
        <x:v>0.08</x:v>
      </x:c>
      <x:c r="N1627" s="35" t="n">
        <x:f>L1627*M1627</x:f>
        <x:v>2.384</x:v>
      </x:c>
      <x:c r="O1627" s="37" t="n">
        <x:v>0.18</x:v>
      </x:c>
      <x:c r="P1627" s="35" t="n">
        <x:f>L1627*O1627</x:f>
        <x:v>5.364</x:v>
      </x:c>
      <x:c r="Q1627" s="35" t="n">
        <x:v>1.2</x:v>
      </x:c>
      <x:c r="R1627" s="35" t="n">
        <x:f>K1627*Q1627</x:f>
        <x:v>2.4</x:v>
      </x:c>
      <x:c r="S1627" s="35" t="n">
        <x:f>XLOOKUP(H1627,'菜品主数据'!$A$5:$A$24,'菜品主数据'!$G$5:$G$24,0)</x:f>
        <x:v>3.7459999999999996</x:v>
      </x:c>
      <x:c r="T1627" s="35" t="n">
        <x:f>K1627*S1627</x:f>
        <x:v>7.491999999999999</x:v>
      </x:c>
      <x:c r="U1627" s="35" t="n">
        <x:f>L1627-N1627-P1627-R1627-T1627</x:f>
        <x:v>12.160000000000002</x:v>
      </x:c>
      <x:c r="V1627" s="21" t="n">
        <x:f>IFERROR(U1627/L1627,0)</x:f>
        <x:v>0.40805369127516783</x:v>
      </x:c>
    </x:row>
    <x:row r="1628">
      <x:c r="A1628" s="19" t="str">
        <x:v>SALE-01624</x:v>
      </x:c>
      <x:c r="B1628" s="34" t="n">
        <x:v>46215.5</x:v>
      </x:c>
      <x:c r="C1628" s="19" t="str">
        <x:v>周日</x:v>
      </x:c>
      <x:c r="D1628" s="19" t="str">
        <x:v>S06</x:v>
      </x:c>
      <x:c r="E1628" s="19" t="str">
        <x:v>蓝钻天城店</x:v>
      </x:c>
      <x:c r="F1628" s="19" t="str">
        <x:v>外卖</x:v>
      </x:c>
      <x:c r="G1628" s="19" t="str">
        <x:v>全日</x:v>
      </x:c>
      <x:c r="H1628" s="19" t="str">
        <x:v>D04</x:v>
      </x:c>
      <x:c r="I1628" s="19" t="str">
        <x:v>酸包菜炒粉皮</x:v>
      </x:c>
      <x:c r="J1628" s="22" t="n">
        <x:f>XLOOKUP(H1628,'菜品主数据'!$A$5:$A$24,'菜品主数据'!$D$5:$D$24,0)</x:f>
        <x:v>16</x:v>
      </x:c>
      <x:c r="K1628" s="31" t="n">
        <x:v>2</x:v>
      </x:c>
      <x:c r="L1628" s="35" t="n">
        <x:f>J1628*K1628</x:f>
        <x:v>32</x:v>
      </x:c>
      <x:c r="M1628" s="36" t="n">
        <x:v>0.08</x:v>
      </x:c>
      <x:c r="N1628" s="35" t="n">
        <x:f>L1628*M1628</x:f>
        <x:v>2.56</x:v>
      </x:c>
      <x:c r="O1628" s="37" t="n">
        <x:v>0.18</x:v>
      </x:c>
      <x:c r="P1628" s="35" t="n">
        <x:f>L1628*O1628</x:f>
        <x:v>5.76</x:v>
      </x:c>
      <x:c r="Q1628" s="35" t="n">
        <x:v>1.2</x:v>
      </x:c>
      <x:c r="R1628" s="35" t="n">
        <x:f>K1628*Q1628</x:f>
        <x:v>2.4</x:v>
      </x:c>
      <x:c r="S1628" s="35" t="n">
        <x:f>XLOOKUP(H1628,'菜品主数据'!$A$5:$A$24,'菜品主数据'!$G$5:$G$24,0)</x:f>
        <x:v>3.978</x:v>
      </x:c>
      <x:c r="T1628" s="35" t="n">
        <x:f>K1628*S1628</x:f>
        <x:v>7.956</x:v>
      </x:c>
      <x:c r="U1628" s="35" t="n">
        <x:f>L1628-N1628-P1628-R1628-T1628</x:f>
        <x:v>13.324000000000002</x:v>
      </x:c>
      <x:c r="V1628" s="21" t="n">
        <x:f>IFERROR(U1628/L1628,0)</x:f>
        <x:v>0.41637500000000005</x:v>
      </x:c>
    </x:row>
    <x:row r="1629">
      <x:c r="A1629" s="19" t="str">
        <x:v>SALE-01625</x:v>
      </x:c>
      <x:c r="B1629" s="34" t="n">
        <x:v>46215.5</x:v>
      </x:c>
      <x:c r="C1629" s="19" t="str">
        <x:v>周日</x:v>
      </x:c>
      <x:c r="D1629" s="19" t="str">
        <x:v>S06</x:v>
      </x:c>
      <x:c r="E1629" s="19" t="str">
        <x:v>蓝钻天城店</x:v>
      </x:c>
      <x:c r="F1629" s="19" t="str">
        <x:v>外卖</x:v>
      </x:c>
      <x:c r="G1629" s="19" t="str">
        <x:v>全日</x:v>
      </x:c>
      <x:c r="H1629" s="19" t="str">
        <x:v>D05</x:v>
      </x:c>
      <x:c r="I1629" s="19" t="str">
        <x:v>麻婆豆腐</x:v>
      </x:c>
      <x:c r="J1629" s="22" t="n">
        <x:f>XLOOKUP(H1629,'菜品主数据'!$A$5:$A$24,'菜品主数据'!$D$5:$D$24,0)</x:f>
        <x:v>9.9</x:v>
      </x:c>
      <x:c r="K1629" s="31" t="n">
        <x:v>3</x:v>
      </x:c>
      <x:c r="L1629" s="35" t="n">
        <x:f>J1629*K1629</x:f>
        <x:v>29.700000000000003</x:v>
      </x:c>
      <x:c r="M1629" s="36" t="n">
        <x:v>0.08</x:v>
      </x:c>
      <x:c r="N1629" s="35" t="n">
        <x:f>L1629*M1629</x:f>
        <x:v>2.3760000000000003</x:v>
      </x:c>
      <x:c r="O1629" s="37" t="n">
        <x:v>0.18</x:v>
      </x:c>
      <x:c r="P1629" s="35" t="n">
        <x:f>L1629*O1629</x:f>
        <x:v>5.346</x:v>
      </x:c>
      <x:c r="Q1629" s="35" t="n">
        <x:v>1.2</x:v>
      </x:c>
      <x:c r="R1629" s="35" t="n">
        <x:f>K1629*Q1629</x:f>
        <x:v>3.5999999999999996</x:v>
      </x:c>
      <x:c r="S1629" s="35" t="n">
        <x:f>XLOOKUP(H1629,'菜品主数据'!$A$5:$A$24,'菜品主数据'!$G$5:$G$24,0)</x:f>
        <x:v>5.367000000000001</x:v>
      </x:c>
      <x:c r="T1629" s="35" t="n">
        <x:f>K1629*S1629</x:f>
        <x:v>16.101000000000003</x:v>
      </x:c>
      <x:c r="U1629" s="35" t="n">
        <x:f>L1629-N1629-P1629-R1629-T1629</x:f>
        <x:v>2.2769999999999975</x:v>
      </x:c>
      <x:c r="V1629" s="21" t="n">
        <x:f>IFERROR(U1629/L1629,0)</x:f>
        <x:v>0.07666666666666658</x:v>
      </x:c>
    </x:row>
    <x:row r="1630">
      <x:c r="A1630" s="19" t="str">
        <x:v>SALE-01626</x:v>
      </x:c>
      <x:c r="B1630" s="34" t="n">
        <x:v>46215.5</x:v>
      </x:c>
      <x:c r="C1630" s="19" t="str">
        <x:v>周日</x:v>
      </x:c>
      <x:c r="D1630" s="19" t="str">
        <x:v>S06</x:v>
      </x:c>
      <x:c r="E1630" s="19" t="str">
        <x:v>蓝钻天城店</x:v>
      </x:c>
      <x:c r="F1630" s="19" t="str">
        <x:v>外卖</x:v>
      </x:c>
      <x:c r="G1630" s="19" t="str">
        <x:v>全日</x:v>
      </x:c>
      <x:c r="H1630" s="19" t="str">
        <x:v>D06</x:v>
      </x:c>
      <x:c r="I1630" s="19" t="str">
        <x:v>剁椒鱼头</x:v>
      </x:c>
      <x:c r="J1630" s="22" t="n">
        <x:f>XLOOKUP(H1630,'菜品主数据'!$A$5:$A$24,'菜品主数据'!$D$5:$D$24,0)</x:f>
        <x:v>39</x:v>
      </x:c>
      <x:c r="K1630" s="31" t="n">
        <x:v>0</x:v>
      </x:c>
      <x:c r="L1630" s="35" t="n">
        <x:f>J1630*K1630</x:f>
        <x:v>0</x:v>
      </x:c>
      <x:c r="M1630" s="36" t="n">
        <x:v>0.08</x:v>
      </x:c>
      <x:c r="N1630" s="35" t="n">
        <x:f>L1630*M1630</x:f>
        <x:v>0</x:v>
      </x:c>
      <x:c r="O1630" s="37" t="n">
        <x:v>0.18</x:v>
      </x:c>
      <x:c r="P1630" s="35" t="n">
        <x:f>L1630*O1630</x:f>
        <x:v>0</x:v>
      </x:c>
      <x:c r="Q1630" s="35" t="n">
        <x:v>1.2</x:v>
      </x:c>
      <x:c r="R1630" s="35" t="n">
        <x:f>K1630*Q1630</x:f>
        <x:v>0</x:v>
      </x:c>
      <x:c r="S1630" s="35" t="n">
        <x:f>XLOOKUP(H1630,'菜品主数据'!$A$5:$A$24,'菜品主数据'!$G$5:$G$24,0)</x:f>
        <x:v>17.446</x:v>
      </x:c>
      <x:c r="T1630" s="35" t="n">
        <x:f>K1630*S1630</x:f>
        <x:v>0</x:v>
      </x:c>
      <x:c r="U1630" s="35" t="n">
        <x:f>L1630-N1630-P1630-R1630-T1630</x:f>
        <x:v>0</x:v>
      </x:c>
      <x:c r="V1630" s="21" t="n">
        <x:f>IFERROR(U1630/L1630,0)</x:f>
        <x:v>0</x:v>
      </x:c>
    </x:row>
    <x:row r="1631">
      <x:c r="A1631" s="19" t="str">
        <x:v>SALE-01627</x:v>
      </x:c>
      <x:c r="B1631" s="34" t="n">
        <x:v>46215.5</x:v>
      </x:c>
      <x:c r="C1631" s="19" t="str">
        <x:v>周日</x:v>
      </x:c>
      <x:c r="D1631" s="19" t="str">
        <x:v>S06</x:v>
      </x:c>
      <x:c r="E1631" s="19" t="str">
        <x:v>蓝钻天城店</x:v>
      </x:c>
      <x:c r="F1631" s="19" t="str">
        <x:v>外卖</x:v>
      </x:c>
      <x:c r="G1631" s="19" t="str">
        <x:v>全日</x:v>
      </x:c>
      <x:c r="H1631" s="19" t="str">
        <x:v>D07</x:v>
      </x:c>
      <x:c r="I1631" s="19" t="str">
        <x:v>川味回锅肉</x:v>
      </x:c>
      <x:c r="J1631" s="22" t="n">
        <x:f>XLOOKUP(H1631,'菜品主数据'!$A$5:$A$24,'菜品主数据'!$D$5:$D$24,0)</x:f>
        <x:v>29</x:v>
      </x:c>
      <x:c r="K1631" s="31" t="n">
        <x:v>1</x:v>
      </x:c>
      <x:c r="L1631" s="35" t="n">
        <x:f>J1631*K1631</x:f>
        <x:v>29</x:v>
      </x:c>
      <x:c r="M1631" s="36" t="n">
        <x:v>0.08</x:v>
      </x:c>
      <x:c r="N1631" s="35" t="n">
        <x:f>L1631*M1631</x:f>
        <x:v>2.32</x:v>
      </x:c>
      <x:c r="O1631" s="37" t="n">
        <x:v>0.18</x:v>
      </x:c>
      <x:c r="P1631" s="35" t="n">
        <x:f>L1631*O1631</x:f>
        <x:v>5.22</x:v>
      </x:c>
      <x:c r="Q1631" s="35" t="n">
        <x:v>1.2</x:v>
      </x:c>
      <x:c r="R1631" s="35" t="n">
        <x:f>K1631*Q1631</x:f>
        <x:v>1.2</x:v>
      </x:c>
      <x:c r="S1631" s="35" t="n">
        <x:f>XLOOKUP(H1631,'菜品主数据'!$A$5:$A$24,'菜品主数据'!$G$5:$G$24,0)</x:f>
        <x:v>10.231000000000002</x:v>
      </x:c>
      <x:c r="T1631" s="35" t="n">
        <x:f>K1631*S1631</x:f>
        <x:v>10.231000000000002</x:v>
      </x:c>
      <x:c r="U1631" s="35" t="n">
        <x:f>L1631-N1631-P1631-R1631-T1631</x:f>
        <x:v>10.029</x:v>
      </x:c>
      <x:c r="V1631" s="21" t="n">
        <x:f>IFERROR(U1631/L1631,0)</x:f>
        <x:v>0.3458275862068966</x:v>
      </x:c>
    </x:row>
    <x:row r="1632">
      <x:c r="A1632" s="19" t="str">
        <x:v>SALE-01628</x:v>
      </x:c>
      <x:c r="B1632" s="34" t="n">
        <x:v>46215.5</x:v>
      </x:c>
      <x:c r="C1632" s="19" t="str">
        <x:v>周日</x:v>
      </x:c>
      <x:c r="D1632" s="19" t="str">
        <x:v>S06</x:v>
      </x:c>
      <x:c r="E1632" s="19" t="str">
        <x:v>蓝钻天城店</x:v>
      </x:c>
      <x:c r="F1632" s="19" t="str">
        <x:v>外卖</x:v>
      </x:c>
      <x:c r="G1632" s="19" t="str">
        <x:v>全日</x:v>
      </x:c>
      <x:c r="H1632" s="19" t="str">
        <x:v>D08</x:v>
      </x:c>
      <x:c r="I1632" s="19" t="str">
        <x:v>生炒清远鸡</x:v>
      </x:c>
      <x:c r="J1632" s="22" t="n">
        <x:f>XLOOKUP(H1632,'菜品主数据'!$A$5:$A$24,'菜品主数据'!$D$5:$D$24,0)</x:f>
        <x:v>36</x:v>
      </x:c>
      <x:c r="K1632" s="31" t="n">
        <x:v>0</x:v>
      </x:c>
      <x:c r="L1632" s="35" t="n">
        <x:f>J1632*K1632</x:f>
        <x:v>0</x:v>
      </x:c>
      <x:c r="M1632" s="36" t="n">
        <x:v>0.08</x:v>
      </x:c>
      <x:c r="N1632" s="35" t="n">
        <x:f>L1632*M1632</x:f>
        <x:v>0</x:v>
      </x:c>
      <x:c r="O1632" s="37" t="n">
        <x:v>0.18</x:v>
      </x:c>
      <x:c r="P1632" s="35" t="n">
        <x:f>L1632*O1632</x:f>
        <x:v>0</x:v>
      </x:c>
      <x:c r="Q1632" s="35" t="n">
        <x:v>1.2</x:v>
      </x:c>
      <x:c r="R1632" s="35" t="n">
        <x:f>K1632*Q1632</x:f>
        <x:v>0</x:v>
      </x:c>
      <x:c r="S1632" s="35" t="n">
        <x:f>XLOOKUP(H1632,'菜品主数据'!$A$5:$A$24,'菜品主数据'!$G$5:$G$24,0)</x:f>
        <x:v>13.48</x:v>
      </x:c>
      <x:c r="T1632" s="35" t="n">
        <x:f>K1632*S1632</x:f>
        <x:v>0</x:v>
      </x:c>
      <x:c r="U1632" s="35" t="n">
        <x:f>L1632-N1632-P1632-R1632-T1632</x:f>
        <x:v>0</x:v>
      </x:c>
      <x:c r="V1632" s="21" t="n">
        <x:f>IFERROR(U1632/L1632,0)</x:f>
        <x:v>0</x:v>
      </x:c>
    </x:row>
    <x:row r="1633">
      <x:c r="A1633" s="19" t="str">
        <x:v>SALE-01629</x:v>
      </x:c>
      <x:c r="B1633" s="34" t="n">
        <x:v>46215.5</x:v>
      </x:c>
      <x:c r="C1633" s="19" t="str">
        <x:v>周日</x:v>
      </x:c>
      <x:c r="D1633" s="19" t="str">
        <x:v>S06</x:v>
      </x:c>
      <x:c r="E1633" s="19" t="str">
        <x:v>蓝钻天城店</x:v>
      </x:c>
      <x:c r="F1633" s="19" t="str">
        <x:v>外卖</x:v>
      </x:c>
      <x:c r="G1633" s="19" t="str">
        <x:v>全日</x:v>
      </x:c>
      <x:c r="H1633" s="19" t="str">
        <x:v>D09</x:v>
      </x:c>
      <x:c r="I1633" s="19" t="str">
        <x:v>炒豆干</x:v>
      </x:c>
      <x:c r="J1633" s="22" t="n">
        <x:f>XLOOKUP(H1633,'菜品主数据'!$A$5:$A$24,'菜品主数据'!$D$5:$D$24,0)</x:f>
        <x:v>18</x:v>
      </x:c>
      <x:c r="K1633" s="31" t="n">
        <x:v>1</x:v>
      </x:c>
      <x:c r="L1633" s="35" t="n">
        <x:f>J1633*K1633</x:f>
        <x:v>18</x:v>
      </x:c>
      <x:c r="M1633" s="36" t="n">
        <x:v>0.08</x:v>
      </x:c>
      <x:c r="N1633" s="35" t="n">
        <x:f>L1633*M1633</x:f>
        <x:v>1.44</x:v>
      </x:c>
      <x:c r="O1633" s="37" t="n">
        <x:v>0.18</x:v>
      </x:c>
      <x:c r="P1633" s="35" t="n">
        <x:f>L1633*O1633</x:f>
        <x:v>3.2399999999999998</x:v>
      </x:c>
      <x:c r="Q1633" s="35" t="n">
        <x:v>1.2</x:v>
      </x:c>
      <x:c r="R1633" s="35" t="n">
        <x:f>K1633*Q1633</x:f>
        <x:v>1.2</x:v>
      </x:c>
      <x:c r="S1633" s="35" t="n">
        <x:f>XLOOKUP(H1633,'菜品主数据'!$A$5:$A$24,'菜品主数据'!$G$5:$G$24,0)</x:f>
        <x:v>6.613999999999999</x:v>
      </x:c>
      <x:c r="T1633" s="35" t="n">
        <x:f>K1633*S1633</x:f>
        <x:v>6.613999999999999</x:v>
      </x:c>
      <x:c r="U1633" s="35" t="n">
        <x:f>L1633-N1633-P1633-R1633-T1633</x:f>
        <x:v>5.506</x:v>
      </x:c>
      <x:c r="V1633" s="21" t="n">
        <x:f>IFERROR(U1633/L1633,0)</x:f>
        <x:v>0.3058888888888889</x:v>
      </x:c>
    </x:row>
    <x:row r="1634">
      <x:c r="A1634" s="19" t="str">
        <x:v>SALE-01630</x:v>
      </x:c>
      <x:c r="B1634" s="34" t="n">
        <x:v>46215.5</x:v>
      </x:c>
      <x:c r="C1634" s="19" t="str">
        <x:v>周日</x:v>
      </x:c>
      <x:c r="D1634" s="19" t="str">
        <x:v>S06</x:v>
      </x:c>
      <x:c r="E1634" s="19" t="str">
        <x:v>蓝钻天城店</x:v>
      </x:c>
      <x:c r="F1634" s="19" t="str">
        <x:v>外卖</x:v>
      </x:c>
      <x:c r="G1634" s="19" t="str">
        <x:v>全日</x:v>
      </x:c>
      <x:c r="H1634" s="19" t="str">
        <x:v>D10</x:v>
      </x:c>
      <x:c r="I1634" s="19" t="str">
        <x:v>农家一碗香</x:v>
      </x:c>
      <x:c r="J1634" s="22" t="n">
        <x:f>XLOOKUP(H1634,'菜品主数据'!$A$5:$A$24,'菜品主数据'!$D$5:$D$24,0)</x:f>
        <x:v>22.9</x:v>
      </x:c>
      <x:c r="K1634" s="31" t="n">
        <x:v>1</x:v>
      </x:c>
      <x:c r="L1634" s="35" t="n">
        <x:f>J1634*K1634</x:f>
        <x:v>22.9</x:v>
      </x:c>
      <x:c r="M1634" s="36" t="n">
        <x:v>0.08</x:v>
      </x:c>
      <x:c r="N1634" s="35" t="n">
        <x:f>L1634*M1634</x:f>
        <x:v>1.8319999999999999</x:v>
      </x:c>
      <x:c r="O1634" s="37" t="n">
        <x:v>0.18</x:v>
      </x:c>
      <x:c r="P1634" s="35" t="n">
        <x:f>L1634*O1634</x:f>
        <x:v>4.122</x:v>
      </x:c>
      <x:c r="Q1634" s="35" t="n">
        <x:v>1.2</x:v>
      </x:c>
      <x:c r="R1634" s="35" t="n">
        <x:f>K1634*Q1634</x:f>
        <x:v>1.2</x:v>
      </x:c>
      <x:c r="S1634" s="35" t="n">
        <x:f>XLOOKUP(H1634,'菜品主数据'!$A$5:$A$24,'菜品主数据'!$G$5:$G$24,0)</x:f>
        <x:v>9.770200000000003</x:v>
      </x:c>
      <x:c r="T1634" s="35" t="n">
        <x:f>K1634*S1634</x:f>
        <x:v>9.770200000000003</x:v>
      </x:c>
      <x:c r="U1634" s="35" t="n">
        <x:f>L1634-N1634-P1634-R1634-T1634</x:f>
        <x:v>5.975799999999996</x:v>
      </x:c>
      <x:c r="V1634" s="21" t="n">
        <x:f>IFERROR(U1634/L1634,0)</x:f>
        <x:v>0.260951965065502</x:v>
      </x:c>
    </x:row>
    <x:row r="1635">
      <x:c r="A1635" s="19" t="str">
        <x:v>SALE-01631</x:v>
      </x:c>
      <x:c r="B1635" s="34" t="n">
        <x:v>46215.5</x:v>
      </x:c>
      <x:c r="C1635" s="19" t="str">
        <x:v>周日</x:v>
      </x:c>
      <x:c r="D1635" s="19" t="str">
        <x:v>S06</x:v>
      </x:c>
      <x:c r="E1635" s="19" t="str">
        <x:v>蓝钻天城店</x:v>
      </x:c>
      <x:c r="F1635" s="19" t="str">
        <x:v>外卖</x:v>
      </x:c>
      <x:c r="G1635" s="19" t="str">
        <x:v>全日</x:v>
      </x:c>
      <x:c r="H1635" s="19" t="str">
        <x:v>D11</x:v>
      </x:c>
      <x:c r="I1635" s="19" t="str">
        <x:v>香辣爆肥肠</x:v>
      </x:c>
      <x:c r="J1635" s="22" t="n">
        <x:f>XLOOKUP(H1635,'菜品主数据'!$A$5:$A$24,'菜品主数据'!$D$5:$D$24,0)</x:f>
        <x:v>39</x:v>
      </x:c>
      <x:c r="K1635" s="31" t="n">
        <x:v>0</x:v>
      </x:c>
      <x:c r="L1635" s="35" t="n">
        <x:f>J1635*K1635</x:f>
        <x:v>0</x:v>
      </x:c>
      <x:c r="M1635" s="36" t="n">
        <x:v>0.08</x:v>
      </x:c>
      <x:c r="N1635" s="35" t="n">
        <x:f>L1635*M1635</x:f>
        <x:v>0</x:v>
      </x:c>
      <x:c r="O1635" s="37" t="n">
        <x:v>0.18</x:v>
      </x:c>
      <x:c r="P1635" s="35" t="n">
        <x:f>L1635*O1635</x:f>
        <x:v>0</x:v>
      </x:c>
      <x:c r="Q1635" s="35" t="n">
        <x:v>1.2</x:v>
      </x:c>
      <x:c r="R1635" s="35" t="n">
        <x:f>K1635*Q1635</x:f>
        <x:v>0</x:v>
      </x:c>
      <x:c r="S1635" s="35" t="n">
        <x:f>XLOOKUP(H1635,'菜品主数据'!$A$5:$A$24,'菜品主数据'!$G$5:$G$24,0)</x:f>
        <x:v>10.397</x:v>
      </x:c>
      <x:c r="T1635" s="35" t="n">
        <x:f>K1635*S1635</x:f>
        <x:v>0</x:v>
      </x:c>
      <x:c r="U1635" s="35" t="n">
        <x:f>L1635-N1635-P1635-R1635-T1635</x:f>
        <x:v>0</x:v>
      </x:c>
      <x:c r="V1635" s="21" t="n">
        <x:f>IFERROR(U1635/L1635,0)</x:f>
        <x:v>0</x:v>
      </x:c>
    </x:row>
    <x:row r="1636">
      <x:c r="A1636" s="19" t="str">
        <x:v>SALE-01632</x:v>
      </x:c>
      <x:c r="B1636" s="34" t="n">
        <x:v>46215.5</x:v>
      </x:c>
      <x:c r="C1636" s="19" t="str">
        <x:v>周日</x:v>
      </x:c>
      <x:c r="D1636" s="19" t="str">
        <x:v>S06</x:v>
      </x:c>
      <x:c r="E1636" s="19" t="str">
        <x:v>蓝钻天城店</x:v>
      </x:c>
      <x:c r="F1636" s="19" t="str">
        <x:v>外卖</x:v>
      </x:c>
      <x:c r="G1636" s="19" t="str">
        <x:v>全日</x:v>
      </x:c>
      <x:c r="H1636" s="19" t="str">
        <x:v>D12</x:v>
      </x:c>
      <x:c r="I1636" s="19" t="str">
        <x:v>清蒸鲈鱼</x:v>
      </x:c>
      <x:c r="J1636" s="22" t="n">
        <x:f>XLOOKUP(H1636,'菜品主数据'!$A$5:$A$24,'菜品主数据'!$D$5:$D$24,0)</x:f>
        <x:v>39</x:v>
      </x:c>
      <x:c r="K1636" s="31" t="n">
        <x:v>0</x:v>
      </x:c>
      <x:c r="L1636" s="35" t="n">
        <x:f>J1636*K1636</x:f>
        <x:v>0</x:v>
      </x:c>
      <x:c r="M1636" s="36" t="n">
        <x:v>0.08</x:v>
      </x:c>
      <x:c r="N1636" s="35" t="n">
        <x:f>L1636*M1636</x:f>
        <x:v>0</x:v>
      </x:c>
      <x:c r="O1636" s="37" t="n">
        <x:v>0.18</x:v>
      </x:c>
      <x:c r="P1636" s="35" t="n">
        <x:f>L1636*O1636</x:f>
        <x:v>0</x:v>
      </x:c>
      <x:c r="Q1636" s="35" t="n">
        <x:v>1.2</x:v>
      </x:c>
      <x:c r="R1636" s="35" t="n">
        <x:f>K1636*Q1636</x:f>
        <x:v>0</x:v>
      </x:c>
      <x:c r="S1636" s="35" t="n">
        <x:f>XLOOKUP(H1636,'菜品主数据'!$A$5:$A$24,'菜品主数据'!$G$5:$G$24,0)</x:f>
        <x:v>18.874</x:v>
      </x:c>
      <x:c r="T1636" s="35" t="n">
        <x:f>K1636*S1636</x:f>
        <x:v>0</x:v>
      </x:c>
      <x:c r="U1636" s="35" t="n">
        <x:f>L1636-N1636-P1636-R1636-T1636</x:f>
        <x:v>0</x:v>
      </x:c>
      <x:c r="V1636" s="21" t="n">
        <x:f>IFERROR(U1636/L1636,0)</x:f>
        <x:v>0</x:v>
      </x:c>
    </x:row>
    <x:row r="1637">
      <x:c r="A1637" s="19" t="str">
        <x:v>SALE-01633</x:v>
      </x:c>
      <x:c r="B1637" s="34" t="n">
        <x:v>46215.5</x:v>
      </x:c>
      <x:c r="C1637" s="19" t="str">
        <x:v>周日</x:v>
      </x:c>
      <x:c r="D1637" s="19" t="str">
        <x:v>S06</x:v>
      </x:c>
      <x:c r="E1637" s="19" t="str">
        <x:v>蓝钻天城店</x:v>
      </x:c>
      <x:c r="F1637" s="19" t="str">
        <x:v>外卖</x:v>
      </x:c>
      <x:c r="G1637" s="19" t="str">
        <x:v>全日</x:v>
      </x:c>
      <x:c r="H1637" s="19" t="str">
        <x:v>D13</x:v>
      </x:c>
      <x:c r="I1637" s="19" t="str">
        <x:v>外婆菜炒蛋</x:v>
      </x:c>
      <x:c r="J1637" s="22" t="n">
        <x:f>XLOOKUP(H1637,'菜品主数据'!$A$5:$A$24,'菜品主数据'!$D$5:$D$24,0)</x:f>
        <x:v>18</x:v>
      </x:c>
      <x:c r="K1637" s="31" t="n">
        <x:v>1</x:v>
      </x:c>
      <x:c r="L1637" s="35" t="n">
        <x:f>J1637*K1637</x:f>
        <x:v>18</x:v>
      </x:c>
      <x:c r="M1637" s="36" t="n">
        <x:v>0.08</x:v>
      </x:c>
      <x:c r="N1637" s="35" t="n">
        <x:f>L1637*M1637</x:f>
        <x:v>1.44</x:v>
      </x:c>
      <x:c r="O1637" s="37" t="n">
        <x:v>0.18</x:v>
      </x:c>
      <x:c r="P1637" s="35" t="n">
        <x:f>L1637*O1637</x:f>
        <x:v>3.2399999999999998</x:v>
      </x:c>
      <x:c r="Q1637" s="35" t="n">
        <x:v>1.2</x:v>
      </x:c>
      <x:c r="R1637" s="35" t="n">
        <x:f>K1637*Q1637</x:f>
        <x:v>1.2</x:v>
      </x:c>
      <x:c r="S1637" s="35" t="n">
        <x:f>XLOOKUP(H1637,'菜品主数据'!$A$5:$A$24,'菜品主数据'!$G$5:$G$24,0)</x:f>
        <x:v>5.403999999999999</x:v>
      </x:c>
      <x:c r="T1637" s="35" t="n">
        <x:f>K1637*S1637</x:f>
        <x:v>5.403999999999999</x:v>
      </x:c>
      <x:c r="U1637" s="35" t="n">
        <x:f>L1637-N1637-P1637-R1637-T1637</x:f>
        <x:v>6.716</x:v>
      </x:c>
      <x:c r="V1637" s="21" t="n">
        <x:f>IFERROR(U1637/L1637,0)</x:f>
        <x:v>0.3731111111111111</x:v>
      </x:c>
    </x:row>
    <x:row r="1638">
      <x:c r="A1638" s="19" t="str">
        <x:v>SALE-01634</x:v>
      </x:c>
      <x:c r="B1638" s="34" t="n">
        <x:v>46215.5</x:v>
      </x:c>
      <x:c r="C1638" s="19" t="str">
        <x:v>周日</x:v>
      </x:c>
      <x:c r="D1638" s="19" t="str">
        <x:v>S06</x:v>
      </x:c>
      <x:c r="E1638" s="19" t="str">
        <x:v>蓝钻天城店</x:v>
      </x:c>
      <x:c r="F1638" s="19" t="str">
        <x:v>外卖</x:v>
      </x:c>
      <x:c r="G1638" s="19" t="str">
        <x:v>全日</x:v>
      </x:c>
      <x:c r="H1638" s="19" t="str">
        <x:v>D14</x:v>
      </x:c>
      <x:c r="I1638" s="19" t="str">
        <x:v>酸辣鸡杂</x:v>
      </x:c>
      <x:c r="J1638" s="22" t="n">
        <x:f>XLOOKUP(H1638,'菜品主数据'!$A$5:$A$24,'菜品主数据'!$D$5:$D$24,0)</x:f>
        <x:v>28</x:v>
      </x:c>
      <x:c r="K1638" s="31" t="n">
        <x:v>0</x:v>
      </x:c>
      <x:c r="L1638" s="35" t="n">
        <x:f>J1638*K1638</x:f>
        <x:v>0</x:v>
      </x:c>
      <x:c r="M1638" s="36" t="n">
        <x:v>0.08</x:v>
      </x:c>
      <x:c r="N1638" s="35" t="n">
        <x:f>L1638*M1638</x:f>
        <x:v>0</x:v>
      </x:c>
      <x:c r="O1638" s="37" t="n">
        <x:v>0.18</x:v>
      </x:c>
      <x:c r="P1638" s="35" t="n">
        <x:f>L1638*O1638</x:f>
        <x:v>0</x:v>
      </x:c>
      <x:c r="Q1638" s="35" t="n">
        <x:v>1.2</x:v>
      </x:c>
      <x:c r="R1638" s="35" t="n">
        <x:f>K1638*Q1638</x:f>
        <x:v>0</x:v>
      </x:c>
      <x:c r="S1638" s="35" t="n">
        <x:f>XLOOKUP(H1638,'菜品主数据'!$A$5:$A$24,'菜品主数据'!$G$5:$G$24,0)</x:f>
        <x:v>8.315000000000001</x:v>
      </x:c>
      <x:c r="T1638" s="35" t="n">
        <x:f>K1638*S1638</x:f>
        <x:v>0</x:v>
      </x:c>
      <x:c r="U1638" s="35" t="n">
        <x:f>L1638-N1638-P1638-R1638-T1638</x:f>
        <x:v>0</x:v>
      </x:c>
      <x:c r="V1638" s="21" t="n">
        <x:f>IFERROR(U1638/L1638,0)</x:f>
        <x:v>0</x:v>
      </x:c>
    </x:row>
    <x:row r="1639">
      <x:c r="A1639" s="19" t="str">
        <x:v>SALE-01635</x:v>
      </x:c>
      <x:c r="B1639" s="34" t="n">
        <x:v>46215.5</x:v>
      </x:c>
      <x:c r="C1639" s="19" t="str">
        <x:v>周日</x:v>
      </x:c>
      <x:c r="D1639" s="19" t="str">
        <x:v>S06</x:v>
      </x:c>
      <x:c r="E1639" s="19" t="str">
        <x:v>蓝钻天城店</x:v>
      </x:c>
      <x:c r="F1639" s="19" t="str">
        <x:v>外卖</x:v>
      </x:c>
      <x:c r="G1639" s="19" t="str">
        <x:v>全日</x:v>
      </x:c>
      <x:c r="H1639" s="19" t="str">
        <x:v>D15</x:v>
      </x:c>
      <x:c r="I1639" s="19" t="str">
        <x:v>湘西土匪猪肝</x:v>
      </x:c>
      <x:c r="J1639" s="22" t="n">
        <x:f>XLOOKUP(H1639,'菜品主数据'!$A$5:$A$24,'菜品主数据'!$D$5:$D$24,0)</x:f>
        <x:v>26</x:v>
      </x:c>
      <x:c r="K1639" s="31" t="n">
        <x:v>0</x:v>
      </x:c>
      <x:c r="L1639" s="35" t="n">
        <x:f>J1639*K1639</x:f>
        <x:v>0</x:v>
      </x:c>
      <x:c r="M1639" s="36" t="n">
        <x:v>0.08</x:v>
      </x:c>
      <x:c r="N1639" s="35" t="n">
        <x:f>L1639*M1639</x:f>
        <x:v>0</x:v>
      </x:c>
      <x:c r="O1639" s="37" t="n">
        <x:v>0.18</x:v>
      </x:c>
      <x:c r="P1639" s="35" t="n">
        <x:f>L1639*O1639</x:f>
        <x:v>0</x:v>
      </x:c>
      <x:c r="Q1639" s="35" t="n">
        <x:v>1.2</x:v>
      </x:c>
      <x:c r="R1639" s="35" t="n">
        <x:f>K1639*Q1639</x:f>
        <x:v>0</x:v>
      </x:c>
      <x:c r="S1639" s="35" t="n">
        <x:f>XLOOKUP(H1639,'菜品主数据'!$A$5:$A$24,'菜品主数据'!$G$5:$G$24,0)</x:f>
        <x:v>6.3759999999999994</x:v>
      </x:c>
      <x:c r="T1639" s="35" t="n">
        <x:f>K1639*S1639</x:f>
        <x:v>0</x:v>
      </x:c>
      <x:c r="U1639" s="35" t="n">
        <x:f>L1639-N1639-P1639-R1639-T1639</x:f>
        <x:v>0</x:v>
      </x:c>
      <x:c r="V1639" s="21" t="n">
        <x:f>IFERROR(U1639/L1639,0)</x:f>
        <x:v>0</x:v>
      </x:c>
    </x:row>
    <x:row r="1640">
      <x:c r="A1640" s="19" t="str">
        <x:v>SALE-01636</x:v>
      </x:c>
      <x:c r="B1640" s="34" t="n">
        <x:v>46215.5</x:v>
      </x:c>
      <x:c r="C1640" s="19" t="str">
        <x:v>周日</x:v>
      </x:c>
      <x:c r="D1640" s="19" t="str">
        <x:v>S06</x:v>
      </x:c>
      <x:c r="E1640" s="19" t="str">
        <x:v>蓝钻天城店</x:v>
      </x:c>
      <x:c r="F1640" s="19" t="str">
        <x:v>外卖</x:v>
      </x:c>
      <x:c r="G1640" s="19" t="str">
        <x:v>全日</x:v>
      </x:c>
      <x:c r="H1640" s="19" t="str">
        <x:v>D16</x:v>
      </x:c>
      <x:c r="I1640" s="19" t="str">
        <x:v>小豆角炒五花</x:v>
      </x:c>
      <x:c r="J1640" s="22" t="n">
        <x:f>XLOOKUP(H1640,'菜品主数据'!$A$5:$A$24,'菜品主数据'!$D$5:$D$24,0)</x:f>
        <x:v>25</x:v>
      </x:c>
      <x:c r="K1640" s="31" t="n">
        <x:v>0</x:v>
      </x:c>
      <x:c r="L1640" s="35" t="n">
        <x:f>J1640*K1640</x:f>
        <x:v>0</x:v>
      </x:c>
      <x:c r="M1640" s="36" t="n">
        <x:v>0.08</x:v>
      </x:c>
      <x:c r="N1640" s="35" t="n">
        <x:f>L1640*M1640</x:f>
        <x:v>0</x:v>
      </x:c>
      <x:c r="O1640" s="37" t="n">
        <x:v>0.18</x:v>
      </x:c>
      <x:c r="P1640" s="35" t="n">
        <x:f>L1640*O1640</x:f>
        <x:v>0</x:v>
      </x:c>
      <x:c r="Q1640" s="35" t="n">
        <x:v>1.2</x:v>
      </x:c>
      <x:c r="R1640" s="35" t="n">
        <x:f>K1640*Q1640</x:f>
        <x:v>0</x:v>
      </x:c>
      <x:c r="S1640" s="35" t="n">
        <x:f>XLOOKUP(H1640,'菜品主数据'!$A$5:$A$24,'菜品主数据'!$G$5:$G$24,0)</x:f>
        <x:v>8.184</x:v>
      </x:c>
      <x:c r="T1640" s="35" t="n">
        <x:f>K1640*S1640</x:f>
        <x:v>0</x:v>
      </x:c>
      <x:c r="U1640" s="35" t="n">
        <x:f>L1640-N1640-P1640-R1640-T1640</x:f>
        <x:v>0</x:v>
      </x:c>
      <x:c r="V1640" s="21" t="n">
        <x:f>IFERROR(U1640/L1640,0)</x:f>
        <x:v>0</x:v>
      </x:c>
    </x:row>
    <x:row r="1641">
      <x:c r="A1641" s="19" t="str">
        <x:v>SALE-01637</x:v>
      </x:c>
      <x:c r="B1641" s="34" t="n">
        <x:v>46215.5</x:v>
      </x:c>
      <x:c r="C1641" s="19" t="str">
        <x:v>周日</x:v>
      </x:c>
      <x:c r="D1641" s="19" t="str">
        <x:v>S06</x:v>
      </x:c>
      <x:c r="E1641" s="19" t="str">
        <x:v>蓝钻天城店</x:v>
      </x:c>
      <x:c r="F1641" s="19" t="str">
        <x:v>外卖</x:v>
      </x:c>
      <x:c r="G1641" s="19" t="str">
        <x:v>全日</x:v>
      </x:c>
      <x:c r="H1641" s="19" t="str">
        <x:v>D17</x:v>
      </x:c>
      <x:c r="I1641" s="19" t="str">
        <x:v>蒜蓉粉丝虾</x:v>
      </x:c>
      <x:c r="J1641" s="22" t="n">
        <x:f>XLOOKUP(H1641,'菜品主数据'!$A$5:$A$24,'菜品主数据'!$D$5:$D$24,0)</x:f>
        <x:v>36</x:v>
      </x:c>
      <x:c r="K1641" s="31" t="n">
        <x:v>0</x:v>
      </x:c>
      <x:c r="L1641" s="35" t="n">
        <x:f>J1641*K1641</x:f>
        <x:v>0</x:v>
      </x:c>
      <x:c r="M1641" s="36" t="n">
        <x:v>0.08</x:v>
      </x:c>
      <x:c r="N1641" s="35" t="n">
        <x:f>L1641*M1641</x:f>
        <x:v>0</x:v>
      </x:c>
      <x:c r="O1641" s="37" t="n">
        <x:v>0.18</x:v>
      </x:c>
      <x:c r="P1641" s="35" t="n">
        <x:f>L1641*O1641</x:f>
        <x:v>0</x:v>
      </x:c>
      <x:c r="Q1641" s="35" t="n">
        <x:v>1.2</x:v>
      </x:c>
      <x:c r="R1641" s="35" t="n">
        <x:f>K1641*Q1641</x:f>
        <x:v>0</x:v>
      </x:c>
      <x:c r="S1641" s="35" t="n">
        <x:f>XLOOKUP(H1641,'菜品主数据'!$A$5:$A$24,'菜品主数据'!$G$5:$G$24,0)</x:f>
        <x:v>13.594</x:v>
      </x:c>
      <x:c r="T1641" s="35" t="n">
        <x:f>K1641*S1641</x:f>
        <x:v>0</x:v>
      </x:c>
      <x:c r="U1641" s="35" t="n">
        <x:f>L1641-N1641-P1641-R1641-T1641</x:f>
        <x:v>0</x:v>
      </x:c>
      <x:c r="V1641" s="21" t="n">
        <x:f>IFERROR(U1641/L1641,0)</x:f>
        <x:v>0</x:v>
      </x:c>
    </x:row>
    <x:row r="1642">
      <x:c r="A1642" s="19" t="str">
        <x:v>SALE-01638</x:v>
      </x:c>
      <x:c r="B1642" s="34" t="n">
        <x:v>46215.5</x:v>
      </x:c>
      <x:c r="C1642" s="19" t="str">
        <x:v>周日</x:v>
      </x:c>
      <x:c r="D1642" s="19" t="str">
        <x:v>S06</x:v>
      </x:c>
      <x:c r="E1642" s="19" t="str">
        <x:v>蓝钻天城店</x:v>
      </x:c>
      <x:c r="F1642" s="19" t="str">
        <x:v>外卖</x:v>
      </x:c>
      <x:c r="G1642" s="19" t="str">
        <x:v>全日</x:v>
      </x:c>
      <x:c r="H1642" s="19" t="str">
        <x:v>D18</x:v>
      </x:c>
      <x:c r="I1642" s="19" t="str">
        <x:v>青椒炒油麦菜</x:v>
      </x:c>
      <x:c r="J1642" s="22" t="n">
        <x:f>XLOOKUP(H1642,'菜品主数据'!$A$5:$A$24,'菜品主数据'!$D$5:$D$24,0)</x:f>
        <x:v>18</x:v>
      </x:c>
      <x:c r="K1642" s="31" t="n">
        <x:v>0</x:v>
      </x:c>
      <x:c r="L1642" s="35" t="n">
        <x:f>J1642*K1642</x:f>
        <x:v>0</x:v>
      </x:c>
      <x:c r="M1642" s="36" t="n">
        <x:v>0.08</x:v>
      </x:c>
      <x:c r="N1642" s="35" t="n">
        <x:f>L1642*M1642</x:f>
        <x:v>0</x:v>
      </x:c>
      <x:c r="O1642" s="37" t="n">
        <x:v>0.18</x:v>
      </x:c>
      <x:c r="P1642" s="35" t="n">
        <x:f>L1642*O1642</x:f>
        <x:v>0</x:v>
      </x:c>
      <x:c r="Q1642" s="35" t="n">
        <x:v>1.2</x:v>
      </x:c>
      <x:c r="R1642" s="35" t="n">
        <x:f>K1642*Q1642</x:f>
        <x:v>0</x:v>
      </x:c>
      <x:c r="S1642" s="35" t="n">
        <x:f>XLOOKUP(H1642,'菜品主数据'!$A$5:$A$24,'菜品主数据'!$G$5:$G$24,0)</x:f>
        <x:v>3.1759999999999993</x:v>
      </x:c>
      <x:c r="T1642" s="35" t="n">
        <x:f>K1642*S1642</x:f>
        <x:v>0</x:v>
      </x:c>
      <x:c r="U1642" s="35" t="n">
        <x:f>L1642-N1642-P1642-R1642-T1642</x:f>
        <x:v>0</x:v>
      </x:c>
      <x:c r="V1642" s="21" t="n">
        <x:f>IFERROR(U1642/L1642,0)</x:f>
        <x:v>0</x:v>
      </x:c>
    </x:row>
    <x:row r="1643">
      <x:c r="A1643" s="19" t="str">
        <x:v>SALE-01639</x:v>
      </x:c>
      <x:c r="B1643" s="34" t="n">
        <x:v>46215.5</x:v>
      </x:c>
      <x:c r="C1643" s="19" t="str">
        <x:v>周日</x:v>
      </x:c>
      <x:c r="D1643" s="19" t="str">
        <x:v>S06</x:v>
      </x:c>
      <x:c r="E1643" s="19" t="str">
        <x:v>蓝钻天城店</x:v>
      </x:c>
      <x:c r="F1643" s="19" t="str">
        <x:v>外卖</x:v>
      </x:c>
      <x:c r="G1643" s="19" t="str">
        <x:v>全日</x:v>
      </x:c>
      <x:c r="H1643" s="19" t="str">
        <x:v>D19</x:v>
      </x:c>
      <x:c r="I1643" s="19" t="str">
        <x:v>酸萝卜炒鸡杂</x:v>
      </x:c>
      <x:c r="J1643" s="22" t="n">
        <x:f>XLOOKUP(H1643,'菜品主数据'!$A$5:$A$24,'菜品主数据'!$D$5:$D$24,0)</x:f>
        <x:v>25</x:v>
      </x:c>
      <x:c r="K1643" s="31" t="n">
        <x:v>0</x:v>
      </x:c>
      <x:c r="L1643" s="35" t="n">
        <x:f>J1643*K1643</x:f>
        <x:v>0</x:v>
      </x:c>
      <x:c r="M1643" s="36" t="n">
        <x:v>0.08</x:v>
      </x:c>
      <x:c r="N1643" s="35" t="n">
        <x:f>L1643*M1643</x:f>
        <x:v>0</x:v>
      </x:c>
      <x:c r="O1643" s="37" t="n">
        <x:v>0.18</x:v>
      </x:c>
      <x:c r="P1643" s="35" t="n">
        <x:f>L1643*O1643</x:f>
        <x:v>0</x:v>
      </x:c>
      <x:c r="Q1643" s="35" t="n">
        <x:v>1.2</x:v>
      </x:c>
      <x:c r="R1643" s="35" t="n">
        <x:f>K1643*Q1643</x:f>
        <x:v>0</x:v>
      </x:c>
      <x:c r="S1643" s="35" t="n">
        <x:f>XLOOKUP(H1643,'菜品主数据'!$A$5:$A$24,'菜品主数据'!$G$5:$G$24,0)</x:f>
        <x:v>7.9399999999999995</x:v>
      </x:c>
      <x:c r="T1643" s="35" t="n">
        <x:f>K1643*S1643</x:f>
        <x:v>0</x:v>
      </x:c>
      <x:c r="U1643" s="35" t="n">
        <x:f>L1643-N1643-P1643-R1643-T1643</x:f>
        <x:v>0</x:v>
      </x:c>
      <x:c r="V1643" s="21" t="n">
        <x:f>IFERROR(U1643/L1643,0)</x:f>
        <x:v>0</x:v>
      </x:c>
    </x:row>
    <x:row r="1644">
      <x:c r="A1644" s="19" t="str">
        <x:v>SALE-01640</x:v>
      </x:c>
      <x:c r="B1644" s="34" t="n">
        <x:v>46215.5</x:v>
      </x:c>
      <x:c r="C1644" s="19" t="str">
        <x:v>周日</x:v>
      </x:c>
      <x:c r="D1644" s="19" t="str">
        <x:v>S06</x:v>
      </x:c>
      <x:c r="E1644" s="19" t="str">
        <x:v>蓝钻天城店</x:v>
      </x:c>
      <x:c r="F1644" s="19" t="str">
        <x:v>外卖</x:v>
      </x:c>
      <x:c r="G1644" s="19" t="str">
        <x:v>全日</x:v>
      </x:c>
      <x:c r="H1644" s="19" t="str">
        <x:v>D20</x:v>
      </x:c>
      <x:c r="I1644" s="19" t="str">
        <x:v>雪菜肉末青豆</x:v>
      </x:c>
      <x:c r="J1644" s="22" t="n">
        <x:f>XLOOKUP(H1644,'菜品主数据'!$A$5:$A$24,'菜品主数据'!$D$5:$D$24,0)</x:f>
        <x:v>18</x:v>
      </x:c>
      <x:c r="K1644" s="31" t="n">
        <x:v>0</x:v>
      </x:c>
      <x:c r="L1644" s="35" t="n">
        <x:f>J1644*K1644</x:f>
        <x:v>0</x:v>
      </x:c>
      <x:c r="M1644" s="36" t="n">
        <x:v>0.08</x:v>
      </x:c>
      <x:c r="N1644" s="35" t="n">
        <x:f>L1644*M1644</x:f>
        <x:v>0</x:v>
      </x:c>
      <x:c r="O1644" s="37" t="n">
        <x:v>0.18</x:v>
      </x:c>
      <x:c r="P1644" s="35" t="n">
        <x:f>L1644*O1644</x:f>
        <x:v>0</x:v>
      </x:c>
      <x:c r="Q1644" s="35" t="n">
        <x:v>1.2</x:v>
      </x:c>
      <x:c r="R1644" s="35" t="n">
        <x:f>K1644*Q1644</x:f>
        <x:v>0</x:v>
      </x:c>
      <x:c r="S1644" s="35" t="n">
        <x:f>XLOOKUP(H1644,'菜品主数据'!$A$5:$A$24,'菜品主数据'!$G$5:$G$24,0)</x:f>
        <x:v>7.303999999999999</x:v>
      </x:c>
      <x:c r="T1644" s="35" t="n">
        <x:f>K1644*S1644</x:f>
        <x:v>0</x:v>
      </x:c>
      <x:c r="U1644" s="35" t="n">
        <x:f>L1644-N1644-P1644-R1644-T1644</x:f>
        <x:v>0</x:v>
      </x:c>
      <x:c r="V1644" s="21" t="n">
        <x:f>IFERROR(U1644/L1644,0)</x:f>
        <x:v>0</x:v>
      </x:c>
    </x:row>
    <x:row r="1645">
      <x:c r="A1645" s="19" t="str">
        <x:v>SALE-01641</x:v>
      </x:c>
      <x:c r="B1645" s="34" t="n">
        <x:v>46216.5</x:v>
      </x:c>
      <x:c r="C1645" s="19" t="str">
        <x:v>周一</x:v>
      </x:c>
      <x:c r="D1645" s="19" t="str">
        <x:v>S06</x:v>
      </x:c>
      <x:c r="E1645" s="19" t="str">
        <x:v>蓝钻天城店</x:v>
      </x:c>
      <x:c r="F1645" s="19" t="str">
        <x:v>堂食</x:v>
      </x:c>
      <x:c r="G1645" s="19" t="str">
        <x:v>全日</x:v>
      </x:c>
      <x:c r="H1645" s="19" t="str">
        <x:v>D01</x:v>
      </x:c>
      <x:c r="I1645" s="19" t="str">
        <x:v>辣椒炒肉</x:v>
      </x:c>
      <x:c r="J1645" s="22" t="n">
        <x:f>XLOOKUP(H1645,'菜品主数据'!$A$5:$A$24,'菜品主数据'!$D$5:$D$24,0)</x:f>
        <x:v>29</x:v>
      </x:c>
      <x:c r="K1645" s="31" t="n">
        <x:v>44</x:v>
      </x:c>
      <x:c r="L1645" s="35" t="n">
        <x:f>J1645*K1645</x:f>
        <x:v>1276</x:v>
      </x:c>
      <x:c r="M1645" s="36" t="n">
        <x:v>0</x:v>
      </x:c>
      <x:c r="N1645" s="35" t="n">
        <x:f>L1645*M1645</x:f>
        <x:v>0</x:v>
      </x:c>
      <x:c r="O1645" s="37" t="n">
        <x:v>0</x:v>
      </x:c>
      <x:c r="P1645" s="35" t="n">
        <x:f>L1645*O1645</x:f>
        <x:v>0</x:v>
      </x:c>
      <x:c r="Q1645" s="35" t="n">
        <x:v>0</x:v>
      </x:c>
      <x:c r="R1645" s="35" t="n">
        <x:f>K1645*Q1645</x:f>
        <x:v>0</x:v>
      </x:c>
      <x:c r="S1645" s="35" t="n">
        <x:f>XLOOKUP(H1645,'菜品主数据'!$A$5:$A$24,'菜品主数据'!$G$5:$G$24,0)</x:f>
        <x:v>8.634400000000001</x:v>
      </x:c>
      <x:c r="T1645" s="35" t="n">
        <x:f>K1645*S1645</x:f>
        <x:v>379.91360000000003</x:v>
      </x:c>
      <x:c r="U1645" s="35" t="n">
        <x:f>L1645-N1645-P1645-R1645-T1645</x:f>
        <x:v>896.0863999999999</x:v>
      </x:c>
      <x:c r="V1645" s="21" t="n">
        <x:f>IFERROR(U1645/L1645,0)</x:f>
        <x:v>0.7022620689655171</x:v>
      </x:c>
    </x:row>
    <x:row r="1646">
      <x:c r="A1646" s="19" t="str">
        <x:v>SALE-01642</x:v>
      </x:c>
      <x:c r="B1646" s="34" t="n">
        <x:v>46216.5</x:v>
      </x:c>
      <x:c r="C1646" s="19" t="str">
        <x:v>周一</x:v>
      </x:c>
      <x:c r="D1646" s="19" t="str">
        <x:v>S06</x:v>
      </x:c>
      <x:c r="E1646" s="19" t="str">
        <x:v>蓝钻天城店</x:v>
      </x:c>
      <x:c r="F1646" s="19" t="str">
        <x:v>堂食</x:v>
      </x:c>
      <x:c r="G1646" s="19" t="str">
        <x:v>全日</x:v>
      </x:c>
      <x:c r="H1646" s="19" t="str">
        <x:v>D02</x:v>
      </x:c>
      <x:c r="I1646" s="19" t="str">
        <x:v>小炒黄牛肉</x:v>
      </x:c>
      <x:c r="J1646" s="22" t="n">
        <x:f>XLOOKUP(H1646,'菜品主数据'!$A$5:$A$24,'菜品主数据'!$D$5:$D$24,0)</x:f>
        <x:v>49</x:v>
      </x:c>
      <x:c r="K1646" s="31" t="n">
        <x:v>27</x:v>
      </x:c>
      <x:c r="L1646" s="35" t="n">
        <x:f>J1646*K1646</x:f>
        <x:v>1323</x:v>
      </x:c>
      <x:c r="M1646" s="36" t="n">
        <x:v>0</x:v>
      </x:c>
      <x:c r="N1646" s="35" t="n">
        <x:f>L1646*M1646</x:f>
        <x:v>0</x:v>
      </x:c>
      <x:c r="O1646" s="37" t="n">
        <x:v>0</x:v>
      </x:c>
      <x:c r="P1646" s="35" t="n">
        <x:f>L1646*O1646</x:f>
        <x:v>0</x:v>
      </x:c>
      <x:c r="Q1646" s="35" t="n">
        <x:v>0</x:v>
      </x:c>
      <x:c r="R1646" s="35" t="n">
        <x:f>K1646*Q1646</x:f>
        <x:v>0</x:v>
      </x:c>
      <x:c r="S1646" s="35" t="n">
        <x:f>XLOOKUP(H1646,'菜品主数据'!$A$5:$A$24,'菜品主数据'!$G$5:$G$24,0)</x:f>
        <x:v>17.577</x:v>
      </x:c>
      <x:c r="T1646" s="35" t="n">
        <x:f>K1646*S1646</x:f>
        <x:v>474.57900000000006</x:v>
      </x:c>
      <x:c r="U1646" s="35" t="n">
        <x:f>L1646-N1646-P1646-R1646-T1646</x:f>
        <x:v>848.4209999999999</x:v>
      </x:c>
      <x:c r="V1646" s="21" t="n">
        <x:f>IFERROR(U1646/L1646,0)</x:f>
        <x:v>0.6412857142857142</x:v>
      </x:c>
    </x:row>
    <x:row r="1647">
      <x:c r="A1647" s="19" t="str">
        <x:v>SALE-01643</x:v>
      </x:c>
      <x:c r="B1647" s="34" t="n">
        <x:v>46216.5</x:v>
      </x:c>
      <x:c r="C1647" s="19" t="str">
        <x:v>周一</x:v>
      </x:c>
      <x:c r="D1647" s="19" t="str">
        <x:v>S06</x:v>
      </x:c>
      <x:c r="E1647" s="19" t="str">
        <x:v>蓝钻天城店</x:v>
      </x:c>
      <x:c r="F1647" s="19" t="str">
        <x:v>堂食</x:v>
      </x:c>
      <x:c r="G1647" s="19" t="str">
        <x:v>全日</x:v>
      </x:c>
      <x:c r="H1647" s="19" t="str">
        <x:v>D03</x:v>
      </x:c>
      <x:c r="I1647" s="19" t="str">
        <x:v>香醋炒蛋</x:v>
      </x:c>
      <x:c r="J1647" s="22" t="n">
        <x:f>XLOOKUP(H1647,'菜品主数据'!$A$5:$A$24,'菜品主数据'!$D$5:$D$24,0)</x:f>
        <x:v>14.9</x:v>
      </x:c>
      <x:c r="K1647" s="31" t="n">
        <x:v>36</x:v>
      </x:c>
      <x:c r="L1647" s="35" t="n">
        <x:f>J1647*K1647</x:f>
        <x:v>536.4</x:v>
      </x:c>
      <x:c r="M1647" s="36" t="n">
        <x:v>0</x:v>
      </x:c>
      <x:c r="N1647" s="35" t="n">
        <x:f>L1647*M1647</x:f>
        <x:v>0</x:v>
      </x:c>
      <x:c r="O1647" s="37" t="n">
        <x:v>0</x:v>
      </x:c>
      <x:c r="P1647" s="35" t="n">
        <x:f>L1647*O1647</x:f>
        <x:v>0</x:v>
      </x:c>
      <x:c r="Q1647" s="35" t="n">
        <x:v>0</x:v>
      </x:c>
      <x:c r="R1647" s="35" t="n">
        <x:f>K1647*Q1647</x:f>
        <x:v>0</x:v>
      </x:c>
      <x:c r="S1647" s="35" t="n">
        <x:f>XLOOKUP(H1647,'菜品主数据'!$A$5:$A$24,'菜品主数据'!$G$5:$G$24,0)</x:f>
        <x:v>3.7459999999999996</x:v>
      </x:c>
      <x:c r="T1647" s="35" t="n">
        <x:f>K1647*S1647</x:f>
        <x:v>134.856</x:v>
      </x:c>
      <x:c r="U1647" s="35" t="n">
        <x:f>L1647-N1647-P1647-R1647-T1647</x:f>
        <x:v>401.544</x:v>
      </x:c>
      <x:c r="V1647" s="21" t="n">
        <x:f>IFERROR(U1647/L1647,0)</x:f>
        <x:v>0.7485906040268456</x:v>
      </x:c>
    </x:row>
    <x:row r="1648">
      <x:c r="A1648" s="19" t="str">
        <x:v>SALE-01644</x:v>
      </x:c>
      <x:c r="B1648" s="34" t="n">
        <x:v>46216.5</x:v>
      </x:c>
      <x:c r="C1648" s="19" t="str">
        <x:v>周一</x:v>
      </x:c>
      <x:c r="D1648" s="19" t="str">
        <x:v>S06</x:v>
      </x:c>
      <x:c r="E1648" s="19" t="str">
        <x:v>蓝钻天城店</x:v>
      </x:c>
      <x:c r="F1648" s="19" t="str">
        <x:v>堂食</x:v>
      </x:c>
      <x:c r="G1648" s="19" t="str">
        <x:v>全日</x:v>
      </x:c>
      <x:c r="H1648" s="19" t="str">
        <x:v>D04</x:v>
      </x:c>
      <x:c r="I1648" s="19" t="str">
        <x:v>酸包菜炒粉皮</x:v>
      </x:c>
      <x:c r="J1648" s="22" t="n">
        <x:f>XLOOKUP(H1648,'菜品主数据'!$A$5:$A$24,'菜品主数据'!$D$5:$D$24,0)</x:f>
        <x:v>16</x:v>
      </x:c>
      <x:c r="K1648" s="31" t="n">
        <x:v>35</x:v>
      </x:c>
      <x:c r="L1648" s="35" t="n">
        <x:f>J1648*K1648</x:f>
        <x:v>560</x:v>
      </x:c>
      <x:c r="M1648" s="36" t="n">
        <x:v>0</x:v>
      </x:c>
      <x:c r="N1648" s="35" t="n">
        <x:f>L1648*M1648</x:f>
        <x:v>0</x:v>
      </x:c>
      <x:c r="O1648" s="37" t="n">
        <x:v>0</x:v>
      </x:c>
      <x:c r="P1648" s="35" t="n">
        <x:f>L1648*O1648</x:f>
        <x:v>0</x:v>
      </x:c>
      <x:c r="Q1648" s="35" t="n">
        <x:v>0</x:v>
      </x:c>
      <x:c r="R1648" s="35" t="n">
        <x:f>K1648*Q1648</x:f>
        <x:v>0</x:v>
      </x:c>
      <x:c r="S1648" s="35" t="n">
        <x:f>XLOOKUP(H1648,'菜品主数据'!$A$5:$A$24,'菜品主数据'!$G$5:$G$24,0)</x:f>
        <x:v>3.978</x:v>
      </x:c>
      <x:c r="T1648" s="35" t="n">
        <x:f>K1648*S1648</x:f>
        <x:v>139.23000000000002</x:v>
      </x:c>
      <x:c r="U1648" s="35" t="n">
        <x:f>L1648-N1648-P1648-R1648-T1648</x:f>
        <x:v>420.77</x:v>
      </x:c>
      <x:c r="V1648" s="21" t="n">
        <x:f>IFERROR(U1648/L1648,0)</x:f>
        <x:v>0.751375</x:v>
      </x:c>
    </x:row>
    <x:row r="1649">
      <x:c r="A1649" s="19" t="str">
        <x:v>SALE-01645</x:v>
      </x:c>
      <x:c r="B1649" s="34" t="n">
        <x:v>46216.5</x:v>
      </x:c>
      <x:c r="C1649" s="19" t="str">
        <x:v>周一</x:v>
      </x:c>
      <x:c r="D1649" s="19" t="str">
        <x:v>S06</x:v>
      </x:c>
      <x:c r="E1649" s="19" t="str">
        <x:v>蓝钻天城店</x:v>
      </x:c>
      <x:c r="F1649" s="19" t="str">
        <x:v>堂食</x:v>
      </x:c>
      <x:c r="G1649" s="19" t="str">
        <x:v>全日</x:v>
      </x:c>
      <x:c r="H1649" s="19" t="str">
        <x:v>D05</x:v>
      </x:c>
      <x:c r="I1649" s="19" t="str">
        <x:v>麻婆豆腐</x:v>
      </x:c>
      <x:c r="J1649" s="22" t="n">
        <x:f>XLOOKUP(H1649,'菜品主数据'!$A$5:$A$24,'菜品主数据'!$D$5:$D$24,0)</x:f>
        <x:v>9.9</x:v>
      </x:c>
      <x:c r="K1649" s="31" t="n">
        <x:v>47</x:v>
      </x:c>
      <x:c r="L1649" s="35" t="n">
        <x:f>J1649*K1649</x:f>
        <x:v>465.3</x:v>
      </x:c>
      <x:c r="M1649" s="36" t="n">
        <x:v>0</x:v>
      </x:c>
      <x:c r="N1649" s="35" t="n">
        <x:f>L1649*M1649</x:f>
        <x:v>0</x:v>
      </x:c>
      <x:c r="O1649" s="37" t="n">
        <x:v>0</x:v>
      </x:c>
      <x:c r="P1649" s="35" t="n">
        <x:f>L1649*O1649</x:f>
        <x:v>0</x:v>
      </x:c>
      <x:c r="Q1649" s="35" t="n">
        <x:v>0</x:v>
      </x:c>
      <x:c r="R1649" s="35" t="n">
        <x:f>K1649*Q1649</x:f>
        <x:v>0</x:v>
      </x:c>
      <x:c r="S1649" s="35" t="n">
        <x:f>XLOOKUP(H1649,'菜品主数据'!$A$5:$A$24,'菜品主数据'!$G$5:$G$24,0)</x:f>
        <x:v>5.367000000000001</x:v>
      </x:c>
      <x:c r="T1649" s="35" t="n">
        <x:f>K1649*S1649</x:f>
        <x:v>252.24900000000005</x:v>
      </x:c>
      <x:c r="U1649" s="35" t="n">
        <x:f>L1649-N1649-P1649-R1649-T1649</x:f>
        <x:v>213.05099999999996</x:v>
      </x:c>
      <x:c r="V1649" s="21" t="n">
        <x:f>IFERROR(U1649/L1649,0)</x:f>
        <x:v>0.4578787878787878</x:v>
      </x:c>
    </x:row>
    <x:row r="1650">
      <x:c r="A1650" s="19" t="str">
        <x:v>SALE-01646</x:v>
      </x:c>
      <x:c r="B1650" s="34" t="n">
        <x:v>46216.5</x:v>
      </x:c>
      <x:c r="C1650" s="19" t="str">
        <x:v>周一</x:v>
      </x:c>
      <x:c r="D1650" s="19" t="str">
        <x:v>S06</x:v>
      </x:c>
      <x:c r="E1650" s="19" t="str">
        <x:v>蓝钻天城店</x:v>
      </x:c>
      <x:c r="F1650" s="19" t="str">
        <x:v>堂食</x:v>
      </x:c>
      <x:c r="G1650" s="19" t="str">
        <x:v>全日</x:v>
      </x:c>
      <x:c r="H1650" s="19" t="str">
        <x:v>D06</x:v>
      </x:c>
      <x:c r="I1650" s="19" t="str">
        <x:v>剁椒鱼头</x:v>
      </x:c>
      <x:c r="J1650" s="22" t="n">
        <x:f>XLOOKUP(H1650,'菜品主数据'!$A$5:$A$24,'菜品主数据'!$D$5:$D$24,0)</x:f>
        <x:v>39</x:v>
      </x:c>
      <x:c r="K1650" s="31" t="n">
        <x:v>11</x:v>
      </x:c>
      <x:c r="L1650" s="35" t="n">
        <x:f>J1650*K1650</x:f>
        <x:v>429</x:v>
      </x:c>
      <x:c r="M1650" s="36" t="n">
        <x:v>0</x:v>
      </x:c>
      <x:c r="N1650" s="35" t="n">
        <x:f>L1650*M1650</x:f>
        <x:v>0</x:v>
      </x:c>
      <x:c r="O1650" s="37" t="n">
        <x:v>0</x:v>
      </x:c>
      <x:c r="P1650" s="35" t="n">
        <x:f>L1650*O1650</x:f>
        <x:v>0</x:v>
      </x:c>
      <x:c r="Q1650" s="35" t="n">
        <x:v>0</x:v>
      </x:c>
      <x:c r="R1650" s="35" t="n">
        <x:f>K1650*Q1650</x:f>
        <x:v>0</x:v>
      </x:c>
      <x:c r="S1650" s="35" t="n">
        <x:f>XLOOKUP(H1650,'菜品主数据'!$A$5:$A$24,'菜品主数据'!$G$5:$G$24,0)</x:f>
        <x:v>17.446</x:v>
      </x:c>
      <x:c r="T1650" s="35" t="n">
        <x:f>K1650*S1650</x:f>
        <x:v>191.906</x:v>
      </x:c>
      <x:c r="U1650" s="35" t="n">
        <x:f>L1650-N1650-P1650-R1650-T1650</x:f>
        <x:v>237.094</x:v>
      </x:c>
      <x:c r="V1650" s="21" t="n">
        <x:f>IFERROR(U1650/L1650,0)</x:f>
        <x:v>0.5526666666666666</x:v>
      </x:c>
    </x:row>
    <x:row r="1651">
      <x:c r="A1651" s="19" t="str">
        <x:v>SALE-01647</x:v>
      </x:c>
      <x:c r="B1651" s="34" t="n">
        <x:v>46216.5</x:v>
      </x:c>
      <x:c r="C1651" s="19" t="str">
        <x:v>周一</x:v>
      </x:c>
      <x:c r="D1651" s="19" t="str">
        <x:v>S06</x:v>
      </x:c>
      <x:c r="E1651" s="19" t="str">
        <x:v>蓝钻天城店</x:v>
      </x:c>
      <x:c r="F1651" s="19" t="str">
        <x:v>堂食</x:v>
      </x:c>
      <x:c r="G1651" s="19" t="str">
        <x:v>全日</x:v>
      </x:c>
      <x:c r="H1651" s="19" t="str">
        <x:v>D07</x:v>
      </x:c>
      <x:c r="I1651" s="19" t="str">
        <x:v>川味回锅肉</x:v>
      </x:c>
      <x:c r="J1651" s="22" t="n">
        <x:f>XLOOKUP(H1651,'菜品主数据'!$A$5:$A$24,'菜品主数据'!$D$5:$D$24,0)</x:f>
        <x:v>29</x:v>
      </x:c>
      <x:c r="K1651" s="31" t="n">
        <x:v>15</x:v>
      </x:c>
      <x:c r="L1651" s="35" t="n">
        <x:f>J1651*K1651</x:f>
        <x:v>435</x:v>
      </x:c>
      <x:c r="M1651" s="36" t="n">
        <x:v>0</x:v>
      </x:c>
      <x:c r="N1651" s="35" t="n">
        <x:f>L1651*M1651</x:f>
        <x:v>0</x:v>
      </x:c>
      <x:c r="O1651" s="37" t="n">
        <x:v>0</x:v>
      </x:c>
      <x:c r="P1651" s="35" t="n">
        <x:f>L1651*O1651</x:f>
        <x:v>0</x:v>
      </x:c>
      <x:c r="Q1651" s="35" t="n">
        <x:v>0</x:v>
      </x:c>
      <x:c r="R1651" s="35" t="n">
        <x:f>K1651*Q1651</x:f>
        <x:v>0</x:v>
      </x:c>
      <x:c r="S1651" s="35" t="n">
        <x:f>XLOOKUP(H1651,'菜品主数据'!$A$5:$A$24,'菜品主数据'!$G$5:$G$24,0)</x:f>
        <x:v>10.231000000000002</x:v>
      </x:c>
      <x:c r="T1651" s="35" t="n">
        <x:f>K1651*S1651</x:f>
        <x:v>153.46500000000003</x:v>
      </x:c>
      <x:c r="U1651" s="35" t="n">
        <x:f>L1651-N1651-P1651-R1651-T1651</x:f>
        <x:v>281.53499999999997</x:v>
      </x:c>
      <x:c r="V1651" s="21" t="n">
        <x:f>IFERROR(U1651/L1651,0)</x:f>
        <x:v>0.647206896551724</x:v>
      </x:c>
    </x:row>
    <x:row r="1652">
      <x:c r="A1652" s="19" t="str">
        <x:v>SALE-01648</x:v>
      </x:c>
      <x:c r="B1652" s="34" t="n">
        <x:v>46216.5</x:v>
      </x:c>
      <x:c r="C1652" s="19" t="str">
        <x:v>周一</x:v>
      </x:c>
      <x:c r="D1652" s="19" t="str">
        <x:v>S06</x:v>
      </x:c>
      <x:c r="E1652" s="19" t="str">
        <x:v>蓝钻天城店</x:v>
      </x:c>
      <x:c r="F1652" s="19" t="str">
        <x:v>堂食</x:v>
      </x:c>
      <x:c r="G1652" s="19" t="str">
        <x:v>全日</x:v>
      </x:c>
      <x:c r="H1652" s="19" t="str">
        <x:v>D08</x:v>
      </x:c>
      <x:c r="I1652" s="19" t="str">
        <x:v>生炒清远鸡</x:v>
      </x:c>
      <x:c r="J1652" s="22" t="n">
        <x:f>XLOOKUP(H1652,'菜品主数据'!$A$5:$A$24,'菜品主数据'!$D$5:$D$24,0)</x:f>
        <x:v>36</x:v>
      </x:c>
      <x:c r="K1652" s="31" t="n">
        <x:v>12</x:v>
      </x:c>
      <x:c r="L1652" s="35" t="n">
        <x:f>J1652*K1652</x:f>
        <x:v>432</x:v>
      </x:c>
      <x:c r="M1652" s="36" t="n">
        <x:v>0</x:v>
      </x:c>
      <x:c r="N1652" s="35" t="n">
        <x:f>L1652*M1652</x:f>
        <x:v>0</x:v>
      </x:c>
      <x:c r="O1652" s="37" t="n">
        <x:v>0</x:v>
      </x:c>
      <x:c r="P1652" s="35" t="n">
        <x:f>L1652*O1652</x:f>
        <x:v>0</x:v>
      </x:c>
      <x:c r="Q1652" s="35" t="n">
        <x:v>0</x:v>
      </x:c>
      <x:c r="R1652" s="35" t="n">
        <x:f>K1652*Q1652</x:f>
        <x:v>0</x:v>
      </x:c>
      <x:c r="S1652" s="35" t="n">
        <x:f>XLOOKUP(H1652,'菜品主数据'!$A$5:$A$24,'菜品主数据'!$G$5:$G$24,0)</x:f>
        <x:v>13.48</x:v>
      </x:c>
      <x:c r="T1652" s="35" t="n">
        <x:f>K1652*S1652</x:f>
        <x:v>161.76</x:v>
      </x:c>
      <x:c r="U1652" s="35" t="n">
        <x:f>L1652-N1652-P1652-R1652-T1652</x:f>
        <x:v>270.24</x:v>
      </x:c>
      <x:c r="V1652" s="21" t="n">
        <x:f>IFERROR(U1652/L1652,0)</x:f>
        <x:v>0.6255555555555555</x:v>
      </x:c>
    </x:row>
    <x:row r="1653">
      <x:c r="A1653" s="19" t="str">
        <x:v>SALE-01649</x:v>
      </x:c>
      <x:c r="B1653" s="34" t="n">
        <x:v>46216.5</x:v>
      </x:c>
      <x:c r="C1653" s="19" t="str">
        <x:v>周一</x:v>
      </x:c>
      <x:c r="D1653" s="19" t="str">
        <x:v>S06</x:v>
      </x:c>
      <x:c r="E1653" s="19" t="str">
        <x:v>蓝钻天城店</x:v>
      </x:c>
      <x:c r="F1653" s="19" t="str">
        <x:v>堂食</x:v>
      </x:c>
      <x:c r="G1653" s="19" t="str">
        <x:v>全日</x:v>
      </x:c>
      <x:c r="H1653" s="19" t="str">
        <x:v>D09</x:v>
      </x:c>
      <x:c r="I1653" s="19" t="str">
        <x:v>炒豆干</x:v>
      </x:c>
      <x:c r="J1653" s="22" t="n">
        <x:f>XLOOKUP(H1653,'菜品主数据'!$A$5:$A$24,'菜品主数据'!$D$5:$D$24,0)</x:f>
        <x:v>18</x:v>
      </x:c>
      <x:c r="K1653" s="31" t="n">
        <x:v>16</x:v>
      </x:c>
      <x:c r="L1653" s="35" t="n">
        <x:f>J1653*K1653</x:f>
        <x:v>288</x:v>
      </x:c>
      <x:c r="M1653" s="36" t="n">
        <x:v>0</x:v>
      </x:c>
      <x:c r="N1653" s="35" t="n">
        <x:f>L1653*M1653</x:f>
        <x:v>0</x:v>
      </x:c>
      <x:c r="O1653" s="37" t="n">
        <x:v>0</x:v>
      </x:c>
      <x:c r="P1653" s="35" t="n">
        <x:f>L1653*O1653</x:f>
        <x:v>0</x:v>
      </x:c>
      <x:c r="Q1653" s="35" t="n">
        <x:v>0</x:v>
      </x:c>
      <x:c r="R1653" s="35" t="n">
        <x:f>K1653*Q1653</x:f>
        <x:v>0</x:v>
      </x:c>
      <x:c r="S1653" s="35" t="n">
        <x:f>XLOOKUP(H1653,'菜品主数据'!$A$5:$A$24,'菜品主数据'!$G$5:$G$24,0)</x:f>
        <x:v>6.613999999999999</x:v>
      </x:c>
      <x:c r="T1653" s="35" t="n">
        <x:f>K1653*S1653</x:f>
        <x:v>105.82399999999998</x:v>
      </x:c>
      <x:c r="U1653" s="35" t="n">
        <x:f>L1653-N1653-P1653-R1653-T1653</x:f>
        <x:v>182.17600000000002</x:v>
      </x:c>
      <x:c r="V1653" s="21" t="n">
        <x:f>IFERROR(U1653/L1653,0)</x:f>
        <x:v>0.6325555555555556</x:v>
      </x:c>
    </x:row>
    <x:row r="1654">
      <x:c r="A1654" s="19" t="str">
        <x:v>SALE-01650</x:v>
      </x:c>
      <x:c r="B1654" s="34" t="n">
        <x:v>46216.5</x:v>
      </x:c>
      <x:c r="C1654" s="19" t="str">
        <x:v>周一</x:v>
      </x:c>
      <x:c r="D1654" s="19" t="str">
        <x:v>S06</x:v>
      </x:c>
      <x:c r="E1654" s="19" t="str">
        <x:v>蓝钻天城店</x:v>
      </x:c>
      <x:c r="F1654" s="19" t="str">
        <x:v>堂食</x:v>
      </x:c>
      <x:c r="G1654" s="19" t="str">
        <x:v>全日</x:v>
      </x:c>
      <x:c r="H1654" s="19" t="str">
        <x:v>D10</x:v>
      </x:c>
      <x:c r="I1654" s="19" t="str">
        <x:v>农家一碗香</x:v>
      </x:c>
      <x:c r="J1654" s="22" t="n">
        <x:f>XLOOKUP(H1654,'菜品主数据'!$A$5:$A$24,'菜品主数据'!$D$5:$D$24,0)</x:f>
        <x:v>22.9</x:v>
      </x:c>
      <x:c r="K1654" s="31" t="n">
        <x:v>17</x:v>
      </x:c>
      <x:c r="L1654" s="35" t="n">
        <x:f>J1654*K1654</x:f>
        <x:v>389.29999999999995</x:v>
      </x:c>
      <x:c r="M1654" s="36" t="n">
        <x:v>0</x:v>
      </x:c>
      <x:c r="N1654" s="35" t="n">
        <x:f>L1654*M1654</x:f>
        <x:v>0</x:v>
      </x:c>
      <x:c r="O1654" s="37" t="n">
        <x:v>0</x:v>
      </x:c>
      <x:c r="P1654" s="35" t="n">
        <x:f>L1654*O1654</x:f>
        <x:v>0</x:v>
      </x:c>
      <x:c r="Q1654" s="35" t="n">
        <x:v>0</x:v>
      </x:c>
      <x:c r="R1654" s="35" t="n">
        <x:f>K1654*Q1654</x:f>
        <x:v>0</x:v>
      </x:c>
      <x:c r="S1654" s="35" t="n">
        <x:f>XLOOKUP(H1654,'菜品主数据'!$A$5:$A$24,'菜品主数据'!$G$5:$G$24,0)</x:f>
        <x:v>9.770200000000003</x:v>
      </x:c>
      <x:c r="T1654" s="35" t="n">
        <x:f>K1654*S1654</x:f>
        <x:v>166.09340000000003</x:v>
      </x:c>
      <x:c r="U1654" s="35" t="n">
        <x:f>L1654-N1654-P1654-R1654-T1654</x:f>
        <x:v>223.20659999999992</x:v>
      </x:c>
      <x:c r="V1654" s="21" t="n">
        <x:f>IFERROR(U1654/L1654,0)</x:f>
        <x:v>0.5733537117903929</x:v>
      </x:c>
    </x:row>
    <x:row r="1655">
      <x:c r="A1655" s="19" t="str">
        <x:v>SALE-01651</x:v>
      </x:c>
      <x:c r="B1655" s="34" t="n">
        <x:v>46216.5</x:v>
      </x:c>
      <x:c r="C1655" s="19" t="str">
        <x:v>周一</x:v>
      </x:c>
      <x:c r="D1655" s="19" t="str">
        <x:v>S06</x:v>
      </x:c>
      <x:c r="E1655" s="19" t="str">
        <x:v>蓝钻天城店</x:v>
      </x:c>
      <x:c r="F1655" s="19" t="str">
        <x:v>堂食</x:v>
      </x:c>
      <x:c r="G1655" s="19" t="str">
        <x:v>全日</x:v>
      </x:c>
      <x:c r="H1655" s="19" t="str">
        <x:v>D11</x:v>
      </x:c>
      <x:c r="I1655" s="19" t="str">
        <x:v>香辣爆肥肠</x:v>
      </x:c>
      <x:c r="J1655" s="22" t="n">
        <x:f>XLOOKUP(H1655,'菜品主数据'!$A$5:$A$24,'菜品主数据'!$D$5:$D$24,0)</x:f>
        <x:v>39</x:v>
      </x:c>
      <x:c r="K1655" s="31" t="n">
        <x:v>7</x:v>
      </x:c>
      <x:c r="L1655" s="35" t="n">
        <x:f>J1655*K1655</x:f>
        <x:v>273</x:v>
      </x:c>
      <x:c r="M1655" s="36" t="n">
        <x:v>0</x:v>
      </x:c>
      <x:c r="N1655" s="35" t="n">
        <x:f>L1655*M1655</x:f>
        <x:v>0</x:v>
      </x:c>
      <x:c r="O1655" s="37" t="n">
        <x:v>0</x:v>
      </x:c>
      <x:c r="P1655" s="35" t="n">
        <x:f>L1655*O1655</x:f>
        <x:v>0</x:v>
      </x:c>
      <x:c r="Q1655" s="35" t="n">
        <x:v>0</x:v>
      </x:c>
      <x:c r="R1655" s="35" t="n">
        <x:f>K1655*Q1655</x:f>
        <x:v>0</x:v>
      </x:c>
      <x:c r="S1655" s="35" t="n">
        <x:f>XLOOKUP(H1655,'菜品主数据'!$A$5:$A$24,'菜品主数据'!$G$5:$G$24,0)</x:f>
        <x:v>10.397</x:v>
      </x:c>
      <x:c r="T1655" s="35" t="n">
        <x:f>K1655*S1655</x:f>
        <x:v>72.779</x:v>
      </x:c>
      <x:c r="U1655" s="35" t="n">
        <x:f>L1655-N1655-P1655-R1655-T1655</x:f>
        <x:v>200.221</x:v>
      </x:c>
      <x:c r="V1655" s="21" t="n">
        <x:f>IFERROR(U1655/L1655,0)</x:f>
        <x:v>0.7334102564102565</x:v>
      </x:c>
    </x:row>
    <x:row r="1656">
      <x:c r="A1656" s="19" t="str">
        <x:v>SALE-01652</x:v>
      </x:c>
      <x:c r="B1656" s="34" t="n">
        <x:v>46216.5</x:v>
      </x:c>
      <x:c r="C1656" s="19" t="str">
        <x:v>周一</x:v>
      </x:c>
      <x:c r="D1656" s="19" t="str">
        <x:v>S06</x:v>
      </x:c>
      <x:c r="E1656" s="19" t="str">
        <x:v>蓝钻天城店</x:v>
      </x:c>
      <x:c r="F1656" s="19" t="str">
        <x:v>堂食</x:v>
      </x:c>
      <x:c r="G1656" s="19" t="str">
        <x:v>全日</x:v>
      </x:c>
      <x:c r="H1656" s="19" t="str">
        <x:v>D12</x:v>
      </x:c>
      <x:c r="I1656" s="19" t="str">
        <x:v>清蒸鲈鱼</x:v>
      </x:c>
      <x:c r="J1656" s="22" t="n">
        <x:f>XLOOKUP(H1656,'菜品主数据'!$A$5:$A$24,'菜品主数据'!$D$5:$D$24,0)</x:f>
        <x:v>39</x:v>
      </x:c>
      <x:c r="K1656" s="31" t="n">
        <x:v>7</x:v>
      </x:c>
      <x:c r="L1656" s="35" t="n">
        <x:f>J1656*K1656</x:f>
        <x:v>273</x:v>
      </x:c>
      <x:c r="M1656" s="36" t="n">
        <x:v>0</x:v>
      </x:c>
      <x:c r="N1656" s="35" t="n">
        <x:f>L1656*M1656</x:f>
        <x:v>0</x:v>
      </x:c>
      <x:c r="O1656" s="37" t="n">
        <x:v>0</x:v>
      </x:c>
      <x:c r="P1656" s="35" t="n">
        <x:f>L1656*O1656</x:f>
        <x:v>0</x:v>
      </x:c>
      <x:c r="Q1656" s="35" t="n">
        <x:v>0</x:v>
      </x:c>
      <x:c r="R1656" s="35" t="n">
        <x:f>K1656*Q1656</x:f>
        <x:v>0</x:v>
      </x:c>
      <x:c r="S1656" s="35" t="n">
        <x:f>XLOOKUP(H1656,'菜品主数据'!$A$5:$A$24,'菜品主数据'!$G$5:$G$24,0)</x:f>
        <x:v>18.874</x:v>
      </x:c>
      <x:c r="T1656" s="35" t="n">
        <x:f>K1656*S1656</x:f>
        <x:v>132.118</x:v>
      </x:c>
      <x:c r="U1656" s="35" t="n">
        <x:f>L1656-N1656-P1656-R1656-T1656</x:f>
        <x:v>140.882</x:v>
      </x:c>
      <x:c r="V1656" s="21" t="n">
        <x:f>IFERROR(U1656/L1656,0)</x:f>
        <x:v>0.516051282051282</x:v>
      </x:c>
    </x:row>
    <x:row r="1657">
      <x:c r="A1657" s="19" t="str">
        <x:v>SALE-01653</x:v>
      </x:c>
      <x:c r="B1657" s="34" t="n">
        <x:v>46216.5</x:v>
      </x:c>
      <x:c r="C1657" s="19" t="str">
        <x:v>周一</x:v>
      </x:c>
      <x:c r="D1657" s="19" t="str">
        <x:v>S06</x:v>
      </x:c>
      <x:c r="E1657" s="19" t="str">
        <x:v>蓝钻天城店</x:v>
      </x:c>
      <x:c r="F1657" s="19" t="str">
        <x:v>堂食</x:v>
      </x:c>
      <x:c r="G1657" s="19" t="str">
        <x:v>全日</x:v>
      </x:c>
      <x:c r="H1657" s="19" t="str">
        <x:v>D13</x:v>
      </x:c>
      <x:c r="I1657" s="19" t="str">
        <x:v>外婆菜炒蛋</x:v>
      </x:c>
      <x:c r="J1657" s="22" t="n">
        <x:f>XLOOKUP(H1657,'菜品主数据'!$A$5:$A$24,'菜品主数据'!$D$5:$D$24,0)</x:f>
        <x:v>18</x:v>
      </x:c>
      <x:c r="K1657" s="31" t="n">
        <x:v>16</x:v>
      </x:c>
      <x:c r="L1657" s="35" t="n">
        <x:f>J1657*K1657</x:f>
        <x:v>288</x:v>
      </x:c>
      <x:c r="M1657" s="36" t="n">
        <x:v>0</x:v>
      </x:c>
      <x:c r="N1657" s="35" t="n">
        <x:f>L1657*M1657</x:f>
        <x:v>0</x:v>
      </x:c>
      <x:c r="O1657" s="37" t="n">
        <x:v>0</x:v>
      </x:c>
      <x:c r="P1657" s="35" t="n">
        <x:f>L1657*O1657</x:f>
        <x:v>0</x:v>
      </x:c>
      <x:c r="Q1657" s="35" t="n">
        <x:v>0</x:v>
      </x:c>
      <x:c r="R1657" s="35" t="n">
        <x:f>K1657*Q1657</x:f>
        <x:v>0</x:v>
      </x:c>
      <x:c r="S1657" s="35" t="n">
        <x:f>XLOOKUP(H1657,'菜品主数据'!$A$5:$A$24,'菜品主数据'!$G$5:$G$24,0)</x:f>
        <x:v>5.403999999999999</x:v>
      </x:c>
      <x:c r="T1657" s="35" t="n">
        <x:f>K1657*S1657</x:f>
        <x:v>86.46399999999998</x:v>
      </x:c>
      <x:c r="U1657" s="35" t="n">
        <x:f>L1657-N1657-P1657-R1657-T1657</x:f>
        <x:v>201.536</x:v>
      </x:c>
      <x:c r="V1657" s="21" t="n">
        <x:f>IFERROR(U1657/L1657,0)</x:f>
        <x:v>0.6997777777777778</x:v>
      </x:c>
    </x:row>
    <x:row r="1658">
      <x:c r="A1658" s="19" t="str">
        <x:v>SALE-01654</x:v>
      </x:c>
      <x:c r="B1658" s="34" t="n">
        <x:v>46216.5</x:v>
      </x:c>
      <x:c r="C1658" s="19" t="str">
        <x:v>周一</x:v>
      </x:c>
      <x:c r="D1658" s="19" t="str">
        <x:v>S06</x:v>
      </x:c>
      <x:c r="E1658" s="19" t="str">
        <x:v>蓝钻天城店</x:v>
      </x:c>
      <x:c r="F1658" s="19" t="str">
        <x:v>堂食</x:v>
      </x:c>
      <x:c r="G1658" s="19" t="str">
        <x:v>全日</x:v>
      </x:c>
      <x:c r="H1658" s="19" t="str">
        <x:v>D14</x:v>
      </x:c>
      <x:c r="I1658" s="19" t="str">
        <x:v>酸辣鸡杂</x:v>
      </x:c>
      <x:c r="J1658" s="22" t="n">
        <x:f>XLOOKUP(H1658,'菜品主数据'!$A$5:$A$24,'菜品主数据'!$D$5:$D$24,0)</x:f>
        <x:v>28</x:v>
      </x:c>
      <x:c r="K1658" s="31" t="n">
        <x:v>9</x:v>
      </x:c>
      <x:c r="L1658" s="35" t="n">
        <x:f>J1658*K1658</x:f>
        <x:v>252</x:v>
      </x:c>
      <x:c r="M1658" s="36" t="n">
        <x:v>0</x:v>
      </x:c>
      <x:c r="N1658" s="35" t="n">
        <x:f>L1658*M1658</x:f>
        <x:v>0</x:v>
      </x:c>
      <x:c r="O1658" s="37" t="n">
        <x:v>0</x:v>
      </x:c>
      <x:c r="P1658" s="35" t="n">
        <x:f>L1658*O1658</x:f>
        <x:v>0</x:v>
      </x:c>
      <x:c r="Q1658" s="35" t="n">
        <x:v>0</x:v>
      </x:c>
      <x:c r="R1658" s="35" t="n">
        <x:f>K1658*Q1658</x:f>
        <x:v>0</x:v>
      </x:c>
      <x:c r="S1658" s="35" t="n">
        <x:f>XLOOKUP(H1658,'菜品主数据'!$A$5:$A$24,'菜品主数据'!$G$5:$G$24,0)</x:f>
        <x:v>8.315000000000001</x:v>
      </x:c>
      <x:c r="T1658" s="35" t="n">
        <x:f>K1658*S1658</x:f>
        <x:v>74.83500000000001</x:v>
      </x:c>
      <x:c r="U1658" s="35" t="n">
        <x:f>L1658-N1658-P1658-R1658-T1658</x:f>
        <x:v>177.165</x:v>
      </x:c>
      <x:c r="V1658" s="21" t="n">
        <x:f>IFERROR(U1658/L1658,0)</x:f>
        <x:v>0.7030357142857142</x:v>
      </x:c>
    </x:row>
    <x:row r="1659">
      <x:c r="A1659" s="19" t="str">
        <x:v>SALE-01655</x:v>
      </x:c>
      <x:c r="B1659" s="34" t="n">
        <x:v>46216.5</x:v>
      </x:c>
      <x:c r="C1659" s="19" t="str">
        <x:v>周一</x:v>
      </x:c>
      <x:c r="D1659" s="19" t="str">
        <x:v>S06</x:v>
      </x:c>
      <x:c r="E1659" s="19" t="str">
        <x:v>蓝钻天城店</x:v>
      </x:c>
      <x:c r="F1659" s="19" t="str">
        <x:v>堂食</x:v>
      </x:c>
      <x:c r="G1659" s="19" t="str">
        <x:v>全日</x:v>
      </x:c>
      <x:c r="H1659" s="19" t="str">
        <x:v>D15</x:v>
      </x:c>
      <x:c r="I1659" s="19" t="str">
        <x:v>湘西土匪猪肝</x:v>
      </x:c>
      <x:c r="J1659" s="22" t="n">
        <x:f>XLOOKUP(H1659,'菜品主数据'!$A$5:$A$24,'菜品主数据'!$D$5:$D$24,0)</x:f>
        <x:v>26</x:v>
      </x:c>
      <x:c r="K1659" s="31" t="n">
        <x:v>8</x:v>
      </x:c>
      <x:c r="L1659" s="35" t="n">
        <x:f>J1659*K1659</x:f>
        <x:v>208</x:v>
      </x:c>
      <x:c r="M1659" s="36" t="n">
        <x:v>0</x:v>
      </x:c>
      <x:c r="N1659" s="35" t="n">
        <x:f>L1659*M1659</x:f>
        <x:v>0</x:v>
      </x:c>
      <x:c r="O1659" s="37" t="n">
        <x:v>0</x:v>
      </x:c>
      <x:c r="P1659" s="35" t="n">
        <x:f>L1659*O1659</x:f>
        <x:v>0</x:v>
      </x:c>
      <x:c r="Q1659" s="35" t="n">
        <x:v>0</x:v>
      </x:c>
      <x:c r="R1659" s="35" t="n">
        <x:f>K1659*Q1659</x:f>
        <x:v>0</x:v>
      </x:c>
      <x:c r="S1659" s="35" t="n">
        <x:f>XLOOKUP(H1659,'菜品主数据'!$A$5:$A$24,'菜品主数据'!$G$5:$G$24,0)</x:f>
        <x:v>6.3759999999999994</x:v>
      </x:c>
      <x:c r="T1659" s="35" t="n">
        <x:f>K1659*S1659</x:f>
        <x:v>51.007999999999996</x:v>
      </x:c>
      <x:c r="U1659" s="35" t="n">
        <x:f>L1659-N1659-P1659-R1659-T1659</x:f>
        <x:v>156.99200000000002</x:v>
      </x:c>
      <x:c r="V1659" s="21" t="n">
        <x:f>IFERROR(U1659/L1659,0)</x:f>
        <x:v>0.7547692307692309</x:v>
      </x:c>
    </x:row>
    <x:row r="1660">
      <x:c r="A1660" s="19" t="str">
        <x:v>SALE-01656</x:v>
      </x:c>
      <x:c r="B1660" s="34" t="n">
        <x:v>46216.5</x:v>
      </x:c>
      <x:c r="C1660" s="19" t="str">
        <x:v>周一</x:v>
      </x:c>
      <x:c r="D1660" s="19" t="str">
        <x:v>S06</x:v>
      </x:c>
      <x:c r="E1660" s="19" t="str">
        <x:v>蓝钻天城店</x:v>
      </x:c>
      <x:c r="F1660" s="19" t="str">
        <x:v>堂食</x:v>
      </x:c>
      <x:c r="G1660" s="19" t="str">
        <x:v>全日</x:v>
      </x:c>
      <x:c r="H1660" s="19" t="str">
        <x:v>D16</x:v>
      </x:c>
      <x:c r="I1660" s="19" t="str">
        <x:v>小豆角炒五花</x:v>
      </x:c>
      <x:c r="J1660" s="22" t="n">
        <x:f>XLOOKUP(H1660,'菜品主数据'!$A$5:$A$24,'菜品主数据'!$D$5:$D$24,0)</x:f>
        <x:v>25</x:v>
      </x:c>
      <x:c r="K1660" s="31" t="n">
        <x:v>8</x:v>
      </x:c>
      <x:c r="L1660" s="35" t="n">
        <x:f>J1660*K1660</x:f>
        <x:v>200</x:v>
      </x:c>
      <x:c r="M1660" s="36" t="n">
        <x:v>0</x:v>
      </x:c>
      <x:c r="N1660" s="35" t="n">
        <x:f>L1660*M1660</x:f>
        <x:v>0</x:v>
      </x:c>
      <x:c r="O1660" s="37" t="n">
        <x:v>0</x:v>
      </x:c>
      <x:c r="P1660" s="35" t="n">
        <x:f>L1660*O1660</x:f>
        <x:v>0</x:v>
      </x:c>
      <x:c r="Q1660" s="35" t="n">
        <x:v>0</x:v>
      </x:c>
      <x:c r="R1660" s="35" t="n">
        <x:f>K1660*Q1660</x:f>
        <x:v>0</x:v>
      </x:c>
      <x:c r="S1660" s="35" t="n">
        <x:f>XLOOKUP(H1660,'菜品主数据'!$A$5:$A$24,'菜品主数据'!$G$5:$G$24,0)</x:f>
        <x:v>8.184</x:v>
      </x:c>
      <x:c r="T1660" s="35" t="n">
        <x:f>K1660*S1660</x:f>
        <x:v>65.472</x:v>
      </x:c>
      <x:c r="U1660" s="35" t="n">
        <x:f>L1660-N1660-P1660-R1660-T1660</x:f>
        <x:v>134.52800000000002</x:v>
      </x:c>
      <x:c r="V1660" s="21" t="n">
        <x:f>IFERROR(U1660/L1660,0)</x:f>
        <x:v>0.6726400000000001</x:v>
      </x:c>
    </x:row>
    <x:row r="1661">
      <x:c r="A1661" s="19" t="str">
        <x:v>SALE-01657</x:v>
      </x:c>
      <x:c r="B1661" s="34" t="n">
        <x:v>46216.5</x:v>
      </x:c>
      <x:c r="C1661" s="19" t="str">
        <x:v>周一</x:v>
      </x:c>
      <x:c r="D1661" s="19" t="str">
        <x:v>S06</x:v>
      </x:c>
      <x:c r="E1661" s="19" t="str">
        <x:v>蓝钻天城店</x:v>
      </x:c>
      <x:c r="F1661" s="19" t="str">
        <x:v>堂食</x:v>
      </x:c>
      <x:c r="G1661" s="19" t="str">
        <x:v>全日</x:v>
      </x:c>
      <x:c r="H1661" s="19" t="str">
        <x:v>D17</x:v>
      </x:c>
      <x:c r="I1661" s="19" t="str">
        <x:v>蒜蓉粉丝虾</x:v>
      </x:c>
      <x:c r="J1661" s="22" t="n">
        <x:f>XLOOKUP(H1661,'菜品主数据'!$A$5:$A$24,'菜品主数据'!$D$5:$D$24,0)</x:f>
        <x:v>36</x:v>
      </x:c>
      <x:c r="K1661" s="31" t="n">
        <x:v>5</x:v>
      </x:c>
      <x:c r="L1661" s="35" t="n">
        <x:f>J1661*K1661</x:f>
        <x:v>180</x:v>
      </x:c>
      <x:c r="M1661" s="36" t="n">
        <x:v>0</x:v>
      </x:c>
      <x:c r="N1661" s="35" t="n">
        <x:f>L1661*M1661</x:f>
        <x:v>0</x:v>
      </x:c>
      <x:c r="O1661" s="37" t="n">
        <x:v>0</x:v>
      </x:c>
      <x:c r="P1661" s="35" t="n">
        <x:f>L1661*O1661</x:f>
        <x:v>0</x:v>
      </x:c>
      <x:c r="Q1661" s="35" t="n">
        <x:v>0</x:v>
      </x:c>
      <x:c r="R1661" s="35" t="n">
        <x:f>K1661*Q1661</x:f>
        <x:v>0</x:v>
      </x:c>
      <x:c r="S1661" s="35" t="n">
        <x:f>XLOOKUP(H1661,'菜品主数据'!$A$5:$A$24,'菜品主数据'!$G$5:$G$24,0)</x:f>
        <x:v>13.594</x:v>
      </x:c>
      <x:c r="T1661" s="35" t="n">
        <x:f>K1661*S1661</x:f>
        <x:v>67.97</x:v>
      </x:c>
      <x:c r="U1661" s="35" t="n">
        <x:f>L1661-N1661-P1661-R1661-T1661</x:f>
        <x:v>112.03</x:v>
      </x:c>
      <x:c r="V1661" s="21" t="n">
        <x:f>IFERROR(U1661/L1661,0)</x:f>
        <x:v>0.6223888888888889</x:v>
      </x:c>
    </x:row>
    <x:row r="1662">
      <x:c r="A1662" s="19" t="str">
        <x:v>SALE-01658</x:v>
      </x:c>
      <x:c r="B1662" s="34" t="n">
        <x:v>46216.5</x:v>
      </x:c>
      <x:c r="C1662" s="19" t="str">
        <x:v>周一</x:v>
      </x:c>
      <x:c r="D1662" s="19" t="str">
        <x:v>S06</x:v>
      </x:c>
      <x:c r="E1662" s="19" t="str">
        <x:v>蓝钻天城店</x:v>
      </x:c>
      <x:c r="F1662" s="19" t="str">
        <x:v>堂食</x:v>
      </x:c>
      <x:c r="G1662" s="19" t="str">
        <x:v>全日</x:v>
      </x:c>
      <x:c r="H1662" s="19" t="str">
        <x:v>D18</x:v>
      </x:c>
      <x:c r="I1662" s="19" t="str">
        <x:v>青椒炒油麦菜</x:v>
      </x:c>
      <x:c r="J1662" s="22" t="n">
        <x:f>XLOOKUP(H1662,'菜品主数据'!$A$5:$A$24,'菜品主数据'!$D$5:$D$24,0)</x:f>
        <x:v>18</x:v>
      </x:c>
      <x:c r="K1662" s="31" t="n">
        <x:v>9</x:v>
      </x:c>
      <x:c r="L1662" s="35" t="n">
        <x:f>J1662*K1662</x:f>
        <x:v>162</x:v>
      </x:c>
      <x:c r="M1662" s="36" t="n">
        <x:v>0</x:v>
      </x:c>
      <x:c r="N1662" s="35" t="n">
        <x:f>L1662*M1662</x:f>
        <x:v>0</x:v>
      </x:c>
      <x:c r="O1662" s="37" t="n">
        <x:v>0</x:v>
      </x:c>
      <x:c r="P1662" s="35" t="n">
        <x:f>L1662*O1662</x:f>
        <x:v>0</x:v>
      </x:c>
      <x:c r="Q1662" s="35" t="n">
        <x:v>0</x:v>
      </x:c>
      <x:c r="R1662" s="35" t="n">
        <x:f>K1662*Q1662</x:f>
        <x:v>0</x:v>
      </x:c>
      <x:c r="S1662" s="35" t="n">
        <x:f>XLOOKUP(H1662,'菜品主数据'!$A$5:$A$24,'菜品主数据'!$G$5:$G$24,0)</x:f>
        <x:v>3.1759999999999993</x:v>
      </x:c>
      <x:c r="T1662" s="35" t="n">
        <x:f>K1662*S1662</x:f>
        <x:v>28.583999999999993</x:v>
      </x:c>
      <x:c r="U1662" s="35" t="n">
        <x:f>L1662-N1662-P1662-R1662-T1662</x:f>
        <x:v>133.416</x:v>
      </x:c>
      <x:c r="V1662" s="21" t="n">
        <x:f>IFERROR(U1662/L1662,0)</x:f>
        <x:v>0.8235555555555555</x:v>
      </x:c>
    </x:row>
    <x:row r="1663">
      <x:c r="A1663" s="19" t="str">
        <x:v>SALE-01659</x:v>
      </x:c>
      <x:c r="B1663" s="34" t="n">
        <x:v>46216.5</x:v>
      </x:c>
      <x:c r="C1663" s="19" t="str">
        <x:v>周一</x:v>
      </x:c>
      <x:c r="D1663" s="19" t="str">
        <x:v>S06</x:v>
      </x:c>
      <x:c r="E1663" s="19" t="str">
        <x:v>蓝钻天城店</x:v>
      </x:c>
      <x:c r="F1663" s="19" t="str">
        <x:v>堂食</x:v>
      </x:c>
      <x:c r="G1663" s="19" t="str">
        <x:v>全日</x:v>
      </x:c>
      <x:c r="H1663" s="19" t="str">
        <x:v>D19</x:v>
      </x:c>
      <x:c r="I1663" s="19" t="str">
        <x:v>酸萝卜炒鸡杂</x:v>
      </x:c>
      <x:c r="J1663" s="22" t="n">
        <x:f>XLOOKUP(H1663,'菜品主数据'!$A$5:$A$24,'菜品主数据'!$D$5:$D$24,0)</x:f>
        <x:v>25</x:v>
      </x:c>
      <x:c r="K1663" s="31" t="n">
        <x:v>6</x:v>
      </x:c>
      <x:c r="L1663" s="35" t="n">
        <x:f>J1663*K1663</x:f>
        <x:v>150</x:v>
      </x:c>
      <x:c r="M1663" s="36" t="n">
        <x:v>0</x:v>
      </x:c>
      <x:c r="N1663" s="35" t="n">
        <x:f>L1663*M1663</x:f>
        <x:v>0</x:v>
      </x:c>
      <x:c r="O1663" s="37" t="n">
        <x:v>0</x:v>
      </x:c>
      <x:c r="P1663" s="35" t="n">
        <x:f>L1663*O1663</x:f>
        <x:v>0</x:v>
      </x:c>
      <x:c r="Q1663" s="35" t="n">
        <x:v>0</x:v>
      </x:c>
      <x:c r="R1663" s="35" t="n">
        <x:f>K1663*Q1663</x:f>
        <x:v>0</x:v>
      </x:c>
      <x:c r="S1663" s="35" t="n">
        <x:f>XLOOKUP(H1663,'菜品主数据'!$A$5:$A$24,'菜品主数据'!$G$5:$G$24,0)</x:f>
        <x:v>7.9399999999999995</x:v>
      </x:c>
      <x:c r="T1663" s="35" t="n">
        <x:f>K1663*S1663</x:f>
        <x:v>47.64</x:v>
      </x:c>
      <x:c r="U1663" s="35" t="n">
        <x:f>L1663-N1663-P1663-R1663-T1663</x:f>
        <x:v>102.36</x:v>
      </x:c>
      <x:c r="V1663" s="21" t="n">
        <x:f>IFERROR(U1663/L1663,0)</x:f>
        <x:v>0.6824</x:v>
      </x:c>
    </x:row>
    <x:row r="1664">
      <x:c r="A1664" s="19" t="str">
        <x:v>SALE-01660</x:v>
      </x:c>
      <x:c r="B1664" s="34" t="n">
        <x:v>46216.5</x:v>
      </x:c>
      <x:c r="C1664" s="19" t="str">
        <x:v>周一</x:v>
      </x:c>
      <x:c r="D1664" s="19" t="str">
        <x:v>S06</x:v>
      </x:c>
      <x:c r="E1664" s="19" t="str">
        <x:v>蓝钻天城店</x:v>
      </x:c>
      <x:c r="F1664" s="19" t="str">
        <x:v>堂食</x:v>
      </x:c>
      <x:c r="G1664" s="19" t="str">
        <x:v>全日</x:v>
      </x:c>
      <x:c r="H1664" s="19" t="str">
        <x:v>D20</x:v>
      </x:c>
      <x:c r="I1664" s="19" t="str">
        <x:v>雪菜肉末青豆</x:v>
      </x:c>
      <x:c r="J1664" s="22" t="n">
        <x:f>XLOOKUP(H1664,'菜品主数据'!$A$5:$A$24,'菜品主数据'!$D$5:$D$24,0)</x:f>
        <x:v>18</x:v>
      </x:c>
      <x:c r="K1664" s="31" t="n">
        <x:v>9</x:v>
      </x:c>
      <x:c r="L1664" s="35" t="n">
        <x:f>J1664*K1664</x:f>
        <x:v>162</x:v>
      </x:c>
      <x:c r="M1664" s="36" t="n">
        <x:v>0</x:v>
      </x:c>
      <x:c r="N1664" s="35" t="n">
        <x:f>L1664*M1664</x:f>
        <x:v>0</x:v>
      </x:c>
      <x:c r="O1664" s="37" t="n">
        <x:v>0</x:v>
      </x:c>
      <x:c r="P1664" s="35" t="n">
        <x:f>L1664*O1664</x:f>
        <x:v>0</x:v>
      </x:c>
      <x:c r="Q1664" s="35" t="n">
        <x:v>0</x:v>
      </x:c>
      <x:c r="R1664" s="35" t="n">
        <x:f>K1664*Q1664</x:f>
        <x:v>0</x:v>
      </x:c>
      <x:c r="S1664" s="35" t="n">
        <x:f>XLOOKUP(H1664,'菜品主数据'!$A$5:$A$24,'菜品主数据'!$G$5:$G$24,0)</x:f>
        <x:v>7.303999999999999</x:v>
      </x:c>
      <x:c r="T1664" s="35" t="n">
        <x:f>K1664*S1664</x:f>
        <x:v>65.73599999999999</x:v>
      </x:c>
      <x:c r="U1664" s="35" t="n">
        <x:f>L1664-N1664-P1664-R1664-T1664</x:f>
        <x:v>96.26400000000001</x:v>
      </x:c>
      <x:c r="V1664" s="21" t="n">
        <x:f>IFERROR(U1664/L1664,0)</x:f>
        <x:v>0.5942222222222223</x:v>
      </x:c>
    </x:row>
    <x:row r="1665">
      <x:c r="A1665" s="19" t="str">
        <x:v>SALE-01661</x:v>
      </x:c>
      <x:c r="B1665" s="34" t="n">
        <x:v>46216.5</x:v>
      </x:c>
      <x:c r="C1665" s="19" t="str">
        <x:v>周一</x:v>
      </x:c>
      <x:c r="D1665" s="19" t="str">
        <x:v>S06</x:v>
      </x:c>
      <x:c r="E1665" s="19" t="str">
        <x:v>蓝钻天城店</x:v>
      </x:c>
      <x:c r="F1665" s="19" t="str">
        <x:v>外卖</x:v>
      </x:c>
      <x:c r="G1665" s="19" t="str">
        <x:v>全日</x:v>
      </x:c>
      <x:c r="H1665" s="19" t="str">
        <x:v>D01</x:v>
      </x:c>
      <x:c r="I1665" s="19" t="str">
        <x:v>辣椒炒肉</x:v>
      </x:c>
      <x:c r="J1665" s="22" t="n">
        <x:f>XLOOKUP(H1665,'菜品主数据'!$A$5:$A$24,'菜品主数据'!$D$5:$D$24,0)</x:f>
        <x:v>29</x:v>
      </x:c>
      <x:c r="K1665" s="31" t="n">
        <x:v>5</x:v>
      </x:c>
      <x:c r="L1665" s="35" t="n">
        <x:f>J1665*K1665</x:f>
        <x:v>145</x:v>
      </x:c>
      <x:c r="M1665" s="36" t="n">
        <x:v>0.08</x:v>
      </x:c>
      <x:c r="N1665" s="35" t="n">
        <x:f>L1665*M1665</x:f>
        <x:v>11.6</x:v>
      </x:c>
      <x:c r="O1665" s="37" t="n">
        <x:v>0.18</x:v>
      </x:c>
      <x:c r="P1665" s="35" t="n">
        <x:f>L1665*O1665</x:f>
        <x:v>26.099999999999998</x:v>
      </x:c>
      <x:c r="Q1665" s="35" t="n">
        <x:v>1.2</x:v>
      </x:c>
      <x:c r="R1665" s="35" t="n">
        <x:f>K1665*Q1665</x:f>
        <x:v>6</x:v>
      </x:c>
      <x:c r="S1665" s="35" t="n">
        <x:f>XLOOKUP(H1665,'菜品主数据'!$A$5:$A$24,'菜品主数据'!$G$5:$G$24,0)</x:f>
        <x:v>8.634400000000001</x:v>
      </x:c>
      <x:c r="T1665" s="35" t="n">
        <x:f>K1665*S1665</x:f>
        <x:v>43.172000000000004</x:v>
      </x:c>
      <x:c r="U1665" s="35" t="n">
        <x:f>L1665-N1665-P1665-R1665-T1665</x:f>
        <x:v>58.12800000000001</x:v>
      </x:c>
      <x:c r="V1665" s="21" t="n">
        <x:f>IFERROR(U1665/L1665,0)</x:f>
        <x:v>0.4008827586206897</x:v>
      </x:c>
    </x:row>
    <x:row r="1666">
      <x:c r="A1666" s="19" t="str">
        <x:v>SALE-01662</x:v>
      </x:c>
      <x:c r="B1666" s="34" t="n">
        <x:v>46216.5</x:v>
      </x:c>
      <x:c r="C1666" s="19" t="str">
        <x:v>周一</x:v>
      </x:c>
      <x:c r="D1666" s="19" t="str">
        <x:v>S06</x:v>
      </x:c>
      <x:c r="E1666" s="19" t="str">
        <x:v>蓝钻天城店</x:v>
      </x:c>
      <x:c r="F1666" s="19" t="str">
        <x:v>外卖</x:v>
      </x:c>
      <x:c r="G1666" s="19" t="str">
        <x:v>全日</x:v>
      </x:c>
      <x:c r="H1666" s="19" t="str">
        <x:v>D02</x:v>
      </x:c>
      <x:c r="I1666" s="19" t="str">
        <x:v>小炒黄牛肉</x:v>
      </x:c>
      <x:c r="J1666" s="22" t="n">
        <x:f>XLOOKUP(H1666,'菜品主数据'!$A$5:$A$24,'菜品主数据'!$D$5:$D$24,0)</x:f>
        <x:v>49</x:v>
      </x:c>
      <x:c r="K1666" s="31" t="n">
        <x:v>8</x:v>
      </x:c>
      <x:c r="L1666" s="35" t="n">
        <x:f>J1666*K1666</x:f>
        <x:v>392</x:v>
      </x:c>
      <x:c r="M1666" s="36" t="n">
        <x:v>0.08</x:v>
      </x:c>
      <x:c r="N1666" s="35" t="n">
        <x:f>L1666*M1666</x:f>
        <x:v>31.36</x:v>
      </x:c>
      <x:c r="O1666" s="37" t="n">
        <x:v>0.18</x:v>
      </x:c>
      <x:c r="P1666" s="35" t="n">
        <x:f>L1666*O1666</x:f>
        <x:v>70.56</x:v>
      </x:c>
      <x:c r="Q1666" s="35" t="n">
        <x:v>1.2</x:v>
      </x:c>
      <x:c r="R1666" s="35" t="n">
        <x:f>K1666*Q1666</x:f>
        <x:v>9.6</x:v>
      </x:c>
      <x:c r="S1666" s="35" t="n">
        <x:f>XLOOKUP(H1666,'菜品主数据'!$A$5:$A$24,'菜品主数据'!$G$5:$G$24,0)</x:f>
        <x:v>17.577</x:v>
      </x:c>
      <x:c r="T1666" s="35" t="n">
        <x:f>K1666*S1666</x:f>
        <x:v>140.616</x:v>
      </x:c>
      <x:c r="U1666" s="35" t="n">
        <x:f>L1666-N1666-P1666-R1666-T1666</x:f>
        <x:v>139.86399999999995</x:v>
      </x:c>
      <x:c r="V1666" s="21" t="n">
        <x:f>IFERROR(U1666/L1666,0)</x:f>
        <x:v>0.3567959183673468</x:v>
      </x:c>
    </x:row>
    <x:row r="1667">
      <x:c r="A1667" s="19" t="str">
        <x:v>SALE-01663</x:v>
      </x:c>
      <x:c r="B1667" s="34" t="n">
        <x:v>46216.5</x:v>
      </x:c>
      <x:c r="C1667" s="19" t="str">
        <x:v>周一</x:v>
      </x:c>
      <x:c r="D1667" s="19" t="str">
        <x:v>S06</x:v>
      </x:c>
      <x:c r="E1667" s="19" t="str">
        <x:v>蓝钻天城店</x:v>
      </x:c>
      <x:c r="F1667" s="19" t="str">
        <x:v>外卖</x:v>
      </x:c>
      <x:c r="G1667" s="19" t="str">
        <x:v>全日</x:v>
      </x:c>
      <x:c r="H1667" s="19" t="str">
        <x:v>D03</x:v>
      </x:c>
      <x:c r="I1667" s="19" t="str">
        <x:v>香醋炒蛋</x:v>
      </x:c>
      <x:c r="J1667" s="22" t="n">
        <x:f>XLOOKUP(H1667,'菜品主数据'!$A$5:$A$24,'菜品主数据'!$D$5:$D$24,0)</x:f>
        <x:v>14.9</x:v>
      </x:c>
      <x:c r="K1667" s="31" t="n">
        <x:v>4</x:v>
      </x:c>
      <x:c r="L1667" s="35" t="n">
        <x:f>J1667*K1667</x:f>
        <x:v>59.6</x:v>
      </x:c>
      <x:c r="M1667" s="36" t="n">
        <x:v>0.08</x:v>
      </x:c>
      <x:c r="N1667" s="35" t="n">
        <x:f>L1667*M1667</x:f>
        <x:v>4.768</x:v>
      </x:c>
      <x:c r="O1667" s="37" t="n">
        <x:v>0.18</x:v>
      </x:c>
      <x:c r="P1667" s="35" t="n">
        <x:f>L1667*O1667</x:f>
        <x:v>10.728</x:v>
      </x:c>
      <x:c r="Q1667" s="35" t="n">
        <x:v>1.2</x:v>
      </x:c>
      <x:c r="R1667" s="35" t="n">
        <x:f>K1667*Q1667</x:f>
        <x:v>4.8</x:v>
      </x:c>
      <x:c r="S1667" s="35" t="n">
        <x:f>XLOOKUP(H1667,'菜品主数据'!$A$5:$A$24,'菜品主数据'!$G$5:$G$24,0)</x:f>
        <x:v>3.7459999999999996</x:v>
      </x:c>
      <x:c r="T1667" s="35" t="n">
        <x:f>K1667*S1667</x:f>
        <x:v>14.983999999999998</x:v>
      </x:c>
      <x:c r="U1667" s="35" t="n">
        <x:f>L1667-N1667-P1667-R1667-T1667</x:f>
        <x:v>24.320000000000004</x:v>
      </x:c>
      <x:c r="V1667" s="21" t="n">
        <x:f>IFERROR(U1667/L1667,0)</x:f>
        <x:v>0.40805369127516783</x:v>
      </x:c>
    </x:row>
    <x:row r="1668">
      <x:c r="A1668" s="19" t="str">
        <x:v>SALE-01664</x:v>
      </x:c>
      <x:c r="B1668" s="34" t="n">
        <x:v>46216.5</x:v>
      </x:c>
      <x:c r="C1668" s="19" t="str">
        <x:v>周一</x:v>
      </x:c>
      <x:c r="D1668" s="19" t="str">
        <x:v>S06</x:v>
      </x:c>
      <x:c r="E1668" s="19" t="str">
        <x:v>蓝钻天城店</x:v>
      </x:c>
      <x:c r="F1668" s="19" t="str">
        <x:v>外卖</x:v>
      </x:c>
      <x:c r="G1668" s="19" t="str">
        <x:v>全日</x:v>
      </x:c>
      <x:c r="H1668" s="19" t="str">
        <x:v>D04</x:v>
      </x:c>
      <x:c r="I1668" s="19" t="str">
        <x:v>酸包菜炒粉皮</x:v>
      </x:c>
      <x:c r="J1668" s="22" t="n">
        <x:f>XLOOKUP(H1668,'菜品主数据'!$A$5:$A$24,'菜品主数据'!$D$5:$D$24,0)</x:f>
        <x:v>16</x:v>
      </x:c>
      <x:c r="K1668" s="31" t="n">
        <x:v>3</x:v>
      </x:c>
      <x:c r="L1668" s="35" t="n">
        <x:f>J1668*K1668</x:f>
        <x:v>48</x:v>
      </x:c>
      <x:c r="M1668" s="36" t="n">
        <x:v>0.08</x:v>
      </x:c>
      <x:c r="N1668" s="35" t="n">
        <x:f>L1668*M1668</x:f>
        <x:v>3.84</x:v>
      </x:c>
      <x:c r="O1668" s="37" t="n">
        <x:v>0.18</x:v>
      </x:c>
      <x:c r="P1668" s="35" t="n">
        <x:f>L1668*O1668</x:f>
        <x:v>8.64</x:v>
      </x:c>
      <x:c r="Q1668" s="35" t="n">
        <x:v>1.2</x:v>
      </x:c>
      <x:c r="R1668" s="35" t="n">
        <x:f>K1668*Q1668</x:f>
        <x:v>3.5999999999999996</x:v>
      </x:c>
      <x:c r="S1668" s="35" t="n">
        <x:f>XLOOKUP(H1668,'菜品主数据'!$A$5:$A$24,'菜品主数据'!$G$5:$G$24,0)</x:f>
        <x:v>3.978</x:v>
      </x:c>
      <x:c r="T1668" s="35" t="n">
        <x:f>K1668*S1668</x:f>
        <x:v>11.934000000000001</x:v>
      </x:c>
      <x:c r="U1668" s="35" t="n">
        <x:f>L1668-N1668-P1668-R1668-T1668</x:f>
        <x:v>19.985999999999994</x:v>
      </x:c>
      <x:c r="V1668" s="21" t="n">
        <x:f>IFERROR(U1668/L1668,0)</x:f>
        <x:v>0.4163749999999999</x:v>
      </x:c>
    </x:row>
    <x:row r="1669">
      <x:c r="A1669" s="19" t="str">
        <x:v>SALE-01665</x:v>
      </x:c>
      <x:c r="B1669" s="34" t="n">
        <x:v>46216.5</x:v>
      </x:c>
      <x:c r="C1669" s="19" t="str">
        <x:v>周一</x:v>
      </x:c>
      <x:c r="D1669" s="19" t="str">
        <x:v>S06</x:v>
      </x:c>
      <x:c r="E1669" s="19" t="str">
        <x:v>蓝钻天城店</x:v>
      </x:c>
      <x:c r="F1669" s="19" t="str">
        <x:v>外卖</x:v>
      </x:c>
      <x:c r="G1669" s="19" t="str">
        <x:v>全日</x:v>
      </x:c>
      <x:c r="H1669" s="19" t="str">
        <x:v>D05</x:v>
      </x:c>
      <x:c r="I1669" s="19" t="str">
        <x:v>麻婆豆腐</x:v>
      </x:c>
      <x:c r="J1669" s="22" t="n">
        <x:f>XLOOKUP(H1669,'菜品主数据'!$A$5:$A$24,'菜品主数据'!$D$5:$D$24,0)</x:f>
        <x:v>9.9</x:v>
      </x:c>
      <x:c r="K1669" s="31" t="n">
        <x:v>5</x:v>
      </x:c>
      <x:c r="L1669" s="35" t="n">
        <x:f>J1669*K1669</x:f>
        <x:v>49.5</x:v>
      </x:c>
      <x:c r="M1669" s="36" t="n">
        <x:v>0.08</x:v>
      </x:c>
      <x:c r="N1669" s="35" t="n">
        <x:f>L1669*M1669</x:f>
        <x:v>3.96</x:v>
      </x:c>
      <x:c r="O1669" s="37" t="n">
        <x:v>0.18</x:v>
      </x:c>
      <x:c r="P1669" s="35" t="n">
        <x:f>L1669*O1669</x:f>
        <x:v>8.91</x:v>
      </x:c>
      <x:c r="Q1669" s="35" t="n">
        <x:v>1.2</x:v>
      </x:c>
      <x:c r="R1669" s="35" t="n">
        <x:f>K1669*Q1669</x:f>
        <x:v>6</x:v>
      </x:c>
      <x:c r="S1669" s="35" t="n">
        <x:f>XLOOKUP(H1669,'菜品主数据'!$A$5:$A$24,'菜品主数据'!$G$5:$G$24,0)</x:f>
        <x:v>5.367000000000001</x:v>
      </x:c>
      <x:c r="T1669" s="35" t="n">
        <x:f>K1669*S1669</x:f>
        <x:v>26.835000000000004</x:v>
      </x:c>
      <x:c r="U1669" s="35" t="n">
        <x:f>L1669-N1669-P1669-R1669-T1669</x:f>
        <x:v>3.794999999999991</x:v>
      </x:c>
      <x:c r="V1669" s="21" t="n">
        <x:f>IFERROR(U1669/L1669,0)</x:f>
        <x:v>0.07666666666666648</x:v>
      </x:c>
    </x:row>
    <x:row r="1670">
      <x:c r="A1670" s="19" t="str">
        <x:v>SALE-01666</x:v>
      </x:c>
      <x:c r="B1670" s="34" t="n">
        <x:v>46216.5</x:v>
      </x:c>
      <x:c r="C1670" s="19" t="str">
        <x:v>周一</x:v>
      </x:c>
      <x:c r="D1670" s="19" t="str">
        <x:v>S06</x:v>
      </x:c>
      <x:c r="E1670" s="19" t="str">
        <x:v>蓝钻天城店</x:v>
      </x:c>
      <x:c r="F1670" s="19" t="str">
        <x:v>外卖</x:v>
      </x:c>
      <x:c r="G1670" s="19" t="str">
        <x:v>全日</x:v>
      </x:c>
      <x:c r="H1670" s="19" t="str">
        <x:v>D06</x:v>
      </x:c>
      <x:c r="I1670" s="19" t="str">
        <x:v>剁椒鱼头</x:v>
      </x:c>
      <x:c r="J1670" s="22" t="n">
        <x:f>XLOOKUP(H1670,'菜品主数据'!$A$5:$A$24,'菜品主数据'!$D$5:$D$24,0)</x:f>
        <x:v>39</x:v>
      </x:c>
      <x:c r="K1670" s="31" t="n">
        <x:v>1</x:v>
      </x:c>
      <x:c r="L1670" s="35" t="n">
        <x:f>J1670*K1670</x:f>
        <x:v>39</x:v>
      </x:c>
      <x:c r="M1670" s="36" t="n">
        <x:v>0.08</x:v>
      </x:c>
      <x:c r="N1670" s="35" t="n">
        <x:f>L1670*M1670</x:f>
        <x:v>3.12</x:v>
      </x:c>
      <x:c r="O1670" s="37" t="n">
        <x:v>0.18</x:v>
      </x:c>
      <x:c r="P1670" s="35" t="n">
        <x:f>L1670*O1670</x:f>
        <x:v>7.02</x:v>
      </x:c>
      <x:c r="Q1670" s="35" t="n">
        <x:v>1.2</x:v>
      </x:c>
      <x:c r="R1670" s="35" t="n">
        <x:f>K1670*Q1670</x:f>
        <x:v>1.2</x:v>
      </x:c>
      <x:c r="S1670" s="35" t="n">
        <x:f>XLOOKUP(H1670,'菜品主数据'!$A$5:$A$24,'菜品主数据'!$G$5:$G$24,0)</x:f>
        <x:v>17.446</x:v>
      </x:c>
      <x:c r="T1670" s="35" t="n">
        <x:f>K1670*S1670</x:f>
        <x:v>17.446</x:v>
      </x:c>
      <x:c r="U1670" s="35" t="n">
        <x:f>L1670-N1670-P1670-R1670-T1670</x:f>
        <x:v>10.214000000000002</x:v>
      </x:c>
      <x:c r="V1670" s="21" t="n">
        <x:f>IFERROR(U1670/L1670,0)</x:f>
        <x:v>0.26189743589743597</x:v>
      </x:c>
    </x:row>
    <x:row r="1671">
      <x:c r="A1671" s="19" t="str">
        <x:v>SALE-01667</x:v>
      </x:c>
      <x:c r="B1671" s="34" t="n">
        <x:v>46216.5</x:v>
      </x:c>
      <x:c r="C1671" s="19" t="str">
        <x:v>周一</x:v>
      </x:c>
      <x:c r="D1671" s="19" t="str">
        <x:v>S06</x:v>
      </x:c>
      <x:c r="E1671" s="19" t="str">
        <x:v>蓝钻天城店</x:v>
      </x:c>
      <x:c r="F1671" s="19" t="str">
        <x:v>外卖</x:v>
      </x:c>
      <x:c r="G1671" s="19" t="str">
        <x:v>全日</x:v>
      </x:c>
      <x:c r="H1671" s="19" t="str">
        <x:v>D07</x:v>
      </x:c>
      <x:c r="I1671" s="19" t="str">
        <x:v>川味回锅肉</x:v>
      </x:c>
      <x:c r="J1671" s="22" t="n">
        <x:f>XLOOKUP(H1671,'菜品主数据'!$A$5:$A$24,'菜品主数据'!$D$5:$D$24,0)</x:f>
        <x:v>29</x:v>
      </x:c>
      <x:c r="K1671" s="31" t="n">
        <x:v>1</x:v>
      </x:c>
      <x:c r="L1671" s="35" t="n">
        <x:f>J1671*K1671</x:f>
        <x:v>29</x:v>
      </x:c>
      <x:c r="M1671" s="36" t="n">
        <x:v>0.08</x:v>
      </x:c>
      <x:c r="N1671" s="35" t="n">
        <x:f>L1671*M1671</x:f>
        <x:v>2.32</x:v>
      </x:c>
      <x:c r="O1671" s="37" t="n">
        <x:v>0.18</x:v>
      </x:c>
      <x:c r="P1671" s="35" t="n">
        <x:f>L1671*O1671</x:f>
        <x:v>5.22</x:v>
      </x:c>
      <x:c r="Q1671" s="35" t="n">
        <x:v>1.2</x:v>
      </x:c>
      <x:c r="R1671" s="35" t="n">
        <x:f>K1671*Q1671</x:f>
        <x:v>1.2</x:v>
      </x:c>
      <x:c r="S1671" s="35" t="n">
        <x:f>XLOOKUP(H1671,'菜品主数据'!$A$5:$A$24,'菜品主数据'!$G$5:$G$24,0)</x:f>
        <x:v>10.231000000000002</x:v>
      </x:c>
      <x:c r="T1671" s="35" t="n">
        <x:f>K1671*S1671</x:f>
        <x:v>10.231000000000002</x:v>
      </x:c>
      <x:c r="U1671" s="35" t="n">
        <x:f>L1671-N1671-P1671-R1671-T1671</x:f>
        <x:v>10.029</x:v>
      </x:c>
      <x:c r="V1671" s="21" t="n">
        <x:f>IFERROR(U1671/L1671,0)</x:f>
        <x:v>0.3458275862068966</x:v>
      </x:c>
    </x:row>
    <x:row r="1672">
      <x:c r="A1672" s="19" t="str">
        <x:v>SALE-01668</x:v>
      </x:c>
      <x:c r="B1672" s="34" t="n">
        <x:v>46216.5</x:v>
      </x:c>
      <x:c r="C1672" s="19" t="str">
        <x:v>周一</x:v>
      </x:c>
      <x:c r="D1672" s="19" t="str">
        <x:v>S06</x:v>
      </x:c>
      <x:c r="E1672" s="19" t="str">
        <x:v>蓝钻天城店</x:v>
      </x:c>
      <x:c r="F1672" s="19" t="str">
        <x:v>外卖</x:v>
      </x:c>
      <x:c r="G1672" s="19" t="str">
        <x:v>全日</x:v>
      </x:c>
      <x:c r="H1672" s="19" t="str">
        <x:v>D08</x:v>
      </x:c>
      <x:c r="I1672" s="19" t="str">
        <x:v>生炒清远鸡</x:v>
      </x:c>
      <x:c r="J1672" s="22" t="n">
        <x:f>XLOOKUP(H1672,'菜品主数据'!$A$5:$A$24,'菜品主数据'!$D$5:$D$24,0)</x:f>
        <x:v>36</x:v>
      </x:c>
      <x:c r="K1672" s="31" t="n">
        <x:v>1</x:v>
      </x:c>
      <x:c r="L1672" s="35" t="n">
        <x:f>J1672*K1672</x:f>
        <x:v>36</x:v>
      </x:c>
      <x:c r="M1672" s="36" t="n">
        <x:v>0.08</x:v>
      </x:c>
      <x:c r="N1672" s="35" t="n">
        <x:f>L1672*M1672</x:f>
        <x:v>2.88</x:v>
      </x:c>
      <x:c r="O1672" s="37" t="n">
        <x:v>0.18</x:v>
      </x:c>
      <x:c r="P1672" s="35" t="n">
        <x:f>L1672*O1672</x:f>
        <x:v>6.4799999999999995</x:v>
      </x:c>
      <x:c r="Q1672" s="35" t="n">
        <x:v>1.2</x:v>
      </x:c>
      <x:c r="R1672" s="35" t="n">
        <x:f>K1672*Q1672</x:f>
        <x:v>1.2</x:v>
      </x:c>
      <x:c r="S1672" s="35" t="n">
        <x:f>XLOOKUP(H1672,'菜品主数据'!$A$5:$A$24,'菜品主数据'!$G$5:$G$24,0)</x:f>
        <x:v>13.48</x:v>
      </x:c>
      <x:c r="T1672" s="35" t="n">
        <x:f>K1672*S1672</x:f>
        <x:v>13.48</x:v>
      </x:c>
      <x:c r="U1672" s="35" t="n">
        <x:f>L1672-N1672-P1672-R1672-T1672</x:f>
        <x:v>11.959999999999997</x:v>
      </x:c>
      <x:c r="V1672" s="21" t="n">
        <x:f>IFERROR(U1672/L1672,0)</x:f>
        <x:v>0.33222222222222214</x:v>
      </x:c>
    </x:row>
    <x:row r="1673">
      <x:c r="A1673" s="19" t="str">
        <x:v>SALE-01669</x:v>
      </x:c>
      <x:c r="B1673" s="34" t="n">
        <x:v>46216.5</x:v>
      </x:c>
      <x:c r="C1673" s="19" t="str">
        <x:v>周一</x:v>
      </x:c>
      <x:c r="D1673" s="19" t="str">
        <x:v>S06</x:v>
      </x:c>
      <x:c r="E1673" s="19" t="str">
        <x:v>蓝钻天城店</x:v>
      </x:c>
      <x:c r="F1673" s="19" t="str">
        <x:v>外卖</x:v>
      </x:c>
      <x:c r="G1673" s="19" t="str">
        <x:v>全日</x:v>
      </x:c>
      <x:c r="H1673" s="19" t="str">
        <x:v>D09</x:v>
      </x:c>
      <x:c r="I1673" s="19" t="str">
        <x:v>炒豆干</x:v>
      </x:c>
      <x:c r="J1673" s="22" t="n">
        <x:f>XLOOKUP(H1673,'菜品主数据'!$A$5:$A$24,'菜品主数据'!$D$5:$D$24,0)</x:f>
        <x:v>18</x:v>
      </x:c>
      <x:c r="K1673" s="31" t="n">
        <x:v>1</x:v>
      </x:c>
      <x:c r="L1673" s="35" t="n">
        <x:f>J1673*K1673</x:f>
        <x:v>18</x:v>
      </x:c>
      <x:c r="M1673" s="36" t="n">
        <x:v>0.08</x:v>
      </x:c>
      <x:c r="N1673" s="35" t="n">
        <x:f>L1673*M1673</x:f>
        <x:v>1.44</x:v>
      </x:c>
      <x:c r="O1673" s="37" t="n">
        <x:v>0.18</x:v>
      </x:c>
      <x:c r="P1673" s="35" t="n">
        <x:f>L1673*O1673</x:f>
        <x:v>3.2399999999999998</x:v>
      </x:c>
      <x:c r="Q1673" s="35" t="n">
        <x:v>1.2</x:v>
      </x:c>
      <x:c r="R1673" s="35" t="n">
        <x:f>K1673*Q1673</x:f>
        <x:v>1.2</x:v>
      </x:c>
      <x:c r="S1673" s="35" t="n">
        <x:f>XLOOKUP(H1673,'菜品主数据'!$A$5:$A$24,'菜品主数据'!$G$5:$G$24,0)</x:f>
        <x:v>6.613999999999999</x:v>
      </x:c>
      <x:c r="T1673" s="35" t="n">
        <x:f>K1673*S1673</x:f>
        <x:v>6.613999999999999</x:v>
      </x:c>
      <x:c r="U1673" s="35" t="n">
        <x:f>L1673-N1673-P1673-R1673-T1673</x:f>
        <x:v>5.506</x:v>
      </x:c>
      <x:c r="V1673" s="21" t="n">
        <x:f>IFERROR(U1673/L1673,0)</x:f>
        <x:v>0.3058888888888889</x:v>
      </x:c>
    </x:row>
    <x:row r="1674">
      <x:c r="A1674" s="19" t="str">
        <x:v>SALE-01670</x:v>
      </x:c>
      <x:c r="B1674" s="34" t="n">
        <x:v>46216.5</x:v>
      </x:c>
      <x:c r="C1674" s="19" t="str">
        <x:v>周一</x:v>
      </x:c>
      <x:c r="D1674" s="19" t="str">
        <x:v>S06</x:v>
      </x:c>
      <x:c r="E1674" s="19" t="str">
        <x:v>蓝钻天城店</x:v>
      </x:c>
      <x:c r="F1674" s="19" t="str">
        <x:v>外卖</x:v>
      </x:c>
      <x:c r="G1674" s="19" t="str">
        <x:v>全日</x:v>
      </x:c>
      <x:c r="H1674" s="19" t="str">
        <x:v>D10</x:v>
      </x:c>
      <x:c r="I1674" s="19" t="str">
        <x:v>农家一碗香</x:v>
      </x:c>
      <x:c r="J1674" s="22" t="n">
        <x:f>XLOOKUP(H1674,'菜品主数据'!$A$5:$A$24,'菜品主数据'!$D$5:$D$24,0)</x:f>
        <x:v>22.9</x:v>
      </x:c>
      <x:c r="K1674" s="31" t="n">
        <x:v>2</x:v>
      </x:c>
      <x:c r="L1674" s="35" t="n">
        <x:f>J1674*K1674</x:f>
        <x:v>45.8</x:v>
      </x:c>
      <x:c r="M1674" s="36" t="n">
        <x:v>0.08</x:v>
      </x:c>
      <x:c r="N1674" s="35" t="n">
        <x:f>L1674*M1674</x:f>
        <x:v>3.6639999999999997</x:v>
      </x:c>
      <x:c r="O1674" s="37" t="n">
        <x:v>0.18</x:v>
      </x:c>
      <x:c r="P1674" s="35" t="n">
        <x:f>L1674*O1674</x:f>
        <x:v>8.244</x:v>
      </x:c>
      <x:c r="Q1674" s="35" t="n">
        <x:v>1.2</x:v>
      </x:c>
      <x:c r="R1674" s="35" t="n">
        <x:f>K1674*Q1674</x:f>
        <x:v>2.4</x:v>
      </x:c>
      <x:c r="S1674" s="35" t="n">
        <x:f>XLOOKUP(H1674,'菜品主数据'!$A$5:$A$24,'菜品主数据'!$G$5:$G$24,0)</x:f>
        <x:v>9.770200000000003</x:v>
      </x:c>
      <x:c r="T1674" s="35" t="n">
        <x:f>K1674*S1674</x:f>
        <x:v>19.540400000000005</x:v>
      </x:c>
      <x:c r="U1674" s="35" t="n">
        <x:f>L1674-N1674-P1674-R1674-T1674</x:f>
        <x:v>11.951599999999992</x:v>
      </x:c>
      <x:c r="V1674" s="21" t="n">
        <x:f>IFERROR(U1674/L1674,0)</x:f>
        <x:v>0.260951965065502</x:v>
      </x:c>
    </x:row>
    <x:row r="1675">
      <x:c r="A1675" s="19" t="str">
        <x:v>SALE-01671</x:v>
      </x:c>
      <x:c r="B1675" s="34" t="n">
        <x:v>46216.5</x:v>
      </x:c>
      <x:c r="C1675" s="19" t="str">
        <x:v>周一</x:v>
      </x:c>
      <x:c r="D1675" s="19" t="str">
        <x:v>S06</x:v>
      </x:c>
      <x:c r="E1675" s="19" t="str">
        <x:v>蓝钻天城店</x:v>
      </x:c>
      <x:c r="F1675" s="19" t="str">
        <x:v>外卖</x:v>
      </x:c>
      <x:c r="G1675" s="19" t="str">
        <x:v>全日</x:v>
      </x:c>
      <x:c r="H1675" s="19" t="str">
        <x:v>D11</x:v>
      </x:c>
      <x:c r="I1675" s="19" t="str">
        <x:v>香辣爆肥肠</x:v>
      </x:c>
      <x:c r="J1675" s="22" t="n">
        <x:f>XLOOKUP(H1675,'菜品主数据'!$A$5:$A$24,'菜品主数据'!$D$5:$D$24,0)</x:f>
        <x:v>39</x:v>
      </x:c>
      <x:c r="K1675" s="31" t="n">
        <x:v>0</x:v>
      </x:c>
      <x:c r="L1675" s="35" t="n">
        <x:f>J1675*K1675</x:f>
        <x:v>0</x:v>
      </x:c>
      <x:c r="M1675" s="36" t="n">
        <x:v>0.08</x:v>
      </x:c>
      <x:c r="N1675" s="35" t="n">
        <x:f>L1675*M1675</x:f>
        <x:v>0</x:v>
      </x:c>
      <x:c r="O1675" s="37" t="n">
        <x:v>0.18</x:v>
      </x:c>
      <x:c r="P1675" s="35" t="n">
        <x:f>L1675*O1675</x:f>
        <x:v>0</x:v>
      </x:c>
      <x:c r="Q1675" s="35" t="n">
        <x:v>1.2</x:v>
      </x:c>
      <x:c r="R1675" s="35" t="n">
        <x:f>K1675*Q1675</x:f>
        <x:v>0</x:v>
      </x:c>
      <x:c r="S1675" s="35" t="n">
        <x:f>XLOOKUP(H1675,'菜品主数据'!$A$5:$A$24,'菜品主数据'!$G$5:$G$24,0)</x:f>
        <x:v>10.397</x:v>
      </x:c>
      <x:c r="T1675" s="35" t="n">
        <x:f>K1675*S1675</x:f>
        <x:v>0</x:v>
      </x:c>
      <x:c r="U1675" s="35" t="n">
        <x:f>L1675-N1675-P1675-R1675-T1675</x:f>
        <x:v>0</x:v>
      </x:c>
      <x:c r="V1675" s="21" t="n">
        <x:f>IFERROR(U1675/L1675,0)</x:f>
        <x:v>0</x:v>
      </x:c>
    </x:row>
    <x:row r="1676">
      <x:c r="A1676" s="19" t="str">
        <x:v>SALE-01672</x:v>
      </x:c>
      <x:c r="B1676" s="34" t="n">
        <x:v>46216.5</x:v>
      </x:c>
      <x:c r="C1676" s="19" t="str">
        <x:v>周一</x:v>
      </x:c>
      <x:c r="D1676" s="19" t="str">
        <x:v>S06</x:v>
      </x:c>
      <x:c r="E1676" s="19" t="str">
        <x:v>蓝钻天城店</x:v>
      </x:c>
      <x:c r="F1676" s="19" t="str">
        <x:v>外卖</x:v>
      </x:c>
      <x:c r="G1676" s="19" t="str">
        <x:v>全日</x:v>
      </x:c>
      <x:c r="H1676" s="19" t="str">
        <x:v>D12</x:v>
      </x:c>
      <x:c r="I1676" s="19" t="str">
        <x:v>清蒸鲈鱼</x:v>
      </x:c>
      <x:c r="J1676" s="22" t="n">
        <x:f>XLOOKUP(H1676,'菜品主数据'!$A$5:$A$24,'菜品主数据'!$D$5:$D$24,0)</x:f>
        <x:v>39</x:v>
      </x:c>
      <x:c r="K1676" s="31" t="n">
        <x:v>0</x:v>
      </x:c>
      <x:c r="L1676" s="35" t="n">
        <x:f>J1676*K1676</x:f>
        <x:v>0</x:v>
      </x:c>
      <x:c r="M1676" s="36" t="n">
        <x:v>0.08</x:v>
      </x:c>
      <x:c r="N1676" s="35" t="n">
        <x:f>L1676*M1676</x:f>
        <x:v>0</x:v>
      </x:c>
      <x:c r="O1676" s="37" t="n">
        <x:v>0.18</x:v>
      </x:c>
      <x:c r="P1676" s="35" t="n">
        <x:f>L1676*O1676</x:f>
        <x:v>0</x:v>
      </x:c>
      <x:c r="Q1676" s="35" t="n">
        <x:v>1.2</x:v>
      </x:c>
      <x:c r="R1676" s="35" t="n">
        <x:f>K1676*Q1676</x:f>
        <x:v>0</x:v>
      </x:c>
      <x:c r="S1676" s="35" t="n">
        <x:f>XLOOKUP(H1676,'菜品主数据'!$A$5:$A$24,'菜品主数据'!$G$5:$G$24,0)</x:f>
        <x:v>18.874</x:v>
      </x:c>
      <x:c r="T1676" s="35" t="n">
        <x:f>K1676*S1676</x:f>
        <x:v>0</x:v>
      </x:c>
      <x:c r="U1676" s="35" t="n">
        <x:f>L1676-N1676-P1676-R1676-T1676</x:f>
        <x:v>0</x:v>
      </x:c>
      <x:c r="V1676" s="21" t="n">
        <x:f>IFERROR(U1676/L1676,0)</x:f>
        <x:v>0</x:v>
      </x:c>
    </x:row>
    <x:row r="1677">
      <x:c r="A1677" s="19" t="str">
        <x:v>SALE-01673</x:v>
      </x:c>
      <x:c r="B1677" s="34" t="n">
        <x:v>46216.5</x:v>
      </x:c>
      <x:c r="C1677" s="19" t="str">
        <x:v>周一</x:v>
      </x:c>
      <x:c r="D1677" s="19" t="str">
        <x:v>S06</x:v>
      </x:c>
      <x:c r="E1677" s="19" t="str">
        <x:v>蓝钻天城店</x:v>
      </x:c>
      <x:c r="F1677" s="19" t="str">
        <x:v>外卖</x:v>
      </x:c>
      <x:c r="G1677" s="19" t="str">
        <x:v>全日</x:v>
      </x:c>
      <x:c r="H1677" s="19" t="str">
        <x:v>D13</x:v>
      </x:c>
      <x:c r="I1677" s="19" t="str">
        <x:v>外婆菜炒蛋</x:v>
      </x:c>
      <x:c r="J1677" s="22" t="n">
        <x:f>XLOOKUP(H1677,'菜品主数据'!$A$5:$A$24,'菜品主数据'!$D$5:$D$24,0)</x:f>
        <x:v>18</x:v>
      </x:c>
      <x:c r="K1677" s="31" t="n">
        <x:v>1</x:v>
      </x:c>
      <x:c r="L1677" s="35" t="n">
        <x:f>J1677*K1677</x:f>
        <x:v>18</x:v>
      </x:c>
      <x:c r="M1677" s="36" t="n">
        <x:v>0.08</x:v>
      </x:c>
      <x:c r="N1677" s="35" t="n">
        <x:f>L1677*M1677</x:f>
        <x:v>1.44</x:v>
      </x:c>
      <x:c r="O1677" s="37" t="n">
        <x:v>0.18</x:v>
      </x:c>
      <x:c r="P1677" s="35" t="n">
        <x:f>L1677*O1677</x:f>
        <x:v>3.2399999999999998</x:v>
      </x:c>
      <x:c r="Q1677" s="35" t="n">
        <x:v>1.2</x:v>
      </x:c>
      <x:c r="R1677" s="35" t="n">
        <x:f>K1677*Q1677</x:f>
        <x:v>1.2</x:v>
      </x:c>
      <x:c r="S1677" s="35" t="n">
        <x:f>XLOOKUP(H1677,'菜品主数据'!$A$5:$A$24,'菜品主数据'!$G$5:$G$24,0)</x:f>
        <x:v>5.403999999999999</x:v>
      </x:c>
      <x:c r="T1677" s="35" t="n">
        <x:f>K1677*S1677</x:f>
        <x:v>5.403999999999999</x:v>
      </x:c>
      <x:c r="U1677" s="35" t="n">
        <x:f>L1677-N1677-P1677-R1677-T1677</x:f>
        <x:v>6.716</x:v>
      </x:c>
      <x:c r="V1677" s="21" t="n">
        <x:f>IFERROR(U1677/L1677,0)</x:f>
        <x:v>0.3731111111111111</x:v>
      </x:c>
    </x:row>
    <x:row r="1678">
      <x:c r="A1678" s="19" t="str">
        <x:v>SALE-01674</x:v>
      </x:c>
      <x:c r="B1678" s="34" t="n">
        <x:v>46216.5</x:v>
      </x:c>
      <x:c r="C1678" s="19" t="str">
        <x:v>周一</x:v>
      </x:c>
      <x:c r="D1678" s="19" t="str">
        <x:v>S06</x:v>
      </x:c>
      <x:c r="E1678" s="19" t="str">
        <x:v>蓝钻天城店</x:v>
      </x:c>
      <x:c r="F1678" s="19" t="str">
        <x:v>外卖</x:v>
      </x:c>
      <x:c r="G1678" s="19" t="str">
        <x:v>全日</x:v>
      </x:c>
      <x:c r="H1678" s="19" t="str">
        <x:v>D14</x:v>
      </x:c>
      <x:c r="I1678" s="19" t="str">
        <x:v>酸辣鸡杂</x:v>
      </x:c>
      <x:c r="J1678" s="22" t="n">
        <x:f>XLOOKUP(H1678,'菜品主数据'!$A$5:$A$24,'菜品主数据'!$D$5:$D$24,0)</x:f>
        <x:v>28</x:v>
      </x:c>
      <x:c r="K1678" s="31" t="n">
        <x:v>0</x:v>
      </x:c>
      <x:c r="L1678" s="35" t="n">
        <x:f>J1678*K1678</x:f>
        <x:v>0</x:v>
      </x:c>
      <x:c r="M1678" s="36" t="n">
        <x:v>0.08</x:v>
      </x:c>
      <x:c r="N1678" s="35" t="n">
        <x:f>L1678*M1678</x:f>
        <x:v>0</x:v>
      </x:c>
      <x:c r="O1678" s="37" t="n">
        <x:v>0.18</x:v>
      </x:c>
      <x:c r="P1678" s="35" t="n">
        <x:f>L1678*O1678</x:f>
        <x:v>0</x:v>
      </x:c>
      <x:c r="Q1678" s="35" t="n">
        <x:v>1.2</x:v>
      </x:c>
      <x:c r="R1678" s="35" t="n">
        <x:f>K1678*Q1678</x:f>
        <x:v>0</x:v>
      </x:c>
      <x:c r="S1678" s="35" t="n">
        <x:f>XLOOKUP(H1678,'菜品主数据'!$A$5:$A$24,'菜品主数据'!$G$5:$G$24,0)</x:f>
        <x:v>8.315000000000001</x:v>
      </x:c>
      <x:c r="T1678" s="35" t="n">
        <x:f>K1678*S1678</x:f>
        <x:v>0</x:v>
      </x:c>
      <x:c r="U1678" s="35" t="n">
        <x:f>L1678-N1678-P1678-R1678-T1678</x:f>
        <x:v>0</x:v>
      </x:c>
      <x:c r="V1678" s="21" t="n">
        <x:f>IFERROR(U1678/L1678,0)</x:f>
        <x:v>0</x:v>
      </x:c>
    </x:row>
    <x:row r="1679">
      <x:c r="A1679" s="19" t="str">
        <x:v>SALE-01675</x:v>
      </x:c>
      <x:c r="B1679" s="34" t="n">
        <x:v>46216.5</x:v>
      </x:c>
      <x:c r="C1679" s="19" t="str">
        <x:v>周一</x:v>
      </x:c>
      <x:c r="D1679" s="19" t="str">
        <x:v>S06</x:v>
      </x:c>
      <x:c r="E1679" s="19" t="str">
        <x:v>蓝钻天城店</x:v>
      </x:c>
      <x:c r="F1679" s="19" t="str">
        <x:v>外卖</x:v>
      </x:c>
      <x:c r="G1679" s="19" t="str">
        <x:v>全日</x:v>
      </x:c>
      <x:c r="H1679" s="19" t="str">
        <x:v>D15</x:v>
      </x:c>
      <x:c r="I1679" s="19" t="str">
        <x:v>湘西土匪猪肝</x:v>
      </x:c>
      <x:c r="J1679" s="22" t="n">
        <x:f>XLOOKUP(H1679,'菜品主数据'!$A$5:$A$24,'菜品主数据'!$D$5:$D$24,0)</x:f>
        <x:v>26</x:v>
      </x:c>
      <x:c r="K1679" s="31" t="n">
        <x:v>0</x:v>
      </x:c>
      <x:c r="L1679" s="35" t="n">
        <x:f>J1679*K1679</x:f>
        <x:v>0</x:v>
      </x:c>
      <x:c r="M1679" s="36" t="n">
        <x:v>0.08</x:v>
      </x:c>
      <x:c r="N1679" s="35" t="n">
        <x:f>L1679*M1679</x:f>
        <x:v>0</x:v>
      </x:c>
      <x:c r="O1679" s="37" t="n">
        <x:v>0.18</x:v>
      </x:c>
      <x:c r="P1679" s="35" t="n">
        <x:f>L1679*O1679</x:f>
        <x:v>0</x:v>
      </x:c>
      <x:c r="Q1679" s="35" t="n">
        <x:v>1.2</x:v>
      </x:c>
      <x:c r="R1679" s="35" t="n">
        <x:f>K1679*Q1679</x:f>
        <x:v>0</x:v>
      </x:c>
      <x:c r="S1679" s="35" t="n">
        <x:f>XLOOKUP(H1679,'菜品主数据'!$A$5:$A$24,'菜品主数据'!$G$5:$G$24,0)</x:f>
        <x:v>6.3759999999999994</x:v>
      </x:c>
      <x:c r="T1679" s="35" t="n">
        <x:f>K1679*S1679</x:f>
        <x:v>0</x:v>
      </x:c>
      <x:c r="U1679" s="35" t="n">
        <x:f>L1679-N1679-P1679-R1679-T1679</x:f>
        <x:v>0</x:v>
      </x:c>
      <x:c r="V1679" s="21" t="n">
        <x:f>IFERROR(U1679/L1679,0)</x:f>
        <x:v>0</x:v>
      </x:c>
    </x:row>
    <x:row r="1680">
      <x:c r="A1680" s="19" t="str">
        <x:v>SALE-01676</x:v>
      </x:c>
      <x:c r="B1680" s="34" t="n">
        <x:v>46216.5</x:v>
      </x:c>
      <x:c r="C1680" s="19" t="str">
        <x:v>周一</x:v>
      </x:c>
      <x:c r="D1680" s="19" t="str">
        <x:v>S06</x:v>
      </x:c>
      <x:c r="E1680" s="19" t="str">
        <x:v>蓝钻天城店</x:v>
      </x:c>
      <x:c r="F1680" s="19" t="str">
        <x:v>外卖</x:v>
      </x:c>
      <x:c r="G1680" s="19" t="str">
        <x:v>全日</x:v>
      </x:c>
      <x:c r="H1680" s="19" t="str">
        <x:v>D16</x:v>
      </x:c>
      <x:c r="I1680" s="19" t="str">
        <x:v>小豆角炒五花</x:v>
      </x:c>
      <x:c r="J1680" s="22" t="n">
        <x:f>XLOOKUP(H1680,'菜品主数据'!$A$5:$A$24,'菜品主数据'!$D$5:$D$24,0)</x:f>
        <x:v>25</x:v>
      </x:c>
      <x:c r="K1680" s="31" t="n">
        <x:v>0</x:v>
      </x:c>
      <x:c r="L1680" s="35" t="n">
        <x:f>J1680*K1680</x:f>
        <x:v>0</x:v>
      </x:c>
      <x:c r="M1680" s="36" t="n">
        <x:v>0.08</x:v>
      </x:c>
      <x:c r="N1680" s="35" t="n">
        <x:f>L1680*M1680</x:f>
        <x:v>0</x:v>
      </x:c>
      <x:c r="O1680" s="37" t="n">
        <x:v>0.18</x:v>
      </x:c>
      <x:c r="P1680" s="35" t="n">
        <x:f>L1680*O1680</x:f>
        <x:v>0</x:v>
      </x:c>
      <x:c r="Q1680" s="35" t="n">
        <x:v>1.2</x:v>
      </x:c>
      <x:c r="R1680" s="35" t="n">
        <x:f>K1680*Q1680</x:f>
        <x:v>0</x:v>
      </x:c>
      <x:c r="S1680" s="35" t="n">
        <x:f>XLOOKUP(H1680,'菜品主数据'!$A$5:$A$24,'菜品主数据'!$G$5:$G$24,0)</x:f>
        <x:v>8.184</x:v>
      </x:c>
      <x:c r="T1680" s="35" t="n">
        <x:f>K1680*S1680</x:f>
        <x:v>0</x:v>
      </x:c>
      <x:c r="U1680" s="35" t="n">
        <x:f>L1680-N1680-P1680-R1680-T1680</x:f>
        <x:v>0</x:v>
      </x:c>
      <x:c r="V1680" s="21" t="n">
        <x:f>IFERROR(U1680/L1680,0)</x:f>
        <x:v>0</x:v>
      </x:c>
    </x:row>
    <x:row r="1681">
      <x:c r="A1681" s="19" t="str">
        <x:v>SALE-01677</x:v>
      </x:c>
      <x:c r="B1681" s="34" t="n">
        <x:v>46216.5</x:v>
      </x:c>
      <x:c r="C1681" s="19" t="str">
        <x:v>周一</x:v>
      </x:c>
      <x:c r="D1681" s="19" t="str">
        <x:v>S06</x:v>
      </x:c>
      <x:c r="E1681" s="19" t="str">
        <x:v>蓝钻天城店</x:v>
      </x:c>
      <x:c r="F1681" s="19" t="str">
        <x:v>外卖</x:v>
      </x:c>
      <x:c r="G1681" s="19" t="str">
        <x:v>全日</x:v>
      </x:c>
      <x:c r="H1681" s="19" t="str">
        <x:v>D17</x:v>
      </x:c>
      <x:c r="I1681" s="19" t="str">
        <x:v>蒜蓉粉丝虾</x:v>
      </x:c>
      <x:c r="J1681" s="22" t="n">
        <x:f>XLOOKUP(H1681,'菜品主数据'!$A$5:$A$24,'菜品主数据'!$D$5:$D$24,0)</x:f>
        <x:v>36</x:v>
      </x:c>
      <x:c r="K1681" s="31" t="n">
        <x:v>0</x:v>
      </x:c>
      <x:c r="L1681" s="35" t="n">
        <x:f>J1681*K1681</x:f>
        <x:v>0</x:v>
      </x:c>
      <x:c r="M1681" s="36" t="n">
        <x:v>0.08</x:v>
      </x:c>
      <x:c r="N1681" s="35" t="n">
        <x:f>L1681*M1681</x:f>
        <x:v>0</x:v>
      </x:c>
      <x:c r="O1681" s="37" t="n">
        <x:v>0.18</x:v>
      </x:c>
      <x:c r="P1681" s="35" t="n">
        <x:f>L1681*O1681</x:f>
        <x:v>0</x:v>
      </x:c>
      <x:c r="Q1681" s="35" t="n">
        <x:v>1.2</x:v>
      </x:c>
      <x:c r="R1681" s="35" t="n">
        <x:f>K1681*Q1681</x:f>
        <x:v>0</x:v>
      </x:c>
      <x:c r="S1681" s="35" t="n">
        <x:f>XLOOKUP(H1681,'菜品主数据'!$A$5:$A$24,'菜品主数据'!$G$5:$G$24,0)</x:f>
        <x:v>13.594</x:v>
      </x:c>
      <x:c r="T1681" s="35" t="n">
        <x:f>K1681*S1681</x:f>
        <x:v>0</x:v>
      </x:c>
      <x:c r="U1681" s="35" t="n">
        <x:f>L1681-N1681-P1681-R1681-T1681</x:f>
        <x:v>0</x:v>
      </x:c>
      <x:c r="V1681" s="21" t="n">
        <x:f>IFERROR(U1681/L1681,0)</x:f>
        <x:v>0</x:v>
      </x:c>
    </x:row>
    <x:row r="1682">
      <x:c r="A1682" s="19" t="str">
        <x:v>SALE-01678</x:v>
      </x:c>
      <x:c r="B1682" s="34" t="n">
        <x:v>46216.5</x:v>
      </x:c>
      <x:c r="C1682" s="19" t="str">
        <x:v>周一</x:v>
      </x:c>
      <x:c r="D1682" s="19" t="str">
        <x:v>S06</x:v>
      </x:c>
      <x:c r="E1682" s="19" t="str">
        <x:v>蓝钻天城店</x:v>
      </x:c>
      <x:c r="F1682" s="19" t="str">
        <x:v>外卖</x:v>
      </x:c>
      <x:c r="G1682" s="19" t="str">
        <x:v>全日</x:v>
      </x:c>
      <x:c r="H1682" s="19" t="str">
        <x:v>D18</x:v>
      </x:c>
      <x:c r="I1682" s="19" t="str">
        <x:v>青椒炒油麦菜</x:v>
      </x:c>
      <x:c r="J1682" s="22" t="n">
        <x:f>XLOOKUP(H1682,'菜品主数据'!$A$5:$A$24,'菜品主数据'!$D$5:$D$24,0)</x:f>
        <x:v>18</x:v>
      </x:c>
      <x:c r="K1682" s="31" t="n">
        <x:v>1</x:v>
      </x:c>
      <x:c r="L1682" s="35" t="n">
        <x:f>J1682*K1682</x:f>
        <x:v>18</x:v>
      </x:c>
      <x:c r="M1682" s="36" t="n">
        <x:v>0.08</x:v>
      </x:c>
      <x:c r="N1682" s="35" t="n">
        <x:f>L1682*M1682</x:f>
        <x:v>1.44</x:v>
      </x:c>
      <x:c r="O1682" s="37" t="n">
        <x:v>0.18</x:v>
      </x:c>
      <x:c r="P1682" s="35" t="n">
        <x:f>L1682*O1682</x:f>
        <x:v>3.2399999999999998</x:v>
      </x:c>
      <x:c r="Q1682" s="35" t="n">
        <x:v>1.2</x:v>
      </x:c>
      <x:c r="R1682" s="35" t="n">
        <x:f>K1682*Q1682</x:f>
        <x:v>1.2</x:v>
      </x:c>
      <x:c r="S1682" s="35" t="n">
        <x:f>XLOOKUP(H1682,'菜品主数据'!$A$5:$A$24,'菜品主数据'!$G$5:$G$24,0)</x:f>
        <x:v>3.1759999999999993</x:v>
      </x:c>
      <x:c r="T1682" s="35" t="n">
        <x:f>K1682*S1682</x:f>
        <x:v>3.1759999999999993</x:v>
      </x:c>
      <x:c r="U1682" s="35" t="n">
        <x:f>L1682-N1682-P1682-R1682-T1682</x:f>
        <x:v>8.943999999999999</x:v>
      </x:c>
      <x:c r="V1682" s="21" t="n">
        <x:f>IFERROR(U1682/L1682,0)</x:f>
        <x:v>0.4968888888888888</x:v>
      </x:c>
    </x:row>
    <x:row r="1683">
      <x:c r="A1683" s="19" t="str">
        <x:v>SALE-01679</x:v>
      </x:c>
      <x:c r="B1683" s="34" t="n">
        <x:v>46216.5</x:v>
      </x:c>
      <x:c r="C1683" s="19" t="str">
        <x:v>周一</x:v>
      </x:c>
      <x:c r="D1683" s="19" t="str">
        <x:v>S06</x:v>
      </x:c>
      <x:c r="E1683" s="19" t="str">
        <x:v>蓝钻天城店</x:v>
      </x:c>
      <x:c r="F1683" s="19" t="str">
        <x:v>外卖</x:v>
      </x:c>
      <x:c r="G1683" s="19" t="str">
        <x:v>全日</x:v>
      </x:c>
      <x:c r="H1683" s="19" t="str">
        <x:v>D19</x:v>
      </x:c>
      <x:c r="I1683" s="19" t="str">
        <x:v>酸萝卜炒鸡杂</x:v>
      </x:c>
      <x:c r="J1683" s="22" t="n">
        <x:f>XLOOKUP(H1683,'菜品主数据'!$A$5:$A$24,'菜品主数据'!$D$5:$D$24,0)</x:f>
        <x:v>25</x:v>
      </x:c>
      <x:c r="K1683" s="31" t="n">
        <x:v>0</x:v>
      </x:c>
      <x:c r="L1683" s="35" t="n">
        <x:f>J1683*K1683</x:f>
        <x:v>0</x:v>
      </x:c>
      <x:c r="M1683" s="36" t="n">
        <x:v>0.08</x:v>
      </x:c>
      <x:c r="N1683" s="35" t="n">
        <x:f>L1683*M1683</x:f>
        <x:v>0</x:v>
      </x:c>
      <x:c r="O1683" s="37" t="n">
        <x:v>0.18</x:v>
      </x:c>
      <x:c r="P1683" s="35" t="n">
        <x:f>L1683*O1683</x:f>
        <x:v>0</x:v>
      </x:c>
      <x:c r="Q1683" s="35" t="n">
        <x:v>1.2</x:v>
      </x:c>
      <x:c r="R1683" s="35" t="n">
        <x:f>K1683*Q1683</x:f>
        <x:v>0</x:v>
      </x:c>
      <x:c r="S1683" s="35" t="n">
        <x:f>XLOOKUP(H1683,'菜品主数据'!$A$5:$A$24,'菜品主数据'!$G$5:$G$24,0)</x:f>
        <x:v>7.9399999999999995</x:v>
      </x:c>
      <x:c r="T1683" s="35" t="n">
        <x:f>K1683*S1683</x:f>
        <x:v>0</x:v>
      </x:c>
      <x:c r="U1683" s="35" t="n">
        <x:f>L1683-N1683-P1683-R1683-T1683</x:f>
        <x:v>0</x:v>
      </x:c>
      <x:c r="V1683" s="21" t="n">
        <x:f>IFERROR(U1683/L1683,0)</x:f>
        <x:v>0</x:v>
      </x:c>
    </x:row>
    <x:row r="1684">
      <x:c r="A1684" s="19" t="str">
        <x:v>SALE-01680</x:v>
      </x:c>
      <x:c r="B1684" s="34" t="n">
        <x:v>46216.5</x:v>
      </x:c>
      <x:c r="C1684" s="19" t="str">
        <x:v>周一</x:v>
      </x:c>
      <x:c r="D1684" s="19" t="str">
        <x:v>S06</x:v>
      </x:c>
      <x:c r="E1684" s="19" t="str">
        <x:v>蓝钻天城店</x:v>
      </x:c>
      <x:c r="F1684" s="19" t="str">
        <x:v>外卖</x:v>
      </x:c>
      <x:c r="G1684" s="19" t="str">
        <x:v>全日</x:v>
      </x:c>
      <x:c r="H1684" s="19" t="str">
        <x:v>D20</x:v>
      </x:c>
      <x:c r="I1684" s="19" t="str">
        <x:v>雪菜肉末青豆</x:v>
      </x:c>
      <x:c r="J1684" s="22" t="n">
        <x:f>XLOOKUP(H1684,'菜品主数据'!$A$5:$A$24,'菜品主数据'!$D$5:$D$24,0)</x:f>
        <x:v>18</x:v>
      </x:c>
      <x:c r="K1684" s="31" t="n">
        <x:v>1</x:v>
      </x:c>
      <x:c r="L1684" s="35" t="n">
        <x:f>J1684*K1684</x:f>
        <x:v>18</x:v>
      </x:c>
      <x:c r="M1684" s="36" t="n">
        <x:v>0.08</x:v>
      </x:c>
      <x:c r="N1684" s="35" t="n">
        <x:f>L1684*M1684</x:f>
        <x:v>1.44</x:v>
      </x:c>
      <x:c r="O1684" s="37" t="n">
        <x:v>0.18</x:v>
      </x:c>
      <x:c r="P1684" s="35" t="n">
        <x:f>L1684*O1684</x:f>
        <x:v>3.2399999999999998</x:v>
      </x:c>
      <x:c r="Q1684" s="35" t="n">
        <x:v>1.2</x:v>
      </x:c>
      <x:c r="R1684" s="35" t="n">
        <x:f>K1684*Q1684</x:f>
        <x:v>1.2</x:v>
      </x:c>
      <x:c r="S1684" s="35" t="n">
        <x:f>XLOOKUP(H1684,'菜品主数据'!$A$5:$A$24,'菜品主数据'!$G$5:$G$24,0)</x:f>
        <x:v>7.303999999999999</x:v>
      </x:c>
      <x:c r="T1684" s="35" t="n">
        <x:f>K1684*S1684</x:f>
        <x:v>7.303999999999999</x:v>
      </x:c>
      <x:c r="U1684" s="35" t="n">
        <x:f>L1684-N1684-P1684-R1684-T1684</x:f>
        <x:v>4.816</x:v>
      </x:c>
      <x:c r="V1684" s="21" t="n">
        <x:f>IFERROR(U1684/L1684,0)</x:f>
        <x:v>0.26755555555555555</x:v>
      </x:c>
    </x:row>
    <x:row r="1685">
      <x:c r="A1685" s="19" t="str">
        <x:v>SALE-01681</x:v>
      </x:c>
      <x:c r="B1685" s="34" t="n">
        <x:v>46210.5</x:v>
      </x:c>
      <x:c r="C1685" s="19" t="str">
        <x:v>周二</x:v>
      </x:c>
      <x:c r="D1685" s="19" t="str">
        <x:v>S07</x:v>
      </x:c>
      <x:c r="E1685" s="19" t="str">
        <x:v>小和山店</x:v>
      </x:c>
      <x:c r="F1685" s="19" t="str">
        <x:v>堂食</x:v>
      </x:c>
      <x:c r="G1685" s="19" t="str">
        <x:v>全日</x:v>
      </x:c>
      <x:c r="H1685" s="19" t="str">
        <x:v>D01</x:v>
      </x:c>
      <x:c r="I1685" s="19" t="str">
        <x:v>辣椒炒肉</x:v>
      </x:c>
      <x:c r="J1685" s="22" t="n">
        <x:f>XLOOKUP(H1685,'菜品主数据'!$A$5:$A$24,'菜品主数据'!$D$5:$D$24,0)</x:f>
        <x:v>29</x:v>
      </x:c>
      <x:c r="K1685" s="31" t="n">
        <x:v>39</x:v>
      </x:c>
      <x:c r="L1685" s="35" t="n">
        <x:f>J1685*K1685</x:f>
        <x:v>1131</x:v>
      </x:c>
      <x:c r="M1685" s="36" t="n">
        <x:v>0</x:v>
      </x:c>
      <x:c r="N1685" s="35" t="n">
        <x:f>L1685*M1685</x:f>
        <x:v>0</x:v>
      </x:c>
      <x:c r="O1685" s="37" t="n">
        <x:v>0</x:v>
      </x:c>
      <x:c r="P1685" s="35" t="n">
        <x:f>L1685*O1685</x:f>
        <x:v>0</x:v>
      </x:c>
      <x:c r="Q1685" s="35" t="n">
        <x:v>0</x:v>
      </x:c>
      <x:c r="R1685" s="35" t="n">
        <x:f>K1685*Q1685</x:f>
        <x:v>0</x:v>
      </x:c>
      <x:c r="S1685" s="35" t="n">
        <x:f>XLOOKUP(H1685,'菜品主数据'!$A$5:$A$24,'菜品主数据'!$G$5:$G$24,0)</x:f>
        <x:v>8.634400000000001</x:v>
      </x:c>
      <x:c r="T1685" s="35" t="n">
        <x:f>K1685*S1685</x:f>
        <x:v>336.74160000000006</x:v>
      </x:c>
      <x:c r="U1685" s="35" t="n">
        <x:f>L1685-N1685-P1685-R1685-T1685</x:f>
        <x:v>794.2583999999999</x:v>
      </x:c>
      <x:c r="V1685" s="21" t="n">
        <x:f>IFERROR(U1685/L1685,0)</x:f>
        <x:v>0.7022620689655172</x:v>
      </x:c>
    </x:row>
    <x:row r="1686">
      <x:c r="A1686" s="19" t="str">
        <x:v>SALE-01682</x:v>
      </x:c>
      <x:c r="B1686" s="34" t="n">
        <x:v>46210.5</x:v>
      </x:c>
      <x:c r="C1686" s="19" t="str">
        <x:v>周二</x:v>
      </x:c>
      <x:c r="D1686" s="19" t="str">
        <x:v>S07</x:v>
      </x:c>
      <x:c r="E1686" s="19" t="str">
        <x:v>小和山店</x:v>
      </x:c>
      <x:c r="F1686" s="19" t="str">
        <x:v>堂食</x:v>
      </x:c>
      <x:c r="G1686" s="19" t="str">
        <x:v>全日</x:v>
      </x:c>
      <x:c r="H1686" s="19" t="str">
        <x:v>D02</x:v>
      </x:c>
      <x:c r="I1686" s="19" t="str">
        <x:v>小炒黄牛肉</x:v>
      </x:c>
      <x:c r="J1686" s="22" t="n">
        <x:f>XLOOKUP(H1686,'菜品主数据'!$A$5:$A$24,'菜品主数据'!$D$5:$D$24,0)</x:f>
        <x:v>49</x:v>
      </x:c>
      <x:c r="K1686" s="31" t="n">
        <x:v>24</x:v>
      </x:c>
      <x:c r="L1686" s="35" t="n">
        <x:f>J1686*K1686</x:f>
        <x:v>1176</x:v>
      </x:c>
      <x:c r="M1686" s="36" t="n">
        <x:v>0</x:v>
      </x:c>
      <x:c r="N1686" s="35" t="n">
        <x:f>L1686*M1686</x:f>
        <x:v>0</x:v>
      </x:c>
      <x:c r="O1686" s="37" t="n">
        <x:v>0</x:v>
      </x:c>
      <x:c r="P1686" s="35" t="n">
        <x:f>L1686*O1686</x:f>
        <x:v>0</x:v>
      </x:c>
      <x:c r="Q1686" s="35" t="n">
        <x:v>0</x:v>
      </x:c>
      <x:c r="R1686" s="35" t="n">
        <x:f>K1686*Q1686</x:f>
        <x:v>0</x:v>
      </x:c>
      <x:c r="S1686" s="35" t="n">
        <x:f>XLOOKUP(H1686,'菜品主数据'!$A$5:$A$24,'菜品主数据'!$G$5:$G$24,0)</x:f>
        <x:v>17.577</x:v>
      </x:c>
      <x:c r="T1686" s="35" t="n">
        <x:f>K1686*S1686</x:f>
        <x:v>421.84800000000007</x:v>
      </x:c>
      <x:c r="U1686" s="35" t="n">
        <x:f>L1686-N1686-P1686-R1686-T1686</x:f>
        <x:v>754.1519999999999</x:v>
      </x:c>
      <x:c r="V1686" s="21" t="n">
        <x:f>IFERROR(U1686/L1686,0)</x:f>
        <x:v>0.6412857142857142</x:v>
      </x:c>
    </x:row>
    <x:row r="1687">
      <x:c r="A1687" s="19" t="str">
        <x:v>SALE-01683</x:v>
      </x:c>
      <x:c r="B1687" s="34" t="n">
        <x:v>46210.5</x:v>
      </x:c>
      <x:c r="C1687" s="19" t="str">
        <x:v>周二</x:v>
      </x:c>
      <x:c r="D1687" s="19" t="str">
        <x:v>S07</x:v>
      </x:c>
      <x:c r="E1687" s="19" t="str">
        <x:v>小和山店</x:v>
      </x:c>
      <x:c r="F1687" s="19" t="str">
        <x:v>堂食</x:v>
      </x:c>
      <x:c r="G1687" s="19" t="str">
        <x:v>全日</x:v>
      </x:c>
      <x:c r="H1687" s="19" t="str">
        <x:v>D03</x:v>
      </x:c>
      <x:c r="I1687" s="19" t="str">
        <x:v>香醋炒蛋</x:v>
      </x:c>
      <x:c r="J1687" s="22" t="n">
        <x:f>XLOOKUP(H1687,'菜品主数据'!$A$5:$A$24,'菜品主数据'!$D$5:$D$24,0)</x:f>
        <x:v>14.9</x:v>
      </x:c>
      <x:c r="K1687" s="31" t="n">
        <x:v>37</x:v>
      </x:c>
      <x:c r="L1687" s="35" t="n">
        <x:f>J1687*K1687</x:f>
        <x:v>551.3000000000001</x:v>
      </x:c>
      <x:c r="M1687" s="36" t="n">
        <x:v>0</x:v>
      </x:c>
      <x:c r="N1687" s="35" t="n">
        <x:f>L1687*M1687</x:f>
        <x:v>0</x:v>
      </x:c>
      <x:c r="O1687" s="37" t="n">
        <x:v>0</x:v>
      </x:c>
      <x:c r="P1687" s="35" t="n">
        <x:f>L1687*O1687</x:f>
        <x:v>0</x:v>
      </x:c>
      <x:c r="Q1687" s="35" t="n">
        <x:v>0</x:v>
      </x:c>
      <x:c r="R1687" s="35" t="n">
        <x:f>K1687*Q1687</x:f>
        <x:v>0</x:v>
      </x:c>
      <x:c r="S1687" s="35" t="n">
        <x:f>XLOOKUP(H1687,'菜品主数据'!$A$5:$A$24,'菜品主数据'!$G$5:$G$24,0)</x:f>
        <x:v>3.7459999999999996</x:v>
      </x:c>
      <x:c r="T1687" s="35" t="n">
        <x:f>K1687*S1687</x:f>
        <x:v>138.60199999999998</x:v>
      </x:c>
      <x:c r="U1687" s="35" t="n">
        <x:f>L1687-N1687-P1687-R1687-T1687</x:f>
        <x:v>412.6980000000001</x:v>
      </x:c>
      <x:c r="V1687" s="21" t="n">
        <x:f>IFERROR(U1687/L1687,0)</x:f>
        <x:v>0.7485906040268457</x:v>
      </x:c>
    </x:row>
    <x:row r="1688">
      <x:c r="A1688" s="19" t="str">
        <x:v>SALE-01684</x:v>
      </x:c>
      <x:c r="B1688" s="34" t="n">
        <x:v>46210.5</x:v>
      </x:c>
      <x:c r="C1688" s="19" t="str">
        <x:v>周二</x:v>
      </x:c>
      <x:c r="D1688" s="19" t="str">
        <x:v>S07</x:v>
      </x:c>
      <x:c r="E1688" s="19" t="str">
        <x:v>小和山店</x:v>
      </x:c>
      <x:c r="F1688" s="19" t="str">
        <x:v>堂食</x:v>
      </x:c>
      <x:c r="G1688" s="19" t="str">
        <x:v>全日</x:v>
      </x:c>
      <x:c r="H1688" s="19" t="str">
        <x:v>D04</x:v>
      </x:c>
      <x:c r="I1688" s="19" t="str">
        <x:v>酸包菜炒粉皮</x:v>
      </x:c>
      <x:c r="J1688" s="22" t="n">
        <x:f>XLOOKUP(H1688,'菜品主数据'!$A$5:$A$24,'菜品主数据'!$D$5:$D$24,0)</x:f>
        <x:v>16</x:v>
      </x:c>
      <x:c r="K1688" s="31" t="n">
        <x:v>31</x:v>
      </x:c>
      <x:c r="L1688" s="35" t="n">
        <x:f>J1688*K1688</x:f>
        <x:v>496</x:v>
      </x:c>
      <x:c r="M1688" s="36" t="n">
        <x:v>0</x:v>
      </x:c>
      <x:c r="N1688" s="35" t="n">
        <x:f>L1688*M1688</x:f>
        <x:v>0</x:v>
      </x:c>
      <x:c r="O1688" s="37" t="n">
        <x:v>0</x:v>
      </x:c>
      <x:c r="P1688" s="35" t="n">
        <x:f>L1688*O1688</x:f>
        <x:v>0</x:v>
      </x:c>
      <x:c r="Q1688" s="35" t="n">
        <x:v>0</x:v>
      </x:c>
      <x:c r="R1688" s="35" t="n">
        <x:f>K1688*Q1688</x:f>
        <x:v>0</x:v>
      </x:c>
      <x:c r="S1688" s="35" t="n">
        <x:f>XLOOKUP(H1688,'菜品主数据'!$A$5:$A$24,'菜品主数据'!$G$5:$G$24,0)</x:f>
        <x:v>3.978</x:v>
      </x:c>
      <x:c r="T1688" s="35" t="n">
        <x:f>K1688*S1688</x:f>
        <x:v>123.31800000000001</x:v>
      </x:c>
      <x:c r="U1688" s="35" t="n">
        <x:f>L1688-N1688-P1688-R1688-T1688</x:f>
        <x:v>372.682</x:v>
      </x:c>
      <x:c r="V1688" s="21" t="n">
        <x:f>IFERROR(U1688/L1688,0)</x:f>
        <x:v>0.751375</x:v>
      </x:c>
    </x:row>
    <x:row r="1689">
      <x:c r="A1689" s="19" t="str">
        <x:v>SALE-01685</x:v>
      </x:c>
      <x:c r="B1689" s="34" t="n">
        <x:v>46210.5</x:v>
      </x:c>
      <x:c r="C1689" s="19" t="str">
        <x:v>周二</x:v>
      </x:c>
      <x:c r="D1689" s="19" t="str">
        <x:v>S07</x:v>
      </x:c>
      <x:c r="E1689" s="19" t="str">
        <x:v>小和山店</x:v>
      </x:c>
      <x:c r="F1689" s="19" t="str">
        <x:v>堂食</x:v>
      </x:c>
      <x:c r="G1689" s="19" t="str">
        <x:v>全日</x:v>
      </x:c>
      <x:c r="H1689" s="19" t="str">
        <x:v>D05</x:v>
      </x:c>
      <x:c r="I1689" s="19" t="str">
        <x:v>麻婆豆腐</x:v>
      </x:c>
      <x:c r="J1689" s="22" t="n">
        <x:f>XLOOKUP(H1689,'菜品主数据'!$A$5:$A$24,'菜品主数据'!$D$5:$D$24,0)</x:f>
        <x:v>9.9</x:v>
      </x:c>
      <x:c r="K1689" s="31" t="n">
        <x:v>44</x:v>
      </x:c>
      <x:c r="L1689" s="35" t="n">
        <x:f>J1689*K1689</x:f>
        <x:v>435.6</x:v>
      </x:c>
      <x:c r="M1689" s="36" t="n">
        <x:v>0</x:v>
      </x:c>
      <x:c r="N1689" s="35" t="n">
        <x:f>L1689*M1689</x:f>
        <x:v>0</x:v>
      </x:c>
      <x:c r="O1689" s="37" t="n">
        <x:v>0</x:v>
      </x:c>
      <x:c r="P1689" s="35" t="n">
        <x:f>L1689*O1689</x:f>
        <x:v>0</x:v>
      </x:c>
      <x:c r="Q1689" s="35" t="n">
        <x:v>0</x:v>
      </x:c>
      <x:c r="R1689" s="35" t="n">
        <x:f>K1689*Q1689</x:f>
        <x:v>0</x:v>
      </x:c>
      <x:c r="S1689" s="35" t="n">
        <x:f>XLOOKUP(H1689,'菜品主数据'!$A$5:$A$24,'菜品主数据'!$G$5:$G$24,0)</x:f>
        <x:v>5.367000000000001</x:v>
      </x:c>
      <x:c r="T1689" s="35" t="n">
        <x:f>K1689*S1689</x:f>
        <x:v>236.14800000000002</x:v>
      </x:c>
      <x:c r="U1689" s="35" t="n">
        <x:f>L1689-N1689-P1689-R1689-T1689</x:f>
        <x:v>199.452</x:v>
      </x:c>
      <x:c r="V1689" s="21" t="n">
        <x:f>IFERROR(U1689/L1689,0)</x:f>
        <x:v>0.45787878787878783</x:v>
      </x:c>
    </x:row>
    <x:row r="1690">
      <x:c r="A1690" s="19" t="str">
        <x:v>SALE-01686</x:v>
      </x:c>
      <x:c r="B1690" s="34" t="n">
        <x:v>46210.5</x:v>
      </x:c>
      <x:c r="C1690" s="19" t="str">
        <x:v>周二</x:v>
      </x:c>
      <x:c r="D1690" s="19" t="str">
        <x:v>S07</x:v>
      </x:c>
      <x:c r="E1690" s="19" t="str">
        <x:v>小和山店</x:v>
      </x:c>
      <x:c r="F1690" s="19" t="str">
        <x:v>堂食</x:v>
      </x:c>
      <x:c r="G1690" s="19" t="str">
        <x:v>全日</x:v>
      </x:c>
      <x:c r="H1690" s="19" t="str">
        <x:v>D06</x:v>
      </x:c>
      <x:c r="I1690" s="19" t="str">
        <x:v>剁椒鱼头</x:v>
      </x:c>
      <x:c r="J1690" s="22" t="n">
        <x:f>XLOOKUP(H1690,'菜品主数据'!$A$5:$A$24,'菜品主数据'!$D$5:$D$24,0)</x:f>
        <x:v>39</x:v>
      </x:c>
      <x:c r="K1690" s="31" t="n">
        <x:v>12</x:v>
      </x:c>
      <x:c r="L1690" s="35" t="n">
        <x:f>J1690*K1690</x:f>
        <x:v>468</x:v>
      </x:c>
      <x:c r="M1690" s="36" t="n">
        <x:v>0</x:v>
      </x:c>
      <x:c r="N1690" s="35" t="n">
        <x:f>L1690*M1690</x:f>
        <x:v>0</x:v>
      </x:c>
      <x:c r="O1690" s="37" t="n">
        <x:v>0</x:v>
      </x:c>
      <x:c r="P1690" s="35" t="n">
        <x:f>L1690*O1690</x:f>
        <x:v>0</x:v>
      </x:c>
      <x:c r="Q1690" s="35" t="n">
        <x:v>0</x:v>
      </x:c>
      <x:c r="R1690" s="35" t="n">
        <x:f>K1690*Q1690</x:f>
        <x:v>0</x:v>
      </x:c>
      <x:c r="S1690" s="35" t="n">
        <x:f>XLOOKUP(H1690,'菜品主数据'!$A$5:$A$24,'菜品主数据'!$G$5:$G$24,0)</x:f>
        <x:v>17.446</x:v>
      </x:c>
      <x:c r="T1690" s="35" t="n">
        <x:f>K1690*S1690</x:f>
        <x:v>209.35200000000003</x:v>
      </x:c>
      <x:c r="U1690" s="35" t="n">
        <x:f>L1690-N1690-P1690-R1690-T1690</x:f>
        <x:v>258.64799999999997</x:v>
      </x:c>
      <x:c r="V1690" s="21" t="n">
        <x:f>IFERROR(U1690/L1690,0)</x:f>
        <x:v>0.5526666666666666</x:v>
      </x:c>
    </x:row>
    <x:row r="1691">
      <x:c r="A1691" s="19" t="str">
        <x:v>SALE-01687</x:v>
      </x:c>
      <x:c r="B1691" s="34" t="n">
        <x:v>46210.5</x:v>
      </x:c>
      <x:c r="C1691" s="19" t="str">
        <x:v>周二</x:v>
      </x:c>
      <x:c r="D1691" s="19" t="str">
        <x:v>S07</x:v>
      </x:c>
      <x:c r="E1691" s="19" t="str">
        <x:v>小和山店</x:v>
      </x:c>
      <x:c r="F1691" s="19" t="str">
        <x:v>堂食</x:v>
      </x:c>
      <x:c r="G1691" s="19" t="str">
        <x:v>全日</x:v>
      </x:c>
      <x:c r="H1691" s="19" t="str">
        <x:v>D07</x:v>
      </x:c>
      <x:c r="I1691" s="19" t="str">
        <x:v>川味回锅肉</x:v>
      </x:c>
      <x:c r="J1691" s="22" t="n">
        <x:f>XLOOKUP(H1691,'菜品主数据'!$A$5:$A$24,'菜品主数据'!$D$5:$D$24,0)</x:f>
        <x:v>29</x:v>
      </x:c>
      <x:c r="K1691" s="31" t="n">
        <x:v>14</x:v>
      </x:c>
      <x:c r="L1691" s="35" t="n">
        <x:f>J1691*K1691</x:f>
        <x:v>406</x:v>
      </x:c>
      <x:c r="M1691" s="36" t="n">
        <x:v>0</x:v>
      </x:c>
      <x:c r="N1691" s="35" t="n">
        <x:f>L1691*M1691</x:f>
        <x:v>0</x:v>
      </x:c>
      <x:c r="O1691" s="37" t="n">
        <x:v>0</x:v>
      </x:c>
      <x:c r="P1691" s="35" t="n">
        <x:f>L1691*O1691</x:f>
        <x:v>0</x:v>
      </x:c>
      <x:c r="Q1691" s="35" t="n">
        <x:v>0</x:v>
      </x:c>
      <x:c r="R1691" s="35" t="n">
        <x:f>K1691*Q1691</x:f>
        <x:v>0</x:v>
      </x:c>
      <x:c r="S1691" s="35" t="n">
        <x:f>XLOOKUP(H1691,'菜品主数据'!$A$5:$A$24,'菜品主数据'!$G$5:$G$24,0)</x:f>
        <x:v>10.231000000000002</x:v>
      </x:c>
      <x:c r="T1691" s="35" t="n">
        <x:f>K1691*S1691</x:f>
        <x:v>143.23400000000004</x:v>
      </x:c>
      <x:c r="U1691" s="35" t="n">
        <x:f>L1691-N1691-P1691-R1691-T1691</x:f>
        <x:v>262.76599999999996</x:v>
      </x:c>
      <x:c r="V1691" s="21" t="n">
        <x:f>IFERROR(U1691/L1691,0)</x:f>
        <x:v>0.647206896551724</x:v>
      </x:c>
    </x:row>
    <x:row r="1692">
      <x:c r="A1692" s="19" t="str">
        <x:v>SALE-01688</x:v>
      </x:c>
      <x:c r="B1692" s="34" t="n">
        <x:v>46210.5</x:v>
      </x:c>
      <x:c r="C1692" s="19" t="str">
        <x:v>周二</x:v>
      </x:c>
      <x:c r="D1692" s="19" t="str">
        <x:v>S07</x:v>
      </x:c>
      <x:c r="E1692" s="19" t="str">
        <x:v>小和山店</x:v>
      </x:c>
      <x:c r="F1692" s="19" t="str">
        <x:v>堂食</x:v>
      </x:c>
      <x:c r="G1692" s="19" t="str">
        <x:v>全日</x:v>
      </x:c>
      <x:c r="H1692" s="19" t="str">
        <x:v>D08</x:v>
      </x:c>
      <x:c r="I1692" s="19" t="str">
        <x:v>生炒清远鸡</x:v>
      </x:c>
      <x:c r="J1692" s="22" t="n">
        <x:f>XLOOKUP(H1692,'菜品主数据'!$A$5:$A$24,'菜品主数据'!$D$5:$D$24,0)</x:f>
        <x:v>36</x:v>
      </x:c>
      <x:c r="K1692" s="31" t="n">
        <x:v>9</x:v>
      </x:c>
      <x:c r="L1692" s="35" t="n">
        <x:f>J1692*K1692</x:f>
        <x:v>324</x:v>
      </x:c>
      <x:c r="M1692" s="36" t="n">
        <x:v>0</x:v>
      </x:c>
      <x:c r="N1692" s="35" t="n">
        <x:f>L1692*M1692</x:f>
        <x:v>0</x:v>
      </x:c>
      <x:c r="O1692" s="37" t="n">
        <x:v>0</x:v>
      </x:c>
      <x:c r="P1692" s="35" t="n">
        <x:f>L1692*O1692</x:f>
        <x:v>0</x:v>
      </x:c>
      <x:c r="Q1692" s="35" t="n">
        <x:v>0</x:v>
      </x:c>
      <x:c r="R1692" s="35" t="n">
        <x:f>K1692*Q1692</x:f>
        <x:v>0</x:v>
      </x:c>
      <x:c r="S1692" s="35" t="n">
        <x:f>XLOOKUP(H1692,'菜品主数据'!$A$5:$A$24,'菜品主数据'!$G$5:$G$24,0)</x:f>
        <x:v>13.48</x:v>
      </x:c>
      <x:c r="T1692" s="35" t="n">
        <x:f>K1692*S1692</x:f>
        <x:v>121.32000000000001</x:v>
      </x:c>
      <x:c r="U1692" s="35" t="n">
        <x:f>L1692-N1692-P1692-R1692-T1692</x:f>
        <x:v>202.68</x:v>
      </x:c>
      <x:c r="V1692" s="21" t="n">
        <x:f>IFERROR(U1692/L1692,0)</x:f>
        <x:v>0.6255555555555555</x:v>
      </x:c>
    </x:row>
    <x:row r="1693">
      <x:c r="A1693" s="19" t="str">
        <x:v>SALE-01689</x:v>
      </x:c>
      <x:c r="B1693" s="34" t="n">
        <x:v>46210.5</x:v>
      </x:c>
      <x:c r="C1693" s="19" t="str">
        <x:v>周二</x:v>
      </x:c>
      <x:c r="D1693" s="19" t="str">
        <x:v>S07</x:v>
      </x:c>
      <x:c r="E1693" s="19" t="str">
        <x:v>小和山店</x:v>
      </x:c>
      <x:c r="F1693" s="19" t="str">
        <x:v>堂食</x:v>
      </x:c>
      <x:c r="G1693" s="19" t="str">
        <x:v>全日</x:v>
      </x:c>
      <x:c r="H1693" s="19" t="str">
        <x:v>D09</x:v>
      </x:c>
      <x:c r="I1693" s="19" t="str">
        <x:v>炒豆干</x:v>
      </x:c>
      <x:c r="J1693" s="22" t="n">
        <x:f>XLOOKUP(H1693,'菜品主数据'!$A$5:$A$24,'菜品主数据'!$D$5:$D$24,0)</x:f>
        <x:v>18</x:v>
      </x:c>
      <x:c r="K1693" s="31" t="n">
        <x:v>15</x:v>
      </x:c>
      <x:c r="L1693" s="35" t="n">
        <x:f>J1693*K1693</x:f>
        <x:v>270</x:v>
      </x:c>
      <x:c r="M1693" s="36" t="n">
        <x:v>0</x:v>
      </x:c>
      <x:c r="N1693" s="35" t="n">
        <x:f>L1693*M1693</x:f>
        <x:v>0</x:v>
      </x:c>
      <x:c r="O1693" s="37" t="n">
        <x:v>0</x:v>
      </x:c>
      <x:c r="P1693" s="35" t="n">
        <x:f>L1693*O1693</x:f>
        <x:v>0</x:v>
      </x:c>
      <x:c r="Q1693" s="35" t="n">
        <x:v>0</x:v>
      </x:c>
      <x:c r="R1693" s="35" t="n">
        <x:f>K1693*Q1693</x:f>
        <x:v>0</x:v>
      </x:c>
      <x:c r="S1693" s="35" t="n">
        <x:f>XLOOKUP(H1693,'菜品主数据'!$A$5:$A$24,'菜品主数据'!$G$5:$G$24,0)</x:f>
        <x:v>6.613999999999999</x:v>
      </x:c>
      <x:c r="T1693" s="35" t="n">
        <x:f>K1693*S1693</x:f>
        <x:v>99.20999999999998</x:v>
      </x:c>
      <x:c r="U1693" s="35" t="n">
        <x:f>L1693-N1693-P1693-R1693-T1693</x:f>
        <x:v>170.79000000000002</x:v>
      </x:c>
      <x:c r="V1693" s="21" t="n">
        <x:f>IFERROR(U1693/L1693,0)</x:f>
        <x:v>0.6325555555555556</x:v>
      </x:c>
    </x:row>
    <x:row r="1694">
      <x:c r="A1694" s="19" t="str">
        <x:v>SALE-01690</x:v>
      </x:c>
      <x:c r="B1694" s="34" t="n">
        <x:v>46210.5</x:v>
      </x:c>
      <x:c r="C1694" s="19" t="str">
        <x:v>周二</x:v>
      </x:c>
      <x:c r="D1694" s="19" t="str">
        <x:v>S07</x:v>
      </x:c>
      <x:c r="E1694" s="19" t="str">
        <x:v>小和山店</x:v>
      </x:c>
      <x:c r="F1694" s="19" t="str">
        <x:v>堂食</x:v>
      </x:c>
      <x:c r="G1694" s="19" t="str">
        <x:v>全日</x:v>
      </x:c>
      <x:c r="H1694" s="19" t="str">
        <x:v>D10</x:v>
      </x:c>
      <x:c r="I1694" s="19" t="str">
        <x:v>农家一碗香</x:v>
      </x:c>
      <x:c r="J1694" s="22" t="n">
        <x:f>XLOOKUP(H1694,'菜品主数据'!$A$5:$A$24,'菜品主数据'!$D$5:$D$24,0)</x:f>
        <x:v>22.9</x:v>
      </x:c>
      <x:c r="K1694" s="31" t="n">
        <x:v>16</x:v>
      </x:c>
      <x:c r="L1694" s="35" t="n">
        <x:f>J1694*K1694</x:f>
        <x:v>366.4</x:v>
      </x:c>
      <x:c r="M1694" s="36" t="n">
        <x:v>0</x:v>
      </x:c>
      <x:c r="N1694" s="35" t="n">
        <x:f>L1694*M1694</x:f>
        <x:v>0</x:v>
      </x:c>
      <x:c r="O1694" s="37" t="n">
        <x:v>0</x:v>
      </x:c>
      <x:c r="P1694" s="35" t="n">
        <x:f>L1694*O1694</x:f>
        <x:v>0</x:v>
      </x:c>
      <x:c r="Q1694" s="35" t="n">
        <x:v>0</x:v>
      </x:c>
      <x:c r="R1694" s="35" t="n">
        <x:f>K1694*Q1694</x:f>
        <x:v>0</x:v>
      </x:c>
      <x:c r="S1694" s="35" t="n">
        <x:f>XLOOKUP(H1694,'菜品主数据'!$A$5:$A$24,'菜品主数据'!$G$5:$G$24,0)</x:f>
        <x:v>9.770200000000003</x:v>
      </x:c>
      <x:c r="T1694" s="35" t="n">
        <x:f>K1694*S1694</x:f>
        <x:v>156.32320000000004</x:v>
      </x:c>
      <x:c r="U1694" s="35" t="n">
        <x:f>L1694-N1694-P1694-R1694-T1694</x:f>
        <x:v>210.07679999999993</x:v>
      </x:c>
      <x:c r="V1694" s="21" t="n">
        <x:f>IFERROR(U1694/L1694,0)</x:f>
        <x:v>0.5733537117903929</x:v>
      </x:c>
    </x:row>
    <x:row r="1695">
      <x:c r="A1695" s="19" t="str">
        <x:v>SALE-01691</x:v>
      </x:c>
      <x:c r="B1695" s="34" t="n">
        <x:v>46210.5</x:v>
      </x:c>
      <x:c r="C1695" s="19" t="str">
        <x:v>周二</x:v>
      </x:c>
      <x:c r="D1695" s="19" t="str">
        <x:v>S07</x:v>
      </x:c>
      <x:c r="E1695" s="19" t="str">
        <x:v>小和山店</x:v>
      </x:c>
      <x:c r="F1695" s="19" t="str">
        <x:v>堂食</x:v>
      </x:c>
      <x:c r="G1695" s="19" t="str">
        <x:v>全日</x:v>
      </x:c>
      <x:c r="H1695" s="19" t="str">
        <x:v>D11</x:v>
      </x:c>
      <x:c r="I1695" s="19" t="str">
        <x:v>香辣爆肥肠</x:v>
      </x:c>
      <x:c r="J1695" s="22" t="n">
        <x:f>XLOOKUP(H1695,'菜品主数据'!$A$5:$A$24,'菜品主数据'!$D$5:$D$24,0)</x:f>
        <x:v>39</x:v>
      </x:c>
      <x:c r="K1695" s="31" t="n">
        <x:v>6</x:v>
      </x:c>
      <x:c r="L1695" s="35" t="n">
        <x:f>J1695*K1695</x:f>
        <x:v>234</x:v>
      </x:c>
      <x:c r="M1695" s="36" t="n">
        <x:v>0</x:v>
      </x:c>
      <x:c r="N1695" s="35" t="n">
        <x:f>L1695*M1695</x:f>
        <x:v>0</x:v>
      </x:c>
      <x:c r="O1695" s="37" t="n">
        <x:v>0</x:v>
      </x:c>
      <x:c r="P1695" s="35" t="n">
        <x:f>L1695*O1695</x:f>
        <x:v>0</x:v>
      </x:c>
      <x:c r="Q1695" s="35" t="n">
        <x:v>0</x:v>
      </x:c>
      <x:c r="R1695" s="35" t="n">
        <x:f>K1695*Q1695</x:f>
        <x:v>0</x:v>
      </x:c>
      <x:c r="S1695" s="35" t="n">
        <x:f>XLOOKUP(H1695,'菜品主数据'!$A$5:$A$24,'菜品主数据'!$G$5:$G$24,0)</x:f>
        <x:v>10.397</x:v>
      </x:c>
      <x:c r="T1695" s="35" t="n">
        <x:f>K1695*S1695</x:f>
        <x:v>62.382000000000005</x:v>
      </x:c>
      <x:c r="U1695" s="35" t="n">
        <x:f>L1695-N1695-P1695-R1695-T1695</x:f>
        <x:v>171.618</x:v>
      </x:c>
      <x:c r="V1695" s="21" t="n">
        <x:f>IFERROR(U1695/L1695,0)</x:f>
        <x:v>0.7334102564102564</x:v>
      </x:c>
    </x:row>
    <x:row r="1696">
      <x:c r="A1696" s="19" t="str">
        <x:v>SALE-01692</x:v>
      </x:c>
      <x:c r="B1696" s="34" t="n">
        <x:v>46210.5</x:v>
      </x:c>
      <x:c r="C1696" s="19" t="str">
        <x:v>周二</x:v>
      </x:c>
      <x:c r="D1696" s="19" t="str">
        <x:v>S07</x:v>
      </x:c>
      <x:c r="E1696" s="19" t="str">
        <x:v>小和山店</x:v>
      </x:c>
      <x:c r="F1696" s="19" t="str">
        <x:v>堂食</x:v>
      </x:c>
      <x:c r="G1696" s="19" t="str">
        <x:v>全日</x:v>
      </x:c>
      <x:c r="H1696" s="19" t="str">
        <x:v>D12</x:v>
      </x:c>
      <x:c r="I1696" s="19" t="str">
        <x:v>清蒸鲈鱼</x:v>
      </x:c>
      <x:c r="J1696" s="22" t="n">
        <x:f>XLOOKUP(H1696,'菜品主数据'!$A$5:$A$24,'菜品主数据'!$D$5:$D$24,0)</x:f>
        <x:v>39</x:v>
      </x:c>
      <x:c r="K1696" s="31" t="n">
        <x:v>6</x:v>
      </x:c>
      <x:c r="L1696" s="35" t="n">
        <x:f>J1696*K1696</x:f>
        <x:v>234</x:v>
      </x:c>
      <x:c r="M1696" s="36" t="n">
        <x:v>0</x:v>
      </x:c>
      <x:c r="N1696" s="35" t="n">
        <x:f>L1696*M1696</x:f>
        <x:v>0</x:v>
      </x:c>
      <x:c r="O1696" s="37" t="n">
        <x:v>0</x:v>
      </x:c>
      <x:c r="P1696" s="35" t="n">
        <x:f>L1696*O1696</x:f>
        <x:v>0</x:v>
      </x:c>
      <x:c r="Q1696" s="35" t="n">
        <x:v>0</x:v>
      </x:c>
      <x:c r="R1696" s="35" t="n">
        <x:f>K1696*Q1696</x:f>
        <x:v>0</x:v>
      </x:c>
      <x:c r="S1696" s="35" t="n">
        <x:f>XLOOKUP(H1696,'菜品主数据'!$A$5:$A$24,'菜品主数据'!$G$5:$G$24,0)</x:f>
        <x:v>18.874</x:v>
      </x:c>
      <x:c r="T1696" s="35" t="n">
        <x:f>K1696*S1696</x:f>
        <x:v>113.244</x:v>
      </x:c>
      <x:c r="U1696" s="35" t="n">
        <x:f>L1696-N1696-P1696-R1696-T1696</x:f>
        <x:v>120.756</x:v>
      </x:c>
      <x:c r="V1696" s="21" t="n">
        <x:f>IFERROR(U1696/L1696,0)</x:f>
        <x:v>0.516051282051282</x:v>
      </x:c>
    </x:row>
    <x:row r="1697">
      <x:c r="A1697" s="19" t="str">
        <x:v>SALE-01693</x:v>
      </x:c>
      <x:c r="B1697" s="34" t="n">
        <x:v>46210.5</x:v>
      </x:c>
      <x:c r="C1697" s="19" t="str">
        <x:v>周二</x:v>
      </x:c>
      <x:c r="D1697" s="19" t="str">
        <x:v>S07</x:v>
      </x:c>
      <x:c r="E1697" s="19" t="str">
        <x:v>小和山店</x:v>
      </x:c>
      <x:c r="F1697" s="19" t="str">
        <x:v>堂食</x:v>
      </x:c>
      <x:c r="G1697" s="19" t="str">
        <x:v>全日</x:v>
      </x:c>
      <x:c r="H1697" s="19" t="str">
        <x:v>D13</x:v>
      </x:c>
      <x:c r="I1697" s="19" t="str">
        <x:v>外婆菜炒蛋</x:v>
      </x:c>
      <x:c r="J1697" s="22" t="n">
        <x:f>XLOOKUP(H1697,'菜品主数据'!$A$5:$A$24,'菜品主数据'!$D$5:$D$24,0)</x:f>
        <x:v>18</x:v>
      </x:c>
      <x:c r="K1697" s="31" t="n">
        <x:v>14</x:v>
      </x:c>
      <x:c r="L1697" s="35" t="n">
        <x:f>J1697*K1697</x:f>
        <x:v>252</x:v>
      </x:c>
      <x:c r="M1697" s="36" t="n">
        <x:v>0</x:v>
      </x:c>
      <x:c r="N1697" s="35" t="n">
        <x:f>L1697*M1697</x:f>
        <x:v>0</x:v>
      </x:c>
      <x:c r="O1697" s="37" t="n">
        <x:v>0</x:v>
      </x:c>
      <x:c r="P1697" s="35" t="n">
        <x:f>L1697*O1697</x:f>
        <x:v>0</x:v>
      </x:c>
      <x:c r="Q1697" s="35" t="n">
        <x:v>0</x:v>
      </x:c>
      <x:c r="R1697" s="35" t="n">
        <x:f>K1697*Q1697</x:f>
        <x:v>0</x:v>
      </x:c>
      <x:c r="S1697" s="35" t="n">
        <x:f>XLOOKUP(H1697,'菜品主数据'!$A$5:$A$24,'菜品主数据'!$G$5:$G$24,0)</x:f>
        <x:v>5.403999999999999</x:v>
      </x:c>
      <x:c r="T1697" s="35" t="n">
        <x:f>K1697*S1697</x:f>
        <x:v>75.65599999999999</x:v>
      </x:c>
      <x:c r="U1697" s="35" t="n">
        <x:f>L1697-N1697-P1697-R1697-T1697</x:f>
        <x:v>176.344</x:v>
      </x:c>
      <x:c r="V1697" s="21" t="n">
        <x:f>IFERROR(U1697/L1697,0)</x:f>
        <x:v>0.6997777777777777</x:v>
      </x:c>
    </x:row>
    <x:row r="1698">
      <x:c r="A1698" s="19" t="str">
        <x:v>SALE-01694</x:v>
      </x:c>
      <x:c r="B1698" s="34" t="n">
        <x:v>46210.5</x:v>
      </x:c>
      <x:c r="C1698" s="19" t="str">
        <x:v>周二</x:v>
      </x:c>
      <x:c r="D1698" s="19" t="str">
        <x:v>S07</x:v>
      </x:c>
      <x:c r="E1698" s="19" t="str">
        <x:v>小和山店</x:v>
      </x:c>
      <x:c r="F1698" s="19" t="str">
        <x:v>堂食</x:v>
      </x:c>
      <x:c r="G1698" s="19" t="str">
        <x:v>全日</x:v>
      </x:c>
      <x:c r="H1698" s="19" t="str">
        <x:v>D14</x:v>
      </x:c>
      <x:c r="I1698" s="19" t="str">
        <x:v>酸辣鸡杂</x:v>
      </x:c>
      <x:c r="J1698" s="22" t="n">
        <x:f>XLOOKUP(H1698,'菜品主数据'!$A$5:$A$24,'菜品主数据'!$D$5:$D$24,0)</x:f>
        <x:v>28</x:v>
      </x:c>
      <x:c r="K1698" s="31" t="n">
        <x:v>7</x:v>
      </x:c>
      <x:c r="L1698" s="35" t="n">
        <x:f>J1698*K1698</x:f>
        <x:v>196</x:v>
      </x:c>
      <x:c r="M1698" s="36" t="n">
        <x:v>0</x:v>
      </x:c>
      <x:c r="N1698" s="35" t="n">
        <x:f>L1698*M1698</x:f>
        <x:v>0</x:v>
      </x:c>
      <x:c r="O1698" s="37" t="n">
        <x:v>0</x:v>
      </x:c>
      <x:c r="P1698" s="35" t="n">
        <x:f>L1698*O1698</x:f>
        <x:v>0</x:v>
      </x:c>
      <x:c r="Q1698" s="35" t="n">
        <x:v>0</x:v>
      </x:c>
      <x:c r="R1698" s="35" t="n">
        <x:f>K1698*Q1698</x:f>
        <x:v>0</x:v>
      </x:c>
      <x:c r="S1698" s="35" t="n">
        <x:f>XLOOKUP(H1698,'菜品主数据'!$A$5:$A$24,'菜品主数据'!$G$5:$G$24,0)</x:f>
        <x:v>8.315000000000001</x:v>
      </x:c>
      <x:c r="T1698" s="35" t="n">
        <x:f>K1698*S1698</x:f>
        <x:v>58.20500000000001</x:v>
      </x:c>
      <x:c r="U1698" s="35" t="n">
        <x:f>L1698-N1698-P1698-R1698-T1698</x:f>
        <x:v>137.795</x:v>
      </x:c>
      <x:c r="V1698" s="21" t="n">
        <x:f>IFERROR(U1698/L1698,0)</x:f>
        <x:v>0.7030357142857142</x:v>
      </x:c>
    </x:row>
    <x:row r="1699">
      <x:c r="A1699" s="19" t="str">
        <x:v>SALE-01695</x:v>
      </x:c>
      <x:c r="B1699" s="34" t="n">
        <x:v>46210.5</x:v>
      </x:c>
      <x:c r="C1699" s="19" t="str">
        <x:v>周二</x:v>
      </x:c>
      <x:c r="D1699" s="19" t="str">
        <x:v>S07</x:v>
      </x:c>
      <x:c r="E1699" s="19" t="str">
        <x:v>小和山店</x:v>
      </x:c>
      <x:c r="F1699" s="19" t="str">
        <x:v>堂食</x:v>
      </x:c>
      <x:c r="G1699" s="19" t="str">
        <x:v>全日</x:v>
      </x:c>
      <x:c r="H1699" s="19" t="str">
        <x:v>D15</x:v>
      </x:c>
      <x:c r="I1699" s="19" t="str">
        <x:v>湘西土匪猪肝</x:v>
      </x:c>
      <x:c r="J1699" s="22" t="n">
        <x:f>XLOOKUP(H1699,'菜品主数据'!$A$5:$A$24,'菜品主数据'!$D$5:$D$24,0)</x:f>
        <x:v>26</x:v>
      </x:c>
      <x:c r="K1699" s="31" t="n">
        <x:v>7</x:v>
      </x:c>
      <x:c r="L1699" s="35" t="n">
        <x:f>J1699*K1699</x:f>
        <x:v>182</x:v>
      </x:c>
      <x:c r="M1699" s="36" t="n">
        <x:v>0</x:v>
      </x:c>
      <x:c r="N1699" s="35" t="n">
        <x:f>L1699*M1699</x:f>
        <x:v>0</x:v>
      </x:c>
      <x:c r="O1699" s="37" t="n">
        <x:v>0</x:v>
      </x:c>
      <x:c r="P1699" s="35" t="n">
        <x:f>L1699*O1699</x:f>
        <x:v>0</x:v>
      </x:c>
      <x:c r="Q1699" s="35" t="n">
        <x:v>0</x:v>
      </x:c>
      <x:c r="R1699" s="35" t="n">
        <x:f>K1699*Q1699</x:f>
        <x:v>0</x:v>
      </x:c>
      <x:c r="S1699" s="35" t="n">
        <x:f>XLOOKUP(H1699,'菜品主数据'!$A$5:$A$24,'菜品主数据'!$G$5:$G$24,0)</x:f>
        <x:v>6.3759999999999994</x:v>
      </x:c>
      <x:c r="T1699" s="35" t="n">
        <x:f>K1699*S1699</x:f>
        <x:v>44.632</x:v>
      </x:c>
      <x:c r="U1699" s="35" t="n">
        <x:f>L1699-N1699-P1699-R1699-T1699</x:f>
        <x:v>137.368</x:v>
      </x:c>
      <x:c r="V1699" s="21" t="n">
        <x:f>IFERROR(U1699/L1699,0)</x:f>
        <x:v>0.7547692307692307</x:v>
      </x:c>
    </x:row>
    <x:row r="1700">
      <x:c r="A1700" s="19" t="str">
        <x:v>SALE-01696</x:v>
      </x:c>
      <x:c r="B1700" s="34" t="n">
        <x:v>46210.5</x:v>
      </x:c>
      <x:c r="C1700" s="19" t="str">
        <x:v>周二</x:v>
      </x:c>
      <x:c r="D1700" s="19" t="str">
        <x:v>S07</x:v>
      </x:c>
      <x:c r="E1700" s="19" t="str">
        <x:v>小和山店</x:v>
      </x:c>
      <x:c r="F1700" s="19" t="str">
        <x:v>堂食</x:v>
      </x:c>
      <x:c r="G1700" s="19" t="str">
        <x:v>全日</x:v>
      </x:c>
      <x:c r="H1700" s="19" t="str">
        <x:v>D16</x:v>
      </x:c>
      <x:c r="I1700" s="19" t="str">
        <x:v>小豆角炒五花</x:v>
      </x:c>
      <x:c r="J1700" s="22" t="n">
        <x:f>XLOOKUP(H1700,'菜品主数据'!$A$5:$A$24,'菜品主数据'!$D$5:$D$24,0)</x:f>
        <x:v>25</x:v>
      </x:c>
      <x:c r="K1700" s="31" t="n">
        <x:v>7</x:v>
      </x:c>
      <x:c r="L1700" s="35" t="n">
        <x:f>J1700*K1700</x:f>
        <x:v>175</x:v>
      </x:c>
      <x:c r="M1700" s="36" t="n">
        <x:v>0</x:v>
      </x:c>
      <x:c r="N1700" s="35" t="n">
        <x:f>L1700*M1700</x:f>
        <x:v>0</x:v>
      </x:c>
      <x:c r="O1700" s="37" t="n">
        <x:v>0</x:v>
      </x:c>
      <x:c r="P1700" s="35" t="n">
        <x:f>L1700*O1700</x:f>
        <x:v>0</x:v>
      </x:c>
      <x:c r="Q1700" s="35" t="n">
        <x:v>0</x:v>
      </x:c>
      <x:c r="R1700" s="35" t="n">
        <x:f>K1700*Q1700</x:f>
        <x:v>0</x:v>
      </x:c>
      <x:c r="S1700" s="35" t="n">
        <x:f>XLOOKUP(H1700,'菜品主数据'!$A$5:$A$24,'菜品主数据'!$G$5:$G$24,0)</x:f>
        <x:v>8.184</x:v>
      </x:c>
      <x:c r="T1700" s="35" t="n">
        <x:f>K1700*S1700</x:f>
        <x:v>57.288</x:v>
      </x:c>
      <x:c r="U1700" s="35" t="n">
        <x:f>L1700-N1700-P1700-R1700-T1700</x:f>
        <x:v>117.712</x:v>
      </x:c>
      <x:c r="V1700" s="21" t="n">
        <x:f>IFERROR(U1700/L1700,0)</x:f>
        <x:v>0.67264</x:v>
      </x:c>
    </x:row>
    <x:row r="1701">
      <x:c r="A1701" s="19" t="str">
        <x:v>SALE-01697</x:v>
      </x:c>
      <x:c r="B1701" s="34" t="n">
        <x:v>46210.5</x:v>
      </x:c>
      <x:c r="C1701" s="19" t="str">
        <x:v>周二</x:v>
      </x:c>
      <x:c r="D1701" s="19" t="str">
        <x:v>S07</x:v>
      </x:c>
      <x:c r="E1701" s="19" t="str">
        <x:v>小和山店</x:v>
      </x:c>
      <x:c r="F1701" s="19" t="str">
        <x:v>堂食</x:v>
      </x:c>
      <x:c r="G1701" s="19" t="str">
        <x:v>全日</x:v>
      </x:c>
      <x:c r="H1701" s="19" t="str">
        <x:v>D17</x:v>
      </x:c>
      <x:c r="I1701" s="19" t="str">
        <x:v>蒜蓉粉丝虾</x:v>
      </x:c>
      <x:c r="J1701" s="22" t="n">
        <x:f>XLOOKUP(H1701,'菜品主数据'!$A$5:$A$24,'菜品主数据'!$D$5:$D$24,0)</x:f>
        <x:v>36</x:v>
      </x:c>
      <x:c r="K1701" s="31" t="n">
        <x:v>4</x:v>
      </x:c>
      <x:c r="L1701" s="35" t="n">
        <x:f>J1701*K1701</x:f>
        <x:v>144</x:v>
      </x:c>
      <x:c r="M1701" s="36" t="n">
        <x:v>0</x:v>
      </x:c>
      <x:c r="N1701" s="35" t="n">
        <x:f>L1701*M1701</x:f>
        <x:v>0</x:v>
      </x:c>
      <x:c r="O1701" s="37" t="n">
        <x:v>0</x:v>
      </x:c>
      <x:c r="P1701" s="35" t="n">
        <x:f>L1701*O1701</x:f>
        <x:v>0</x:v>
      </x:c>
      <x:c r="Q1701" s="35" t="n">
        <x:v>0</x:v>
      </x:c>
      <x:c r="R1701" s="35" t="n">
        <x:f>K1701*Q1701</x:f>
        <x:v>0</x:v>
      </x:c>
      <x:c r="S1701" s="35" t="n">
        <x:f>XLOOKUP(H1701,'菜品主数据'!$A$5:$A$24,'菜品主数据'!$G$5:$G$24,0)</x:f>
        <x:v>13.594</x:v>
      </x:c>
      <x:c r="T1701" s="35" t="n">
        <x:f>K1701*S1701</x:f>
        <x:v>54.376</x:v>
      </x:c>
      <x:c r="U1701" s="35" t="n">
        <x:f>L1701-N1701-P1701-R1701-T1701</x:f>
        <x:v>89.624</x:v>
      </x:c>
      <x:c r="V1701" s="21" t="n">
        <x:f>IFERROR(U1701/L1701,0)</x:f>
        <x:v>0.6223888888888889</x:v>
      </x:c>
    </x:row>
    <x:row r="1702">
      <x:c r="A1702" s="19" t="str">
        <x:v>SALE-01698</x:v>
      </x:c>
      <x:c r="B1702" s="34" t="n">
        <x:v>46210.5</x:v>
      </x:c>
      <x:c r="C1702" s="19" t="str">
        <x:v>周二</x:v>
      </x:c>
      <x:c r="D1702" s="19" t="str">
        <x:v>S07</x:v>
      </x:c>
      <x:c r="E1702" s="19" t="str">
        <x:v>小和山店</x:v>
      </x:c>
      <x:c r="F1702" s="19" t="str">
        <x:v>堂食</x:v>
      </x:c>
      <x:c r="G1702" s="19" t="str">
        <x:v>全日</x:v>
      </x:c>
      <x:c r="H1702" s="19" t="str">
        <x:v>D18</x:v>
      </x:c>
      <x:c r="I1702" s="19" t="str">
        <x:v>青椒炒油麦菜</x:v>
      </x:c>
      <x:c r="J1702" s="22" t="n">
        <x:f>XLOOKUP(H1702,'菜品主数据'!$A$5:$A$24,'菜品主数据'!$D$5:$D$24,0)</x:f>
        <x:v>18</x:v>
      </x:c>
      <x:c r="K1702" s="31" t="n">
        <x:v>8</x:v>
      </x:c>
      <x:c r="L1702" s="35" t="n">
        <x:f>J1702*K1702</x:f>
        <x:v>144</x:v>
      </x:c>
      <x:c r="M1702" s="36" t="n">
        <x:v>0</x:v>
      </x:c>
      <x:c r="N1702" s="35" t="n">
        <x:f>L1702*M1702</x:f>
        <x:v>0</x:v>
      </x:c>
      <x:c r="O1702" s="37" t="n">
        <x:v>0</x:v>
      </x:c>
      <x:c r="P1702" s="35" t="n">
        <x:f>L1702*O1702</x:f>
        <x:v>0</x:v>
      </x:c>
      <x:c r="Q1702" s="35" t="n">
        <x:v>0</x:v>
      </x:c>
      <x:c r="R1702" s="35" t="n">
        <x:f>K1702*Q1702</x:f>
        <x:v>0</x:v>
      </x:c>
      <x:c r="S1702" s="35" t="n">
        <x:f>XLOOKUP(H1702,'菜品主数据'!$A$5:$A$24,'菜品主数据'!$G$5:$G$24,0)</x:f>
        <x:v>3.1759999999999993</x:v>
      </x:c>
      <x:c r="T1702" s="35" t="n">
        <x:f>K1702*S1702</x:f>
        <x:v>25.407999999999994</x:v>
      </x:c>
      <x:c r="U1702" s="35" t="n">
        <x:f>L1702-N1702-P1702-R1702-T1702</x:f>
        <x:v>118.59200000000001</x:v>
      </x:c>
      <x:c r="V1702" s="21" t="n">
        <x:f>IFERROR(U1702/L1702,0)</x:f>
        <x:v>0.8235555555555556</x:v>
      </x:c>
    </x:row>
    <x:row r="1703">
      <x:c r="A1703" s="19" t="str">
        <x:v>SALE-01699</x:v>
      </x:c>
      <x:c r="B1703" s="34" t="n">
        <x:v>46210.5</x:v>
      </x:c>
      <x:c r="C1703" s="19" t="str">
        <x:v>周二</x:v>
      </x:c>
      <x:c r="D1703" s="19" t="str">
        <x:v>S07</x:v>
      </x:c>
      <x:c r="E1703" s="19" t="str">
        <x:v>小和山店</x:v>
      </x:c>
      <x:c r="F1703" s="19" t="str">
        <x:v>堂食</x:v>
      </x:c>
      <x:c r="G1703" s="19" t="str">
        <x:v>全日</x:v>
      </x:c>
      <x:c r="H1703" s="19" t="str">
        <x:v>D19</x:v>
      </x:c>
      <x:c r="I1703" s="19" t="str">
        <x:v>酸萝卜炒鸡杂</x:v>
      </x:c>
      <x:c r="J1703" s="22" t="n">
        <x:f>XLOOKUP(H1703,'菜品主数据'!$A$5:$A$24,'菜品主数据'!$D$5:$D$24,0)</x:f>
        <x:v>25</x:v>
      </x:c>
      <x:c r="K1703" s="31" t="n">
        <x:v>5</x:v>
      </x:c>
      <x:c r="L1703" s="35" t="n">
        <x:f>J1703*K1703</x:f>
        <x:v>125</x:v>
      </x:c>
      <x:c r="M1703" s="36" t="n">
        <x:v>0</x:v>
      </x:c>
      <x:c r="N1703" s="35" t="n">
        <x:f>L1703*M1703</x:f>
        <x:v>0</x:v>
      </x:c>
      <x:c r="O1703" s="37" t="n">
        <x:v>0</x:v>
      </x:c>
      <x:c r="P1703" s="35" t="n">
        <x:f>L1703*O1703</x:f>
        <x:v>0</x:v>
      </x:c>
      <x:c r="Q1703" s="35" t="n">
        <x:v>0</x:v>
      </x:c>
      <x:c r="R1703" s="35" t="n">
        <x:f>K1703*Q1703</x:f>
        <x:v>0</x:v>
      </x:c>
      <x:c r="S1703" s="35" t="n">
        <x:f>XLOOKUP(H1703,'菜品主数据'!$A$5:$A$24,'菜品主数据'!$G$5:$G$24,0)</x:f>
        <x:v>7.9399999999999995</x:v>
      </x:c>
      <x:c r="T1703" s="35" t="n">
        <x:f>K1703*S1703</x:f>
        <x:v>39.699999999999996</x:v>
      </x:c>
      <x:c r="U1703" s="35" t="n">
        <x:f>L1703-N1703-P1703-R1703-T1703</x:f>
        <x:v>85.30000000000001</x:v>
      </x:c>
      <x:c r="V1703" s="21" t="n">
        <x:f>IFERROR(U1703/L1703,0)</x:f>
        <x:v>0.6824000000000001</x:v>
      </x:c>
    </x:row>
    <x:row r="1704">
      <x:c r="A1704" s="19" t="str">
        <x:v>SALE-01700</x:v>
      </x:c>
      <x:c r="B1704" s="34" t="n">
        <x:v>46210.5</x:v>
      </x:c>
      <x:c r="C1704" s="19" t="str">
        <x:v>周二</x:v>
      </x:c>
      <x:c r="D1704" s="19" t="str">
        <x:v>S07</x:v>
      </x:c>
      <x:c r="E1704" s="19" t="str">
        <x:v>小和山店</x:v>
      </x:c>
      <x:c r="F1704" s="19" t="str">
        <x:v>堂食</x:v>
      </x:c>
      <x:c r="G1704" s="19" t="str">
        <x:v>全日</x:v>
      </x:c>
      <x:c r="H1704" s="19" t="str">
        <x:v>D20</x:v>
      </x:c>
      <x:c r="I1704" s="19" t="str">
        <x:v>雪菜肉末青豆</x:v>
      </x:c>
      <x:c r="J1704" s="22" t="n">
        <x:f>XLOOKUP(H1704,'菜品主数据'!$A$5:$A$24,'菜品主数据'!$D$5:$D$24,0)</x:f>
        <x:v>18</x:v>
      </x:c>
      <x:c r="K1704" s="31" t="n">
        <x:v>8</x:v>
      </x:c>
      <x:c r="L1704" s="35" t="n">
        <x:f>J1704*K1704</x:f>
        <x:v>144</x:v>
      </x:c>
      <x:c r="M1704" s="36" t="n">
        <x:v>0</x:v>
      </x:c>
      <x:c r="N1704" s="35" t="n">
        <x:f>L1704*M1704</x:f>
        <x:v>0</x:v>
      </x:c>
      <x:c r="O1704" s="37" t="n">
        <x:v>0</x:v>
      </x:c>
      <x:c r="P1704" s="35" t="n">
        <x:f>L1704*O1704</x:f>
        <x:v>0</x:v>
      </x:c>
      <x:c r="Q1704" s="35" t="n">
        <x:v>0</x:v>
      </x:c>
      <x:c r="R1704" s="35" t="n">
        <x:f>K1704*Q1704</x:f>
        <x:v>0</x:v>
      </x:c>
      <x:c r="S1704" s="35" t="n">
        <x:f>XLOOKUP(H1704,'菜品主数据'!$A$5:$A$24,'菜品主数据'!$G$5:$G$24,0)</x:f>
        <x:v>7.303999999999999</x:v>
      </x:c>
      <x:c r="T1704" s="35" t="n">
        <x:f>K1704*S1704</x:f>
        <x:v>58.431999999999995</x:v>
      </x:c>
      <x:c r="U1704" s="35" t="n">
        <x:f>L1704-N1704-P1704-R1704-T1704</x:f>
        <x:v>85.56800000000001</x:v>
      </x:c>
      <x:c r="V1704" s="21" t="n">
        <x:f>IFERROR(U1704/L1704,0)</x:f>
        <x:v>0.5942222222222223</x:v>
      </x:c>
    </x:row>
    <x:row r="1705">
      <x:c r="A1705" s="19" t="str">
        <x:v>SALE-01701</x:v>
      </x:c>
      <x:c r="B1705" s="34" t="n">
        <x:v>46210.5</x:v>
      </x:c>
      <x:c r="C1705" s="19" t="str">
        <x:v>周二</x:v>
      </x:c>
      <x:c r="D1705" s="19" t="str">
        <x:v>S07</x:v>
      </x:c>
      <x:c r="E1705" s="19" t="str">
        <x:v>小和山店</x:v>
      </x:c>
      <x:c r="F1705" s="19" t="str">
        <x:v>外卖</x:v>
      </x:c>
      <x:c r="G1705" s="19" t="str">
        <x:v>全日</x:v>
      </x:c>
      <x:c r="H1705" s="19" t="str">
        <x:v>D01</x:v>
      </x:c>
      <x:c r="I1705" s="19" t="str">
        <x:v>辣椒炒肉</x:v>
      </x:c>
      <x:c r="J1705" s="22" t="n">
        <x:f>XLOOKUP(H1705,'菜品主数据'!$A$5:$A$24,'菜品主数据'!$D$5:$D$24,0)</x:f>
        <x:v>29</x:v>
      </x:c>
      <x:c r="K1705" s="31" t="n">
        <x:v>4</x:v>
      </x:c>
      <x:c r="L1705" s="35" t="n">
        <x:f>J1705*K1705</x:f>
        <x:v>116</x:v>
      </x:c>
      <x:c r="M1705" s="36" t="n">
        <x:v>0.08</x:v>
      </x:c>
      <x:c r="N1705" s="35" t="n">
        <x:f>L1705*M1705</x:f>
        <x:v>9.28</x:v>
      </x:c>
      <x:c r="O1705" s="37" t="n">
        <x:v>0.18</x:v>
      </x:c>
      <x:c r="P1705" s="35" t="n">
        <x:f>L1705*O1705</x:f>
        <x:v>20.88</x:v>
      </x:c>
      <x:c r="Q1705" s="35" t="n">
        <x:v>1.2</x:v>
      </x:c>
      <x:c r="R1705" s="35" t="n">
        <x:f>K1705*Q1705</x:f>
        <x:v>4.8</x:v>
      </x:c>
      <x:c r="S1705" s="35" t="n">
        <x:f>XLOOKUP(H1705,'菜品主数据'!$A$5:$A$24,'菜品主数据'!$G$5:$G$24,0)</x:f>
        <x:v>8.634400000000001</x:v>
      </x:c>
      <x:c r="T1705" s="35" t="n">
        <x:f>K1705*S1705</x:f>
        <x:v>34.537600000000005</x:v>
      </x:c>
      <x:c r="U1705" s="35" t="n">
        <x:f>L1705-N1705-P1705-R1705-T1705</x:f>
        <x:v>46.5024</x:v>
      </x:c>
      <x:c r="V1705" s="21" t="n">
        <x:f>IFERROR(U1705/L1705,0)</x:f>
        <x:v>0.40088275862068967</x:v>
      </x:c>
    </x:row>
    <x:row r="1706">
      <x:c r="A1706" s="19" t="str">
        <x:v>SALE-01702</x:v>
      </x:c>
      <x:c r="B1706" s="34" t="n">
        <x:v>46210.5</x:v>
      </x:c>
      <x:c r="C1706" s="19" t="str">
        <x:v>周二</x:v>
      </x:c>
      <x:c r="D1706" s="19" t="str">
        <x:v>S07</x:v>
      </x:c>
      <x:c r="E1706" s="19" t="str">
        <x:v>小和山店</x:v>
      </x:c>
      <x:c r="F1706" s="19" t="str">
        <x:v>外卖</x:v>
      </x:c>
      <x:c r="G1706" s="19" t="str">
        <x:v>全日</x:v>
      </x:c>
      <x:c r="H1706" s="19" t="str">
        <x:v>D02</x:v>
      </x:c>
      <x:c r="I1706" s="19" t="str">
        <x:v>小炒黄牛肉</x:v>
      </x:c>
      <x:c r="J1706" s="22" t="n">
        <x:f>XLOOKUP(H1706,'菜品主数据'!$A$5:$A$24,'菜品主数据'!$D$5:$D$24,0)</x:f>
        <x:v>49</x:v>
      </x:c>
      <x:c r="K1706" s="31" t="n">
        <x:v>8</x:v>
      </x:c>
      <x:c r="L1706" s="35" t="n">
        <x:f>J1706*K1706</x:f>
        <x:v>392</x:v>
      </x:c>
      <x:c r="M1706" s="36" t="n">
        <x:v>0.08</x:v>
      </x:c>
      <x:c r="N1706" s="35" t="n">
        <x:f>L1706*M1706</x:f>
        <x:v>31.36</x:v>
      </x:c>
      <x:c r="O1706" s="37" t="n">
        <x:v>0.18</x:v>
      </x:c>
      <x:c r="P1706" s="35" t="n">
        <x:f>L1706*O1706</x:f>
        <x:v>70.56</x:v>
      </x:c>
      <x:c r="Q1706" s="35" t="n">
        <x:v>1.2</x:v>
      </x:c>
      <x:c r="R1706" s="35" t="n">
        <x:f>K1706*Q1706</x:f>
        <x:v>9.6</x:v>
      </x:c>
      <x:c r="S1706" s="35" t="n">
        <x:f>XLOOKUP(H1706,'菜品主数据'!$A$5:$A$24,'菜品主数据'!$G$5:$G$24,0)</x:f>
        <x:v>17.577</x:v>
      </x:c>
      <x:c r="T1706" s="35" t="n">
        <x:f>K1706*S1706</x:f>
        <x:v>140.616</x:v>
      </x:c>
      <x:c r="U1706" s="35" t="n">
        <x:f>L1706-N1706-P1706-R1706-T1706</x:f>
        <x:v>139.86399999999995</x:v>
      </x:c>
      <x:c r="V1706" s="21" t="n">
        <x:f>IFERROR(U1706/L1706,0)</x:f>
        <x:v>0.3567959183673468</x:v>
      </x:c>
    </x:row>
    <x:row r="1707">
      <x:c r="A1707" s="19" t="str">
        <x:v>SALE-01703</x:v>
      </x:c>
      <x:c r="B1707" s="34" t="n">
        <x:v>46210.5</x:v>
      </x:c>
      <x:c r="C1707" s="19" t="str">
        <x:v>周二</x:v>
      </x:c>
      <x:c r="D1707" s="19" t="str">
        <x:v>S07</x:v>
      </x:c>
      <x:c r="E1707" s="19" t="str">
        <x:v>小和山店</x:v>
      </x:c>
      <x:c r="F1707" s="19" t="str">
        <x:v>外卖</x:v>
      </x:c>
      <x:c r="G1707" s="19" t="str">
        <x:v>全日</x:v>
      </x:c>
      <x:c r="H1707" s="19" t="str">
        <x:v>D03</x:v>
      </x:c>
      <x:c r="I1707" s="19" t="str">
        <x:v>香醋炒蛋</x:v>
      </x:c>
      <x:c r="J1707" s="22" t="n">
        <x:f>XLOOKUP(H1707,'菜品主数据'!$A$5:$A$24,'菜品主数据'!$D$5:$D$24,0)</x:f>
        <x:v>14.9</x:v>
      </x:c>
      <x:c r="K1707" s="31" t="n">
        <x:v>4</x:v>
      </x:c>
      <x:c r="L1707" s="35" t="n">
        <x:f>J1707*K1707</x:f>
        <x:v>59.6</x:v>
      </x:c>
      <x:c r="M1707" s="36" t="n">
        <x:v>0.08</x:v>
      </x:c>
      <x:c r="N1707" s="35" t="n">
        <x:f>L1707*M1707</x:f>
        <x:v>4.768</x:v>
      </x:c>
      <x:c r="O1707" s="37" t="n">
        <x:v>0.18</x:v>
      </x:c>
      <x:c r="P1707" s="35" t="n">
        <x:f>L1707*O1707</x:f>
        <x:v>10.728</x:v>
      </x:c>
      <x:c r="Q1707" s="35" t="n">
        <x:v>1.2</x:v>
      </x:c>
      <x:c r="R1707" s="35" t="n">
        <x:f>K1707*Q1707</x:f>
        <x:v>4.8</x:v>
      </x:c>
      <x:c r="S1707" s="35" t="n">
        <x:f>XLOOKUP(H1707,'菜品主数据'!$A$5:$A$24,'菜品主数据'!$G$5:$G$24,0)</x:f>
        <x:v>3.7459999999999996</x:v>
      </x:c>
      <x:c r="T1707" s="35" t="n">
        <x:f>K1707*S1707</x:f>
        <x:v>14.983999999999998</x:v>
      </x:c>
      <x:c r="U1707" s="35" t="n">
        <x:f>L1707-N1707-P1707-R1707-T1707</x:f>
        <x:v>24.320000000000004</x:v>
      </x:c>
      <x:c r="V1707" s="21" t="n">
        <x:f>IFERROR(U1707/L1707,0)</x:f>
        <x:v>0.40805369127516783</x:v>
      </x:c>
    </x:row>
    <x:row r="1708">
      <x:c r="A1708" s="19" t="str">
        <x:v>SALE-01704</x:v>
      </x:c>
      <x:c r="B1708" s="34" t="n">
        <x:v>46210.5</x:v>
      </x:c>
      <x:c r="C1708" s="19" t="str">
        <x:v>周二</x:v>
      </x:c>
      <x:c r="D1708" s="19" t="str">
        <x:v>S07</x:v>
      </x:c>
      <x:c r="E1708" s="19" t="str">
        <x:v>小和山店</x:v>
      </x:c>
      <x:c r="F1708" s="19" t="str">
        <x:v>外卖</x:v>
      </x:c>
      <x:c r="G1708" s="19" t="str">
        <x:v>全日</x:v>
      </x:c>
      <x:c r="H1708" s="19" t="str">
        <x:v>D04</x:v>
      </x:c>
      <x:c r="I1708" s="19" t="str">
        <x:v>酸包菜炒粉皮</x:v>
      </x:c>
      <x:c r="J1708" s="22" t="n">
        <x:f>XLOOKUP(H1708,'菜品主数据'!$A$5:$A$24,'菜品主数据'!$D$5:$D$24,0)</x:f>
        <x:v>16</x:v>
      </x:c>
      <x:c r="K1708" s="31" t="n">
        <x:v>3</x:v>
      </x:c>
      <x:c r="L1708" s="35" t="n">
        <x:f>J1708*K1708</x:f>
        <x:v>48</x:v>
      </x:c>
      <x:c r="M1708" s="36" t="n">
        <x:v>0.08</x:v>
      </x:c>
      <x:c r="N1708" s="35" t="n">
        <x:f>L1708*M1708</x:f>
        <x:v>3.84</x:v>
      </x:c>
      <x:c r="O1708" s="37" t="n">
        <x:v>0.18</x:v>
      </x:c>
      <x:c r="P1708" s="35" t="n">
        <x:f>L1708*O1708</x:f>
        <x:v>8.64</x:v>
      </x:c>
      <x:c r="Q1708" s="35" t="n">
        <x:v>1.2</x:v>
      </x:c>
      <x:c r="R1708" s="35" t="n">
        <x:f>K1708*Q1708</x:f>
        <x:v>3.5999999999999996</x:v>
      </x:c>
      <x:c r="S1708" s="35" t="n">
        <x:f>XLOOKUP(H1708,'菜品主数据'!$A$5:$A$24,'菜品主数据'!$G$5:$G$24,0)</x:f>
        <x:v>3.978</x:v>
      </x:c>
      <x:c r="T1708" s="35" t="n">
        <x:f>K1708*S1708</x:f>
        <x:v>11.934000000000001</x:v>
      </x:c>
      <x:c r="U1708" s="35" t="n">
        <x:f>L1708-N1708-P1708-R1708-T1708</x:f>
        <x:v>19.985999999999994</x:v>
      </x:c>
      <x:c r="V1708" s="21" t="n">
        <x:f>IFERROR(U1708/L1708,0)</x:f>
        <x:v>0.4163749999999999</x:v>
      </x:c>
    </x:row>
    <x:row r="1709">
      <x:c r="A1709" s="19" t="str">
        <x:v>SALE-01705</x:v>
      </x:c>
      <x:c r="B1709" s="34" t="n">
        <x:v>46210.5</x:v>
      </x:c>
      <x:c r="C1709" s="19" t="str">
        <x:v>周二</x:v>
      </x:c>
      <x:c r="D1709" s="19" t="str">
        <x:v>S07</x:v>
      </x:c>
      <x:c r="E1709" s="19" t="str">
        <x:v>小和山店</x:v>
      </x:c>
      <x:c r="F1709" s="19" t="str">
        <x:v>外卖</x:v>
      </x:c>
      <x:c r="G1709" s="19" t="str">
        <x:v>全日</x:v>
      </x:c>
      <x:c r="H1709" s="19" t="str">
        <x:v>D05</x:v>
      </x:c>
      <x:c r="I1709" s="19" t="str">
        <x:v>麻婆豆腐</x:v>
      </x:c>
      <x:c r="J1709" s="22" t="n">
        <x:f>XLOOKUP(H1709,'菜品主数据'!$A$5:$A$24,'菜品主数据'!$D$5:$D$24,0)</x:f>
        <x:v>9.9</x:v>
      </x:c>
      <x:c r="K1709" s="31" t="n">
        <x:v>5</x:v>
      </x:c>
      <x:c r="L1709" s="35" t="n">
        <x:f>J1709*K1709</x:f>
        <x:v>49.5</x:v>
      </x:c>
      <x:c r="M1709" s="36" t="n">
        <x:v>0.08</x:v>
      </x:c>
      <x:c r="N1709" s="35" t="n">
        <x:f>L1709*M1709</x:f>
        <x:v>3.96</x:v>
      </x:c>
      <x:c r="O1709" s="37" t="n">
        <x:v>0.18</x:v>
      </x:c>
      <x:c r="P1709" s="35" t="n">
        <x:f>L1709*O1709</x:f>
        <x:v>8.91</x:v>
      </x:c>
      <x:c r="Q1709" s="35" t="n">
        <x:v>1.2</x:v>
      </x:c>
      <x:c r="R1709" s="35" t="n">
        <x:f>K1709*Q1709</x:f>
        <x:v>6</x:v>
      </x:c>
      <x:c r="S1709" s="35" t="n">
        <x:f>XLOOKUP(H1709,'菜品主数据'!$A$5:$A$24,'菜品主数据'!$G$5:$G$24,0)</x:f>
        <x:v>5.367000000000001</x:v>
      </x:c>
      <x:c r="T1709" s="35" t="n">
        <x:f>K1709*S1709</x:f>
        <x:v>26.835000000000004</x:v>
      </x:c>
      <x:c r="U1709" s="35" t="n">
        <x:f>L1709-N1709-P1709-R1709-T1709</x:f>
        <x:v>3.794999999999991</x:v>
      </x:c>
      <x:c r="V1709" s="21" t="n">
        <x:f>IFERROR(U1709/L1709,0)</x:f>
        <x:v>0.07666666666666648</x:v>
      </x:c>
    </x:row>
    <x:row r="1710">
      <x:c r="A1710" s="19" t="str">
        <x:v>SALE-01706</x:v>
      </x:c>
      <x:c r="B1710" s="34" t="n">
        <x:v>46210.5</x:v>
      </x:c>
      <x:c r="C1710" s="19" t="str">
        <x:v>周二</x:v>
      </x:c>
      <x:c r="D1710" s="19" t="str">
        <x:v>S07</x:v>
      </x:c>
      <x:c r="E1710" s="19" t="str">
        <x:v>小和山店</x:v>
      </x:c>
      <x:c r="F1710" s="19" t="str">
        <x:v>外卖</x:v>
      </x:c>
      <x:c r="G1710" s="19" t="str">
        <x:v>全日</x:v>
      </x:c>
      <x:c r="H1710" s="19" t="str">
        <x:v>D06</x:v>
      </x:c>
      <x:c r="I1710" s="19" t="str">
        <x:v>剁椒鱼头</x:v>
      </x:c>
      <x:c r="J1710" s="22" t="n">
        <x:f>XLOOKUP(H1710,'菜品主数据'!$A$5:$A$24,'菜品主数据'!$D$5:$D$24,0)</x:f>
        <x:v>39</x:v>
      </x:c>
      <x:c r="K1710" s="31" t="n">
        <x:v>1</x:v>
      </x:c>
      <x:c r="L1710" s="35" t="n">
        <x:f>J1710*K1710</x:f>
        <x:v>39</x:v>
      </x:c>
      <x:c r="M1710" s="36" t="n">
        <x:v>0.08</x:v>
      </x:c>
      <x:c r="N1710" s="35" t="n">
        <x:f>L1710*M1710</x:f>
        <x:v>3.12</x:v>
      </x:c>
      <x:c r="O1710" s="37" t="n">
        <x:v>0.18</x:v>
      </x:c>
      <x:c r="P1710" s="35" t="n">
        <x:f>L1710*O1710</x:f>
        <x:v>7.02</x:v>
      </x:c>
      <x:c r="Q1710" s="35" t="n">
        <x:v>1.2</x:v>
      </x:c>
      <x:c r="R1710" s="35" t="n">
        <x:f>K1710*Q1710</x:f>
        <x:v>1.2</x:v>
      </x:c>
      <x:c r="S1710" s="35" t="n">
        <x:f>XLOOKUP(H1710,'菜品主数据'!$A$5:$A$24,'菜品主数据'!$G$5:$G$24,0)</x:f>
        <x:v>17.446</x:v>
      </x:c>
      <x:c r="T1710" s="35" t="n">
        <x:f>K1710*S1710</x:f>
        <x:v>17.446</x:v>
      </x:c>
      <x:c r="U1710" s="35" t="n">
        <x:f>L1710-N1710-P1710-R1710-T1710</x:f>
        <x:v>10.214000000000002</x:v>
      </x:c>
      <x:c r="V1710" s="21" t="n">
        <x:f>IFERROR(U1710/L1710,0)</x:f>
        <x:v>0.26189743589743597</x:v>
      </x:c>
    </x:row>
    <x:row r="1711">
      <x:c r="A1711" s="19" t="str">
        <x:v>SALE-01707</x:v>
      </x:c>
      <x:c r="B1711" s="34" t="n">
        <x:v>46210.5</x:v>
      </x:c>
      <x:c r="C1711" s="19" t="str">
        <x:v>周二</x:v>
      </x:c>
      <x:c r="D1711" s="19" t="str">
        <x:v>S07</x:v>
      </x:c>
      <x:c r="E1711" s="19" t="str">
        <x:v>小和山店</x:v>
      </x:c>
      <x:c r="F1711" s="19" t="str">
        <x:v>外卖</x:v>
      </x:c>
      <x:c r="G1711" s="19" t="str">
        <x:v>全日</x:v>
      </x:c>
      <x:c r="H1711" s="19" t="str">
        <x:v>D07</x:v>
      </x:c>
      <x:c r="I1711" s="19" t="str">
        <x:v>川味回锅肉</x:v>
      </x:c>
      <x:c r="J1711" s="22" t="n">
        <x:f>XLOOKUP(H1711,'菜品主数据'!$A$5:$A$24,'菜品主数据'!$D$5:$D$24,0)</x:f>
        <x:v>29</x:v>
      </x:c>
      <x:c r="K1711" s="31" t="n">
        <x:v>1</x:v>
      </x:c>
      <x:c r="L1711" s="35" t="n">
        <x:f>J1711*K1711</x:f>
        <x:v>29</x:v>
      </x:c>
      <x:c r="M1711" s="36" t="n">
        <x:v>0.08</x:v>
      </x:c>
      <x:c r="N1711" s="35" t="n">
        <x:f>L1711*M1711</x:f>
        <x:v>2.32</x:v>
      </x:c>
      <x:c r="O1711" s="37" t="n">
        <x:v>0.18</x:v>
      </x:c>
      <x:c r="P1711" s="35" t="n">
        <x:f>L1711*O1711</x:f>
        <x:v>5.22</x:v>
      </x:c>
      <x:c r="Q1711" s="35" t="n">
        <x:v>1.2</x:v>
      </x:c>
      <x:c r="R1711" s="35" t="n">
        <x:f>K1711*Q1711</x:f>
        <x:v>1.2</x:v>
      </x:c>
      <x:c r="S1711" s="35" t="n">
        <x:f>XLOOKUP(H1711,'菜品主数据'!$A$5:$A$24,'菜品主数据'!$G$5:$G$24,0)</x:f>
        <x:v>10.231000000000002</x:v>
      </x:c>
      <x:c r="T1711" s="35" t="n">
        <x:f>K1711*S1711</x:f>
        <x:v>10.231000000000002</x:v>
      </x:c>
      <x:c r="U1711" s="35" t="n">
        <x:f>L1711-N1711-P1711-R1711-T1711</x:f>
        <x:v>10.029</x:v>
      </x:c>
      <x:c r="V1711" s="21" t="n">
        <x:f>IFERROR(U1711/L1711,0)</x:f>
        <x:v>0.3458275862068966</x:v>
      </x:c>
    </x:row>
    <x:row r="1712">
      <x:c r="A1712" s="19" t="str">
        <x:v>SALE-01708</x:v>
      </x:c>
      <x:c r="B1712" s="34" t="n">
        <x:v>46210.5</x:v>
      </x:c>
      <x:c r="C1712" s="19" t="str">
        <x:v>周二</x:v>
      </x:c>
      <x:c r="D1712" s="19" t="str">
        <x:v>S07</x:v>
      </x:c>
      <x:c r="E1712" s="19" t="str">
        <x:v>小和山店</x:v>
      </x:c>
      <x:c r="F1712" s="19" t="str">
        <x:v>外卖</x:v>
      </x:c>
      <x:c r="G1712" s="19" t="str">
        <x:v>全日</x:v>
      </x:c>
      <x:c r="H1712" s="19" t="str">
        <x:v>D08</x:v>
      </x:c>
      <x:c r="I1712" s="19" t="str">
        <x:v>生炒清远鸡</x:v>
      </x:c>
      <x:c r="J1712" s="22" t="n">
        <x:f>XLOOKUP(H1712,'菜品主数据'!$A$5:$A$24,'菜品主数据'!$D$5:$D$24,0)</x:f>
        <x:v>36</x:v>
      </x:c>
      <x:c r="K1712" s="31" t="n">
        <x:v>1</x:v>
      </x:c>
      <x:c r="L1712" s="35" t="n">
        <x:f>J1712*K1712</x:f>
        <x:v>36</x:v>
      </x:c>
      <x:c r="M1712" s="36" t="n">
        <x:v>0.08</x:v>
      </x:c>
      <x:c r="N1712" s="35" t="n">
        <x:f>L1712*M1712</x:f>
        <x:v>2.88</x:v>
      </x:c>
      <x:c r="O1712" s="37" t="n">
        <x:v>0.18</x:v>
      </x:c>
      <x:c r="P1712" s="35" t="n">
        <x:f>L1712*O1712</x:f>
        <x:v>6.4799999999999995</x:v>
      </x:c>
      <x:c r="Q1712" s="35" t="n">
        <x:v>1.2</x:v>
      </x:c>
      <x:c r="R1712" s="35" t="n">
        <x:f>K1712*Q1712</x:f>
        <x:v>1.2</x:v>
      </x:c>
      <x:c r="S1712" s="35" t="n">
        <x:f>XLOOKUP(H1712,'菜品主数据'!$A$5:$A$24,'菜品主数据'!$G$5:$G$24,0)</x:f>
        <x:v>13.48</x:v>
      </x:c>
      <x:c r="T1712" s="35" t="n">
        <x:f>K1712*S1712</x:f>
        <x:v>13.48</x:v>
      </x:c>
      <x:c r="U1712" s="35" t="n">
        <x:f>L1712-N1712-P1712-R1712-T1712</x:f>
        <x:v>11.959999999999997</x:v>
      </x:c>
      <x:c r="V1712" s="21" t="n">
        <x:f>IFERROR(U1712/L1712,0)</x:f>
        <x:v>0.33222222222222214</x:v>
      </x:c>
    </x:row>
    <x:row r="1713">
      <x:c r="A1713" s="19" t="str">
        <x:v>SALE-01709</x:v>
      </x:c>
      <x:c r="B1713" s="34" t="n">
        <x:v>46210.5</x:v>
      </x:c>
      <x:c r="C1713" s="19" t="str">
        <x:v>周二</x:v>
      </x:c>
      <x:c r="D1713" s="19" t="str">
        <x:v>S07</x:v>
      </x:c>
      <x:c r="E1713" s="19" t="str">
        <x:v>小和山店</x:v>
      </x:c>
      <x:c r="F1713" s="19" t="str">
        <x:v>外卖</x:v>
      </x:c>
      <x:c r="G1713" s="19" t="str">
        <x:v>全日</x:v>
      </x:c>
      <x:c r="H1713" s="19" t="str">
        <x:v>D09</x:v>
      </x:c>
      <x:c r="I1713" s="19" t="str">
        <x:v>炒豆干</x:v>
      </x:c>
      <x:c r="J1713" s="22" t="n">
        <x:f>XLOOKUP(H1713,'菜品主数据'!$A$5:$A$24,'菜品主数据'!$D$5:$D$24,0)</x:f>
        <x:v>18</x:v>
      </x:c>
      <x:c r="K1713" s="31" t="n">
        <x:v>1</x:v>
      </x:c>
      <x:c r="L1713" s="35" t="n">
        <x:f>J1713*K1713</x:f>
        <x:v>18</x:v>
      </x:c>
      <x:c r="M1713" s="36" t="n">
        <x:v>0.08</x:v>
      </x:c>
      <x:c r="N1713" s="35" t="n">
        <x:f>L1713*M1713</x:f>
        <x:v>1.44</x:v>
      </x:c>
      <x:c r="O1713" s="37" t="n">
        <x:v>0.18</x:v>
      </x:c>
      <x:c r="P1713" s="35" t="n">
        <x:f>L1713*O1713</x:f>
        <x:v>3.2399999999999998</x:v>
      </x:c>
      <x:c r="Q1713" s="35" t="n">
        <x:v>1.2</x:v>
      </x:c>
      <x:c r="R1713" s="35" t="n">
        <x:f>K1713*Q1713</x:f>
        <x:v>1.2</x:v>
      </x:c>
      <x:c r="S1713" s="35" t="n">
        <x:f>XLOOKUP(H1713,'菜品主数据'!$A$5:$A$24,'菜品主数据'!$G$5:$G$24,0)</x:f>
        <x:v>6.613999999999999</x:v>
      </x:c>
      <x:c r="T1713" s="35" t="n">
        <x:f>K1713*S1713</x:f>
        <x:v>6.613999999999999</x:v>
      </x:c>
      <x:c r="U1713" s="35" t="n">
        <x:f>L1713-N1713-P1713-R1713-T1713</x:f>
        <x:v>5.506</x:v>
      </x:c>
      <x:c r="V1713" s="21" t="n">
        <x:f>IFERROR(U1713/L1713,0)</x:f>
        <x:v>0.3058888888888889</x:v>
      </x:c>
    </x:row>
    <x:row r="1714">
      <x:c r="A1714" s="19" t="str">
        <x:v>SALE-01710</x:v>
      </x:c>
      <x:c r="B1714" s="34" t="n">
        <x:v>46210.5</x:v>
      </x:c>
      <x:c r="C1714" s="19" t="str">
        <x:v>周二</x:v>
      </x:c>
      <x:c r="D1714" s="19" t="str">
        <x:v>S07</x:v>
      </x:c>
      <x:c r="E1714" s="19" t="str">
        <x:v>小和山店</x:v>
      </x:c>
      <x:c r="F1714" s="19" t="str">
        <x:v>外卖</x:v>
      </x:c>
      <x:c r="G1714" s="19" t="str">
        <x:v>全日</x:v>
      </x:c>
      <x:c r="H1714" s="19" t="str">
        <x:v>D10</x:v>
      </x:c>
      <x:c r="I1714" s="19" t="str">
        <x:v>农家一碗香</x:v>
      </x:c>
      <x:c r="J1714" s="22" t="n">
        <x:f>XLOOKUP(H1714,'菜品主数据'!$A$5:$A$24,'菜品主数据'!$D$5:$D$24,0)</x:f>
        <x:v>22.9</x:v>
      </x:c>
      <x:c r="K1714" s="31" t="n">
        <x:v>1</x:v>
      </x:c>
      <x:c r="L1714" s="35" t="n">
        <x:f>J1714*K1714</x:f>
        <x:v>22.9</x:v>
      </x:c>
      <x:c r="M1714" s="36" t="n">
        <x:v>0.08</x:v>
      </x:c>
      <x:c r="N1714" s="35" t="n">
        <x:f>L1714*M1714</x:f>
        <x:v>1.8319999999999999</x:v>
      </x:c>
      <x:c r="O1714" s="37" t="n">
        <x:v>0.18</x:v>
      </x:c>
      <x:c r="P1714" s="35" t="n">
        <x:f>L1714*O1714</x:f>
        <x:v>4.122</x:v>
      </x:c>
      <x:c r="Q1714" s="35" t="n">
        <x:v>1.2</x:v>
      </x:c>
      <x:c r="R1714" s="35" t="n">
        <x:f>K1714*Q1714</x:f>
        <x:v>1.2</x:v>
      </x:c>
      <x:c r="S1714" s="35" t="n">
        <x:f>XLOOKUP(H1714,'菜品主数据'!$A$5:$A$24,'菜品主数据'!$G$5:$G$24,0)</x:f>
        <x:v>9.770200000000003</x:v>
      </x:c>
      <x:c r="T1714" s="35" t="n">
        <x:f>K1714*S1714</x:f>
        <x:v>9.770200000000003</x:v>
      </x:c>
      <x:c r="U1714" s="35" t="n">
        <x:f>L1714-N1714-P1714-R1714-T1714</x:f>
        <x:v>5.975799999999996</x:v>
      </x:c>
      <x:c r="V1714" s="21" t="n">
        <x:f>IFERROR(U1714/L1714,0)</x:f>
        <x:v>0.260951965065502</x:v>
      </x:c>
    </x:row>
    <x:row r="1715">
      <x:c r="A1715" s="19" t="str">
        <x:v>SALE-01711</x:v>
      </x:c>
      <x:c r="B1715" s="34" t="n">
        <x:v>46210.5</x:v>
      </x:c>
      <x:c r="C1715" s="19" t="str">
        <x:v>周二</x:v>
      </x:c>
      <x:c r="D1715" s="19" t="str">
        <x:v>S07</x:v>
      </x:c>
      <x:c r="E1715" s="19" t="str">
        <x:v>小和山店</x:v>
      </x:c>
      <x:c r="F1715" s="19" t="str">
        <x:v>外卖</x:v>
      </x:c>
      <x:c r="G1715" s="19" t="str">
        <x:v>全日</x:v>
      </x:c>
      <x:c r="H1715" s="19" t="str">
        <x:v>D11</x:v>
      </x:c>
      <x:c r="I1715" s="19" t="str">
        <x:v>香辣爆肥肠</x:v>
      </x:c>
      <x:c r="J1715" s="22" t="n">
        <x:f>XLOOKUP(H1715,'菜品主数据'!$A$5:$A$24,'菜品主数据'!$D$5:$D$24,0)</x:f>
        <x:v>39</x:v>
      </x:c>
      <x:c r="K1715" s="31" t="n">
        <x:v>0</x:v>
      </x:c>
      <x:c r="L1715" s="35" t="n">
        <x:f>J1715*K1715</x:f>
        <x:v>0</x:v>
      </x:c>
      <x:c r="M1715" s="36" t="n">
        <x:v>0.08</x:v>
      </x:c>
      <x:c r="N1715" s="35" t="n">
        <x:f>L1715*M1715</x:f>
        <x:v>0</x:v>
      </x:c>
      <x:c r="O1715" s="37" t="n">
        <x:v>0.18</x:v>
      </x:c>
      <x:c r="P1715" s="35" t="n">
        <x:f>L1715*O1715</x:f>
        <x:v>0</x:v>
      </x:c>
      <x:c r="Q1715" s="35" t="n">
        <x:v>1.2</x:v>
      </x:c>
      <x:c r="R1715" s="35" t="n">
        <x:f>K1715*Q1715</x:f>
        <x:v>0</x:v>
      </x:c>
      <x:c r="S1715" s="35" t="n">
        <x:f>XLOOKUP(H1715,'菜品主数据'!$A$5:$A$24,'菜品主数据'!$G$5:$G$24,0)</x:f>
        <x:v>10.397</x:v>
      </x:c>
      <x:c r="T1715" s="35" t="n">
        <x:f>K1715*S1715</x:f>
        <x:v>0</x:v>
      </x:c>
      <x:c r="U1715" s="35" t="n">
        <x:f>L1715-N1715-P1715-R1715-T1715</x:f>
        <x:v>0</x:v>
      </x:c>
      <x:c r="V1715" s="21" t="n">
        <x:f>IFERROR(U1715/L1715,0)</x:f>
        <x:v>0</x:v>
      </x:c>
    </x:row>
    <x:row r="1716">
      <x:c r="A1716" s="19" t="str">
        <x:v>SALE-01712</x:v>
      </x:c>
      <x:c r="B1716" s="34" t="n">
        <x:v>46210.5</x:v>
      </x:c>
      <x:c r="C1716" s="19" t="str">
        <x:v>周二</x:v>
      </x:c>
      <x:c r="D1716" s="19" t="str">
        <x:v>S07</x:v>
      </x:c>
      <x:c r="E1716" s="19" t="str">
        <x:v>小和山店</x:v>
      </x:c>
      <x:c r="F1716" s="19" t="str">
        <x:v>外卖</x:v>
      </x:c>
      <x:c r="G1716" s="19" t="str">
        <x:v>全日</x:v>
      </x:c>
      <x:c r="H1716" s="19" t="str">
        <x:v>D12</x:v>
      </x:c>
      <x:c r="I1716" s="19" t="str">
        <x:v>清蒸鲈鱼</x:v>
      </x:c>
      <x:c r="J1716" s="22" t="n">
        <x:f>XLOOKUP(H1716,'菜品主数据'!$A$5:$A$24,'菜品主数据'!$D$5:$D$24,0)</x:f>
        <x:v>39</x:v>
      </x:c>
      <x:c r="K1716" s="31" t="n">
        <x:v>0</x:v>
      </x:c>
      <x:c r="L1716" s="35" t="n">
        <x:f>J1716*K1716</x:f>
        <x:v>0</x:v>
      </x:c>
      <x:c r="M1716" s="36" t="n">
        <x:v>0.08</x:v>
      </x:c>
      <x:c r="N1716" s="35" t="n">
        <x:f>L1716*M1716</x:f>
        <x:v>0</x:v>
      </x:c>
      <x:c r="O1716" s="37" t="n">
        <x:v>0.18</x:v>
      </x:c>
      <x:c r="P1716" s="35" t="n">
        <x:f>L1716*O1716</x:f>
        <x:v>0</x:v>
      </x:c>
      <x:c r="Q1716" s="35" t="n">
        <x:v>1.2</x:v>
      </x:c>
      <x:c r="R1716" s="35" t="n">
        <x:f>K1716*Q1716</x:f>
        <x:v>0</x:v>
      </x:c>
      <x:c r="S1716" s="35" t="n">
        <x:f>XLOOKUP(H1716,'菜品主数据'!$A$5:$A$24,'菜品主数据'!$G$5:$G$24,0)</x:f>
        <x:v>18.874</x:v>
      </x:c>
      <x:c r="T1716" s="35" t="n">
        <x:f>K1716*S1716</x:f>
        <x:v>0</x:v>
      </x:c>
      <x:c r="U1716" s="35" t="n">
        <x:f>L1716-N1716-P1716-R1716-T1716</x:f>
        <x:v>0</x:v>
      </x:c>
      <x:c r="V1716" s="21" t="n">
        <x:f>IFERROR(U1716/L1716,0)</x:f>
        <x:v>0</x:v>
      </x:c>
    </x:row>
    <x:row r="1717">
      <x:c r="A1717" s="19" t="str">
        <x:v>SALE-01713</x:v>
      </x:c>
      <x:c r="B1717" s="34" t="n">
        <x:v>46210.5</x:v>
      </x:c>
      <x:c r="C1717" s="19" t="str">
        <x:v>周二</x:v>
      </x:c>
      <x:c r="D1717" s="19" t="str">
        <x:v>S07</x:v>
      </x:c>
      <x:c r="E1717" s="19" t="str">
        <x:v>小和山店</x:v>
      </x:c>
      <x:c r="F1717" s="19" t="str">
        <x:v>外卖</x:v>
      </x:c>
      <x:c r="G1717" s="19" t="str">
        <x:v>全日</x:v>
      </x:c>
      <x:c r="H1717" s="19" t="str">
        <x:v>D13</x:v>
      </x:c>
      <x:c r="I1717" s="19" t="str">
        <x:v>外婆菜炒蛋</x:v>
      </x:c>
      <x:c r="J1717" s="22" t="n">
        <x:f>XLOOKUP(H1717,'菜品主数据'!$A$5:$A$24,'菜品主数据'!$D$5:$D$24,0)</x:f>
        <x:v>18</x:v>
      </x:c>
      <x:c r="K1717" s="31" t="n">
        <x:v>1</x:v>
      </x:c>
      <x:c r="L1717" s="35" t="n">
        <x:f>J1717*K1717</x:f>
        <x:v>18</x:v>
      </x:c>
      <x:c r="M1717" s="36" t="n">
        <x:v>0.08</x:v>
      </x:c>
      <x:c r="N1717" s="35" t="n">
        <x:f>L1717*M1717</x:f>
        <x:v>1.44</x:v>
      </x:c>
      <x:c r="O1717" s="37" t="n">
        <x:v>0.18</x:v>
      </x:c>
      <x:c r="P1717" s="35" t="n">
        <x:f>L1717*O1717</x:f>
        <x:v>3.2399999999999998</x:v>
      </x:c>
      <x:c r="Q1717" s="35" t="n">
        <x:v>1.2</x:v>
      </x:c>
      <x:c r="R1717" s="35" t="n">
        <x:f>K1717*Q1717</x:f>
        <x:v>1.2</x:v>
      </x:c>
      <x:c r="S1717" s="35" t="n">
        <x:f>XLOOKUP(H1717,'菜品主数据'!$A$5:$A$24,'菜品主数据'!$G$5:$G$24,0)</x:f>
        <x:v>5.403999999999999</x:v>
      </x:c>
      <x:c r="T1717" s="35" t="n">
        <x:f>K1717*S1717</x:f>
        <x:v>5.403999999999999</x:v>
      </x:c>
      <x:c r="U1717" s="35" t="n">
        <x:f>L1717-N1717-P1717-R1717-T1717</x:f>
        <x:v>6.716</x:v>
      </x:c>
      <x:c r="V1717" s="21" t="n">
        <x:f>IFERROR(U1717/L1717,0)</x:f>
        <x:v>0.3731111111111111</x:v>
      </x:c>
    </x:row>
    <x:row r="1718">
      <x:c r="A1718" s="19" t="str">
        <x:v>SALE-01714</x:v>
      </x:c>
      <x:c r="B1718" s="34" t="n">
        <x:v>46210.5</x:v>
      </x:c>
      <x:c r="C1718" s="19" t="str">
        <x:v>周二</x:v>
      </x:c>
      <x:c r="D1718" s="19" t="str">
        <x:v>S07</x:v>
      </x:c>
      <x:c r="E1718" s="19" t="str">
        <x:v>小和山店</x:v>
      </x:c>
      <x:c r="F1718" s="19" t="str">
        <x:v>外卖</x:v>
      </x:c>
      <x:c r="G1718" s="19" t="str">
        <x:v>全日</x:v>
      </x:c>
      <x:c r="H1718" s="19" t="str">
        <x:v>D14</x:v>
      </x:c>
      <x:c r="I1718" s="19" t="str">
        <x:v>酸辣鸡杂</x:v>
      </x:c>
      <x:c r="J1718" s="22" t="n">
        <x:f>XLOOKUP(H1718,'菜品主数据'!$A$5:$A$24,'菜品主数据'!$D$5:$D$24,0)</x:f>
        <x:v>28</x:v>
      </x:c>
      <x:c r="K1718" s="31" t="n">
        <x:v>0</x:v>
      </x:c>
      <x:c r="L1718" s="35" t="n">
        <x:f>J1718*K1718</x:f>
        <x:v>0</x:v>
      </x:c>
      <x:c r="M1718" s="36" t="n">
        <x:v>0.08</x:v>
      </x:c>
      <x:c r="N1718" s="35" t="n">
        <x:f>L1718*M1718</x:f>
        <x:v>0</x:v>
      </x:c>
      <x:c r="O1718" s="37" t="n">
        <x:v>0.18</x:v>
      </x:c>
      <x:c r="P1718" s="35" t="n">
        <x:f>L1718*O1718</x:f>
        <x:v>0</x:v>
      </x:c>
      <x:c r="Q1718" s="35" t="n">
        <x:v>1.2</x:v>
      </x:c>
      <x:c r="R1718" s="35" t="n">
        <x:f>K1718*Q1718</x:f>
        <x:v>0</x:v>
      </x:c>
      <x:c r="S1718" s="35" t="n">
        <x:f>XLOOKUP(H1718,'菜品主数据'!$A$5:$A$24,'菜品主数据'!$G$5:$G$24,0)</x:f>
        <x:v>8.315000000000001</x:v>
      </x:c>
      <x:c r="T1718" s="35" t="n">
        <x:f>K1718*S1718</x:f>
        <x:v>0</x:v>
      </x:c>
      <x:c r="U1718" s="35" t="n">
        <x:f>L1718-N1718-P1718-R1718-T1718</x:f>
        <x:v>0</x:v>
      </x:c>
      <x:c r="V1718" s="21" t="n">
        <x:f>IFERROR(U1718/L1718,0)</x:f>
        <x:v>0</x:v>
      </x:c>
    </x:row>
    <x:row r="1719">
      <x:c r="A1719" s="19" t="str">
        <x:v>SALE-01715</x:v>
      </x:c>
      <x:c r="B1719" s="34" t="n">
        <x:v>46210.5</x:v>
      </x:c>
      <x:c r="C1719" s="19" t="str">
        <x:v>周二</x:v>
      </x:c>
      <x:c r="D1719" s="19" t="str">
        <x:v>S07</x:v>
      </x:c>
      <x:c r="E1719" s="19" t="str">
        <x:v>小和山店</x:v>
      </x:c>
      <x:c r="F1719" s="19" t="str">
        <x:v>外卖</x:v>
      </x:c>
      <x:c r="G1719" s="19" t="str">
        <x:v>全日</x:v>
      </x:c>
      <x:c r="H1719" s="19" t="str">
        <x:v>D15</x:v>
      </x:c>
      <x:c r="I1719" s="19" t="str">
        <x:v>湘西土匪猪肝</x:v>
      </x:c>
      <x:c r="J1719" s="22" t="n">
        <x:f>XLOOKUP(H1719,'菜品主数据'!$A$5:$A$24,'菜品主数据'!$D$5:$D$24,0)</x:f>
        <x:v>26</x:v>
      </x:c>
      <x:c r="K1719" s="31" t="n">
        <x:v>0</x:v>
      </x:c>
      <x:c r="L1719" s="35" t="n">
        <x:f>J1719*K1719</x:f>
        <x:v>0</x:v>
      </x:c>
      <x:c r="M1719" s="36" t="n">
        <x:v>0.08</x:v>
      </x:c>
      <x:c r="N1719" s="35" t="n">
        <x:f>L1719*M1719</x:f>
        <x:v>0</x:v>
      </x:c>
      <x:c r="O1719" s="37" t="n">
        <x:v>0.18</x:v>
      </x:c>
      <x:c r="P1719" s="35" t="n">
        <x:f>L1719*O1719</x:f>
        <x:v>0</x:v>
      </x:c>
      <x:c r="Q1719" s="35" t="n">
        <x:v>1.2</x:v>
      </x:c>
      <x:c r="R1719" s="35" t="n">
        <x:f>K1719*Q1719</x:f>
        <x:v>0</x:v>
      </x:c>
      <x:c r="S1719" s="35" t="n">
        <x:f>XLOOKUP(H1719,'菜品主数据'!$A$5:$A$24,'菜品主数据'!$G$5:$G$24,0)</x:f>
        <x:v>6.3759999999999994</x:v>
      </x:c>
      <x:c r="T1719" s="35" t="n">
        <x:f>K1719*S1719</x:f>
        <x:v>0</x:v>
      </x:c>
      <x:c r="U1719" s="35" t="n">
        <x:f>L1719-N1719-P1719-R1719-T1719</x:f>
        <x:v>0</x:v>
      </x:c>
      <x:c r="V1719" s="21" t="n">
        <x:f>IFERROR(U1719/L1719,0)</x:f>
        <x:v>0</x:v>
      </x:c>
    </x:row>
    <x:row r="1720">
      <x:c r="A1720" s="19" t="str">
        <x:v>SALE-01716</x:v>
      </x:c>
      <x:c r="B1720" s="34" t="n">
        <x:v>46210.5</x:v>
      </x:c>
      <x:c r="C1720" s="19" t="str">
        <x:v>周二</x:v>
      </x:c>
      <x:c r="D1720" s="19" t="str">
        <x:v>S07</x:v>
      </x:c>
      <x:c r="E1720" s="19" t="str">
        <x:v>小和山店</x:v>
      </x:c>
      <x:c r="F1720" s="19" t="str">
        <x:v>外卖</x:v>
      </x:c>
      <x:c r="G1720" s="19" t="str">
        <x:v>全日</x:v>
      </x:c>
      <x:c r="H1720" s="19" t="str">
        <x:v>D16</x:v>
      </x:c>
      <x:c r="I1720" s="19" t="str">
        <x:v>小豆角炒五花</x:v>
      </x:c>
      <x:c r="J1720" s="22" t="n">
        <x:f>XLOOKUP(H1720,'菜品主数据'!$A$5:$A$24,'菜品主数据'!$D$5:$D$24,0)</x:f>
        <x:v>25</x:v>
      </x:c>
      <x:c r="K1720" s="31" t="n">
        <x:v>0</x:v>
      </x:c>
      <x:c r="L1720" s="35" t="n">
        <x:f>J1720*K1720</x:f>
        <x:v>0</x:v>
      </x:c>
      <x:c r="M1720" s="36" t="n">
        <x:v>0.08</x:v>
      </x:c>
      <x:c r="N1720" s="35" t="n">
        <x:f>L1720*M1720</x:f>
        <x:v>0</x:v>
      </x:c>
      <x:c r="O1720" s="37" t="n">
        <x:v>0.18</x:v>
      </x:c>
      <x:c r="P1720" s="35" t="n">
        <x:f>L1720*O1720</x:f>
        <x:v>0</x:v>
      </x:c>
      <x:c r="Q1720" s="35" t="n">
        <x:v>1.2</x:v>
      </x:c>
      <x:c r="R1720" s="35" t="n">
        <x:f>K1720*Q1720</x:f>
        <x:v>0</x:v>
      </x:c>
      <x:c r="S1720" s="35" t="n">
        <x:f>XLOOKUP(H1720,'菜品主数据'!$A$5:$A$24,'菜品主数据'!$G$5:$G$24,0)</x:f>
        <x:v>8.184</x:v>
      </x:c>
      <x:c r="T1720" s="35" t="n">
        <x:f>K1720*S1720</x:f>
        <x:v>0</x:v>
      </x:c>
      <x:c r="U1720" s="35" t="n">
        <x:f>L1720-N1720-P1720-R1720-T1720</x:f>
        <x:v>0</x:v>
      </x:c>
      <x:c r="V1720" s="21" t="n">
        <x:f>IFERROR(U1720/L1720,0)</x:f>
        <x:v>0</x:v>
      </x:c>
    </x:row>
    <x:row r="1721">
      <x:c r="A1721" s="19" t="str">
        <x:v>SALE-01717</x:v>
      </x:c>
      <x:c r="B1721" s="34" t="n">
        <x:v>46210.5</x:v>
      </x:c>
      <x:c r="C1721" s="19" t="str">
        <x:v>周二</x:v>
      </x:c>
      <x:c r="D1721" s="19" t="str">
        <x:v>S07</x:v>
      </x:c>
      <x:c r="E1721" s="19" t="str">
        <x:v>小和山店</x:v>
      </x:c>
      <x:c r="F1721" s="19" t="str">
        <x:v>外卖</x:v>
      </x:c>
      <x:c r="G1721" s="19" t="str">
        <x:v>全日</x:v>
      </x:c>
      <x:c r="H1721" s="19" t="str">
        <x:v>D17</x:v>
      </x:c>
      <x:c r="I1721" s="19" t="str">
        <x:v>蒜蓉粉丝虾</x:v>
      </x:c>
      <x:c r="J1721" s="22" t="n">
        <x:f>XLOOKUP(H1721,'菜品主数据'!$A$5:$A$24,'菜品主数据'!$D$5:$D$24,0)</x:f>
        <x:v>36</x:v>
      </x:c>
      <x:c r="K1721" s="31" t="n">
        <x:v>0</x:v>
      </x:c>
      <x:c r="L1721" s="35" t="n">
        <x:f>J1721*K1721</x:f>
        <x:v>0</x:v>
      </x:c>
      <x:c r="M1721" s="36" t="n">
        <x:v>0.08</x:v>
      </x:c>
      <x:c r="N1721" s="35" t="n">
        <x:f>L1721*M1721</x:f>
        <x:v>0</x:v>
      </x:c>
      <x:c r="O1721" s="37" t="n">
        <x:v>0.18</x:v>
      </x:c>
      <x:c r="P1721" s="35" t="n">
        <x:f>L1721*O1721</x:f>
        <x:v>0</x:v>
      </x:c>
      <x:c r="Q1721" s="35" t="n">
        <x:v>1.2</x:v>
      </x:c>
      <x:c r="R1721" s="35" t="n">
        <x:f>K1721*Q1721</x:f>
        <x:v>0</x:v>
      </x:c>
      <x:c r="S1721" s="35" t="n">
        <x:f>XLOOKUP(H1721,'菜品主数据'!$A$5:$A$24,'菜品主数据'!$G$5:$G$24,0)</x:f>
        <x:v>13.594</x:v>
      </x:c>
      <x:c r="T1721" s="35" t="n">
        <x:f>K1721*S1721</x:f>
        <x:v>0</x:v>
      </x:c>
      <x:c r="U1721" s="35" t="n">
        <x:f>L1721-N1721-P1721-R1721-T1721</x:f>
        <x:v>0</x:v>
      </x:c>
      <x:c r="V1721" s="21" t="n">
        <x:f>IFERROR(U1721/L1721,0)</x:f>
        <x:v>0</x:v>
      </x:c>
    </x:row>
    <x:row r="1722">
      <x:c r="A1722" s="19" t="str">
        <x:v>SALE-01718</x:v>
      </x:c>
      <x:c r="B1722" s="34" t="n">
        <x:v>46210.5</x:v>
      </x:c>
      <x:c r="C1722" s="19" t="str">
        <x:v>周二</x:v>
      </x:c>
      <x:c r="D1722" s="19" t="str">
        <x:v>S07</x:v>
      </x:c>
      <x:c r="E1722" s="19" t="str">
        <x:v>小和山店</x:v>
      </x:c>
      <x:c r="F1722" s="19" t="str">
        <x:v>外卖</x:v>
      </x:c>
      <x:c r="G1722" s="19" t="str">
        <x:v>全日</x:v>
      </x:c>
      <x:c r="H1722" s="19" t="str">
        <x:v>D18</x:v>
      </x:c>
      <x:c r="I1722" s="19" t="str">
        <x:v>青椒炒油麦菜</x:v>
      </x:c>
      <x:c r="J1722" s="22" t="n">
        <x:f>XLOOKUP(H1722,'菜品主数据'!$A$5:$A$24,'菜品主数据'!$D$5:$D$24,0)</x:f>
        <x:v>18</x:v>
      </x:c>
      <x:c r="K1722" s="31" t="n">
        <x:v>0</x:v>
      </x:c>
      <x:c r="L1722" s="35" t="n">
        <x:f>J1722*K1722</x:f>
        <x:v>0</x:v>
      </x:c>
      <x:c r="M1722" s="36" t="n">
        <x:v>0.08</x:v>
      </x:c>
      <x:c r="N1722" s="35" t="n">
        <x:f>L1722*M1722</x:f>
        <x:v>0</x:v>
      </x:c>
      <x:c r="O1722" s="37" t="n">
        <x:v>0.18</x:v>
      </x:c>
      <x:c r="P1722" s="35" t="n">
        <x:f>L1722*O1722</x:f>
        <x:v>0</x:v>
      </x:c>
      <x:c r="Q1722" s="35" t="n">
        <x:v>1.2</x:v>
      </x:c>
      <x:c r="R1722" s="35" t="n">
        <x:f>K1722*Q1722</x:f>
        <x:v>0</x:v>
      </x:c>
      <x:c r="S1722" s="35" t="n">
        <x:f>XLOOKUP(H1722,'菜品主数据'!$A$5:$A$24,'菜品主数据'!$G$5:$G$24,0)</x:f>
        <x:v>3.1759999999999993</x:v>
      </x:c>
      <x:c r="T1722" s="35" t="n">
        <x:f>K1722*S1722</x:f>
        <x:v>0</x:v>
      </x:c>
      <x:c r="U1722" s="35" t="n">
        <x:f>L1722-N1722-P1722-R1722-T1722</x:f>
        <x:v>0</x:v>
      </x:c>
      <x:c r="V1722" s="21" t="n">
        <x:f>IFERROR(U1722/L1722,0)</x:f>
        <x:v>0</x:v>
      </x:c>
    </x:row>
    <x:row r="1723">
      <x:c r="A1723" s="19" t="str">
        <x:v>SALE-01719</x:v>
      </x:c>
      <x:c r="B1723" s="34" t="n">
        <x:v>46210.5</x:v>
      </x:c>
      <x:c r="C1723" s="19" t="str">
        <x:v>周二</x:v>
      </x:c>
      <x:c r="D1723" s="19" t="str">
        <x:v>S07</x:v>
      </x:c>
      <x:c r="E1723" s="19" t="str">
        <x:v>小和山店</x:v>
      </x:c>
      <x:c r="F1723" s="19" t="str">
        <x:v>外卖</x:v>
      </x:c>
      <x:c r="G1723" s="19" t="str">
        <x:v>全日</x:v>
      </x:c>
      <x:c r="H1723" s="19" t="str">
        <x:v>D19</x:v>
      </x:c>
      <x:c r="I1723" s="19" t="str">
        <x:v>酸萝卜炒鸡杂</x:v>
      </x:c>
      <x:c r="J1723" s="22" t="n">
        <x:f>XLOOKUP(H1723,'菜品主数据'!$A$5:$A$24,'菜品主数据'!$D$5:$D$24,0)</x:f>
        <x:v>25</x:v>
      </x:c>
      <x:c r="K1723" s="31" t="n">
        <x:v>0</x:v>
      </x:c>
      <x:c r="L1723" s="35" t="n">
        <x:f>J1723*K1723</x:f>
        <x:v>0</x:v>
      </x:c>
      <x:c r="M1723" s="36" t="n">
        <x:v>0.08</x:v>
      </x:c>
      <x:c r="N1723" s="35" t="n">
        <x:f>L1723*M1723</x:f>
        <x:v>0</x:v>
      </x:c>
      <x:c r="O1723" s="37" t="n">
        <x:v>0.18</x:v>
      </x:c>
      <x:c r="P1723" s="35" t="n">
        <x:f>L1723*O1723</x:f>
        <x:v>0</x:v>
      </x:c>
      <x:c r="Q1723" s="35" t="n">
        <x:v>1.2</x:v>
      </x:c>
      <x:c r="R1723" s="35" t="n">
        <x:f>K1723*Q1723</x:f>
        <x:v>0</x:v>
      </x:c>
      <x:c r="S1723" s="35" t="n">
        <x:f>XLOOKUP(H1723,'菜品主数据'!$A$5:$A$24,'菜品主数据'!$G$5:$G$24,0)</x:f>
        <x:v>7.9399999999999995</x:v>
      </x:c>
      <x:c r="T1723" s="35" t="n">
        <x:f>K1723*S1723</x:f>
        <x:v>0</x:v>
      </x:c>
      <x:c r="U1723" s="35" t="n">
        <x:f>L1723-N1723-P1723-R1723-T1723</x:f>
        <x:v>0</x:v>
      </x:c>
      <x:c r="V1723" s="21" t="n">
        <x:f>IFERROR(U1723/L1723,0)</x:f>
        <x:v>0</x:v>
      </x:c>
    </x:row>
    <x:row r="1724">
      <x:c r="A1724" s="19" t="str">
        <x:v>SALE-01720</x:v>
      </x:c>
      <x:c r="B1724" s="34" t="n">
        <x:v>46210.5</x:v>
      </x:c>
      <x:c r="C1724" s="19" t="str">
        <x:v>周二</x:v>
      </x:c>
      <x:c r="D1724" s="19" t="str">
        <x:v>S07</x:v>
      </x:c>
      <x:c r="E1724" s="19" t="str">
        <x:v>小和山店</x:v>
      </x:c>
      <x:c r="F1724" s="19" t="str">
        <x:v>外卖</x:v>
      </x:c>
      <x:c r="G1724" s="19" t="str">
        <x:v>全日</x:v>
      </x:c>
      <x:c r="H1724" s="19" t="str">
        <x:v>D20</x:v>
      </x:c>
      <x:c r="I1724" s="19" t="str">
        <x:v>雪菜肉末青豆</x:v>
      </x:c>
      <x:c r="J1724" s="22" t="n">
        <x:f>XLOOKUP(H1724,'菜品主数据'!$A$5:$A$24,'菜品主数据'!$D$5:$D$24,0)</x:f>
        <x:v>18</x:v>
      </x:c>
      <x:c r="K1724" s="31" t="n">
        <x:v>0</x:v>
      </x:c>
      <x:c r="L1724" s="35" t="n">
        <x:f>J1724*K1724</x:f>
        <x:v>0</x:v>
      </x:c>
      <x:c r="M1724" s="36" t="n">
        <x:v>0.08</x:v>
      </x:c>
      <x:c r="N1724" s="35" t="n">
        <x:f>L1724*M1724</x:f>
        <x:v>0</x:v>
      </x:c>
      <x:c r="O1724" s="37" t="n">
        <x:v>0.18</x:v>
      </x:c>
      <x:c r="P1724" s="35" t="n">
        <x:f>L1724*O1724</x:f>
        <x:v>0</x:v>
      </x:c>
      <x:c r="Q1724" s="35" t="n">
        <x:v>1.2</x:v>
      </x:c>
      <x:c r="R1724" s="35" t="n">
        <x:f>K1724*Q1724</x:f>
        <x:v>0</x:v>
      </x:c>
      <x:c r="S1724" s="35" t="n">
        <x:f>XLOOKUP(H1724,'菜品主数据'!$A$5:$A$24,'菜品主数据'!$G$5:$G$24,0)</x:f>
        <x:v>7.303999999999999</x:v>
      </x:c>
      <x:c r="T1724" s="35" t="n">
        <x:f>K1724*S1724</x:f>
        <x:v>0</x:v>
      </x:c>
      <x:c r="U1724" s="35" t="n">
        <x:f>L1724-N1724-P1724-R1724-T1724</x:f>
        <x:v>0</x:v>
      </x:c>
      <x:c r="V1724" s="21" t="n">
        <x:f>IFERROR(U1724/L1724,0)</x:f>
        <x:v>0</x:v>
      </x:c>
    </x:row>
    <x:row r="1725">
      <x:c r="A1725" s="19" t="str">
        <x:v>SALE-01721</x:v>
      </x:c>
      <x:c r="B1725" s="34" t="n">
        <x:v>46211.5</x:v>
      </x:c>
      <x:c r="C1725" s="19" t="str">
        <x:v>周三</x:v>
      </x:c>
      <x:c r="D1725" s="19" t="str">
        <x:v>S07</x:v>
      </x:c>
      <x:c r="E1725" s="19" t="str">
        <x:v>小和山店</x:v>
      </x:c>
      <x:c r="F1725" s="19" t="str">
        <x:v>堂食</x:v>
      </x:c>
      <x:c r="G1725" s="19" t="str">
        <x:v>全日</x:v>
      </x:c>
      <x:c r="H1725" s="19" t="str">
        <x:v>D01</x:v>
      </x:c>
      <x:c r="I1725" s="19" t="str">
        <x:v>辣椒炒肉</x:v>
      </x:c>
      <x:c r="J1725" s="22" t="n">
        <x:f>XLOOKUP(H1725,'菜品主数据'!$A$5:$A$24,'菜品主数据'!$D$5:$D$24,0)</x:f>
        <x:v>29</x:v>
      </x:c>
      <x:c r="K1725" s="31" t="n">
        <x:v>39</x:v>
      </x:c>
      <x:c r="L1725" s="35" t="n">
        <x:f>J1725*K1725</x:f>
        <x:v>1131</x:v>
      </x:c>
      <x:c r="M1725" s="36" t="n">
        <x:v>0</x:v>
      </x:c>
      <x:c r="N1725" s="35" t="n">
        <x:f>L1725*M1725</x:f>
        <x:v>0</x:v>
      </x:c>
      <x:c r="O1725" s="37" t="n">
        <x:v>0</x:v>
      </x:c>
      <x:c r="P1725" s="35" t="n">
        <x:f>L1725*O1725</x:f>
        <x:v>0</x:v>
      </x:c>
      <x:c r="Q1725" s="35" t="n">
        <x:v>0</x:v>
      </x:c>
      <x:c r="R1725" s="35" t="n">
        <x:f>K1725*Q1725</x:f>
        <x:v>0</x:v>
      </x:c>
      <x:c r="S1725" s="35" t="n">
        <x:f>XLOOKUP(H1725,'菜品主数据'!$A$5:$A$24,'菜品主数据'!$G$5:$G$24,0)</x:f>
        <x:v>8.634400000000001</x:v>
      </x:c>
      <x:c r="T1725" s="35" t="n">
        <x:f>K1725*S1725</x:f>
        <x:v>336.74160000000006</x:v>
      </x:c>
      <x:c r="U1725" s="35" t="n">
        <x:f>L1725-N1725-P1725-R1725-T1725</x:f>
        <x:v>794.2583999999999</x:v>
      </x:c>
      <x:c r="V1725" s="21" t="n">
        <x:f>IFERROR(U1725/L1725,0)</x:f>
        <x:v>0.7022620689655172</x:v>
      </x:c>
    </x:row>
    <x:row r="1726">
      <x:c r="A1726" s="19" t="str">
        <x:v>SALE-01722</x:v>
      </x:c>
      <x:c r="B1726" s="34" t="n">
        <x:v>46211.5</x:v>
      </x:c>
      <x:c r="C1726" s="19" t="str">
        <x:v>周三</x:v>
      </x:c>
      <x:c r="D1726" s="19" t="str">
        <x:v>S07</x:v>
      </x:c>
      <x:c r="E1726" s="19" t="str">
        <x:v>小和山店</x:v>
      </x:c>
      <x:c r="F1726" s="19" t="str">
        <x:v>堂食</x:v>
      </x:c>
      <x:c r="G1726" s="19" t="str">
        <x:v>全日</x:v>
      </x:c>
      <x:c r="H1726" s="19" t="str">
        <x:v>D02</x:v>
      </x:c>
      <x:c r="I1726" s="19" t="str">
        <x:v>小炒黄牛肉</x:v>
      </x:c>
      <x:c r="J1726" s="22" t="n">
        <x:f>XLOOKUP(H1726,'菜品主数据'!$A$5:$A$24,'菜品主数据'!$D$5:$D$24,0)</x:f>
        <x:v>49</x:v>
      </x:c>
      <x:c r="K1726" s="31" t="n">
        <x:v>23</x:v>
      </x:c>
      <x:c r="L1726" s="35" t="n">
        <x:f>J1726*K1726</x:f>
        <x:v>1127</x:v>
      </x:c>
      <x:c r="M1726" s="36" t="n">
        <x:v>0</x:v>
      </x:c>
      <x:c r="N1726" s="35" t="n">
        <x:f>L1726*M1726</x:f>
        <x:v>0</x:v>
      </x:c>
      <x:c r="O1726" s="37" t="n">
        <x:v>0</x:v>
      </x:c>
      <x:c r="P1726" s="35" t="n">
        <x:f>L1726*O1726</x:f>
        <x:v>0</x:v>
      </x:c>
      <x:c r="Q1726" s="35" t="n">
        <x:v>0</x:v>
      </x:c>
      <x:c r="R1726" s="35" t="n">
        <x:f>K1726*Q1726</x:f>
        <x:v>0</x:v>
      </x:c>
      <x:c r="S1726" s="35" t="n">
        <x:f>XLOOKUP(H1726,'菜品主数据'!$A$5:$A$24,'菜品主数据'!$G$5:$G$24,0)</x:f>
        <x:v>17.577</x:v>
      </x:c>
      <x:c r="T1726" s="35" t="n">
        <x:f>K1726*S1726</x:f>
        <x:v>404.271</x:v>
      </x:c>
      <x:c r="U1726" s="35" t="n">
        <x:f>L1726-N1726-P1726-R1726-T1726</x:f>
        <x:v>722.729</x:v>
      </x:c>
      <x:c r="V1726" s="21" t="n">
        <x:f>IFERROR(U1726/L1726,0)</x:f>
        <x:v>0.6412857142857143</x:v>
      </x:c>
    </x:row>
    <x:row r="1727">
      <x:c r="A1727" s="19" t="str">
        <x:v>SALE-01723</x:v>
      </x:c>
      <x:c r="B1727" s="34" t="n">
        <x:v>46211.5</x:v>
      </x:c>
      <x:c r="C1727" s="19" t="str">
        <x:v>周三</x:v>
      </x:c>
      <x:c r="D1727" s="19" t="str">
        <x:v>S07</x:v>
      </x:c>
      <x:c r="E1727" s="19" t="str">
        <x:v>小和山店</x:v>
      </x:c>
      <x:c r="F1727" s="19" t="str">
        <x:v>堂食</x:v>
      </x:c>
      <x:c r="G1727" s="19" t="str">
        <x:v>全日</x:v>
      </x:c>
      <x:c r="H1727" s="19" t="str">
        <x:v>D03</x:v>
      </x:c>
      <x:c r="I1727" s="19" t="str">
        <x:v>香醋炒蛋</x:v>
      </x:c>
      <x:c r="J1727" s="22" t="n">
        <x:f>XLOOKUP(H1727,'菜品主数据'!$A$5:$A$24,'菜品主数据'!$D$5:$D$24,0)</x:f>
        <x:v>14.9</x:v>
      </x:c>
      <x:c r="K1727" s="31" t="n">
        <x:v>33</x:v>
      </x:c>
      <x:c r="L1727" s="35" t="n">
        <x:f>J1727*K1727</x:f>
        <x:v>491.7</x:v>
      </x:c>
      <x:c r="M1727" s="36" t="n">
        <x:v>0</x:v>
      </x:c>
      <x:c r="N1727" s="35" t="n">
        <x:f>L1727*M1727</x:f>
        <x:v>0</x:v>
      </x:c>
      <x:c r="O1727" s="37" t="n">
        <x:v>0</x:v>
      </x:c>
      <x:c r="P1727" s="35" t="n">
        <x:f>L1727*O1727</x:f>
        <x:v>0</x:v>
      </x:c>
      <x:c r="Q1727" s="35" t="n">
        <x:v>0</x:v>
      </x:c>
      <x:c r="R1727" s="35" t="n">
        <x:f>K1727*Q1727</x:f>
        <x:v>0</x:v>
      </x:c>
      <x:c r="S1727" s="35" t="n">
        <x:f>XLOOKUP(H1727,'菜品主数据'!$A$5:$A$24,'菜品主数据'!$G$5:$G$24,0)</x:f>
        <x:v>3.7459999999999996</x:v>
      </x:c>
      <x:c r="T1727" s="35" t="n">
        <x:f>K1727*S1727</x:f>
        <x:v>123.61799999999998</x:v>
      </x:c>
      <x:c r="U1727" s="35" t="n">
        <x:f>L1727-N1727-P1727-R1727-T1727</x:f>
        <x:v>368.082</x:v>
      </x:c>
      <x:c r="V1727" s="21" t="n">
        <x:f>IFERROR(U1727/L1727,0)</x:f>
        <x:v>0.7485906040268456</x:v>
      </x:c>
    </x:row>
    <x:row r="1728">
      <x:c r="A1728" s="19" t="str">
        <x:v>SALE-01724</x:v>
      </x:c>
      <x:c r="B1728" s="34" t="n">
        <x:v>46211.5</x:v>
      </x:c>
      <x:c r="C1728" s="19" t="str">
        <x:v>周三</x:v>
      </x:c>
      <x:c r="D1728" s="19" t="str">
        <x:v>S07</x:v>
      </x:c>
      <x:c r="E1728" s="19" t="str">
        <x:v>小和山店</x:v>
      </x:c>
      <x:c r="F1728" s="19" t="str">
        <x:v>堂食</x:v>
      </x:c>
      <x:c r="G1728" s="19" t="str">
        <x:v>全日</x:v>
      </x:c>
      <x:c r="H1728" s="19" t="str">
        <x:v>D04</x:v>
      </x:c>
      <x:c r="I1728" s="19" t="str">
        <x:v>酸包菜炒粉皮</x:v>
      </x:c>
      <x:c r="J1728" s="22" t="n">
        <x:f>XLOOKUP(H1728,'菜品主数据'!$A$5:$A$24,'菜品主数据'!$D$5:$D$24,0)</x:f>
        <x:v>16</x:v>
      </x:c>
      <x:c r="K1728" s="31" t="n">
        <x:v>32</x:v>
      </x:c>
      <x:c r="L1728" s="35" t="n">
        <x:f>J1728*K1728</x:f>
        <x:v>512</x:v>
      </x:c>
      <x:c r="M1728" s="36" t="n">
        <x:v>0</x:v>
      </x:c>
      <x:c r="N1728" s="35" t="n">
        <x:f>L1728*M1728</x:f>
        <x:v>0</x:v>
      </x:c>
      <x:c r="O1728" s="37" t="n">
        <x:v>0</x:v>
      </x:c>
      <x:c r="P1728" s="35" t="n">
        <x:f>L1728*O1728</x:f>
        <x:v>0</x:v>
      </x:c>
      <x:c r="Q1728" s="35" t="n">
        <x:v>0</x:v>
      </x:c>
      <x:c r="R1728" s="35" t="n">
        <x:f>K1728*Q1728</x:f>
        <x:v>0</x:v>
      </x:c>
      <x:c r="S1728" s="35" t="n">
        <x:f>XLOOKUP(H1728,'菜品主数据'!$A$5:$A$24,'菜品主数据'!$G$5:$G$24,0)</x:f>
        <x:v>3.978</x:v>
      </x:c>
      <x:c r="T1728" s="35" t="n">
        <x:f>K1728*S1728</x:f>
        <x:v>127.296</x:v>
      </x:c>
      <x:c r="U1728" s="35" t="n">
        <x:f>L1728-N1728-P1728-R1728-T1728</x:f>
        <x:v>384.704</x:v>
      </x:c>
      <x:c r="V1728" s="21" t="n">
        <x:f>IFERROR(U1728/L1728,0)</x:f>
        <x:v>0.751375</x:v>
      </x:c>
    </x:row>
    <x:row r="1729">
      <x:c r="A1729" s="19" t="str">
        <x:v>SALE-01725</x:v>
      </x:c>
      <x:c r="B1729" s="34" t="n">
        <x:v>46211.5</x:v>
      </x:c>
      <x:c r="C1729" s="19" t="str">
        <x:v>周三</x:v>
      </x:c>
      <x:c r="D1729" s="19" t="str">
        <x:v>S07</x:v>
      </x:c>
      <x:c r="E1729" s="19" t="str">
        <x:v>小和山店</x:v>
      </x:c>
      <x:c r="F1729" s="19" t="str">
        <x:v>堂食</x:v>
      </x:c>
      <x:c r="G1729" s="19" t="str">
        <x:v>全日</x:v>
      </x:c>
      <x:c r="H1729" s="19" t="str">
        <x:v>D05</x:v>
      </x:c>
      <x:c r="I1729" s="19" t="str">
        <x:v>麻婆豆腐</x:v>
      </x:c>
      <x:c r="J1729" s="22" t="n">
        <x:f>XLOOKUP(H1729,'菜品主数据'!$A$5:$A$24,'菜品主数据'!$D$5:$D$24,0)</x:f>
        <x:v>9.9</x:v>
      </x:c>
      <x:c r="K1729" s="31" t="n">
        <x:v>44</x:v>
      </x:c>
      <x:c r="L1729" s="35" t="n">
        <x:f>J1729*K1729</x:f>
        <x:v>435.6</x:v>
      </x:c>
      <x:c r="M1729" s="36" t="n">
        <x:v>0</x:v>
      </x:c>
      <x:c r="N1729" s="35" t="n">
        <x:f>L1729*M1729</x:f>
        <x:v>0</x:v>
      </x:c>
      <x:c r="O1729" s="37" t="n">
        <x:v>0</x:v>
      </x:c>
      <x:c r="P1729" s="35" t="n">
        <x:f>L1729*O1729</x:f>
        <x:v>0</x:v>
      </x:c>
      <x:c r="Q1729" s="35" t="n">
        <x:v>0</x:v>
      </x:c>
      <x:c r="R1729" s="35" t="n">
        <x:f>K1729*Q1729</x:f>
        <x:v>0</x:v>
      </x:c>
      <x:c r="S1729" s="35" t="n">
        <x:f>XLOOKUP(H1729,'菜品主数据'!$A$5:$A$24,'菜品主数据'!$G$5:$G$24,0)</x:f>
        <x:v>5.367000000000001</x:v>
      </x:c>
      <x:c r="T1729" s="35" t="n">
        <x:f>K1729*S1729</x:f>
        <x:v>236.14800000000002</x:v>
      </x:c>
      <x:c r="U1729" s="35" t="n">
        <x:f>L1729-N1729-P1729-R1729-T1729</x:f>
        <x:v>199.452</x:v>
      </x:c>
      <x:c r="V1729" s="21" t="n">
        <x:f>IFERROR(U1729/L1729,0)</x:f>
        <x:v>0.45787878787878783</x:v>
      </x:c>
    </x:row>
    <x:row r="1730">
      <x:c r="A1730" s="19" t="str">
        <x:v>SALE-01726</x:v>
      </x:c>
      <x:c r="B1730" s="34" t="n">
        <x:v>46211.5</x:v>
      </x:c>
      <x:c r="C1730" s="19" t="str">
        <x:v>周三</x:v>
      </x:c>
      <x:c r="D1730" s="19" t="str">
        <x:v>S07</x:v>
      </x:c>
      <x:c r="E1730" s="19" t="str">
        <x:v>小和山店</x:v>
      </x:c>
      <x:c r="F1730" s="19" t="str">
        <x:v>堂食</x:v>
      </x:c>
      <x:c r="G1730" s="19" t="str">
        <x:v>全日</x:v>
      </x:c>
      <x:c r="H1730" s="19" t="str">
        <x:v>D06</x:v>
      </x:c>
      <x:c r="I1730" s="19" t="str">
        <x:v>剁椒鱼头</x:v>
      </x:c>
      <x:c r="J1730" s="22" t="n">
        <x:f>XLOOKUP(H1730,'菜品主数据'!$A$5:$A$24,'菜品主数据'!$D$5:$D$24,0)</x:f>
        <x:v>39</x:v>
      </x:c>
      <x:c r="K1730" s="31" t="n">
        <x:v>11</x:v>
      </x:c>
      <x:c r="L1730" s="35" t="n">
        <x:f>J1730*K1730</x:f>
        <x:v>429</x:v>
      </x:c>
      <x:c r="M1730" s="36" t="n">
        <x:v>0</x:v>
      </x:c>
      <x:c r="N1730" s="35" t="n">
        <x:f>L1730*M1730</x:f>
        <x:v>0</x:v>
      </x:c>
      <x:c r="O1730" s="37" t="n">
        <x:v>0</x:v>
      </x:c>
      <x:c r="P1730" s="35" t="n">
        <x:f>L1730*O1730</x:f>
        <x:v>0</x:v>
      </x:c>
      <x:c r="Q1730" s="35" t="n">
        <x:v>0</x:v>
      </x:c>
      <x:c r="R1730" s="35" t="n">
        <x:f>K1730*Q1730</x:f>
        <x:v>0</x:v>
      </x:c>
      <x:c r="S1730" s="35" t="n">
        <x:f>XLOOKUP(H1730,'菜品主数据'!$A$5:$A$24,'菜品主数据'!$G$5:$G$24,0)</x:f>
        <x:v>17.446</x:v>
      </x:c>
      <x:c r="T1730" s="35" t="n">
        <x:f>K1730*S1730</x:f>
        <x:v>191.906</x:v>
      </x:c>
      <x:c r="U1730" s="35" t="n">
        <x:f>L1730-N1730-P1730-R1730-T1730</x:f>
        <x:v>237.094</x:v>
      </x:c>
      <x:c r="V1730" s="21" t="n">
        <x:f>IFERROR(U1730/L1730,0)</x:f>
        <x:v>0.5526666666666666</x:v>
      </x:c>
    </x:row>
    <x:row r="1731">
      <x:c r="A1731" s="19" t="str">
        <x:v>SALE-01727</x:v>
      </x:c>
      <x:c r="B1731" s="34" t="n">
        <x:v>46211.5</x:v>
      </x:c>
      <x:c r="C1731" s="19" t="str">
        <x:v>周三</x:v>
      </x:c>
      <x:c r="D1731" s="19" t="str">
        <x:v>S07</x:v>
      </x:c>
      <x:c r="E1731" s="19" t="str">
        <x:v>小和山店</x:v>
      </x:c>
      <x:c r="F1731" s="19" t="str">
        <x:v>堂食</x:v>
      </x:c>
      <x:c r="G1731" s="19" t="str">
        <x:v>全日</x:v>
      </x:c>
      <x:c r="H1731" s="19" t="str">
        <x:v>D07</x:v>
      </x:c>
      <x:c r="I1731" s="19" t="str">
        <x:v>川味回锅肉</x:v>
      </x:c>
      <x:c r="J1731" s="22" t="n">
        <x:f>XLOOKUP(H1731,'菜品主数据'!$A$5:$A$24,'菜品主数据'!$D$5:$D$24,0)</x:f>
        <x:v>29</x:v>
      </x:c>
      <x:c r="K1731" s="31" t="n">
        <x:v>13</x:v>
      </x:c>
      <x:c r="L1731" s="35" t="n">
        <x:f>J1731*K1731</x:f>
        <x:v>377</x:v>
      </x:c>
      <x:c r="M1731" s="36" t="n">
        <x:v>0</x:v>
      </x:c>
      <x:c r="N1731" s="35" t="n">
        <x:f>L1731*M1731</x:f>
        <x:v>0</x:v>
      </x:c>
      <x:c r="O1731" s="37" t="n">
        <x:v>0</x:v>
      </x:c>
      <x:c r="P1731" s="35" t="n">
        <x:f>L1731*O1731</x:f>
        <x:v>0</x:v>
      </x:c>
      <x:c r="Q1731" s="35" t="n">
        <x:v>0</x:v>
      </x:c>
      <x:c r="R1731" s="35" t="n">
        <x:f>K1731*Q1731</x:f>
        <x:v>0</x:v>
      </x:c>
      <x:c r="S1731" s="35" t="n">
        <x:f>XLOOKUP(H1731,'菜品主数据'!$A$5:$A$24,'菜品主数据'!$G$5:$G$24,0)</x:f>
        <x:v>10.231000000000002</x:v>
      </x:c>
      <x:c r="T1731" s="35" t="n">
        <x:f>K1731*S1731</x:f>
        <x:v>133.00300000000001</x:v>
      </x:c>
      <x:c r="U1731" s="35" t="n">
        <x:f>L1731-N1731-P1731-R1731-T1731</x:f>
        <x:v>243.99699999999999</x:v>
      </x:c>
      <x:c r="V1731" s="21" t="n">
        <x:f>IFERROR(U1731/L1731,0)</x:f>
        <x:v>0.6472068965517241</x:v>
      </x:c>
    </x:row>
    <x:row r="1732">
      <x:c r="A1732" s="19" t="str">
        <x:v>SALE-01728</x:v>
      </x:c>
      <x:c r="B1732" s="34" t="n">
        <x:v>46211.5</x:v>
      </x:c>
      <x:c r="C1732" s="19" t="str">
        <x:v>周三</x:v>
      </x:c>
      <x:c r="D1732" s="19" t="str">
        <x:v>S07</x:v>
      </x:c>
      <x:c r="E1732" s="19" t="str">
        <x:v>小和山店</x:v>
      </x:c>
      <x:c r="F1732" s="19" t="str">
        <x:v>堂食</x:v>
      </x:c>
      <x:c r="G1732" s="19" t="str">
        <x:v>全日</x:v>
      </x:c>
      <x:c r="H1732" s="19" t="str">
        <x:v>D08</x:v>
      </x:c>
      <x:c r="I1732" s="19" t="str">
        <x:v>生炒清远鸡</x:v>
      </x:c>
      <x:c r="J1732" s="22" t="n">
        <x:f>XLOOKUP(H1732,'菜品主数据'!$A$5:$A$24,'菜品主数据'!$D$5:$D$24,0)</x:f>
        <x:v>36</x:v>
      </x:c>
      <x:c r="K1732" s="31" t="n">
        <x:v>10</x:v>
      </x:c>
      <x:c r="L1732" s="35" t="n">
        <x:f>J1732*K1732</x:f>
        <x:v>360</x:v>
      </x:c>
      <x:c r="M1732" s="36" t="n">
        <x:v>0</x:v>
      </x:c>
      <x:c r="N1732" s="35" t="n">
        <x:f>L1732*M1732</x:f>
        <x:v>0</x:v>
      </x:c>
      <x:c r="O1732" s="37" t="n">
        <x:v>0</x:v>
      </x:c>
      <x:c r="P1732" s="35" t="n">
        <x:f>L1732*O1732</x:f>
        <x:v>0</x:v>
      </x:c>
      <x:c r="Q1732" s="35" t="n">
        <x:v>0</x:v>
      </x:c>
      <x:c r="R1732" s="35" t="n">
        <x:f>K1732*Q1732</x:f>
        <x:v>0</x:v>
      </x:c>
      <x:c r="S1732" s="35" t="n">
        <x:f>XLOOKUP(H1732,'菜品主数据'!$A$5:$A$24,'菜品主数据'!$G$5:$G$24,0)</x:f>
        <x:v>13.48</x:v>
      </x:c>
      <x:c r="T1732" s="35" t="n">
        <x:f>K1732*S1732</x:f>
        <x:v>134.8</x:v>
      </x:c>
      <x:c r="U1732" s="35" t="n">
        <x:f>L1732-N1732-P1732-R1732-T1732</x:f>
        <x:v>225.2</x:v>
      </x:c>
      <x:c r="V1732" s="21" t="n">
        <x:f>IFERROR(U1732/L1732,0)</x:f>
        <x:v>0.6255555555555555</x:v>
      </x:c>
    </x:row>
    <x:row r="1733">
      <x:c r="A1733" s="19" t="str">
        <x:v>SALE-01729</x:v>
      </x:c>
      <x:c r="B1733" s="34" t="n">
        <x:v>46211.5</x:v>
      </x:c>
      <x:c r="C1733" s="19" t="str">
        <x:v>周三</x:v>
      </x:c>
      <x:c r="D1733" s="19" t="str">
        <x:v>S07</x:v>
      </x:c>
      <x:c r="E1733" s="19" t="str">
        <x:v>小和山店</x:v>
      </x:c>
      <x:c r="F1733" s="19" t="str">
        <x:v>堂食</x:v>
      </x:c>
      <x:c r="G1733" s="19" t="str">
        <x:v>全日</x:v>
      </x:c>
      <x:c r="H1733" s="19" t="str">
        <x:v>D09</x:v>
      </x:c>
      <x:c r="I1733" s="19" t="str">
        <x:v>炒豆干</x:v>
      </x:c>
      <x:c r="J1733" s="22" t="n">
        <x:f>XLOOKUP(H1733,'菜品主数据'!$A$5:$A$24,'菜品主数据'!$D$5:$D$24,0)</x:f>
        <x:v>18</x:v>
      </x:c>
      <x:c r="K1733" s="31" t="n">
        <x:v>13</x:v>
      </x:c>
      <x:c r="L1733" s="35" t="n">
        <x:f>J1733*K1733</x:f>
        <x:v>234</x:v>
      </x:c>
      <x:c r="M1733" s="36" t="n">
        <x:v>0</x:v>
      </x:c>
      <x:c r="N1733" s="35" t="n">
        <x:f>L1733*M1733</x:f>
        <x:v>0</x:v>
      </x:c>
      <x:c r="O1733" s="37" t="n">
        <x:v>0</x:v>
      </x:c>
      <x:c r="P1733" s="35" t="n">
        <x:f>L1733*O1733</x:f>
        <x:v>0</x:v>
      </x:c>
      <x:c r="Q1733" s="35" t="n">
        <x:v>0</x:v>
      </x:c>
      <x:c r="R1733" s="35" t="n">
        <x:f>K1733*Q1733</x:f>
        <x:v>0</x:v>
      </x:c>
      <x:c r="S1733" s="35" t="n">
        <x:f>XLOOKUP(H1733,'菜品主数据'!$A$5:$A$24,'菜品主数据'!$G$5:$G$24,0)</x:f>
        <x:v>6.613999999999999</x:v>
      </x:c>
      <x:c r="T1733" s="35" t="n">
        <x:f>K1733*S1733</x:f>
        <x:v>85.98199999999999</x:v>
      </x:c>
      <x:c r="U1733" s="35" t="n">
        <x:f>L1733-N1733-P1733-R1733-T1733</x:f>
        <x:v>148.01800000000003</x:v>
      </x:c>
      <x:c r="V1733" s="21" t="n">
        <x:f>IFERROR(U1733/L1733,0)</x:f>
        <x:v>0.6325555555555556</x:v>
      </x:c>
    </x:row>
    <x:row r="1734">
      <x:c r="A1734" s="19" t="str">
        <x:v>SALE-01730</x:v>
      </x:c>
      <x:c r="B1734" s="34" t="n">
        <x:v>46211.5</x:v>
      </x:c>
      <x:c r="C1734" s="19" t="str">
        <x:v>周三</x:v>
      </x:c>
      <x:c r="D1734" s="19" t="str">
        <x:v>S07</x:v>
      </x:c>
      <x:c r="E1734" s="19" t="str">
        <x:v>小和山店</x:v>
      </x:c>
      <x:c r="F1734" s="19" t="str">
        <x:v>堂食</x:v>
      </x:c>
      <x:c r="G1734" s="19" t="str">
        <x:v>全日</x:v>
      </x:c>
      <x:c r="H1734" s="19" t="str">
        <x:v>D10</x:v>
      </x:c>
      <x:c r="I1734" s="19" t="str">
        <x:v>农家一碗香</x:v>
      </x:c>
      <x:c r="J1734" s="22" t="n">
        <x:f>XLOOKUP(H1734,'菜品主数据'!$A$5:$A$24,'菜品主数据'!$D$5:$D$24,0)</x:f>
        <x:v>22.9</x:v>
      </x:c>
      <x:c r="K1734" s="31" t="n">
        <x:v>15</x:v>
      </x:c>
      <x:c r="L1734" s="35" t="n">
        <x:f>J1734*K1734</x:f>
        <x:v>343.5</x:v>
      </x:c>
      <x:c r="M1734" s="36" t="n">
        <x:v>0</x:v>
      </x:c>
      <x:c r="N1734" s="35" t="n">
        <x:f>L1734*M1734</x:f>
        <x:v>0</x:v>
      </x:c>
      <x:c r="O1734" s="37" t="n">
        <x:v>0</x:v>
      </x:c>
      <x:c r="P1734" s="35" t="n">
        <x:f>L1734*O1734</x:f>
        <x:v>0</x:v>
      </x:c>
      <x:c r="Q1734" s="35" t="n">
        <x:v>0</x:v>
      </x:c>
      <x:c r="R1734" s="35" t="n">
        <x:f>K1734*Q1734</x:f>
        <x:v>0</x:v>
      </x:c>
      <x:c r="S1734" s="35" t="n">
        <x:f>XLOOKUP(H1734,'菜品主数据'!$A$5:$A$24,'菜品主数据'!$G$5:$G$24,0)</x:f>
        <x:v>9.770200000000003</x:v>
      </x:c>
      <x:c r="T1734" s="35" t="n">
        <x:f>K1734*S1734</x:f>
        <x:v>146.55300000000005</x:v>
      </x:c>
      <x:c r="U1734" s="35" t="n">
        <x:f>L1734-N1734-P1734-R1734-T1734</x:f>
        <x:v>196.94699999999995</x:v>
      </x:c>
      <x:c r="V1734" s="21" t="n">
        <x:f>IFERROR(U1734/L1734,0)</x:f>
        <x:v>0.5733537117903929</x:v>
      </x:c>
    </x:row>
    <x:row r="1735">
      <x:c r="A1735" s="19" t="str">
        <x:v>SALE-01731</x:v>
      </x:c>
      <x:c r="B1735" s="34" t="n">
        <x:v>46211.5</x:v>
      </x:c>
      <x:c r="C1735" s="19" t="str">
        <x:v>周三</x:v>
      </x:c>
      <x:c r="D1735" s="19" t="str">
        <x:v>S07</x:v>
      </x:c>
      <x:c r="E1735" s="19" t="str">
        <x:v>小和山店</x:v>
      </x:c>
      <x:c r="F1735" s="19" t="str">
        <x:v>堂食</x:v>
      </x:c>
      <x:c r="G1735" s="19" t="str">
        <x:v>全日</x:v>
      </x:c>
      <x:c r="H1735" s="19" t="str">
        <x:v>D11</x:v>
      </x:c>
      <x:c r="I1735" s="19" t="str">
        <x:v>香辣爆肥肠</x:v>
      </x:c>
      <x:c r="J1735" s="22" t="n">
        <x:f>XLOOKUP(H1735,'菜品主数据'!$A$5:$A$24,'菜品主数据'!$D$5:$D$24,0)</x:f>
        <x:v>39</x:v>
      </x:c>
      <x:c r="K1735" s="31" t="n">
        <x:v>6</x:v>
      </x:c>
      <x:c r="L1735" s="35" t="n">
        <x:f>J1735*K1735</x:f>
        <x:v>234</x:v>
      </x:c>
      <x:c r="M1735" s="36" t="n">
        <x:v>0</x:v>
      </x:c>
      <x:c r="N1735" s="35" t="n">
        <x:f>L1735*M1735</x:f>
        <x:v>0</x:v>
      </x:c>
      <x:c r="O1735" s="37" t="n">
        <x:v>0</x:v>
      </x:c>
      <x:c r="P1735" s="35" t="n">
        <x:f>L1735*O1735</x:f>
        <x:v>0</x:v>
      </x:c>
      <x:c r="Q1735" s="35" t="n">
        <x:v>0</x:v>
      </x:c>
      <x:c r="R1735" s="35" t="n">
        <x:f>K1735*Q1735</x:f>
        <x:v>0</x:v>
      </x:c>
      <x:c r="S1735" s="35" t="n">
        <x:f>XLOOKUP(H1735,'菜品主数据'!$A$5:$A$24,'菜品主数据'!$G$5:$G$24,0)</x:f>
        <x:v>10.397</x:v>
      </x:c>
      <x:c r="T1735" s="35" t="n">
        <x:f>K1735*S1735</x:f>
        <x:v>62.382000000000005</x:v>
      </x:c>
      <x:c r="U1735" s="35" t="n">
        <x:f>L1735-N1735-P1735-R1735-T1735</x:f>
        <x:v>171.618</x:v>
      </x:c>
      <x:c r="V1735" s="21" t="n">
        <x:f>IFERROR(U1735/L1735,0)</x:f>
        <x:v>0.7334102564102564</x:v>
      </x:c>
    </x:row>
    <x:row r="1736">
      <x:c r="A1736" s="19" t="str">
        <x:v>SALE-01732</x:v>
      </x:c>
      <x:c r="B1736" s="34" t="n">
        <x:v>46211.5</x:v>
      </x:c>
      <x:c r="C1736" s="19" t="str">
        <x:v>周三</x:v>
      </x:c>
      <x:c r="D1736" s="19" t="str">
        <x:v>S07</x:v>
      </x:c>
      <x:c r="E1736" s="19" t="str">
        <x:v>小和山店</x:v>
      </x:c>
      <x:c r="F1736" s="19" t="str">
        <x:v>堂食</x:v>
      </x:c>
      <x:c r="G1736" s="19" t="str">
        <x:v>全日</x:v>
      </x:c>
      <x:c r="H1736" s="19" t="str">
        <x:v>D12</x:v>
      </x:c>
      <x:c r="I1736" s="19" t="str">
        <x:v>清蒸鲈鱼</x:v>
      </x:c>
      <x:c r="J1736" s="22" t="n">
        <x:f>XLOOKUP(H1736,'菜品主数据'!$A$5:$A$24,'菜品主数据'!$D$5:$D$24,0)</x:f>
        <x:v>39</x:v>
      </x:c>
      <x:c r="K1736" s="31" t="n">
        <x:v>6</x:v>
      </x:c>
      <x:c r="L1736" s="35" t="n">
        <x:f>J1736*K1736</x:f>
        <x:v>234</x:v>
      </x:c>
      <x:c r="M1736" s="36" t="n">
        <x:v>0</x:v>
      </x:c>
      <x:c r="N1736" s="35" t="n">
        <x:f>L1736*M1736</x:f>
        <x:v>0</x:v>
      </x:c>
      <x:c r="O1736" s="37" t="n">
        <x:v>0</x:v>
      </x:c>
      <x:c r="P1736" s="35" t="n">
        <x:f>L1736*O1736</x:f>
        <x:v>0</x:v>
      </x:c>
      <x:c r="Q1736" s="35" t="n">
        <x:v>0</x:v>
      </x:c>
      <x:c r="R1736" s="35" t="n">
        <x:f>K1736*Q1736</x:f>
        <x:v>0</x:v>
      </x:c>
      <x:c r="S1736" s="35" t="n">
        <x:f>XLOOKUP(H1736,'菜品主数据'!$A$5:$A$24,'菜品主数据'!$G$5:$G$24,0)</x:f>
        <x:v>18.874</x:v>
      </x:c>
      <x:c r="T1736" s="35" t="n">
        <x:f>K1736*S1736</x:f>
        <x:v>113.244</x:v>
      </x:c>
      <x:c r="U1736" s="35" t="n">
        <x:f>L1736-N1736-P1736-R1736-T1736</x:f>
        <x:v>120.756</x:v>
      </x:c>
      <x:c r="V1736" s="21" t="n">
        <x:f>IFERROR(U1736/L1736,0)</x:f>
        <x:v>0.516051282051282</x:v>
      </x:c>
    </x:row>
    <x:row r="1737">
      <x:c r="A1737" s="19" t="str">
        <x:v>SALE-01733</x:v>
      </x:c>
      <x:c r="B1737" s="34" t="n">
        <x:v>46211.5</x:v>
      </x:c>
      <x:c r="C1737" s="19" t="str">
        <x:v>周三</x:v>
      </x:c>
      <x:c r="D1737" s="19" t="str">
        <x:v>S07</x:v>
      </x:c>
      <x:c r="E1737" s="19" t="str">
        <x:v>小和山店</x:v>
      </x:c>
      <x:c r="F1737" s="19" t="str">
        <x:v>堂食</x:v>
      </x:c>
      <x:c r="G1737" s="19" t="str">
        <x:v>全日</x:v>
      </x:c>
      <x:c r="H1737" s="19" t="str">
        <x:v>D13</x:v>
      </x:c>
      <x:c r="I1737" s="19" t="str">
        <x:v>外婆菜炒蛋</x:v>
      </x:c>
      <x:c r="J1737" s="22" t="n">
        <x:f>XLOOKUP(H1737,'菜品主数据'!$A$5:$A$24,'菜品主数据'!$D$5:$D$24,0)</x:f>
        <x:v>18</x:v>
      </x:c>
      <x:c r="K1737" s="31" t="n">
        <x:v>13</x:v>
      </x:c>
      <x:c r="L1737" s="35" t="n">
        <x:f>J1737*K1737</x:f>
        <x:v>234</x:v>
      </x:c>
      <x:c r="M1737" s="36" t="n">
        <x:v>0</x:v>
      </x:c>
      <x:c r="N1737" s="35" t="n">
        <x:f>L1737*M1737</x:f>
        <x:v>0</x:v>
      </x:c>
      <x:c r="O1737" s="37" t="n">
        <x:v>0</x:v>
      </x:c>
      <x:c r="P1737" s="35" t="n">
        <x:f>L1737*O1737</x:f>
        <x:v>0</x:v>
      </x:c>
      <x:c r="Q1737" s="35" t="n">
        <x:v>0</x:v>
      </x:c>
      <x:c r="R1737" s="35" t="n">
        <x:f>K1737*Q1737</x:f>
        <x:v>0</x:v>
      </x:c>
      <x:c r="S1737" s="35" t="n">
        <x:f>XLOOKUP(H1737,'菜品主数据'!$A$5:$A$24,'菜品主数据'!$G$5:$G$24,0)</x:f>
        <x:v>5.403999999999999</x:v>
      </x:c>
      <x:c r="T1737" s="35" t="n">
        <x:f>K1737*S1737</x:f>
        <x:v>70.25199999999998</x:v>
      </x:c>
      <x:c r="U1737" s="35" t="n">
        <x:f>L1737-N1737-P1737-R1737-T1737</x:f>
        <x:v>163.74800000000002</x:v>
      </x:c>
      <x:c r="V1737" s="21" t="n">
        <x:f>IFERROR(U1737/L1737,0)</x:f>
        <x:v>0.6997777777777778</x:v>
      </x:c>
    </x:row>
    <x:row r="1738">
      <x:c r="A1738" s="19" t="str">
        <x:v>SALE-01734</x:v>
      </x:c>
      <x:c r="B1738" s="34" t="n">
        <x:v>46211.5</x:v>
      </x:c>
      <x:c r="C1738" s="19" t="str">
        <x:v>周三</x:v>
      </x:c>
      <x:c r="D1738" s="19" t="str">
        <x:v>S07</x:v>
      </x:c>
      <x:c r="E1738" s="19" t="str">
        <x:v>小和山店</x:v>
      </x:c>
      <x:c r="F1738" s="19" t="str">
        <x:v>堂食</x:v>
      </x:c>
      <x:c r="G1738" s="19" t="str">
        <x:v>全日</x:v>
      </x:c>
      <x:c r="H1738" s="19" t="str">
        <x:v>D14</x:v>
      </x:c>
      <x:c r="I1738" s="19" t="str">
        <x:v>酸辣鸡杂</x:v>
      </x:c>
      <x:c r="J1738" s="22" t="n">
        <x:f>XLOOKUP(H1738,'菜品主数据'!$A$5:$A$24,'菜品主数据'!$D$5:$D$24,0)</x:f>
        <x:v>28</x:v>
      </x:c>
      <x:c r="K1738" s="31" t="n">
        <x:v>7</x:v>
      </x:c>
      <x:c r="L1738" s="35" t="n">
        <x:f>J1738*K1738</x:f>
        <x:v>196</x:v>
      </x:c>
      <x:c r="M1738" s="36" t="n">
        <x:v>0</x:v>
      </x:c>
      <x:c r="N1738" s="35" t="n">
        <x:f>L1738*M1738</x:f>
        <x:v>0</x:v>
      </x:c>
      <x:c r="O1738" s="37" t="n">
        <x:v>0</x:v>
      </x:c>
      <x:c r="P1738" s="35" t="n">
        <x:f>L1738*O1738</x:f>
        <x:v>0</x:v>
      </x:c>
      <x:c r="Q1738" s="35" t="n">
        <x:v>0</x:v>
      </x:c>
      <x:c r="R1738" s="35" t="n">
        <x:f>K1738*Q1738</x:f>
        <x:v>0</x:v>
      </x:c>
      <x:c r="S1738" s="35" t="n">
        <x:f>XLOOKUP(H1738,'菜品主数据'!$A$5:$A$24,'菜品主数据'!$G$5:$G$24,0)</x:f>
        <x:v>8.315000000000001</x:v>
      </x:c>
      <x:c r="T1738" s="35" t="n">
        <x:f>K1738*S1738</x:f>
        <x:v>58.20500000000001</x:v>
      </x:c>
      <x:c r="U1738" s="35" t="n">
        <x:f>L1738-N1738-P1738-R1738-T1738</x:f>
        <x:v>137.795</x:v>
      </x:c>
      <x:c r="V1738" s="21" t="n">
        <x:f>IFERROR(U1738/L1738,0)</x:f>
        <x:v>0.7030357142857142</x:v>
      </x:c>
    </x:row>
    <x:row r="1739">
      <x:c r="A1739" s="19" t="str">
        <x:v>SALE-01735</x:v>
      </x:c>
      <x:c r="B1739" s="34" t="n">
        <x:v>46211.5</x:v>
      </x:c>
      <x:c r="C1739" s="19" t="str">
        <x:v>周三</x:v>
      </x:c>
      <x:c r="D1739" s="19" t="str">
        <x:v>S07</x:v>
      </x:c>
      <x:c r="E1739" s="19" t="str">
        <x:v>小和山店</x:v>
      </x:c>
      <x:c r="F1739" s="19" t="str">
        <x:v>堂食</x:v>
      </x:c>
      <x:c r="G1739" s="19" t="str">
        <x:v>全日</x:v>
      </x:c>
      <x:c r="H1739" s="19" t="str">
        <x:v>D15</x:v>
      </x:c>
      <x:c r="I1739" s="19" t="str">
        <x:v>湘西土匪猪肝</x:v>
      </x:c>
      <x:c r="J1739" s="22" t="n">
        <x:f>XLOOKUP(H1739,'菜品主数据'!$A$5:$A$24,'菜品主数据'!$D$5:$D$24,0)</x:f>
        <x:v>26</x:v>
      </x:c>
      <x:c r="K1739" s="31" t="n">
        <x:v>7</x:v>
      </x:c>
      <x:c r="L1739" s="35" t="n">
        <x:f>J1739*K1739</x:f>
        <x:v>182</x:v>
      </x:c>
      <x:c r="M1739" s="36" t="n">
        <x:v>0</x:v>
      </x:c>
      <x:c r="N1739" s="35" t="n">
        <x:f>L1739*M1739</x:f>
        <x:v>0</x:v>
      </x:c>
      <x:c r="O1739" s="37" t="n">
        <x:v>0</x:v>
      </x:c>
      <x:c r="P1739" s="35" t="n">
        <x:f>L1739*O1739</x:f>
        <x:v>0</x:v>
      </x:c>
      <x:c r="Q1739" s="35" t="n">
        <x:v>0</x:v>
      </x:c>
      <x:c r="R1739" s="35" t="n">
        <x:f>K1739*Q1739</x:f>
        <x:v>0</x:v>
      </x:c>
      <x:c r="S1739" s="35" t="n">
        <x:f>XLOOKUP(H1739,'菜品主数据'!$A$5:$A$24,'菜品主数据'!$G$5:$G$24,0)</x:f>
        <x:v>6.3759999999999994</x:v>
      </x:c>
      <x:c r="T1739" s="35" t="n">
        <x:f>K1739*S1739</x:f>
        <x:v>44.632</x:v>
      </x:c>
      <x:c r="U1739" s="35" t="n">
        <x:f>L1739-N1739-P1739-R1739-T1739</x:f>
        <x:v>137.368</x:v>
      </x:c>
      <x:c r="V1739" s="21" t="n">
        <x:f>IFERROR(U1739/L1739,0)</x:f>
        <x:v>0.7547692307692307</x:v>
      </x:c>
    </x:row>
    <x:row r="1740">
      <x:c r="A1740" s="19" t="str">
        <x:v>SALE-01736</x:v>
      </x:c>
      <x:c r="B1740" s="34" t="n">
        <x:v>46211.5</x:v>
      </x:c>
      <x:c r="C1740" s="19" t="str">
        <x:v>周三</x:v>
      </x:c>
      <x:c r="D1740" s="19" t="str">
        <x:v>S07</x:v>
      </x:c>
      <x:c r="E1740" s="19" t="str">
        <x:v>小和山店</x:v>
      </x:c>
      <x:c r="F1740" s="19" t="str">
        <x:v>堂食</x:v>
      </x:c>
      <x:c r="G1740" s="19" t="str">
        <x:v>全日</x:v>
      </x:c>
      <x:c r="H1740" s="19" t="str">
        <x:v>D16</x:v>
      </x:c>
      <x:c r="I1740" s="19" t="str">
        <x:v>小豆角炒五花</x:v>
      </x:c>
      <x:c r="J1740" s="22" t="n">
        <x:f>XLOOKUP(H1740,'菜品主数据'!$A$5:$A$24,'菜品主数据'!$D$5:$D$24,0)</x:f>
        <x:v>25</x:v>
      </x:c>
      <x:c r="K1740" s="31" t="n">
        <x:v>7</x:v>
      </x:c>
      <x:c r="L1740" s="35" t="n">
        <x:f>J1740*K1740</x:f>
        <x:v>175</x:v>
      </x:c>
      <x:c r="M1740" s="36" t="n">
        <x:v>0</x:v>
      </x:c>
      <x:c r="N1740" s="35" t="n">
        <x:f>L1740*M1740</x:f>
        <x:v>0</x:v>
      </x:c>
      <x:c r="O1740" s="37" t="n">
        <x:v>0</x:v>
      </x:c>
      <x:c r="P1740" s="35" t="n">
        <x:f>L1740*O1740</x:f>
        <x:v>0</x:v>
      </x:c>
      <x:c r="Q1740" s="35" t="n">
        <x:v>0</x:v>
      </x:c>
      <x:c r="R1740" s="35" t="n">
        <x:f>K1740*Q1740</x:f>
        <x:v>0</x:v>
      </x:c>
      <x:c r="S1740" s="35" t="n">
        <x:f>XLOOKUP(H1740,'菜品主数据'!$A$5:$A$24,'菜品主数据'!$G$5:$G$24,0)</x:f>
        <x:v>8.184</x:v>
      </x:c>
      <x:c r="T1740" s="35" t="n">
        <x:f>K1740*S1740</x:f>
        <x:v>57.288</x:v>
      </x:c>
      <x:c r="U1740" s="35" t="n">
        <x:f>L1740-N1740-P1740-R1740-T1740</x:f>
        <x:v>117.712</x:v>
      </x:c>
      <x:c r="V1740" s="21" t="n">
        <x:f>IFERROR(U1740/L1740,0)</x:f>
        <x:v>0.67264</x:v>
      </x:c>
    </x:row>
    <x:row r="1741">
      <x:c r="A1741" s="19" t="str">
        <x:v>SALE-01737</x:v>
      </x:c>
      <x:c r="B1741" s="34" t="n">
        <x:v>46211.5</x:v>
      </x:c>
      <x:c r="C1741" s="19" t="str">
        <x:v>周三</x:v>
      </x:c>
      <x:c r="D1741" s="19" t="str">
        <x:v>S07</x:v>
      </x:c>
      <x:c r="E1741" s="19" t="str">
        <x:v>小和山店</x:v>
      </x:c>
      <x:c r="F1741" s="19" t="str">
        <x:v>堂食</x:v>
      </x:c>
      <x:c r="G1741" s="19" t="str">
        <x:v>全日</x:v>
      </x:c>
      <x:c r="H1741" s="19" t="str">
        <x:v>D17</x:v>
      </x:c>
      <x:c r="I1741" s="19" t="str">
        <x:v>蒜蓉粉丝虾</x:v>
      </x:c>
      <x:c r="J1741" s="22" t="n">
        <x:f>XLOOKUP(H1741,'菜品主数据'!$A$5:$A$24,'菜品主数据'!$D$5:$D$24,0)</x:f>
        <x:v>36</x:v>
      </x:c>
      <x:c r="K1741" s="31" t="n">
        <x:v>4</x:v>
      </x:c>
      <x:c r="L1741" s="35" t="n">
        <x:f>J1741*K1741</x:f>
        <x:v>144</x:v>
      </x:c>
      <x:c r="M1741" s="36" t="n">
        <x:v>0</x:v>
      </x:c>
      <x:c r="N1741" s="35" t="n">
        <x:f>L1741*M1741</x:f>
        <x:v>0</x:v>
      </x:c>
      <x:c r="O1741" s="37" t="n">
        <x:v>0</x:v>
      </x:c>
      <x:c r="P1741" s="35" t="n">
        <x:f>L1741*O1741</x:f>
        <x:v>0</x:v>
      </x:c>
      <x:c r="Q1741" s="35" t="n">
        <x:v>0</x:v>
      </x:c>
      <x:c r="R1741" s="35" t="n">
        <x:f>K1741*Q1741</x:f>
        <x:v>0</x:v>
      </x:c>
      <x:c r="S1741" s="35" t="n">
        <x:f>XLOOKUP(H1741,'菜品主数据'!$A$5:$A$24,'菜品主数据'!$G$5:$G$24,0)</x:f>
        <x:v>13.594</x:v>
      </x:c>
      <x:c r="T1741" s="35" t="n">
        <x:f>K1741*S1741</x:f>
        <x:v>54.376</x:v>
      </x:c>
      <x:c r="U1741" s="35" t="n">
        <x:f>L1741-N1741-P1741-R1741-T1741</x:f>
        <x:v>89.624</x:v>
      </x:c>
      <x:c r="V1741" s="21" t="n">
        <x:f>IFERROR(U1741/L1741,0)</x:f>
        <x:v>0.6223888888888889</x:v>
      </x:c>
    </x:row>
    <x:row r="1742">
      <x:c r="A1742" s="19" t="str">
        <x:v>SALE-01738</x:v>
      </x:c>
      <x:c r="B1742" s="34" t="n">
        <x:v>46211.5</x:v>
      </x:c>
      <x:c r="C1742" s="19" t="str">
        <x:v>周三</x:v>
      </x:c>
      <x:c r="D1742" s="19" t="str">
        <x:v>S07</x:v>
      </x:c>
      <x:c r="E1742" s="19" t="str">
        <x:v>小和山店</x:v>
      </x:c>
      <x:c r="F1742" s="19" t="str">
        <x:v>堂食</x:v>
      </x:c>
      <x:c r="G1742" s="19" t="str">
        <x:v>全日</x:v>
      </x:c>
      <x:c r="H1742" s="19" t="str">
        <x:v>D18</x:v>
      </x:c>
      <x:c r="I1742" s="19" t="str">
        <x:v>青椒炒油麦菜</x:v>
      </x:c>
      <x:c r="J1742" s="22" t="n">
        <x:f>XLOOKUP(H1742,'菜品主数据'!$A$5:$A$24,'菜品主数据'!$D$5:$D$24,0)</x:f>
        <x:v>18</x:v>
      </x:c>
      <x:c r="K1742" s="31" t="n">
        <x:v>7</x:v>
      </x:c>
      <x:c r="L1742" s="35" t="n">
        <x:f>J1742*K1742</x:f>
        <x:v>126</x:v>
      </x:c>
      <x:c r="M1742" s="36" t="n">
        <x:v>0</x:v>
      </x:c>
      <x:c r="N1742" s="35" t="n">
        <x:f>L1742*M1742</x:f>
        <x:v>0</x:v>
      </x:c>
      <x:c r="O1742" s="37" t="n">
        <x:v>0</x:v>
      </x:c>
      <x:c r="P1742" s="35" t="n">
        <x:f>L1742*O1742</x:f>
        <x:v>0</x:v>
      </x:c>
      <x:c r="Q1742" s="35" t="n">
        <x:v>0</x:v>
      </x:c>
      <x:c r="R1742" s="35" t="n">
        <x:f>K1742*Q1742</x:f>
        <x:v>0</x:v>
      </x:c>
      <x:c r="S1742" s="35" t="n">
        <x:f>XLOOKUP(H1742,'菜品主数据'!$A$5:$A$24,'菜品主数据'!$G$5:$G$24,0)</x:f>
        <x:v>3.1759999999999993</x:v>
      </x:c>
      <x:c r="T1742" s="35" t="n">
        <x:f>K1742*S1742</x:f>
        <x:v>22.231999999999996</x:v>
      </x:c>
      <x:c r="U1742" s="35" t="n">
        <x:f>L1742-N1742-P1742-R1742-T1742</x:f>
        <x:v>103.768</x:v>
      </x:c>
      <x:c r="V1742" s="21" t="n">
        <x:f>IFERROR(U1742/L1742,0)</x:f>
        <x:v>0.8235555555555556</x:v>
      </x:c>
    </x:row>
    <x:row r="1743">
      <x:c r="A1743" s="19" t="str">
        <x:v>SALE-01739</x:v>
      </x:c>
      <x:c r="B1743" s="34" t="n">
        <x:v>46211.5</x:v>
      </x:c>
      <x:c r="C1743" s="19" t="str">
        <x:v>周三</x:v>
      </x:c>
      <x:c r="D1743" s="19" t="str">
        <x:v>S07</x:v>
      </x:c>
      <x:c r="E1743" s="19" t="str">
        <x:v>小和山店</x:v>
      </x:c>
      <x:c r="F1743" s="19" t="str">
        <x:v>堂食</x:v>
      </x:c>
      <x:c r="G1743" s="19" t="str">
        <x:v>全日</x:v>
      </x:c>
      <x:c r="H1743" s="19" t="str">
        <x:v>D19</x:v>
      </x:c>
      <x:c r="I1743" s="19" t="str">
        <x:v>酸萝卜炒鸡杂</x:v>
      </x:c>
      <x:c r="J1743" s="22" t="n">
        <x:f>XLOOKUP(H1743,'菜品主数据'!$A$5:$A$24,'菜品主数据'!$D$5:$D$24,0)</x:f>
        <x:v>25</x:v>
      </x:c>
      <x:c r="K1743" s="31" t="n">
        <x:v>6</x:v>
      </x:c>
      <x:c r="L1743" s="35" t="n">
        <x:f>J1743*K1743</x:f>
        <x:v>150</x:v>
      </x:c>
      <x:c r="M1743" s="36" t="n">
        <x:v>0</x:v>
      </x:c>
      <x:c r="N1743" s="35" t="n">
        <x:f>L1743*M1743</x:f>
        <x:v>0</x:v>
      </x:c>
      <x:c r="O1743" s="37" t="n">
        <x:v>0</x:v>
      </x:c>
      <x:c r="P1743" s="35" t="n">
        <x:f>L1743*O1743</x:f>
        <x:v>0</x:v>
      </x:c>
      <x:c r="Q1743" s="35" t="n">
        <x:v>0</x:v>
      </x:c>
      <x:c r="R1743" s="35" t="n">
        <x:f>K1743*Q1743</x:f>
        <x:v>0</x:v>
      </x:c>
      <x:c r="S1743" s="35" t="n">
        <x:f>XLOOKUP(H1743,'菜品主数据'!$A$5:$A$24,'菜品主数据'!$G$5:$G$24,0)</x:f>
        <x:v>7.9399999999999995</x:v>
      </x:c>
      <x:c r="T1743" s="35" t="n">
        <x:f>K1743*S1743</x:f>
        <x:v>47.64</x:v>
      </x:c>
      <x:c r="U1743" s="35" t="n">
        <x:f>L1743-N1743-P1743-R1743-T1743</x:f>
        <x:v>102.36</x:v>
      </x:c>
      <x:c r="V1743" s="21" t="n">
        <x:f>IFERROR(U1743/L1743,0)</x:f>
        <x:v>0.6824</x:v>
      </x:c>
    </x:row>
    <x:row r="1744">
      <x:c r="A1744" s="19" t="str">
        <x:v>SALE-01740</x:v>
      </x:c>
      <x:c r="B1744" s="34" t="n">
        <x:v>46211.5</x:v>
      </x:c>
      <x:c r="C1744" s="19" t="str">
        <x:v>周三</x:v>
      </x:c>
      <x:c r="D1744" s="19" t="str">
        <x:v>S07</x:v>
      </x:c>
      <x:c r="E1744" s="19" t="str">
        <x:v>小和山店</x:v>
      </x:c>
      <x:c r="F1744" s="19" t="str">
        <x:v>堂食</x:v>
      </x:c>
      <x:c r="G1744" s="19" t="str">
        <x:v>全日</x:v>
      </x:c>
      <x:c r="H1744" s="19" t="str">
        <x:v>D20</x:v>
      </x:c>
      <x:c r="I1744" s="19" t="str">
        <x:v>雪菜肉末青豆</x:v>
      </x:c>
      <x:c r="J1744" s="22" t="n">
        <x:f>XLOOKUP(H1744,'菜品主数据'!$A$5:$A$24,'菜品主数据'!$D$5:$D$24,0)</x:f>
        <x:v>18</x:v>
      </x:c>
      <x:c r="K1744" s="31" t="n">
        <x:v>7</x:v>
      </x:c>
      <x:c r="L1744" s="35" t="n">
        <x:f>J1744*K1744</x:f>
        <x:v>126</x:v>
      </x:c>
      <x:c r="M1744" s="36" t="n">
        <x:v>0</x:v>
      </x:c>
      <x:c r="N1744" s="35" t="n">
        <x:f>L1744*M1744</x:f>
        <x:v>0</x:v>
      </x:c>
      <x:c r="O1744" s="37" t="n">
        <x:v>0</x:v>
      </x:c>
      <x:c r="P1744" s="35" t="n">
        <x:f>L1744*O1744</x:f>
        <x:v>0</x:v>
      </x:c>
      <x:c r="Q1744" s="35" t="n">
        <x:v>0</x:v>
      </x:c>
      <x:c r="R1744" s="35" t="n">
        <x:f>K1744*Q1744</x:f>
        <x:v>0</x:v>
      </x:c>
      <x:c r="S1744" s="35" t="n">
        <x:f>XLOOKUP(H1744,'菜品主数据'!$A$5:$A$24,'菜品主数据'!$G$5:$G$24,0)</x:f>
        <x:v>7.303999999999999</x:v>
      </x:c>
      <x:c r="T1744" s="35" t="n">
        <x:f>K1744*S1744</x:f>
        <x:v>51.12799999999999</x:v>
      </x:c>
      <x:c r="U1744" s="35" t="n">
        <x:f>L1744-N1744-P1744-R1744-T1744</x:f>
        <x:v>74.87200000000001</x:v>
      </x:c>
      <x:c r="V1744" s="21" t="n">
        <x:f>IFERROR(U1744/L1744,0)</x:f>
        <x:v>0.5942222222222223</x:v>
      </x:c>
    </x:row>
    <x:row r="1745">
      <x:c r="A1745" s="19" t="str">
        <x:v>SALE-01741</x:v>
      </x:c>
      <x:c r="B1745" s="34" t="n">
        <x:v>46211.5</x:v>
      </x:c>
      <x:c r="C1745" s="19" t="str">
        <x:v>周三</x:v>
      </x:c>
      <x:c r="D1745" s="19" t="str">
        <x:v>S07</x:v>
      </x:c>
      <x:c r="E1745" s="19" t="str">
        <x:v>小和山店</x:v>
      </x:c>
      <x:c r="F1745" s="19" t="str">
        <x:v>外卖</x:v>
      </x:c>
      <x:c r="G1745" s="19" t="str">
        <x:v>全日</x:v>
      </x:c>
      <x:c r="H1745" s="19" t="str">
        <x:v>D01</x:v>
      </x:c>
      <x:c r="I1745" s="19" t="str">
        <x:v>辣椒炒肉</x:v>
      </x:c>
      <x:c r="J1745" s="22" t="n">
        <x:f>XLOOKUP(H1745,'菜品主数据'!$A$5:$A$24,'菜品主数据'!$D$5:$D$24,0)</x:f>
        <x:v>29</x:v>
      </x:c>
      <x:c r="K1745" s="31" t="n">
        <x:v>4</x:v>
      </x:c>
      <x:c r="L1745" s="35" t="n">
        <x:f>J1745*K1745</x:f>
        <x:v>116</x:v>
      </x:c>
      <x:c r="M1745" s="36" t="n">
        <x:v>0.08</x:v>
      </x:c>
      <x:c r="N1745" s="35" t="n">
        <x:f>L1745*M1745</x:f>
        <x:v>9.28</x:v>
      </x:c>
      <x:c r="O1745" s="37" t="n">
        <x:v>0.18</x:v>
      </x:c>
      <x:c r="P1745" s="35" t="n">
        <x:f>L1745*O1745</x:f>
        <x:v>20.88</x:v>
      </x:c>
      <x:c r="Q1745" s="35" t="n">
        <x:v>1.2</x:v>
      </x:c>
      <x:c r="R1745" s="35" t="n">
        <x:f>K1745*Q1745</x:f>
        <x:v>4.8</x:v>
      </x:c>
      <x:c r="S1745" s="35" t="n">
        <x:f>XLOOKUP(H1745,'菜品主数据'!$A$5:$A$24,'菜品主数据'!$G$5:$G$24,0)</x:f>
        <x:v>8.634400000000001</x:v>
      </x:c>
      <x:c r="T1745" s="35" t="n">
        <x:f>K1745*S1745</x:f>
        <x:v>34.537600000000005</x:v>
      </x:c>
      <x:c r="U1745" s="35" t="n">
        <x:f>L1745-N1745-P1745-R1745-T1745</x:f>
        <x:v>46.5024</x:v>
      </x:c>
      <x:c r="V1745" s="21" t="n">
        <x:f>IFERROR(U1745/L1745,0)</x:f>
        <x:v>0.40088275862068967</x:v>
      </x:c>
    </x:row>
    <x:row r="1746">
      <x:c r="A1746" s="19" t="str">
        <x:v>SALE-01742</x:v>
      </x:c>
      <x:c r="B1746" s="34" t="n">
        <x:v>46211.5</x:v>
      </x:c>
      <x:c r="C1746" s="19" t="str">
        <x:v>周三</x:v>
      </x:c>
      <x:c r="D1746" s="19" t="str">
        <x:v>S07</x:v>
      </x:c>
      <x:c r="E1746" s="19" t="str">
        <x:v>小和山店</x:v>
      </x:c>
      <x:c r="F1746" s="19" t="str">
        <x:v>外卖</x:v>
      </x:c>
      <x:c r="G1746" s="19" t="str">
        <x:v>全日</x:v>
      </x:c>
      <x:c r="H1746" s="19" t="str">
        <x:v>D02</x:v>
      </x:c>
      <x:c r="I1746" s="19" t="str">
        <x:v>小炒黄牛肉</x:v>
      </x:c>
      <x:c r="J1746" s="22" t="n">
        <x:f>XLOOKUP(H1746,'菜品主数据'!$A$5:$A$24,'菜品主数据'!$D$5:$D$24,0)</x:f>
        <x:v>49</x:v>
      </x:c>
      <x:c r="K1746" s="31" t="n">
        <x:v>8</x:v>
      </x:c>
      <x:c r="L1746" s="35" t="n">
        <x:f>J1746*K1746</x:f>
        <x:v>392</x:v>
      </x:c>
      <x:c r="M1746" s="36" t="n">
        <x:v>0.08</x:v>
      </x:c>
      <x:c r="N1746" s="35" t="n">
        <x:f>L1746*M1746</x:f>
        <x:v>31.36</x:v>
      </x:c>
      <x:c r="O1746" s="37" t="n">
        <x:v>0.18</x:v>
      </x:c>
      <x:c r="P1746" s="35" t="n">
        <x:f>L1746*O1746</x:f>
        <x:v>70.56</x:v>
      </x:c>
      <x:c r="Q1746" s="35" t="n">
        <x:v>1.2</x:v>
      </x:c>
      <x:c r="R1746" s="35" t="n">
        <x:f>K1746*Q1746</x:f>
        <x:v>9.6</x:v>
      </x:c>
      <x:c r="S1746" s="35" t="n">
        <x:f>XLOOKUP(H1746,'菜品主数据'!$A$5:$A$24,'菜品主数据'!$G$5:$G$24,0)</x:f>
        <x:v>17.577</x:v>
      </x:c>
      <x:c r="T1746" s="35" t="n">
        <x:f>K1746*S1746</x:f>
        <x:v>140.616</x:v>
      </x:c>
      <x:c r="U1746" s="35" t="n">
        <x:f>L1746-N1746-P1746-R1746-T1746</x:f>
        <x:v>139.86399999999995</x:v>
      </x:c>
      <x:c r="V1746" s="21" t="n">
        <x:f>IFERROR(U1746/L1746,0)</x:f>
        <x:v>0.3567959183673468</x:v>
      </x:c>
    </x:row>
    <x:row r="1747">
      <x:c r="A1747" s="19" t="str">
        <x:v>SALE-01743</x:v>
      </x:c>
      <x:c r="B1747" s="34" t="n">
        <x:v>46211.5</x:v>
      </x:c>
      <x:c r="C1747" s="19" t="str">
        <x:v>周三</x:v>
      </x:c>
      <x:c r="D1747" s="19" t="str">
        <x:v>S07</x:v>
      </x:c>
      <x:c r="E1747" s="19" t="str">
        <x:v>小和山店</x:v>
      </x:c>
      <x:c r="F1747" s="19" t="str">
        <x:v>外卖</x:v>
      </x:c>
      <x:c r="G1747" s="19" t="str">
        <x:v>全日</x:v>
      </x:c>
      <x:c r="H1747" s="19" t="str">
        <x:v>D03</x:v>
      </x:c>
      <x:c r="I1747" s="19" t="str">
        <x:v>香醋炒蛋</x:v>
      </x:c>
      <x:c r="J1747" s="22" t="n">
        <x:f>XLOOKUP(H1747,'菜品主数据'!$A$5:$A$24,'菜品主数据'!$D$5:$D$24,0)</x:f>
        <x:v>14.9</x:v>
      </x:c>
      <x:c r="K1747" s="31" t="n">
        <x:v>3</x:v>
      </x:c>
      <x:c r="L1747" s="35" t="n">
        <x:f>J1747*K1747</x:f>
        <x:v>44.7</x:v>
      </x:c>
      <x:c r="M1747" s="36" t="n">
        <x:v>0.08</x:v>
      </x:c>
      <x:c r="N1747" s="35" t="n">
        <x:f>L1747*M1747</x:f>
        <x:v>3.5760000000000005</x:v>
      </x:c>
      <x:c r="O1747" s="37" t="n">
        <x:v>0.18</x:v>
      </x:c>
      <x:c r="P1747" s="35" t="n">
        <x:f>L1747*O1747</x:f>
        <x:v>8.046</x:v>
      </x:c>
      <x:c r="Q1747" s="35" t="n">
        <x:v>1.2</x:v>
      </x:c>
      <x:c r="R1747" s="35" t="n">
        <x:f>K1747*Q1747</x:f>
        <x:v>3.5999999999999996</x:v>
      </x:c>
      <x:c r="S1747" s="35" t="n">
        <x:f>XLOOKUP(H1747,'菜品主数据'!$A$5:$A$24,'菜品主数据'!$G$5:$G$24,0)</x:f>
        <x:v>3.7459999999999996</x:v>
      </x:c>
      <x:c r="T1747" s="35" t="n">
        <x:f>K1747*S1747</x:f>
        <x:v>11.238</x:v>
      </x:c>
      <x:c r="U1747" s="35" t="n">
        <x:f>L1747-N1747-P1747-R1747-T1747</x:f>
        <x:v>18.240000000000002</x:v>
      </x:c>
      <x:c r="V1747" s="21" t="n">
        <x:f>IFERROR(U1747/L1747,0)</x:f>
        <x:v>0.40805369127516783</x:v>
      </x:c>
    </x:row>
    <x:row r="1748">
      <x:c r="A1748" s="19" t="str">
        <x:v>SALE-01744</x:v>
      </x:c>
      <x:c r="B1748" s="34" t="n">
        <x:v>46211.5</x:v>
      </x:c>
      <x:c r="C1748" s="19" t="str">
        <x:v>周三</x:v>
      </x:c>
      <x:c r="D1748" s="19" t="str">
        <x:v>S07</x:v>
      </x:c>
      <x:c r="E1748" s="19" t="str">
        <x:v>小和山店</x:v>
      </x:c>
      <x:c r="F1748" s="19" t="str">
        <x:v>外卖</x:v>
      </x:c>
      <x:c r="G1748" s="19" t="str">
        <x:v>全日</x:v>
      </x:c>
      <x:c r="H1748" s="19" t="str">
        <x:v>D04</x:v>
      </x:c>
      <x:c r="I1748" s="19" t="str">
        <x:v>酸包菜炒粉皮</x:v>
      </x:c>
      <x:c r="J1748" s="22" t="n">
        <x:f>XLOOKUP(H1748,'菜品主数据'!$A$5:$A$24,'菜品主数据'!$D$5:$D$24,0)</x:f>
        <x:v>16</x:v>
      </x:c>
      <x:c r="K1748" s="31" t="n">
        <x:v>3</x:v>
      </x:c>
      <x:c r="L1748" s="35" t="n">
        <x:f>J1748*K1748</x:f>
        <x:v>48</x:v>
      </x:c>
      <x:c r="M1748" s="36" t="n">
        <x:v>0.08</x:v>
      </x:c>
      <x:c r="N1748" s="35" t="n">
        <x:f>L1748*M1748</x:f>
        <x:v>3.84</x:v>
      </x:c>
      <x:c r="O1748" s="37" t="n">
        <x:v>0.18</x:v>
      </x:c>
      <x:c r="P1748" s="35" t="n">
        <x:f>L1748*O1748</x:f>
        <x:v>8.64</x:v>
      </x:c>
      <x:c r="Q1748" s="35" t="n">
        <x:v>1.2</x:v>
      </x:c>
      <x:c r="R1748" s="35" t="n">
        <x:f>K1748*Q1748</x:f>
        <x:v>3.5999999999999996</x:v>
      </x:c>
      <x:c r="S1748" s="35" t="n">
        <x:f>XLOOKUP(H1748,'菜品主数据'!$A$5:$A$24,'菜品主数据'!$G$5:$G$24,0)</x:f>
        <x:v>3.978</x:v>
      </x:c>
      <x:c r="T1748" s="35" t="n">
        <x:f>K1748*S1748</x:f>
        <x:v>11.934000000000001</x:v>
      </x:c>
      <x:c r="U1748" s="35" t="n">
        <x:f>L1748-N1748-P1748-R1748-T1748</x:f>
        <x:v>19.985999999999994</x:v>
      </x:c>
      <x:c r="V1748" s="21" t="n">
        <x:f>IFERROR(U1748/L1748,0)</x:f>
        <x:v>0.4163749999999999</x:v>
      </x:c>
    </x:row>
    <x:row r="1749">
      <x:c r="A1749" s="19" t="str">
        <x:v>SALE-01745</x:v>
      </x:c>
      <x:c r="B1749" s="34" t="n">
        <x:v>46211.5</x:v>
      </x:c>
      <x:c r="C1749" s="19" t="str">
        <x:v>周三</x:v>
      </x:c>
      <x:c r="D1749" s="19" t="str">
        <x:v>S07</x:v>
      </x:c>
      <x:c r="E1749" s="19" t="str">
        <x:v>小和山店</x:v>
      </x:c>
      <x:c r="F1749" s="19" t="str">
        <x:v>外卖</x:v>
      </x:c>
      <x:c r="G1749" s="19" t="str">
        <x:v>全日</x:v>
      </x:c>
      <x:c r="H1749" s="19" t="str">
        <x:v>D05</x:v>
      </x:c>
      <x:c r="I1749" s="19" t="str">
        <x:v>麻婆豆腐</x:v>
      </x:c>
      <x:c r="J1749" s="22" t="n">
        <x:f>XLOOKUP(H1749,'菜品主数据'!$A$5:$A$24,'菜品主数据'!$D$5:$D$24,0)</x:f>
        <x:v>9.9</x:v>
      </x:c>
      <x:c r="K1749" s="31" t="n">
        <x:v>4</x:v>
      </x:c>
      <x:c r="L1749" s="35" t="n">
        <x:f>J1749*K1749</x:f>
        <x:v>39.6</x:v>
      </x:c>
      <x:c r="M1749" s="36" t="n">
        <x:v>0.08</x:v>
      </x:c>
      <x:c r="N1749" s="35" t="n">
        <x:f>L1749*M1749</x:f>
        <x:v>3.168</x:v>
      </x:c>
      <x:c r="O1749" s="37" t="n">
        <x:v>0.18</x:v>
      </x:c>
      <x:c r="P1749" s="35" t="n">
        <x:f>L1749*O1749</x:f>
        <x:v>7.128</x:v>
      </x:c>
      <x:c r="Q1749" s="35" t="n">
        <x:v>1.2</x:v>
      </x:c>
      <x:c r="R1749" s="35" t="n">
        <x:f>K1749*Q1749</x:f>
        <x:v>4.8</x:v>
      </x:c>
      <x:c r="S1749" s="35" t="n">
        <x:f>XLOOKUP(H1749,'菜品主数据'!$A$5:$A$24,'菜品主数据'!$G$5:$G$24,0)</x:f>
        <x:v>5.367000000000001</x:v>
      </x:c>
      <x:c r="T1749" s="35" t="n">
        <x:f>K1749*S1749</x:f>
        <x:v>21.468000000000004</x:v>
      </x:c>
      <x:c r="U1749" s="35" t="n">
        <x:f>L1749-N1749-P1749-R1749-T1749</x:f>
        <x:v>3.035999999999998</x:v>
      </x:c>
      <x:c r="V1749" s="21" t="n">
        <x:f>IFERROR(U1749/L1749,0)</x:f>
        <x:v>0.0766666666666666</x:v>
      </x:c>
    </x:row>
    <x:row r="1750">
      <x:c r="A1750" s="19" t="str">
        <x:v>SALE-01746</x:v>
      </x:c>
      <x:c r="B1750" s="34" t="n">
        <x:v>46211.5</x:v>
      </x:c>
      <x:c r="C1750" s="19" t="str">
        <x:v>周三</x:v>
      </x:c>
      <x:c r="D1750" s="19" t="str">
        <x:v>S07</x:v>
      </x:c>
      <x:c r="E1750" s="19" t="str">
        <x:v>小和山店</x:v>
      </x:c>
      <x:c r="F1750" s="19" t="str">
        <x:v>外卖</x:v>
      </x:c>
      <x:c r="G1750" s="19" t="str">
        <x:v>全日</x:v>
      </x:c>
      <x:c r="H1750" s="19" t="str">
        <x:v>D06</x:v>
      </x:c>
      <x:c r="I1750" s="19" t="str">
        <x:v>剁椒鱼头</x:v>
      </x:c>
      <x:c r="J1750" s="22" t="n">
        <x:f>XLOOKUP(H1750,'菜品主数据'!$A$5:$A$24,'菜品主数据'!$D$5:$D$24,0)</x:f>
        <x:v>39</x:v>
      </x:c>
      <x:c r="K1750" s="31" t="n">
        <x:v>1</x:v>
      </x:c>
      <x:c r="L1750" s="35" t="n">
        <x:f>J1750*K1750</x:f>
        <x:v>39</x:v>
      </x:c>
      <x:c r="M1750" s="36" t="n">
        <x:v>0.08</x:v>
      </x:c>
      <x:c r="N1750" s="35" t="n">
        <x:f>L1750*M1750</x:f>
        <x:v>3.12</x:v>
      </x:c>
      <x:c r="O1750" s="37" t="n">
        <x:v>0.18</x:v>
      </x:c>
      <x:c r="P1750" s="35" t="n">
        <x:f>L1750*O1750</x:f>
        <x:v>7.02</x:v>
      </x:c>
      <x:c r="Q1750" s="35" t="n">
        <x:v>1.2</x:v>
      </x:c>
      <x:c r="R1750" s="35" t="n">
        <x:f>K1750*Q1750</x:f>
        <x:v>1.2</x:v>
      </x:c>
      <x:c r="S1750" s="35" t="n">
        <x:f>XLOOKUP(H1750,'菜品主数据'!$A$5:$A$24,'菜品主数据'!$G$5:$G$24,0)</x:f>
        <x:v>17.446</x:v>
      </x:c>
      <x:c r="T1750" s="35" t="n">
        <x:f>K1750*S1750</x:f>
        <x:v>17.446</x:v>
      </x:c>
      <x:c r="U1750" s="35" t="n">
        <x:f>L1750-N1750-P1750-R1750-T1750</x:f>
        <x:v>10.214000000000002</x:v>
      </x:c>
      <x:c r="V1750" s="21" t="n">
        <x:f>IFERROR(U1750/L1750,0)</x:f>
        <x:v>0.26189743589743597</x:v>
      </x:c>
    </x:row>
    <x:row r="1751">
      <x:c r="A1751" s="19" t="str">
        <x:v>SALE-01747</x:v>
      </x:c>
      <x:c r="B1751" s="34" t="n">
        <x:v>46211.5</x:v>
      </x:c>
      <x:c r="C1751" s="19" t="str">
        <x:v>周三</x:v>
      </x:c>
      <x:c r="D1751" s="19" t="str">
        <x:v>S07</x:v>
      </x:c>
      <x:c r="E1751" s="19" t="str">
        <x:v>小和山店</x:v>
      </x:c>
      <x:c r="F1751" s="19" t="str">
        <x:v>外卖</x:v>
      </x:c>
      <x:c r="G1751" s="19" t="str">
        <x:v>全日</x:v>
      </x:c>
      <x:c r="H1751" s="19" t="str">
        <x:v>D07</x:v>
      </x:c>
      <x:c r="I1751" s="19" t="str">
        <x:v>川味回锅肉</x:v>
      </x:c>
      <x:c r="J1751" s="22" t="n">
        <x:f>XLOOKUP(H1751,'菜品主数据'!$A$5:$A$24,'菜品主数据'!$D$5:$D$24,0)</x:f>
        <x:v>29</x:v>
      </x:c>
      <x:c r="K1751" s="31" t="n">
        <x:v>1</x:v>
      </x:c>
      <x:c r="L1751" s="35" t="n">
        <x:f>J1751*K1751</x:f>
        <x:v>29</x:v>
      </x:c>
      <x:c r="M1751" s="36" t="n">
        <x:v>0.08</x:v>
      </x:c>
      <x:c r="N1751" s="35" t="n">
        <x:f>L1751*M1751</x:f>
        <x:v>2.32</x:v>
      </x:c>
      <x:c r="O1751" s="37" t="n">
        <x:v>0.18</x:v>
      </x:c>
      <x:c r="P1751" s="35" t="n">
        <x:f>L1751*O1751</x:f>
        <x:v>5.22</x:v>
      </x:c>
      <x:c r="Q1751" s="35" t="n">
        <x:v>1.2</x:v>
      </x:c>
      <x:c r="R1751" s="35" t="n">
        <x:f>K1751*Q1751</x:f>
        <x:v>1.2</x:v>
      </x:c>
      <x:c r="S1751" s="35" t="n">
        <x:f>XLOOKUP(H1751,'菜品主数据'!$A$5:$A$24,'菜品主数据'!$G$5:$G$24,0)</x:f>
        <x:v>10.231000000000002</x:v>
      </x:c>
      <x:c r="T1751" s="35" t="n">
        <x:f>K1751*S1751</x:f>
        <x:v>10.231000000000002</x:v>
      </x:c>
      <x:c r="U1751" s="35" t="n">
        <x:f>L1751-N1751-P1751-R1751-T1751</x:f>
        <x:v>10.029</x:v>
      </x:c>
      <x:c r="V1751" s="21" t="n">
        <x:f>IFERROR(U1751/L1751,0)</x:f>
        <x:v>0.3458275862068966</x:v>
      </x:c>
    </x:row>
    <x:row r="1752">
      <x:c r="A1752" s="19" t="str">
        <x:v>SALE-01748</x:v>
      </x:c>
      <x:c r="B1752" s="34" t="n">
        <x:v>46211.5</x:v>
      </x:c>
      <x:c r="C1752" s="19" t="str">
        <x:v>周三</x:v>
      </x:c>
      <x:c r="D1752" s="19" t="str">
        <x:v>S07</x:v>
      </x:c>
      <x:c r="E1752" s="19" t="str">
        <x:v>小和山店</x:v>
      </x:c>
      <x:c r="F1752" s="19" t="str">
        <x:v>外卖</x:v>
      </x:c>
      <x:c r="G1752" s="19" t="str">
        <x:v>全日</x:v>
      </x:c>
      <x:c r="H1752" s="19" t="str">
        <x:v>D08</x:v>
      </x:c>
      <x:c r="I1752" s="19" t="str">
        <x:v>生炒清远鸡</x:v>
      </x:c>
      <x:c r="J1752" s="22" t="n">
        <x:f>XLOOKUP(H1752,'菜品主数据'!$A$5:$A$24,'菜品主数据'!$D$5:$D$24,0)</x:f>
        <x:v>36</x:v>
      </x:c>
      <x:c r="K1752" s="31" t="n">
        <x:v>1</x:v>
      </x:c>
      <x:c r="L1752" s="35" t="n">
        <x:f>J1752*K1752</x:f>
        <x:v>36</x:v>
      </x:c>
      <x:c r="M1752" s="36" t="n">
        <x:v>0.08</x:v>
      </x:c>
      <x:c r="N1752" s="35" t="n">
        <x:f>L1752*M1752</x:f>
        <x:v>2.88</x:v>
      </x:c>
      <x:c r="O1752" s="37" t="n">
        <x:v>0.18</x:v>
      </x:c>
      <x:c r="P1752" s="35" t="n">
        <x:f>L1752*O1752</x:f>
        <x:v>6.4799999999999995</x:v>
      </x:c>
      <x:c r="Q1752" s="35" t="n">
        <x:v>1.2</x:v>
      </x:c>
      <x:c r="R1752" s="35" t="n">
        <x:f>K1752*Q1752</x:f>
        <x:v>1.2</x:v>
      </x:c>
      <x:c r="S1752" s="35" t="n">
        <x:f>XLOOKUP(H1752,'菜品主数据'!$A$5:$A$24,'菜品主数据'!$G$5:$G$24,0)</x:f>
        <x:v>13.48</x:v>
      </x:c>
      <x:c r="T1752" s="35" t="n">
        <x:f>K1752*S1752</x:f>
        <x:v>13.48</x:v>
      </x:c>
      <x:c r="U1752" s="35" t="n">
        <x:f>L1752-N1752-P1752-R1752-T1752</x:f>
        <x:v>11.959999999999997</x:v>
      </x:c>
      <x:c r="V1752" s="21" t="n">
        <x:f>IFERROR(U1752/L1752,0)</x:f>
        <x:v>0.33222222222222214</x:v>
      </x:c>
    </x:row>
    <x:row r="1753">
      <x:c r="A1753" s="19" t="str">
        <x:v>SALE-01749</x:v>
      </x:c>
      <x:c r="B1753" s="34" t="n">
        <x:v>46211.5</x:v>
      </x:c>
      <x:c r="C1753" s="19" t="str">
        <x:v>周三</x:v>
      </x:c>
      <x:c r="D1753" s="19" t="str">
        <x:v>S07</x:v>
      </x:c>
      <x:c r="E1753" s="19" t="str">
        <x:v>小和山店</x:v>
      </x:c>
      <x:c r="F1753" s="19" t="str">
        <x:v>外卖</x:v>
      </x:c>
      <x:c r="G1753" s="19" t="str">
        <x:v>全日</x:v>
      </x:c>
      <x:c r="H1753" s="19" t="str">
        <x:v>D09</x:v>
      </x:c>
      <x:c r="I1753" s="19" t="str">
        <x:v>炒豆干</x:v>
      </x:c>
      <x:c r="J1753" s="22" t="n">
        <x:f>XLOOKUP(H1753,'菜品主数据'!$A$5:$A$24,'菜品主数据'!$D$5:$D$24,0)</x:f>
        <x:v>18</x:v>
      </x:c>
      <x:c r="K1753" s="31" t="n">
        <x:v>1</x:v>
      </x:c>
      <x:c r="L1753" s="35" t="n">
        <x:f>J1753*K1753</x:f>
        <x:v>18</x:v>
      </x:c>
      <x:c r="M1753" s="36" t="n">
        <x:v>0.08</x:v>
      </x:c>
      <x:c r="N1753" s="35" t="n">
        <x:f>L1753*M1753</x:f>
        <x:v>1.44</x:v>
      </x:c>
      <x:c r="O1753" s="37" t="n">
        <x:v>0.18</x:v>
      </x:c>
      <x:c r="P1753" s="35" t="n">
        <x:f>L1753*O1753</x:f>
        <x:v>3.2399999999999998</x:v>
      </x:c>
      <x:c r="Q1753" s="35" t="n">
        <x:v>1.2</x:v>
      </x:c>
      <x:c r="R1753" s="35" t="n">
        <x:f>K1753*Q1753</x:f>
        <x:v>1.2</x:v>
      </x:c>
      <x:c r="S1753" s="35" t="n">
        <x:f>XLOOKUP(H1753,'菜品主数据'!$A$5:$A$24,'菜品主数据'!$G$5:$G$24,0)</x:f>
        <x:v>6.613999999999999</x:v>
      </x:c>
      <x:c r="T1753" s="35" t="n">
        <x:f>K1753*S1753</x:f>
        <x:v>6.613999999999999</x:v>
      </x:c>
      <x:c r="U1753" s="35" t="n">
        <x:f>L1753-N1753-P1753-R1753-T1753</x:f>
        <x:v>5.506</x:v>
      </x:c>
      <x:c r="V1753" s="21" t="n">
        <x:f>IFERROR(U1753/L1753,0)</x:f>
        <x:v>0.3058888888888889</x:v>
      </x:c>
    </x:row>
    <x:row r="1754">
      <x:c r="A1754" s="19" t="str">
        <x:v>SALE-01750</x:v>
      </x:c>
      <x:c r="B1754" s="34" t="n">
        <x:v>46211.5</x:v>
      </x:c>
      <x:c r="C1754" s="19" t="str">
        <x:v>周三</x:v>
      </x:c>
      <x:c r="D1754" s="19" t="str">
        <x:v>S07</x:v>
      </x:c>
      <x:c r="E1754" s="19" t="str">
        <x:v>小和山店</x:v>
      </x:c>
      <x:c r="F1754" s="19" t="str">
        <x:v>外卖</x:v>
      </x:c>
      <x:c r="G1754" s="19" t="str">
        <x:v>全日</x:v>
      </x:c>
      <x:c r="H1754" s="19" t="str">
        <x:v>D10</x:v>
      </x:c>
      <x:c r="I1754" s="19" t="str">
        <x:v>农家一碗香</x:v>
      </x:c>
      <x:c r="J1754" s="22" t="n">
        <x:f>XLOOKUP(H1754,'菜品主数据'!$A$5:$A$24,'菜品主数据'!$D$5:$D$24,0)</x:f>
        <x:v>22.9</x:v>
      </x:c>
      <x:c r="K1754" s="31" t="n">
        <x:v>1</x:v>
      </x:c>
      <x:c r="L1754" s="35" t="n">
        <x:f>J1754*K1754</x:f>
        <x:v>22.9</x:v>
      </x:c>
      <x:c r="M1754" s="36" t="n">
        <x:v>0.08</x:v>
      </x:c>
      <x:c r="N1754" s="35" t="n">
        <x:f>L1754*M1754</x:f>
        <x:v>1.8319999999999999</x:v>
      </x:c>
      <x:c r="O1754" s="37" t="n">
        <x:v>0.18</x:v>
      </x:c>
      <x:c r="P1754" s="35" t="n">
        <x:f>L1754*O1754</x:f>
        <x:v>4.122</x:v>
      </x:c>
      <x:c r="Q1754" s="35" t="n">
        <x:v>1.2</x:v>
      </x:c>
      <x:c r="R1754" s="35" t="n">
        <x:f>K1754*Q1754</x:f>
        <x:v>1.2</x:v>
      </x:c>
      <x:c r="S1754" s="35" t="n">
        <x:f>XLOOKUP(H1754,'菜品主数据'!$A$5:$A$24,'菜品主数据'!$G$5:$G$24,0)</x:f>
        <x:v>9.770200000000003</x:v>
      </x:c>
      <x:c r="T1754" s="35" t="n">
        <x:f>K1754*S1754</x:f>
        <x:v>9.770200000000003</x:v>
      </x:c>
      <x:c r="U1754" s="35" t="n">
        <x:f>L1754-N1754-P1754-R1754-T1754</x:f>
        <x:v>5.975799999999996</x:v>
      </x:c>
      <x:c r="V1754" s="21" t="n">
        <x:f>IFERROR(U1754/L1754,0)</x:f>
        <x:v>0.260951965065502</x:v>
      </x:c>
    </x:row>
    <x:row r="1755">
      <x:c r="A1755" s="19" t="str">
        <x:v>SALE-01751</x:v>
      </x:c>
      <x:c r="B1755" s="34" t="n">
        <x:v>46211.5</x:v>
      </x:c>
      <x:c r="C1755" s="19" t="str">
        <x:v>周三</x:v>
      </x:c>
      <x:c r="D1755" s="19" t="str">
        <x:v>S07</x:v>
      </x:c>
      <x:c r="E1755" s="19" t="str">
        <x:v>小和山店</x:v>
      </x:c>
      <x:c r="F1755" s="19" t="str">
        <x:v>外卖</x:v>
      </x:c>
      <x:c r="G1755" s="19" t="str">
        <x:v>全日</x:v>
      </x:c>
      <x:c r="H1755" s="19" t="str">
        <x:v>D11</x:v>
      </x:c>
      <x:c r="I1755" s="19" t="str">
        <x:v>香辣爆肥肠</x:v>
      </x:c>
      <x:c r="J1755" s="22" t="n">
        <x:f>XLOOKUP(H1755,'菜品主数据'!$A$5:$A$24,'菜品主数据'!$D$5:$D$24,0)</x:f>
        <x:v>39</x:v>
      </x:c>
      <x:c r="K1755" s="31" t="n">
        <x:v>0</x:v>
      </x:c>
      <x:c r="L1755" s="35" t="n">
        <x:f>J1755*K1755</x:f>
        <x:v>0</x:v>
      </x:c>
      <x:c r="M1755" s="36" t="n">
        <x:v>0.08</x:v>
      </x:c>
      <x:c r="N1755" s="35" t="n">
        <x:f>L1755*M1755</x:f>
        <x:v>0</x:v>
      </x:c>
      <x:c r="O1755" s="37" t="n">
        <x:v>0.18</x:v>
      </x:c>
      <x:c r="P1755" s="35" t="n">
        <x:f>L1755*O1755</x:f>
        <x:v>0</x:v>
      </x:c>
      <x:c r="Q1755" s="35" t="n">
        <x:v>1.2</x:v>
      </x:c>
      <x:c r="R1755" s="35" t="n">
        <x:f>K1755*Q1755</x:f>
        <x:v>0</x:v>
      </x:c>
      <x:c r="S1755" s="35" t="n">
        <x:f>XLOOKUP(H1755,'菜品主数据'!$A$5:$A$24,'菜品主数据'!$G$5:$G$24,0)</x:f>
        <x:v>10.397</x:v>
      </x:c>
      <x:c r="T1755" s="35" t="n">
        <x:f>K1755*S1755</x:f>
        <x:v>0</x:v>
      </x:c>
      <x:c r="U1755" s="35" t="n">
        <x:f>L1755-N1755-P1755-R1755-T1755</x:f>
        <x:v>0</x:v>
      </x:c>
      <x:c r="V1755" s="21" t="n">
        <x:f>IFERROR(U1755/L1755,0)</x:f>
        <x:v>0</x:v>
      </x:c>
    </x:row>
    <x:row r="1756">
      <x:c r="A1756" s="19" t="str">
        <x:v>SALE-01752</x:v>
      </x:c>
      <x:c r="B1756" s="34" t="n">
        <x:v>46211.5</x:v>
      </x:c>
      <x:c r="C1756" s="19" t="str">
        <x:v>周三</x:v>
      </x:c>
      <x:c r="D1756" s="19" t="str">
        <x:v>S07</x:v>
      </x:c>
      <x:c r="E1756" s="19" t="str">
        <x:v>小和山店</x:v>
      </x:c>
      <x:c r="F1756" s="19" t="str">
        <x:v>外卖</x:v>
      </x:c>
      <x:c r="G1756" s="19" t="str">
        <x:v>全日</x:v>
      </x:c>
      <x:c r="H1756" s="19" t="str">
        <x:v>D12</x:v>
      </x:c>
      <x:c r="I1756" s="19" t="str">
        <x:v>清蒸鲈鱼</x:v>
      </x:c>
      <x:c r="J1756" s="22" t="n">
        <x:f>XLOOKUP(H1756,'菜品主数据'!$A$5:$A$24,'菜品主数据'!$D$5:$D$24,0)</x:f>
        <x:v>39</x:v>
      </x:c>
      <x:c r="K1756" s="31" t="n">
        <x:v>0</x:v>
      </x:c>
      <x:c r="L1756" s="35" t="n">
        <x:f>J1756*K1756</x:f>
        <x:v>0</x:v>
      </x:c>
      <x:c r="M1756" s="36" t="n">
        <x:v>0.08</x:v>
      </x:c>
      <x:c r="N1756" s="35" t="n">
        <x:f>L1756*M1756</x:f>
        <x:v>0</x:v>
      </x:c>
      <x:c r="O1756" s="37" t="n">
        <x:v>0.18</x:v>
      </x:c>
      <x:c r="P1756" s="35" t="n">
        <x:f>L1756*O1756</x:f>
        <x:v>0</x:v>
      </x:c>
      <x:c r="Q1756" s="35" t="n">
        <x:v>1.2</x:v>
      </x:c>
      <x:c r="R1756" s="35" t="n">
        <x:f>K1756*Q1756</x:f>
        <x:v>0</x:v>
      </x:c>
      <x:c r="S1756" s="35" t="n">
        <x:f>XLOOKUP(H1756,'菜品主数据'!$A$5:$A$24,'菜品主数据'!$G$5:$G$24,0)</x:f>
        <x:v>18.874</x:v>
      </x:c>
      <x:c r="T1756" s="35" t="n">
        <x:f>K1756*S1756</x:f>
        <x:v>0</x:v>
      </x:c>
      <x:c r="U1756" s="35" t="n">
        <x:f>L1756-N1756-P1756-R1756-T1756</x:f>
        <x:v>0</x:v>
      </x:c>
      <x:c r="V1756" s="21" t="n">
        <x:f>IFERROR(U1756/L1756,0)</x:f>
        <x:v>0</x:v>
      </x:c>
    </x:row>
    <x:row r="1757">
      <x:c r="A1757" s="19" t="str">
        <x:v>SALE-01753</x:v>
      </x:c>
      <x:c r="B1757" s="34" t="n">
        <x:v>46211.5</x:v>
      </x:c>
      <x:c r="C1757" s="19" t="str">
        <x:v>周三</x:v>
      </x:c>
      <x:c r="D1757" s="19" t="str">
        <x:v>S07</x:v>
      </x:c>
      <x:c r="E1757" s="19" t="str">
        <x:v>小和山店</x:v>
      </x:c>
      <x:c r="F1757" s="19" t="str">
        <x:v>外卖</x:v>
      </x:c>
      <x:c r="G1757" s="19" t="str">
        <x:v>全日</x:v>
      </x:c>
      <x:c r="H1757" s="19" t="str">
        <x:v>D13</x:v>
      </x:c>
      <x:c r="I1757" s="19" t="str">
        <x:v>外婆菜炒蛋</x:v>
      </x:c>
      <x:c r="J1757" s="22" t="n">
        <x:f>XLOOKUP(H1757,'菜品主数据'!$A$5:$A$24,'菜品主数据'!$D$5:$D$24,0)</x:f>
        <x:v>18</x:v>
      </x:c>
      <x:c r="K1757" s="31" t="n">
        <x:v>1</x:v>
      </x:c>
      <x:c r="L1757" s="35" t="n">
        <x:f>J1757*K1757</x:f>
        <x:v>18</x:v>
      </x:c>
      <x:c r="M1757" s="36" t="n">
        <x:v>0.08</x:v>
      </x:c>
      <x:c r="N1757" s="35" t="n">
        <x:f>L1757*M1757</x:f>
        <x:v>1.44</x:v>
      </x:c>
      <x:c r="O1757" s="37" t="n">
        <x:v>0.18</x:v>
      </x:c>
      <x:c r="P1757" s="35" t="n">
        <x:f>L1757*O1757</x:f>
        <x:v>3.2399999999999998</x:v>
      </x:c>
      <x:c r="Q1757" s="35" t="n">
        <x:v>1.2</x:v>
      </x:c>
      <x:c r="R1757" s="35" t="n">
        <x:f>K1757*Q1757</x:f>
        <x:v>1.2</x:v>
      </x:c>
      <x:c r="S1757" s="35" t="n">
        <x:f>XLOOKUP(H1757,'菜品主数据'!$A$5:$A$24,'菜品主数据'!$G$5:$G$24,0)</x:f>
        <x:v>5.403999999999999</x:v>
      </x:c>
      <x:c r="T1757" s="35" t="n">
        <x:f>K1757*S1757</x:f>
        <x:v>5.403999999999999</x:v>
      </x:c>
      <x:c r="U1757" s="35" t="n">
        <x:f>L1757-N1757-P1757-R1757-T1757</x:f>
        <x:v>6.716</x:v>
      </x:c>
      <x:c r="V1757" s="21" t="n">
        <x:f>IFERROR(U1757/L1757,0)</x:f>
        <x:v>0.3731111111111111</x:v>
      </x:c>
    </x:row>
    <x:row r="1758">
      <x:c r="A1758" s="19" t="str">
        <x:v>SALE-01754</x:v>
      </x:c>
      <x:c r="B1758" s="34" t="n">
        <x:v>46211.5</x:v>
      </x:c>
      <x:c r="C1758" s="19" t="str">
        <x:v>周三</x:v>
      </x:c>
      <x:c r="D1758" s="19" t="str">
        <x:v>S07</x:v>
      </x:c>
      <x:c r="E1758" s="19" t="str">
        <x:v>小和山店</x:v>
      </x:c>
      <x:c r="F1758" s="19" t="str">
        <x:v>外卖</x:v>
      </x:c>
      <x:c r="G1758" s="19" t="str">
        <x:v>全日</x:v>
      </x:c>
      <x:c r="H1758" s="19" t="str">
        <x:v>D14</x:v>
      </x:c>
      <x:c r="I1758" s="19" t="str">
        <x:v>酸辣鸡杂</x:v>
      </x:c>
      <x:c r="J1758" s="22" t="n">
        <x:f>XLOOKUP(H1758,'菜品主数据'!$A$5:$A$24,'菜品主数据'!$D$5:$D$24,0)</x:f>
        <x:v>28</x:v>
      </x:c>
      <x:c r="K1758" s="31" t="n">
        <x:v>0</x:v>
      </x:c>
      <x:c r="L1758" s="35" t="n">
        <x:f>J1758*K1758</x:f>
        <x:v>0</x:v>
      </x:c>
      <x:c r="M1758" s="36" t="n">
        <x:v>0.08</x:v>
      </x:c>
      <x:c r="N1758" s="35" t="n">
        <x:f>L1758*M1758</x:f>
        <x:v>0</x:v>
      </x:c>
      <x:c r="O1758" s="37" t="n">
        <x:v>0.18</x:v>
      </x:c>
      <x:c r="P1758" s="35" t="n">
        <x:f>L1758*O1758</x:f>
        <x:v>0</x:v>
      </x:c>
      <x:c r="Q1758" s="35" t="n">
        <x:v>1.2</x:v>
      </x:c>
      <x:c r="R1758" s="35" t="n">
        <x:f>K1758*Q1758</x:f>
        <x:v>0</x:v>
      </x:c>
      <x:c r="S1758" s="35" t="n">
        <x:f>XLOOKUP(H1758,'菜品主数据'!$A$5:$A$24,'菜品主数据'!$G$5:$G$24,0)</x:f>
        <x:v>8.315000000000001</x:v>
      </x:c>
      <x:c r="T1758" s="35" t="n">
        <x:f>K1758*S1758</x:f>
        <x:v>0</x:v>
      </x:c>
      <x:c r="U1758" s="35" t="n">
        <x:f>L1758-N1758-P1758-R1758-T1758</x:f>
        <x:v>0</x:v>
      </x:c>
      <x:c r="V1758" s="21" t="n">
        <x:f>IFERROR(U1758/L1758,0)</x:f>
        <x:v>0</x:v>
      </x:c>
    </x:row>
    <x:row r="1759">
      <x:c r="A1759" s="19" t="str">
        <x:v>SALE-01755</x:v>
      </x:c>
      <x:c r="B1759" s="34" t="n">
        <x:v>46211.5</x:v>
      </x:c>
      <x:c r="C1759" s="19" t="str">
        <x:v>周三</x:v>
      </x:c>
      <x:c r="D1759" s="19" t="str">
        <x:v>S07</x:v>
      </x:c>
      <x:c r="E1759" s="19" t="str">
        <x:v>小和山店</x:v>
      </x:c>
      <x:c r="F1759" s="19" t="str">
        <x:v>外卖</x:v>
      </x:c>
      <x:c r="G1759" s="19" t="str">
        <x:v>全日</x:v>
      </x:c>
      <x:c r="H1759" s="19" t="str">
        <x:v>D15</x:v>
      </x:c>
      <x:c r="I1759" s="19" t="str">
        <x:v>湘西土匪猪肝</x:v>
      </x:c>
      <x:c r="J1759" s="22" t="n">
        <x:f>XLOOKUP(H1759,'菜品主数据'!$A$5:$A$24,'菜品主数据'!$D$5:$D$24,0)</x:f>
        <x:v>26</x:v>
      </x:c>
      <x:c r="K1759" s="31" t="n">
        <x:v>0</x:v>
      </x:c>
      <x:c r="L1759" s="35" t="n">
        <x:f>J1759*K1759</x:f>
        <x:v>0</x:v>
      </x:c>
      <x:c r="M1759" s="36" t="n">
        <x:v>0.08</x:v>
      </x:c>
      <x:c r="N1759" s="35" t="n">
        <x:f>L1759*M1759</x:f>
        <x:v>0</x:v>
      </x:c>
      <x:c r="O1759" s="37" t="n">
        <x:v>0.18</x:v>
      </x:c>
      <x:c r="P1759" s="35" t="n">
        <x:f>L1759*O1759</x:f>
        <x:v>0</x:v>
      </x:c>
      <x:c r="Q1759" s="35" t="n">
        <x:v>1.2</x:v>
      </x:c>
      <x:c r="R1759" s="35" t="n">
        <x:f>K1759*Q1759</x:f>
        <x:v>0</x:v>
      </x:c>
      <x:c r="S1759" s="35" t="n">
        <x:f>XLOOKUP(H1759,'菜品主数据'!$A$5:$A$24,'菜品主数据'!$G$5:$G$24,0)</x:f>
        <x:v>6.3759999999999994</x:v>
      </x:c>
      <x:c r="T1759" s="35" t="n">
        <x:f>K1759*S1759</x:f>
        <x:v>0</x:v>
      </x:c>
      <x:c r="U1759" s="35" t="n">
        <x:f>L1759-N1759-P1759-R1759-T1759</x:f>
        <x:v>0</x:v>
      </x:c>
      <x:c r="V1759" s="21" t="n">
        <x:f>IFERROR(U1759/L1759,0)</x:f>
        <x:v>0</x:v>
      </x:c>
    </x:row>
    <x:row r="1760">
      <x:c r="A1760" s="19" t="str">
        <x:v>SALE-01756</x:v>
      </x:c>
      <x:c r="B1760" s="34" t="n">
        <x:v>46211.5</x:v>
      </x:c>
      <x:c r="C1760" s="19" t="str">
        <x:v>周三</x:v>
      </x:c>
      <x:c r="D1760" s="19" t="str">
        <x:v>S07</x:v>
      </x:c>
      <x:c r="E1760" s="19" t="str">
        <x:v>小和山店</x:v>
      </x:c>
      <x:c r="F1760" s="19" t="str">
        <x:v>外卖</x:v>
      </x:c>
      <x:c r="G1760" s="19" t="str">
        <x:v>全日</x:v>
      </x:c>
      <x:c r="H1760" s="19" t="str">
        <x:v>D16</x:v>
      </x:c>
      <x:c r="I1760" s="19" t="str">
        <x:v>小豆角炒五花</x:v>
      </x:c>
      <x:c r="J1760" s="22" t="n">
        <x:f>XLOOKUP(H1760,'菜品主数据'!$A$5:$A$24,'菜品主数据'!$D$5:$D$24,0)</x:f>
        <x:v>25</x:v>
      </x:c>
      <x:c r="K1760" s="31" t="n">
        <x:v>0</x:v>
      </x:c>
      <x:c r="L1760" s="35" t="n">
        <x:f>J1760*K1760</x:f>
        <x:v>0</x:v>
      </x:c>
      <x:c r="M1760" s="36" t="n">
        <x:v>0.08</x:v>
      </x:c>
      <x:c r="N1760" s="35" t="n">
        <x:f>L1760*M1760</x:f>
        <x:v>0</x:v>
      </x:c>
      <x:c r="O1760" s="37" t="n">
        <x:v>0.18</x:v>
      </x:c>
      <x:c r="P1760" s="35" t="n">
        <x:f>L1760*O1760</x:f>
        <x:v>0</x:v>
      </x:c>
      <x:c r="Q1760" s="35" t="n">
        <x:v>1.2</x:v>
      </x:c>
      <x:c r="R1760" s="35" t="n">
        <x:f>K1760*Q1760</x:f>
        <x:v>0</x:v>
      </x:c>
      <x:c r="S1760" s="35" t="n">
        <x:f>XLOOKUP(H1760,'菜品主数据'!$A$5:$A$24,'菜品主数据'!$G$5:$G$24,0)</x:f>
        <x:v>8.184</x:v>
      </x:c>
      <x:c r="T1760" s="35" t="n">
        <x:f>K1760*S1760</x:f>
        <x:v>0</x:v>
      </x:c>
      <x:c r="U1760" s="35" t="n">
        <x:f>L1760-N1760-P1760-R1760-T1760</x:f>
        <x:v>0</x:v>
      </x:c>
      <x:c r="V1760" s="21" t="n">
        <x:f>IFERROR(U1760/L1760,0)</x:f>
        <x:v>0</x:v>
      </x:c>
    </x:row>
    <x:row r="1761">
      <x:c r="A1761" s="19" t="str">
        <x:v>SALE-01757</x:v>
      </x:c>
      <x:c r="B1761" s="34" t="n">
        <x:v>46211.5</x:v>
      </x:c>
      <x:c r="C1761" s="19" t="str">
        <x:v>周三</x:v>
      </x:c>
      <x:c r="D1761" s="19" t="str">
        <x:v>S07</x:v>
      </x:c>
      <x:c r="E1761" s="19" t="str">
        <x:v>小和山店</x:v>
      </x:c>
      <x:c r="F1761" s="19" t="str">
        <x:v>外卖</x:v>
      </x:c>
      <x:c r="G1761" s="19" t="str">
        <x:v>全日</x:v>
      </x:c>
      <x:c r="H1761" s="19" t="str">
        <x:v>D17</x:v>
      </x:c>
      <x:c r="I1761" s="19" t="str">
        <x:v>蒜蓉粉丝虾</x:v>
      </x:c>
      <x:c r="J1761" s="22" t="n">
        <x:f>XLOOKUP(H1761,'菜品主数据'!$A$5:$A$24,'菜品主数据'!$D$5:$D$24,0)</x:f>
        <x:v>36</x:v>
      </x:c>
      <x:c r="K1761" s="31" t="n">
        <x:v>0</x:v>
      </x:c>
      <x:c r="L1761" s="35" t="n">
        <x:f>J1761*K1761</x:f>
        <x:v>0</x:v>
      </x:c>
      <x:c r="M1761" s="36" t="n">
        <x:v>0.08</x:v>
      </x:c>
      <x:c r="N1761" s="35" t="n">
        <x:f>L1761*M1761</x:f>
        <x:v>0</x:v>
      </x:c>
      <x:c r="O1761" s="37" t="n">
        <x:v>0.18</x:v>
      </x:c>
      <x:c r="P1761" s="35" t="n">
        <x:f>L1761*O1761</x:f>
        <x:v>0</x:v>
      </x:c>
      <x:c r="Q1761" s="35" t="n">
        <x:v>1.2</x:v>
      </x:c>
      <x:c r="R1761" s="35" t="n">
        <x:f>K1761*Q1761</x:f>
        <x:v>0</x:v>
      </x:c>
      <x:c r="S1761" s="35" t="n">
        <x:f>XLOOKUP(H1761,'菜品主数据'!$A$5:$A$24,'菜品主数据'!$G$5:$G$24,0)</x:f>
        <x:v>13.594</x:v>
      </x:c>
      <x:c r="T1761" s="35" t="n">
        <x:f>K1761*S1761</x:f>
        <x:v>0</x:v>
      </x:c>
      <x:c r="U1761" s="35" t="n">
        <x:f>L1761-N1761-P1761-R1761-T1761</x:f>
        <x:v>0</x:v>
      </x:c>
      <x:c r="V1761" s="21" t="n">
        <x:f>IFERROR(U1761/L1761,0)</x:f>
        <x:v>0</x:v>
      </x:c>
    </x:row>
    <x:row r="1762">
      <x:c r="A1762" s="19" t="str">
        <x:v>SALE-01758</x:v>
      </x:c>
      <x:c r="B1762" s="34" t="n">
        <x:v>46211.5</x:v>
      </x:c>
      <x:c r="C1762" s="19" t="str">
        <x:v>周三</x:v>
      </x:c>
      <x:c r="D1762" s="19" t="str">
        <x:v>S07</x:v>
      </x:c>
      <x:c r="E1762" s="19" t="str">
        <x:v>小和山店</x:v>
      </x:c>
      <x:c r="F1762" s="19" t="str">
        <x:v>外卖</x:v>
      </x:c>
      <x:c r="G1762" s="19" t="str">
        <x:v>全日</x:v>
      </x:c>
      <x:c r="H1762" s="19" t="str">
        <x:v>D18</x:v>
      </x:c>
      <x:c r="I1762" s="19" t="str">
        <x:v>青椒炒油麦菜</x:v>
      </x:c>
      <x:c r="J1762" s="22" t="n">
        <x:f>XLOOKUP(H1762,'菜品主数据'!$A$5:$A$24,'菜品主数据'!$D$5:$D$24,0)</x:f>
        <x:v>18</x:v>
      </x:c>
      <x:c r="K1762" s="31" t="n">
        <x:v>0</x:v>
      </x:c>
      <x:c r="L1762" s="35" t="n">
        <x:f>J1762*K1762</x:f>
        <x:v>0</x:v>
      </x:c>
      <x:c r="M1762" s="36" t="n">
        <x:v>0.08</x:v>
      </x:c>
      <x:c r="N1762" s="35" t="n">
        <x:f>L1762*M1762</x:f>
        <x:v>0</x:v>
      </x:c>
      <x:c r="O1762" s="37" t="n">
        <x:v>0.18</x:v>
      </x:c>
      <x:c r="P1762" s="35" t="n">
        <x:f>L1762*O1762</x:f>
        <x:v>0</x:v>
      </x:c>
      <x:c r="Q1762" s="35" t="n">
        <x:v>1.2</x:v>
      </x:c>
      <x:c r="R1762" s="35" t="n">
        <x:f>K1762*Q1762</x:f>
        <x:v>0</x:v>
      </x:c>
      <x:c r="S1762" s="35" t="n">
        <x:f>XLOOKUP(H1762,'菜品主数据'!$A$5:$A$24,'菜品主数据'!$G$5:$G$24,0)</x:f>
        <x:v>3.1759999999999993</x:v>
      </x:c>
      <x:c r="T1762" s="35" t="n">
        <x:f>K1762*S1762</x:f>
        <x:v>0</x:v>
      </x:c>
      <x:c r="U1762" s="35" t="n">
        <x:f>L1762-N1762-P1762-R1762-T1762</x:f>
        <x:v>0</x:v>
      </x:c>
      <x:c r="V1762" s="21" t="n">
        <x:f>IFERROR(U1762/L1762,0)</x:f>
        <x:v>0</x:v>
      </x:c>
    </x:row>
    <x:row r="1763">
      <x:c r="A1763" s="19" t="str">
        <x:v>SALE-01759</x:v>
      </x:c>
      <x:c r="B1763" s="34" t="n">
        <x:v>46211.5</x:v>
      </x:c>
      <x:c r="C1763" s="19" t="str">
        <x:v>周三</x:v>
      </x:c>
      <x:c r="D1763" s="19" t="str">
        <x:v>S07</x:v>
      </x:c>
      <x:c r="E1763" s="19" t="str">
        <x:v>小和山店</x:v>
      </x:c>
      <x:c r="F1763" s="19" t="str">
        <x:v>外卖</x:v>
      </x:c>
      <x:c r="G1763" s="19" t="str">
        <x:v>全日</x:v>
      </x:c>
      <x:c r="H1763" s="19" t="str">
        <x:v>D19</x:v>
      </x:c>
      <x:c r="I1763" s="19" t="str">
        <x:v>酸萝卜炒鸡杂</x:v>
      </x:c>
      <x:c r="J1763" s="22" t="n">
        <x:f>XLOOKUP(H1763,'菜品主数据'!$A$5:$A$24,'菜品主数据'!$D$5:$D$24,0)</x:f>
        <x:v>25</x:v>
      </x:c>
      <x:c r="K1763" s="31" t="n">
        <x:v>0</x:v>
      </x:c>
      <x:c r="L1763" s="35" t="n">
        <x:f>J1763*K1763</x:f>
        <x:v>0</x:v>
      </x:c>
      <x:c r="M1763" s="36" t="n">
        <x:v>0.08</x:v>
      </x:c>
      <x:c r="N1763" s="35" t="n">
        <x:f>L1763*M1763</x:f>
        <x:v>0</x:v>
      </x:c>
      <x:c r="O1763" s="37" t="n">
        <x:v>0.18</x:v>
      </x:c>
      <x:c r="P1763" s="35" t="n">
        <x:f>L1763*O1763</x:f>
        <x:v>0</x:v>
      </x:c>
      <x:c r="Q1763" s="35" t="n">
        <x:v>1.2</x:v>
      </x:c>
      <x:c r="R1763" s="35" t="n">
        <x:f>K1763*Q1763</x:f>
        <x:v>0</x:v>
      </x:c>
      <x:c r="S1763" s="35" t="n">
        <x:f>XLOOKUP(H1763,'菜品主数据'!$A$5:$A$24,'菜品主数据'!$G$5:$G$24,0)</x:f>
        <x:v>7.9399999999999995</x:v>
      </x:c>
      <x:c r="T1763" s="35" t="n">
        <x:f>K1763*S1763</x:f>
        <x:v>0</x:v>
      </x:c>
      <x:c r="U1763" s="35" t="n">
        <x:f>L1763-N1763-P1763-R1763-T1763</x:f>
        <x:v>0</x:v>
      </x:c>
      <x:c r="V1763" s="21" t="n">
        <x:f>IFERROR(U1763/L1763,0)</x:f>
        <x:v>0</x:v>
      </x:c>
    </x:row>
    <x:row r="1764">
      <x:c r="A1764" s="19" t="str">
        <x:v>SALE-01760</x:v>
      </x:c>
      <x:c r="B1764" s="34" t="n">
        <x:v>46211.5</x:v>
      </x:c>
      <x:c r="C1764" s="19" t="str">
        <x:v>周三</x:v>
      </x:c>
      <x:c r="D1764" s="19" t="str">
        <x:v>S07</x:v>
      </x:c>
      <x:c r="E1764" s="19" t="str">
        <x:v>小和山店</x:v>
      </x:c>
      <x:c r="F1764" s="19" t="str">
        <x:v>外卖</x:v>
      </x:c>
      <x:c r="G1764" s="19" t="str">
        <x:v>全日</x:v>
      </x:c>
      <x:c r="H1764" s="19" t="str">
        <x:v>D20</x:v>
      </x:c>
      <x:c r="I1764" s="19" t="str">
        <x:v>雪菜肉末青豆</x:v>
      </x:c>
      <x:c r="J1764" s="22" t="n">
        <x:f>XLOOKUP(H1764,'菜品主数据'!$A$5:$A$24,'菜品主数据'!$D$5:$D$24,0)</x:f>
        <x:v>18</x:v>
      </x:c>
      <x:c r="K1764" s="31" t="n">
        <x:v>0</x:v>
      </x:c>
      <x:c r="L1764" s="35" t="n">
        <x:f>J1764*K1764</x:f>
        <x:v>0</x:v>
      </x:c>
      <x:c r="M1764" s="36" t="n">
        <x:v>0.08</x:v>
      </x:c>
      <x:c r="N1764" s="35" t="n">
        <x:f>L1764*M1764</x:f>
        <x:v>0</x:v>
      </x:c>
      <x:c r="O1764" s="37" t="n">
        <x:v>0.18</x:v>
      </x:c>
      <x:c r="P1764" s="35" t="n">
        <x:f>L1764*O1764</x:f>
        <x:v>0</x:v>
      </x:c>
      <x:c r="Q1764" s="35" t="n">
        <x:v>1.2</x:v>
      </x:c>
      <x:c r="R1764" s="35" t="n">
        <x:f>K1764*Q1764</x:f>
        <x:v>0</x:v>
      </x:c>
      <x:c r="S1764" s="35" t="n">
        <x:f>XLOOKUP(H1764,'菜品主数据'!$A$5:$A$24,'菜品主数据'!$G$5:$G$24,0)</x:f>
        <x:v>7.303999999999999</x:v>
      </x:c>
      <x:c r="T1764" s="35" t="n">
        <x:f>K1764*S1764</x:f>
        <x:v>0</x:v>
      </x:c>
      <x:c r="U1764" s="35" t="n">
        <x:f>L1764-N1764-P1764-R1764-T1764</x:f>
        <x:v>0</x:v>
      </x:c>
      <x:c r="V1764" s="21" t="n">
        <x:f>IFERROR(U1764/L1764,0)</x:f>
        <x:v>0</x:v>
      </x:c>
    </x:row>
    <x:row r="1765">
      <x:c r="A1765" s="19" t="str">
        <x:v>SALE-01761</x:v>
      </x:c>
      <x:c r="B1765" s="34" t="n">
        <x:v>46212.5</x:v>
      </x:c>
      <x:c r="C1765" s="19" t="str">
        <x:v>周四</x:v>
      </x:c>
      <x:c r="D1765" s="19" t="str">
        <x:v>S07</x:v>
      </x:c>
      <x:c r="E1765" s="19" t="str">
        <x:v>小和山店</x:v>
      </x:c>
      <x:c r="F1765" s="19" t="str">
        <x:v>堂食</x:v>
      </x:c>
      <x:c r="G1765" s="19" t="str">
        <x:v>全日</x:v>
      </x:c>
      <x:c r="H1765" s="19" t="str">
        <x:v>D01</x:v>
      </x:c>
      <x:c r="I1765" s="19" t="str">
        <x:v>辣椒炒肉</x:v>
      </x:c>
      <x:c r="J1765" s="22" t="n">
        <x:f>XLOOKUP(H1765,'菜品主数据'!$A$5:$A$24,'菜品主数据'!$D$5:$D$24,0)</x:f>
        <x:v>29</x:v>
      </x:c>
      <x:c r="K1765" s="31" t="n">
        <x:v>39</x:v>
      </x:c>
      <x:c r="L1765" s="35" t="n">
        <x:f>J1765*K1765</x:f>
        <x:v>1131</x:v>
      </x:c>
      <x:c r="M1765" s="36" t="n">
        <x:v>0</x:v>
      </x:c>
      <x:c r="N1765" s="35" t="n">
        <x:f>L1765*M1765</x:f>
        <x:v>0</x:v>
      </x:c>
      <x:c r="O1765" s="37" t="n">
        <x:v>0</x:v>
      </x:c>
      <x:c r="P1765" s="35" t="n">
        <x:f>L1765*O1765</x:f>
        <x:v>0</x:v>
      </x:c>
      <x:c r="Q1765" s="35" t="n">
        <x:v>0</x:v>
      </x:c>
      <x:c r="R1765" s="35" t="n">
        <x:f>K1765*Q1765</x:f>
        <x:v>0</x:v>
      </x:c>
      <x:c r="S1765" s="35" t="n">
        <x:f>XLOOKUP(H1765,'菜品主数据'!$A$5:$A$24,'菜品主数据'!$G$5:$G$24,0)</x:f>
        <x:v>8.634400000000001</x:v>
      </x:c>
      <x:c r="T1765" s="35" t="n">
        <x:f>K1765*S1765</x:f>
        <x:v>336.74160000000006</x:v>
      </x:c>
      <x:c r="U1765" s="35" t="n">
        <x:f>L1765-N1765-P1765-R1765-T1765</x:f>
        <x:v>794.2583999999999</x:v>
      </x:c>
      <x:c r="V1765" s="21" t="n">
        <x:f>IFERROR(U1765/L1765,0)</x:f>
        <x:v>0.7022620689655172</x:v>
      </x:c>
    </x:row>
    <x:row r="1766">
      <x:c r="A1766" s="19" t="str">
        <x:v>SALE-01762</x:v>
      </x:c>
      <x:c r="B1766" s="34" t="n">
        <x:v>46212.5</x:v>
      </x:c>
      <x:c r="C1766" s="19" t="str">
        <x:v>周四</x:v>
      </x:c>
      <x:c r="D1766" s="19" t="str">
        <x:v>S07</x:v>
      </x:c>
      <x:c r="E1766" s="19" t="str">
        <x:v>小和山店</x:v>
      </x:c>
      <x:c r="F1766" s="19" t="str">
        <x:v>堂食</x:v>
      </x:c>
      <x:c r="G1766" s="19" t="str">
        <x:v>全日</x:v>
      </x:c>
      <x:c r="H1766" s="19" t="str">
        <x:v>D02</x:v>
      </x:c>
      <x:c r="I1766" s="19" t="str">
        <x:v>小炒黄牛肉</x:v>
      </x:c>
      <x:c r="J1766" s="22" t="n">
        <x:f>XLOOKUP(H1766,'菜品主数据'!$A$5:$A$24,'菜品主数据'!$D$5:$D$24,0)</x:f>
        <x:v>49</x:v>
      </x:c>
      <x:c r="K1766" s="31" t="n">
        <x:v>21</x:v>
      </x:c>
      <x:c r="L1766" s="35" t="n">
        <x:f>J1766*K1766</x:f>
        <x:v>1029</x:v>
      </x:c>
      <x:c r="M1766" s="36" t="n">
        <x:v>0</x:v>
      </x:c>
      <x:c r="N1766" s="35" t="n">
        <x:f>L1766*M1766</x:f>
        <x:v>0</x:v>
      </x:c>
      <x:c r="O1766" s="37" t="n">
        <x:v>0</x:v>
      </x:c>
      <x:c r="P1766" s="35" t="n">
        <x:f>L1766*O1766</x:f>
        <x:v>0</x:v>
      </x:c>
      <x:c r="Q1766" s="35" t="n">
        <x:v>0</x:v>
      </x:c>
      <x:c r="R1766" s="35" t="n">
        <x:f>K1766*Q1766</x:f>
        <x:v>0</x:v>
      </x:c>
      <x:c r="S1766" s="35" t="n">
        <x:f>XLOOKUP(H1766,'菜品主数据'!$A$5:$A$24,'菜品主数据'!$G$5:$G$24,0)</x:f>
        <x:v>17.577</x:v>
      </x:c>
      <x:c r="T1766" s="35" t="n">
        <x:f>K1766*S1766</x:f>
        <x:v>369.117</x:v>
      </x:c>
      <x:c r="U1766" s="35" t="n">
        <x:f>L1766-N1766-P1766-R1766-T1766</x:f>
        <x:v>659.883</x:v>
      </x:c>
      <x:c r="V1766" s="21" t="n">
        <x:f>IFERROR(U1766/L1766,0)</x:f>
        <x:v>0.6412857142857143</x:v>
      </x:c>
    </x:row>
    <x:row r="1767">
      <x:c r="A1767" s="19" t="str">
        <x:v>SALE-01763</x:v>
      </x:c>
      <x:c r="B1767" s="34" t="n">
        <x:v>46212.5</x:v>
      </x:c>
      <x:c r="C1767" s="19" t="str">
        <x:v>周四</x:v>
      </x:c>
      <x:c r="D1767" s="19" t="str">
        <x:v>S07</x:v>
      </x:c>
      <x:c r="E1767" s="19" t="str">
        <x:v>小和山店</x:v>
      </x:c>
      <x:c r="F1767" s="19" t="str">
        <x:v>堂食</x:v>
      </x:c>
      <x:c r="G1767" s="19" t="str">
        <x:v>全日</x:v>
      </x:c>
      <x:c r="H1767" s="19" t="str">
        <x:v>D03</x:v>
      </x:c>
      <x:c r="I1767" s="19" t="str">
        <x:v>香醋炒蛋</x:v>
      </x:c>
      <x:c r="J1767" s="22" t="n">
        <x:f>XLOOKUP(H1767,'菜品主数据'!$A$5:$A$24,'菜品主数据'!$D$5:$D$24,0)</x:f>
        <x:v>14.9</x:v>
      </x:c>
      <x:c r="K1767" s="31" t="n">
        <x:v>33</x:v>
      </x:c>
      <x:c r="L1767" s="35" t="n">
        <x:f>J1767*K1767</x:f>
        <x:v>491.7</x:v>
      </x:c>
      <x:c r="M1767" s="36" t="n">
        <x:v>0</x:v>
      </x:c>
      <x:c r="N1767" s="35" t="n">
        <x:f>L1767*M1767</x:f>
        <x:v>0</x:v>
      </x:c>
      <x:c r="O1767" s="37" t="n">
        <x:v>0</x:v>
      </x:c>
      <x:c r="P1767" s="35" t="n">
        <x:f>L1767*O1767</x:f>
        <x:v>0</x:v>
      </x:c>
      <x:c r="Q1767" s="35" t="n">
        <x:v>0</x:v>
      </x:c>
      <x:c r="R1767" s="35" t="n">
        <x:f>K1767*Q1767</x:f>
        <x:v>0</x:v>
      </x:c>
      <x:c r="S1767" s="35" t="n">
        <x:f>XLOOKUP(H1767,'菜品主数据'!$A$5:$A$24,'菜品主数据'!$G$5:$G$24,0)</x:f>
        <x:v>3.7459999999999996</x:v>
      </x:c>
      <x:c r="T1767" s="35" t="n">
        <x:f>K1767*S1767</x:f>
        <x:v>123.61799999999998</x:v>
      </x:c>
      <x:c r="U1767" s="35" t="n">
        <x:f>L1767-N1767-P1767-R1767-T1767</x:f>
        <x:v>368.082</x:v>
      </x:c>
      <x:c r="V1767" s="21" t="n">
        <x:f>IFERROR(U1767/L1767,0)</x:f>
        <x:v>0.7485906040268456</x:v>
      </x:c>
    </x:row>
    <x:row r="1768">
      <x:c r="A1768" s="19" t="str">
        <x:v>SALE-01764</x:v>
      </x:c>
      <x:c r="B1768" s="34" t="n">
        <x:v>46212.5</x:v>
      </x:c>
      <x:c r="C1768" s="19" t="str">
        <x:v>周四</x:v>
      </x:c>
      <x:c r="D1768" s="19" t="str">
        <x:v>S07</x:v>
      </x:c>
      <x:c r="E1768" s="19" t="str">
        <x:v>小和山店</x:v>
      </x:c>
      <x:c r="F1768" s="19" t="str">
        <x:v>堂食</x:v>
      </x:c>
      <x:c r="G1768" s="19" t="str">
        <x:v>全日</x:v>
      </x:c>
      <x:c r="H1768" s="19" t="str">
        <x:v>D04</x:v>
      </x:c>
      <x:c r="I1768" s="19" t="str">
        <x:v>酸包菜炒粉皮</x:v>
      </x:c>
      <x:c r="J1768" s="22" t="n">
        <x:f>XLOOKUP(H1768,'菜品主数据'!$A$5:$A$24,'菜品主数据'!$D$5:$D$24,0)</x:f>
        <x:v>16</x:v>
      </x:c>
      <x:c r="K1768" s="31" t="n">
        <x:v>32</x:v>
      </x:c>
      <x:c r="L1768" s="35" t="n">
        <x:f>J1768*K1768</x:f>
        <x:v>512</x:v>
      </x:c>
      <x:c r="M1768" s="36" t="n">
        <x:v>0</x:v>
      </x:c>
      <x:c r="N1768" s="35" t="n">
        <x:f>L1768*M1768</x:f>
        <x:v>0</x:v>
      </x:c>
      <x:c r="O1768" s="37" t="n">
        <x:v>0</x:v>
      </x:c>
      <x:c r="P1768" s="35" t="n">
        <x:f>L1768*O1768</x:f>
        <x:v>0</x:v>
      </x:c>
      <x:c r="Q1768" s="35" t="n">
        <x:v>0</x:v>
      </x:c>
      <x:c r="R1768" s="35" t="n">
        <x:f>K1768*Q1768</x:f>
        <x:v>0</x:v>
      </x:c>
      <x:c r="S1768" s="35" t="n">
        <x:f>XLOOKUP(H1768,'菜品主数据'!$A$5:$A$24,'菜品主数据'!$G$5:$G$24,0)</x:f>
        <x:v>3.978</x:v>
      </x:c>
      <x:c r="T1768" s="35" t="n">
        <x:f>K1768*S1768</x:f>
        <x:v>127.296</x:v>
      </x:c>
      <x:c r="U1768" s="35" t="n">
        <x:f>L1768-N1768-P1768-R1768-T1768</x:f>
        <x:v>384.704</x:v>
      </x:c>
      <x:c r="V1768" s="21" t="n">
        <x:f>IFERROR(U1768/L1768,0)</x:f>
        <x:v>0.751375</x:v>
      </x:c>
    </x:row>
    <x:row r="1769">
      <x:c r="A1769" s="19" t="str">
        <x:v>SALE-01765</x:v>
      </x:c>
      <x:c r="B1769" s="34" t="n">
        <x:v>46212.5</x:v>
      </x:c>
      <x:c r="C1769" s="19" t="str">
        <x:v>周四</x:v>
      </x:c>
      <x:c r="D1769" s="19" t="str">
        <x:v>S07</x:v>
      </x:c>
      <x:c r="E1769" s="19" t="str">
        <x:v>小和山店</x:v>
      </x:c>
      <x:c r="F1769" s="19" t="str">
        <x:v>堂食</x:v>
      </x:c>
      <x:c r="G1769" s="19" t="str">
        <x:v>全日</x:v>
      </x:c>
      <x:c r="H1769" s="19" t="str">
        <x:v>D05</x:v>
      </x:c>
      <x:c r="I1769" s="19" t="str">
        <x:v>麻婆豆腐</x:v>
      </x:c>
      <x:c r="J1769" s="22" t="n">
        <x:f>XLOOKUP(H1769,'菜品主数据'!$A$5:$A$24,'菜品主数据'!$D$5:$D$24,0)</x:f>
        <x:v>9.9</x:v>
      </x:c>
      <x:c r="K1769" s="31" t="n">
        <x:v>46</x:v>
      </x:c>
      <x:c r="L1769" s="35" t="n">
        <x:f>J1769*K1769</x:f>
        <x:v>455.40000000000003</x:v>
      </x:c>
      <x:c r="M1769" s="36" t="n">
        <x:v>0</x:v>
      </x:c>
      <x:c r="N1769" s="35" t="n">
        <x:f>L1769*M1769</x:f>
        <x:v>0</x:v>
      </x:c>
      <x:c r="O1769" s="37" t="n">
        <x:v>0</x:v>
      </x:c>
      <x:c r="P1769" s="35" t="n">
        <x:f>L1769*O1769</x:f>
        <x:v>0</x:v>
      </x:c>
      <x:c r="Q1769" s="35" t="n">
        <x:v>0</x:v>
      </x:c>
      <x:c r="R1769" s="35" t="n">
        <x:f>K1769*Q1769</x:f>
        <x:v>0</x:v>
      </x:c>
      <x:c r="S1769" s="35" t="n">
        <x:f>XLOOKUP(H1769,'菜品主数据'!$A$5:$A$24,'菜品主数据'!$G$5:$G$24,0)</x:f>
        <x:v>5.367000000000001</x:v>
      </x:c>
      <x:c r="T1769" s="35" t="n">
        <x:f>K1769*S1769</x:f>
        <x:v>246.88200000000003</x:v>
      </x:c>
      <x:c r="U1769" s="35" t="n">
        <x:f>L1769-N1769-P1769-R1769-T1769</x:f>
        <x:v>208.518</x:v>
      </x:c>
      <x:c r="V1769" s="21" t="n">
        <x:f>IFERROR(U1769/L1769,0)</x:f>
        <x:v>0.45787878787878783</x:v>
      </x:c>
    </x:row>
    <x:row r="1770">
      <x:c r="A1770" s="19" t="str">
        <x:v>SALE-01766</x:v>
      </x:c>
      <x:c r="B1770" s="34" t="n">
        <x:v>46212.5</x:v>
      </x:c>
      <x:c r="C1770" s="19" t="str">
        <x:v>周四</x:v>
      </x:c>
      <x:c r="D1770" s="19" t="str">
        <x:v>S07</x:v>
      </x:c>
      <x:c r="E1770" s="19" t="str">
        <x:v>小和山店</x:v>
      </x:c>
      <x:c r="F1770" s="19" t="str">
        <x:v>堂食</x:v>
      </x:c>
      <x:c r="G1770" s="19" t="str">
        <x:v>全日</x:v>
      </x:c>
      <x:c r="H1770" s="19" t="str">
        <x:v>D06</x:v>
      </x:c>
      <x:c r="I1770" s="19" t="str">
        <x:v>剁椒鱼头</x:v>
      </x:c>
      <x:c r="J1770" s="22" t="n">
        <x:f>XLOOKUP(H1770,'菜品主数据'!$A$5:$A$24,'菜品主数据'!$D$5:$D$24,0)</x:f>
        <x:v>39</x:v>
      </x:c>
      <x:c r="K1770" s="31" t="n">
        <x:v>10</x:v>
      </x:c>
      <x:c r="L1770" s="35" t="n">
        <x:f>J1770*K1770</x:f>
        <x:v>390</x:v>
      </x:c>
      <x:c r="M1770" s="36" t="n">
        <x:v>0</x:v>
      </x:c>
      <x:c r="N1770" s="35" t="n">
        <x:f>L1770*M1770</x:f>
        <x:v>0</x:v>
      </x:c>
      <x:c r="O1770" s="37" t="n">
        <x:v>0</x:v>
      </x:c>
      <x:c r="P1770" s="35" t="n">
        <x:f>L1770*O1770</x:f>
        <x:v>0</x:v>
      </x:c>
      <x:c r="Q1770" s="35" t="n">
        <x:v>0</x:v>
      </x:c>
      <x:c r="R1770" s="35" t="n">
        <x:f>K1770*Q1770</x:f>
        <x:v>0</x:v>
      </x:c>
      <x:c r="S1770" s="35" t="n">
        <x:f>XLOOKUP(H1770,'菜品主数据'!$A$5:$A$24,'菜品主数据'!$G$5:$G$24,0)</x:f>
        <x:v>17.446</x:v>
      </x:c>
      <x:c r="T1770" s="35" t="n">
        <x:f>K1770*S1770</x:f>
        <x:v>174.46</x:v>
      </x:c>
      <x:c r="U1770" s="35" t="n">
        <x:f>L1770-N1770-P1770-R1770-T1770</x:f>
        <x:v>215.54</x:v>
      </x:c>
      <x:c r="V1770" s="21" t="n">
        <x:f>IFERROR(U1770/L1770,0)</x:f>
        <x:v>0.5526666666666666</x:v>
      </x:c>
    </x:row>
    <x:row r="1771">
      <x:c r="A1771" s="19" t="str">
        <x:v>SALE-01767</x:v>
      </x:c>
      <x:c r="B1771" s="34" t="n">
        <x:v>46212.5</x:v>
      </x:c>
      <x:c r="C1771" s="19" t="str">
        <x:v>周四</x:v>
      </x:c>
      <x:c r="D1771" s="19" t="str">
        <x:v>S07</x:v>
      </x:c>
      <x:c r="E1771" s="19" t="str">
        <x:v>小和山店</x:v>
      </x:c>
      <x:c r="F1771" s="19" t="str">
        <x:v>堂食</x:v>
      </x:c>
      <x:c r="G1771" s="19" t="str">
        <x:v>全日</x:v>
      </x:c>
      <x:c r="H1771" s="19" t="str">
        <x:v>D07</x:v>
      </x:c>
      <x:c r="I1771" s="19" t="str">
        <x:v>川味回锅肉</x:v>
      </x:c>
      <x:c r="J1771" s="22" t="n">
        <x:f>XLOOKUP(H1771,'菜品主数据'!$A$5:$A$24,'菜品主数据'!$D$5:$D$24,0)</x:f>
        <x:v>29</x:v>
      </x:c>
      <x:c r="K1771" s="31" t="n">
        <x:v>12</x:v>
      </x:c>
      <x:c r="L1771" s="35" t="n">
        <x:f>J1771*K1771</x:f>
        <x:v>348</x:v>
      </x:c>
      <x:c r="M1771" s="36" t="n">
        <x:v>0</x:v>
      </x:c>
      <x:c r="N1771" s="35" t="n">
        <x:f>L1771*M1771</x:f>
        <x:v>0</x:v>
      </x:c>
      <x:c r="O1771" s="37" t="n">
        <x:v>0</x:v>
      </x:c>
      <x:c r="P1771" s="35" t="n">
        <x:f>L1771*O1771</x:f>
        <x:v>0</x:v>
      </x:c>
      <x:c r="Q1771" s="35" t="n">
        <x:v>0</x:v>
      </x:c>
      <x:c r="R1771" s="35" t="n">
        <x:f>K1771*Q1771</x:f>
        <x:v>0</x:v>
      </x:c>
      <x:c r="S1771" s="35" t="n">
        <x:f>XLOOKUP(H1771,'菜品主数据'!$A$5:$A$24,'菜品主数据'!$G$5:$G$24,0)</x:f>
        <x:v>10.231000000000002</x:v>
      </x:c>
      <x:c r="T1771" s="35" t="n">
        <x:f>K1771*S1771</x:f>
        <x:v>122.77200000000002</x:v>
      </x:c>
      <x:c r="U1771" s="35" t="n">
        <x:f>L1771-N1771-P1771-R1771-T1771</x:f>
        <x:v>225.22799999999998</x:v>
      </x:c>
      <x:c r="V1771" s="21" t="n">
        <x:f>IFERROR(U1771/L1771,0)</x:f>
        <x:v>0.647206896551724</x:v>
      </x:c>
    </x:row>
    <x:row r="1772">
      <x:c r="A1772" s="19" t="str">
        <x:v>SALE-01768</x:v>
      </x:c>
      <x:c r="B1772" s="34" t="n">
        <x:v>46212.5</x:v>
      </x:c>
      <x:c r="C1772" s="19" t="str">
        <x:v>周四</x:v>
      </x:c>
      <x:c r="D1772" s="19" t="str">
        <x:v>S07</x:v>
      </x:c>
      <x:c r="E1772" s="19" t="str">
        <x:v>小和山店</x:v>
      </x:c>
      <x:c r="F1772" s="19" t="str">
        <x:v>堂食</x:v>
      </x:c>
      <x:c r="G1772" s="19" t="str">
        <x:v>全日</x:v>
      </x:c>
      <x:c r="H1772" s="19" t="str">
        <x:v>D08</x:v>
      </x:c>
      <x:c r="I1772" s="19" t="str">
        <x:v>生炒清远鸡</x:v>
      </x:c>
      <x:c r="J1772" s="22" t="n">
        <x:f>XLOOKUP(H1772,'菜品主数据'!$A$5:$A$24,'菜品主数据'!$D$5:$D$24,0)</x:f>
        <x:v>36</x:v>
      </x:c>
      <x:c r="K1772" s="31" t="n">
        <x:v>9</x:v>
      </x:c>
      <x:c r="L1772" s="35" t="n">
        <x:f>J1772*K1772</x:f>
        <x:v>324</x:v>
      </x:c>
      <x:c r="M1772" s="36" t="n">
        <x:v>0</x:v>
      </x:c>
      <x:c r="N1772" s="35" t="n">
        <x:f>L1772*M1772</x:f>
        <x:v>0</x:v>
      </x:c>
      <x:c r="O1772" s="37" t="n">
        <x:v>0</x:v>
      </x:c>
      <x:c r="P1772" s="35" t="n">
        <x:f>L1772*O1772</x:f>
        <x:v>0</x:v>
      </x:c>
      <x:c r="Q1772" s="35" t="n">
        <x:v>0</x:v>
      </x:c>
      <x:c r="R1772" s="35" t="n">
        <x:f>K1772*Q1772</x:f>
        <x:v>0</x:v>
      </x:c>
      <x:c r="S1772" s="35" t="n">
        <x:f>XLOOKUP(H1772,'菜品主数据'!$A$5:$A$24,'菜品主数据'!$G$5:$G$24,0)</x:f>
        <x:v>13.48</x:v>
      </x:c>
      <x:c r="T1772" s="35" t="n">
        <x:f>K1772*S1772</x:f>
        <x:v>121.32000000000001</x:v>
      </x:c>
      <x:c r="U1772" s="35" t="n">
        <x:f>L1772-N1772-P1772-R1772-T1772</x:f>
        <x:v>202.68</x:v>
      </x:c>
      <x:c r="V1772" s="21" t="n">
        <x:f>IFERROR(U1772/L1772,0)</x:f>
        <x:v>0.6255555555555555</x:v>
      </x:c>
    </x:row>
    <x:row r="1773">
      <x:c r="A1773" s="19" t="str">
        <x:v>SALE-01769</x:v>
      </x:c>
      <x:c r="B1773" s="34" t="n">
        <x:v>46212.5</x:v>
      </x:c>
      <x:c r="C1773" s="19" t="str">
        <x:v>周四</x:v>
      </x:c>
      <x:c r="D1773" s="19" t="str">
        <x:v>S07</x:v>
      </x:c>
      <x:c r="E1773" s="19" t="str">
        <x:v>小和山店</x:v>
      </x:c>
      <x:c r="F1773" s="19" t="str">
        <x:v>堂食</x:v>
      </x:c>
      <x:c r="G1773" s="19" t="str">
        <x:v>全日</x:v>
      </x:c>
      <x:c r="H1773" s="19" t="str">
        <x:v>D09</x:v>
      </x:c>
      <x:c r="I1773" s="19" t="str">
        <x:v>炒豆干</x:v>
      </x:c>
      <x:c r="J1773" s="22" t="n">
        <x:f>XLOOKUP(H1773,'菜品主数据'!$A$5:$A$24,'菜品主数据'!$D$5:$D$24,0)</x:f>
        <x:v>18</x:v>
      </x:c>
      <x:c r="K1773" s="31" t="n">
        <x:v>13</x:v>
      </x:c>
      <x:c r="L1773" s="35" t="n">
        <x:f>J1773*K1773</x:f>
        <x:v>234</x:v>
      </x:c>
      <x:c r="M1773" s="36" t="n">
        <x:v>0</x:v>
      </x:c>
      <x:c r="N1773" s="35" t="n">
        <x:f>L1773*M1773</x:f>
        <x:v>0</x:v>
      </x:c>
      <x:c r="O1773" s="37" t="n">
        <x:v>0</x:v>
      </x:c>
      <x:c r="P1773" s="35" t="n">
        <x:f>L1773*O1773</x:f>
        <x:v>0</x:v>
      </x:c>
      <x:c r="Q1773" s="35" t="n">
        <x:v>0</x:v>
      </x:c>
      <x:c r="R1773" s="35" t="n">
        <x:f>K1773*Q1773</x:f>
        <x:v>0</x:v>
      </x:c>
      <x:c r="S1773" s="35" t="n">
        <x:f>XLOOKUP(H1773,'菜品主数据'!$A$5:$A$24,'菜品主数据'!$G$5:$G$24,0)</x:f>
        <x:v>6.613999999999999</x:v>
      </x:c>
      <x:c r="T1773" s="35" t="n">
        <x:f>K1773*S1773</x:f>
        <x:v>85.98199999999999</x:v>
      </x:c>
      <x:c r="U1773" s="35" t="n">
        <x:f>L1773-N1773-P1773-R1773-T1773</x:f>
        <x:v>148.01800000000003</x:v>
      </x:c>
      <x:c r="V1773" s="21" t="n">
        <x:f>IFERROR(U1773/L1773,0)</x:f>
        <x:v>0.6325555555555556</x:v>
      </x:c>
    </x:row>
    <x:row r="1774">
      <x:c r="A1774" s="19" t="str">
        <x:v>SALE-01770</x:v>
      </x:c>
      <x:c r="B1774" s="34" t="n">
        <x:v>46212.5</x:v>
      </x:c>
      <x:c r="C1774" s="19" t="str">
        <x:v>周四</x:v>
      </x:c>
      <x:c r="D1774" s="19" t="str">
        <x:v>S07</x:v>
      </x:c>
      <x:c r="E1774" s="19" t="str">
        <x:v>小和山店</x:v>
      </x:c>
      <x:c r="F1774" s="19" t="str">
        <x:v>堂食</x:v>
      </x:c>
      <x:c r="G1774" s="19" t="str">
        <x:v>全日</x:v>
      </x:c>
      <x:c r="H1774" s="19" t="str">
        <x:v>D10</x:v>
      </x:c>
      <x:c r="I1774" s="19" t="str">
        <x:v>农家一碗香</x:v>
      </x:c>
      <x:c r="J1774" s="22" t="n">
        <x:f>XLOOKUP(H1774,'菜品主数据'!$A$5:$A$24,'菜品主数据'!$D$5:$D$24,0)</x:f>
        <x:v>22.9</x:v>
      </x:c>
      <x:c r="K1774" s="31" t="n">
        <x:v>16</x:v>
      </x:c>
      <x:c r="L1774" s="35" t="n">
        <x:f>J1774*K1774</x:f>
        <x:v>366.4</x:v>
      </x:c>
      <x:c r="M1774" s="36" t="n">
        <x:v>0</x:v>
      </x:c>
      <x:c r="N1774" s="35" t="n">
        <x:f>L1774*M1774</x:f>
        <x:v>0</x:v>
      </x:c>
      <x:c r="O1774" s="37" t="n">
        <x:v>0</x:v>
      </x:c>
      <x:c r="P1774" s="35" t="n">
        <x:f>L1774*O1774</x:f>
        <x:v>0</x:v>
      </x:c>
      <x:c r="Q1774" s="35" t="n">
        <x:v>0</x:v>
      </x:c>
      <x:c r="R1774" s="35" t="n">
        <x:f>K1774*Q1774</x:f>
        <x:v>0</x:v>
      </x:c>
      <x:c r="S1774" s="35" t="n">
        <x:f>XLOOKUP(H1774,'菜品主数据'!$A$5:$A$24,'菜品主数据'!$G$5:$G$24,0)</x:f>
        <x:v>9.770200000000003</x:v>
      </x:c>
      <x:c r="T1774" s="35" t="n">
        <x:f>K1774*S1774</x:f>
        <x:v>156.32320000000004</x:v>
      </x:c>
      <x:c r="U1774" s="35" t="n">
        <x:f>L1774-N1774-P1774-R1774-T1774</x:f>
        <x:v>210.07679999999993</x:v>
      </x:c>
      <x:c r="V1774" s="21" t="n">
        <x:f>IFERROR(U1774/L1774,0)</x:f>
        <x:v>0.5733537117903929</x:v>
      </x:c>
    </x:row>
    <x:row r="1775">
      <x:c r="A1775" s="19" t="str">
        <x:v>SALE-01771</x:v>
      </x:c>
      <x:c r="B1775" s="34" t="n">
        <x:v>46212.5</x:v>
      </x:c>
      <x:c r="C1775" s="19" t="str">
        <x:v>周四</x:v>
      </x:c>
      <x:c r="D1775" s="19" t="str">
        <x:v>S07</x:v>
      </x:c>
      <x:c r="E1775" s="19" t="str">
        <x:v>小和山店</x:v>
      </x:c>
      <x:c r="F1775" s="19" t="str">
        <x:v>堂食</x:v>
      </x:c>
      <x:c r="G1775" s="19" t="str">
        <x:v>全日</x:v>
      </x:c>
      <x:c r="H1775" s="19" t="str">
        <x:v>D11</x:v>
      </x:c>
      <x:c r="I1775" s="19" t="str">
        <x:v>香辣爆肥肠</x:v>
      </x:c>
      <x:c r="J1775" s="22" t="n">
        <x:f>XLOOKUP(H1775,'菜品主数据'!$A$5:$A$24,'菜品主数据'!$D$5:$D$24,0)</x:f>
        <x:v>39</x:v>
      </x:c>
      <x:c r="K1775" s="31" t="n">
        <x:v>6</x:v>
      </x:c>
      <x:c r="L1775" s="35" t="n">
        <x:f>J1775*K1775</x:f>
        <x:v>234</x:v>
      </x:c>
      <x:c r="M1775" s="36" t="n">
        <x:v>0</x:v>
      </x:c>
      <x:c r="N1775" s="35" t="n">
        <x:f>L1775*M1775</x:f>
        <x:v>0</x:v>
      </x:c>
      <x:c r="O1775" s="37" t="n">
        <x:v>0</x:v>
      </x:c>
      <x:c r="P1775" s="35" t="n">
        <x:f>L1775*O1775</x:f>
        <x:v>0</x:v>
      </x:c>
      <x:c r="Q1775" s="35" t="n">
        <x:v>0</x:v>
      </x:c>
      <x:c r="R1775" s="35" t="n">
        <x:f>K1775*Q1775</x:f>
        <x:v>0</x:v>
      </x:c>
      <x:c r="S1775" s="35" t="n">
        <x:f>XLOOKUP(H1775,'菜品主数据'!$A$5:$A$24,'菜品主数据'!$G$5:$G$24,0)</x:f>
        <x:v>10.397</x:v>
      </x:c>
      <x:c r="T1775" s="35" t="n">
        <x:f>K1775*S1775</x:f>
        <x:v>62.382000000000005</x:v>
      </x:c>
      <x:c r="U1775" s="35" t="n">
        <x:f>L1775-N1775-P1775-R1775-T1775</x:f>
        <x:v>171.618</x:v>
      </x:c>
      <x:c r="V1775" s="21" t="n">
        <x:f>IFERROR(U1775/L1775,0)</x:f>
        <x:v>0.7334102564102564</x:v>
      </x:c>
    </x:row>
    <x:row r="1776">
      <x:c r="A1776" s="19" t="str">
        <x:v>SALE-01772</x:v>
      </x:c>
      <x:c r="B1776" s="34" t="n">
        <x:v>46212.5</x:v>
      </x:c>
      <x:c r="C1776" s="19" t="str">
        <x:v>周四</x:v>
      </x:c>
      <x:c r="D1776" s="19" t="str">
        <x:v>S07</x:v>
      </x:c>
      <x:c r="E1776" s="19" t="str">
        <x:v>小和山店</x:v>
      </x:c>
      <x:c r="F1776" s="19" t="str">
        <x:v>堂食</x:v>
      </x:c>
      <x:c r="G1776" s="19" t="str">
        <x:v>全日</x:v>
      </x:c>
      <x:c r="H1776" s="19" t="str">
        <x:v>D12</x:v>
      </x:c>
      <x:c r="I1776" s="19" t="str">
        <x:v>清蒸鲈鱼</x:v>
      </x:c>
      <x:c r="J1776" s="22" t="n">
        <x:f>XLOOKUP(H1776,'菜品主数据'!$A$5:$A$24,'菜品主数据'!$D$5:$D$24,0)</x:f>
        <x:v>39</x:v>
      </x:c>
      <x:c r="K1776" s="31" t="n">
        <x:v>6</x:v>
      </x:c>
      <x:c r="L1776" s="35" t="n">
        <x:f>J1776*K1776</x:f>
        <x:v>234</x:v>
      </x:c>
      <x:c r="M1776" s="36" t="n">
        <x:v>0</x:v>
      </x:c>
      <x:c r="N1776" s="35" t="n">
        <x:f>L1776*M1776</x:f>
        <x:v>0</x:v>
      </x:c>
      <x:c r="O1776" s="37" t="n">
        <x:v>0</x:v>
      </x:c>
      <x:c r="P1776" s="35" t="n">
        <x:f>L1776*O1776</x:f>
        <x:v>0</x:v>
      </x:c>
      <x:c r="Q1776" s="35" t="n">
        <x:v>0</x:v>
      </x:c>
      <x:c r="R1776" s="35" t="n">
        <x:f>K1776*Q1776</x:f>
        <x:v>0</x:v>
      </x:c>
      <x:c r="S1776" s="35" t="n">
        <x:f>XLOOKUP(H1776,'菜品主数据'!$A$5:$A$24,'菜品主数据'!$G$5:$G$24,0)</x:f>
        <x:v>18.874</x:v>
      </x:c>
      <x:c r="T1776" s="35" t="n">
        <x:f>K1776*S1776</x:f>
        <x:v>113.244</x:v>
      </x:c>
      <x:c r="U1776" s="35" t="n">
        <x:f>L1776-N1776-P1776-R1776-T1776</x:f>
        <x:v>120.756</x:v>
      </x:c>
      <x:c r="V1776" s="21" t="n">
        <x:f>IFERROR(U1776/L1776,0)</x:f>
        <x:v>0.516051282051282</x:v>
      </x:c>
    </x:row>
    <x:row r="1777">
      <x:c r="A1777" s="19" t="str">
        <x:v>SALE-01773</x:v>
      </x:c>
      <x:c r="B1777" s="34" t="n">
        <x:v>46212.5</x:v>
      </x:c>
      <x:c r="C1777" s="19" t="str">
        <x:v>周四</x:v>
      </x:c>
      <x:c r="D1777" s="19" t="str">
        <x:v>S07</x:v>
      </x:c>
      <x:c r="E1777" s="19" t="str">
        <x:v>小和山店</x:v>
      </x:c>
      <x:c r="F1777" s="19" t="str">
        <x:v>堂食</x:v>
      </x:c>
      <x:c r="G1777" s="19" t="str">
        <x:v>全日</x:v>
      </x:c>
      <x:c r="H1777" s="19" t="str">
        <x:v>D13</x:v>
      </x:c>
      <x:c r="I1777" s="19" t="str">
        <x:v>外婆菜炒蛋</x:v>
      </x:c>
      <x:c r="J1777" s="22" t="n">
        <x:f>XLOOKUP(H1777,'菜品主数据'!$A$5:$A$24,'菜品主数据'!$D$5:$D$24,0)</x:f>
        <x:v>18</x:v>
      </x:c>
      <x:c r="K1777" s="31" t="n">
        <x:v>14</x:v>
      </x:c>
      <x:c r="L1777" s="35" t="n">
        <x:f>J1777*K1777</x:f>
        <x:v>252</x:v>
      </x:c>
      <x:c r="M1777" s="36" t="n">
        <x:v>0</x:v>
      </x:c>
      <x:c r="N1777" s="35" t="n">
        <x:f>L1777*M1777</x:f>
        <x:v>0</x:v>
      </x:c>
      <x:c r="O1777" s="37" t="n">
        <x:v>0</x:v>
      </x:c>
      <x:c r="P1777" s="35" t="n">
        <x:f>L1777*O1777</x:f>
        <x:v>0</x:v>
      </x:c>
      <x:c r="Q1777" s="35" t="n">
        <x:v>0</x:v>
      </x:c>
      <x:c r="R1777" s="35" t="n">
        <x:f>K1777*Q1777</x:f>
        <x:v>0</x:v>
      </x:c>
      <x:c r="S1777" s="35" t="n">
        <x:f>XLOOKUP(H1777,'菜品主数据'!$A$5:$A$24,'菜品主数据'!$G$5:$G$24,0)</x:f>
        <x:v>5.403999999999999</x:v>
      </x:c>
      <x:c r="T1777" s="35" t="n">
        <x:f>K1777*S1777</x:f>
        <x:v>75.65599999999999</x:v>
      </x:c>
      <x:c r="U1777" s="35" t="n">
        <x:f>L1777-N1777-P1777-R1777-T1777</x:f>
        <x:v>176.344</x:v>
      </x:c>
      <x:c r="V1777" s="21" t="n">
        <x:f>IFERROR(U1777/L1777,0)</x:f>
        <x:v>0.6997777777777777</x:v>
      </x:c>
    </x:row>
    <x:row r="1778">
      <x:c r="A1778" s="19" t="str">
        <x:v>SALE-01774</x:v>
      </x:c>
      <x:c r="B1778" s="34" t="n">
        <x:v>46212.5</x:v>
      </x:c>
      <x:c r="C1778" s="19" t="str">
        <x:v>周四</x:v>
      </x:c>
      <x:c r="D1778" s="19" t="str">
        <x:v>S07</x:v>
      </x:c>
      <x:c r="E1778" s="19" t="str">
        <x:v>小和山店</x:v>
      </x:c>
      <x:c r="F1778" s="19" t="str">
        <x:v>堂食</x:v>
      </x:c>
      <x:c r="G1778" s="19" t="str">
        <x:v>全日</x:v>
      </x:c>
      <x:c r="H1778" s="19" t="str">
        <x:v>D14</x:v>
      </x:c>
      <x:c r="I1778" s="19" t="str">
        <x:v>酸辣鸡杂</x:v>
      </x:c>
      <x:c r="J1778" s="22" t="n">
        <x:f>XLOOKUP(H1778,'菜品主数据'!$A$5:$A$24,'菜品主数据'!$D$5:$D$24,0)</x:f>
        <x:v>28</x:v>
      </x:c>
      <x:c r="K1778" s="31" t="n">
        <x:v>7</x:v>
      </x:c>
      <x:c r="L1778" s="35" t="n">
        <x:f>J1778*K1778</x:f>
        <x:v>196</x:v>
      </x:c>
      <x:c r="M1778" s="36" t="n">
        <x:v>0</x:v>
      </x:c>
      <x:c r="N1778" s="35" t="n">
        <x:f>L1778*M1778</x:f>
        <x:v>0</x:v>
      </x:c>
      <x:c r="O1778" s="37" t="n">
        <x:v>0</x:v>
      </x:c>
      <x:c r="P1778" s="35" t="n">
        <x:f>L1778*O1778</x:f>
        <x:v>0</x:v>
      </x:c>
      <x:c r="Q1778" s="35" t="n">
        <x:v>0</x:v>
      </x:c>
      <x:c r="R1778" s="35" t="n">
        <x:f>K1778*Q1778</x:f>
        <x:v>0</x:v>
      </x:c>
      <x:c r="S1778" s="35" t="n">
        <x:f>XLOOKUP(H1778,'菜品主数据'!$A$5:$A$24,'菜品主数据'!$G$5:$G$24,0)</x:f>
        <x:v>8.315000000000001</x:v>
      </x:c>
      <x:c r="T1778" s="35" t="n">
        <x:f>K1778*S1778</x:f>
        <x:v>58.20500000000001</x:v>
      </x:c>
      <x:c r="U1778" s="35" t="n">
        <x:f>L1778-N1778-P1778-R1778-T1778</x:f>
        <x:v>137.795</x:v>
      </x:c>
      <x:c r="V1778" s="21" t="n">
        <x:f>IFERROR(U1778/L1778,0)</x:f>
        <x:v>0.7030357142857142</x:v>
      </x:c>
    </x:row>
    <x:row r="1779">
      <x:c r="A1779" s="19" t="str">
        <x:v>SALE-01775</x:v>
      </x:c>
      <x:c r="B1779" s="34" t="n">
        <x:v>46212.5</x:v>
      </x:c>
      <x:c r="C1779" s="19" t="str">
        <x:v>周四</x:v>
      </x:c>
      <x:c r="D1779" s="19" t="str">
        <x:v>S07</x:v>
      </x:c>
      <x:c r="E1779" s="19" t="str">
        <x:v>小和山店</x:v>
      </x:c>
      <x:c r="F1779" s="19" t="str">
        <x:v>堂食</x:v>
      </x:c>
      <x:c r="G1779" s="19" t="str">
        <x:v>全日</x:v>
      </x:c>
      <x:c r="H1779" s="19" t="str">
        <x:v>D15</x:v>
      </x:c>
      <x:c r="I1779" s="19" t="str">
        <x:v>湘西土匪猪肝</x:v>
      </x:c>
      <x:c r="J1779" s="22" t="n">
        <x:f>XLOOKUP(H1779,'菜品主数据'!$A$5:$A$24,'菜品主数据'!$D$5:$D$24,0)</x:f>
        <x:v>26</x:v>
      </x:c>
      <x:c r="K1779" s="31" t="n">
        <x:v>7</x:v>
      </x:c>
      <x:c r="L1779" s="35" t="n">
        <x:f>J1779*K1779</x:f>
        <x:v>182</x:v>
      </x:c>
      <x:c r="M1779" s="36" t="n">
        <x:v>0</x:v>
      </x:c>
      <x:c r="N1779" s="35" t="n">
        <x:f>L1779*M1779</x:f>
        <x:v>0</x:v>
      </x:c>
      <x:c r="O1779" s="37" t="n">
        <x:v>0</x:v>
      </x:c>
      <x:c r="P1779" s="35" t="n">
        <x:f>L1779*O1779</x:f>
        <x:v>0</x:v>
      </x:c>
      <x:c r="Q1779" s="35" t="n">
        <x:v>0</x:v>
      </x:c>
      <x:c r="R1779" s="35" t="n">
        <x:f>K1779*Q1779</x:f>
        <x:v>0</x:v>
      </x:c>
      <x:c r="S1779" s="35" t="n">
        <x:f>XLOOKUP(H1779,'菜品主数据'!$A$5:$A$24,'菜品主数据'!$G$5:$G$24,0)</x:f>
        <x:v>6.3759999999999994</x:v>
      </x:c>
      <x:c r="T1779" s="35" t="n">
        <x:f>K1779*S1779</x:f>
        <x:v>44.632</x:v>
      </x:c>
      <x:c r="U1779" s="35" t="n">
        <x:f>L1779-N1779-P1779-R1779-T1779</x:f>
        <x:v>137.368</x:v>
      </x:c>
      <x:c r="V1779" s="21" t="n">
        <x:f>IFERROR(U1779/L1779,0)</x:f>
        <x:v>0.7547692307692307</x:v>
      </x:c>
    </x:row>
    <x:row r="1780">
      <x:c r="A1780" s="19" t="str">
        <x:v>SALE-01776</x:v>
      </x:c>
      <x:c r="B1780" s="34" t="n">
        <x:v>46212.5</x:v>
      </x:c>
      <x:c r="C1780" s="19" t="str">
        <x:v>周四</x:v>
      </x:c>
      <x:c r="D1780" s="19" t="str">
        <x:v>S07</x:v>
      </x:c>
      <x:c r="E1780" s="19" t="str">
        <x:v>小和山店</x:v>
      </x:c>
      <x:c r="F1780" s="19" t="str">
        <x:v>堂食</x:v>
      </x:c>
      <x:c r="G1780" s="19" t="str">
        <x:v>全日</x:v>
      </x:c>
      <x:c r="H1780" s="19" t="str">
        <x:v>D16</x:v>
      </x:c>
      <x:c r="I1780" s="19" t="str">
        <x:v>小豆角炒五花</x:v>
      </x:c>
      <x:c r="J1780" s="22" t="n">
        <x:f>XLOOKUP(H1780,'菜品主数据'!$A$5:$A$24,'菜品主数据'!$D$5:$D$24,0)</x:f>
        <x:v>25</x:v>
      </x:c>
      <x:c r="K1780" s="31" t="n">
        <x:v>6</x:v>
      </x:c>
      <x:c r="L1780" s="35" t="n">
        <x:f>J1780*K1780</x:f>
        <x:v>150</x:v>
      </x:c>
      <x:c r="M1780" s="36" t="n">
        <x:v>0</x:v>
      </x:c>
      <x:c r="N1780" s="35" t="n">
        <x:f>L1780*M1780</x:f>
        <x:v>0</x:v>
      </x:c>
      <x:c r="O1780" s="37" t="n">
        <x:v>0</x:v>
      </x:c>
      <x:c r="P1780" s="35" t="n">
        <x:f>L1780*O1780</x:f>
        <x:v>0</x:v>
      </x:c>
      <x:c r="Q1780" s="35" t="n">
        <x:v>0</x:v>
      </x:c>
      <x:c r="R1780" s="35" t="n">
        <x:f>K1780*Q1780</x:f>
        <x:v>0</x:v>
      </x:c>
      <x:c r="S1780" s="35" t="n">
        <x:f>XLOOKUP(H1780,'菜品主数据'!$A$5:$A$24,'菜品主数据'!$G$5:$G$24,0)</x:f>
        <x:v>8.184</x:v>
      </x:c>
      <x:c r="T1780" s="35" t="n">
        <x:f>K1780*S1780</x:f>
        <x:v>49.104</x:v>
      </x:c>
      <x:c r="U1780" s="35" t="n">
        <x:f>L1780-N1780-P1780-R1780-T1780</x:f>
        <x:v>100.896</x:v>
      </x:c>
      <x:c r="V1780" s="21" t="n">
        <x:f>IFERROR(U1780/L1780,0)</x:f>
        <x:v>0.67264</x:v>
      </x:c>
    </x:row>
    <x:row r="1781">
      <x:c r="A1781" s="19" t="str">
        <x:v>SALE-01777</x:v>
      </x:c>
      <x:c r="B1781" s="34" t="n">
        <x:v>46212.5</x:v>
      </x:c>
      <x:c r="C1781" s="19" t="str">
        <x:v>周四</x:v>
      </x:c>
      <x:c r="D1781" s="19" t="str">
        <x:v>S07</x:v>
      </x:c>
      <x:c r="E1781" s="19" t="str">
        <x:v>小和山店</x:v>
      </x:c>
      <x:c r="F1781" s="19" t="str">
        <x:v>堂食</x:v>
      </x:c>
      <x:c r="G1781" s="19" t="str">
        <x:v>全日</x:v>
      </x:c>
      <x:c r="H1781" s="19" t="str">
        <x:v>D17</x:v>
      </x:c>
      <x:c r="I1781" s="19" t="str">
        <x:v>蒜蓉粉丝虾</x:v>
      </x:c>
      <x:c r="J1781" s="22" t="n">
        <x:f>XLOOKUP(H1781,'菜品主数据'!$A$5:$A$24,'菜品主数据'!$D$5:$D$24,0)</x:f>
        <x:v>36</x:v>
      </x:c>
      <x:c r="K1781" s="31" t="n">
        <x:v>5</x:v>
      </x:c>
      <x:c r="L1781" s="35" t="n">
        <x:f>J1781*K1781</x:f>
        <x:v>180</x:v>
      </x:c>
      <x:c r="M1781" s="36" t="n">
        <x:v>0</x:v>
      </x:c>
      <x:c r="N1781" s="35" t="n">
        <x:f>L1781*M1781</x:f>
        <x:v>0</x:v>
      </x:c>
      <x:c r="O1781" s="37" t="n">
        <x:v>0</x:v>
      </x:c>
      <x:c r="P1781" s="35" t="n">
        <x:f>L1781*O1781</x:f>
        <x:v>0</x:v>
      </x:c>
      <x:c r="Q1781" s="35" t="n">
        <x:v>0</x:v>
      </x:c>
      <x:c r="R1781" s="35" t="n">
        <x:f>K1781*Q1781</x:f>
        <x:v>0</x:v>
      </x:c>
      <x:c r="S1781" s="35" t="n">
        <x:f>XLOOKUP(H1781,'菜品主数据'!$A$5:$A$24,'菜品主数据'!$G$5:$G$24,0)</x:f>
        <x:v>13.594</x:v>
      </x:c>
      <x:c r="T1781" s="35" t="n">
        <x:f>K1781*S1781</x:f>
        <x:v>67.97</x:v>
      </x:c>
      <x:c r="U1781" s="35" t="n">
        <x:f>L1781-N1781-P1781-R1781-T1781</x:f>
        <x:v>112.03</x:v>
      </x:c>
      <x:c r="V1781" s="21" t="n">
        <x:f>IFERROR(U1781/L1781,0)</x:f>
        <x:v>0.6223888888888889</x:v>
      </x:c>
    </x:row>
    <x:row r="1782">
      <x:c r="A1782" s="19" t="str">
        <x:v>SALE-01778</x:v>
      </x:c>
      <x:c r="B1782" s="34" t="n">
        <x:v>46212.5</x:v>
      </x:c>
      <x:c r="C1782" s="19" t="str">
        <x:v>周四</x:v>
      </x:c>
      <x:c r="D1782" s="19" t="str">
        <x:v>S07</x:v>
      </x:c>
      <x:c r="E1782" s="19" t="str">
        <x:v>小和山店</x:v>
      </x:c>
      <x:c r="F1782" s="19" t="str">
        <x:v>堂食</x:v>
      </x:c>
      <x:c r="G1782" s="19" t="str">
        <x:v>全日</x:v>
      </x:c>
      <x:c r="H1782" s="19" t="str">
        <x:v>D18</x:v>
      </x:c>
      <x:c r="I1782" s="19" t="str">
        <x:v>青椒炒油麦菜</x:v>
      </x:c>
      <x:c r="J1782" s="22" t="n">
        <x:f>XLOOKUP(H1782,'菜品主数据'!$A$5:$A$24,'菜品主数据'!$D$5:$D$24,0)</x:f>
        <x:v>18</x:v>
      </x:c>
      <x:c r="K1782" s="31" t="n">
        <x:v>7</x:v>
      </x:c>
      <x:c r="L1782" s="35" t="n">
        <x:f>J1782*K1782</x:f>
        <x:v>126</x:v>
      </x:c>
      <x:c r="M1782" s="36" t="n">
        <x:v>0</x:v>
      </x:c>
      <x:c r="N1782" s="35" t="n">
        <x:f>L1782*M1782</x:f>
        <x:v>0</x:v>
      </x:c>
      <x:c r="O1782" s="37" t="n">
        <x:v>0</x:v>
      </x:c>
      <x:c r="P1782" s="35" t="n">
        <x:f>L1782*O1782</x:f>
        <x:v>0</x:v>
      </x:c>
      <x:c r="Q1782" s="35" t="n">
        <x:v>0</x:v>
      </x:c>
      <x:c r="R1782" s="35" t="n">
        <x:f>K1782*Q1782</x:f>
        <x:v>0</x:v>
      </x:c>
      <x:c r="S1782" s="35" t="n">
        <x:f>XLOOKUP(H1782,'菜品主数据'!$A$5:$A$24,'菜品主数据'!$G$5:$G$24,0)</x:f>
        <x:v>3.1759999999999993</x:v>
      </x:c>
      <x:c r="T1782" s="35" t="n">
        <x:f>K1782*S1782</x:f>
        <x:v>22.231999999999996</x:v>
      </x:c>
      <x:c r="U1782" s="35" t="n">
        <x:f>L1782-N1782-P1782-R1782-T1782</x:f>
        <x:v>103.768</x:v>
      </x:c>
      <x:c r="V1782" s="21" t="n">
        <x:f>IFERROR(U1782/L1782,0)</x:f>
        <x:v>0.8235555555555556</x:v>
      </x:c>
    </x:row>
    <x:row r="1783">
      <x:c r="A1783" s="19" t="str">
        <x:v>SALE-01779</x:v>
      </x:c>
      <x:c r="B1783" s="34" t="n">
        <x:v>46212.5</x:v>
      </x:c>
      <x:c r="C1783" s="19" t="str">
        <x:v>周四</x:v>
      </x:c>
      <x:c r="D1783" s="19" t="str">
        <x:v>S07</x:v>
      </x:c>
      <x:c r="E1783" s="19" t="str">
        <x:v>小和山店</x:v>
      </x:c>
      <x:c r="F1783" s="19" t="str">
        <x:v>堂食</x:v>
      </x:c>
      <x:c r="G1783" s="19" t="str">
        <x:v>全日</x:v>
      </x:c>
      <x:c r="H1783" s="19" t="str">
        <x:v>D19</x:v>
      </x:c>
      <x:c r="I1783" s="19" t="str">
        <x:v>酸萝卜炒鸡杂</x:v>
      </x:c>
      <x:c r="J1783" s="22" t="n">
        <x:f>XLOOKUP(H1783,'菜品主数据'!$A$5:$A$24,'菜品主数据'!$D$5:$D$24,0)</x:f>
        <x:v>25</x:v>
      </x:c>
      <x:c r="K1783" s="31" t="n">
        <x:v>5</x:v>
      </x:c>
      <x:c r="L1783" s="35" t="n">
        <x:f>J1783*K1783</x:f>
        <x:v>125</x:v>
      </x:c>
      <x:c r="M1783" s="36" t="n">
        <x:v>0</x:v>
      </x:c>
      <x:c r="N1783" s="35" t="n">
        <x:f>L1783*M1783</x:f>
        <x:v>0</x:v>
      </x:c>
      <x:c r="O1783" s="37" t="n">
        <x:v>0</x:v>
      </x:c>
      <x:c r="P1783" s="35" t="n">
        <x:f>L1783*O1783</x:f>
        <x:v>0</x:v>
      </x:c>
      <x:c r="Q1783" s="35" t="n">
        <x:v>0</x:v>
      </x:c>
      <x:c r="R1783" s="35" t="n">
        <x:f>K1783*Q1783</x:f>
        <x:v>0</x:v>
      </x:c>
      <x:c r="S1783" s="35" t="n">
        <x:f>XLOOKUP(H1783,'菜品主数据'!$A$5:$A$24,'菜品主数据'!$G$5:$G$24,0)</x:f>
        <x:v>7.9399999999999995</x:v>
      </x:c>
      <x:c r="T1783" s="35" t="n">
        <x:f>K1783*S1783</x:f>
        <x:v>39.699999999999996</x:v>
      </x:c>
      <x:c r="U1783" s="35" t="n">
        <x:f>L1783-N1783-P1783-R1783-T1783</x:f>
        <x:v>85.30000000000001</x:v>
      </x:c>
      <x:c r="V1783" s="21" t="n">
        <x:f>IFERROR(U1783/L1783,0)</x:f>
        <x:v>0.6824000000000001</x:v>
      </x:c>
    </x:row>
    <x:row r="1784">
      <x:c r="A1784" s="19" t="str">
        <x:v>SALE-01780</x:v>
      </x:c>
      <x:c r="B1784" s="34" t="n">
        <x:v>46212.5</x:v>
      </x:c>
      <x:c r="C1784" s="19" t="str">
        <x:v>周四</x:v>
      </x:c>
      <x:c r="D1784" s="19" t="str">
        <x:v>S07</x:v>
      </x:c>
      <x:c r="E1784" s="19" t="str">
        <x:v>小和山店</x:v>
      </x:c>
      <x:c r="F1784" s="19" t="str">
        <x:v>堂食</x:v>
      </x:c>
      <x:c r="G1784" s="19" t="str">
        <x:v>全日</x:v>
      </x:c>
      <x:c r="H1784" s="19" t="str">
        <x:v>D20</x:v>
      </x:c>
      <x:c r="I1784" s="19" t="str">
        <x:v>雪菜肉末青豆</x:v>
      </x:c>
      <x:c r="J1784" s="22" t="n">
        <x:f>XLOOKUP(H1784,'菜品主数据'!$A$5:$A$24,'菜品主数据'!$D$5:$D$24,0)</x:f>
        <x:v>18</x:v>
      </x:c>
      <x:c r="K1784" s="31" t="n">
        <x:v>8</x:v>
      </x:c>
      <x:c r="L1784" s="35" t="n">
        <x:f>J1784*K1784</x:f>
        <x:v>144</x:v>
      </x:c>
      <x:c r="M1784" s="36" t="n">
        <x:v>0</x:v>
      </x:c>
      <x:c r="N1784" s="35" t="n">
        <x:f>L1784*M1784</x:f>
        <x:v>0</x:v>
      </x:c>
      <x:c r="O1784" s="37" t="n">
        <x:v>0</x:v>
      </x:c>
      <x:c r="P1784" s="35" t="n">
        <x:f>L1784*O1784</x:f>
        <x:v>0</x:v>
      </x:c>
      <x:c r="Q1784" s="35" t="n">
        <x:v>0</x:v>
      </x:c>
      <x:c r="R1784" s="35" t="n">
        <x:f>K1784*Q1784</x:f>
        <x:v>0</x:v>
      </x:c>
      <x:c r="S1784" s="35" t="n">
        <x:f>XLOOKUP(H1784,'菜品主数据'!$A$5:$A$24,'菜品主数据'!$G$5:$G$24,0)</x:f>
        <x:v>7.303999999999999</x:v>
      </x:c>
      <x:c r="T1784" s="35" t="n">
        <x:f>K1784*S1784</x:f>
        <x:v>58.431999999999995</x:v>
      </x:c>
      <x:c r="U1784" s="35" t="n">
        <x:f>L1784-N1784-P1784-R1784-T1784</x:f>
        <x:v>85.56800000000001</x:v>
      </x:c>
      <x:c r="V1784" s="21" t="n">
        <x:f>IFERROR(U1784/L1784,0)</x:f>
        <x:v>0.5942222222222223</x:v>
      </x:c>
    </x:row>
    <x:row r="1785">
      <x:c r="A1785" s="19" t="str">
        <x:v>SALE-01781</x:v>
      </x:c>
      <x:c r="B1785" s="34" t="n">
        <x:v>46212.5</x:v>
      </x:c>
      <x:c r="C1785" s="19" t="str">
        <x:v>周四</x:v>
      </x:c>
      <x:c r="D1785" s="19" t="str">
        <x:v>S07</x:v>
      </x:c>
      <x:c r="E1785" s="19" t="str">
        <x:v>小和山店</x:v>
      </x:c>
      <x:c r="F1785" s="19" t="str">
        <x:v>外卖</x:v>
      </x:c>
      <x:c r="G1785" s="19" t="str">
        <x:v>全日</x:v>
      </x:c>
      <x:c r="H1785" s="19" t="str">
        <x:v>D01</x:v>
      </x:c>
      <x:c r="I1785" s="19" t="str">
        <x:v>辣椒炒肉</x:v>
      </x:c>
      <x:c r="J1785" s="22" t="n">
        <x:f>XLOOKUP(H1785,'菜品主数据'!$A$5:$A$24,'菜品主数据'!$D$5:$D$24,0)</x:f>
        <x:v>29</x:v>
      </x:c>
      <x:c r="K1785" s="31" t="n">
        <x:v>4</x:v>
      </x:c>
      <x:c r="L1785" s="35" t="n">
        <x:f>J1785*K1785</x:f>
        <x:v>116</x:v>
      </x:c>
      <x:c r="M1785" s="36" t="n">
        <x:v>0.08</x:v>
      </x:c>
      <x:c r="N1785" s="35" t="n">
        <x:f>L1785*M1785</x:f>
        <x:v>9.28</x:v>
      </x:c>
      <x:c r="O1785" s="37" t="n">
        <x:v>0.18</x:v>
      </x:c>
      <x:c r="P1785" s="35" t="n">
        <x:f>L1785*O1785</x:f>
        <x:v>20.88</x:v>
      </x:c>
      <x:c r="Q1785" s="35" t="n">
        <x:v>1.2</x:v>
      </x:c>
      <x:c r="R1785" s="35" t="n">
        <x:f>K1785*Q1785</x:f>
        <x:v>4.8</x:v>
      </x:c>
      <x:c r="S1785" s="35" t="n">
        <x:f>XLOOKUP(H1785,'菜品主数据'!$A$5:$A$24,'菜品主数据'!$G$5:$G$24,0)</x:f>
        <x:v>8.634400000000001</x:v>
      </x:c>
      <x:c r="T1785" s="35" t="n">
        <x:f>K1785*S1785</x:f>
        <x:v>34.537600000000005</x:v>
      </x:c>
      <x:c r="U1785" s="35" t="n">
        <x:f>L1785-N1785-P1785-R1785-T1785</x:f>
        <x:v>46.5024</x:v>
      </x:c>
      <x:c r="V1785" s="21" t="n">
        <x:f>IFERROR(U1785/L1785,0)</x:f>
        <x:v>0.40088275862068967</x:v>
      </x:c>
    </x:row>
    <x:row r="1786">
      <x:c r="A1786" s="19" t="str">
        <x:v>SALE-01782</x:v>
      </x:c>
      <x:c r="B1786" s="34" t="n">
        <x:v>46212.5</x:v>
      </x:c>
      <x:c r="C1786" s="19" t="str">
        <x:v>周四</x:v>
      </x:c>
      <x:c r="D1786" s="19" t="str">
        <x:v>S07</x:v>
      </x:c>
      <x:c r="E1786" s="19" t="str">
        <x:v>小和山店</x:v>
      </x:c>
      <x:c r="F1786" s="19" t="str">
        <x:v>外卖</x:v>
      </x:c>
      <x:c r="G1786" s="19" t="str">
        <x:v>全日</x:v>
      </x:c>
      <x:c r="H1786" s="19" t="str">
        <x:v>D02</x:v>
      </x:c>
      <x:c r="I1786" s="19" t="str">
        <x:v>小炒黄牛肉</x:v>
      </x:c>
      <x:c r="J1786" s="22" t="n">
        <x:f>XLOOKUP(H1786,'菜品主数据'!$A$5:$A$24,'菜品主数据'!$D$5:$D$24,0)</x:f>
        <x:v>49</x:v>
      </x:c>
      <x:c r="K1786" s="31" t="n">
        <x:v>7</x:v>
      </x:c>
      <x:c r="L1786" s="35" t="n">
        <x:f>J1786*K1786</x:f>
        <x:v>343</x:v>
      </x:c>
      <x:c r="M1786" s="36" t="n">
        <x:v>0.08</x:v>
      </x:c>
      <x:c r="N1786" s="35" t="n">
        <x:f>L1786*M1786</x:f>
        <x:v>27.44</x:v>
      </x:c>
      <x:c r="O1786" s="37" t="n">
        <x:v>0.18</x:v>
      </x:c>
      <x:c r="P1786" s="35" t="n">
        <x:f>L1786*O1786</x:f>
        <x:v>61.739999999999995</x:v>
      </x:c>
      <x:c r="Q1786" s="35" t="n">
        <x:v>1.2</x:v>
      </x:c>
      <x:c r="R1786" s="35" t="n">
        <x:f>K1786*Q1786</x:f>
        <x:v>8.4</x:v>
      </x:c>
      <x:c r="S1786" s="35" t="n">
        <x:f>XLOOKUP(H1786,'菜品主数据'!$A$5:$A$24,'菜品主数据'!$G$5:$G$24,0)</x:f>
        <x:v>17.577</x:v>
      </x:c>
      <x:c r="T1786" s="35" t="n">
        <x:f>K1786*S1786</x:f>
        <x:v>123.03900000000002</x:v>
      </x:c>
      <x:c r="U1786" s="35" t="n">
        <x:f>L1786-N1786-P1786-R1786-T1786</x:f>
        <x:v>122.38099999999997</x:v>
      </x:c>
      <x:c r="V1786" s="21" t="n">
        <x:f>IFERROR(U1786/L1786,0)</x:f>
        <x:v>0.35679591836734686</x:v>
      </x:c>
    </x:row>
    <x:row r="1787">
      <x:c r="A1787" s="19" t="str">
        <x:v>SALE-01783</x:v>
      </x:c>
      <x:c r="B1787" s="34" t="n">
        <x:v>46212.5</x:v>
      </x:c>
      <x:c r="C1787" s="19" t="str">
        <x:v>周四</x:v>
      </x:c>
      <x:c r="D1787" s="19" t="str">
        <x:v>S07</x:v>
      </x:c>
      <x:c r="E1787" s="19" t="str">
        <x:v>小和山店</x:v>
      </x:c>
      <x:c r="F1787" s="19" t="str">
        <x:v>外卖</x:v>
      </x:c>
      <x:c r="G1787" s="19" t="str">
        <x:v>全日</x:v>
      </x:c>
      <x:c r="H1787" s="19" t="str">
        <x:v>D03</x:v>
      </x:c>
      <x:c r="I1787" s="19" t="str">
        <x:v>香醋炒蛋</x:v>
      </x:c>
      <x:c r="J1787" s="22" t="n">
        <x:f>XLOOKUP(H1787,'菜品主数据'!$A$5:$A$24,'菜品主数据'!$D$5:$D$24,0)</x:f>
        <x:v>14.9</x:v>
      </x:c>
      <x:c r="K1787" s="31" t="n">
        <x:v>3</x:v>
      </x:c>
      <x:c r="L1787" s="35" t="n">
        <x:f>J1787*K1787</x:f>
        <x:v>44.7</x:v>
      </x:c>
      <x:c r="M1787" s="36" t="n">
        <x:v>0.08</x:v>
      </x:c>
      <x:c r="N1787" s="35" t="n">
        <x:f>L1787*M1787</x:f>
        <x:v>3.5760000000000005</x:v>
      </x:c>
      <x:c r="O1787" s="37" t="n">
        <x:v>0.18</x:v>
      </x:c>
      <x:c r="P1787" s="35" t="n">
        <x:f>L1787*O1787</x:f>
        <x:v>8.046</x:v>
      </x:c>
      <x:c r="Q1787" s="35" t="n">
        <x:v>1.2</x:v>
      </x:c>
      <x:c r="R1787" s="35" t="n">
        <x:f>K1787*Q1787</x:f>
        <x:v>3.5999999999999996</x:v>
      </x:c>
      <x:c r="S1787" s="35" t="n">
        <x:f>XLOOKUP(H1787,'菜品主数据'!$A$5:$A$24,'菜品主数据'!$G$5:$G$24,0)</x:f>
        <x:v>3.7459999999999996</x:v>
      </x:c>
      <x:c r="T1787" s="35" t="n">
        <x:f>K1787*S1787</x:f>
        <x:v>11.238</x:v>
      </x:c>
      <x:c r="U1787" s="35" t="n">
        <x:f>L1787-N1787-P1787-R1787-T1787</x:f>
        <x:v>18.240000000000002</x:v>
      </x:c>
      <x:c r="V1787" s="21" t="n">
        <x:f>IFERROR(U1787/L1787,0)</x:f>
        <x:v>0.40805369127516783</x:v>
      </x:c>
    </x:row>
    <x:row r="1788">
      <x:c r="A1788" s="19" t="str">
        <x:v>SALE-01784</x:v>
      </x:c>
      <x:c r="B1788" s="34" t="n">
        <x:v>46212.5</x:v>
      </x:c>
      <x:c r="C1788" s="19" t="str">
        <x:v>周四</x:v>
      </x:c>
      <x:c r="D1788" s="19" t="str">
        <x:v>S07</x:v>
      </x:c>
      <x:c r="E1788" s="19" t="str">
        <x:v>小和山店</x:v>
      </x:c>
      <x:c r="F1788" s="19" t="str">
        <x:v>外卖</x:v>
      </x:c>
      <x:c r="G1788" s="19" t="str">
        <x:v>全日</x:v>
      </x:c>
      <x:c r="H1788" s="19" t="str">
        <x:v>D04</x:v>
      </x:c>
      <x:c r="I1788" s="19" t="str">
        <x:v>酸包菜炒粉皮</x:v>
      </x:c>
      <x:c r="J1788" s="22" t="n">
        <x:f>XLOOKUP(H1788,'菜品主数据'!$A$5:$A$24,'菜品主数据'!$D$5:$D$24,0)</x:f>
        <x:v>16</x:v>
      </x:c>
      <x:c r="K1788" s="31" t="n">
        <x:v>3</x:v>
      </x:c>
      <x:c r="L1788" s="35" t="n">
        <x:f>J1788*K1788</x:f>
        <x:v>48</x:v>
      </x:c>
      <x:c r="M1788" s="36" t="n">
        <x:v>0.08</x:v>
      </x:c>
      <x:c r="N1788" s="35" t="n">
        <x:f>L1788*M1788</x:f>
        <x:v>3.84</x:v>
      </x:c>
      <x:c r="O1788" s="37" t="n">
        <x:v>0.18</x:v>
      </x:c>
      <x:c r="P1788" s="35" t="n">
        <x:f>L1788*O1788</x:f>
        <x:v>8.64</x:v>
      </x:c>
      <x:c r="Q1788" s="35" t="n">
        <x:v>1.2</x:v>
      </x:c>
      <x:c r="R1788" s="35" t="n">
        <x:f>K1788*Q1788</x:f>
        <x:v>3.5999999999999996</x:v>
      </x:c>
      <x:c r="S1788" s="35" t="n">
        <x:f>XLOOKUP(H1788,'菜品主数据'!$A$5:$A$24,'菜品主数据'!$G$5:$G$24,0)</x:f>
        <x:v>3.978</x:v>
      </x:c>
      <x:c r="T1788" s="35" t="n">
        <x:f>K1788*S1788</x:f>
        <x:v>11.934000000000001</x:v>
      </x:c>
      <x:c r="U1788" s="35" t="n">
        <x:f>L1788-N1788-P1788-R1788-T1788</x:f>
        <x:v>19.985999999999994</x:v>
      </x:c>
      <x:c r="V1788" s="21" t="n">
        <x:f>IFERROR(U1788/L1788,0)</x:f>
        <x:v>0.4163749999999999</x:v>
      </x:c>
    </x:row>
    <x:row r="1789">
      <x:c r="A1789" s="19" t="str">
        <x:v>SALE-01785</x:v>
      </x:c>
      <x:c r="B1789" s="34" t="n">
        <x:v>46212.5</x:v>
      </x:c>
      <x:c r="C1789" s="19" t="str">
        <x:v>周四</x:v>
      </x:c>
      <x:c r="D1789" s="19" t="str">
        <x:v>S07</x:v>
      </x:c>
      <x:c r="E1789" s="19" t="str">
        <x:v>小和山店</x:v>
      </x:c>
      <x:c r="F1789" s="19" t="str">
        <x:v>外卖</x:v>
      </x:c>
      <x:c r="G1789" s="19" t="str">
        <x:v>全日</x:v>
      </x:c>
      <x:c r="H1789" s="19" t="str">
        <x:v>D05</x:v>
      </x:c>
      <x:c r="I1789" s="19" t="str">
        <x:v>麻婆豆腐</x:v>
      </x:c>
      <x:c r="J1789" s="22" t="n">
        <x:f>XLOOKUP(H1789,'菜品主数据'!$A$5:$A$24,'菜品主数据'!$D$5:$D$24,0)</x:f>
        <x:v>9.9</x:v>
      </x:c>
      <x:c r="K1789" s="31" t="n">
        <x:v>4</x:v>
      </x:c>
      <x:c r="L1789" s="35" t="n">
        <x:f>J1789*K1789</x:f>
        <x:v>39.6</x:v>
      </x:c>
      <x:c r="M1789" s="36" t="n">
        <x:v>0.08</x:v>
      </x:c>
      <x:c r="N1789" s="35" t="n">
        <x:f>L1789*M1789</x:f>
        <x:v>3.168</x:v>
      </x:c>
      <x:c r="O1789" s="37" t="n">
        <x:v>0.18</x:v>
      </x:c>
      <x:c r="P1789" s="35" t="n">
        <x:f>L1789*O1789</x:f>
        <x:v>7.128</x:v>
      </x:c>
      <x:c r="Q1789" s="35" t="n">
        <x:v>1.2</x:v>
      </x:c>
      <x:c r="R1789" s="35" t="n">
        <x:f>K1789*Q1789</x:f>
        <x:v>4.8</x:v>
      </x:c>
      <x:c r="S1789" s="35" t="n">
        <x:f>XLOOKUP(H1789,'菜品主数据'!$A$5:$A$24,'菜品主数据'!$G$5:$G$24,0)</x:f>
        <x:v>5.367000000000001</x:v>
      </x:c>
      <x:c r="T1789" s="35" t="n">
        <x:f>K1789*S1789</x:f>
        <x:v>21.468000000000004</x:v>
      </x:c>
      <x:c r="U1789" s="35" t="n">
        <x:f>L1789-N1789-P1789-R1789-T1789</x:f>
        <x:v>3.035999999999998</x:v>
      </x:c>
      <x:c r="V1789" s="21" t="n">
        <x:f>IFERROR(U1789/L1789,0)</x:f>
        <x:v>0.0766666666666666</x:v>
      </x:c>
    </x:row>
    <x:row r="1790">
      <x:c r="A1790" s="19" t="str">
        <x:v>SALE-01786</x:v>
      </x:c>
      <x:c r="B1790" s="34" t="n">
        <x:v>46212.5</x:v>
      </x:c>
      <x:c r="C1790" s="19" t="str">
        <x:v>周四</x:v>
      </x:c>
      <x:c r="D1790" s="19" t="str">
        <x:v>S07</x:v>
      </x:c>
      <x:c r="E1790" s="19" t="str">
        <x:v>小和山店</x:v>
      </x:c>
      <x:c r="F1790" s="19" t="str">
        <x:v>外卖</x:v>
      </x:c>
      <x:c r="G1790" s="19" t="str">
        <x:v>全日</x:v>
      </x:c>
      <x:c r="H1790" s="19" t="str">
        <x:v>D06</x:v>
      </x:c>
      <x:c r="I1790" s="19" t="str">
        <x:v>剁椒鱼头</x:v>
      </x:c>
      <x:c r="J1790" s="22" t="n">
        <x:f>XLOOKUP(H1790,'菜品主数据'!$A$5:$A$24,'菜品主数据'!$D$5:$D$24,0)</x:f>
        <x:v>39</x:v>
      </x:c>
      <x:c r="K1790" s="31" t="n">
        <x:v>1</x:v>
      </x:c>
      <x:c r="L1790" s="35" t="n">
        <x:f>J1790*K1790</x:f>
        <x:v>39</x:v>
      </x:c>
      <x:c r="M1790" s="36" t="n">
        <x:v>0.08</x:v>
      </x:c>
      <x:c r="N1790" s="35" t="n">
        <x:f>L1790*M1790</x:f>
        <x:v>3.12</x:v>
      </x:c>
      <x:c r="O1790" s="37" t="n">
        <x:v>0.18</x:v>
      </x:c>
      <x:c r="P1790" s="35" t="n">
        <x:f>L1790*O1790</x:f>
        <x:v>7.02</x:v>
      </x:c>
      <x:c r="Q1790" s="35" t="n">
        <x:v>1.2</x:v>
      </x:c>
      <x:c r="R1790" s="35" t="n">
        <x:f>K1790*Q1790</x:f>
        <x:v>1.2</x:v>
      </x:c>
      <x:c r="S1790" s="35" t="n">
        <x:f>XLOOKUP(H1790,'菜品主数据'!$A$5:$A$24,'菜品主数据'!$G$5:$G$24,0)</x:f>
        <x:v>17.446</x:v>
      </x:c>
      <x:c r="T1790" s="35" t="n">
        <x:f>K1790*S1790</x:f>
        <x:v>17.446</x:v>
      </x:c>
      <x:c r="U1790" s="35" t="n">
        <x:f>L1790-N1790-P1790-R1790-T1790</x:f>
        <x:v>10.214000000000002</x:v>
      </x:c>
      <x:c r="V1790" s="21" t="n">
        <x:f>IFERROR(U1790/L1790,0)</x:f>
        <x:v>0.26189743589743597</x:v>
      </x:c>
    </x:row>
    <x:row r="1791">
      <x:c r="A1791" s="19" t="str">
        <x:v>SALE-01787</x:v>
      </x:c>
      <x:c r="B1791" s="34" t="n">
        <x:v>46212.5</x:v>
      </x:c>
      <x:c r="C1791" s="19" t="str">
        <x:v>周四</x:v>
      </x:c>
      <x:c r="D1791" s="19" t="str">
        <x:v>S07</x:v>
      </x:c>
      <x:c r="E1791" s="19" t="str">
        <x:v>小和山店</x:v>
      </x:c>
      <x:c r="F1791" s="19" t="str">
        <x:v>外卖</x:v>
      </x:c>
      <x:c r="G1791" s="19" t="str">
        <x:v>全日</x:v>
      </x:c>
      <x:c r="H1791" s="19" t="str">
        <x:v>D07</x:v>
      </x:c>
      <x:c r="I1791" s="19" t="str">
        <x:v>川味回锅肉</x:v>
      </x:c>
      <x:c r="J1791" s="22" t="n">
        <x:f>XLOOKUP(H1791,'菜品主数据'!$A$5:$A$24,'菜品主数据'!$D$5:$D$24,0)</x:f>
        <x:v>29</x:v>
      </x:c>
      <x:c r="K1791" s="31" t="n">
        <x:v>1</x:v>
      </x:c>
      <x:c r="L1791" s="35" t="n">
        <x:f>J1791*K1791</x:f>
        <x:v>29</x:v>
      </x:c>
      <x:c r="M1791" s="36" t="n">
        <x:v>0.08</x:v>
      </x:c>
      <x:c r="N1791" s="35" t="n">
        <x:f>L1791*M1791</x:f>
        <x:v>2.32</x:v>
      </x:c>
      <x:c r="O1791" s="37" t="n">
        <x:v>0.18</x:v>
      </x:c>
      <x:c r="P1791" s="35" t="n">
        <x:f>L1791*O1791</x:f>
        <x:v>5.22</x:v>
      </x:c>
      <x:c r="Q1791" s="35" t="n">
        <x:v>1.2</x:v>
      </x:c>
      <x:c r="R1791" s="35" t="n">
        <x:f>K1791*Q1791</x:f>
        <x:v>1.2</x:v>
      </x:c>
      <x:c r="S1791" s="35" t="n">
        <x:f>XLOOKUP(H1791,'菜品主数据'!$A$5:$A$24,'菜品主数据'!$G$5:$G$24,0)</x:f>
        <x:v>10.231000000000002</x:v>
      </x:c>
      <x:c r="T1791" s="35" t="n">
        <x:f>K1791*S1791</x:f>
        <x:v>10.231000000000002</x:v>
      </x:c>
      <x:c r="U1791" s="35" t="n">
        <x:f>L1791-N1791-P1791-R1791-T1791</x:f>
        <x:v>10.029</x:v>
      </x:c>
      <x:c r="V1791" s="21" t="n">
        <x:f>IFERROR(U1791/L1791,0)</x:f>
        <x:v>0.3458275862068966</x:v>
      </x:c>
    </x:row>
    <x:row r="1792">
      <x:c r="A1792" s="19" t="str">
        <x:v>SALE-01788</x:v>
      </x:c>
      <x:c r="B1792" s="34" t="n">
        <x:v>46212.5</x:v>
      </x:c>
      <x:c r="C1792" s="19" t="str">
        <x:v>周四</x:v>
      </x:c>
      <x:c r="D1792" s="19" t="str">
        <x:v>S07</x:v>
      </x:c>
      <x:c r="E1792" s="19" t="str">
        <x:v>小和山店</x:v>
      </x:c>
      <x:c r="F1792" s="19" t="str">
        <x:v>外卖</x:v>
      </x:c>
      <x:c r="G1792" s="19" t="str">
        <x:v>全日</x:v>
      </x:c>
      <x:c r="H1792" s="19" t="str">
        <x:v>D08</x:v>
      </x:c>
      <x:c r="I1792" s="19" t="str">
        <x:v>生炒清远鸡</x:v>
      </x:c>
      <x:c r="J1792" s="22" t="n">
        <x:f>XLOOKUP(H1792,'菜品主数据'!$A$5:$A$24,'菜品主数据'!$D$5:$D$24,0)</x:f>
        <x:v>36</x:v>
      </x:c>
      <x:c r="K1792" s="31" t="n">
        <x:v>2</x:v>
      </x:c>
      <x:c r="L1792" s="35" t="n">
        <x:f>J1792*K1792</x:f>
        <x:v>72</x:v>
      </x:c>
      <x:c r="M1792" s="36" t="n">
        <x:v>0.08</x:v>
      </x:c>
      <x:c r="N1792" s="35" t="n">
        <x:f>L1792*M1792</x:f>
        <x:v>5.76</x:v>
      </x:c>
      <x:c r="O1792" s="37" t="n">
        <x:v>0.18</x:v>
      </x:c>
      <x:c r="P1792" s="35" t="n">
        <x:f>L1792*O1792</x:f>
        <x:v>12.959999999999999</x:v>
      </x:c>
      <x:c r="Q1792" s="35" t="n">
        <x:v>1.2</x:v>
      </x:c>
      <x:c r="R1792" s="35" t="n">
        <x:f>K1792*Q1792</x:f>
        <x:v>2.4</x:v>
      </x:c>
      <x:c r="S1792" s="35" t="n">
        <x:f>XLOOKUP(H1792,'菜品主数据'!$A$5:$A$24,'菜品主数据'!$G$5:$G$24,0)</x:f>
        <x:v>13.48</x:v>
      </x:c>
      <x:c r="T1792" s="35" t="n">
        <x:f>K1792*S1792</x:f>
        <x:v>26.96</x:v>
      </x:c>
      <x:c r="U1792" s="35" t="n">
        <x:f>L1792-N1792-P1792-R1792-T1792</x:f>
        <x:v>23.919999999999995</x:v>
      </x:c>
      <x:c r="V1792" s="21" t="n">
        <x:f>IFERROR(U1792/L1792,0)</x:f>
        <x:v>0.33222222222222214</x:v>
      </x:c>
    </x:row>
    <x:row r="1793">
      <x:c r="A1793" s="19" t="str">
        <x:v>SALE-01789</x:v>
      </x:c>
      <x:c r="B1793" s="34" t="n">
        <x:v>46212.5</x:v>
      </x:c>
      <x:c r="C1793" s="19" t="str">
        <x:v>周四</x:v>
      </x:c>
      <x:c r="D1793" s="19" t="str">
        <x:v>S07</x:v>
      </x:c>
      <x:c r="E1793" s="19" t="str">
        <x:v>小和山店</x:v>
      </x:c>
      <x:c r="F1793" s="19" t="str">
        <x:v>外卖</x:v>
      </x:c>
      <x:c r="G1793" s="19" t="str">
        <x:v>全日</x:v>
      </x:c>
      <x:c r="H1793" s="19" t="str">
        <x:v>D09</x:v>
      </x:c>
      <x:c r="I1793" s="19" t="str">
        <x:v>炒豆干</x:v>
      </x:c>
      <x:c r="J1793" s="22" t="n">
        <x:f>XLOOKUP(H1793,'菜品主数据'!$A$5:$A$24,'菜品主数据'!$D$5:$D$24,0)</x:f>
        <x:v>18</x:v>
      </x:c>
      <x:c r="K1793" s="31" t="n">
        <x:v>1</x:v>
      </x:c>
      <x:c r="L1793" s="35" t="n">
        <x:f>J1793*K1793</x:f>
        <x:v>18</x:v>
      </x:c>
      <x:c r="M1793" s="36" t="n">
        <x:v>0.08</x:v>
      </x:c>
      <x:c r="N1793" s="35" t="n">
        <x:f>L1793*M1793</x:f>
        <x:v>1.44</x:v>
      </x:c>
      <x:c r="O1793" s="37" t="n">
        <x:v>0.18</x:v>
      </x:c>
      <x:c r="P1793" s="35" t="n">
        <x:f>L1793*O1793</x:f>
        <x:v>3.2399999999999998</x:v>
      </x:c>
      <x:c r="Q1793" s="35" t="n">
        <x:v>1.2</x:v>
      </x:c>
      <x:c r="R1793" s="35" t="n">
        <x:f>K1793*Q1793</x:f>
        <x:v>1.2</x:v>
      </x:c>
      <x:c r="S1793" s="35" t="n">
        <x:f>XLOOKUP(H1793,'菜品主数据'!$A$5:$A$24,'菜品主数据'!$G$5:$G$24,0)</x:f>
        <x:v>6.613999999999999</x:v>
      </x:c>
      <x:c r="T1793" s="35" t="n">
        <x:f>K1793*S1793</x:f>
        <x:v>6.613999999999999</x:v>
      </x:c>
      <x:c r="U1793" s="35" t="n">
        <x:f>L1793-N1793-P1793-R1793-T1793</x:f>
        <x:v>5.506</x:v>
      </x:c>
      <x:c r="V1793" s="21" t="n">
        <x:f>IFERROR(U1793/L1793,0)</x:f>
        <x:v>0.3058888888888889</x:v>
      </x:c>
    </x:row>
    <x:row r="1794">
      <x:c r="A1794" s="19" t="str">
        <x:v>SALE-01790</x:v>
      </x:c>
      <x:c r="B1794" s="34" t="n">
        <x:v>46212.5</x:v>
      </x:c>
      <x:c r="C1794" s="19" t="str">
        <x:v>周四</x:v>
      </x:c>
      <x:c r="D1794" s="19" t="str">
        <x:v>S07</x:v>
      </x:c>
      <x:c r="E1794" s="19" t="str">
        <x:v>小和山店</x:v>
      </x:c>
      <x:c r="F1794" s="19" t="str">
        <x:v>外卖</x:v>
      </x:c>
      <x:c r="G1794" s="19" t="str">
        <x:v>全日</x:v>
      </x:c>
      <x:c r="H1794" s="19" t="str">
        <x:v>D10</x:v>
      </x:c>
      <x:c r="I1794" s="19" t="str">
        <x:v>农家一碗香</x:v>
      </x:c>
      <x:c r="J1794" s="22" t="n">
        <x:f>XLOOKUP(H1794,'菜品主数据'!$A$5:$A$24,'菜品主数据'!$D$5:$D$24,0)</x:f>
        <x:v>22.9</x:v>
      </x:c>
      <x:c r="K1794" s="31" t="n">
        <x:v>1</x:v>
      </x:c>
      <x:c r="L1794" s="35" t="n">
        <x:f>J1794*K1794</x:f>
        <x:v>22.9</x:v>
      </x:c>
      <x:c r="M1794" s="36" t="n">
        <x:v>0.08</x:v>
      </x:c>
      <x:c r="N1794" s="35" t="n">
        <x:f>L1794*M1794</x:f>
        <x:v>1.8319999999999999</x:v>
      </x:c>
      <x:c r="O1794" s="37" t="n">
        <x:v>0.18</x:v>
      </x:c>
      <x:c r="P1794" s="35" t="n">
        <x:f>L1794*O1794</x:f>
        <x:v>4.122</x:v>
      </x:c>
      <x:c r="Q1794" s="35" t="n">
        <x:v>1.2</x:v>
      </x:c>
      <x:c r="R1794" s="35" t="n">
        <x:f>K1794*Q1794</x:f>
        <x:v>1.2</x:v>
      </x:c>
      <x:c r="S1794" s="35" t="n">
        <x:f>XLOOKUP(H1794,'菜品主数据'!$A$5:$A$24,'菜品主数据'!$G$5:$G$24,0)</x:f>
        <x:v>9.770200000000003</x:v>
      </x:c>
      <x:c r="T1794" s="35" t="n">
        <x:f>K1794*S1794</x:f>
        <x:v>9.770200000000003</x:v>
      </x:c>
      <x:c r="U1794" s="35" t="n">
        <x:f>L1794-N1794-P1794-R1794-T1794</x:f>
        <x:v>5.975799999999996</x:v>
      </x:c>
      <x:c r="V1794" s="21" t="n">
        <x:f>IFERROR(U1794/L1794,0)</x:f>
        <x:v>0.260951965065502</x:v>
      </x:c>
    </x:row>
    <x:row r="1795">
      <x:c r="A1795" s="19" t="str">
        <x:v>SALE-01791</x:v>
      </x:c>
      <x:c r="B1795" s="34" t="n">
        <x:v>46212.5</x:v>
      </x:c>
      <x:c r="C1795" s="19" t="str">
        <x:v>周四</x:v>
      </x:c>
      <x:c r="D1795" s="19" t="str">
        <x:v>S07</x:v>
      </x:c>
      <x:c r="E1795" s="19" t="str">
        <x:v>小和山店</x:v>
      </x:c>
      <x:c r="F1795" s="19" t="str">
        <x:v>外卖</x:v>
      </x:c>
      <x:c r="G1795" s="19" t="str">
        <x:v>全日</x:v>
      </x:c>
      <x:c r="H1795" s="19" t="str">
        <x:v>D11</x:v>
      </x:c>
      <x:c r="I1795" s="19" t="str">
        <x:v>香辣爆肥肠</x:v>
      </x:c>
      <x:c r="J1795" s="22" t="n">
        <x:f>XLOOKUP(H1795,'菜品主数据'!$A$5:$A$24,'菜品主数据'!$D$5:$D$24,0)</x:f>
        <x:v>39</x:v>
      </x:c>
      <x:c r="K1795" s="31" t="n">
        <x:v>0</x:v>
      </x:c>
      <x:c r="L1795" s="35" t="n">
        <x:f>J1795*K1795</x:f>
        <x:v>0</x:v>
      </x:c>
      <x:c r="M1795" s="36" t="n">
        <x:v>0.08</x:v>
      </x:c>
      <x:c r="N1795" s="35" t="n">
        <x:f>L1795*M1795</x:f>
        <x:v>0</x:v>
      </x:c>
      <x:c r="O1795" s="37" t="n">
        <x:v>0.18</x:v>
      </x:c>
      <x:c r="P1795" s="35" t="n">
        <x:f>L1795*O1795</x:f>
        <x:v>0</x:v>
      </x:c>
      <x:c r="Q1795" s="35" t="n">
        <x:v>1.2</x:v>
      </x:c>
      <x:c r="R1795" s="35" t="n">
        <x:f>K1795*Q1795</x:f>
        <x:v>0</x:v>
      </x:c>
      <x:c r="S1795" s="35" t="n">
        <x:f>XLOOKUP(H1795,'菜品主数据'!$A$5:$A$24,'菜品主数据'!$G$5:$G$24,0)</x:f>
        <x:v>10.397</x:v>
      </x:c>
      <x:c r="T1795" s="35" t="n">
        <x:f>K1795*S1795</x:f>
        <x:v>0</x:v>
      </x:c>
      <x:c r="U1795" s="35" t="n">
        <x:f>L1795-N1795-P1795-R1795-T1795</x:f>
        <x:v>0</x:v>
      </x:c>
      <x:c r="V1795" s="21" t="n">
        <x:f>IFERROR(U1795/L1795,0)</x:f>
        <x:v>0</x:v>
      </x:c>
    </x:row>
    <x:row r="1796">
      <x:c r="A1796" s="19" t="str">
        <x:v>SALE-01792</x:v>
      </x:c>
      <x:c r="B1796" s="34" t="n">
        <x:v>46212.5</x:v>
      </x:c>
      <x:c r="C1796" s="19" t="str">
        <x:v>周四</x:v>
      </x:c>
      <x:c r="D1796" s="19" t="str">
        <x:v>S07</x:v>
      </x:c>
      <x:c r="E1796" s="19" t="str">
        <x:v>小和山店</x:v>
      </x:c>
      <x:c r="F1796" s="19" t="str">
        <x:v>外卖</x:v>
      </x:c>
      <x:c r="G1796" s="19" t="str">
        <x:v>全日</x:v>
      </x:c>
      <x:c r="H1796" s="19" t="str">
        <x:v>D12</x:v>
      </x:c>
      <x:c r="I1796" s="19" t="str">
        <x:v>清蒸鲈鱼</x:v>
      </x:c>
      <x:c r="J1796" s="22" t="n">
        <x:f>XLOOKUP(H1796,'菜品主数据'!$A$5:$A$24,'菜品主数据'!$D$5:$D$24,0)</x:f>
        <x:v>39</x:v>
      </x:c>
      <x:c r="K1796" s="31" t="n">
        <x:v>0</x:v>
      </x:c>
      <x:c r="L1796" s="35" t="n">
        <x:f>J1796*K1796</x:f>
        <x:v>0</x:v>
      </x:c>
      <x:c r="M1796" s="36" t="n">
        <x:v>0.08</x:v>
      </x:c>
      <x:c r="N1796" s="35" t="n">
        <x:f>L1796*M1796</x:f>
        <x:v>0</x:v>
      </x:c>
      <x:c r="O1796" s="37" t="n">
        <x:v>0.18</x:v>
      </x:c>
      <x:c r="P1796" s="35" t="n">
        <x:f>L1796*O1796</x:f>
        <x:v>0</x:v>
      </x:c>
      <x:c r="Q1796" s="35" t="n">
        <x:v>1.2</x:v>
      </x:c>
      <x:c r="R1796" s="35" t="n">
        <x:f>K1796*Q1796</x:f>
        <x:v>0</x:v>
      </x:c>
      <x:c r="S1796" s="35" t="n">
        <x:f>XLOOKUP(H1796,'菜品主数据'!$A$5:$A$24,'菜品主数据'!$G$5:$G$24,0)</x:f>
        <x:v>18.874</x:v>
      </x:c>
      <x:c r="T1796" s="35" t="n">
        <x:f>K1796*S1796</x:f>
        <x:v>0</x:v>
      </x:c>
      <x:c r="U1796" s="35" t="n">
        <x:f>L1796-N1796-P1796-R1796-T1796</x:f>
        <x:v>0</x:v>
      </x:c>
      <x:c r="V1796" s="21" t="n">
        <x:f>IFERROR(U1796/L1796,0)</x:f>
        <x:v>0</x:v>
      </x:c>
    </x:row>
    <x:row r="1797">
      <x:c r="A1797" s="19" t="str">
        <x:v>SALE-01793</x:v>
      </x:c>
      <x:c r="B1797" s="34" t="n">
        <x:v>46212.5</x:v>
      </x:c>
      <x:c r="C1797" s="19" t="str">
        <x:v>周四</x:v>
      </x:c>
      <x:c r="D1797" s="19" t="str">
        <x:v>S07</x:v>
      </x:c>
      <x:c r="E1797" s="19" t="str">
        <x:v>小和山店</x:v>
      </x:c>
      <x:c r="F1797" s="19" t="str">
        <x:v>外卖</x:v>
      </x:c>
      <x:c r="G1797" s="19" t="str">
        <x:v>全日</x:v>
      </x:c>
      <x:c r="H1797" s="19" t="str">
        <x:v>D13</x:v>
      </x:c>
      <x:c r="I1797" s="19" t="str">
        <x:v>外婆菜炒蛋</x:v>
      </x:c>
      <x:c r="J1797" s="22" t="n">
        <x:f>XLOOKUP(H1797,'菜品主数据'!$A$5:$A$24,'菜品主数据'!$D$5:$D$24,0)</x:f>
        <x:v>18</x:v>
      </x:c>
      <x:c r="K1797" s="31" t="n">
        <x:v>1</x:v>
      </x:c>
      <x:c r="L1797" s="35" t="n">
        <x:f>J1797*K1797</x:f>
        <x:v>18</x:v>
      </x:c>
      <x:c r="M1797" s="36" t="n">
        <x:v>0.08</x:v>
      </x:c>
      <x:c r="N1797" s="35" t="n">
        <x:f>L1797*M1797</x:f>
        <x:v>1.44</x:v>
      </x:c>
      <x:c r="O1797" s="37" t="n">
        <x:v>0.18</x:v>
      </x:c>
      <x:c r="P1797" s="35" t="n">
        <x:f>L1797*O1797</x:f>
        <x:v>3.2399999999999998</x:v>
      </x:c>
      <x:c r="Q1797" s="35" t="n">
        <x:v>1.2</x:v>
      </x:c>
      <x:c r="R1797" s="35" t="n">
        <x:f>K1797*Q1797</x:f>
        <x:v>1.2</x:v>
      </x:c>
      <x:c r="S1797" s="35" t="n">
        <x:f>XLOOKUP(H1797,'菜品主数据'!$A$5:$A$24,'菜品主数据'!$G$5:$G$24,0)</x:f>
        <x:v>5.403999999999999</x:v>
      </x:c>
      <x:c r="T1797" s="35" t="n">
        <x:f>K1797*S1797</x:f>
        <x:v>5.403999999999999</x:v>
      </x:c>
      <x:c r="U1797" s="35" t="n">
        <x:f>L1797-N1797-P1797-R1797-T1797</x:f>
        <x:v>6.716</x:v>
      </x:c>
      <x:c r="V1797" s="21" t="n">
        <x:f>IFERROR(U1797/L1797,0)</x:f>
        <x:v>0.3731111111111111</x:v>
      </x:c>
    </x:row>
    <x:row r="1798">
      <x:c r="A1798" s="19" t="str">
        <x:v>SALE-01794</x:v>
      </x:c>
      <x:c r="B1798" s="34" t="n">
        <x:v>46212.5</x:v>
      </x:c>
      <x:c r="C1798" s="19" t="str">
        <x:v>周四</x:v>
      </x:c>
      <x:c r="D1798" s="19" t="str">
        <x:v>S07</x:v>
      </x:c>
      <x:c r="E1798" s="19" t="str">
        <x:v>小和山店</x:v>
      </x:c>
      <x:c r="F1798" s="19" t="str">
        <x:v>外卖</x:v>
      </x:c>
      <x:c r="G1798" s="19" t="str">
        <x:v>全日</x:v>
      </x:c>
      <x:c r="H1798" s="19" t="str">
        <x:v>D14</x:v>
      </x:c>
      <x:c r="I1798" s="19" t="str">
        <x:v>酸辣鸡杂</x:v>
      </x:c>
      <x:c r="J1798" s="22" t="n">
        <x:f>XLOOKUP(H1798,'菜品主数据'!$A$5:$A$24,'菜品主数据'!$D$5:$D$24,0)</x:f>
        <x:v>28</x:v>
      </x:c>
      <x:c r="K1798" s="31" t="n">
        <x:v>0</x:v>
      </x:c>
      <x:c r="L1798" s="35" t="n">
        <x:f>J1798*K1798</x:f>
        <x:v>0</x:v>
      </x:c>
      <x:c r="M1798" s="36" t="n">
        <x:v>0.08</x:v>
      </x:c>
      <x:c r="N1798" s="35" t="n">
        <x:f>L1798*M1798</x:f>
        <x:v>0</x:v>
      </x:c>
      <x:c r="O1798" s="37" t="n">
        <x:v>0.18</x:v>
      </x:c>
      <x:c r="P1798" s="35" t="n">
        <x:f>L1798*O1798</x:f>
        <x:v>0</x:v>
      </x:c>
      <x:c r="Q1798" s="35" t="n">
        <x:v>1.2</x:v>
      </x:c>
      <x:c r="R1798" s="35" t="n">
        <x:f>K1798*Q1798</x:f>
        <x:v>0</x:v>
      </x:c>
      <x:c r="S1798" s="35" t="n">
        <x:f>XLOOKUP(H1798,'菜品主数据'!$A$5:$A$24,'菜品主数据'!$G$5:$G$24,0)</x:f>
        <x:v>8.315000000000001</x:v>
      </x:c>
      <x:c r="T1798" s="35" t="n">
        <x:f>K1798*S1798</x:f>
        <x:v>0</x:v>
      </x:c>
      <x:c r="U1798" s="35" t="n">
        <x:f>L1798-N1798-P1798-R1798-T1798</x:f>
        <x:v>0</x:v>
      </x:c>
      <x:c r="V1798" s="21" t="n">
        <x:f>IFERROR(U1798/L1798,0)</x:f>
        <x:v>0</x:v>
      </x:c>
    </x:row>
    <x:row r="1799">
      <x:c r="A1799" s="19" t="str">
        <x:v>SALE-01795</x:v>
      </x:c>
      <x:c r="B1799" s="34" t="n">
        <x:v>46212.5</x:v>
      </x:c>
      <x:c r="C1799" s="19" t="str">
        <x:v>周四</x:v>
      </x:c>
      <x:c r="D1799" s="19" t="str">
        <x:v>S07</x:v>
      </x:c>
      <x:c r="E1799" s="19" t="str">
        <x:v>小和山店</x:v>
      </x:c>
      <x:c r="F1799" s="19" t="str">
        <x:v>外卖</x:v>
      </x:c>
      <x:c r="G1799" s="19" t="str">
        <x:v>全日</x:v>
      </x:c>
      <x:c r="H1799" s="19" t="str">
        <x:v>D15</x:v>
      </x:c>
      <x:c r="I1799" s="19" t="str">
        <x:v>湘西土匪猪肝</x:v>
      </x:c>
      <x:c r="J1799" s="22" t="n">
        <x:f>XLOOKUP(H1799,'菜品主数据'!$A$5:$A$24,'菜品主数据'!$D$5:$D$24,0)</x:f>
        <x:v>26</x:v>
      </x:c>
      <x:c r="K1799" s="31" t="n">
        <x:v>0</x:v>
      </x:c>
      <x:c r="L1799" s="35" t="n">
        <x:f>J1799*K1799</x:f>
        <x:v>0</x:v>
      </x:c>
      <x:c r="M1799" s="36" t="n">
        <x:v>0.08</x:v>
      </x:c>
      <x:c r="N1799" s="35" t="n">
        <x:f>L1799*M1799</x:f>
        <x:v>0</x:v>
      </x:c>
      <x:c r="O1799" s="37" t="n">
        <x:v>0.18</x:v>
      </x:c>
      <x:c r="P1799" s="35" t="n">
        <x:f>L1799*O1799</x:f>
        <x:v>0</x:v>
      </x:c>
      <x:c r="Q1799" s="35" t="n">
        <x:v>1.2</x:v>
      </x:c>
      <x:c r="R1799" s="35" t="n">
        <x:f>K1799*Q1799</x:f>
        <x:v>0</x:v>
      </x:c>
      <x:c r="S1799" s="35" t="n">
        <x:f>XLOOKUP(H1799,'菜品主数据'!$A$5:$A$24,'菜品主数据'!$G$5:$G$24,0)</x:f>
        <x:v>6.3759999999999994</x:v>
      </x:c>
      <x:c r="T1799" s="35" t="n">
        <x:f>K1799*S1799</x:f>
        <x:v>0</x:v>
      </x:c>
      <x:c r="U1799" s="35" t="n">
        <x:f>L1799-N1799-P1799-R1799-T1799</x:f>
        <x:v>0</x:v>
      </x:c>
      <x:c r="V1799" s="21" t="n">
        <x:f>IFERROR(U1799/L1799,0)</x:f>
        <x:v>0</x:v>
      </x:c>
    </x:row>
    <x:row r="1800">
      <x:c r="A1800" s="19" t="str">
        <x:v>SALE-01796</x:v>
      </x:c>
      <x:c r="B1800" s="34" t="n">
        <x:v>46212.5</x:v>
      </x:c>
      <x:c r="C1800" s="19" t="str">
        <x:v>周四</x:v>
      </x:c>
      <x:c r="D1800" s="19" t="str">
        <x:v>S07</x:v>
      </x:c>
      <x:c r="E1800" s="19" t="str">
        <x:v>小和山店</x:v>
      </x:c>
      <x:c r="F1800" s="19" t="str">
        <x:v>外卖</x:v>
      </x:c>
      <x:c r="G1800" s="19" t="str">
        <x:v>全日</x:v>
      </x:c>
      <x:c r="H1800" s="19" t="str">
        <x:v>D16</x:v>
      </x:c>
      <x:c r="I1800" s="19" t="str">
        <x:v>小豆角炒五花</x:v>
      </x:c>
      <x:c r="J1800" s="22" t="n">
        <x:f>XLOOKUP(H1800,'菜品主数据'!$A$5:$A$24,'菜品主数据'!$D$5:$D$24,0)</x:f>
        <x:v>25</x:v>
      </x:c>
      <x:c r="K1800" s="31" t="n">
        <x:v>0</x:v>
      </x:c>
      <x:c r="L1800" s="35" t="n">
        <x:f>J1800*K1800</x:f>
        <x:v>0</x:v>
      </x:c>
      <x:c r="M1800" s="36" t="n">
        <x:v>0.08</x:v>
      </x:c>
      <x:c r="N1800" s="35" t="n">
        <x:f>L1800*M1800</x:f>
        <x:v>0</x:v>
      </x:c>
      <x:c r="O1800" s="37" t="n">
        <x:v>0.18</x:v>
      </x:c>
      <x:c r="P1800" s="35" t="n">
        <x:f>L1800*O1800</x:f>
        <x:v>0</x:v>
      </x:c>
      <x:c r="Q1800" s="35" t="n">
        <x:v>1.2</x:v>
      </x:c>
      <x:c r="R1800" s="35" t="n">
        <x:f>K1800*Q1800</x:f>
        <x:v>0</x:v>
      </x:c>
      <x:c r="S1800" s="35" t="n">
        <x:f>XLOOKUP(H1800,'菜品主数据'!$A$5:$A$24,'菜品主数据'!$G$5:$G$24,0)</x:f>
        <x:v>8.184</x:v>
      </x:c>
      <x:c r="T1800" s="35" t="n">
        <x:f>K1800*S1800</x:f>
        <x:v>0</x:v>
      </x:c>
      <x:c r="U1800" s="35" t="n">
        <x:f>L1800-N1800-P1800-R1800-T1800</x:f>
        <x:v>0</x:v>
      </x:c>
      <x:c r="V1800" s="21" t="n">
        <x:f>IFERROR(U1800/L1800,0)</x:f>
        <x:v>0</x:v>
      </x:c>
    </x:row>
    <x:row r="1801">
      <x:c r="A1801" s="19" t="str">
        <x:v>SALE-01797</x:v>
      </x:c>
      <x:c r="B1801" s="34" t="n">
        <x:v>46212.5</x:v>
      </x:c>
      <x:c r="C1801" s="19" t="str">
        <x:v>周四</x:v>
      </x:c>
      <x:c r="D1801" s="19" t="str">
        <x:v>S07</x:v>
      </x:c>
      <x:c r="E1801" s="19" t="str">
        <x:v>小和山店</x:v>
      </x:c>
      <x:c r="F1801" s="19" t="str">
        <x:v>外卖</x:v>
      </x:c>
      <x:c r="G1801" s="19" t="str">
        <x:v>全日</x:v>
      </x:c>
      <x:c r="H1801" s="19" t="str">
        <x:v>D17</x:v>
      </x:c>
      <x:c r="I1801" s="19" t="str">
        <x:v>蒜蓉粉丝虾</x:v>
      </x:c>
      <x:c r="J1801" s="22" t="n">
        <x:f>XLOOKUP(H1801,'菜品主数据'!$A$5:$A$24,'菜品主数据'!$D$5:$D$24,0)</x:f>
        <x:v>36</x:v>
      </x:c>
      <x:c r="K1801" s="31" t="n">
        <x:v>0</x:v>
      </x:c>
      <x:c r="L1801" s="35" t="n">
        <x:f>J1801*K1801</x:f>
        <x:v>0</x:v>
      </x:c>
      <x:c r="M1801" s="36" t="n">
        <x:v>0.08</x:v>
      </x:c>
      <x:c r="N1801" s="35" t="n">
        <x:f>L1801*M1801</x:f>
        <x:v>0</x:v>
      </x:c>
      <x:c r="O1801" s="37" t="n">
        <x:v>0.18</x:v>
      </x:c>
      <x:c r="P1801" s="35" t="n">
        <x:f>L1801*O1801</x:f>
        <x:v>0</x:v>
      </x:c>
      <x:c r="Q1801" s="35" t="n">
        <x:v>1.2</x:v>
      </x:c>
      <x:c r="R1801" s="35" t="n">
        <x:f>K1801*Q1801</x:f>
        <x:v>0</x:v>
      </x:c>
      <x:c r="S1801" s="35" t="n">
        <x:f>XLOOKUP(H1801,'菜品主数据'!$A$5:$A$24,'菜品主数据'!$G$5:$G$24,0)</x:f>
        <x:v>13.594</x:v>
      </x:c>
      <x:c r="T1801" s="35" t="n">
        <x:f>K1801*S1801</x:f>
        <x:v>0</x:v>
      </x:c>
      <x:c r="U1801" s="35" t="n">
        <x:f>L1801-N1801-P1801-R1801-T1801</x:f>
        <x:v>0</x:v>
      </x:c>
      <x:c r="V1801" s="21" t="n">
        <x:f>IFERROR(U1801/L1801,0)</x:f>
        <x:v>0</x:v>
      </x:c>
    </x:row>
    <x:row r="1802">
      <x:c r="A1802" s="19" t="str">
        <x:v>SALE-01798</x:v>
      </x:c>
      <x:c r="B1802" s="34" t="n">
        <x:v>46212.5</x:v>
      </x:c>
      <x:c r="C1802" s="19" t="str">
        <x:v>周四</x:v>
      </x:c>
      <x:c r="D1802" s="19" t="str">
        <x:v>S07</x:v>
      </x:c>
      <x:c r="E1802" s="19" t="str">
        <x:v>小和山店</x:v>
      </x:c>
      <x:c r="F1802" s="19" t="str">
        <x:v>外卖</x:v>
      </x:c>
      <x:c r="G1802" s="19" t="str">
        <x:v>全日</x:v>
      </x:c>
      <x:c r="H1802" s="19" t="str">
        <x:v>D18</x:v>
      </x:c>
      <x:c r="I1802" s="19" t="str">
        <x:v>青椒炒油麦菜</x:v>
      </x:c>
      <x:c r="J1802" s="22" t="n">
        <x:f>XLOOKUP(H1802,'菜品主数据'!$A$5:$A$24,'菜品主数据'!$D$5:$D$24,0)</x:f>
        <x:v>18</x:v>
      </x:c>
      <x:c r="K1802" s="31" t="n">
        <x:v>0</x:v>
      </x:c>
      <x:c r="L1802" s="35" t="n">
        <x:f>J1802*K1802</x:f>
        <x:v>0</x:v>
      </x:c>
      <x:c r="M1802" s="36" t="n">
        <x:v>0.08</x:v>
      </x:c>
      <x:c r="N1802" s="35" t="n">
        <x:f>L1802*M1802</x:f>
        <x:v>0</x:v>
      </x:c>
      <x:c r="O1802" s="37" t="n">
        <x:v>0.18</x:v>
      </x:c>
      <x:c r="P1802" s="35" t="n">
        <x:f>L1802*O1802</x:f>
        <x:v>0</x:v>
      </x:c>
      <x:c r="Q1802" s="35" t="n">
        <x:v>1.2</x:v>
      </x:c>
      <x:c r="R1802" s="35" t="n">
        <x:f>K1802*Q1802</x:f>
        <x:v>0</x:v>
      </x:c>
      <x:c r="S1802" s="35" t="n">
        <x:f>XLOOKUP(H1802,'菜品主数据'!$A$5:$A$24,'菜品主数据'!$G$5:$G$24,0)</x:f>
        <x:v>3.1759999999999993</x:v>
      </x:c>
      <x:c r="T1802" s="35" t="n">
        <x:f>K1802*S1802</x:f>
        <x:v>0</x:v>
      </x:c>
      <x:c r="U1802" s="35" t="n">
        <x:f>L1802-N1802-P1802-R1802-T1802</x:f>
        <x:v>0</x:v>
      </x:c>
      <x:c r="V1802" s="21" t="n">
        <x:f>IFERROR(U1802/L1802,0)</x:f>
        <x:v>0</x:v>
      </x:c>
    </x:row>
    <x:row r="1803">
      <x:c r="A1803" s="19" t="str">
        <x:v>SALE-01799</x:v>
      </x:c>
      <x:c r="B1803" s="34" t="n">
        <x:v>46212.5</x:v>
      </x:c>
      <x:c r="C1803" s="19" t="str">
        <x:v>周四</x:v>
      </x:c>
      <x:c r="D1803" s="19" t="str">
        <x:v>S07</x:v>
      </x:c>
      <x:c r="E1803" s="19" t="str">
        <x:v>小和山店</x:v>
      </x:c>
      <x:c r="F1803" s="19" t="str">
        <x:v>外卖</x:v>
      </x:c>
      <x:c r="G1803" s="19" t="str">
        <x:v>全日</x:v>
      </x:c>
      <x:c r="H1803" s="19" t="str">
        <x:v>D19</x:v>
      </x:c>
      <x:c r="I1803" s="19" t="str">
        <x:v>酸萝卜炒鸡杂</x:v>
      </x:c>
      <x:c r="J1803" s="22" t="n">
        <x:f>XLOOKUP(H1803,'菜品主数据'!$A$5:$A$24,'菜品主数据'!$D$5:$D$24,0)</x:f>
        <x:v>25</x:v>
      </x:c>
      <x:c r="K1803" s="31" t="n">
        <x:v>0</x:v>
      </x:c>
      <x:c r="L1803" s="35" t="n">
        <x:f>J1803*K1803</x:f>
        <x:v>0</x:v>
      </x:c>
      <x:c r="M1803" s="36" t="n">
        <x:v>0.08</x:v>
      </x:c>
      <x:c r="N1803" s="35" t="n">
        <x:f>L1803*M1803</x:f>
        <x:v>0</x:v>
      </x:c>
      <x:c r="O1803" s="37" t="n">
        <x:v>0.18</x:v>
      </x:c>
      <x:c r="P1803" s="35" t="n">
        <x:f>L1803*O1803</x:f>
        <x:v>0</x:v>
      </x:c>
      <x:c r="Q1803" s="35" t="n">
        <x:v>1.2</x:v>
      </x:c>
      <x:c r="R1803" s="35" t="n">
        <x:f>K1803*Q1803</x:f>
        <x:v>0</x:v>
      </x:c>
      <x:c r="S1803" s="35" t="n">
        <x:f>XLOOKUP(H1803,'菜品主数据'!$A$5:$A$24,'菜品主数据'!$G$5:$G$24,0)</x:f>
        <x:v>7.9399999999999995</x:v>
      </x:c>
      <x:c r="T1803" s="35" t="n">
        <x:f>K1803*S1803</x:f>
        <x:v>0</x:v>
      </x:c>
      <x:c r="U1803" s="35" t="n">
        <x:f>L1803-N1803-P1803-R1803-T1803</x:f>
        <x:v>0</x:v>
      </x:c>
      <x:c r="V1803" s="21" t="n">
        <x:f>IFERROR(U1803/L1803,0)</x:f>
        <x:v>0</x:v>
      </x:c>
    </x:row>
    <x:row r="1804">
      <x:c r="A1804" s="19" t="str">
        <x:v>SALE-01800</x:v>
      </x:c>
      <x:c r="B1804" s="34" t="n">
        <x:v>46212.5</x:v>
      </x:c>
      <x:c r="C1804" s="19" t="str">
        <x:v>周四</x:v>
      </x:c>
      <x:c r="D1804" s="19" t="str">
        <x:v>S07</x:v>
      </x:c>
      <x:c r="E1804" s="19" t="str">
        <x:v>小和山店</x:v>
      </x:c>
      <x:c r="F1804" s="19" t="str">
        <x:v>外卖</x:v>
      </x:c>
      <x:c r="G1804" s="19" t="str">
        <x:v>全日</x:v>
      </x:c>
      <x:c r="H1804" s="19" t="str">
        <x:v>D20</x:v>
      </x:c>
      <x:c r="I1804" s="19" t="str">
        <x:v>雪菜肉末青豆</x:v>
      </x:c>
      <x:c r="J1804" s="22" t="n">
        <x:f>XLOOKUP(H1804,'菜品主数据'!$A$5:$A$24,'菜品主数据'!$D$5:$D$24,0)</x:f>
        <x:v>18</x:v>
      </x:c>
      <x:c r="K1804" s="31" t="n">
        <x:v>0</x:v>
      </x:c>
      <x:c r="L1804" s="35" t="n">
        <x:f>J1804*K1804</x:f>
        <x:v>0</x:v>
      </x:c>
      <x:c r="M1804" s="36" t="n">
        <x:v>0.08</x:v>
      </x:c>
      <x:c r="N1804" s="35" t="n">
        <x:f>L1804*M1804</x:f>
        <x:v>0</x:v>
      </x:c>
      <x:c r="O1804" s="37" t="n">
        <x:v>0.18</x:v>
      </x:c>
      <x:c r="P1804" s="35" t="n">
        <x:f>L1804*O1804</x:f>
        <x:v>0</x:v>
      </x:c>
      <x:c r="Q1804" s="35" t="n">
        <x:v>1.2</x:v>
      </x:c>
      <x:c r="R1804" s="35" t="n">
        <x:f>K1804*Q1804</x:f>
        <x:v>0</x:v>
      </x:c>
      <x:c r="S1804" s="35" t="n">
        <x:f>XLOOKUP(H1804,'菜品主数据'!$A$5:$A$24,'菜品主数据'!$G$5:$G$24,0)</x:f>
        <x:v>7.303999999999999</x:v>
      </x:c>
      <x:c r="T1804" s="35" t="n">
        <x:f>K1804*S1804</x:f>
        <x:v>0</x:v>
      </x:c>
      <x:c r="U1804" s="35" t="n">
        <x:f>L1804-N1804-P1804-R1804-T1804</x:f>
        <x:v>0</x:v>
      </x:c>
      <x:c r="V1804" s="21" t="n">
        <x:f>IFERROR(U1804/L1804,0)</x:f>
        <x:v>0</x:v>
      </x:c>
    </x:row>
    <x:row r="1805">
      <x:c r="A1805" s="19" t="str">
        <x:v>SALE-01801</x:v>
      </x:c>
      <x:c r="B1805" s="34" t="n">
        <x:v>46213.5</x:v>
      </x:c>
      <x:c r="C1805" s="19" t="str">
        <x:v>周五</x:v>
      </x:c>
      <x:c r="D1805" s="19" t="str">
        <x:v>S07</x:v>
      </x:c>
      <x:c r="E1805" s="19" t="str">
        <x:v>小和山店</x:v>
      </x:c>
      <x:c r="F1805" s="19" t="str">
        <x:v>堂食</x:v>
      </x:c>
      <x:c r="G1805" s="19" t="str">
        <x:v>全日</x:v>
      </x:c>
      <x:c r="H1805" s="19" t="str">
        <x:v>D01</x:v>
      </x:c>
      <x:c r="I1805" s="19" t="str">
        <x:v>辣椒炒肉</x:v>
      </x:c>
      <x:c r="J1805" s="22" t="n">
        <x:f>XLOOKUP(H1805,'菜品主数据'!$A$5:$A$24,'菜品主数据'!$D$5:$D$24,0)</x:f>
        <x:v>29</x:v>
      </x:c>
      <x:c r="K1805" s="31" t="n">
        <x:v>44</x:v>
      </x:c>
      <x:c r="L1805" s="35" t="n">
        <x:f>J1805*K1805</x:f>
        <x:v>1276</x:v>
      </x:c>
      <x:c r="M1805" s="36" t="n">
        <x:v>0</x:v>
      </x:c>
      <x:c r="N1805" s="35" t="n">
        <x:f>L1805*M1805</x:f>
        <x:v>0</x:v>
      </x:c>
      <x:c r="O1805" s="37" t="n">
        <x:v>0</x:v>
      </x:c>
      <x:c r="P1805" s="35" t="n">
        <x:f>L1805*O1805</x:f>
        <x:v>0</x:v>
      </x:c>
      <x:c r="Q1805" s="35" t="n">
        <x:v>0</x:v>
      </x:c>
      <x:c r="R1805" s="35" t="n">
        <x:f>K1805*Q1805</x:f>
        <x:v>0</x:v>
      </x:c>
      <x:c r="S1805" s="35" t="n">
        <x:f>XLOOKUP(H1805,'菜品主数据'!$A$5:$A$24,'菜品主数据'!$G$5:$G$24,0)</x:f>
        <x:v>8.634400000000001</x:v>
      </x:c>
      <x:c r="T1805" s="35" t="n">
        <x:f>K1805*S1805</x:f>
        <x:v>379.91360000000003</x:v>
      </x:c>
      <x:c r="U1805" s="35" t="n">
        <x:f>L1805-N1805-P1805-R1805-T1805</x:f>
        <x:v>896.0863999999999</x:v>
      </x:c>
      <x:c r="V1805" s="21" t="n">
        <x:f>IFERROR(U1805/L1805,0)</x:f>
        <x:v>0.7022620689655171</x:v>
      </x:c>
    </x:row>
    <x:row r="1806">
      <x:c r="A1806" s="19" t="str">
        <x:v>SALE-01802</x:v>
      </x:c>
      <x:c r="B1806" s="34" t="n">
        <x:v>46213.5</x:v>
      </x:c>
      <x:c r="C1806" s="19" t="str">
        <x:v>周五</x:v>
      </x:c>
      <x:c r="D1806" s="19" t="str">
        <x:v>S07</x:v>
      </x:c>
      <x:c r="E1806" s="19" t="str">
        <x:v>小和山店</x:v>
      </x:c>
      <x:c r="F1806" s="19" t="str">
        <x:v>堂食</x:v>
      </x:c>
      <x:c r="G1806" s="19" t="str">
        <x:v>全日</x:v>
      </x:c>
      <x:c r="H1806" s="19" t="str">
        <x:v>D02</x:v>
      </x:c>
      <x:c r="I1806" s="19" t="str">
        <x:v>小炒黄牛肉</x:v>
      </x:c>
      <x:c r="J1806" s="22" t="n">
        <x:f>XLOOKUP(H1806,'菜品主数据'!$A$5:$A$24,'菜品主数据'!$D$5:$D$24,0)</x:f>
        <x:v>49</x:v>
      </x:c>
      <x:c r="K1806" s="31" t="n">
        <x:v>24</x:v>
      </x:c>
      <x:c r="L1806" s="35" t="n">
        <x:f>J1806*K1806</x:f>
        <x:v>1176</x:v>
      </x:c>
      <x:c r="M1806" s="36" t="n">
        <x:v>0</x:v>
      </x:c>
      <x:c r="N1806" s="35" t="n">
        <x:f>L1806*M1806</x:f>
        <x:v>0</x:v>
      </x:c>
      <x:c r="O1806" s="37" t="n">
        <x:v>0</x:v>
      </x:c>
      <x:c r="P1806" s="35" t="n">
        <x:f>L1806*O1806</x:f>
        <x:v>0</x:v>
      </x:c>
      <x:c r="Q1806" s="35" t="n">
        <x:v>0</x:v>
      </x:c>
      <x:c r="R1806" s="35" t="n">
        <x:f>K1806*Q1806</x:f>
        <x:v>0</x:v>
      </x:c>
      <x:c r="S1806" s="35" t="n">
        <x:f>XLOOKUP(H1806,'菜品主数据'!$A$5:$A$24,'菜品主数据'!$G$5:$G$24,0)</x:f>
        <x:v>17.577</x:v>
      </x:c>
      <x:c r="T1806" s="35" t="n">
        <x:f>K1806*S1806</x:f>
        <x:v>421.84800000000007</x:v>
      </x:c>
      <x:c r="U1806" s="35" t="n">
        <x:f>L1806-N1806-P1806-R1806-T1806</x:f>
        <x:v>754.1519999999999</x:v>
      </x:c>
      <x:c r="V1806" s="21" t="n">
        <x:f>IFERROR(U1806/L1806,0)</x:f>
        <x:v>0.6412857142857142</x:v>
      </x:c>
    </x:row>
    <x:row r="1807">
      <x:c r="A1807" s="19" t="str">
        <x:v>SALE-01803</x:v>
      </x:c>
      <x:c r="B1807" s="34" t="n">
        <x:v>46213.5</x:v>
      </x:c>
      <x:c r="C1807" s="19" t="str">
        <x:v>周五</x:v>
      </x:c>
      <x:c r="D1807" s="19" t="str">
        <x:v>S07</x:v>
      </x:c>
      <x:c r="E1807" s="19" t="str">
        <x:v>小和山店</x:v>
      </x:c>
      <x:c r="F1807" s="19" t="str">
        <x:v>堂食</x:v>
      </x:c>
      <x:c r="G1807" s="19" t="str">
        <x:v>全日</x:v>
      </x:c>
      <x:c r="H1807" s="19" t="str">
        <x:v>D03</x:v>
      </x:c>
      <x:c r="I1807" s="19" t="str">
        <x:v>香醋炒蛋</x:v>
      </x:c>
      <x:c r="J1807" s="22" t="n">
        <x:f>XLOOKUP(H1807,'菜品主数据'!$A$5:$A$24,'菜品主数据'!$D$5:$D$24,0)</x:f>
        <x:v>14.9</x:v>
      </x:c>
      <x:c r="K1807" s="31" t="n">
        <x:v>34</x:v>
      </x:c>
      <x:c r="L1807" s="35" t="n">
        <x:f>J1807*K1807</x:f>
        <x:v>506.6</x:v>
      </x:c>
      <x:c r="M1807" s="36" t="n">
        <x:v>0</x:v>
      </x:c>
      <x:c r="N1807" s="35" t="n">
        <x:f>L1807*M1807</x:f>
        <x:v>0</x:v>
      </x:c>
      <x:c r="O1807" s="37" t="n">
        <x:v>0</x:v>
      </x:c>
      <x:c r="P1807" s="35" t="n">
        <x:f>L1807*O1807</x:f>
        <x:v>0</x:v>
      </x:c>
      <x:c r="Q1807" s="35" t="n">
        <x:v>0</x:v>
      </x:c>
      <x:c r="R1807" s="35" t="n">
        <x:f>K1807*Q1807</x:f>
        <x:v>0</x:v>
      </x:c>
      <x:c r="S1807" s="35" t="n">
        <x:f>XLOOKUP(H1807,'菜品主数据'!$A$5:$A$24,'菜品主数据'!$G$5:$G$24,0)</x:f>
        <x:v>3.7459999999999996</x:v>
      </x:c>
      <x:c r="T1807" s="35" t="n">
        <x:f>K1807*S1807</x:f>
        <x:v>127.36399999999999</x:v>
      </x:c>
      <x:c r="U1807" s="35" t="n">
        <x:f>L1807-N1807-P1807-R1807-T1807</x:f>
        <x:v>379.23600000000005</x:v>
      </x:c>
      <x:c r="V1807" s="21" t="n">
        <x:f>IFERROR(U1807/L1807,0)</x:f>
        <x:v>0.7485906040268457</x:v>
      </x:c>
    </x:row>
    <x:row r="1808">
      <x:c r="A1808" s="19" t="str">
        <x:v>SALE-01804</x:v>
      </x:c>
      <x:c r="B1808" s="34" t="n">
        <x:v>46213.5</x:v>
      </x:c>
      <x:c r="C1808" s="19" t="str">
        <x:v>周五</x:v>
      </x:c>
      <x:c r="D1808" s="19" t="str">
        <x:v>S07</x:v>
      </x:c>
      <x:c r="E1808" s="19" t="str">
        <x:v>小和山店</x:v>
      </x:c>
      <x:c r="F1808" s="19" t="str">
        <x:v>堂食</x:v>
      </x:c>
      <x:c r="G1808" s="19" t="str">
        <x:v>全日</x:v>
      </x:c>
      <x:c r="H1808" s="19" t="str">
        <x:v>D04</x:v>
      </x:c>
      <x:c r="I1808" s="19" t="str">
        <x:v>酸包菜炒粉皮</x:v>
      </x:c>
      <x:c r="J1808" s="22" t="n">
        <x:f>XLOOKUP(H1808,'菜品主数据'!$A$5:$A$24,'菜品主数据'!$D$5:$D$24,0)</x:f>
        <x:v>16</x:v>
      </x:c>
      <x:c r="K1808" s="31" t="n">
        <x:v>30</x:v>
      </x:c>
      <x:c r="L1808" s="35" t="n">
        <x:f>J1808*K1808</x:f>
        <x:v>480</x:v>
      </x:c>
      <x:c r="M1808" s="36" t="n">
        <x:v>0</x:v>
      </x:c>
      <x:c r="N1808" s="35" t="n">
        <x:f>L1808*M1808</x:f>
        <x:v>0</x:v>
      </x:c>
      <x:c r="O1808" s="37" t="n">
        <x:v>0</x:v>
      </x:c>
      <x:c r="P1808" s="35" t="n">
        <x:f>L1808*O1808</x:f>
        <x:v>0</x:v>
      </x:c>
      <x:c r="Q1808" s="35" t="n">
        <x:v>0</x:v>
      </x:c>
      <x:c r="R1808" s="35" t="n">
        <x:f>K1808*Q1808</x:f>
        <x:v>0</x:v>
      </x:c>
      <x:c r="S1808" s="35" t="n">
        <x:f>XLOOKUP(H1808,'菜品主数据'!$A$5:$A$24,'菜品主数据'!$G$5:$G$24,0)</x:f>
        <x:v>3.978</x:v>
      </x:c>
      <x:c r="T1808" s="35" t="n">
        <x:f>K1808*S1808</x:f>
        <x:v>119.34</x:v>
      </x:c>
      <x:c r="U1808" s="35" t="n">
        <x:f>L1808-N1808-P1808-R1808-T1808</x:f>
        <x:v>360.65999999999997</x:v>
      </x:c>
      <x:c r="V1808" s="21" t="n">
        <x:f>IFERROR(U1808/L1808,0)</x:f>
        <x:v>0.7513749999999999</x:v>
      </x:c>
    </x:row>
    <x:row r="1809">
      <x:c r="A1809" s="19" t="str">
        <x:v>SALE-01805</x:v>
      </x:c>
      <x:c r="B1809" s="34" t="n">
        <x:v>46213.5</x:v>
      </x:c>
      <x:c r="C1809" s="19" t="str">
        <x:v>周五</x:v>
      </x:c>
      <x:c r="D1809" s="19" t="str">
        <x:v>S07</x:v>
      </x:c>
      <x:c r="E1809" s="19" t="str">
        <x:v>小和山店</x:v>
      </x:c>
      <x:c r="F1809" s="19" t="str">
        <x:v>堂食</x:v>
      </x:c>
      <x:c r="G1809" s="19" t="str">
        <x:v>全日</x:v>
      </x:c>
      <x:c r="H1809" s="19" t="str">
        <x:v>D05</x:v>
      </x:c>
      <x:c r="I1809" s="19" t="str">
        <x:v>麻婆豆腐</x:v>
      </x:c>
      <x:c r="J1809" s="22" t="n">
        <x:f>XLOOKUP(H1809,'菜品主数据'!$A$5:$A$24,'菜品主数据'!$D$5:$D$24,0)</x:f>
        <x:v>9.9</x:v>
      </x:c>
      <x:c r="K1809" s="31" t="n">
        <x:v>43</x:v>
      </x:c>
      <x:c r="L1809" s="35" t="n">
        <x:f>J1809*K1809</x:f>
        <x:v>425.7</x:v>
      </x:c>
      <x:c r="M1809" s="36" t="n">
        <x:v>0</x:v>
      </x:c>
      <x:c r="N1809" s="35" t="n">
        <x:f>L1809*M1809</x:f>
        <x:v>0</x:v>
      </x:c>
      <x:c r="O1809" s="37" t="n">
        <x:v>0</x:v>
      </x:c>
      <x:c r="P1809" s="35" t="n">
        <x:f>L1809*O1809</x:f>
        <x:v>0</x:v>
      </x:c>
      <x:c r="Q1809" s="35" t="n">
        <x:v>0</x:v>
      </x:c>
      <x:c r="R1809" s="35" t="n">
        <x:f>K1809*Q1809</x:f>
        <x:v>0</x:v>
      </x:c>
      <x:c r="S1809" s="35" t="n">
        <x:f>XLOOKUP(H1809,'菜品主数据'!$A$5:$A$24,'菜品主数据'!$G$5:$G$24,0)</x:f>
        <x:v>5.367000000000001</x:v>
      </x:c>
      <x:c r="T1809" s="35" t="n">
        <x:f>K1809*S1809</x:f>
        <x:v>230.78100000000003</x:v>
      </x:c>
      <x:c r="U1809" s="35" t="n">
        <x:f>L1809-N1809-P1809-R1809-T1809</x:f>
        <x:v>194.91899999999995</x:v>
      </x:c>
      <x:c r="V1809" s="21" t="n">
        <x:f>IFERROR(U1809/L1809,0)</x:f>
        <x:v>0.4578787878787878</x:v>
      </x:c>
    </x:row>
    <x:row r="1810">
      <x:c r="A1810" s="19" t="str">
        <x:v>SALE-01806</x:v>
      </x:c>
      <x:c r="B1810" s="34" t="n">
        <x:v>46213.5</x:v>
      </x:c>
      <x:c r="C1810" s="19" t="str">
        <x:v>周五</x:v>
      </x:c>
      <x:c r="D1810" s="19" t="str">
        <x:v>S07</x:v>
      </x:c>
      <x:c r="E1810" s="19" t="str">
        <x:v>小和山店</x:v>
      </x:c>
      <x:c r="F1810" s="19" t="str">
        <x:v>堂食</x:v>
      </x:c>
      <x:c r="G1810" s="19" t="str">
        <x:v>全日</x:v>
      </x:c>
      <x:c r="H1810" s="19" t="str">
        <x:v>D06</x:v>
      </x:c>
      <x:c r="I1810" s="19" t="str">
        <x:v>剁椒鱼头</x:v>
      </x:c>
      <x:c r="J1810" s="22" t="n">
        <x:f>XLOOKUP(H1810,'菜品主数据'!$A$5:$A$24,'菜品主数据'!$D$5:$D$24,0)</x:f>
        <x:v>39</x:v>
      </x:c>
      <x:c r="K1810" s="31" t="n">
        <x:v>10</x:v>
      </x:c>
      <x:c r="L1810" s="35" t="n">
        <x:f>J1810*K1810</x:f>
        <x:v>390</x:v>
      </x:c>
      <x:c r="M1810" s="36" t="n">
        <x:v>0</x:v>
      </x:c>
      <x:c r="N1810" s="35" t="n">
        <x:f>L1810*M1810</x:f>
        <x:v>0</x:v>
      </x:c>
      <x:c r="O1810" s="37" t="n">
        <x:v>0</x:v>
      </x:c>
      <x:c r="P1810" s="35" t="n">
        <x:f>L1810*O1810</x:f>
        <x:v>0</x:v>
      </x:c>
      <x:c r="Q1810" s="35" t="n">
        <x:v>0</x:v>
      </x:c>
      <x:c r="R1810" s="35" t="n">
        <x:f>K1810*Q1810</x:f>
        <x:v>0</x:v>
      </x:c>
      <x:c r="S1810" s="35" t="n">
        <x:f>XLOOKUP(H1810,'菜品主数据'!$A$5:$A$24,'菜品主数据'!$G$5:$G$24,0)</x:f>
        <x:v>17.446</x:v>
      </x:c>
      <x:c r="T1810" s="35" t="n">
        <x:f>K1810*S1810</x:f>
        <x:v>174.46</x:v>
      </x:c>
      <x:c r="U1810" s="35" t="n">
        <x:f>L1810-N1810-P1810-R1810-T1810</x:f>
        <x:v>215.54</x:v>
      </x:c>
      <x:c r="V1810" s="21" t="n">
        <x:f>IFERROR(U1810/L1810,0)</x:f>
        <x:v>0.5526666666666666</x:v>
      </x:c>
    </x:row>
    <x:row r="1811">
      <x:c r="A1811" s="19" t="str">
        <x:v>SALE-01807</x:v>
      </x:c>
      <x:c r="B1811" s="34" t="n">
        <x:v>46213.5</x:v>
      </x:c>
      <x:c r="C1811" s="19" t="str">
        <x:v>周五</x:v>
      </x:c>
      <x:c r="D1811" s="19" t="str">
        <x:v>S07</x:v>
      </x:c>
      <x:c r="E1811" s="19" t="str">
        <x:v>小和山店</x:v>
      </x:c>
      <x:c r="F1811" s="19" t="str">
        <x:v>堂食</x:v>
      </x:c>
      <x:c r="G1811" s="19" t="str">
        <x:v>全日</x:v>
      </x:c>
      <x:c r="H1811" s="19" t="str">
        <x:v>D07</x:v>
      </x:c>
      <x:c r="I1811" s="19" t="str">
        <x:v>川味回锅肉</x:v>
      </x:c>
      <x:c r="J1811" s="22" t="n">
        <x:f>XLOOKUP(H1811,'菜品主数据'!$A$5:$A$24,'菜品主数据'!$D$5:$D$24,0)</x:f>
        <x:v>29</x:v>
      </x:c>
      <x:c r="K1811" s="31" t="n">
        <x:v>13</x:v>
      </x:c>
      <x:c r="L1811" s="35" t="n">
        <x:f>J1811*K1811</x:f>
        <x:v>377</x:v>
      </x:c>
      <x:c r="M1811" s="36" t="n">
        <x:v>0</x:v>
      </x:c>
      <x:c r="N1811" s="35" t="n">
        <x:f>L1811*M1811</x:f>
        <x:v>0</x:v>
      </x:c>
      <x:c r="O1811" s="37" t="n">
        <x:v>0</x:v>
      </x:c>
      <x:c r="P1811" s="35" t="n">
        <x:f>L1811*O1811</x:f>
        <x:v>0</x:v>
      </x:c>
      <x:c r="Q1811" s="35" t="n">
        <x:v>0</x:v>
      </x:c>
      <x:c r="R1811" s="35" t="n">
        <x:f>K1811*Q1811</x:f>
        <x:v>0</x:v>
      </x:c>
      <x:c r="S1811" s="35" t="n">
        <x:f>XLOOKUP(H1811,'菜品主数据'!$A$5:$A$24,'菜品主数据'!$G$5:$G$24,0)</x:f>
        <x:v>10.231000000000002</x:v>
      </x:c>
      <x:c r="T1811" s="35" t="n">
        <x:f>K1811*S1811</x:f>
        <x:v>133.00300000000001</x:v>
      </x:c>
      <x:c r="U1811" s="35" t="n">
        <x:f>L1811-N1811-P1811-R1811-T1811</x:f>
        <x:v>243.99699999999999</x:v>
      </x:c>
      <x:c r="V1811" s="21" t="n">
        <x:f>IFERROR(U1811/L1811,0)</x:f>
        <x:v>0.6472068965517241</x:v>
      </x:c>
    </x:row>
    <x:row r="1812">
      <x:c r="A1812" s="19" t="str">
        <x:v>SALE-01808</x:v>
      </x:c>
      <x:c r="B1812" s="34" t="n">
        <x:v>46213.5</x:v>
      </x:c>
      <x:c r="C1812" s="19" t="str">
        <x:v>周五</x:v>
      </x:c>
      <x:c r="D1812" s="19" t="str">
        <x:v>S07</x:v>
      </x:c>
      <x:c r="E1812" s="19" t="str">
        <x:v>小和山店</x:v>
      </x:c>
      <x:c r="F1812" s="19" t="str">
        <x:v>堂食</x:v>
      </x:c>
      <x:c r="G1812" s="19" t="str">
        <x:v>全日</x:v>
      </x:c>
      <x:c r="H1812" s="19" t="str">
        <x:v>D08</x:v>
      </x:c>
      <x:c r="I1812" s="19" t="str">
        <x:v>生炒清远鸡</x:v>
      </x:c>
      <x:c r="J1812" s="22" t="n">
        <x:f>XLOOKUP(H1812,'菜品主数据'!$A$5:$A$24,'菜品主数据'!$D$5:$D$24,0)</x:f>
        <x:v>36</x:v>
      </x:c>
      <x:c r="K1812" s="31" t="n">
        <x:v>9</x:v>
      </x:c>
      <x:c r="L1812" s="35" t="n">
        <x:f>J1812*K1812</x:f>
        <x:v>324</x:v>
      </x:c>
      <x:c r="M1812" s="36" t="n">
        <x:v>0</x:v>
      </x:c>
      <x:c r="N1812" s="35" t="n">
        <x:f>L1812*M1812</x:f>
        <x:v>0</x:v>
      </x:c>
      <x:c r="O1812" s="37" t="n">
        <x:v>0</x:v>
      </x:c>
      <x:c r="P1812" s="35" t="n">
        <x:f>L1812*O1812</x:f>
        <x:v>0</x:v>
      </x:c>
      <x:c r="Q1812" s="35" t="n">
        <x:v>0</x:v>
      </x:c>
      <x:c r="R1812" s="35" t="n">
        <x:f>K1812*Q1812</x:f>
        <x:v>0</x:v>
      </x:c>
      <x:c r="S1812" s="35" t="n">
        <x:f>XLOOKUP(H1812,'菜品主数据'!$A$5:$A$24,'菜品主数据'!$G$5:$G$24,0)</x:f>
        <x:v>13.48</x:v>
      </x:c>
      <x:c r="T1812" s="35" t="n">
        <x:f>K1812*S1812</x:f>
        <x:v>121.32000000000001</x:v>
      </x:c>
      <x:c r="U1812" s="35" t="n">
        <x:f>L1812-N1812-P1812-R1812-T1812</x:f>
        <x:v>202.68</x:v>
      </x:c>
      <x:c r="V1812" s="21" t="n">
        <x:f>IFERROR(U1812/L1812,0)</x:f>
        <x:v>0.6255555555555555</x:v>
      </x:c>
    </x:row>
    <x:row r="1813">
      <x:c r="A1813" s="19" t="str">
        <x:v>SALE-01809</x:v>
      </x:c>
      <x:c r="B1813" s="34" t="n">
        <x:v>46213.5</x:v>
      </x:c>
      <x:c r="C1813" s="19" t="str">
        <x:v>周五</x:v>
      </x:c>
      <x:c r="D1813" s="19" t="str">
        <x:v>S07</x:v>
      </x:c>
      <x:c r="E1813" s="19" t="str">
        <x:v>小和山店</x:v>
      </x:c>
      <x:c r="F1813" s="19" t="str">
        <x:v>堂食</x:v>
      </x:c>
      <x:c r="G1813" s="19" t="str">
        <x:v>全日</x:v>
      </x:c>
      <x:c r="H1813" s="19" t="str">
        <x:v>D09</x:v>
      </x:c>
      <x:c r="I1813" s="19" t="str">
        <x:v>炒豆干</x:v>
      </x:c>
      <x:c r="J1813" s="22" t="n">
        <x:f>XLOOKUP(H1813,'菜品主数据'!$A$5:$A$24,'菜品主数据'!$D$5:$D$24,0)</x:f>
        <x:v>18</x:v>
      </x:c>
      <x:c r="K1813" s="31" t="n">
        <x:v>13</x:v>
      </x:c>
      <x:c r="L1813" s="35" t="n">
        <x:f>J1813*K1813</x:f>
        <x:v>234</x:v>
      </x:c>
      <x:c r="M1813" s="36" t="n">
        <x:v>0</x:v>
      </x:c>
      <x:c r="N1813" s="35" t="n">
        <x:f>L1813*M1813</x:f>
        <x:v>0</x:v>
      </x:c>
      <x:c r="O1813" s="37" t="n">
        <x:v>0</x:v>
      </x:c>
      <x:c r="P1813" s="35" t="n">
        <x:f>L1813*O1813</x:f>
        <x:v>0</x:v>
      </x:c>
      <x:c r="Q1813" s="35" t="n">
        <x:v>0</x:v>
      </x:c>
      <x:c r="R1813" s="35" t="n">
        <x:f>K1813*Q1813</x:f>
        <x:v>0</x:v>
      </x:c>
      <x:c r="S1813" s="35" t="n">
        <x:f>XLOOKUP(H1813,'菜品主数据'!$A$5:$A$24,'菜品主数据'!$G$5:$G$24,0)</x:f>
        <x:v>6.613999999999999</x:v>
      </x:c>
      <x:c r="T1813" s="35" t="n">
        <x:f>K1813*S1813</x:f>
        <x:v>85.98199999999999</x:v>
      </x:c>
      <x:c r="U1813" s="35" t="n">
        <x:f>L1813-N1813-P1813-R1813-T1813</x:f>
        <x:v>148.01800000000003</x:v>
      </x:c>
      <x:c r="V1813" s="21" t="n">
        <x:f>IFERROR(U1813/L1813,0)</x:f>
        <x:v>0.6325555555555556</x:v>
      </x:c>
    </x:row>
    <x:row r="1814">
      <x:c r="A1814" s="19" t="str">
        <x:v>SALE-01810</x:v>
      </x:c>
      <x:c r="B1814" s="34" t="n">
        <x:v>46213.5</x:v>
      </x:c>
      <x:c r="C1814" s="19" t="str">
        <x:v>周五</x:v>
      </x:c>
      <x:c r="D1814" s="19" t="str">
        <x:v>S07</x:v>
      </x:c>
      <x:c r="E1814" s="19" t="str">
        <x:v>小和山店</x:v>
      </x:c>
      <x:c r="F1814" s="19" t="str">
        <x:v>堂食</x:v>
      </x:c>
      <x:c r="G1814" s="19" t="str">
        <x:v>全日</x:v>
      </x:c>
      <x:c r="H1814" s="19" t="str">
        <x:v>D10</x:v>
      </x:c>
      <x:c r="I1814" s="19" t="str">
        <x:v>农家一碗香</x:v>
      </x:c>
      <x:c r="J1814" s="22" t="n">
        <x:f>XLOOKUP(H1814,'菜品主数据'!$A$5:$A$24,'菜品主数据'!$D$5:$D$24,0)</x:f>
        <x:v>22.9</x:v>
      </x:c>
      <x:c r="K1814" s="31" t="n">
        <x:v>16</x:v>
      </x:c>
      <x:c r="L1814" s="35" t="n">
        <x:f>J1814*K1814</x:f>
        <x:v>366.4</x:v>
      </x:c>
      <x:c r="M1814" s="36" t="n">
        <x:v>0</x:v>
      </x:c>
      <x:c r="N1814" s="35" t="n">
        <x:f>L1814*M1814</x:f>
        <x:v>0</x:v>
      </x:c>
      <x:c r="O1814" s="37" t="n">
        <x:v>0</x:v>
      </x:c>
      <x:c r="P1814" s="35" t="n">
        <x:f>L1814*O1814</x:f>
        <x:v>0</x:v>
      </x:c>
      <x:c r="Q1814" s="35" t="n">
        <x:v>0</x:v>
      </x:c>
      <x:c r="R1814" s="35" t="n">
        <x:f>K1814*Q1814</x:f>
        <x:v>0</x:v>
      </x:c>
      <x:c r="S1814" s="35" t="n">
        <x:f>XLOOKUP(H1814,'菜品主数据'!$A$5:$A$24,'菜品主数据'!$G$5:$G$24,0)</x:f>
        <x:v>9.770200000000003</x:v>
      </x:c>
      <x:c r="T1814" s="35" t="n">
        <x:f>K1814*S1814</x:f>
        <x:v>156.32320000000004</x:v>
      </x:c>
      <x:c r="U1814" s="35" t="n">
        <x:f>L1814-N1814-P1814-R1814-T1814</x:f>
        <x:v>210.07679999999993</x:v>
      </x:c>
      <x:c r="V1814" s="21" t="n">
        <x:f>IFERROR(U1814/L1814,0)</x:f>
        <x:v>0.5733537117903929</x:v>
      </x:c>
    </x:row>
    <x:row r="1815">
      <x:c r="A1815" s="19" t="str">
        <x:v>SALE-01811</x:v>
      </x:c>
      <x:c r="B1815" s="34" t="n">
        <x:v>46213.5</x:v>
      </x:c>
      <x:c r="C1815" s="19" t="str">
        <x:v>周五</x:v>
      </x:c>
      <x:c r="D1815" s="19" t="str">
        <x:v>S07</x:v>
      </x:c>
      <x:c r="E1815" s="19" t="str">
        <x:v>小和山店</x:v>
      </x:c>
      <x:c r="F1815" s="19" t="str">
        <x:v>堂食</x:v>
      </x:c>
      <x:c r="G1815" s="19" t="str">
        <x:v>全日</x:v>
      </x:c>
      <x:c r="H1815" s="19" t="str">
        <x:v>D11</x:v>
      </x:c>
      <x:c r="I1815" s="19" t="str">
        <x:v>香辣爆肥肠</x:v>
      </x:c>
      <x:c r="J1815" s="22" t="n">
        <x:f>XLOOKUP(H1815,'菜品主数据'!$A$5:$A$24,'菜品主数据'!$D$5:$D$24,0)</x:f>
        <x:v>39</x:v>
      </x:c>
      <x:c r="K1815" s="31" t="n">
        <x:v>6</x:v>
      </x:c>
      <x:c r="L1815" s="35" t="n">
        <x:f>J1815*K1815</x:f>
        <x:v>234</x:v>
      </x:c>
      <x:c r="M1815" s="36" t="n">
        <x:v>0</x:v>
      </x:c>
      <x:c r="N1815" s="35" t="n">
        <x:f>L1815*M1815</x:f>
        <x:v>0</x:v>
      </x:c>
      <x:c r="O1815" s="37" t="n">
        <x:v>0</x:v>
      </x:c>
      <x:c r="P1815" s="35" t="n">
        <x:f>L1815*O1815</x:f>
        <x:v>0</x:v>
      </x:c>
      <x:c r="Q1815" s="35" t="n">
        <x:v>0</x:v>
      </x:c>
      <x:c r="R1815" s="35" t="n">
        <x:f>K1815*Q1815</x:f>
        <x:v>0</x:v>
      </x:c>
      <x:c r="S1815" s="35" t="n">
        <x:f>XLOOKUP(H1815,'菜品主数据'!$A$5:$A$24,'菜品主数据'!$G$5:$G$24,0)</x:f>
        <x:v>10.397</x:v>
      </x:c>
      <x:c r="T1815" s="35" t="n">
        <x:f>K1815*S1815</x:f>
        <x:v>62.382000000000005</x:v>
      </x:c>
      <x:c r="U1815" s="35" t="n">
        <x:f>L1815-N1815-P1815-R1815-T1815</x:f>
        <x:v>171.618</x:v>
      </x:c>
      <x:c r="V1815" s="21" t="n">
        <x:f>IFERROR(U1815/L1815,0)</x:f>
        <x:v>0.7334102564102564</x:v>
      </x:c>
    </x:row>
    <x:row r="1816">
      <x:c r="A1816" s="19" t="str">
        <x:v>SALE-01812</x:v>
      </x:c>
      <x:c r="B1816" s="34" t="n">
        <x:v>46213.5</x:v>
      </x:c>
      <x:c r="C1816" s="19" t="str">
        <x:v>周五</x:v>
      </x:c>
      <x:c r="D1816" s="19" t="str">
        <x:v>S07</x:v>
      </x:c>
      <x:c r="E1816" s="19" t="str">
        <x:v>小和山店</x:v>
      </x:c>
      <x:c r="F1816" s="19" t="str">
        <x:v>堂食</x:v>
      </x:c>
      <x:c r="G1816" s="19" t="str">
        <x:v>全日</x:v>
      </x:c>
      <x:c r="H1816" s="19" t="str">
        <x:v>D12</x:v>
      </x:c>
      <x:c r="I1816" s="19" t="str">
        <x:v>清蒸鲈鱼</x:v>
      </x:c>
      <x:c r="J1816" s="22" t="n">
        <x:f>XLOOKUP(H1816,'菜品主数据'!$A$5:$A$24,'菜品主数据'!$D$5:$D$24,0)</x:f>
        <x:v>39</x:v>
      </x:c>
      <x:c r="K1816" s="31" t="n">
        <x:v>6</x:v>
      </x:c>
      <x:c r="L1816" s="35" t="n">
        <x:f>J1816*K1816</x:f>
        <x:v>234</x:v>
      </x:c>
      <x:c r="M1816" s="36" t="n">
        <x:v>0</x:v>
      </x:c>
      <x:c r="N1816" s="35" t="n">
        <x:f>L1816*M1816</x:f>
        <x:v>0</x:v>
      </x:c>
      <x:c r="O1816" s="37" t="n">
        <x:v>0</x:v>
      </x:c>
      <x:c r="P1816" s="35" t="n">
        <x:f>L1816*O1816</x:f>
        <x:v>0</x:v>
      </x:c>
      <x:c r="Q1816" s="35" t="n">
        <x:v>0</x:v>
      </x:c>
      <x:c r="R1816" s="35" t="n">
        <x:f>K1816*Q1816</x:f>
        <x:v>0</x:v>
      </x:c>
      <x:c r="S1816" s="35" t="n">
        <x:f>XLOOKUP(H1816,'菜品主数据'!$A$5:$A$24,'菜品主数据'!$G$5:$G$24,0)</x:f>
        <x:v>18.874</x:v>
      </x:c>
      <x:c r="T1816" s="35" t="n">
        <x:f>K1816*S1816</x:f>
        <x:v>113.244</x:v>
      </x:c>
      <x:c r="U1816" s="35" t="n">
        <x:f>L1816-N1816-P1816-R1816-T1816</x:f>
        <x:v>120.756</x:v>
      </x:c>
      <x:c r="V1816" s="21" t="n">
        <x:f>IFERROR(U1816/L1816,0)</x:f>
        <x:v>0.516051282051282</x:v>
      </x:c>
    </x:row>
    <x:row r="1817">
      <x:c r="A1817" s="19" t="str">
        <x:v>SALE-01813</x:v>
      </x:c>
      <x:c r="B1817" s="34" t="n">
        <x:v>46213.5</x:v>
      </x:c>
      <x:c r="C1817" s="19" t="str">
        <x:v>周五</x:v>
      </x:c>
      <x:c r="D1817" s="19" t="str">
        <x:v>S07</x:v>
      </x:c>
      <x:c r="E1817" s="19" t="str">
        <x:v>小和山店</x:v>
      </x:c>
      <x:c r="F1817" s="19" t="str">
        <x:v>堂食</x:v>
      </x:c>
      <x:c r="G1817" s="19" t="str">
        <x:v>全日</x:v>
      </x:c>
      <x:c r="H1817" s="19" t="str">
        <x:v>D13</x:v>
      </x:c>
      <x:c r="I1817" s="19" t="str">
        <x:v>外婆菜炒蛋</x:v>
      </x:c>
      <x:c r="J1817" s="22" t="n">
        <x:f>XLOOKUP(H1817,'菜品主数据'!$A$5:$A$24,'菜品主数据'!$D$5:$D$24,0)</x:f>
        <x:v>18</x:v>
      </x:c>
      <x:c r="K1817" s="31" t="n">
        <x:v>14</x:v>
      </x:c>
      <x:c r="L1817" s="35" t="n">
        <x:f>J1817*K1817</x:f>
        <x:v>252</x:v>
      </x:c>
      <x:c r="M1817" s="36" t="n">
        <x:v>0</x:v>
      </x:c>
      <x:c r="N1817" s="35" t="n">
        <x:f>L1817*M1817</x:f>
        <x:v>0</x:v>
      </x:c>
      <x:c r="O1817" s="37" t="n">
        <x:v>0</x:v>
      </x:c>
      <x:c r="P1817" s="35" t="n">
        <x:f>L1817*O1817</x:f>
        <x:v>0</x:v>
      </x:c>
      <x:c r="Q1817" s="35" t="n">
        <x:v>0</x:v>
      </x:c>
      <x:c r="R1817" s="35" t="n">
        <x:f>K1817*Q1817</x:f>
        <x:v>0</x:v>
      </x:c>
      <x:c r="S1817" s="35" t="n">
        <x:f>XLOOKUP(H1817,'菜品主数据'!$A$5:$A$24,'菜品主数据'!$G$5:$G$24,0)</x:f>
        <x:v>5.403999999999999</x:v>
      </x:c>
      <x:c r="T1817" s="35" t="n">
        <x:f>K1817*S1817</x:f>
        <x:v>75.65599999999999</x:v>
      </x:c>
      <x:c r="U1817" s="35" t="n">
        <x:f>L1817-N1817-P1817-R1817-T1817</x:f>
        <x:v>176.344</x:v>
      </x:c>
      <x:c r="V1817" s="21" t="n">
        <x:f>IFERROR(U1817/L1817,0)</x:f>
        <x:v>0.6997777777777777</x:v>
      </x:c>
    </x:row>
    <x:row r="1818">
      <x:c r="A1818" s="19" t="str">
        <x:v>SALE-01814</x:v>
      </x:c>
      <x:c r="B1818" s="34" t="n">
        <x:v>46213.5</x:v>
      </x:c>
      <x:c r="C1818" s="19" t="str">
        <x:v>周五</x:v>
      </x:c>
      <x:c r="D1818" s="19" t="str">
        <x:v>S07</x:v>
      </x:c>
      <x:c r="E1818" s="19" t="str">
        <x:v>小和山店</x:v>
      </x:c>
      <x:c r="F1818" s="19" t="str">
        <x:v>堂食</x:v>
      </x:c>
      <x:c r="G1818" s="19" t="str">
        <x:v>全日</x:v>
      </x:c>
      <x:c r="H1818" s="19" t="str">
        <x:v>D14</x:v>
      </x:c>
      <x:c r="I1818" s="19" t="str">
        <x:v>酸辣鸡杂</x:v>
      </x:c>
      <x:c r="J1818" s="22" t="n">
        <x:f>XLOOKUP(H1818,'菜品主数据'!$A$5:$A$24,'菜品主数据'!$D$5:$D$24,0)</x:f>
        <x:v>28</x:v>
      </x:c>
      <x:c r="K1818" s="31" t="n">
        <x:v>7</x:v>
      </x:c>
      <x:c r="L1818" s="35" t="n">
        <x:f>J1818*K1818</x:f>
        <x:v>196</x:v>
      </x:c>
      <x:c r="M1818" s="36" t="n">
        <x:v>0</x:v>
      </x:c>
      <x:c r="N1818" s="35" t="n">
        <x:f>L1818*M1818</x:f>
        <x:v>0</x:v>
      </x:c>
      <x:c r="O1818" s="37" t="n">
        <x:v>0</x:v>
      </x:c>
      <x:c r="P1818" s="35" t="n">
        <x:f>L1818*O1818</x:f>
        <x:v>0</x:v>
      </x:c>
      <x:c r="Q1818" s="35" t="n">
        <x:v>0</x:v>
      </x:c>
      <x:c r="R1818" s="35" t="n">
        <x:f>K1818*Q1818</x:f>
        <x:v>0</x:v>
      </x:c>
      <x:c r="S1818" s="35" t="n">
        <x:f>XLOOKUP(H1818,'菜品主数据'!$A$5:$A$24,'菜品主数据'!$G$5:$G$24,0)</x:f>
        <x:v>8.315000000000001</x:v>
      </x:c>
      <x:c r="T1818" s="35" t="n">
        <x:f>K1818*S1818</x:f>
        <x:v>58.20500000000001</x:v>
      </x:c>
      <x:c r="U1818" s="35" t="n">
        <x:f>L1818-N1818-P1818-R1818-T1818</x:f>
        <x:v>137.795</x:v>
      </x:c>
      <x:c r="V1818" s="21" t="n">
        <x:f>IFERROR(U1818/L1818,0)</x:f>
        <x:v>0.7030357142857142</x:v>
      </x:c>
    </x:row>
    <x:row r="1819">
      <x:c r="A1819" s="19" t="str">
        <x:v>SALE-01815</x:v>
      </x:c>
      <x:c r="B1819" s="34" t="n">
        <x:v>46213.5</x:v>
      </x:c>
      <x:c r="C1819" s="19" t="str">
        <x:v>周五</x:v>
      </x:c>
      <x:c r="D1819" s="19" t="str">
        <x:v>S07</x:v>
      </x:c>
      <x:c r="E1819" s="19" t="str">
        <x:v>小和山店</x:v>
      </x:c>
      <x:c r="F1819" s="19" t="str">
        <x:v>堂食</x:v>
      </x:c>
      <x:c r="G1819" s="19" t="str">
        <x:v>全日</x:v>
      </x:c>
      <x:c r="H1819" s="19" t="str">
        <x:v>D15</x:v>
      </x:c>
      <x:c r="I1819" s="19" t="str">
        <x:v>湘西土匪猪肝</x:v>
      </x:c>
      <x:c r="J1819" s="22" t="n">
        <x:f>XLOOKUP(H1819,'菜品主数据'!$A$5:$A$24,'菜品主数据'!$D$5:$D$24,0)</x:f>
        <x:v>26</x:v>
      </x:c>
      <x:c r="K1819" s="31" t="n">
        <x:v>6</x:v>
      </x:c>
      <x:c r="L1819" s="35" t="n">
        <x:f>J1819*K1819</x:f>
        <x:v>156</x:v>
      </x:c>
      <x:c r="M1819" s="36" t="n">
        <x:v>0</x:v>
      </x:c>
      <x:c r="N1819" s="35" t="n">
        <x:f>L1819*M1819</x:f>
        <x:v>0</x:v>
      </x:c>
      <x:c r="O1819" s="37" t="n">
        <x:v>0</x:v>
      </x:c>
      <x:c r="P1819" s="35" t="n">
        <x:f>L1819*O1819</x:f>
        <x:v>0</x:v>
      </x:c>
      <x:c r="Q1819" s="35" t="n">
        <x:v>0</x:v>
      </x:c>
      <x:c r="R1819" s="35" t="n">
        <x:f>K1819*Q1819</x:f>
        <x:v>0</x:v>
      </x:c>
      <x:c r="S1819" s="35" t="n">
        <x:f>XLOOKUP(H1819,'菜品主数据'!$A$5:$A$24,'菜品主数据'!$G$5:$G$24,0)</x:f>
        <x:v>6.3759999999999994</x:v>
      </x:c>
      <x:c r="T1819" s="35" t="n">
        <x:f>K1819*S1819</x:f>
        <x:v>38.256</x:v>
      </x:c>
      <x:c r="U1819" s="35" t="n">
        <x:f>L1819-N1819-P1819-R1819-T1819</x:f>
        <x:v>117.744</x:v>
      </x:c>
      <x:c r="V1819" s="21" t="n">
        <x:f>IFERROR(U1819/L1819,0)</x:f>
        <x:v>0.7547692307692307</x:v>
      </x:c>
    </x:row>
    <x:row r="1820">
      <x:c r="A1820" s="19" t="str">
        <x:v>SALE-01816</x:v>
      </x:c>
      <x:c r="B1820" s="34" t="n">
        <x:v>46213.5</x:v>
      </x:c>
      <x:c r="C1820" s="19" t="str">
        <x:v>周五</x:v>
      </x:c>
      <x:c r="D1820" s="19" t="str">
        <x:v>S07</x:v>
      </x:c>
      <x:c r="E1820" s="19" t="str">
        <x:v>小和山店</x:v>
      </x:c>
      <x:c r="F1820" s="19" t="str">
        <x:v>堂食</x:v>
      </x:c>
      <x:c r="G1820" s="19" t="str">
        <x:v>全日</x:v>
      </x:c>
      <x:c r="H1820" s="19" t="str">
        <x:v>D16</x:v>
      </x:c>
      <x:c r="I1820" s="19" t="str">
        <x:v>小豆角炒五花</x:v>
      </x:c>
      <x:c r="J1820" s="22" t="n">
        <x:f>XLOOKUP(H1820,'菜品主数据'!$A$5:$A$24,'菜品主数据'!$D$5:$D$24,0)</x:f>
        <x:v>25</x:v>
      </x:c>
      <x:c r="K1820" s="31" t="n">
        <x:v>7</x:v>
      </x:c>
      <x:c r="L1820" s="35" t="n">
        <x:f>J1820*K1820</x:f>
        <x:v>175</x:v>
      </x:c>
      <x:c r="M1820" s="36" t="n">
        <x:v>0</x:v>
      </x:c>
      <x:c r="N1820" s="35" t="n">
        <x:f>L1820*M1820</x:f>
        <x:v>0</x:v>
      </x:c>
      <x:c r="O1820" s="37" t="n">
        <x:v>0</x:v>
      </x:c>
      <x:c r="P1820" s="35" t="n">
        <x:f>L1820*O1820</x:f>
        <x:v>0</x:v>
      </x:c>
      <x:c r="Q1820" s="35" t="n">
        <x:v>0</x:v>
      </x:c>
      <x:c r="R1820" s="35" t="n">
        <x:f>K1820*Q1820</x:f>
        <x:v>0</x:v>
      </x:c>
      <x:c r="S1820" s="35" t="n">
        <x:f>XLOOKUP(H1820,'菜品主数据'!$A$5:$A$24,'菜品主数据'!$G$5:$G$24,0)</x:f>
        <x:v>8.184</x:v>
      </x:c>
      <x:c r="T1820" s="35" t="n">
        <x:f>K1820*S1820</x:f>
        <x:v>57.288</x:v>
      </x:c>
      <x:c r="U1820" s="35" t="n">
        <x:f>L1820-N1820-P1820-R1820-T1820</x:f>
        <x:v>117.712</x:v>
      </x:c>
      <x:c r="V1820" s="21" t="n">
        <x:f>IFERROR(U1820/L1820,0)</x:f>
        <x:v>0.67264</x:v>
      </x:c>
    </x:row>
    <x:row r="1821">
      <x:c r="A1821" s="19" t="str">
        <x:v>SALE-01817</x:v>
      </x:c>
      <x:c r="B1821" s="34" t="n">
        <x:v>46213.5</x:v>
      </x:c>
      <x:c r="C1821" s="19" t="str">
        <x:v>周五</x:v>
      </x:c>
      <x:c r="D1821" s="19" t="str">
        <x:v>S07</x:v>
      </x:c>
      <x:c r="E1821" s="19" t="str">
        <x:v>小和山店</x:v>
      </x:c>
      <x:c r="F1821" s="19" t="str">
        <x:v>堂食</x:v>
      </x:c>
      <x:c r="G1821" s="19" t="str">
        <x:v>全日</x:v>
      </x:c>
      <x:c r="H1821" s="19" t="str">
        <x:v>D17</x:v>
      </x:c>
      <x:c r="I1821" s="19" t="str">
        <x:v>蒜蓉粉丝虾</x:v>
      </x:c>
      <x:c r="J1821" s="22" t="n">
        <x:f>XLOOKUP(H1821,'菜品主数据'!$A$5:$A$24,'菜品主数据'!$D$5:$D$24,0)</x:f>
        <x:v>36</x:v>
      </x:c>
      <x:c r="K1821" s="31" t="n">
        <x:v>4</x:v>
      </x:c>
      <x:c r="L1821" s="35" t="n">
        <x:f>J1821*K1821</x:f>
        <x:v>144</x:v>
      </x:c>
      <x:c r="M1821" s="36" t="n">
        <x:v>0</x:v>
      </x:c>
      <x:c r="N1821" s="35" t="n">
        <x:f>L1821*M1821</x:f>
        <x:v>0</x:v>
      </x:c>
      <x:c r="O1821" s="37" t="n">
        <x:v>0</x:v>
      </x:c>
      <x:c r="P1821" s="35" t="n">
        <x:f>L1821*O1821</x:f>
        <x:v>0</x:v>
      </x:c>
      <x:c r="Q1821" s="35" t="n">
        <x:v>0</x:v>
      </x:c>
      <x:c r="R1821" s="35" t="n">
        <x:f>K1821*Q1821</x:f>
        <x:v>0</x:v>
      </x:c>
      <x:c r="S1821" s="35" t="n">
        <x:f>XLOOKUP(H1821,'菜品主数据'!$A$5:$A$24,'菜品主数据'!$G$5:$G$24,0)</x:f>
        <x:v>13.594</x:v>
      </x:c>
      <x:c r="T1821" s="35" t="n">
        <x:f>K1821*S1821</x:f>
        <x:v>54.376</x:v>
      </x:c>
      <x:c r="U1821" s="35" t="n">
        <x:f>L1821-N1821-P1821-R1821-T1821</x:f>
        <x:v>89.624</x:v>
      </x:c>
      <x:c r="V1821" s="21" t="n">
        <x:f>IFERROR(U1821/L1821,0)</x:f>
        <x:v>0.6223888888888889</x:v>
      </x:c>
    </x:row>
    <x:row r="1822">
      <x:c r="A1822" s="19" t="str">
        <x:v>SALE-01818</x:v>
      </x:c>
      <x:c r="B1822" s="34" t="n">
        <x:v>46213.5</x:v>
      </x:c>
      <x:c r="C1822" s="19" t="str">
        <x:v>周五</x:v>
      </x:c>
      <x:c r="D1822" s="19" t="str">
        <x:v>S07</x:v>
      </x:c>
      <x:c r="E1822" s="19" t="str">
        <x:v>小和山店</x:v>
      </x:c>
      <x:c r="F1822" s="19" t="str">
        <x:v>堂食</x:v>
      </x:c>
      <x:c r="G1822" s="19" t="str">
        <x:v>全日</x:v>
      </x:c>
      <x:c r="H1822" s="19" t="str">
        <x:v>D18</x:v>
      </x:c>
      <x:c r="I1822" s="19" t="str">
        <x:v>青椒炒油麦菜</x:v>
      </x:c>
      <x:c r="J1822" s="22" t="n">
        <x:f>XLOOKUP(H1822,'菜品主数据'!$A$5:$A$24,'菜品主数据'!$D$5:$D$24,0)</x:f>
        <x:v>18</x:v>
      </x:c>
      <x:c r="K1822" s="31" t="n">
        <x:v>8</x:v>
      </x:c>
      <x:c r="L1822" s="35" t="n">
        <x:f>J1822*K1822</x:f>
        <x:v>144</x:v>
      </x:c>
      <x:c r="M1822" s="36" t="n">
        <x:v>0</x:v>
      </x:c>
      <x:c r="N1822" s="35" t="n">
        <x:f>L1822*M1822</x:f>
        <x:v>0</x:v>
      </x:c>
      <x:c r="O1822" s="37" t="n">
        <x:v>0</x:v>
      </x:c>
      <x:c r="P1822" s="35" t="n">
        <x:f>L1822*O1822</x:f>
        <x:v>0</x:v>
      </x:c>
      <x:c r="Q1822" s="35" t="n">
        <x:v>0</x:v>
      </x:c>
      <x:c r="R1822" s="35" t="n">
        <x:f>K1822*Q1822</x:f>
        <x:v>0</x:v>
      </x:c>
      <x:c r="S1822" s="35" t="n">
        <x:f>XLOOKUP(H1822,'菜品主数据'!$A$5:$A$24,'菜品主数据'!$G$5:$G$24,0)</x:f>
        <x:v>3.1759999999999993</x:v>
      </x:c>
      <x:c r="T1822" s="35" t="n">
        <x:f>K1822*S1822</x:f>
        <x:v>25.407999999999994</x:v>
      </x:c>
      <x:c r="U1822" s="35" t="n">
        <x:f>L1822-N1822-P1822-R1822-T1822</x:f>
        <x:v>118.59200000000001</x:v>
      </x:c>
      <x:c r="V1822" s="21" t="n">
        <x:f>IFERROR(U1822/L1822,0)</x:f>
        <x:v>0.8235555555555556</x:v>
      </x:c>
    </x:row>
    <x:row r="1823">
      <x:c r="A1823" s="19" t="str">
        <x:v>SALE-01819</x:v>
      </x:c>
      <x:c r="B1823" s="34" t="n">
        <x:v>46213.5</x:v>
      </x:c>
      <x:c r="C1823" s="19" t="str">
        <x:v>周五</x:v>
      </x:c>
      <x:c r="D1823" s="19" t="str">
        <x:v>S07</x:v>
      </x:c>
      <x:c r="E1823" s="19" t="str">
        <x:v>小和山店</x:v>
      </x:c>
      <x:c r="F1823" s="19" t="str">
        <x:v>堂食</x:v>
      </x:c>
      <x:c r="G1823" s="19" t="str">
        <x:v>全日</x:v>
      </x:c>
      <x:c r="H1823" s="19" t="str">
        <x:v>D19</x:v>
      </x:c>
      <x:c r="I1823" s="19" t="str">
        <x:v>酸萝卜炒鸡杂</x:v>
      </x:c>
      <x:c r="J1823" s="22" t="n">
        <x:f>XLOOKUP(H1823,'菜品主数据'!$A$5:$A$24,'菜品主数据'!$D$5:$D$24,0)</x:f>
        <x:v>25</x:v>
      </x:c>
      <x:c r="K1823" s="31" t="n">
        <x:v>6</x:v>
      </x:c>
      <x:c r="L1823" s="35" t="n">
        <x:f>J1823*K1823</x:f>
        <x:v>150</x:v>
      </x:c>
      <x:c r="M1823" s="36" t="n">
        <x:v>0</x:v>
      </x:c>
      <x:c r="N1823" s="35" t="n">
        <x:f>L1823*M1823</x:f>
        <x:v>0</x:v>
      </x:c>
      <x:c r="O1823" s="37" t="n">
        <x:v>0</x:v>
      </x:c>
      <x:c r="P1823" s="35" t="n">
        <x:f>L1823*O1823</x:f>
        <x:v>0</x:v>
      </x:c>
      <x:c r="Q1823" s="35" t="n">
        <x:v>0</x:v>
      </x:c>
      <x:c r="R1823" s="35" t="n">
        <x:f>K1823*Q1823</x:f>
        <x:v>0</x:v>
      </x:c>
      <x:c r="S1823" s="35" t="n">
        <x:f>XLOOKUP(H1823,'菜品主数据'!$A$5:$A$24,'菜品主数据'!$G$5:$G$24,0)</x:f>
        <x:v>7.9399999999999995</x:v>
      </x:c>
      <x:c r="T1823" s="35" t="n">
        <x:f>K1823*S1823</x:f>
        <x:v>47.64</x:v>
      </x:c>
      <x:c r="U1823" s="35" t="n">
        <x:f>L1823-N1823-P1823-R1823-T1823</x:f>
        <x:v>102.36</x:v>
      </x:c>
      <x:c r="V1823" s="21" t="n">
        <x:f>IFERROR(U1823/L1823,0)</x:f>
        <x:v>0.6824</x:v>
      </x:c>
    </x:row>
    <x:row r="1824">
      <x:c r="A1824" s="19" t="str">
        <x:v>SALE-01820</x:v>
      </x:c>
      <x:c r="B1824" s="34" t="n">
        <x:v>46213.5</x:v>
      </x:c>
      <x:c r="C1824" s="19" t="str">
        <x:v>周五</x:v>
      </x:c>
      <x:c r="D1824" s="19" t="str">
        <x:v>S07</x:v>
      </x:c>
      <x:c r="E1824" s="19" t="str">
        <x:v>小和山店</x:v>
      </x:c>
      <x:c r="F1824" s="19" t="str">
        <x:v>堂食</x:v>
      </x:c>
      <x:c r="G1824" s="19" t="str">
        <x:v>全日</x:v>
      </x:c>
      <x:c r="H1824" s="19" t="str">
        <x:v>D20</x:v>
      </x:c>
      <x:c r="I1824" s="19" t="str">
        <x:v>雪菜肉末青豆</x:v>
      </x:c>
      <x:c r="J1824" s="22" t="n">
        <x:f>XLOOKUP(H1824,'菜品主数据'!$A$5:$A$24,'菜品主数据'!$D$5:$D$24,0)</x:f>
        <x:v>18</x:v>
      </x:c>
      <x:c r="K1824" s="31" t="n">
        <x:v>8</x:v>
      </x:c>
      <x:c r="L1824" s="35" t="n">
        <x:f>J1824*K1824</x:f>
        <x:v>144</x:v>
      </x:c>
      <x:c r="M1824" s="36" t="n">
        <x:v>0</x:v>
      </x:c>
      <x:c r="N1824" s="35" t="n">
        <x:f>L1824*M1824</x:f>
        <x:v>0</x:v>
      </x:c>
      <x:c r="O1824" s="37" t="n">
        <x:v>0</x:v>
      </x:c>
      <x:c r="P1824" s="35" t="n">
        <x:f>L1824*O1824</x:f>
        <x:v>0</x:v>
      </x:c>
      <x:c r="Q1824" s="35" t="n">
        <x:v>0</x:v>
      </x:c>
      <x:c r="R1824" s="35" t="n">
        <x:f>K1824*Q1824</x:f>
        <x:v>0</x:v>
      </x:c>
      <x:c r="S1824" s="35" t="n">
        <x:f>XLOOKUP(H1824,'菜品主数据'!$A$5:$A$24,'菜品主数据'!$G$5:$G$24,0)</x:f>
        <x:v>7.303999999999999</x:v>
      </x:c>
      <x:c r="T1824" s="35" t="n">
        <x:f>K1824*S1824</x:f>
        <x:v>58.431999999999995</x:v>
      </x:c>
      <x:c r="U1824" s="35" t="n">
        <x:f>L1824-N1824-P1824-R1824-T1824</x:f>
        <x:v>85.56800000000001</x:v>
      </x:c>
      <x:c r="V1824" s="21" t="n">
        <x:f>IFERROR(U1824/L1824,0)</x:f>
        <x:v>0.5942222222222223</x:v>
      </x:c>
    </x:row>
    <x:row r="1825">
      <x:c r="A1825" s="19" t="str">
        <x:v>SALE-01821</x:v>
      </x:c>
      <x:c r="B1825" s="34" t="n">
        <x:v>46213.5</x:v>
      </x:c>
      <x:c r="C1825" s="19" t="str">
        <x:v>周五</x:v>
      </x:c>
      <x:c r="D1825" s="19" t="str">
        <x:v>S07</x:v>
      </x:c>
      <x:c r="E1825" s="19" t="str">
        <x:v>小和山店</x:v>
      </x:c>
      <x:c r="F1825" s="19" t="str">
        <x:v>外卖</x:v>
      </x:c>
      <x:c r="G1825" s="19" t="str">
        <x:v>全日</x:v>
      </x:c>
      <x:c r="H1825" s="19" t="str">
        <x:v>D01</x:v>
      </x:c>
      <x:c r="I1825" s="19" t="str">
        <x:v>辣椒炒肉</x:v>
      </x:c>
      <x:c r="J1825" s="22" t="n">
        <x:f>XLOOKUP(H1825,'菜品主数据'!$A$5:$A$24,'菜品主数据'!$D$5:$D$24,0)</x:f>
        <x:v>29</x:v>
      </x:c>
      <x:c r="K1825" s="31" t="n">
        <x:v>4</x:v>
      </x:c>
      <x:c r="L1825" s="35" t="n">
        <x:f>J1825*K1825</x:f>
        <x:v>116</x:v>
      </x:c>
      <x:c r="M1825" s="36" t="n">
        <x:v>0.08</x:v>
      </x:c>
      <x:c r="N1825" s="35" t="n">
        <x:f>L1825*M1825</x:f>
        <x:v>9.28</x:v>
      </x:c>
      <x:c r="O1825" s="37" t="n">
        <x:v>0.18</x:v>
      </x:c>
      <x:c r="P1825" s="35" t="n">
        <x:f>L1825*O1825</x:f>
        <x:v>20.88</x:v>
      </x:c>
      <x:c r="Q1825" s="35" t="n">
        <x:v>1.2</x:v>
      </x:c>
      <x:c r="R1825" s="35" t="n">
        <x:f>K1825*Q1825</x:f>
        <x:v>4.8</x:v>
      </x:c>
      <x:c r="S1825" s="35" t="n">
        <x:f>XLOOKUP(H1825,'菜品主数据'!$A$5:$A$24,'菜品主数据'!$G$5:$G$24,0)</x:f>
        <x:v>8.634400000000001</x:v>
      </x:c>
      <x:c r="T1825" s="35" t="n">
        <x:f>K1825*S1825</x:f>
        <x:v>34.537600000000005</x:v>
      </x:c>
      <x:c r="U1825" s="35" t="n">
        <x:f>L1825-N1825-P1825-R1825-T1825</x:f>
        <x:v>46.5024</x:v>
      </x:c>
      <x:c r="V1825" s="21" t="n">
        <x:f>IFERROR(U1825/L1825,0)</x:f>
        <x:v>0.40088275862068967</x:v>
      </x:c>
    </x:row>
    <x:row r="1826">
      <x:c r="A1826" s="19" t="str">
        <x:v>SALE-01822</x:v>
      </x:c>
      <x:c r="B1826" s="34" t="n">
        <x:v>46213.5</x:v>
      </x:c>
      <x:c r="C1826" s="19" t="str">
        <x:v>周五</x:v>
      </x:c>
      <x:c r="D1826" s="19" t="str">
        <x:v>S07</x:v>
      </x:c>
      <x:c r="E1826" s="19" t="str">
        <x:v>小和山店</x:v>
      </x:c>
      <x:c r="F1826" s="19" t="str">
        <x:v>外卖</x:v>
      </x:c>
      <x:c r="G1826" s="19" t="str">
        <x:v>全日</x:v>
      </x:c>
      <x:c r="H1826" s="19" t="str">
        <x:v>D02</x:v>
      </x:c>
      <x:c r="I1826" s="19" t="str">
        <x:v>小炒黄牛肉</x:v>
      </x:c>
      <x:c r="J1826" s="22" t="n">
        <x:f>XLOOKUP(H1826,'菜品主数据'!$A$5:$A$24,'菜品主数据'!$D$5:$D$24,0)</x:f>
        <x:v>49</x:v>
      </x:c>
      <x:c r="K1826" s="31" t="n">
        <x:v>8</x:v>
      </x:c>
      <x:c r="L1826" s="35" t="n">
        <x:f>J1826*K1826</x:f>
        <x:v>392</x:v>
      </x:c>
      <x:c r="M1826" s="36" t="n">
        <x:v>0.08</x:v>
      </x:c>
      <x:c r="N1826" s="35" t="n">
        <x:f>L1826*M1826</x:f>
        <x:v>31.36</x:v>
      </x:c>
      <x:c r="O1826" s="37" t="n">
        <x:v>0.18</x:v>
      </x:c>
      <x:c r="P1826" s="35" t="n">
        <x:f>L1826*O1826</x:f>
        <x:v>70.56</x:v>
      </x:c>
      <x:c r="Q1826" s="35" t="n">
        <x:v>1.2</x:v>
      </x:c>
      <x:c r="R1826" s="35" t="n">
        <x:f>K1826*Q1826</x:f>
        <x:v>9.6</x:v>
      </x:c>
      <x:c r="S1826" s="35" t="n">
        <x:f>XLOOKUP(H1826,'菜品主数据'!$A$5:$A$24,'菜品主数据'!$G$5:$G$24,0)</x:f>
        <x:v>17.577</x:v>
      </x:c>
      <x:c r="T1826" s="35" t="n">
        <x:f>K1826*S1826</x:f>
        <x:v>140.616</x:v>
      </x:c>
      <x:c r="U1826" s="35" t="n">
        <x:f>L1826-N1826-P1826-R1826-T1826</x:f>
        <x:v>139.86399999999995</x:v>
      </x:c>
      <x:c r="V1826" s="21" t="n">
        <x:f>IFERROR(U1826/L1826,0)</x:f>
        <x:v>0.3567959183673468</x:v>
      </x:c>
    </x:row>
    <x:row r="1827">
      <x:c r="A1827" s="19" t="str">
        <x:v>SALE-01823</x:v>
      </x:c>
      <x:c r="B1827" s="34" t="n">
        <x:v>46213.5</x:v>
      </x:c>
      <x:c r="C1827" s="19" t="str">
        <x:v>周五</x:v>
      </x:c>
      <x:c r="D1827" s="19" t="str">
        <x:v>S07</x:v>
      </x:c>
      <x:c r="E1827" s="19" t="str">
        <x:v>小和山店</x:v>
      </x:c>
      <x:c r="F1827" s="19" t="str">
        <x:v>外卖</x:v>
      </x:c>
      <x:c r="G1827" s="19" t="str">
        <x:v>全日</x:v>
      </x:c>
      <x:c r="H1827" s="19" t="str">
        <x:v>D03</x:v>
      </x:c>
      <x:c r="I1827" s="19" t="str">
        <x:v>香醋炒蛋</x:v>
      </x:c>
      <x:c r="J1827" s="22" t="n">
        <x:f>XLOOKUP(H1827,'菜品主数据'!$A$5:$A$24,'菜品主数据'!$D$5:$D$24,0)</x:f>
        <x:v>14.9</x:v>
      </x:c>
      <x:c r="K1827" s="31" t="n">
        <x:v>3</x:v>
      </x:c>
      <x:c r="L1827" s="35" t="n">
        <x:f>J1827*K1827</x:f>
        <x:v>44.7</x:v>
      </x:c>
      <x:c r="M1827" s="36" t="n">
        <x:v>0.08</x:v>
      </x:c>
      <x:c r="N1827" s="35" t="n">
        <x:f>L1827*M1827</x:f>
        <x:v>3.5760000000000005</x:v>
      </x:c>
      <x:c r="O1827" s="37" t="n">
        <x:v>0.18</x:v>
      </x:c>
      <x:c r="P1827" s="35" t="n">
        <x:f>L1827*O1827</x:f>
        <x:v>8.046</x:v>
      </x:c>
      <x:c r="Q1827" s="35" t="n">
        <x:v>1.2</x:v>
      </x:c>
      <x:c r="R1827" s="35" t="n">
        <x:f>K1827*Q1827</x:f>
        <x:v>3.5999999999999996</x:v>
      </x:c>
      <x:c r="S1827" s="35" t="n">
        <x:f>XLOOKUP(H1827,'菜品主数据'!$A$5:$A$24,'菜品主数据'!$G$5:$G$24,0)</x:f>
        <x:v>3.7459999999999996</x:v>
      </x:c>
      <x:c r="T1827" s="35" t="n">
        <x:f>K1827*S1827</x:f>
        <x:v>11.238</x:v>
      </x:c>
      <x:c r="U1827" s="35" t="n">
        <x:f>L1827-N1827-P1827-R1827-T1827</x:f>
        <x:v>18.240000000000002</x:v>
      </x:c>
      <x:c r="V1827" s="21" t="n">
        <x:f>IFERROR(U1827/L1827,0)</x:f>
        <x:v>0.40805369127516783</x:v>
      </x:c>
    </x:row>
    <x:row r="1828">
      <x:c r="A1828" s="19" t="str">
        <x:v>SALE-01824</x:v>
      </x:c>
      <x:c r="B1828" s="34" t="n">
        <x:v>46213.5</x:v>
      </x:c>
      <x:c r="C1828" s="19" t="str">
        <x:v>周五</x:v>
      </x:c>
      <x:c r="D1828" s="19" t="str">
        <x:v>S07</x:v>
      </x:c>
      <x:c r="E1828" s="19" t="str">
        <x:v>小和山店</x:v>
      </x:c>
      <x:c r="F1828" s="19" t="str">
        <x:v>外卖</x:v>
      </x:c>
      <x:c r="G1828" s="19" t="str">
        <x:v>全日</x:v>
      </x:c>
      <x:c r="H1828" s="19" t="str">
        <x:v>D04</x:v>
      </x:c>
      <x:c r="I1828" s="19" t="str">
        <x:v>酸包菜炒粉皮</x:v>
      </x:c>
      <x:c r="J1828" s="22" t="n">
        <x:f>XLOOKUP(H1828,'菜品主数据'!$A$5:$A$24,'菜品主数据'!$D$5:$D$24,0)</x:f>
        <x:v>16</x:v>
      </x:c>
      <x:c r="K1828" s="31" t="n">
        <x:v>3</x:v>
      </x:c>
      <x:c r="L1828" s="35" t="n">
        <x:f>J1828*K1828</x:f>
        <x:v>48</x:v>
      </x:c>
      <x:c r="M1828" s="36" t="n">
        <x:v>0.08</x:v>
      </x:c>
      <x:c r="N1828" s="35" t="n">
        <x:f>L1828*M1828</x:f>
        <x:v>3.84</x:v>
      </x:c>
      <x:c r="O1828" s="37" t="n">
        <x:v>0.18</x:v>
      </x:c>
      <x:c r="P1828" s="35" t="n">
        <x:f>L1828*O1828</x:f>
        <x:v>8.64</x:v>
      </x:c>
      <x:c r="Q1828" s="35" t="n">
        <x:v>1.2</x:v>
      </x:c>
      <x:c r="R1828" s="35" t="n">
        <x:f>K1828*Q1828</x:f>
        <x:v>3.5999999999999996</x:v>
      </x:c>
      <x:c r="S1828" s="35" t="n">
        <x:f>XLOOKUP(H1828,'菜品主数据'!$A$5:$A$24,'菜品主数据'!$G$5:$G$24,0)</x:f>
        <x:v>3.978</x:v>
      </x:c>
      <x:c r="T1828" s="35" t="n">
        <x:f>K1828*S1828</x:f>
        <x:v>11.934000000000001</x:v>
      </x:c>
      <x:c r="U1828" s="35" t="n">
        <x:f>L1828-N1828-P1828-R1828-T1828</x:f>
        <x:v>19.985999999999994</x:v>
      </x:c>
      <x:c r="V1828" s="21" t="n">
        <x:f>IFERROR(U1828/L1828,0)</x:f>
        <x:v>0.4163749999999999</x:v>
      </x:c>
    </x:row>
    <x:row r="1829">
      <x:c r="A1829" s="19" t="str">
        <x:v>SALE-01825</x:v>
      </x:c>
      <x:c r="B1829" s="34" t="n">
        <x:v>46213.5</x:v>
      </x:c>
      <x:c r="C1829" s="19" t="str">
        <x:v>周五</x:v>
      </x:c>
      <x:c r="D1829" s="19" t="str">
        <x:v>S07</x:v>
      </x:c>
      <x:c r="E1829" s="19" t="str">
        <x:v>小和山店</x:v>
      </x:c>
      <x:c r="F1829" s="19" t="str">
        <x:v>外卖</x:v>
      </x:c>
      <x:c r="G1829" s="19" t="str">
        <x:v>全日</x:v>
      </x:c>
      <x:c r="H1829" s="19" t="str">
        <x:v>D05</x:v>
      </x:c>
      <x:c r="I1829" s="19" t="str">
        <x:v>麻婆豆腐</x:v>
      </x:c>
      <x:c r="J1829" s="22" t="n">
        <x:f>XLOOKUP(H1829,'菜品主数据'!$A$5:$A$24,'菜品主数据'!$D$5:$D$24,0)</x:f>
        <x:v>9.9</x:v>
      </x:c>
      <x:c r="K1829" s="31" t="n">
        <x:v>5</x:v>
      </x:c>
      <x:c r="L1829" s="35" t="n">
        <x:f>J1829*K1829</x:f>
        <x:v>49.5</x:v>
      </x:c>
      <x:c r="M1829" s="36" t="n">
        <x:v>0.08</x:v>
      </x:c>
      <x:c r="N1829" s="35" t="n">
        <x:f>L1829*M1829</x:f>
        <x:v>3.96</x:v>
      </x:c>
      <x:c r="O1829" s="37" t="n">
        <x:v>0.18</x:v>
      </x:c>
      <x:c r="P1829" s="35" t="n">
        <x:f>L1829*O1829</x:f>
        <x:v>8.91</x:v>
      </x:c>
      <x:c r="Q1829" s="35" t="n">
        <x:v>1.2</x:v>
      </x:c>
      <x:c r="R1829" s="35" t="n">
        <x:f>K1829*Q1829</x:f>
        <x:v>6</x:v>
      </x:c>
      <x:c r="S1829" s="35" t="n">
        <x:f>XLOOKUP(H1829,'菜品主数据'!$A$5:$A$24,'菜品主数据'!$G$5:$G$24,0)</x:f>
        <x:v>5.367000000000001</x:v>
      </x:c>
      <x:c r="T1829" s="35" t="n">
        <x:f>K1829*S1829</x:f>
        <x:v>26.835000000000004</x:v>
      </x:c>
      <x:c r="U1829" s="35" t="n">
        <x:f>L1829-N1829-P1829-R1829-T1829</x:f>
        <x:v>3.794999999999991</x:v>
      </x:c>
      <x:c r="V1829" s="21" t="n">
        <x:f>IFERROR(U1829/L1829,0)</x:f>
        <x:v>0.07666666666666648</x:v>
      </x:c>
    </x:row>
    <x:row r="1830">
      <x:c r="A1830" s="19" t="str">
        <x:v>SALE-01826</x:v>
      </x:c>
      <x:c r="B1830" s="34" t="n">
        <x:v>46213.5</x:v>
      </x:c>
      <x:c r="C1830" s="19" t="str">
        <x:v>周五</x:v>
      </x:c>
      <x:c r="D1830" s="19" t="str">
        <x:v>S07</x:v>
      </x:c>
      <x:c r="E1830" s="19" t="str">
        <x:v>小和山店</x:v>
      </x:c>
      <x:c r="F1830" s="19" t="str">
        <x:v>外卖</x:v>
      </x:c>
      <x:c r="G1830" s="19" t="str">
        <x:v>全日</x:v>
      </x:c>
      <x:c r="H1830" s="19" t="str">
        <x:v>D06</x:v>
      </x:c>
      <x:c r="I1830" s="19" t="str">
        <x:v>剁椒鱼头</x:v>
      </x:c>
      <x:c r="J1830" s="22" t="n">
        <x:f>XLOOKUP(H1830,'菜品主数据'!$A$5:$A$24,'菜品主数据'!$D$5:$D$24,0)</x:f>
        <x:v>39</x:v>
      </x:c>
      <x:c r="K1830" s="31" t="n">
        <x:v>1</x:v>
      </x:c>
      <x:c r="L1830" s="35" t="n">
        <x:f>J1830*K1830</x:f>
        <x:v>39</x:v>
      </x:c>
      <x:c r="M1830" s="36" t="n">
        <x:v>0.08</x:v>
      </x:c>
      <x:c r="N1830" s="35" t="n">
        <x:f>L1830*M1830</x:f>
        <x:v>3.12</x:v>
      </x:c>
      <x:c r="O1830" s="37" t="n">
        <x:v>0.18</x:v>
      </x:c>
      <x:c r="P1830" s="35" t="n">
        <x:f>L1830*O1830</x:f>
        <x:v>7.02</x:v>
      </x:c>
      <x:c r="Q1830" s="35" t="n">
        <x:v>1.2</x:v>
      </x:c>
      <x:c r="R1830" s="35" t="n">
        <x:f>K1830*Q1830</x:f>
        <x:v>1.2</x:v>
      </x:c>
      <x:c r="S1830" s="35" t="n">
        <x:f>XLOOKUP(H1830,'菜品主数据'!$A$5:$A$24,'菜品主数据'!$G$5:$G$24,0)</x:f>
        <x:v>17.446</x:v>
      </x:c>
      <x:c r="T1830" s="35" t="n">
        <x:f>K1830*S1830</x:f>
        <x:v>17.446</x:v>
      </x:c>
      <x:c r="U1830" s="35" t="n">
        <x:f>L1830-N1830-P1830-R1830-T1830</x:f>
        <x:v>10.214000000000002</x:v>
      </x:c>
      <x:c r="V1830" s="21" t="n">
        <x:f>IFERROR(U1830/L1830,0)</x:f>
        <x:v>0.26189743589743597</x:v>
      </x:c>
    </x:row>
    <x:row r="1831">
      <x:c r="A1831" s="19" t="str">
        <x:v>SALE-01827</x:v>
      </x:c>
      <x:c r="B1831" s="34" t="n">
        <x:v>46213.5</x:v>
      </x:c>
      <x:c r="C1831" s="19" t="str">
        <x:v>周五</x:v>
      </x:c>
      <x:c r="D1831" s="19" t="str">
        <x:v>S07</x:v>
      </x:c>
      <x:c r="E1831" s="19" t="str">
        <x:v>小和山店</x:v>
      </x:c>
      <x:c r="F1831" s="19" t="str">
        <x:v>外卖</x:v>
      </x:c>
      <x:c r="G1831" s="19" t="str">
        <x:v>全日</x:v>
      </x:c>
      <x:c r="H1831" s="19" t="str">
        <x:v>D07</x:v>
      </x:c>
      <x:c r="I1831" s="19" t="str">
        <x:v>川味回锅肉</x:v>
      </x:c>
      <x:c r="J1831" s="22" t="n">
        <x:f>XLOOKUP(H1831,'菜品主数据'!$A$5:$A$24,'菜品主数据'!$D$5:$D$24,0)</x:f>
        <x:v>29</x:v>
      </x:c>
      <x:c r="K1831" s="31" t="n">
        <x:v>1</x:v>
      </x:c>
      <x:c r="L1831" s="35" t="n">
        <x:f>J1831*K1831</x:f>
        <x:v>29</x:v>
      </x:c>
      <x:c r="M1831" s="36" t="n">
        <x:v>0.08</x:v>
      </x:c>
      <x:c r="N1831" s="35" t="n">
        <x:f>L1831*M1831</x:f>
        <x:v>2.32</x:v>
      </x:c>
      <x:c r="O1831" s="37" t="n">
        <x:v>0.18</x:v>
      </x:c>
      <x:c r="P1831" s="35" t="n">
        <x:f>L1831*O1831</x:f>
        <x:v>5.22</x:v>
      </x:c>
      <x:c r="Q1831" s="35" t="n">
        <x:v>1.2</x:v>
      </x:c>
      <x:c r="R1831" s="35" t="n">
        <x:f>K1831*Q1831</x:f>
        <x:v>1.2</x:v>
      </x:c>
      <x:c r="S1831" s="35" t="n">
        <x:f>XLOOKUP(H1831,'菜品主数据'!$A$5:$A$24,'菜品主数据'!$G$5:$G$24,0)</x:f>
        <x:v>10.231000000000002</x:v>
      </x:c>
      <x:c r="T1831" s="35" t="n">
        <x:f>K1831*S1831</x:f>
        <x:v>10.231000000000002</x:v>
      </x:c>
      <x:c r="U1831" s="35" t="n">
        <x:f>L1831-N1831-P1831-R1831-T1831</x:f>
        <x:v>10.029</x:v>
      </x:c>
      <x:c r="V1831" s="21" t="n">
        <x:f>IFERROR(U1831/L1831,0)</x:f>
        <x:v>0.3458275862068966</x:v>
      </x:c>
    </x:row>
    <x:row r="1832">
      <x:c r="A1832" s="19" t="str">
        <x:v>SALE-01828</x:v>
      </x:c>
      <x:c r="B1832" s="34" t="n">
        <x:v>46213.5</x:v>
      </x:c>
      <x:c r="C1832" s="19" t="str">
        <x:v>周五</x:v>
      </x:c>
      <x:c r="D1832" s="19" t="str">
        <x:v>S07</x:v>
      </x:c>
      <x:c r="E1832" s="19" t="str">
        <x:v>小和山店</x:v>
      </x:c>
      <x:c r="F1832" s="19" t="str">
        <x:v>外卖</x:v>
      </x:c>
      <x:c r="G1832" s="19" t="str">
        <x:v>全日</x:v>
      </x:c>
      <x:c r="H1832" s="19" t="str">
        <x:v>D08</x:v>
      </x:c>
      <x:c r="I1832" s="19" t="str">
        <x:v>生炒清远鸡</x:v>
      </x:c>
      <x:c r="J1832" s="22" t="n">
        <x:f>XLOOKUP(H1832,'菜品主数据'!$A$5:$A$24,'菜品主数据'!$D$5:$D$24,0)</x:f>
        <x:v>36</x:v>
      </x:c>
      <x:c r="K1832" s="31" t="n">
        <x:v>1</x:v>
      </x:c>
      <x:c r="L1832" s="35" t="n">
        <x:f>J1832*K1832</x:f>
        <x:v>36</x:v>
      </x:c>
      <x:c r="M1832" s="36" t="n">
        <x:v>0.08</x:v>
      </x:c>
      <x:c r="N1832" s="35" t="n">
        <x:f>L1832*M1832</x:f>
        <x:v>2.88</x:v>
      </x:c>
      <x:c r="O1832" s="37" t="n">
        <x:v>0.18</x:v>
      </x:c>
      <x:c r="P1832" s="35" t="n">
        <x:f>L1832*O1832</x:f>
        <x:v>6.4799999999999995</x:v>
      </x:c>
      <x:c r="Q1832" s="35" t="n">
        <x:v>1.2</x:v>
      </x:c>
      <x:c r="R1832" s="35" t="n">
        <x:f>K1832*Q1832</x:f>
        <x:v>1.2</x:v>
      </x:c>
      <x:c r="S1832" s="35" t="n">
        <x:f>XLOOKUP(H1832,'菜品主数据'!$A$5:$A$24,'菜品主数据'!$G$5:$G$24,0)</x:f>
        <x:v>13.48</x:v>
      </x:c>
      <x:c r="T1832" s="35" t="n">
        <x:f>K1832*S1832</x:f>
        <x:v>13.48</x:v>
      </x:c>
      <x:c r="U1832" s="35" t="n">
        <x:f>L1832-N1832-P1832-R1832-T1832</x:f>
        <x:v>11.959999999999997</x:v>
      </x:c>
      <x:c r="V1832" s="21" t="n">
        <x:f>IFERROR(U1832/L1832,0)</x:f>
        <x:v>0.33222222222222214</x:v>
      </x:c>
    </x:row>
    <x:row r="1833">
      <x:c r="A1833" s="19" t="str">
        <x:v>SALE-01829</x:v>
      </x:c>
      <x:c r="B1833" s="34" t="n">
        <x:v>46213.5</x:v>
      </x:c>
      <x:c r="C1833" s="19" t="str">
        <x:v>周五</x:v>
      </x:c>
      <x:c r="D1833" s="19" t="str">
        <x:v>S07</x:v>
      </x:c>
      <x:c r="E1833" s="19" t="str">
        <x:v>小和山店</x:v>
      </x:c>
      <x:c r="F1833" s="19" t="str">
        <x:v>外卖</x:v>
      </x:c>
      <x:c r="G1833" s="19" t="str">
        <x:v>全日</x:v>
      </x:c>
      <x:c r="H1833" s="19" t="str">
        <x:v>D09</x:v>
      </x:c>
      <x:c r="I1833" s="19" t="str">
        <x:v>炒豆干</x:v>
      </x:c>
      <x:c r="J1833" s="22" t="n">
        <x:f>XLOOKUP(H1833,'菜品主数据'!$A$5:$A$24,'菜品主数据'!$D$5:$D$24,0)</x:f>
        <x:v>18</x:v>
      </x:c>
      <x:c r="K1833" s="31" t="n">
        <x:v>1</x:v>
      </x:c>
      <x:c r="L1833" s="35" t="n">
        <x:f>J1833*K1833</x:f>
        <x:v>18</x:v>
      </x:c>
      <x:c r="M1833" s="36" t="n">
        <x:v>0.08</x:v>
      </x:c>
      <x:c r="N1833" s="35" t="n">
        <x:f>L1833*M1833</x:f>
        <x:v>1.44</x:v>
      </x:c>
      <x:c r="O1833" s="37" t="n">
        <x:v>0.18</x:v>
      </x:c>
      <x:c r="P1833" s="35" t="n">
        <x:f>L1833*O1833</x:f>
        <x:v>3.2399999999999998</x:v>
      </x:c>
      <x:c r="Q1833" s="35" t="n">
        <x:v>1.2</x:v>
      </x:c>
      <x:c r="R1833" s="35" t="n">
        <x:f>K1833*Q1833</x:f>
        <x:v>1.2</x:v>
      </x:c>
      <x:c r="S1833" s="35" t="n">
        <x:f>XLOOKUP(H1833,'菜品主数据'!$A$5:$A$24,'菜品主数据'!$G$5:$G$24,0)</x:f>
        <x:v>6.613999999999999</x:v>
      </x:c>
      <x:c r="T1833" s="35" t="n">
        <x:f>K1833*S1833</x:f>
        <x:v>6.613999999999999</x:v>
      </x:c>
      <x:c r="U1833" s="35" t="n">
        <x:f>L1833-N1833-P1833-R1833-T1833</x:f>
        <x:v>5.506</x:v>
      </x:c>
      <x:c r="V1833" s="21" t="n">
        <x:f>IFERROR(U1833/L1833,0)</x:f>
        <x:v>0.3058888888888889</x:v>
      </x:c>
    </x:row>
    <x:row r="1834">
      <x:c r="A1834" s="19" t="str">
        <x:v>SALE-01830</x:v>
      </x:c>
      <x:c r="B1834" s="34" t="n">
        <x:v>46213.5</x:v>
      </x:c>
      <x:c r="C1834" s="19" t="str">
        <x:v>周五</x:v>
      </x:c>
      <x:c r="D1834" s="19" t="str">
        <x:v>S07</x:v>
      </x:c>
      <x:c r="E1834" s="19" t="str">
        <x:v>小和山店</x:v>
      </x:c>
      <x:c r="F1834" s="19" t="str">
        <x:v>外卖</x:v>
      </x:c>
      <x:c r="G1834" s="19" t="str">
        <x:v>全日</x:v>
      </x:c>
      <x:c r="H1834" s="19" t="str">
        <x:v>D10</x:v>
      </x:c>
      <x:c r="I1834" s="19" t="str">
        <x:v>农家一碗香</x:v>
      </x:c>
      <x:c r="J1834" s="22" t="n">
        <x:f>XLOOKUP(H1834,'菜品主数据'!$A$5:$A$24,'菜品主数据'!$D$5:$D$24,0)</x:f>
        <x:v>22.9</x:v>
      </x:c>
      <x:c r="K1834" s="31" t="n">
        <x:v>1</x:v>
      </x:c>
      <x:c r="L1834" s="35" t="n">
        <x:f>J1834*K1834</x:f>
        <x:v>22.9</x:v>
      </x:c>
      <x:c r="M1834" s="36" t="n">
        <x:v>0.08</x:v>
      </x:c>
      <x:c r="N1834" s="35" t="n">
        <x:f>L1834*M1834</x:f>
        <x:v>1.8319999999999999</x:v>
      </x:c>
      <x:c r="O1834" s="37" t="n">
        <x:v>0.18</x:v>
      </x:c>
      <x:c r="P1834" s="35" t="n">
        <x:f>L1834*O1834</x:f>
        <x:v>4.122</x:v>
      </x:c>
      <x:c r="Q1834" s="35" t="n">
        <x:v>1.2</x:v>
      </x:c>
      <x:c r="R1834" s="35" t="n">
        <x:f>K1834*Q1834</x:f>
        <x:v>1.2</x:v>
      </x:c>
      <x:c r="S1834" s="35" t="n">
        <x:f>XLOOKUP(H1834,'菜品主数据'!$A$5:$A$24,'菜品主数据'!$G$5:$G$24,0)</x:f>
        <x:v>9.770200000000003</x:v>
      </x:c>
      <x:c r="T1834" s="35" t="n">
        <x:f>K1834*S1834</x:f>
        <x:v>9.770200000000003</x:v>
      </x:c>
      <x:c r="U1834" s="35" t="n">
        <x:f>L1834-N1834-P1834-R1834-T1834</x:f>
        <x:v>5.975799999999996</x:v>
      </x:c>
      <x:c r="V1834" s="21" t="n">
        <x:f>IFERROR(U1834/L1834,0)</x:f>
        <x:v>0.260951965065502</x:v>
      </x:c>
    </x:row>
    <x:row r="1835">
      <x:c r="A1835" s="19" t="str">
        <x:v>SALE-01831</x:v>
      </x:c>
      <x:c r="B1835" s="34" t="n">
        <x:v>46213.5</x:v>
      </x:c>
      <x:c r="C1835" s="19" t="str">
        <x:v>周五</x:v>
      </x:c>
      <x:c r="D1835" s="19" t="str">
        <x:v>S07</x:v>
      </x:c>
      <x:c r="E1835" s="19" t="str">
        <x:v>小和山店</x:v>
      </x:c>
      <x:c r="F1835" s="19" t="str">
        <x:v>外卖</x:v>
      </x:c>
      <x:c r="G1835" s="19" t="str">
        <x:v>全日</x:v>
      </x:c>
      <x:c r="H1835" s="19" t="str">
        <x:v>D11</x:v>
      </x:c>
      <x:c r="I1835" s="19" t="str">
        <x:v>香辣爆肥肠</x:v>
      </x:c>
      <x:c r="J1835" s="22" t="n">
        <x:f>XLOOKUP(H1835,'菜品主数据'!$A$5:$A$24,'菜品主数据'!$D$5:$D$24,0)</x:f>
        <x:v>39</x:v>
      </x:c>
      <x:c r="K1835" s="31" t="n">
        <x:v>0</x:v>
      </x:c>
      <x:c r="L1835" s="35" t="n">
        <x:f>J1835*K1835</x:f>
        <x:v>0</x:v>
      </x:c>
      <x:c r="M1835" s="36" t="n">
        <x:v>0.08</x:v>
      </x:c>
      <x:c r="N1835" s="35" t="n">
        <x:f>L1835*M1835</x:f>
        <x:v>0</x:v>
      </x:c>
      <x:c r="O1835" s="37" t="n">
        <x:v>0.18</x:v>
      </x:c>
      <x:c r="P1835" s="35" t="n">
        <x:f>L1835*O1835</x:f>
        <x:v>0</x:v>
      </x:c>
      <x:c r="Q1835" s="35" t="n">
        <x:v>1.2</x:v>
      </x:c>
      <x:c r="R1835" s="35" t="n">
        <x:f>K1835*Q1835</x:f>
        <x:v>0</x:v>
      </x:c>
      <x:c r="S1835" s="35" t="n">
        <x:f>XLOOKUP(H1835,'菜品主数据'!$A$5:$A$24,'菜品主数据'!$G$5:$G$24,0)</x:f>
        <x:v>10.397</x:v>
      </x:c>
      <x:c r="T1835" s="35" t="n">
        <x:f>K1835*S1835</x:f>
        <x:v>0</x:v>
      </x:c>
      <x:c r="U1835" s="35" t="n">
        <x:f>L1835-N1835-P1835-R1835-T1835</x:f>
        <x:v>0</x:v>
      </x:c>
      <x:c r="V1835" s="21" t="n">
        <x:f>IFERROR(U1835/L1835,0)</x:f>
        <x:v>0</x:v>
      </x:c>
    </x:row>
    <x:row r="1836">
      <x:c r="A1836" s="19" t="str">
        <x:v>SALE-01832</x:v>
      </x:c>
      <x:c r="B1836" s="34" t="n">
        <x:v>46213.5</x:v>
      </x:c>
      <x:c r="C1836" s="19" t="str">
        <x:v>周五</x:v>
      </x:c>
      <x:c r="D1836" s="19" t="str">
        <x:v>S07</x:v>
      </x:c>
      <x:c r="E1836" s="19" t="str">
        <x:v>小和山店</x:v>
      </x:c>
      <x:c r="F1836" s="19" t="str">
        <x:v>外卖</x:v>
      </x:c>
      <x:c r="G1836" s="19" t="str">
        <x:v>全日</x:v>
      </x:c>
      <x:c r="H1836" s="19" t="str">
        <x:v>D12</x:v>
      </x:c>
      <x:c r="I1836" s="19" t="str">
        <x:v>清蒸鲈鱼</x:v>
      </x:c>
      <x:c r="J1836" s="22" t="n">
        <x:f>XLOOKUP(H1836,'菜品主数据'!$A$5:$A$24,'菜品主数据'!$D$5:$D$24,0)</x:f>
        <x:v>39</x:v>
      </x:c>
      <x:c r="K1836" s="31" t="n">
        <x:v>0</x:v>
      </x:c>
      <x:c r="L1836" s="35" t="n">
        <x:f>J1836*K1836</x:f>
        <x:v>0</x:v>
      </x:c>
      <x:c r="M1836" s="36" t="n">
        <x:v>0.08</x:v>
      </x:c>
      <x:c r="N1836" s="35" t="n">
        <x:f>L1836*M1836</x:f>
        <x:v>0</x:v>
      </x:c>
      <x:c r="O1836" s="37" t="n">
        <x:v>0.18</x:v>
      </x:c>
      <x:c r="P1836" s="35" t="n">
        <x:f>L1836*O1836</x:f>
        <x:v>0</x:v>
      </x:c>
      <x:c r="Q1836" s="35" t="n">
        <x:v>1.2</x:v>
      </x:c>
      <x:c r="R1836" s="35" t="n">
        <x:f>K1836*Q1836</x:f>
        <x:v>0</x:v>
      </x:c>
      <x:c r="S1836" s="35" t="n">
        <x:f>XLOOKUP(H1836,'菜品主数据'!$A$5:$A$24,'菜品主数据'!$G$5:$G$24,0)</x:f>
        <x:v>18.874</x:v>
      </x:c>
      <x:c r="T1836" s="35" t="n">
        <x:f>K1836*S1836</x:f>
        <x:v>0</x:v>
      </x:c>
      <x:c r="U1836" s="35" t="n">
        <x:f>L1836-N1836-P1836-R1836-T1836</x:f>
        <x:v>0</x:v>
      </x:c>
      <x:c r="V1836" s="21" t="n">
        <x:f>IFERROR(U1836/L1836,0)</x:f>
        <x:v>0</x:v>
      </x:c>
    </x:row>
    <x:row r="1837">
      <x:c r="A1837" s="19" t="str">
        <x:v>SALE-01833</x:v>
      </x:c>
      <x:c r="B1837" s="34" t="n">
        <x:v>46213.5</x:v>
      </x:c>
      <x:c r="C1837" s="19" t="str">
        <x:v>周五</x:v>
      </x:c>
      <x:c r="D1837" s="19" t="str">
        <x:v>S07</x:v>
      </x:c>
      <x:c r="E1837" s="19" t="str">
        <x:v>小和山店</x:v>
      </x:c>
      <x:c r="F1837" s="19" t="str">
        <x:v>外卖</x:v>
      </x:c>
      <x:c r="G1837" s="19" t="str">
        <x:v>全日</x:v>
      </x:c>
      <x:c r="H1837" s="19" t="str">
        <x:v>D13</x:v>
      </x:c>
      <x:c r="I1837" s="19" t="str">
        <x:v>外婆菜炒蛋</x:v>
      </x:c>
      <x:c r="J1837" s="22" t="n">
        <x:f>XLOOKUP(H1837,'菜品主数据'!$A$5:$A$24,'菜品主数据'!$D$5:$D$24,0)</x:f>
        <x:v>18</x:v>
      </x:c>
      <x:c r="K1837" s="31" t="n">
        <x:v>1</x:v>
      </x:c>
      <x:c r="L1837" s="35" t="n">
        <x:f>J1837*K1837</x:f>
        <x:v>18</x:v>
      </x:c>
      <x:c r="M1837" s="36" t="n">
        <x:v>0.08</x:v>
      </x:c>
      <x:c r="N1837" s="35" t="n">
        <x:f>L1837*M1837</x:f>
        <x:v>1.44</x:v>
      </x:c>
      <x:c r="O1837" s="37" t="n">
        <x:v>0.18</x:v>
      </x:c>
      <x:c r="P1837" s="35" t="n">
        <x:f>L1837*O1837</x:f>
        <x:v>3.2399999999999998</x:v>
      </x:c>
      <x:c r="Q1837" s="35" t="n">
        <x:v>1.2</x:v>
      </x:c>
      <x:c r="R1837" s="35" t="n">
        <x:f>K1837*Q1837</x:f>
        <x:v>1.2</x:v>
      </x:c>
      <x:c r="S1837" s="35" t="n">
        <x:f>XLOOKUP(H1837,'菜品主数据'!$A$5:$A$24,'菜品主数据'!$G$5:$G$24,0)</x:f>
        <x:v>5.403999999999999</x:v>
      </x:c>
      <x:c r="T1837" s="35" t="n">
        <x:f>K1837*S1837</x:f>
        <x:v>5.403999999999999</x:v>
      </x:c>
      <x:c r="U1837" s="35" t="n">
        <x:f>L1837-N1837-P1837-R1837-T1837</x:f>
        <x:v>6.716</x:v>
      </x:c>
      <x:c r="V1837" s="21" t="n">
        <x:f>IFERROR(U1837/L1837,0)</x:f>
        <x:v>0.3731111111111111</x:v>
      </x:c>
    </x:row>
    <x:row r="1838">
      <x:c r="A1838" s="19" t="str">
        <x:v>SALE-01834</x:v>
      </x:c>
      <x:c r="B1838" s="34" t="n">
        <x:v>46213.5</x:v>
      </x:c>
      <x:c r="C1838" s="19" t="str">
        <x:v>周五</x:v>
      </x:c>
      <x:c r="D1838" s="19" t="str">
        <x:v>S07</x:v>
      </x:c>
      <x:c r="E1838" s="19" t="str">
        <x:v>小和山店</x:v>
      </x:c>
      <x:c r="F1838" s="19" t="str">
        <x:v>外卖</x:v>
      </x:c>
      <x:c r="G1838" s="19" t="str">
        <x:v>全日</x:v>
      </x:c>
      <x:c r="H1838" s="19" t="str">
        <x:v>D14</x:v>
      </x:c>
      <x:c r="I1838" s="19" t="str">
        <x:v>酸辣鸡杂</x:v>
      </x:c>
      <x:c r="J1838" s="22" t="n">
        <x:f>XLOOKUP(H1838,'菜品主数据'!$A$5:$A$24,'菜品主数据'!$D$5:$D$24,0)</x:f>
        <x:v>28</x:v>
      </x:c>
      <x:c r="K1838" s="31" t="n">
        <x:v>0</x:v>
      </x:c>
      <x:c r="L1838" s="35" t="n">
        <x:f>J1838*K1838</x:f>
        <x:v>0</x:v>
      </x:c>
      <x:c r="M1838" s="36" t="n">
        <x:v>0.08</x:v>
      </x:c>
      <x:c r="N1838" s="35" t="n">
        <x:f>L1838*M1838</x:f>
        <x:v>0</x:v>
      </x:c>
      <x:c r="O1838" s="37" t="n">
        <x:v>0.18</x:v>
      </x:c>
      <x:c r="P1838" s="35" t="n">
        <x:f>L1838*O1838</x:f>
        <x:v>0</x:v>
      </x:c>
      <x:c r="Q1838" s="35" t="n">
        <x:v>1.2</x:v>
      </x:c>
      <x:c r="R1838" s="35" t="n">
        <x:f>K1838*Q1838</x:f>
        <x:v>0</x:v>
      </x:c>
      <x:c r="S1838" s="35" t="n">
        <x:f>XLOOKUP(H1838,'菜品主数据'!$A$5:$A$24,'菜品主数据'!$G$5:$G$24,0)</x:f>
        <x:v>8.315000000000001</x:v>
      </x:c>
      <x:c r="T1838" s="35" t="n">
        <x:f>K1838*S1838</x:f>
        <x:v>0</x:v>
      </x:c>
      <x:c r="U1838" s="35" t="n">
        <x:f>L1838-N1838-P1838-R1838-T1838</x:f>
        <x:v>0</x:v>
      </x:c>
      <x:c r="V1838" s="21" t="n">
        <x:f>IFERROR(U1838/L1838,0)</x:f>
        <x:v>0</x:v>
      </x:c>
    </x:row>
    <x:row r="1839">
      <x:c r="A1839" s="19" t="str">
        <x:v>SALE-01835</x:v>
      </x:c>
      <x:c r="B1839" s="34" t="n">
        <x:v>46213.5</x:v>
      </x:c>
      <x:c r="C1839" s="19" t="str">
        <x:v>周五</x:v>
      </x:c>
      <x:c r="D1839" s="19" t="str">
        <x:v>S07</x:v>
      </x:c>
      <x:c r="E1839" s="19" t="str">
        <x:v>小和山店</x:v>
      </x:c>
      <x:c r="F1839" s="19" t="str">
        <x:v>外卖</x:v>
      </x:c>
      <x:c r="G1839" s="19" t="str">
        <x:v>全日</x:v>
      </x:c>
      <x:c r="H1839" s="19" t="str">
        <x:v>D15</x:v>
      </x:c>
      <x:c r="I1839" s="19" t="str">
        <x:v>湘西土匪猪肝</x:v>
      </x:c>
      <x:c r="J1839" s="22" t="n">
        <x:f>XLOOKUP(H1839,'菜品主数据'!$A$5:$A$24,'菜品主数据'!$D$5:$D$24,0)</x:f>
        <x:v>26</x:v>
      </x:c>
      <x:c r="K1839" s="31" t="n">
        <x:v>0</x:v>
      </x:c>
      <x:c r="L1839" s="35" t="n">
        <x:f>J1839*K1839</x:f>
        <x:v>0</x:v>
      </x:c>
      <x:c r="M1839" s="36" t="n">
        <x:v>0.08</x:v>
      </x:c>
      <x:c r="N1839" s="35" t="n">
        <x:f>L1839*M1839</x:f>
        <x:v>0</x:v>
      </x:c>
      <x:c r="O1839" s="37" t="n">
        <x:v>0.18</x:v>
      </x:c>
      <x:c r="P1839" s="35" t="n">
        <x:f>L1839*O1839</x:f>
        <x:v>0</x:v>
      </x:c>
      <x:c r="Q1839" s="35" t="n">
        <x:v>1.2</x:v>
      </x:c>
      <x:c r="R1839" s="35" t="n">
        <x:f>K1839*Q1839</x:f>
        <x:v>0</x:v>
      </x:c>
      <x:c r="S1839" s="35" t="n">
        <x:f>XLOOKUP(H1839,'菜品主数据'!$A$5:$A$24,'菜品主数据'!$G$5:$G$24,0)</x:f>
        <x:v>6.3759999999999994</x:v>
      </x:c>
      <x:c r="T1839" s="35" t="n">
        <x:f>K1839*S1839</x:f>
        <x:v>0</x:v>
      </x:c>
      <x:c r="U1839" s="35" t="n">
        <x:f>L1839-N1839-P1839-R1839-T1839</x:f>
        <x:v>0</x:v>
      </x:c>
      <x:c r="V1839" s="21" t="n">
        <x:f>IFERROR(U1839/L1839,0)</x:f>
        <x:v>0</x:v>
      </x:c>
    </x:row>
    <x:row r="1840">
      <x:c r="A1840" s="19" t="str">
        <x:v>SALE-01836</x:v>
      </x:c>
      <x:c r="B1840" s="34" t="n">
        <x:v>46213.5</x:v>
      </x:c>
      <x:c r="C1840" s="19" t="str">
        <x:v>周五</x:v>
      </x:c>
      <x:c r="D1840" s="19" t="str">
        <x:v>S07</x:v>
      </x:c>
      <x:c r="E1840" s="19" t="str">
        <x:v>小和山店</x:v>
      </x:c>
      <x:c r="F1840" s="19" t="str">
        <x:v>外卖</x:v>
      </x:c>
      <x:c r="G1840" s="19" t="str">
        <x:v>全日</x:v>
      </x:c>
      <x:c r="H1840" s="19" t="str">
        <x:v>D16</x:v>
      </x:c>
      <x:c r="I1840" s="19" t="str">
        <x:v>小豆角炒五花</x:v>
      </x:c>
      <x:c r="J1840" s="22" t="n">
        <x:f>XLOOKUP(H1840,'菜品主数据'!$A$5:$A$24,'菜品主数据'!$D$5:$D$24,0)</x:f>
        <x:v>25</x:v>
      </x:c>
      <x:c r="K1840" s="31" t="n">
        <x:v>0</x:v>
      </x:c>
      <x:c r="L1840" s="35" t="n">
        <x:f>J1840*K1840</x:f>
        <x:v>0</x:v>
      </x:c>
      <x:c r="M1840" s="36" t="n">
        <x:v>0.08</x:v>
      </x:c>
      <x:c r="N1840" s="35" t="n">
        <x:f>L1840*M1840</x:f>
        <x:v>0</x:v>
      </x:c>
      <x:c r="O1840" s="37" t="n">
        <x:v>0.18</x:v>
      </x:c>
      <x:c r="P1840" s="35" t="n">
        <x:f>L1840*O1840</x:f>
        <x:v>0</x:v>
      </x:c>
      <x:c r="Q1840" s="35" t="n">
        <x:v>1.2</x:v>
      </x:c>
      <x:c r="R1840" s="35" t="n">
        <x:f>K1840*Q1840</x:f>
        <x:v>0</x:v>
      </x:c>
      <x:c r="S1840" s="35" t="n">
        <x:f>XLOOKUP(H1840,'菜品主数据'!$A$5:$A$24,'菜品主数据'!$G$5:$G$24,0)</x:f>
        <x:v>8.184</x:v>
      </x:c>
      <x:c r="T1840" s="35" t="n">
        <x:f>K1840*S1840</x:f>
        <x:v>0</x:v>
      </x:c>
      <x:c r="U1840" s="35" t="n">
        <x:f>L1840-N1840-P1840-R1840-T1840</x:f>
        <x:v>0</x:v>
      </x:c>
      <x:c r="V1840" s="21" t="n">
        <x:f>IFERROR(U1840/L1840,0)</x:f>
        <x:v>0</x:v>
      </x:c>
    </x:row>
    <x:row r="1841">
      <x:c r="A1841" s="19" t="str">
        <x:v>SALE-01837</x:v>
      </x:c>
      <x:c r="B1841" s="34" t="n">
        <x:v>46213.5</x:v>
      </x:c>
      <x:c r="C1841" s="19" t="str">
        <x:v>周五</x:v>
      </x:c>
      <x:c r="D1841" s="19" t="str">
        <x:v>S07</x:v>
      </x:c>
      <x:c r="E1841" s="19" t="str">
        <x:v>小和山店</x:v>
      </x:c>
      <x:c r="F1841" s="19" t="str">
        <x:v>外卖</x:v>
      </x:c>
      <x:c r="G1841" s="19" t="str">
        <x:v>全日</x:v>
      </x:c>
      <x:c r="H1841" s="19" t="str">
        <x:v>D17</x:v>
      </x:c>
      <x:c r="I1841" s="19" t="str">
        <x:v>蒜蓉粉丝虾</x:v>
      </x:c>
      <x:c r="J1841" s="22" t="n">
        <x:f>XLOOKUP(H1841,'菜品主数据'!$A$5:$A$24,'菜品主数据'!$D$5:$D$24,0)</x:f>
        <x:v>36</x:v>
      </x:c>
      <x:c r="K1841" s="31" t="n">
        <x:v>0</x:v>
      </x:c>
      <x:c r="L1841" s="35" t="n">
        <x:f>J1841*K1841</x:f>
        <x:v>0</x:v>
      </x:c>
      <x:c r="M1841" s="36" t="n">
        <x:v>0.08</x:v>
      </x:c>
      <x:c r="N1841" s="35" t="n">
        <x:f>L1841*M1841</x:f>
        <x:v>0</x:v>
      </x:c>
      <x:c r="O1841" s="37" t="n">
        <x:v>0.18</x:v>
      </x:c>
      <x:c r="P1841" s="35" t="n">
        <x:f>L1841*O1841</x:f>
        <x:v>0</x:v>
      </x:c>
      <x:c r="Q1841" s="35" t="n">
        <x:v>1.2</x:v>
      </x:c>
      <x:c r="R1841" s="35" t="n">
        <x:f>K1841*Q1841</x:f>
        <x:v>0</x:v>
      </x:c>
      <x:c r="S1841" s="35" t="n">
        <x:f>XLOOKUP(H1841,'菜品主数据'!$A$5:$A$24,'菜品主数据'!$G$5:$G$24,0)</x:f>
        <x:v>13.594</x:v>
      </x:c>
      <x:c r="T1841" s="35" t="n">
        <x:f>K1841*S1841</x:f>
        <x:v>0</x:v>
      </x:c>
      <x:c r="U1841" s="35" t="n">
        <x:f>L1841-N1841-P1841-R1841-T1841</x:f>
        <x:v>0</x:v>
      </x:c>
      <x:c r="V1841" s="21" t="n">
        <x:f>IFERROR(U1841/L1841,0)</x:f>
        <x:v>0</x:v>
      </x:c>
    </x:row>
    <x:row r="1842">
      <x:c r="A1842" s="19" t="str">
        <x:v>SALE-01838</x:v>
      </x:c>
      <x:c r="B1842" s="34" t="n">
        <x:v>46213.5</x:v>
      </x:c>
      <x:c r="C1842" s="19" t="str">
        <x:v>周五</x:v>
      </x:c>
      <x:c r="D1842" s="19" t="str">
        <x:v>S07</x:v>
      </x:c>
      <x:c r="E1842" s="19" t="str">
        <x:v>小和山店</x:v>
      </x:c>
      <x:c r="F1842" s="19" t="str">
        <x:v>外卖</x:v>
      </x:c>
      <x:c r="G1842" s="19" t="str">
        <x:v>全日</x:v>
      </x:c>
      <x:c r="H1842" s="19" t="str">
        <x:v>D18</x:v>
      </x:c>
      <x:c r="I1842" s="19" t="str">
        <x:v>青椒炒油麦菜</x:v>
      </x:c>
      <x:c r="J1842" s="22" t="n">
        <x:f>XLOOKUP(H1842,'菜品主数据'!$A$5:$A$24,'菜品主数据'!$D$5:$D$24,0)</x:f>
        <x:v>18</x:v>
      </x:c>
      <x:c r="K1842" s="31" t="n">
        <x:v>0</x:v>
      </x:c>
      <x:c r="L1842" s="35" t="n">
        <x:f>J1842*K1842</x:f>
        <x:v>0</x:v>
      </x:c>
      <x:c r="M1842" s="36" t="n">
        <x:v>0.08</x:v>
      </x:c>
      <x:c r="N1842" s="35" t="n">
        <x:f>L1842*M1842</x:f>
        <x:v>0</x:v>
      </x:c>
      <x:c r="O1842" s="37" t="n">
        <x:v>0.18</x:v>
      </x:c>
      <x:c r="P1842" s="35" t="n">
        <x:f>L1842*O1842</x:f>
        <x:v>0</x:v>
      </x:c>
      <x:c r="Q1842" s="35" t="n">
        <x:v>1.2</x:v>
      </x:c>
      <x:c r="R1842" s="35" t="n">
        <x:f>K1842*Q1842</x:f>
        <x:v>0</x:v>
      </x:c>
      <x:c r="S1842" s="35" t="n">
        <x:f>XLOOKUP(H1842,'菜品主数据'!$A$5:$A$24,'菜品主数据'!$G$5:$G$24,0)</x:f>
        <x:v>3.1759999999999993</x:v>
      </x:c>
      <x:c r="T1842" s="35" t="n">
        <x:f>K1842*S1842</x:f>
        <x:v>0</x:v>
      </x:c>
      <x:c r="U1842" s="35" t="n">
        <x:f>L1842-N1842-P1842-R1842-T1842</x:f>
        <x:v>0</x:v>
      </x:c>
      <x:c r="V1842" s="21" t="n">
        <x:f>IFERROR(U1842/L1842,0)</x:f>
        <x:v>0</x:v>
      </x:c>
    </x:row>
    <x:row r="1843">
      <x:c r="A1843" s="19" t="str">
        <x:v>SALE-01839</x:v>
      </x:c>
      <x:c r="B1843" s="34" t="n">
        <x:v>46213.5</x:v>
      </x:c>
      <x:c r="C1843" s="19" t="str">
        <x:v>周五</x:v>
      </x:c>
      <x:c r="D1843" s="19" t="str">
        <x:v>S07</x:v>
      </x:c>
      <x:c r="E1843" s="19" t="str">
        <x:v>小和山店</x:v>
      </x:c>
      <x:c r="F1843" s="19" t="str">
        <x:v>外卖</x:v>
      </x:c>
      <x:c r="G1843" s="19" t="str">
        <x:v>全日</x:v>
      </x:c>
      <x:c r="H1843" s="19" t="str">
        <x:v>D19</x:v>
      </x:c>
      <x:c r="I1843" s="19" t="str">
        <x:v>酸萝卜炒鸡杂</x:v>
      </x:c>
      <x:c r="J1843" s="22" t="n">
        <x:f>XLOOKUP(H1843,'菜品主数据'!$A$5:$A$24,'菜品主数据'!$D$5:$D$24,0)</x:f>
        <x:v>25</x:v>
      </x:c>
      <x:c r="K1843" s="31" t="n">
        <x:v>0</x:v>
      </x:c>
      <x:c r="L1843" s="35" t="n">
        <x:f>J1843*K1843</x:f>
        <x:v>0</x:v>
      </x:c>
      <x:c r="M1843" s="36" t="n">
        <x:v>0.08</x:v>
      </x:c>
      <x:c r="N1843" s="35" t="n">
        <x:f>L1843*M1843</x:f>
        <x:v>0</x:v>
      </x:c>
      <x:c r="O1843" s="37" t="n">
        <x:v>0.18</x:v>
      </x:c>
      <x:c r="P1843" s="35" t="n">
        <x:f>L1843*O1843</x:f>
        <x:v>0</x:v>
      </x:c>
      <x:c r="Q1843" s="35" t="n">
        <x:v>1.2</x:v>
      </x:c>
      <x:c r="R1843" s="35" t="n">
        <x:f>K1843*Q1843</x:f>
        <x:v>0</x:v>
      </x:c>
      <x:c r="S1843" s="35" t="n">
        <x:f>XLOOKUP(H1843,'菜品主数据'!$A$5:$A$24,'菜品主数据'!$G$5:$G$24,0)</x:f>
        <x:v>7.9399999999999995</x:v>
      </x:c>
      <x:c r="T1843" s="35" t="n">
        <x:f>K1843*S1843</x:f>
        <x:v>0</x:v>
      </x:c>
      <x:c r="U1843" s="35" t="n">
        <x:f>L1843-N1843-P1843-R1843-T1843</x:f>
        <x:v>0</x:v>
      </x:c>
      <x:c r="V1843" s="21" t="n">
        <x:f>IFERROR(U1843/L1843,0)</x:f>
        <x:v>0</x:v>
      </x:c>
    </x:row>
    <x:row r="1844">
      <x:c r="A1844" s="19" t="str">
        <x:v>SALE-01840</x:v>
      </x:c>
      <x:c r="B1844" s="34" t="n">
        <x:v>46213.5</x:v>
      </x:c>
      <x:c r="C1844" s="19" t="str">
        <x:v>周五</x:v>
      </x:c>
      <x:c r="D1844" s="19" t="str">
        <x:v>S07</x:v>
      </x:c>
      <x:c r="E1844" s="19" t="str">
        <x:v>小和山店</x:v>
      </x:c>
      <x:c r="F1844" s="19" t="str">
        <x:v>外卖</x:v>
      </x:c>
      <x:c r="G1844" s="19" t="str">
        <x:v>全日</x:v>
      </x:c>
      <x:c r="H1844" s="19" t="str">
        <x:v>D20</x:v>
      </x:c>
      <x:c r="I1844" s="19" t="str">
        <x:v>雪菜肉末青豆</x:v>
      </x:c>
      <x:c r="J1844" s="22" t="n">
        <x:f>XLOOKUP(H1844,'菜品主数据'!$A$5:$A$24,'菜品主数据'!$D$5:$D$24,0)</x:f>
        <x:v>18</x:v>
      </x:c>
      <x:c r="K1844" s="31" t="n">
        <x:v>0</x:v>
      </x:c>
      <x:c r="L1844" s="35" t="n">
        <x:f>J1844*K1844</x:f>
        <x:v>0</x:v>
      </x:c>
      <x:c r="M1844" s="36" t="n">
        <x:v>0.08</x:v>
      </x:c>
      <x:c r="N1844" s="35" t="n">
        <x:f>L1844*M1844</x:f>
        <x:v>0</x:v>
      </x:c>
      <x:c r="O1844" s="37" t="n">
        <x:v>0.18</x:v>
      </x:c>
      <x:c r="P1844" s="35" t="n">
        <x:f>L1844*O1844</x:f>
        <x:v>0</x:v>
      </x:c>
      <x:c r="Q1844" s="35" t="n">
        <x:v>1.2</x:v>
      </x:c>
      <x:c r="R1844" s="35" t="n">
        <x:f>K1844*Q1844</x:f>
        <x:v>0</x:v>
      </x:c>
      <x:c r="S1844" s="35" t="n">
        <x:f>XLOOKUP(H1844,'菜品主数据'!$A$5:$A$24,'菜品主数据'!$G$5:$G$24,0)</x:f>
        <x:v>7.303999999999999</x:v>
      </x:c>
      <x:c r="T1844" s="35" t="n">
        <x:f>K1844*S1844</x:f>
        <x:v>0</x:v>
      </x:c>
      <x:c r="U1844" s="35" t="n">
        <x:f>L1844-N1844-P1844-R1844-T1844</x:f>
        <x:v>0</x:v>
      </x:c>
      <x:c r="V1844" s="21" t="n">
        <x:f>IFERROR(U1844/L1844,0)</x:f>
        <x:v>0</x:v>
      </x:c>
    </x:row>
    <x:row r="1845">
      <x:c r="A1845" s="19" t="str">
        <x:v>SALE-01841</x:v>
      </x:c>
      <x:c r="B1845" s="34" t="n">
        <x:v>46214.5</x:v>
      </x:c>
      <x:c r="C1845" s="19" t="str">
        <x:v>周六</x:v>
      </x:c>
      <x:c r="D1845" s="19" t="str">
        <x:v>S07</x:v>
      </x:c>
      <x:c r="E1845" s="19" t="str">
        <x:v>小和山店</x:v>
      </x:c>
      <x:c r="F1845" s="19" t="str">
        <x:v>堂食</x:v>
      </x:c>
      <x:c r="G1845" s="19" t="str">
        <x:v>全日</x:v>
      </x:c>
      <x:c r="H1845" s="19" t="str">
        <x:v>D01</x:v>
      </x:c>
      <x:c r="I1845" s="19" t="str">
        <x:v>辣椒炒肉</x:v>
      </x:c>
      <x:c r="J1845" s="22" t="n">
        <x:f>XLOOKUP(H1845,'菜品主数据'!$A$5:$A$24,'菜品主数据'!$D$5:$D$24,0)</x:f>
        <x:v>29</x:v>
      </x:c>
      <x:c r="K1845" s="31" t="n">
        <x:v>31</x:v>
      </x:c>
      <x:c r="L1845" s="35" t="n">
        <x:f>J1845*K1845</x:f>
        <x:v>899</x:v>
      </x:c>
      <x:c r="M1845" s="36" t="n">
        <x:v>0</x:v>
      </x:c>
      <x:c r="N1845" s="35" t="n">
        <x:f>L1845*M1845</x:f>
        <x:v>0</x:v>
      </x:c>
      <x:c r="O1845" s="37" t="n">
        <x:v>0</x:v>
      </x:c>
      <x:c r="P1845" s="35" t="n">
        <x:f>L1845*O1845</x:f>
        <x:v>0</x:v>
      </x:c>
      <x:c r="Q1845" s="35" t="n">
        <x:v>0</x:v>
      </x:c>
      <x:c r="R1845" s="35" t="n">
        <x:f>K1845*Q1845</x:f>
        <x:v>0</x:v>
      </x:c>
      <x:c r="S1845" s="35" t="n">
        <x:f>XLOOKUP(H1845,'菜品主数据'!$A$5:$A$24,'菜品主数据'!$G$5:$G$24,0)</x:f>
        <x:v>8.634400000000001</x:v>
      </x:c>
      <x:c r="T1845" s="35" t="n">
        <x:f>K1845*S1845</x:f>
        <x:v>267.6664</x:v>
      </x:c>
      <x:c r="U1845" s="35" t="n">
        <x:f>L1845-N1845-P1845-R1845-T1845</x:f>
        <x:v>631.3335999999999</x:v>
      </x:c>
      <x:c r="V1845" s="21" t="n">
        <x:f>IFERROR(U1845/L1845,0)</x:f>
        <x:v>0.7022620689655171</x:v>
      </x:c>
    </x:row>
    <x:row r="1846">
      <x:c r="A1846" s="19" t="str">
        <x:v>SALE-01842</x:v>
      </x:c>
      <x:c r="B1846" s="34" t="n">
        <x:v>46214.5</x:v>
      </x:c>
      <x:c r="C1846" s="19" t="str">
        <x:v>周六</x:v>
      </x:c>
      <x:c r="D1846" s="19" t="str">
        <x:v>S07</x:v>
      </x:c>
      <x:c r="E1846" s="19" t="str">
        <x:v>小和山店</x:v>
      </x:c>
      <x:c r="F1846" s="19" t="str">
        <x:v>堂食</x:v>
      </x:c>
      <x:c r="G1846" s="19" t="str">
        <x:v>全日</x:v>
      </x:c>
      <x:c r="H1846" s="19" t="str">
        <x:v>D02</x:v>
      </x:c>
      <x:c r="I1846" s="19" t="str">
        <x:v>小炒黄牛肉</x:v>
      </x:c>
      <x:c r="J1846" s="22" t="n">
        <x:f>XLOOKUP(H1846,'菜品主数据'!$A$5:$A$24,'菜品主数据'!$D$5:$D$24,0)</x:f>
        <x:v>49</x:v>
      </x:c>
      <x:c r="K1846" s="31" t="n">
        <x:v>18</x:v>
      </x:c>
      <x:c r="L1846" s="35" t="n">
        <x:f>J1846*K1846</x:f>
        <x:v>882</x:v>
      </x:c>
      <x:c r="M1846" s="36" t="n">
        <x:v>0</x:v>
      </x:c>
      <x:c r="N1846" s="35" t="n">
        <x:f>L1846*M1846</x:f>
        <x:v>0</x:v>
      </x:c>
      <x:c r="O1846" s="37" t="n">
        <x:v>0</x:v>
      </x:c>
      <x:c r="P1846" s="35" t="n">
        <x:f>L1846*O1846</x:f>
        <x:v>0</x:v>
      </x:c>
      <x:c r="Q1846" s="35" t="n">
        <x:v>0</x:v>
      </x:c>
      <x:c r="R1846" s="35" t="n">
        <x:f>K1846*Q1846</x:f>
        <x:v>0</x:v>
      </x:c>
      <x:c r="S1846" s="35" t="n">
        <x:f>XLOOKUP(H1846,'菜品主数据'!$A$5:$A$24,'菜品主数据'!$G$5:$G$24,0)</x:f>
        <x:v>17.577</x:v>
      </x:c>
      <x:c r="T1846" s="35" t="n">
        <x:f>K1846*S1846</x:f>
        <x:v>316.386</x:v>
      </x:c>
      <x:c r="U1846" s="35" t="n">
        <x:f>L1846-N1846-P1846-R1846-T1846</x:f>
        <x:v>565.614</x:v>
      </x:c>
      <x:c r="V1846" s="21" t="n">
        <x:f>IFERROR(U1846/L1846,0)</x:f>
        <x:v>0.6412857142857143</x:v>
      </x:c>
    </x:row>
    <x:row r="1847">
      <x:c r="A1847" s="19" t="str">
        <x:v>SALE-01843</x:v>
      </x:c>
      <x:c r="B1847" s="34" t="n">
        <x:v>46214.5</x:v>
      </x:c>
      <x:c r="C1847" s="19" t="str">
        <x:v>周六</x:v>
      </x:c>
      <x:c r="D1847" s="19" t="str">
        <x:v>S07</x:v>
      </x:c>
      <x:c r="E1847" s="19" t="str">
        <x:v>小和山店</x:v>
      </x:c>
      <x:c r="F1847" s="19" t="str">
        <x:v>堂食</x:v>
      </x:c>
      <x:c r="G1847" s="19" t="str">
        <x:v>全日</x:v>
      </x:c>
      <x:c r="H1847" s="19" t="str">
        <x:v>D03</x:v>
      </x:c>
      <x:c r="I1847" s="19" t="str">
        <x:v>香醋炒蛋</x:v>
      </x:c>
      <x:c r="J1847" s="22" t="n">
        <x:f>XLOOKUP(H1847,'菜品主数据'!$A$5:$A$24,'菜品主数据'!$D$5:$D$24,0)</x:f>
        <x:v>14.9</x:v>
      </x:c>
      <x:c r="K1847" s="31" t="n">
        <x:v>28</x:v>
      </x:c>
      <x:c r="L1847" s="35" t="n">
        <x:f>J1847*K1847</x:f>
        <x:v>417.2</x:v>
      </x:c>
      <x:c r="M1847" s="36" t="n">
        <x:v>0</x:v>
      </x:c>
      <x:c r="N1847" s="35" t="n">
        <x:f>L1847*M1847</x:f>
        <x:v>0</x:v>
      </x:c>
      <x:c r="O1847" s="37" t="n">
        <x:v>0</x:v>
      </x:c>
      <x:c r="P1847" s="35" t="n">
        <x:f>L1847*O1847</x:f>
        <x:v>0</x:v>
      </x:c>
      <x:c r="Q1847" s="35" t="n">
        <x:v>0</x:v>
      </x:c>
      <x:c r="R1847" s="35" t="n">
        <x:f>K1847*Q1847</x:f>
        <x:v>0</x:v>
      </x:c>
      <x:c r="S1847" s="35" t="n">
        <x:f>XLOOKUP(H1847,'菜品主数据'!$A$5:$A$24,'菜品主数据'!$G$5:$G$24,0)</x:f>
        <x:v>3.7459999999999996</x:v>
      </x:c>
      <x:c r="T1847" s="35" t="n">
        <x:f>K1847*S1847</x:f>
        <x:v>104.88799999999999</x:v>
      </x:c>
      <x:c r="U1847" s="35" t="n">
        <x:f>L1847-N1847-P1847-R1847-T1847</x:f>
        <x:v>312.312</x:v>
      </x:c>
      <x:c r="V1847" s="21" t="n">
        <x:f>IFERROR(U1847/L1847,0)</x:f>
        <x:v>0.7485906040268457</x:v>
      </x:c>
    </x:row>
    <x:row r="1848">
      <x:c r="A1848" s="19" t="str">
        <x:v>SALE-01844</x:v>
      </x:c>
      <x:c r="B1848" s="34" t="n">
        <x:v>46214.5</x:v>
      </x:c>
      <x:c r="C1848" s="19" t="str">
        <x:v>周六</x:v>
      </x:c>
      <x:c r="D1848" s="19" t="str">
        <x:v>S07</x:v>
      </x:c>
      <x:c r="E1848" s="19" t="str">
        <x:v>小和山店</x:v>
      </x:c>
      <x:c r="F1848" s="19" t="str">
        <x:v>堂食</x:v>
      </x:c>
      <x:c r="G1848" s="19" t="str">
        <x:v>全日</x:v>
      </x:c>
      <x:c r="H1848" s="19" t="str">
        <x:v>D04</x:v>
      </x:c>
      <x:c r="I1848" s="19" t="str">
        <x:v>酸包菜炒粉皮</x:v>
      </x:c>
      <x:c r="J1848" s="22" t="n">
        <x:f>XLOOKUP(H1848,'菜品主数据'!$A$5:$A$24,'菜品主数据'!$D$5:$D$24,0)</x:f>
        <x:v>16</x:v>
      </x:c>
      <x:c r="K1848" s="31" t="n">
        <x:v>23</x:v>
      </x:c>
      <x:c r="L1848" s="35" t="n">
        <x:f>J1848*K1848</x:f>
        <x:v>368</x:v>
      </x:c>
      <x:c r="M1848" s="36" t="n">
        <x:v>0</x:v>
      </x:c>
      <x:c r="N1848" s="35" t="n">
        <x:f>L1848*M1848</x:f>
        <x:v>0</x:v>
      </x:c>
      <x:c r="O1848" s="37" t="n">
        <x:v>0</x:v>
      </x:c>
      <x:c r="P1848" s="35" t="n">
        <x:f>L1848*O1848</x:f>
        <x:v>0</x:v>
      </x:c>
      <x:c r="Q1848" s="35" t="n">
        <x:v>0</x:v>
      </x:c>
      <x:c r="R1848" s="35" t="n">
        <x:f>K1848*Q1848</x:f>
        <x:v>0</x:v>
      </x:c>
      <x:c r="S1848" s="35" t="n">
        <x:f>XLOOKUP(H1848,'菜品主数据'!$A$5:$A$24,'菜品主数据'!$G$5:$G$24,0)</x:f>
        <x:v>3.978</x:v>
      </x:c>
      <x:c r="T1848" s="35" t="n">
        <x:f>K1848*S1848</x:f>
        <x:v>91.494</x:v>
      </x:c>
      <x:c r="U1848" s="35" t="n">
        <x:f>L1848-N1848-P1848-R1848-T1848</x:f>
        <x:v>276.506</x:v>
      </x:c>
      <x:c r="V1848" s="21" t="n">
        <x:f>IFERROR(U1848/L1848,0)</x:f>
        <x:v>0.7513749999999999</x:v>
      </x:c>
    </x:row>
    <x:row r="1849">
      <x:c r="A1849" s="19" t="str">
        <x:v>SALE-01845</x:v>
      </x:c>
      <x:c r="B1849" s="34" t="n">
        <x:v>46214.5</x:v>
      </x:c>
      <x:c r="C1849" s="19" t="str">
        <x:v>周六</x:v>
      </x:c>
      <x:c r="D1849" s="19" t="str">
        <x:v>S07</x:v>
      </x:c>
      <x:c r="E1849" s="19" t="str">
        <x:v>小和山店</x:v>
      </x:c>
      <x:c r="F1849" s="19" t="str">
        <x:v>堂食</x:v>
      </x:c>
      <x:c r="G1849" s="19" t="str">
        <x:v>全日</x:v>
      </x:c>
      <x:c r="H1849" s="19" t="str">
        <x:v>D05</x:v>
      </x:c>
      <x:c r="I1849" s="19" t="str">
        <x:v>麻婆豆腐</x:v>
      </x:c>
      <x:c r="J1849" s="22" t="n">
        <x:f>XLOOKUP(H1849,'菜品主数据'!$A$5:$A$24,'菜品主数据'!$D$5:$D$24,0)</x:f>
        <x:v>9.9</x:v>
      </x:c>
      <x:c r="K1849" s="31" t="n">
        <x:v>32</x:v>
      </x:c>
      <x:c r="L1849" s="35" t="n">
        <x:f>J1849*K1849</x:f>
        <x:v>316.8</x:v>
      </x:c>
      <x:c r="M1849" s="36" t="n">
        <x:v>0</x:v>
      </x:c>
      <x:c r="N1849" s="35" t="n">
        <x:f>L1849*M1849</x:f>
        <x:v>0</x:v>
      </x:c>
      <x:c r="O1849" s="37" t="n">
        <x:v>0</x:v>
      </x:c>
      <x:c r="P1849" s="35" t="n">
        <x:f>L1849*O1849</x:f>
        <x:v>0</x:v>
      </x:c>
      <x:c r="Q1849" s="35" t="n">
        <x:v>0</x:v>
      </x:c>
      <x:c r="R1849" s="35" t="n">
        <x:f>K1849*Q1849</x:f>
        <x:v>0</x:v>
      </x:c>
      <x:c r="S1849" s="35" t="n">
        <x:f>XLOOKUP(H1849,'菜品主数据'!$A$5:$A$24,'菜品主数据'!$G$5:$G$24,0)</x:f>
        <x:v>5.367000000000001</x:v>
      </x:c>
      <x:c r="T1849" s="35" t="n">
        <x:f>K1849*S1849</x:f>
        <x:v>171.74400000000003</x:v>
      </x:c>
      <x:c r="U1849" s="35" t="n">
        <x:f>L1849-N1849-P1849-R1849-T1849</x:f>
        <x:v>145.05599999999998</x:v>
      </x:c>
      <x:c r="V1849" s="21" t="n">
        <x:f>IFERROR(U1849/L1849,0)</x:f>
        <x:v>0.45787878787878783</x:v>
      </x:c>
    </x:row>
    <x:row r="1850">
      <x:c r="A1850" s="19" t="str">
        <x:v>SALE-01846</x:v>
      </x:c>
      <x:c r="B1850" s="34" t="n">
        <x:v>46214.5</x:v>
      </x:c>
      <x:c r="C1850" s="19" t="str">
        <x:v>周六</x:v>
      </x:c>
      <x:c r="D1850" s="19" t="str">
        <x:v>S07</x:v>
      </x:c>
      <x:c r="E1850" s="19" t="str">
        <x:v>小和山店</x:v>
      </x:c>
      <x:c r="F1850" s="19" t="str">
        <x:v>堂食</x:v>
      </x:c>
      <x:c r="G1850" s="19" t="str">
        <x:v>全日</x:v>
      </x:c>
      <x:c r="H1850" s="19" t="str">
        <x:v>D06</x:v>
      </x:c>
      <x:c r="I1850" s="19" t="str">
        <x:v>剁椒鱼头</x:v>
      </x:c>
      <x:c r="J1850" s="22" t="n">
        <x:f>XLOOKUP(H1850,'菜品主数据'!$A$5:$A$24,'菜品主数据'!$D$5:$D$24,0)</x:f>
        <x:v>39</x:v>
      </x:c>
      <x:c r="K1850" s="31" t="n">
        <x:v>9</x:v>
      </x:c>
      <x:c r="L1850" s="35" t="n">
        <x:f>J1850*K1850</x:f>
        <x:v>351</x:v>
      </x:c>
      <x:c r="M1850" s="36" t="n">
        <x:v>0</x:v>
      </x:c>
      <x:c r="N1850" s="35" t="n">
        <x:f>L1850*M1850</x:f>
        <x:v>0</x:v>
      </x:c>
      <x:c r="O1850" s="37" t="n">
        <x:v>0</x:v>
      </x:c>
      <x:c r="P1850" s="35" t="n">
        <x:f>L1850*O1850</x:f>
        <x:v>0</x:v>
      </x:c>
      <x:c r="Q1850" s="35" t="n">
        <x:v>0</x:v>
      </x:c>
      <x:c r="R1850" s="35" t="n">
        <x:f>K1850*Q1850</x:f>
        <x:v>0</x:v>
      </x:c>
      <x:c r="S1850" s="35" t="n">
        <x:f>XLOOKUP(H1850,'菜品主数据'!$A$5:$A$24,'菜品主数据'!$G$5:$G$24,0)</x:f>
        <x:v>17.446</x:v>
      </x:c>
      <x:c r="T1850" s="35" t="n">
        <x:f>K1850*S1850</x:f>
        <x:v>157.014</x:v>
      </x:c>
      <x:c r="U1850" s="35" t="n">
        <x:f>L1850-N1850-P1850-R1850-T1850</x:f>
        <x:v>193.986</x:v>
      </x:c>
      <x:c r="V1850" s="21" t="n">
        <x:f>IFERROR(U1850/L1850,0)</x:f>
        <x:v>0.5526666666666666</x:v>
      </x:c>
    </x:row>
    <x:row r="1851">
      <x:c r="A1851" s="19" t="str">
        <x:v>SALE-01847</x:v>
      </x:c>
      <x:c r="B1851" s="34" t="n">
        <x:v>46214.5</x:v>
      </x:c>
      <x:c r="C1851" s="19" t="str">
        <x:v>周六</x:v>
      </x:c>
      <x:c r="D1851" s="19" t="str">
        <x:v>S07</x:v>
      </x:c>
      <x:c r="E1851" s="19" t="str">
        <x:v>小和山店</x:v>
      </x:c>
      <x:c r="F1851" s="19" t="str">
        <x:v>堂食</x:v>
      </x:c>
      <x:c r="G1851" s="19" t="str">
        <x:v>全日</x:v>
      </x:c>
      <x:c r="H1851" s="19" t="str">
        <x:v>D07</x:v>
      </x:c>
      <x:c r="I1851" s="19" t="str">
        <x:v>川味回锅肉</x:v>
      </x:c>
      <x:c r="J1851" s="22" t="n">
        <x:f>XLOOKUP(H1851,'菜品主数据'!$A$5:$A$24,'菜品主数据'!$D$5:$D$24,0)</x:f>
        <x:v>29</x:v>
      </x:c>
      <x:c r="K1851" s="31" t="n">
        <x:v>11</x:v>
      </x:c>
      <x:c r="L1851" s="35" t="n">
        <x:f>J1851*K1851</x:f>
        <x:v>319</x:v>
      </x:c>
      <x:c r="M1851" s="36" t="n">
        <x:v>0</x:v>
      </x:c>
      <x:c r="N1851" s="35" t="n">
        <x:f>L1851*M1851</x:f>
        <x:v>0</x:v>
      </x:c>
      <x:c r="O1851" s="37" t="n">
        <x:v>0</x:v>
      </x:c>
      <x:c r="P1851" s="35" t="n">
        <x:f>L1851*O1851</x:f>
        <x:v>0</x:v>
      </x:c>
      <x:c r="Q1851" s="35" t="n">
        <x:v>0</x:v>
      </x:c>
      <x:c r="R1851" s="35" t="n">
        <x:f>K1851*Q1851</x:f>
        <x:v>0</x:v>
      </x:c>
      <x:c r="S1851" s="35" t="n">
        <x:f>XLOOKUP(H1851,'菜品主数据'!$A$5:$A$24,'菜品主数据'!$G$5:$G$24,0)</x:f>
        <x:v>10.231000000000002</x:v>
      </x:c>
      <x:c r="T1851" s="35" t="n">
        <x:f>K1851*S1851</x:f>
        <x:v>112.54100000000003</x:v>
      </x:c>
      <x:c r="U1851" s="35" t="n">
        <x:f>L1851-N1851-P1851-R1851-T1851</x:f>
        <x:v>206.45899999999997</x:v>
      </x:c>
      <x:c r="V1851" s="21" t="n">
        <x:f>IFERROR(U1851/L1851,0)</x:f>
        <x:v>0.647206896551724</x:v>
      </x:c>
    </x:row>
    <x:row r="1852">
      <x:c r="A1852" s="19" t="str">
        <x:v>SALE-01848</x:v>
      </x:c>
      <x:c r="B1852" s="34" t="n">
        <x:v>46214.5</x:v>
      </x:c>
      <x:c r="C1852" s="19" t="str">
        <x:v>周六</x:v>
      </x:c>
      <x:c r="D1852" s="19" t="str">
        <x:v>S07</x:v>
      </x:c>
      <x:c r="E1852" s="19" t="str">
        <x:v>小和山店</x:v>
      </x:c>
      <x:c r="F1852" s="19" t="str">
        <x:v>堂食</x:v>
      </x:c>
      <x:c r="G1852" s="19" t="str">
        <x:v>全日</x:v>
      </x:c>
      <x:c r="H1852" s="19" t="str">
        <x:v>D08</x:v>
      </x:c>
      <x:c r="I1852" s="19" t="str">
        <x:v>生炒清远鸡</x:v>
      </x:c>
      <x:c r="J1852" s="22" t="n">
        <x:f>XLOOKUP(H1852,'菜品主数据'!$A$5:$A$24,'菜品主数据'!$D$5:$D$24,0)</x:f>
        <x:v>36</x:v>
      </x:c>
      <x:c r="K1852" s="31" t="n">
        <x:v>7</x:v>
      </x:c>
      <x:c r="L1852" s="35" t="n">
        <x:f>J1852*K1852</x:f>
        <x:v>252</x:v>
      </x:c>
      <x:c r="M1852" s="36" t="n">
        <x:v>0</x:v>
      </x:c>
      <x:c r="N1852" s="35" t="n">
        <x:f>L1852*M1852</x:f>
        <x:v>0</x:v>
      </x:c>
      <x:c r="O1852" s="37" t="n">
        <x:v>0</x:v>
      </x:c>
      <x:c r="P1852" s="35" t="n">
        <x:f>L1852*O1852</x:f>
        <x:v>0</x:v>
      </x:c>
      <x:c r="Q1852" s="35" t="n">
        <x:v>0</x:v>
      </x:c>
      <x:c r="R1852" s="35" t="n">
        <x:f>K1852*Q1852</x:f>
        <x:v>0</x:v>
      </x:c>
      <x:c r="S1852" s="35" t="n">
        <x:f>XLOOKUP(H1852,'菜品主数据'!$A$5:$A$24,'菜品主数据'!$G$5:$G$24,0)</x:f>
        <x:v>13.48</x:v>
      </x:c>
      <x:c r="T1852" s="35" t="n">
        <x:f>K1852*S1852</x:f>
        <x:v>94.36</x:v>
      </x:c>
      <x:c r="U1852" s="35" t="n">
        <x:f>L1852-N1852-P1852-R1852-T1852</x:f>
        <x:v>157.64</x:v>
      </x:c>
      <x:c r="V1852" s="21" t="n">
        <x:f>IFERROR(U1852/L1852,0)</x:f>
        <x:v>0.6255555555555555</x:v>
      </x:c>
    </x:row>
    <x:row r="1853">
      <x:c r="A1853" s="19" t="str">
        <x:v>SALE-01849</x:v>
      </x:c>
      <x:c r="B1853" s="34" t="n">
        <x:v>46214.5</x:v>
      </x:c>
      <x:c r="C1853" s="19" t="str">
        <x:v>周六</x:v>
      </x:c>
      <x:c r="D1853" s="19" t="str">
        <x:v>S07</x:v>
      </x:c>
      <x:c r="E1853" s="19" t="str">
        <x:v>小和山店</x:v>
      </x:c>
      <x:c r="F1853" s="19" t="str">
        <x:v>堂食</x:v>
      </x:c>
      <x:c r="G1853" s="19" t="str">
        <x:v>全日</x:v>
      </x:c>
      <x:c r="H1853" s="19" t="str">
        <x:v>D09</x:v>
      </x:c>
      <x:c r="I1853" s="19" t="str">
        <x:v>炒豆干</x:v>
      </x:c>
      <x:c r="J1853" s="22" t="n">
        <x:f>XLOOKUP(H1853,'菜品主数据'!$A$5:$A$24,'菜品主数据'!$D$5:$D$24,0)</x:f>
        <x:v>18</x:v>
      </x:c>
      <x:c r="K1853" s="31" t="n">
        <x:v>10</x:v>
      </x:c>
      <x:c r="L1853" s="35" t="n">
        <x:f>J1853*K1853</x:f>
        <x:v>180</x:v>
      </x:c>
      <x:c r="M1853" s="36" t="n">
        <x:v>0</x:v>
      </x:c>
      <x:c r="N1853" s="35" t="n">
        <x:f>L1853*M1853</x:f>
        <x:v>0</x:v>
      </x:c>
      <x:c r="O1853" s="37" t="n">
        <x:v>0</x:v>
      </x:c>
      <x:c r="P1853" s="35" t="n">
        <x:f>L1853*O1853</x:f>
        <x:v>0</x:v>
      </x:c>
      <x:c r="Q1853" s="35" t="n">
        <x:v>0</x:v>
      </x:c>
      <x:c r="R1853" s="35" t="n">
        <x:f>K1853*Q1853</x:f>
        <x:v>0</x:v>
      </x:c>
      <x:c r="S1853" s="35" t="n">
        <x:f>XLOOKUP(H1853,'菜品主数据'!$A$5:$A$24,'菜品主数据'!$G$5:$G$24,0)</x:f>
        <x:v>6.613999999999999</x:v>
      </x:c>
      <x:c r="T1853" s="35" t="n">
        <x:f>K1853*S1853</x:f>
        <x:v>66.13999999999999</x:v>
      </x:c>
      <x:c r="U1853" s="35" t="n">
        <x:f>L1853-N1853-P1853-R1853-T1853</x:f>
        <x:v>113.86000000000001</x:v>
      </x:c>
      <x:c r="V1853" s="21" t="n">
        <x:f>IFERROR(U1853/L1853,0)</x:f>
        <x:v>0.6325555555555556</x:v>
      </x:c>
    </x:row>
    <x:row r="1854">
      <x:c r="A1854" s="19" t="str">
        <x:v>SALE-01850</x:v>
      </x:c>
      <x:c r="B1854" s="34" t="n">
        <x:v>46214.5</x:v>
      </x:c>
      <x:c r="C1854" s="19" t="str">
        <x:v>周六</x:v>
      </x:c>
      <x:c r="D1854" s="19" t="str">
        <x:v>S07</x:v>
      </x:c>
      <x:c r="E1854" s="19" t="str">
        <x:v>小和山店</x:v>
      </x:c>
      <x:c r="F1854" s="19" t="str">
        <x:v>堂食</x:v>
      </x:c>
      <x:c r="G1854" s="19" t="str">
        <x:v>全日</x:v>
      </x:c>
      <x:c r="H1854" s="19" t="str">
        <x:v>D10</x:v>
      </x:c>
      <x:c r="I1854" s="19" t="str">
        <x:v>农家一碗香</x:v>
      </x:c>
      <x:c r="J1854" s="22" t="n">
        <x:f>XLOOKUP(H1854,'菜品主数据'!$A$5:$A$24,'菜品主数据'!$D$5:$D$24,0)</x:f>
        <x:v>22.9</x:v>
      </x:c>
      <x:c r="K1854" s="31" t="n">
        <x:v>11</x:v>
      </x:c>
      <x:c r="L1854" s="35" t="n">
        <x:f>J1854*K1854</x:f>
        <x:v>251.89999999999998</x:v>
      </x:c>
      <x:c r="M1854" s="36" t="n">
        <x:v>0</x:v>
      </x:c>
      <x:c r="N1854" s="35" t="n">
        <x:f>L1854*M1854</x:f>
        <x:v>0</x:v>
      </x:c>
      <x:c r="O1854" s="37" t="n">
        <x:v>0</x:v>
      </x:c>
      <x:c r="P1854" s="35" t="n">
        <x:f>L1854*O1854</x:f>
        <x:v>0</x:v>
      </x:c>
      <x:c r="Q1854" s="35" t="n">
        <x:v>0</x:v>
      </x:c>
      <x:c r="R1854" s="35" t="n">
        <x:f>K1854*Q1854</x:f>
        <x:v>0</x:v>
      </x:c>
      <x:c r="S1854" s="35" t="n">
        <x:f>XLOOKUP(H1854,'菜品主数据'!$A$5:$A$24,'菜品主数据'!$G$5:$G$24,0)</x:f>
        <x:v>9.770200000000003</x:v>
      </x:c>
      <x:c r="T1854" s="35" t="n">
        <x:f>K1854*S1854</x:f>
        <x:v>107.47220000000003</x:v>
      </x:c>
      <x:c r="U1854" s="35" t="n">
        <x:f>L1854-N1854-P1854-R1854-T1854</x:f>
        <x:v>144.42779999999993</x:v>
      </x:c>
      <x:c r="V1854" s="21" t="n">
        <x:f>IFERROR(U1854/L1854,0)</x:f>
        <x:v>0.5733537117903929</x:v>
      </x:c>
    </x:row>
    <x:row r="1855">
      <x:c r="A1855" s="19" t="str">
        <x:v>SALE-01851</x:v>
      </x:c>
      <x:c r="B1855" s="34" t="n">
        <x:v>46214.5</x:v>
      </x:c>
      <x:c r="C1855" s="19" t="str">
        <x:v>周六</x:v>
      </x:c>
      <x:c r="D1855" s="19" t="str">
        <x:v>S07</x:v>
      </x:c>
      <x:c r="E1855" s="19" t="str">
        <x:v>小和山店</x:v>
      </x:c>
      <x:c r="F1855" s="19" t="str">
        <x:v>堂食</x:v>
      </x:c>
      <x:c r="G1855" s="19" t="str">
        <x:v>全日</x:v>
      </x:c>
      <x:c r="H1855" s="19" t="str">
        <x:v>D11</x:v>
      </x:c>
      <x:c r="I1855" s="19" t="str">
        <x:v>香辣爆肥肠</x:v>
      </x:c>
      <x:c r="J1855" s="22" t="n">
        <x:f>XLOOKUP(H1855,'菜品主数据'!$A$5:$A$24,'菜品主数据'!$D$5:$D$24,0)</x:f>
        <x:v>39</x:v>
      </x:c>
      <x:c r="K1855" s="31" t="n">
        <x:v>5</x:v>
      </x:c>
      <x:c r="L1855" s="35" t="n">
        <x:f>J1855*K1855</x:f>
        <x:v>195</x:v>
      </x:c>
      <x:c r="M1855" s="36" t="n">
        <x:v>0</x:v>
      </x:c>
      <x:c r="N1855" s="35" t="n">
        <x:f>L1855*M1855</x:f>
        <x:v>0</x:v>
      </x:c>
      <x:c r="O1855" s="37" t="n">
        <x:v>0</x:v>
      </x:c>
      <x:c r="P1855" s="35" t="n">
        <x:f>L1855*O1855</x:f>
        <x:v>0</x:v>
      </x:c>
      <x:c r="Q1855" s="35" t="n">
        <x:v>0</x:v>
      </x:c>
      <x:c r="R1855" s="35" t="n">
        <x:f>K1855*Q1855</x:f>
        <x:v>0</x:v>
      </x:c>
      <x:c r="S1855" s="35" t="n">
        <x:f>XLOOKUP(H1855,'菜品主数据'!$A$5:$A$24,'菜品主数据'!$G$5:$G$24,0)</x:f>
        <x:v>10.397</x:v>
      </x:c>
      <x:c r="T1855" s="35" t="n">
        <x:f>K1855*S1855</x:f>
        <x:v>51.985</x:v>
      </x:c>
      <x:c r="U1855" s="35" t="n">
        <x:f>L1855-N1855-P1855-R1855-T1855</x:f>
        <x:v>143.015</x:v>
      </x:c>
      <x:c r="V1855" s="21" t="n">
        <x:f>IFERROR(U1855/L1855,0)</x:f>
        <x:v>0.7334102564102564</x:v>
      </x:c>
    </x:row>
    <x:row r="1856">
      <x:c r="A1856" s="19" t="str">
        <x:v>SALE-01852</x:v>
      </x:c>
      <x:c r="B1856" s="34" t="n">
        <x:v>46214.5</x:v>
      </x:c>
      <x:c r="C1856" s="19" t="str">
        <x:v>周六</x:v>
      </x:c>
      <x:c r="D1856" s="19" t="str">
        <x:v>S07</x:v>
      </x:c>
      <x:c r="E1856" s="19" t="str">
        <x:v>小和山店</x:v>
      </x:c>
      <x:c r="F1856" s="19" t="str">
        <x:v>堂食</x:v>
      </x:c>
      <x:c r="G1856" s="19" t="str">
        <x:v>全日</x:v>
      </x:c>
      <x:c r="H1856" s="19" t="str">
        <x:v>D12</x:v>
      </x:c>
      <x:c r="I1856" s="19" t="str">
        <x:v>清蒸鲈鱼</x:v>
      </x:c>
      <x:c r="J1856" s="22" t="n">
        <x:f>XLOOKUP(H1856,'菜品主数据'!$A$5:$A$24,'菜品主数据'!$D$5:$D$24,0)</x:f>
        <x:v>39</x:v>
      </x:c>
      <x:c r="K1856" s="31" t="n">
        <x:v>5</x:v>
      </x:c>
      <x:c r="L1856" s="35" t="n">
        <x:f>J1856*K1856</x:f>
        <x:v>195</x:v>
      </x:c>
      <x:c r="M1856" s="36" t="n">
        <x:v>0</x:v>
      </x:c>
      <x:c r="N1856" s="35" t="n">
        <x:f>L1856*M1856</x:f>
        <x:v>0</x:v>
      </x:c>
      <x:c r="O1856" s="37" t="n">
        <x:v>0</x:v>
      </x:c>
      <x:c r="P1856" s="35" t="n">
        <x:f>L1856*O1856</x:f>
        <x:v>0</x:v>
      </x:c>
      <x:c r="Q1856" s="35" t="n">
        <x:v>0</x:v>
      </x:c>
      <x:c r="R1856" s="35" t="n">
        <x:f>K1856*Q1856</x:f>
        <x:v>0</x:v>
      </x:c>
      <x:c r="S1856" s="35" t="n">
        <x:f>XLOOKUP(H1856,'菜品主数据'!$A$5:$A$24,'菜品主数据'!$G$5:$G$24,0)</x:f>
        <x:v>18.874</x:v>
      </x:c>
      <x:c r="T1856" s="35" t="n">
        <x:f>K1856*S1856</x:f>
        <x:v>94.36999999999999</x:v>
      </x:c>
      <x:c r="U1856" s="35" t="n">
        <x:f>L1856-N1856-P1856-R1856-T1856</x:f>
        <x:v>100.63000000000001</x:v>
      </x:c>
      <x:c r="V1856" s="21" t="n">
        <x:f>IFERROR(U1856/L1856,0)</x:f>
        <x:v>0.5160512820512821</x:v>
      </x:c>
    </x:row>
    <x:row r="1857">
      <x:c r="A1857" s="19" t="str">
        <x:v>SALE-01853</x:v>
      </x:c>
      <x:c r="B1857" s="34" t="n">
        <x:v>46214.5</x:v>
      </x:c>
      <x:c r="C1857" s="19" t="str">
        <x:v>周六</x:v>
      </x:c>
      <x:c r="D1857" s="19" t="str">
        <x:v>S07</x:v>
      </x:c>
      <x:c r="E1857" s="19" t="str">
        <x:v>小和山店</x:v>
      </x:c>
      <x:c r="F1857" s="19" t="str">
        <x:v>堂食</x:v>
      </x:c>
      <x:c r="G1857" s="19" t="str">
        <x:v>全日</x:v>
      </x:c>
      <x:c r="H1857" s="19" t="str">
        <x:v>D13</x:v>
      </x:c>
      <x:c r="I1857" s="19" t="str">
        <x:v>外婆菜炒蛋</x:v>
      </x:c>
      <x:c r="J1857" s="22" t="n">
        <x:f>XLOOKUP(H1857,'菜品主数据'!$A$5:$A$24,'菜品主数据'!$D$5:$D$24,0)</x:f>
        <x:v>18</x:v>
      </x:c>
      <x:c r="K1857" s="31" t="n">
        <x:v>10</x:v>
      </x:c>
      <x:c r="L1857" s="35" t="n">
        <x:f>J1857*K1857</x:f>
        <x:v>180</x:v>
      </x:c>
      <x:c r="M1857" s="36" t="n">
        <x:v>0</x:v>
      </x:c>
      <x:c r="N1857" s="35" t="n">
        <x:f>L1857*M1857</x:f>
        <x:v>0</x:v>
      </x:c>
      <x:c r="O1857" s="37" t="n">
        <x:v>0</x:v>
      </x:c>
      <x:c r="P1857" s="35" t="n">
        <x:f>L1857*O1857</x:f>
        <x:v>0</x:v>
      </x:c>
      <x:c r="Q1857" s="35" t="n">
        <x:v>0</x:v>
      </x:c>
      <x:c r="R1857" s="35" t="n">
        <x:f>K1857*Q1857</x:f>
        <x:v>0</x:v>
      </x:c>
      <x:c r="S1857" s="35" t="n">
        <x:f>XLOOKUP(H1857,'菜品主数据'!$A$5:$A$24,'菜品主数据'!$G$5:$G$24,0)</x:f>
        <x:v>5.403999999999999</x:v>
      </x:c>
      <x:c r="T1857" s="35" t="n">
        <x:f>K1857*S1857</x:f>
        <x:v>54.03999999999999</x:v>
      </x:c>
      <x:c r="U1857" s="35" t="n">
        <x:f>L1857-N1857-P1857-R1857-T1857</x:f>
        <x:v>125.96000000000001</x:v>
      </x:c>
      <x:c r="V1857" s="21" t="n">
        <x:f>IFERROR(U1857/L1857,0)</x:f>
        <x:v>0.6997777777777778</x:v>
      </x:c>
    </x:row>
    <x:row r="1858">
      <x:c r="A1858" s="19" t="str">
        <x:v>SALE-01854</x:v>
      </x:c>
      <x:c r="B1858" s="34" t="n">
        <x:v>46214.5</x:v>
      </x:c>
      <x:c r="C1858" s="19" t="str">
        <x:v>周六</x:v>
      </x:c>
      <x:c r="D1858" s="19" t="str">
        <x:v>S07</x:v>
      </x:c>
      <x:c r="E1858" s="19" t="str">
        <x:v>小和山店</x:v>
      </x:c>
      <x:c r="F1858" s="19" t="str">
        <x:v>堂食</x:v>
      </x:c>
      <x:c r="G1858" s="19" t="str">
        <x:v>全日</x:v>
      </x:c>
      <x:c r="H1858" s="19" t="str">
        <x:v>D14</x:v>
      </x:c>
      <x:c r="I1858" s="19" t="str">
        <x:v>酸辣鸡杂</x:v>
      </x:c>
      <x:c r="J1858" s="22" t="n">
        <x:f>XLOOKUP(H1858,'菜品主数据'!$A$5:$A$24,'菜品主数据'!$D$5:$D$24,0)</x:f>
        <x:v>28</x:v>
      </x:c>
      <x:c r="K1858" s="31" t="n">
        <x:v>5</x:v>
      </x:c>
      <x:c r="L1858" s="35" t="n">
        <x:f>J1858*K1858</x:f>
        <x:v>140</x:v>
      </x:c>
      <x:c r="M1858" s="36" t="n">
        <x:v>0</x:v>
      </x:c>
      <x:c r="N1858" s="35" t="n">
        <x:f>L1858*M1858</x:f>
        <x:v>0</x:v>
      </x:c>
      <x:c r="O1858" s="37" t="n">
        <x:v>0</x:v>
      </x:c>
      <x:c r="P1858" s="35" t="n">
        <x:f>L1858*O1858</x:f>
        <x:v>0</x:v>
      </x:c>
      <x:c r="Q1858" s="35" t="n">
        <x:v>0</x:v>
      </x:c>
      <x:c r="R1858" s="35" t="n">
        <x:f>K1858*Q1858</x:f>
        <x:v>0</x:v>
      </x:c>
      <x:c r="S1858" s="35" t="n">
        <x:f>XLOOKUP(H1858,'菜品主数据'!$A$5:$A$24,'菜品主数据'!$G$5:$G$24,0)</x:f>
        <x:v>8.315000000000001</x:v>
      </x:c>
      <x:c r="T1858" s="35" t="n">
        <x:f>K1858*S1858</x:f>
        <x:v>41.575</x:v>
      </x:c>
      <x:c r="U1858" s="35" t="n">
        <x:f>L1858-N1858-P1858-R1858-T1858</x:f>
        <x:v>98.425</x:v>
      </x:c>
      <x:c r="V1858" s="21" t="n">
        <x:f>IFERROR(U1858/L1858,0)</x:f>
        <x:v>0.7030357142857143</x:v>
      </x:c>
    </x:row>
    <x:row r="1859">
      <x:c r="A1859" s="19" t="str">
        <x:v>SALE-01855</x:v>
      </x:c>
      <x:c r="B1859" s="34" t="n">
        <x:v>46214.5</x:v>
      </x:c>
      <x:c r="C1859" s="19" t="str">
        <x:v>周六</x:v>
      </x:c>
      <x:c r="D1859" s="19" t="str">
        <x:v>S07</x:v>
      </x:c>
      <x:c r="E1859" s="19" t="str">
        <x:v>小和山店</x:v>
      </x:c>
      <x:c r="F1859" s="19" t="str">
        <x:v>堂食</x:v>
      </x:c>
      <x:c r="G1859" s="19" t="str">
        <x:v>全日</x:v>
      </x:c>
      <x:c r="H1859" s="19" t="str">
        <x:v>D15</x:v>
      </x:c>
      <x:c r="I1859" s="19" t="str">
        <x:v>湘西土匪猪肝</x:v>
      </x:c>
      <x:c r="J1859" s="22" t="n">
        <x:f>XLOOKUP(H1859,'菜品主数据'!$A$5:$A$24,'菜品主数据'!$D$5:$D$24,0)</x:f>
        <x:v>26</x:v>
      </x:c>
      <x:c r="K1859" s="31" t="n">
        <x:v>5</x:v>
      </x:c>
      <x:c r="L1859" s="35" t="n">
        <x:f>J1859*K1859</x:f>
        <x:v>130</x:v>
      </x:c>
      <x:c r="M1859" s="36" t="n">
        <x:v>0</x:v>
      </x:c>
      <x:c r="N1859" s="35" t="n">
        <x:f>L1859*M1859</x:f>
        <x:v>0</x:v>
      </x:c>
      <x:c r="O1859" s="37" t="n">
        <x:v>0</x:v>
      </x:c>
      <x:c r="P1859" s="35" t="n">
        <x:f>L1859*O1859</x:f>
        <x:v>0</x:v>
      </x:c>
      <x:c r="Q1859" s="35" t="n">
        <x:v>0</x:v>
      </x:c>
      <x:c r="R1859" s="35" t="n">
        <x:f>K1859*Q1859</x:f>
        <x:v>0</x:v>
      </x:c>
      <x:c r="S1859" s="35" t="n">
        <x:f>XLOOKUP(H1859,'菜品主数据'!$A$5:$A$24,'菜品主数据'!$G$5:$G$24,0)</x:f>
        <x:v>6.3759999999999994</x:v>
      </x:c>
      <x:c r="T1859" s="35" t="n">
        <x:f>K1859*S1859</x:f>
        <x:v>31.879999999999995</x:v>
      </x:c>
      <x:c r="U1859" s="35" t="n">
        <x:f>L1859-N1859-P1859-R1859-T1859</x:f>
        <x:v>98.12</x:v>
      </x:c>
      <x:c r="V1859" s="21" t="n">
        <x:f>IFERROR(U1859/L1859,0)</x:f>
        <x:v>0.7547692307692309</x:v>
      </x:c>
    </x:row>
    <x:row r="1860">
      <x:c r="A1860" s="19" t="str">
        <x:v>SALE-01856</x:v>
      </x:c>
      <x:c r="B1860" s="34" t="n">
        <x:v>46214.5</x:v>
      </x:c>
      <x:c r="C1860" s="19" t="str">
        <x:v>周六</x:v>
      </x:c>
      <x:c r="D1860" s="19" t="str">
        <x:v>S07</x:v>
      </x:c>
      <x:c r="E1860" s="19" t="str">
        <x:v>小和山店</x:v>
      </x:c>
      <x:c r="F1860" s="19" t="str">
        <x:v>堂食</x:v>
      </x:c>
      <x:c r="G1860" s="19" t="str">
        <x:v>全日</x:v>
      </x:c>
      <x:c r="H1860" s="19" t="str">
        <x:v>D16</x:v>
      </x:c>
      <x:c r="I1860" s="19" t="str">
        <x:v>小豆角炒五花</x:v>
      </x:c>
      <x:c r="J1860" s="22" t="n">
        <x:f>XLOOKUP(H1860,'菜品主数据'!$A$5:$A$24,'菜品主数据'!$D$5:$D$24,0)</x:f>
        <x:v>25</x:v>
      </x:c>
      <x:c r="K1860" s="31" t="n">
        <x:v>5</x:v>
      </x:c>
      <x:c r="L1860" s="35" t="n">
        <x:f>J1860*K1860</x:f>
        <x:v>125</x:v>
      </x:c>
      <x:c r="M1860" s="36" t="n">
        <x:v>0</x:v>
      </x:c>
      <x:c r="N1860" s="35" t="n">
        <x:f>L1860*M1860</x:f>
        <x:v>0</x:v>
      </x:c>
      <x:c r="O1860" s="37" t="n">
        <x:v>0</x:v>
      </x:c>
      <x:c r="P1860" s="35" t="n">
        <x:f>L1860*O1860</x:f>
        <x:v>0</x:v>
      </x:c>
      <x:c r="Q1860" s="35" t="n">
        <x:v>0</x:v>
      </x:c>
      <x:c r="R1860" s="35" t="n">
        <x:f>K1860*Q1860</x:f>
        <x:v>0</x:v>
      </x:c>
      <x:c r="S1860" s="35" t="n">
        <x:f>XLOOKUP(H1860,'菜品主数据'!$A$5:$A$24,'菜品主数据'!$G$5:$G$24,0)</x:f>
        <x:v>8.184</x:v>
      </x:c>
      <x:c r="T1860" s="35" t="n">
        <x:f>K1860*S1860</x:f>
        <x:v>40.919999999999995</x:v>
      </x:c>
      <x:c r="U1860" s="35" t="n">
        <x:f>L1860-N1860-P1860-R1860-T1860</x:f>
        <x:v>84.08000000000001</x:v>
      </x:c>
      <x:c r="V1860" s="21" t="n">
        <x:f>IFERROR(U1860/L1860,0)</x:f>
        <x:v>0.6726400000000001</x:v>
      </x:c>
    </x:row>
    <x:row r="1861">
      <x:c r="A1861" s="19" t="str">
        <x:v>SALE-01857</x:v>
      </x:c>
      <x:c r="B1861" s="34" t="n">
        <x:v>46214.5</x:v>
      </x:c>
      <x:c r="C1861" s="19" t="str">
        <x:v>周六</x:v>
      </x:c>
      <x:c r="D1861" s="19" t="str">
        <x:v>S07</x:v>
      </x:c>
      <x:c r="E1861" s="19" t="str">
        <x:v>小和山店</x:v>
      </x:c>
      <x:c r="F1861" s="19" t="str">
        <x:v>堂食</x:v>
      </x:c>
      <x:c r="G1861" s="19" t="str">
        <x:v>全日</x:v>
      </x:c>
      <x:c r="H1861" s="19" t="str">
        <x:v>D17</x:v>
      </x:c>
      <x:c r="I1861" s="19" t="str">
        <x:v>蒜蓉粉丝虾</x:v>
      </x:c>
      <x:c r="J1861" s="22" t="n">
        <x:f>XLOOKUP(H1861,'菜品主数据'!$A$5:$A$24,'菜品主数据'!$D$5:$D$24,0)</x:f>
        <x:v>36</x:v>
      </x:c>
      <x:c r="K1861" s="31" t="n">
        <x:v>4</x:v>
      </x:c>
      <x:c r="L1861" s="35" t="n">
        <x:f>J1861*K1861</x:f>
        <x:v>144</x:v>
      </x:c>
      <x:c r="M1861" s="36" t="n">
        <x:v>0</x:v>
      </x:c>
      <x:c r="N1861" s="35" t="n">
        <x:f>L1861*M1861</x:f>
        <x:v>0</x:v>
      </x:c>
      <x:c r="O1861" s="37" t="n">
        <x:v>0</x:v>
      </x:c>
      <x:c r="P1861" s="35" t="n">
        <x:f>L1861*O1861</x:f>
        <x:v>0</x:v>
      </x:c>
      <x:c r="Q1861" s="35" t="n">
        <x:v>0</x:v>
      </x:c>
      <x:c r="R1861" s="35" t="n">
        <x:f>K1861*Q1861</x:f>
        <x:v>0</x:v>
      </x:c>
      <x:c r="S1861" s="35" t="n">
        <x:f>XLOOKUP(H1861,'菜品主数据'!$A$5:$A$24,'菜品主数据'!$G$5:$G$24,0)</x:f>
        <x:v>13.594</x:v>
      </x:c>
      <x:c r="T1861" s="35" t="n">
        <x:f>K1861*S1861</x:f>
        <x:v>54.376</x:v>
      </x:c>
      <x:c r="U1861" s="35" t="n">
        <x:f>L1861-N1861-P1861-R1861-T1861</x:f>
        <x:v>89.624</x:v>
      </x:c>
      <x:c r="V1861" s="21" t="n">
        <x:f>IFERROR(U1861/L1861,0)</x:f>
        <x:v>0.6223888888888889</x:v>
      </x:c>
    </x:row>
    <x:row r="1862">
      <x:c r="A1862" s="19" t="str">
        <x:v>SALE-01858</x:v>
      </x:c>
      <x:c r="B1862" s="34" t="n">
        <x:v>46214.5</x:v>
      </x:c>
      <x:c r="C1862" s="19" t="str">
        <x:v>周六</x:v>
      </x:c>
      <x:c r="D1862" s="19" t="str">
        <x:v>S07</x:v>
      </x:c>
      <x:c r="E1862" s="19" t="str">
        <x:v>小和山店</x:v>
      </x:c>
      <x:c r="F1862" s="19" t="str">
        <x:v>堂食</x:v>
      </x:c>
      <x:c r="G1862" s="19" t="str">
        <x:v>全日</x:v>
      </x:c>
      <x:c r="H1862" s="19" t="str">
        <x:v>D18</x:v>
      </x:c>
      <x:c r="I1862" s="19" t="str">
        <x:v>青椒炒油麦菜</x:v>
      </x:c>
      <x:c r="J1862" s="22" t="n">
        <x:f>XLOOKUP(H1862,'菜品主数据'!$A$5:$A$24,'菜品主数据'!$D$5:$D$24,0)</x:f>
        <x:v>18</x:v>
      </x:c>
      <x:c r="K1862" s="31" t="n">
        <x:v>6</x:v>
      </x:c>
      <x:c r="L1862" s="35" t="n">
        <x:f>J1862*K1862</x:f>
        <x:v>108</x:v>
      </x:c>
      <x:c r="M1862" s="36" t="n">
        <x:v>0</x:v>
      </x:c>
      <x:c r="N1862" s="35" t="n">
        <x:f>L1862*M1862</x:f>
        <x:v>0</x:v>
      </x:c>
      <x:c r="O1862" s="37" t="n">
        <x:v>0</x:v>
      </x:c>
      <x:c r="P1862" s="35" t="n">
        <x:f>L1862*O1862</x:f>
        <x:v>0</x:v>
      </x:c>
      <x:c r="Q1862" s="35" t="n">
        <x:v>0</x:v>
      </x:c>
      <x:c r="R1862" s="35" t="n">
        <x:f>K1862*Q1862</x:f>
        <x:v>0</x:v>
      </x:c>
      <x:c r="S1862" s="35" t="n">
        <x:f>XLOOKUP(H1862,'菜品主数据'!$A$5:$A$24,'菜品主数据'!$G$5:$G$24,0)</x:f>
        <x:v>3.1759999999999993</x:v>
      </x:c>
      <x:c r="T1862" s="35" t="n">
        <x:f>K1862*S1862</x:f>
        <x:v>19.055999999999997</x:v>
      </x:c>
      <x:c r="U1862" s="35" t="n">
        <x:f>L1862-N1862-P1862-R1862-T1862</x:f>
        <x:v>88.944</x:v>
      </x:c>
      <x:c r="V1862" s="21" t="n">
        <x:f>IFERROR(U1862/L1862,0)</x:f>
        <x:v>0.8235555555555556</x:v>
      </x:c>
    </x:row>
    <x:row r="1863">
      <x:c r="A1863" s="19" t="str">
        <x:v>SALE-01859</x:v>
      </x:c>
      <x:c r="B1863" s="34" t="n">
        <x:v>46214.5</x:v>
      </x:c>
      <x:c r="C1863" s="19" t="str">
        <x:v>周六</x:v>
      </x:c>
      <x:c r="D1863" s="19" t="str">
        <x:v>S07</x:v>
      </x:c>
      <x:c r="E1863" s="19" t="str">
        <x:v>小和山店</x:v>
      </x:c>
      <x:c r="F1863" s="19" t="str">
        <x:v>堂食</x:v>
      </x:c>
      <x:c r="G1863" s="19" t="str">
        <x:v>全日</x:v>
      </x:c>
      <x:c r="H1863" s="19" t="str">
        <x:v>D19</x:v>
      </x:c>
      <x:c r="I1863" s="19" t="str">
        <x:v>酸萝卜炒鸡杂</x:v>
      </x:c>
      <x:c r="J1863" s="22" t="n">
        <x:f>XLOOKUP(H1863,'菜品主数据'!$A$5:$A$24,'菜品主数据'!$D$5:$D$24,0)</x:f>
        <x:v>25</x:v>
      </x:c>
      <x:c r="K1863" s="31" t="n">
        <x:v>4</x:v>
      </x:c>
      <x:c r="L1863" s="35" t="n">
        <x:f>J1863*K1863</x:f>
        <x:v>100</x:v>
      </x:c>
      <x:c r="M1863" s="36" t="n">
        <x:v>0</x:v>
      </x:c>
      <x:c r="N1863" s="35" t="n">
        <x:f>L1863*M1863</x:f>
        <x:v>0</x:v>
      </x:c>
      <x:c r="O1863" s="37" t="n">
        <x:v>0</x:v>
      </x:c>
      <x:c r="P1863" s="35" t="n">
        <x:f>L1863*O1863</x:f>
        <x:v>0</x:v>
      </x:c>
      <x:c r="Q1863" s="35" t="n">
        <x:v>0</x:v>
      </x:c>
      <x:c r="R1863" s="35" t="n">
        <x:f>K1863*Q1863</x:f>
        <x:v>0</x:v>
      </x:c>
      <x:c r="S1863" s="35" t="n">
        <x:f>XLOOKUP(H1863,'菜品主数据'!$A$5:$A$24,'菜品主数据'!$G$5:$G$24,0)</x:f>
        <x:v>7.9399999999999995</x:v>
      </x:c>
      <x:c r="T1863" s="35" t="n">
        <x:f>K1863*S1863</x:f>
        <x:v>31.759999999999998</x:v>
      </x:c>
      <x:c r="U1863" s="35" t="n">
        <x:f>L1863-N1863-P1863-R1863-T1863</x:f>
        <x:v>68.24000000000001</x:v>
      </x:c>
      <x:c r="V1863" s="21" t="n">
        <x:f>IFERROR(U1863/L1863,0)</x:f>
        <x:v>0.6824000000000001</x:v>
      </x:c>
    </x:row>
    <x:row r="1864">
      <x:c r="A1864" s="19" t="str">
        <x:v>SALE-01860</x:v>
      </x:c>
      <x:c r="B1864" s="34" t="n">
        <x:v>46214.5</x:v>
      </x:c>
      <x:c r="C1864" s="19" t="str">
        <x:v>周六</x:v>
      </x:c>
      <x:c r="D1864" s="19" t="str">
        <x:v>S07</x:v>
      </x:c>
      <x:c r="E1864" s="19" t="str">
        <x:v>小和山店</x:v>
      </x:c>
      <x:c r="F1864" s="19" t="str">
        <x:v>堂食</x:v>
      </x:c>
      <x:c r="G1864" s="19" t="str">
        <x:v>全日</x:v>
      </x:c>
      <x:c r="H1864" s="19" t="str">
        <x:v>D20</x:v>
      </x:c>
      <x:c r="I1864" s="19" t="str">
        <x:v>雪菜肉末青豆</x:v>
      </x:c>
      <x:c r="J1864" s="22" t="n">
        <x:f>XLOOKUP(H1864,'菜品主数据'!$A$5:$A$24,'菜品主数据'!$D$5:$D$24,0)</x:f>
        <x:v>18</x:v>
      </x:c>
      <x:c r="K1864" s="31" t="n">
        <x:v>6</x:v>
      </x:c>
      <x:c r="L1864" s="35" t="n">
        <x:f>J1864*K1864</x:f>
        <x:v>108</x:v>
      </x:c>
      <x:c r="M1864" s="36" t="n">
        <x:v>0</x:v>
      </x:c>
      <x:c r="N1864" s="35" t="n">
        <x:f>L1864*M1864</x:f>
        <x:v>0</x:v>
      </x:c>
      <x:c r="O1864" s="37" t="n">
        <x:v>0</x:v>
      </x:c>
      <x:c r="P1864" s="35" t="n">
        <x:f>L1864*O1864</x:f>
        <x:v>0</x:v>
      </x:c>
      <x:c r="Q1864" s="35" t="n">
        <x:v>0</x:v>
      </x:c>
      <x:c r="R1864" s="35" t="n">
        <x:f>K1864*Q1864</x:f>
        <x:v>0</x:v>
      </x:c>
      <x:c r="S1864" s="35" t="n">
        <x:f>XLOOKUP(H1864,'菜品主数据'!$A$5:$A$24,'菜品主数据'!$G$5:$G$24,0)</x:f>
        <x:v>7.303999999999999</x:v>
      </x:c>
      <x:c r="T1864" s="35" t="n">
        <x:f>K1864*S1864</x:f>
        <x:v>43.824</x:v>
      </x:c>
      <x:c r="U1864" s="35" t="n">
        <x:f>L1864-N1864-P1864-R1864-T1864</x:f>
        <x:v>64.176</x:v>
      </x:c>
      <x:c r="V1864" s="21" t="n">
        <x:f>IFERROR(U1864/L1864,0)</x:f>
        <x:v>0.5942222222222222</x:v>
      </x:c>
    </x:row>
    <x:row r="1865">
      <x:c r="A1865" s="19" t="str">
        <x:v>SALE-01861</x:v>
      </x:c>
      <x:c r="B1865" s="34" t="n">
        <x:v>46214.5</x:v>
      </x:c>
      <x:c r="C1865" s="19" t="str">
        <x:v>周六</x:v>
      </x:c>
      <x:c r="D1865" s="19" t="str">
        <x:v>S07</x:v>
      </x:c>
      <x:c r="E1865" s="19" t="str">
        <x:v>小和山店</x:v>
      </x:c>
      <x:c r="F1865" s="19" t="str">
        <x:v>外卖</x:v>
      </x:c>
      <x:c r="G1865" s="19" t="str">
        <x:v>全日</x:v>
      </x:c>
      <x:c r="H1865" s="19" t="str">
        <x:v>D01</x:v>
      </x:c>
      <x:c r="I1865" s="19" t="str">
        <x:v>辣椒炒肉</x:v>
      </x:c>
      <x:c r="J1865" s="22" t="n">
        <x:f>XLOOKUP(H1865,'菜品主数据'!$A$5:$A$24,'菜品主数据'!$D$5:$D$24,0)</x:f>
        <x:v>29</x:v>
      </x:c>
      <x:c r="K1865" s="31" t="n">
        <x:v>3</x:v>
      </x:c>
      <x:c r="L1865" s="35" t="n">
        <x:f>J1865*K1865</x:f>
        <x:v>87</x:v>
      </x:c>
      <x:c r="M1865" s="36" t="n">
        <x:v>0.08</x:v>
      </x:c>
      <x:c r="N1865" s="35" t="n">
        <x:f>L1865*M1865</x:f>
        <x:v>6.96</x:v>
      </x:c>
      <x:c r="O1865" s="37" t="n">
        <x:v>0.18</x:v>
      </x:c>
      <x:c r="P1865" s="35" t="n">
        <x:f>L1865*O1865</x:f>
        <x:v>15.66</x:v>
      </x:c>
      <x:c r="Q1865" s="35" t="n">
        <x:v>1.2</x:v>
      </x:c>
      <x:c r="R1865" s="35" t="n">
        <x:f>K1865*Q1865</x:f>
        <x:v>3.5999999999999996</x:v>
      </x:c>
      <x:c r="S1865" s="35" t="n">
        <x:f>XLOOKUP(H1865,'菜品主数据'!$A$5:$A$24,'菜品主数据'!$G$5:$G$24,0)</x:f>
        <x:v>8.634400000000001</x:v>
      </x:c>
      <x:c r="T1865" s="35" t="n">
        <x:f>K1865*S1865</x:f>
        <x:v>25.903200000000005</x:v>
      </x:c>
      <x:c r="U1865" s="35" t="n">
        <x:f>L1865-N1865-P1865-R1865-T1865</x:f>
        <x:v>34.8768</x:v>
      </x:c>
      <x:c r="V1865" s="21" t="n">
        <x:f>IFERROR(U1865/L1865,0)</x:f>
        <x:v>0.40088275862068967</x:v>
      </x:c>
    </x:row>
    <x:row r="1866">
      <x:c r="A1866" s="19" t="str">
        <x:v>SALE-01862</x:v>
      </x:c>
      <x:c r="B1866" s="34" t="n">
        <x:v>46214.5</x:v>
      </x:c>
      <x:c r="C1866" s="19" t="str">
        <x:v>周六</x:v>
      </x:c>
      <x:c r="D1866" s="19" t="str">
        <x:v>S07</x:v>
      </x:c>
      <x:c r="E1866" s="19" t="str">
        <x:v>小和山店</x:v>
      </x:c>
      <x:c r="F1866" s="19" t="str">
        <x:v>外卖</x:v>
      </x:c>
      <x:c r="G1866" s="19" t="str">
        <x:v>全日</x:v>
      </x:c>
      <x:c r="H1866" s="19" t="str">
        <x:v>D02</x:v>
      </x:c>
      <x:c r="I1866" s="19" t="str">
        <x:v>小炒黄牛肉</x:v>
      </x:c>
      <x:c r="J1866" s="22" t="n">
        <x:f>XLOOKUP(H1866,'菜品主数据'!$A$5:$A$24,'菜品主数据'!$D$5:$D$24,0)</x:f>
        <x:v>49</x:v>
      </x:c>
      <x:c r="K1866" s="31" t="n">
        <x:v>7</x:v>
      </x:c>
      <x:c r="L1866" s="35" t="n">
        <x:f>J1866*K1866</x:f>
        <x:v>343</x:v>
      </x:c>
      <x:c r="M1866" s="36" t="n">
        <x:v>0.08</x:v>
      </x:c>
      <x:c r="N1866" s="35" t="n">
        <x:f>L1866*M1866</x:f>
        <x:v>27.44</x:v>
      </x:c>
      <x:c r="O1866" s="37" t="n">
        <x:v>0.18</x:v>
      </x:c>
      <x:c r="P1866" s="35" t="n">
        <x:f>L1866*O1866</x:f>
        <x:v>61.739999999999995</x:v>
      </x:c>
      <x:c r="Q1866" s="35" t="n">
        <x:v>1.2</x:v>
      </x:c>
      <x:c r="R1866" s="35" t="n">
        <x:f>K1866*Q1866</x:f>
        <x:v>8.4</x:v>
      </x:c>
      <x:c r="S1866" s="35" t="n">
        <x:f>XLOOKUP(H1866,'菜品主数据'!$A$5:$A$24,'菜品主数据'!$G$5:$G$24,0)</x:f>
        <x:v>17.577</x:v>
      </x:c>
      <x:c r="T1866" s="35" t="n">
        <x:f>K1866*S1866</x:f>
        <x:v>123.03900000000002</x:v>
      </x:c>
      <x:c r="U1866" s="35" t="n">
        <x:f>L1866-N1866-P1866-R1866-T1866</x:f>
        <x:v>122.38099999999997</x:v>
      </x:c>
      <x:c r="V1866" s="21" t="n">
        <x:f>IFERROR(U1866/L1866,0)</x:f>
        <x:v>0.35679591836734686</x:v>
      </x:c>
    </x:row>
    <x:row r="1867">
      <x:c r="A1867" s="19" t="str">
        <x:v>SALE-01863</x:v>
      </x:c>
      <x:c r="B1867" s="34" t="n">
        <x:v>46214.5</x:v>
      </x:c>
      <x:c r="C1867" s="19" t="str">
        <x:v>周六</x:v>
      </x:c>
      <x:c r="D1867" s="19" t="str">
        <x:v>S07</x:v>
      </x:c>
      <x:c r="E1867" s="19" t="str">
        <x:v>小和山店</x:v>
      </x:c>
      <x:c r="F1867" s="19" t="str">
        <x:v>外卖</x:v>
      </x:c>
      <x:c r="G1867" s="19" t="str">
        <x:v>全日</x:v>
      </x:c>
      <x:c r="H1867" s="19" t="str">
        <x:v>D03</x:v>
      </x:c>
      <x:c r="I1867" s="19" t="str">
        <x:v>香醋炒蛋</x:v>
      </x:c>
      <x:c r="J1867" s="22" t="n">
        <x:f>XLOOKUP(H1867,'菜品主数据'!$A$5:$A$24,'菜品主数据'!$D$5:$D$24,0)</x:f>
        <x:v>14.9</x:v>
      </x:c>
      <x:c r="K1867" s="31" t="n">
        <x:v>2</x:v>
      </x:c>
      <x:c r="L1867" s="35" t="n">
        <x:f>J1867*K1867</x:f>
        <x:v>29.8</x:v>
      </x:c>
      <x:c r="M1867" s="36" t="n">
        <x:v>0.08</x:v>
      </x:c>
      <x:c r="N1867" s="35" t="n">
        <x:f>L1867*M1867</x:f>
        <x:v>2.384</x:v>
      </x:c>
      <x:c r="O1867" s="37" t="n">
        <x:v>0.18</x:v>
      </x:c>
      <x:c r="P1867" s="35" t="n">
        <x:f>L1867*O1867</x:f>
        <x:v>5.364</x:v>
      </x:c>
      <x:c r="Q1867" s="35" t="n">
        <x:v>1.2</x:v>
      </x:c>
      <x:c r="R1867" s="35" t="n">
        <x:f>K1867*Q1867</x:f>
        <x:v>2.4</x:v>
      </x:c>
      <x:c r="S1867" s="35" t="n">
        <x:f>XLOOKUP(H1867,'菜品主数据'!$A$5:$A$24,'菜品主数据'!$G$5:$G$24,0)</x:f>
        <x:v>3.7459999999999996</x:v>
      </x:c>
      <x:c r="T1867" s="35" t="n">
        <x:f>K1867*S1867</x:f>
        <x:v>7.491999999999999</x:v>
      </x:c>
      <x:c r="U1867" s="35" t="n">
        <x:f>L1867-N1867-P1867-R1867-T1867</x:f>
        <x:v>12.160000000000002</x:v>
      </x:c>
      <x:c r="V1867" s="21" t="n">
        <x:f>IFERROR(U1867/L1867,0)</x:f>
        <x:v>0.40805369127516783</x:v>
      </x:c>
    </x:row>
    <x:row r="1868">
      <x:c r="A1868" s="19" t="str">
        <x:v>SALE-01864</x:v>
      </x:c>
      <x:c r="B1868" s="34" t="n">
        <x:v>46214.5</x:v>
      </x:c>
      <x:c r="C1868" s="19" t="str">
        <x:v>周六</x:v>
      </x:c>
      <x:c r="D1868" s="19" t="str">
        <x:v>S07</x:v>
      </x:c>
      <x:c r="E1868" s="19" t="str">
        <x:v>小和山店</x:v>
      </x:c>
      <x:c r="F1868" s="19" t="str">
        <x:v>外卖</x:v>
      </x:c>
      <x:c r="G1868" s="19" t="str">
        <x:v>全日</x:v>
      </x:c>
      <x:c r="H1868" s="19" t="str">
        <x:v>D04</x:v>
      </x:c>
      <x:c r="I1868" s="19" t="str">
        <x:v>酸包菜炒粉皮</x:v>
      </x:c>
      <x:c r="J1868" s="22" t="n">
        <x:f>XLOOKUP(H1868,'菜品主数据'!$A$5:$A$24,'菜品主数据'!$D$5:$D$24,0)</x:f>
        <x:v>16</x:v>
      </x:c>
      <x:c r="K1868" s="31" t="n">
        <x:v>2</x:v>
      </x:c>
      <x:c r="L1868" s="35" t="n">
        <x:f>J1868*K1868</x:f>
        <x:v>32</x:v>
      </x:c>
      <x:c r="M1868" s="36" t="n">
        <x:v>0.08</x:v>
      </x:c>
      <x:c r="N1868" s="35" t="n">
        <x:f>L1868*M1868</x:f>
        <x:v>2.56</x:v>
      </x:c>
      <x:c r="O1868" s="37" t="n">
        <x:v>0.18</x:v>
      </x:c>
      <x:c r="P1868" s="35" t="n">
        <x:f>L1868*O1868</x:f>
        <x:v>5.76</x:v>
      </x:c>
      <x:c r="Q1868" s="35" t="n">
        <x:v>1.2</x:v>
      </x:c>
      <x:c r="R1868" s="35" t="n">
        <x:f>K1868*Q1868</x:f>
        <x:v>2.4</x:v>
      </x:c>
      <x:c r="S1868" s="35" t="n">
        <x:f>XLOOKUP(H1868,'菜品主数据'!$A$5:$A$24,'菜品主数据'!$G$5:$G$24,0)</x:f>
        <x:v>3.978</x:v>
      </x:c>
      <x:c r="T1868" s="35" t="n">
        <x:f>K1868*S1868</x:f>
        <x:v>7.956</x:v>
      </x:c>
      <x:c r="U1868" s="35" t="n">
        <x:f>L1868-N1868-P1868-R1868-T1868</x:f>
        <x:v>13.324000000000002</x:v>
      </x:c>
      <x:c r="V1868" s="21" t="n">
        <x:f>IFERROR(U1868/L1868,0)</x:f>
        <x:v>0.41637500000000005</x:v>
      </x:c>
    </x:row>
    <x:row r="1869">
      <x:c r="A1869" s="19" t="str">
        <x:v>SALE-01865</x:v>
      </x:c>
      <x:c r="B1869" s="34" t="n">
        <x:v>46214.5</x:v>
      </x:c>
      <x:c r="C1869" s="19" t="str">
        <x:v>周六</x:v>
      </x:c>
      <x:c r="D1869" s="19" t="str">
        <x:v>S07</x:v>
      </x:c>
      <x:c r="E1869" s="19" t="str">
        <x:v>小和山店</x:v>
      </x:c>
      <x:c r="F1869" s="19" t="str">
        <x:v>外卖</x:v>
      </x:c>
      <x:c r="G1869" s="19" t="str">
        <x:v>全日</x:v>
      </x:c>
      <x:c r="H1869" s="19" t="str">
        <x:v>D05</x:v>
      </x:c>
      <x:c r="I1869" s="19" t="str">
        <x:v>麻婆豆腐</x:v>
      </x:c>
      <x:c r="J1869" s="22" t="n">
        <x:f>XLOOKUP(H1869,'菜品主数据'!$A$5:$A$24,'菜品主数据'!$D$5:$D$24,0)</x:f>
        <x:v>9.9</x:v>
      </x:c>
      <x:c r="K1869" s="31" t="n">
        <x:v>3</x:v>
      </x:c>
      <x:c r="L1869" s="35" t="n">
        <x:f>J1869*K1869</x:f>
        <x:v>29.700000000000003</x:v>
      </x:c>
      <x:c r="M1869" s="36" t="n">
        <x:v>0.08</x:v>
      </x:c>
      <x:c r="N1869" s="35" t="n">
        <x:f>L1869*M1869</x:f>
        <x:v>2.3760000000000003</x:v>
      </x:c>
      <x:c r="O1869" s="37" t="n">
        <x:v>0.18</x:v>
      </x:c>
      <x:c r="P1869" s="35" t="n">
        <x:f>L1869*O1869</x:f>
        <x:v>5.346</x:v>
      </x:c>
      <x:c r="Q1869" s="35" t="n">
        <x:v>1.2</x:v>
      </x:c>
      <x:c r="R1869" s="35" t="n">
        <x:f>K1869*Q1869</x:f>
        <x:v>3.5999999999999996</x:v>
      </x:c>
      <x:c r="S1869" s="35" t="n">
        <x:f>XLOOKUP(H1869,'菜品主数据'!$A$5:$A$24,'菜品主数据'!$G$5:$G$24,0)</x:f>
        <x:v>5.367000000000001</x:v>
      </x:c>
      <x:c r="T1869" s="35" t="n">
        <x:f>K1869*S1869</x:f>
        <x:v>16.101000000000003</x:v>
      </x:c>
      <x:c r="U1869" s="35" t="n">
        <x:f>L1869-N1869-P1869-R1869-T1869</x:f>
        <x:v>2.2769999999999975</x:v>
      </x:c>
      <x:c r="V1869" s="21" t="n">
        <x:f>IFERROR(U1869/L1869,0)</x:f>
        <x:v>0.07666666666666658</x:v>
      </x:c>
    </x:row>
    <x:row r="1870">
      <x:c r="A1870" s="19" t="str">
        <x:v>SALE-01866</x:v>
      </x:c>
      <x:c r="B1870" s="34" t="n">
        <x:v>46214.5</x:v>
      </x:c>
      <x:c r="C1870" s="19" t="str">
        <x:v>周六</x:v>
      </x:c>
      <x:c r="D1870" s="19" t="str">
        <x:v>S07</x:v>
      </x:c>
      <x:c r="E1870" s="19" t="str">
        <x:v>小和山店</x:v>
      </x:c>
      <x:c r="F1870" s="19" t="str">
        <x:v>外卖</x:v>
      </x:c>
      <x:c r="G1870" s="19" t="str">
        <x:v>全日</x:v>
      </x:c>
      <x:c r="H1870" s="19" t="str">
        <x:v>D06</x:v>
      </x:c>
      <x:c r="I1870" s="19" t="str">
        <x:v>剁椒鱼头</x:v>
      </x:c>
      <x:c r="J1870" s="22" t="n">
        <x:f>XLOOKUP(H1870,'菜品主数据'!$A$5:$A$24,'菜品主数据'!$D$5:$D$24,0)</x:f>
        <x:v>39</x:v>
      </x:c>
      <x:c r="K1870" s="31" t="n">
        <x:v>0</x:v>
      </x:c>
      <x:c r="L1870" s="35" t="n">
        <x:f>J1870*K1870</x:f>
        <x:v>0</x:v>
      </x:c>
      <x:c r="M1870" s="36" t="n">
        <x:v>0.08</x:v>
      </x:c>
      <x:c r="N1870" s="35" t="n">
        <x:f>L1870*M1870</x:f>
        <x:v>0</x:v>
      </x:c>
      <x:c r="O1870" s="37" t="n">
        <x:v>0.18</x:v>
      </x:c>
      <x:c r="P1870" s="35" t="n">
        <x:f>L1870*O1870</x:f>
        <x:v>0</x:v>
      </x:c>
      <x:c r="Q1870" s="35" t="n">
        <x:v>1.2</x:v>
      </x:c>
      <x:c r="R1870" s="35" t="n">
        <x:f>K1870*Q1870</x:f>
        <x:v>0</x:v>
      </x:c>
      <x:c r="S1870" s="35" t="n">
        <x:f>XLOOKUP(H1870,'菜品主数据'!$A$5:$A$24,'菜品主数据'!$G$5:$G$24,0)</x:f>
        <x:v>17.446</x:v>
      </x:c>
      <x:c r="T1870" s="35" t="n">
        <x:f>K1870*S1870</x:f>
        <x:v>0</x:v>
      </x:c>
      <x:c r="U1870" s="35" t="n">
        <x:f>L1870-N1870-P1870-R1870-T1870</x:f>
        <x:v>0</x:v>
      </x:c>
      <x:c r="V1870" s="21" t="n">
        <x:f>IFERROR(U1870/L1870,0)</x:f>
        <x:v>0</x:v>
      </x:c>
    </x:row>
    <x:row r="1871">
      <x:c r="A1871" s="19" t="str">
        <x:v>SALE-01867</x:v>
      </x:c>
      <x:c r="B1871" s="34" t="n">
        <x:v>46214.5</x:v>
      </x:c>
      <x:c r="C1871" s="19" t="str">
        <x:v>周六</x:v>
      </x:c>
      <x:c r="D1871" s="19" t="str">
        <x:v>S07</x:v>
      </x:c>
      <x:c r="E1871" s="19" t="str">
        <x:v>小和山店</x:v>
      </x:c>
      <x:c r="F1871" s="19" t="str">
        <x:v>外卖</x:v>
      </x:c>
      <x:c r="G1871" s="19" t="str">
        <x:v>全日</x:v>
      </x:c>
      <x:c r="H1871" s="19" t="str">
        <x:v>D07</x:v>
      </x:c>
      <x:c r="I1871" s="19" t="str">
        <x:v>川味回锅肉</x:v>
      </x:c>
      <x:c r="J1871" s="22" t="n">
        <x:f>XLOOKUP(H1871,'菜品主数据'!$A$5:$A$24,'菜品主数据'!$D$5:$D$24,0)</x:f>
        <x:v>29</x:v>
      </x:c>
      <x:c r="K1871" s="31" t="n">
        <x:v>1</x:v>
      </x:c>
      <x:c r="L1871" s="35" t="n">
        <x:f>J1871*K1871</x:f>
        <x:v>29</x:v>
      </x:c>
      <x:c r="M1871" s="36" t="n">
        <x:v>0.08</x:v>
      </x:c>
      <x:c r="N1871" s="35" t="n">
        <x:f>L1871*M1871</x:f>
        <x:v>2.32</x:v>
      </x:c>
      <x:c r="O1871" s="37" t="n">
        <x:v>0.18</x:v>
      </x:c>
      <x:c r="P1871" s="35" t="n">
        <x:f>L1871*O1871</x:f>
        <x:v>5.22</x:v>
      </x:c>
      <x:c r="Q1871" s="35" t="n">
        <x:v>1.2</x:v>
      </x:c>
      <x:c r="R1871" s="35" t="n">
        <x:f>K1871*Q1871</x:f>
        <x:v>1.2</x:v>
      </x:c>
      <x:c r="S1871" s="35" t="n">
        <x:f>XLOOKUP(H1871,'菜品主数据'!$A$5:$A$24,'菜品主数据'!$G$5:$G$24,0)</x:f>
        <x:v>10.231000000000002</x:v>
      </x:c>
      <x:c r="T1871" s="35" t="n">
        <x:f>K1871*S1871</x:f>
        <x:v>10.231000000000002</x:v>
      </x:c>
      <x:c r="U1871" s="35" t="n">
        <x:f>L1871-N1871-P1871-R1871-T1871</x:f>
        <x:v>10.029</x:v>
      </x:c>
      <x:c r="V1871" s="21" t="n">
        <x:f>IFERROR(U1871/L1871,0)</x:f>
        <x:v>0.3458275862068966</x:v>
      </x:c>
    </x:row>
    <x:row r="1872">
      <x:c r="A1872" s="19" t="str">
        <x:v>SALE-01868</x:v>
      </x:c>
      <x:c r="B1872" s="34" t="n">
        <x:v>46214.5</x:v>
      </x:c>
      <x:c r="C1872" s="19" t="str">
        <x:v>周六</x:v>
      </x:c>
      <x:c r="D1872" s="19" t="str">
        <x:v>S07</x:v>
      </x:c>
      <x:c r="E1872" s="19" t="str">
        <x:v>小和山店</x:v>
      </x:c>
      <x:c r="F1872" s="19" t="str">
        <x:v>外卖</x:v>
      </x:c>
      <x:c r="G1872" s="19" t="str">
        <x:v>全日</x:v>
      </x:c>
      <x:c r="H1872" s="19" t="str">
        <x:v>D08</x:v>
      </x:c>
      <x:c r="I1872" s="19" t="str">
        <x:v>生炒清远鸡</x:v>
      </x:c>
      <x:c r="J1872" s="22" t="n">
        <x:f>XLOOKUP(H1872,'菜品主数据'!$A$5:$A$24,'菜品主数据'!$D$5:$D$24,0)</x:f>
        <x:v>36</x:v>
      </x:c>
      <x:c r="K1872" s="31" t="n">
        <x:v>0</x:v>
      </x:c>
      <x:c r="L1872" s="35" t="n">
        <x:f>J1872*K1872</x:f>
        <x:v>0</x:v>
      </x:c>
      <x:c r="M1872" s="36" t="n">
        <x:v>0.08</x:v>
      </x:c>
      <x:c r="N1872" s="35" t="n">
        <x:f>L1872*M1872</x:f>
        <x:v>0</x:v>
      </x:c>
      <x:c r="O1872" s="37" t="n">
        <x:v>0.18</x:v>
      </x:c>
      <x:c r="P1872" s="35" t="n">
        <x:f>L1872*O1872</x:f>
        <x:v>0</x:v>
      </x:c>
      <x:c r="Q1872" s="35" t="n">
        <x:v>1.2</x:v>
      </x:c>
      <x:c r="R1872" s="35" t="n">
        <x:f>K1872*Q1872</x:f>
        <x:v>0</x:v>
      </x:c>
      <x:c r="S1872" s="35" t="n">
        <x:f>XLOOKUP(H1872,'菜品主数据'!$A$5:$A$24,'菜品主数据'!$G$5:$G$24,0)</x:f>
        <x:v>13.48</x:v>
      </x:c>
      <x:c r="T1872" s="35" t="n">
        <x:f>K1872*S1872</x:f>
        <x:v>0</x:v>
      </x:c>
      <x:c r="U1872" s="35" t="n">
        <x:f>L1872-N1872-P1872-R1872-T1872</x:f>
        <x:v>0</x:v>
      </x:c>
      <x:c r="V1872" s="21" t="n">
        <x:f>IFERROR(U1872/L1872,0)</x:f>
        <x:v>0</x:v>
      </x:c>
    </x:row>
    <x:row r="1873">
      <x:c r="A1873" s="19" t="str">
        <x:v>SALE-01869</x:v>
      </x:c>
      <x:c r="B1873" s="34" t="n">
        <x:v>46214.5</x:v>
      </x:c>
      <x:c r="C1873" s="19" t="str">
        <x:v>周六</x:v>
      </x:c>
      <x:c r="D1873" s="19" t="str">
        <x:v>S07</x:v>
      </x:c>
      <x:c r="E1873" s="19" t="str">
        <x:v>小和山店</x:v>
      </x:c>
      <x:c r="F1873" s="19" t="str">
        <x:v>外卖</x:v>
      </x:c>
      <x:c r="G1873" s="19" t="str">
        <x:v>全日</x:v>
      </x:c>
      <x:c r="H1873" s="19" t="str">
        <x:v>D09</x:v>
      </x:c>
      <x:c r="I1873" s="19" t="str">
        <x:v>炒豆干</x:v>
      </x:c>
      <x:c r="J1873" s="22" t="n">
        <x:f>XLOOKUP(H1873,'菜品主数据'!$A$5:$A$24,'菜品主数据'!$D$5:$D$24,0)</x:f>
        <x:v>18</x:v>
      </x:c>
      <x:c r="K1873" s="31" t="n">
        <x:v>2</x:v>
      </x:c>
      <x:c r="L1873" s="35" t="n">
        <x:f>J1873*K1873</x:f>
        <x:v>36</x:v>
      </x:c>
      <x:c r="M1873" s="36" t="n">
        <x:v>0.08</x:v>
      </x:c>
      <x:c r="N1873" s="35" t="n">
        <x:f>L1873*M1873</x:f>
        <x:v>2.88</x:v>
      </x:c>
      <x:c r="O1873" s="37" t="n">
        <x:v>0.18</x:v>
      </x:c>
      <x:c r="P1873" s="35" t="n">
        <x:f>L1873*O1873</x:f>
        <x:v>6.4799999999999995</x:v>
      </x:c>
      <x:c r="Q1873" s="35" t="n">
        <x:v>1.2</x:v>
      </x:c>
      <x:c r="R1873" s="35" t="n">
        <x:f>K1873*Q1873</x:f>
        <x:v>2.4</x:v>
      </x:c>
      <x:c r="S1873" s="35" t="n">
        <x:f>XLOOKUP(H1873,'菜品主数据'!$A$5:$A$24,'菜品主数据'!$G$5:$G$24,0)</x:f>
        <x:v>6.613999999999999</x:v>
      </x:c>
      <x:c r="T1873" s="35" t="n">
        <x:f>K1873*S1873</x:f>
        <x:v>13.227999999999998</x:v>
      </x:c>
      <x:c r="U1873" s="35" t="n">
        <x:f>L1873-N1873-P1873-R1873-T1873</x:f>
        <x:v>11.012</x:v>
      </x:c>
      <x:c r="V1873" s="21" t="n">
        <x:f>IFERROR(U1873/L1873,0)</x:f>
        <x:v>0.3058888888888889</x:v>
      </x:c>
    </x:row>
    <x:row r="1874">
      <x:c r="A1874" s="19" t="str">
        <x:v>SALE-01870</x:v>
      </x:c>
      <x:c r="B1874" s="34" t="n">
        <x:v>46214.5</x:v>
      </x:c>
      <x:c r="C1874" s="19" t="str">
        <x:v>周六</x:v>
      </x:c>
      <x:c r="D1874" s="19" t="str">
        <x:v>S07</x:v>
      </x:c>
      <x:c r="E1874" s="19" t="str">
        <x:v>小和山店</x:v>
      </x:c>
      <x:c r="F1874" s="19" t="str">
        <x:v>外卖</x:v>
      </x:c>
      <x:c r="G1874" s="19" t="str">
        <x:v>全日</x:v>
      </x:c>
      <x:c r="H1874" s="19" t="str">
        <x:v>D10</x:v>
      </x:c>
      <x:c r="I1874" s="19" t="str">
        <x:v>农家一碗香</x:v>
      </x:c>
      <x:c r="J1874" s="22" t="n">
        <x:f>XLOOKUP(H1874,'菜品主数据'!$A$5:$A$24,'菜品主数据'!$D$5:$D$24,0)</x:f>
        <x:v>22.9</x:v>
      </x:c>
      <x:c r="K1874" s="31" t="n">
        <x:v>1</x:v>
      </x:c>
      <x:c r="L1874" s="35" t="n">
        <x:f>J1874*K1874</x:f>
        <x:v>22.9</x:v>
      </x:c>
      <x:c r="M1874" s="36" t="n">
        <x:v>0.08</x:v>
      </x:c>
      <x:c r="N1874" s="35" t="n">
        <x:f>L1874*M1874</x:f>
        <x:v>1.8319999999999999</x:v>
      </x:c>
      <x:c r="O1874" s="37" t="n">
        <x:v>0.18</x:v>
      </x:c>
      <x:c r="P1874" s="35" t="n">
        <x:f>L1874*O1874</x:f>
        <x:v>4.122</x:v>
      </x:c>
      <x:c r="Q1874" s="35" t="n">
        <x:v>1.2</x:v>
      </x:c>
      <x:c r="R1874" s="35" t="n">
        <x:f>K1874*Q1874</x:f>
        <x:v>1.2</x:v>
      </x:c>
      <x:c r="S1874" s="35" t="n">
        <x:f>XLOOKUP(H1874,'菜品主数据'!$A$5:$A$24,'菜品主数据'!$G$5:$G$24,0)</x:f>
        <x:v>9.770200000000003</x:v>
      </x:c>
      <x:c r="T1874" s="35" t="n">
        <x:f>K1874*S1874</x:f>
        <x:v>9.770200000000003</x:v>
      </x:c>
      <x:c r="U1874" s="35" t="n">
        <x:f>L1874-N1874-P1874-R1874-T1874</x:f>
        <x:v>5.975799999999996</x:v>
      </x:c>
      <x:c r="V1874" s="21" t="n">
        <x:f>IFERROR(U1874/L1874,0)</x:f>
        <x:v>0.260951965065502</x:v>
      </x:c>
    </x:row>
    <x:row r="1875">
      <x:c r="A1875" s="19" t="str">
        <x:v>SALE-01871</x:v>
      </x:c>
      <x:c r="B1875" s="34" t="n">
        <x:v>46214.5</x:v>
      </x:c>
      <x:c r="C1875" s="19" t="str">
        <x:v>周六</x:v>
      </x:c>
      <x:c r="D1875" s="19" t="str">
        <x:v>S07</x:v>
      </x:c>
      <x:c r="E1875" s="19" t="str">
        <x:v>小和山店</x:v>
      </x:c>
      <x:c r="F1875" s="19" t="str">
        <x:v>外卖</x:v>
      </x:c>
      <x:c r="G1875" s="19" t="str">
        <x:v>全日</x:v>
      </x:c>
      <x:c r="H1875" s="19" t="str">
        <x:v>D11</x:v>
      </x:c>
      <x:c r="I1875" s="19" t="str">
        <x:v>香辣爆肥肠</x:v>
      </x:c>
      <x:c r="J1875" s="22" t="n">
        <x:f>XLOOKUP(H1875,'菜品主数据'!$A$5:$A$24,'菜品主数据'!$D$5:$D$24,0)</x:f>
        <x:v>39</x:v>
      </x:c>
      <x:c r="K1875" s="31" t="n">
        <x:v>0</x:v>
      </x:c>
      <x:c r="L1875" s="35" t="n">
        <x:f>J1875*K1875</x:f>
        <x:v>0</x:v>
      </x:c>
      <x:c r="M1875" s="36" t="n">
        <x:v>0.08</x:v>
      </x:c>
      <x:c r="N1875" s="35" t="n">
        <x:f>L1875*M1875</x:f>
        <x:v>0</x:v>
      </x:c>
      <x:c r="O1875" s="37" t="n">
        <x:v>0.18</x:v>
      </x:c>
      <x:c r="P1875" s="35" t="n">
        <x:f>L1875*O1875</x:f>
        <x:v>0</x:v>
      </x:c>
      <x:c r="Q1875" s="35" t="n">
        <x:v>1.2</x:v>
      </x:c>
      <x:c r="R1875" s="35" t="n">
        <x:f>K1875*Q1875</x:f>
        <x:v>0</x:v>
      </x:c>
      <x:c r="S1875" s="35" t="n">
        <x:f>XLOOKUP(H1875,'菜品主数据'!$A$5:$A$24,'菜品主数据'!$G$5:$G$24,0)</x:f>
        <x:v>10.397</x:v>
      </x:c>
      <x:c r="T1875" s="35" t="n">
        <x:f>K1875*S1875</x:f>
        <x:v>0</x:v>
      </x:c>
      <x:c r="U1875" s="35" t="n">
        <x:f>L1875-N1875-P1875-R1875-T1875</x:f>
        <x:v>0</x:v>
      </x:c>
      <x:c r="V1875" s="21" t="n">
        <x:f>IFERROR(U1875/L1875,0)</x:f>
        <x:v>0</x:v>
      </x:c>
    </x:row>
    <x:row r="1876">
      <x:c r="A1876" s="19" t="str">
        <x:v>SALE-01872</x:v>
      </x:c>
      <x:c r="B1876" s="34" t="n">
        <x:v>46214.5</x:v>
      </x:c>
      <x:c r="C1876" s="19" t="str">
        <x:v>周六</x:v>
      </x:c>
      <x:c r="D1876" s="19" t="str">
        <x:v>S07</x:v>
      </x:c>
      <x:c r="E1876" s="19" t="str">
        <x:v>小和山店</x:v>
      </x:c>
      <x:c r="F1876" s="19" t="str">
        <x:v>外卖</x:v>
      </x:c>
      <x:c r="G1876" s="19" t="str">
        <x:v>全日</x:v>
      </x:c>
      <x:c r="H1876" s="19" t="str">
        <x:v>D12</x:v>
      </x:c>
      <x:c r="I1876" s="19" t="str">
        <x:v>清蒸鲈鱼</x:v>
      </x:c>
      <x:c r="J1876" s="22" t="n">
        <x:f>XLOOKUP(H1876,'菜品主数据'!$A$5:$A$24,'菜品主数据'!$D$5:$D$24,0)</x:f>
        <x:v>39</x:v>
      </x:c>
      <x:c r="K1876" s="31" t="n">
        <x:v>0</x:v>
      </x:c>
      <x:c r="L1876" s="35" t="n">
        <x:f>J1876*K1876</x:f>
        <x:v>0</x:v>
      </x:c>
      <x:c r="M1876" s="36" t="n">
        <x:v>0.08</x:v>
      </x:c>
      <x:c r="N1876" s="35" t="n">
        <x:f>L1876*M1876</x:f>
        <x:v>0</x:v>
      </x:c>
      <x:c r="O1876" s="37" t="n">
        <x:v>0.18</x:v>
      </x:c>
      <x:c r="P1876" s="35" t="n">
        <x:f>L1876*O1876</x:f>
        <x:v>0</x:v>
      </x:c>
      <x:c r="Q1876" s="35" t="n">
        <x:v>1.2</x:v>
      </x:c>
      <x:c r="R1876" s="35" t="n">
        <x:f>K1876*Q1876</x:f>
        <x:v>0</x:v>
      </x:c>
      <x:c r="S1876" s="35" t="n">
        <x:f>XLOOKUP(H1876,'菜品主数据'!$A$5:$A$24,'菜品主数据'!$G$5:$G$24,0)</x:f>
        <x:v>18.874</x:v>
      </x:c>
      <x:c r="T1876" s="35" t="n">
        <x:f>K1876*S1876</x:f>
        <x:v>0</x:v>
      </x:c>
      <x:c r="U1876" s="35" t="n">
        <x:f>L1876-N1876-P1876-R1876-T1876</x:f>
        <x:v>0</x:v>
      </x:c>
      <x:c r="V1876" s="21" t="n">
        <x:f>IFERROR(U1876/L1876,0)</x:f>
        <x:v>0</x:v>
      </x:c>
    </x:row>
    <x:row r="1877">
      <x:c r="A1877" s="19" t="str">
        <x:v>SALE-01873</x:v>
      </x:c>
      <x:c r="B1877" s="34" t="n">
        <x:v>46214.5</x:v>
      </x:c>
      <x:c r="C1877" s="19" t="str">
        <x:v>周六</x:v>
      </x:c>
      <x:c r="D1877" s="19" t="str">
        <x:v>S07</x:v>
      </x:c>
      <x:c r="E1877" s="19" t="str">
        <x:v>小和山店</x:v>
      </x:c>
      <x:c r="F1877" s="19" t="str">
        <x:v>外卖</x:v>
      </x:c>
      <x:c r="G1877" s="19" t="str">
        <x:v>全日</x:v>
      </x:c>
      <x:c r="H1877" s="19" t="str">
        <x:v>D13</x:v>
      </x:c>
      <x:c r="I1877" s="19" t="str">
        <x:v>外婆菜炒蛋</x:v>
      </x:c>
      <x:c r="J1877" s="22" t="n">
        <x:f>XLOOKUP(H1877,'菜品主数据'!$A$5:$A$24,'菜品主数据'!$D$5:$D$24,0)</x:f>
        <x:v>18</x:v>
      </x:c>
      <x:c r="K1877" s="31" t="n">
        <x:v>1</x:v>
      </x:c>
      <x:c r="L1877" s="35" t="n">
        <x:f>J1877*K1877</x:f>
        <x:v>18</x:v>
      </x:c>
      <x:c r="M1877" s="36" t="n">
        <x:v>0.08</x:v>
      </x:c>
      <x:c r="N1877" s="35" t="n">
        <x:f>L1877*M1877</x:f>
        <x:v>1.44</x:v>
      </x:c>
      <x:c r="O1877" s="37" t="n">
        <x:v>0.18</x:v>
      </x:c>
      <x:c r="P1877" s="35" t="n">
        <x:f>L1877*O1877</x:f>
        <x:v>3.2399999999999998</x:v>
      </x:c>
      <x:c r="Q1877" s="35" t="n">
        <x:v>1.2</x:v>
      </x:c>
      <x:c r="R1877" s="35" t="n">
        <x:f>K1877*Q1877</x:f>
        <x:v>1.2</x:v>
      </x:c>
      <x:c r="S1877" s="35" t="n">
        <x:f>XLOOKUP(H1877,'菜品主数据'!$A$5:$A$24,'菜品主数据'!$G$5:$G$24,0)</x:f>
        <x:v>5.403999999999999</x:v>
      </x:c>
      <x:c r="T1877" s="35" t="n">
        <x:f>K1877*S1877</x:f>
        <x:v>5.403999999999999</x:v>
      </x:c>
      <x:c r="U1877" s="35" t="n">
        <x:f>L1877-N1877-P1877-R1877-T1877</x:f>
        <x:v>6.716</x:v>
      </x:c>
      <x:c r="V1877" s="21" t="n">
        <x:f>IFERROR(U1877/L1877,0)</x:f>
        <x:v>0.3731111111111111</x:v>
      </x:c>
    </x:row>
    <x:row r="1878">
      <x:c r="A1878" s="19" t="str">
        <x:v>SALE-01874</x:v>
      </x:c>
      <x:c r="B1878" s="34" t="n">
        <x:v>46214.5</x:v>
      </x:c>
      <x:c r="C1878" s="19" t="str">
        <x:v>周六</x:v>
      </x:c>
      <x:c r="D1878" s="19" t="str">
        <x:v>S07</x:v>
      </x:c>
      <x:c r="E1878" s="19" t="str">
        <x:v>小和山店</x:v>
      </x:c>
      <x:c r="F1878" s="19" t="str">
        <x:v>外卖</x:v>
      </x:c>
      <x:c r="G1878" s="19" t="str">
        <x:v>全日</x:v>
      </x:c>
      <x:c r="H1878" s="19" t="str">
        <x:v>D14</x:v>
      </x:c>
      <x:c r="I1878" s="19" t="str">
        <x:v>酸辣鸡杂</x:v>
      </x:c>
      <x:c r="J1878" s="22" t="n">
        <x:f>XLOOKUP(H1878,'菜品主数据'!$A$5:$A$24,'菜品主数据'!$D$5:$D$24,0)</x:f>
        <x:v>28</x:v>
      </x:c>
      <x:c r="K1878" s="31" t="n">
        <x:v>0</x:v>
      </x:c>
      <x:c r="L1878" s="35" t="n">
        <x:f>J1878*K1878</x:f>
        <x:v>0</x:v>
      </x:c>
      <x:c r="M1878" s="36" t="n">
        <x:v>0.08</x:v>
      </x:c>
      <x:c r="N1878" s="35" t="n">
        <x:f>L1878*M1878</x:f>
        <x:v>0</x:v>
      </x:c>
      <x:c r="O1878" s="37" t="n">
        <x:v>0.18</x:v>
      </x:c>
      <x:c r="P1878" s="35" t="n">
        <x:f>L1878*O1878</x:f>
        <x:v>0</x:v>
      </x:c>
      <x:c r="Q1878" s="35" t="n">
        <x:v>1.2</x:v>
      </x:c>
      <x:c r="R1878" s="35" t="n">
        <x:f>K1878*Q1878</x:f>
        <x:v>0</x:v>
      </x:c>
      <x:c r="S1878" s="35" t="n">
        <x:f>XLOOKUP(H1878,'菜品主数据'!$A$5:$A$24,'菜品主数据'!$G$5:$G$24,0)</x:f>
        <x:v>8.315000000000001</x:v>
      </x:c>
      <x:c r="T1878" s="35" t="n">
        <x:f>K1878*S1878</x:f>
        <x:v>0</x:v>
      </x:c>
      <x:c r="U1878" s="35" t="n">
        <x:f>L1878-N1878-P1878-R1878-T1878</x:f>
        <x:v>0</x:v>
      </x:c>
      <x:c r="V1878" s="21" t="n">
        <x:f>IFERROR(U1878/L1878,0)</x:f>
        <x:v>0</x:v>
      </x:c>
    </x:row>
    <x:row r="1879">
      <x:c r="A1879" s="19" t="str">
        <x:v>SALE-01875</x:v>
      </x:c>
      <x:c r="B1879" s="34" t="n">
        <x:v>46214.5</x:v>
      </x:c>
      <x:c r="C1879" s="19" t="str">
        <x:v>周六</x:v>
      </x:c>
      <x:c r="D1879" s="19" t="str">
        <x:v>S07</x:v>
      </x:c>
      <x:c r="E1879" s="19" t="str">
        <x:v>小和山店</x:v>
      </x:c>
      <x:c r="F1879" s="19" t="str">
        <x:v>外卖</x:v>
      </x:c>
      <x:c r="G1879" s="19" t="str">
        <x:v>全日</x:v>
      </x:c>
      <x:c r="H1879" s="19" t="str">
        <x:v>D15</x:v>
      </x:c>
      <x:c r="I1879" s="19" t="str">
        <x:v>湘西土匪猪肝</x:v>
      </x:c>
      <x:c r="J1879" s="22" t="n">
        <x:f>XLOOKUP(H1879,'菜品主数据'!$A$5:$A$24,'菜品主数据'!$D$5:$D$24,0)</x:f>
        <x:v>26</x:v>
      </x:c>
      <x:c r="K1879" s="31" t="n">
        <x:v>0</x:v>
      </x:c>
      <x:c r="L1879" s="35" t="n">
        <x:f>J1879*K1879</x:f>
        <x:v>0</x:v>
      </x:c>
      <x:c r="M1879" s="36" t="n">
        <x:v>0.08</x:v>
      </x:c>
      <x:c r="N1879" s="35" t="n">
        <x:f>L1879*M1879</x:f>
        <x:v>0</x:v>
      </x:c>
      <x:c r="O1879" s="37" t="n">
        <x:v>0.18</x:v>
      </x:c>
      <x:c r="P1879" s="35" t="n">
        <x:f>L1879*O1879</x:f>
        <x:v>0</x:v>
      </x:c>
      <x:c r="Q1879" s="35" t="n">
        <x:v>1.2</x:v>
      </x:c>
      <x:c r="R1879" s="35" t="n">
        <x:f>K1879*Q1879</x:f>
        <x:v>0</x:v>
      </x:c>
      <x:c r="S1879" s="35" t="n">
        <x:f>XLOOKUP(H1879,'菜品主数据'!$A$5:$A$24,'菜品主数据'!$G$5:$G$24,0)</x:f>
        <x:v>6.3759999999999994</x:v>
      </x:c>
      <x:c r="T1879" s="35" t="n">
        <x:f>K1879*S1879</x:f>
        <x:v>0</x:v>
      </x:c>
      <x:c r="U1879" s="35" t="n">
        <x:f>L1879-N1879-P1879-R1879-T1879</x:f>
        <x:v>0</x:v>
      </x:c>
      <x:c r="V1879" s="21" t="n">
        <x:f>IFERROR(U1879/L1879,0)</x:f>
        <x:v>0</x:v>
      </x:c>
    </x:row>
    <x:row r="1880">
      <x:c r="A1880" s="19" t="str">
        <x:v>SALE-01876</x:v>
      </x:c>
      <x:c r="B1880" s="34" t="n">
        <x:v>46214.5</x:v>
      </x:c>
      <x:c r="C1880" s="19" t="str">
        <x:v>周六</x:v>
      </x:c>
      <x:c r="D1880" s="19" t="str">
        <x:v>S07</x:v>
      </x:c>
      <x:c r="E1880" s="19" t="str">
        <x:v>小和山店</x:v>
      </x:c>
      <x:c r="F1880" s="19" t="str">
        <x:v>外卖</x:v>
      </x:c>
      <x:c r="G1880" s="19" t="str">
        <x:v>全日</x:v>
      </x:c>
      <x:c r="H1880" s="19" t="str">
        <x:v>D16</x:v>
      </x:c>
      <x:c r="I1880" s="19" t="str">
        <x:v>小豆角炒五花</x:v>
      </x:c>
      <x:c r="J1880" s="22" t="n">
        <x:f>XLOOKUP(H1880,'菜品主数据'!$A$5:$A$24,'菜品主数据'!$D$5:$D$24,0)</x:f>
        <x:v>25</x:v>
      </x:c>
      <x:c r="K1880" s="31" t="n">
        <x:v>0</x:v>
      </x:c>
      <x:c r="L1880" s="35" t="n">
        <x:f>J1880*K1880</x:f>
        <x:v>0</x:v>
      </x:c>
      <x:c r="M1880" s="36" t="n">
        <x:v>0.08</x:v>
      </x:c>
      <x:c r="N1880" s="35" t="n">
        <x:f>L1880*M1880</x:f>
        <x:v>0</x:v>
      </x:c>
      <x:c r="O1880" s="37" t="n">
        <x:v>0.18</x:v>
      </x:c>
      <x:c r="P1880" s="35" t="n">
        <x:f>L1880*O1880</x:f>
        <x:v>0</x:v>
      </x:c>
      <x:c r="Q1880" s="35" t="n">
        <x:v>1.2</x:v>
      </x:c>
      <x:c r="R1880" s="35" t="n">
        <x:f>K1880*Q1880</x:f>
        <x:v>0</x:v>
      </x:c>
      <x:c r="S1880" s="35" t="n">
        <x:f>XLOOKUP(H1880,'菜品主数据'!$A$5:$A$24,'菜品主数据'!$G$5:$G$24,0)</x:f>
        <x:v>8.184</x:v>
      </x:c>
      <x:c r="T1880" s="35" t="n">
        <x:f>K1880*S1880</x:f>
        <x:v>0</x:v>
      </x:c>
      <x:c r="U1880" s="35" t="n">
        <x:f>L1880-N1880-P1880-R1880-T1880</x:f>
        <x:v>0</x:v>
      </x:c>
      <x:c r="V1880" s="21" t="n">
        <x:f>IFERROR(U1880/L1880,0)</x:f>
        <x:v>0</x:v>
      </x:c>
    </x:row>
    <x:row r="1881">
      <x:c r="A1881" s="19" t="str">
        <x:v>SALE-01877</x:v>
      </x:c>
      <x:c r="B1881" s="34" t="n">
        <x:v>46214.5</x:v>
      </x:c>
      <x:c r="C1881" s="19" t="str">
        <x:v>周六</x:v>
      </x:c>
      <x:c r="D1881" s="19" t="str">
        <x:v>S07</x:v>
      </x:c>
      <x:c r="E1881" s="19" t="str">
        <x:v>小和山店</x:v>
      </x:c>
      <x:c r="F1881" s="19" t="str">
        <x:v>外卖</x:v>
      </x:c>
      <x:c r="G1881" s="19" t="str">
        <x:v>全日</x:v>
      </x:c>
      <x:c r="H1881" s="19" t="str">
        <x:v>D17</x:v>
      </x:c>
      <x:c r="I1881" s="19" t="str">
        <x:v>蒜蓉粉丝虾</x:v>
      </x:c>
      <x:c r="J1881" s="22" t="n">
        <x:f>XLOOKUP(H1881,'菜品主数据'!$A$5:$A$24,'菜品主数据'!$D$5:$D$24,0)</x:f>
        <x:v>36</x:v>
      </x:c>
      <x:c r="K1881" s="31" t="n">
        <x:v>0</x:v>
      </x:c>
      <x:c r="L1881" s="35" t="n">
        <x:f>J1881*K1881</x:f>
        <x:v>0</x:v>
      </x:c>
      <x:c r="M1881" s="36" t="n">
        <x:v>0.08</x:v>
      </x:c>
      <x:c r="N1881" s="35" t="n">
        <x:f>L1881*M1881</x:f>
        <x:v>0</x:v>
      </x:c>
      <x:c r="O1881" s="37" t="n">
        <x:v>0.18</x:v>
      </x:c>
      <x:c r="P1881" s="35" t="n">
        <x:f>L1881*O1881</x:f>
        <x:v>0</x:v>
      </x:c>
      <x:c r="Q1881" s="35" t="n">
        <x:v>1.2</x:v>
      </x:c>
      <x:c r="R1881" s="35" t="n">
        <x:f>K1881*Q1881</x:f>
        <x:v>0</x:v>
      </x:c>
      <x:c r="S1881" s="35" t="n">
        <x:f>XLOOKUP(H1881,'菜品主数据'!$A$5:$A$24,'菜品主数据'!$G$5:$G$24,0)</x:f>
        <x:v>13.594</x:v>
      </x:c>
      <x:c r="T1881" s="35" t="n">
        <x:f>K1881*S1881</x:f>
        <x:v>0</x:v>
      </x:c>
      <x:c r="U1881" s="35" t="n">
        <x:f>L1881-N1881-P1881-R1881-T1881</x:f>
        <x:v>0</x:v>
      </x:c>
      <x:c r="V1881" s="21" t="n">
        <x:f>IFERROR(U1881/L1881,0)</x:f>
        <x:v>0</x:v>
      </x:c>
    </x:row>
    <x:row r="1882">
      <x:c r="A1882" s="19" t="str">
        <x:v>SALE-01878</x:v>
      </x:c>
      <x:c r="B1882" s="34" t="n">
        <x:v>46214.5</x:v>
      </x:c>
      <x:c r="C1882" s="19" t="str">
        <x:v>周六</x:v>
      </x:c>
      <x:c r="D1882" s="19" t="str">
        <x:v>S07</x:v>
      </x:c>
      <x:c r="E1882" s="19" t="str">
        <x:v>小和山店</x:v>
      </x:c>
      <x:c r="F1882" s="19" t="str">
        <x:v>外卖</x:v>
      </x:c>
      <x:c r="G1882" s="19" t="str">
        <x:v>全日</x:v>
      </x:c>
      <x:c r="H1882" s="19" t="str">
        <x:v>D18</x:v>
      </x:c>
      <x:c r="I1882" s="19" t="str">
        <x:v>青椒炒油麦菜</x:v>
      </x:c>
      <x:c r="J1882" s="22" t="n">
        <x:f>XLOOKUP(H1882,'菜品主数据'!$A$5:$A$24,'菜品主数据'!$D$5:$D$24,0)</x:f>
        <x:v>18</x:v>
      </x:c>
      <x:c r="K1882" s="31" t="n">
        <x:v>0</x:v>
      </x:c>
      <x:c r="L1882" s="35" t="n">
        <x:f>J1882*K1882</x:f>
        <x:v>0</x:v>
      </x:c>
      <x:c r="M1882" s="36" t="n">
        <x:v>0.08</x:v>
      </x:c>
      <x:c r="N1882" s="35" t="n">
        <x:f>L1882*M1882</x:f>
        <x:v>0</x:v>
      </x:c>
      <x:c r="O1882" s="37" t="n">
        <x:v>0.18</x:v>
      </x:c>
      <x:c r="P1882" s="35" t="n">
        <x:f>L1882*O1882</x:f>
        <x:v>0</x:v>
      </x:c>
      <x:c r="Q1882" s="35" t="n">
        <x:v>1.2</x:v>
      </x:c>
      <x:c r="R1882" s="35" t="n">
        <x:f>K1882*Q1882</x:f>
        <x:v>0</x:v>
      </x:c>
      <x:c r="S1882" s="35" t="n">
        <x:f>XLOOKUP(H1882,'菜品主数据'!$A$5:$A$24,'菜品主数据'!$G$5:$G$24,0)</x:f>
        <x:v>3.1759999999999993</x:v>
      </x:c>
      <x:c r="T1882" s="35" t="n">
        <x:f>K1882*S1882</x:f>
        <x:v>0</x:v>
      </x:c>
      <x:c r="U1882" s="35" t="n">
        <x:f>L1882-N1882-P1882-R1882-T1882</x:f>
        <x:v>0</x:v>
      </x:c>
      <x:c r="V1882" s="21" t="n">
        <x:f>IFERROR(U1882/L1882,0)</x:f>
        <x:v>0</x:v>
      </x:c>
    </x:row>
    <x:row r="1883">
      <x:c r="A1883" s="19" t="str">
        <x:v>SALE-01879</x:v>
      </x:c>
      <x:c r="B1883" s="34" t="n">
        <x:v>46214.5</x:v>
      </x:c>
      <x:c r="C1883" s="19" t="str">
        <x:v>周六</x:v>
      </x:c>
      <x:c r="D1883" s="19" t="str">
        <x:v>S07</x:v>
      </x:c>
      <x:c r="E1883" s="19" t="str">
        <x:v>小和山店</x:v>
      </x:c>
      <x:c r="F1883" s="19" t="str">
        <x:v>外卖</x:v>
      </x:c>
      <x:c r="G1883" s="19" t="str">
        <x:v>全日</x:v>
      </x:c>
      <x:c r="H1883" s="19" t="str">
        <x:v>D19</x:v>
      </x:c>
      <x:c r="I1883" s="19" t="str">
        <x:v>酸萝卜炒鸡杂</x:v>
      </x:c>
      <x:c r="J1883" s="22" t="n">
        <x:f>XLOOKUP(H1883,'菜品主数据'!$A$5:$A$24,'菜品主数据'!$D$5:$D$24,0)</x:f>
        <x:v>25</x:v>
      </x:c>
      <x:c r="K1883" s="31" t="n">
        <x:v>0</x:v>
      </x:c>
      <x:c r="L1883" s="35" t="n">
        <x:f>J1883*K1883</x:f>
        <x:v>0</x:v>
      </x:c>
      <x:c r="M1883" s="36" t="n">
        <x:v>0.08</x:v>
      </x:c>
      <x:c r="N1883" s="35" t="n">
        <x:f>L1883*M1883</x:f>
        <x:v>0</x:v>
      </x:c>
      <x:c r="O1883" s="37" t="n">
        <x:v>0.18</x:v>
      </x:c>
      <x:c r="P1883" s="35" t="n">
        <x:f>L1883*O1883</x:f>
        <x:v>0</x:v>
      </x:c>
      <x:c r="Q1883" s="35" t="n">
        <x:v>1.2</x:v>
      </x:c>
      <x:c r="R1883" s="35" t="n">
        <x:f>K1883*Q1883</x:f>
        <x:v>0</x:v>
      </x:c>
      <x:c r="S1883" s="35" t="n">
        <x:f>XLOOKUP(H1883,'菜品主数据'!$A$5:$A$24,'菜品主数据'!$G$5:$G$24,0)</x:f>
        <x:v>7.9399999999999995</x:v>
      </x:c>
      <x:c r="T1883" s="35" t="n">
        <x:f>K1883*S1883</x:f>
        <x:v>0</x:v>
      </x:c>
      <x:c r="U1883" s="35" t="n">
        <x:f>L1883-N1883-P1883-R1883-T1883</x:f>
        <x:v>0</x:v>
      </x:c>
      <x:c r="V1883" s="21" t="n">
        <x:f>IFERROR(U1883/L1883,0)</x:f>
        <x:v>0</x:v>
      </x:c>
    </x:row>
    <x:row r="1884">
      <x:c r="A1884" s="19" t="str">
        <x:v>SALE-01880</x:v>
      </x:c>
      <x:c r="B1884" s="34" t="n">
        <x:v>46214.5</x:v>
      </x:c>
      <x:c r="C1884" s="19" t="str">
        <x:v>周六</x:v>
      </x:c>
      <x:c r="D1884" s="19" t="str">
        <x:v>S07</x:v>
      </x:c>
      <x:c r="E1884" s="19" t="str">
        <x:v>小和山店</x:v>
      </x:c>
      <x:c r="F1884" s="19" t="str">
        <x:v>外卖</x:v>
      </x:c>
      <x:c r="G1884" s="19" t="str">
        <x:v>全日</x:v>
      </x:c>
      <x:c r="H1884" s="19" t="str">
        <x:v>D20</x:v>
      </x:c>
      <x:c r="I1884" s="19" t="str">
        <x:v>雪菜肉末青豆</x:v>
      </x:c>
      <x:c r="J1884" s="22" t="n">
        <x:f>XLOOKUP(H1884,'菜品主数据'!$A$5:$A$24,'菜品主数据'!$D$5:$D$24,0)</x:f>
        <x:v>18</x:v>
      </x:c>
      <x:c r="K1884" s="31" t="n">
        <x:v>0</x:v>
      </x:c>
      <x:c r="L1884" s="35" t="n">
        <x:f>J1884*K1884</x:f>
        <x:v>0</x:v>
      </x:c>
      <x:c r="M1884" s="36" t="n">
        <x:v>0.08</x:v>
      </x:c>
      <x:c r="N1884" s="35" t="n">
        <x:f>L1884*M1884</x:f>
        <x:v>0</x:v>
      </x:c>
      <x:c r="O1884" s="37" t="n">
        <x:v>0.18</x:v>
      </x:c>
      <x:c r="P1884" s="35" t="n">
        <x:f>L1884*O1884</x:f>
        <x:v>0</x:v>
      </x:c>
      <x:c r="Q1884" s="35" t="n">
        <x:v>1.2</x:v>
      </x:c>
      <x:c r="R1884" s="35" t="n">
        <x:f>K1884*Q1884</x:f>
        <x:v>0</x:v>
      </x:c>
      <x:c r="S1884" s="35" t="n">
        <x:f>XLOOKUP(H1884,'菜品主数据'!$A$5:$A$24,'菜品主数据'!$G$5:$G$24,0)</x:f>
        <x:v>7.303999999999999</x:v>
      </x:c>
      <x:c r="T1884" s="35" t="n">
        <x:f>K1884*S1884</x:f>
        <x:v>0</x:v>
      </x:c>
      <x:c r="U1884" s="35" t="n">
        <x:f>L1884-N1884-P1884-R1884-T1884</x:f>
        <x:v>0</x:v>
      </x:c>
      <x:c r="V1884" s="21" t="n">
        <x:f>IFERROR(U1884/L1884,0)</x:f>
        <x:v>0</x:v>
      </x:c>
    </x:row>
    <x:row r="1885">
      <x:c r="A1885" s="19" t="str">
        <x:v>SALE-01881</x:v>
      </x:c>
      <x:c r="B1885" s="34" t="n">
        <x:v>46215.5</x:v>
      </x:c>
      <x:c r="C1885" s="19" t="str">
        <x:v>周日</x:v>
      </x:c>
      <x:c r="D1885" s="19" t="str">
        <x:v>S07</x:v>
      </x:c>
      <x:c r="E1885" s="19" t="str">
        <x:v>小和山店</x:v>
      </x:c>
      <x:c r="F1885" s="19" t="str">
        <x:v>堂食</x:v>
      </x:c>
      <x:c r="G1885" s="19" t="str">
        <x:v>全日</x:v>
      </x:c>
      <x:c r="H1885" s="19" t="str">
        <x:v>D01</x:v>
      </x:c>
      <x:c r="I1885" s="19" t="str">
        <x:v>辣椒炒肉</x:v>
      </x:c>
      <x:c r="J1885" s="22" t="n">
        <x:f>XLOOKUP(H1885,'菜品主数据'!$A$5:$A$24,'菜品主数据'!$D$5:$D$24,0)</x:f>
        <x:v>29</x:v>
      </x:c>
      <x:c r="K1885" s="31" t="n">
        <x:v>32</x:v>
      </x:c>
      <x:c r="L1885" s="35" t="n">
        <x:f>J1885*K1885</x:f>
        <x:v>928</x:v>
      </x:c>
      <x:c r="M1885" s="36" t="n">
        <x:v>0</x:v>
      </x:c>
      <x:c r="N1885" s="35" t="n">
        <x:f>L1885*M1885</x:f>
        <x:v>0</x:v>
      </x:c>
      <x:c r="O1885" s="37" t="n">
        <x:v>0</x:v>
      </x:c>
      <x:c r="P1885" s="35" t="n">
        <x:f>L1885*O1885</x:f>
        <x:v>0</x:v>
      </x:c>
      <x:c r="Q1885" s="35" t="n">
        <x:v>0</x:v>
      </x:c>
      <x:c r="R1885" s="35" t="n">
        <x:f>K1885*Q1885</x:f>
        <x:v>0</x:v>
      </x:c>
      <x:c r="S1885" s="35" t="n">
        <x:f>XLOOKUP(H1885,'菜品主数据'!$A$5:$A$24,'菜品主数据'!$G$5:$G$24,0)</x:f>
        <x:v>8.634400000000001</x:v>
      </x:c>
      <x:c r="T1885" s="35" t="n">
        <x:f>K1885*S1885</x:f>
        <x:v>276.30080000000004</x:v>
      </x:c>
      <x:c r="U1885" s="35" t="n">
        <x:f>L1885-N1885-P1885-R1885-T1885</x:f>
        <x:v>651.6992</x:v>
      </x:c>
      <x:c r="V1885" s="21" t="n">
        <x:f>IFERROR(U1885/L1885,0)</x:f>
        <x:v>0.7022620689655172</x:v>
      </x:c>
    </x:row>
    <x:row r="1886">
      <x:c r="A1886" s="19" t="str">
        <x:v>SALE-01882</x:v>
      </x:c>
      <x:c r="B1886" s="34" t="n">
        <x:v>46215.5</x:v>
      </x:c>
      <x:c r="C1886" s="19" t="str">
        <x:v>周日</x:v>
      </x:c>
      <x:c r="D1886" s="19" t="str">
        <x:v>S07</x:v>
      </x:c>
      <x:c r="E1886" s="19" t="str">
        <x:v>小和山店</x:v>
      </x:c>
      <x:c r="F1886" s="19" t="str">
        <x:v>堂食</x:v>
      </x:c>
      <x:c r="G1886" s="19" t="str">
        <x:v>全日</x:v>
      </x:c>
      <x:c r="H1886" s="19" t="str">
        <x:v>D02</x:v>
      </x:c>
      <x:c r="I1886" s="19" t="str">
        <x:v>小炒黄牛肉</x:v>
      </x:c>
      <x:c r="J1886" s="22" t="n">
        <x:f>XLOOKUP(H1886,'菜品主数据'!$A$5:$A$24,'菜品主数据'!$D$5:$D$24,0)</x:f>
        <x:v>49</x:v>
      </x:c>
      <x:c r="K1886" s="31" t="n">
        <x:v>18</x:v>
      </x:c>
      <x:c r="L1886" s="35" t="n">
        <x:f>J1886*K1886</x:f>
        <x:v>882</x:v>
      </x:c>
      <x:c r="M1886" s="36" t="n">
        <x:v>0</x:v>
      </x:c>
      <x:c r="N1886" s="35" t="n">
        <x:f>L1886*M1886</x:f>
        <x:v>0</x:v>
      </x:c>
      <x:c r="O1886" s="37" t="n">
        <x:v>0</x:v>
      </x:c>
      <x:c r="P1886" s="35" t="n">
        <x:f>L1886*O1886</x:f>
        <x:v>0</x:v>
      </x:c>
      <x:c r="Q1886" s="35" t="n">
        <x:v>0</x:v>
      </x:c>
      <x:c r="R1886" s="35" t="n">
        <x:f>K1886*Q1886</x:f>
        <x:v>0</x:v>
      </x:c>
      <x:c r="S1886" s="35" t="n">
        <x:f>XLOOKUP(H1886,'菜品主数据'!$A$5:$A$24,'菜品主数据'!$G$5:$G$24,0)</x:f>
        <x:v>17.577</x:v>
      </x:c>
      <x:c r="T1886" s="35" t="n">
        <x:f>K1886*S1886</x:f>
        <x:v>316.386</x:v>
      </x:c>
      <x:c r="U1886" s="35" t="n">
        <x:f>L1886-N1886-P1886-R1886-T1886</x:f>
        <x:v>565.614</x:v>
      </x:c>
      <x:c r="V1886" s="21" t="n">
        <x:f>IFERROR(U1886/L1886,0)</x:f>
        <x:v>0.6412857142857143</x:v>
      </x:c>
    </x:row>
    <x:row r="1887">
      <x:c r="A1887" s="19" t="str">
        <x:v>SALE-01883</x:v>
      </x:c>
      <x:c r="B1887" s="34" t="n">
        <x:v>46215.5</x:v>
      </x:c>
      <x:c r="C1887" s="19" t="str">
        <x:v>周日</x:v>
      </x:c>
      <x:c r="D1887" s="19" t="str">
        <x:v>S07</x:v>
      </x:c>
      <x:c r="E1887" s="19" t="str">
        <x:v>小和山店</x:v>
      </x:c>
      <x:c r="F1887" s="19" t="str">
        <x:v>堂食</x:v>
      </x:c>
      <x:c r="G1887" s="19" t="str">
        <x:v>全日</x:v>
      </x:c>
      <x:c r="H1887" s="19" t="str">
        <x:v>D03</x:v>
      </x:c>
      <x:c r="I1887" s="19" t="str">
        <x:v>香醋炒蛋</x:v>
      </x:c>
      <x:c r="J1887" s="22" t="n">
        <x:f>XLOOKUP(H1887,'菜品主数据'!$A$5:$A$24,'菜品主数据'!$D$5:$D$24,0)</x:f>
        <x:v>14.9</x:v>
      </x:c>
      <x:c r="K1887" s="31" t="n">
        <x:v>26</x:v>
      </x:c>
      <x:c r="L1887" s="35" t="n">
        <x:f>J1887*K1887</x:f>
        <x:v>387.40000000000003</x:v>
      </x:c>
      <x:c r="M1887" s="36" t="n">
        <x:v>0</x:v>
      </x:c>
      <x:c r="N1887" s="35" t="n">
        <x:f>L1887*M1887</x:f>
        <x:v>0</x:v>
      </x:c>
      <x:c r="O1887" s="37" t="n">
        <x:v>0</x:v>
      </x:c>
      <x:c r="P1887" s="35" t="n">
        <x:f>L1887*O1887</x:f>
        <x:v>0</x:v>
      </x:c>
      <x:c r="Q1887" s="35" t="n">
        <x:v>0</x:v>
      </x:c>
      <x:c r="R1887" s="35" t="n">
        <x:f>K1887*Q1887</x:f>
        <x:v>0</x:v>
      </x:c>
      <x:c r="S1887" s="35" t="n">
        <x:f>XLOOKUP(H1887,'菜品主数据'!$A$5:$A$24,'菜品主数据'!$G$5:$G$24,0)</x:f>
        <x:v>3.7459999999999996</x:v>
      </x:c>
      <x:c r="T1887" s="35" t="n">
        <x:f>K1887*S1887</x:f>
        <x:v>97.39599999999999</x:v>
      </x:c>
      <x:c r="U1887" s="35" t="n">
        <x:f>L1887-N1887-P1887-R1887-T1887</x:f>
        <x:v>290.004</x:v>
      </x:c>
      <x:c r="V1887" s="21" t="n">
        <x:f>IFERROR(U1887/L1887,0)</x:f>
        <x:v>0.7485906040268456</x:v>
      </x:c>
    </x:row>
    <x:row r="1888">
      <x:c r="A1888" s="19" t="str">
        <x:v>SALE-01884</x:v>
      </x:c>
      <x:c r="B1888" s="34" t="n">
        <x:v>46215.5</x:v>
      </x:c>
      <x:c r="C1888" s="19" t="str">
        <x:v>周日</x:v>
      </x:c>
      <x:c r="D1888" s="19" t="str">
        <x:v>S07</x:v>
      </x:c>
      <x:c r="E1888" s="19" t="str">
        <x:v>小和山店</x:v>
      </x:c>
      <x:c r="F1888" s="19" t="str">
        <x:v>堂食</x:v>
      </x:c>
      <x:c r="G1888" s="19" t="str">
        <x:v>全日</x:v>
      </x:c>
      <x:c r="H1888" s="19" t="str">
        <x:v>D04</x:v>
      </x:c>
      <x:c r="I1888" s="19" t="str">
        <x:v>酸包菜炒粉皮</x:v>
      </x:c>
      <x:c r="J1888" s="22" t="n">
        <x:f>XLOOKUP(H1888,'菜品主数据'!$A$5:$A$24,'菜品主数据'!$D$5:$D$24,0)</x:f>
        <x:v>16</x:v>
      </x:c>
      <x:c r="K1888" s="31" t="n">
        <x:v>24</x:v>
      </x:c>
      <x:c r="L1888" s="35" t="n">
        <x:f>J1888*K1888</x:f>
        <x:v>384</x:v>
      </x:c>
      <x:c r="M1888" s="36" t="n">
        <x:v>0</x:v>
      </x:c>
      <x:c r="N1888" s="35" t="n">
        <x:f>L1888*M1888</x:f>
        <x:v>0</x:v>
      </x:c>
      <x:c r="O1888" s="37" t="n">
        <x:v>0</x:v>
      </x:c>
      <x:c r="P1888" s="35" t="n">
        <x:f>L1888*O1888</x:f>
        <x:v>0</x:v>
      </x:c>
      <x:c r="Q1888" s="35" t="n">
        <x:v>0</x:v>
      </x:c>
      <x:c r="R1888" s="35" t="n">
        <x:f>K1888*Q1888</x:f>
        <x:v>0</x:v>
      </x:c>
      <x:c r="S1888" s="35" t="n">
        <x:f>XLOOKUP(H1888,'菜品主数据'!$A$5:$A$24,'菜品主数据'!$G$5:$G$24,0)</x:f>
        <x:v>3.978</x:v>
      </x:c>
      <x:c r="T1888" s="35" t="n">
        <x:f>K1888*S1888</x:f>
        <x:v>95.47200000000001</x:v>
      </x:c>
      <x:c r="U1888" s="35" t="n">
        <x:f>L1888-N1888-P1888-R1888-T1888</x:f>
        <x:v>288.528</x:v>
      </x:c>
      <x:c r="V1888" s="21" t="n">
        <x:f>IFERROR(U1888/L1888,0)</x:f>
        <x:v>0.751375</x:v>
      </x:c>
    </x:row>
    <x:row r="1889">
      <x:c r="A1889" s="19" t="str">
        <x:v>SALE-01885</x:v>
      </x:c>
      <x:c r="B1889" s="34" t="n">
        <x:v>46215.5</x:v>
      </x:c>
      <x:c r="C1889" s="19" t="str">
        <x:v>周日</x:v>
      </x:c>
      <x:c r="D1889" s="19" t="str">
        <x:v>S07</x:v>
      </x:c>
      <x:c r="E1889" s="19" t="str">
        <x:v>小和山店</x:v>
      </x:c>
      <x:c r="F1889" s="19" t="str">
        <x:v>堂食</x:v>
      </x:c>
      <x:c r="G1889" s="19" t="str">
        <x:v>全日</x:v>
      </x:c>
      <x:c r="H1889" s="19" t="str">
        <x:v>D05</x:v>
      </x:c>
      <x:c r="I1889" s="19" t="str">
        <x:v>麻婆豆腐</x:v>
      </x:c>
      <x:c r="J1889" s="22" t="n">
        <x:f>XLOOKUP(H1889,'菜品主数据'!$A$5:$A$24,'菜品主数据'!$D$5:$D$24,0)</x:f>
        <x:v>9.9</x:v>
      </x:c>
      <x:c r="K1889" s="31" t="n">
        <x:v>33</x:v>
      </x:c>
      <x:c r="L1889" s="35" t="n">
        <x:f>J1889*K1889</x:f>
        <x:v>326.7</x:v>
      </x:c>
      <x:c r="M1889" s="36" t="n">
        <x:v>0</x:v>
      </x:c>
      <x:c r="N1889" s="35" t="n">
        <x:f>L1889*M1889</x:f>
        <x:v>0</x:v>
      </x:c>
      <x:c r="O1889" s="37" t="n">
        <x:v>0</x:v>
      </x:c>
      <x:c r="P1889" s="35" t="n">
        <x:f>L1889*O1889</x:f>
        <x:v>0</x:v>
      </x:c>
      <x:c r="Q1889" s="35" t="n">
        <x:v>0</x:v>
      </x:c>
      <x:c r="R1889" s="35" t="n">
        <x:f>K1889*Q1889</x:f>
        <x:v>0</x:v>
      </x:c>
      <x:c r="S1889" s="35" t="n">
        <x:f>XLOOKUP(H1889,'菜品主数据'!$A$5:$A$24,'菜品主数据'!$G$5:$G$24,0)</x:f>
        <x:v>5.367000000000001</x:v>
      </x:c>
      <x:c r="T1889" s="35" t="n">
        <x:f>K1889*S1889</x:f>
        <x:v>177.11100000000002</x:v>
      </x:c>
      <x:c r="U1889" s="35" t="n">
        <x:f>L1889-N1889-P1889-R1889-T1889</x:f>
        <x:v>149.58899999999997</x:v>
      </x:c>
      <x:c r="V1889" s="21" t="n">
        <x:f>IFERROR(U1889/L1889,0)</x:f>
        <x:v>0.45787878787878783</x:v>
      </x:c>
    </x:row>
    <x:row r="1890">
      <x:c r="A1890" s="19" t="str">
        <x:v>SALE-01886</x:v>
      </x:c>
      <x:c r="B1890" s="34" t="n">
        <x:v>46215.5</x:v>
      </x:c>
      <x:c r="C1890" s="19" t="str">
        <x:v>周日</x:v>
      </x:c>
      <x:c r="D1890" s="19" t="str">
        <x:v>S07</x:v>
      </x:c>
      <x:c r="E1890" s="19" t="str">
        <x:v>小和山店</x:v>
      </x:c>
      <x:c r="F1890" s="19" t="str">
        <x:v>堂食</x:v>
      </x:c>
      <x:c r="G1890" s="19" t="str">
        <x:v>全日</x:v>
      </x:c>
      <x:c r="H1890" s="19" t="str">
        <x:v>D06</x:v>
      </x:c>
      <x:c r="I1890" s="19" t="str">
        <x:v>剁椒鱼头</x:v>
      </x:c>
      <x:c r="J1890" s="22" t="n">
        <x:f>XLOOKUP(H1890,'菜品主数据'!$A$5:$A$24,'菜品主数据'!$D$5:$D$24,0)</x:f>
        <x:v>39</x:v>
      </x:c>
      <x:c r="K1890" s="31" t="n">
        <x:v>8</x:v>
      </x:c>
      <x:c r="L1890" s="35" t="n">
        <x:f>J1890*K1890</x:f>
        <x:v>312</x:v>
      </x:c>
      <x:c r="M1890" s="36" t="n">
        <x:v>0</x:v>
      </x:c>
      <x:c r="N1890" s="35" t="n">
        <x:f>L1890*M1890</x:f>
        <x:v>0</x:v>
      </x:c>
      <x:c r="O1890" s="37" t="n">
        <x:v>0</x:v>
      </x:c>
      <x:c r="P1890" s="35" t="n">
        <x:f>L1890*O1890</x:f>
        <x:v>0</x:v>
      </x:c>
      <x:c r="Q1890" s="35" t="n">
        <x:v>0</x:v>
      </x:c>
      <x:c r="R1890" s="35" t="n">
        <x:f>K1890*Q1890</x:f>
        <x:v>0</x:v>
      </x:c>
      <x:c r="S1890" s="35" t="n">
        <x:f>XLOOKUP(H1890,'菜品主数据'!$A$5:$A$24,'菜品主数据'!$G$5:$G$24,0)</x:f>
        <x:v>17.446</x:v>
      </x:c>
      <x:c r="T1890" s="35" t="n">
        <x:f>K1890*S1890</x:f>
        <x:v>139.568</x:v>
      </x:c>
      <x:c r="U1890" s="35" t="n">
        <x:f>L1890-N1890-P1890-R1890-T1890</x:f>
        <x:v>172.432</x:v>
      </x:c>
      <x:c r="V1890" s="21" t="n">
        <x:f>IFERROR(U1890/L1890,0)</x:f>
        <x:v>0.5526666666666666</x:v>
      </x:c>
    </x:row>
    <x:row r="1891">
      <x:c r="A1891" s="19" t="str">
        <x:v>SALE-01887</x:v>
      </x:c>
      <x:c r="B1891" s="34" t="n">
        <x:v>46215.5</x:v>
      </x:c>
      <x:c r="C1891" s="19" t="str">
        <x:v>周日</x:v>
      </x:c>
      <x:c r="D1891" s="19" t="str">
        <x:v>S07</x:v>
      </x:c>
      <x:c r="E1891" s="19" t="str">
        <x:v>小和山店</x:v>
      </x:c>
      <x:c r="F1891" s="19" t="str">
        <x:v>堂食</x:v>
      </x:c>
      <x:c r="G1891" s="19" t="str">
        <x:v>全日</x:v>
      </x:c>
      <x:c r="H1891" s="19" t="str">
        <x:v>D07</x:v>
      </x:c>
      <x:c r="I1891" s="19" t="str">
        <x:v>川味回锅肉</x:v>
      </x:c>
      <x:c r="J1891" s="22" t="n">
        <x:f>XLOOKUP(H1891,'菜品主数据'!$A$5:$A$24,'菜品主数据'!$D$5:$D$24,0)</x:f>
        <x:v>29</x:v>
      </x:c>
      <x:c r="K1891" s="31" t="n">
        <x:v>10</x:v>
      </x:c>
      <x:c r="L1891" s="35" t="n">
        <x:f>J1891*K1891</x:f>
        <x:v>290</x:v>
      </x:c>
      <x:c r="M1891" s="36" t="n">
        <x:v>0</x:v>
      </x:c>
      <x:c r="N1891" s="35" t="n">
        <x:f>L1891*M1891</x:f>
        <x:v>0</x:v>
      </x:c>
      <x:c r="O1891" s="37" t="n">
        <x:v>0</x:v>
      </x:c>
      <x:c r="P1891" s="35" t="n">
        <x:f>L1891*O1891</x:f>
        <x:v>0</x:v>
      </x:c>
      <x:c r="Q1891" s="35" t="n">
        <x:v>0</x:v>
      </x:c>
      <x:c r="R1891" s="35" t="n">
        <x:f>K1891*Q1891</x:f>
        <x:v>0</x:v>
      </x:c>
      <x:c r="S1891" s="35" t="n">
        <x:f>XLOOKUP(H1891,'菜品主数据'!$A$5:$A$24,'菜品主数据'!$G$5:$G$24,0)</x:f>
        <x:v>10.231000000000002</x:v>
      </x:c>
      <x:c r="T1891" s="35" t="n">
        <x:f>K1891*S1891</x:f>
        <x:v>102.31000000000002</x:v>
      </x:c>
      <x:c r="U1891" s="35" t="n">
        <x:f>L1891-N1891-P1891-R1891-T1891</x:f>
        <x:v>187.69</x:v>
      </x:c>
      <x:c r="V1891" s="21" t="n">
        <x:f>IFERROR(U1891/L1891,0)</x:f>
        <x:v>0.6472068965517241</x:v>
      </x:c>
    </x:row>
    <x:row r="1892">
      <x:c r="A1892" s="19" t="str">
        <x:v>SALE-01888</x:v>
      </x:c>
      <x:c r="B1892" s="34" t="n">
        <x:v>46215.5</x:v>
      </x:c>
      <x:c r="C1892" s="19" t="str">
        <x:v>周日</x:v>
      </x:c>
      <x:c r="D1892" s="19" t="str">
        <x:v>S07</x:v>
      </x:c>
      <x:c r="E1892" s="19" t="str">
        <x:v>小和山店</x:v>
      </x:c>
      <x:c r="F1892" s="19" t="str">
        <x:v>堂食</x:v>
      </x:c>
      <x:c r="G1892" s="19" t="str">
        <x:v>全日</x:v>
      </x:c>
      <x:c r="H1892" s="19" t="str">
        <x:v>D08</x:v>
      </x:c>
      <x:c r="I1892" s="19" t="str">
        <x:v>生炒清远鸡</x:v>
      </x:c>
      <x:c r="J1892" s="22" t="n">
        <x:f>XLOOKUP(H1892,'菜品主数据'!$A$5:$A$24,'菜品主数据'!$D$5:$D$24,0)</x:f>
        <x:v>36</x:v>
      </x:c>
      <x:c r="K1892" s="31" t="n">
        <x:v>7</x:v>
      </x:c>
      <x:c r="L1892" s="35" t="n">
        <x:f>J1892*K1892</x:f>
        <x:v>252</x:v>
      </x:c>
      <x:c r="M1892" s="36" t="n">
        <x:v>0</x:v>
      </x:c>
      <x:c r="N1892" s="35" t="n">
        <x:f>L1892*M1892</x:f>
        <x:v>0</x:v>
      </x:c>
      <x:c r="O1892" s="37" t="n">
        <x:v>0</x:v>
      </x:c>
      <x:c r="P1892" s="35" t="n">
        <x:f>L1892*O1892</x:f>
        <x:v>0</x:v>
      </x:c>
      <x:c r="Q1892" s="35" t="n">
        <x:v>0</x:v>
      </x:c>
      <x:c r="R1892" s="35" t="n">
        <x:f>K1892*Q1892</x:f>
        <x:v>0</x:v>
      </x:c>
      <x:c r="S1892" s="35" t="n">
        <x:f>XLOOKUP(H1892,'菜品主数据'!$A$5:$A$24,'菜品主数据'!$G$5:$G$24,0)</x:f>
        <x:v>13.48</x:v>
      </x:c>
      <x:c r="T1892" s="35" t="n">
        <x:f>K1892*S1892</x:f>
        <x:v>94.36</x:v>
      </x:c>
      <x:c r="U1892" s="35" t="n">
        <x:f>L1892-N1892-P1892-R1892-T1892</x:f>
        <x:v>157.64</x:v>
      </x:c>
      <x:c r="V1892" s="21" t="n">
        <x:f>IFERROR(U1892/L1892,0)</x:f>
        <x:v>0.6255555555555555</x:v>
      </x:c>
    </x:row>
    <x:row r="1893">
      <x:c r="A1893" s="19" t="str">
        <x:v>SALE-01889</x:v>
      </x:c>
      <x:c r="B1893" s="34" t="n">
        <x:v>46215.5</x:v>
      </x:c>
      <x:c r="C1893" s="19" t="str">
        <x:v>周日</x:v>
      </x:c>
      <x:c r="D1893" s="19" t="str">
        <x:v>S07</x:v>
      </x:c>
      <x:c r="E1893" s="19" t="str">
        <x:v>小和山店</x:v>
      </x:c>
      <x:c r="F1893" s="19" t="str">
        <x:v>堂食</x:v>
      </x:c>
      <x:c r="G1893" s="19" t="str">
        <x:v>全日</x:v>
      </x:c>
      <x:c r="H1893" s="19" t="str">
        <x:v>D09</x:v>
      </x:c>
      <x:c r="I1893" s="19" t="str">
        <x:v>炒豆干</x:v>
      </x:c>
      <x:c r="J1893" s="22" t="n">
        <x:f>XLOOKUP(H1893,'菜品主数据'!$A$5:$A$24,'菜品主数据'!$D$5:$D$24,0)</x:f>
        <x:v>18</x:v>
      </x:c>
      <x:c r="K1893" s="31" t="n">
        <x:v>11</x:v>
      </x:c>
      <x:c r="L1893" s="35" t="n">
        <x:f>J1893*K1893</x:f>
        <x:v>198</x:v>
      </x:c>
      <x:c r="M1893" s="36" t="n">
        <x:v>0</x:v>
      </x:c>
      <x:c r="N1893" s="35" t="n">
        <x:f>L1893*M1893</x:f>
        <x:v>0</x:v>
      </x:c>
      <x:c r="O1893" s="37" t="n">
        <x:v>0</x:v>
      </x:c>
      <x:c r="P1893" s="35" t="n">
        <x:f>L1893*O1893</x:f>
        <x:v>0</x:v>
      </x:c>
      <x:c r="Q1893" s="35" t="n">
        <x:v>0</x:v>
      </x:c>
      <x:c r="R1893" s="35" t="n">
        <x:f>K1893*Q1893</x:f>
        <x:v>0</x:v>
      </x:c>
      <x:c r="S1893" s="35" t="n">
        <x:f>XLOOKUP(H1893,'菜品主数据'!$A$5:$A$24,'菜品主数据'!$G$5:$G$24,0)</x:f>
        <x:v>6.613999999999999</x:v>
      </x:c>
      <x:c r="T1893" s="35" t="n">
        <x:f>K1893*S1893</x:f>
        <x:v>72.75399999999999</x:v>
      </x:c>
      <x:c r="U1893" s="35" t="n">
        <x:f>L1893-N1893-P1893-R1893-T1893</x:f>
        <x:v>125.24600000000001</x:v>
      </x:c>
      <x:c r="V1893" s="21" t="n">
        <x:f>IFERROR(U1893/L1893,0)</x:f>
        <x:v>0.6325555555555556</x:v>
      </x:c>
    </x:row>
    <x:row r="1894">
      <x:c r="A1894" s="19" t="str">
        <x:v>SALE-01890</x:v>
      </x:c>
      <x:c r="B1894" s="34" t="n">
        <x:v>46215.5</x:v>
      </x:c>
      <x:c r="C1894" s="19" t="str">
        <x:v>周日</x:v>
      </x:c>
      <x:c r="D1894" s="19" t="str">
        <x:v>S07</x:v>
      </x:c>
      <x:c r="E1894" s="19" t="str">
        <x:v>小和山店</x:v>
      </x:c>
      <x:c r="F1894" s="19" t="str">
        <x:v>堂食</x:v>
      </x:c>
      <x:c r="G1894" s="19" t="str">
        <x:v>全日</x:v>
      </x:c>
      <x:c r="H1894" s="19" t="str">
        <x:v>D10</x:v>
      </x:c>
      <x:c r="I1894" s="19" t="str">
        <x:v>农家一碗香</x:v>
      </x:c>
      <x:c r="J1894" s="22" t="n">
        <x:f>XLOOKUP(H1894,'菜品主数据'!$A$5:$A$24,'菜品主数据'!$D$5:$D$24,0)</x:f>
        <x:v>22.9</x:v>
      </x:c>
      <x:c r="K1894" s="31" t="n">
        <x:v>10</x:v>
      </x:c>
      <x:c r="L1894" s="35" t="n">
        <x:f>J1894*K1894</x:f>
        <x:v>229</x:v>
      </x:c>
      <x:c r="M1894" s="36" t="n">
        <x:v>0</x:v>
      </x:c>
      <x:c r="N1894" s="35" t="n">
        <x:f>L1894*M1894</x:f>
        <x:v>0</x:v>
      </x:c>
      <x:c r="O1894" s="37" t="n">
        <x:v>0</x:v>
      </x:c>
      <x:c r="P1894" s="35" t="n">
        <x:f>L1894*O1894</x:f>
        <x:v>0</x:v>
      </x:c>
      <x:c r="Q1894" s="35" t="n">
        <x:v>0</x:v>
      </x:c>
      <x:c r="R1894" s="35" t="n">
        <x:f>K1894*Q1894</x:f>
        <x:v>0</x:v>
      </x:c>
      <x:c r="S1894" s="35" t="n">
        <x:f>XLOOKUP(H1894,'菜品主数据'!$A$5:$A$24,'菜品主数据'!$G$5:$G$24,0)</x:f>
        <x:v>9.770200000000003</x:v>
      </x:c>
      <x:c r="T1894" s="35" t="n">
        <x:f>K1894*S1894</x:f>
        <x:v>97.70200000000003</x:v>
      </x:c>
      <x:c r="U1894" s="35" t="n">
        <x:f>L1894-N1894-P1894-R1894-T1894</x:f>
        <x:v>131.29799999999997</x:v>
      </x:c>
      <x:c r="V1894" s="21" t="n">
        <x:f>IFERROR(U1894/L1894,0)</x:f>
        <x:v>0.5733537117903929</x:v>
      </x:c>
    </x:row>
    <x:row r="1895">
      <x:c r="A1895" s="19" t="str">
        <x:v>SALE-01891</x:v>
      </x:c>
      <x:c r="B1895" s="34" t="n">
        <x:v>46215.5</x:v>
      </x:c>
      <x:c r="C1895" s="19" t="str">
        <x:v>周日</x:v>
      </x:c>
      <x:c r="D1895" s="19" t="str">
        <x:v>S07</x:v>
      </x:c>
      <x:c r="E1895" s="19" t="str">
        <x:v>小和山店</x:v>
      </x:c>
      <x:c r="F1895" s="19" t="str">
        <x:v>堂食</x:v>
      </x:c>
      <x:c r="G1895" s="19" t="str">
        <x:v>全日</x:v>
      </x:c>
      <x:c r="H1895" s="19" t="str">
        <x:v>D11</x:v>
      </x:c>
      <x:c r="I1895" s="19" t="str">
        <x:v>香辣爆肥肠</x:v>
      </x:c>
      <x:c r="J1895" s="22" t="n">
        <x:f>XLOOKUP(H1895,'菜品主数据'!$A$5:$A$24,'菜品主数据'!$D$5:$D$24,0)</x:f>
        <x:v>39</x:v>
      </x:c>
      <x:c r="K1895" s="31" t="n">
        <x:v>5</x:v>
      </x:c>
      <x:c r="L1895" s="35" t="n">
        <x:f>J1895*K1895</x:f>
        <x:v>195</x:v>
      </x:c>
      <x:c r="M1895" s="36" t="n">
        <x:v>0</x:v>
      </x:c>
      <x:c r="N1895" s="35" t="n">
        <x:f>L1895*M1895</x:f>
        <x:v>0</x:v>
      </x:c>
      <x:c r="O1895" s="37" t="n">
        <x:v>0</x:v>
      </x:c>
      <x:c r="P1895" s="35" t="n">
        <x:f>L1895*O1895</x:f>
        <x:v>0</x:v>
      </x:c>
      <x:c r="Q1895" s="35" t="n">
        <x:v>0</x:v>
      </x:c>
      <x:c r="R1895" s="35" t="n">
        <x:f>K1895*Q1895</x:f>
        <x:v>0</x:v>
      </x:c>
      <x:c r="S1895" s="35" t="n">
        <x:f>XLOOKUP(H1895,'菜品主数据'!$A$5:$A$24,'菜品主数据'!$G$5:$G$24,0)</x:f>
        <x:v>10.397</x:v>
      </x:c>
      <x:c r="T1895" s="35" t="n">
        <x:f>K1895*S1895</x:f>
        <x:v>51.985</x:v>
      </x:c>
      <x:c r="U1895" s="35" t="n">
        <x:f>L1895-N1895-P1895-R1895-T1895</x:f>
        <x:v>143.015</x:v>
      </x:c>
      <x:c r="V1895" s="21" t="n">
        <x:f>IFERROR(U1895/L1895,0)</x:f>
        <x:v>0.7334102564102564</x:v>
      </x:c>
    </x:row>
    <x:row r="1896">
      <x:c r="A1896" s="19" t="str">
        <x:v>SALE-01892</x:v>
      </x:c>
      <x:c r="B1896" s="34" t="n">
        <x:v>46215.5</x:v>
      </x:c>
      <x:c r="C1896" s="19" t="str">
        <x:v>周日</x:v>
      </x:c>
      <x:c r="D1896" s="19" t="str">
        <x:v>S07</x:v>
      </x:c>
      <x:c r="E1896" s="19" t="str">
        <x:v>小和山店</x:v>
      </x:c>
      <x:c r="F1896" s="19" t="str">
        <x:v>堂食</x:v>
      </x:c>
      <x:c r="G1896" s="19" t="str">
        <x:v>全日</x:v>
      </x:c>
      <x:c r="H1896" s="19" t="str">
        <x:v>D12</x:v>
      </x:c>
      <x:c r="I1896" s="19" t="str">
        <x:v>清蒸鲈鱼</x:v>
      </x:c>
      <x:c r="J1896" s="22" t="n">
        <x:f>XLOOKUP(H1896,'菜品主数据'!$A$5:$A$24,'菜品主数据'!$D$5:$D$24,0)</x:f>
        <x:v>39</x:v>
      </x:c>
      <x:c r="K1896" s="31" t="n">
        <x:v>4</x:v>
      </x:c>
      <x:c r="L1896" s="35" t="n">
        <x:f>J1896*K1896</x:f>
        <x:v>156</x:v>
      </x:c>
      <x:c r="M1896" s="36" t="n">
        <x:v>0</x:v>
      </x:c>
      <x:c r="N1896" s="35" t="n">
        <x:f>L1896*M1896</x:f>
        <x:v>0</x:v>
      </x:c>
      <x:c r="O1896" s="37" t="n">
        <x:v>0</x:v>
      </x:c>
      <x:c r="P1896" s="35" t="n">
        <x:f>L1896*O1896</x:f>
        <x:v>0</x:v>
      </x:c>
      <x:c r="Q1896" s="35" t="n">
        <x:v>0</x:v>
      </x:c>
      <x:c r="R1896" s="35" t="n">
        <x:f>K1896*Q1896</x:f>
        <x:v>0</x:v>
      </x:c>
      <x:c r="S1896" s="35" t="n">
        <x:f>XLOOKUP(H1896,'菜品主数据'!$A$5:$A$24,'菜品主数据'!$G$5:$G$24,0)</x:f>
        <x:v>18.874</x:v>
      </x:c>
      <x:c r="T1896" s="35" t="n">
        <x:f>K1896*S1896</x:f>
        <x:v>75.496</x:v>
      </x:c>
      <x:c r="U1896" s="35" t="n">
        <x:f>L1896-N1896-P1896-R1896-T1896</x:f>
        <x:v>80.504</x:v>
      </x:c>
      <x:c r="V1896" s="21" t="n">
        <x:f>IFERROR(U1896/L1896,0)</x:f>
        <x:v>0.516051282051282</x:v>
      </x:c>
    </x:row>
    <x:row r="1897">
      <x:c r="A1897" s="19" t="str">
        <x:v>SALE-01893</x:v>
      </x:c>
      <x:c r="B1897" s="34" t="n">
        <x:v>46215.5</x:v>
      </x:c>
      <x:c r="C1897" s="19" t="str">
        <x:v>周日</x:v>
      </x:c>
      <x:c r="D1897" s="19" t="str">
        <x:v>S07</x:v>
      </x:c>
      <x:c r="E1897" s="19" t="str">
        <x:v>小和山店</x:v>
      </x:c>
      <x:c r="F1897" s="19" t="str">
        <x:v>堂食</x:v>
      </x:c>
      <x:c r="G1897" s="19" t="str">
        <x:v>全日</x:v>
      </x:c>
      <x:c r="H1897" s="19" t="str">
        <x:v>D13</x:v>
      </x:c>
      <x:c r="I1897" s="19" t="str">
        <x:v>外婆菜炒蛋</x:v>
      </x:c>
      <x:c r="J1897" s="22" t="n">
        <x:f>XLOOKUP(H1897,'菜品主数据'!$A$5:$A$24,'菜品主数据'!$D$5:$D$24,0)</x:f>
        <x:v>18</x:v>
      </x:c>
      <x:c r="K1897" s="31" t="n">
        <x:v>10</x:v>
      </x:c>
      <x:c r="L1897" s="35" t="n">
        <x:f>J1897*K1897</x:f>
        <x:v>180</x:v>
      </x:c>
      <x:c r="M1897" s="36" t="n">
        <x:v>0</x:v>
      </x:c>
      <x:c r="N1897" s="35" t="n">
        <x:f>L1897*M1897</x:f>
        <x:v>0</x:v>
      </x:c>
      <x:c r="O1897" s="37" t="n">
        <x:v>0</x:v>
      </x:c>
      <x:c r="P1897" s="35" t="n">
        <x:f>L1897*O1897</x:f>
        <x:v>0</x:v>
      </x:c>
      <x:c r="Q1897" s="35" t="n">
        <x:v>0</x:v>
      </x:c>
      <x:c r="R1897" s="35" t="n">
        <x:f>K1897*Q1897</x:f>
        <x:v>0</x:v>
      </x:c>
      <x:c r="S1897" s="35" t="n">
        <x:f>XLOOKUP(H1897,'菜品主数据'!$A$5:$A$24,'菜品主数据'!$G$5:$G$24,0)</x:f>
        <x:v>5.403999999999999</x:v>
      </x:c>
      <x:c r="T1897" s="35" t="n">
        <x:f>K1897*S1897</x:f>
        <x:v>54.03999999999999</x:v>
      </x:c>
      <x:c r="U1897" s="35" t="n">
        <x:f>L1897-N1897-P1897-R1897-T1897</x:f>
        <x:v>125.96000000000001</x:v>
      </x:c>
      <x:c r="V1897" s="21" t="n">
        <x:f>IFERROR(U1897/L1897,0)</x:f>
        <x:v>0.6997777777777778</x:v>
      </x:c>
    </x:row>
    <x:row r="1898">
      <x:c r="A1898" s="19" t="str">
        <x:v>SALE-01894</x:v>
      </x:c>
      <x:c r="B1898" s="34" t="n">
        <x:v>46215.5</x:v>
      </x:c>
      <x:c r="C1898" s="19" t="str">
        <x:v>周日</x:v>
      </x:c>
      <x:c r="D1898" s="19" t="str">
        <x:v>S07</x:v>
      </x:c>
      <x:c r="E1898" s="19" t="str">
        <x:v>小和山店</x:v>
      </x:c>
      <x:c r="F1898" s="19" t="str">
        <x:v>堂食</x:v>
      </x:c>
      <x:c r="G1898" s="19" t="str">
        <x:v>全日</x:v>
      </x:c>
      <x:c r="H1898" s="19" t="str">
        <x:v>D14</x:v>
      </x:c>
      <x:c r="I1898" s="19" t="str">
        <x:v>酸辣鸡杂</x:v>
      </x:c>
      <x:c r="J1898" s="22" t="n">
        <x:f>XLOOKUP(H1898,'菜品主数据'!$A$5:$A$24,'菜品主数据'!$D$5:$D$24,0)</x:f>
        <x:v>28</x:v>
      </x:c>
      <x:c r="K1898" s="31" t="n">
        <x:v>5</x:v>
      </x:c>
      <x:c r="L1898" s="35" t="n">
        <x:f>J1898*K1898</x:f>
        <x:v>140</x:v>
      </x:c>
      <x:c r="M1898" s="36" t="n">
        <x:v>0</x:v>
      </x:c>
      <x:c r="N1898" s="35" t="n">
        <x:f>L1898*M1898</x:f>
        <x:v>0</x:v>
      </x:c>
      <x:c r="O1898" s="37" t="n">
        <x:v>0</x:v>
      </x:c>
      <x:c r="P1898" s="35" t="n">
        <x:f>L1898*O1898</x:f>
        <x:v>0</x:v>
      </x:c>
      <x:c r="Q1898" s="35" t="n">
        <x:v>0</x:v>
      </x:c>
      <x:c r="R1898" s="35" t="n">
        <x:f>K1898*Q1898</x:f>
        <x:v>0</x:v>
      </x:c>
      <x:c r="S1898" s="35" t="n">
        <x:f>XLOOKUP(H1898,'菜品主数据'!$A$5:$A$24,'菜品主数据'!$G$5:$G$24,0)</x:f>
        <x:v>8.315000000000001</x:v>
      </x:c>
      <x:c r="T1898" s="35" t="n">
        <x:f>K1898*S1898</x:f>
        <x:v>41.575</x:v>
      </x:c>
      <x:c r="U1898" s="35" t="n">
        <x:f>L1898-N1898-P1898-R1898-T1898</x:f>
        <x:v>98.425</x:v>
      </x:c>
      <x:c r="V1898" s="21" t="n">
        <x:f>IFERROR(U1898/L1898,0)</x:f>
        <x:v>0.7030357142857143</x:v>
      </x:c>
    </x:row>
    <x:row r="1899">
      <x:c r="A1899" s="19" t="str">
        <x:v>SALE-01895</x:v>
      </x:c>
      <x:c r="B1899" s="34" t="n">
        <x:v>46215.5</x:v>
      </x:c>
      <x:c r="C1899" s="19" t="str">
        <x:v>周日</x:v>
      </x:c>
      <x:c r="D1899" s="19" t="str">
        <x:v>S07</x:v>
      </x:c>
      <x:c r="E1899" s="19" t="str">
        <x:v>小和山店</x:v>
      </x:c>
      <x:c r="F1899" s="19" t="str">
        <x:v>堂食</x:v>
      </x:c>
      <x:c r="G1899" s="19" t="str">
        <x:v>全日</x:v>
      </x:c>
      <x:c r="H1899" s="19" t="str">
        <x:v>D15</x:v>
      </x:c>
      <x:c r="I1899" s="19" t="str">
        <x:v>湘西土匪猪肝</x:v>
      </x:c>
      <x:c r="J1899" s="22" t="n">
        <x:f>XLOOKUP(H1899,'菜品主数据'!$A$5:$A$24,'菜品主数据'!$D$5:$D$24,0)</x:f>
        <x:v>26</x:v>
      </x:c>
      <x:c r="K1899" s="31" t="n">
        <x:v>5</x:v>
      </x:c>
      <x:c r="L1899" s="35" t="n">
        <x:f>J1899*K1899</x:f>
        <x:v>130</x:v>
      </x:c>
      <x:c r="M1899" s="36" t="n">
        <x:v>0</x:v>
      </x:c>
      <x:c r="N1899" s="35" t="n">
        <x:f>L1899*M1899</x:f>
        <x:v>0</x:v>
      </x:c>
      <x:c r="O1899" s="37" t="n">
        <x:v>0</x:v>
      </x:c>
      <x:c r="P1899" s="35" t="n">
        <x:f>L1899*O1899</x:f>
        <x:v>0</x:v>
      </x:c>
      <x:c r="Q1899" s="35" t="n">
        <x:v>0</x:v>
      </x:c>
      <x:c r="R1899" s="35" t="n">
        <x:f>K1899*Q1899</x:f>
        <x:v>0</x:v>
      </x:c>
      <x:c r="S1899" s="35" t="n">
        <x:f>XLOOKUP(H1899,'菜品主数据'!$A$5:$A$24,'菜品主数据'!$G$5:$G$24,0)</x:f>
        <x:v>6.3759999999999994</x:v>
      </x:c>
      <x:c r="T1899" s="35" t="n">
        <x:f>K1899*S1899</x:f>
        <x:v>31.879999999999995</x:v>
      </x:c>
      <x:c r="U1899" s="35" t="n">
        <x:f>L1899-N1899-P1899-R1899-T1899</x:f>
        <x:v>98.12</x:v>
      </x:c>
      <x:c r="V1899" s="21" t="n">
        <x:f>IFERROR(U1899/L1899,0)</x:f>
        <x:v>0.7547692307692309</x:v>
      </x:c>
    </x:row>
    <x:row r="1900">
      <x:c r="A1900" s="19" t="str">
        <x:v>SALE-01896</x:v>
      </x:c>
      <x:c r="B1900" s="34" t="n">
        <x:v>46215.5</x:v>
      </x:c>
      <x:c r="C1900" s="19" t="str">
        <x:v>周日</x:v>
      </x:c>
      <x:c r="D1900" s="19" t="str">
        <x:v>S07</x:v>
      </x:c>
      <x:c r="E1900" s="19" t="str">
        <x:v>小和山店</x:v>
      </x:c>
      <x:c r="F1900" s="19" t="str">
        <x:v>堂食</x:v>
      </x:c>
      <x:c r="G1900" s="19" t="str">
        <x:v>全日</x:v>
      </x:c>
      <x:c r="H1900" s="19" t="str">
        <x:v>D16</x:v>
      </x:c>
      <x:c r="I1900" s="19" t="str">
        <x:v>小豆角炒五花</x:v>
      </x:c>
      <x:c r="J1900" s="22" t="n">
        <x:f>XLOOKUP(H1900,'菜品主数据'!$A$5:$A$24,'菜品主数据'!$D$5:$D$24,0)</x:f>
        <x:v>25</x:v>
      </x:c>
      <x:c r="K1900" s="31" t="n">
        <x:v>5</x:v>
      </x:c>
      <x:c r="L1900" s="35" t="n">
        <x:f>J1900*K1900</x:f>
        <x:v>125</x:v>
      </x:c>
      <x:c r="M1900" s="36" t="n">
        <x:v>0</x:v>
      </x:c>
      <x:c r="N1900" s="35" t="n">
        <x:f>L1900*M1900</x:f>
        <x:v>0</x:v>
      </x:c>
      <x:c r="O1900" s="37" t="n">
        <x:v>0</x:v>
      </x:c>
      <x:c r="P1900" s="35" t="n">
        <x:f>L1900*O1900</x:f>
        <x:v>0</x:v>
      </x:c>
      <x:c r="Q1900" s="35" t="n">
        <x:v>0</x:v>
      </x:c>
      <x:c r="R1900" s="35" t="n">
        <x:f>K1900*Q1900</x:f>
        <x:v>0</x:v>
      </x:c>
      <x:c r="S1900" s="35" t="n">
        <x:f>XLOOKUP(H1900,'菜品主数据'!$A$5:$A$24,'菜品主数据'!$G$5:$G$24,0)</x:f>
        <x:v>8.184</x:v>
      </x:c>
      <x:c r="T1900" s="35" t="n">
        <x:f>K1900*S1900</x:f>
        <x:v>40.919999999999995</x:v>
      </x:c>
      <x:c r="U1900" s="35" t="n">
        <x:f>L1900-N1900-P1900-R1900-T1900</x:f>
        <x:v>84.08000000000001</x:v>
      </x:c>
      <x:c r="V1900" s="21" t="n">
        <x:f>IFERROR(U1900/L1900,0)</x:f>
        <x:v>0.6726400000000001</x:v>
      </x:c>
    </x:row>
    <x:row r="1901">
      <x:c r="A1901" s="19" t="str">
        <x:v>SALE-01897</x:v>
      </x:c>
      <x:c r="B1901" s="34" t="n">
        <x:v>46215.5</x:v>
      </x:c>
      <x:c r="C1901" s="19" t="str">
        <x:v>周日</x:v>
      </x:c>
      <x:c r="D1901" s="19" t="str">
        <x:v>S07</x:v>
      </x:c>
      <x:c r="E1901" s="19" t="str">
        <x:v>小和山店</x:v>
      </x:c>
      <x:c r="F1901" s="19" t="str">
        <x:v>堂食</x:v>
      </x:c>
      <x:c r="G1901" s="19" t="str">
        <x:v>全日</x:v>
      </x:c>
      <x:c r="H1901" s="19" t="str">
        <x:v>D17</x:v>
      </x:c>
      <x:c r="I1901" s="19" t="str">
        <x:v>蒜蓉粉丝虾</x:v>
      </x:c>
      <x:c r="J1901" s="22" t="n">
        <x:f>XLOOKUP(H1901,'菜品主数据'!$A$5:$A$24,'菜品主数据'!$D$5:$D$24,0)</x:f>
        <x:v>36</x:v>
      </x:c>
      <x:c r="K1901" s="31" t="n">
        <x:v>3</x:v>
      </x:c>
      <x:c r="L1901" s="35" t="n">
        <x:f>J1901*K1901</x:f>
        <x:v>108</x:v>
      </x:c>
      <x:c r="M1901" s="36" t="n">
        <x:v>0</x:v>
      </x:c>
      <x:c r="N1901" s="35" t="n">
        <x:f>L1901*M1901</x:f>
        <x:v>0</x:v>
      </x:c>
      <x:c r="O1901" s="37" t="n">
        <x:v>0</x:v>
      </x:c>
      <x:c r="P1901" s="35" t="n">
        <x:f>L1901*O1901</x:f>
        <x:v>0</x:v>
      </x:c>
      <x:c r="Q1901" s="35" t="n">
        <x:v>0</x:v>
      </x:c>
      <x:c r="R1901" s="35" t="n">
        <x:f>K1901*Q1901</x:f>
        <x:v>0</x:v>
      </x:c>
      <x:c r="S1901" s="35" t="n">
        <x:f>XLOOKUP(H1901,'菜品主数据'!$A$5:$A$24,'菜品主数据'!$G$5:$G$24,0)</x:f>
        <x:v>13.594</x:v>
      </x:c>
      <x:c r="T1901" s="35" t="n">
        <x:f>K1901*S1901</x:f>
        <x:v>40.782</x:v>
      </x:c>
      <x:c r="U1901" s="35" t="n">
        <x:f>L1901-N1901-P1901-R1901-T1901</x:f>
        <x:v>67.218</x:v>
      </x:c>
      <x:c r="V1901" s="21" t="n">
        <x:f>IFERROR(U1901/L1901,0)</x:f>
        <x:v>0.6223888888888889</x:v>
      </x:c>
    </x:row>
    <x:row r="1902">
      <x:c r="A1902" s="19" t="str">
        <x:v>SALE-01898</x:v>
      </x:c>
      <x:c r="B1902" s="34" t="n">
        <x:v>46215.5</x:v>
      </x:c>
      <x:c r="C1902" s="19" t="str">
        <x:v>周日</x:v>
      </x:c>
      <x:c r="D1902" s="19" t="str">
        <x:v>S07</x:v>
      </x:c>
      <x:c r="E1902" s="19" t="str">
        <x:v>小和山店</x:v>
      </x:c>
      <x:c r="F1902" s="19" t="str">
        <x:v>堂食</x:v>
      </x:c>
      <x:c r="G1902" s="19" t="str">
        <x:v>全日</x:v>
      </x:c>
      <x:c r="H1902" s="19" t="str">
        <x:v>D18</x:v>
      </x:c>
      <x:c r="I1902" s="19" t="str">
        <x:v>青椒炒油麦菜</x:v>
      </x:c>
      <x:c r="J1902" s="22" t="n">
        <x:f>XLOOKUP(H1902,'菜品主数据'!$A$5:$A$24,'菜品主数据'!$D$5:$D$24,0)</x:f>
        <x:v>18</x:v>
      </x:c>
      <x:c r="K1902" s="31" t="n">
        <x:v>6</x:v>
      </x:c>
      <x:c r="L1902" s="35" t="n">
        <x:f>J1902*K1902</x:f>
        <x:v>108</x:v>
      </x:c>
      <x:c r="M1902" s="36" t="n">
        <x:v>0</x:v>
      </x:c>
      <x:c r="N1902" s="35" t="n">
        <x:f>L1902*M1902</x:f>
        <x:v>0</x:v>
      </x:c>
      <x:c r="O1902" s="37" t="n">
        <x:v>0</x:v>
      </x:c>
      <x:c r="P1902" s="35" t="n">
        <x:f>L1902*O1902</x:f>
        <x:v>0</x:v>
      </x:c>
      <x:c r="Q1902" s="35" t="n">
        <x:v>0</x:v>
      </x:c>
      <x:c r="R1902" s="35" t="n">
        <x:f>K1902*Q1902</x:f>
        <x:v>0</x:v>
      </x:c>
      <x:c r="S1902" s="35" t="n">
        <x:f>XLOOKUP(H1902,'菜品主数据'!$A$5:$A$24,'菜品主数据'!$G$5:$G$24,0)</x:f>
        <x:v>3.1759999999999993</x:v>
      </x:c>
      <x:c r="T1902" s="35" t="n">
        <x:f>K1902*S1902</x:f>
        <x:v>19.055999999999997</x:v>
      </x:c>
      <x:c r="U1902" s="35" t="n">
        <x:f>L1902-N1902-P1902-R1902-T1902</x:f>
        <x:v>88.944</x:v>
      </x:c>
      <x:c r="V1902" s="21" t="n">
        <x:f>IFERROR(U1902/L1902,0)</x:f>
        <x:v>0.8235555555555556</x:v>
      </x:c>
    </x:row>
    <x:row r="1903">
      <x:c r="A1903" s="19" t="str">
        <x:v>SALE-01899</x:v>
      </x:c>
      <x:c r="B1903" s="34" t="n">
        <x:v>46215.5</x:v>
      </x:c>
      <x:c r="C1903" s="19" t="str">
        <x:v>周日</x:v>
      </x:c>
      <x:c r="D1903" s="19" t="str">
        <x:v>S07</x:v>
      </x:c>
      <x:c r="E1903" s="19" t="str">
        <x:v>小和山店</x:v>
      </x:c>
      <x:c r="F1903" s="19" t="str">
        <x:v>堂食</x:v>
      </x:c>
      <x:c r="G1903" s="19" t="str">
        <x:v>全日</x:v>
      </x:c>
      <x:c r="H1903" s="19" t="str">
        <x:v>D19</x:v>
      </x:c>
      <x:c r="I1903" s="19" t="str">
        <x:v>酸萝卜炒鸡杂</x:v>
      </x:c>
      <x:c r="J1903" s="22" t="n">
        <x:f>XLOOKUP(H1903,'菜品主数据'!$A$5:$A$24,'菜品主数据'!$D$5:$D$24,0)</x:f>
        <x:v>25</x:v>
      </x:c>
      <x:c r="K1903" s="31" t="n">
        <x:v>4</x:v>
      </x:c>
      <x:c r="L1903" s="35" t="n">
        <x:f>J1903*K1903</x:f>
        <x:v>100</x:v>
      </x:c>
      <x:c r="M1903" s="36" t="n">
        <x:v>0</x:v>
      </x:c>
      <x:c r="N1903" s="35" t="n">
        <x:f>L1903*M1903</x:f>
        <x:v>0</x:v>
      </x:c>
      <x:c r="O1903" s="37" t="n">
        <x:v>0</x:v>
      </x:c>
      <x:c r="P1903" s="35" t="n">
        <x:f>L1903*O1903</x:f>
        <x:v>0</x:v>
      </x:c>
      <x:c r="Q1903" s="35" t="n">
        <x:v>0</x:v>
      </x:c>
      <x:c r="R1903" s="35" t="n">
        <x:f>K1903*Q1903</x:f>
        <x:v>0</x:v>
      </x:c>
      <x:c r="S1903" s="35" t="n">
        <x:f>XLOOKUP(H1903,'菜品主数据'!$A$5:$A$24,'菜品主数据'!$G$5:$G$24,0)</x:f>
        <x:v>7.9399999999999995</x:v>
      </x:c>
      <x:c r="T1903" s="35" t="n">
        <x:f>K1903*S1903</x:f>
        <x:v>31.759999999999998</x:v>
      </x:c>
      <x:c r="U1903" s="35" t="n">
        <x:f>L1903-N1903-P1903-R1903-T1903</x:f>
        <x:v>68.24000000000001</x:v>
      </x:c>
      <x:c r="V1903" s="21" t="n">
        <x:f>IFERROR(U1903/L1903,0)</x:f>
        <x:v>0.6824000000000001</x:v>
      </x:c>
    </x:row>
    <x:row r="1904">
      <x:c r="A1904" s="19" t="str">
        <x:v>SALE-01900</x:v>
      </x:c>
      <x:c r="B1904" s="34" t="n">
        <x:v>46215.5</x:v>
      </x:c>
      <x:c r="C1904" s="19" t="str">
        <x:v>周日</x:v>
      </x:c>
      <x:c r="D1904" s="19" t="str">
        <x:v>S07</x:v>
      </x:c>
      <x:c r="E1904" s="19" t="str">
        <x:v>小和山店</x:v>
      </x:c>
      <x:c r="F1904" s="19" t="str">
        <x:v>堂食</x:v>
      </x:c>
      <x:c r="G1904" s="19" t="str">
        <x:v>全日</x:v>
      </x:c>
      <x:c r="H1904" s="19" t="str">
        <x:v>D20</x:v>
      </x:c>
      <x:c r="I1904" s="19" t="str">
        <x:v>雪菜肉末青豆</x:v>
      </x:c>
      <x:c r="J1904" s="22" t="n">
        <x:f>XLOOKUP(H1904,'菜品主数据'!$A$5:$A$24,'菜品主数据'!$D$5:$D$24,0)</x:f>
        <x:v>18</x:v>
      </x:c>
      <x:c r="K1904" s="31" t="n">
        <x:v>5</x:v>
      </x:c>
      <x:c r="L1904" s="35" t="n">
        <x:f>J1904*K1904</x:f>
        <x:v>90</x:v>
      </x:c>
      <x:c r="M1904" s="36" t="n">
        <x:v>0</x:v>
      </x:c>
      <x:c r="N1904" s="35" t="n">
        <x:f>L1904*M1904</x:f>
        <x:v>0</x:v>
      </x:c>
      <x:c r="O1904" s="37" t="n">
        <x:v>0</x:v>
      </x:c>
      <x:c r="P1904" s="35" t="n">
        <x:f>L1904*O1904</x:f>
        <x:v>0</x:v>
      </x:c>
      <x:c r="Q1904" s="35" t="n">
        <x:v>0</x:v>
      </x:c>
      <x:c r="R1904" s="35" t="n">
        <x:f>K1904*Q1904</x:f>
        <x:v>0</x:v>
      </x:c>
      <x:c r="S1904" s="35" t="n">
        <x:f>XLOOKUP(H1904,'菜品主数据'!$A$5:$A$24,'菜品主数据'!$G$5:$G$24,0)</x:f>
        <x:v>7.303999999999999</x:v>
      </x:c>
      <x:c r="T1904" s="35" t="n">
        <x:f>K1904*S1904</x:f>
        <x:v>36.519999999999996</x:v>
      </x:c>
      <x:c r="U1904" s="35" t="n">
        <x:f>L1904-N1904-P1904-R1904-T1904</x:f>
        <x:v>53.480000000000004</x:v>
      </x:c>
      <x:c r="V1904" s="21" t="n">
        <x:f>IFERROR(U1904/L1904,0)</x:f>
        <x:v>0.5942222222222223</x:v>
      </x:c>
    </x:row>
    <x:row r="1905">
      <x:c r="A1905" s="19" t="str">
        <x:v>SALE-01901</x:v>
      </x:c>
      <x:c r="B1905" s="34" t="n">
        <x:v>46215.5</x:v>
      </x:c>
      <x:c r="C1905" s="19" t="str">
        <x:v>周日</x:v>
      </x:c>
      <x:c r="D1905" s="19" t="str">
        <x:v>S07</x:v>
      </x:c>
      <x:c r="E1905" s="19" t="str">
        <x:v>小和山店</x:v>
      </x:c>
      <x:c r="F1905" s="19" t="str">
        <x:v>外卖</x:v>
      </x:c>
      <x:c r="G1905" s="19" t="str">
        <x:v>全日</x:v>
      </x:c>
      <x:c r="H1905" s="19" t="str">
        <x:v>D01</x:v>
      </x:c>
      <x:c r="I1905" s="19" t="str">
        <x:v>辣椒炒肉</x:v>
      </x:c>
      <x:c r="J1905" s="22" t="n">
        <x:f>XLOOKUP(H1905,'菜品主数据'!$A$5:$A$24,'菜品主数据'!$D$5:$D$24,0)</x:f>
        <x:v>29</x:v>
      </x:c>
      <x:c r="K1905" s="31" t="n">
        <x:v>3</x:v>
      </x:c>
      <x:c r="L1905" s="35" t="n">
        <x:f>J1905*K1905</x:f>
        <x:v>87</x:v>
      </x:c>
      <x:c r="M1905" s="36" t="n">
        <x:v>0.08</x:v>
      </x:c>
      <x:c r="N1905" s="35" t="n">
        <x:f>L1905*M1905</x:f>
        <x:v>6.96</x:v>
      </x:c>
      <x:c r="O1905" s="37" t="n">
        <x:v>0.18</x:v>
      </x:c>
      <x:c r="P1905" s="35" t="n">
        <x:f>L1905*O1905</x:f>
        <x:v>15.66</x:v>
      </x:c>
      <x:c r="Q1905" s="35" t="n">
        <x:v>1.2</x:v>
      </x:c>
      <x:c r="R1905" s="35" t="n">
        <x:f>K1905*Q1905</x:f>
        <x:v>3.5999999999999996</x:v>
      </x:c>
      <x:c r="S1905" s="35" t="n">
        <x:f>XLOOKUP(H1905,'菜品主数据'!$A$5:$A$24,'菜品主数据'!$G$5:$G$24,0)</x:f>
        <x:v>8.634400000000001</x:v>
      </x:c>
      <x:c r="T1905" s="35" t="n">
        <x:f>K1905*S1905</x:f>
        <x:v>25.903200000000005</x:v>
      </x:c>
      <x:c r="U1905" s="35" t="n">
        <x:f>L1905-N1905-P1905-R1905-T1905</x:f>
        <x:v>34.8768</x:v>
      </x:c>
      <x:c r="V1905" s="21" t="n">
        <x:f>IFERROR(U1905/L1905,0)</x:f>
        <x:v>0.40088275862068967</x:v>
      </x:c>
    </x:row>
    <x:row r="1906">
      <x:c r="A1906" s="19" t="str">
        <x:v>SALE-01902</x:v>
      </x:c>
      <x:c r="B1906" s="34" t="n">
        <x:v>46215.5</x:v>
      </x:c>
      <x:c r="C1906" s="19" t="str">
        <x:v>周日</x:v>
      </x:c>
      <x:c r="D1906" s="19" t="str">
        <x:v>S07</x:v>
      </x:c>
      <x:c r="E1906" s="19" t="str">
        <x:v>小和山店</x:v>
      </x:c>
      <x:c r="F1906" s="19" t="str">
        <x:v>外卖</x:v>
      </x:c>
      <x:c r="G1906" s="19" t="str">
        <x:v>全日</x:v>
      </x:c>
      <x:c r="H1906" s="19" t="str">
        <x:v>D02</x:v>
      </x:c>
      <x:c r="I1906" s="19" t="str">
        <x:v>小炒黄牛肉</x:v>
      </x:c>
      <x:c r="J1906" s="22" t="n">
        <x:f>XLOOKUP(H1906,'菜品主数据'!$A$5:$A$24,'菜品主数据'!$D$5:$D$24,0)</x:f>
        <x:v>49</x:v>
      </x:c>
      <x:c r="K1906" s="31" t="n">
        <x:v>7</x:v>
      </x:c>
      <x:c r="L1906" s="35" t="n">
        <x:f>J1906*K1906</x:f>
        <x:v>343</x:v>
      </x:c>
      <x:c r="M1906" s="36" t="n">
        <x:v>0.08</x:v>
      </x:c>
      <x:c r="N1906" s="35" t="n">
        <x:f>L1906*M1906</x:f>
        <x:v>27.44</x:v>
      </x:c>
      <x:c r="O1906" s="37" t="n">
        <x:v>0.18</x:v>
      </x:c>
      <x:c r="P1906" s="35" t="n">
        <x:f>L1906*O1906</x:f>
        <x:v>61.739999999999995</x:v>
      </x:c>
      <x:c r="Q1906" s="35" t="n">
        <x:v>1.2</x:v>
      </x:c>
      <x:c r="R1906" s="35" t="n">
        <x:f>K1906*Q1906</x:f>
        <x:v>8.4</x:v>
      </x:c>
      <x:c r="S1906" s="35" t="n">
        <x:f>XLOOKUP(H1906,'菜品主数据'!$A$5:$A$24,'菜品主数据'!$G$5:$G$24,0)</x:f>
        <x:v>17.577</x:v>
      </x:c>
      <x:c r="T1906" s="35" t="n">
        <x:f>K1906*S1906</x:f>
        <x:v>123.03900000000002</x:v>
      </x:c>
      <x:c r="U1906" s="35" t="n">
        <x:f>L1906-N1906-P1906-R1906-T1906</x:f>
        <x:v>122.38099999999997</x:v>
      </x:c>
      <x:c r="V1906" s="21" t="n">
        <x:f>IFERROR(U1906/L1906,0)</x:f>
        <x:v>0.35679591836734686</x:v>
      </x:c>
    </x:row>
    <x:row r="1907">
      <x:c r="A1907" s="19" t="str">
        <x:v>SALE-01903</x:v>
      </x:c>
      <x:c r="B1907" s="34" t="n">
        <x:v>46215.5</x:v>
      </x:c>
      <x:c r="C1907" s="19" t="str">
        <x:v>周日</x:v>
      </x:c>
      <x:c r="D1907" s="19" t="str">
        <x:v>S07</x:v>
      </x:c>
      <x:c r="E1907" s="19" t="str">
        <x:v>小和山店</x:v>
      </x:c>
      <x:c r="F1907" s="19" t="str">
        <x:v>外卖</x:v>
      </x:c>
      <x:c r="G1907" s="19" t="str">
        <x:v>全日</x:v>
      </x:c>
      <x:c r="H1907" s="19" t="str">
        <x:v>D03</x:v>
      </x:c>
      <x:c r="I1907" s="19" t="str">
        <x:v>香醋炒蛋</x:v>
      </x:c>
      <x:c r="J1907" s="22" t="n">
        <x:f>XLOOKUP(H1907,'菜品主数据'!$A$5:$A$24,'菜品主数据'!$D$5:$D$24,0)</x:f>
        <x:v>14.9</x:v>
      </x:c>
      <x:c r="K1907" s="31" t="n">
        <x:v>2</x:v>
      </x:c>
      <x:c r="L1907" s="35" t="n">
        <x:f>J1907*K1907</x:f>
        <x:v>29.8</x:v>
      </x:c>
      <x:c r="M1907" s="36" t="n">
        <x:v>0.08</x:v>
      </x:c>
      <x:c r="N1907" s="35" t="n">
        <x:f>L1907*M1907</x:f>
        <x:v>2.384</x:v>
      </x:c>
      <x:c r="O1907" s="37" t="n">
        <x:v>0.18</x:v>
      </x:c>
      <x:c r="P1907" s="35" t="n">
        <x:f>L1907*O1907</x:f>
        <x:v>5.364</x:v>
      </x:c>
      <x:c r="Q1907" s="35" t="n">
        <x:v>1.2</x:v>
      </x:c>
      <x:c r="R1907" s="35" t="n">
        <x:f>K1907*Q1907</x:f>
        <x:v>2.4</x:v>
      </x:c>
      <x:c r="S1907" s="35" t="n">
        <x:f>XLOOKUP(H1907,'菜品主数据'!$A$5:$A$24,'菜品主数据'!$G$5:$G$24,0)</x:f>
        <x:v>3.7459999999999996</x:v>
      </x:c>
      <x:c r="T1907" s="35" t="n">
        <x:f>K1907*S1907</x:f>
        <x:v>7.491999999999999</x:v>
      </x:c>
      <x:c r="U1907" s="35" t="n">
        <x:f>L1907-N1907-P1907-R1907-T1907</x:f>
        <x:v>12.160000000000002</x:v>
      </x:c>
      <x:c r="V1907" s="21" t="n">
        <x:f>IFERROR(U1907/L1907,0)</x:f>
        <x:v>0.40805369127516783</x:v>
      </x:c>
    </x:row>
    <x:row r="1908">
      <x:c r="A1908" s="19" t="str">
        <x:v>SALE-01904</x:v>
      </x:c>
      <x:c r="B1908" s="34" t="n">
        <x:v>46215.5</x:v>
      </x:c>
      <x:c r="C1908" s="19" t="str">
        <x:v>周日</x:v>
      </x:c>
      <x:c r="D1908" s="19" t="str">
        <x:v>S07</x:v>
      </x:c>
      <x:c r="E1908" s="19" t="str">
        <x:v>小和山店</x:v>
      </x:c>
      <x:c r="F1908" s="19" t="str">
        <x:v>外卖</x:v>
      </x:c>
      <x:c r="G1908" s="19" t="str">
        <x:v>全日</x:v>
      </x:c>
      <x:c r="H1908" s="19" t="str">
        <x:v>D04</x:v>
      </x:c>
      <x:c r="I1908" s="19" t="str">
        <x:v>酸包菜炒粉皮</x:v>
      </x:c>
      <x:c r="J1908" s="22" t="n">
        <x:f>XLOOKUP(H1908,'菜品主数据'!$A$5:$A$24,'菜品主数据'!$D$5:$D$24,0)</x:f>
        <x:v>16</x:v>
      </x:c>
      <x:c r="K1908" s="31" t="n">
        <x:v>2</x:v>
      </x:c>
      <x:c r="L1908" s="35" t="n">
        <x:f>J1908*K1908</x:f>
        <x:v>32</x:v>
      </x:c>
      <x:c r="M1908" s="36" t="n">
        <x:v>0.08</x:v>
      </x:c>
      <x:c r="N1908" s="35" t="n">
        <x:f>L1908*M1908</x:f>
        <x:v>2.56</x:v>
      </x:c>
      <x:c r="O1908" s="37" t="n">
        <x:v>0.18</x:v>
      </x:c>
      <x:c r="P1908" s="35" t="n">
        <x:f>L1908*O1908</x:f>
        <x:v>5.76</x:v>
      </x:c>
      <x:c r="Q1908" s="35" t="n">
        <x:v>1.2</x:v>
      </x:c>
      <x:c r="R1908" s="35" t="n">
        <x:f>K1908*Q1908</x:f>
        <x:v>2.4</x:v>
      </x:c>
      <x:c r="S1908" s="35" t="n">
        <x:f>XLOOKUP(H1908,'菜品主数据'!$A$5:$A$24,'菜品主数据'!$G$5:$G$24,0)</x:f>
        <x:v>3.978</x:v>
      </x:c>
      <x:c r="T1908" s="35" t="n">
        <x:f>K1908*S1908</x:f>
        <x:v>7.956</x:v>
      </x:c>
      <x:c r="U1908" s="35" t="n">
        <x:f>L1908-N1908-P1908-R1908-T1908</x:f>
        <x:v>13.324000000000002</x:v>
      </x:c>
      <x:c r="V1908" s="21" t="n">
        <x:f>IFERROR(U1908/L1908,0)</x:f>
        <x:v>0.41637500000000005</x:v>
      </x:c>
    </x:row>
    <x:row r="1909">
      <x:c r="A1909" s="19" t="str">
        <x:v>SALE-01905</x:v>
      </x:c>
      <x:c r="B1909" s="34" t="n">
        <x:v>46215.5</x:v>
      </x:c>
      <x:c r="C1909" s="19" t="str">
        <x:v>周日</x:v>
      </x:c>
      <x:c r="D1909" s="19" t="str">
        <x:v>S07</x:v>
      </x:c>
      <x:c r="E1909" s="19" t="str">
        <x:v>小和山店</x:v>
      </x:c>
      <x:c r="F1909" s="19" t="str">
        <x:v>外卖</x:v>
      </x:c>
      <x:c r="G1909" s="19" t="str">
        <x:v>全日</x:v>
      </x:c>
      <x:c r="H1909" s="19" t="str">
        <x:v>D05</x:v>
      </x:c>
      <x:c r="I1909" s="19" t="str">
        <x:v>麻婆豆腐</x:v>
      </x:c>
      <x:c r="J1909" s="22" t="n">
        <x:f>XLOOKUP(H1909,'菜品主数据'!$A$5:$A$24,'菜品主数据'!$D$5:$D$24,0)</x:f>
        <x:v>9.9</x:v>
      </x:c>
      <x:c r="K1909" s="31" t="n">
        <x:v>3</x:v>
      </x:c>
      <x:c r="L1909" s="35" t="n">
        <x:f>J1909*K1909</x:f>
        <x:v>29.700000000000003</x:v>
      </x:c>
      <x:c r="M1909" s="36" t="n">
        <x:v>0.08</x:v>
      </x:c>
      <x:c r="N1909" s="35" t="n">
        <x:f>L1909*M1909</x:f>
        <x:v>2.3760000000000003</x:v>
      </x:c>
      <x:c r="O1909" s="37" t="n">
        <x:v>0.18</x:v>
      </x:c>
      <x:c r="P1909" s="35" t="n">
        <x:f>L1909*O1909</x:f>
        <x:v>5.346</x:v>
      </x:c>
      <x:c r="Q1909" s="35" t="n">
        <x:v>1.2</x:v>
      </x:c>
      <x:c r="R1909" s="35" t="n">
        <x:f>K1909*Q1909</x:f>
        <x:v>3.5999999999999996</x:v>
      </x:c>
      <x:c r="S1909" s="35" t="n">
        <x:f>XLOOKUP(H1909,'菜品主数据'!$A$5:$A$24,'菜品主数据'!$G$5:$G$24,0)</x:f>
        <x:v>5.367000000000001</x:v>
      </x:c>
      <x:c r="T1909" s="35" t="n">
        <x:f>K1909*S1909</x:f>
        <x:v>16.101000000000003</x:v>
      </x:c>
      <x:c r="U1909" s="35" t="n">
        <x:f>L1909-N1909-P1909-R1909-T1909</x:f>
        <x:v>2.2769999999999975</x:v>
      </x:c>
      <x:c r="V1909" s="21" t="n">
        <x:f>IFERROR(U1909/L1909,0)</x:f>
        <x:v>0.07666666666666658</x:v>
      </x:c>
    </x:row>
    <x:row r="1910">
      <x:c r="A1910" s="19" t="str">
        <x:v>SALE-01906</x:v>
      </x:c>
      <x:c r="B1910" s="34" t="n">
        <x:v>46215.5</x:v>
      </x:c>
      <x:c r="C1910" s="19" t="str">
        <x:v>周日</x:v>
      </x:c>
      <x:c r="D1910" s="19" t="str">
        <x:v>S07</x:v>
      </x:c>
      <x:c r="E1910" s="19" t="str">
        <x:v>小和山店</x:v>
      </x:c>
      <x:c r="F1910" s="19" t="str">
        <x:v>外卖</x:v>
      </x:c>
      <x:c r="G1910" s="19" t="str">
        <x:v>全日</x:v>
      </x:c>
      <x:c r="H1910" s="19" t="str">
        <x:v>D06</x:v>
      </x:c>
      <x:c r="I1910" s="19" t="str">
        <x:v>剁椒鱼头</x:v>
      </x:c>
      <x:c r="J1910" s="22" t="n">
        <x:f>XLOOKUP(H1910,'菜品主数据'!$A$5:$A$24,'菜品主数据'!$D$5:$D$24,0)</x:f>
        <x:v>39</x:v>
      </x:c>
      <x:c r="K1910" s="31" t="n">
        <x:v>0</x:v>
      </x:c>
      <x:c r="L1910" s="35" t="n">
        <x:f>J1910*K1910</x:f>
        <x:v>0</x:v>
      </x:c>
      <x:c r="M1910" s="36" t="n">
        <x:v>0.08</x:v>
      </x:c>
      <x:c r="N1910" s="35" t="n">
        <x:f>L1910*M1910</x:f>
        <x:v>0</x:v>
      </x:c>
      <x:c r="O1910" s="37" t="n">
        <x:v>0.18</x:v>
      </x:c>
      <x:c r="P1910" s="35" t="n">
        <x:f>L1910*O1910</x:f>
        <x:v>0</x:v>
      </x:c>
      <x:c r="Q1910" s="35" t="n">
        <x:v>1.2</x:v>
      </x:c>
      <x:c r="R1910" s="35" t="n">
        <x:f>K1910*Q1910</x:f>
        <x:v>0</x:v>
      </x:c>
      <x:c r="S1910" s="35" t="n">
        <x:f>XLOOKUP(H1910,'菜品主数据'!$A$5:$A$24,'菜品主数据'!$G$5:$G$24,0)</x:f>
        <x:v>17.446</x:v>
      </x:c>
      <x:c r="T1910" s="35" t="n">
        <x:f>K1910*S1910</x:f>
        <x:v>0</x:v>
      </x:c>
      <x:c r="U1910" s="35" t="n">
        <x:f>L1910-N1910-P1910-R1910-T1910</x:f>
        <x:v>0</x:v>
      </x:c>
      <x:c r="V1910" s="21" t="n">
        <x:f>IFERROR(U1910/L1910,0)</x:f>
        <x:v>0</x:v>
      </x:c>
    </x:row>
    <x:row r="1911">
      <x:c r="A1911" s="19" t="str">
        <x:v>SALE-01907</x:v>
      </x:c>
      <x:c r="B1911" s="34" t="n">
        <x:v>46215.5</x:v>
      </x:c>
      <x:c r="C1911" s="19" t="str">
        <x:v>周日</x:v>
      </x:c>
      <x:c r="D1911" s="19" t="str">
        <x:v>S07</x:v>
      </x:c>
      <x:c r="E1911" s="19" t="str">
        <x:v>小和山店</x:v>
      </x:c>
      <x:c r="F1911" s="19" t="str">
        <x:v>外卖</x:v>
      </x:c>
      <x:c r="G1911" s="19" t="str">
        <x:v>全日</x:v>
      </x:c>
      <x:c r="H1911" s="19" t="str">
        <x:v>D07</x:v>
      </x:c>
      <x:c r="I1911" s="19" t="str">
        <x:v>川味回锅肉</x:v>
      </x:c>
      <x:c r="J1911" s="22" t="n">
        <x:f>XLOOKUP(H1911,'菜品主数据'!$A$5:$A$24,'菜品主数据'!$D$5:$D$24,0)</x:f>
        <x:v>29</x:v>
      </x:c>
      <x:c r="K1911" s="31" t="n">
        <x:v>1</x:v>
      </x:c>
      <x:c r="L1911" s="35" t="n">
        <x:f>J1911*K1911</x:f>
        <x:v>29</x:v>
      </x:c>
      <x:c r="M1911" s="36" t="n">
        <x:v>0.08</x:v>
      </x:c>
      <x:c r="N1911" s="35" t="n">
        <x:f>L1911*M1911</x:f>
        <x:v>2.32</x:v>
      </x:c>
      <x:c r="O1911" s="37" t="n">
        <x:v>0.18</x:v>
      </x:c>
      <x:c r="P1911" s="35" t="n">
        <x:f>L1911*O1911</x:f>
        <x:v>5.22</x:v>
      </x:c>
      <x:c r="Q1911" s="35" t="n">
        <x:v>1.2</x:v>
      </x:c>
      <x:c r="R1911" s="35" t="n">
        <x:f>K1911*Q1911</x:f>
        <x:v>1.2</x:v>
      </x:c>
      <x:c r="S1911" s="35" t="n">
        <x:f>XLOOKUP(H1911,'菜品主数据'!$A$5:$A$24,'菜品主数据'!$G$5:$G$24,0)</x:f>
        <x:v>10.231000000000002</x:v>
      </x:c>
      <x:c r="T1911" s="35" t="n">
        <x:f>K1911*S1911</x:f>
        <x:v>10.231000000000002</x:v>
      </x:c>
      <x:c r="U1911" s="35" t="n">
        <x:f>L1911-N1911-P1911-R1911-T1911</x:f>
        <x:v>10.029</x:v>
      </x:c>
      <x:c r="V1911" s="21" t="n">
        <x:f>IFERROR(U1911/L1911,0)</x:f>
        <x:v>0.3458275862068966</x:v>
      </x:c>
    </x:row>
    <x:row r="1912">
      <x:c r="A1912" s="19" t="str">
        <x:v>SALE-01908</x:v>
      </x:c>
      <x:c r="B1912" s="34" t="n">
        <x:v>46215.5</x:v>
      </x:c>
      <x:c r="C1912" s="19" t="str">
        <x:v>周日</x:v>
      </x:c>
      <x:c r="D1912" s="19" t="str">
        <x:v>S07</x:v>
      </x:c>
      <x:c r="E1912" s="19" t="str">
        <x:v>小和山店</x:v>
      </x:c>
      <x:c r="F1912" s="19" t="str">
        <x:v>外卖</x:v>
      </x:c>
      <x:c r="G1912" s="19" t="str">
        <x:v>全日</x:v>
      </x:c>
      <x:c r="H1912" s="19" t="str">
        <x:v>D08</x:v>
      </x:c>
      <x:c r="I1912" s="19" t="str">
        <x:v>生炒清远鸡</x:v>
      </x:c>
      <x:c r="J1912" s="22" t="n">
        <x:f>XLOOKUP(H1912,'菜品主数据'!$A$5:$A$24,'菜品主数据'!$D$5:$D$24,0)</x:f>
        <x:v>36</x:v>
      </x:c>
      <x:c r="K1912" s="31" t="n">
        <x:v>0</x:v>
      </x:c>
      <x:c r="L1912" s="35" t="n">
        <x:f>J1912*K1912</x:f>
        <x:v>0</x:v>
      </x:c>
      <x:c r="M1912" s="36" t="n">
        <x:v>0.08</x:v>
      </x:c>
      <x:c r="N1912" s="35" t="n">
        <x:f>L1912*M1912</x:f>
        <x:v>0</x:v>
      </x:c>
      <x:c r="O1912" s="37" t="n">
        <x:v>0.18</x:v>
      </x:c>
      <x:c r="P1912" s="35" t="n">
        <x:f>L1912*O1912</x:f>
        <x:v>0</x:v>
      </x:c>
      <x:c r="Q1912" s="35" t="n">
        <x:v>1.2</x:v>
      </x:c>
      <x:c r="R1912" s="35" t="n">
        <x:f>K1912*Q1912</x:f>
        <x:v>0</x:v>
      </x:c>
      <x:c r="S1912" s="35" t="n">
        <x:f>XLOOKUP(H1912,'菜品主数据'!$A$5:$A$24,'菜品主数据'!$G$5:$G$24,0)</x:f>
        <x:v>13.48</x:v>
      </x:c>
      <x:c r="T1912" s="35" t="n">
        <x:f>K1912*S1912</x:f>
        <x:v>0</x:v>
      </x:c>
      <x:c r="U1912" s="35" t="n">
        <x:f>L1912-N1912-P1912-R1912-T1912</x:f>
        <x:v>0</x:v>
      </x:c>
      <x:c r="V1912" s="21" t="n">
        <x:f>IFERROR(U1912/L1912,0)</x:f>
        <x:v>0</x:v>
      </x:c>
    </x:row>
    <x:row r="1913">
      <x:c r="A1913" s="19" t="str">
        <x:v>SALE-01909</x:v>
      </x:c>
      <x:c r="B1913" s="34" t="n">
        <x:v>46215.5</x:v>
      </x:c>
      <x:c r="C1913" s="19" t="str">
        <x:v>周日</x:v>
      </x:c>
      <x:c r="D1913" s="19" t="str">
        <x:v>S07</x:v>
      </x:c>
      <x:c r="E1913" s="19" t="str">
        <x:v>小和山店</x:v>
      </x:c>
      <x:c r="F1913" s="19" t="str">
        <x:v>外卖</x:v>
      </x:c>
      <x:c r="G1913" s="19" t="str">
        <x:v>全日</x:v>
      </x:c>
      <x:c r="H1913" s="19" t="str">
        <x:v>D09</x:v>
      </x:c>
      <x:c r="I1913" s="19" t="str">
        <x:v>炒豆干</x:v>
      </x:c>
      <x:c r="J1913" s="22" t="n">
        <x:f>XLOOKUP(H1913,'菜品主数据'!$A$5:$A$24,'菜品主数据'!$D$5:$D$24,0)</x:f>
        <x:v>18</x:v>
      </x:c>
      <x:c r="K1913" s="31" t="n">
        <x:v>1</x:v>
      </x:c>
      <x:c r="L1913" s="35" t="n">
        <x:f>J1913*K1913</x:f>
        <x:v>18</x:v>
      </x:c>
      <x:c r="M1913" s="36" t="n">
        <x:v>0.08</x:v>
      </x:c>
      <x:c r="N1913" s="35" t="n">
        <x:f>L1913*M1913</x:f>
        <x:v>1.44</x:v>
      </x:c>
      <x:c r="O1913" s="37" t="n">
        <x:v>0.18</x:v>
      </x:c>
      <x:c r="P1913" s="35" t="n">
        <x:f>L1913*O1913</x:f>
        <x:v>3.2399999999999998</x:v>
      </x:c>
      <x:c r="Q1913" s="35" t="n">
        <x:v>1.2</x:v>
      </x:c>
      <x:c r="R1913" s="35" t="n">
        <x:f>K1913*Q1913</x:f>
        <x:v>1.2</x:v>
      </x:c>
      <x:c r="S1913" s="35" t="n">
        <x:f>XLOOKUP(H1913,'菜品主数据'!$A$5:$A$24,'菜品主数据'!$G$5:$G$24,0)</x:f>
        <x:v>6.613999999999999</x:v>
      </x:c>
      <x:c r="T1913" s="35" t="n">
        <x:f>K1913*S1913</x:f>
        <x:v>6.613999999999999</x:v>
      </x:c>
      <x:c r="U1913" s="35" t="n">
        <x:f>L1913-N1913-P1913-R1913-T1913</x:f>
        <x:v>5.506</x:v>
      </x:c>
      <x:c r="V1913" s="21" t="n">
        <x:f>IFERROR(U1913/L1913,0)</x:f>
        <x:v>0.3058888888888889</x:v>
      </x:c>
    </x:row>
    <x:row r="1914">
      <x:c r="A1914" s="19" t="str">
        <x:v>SALE-01910</x:v>
      </x:c>
      <x:c r="B1914" s="34" t="n">
        <x:v>46215.5</x:v>
      </x:c>
      <x:c r="C1914" s="19" t="str">
        <x:v>周日</x:v>
      </x:c>
      <x:c r="D1914" s="19" t="str">
        <x:v>S07</x:v>
      </x:c>
      <x:c r="E1914" s="19" t="str">
        <x:v>小和山店</x:v>
      </x:c>
      <x:c r="F1914" s="19" t="str">
        <x:v>外卖</x:v>
      </x:c>
      <x:c r="G1914" s="19" t="str">
        <x:v>全日</x:v>
      </x:c>
      <x:c r="H1914" s="19" t="str">
        <x:v>D10</x:v>
      </x:c>
      <x:c r="I1914" s="19" t="str">
        <x:v>农家一碗香</x:v>
      </x:c>
      <x:c r="J1914" s="22" t="n">
        <x:f>XLOOKUP(H1914,'菜品主数据'!$A$5:$A$24,'菜品主数据'!$D$5:$D$24,0)</x:f>
        <x:v>22.9</x:v>
      </x:c>
      <x:c r="K1914" s="31" t="n">
        <x:v>1</x:v>
      </x:c>
      <x:c r="L1914" s="35" t="n">
        <x:f>J1914*K1914</x:f>
        <x:v>22.9</x:v>
      </x:c>
      <x:c r="M1914" s="36" t="n">
        <x:v>0.08</x:v>
      </x:c>
      <x:c r="N1914" s="35" t="n">
        <x:f>L1914*M1914</x:f>
        <x:v>1.8319999999999999</x:v>
      </x:c>
      <x:c r="O1914" s="37" t="n">
        <x:v>0.18</x:v>
      </x:c>
      <x:c r="P1914" s="35" t="n">
        <x:f>L1914*O1914</x:f>
        <x:v>4.122</x:v>
      </x:c>
      <x:c r="Q1914" s="35" t="n">
        <x:v>1.2</x:v>
      </x:c>
      <x:c r="R1914" s="35" t="n">
        <x:f>K1914*Q1914</x:f>
        <x:v>1.2</x:v>
      </x:c>
      <x:c r="S1914" s="35" t="n">
        <x:f>XLOOKUP(H1914,'菜品主数据'!$A$5:$A$24,'菜品主数据'!$G$5:$G$24,0)</x:f>
        <x:v>9.770200000000003</x:v>
      </x:c>
      <x:c r="T1914" s="35" t="n">
        <x:f>K1914*S1914</x:f>
        <x:v>9.770200000000003</x:v>
      </x:c>
      <x:c r="U1914" s="35" t="n">
        <x:f>L1914-N1914-P1914-R1914-T1914</x:f>
        <x:v>5.975799999999996</x:v>
      </x:c>
      <x:c r="V1914" s="21" t="n">
        <x:f>IFERROR(U1914/L1914,0)</x:f>
        <x:v>0.260951965065502</x:v>
      </x:c>
    </x:row>
    <x:row r="1915">
      <x:c r="A1915" s="19" t="str">
        <x:v>SALE-01911</x:v>
      </x:c>
      <x:c r="B1915" s="34" t="n">
        <x:v>46215.5</x:v>
      </x:c>
      <x:c r="C1915" s="19" t="str">
        <x:v>周日</x:v>
      </x:c>
      <x:c r="D1915" s="19" t="str">
        <x:v>S07</x:v>
      </x:c>
      <x:c r="E1915" s="19" t="str">
        <x:v>小和山店</x:v>
      </x:c>
      <x:c r="F1915" s="19" t="str">
        <x:v>外卖</x:v>
      </x:c>
      <x:c r="G1915" s="19" t="str">
        <x:v>全日</x:v>
      </x:c>
      <x:c r="H1915" s="19" t="str">
        <x:v>D11</x:v>
      </x:c>
      <x:c r="I1915" s="19" t="str">
        <x:v>香辣爆肥肠</x:v>
      </x:c>
      <x:c r="J1915" s="22" t="n">
        <x:f>XLOOKUP(H1915,'菜品主数据'!$A$5:$A$24,'菜品主数据'!$D$5:$D$24,0)</x:f>
        <x:v>39</x:v>
      </x:c>
      <x:c r="K1915" s="31" t="n">
        <x:v>0</x:v>
      </x:c>
      <x:c r="L1915" s="35" t="n">
        <x:f>J1915*K1915</x:f>
        <x:v>0</x:v>
      </x:c>
      <x:c r="M1915" s="36" t="n">
        <x:v>0.08</x:v>
      </x:c>
      <x:c r="N1915" s="35" t="n">
        <x:f>L1915*M1915</x:f>
        <x:v>0</x:v>
      </x:c>
      <x:c r="O1915" s="37" t="n">
        <x:v>0.18</x:v>
      </x:c>
      <x:c r="P1915" s="35" t="n">
        <x:f>L1915*O1915</x:f>
        <x:v>0</x:v>
      </x:c>
      <x:c r="Q1915" s="35" t="n">
        <x:v>1.2</x:v>
      </x:c>
      <x:c r="R1915" s="35" t="n">
        <x:f>K1915*Q1915</x:f>
        <x:v>0</x:v>
      </x:c>
      <x:c r="S1915" s="35" t="n">
        <x:f>XLOOKUP(H1915,'菜品主数据'!$A$5:$A$24,'菜品主数据'!$G$5:$G$24,0)</x:f>
        <x:v>10.397</x:v>
      </x:c>
      <x:c r="T1915" s="35" t="n">
        <x:f>K1915*S1915</x:f>
        <x:v>0</x:v>
      </x:c>
      <x:c r="U1915" s="35" t="n">
        <x:f>L1915-N1915-P1915-R1915-T1915</x:f>
        <x:v>0</x:v>
      </x:c>
      <x:c r="V1915" s="21" t="n">
        <x:f>IFERROR(U1915/L1915,0)</x:f>
        <x:v>0</x:v>
      </x:c>
    </x:row>
    <x:row r="1916">
      <x:c r="A1916" s="19" t="str">
        <x:v>SALE-01912</x:v>
      </x:c>
      <x:c r="B1916" s="34" t="n">
        <x:v>46215.5</x:v>
      </x:c>
      <x:c r="C1916" s="19" t="str">
        <x:v>周日</x:v>
      </x:c>
      <x:c r="D1916" s="19" t="str">
        <x:v>S07</x:v>
      </x:c>
      <x:c r="E1916" s="19" t="str">
        <x:v>小和山店</x:v>
      </x:c>
      <x:c r="F1916" s="19" t="str">
        <x:v>外卖</x:v>
      </x:c>
      <x:c r="G1916" s="19" t="str">
        <x:v>全日</x:v>
      </x:c>
      <x:c r="H1916" s="19" t="str">
        <x:v>D12</x:v>
      </x:c>
      <x:c r="I1916" s="19" t="str">
        <x:v>清蒸鲈鱼</x:v>
      </x:c>
      <x:c r="J1916" s="22" t="n">
        <x:f>XLOOKUP(H1916,'菜品主数据'!$A$5:$A$24,'菜品主数据'!$D$5:$D$24,0)</x:f>
        <x:v>39</x:v>
      </x:c>
      <x:c r="K1916" s="31" t="n">
        <x:v>0</x:v>
      </x:c>
      <x:c r="L1916" s="35" t="n">
        <x:f>J1916*K1916</x:f>
        <x:v>0</x:v>
      </x:c>
      <x:c r="M1916" s="36" t="n">
        <x:v>0.08</x:v>
      </x:c>
      <x:c r="N1916" s="35" t="n">
        <x:f>L1916*M1916</x:f>
        <x:v>0</x:v>
      </x:c>
      <x:c r="O1916" s="37" t="n">
        <x:v>0.18</x:v>
      </x:c>
      <x:c r="P1916" s="35" t="n">
        <x:f>L1916*O1916</x:f>
        <x:v>0</x:v>
      </x:c>
      <x:c r="Q1916" s="35" t="n">
        <x:v>1.2</x:v>
      </x:c>
      <x:c r="R1916" s="35" t="n">
        <x:f>K1916*Q1916</x:f>
        <x:v>0</x:v>
      </x:c>
      <x:c r="S1916" s="35" t="n">
        <x:f>XLOOKUP(H1916,'菜品主数据'!$A$5:$A$24,'菜品主数据'!$G$5:$G$24,0)</x:f>
        <x:v>18.874</x:v>
      </x:c>
      <x:c r="T1916" s="35" t="n">
        <x:f>K1916*S1916</x:f>
        <x:v>0</x:v>
      </x:c>
      <x:c r="U1916" s="35" t="n">
        <x:f>L1916-N1916-P1916-R1916-T1916</x:f>
        <x:v>0</x:v>
      </x:c>
      <x:c r="V1916" s="21" t="n">
        <x:f>IFERROR(U1916/L1916,0)</x:f>
        <x:v>0</x:v>
      </x:c>
    </x:row>
    <x:row r="1917">
      <x:c r="A1917" s="19" t="str">
        <x:v>SALE-01913</x:v>
      </x:c>
      <x:c r="B1917" s="34" t="n">
        <x:v>46215.5</x:v>
      </x:c>
      <x:c r="C1917" s="19" t="str">
        <x:v>周日</x:v>
      </x:c>
      <x:c r="D1917" s="19" t="str">
        <x:v>S07</x:v>
      </x:c>
      <x:c r="E1917" s="19" t="str">
        <x:v>小和山店</x:v>
      </x:c>
      <x:c r="F1917" s="19" t="str">
        <x:v>外卖</x:v>
      </x:c>
      <x:c r="G1917" s="19" t="str">
        <x:v>全日</x:v>
      </x:c>
      <x:c r="H1917" s="19" t="str">
        <x:v>D13</x:v>
      </x:c>
      <x:c r="I1917" s="19" t="str">
        <x:v>外婆菜炒蛋</x:v>
      </x:c>
      <x:c r="J1917" s="22" t="n">
        <x:f>XLOOKUP(H1917,'菜品主数据'!$A$5:$A$24,'菜品主数据'!$D$5:$D$24,0)</x:f>
        <x:v>18</x:v>
      </x:c>
      <x:c r="K1917" s="31" t="n">
        <x:v>1</x:v>
      </x:c>
      <x:c r="L1917" s="35" t="n">
        <x:f>J1917*K1917</x:f>
        <x:v>18</x:v>
      </x:c>
      <x:c r="M1917" s="36" t="n">
        <x:v>0.08</x:v>
      </x:c>
      <x:c r="N1917" s="35" t="n">
        <x:f>L1917*M1917</x:f>
        <x:v>1.44</x:v>
      </x:c>
      <x:c r="O1917" s="37" t="n">
        <x:v>0.18</x:v>
      </x:c>
      <x:c r="P1917" s="35" t="n">
        <x:f>L1917*O1917</x:f>
        <x:v>3.2399999999999998</x:v>
      </x:c>
      <x:c r="Q1917" s="35" t="n">
        <x:v>1.2</x:v>
      </x:c>
      <x:c r="R1917" s="35" t="n">
        <x:f>K1917*Q1917</x:f>
        <x:v>1.2</x:v>
      </x:c>
      <x:c r="S1917" s="35" t="n">
        <x:f>XLOOKUP(H1917,'菜品主数据'!$A$5:$A$24,'菜品主数据'!$G$5:$G$24,0)</x:f>
        <x:v>5.403999999999999</x:v>
      </x:c>
      <x:c r="T1917" s="35" t="n">
        <x:f>K1917*S1917</x:f>
        <x:v>5.403999999999999</x:v>
      </x:c>
      <x:c r="U1917" s="35" t="n">
        <x:f>L1917-N1917-P1917-R1917-T1917</x:f>
        <x:v>6.716</x:v>
      </x:c>
      <x:c r="V1917" s="21" t="n">
        <x:f>IFERROR(U1917/L1917,0)</x:f>
        <x:v>0.3731111111111111</x:v>
      </x:c>
    </x:row>
    <x:row r="1918">
      <x:c r="A1918" s="19" t="str">
        <x:v>SALE-01914</x:v>
      </x:c>
      <x:c r="B1918" s="34" t="n">
        <x:v>46215.5</x:v>
      </x:c>
      <x:c r="C1918" s="19" t="str">
        <x:v>周日</x:v>
      </x:c>
      <x:c r="D1918" s="19" t="str">
        <x:v>S07</x:v>
      </x:c>
      <x:c r="E1918" s="19" t="str">
        <x:v>小和山店</x:v>
      </x:c>
      <x:c r="F1918" s="19" t="str">
        <x:v>外卖</x:v>
      </x:c>
      <x:c r="G1918" s="19" t="str">
        <x:v>全日</x:v>
      </x:c>
      <x:c r="H1918" s="19" t="str">
        <x:v>D14</x:v>
      </x:c>
      <x:c r="I1918" s="19" t="str">
        <x:v>酸辣鸡杂</x:v>
      </x:c>
      <x:c r="J1918" s="22" t="n">
        <x:f>XLOOKUP(H1918,'菜品主数据'!$A$5:$A$24,'菜品主数据'!$D$5:$D$24,0)</x:f>
        <x:v>28</x:v>
      </x:c>
      <x:c r="K1918" s="31" t="n">
        <x:v>0</x:v>
      </x:c>
      <x:c r="L1918" s="35" t="n">
        <x:f>J1918*K1918</x:f>
        <x:v>0</x:v>
      </x:c>
      <x:c r="M1918" s="36" t="n">
        <x:v>0.08</x:v>
      </x:c>
      <x:c r="N1918" s="35" t="n">
        <x:f>L1918*M1918</x:f>
        <x:v>0</x:v>
      </x:c>
      <x:c r="O1918" s="37" t="n">
        <x:v>0.18</x:v>
      </x:c>
      <x:c r="P1918" s="35" t="n">
        <x:f>L1918*O1918</x:f>
        <x:v>0</x:v>
      </x:c>
      <x:c r="Q1918" s="35" t="n">
        <x:v>1.2</x:v>
      </x:c>
      <x:c r="R1918" s="35" t="n">
        <x:f>K1918*Q1918</x:f>
        <x:v>0</x:v>
      </x:c>
      <x:c r="S1918" s="35" t="n">
        <x:f>XLOOKUP(H1918,'菜品主数据'!$A$5:$A$24,'菜品主数据'!$G$5:$G$24,0)</x:f>
        <x:v>8.315000000000001</x:v>
      </x:c>
      <x:c r="T1918" s="35" t="n">
        <x:f>K1918*S1918</x:f>
        <x:v>0</x:v>
      </x:c>
      <x:c r="U1918" s="35" t="n">
        <x:f>L1918-N1918-P1918-R1918-T1918</x:f>
        <x:v>0</x:v>
      </x:c>
      <x:c r="V1918" s="21" t="n">
        <x:f>IFERROR(U1918/L1918,0)</x:f>
        <x:v>0</x:v>
      </x:c>
    </x:row>
    <x:row r="1919">
      <x:c r="A1919" s="19" t="str">
        <x:v>SALE-01915</x:v>
      </x:c>
      <x:c r="B1919" s="34" t="n">
        <x:v>46215.5</x:v>
      </x:c>
      <x:c r="C1919" s="19" t="str">
        <x:v>周日</x:v>
      </x:c>
      <x:c r="D1919" s="19" t="str">
        <x:v>S07</x:v>
      </x:c>
      <x:c r="E1919" s="19" t="str">
        <x:v>小和山店</x:v>
      </x:c>
      <x:c r="F1919" s="19" t="str">
        <x:v>外卖</x:v>
      </x:c>
      <x:c r="G1919" s="19" t="str">
        <x:v>全日</x:v>
      </x:c>
      <x:c r="H1919" s="19" t="str">
        <x:v>D15</x:v>
      </x:c>
      <x:c r="I1919" s="19" t="str">
        <x:v>湘西土匪猪肝</x:v>
      </x:c>
      <x:c r="J1919" s="22" t="n">
        <x:f>XLOOKUP(H1919,'菜品主数据'!$A$5:$A$24,'菜品主数据'!$D$5:$D$24,0)</x:f>
        <x:v>26</x:v>
      </x:c>
      <x:c r="K1919" s="31" t="n">
        <x:v>0</x:v>
      </x:c>
      <x:c r="L1919" s="35" t="n">
        <x:f>J1919*K1919</x:f>
        <x:v>0</x:v>
      </x:c>
      <x:c r="M1919" s="36" t="n">
        <x:v>0.08</x:v>
      </x:c>
      <x:c r="N1919" s="35" t="n">
        <x:f>L1919*M1919</x:f>
        <x:v>0</x:v>
      </x:c>
      <x:c r="O1919" s="37" t="n">
        <x:v>0.18</x:v>
      </x:c>
      <x:c r="P1919" s="35" t="n">
        <x:f>L1919*O1919</x:f>
        <x:v>0</x:v>
      </x:c>
      <x:c r="Q1919" s="35" t="n">
        <x:v>1.2</x:v>
      </x:c>
      <x:c r="R1919" s="35" t="n">
        <x:f>K1919*Q1919</x:f>
        <x:v>0</x:v>
      </x:c>
      <x:c r="S1919" s="35" t="n">
        <x:f>XLOOKUP(H1919,'菜品主数据'!$A$5:$A$24,'菜品主数据'!$G$5:$G$24,0)</x:f>
        <x:v>6.3759999999999994</x:v>
      </x:c>
      <x:c r="T1919" s="35" t="n">
        <x:f>K1919*S1919</x:f>
        <x:v>0</x:v>
      </x:c>
      <x:c r="U1919" s="35" t="n">
        <x:f>L1919-N1919-P1919-R1919-T1919</x:f>
        <x:v>0</x:v>
      </x:c>
      <x:c r="V1919" s="21" t="n">
        <x:f>IFERROR(U1919/L1919,0)</x:f>
        <x:v>0</x:v>
      </x:c>
    </x:row>
    <x:row r="1920">
      <x:c r="A1920" s="19" t="str">
        <x:v>SALE-01916</x:v>
      </x:c>
      <x:c r="B1920" s="34" t="n">
        <x:v>46215.5</x:v>
      </x:c>
      <x:c r="C1920" s="19" t="str">
        <x:v>周日</x:v>
      </x:c>
      <x:c r="D1920" s="19" t="str">
        <x:v>S07</x:v>
      </x:c>
      <x:c r="E1920" s="19" t="str">
        <x:v>小和山店</x:v>
      </x:c>
      <x:c r="F1920" s="19" t="str">
        <x:v>外卖</x:v>
      </x:c>
      <x:c r="G1920" s="19" t="str">
        <x:v>全日</x:v>
      </x:c>
      <x:c r="H1920" s="19" t="str">
        <x:v>D16</x:v>
      </x:c>
      <x:c r="I1920" s="19" t="str">
        <x:v>小豆角炒五花</x:v>
      </x:c>
      <x:c r="J1920" s="22" t="n">
        <x:f>XLOOKUP(H1920,'菜品主数据'!$A$5:$A$24,'菜品主数据'!$D$5:$D$24,0)</x:f>
        <x:v>25</x:v>
      </x:c>
      <x:c r="K1920" s="31" t="n">
        <x:v>0</x:v>
      </x:c>
      <x:c r="L1920" s="35" t="n">
        <x:f>J1920*K1920</x:f>
        <x:v>0</x:v>
      </x:c>
      <x:c r="M1920" s="36" t="n">
        <x:v>0.08</x:v>
      </x:c>
      <x:c r="N1920" s="35" t="n">
        <x:f>L1920*M1920</x:f>
        <x:v>0</x:v>
      </x:c>
      <x:c r="O1920" s="37" t="n">
        <x:v>0.18</x:v>
      </x:c>
      <x:c r="P1920" s="35" t="n">
        <x:f>L1920*O1920</x:f>
        <x:v>0</x:v>
      </x:c>
      <x:c r="Q1920" s="35" t="n">
        <x:v>1.2</x:v>
      </x:c>
      <x:c r="R1920" s="35" t="n">
        <x:f>K1920*Q1920</x:f>
        <x:v>0</x:v>
      </x:c>
      <x:c r="S1920" s="35" t="n">
        <x:f>XLOOKUP(H1920,'菜品主数据'!$A$5:$A$24,'菜品主数据'!$G$5:$G$24,0)</x:f>
        <x:v>8.184</x:v>
      </x:c>
      <x:c r="T1920" s="35" t="n">
        <x:f>K1920*S1920</x:f>
        <x:v>0</x:v>
      </x:c>
      <x:c r="U1920" s="35" t="n">
        <x:f>L1920-N1920-P1920-R1920-T1920</x:f>
        <x:v>0</x:v>
      </x:c>
      <x:c r="V1920" s="21" t="n">
        <x:f>IFERROR(U1920/L1920,0)</x:f>
        <x:v>0</x:v>
      </x:c>
    </x:row>
    <x:row r="1921">
      <x:c r="A1921" s="19" t="str">
        <x:v>SALE-01917</x:v>
      </x:c>
      <x:c r="B1921" s="34" t="n">
        <x:v>46215.5</x:v>
      </x:c>
      <x:c r="C1921" s="19" t="str">
        <x:v>周日</x:v>
      </x:c>
      <x:c r="D1921" s="19" t="str">
        <x:v>S07</x:v>
      </x:c>
      <x:c r="E1921" s="19" t="str">
        <x:v>小和山店</x:v>
      </x:c>
      <x:c r="F1921" s="19" t="str">
        <x:v>外卖</x:v>
      </x:c>
      <x:c r="G1921" s="19" t="str">
        <x:v>全日</x:v>
      </x:c>
      <x:c r="H1921" s="19" t="str">
        <x:v>D17</x:v>
      </x:c>
      <x:c r="I1921" s="19" t="str">
        <x:v>蒜蓉粉丝虾</x:v>
      </x:c>
      <x:c r="J1921" s="22" t="n">
        <x:f>XLOOKUP(H1921,'菜品主数据'!$A$5:$A$24,'菜品主数据'!$D$5:$D$24,0)</x:f>
        <x:v>36</x:v>
      </x:c>
      <x:c r="K1921" s="31" t="n">
        <x:v>0</x:v>
      </x:c>
      <x:c r="L1921" s="35" t="n">
        <x:f>J1921*K1921</x:f>
        <x:v>0</x:v>
      </x:c>
      <x:c r="M1921" s="36" t="n">
        <x:v>0.08</x:v>
      </x:c>
      <x:c r="N1921" s="35" t="n">
        <x:f>L1921*M1921</x:f>
        <x:v>0</x:v>
      </x:c>
      <x:c r="O1921" s="37" t="n">
        <x:v>0.18</x:v>
      </x:c>
      <x:c r="P1921" s="35" t="n">
        <x:f>L1921*O1921</x:f>
        <x:v>0</x:v>
      </x:c>
      <x:c r="Q1921" s="35" t="n">
        <x:v>1.2</x:v>
      </x:c>
      <x:c r="R1921" s="35" t="n">
        <x:f>K1921*Q1921</x:f>
        <x:v>0</x:v>
      </x:c>
      <x:c r="S1921" s="35" t="n">
        <x:f>XLOOKUP(H1921,'菜品主数据'!$A$5:$A$24,'菜品主数据'!$G$5:$G$24,0)</x:f>
        <x:v>13.594</x:v>
      </x:c>
      <x:c r="T1921" s="35" t="n">
        <x:f>K1921*S1921</x:f>
        <x:v>0</x:v>
      </x:c>
      <x:c r="U1921" s="35" t="n">
        <x:f>L1921-N1921-P1921-R1921-T1921</x:f>
        <x:v>0</x:v>
      </x:c>
      <x:c r="V1921" s="21" t="n">
        <x:f>IFERROR(U1921/L1921,0)</x:f>
        <x:v>0</x:v>
      </x:c>
    </x:row>
    <x:row r="1922">
      <x:c r="A1922" s="19" t="str">
        <x:v>SALE-01918</x:v>
      </x:c>
      <x:c r="B1922" s="34" t="n">
        <x:v>46215.5</x:v>
      </x:c>
      <x:c r="C1922" s="19" t="str">
        <x:v>周日</x:v>
      </x:c>
      <x:c r="D1922" s="19" t="str">
        <x:v>S07</x:v>
      </x:c>
      <x:c r="E1922" s="19" t="str">
        <x:v>小和山店</x:v>
      </x:c>
      <x:c r="F1922" s="19" t="str">
        <x:v>外卖</x:v>
      </x:c>
      <x:c r="G1922" s="19" t="str">
        <x:v>全日</x:v>
      </x:c>
      <x:c r="H1922" s="19" t="str">
        <x:v>D18</x:v>
      </x:c>
      <x:c r="I1922" s="19" t="str">
        <x:v>青椒炒油麦菜</x:v>
      </x:c>
      <x:c r="J1922" s="22" t="n">
        <x:f>XLOOKUP(H1922,'菜品主数据'!$A$5:$A$24,'菜品主数据'!$D$5:$D$24,0)</x:f>
        <x:v>18</x:v>
      </x:c>
      <x:c r="K1922" s="31" t="n">
        <x:v>0</x:v>
      </x:c>
      <x:c r="L1922" s="35" t="n">
        <x:f>J1922*K1922</x:f>
        <x:v>0</x:v>
      </x:c>
      <x:c r="M1922" s="36" t="n">
        <x:v>0.08</x:v>
      </x:c>
      <x:c r="N1922" s="35" t="n">
        <x:f>L1922*M1922</x:f>
        <x:v>0</x:v>
      </x:c>
      <x:c r="O1922" s="37" t="n">
        <x:v>0.18</x:v>
      </x:c>
      <x:c r="P1922" s="35" t="n">
        <x:f>L1922*O1922</x:f>
        <x:v>0</x:v>
      </x:c>
      <x:c r="Q1922" s="35" t="n">
        <x:v>1.2</x:v>
      </x:c>
      <x:c r="R1922" s="35" t="n">
        <x:f>K1922*Q1922</x:f>
        <x:v>0</x:v>
      </x:c>
      <x:c r="S1922" s="35" t="n">
        <x:f>XLOOKUP(H1922,'菜品主数据'!$A$5:$A$24,'菜品主数据'!$G$5:$G$24,0)</x:f>
        <x:v>3.1759999999999993</x:v>
      </x:c>
      <x:c r="T1922" s="35" t="n">
        <x:f>K1922*S1922</x:f>
        <x:v>0</x:v>
      </x:c>
      <x:c r="U1922" s="35" t="n">
        <x:f>L1922-N1922-P1922-R1922-T1922</x:f>
        <x:v>0</x:v>
      </x:c>
      <x:c r="V1922" s="21" t="n">
        <x:f>IFERROR(U1922/L1922,0)</x:f>
        <x:v>0</x:v>
      </x:c>
    </x:row>
    <x:row r="1923">
      <x:c r="A1923" s="19" t="str">
        <x:v>SALE-01919</x:v>
      </x:c>
      <x:c r="B1923" s="34" t="n">
        <x:v>46215.5</x:v>
      </x:c>
      <x:c r="C1923" s="19" t="str">
        <x:v>周日</x:v>
      </x:c>
      <x:c r="D1923" s="19" t="str">
        <x:v>S07</x:v>
      </x:c>
      <x:c r="E1923" s="19" t="str">
        <x:v>小和山店</x:v>
      </x:c>
      <x:c r="F1923" s="19" t="str">
        <x:v>外卖</x:v>
      </x:c>
      <x:c r="G1923" s="19" t="str">
        <x:v>全日</x:v>
      </x:c>
      <x:c r="H1923" s="19" t="str">
        <x:v>D19</x:v>
      </x:c>
      <x:c r="I1923" s="19" t="str">
        <x:v>酸萝卜炒鸡杂</x:v>
      </x:c>
      <x:c r="J1923" s="22" t="n">
        <x:f>XLOOKUP(H1923,'菜品主数据'!$A$5:$A$24,'菜品主数据'!$D$5:$D$24,0)</x:f>
        <x:v>25</x:v>
      </x:c>
      <x:c r="K1923" s="31" t="n">
        <x:v>0</x:v>
      </x:c>
      <x:c r="L1923" s="35" t="n">
        <x:f>J1923*K1923</x:f>
        <x:v>0</x:v>
      </x:c>
      <x:c r="M1923" s="36" t="n">
        <x:v>0.08</x:v>
      </x:c>
      <x:c r="N1923" s="35" t="n">
        <x:f>L1923*M1923</x:f>
        <x:v>0</x:v>
      </x:c>
      <x:c r="O1923" s="37" t="n">
        <x:v>0.18</x:v>
      </x:c>
      <x:c r="P1923" s="35" t="n">
        <x:f>L1923*O1923</x:f>
        <x:v>0</x:v>
      </x:c>
      <x:c r="Q1923" s="35" t="n">
        <x:v>1.2</x:v>
      </x:c>
      <x:c r="R1923" s="35" t="n">
        <x:f>K1923*Q1923</x:f>
        <x:v>0</x:v>
      </x:c>
      <x:c r="S1923" s="35" t="n">
        <x:f>XLOOKUP(H1923,'菜品主数据'!$A$5:$A$24,'菜品主数据'!$G$5:$G$24,0)</x:f>
        <x:v>7.9399999999999995</x:v>
      </x:c>
      <x:c r="T1923" s="35" t="n">
        <x:f>K1923*S1923</x:f>
        <x:v>0</x:v>
      </x:c>
      <x:c r="U1923" s="35" t="n">
        <x:f>L1923-N1923-P1923-R1923-T1923</x:f>
        <x:v>0</x:v>
      </x:c>
      <x:c r="V1923" s="21" t="n">
        <x:f>IFERROR(U1923/L1923,0)</x:f>
        <x:v>0</x:v>
      </x:c>
    </x:row>
    <x:row r="1924">
      <x:c r="A1924" s="19" t="str">
        <x:v>SALE-01920</x:v>
      </x:c>
      <x:c r="B1924" s="34" t="n">
        <x:v>46215.5</x:v>
      </x:c>
      <x:c r="C1924" s="19" t="str">
        <x:v>周日</x:v>
      </x:c>
      <x:c r="D1924" s="19" t="str">
        <x:v>S07</x:v>
      </x:c>
      <x:c r="E1924" s="19" t="str">
        <x:v>小和山店</x:v>
      </x:c>
      <x:c r="F1924" s="19" t="str">
        <x:v>外卖</x:v>
      </x:c>
      <x:c r="G1924" s="19" t="str">
        <x:v>全日</x:v>
      </x:c>
      <x:c r="H1924" s="19" t="str">
        <x:v>D20</x:v>
      </x:c>
      <x:c r="I1924" s="19" t="str">
        <x:v>雪菜肉末青豆</x:v>
      </x:c>
      <x:c r="J1924" s="22" t="n">
        <x:f>XLOOKUP(H1924,'菜品主数据'!$A$5:$A$24,'菜品主数据'!$D$5:$D$24,0)</x:f>
        <x:v>18</x:v>
      </x:c>
      <x:c r="K1924" s="31" t="n">
        <x:v>0</x:v>
      </x:c>
      <x:c r="L1924" s="35" t="n">
        <x:f>J1924*K1924</x:f>
        <x:v>0</x:v>
      </x:c>
      <x:c r="M1924" s="36" t="n">
        <x:v>0.08</x:v>
      </x:c>
      <x:c r="N1924" s="35" t="n">
        <x:f>L1924*M1924</x:f>
        <x:v>0</x:v>
      </x:c>
      <x:c r="O1924" s="37" t="n">
        <x:v>0.18</x:v>
      </x:c>
      <x:c r="P1924" s="35" t="n">
        <x:f>L1924*O1924</x:f>
        <x:v>0</x:v>
      </x:c>
      <x:c r="Q1924" s="35" t="n">
        <x:v>1.2</x:v>
      </x:c>
      <x:c r="R1924" s="35" t="n">
        <x:f>K1924*Q1924</x:f>
        <x:v>0</x:v>
      </x:c>
      <x:c r="S1924" s="35" t="n">
        <x:f>XLOOKUP(H1924,'菜品主数据'!$A$5:$A$24,'菜品主数据'!$G$5:$G$24,0)</x:f>
        <x:v>7.303999999999999</x:v>
      </x:c>
      <x:c r="T1924" s="35" t="n">
        <x:f>K1924*S1924</x:f>
        <x:v>0</x:v>
      </x:c>
      <x:c r="U1924" s="35" t="n">
        <x:f>L1924-N1924-P1924-R1924-T1924</x:f>
        <x:v>0</x:v>
      </x:c>
      <x:c r="V1924" s="21" t="n">
        <x:f>IFERROR(U1924/L1924,0)</x:f>
        <x:v>0</x:v>
      </x:c>
    </x:row>
    <x:row r="1925">
      <x:c r="A1925" s="19" t="str">
        <x:v>SALE-01921</x:v>
      </x:c>
      <x:c r="B1925" s="34" t="n">
        <x:v>46216.5</x:v>
      </x:c>
      <x:c r="C1925" s="19" t="str">
        <x:v>周一</x:v>
      </x:c>
      <x:c r="D1925" s="19" t="str">
        <x:v>S07</x:v>
      </x:c>
      <x:c r="E1925" s="19" t="str">
        <x:v>小和山店</x:v>
      </x:c>
      <x:c r="F1925" s="19" t="str">
        <x:v>堂食</x:v>
      </x:c>
      <x:c r="G1925" s="19" t="str">
        <x:v>全日</x:v>
      </x:c>
      <x:c r="H1925" s="19" t="str">
        <x:v>D01</x:v>
      </x:c>
      <x:c r="I1925" s="19" t="str">
        <x:v>辣椒炒肉</x:v>
      </x:c>
      <x:c r="J1925" s="22" t="n">
        <x:f>XLOOKUP(H1925,'菜品主数据'!$A$5:$A$24,'菜品主数据'!$D$5:$D$24,0)</x:f>
        <x:v>29</x:v>
      </x:c>
      <x:c r="K1925" s="31" t="n">
        <x:v>42</x:v>
      </x:c>
      <x:c r="L1925" s="35" t="n">
        <x:f>J1925*K1925</x:f>
        <x:v>1218</x:v>
      </x:c>
      <x:c r="M1925" s="36" t="n">
        <x:v>0</x:v>
      </x:c>
      <x:c r="N1925" s="35" t="n">
        <x:f>L1925*M1925</x:f>
        <x:v>0</x:v>
      </x:c>
      <x:c r="O1925" s="37" t="n">
        <x:v>0</x:v>
      </x:c>
      <x:c r="P1925" s="35" t="n">
        <x:f>L1925*O1925</x:f>
        <x:v>0</x:v>
      </x:c>
      <x:c r="Q1925" s="35" t="n">
        <x:v>0</x:v>
      </x:c>
      <x:c r="R1925" s="35" t="n">
        <x:f>K1925*Q1925</x:f>
        <x:v>0</x:v>
      </x:c>
      <x:c r="S1925" s="35" t="n">
        <x:f>XLOOKUP(H1925,'菜品主数据'!$A$5:$A$24,'菜品主数据'!$G$5:$G$24,0)</x:f>
        <x:v>8.634400000000001</x:v>
      </x:c>
      <x:c r="T1925" s="35" t="n">
        <x:f>K1925*S1925</x:f>
        <x:v>362.64480000000003</x:v>
      </x:c>
      <x:c r="U1925" s="35" t="n">
        <x:f>L1925-N1925-P1925-R1925-T1925</x:f>
        <x:v>855.3552</x:v>
      </x:c>
      <x:c r="V1925" s="21" t="n">
        <x:f>IFERROR(U1925/L1925,0)</x:f>
        <x:v>0.7022620689655172</x:v>
      </x:c>
    </x:row>
    <x:row r="1926">
      <x:c r="A1926" s="19" t="str">
        <x:v>SALE-01922</x:v>
      </x:c>
      <x:c r="B1926" s="34" t="n">
        <x:v>46216.5</x:v>
      </x:c>
      <x:c r="C1926" s="19" t="str">
        <x:v>周一</x:v>
      </x:c>
      <x:c r="D1926" s="19" t="str">
        <x:v>S07</x:v>
      </x:c>
      <x:c r="E1926" s="19" t="str">
        <x:v>小和山店</x:v>
      </x:c>
      <x:c r="F1926" s="19" t="str">
        <x:v>堂食</x:v>
      </x:c>
      <x:c r="G1926" s="19" t="str">
        <x:v>全日</x:v>
      </x:c>
      <x:c r="H1926" s="19" t="str">
        <x:v>D02</x:v>
      </x:c>
      <x:c r="I1926" s="19" t="str">
        <x:v>小炒黄牛肉</x:v>
      </x:c>
      <x:c r="J1926" s="22" t="n">
        <x:f>XLOOKUP(H1926,'菜品主数据'!$A$5:$A$24,'菜品主数据'!$D$5:$D$24,0)</x:f>
        <x:v>49</x:v>
      </x:c>
      <x:c r="K1926" s="31" t="n">
        <x:v>25</x:v>
      </x:c>
      <x:c r="L1926" s="35" t="n">
        <x:f>J1926*K1926</x:f>
        <x:v>1225</x:v>
      </x:c>
      <x:c r="M1926" s="36" t="n">
        <x:v>0</x:v>
      </x:c>
      <x:c r="N1926" s="35" t="n">
        <x:f>L1926*M1926</x:f>
        <x:v>0</x:v>
      </x:c>
      <x:c r="O1926" s="37" t="n">
        <x:v>0</x:v>
      </x:c>
      <x:c r="P1926" s="35" t="n">
        <x:f>L1926*O1926</x:f>
        <x:v>0</x:v>
      </x:c>
      <x:c r="Q1926" s="35" t="n">
        <x:v>0</x:v>
      </x:c>
      <x:c r="R1926" s="35" t="n">
        <x:f>K1926*Q1926</x:f>
        <x:v>0</x:v>
      </x:c>
      <x:c r="S1926" s="35" t="n">
        <x:f>XLOOKUP(H1926,'菜品主数据'!$A$5:$A$24,'菜品主数据'!$G$5:$G$24,0)</x:f>
        <x:v>17.577</x:v>
      </x:c>
      <x:c r="T1926" s="35" t="n">
        <x:f>K1926*S1926</x:f>
        <x:v>439.42500000000007</x:v>
      </x:c>
      <x:c r="U1926" s="35" t="n">
        <x:f>L1926-N1926-P1926-R1926-T1926</x:f>
        <x:v>785.5749999999999</x:v>
      </x:c>
      <x:c r="V1926" s="21" t="n">
        <x:f>IFERROR(U1926/L1926,0)</x:f>
        <x:v>0.6412857142857142</x:v>
      </x:c>
    </x:row>
    <x:row r="1927">
      <x:c r="A1927" s="19" t="str">
        <x:v>SALE-01923</x:v>
      </x:c>
      <x:c r="B1927" s="34" t="n">
        <x:v>46216.5</x:v>
      </x:c>
      <x:c r="C1927" s="19" t="str">
        <x:v>周一</x:v>
      </x:c>
      <x:c r="D1927" s="19" t="str">
        <x:v>S07</x:v>
      </x:c>
      <x:c r="E1927" s="19" t="str">
        <x:v>小和山店</x:v>
      </x:c>
      <x:c r="F1927" s="19" t="str">
        <x:v>堂食</x:v>
      </x:c>
      <x:c r="G1927" s="19" t="str">
        <x:v>全日</x:v>
      </x:c>
      <x:c r="H1927" s="19" t="str">
        <x:v>D03</x:v>
      </x:c>
      <x:c r="I1927" s="19" t="str">
        <x:v>香醋炒蛋</x:v>
      </x:c>
      <x:c r="J1927" s="22" t="n">
        <x:f>XLOOKUP(H1927,'菜品主数据'!$A$5:$A$24,'菜品主数据'!$D$5:$D$24,0)</x:f>
        <x:v>14.9</x:v>
      </x:c>
      <x:c r="K1927" s="31" t="n">
        <x:v>39</x:v>
      </x:c>
      <x:c r="L1927" s="35" t="n">
        <x:f>J1927*K1927</x:f>
        <x:v>581.1</x:v>
      </x:c>
      <x:c r="M1927" s="36" t="n">
        <x:v>0</x:v>
      </x:c>
      <x:c r="N1927" s="35" t="n">
        <x:f>L1927*M1927</x:f>
        <x:v>0</x:v>
      </x:c>
      <x:c r="O1927" s="37" t="n">
        <x:v>0</x:v>
      </x:c>
      <x:c r="P1927" s="35" t="n">
        <x:f>L1927*O1927</x:f>
        <x:v>0</x:v>
      </x:c>
      <x:c r="Q1927" s="35" t="n">
        <x:v>0</x:v>
      </x:c>
      <x:c r="R1927" s="35" t="n">
        <x:f>K1927*Q1927</x:f>
        <x:v>0</x:v>
      </x:c>
      <x:c r="S1927" s="35" t="n">
        <x:f>XLOOKUP(H1927,'菜品主数据'!$A$5:$A$24,'菜品主数据'!$G$5:$G$24,0)</x:f>
        <x:v>3.7459999999999996</x:v>
      </x:c>
      <x:c r="T1927" s="35" t="n">
        <x:f>K1927*S1927</x:f>
        <x:v>146.094</x:v>
      </x:c>
      <x:c r="U1927" s="35" t="n">
        <x:f>L1927-N1927-P1927-R1927-T1927</x:f>
        <x:v>435.00600000000003</x:v>
      </x:c>
      <x:c r="V1927" s="21" t="n">
        <x:f>IFERROR(U1927/L1927,0)</x:f>
        <x:v>0.7485906040268456</x:v>
      </x:c>
    </x:row>
    <x:row r="1928">
      <x:c r="A1928" s="19" t="str">
        <x:v>SALE-01924</x:v>
      </x:c>
      <x:c r="B1928" s="34" t="n">
        <x:v>46216.5</x:v>
      </x:c>
      <x:c r="C1928" s="19" t="str">
        <x:v>周一</x:v>
      </x:c>
      <x:c r="D1928" s="19" t="str">
        <x:v>S07</x:v>
      </x:c>
      <x:c r="E1928" s="19" t="str">
        <x:v>小和山店</x:v>
      </x:c>
      <x:c r="F1928" s="19" t="str">
        <x:v>堂食</x:v>
      </x:c>
      <x:c r="G1928" s="19" t="str">
        <x:v>全日</x:v>
      </x:c>
      <x:c r="H1928" s="19" t="str">
        <x:v>D04</x:v>
      </x:c>
      <x:c r="I1928" s="19" t="str">
        <x:v>酸包菜炒粉皮</x:v>
      </x:c>
      <x:c r="J1928" s="22" t="n">
        <x:f>XLOOKUP(H1928,'菜品主数据'!$A$5:$A$24,'菜品主数据'!$D$5:$D$24,0)</x:f>
        <x:v>16</x:v>
      </x:c>
      <x:c r="K1928" s="31" t="n">
        <x:v>31</x:v>
      </x:c>
      <x:c r="L1928" s="35" t="n">
        <x:f>J1928*K1928</x:f>
        <x:v>496</x:v>
      </x:c>
      <x:c r="M1928" s="36" t="n">
        <x:v>0</x:v>
      </x:c>
      <x:c r="N1928" s="35" t="n">
        <x:f>L1928*M1928</x:f>
        <x:v>0</x:v>
      </x:c>
      <x:c r="O1928" s="37" t="n">
        <x:v>0</x:v>
      </x:c>
      <x:c r="P1928" s="35" t="n">
        <x:f>L1928*O1928</x:f>
        <x:v>0</x:v>
      </x:c>
      <x:c r="Q1928" s="35" t="n">
        <x:v>0</x:v>
      </x:c>
      <x:c r="R1928" s="35" t="n">
        <x:f>K1928*Q1928</x:f>
        <x:v>0</x:v>
      </x:c>
      <x:c r="S1928" s="35" t="n">
        <x:f>XLOOKUP(H1928,'菜品主数据'!$A$5:$A$24,'菜品主数据'!$G$5:$G$24,0)</x:f>
        <x:v>3.978</x:v>
      </x:c>
      <x:c r="T1928" s="35" t="n">
        <x:f>K1928*S1928</x:f>
        <x:v>123.31800000000001</x:v>
      </x:c>
      <x:c r="U1928" s="35" t="n">
        <x:f>L1928-N1928-P1928-R1928-T1928</x:f>
        <x:v>372.682</x:v>
      </x:c>
      <x:c r="V1928" s="21" t="n">
        <x:f>IFERROR(U1928/L1928,0)</x:f>
        <x:v>0.751375</x:v>
      </x:c>
    </x:row>
    <x:row r="1929">
      <x:c r="A1929" s="19" t="str">
        <x:v>SALE-01925</x:v>
      </x:c>
      <x:c r="B1929" s="34" t="n">
        <x:v>46216.5</x:v>
      </x:c>
      <x:c r="C1929" s="19" t="str">
        <x:v>周一</x:v>
      </x:c>
      <x:c r="D1929" s="19" t="str">
        <x:v>S07</x:v>
      </x:c>
      <x:c r="E1929" s="19" t="str">
        <x:v>小和山店</x:v>
      </x:c>
      <x:c r="F1929" s="19" t="str">
        <x:v>堂食</x:v>
      </x:c>
      <x:c r="G1929" s="19" t="str">
        <x:v>全日</x:v>
      </x:c>
      <x:c r="H1929" s="19" t="str">
        <x:v>D05</x:v>
      </x:c>
      <x:c r="I1929" s="19" t="str">
        <x:v>麻婆豆腐</x:v>
      </x:c>
      <x:c r="J1929" s="22" t="n">
        <x:f>XLOOKUP(H1929,'菜品主数据'!$A$5:$A$24,'菜品主数据'!$D$5:$D$24,0)</x:f>
        <x:v>9.9</x:v>
      </x:c>
      <x:c r="K1929" s="31" t="n">
        <x:v>50</x:v>
      </x:c>
      <x:c r="L1929" s="35" t="n">
        <x:f>J1929*K1929</x:f>
        <x:v>495</x:v>
      </x:c>
      <x:c r="M1929" s="36" t="n">
        <x:v>0</x:v>
      </x:c>
      <x:c r="N1929" s="35" t="n">
        <x:f>L1929*M1929</x:f>
        <x:v>0</x:v>
      </x:c>
      <x:c r="O1929" s="37" t="n">
        <x:v>0</x:v>
      </x:c>
      <x:c r="P1929" s="35" t="n">
        <x:f>L1929*O1929</x:f>
        <x:v>0</x:v>
      </x:c>
      <x:c r="Q1929" s="35" t="n">
        <x:v>0</x:v>
      </x:c>
      <x:c r="R1929" s="35" t="n">
        <x:f>K1929*Q1929</x:f>
        <x:v>0</x:v>
      </x:c>
      <x:c r="S1929" s="35" t="n">
        <x:f>XLOOKUP(H1929,'菜品主数据'!$A$5:$A$24,'菜品主数据'!$G$5:$G$24,0)</x:f>
        <x:v>5.367000000000001</x:v>
      </x:c>
      <x:c r="T1929" s="35" t="n">
        <x:f>K1929*S1929</x:f>
        <x:v>268.35</x:v>
      </x:c>
      <x:c r="U1929" s="35" t="n">
        <x:f>L1929-N1929-P1929-R1929-T1929</x:f>
        <x:v>226.64999999999998</x:v>
      </x:c>
      <x:c r="V1929" s="21" t="n">
        <x:f>IFERROR(U1929/L1929,0)</x:f>
        <x:v>0.45787878787878783</x:v>
      </x:c>
    </x:row>
    <x:row r="1930">
      <x:c r="A1930" s="19" t="str">
        <x:v>SALE-01926</x:v>
      </x:c>
      <x:c r="B1930" s="34" t="n">
        <x:v>46216.5</x:v>
      </x:c>
      <x:c r="C1930" s="19" t="str">
        <x:v>周一</x:v>
      </x:c>
      <x:c r="D1930" s="19" t="str">
        <x:v>S07</x:v>
      </x:c>
      <x:c r="E1930" s="19" t="str">
        <x:v>小和山店</x:v>
      </x:c>
      <x:c r="F1930" s="19" t="str">
        <x:v>堂食</x:v>
      </x:c>
      <x:c r="G1930" s="19" t="str">
        <x:v>全日</x:v>
      </x:c>
      <x:c r="H1930" s="19" t="str">
        <x:v>D06</x:v>
      </x:c>
      <x:c r="I1930" s="19" t="str">
        <x:v>剁椒鱼头</x:v>
      </x:c>
      <x:c r="J1930" s="22" t="n">
        <x:f>XLOOKUP(H1930,'菜品主数据'!$A$5:$A$24,'菜品主数据'!$D$5:$D$24,0)</x:f>
        <x:v>39</x:v>
      </x:c>
      <x:c r="K1930" s="31" t="n">
        <x:v>11</x:v>
      </x:c>
      <x:c r="L1930" s="35" t="n">
        <x:f>J1930*K1930</x:f>
        <x:v>429</x:v>
      </x:c>
      <x:c r="M1930" s="36" t="n">
        <x:v>0</x:v>
      </x:c>
      <x:c r="N1930" s="35" t="n">
        <x:f>L1930*M1930</x:f>
        <x:v>0</x:v>
      </x:c>
      <x:c r="O1930" s="37" t="n">
        <x:v>0</x:v>
      </x:c>
      <x:c r="P1930" s="35" t="n">
        <x:f>L1930*O1930</x:f>
        <x:v>0</x:v>
      </x:c>
      <x:c r="Q1930" s="35" t="n">
        <x:v>0</x:v>
      </x:c>
      <x:c r="R1930" s="35" t="n">
        <x:f>K1930*Q1930</x:f>
        <x:v>0</x:v>
      </x:c>
      <x:c r="S1930" s="35" t="n">
        <x:f>XLOOKUP(H1930,'菜品主数据'!$A$5:$A$24,'菜品主数据'!$G$5:$G$24,0)</x:f>
        <x:v>17.446</x:v>
      </x:c>
      <x:c r="T1930" s="35" t="n">
        <x:f>K1930*S1930</x:f>
        <x:v>191.906</x:v>
      </x:c>
      <x:c r="U1930" s="35" t="n">
        <x:f>L1930-N1930-P1930-R1930-T1930</x:f>
        <x:v>237.094</x:v>
      </x:c>
      <x:c r="V1930" s="21" t="n">
        <x:f>IFERROR(U1930/L1930,0)</x:f>
        <x:v>0.5526666666666666</x:v>
      </x:c>
    </x:row>
    <x:row r="1931">
      <x:c r="A1931" s="19" t="str">
        <x:v>SALE-01927</x:v>
      </x:c>
      <x:c r="B1931" s="34" t="n">
        <x:v>46216.5</x:v>
      </x:c>
      <x:c r="C1931" s="19" t="str">
        <x:v>周一</x:v>
      </x:c>
      <x:c r="D1931" s="19" t="str">
        <x:v>S07</x:v>
      </x:c>
      <x:c r="E1931" s="19" t="str">
        <x:v>小和山店</x:v>
      </x:c>
      <x:c r="F1931" s="19" t="str">
        <x:v>堂食</x:v>
      </x:c>
      <x:c r="G1931" s="19" t="str">
        <x:v>全日</x:v>
      </x:c>
      <x:c r="H1931" s="19" t="str">
        <x:v>D07</x:v>
      </x:c>
      <x:c r="I1931" s="19" t="str">
        <x:v>川味回锅肉</x:v>
      </x:c>
      <x:c r="J1931" s="22" t="n">
        <x:f>XLOOKUP(H1931,'菜品主数据'!$A$5:$A$24,'菜品主数据'!$D$5:$D$24,0)</x:f>
        <x:v>29</x:v>
      </x:c>
      <x:c r="K1931" s="31" t="n">
        <x:v>14</x:v>
      </x:c>
      <x:c r="L1931" s="35" t="n">
        <x:f>J1931*K1931</x:f>
        <x:v>406</x:v>
      </x:c>
      <x:c r="M1931" s="36" t="n">
        <x:v>0</x:v>
      </x:c>
      <x:c r="N1931" s="35" t="n">
        <x:f>L1931*M1931</x:f>
        <x:v>0</x:v>
      </x:c>
      <x:c r="O1931" s="37" t="n">
        <x:v>0</x:v>
      </x:c>
      <x:c r="P1931" s="35" t="n">
        <x:f>L1931*O1931</x:f>
        <x:v>0</x:v>
      </x:c>
      <x:c r="Q1931" s="35" t="n">
        <x:v>0</x:v>
      </x:c>
      <x:c r="R1931" s="35" t="n">
        <x:f>K1931*Q1931</x:f>
        <x:v>0</x:v>
      </x:c>
      <x:c r="S1931" s="35" t="n">
        <x:f>XLOOKUP(H1931,'菜品主数据'!$A$5:$A$24,'菜品主数据'!$G$5:$G$24,0)</x:f>
        <x:v>10.231000000000002</x:v>
      </x:c>
      <x:c r="T1931" s="35" t="n">
        <x:f>K1931*S1931</x:f>
        <x:v>143.23400000000004</x:v>
      </x:c>
      <x:c r="U1931" s="35" t="n">
        <x:f>L1931-N1931-P1931-R1931-T1931</x:f>
        <x:v>262.76599999999996</x:v>
      </x:c>
      <x:c r="V1931" s="21" t="n">
        <x:f>IFERROR(U1931/L1931,0)</x:f>
        <x:v>0.647206896551724</x:v>
      </x:c>
    </x:row>
    <x:row r="1932">
      <x:c r="A1932" s="19" t="str">
        <x:v>SALE-01928</x:v>
      </x:c>
      <x:c r="B1932" s="34" t="n">
        <x:v>46216.5</x:v>
      </x:c>
      <x:c r="C1932" s="19" t="str">
        <x:v>周一</x:v>
      </x:c>
      <x:c r="D1932" s="19" t="str">
        <x:v>S07</x:v>
      </x:c>
      <x:c r="E1932" s="19" t="str">
        <x:v>小和山店</x:v>
      </x:c>
      <x:c r="F1932" s="19" t="str">
        <x:v>堂食</x:v>
      </x:c>
      <x:c r="G1932" s="19" t="str">
        <x:v>全日</x:v>
      </x:c>
      <x:c r="H1932" s="19" t="str">
        <x:v>D08</x:v>
      </x:c>
      <x:c r="I1932" s="19" t="str">
        <x:v>生炒清远鸡</x:v>
      </x:c>
      <x:c r="J1932" s="22" t="n">
        <x:f>XLOOKUP(H1932,'菜品主数据'!$A$5:$A$24,'菜品主数据'!$D$5:$D$24,0)</x:f>
        <x:v>36</x:v>
      </x:c>
      <x:c r="K1932" s="31" t="n">
        <x:v>12</x:v>
      </x:c>
      <x:c r="L1932" s="35" t="n">
        <x:f>J1932*K1932</x:f>
        <x:v>432</x:v>
      </x:c>
      <x:c r="M1932" s="36" t="n">
        <x:v>0</x:v>
      </x:c>
      <x:c r="N1932" s="35" t="n">
        <x:f>L1932*M1932</x:f>
        <x:v>0</x:v>
      </x:c>
      <x:c r="O1932" s="37" t="n">
        <x:v>0</x:v>
      </x:c>
      <x:c r="P1932" s="35" t="n">
        <x:f>L1932*O1932</x:f>
        <x:v>0</x:v>
      </x:c>
      <x:c r="Q1932" s="35" t="n">
        <x:v>0</x:v>
      </x:c>
      <x:c r="R1932" s="35" t="n">
        <x:f>K1932*Q1932</x:f>
        <x:v>0</x:v>
      </x:c>
      <x:c r="S1932" s="35" t="n">
        <x:f>XLOOKUP(H1932,'菜品主数据'!$A$5:$A$24,'菜品主数据'!$G$5:$G$24,0)</x:f>
        <x:v>13.48</x:v>
      </x:c>
      <x:c r="T1932" s="35" t="n">
        <x:f>K1932*S1932</x:f>
        <x:v>161.76</x:v>
      </x:c>
      <x:c r="U1932" s="35" t="n">
        <x:f>L1932-N1932-P1932-R1932-T1932</x:f>
        <x:v>270.24</x:v>
      </x:c>
      <x:c r="V1932" s="21" t="n">
        <x:f>IFERROR(U1932/L1932,0)</x:f>
        <x:v>0.6255555555555555</x:v>
      </x:c>
    </x:row>
    <x:row r="1933">
      <x:c r="A1933" s="19" t="str">
        <x:v>SALE-01929</x:v>
      </x:c>
      <x:c r="B1933" s="34" t="n">
        <x:v>46216.5</x:v>
      </x:c>
      <x:c r="C1933" s="19" t="str">
        <x:v>周一</x:v>
      </x:c>
      <x:c r="D1933" s="19" t="str">
        <x:v>S07</x:v>
      </x:c>
      <x:c r="E1933" s="19" t="str">
        <x:v>小和山店</x:v>
      </x:c>
      <x:c r="F1933" s="19" t="str">
        <x:v>堂食</x:v>
      </x:c>
      <x:c r="G1933" s="19" t="str">
        <x:v>全日</x:v>
      </x:c>
      <x:c r="H1933" s="19" t="str">
        <x:v>D09</x:v>
      </x:c>
      <x:c r="I1933" s="19" t="str">
        <x:v>炒豆干</x:v>
      </x:c>
      <x:c r="J1933" s="22" t="n">
        <x:f>XLOOKUP(H1933,'菜品主数据'!$A$5:$A$24,'菜品主数据'!$D$5:$D$24,0)</x:f>
        <x:v>18</x:v>
      </x:c>
      <x:c r="K1933" s="31" t="n">
        <x:v>15</x:v>
      </x:c>
      <x:c r="L1933" s="35" t="n">
        <x:f>J1933*K1933</x:f>
        <x:v>270</x:v>
      </x:c>
      <x:c r="M1933" s="36" t="n">
        <x:v>0</x:v>
      </x:c>
      <x:c r="N1933" s="35" t="n">
        <x:f>L1933*M1933</x:f>
        <x:v>0</x:v>
      </x:c>
      <x:c r="O1933" s="37" t="n">
        <x:v>0</x:v>
      </x:c>
      <x:c r="P1933" s="35" t="n">
        <x:f>L1933*O1933</x:f>
        <x:v>0</x:v>
      </x:c>
      <x:c r="Q1933" s="35" t="n">
        <x:v>0</x:v>
      </x:c>
      <x:c r="R1933" s="35" t="n">
        <x:f>K1933*Q1933</x:f>
        <x:v>0</x:v>
      </x:c>
      <x:c r="S1933" s="35" t="n">
        <x:f>XLOOKUP(H1933,'菜品主数据'!$A$5:$A$24,'菜品主数据'!$G$5:$G$24,0)</x:f>
        <x:v>6.613999999999999</x:v>
      </x:c>
      <x:c r="T1933" s="35" t="n">
        <x:f>K1933*S1933</x:f>
        <x:v>99.20999999999998</x:v>
      </x:c>
      <x:c r="U1933" s="35" t="n">
        <x:f>L1933-N1933-P1933-R1933-T1933</x:f>
        <x:v>170.79000000000002</x:v>
      </x:c>
      <x:c r="V1933" s="21" t="n">
        <x:f>IFERROR(U1933/L1933,0)</x:f>
        <x:v>0.6325555555555556</x:v>
      </x:c>
    </x:row>
    <x:row r="1934">
      <x:c r="A1934" s="19" t="str">
        <x:v>SALE-01930</x:v>
      </x:c>
      <x:c r="B1934" s="34" t="n">
        <x:v>46216.5</x:v>
      </x:c>
      <x:c r="C1934" s="19" t="str">
        <x:v>周一</x:v>
      </x:c>
      <x:c r="D1934" s="19" t="str">
        <x:v>S07</x:v>
      </x:c>
      <x:c r="E1934" s="19" t="str">
        <x:v>小和山店</x:v>
      </x:c>
      <x:c r="F1934" s="19" t="str">
        <x:v>堂食</x:v>
      </x:c>
      <x:c r="G1934" s="19" t="str">
        <x:v>全日</x:v>
      </x:c>
      <x:c r="H1934" s="19" t="str">
        <x:v>D10</x:v>
      </x:c>
      <x:c r="I1934" s="19" t="str">
        <x:v>农家一碗香</x:v>
      </x:c>
      <x:c r="J1934" s="22" t="n">
        <x:f>XLOOKUP(H1934,'菜品主数据'!$A$5:$A$24,'菜品主数据'!$D$5:$D$24,0)</x:f>
        <x:v>22.9</x:v>
      </x:c>
      <x:c r="K1934" s="31" t="n">
        <x:v>17</x:v>
      </x:c>
      <x:c r="L1934" s="35" t="n">
        <x:f>J1934*K1934</x:f>
        <x:v>389.29999999999995</x:v>
      </x:c>
      <x:c r="M1934" s="36" t="n">
        <x:v>0</x:v>
      </x:c>
      <x:c r="N1934" s="35" t="n">
        <x:f>L1934*M1934</x:f>
        <x:v>0</x:v>
      </x:c>
      <x:c r="O1934" s="37" t="n">
        <x:v>0</x:v>
      </x:c>
      <x:c r="P1934" s="35" t="n">
        <x:f>L1934*O1934</x:f>
        <x:v>0</x:v>
      </x:c>
      <x:c r="Q1934" s="35" t="n">
        <x:v>0</x:v>
      </x:c>
      <x:c r="R1934" s="35" t="n">
        <x:f>K1934*Q1934</x:f>
        <x:v>0</x:v>
      </x:c>
      <x:c r="S1934" s="35" t="n">
        <x:f>XLOOKUP(H1934,'菜品主数据'!$A$5:$A$24,'菜品主数据'!$G$5:$G$24,0)</x:f>
        <x:v>9.770200000000003</x:v>
      </x:c>
      <x:c r="T1934" s="35" t="n">
        <x:f>K1934*S1934</x:f>
        <x:v>166.09340000000003</x:v>
      </x:c>
      <x:c r="U1934" s="35" t="n">
        <x:f>L1934-N1934-P1934-R1934-T1934</x:f>
        <x:v>223.20659999999992</x:v>
      </x:c>
      <x:c r="V1934" s="21" t="n">
        <x:f>IFERROR(U1934/L1934,0)</x:f>
        <x:v>0.5733537117903929</x:v>
      </x:c>
    </x:row>
    <x:row r="1935">
      <x:c r="A1935" s="19" t="str">
        <x:v>SALE-01931</x:v>
      </x:c>
      <x:c r="B1935" s="34" t="n">
        <x:v>46216.5</x:v>
      </x:c>
      <x:c r="C1935" s="19" t="str">
        <x:v>周一</x:v>
      </x:c>
      <x:c r="D1935" s="19" t="str">
        <x:v>S07</x:v>
      </x:c>
      <x:c r="E1935" s="19" t="str">
        <x:v>小和山店</x:v>
      </x:c>
      <x:c r="F1935" s="19" t="str">
        <x:v>堂食</x:v>
      </x:c>
      <x:c r="G1935" s="19" t="str">
        <x:v>全日</x:v>
      </x:c>
      <x:c r="H1935" s="19" t="str">
        <x:v>D11</x:v>
      </x:c>
      <x:c r="I1935" s="19" t="str">
        <x:v>香辣爆肥肠</x:v>
      </x:c>
      <x:c r="J1935" s="22" t="n">
        <x:f>XLOOKUP(H1935,'菜品主数据'!$A$5:$A$24,'菜品主数据'!$D$5:$D$24,0)</x:f>
        <x:v>39</x:v>
      </x:c>
      <x:c r="K1935" s="31" t="n">
        <x:v>6</x:v>
      </x:c>
      <x:c r="L1935" s="35" t="n">
        <x:f>J1935*K1935</x:f>
        <x:v>234</x:v>
      </x:c>
      <x:c r="M1935" s="36" t="n">
        <x:v>0</x:v>
      </x:c>
      <x:c r="N1935" s="35" t="n">
        <x:f>L1935*M1935</x:f>
        <x:v>0</x:v>
      </x:c>
      <x:c r="O1935" s="37" t="n">
        <x:v>0</x:v>
      </x:c>
      <x:c r="P1935" s="35" t="n">
        <x:f>L1935*O1935</x:f>
        <x:v>0</x:v>
      </x:c>
      <x:c r="Q1935" s="35" t="n">
        <x:v>0</x:v>
      </x:c>
      <x:c r="R1935" s="35" t="n">
        <x:f>K1935*Q1935</x:f>
        <x:v>0</x:v>
      </x:c>
      <x:c r="S1935" s="35" t="n">
        <x:f>XLOOKUP(H1935,'菜品主数据'!$A$5:$A$24,'菜品主数据'!$G$5:$G$24,0)</x:f>
        <x:v>10.397</x:v>
      </x:c>
      <x:c r="T1935" s="35" t="n">
        <x:f>K1935*S1935</x:f>
        <x:v>62.382000000000005</x:v>
      </x:c>
      <x:c r="U1935" s="35" t="n">
        <x:f>L1935-N1935-P1935-R1935-T1935</x:f>
        <x:v>171.618</x:v>
      </x:c>
      <x:c r="V1935" s="21" t="n">
        <x:f>IFERROR(U1935/L1935,0)</x:f>
        <x:v>0.7334102564102564</x:v>
      </x:c>
    </x:row>
    <x:row r="1936">
      <x:c r="A1936" s="19" t="str">
        <x:v>SALE-01932</x:v>
      </x:c>
      <x:c r="B1936" s="34" t="n">
        <x:v>46216.5</x:v>
      </x:c>
      <x:c r="C1936" s="19" t="str">
        <x:v>周一</x:v>
      </x:c>
      <x:c r="D1936" s="19" t="str">
        <x:v>S07</x:v>
      </x:c>
      <x:c r="E1936" s="19" t="str">
        <x:v>小和山店</x:v>
      </x:c>
      <x:c r="F1936" s="19" t="str">
        <x:v>堂食</x:v>
      </x:c>
      <x:c r="G1936" s="19" t="str">
        <x:v>全日</x:v>
      </x:c>
      <x:c r="H1936" s="19" t="str">
        <x:v>D12</x:v>
      </x:c>
      <x:c r="I1936" s="19" t="str">
        <x:v>清蒸鲈鱼</x:v>
      </x:c>
      <x:c r="J1936" s="22" t="n">
        <x:f>XLOOKUP(H1936,'菜品主数据'!$A$5:$A$24,'菜品主数据'!$D$5:$D$24,0)</x:f>
        <x:v>39</x:v>
      </x:c>
      <x:c r="K1936" s="31" t="n">
        <x:v>7</x:v>
      </x:c>
      <x:c r="L1936" s="35" t="n">
        <x:f>J1936*K1936</x:f>
        <x:v>273</x:v>
      </x:c>
      <x:c r="M1936" s="36" t="n">
        <x:v>0</x:v>
      </x:c>
      <x:c r="N1936" s="35" t="n">
        <x:f>L1936*M1936</x:f>
        <x:v>0</x:v>
      </x:c>
      <x:c r="O1936" s="37" t="n">
        <x:v>0</x:v>
      </x:c>
      <x:c r="P1936" s="35" t="n">
        <x:f>L1936*O1936</x:f>
        <x:v>0</x:v>
      </x:c>
      <x:c r="Q1936" s="35" t="n">
        <x:v>0</x:v>
      </x:c>
      <x:c r="R1936" s="35" t="n">
        <x:f>K1936*Q1936</x:f>
        <x:v>0</x:v>
      </x:c>
      <x:c r="S1936" s="35" t="n">
        <x:f>XLOOKUP(H1936,'菜品主数据'!$A$5:$A$24,'菜品主数据'!$G$5:$G$24,0)</x:f>
        <x:v>18.874</x:v>
      </x:c>
      <x:c r="T1936" s="35" t="n">
        <x:f>K1936*S1936</x:f>
        <x:v>132.118</x:v>
      </x:c>
      <x:c r="U1936" s="35" t="n">
        <x:f>L1936-N1936-P1936-R1936-T1936</x:f>
        <x:v>140.882</x:v>
      </x:c>
      <x:c r="V1936" s="21" t="n">
        <x:f>IFERROR(U1936/L1936,0)</x:f>
        <x:v>0.516051282051282</x:v>
      </x:c>
    </x:row>
    <x:row r="1937">
      <x:c r="A1937" s="19" t="str">
        <x:v>SALE-01933</x:v>
      </x:c>
      <x:c r="B1937" s="34" t="n">
        <x:v>46216.5</x:v>
      </x:c>
      <x:c r="C1937" s="19" t="str">
        <x:v>周一</x:v>
      </x:c>
      <x:c r="D1937" s="19" t="str">
        <x:v>S07</x:v>
      </x:c>
      <x:c r="E1937" s="19" t="str">
        <x:v>小和山店</x:v>
      </x:c>
      <x:c r="F1937" s="19" t="str">
        <x:v>堂食</x:v>
      </x:c>
      <x:c r="G1937" s="19" t="str">
        <x:v>全日</x:v>
      </x:c>
      <x:c r="H1937" s="19" t="str">
        <x:v>D13</x:v>
      </x:c>
      <x:c r="I1937" s="19" t="str">
        <x:v>外婆菜炒蛋</x:v>
      </x:c>
      <x:c r="J1937" s="22" t="n">
        <x:f>XLOOKUP(H1937,'菜品主数据'!$A$5:$A$24,'菜品主数据'!$D$5:$D$24,0)</x:f>
        <x:v>18</x:v>
      </x:c>
      <x:c r="K1937" s="31" t="n">
        <x:v>15</x:v>
      </x:c>
      <x:c r="L1937" s="35" t="n">
        <x:f>J1937*K1937</x:f>
        <x:v>270</x:v>
      </x:c>
      <x:c r="M1937" s="36" t="n">
        <x:v>0</x:v>
      </x:c>
      <x:c r="N1937" s="35" t="n">
        <x:f>L1937*M1937</x:f>
        <x:v>0</x:v>
      </x:c>
      <x:c r="O1937" s="37" t="n">
        <x:v>0</x:v>
      </x:c>
      <x:c r="P1937" s="35" t="n">
        <x:f>L1937*O1937</x:f>
        <x:v>0</x:v>
      </x:c>
      <x:c r="Q1937" s="35" t="n">
        <x:v>0</x:v>
      </x:c>
      <x:c r="R1937" s="35" t="n">
        <x:f>K1937*Q1937</x:f>
        <x:v>0</x:v>
      </x:c>
      <x:c r="S1937" s="35" t="n">
        <x:f>XLOOKUP(H1937,'菜品主数据'!$A$5:$A$24,'菜品主数据'!$G$5:$G$24,0)</x:f>
        <x:v>5.403999999999999</x:v>
      </x:c>
      <x:c r="T1937" s="35" t="n">
        <x:f>K1937*S1937</x:f>
        <x:v>81.05999999999999</x:v>
      </x:c>
      <x:c r="U1937" s="35" t="n">
        <x:f>L1937-N1937-P1937-R1937-T1937</x:f>
        <x:v>188.94</x:v>
      </x:c>
      <x:c r="V1937" s="21" t="n">
        <x:f>IFERROR(U1937/L1937,0)</x:f>
        <x:v>0.6997777777777777</x:v>
      </x:c>
    </x:row>
    <x:row r="1938">
      <x:c r="A1938" s="19" t="str">
        <x:v>SALE-01934</x:v>
      </x:c>
      <x:c r="B1938" s="34" t="n">
        <x:v>46216.5</x:v>
      </x:c>
      <x:c r="C1938" s="19" t="str">
        <x:v>周一</x:v>
      </x:c>
      <x:c r="D1938" s="19" t="str">
        <x:v>S07</x:v>
      </x:c>
      <x:c r="E1938" s="19" t="str">
        <x:v>小和山店</x:v>
      </x:c>
      <x:c r="F1938" s="19" t="str">
        <x:v>堂食</x:v>
      </x:c>
      <x:c r="G1938" s="19" t="str">
        <x:v>全日</x:v>
      </x:c>
      <x:c r="H1938" s="19" t="str">
        <x:v>D14</x:v>
      </x:c>
      <x:c r="I1938" s="19" t="str">
        <x:v>酸辣鸡杂</x:v>
      </x:c>
      <x:c r="J1938" s="22" t="n">
        <x:f>XLOOKUP(H1938,'菜品主数据'!$A$5:$A$24,'菜品主数据'!$D$5:$D$24,0)</x:f>
        <x:v>28</x:v>
      </x:c>
      <x:c r="K1938" s="31" t="n">
        <x:v>8</x:v>
      </x:c>
      <x:c r="L1938" s="35" t="n">
        <x:f>J1938*K1938</x:f>
        <x:v>224</x:v>
      </x:c>
      <x:c r="M1938" s="36" t="n">
        <x:v>0</x:v>
      </x:c>
      <x:c r="N1938" s="35" t="n">
        <x:f>L1938*M1938</x:f>
        <x:v>0</x:v>
      </x:c>
      <x:c r="O1938" s="37" t="n">
        <x:v>0</x:v>
      </x:c>
      <x:c r="P1938" s="35" t="n">
        <x:f>L1938*O1938</x:f>
        <x:v>0</x:v>
      </x:c>
      <x:c r="Q1938" s="35" t="n">
        <x:v>0</x:v>
      </x:c>
      <x:c r="R1938" s="35" t="n">
        <x:f>K1938*Q1938</x:f>
        <x:v>0</x:v>
      </x:c>
      <x:c r="S1938" s="35" t="n">
        <x:f>XLOOKUP(H1938,'菜品主数据'!$A$5:$A$24,'菜品主数据'!$G$5:$G$24,0)</x:f>
        <x:v>8.315000000000001</x:v>
      </x:c>
      <x:c r="T1938" s="35" t="n">
        <x:f>K1938*S1938</x:f>
        <x:v>66.52000000000001</x:v>
      </x:c>
      <x:c r="U1938" s="35" t="n">
        <x:f>L1938-N1938-P1938-R1938-T1938</x:f>
        <x:v>157.48</x:v>
      </x:c>
      <x:c r="V1938" s="21" t="n">
        <x:f>IFERROR(U1938/L1938,0)</x:f>
        <x:v>0.7030357142857142</x:v>
      </x:c>
    </x:row>
    <x:row r="1939">
      <x:c r="A1939" s="19" t="str">
        <x:v>SALE-01935</x:v>
      </x:c>
      <x:c r="B1939" s="34" t="n">
        <x:v>46216.5</x:v>
      </x:c>
      <x:c r="C1939" s="19" t="str">
        <x:v>周一</x:v>
      </x:c>
      <x:c r="D1939" s="19" t="str">
        <x:v>S07</x:v>
      </x:c>
      <x:c r="E1939" s="19" t="str">
        <x:v>小和山店</x:v>
      </x:c>
      <x:c r="F1939" s="19" t="str">
        <x:v>堂食</x:v>
      </x:c>
      <x:c r="G1939" s="19" t="str">
        <x:v>全日</x:v>
      </x:c>
      <x:c r="H1939" s="19" t="str">
        <x:v>D15</x:v>
      </x:c>
      <x:c r="I1939" s="19" t="str">
        <x:v>湘西土匪猪肝</x:v>
      </x:c>
      <x:c r="J1939" s="22" t="n">
        <x:f>XLOOKUP(H1939,'菜品主数据'!$A$5:$A$24,'菜品主数据'!$D$5:$D$24,0)</x:f>
        <x:v>26</x:v>
      </x:c>
      <x:c r="K1939" s="31" t="n">
        <x:v>7</x:v>
      </x:c>
      <x:c r="L1939" s="35" t="n">
        <x:f>J1939*K1939</x:f>
        <x:v>182</x:v>
      </x:c>
      <x:c r="M1939" s="36" t="n">
        <x:v>0</x:v>
      </x:c>
      <x:c r="N1939" s="35" t="n">
        <x:f>L1939*M1939</x:f>
        <x:v>0</x:v>
      </x:c>
      <x:c r="O1939" s="37" t="n">
        <x:v>0</x:v>
      </x:c>
      <x:c r="P1939" s="35" t="n">
        <x:f>L1939*O1939</x:f>
        <x:v>0</x:v>
      </x:c>
      <x:c r="Q1939" s="35" t="n">
        <x:v>0</x:v>
      </x:c>
      <x:c r="R1939" s="35" t="n">
        <x:f>K1939*Q1939</x:f>
        <x:v>0</x:v>
      </x:c>
      <x:c r="S1939" s="35" t="n">
        <x:f>XLOOKUP(H1939,'菜品主数据'!$A$5:$A$24,'菜品主数据'!$G$5:$G$24,0)</x:f>
        <x:v>6.3759999999999994</x:v>
      </x:c>
      <x:c r="T1939" s="35" t="n">
        <x:f>K1939*S1939</x:f>
        <x:v>44.632</x:v>
      </x:c>
      <x:c r="U1939" s="35" t="n">
        <x:f>L1939-N1939-P1939-R1939-T1939</x:f>
        <x:v>137.368</x:v>
      </x:c>
      <x:c r="V1939" s="21" t="n">
        <x:f>IFERROR(U1939/L1939,0)</x:f>
        <x:v>0.7547692307692307</x:v>
      </x:c>
    </x:row>
    <x:row r="1940">
      <x:c r="A1940" s="19" t="str">
        <x:v>SALE-01936</x:v>
      </x:c>
      <x:c r="B1940" s="34" t="n">
        <x:v>46216.5</x:v>
      </x:c>
      <x:c r="C1940" s="19" t="str">
        <x:v>周一</x:v>
      </x:c>
      <x:c r="D1940" s="19" t="str">
        <x:v>S07</x:v>
      </x:c>
      <x:c r="E1940" s="19" t="str">
        <x:v>小和山店</x:v>
      </x:c>
      <x:c r="F1940" s="19" t="str">
        <x:v>堂食</x:v>
      </x:c>
      <x:c r="G1940" s="19" t="str">
        <x:v>全日</x:v>
      </x:c>
      <x:c r="H1940" s="19" t="str">
        <x:v>D16</x:v>
      </x:c>
      <x:c r="I1940" s="19" t="str">
        <x:v>小豆角炒五花</x:v>
      </x:c>
      <x:c r="J1940" s="22" t="n">
        <x:f>XLOOKUP(H1940,'菜品主数据'!$A$5:$A$24,'菜品主数据'!$D$5:$D$24,0)</x:f>
        <x:v>25</x:v>
      </x:c>
      <x:c r="K1940" s="31" t="n">
        <x:v>7</x:v>
      </x:c>
      <x:c r="L1940" s="35" t="n">
        <x:f>J1940*K1940</x:f>
        <x:v>175</x:v>
      </x:c>
      <x:c r="M1940" s="36" t="n">
        <x:v>0</x:v>
      </x:c>
      <x:c r="N1940" s="35" t="n">
        <x:f>L1940*M1940</x:f>
        <x:v>0</x:v>
      </x:c>
      <x:c r="O1940" s="37" t="n">
        <x:v>0</x:v>
      </x:c>
      <x:c r="P1940" s="35" t="n">
        <x:f>L1940*O1940</x:f>
        <x:v>0</x:v>
      </x:c>
      <x:c r="Q1940" s="35" t="n">
        <x:v>0</x:v>
      </x:c>
      <x:c r="R1940" s="35" t="n">
        <x:f>K1940*Q1940</x:f>
        <x:v>0</x:v>
      </x:c>
      <x:c r="S1940" s="35" t="n">
        <x:f>XLOOKUP(H1940,'菜品主数据'!$A$5:$A$24,'菜品主数据'!$G$5:$G$24,0)</x:f>
        <x:v>8.184</x:v>
      </x:c>
      <x:c r="T1940" s="35" t="n">
        <x:f>K1940*S1940</x:f>
        <x:v>57.288</x:v>
      </x:c>
      <x:c r="U1940" s="35" t="n">
        <x:f>L1940-N1940-P1940-R1940-T1940</x:f>
        <x:v>117.712</x:v>
      </x:c>
      <x:c r="V1940" s="21" t="n">
        <x:f>IFERROR(U1940/L1940,0)</x:f>
        <x:v>0.67264</x:v>
      </x:c>
    </x:row>
    <x:row r="1941">
      <x:c r="A1941" s="19" t="str">
        <x:v>SALE-01937</x:v>
      </x:c>
      <x:c r="B1941" s="34" t="n">
        <x:v>46216.5</x:v>
      </x:c>
      <x:c r="C1941" s="19" t="str">
        <x:v>周一</x:v>
      </x:c>
      <x:c r="D1941" s="19" t="str">
        <x:v>S07</x:v>
      </x:c>
      <x:c r="E1941" s="19" t="str">
        <x:v>小和山店</x:v>
      </x:c>
      <x:c r="F1941" s="19" t="str">
        <x:v>堂食</x:v>
      </x:c>
      <x:c r="G1941" s="19" t="str">
        <x:v>全日</x:v>
      </x:c>
      <x:c r="H1941" s="19" t="str">
        <x:v>D17</x:v>
      </x:c>
      <x:c r="I1941" s="19" t="str">
        <x:v>蒜蓉粉丝虾</x:v>
      </x:c>
      <x:c r="J1941" s="22" t="n">
        <x:f>XLOOKUP(H1941,'菜品主数据'!$A$5:$A$24,'菜品主数据'!$D$5:$D$24,0)</x:f>
        <x:v>36</x:v>
      </x:c>
      <x:c r="K1941" s="31" t="n">
        <x:v>5</x:v>
      </x:c>
      <x:c r="L1941" s="35" t="n">
        <x:f>J1941*K1941</x:f>
        <x:v>180</x:v>
      </x:c>
      <x:c r="M1941" s="36" t="n">
        <x:v>0</x:v>
      </x:c>
      <x:c r="N1941" s="35" t="n">
        <x:f>L1941*M1941</x:f>
        <x:v>0</x:v>
      </x:c>
      <x:c r="O1941" s="37" t="n">
        <x:v>0</x:v>
      </x:c>
      <x:c r="P1941" s="35" t="n">
        <x:f>L1941*O1941</x:f>
        <x:v>0</x:v>
      </x:c>
      <x:c r="Q1941" s="35" t="n">
        <x:v>0</x:v>
      </x:c>
      <x:c r="R1941" s="35" t="n">
        <x:f>K1941*Q1941</x:f>
        <x:v>0</x:v>
      </x:c>
      <x:c r="S1941" s="35" t="n">
        <x:f>XLOOKUP(H1941,'菜品主数据'!$A$5:$A$24,'菜品主数据'!$G$5:$G$24,0)</x:f>
        <x:v>13.594</x:v>
      </x:c>
      <x:c r="T1941" s="35" t="n">
        <x:f>K1941*S1941</x:f>
        <x:v>67.97</x:v>
      </x:c>
      <x:c r="U1941" s="35" t="n">
        <x:f>L1941-N1941-P1941-R1941-T1941</x:f>
        <x:v>112.03</x:v>
      </x:c>
      <x:c r="V1941" s="21" t="n">
        <x:f>IFERROR(U1941/L1941,0)</x:f>
        <x:v>0.6223888888888889</x:v>
      </x:c>
    </x:row>
    <x:row r="1942">
      <x:c r="A1942" s="19" t="str">
        <x:v>SALE-01938</x:v>
      </x:c>
      <x:c r="B1942" s="34" t="n">
        <x:v>46216.5</x:v>
      </x:c>
      <x:c r="C1942" s="19" t="str">
        <x:v>周一</x:v>
      </x:c>
      <x:c r="D1942" s="19" t="str">
        <x:v>S07</x:v>
      </x:c>
      <x:c r="E1942" s="19" t="str">
        <x:v>小和山店</x:v>
      </x:c>
      <x:c r="F1942" s="19" t="str">
        <x:v>堂食</x:v>
      </x:c>
      <x:c r="G1942" s="19" t="str">
        <x:v>全日</x:v>
      </x:c>
      <x:c r="H1942" s="19" t="str">
        <x:v>D18</x:v>
      </x:c>
      <x:c r="I1942" s="19" t="str">
        <x:v>青椒炒油麦菜</x:v>
      </x:c>
      <x:c r="J1942" s="22" t="n">
        <x:f>XLOOKUP(H1942,'菜品主数据'!$A$5:$A$24,'菜品主数据'!$D$5:$D$24,0)</x:f>
        <x:v>18</x:v>
      </x:c>
      <x:c r="K1942" s="31" t="n">
        <x:v>8</x:v>
      </x:c>
      <x:c r="L1942" s="35" t="n">
        <x:f>J1942*K1942</x:f>
        <x:v>144</x:v>
      </x:c>
      <x:c r="M1942" s="36" t="n">
        <x:v>0</x:v>
      </x:c>
      <x:c r="N1942" s="35" t="n">
        <x:f>L1942*M1942</x:f>
        <x:v>0</x:v>
      </x:c>
      <x:c r="O1942" s="37" t="n">
        <x:v>0</x:v>
      </x:c>
      <x:c r="P1942" s="35" t="n">
        <x:f>L1942*O1942</x:f>
        <x:v>0</x:v>
      </x:c>
      <x:c r="Q1942" s="35" t="n">
        <x:v>0</x:v>
      </x:c>
      <x:c r="R1942" s="35" t="n">
        <x:f>K1942*Q1942</x:f>
        <x:v>0</x:v>
      </x:c>
      <x:c r="S1942" s="35" t="n">
        <x:f>XLOOKUP(H1942,'菜品主数据'!$A$5:$A$24,'菜品主数据'!$G$5:$G$24,0)</x:f>
        <x:v>3.1759999999999993</x:v>
      </x:c>
      <x:c r="T1942" s="35" t="n">
        <x:f>K1942*S1942</x:f>
        <x:v>25.407999999999994</x:v>
      </x:c>
      <x:c r="U1942" s="35" t="n">
        <x:f>L1942-N1942-P1942-R1942-T1942</x:f>
        <x:v>118.59200000000001</x:v>
      </x:c>
      <x:c r="V1942" s="21" t="n">
        <x:f>IFERROR(U1942/L1942,0)</x:f>
        <x:v>0.8235555555555556</x:v>
      </x:c>
    </x:row>
    <x:row r="1943">
      <x:c r="A1943" s="19" t="str">
        <x:v>SALE-01939</x:v>
      </x:c>
      <x:c r="B1943" s="34" t="n">
        <x:v>46216.5</x:v>
      </x:c>
      <x:c r="C1943" s="19" t="str">
        <x:v>周一</x:v>
      </x:c>
      <x:c r="D1943" s="19" t="str">
        <x:v>S07</x:v>
      </x:c>
      <x:c r="E1943" s="19" t="str">
        <x:v>小和山店</x:v>
      </x:c>
      <x:c r="F1943" s="19" t="str">
        <x:v>堂食</x:v>
      </x:c>
      <x:c r="G1943" s="19" t="str">
        <x:v>全日</x:v>
      </x:c>
      <x:c r="H1943" s="19" t="str">
        <x:v>D19</x:v>
      </x:c>
      <x:c r="I1943" s="19" t="str">
        <x:v>酸萝卜炒鸡杂</x:v>
      </x:c>
      <x:c r="J1943" s="22" t="n">
        <x:f>XLOOKUP(H1943,'菜品主数据'!$A$5:$A$24,'菜品主数据'!$D$5:$D$24,0)</x:f>
        <x:v>25</x:v>
      </x:c>
      <x:c r="K1943" s="31" t="n">
        <x:v>6</x:v>
      </x:c>
      <x:c r="L1943" s="35" t="n">
        <x:f>J1943*K1943</x:f>
        <x:v>150</x:v>
      </x:c>
      <x:c r="M1943" s="36" t="n">
        <x:v>0</x:v>
      </x:c>
      <x:c r="N1943" s="35" t="n">
        <x:f>L1943*M1943</x:f>
        <x:v>0</x:v>
      </x:c>
      <x:c r="O1943" s="37" t="n">
        <x:v>0</x:v>
      </x:c>
      <x:c r="P1943" s="35" t="n">
        <x:f>L1943*O1943</x:f>
        <x:v>0</x:v>
      </x:c>
      <x:c r="Q1943" s="35" t="n">
        <x:v>0</x:v>
      </x:c>
      <x:c r="R1943" s="35" t="n">
        <x:f>K1943*Q1943</x:f>
        <x:v>0</x:v>
      </x:c>
      <x:c r="S1943" s="35" t="n">
        <x:f>XLOOKUP(H1943,'菜品主数据'!$A$5:$A$24,'菜品主数据'!$G$5:$G$24,0)</x:f>
        <x:v>7.9399999999999995</x:v>
      </x:c>
      <x:c r="T1943" s="35" t="n">
        <x:f>K1943*S1943</x:f>
        <x:v>47.64</x:v>
      </x:c>
      <x:c r="U1943" s="35" t="n">
        <x:f>L1943-N1943-P1943-R1943-T1943</x:f>
        <x:v>102.36</x:v>
      </x:c>
      <x:c r="V1943" s="21" t="n">
        <x:f>IFERROR(U1943/L1943,0)</x:f>
        <x:v>0.6824</x:v>
      </x:c>
    </x:row>
    <x:row r="1944">
      <x:c r="A1944" s="19" t="str">
        <x:v>SALE-01940</x:v>
      </x:c>
      <x:c r="B1944" s="34" t="n">
        <x:v>46216.5</x:v>
      </x:c>
      <x:c r="C1944" s="19" t="str">
        <x:v>周一</x:v>
      </x:c>
      <x:c r="D1944" s="19" t="str">
        <x:v>S07</x:v>
      </x:c>
      <x:c r="E1944" s="19" t="str">
        <x:v>小和山店</x:v>
      </x:c>
      <x:c r="F1944" s="19" t="str">
        <x:v>堂食</x:v>
      </x:c>
      <x:c r="G1944" s="19" t="str">
        <x:v>全日</x:v>
      </x:c>
      <x:c r="H1944" s="19" t="str">
        <x:v>D20</x:v>
      </x:c>
      <x:c r="I1944" s="19" t="str">
        <x:v>雪菜肉末青豆</x:v>
      </x:c>
      <x:c r="J1944" s="22" t="n">
        <x:f>XLOOKUP(H1944,'菜品主数据'!$A$5:$A$24,'菜品主数据'!$D$5:$D$24,0)</x:f>
        <x:v>18</x:v>
      </x:c>
      <x:c r="K1944" s="31" t="n">
        <x:v>9</x:v>
      </x:c>
      <x:c r="L1944" s="35" t="n">
        <x:f>J1944*K1944</x:f>
        <x:v>162</x:v>
      </x:c>
      <x:c r="M1944" s="36" t="n">
        <x:v>0</x:v>
      </x:c>
      <x:c r="N1944" s="35" t="n">
        <x:f>L1944*M1944</x:f>
        <x:v>0</x:v>
      </x:c>
      <x:c r="O1944" s="37" t="n">
        <x:v>0</x:v>
      </x:c>
      <x:c r="P1944" s="35" t="n">
        <x:f>L1944*O1944</x:f>
        <x:v>0</x:v>
      </x:c>
      <x:c r="Q1944" s="35" t="n">
        <x:v>0</x:v>
      </x:c>
      <x:c r="R1944" s="35" t="n">
        <x:f>K1944*Q1944</x:f>
        <x:v>0</x:v>
      </x:c>
      <x:c r="S1944" s="35" t="n">
        <x:f>XLOOKUP(H1944,'菜品主数据'!$A$5:$A$24,'菜品主数据'!$G$5:$G$24,0)</x:f>
        <x:v>7.303999999999999</x:v>
      </x:c>
      <x:c r="T1944" s="35" t="n">
        <x:f>K1944*S1944</x:f>
        <x:v>65.73599999999999</x:v>
      </x:c>
      <x:c r="U1944" s="35" t="n">
        <x:f>L1944-N1944-P1944-R1944-T1944</x:f>
        <x:v>96.26400000000001</x:v>
      </x:c>
      <x:c r="V1944" s="21" t="n">
        <x:f>IFERROR(U1944/L1944,0)</x:f>
        <x:v>0.5942222222222223</x:v>
      </x:c>
    </x:row>
    <x:row r="1945">
      <x:c r="A1945" s="19" t="str">
        <x:v>SALE-01941</x:v>
      </x:c>
      <x:c r="B1945" s="34" t="n">
        <x:v>46216.5</x:v>
      </x:c>
      <x:c r="C1945" s="19" t="str">
        <x:v>周一</x:v>
      </x:c>
      <x:c r="D1945" s="19" t="str">
        <x:v>S07</x:v>
      </x:c>
      <x:c r="E1945" s="19" t="str">
        <x:v>小和山店</x:v>
      </x:c>
      <x:c r="F1945" s="19" t="str">
        <x:v>外卖</x:v>
      </x:c>
      <x:c r="G1945" s="19" t="str">
        <x:v>全日</x:v>
      </x:c>
      <x:c r="H1945" s="19" t="str">
        <x:v>D01</x:v>
      </x:c>
      <x:c r="I1945" s="19" t="str">
        <x:v>辣椒炒肉</x:v>
      </x:c>
      <x:c r="J1945" s="22" t="n">
        <x:f>XLOOKUP(H1945,'菜品主数据'!$A$5:$A$24,'菜品主数据'!$D$5:$D$24,0)</x:f>
        <x:v>29</x:v>
      </x:c>
      <x:c r="K1945" s="31" t="n">
        <x:v>4</x:v>
      </x:c>
      <x:c r="L1945" s="35" t="n">
        <x:f>J1945*K1945</x:f>
        <x:v>116</x:v>
      </x:c>
      <x:c r="M1945" s="36" t="n">
        <x:v>0.08</x:v>
      </x:c>
      <x:c r="N1945" s="35" t="n">
        <x:f>L1945*M1945</x:f>
        <x:v>9.28</x:v>
      </x:c>
      <x:c r="O1945" s="37" t="n">
        <x:v>0.18</x:v>
      </x:c>
      <x:c r="P1945" s="35" t="n">
        <x:f>L1945*O1945</x:f>
        <x:v>20.88</x:v>
      </x:c>
      <x:c r="Q1945" s="35" t="n">
        <x:v>1.2</x:v>
      </x:c>
      <x:c r="R1945" s="35" t="n">
        <x:f>K1945*Q1945</x:f>
        <x:v>4.8</x:v>
      </x:c>
      <x:c r="S1945" s="35" t="n">
        <x:f>XLOOKUP(H1945,'菜品主数据'!$A$5:$A$24,'菜品主数据'!$G$5:$G$24,0)</x:f>
        <x:v>8.634400000000001</x:v>
      </x:c>
      <x:c r="T1945" s="35" t="n">
        <x:f>K1945*S1945</x:f>
        <x:v>34.537600000000005</x:v>
      </x:c>
      <x:c r="U1945" s="35" t="n">
        <x:f>L1945-N1945-P1945-R1945-T1945</x:f>
        <x:v>46.5024</x:v>
      </x:c>
      <x:c r="V1945" s="21" t="n">
        <x:f>IFERROR(U1945/L1945,0)</x:f>
        <x:v>0.40088275862068967</x:v>
      </x:c>
    </x:row>
    <x:row r="1946">
      <x:c r="A1946" s="19" t="str">
        <x:v>SALE-01942</x:v>
      </x:c>
      <x:c r="B1946" s="34" t="n">
        <x:v>46216.5</x:v>
      </x:c>
      <x:c r="C1946" s="19" t="str">
        <x:v>周一</x:v>
      </x:c>
      <x:c r="D1946" s="19" t="str">
        <x:v>S07</x:v>
      </x:c>
      <x:c r="E1946" s="19" t="str">
        <x:v>小和山店</x:v>
      </x:c>
      <x:c r="F1946" s="19" t="str">
        <x:v>外卖</x:v>
      </x:c>
      <x:c r="G1946" s="19" t="str">
        <x:v>全日</x:v>
      </x:c>
      <x:c r="H1946" s="19" t="str">
        <x:v>D02</x:v>
      </x:c>
      <x:c r="I1946" s="19" t="str">
        <x:v>小炒黄牛肉</x:v>
      </x:c>
      <x:c r="J1946" s="22" t="n">
        <x:f>XLOOKUP(H1946,'菜品主数据'!$A$5:$A$24,'菜品主数据'!$D$5:$D$24,0)</x:f>
        <x:v>49</x:v>
      </x:c>
      <x:c r="K1946" s="31" t="n">
        <x:v>9</x:v>
      </x:c>
      <x:c r="L1946" s="35" t="n">
        <x:f>J1946*K1946</x:f>
        <x:v>441</x:v>
      </x:c>
      <x:c r="M1946" s="36" t="n">
        <x:v>0.08</x:v>
      </x:c>
      <x:c r="N1946" s="35" t="n">
        <x:f>L1946*M1946</x:f>
        <x:v>35.28</x:v>
      </x:c>
      <x:c r="O1946" s="37" t="n">
        <x:v>0.18</x:v>
      </x:c>
      <x:c r="P1946" s="35" t="n">
        <x:f>L1946*O1946</x:f>
        <x:v>79.38</x:v>
      </x:c>
      <x:c r="Q1946" s="35" t="n">
        <x:v>1.2</x:v>
      </x:c>
      <x:c r="R1946" s="35" t="n">
        <x:f>K1946*Q1946</x:f>
        <x:v>10.799999999999999</x:v>
      </x:c>
      <x:c r="S1946" s="35" t="n">
        <x:f>XLOOKUP(H1946,'菜品主数据'!$A$5:$A$24,'菜品主数据'!$G$5:$G$24,0)</x:f>
        <x:v>17.577</x:v>
      </x:c>
      <x:c r="T1946" s="35" t="n">
        <x:f>K1946*S1946</x:f>
        <x:v>158.193</x:v>
      </x:c>
      <x:c r="U1946" s="35" t="n">
        <x:f>L1946-N1946-P1946-R1946-T1946</x:f>
        <x:v>157.347</x:v>
      </x:c>
      <x:c r="V1946" s="21" t="n">
        <x:f>IFERROR(U1946/L1946,0)</x:f>
        <x:v>0.356795918367347</x:v>
      </x:c>
    </x:row>
    <x:row r="1947">
      <x:c r="A1947" s="19" t="str">
        <x:v>SALE-01943</x:v>
      </x:c>
      <x:c r="B1947" s="34" t="n">
        <x:v>46216.5</x:v>
      </x:c>
      <x:c r="C1947" s="19" t="str">
        <x:v>周一</x:v>
      </x:c>
      <x:c r="D1947" s="19" t="str">
        <x:v>S07</x:v>
      </x:c>
      <x:c r="E1947" s="19" t="str">
        <x:v>小和山店</x:v>
      </x:c>
      <x:c r="F1947" s="19" t="str">
        <x:v>外卖</x:v>
      </x:c>
      <x:c r="G1947" s="19" t="str">
        <x:v>全日</x:v>
      </x:c>
      <x:c r="H1947" s="19" t="str">
        <x:v>D03</x:v>
      </x:c>
      <x:c r="I1947" s="19" t="str">
        <x:v>香醋炒蛋</x:v>
      </x:c>
      <x:c r="J1947" s="22" t="n">
        <x:f>XLOOKUP(H1947,'菜品主数据'!$A$5:$A$24,'菜品主数据'!$D$5:$D$24,0)</x:f>
        <x:v>14.9</x:v>
      </x:c>
      <x:c r="K1947" s="31" t="n">
        <x:v>3</x:v>
      </x:c>
      <x:c r="L1947" s="35" t="n">
        <x:f>J1947*K1947</x:f>
        <x:v>44.7</x:v>
      </x:c>
      <x:c r="M1947" s="36" t="n">
        <x:v>0.08</x:v>
      </x:c>
      <x:c r="N1947" s="35" t="n">
        <x:f>L1947*M1947</x:f>
        <x:v>3.5760000000000005</x:v>
      </x:c>
      <x:c r="O1947" s="37" t="n">
        <x:v>0.18</x:v>
      </x:c>
      <x:c r="P1947" s="35" t="n">
        <x:f>L1947*O1947</x:f>
        <x:v>8.046</x:v>
      </x:c>
      <x:c r="Q1947" s="35" t="n">
        <x:v>1.2</x:v>
      </x:c>
      <x:c r="R1947" s="35" t="n">
        <x:f>K1947*Q1947</x:f>
        <x:v>3.5999999999999996</x:v>
      </x:c>
      <x:c r="S1947" s="35" t="n">
        <x:f>XLOOKUP(H1947,'菜品主数据'!$A$5:$A$24,'菜品主数据'!$G$5:$G$24,0)</x:f>
        <x:v>3.7459999999999996</x:v>
      </x:c>
      <x:c r="T1947" s="35" t="n">
        <x:f>K1947*S1947</x:f>
        <x:v>11.238</x:v>
      </x:c>
      <x:c r="U1947" s="35" t="n">
        <x:f>L1947-N1947-P1947-R1947-T1947</x:f>
        <x:v>18.240000000000002</x:v>
      </x:c>
      <x:c r="V1947" s="21" t="n">
        <x:f>IFERROR(U1947/L1947,0)</x:f>
        <x:v>0.40805369127516783</x:v>
      </x:c>
    </x:row>
    <x:row r="1948">
      <x:c r="A1948" s="19" t="str">
        <x:v>SALE-01944</x:v>
      </x:c>
      <x:c r="B1948" s="34" t="n">
        <x:v>46216.5</x:v>
      </x:c>
      <x:c r="C1948" s="19" t="str">
        <x:v>周一</x:v>
      </x:c>
      <x:c r="D1948" s="19" t="str">
        <x:v>S07</x:v>
      </x:c>
      <x:c r="E1948" s="19" t="str">
        <x:v>小和山店</x:v>
      </x:c>
      <x:c r="F1948" s="19" t="str">
        <x:v>外卖</x:v>
      </x:c>
      <x:c r="G1948" s="19" t="str">
        <x:v>全日</x:v>
      </x:c>
      <x:c r="H1948" s="19" t="str">
        <x:v>D04</x:v>
      </x:c>
      <x:c r="I1948" s="19" t="str">
        <x:v>酸包菜炒粉皮</x:v>
      </x:c>
      <x:c r="J1948" s="22" t="n">
        <x:f>XLOOKUP(H1948,'菜品主数据'!$A$5:$A$24,'菜品主数据'!$D$5:$D$24,0)</x:f>
        <x:v>16</x:v>
      </x:c>
      <x:c r="K1948" s="31" t="n">
        <x:v>3</x:v>
      </x:c>
      <x:c r="L1948" s="35" t="n">
        <x:f>J1948*K1948</x:f>
        <x:v>48</x:v>
      </x:c>
      <x:c r="M1948" s="36" t="n">
        <x:v>0.08</x:v>
      </x:c>
      <x:c r="N1948" s="35" t="n">
        <x:f>L1948*M1948</x:f>
        <x:v>3.84</x:v>
      </x:c>
      <x:c r="O1948" s="37" t="n">
        <x:v>0.18</x:v>
      </x:c>
      <x:c r="P1948" s="35" t="n">
        <x:f>L1948*O1948</x:f>
        <x:v>8.64</x:v>
      </x:c>
      <x:c r="Q1948" s="35" t="n">
        <x:v>1.2</x:v>
      </x:c>
      <x:c r="R1948" s="35" t="n">
        <x:f>K1948*Q1948</x:f>
        <x:v>3.5999999999999996</x:v>
      </x:c>
      <x:c r="S1948" s="35" t="n">
        <x:f>XLOOKUP(H1948,'菜品主数据'!$A$5:$A$24,'菜品主数据'!$G$5:$G$24,0)</x:f>
        <x:v>3.978</x:v>
      </x:c>
      <x:c r="T1948" s="35" t="n">
        <x:f>K1948*S1948</x:f>
        <x:v>11.934000000000001</x:v>
      </x:c>
      <x:c r="U1948" s="35" t="n">
        <x:f>L1948-N1948-P1948-R1948-T1948</x:f>
        <x:v>19.985999999999994</x:v>
      </x:c>
      <x:c r="V1948" s="21" t="n">
        <x:f>IFERROR(U1948/L1948,0)</x:f>
        <x:v>0.4163749999999999</x:v>
      </x:c>
    </x:row>
    <x:row r="1949">
      <x:c r="A1949" s="19" t="str">
        <x:v>SALE-01945</x:v>
      </x:c>
      <x:c r="B1949" s="34" t="n">
        <x:v>46216.5</x:v>
      </x:c>
      <x:c r="C1949" s="19" t="str">
        <x:v>周一</x:v>
      </x:c>
      <x:c r="D1949" s="19" t="str">
        <x:v>S07</x:v>
      </x:c>
      <x:c r="E1949" s="19" t="str">
        <x:v>小和山店</x:v>
      </x:c>
      <x:c r="F1949" s="19" t="str">
        <x:v>外卖</x:v>
      </x:c>
      <x:c r="G1949" s="19" t="str">
        <x:v>全日</x:v>
      </x:c>
      <x:c r="H1949" s="19" t="str">
        <x:v>D05</x:v>
      </x:c>
      <x:c r="I1949" s="19" t="str">
        <x:v>麻婆豆腐</x:v>
      </x:c>
      <x:c r="J1949" s="22" t="n">
        <x:f>XLOOKUP(H1949,'菜品主数据'!$A$5:$A$24,'菜品主数据'!$D$5:$D$24,0)</x:f>
        <x:v>9.9</x:v>
      </x:c>
      <x:c r="K1949" s="31" t="n">
        <x:v>5</x:v>
      </x:c>
      <x:c r="L1949" s="35" t="n">
        <x:f>J1949*K1949</x:f>
        <x:v>49.5</x:v>
      </x:c>
      <x:c r="M1949" s="36" t="n">
        <x:v>0.08</x:v>
      </x:c>
      <x:c r="N1949" s="35" t="n">
        <x:f>L1949*M1949</x:f>
        <x:v>3.96</x:v>
      </x:c>
      <x:c r="O1949" s="37" t="n">
        <x:v>0.18</x:v>
      </x:c>
      <x:c r="P1949" s="35" t="n">
        <x:f>L1949*O1949</x:f>
        <x:v>8.91</x:v>
      </x:c>
      <x:c r="Q1949" s="35" t="n">
        <x:v>1.2</x:v>
      </x:c>
      <x:c r="R1949" s="35" t="n">
        <x:f>K1949*Q1949</x:f>
        <x:v>6</x:v>
      </x:c>
      <x:c r="S1949" s="35" t="n">
        <x:f>XLOOKUP(H1949,'菜品主数据'!$A$5:$A$24,'菜品主数据'!$G$5:$G$24,0)</x:f>
        <x:v>5.367000000000001</x:v>
      </x:c>
      <x:c r="T1949" s="35" t="n">
        <x:f>K1949*S1949</x:f>
        <x:v>26.835000000000004</x:v>
      </x:c>
      <x:c r="U1949" s="35" t="n">
        <x:f>L1949-N1949-P1949-R1949-T1949</x:f>
        <x:v>3.794999999999991</x:v>
      </x:c>
      <x:c r="V1949" s="21" t="n">
        <x:f>IFERROR(U1949/L1949,0)</x:f>
        <x:v>0.07666666666666648</x:v>
      </x:c>
    </x:row>
    <x:row r="1950">
      <x:c r="A1950" s="19" t="str">
        <x:v>SALE-01946</x:v>
      </x:c>
      <x:c r="B1950" s="34" t="n">
        <x:v>46216.5</x:v>
      </x:c>
      <x:c r="C1950" s="19" t="str">
        <x:v>周一</x:v>
      </x:c>
      <x:c r="D1950" s="19" t="str">
        <x:v>S07</x:v>
      </x:c>
      <x:c r="E1950" s="19" t="str">
        <x:v>小和山店</x:v>
      </x:c>
      <x:c r="F1950" s="19" t="str">
        <x:v>外卖</x:v>
      </x:c>
      <x:c r="G1950" s="19" t="str">
        <x:v>全日</x:v>
      </x:c>
      <x:c r="H1950" s="19" t="str">
        <x:v>D06</x:v>
      </x:c>
      <x:c r="I1950" s="19" t="str">
        <x:v>剁椒鱼头</x:v>
      </x:c>
      <x:c r="J1950" s="22" t="n">
        <x:f>XLOOKUP(H1950,'菜品主数据'!$A$5:$A$24,'菜品主数据'!$D$5:$D$24,0)</x:f>
        <x:v>39</x:v>
      </x:c>
      <x:c r="K1950" s="31" t="n">
        <x:v>1</x:v>
      </x:c>
      <x:c r="L1950" s="35" t="n">
        <x:f>J1950*K1950</x:f>
        <x:v>39</x:v>
      </x:c>
      <x:c r="M1950" s="36" t="n">
        <x:v>0.08</x:v>
      </x:c>
      <x:c r="N1950" s="35" t="n">
        <x:f>L1950*M1950</x:f>
        <x:v>3.12</x:v>
      </x:c>
      <x:c r="O1950" s="37" t="n">
        <x:v>0.18</x:v>
      </x:c>
      <x:c r="P1950" s="35" t="n">
        <x:f>L1950*O1950</x:f>
        <x:v>7.02</x:v>
      </x:c>
      <x:c r="Q1950" s="35" t="n">
        <x:v>1.2</x:v>
      </x:c>
      <x:c r="R1950" s="35" t="n">
        <x:f>K1950*Q1950</x:f>
        <x:v>1.2</x:v>
      </x:c>
      <x:c r="S1950" s="35" t="n">
        <x:f>XLOOKUP(H1950,'菜品主数据'!$A$5:$A$24,'菜品主数据'!$G$5:$G$24,0)</x:f>
        <x:v>17.446</x:v>
      </x:c>
      <x:c r="T1950" s="35" t="n">
        <x:f>K1950*S1950</x:f>
        <x:v>17.446</x:v>
      </x:c>
      <x:c r="U1950" s="35" t="n">
        <x:f>L1950-N1950-P1950-R1950-T1950</x:f>
        <x:v>10.214000000000002</x:v>
      </x:c>
      <x:c r="V1950" s="21" t="n">
        <x:f>IFERROR(U1950/L1950,0)</x:f>
        <x:v>0.26189743589743597</x:v>
      </x:c>
    </x:row>
    <x:row r="1951">
      <x:c r="A1951" s="19" t="str">
        <x:v>SALE-01947</x:v>
      </x:c>
      <x:c r="B1951" s="34" t="n">
        <x:v>46216.5</x:v>
      </x:c>
      <x:c r="C1951" s="19" t="str">
        <x:v>周一</x:v>
      </x:c>
      <x:c r="D1951" s="19" t="str">
        <x:v>S07</x:v>
      </x:c>
      <x:c r="E1951" s="19" t="str">
        <x:v>小和山店</x:v>
      </x:c>
      <x:c r="F1951" s="19" t="str">
        <x:v>外卖</x:v>
      </x:c>
      <x:c r="G1951" s="19" t="str">
        <x:v>全日</x:v>
      </x:c>
      <x:c r="H1951" s="19" t="str">
        <x:v>D07</x:v>
      </x:c>
      <x:c r="I1951" s="19" t="str">
        <x:v>川味回锅肉</x:v>
      </x:c>
      <x:c r="J1951" s="22" t="n">
        <x:f>XLOOKUP(H1951,'菜品主数据'!$A$5:$A$24,'菜品主数据'!$D$5:$D$24,0)</x:f>
        <x:v>29</x:v>
      </x:c>
      <x:c r="K1951" s="31" t="n">
        <x:v>1</x:v>
      </x:c>
      <x:c r="L1951" s="35" t="n">
        <x:f>J1951*K1951</x:f>
        <x:v>29</x:v>
      </x:c>
      <x:c r="M1951" s="36" t="n">
        <x:v>0.08</x:v>
      </x:c>
      <x:c r="N1951" s="35" t="n">
        <x:f>L1951*M1951</x:f>
        <x:v>2.32</x:v>
      </x:c>
      <x:c r="O1951" s="37" t="n">
        <x:v>0.18</x:v>
      </x:c>
      <x:c r="P1951" s="35" t="n">
        <x:f>L1951*O1951</x:f>
        <x:v>5.22</x:v>
      </x:c>
      <x:c r="Q1951" s="35" t="n">
        <x:v>1.2</x:v>
      </x:c>
      <x:c r="R1951" s="35" t="n">
        <x:f>K1951*Q1951</x:f>
        <x:v>1.2</x:v>
      </x:c>
      <x:c r="S1951" s="35" t="n">
        <x:f>XLOOKUP(H1951,'菜品主数据'!$A$5:$A$24,'菜品主数据'!$G$5:$G$24,0)</x:f>
        <x:v>10.231000000000002</x:v>
      </x:c>
      <x:c r="T1951" s="35" t="n">
        <x:f>K1951*S1951</x:f>
        <x:v>10.231000000000002</x:v>
      </x:c>
      <x:c r="U1951" s="35" t="n">
        <x:f>L1951-N1951-P1951-R1951-T1951</x:f>
        <x:v>10.029</x:v>
      </x:c>
      <x:c r="V1951" s="21" t="n">
        <x:f>IFERROR(U1951/L1951,0)</x:f>
        <x:v>0.3458275862068966</x:v>
      </x:c>
    </x:row>
    <x:row r="1952">
      <x:c r="A1952" s="19" t="str">
        <x:v>SALE-01948</x:v>
      </x:c>
      <x:c r="B1952" s="34" t="n">
        <x:v>46216.5</x:v>
      </x:c>
      <x:c r="C1952" s="19" t="str">
        <x:v>周一</x:v>
      </x:c>
      <x:c r="D1952" s="19" t="str">
        <x:v>S07</x:v>
      </x:c>
      <x:c r="E1952" s="19" t="str">
        <x:v>小和山店</x:v>
      </x:c>
      <x:c r="F1952" s="19" t="str">
        <x:v>外卖</x:v>
      </x:c>
      <x:c r="G1952" s="19" t="str">
        <x:v>全日</x:v>
      </x:c>
      <x:c r="H1952" s="19" t="str">
        <x:v>D08</x:v>
      </x:c>
      <x:c r="I1952" s="19" t="str">
        <x:v>生炒清远鸡</x:v>
      </x:c>
      <x:c r="J1952" s="22" t="n">
        <x:f>XLOOKUP(H1952,'菜品主数据'!$A$5:$A$24,'菜品主数据'!$D$5:$D$24,0)</x:f>
        <x:v>36</x:v>
      </x:c>
      <x:c r="K1952" s="31" t="n">
        <x:v>1</x:v>
      </x:c>
      <x:c r="L1952" s="35" t="n">
        <x:f>J1952*K1952</x:f>
        <x:v>36</x:v>
      </x:c>
      <x:c r="M1952" s="36" t="n">
        <x:v>0.08</x:v>
      </x:c>
      <x:c r="N1952" s="35" t="n">
        <x:f>L1952*M1952</x:f>
        <x:v>2.88</x:v>
      </x:c>
      <x:c r="O1952" s="37" t="n">
        <x:v>0.18</x:v>
      </x:c>
      <x:c r="P1952" s="35" t="n">
        <x:f>L1952*O1952</x:f>
        <x:v>6.4799999999999995</x:v>
      </x:c>
      <x:c r="Q1952" s="35" t="n">
        <x:v>1.2</x:v>
      </x:c>
      <x:c r="R1952" s="35" t="n">
        <x:f>K1952*Q1952</x:f>
        <x:v>1.2</x:v>
      </x:c>
      <x:c r="S1952" s="35" t="n">
        <x:f>XLOOKUP(H1952,'菜品主数据'!$A$5:$A$24,'菜品主数据'!$G$5:$G$24,0)</x:f>
        <x:v>13.48</x:v>
      </x:c>
      <x:c r="T1952" s="35" t="n">
        <x:f>K1952*S1952</x:f>
        <x:v>13.48</x:v>
      </x:c>
      <x:c r="U1952" s="35" t="n">
        <x:f>L1952-N1952-P1952-R1952-T1952</x:f>
        <x:v>11.959999999999997</x:v>
      </x:c>
      <x:c r="V1952" s="21" t="n">
        <x:f>IFERROR(U1952/L1952,0)</x:f>
        <x:v>0.33222222222222214</x:v>
      </x:c>
    </x:row>
    <x:row r="1953">
      <x:c r="A1953" s="19" t="str">
        <x:v>SALE-01949</x:v>
      </x:c>
      <x:c r="B1953" s="34" t="n">
        <x:v>46216.5</x:v>
      </x:c>
      <x:c r="C1953" s="19" t="str">
        <x:v>周一</x:v>
      </x:c>
      <x:c r="D1953" s="19" t="str">
        <x:v>S07</x:v>
      </x:c>
      <x:c r="E1953" s="19" t="str">
        <x:v>小和山店</x:v>
      </x:c>
      <x:c r="F1953" s="19" t="str">
        <x:v>外卖</x:v>
      </x:c>
      <x:c r="G1953" s="19" t="str">
        <x:v>全日</x:v>
      </x:c>
      <x:c r="H1953" s="19" t="str">
        <x:v>D09</x:v>
      </x:c>
      <x:c r="I1953" s="19" t="str">
        <x:v>炒豆干</x:v>
      </x:c>
      <x:c r="J1953" s="22" t="n">
        <x:f>XLOOKUP(H1953,'菜品主数据'!$A$5:$A$24,'菜品主数据'!$D$5:$D$24,0)</x:f>
        <x:v>18</x:v>
      </x:c>
      <x:c r="K1953" s="31" t="n">
        <x:v>1</x:v>
      </x:c>
      <x:c r="L1953" s="35" t="n">
        <x:f>J1953*K1953</x:f>
        <x:v>18</x:v>
      </x:c>
      <x:c r="M1953" s="36" t="n">
        <x:v>0.08</x:v>
      </x:c>
      <x:c r="N1953" s="35" t="n">
        <x:f>L1953*M1953</x:f>
        <x:v>1.44</x:v>
      </x:c>
      <x:c r="O1953" s="37" t="n">
        <x:v>0.18</x:v>
      </x:c>
      <x:c r="P1953" s="35" t="n">
        <x:f>L1953*O1953</x:f>
        <x:v>3.2399999999999998</x:v>
      </x:c>
      <x:c r="Q1953" s="35" t="n">
        <x:v>1.2</x:v>
      </x:c>
      <x:c r="R1953" s="35" t="n">
        <x:f>K1953*Q1953</x:f>
        <x:v>1.2</x:v>
      </x:c>
      <x:c r="S1953" s="35" t="n">
        <x:f>XLOOKUP(H1953,'菜品主数据'!$A$5:$A$24,'菜品主数据'!$G$5:$G$24,0)</x:f>
        <x:v>6.613999999999999</x:v>
      </x:c>
      <x:c r="T1953" s="35" t="n">
        <x:f>K1953*S1953</x:f>
        <x:v>6.613999999999999</x:v>
      </x:c>
      <x:c r="U1953" s="35" t="n">
        <x:f>L1953-N1953-P1953-R1953-T1953</x:f>
        <x:v>5.506</x:v>
      </x:c>
      <x:c r="V1953" s="21" t="n">
        <x:f>IFERROR(U1953/L1953,0)</x:f>
        <x:v>0.3058888888888889</x:v>
      </x:c>
    </x:row>
    <x:row r="1954">
      <x:c r="A1954" s="19" t="str">
        <x:v>SALE-01950</x:v>
      </x:c>
      <x:c r="B1954" s="34" t="n">
        <x:v>46216.5</x:v>
      </x:c>
      <x:c r="C1954" s="19" t="str">
        <x:v>周一</x:v>
      </x:c>
      <x:c r="D1954" s="19" t="str">
        <x:v>S07</x:v>
      </x:c>
      <x:c r="E1954" s="19" t="str">
        <x:v>小和山店</x:v>
      </x:c>
      <x:c r="F1954" s="19" t="str">
        <x:v>外卖</x:v>
      </x:c>
      <x:c r="G1954" s="19" t="str">
        <x:v>全日</x:v>
      </x:c>
      <x:c r="H1954" s="19" t="str">
        <x:v>D10</x:v>
      </x:c>
      <x:c r="I1954" s="19" t="str">
        <x:v>农家一碗香</x:v>
      </x:c>
      <x:c r="J1954" s="22" t="n">
        <x:f>XLOOKUP(H1954,'菜品主数据'!$A$5:$A$24,'菜品主数据'!$D$5:$D$24,0)</x:f>
        <x:v>22.9</x:v>
      </x:c>
      <x:c r="K1954" s="31" t="n">
        <x:v>1</x:v>
      </x:c>
      <x:c r="L1954" s="35" t="n">
        <x:f>J1954*K1954</x:f>
        <x:v>22.9</x:v>
      </x:c>
      <x:c r="M1954" s="36" t="n">
        <x:v>0.08</x:v>
      </x:c>
      <x:c r="N1954" s="35" t="n">
        <x:f>L1954*M1954</x:f>
        <x:v>1.8319999999999999</x:v>
      </x:c>
      <x:c r="O1954" s="37" t="n">
        <x:v>0.18</x:v>
      </x:c>
      <x:c r="P1954" s="35" t="n">
        <x:f>L1954*O1954</x:f>
        <x:v>4.122</x:v>
      </x:c>
      <x:c r="Q1954" s="35" t="n">
        <x:v>1.2</x:v>
      </x:c>
      <x:c r="R1954" s="35" t="n">
        <x:f>K1954*Q1954</x:f>
        <x:v>1.2</x:v>
      </x:c>
      <x:c r="S1954" s="35" t="n">
        <x:f>XLOOKUP(H1954,'菜品主数据'!$A$5:$A$24,'菜品主数据'!$G$5:$G$24,0)</x:f>
        <x:v>9.770200000000003</x:v>
      </x:c>
      <x:c r="T1954" s="35" t="n">
        <x:f>K1954*S1954</x:f>
        <x:v>9.770200000000003</x:v>
      </x:c>
      <x:c r="U1954" s="35" t="n">
        <x:f>L1954-N1954-P1954-R1954-T1954</x:f>
        <x:v>5.975799999999996</x:v>
      </x:c>
      <x:c r="V1954" s="21" t="n">
        <x:f>IFERROR(U1954/L1954,0)</x:f>
        <x:v>0.260951965065502</x:v>
      </x:c>
    </x:row>
    <x:row r="1955">
      <x:c r="A1955" s="19" t="str">
        <x:v>SALE-01951</x:v>
      </x:c>
      <x:c r="B1955" s="34" t="n">
        <x:v>46216.5</x:v>
      </x:c>
      <x:c r="C1955" s="19" t="str">
        <x:v>周一</x:v>
      </x:c>
      <x:c r="D1955" s="19" t="str">
        <x:v>S07</x:v>
      </x:c>
      <x:c r="E1955" s="19" t="str">
        <x:v>小和山店</x:v>
      </x:c>
      <x:c r="F1955" s="19" t="str">
        <x:v>外卖</x:v>
      </x:c>
      <x:c r="G1955" s="19" t="str">
        <x:v>全日</x:v>
      </x:c>
      <x:c r="H1955" s="19" t="str">
        <x:v>D11</x:v>
      </x:c>
      <x:c r="I1955" s="19" t="str">
        <x:v>香辣爆肥肠</x:v>
      </x:c>
      <x:c r="J1955" s="22" t="n">
        <x:f>XLOOKUP(H1955,'菜品主数据'!$A$5:$A$24,'菜品主数据'!$D$5:$D$24,0)</x:f>
        <x:v>39</x:v>
      </x:c>
      <x:c r="K1955" s="31" t="n">
        <x:v>0</x:v>
      </x:c>
      <x:c r="L1955" s="35" t="n">
        <x:f>J1955*K1955</x:f>
        <x:v>0</x:v>
      </x:c>
      <x:c r="M1955" s="36" t="n">
        <x:v>0.08</x:v>
      </x:c>
      <x:c r="N1955" s="35" t="n">
        <x:f>L1955*M1955</x:f>
        <x:v>0</x:v>
      </x:c>
      <x:c r="O1955" s="37" t="n">
        <x:v>0.18</x:v>
      </x:c>
      <x:c r="P1955" s="35" t="n">
        <x:f>L1955*O1955</x:f>
        <x:v>0</x:v>
      </x:c>
      <x:c r="Q1955" s="35" t="n">
        <x:v>1.2</x:v>
      </x:c>
      <x:c r="R1955" s="35" t="n">
        <x:f>K1955*Q1955</x:f>
        <x:v>0</x:v>
      </x:c>
      <x:c r="S1955" s="35" t="n">
        <x:f>XLOOKUP(H1955,'菜品主数据'!$A$5:$A$24,'菜品主数据'!$G$5:$G$24,0)</x:f>
        <x:v>10.397</x:v>
      </x:c>
      <x:c r="T1955" s="35" t="n">
        <x:f>K1955*S1955</x:f>
        <x:v>0</x:v>
      </x:c>
      <x:c r="U1955" s="35" t="n">
        <x:f>L1955-N1955-P1955-R1955-T1955</x:f>
        <x:v>0</x:v>
      </x:c>
      <x:c r="V1955" s="21" t="n">
        <x:f>IFERROR(U1955/L1955,0)</x:f>
        <x:v>0</x:v>
      </x:c>
    </x:row>
    <x:row r="1956">
      <x:c r="A1956" s="19" t="str">
        <x:v>SALE-01952</x:v>
      </x:c>
      <x:c r="B1956" s="34" t="n">
        <x:v>46216.5</x:v>
      </x:c>
      <x:c r="C1956" s="19" t="str">
        <x:v>周一</x:v>
      </x:c>
      <x:c r="D1956" s="19" t="str">
        <x:v>S07</x:v>
      </x:c>
      <x:c r="E1956" s="19" t="str">
        <x:v>小和山店</x:v>
      </x:c>
      <x:c r="F1956" s="19" t="str">
        <x:v>外卖</x:v>
      </x:c>
      <x:c r="G1956" s="19" t="str">
        <x:v>全日</x:v>
      </x:c>
      <x:c r="H1956" s="19" t="str">
        <x:v>D12</x:v>
      </x:c>
      <x:c r="I1956" s="19" t="str">
        <x:v>清蒸鲈鱼</x:v>
      </x:c>
      <x:c r="J1956" s="22" t="n">
        <x:f>XLOOKUP(H1956,'菜品主数据'!$A$5:$A$24,'菜品主数据'!$D$5:$D$24,0)</x:f>
        <x:v>39</x:v>
      </x:c>
      <x:c r="K1956" s="31" t="n">
        <x:v>0</x:v>
      </x:c>
      <x:c r="L1956" s="35" t="n">
        <x:f>J1956*K1956</x:f>
        <x:v>0</x:v>
      </x:c>
      <x:c r="M1956" s="36" t="n">
        <x:v>0.08</x:v>
      </x:c>
      <x:c r="N1956" s="35" t="n">
        <x:f>L1956*M1956</x:f>
        <x:v>0</x:v>
      </x:c>
      <x:c r="O1956" s="37" t="n">
        <x:v>0.18</x:v>
      </x:c>
      <x:c r="P1956" s="35" t="n">
        <x:f>L1956*O1956</x:f>
        <x:v>0</x:v>
      </x:c>
      <x:c r="Q1956" s="35" t="n">
        <x:v>1.2</x:v>
      </x:c>
      <x:c r="R1956" s="35" t="n">
        <x:f>K1956*Q1956</x:f>
        <x:v>0</x:v>
      </x:c>
      <x:c r="S1956" s="35" t="n">
        <x:f>XLOOKUP(H1956,'菜品主数据'!$A$5:$A$24,'菜品主数据'!$G$5:$G$24,0)</x:f>
        <x:v>18.874</x:v>
      </x:c>
      <x:c r="T1956" s="35" t="n">
        <x:f>K1956*S1956</x:f>
        <x:v>0</x:v>
      </x:c>
      <x:c r="U1956" s="35" t="n">
        <x:f>L1956-N1956-P1956-R1956-T1956</x:f>
        <x:v>0</x:v>
      </x:c>
      <x:c r="V1956" s="21" t="n">
        <x:f>IFERROR(U1956/L1956,0)</x:f>
        <x:v>0</x:v>
      </x:c>
    </x:row>
    <x:row r="1957">
      <x:c r="A1957" s="19" t="str">
        <x:v>SALE-01953</x:v>
      </x:c>
      <x:c r="B1957" s="34" t="n">
        <x:v>46216.5</x:v>
      </x:c>
      <x:c r="C1957" s="19" t="str">
        <x:v>周一</x:v>
      </x:c>
      <x:c r="D1957" s="19" t="str">
        <x:v>S07</x:v>
      </x:c>
      <x:c r="E1957" s="19" t="str">
        <x:v>小和山店</x:v>
      </x:c>
      <x:c r="F1957" s="19" t="str">
        <x:v>外卖</x:v>
      </x:c>
      <x:c r="G1957" s="19" t="str">
        <x:v>全日</x:v>
      </x:c>
      <x:c r="H1957" s="19" t="str">
        <x:v>D13</x:v>
      </x:c>
      <x:c r="I1957" s="19" t="str">
        <x:v>外婆菜炒蛋</x:v>
      </x:c>
      <x:c r="J1957" s="22" t="n">
        <x:f>XLOOKUP(H1957,'菜品主数据'!$A$5:$A$24,'菜品主数据'!$D$5:$D$24,0)</x:f>
        <x:v>18</x:v>
      </x:c>
      <x:c r="K1957" s="31" t="n">
        <x:v>1</x:v>
      </x:c>
      <x:c r="L1957" s="35" t="n">
        <x:f>J1957*K1957</x:f>
        <x:v>18</x:v>
      </x:c>
      <x:c r="M1957" s="36" t="n">
        <x:v>0.08</x:v>
      </x:c>
      <x:c r="N1957" s="35" t="n">
        <x:f>L1957*M1957</x:f>
        <x:v>1.44</x:v>
      </x:c>
      <x:c r="O1957" s="37" t="n">
        <x:v>0.18</x:v>
      </x:c>
      <x:c r="P1957" s="35" t="n">
        <x:f>L1957*O1957</x:f>
        <x:v>3.2399999999999998</x:v>
      </x:c>
      <x:c r="Q1957" s="35" t="n">
        <x:v>1.2</x:v>
      </x:c>
      <x:c r="R1957" s="35" t="n">
        <x:f>K1957*Q1957</x:f>
        <x:v>1.2</x:v>
      </x:c>
      <x:c r="S1957" s="35" t="n">
        <x:f>XLOOKUP(H1957,'菜品主数据'!$A$5:$A$24,'菜品主数据'!$G$5:$G$24,0)</x:f>
        <x:v>5.403999999999999</x:v>
      </x:c>
      <x:c r="T1957" s="35" t="n">
        <x:f>K1957*S1957</x:f>
        <x:v>5.403999999999999</x:v>
      </x:c>
      <x:c r="U1957" s="35" t="n">
        <x:f>L1957-N1957-P1957-R1957-T1957</x:f>
        <x:v>6.716</x:v>
      </x:c>
      <x:c r="V1957" s="21" t="n">
        <x:f>IFERROR(U1957/L1957,0)</x:f>
        <x:v>0.3731111111111111</x:v>
      </x:c>
    </x:row>
    <x:row r="1958">
      <x:c r="A1958" s="19" t="str">
        <x:v>SALE-01954</x:v>
      </x:c>
      <x:c r="B1958" s="34" t="n">
        <x:v>46216.5</x:v>
      </x:c>
      <x:c r="C1958" s="19" t="str">
        <x:v>周一</x:v>
      </x:c>
      <x:c r="D1958" s="19" t="str">
        <x:v>S07</x:v>
      </x:c>
      <x:c r="E1958" s="19" t="str">
        <x:v>小和山店</x:v>
      </x:c>
      <x:c r="F1958" s="19" t="str">
        <x:v>外卖</x:v>
      </x:c>
      <x:c r="G1958" s="19" t="str">
        <x:v>全日</x:v>
      </x:c>
      <x:c r="H1958" s="19" t="str">
        <x:v>D14</x:v>
      </x:c>
      <x:c r="I1958" s="19" t="str">
        <x:v>酸辣鸡杂</x:v>
      </x:c>
      <x:c r="J1958" s="22" t="n">
        <x:f>XLOOKUP(H1958,'菜品主数据'!$A$5:$A$24,'菜品主数据'!$D$5:$D$24,0)</x:f>
        <x:v>28</x:v>
      </x:c>
      <x:c r="K1958" s="31" t="n">
        <x:v>0</x:v>
      </x:c>
      <x:c r="L1958" s="35" t="n">
        <x:f>J1958*K1958</x:f>
        <x:v>0</x:v>
      </x:c>
      <x:c r="M1958" s="36" t="n">
        <x:v>0.08</x:v>
      </x:c>
      <x:c r="N1958" s="35" t="n">
        <x:f>L1958*M1958</x:f>
        <x:v>0</x:v>
      </x:c>
      <x:c r="O1958" s="37" t="n">
        <x:v>0.18</x:v>
      </x:c>
      <x:c r="P1958" s="35" t="n">
        <x:f>L1958*O1958</x:f>
        <x:v>0</x:v>
      </x:c>
      <x:c r="Q1958" s="35" t="n">
        <x:v>1.2</x:v>
      </x:c>
      <x:c r="R1958" s="35" t="n">
        <x:f>K1958*Q1958</x:f>
        <x:v>0</x:v>
      </x:c>
      <x:c r="S1958" s="35" t="n">
        <x:f>XLOOKUP(H1958,'菜品主数据'!$A$5:$A$24,'菜品主数据'!$G$5:$G$24,0)</x:f>
        <x:v>8.315000000000001</x:v>
      </x:c>
      <x:c r="T1958" s="35" t="n">
        <x:f>K1958*S1958</x:f>
        <x:v>0</x:v>
      </x:c>
      <x:c r="U1958" s="35" t="n">
        <x:f>L1958-N1958-P1958-R1958-T1958</x:f>
        <x:v>0</x:v>
      </x:c>
      <x:c r="V1958" s="21" t="n">
        <x:f>IFERROR(U1958/L1958,0)</x:f>
        <x:v>0</x:v>
      </x:c>
    </x:row>
    <x:row r="1959">
      <x:c r="A1959" s="19" t="str">
        <x:v>SALE-01955</x:v>
      </x:c>
      <x:c r="B1959" s="34" t="n">
        <x:v>46216.5</x:v>
      </x:c>
      <x:c r="C1959" s="19" t="str">
        <x:v>周一</x:v>
      </x:c>
      <x:c r="D1959" s="19" t="str">
        <x:v>S07</x:v>
      </x:c>
      <x:c r="E1959" s="19" t="str">
        <x:v>小和山店</x:v>
      </x:c>
      <x:c r="F1959" s="19" t="str">
        <x:v>外卖</x:v>
      </x:c>
      <x:c r="G1959" s="19" t="str">
        <x:v>全日</x:v>
      </x:c>
      <x:c r="H1959" s="19" t="str">
        <x:v>D15</x:v>
      </x:c>
      <x:c r="I1959" s="19" t="str">
        <x:v>湘西土匪猪肝</x:v>
      </x:c>
      <x:c r="J1959" s="22" t="n">
        <x:f>XLOOKUP(H1959,'菜品主数据'!$A$5:$A$24,'菜品主数据'!$D$5:$D$24,0)</x:f>
        <x:v>26</x:v>
      </x:c>
      <x:c r="K1959" s="31" t="n">
        <x:v>0</x:v>
      </x:c>
      <x:c r="L1959" s="35" t="n">
        <x:f>J1959*K1959</x:f>
        <x:v>0</x:v>
      </x:c>
      <x:c r="M1959" s="36" t="n">
        <x:v>0.08</x:v>
      </x:c>
      <x:c r="N1959" s="35" t="n">
        <x:f>L1959*M1959</x:f>
        <x:v>0</x:v>
      </x:c>
      <x:c r="O1959" s="37" t="n">
        <x:v>0.18</x:v>
      </x:c>
      <x:c r="P1959" s="35" t="n">
        <x:f>L1959*O1959</x:f>
        <x:v>0</x:v>
      </x:c>
      <x:c r="Q1959" s="35" t="n">
        <x:v>1.2</x:v>
      </x:c>
      <x:c r="R1959" s="35" t="n">
        <x:f>K1959*Q1959</x:f>
        <x:v>0</x:v>
      </x:c>
      <x:c r="S1959" s="35" t="n">
        <x:f>XLOOKUP(H1959,'菜品主数据'!$A$5:$A$24,'菜品主数据'!$G$5:$G$24,0)</x:f>
        <x:v>6.3759999999999994</x:v>
      </x:c>
      <x:c r="T1959" s="35" t="n">
        <x:f>K1959*S1959</x:f>
        <x:v>0</x:v>
      </x:c>
      <x:c r="U1959" s="35" t="n">
        <x:f>L1959-N1959-P1959-R1959-T1959</x:f>
        <x:v>0</x:v>
      </x:c>
      <x:c r="V1959" s="21" t="n">
        <x:f>IFERROR(U1959/L1959,0)</x:f>
        <x:v>0</x:v>
      </x:c>
    </x:row>
    <x:row r="1960">
      <x:c r="A1960" s="19" t="str">
        <x:v>SALE-01956</x:v>
      </x:c>
      <x:c r="B1960" s="34" t="n">
        <x:v>46216.5</x:v>
      </x:c>
      <x:c r="C1960" s="19" t="str">
        <x:v>周一</x:v>
      </x:c>
      <x:c r="D1960" s="19" t="str">
        <x:v>S07</x:v>
      </x:c>
      <x:c r="E1960" s="19" t="str">
        <x:v>小和山店</x:v>
      </x:c>
      <x:c r="F1960" s="19" t="str">
        <x:v>外卖</x:v>
      </x:c>
      <x:c r="G1960" s="19" t="str">
        <x:v>全日</x:v>
      </x:c>
      <x:c r="H1960" s="19" t="str">
        <x:v>D16</x:v>
      </x:c>
      <x:c r="I1960" s="19" t="str">
        <x:v>小豆角炒五花</x:v>
      </x:c>
      <x:c r="J1960" s="22" t="n">
        <x:f>XLOOKUP(H1960,'菜品主数据'!$A$5:$A$24,'菜品主数据'!$D$5:$D$24,0)</x:f>
        <x:v>25</x:v>
      </x:c>
      <x:c r="K1960" s="31" t="n">
        <x:v>0</x:v>
      </x:c>
      <x:c r="L1960" s="35" t="n">
        <x:f>J1960*K1960</x:f>
        <x:v>0</x:v>
      </x:c>
      <x:c r="M1960" s="36" t="n">
        <x:v>0.08</x:v>
      </x:c>
      <x:c r="N1960" s="35" t="n">
        <x:f>L1960*M1960</x:f>
        <x:v>0</x:v>
      </x:c>
      <x:c r="O1960" s="37" t="n">
        <x:v>0.18</x:v>
      </x:c>
      <x:c r="P1960" s="35" t="n">
        <x:f>L1960*O1960</x:f>
        <x:v>0</x:v>
      </x:c>
      <x:c r="Q1960" s="35" t="n">
        <x:v>1.2</x:v>
      </x:c>
      <x:c r="R1960" s="35" t="n">
        <x:f>K1960*Q1960</x:f>
        <x:v>0</x:v>
      </x:c>
      <x:c r="S1960" s="35" t="n">
        <x:f>XLOOKUP(H1960,'菜品主数据'!$A$5:$A$24,'菜品主数据'!$G$5:$G$24,0)</x:f>
        <x:v>8.184</x:v>
      </x:c>
      <x:c r="T1960" s="35" t="n">
        <x:f>K1960*S1960</x:f>
        <x:v>0</x:v>
      </x:c>
      <x:c r="U1960" s="35" t="n">
        <x:f>L1960-N1960-P1960-R1960-T1960</x:f>
        <x:v>0</x:v>
      </x:c>
      <x:c r="V1960" s="21" t="n">
        <x:f>IFERROR(U1960/L1960,0)</x:f>
        <x:v>0</x:v>
      </x:c>
    </x:row>
    <x:row r="1961">
      <x:c r="A1961" s="19" t="str">
        <x:v>SALE-01957</x:v>
      </x:c>
      <x:c r="B1961" s="34" t="n">
        <x:v>46216.5</x:v>
      </x:c>
      <x:c r="C1961" s="19" t="str">
        <x:v>周一</x:v>
      </x:c>
      <x:c r="D1961" s="19" t="str">
        <x:v>S07</x:v>
      </x:c>
      <x:c r="E1961" s="19" t="str">
        <x:v>小和山店</x:v>
      </x:c>
      <x:c r="F1961" s="19" t="str">
        <x:v>外卖</x:v>
      </x:c>
      <x:c r="G1961" s="19" t="str">
        <x:v>全日</x:v>
      </x:c>
      <x:c r="H1961" s="19" t="str">
        <x:v>D17</x:v>
      </x:c>
      <x:c r="I1961" s="19" t="str">
        <x:v>蒜蓉粉丝虾</x:v>
      </x:c>
      <x:c r="J1961" s="22" t="n">
        <x:f>XLOOKUP(H1961,'菜品主数据'!$A$5:$A$24,'菜品主数据'!$D$5:$D$24,0)</x:f>
        <x:v>36</x:v>
      </x:c>
      <x:c r="K1961" s="31" t="n">
        <x:v>0</x:v>
      </x:c>
      <x:c r="L1961" s="35" t="n">
        <x:f>J1961*K1961</x:f>
        <x:v>0</x:v>
      </x:c>
      <x:c r="M1961" s="36" t="n">
        <x:v>0.08</x:v>
      </x:c>
      <x:c r="N1961" s="35" t="n">
        <x:f>L1961*M1961</x:f>
        <x:v>0</x:v>
      </x:c>
      <x:c r="O1961" s="37" t="n">
        <x:v>0.18</x:v>
      </x:c>
      <x:c r="P1961" s="35" t="n">
        <x:f>L1961*O1961</x:f>
        <x:v>0</x:v>
      </x:c>
      <x:c r="Q1961" s="35" t="n">
        <x:v>1.2</x:v>
      </x:c>
      <x:c r="R1961" s="35" t="n">
        <x:f>K1961*Q1961</x:f>
        <x:v>0</x:v>
      </x:c>
      <x:c r="S1961" s="35" t="n">
        <x:f>XLOOKUP(H1961,'菜品主数据'!$A$5:$A$24,'菜品主数据'!$G$5:$G$24,0)</x:f>
        <x:v>13.594</x:v>
      </x:c>
      <x:c r="T1961" s="35" t="n">
        <x:f>K1961*S1961</x:f>
        <x:v>0</x:v>
      </x:c>
      <x:c r="U1961" s="35" t="n">
        <x:f>L1961-N1961-P1961-R1961-T1961</x:f>
        <x:v>0</x:v>
      </x:c>
      <x:c r="V1961" s="21" t="n">
        <x:f>IFERROR(U1961/L1961,0)</x:f>
        <x:v>0</x:v>
      </x:c>
    </x:row>
    <x:row r="1962">
      <x:c r="A1962" s="19" t="str">
        <x:v>SALE-01958</x:v>
      </x:c>
      <x:c r="B1962" s="34" t="n">
        <x:v>46216.5</x:v>
      </x:c>
      <x:c r="C1962" s="19" t="str">
        <x:v>周一</x:v>
      </x:c>
      <x:c r="D1962" s="19" t="str">
        <x:v>S07</x:v>
      </x:c>
      <x:c r="E1962" s="19" t="str">
        <x:v>小和山店</x:v>
      </x:c>
      <x:c r="F1962" s="19" t="str">
        <x:v>外卖</x:v>
      </x:c>
      <x:c r="G1962" s="19" t="str">
        <x:v>全日</x:v>
      </x:c>
      <x:c r="H1962" s="19" t="str">
        <x:v>D18</x:v>
      </x:c>
      <x:c r="I1962" s="19" t="str">
        <x:v>青椒炒油麦菜</x:v>
      </x:c>
      <x:c r="J1962" s="22" t="n">
        <x:f>XLOOKUP(H1962,'菜品主数据'!$A$5:$A$24,'菜品主数据'!$D$5:$D$24,0)</x:f>
        <x:v>18</x:v>
      </x:c>
      <x:c r="K1962" s="31" t="n">
        <x:v>0</x:v>
      </x:c>
      <x:c r="L1962" s="35" t="n">
        <x:f>J1962*K1962</x:f>
        <x:v>0</x:v>
      </x:c>
      <x:c r="M1962" s="36" t="n">
        <x:v>0.08</x:v>
      </x:c>
      <x:c r="N1962" s="35" t="n">
        <x:f>L1962*M1962</x:f>
        <x:v>0</x:v>
      </x:c>
      <x:c r="O1962" s="37" t="n">
        <x:v>0.18</x:v>
      </x:c>
      <x:c r="P1962" s="35" t="n">
        <x:f>L1962*O1962</x:f>
        <x:v>0</x:v>
      </x:c>
      <x:c r="Q1962" s="35" t="n">
        <x:v>1.2</x:v>
      </x:c>
      <x:c r="R1962" s="35" t="n">
        <x:f>K1962*Q1962</x:f>
        <x:v>0</x:v>
      </x:c>
      <x:c r="S1962" s="35" t="n">
        <x:f>XLOOKUP(H1962,'菜品主数据'!$A$5:$A$24,'菜品主数据'!$G$5:$G$24,0)</x:f>
        <x:v>3.1759999999999993</x:v>
      </x:c>
      <x:c r="T1962" s="35" t="n">
        <x:f>K1962*S1962</x:f>
        <x:v>0</x:v>
      </x:c>
      <x:c r="U1962" s="35" t="n">
        <x:f>L1962-N1962-P1962-R1962-T1962</x:f>
        <x:v>0</x:v>
      </x:c>
      <x:c r="V1962" s="21" t="n">
        <x:f>IFERROR(U1962/L1962,0)</x:f>
        <x:v>0</x:v>
      </x:c>
    </x:row>
    <x:row r="1963">
      <x:c r="A1963" s="19" t="str">
        <x:v>SALE-01959</x:v>
      </x:c>
      <x:c r="B1963" s="34" t="n">
        <x:v>46216.5</x:v>
      </x:c>
      <x:c r="C1963" s="19" t="str">
        <x:v>周一</x:v>
      </x:c>
      <x:c r="D1963" s="19" t="str">
        <x:v>S07</x:v>
      </x:c>
      <x:c r="E1963" s="19" t="str">
        <x:v>小和山店</x:v>
      </x:c>
      <x:c r="F1963" s="19" t="str">
        <x:v>外卖</x:v>
      </x:c>
      <x:c r="G1963" s="19" t="str">
        <x:v>全日</x:v>
      </x:c>
      <x:c r="H1963" s="19" t="str">
        <x:v>D19</x:v>
      </x:c>
      <x:c r="I1963" s="19" t="str">
        <x:v>酸萝卜炒鸡杂</x:v>
      </x:c>
      <x:c r="J1963" s="22" t="n">
        <x:f>XLOOKUP(H1963,'菜品主数据'!$A$5:$A$24,'菜品主数据'!$D$5:$D$24,0)</x:f>
        <x:v>25</x:v>
      </x:c>
      <x:c r="K1963" s="31" t="n">
        <x:v>0</x:v>
      </x:c>
      <x:c r="L1963" s="35" t="n">
        <x:f>J1963*K1963</x:f>
        <x:v>0</x:v>
      </x:c>
      <x:c r="M1963" s="36" t="n">
        <x:v>0.08</x:v>
      </x:c>
      <x:c r="N1963" s="35" t="n">
        <x:f>L1963*M1963</x:f>
        <x:v>0</x:v>
      </x:c>
      <x:c r="O1963" s="37" t="n">
        <x:v>0.18</x:v>
      </x:c>
      <x:c r="P1963" s="35" t="n">
        <x:f>L1963*O1963</x:f>
        <x:v>0</x:v>
      </x:c>
      <x:c r="Q1963" s="35" t="n">
        <x:v>1.2</x:v>
      </x:c>
      <x:c r="R1963" s="35" t="n">
        <x:f>K1963*Q1963</x:f>
        <x:v>0</x:v>
      </x:c>
      <x:c r="S1963" s="35" t="n">
        <x:f>XLOOKUP(H1963,'菜品主数据'!$A$5:$A$24,'菜品主数据'!$G$5:$G$24,0)</x:f>
        <x:v>7.9399999999999995</x:v>
      </x:c>
      <x:c r="T1963" s="35" t="n">
        <x:f>K1963*S1963</x:f>
        <x:v>0</x:v>
      </x:c>
      <x:c r="U1963" s="35" t="n">
        <x:f>L1963-N1963-P1963-R1963-T1963</x:f>
        <x:v>0</x:v>
      </x:c>
      <x:c r="V1963" s="21" t="n">
        <x:f>IFERROR(U1963/L1963,0)</x:f>
        <x:v>0</x:v>
      </x:c>
    </x:row>
    <x:row r="1964">
      <x:c r="A1964" s="19" t="str">
        <x:v>SALE-01960</x:v>
      </x:c>
      <x:c r="B1964" s="34" t="n">
        <x:v>46216.5</x:v>
      </x:c>
      <x:c r="C1964" s="19" t="str">
        <x:v>周一</x:v>
      </x:c>
      <x:c r="D1964" s="19" t="str">
        <x:v>S07</x:v>
      </x:c>
      <x:c r="E1964" s="19" t="str">
        <x:v>小和山店</x:v>
      </x:c>
      <x:c r="F1964" s="19" t="str">
        <x:v>外卖</x:v>
      </x:c>
      <x:c r="G1964" s="19" t="str">
        <x:v>全日</x:v>
      </x:c>
      <x:c r="H1964" s="19" t="str">
        <x:v>D20</x:v>
      </x:c>
      <x:c r="I1964" s="19" t="str">
        <x:v>雪菜肉末青豆</x:v>
      </x:c>
      <x:c r="J1964" s="22" t="n">
        <x:f>XLOOKUP(H1964,'菜品主数据'!$A$5:$A$24,'菜品主数据'!$D$5:$D$24,0)</x:f>
        <x:v>18</x:v>
      </x:c>
      <x:c r="K1964" s="31" t="n">
        <x:v>1</x:v>
      </x:c>
      <x:c r="L1964" s="35" t="n">
        <x:f>J1964*K1964</x:f>
        <x:v>18</x:v>
      </x:c>
      <x:c r="M1964" s="36" t="n">
        <x:v>0.08</x:v>
      </x:c>
      <x:c r="N1964" s="35" t="n">
        <x:f>L1964*M1964</x:f>
        <x:v>1.44</x:v>
      </x:c>
      <x:c r="O1964" s="37" t="n">
        <x:v>0.18</x:v>
      </x:c>
      <x:c r="P1964" s="35" t="n">
        <x:f>L1964*O1964</x:f>
        <x:v>3.2399999999999998</x:v>
      </x:c>
      <x:c r="Q1964" s="35" t="n">
        <x:v>1.2</x:v>
      </x:c>
      <x:c r="R1964" s="35" t="n">
        <x:f>K1964*Q1964</x:f>
        <x:v>1.2</x:v>
      </x:c>
      <x:c r="S1964" s="35" t="n">
        <x:f>XLOOKUP(H1964,'菜品主数据'!$A$5:$A$24,'菜品主数据'!$G$5:$G$24,0)</x:f>
        <x:v>7.303999999999999</x:v>
      </x:c>
      <x:c r="T1964" s="35" t="n">
        <x:f>K1964*S1964</x:f>
        <x:v>7.303999999999999</x:v>
      </x:c>
      <x:c r="U1964" s="35" t="n">
        <x:f>L1964-N1964-P1964-R1964-T1964</x:f>
        <x:v>4.816</x:v>
      </x:c>
      <x:c r="V1964" s="21" t="n">
        <x:f>IFERROR(U1964/L1964,0)</x:f>
        <x:v>0.26755555555555555</x:v>
      </x:c>
    </x:row>
    <x:row r="1965">
      <x:c r="A1965" s="19" t="str">
        <x:v>SALE-01961</x:v>
      </x:c>
      <x:c r="B1965" s="34" t="n">
        <x:v>46210.5</x:v>
      </x:c>
      <x:c r="C1965" s="19" t="str">
        <x:v>周二</x:v>
      </x:c>
      <x:c r="D1965" s="19" t="str">
        <x:v>S08</x:v>
      </x:c>
      <x:c r="E1965" s="19" t="str">
        <x:v>四季青店</x:v>
      </x:c>
      <x:c r="F1965" s="19" t="str">
        <x:v>堂食</x:v>
      </x:c>
      <x:c r="G1965" s="19" t="str">
        <x:v>全日</x:v>
      </x:c>
      <x:c r="H1965" s="19" t="str">
        <x:v>D01</x:v>
      </x:c>
      <x:c r="I1965" s="19" t="str">
        <x:v>辣椒炒肉</x:v>
      </x:c>
      <x:c r="J1965" s="22" t="n">
        <x:f>XLOOKUP(H1965,'菜品主数据'!$A$5:$A$24,'菜品主数据'!$D$5:$D$24,0)</x:f>
        <x:v>29</x:v>
      </x:c>
      <x:c r="K1965" s="31" t="n">
        <x:v>41</x:v>
      </x:c>
      <x:c r="L1965" s="35" t="n">
        <x:f>J1965*K1965</x:f>
        <x:v>1189</x:v>
      </x:c>
      <x:c r="M1965" s="36" t="n">
        <x:v>0</x:v>
      </x:c>
      <x:c r="N1965" s="35" t="n">
        <x:f>L1965*M1965</x:f>
        <x:v>0</x:v>
      </x:c>
      <x:c r="O1965" s="37" t="n">
        <x:v>0</x:v>
      </x:c>
      <x:c r="P1965" s="35" t="n">
        <x:f>L1965*O1965</x:f>
        <x:v>0</x:v>
      </x:c>
      <x:c r="Q1965" s="35" t="n">
        <x:v>0</x:v>
      </x:c>
      <x:c r="R1965" s="35" t="n">
        <x:f>K1965*Q1965</x:f>
        <x:v>0</x:v>
      </x:c>
      <x:c r="S1965" s="35" t="n">
        <x:f>XLOOKUP(H1965,'菜品主数据'!$A$5:$A$24,'菜品主数据'!$G$5:$G$24,0)</x:f>
        <x:v>8.634400000000001</x:v>
      </x:c>
      <x:c r="T1965" s="35" t="n">
        <x:f>K1965*S1965</x:f>
        <x:v>354.01040000000006</x:v>
      </x:c>
      <x:c r="U1965" s="35" t="n">
        <x:f>L1965-N1965-P1965-R1965-T1965</x:f>
        <x:v>834.9895999999999</x:v>
      </x:c>
      <x:c r="V1965" s="21" t="n">
        <x:f>IFERROR(U1965/L1965,0)</x:f>
        <x:v>0.7022620689655171</x:v>
      </x:c>
    </x:row>
    <x:row r="1966">
      <x:c r="A1966" s="19" t="str">
        <x:v>SALE-01962</x:v>
      </x:c>
      <x:c r="B1966" s="34" t="n">
        <x:v>46210.5</x:v>
      </x:c>
      <x:c r="C1966" s="19" t="str">
        <x:v>周二</x:v>
      </x:c>
      <x:c r="D1966" s="19" t="str">
        <x:v>S08</x:v>
      </x:c>
      <x:c r="E1966" s="19" t="str">
        <x:v>四季青店</x:v>
      </x:c>
      <x:c r="F1966" s="19" t="str">
        <x:v>堂食</x:v>
      </x:c>
      <x:c r="G1966" s="19" t="str">
        <x:v>全日</x:v>
      </x:c>
      <x:c r="H1966" s="19" t="str">
        <x:v>D02</x:v>
      </x:c>
      <x:c r="I1966" s="19" t="str">
        <x:v>小炒黄牛肉</x:v>
      </x:c>
      <x:c r="J1966" s="22" t="n">
        <x:f>XLOOKUP(H1966,'菜品主数据'!$A$5:$A$24,'菜品主数据'!$D$5:$D$24,0)</x:f>
        <x:v>49</x:v>
      </x:c>
      <x:c r="K1966" s="31" t="n">
        <x:v>22</x:v>
      </x:c>
      <x:c r="L1966" s="35" t="n">
        <x:f>J1966*K1966</x:f>
        <x:v>1078</x:v>
      </x:c>
      <x:c r="M1966" s="36" t="n">
        <x:v>0</x:v>
      </x:c>
      <x:c r="N1966" s="35" t="n">
        <x:f>L1966*M1966</x:f>
        <x:v>0</x:v>
      </x:c>
      <x:c r="O1966" s="37" t="n">
        <x:v>0</x:v>
      </x:c>
      <x:c r="P1966" s="35" t="n">
        <x:f>L1966*O1966</x:f>
        <x:v>0</x:v>
      </x:c>
      <x:c r="Q1966" s="35" t="n">
        <x:v>0</x:v>
      </x:c>
      <x:c r="R1966" s="35" t="n">
        <x:f>K1966*Q1966</x:f>
        <x:v>0</x:v>
      </x:c>
      <x:c r="S1966" s="35" t="n">
        <x:f>XLOOKUP(H1966,'菜品主数据'!$A$5:$A$24,'菜品主数据'!$G$5:$G$24,0)</x:f>
        <x:v>17.577</x:v>
      </x:c>
      <x:c r="T1966" s="35" t="n">
        <x:f>K1966*S1966</x:f>
        <x:v>386.694</x:v>
      </x:c>
      <x:c r="U1966" s="35" t="n">
        <x:f>L1966-N1966-P1966-R1966-T1966</x:f>
        <x:v>691.306</x:v>
      </x:c>
      <x:c r="V1966" s="21" t="n">
        <x:f>IFERROR(U1966/L1966,0)</x:f>
        <x:v>0.6412857142857143</x:v>
      </x:c>
    </x:row>
    <x:row r="1967">
      <x:c r="A1967" s="19" t="str">
        <x:v>SALE-01963</x:v>
      </x:c>
      <x:c r="B1967" s="34" t="n">
        <x:v>46210.5</x:v>
      </x:c>
      <x:c r="C1967" s="19" t="str">
        <x:v>周二</x:v>
      </x:c>
      <x:c r="D1967" s="19" t="str">
        <x:v>S08</x:v>
      </x:c>
      <x:c r="E1967" s="19" t="str">
        <x:v>四季青店</x:v>
      </x:c>
      <x:c r="F1967" s="19" t="str">
        <x:v>堂食</x:v>
      </x:c>
      <x:c r="G1967" s="19" t="str">
        <x:v>全日</x:v>
      </x:c>
      <x:c r="H1967" s="19" t="str">
        <x:v>D03</x:v>
      </x:c>
      <x:c r="I1967" s="19" t="str">
        <x:v>香醋炒蛋</x:v>
      </x:c>
      <x:c r="J1967" s="22" t="n">
        <x:f>XLOOKUP(H1967,'菜品主数据'!$A$5:$A$24,'菜品主数据'!$D$5:$D$24,0)</x:f>
        <x:v>14.9</x:v>
      </x:c>
      <x:c r="K1967" s="31" t="n">
        <x:v>33</x:v>
      </x:c>
      <x:c r="L1967" s="35" t="n">
        <x:f>J1967*K1967</x:f>
        <x:v>491.7</x:v>
      </x:c>
      <x:c r="M1967" s="36" t="n">
        <x:v>0</x:v>
      </x:c>
      <x:c r="N1967" s="35" t="n">
        <x:f>L1967*M1967</x:f>
        <x:v>0</x:v>
      </x:c>
      <x:c r="O1967" s="37" t="n">
        <x:v>0</x:v>
      </x:c>
      <x:c r="P1967" s="35" t="n">
        <x:f>L1967*O1967</x:f>
        <x:v>0</x:v>
      </x:c>
      <x:c r="Q1967" s="35" t="n">
        <x:v>0</x:v>
      </x:c>
      <x:c r="R1967" s="35" t="n">
        <x:f>K1967*Q1967</x:f>
        <x:v>0</x:v>
      </x:c>
      <x:c r="S1967" s="35" t="n">
        <x:f>XLOOKUP(H1967,'菜品主数据'!$A$5:$A$24,'菜品主数据'!$G$5:$G$24,0)</x:f>
        <x:v>3.7459999999999996</x:v>
      </x:c>
      <x:c r="T1967" s="35" t="n">
        <x:f>K1967*S1967</x:f>
        <x:v>123.61799999999998</x:v>
      </x:c>
      <x:c r="U1967" s="35" t="n">
        <x:f>L1967-N1967-P1967-R1967-T1967</x:f>
        <x:v>368.082</x:v>
      </x:c>
      <x:c r="V1967" s="21" t="n">
        <x:f>IFERROR(U1967/L1967,0)</x:f>
        <x:v>0.7485906040268456</x:v>
      </x:c>
    </x:row>
    <x:row r="1968">
      <x:c r="A1968" s="19" t="str">
        <x:v>SALE-01964</x:v>
      </x:c>
      <x:c r="B1968" s="34" t="n">
        <x:v>46210.5</x:v>
      </x:c>
      <x:c r="C1968" s="19" t="str">
        <x:v>周二</x:v>
      </x:c>
      <x:c r="D1968" s="19" t="str">
        <x:v>S08</x:v>
      </x:c>
      <x:c r="E1968" s="19" t="str">
        <x:v>四季青店</x:v>
      </x:c>
      <x:c r="F1968" s="19" t="str">
        <x:v>堂食</x:v>
      </x:c>
      <x:c r="G1968" s="19" t="str">
        <x:v>全日</x:v>
      </x:c>
      <x:c r="H1968" s="19" t="str">
        <x:v>D04</x:v>
      </x:c>
      <x:c r="I1968" s="19" t="str">
        <x:v>酸包菜炒粉皮</x:v>
      </x:c>
      <x:c r="J1968" s="22" t="n">
        <x:f>XLOOKUP(H1968,'菜品主数据'!$A$5:$A$24,'菜品主数据'!$D$5:$D$24,0)</x:f>
        <x:v>16</x:v>
      </x:c>
      <x:c r="K1968" s="31" t="n">
        <x:v>30</x:v>
      </x:c>
      <x:c r="L1968" s="35" t="n">
        <x:f>J1968*K1968</x:f>
        <x:v>480</x:v>
      </x:c>
      <x:c r="M1968" s="36" t="n">
        <x:v>0</x:v>
      </x:c>
      <x:c r="N1968" s="35" t="n">
        <x:f>L1968*M1968</x:f>
        <x:v>0</x:v>
      </x:c>
      <x:c r="O1968" s="37" t="n">
        <x:v>0</x:v>
      </x:c>
      <x:c r="P1968" s="35" t="n">
        <x:f>L1968*O1968</x:f>
        <x:v>0</x:v>
      </x:c>
      <x:c r="Q1968" s="35" t="n">
        <x:v>0</x:v>
      </x:c>
      <x:c r="R1968" s="35" t="n">
        <x:f>K1968*Q1968</x:f>
        <x:v>0</x:v>
      </x:c>
      <x:c r="S1968" s="35" t="n">
        <x:f>XLOOKUP(H1968,'菜品主数据'!$A$5:$A$24,'菜品主数据'!$G$5:$G$24,0)</x:f>
        <x:v>3.978</x:v>
      </x:c>
      <x:c r="T1968" s="35" t="n">
        <x:f>K1968*S1968</x:f>
        <x:v>119.34</x:v>
      </x:c>
      <x:c r="U1968" s="35" t="n">
        <x:f>L1968-N1968-P1968-R1968-T1968</x:f>
        <x:v>360.65999999999997</x:v>
      </x:c>
      <x:c r="V1968" s="21" t="n">
        <x:f>IFERROR(U1968/L1968,0)</x:f>
        <x:v>0.7513749999999999</x:v>
      </x:c>
    </x:row>
    <x:row r="1969">
      <x:c r="A1969" s="19" t="str">
        <x:v>SALE-01965</x:v>
      </x:c>
      <x:c r="B1969" s="34" t="n">
        <x:v>46210.5</x:v>
      </x:c>
      <x:c r="C1969" s="19" t="str">
        <x:v>周二</x:v>
      </x:c>
      <x:c r="D1969" s="19" t="str">
        <x:v>S08</x:v>
      </x:c>
      <x:c r="E1969" s="19" t="str">
        <x:v>四季青店</x:v>
      </x:c>
      <x:c r="F1969" s="19" t="str">
        <x:v>堂食</x:v>
      </x:c>
      <x:c r="G1969" s="19" t="str">
        <x:v>全日</x:v>
      </x:c>
      <x:c r="H1969" s="19" t="str">
        <x:v>D05</x:v>
      </x:c>
      <x:c r="I1969" s="19" t="str">
        <x:v>麻婆豆腐</x:v>
      </x:c>
      <x:c r="J1969" s="22" t="n">
        <x:f>XLOOKUP(H1969,'菜品主数据'!$A$5:$A$24,'菜品主数据'!$D$5:$D$24,0)</x:f>
        <x:v>9.9</x:v>
      </x:c>
      <x:c r="K1969" s="31" t="n">
        <x:v>37</x:v>
      </x:c>
      <x:c r="L1969" s="35" t="n">
        <x:f>J1969*K1969</x:f>
        <x:v>366.3</x:v>
      </x:c>
      <x:c r="M1969" s="36" t="n">
        <x:v>0</x:v>
      </x:c>
      <x:c r="N1969" s="35" t="n">
        <x:f>L1969*M1969</x:f>
        <x:v>0</x:v>
      </x:c>
      <x:c r="O1969" s="37" t="n">
        <x:v>0</x:v>
      </x:c>
      <x:c r="P1969" s="35" t="n">
        <x:f>L1969*O1969</x:f>
        <x:v>0</x:v>
      </x:c>
      <x:c r="Q1969" s="35" t="n">
        <x:v>0</x:v>
      </x:c>
      <x:c r="R1969" s="35" t="n">
        <x:f>K1969*Q1969</x:f>
        <x:v>0</x:v>
      </x:c>
      <x:c r="S1969" s="35" t="n">
        <x:f>XLOOKUP(H1969,'菜品主数据'!$A$5:$A$24,'菜品主数据'!$G$5:$G$24,0)</x:f>
        <x:v>5.367000000000001</x:v>
      </x:c>
      <x:c r="T1969" s="35" t="n">
        <x:f>K1969*S1969</x:f>
        <x:v>198.57900000000004</x:v>
      </x:c>
      <x:c r="U1969" s="35" t="n">
        <x:f>L1969-N1969-P1969-R1969-T1969</x:f>
        <x:v>167.72099999999998</x:v>
      </x:c>
      <x:c r="V1969" s="21" t="n">
        <x:f>IFERROR(U1969/L1969,0)</x:f>
        <x:v>0.4578787878787878</x:v>
      </x:c>
    </x:row>
    <x:row r="1970">
      <x:c r="A1970" s="19" t="str">
        <x:v>SALE-01966</x:v>
      </x:c>
      <x:c r="B1970" s="34" t="n">
        <x:v>46210.5</x:v>
      </x:c>
      <x:c r="C1970" s="19" t="str">
        <x:v>周二</x:v>
      </x:c>
      <x:c r="D1970" s="19" t="str">
        <x:v>S08</x:v>
      </x:c>
      <x:c r="E1970" s="19" t="str">
        <x:v>四季青店</x:v>
      </x:c>
      <x:c r="F1970" s="19" t="str">
        <x:v>堂食</x:v>
      </x:c>
      <x:c r="G1970" s="19" t="str">
        <x:v>全日</x:v>
      </x:c>
      <x:c r="H1970" s="19" t="str">
        <x:v>D06</x:v>
      </x:c>
      <x:c r="I1970" s="19" t="str">
        <x:v>剁椒鱼头</x:v>
      </x:c>
      <x:c r="J1970" s="22" t="n">
        <x:f>XLOOKUP(H1970,'菜品主数据'!$A$5:$A$24,'菜品主数据'!$D$5:$D$24,0)</x:f>
        <x:v>39</x:v>
      </x:c>
      <x:c r="K1970" s="31" t="n">
        <x:v>9</x:v>
      </x:c>
      <x:c r="L1970" s="35" t="n">
        <x:f>J1970*K1970</x:f>
        <x:v>351</x:v>
      </x:c>
      <x:c r="M1970" s="36" t="n">
        <x:v>0</x:v>
      </x:c>
      <x:c r="N1970" s="35" t="n">
        <x:f>L1970*M1970</x:f>
        <x:v>0</x:v>
      </x:c>
      <x:c r="O1970" s="37" t="n">
        <x:v>0</x:v>
      </x:c>
      <x:c r="P1970" s="35" t="n">
        <x:f>L1970*O1970</x:f>
        <x:v>0</x:v>
      </x:c>
      <x:c r="Q1970" s="35" t="n">
        <x:v>0</x:v>
      </x:c>
      <x:c r="R1970" s="35" t="n">
        <x:f>K1970*Q1970</x:f>
        <x:v>0</x:v>
      </x:c>
      <x:c r="S1970" s="35" t="n">
        <x:f>XLOOKUP(H1970,'菜品主数据'!$A$5:$A$24,'菜品主数据'!$G$5:$G$24,0)</x:f>
        <x:v>17.446</x:v>
      </x:c>
      <x:c r="T1970" s="35" t="n">
        <x:f>K1970*S1970</x:f>
        <x:v>157.014</x:v>
      </x:c>
      <x:c r="U1970" s="35" t="n">
        <x:f>L1970-N1970-P1970-R1970-T1970</x:f>
        <x:v>193.986</x:v>
      </x:c>
      <x:c r="V1970" s="21" t="n">
        <x:f>IFERROR(U1970/L1970,0)</x:f>
        <x:v>0.5526666666666666</x:v>
      </x:c>
    </x:row>
    <x:row r="1971">
      <x:c r="A1971" s="19" t="str">
        <x:v>SALE-01967</x:v>
      </x:c>
      <x:c r="B1971" s="34" t="n">
        <x:v>46210.5</x:v>
      </x:c>
      <x:c r="C1971" s="19" t="str">
        <x:v>周二</x:v>
      </x:c>
      <x:c r="D1971" s="19" t="str">
        <x:v>S08</x:v>
      </x:c>
      <x:c r="E1971" s="19" t="str">
        <x:v>四季青店</x:v>
      </x:c>
      <x:c r="F1971" s="19" t="str">
        <x:v>堂食</x:v>
      </x:c>
      <x:c r="G1971" s="19" t="str">
        <x:v>全日</x:v>
      </x:c>
      <x:c r="H1971" s="19" t="str">
        <x:v>D07</x:v>
      </x:c>
      <x:c r="I1971" s="19" t="str">
        <x:v>川味回锅肉</x:v>
      </x:c>
      <x:c r="J1971" s="22" t="n">
        <x:f>XLOOKUP(H1971,'菜品主数据'!$A$5:$A$24,'菜品主数据'!$D$5:$D$24,0)</x:f>
        <x:v>29</x:v>
      </x:c>
      <x:c r="K1971" s="31" t="n">
        <x:v>13</x:v>
      </x:c>
      <x:c r="L1971" s="35" t="n">
        <x:f>J1971*K1971</x:f>
        <x:v>377</x:v>
      </x:c>
      <x:c r="M1971" s="36" t="n">
        <x:v>0</x:v>
      </x:c>
      <x:c r="N1971" s="35" t="n">
        <x:f>L1971*M1971</x:f>
        <x:v>0</x:v>
      </x:c>
      <x:c r="O1971" s="37" t="n">
        <x:v>0</x:v>
      </x:c>
      <x:c r="P1971" s="35" t="n">
        <x:f>L1971*O1971</x:f>
        <x:v>0</x:v>
      </x:c>
      <x:c r="Q1971" s="35" t="n">
        <x:v>0</x:v>
      </x:c>
      <x:c r="R1971" s="35" t="n">
        <x:f>K1971*Q1971</x:f>
        <x:v>0</x:v>
      </x:c>
      <x:c r="S1971" s="35" t="n">
        <x:f>XLOOKUP(H1971,'菜品主数据'!$A$5:$A$24,'菜品主数据'!$G$5:$G$24,0)</x:f>
        <x:v>10.231000000000002</x:v>
      </x:c>
      <x:c r="T1971" s="35" t="n">
        <x:f>K1971*S1971</x:f>
        <x:v>133.00300000000001</x:v>
      </x:c>
      <x:c r="U1971" s="35" t="n">
        <x:f>L1971-N1971-P1971-R1971-T1971</x:f>
        <x:v>243.99699999999999</x:v>
      </x:c>
      <x:c r="V1971" s="21" t="n">
        <x:f>IFERROR(U1971/L1971,0)</x:f>
        <x:v>0.6472068965517241</x:v>
      </x:c>
    </x:row>
    <x:row r="1972">
      <x:c r="A1972" s="19" t="str">
        <x:v>SALE-01968</x:v>
      </x:c>
      <x:c r="B1972" s="34" t="n">
        <x:v>46210.5</x:v>
      </x:c>
      <x:c r="C1972" s="19" t="str">
        <x:v>周二</x:v>
      </x:c>
      <x:c r="D1972" s="19" t="str">
        <x:v>S08</x:v>
      </x:c>
      <x:c r="E1972" s="19" t="str">
        <x:v>四季青店</x:v>
      </x:c>
      <x:c r="F1972" s="19" t="str">
        <x:v>堂食</x:v>
      </x:c>
      <x:c r="G1972" s="19" t="str">
        <x:v>全日</x:v>
      </x:c>
      <x:c r="H1972" s="19" t="str">
        <x:v>D08</x:v>
      </x:c>
      <x:c r="I1972" s="19" t="str">
        <x:v>生炒清远鸡</x:v>
      </x:c>
      <x:c r="J1972" s="22" t="n">
        <x:f>XLOOKUP(H1972,'菜品主数据'!$A$5:$A$24,'菜品主数据'!$D$5:$D$24,0)</x:f>
        <x:v>36</x:v>
      </x:c>
      <x:c r="K1972" s="31" t="n">
        <x:v>8</x:v>
      </x:c>
      <x:c r="L1972" s="35" t="n">
        <x:f>J1972*K1972</x:f>
        <x:v>288</x:v>
      </x:c>
      <x:c r="M1972" s="36" t="n">
        <x:v>0</x:v>
      </x:c>
      <x:c r="N1972" s="35" t="n">
        <x:f>L1972*M1972</x:f>
        <x:v>0</x:v>
      </x:c>
      <x:c r="O1972" s="37" t="n">
        <x:v>0</x:v>
      </x:c>
      <x:c r="P1972" s="35" t="n">
        <x:f>L1972*O1972</x:f>
        <x:v>0</x:v>
      </x:c>
      <x:c r="Q1972" s="35" t="n">
        <x:v>0</x:v>
      </x:c>
      <x:c r="R1972" s="35" t="n">
        <x:f>K1972*Q1972</x:f>
        <x:v>0</x:v>
      </x:c>
      <x:c r="S1972" s="35" t="n">
        <x:f>XLOOKUP(H1972,'菜品主数据'!$A$5:$A$24,'菜品主数据'!$G$5:$G$24,0)</x:f>
        <x:v>13.48</x:v>
      </x:c>
      <x:c r="T1972" s="35" t="n">
        <x:f>K1972*S1972</x:f>
        <x:v>107.84</x:v>
      </x:c>
      <x:c r="U1972" s="35" t="n">
        <x:f>L1972-N1972-P1972-R1972-T1972</x:f>
        <x:v>180.16</x:v>
      </x:c>
      <x:c r="V1972" s="21" t="n">
        <x:f>IFERROR(U1972/L1972,0)</x:f>
        <x:v>0.6255555555555555</x:v>
      </x:c>
    </x:row>
    <x:row r="1973">
      <x:c r="A1973" s="19" t="str">
        <x:v>SALE-01969</x:v>
      </x:c>
      <x:c r="B1973" s="34" t="n">
        <x:v>46210.5</x:v>
      </x:c>
      <x:c r="C1973" s="19" t="str">
        <x:v>周二</x:v>
      </x:c>
      <x:c r="D1973" s="19" t="str">
        <x:v>S08</x:v>
      </x:c>
      <x:c r="E1973" s="19" t="str">
        <x:v>四季青店</x:v>
      </x:c>
      <x:c r="F1973" s="19" t="str">
        <x:v>堂食</x:v>
      </x:c>
      <x:c r="G1973" s="19" t="str">
        <x:v>全日</x:v>
      </x:c>
      <x:c r="H1973" s="19" t="str">
        <x:v>D09</x:v>
      </x:c>
      <x:c r="I1973" s="19" t="str">
        <x:v>炒豆干</x:v>
      </x:c>
      <x:c r="J1973" s="22" t="n">
        <x:f>XLOOKUP(H1973,'菜品主数据'!$A$5:$A$24,'菜品主数据'!$D$5:$D$24,0)</x:f>
        <x:v>18</x:v>
      </x:c>
      <x:c r="K1973" s="31" t="n">
        <x:v>13</x:v>
      </x:c>
      <x:c r="L1973" s="35" t="n">
        <x:f>J1973*K1973</x:f>
        <x:v>234</x:v>
      </x:c>
      <x:c r="M1973" s="36" t="n">
        <x:v>0</x:v>
      </x:c>
      <x:c r="N1973" s="35" t="n">
        <x:f>L1973*M1973</x:f>
        <x:v>0</x:v>
      </x:c>
      <x:c r="O1973" s="37" t="n">
        <x:v>0</x:v>
      </x:c>
      <x:c r="P1973" s="35" t="n">
        <x:f>L1973*O1973</x:f>
        <x:v>0</x:v>
      </x:c>
      <x:c r="Q1973" s="35" t="n">
        <x:v>0</x:v>
      </x:c>
      <x:c r="R1973" s="35" t="n">
        <x:f>K1973*Q1973</x:f>
        <x:v>0</x:v>
      </x:c>
      <x:c r="S1973" s="35" t="n">
        <x:f>XLOOKUP(H1973,'菜品主数据'!$A$5:$A$24,'菜品主数据'!$G$5:$G$24,0)</x:f>
        <x:v>6.613999999999999</x:v>
      </x:c>
      <x:c r="T1973" s="35" t="n">
        <x:f>K1973*S1973</x:f>
        <x:v>85.98199999999999</x:v>
      </x:c>
      <x:c r="U1973" s="35" t="n">
        <x:f>L1973-N1973-P1973-R1973-T1973</x:f>
        <x:v>148.01800000000003</x:v>
      </x:c>
      <x:c r="V1973" s="21" t="n">
        <x:f>IFERROR(U1973/L1973,0)</x:f>
        <x:v>0.6325555555555556</x:v>
      </x:c>
    </x:row>
    <x:row r="1974">
      <x:c r="A1974" s="19" t="str">
        <x:v>SALE-01970</x:v>
      </x:c>
      <x:c r="B1974" s="34" t="n">
        <x:v>46210.5</x:v>
      </x:c>
      <x:c r="C1974" s="19" t="str">
        <x:v>周二</x:v>
      </x:c>
      <x:c r="D1974" s="19" t="str">
        <x:v>S08</x:v>
      </x:c>
      <x:c r="E1974" s="19" t="str">
        <x:v>四季青店</x:v>
      </x:c>
      <x:c r="F1974" s="19" t="str">
        <x:v>堂食</x:v>
      </x:c>
      <x:c r="G1974" s="19" t="str">
        <x:v>全日</x:v>
      </x:c>
      <x:c r="H1974" s="19" t="str">
        <x:v>D10</x:v>
      </x:c>
      <x:c r="I1974" s="19" t="str">
        <x:v>农家一碗香</x:v>
      </x:c>
      <x:c r="J1974" s="22" t="n">
        <x:f>XLOOKUP(H1974,'菜品主数据'!$A$5:$A$24,'菜品主数据'!$D$5:$D$24,0)</x:f>
        <x:v>22.9</x:v>
      </x:c>
      <x:c r="K1974" s="31" t="n">
        <x:v>15</x:v>
      </x:c>
      <x:c r="L1974" s="35" t="n">
        <x:f>J1974*K1974</x:f>
        <x:v>343.5</x:v>
      </x:c>
      <x:c r="M1974" s="36" t="n">
        <x:v>0</x:v>
      </x:c>
      <x:c r="N1974" s="35" t="n">
        <x:f>L1974*M1974</x:f>
        <x:v>0</x:v>
      </x:c>
      <x:c r="O1974" s="37" t="n">
        <x:v>0</x:v>
      </x:c>
      <x:c r="P1974" s="35" t="n">
        <x:f>L1974*O1974</x:f>
        <x:v>0</x:v>
      </x:c>
      <x:c r="Q1974" s="35" t="n">
        <x:v>0</x:v>
      </x:c>
      <x:c r="R1974" s="35" t="n">
        <x:f>K1974*Q1974</x:f>
        <x:v>0</x:v>
      </x:c>
      <x:c r="S1974" s="35" t="n">
        <x:f>XLOOKUP(H1974,'菜品主数据'!$A$5:$A$24,'菜品主数据'!$G$5:$G$24,0)</x:f>
        <x:v>9.770200000000003</x:v>
      </x:c>
      <x:c r="T1974" s="35" t="n">
        <x:f>K1974*S1974</x:f>
        <x:v>146.55300000000005</x:v>
      </x:c>
      <x:c r="U1974" s="35" t="n">
        <x:f>L1974-N1974-P1974-R1974-T1974</x:f>
        <x:v>196.94699999999995</x:v>
      </x:c>
      <x:c r="V1974" s="21" t="n">
        <x:f>IFERROR(U1974/L1974,0)</x:f>
        <x:v>0.5733537117903929</x:v>
      </x:c>
    </x:row>
    <x:row r="1975">
      <x:c r="A1975" s="19" t="str">
        <x:v>SALE-01971</x:v>
      </x:c>
      <x:c r="B1975" s="34" t="n">
        <x:v>46210.5</x:v>
      </x:c>
      <x:c r="C1975" s="19" t="str">
        <x:v>周二</x:v>
      </x:c>
      <x:c r="D1975" s="19" t="str">
        <x:v>S08</x:v>
      </x:c>
      <x:c r="E1975" s="19" t="str">
        <x:v>四季青店</x:v>
      </x:c>
      <x:c r="F1975" s="19" t="str">
        <x:v>堂食</x:v>
      </x:c>
      <x:c r="G1975" s="19" t="str">
        <x:v>全日</x:v>
      </x:c>
      <x:c r="H1975" s="19" t="str">
        <x:v>D11</x:v>
      </x:c>
      <x:c r="I1975" s="19" t="str">
        <x:v>香辣爆肥肠</x:v>
      </x:c>
      <x:c r="J1975" s="22" t="n">
        <x:f>XLOOKUP(H1975,'菜品主数据'!$A$5:$A$24,'菜品主数据'!$D$5:$D$24,0)</x:f>
        <x:v>39</x:v>
      </x:c>
      <x:c r="K1975" s="31" t="n">
        <x:v>5</x:v>
      </x:c>
      <x:c r="L1975" s="35" t="n">
        <x:f>J1975*K1975</x:f>
        <x:v>195</x:v>
      </x:c>
      <x:c r="M1975" s="36" t="n">
        <x:v>0</x:v>
      </x:c>
      <x:c r="N1975" s="35" t="n">
        <x:f>L1975*M1975</x:f>
        <x:v>0</x:v>
      </x:c>
      <x:c r="O1975" s="37" t="n">
        <x:v>0</x:v>
      </x:c>
      <x:c r="P1975" s="35" t="n">
        <x:f>L1975*O1975</x:f>
        <x:v>0</x:v>
      </x:c>
      <x:c r="Q1975" s="35" t="n">
        <x:v>0</x:v>
      </x:c>
      <x:c r="R1975" s="35" t="n">
        <x:f>K1975*Q1975</x:f>
        <x:v>0</x:v>
      </x:c>
      <x:c r="S1975" s="35" t="n">
        <x:f>XLOOKUP(H1975,'菜品主数据'!$A$5:$A$24,'菜品主数据'!$G$5:$G$24,0)</x:f>
        <x:v>10.397</x:v>
      </x:c>
      <x:c r="T1975" s="35" t="n">
        <x:f>K1975*S1975</x:f>
        <x:v>51.985</x:v>
      </x:c>
      <x:c r="U1975" s="35" t="n">
        <x:f>L1975-N1975-P1975-R1975-T1975</x:f>
        <x:v>143.015</x:v>
      </x:c>
      <x:c r="V1975" s="21" t="n">
        <x:f>IFERROR(U1975/L1975,0)</x:f>
        <x:v>0.7334102564102564</x:v>
      </x:c>
    </x:row>
    <x:row r="1976">
      <x:c r="A1976" s="19" t="str">
        <x:v>SALE-01972</x:v>
      </x:c>
      <x:c r="B1976" s="34" t="n">
        <x:v>46210.5</x:v>
      </x:c>
      <x:c r="C1976" s="19" t="str">
        <x:v>周二</x:v>
      </x:c>
      <x:c r="D1976" s="19" t="str">
        <x:v>S08</x:v>
      </x:c>
      <x:c r="E1976" s="19" t="str">
        <x:v>四季青店</x:v>
      </x:c>
      <x:c r="F1976" s="19" t="str">
        <x:v>堂食</x:v>
      </x:c>
      <x:c r="G1976" s="19" t="str">
        <x:v>全日</x:v>
      </x:c>
      <x:c r="H1976" s="19" t="str">
        <x:v>D12</x:v>
      </x:c>
      <x:c r="I1976" s="19" t="str">
        <x:v>清蒸鲈鱼</x:v>
      </x:c>
      <x:c r="J1976" s="22" t="n">
        <x:f>XLOOKUP(H1976,'菜品主数据'!$A$5:$A$24,'菜品主数据'!$D$5:$D$24,0)</x:f>
        <x:v>39</x:v>
      </x:c>
      <x:c r="K1976" s="31" t="n">
        <x:v>6</x:v>
      </x:c>
      <x:c r="L1976" s="35" t="n">
        <x:f>J1976*K1976</x:f>
        <x:v>234</x:v>
      </x:c>
      <x:c r="M1976" s="36" t="n">
        <x:v>0</x:v>
      </x:c>
      <x:c r="N1976" s="35" t="n">
        <x:f>L1976*M1976</x:f>
        <x:v>0</x:v>
      </x:c>
      <x:c r="O1976" s="37" t="n">
        <x:v>0</x:v>
      </x:c>
      <x:c r="P1976" s="35" t="n">
        <x:f>L1976*O1976</x:f>
        <x:v>0</x:v>
      </x:c>
      <x:c r="Q1976" s="35" t="n">
        <x:v>0</x:v>
      </x:c>
      <x:c r="R1976" s="35" t="n">
        <x:f>K1976*Q1976</x:f>
        <x:v>0</x:v>
      </x:c>
      <x:c r="S1976" s="35" t="n">
        <x:f>XLOOKUP(H1976,'菜品主数据'!$A$5:$A$24,'菜品主数据'!$G$5:$G$24,0)</x:f>
        <x:v>18.874</x:v>
      </x:c>
      <x:c r="T1976" s="35" t="n">
        <x:f>K1976*S1976</x:f>
        <x:v>113.244</x:v>
      </x:c>
      <x:c r="U1976" s="35" t="n">
        <x:f>L1976-N1976-P1976-R1976-T1976</x:f>
        <x:v>120.756</x:v>
      </x:c>
      <x:c r="V1976" s="21" t="n">
        <x:f>IFERROR(U1976/L1976,0)</x:f>
        <x:v>0.516051282051282</x:v>
      </x:c>
    </x:row>
    <x:row r="1977">
      <x:c r="A1977" s="19" t="str">
        <x:v>SALE-01973</x:v>
      </x:c>
      <x:c r="B1977" s="34" t="n">
        <x:v>46210.5</x:v>
      </x:c>
      <x:c r="C1977" s="19" t="str">
        <x:v>周二</x:v>
      </x:c>
      <x:c r="D1977" s="19" t="str">
        <x:v>S08</x:v>
      </x:c>
      <x:c r="E1977" s="19" t="str">
        <x:v>四季青店</x:v>
      </x:c>
      <x:c r="F1977" s="19" t="str">
        <x:v>堂食</x:v>
      </x:c>
      <x:c r="G1977" s="19" t="str">
        <x:v>全日</x:v>
      </x:c>
      <x:c r="H1977" s="19" t="str">
        <x:v>D13</x:v>
      </x:c>
      <x:c r="I1977" s="19" t="str">
        <x:v>外婆菜炒蛋</x:v>
      </x:c>
      <x:c r="J1977" s="22" t="n">
        <x:f>XLOOKUP(H1977,'菜品主数据'!$A$5:$A$24,'菜品主数据'!$D$5:$D$24,0)</x:f>
        <x:v>18</x:v>
      </x:c>
      <x:c r="K1977" s="31" t="n">
        <x:v>12</x:v>
      </x:c>
      <x:c r="L1977" s="35" t="n">
        <x:f>J1977*K1977</x:f>
        <x:v>216</x:v>
      </x:c>
      <x:c r="M1977" s="36" t="n">
        <x:v>0</x:v>
      </x:c>
      <x:c r="N1977" s="35" t="n">
        <x:f>L1977*M1977</x:f>
        <x:v>0</x:v>
      </x:c>
      <x:c r="O1977" s="37" t="n">
        <x:v>0</x:v>
      </x:c>
      <x:c r="P1977" s="35" t="n">
        <x:f>L1977*O1977</x:f>
        <x:v>0</x:v>
      </x:c>
      <x:c r="Q1977" s="35" t="n">
        <x:v>0</x:v>
      </x:c>
      <x:c r="R1977" s="35" t="n">
        <x:f>K1977*Q1977</x:f>
        <x:v>0</x:v>
      </x:c>
      <x:c r="S1977" s="35" t="n">
        <x:f>XLOOKUP(H1977,'菜品主数据'!$A$5:$A$24,'菜品主数据'!$G$5:$G$24,0)</x:f>
        <x:v>5.403999999999999</x:v>
      </x:c>
      <x:c r="T1977" s="35" t="n">
        <x:f>K1977*S1977</x:f>
        <x:v>64.84799999999998</x:v>
      </x:c>
      <x:c r="U1977" s="35" t="n">
        <x:f>L1977-N1977-P1977-R1977-T1977</x:f>
        <x:v>151.15200000000002</x:v>
      </x:c>
      <x:c r="V1977" s="21" t="n">
        <x:f>IFERROR(U1977/L1977,0)</x:f>
        <x:v>0.6997777777777778</x:v>
      </x:c>
    </x:row>
    <x:row r="1978">
      <x:c r="A1978" s="19" t="str">
        <x:v>SALE-01974</x:v>
      </x:c>
      <x:c r="B1978" s="34" t="n">
        <x:v>46210.5</x:v>
      </x:c>
      <x:c r="C1978" s="19" t="str">
        <x:v>周二</x:v>
      </x:c>
      <x:c r="D1978" s="19" t="str">
        <x:v>S08</x:v>
      </x:c>
      <x:c r="E1978" s="19" t="str">
        <x:v>四季青店</x:v>
      </x:c>
      <x:c r="F1978" s="19" t="str">
        <x:v>堂食</x:v>
      </x:c>
      <x:c r="G1978" s="19" t="str">
        <x:v>全日</x:v>
      </x:c>
      <x:c r="H1978" s="19" t="str">
        <x:v>D14</x:v>
      </x:c>
      <x:c r="I1978" s="19" t="str">
        <x:v>酸辣鸡杂</x:v>
      </x:c>
      <x:c r="J1978" s="22" t="n">
        <x:f>XLOOKUP(H1978,'菜品主数据'!$A$5:$A$24,'菜品主数据'!$D$5:$D$24,0)</x:f>
        <x:v>28</x:v>
      </x:c>
      <x:c r="K1978" s="31" t="n">
        <x:v>7</x:v>
      </x:c>
      <x:c r="L1978" s="35" t="n">
        <x:f>J1978*K1978</x:f>
        <x:v>196</x:v>
      </x:c>
      <x:c r="M1978" s="36" t="n">
        <x:v>0</x:v>
      </x:c>
      <x:c r="N1978" s="35" t="n">
        <x:f>L1978*M1978</x:f>
        <x:v>0</x:v>
      </x:c>
      <x:c r="O1978" s="37" t="n">
        <x:v>0</x:v>
      </x:c>
      <x:c r="P1978" s="35" t="n">
        <x:f>L1978*O1978</x:f>
        <x:v>0</x:v>
      </x:c>
      <x:c r="Q1978" s="35" t="n">
        <x:v>0</x:v>
      </x:c>
      <x:c r="R1978" s="35" t="n">
        <x:f>K1978*Q1978</x:f>
        <x:v>0</x:v>
      </x:c>
      <x:c r="S1978" s="35" t="n">
        <x:f>XLOOKUP(H1978,'菜品主数据'!$A$5:$A$24,'菜品主数据'!$G$5:$G$24,0)</x:f>
        <x:v>8.315000000000001</x:v>
      </x:c>
      <x:c r="T1978" s="35" t="n">
        <x:f>K1978*S1978</x:f>
        <x:v>58.20500000000001</x:v>
      </x:c>
      <x:c r="U1978" s="35" t="n">
        <x:f>L1978-N1978-P1978-R1978-T1978</x:f>
        <x:v>137.795</x:v>
      </x:c>
      <x:c r="V1978" s="21" t="n">
        <x:f>IFERROR(U1978/L1978,0)</x:f>
        <x:v>0.7030357142857142</x:v>
      </x:c>
    </x:row>
    <x:row r="1979">
      <x:c r="A1979" s="19" t="str">
        <x:v>SALE-01975</x:v>
      </x:c>
      <x:c r="B1979" s="34" t="n">
        <x:v>46210.5</x:v>
      </x:c>
      <x:c r="C1979" s="19" t="str">
        <x:v>周二</x:v>
      </x:c>
      <x:c r="D1979" s="19" t="str">
        <x:v>S08</x:v>
      </x:c>
      <x:c r="E1979" s="19" t="str">
        <x:v>四季青店</x:v>
      </x:c>
      <x:c r="F1979" s="19" t="str">
        <x:v>堂食</x:v>
      </x:c>
      <x:c r="G1979" s="19" t="str">
        <x:v>全日</x:v>
      </x:c>
      <x:c r="H1979" s="19" t="str">
        <x:v>D15</x:v>
      </x:c>
      <x:c r="I1979" s="19" t="str">
        <x:v>湘西土匪猪肝</x:v>
      </x:c>
      <x:c r="J1979" s="22" t="n">
        <x:f>XLOOKUP(H1979,'菜品主数据'!$A$5:$A$24,'菜品主数据'!$D$5:$D$24,0)</x:f>
        <x:v>26</x:v>
      </x:c>
      <x:c r="K1979" s="31" t="n">
        <x:v>6</x:v>
      </x:c>
      <x:c r="L1979" s="35" t="n">
        <x:f>J1979*K1979</x:f>
        <x:v>156</x:v>
      </x:c>
      <x:c r="M1979" s="36" t="n">
        <x:v>0</x:v>
      </x:c>
      <x:c r="N1979" s="35" t="n">
        <x:f>L1979*M1979</x:f>
        <x:v>0</x:v>
      </x:c>
      <x:c r="O1979" s="37" t="n">
        <x:v>0</x:v>
      </x:c>
      <x:c r="P1979" s="35" t="n">
        <x:f>L1979*O1979</x:f>
        <x:v>0</x:v>
      </x:c>
      <x:c r="Q1979" s="35" t="n">
        <x:v>0</x:v>
      </x:c>
      <x:c r="R1979" s="35" t="n">
        <x:f>K1979*Q1979</x:f>
        <x:v>0</x:v>
      </x:c>
      <x:c r="S1979" s="35" t="n">
        <x:f>XLOOKUP(H1979,'菜品主数据'!$A$5:$A$24,'菜品主数据'!$G$5:$G$24,0)</x:f>
        <x:v>6.3759999999999994</x:v>
      </x:c>
      <x:c r="T1979" s="35" t="n">
        <x:f>K1979*S1979</x:f>
        <x:v>38.256</x:v>
      </x:c>
      <x:c r="U1979" s="35" t="n">
        <x:f>L1979-N1979-P1979-R1979-T1979</x:f>
        <x:v>117.744</x:v>
      </x:c>
      <x:c r="V1979" s="21" t="n">
        <x:f>IFERROR(U1979/L1979,0)</x:f>
        <x:v>0.7547692307692307</x:v>
      </x:c>
    </x:row>
    <x:row r="1980">
      <x:c r="A1980" s="19" t="str">
        <x:v>SALE-01976</x:v>
      </x:c>
      <x:c r="B1980" s="34" t="n">
        <x:v>46210.5</x:v>
      </x:c>
      <x:c r="C1980" s="19" t="str">
        <x:v>周二</x:v>
      </x:c>
      <x:c r="D1980" s="19" t="str">
        <x:v>S08</x:v>
      </x:c>
      <x:c r="E1980" s="19" t="str">
        <x:v>四季青店</x:v>
      </x:c>
      <x:c r="F1980" s="19" t="str">
        <x:v>堂食</x:v>
      </x:c>
      <x:c r="G1980" s="19" t="str">
        <x:v>全日</x:v>
      </x:c>
      <x:c r="H1980" s="19" t="str">
        <x:v>D16</x:v>
      </x:c>
      <x:c r="I1980" s="19" t="str">
        <x:v>小豆角炒五花</x:v>
      </x:c>
      <x:c r="J1980" s="22" t="n">
        <x:f>XLOOKUP(H1980,'菜品主数据'!$A$5:$A$24,'菜品主数据'!$D$5:$D$24,0)</x:f>
        <x:v>25</x:v>
      </x:c>
      <x:c r="K1980" s="31" t="n">
        <x:v>6</x:v>
      </x:c>
      <x:c r="L1980" s="35" t="n">
        <x:f>J1980*K1980</x:f>
        <x:v>150</x:v>
      </x:c>
      <x:c r="M1980" s="36" t="n">
        <x:v>0</x:v>
      </x:c>
      <x:c r="N1980" s="35" t="n">
        <x:f>L1980*M1980</x:f>
        <x:v>0</x:v>
      </x:c>
      <x:c r="O1980" s="37" t="n">
        <x:v>0</x:v>
      </x:c>
      <x:c r="P1980" s="35" t="n">
        <x:f>L1980*O1980</x:f>
        <x:v>0</x:v>
      </x:c>
      <x:c r="Q1980" s="35" t="n">
        <x:v>0</x:v>
      </x:c>
      <x:c r="R1980" s="35" t="n">
        <x:f>K1980*Q1980</x:f>
        <x:v>0</x:v>
      </x:c>
      <x:c r="S1980" s="35" t="n">
        <x:f>XLOOKUP(H1980,'菜品主数据'!$A$5:$A$24,'菜品主数据'!$G$5:$G$24,0)</x:f>
        <x:v>8.184</x:v>
      </x:c>
      <x:c r="T1980" s="35" t="n">
        <x:f>K1980*S1980</x:f>
        <x:v>49.104</x:v>
      </x:c>
      <x:c r="U1980" s="35" t="n">
        <x:f>L1980-N1980-P1980-R1980-T1980</x:f>
        <x:v>100.896</x:v>
      </x:c>
      <x:c r="V1980" s="21" t="n">
        <x:f>IFERROR(U1980/L1980,0)</x:f>
        <x:v>0.67264</x:v>
      </x:c>
    </x:row>
    <x:row r="1981">
      <x:c r="A1981" s="19" t="str">
        <x:v>SALE-01977</x:v>
      </x:c>
      <x:c r="B1981" s="34" t="n">
        <x:v>46210.5</x:v>
      </x:c>
      <x:c r="C1981" s="19" t="str">
        <x:v>周二</x:v>
      </x:c>
      <x:c r="D1981" s="19" t="str">
        <x:v>S08</x:v>
      </x:c>
      <x:c r="E1981" s="19" t="str">
        <x:v>四季青店</x:v>
      </x:c>
      <x:c r="F1981" s="19" t="str">
        <x:v>堂食</x:v>
      </x:c>
      <x:c r="G1981" s="19" t="str">
        <x:v>全日</x:v>
      </x:c>
      <x:c r="H1981" s="19" t="str">
        <x:v>D17</x:v>
      </x:c>
      <x:c r="I1981" s="19" t="str">
        <x:v>蒜蓉粉丝虾</x:v>
      </x:c>
      <x:c r="J1981" s="22" t="n">
        <x:f>XLOOKUP(H1981,'菜品主数据'!$A$5:$A$24,'菜品主数据'!$D$5:$D$24,0)</x:f>
        <x:v>36</x:v>
      </x:c>
      <x:c r="K1981" s="31" t="n">
        <x:v>4</x:v>
      </x:c>
      <x:c r="L1981" s="35" t="n">
        <x:f>J1981*K1981</x:f>
        <x:v>144</x:v>
      </x:c>
      <x:c r="M1981" s="36" t="n">
        <x:v>0</x:v>
      </x:c>
      <x:c r="N1981" s="35" t="n">
        <x:f>L1981*M1981</x:f>
        <x:v>0</x:v>
      </x:c>
      <x:c r="O1981" s="37" t="n">
        <x:v>0</x:v>
      </x:c>
      <x:c r="P1981" s="35" t="n">
        <x:f>L1981*O1981</x:f>
        <x:v>0</x:v>
      </x:c>
      <x:c r="Q1981" s="35" t="n">
        <x:v>0</x:v>
      </x:c>
      <x:c r="R1981" s="35" t="n">
        <x:f>K1981*Q1981</x:f>
        <x:v>0</x:v>
      </x:c>
      <x:c r="S1981" s="35" t="n">
        <x:f>XLOOKUP(H1981,'菜品主数据'!$A$5:$A$24,'菜品主数据'!$G$5:$G$24,0)</x:f>
        <x:v>13.594</x:v>
      </x:c>
      <x:c r="T1981" s="35" t="n">
        <x:f>K1981*S1981</x:f>
        <x:v>54.376</x:v>
      </x:c>
      <x:c r="U1981" s="35" t="n">
        <x:f>L1981-N1981-P1981-R1981-T1981</x:f>
        <x:v>89.624</x:v>
      </x:c>
      <x:c r="V1981" s="21" t="n">
        <x:f>IFERROR(U1981/L1981,0)</x:f>
        <x:v>0.6223888888888889</x:v>
      </x:c>
    </x:row>
    <x:row r="1982">
      <x:c r="A1982" s="19" t="str">
        <x:v>SALE-01978</x:v>
      </x:c>
      <x:c r="B1982" s="34" t="n">
        <x:v>46210.5</x:v>
      </x:c>
      <x:c r="C1982" s="19" t="str">
        <x:v>周二</x:v>
      </x:c>
      <x:c r="D1982" s="19" t="str">
        <x:v>S08</x:v>
      </x:c>
      <x:c r="E1982" s="19" t="str">
        <x:v>四季青店</x:v>
      </x:c>
      <x:c r="F1982" s="19" t="str">
        <x:v>堂食</x:v>
      </x:c>
      <x:c r="G1982" s="19" t="str">
        <x:v>全日</x:v>
      </x:c>
      <x:c r="H1982" s="19" t="str">
        <x:v>D18</x:v>
      </x:c>
      <x:c r="I1982" s="19" t="str">
        <x:v>青椒炒油麦菜</x:v>
      </x:c>
      <x:c r="J1982" s="22" t="n">
        <x:f>XLOOKUP(H1982,'菜品主数据'!$A$5:$A$24,'菜品主数据'!$D$5:$D$24,0)</x:f>
        <x:v>18</x:v>
      </x:c>
      <x:c r="K1982" s="31" t="n">
        <x:v>7</x:v>
      </x:c>
      <x:c r="L1982" s="35" t="n">
        <x:f>J1982*K1982</x:f>
        <x:v>126</x:v>
      </x:c>
      <x:c r="M1982" s="36" t="n">
        <x:v>0</x:v>
      </x:c>
      <x:c r="N1982" s="35" t="n">
        <x:f>L1982*M1982</x:f>
        <x:v>0</x:v>
      </x:c>
      <x:c r="O1982" s="37" t="n">
        <x:v>0</x:v>
      </x:c>
      <x:c r="P1982" s="35" t="n">
        <x:f>L1982*O1982</x:f>
        <x:v>0</x:v>
      </x:c>
      <x:c r="Q1982" s="35" t="n">
        <x:v>0</x:v>
      </x:c>
      <x:c r="R1982" s="35" t="n">
        <x:f>K1982*Q1982</x:f>
        <x:v>0</x:v>
      </x:c>
      <x:c r="S1982" s="35" t="n">
        <x:f>XLOOKUP(H1982,'菜品主数据'!$A$5:$A$24,'菜品主数据'!$G$5:$G$24,0)</x:f>
        <x:v>3.1759999999999993</x:v>
      </x:c>
      <x:c r="T1982" s="35" t="n">
        <x:f>K1982*S1982</x:f>
        <x:v>22.231999999999996</x:v>
      </x:c>
      <x:c r="U1982" s="35" t="n">
        <x:f>L1982-N1982-P1982-R1982-T1982</x:f>
        <x:v>103.768</x:v>
      </x:c>
      <x:c r="V1982" s="21" t="n">
        <x:f>IFERROR(U1982/L1982,0)</x:f>
        <x:v>0.8235555555555556</x:v>
      </x:c>
    </x:row>
    <x:row r="1983">
      <x:c r="A1983" s="19" t="str">
        <x:v>SALE-01979</x:v>
      </x:c>
      <x:c r="B1983" s="34" t="n">
        <x:v>46210.5</x:v>
      </x:c>
      <x:c r="C1983" s="19" t="str">
        <x:v>周二</x:v>
      </x:c>
      <x:c r="D1983" s="19" t="str">
        <x:v>S08</x:v>
      </x:c>
      <x:c r="E1983" s="19" t="str">
        <x:v>四季青店</x:v>
      </x:c>
      <x:c r="F1983" s="19" t="str">
        <x:v>堂食</x:v>
      </x:c>
      <x:c r="G1983" s="19" t="str">
        <x:v>全日</x:v>
      </x:c>
      <x:c r="H1983" s="19" t="str">
        <x:v>D19</x:v>
      </x:c>
      <x:c r="I1983" s="19" t="str">
        <x:v>酸萝卜炒鸡杂</x:v>
      </x:c>
      <x:c r="J1983" s="22" t="n">
        <x:f>XLOOKUP(H1983,'菜品主数据'!$A$5:$A$24,'菜品主数据'!$D$5:$D$24,0)</x:f>
        <x:v>25</x:v>
      </x:c>
      <x:c r="K1983" s="31" t="n">
        <x:v>5</x:v>
      </x:c>
      <x:c r="L1983" s="35" t="n">
        <x:f>J1983*K1983</x:f>
        <x:v>125</x:v>
      </x:c>
      <x:c r="M1983" s="36" t="n">
        <x:v>0</x:v>
      </x:c>
      <x:c r="N1983" s="35" t="n">
        <x:f>L1983*M1983</x:f>
        <x:v>0</x:v>
      </x:c>
      <x:c r="O1983" s="37" t="n">
        <x:v>0</x:v>
      </x:c>
      <x:c r="P1983" s="35" t="n">
        <x:f>L1983*O1983</x:f>
        <x:v>0</x:v>
      </x:c>
      <x:c r="Q1983" s="35" t="n">
        <x:v>0</x:v>
      </x:c>
      <x:c r="R1983" s="35" t="n">
        <x:f>K1983*Q1983</x:f>
        <x:v>0</x:v>
      </x:c>
      <x:c r="S1983" s="35" t="n">
        <x:f>XLOOKUP(H1983,'菜品主数据'!$A$5:$A$24,'菜品主数据'!$G$5:$G$24,0)</x:f>
        <x:v>7.9399999999999995</x:v>
      </x:c>
      <x:c r="T1983" s="35" t="n">
        <x:f>K1983*S1983</x:f>
        <x:v>39.699999999999996</x:v>
      </x:c>
      <x:c r="U1983" s="35" t="n">
        <x:f>L1983-N1983-P1983-R1983-T1983</x:f>
        <x:v>85.30000000000001</x:v>
      </x:c>
      <x:c r="V1983" s="21" t="n">
        <x:f>IFERROR(U1983/L1983,0)</x:f>
        <x:v>0.6824000000000001</x:v>
      </x:c>
    </x:row>
    <x:row r="1984">
      <x:c r="A1984" s="19" t="str">
        <x:v>SALE-01980</x:v>
      </x:c>
      <x:c r="B1984" s="34" t="n">
        <x:v>46210.5</x:v>
      </x:c>
      <x:c r="C1984" s="19" t="str">
        <x:v>周二</x:v>
      </x:c>
      <x:c r="D1984" s="19" t="str">
        <x:v>S08</x:v>
      </x:c>
      <x:c r="E1984" s="19" t="str">
        <x:v>四季青店</x:v>
      </x:c>
      <x:c r="F1984" s="19" t="str">
        <x:v>堂食</x:v>
      </x:c>
      <x:c r="G1984" s="19" t="str">
        <x:v>全日</x:v>
      </x:c>
      <x:c r="H1984" s="19" t="str">
        <x:v>D20</x:v>
      </x:c>
      <x:c r="I1984" s="19" t="str">
        <x:v>雪菜肉末青豆</x:v>
      </x:c>
      <x:c r="J1984" s="22" t="n">
        <x:f>XLOOKUP(H1984,'菜品主数据'!$A$5:$A$24,'菜品主数据'!$D$5:$D$24,0)</x:f>
        <x:v>18</x:v>
      </x:c>
      <x:c r="K1984" s="31" t="n">
        <x:v>7</x:v>
      </x:c>
      <x:c r="L1984" s="35" t="n">
        <x:f>J1984*K1984</x:f>
        <x:v>126</x:v>
      </x:c>
      <x:c r="M1984" s="36" t="n">
        <x:v>0</x:v>
      </x:c>
      <x:c r="N1984" s="35" t="n">
        <x:f>L1984*M1984</x:f>
        <x:v>0</x:v>
      </x:c>
      <x:c r="O1984" s="37" t="n">
        <x:v>0</x:v>
      </x:c>
      <x:c r="P1984" s="35" t="n">
        <x:f>L1984*O1984</x:f>
        <x:v>0</x:v>
      </x:c>
      <x:c r="Q1984" s="35" t="n">
        <x:v>0</x:v>
      </x:c>
      <x:c r="R1984" s="35" t="n">
        <x:f>K1984*Q1984</x:f>
        <x:v>0</x:v>
      </x:c>
      <x:c r="S1984" s="35" t="n">
        <x:f>XLOOKUP(H1984,'菜品主数据'!$A$5:$A$24,'菜品主数据'!$G$5:$G$24,0)</x:f>
        <x:v>7.303999999999999</x:v>
      </x:c>
      <x:c r="T1984" s="35" t="n">
        <x:f>K1984*S1984</x:f>
        <x:v>51.12799999999999</x:v>
      </x:c>
      <x:c r="U1984" s="35" t="n">
        <x:f>L1984-N1984-P1984-R1984-T1984</x:f>
        <x:v>74.87200000000001</x:v>
      </x:c>
      <x:c r="V1984" s="21" t="n">
        <x:f>IFERROR(U1984/L1984,0)</x:f>
        <x:v>0.5942222222222223</x:v>
      </x:c>
    </x:row>
    <x:row r="1985">
      <x:c r="A1985" s="19" t="str">
        <x:v>SALE-01981</x:v>
      </x:c>
      <x:c r="B1985" s="34" t="n">
        <x:v>46210.5</x:v>
      </x:c>
      <x:c r="C1985" s="19" t="str">
        <x:v>周二</x:v>
      </x:c>
      <x:c r="D1985" s="19" t="str">
        <x:v>S08</x:v>
      </x:c>
      <x:c r="E1985" s="19" t="str">
        <x:v>四季青店</x:v>
      </x:c>
      <x:c r="F1985" s="19" t="str">
        <x:v>外卖</x:v>
      </x:c>
      <x:c r="G1985" s="19" t="str">
        <x:v>全日</x:v>
      </x:c>
      <x:c r="H1985" s="19" t="str">
        <x:v>D01</x:v>
      </x:c>
      <x:c r="I1985" s="19" t="str">
        <x:v>辣椒炒肉</x:v>
      </x:c>
      <x:c r="J1985" s="22" t="n">
        <x:f>XLOOKUP(H1985,'菜品主数据'!$A$5:$A$24,'菜品主数据'!$D$5:$D$24,0)</x:f>
        <x:v>29</x:v>
      </x:c>
      <x:c r="K1985" s="31" t="n">
        <x:v>4</x:v>
      </x:c>
      <x:c r="L1985" s="35" t="n">
        <x:f>J1985*K1985</x:f>
        <x:v>116</x:v>
      </x:c>
      <x:c r="M1985" s="36" t="n">
        <x:v>0.08</x:v>
      </x:c>
      <x:c r="N1985" s="35" t="n">
        <x:f>L1985*M1985</x:f>
        <x:v>9.28</x:v>
      </x:c>
      <x:c r="O1985" s="37" t="n">
        <x:v>0.18</x:v>
      </x:c>
      <x:c r="P1985" s="35" t="n">
        <x:f>L1985*O1985</x:f>
        <x:v>20.88</x:v>
      </x:c>
      <x:c r="Q1985" s="35" t="n">
        <x:v>1.2</x:v>
      </x:c>
      <x:c r="R1985" s="35" t="n">
        <x:f>K1985*Q1985</x:f>
        <x:v>4.8</x:v>
      </x:c>
      <x:c r="S1985" s="35" t="n">
        <x:f>XLOOKUP(H1985,'菜品主数据'!$A$5:$A$24,'菜品主数据'!$G$5:$G$24,0)</x:f>
        <x:v>8.634400000000001</x:v>
      </x:c>
      <x:c r="T1985" s="35" t="n">
        <x:f>K1985*S1985</x:f>
        <x:v>34.537600000000005</x:v>
      </x:c>
      <x:c r="U1985" s="35" t="n">
        <x:f>L1985-N1985-P1985-R1985-T1985</x:f>
        <x:v>46.5024</x:v>
      </x:c>
      <x:c r="V1985" s="21" t="n">
        <x:f>IFERROR(U1985/L1985,0)</x:f>
        <x:v>0.40088275862068967</x:v>
      </x:c>
    </x:row>
    <x:row r="1986">
      <x:c r="A1986" s="19" t="str">
        <x:v>SALE-01982</x:v>
      </x:c>
      <x:c r="B1986" s="34" t="n">
        <x:v>46210.5</x:v>
      </x:c>
      <x:c r="C1986" s="19" t="str">
        <x:v>周二</x:v>
      </x:c>
      <x:c r="D1986" s="19" t="str">
        <x:v>S08</x:v>
      </x:c>
      <x:c r="E1986" s="19" t="str">
        <x:v>四季青店</x:v>
      </x:c>
      <x:c r="F1986" s="19" t="str">
        <x:v>外卖</x:v>
      </x:c>
      <x:c r="G1986" s="19" t="str">
        <x:v>全日</x:v>
      </x:c>
      <x:c r="H1986" s="19" t="str">
        <x:v>D02</x:v>
      </x:c>
      <x:c r="I1986" s="19" t="str">
        <x:v>小炒黄牛肉</x:v>
      </x:c>
      <x:c r="J1986" s="22" t="n">
        <x:f>XLOOKUP(H1986,'菜品主数据'!$A$5:$A$24,'菜品主数据'!$D$5:$D$24,0)</x:f>
        <x:v>49</x:v>
      </x:c>
      <x:c r="K1986" s="31" t="n">
        <x:v>7</x:v>
      </x:c>
      <x:c r="L1986" s="35" t="n">
        <x:f>J1986*K1986</x:f>
        <x:v>343</x:v>
      </x:c>
      <x:c r="M1986" s="36" t="n">
        <x:v>0.08</x:v>
      </x:c>
      <x:c r="N1986" s="35" t="n">
        <x:f>L1986*M1986</x:f>
        <x:v>27.44</x:v>
      </x:c>
      <x:c r="O1986" s="37" t="n">
        <x:v>0.18</x:v>
      </x:c>
      <x:c r="P1986" s="35" t="n">
        <x:f>L1986*O1986</x:f>
        <x:v>61.739999999999995</x:v>
      </x:c>
      <x:c r="Q1986" s="35" t="n">
        <x:v>1.2</x:v>
      </x:c>
      <x:c r="R1986" s="35" t="n">
        <x:f>K1986*Q1986</x:f>
        <x:v>8.4</x:v>
      </x:c>
      <x:c r="S1986" s="35" t="n">
        <x:f>XLOOKUP(H1986,'菜品主数据'!$A$5:$A$24,'菜品主数据'!$G$5:$G$24,0)</x:f>
        <x:v>17.577</x:v>
      </x:c>
      <x:c r="T1986" s="35" t="n">
        <x:f>K1986*S1986</x:f>
        <x:v>123.03900000000002</x:v>
      </x:c>
      <x:c r="U1986" s="35" t="n">
        <x:f>L1986-N1986-P1986-R1986-T1986</x:f>
        <x:v>122.38099999999997</x:v>
      </x:c>
      <x:c r="V1986" s="21" t="n">
        <x:f>IFERROR(U1986/L1986,0)</x:f>
        <x:v>0.35679591836734686</x:v>
      </x:c>
    </x:row>
    <x:row r="1987">
      <x:c r="A1987" s="19" t="str">
        <x:v>SALE-01983</x:v>
      </x:c>
      <x:c r="B1987" s="34" t="n">
        <x:v>46210.5</x:v>
      </x:c>
      <x:c r="C1987" s="19" t="str">
        <x:v>周二</x:v>
      </x:c>
      <x:c r="D1987" s="19" t="str">
        <x:v>S08</x:v>
      </x:c>
      <x:c r="E1987" s="19" t="str">
        <x:v>四季青店</x:v>
      </x:c>
      <x:c r="F1987" s="19" t="str">
        <x:v>外卖</x:v>
      </x:c>
      <x:c r="G1987" s="19" t="str">
        <x:v>全日</x:v>
      </x:c>
      <x:c r="H1987" s="19" t="str">
        <x:v>D03</x:v>
      </x:c>
      <x:c r="I1987" s="19" t="str">
        <x:v>香醋炒蛋</x:v>
      </x:c>
      <x:c r="J1987" s="22" t="n">
        <x:f>XLOOKUP(H1987,'菜品主数据'!$A$5:$A$24,'菜品主数据'!$D$5:$D$24,0)</x:f>
        <x:v>14.9</x:v>
      </x:c>
      <x:c r="K1987" s="31" t="n">
        <x:v>3</x:v>
      </x:c>
      <x:c r="L1987" s="35" t="n">
        <x:f>J1987*K1987</x:f>
        <x:v>44.7</x:v>
      </x:c>
      <x:c r="M1987" s="36" t="n">
        <x:v>0.08</x:v>
      </x:c>
      <x:c r="N1987" s="35" t="n">
        <x:f>L1987*M1987</x:f>
        <x:v>3.5760000000000005</x:v>
      </x:c>
      <x:c r="O1987" s="37" t="n">
        <x:v>0.18</x:v>
      </x:c>
      <x:c r="P1987" s="35" t="n">
        <x:f>L1987*O1987</x:f>
        <x:v>8.046</x:v>
      </x:c>
      <x:c r="Q1987" s="35" t="n">
        <x:v>1.2</x:v>
      </x:c>
      <x:c r="R1987" s="35" t="n">
        <x:f>K1987*Q1987</x:f>
        <x:v>3.5999999999999996</x:v>
      </x:c>
      <x:c r="S1987" s="35" t="n">
        <x:f>XLOOKUP(H1987,'菜品主数据'!$A$5:$A$24,'菜品主数据'!$G$5:$G$24,0)</x:f>
        <x:v>3.7459999999999996</x:v>
      </x:c>
      <x:c r="T1987" s="35" t="n">
        <x:f>K1987*S1987</x:f>
        <x:v>11.238</x:v>
      </x:c>
      <x:c r="U1987" s="35" t="n">
        <x:f>L1987-N1987-P1987-R1987-T1987</x:f>
        <x:v>18.240000000000002</x:v>
      </x:c>
      <x:c r="V1987" s="21" t="n">
        <x:f>IFERROR(U1987/L1987,0)</x:f>
        <x:v>0.40805369127516783</x:v>
      </x:c>
    </x:row>
    <x:row r="1988">
      <x:c r="A1988" s="19" t="str">
        <x:v>SALE-01984</x:v>
      </x:c>
      <x:c r="B1988" s="34" t="n">
        <x:v>46210.5</x:v>
      </x:c>
      <x:c r="C1988" s="19" t="str">
        <x:v>周二</x:v>
      </x:c>
      <x:c r="D1988" s="19" t="str">
        <x:v>S08</x:v>
      </x:c>
      <x:c r="E1988" s="19" t="str">
        <x:v>四季青店</x:v>
      </x:c>
      <x:c r="F1988" s="19" t="str">
        <x:v>外卖</x:v>
      </x:c>
      <x:c r="G1988" s="19" t="str">
        <x:v>全日</x:v>
      </x:c>
      <x:c r="H1988" s="19" t="str">
        <x:v>D04</x:v>
      </x:c>
      <x:c r="I1988" s="19" t="str">
        <x:v>酸包菜炒粉皮</x:v>
      </x:c>
      <x:c r="J1988" s="22" t="n">
        <x:f>XLOOKUP(H1988,'菜品主数据'!$A$5:$A$24,'菜品主数据'!$D$5:$D$24,0)</x:f>
        <x:v>16</x:v>
      </x:c>
      <x:c r="K1988" s="31" t="n">
        <x:v>3</x:v>
      </x:c>
      <x:c r="L1988" s="35" t="n">
        <x:f>J1988*K1988</x:f>
        <x:v>48</x:v>
      </x:c>
      <x:c r="M1988" s="36" t="n">
        <x:v>0.08</x:v>
      </x:c>
      <x:c r="N1988" s="35" t="n">
        <x:f>L1988*M1988</x:f>
        <x:v>3.84</x:v>
      </x:c>
      <x:c r="O1988" s="37" t="n">
        <x:v>0.18</x:v>
      </x:c>
      <x:c r="P1988" s="35" t="n">
        <x:f>L1988*O1988</x:f>
        <x:v>8.64</x:v>
      </x:c>
      <x:c r="Q1988" s="35" t="n">
        <x:v>1.2</x:v>
      </x:c>
      <x:c r="R1988" s="35" t="n">
        <x:f>K1988*Q1988</x:f>
        <x:v>3.5999999999999996</x:v>
      </x:c>
      <x:c r="S1988" s="35" t="n">
        <x:f>XLOOKUP(H1988,'菜品主数据'!$A$5:$A$24,'菜品主数据'!$G$5:$G$24,0)</x:f>
        <x:v>3.978</x:v>
      </x:c>
      <x:c r="T1988" s="35" t="n">
        <x:f>K1988*S1988</x:f>
        <x:v>11.934000000000001</x:v>
      </x:c>
      <x:c r="U1988" s="35" t="n">
        <x:f>L1988-N1988-P1988-R1988-T1988</x:f>
        <x:v>19.985999999999994</x:v>
      </x:c>
      <x:c r="V1988" s="21" t="n">
        <x:f>IFERROR(U1988/L1988,0)</x:f>
        <x:v>0.4163749999999999</x:v>
      </x:c>
    </x:row>
    <x:row r="1989">
      <x:c r="A1989" s="19" t="str">
        <x:v>SALE-01985</x:v>
      </x:c>
      <x:c r="B1989" s="34" t="n">
        <x:v>46210.5</x:v>
      </x:c>
      <x:c r="C1989" s="19" t="str">
        <x:v>周二</x:v>
      </x:c>
      <x:c r="D1989" s="19" t="str">
        <x:v>S08</x:v>
      </x:c>
      <x:c r="E1989" s="19" t="str">
        <x:v>四季青店</x:v>
      </x:c>
      <x:c r="F1989" s="19" t="str">
        <x:v>外卖</x:v>
      </x:c>
      <x:c r="G1989" s="19" t="str">
        <x:v>全日</x:v>
      </x:c>
      <x:c r="H1989" s="19" t="str">
        <x:v>D05</x:v>
      </x:c>
      <x:c r="I1989" s="19" t="str">
        <x:v>麻婆豆腐</x:v>
      </x:c>
      <x:c r="J1989" s="22" t="n">
        <x:f>XLOOKUP(H1989,'菜品主数据'!$A$5:$A$24,'菜品主数据'!$D$5:$D$24,0)</x:f>
        <x:v>9.9</x:v>
      </x:c>
      <x:c r="K1989" s="31" t="n">
        <x:v>4</x:v>
      </x:c>
      <x:c r="L1989" s="35" t="n">
        <x:f>J1989*K1989</x:f>
        <x:v>39.6</x:v>
      </x:c>
      <x:c r="M1989" s="36" t="n">
        <x:v>0.08</x:v>
      </x:c>
      <x:c r="N1989" s="35" t="n">
        <x:f>L1989*M1989</x:f>
        <x:v>3.168</x:v>
      </x:c>
      <x:c r="O1989" s="37" t="n">
        <x:v>0.18</x:v>
      </x:c>
      <x:c r="P1989" s="35" t="n">
        <x:f>L1989*O1989</x:f>
        <x:v>7.128</x:v>
      </x:c>
      <x:c r="Q1989" s="35" t="n">
        <x:v>1.2</x:v>
      </x:c>
      <x:c r="R1989" s="35" t="n">
        <x:f>K1989*Q1989</x:f>
        <x:v>4.8</x:v>
      </x:c>
      <x:c r="S1989" s="35" t="n">
        <x:f>XLOOKUP(H1989,'菜品主数据'!$A$5:$A$24,'菜品主数据'!$G$5:$G$24,0)</x:f>
        <x:v>5.367000000000001</x:v>
      </x:c>
      <x:c r="T1989" s="35" t="n">
        <x:f>K1989*S1989</x:f>
        <x:v>21.468000000000004</x:v>
      </x:c>
      <x:c r="U1989" s="35" t="n">
        <x:f>L1989-N1989-P1989-R1989-T1989</x:f>
        <x:v>3.035999999999998</x:v>
      </x:c>
      <x:c r="V1989" s="21" t="n">
        <x:f>IFERROR(U1989/L1989,0)</x:f>
        <x:v>0.0766666666666666</x:v>
      </x:c>
    </x:row>
    <x:row r="1990">
      <x:c r="A1990" s="19" t="str">
        <x:v>SALE-01986</x:v>
      </x:c>
      <x:c r="B1990" s="34" t="n">
        <x:v>46210.5</x:v>
      </x:c>
      <x:c r="C1990" s="19" t="str">
        <x:v>周二</x:v>
      </x:c>
      <x:c r="D1990" s="19" t="str">
        <x:v>S08</x:v>
      </x:c>
      <x:c r="E1990" s="19" t="str">
        <x:v>四季青店</x:v>
      </x:c>
      <x:c r="F1990" s="19" t="str">
        <x:v>外卖</x:v>
      </x:c>
      <x:c r="G1990" s="19" t="str">
        <x:v>全日</x:v>
      </x:c>
      <x:c r="H1990" s="19" t="str">
        <x:v>D06</x:v>
      </x:c>
      <x:c r="I1990" s="19" t="str">
        <x:v>剁椒鱼头</x:v>
      </x:c>
      <x:c r="J1990" s="22" t="n">
        <x:f>XLOOKUP(H1990,'菜品主数据'!$A$5:$A$24,'菜品主数据'!$D$5:$D$24,0)</x:f>
        <x:v>39</x:v>
      </x:c>
      <x:c r="K1990" s="31" t="n">
        <x:v>1</x:v>
      </x:c>
      <x:c r="L1990" s="35" t="n">
        <x:f>J1990*K1990</x:f>
        <x:v>39</x:v>
      </x:c>
      <x:c r="M1990" s="36" t="n">
        <x:v>0.08</x:v>
      </x:c>
      <x:c r="N1990" s="35" t="n">
        <x:f>L1990*M1990</x:f>
        <x:v>3.12</x:v>
      </x:c>
      <x:c r="O1990" s="37" t="n">
        <x:v>0.18</x:v>
      </x:c>
      <x:c r="P1990" s="35" t="n">
        <x:f>L1990*O1990</x:f>
        <x:v>7.02</x:v>
      </x:c>
      <x:c r="Q1990" s="35" t="n">
        <x:v>1.2</x:v>
      </x:c>
      <x:c r="R1990" s="35" t="n">
        <x:f>K1990*Q1990</x:f>
        <x:v>1.2</x:v>
      </x:c>
      <x:c r="S1990" s="35" t="n">
        <x:f>XLOOKUP(H1990,'菜品主数据'!$A$5:$A$24,'菜品主数据'!$G$5:$G$24,0)</x:f>
        <x:v>17.446</x:v>
      </x:c>
      <x:c r="T1990" s="35" t="n">
        <x:f>K1990*S1990</x:f>
        <x:v>17.446</x:v>
      </x:c>
      <x:c r="U1990" s="35" t="n">
        <x:f>L1990-N1990-P1990-R1990-T1990</x:f>
        <x:v>10.214000000000002</x:v>
      </x:c>
      <x:c r="V1990" s="21" t="n">
        <x:f>IFERROR(U1990/L1990,0)</x:f>
        <x:v>0.26189743589743597</x:v>
      </x:c>
    </x:row>
    <x:row r="1991">
      <x:c r="A1991" s="19" t="str">
        <x:v>SALE-01987</x:v>
      </x:c>
      <x:c r="B1991" s="34" t="n">
        <x:v>46210.5</x:v>
      </x:c>
      <x:c r="C1991" s="19" t="str">
        <x:v>周二</x:v>
      </x:c>
      <x:c r="D1991" s="19" t="str">
        <x:v>S08</x:v>
      </x:c>
      <x:c r="E1991" s="19" t="str">
        <x:v>四季青店</x:v>
      </x:c>
      <x:c r="F1991" s="19" t="str">
        <x:v>外卖</x:v>
      </x:c>
      <x:c r="G1991" s="19" t="str">
        <x:v>全日</x:v>
      </x:c>
      <x:c r="H1991" s="19" t="str">
        <x:v>D07</x:v>
      </x:c>
      <x:c r="I1991" s="19" t="str">
        <x:v>川味回锅肉</x:v>
      </x:c>
      <x:c r="J1991" s="22" t="n">
        <x:f>XLOOKUP(H1991,'菜品主数据'!$A$5:$A$24,'菜品主数据'!$D$5:$D$24,0)</x:f>
        <x:v>29</x:v>
      </x:c>
      <x:c r="K1991" s="31" t="n">
        <x:v>1</x:v>
      </x:c>
      <x:c r="L1991" s="35" t="n">
        <x:f>J1991*K1991</x:f>
        <x:v>29</x:v>
      </x:c>
      <x:c r="M1991" s="36" t="n">
        <x:v>0.08</x:v>
      </x:c>
      <x:c r="N1991" s="35" t="n">
        <x:f>L1991*M1991</x:f>
        <x:v>2.32</x:v>
      </x:c>
      <x:c r="O1991" s="37" t="n">
        <x:v>0.18</x:v>
      </x:c>
      <x:c r="P1991" s="35" t="n">
        <x:f>L1991*O1991</x:f>
        <x:v>5.22</x:v>
      </x:c>
      <x:c r="Q1991" s="35" t="n">
        <x:v>1.2</x:v>
      </x:c>
      <x:c r="R1991" s="35" t="n">
        <x:f>K1991*Q1991</x:f>
        <x:v>1.2</x:v>
      </x:c>
      <x:c r="S1991" s="35" t="n">
        <x:f>XLOOKUP(H1991,'菜品主数据'!$A$5:$A$24,'菜品主数据'!$G$5:$G$24,0)</x:f>
        <x:v>10.231000000000002</x:v>
      </x:c>
      <x:c r="T1991" s="35" t="n">
        <x:f>K1991*S1991</x:f>
        <x:v>10.231000000000002</x:v>
      </x:c>
      <x:c r="U1991" s="35" t="n">
        <x:f>L1991-N1991-P1991-R1991-T1991</x:f>
        <x:v>10.029</x:v>
      </x:c>
      <x:c r="V1991" s="21" t="n">
        <x:f>IFERROR(U1991/L1991,0)</x:f>
        <x:v>0.3458275862068966</x:v>
      </x:c>
    </x:row>
    <x:row r="1992">
      <x:c r="A1992" s="19" t="str">
        <x:v>SALE-01988</x:v>
      </x:c>
      <x:c r="B1992" s="34" t="n">
        <x:v>46210.5</x:v>
      </x:c>
      <x:c r="C1992" s="19" t="str">
        <x:v>周二</x:v>
      </x:c>
      <x:c r="D1992" s="19" t="str">
        <x:v>S08</x:v>
      </x:c>
      <x:c r="E1992" s="19" t="str">
        <x:v>四季青店</x:v>
      </x:c>
      <x:c r="F1992" s="19" t="str">
        <x:v>外卖</x:v>
      </x:c>
      <x:c r="G1992" s="19" t="str">
        <x:v>全日</x:v>
      </x:c>
      <x:c r="H1992" s="19" t="str">
        <x:v>D08</x:v>
      </x:c>
      <x:c r="I1992" s="19" t="str">
        <x:v>生炒清远鸡</x:v>
      </x:c>
      <x:c r="J1992" s="22" t="n">
        <x:f>XLOOKUP(H1992,'菜品主数据'!$A$5:$A$24,'菜品主数据'!$D$5:$D$24,0)</x:f>
        <x:v>36</x:v>
      </x:c>
      <x:c r="K1992" s="31" t="n">
        <x:v>1</x:v>
      </x:c>
      <x:c r="L1992" s="35" t="n">
        <x:f>J1992*K1992</x:f>
        <x:v>36</x:v>
      </x:c>
      <x:c r="M1992" s="36" t="n">
        <x:v>0.08</x:v>
      </x:c>
      <x:c r="N1992" s="35" t="n">
        <x:f>L1992*M1992</x:f>
        <x:v>2.88</x:v>
      </x:c>
      <x:c r="O1992" s="37" t="n">
        <x:v>0.18</x:v>
      </x:c>
      <x:c r="P1992" s="35" t="n">
        <x:f>L1992*O1992</x:f>
        <x:v>6.4799999999999995</x:v>
      </x:c>
      <x:c r="Q1992" s="35" t="n">
        <x:v>1.2</x:v>
      </x:c>
      <x:c r="R1992" s="35" t="n">
        <x:f>K1992*Q1992</x:f>
        <x:v>1.2</x:v>
      </x:c>
      <x:c r="S1992" s="35" t="n">
        <x:f>XLOOKUP(H1992,'菜品主数据'!$A$5:$A$24,'菜品主数据'!$G$5:$G$24,0)</x:f>
        <x:v>13.48</x:v>
      </x:c>
      <x:c r="T1992" s="35" t="n">
        <x:f>K1992*S1992</x:f>
        <x:v>13.48</x:v>
      </x:c>
      <x:c r="U1992" s="35" t="n">
        <x:f>L1992-N1992-P1992-R1992-T1992</x:f>
        <x:v>11.959999999999997</x:v>
      </x:c>
      <x:c r="V1992" s="21" t="n">
        <x:f>IFERROR(U1992/L1992,0)</x:f>
        <x:v>0.33222222222222214</x:v>
      </x:c>
    </x:row>
    <x:row r="1993">
      <x:c r="A1993" s="19" t="str">
        <x:v>SALE-01989</x:v>
      </x:c>
      <x:c r="B1993" s="34" t="n">
        <x:v>46210.5</x:v>
      </x:c>
      <x:c r="C1993" s="19" t="str">
        <x:v>周二</x:v>
      </x:c>
      <x:c r="D1993" s="19" t="str">
        <x:v>S08</x:v>
      </x:c>
      <x:c r="E1993" s="19" t="str">
        <x:v>四季青店</x:v>
      </x:c>
      <x:c r="F1993" s="19" t="str">
        <x:v>外卖</x:v>
      </x:c>
      <x:c r="G1993" s="19" t="str">
        <x:v>全日</x:v>
      </x:c>
      <x:c r="H1993" s="19" t="str">
        <x:v>D09</x:v>
      </x:c>
      <x:c r="I1993" s="19" t="str">
        <x:v>炒豆干</x:v>
      </x:c>
      <x:c r="J1993" s="22" t="n">
        <x:f>XLOOKUP(H1993,'菜品主数据'!$A$5:$A$24,'菜品主数据'!$D$5:$D$24,0)</x:f>
        <x:v>18</x:v>
      </x:c>
      <x:c r="K1993" s="31" t="n">
        <x:v>1</x:v>
      </x:c>
      <x:c r="L1993" s="35" t="n">
        <x:f>J1993*K1993</x:f>
        <x:v>18</x:v>
      </x:c>
      <x:c r="M1993" s="36" t="n">
        <x:v>0.08</x:v>
      </x:c>
      <x:c r="N1993" s="35" t="n">
        <x:f>L1993*M1993</x:f>
        <x:v>1.44</x:v>
      </x:c>
      <x:c r="O1993" s="37" t="n">
        <x:v>0.18</x:v>
      </x:c>
      <x:c r="P1993" s="35" t="n">
        <x:f>L1993*O1993</x:f>
        <x:v>3.2399999999999998</x:v>
      </x:c>
      <x:c r="Q1993" s="35" t="n">
        <x:v>1.2</x:v>
      </x:c>
      <x:c r="R1993" s="35" t="n">
        <x:f>K1993*Q1993</x:f>
        <x:v>1.2</x:v>
      </x:c>
      <x:c r="S1993" s="35" t="n">
        <x:f>XLOOKUP(H1993,'菜品主数据'!$A$5:$A$24,'菜品主数据'!$G$5:$G$24,0)</x:f>
        <x:v>6.613999999999999</x:v>
      </x:c>
      <x:c r="T1993" s="35" t="n">
        <x:f>K1993*S1993</x:f>
        <x:v>6.613999999999999</x:v>
      </x:c>
      <x:c r="U1993" s="35" t="n">
        <x:f>L1993-N1993-P1993-R1993-T1993</x:f>
        <x:v>5.506</x:v>
      </x:c>
      <x:c r="V1993" s="21" t="n">
        <x:f>IFERROR(U1993/L1993,0)</x:f>
        <x:v>0.3058888888888889</x:v>
      </x:c>
    </x:row>
    <x:row r="1994">
      <x:c r="A1994" s="19" t="str">
        <x:v>SALE-01990</x:v>
      </x:c>
      <x:c r="B1994" s="34" t="n">
        <x:v>46210.5</x:v>
      </x:c>
      <x:c r="C1994" s="19" t="str">
        <x:v>周二</x:v>
      </x:c>
      <x:c r="D1994" s="19" t="str">
        <x:v>S08</x:v>
      </x:c>
      <x:c r="E1994" s="19" t="str">
        <x:v>四季青店</x:v>
      </x:c>
      <x:c r="F1994" s="19" t="str">
        <x:v>外卖</x:v>
      </x:c>
      <x:c r="G1994" s="19" t="str">
        <x:v>全日</x:v>
      </x:c>
      <x:c r="H1994" s="19" t="str">
        <x:v>D10</x:v>
      </x:c>
      <x:c r="I1994" s="19" t="str">
        <x:v>农家一碗香</x:v>
      </x:c>
      <x:c r="J1994" s="22" t="n">
        <x:f>XLOOKUP(H1994,'菜品主数据'!$A$5:$A$24,'菜品主数据'!$D$5:$D$24,0)</x:f>
        <x:v>22.9</x:v>
      </x:c>
      <x:c r="K1994" s="31" t="n">
        <x:v>1</x:v>
      </x:c>
      <x:c r="L1994" s="35" t="n">
        <x:f>J1994*K1994</x:f>
        <x:v>22.9</x:v>
      </x:c>
      <x:c r="M1994" s="36" t="n">
        <x:v>0.08</x:v>
      </x:c>
      <x:c r="N1994" s="35" t="n">
        <x:f>L1994*M1994</x:f>
        <x:v>1.8319999999999999</x:v>
      </x:c>
      <x:c r="O1994" s="37" t="n">
        <x:v>0.18</x:v>
      </x:c>
      <x:c r="P1994" s="35" t="n">
        <x:f>L1994*O1994</x:f>
        <x:v>4.122</x:v>
      </x:c>
      <x:c r="Q1994" s="35" t="n">
        <x:v>1.2</x:v>
      </x:c>
      <x:c r="R1994" s="35" t="n">
        <x:f>K1994*Q1994</x:f>
        <x:v>1.2</x:v>
      </x:c>
      <x:c r="S1994" s="35" t="n">
        <x:f>XLOOKUP(H1994,'菜品主数据'!$A$5:$A$24,'菜品主数据'!$G$5:$G$24,0)</x:f>
        <x:v>9.770200000000003</x:v>
      </x:c>
      <x:c r="T1994" s="35" t="n">
        <x:f>K1994*S1994</x:f>
        <x:v>9.770200000000003</x:v>
      </x:c>
      <x:c r="U1994" s="35" t="n">
        <x:f>L1994-N1994-P1994-R1994-T1994</x:f>
        <x:v>5.975799999999996</x:v>
      </x:c>
      <x:c r="V1994" s="21" t="n">
        <x:f>IFERROR(U1994/L1994,0)</x:f>
        <x:v>0.260951965065502</x:v>
      </x:c>
    </x:row>
    <x:row r="1995">
      <x:c r="A1995" s="19" t="str">
        <x:v>SALE-01991</x:v>
      </x:c>
      <x:c r="B1995" s="34" t="n">
        <x:v>46210.5</x:v>
      </x:c>
      <x:c r="C1995" s="19" t="str">
        <x:v>周二</x:v>
      </x:c>
      <x:c r="D1995" s="19" t="str">
        <x:v>S08</x:v>
      </x:c>
      <x:c r="E1995" s="19" t="str">
        <x:v>四季青店</x:v>
      </x:c>
      <x:c r="F1995" s="19" t="str">
        <x:v>外卖</x:v>
      </x:c>
      <x:c r="G1995" s="19" t="str">
        <x:v>全日</x:v>
      </x:c>
      <x:c r="H1995" s="19" t="str">
        <x:v>D11</x:v>
      </x:c>
      <x:c r="I1995" s="19" t="str">
        <x:v>香辣爆肥肠</x:v>
      </x:c>
      <x:c r="J1995" s="22" t="n">
        <x:f>XLOOKUP(H1995,'菜品主数据'!$A$5:$A$24,'菜品主数据'!$D$5:$D$24,0)</x:f>
        <x:v>39</x:v>
      </x:c>
      <x:c r="K1995" s="31" t="n">
        <x:v>0</x:v>
      </x:c>
      <x:c r="L1995" s="35" t="n">
        <x:f>J1995*K1995</x:f>
        <x:v>0</x:v>
      </x:c>
      <x:c r="M1995" s="36" t="n">
        <x:v>0.08</x:v>
      </x:c>
      <x:c r="N1995" s="35" t="n">
        <x:f>L1995*M1995</x:f>
        <x:v>0</x:v>
      </x:c>
      <x:c r="O1995" s="37" t="n">
        <x:v>0.18</x:v>
      </x:c>
      <x:c r="P1995" s="35" t="n">
        <x:f>L1995*O1995</x:f>
        <x:v>0</x:v>
      </x:c>
      <x:c r="Q1995" s="35" t="n">
        <x:v>1.2</x:v>
      </x:c>
      <x:c r="R1995" s="35" t="n">
        <x:f>K1995*Q1995</x:f>
        <x:v>0</x:v>
      </x:c>
      <x:c r="S1995" s="35" t="n">
        <x:f>XLOOKUP(H1995,'菜品主数据'!$A$5:$A$24,'菜品主数据'!$G$5:$G$24,0)</x:f>
        <x:v>10.397</x:v>
      </x:c>
      <x:c r="T1995" s="35" t="n">
        <x:f>K1995*S1995</x:f>
        <x:v>0</x:v>
      </x:c>
      <x:c r="U1995" s="35" t="n">
        <x:f>L1995-N1995-P1995-R1995-T1995</x:f>
        <x:v>0</x:v>
      </x:c>
      <x:c r="V1995" s="21" t="n">
        <x:f>IFERROR(U1995/L1995,0)</x:f>
        <x:v>0</x:v>
      </x:c>
    </x:row>
    <x:row r="1996">
      <x:c r="A1996" s="19" t="str">
        <x:v>SALE-01992</x:v>
      </x:c>
      <x:c r="B1996" s="34" t="n">
        <x:v>46210.5</x:v>
      </x:c>
      <x:c r="C1996" s="19" t="str">
        <x:v>周二</x:v>
      </x:c>
      <x:c r="D1996" s="19" t="str">
        <x:v>S08</x:v>
      </x:c>
      <x:c r="E1996" s="19" t="str">
        <x:v>四季青店</x:v>
      </x:c>
      <x:c r="F1996" s="19" t="str">
        <x:v>外卖</x:v>
      </x:c>
      <x:c r="G1996" s="19" t="str">
        <x:v>全日</x:v>
      </x:c>
      <x:c r="H1996" s="19" t="str">
        <x:v>D12</x:v>
      </x:c>
      <x:c r="I1996" s="19" t="str">
        <x:v>清蒸鲈鱼</x:v>
      </x:c>
      <x:c r="J1996" s="22" t="n">
        <x:f>XLOOKUP(H1996,'菜品主数据'!$A$5:$A$24,'菜品主数据'!$D$5:$D$24,0)</x:f>
        <x:v>39</x:v>
      </x:c>
      <x:c r="K1996" s="31" t="n">
        <x:v>0</x:v>
      </x:c>
      <x:c r="L1996" s="35" t="n">
        <x:f>J1996*K1996</x:f>
        <x:v>0</x:v>
      </x:c>
      <x:c r="M1996" s="36" t="n">
        <x:v>0.08</x:v>
      </x:c>
      <x:c r="N1996" s="35" t="n">
        <x:f>L1996*M1996</x:f>
        <x:v>0</x:v>
      </x:c>
      <x:c r="O1996" s="37" t="n">
        <x:v>0.18</x:v>
      </x:c>
      <x:c r="P1996" s="35" t="n">
        <x:f>L1996*O1996</x:f>
        <x:v>0</x:v>
      </x:c>
      <x:c r="Q1996" s="35" t="n">
        <x:v>1.2</x:v>
      </x:c>
      <x:c r="R1996" s="35" t="n">
        <x:f>K1996*Q1996</x:f>
        <x:v>0</x:v>
      </x:c>
      <x:c r="S1996" s="35" t="n">
        <x:f>XLOOKUP(H1996,'菜品主数据'!$A$5:$A$24,'菜品主数据'!$G$5:$G$24,0)</x:f>
        <x:v>18.874</x:v>
      </x:c>
      <x:c r="T1996" s="35" t="n">
        <x:f>K1996*S1996</x:f>
        <x:v>0</x:v>
      </x:c>
      <x:c r="U1996" s="35" t="n">
        <x:f>L1996-N1996-P1996-R1996-T1996</x:f>
        <x:v>0</x:v>
      </x:c>
      <x:c r="V1996" s="21" t="n">
        <x:f>IFERROR(U1996/L1996,0)</x:f>
        <x:v>0</x:v>
      </x:c>
    </x:row>
    <x:row r="1997">
      <x:c r="A1997" s="19" t="str">
        <x:v>SALE-01993</x:v>
      </x:c>
      <x:c r="B1997" s="34" t="n">
        <x:v>46210.5</x:v>
      </x:c>
      <x:c r="C1997" s="19" t="str">
        <x:v>周二</x:v>
      </x:c>
      <x:c r="D1997" s="19" t="str">
        <x:v>S08</x:v>
      </x:c>
      <x:c r="E1997" s="19" t="str">
        <x:v>四季青店</x:v>
      </x:c>
      <x:c r="F1997" s="19" t="str">
        <x:v>外卖</x:v>
      </x:c>
      <x:c r="G1997" s="19" t="str">
        <x:v>全日</x:v>
      </x:c>
      <x:c r="H1997" s="19" t="str">
        <x:v>D13</x:v>
      </x:c>
      <x:c r="I1997" s="19" t="str">
        <x:v>外婆菜炒蛋</x:v>
      </x:c>
      <x:c r="J1997" s="22" t="n">
        <x:f>XLOOKUP(H1997,'菜品主数据'!$A$5:$A$24,'菜品主数据'!$D$5:$D$24,0)</x:f>
        <x:v>18</x:v>
      </x:c>
      <x:c r="K1997" s="31" t="n">
        <x:v>1</x:v>
      </x:c>
      <x:c r="L1997" s="35" t="n">
        <x:f>J1997*K1997</x:f>
        <x:v>18</x:v>
      </x:c>
      <x:c r="M1997" s="36" t="n">
        <x:v>0.08</x:v>
      </x:c>
      <x:c r="N1997" s="35" t="n">
        <x:f>L1997*M1997</x:f>
        <x:v>1.44</x:v>
      </x:c>
      <x:c r="O1997" s="37" t="n">
        <x:v>0.18</x:v>
      </x:c>
      <x:c r="P1997" s="35" t="n">
        <x:f>L1997*O1997</x:f>
        <x:v>3.2399999999999998</x:v>
      </x:c>
      <x:c r="Q1997" s="35" t="n">
        <x:v>1.2</x:v>
      </x:c>
      <x:c r="R1997" s="35" t="n">
        <x:f>K1997*Q1997</x:f>
        <x:v>1.2</x:v>
      </x:c>
      <x:c r="S1997" s="35" t="n">
        <x:f>XLOOKUP(H1997,'菜品主数据'!$A$5:$A$24,'菜品主数据'!$G$5:$G$24,0)</x:f>
        <x:v>5.403999999999999</x:v>
      </x:c>
      <x:c r="T1997" s="35" t="n">
        <x:f>K1997*S1997</x:f>
        <x:v>5.403999999999999</x:v>
      </x:c>
      <x:c r="U1997" s="35" t="n">
        <x:f>L1997-N1997-P1997-R1997-T1997</x:f>
        <x:v>6.716</x:v>
      </x:c>
      <x:c r="V1997" s="21" t="n">
        <x:f>IFERROR(U1997/L1997,0)</x:f>
        <x:v>0.3731111111111111</x:v>
      </x:c>
    </x:row>
    <x:row r="1998">
      <x:c r="A1998" s="19" t="str">
        <x:v>SALE-01994</x:v>
      </x:c>
      <x:c r="B1998" s="34" t="n">
        <x:v>46210.5</x:v>
      </x:c>
      <x:c r="C1998" s="19" t="str">
        <x:v>周二</x:v>
      </x:c>
      <x:c r="D1998" s="19" t="str">
        <x:v>S08</x:v>
      </x:c>
      <x:c r="E1998" s="19" t="str">
        <x:v>四季青店</x:v>
      </x:c>
      <x:c r="F1998" s="19" t="str">
        <x:v>外卖</x:v>
      </x:c>
      <x:c r="G1998" s="19" t="str">
        <x:v>全日</x:v>
      </x:c>
      <x:c r="H1998" s="19" t="str">
        <x:v>D14</x:v>
      </x:c>
      <x:c r="I1998" s="19" t="str">
        <x:v>酸辣鸡杂</x:v>
      </x:c>
      <x:c r="J1998" s="22" t="n">
        <x:f>XLOOKUP(H1998,'菜品主数据'!$A$5:$A$24,'菜品主数据'!$D$5:$D$24,0)</x:f>
        <x:v>28</x:v>
      </x:c>
      <x:c r="K1998" s="31" t="n">
        <x:v>0</x:v>
      </x:c>
      <x:c r="L1998" s="35" t="n">
        <x:f>J1998*K1998</x:f>
        <x:v>0</x:v>
      </x:c>
      <x:c r="M1998" s="36" t="n">
        <x:v>0.08</x:v>
      </x:c>
      <x:c r="N1998" s="35" t="n">
        <x:f>L1998*M1998</x:f>
        <x:v>0</x:v>
      </x:c>
      <x:c r="O1998" s="37" t="n">
        <x:v>0.18</x:v>
      </x:c>
      <x:c r="P1998" s="35" t="n">
        <x:f>L1998*O1998</x:f>
        <x:v>0</x:v>
      </x:c>
      <x:c r="Q1998" s="35" t="n">
        <x:v>1.2</x:v>
      </x:c>
      <x:c r="R1998" s="35" t="n">
        <x:f>K1998*Q1998</x:f>
        <x:v>0</x:v>
      </x:c>
      <x:c r="S1998" s="35" t="n">
        <x:f>XLOOKUP(H1998,'菜品主数据'!$A$5:$A$24,'菜品主数据'!$G$5:$G$24,0)</x:f>
        <x:v>8.315000000000001</x:v>
      </x:c>
      <x:c r="T1998" s="35" t="n">
        <x:f>K1998*S1998</x:f>
        <x:v>0</x:v>
      </x:c>
      <x:c r="U1998" s="35" t="n">
        <x:f>L1998-N1998-P1998-R1998-T1998</x:f>
        <x:v>0</x:v>
      </x:c>
      <x:c r="V1998" s="21" t="n">
        <x:f>IFERROR(U1998/L1998,0)</x:f>
        <x:v>0</x:v>
      </x:c>
    </x:row>
    <x:row r="1999">
      <x:c r="A1999" s="19" t="str">
        <x:v>SALE-01995</x:v>
      </x:c>
      <x:c r="B1999" s="34" t="n">
        <x:v>46210.5</x:v>
      </x:c>
      <x:c r="C1999" s="19" t="str">
        <x:v>周二</x:v>
      </x:c>
      <x:c r="D1999" s="19" t="str">
        <x:v>S08</x:v>
      </x:c>
      <x:c r="E1999" s="19" t="str">
        <x:v>四季青店</x:v>
      </x:c>
      <x:c r="F1999" s="19" t="str">
        <x:v>外卖</x:v>
      </x:c>
      <x:c r="G1999" s="19" t="str">
        <x:v>全日</x:v>
      </x:c>
      <x:c r="H1999" s="19" t="str">
        <x:v>D15</x:v>
      </x:c>
      <x:c r="I1999" s="19" t="str">
        <x:v>湘西土匪猪肝</x:v>
      </x:c>
      <x:c r="J1999" s="22" t="n">
        <x:f>XLOOKUP(H1999,'菜品主数据'!$A$5:$A$24,'菜品主数据'!$D$5:$D$24,0)</x:f>
        <x:v>26</x:v>
      </x:c>
      <x:c r="K1999" s="31" t="n">
        <x:v>0</x:v>
      </x:c>
      <x:c r="L1999" s="35" t="n">
        <x:f>J1999*K1999</x:f>
        <x:v>0</x:v>
      </x:c>
      <x:c r="M1999" s="36" t="n">
        <x:v>0.08</x:v>
      </x:c>
      <x:c r="N1999" s="35" t="n">
        <x:f>L1999*M1999</x:f>
        <x:v>0</x:v>
      </x:c>
      <x:c r="O1999" s="37" t="n">
        <x:v>0.18</x:v>
      </x:c>
      <x:c r="P1999" s="35" t="n">
        <x:f>L1999*O1999</x:f>
        <x:v>0</x:v>
      </x:c>
      <x:c r="Q1999" s="35" t="n">
        <x:v>1.2</x:v>
      </x:c>
      <x:c r="R1999" s="35" t="n">
        <x:f>K1999*Q1999</x:f>
        <x:v>0</x:v>
      </x:c>
      <x:c r="S1999" s="35" t="n">
        <x:f>XLOOKUP(H1999,'菜品主数据'!$A$5:$A$24,'菜品主数据'!$G$5:$G$24,0)</x:f>
        <x:v>6.3759999999999994</x:v>
      </x:c>
      <x:c r="T1999" s="35" t="n">
        <x:f>K1999*S1999</x:f>
        <x:v>0</x:v>
      </x:c>
      <x:c r="U1999" s="35" t="n">
        <x:f>L1999-N1999-P1999-R1999-T1999</x:f>
        <x:v>0</x:v>
      </x:c>
      <x:c r="V1999" s="21" t="n">
        <x:f>IFERROR(U1999/L1999,0)</x:f>
        <x:v>0</x:v>
      </x:c>
    </x:row>
    <x:row r="2000">
      <x:c r="A2000" s="19" t="str">
        <x:v>SALE-01996</x:v>
      </x:c>
      <x:c r="B2000" s="34" t="n">
        <x:v>46210.5</x:v>
      </x:c>
      <x:c r="C2000" s="19" t="str">
        <x:v>周二</x:v>
      </x:c>
      <x:c r="D2000" s="19" t="str">
        <x:v>S08</x:v>
      </x:c>
      <x:c r="E2000" s="19" t="str">
        <x:v>四季青店</x:v>
      </x:c>
      <x:c r="F2000" s="19" t="str">
        <x:v>外卖</x:v>
      </x:c>
      <x:c r="G2000" s="19" t="str">
        <x:v>全日</x:v>
      </x:c>
      <x:c r="H2000" s="19" t="str">
        <x:v>D16</x:v>
      </x:c>
      <x:c r="I2000" s="19" t="str">
        <x:v>小豆角炒五花</x:v>
      </x:c>
      <x:c r="J2000" s="22" t="n">
        <x:f>XLOOKUP(H2000,'菜品主数据'!$A$5:$A$24,'菜品主数据'!$D$5:$D$24,0)</x:f>
        <x:v>25</x:v>
      </x:c>
      <x:c r="K2000" s="31" t="n">
        <x:v>0</x:v>
      </x:c>
      <x:c r="L2000" s="35" t="n">
        <x:f>J2000*K2000</x:f>
        <x:v>0</x:v>
      </x:c>
      <x:c r="M2000" s="36" t="n">
        <x:v>0.08</x:v>
      </x:c>
      <x:c r="N2000" s="35" t="n">
        <x:f>L2000*M2000</x:f>
        <x:v>0</x:v>
      </x:c>
      <x:c r="O2000" s="37" t="n">
        <x:v>0.18</x:v>
      </x:c>
      <x:c r="P2000" s="35" t="n">
        <x:f>L2000*O2000</x:f>
        <x:v>0</x:v>
      </x:c>
      <x:c r="Q2000" s="35" t="n">
        <x:v>1.2</x:v>
      </x:c>
      <x:c r="R2000" s="35" t="n">
        <x:f>K2000*Q2000</x:f>
        <x:v>0</x:v>
      </x:c>
      <x:c r="S2000" s="35" t="n">
        <x:f>XLOOKUP(H2000,'菜品主数据'!$A$5:$A$24,'菜品主数据'!$G$5:$G$24,0)</x:f>
        <x:v>8.184</x:v>
      </x:c>
      <x:c r="T2000" s="35" t="n">
        <x:f>K2000*S2000</x:f>
        <x:v>0</x:v>
      </x:c>
      <x:c r="U2000" s="35" t="n">
        <x:f>L2000-N2000-P2000-R2000-T2000</x:f>
        <x:v>0</x:v>
      </x:c>
      <x:c r="V2000" s="21" t="n">
        <x:f>IFERROR(U2000/L2000,0)</x:f>
        <x:v>0</x:v>
      </x:c>
    </x:row>
    <x:row r="2001">
      <x:c r="A2001" s="19" t="str">
        <x:v>SALE-01997</x:v>
      </x:c>
      <x:c r="B2001" s="34" t="n">
        <x:v>46210.5</x:v>
      </x:c>
      <x:c r="C2001" s="19" t="str">
        <x:v>周二</x:v>
      </x:c>
      <x:c r="D2001" s="19" t="str">
        <x:v>S08</x:v>
      </x:c>
      <x:c r="E2001" s="19" t="str">
        <x:v>四季青店</x:v>
      </x:c>
      <x:c r="F2001" s="19" t="str">
        <x:v>外卖</x:v>
      </x:c>
      <x:c r="G2001" s="19" t="str">
        <x:v>全日</x:v>
      </x:c>
      <x:c r="H2001" s="19" t="str">
        <x:v>D17</x:v>
      </x:c>
      <x:c r="I2001" s="19" t="str">
        <x:v>蒜蓉粉丝虾</x:v>
      </x:c>
      <x:c r="J2001" s="22" t="n">
        <x:f>XLOOKUP(H2001,'菜品主数据'!$A$5:$A$24,'菜品主数据'!$D$5:$D$24,0)</x:f>
        <x:v>36</x:v>
      </x:c>
      <x:c r="K2001" s="31" t="n">
        <x:v>0</x:v>
      </x:c>
      <x:c r="L2001" s="35" t="n">
        <x:f>J2001*K2001</x:f>
        <x:v>0</x:v>
      </x:c>
      <x:c r="M2001" s="36" t="n">
        <x:v>0.08</x:v>
      </x:c>
      <x:c r="N2001" s="35" t="n">
        <x:f>L2001*M2001</x:f>
        <x:v>0</x:v>
      </x:c>
      <x:c r="O2001" s="37" t="n">
        <x:v>0.18</x:v>
      </x:c>
      <x:c r="P2001" s="35" t="n">
        <x:f>L2001*O2001</x:f>
        <x:v>0</x:v>
      </x:c>
      <x:c r="Q2001" s="35" t="n">
        <x:v>1.2</x:v>
      </x:c>
      <x:c r="R2001" s="35" t="n">
        <x:f>K2001*Q2001</x:f>
        <x:v>0</x:v>
      </x:c>
      <x:c r="S2001" s="35" t="n">
        <x:f>XLOOKUP(H2001,'菜品主数据'!$A$5:$A$24,'菜品主数据'!$G$5:$G$24,0)</x:f>
        <x:v>13.594</x:v>
      </x:c>
      <x:c r="T2001" s="35" t="n">
        <x:f>K2001*S2001</x:f>
        <x:v>0</x:v>
      </x:c>
      <x:c r="U2001" s="35" t="n">
        <x:f>L2001-N2001-P2001-R2001-T2001</x:f>
        <x:v>0</x:v>
      </x:c>
      <x:c r="V2001" s="21" t="n">
        <x:f>IFERROR(U2001/L2001,0)</x:f>
        <x:v>0</x:v>
      </x:c>
    </x:row>
    <x:row r="2002">
      <x:c r="A2002" s="19" t="str">
        <x:v>SALE-01998</x:v>
      </x:c>
      <x:c r="B2002" s="34" t="n">
        <x:v>46210.5</x:v>
      </x:c>
      <x:c r="C2002" s="19" t="str">
        <x:v>周二</x:v>
      </x:c>
      <x:c r="D2002" s="19" t="str">
        <x:v>S08</x:v>
      </x:c>
      <x:c r="E2002" s="19" t="str">
        <x:v>四季青店</x:v>
      </x:c>
      <x:c r="F2002" s="19" t="str">
        <x:v>外卖</x:v>
      </x:c>
      <x:c r="G2002" s="19" t="str">
        <x:v>全日</x:v>
      </x:c>
      <x:c r="H2002" s="19" t="str">
        <x:v>D18</x:v>
      </x:c>
      <x:c r="I2002" s="19" t="str">
        <x:v>青椒炒油麦菜</x:v>
      </x:c>
      <x:c r="J2002" s="22" t="n">
        <x:f>XLOOKUP(H2002,'菜品主数据'!$A$5:$A$24,'菜品主数据'!$D$5:$D$24,0)</x:f>
        <x:v>18</x:v>
      </x:c>
      <x:c r="K2002" s="31" t="n">
        <x:v>0</x:v>
      </x:c>
      <x:c r="L2002" s="35" t="n">
        <x:f>J2002*K2002</x:f>
        <x:v>0</x:v>
      </x:c>
      <x:c r="M2002" s="36" t="n">
        <x:v>0.08</x:v>
      </x:c>
      <x:c r="N2002" s="35" t="n">
        <x:f>L2002*M2002</x:f>
        <x:v>0</x:v>
      </x:c>
      <x:c r="O2002" s="37" t="n">
        <x:v>0.18</x:v>
      </x:c>
      <x:c r="P2002" s="35" t="n">
        <x:f>L2002*O2002</x:f>
        <x:v>0</x:v>
      </x:c>
      <x:c r="Q2002" s="35" t="n">
        <x:v>1.2</x:v>
      </x:c>
      <x:c r="R2002" s="35" t="n">
        <x:f>K2002*Q2002</x:f>
        <x:v>0</x:v>
      </x:c>
      <x:c r="S2002" s="35" t="n">
        <x:f>XLOOKUP(H2002,'菜品主数据'!$A$5:$A$24,'菜品主数据'!$G$5:$G$24,0)</x:f>
        <x:v>3.1759999999999993</x:v>
      </x:c>
      <x:c r="T2002" s="35" t="n">
        <x:f>K2002*S2002</x:f>
        <x:v>0</x:v>
      </x:c>
      <x:c r="U2002" s="35" t="n">
        <x:f>L2002-N2002-P2002-R2002-T2002</x:f>
        <x:v>0</x:v>
      </x:c>
      <x:c r="V2002" s="21" t="n">
        <x:f>IFERROR(U2002/L2002,0)</x:f>
        <x:v>0</x:v>
      </x:c>
    </x:row>
    <x:row r="2003">
      <x:c r="A2003" s="19" t="str">
        <x:v>SALE-01999</x:v>
      </x:c>
      <x:c r="B2003" s="34" t="n">
        <x:v>46210.5</x:v>
      </x:c>
      <x:c r="C2003" s="19" t="str">
        <x:v>周二</x:v>
      </x:c>
      <x:c r="D2003" s="19" t="str">
        <x:v>S08</x:v>
      </x:c>
      <x:c r="E2003" s="19" t="str">
        <x:v>四季青店</x:v>
      </x:c>
      <x:c r="F2003" s="19" t="str">
        <x:v>外卖</x:v>
      </x:c>
      <x:c r="G2003" s="19" t="str">
        <x:v>全日</x:v>
      </x:c>
      <x:c r="H2003" s="19" t="str">
        <x:v>D19</x:v>
      </x:c>
      <x:c r="I2003" s="19" t="str">
        <x:v>酸萝卜炒鸡杂</x:v>
      </x:c>
      <x:c r="J2003" s="22" t="n">
        <x:f>XLOOKUP(H2003,'菜品主数据'!$A$5:$A$24,'菜品主数据'!$D$5:$D$24,0)</x:f>
        <x:v>25</x:v>
      </x:c>
      <x:c r="K2003" s="31" t="n">
        <x:v>0</x:v>
      </x:c>
      <x:c r="L2003" s="35" t="n">
        <x:f>J2003*K2003</x:f>
        <x:v>0</x:v>
      </x:c>
      <x:c r="M2003" s="36" t="n">
        <x:v>0.08</x:v>
      </x:c>
      <x:c r="N2003" s="35" t="n">
        <x:f>L2003*M2003</x:f>
        <x:v>0</x:v>
      </x:c>
      <x:c r="O2003" s="37" t="n">
        <x:v>0.18</x:v>
      </x:c>
      <x:c r="P2003" s="35" t="n">
        <x:f>L2003*O2003</x:f>
        <x:v>0</x:v>
      </x:c>
      <x:c r="Q2003" s="35" t="n">
        <x:v>1.2</x:v>
      </x:c>
      <x:c r="R2003" s="35" t="n">
        <x:f>K2003*Q2003</x:f>
        <x:v>0</x:v>
      </x:c>
      <x:c r="S2003" s="35" t="n">
        <x:f>XLOOKUP(H2003,'菜品主数据'!$A$5:$A$24,'菜品主数据'!$G$5:$G$24,0)</x:f>
        <x:v>7.9399999999999995</x:v>
      </x:c>
      <x:c r="T2003" s="35" t="n">
        <x:f>K2003*S2003</x:f>
        <x:v>0</x:v>
      </x:c>
      <x:c r="U2003" s="35" t="n">
        <x:f>L2003-N2003-P2003-R2003-T2003</x:f>
        <x:v>0</x:v>
      </x:c>
      <x:c r="V2003" s="21" t="n">
        <x:f>IFERROR(U2003/L2003,0)</x:f>
        <x:v>0</x:v>
      </x:c>
    </x:row>
    <x:row r="2004">
      <x:c r="A2004" s="19" t="str">
        <x:v>SALE-02000</x:v>
      </x:c>
      <x:c r="B2004" s="34" t="n">
        <x:v>46210.5</x:v>
      </x:c>
      <x:c r="C2004" s="19" t="str">
        <x:v>周二</x:v>
      </x:c>
      <x:c r="D2004" s="19" t="str">
        <x:v>S08</x:v>
      </x:c>
      <x:c r="E2004" s="19" t="str">
        <x:v>四季青店</x:v>
      </x:c>
      <x:c r="F2004" s="19" t="str">
        <x:v>外卖</x:v>
      </x:c>
      <x:c r="G2004" s="19" t="str">
        <x:v>全日</x:v>
      </x:c>
      <x:c r="H2004" s="19" t="str">
        <x:v>D20</x:v>
      </x:c>
      <x:c r="I2004" s="19" t="str">
        <x:v>雪菜肉末青豆</x:v>
      </x:c>
      <x:c r="J2004" s="22" t="n">
        <x:f>XLOOKUP(H2004,'菜品主数据'!$A$5:$A$24,'菜品主数据'!$D$5:$D$24,0)</x:f>
        <x:v>18</x:v>
      </x:c>
      <x:c r="K2004" s="31" t="n">
        <x:v>0</x:v>
      </x:c>
      <x:c r="L2004" s="35" t="n">
        <x:f>J2004*K2004</x:f>
        <x:v>0</x:v>
      </x:c>
      <x:c r="M2004" s="36" t="n">
        <x:v>0.08</x:v>
      </x:c>
      <x:c r="N2004" s="35" t="n">
        <x:f>L2004*M2004</x:f>
        <x:v>0</x:v>
      </x:c>
      <x:c r="O2004" s="37" t="n">
        <x:v>0.18</x:v>
      </x:c>
      <x:c r="P2004" s="35" t="n">
        <x:f>L2004*O2004</x:f>
        <x:v>0</x:v>
      </x:c>
      <x:c r="Q2004" s="35" t="n">
        <x:v>1.2</x:v>
      </x:c>
      <x:c r="R2004" s="35" t="n">
        <x:f>K2004*Q2004</x:f>
        <x:v>0</x:v>
      </x:c>
      <x:c r="S2004" s="35" t="n">
        <x:f>XLOOKUP(H2004,'菜品主数据'!$A$5:$A$24,'菜品主数据'!$G$5:$G$24,0)</x:f>
        <x:v>7.303999999999999</x:v>
      </x:c>
      <x:c r="T2004" s="35" t="n">
        <x:f>K2004*S2004</x:f>
        <x:v>0</x:v>
      </x:c>
      <x:c r="U2004" s="35" t="n">
        <x:f>L2004-N2004-P2004-R2004-T2004</x:f>
        <x:v>0</x:v>
      </x:c>
      <x:c r="V2004" s="21" t="n">
        <x:f>IFERROR(U2004/L2004,0)</x:f>
        <x:v>0</x:v>
      </x:c>
    </x:row>
    <x:row r="2005">
      <x:c r="A2005" s="19" t="str">
        <x:v>SALE-02001</x:v>
      </x:c>
      <x:c r="B2005" s="34" t="n">
        <x:v>46211.5</x:v>
      </x:c>
      <x:c r="C2005" s="19" t="str">
        <x:v>周三</x:v>
      </x:c>
      <x:c r="D2005" s="19" t="str">
        <x:v>S08</x:v>
      </x:c>
      <x:c r="E2005" s="19" t="str">
        <x:v>四季青店</x:v>
      </x:c>
      <x:c r="F2005" s="19" t="str">
        <x:v>堂食</x:v>
      </x:c>
      <x:c r="G2005" s="19" t="str">
        <x:v>全日</x:v>
      </x:c>
      <x:c r="H2005" s="19" t="str">
        <x:v>D01</x:v>
      </x:c>
      <x:c r="I2005" s="19" t="str">
        <x:v>辣椒炒肉</x:v>
      </x:c>
      <x:c r="J2005" s="22" t="n">
        <x:f>XLOOKUP(H2005,'菜品主数据'!$A$5:$A$24,'菜品主数据'!$D$5:$D$24,0)</x:f>
        <x:v>29</x:v>
      </x:c>
      <x:c r="K2005" s="31" t="n">
        <x:v>37</x:v>
      </x:c>
      <x:c r="L2005" s="35" t="n">
        <x:f>J2005*K2005</x:f>
        <x:v>1073</x:v>
      </x:c>
      <x:c r="M2005" s="36" t="n">
        <x:v>0</x:v>
      </x:c>
      <x:c r="N2005" s="35" t="n">
        <x:f>L2005*M2005</x:f>
        <x:v>0</x:v>
      </x:c>
      <x:c r="O2005" s="37" t="n">
        <x:v>0</x:v>
      </x:c>
      <x:c r="P2005" s="35" t="n">
        <x:f>L2005*O2005</x:f>
        <x:v>0</x:v>
      </x:c>
      <x:c r="Q2005" s="35" t="n">
        <x:v>0</x:v>
      </x:c>
      <x:c r="R2005" s="35" t="n">
        <x:f>K2005*Q2005</x:f>
        <x:v>0</x:v>
      </x:c>
      <x:c r="S2005" s="35" t="n">
        <x:f>XLOOKUP(H2005,'菜品主数据'!$A$5:$A$24,'菜品主数据'!$G$5:$G$24,0)</x:f>
        <x:v>8.634400000000001</x:v>
      </x:c>
      <x:c r="T2005" s="35" t="n">
        <x:f>K2005*S2005</x:f>
        <x:v>319.47280000000006</x:v>
      </x:c>
      <x:c r="U2005" s="35" t="n">
        <x:f>L2005-N2005-P2005-R2005-T2005</x:f>
        <x:v>753.5272</x:v>
      </x:c>
      <x:c r="V2005" s="21" t="n">
        <x:f>IFERROR(U2005/L2005,0)</x:f>
        <x:v>0.7022620689655172</x:v>
      </x:c>
    </x:row>
    <x:row r="2006">
      <x:c r="A2006" s="19" t="str">
        <x:v>SALE-02002</x:v>
      </x:c>
      <x:c r="B2006" s="34" t="n">
        <x:v>46211.5</x:v>
      </x:c>
      <x:c r="C2006" s="19" t="str">
        <x:v>周三</x:v>
      </x:c>
      <x:c r="D2006" s="19" t="str">
        <x:v>S08</x:v>
      </x:c>
      <x:c r="E2006" s="19" t="str">
        <x:v>四季青店</x:v>
      </x:c>
      <x:c r="F2006" s="19" t="str">
        <x:v>堂食</x:v>
      </x:c>
      <x:c r="G2006" s="19" t="str">
        <x:v>全日</x:v>
      </x:c>
      <x:c r="H2006" s="19" t="str">
        <x:v>D02</x:v>
      </x:c>
      <x:c r="I2006" s="19" t="str">
        <x:v>小炒黄牛肉</x:v>
      </x:c>
      <x:c r="J2006" s="22" t="n">
        <x:f>XLOOKUP(H2006,'菜品主数据'!$A$5:$A$24,'菜品主数据'!$D$5:$D$24,0)</x:f>
        <x:v>49</x:v>
      </x:c>
      <x:c r="K2006" s="31" t="n">
        <x:v>22</x:v>
      </x:c>
      <x:c r="L2006" s="35" t="n">
        <x:f>J2006*K2006</x:f>
        <x:v>1078</x:v>
      </x:c>
      <x:c r="M2006" s="36" t="n">
        <x:v>0</x:v>
      </x:c>
      <x:c r="N2006" s="35" t="n">
        <x:f>L2006*M2006</x:f>
        <x:v>0</x:v>
      </x:c>
      <x:c r="O2006" s="37" t="n">
        <x:v>0</x:v>
      </x:c>
      <x:c r="P2006" s="35" t="n">
        <x:f>L2006*O2006</x:f>
        <x:v>0</x:v>
      </x:c>
      <x:c r="Q2006" s="35" t="n">
        <x:v>0</x:v>
      </x:c>
      <x:c r="R2006" s="35" t="n">
        <x:f>K2006*Q2006</x:f>
        <x:v>0</x:v>
      </x:c>
      <x:c r="S2006" s="35" t="n">
        <x:f>XLOOKUP(H2006,'菜品主数据'!$A$5:$A$24,'菜品主数据'!$G$5:$G$24,0)</x:f>
        <x:v>17.577</x:v>
      </x:c>
      <x:c r="T2006" s="35" t="n">
        <x:f>K2006*S2006</x:f>
        <x:v>386.694</x:v>
      </x:c>
      <x:c r="U2006" s="35" t="n">
        <x:f>L2006-N2006-P2006-R2006-T2006</x:f>
        <x:v>691.306</x:v>
      </x:c>
      <x:c r="V2006" s="21" t="n">
        <x:f>IFERROR(U2006/L2006,0)</x:f>
        <x:v>0.6412857142857143</x:v>
      </x:c>
    </x:row>
    <x:row r="2007">
      <x:c r="A2007" s="19" t="str">
        <x:v>SALE-02003</x:v>
      </x:c>
      <x:c r="B2007" s="34" t="n">
        <x:v>46211.5</x:v>
      </x:c>
      <x:c r="C2007" s="19" t="str">
        <x:v>周三</x:v>
      </x:c>
      <x:c r="D2007" s="19" t="str">
        <x:v>S08</x:v>
      </x:c>
      <x:c r="E2007" s="19" t="str">
        <x:v>四季青店</x:v>
      </x:c>
      <x:c r="F2007" s="19" t="str">
        <x:v>堂食</x:v>
      </x:c>
      <x:c r="G2007" s="19" t="str">
        <x:v>全日</x:v>
      </x:c>
      <x:c r="H2007" s="19" t="str">
        <x:v>D03</x:v>
      </x:c>
      <x:c r="I2007" s="19" t="str">
        <x:v>香醋炒蛋</x:v>
      </x:c>
      <x:c r="J2007" s="22" t="n">
        <x:f>XLOOKUP(H2007,'菜品主数据'!$A$5:$A$24,'菜品主数据'!$D$5:$D$24,0)</x:f>
        <x:v>14.9</x:v>
      </x:c>
      <x:c r="K2007" s="31" t="n">
        <x:v>31</x:v>
      </x:c>
      <x:c r="L2007" s="35" t="n">
        <x:f>J2007*K2007</x:f>
        <x:v>461.90000000000003</x:v>
      </x:c>
      <x:c r="M2007" s="36" t="n">
        <x:v>0</x:v>
      </x:c>
      <x:c r="N2007" s="35" t="n">
        <x:f>L2007*M2007</x:f>
        <x:v>0</x:v>
      </x:c>
      <x:c r="O2007" s="37" t="n">
        <x:v>0</x:v>
      </x:c>
      <x:c r="P2007" s="35" t="n">
        <x:f>L2007*O2007</x:f>
        <x:v>0</x:v>
      </x:c>
      <x:c r="Q2007" s="35" t="n">
        <x:v>0</x:v>
      </x:c>
      <x:c r="R2007" s="35" t="n">
        <x:f>K2007*Q2007</x:f>
        <x:v>0</x:v>
      </x:c>
      <x:c r="S2007" s="35" t="n">
        <x:f>XLOOKUP(H2007,'菜品主数据'!$A$5:$A$24,'菜品主数据'!$G$5:$G$24,0)</x:f>
        <x:v>3.7459999999999996</x:v>
      </x:c>
      <x:c r="T2007" s="35" t="n">
        <x:f>K2007*S2007</x:f>
        <x:v>116.12599999999999</x:v>
      </x:c>
      <x:c r="U2007" s="35" t="n">
        <x:f>L2007-N2007-P2007-R2007-T2007</x:f>
        <x:v>345.77400000000006</x:v>
      </x:c>
      <x:c r="V2007" s="21" t="n">
        <x:f>IFERROR(U2007/L2007,0)</x:f>
        <x:v>0.7485906040268457</x:v>
      </x:c>
    </x:row>
    <x:row r="2008">
      <x:c r="A2008" s="19" t="str">
        <x:v>SALE-02004</x:v>
      </x:c>
      <x:c r="B2008" s="34" t="n">
        <x:v>46211.5</x:v>
      </x:c>
      <x:c r="C2008" s="19" t="str">
        <x:v>周三</x:v>
      </x:c>
      <x:c r="D2008" s="19" t="str">
        <x:v>S08</x:v>
      </x:c>
      <x:c r="E2008" s="19" t="str">
        <x:v>四季青店</x:v>
      </x:c>
      <x:c r="F2008" s="19" t="str">
        <x:v>堂食</x:v>
      </x:c>
      <x:c r="G2008" s="19" t="str">
        <x:v>全日</x:v>
      </x:c>
      <x:c r="H2008" s="19" t="str">
        <x:v>D04</x:v>
      </x:c>
      <x:c r="I2008" s="19" t="str">
        <x:v>酸包菜炒粉皮</x:v>
      </x:c>
      <x:c r="J2008" s="22" t="n">
        <x:f>XLOOKUP(H2008,'菜品主数据'!$A$5:$A$24,'菜品主数据'!$D$5:$D$24,0)</x:f>
        <x:v>16</x:v>
      </x:c>
      <x:c r="K2008" s="31" t="n">
        <x:v>26</x:v>
      </x:c>
      <x:c r="L2008" s="35" t="n">
        <x:f>J2008*K2008</x:f>
        <x:v>416</x:v>
      </x:c>
      <x:c r="M2008" s="36" t="n">
        <x:v>0</x:v>
      </x:c>
      <x:c r="N2008" s="35" t="n">
        <x:f>L2008*M2008</x:f>
        <x:v>0</x:v>
      </x:c>
      <x:c r="O2008" s="37" t="n">
        <x:v>0</x:v>
      </x:c>
      <x:c r="P2008" s="35" t="n">
        <x:f>L2008*O2008</x:f>
        <x:v>0</x:v>
      </x:c>
      <x:c r="Q2008" s="35" t="n">
        <x:v>0</x:v>
      </x:c>
      <x:c r="R2008" s="35" t="n">
        <x:f>K2008*Q2008</x:f>
        <x:v>0</x:v>
      </x:c>
      <x:c r="S2008" s="35" t="n">
        <x:f>XLOOKUP(H2008,'菜品主数据'!$A$5:$A$24,'菜品主数据'!$G$5:$G$24,0)</x:f>
        <x:v>3.978</x:v>
      </x:c>
      <x:c r="T2008" s="35" t="n">
        <x:f>K2008*S2008</x:f>
        <x:v>103.42800000000001</x:v>
      </x:c>
      <x:c r="U2008" s="35" t="n">
        <x:f>L2008-N2008-P2008-R2008-T2008</x:f>
        <x:v>312.572</x:v>
      </x:c>
      <x:c r="V2008" s="21" t="n">
        <x:f>IFERROR(U2008/L2008,0)</x:f>
        <x:v>0.751375</x:v>
      </x:c>
    </x:row>
    <x:row r="2009">
      <x:c r="A2009" s="19" t="str">
        <x:v>SALE-02005</x:v>
      </x:c>
      <x:c r="B2009" s="34" t="n">
        <x:v>46211.5</x:v>
      </x:c>
      <x:c r="C2009" s="19" t="str">
        <x:v>周三</x:v>
      </x:c>
      <x:c r="D2009" s="19" t="str">
        <x:v>S08</x:v>
      </x:c>
      <x:c r="E2009" s="19" t="str">
        <x:v>四季青店</x:v>
      </x:c>
      <x:c r="F2009" s="19" t="str">
        <x:v>堂食</x:v>
      </x:c>
      <x:c r="G2009" s="19" t="str">
        <x:v>全日</x:v>
      </x:c>
      <x:c r="H2009" s="19" t="str">
        <x:v>D05</x:v>
      </x:c>
      <x:c r="I2009" s="19" t="str">
        <x:v>麻婆豆腐</x:v>
      </x:c>
      <x:c r="J2009" s="22" t="n">
        <x:f>XLOOKUP(H2009,'菜品主数据'!$A$5:$A$24,'菜品主数据'!$D$5:$D$24,0)</x:f>
        <x:v>9.9</x:v>
      </x:c>
      <x:c r="K2009" s="31" t="n">
        <x:v>42</x:v>
      </x:c>
      <x:c r="L2009" s="35" t="n">
        <x:f>J2009*K2009</x:f>
        <x:v>415.8</x:v>
      </x:c>
      <x:c r="M2009" s="36" t="n">
        <x:v>0</x:v>
      </x:c>
      <x:c r="N2009" s="35" t="n">
        <x:f>L2009*M2009</x:f>
        <x:v>0</x:v>
      </x:c>
      <x:c r="O2009" s="37" t="n">
        <x:v>0</x:v>
      </x:c>
      <x:c r="P2009" s="35" t="n">
        <x:f>L2009*O2009</x:f>
        <x:v>0</x:v>
      </x:c>
      <x:c r="Q2009" s="35" t="n">
        <x:v>0</x:v>
      </x:c>
      <x:c r="R2009" s="35" t="n">
        <x:f>K2009*Q2009</x:f>
        <x:v>0</x:v>
      </x:c>
      <x:c r="S2009" s="35" t="n">
        <x:f>XLOOKUP(H2009,'菜品主数据'!$A$5:$A$24,'菜品主数据'!$G$5:$G$24,0)</x:f>
        <x:v>5.367000000000001</x:v>
      </x:c>
      <x:c r="T2009" s="35" t="n">
        <x:f>K2009*S2009</x:f>
        <x:v>225.41400000000004</x:v>
      </x:c>
      <x:c r="U2009" s="35" t="n">
        <x:f>L2009-N2009-P2009-R2009-T2009</x:f>
        <x:v>190.38599999999997</x:v>
      </x:c>
      <x:c r="V2009" s="21" t="n">
        <x:f>IFERROR(U2009/L2009,0)</x:f>
        <x:v>0.4578787878787878</x:v>
      </x:c>
    </x:row>
    <x:row r="2010">
      <x:c r="A2010" s="19" t="str">
        <x:v>SALE-02006</x:v>
      </x:c>
      <x:c r="B2010" s="34" t="n">
        <x:v>46211.5</x:v>
      </x:c>
      <x:c r="C2010" s="19" t="str">
        <x:v>周三</x:v>
      </x:c>
      <x:c r="D2010" s="19" t="str">
        <x:v>S08</x:v>
      </x:c>
      <x:c r="E2010" s="19" t="str">
        <x:v>四季青店</x:v>
      </x:c>
      <x:c r="F2010" s="19" t="str">
        <x:v>堂食</x:v>
      </x:c>
      <x:c r="G2010" s="19" t="str">
        <x:v>全日</x:v>
      </x:c>
      <x:c r="H2010" s="19" t="str">
        <x:v>D06</x:v>
      </x:c>
      <x:c r="I2010" s="19" t="str">
        <x:v>剁椒鱼头</x:v>
      </x:c>
      <x:c r="J2010" s="22" t="n">
        <x:f>XLOOKUP(H2010,'菜品主数据'!$A$5:$A$24,'菜品主数据'!$D$5:$D$24,0)</x:f>
        <x:v>39</x:v>
      </x:c>
      <x:c r="K2010" s="31" t="n">
        <x:v>9</x:v>
      </x:c>
      <x:c r="L2010" s="35" t="n">
        <x:f>J2010*K2010</x:f>
        <x:v>351</x:v>
      </x:c>
      <x:c r="M2010" s="36" t="n">
        <x:v>0</x:v>
      </x:c>
      <x:c r="N2010" s="35" t="n">
        <x:f>L2010*M2010</x:f>
        <x:v>0</x:v>
      </x:c>
      <x:c r="O2010" s="37" t="n">
        <x:v>0</x:v>
      </x:c>
      <x:c r="P2010" s="35" t="n">
        <x:f>L2010*O2010</x:f>
        <x:v>0</x:v>
      </x:c>
      <x:c r="Q2010" s="35" t="n">
        <x:v>0</x:v>
      </x:c>
      <x:c r="R2010" s="35" t="n">
        <x:f>K2010*Q2010</x:f>
        <x:v>0</x:v>
      </x:c>
      <x:c r="S2010" s="35" t="n">
        <x:f>XLOOKUP(H2010,'菜品主数据'!$A$5:$A$24,'菜品主数据'!$G$5:$G$24,0)</x:f>
        <x:v>17.446</x:v>
      </x:c>
      <x:c r="T2010" s="35" t="n">
        <x:f>K2010*S2010</x:f>
        <x:v>157.014</x:v>
      </x:c>
      <x:c r="U2010" s="35" t="n">
        <x:f>L2010-N2010-P2010-R2010-T2010</x:f>
        <x:v>193.986</x:v>
      </x:c>
      <x:c r="V2010" s="21" t="n">
        <x:f>IFERROR(U2010/L2010,0)</x:f>
        <x:v>0.5526666666666666</x:v>
      </x:c>
    </x:row>
    <x:row r="2011">
      <x:c r="A2011" s="19" t="str">
        <x:v>SALE-02007</x:v>
      </x:c>
      <x:c r="B2011" s="34" t="n">
        <x:v>46211.5</x:v>
      </x:c>
      <x:c r="C2011" s="19" t="str">
        <x:v>周三</x:v>
      </x:c>
      <x:c r="D2011" s="19" t="str">
        <x:v>S08</x:v>
      </x:c>
      <x:c r="E2011" s="19" t="str">
        <x:v>四季青店</x:v>
      </x:c>
      <x:c r="F2011" s="19" t="str">
        <x:v>堂食</x:v>
      </x:c>
      <x:c r="G2011" s="19" t="str">
        <x:v>全日</x:v>
      </x:c>
      <x:c r="H2011" s="19" t="str">
        <x:v>D07</x:v>
      </x:c>
      <x:c r="I2011" s="19" t="str">
        <x:v>川味回锅肉</x:v>
      </x:c>
      <x:c r="J2011" s="22" t="n">
        <x:f>XLOOKUP(H2011,'菜品主数据'!$A$5:$A$24,'菜品主数据'!$D$5:$D$24,0)</x:f>
        <x:v>29</x:v>
      </x:c>
      <x:c r="K2011" s="31" t="n">
        <x:v>13</x:v>
      </x:c>
      <x:c r="L2011" s="35" t="n">
        <x:f>J2011*K2011</x:f>
        <x:v>377</x:v>
      </x:c>
      <x:c r="M2011" s="36" t="n">
        <x:v>0</x:v>
      </x:c>
      <x:c r="N2011" s="35" t="n">
        <x:f>L2011*M2011</x:f>
        <x:v>0</x:v>
      </x:c>
      <x:c r="O2011" s="37" t="n">
        <x:v>0</x:v>
      </x:c>
      <x:c r="P2011" s="35" t="n">
        <x:f>L2011*O2011</x:f>
        <x:v>0</x:v>
      </x:c>
      <x:c r="Q2011" s="35" t="n">
        <x:v>0</x:v>
      </x:c>
      <x:c r="R2011" s="35" t="n">
        <x:f>K2011*Q2011</x:f>
        <x:v>0</x:v>
      </x:c>
      <x:c r="S2011" s="35" t="n">
        <x:f>XLOOKUP(H2011,'菜品主数据'!$A$5:$A$24,'菜品主数据'!$G$5:$G$24,0)</x:f>
        <x:v>10.231000000000002</x:v>
      </x:c>
      <x:c r="T2011" s="35" t="n">
        <x:f>K2011*S2011</x:f>
        <x:v>133.00300000000001</x:v>
      </x:c>
      <x:c r="U2011" s="35" t="n">
        <x:f>L2011-N2011-P2011-R2011-T2011</x:f>
        <x:v>243.99699999999999</x:v>
      </x:c>
      <x:c r="V2011" s="21" t="n">
        <x:f>IFERROR(U2011/L2011,0)</x:f>
        <x:v>0.6472068965517241</x:v>
      </x:c>
    </x:row>
    <x:row r="2012">
      <x:c r="A2012" s="19" t="str">
        <x:v>SALE-02008</x:v>
      </x:c>
      <x:c r="B2012" s="34" t="n">
        <x:v>46211.5</x:v>
      </x:c>
      <x:c r="C2012" s="19" t="str">
        <x:v>周三</x:v>
      </x:c>
      <x:c r="D2012" s="19" t="str">
        <x:v>S08</x:v>
      </x:c>
      <x:c r="E2012" s="19" t="str">
        <x:v>四季青店</x:v>
      </x:c>
      <x:c r="F2012" s="19" t="str">
        <x:v>堂食</x:v>
      </x:c>
      <x:c r="G2012" s="19" t="str">
        <x:v>全日</x:v>
      </x:c>
      <x:c r="H2012" s="19" t="str">
        <x:v>D08</x:v>
      </x:c>
      <x:c r="I2012" s="19" t="str">
        <x:v>生炒清远鸡</x:v>
      </x:c>
      <x:c r="J2012" s="22" t="n">
        <x:f>XLOOKUP(H2012,'菜品主数据'!$A$5:$A$24,'菜品主数据'!$D$5:$D$24,0)</x:f>
        <x:v>36</x:v>
      </x:c>
      <x:c r="K2012" s="31" t="n">
        <x:v>8</x:v>
      </x:c>
      <x:c r="L2012" s="35" t="n">
        <x:f>J2012*K2012</x:f>
        <x:v>288</x:v>
      </x:c>
      <x:c r="M2012" s="36" t="n">
        <x:v>0</x:v>
      </x:c>
      <x:c r="N2012" s="35" t="n">
        <x:f>L2012*M2012</x:f>
        <x:v>0</x:v>
      </x:c>
      <x:c r="O2012" s="37" t="n">
        <x:v>0</x:v>
      </x:c>
      <x:c r="P2012" s="35" t="n">
        <x:f>L2012*O2012</x:f>
        <x:v>0</x:v>
      </x:c>
      <x:c r="Q2012" s="35" t="n">
        <x:v>0</x:v>
      </x:c>
      <x:c r="R2012" s="35" t="n">
        <x:f>K2012*Q2012</x:f>
        <x:v>0</x:v>
      </x:c>
      <x:c r="S2012" s="35" t="n">
        <x:f>XLOOKUP(H2012,'菜品主数据'!$A$5:$A$24,'菜品主数据'!$G$5:$G$24,0)</x:f>
        <x:v>13.48</x:v>
      </x:c>
      <x:c r="T2012" s="35" t="n">
        <x:f>K2012*S2012</x:f>
        <x:v>107.84</x:v>
      </x:c>
      <x:c r="U2012" s="35" t="n">
        <x:f>L2012-N2012-P2012-R2012-T2012</x:f>
        <x:v>180.16</x:v>
      </x:c>
      <x:c r="V2012" s="21" t="n">
        <x:f>IFERROR(U2012/L2012,0)</x:f>
        <x:v>0.6255555555555555</x:v>
      </x:c>
    </x:row>
    <x:row r="2013">
      <x:c r="A2013" s="19" t="str">
        <x:v>SALE-02009</x:v>
      </x:c>
      <x:c r="B2013" s="34" t="n">
        <x:v>46211.5</x:v>
      </x:c>
      <x:c r="C2013" s="19" t="str">
        <x:v>周三</x:v>
      </x:c>
      <x:c r="D2013" s="19" t="str">
        <x:v>S08</x:v>
      </x:c>
      <x:c r="E2013" s="19" t="str">
        <x:v>四季青店</x:v>
      </x:c>
      <x:c r="F2013" s="19" t="str">
        <x:v>堂食</x:v>
      </x:c>
      <x:c r="G2013" s="19" t="str">
        <x:v>全日</x:v>
      </x:c>
      <x:c r="H2013" s="19" t="str">
        <x:v>D09</x:v>
      </x:c>
      <x:c r="I2013" s="19" t="str">
        <x:v>炒豆干</x:v>
      </x:c>
      <x:c r="J2013" s="22" t="n">
        <x:f>XLOOKUP(H2013,'菜品主数据'!$A$5:$A$24,'菜品主数据'!$D$5:$D$24,0)</x:f>
        <x:v>18</x:v>
      </x:c>
      <x:c r="K2013" s="31" t="n">
        <x:v>13</x:v>
      </x:c>
      <x:c r="L2013" s="35" t="n">
        <x:f>J2013*K2013</x:f>
        <x:v>234</x:v>
      </x:c>
      <x:c r="M2013" s="36" t="n">
        <x:v>0</x:v>
      </x:c>
      <x:c r="N2013" s="35" t="n">
        <x:f>L2013*M2013</x:f>
        <x:v>0</x:v>
      </x:c>
      <x:c r="O2013" s="37" t="n">
        <x:v>0</x:v>
      </x:c>
      <x:c r="P2013" s="35" t="n">
        <x:f>L2013*O2013</x:f>
        <x:v>0</x:v>
      </x:c>
      <x:c r="Q2013" s="35" t="n">
        <x:v>0</x:v>
      </x:c>
      <x:c r="R2013" s="35" t="n">
        <x:f>K2013*Q2013</x:f>
        <x:v>0</x:v>
      </x:c>
      <x:c r="S2013" s="35" t="n">
        <x:f>XLOOKUP(H2013,'菜品主数据'!$A$5:$A$24,'菜品主数据'!$G$5:$G$24,0)</x:f>
        <x:v>6.613999999999999</x:v>
      </x:c>
      <x:c r="T2013" s="35" t="n">
        <x:f>K2013*S2013</x:f>
        <x:v>85.98199999999999</x:v>
      </x:c>
      <x:c r="U2013" s="35" t="n">
        <x:f>L2013-N2013-P2013-R2013-T2013</x:f>
        <x:v>148.01800000000003</x:v>
      </x:c>
      <x:c r="V2013" s="21" t="n">
        <x:f>IFERROR(U2013/L2013,0)</x:f>
        <x:v>0.6325555555555556</x:v>
      </x:c>
    </x:row>
    <x:row r="2014">
      <x:c r="A2014" s="19" t="str">
        <x:v>SALE-02010</x:v>
      </x:c>
      <x:c r="B2014" s="34" t="n">
        <x:v>46211.5</x:v>
      </x:c>
      <x:c r="C2014" s="19" t="str">
        <x:v>周三</x:v>
      </x:c>
      <x:c r="D2014" s="19" t="str">
        <x:v>S08</x:v>
      </x:c>
      <x:c r="E2014" s="19" t="str">
        <x:v>四季青店</x:v>
      </x:c>
      <x:c r="F2014" s="19" t="str">
        <x:v>堂食</x:v>
      </x:c>
      <x:c r="G2014" s="19" t="str">
        <x:v>全日</x:v>
      </x:c>
      <x:c r="H2014" s="19" t="str">
        <x:v>D10</x:v>
      </x:c>
      <x:c r="I2014" s="19" t="str">
        <x:v>农家一碗香</x:v>
      </x:c>
      <x:c r="J2014" s="22" t="n">
        <x:f>XLOOKUP(H2014,'菜品主数据'!$A$5:$A$24,'菜品主数据'!$D$5:$D$24,0)</x:f>
        <x:v>22.9</x:v>
      </x:c>
      <x:c r="K2014" s="31" t="n">
        <x:v>16</x:v>
      </x:c>
      <x:c r="L2014" s="35" t="n">
        <x:f>J2014*K2014</x:f>
        <x:v>366.4</x:v>
      </x:c>
      <x:c r="M2014" s="36" t="n">
        <x:v>0</x:v>
      </x:c>
      <x:c r="N2014" s="35" t="n">
        <x:f>L2014*M2014</x:f>
        <x:v>0</x:v>
      </x:c>
      <x:c r="O2014" s="37" t="n">
        <x:v>0</x:v>
      </x:c>
      <x:c r="P2014" s="35" t="n">
        <x:f>L2014*O2014</x:f>
        <x:v>0</x:v>
      </x:c>
      <x:c r="Q2014" s="35" t="n">
        <x:v>0</x:v>
      </x:c>
      <x:c r="R2014" s="35" t="n">
        <x:f>K2014*Q2014</x:f>
        <x:v>0</x:v>
      </x:c>
      <x:c r="S2014" s="35" t="n">
        <x:f>XLOOKUP(H2014,'菜品主数据'!$A$5:$A$24,'菜品主数据'!$G$5:$G$24,0)</x:f>
        <x:v>9.770200000000003</x:v>
      </x:c>
      <x:c r="T2014" s="35" t="n">
        <x:f>K2014*S2014</x:f>
        <x:v>156.32320000000004</x:v>
      </x:c>
      <x:c r="U2014" s="35" t="n">
        <x:f>L2014-N2014-P2014-R2014-T2014</x:f>
        <x:v>210.07679999999993</x:v>
      </x:c>
      <x:c r="V2014" s="21" t="n">
        <x:f>IFERROR(U2014/L2014,0)</x:f>
        <x:v>0.5733537117903929</x:v>
      </x:c>
    </x:row>
    <x:row r="2015">
      <x:c r="A2015" s="19" t="str">
        <x:v>SALE-02011</x:v>
      </x:c>
      <x:c r="B2015" s="34" t="n">
        <x:v>46211.5</x:v>
      </x:c>
      <x:c r="C2015" s="19" t="str">
        <x:v>周三</x:v>
      </x:c>
      <x:c r="D2015" s="19" t="str">
        <x:v>S08</x:v>
      </x:c>
      <x:c r="E2015" s="19" t="str">
        <x:v>四季青店</x:v>
      </x:c>
      <x:c r="F2015" s="19" t="str">
        <x:v>堂食</x:v>
      </x:c>
      <x:c r="G2015" s="19" t="str">
        <x:v>全日</x:v>
      </x:c>
      <x:c r="H2015" s="19" t="str">
        <x:v>D11</x:v>
      </x:c>
      <x:c r="I2015" s="19" t="str">
        <x:v>香辣爆肥肠</x:v>
      </x:c>
      <x:c r="J2015" s="22" t="n">
        <x:f>XLOOKUP(H2015,'菜品主数据'!$A$5:$A$24,'菜品主数据'!$D$5:$D$24,0)</x:f>
        <x:v>39</x:v>
      </x:c>
      <x:c r="K2015" s="31" t="n">
        <x:v>5</x:v>
      </x:c>
      <x:c r="L2015" s="35" t="n">
        <x:f>J2015*K2015</x:f>
        <x:v>195</x:v>
      </x:c>
      <x:c r="M2015" s="36" t="n">
        <x:v>0</x:v>
      </x:c>
      <x:c r="N2015" s="35" t="n">
        <x:f>L2015*M2015</x:f>
        <x:v>0</x:v>
      </x:c>
      <x:c r="O2015" s="37" t="n">
        <x:v>0</x:v>
      </x:c>
      <x:c r="P2015" s="35" t="n">
        <x:f>L2015*O2015</x:f>
        <x:v>0</x:v>
      </x:c>
      <x:c r="Q2015" s="35" t="n">
        <x:v>0</x:v>
      </x:c>
      <x:c r="R2015" s="35" t="n">
        <x:f>K2015*Q2015</x:f>
        <x:v>0</x:v>
      </x:c>
      <x:c r="S2015" s="35" t="n">
        <x:f>XLOOKUP(H2015,'菜品主数据'!$A$5:$A$24,'菜品主数据'!$G$5:$G$24,0)</x:f>
        <x:v>10.397</x:v>
      </x:c>
      <x:c r="T2015" s="35" t="n">
        <x:f>K2015*S2015</x:f>
        <x:v>51.985</x:v>
      </x:c>
      <x:c r="U2015" s="35" t="n">
        <x:f>L2015-N2015-P2015-R2015-T2015</x:f>
        <x:v>143.015</x:v>
      </x:c>
      <x:c r="V2015" s="21" t="n">
        <x:f>IFERROR(U2015/L2015,0)</x:f>
        <x:v>0.7334102564102564</x:v>
      </x:c>
    </x:row>
    <x:row r="2016">
      <x:c r="A2016" s="19" t="str">
        <x:v>SALE-02012</x:v>
      </x:c>
      <x:c r="B2016" s="34" t="n">
        <x:v>46211.5</x:v>
      </x:c>
      <x:c r="C2016" s="19" t="str">
        <x:v>周三</x:v>
      </x:c>
      <x:c r="D2016" s="19" t="str">
        <x:v>S08</x:v>
      </x:c>
      <x:c r="E2016" s="19" t="str">
        <x:v>四季青店</x:v>
      </x:c>
      <x:c r="F2016" s="19" t="str">
        <x:v>堂食</x:v>
      </x:c>
      <x:c r="G2016" s="19" t="str">
        <x:v>全日</x:v>
      </x:c>
      <x:c r="H2016" s="19" t="str">
        <x:v>D12</x:v>
      </x:c>
      <x:c r="I2016" s="19" t="str">
        <x:v>清蒸鲈鱼</x:v>
      </x:c>
      <x:c r="J2016" s="22" t="n">
        <x:f>XLOOKUP(H2016,'菜品主数据'!$A$5:$A$24,'菜品主数据'!$D$5:$D$24,0)</x:f>
        <x:v>39</x:v>
      </x:c>
      <x:c r="K2016" s="31" t="n">
        <x:v>5</x:v>
      </x:c>
      <x:c r="L2016" s="35" t="n">
        <x:f>J2016*K2016</x:f>
        <x:v>195</x:v>
      </x:c>
      <x:c r="M2016" s="36" t="n">
        <x:v>0</x:v>
      </x:c>
      <x:c r="N2016" s="35" t="n">
        <x:f>L2016*M2016</x:f>
        <x:v>0</x:v>
      </x:c>
      <x:c r="O2016" s="37" t="n">
        <x:v>0</x:v>
      </x:c>
      <x:c r="P2016" s="35" t="n">
        <x:f>L2016*O2016</x:f>
        <x:v>0</x:v>
      </x:c>
      <x:c r="Q2016" s="35" t="n">
        <x:v>0</x:v>
      </x:c>
      <x:c r="R2016" s="35" t="n">
        <x:f>K2016*Q2016</x:f>
        <x:v>0</x:v>
      </x:c>
      <x:c r="S2016" s="35" t="n">
        <x:f>XLOOKUP(H2016,'菜品主数据'!$A$5:$A$24,'菜品主数据'!$G$5:$G$24,0)</x:f>
        <x:v>18.874</x:v>
      </x:c>
      <x:c r="T2016" s="35" t="n">
        <x:f>K2016*S2016</x:f>
        <x:v>94.36999999999999</x:v>
      </x:c>
      <x:c r="U2016" s="35" t="n">
        <x:f>L2016-N2016-P2016-R2016-T2016</x:f>
        <x:v>100.63000000000001</x:v>
      </x:c>
      <x:c r="V2016" s="21" t="n">
        <x:f>IFERROR(U2016/L2016,0)</x:f>
        <x:v>0.5160512820512821</x:v>
      </x:c>
    </x:row>
    <x:row r="2017">
      <x:c r="A2017" s="19" t="str">
        <x:v>SALE-02013</x:v>
      </x:c>
      <x:c r="B2017" s="34" t="n">
        <x:v>46211.5</x:v>
      </x:c>
      <x:c r="C2017" s="19" t="str">
        <x:v>周三</x:v>
      </x:c>
      <x:c r="D2017" s="19" t="str">
        <x:v>S08</x:v>
      </x:c>
      <x:c r="E2017" s="19" t="str">
        <x:v>四季青店</x:v>
      </x:c>
      <x:c r="F2017" s="19" t="str">
        <x:v>堂食</x:v>
      </x:c>
      <x:c r="G2017" s="19" t="str">
        <x:v>全日</x:v>
      </x:c>
      <x:c r="H2017" s="19" t="str">
        <x:v>D13</x:v>
      </x:c>
      <x:c r="I2017" s="19" t="str">
        <x:v>外婆菜炒蛋</x:v>
      </x:c>
      <x:c r="J2017" s="22" t="n">
        <x:f>XLOOKUP(H2017,'菜品主数据'!$A$5:$A$24,'菜品主数据'!$D$5:$D$24,0)</x:f>
        <x:v>18</x:v>
      </x:c>
      <x:c r="K2017" s="31" t="n">
        <x:v>13</x:v>
      </x:c>
      <x:c r="L2017" s="35" t="n">
        <x:f>J2017*K2017</x:f>
        <x:v>234</x:v>
      </x:c>
      <x:c r="M2017" s="36" t="n">
        <x:v>0</x:v>
      </x:c>
      <x:c r="N2017" s="35" t="n">
        <x:f>L2017*M2017</x:f>
        <x:v>0</x:v>
      </x:c>
      <x:c r="O2017" s="37" t="n">
        <x:v>0</x:v>
      </x:c>
      <x:c r="P2017" s="35" t="n">
        <x:f>L2017*O2017</x:f>
        <x:v>0</x:v>
      </x:c>
      <x:c r="Q2017" s="35" t="n">
        <x:v>0</x:v>
      </x:c>
      <x:c r="R2017" s="35" t="n">
        <x:f>K2017*Q2017</x:f>
        <x:v>0</x:v>
      </x:c>
      <x:c r="S2017" s="35" t="n">
        <x:f>XLOOKUP(H2017,'菜品主数据'!$A$5:$A$24,'菜品主数据'!$G$5:$G$24,0)</x:f>
        <x:v>5.403999999999999</x:v>
      </x:c>
      <x:c r="T2017" s="35" t="n">
        <x:f>K2017*S2017</x:f>
        <x:v>70.25199999999998</x:v>
      </x:c>
      <x:c r="U2017" s="35" t="n">
        <x:f>L2017-N2017-P2017-R2017-T2017</x:f>
        <x:v>163.74800000000002</x:v>
      </x:c>
      <x:c r="V2017" s="21" t="n">
        <x:f>IFERROR(U2017/L2017,0)</x:f>
        <x:v>0.6997777777777778</x:v>
      </x:c>
    </x:row>
    <x:row r="2018">
      <x:c r="A2018" s="19" t="str">
        <x:v>SALE-02014</x:v>
      </x:c>
      <x:c r="B2018" s="34" t="n">
        <x:v>46211.5</x:v>
      </x:c>
      <x:c r="C2018" s="19" t="str">
        <x:v>周三</x:v>
      </x:c>
      <x:c r="D2018" s="19" t="str">
        <x:v>S08</x:v>
      </x:c>
      <x:c r="E2018" s="19" t="str">
        <x:v>四季青店</x:v>
      </x:c>
      <x:c r="F2018" s="19" t="str">
        <x:v>堂食</x:v>
      </x:c>
      <x:c r="G2018" s="19" t="str">
        <x:v>全日</x:v>
      </x:c>
      <x:c r="H2018" s="19" t="str">
        <x:v>D14</x:v>
      </x:c>
      <x:c r="I2018" s="19" t="str">
        <x:v>酸辣鸡杂</x:v>
      </x:c>
      <x:c r="J2018" s="22" t="n">
        <x:f>XLOOKUP(H2018,'菜品主数据'!$A$5:$A$24,'菜品主数据'!$D$5:$D$24,0)</x:f>
        <x:v>28</x:v>
      </x:c>
      <x:c r="K2018" s="31" t="n">
        <x:v>6</x:v>
      </x:c>
      <x:c r="L2018" s="35" t="n">
        <x:f>J2018*K2018</x:f>
        <x:v>168</x:v>
      </x:c>
      <x:c r="M2018" s="36" t="n">
        <x:v>0</x:v>
      </x:c>
      <x:c r="N2018" s="35" t="n">
        <x:f>L2018*M2018</x:f>
        <x:v>0</x:v>
      </x:c>
      <x:c r="O2018" s="37" t="n">
        <x:v>0</x:v>
      </x:c>
      <x:c r="P2018" s="35" t="n">
        <x:f>L2018*O2018</x:f>
        <x:v>0</x:v>
      </x:c>
      <x:c r="Q2018" s="35" t="n">
        <x:v>0</x:v>
      </x:c>
      <x:c r="R2018" s="35" t="n">
        <x:f>K2018*Q2018</x:f>
        <x:v>0</x:v>
      </x:c>
      <x:c r="S2018" s="35" t="n">
        <x:f>XLOOKUP(H2018,'菜品主数据'!$A$5:$A$24,'菜品主数据'!$G$5:$G$24,0)</x:f>
        <x:v>8.315000000000001</x:v>
      </x:c>
      <x:c r="T2018" s="35" t="n">
        <x:f>K2018*S2018</x:f>
        <x:v>49.89000000000001</x:v>
      </x:c>
      <x:c r="U2018" s="35" t="n">
        <x:f>L2018-N2018-P2018-R2018-T2018</x:f>
        <x:v>118.10999999999999</x:v>
      </x:c>
      <x:c r="V2018" s="21" t="n">
        <x:f>IFERROR(U2018/L2018,0)</x:f>
        <x:v>0.7030357142857142</x:v>
      </x:c>
    </x:row>
    <x:row r="2019">
      <x:c r="A2019" s="19" t="str">
        <x:v>SALE-02015</x:v>
      </x:c>
      <x:c r="B2019" s="34" t="n">
        <x:v>46211.5</x:v>
      </x:c>
      <x:c r="C2019" s="19" t="str">
        <x:v>周三</x:v>
      </x:c>
      <x:c r="D2019" s="19" t="str">
        <x:v>S08</x:v>
      </x:c>
      <x:c r="E2019" s="19" t="str">
        <x:v>四季青店</x:v>
      </x:c>
      <x:c r="F2019" s="19" t="str">
        <x:v>堂食</x:v>
      </x:c>
      <x:c r="G2019" s="19" t="str">
        <x:v>全日</x:v>
      </x:c>
      <x:c r="H2019" s="19" t="str">
        <x:v>D15</x:v>
      </x:c>
      <x:c r="I2019" s="19" t="str">
        <x:v>湘西土匪猪肝</x:v>
      </x:c>
      <x:c r="J2019" s="22" t="n">
        <x:f>XLOOKUP(H2019,'菜品主数据'!$A$5:$A$24,'菜品主数据'!$D$5:$D$24,0)</x:f>
        <x:v>26</x:v>
      </x:c>
      <x:c r="K2019" s="31" t="n">
        <x:v>6</x:v>
      </x:c>
      <x:c r="L2019" s="35" t="n">
        <x:f>J2019*K2019</x:f>
        <x:v>156</x:v>
      </x:c>
      <x:c r="M2019" s="36" t="n">
        <x:v>0</x:v>
      </x:c>
      <x:c r="N2019" s="35" t="n">
        <x:f>L2019*M2019</x:f>
        <x:v>0</x:v>
      </x:c>
      <x:c r="O2019" s="37" t="n">
        <x:v>0</x:v>
      </x:c>
      <x:c r="P2019" s="35" t="n">
        <x:f>L2019*O2019</x:f>
        <x:v>0</x:v>
      </x:c>
      <x:c r="Q2019" s="35" t="n">
        <x:v>0</x:v>
      </x:c>
      <x:c r="R2019" s="35" t="n">
        <x:f>K2019*Q2019</x:f>
        <x:v>0</x:v>
      </x:c>
      <x:c r="S2019" s="35" t="n">
        <x:f>XLOOKUP(H2019,'菜品主数据'!$A$5:$A$24,'菜品主数据'!$G$5:$G$24,0)</x:f>
        <x:v>6.3759999999999994</x:v>
      </x:c>
      <x:c r="T2019" s="35" t="n">
        <x:f>K2019*S2019</x:f>
        <x:v>38.256</x:v>
      </x:c>
      <x:c r="U2019" s="35" t="n">
        <x:f>L2019-N2019-P2019-R2019-T2019</x:f>
        <x:v>117.744</x:v>
      </x:c>
      <x:c r="V2019" s="21" t="n">
        <x:f>IFERROR(U2019/L2019,0)</x:f>
        <x:v>0.7547692307692307</x:v>
      </x:c>
    </x:row>
    <x:row r="2020">
      <x:c r="A2020" s="19" t="str">
        <x:v>SALE-02016</x:v>
      </x:c>
      <x:c r="B2020" s="34" t="n">
        <x:v>46211.5</x:v>
      </x:c>
      <x:c r="C2020" s="19" t="str">
        <x:v>周三</x:v>
      </x:c>
      <x:c r="D2020" s="19" t="str">
        <x:v>S08</x:v>
      </x:c>
      <x:c r="E2020" s="19" t="str">
        <x:v>四季青店</x:v>
      </x:c>
      <x:c r="F2020" s="19" t="str">
        <x:v>堂食</x:v>
      </x:c>
      <x:c r="G2020" s="19" t="str">
        <x:v>全日</x:v>
      </x:c>
      <x:c r="H2020" s="19" t="str">
        <x:v>D16</x:v>
      </x:c>
      <x:c r="I2020" s="19" t="str">
        <x:v>小豆角炒五花</x:v>
      </x:c>
      <x:c r="J2020" s="22" t="n">
        <x:f>XLOOKUP(H2020,'菜品主数据'!$A$5:$A$24,'菜品主数据'!$D$5:$D$24,0)</x:f>
        <x:v>25</x:v>
      </x:c>
      <x:c r="K2020" s="31" t="n">
        <x:v>6</x:v>
      </x:c>
      <x:c r="L2020" s="35" t="n">
        <x:f>J2020*K2020</x:f>
        <x:v>150</x:v>
      </x:c>
      <x:c r="M2020" s="36" t="n">
        <x:v>0</x:v>
      </x:c>
      <x:c r="N2020" s="35" t="n">
        <x:f>L2020*M2020</x:f>
        <x:v>0</x:v>
      </x:c>
      <x:c r="O2020" s="37" t="n">
        <x:v>0</x:v>
      </x:c>
      <x:c r="P2020" s="35" t="n">
        <x:f>L2020*O2020</x:f>
        <x:v>0</x:v>
      </x:c>
      <x:c r="Q2020" s="35" t="n">
        <x:v>0</x:v>
      </x:c>
      <x:c r="R2020" s="35" t="n">
        <x:f>K2020*Q2020</x:f>
        <x:v>0</x:v>
      </x:c>
      <x:c r="S2020" s="35" t="n">
        <x:f>XLOOKUP(H2020,'菜品主数据'!$A$5:$A$24,'菜品主数据'!$G$5:$G$24,0)</x:f>
        <x:v>8.184</x:v>
      </x:c>
      <x:c r="T2020" s="35" t="n">
        <x:f>K2020*S2020</x:f>
        <x:v>49.104</x:v>
      </x:c>
      <x:c r="U2020" s="35" t="n">
        <x:f>L2020-N2020-P2020-R2020-T2020</x:f>
        <x:v>100.896</x:v>
      </x:c>
      <x:c r="V2020" s="21" t="n">
        <x:f>IFERROR(U2020/L2020,0)</x:f>
        <x:v>0.67264</x:v>
      </x:c>
    </x:row>
    <x:row r="2021">
      <x:c r="A2021" s="19" t="str">
        <x:v>SALE-02017</x:v>
      </x:c>
      <x:c r="B2021" s="34" t="n">
        <x:v>46211.5</x:v>
      </x:c>
      <x:c r="C2021" s="19" t="str">
        <x:v>周三</x:v>
      </x:c>
      <x:c r="D2021" s="19" t="str">
        <x:v>S08</x:v>
      </x:c>
      <x:c r="E2021" s="19" t="str">
        <x:v>四季青店</x:v>
      </x:c>
      <x:c r="F2021" s="19" t="str">
        <x:v>堂食</x:v>
      </x:c>
      <x:c r="G2021" s="19" t="str">
        <x:v>全日</x:v>
      </x:c>
      <x:c r="H2021" s="19" t="str">
        <x:v>D17</x:v>
      </x:c>
      <x:c r="I2021" s="19" t="str">
        <x:v>蒜蓉粉丝虾</x:v>
      </x:c>
      <x:c r="J2021" s="22" t="n">
        <x:f>XLOOKUP(H2021,'菜品主数据'!$A$5:$A$24,'菜品主数据'!$D$5:$D$24,0)</x:f>
        <x:v>36</x:v>
      </x:c>
      <x:c r="K2021" s="31" t="n">
        <x:v>4</x:v>
      </x:c>
      <x:c r="L2021" s="35" t="n">
        <x:f>J2021*K2021</x:f>
        <x:v>144</x:v>
      </x:c>
      <x:c r="M2021" s="36" t="n">
        <x:v>0</x:v>
      </x:c>
      <x:c r="N2021" s="35" t="n">
        <x:f>L2021*M2021</x:f>
        <x:v>0</x:v>
      </x:c>
      <x:c r="O2021" s="37" t="n">
        <x:v>0</x:v>
      </x:c>
      <x:c r="P2021" s="35" t="n">
        <x:f>L2021*O2021</x:f>
        <x:v>0</x:v>
      </x:c>
      <x:c r="Q2021" s="35" t="n">
        <x:v>0</x:v>
      </x:c>
      <x:c r="R2021" s="35" t="n">
        <x:f>K2021*Q2021</x:f>
        <x:v>0</x:v>
      </x:c>
      <x:c r="S2021" s="35" t="n">
        <x:f>XLOOKUP(H2021,'菜品主数据'!$A$5:$A$24,'菜品主数据'!$G$5:$G$24,0)</x:f>
        <x:v>13.594</x:v>
      </x:c>
      <x:c r="T2021" s="35" t="n">
        <x:f>K2021*S2021</x:f>
        <x:v>54.376</x:v>
      </x:c>
      <x:c r="U2021" s="35" t="n">
        <x:f>L2021-N2021-P2021-R2021-T2021</x:f>
        <x:v>89.624</x:v>
      </x:c>
      <x:c r="V2021" s="21" t="n">
        <x:f>IFERROR(U2021/L2021,0)</x:f>
        <x:v>0.6223888888888889</x:v>
      </x:c>
    </x:row>
    <x:row r="2022">
      <x:c r="A2022" s="19" t="str">
        <x:v>SALE-02018</x:v>
      </x:c>
      <x:c r="B2022" s="34" t="n">
        <x:v>46211.5</x:v>
      </x:c>
      <x:c r="C2022" s="19" t="str">
        <x:v>周三</x:v>
      </x:c>
      <x:c r="D2022" s="19" t="str">
        <x:v>S08</x:v>
      </x:c>
      <x:c r="E2022" s="19" t="str">
        <x:v>四季青店</x:v>
      </x:c>
      <x:c r="F2022" s="19" t="str">
        <x:v>堂食</x:v>
      </x:c>
      <x:c r="G2022" s="19" t="str">
        <x:v>全日</x:v>
      </x:c>
      <x:c r="H2022" s="19" t="str">
        <x:v>D18</x:v>
      </x:c>
      <x:c r="I2022" s="19" t="str">
        <x:v>青椒炒油麦菜</x:v>
      </x:c>
      <x:c r="J2022" s="22" t="n">
        <x:f>XLOOKUP(H2022,'菜品主数据'!$A$5:$A$24,'菜品主数据'!$D$5:$D$24,0)</x:f>
        <x:v>18</x:v>
      </x:c>
      <x:c r="K2022" s="31" t="n">
        <x:v>7</x:v>
      </x:c>
      <x:c r="L2022" s="35" t="n">
        <x:f>J2022*K2022</x:f>
        <x:v>126</x:v>
      </x:c>
      <x:c r="M2022" s="36" t="n">
        <x:v>0</x:v>
      </x:c>
      <x:c r="N2022" s="35" t="n">
        <x:f>L2022*M2022</x:f>
        <x:v>0</x:v>
      </x:c>
      <x:c r="O2022" s="37" t="n">
        <x:v>0</x:v>
      </x:c>
      <x:c r="P2022" s="35" t="n">
        <x:f>L2022*O2022</x:f>
        <x:v>0</x:v>
      </x:c>
      <x:c r="Q2022" s="35" t="n">
        <x:v>0</x:v>
      </x:c>
      <x:c r="R2022" s="35" t="n">
        <x:f>K2022*Q2022</x:f>
        <x:v>0</x:v>
      </x:c>
      <x:c r="S2022" s="35" t="n">
        <x:f>XLOOKUP(H2022,'菜品主数据'!$A$5:$A$24,'菜品主数据'!$G$5:$G$24,0)</x:f>
        <x:v>3.1759999999999993</x:v>
      </x:c>
      <x:c r="T2022" s="35" t="n">
        <x:f>K2022*S2022</x:f>
        <x:v>22.231999999999996</x:v>
      </x:c>
      <x:c r="U2022" s="35" t="n">
        <x:f>L2022-N2022-P2022-R2022-T2022</x:f>
        <x:v>103.768</x:v>
      </x:c>
      <x:c r="V2022" s="21" t="n">
        <x:f>IFERROR(U2022/L2022,0)</x:f>
        <x:v>0.8235555555555556</x:v>
      </x:c>
    </x:row>
    <x:row r="2023">
      <x:c r="A2023" s="19" t="str">
        <x:v>SALE-02019</x:v>
      </x:c>
      <x:c r="B2023" s="34" t="n">
        <x:v>46211.5</x:v>
      </x:c>
      <x:c r="C2023" s="19" t="str">
        <x:v>周三</x:v>
      </x:c>
      <x:c r="D2023" s="19" t="str">
        <x:v>S08</x:v>
      </x:c>
      <x:c r="E2023" s="19" t="str">
        <x:v>四季青店</x:v>
      </x:c>
      <x:c r="F2023" s="19" t="str">
        <x:v>堂食</x:v>
      </x:c>
      <x:c r="G2023" s="19" t="str">
        <x:v>全日</x:v>
      </x:c>
      <x:c r="H2023" s="19" t="str">
        <x:v>D19</x:v>
      </x:c>
      <x:c r="I2023" s="19" t="str">
        <x:v>酸萝卜炒鸡杂</x:v>
      </x:c>
      <x:c r="J2023" s="22" t="n">
        <x:f>XLOOKUP(H2023,'菜品主数据'!$A$5:$A$24,'菜品主数据'!$D$5:$D$24,0)</x:f>
        <x:v>25</x:v>
      </x:c>
      <x:c r="K2023" s="31" t="n">
        <x:v>5</x:v>
      </x:c>
      <x:c r="L2023" s="35" t="n">
        <x:f>J2023*K2023</x:f>
        <x:v>125</x:v>
      </x:c>
      <x:c r="M2023" s="36" t="n">
        <x:v>0</x:v>
      </x:c>
      <x:c r="N2023" s="35" t="n">
        <x:f>L2023*M2023</x:f>
        <x:v>0</x:v>
      </x:c>
      <x:c r="O2023" s="37" t="n">
        <x:v>0</x:v>
      </x:c>
      <x:c r="P2023" s="35" t="n">
        <x:f>L2023*O2023</x:f>
        <x:v>0</x:v>
      </x:c>
      <x:c r="Q2023" s="35" t="n">
        <x:v>0</x:v>
      </x:c>
      <x:c r="R2023" s="35" t="n">
        <x:f>K2023*Q2023</x:f>
        <x:v>0</x:v>
      </x:c>
      <x:c r="S2023" s="35" t="n">
        <x:f>XLOOKUP(H2023,'菜品主数据'!$A$5:$A$24,'菜品主数据'!$G$5:$G$24,0)</x:f>
        <x:v>7.9399999999999995</x:v>
      </x:c>
      <x:c r="T2023" s="35" t="n">
        <x:f>K2023*S2023</x:f>
        <x:v>39.699999999999996</x:v>
      </x:c>
      <x:c r="U2023" s="35" t="n">
        <x:f>L2023-N2023-P2023-R2023-T2023</x:f>
        <x:v>85.30000000000001</x:v>
      </x:c>
      <x:c r="V2023" s="21" t="n">
        <x:f>IFERROR(U2023/L2023,0)</x:f>
        <x:v>0.6824000000000001</x:v>
      </x:c>
    </x:row>
    <x:row r="2024">
      <x:c r="A2024" s="19" t="str">
        <x:v>SALE-02020</x:v>
      </x:c>
      <x:c r="B2024" s="34" t="n">
        <x:v>46211.5</x:v>
      </x:c>
      <x:c r="C2024" s="19" t="str">
        <x:v>周三</x:v>
      </x:c>
      <x:c r="D2024" s="19" t="str">
        <x:v>S08</x:v>
      </x:c>
      <x:c r="E2024" s="19" t="str">
        <x:v>四季青店</x:v>
      </x:c>
      <x:c r="F2024" s="19" t="str">
        <x:v>堂食</x:v>
      </x:c>
      <x:c r="G2024" s="19" t="str">
        <x:v>全日</x:v>
      </x:c>
      <x:c r="H2024" s="19" t="str">
        <x:v>D20</x:v>
      </x:c>
      <x:c r="I2024" s="19" t="str">
        <x:v>雪菜肉末青豆</x:v>
      </x:c>
      <x:c r="J2024" s="22" t="n">
        <x:f>XLOOKUP(H2024,'菜品主数据'!$A$5:$A$24,'菜品主数据'!$D$5:$D$24,0)</x:f>
        <x:v>18</x:v>
      </x:c>
      <x:c r="K2024" s="31" t="n">
        <x:v>7</x:v>
      </x:c>
      <x:c r="L2024" s="35" t="n">
        <x:f>J2024*K2024</x:f>
        <x:v>126</x:v>
      </x:c>
      <x:c r="M2024" s="36" t="n">
        <x:v>0</x:v>
      </x:c>
      <x:c r="N2024" s="35" t="n">
        <x:f>L2024*M2024</x:f>
        <x:v>0</x:v>
      </x:c>
      <x:c r="O2024" s="37" t="n">
        <x:v>0</x:v>
      </x:c>
      <x:c r="P2024" s="35" t="n">
        <x:f>L2024*O2024</x:f>
        <x:v>0</x:v>
      </x:c>
      <x:c r="Q2024" s="35" t="n">
        <x:v>0</x:v>
      </x:c>
      <x:c r="R2024" s="35" t="n">
        <x:f>K2024*Q2024</x:f>
        <x:v>0</x:v>
      </x:c>
      <x:c r="S2024" s="35" t="n">
        <x:f>XLOOKUP(H2024,'菜品主数据'!$A$5:$A$24,'菜品主数据'!$G$5:$G$24,0)</x:f>
        <x:v>7.303999999999999</x:v>
      </x:c>
      <x:c r="T2024" s="35" t="n">
        <x:f>K2024*S2024</x:f>
        <x:v>51.12799999999999</x:v>
      </x:c>
      <x:c r="U2024" s="35" t="n">
        <x:f>L2024-N2024-P2024-R2024-T2024</x:f>
        <x:v>74.87200000000001</x:v>
      </x:c>
      <x:c r="V2024" s="21" t="n">
        <x:f>IFERROR(U2024/L2024,0)</x:f>
        <x:v>0.5942222222222223</x:v>
      </x:c>
    </x:row>
    <x:row r="2025">
      <x:c r="A2025" s="19" t="str">
        <x:v>SALE-02021</x:v>
      </x:c>
      <x:c r="B2025" s="34" t="n">
        <x:v>46211.5</x:v>
      </x:c>
      <x:c r="C2025" s="19" t="str">
        <x:v>周三</x:v>
      </x:c>
      <x:c r="D2025" s="19" t="str">
        <x:v>S08</x:v>
      </x:c>
      <x:c r="E2025" s="19" t="str">
        <x:v>四季青店</x:v>
      </x:c>
      <x:c r="F2025" s="19" t="str">
        <x:v>外卖</x:v>
      </x:c>
      <x:c r="G2025" s="19" t="str">
        <x:v>全日</x:v>
      </x:c>
      <x:c r="H2025" s="19" t="str">
        <x:v>D01</x:v>
      </x:c>
      <x:c r="I2025" s="19" t="str">
        <x:v>辣椒炒肉</x:v>
      </x:c>
      <x:c r="J2025" s="22" t="n">
        <x:f>XLOOKUP(H2025,'菜品主数据'!$A$5:$A$24,'菜品主数据'!$D$5:$D$24,0)</x:f>
        <x:v>29</x:v>
      </x:c>
      <x:c r="K2025" s="31" t="n">
        <x:v>4</x:v>
      </x:c>
      <x:c r="L2025" s="35" t="n">
        <x:f>J2025*K2025</x:f>
        <x:v>116</x:v>
      </x:c>
      <x:c r="M2025" s="36" t="n">
        <x:v>0.08</x:v>
      </x:c>
      <x:c r="N2025" s="35" t="n">
        <x:f>L2025*M2025</x:f>
        <x:v>9.28</x:v>
      </x:c>
      <x:c r="O2025" s="37" t="n">
        <x:v>0.18</x:v>
      </x:c>
      <x:c r="P2025" s="35" t="n">
        <x:f>L2025*O2025</x:f>
        <x:v>20.88</x:v>
      </x:c>
      <x:c r="Q2025" s="35" t="n">
        <x:v>1.2</x:v>
      </x:c>
      <x:c r="R2025" s="35" t="n">
        <x:f>K2025*Q2025</x:f>
        <x:v>4.8</x:v>
      </x:c>
      <x:c r="S2025" s="35" t="n">
        <x:f>XLOOKUP(H2025,'菜品主数据'!$A$5:$A$24,'菜品主数据'!$G$5:$G$24,0)</x:f>
        <x:v>8.634400000000001</x:v>
      </x:c>
      <x:c r="T2025" s="35" t="n">
        <x:f>K2025*S2025</x:f>
        <x:v>34.537600000000005</x:v>
      </x:c>
      <x:c r="U2025" s="35" t="n">
        <x:f>L2025-N2025-P2025-R2025-T2025</x:f>
        <x:v>46.5024</x:v>
      </x:c>
      <x:c r="V2025" s="21" t="n">
        <x:f>IFERROR(U2025/L2025,0)</x:f>
        <x:v>0.40088275862068967</x:v>
      </x:c>
    </x:row>
    <x:row r="2026">
      <x:c r="A2026" s="19" t="str">
        <x:v>SALE-02022</x:v>
      </x:c>
      <x:c r="B2026" s="34" t="n">
        <x:v>46211.5</x:v>
      </x:c>
      <x:c r="C2026" s="19" t="str">
        <x:v>周三</x:v>
      </x:c>
      <x:c r="D2026" s="19" t="str">
        <x:v>S08</x:v>
      </x:c>
      <x:c r="E2026" s="19" t="str">
        <x:v>四季青店</x:v>
      </x:c>
      <x:c r="F2026" s="19" t="str">
        <x:v>外卖</x:v>
      </x:c>
      <x:c r="G2026" s="19" t="str">
        <x:v>全日</x:v>
      </x:c>
      <x:c r="H2026" s="19" t="str">
        <x:v>D02</x:v>
      </x:c>
      <x:c r="I2026" s="19" t="str">
        <x:v>小炒黄牛肉</x:v>
      </x:c>
      <x:c r="J2026" s="22" t="n">
        <x:f>XLOOKUP(H2026,'菜品主数据'!$A$5:$A$24,'菜品主数据'!$D$5:$D$24,0)</x:f>
        <x:v>49</x:v>
      </x:c>
      <x:c r="K2026" s="31" t="n">
        <x:v>6</x:v>
      </x:c>
      <x:c r="L2026" s="35" t="n">
        <x:f>J2026*K2026</x:f>
        <x:v>294</x:v>
      </x:c>
      <x:c r="M2026" s="36" t="n">
        <x:v>0.08</x:v>
      </x:c>
      <x:c r="N2026" s="35" t="n">
        <x:f>L2026*M2026</x:f>
        <x:v>23.52</x:v>
      </x:c>
      <x:c r="O2026" s="37" t="n">
        <x:v>0.18</x:v>
      </x:c>
      <x:c r="P2026" s="35" t="n">
        <x:f>L2026*O2026</x:f>
        <x:v>52.919999999999995</x:v>
      </x:c>
      <x:c r="Q2026" s="35" t="n">
        <x:v>1.2</x:v>
      </x:c>
      <x:c r="R2026" s="35" t="n">
        <x:f>K2026*Q2026</x:f>
        <x:v>7.199999999999999</x:v>
      </x:c>
      <x:c r="S2026" s="35" t="n">
        <x:f>XLOOKUP(H2026,'菜品主数据'!$A$5:$A$24,'菜品主数据'!$G$5:$G$24,0)</x:f>
        <x:v>17.577</x:v>
      </x:c>
      <x:c r="T2026" s="35" t="n">
        <x:f>K2026*S2026</x:f>
        <x:v>105.46200000000002</x:v>
      </x:c>
      <x:c r="U2026" s="35" t="n">
        <x:f>L2026-N2026-P2026-R2026-T2026</x:f>
        <x:v>104.89800000000002</x:v>
      </x:c>
      <x:c r="V2026" s="21" t="n">
        <x:f>IFERROR(U2026/L2026,0)</x:f>
        <x:v>0.35679591836734703</x:v>
      </x:c>
    </x:row>
    <x:row r="2027">
      <x:c r="A2027" s="19" t="str">
        <x:v>SALE-02023</x:v>
      </x:c>
      <x:c r="B2027" s="34" t="n">
        <x:v>46211.5</x:v>
      </x:c>
      <x:c r="C2027" s="19" t="str">
        <x:v>周三</x:v>
      </x:c>
      <x:c r="D2027" s="19" t="str">
        <x:v>S08</x:v>
      </x:c>
      <x:c r="E2027" s="19" t="str">
        <x:v>四季青店</x:v>
      </x:c>
      <x:c r="F2027" s="19" t="str">
        <x:v>外卖</x:v>
      </x:c>
      <x:c r="G2027" s="19" t="str">
        <x:v>全日</x:v>
      </x:c>
      <x:c r="H2027" s="19" t="str">
        <x:v>D03</x:v>
      </x:c>
      <x:c r="I2027" s="19" t="str">
        <x:v>香醋炒蛋</x:v>
      </x:c>
      <x:c r="J2027" s="22" t="n">
        <x:f>XLOOKUP(H2027,'菜品主数据'!$A$5:$A$24,'菜品主数据'!$D$5:$D$24,0)</x:f>
        <x:v>14.9</x:v>
      </x:c>
      <x:c r="K2027" s="31" t="n">
        <x:v>3</x:v>
      </x:c>
      <x:c r="L2027" s="35" t="n">
        <x:f>J2027*K2027</x:f>
        <x:v>44.7</x:v>
      </x:c>
      <x:c r="M2027" s="36" t="n">
        <x:v>0.08</x:v>
      </x:c>
      <x:c r="N2027" s="35" t="n">
        <x:f>L2027*M2027</x:f>
        <x:v>3.5760000000000005</x:v>
      </x:c>
      <x:c r="O2027" s="37" t="n">
        <x:v>0.18</x:v>
      </x:c>
      <x:c r="P2027" s="35" t="n">
        <x:f>L2027*O2027</x:f>
        <x:v>8.046</x:v>
      </x:c>
      <x:c r="Q2027" s="35" t="n">
        <x:v>1.2</x:v>
      </x:c>
      <x:c r="R2027" s="35" t="n">
        <x:f>K2027*Q2027</x:f>
        <x:v>3.5999999999999996</x:v>
      </x:c>
      <x:c r="S2027" s="35" t="n">
        <x:f>XLOOKUP(H2027,'菜品主数据'!$A$5:$A$24,'菜品主数据'!$G$5:$G$24,0)</x:f>
        <x:v>3.7459999999999996</x:v>
      </x:c>
      <x:c r="T2027" s="35" t="n">
        <x:f>K2027*S2027</x:f>
        <x:v>11.238</x:v>
      </x:c>
      <x:c r="U2027" s="35" t="n">
        <x:f>L2027-N2027-P2027-R2027-T2027</x:f>
        <x:v>18.240000000000002</x:v>
      </x:c>
      <x:c r="V2027" s="21" t="n">
        <x:f>IFERROR(U2027/L2027,0)</x:f>
        <x:v>0.40805369127516783</x:v>
      </x:c>
    </x:row>
    <x:row r="2028">
      <x:c r="A2028" s="19" t="str">
        <x:v>SALE-02024</x:v>
      </x:c>
      <x:c r="B2028" s="34" t="n">
        <x:v>46211.5</x:v>
      </x:c>
      <x:c r="C2028" s="19" t="str">
        <x:v>周三</x:v>
      </x:c>
      <x:c r="D2028" s="19" t="str">
        <x:v>S08</x:v>
      </x:c>
      <x:c r="E2028" s="19" t="str">
        <x:v>四季青店</x:v>
      </x:c>
      <x:c r="F2028" s="19" t="str">
        <x:v>外卖</x:v>
      </x:c>
      <x:c r="G2028" s="19" t="str">
        <x:v>全日</x:v>
      </x:c>
      <x:c r="H2028" s="19" t="str">
        <x:v>D04</x:v>
      </x:c>
      <x:c r="I2028" s="19" t="str">
        <x:v>酸包菜炒粉皮</x:v>
      </x:c>
      <x:c r="J2028" s="22" t="n">
        <x:f>XLOOKUP(H2028,'菜品主数据'!$A$5:$A$24,'菜品主数据'!$D$5:$D$24,0)</x:f>
        <x:v>16</x:v>
      </x:c>
      <x:c r="K2028" s="31" t="n">
        <x:v>3</x:v>
      </x:c>
      <x:c r="L2028" s="35" t="n">
        <x:f>J2028*K2028</x:f>
        <x:v>48</x:v>
      </x:c>
      <x:c r="M2028" s="36" t="n">
        <x:v>0.08</x:v>
      </x:c>
      <x:c r="N2028" s="35" t="n">
        <x:f>L2028*M2028</x:f>
        <x:v>3.84</x:v>
      </x:c>
      <x:c r="O2028" s="37" t="n">
        <x:v>0.18</x:v>
      </x:c>
      <x:c r="P2028" s="35" t="n">
        <x:f>L2028*O2028</x:f>
        <x:v>8.64</x:v>
      </x:c>
      <x:c r="Q2028" s="35" t="n">
        <x:v>1.2</x:v>
      </x:c>
      <x:c r="R2028" s="35" t="n">
        <x:f>K2028*Q2028</x:f>
        <x:v>3.5999999999999996</x:v>
      </x:c>
      <x:c r="S2028" s="35" t="n">
        <x:f>XLOOKUP(H2028,'菜品主数据'!$A$5:$A$24,'菜品主数据'!$G$5:$G$24,0)</x:f>
        <x:v>3.978</x:v>
      </x:c>
      <x:c r="T2028" s="35" t="n">
        <x:f>K2028*S2028</x:f>
        <x:v>11.934000000000001</x:v>
      </x:c>
      <x:c r="U2028" s="35" t="n">
        <x:f>L2028-N2028-P2028-R2028-T2028</x:f>
        <x:v>19.985999999999994</x:v>
      </x:c>
      <x:c r="V2028" s="21" t="n">
        <x:f>IFERROR(U2028/L2028,0)</x:f>
        <x:v>0.4163749999999999</x:v>
      </x:c>
    </x:row>
    <x:row r="2029">
      <x:c r="A2029" s="19" t="str">
        <x:v>SALE-02025</x:v>
      </x:c>
      <x:c r="B2029" s="34" t="n">
        <x:v>46211.5</x:v>
      </x:c>
      <x:c r="C2029" s="19" t="str">
        <x:v>周三</x:v>
      </x:c>
      <x:c r="D2029" s="19" t="str">
        <x:v>S08</x:v>
      </x:c>
      <x:c r="E2029" s="19" t="str">
        <x:v>四季青店</x:v>
      </x:c>
      <x:c r="F2029" s="19" t="str">
        <x:v>外卖</x:v>
      </x:c>
      <x:c r="G2029" s="19" t="str">
        <x:v>全日</x:v>
      </x:c>
      <x:c r="H2029" s="19" t="str">
        <x:v>D05</x:v>
      </x:c>
      <x:c r="I2029" s="19" t="str">
        <x:v>麻婆豆腐</x:v>
      </x:c>
      <x:c r="J2029" s="22" t="n">
        <x:f>XLOOKUP(H2029,'菜品主数据'!$A$5:$A$24,'菜品主数据'!$D$5:$D$24,0)</x:f>
        <x:v>9.9</x:v>
      </x:c>
      <x:c r="K2029" s="31" t="n">
        <x:v>4</x:v>
      </x:c>
      <x:c r="L2029" s="35" t="n">
        <x:f>J2029*K2029</x:f>
        <x:v>39.6</x:v>
      </x:c>
      <x:c r="M2029" s="36" t="n">
        <x:v>0.08</x:v>
      </x:c>
      <x:c r="N2029" s="35" t="n">
        <x:f>L2029*M2029</x:f>
        <x:v>3.168</x:v>
      </x:c>
      <x:c r="O2029" s="37" t="n">
        <x:v>0.18</x:v>
      </x:c>
      <x:c r="P2029" s="35" t="n">
        <x:f>L2029*O2029</x:f>
        <x:v>7.128</x:v>
      </x:c>
      <x:c r="Q2029" s="35" t="n">
        <x:v>1.2</x:v>
      </x:c>
      <x:c r="R2029" s="35" t="n">
        <x:f>K2029*Q2029</x:f>
        <x:v>4.8</x:v>
      </x:c>
      <x:c r="S2029" s="35" t="n">
        <x:f>XLOOKUP(H2029,'菜品主数据'!$A$5:$A$24,'菜品主数据'!$G$5:$G$24,0)</x:f>
        <x:v>5.367000000000001</x:v>
      </x:c>
      <x:c r="T2029" s="35" t="n">
        <x:f>K2029*S2029</x:f>
        <x:v>21.468000000000004</x:v>
      </x:c>
      <x:c r="U2029" s="35" t="n">
        <x:f>L2029-N2029-P2029-R2029-T2029</x:f>
        <x:v>3.035999999999998</x:v>
      </x:c>
      <x:c r="V2029" s="21" t="n">
        <x:f>IFERROR(U2029/L2029,0)</x:f>
        <x:v>0.0766666666666666</x:v>
      </x:c>
    </x:row>
    <x:row r="2030">
      <x:c r="A2030" s="19" t="str">
        <x:v>SALE-02026</x:v>
      </x:c>
      <x:c r="B2030" s="34" t="n">
        <x:v>46211.5</x:v>
      </x:c>
      <x:c r="C2030" s="19" t="str">
        <x:v>周三</x:v>
      </x:c>
      <x:c r="D2030" s="19" t="str">
        <x:v>S08</x:v>
      </x:c>
      <x:c r="E2030" s="19" t="str">
        <x:v>四季青店</x:v>
      </x:c>
      <x:c r="F2030" s="19" t="str">
        <x:v>外卖</x:v>
      </x:c>
      <x:c r="G2030" s="19" t="str">
        <x:v>全日</x:v>
      </x:c>
      <x:c r="H2030" s="19" t="str">
        <x:v>D06</x:v>
      </x:c>
      <x:c r="I2030" s="19" t="str">
        <x:v>剁椒鱼头</x:v>
      </x:c>
      <x:c r="J2030" s="22" t="n">
        <x:f>XLOOKUP(H2030,'菜品主数据'!$A$5:$A$24,'菜品主数据'!$D$5:$D$24,0)</x:f>
        <x:v>39</x:v>
      </x:c>
      <x:c r="K2030" s="31" t="n">
        <x:v>1</x:v>
      </x:c>
      <x:c r="L2030" s="35" t="n">
        <x:f>J2030*K2030</x:f>
        <x:v>39</x:v>
      </x:c>
      <x:c r="M2030" s="36" t="n">
        <x:v>0.08</x:v>
      </x:c>
      <x:c r="N2030" s="35" t="n">
        <x:f>L2030*M2030</x:f>
        <x:v>3.12</x:v>
      </x:c>
      <x:c r="O2030" s="37" t="n">
        <x:v>0.18</x:v>
      </x:c>
      <x:c r="P2030" s="35" t="n">
        <x:f>L2030*O2030</x:f>
        <x:v>7.02</x:v>
      </x:c>
      <x:c r="Q2030" s="35" t="n">
        <x:v>1.2</x:v>
      </x:c>
      <x:c r="R2030" s="35" t="n">
        <x:f>K2030*Q2030</x:f>
        <x:v>1.2</x:v>
      </x:c>
      <x:c r="S2030" s="35" t="n">
        <x:f>XLOOKUP(H2030,'菜品主数据'!$A$5:$A$24,'菜品主数据'!$G$5:$G$24,0)</x:f>
        <x:v>17.446</x:v>
      </x:c>
      <x:c r="T2030" s="35" t="n">
        <x:f>K2030*S2030</x:f>
        <x:v>17.446</x:v>
      </x:c>
      <x:c r="U2030" s="35" t="n">
        <x:f>L2030-N2030-P2030-R2030-T2030</x:f>
        <x:v>10.214000000000002</x:v>
      </x:c>
      <x:c r="V2030" s="21" t="n">
        <x:f>IFERROR(U2030/L2030,0)</x:f>
        <x:v>0.26189743589743597</x:v>
      </x:c>
    </x:row>
    <x:row r="2031">
      <x:c r="A2031" s="19" t="str">
        <x:v>SALE-02027</x:v>
      </x:c>
      <x:c r="B2031" s="34" t="n">
        <x:v>46211.5</x:v>
      </x:c>
      <x:c r="C2031" s="19" t="str">
        <x:v>周三</x:v>
      </x:c>
      <x:c r="D2031" s="19" t="str">
        <x:v>S08</x:v>
      </x:c>
      <x:c r="E2031" s="19" t="str">
        <x:v>四季青店</x:v>
      </x:c>
      <x:c r="F2031" s="19" t="str">
        <x:v>外卖</x:v>
      </x:c>
      <x:c r="G2031" s="19" t="str">
        <x:v>全日</x:v>
      </x:c>
      <x:c r="H2031" s="19" t="str">
        <x:v>D07</x:v>
      </x:c>
      <x:c r="I2031" s="19" t="str">
        <x:v>川味回锅肉</x:v>
      </x:c>
      <x:c r="J2031" s="22" t="n">
        <x:f>XLOOKUP(H2031,'菜品主数据'!$A$5:$A$24,'菜品主数据'!$D$5:$D$24,0)</x:f>
        <x:v>29</x:v>
      </x:c>
      <x:c r="K2031" s="31" t="n">
        <x:v>1</x:v>
      </x:c>
      <x:c r="L2031" s="35" t="n">
        <x:f>J2031*K2031</x:f>
        <x:v>29</x:v>
      </x:c>
      <x:c r="M2031" s="36" t="n">
        <x:v>0.08</x:v>
      </x:c>
      <x:c r="N2031" s="35" t="n">
        <x:f>L2031*M2031</x:f>
        <x:v>2.32</x:v>
      </x:c>
      <x:c r="O2031" s="37" t="n">
        <x:v>0.18</x:v>
      </x:c>
      <x:c r="P2031" s="35" t="n">
        <x:f>L2031*O2031</x:f>
        <x:v>5.22</x:v>
      </x:c>
      <x:c r="Q2031" s="35" t="n">
        <x:v>1.2</x:v>
      </x:c>
      <x:c r="R2031" s="35" t="n">
        <x:f>K2031*Q2031</x:f>
        <x:v>1.2</x:v>
      </x:c>
      <x:c r="S2031" s="35" t="n">
        <x:f>XLOOKUP(H2031,'菜品主数据'!$A$5:$A$24,'菜品主数据'!$G$5:$G$24,0)</x:f>
        <x:v>10.231000000000002</x:v>
      </x:c>
      <x:c r="T2031" s="35" t="n">
        <x:f>K2031*S2031</x:f>
        <x:v>10.231000000000002</x:v>
      </x:c>
      <x:c r="U2031" s="35" t="n">
        <x:f>L2031-N2031-P2031-R2031-T2031</x:f>
        <x:v>10.029</x:v>
      </x:c>
      <x:c r="V2031" s="21" t="n">
        <x:f>IFERROR(U2031/L2031,0)</x:f>
        <x:v>0.3458275862068966</x:v>
      </x:c>
    </x:row>
    <x:row r="2032">
      <x:c r="A2032" s="19" t="str">
        <x:v>SALE-02028</x:v>
      </x:c>
      <x:c r="B2032" s="34" t="n">
        <x:v>46211.5</x:v>
      </x:c>
      <x:c r="C2032" s="19" t="str">
        <x:v>周三</x:v>
      </x:c>
      <x:c r="D2032" s="19" t="str">
        <x:v>S08</x:v>
      </x:c>
      <x:c r="E2032" s="19" t="str">
        <x:v>四季青店</x:v>
      </x:c>
      <x:c r="F2032" s="19" t="str">
        <x:v>外卖</x:v>
      </x:c>
      <x:c r="G2032" s="19" t="str">
        <x:v>全日</x:v>
      </x:c>
      <x:c r="H2032" s="19" t="str">
        <x:v>D08</x:v>
      </x:c>
      <x:c r="I2032" s="19" t="str">
        <x:v>生炒清远鸡</x:v>
      </x:c>
      <x:c r="J2032" s="22" t="n">
        <x:f>XLOOKUP(H2032,'菜品主数据'!$A$5:$A$24,'菜品主数据'!$D$5:$D$24,0)</x:f>
        <x:v>36</x:v>
      </x:c>
      <x:c r="K2032" s="31" t="n">
        <x:v>2</x:v>
      </x:c>
      <x:c r="L2032" s="35" t="n">
        <x:f>J2032*K2032</x:f>
        <x:v>72</x:v>
      </x:c>
      <x:c r="M2032" s="36" t="n">
        <x:v>0.08</x:v>
      </x:c>
      <x:c r="N2032" s="35" t="n">
        <x:f>L2032*M2032</x:f>
        <x:v>5.76</x:v>
      </x:c>
      <x:c r="O2032" s="37" t="n">
        <x:v>0.18</x:v>
      </x:c>
      <x:c r="P2032" s="35" t="n">
        <x:f>L2032*O2032</x:f>
        <x:v>12.959999999999999</x:v>
      </x:c>
      <x:c r="Q2032" s="35" t="n">
        <x:v>1.2</x:v>
      </x:c>
      <x:c r="R2032" s="35" t="n">
        <x:f>K2032*Q2032</x:f>
        <x:v>2.4</x:v>
      </x:c>
      <x:c r="S2032" s="35" t="n">
        <x:f>XLOOKUP(H2032,'菜品主数据'!$A$5:$A$24,'菜品主数据'!$G$5:$G$24,0)</x:f>
        <x:v>13.48</x:v>
      </x:c>
      <x:c r="T2032" s="35" t="n">
        <x:f>K2032*S2032</x:f>
        <x:v>26.96</x:v>
      </x:c>
      <x:c r="U2032" s="35" t="n">
        <x:f>L2032-N2032-P2032-R2032-T2032</x:f>
        <x:v>23.919999999999995</x:v>
      </x:c>
      <x:c r="V2032" s="21" t="n">
        <x:f>IFERROR(U2032/L2032,0)</x:f>
        <x:v>0.33222222222222214</x:v>
      </x:c>
    </x:row>
    <x:row r="2033">
      <x:c r="A2033" s="19" t="str">
        <x:v>SALE-02029</x:v>
      </x:c>
      <x:c r="B2033" s="34" t="n">
        <x:v>46211.5</x:v>
      </x:c>
      <x:c r="C2033" s="19" t="str">
        <x:v>周三</x:v>
      </x:c>
      <x:c r="D2033" s="19" t="str">
        <x:v>S08</x:v>
      </x:c>
      <x:c r="E2033" s="19" t="str">
        <x:v>四季青店</x:v>
      </x:c>
      <x:c r="F2033" s="19" t="str">
        <x:v>外卖</x:v>
      </x:c>
      <x:c r="G2033" s="19" t="str">
        <x:v>全日</x:v>
      </x:c>
      <x:c r="H2033" s="19" t="str">
        <x:v>D09</x:v>
      </x:c>
      <x:c r="I2033" s="19" t="str">
        <x:v>炒豆干</x:v>
      </x:c>
      <x:c r="J2033" s="22" t="n">
        <x:f>XLOOKUP(H2033,'菜品主数据'!$A$5:$A$24,'菜品主数据'!$D$5:$D$24,0)</x:f>
        <x:v>18</x:v>
      </x:c>
      <x:c r="K2033" s="31" t="n">
        <x:v>1</x:v>
      </x:c>
      <x:c r="L2033" s="35" t="n">
        <x:f>J2033*K2033</x:f>
        <x:v>18</x:v>
      </x:c>
      <x:c r="M2033" s="36" t="n">
        <x:v>0.08</x:v>
      </x:c>
      <x:c r="N2033" s="35" t="n">
        <x:f>L2033*M2033</x:f>
        <x:v>1.44</x:v>
      </x:c>
      <x:c r="O2033" s="37" t="n">
        <x:v>0.18</x:v>
      </x:c>
      <x:c r="P2033" s="35" t="n">
        <x:f>L2033*O2033</x:f>
        <x:v>3.2399999999999998</x:v>
      </x:c>
      <x:c r="Q2033" s="35" t="n">
        <x:v>1.2</x:v>
      </x:c>
      <x:c r="R2033" s="35" t="n">
        <x:f>K2033*Q2033</x:f>
        <x:v>1.2</x:v>
      </x:c>
      <x:c r="S2033" s="35" t="n">
        <x:f>XLOOKUP(H2033,'菜品主数据'!$A$5:$A$24,'菜品主数据'!$G$5:$G$24,0)</x:f>
        <x:v>6.613999999999999</x:v>
      </x:c>
      <x:c r="T2033" s="35" t="n">
        <x:f>K2033*S2033</x:f>
        <x:v>6.613999999999999</x:v>
      </x:c>
      <x:c r="U2033" s="35" t="n">
        <x:f>L2033-N2033-P2033-R2033-T2033</x:f>
        <x:v>5.506</x:v>
      </x:c>
      <x:c r="V2033" s="21" t="n">
        <x:f>IFERROR(U2033/L2033,0)</x:f>
        <x:v>0.3058888888888889</x:v>
      </x:c>
    </x:row>
    <x:row r="2034">
      <x:c r="A2034" s="19" t="str">
        <x:v>SALE-02030</x:v>
      </x:c>
      <x:c r="B2034" s="34" t="n">
        <x:v>46211.5</x:v>
      </x:c>
      <x:c r="C2034" s="19" t="str">
        <x:v>周三</x:v>
      </x:c>
      <x:c r="D2034" s="19" t="str">
        <x:v>S08</x:v>
      </x:c>
      <x:c r="E2034" s="19" t="str">
        <x:v>四季青店</x:v>
      </x:c>
      <x:c r="F2034" s="19" t="str">
        <x:v>外卖</x:v>
      </x:c>
      <x:c r="G2034" s="19" t="str">
        <x:v>全日</x:v>
      </x:c>
      <x:c r="H2034" s="19" t="str">
        <x:v>D10</x:v>
      </x:c>
      <x:c r="I2034" s="19" t="str">
        <x:v>农家一碗香</x:v>
      </x:c>
      <x:c r="J2034" s="22" t="n">
        <x:f>XLOOKUP(H2034,'菜品主数据'!$A$5:$A$24,'菜品主数据'!$D$5:$D$24,0)</x:f>
        <x:v>22.9</x:v>
      </x:c>
      <x:c r="K2034" s="31" t="n">
        <x:v>1</x:v>
      </x:c>
      <x:c r="L2034" s="35" t="n">
        <x:f>J2034*K2034</x:f>
        <x:v>22.9</x:v>
      </x:c>
      <x:c r="M2034" s="36" t="n">
        <x:v>0.08</x:v>
      </x:c>
      <x:c r="N2034" s="35" t="n">
        <x:f>L2034*M2034</x:f>
        <x:v>1.8319999999999999</x:v>
      </x:c>
      <x:c r="O2034" s="37" t="n">
        <x:v>0.18</x:v>
      </x:c>
      <x:c r="P2034" s="35" t="n">
        <x:f>L2034*O2034</x:f>
        <x:v>4.122</x:v>
      </x:c>
      <x:c r="Q2034" s="35" t="n">
        <x:v>1.2</x:v>
      </x:c>
      <x:c r="R2034" s="35" t="n">
        <x:f>K2034*Q2034</x:f>
        <x:v>1.2</x:v>
      </x:c>
      <x:c r="S2034" s="35" t="n">
        <x:f>XLOOKUP(H2034,'菜品主数据'!$A$5:$A$24,'菜品主数据'!$G$5:$G$24,0)</x:f>
        <x:v>9.770200000000003</x:v>
      </x:c>
      <x:c r="T2034" s="35" t="n">
        <x:f>K2034*S2034</x:f>
        <x:v>9.770200000000003</x:v>
      </x:c>
      <x:c r="U2034" s="35" t="n">
        <x:f>L2034-N2034-P2034-R2034-T2034</x:f>
        <x:v>5.975799999999996</x:v>
      </x:c>
      <x:c r="V2034" s="21" t="n">
        <x:f>IFERROR(U2034/L2034,0)</x:f>
        <x:v>0.260951965065502</x:v>
      </x:c>
    </x:row>
    <x:row r="2035">
      <x:c r="A2035" s="19" t="str">
        <x:v>SALE-02031</x:v>
      </x:c>
      <x:c r="B2035" s="34" t="n">
        <x:v>46211.5</x:v>
      </x:c>
      <x:c r="C2035" s="19" t="str">
        <x:v>周三</x:v>
      </x:c>
      <x:c r="D2035" s="19" t="str">
        <x:v>S08</x:v>
      </x:c>
      <x:c r="E2035" s="19" t="str">
        <x:v>四季青店</x:v>
      </x:c>
      <x:c r="F2035" s="19" t="str">
        <x:v>外卖</x:v>
      </x:c>
      <x:c r="G2035" s="19" t="str">
        <x:v>全日</x:v>
      </x:c>
      <x:c r="H2035" s="19" t="str">
        <x:v>D11</x:v>
      </x:c>
      <x:c r="I2035" s="19" t="str">
        <x:v>香辣爆肥肠</x:v>
      </x:c>
      <x:c r="J2035" s="22" t="n">
        <x:f>XLOOKUP(H2035,'菜品主数据'!$A$5:$A$24,'菜品主数据'!$D$5:$D$24,0)</x:f>
        <x:v>39</x:v>
      </x:c>
      <x:c r="K2035" s="31" t="n">
        <x:v>0</x:v>
      </x:c>
      <x:c r="L2035" s="35" t="n">
        <x:f>J2035*K2035</x:f>
        <x:v>0</x:v>
      </x:c>
      <x:c r="M2035" s="36" t="n">
        <x:v>0.08</x:v>
      </x:c>
      <x:c r="N2035" s="35" t="n">
        <x:f>L2035*M2035</x:f>
        <x:v>0</x:v>
      </x:c>
      <x:c r="O2035" s="37" t="n">
        <x:v>0.18</x:v>
      </x:c>
      <x:c r="P2035" s="35" t="n">
        <x:f>L2035*O2035</x:f>
        <x:v>0</x:v>
      </x:c>
      <x:c r="Q2035" s="35" t="n">
        <x:v>1.2</x:v>
      </x:c>
      <x:c r="R2035" s="35" t="n">
        <x:f>K2035*Q2035</x:f>
        <x:v>0</x:v>
      </x:c>
      <x:c r="S2035" s="35" t="n">
        <x:f>XLOOKUP(H2035,'菜品主数据'!$A$5:$A$24,'菜品主数据'!$G$5:$G$24,0)</x:f>
        <x:v>10.397</x:v>
      </x:c>
      <x:c r="T2035" s="35" t="n">
        <x:f>K2035*S2035</x:f>
        <x:v>0</x:v>
      </x:c>
      <x:c r="U2035" s="35" t="n">
        <x:f>L2035-N2035-P2035-R2035-T2035</x:f>
        <x:v>0</x:v>
      </x:c>
      <x:c r="V2035" s="21" t="n">
        <x:f>IFERROR(U2035/L2035,0)</x:f>
        <x:v>0</x:v>
      </x:c>
    </x:row>
    <x:row r="2036">
      <x:c r="A2036" s="19" t="str">
        <x:v>SALE-02032</x:v>
      </x:c>
      <x:c r="B2036" s="34" t="n">
        <x:v>46211.5</x:v>
      </x:c>
      <x:c r="C2036" s="19" t="str">
        <x:v>周三</x:v>
      </x:c>
      <x:c r="D2036" s="19" t="str">
        <x:v>S08</x:v>
      </x:c>
      <x:c r="E2036" s="19" t="str">
        <x:v>四季青店</x:v>
      </x:c>
      <x:c r="F2036" s="19" t="str">
        <x:v>外卖</x:v>
      </x:c>
      <x:c r="G2036" s="19" t="str">
        <x:v>全日</x:v>
      </x:c>
      <x:c r="H2036" s="19" t="str">
        <x:v>D12</x:v>
      </x:c>
      <x:c r="I2036" s="19" t="str">
        <x:v>清蒸鲈鱼</x:v>
      </x:c>
      <x:c r="J2036" s="22" t="n">
        <x:f>XLOOKUP(H2036,'菜品主数据'!$A$5:$A$24,'菜品主数据'!$D$5:$D$24,0)</x:f>
        <x:v>39</x:v>
      </x:c>
      <x:c r="K2036" s="31" t="n">
        <x:v>0</x:v>
      </x:c>
      <x:c r="L2036" s="35" t="n">
        <x:f>J2036*K2036</x:f>
        <x:v>0</x:v>
      </x:c>
      <x:c r="M2036" s="36" t="n">
        <x:v>0.08</x:v>
      </x:c>
      <x:c r="N2036" s="35" t="n">
        <x:f>L2036*M2036</x:f>
        <x:v>0</x:v>
      </x:c>
      <x:c r="O2036" s="37" t="n">
        <x:v>0.18</x:v>
      </x:c>
      <x:c r="P2036" s="35" t="n">
        <x:f>L2036*O2036</x:f>
        <x:v>0</x:v>
      </x:c>
      <x:c r="Q2036" s="35" t="n">
        <x:v>1.2</x:v>
      </x:c>
      <x:c r="R2036" s="35" t="n">
        <x:f>K2036*Q2036</x:f>
        <x:v>0</x:v>
      </x:c>
      <x:c r="S2036" s="35" t="n">
        <x:f>XLOOKUP(H2036,'菜品主数据'!$A$5:$A$24,'菜品主数据'!$G$5:$G$24,0)</x:f>
        <x:v>18.874</x:v>
      </x:c>
      <x:c r="T2036" s="35" t="n">
        <x:f>K2036*S2036</x:f>
        <x:v>0</x:v>
      </x:c>
      <x:c r="U2036" s="35" t="n">
        <x:f>L2036-N2036-P2036-R2036-T2036</x:f>
        <x:v>0</x:v>
      </x:c>
      <x:c r="V2036" s="21" t="n">
        <x:f>IFERROR(U2036/L2036,0)</x:f>
        <x:v>0</x:v>
      </x:c>
    </x:row>
    <x:row r="2037">
      <x:c r="A2037" s="19" t="str">
        <x:v>SALE-02033</x:v>
      </x:c>
      <x:c r="B2037" s="34" t="n">
        <x:v>46211.5</x:v>
      </x:c>
      <x:c r="C2037" s="19" t="str">
        <x:v>周三</x:v>
      </x:c>
      <x:c r="D2037" s="19" t="str">
        <x:v>S08</x:v>
      </x:c>
      <x:c r="E2037" s="19" t="str">
        <x:v>四季青店</x:v>
      </x:c>
      <x:c r="F2037" s="19" t="str">
        <x:v>外卖</x:v>
      </x:c>
      <x:c r="G2037" s="19" t="str">
        <x:v>全日</x:v>
      </x:c>
      <x:c r="H2037" s="19" t="str">
        <x:v>D13</x:v>
      </x:c>
      <x:c r="I2037" s="19" t="str">
        <x:v>外婆菜炒蛋</x:v>
      </x:c>
      <x:c r="J2037" s="22" t="n">
        <x:f>XLOOKUP(H2037,'菜品主数据'!$A$5:$A$24,'菜品主数据'!$D$5:$D$24,0)</x:f>
        <x:v>18</x:v>
      </x:c>
      <x:c r="K2037" s="31" t="n">
        <x:v>1</x:v>
      </x:c>
      <x:c r="L2037" s="35" t="n">
        <x:f>J2037*K2037</x:f>
        <x:v>18</x:v>
      </x:c>
      <x:c r="M2037" s="36" t="n">
        <x:v>0.08</x:v>
      </x:c>
      <x:c r="N2037" s="35" t="n">
        <x:f>L2037*M2037</x:f>
        <x:v>1.44</x:v>
      </x:c>
      <x:c r="O2037" s="37" t="n">
        <x:v>0.18</x:v>
      </x:c>
      <x:c r="P2037" s="35" t="n">
        <x:f>L2037*O2037</x:f>
        <x:v>3.2399999999999998</x:v>
      </x:c>
      <x:c r="Q2037" s="35" t="n">
        <x:v>1.2</x:v>
      </x:c>
      <x:c r="R2037" s="35" t="n">
        <x:f>K2037*Q2037</x:f>
        <x:v>1.2</x:v>
      </x:c>
      <x:c r="S2037" s="35" t="n">
        <x:f>XLOOKUP(H2037,'菜品主数据'!$A$5:$A$24,'菜品主数据'!$G$5:$G$24,0)</x:f>
        <x:v>5.403999999999999</x:v>
      </x:c>
      <x:c r="T2037" s="35" t="n">
        <x:f>K2037*S2037</x:f>
        <x:v>5.403999999999999</x:v>
      </x:c>
      <x:c r="U2037" s="35" t="n">
        <x:f>L2037-N2037-P2037-R2037-T2037</x:f>
        <x:v>6.716</x:v>
      </x:c>
      <x:c r="V2037" s="21" t="n">
        <x:f>IFERROR(U2037/L2037,0)</x:f>
        <x:v>0.3731111111111111</x:v>
      </x:c>
    </x:row>
    <x:row r="2038">
      <x:c r="A2038" s="19" t="str">
        <x:v>SALE-02034</x:v>
      </x:c>
      <x:c r="B2038" s="34" t="n">
        <x:v>46211.5</x:v>
      </x:c>
      <x:c r="C2038" s="19" t="str">
        <x:v>周三</x:v>
      </x:c>
      <x:c r="D2038" s="19" t="str">
        <x:v>S08</x:v>
      </x:c>
      <x:c r="E2038" s="19" t="str">
        <x:v>四季青店</x:v>
      </x:c>
      <x:c r="F2038" s="19" t="str">
        <x:v>外卖</x:v>
      </x:c>
      <x:c r="G2038" s="19" t="str">
        <x:v>全日</x:v>
      </x:c>
      <x:c r="H2038" s="19" t="str">
        <x:v>D14</x:v>
      </x:c>
      <x:c r="I2038" s="19" t="str">
        <x:v>酸辣鸡杂</x:v>
      </x:c>
      <x:c r="J2038" s="22" t="n">
        <x:f>XLOOKUP(H2038,'菜品主数据'!$A$5:$A$24,'菜品主数据'!$D$5:$D$24,0)</x:f>
        <x:v>28</x:v>
      </x:c>
      <x:c r="K2038" s="31" t="n">
        <x:v>0</x:v>
      </x:c>
      <x:c r="L2038" s="35" t="n">
        <x:f>J2038*K2038</x:f>
        <x:v>0</x:v>
      </x:c>
      <x:c r="M2038" s="36" t="n">
        <x:v>0.08</x:v>
      </x:c>
      <x:c r="N2038" s="35" t="n">
        <x:f>L2038*M2038</x:f>
        <x:v>0</x:v>
      </x:c>
      <x:c r="O2038" s="37" t="n">
        <x:v>0.18</x:v>
      </x:c>
      <x:c r="P2038" s="35" t="n">
        <x:f>L2038*O2038</x:f>
        <x:v>0</x:v>
      </x:c>
      <x:c r="Q2038" s="35" t="n">
        <x:v>1.2</x:v>
      </x:c>
      <x:c r="R2038" s="35" t="n">
        <x:f>K2038*Q2038</x:f>
        <x:v>0</x:v>
      </x:c>
      <x:c r="S2038" s="35" t="n">
        <x:f>XLOOKUP(H2038,'菜品主数据'!$A$5:$A$24,'菜品主数据'!$G$5:$G$24,0)</x:f>
        <x:v>8.315000000000001</x:v>
      </x:c>
      <x:c r="T2038" s="35" t="n">
        <x:f>K2038*S2038</x:f>
        <x:v>0</x:v>
      </x:c>
      <x:c r="U2038" s="35" t="n">
        <x:f>L2038-N2038-P2038-R2038-T2038</x:f>
        <x:v>0</x:v>
      </x:c>
      <x:c r="V2038" s="21" t="n">
        <x:f>IFERROR(U2038/L2038,0)</x:f>
        <x:v>0</x:v>
      </x:c>
    </x:row>
    <x:row r="2039">
      <x:c r="A2039" s="19" t="str">
        <x:v>SALE-02035</x:v>
      </x:c>
      <x:c r="B2039" s="34" t="n">
        <x:v>46211.5</x:v>
      </x:c>
      <x:c r="C2039" s="19" t="str">
        <x:v>周三</x:v>
      </x:c>
      <x:c r="D2039" s="19" t="str">
        <x:v>S08</x:v>
      </x:c>
      <x:c r="E2039" s="19" t="str">
        <x:v>四季青店</x:v>
      </x:c>
      <x:c r="F2039" s="19" t="str">
        <x:v>外卖</x:v>
      </x:c>
      <x:c r="G2039" s="19" t="str">
        <x:v>全日</x:v>
      </x:c>
      <x:c r="H2039" s="19" t="str">
        <x:v>D15</x:v>
      </x:c>
      <x:c r="I2039" s="19" t="str">
        <x:v>湘西土匪猪肝</x:v>
      </x:c>
      <x:c r="J2039" s="22" t="n">
        <x:f>XLOOKUP(H2039,'菜品主数据'!$A$5:$A$24,'菜品主数据'!$D$5:$D$24,0)</x:f>
        <x:v>26</x:v>
      </x:c>
      <x:c r="K2039" s="31" t="n">
        <x:v>0</x:v>
      </x:c>
      <x:c r="L2039" s="35" t="n">
        <x:f>J2039*K2039</x:f>
        <x:v>0</x:v>
      </x:c>
      <x:c r="M2039" s="36" t="n">
        <x:v>0.08</x:v>
      </x:c>
      <x:c r="N2039" s="35" t="n">
        <x:f>L2039*M2039</x:f>
        <x:v>0</x:v>
      </x:c>
      <x:c r="O2039" s="37" t="n">
        <x:v>0.18</x:v>
      </x:c>
      <x:c r="P2039" s="35" t="n">
        <x:f>L2039*O2039</x:f>
        <x:v>0</x:v>
      </x:c>
      <x:c r="Q2039" s="35" t="n">
        <x:v>1.2</x:v>
      </x:c>
      <x:c r="R2039" s="35" t="n">
        <x:f>K2039*Q2039</x:f>
        <x:v>0</x:v>
      </x:c>
      <x:c r="S2039" s="35" t="n">
        <x:f>XLOOKUP(H2039,'菜品主数据'!$A$5:$A$24,'菜品主数据'!$G$5:$G$24,0)</x:f>
        <x:v>6.3759999999999994</x:v>
      </x:c>
      <x:c r="T2039" s="35" t="n">
        <x:f>K2039*S2039</x:f>
        <x:v>0</x:v>
      </x:c>
      <x:c r="U2039" s="35" t="n">
        <x:f>L2039-N2039-P2039-R2039-T2039</x:f>
        <x:v>0</x:v>
      </x:c>
      <x:c r="V2039" s="21" t="n">
        <x:f>IFERROR(U2039/L2039,0)</x:f>
        <x:v>0</x:v>
      </x:c>
    </x:row>
    <x:row r="2040">
      <x:c r="A2040" s="19" t="str">
        <x:v>SALE-02036</x:v>
      </x:c>
      <x:c r="B2040" s="34" t="n">
        <x:v>46211.5</x:v>
      </x:c>
      <x:c r="C2040" s="19" t="str">
        <x:v>周三</x:v>
      </x:c>
      <x:c r="D2040" s="19" t="str">
        <x:v>S08</x:v>
      </x:c>
      <x:c r="E2040" s="19" t="str">
        <x:v>四季青店</x:v>
      </x:c>
      <x:c r="F2040" s="19" t="str">
        <x:v>外卖</x:v>
      </x:c>
      <x:c r="G2040" s="19" t="str">
        <x:v>全日</x:v>
      </x:c>
      <x:c r="H2040" s="19" t="str">
        <x:v>D16</x:v>
      </x:c>
      <x:c r="I2040" s="19" t="str">
        <x:v>小豆角炒五花</x:v>
      </x:c>
      <x:c r="J2040" s="22" t="n">
        <x:f>XLOOKUP(H2040,'菜品主数据'!$A$5:$A$24,'菜品主数据'!$D$5:$D$24,0)</x:f>
        <x:v>25</x:v>
      </x:c>
      <x:c r="K2040" s="31" t="n">
        <x:v>0</x:v>
      </x:c>
      <x:c r="L2040" s="35" t="n">
        <x:f>J2040*K2040</x:f>
        <x:v>0</x:v>
      </x:c>
      <x:c r="M2040" s="36" t="n">
        <x:v>0.08</x:v>
      </x:c>
      <x:c r="N2040" s="35" t="n">
        <x:f>L2040*M2040</x:f>
        <x:v>0</x:v>
      </x:c>
      <x:c r="O2040" s="37" t="n">
        <x:v>0.18</x:v>
      </x:c>
      <x:c r="P2040" s="35" t="n">
        <x:f>L2040*O2040</x:f>
        <x:v>0</x:v>
      </x:c>
      <x:c r="Q2040" s="35" t="n">
        <x:v>1.2</x:v>
      </x:c>
      <x:c r="R2040" s="35" t="n">
        <x:f>K2040*Q2040</x:f>
        <x:v>0</x:v>
      </x:c>
      <x:c r="S2040" s="35" t="n">
        <x:f>XLOOKUP(H2040,'菜品主数据'!$A$5:$A$24,'菜品主数据'!$G$5:$G$24,0)</x:f>
        <x:v>8.184</x:v>
      </x:c>
      <x:c r="T2040" s="35" t="n">
        <x:f>K2040*S2040</x:f>
        <x:v>0</x:v>
      </x:c>
      <x:c r="U2040" s="35" t="n">
        <x:f>L2040-N2040-P2040-R2040-T2040</x:f>
        <x:v>0</x:v>
      </x:c>
      <x:c r="V2040" s="21" t="n">
        <x:f>IFERROR(U2040/L2040,0)</x:f>
        <x:v>0</x:v>
      </x:c>
    </x:row>
    <x:row r="2041">
      <x:c r="A2041" s="19" t="str">
        <x:v>SALE-02037</x:v>
      </x:c>
      <x:c r="B2041" s="34" t="n">
        <x:v>46211.5</x:v>
      </x:c>
      <x:c r="C2041" s="19" t="str">
        <x:v>周三</x:v>
      </x:c>
      <x:c r="D2041" s="19" t="str">
        <x:v>S08</x:v>
      </x:c>
      <x:c r="E2041" s="19" t="str">
        <x:v>四季青店</x:v>
      </x:c>
      <x:c r="F2041" s="19" t="str">
        <x:v>外卖</x:v>
      </x:c>
      <x:c r="G2041" s="19" t="str">
        <x:v>全日</x:v>
      </x:c>
      <x:c r="H2041" s="19" t="str">
        <x:v>D17</x:v>
      </x:c>
      <x:c r="I2041" s="19" t="str">
        <x:v>蒜蓉粉丝虾</x:v>
      </x:c>
      <x:c r="J2041" s="22" t="n">
        <x:f>XLOOKUP(H2041,'菜品主数据'!$A$5:$A$24,'菜品主数据'!$D$5:$D$24,0)</x:f>
        <x:v>36</x:v>
      </x:c>
      <x:c r="K2041" s="31" t="n">
        <x:v>0</x:v>
      </x:c>
      <x:c r="L2041" s="35" t="n">
        <x:f>J2041*K2041</x:f>
        <x:v>0</x:v>
      </x:c>
      <x:c r="M2041" s="36" t="n">
        <x:v>0.08</x:v>
      </x:c>
      <x:c r="N2041" s="35" t="n">
        <x:f>L2041*M2041</x:f>
        <x:v>0</x:v>
      </x:c>
      <x:c r="O2041" s="37" t="n">
        <x:v>0.18</x:v>
      </x:c>
      <x:c r="P2041" s="35" t="n">
        <x:f>L2041*O2041</x:f>
        <x:v>0</x:v>
      </x:c>
      <x:c r="Q2041" s="35" t="n">
        <x:v>1.2</x:v>
      </x:c>
      <x:c r="R2041" s="35" t="n">
        <x:f>K2041*Q2041</x:f>
        <x:v>0</x:v>
      </x:c>
      <x:c r="S2041" s="35" t="n">
        <x:f>XLOOKUP(H2041,'菜品主数据'!$A$5:$A$24,'菜品主数据'!$G$5:$G$24,0)</x:f>
        <x:v>13.594</x:v>
      </x:c>
      <x:c r="T2041" s="35" t="n">
        <x:f>K2041*S2041</x:f>
        <x:v>0</x:v>
      </x:c>
      <x:c r="U2041" s="35" t="n">
        <x:f>L2041-N2041-P2041-R2041-T2041</x:f>
        <x:v>0</x:v>
      </x:c>
      <x:c r="V2041" s="21" t="n">
        <x:f>IFERROR(U2041/L2041,0)</x:f>
        <x:v>0</x:v>
      </x:c>
    </x:row>
    <x:row r="2042">
      <x:c r="A2042" s="19" t="str">
        <x:v>SALE-02038</x:v>
      </x:c>
      <x:c r="B2042" s="34" t="n">
        <x:v>46211.5</x:v>
      </x:c>
      <x:c r="C2042" s="19" t="str">
        <x:v>周三</x:v>
      </x:c>
      <x:c r="D2042" s="19" t="str">
        <x:v>S08</x:v>
      </x:c>
      <x:c r="E2042" s="19" t="str">
        <x:v>四季青店</x:v>
      </x:c>
      <x:c r="F2042" s="19" t="str">
        <x:v>外卖</x:v>
      </x:c>
      <x:c r="G2042" s="19" t="str">
        <x:v>全日</x:v>
      </x:c>
      <x:c r="H2042" s="19" t="str">
        <x:v>D18</x:v>
      </x:c>
      <x:c r="I2042" s="19" t="str">
        <x:v>青椒炒油麦菜</x:v>
      </x:c>
      <x:c r="J2042" s="22" t="n">
        <x:f>XLOOKUP(H2042,'菜品主数据'!$A$5:$A$24,'菜品主数据'!$D$5:$D$24,0)</x:f>
        <x:v>18</x:v>
      </x:c>
      <x:c r="K2042" s="31" t="n">
        <x:v>0</x:v>
      </x:c>
      <x:c r="L2042" s="35" t="n">
        <x:f>J2042*K2042</x:f>
        <x:v>0</x:v>
      </x:c>
      <x:c r="M2042" s="36" t="n">
        <x:v>0.08</x:v>
      </x:c>
      <x:c r="N2042" s="35" t="n">
        <x:f>L2042*M2042</x:f>
        <x:v>0</x:v>
      </x:c>
      <x:c r="O2042" s="37" t="n">
        <x:v>0.18</x:v>
      </x:c>
      <x:c r="P2042" s="35" t="n">
        <x:f>L2042*O2042</x:f>
        <x:v>0</x:v>
      </x:c>
      <x:c r="Q2042" s="35" t="n">
        <x:v>1.2</x:v>
      </x:c>
      <x:c r="R2042" s="35" t="n">
        <x:f>K2042*Q2042</x:f>
        <x:v>0</x:v>
      </x:c>
      <x:c r="S2042" s="35" t="n">
        <x:f>XLOOKUP(H2042,'菜品主数据'!$A$5:$A$24,'菜品主数据'!$G$5:$G$24,0)</x:f>
        <x:v>3.1759999999999993</x:v>
      </x:c>
      <x:c r="T2042" s="35" t="n">
        <x:f>K2042*S2042</x:f>
        <x:v>0</x:v>
      </x:c>
      <x:c r="U2042" s="35" t="n">
        <x:f>L2042-N2042-P2042-R2042-T2042</x:f>
        <x:v>0</x:v>
      </x:c>
      <x:c r="V2042" s="21" t="n">
        <x:f>IFERROR(U2042/L2042,0)</x:f>
        <x:v>0</x:v>
      </x:c>
    </x:row>
    <x:row r="2043">
      <x:c r="A2043" s="19" t="str">
        <x:v>SALE-02039</x:v>
      </x:c>
      <x:c r="B2043" s="34" t="n">
        <x:v>46211.5</x:v>
      </x:c>
      <x:c r="C2043" s="19" t="str">
        <x:v>周三</x:v>
      </x:c>
      <x:c r="D2043" s="19" t="str">
        <x:v>S08</x:v>
      </x:c>
      <x:c r="E2043" s="19" t="str">
        <x:v>四季青店</x:v>
      </x:c>
      <x:c r="F2043" s="19" t="str">
        <x:v>外卖</x:v>
      </x:c>
      <x:c r="G2043" s="19" t="str">
        <x:v>全日</x:v>
      </x:c>
      <x:c r="H2043" s="19" t="str">
        <x:v>D19</x:v>
      </x:c>
      <x:c r="I2043" s="19" t="str">
        <x:v>酸萝卜炒鸡杂</x:v>
      </x:c>
      <x:c r="J2043" s="22" t="n">
        <x:f>XLOOKUP(H2043,'菜品主数据'!$A$5:$A$24,'菜品主数据'!$D$5:$D$24,0)</x:f>
        <x:v>25</x:v>
      </x:c>
      <x:c r="K2043" s="31" t="n">
        <x:v>0</x:v>
      </x:c>
      <x:c r="L2043" s="35" t="n">
        <x:f>J2043*K2043</x:f>
        <x:v>0</x:v>
      </x:c>
      <x:c r="M2043" s="36" t="n">
        <x:v>0.08</x:v>
      </x:c>
      <x:c r="N2043" s="35" t="n">
        <x:f>L2043*M2043</x:f>
        <x:v>0</x:v>
      </x:c>
      <x:c r="O2043" s="37" t="n">
        <x:v>0.18</x:v>
      </x:c>
      <x:c r="P2043" s="35" t="n">
        <x:f>L2043*O2043</x:f>
        <x:v>0</x:v>
      </x:c>
      <x:c r="Q2043" s="35" t="n">
        <x:v>1.2</x:v>
      </x:c>
      <x:c r="R2043" s="35" t="n">
        <x:f>K2043*Q2043</x:f>
        <x:v>0</x:v>
      </x:c>
      <x:c r="S2043" s="35" t="n">
        <x:f>XLOOKUP(H2043,'菜品主数据'!$A$5:$A$24,'菜品主数据'!$G$5:$G$24,0)</x:f>
        <x:v>7.9399999999999995</x:v>
      </x:c>
      <x:c r="T2043" s="35" t="n">
        <x:f>K2043*S2043</x:f>
        <x:v>0</x:v>
      </x:c>
      <x:c r="U2043" s="35" t="n">
        <x:f>L2043-N2043-P2043-R2043-T2043</x:f>
        <x:v>0</x:v>
      </x:c>
      <x:c r="V2043" s="21" t="n">
        <x:f>IFERROR(U2043/L2043,0)</x:f>
        <x:v>0</x:v>
      </x:c>
    </x:row>
    <x:row r="2044">
      <x:c r="A2044" s="19" t="str">
        <x:v>SALE-02040</x:v>
      </x:c>
      <x:c r="B2044" s="34" t="n">
        <x:v>46211.5</x:v>
      </x:c>
      <x:c r="C2044" s="19" t="str">
        <x:v>周三</x:v>
      </x:c>
      <x:c r="D2044" s="19" t="str">
        <x:v>S08</x:v>
      </x:c>
      <x:c r="E2044" s="19" t="str">
        <x:v>四季青店</x:v>
      </x:c>
      <x:c r="F2044" s="19" t="str">
        <x:v>外卖</x:v>
      </x:c>
      <x:c r="G2044" s="19" t="str">
        <x:v>全日</x:v>
      </x:c>
      <x:c r="H2044" s="19" t="str">
        <x:v>D20</x:v>
      </x:c>
      <x:c r="I2044" s="19" t="str">
        <x:v>雪菜肉末青豆</x:v>
      </x:c>
      <x:c r="J2044" s="22" t="n">
        <x:f>XLOOKUP(H2044,'菜品主数据'!$A$5:$A$24,'菜品主数据'!$D$5:$D$24,0)</x:f>
        <x:v>18</x:v>
      </x:c>
      <x:c r="K2044" s="31" t="n">
        <x:v>0</x:v>
      </x:c>
      <x:c r="L2044" s="35" t="n">
        <x:f>J2044*K2044</x:f>
        <x:v>0</x:v>
      </x:c>
      <x:c r="M2044" s="36" t="n">
        <x:v>0.08</x:v>
      </x:c>
      <x:c r="N2044" s="35" t="n">
        <x:f>L2044*M2044</x:f>
        <x:v>0</x:v>
      </x:c>
      <x:c r="O2044" s="37" t="n">
        <x:v>0.18</x:v>
      </x:c>
      <x:c r="P2044" s="35" t="n">
        <x:f>L2044*O2044</x:f>
        <x:v>0</x:v>
      </x:c>
      <x:c r="Q2044" s="35" t="n">
        <x:v>1.2</x:v>
      </x:c>
      <x:c r="R2044" s="35" t="n">
        <x:f>K2044*Q2044</x:f>
        <x:v>0</x:v>
      </x:c>
      <x:c r="S2044" s="35" t="n">
        <x:f>XLOOKUP(H2044,'菜品主数据'!$A$5:$A$24,'菜品主数据'!$G$5:$G$24,0)</x:f>
        <x:v>7.303999999999999</x:v>
      </x:c>
      <x:c r="T2044" s="35" t="n">
        <x:f>K2044*S2044</x:f>
        <x:v>0</x:v>
      </x:c>
      <x:c r="U2044" s="35" t="n">
        <x:f>L2044-N2044-P2044-R2044-T2044</x:f>
        <x:v>0</x:v>
      </x:c>
      <x:c r="V2044" s="21" t="n">
        <x:f>IFERROR(U2044/L2044,0)</x:f>
        <x:v>0</x:v>
      </x:c>
    </x:row>
    <x:row r="2045">
      <x:c r="A2045" s="19" t="str">
        <x:v>SALE-02041</x:v>
      </x:c>
      <x:c r="B2045" s="34" t="n">
        <x:v>46212.5</x:v>
      </x:c>
      <x:c r="C2045" s="19" t="str">
        <x:v>周四</x:v>
      </x:c>
      <x:c r="D2045" s="19" t="str">
        <x:v>S08</x:v>
      </x:c>
      <x:c r="E2045" s="19" t="str">
        <x:v>四季青店</x:v>
      </x:c>
      <x:c r="F2045" s="19" t="str">
        <x:v>堂食</x:v>
      </x:c>
      <x:c r="G2045" s="19" t="str">
        <x:v>全日</x:v>
      </x:c>
      <x:c r="H2045" s="19" t="str">
        <x:v>D01</x:v>
      </x:c>
      <x:c r="I2045" s="19" t="str">
        <x:v>辣椒炒肉</x:v>
      </x:c>
      <x:c r="J2045" s="22" t="n">
        <x:f>XLOOKUP(H2045,'菜品主数据'!$A$5:$A$24,'菜品主数据'!$D$5:$D$24,0)</x:f>
        <x:v>29</x:v>
      </x:c>
      <x:c r="K2045" s="31" t="n">
        <x:v>39</x:v>
      </x:c>
      <x:c r="L2045" s="35" t="n">
        <x:f>J2045*K2045</x:f>
        <x:v>1131</x:v>
      </x:c>
      <x:c r="M2045" s="36" t="n">
        <x:v>0</x:v>
      </x:c>
      <x:c r="N2045" s="35" t="n">
        <x:f>L2045*M2045</x:f>
        <x:v>0</x:v>
      </x:c>
      <x:c r="O2045" s="37" t="n">
        <x:v>0</x:v>
      </x:c>
      <x:c r="P2045" s="35" t="n">
        <x:f>L2045*O2045</x:f>
        <x:v>0</x:v>
      </x:c>
      <x:c r="Q2045" s="35" t="n">
        <x:v>0</x:v>
      </x:c>
      <x:c r="R2045" s="35" t="n">
        <x:f>K2045*Q2045</x:f>
        <x:v>0</x:v>
      </x:c>
      <x:c r="S2045" s="35" t="n">
        <x:f>XLOOKUP(H2045,'菜品主数据'!$A$5:$A$24,'菜品主数据'!$G$5:$G$24,0)</x:f>
        <x:v>8.634400000000001</x:v>
      </x:c>
      <x:c r="T2045" s="35" t="n">
        <x:f>K2045*S2045</x:f>
        <x:v>336.74160000000006</x:v>
      </x:c>
      <x:c r="U2045" s="35" t="n">
        <x:f>L2045-N2045-P2045-R2045-T2045</x:f>
        <x:v>794.2583999999999</x:v>
      </x:c>
      <x:c r="V2045" s="21" t="n">
        <x:f>IFERROR(U2045/L2045,0)</x:f>
        <x:v>0.7022620689655172</x:v>
      </x:c>
    </x:row>
    <x:row r="2046">
      <x:c r="A2046" s="19" t="str">
        <x:v>SALE-02042</x:v>
      </x:c>
      <x:c r="B2046" s="34" t="n">
        <x:v>46212.5</x:v>
      </x:c>
      <x:c r="C2046" s="19" t="str">
        <x:v>周四</x:v>
      </x:c>
      <x:c r="D2046" s="19" t="str">
        <x:v>S08</x:v>
      </x:c>
      <x:c r="E2046" s="19" t="str">
        <x:v>四季青店</x:v>
      </x:c>
      <x:c r="F2046" s="19" t="str">
        <x:v>堂食</x:v>
      </x:c>
      <x:c r="G2046" s="19" t="str">
        <x:v>全日</x:v>
      </x:c>
      <x:c r="H2046" s="19" t="str">
        <x:v>D02</x:v>
      </x:c>
      <x:c r="I2046" s="19" t="str">
        <x:v>小炒黄牛肉</x:v>
      </x:c>
      <x:c r="J2046" s="22" t="n">
        <x:f>XLOOKUP(H2046,'菜品主数据'!$A$5:$A$24,'菜品主数据'!$D$5:$D$24,0)</x:f>
        <x:v>49</x:v>
      </x:c>
      <x:c r="K2046" s="31" t="n">
        <x:v>22</x:v>
      </x:c>
      <x:c r="L2046" s="35" t="n">
        <x:f>J2046*K2046</x:f>
        <x:v>1078</x:v>
      </x:c>
      <x:c r="M2046" s="36" t="n">
        <x:v>0</x:v>
      </x:c>
      <x:c r="N2046" s="35" t="n">
        <x:f>L2046*M2046</x:f>
        <x:v>0</x:v>
      </x:c>
      <x:c r="O2046" s="37" t="n">
        <x:v>0</x:v>
      </x:c>
      <x:c r="P2046" s="35" t="n">
        <x:f>L2046*O2046</x:f>
        <x:v>0</x:v>
      </x:c>
      <x:c r="Q2046" s="35" t="n">
        <x:v>0</x:v>
      </x:c>
      <x:c r="R2046" s="35" t="n">
        <x:f>K2046*Q2046</x:f>
        <x:v>0</x:v>
      </x:c>
      <x:c r="S2046" s="35" t="n">
        <x:f>XLOOKUP(H2046,'菜品主数据'!$A$5:$A$24,'菜品主数据'!$G$5:$G$24,0)</x:f>
        <x:v>17.577</x:v>
      </x:c>
      <x:c r="T2046" s="35" t="n">
        <x:f>K2046*S2046</x:f>
        <x:v>386.694</x:v>
      </x:c>
      <x:c r="U2046" s="35" t="n">
        <x:f>L2046-N2046-P2046-R2046-T2046</x:f>
        <x:v>691.306</x:v>
      </x:c>
      <x:c r="V2046" s="21" t="n">
        <x:f>IFERROR(U2046/L2046,0)</x:f>
        <x:v>0.6412857142857143</x:v>
      </x:c>
    </x:row>
    <x:row r="2047">
      <x:c r="A2047" s="19" t="str">
        <x:v>SALE-02043</x:v>
      </x:c>
      <x:c r="B2047" s="34" t="n">
        <x:v>46212.5</x:v>
      </x:c>
      <x:c r="C2047" s="19" t="str">
        <x:v>周四</x:v>
      </x:c>
      <x:c r="D2047" s="19" t="str">
        <x:v>S08</x:v>
      </x:c>
      <x:c r="E2047" s="19" t="str">
        <x:v>四季青店</x:v>
      </x:c>
      <x:c r="F2047" s="19" t="str">
        <x:v>堂食</x:v>
      </x:c>
      <x:c r="G2047" s="19" t="str">
        <x:v>全日</x:v>
      </x:c>
      <x:c r="H2047" s="19" t="str">
        <x:v>D03</x:v>
      </x:c>
      <x:c r="I2047" s="19" t="str">
        <x:v>香醋炒蛋</x:v>
      </x:c>
      <x:c r="J2047" s="22" t="n">
        <x:f>XLOOKUP(H2047,'菜品主数据'!$A$5:$A$24,'菜品主数据'!$D$5:$D$24,0)</x:f>
        <x:v>14.9</x:v>
      </x:c>
      <x:c r="K2047" s="31" t="n">
        <x:v>31</x:v>
      </x:c>
      <x:c r="L2047" s="35" t="n">
        <x:f>J2047*K2047</x:f>
        <x:v>461.90000000000003</x:v>
      </x:c>
      <x:c r="M2047" s="36" t="n">
        <x:v>0</x:v>
      </x:c>
      <x:c r="N2047" s="35" t="n">
        <x:f>L2047*M2047</x:f>
        <x:v>0</x:v>
      </x:c>
      <x:c r="O2047" s="37" t="n">
        <x:v>0</x:v>
      </x:c>
      <x:c r="P2047" s="35" t="n">
        <x:f>L2047*O2047</x:f>
        <x:v>0</x:v>
      </x:c>
      <x:c r="Q2047" s="35" t="n">
        <x:v>0</x:v>
      </x:c>
      <x:c r="R2047" s="35" t="n">
        <x:f>K2047*Q2047</x:f>
        <x:v>0</x:v>
      </x:c>
      <x:c r="S2047" s="35" t="n">
        <x:f>XLOOKUP(H2047,'菜品主数据'!$A$5:$A$24,'菜品主数据'!$G$5:$G$24,0)</x:f>
        <x:v>3.7459999999999996</x:v>
      </x:c>
      <x:c r="T2047" s="35" t="n">
        <x:f>K2047*S2047</x:f>
        <x:v>116.12599999999999</x:v>
      </x:c>
      <x:c r="U2047" s="35" t="n">
        <x:f>L2047-N2047-P2047-R2047-T2047</x:f>
        <x:v>345.77400000000006</x:v>
      </x:c>
      <x:c r="V2047" s="21" t="n">
        <x:f>IFERROR(U2047/L2047,0)</x:f>
        <x:v>0.7485906040268457</x:v>
      </x:c>
    </x:row>
    <x:row r="2048">
      <x:c r="A2048" s="19" t="str">
        <x:v>SALE-02044</x:v>
      </x:c>
      <x:c r="B2048" s="34" t="n">
        <x:v>46212.5</x:v>
      </x:c>
      <x:c r="C2048" s="19" t="str">
        <x:v>周四</x:v>
      </x:c>
      <x:c r="D2048" s="19" t="str">
        <x:v>S08</x:v>
      </x:c>
      <x:c r="E2048" s="19" t="str">
        <x:v>四季青店</x:v>
      </x:c>
      <x:c r="F2048" s="19" t="str">
        <x:v>堂食</x:v>
      </x:c>
      <x:c r="G2048" s="19" t="str">
        <x:v>全日</x:v>
      </x:c>
      <x:c r="H2048" s="19" t="str">
        <x:v>D04</x:v>
      </x:c>
      <x:c r="I2048" s="19" t="str">
        <x:v>酸包菜炒粉皮</x:v>
      </x:c>
      <x:c r="J2048" s="22" t="n">
        <x:f>XLOOKUP(H2048,'菜品主数据'!$A$5:$A$24,'菜品主数据'!$D$5:$D$24,0)</x:f>
        <x:v>16</x:v>
      </x:c>
      <x:c r="K2048" s="31" t="n">
        <x:v>27</x:v>
      </x:c>
      <x:c r="L2048" s="35" t="n">
        <x:f>J2048*K2048</x:f>
        <x:v>432</x:v>
      </x:c>
      <x:c r="M2048" s="36" t="n">
        <x:v>0</x:v>
      </x:c>
      <x:c r="N2048" s="35" t="n">
        <x:f>L2048*M2048</x:f>
        <x:v>0</x:v>
      </x:c>
      <x:c r="O2048" s="37" t="n">
        <x:v>0</x:v>
      </x:c>
      <x:c r="P2048" s="35" t="n">
        <x:f>L2048*O2048</x:f>
        <x:v>0</x:v>
      </x:c>
      <x:c r="Q2048" s="35" t="n">
        <x:v>0</x:v>
      </x:c>
      <x:c r="R2048" s="35" t="n">
        <x:f>K2048*Q2048</x:f>
        <x:v>0</x:v>
      </x:c>
      <x:c r="S2048" s="35" t="n">
        <x:f>XLOOKUP(H2048,'菜品主数据'!$A$5:$A$24,'菜品主数据'!$G$5:$G$24,0)</x:f>
        <x:v>3.978</x:v>
      </x:c>
      <x:c r="T2048" s="35" t="n">
        <x:f>K2048*S2048</x:f>
        <x:v>107.406</x:v>
      </x:c>
      <x:c r="U2048" s="35" t="n">
        <x:f>L2048-N2048-P2048-R2048-T2048</x:f>
        <x:v>324.594</x:v>
      </x:c>
      <x:c r="V2048" s="21" t="n">
        <x:f>IFERROR(U2048/L2048,0)</x:f>
        <x:v>0.751375</x:v>
      </x:c>
    </x:row>
    <x:row r="2049">
      <x:c r="A2049" s="19" t="str">
        <x:v>SALE-02045</x:v>
      </x:c>
      <x:c r="B2049" s="34" t="n">
        <x:v>46212.5</x:v>
      </x:c>
      <x:c r="C2049" s="19" t="str">
        <x:v>周四</x:v>
      </x:c>
      <x:c r="D2049" s="19" t="str">
        <x:v>S08</x:v>
      </x:c>
      <x:c r="E2049" s="19" t="str">
        <x:v>四季青店</x:v>
      </x:c>
      <x:c r="F2049" s="19" t="str">
        <x:v>堂食</x:v>
      </x:c>
      <x:c r="G2049" s="19" t="str">
        <x:v>全日</x:v>
      </x:c>
      <x:c r="H2049" s="19" t="str">
        <x:v>D05</x:v>
      </x:c>
      <x:c r="I2049" s="19" t="str">
        <x:v>麻婆豆腐</x:v>
      </x:c>
      <x:c r="J2049" s="22" t="n">
        <x:f>XLOOKUP(H2049,'菜品主数据'!$A$5:$A$24,'菜品主数据'!$D$5:$D$24,0)</x:f>
        <x:v>9.9</x:v>
      </x:c>
      <x:c r="K2049" s="31" t="n">
        <x:v>39</x:v>
      </x:c>
      <x:c r="L2049" s="35" t="n">
        <x:f>J2049*K2049</x:f>
        <x:v>386.1</x:v>
      </x:c>
      <x:c r="M2049" s="36" t="n">
        <x:v>0</x:v>
      </x:c>
      <x:c r="N2049" s="35" t="n">
        <x:f>L2049*M2049</x:f>
        <x:v>0</x:v>
      </x:c>
      <x:c r="O2049" s="37" t="n">
        <x:v>0</x:v>
      </x:c>
      <x:c r="P2049" s="35" t="n">
        <x:f>L2049*O2049</x:f>
        <x:v>0</x:v>
      </x:c>
      <x:c r="Q2049" s="35" t="n">
        <x:v>0</x:v>
      </x:c>
      <x:c r="R2049" s="35" t="n">
        <x:f>K2049*Q2049</x:f>
        <x:v>0</x:v>
      </x:c>
      <x:c r="S2049" s="35" t="n">
        <x:f>XLOOKUP(H2049,'菜品主数据'!$A$5:$A$24,'菜品主数据'!$G$5:$G$24,0)</x:f>
        <x:v>5.367000000000001</x:v>
      </x:c>
      <x:c r="T2049" s="35" t="n">
        <x:f>K2049*S2049</x:f>
        <x:v>209.31300000000005</x:v>
      </x:c>
      <x:c r="U2049" s="35" t="n">
        <x:f>L2049-N2049-P2049-R2049-T2049</x:f>
        <x:v>176.78699999999998</x:v>
      </x:c>
      <x:c r="V2049" s="21" t="n">
        <x:f>IFERROR(U2049/L2049,0)</x:f>
        <x:v>0.4578787878787878</x:v>
      </x:c>
    </x:row>
    <x:row r="2050">
      <x:c r="A2050" s="19" t="str">
        <x:v>SALE-02046</x:v>
      </x:c>
      <x:c r="B2050" s="34" t="n">
        <x:v>46212.5</x:v>
      </x:c>
      <x:c r="C2050" s="19" t="str">
        <x:v>周四</x:v>
      </x:c>
      <x:c r="D2050" s="19" t="str">
        <x:v>S08</x:v>
      </x:c>
      <x:c r="E2050" s="19" t="str">
        <x:v>四季青店</x:v>
      </x:c>
      <x:c r="F2050" s="19" t="str">
        <x:v>堂食</x:v>
      </x:c>
      <x:c r="G2050" s="19" t="str">
        <x:v>全日</x:v>
      </x:c>
      <x:c r="H2050" s="19" t="str">
        <x:v>D06</x:v>
      </x:c>
      <x:c r="I2050" s="19" t="str">
        <x:v>剁椒鱼头</x:v>
      </x:c>
      <x:c r="J2050" s="22" t="n">
        <x:f>XLOOKUP(H2050,'菜品主数据'!$A$5:$A$24,'菜品主数据'!$D$5:$D$24,0)</x:f>
        <x:v>39</x:v>
      </x:c>
      <x:c r="K2050" s="31" t="n">
        <x:v>9</x:v>
      </x:c>
      <x:c r="L2050" s="35" t="n">
        <x:f>J2050*K2050</x:f>
        <x:v>351</x:v>
      </x:c>
      <x:c r="M2050" s="36" t="n">
        <x:v>0</x:v>
      </x:c>
      <x:c r="N2050" s="35" t="n">
        <x:f>L2050*M2050</x:f>
        <x:v>0</x:v>
      </x:c>
      <x:c r="O2050" s="37" t="n">
        <x:v>0</x:v>
      </x:c>
      <x:c r="P2050" s="35" t="n">
        <x:f>L2050*O2050</x:f>
        <x:v>0</x:v>
      </x:c>
      <x:c r="Q2050" s="35" t="n">
        <x:v>0</x:v>
      </x:c>
      <x:c r="R2050" s="35" t="n">
        <x:f>K2050*Q2050</x:f>
        <x:v>0</x:v>
      </x:c>
      <x:c r="S2050" s="35" t="n">
        <x:f>XLOOKUP(H2050,'菜品主数据'!$A$5:$A$24,'菜品主数据'!$G$5:$G$24,0)</x:f>
        <x:v>17.446</x:v>
      </x:c>
      <x:c r="T2050" s="35" t="n">
        <x:f>K2050*S2050</x:f>
        <x:v>157.014</x:v>
      </x:c>
      <x:c r="U2050" s="35" t="n">
        <x:f>L2050-N2050-P2050-R2050-T2050</x:f>
        <x:v>193.986</x:v>
      </x:c>
      <x:c r="V2050" s="21" t="n">
        <x:f>IFERROR(U2050/L2050,0)</x:f>
        <x:v>0.5526666666666666</x:v>
      </x:c>
    </x:row>
    <x:row r="2051">
      <x:c r="A2051" s="19" t="str">
        <x:v>SALE-02047</x:v>
      </x:c>
      <x:c r="B2051" s="34" t="n">
        <x:v>46212.5</x:v>
      </x:c>
      <x:c r="C2051" s="19" t="str">
        <x:v>周四</x:v>
      </x:c>
      <x:c r="D2051" s="19" t="str">
        <x:v>S08</x:v>
      </x:c>
      <x:c r="E2051" s="19" t="str">
        <x:v>四季青店</x:v>
      </x:c>
      <x:c r="F2051" s="19" t="str">
        <x:v>堂食</x:v>
      </x:c>
      <x:c r="G2051" s="19" t="str">
        <x:v>全日</x:v>
      </x:c>
      <x:c r="H2051" s="19" t="str">
        <x:v>D07</x:v>
      </x:c>
      <x:c r="I2051" s="19" t="str">
        <x:v>川味回锅肉</x:v>
      </x:c>
      <x:c r="J2051" s="22" t="n">
        <x:f>XLOOKUP(H2051,'菜品主数据'!$A$5:$A$24,'菜品主数据'!$D$5:$D$24,0)</x:f>
        <x:v>29</x:v>
      </x:c>
      <x:c r="K2051" s="31" t="n">
        <x:v>11</x:v>
      </x:c>
      <x:c r="L2051" s="35" t="n">
        <x:f>J2051*K2051</x:f>
        <x:v>319</x:v>
      </x:c>
      <x:c r="M2051" s="36" t="n">
        <x:v>0</x:v>
      </x:c>
      <x:c r="N2051" s="35" t="n">
        <x:f>L2051*M2051</x:f>
        <x:v>0</x:v>
      </x:c>
      <x:c r="O2051" s="37" t="n">
        <x:v>0</x:v>
      </x:c>
      <x:c r="P2051" s="35" t="n">
        <x:f>L2051*O2051</x:f>
        <x:v>0</x:v>
      </x:c>
      <x:c r="Q2051" s="35" t="n">
        <x:v>0</x:v>
      </x:c>
      <x:c r="R2051" s="35" t="n">
        <x:f>K2051*Q2051</x:f>
        <x:v>0</x:v>
      </x:c>
      <x:c r="S2051" s="35" t="n">
        <x:f>XLOOKUP(H2051,'菜品主数据'!$A$5:$A$24,'菜品主数据'!$G$5:$G$24,0)</x:f>
        <x:v>10.231000000000002</x:v>
      </x:c>
      <x:c r="T2051" s="35" t="n">
        <x:f>K2051*S2051</x:f>
        <x:v>112.54100000000003</x:v>
      </x:c>
      <x:c r="U2051" s="35" t="n">
        <x:f>L2051-N2051-P2051-R2051-T2051</x:f>
        <x:v>206.45899999999997</x:v>
      </x:c>
      <x:c r="V2051" s="21" t="n">
        <x:f>IFERROR(U2051/L2051,0)</x:f>
        <x:v>0.647206896551724</x:v>
      </x:c>
    </x:row>
    <x:row r="2052">
      <x:c r="A2052" s="19" t="str">
        <x:v>SALE-02048</x:v>
      </x:c>
      <x:c r="B2052" s="34" t="n">
        <x:v>46212.5</x:v>
      </x:c>
      <x:c r="C2052" s="19" t="str">
        <x:v>周四</x:v>
      </x:c>
      <x:c r="D2052" s="19" t="str">
        <x:v>S08</x:v>
      </x:c>
      <x:c r="E2052" s="19" t="str">
        <x:v>四季青店</x:v>
      </x:c>
      <x:c r="F2052" s="19" t="str">
        <x:v>堂食</x:v>
      </x:c>
      <x:c r="G2052" s="19" t="str">
        <x:v>全日</x:v>
      </x:c>
      <x:c r="H2052" s="19" t="str">
        <x:v>D08</x:v>
      </x:c>
      <x:c r="I2052" s="19" t="str">
        <x:v>生炒清远鸡</x:v>
      </x:c>
      <x:c r="J2052" s="22" t="n">
        <x:f>XLOOKUP(H2052,'菜品主数据'!$A$5:$A$24,'菜品主数据'!$D$5:$D$24,0)</x:f>
        <x:v>36</x:v>
      </x:c>
      <x:c r="K2052" s="31" t="n">
        <x:v>8</x:v>
      </x:c>
      <x:c r="L2052" s="35" t="n">
        <x:f>J2052*K2052</x:f>
        <x:v>288</x:v>
      </x:c>
      <x:c r="M2052" s="36" t="n">
        <x:v>0</x:v>
      </x:c>
      <x:c r="N2052" s="35" t="n">
        <x:f>L2052*M2052</x:f>
        <x:v>0</x:v>
      </x:c>
      <x:c r="O2052" s="37" t="n">
        <x:v>0</x:v>
      </x:c>
      <x:c r="P2052" s="35" t="n">
        <x:f>L2052*O2052</x:f>
        <x:v>0</x:v>
      </x:c>
      <x:c r="Q2052" s="35" t="n">
        <x:v>0</x:v>
      </x:c>
      <x:c r="R2052" s="35" t="n">
        <x:f>K2052*Q2052</x:f>
        <x:v>0</x:v>
      </x:c>
      <x:c r="S2052" s="35" t="n">
        <x:f>XLOOKUP(H2052,'菜品主数据'!$A$5:$A$24,'菜品主数据'!$G$5:$G$24,0)</x:f>
        <x:v>13.48</x:v>
      </x:c>
      <x:c r="T2052" s="35" t="n">
        <x:f>K2052*S2052</x:f>
        <x:v>107.84</x:v>
      </x:c>
      <x:c r="U2052" s="35" t="n">
        <x:f>L2052-N2052-P2052-R2052-T2052</x:f>
        <x:v>180.16</x:v>
      </x:c>
      <x:c r="V2052" s="21" t="n">
        <x:f>IFERROR(U2052/L2052,0)</x:f>
        <x:v>0.6255555555555555</x:v>
      </x:c>
    </x:row>
    <x:row r="2053">
      <x:c r="A2053" s="19" t="str">
        <x:v>SALE-02049</x:v>
      </x:c>
      <x:c r="B2053" s="34" t="n">
        <x:v>46212.5</x:v>
      </x:c>
      <x:c r="C2053" s="19" t="str">
        <x:v>周四</x:v>
      </x:c>
      <x:c r="D2053" s="19" t="str">
        <x:v>S08</x:v>
      </x:c>
      <x:c r="E2053" s="19" t="str">
        <x:v>四季青店</x:v>
      </x:c>
      <x:c r="F2053" s="19" t="str">
        <x:v>堂食</x:v>
      </x:c>
      <x:c r="G2053" s="19" t="str">
        <x:v>全日</x:v>
      </x:c>
      <x:c r="H2053" s="19" t="str">
        <x:v>D09</x:v>
      </x:c>
      <x:c r="I2053" s="19" t="str">
        <x:v>炒豆干</x:v>
      </x:c>
      <x:c r="J2053" s="22" t="n">
        <x:f>XLOOKUP(H2053,'菜品主数据'!$A$5:$A$24,'菜品主数据'!$D$5:$D$24,0)</x:f>
        <x:v>18</x:v>
      </x:c>
      <x:c r="K2053" s="31" t="n">
        <x:v>13</x:v>
      </x:c>
      <x:c r="L2053" s="35" t="n">
        <x:f>J2053*K2053</x:f>
        <x:v>234</x:v>
      </x:c>
      <x:c r="M2053" s="36" t="n">
        <x:v>0</x:v>
      </x:c>
      <x:c r="N2053" s="35" t="n">
        <x:f>L2053*M2053</x:f>
        <x:v>0</x:v>
      </x:c>
      <x:c r="O2053" s="37" t="n">
        <x:v>0</x:v>
      </x:c>
      <x:c r="P2053" s="35" t="n">
        <x:f>L2053*O2053</x:f>
        <x:v>0</x:v>
      </x:c>
      <x:c r="Q2053" s="35" t="n">
        <x:v>0</x:v>
      </x:c>
      <x:c r="R2053" s="35" t="n">
        <x:f>K2053*Q2053</x:f>
        <x:v>0</x:v>
      </x:c>
      <x:c r="S2053" s="35" t="n">
        <x:f>XLOOKUP(H2053,'菜品主数据'!$A$5:$A$24,'菜品主数据'!$G$5:$G$24,0)</x:f>
        <x:v>6.613999999999999</x:v>
      </x:c>
      <x:c r="T2053" s="35" t="n">
        <x:f>K2053*S2053</x:f>
        <x:v>85.98199999999999</x:v>
      </x:c>
      <x:c r="U2053" s="35" t="n">
        <x:f>L2053-N2053-P2053-R2053-T2053</x:f>
        <x:v>148.01800000000003</x:v>
      </x:c>
      <x:c r="V2053" s="21" t="n">
        <x:f>IFERROR(U2053/L2053,0)</x:f>
        <x:v>0.6325555555555556</x:v>
      </x:c>
    </x:row>
    <x:row r="2054">
      <x:c r="A2054" s="19" t="str">
        <x:v>SALE-02050</x:v>
      </x:c>
      <x:c r="B2054" s="34" t="n">
        <x:v>46212.5</x:v>
      </x:c>
      <x:c r="C2054" s="19" t="str">
        <x:v>周四</x:v>
      </x:c>
      <x:c r="D2054" s="19" t="str">
        <x:v>S08</x:v>
      </x:c>
      <x:c r="E2054" s="19" t="str">
        <x:v>四季青店</x:v>
      </x:c>
      <x:c r="F2054" s="19" t="str">
        <x:v>堂食</x:v>
      </x:c>
      <x:c r="G2054" s="19" t="str">
        <x:v>全日</x:v>
      </x:c>
      <x:c r="H2054" s="19" t="str">
        <x:v>D10</x:v>
      </x:c>
      <x:c r="I2054" s="19" t="str">
        <x:v>农家一碗香</x:v>
      </x:c>
      <x:c r="J2054" s="22" t="n">
        <x:f>XLOOKUP(H2054,'菜品主数据'!$A$5:$A$24,'菜品主数据'!$D$5:$D$24,0)</x:f>
        <x:v>22.9</x:v>
      </x:c>
      <x:c r="K2054" s="31" t="n">
        <x:v>13</x:v>
      </x:c>
      <x:c r="L2054" s="35" t="n">
        <x:f>J2054*K2054</x:f>
        <x:v>297.7</x:v>
      </x:c>
      <x:c r="M2054" s="36" t="n">
        <x:v>0</x:v>
      </x:c>
      <x:c r="N2054" s="35" t="n">
        <x:f>L2054*M2054</x:f>
        <x:v>0</x:v>
      </x:c>
      <x:c r="O2054" s="37" t="n">
        <x:v>0</x:v>
      </x:c>
      <x:c r="P2054" s="35" t="n">
        <x:f>L2054*O2054</x:f>
        <x:v>0</x:v>
      </x:c>
      <x:c r="Q2054" s="35" t="n">
        <x:v>0</x:v>
      </x:c>
      <x:c r="R2054" s="35" t="n">
        <x:f>K2054*Q2054</x:f>
        <x:v>0</x:v>
      </x:c>
      <x:c r="S2054" s="35" t="n">
        <x:f>XLOOKUP(H2054,'菜品主数据'!$A$5:$A$24,'菜品主数据'!$G$5:$G$24,0)</x:f>
        <x:v>9.770200000000003</x:v>
      </x:c>
      <x:c r="T2054" s="35" t="n">
        <x:f>K2054*S2054</x:f>
        <x:v>127.01260000000003</x:v>
      </x:c>
      <x:c r="U2054" s="35" t="n">
        <x:f>L2054-N2054-P2054-R2054-T2054</x:f>
        <x:v>170.68739999999997</x:v>
      </x:c>
      <x:c r="V2054" s="21" t="n">
        <x:f>IFERROR(U2054/L2054,0)</x:f>
        <x:v>0.573353711790393</x:v>
      </x:c>
    </x:row>
    <x:row r="2055">
      <x:c r="A2055" s="19" t="str">
        <x:v>SALE-02051</x:v>
      </x:c>
      <x:c r="B2055" s="34" t="n">
        <x:v>46212.5</x:v>
      </x:c>
      <x:c r="C2055" s="19" t="str">
        <x:v>周四</x:v>
      </x:c>
      <x:c r="D2055" s="19" t="str">
        <x:v>S08</x:v>
      </x:c>
      <x:c r="E2055" s="19" t="str">
        <x:v>四季青店</x:v>
      </x:c>
      <x:c r="F2055" s="19" t="str">
        <x:v>堂食</x:v>
      </x:c>
      <x:c r="G2055" s="19" t="str">
        <x:v>全日</x:v>
      </x:c>
      <x:c r="H2055" s="19" t="str">
        <x:v>D11</x:v>
      </x:c>
      <x:c r="I2055" s="19" t="str">
        <x:v>香辣爆肥肠</x:v>
      </x:c>
      <x:c r="J2055" s="22" t="n">
        <x:f>XLOOKUP(H2055,'菜品主数据'!$A$5:$A$24,'菜品主数据'!$D$5:$D$24,0)</x:f>
        <x:v>39</x:v>
      </x:c>
      <x:c r="K2055" s="31" t="n">
        <x:v>5</x:v>
      </x:c>
      <x:c r="L2055" s="35" t="n">
        <x:f>J2055*K2055</x:f>
        <x:v>195</x:v>
      </x:c>
      <x:c r="M2055" s="36" t="n">
        <x:v>0</x:v>
      </x:c>
      <x:c r="N2055" s="35" t="n">
        <x:f>L2055*M2055</x:f>
        <x:v>0</x:v>
      </x:c>
      <x:c r="O2055" s="37" t="n">
        <x:v>0</x:v>
      </x:c>
      <x:c r="P2055" s="35" t="n">
        <x:f>L2055*O2055</x:f>
        <x:v>0</x:v>
      </x:c>
      <x:c r="Q2055" s="35" t="n">
        <x:v>0</x:v>
      </x:c>
      <x:c r="R2055" s="35" t="n">
        <x:f>K2055*Q2055</x:f>
        <x:v>0</x:v>
      </x:c>
      <x:c r="S2055" s="35" t="n">
        <x:f>XLOOKUP(H2055,'菜品主数据'!$A$5:$A$24,'菜品主数据'!$G$5:$G$24,0)</x:f>
        <x:v>10.397</x:v>
      </x:c>
      <x:c r="T2055" s="35" t="n">
        <x:f>K2055*S2055</x:f>
        <x:v>51.985</x:v>
      </x:c>
      <x:c r="U2055" s="35" t="n">
        <x:f>L2055-N2055-P2055-R2055-T2055</x:f>
        <x:v>143.015</x:v>
      </x:c>
      <x:c r="V2055" s="21" t="n">
        <x:f>IFERROR(U2055/L2055,0)</x:f>
        <x:v>0.7334102564102564</x:v>
      </x:c>
    </x:row>
    <x:row r="2056">
      <x:c r="A2056" s="19" t="str">
        <x:v>SALE-02052</x:v>
      </x:c>
      <x:c r="B2056" s="34" t="n">
        <x:v>46212.5</x:v>
      </x:c>
      <x:c r="C2056" s="19" t="str">
        <x:v>周四</x:v>
      </x:c>
      <x:c r="D2056" s="19" t="str">
        <x:v>S08</x:v>
      </x:c>
      <x:c r="E2056" s="19" t="str">
        <x:v>四季青店</x:v>
      </x:c>
      <x:c r="F2056" s="19" t="str">
        <x:v>堂食</x:v>
      </x:c>
      <x:c r="G2056" s="19" t="str">
        <x:v>全日</x:v>
      </x:c>
      <x:c r="H2056" s="19" t="str">
        <x:v>D12</x:v>
      </x:c>
      <x:c r="I2056" s="19" t="str">
        <x:v>清蒸鲈鱼</x:v>
      </x:c>
      <x:c r="J2056" s="22" t="n">
        <x:f>XLOOKUP(H2056,'菜品主数据'!$A$5:$A$24,'菜品主数据'!$D$5:$D$24,0)</x:f>
        <x:v>39</x:v>
      </x:c>
      <x:c r="K2056" s="31" t="n">
        <x:v>5</x:v>
      </x:c>
      <x:c r="L2056" s="35" t="n">
        <x:f>J2056*K2056</x:f>
        <x:v>195</x:v>
      </x:c>
      <x:c r="M2056" s="36" t="n">
        <x:v>0</x:v>
      </x:c>
      <x:c r="N2056" s="35" t="n">
        <x:f>L2056*M2056</x:f>
        <x:v>0</x:v>
      </x:c>
      <x:c r="O2056" s="37" t="n">
        <x:v>0</x:v>
      </x:c>
      <x:c r="P2056" s="35" t="n">
        <x:f>L2056*O2056</x:f>
        <x:v>0</x:v>
      </x:c>
      <x:c r="Q2056" s="35" t="n">
        <x:v>0</x:v>
      </x:c>
      <x:c r="R2056" s="35" t="n">
        <x:f>K2056*Q2056</x:f>
        <x:v>0</x:v>
      </x:c>
      <x:c r="S2056" s="35" t="n">
        <x:f>XLOOKUP(H2056,'菜品主数据'!$A$5:$A$24,'菜品主数据'!$G$5:$G$24,0)</x:f>
        <x:v>18.874</x:v>
      </x:c>
      <x:c r="T2056" s="35" t="n">
        <x:f>K2056*S2056</x:f>
        <x:v>94.36999999999999</x:v>
      </x:c>
      <x:c r="U2056" s="35" t="n">
        <x:f>L2056-N2056-P2056-R2056-T2056</x:f>
        <x:v>100.63000000000001</x:v>
      </x:c>
      <x:c r="V2056" s="21" t="n">
        <x:f>IFERROR(U2056/L2056,0)</x:f>
        <x:v>0.5160512820512821</x:v>
      </x:c>
    </x:row>
    <x:row r="2057">
      <x:c r="A2057" s="19" t="str">
        <x:v>SALE-02053</x:v>
      </x:c>
      <x:c r="B2057" s="34" t="n">
        <x:v>46212.5</x:v>
      </x:c>
      <x:c r="C2057" s="19" t="str">
        <x:v>周四</x:v>
      </x:c>
      <x:c r="D2057" s="19" t="str">
        <x:v>S08</x:v>
      </x:c>
      <x:c r="E2057" s="19" t="str">
        <x:v>四季青店</x:v>
      </x:c>
      <x:c r="F2057" s="19" t="str">
        <x:v>堂食</x:v>
      </x:c>
      <x:c r="G2057" s="19" t="str">
        <x:v>全日</x:v>
      </x:c>
      <x:c r="H2057" s="19" t="str">
        <x:v>D13</x:v>
      </x:c>
      <x:c r="I2057" s="19" t="str">
        <x:v>外婆菜炒蛋</x:v>
      </x:c>
      <x:c r="J2057" s="22" t="n">
        <x:f>XLOOKUP(H2057,'菜品主数据'!$A$5:$A$24,'菜品主数据'!$D$5:$D$24,0)</x:f>
        <x:v>18</x:v>
      </x:c>
      <x:c r="K2057" s="31" t="n">
        <x:v>12</x:v>
      </x:c>
      <x:c r="L2057" s="35" t="n">
        <x:f>J2057*K2057</x:f>
        <x:v>216</x:v>
      </x:c>
      <x:c r="M2057" s="36" t="n">
        <x:v>0</x:v>
      </x:c>
      <x:c r="N2057" s="35" t="n">
        <x:f>L2057*M2057</x:f>
        <x:v>0</x:v>
      </x:c>
      <x:c r="O2057" s="37" t="n">
        <x:v>0</x:v>
      </x:c>
      <x:c r="P2057" s="35" t="n">
        <x:f>L2057*O2057</x:f>
        <x:v>0</x:v>
      </x:c>
      <x:c r="Q2057" s="35" t="n">
        <x:v>0</x:v>
      </x:c>
      <x:c r="R2057" s="35" t="n">
        <x:f>K2057*Q2057</x:f>
        <x:v>0</x:v>
      </x:c>
      <x:c r="S2057" s="35" t="n">
        <x:f>XLOOKUP(H2057,'菜品主数据'!$A$5:$A$24,'菜品主数据'!$G$5:$G$24,0)</x:f>
        <x:v>5.403999999999999</x:v>
      </x:c>
      <x:c r="T2057" s="35" t="n">
        <x:f>K2057*S2057</x:f>
        <x:v>64.84799999999998</x:v>
      </x:c>
      <x:c r="U2057" s="35" t="n">
        <x:f>L2057-N2057-P2057-R2057-T2057</x:f>
        <x:v>151.15200000000002</x:v>
      </x:c>
      <x:c r="V2057" s="21" t="n">
        <x:f>IFERROR(U2057/L2057,0)</x:f>
        <x:v>0.6997777777777778</x:v>
      </x:c>
    </x:row>
    <x:row r="2058">
      <x:c r="A2058" s="19" t="str">
        <x:v>SALE-02054</x:v>
      </x:c>
      <x:c r="B2058" s="34" t="n">
        <x:v>46212.5</x:v>
      </x:c>
      <x:c r="C2058" s="19" t="str">
        <x:v>周四</x:v>
      </x:c>
      <x:c r="D2058" s="19" t="str">
        <x:v>S08</x:v>
      </x:c>
      <x:c r="E2058" s="19" t="str">
        <x:v>四季青店</x:v>
      </x:c>
      <x:c r="F2058" s="19" t="str">
        <x:v>堂食</x:v>
      </x:c>
      <x:c r="G2058" s="19" t="str">
        <x:v>全日</x:v>
      </x:c>
      <x:c r="H2058" s="19" t="str">
        <x:v>D14</x:v>
      </x:c>
      <x:c r="I2058" s="19" t="str">
        <x:v>酸辣鸡杂</x:v>
      </x:c>
      <x:c r="J2058" s="22" t="n">
        <x:f>XLOOKUP(H2058,'菜品主数据'!$A$5:$A$24,'菜品主数据'!$D$5:$D$24,0)</x:f>
        <x:v>28</x:v>
      </x:c>
      <x:c r="K2058" s="31" t="n">
        <x:v>6</x:v>
      </x:c>
      <x:c r="L2058" s="35" t="n">
        <x:f>J2058*K2058</x:f>
        <x:v>168</x:v>
      </x:c>
      <x:c r="M2058" s="36" t="n">
        <x:v>0</x:v>
      </x:c>
      <x:c r="N2058" s="35" t="n">
        <x:f>L2058*M2058</x:f>
        <x:v>0</x:v>
      </x:c>
      <x:c r="O2058" s="37" t="n">
        <x:v>0</x:v>
      </x:c>
      <x:c r="P2058" s="35" t="n">
        <x:f>L2058*O2058</x:f>
        <x:v>0</x:v>
      </x:c>
      <x:c r="Q2058" s="35" t="n">
        <x:v>0</x:v>
      </x:c>
      <x:c r="R2058" s="35" t="n">
        <x:f>K2058*Q2058</x:f>
        <x:v>0</x:v>
      </x:c>
      <x:c r="S2058" s="35" t="n">
        <x:f>XLOOKUP(H2058,'菜品主数据'!$A$5:$A$24,'菜品主数据'!$G$5:$G$24,0)</x:f>
        <x:v>8.315000000000001</x:v>
      </x:c>
      <x:c r="T2058" s="35" t="n">
        <x:f>K2058*S2058</x:f>
        <x:v>49.89000000000001</x:v>
      </x:c>
      <x:c r="U2058" s="35" t="n">
        <x:f>L2058-N2058-P2058-R2058-T2058</x:f>
        <x:v>118.10999999999999</x:v>
      </x:c>
      <x:c r="V2058" s="21" t="n">
        <x:f>IFERROR(U2058/L2058,0)</x:f>
        <x:v>0.7030357142857142</x:v>
      </x:c>
    </x:row>
    <x:row r="2059">
      <x:c r="A2059" s="19" t="str">
        <x:v>SALE-02055</x:v>
      </x:c>
      <x:c r="B2059" s="34" t="n">
        <x:v>46212.5</x:v>
      </x:c>
      <x:c r="C2059" s="19" t="str">
        <x:v>周四</x:v>
      </x:c>
      <x:c r="D2059" s="19" t="str">
        <x:v>S08</x:v>
      </x:c>
      <x:c r="E2059" s="19" t="str">
        <x:v>四季青店</x:v>
      </x:c>
      <x:c r="F2059" s="19" t="str">
        <x:v>堂食</x:v>
      </x:c>
      <x:c r="G2059" s="19" t="str">
        <x:v>全日</x:v>
      </x:c>
      <x:c r="H2059" s="19" t="str">
        <x:v>D15</x:v>
      </x:c>
      <x:c r="I2059" s="19" t="str">
        <x:v>湘西土匪猪肝</x:v>
      </x:c>
      <x:c r="J2059" s="22" t="n">
        <x:f>XLOOKUP(H2059,'菜品主数据'!$A$5:$A$24,'菜品主数据'!$D$5:$D$24,0)</x:f>
        <x:v>26</x:v>
      </x:c>
      <x:c r="K2059" s="31" t="n">
        <x:v>5</x:v>
      </x:c>
      <x:c r="L2059" s="35" t="n">
        <x:f>J2059*K2059</x:f>
        <x:v>130</x:v>
      </x:c>
      <x:c r="M2059" s="36" t="n">
        <x:v>0</x:v>
      </x:c>
      <x:c r="N2059" s="35" t="n">
        <x:f>L2059*M2059</x:f>
        <x:v>0</x:v>
      </x:c>
      <x:c r="O2059" s="37" t="n">
        <x:v>0</x:v>
      </x:c>
      <x:c r="P2059" s="35" t="n">
        <x:f>L2059*O2059</x:f>
        <x:v>0</x:v>
      </x:c>
      <x:c r="Q2059" s="35" t="n">
        <x:v>0</x:v>
      </x:c>
      <x:c r="R2059" s="35" t="n">
        <x:f>K2059*Q2059</x:f>
        <x:v>0</x:v>
      </x:c>
      <x:c r="S2059" s="35" t="n">
        <x:f>XLOOKUP(H2059,'菜品主数据'!$A$5:$A$24,'菜品主数据'!$G$5:$G$24,0)</x:f>
        <x:v>6.3759999999999994</x:v>
      </x:c>
      <x:c r="T2059" s="35" t="n">
        <x:f>K2059*S2059</x:f>
        <x:v>31.879999999999995</x:v>
      </x:c>
      <x:c r="U2059" s="35" t="n">
        <x:f>L2059-N2059-P2059-R2059-T2059</x:f>
        <x:v>98.12</x:v>
      </x:c>
      <x:c r="V2059" s="21" t="n">
        <x:f>IFERROR(U2059/L2059,0)</x:f>
        <x:v>0.7547692307692309</x:v>
      </x:c>
    </x:row>
    <x:row r="2060">
      <x:c r="A2060" s="19" t="str">
        <x:v>SALE-02056</x:v>
      </x:c>
      <x:c r="B2060" s="34" t="n">
        <x:v>46212.5</x:v>
      </x:c>
      <x:c r="C2060" s="19" t="str">
        <x:v>周四</x:v>
      </x:c>
      <x:c r="D2060" s="19" t="str">
        <x:v>S08</x:v>
      </x:c>
      <x:c r="E2060" s="19" t="str">
        <x:v>四季青店</x:v>
      </x:c>
      <x:c r="F2060" s="19" t="str">
        <x:v>堂食</x:v>
      </x:c>
      <x:c r="G2060" s="19" t="str">
        <x:v>全日</x:v>
      </x:c>
      <x:c r="H2060" s="19" t="str">
        <x:v>D16</x:v>
      </x:c>
      <x:c r="I2060" s="19" t="str">
        <x:v>小豆角炒五花</x:v>
      </x:c>
      <x:c r="J2060" s="22" t="n">
        <x:f>XLOOKUP(H2060,'菜品主数据'!$A$5:$A$24,'菜品主数据'!$D$5:$D$24,0)</x:f>
        <x:v>25</x:v>
      </x:c>
      <x:c r="K2060" s="31" t="n">
        <x:v>6</x:v>
      </x:c>
      <x:c r="L2060" s="35" t="n">
        <x:f>J2060*K2060</x:f>
        <x:v>150</x:v>
      </x:c>
      <x:c r="M2060" s="36" t="n">
        <x:v>0</x:v>
      </x:c>
      <x:c r="N2060" s="35" t="n">
        <x:f>L2060*M2060</x:f>
        <x:v>0</x:v>
      </x:c>
      <x:c r="O2060" s="37" t="n">
        <x:v>0</x:v>
      </x:c>
      <x:c r="P2060" s="35" t="n">
        <x:f>L2060*O2060</x:f>
        <x:v>0</x:v>
      </x:c>
      <x:c r="Q2060" s="35" t="n">
        <x:v>0</x:v>
      </x:c>
      <x:c r="R2060" s="35" t="n">
        <x:f>K2060*Q2060</x:f>
        <x:v>0</x:v>
      </x:c>
      <x:c r="S2060" s="35" t="n">
        <x:f>XLOOKUP(H2060,'菜品主数据'!$A$5:$A$24,'菜品主数据'!$G$5:$G$24,0)</x:f>
        <x:v>8.184</x:v>
      </x:c>
      <x:c r="T2060" s="35" t="n">
        <x:f>K2060*S2060</x:f>
        <x:v>49.104</x:v>
      </x:c>
      <x:c r="U2060" s="35" t="n">
        <x:f>L2060-N2060-P2060-R2060-T2060</x:f>
        <x:v>100.896</x:v>
      </x:c>
      <x:c r="V2060" s="21" t="n">
        <x:f>IFERROR(U2060/L2060,0)</x:f>
        <x:v>0.67264</x:v>
      </x:c>
    </x:row>
    <x:row r="2061">
      <x:c r="A2061" s="19" t="str">
        <x:v>SALE-02057</x:v>
      </x:c>
      <x:c r="B2061" s="34" t="n">
        <x:v>46212.5</x:v>
      </x:c>
      <x:c r="C2061" s="19" t="str">
        <x:v>周四</x:v>
      </x:c>
      <x:c r="D2061" s="19" t="str">
        <x:v>S08</x:v>
      </x:c>
      <x:c r="E2061" s="19" t="str">
        <x:v>四季青店</x:v>
      </x:c>
      <x:c r="F2061" s="19" t="str">
        <x:v>堂食</x:v>
      </x:c>
      <x:c r="G2061" s="19" t="str">
        <x:v>全日</x:v>
      </x:c>
      <x:c r="H2061" s="19" t="str">
        <x:v>D17</x:v>
      </x:c>
      <x:c r="I2061" s="19" t="str">
        <x:v>蒜蓉粉丝虾</x:v>
      </x:c>
      <x:c r="J2061" s="22" t="n">
        <x:f>XLOOKUP(H2061,'菜品主数据'!$A$5:$A$24,'菜品主数据'!$D$5:$D$24,0)</x:f>
        <x:v>36</x:v>
      </x:c>
      <x:c r="K2061" s="31" t="n">
        <x:v>4</x:v>
      </x:c>
      <x:c r="L2061" s="35" t="n">
        <x:f>J2061*K2061</x:f>
        <x:v>144</x:v>
      </x:c>
      <x:c r="M2061" s="36" t="n">
        <x:v>0</x:v>
      </x:c>
      <x:c r="N2061" s="35" t="n">
        <x:f>L2061*M2061</x:f>
        <x:v>0</x:v>
      </x:c>
      <x:c r="O2061" s="37" t="n">
        <x:v>0</x:v>
      </x:c>
      <x:c r="P2061" s="35" t="n">
        <x:f>L2061*O2061</x:f>
        <x:v>0</x:v>
      </x:c>
      <x:c r="Q2061" s="35" t="n">
        <x:v>0</x:v>
      </x:c>
      <x:c r="R2061" s="35" t="n">
        <x:f>K2061*Q2061</x:f>
        <x:v>0</x:v>
      </x:c>
      <x:c r="S2061" s="35" t="n">
        <x:f>XLOOKUP(H2061,'菜品主数据'!$A$5:$A$24,'菜品主数据'!$G$5:$G$24,0)</x:f>
        <x:v>13.594</x:v>
      </x:c>
      <x:c r="T2061" s="35" t="n">
        <x:f>K2061*S2061</x:f>
        <x:v>54.376</x:v>
      </x:c>
      <x:c r="U2061" s="35" t="n">
        <x:f>L2061-N2061-P2061-R2061-T2061</x:f>
        <x:v>89.624</x:v>
      </x:c>
      <x:c r="V2061" s="21" t="n">
        <x:f>IFERROR(U2061/L2061,0)</x:f>
        <x:v>0.6223888888888889</x:v>
      </x:c>
    </x:row>
    <x:row r="2062">
      <x:c r="A2062" s="19" t="str">
        <x:v>SALE-02058</x:v>
      </x:c>
      <x:c r="B2062" s="34" t="n">
        <x:v>46212.5</x:v>
      </x:c>
      <x:c r="C2062" s="19" t="str">
        <x:v>周四</x:v>
      </x:c>
      <x:c r="D2062" s="19" t="str">
        <x:v>S08</x:v>
      </x:c>
      <x:c r="E2062" s="19" t="str">
        <x:v>四季青店</x:v>
      </x:c>
      <x:c r="F2062" s="19" t="str">
        <x:v>堂食</x:v>
      </x:c>
      <x:c r="G2062" s="19" t="str">
        <x:v>全日</x:v>
      </x:c>
      <x:c r="H2062" s="19" t="str">
        <x:v>D18</x:v>
      </x:c>
      <x:c r="I2062" s="19" t="str">
        <x:v>青椒炒油麦菜</x:v>
      </x:c>
      <x:c r="J2062" s="22" t="n">
        <x:f>XLOOKUP(H2062,'菜品主数据'!$A$5:$A$24,'菜品主数据'!$D$5:$D$24,0)</x:f>
        <x:v>18</x:v>
      </x:c>
      <x:c r="K2062" s="31" t="n">
        <x:v>7</x:v>
      </x:c>
      <x:c r="L2062" s="35" t="n">
        <x:f>J2062*K2062</x:f>
        <x:v>126</x:v>
      </x:c>
      <x:c r="M2062" s="36" t="n">
        <x:v>0</x:v>
      </x:c>
      <x:c r="N2062" s="35" t="n">
        <x:f>L2062*M2062</x:f>
        <x:v>0</x:v>
      </x:c>
      <x:c r="O2062" s="37" t="n">
        <x:v>0</x:v>
      </x:c>
      <x:c r="P2062" s="35" t="n">
        <x:f>L2062*O2062</x:f>
        <x:v>0</x:v>
      </x:c>
      <x:c r="Q2062" s="35" t="n">
        <x:v>0</x:v>
      </x:c>
      <x:c r="R2062" s="35" t="n">
        <x:f>K2062*Q2062</x:f>
        <x:v>0</x:v>
      </x:c>
      <x:c r="S2062" s="35" t="n">
        <x:f>XLOOKUP(H2062,'菜品主数据'!$A$5:$A$24,'菜品主数据'!$G$5:$G$24,0)</x:f>
        <x:v>3.1759999999999993</x:v>
      </x:c>
      <x:c r="T2062" s="35" t="n">
        <x:f>K2062*S2062</x:f>
        <x:v>22.231999999999996</x:v>
      </x:c>
      <x:c r="U2062" s="35" t="n">
        <x:f>L2062-N2062-P2062-R2062-T2062</x:f>
        <x:v>103.768</x:v>
      </x:c>
      <x:c r="V2062" s="21" t="n">
        <x:f>IFERROR(U2062/L2062,0)</x:f>
        <x:v>0.8235555555555556</x:v>
      </x:c>
    </x:row>
    <x:row r="2063">
      <x:c r="A2063" s="19" t="str">
        <x:v>SALE-02059</x:v>
      </x:c>
      <x:c r="B2063" s="34" t="n">
        <x:v>46212.5</x:v>
      </x:c>
      <x:c r="C2063" s="19" t="str">
        <x:v>周四</x:v>
      </x:c>
      <x:c r="D2063" s="19" t="str">
        <x:v>S08</x:v>
      </x:c>
      <x:c r="E2063" s="19" t="str">
        <x:v>四季青店</x:v>
      </x:c>
      <x:c r="F2063" s="19" t="str">
        <x:v>堂食</x:v>
      </x:c>
      <x:c r="G2063" s="19" t="str">
        <x:v>全日</x:v>
      </x:c>
      <x:c r="H2063" s="19" t="str">
        <x:v>D19</x:v>
      </x:c>
      <x:c r="I2063" s="19" t="str">
        <x:v>酸萝卜炒鸡杂</x:v>
      </x:c>
      <x:c r="J2063" s="22" t="n">
        <x:f>XLOOKUP(H2063,'菜品主数据'!$A$5:$A$24,'菜品主数据'!$D$5:$D$24,0)</x:f>
        <x:v>25</x:v>
      </x:c>
      <x:c r="K2063" s="31" t="n">
        <x:v>5</x:v>
      </x:c>
      <x:c r="L2063" s="35" t="n">
        <x:f>J2063*K2063</x:f>
        <x:v>125</x:v>
      </x:c>
      <x:c r="M2063" s="36" t="n">
        <x:v>0</x:v>
      </x:c>
      <x:c r="N2063" s="35" t="n">
        <x:f>L2063*M2063</x:f>
        <x:v>0</x:v>
      </x:c>
      <x:c r="O2063" s="37" t="n">
        <x:v>0</x:v>
      </x:c>
      <x:c r="P2063" s="35" t="n">
        <x:f>L2063*O2063</x:f>
        <x:v>0</x:v>
      </x:c>
      <x:c r="Q2063" s="35" t="n">
        <x:v>0</x:v>
      </x:c>
      <x:c r="R2063" s="35" t="n">
        <x:f>K2063*Q2063</x:f>
        <x:v>0</x:v>
      </x:c>
      <x:c r="S2063" s="35" t="n">
        <x:f>XLOOKUP(H2063,'菜品主数据'!$A$5:$A$24,'菜品主数据'!$G$5:$G$24,0)</x:f>
        <x:v>7.9399999999999995</x:v>
      </x:c>
      <x:c r="T2063" s="35" t="n">
        <x:f>K2063*S2063</x:f>
        <x:v>39.699999999999996</x:v>
      </x:c>
      <x:c r="U2063" s="35" t="n">
        <x:f>L2063-N2063-P2063-R2063-T2063</x:f>
        <x:v>85.30000000000001</x:v>
      </x:c>
      <x:c r="V2063" s="21" t="n">
        <x:f>IFERROR(U2063/L2063,0)</x:f>
        <x:v>0.6824000000000001</x:v>
      </x:c>
    </x:row>
    <x:row r="2064">
      <x:c r="A2064" s="19" t="str">
        <x:v>SALE-02060</x:v>
      </x:c>
      <x:c r="B2064" s="34" t="n">
        <x:v>46212.5</x:v>
      </x:c>
      <x:c r="C2064" s="19" t="str">
        <x:v>周四</x:v>
      </x:c>
      <x:c r="D2064" s="19" t="str">
        <x:v>S08</x:v>
      </x:c>
      <x:c r="E2064" s="19" t="str">
        <x:v>四季青店</x:v>
      </x:c>
      <x:c r="F2064" s="19" t="str">
        <x:v>堂食</x:v>
      </x:c>
      <x:c r="G2064" s="19" t="str">
        <x:v>全日</x:v>
      </x:c>
      <x:c r="H2064" s="19" t="str">
        <x:v>D20</x:v>
      </x:c>
      <x:c r="I2064" s="19" t="str">
        <x:v>雪菜肉末青豆</x:v>
      </x:c>
      <x:c r="J2064" s="22" t="n">
        <x:f>XLOOKUP(H2064,'菜品主数据'!$A$5:$A$24,'菜品主数据'!$D$5:$D$24,0)</x:f>
        <x:v>18</x:v>
      </x:c>
      <x:c r="K2064" s="31" t="n">
        <x:v>7</x:v>
      </x:c>
      <x:c r="L2064" s="35" t="n">
        <x:f>J2064*K2064</x:f>
        <x:v>126</x:v>
      </x:c>
      <x:c r="M2064" s="36" t="n">
        <x:v>0</x:v>
      </x:c>
      <x:c r="N2064" s="35" t="n">
        <x:f>L2064*M2064</x:f>
        <x:v>0</x:v>
      </x:c>
      <x:c r="O2064" s="37" t="n">
        <x:v>0</x:v>
      </x:c>
      <x:c r="P2064" s="35" t="n">
        <x:f>L2064*O2064</x:f>
        <x:v>0</x:v>
      </x:c>
      <x:c r="Q2064" s="35" t="n">
        <x:v>0</x:v>
      </x:c>
      <x:c r="R2064" s="35" t="n">
        <x:f>K2064*Q2064</x:f>
        <x:v>0</x:v>
      </x:c>
      <x:c r="S2064" s="35" t="n">
        <x:f>XLOOKUP(H2064,'菜品主数据'!$A$5:$A$24,'菜品主数据'!$G$5:$G$24,0)</x:f>
        <x:v>7.303999999999999</x:v>
      </x:c>
      <x:c r="T2064" s="35" t="n">
        <x:f>K2064*S2064</x:f>
        <x:v>51.12799999999999</x:v>
      </x:c>
      <x:c r="U2064" s="35" t="n">
        <x:f>L2064-N2064-P2064-R2064-T2064</x:f>
        <x:v>74.87200000000001</x:v>
      </x:c>
      <x:c r="V2064" s="21" t="n">
        <x:f>IFERROR(U2064/L2064,0)</x:f>
        <x:v>0.5942222222222223</x:v>
      </x:c>
    </x:row>
    <x:row r="2065">
      <x:c r="A2065" s="19" t="str">
        <x:v>SALE-02061</x:v>
      </x:c>
      <x:c r="B2065" s="34" t="n">
        <x:v>46212.5</x:v>
      </x:c>
      <x:c r="C2065" s="19" t="str">
        <x:v>周四</x:v>
      </x:c>
      <x:c r="D2065" s="19" t="str">
        <x:v>S08</x:v>
      </x:c>
      <x:c r="E2065" s="19" t="str">
        <x:v>四季青店</x:v>
      </x:c>
      <x:c r="F2065" s="19" t="str">
        <x:v>外卖</x:v>
      </x:c>
      <x:c r="G2065" s="19" t="str">
        <x:v>全日</x:v>
      </x:c>
      <x:c r="H2065" s="19" t="str">
        <x:v>D01</x:v>
      </x:c>
      <x:c r="I2065" s="19" t="str">
        <x:v>辣椒炒肉</x:v>
      </x:c>
      <x:c r="J2065" s="22" t="n">
        <x:f>XLOOKUP(H2065,'菜品主数据'!$A$5:$A$24,'菜品主数据'!$D$5:$D$24,0)</x:f>
        <x:v>29</x:v>
      </x:c>
      <x:c r="K2065" s="31" t="n">
        <x:v>3</x:v>
      </x:c>
      <x:c r="L2065" s="35" t="n">
        <x:f>J2065*K2065</x:f>
        <x:v>87</x:v>
      </x:c>
      <x:c r="M2065" s="36" t="n">
        <x:v>0.08</x:v>
      </x:c>
      <x:c r="N2065" s="35" t="n">
        <x:f>L2065*M2065</x:f>
        <x:v>6.96</x:v>
      </x:c>
      <x:c r="O2065" s="37" t="n">
        <x:v>0.18</x:v>
      </x:c>
      <x:c r="P2065" s="35" t="n">
        <x:f>L2065*O2065</x:f>
        <x:v>15.66</x:v>
      </x:c>
      <x:c r="Q2065" s="35" t="n">
        <x:v>1.2</x:v>
      </x:c>
      <x:c r="R2065" s="35" t="n">
        <x:f>K2065*Q2065</x:f>
        <x:v>3.5999999999999996</x:v>
      </x:c>
      <x:c r="S2065" s="35" t="n">
        <x:f>XLOOKUP(H2065,'菜品主数据'!$A$5:$A$24,'菜品主数据'!$G$5:$G$24,0)</x:f>
        <x:v>8.634400000000001</x:v>
      </x:c>
      <x:c r="T2065" s="35" t="n">
        <x:f>K2065*S2065</x:f>
        <x:v>25.903200000000005</x:v>
      </x:c>
      <x:c r="U2065" s="35" t="n">
        <x:f>L2065-N2065-P2065-R2065-T2065</x:f>
        <x:v>34.8768</x:v>
      </x:c>
      <x:c r="V2065" s="21" t="n">
        <x:f>IFERROR(U2065/L2065,0)</x:f>
        <x:v>0.40088275862068967</x:v>
      </x:c>
    </x:row>
    <x:row r="2066">
      <x:c r="A2066" s="19" t="str">
        <x:v>SALE-02062</x:v>
      </x:c>
      <x:c r="B2066" s="34" t="n">
        <x:v>46212.5</x:v>
      </x:c>
      <x:c r="C2066" s="19" t="str">
        <x:v>周四</x:v>
      </x:c>
      <x:c r="D2066" s="19" t="str">
        <x:v>S08</x:v>
      </x:c>
      <x:c r="E2066" s="19" t="str">
        <x:v>四季青店</x:v>
      </x:c>
      <x:c r="F2066" s="19" t="str">
        <x:v>外卖</x:v>
      </x:c>
      <x:c r="G2066" s="19" t="str">
        <x:v>全日</x:v>
      </x:c>
      <x:c r="H2066" s="19" t="str">
        <x:v>D02</x:v>
      </x:c>
      <x:c r="I2066" s="19" t="str">
        <x:v>小炒黄牛肉</x:v>
      </x:c>
      <x:c r="J2066" s="22" t="n">
        <x:f>XLOOKUP(H2066,'菜品主数据'!$A$5:$A$24,'菜品主数据'!$D$5:$D$24,0)</x:f>
        <x:v>49</x:v>
      </x:c>
      <x:c r="K2066" s="31" t="n">
        <x:v>7</x:v>
      </x:c>
      <x:c r="L2066" s="35" t="n">
        <x:f>J2066*K2066</x:f>
        <x:v>343</x:v>
      </x:c>
      <x:c r="M2066" s="36" t="n">
        <x:v>0.08</x:v>
      </x:c>
      <x:c r="N2066" s="35" t="n">
        <x:f>L2066*M2066</x:f>
        <x:v>27.44</x:v>
      </x:c>
      <x:c r="O2066" s="37" t="n">
        <x:v>0.18</x:v>
      </x:c>
      <x:c r="P2066" s="35" t="n">
        <x:f>L2066*O2066</x:f>
        <x:v>61.739999999999995</x:v>
      </x:c>
      <x:c r="Q2066" s="35" t="n">
        <x:v>1.2</x:v>
      </x:c>
      <x:c r="R2066" s="35" t="n">
        <x:f>K2066*Q2066</x:f>
        <x:v>8.4</x:v>
      </x:c>
      <x:c r="S2066" s="35" t="n">
        <x:f>XLOOKUP(H2066,'菜品主数据'!$A$5:$A$24,'菜品主数据'!$G$5:$G$24,0)</x:f>
        <x:v>17.577</x:v>
      </x:c>
      <x:c r="T2066" s="35" t="n">
        <x:f>K2066*S2066</x:f>
        <x:v>123.03900000000002</x:v>
      </x:c>
      <x:c r="U2066" s="35" t="n">
        <x:f>L2066-N2066-P2066-R2066-T2066</x:f>
        <x:v>122.38099999999997</x:v>
      </x:c>
      <x:c r="V2066" s="21" t="n">
        <x:f>IFERROR(U2066/L2066,0)</x:f>
        <x:v>0.35679591836734686</x:v>
      </x:c>
    </x:row>
    <x:row r="2067">
      <x:c r="A2067" s="19" t="str">
        <x:v>SALE-02063</x:v>
      </x:c>
      <x:c r="B2067" s="34" t="n">
        <x:v>46212.5</x:v>
      </x:c>
      <x:c r="C2067" s="19" t="str">
        <x:v>周四</x:v>
      </x:c>
      <x:c r="D2067" s="19" t="str">
        <x:v>S08</x:v>
      </x:c>
      <x:c r="E2067" s="19" t="str">
        <x:v>四季青店</x:v>
      </x:c>
      <x:c r="F2067" s="19" t="str">
        <x:v>外卖</x:v>
      </x:c>
      <x:c r="G2067" s="19" t="str">
        <x:v>全日</x:v>
      </x:c>
      <x:c r="H2067" s="19" t="str">
        <x:v>D03</x:v>
      </x:c>
      <x:c r="I2067" s="19" t="str">
        <x:v>香醋炒蛋</x:v>
      </x:c>
      <x:c r="J2067" s="22" t="n">
        <x:f>XLOOKUP(H2067,'菜品主数据'!$A$5:$A$24,'菜品主数据'!$D$5:$D$24,0)</x:f>
        <x:v>14.9</x:v>
      </x:c>
      <x:c r="K2067" s="31" t="n">
        <x:v>3</x:v>
      </x:c>
      <x:c r="L2067" s="35" t="n">
        <x:f>J2067*K2067</x:f>
        <x:v>44.7</x:v>
      </x:c>
      <x:c r="M2067" s="36" t="n">
        <x:v>0.08</x:v>
      </x:c>
      <x:c r="N2067" s="35" t="n">
        <x:f>L2067*M2067</x:f>
        <x:v>3.5760000000000005</x:v>
      </x:c>
      <x:c r="O2067" s="37" t="n">
        <x:v>0.18</x:v>
      </x:c>
      <x:c r="P2067" s="35" t="n">
        <x:f>L2067*O2067</x:f>
        <x:v>8.046</x:v>
      </x:c>
      <x:c r="Q2067" s="35" t="n">
        <x:v>1.2</x:v>
      </x:c>
      <x:c r="R2067" s="35" t="n">
        <x:f>K2067*Q2067</x:f>
        <x:v>3.5999999999999996</x:v>
      </x:c>
      <x:c r="S2067" s="35" t="n">
        <x:f>XLOOKUP(H2067,'菜品主数据'!$A$5:$A$24,'菜品主数据'!$G$5:$G$24,0)</x:f>
        <x:v>3.7459999999999996</x:v>
      </x:c>
      <x:c r="T2067" s="35" t="n">
        <x:f>K2067*S2067</x:f>
        <x:v>11.238</x:v>
      </x:c>
      <x:c r="U2067" s="35" t="n">
        <x:f>L2067-N2067-P2067-R2067-T2067</x:f>
        <x:v>18.240000000000002</x:v>
      </x:c>
      <x:c r="V2067" s="21" t="n">
        <x:f>IFERROR(U2067/L2067,0)</x:f>
        <x:v>0.40805369127516783</x:v>
      </x:c>
    </x:row>
    <x:row r="2068">
      <x:c r="A2068" s="19" t="str">
        <x:v>SALE-02064</x:v>
      </x:c>
      <x:c r="B2068" s="34" t="n">
        <x:v>46212.5</x:v>
      </x:c>
      <x:c r="C2068" s="19" t="str">
        <x:v>周四</x:v>
      </x:c>
      <x:c r="D2068" s="19" t="str">
        <x:v>S08</x:v>
      </x:c>
      <x:c r="E2068" s="19" t="str">
        <x:v>四季青店</x:v>
      </x:c>
      <x:c r="F2068" s="19" t="str">
        <x:v>外卖</x:v>
      </x:c>
      <x:c r="G2068" s="19" t="str">
        <x:v>全日</x:v>
      </x:c>
      <x:c r="H2068" s="19" t="str">
        <x:v>D04</x:v>
      </x:c>
      <x:c r="I2068" s="19" t="str">
        <x:v>酸包菜炒粉皮</x:v>
      </x:c>
      <x:c r="J2068" s="22" t="n">
        <x:f>XLOOKUP(H2068,'菜品主数据'!$A$5:$A$24,'菜品主数据'!$D$5:$D$24,0)</x:f>
        <x:v>16</x:v>
      </x:c>
      <x:c r="K2068" s="31" t="n">
        <x:v>3</x:v>
      </x:c>
      <x:c r="L2068" s="35" t="n">
        <x:f>J2068*K2068</x:f>
        <x:v>48</x:v>
      </x:c>
      <x:c r="M2068" s="36" t="n">
        <x:v>0.08</x:v>
      </x:c>
      <x:c r="N2068" s="35" t="n">
        <x:f>L2068*M2068</x:f>
        <x:v>3.84</x:v>
      </x:c>
      <x:c r="O2068" s="37" t="n">
        <x:v>0.18</x:v>
      </x:c>
      <x:c r="P2068" s="35" t="n">
        <x:f>L2068*O2068</x:f>
        <x:v>8.64</x:v>
      </x:c>
      <x:c r="Q2068" s="35" t="n">
        <x:v>1.2</x:v>
      </x:c>
      <x:c r="R2068" s="35" t="n">
        <x:f>K2068*Q2068</x:f>
        <x:v>3.5999999999999996</x:v>
      </x:c>
      <x:c r="S2068" s="35" t="n">
        <x:f>XLOOKUP(H2068,'菜品主数据'!$A$5:$A$24,'菜品主数据'!$G$5:$G$24,0)</x:f>
        <x:v>3.978</x:v>
      </x:c>
      <x:c r="T2068" s="35" t="n">
        <x:f>K2068*S2068</x:f>
        <x:v>11.934000000000001</x:v>
      </x:c>
      <x:c r="U2068" s="35" t="n">
        <x:f>L2068-N2068-P2068-R2068-T2068</x:f>
        <x:v>19.985999999999994</x:v>
      </x:c>
      <x:c r="V2068" s="21" t="n">
        <x:f>IFERROR(U2068/L2068,0)</x:f>
        <x:v>0.4163749999999999</x:v>
      </x:c>
    </x:row>
    <x:row r="2069">
      <x:c r="A2069" s="19" t="str">
        <x:v>SALE-02065</x:v>
      </x:c>
      <x:c r="B2069" s="34" t="n">
        <x:v>46212.5</x:v>
      </x:c>
      <x:c r="C2069" s="19" t="str">
        <x:v>周四</x:v>
      </x:c>
      <x:c r="D2069" s="19" t="str">
        <x:v>S08</x:v>
      </x:c>
      <x:c r="E2069" s="19" t="str">
        <x:v>四季青店</x:v>
      </x:c>
      <x:c r="F2069" s="19" t="str">
        <x:v>外卖</x:v>
      </x:c>
      <x:c r="G2069" s="19" t="str">
        <x:v>全日</x:v>
      </x:c>
      <x:c r="H2069" s="19" t="str">
        <x:v>D05</x:v>
      </x:c>
      <x:c r="I2069" s="19" t="str">
        <x:v>麻婆豆腐</x:v>
      </x:c>
      <x:c r="J2069" s="22" t="n">
        <x:f>XLOOKUP(H2069,'菜品主数据'!$A$5:$A$24,'菜品主数据'!$D$5:$D$24,0)</x:f>
        <x:v>9.9</x:v>
      </x:c>
      <x:c r="K2069" s="31" t="n">
        <x:v>4</x:v>
      </x:c>
      <x:c r="L2069" s="35" t="n">
        <x:f>J2069*K2069</x:f>
        <x:v>39.6</x:v>
      </x:c>
      <x:c r="M2069" s="36" t="n">
        <x:v>0.08</x:v>
      </x:c>
      <x:c r="N2069" s="35" t="n">
        <x:f>L2069*M2069</x:f>
        <x:v>3.168</x:v>
      </x:c>
      <x:c r="O2069" s="37" t="n">
        <x:v>0.18</x:v>
      </x:c>
      <x:c r="P2069" s="35" t="n">
        <x:f>L2069*O2069</x:f>
        <x:v>7.128</x:v>
      </x:c>
      <x:c r="Q2069" s="35" t="n">
        <x:v>1.2</x:v>
      </x:c>
      <x:c r="R2069" s="35" t="n">
        <x:f>K2069*Q2069</x:f>
        <x:v>4.8</x:v>
      </x:c>
      <x:c r="S2069" s="35" t="n">
        <x:f>XLOOKUP(H2069,'菜品主数据'!$A$5:$A$24,'菜品主数据'!$G$5:$G$24,0)</x:f>
        <x:v>5.367000000000001</x:v>
      </x:c>
      <x:c r="T2069" s="35" t="n">
        <x:f>K2069*S2069</x:f>
        <x:v>21.468000000000004</x:v>
      </x:c>
      <x:c r="U2069" s="35" t="n">
        <x:f>L2069-N2069-P2069-R2069-T2069</x:f>
        <x:v>3.035999999999998</x:v>
      </x:c>
      <x:c r="V2069" s="21" t="n">
        <x:f>IFERROR(U2069/L2069,0)</x:f>
        <x:v>0.0766666666666666</x:v>
      </x:c>
    </x:row>
    <x:row r="2070">
      <x:c r="A2070" s="19" t="str">
        <x:v>SALE-02066</x:v>
      </x:c>
      <x:c r="B2070" s="34" t="n">
        <x:v>46212.5</x:v>
      </x:c>
      <x:c r="C2070" s="19" t="str">
        <x:v>周四</x:v>
      </x:c>
      <x:c r="D2070" s="19" t="str">
        <x:v>S08</x:v>
      </x:c>
      <x:c r="E2070" s="19" t="str">
        <x:v>四季青店</x:v>
      </x:c>
      <x:c r="F2070" s="19" t="str">
        <x:v>外卖</x:v>
      </x:c>
      <x:c r="G2070" s="19" t="str">
        <x:v>全日</x:v>
      </x:c>
      <x:c r="H2070" s="19" t="str">
        <x:v>D06</x:v>
      </x:c>
      <x:c r="I2070" s="19" t="str">
        <x:v>剁椒鱼头</x:v>
      </x:c>
      <x:c r="J2070" s="22" t="n">
        <x:f>XLOOKUP(H2070,'菜品主数据'!$A$5:$A$24,'菜品主数据'!$D$5:$D$24,0)</x:f>
        <x:v>39</x:v>
      </x:c>
      <x:c r="K2070" s="31" t="n">
        <x:v>2</x:v>
      </x:c>
      <x:c r="L2070" s="35" t="n">
        <x:f>J2070*K2070</x:f>
        <x:v>78</x:v>
      </x:c>
      <x:c r="M2070" s="36" t="n">
        <x:v>0.08</x:v>
      </x:c>
      <x:c r="N2070" s="35" t="n">
        <x:f>L2070*M2070</x:f>
        <x:v>6.24</x:v>
      </x:c>
      <x:c r="O2070" s="37" t="n">
        <x:v>0.18</x:v>
      </x:c>
      <x:c r="P2070" s="35" t="n">
        <x:f>L2070*O2070</x:f>
        <x:v>14.04</x:v>
      </x:c>
      <x:c r="Q2070" s="35" t="n">
        <x:v>1.2</x:v>
      </x:c>
      <x:c r="R2070" s="35" t="n">
        <x:f>K2070*Q2070</x:f>
        <x:v>2.4</x:v>
      </x:c>
      <x:c r="S2070" s="35" t="n">
        <x:f>XLOOKUP(H2070,'菜品主数据'!$A$5:$A$24,'菜品主数据'!$G$5:$G$24,0)</x:f>
        <x:v>17.446</x:v>
      </x:c>
      <x:c r="T2070" s="35" t="n">
        <x:f>K2070*S2070</x:f>
        <x:v>34.892</x:v>
      </x:c>
      <x:c r="U2070" s="35" t="n">
        <x:f>L2070-N2070-P2070-R2070-T2070</x:f>
        <x:v>20.428000000000004</x:v>
      </x:c>
      <x:c r="V2070" s="21" t="n">
        <x:f>IFERROR(U2070/L2070,0)</x:f>
        <x:v>0.26189743589743597</x:v>
      </x:c>
    </x:row>
    <x:row r="2071">
      <x:c r="A2071" s="19" t="str">
        <x:v>SALE-02067</x:v>
      </x:c>
      <x:c r="B2071" s="34" t="n">
        <x:v>46212.5</x:v>
      </x:c>
      <x:c r="C2071" s="19" t="str">
        <x:v>周四</x:v>
      </x:c>
      <x:c r="D2071" s="19" t="str">
        <x:v>S08</x:v>
      </x:c>
      <x:c r="E2071" s="19" t="str">
        <x:v>四季青店</x:v>
      </x:c>
      <x:c r="F2071" s="19" t="str">
        <x:v>外卖</x:v>
      </x:c>
      <x:c r="G2071" s="19" t="str">
        <x:v>全日</x:v>
      </x:c>
      <x:c r="H2071" s="19" t="str">
        <x:v>D07</x:v>
      </x:c>
      <x:c r="I2071" s="19" t="str">
        <x:v>川味回锅肉</x:v>
      </x:c>
      <x:c r="J2071" s="22" t="n">
        <x:f>XLOOKUP(H2071,'菜品主数据'!$A$5:$A$24,'菜品主数据'!$D$5:$D$24,0)</x:f>
        <x:v>29</x:v>
      </x:c>
      <x:c r="K2071" s="31" t="n">
        <x:v>1</x:v>
      </x:c>
      <x:c r="L2071" s="35" t="n">
        <x:f>J2071*K2071</x:f>
        <x:v>29</x:v>
      </x:c>
      <x:c r="M2071" s="36" t="n">
        <x:v>0.08</x:v>
      </x:c>
      <x:c r="N2071" s="35" t="n">
        <x:f>L2071*M2071</x:f>
        <x:v>2.32</x:v>
      </x:c>
      <x:c r="O2071" s="37" t="n">
        <x:v>0.18</x:v>
      </x:c>
      <x:c r="P2071" s="35" t="n">
        <x:f>L2071*O2071</x:f>
        <x:v>5.22</x:v>
      </x:c>
      <x:c r="Q2071" s="35" t="n">
        <x:v>1.2</x:v>
      </x:c>
      <x:c r="R2071" s="35" t="n">
        <x:f>K2071*Q2071</x:f>
        <x:v>1.2</x:v>
      </x:c>
      <x:c r="S2071" s="35" t="n">
        <x:f>XLOOKUP(H2071,'菜品主数据'!$A$5:$A$24,'菜品主数据'!$G$5:$G$24,0)</x:f>
        <x:v>10.231000000000002</x:v>
      </x:c>
      <x:c r="T2071" s="35" t="n">
        <x:f>K2071*S2071</x:f>
        <x:v>10.231000000000002</x:v>
      </x:c>
      <x:c r="U2071" s="35" t="n">
        <x:f>L2071-N2071-P2071-R2071-T2071</x:f>
        <x:v>10.029</x:v>
      </x:c>
      <x:c r="V2071" s="21" t="n">
        <x:f>IFERROR(U2071/L2071,0)</x:f>
        <x:v>0.3458275862068966</x:v>
      </x:c>
    </x:row>
    <x:row r="2072">
      <x:c r="A2072" s="19" t="str">
        <x:v>SALE-02068</x:v>
      </x:c>
      <x:c r="B2072" s="34" t="n">
        <x:v>46212.5</x:v>
      </x:c>
      <x:c r="C2072" s="19" t="str">
        <x:v>周四</x:v>
      </x:c>
      <x:c r="D2072" s="19" t="str">
        <x:v>S08</x:v>
      </x:c>
      <x:c r="E2072" s="19" t="str">
        <x:v>四季青店</x:v>
      </x:c>
      <x:c r="F2072" s="19" t="str">
        <x:v>外卖</x:v>
      </x:c>
      <x:c r="G2072" s="19" t="str">
        <x:v>全日</x:v>
      </x:c>
      <x:c r="H2072" s="19" t="str">
        <x:v>D08</x:v>
      </x:c>
      <x:c r="I2072" s="19" t="str">
        <x:v>生炒清远鸡</x:v>
      </x:c>
      <x:c r="J2072" s="22" t="n">
        <x:f>XLOOKUP(H2072,'菜品主数据'!$A$5:$A$24,'菜品主数据'!$D$5:$D$24,0)</x:f>
        <x:v>36</x:v>
      </x:c>
      <x:c r="K2072" s="31" t="n">
        <x:v>0</x:v>
      </x:c>
      <x:c r="L2072" s="35" t="n">
        <x:f>J2072*K2072</x:f>
        <x:v>0</x:v>
      </x:c>
      <x:c r="M2072" s="36" t="n">
        <x:v>0.08</x:v>
      </x:c>
      <x:c r="N2072" s="35" t="n">
        <x:f>L2072*M2072</x:f>
        <x:v>0</x:v>
      </x:c>
      <x:c r="O2072" s="37" t="n">
        <x:v>0.18</x:v>
      </x:c>
      <x:c r="P2072" s="35" t="n">
        <x:f>L2072*O2072</x:f>
        <x:v>0</x:v>
      </x:c>
      <x:c r="Q2072" s="35" t="n">
        <x:v>1.2</x:v>
      </x:c>
      <x:c r="R2072" s="35" t="n">
        <x:f>K2072*Q2072</x:f>
        <x:v>0</x:v>
      </x:c>
      <x:c r="S2072" s="35" t="n">
        <x:f>XLOOKUP(H2072,'菜品主数据'!$A$5:$A$24,'菜品主数据'!$G$5:$G$24,0)</x:f>
        <x:v>13.48</x:v>
      </x:c>
      <x:c r="T2072" s="35" t="n">
        <x:f>K2072*S2072</x:f>
        <x:v>0</x:v>
      </x:c>
      <x:c r="U2072" s="35" t="n">
        <x:f>L2072-N2072-P2072-R2072-T2072</x:f>
        <x:v>0</x:v>
      </x:c>
      <x:c r="V2072" s="21" t="n">
        <x:f>IFERROR(U2072/L2072,0)</x:f>
        <x:v>0</x:v>
      </x:c>
    </x:row>
    <x:row r="2073">
      <x:c r="A2073" s="19" t="str">
        <x:v>SALE-02069</x:v>
      </x:c>
      <x:c r="B2073" s="34" t="n">
        <x:v>46212.5</x:v>
      </x:c>
      <x:c r="C2073" s="19" t="str">
        <x:v>周四</x:v>
      </x:c>
      <x:c r="D2073" s="19" t="str">
        <x:v>S08</x:v>
      </x:c>
      <x:c r="E2073" s="19" t="str">
        <x:v>四季青店</x:v>
      </x:c>
      <x:c r="F2073" s="19" t="str">
        <x:v>外卖</x:v>
      </x:c>
      <x:c r="G2073" s="19" t="str">
        <x:v>全日</x:v>
      </x:c>
      <x:c r="H2073" s="19" t="str">
        <x:v>D09</x:v>
      </x:c>
      <x:c r="I2073" s="19" t="str">
        <x:v>炒豆干</x:v>
      </x:c>
      <x:c r="J2073" s="22" t="n">
        <x:f>XLOOKUP(H2073,'菜品主数据'!$A$5:$A$24,'菜品主数据'!$D$5:$D$24,0)</x:f>
        <x:v>18</x:v>
      </x:c>
      <x:c r="K2073" s="31" t="n">
        <x:v>1</x:v>
      </x:c>
      <x:c r="L2073" s="35" t="n">
        <x:f>J2073*K2073</x:f>
        <x:v>18</x:v>
      </x:c>
      <x:c r="M2073" s="36" t="n">
        <x:v>0.08</x:v>
      </x:c>
      <x:c r="N2073" s="35" t="n">
        <x:f>L2073*M2073</x:f>
        <x:v>1.44</x:v>
      </x:c>
      <x:c r="O2073" s="37" t="n">
        <x:v>0.18</x:v>
      </x:c>
      <x:c r="P2073" s="35" t="n">
        <x:f>L2073*O2073</x:f>
        <x:v>3.2399999999999998</x:v>
      </x:c>
      <x:c r="Q2073" s="35" t="n">
        <x:v>1.2</x:v>
      </x:c>
      <x:c r="R2073" s="35" t="n">
        <x:f>K2073*Q2073</x:f>
        <x:v>1.2</x:v>
      </x:c>
      <x:c r="S2073" s="35" t="n">
        <x:f>XLOOKUP(H2073,'菜品主数据'!$A$5:$A$24,'菜品主数据'!$G$5:$G$24,0)</x:f>
        <x:v>6.613999999999999</x:v>
      </x:c>
      <x:c r="T2073" s="35" t="n">
        <x:f>K2073*S2073</x:f>
        <x:v>6.613999999999999</x:v>
      </x:c>
      <x:c r="U2073" s="35" t="n">
        <x:f>L2073-N2073-P2073-R2073-T2073</x:f>
        <x:v>5.506</x:v>
      </x:c>
      <x:c r="V2073" s="21" t="n">
        <x:f>IFERROR(U2073/L2073,0)</x:f>
        <x:v>0.3058888888888889</x:v>
      </x:c>
    </x:row>
    <x:row r="2074">
      <x:c r="A2074" s="19" t="str">
        <x:v>SALE-02070</x:v>
      </x:c>
      <x:c r="B2074" s="34" t="n">
        <x:v>46212.5</x:v>
      </x:c>
      <x:c r="C2074" s="19" t="str">
        <x:v>周四</x:v>
      </x:c>
      <x:c r="D2074" s="19" t="str">
        <x:v>S08</x:v>
      </x:c>
      <x:c r="E2074" s="19" t="str">
        <x:v>四季青店</x:v>
      </x:c>
      <x:c r="F2074" s="19" t="str">
        <x:v>外卖</x:v>
      </x:c>
      <x:c r="G2074" s="19" t="str">
        <x:v>全日</x:v>
      </x:c>
      <x:c r="H2074" s="19" t="str">
        <x:v>D10</x:v>
      </x:c>
      <x:c r="I2074" s="19" t="str">
        <x:v>农家一碗香</x:v>
      </x:c>
      <x:c r="J2074" s="22" t="n">
        <x:f>XLOOKUP(H2074,'菜品主数据'!$A$5:$A$24,'菜品主数据'!$D$5:$D$24,0)</x:f>
        <x:v>22.9</x:v>
      </x:c>
      <x:c r="K2074" s="31" t="n">
        <x:v>1</x:v>
      </x:c>
      <x:c r="L2074" s="35" t="n">
        <x:f>J2074*K2074</x:f>
        <x:v>22.9</x:v>
      </x:c>
      <x:c r="M2074" s="36" t="n">
        <x:v>0.08</x:v>
      </x:c>
      <x:c r="N2074" s="35" t="n">
        <x:f>L2074*M2074</x:f>
        <x:v>1.8319999999999999</x:v>
      </x:c>
      <x:c r="O2074" s="37" t="n">
        <x:v>0.18</x:v>
      </x:c>
      <x:c r="P2074" s="35" t="n">
        <x:f>L2074*O2074</x:f>
        <x:v>4.122</x:v>
      </x:c>
      <x:c r="Q2074" s="35" t="n">
        <x:v>1.2</x:v>
      </x:c>
      <x:c r="R2074" s="35" t="n">
        <x:f>K2074*Q2074</x:f>
        <x:v>1.2</x:v>
      </x:c>
      <x:c r="S2074" s="35" t="n">
        <x:f>XLOOKUP(H2074,'菜品主数据'!$A$5:$A$24,'菜品主数据'!$G$5:$G$24,0)</x:f>
        <x:v>9.770200000000003</x:v>
      </x:c>
      <x:c r="T2074" s="35" t="n">
        <x:f>K2074*S2074</x:f>
        <x:v>9.770200000000003</x:v>
      </x:c>
      <x:c r="U2074" s="35" t="n">
        <x:f>L2074-N2074-P2074-R2074-T2074</x:f>
        <x:v>5.975799999999996</x:v>
      </x:c>
      <x:c r="V2074" s="21" t="n">
        <x:f>IFERROR(U2074/L2074,0)</x:f>
        <x:v>0.260951965065502</x:v>
      </x:c>
    </x:row>
    <x:row r="2075">
      <x:c r="A2075" s="19" t="str">
        <x:v>SALE-02071</x:v>
      </x:c>
      <x:c r="B2075" s="34" t="n">
        <x:v>46212.5</x:v>
      </x:c>
      <x:c r="C2075" s="19" t="str">
        <x:v>周四</x:v>
      </x:c>
      <x:c r="D2075" s="19" t="str">
        <x:v>S08</x:v>
      </x:c>
      <x:c r="E2075" s="19" t="str">
        <x:v>四季青店</x:v>
      </x:c>
      <x:c r="F2075" s="19" t="str">
        <x:v>外卖</x:v>
      </x:c>
      <x:c r="G2075" s="19" t="str">
        <x:v>全日</x:v>
      </x:c>
      <x:c r="H2075" s="19" t="str">
        <x:v>D11</x:v>
      </x:c>
      <x:c r="I2075" s="19" t="str">
        <x:v>香辣爆肥肠</x:v>
      </x:c>
      <x:c r="J2075" s="22" t="n">
        <x:f>XLOOKUP(H2075,'菜品主数据'!$A$5:$A$24,'菜品主数据'!$D$5:$D$24,0)</x:f>
        <x:v>39</x:v>
      </x:c>
      <x:c r="K2075" s="31" t="n">
        <x:v>0</x:v>
      </x:c>
      <x:c r="L2075" s="35" t="n">
        <x:f>J2075*K2075</x:f>
        <x:v>0</x:v>
      </x:c>
      <x:c r="M2075" s="36" t="n">
        <x:v>0.08</x:v>
      </x:c>
      <x:c r="N2075" s="35" t="n">
        <x:f>L2075*M2075</x:f>
        <x:v>0</x:v>
      </x:c>
      <x:c r="O2075" s="37" t="n">
        <x:v>0.18</x:v>
      </x:c>
      <x:c r="P2075" s="35" t="n">
        <x:f>L2075*O2075</x:f>
        <x:v>0</x:v>
      </x:c>
      <x:c r="Q2075" s="35" t="n">
        <x:v>1.2</x:v>
      </x:c>
      <x:c r="R2075" s="35" t="n">
        <x:f>K2075*Q2075</x:f>
        <x:v>0</x:v>
      </x:c>
      <x:c r="S2075" s="35" t="n">
        <x:f>XLOOKUP(H2075,'菜品主数据'!$A$5:$A$24,'菜品主数据'!$G$5:$G$24,0)</x:f>
        <x:v>10.397</x:v>
      </x:c>
      <x:c r="T2075" s="35" t="n">
        <x:f>K2075*S2075</x:f>
        <x:v>0</x:v>
      </x:c>
      <x:c r="U2075" s="35" t="n">
        <x:f>L2075-N2075-P2075-R2075-T2075</x:f>
        <x:v>0</x:v>
      </x:c>
      <x:c r="V2075" s="21" t="n">
        <x:f>IFERROR(U2075/L2075,0)</x:f>
        <x:v>0</x:v>
      </x:c>
    </x:row>
    <x:row r="2076">
      <x:c r="A2076" s="19" t="str">
        <x:v>SALE-02072</x:v>
      </x:c>
      <x:c r="B2076" s="34" t="n">
        <x:v>46212.5</x:v>
      </x:c>
      <x:c r="C2076" s="19" t="str">
        <x:v>周四</x:v>
      </x:c>
      <x:c r="D2076" s="19" t="str">
        <x:v>S08</x:v>
      </x:c>
      <x:c r="E2076" s="19" t="str">
        <x:v>四季青店</x:v>
      </x:c>
      <x:c r="F2076" s="19" t="str">
        <x:v>外卖</x:v>
      </x:c>
      <x:c r="G2076" s="19" t="str">
        <x:v>全日</x:v>
      </x:c>
      <x:c r="H2076" s="19" t="str">
        <x:v>D12</x:v>
      </x:c>
      <x:c r="I2076" s="19" t="str">
        <x:v>清蒸鲈鱼</x:v>
      </x:c>
      <x:c r="J2076" s="22" t="n">
        <x:f>XLOOKUP(H2076,'菜品主数据'!$A$5:$A$24,'菜品主数据'!$D$5:$D$24,0)</x:f>
        <x:v>39</x:v>
      </x:c>
      <x:c r="K2076" s="31" t="n">
        <x:v>0</x:v>
      </x:c>
      <x:c r="L2076" s="35" t="n">
        <x:f>J2076*K2076</x:f>
        <x:v>0</x:v>
      </x:c>
      <x:c r="M2076" s="36" t="n">
        <x:v>0.08</x:v>
      </x:c>
      <x:c r="N2076" s="35" t="n">
        <x:f>L2076*M2076</x:f>
        <x:v>0</x:v>
      </x:c>
      <x:c r="O2076" s="37" t="n">
        <x:v>0.18</x:v>
      </x:c>
      <x:c r="P2076" s="35" t="n">
        <x:f>L2076*O2076</x:f>
        <x:v>0</x:v>
      </x:c>
      <x:c r="Q2076" s="35" t="n">
        <x:v>1.2</x:v>
      </x:c>
      <x:c r="R2076" s="35" t="n">
        <x:f>K2076*Q2076</x:f>
        <x:v>0</x:v>
      </x:c>
      <x:c r="S2076" s="35" t="n">
        <x:f>XLOOKUP(H2076,'菜品主数据'!$A$5:$A$24,'菜品主数据'!$G$5:$G$24,0)</x:f>
        <x:v>18.874</x:v>
      </x:c>
      <x:c r="T2076" s="35" t="n">
        <x:f>K2076*S2076</x:f>
        <x:v>0</x:v>
      </x:c>
      <x:c r="U2076" s="35" t="n">
        <x:f>L2076-N2076-P2076-R2076-T2076</x:f>
        <x:v>0</x:v>
      </x:c>
      <x:c r="V2076" s="21" t="n">
        <x:f>IFERROR(U2076/L2076,0)</x:f>
        <x:v>0</x:v>
      </x:c>
    </x:row>
    <x:row r="2077">
      <x:c r="A2077" s="19" t="str">
        <x:v>SALE-02073</x:v>
      </x:c>
      <x:c r="B2077" s="34" t="n">
        <x:v>46212.5</x:v>
      </x:c>
      <x:c r="C2077" s="19" t="str">
        <x:v>周四</x:v>
      </x:c>
      <x:c r="D2077" s="19" t="str">
        <x:v>S08</x:v>
      </x:c>
      <x:c r="E2077" s="19" t="str">
        <x:v>四季青店</x:v>
      </x:c>
      <x:c r="F2077" s="19" t="str">
        <x:v>外卖</x:v>
      </x:c>
      <x:c r="G2077" s="19" t="str">
        <x:v>全日</x:v>
      </x:c>
      <x:c r="H2077" s="19" t="str">
        <x:v>D13</x:v>
      </x:c>
      <x:c r="I2077" s="19" t="str">
        <x:v>外婆菜炒蛋</x:v>
      </x:c>
      <x:c r="J2077" s="22" t="n">
        <x:f>XLOOKUP(H2077,'菜品主数据'!$A$5:$A$24,'菜品主数据'!$D$5:$D$24,0)</x:f>
        <x:v>18</x:v>
      </x:c>
      <x:c r="K2077" s="31" t="n">
        <x:v>1</x:v>
      </x:c>
      <x:c r="L2077" s="35" t="n">
        <x:f>J2077*K2077</x:f>
        <x:v>18</x:v>
      </x:c>
      <x:c r="M2077" s="36" t="n">
        <x:v>0.08</x:v>
      </x:c>
      <x:c r="N2077" s="35" t="n">
        <x:f>L2077*M2077</x:f>
        <x:v>1.44</x:v>
      </x:c>
      <x:c r="O2077" s="37" t="n">
        <x:v>0.18</x:v>
      </x:c>
      <x:c r="P2077" s="35" t="n">
        <x:f>L2077*O2077</x:f>
        <x:v>3.2399999999999998</x:v>
      </x:c>
      <x:c r="Q2077" s="35" t="n">
        <x:v>1.2</x:v>
      </x:c>
      <x:c r="R2077" s="35" t="n">
        <x:f>K2077*Q2077</x:f>
        <x:v>1.2</x:v>
      </x:c>
      <x:c r="S2077" s="35" t="n">
        <x:f>XLOOKUP(H2077,'菜品主数据'!$A$5:$A$24,'菜品主数据'!$G$5:$G$24,0)</x:f>
        <x:v>5.403999999999999</x:v>
      </x:c>
      <x:c r="T2077" s="35" t="n">
        <x:f>K2077*S2077</x:f>
        <x:v>5.403999999999999</x:v>
      </x:c>
      <x:c r="U2077" s="35" t="n">
        <x:f>L2077-N2077-P2077-R2077-T2077</x:f>
        <x:v>6.716</x:v>
      </x:c>
      <x:c r="V2077" s="21" t="n">
        <x:f>IFERROR(U2077/L2077,0)</x:f>
        <x:v>0.3731111111111111</x:v>
      </x:c>
    </x:row>
    <x:row r="2078">
      <x:c r="A2078" s="19" t="str">
        <x:v>SALE-02074</x:v>
      </x:c>
      <x:c r="B2078" s="34" t="n">
        <x:v>46212.5</x:v>
      </x:c>
      <x:c r="C2078" s="19" t="str">
        <x:v>周四</x:v>
      </x:c>
      <x:c r="D2078" s="19" t="str">
        <x:v>S08</x:v>
      </x:c>
      <x:c r="E2078" s="19" t="str">
        <x:v>四季青店</x:v>
      </x:c>
      <x:c r="F2078" s="19" t="str">
        <x:v>外卖</x:v>
      </x:c>
      <x:c r="G2078" s="19" t="str">
        <x:v>全日</x:v>
      </x:c>
      <x:c r="H2078" s="19" t="str">
        <x:v>D14</x:v>
      </x:c>
      <x:c r="I2078" s="19" t="str">
        <x:v>酸辣鸡杂</x:v>
      </x:c>
      <x:c r="J2078" s="22" t="n">
        <x:f>XLOOKUP(H2078,'菜品主数据'!$A$5:$A$24,'菜品主数据'!$D$5:$D$24,0)</x:f>
        <x:v>28</x:v>
      </x:c>
      <x:c r="K2078" s="31" t="n">
        <x:v>0</x:v>
      </x:c>
      <x:c r="L2078" s="35" t="n">
        <x:f>J2078*K2078</x:f>
        <x:v>0</x:v>
      </x:c>
      <x:c r="M2078" s="36" t="n">
        <x:v>0.08</x:v>
      </x:c>
      <x:c r="N2078" s="35" t="n">
        <x:f>L2078*M2078</x:f>
        <x:v>0</x:v>
      </x:c>
      <x:c r="O2078" s="37" t="n">
        <x:v>0.18</x:v>
      </x:c>
      <x:c r="P2078" s="35" t="n">
        <x:f>L2078*O2078</x:f>
        <x:v>0</x:v>
      </x:c>
      <x:c r="Q2078" s="35" t="n">
        <x:v>1.2</x:v>
      </x:c>
      <x:c r="R2078" s="35" t="n">
        <x:f>K2078*Q2078</x:f>
        <x:v>0</x:v>
      </x:c>
      <x:c r="S2078" s="35" t="n">
        <x:f>XLOOKUP(H2078,'菜品主数据'!$A$5:$A$24,'菜品主数据'!$G$5:$G$24,0)</x:f>
        <x:v>8.315000000000001</x:v>
      </x:c>
      <x:c r="T2078" s="35" t="n">
        <x:f>K2078*S2078</x:f>
        <x:v>0</x:v>
      </x:c>
      <x:c r="U2078" s="35" t="n">
        <x:f>L2078-N2078-P2078-R2078-T2078</x:f>
        <x:v>0</x:v>
      </x:c>
      <x:c r="V2078" s="21" t="n">
        <x:f>IFERROR(U2078/L2078,0)</x:f>
        <x:v>0</x:v>
      </x:c>
    </x:row>
    <x:row r="2079">
      <x:c r="A2079" s="19" t="str">
        <x:v>SALE-02075</x:v>
      </x:c>
      <x:c r="B2079" s="34" t="n">
        <x:v>46212.5</x:v>
      </x:c>
      <x:c r="C2079" s="19" t="str">
        <x:v>周四</x:v>
      </x:c>
      <x:c r="D2079" s="19" t="str">
        <x:v>S08</x:v>
      </x:c>
      <x:c r="E2079" s="19" t="str">
        <x:v>四季青店</x:v>
      </x:c>
      <x:c r="F2079" s="19" t="str">
        <x:v>外卖</x:v>
      </x:c>
      <x:c r="G2079" s="19" t="str">
        <x:v>全日</x:v>
      </x:c>
      <x:c r="H2079" s="19" t="str">
        <x:v>D15</x:v>
      </x:c>
      <x:c r="I2079" s="19" t="str">
        <x:v>湘西土匪猪肝</x:v>
      </x:c>
      <x:c r="J2079" s="22" t="n">
        <x:f>XLOOKUP(H2079,'菜品主数据'!$A$5:$A$24,'菜品主数据'!$D$5:$D$24,0)</x:f>
        <x:v>26</x:v>
      </x:c>
      <x:c r="K2079" s="31" t="n">
        <x:v>0</x:v>
      </x:c>
      <x:c r="L2079" s="35" t="n">
        <x:f>J2079*K2079</x:f>
        <x:v>0</x:v>
      </x:c>
      <x:c r="M2079" s="36" t="n">
        <x:v>0.08</x:v>
      </x:c>
      <x:c r="N2079" s="35" t="n">
        <x:f>L2079*M2079</x:f>
        <x:v>0</x:v>
      </x:c>
      <x:c r="O2079" s="37" t="n">
        <x:v>0.18</x:v>
      </x:c>
      <x:c r="P2079" s="35" t="n">
        <x:f>L2079*O2079</x:f>
        <x:v>0</x:v>
      </x:c>
      <x:c r="Q2079" s="35" t="n">
        <x:v>1.2</x:v>
      </x:c>
      <x:c r="R2079" s="35" t="n">
        <x:f>K2079*Q2079</x:f>
        <x:v>0</x:v>
      </x:c>
      <x:c r="S2079" s="35" t="n">
        <x:f>XLOOKUP(H2079,'菜品主数据'!$A$5:$A$24,'菜品主数据'!$G$5:$G$24,0)</x:f>
        <x:v>6.3759999999999994</x:v>
      </x:c>
      <x:c r="T2079" s="35" t="n">
        <x:f>K2079*S2079</x:f>
        <x:v>0</x:v>
      </x:c>
      <x:c r="U2079" s="35" t="n">
        <x:f>L2079-N2079-P2079-R2079-T2079</x:f>
        <x:v>0</x:v>
      </x:c>
      <x:c r="V2079" s="21" t="n">
        <x:f>IFERROR(U2079/L2079,0)</x:f>
        <x:v>0</x:v>
      </x:c>
    </x:row>
    <x:row r="2080">
      <x:c r="A2080" s="19" t="str">
        <x:v>SALE-02076</x:v>
      </x:c>
      <x:c r="B2080" s="34" t="n">
        <x:v>46212.5</x:v>
      </x:c>
      <x:c r="C2080" s="19" t="str">
        <x:v>周四</x:v>
      </x:c>
      <x:c r="D2080" s="19" t="str">
        <x:v>S08</x:v>
      </x:c>
      <x:c r="E2080" s="19" t="str">
        <x:v>四季青店</x:v>
      </x:c>
      <x:c r="F2080" s="19" t="str">
        <x:v>外卖</x:v>
      </x:c>
      <x:c r="G2080" s="19" t="str">
        <x:v>全日</x:v>
      </x:c>
      <x:c r="H2080" s="19" t="str">
        <x:v>D16</x:v>
      </x:c>
      <x:c r="I2080" s="19" t="str">
        <x:v>小豆角炒五花</x:v>
      </x:c>
      <x:c r="J2080" s="22" t="n">
        <x:f>XLOOKUP(H2080,'菜品主数据'!$A$5:$A$24,'菜品主数据'!$D$5:$D$24,0)</x:f>
        <x:v>25</x:v>
      </x:c>
      <x:c r="K2080" s="31" t="n">
        <x:v>0</x:v>
      </x:c>
      <x:c r="L2080" s="35" t="n">
        <x:f>J2080*K2080</x:f>
        <x:v>0</x:v>
      </x:c>
      <x:c r="M2080" s="36" t="n">
        <x:v>0.08</x:v>
      </x:c>
      <x:c r="N2080" s="35" t="n">
        <x:f>L2080*M2080</x:f>
        <x:v>0</x:v>
      </x:c>
      <x:c r="O2080" s="37" t="n">
        <x:v>0.18</x:v>
      </x:c>
      <x:c r="P2080" s="35" t="n">
        <x:f>L2080*O2080</x:f>
        <x:v>0</x:v>
      </x:c>
      <x:c r="Q2080" s="35" t="n">
        <x:v>1.2</x:v>
      </x:c>
      <x:c r="R2080" s="35" t="n">
        <x:f>K2080*Q2080</x:f>
        <x:v>0</x:v>
      </x:c>
      <x:c r="S2080" s="35" t="n">
        <x:f>XLOOKUP(H2080,'菜品主数据'!$A$5:$A$24,'菜品主数据'!$G$5:$G$24,0)</x:f>
        <x:v>8.184</x:v>
      </x:c>
      <x:c r="T2080" s="35" t="n">
        <x:f>K2080*S2080</x:f>
        <x:v>0</x:v>
      </x:c>
      <x:c r="U2080" s="35" t="n">
        <x:f>L2080-N2080-P2080-R2080-T2080</x:f>
        <x:v>0</x:v>
      </x:c>
      <x:c r="V2080" s="21" t="n">
        <x:f>IFERROR(U2080/L2080,0)</x:f>
        <x:v>0</x:v>
      </x:c>
    </x:row>
    <x:row r="2081">
      <x:c r="A2081" s="19" t="str">
        <x:v>SALE-02077</x:v>
      </x:c>
      <x:c r="B2081" s="34" t="n">
        <x:v>46212.5</x:v>
      </x:c>
      <x:c r="C2081" s="19" t="str">
        <x:v>周四</x:v>
      </x:c>
      <x:c r="D2081" s="19" t="str">
        <x:v>S08</x:v>
      </x:c>
      <x:c r="E2081" s="19" t="str">
        <x:v>四季青店</x:v>
      </x:c>
      <x:c r="F2081" s="19" t="str">
        <x:v>外卖</x:v>
      </x:c>
      <x:c r="G2081" s="19" t="str">
        <x:v>全日</x:v>
      </x:c>
      <x:c r="H2081" s="19" t="str">
        <x:v>D17</x:v>
      </x:c>
      <x:c r="I2081" s="19" t="str">
        <x:v>蒜蓉粉丝虾</x:v>
      </x:c>
      <x:c r="J2081" s="22" t="n">
        <x:f>XLOOKUP(H2081,'菜品主数据'!$A$5:$A$24,'菜品主数据'!$D$5:$D$24,0)</x:f>
        <x:v>36</x:v>
      </x:c>
      <x:c r="K2081" s="31" t="n">
        <x:v>0</x:v>
      </x:c>
      <x:c r="L2081" s="35" t="n">
        <x:f>J2081*K2081</x:f>
        <x:v>0</x:v>
      </x:c>
      <x:c r="M2081" s="36" t="n">
        <x:v>0.08</x:v>
      </x:c>
      <x:c r="N2081" s="35" t="n">
        <x:f>L2081*M2081</x:f>
        <x:v>0</x:v>
      </x:c>
      <x:c r="O2081" s="37" t="n">
        <x:v>0.18</x:v>
      </x:c>
      <x:c r="P2081" s="35" t="n">
        <x:f>L2081*O2081</x:f>
        <x:v>0</x:v>
      </x:c>
      <x:c r="Q2081" s="35" t="n">
        <x:v>1.2</x:v>
      </x:c>
      <x:c r="R2081" s="35" t="n">
        <x:f>K2081*Q2081</x:f>
        <x:v>0</x:v>
      </x:c>
      <x:c r="S2081" s="35" t="n">
        <x:f>XLOOKUP(H2081,'菜品主数据'!$A$5:$A$24,'菜品主数据'!$G$5:$G$24,0)</x:f>
        <x:v>13.594</x:v>
      </x:c>
      <x:c r="T2081" s="35" t="n">
        <x:f>K2081*S2081</x:f>
        <x:v>0</x:v>
      </x:c>
      <x:c r="U2081" s="35" t="n">
        <x:f>L2081-N2081-P2081-R2081-T2081</x:f>
        <x:v>0</x:v>
      </x:c>
      <x:c r="V2081" s="21" t="n">
        <x:f>IFERROR(U2081/L2081,0)</x:f>
        <x:v>0</x:v>
      </x:c>
    </x:row>
    <x:row r="2082">
      <x:c r="A2082" s="19" t="str">
        <x:v>SALE-02078</x:v>
      </x:c>
      <x:c r="B2082" s="34" t="n">
        <x:v>46212.5</x:v>
      </x:c>
      <x:c r="C2082" s="19" t="str">
        <x:v>周四</x:v>
      </x:c>
      <x:c r="D2082" s="19" t="str">
        <x:v>S08</x:v>
      </x:c>
      <x:c r="E2082" s="19" t="str">
        <x:v>四季青店</x:v>
      </x:c>
      <x:c r="F2082" s="19" t="str">
        <x:v>外卖</x:v>
      </x:c>
      <x:c r="G2082" s="19" t="str">
        <x:v>全日</x:v>
      </x:c>
      <x:c r="H2082" s="19" t="str">
        <x:v>D18</x:v>
      </x:c>
      <x:c r="I2082" s="19" t="str">
        <x:v>青椒炒油麦菜</x:v>
      </x:c>
      <x:c r="J2082" s="22" t="n">
        <x:f>XLOOKUP(H2082,'菜品主数据'!$A$5:$A$24,'菜品主数据'!$D$5:$D$24,0)</x:f>
        <x:v>18</x:v>
      </x:c>
      <x:c r="K2082" s="31" t="n">
        <x:v>0</x:v>
      </x:c>
      <x:c r="L2082" s="35" t="n">
        <x:f>J2082*K2082</x:f>
        <x:v>0</x:v>
      </x:c>
      <x:c r="M2082" s="36" t="n">
        <x:v>0.08</x:v>
      </x:c>
      <x:c r="N2082" s="35" t="n">
        <x:f>L2082*M2082</x:f>
        <x:v>0</x:v>
      </x:c>
      <x:c r="O2082" s="37" t="n">
        <x:v>0.18</x:v>
      </x:c>
      <x:c r="P2082" s="35" t="n">
        <x:f>L2082*O2082</x:f>
        <x:v>0</x:v>
      </x:c>
      <x:c r="Q2082" s="35" t="n">
        <x:v>1.2</x:v>
      </x:c>
      <x:c r="R2082" s="35" t="n">
        <x:f>K2082*Q2082</x:f>
        <x:v>0</x:v>
      </x:c>
      <x:c r="S2082" s="35" t="n">
        <x:f>XLOOKUP(H2082,'菜品主数据'!$A$5:$A$24,'菜品主数据'!$G$5:$G$24,0)</x:f>
        <x:v>3.1759999999999993</x:v>
      </x:c>
      <x:c r="T2082" s="35" t="n">
        <x:f>K2082*S2082</x:f>
        <x:v>0</x:v>
      </x:c>
      <x:c r="U2082" s="35" t="n">
        <x:f>L2082-N2082-P2082-R2082-T2082</x:f>
        <x:v>0</x:v>
      </x:c>
      <x:c r="V2082" s="21" t="n">
        <x:f>IFERROR(U2082/L2082,0)</x:f>
        <x:v>0</x:v>
      </x:c>
    </x:row>
    <x:row r="2083">
      <x:c r="A2083" s="19" t="str">
        <x:v>SALE-02079</x:v>
      </x:c>
      <x:c r="B2083" s="34" t="n">
        <x:v>46212.5</x:v>
      </x:c>
      <x:c r="C2083" s="19" t="str">
        <x:v>周四</x:v>
      </x:c>
      <x:c r="D2083" s="19" t="str">
        <x:v>S08</x:v>
      </x:c>
      <x:c r="E2083" s="19" t="str">
        <x:v>四季青店</x:v>
      </x:c>
      <x:c r="F2083" s="19" t="str">
        <x:v>外卖</x:v>
      </x:c>
      <x:c r="G2083" s="19" t="str">
        <x:v>全日</x:v>
      </x:c>
      <x:c r="H2083" s="19" t="str">
        <x:v>D19</x:v>
      </x:c>
      <x:c r="I2083" s="19" t="str">
        <x:v>酸萝卜炒鸡杂</x:v>
      </x:c>
      <x:c r="J2083" s="22" t="n">
        <x:f>XLOOKUP(H2083,'菜品主数据'!$A$5:$A$24,'菜品主数据'!$D$5:$D$24,0)</x:f>
        <x:v>25</x:v>
      </x:c>
      <x:c r="K2083" s="31" t="n">
        <x:v>0</x:v>
      </x:c>
      <x:c r="L2083" s="35" t="n">
        <x:f>J2083*K2083</x:f>
        <x:v>0</x:v>
      </x:c>
      <x:c r="M2083" s="36" t="n">
        <x:v>0.08</x:v>
      </x:c>
      <x:c r="N2083" s="35" t="n">
        <x:f>L2083*M2083</x:f>
        <x:v>0</x:v>
      </x:c>
      <x:c r="O2083" s="37" t="n">
        <x:v>0.18</x:v>
      </x:c>
      <x:c r="P2083" s="35" t="n">
        <x:f>L2083*O2083</x:f>
        <x:v>0</x:v>
      </x:c>
      <x:c r="Q2083" s="35" t="n">
        <x:v>1.2</x:v>
      </x:c>
      <x:c r="R2083" s="35" t="n">
        <x:f>K2083*Q2083</x:f>
        <x:v>0</x:v>
      </x:c>
      <x:c r="S2083" s="35" t="n">
        <x:f>XLOOKUP(H2083,'菜品主数据'!$A$5:$A$24,'菜品主数据'!$G$5:$G$24,0)</x:f>
        <x:v>7.9399999999999995</x:v>
      </x:c>
      <x:c r="T2083" s="35" t="n">
        <x:f>K2083*S2083</x:f>
        <x:v>0</x:v>
      </x:c>
      <x:c r="U2083" s="35" t="n">
        <x:f>L2083-N2083-P2083-R2083-T2083</x:f>
        <x:v>0</x:v>
      </x:c>
      <x:c r="V2083" s="21" t="n">
        <x:f>IFERROR(U2083/L2083,0)</x:f>
        <x:v>0</x:v>
      </x:c>
    </x:row>
    <x:row r="2084">
      <x:c r="A2084" s="19" t="str">
        <x:v>SALE-02080</x:v>
      </x:c>
      <x:c r="B2084" s="34" t="n">
        <x:v>46212.5</x:v>
      </x:c>
      <x:c r="C2084" s="19" t="str">
        <x:v>周四</x:v>
      </x:c>
      <x:c r="D2084" s="19" t="str">
        <x:v>S08</x:v>
      </x:c>
      <x:c r="E2084" s="19" t="str">
        <x:v>四季青店</x:v>
      </x:c>
      <x:c r="F2084" s="19" t="str">
        <x:v>外卖</x:v>
      </x:c>
      <x:c r="G2084" s="19" t="str">
        <x:v>全日</x:v>
      </x:c>
      <x:c r="H2084" s="19" t="str">
        <x:v>D20</x:v>
      </x:c>
      <x:c r="I2084" s="19" t="str">
        <x:v>雪菜肉末青豆</x:v>
      </x:c>
      <x:c r="J2084" s="22" t="n">
        <x:f>XLOOKUP(H2084,'菜品主数据'!$A$5:$A$24,'菜品主数据'!$D$5:$D$24,0)</x:f>
        <x:v>18</x:v>
      </x:c>
      <x:c r="K2084" s="31" t="n">
        <x:v>0</x:v>
      </x:c>
      <x:c r="L2084" s="35" t="n">
        <x:f>J2084*K2084</x:f>
        <x:v>0</x:v>
      </x:c>
      <x:c r="M2084" s="36" t="n">
        <x:v>0.08</x:v>
      </x:c>
      <x:c r="N2084" s="35" t="n">
        <x:f>L2084*M2084</x:f>
        <x:v>0</x:v>
      </x:c>
      <x:c r="O2084" s="37" t="n">
        <x:v>0.18</x:v>
      </x:c>
      <x:c r="P2084" s="35" t="n">
        <x:f>L2084*O2084</x:f>
        <x:v>0</x:v>
      </x:c>
      <x:c r="Q2084" s="35" t="n">
        <x:v>1.2</x:v>
      </x:c>
      <x:c r="R2084" s="35" t="n">
        <x:f>K2084*Q2084</x:f>
        <x:v>0</x:v>
      </x:c>
      <x:c r="S2084" s="35" t="n">
        <x:f>XLOOKUP(H2084,'菜品主数据'!$A$5:$A$24,'菜品主数据'!$G$5:$G$24,0)</x:f>
        <x:v>7.303999999999999</x:v>
      </x:c>
      <x:c r="T2084" s="35" t="n">
        <x:f>K2084*S2084</x:f>
        <x:v>0</x:v>
      </x:c>
      <x:c r="U2084" s="35" t="n">
        <x:f>L2084-N2084-P2084-R2084-T2084</x:f>
        <x:v>0</x:v>
      </x:c>
      <x:c r="V2084" s="21" t="n">
        <x:f>IFERROR(U2084/L2084,0)</x:f>
        <x:v>0</x:v>
      </x:c>
    </x:row>
    <x:row r="2085">
      <x:c r="A2085" s="19" t="str">
        <x:v>SALE-02081</x:v>
      </x:c>
      <x:c r="B2085" s="34" t="n">
        <x:v>46213.5</x:v>
      </x:c>
      <x:c r="C2085" s="19" t="str">
        <x:v>周五</x:v>
      </x:c>
      <x:c r="D2085" s="19" t="str">
        <x:v>S08</x:v>
      </x:c>
      <x:c r="E2085" s="19" t="str">
        <x:v>四季青店</x:v>
      </x:c>
      <x:c r="F2085" s="19" t="str">
        <x:v>堂食</x:v>
      </x:c>
      <x:c r="G2085" s="19" t="str">
        <x:v>全日</x:v>
      </x:c>
      <x:c r="H2085" s="19" t="str">
        <x:v>D01</x:v>
      </x:c>
      <x:c r="I2085" s="19" t="str">
        <x:v>辣椒炒肉</x:v>
      </x:c>
      <x:c r="J2085" s="22" t="n">
        <x:f>XLOOKUP(H2085,'菜品主数据'!$A$5:$A$24,'菜品主数据'!$D$5:$D$24,0)</x:f>
        <x:v>29</x:v>
      </x:c>
      <x:c r="K2085" s="31" t="n">
        <x:v>38</x:v>
      </x:c>
      <x:c r="L2085" s="35" t="n">
        <x:f>J2085*K2085</x:f>
        <x:v>1102</x:v>
      </x:c>
      <x:c r="M2085" s="36" t="n">
        <x:v>0</x:v>
      </x:c>
      <x:c r="N2085" s="35" t="n">
        <x:f>L2085*M2085</x:f>
        <x:v>0</x:v>
      </x:c>
      <x:c r="O2085" s="37" t="n">
        <x:v>0</x:v>
      </x:c>
      <x:c r="P2085" s="35" t="n">
        <x:f>L2085*O2085</x:f>
        <x:v>0</x:v>
      </x:c>
      <x:c r="Q2085" s="35" t="n">
        <x:v>0</x:v>
      </x:c>
      <x:c r="R2085" s="35" t="n">
        <x:f>K2085*Q2085</x:f>
        <x:v>0</x:v>
      </x:c>
      <x:c r="S2085" s="35" t="n">
        <x:f>XLOOKUP(H2085,'菜品主数据'!$A$5:$A$24,'菜品主数据'!$G$5:$G$24,0)</x:f>
        <x:v>8.634400000000001</x:v>
      </x:c>
      <x:c r="T2085" s="35" t="n">
        <x:f>K2085*S2085</x:f>
        <x:v>328.10720000000003</x:v>
      </x:c>
      <x:c r="U2085" s="35" t="n">
        <x:f>L2085-N2085-P2085-R2085-T2085</x:f>
        <x:v>773.8928</x:v>
      </x:c>
      <x:c r="V2085" s="21" t="n">
        <x:f>IFERROR(U2085/L2085,0)</x:f>
        <x:v>0.7022620689655172</x:v>
      </x:c>
    </x:row>
    <x:row r="2086">
      <x:c r="A2086" s="19" t="str">
        <x:v>SALE-02082</x:v>
      </x:c>
      <x:c r="B2086" s="34" t="n">
        <x:v>46213.5</x:v>
      </x:c>
      <x:c r="C2086" s="19" t="str">
        <x:v>周五</x:v>
      </x:c>
      <x:c r="D2086" s="19" t="str">
        <x:v>S08</x:v>
      </x:c>
      <x:c r="E2086" s="19" t="str">
        <x:v>四季青店</x:v>
      </x:c>
      <x:c r="F2086" s="19" t="str">
        <x:v>堂食</x:v>
      </x:c>
      <x:c r="G2086" s="19" t="str">
        <x:v>全日</x:v>
      </x:c>
      <x:c r="H2086" s="19" t="str">
        <x:v>D02</x:v>
      </x:c>
      <x:c r="I2086" s="19" t="str">
        <x:v>小炒黄牛肉</x:v>
      </x:c>
      <x:c r="J2086" s="22" t="n">
        <x:f>XLOOKUP(H2086,'菜品主数据'!$A$5:$A$24,'菜品主数据'!$D$5:$D$24,0)</x:f>
        <x:v>49</x:v>
      </x:c>
      <x:c r="K2086" s="31" t="n">
        <x:v>21</x:v>
      </x:c>
      <x:c r="L2086" s="35" t="n">
        <x:f>J2086*K2086</x:f>
        <x:v>1029</x:v>
      </x:c>
      <x:c r="M2086" s="36" t="n">
        <x:v>0</x:v>
      </x:c>
      <x:c r="N2086" s="35" t="n">
        <x:f>L2086*M2086</x:f>
        <x:v>0</x:v>
      </x:c>
      <x:c r="O2086" s="37" t="n">
        <x:v>0</x:v>
      </x:c>
      <x:c r="P2086" s="35" t="n">
        <x:f>L2086*O2086</x:f>
        <x:v>0</x:v>
      </x:c>
      <x:c r="Q2086" s="35" t="n">
        <x:v>0</x:v>
      </x:c>
      <x:c r="R2086" s="35" t="n">
        <x:f>K2086*Q2086</x:f>
        <x:v>0</x:v>
      </x:c>
      <x:c r="S2086" s="35" t="n">
        <x:f>XLOOKUP(H2086,'菜品主数据'!$A$5:$A$24,'菜品主数据'!$G$5:$G$24,0)</x:f>
        <x:v>17.577</x:v>
      </x:c>
      <x:c r="T2086" s="35" t="n">
        <x:f>K2086*S2086</x:f>
        <x:v>369.117</x:v>
      </x:c>
      <x:c r="U2086" s="35" t="n">
        <x:f>L2086-N2086-P2086-R2086-T2086</x:f>
        <x:v>659.883</x:v>
      </x:c>
      <x:c r="V2086" s="21" t="n">
        <x:f>IFERROR(U2086/L2086,0)</x:f>
        <x:v>0.6412857142857143</x:v>
      </x:c>
    </x:row>
    <x:row r="2087">
      <x:c r="A2087" s="19" t="str">
        <x:v>SALE-02083</x:v>
      </x:c>
      <x:c r="B2087" s="34" t="n">
        <x:v>46213.5</x:v>
      </x:c>
      <x:c r="C2087" s="19" t="str">
        <x:v>周五</x:v>
      </x:c>
      <x:c r="D2087" s="19" t="str">
        <x:v>S08</x:v>
      </x:c>
      <x:c r="E2087" s="19" t="str">
        <x:v>四季青店</x:v>
      </x:c>
      <x:c r="F2087" s="19" t="str">
        <x:v>堂食</x:v>
      </x:c>
      <x:c r="G2087" s="19" t="str">
        <x:v>全日</x:v>
      </x:c>
      <x:c r="H2087" s="19" t="str">
        <x:v>D03</x:v>
      </x:c>
      <x:c r="I2087" s="19" t="str">
        <x:v>香醋炒蛋</x:v>
      </x:c>
      <x:c r="J2087" s="22" t="n">
        <x:f>XLOOKUP(H2087,'菜品主数据'!$A$5:$A$24,'菜品主数据'!$D$5:$D$24,0)</x:f>
        <x:v>14.9</x:v>
      </x:c>
      <x:c r="K2087" s="31" t="n">
        <x:v>31</x:v>
      </x:c>
      <x:c r="L2087" s="35" t="n">
        <x:f>J2087*K2087</x:f>
        <x:v>461.90000000000003</x:v>
      </x:c>
      <x:c r="M2087" s="36" t="n">
        <x:v>0</x:v>
      </x:c>
      <x:c r="N2087" s="35" t="n">
        <x:f>L2087*M2087</x:f>
        <x:v>0</x:v>
      </x:c>
      <x:c r="O2087" s="37" t="n">
        <x:v>0</x:v>
      </x:c>
      <x:c r="P2087" s="35" t="n">
        <x:f>L2087*O2087</x:f>
        <x:v>0</x:v>
      </x:c>
      <x:c r="Q2087" s="35" t="n">
        <x:v>0</x:v>
      </x:c>
      <x:c r="R2087" s="35" t="n">
        <x:f>K2087*Q2087</x:f>
        <x:v>0</x:v>
      </x:c>
      <x:c r="S2087" s="35" t="n">
        <x:f>XLOOKUP(H2087,'菜品主数据'!$A$5:$A$24,'菜品主数据'!$G$5:$G$24,0)</x:f>
        <x:v>3.7459999999999996</x:v>
      </x:c>
      <x:c r="T2087" s="35" t="n">
        <x:f>K2087*S2087</x:f>
        <x:v>116.12599999999999</x:v>
      </x:c>
      <x:c r="U2087" s="35" t="n">
        <x:f>L2087-N2087-P2087-R2087-T2087</x:f>
        <x:v>345.77400000000006</x:v>
      </x:c>
      <x:c r="V2087" s="21" t="n">
        <x:f>IFERROR(U2087/L2087,0)</x:f>
        <x:v>0.7485906040268457</x:v>
      </x:c>
    </x:row>
    <x:row r="2088">
      <x:c r="A2088" s="19" t="str">
        <x:v>SALE-02084</x:v>
      </x:c>
      <x:c r="B2088" s="34" t="n">
        <x:v>46213.5</x:v>
      </x:c>
      <x:c r="C2088" s="19" t="str">
        <x:v>周五</x:v>
      </x:c>
      <x:c r="D2088" s="19" t="str">
        <x:v>S08</x:v>
      </x:c>
      <x:c r="E2088" s="19" t="str">
        <x:v>四季青店</x:v>
      </x:c>
      <x:c r="F2088" s="19" t="str">
        <x:v>堂食</x:v>
      </x:c>
      <x:c r="G2088" s="19" t="str">
        <x:v>全日</x:v>
      </x:c>
      <x:c r="H2088" s="19" t="str">
        <x:v>D04</x:v>
      </x:c>
      <x:c r="I2088" s="19" t="str">
        <x:v>酸包菜炒粉皮</x:v>
      </x:c>
      <x:c r="J2088" s="22" t="n">
        <x:f>XLOOKUP(H2088,'菜品主数据'!$A$5:$A$24,'菜品主数据'!$D$5:$D$24,0)</x:f>
        <x:v>16</x:v>
      </x:c>
      <x:c r="K2088" s="31" t="n">
        <x:v>29</x:v>
      </x:c>
      <x:c r="L2088" s="35" t="n">
        <x:f>J2088*K2088</x:f>
        <x:v>464</x:v>
      </x:c>
      <x:c r="M2088" s="36" t="n">
        <x:v>0</x:v>
      </x:c>
      <x:c r="N2088" s="35" t="n">
        <x:f>L2088*M2088</x:f>
        <x:v>0</x:v>
      </x:c>
      <x:c r="O2088" s="37" t="n">
        <x:v>0</x:v>
      </x:c>
      <x:c r="P2088" s="35" t="n">
        <x:f>L2088*O2088</x:f>
        <x:v>0</x:v>
      </x:c>
      <x:c r="Q2088" s="35" t="n">
        <x:v>0</x:v>
      </x:c>
      <x:c r="R2088" s="35" t="n">
        <x:f>K2088*Q2088</x:f>
        <x:v>0</x:v>
      </x:c>
      <x:c r="S2088" s="35" t="n">
        <x:f>XLOOKUP(H2088,'菜品主数据'!$A$5:$A$24,'菜品主数据'!$G$5:$G$24,0)</x:f>
        <x:v>3.978</x:v>
      </x:c>
      <x:c r="T2088" s="35" t="n">
        <x:f>K2088*S2088</x:f>
        <x:v>115.36200000000001</x:v>
      </x:c>
      <x:c r="U2088" s="35" t="n">
        <x:f>L2088-N2088-P2088-R2088-T2088</x:f>
        <x:v>348.638</x:v>
      </x:c>
      <x:c r="V2088" s="21" t="n">
        <x:f>IFERROR(U2088/L2088,0)</x:f>
        <x:v>0.7513749999999999</x:v>
      </x:c>
    </x:row>
    <x:row r="2089">
      <x:c r="A2089" s="19" t="str">
        <x:v>SALE-02085</x:v>
      </x:c>
      <x:c r="B2089" s="34" t="n">
        <x:v>46213.5</x:v>
      </x:c>
      <x:c r="C2089" s="19" t="str">
        <x:v>周五</x:v>
      </x:c>
      <x:c r="D2089" s="19" t="str">
        <x:v>S08</x:v>
      </x:c>
      <x:c r="E2089" s="19" t="str">
        <x:v>四季青店</x:v>
      </x:c>
      <x:c r="F2089" s="19" t="str">
        <x:v>堂食</x:v>
      </x:c>
      <x:c r="G2089" s="19" t="str">
        <x:v>全日</x:v>
      </x:c>
      <x:c r="H2089" s="19" t="str">
        <x:v>D05</x:v>
      </x:c>
      <x:c r="I2089" s="19" t="str">
        <x:v>麻婆豆腐</x:v>
      </x:c>
      <x:c r="J2089" s="22" t="n">
        <x:f>XLOOKUP(H2089,'菜品主数据'!$A$5:$A$24,'菜品主数据'!$D$5:$D$24,0)</x:f>
        <x:v>9.9</x:v>
      </x:c>
      <x:c r="K2089" s="31" t="n">
        <x:v>42</x:v>
      </x:c>
      <x:c r="L2089" s="35" t="n">
        <x:f>J2089*K2089</x:f>
        <x:v>415.8</x:v>
      </x:c>
      <x:c r="M2089" s="36" t="n">
        <x:v>0</x:v>
      </x:c>
      <x:c r="N2089" s="35" t="n">
        <x:f>L2089*M2089</x:f>
        <x:v>0</x:v>
      </x:c>
      <x:c r="O2089" s="37" t="n">
        <x:v>0</x:v>
      </x:c>
      <x:c r="P2089" s="35" t="n">
        <x:f>L2089*O2089</x:f>
        <x:v>0</x:v>
      </x:c>
      <x:c r="Q2089" s="35" t="n">
        <x:v>0</x:v>
      </x:c>
      <x:c r="R2089" s="35" t="n">
        <x:f>K2089*Q2089</x:f>
        <x:v>0</x:v>
      </x:c>
      <x:c r="S2089" s="35" t="n">
        <x:f>XLOOKUP(H2089,'菜品主数据'!$A$5:$A$24,'菜品主数据'!$G$5:$G$24,0)</x:f>
        <x:v>5.367000000000001</x:v>
      </x:c>
      <x:c r="T2089" s="35" t="n">
        <x:f>K2089*S2089</x:f>
        <x:v>225.41400000000004</x:v>
      </x:c>
      <x:c r="U2089" s="35" t="n">
        <x:f>L2089-N2089-P2089-R2089-T2089</x:f>
        <x:v>190.38599999999997</x:v>
      </x:c>
      <x:c r="V2089" s="21" t="n">
        <x:f>IFERROR(U2089/L2089,0)</x:f>
        <x:v>0.4578787878787878</x:v>
      </x:c>
    </x:row>
    <x:row r="2090">
      <x:c r="A2090" s="19" t="str">
        <x:v>SALE-02086</x:v>
      </x:c>
      <x:c r="B2090" s="34" t="n">
        <x:v>46213.5</x:v>
      </x:c>
      <x:c r="C2090" s="19" t="str">
        <x:v>周五</x:v>
      </x:c>
      <x:c r="D2090" s="19" t="str">
        <x:v>S08</x:v>
      </x:c>
      <x:c r="E2090" s="19" t="str">
        <x:v>四季青店</x:v>
      </x:c>
      <x:c r="F2090" s="19" t="str">
        <x:v>堂食</x:v>
      </x:c>
      <x:c r="G2090" s="19" t="str">
        <x:v>全日</x:v>
      </x:c>
      <x:c r="H2090" s="19" t="str">
        <x:v>D06</x:v>
      </x:c>
      <x:c r="I2090" s="19" t="str">
        <x:v>剁椒鱼头</x:v>
      </x:c>
      <x:c r="J2090" s="22" t="n">
        <x:f>XLOOKUP(H2090,'菜品主数据'!$A$5:$A$24,'菜品主数据'!$D$5:$D$24,0)</x:f>
        <x:v>39</x:v>
      </x:c>
      <x:c r="K2090" s="31" t="n">
        <x:v>11</x:v>
      </x:c>
      <x:c r="L2090" s="35" t="n">
        <x:f>J2090*K2090</x:f>
        <x:v>429</x:v>
      </x:c>
      <x:c r="M2090" s="36" t="n">
        <x:v>0</x:v>
      </x:c>
      <x:c r="N2090" s="35" t="n">
        <x:f>L2090*M2090</x:f>
        <x:v>0</x:v>
      </x:c>
      <x:c r="O2090" s="37" t="n">
        <x:v>0</x:v>
      </x:c>
      <x:c r="P2090" s="35" t="n">
        <x:f>L2090*O2090</x:f>
        <x:v>0</x:v>
      </x:c>
      <x:c r="Q2090" s="35" t="n">
        <x:v>0</x:v>
      </x:c>
      <x:c r="R2090" s="35" t="n">
        <x:f>K2090*Q2090</x:f>
        <x:v>0</x:v>
      </x:c>
      <x:c r="S2090" s="35" t="n">
        <x:f>XLOOKUP(H2090,'菜品主数据'!$A$5:$A$24,'菜品主数据'!$G$5:$G$24,0)</x:f>
        <x:v>17.446</x:v>
      </x:c>
      <x:c r="T2090" s="35" t="n">
        <x:f>K2090*S2090</x:f>
        <x:v>191.906</x:v>
      </x:c>
      <x:c r="U2090" s="35" t="n">
        <x:f>L2090-N2090-P2090-R2090-T2090</x:f>
        <x:v>237.094</x:v>
      </x:c>
      <x:c r="V2090" s="21" t="n">
        <x:f>IFERROR(U2090/L2090,0)</x:f>
        <x:v>0.5526666666666666</x:v>
      </x:c>
    </x:row>
    <x:row r="2091">
      <x:c r="A2091" s="19" t="str">
        <x:v>SALE-02087</x:v>
      </x:c>
      <x:c r="B2091" s="34" t="n">
        <x:v>46213.5</x:v>
      </x:c>
      <x:c r="C2091" s="19" t="str">
        <x:v>周五</x:v>
      </x:c>
      <x:c r="D2091" s="19" t="str">
        <x:v>S08</x:v>
      </x:c>
      <x:c r="E2091" s="19" t="str">
        <x:v>四季青店</x:v>
      </x:c>
      <x:c r="F2091" s="19" t="str">
        <x:v>堂食</x:v>
      </x:c>
      <x:c r="G2091" s="19" t="str">
        <x:v>全日</x:v>
      </x:c>
      <x:c r="H2091" s="19" t="str">
        <x:v>D07</x:v>
      </x:c>
      <x:c r="I2091" s="19" t="str">
        <x:v>川味回锅肉</x:v>
      </x:c>
      <x:c r="J2091" s="22" t="n">
        <x:f>XLOOKUP(H2091,'菜品主数据'!$A$5:$A$24,'菜品主数据'!$D$5:$D$24,0)</x:f>
        <x:v>29</x:v>
      </x:c>
      <x:c r="K2091" s="31" t="n">
        <x:v>13</x:v>
      </x:c>
      <x:c r="L2091" s="35" t="n">
        <x:f>J2091*K2091</x:f>
        <x:v>377</x:v>
      </x:c>
      <x:c r="M2091" s="36" t="n">
        <x:v>0</x:v>
      </x:c>
      <x:c r="N2091" s="35" t="n">
        <x:f>L2091*M2091</x:f>
        <x:v>0</x:v>
      </x:c>
      <x:c r="O2091" s="37" t="n">
        <x:v>0</x:v>
      </x:c>
      <x:c r="P2091" s="35" t="n">
        <x:f>L2091*O2091</x:f>
        <x:v>0</x:v>
      </x:c>
      <x:c r="Q2091" s="35" t="n">
        <x:v>0</x:v>
      </x:c>
      <x:c r="R2091" s="35" t="n">
        <x:f>K2091*Q2091</x:f>
        <x:v>0</x:v>
      </x:c>
      <x:c r="S2091" s="35" t="n">
        <x:f>XLOOKUP(H2091,'菜品主数据'!$A$5:$A$24,'菜品主数据'!$G$5:$G$24,0)</x:f>
        <x:v>10.231000000000002</x:v>
      </x:c>
      <x:c r="T2091" s="35" t="n">
        <x:f>K2091*S2091</x:f>
        <x:v>133.00300000000001</x:v>
      </x:c>
      <x:c r="U2091" s="35" t="n">
        <x:f>L2091-N2091-P2091-R2091-T2091</x:f>
        <x:v>243.99699999999999</x:v>
      </x:c>
      <x:c r="V2091" s="21" t="n">
        <x:f>IFERROR(U2091/L2091,0)</x:f>
        <x:v>0.6472068965517241</x:v>
      </x:c>
    </x:row>
    <x:row r="2092">
      <x:c r="A2092" s="19" t="str">
        <x:v>SALE-02088</x:v>
      </x:c>
      <x:c r="B2092" s="34" t="n">
        <x:v>46213.5</x:v>
      </x:c>
      <x:c r="C2092" s="19" t="str">
        <x:v>周五</x:v>
      </x:c>
      <x:c r="D2092" s="19" t="str">
        <x:v>S08</x:v>
      </x:c>
      <x:c r="E2092" s="19" t="str">
        <x:v>四季青店</x:v>
      </x:c>
      <x:c r="F2092" s="19" t="str">
        <x:v>堂食</x:v>
      </x:c>
      <x:c r="G2092" s="19" t="str">
        <x:v>全日</x:v>
      </x:c>
      <x:c r="H2092" s="19" t="str">
        <x:v>D08</x:v>
      </x:c>
      <x:c r="I2092" s="19" t="str">
        <x:v>生炒清远鸡</x:v>
      </x:c>
      <x:c r="J2092" s="22" t="n">
        <x:f>XLOOKUP(H2092,'菜品主数据'!$A$5:$A$24,'菜品主数据'!$D$5:$D$24,0)</x:f>
        <x:v>36</x:v>
      </x:c>
      <x:c r="K2092" s="31" t="n">
        <x:v>9</x:v>
      </x:c>
      <x:c r="L2092" s="35" t="n">
        <x:f>J2092*K2092</x:f>
        <x:v>324</x:v>
      </x:c>
      <x:c r="M2092" s="36" t="n">
        <x:v>0</x:v>
      </x:c>
      <x:c r="N2092" s="35" t="n">
        <x:f>L2092*M2092</x:f>
        <x:v>0</x:v>
      </x:c>
      <x:c r="O2092" s="37" t="n">
        <x:v>0</x:v>
      </x:c>
      <x:c r="P2092" s="35" t="n">
        <x:f>L2092*O2092</x:f>
        <x:v>0</x:v>
      </x:c>
      <x:c r="Q2092" s="35" t="n">
        <x:v>0</x:v>
      </x:c>
      <x:c r="R2092" s="35" t="n">
        <x:f>K2092*Q2092</x:f>
        <x:v>0</x:v>
      </x:c>
      <x:c r="S2092" s="35" t="n">
        <x:f>XLOOKUP(H2092,'菜品主数据'!$A$5:$A$24,'菜品主数据'!$G$5:$G$24,0)</x:f>
        <x:v>13.48</x:v>
      </x:c>
      <x:c r="T2092" s="35" t="n">
        <x:f>K2092*S2092</x:f>
        <x:v>121.32000000000001</x:v>
      </x:c>
      <x:c r="U2092" s="35" t="n">
        <x:f>L2092-N2092-P2092-R2092-T2092</x:f>
        <x:v>202.68</x:v>
      </x:c>
      <x:c r="V2092" s="21" t="n">
        <x:f>IFERROR(U2092/L2092,0)</x:f>
        <x:v>0.6255555555555555</x:v>
      </x:c>
    </x:row>
    <x:row r="2093">
      <x:c r="A2093" s="19" t="str">
        <x:v>SALE-02089</x:v>
      </x:c>
      <x:c r="B2093" s="34" t="n">
        <x:v>46213.5</x:v>
      </x:c>
      <x:c r="C2093" s="19" t="str">
        <x:v>周五</x:v>
      </x:c>
      <x:c r="D2093" s="19" t="str">
        <x:v>S08</x:v>
      </x:c>
      <x:c r="E2093" s="19" t="str">
        <x:v>四季青店</x:v>
      </x:c>
      <x:c r="F2093" s="19" t="str">
        <x:v>堂食</x:v>
      </x:c>
      <x:c r="G2093" s="19" t="str">
        <x:v>全日</x:v>
      </x:c>
      <x:c r="H2093" s="19" t="str">
        <x:v>D09</x:v>
      </x:c>
      <x:c r="I2093" s="19" t="str">
        <x:v>炒豆干</x:v>
      </x:c>
      <x:c r="J2093" s="22" t="n">
        <x:f>XLOOKUP(H2093,'菜品主数据'!$A$5:$A$24,'菜品主数据'!$D$5:$D$24,0)</x:f>
        <x:v>18</x:v>
      </x:c>
      <x:c r="K2093" s="31" t="n">
        <x:v>13</x:v>
      </x:c>
      <x:c r="L2093" s="35" t="n">
        <x:f>J2093*K2093</x:f>
        <x:v>234</x:v>
      </x:c>
      <x:c r="M2093" s="36" t="n">
        <x:v>0</x:v>
      </x:c>
      <x:c r="N2093" s="35" t="n">
        <x:f>L2093*M2093</x:f>
        <x:v>0</x:v>
      </x:c>
      <x:c r="O2093" s="37" t="n">
        <x:v>0</x:v>
      </x:c>
      <x:c r="P2093" s="35" t="n">
        <x:f>L2093*O2093</x:f>
        <x:v>0</x:v>
      </x:c>
      <x:c r="Q2093" s="35" t="n">
        <x:v>0</x:v>
      </x:c>
      <x:c r="R2093" s="35" t="n">
        <x:f>K2093*Q2093</x:f>
        <x:v>0</x:v>
      </x:c>
      <x:c r="S2093" s="35" t="n">
        <x:f>XLOOKUP(H2093,'菜品主数据'!$A$5:$A$24,'菜品主数据'!$G$5:$G$24,0)</x:f>
        <x:v>6.613999999999999</x:v>
      </x:c>
      <x:c r="T2093" s="35" t="n">
        <x:f>K2093*S2093</x:f>
        <x:v>85.98199999999999</x:v>
      </x:c>
      <x:c r="U2093" s="35" t="n">
        <x:f>L2093-N2093-P2093-R2093-T2093</x:f>
        <x:v>148.01800000000003</x:v>
      </x:c>
      <x:c r="V2093" s="21" t="n">
        <x:f>IFERROR(U2093/L2093,0)</x:f>
        <x:v>0.6325555555555556</x:v>
      </x:c>
    </x:row>
    <x:row r="2094">
      <x:c r="A2094" s="19" t="str">
        <x:v>SALE-02090</x:v>
      </x:c>
      <x:c r="B2094" s="34" t="n">
        <x:v>46213.5</x:v>
      </x:c>
      <x:c r="C2094" s="19" t="str">
        <x:v>周五</x:v>
      </x:c>
      <x:c r="D2094" s="19" t="str">
        <x:v>S08</x:v>
      </x:c>
      <x:c r="E2094" s="19" t="str">
        <x:v>四季青店</x:v>
      </x:c>
      <x:c r="F2094" s="19" t="str">
        <x:v>堂食</x:v>
      </x:c>
      <x:c r="G2094" s="19" t="str">
        <x:v>全日</x:v>
      </x:c>
      <x:c r="H2094" s="19" t="str">
        <x:v>D10</x:v>
      </x:c>
      <x:c r="I2094" s="19" t="str">
        <x:v>农家一碗香</x:v>
      </x:c>
      <x:c r="J2094" s="22" t="n">
        <x:f>XLOOKUP(H2094,'菜品主数据'!$A$5:$A$24,'菜品主数据'!$D$5:$D$24,0)</x:f>
        <x:v>22.9</x:v>
      </x:c>
      <x:c r="K2094" s="31" t="n">
        <x:v>15</x:v>
      </x:c>
      <x:c r="L2094" s="35" t="n">
        <x:f>J2094*K2094</x:f>
        <x:v>343.5</x:v>
      </x:c>
      <x:c r="M2094" s="36" t="n">
        <x:v>0</x:v>
      </x:c>
      <x:c r="N2094" s="35" t="n">
        <x:f>L2094*M2094</x:f>
        <x:v>0</x:v>
      </x:c>
      <x:c r="O2094" s="37" t="n">
        <x:v>0</x:v>
      </x:c>
      <x:c r="P2094" s="35" t="n">
        <x:f>L2094*O2094</x:f>
        <x:v>0</x:v>
      </x:c>
      <x:c r="Q2094" s="35" t="n">
        <x:v>0</x:v>
      </x:c>
      <x:c r="R2094" s="35" t="n">
        <x:f>K2094*Q2094</x:f>
        <x:v>0</x:v>
      </x:c>
      <x:c r="S2094" s="35" t="n">
        <x:f>XLOOKUP(H2094,'菜品主数据'!$A$5:$A$24,'菜品主数据'!$G$5:$G$24,0)</x:f>
        <x:v>9.770200000000003</x:v>
      </x:c>
      <x:c r="T2094" s="35" t="n">
        <x:f>K2094*S2094</x:f>
        <x:v>146.55300000000005</x:v>
      </x:c>
      <x:c r="U2094" s="35" t="n">
        <x:f>L2094-N2094-P2094-R2094-T2094</x:f>
        <x:v>196.94699999999995</x:v>
      </x:c>
      <x:c r="V2094" s="21" t="n">
        <x:f>IFERROR(U2094/L2094,0)</x:f>
        <x:v>0.5733537117903929</x:v>
      </x:c>
    </x:row>
    <x:row r="2095">
      <x:c r="A2095" s="19" t="str">
        <x:v>SALE-02091</x:v>
      </x:c>
      <x:c r="B2095" s="34" t="n">
        <x:v>46213.5</x:v>
      </x:c>
      <x:c r="C2095" s="19" t="str">
        <x:v>周五</x:v>
      </x:c>
      <x:c r="D2095" s="19" t="str">
        <x:v>S08</x:v>
      </x:c>
      <x:c r="E2095" s="19" t="str">
        <x:v>四季青店</x:v>
      </x:c>
      <x:c r="F2095" s="19" t="str">
        <x:v>堂食</x:v>
      </x:c>
      <x:c r="G2095" s="19" t="str">
        <x:v>全日</x:v>
      </x:c>
      <x:c r="H2095" s="19" t="str">
        <x:v>D11</x:v>
      </x:c>
      <x:c r="I2095" s="19" t="str">
        <x:v>香辣爆肥肠</x:v>
      </x:c>
      <x:c r="J2095" s="22" t="n">
        <x:f>XLOOKUP(H2095,'菜品主数据'!$A$5:$A$24,'菜品主数据'!$D$5:$D$24,0)</x:f>
        <x:v>39</x:v>
      </x:c>
      <x:c r="K2095" s="31" t="n">
        <x:v>5</x:v>
      </x:c>
      <x:c r="L2095" s="35" t="n">
        <x:f>J2095*K2095</x:f>
        <x:v>195</x:v>
      </x:c>
      <x:c r="M2095" s="36" t="n">
        <x:v>0</x:v>
      </x:c>
      <x:c r="N2095" s="35" t="n">
        <x:f>L2095*M2095</x:f>
        <x:v>0</x:v>
      </x:c>
      <x:c r="O2095" s="37" t="n">
        <x:v>0</x:v>
      </x:c>
      <x:c r="P2095" s="35" t="n">
        <x:f>L2095*O2095</x:f>
        <x:v>0</x:v>
      </x:c>
      <x:c r="Q2095" s="35" t="n">
        <x:v>0</x:v>
      </x:c>
      <x:c r="R2095" s="35" t="n">
        <x:f>K2095*Q2095</x:f>
        <x:v>0</x:v>
      </x:c>
      <x:c r="S2095" s="35" t="n">
        <x:f>XLOOKUP(H2095,'菜品主数据'!$A$5:$A$24,'菜品主数据'!$G$5:$G$24,0)</x:f>
        <x:v>10.397</x:v>
      </x:c>
      <x:c r="T2095" s="35" t="n">
        <x:f>K2095*S2095</x:f>
        <x:v>51.985</x:v>
      </x:c>
      <x:c r="U2095" s="35" t="n">
        <x:f>L2095-N2095-P2095-R2095-T2095</x:f>
        <x:v>143.015</x:v>
      </x:c>
      <x:c r="V2095" s="21" t="n">
        <x:f>IFERROR(U2095/L2095,0)</x:f>
        <x:v>0.7334102564102564</x:v>
      </x:c>
    </x:row>
    <x:row r="2096">
      <x:c r="A2096" s="19" t="str">
        <x:v>SALE-02092</x:v>
      </x:c>
      <x:c r="B2096" s="34" t="n">
        <x:v>46213.5</x:v>
      </x:c>
      <x:c r="C2096" s="19" t="str">
        <x:v>周五</x:v>
      </x:c>
      <x:c r="D2096" s="19" t="str">
        <x:v>S08</x:v>
      </x:c>
      <x:c r="E2096" s="19" t="str">
        <x:v>四季青店</x:v>
      </x:c>
      <x:c r="F2096" s="19" t="str">
        <x:v>堂食</x:v>
      </x:c>
      <x:c r="G2096" s="19" t="str">
        <x:v>全日</x:v>
      </x:c>
      <x:c r="H2096" s="19" t="str">
        <x:v>D12</x:v>
      </x:c>
      <x:c r="I2096" s="19" t="str">
        <x:v>清蒸鲈鱼</x:v>
      </x:c>
      <x:c r="J2096" s="22" t="n">
        <x:f>XLOOKUP(H2096,'菜品主数据'!$A$5:$A$24,'菜品主数据'!$D$5:$D$24,0)</x:f>
        <x:v>39</x:v>
      </x:c>
      <x:c r="K2096" s="31" t="n">
        <x:v>6</x:v>
      </x:c>
      <x:c r="L2096" s="35" t="n">
        <x:f>J2096*K2096</x:f>
        <x:v>234</x:v>
      </x:c>
      <x:c r="M2096" s="36" t="n">
        <x:v>0</x:v>
      </x:c>
      <x:c r="N2096" s="35" t="n">
        <x:f>L2096*M2096</x:f>
        <x:v>0</x:v>
      </x:c>
      <x:c r="O2096" s="37" t="n">
        <x:v>0</x:v>
      </x:c>
      <x:c r="P2096" s="35" t="n">
        <x:f>L2096*O2096</x:f>
        <x:v>0</x:v>
      </x:c>
      <x:c r="Q2096" s="35" t="n">
        <x:v>0</x:v>
      </x:c>
      <x:c r="R2096" s="35" t="n">
        <x:f>K2096*Q2096</x:f>
        <x:v>0</x:v>
      </x:c>
      <x:c r="S2096" s="35" t="n">
        <x:f>XLOOKUP(H2096,'菜品主数据'!$A$5:$A$24,'菜品主数据'!$G$5:$G$24,0)</x:f>
        <x:v>18.874</x:v>
      </x:c>
      <x:c r="T2096" s="35" t="n">
        <x:f>K2096*S2096</x:f>
        <x:v>113.244</x:v>
      </x:c>
      <x:c r="U2096" s="35" t="n">
        <x:f>L2096-N2096-P2096-R2096-T2096</x:f>
        <x:v>120.756</x:v>
      </x:c>
      <x:c r="V2096" s="21" t="n">
        <x:f>IFERROR(U2096/L2096,0)</x:f>
        <x:v>0.516051282051282</x:v>
      </x:c>
    </x:row>
    <x:row r="2097">
      <x:c r="A2097" s="19" t="str">
        <x:v>SALE-02093</x:v>
      </x:c>
      <x:c r="B2097" s="34" t="n">
        <x:v>46213.5</x:v>
      </x:c>
      <x:c r="C2097" s="19" t="str">
        <x:v>周五</x:v>
      </x:c>
      <x:c r="D2097" s="19" t="str">
        <x:v>S08</x:v>
      </x:c>
      <x:c r="E2097" s="19" t="str">
        <x:v>四季青店</x:v>
      </x:c>
      <x:c r="F2097" s="19" t="str">
        <x:v>堂食</x:v>
      </x:c>
      <x:c r="G2097" s="19" t="str">
        <x:v>全日</x:v>
      </x:c>
      <x:c r="H2097" s="19" t="str">
        <x:v>D13</x:v>
      </x:c>
      <x:c r="I2097" s="19" t="str">
        <x:v>外婆菜炒蛋</x:v>
      </x:c>
      <x:c r="J2097" s="22" t="n">
        <x:f>XLOOKUP(H2097,'菜品主数据'!$A$5:$A$24,'菜品主数据'!$D$5:$D$24,0)</x:f>
        <x:v>18</x:v>
      </x:c>
      <x:c r="K2097" s="31" t="n">
        <x:v>12</x:v>
      </x:c>
      <x:c r="L2097" s="35" t="n">
        <x:f>J2097*K2097</x:f>
        <x:v>216</x:v>
      </x:c>
      <x:c r="M2097" s="36" t="n">
        <x:v>0</x:v>
      </x:c>
      <x:c r="N2097" s="35" t="n">
        <x:f>L2097*M2097</x:f>
        <x:v>0</x:v>
      </x:c>
      <x:c r="O2097" s="37" t="n">
        <x:v>0</x:v>
      </x:c>
      <x:c r="P2097" s="35" t="n">
        <x:f>L2097*O2097</x:f>
        <x:v>0</x:v>
      </x:c>
      <x:c r="Q2097" s="35" t="n">
        <x:v>0</x:v>
      </x:c>
      <x:c r="R2097" s="35" t="n">
        <x:f>K2097*Q2097</x:f>
        <x:v>0</x:v>
      </x:c>
      <x:c r="S2097" s="35" t="n">
        <x:f>XLOOKUP(H2097,'菜品主数据'!$A$5:$A$24,'菜品主数据'!$G$5:$G$24,0)</x:f>
        <x:v>5.403999999999999</x:v>
      </x:c>
      <x:c r="T2097" s="35" t="n">
        <x:f>K2097*S2097</x:f>
        <x:v>64.84799999999998</x:v>
      </x:c>
      <x:c r="U2097" s="35" t="n">
        <x:f>L2097-N2097-P2097-R2097-T2097</x:f>
        <x:v>151.15200000000002</x:v>
      </x:c>
      <x:c r="V2097" s="21" t="n">
        <x:f>IFERROR(U2097/L2097,0)</x:f>
        <x:v>0.6997777777777778</x:v>
      </x:c>
    </x:row>
    <x:row r="2098">
      <x:c r="A2098" s="19" t="str">
        <x:v>SALE-02094</x:v>
      </x:c>
      <x:c r="B2098" s="34" t="n">
        <x:v>46213.5</x:v>
      </x:c>
      <x:c r="C2098" s="19" t="str">
        <x:v>周五</x:v>
      </x:c>
      <x:c r="D2098" s="19" t="str">
        <x:v>S08</x:v>
      </x:c>
      <x:c r="E2098" s="19" t="str">
        <x:v>四季青店</x:v>
      </x:c>
      <x:c r="F2098" s="19" t="str">
        <x:v>堂食</x:v>
      </x:c>
      <x:c r="G2098" s="19" t="str">
        <x:v>全日</x:v>
      </x:c>
      <x:c r="H2098" s="19" t="str">
        <x:v>D14</x:v>
      </x:c>
      <x:c r="I2098" s="19" t="str">
        <x:v>酸辣鸡杂</x:v>
      </x:c>
      <x:c r="J2098" s="22" t="n">
        <x:f>XLOOKUP(H2098,'菜品主数据'!$A$5:$A$24,'菜品主数据'!$D$5:$D$24,0)</x:f>
        <x:v>28</x:v>
      </x:c>
      <x:c r="K2098" s="31" t="n">
        <x:v>6</x:v>
      </x:c>
      <x:c r="L2098" s="35" t="n">
        <x:f>J2098*K2098</x:f>
        <x:v>168</x:v>
      </x:c>
      <x:c r="M2098" s="36" t="n">
        <x:v>0</x:v>
      </x:c>
      <x:c r="N2098" s="35" t="n">
        <x:f>L2098*M2098</x:f>
        <x:v>0</x:v>
      </x:c>
      <x:c r="O2098" s="37" t="n">
        <x:v>0</x:v>
      </x:c>
      <x:c r="P2098" s="35" t="n">
        <x:f>L2098*O2098</x:f>
        <x:v>0</x:v>
      </x:c>
      <x:c r="Q2098" s="35" t="n">
        <x:v>0</x:v>
      </x:c>
      <x:c r="R2098" s="35" t="n">
        <x:f>K2098*Q2098</x:f>
        <x:v>0</x:v>
      </x:c>
      <x:c r="S2098" s="35" t="n">
        <x:f>XLOOKUP(H2098,'菜品主数据'!$A$5:$A$24,'菜品主数据'!$G$5:$G$24,0)</x:f>
        <x:v>8.315000000000001</x:v>
      </x:c>
      <x:c r="T2098" s="35" t="n">
        <x:f>K2098*S2098</x:f>
        <x:v>49.89000000000001</x:v>
      </x:c>
      <x:c r="U2098" s="35" t="n">
        <x:f>L2098-N2098-P2098-R2098-T2098</x:f>
        <x:v>118.10999999999999</x:v>
      </x:c>
      <x:c r="V2098" s="21" t="n">
        <x:f>IFERROR(U2098/L2098,0)</x:f>
        <x:v>0.7030357142857142</x:v>
      </x:c>
    </x:row>
    <x:row r="2099">
      <x:c r="A2099" s="19" t="str">
        <x:v>SALE-02095</x:v>
      </x:c>
      <x:c r="B2099" s="34" t="n">
        <x:v>46213.5</x:v>
      </x:c>
      <x:c r="C2099" s="19" t="str">
        <x:v>周五</x:v>
      </x:c>
      <x:c r="D2099" s="19" t="str">
        <x:v>S08</x:v>
      </x:c>
      <x:c r="E2099" s="19" t="str">
        <x:v>四季青店</x:v>
      </x:c>
      <x:c r="F2099" s="19" t="str">
        <x:v>堂食</x:v>
      </x:c>
      <x:c r="G2099" s="19" t="str">
        <x:v>全日</x:v>
      </x:c>
      <x:c r="H2099" s="19" t="str">
        <x:v>D15</x:v>
      </x:c>
      <x:c r="I2099" s="19" t="str">
        <x:v>湘西土匪猪肝</x:v>
      </x:c>
      <x:c r="J2099" s="22" t="n">
        <x:f>XLOOKUP(H2099,'菜品主数据'!$A$5:$A$24,'菜品主数据'!$D$5:$D$24,0)</x:f>
        <x:v>26</x:v>
      </x:c>
      <x:c r="K2099" s="31" t="n">
        <x:v>6</x:v>
      </x:c>
      <x:c r="L2099" s="35" t="n">
        <x:f>J2099*K2099</x:f>
        <x:v>156</x:v>
      </x:c>
      <x:c r="M2099" s="36" t="n">
        <x:v>0</x:v>
      </x:c>
      <x:c r="N2099" s="35" t="n">
        <x:f>L2099*M2099</x:f>
        <x:v>0</x:v>
      </x:c>
      <x:c r="O2099" s="37" t="n">
        <x:v>0</x:v>
      </x:c>
      <x:c r="P2099" s="35" t="n">
        <x:f>L2099*O2099</x:f>
        <x:v>0</x:v>
      </x:c>
      <x:c r="Q2099" s="35" t="n">
        <x:v>0</x:v>
      </x:c>
      <x:c r="R2099" s="35" t="n">
        <x:f>K2099*Q2099</x:f>
        <x:v>0</x:v>
      </x:c>
      <x:c r="S2099" s="35" t="n">
        <x:f>XLOOKUP(H2099,'菜品主数据'!$A$5:$A$24,'菜品主数据'!$G$5:$G$24,0)</x:f>
        <x:v>6.3759999999999994</x:v>
      </x:c>
      <x:c r="T2099" s="35" t="n">
        <x:f>K2099*S2099</x:f>
        <x:v>38.256</x:v>
      </x:c>
      <x:c r="U2099" s="35" t="n">
        <x:f>L2099-N2099-P2099-R2099-T2099</x:f>
        <x:v>117.744</x:v>
      </x:c>
      <x:c r="V2099" s="21" t="n">
        <x:f>IFERROR(U2099/L2099,0)</x:f>
        <x:v>0.7547692307692307</x:v>
      </x:c>
    </x:row>
    <x:row r="2100">
      <x:c r="A2100" s="19" t="str">
        <x:v>SALE-02096</x:v>
      </x:c>
      <x:c r="B2100" s="34" t="n">
        <x:v>46213.5</x:v>
      </x:c>
      <x:c r="C2100" s="19" t="str">
        <x:v>周五</x:v>
      </x:c>
      <x:c r="D2100" s="19" t="str">
        <x:v>S08</x:v>
      </x:c>
      <x:c r="E2100" s="19" t="str">
        <x:v>四季青店</x:v>
      </x:c>
      <x:c r="F2100" s="19" t="str">
        <x:v>堂食</x:v>
      </x:c>
      <x:c r="G2100" s="19" t="str">
        <x:v>全日</x:v>
      </x:c>
      <x:c r="H2100" s="19" t="str">
        <x:v>D16</x:v>
      </x:c>
      <x:c r="I2100" s="19" t="str">
        <x:v>小豆角炒五花</x:v>
      </x:c>
      <x:c r="J2100" s="22" t="n">
        <x:f>XLOOKUP(H2100,'菜品主数据'!$A$5:$A$24,'菜品主数据'!$D$5:$D$24,0)</x:f>
        <x:v>25</x:v>
      </x:c>
      <x:c r="K2100" s="31" t="n">
        <x:v>6</x:v>
      </x:c>
      <x:c r="L2100" s="35" t="n">
        <x:f>J2100*K2100</x:f>
        <x:v>150</x:v>
      </x:c>
      <x:c r="M2100" s="36" t="n">
        <x:v>0</x:v>
      </x:c>
      <x:c r="N2100" s="35" t="n">
        <x:f>L2100*M2100</x:f>
        <x:v>0</x:v>
      </x:c>
      <x:c r="O2100" s="37" t="n">
        <x:v>0</x:v>
      </x:c>
      <x:c r="P2100" s="35" t="n">
        <x:f>L2100*O2100</x:f>
        <x:v>0</x:v>
      </x:c>
      <x:c r="Q2100" s="35" t="n">
        <x:v>0</x:v>
      </x:c>
      <x:c r="R2100" s="35" t="n">
        <x:f>K2100*Q2100</x:f>
        <x:v>0</x:v>
      </x:c>
      <x:c r="S2100" s="35" t="n">
        <x:f>XLOOKUP(H2100,'菜品主数据'!$A$5:$A$24,'菜品主数据'!$G$5:$G$24,0)</x:f>
        <x:v>8.184</x:v>
      </x:c>
      <x:c r="T2100" s="35" t="n">
        <x:f>K2100*S2100</x:f>
        <x:v>49.104</x:v>
      </x:c>
      <x:c r="U2100" s="35" t="n">
        <x:f>L2100-N2100-P2100-R2100-T2100</x:f>
        <x:v>100.896</x:v>
      </x:c>
      <x:c r="V2100" s="21" t="n">
        <x:f>IFERROR(U2100/L2100,0)</x:f>
        <x:v>0.67264</x:v>
      </x:c>
    </x:row>
    <x:row r="2101">
      <x:c r="A2101" s="19" t="str">
        <x:v>SALE-02097</x:v>
      </x:c>
      <x:c r="B2101" s="34" t="n">
        <x:v>46213.5</x:v>
      </x:c>
      <x:c r="C2101" s="19" t="str">
        <x:v>周五</x:v>
      </x:c>
      <x:c r="D2101" s="19" t="str">
        <x:v>S08</x:v>
      </x:c>
      <x:c r="E2101" s="19" t="str">
        <x:v>四季青店</x:v>
      </x:c>
      <x:c r="F2101" s="19" t="str">
        <x:v>堂食</x:v>
      </x:c>
      <x:c r="G2101" s="19" t="str">
        <x:v>全日</x:v>
      </x:c>
      <x:c r="H2101" s="19" t="str">
        <x:v>D17</x:v>
      </x:c>
      <x:c r="I2101" s="19" t="str">
        <x:v>蒜蓉粉丝虾</x:v>
      </x:c>
      <x:c r="J2101" s="22" t="n">
        <x:f>XLOOKUP(H2101,'菜品主数据'!$A$5:$A$24,'菜品主数据'!$D$5:$D$24,0)</x:f>
        <x:v>36</x:v>
      </x:c>
      <x:c r="K2101" s="31" t="n">
        <x:v>4</x:v>
      </x:c>
      <x:c r="L2101" s="35" t="n">
        <x:f>J2101*K2101</x:f>
        <x:v>144</x:v>
      </x:c>
      <x:c r="M2101" s="36" t="n">
        <x:v>0</x:v>
      </x:c>
      <x:c r="N2101" s="35" t="n">
        <x:f>L2101*M2101</x:f>
        <x:v>0</x:v>
      </x:c>
      <x:c r="O2101" s="37" t="n">
        <x:v>0</x:v>
      </x:c>
      <x:c r="P2101" s="35" t="n">
        <x:f>L2101*O2101</x:f>
        <x:v>0</x:v>
      </x:c>
      <x:c r="Q2101" s="35" t="n">
        <x:v>0</x:v>
      </x:c>
      <x:c r="R2101" s="35" t="n">
        <x:f>K2101*Q2101</x:f>
        <x:v>0</x:v>
      </x:c>
      <x:c r="S2101" s="35" t="n">
        <x:f>XLOOKUP(H2101,'菜品主数据'!$A$5:$A$24,'菜品主数据'!$G$5:$G$24,0)</x:f>
        <x:v>13.594</x:v>
      </x:c>
      <x:c r="T2101" s="35" t="n">
        <x:f>K2101*S2101</x:f>
        <x:v>54.376</x:v>
      </x:c>
      <x:c r="U2101" s="35" t="n">
        <x:f>L2101-N2101-P2101-R2101-T2101</x:f>
        <x:v>89.624</x:v>
      </x:c>
      <x:c r="V2101" s="21" t="n">
        <x:f>IFERROR(U2101/L2101,0)</x:f>
        <x:v>0.6223888888888889</x:v>
      </x:c>
    </x:row>
    <x:row r="2102">
      <x:c r="A2102" s="19" t="str">
        <x:v>SALE-02098</x:v>
      </x:c>
      <x:c r="B2102" s="34" t="n">
        <x:v>46213.5</x:v>
      </x:c>
      <x:c r="C2102" s="19" t="str">
        <x:v>周五</x:v>
      </x:c>
      <x:c r="D2102" s="19" t="str">
        <x:v>S08</x:v>
      </x:c>
      <x:c r="E2102" s="19" t="str">
        <x:v>四季青店</x:v>
      </x:c>
      <x:c r="F2102" s="19" t="str">
        <x:v>堂食</x:v>
      </x:c>
      <x:c r="G2102" s="19" t="str">
        <x:v>全日</x:v>
      </x:c>
      <x:c r="H2102" s="19" t="str">
        <x:v>D18</x:v>
      </x:c>
      <x:c r="I2102" s="19" t="str">
        <x:v>青椒炒油麦菜</x:v>
      </x:c>
      <x:c r="J2102" s="22" t="n">
        <x:f>XLOOKUP(H2102,'菜品主数据'!$A$5:$A$24,'菜品主数据'!$D$5:$D$24,0)</x:f>
        <x:v>18</x:v>
      </x:c>
      <x:c r="K2102" s="31" t="n">
        <x:v>7</x:v>
      </x:c>
      <x:c r="L2102" s="35" t="n">
        <x:f>J2102*K2102</x:f>
        <x:v>126</x:v>
      </x:c>
      <x:c r="M2102" s="36" t="n">
        <x:v>0</x:v>
      </x:c>
      <x:c r="N2102" s="35" t="n">
        <x:f>L2102*M2102</x:f>
        <x:v>0</x:v>
      </x:c>
      <x:c r="O2102" s="37" t="n">
        <x:v>0</x:v>
      </x:c>
      <x:c r="P2102" s="35" t="n">
        <x:f>L2102*O2102</x:f>
        <x:v>0</x:v>
      </x:c>
      <x:c r="Q2102" s="35" t="n">
        <x:v>0</x:v>
      </x:c>
      <x:c r="R2102" s="35" t="n">
        <x:f>K2102*Q2102</x:f>
        <x:v>0</x:v>
      </x:c>
      <x:c r="S2102" s="35" t="n">
        <x:f>XLOOKUP(H2102,'菜品主数据'!$A$5:$A$24,'菜品主数据'!$G$5:$G$24,0)</x:f>
        <x:v>3.1759999999999993</x:v>
      </x:c>
      <x:c r="T2102" s="35" t="n">
        <x:f>K2102*S2102</x:f>
        <x:v>22.231999999999996</x:v>
      </x:c>
      <x:c r="U2102" s="35" t="n">
        <x:f>L2102-N2102-P2102-R2102-T2102</x:f>
        <x:v>103.768</x:v>
      </x:c>
      <x:c r="V2102" s="21" t="n">
        <x:f>IFERROR(U2102/L2102,0)</x:f>
        <x:v>0.8235555555555556</x:v>
      </x:c>
    </x:row>
    <x:row r="2103">
      <x:c r="A2103" s="19" t="str">
        <x:v>SALE-02099</x:v>
      </x:c>
      <x:c r="B2103" s="34" t="n">
        <x:v>46213.5</x:v>
      </x:c>
      <x:c r="C2103" s="19" t="str">
        <x:v>周五</x:v>
      </x:c>
      <x:c r="D2103" s="19" t="str">
        <x:v>S08</x:v>
      </x:c>
      <x:c r="E2103" s="19" t="str">
        <x:v>四季青店</x:v>
      </x:c>
      <x:c r="F2103" s="19" t="str">
        <x:v>堂食</x:v>
      </x:c>
      <x:c r="G2103" s="19" t="str">
        <x:v>全日</x:v>
      </x:c>
      <x:c r="H2103" s="19" t="str">
        <x:v>D19</x:v>
      </x:c>
      <x:c r="I2103" s="19" t="str">
        <x:v>酸萝卜炒鸡杂</x:v>
      </x:c>
      <x:c r="J2103" s="22" t="n">
        <x:f>XLOOKUP(H2103,'菜品主数据'!$A$5:$A$24,'菜品主数据'!$D$5:$D$24,0)</x:f>
        <x:v>25</x:v>
      </x:c>
      <x:c r="K2103" s="31" t="n">
        <x:v>5</x:v>
      </x:c>
      <x:c r="L2103" s="35" t="n">
        <x:f>J2103*K2103</x:f>
        <x:v>125</x:v>
      </x:c>
      <x:c r="M2103" s="36" t="n">
        <x:v>0</x:v>
      </x:c>
      <x:c r="N2103" s="35" t="n">
        <x:f>L2103*M2103</x:f>
        <x:v>0</x:v>
      </x:c>
      <x:c r="O2103" s="37" t="n">
        <x:v>0</x:v>
      </x:c>
      <x:c r="P2103" s="35" t="n">
        <x:f>L2103*O2103</x:f>
        <x:v>0</x:v>
      </x:c>
      <x:c r="Q2103" s="35" t="n">
        <x:v>0</x:v>
      </x:c>
      <x:c r="R2103" s="35" t="n">
        <x:f>K2103*Q2103</x:f>
        <x:v>0</x:v>
      </x:c>
      <x:c r="S2103" s="35" t="n">
        <x:f>XLOOKUP(H2103,'菜品主数据'!$A$5:$A$24,'菜品主数据'!$G$5:$G$24,0)</x:f>
        <x:v>7.9399999999999995</x:v>
      </x:c>
      <x:c r="T2103" s="35" t="n">
        <x:f>K2103*S2103</x:f>
        <x:v>39.699999999999996</x:v>
      </x:c>
      <x:c r="U2103" s="35" t="n">
        <x:f>L2103-N2103-P2103-R2103-T2103</x:f>
        <x:v>85.30000000000001</x:v>
      </x:c>
      <x:c r="V2103" s="21" t="n">
        <x:f>IFERROR(U2103/L2103,0)</x:f>
        <x:v>0.6824000000000001</x:v>
      </x:c>
    </x:row>
    <x:row r="2104">
      <x:c r="A2104" s="19" t="str">
        <x:v>SALE-02100</x:v>
      </x:c>
      <x:c r="B2104" s="34" t="n">
        <x:v>46213.5</x:v>
      </x:c>
      <x:c r="C2104" s="19" t="str">
        <x:v>周五</x:v>
      </x:c>
      <x:c r="D2104" s="19" t="str">
        <x:v>S08</x:v>
      </x:c>
      <x:c r="E2104" s="19" t="str">
        <x:v>四季青店</x:v>
      </x:c>
      <x:c r="F2104" s="19" t="str">
        <x:v>堂食</x:v>
      </x:c>
      <x:c r="G2104" s="19" t="str">
        <x:v>全日</x:v>
      </x:c>
      <x:c r="H2104" s="19" t="str">
        <x:v>D20</x:v>
      </x:c>
      <x:c r="I2104" s="19" t="str">
        <x:v>雪菜肉末青豆</x:v>
      </x:c>
      <x:c r="J2104" s="22" t="n">
        <x:f>XLOOKUP(H2104,'菜品主数据'!$A$5:$A$24,'菜品主数据'!$D$5:$D$24,0)</x:f>
        <x:v>18</x:v>
      </x:c>
      <x:c r="K2104" s="31" t="n">
        <x:v>6</x:v>
      </x:c>
      <x:c r="L2104" s="35" t="n">
        <x:f>J2104*K2104</x:f>
        <x:v>108</x:v>
      </x:c>
      <x:c r="M2104" s="36" t="n">
        <x:v>0</x:v>
      </x:c>
      <x:c r="N2104" s="35" t="n">
        <x:f>L2104*M2104</x:f>
        <x:v>0</x:v>
      </x:c>
      <x:c r="O2104" s="37" t="n">
        <x:v>0</x:v>
      </x:c>
      <x:c r="P2104" s="35" t="n">
        <x:f>L2104*O2104</x:f>
        <x:v>0</x:v>
      </x:c>
      <x:c r="Q2104" s="35" t="n">
        <x:v>0</x:v>
      </x:c>
      <x:c r="R2104" s="35" t="n">
        <x:f>K2104*Q2104</x:f>
        <x:v>0</x:v>
      </x:c>
      <x:c r="S2104" s="35" t="n">
        <x:f>XLOOKUP(H2104,'菜品主数据'!$A$5:$A$24,'菜品主数据'!$G$5:$G$24,0)</x:f>
        <x:v>7.303999999999999</x:v>
      </x:c>
      <x:c r="T2104" s="35" t="n">
        <x:f>K2104*S2104</x:f>
        <x:v>43.824</x:v>
      </x:c>
      <x:c r="U2104" s="35" t="n">
        <x:f>L2104-N2104-P2104-R2104-T2104</x:f>
        <x:v>64.176</x:v>
      </x:c>
      <x:c r="V2104" s="21" t="n">
        <x:f>IFERROR(U2104/L2104,0)</x:f>
        <x:v>0.5942222222222222</x:v>
      </x:c>
    </x:row>
    <x:row r="2105">
      <x:c r="A2105" s="19" t="str">
        <x:v>SALE-02101</x:v>
      </x:c>
      <x:c r="B2105" s="34" t="n">
        <x:v>46213.5</x:v>
      </x:c>
      <x:c r="C2105" s="19" t="str">
        <x:v>周五</x:v>
      </x:c>
      <x:c r="D2105" s="19" t="str">
        <x:v>S08</x:v>
      </x:c>
      <x:c r="E2105" s="19" t="str">
        <x:v>四季青店</x:v>
      </x:c>
      <x:c r="F2105" s="19" t="str">
        <x:v>外卖</x:v>
      </x:c>
      <x:c r="G2105" s="19" t="str">
        <x:v>全日</x:v>
      </x:c>
      <x:c r="H2105" s="19" t="str">
        <x:v>D01</x:v>
      </x:c>
      <x:c r="I2105" s="19" t="str">
        <x:v>辣椒炒肉</x:v>
      </x:c>
      <x:c r="J2105" s="22" t="n">
        <x:f>XLOOKUP(H2105,'菜品主数据'!$A$5:$A$24,'菜品主数据'!$D$5:$D$24,0)</x:f>
        <x:v>29</x:v>
      </x:c>
      <x:c r="K2105" s="31" t="n">
        <x:v>4</x:v>
      </x:c>
      <x:c r="L2105" s="35" t="n">
        <x:f>J2105*K2105</x:f>
        <x:v>116</x:v>
      </x:c>
      <x:c r="M2105" s="36" t="n">
        <x:v>0.08</x:v>
      </x:c>
      <x:c r="N2105" s="35" t="n">
        <x:f>L2105*M2105</x:f>
        <x:v>9.28</x:v>
      </x:c>
      <x:c r="O2105" s="37" t="n">
        <x:v>0.18</x:v>
      </x:c>
      <x:c r="P2105" s="35" t="n">
        <x:f>L2105*O2105</x:f>
        <x:v>20.88</x:v>
      </x:c>
      <x:c r="Q2105" s="35" t="n">
        <x:v>1.2</x:v>
      </x:c>
      <x:c r="R2105" s="35" t="n">
        <x:f>K2105*Q2105</x:f>
        <x:v>4.8</x:v>
      </x:c>
      <x:c r="S2105" s="35" t="n">
        <x:f>XLOOKUP(H2105,'菜品主数据'!$A$5:$A$24,'菜品主数据'!$G$5:$G$24,0)</x:f>
        <x:v>8.634400000000001</x:v>
      </x:c>
      <x:c r="T2105" s="35" t="n">
        <x:f>K2105*S2105</x:f>
        <x:v>34.537600000000005</x:v>
      </x:c>
      <x:c r="U2105" s="35" t="n">
        <x:f>L2105-N2105-P2105-R2105-T2105</x:f>
        <x:v>46.5024</x:v>
      </x:c>
      <x:c r="V2105" s="21" t="n">
        <x:f>IFERROR(U2105/L2105,0)</x:f>
        <x:v>0.40088275862068967</x:v>
      </x:c>
    </x:row>
    <x:row r="2106">
      <x:c r="A2106" s="19" t="str">
        <x:v>SALE-02102</x:v>
      </x:c>
      <x:c r="B2106" s="34" t="n">
        <x:v>46213.5</x:v>
      </x:c>
      <x:c r="C2106" s="19" t="str">
        <x:v>周五</x:v>
      </x:c>
      <x:c r="D2106" s="19" t="str">
        <x:v>S08</x:v>
      </x:c>
      <x:c r="E2106" s="19" t="str">
        <x:v>四季青店</x:v>
      </x:c>
      <x:c r="F2106" s="19" t="str">
        <x:v>外卖</x:v>
      </x:c>
      <x:c r="G2106" s="19" t="str">
        <x:v>全日</x:v>
      </x:c>
      <x:c r="H2106" s="19" t="str">
        <x:v>D02</x:v>
      </x:c>
      <x:c r="I2106" s="19" t="str">
        <x:v>小炒黄牛肉</x:v>
      </x:c>
      <x:c r="J2106" s="22" t="n">
        <x:f>XLOOKUP(H2106,'菜品主数据'!$A$5:$A$24,'菜品主数据'!$D$5:$D$24,0)</x:f>
        <x:v>49</x:v>
      </x:c>
      <x:c r="K2106" s="31" t="n">
        <x:v>7</x:v>
      </x:c>
      <x:c r="L2106" s="35" t="n">
        <x:f>J2106*K2106</x:f>
        <x:v>343</x:v>
      </x:c>
      <x:c r="M2106" s="36" t="n">
        <x:v>0.08</x:v>
      </x:c>
      <x:c r="N2106" s="35" t="n">
        <x:f>L2106*M2106</x:f>
        <x:v>27.44</x:v>
      </x:c>
      <x:c r="O2106" s="37" t="n">
        <x:v>0.18</x:v>
      </x:c>
      <x:c r="P2106" s="35" t="n">
        <x:f>L2106*O2106</x:f>
        <x:v>61.739999999999995</x:v>
      </x:c>
      <x:c r="Q2106" s="35" t="n">
        <x:v>1.2</x:v>
      </x:c>
      <x:c r="R2106" s="35" t="n">
        <x:f>K2106*Q2106</x:f>
        <x:v>8.4</x:v>
      </x:c>
      <x:c r="S2106" s="35" t="n">
        <x:f>XLOOKUP(H2106,'菜品主数据'!$A$5:$A$24,'菜品主数据'!$G$5:$G$24,0)</x:f>
        <x:v>17.577</x:v>
      </x:c>
      <x:c r="T2106" s="35" t="n">
        <x:f>K2106*S2106</x:f>
        <x:v>123.03900000000002</x:v>
      </x:c>
      <x:c r="U2106" s="35" t="n">
        <x:f>L2106-N2106-P2106-R2106-T2106</x:f>
        <x:v>122.38099999999997</x:v>
      </x:c>
      <x:c r="V2106" s="21" t="n">
        <x:f>IFERROR(U2106/L2106,0)</x:f>
        <x:v>0.35679591836734686</x:v>
      </x:c>
    </x:row>
    <x:row r="2107">
      <x:c r="A2107" s="19" t="str">
        <x:v>SALE-02103</x:v>
      </x:c>
      <x:c r="B2107" s="34" t="n">
        <x:v>46213.5</x:v>
      </x:c>
      <x:c r="C2107" s="19" t="str">
        <x:v>周五</x:v>
      </x:c>
      <x:c r="D2107" s="19" t="str">
        <x:v>S08</x:v>
      </x:c>
      <x:c r="E2107" s="19" t="str">
        <x:v>四季青店</x:v>
      </x:c>
      <x:c r="F2107" s="19" t="str">
        <x:v>外卖</x:v>
      </x:c>
      <x:c r="G2107" s="19" t="str">
        <x:v>全日</x:v>
      </x:c>
      <x:c r="H2107" s="19" t="str">
        <x:v>D03</x:v>
      </x:c>
      <x:c r="I2107" s="19" t="str">
        <x:v>香醋炒蛋</x:v>
      </x:c>
      <x:c r="J2107" s="22" t="n">
        <x:f>XLOOKUP(H2107,'菜品主数据'!$A$5:$A$24,'菜品主数据'!$D$5:$D$24,0)</x:f>
        <x:v>14.9</x:v>
      </x:c>
      <x:c r="K2107" s="31" t="n">
        <x:v>3</x:v>
      </x:c>
      <x:c r="L2107" s="35" t="n">
        <x:f>J2107*K2107</x:f>
        <x:v>44.7</x:v>
      </x:c>
      <x:c r="M2107" s="36" t="n">
        <x:v>0.08</x:v>
      </x:c>
      <x:c r="N2107" s="35" t="n">
        <x:f>L2107*M2107</x:f>
        <x:v>3.5760000000000005</x:v>
      </x:c>
      <x:c r="O2107" s="37" t="n">
        <x:v>0.18</x:v>
      </x:c>
      <x:c r="P2107" s="35" t="n">
        <x:f>L2107*O2107</x:f>
        <x:v>8.046</x:v>
      </x:c>
      <x:c r="Q2107" s="35" t="n">
        <x:v>1.2</x:v>
      </x:c>
      <x:c r="R2107" s="35" t="n">
        <x:f>K2107*Q2107</x:f>
        <x:v>3.5999999999999996</x:v>
      </x:c>
      <x:c r="S2107" s="35" t="n">
        <x:f>XLOOKUP(H2107,'菜品主数据'!$A$5:$A$24,'菜品主数据'!$G$5:$G$24,0)</x:f>
        <x:v>3.7459999999999996</x:v>
      </x:c>
      <x:c r="T2107" s="35" t="n">
        <x:f>K2107*S2107</x:f>
        <x:v>11.238</x:v>
      </x:c>
      <x:c r="U2107" s="35" t="n">
        <x:f>L2107-N2107-P2107-R2107-T2107</x:f>
        <x:v>18.240000000000002</x:v>
      </x:c>
      <x:c r="V2107" s="21" t="n">
        <x:f>IFERROR(U2107/L2107,0)</x:f>
        <x:v>0.40805369127516783</x:v>
      </x:c>
    </x:row>
    <x:row r="2108">
      <x:c r="A2108" s="19" t="str">
        <x:v>SALE-02104</x:v>
      </x:c>
      <x:c r="B2108" s="34" t="n">
        <x:v>46213.5</x:v>
      </x:c>
      <x:c r="C2108" s="19" t="str">
        <x:v>周五</x:v>
      </x:c>
      <x:c r="D2108" s="19" t="str">
        <x:v>S08</x:v>
      </x:c>
      <x:c r="E2108" s="19" t="str">
        <x:v>四季青店</x:v>
      </x:c>
      <x:c r="F2108" s="19" t="str">
        <x:v>外卖</x:v>
      </x:c>
      <x:c r="G2108" s="19" t="str">
        <x:v>全日</x:v>
      </x:c>
      <x:c r="H2108" s="19" t="str">
        <x:v>D04</x:v>
      </x:c>
      <x:c r="I2108" s="19" t="str">
        <x:v>酸包菜炒粉皮</x:v>
      </x:c>
      <x:c r="J2108" s="22" t="n">
        <x:f>XLOOKUP(H2108,'菜品主数据'!$A$5:$A$24,'菜品主数据'!$D$5:$D$24,0)</x:f>
        <x:v>16</x:v>
      </x:c>
      <x:c r="K2108" s="31" t="n">
        <x:v>3</x:v>
      </x:c>
      <x:c r="L2108" s="35" t="n">
        <x:f>J2108*K2108</x:f>
        <x:v>48</x:v>
      </x:c>
      <x:c r="M2108" s="36" t="n">
        <x:v>0.08</x:v>
      </x:c>
      <x:c r="N2108" s="35" t="n">
        <x:f>L2108*M2108</x:f>
        <x:v>3.84</x:v>
      </x:c>
      <x:c r="O2108" s="37" t="n">
        <x:v>0.18</x:v>
      </x:c>
      <x:c r="P2108" s="35" t="n">
        <x:f>L2108*O2108</x:f>
        <x:v>8.64</x:v>
      </x:c>
      <x:c r="Q2108" s="35" t="n">
        <x:v>1.2</x:v>
      </x:c>
      <x:c r="R2108" s="35" t="n">
        <x:f>K2108*Q2108</x:f>
        <x:v>3.5999999999999996</x:v>
      </x:c>
      <x:c r="S2108" s="35" t="n">
        <x:f>XLOOKUP(H2108,'菜品主数据'!$A$5:$A$24,'菜品主数据'!$G$5:$G$24,0)</x:f>
        <x:v>3.978</x:v>
      </x:c>
      <x:c r="T2108" s="35" t="n">
        <x:f>K2108*S2108</x:f>
        <x:v>11.934000000000001</x:v>
      </x:c>
      <x:c r="U2108" s="35" t="n">
        <x:f>L2108-N2108-P2108-R2108-T2108</x:f>
        <x:v>19.985999999999994</x:v>
      </x:c>
      <x:c r="V2108" s="21" t="n">
        <x:f>IFERROR(U2108/L2108,0)</x:f>
        <x:v>0.4163749999999999</x:v>
      </x:c>
    </x:row>
    <x:row r="2109">
      <x:c r="A2109" s="19" t="str">
        <x:v>SALE-02105</x:v>
      </x:c>
      <x:c r="B2109" s="34" t="n">
        <x:v>46213.5</x:v>
      </x:c>
      <x:c r="C2109" s="19" t="str">
        <x:v>周五</x:v>
      </x:c>
      <x:c r="D2109" s="19" t="str">
        <x:v>S08</x:v>
      </x:c>
      <x:c r="E2109" s="19" t="str">
        <x:v>四季青店</x:v>
      </x:c>
      <x:c r="F2109" s="19" t="str">
        <x:v>外卖</x:v>
      </x:c>
      <x:c r="G2109" s="19" t="str">
        <x:v>全日</x:v>
      </x:c>
      <x:c r="H2109" s="19" t="str">
        <x:v>D05</x:v>
      </x:c>
      <x:c r="I2109" s="19" t="str">
        <x:v>麻婆豆腐</x:v>
      </x:c>
      <x:c r="J2109" s="22" t="n">
        <x:f>XLOOKUP(H2109,'菜品主数据'!$A$5:$A$24,'菜品主数据'!$D$5:$D$24,0)</x:f>
        <x:v>9.9</x:v>
      </x:c>
      <x:c r="K2109" s="31" t="n">
        <x:v>4</x:v>
      </x:c>
      <x:c r="L2109" s="35" t="n">
        <x:f>J2109*K2109</x:f>
        <x:v>39.6</x:v>
      </x:c>
      <x:c r="M2109" s="36" t="n">
        <x:v>0.08</x:v>
      </x:c>
      <x:c r="N2109" s="35" t="n">
        <x:f>L2109*M2109</x:f>
        <x:v>3.168</x:v>
      </x:c>
      <x:c r="O2109" s="37" t="n">
        <x:v>0.18</x:v>
      </x:c>
      <x:c r="P2109" s="35" t="n">
        <x:f>L2109*O2109</x:f>
        <x:v>7.128</x:v>
      </x:c>
      <x:c r="Q2109" s="35" t="n">
        <x:v>1.2</x:v>
      </x:c>
      <x:c r="R2109" s="35" t="n">
        <x:f>K2109*Q2109</x:f>
        <x:v>4.8</x:v>
      </x:c>
      <x:c r="S2109" s="35" t="n">
        <x:f>XLOOKUP(H2109,'菜品主数据'!$A$5:$A$24,'菜品主数据'!$G$5:$G$24,0)</x:f>
        <x:v>5.367000000000001</x:v>
      </x:c>
      <x:c r="T2109" s="35" t="n">
        <x:f>K2109*S2109</x:f>
        <x:v>21.468000000000004</x:v>
      </x:c>
      <x:c r="U2109" s="35" t="n">
        <x:f>L2109-N2109-P2109-R2109-T2109</x:f>
        <x:v>3.035999999999998</x:v>
      </x:c>
      <x:c r="V2109" s="21" t="n">
        <x:f>IFERROR(U2109/L2109,0)</x:f>
        <x:v>0.0766666666666666</x:v>
      </x:c>
    </x:row>
    <x:row r="2110">
      <x:c r="A2110" s="19" t="str">
        <x:v>SALE-02106</x:v>
      </x:c>
      <x:c r="B2110" s="34" t="n">
        <x:v>46213.5</x:v>
      </x:c>
      <x:c r="C2110" s="19" t="str">
        <x:v>周五</x:v>
      </x:c>
      <x:c r="D2110" s="19" t="str">
        <x:v>S08</x:v>
      </x:c>
      <x:c r="E2110" s="19" t="str">
        <x:v>四季青店</x:v>
      </x:c>
      <x:c r="F2110" s="19" t="str">
        <x:v>外卖</x:v>
      </x:c>
      <x:c r="G2110" s="19" t="str">
        <x:v>全日</x:v>
      </x:c>
      <x:c r="H2110" s="19" t="str">
        <x:v>D06</x:v>
      </x:c>
      <x:c r="I2110" s="19" t="str">
        <x:v>剁椒鱼头</x:v>
      </x:c>
      <x:c r="J2110" s="22" t="n">
        <x:f>XLOOKUP(H2110,'菜品主数据'!$A$5:$A$24,'菜品主数据'!$D$5:$D$24,0)</x:f>
        <x:v>39</x:v>
      </x:c>
      <x:c r="K2110" s="31" t="n">
        <x:v>1</x:v>
      </x:c>
      <x:c r="L2110" s="35" t="n">
        <x:f>J2110*K2110</x:f>
        <x:v>39</x:v>
      </x:c>
      <x:c r="M2110" s="36" t="n">
        <x:v>0.08</x:v>
      </x:c>
      <x:c r="N2110" s="35" t="n">
        <x:f>L2110*M2110</x:f>
        <x:v>3.12</x:v>
      </x:c>
      <x:c r="O2110" s="37" t="n">
        <x:v>0.18</x:v>
      </x:c>
      <x:c r="P2110" s="35" t="n">
        <x:f>L2110*O2110</x:f>
        <x:v>7.02</x:v>
      </x:c>
      <x:c r="Q2110" s="35" t="n">
        <x:v>1.2</x:v>
      </x:c>
      <x:c r="R2110" s="35" t="n">
        <x:f>K2110*Q2110</x:f>
        <x:v>1.2</x:v>
      </x:c>
      <x:c r="S2110" s="35" t="n">
        <x:f>XLOOKUP(H2110,'菜品主数据'!$A$5:$A$24,'菜品主数据'!$G$5:$G$24,0)</x:f>
        <x:v>17.446</x:v>
      </x:c>
      <x:c r="T2110" s="35" t="n">
        <x:f>K2110*S2110</x:f>
        <x:v>17.446</x:v>
      </x:c>
      <x:c r="U2110" s="35" t="n">
        <x:f>L2110-N2110-P2110-R2110-T2110</x:f>
        <x:v>10.214000000000002</x:v>
      </x:c>
      <x:c r="V2110" s="21" t="n">
        <x:f>IFERROR(U2110/L2110,0)</x:f>
        <x:v>0.26189743589743597</x:v>
      </x:c>
    </x:row>
    <x:row r="2111">
      <x:c r="A2111" s="19" t="str">
        <x:v>SALE-02107</x:v>
      </x:c>
      <x:c r="B2111" s="34" t="n">
        <x:v>46213.5</x:v>
      </x:c>
      <x:c r="C2111" s="19" t="str">
        <x:v>周五</x:v>
      </x:c>
      <x:c r="D2111" s="19" t="str">
        <x:v>S08</x:v>
      </x:c>
      <x:c r="E2111" s="19" t="str">
        <x:v>四季青店</x:v>
      </x:c>
      <x:c r="F2111" s="19" t="str">
        <x:v>外卖</x:v>
      </x:c>
      <x:c r="G2111" s="19" t="str">
        <x:v>全日</x:v>
      </x:c>
      <x:c r="H2111" s="19" t="str">
        <x:v>D07</x:v>
      </x:c>
      <x:c r="I2111" s="19" t="str">
        <x:v>川味回锅肉</x:v>
      </x:c>
      <x:c r="J2111" s="22" t="n">
        <x:f>XLOOKUP(H2111,'菜品主数据'!$A$5:$A$24,'菜品主数据'!$D$5:$D$24,0)</x:f>
        <x:v>29</x:v>
      </x:c>
      <x:c r="K2111" s="31" t="n">
        <x:v>1</x:v>
      </x:c>
      <x:c r="L2111" s="35" t="n">
        <x:f>J2111*K2111</x:f>
        <x:v>29</x:v>
      </x:c>
      <x:c r="M2111" s="36" t="n">
        <x:v>0.08</x:v>
      </x:c>
      <x:c r="N2111" s="35" t="n">
        <x:f>L2111*M2111</x:f>
        <x:v>2.32</x:v>
      </x:c>
      <x:c r="O2111" s="37" t="n">
        <x:v>0.18</x:v>
      </x:c>
      <x:c r="P2111" s="35" t="n">
        <x:f>L2111*O2111</x:f>
        <x:v>5.22</x:v>
      </x:c>
      <x:c r="Q2111" s="35" t="n">
        <x:v>1.2</x:v>
      </x:c>
      <x:c r="R2111" s="35" t="n">
        <x:f>K2111*Q2111</x:f>
        <x:v>1.2</x:v>
      </x:c>
      <x:c r="S2111" s="35" t="n">
        <x:f>XLOOKUP(H2111,'菜品主数据'!$A$5:$A$24,'菜品主数据'!$G$5:$G$24,0)</x:f>
        <x:v>10.231000000000002</x:v>
      </x:c>
      <x:c r="T2111" s="35" t="n">
        <x:f>K2111*S2111</x:f>
        <x:v>10.231000000000002</x:v>
      </x:c>
      <x:c r="U2111" s="35" t="n">
        <x:f>L2111-N2111-P2111-R2111-T2111</x:f>
        <x:v>10.029</x:v>
      </x:c>
      <x:c r="V2111" s="21" t="n">
        <x:f>IFERROR(U2111/L2111,0)</x:f>
        <x:v>0.3458275862068966</x:v>
      </x:c>
    </x:row>
    <x:row r="2112">
      <x:c r="A2112" s="19" t="str">
        <x:v>SALE-02108</x:v>
      </x:c>
      <x:c r="B2112" s="34" t="n">
        <x:v>46213.5</x:v>
      </x:c>
      <x:c r="C2112" s="19" t="str">
        <x:v>周五</x:v>
      </x:c>
      <x:c r="D2112" s="19" t="str">
        <x:v>S08</x:v>
      </x:c>
      <x:c r="E2112" s="19" t="str">
        <x:v>四季青店</x:v>
      </x:c>
      <x:c r="F2112" s="19" t="str">
        <x:v>外卖</x:v>
      </x:c>
      <x:c r="G2112" s="19" t="str">
        <x:v>全日</x:v>
      </x:c>
      <x:c r="H2112" s="19" t="str">
        <x:v>D08</x:v>
      </x:c>
      <x:c r="I2112" s="19" t="str">
        <x:v>生炒清远鸡</x:v>
      </x:c>
      <x:c r="J2112" s="22" t="n">
        <x:f>XLOOKUP(H2112,'菜品主数据'!$A$5:$A$24,'菜品主数据'!$D$5:$D$24,0)</x:f>
        <x:v>36</x:v>
      </x:c>
      <x:c r="K2112" s="31" t="n">
        <x:v>1</x:v>
      </x:c>
      <x:c r="L2112" s="35" t="n">
        <x:f>J2112*K2112</x:f>
        <x:v>36</x:v>
      </x:c>
      <x:c r="M2112" s="36" t="n">
        <x:v>0.08</x:v>
      </x:c>
      <x:c r="N2112" s="35" t="n">
        <x:f>L2112*M2112</x:f>
        <x:v>2.88</x:v>
      </x:c>
      <x:c r="O2112" s="37" t="n">
        <x:v>0.18</x:v>
      </x:c>
      <x:c r="P2112" s="35" t="n">
        <x:f>L2112*O2112</x:f>
        <x:v>6.4799999999999995</x:v>
      </x:c>
      <x:c r="Q2112" s="35" t="n">
        <x:v>1.2</x:v>
      </x:c>
      <x:c r="R2112" s="35" t="n">
        <x:f>K2112*Q2112</x:f>
        <x:v>1.2</x:v>
      </x:c>
      <x:c r="S2112" s="35" t="n">
        <x:f>XLOOKUP(H2112,'菜品主数据'!$A$5:$A$24,'菜品主数据'!$G$5:$G$24,0)</x:f>
        <x:v>13.48</x:v>
      </x:c>
      <x:c r="T2112" s="35" t="n">
        <x:f>K2112*S2112</x:f>
        <x:v>13.48</x:v>
      </x:c>
      <x:c r="U2112" s="35" t="n">
        <x:f>L2112-N2112-P2112-R2112-T2112</x:f>
        <x:v>11.959999999999997</x:v>
      </x:c>
      <x:c r="V2112" s="21" t="n">
        <x:f>IFERROR(U2112/L2112,0)</x:f>
        <x:v>0.33222222222222214</x:v>
      </x:c>
    </x:row>
    <x:row r="2113">
      <x:c r="A2113" s="19" t="str">
        <x:v>SALE-02109</x:v>
      </x:c>
      <x:c r="B2113" s="34" t="n">
        <x:v>46213.5</x:v>
      </x:c>
      <x:c r="C2113" s="19" t="str">
        <x:v>周五</x:v>
      </x:c>
      <x:c r="D2113" s="19" t="str">
        <x:v>S08</x:v>
      </x:c>
      <x:c r="E2113" s="19" t="str">
        <x:v>四季青店</x:v>
      </x:c>
      <x:c r="F2113" s="19" t="str">
        <x:v>外卖</x:v>
      </x:c>
      <x:c r="G2113" s="19" t="str">
        <x:v>全日</x:v>
      </x:c>
      <x:c r="H2113" s="19" t="str">
        <x:v>D09</x:v>
      </x:c>
      <x:c r="I2113" s="19" t="str">
        <x:v>炒豆干</x:v>
      </x:c>
      <x:c r="J2113" s="22" t="n">
        <x:f>XLOOKUP(H2113,'菜品主数据'!$A$5:$A$24,'菜品主数据'!$D$5:$D$24,0)</x:f>
        <x:v>18</x:v>
      </x:c>
      <x:c r="K2113" s="31" t="n">
        <x:v>1</x:v>
      </x:c>
      <x:c r="L2113" s="35" t="n">
        <x:f>J2113*K2113</x:f>
        <x:v>18</x:v>
      </x:c>
      <x:c r="M2113" s="36" t="n">
        <x:v>0.08</x:v>
      </x:c>
      <x:c r="N2113" s="35" t="n">
        <x:f>L2113*M2113</x:f>
        <x:v>1.44</x:v>
      </x:c>
      <x:c r="O2113" s="37" t="n">
        <x:v>0.18</x:v>
      </x:c>
      <x:c r="P2113" s="35" t="n">
        <x:f>L2113*O2113</x:f>
        <x:v>3.2399999999999998</x:v>
      </x:c>
      <x:c r="Q2113" s="35" t="n">
        <x:v>1.2</x:v>
      </x:c>
      <x:c r="R2113" s="35" t="n">
        <x:f>K2113*Q2113</x:f>
        <x:v>1.2</x:v>
      </x:c>
      <x:c r="S2113" s="35" t="n">
        <x:f>XLOOKUP(H2113,'菜品主数据'!$A$5:$A$24,'菜品主数据'!$G$5:$G$24,0)</x:f>
        <x:v>6.613999999999999</x:v>
      </x:c>
      <x:c r="T2113" s="35" t="n">
        <x:f>K2113*S2113</x:f>
        <x:v>6.613999999999999</x:v>
      </x:c>
      <x:c r="U2113" s="35" t="n">
        <x:f>L2113-N2113-P2113-R2113-T2113</x:f>
        <x:v>5.506</x:v>
      </x:c>
      <x:c r="V2113" s="21" t="n">
        <x:f>IFERROR(U2113/L2113,0)</x:f>
        <x:v>0.3058888888888889</x:v>
      </x:c>
    </x:row>
    <x:row r="2114">
      <x:c r="A2114" s="19" t="str">
        <x:v>SALE-02110</x:v>
      </x:c>
      <x:c r="B2114" s="34" t="n">
        <x:v>46213.5</x:v>
      </x:c>
      <x:c r="C2114" s="19" t="str">
        <x:v>周五</x:v>
      </x:c>
      <x:c r="D2114" s="19" t="str">
        <x:v>S08</x:v>
      </x:c>
      <x:c r="E2114" s="19" t="str">
        <x:v>四季青店</x:v>
      </x:c>
      <x:c r="F2114" s="19" t="str">
        <x:v>外卖</x:v>
      </x:c>
      <x:c r="G2114" s="19" t="str">
        <x:v>全日</x:v>
      </x:c>
      <x:c r="H2114" s="19" t="str">
        <x:v>D10</x:v>
      </x:c>
      <x:c r="I2114" s="19" t="str">
        <x:v>农家一碗香</x:v>
      </x:c>
      <x:c r="J2114" s="22" t="n">
        <x:f>XLOOKUP(H2114,'菜品主数据'!$A$5:$A$24,'菜品主数据'!$D$5:$D$24,0)</x:f>
        <x:v>22.9</x:v>
      </x:c>
      <x:c r="K2114" s="31" t="n">
        <x:v>1</x:v>
      </x:c>
      <x:c r="L2114" s="35" t="n">
        <x:f>J2114*K2114</x:f>
        <x:v>22.9</x:v>
      </x:c>
      <x:c r="M2114" s="36" t="n">
        <x:v>0.08</x:v>
      </x:c>
      <x:c r="N2114" s="35" t="n">
        <x:f>L2114*M2114</x:f>
        <x:v>1.8319999999999999</x:v>
      </x:c>
      <x:c r="O2114" s="37" t="n">
        <x:v>0.18</x:v>
      </x:c>
      <x:c r="P2114" s="35" t="n">
        <x:f>L2114*O2114</x:f>
        <x:v>4.122</x:v>
      </x:c>
      <x:c r="Q2114" s="35" t="n">
        <x:v>1.2</x:v>
      </x:c>
      <x:c r="R2114" s="35" t="n">
        <x:f>K2114*Q2114</x:f>
        <x:v>1.2</x:v>
      </x:c>
      <x:c r="S2114" s="35" t="n">
        <x:f>XLOOKUP(H2114,'菜品主数据'!$A$5:$A$24,'菜品主数据'!$G$5:$G$24,0)</x:f>
        <x:v>9.770200000000003</x:v>
      </x:c>
      <x:c r="T2114" s="35" t="n">
        <x:f>K2114*S2114</x:f>
        <x:v>9.770200000000003</x:v>
      </x:c>
      <x:c r="U2114" s="35" t="n">
        <x:f>L2114-N2114-P2114-R2114-T2114</x:f>
        <x:v>5.975799999999996</x:v>
      </x:c>
      <x:c r="V2114" s="21" t="n">
        <x:f>IFERROR(U2114/L2114,0)</x:f>
        <x:v>0.260951965065502</x:v>
      </x:c>
    </x:row>
    <x:row r="2115">
      <x:c r="A2115" s="19" t="str">
        <x:v>SALE-02111</x:v>
      </x:c>
      <x:c r="B2115" s="34" t="n">
        <x:v>46213.5</x:v>
      </x:c>
      <x:c r="C2115" s="19" t="str">
        <x:v>周五</x:v>
      </x:c>
      <x:c r="D2115" s="19" t="str">
        <x:v>S08</x:v>
      </x:c>
      <x:c r="E2115" s="19" t="str">
        <x:v>四季青店</x:v>
      </x:c>
      <x:c r="F2115" s="19" t="str">
        <x:v>外卖</x:v>
      </x:c>
      <x:c r="G2115" s="19" t="str">
        <x:v>全日</x:v>
      </x:c>
      <x:c r="H2115" s="19" t="str">
        <x:v>D11</x:v>
      </x:c>
      <x:c r="I2115" s="19" t="str">
        <x:v>香辣爆肥肠</x:v>
      </x:c>
      <x:c r="J2115" s="22" t="n">
        <x:f>XLOOKUP(H2115,'菜品主数据'!$A$5:$A$24,'菜品主数据'!$D$5:$D$24,0)</x:f>
        <x:v>39</x:v>
      </x:c>
      <x:c r="K2115" s="31" t="n">
        <x:v>0</x:v>
      </x:c>
      <x:c r="L2115" s="35" t="n">
        <x:f>J2115*K2115</x:f>
        <x:v>0</x:v>
      </x:c>
      <x:c r="M2115" s="36" t="n">
        <x:v>0.08</x:v>
      </x:c>
      <x:c r="N2115" s="35" t="n">
        <x:f>L2115*M2115</x:f>
        <x:v>0</x:v>
      </x:c>
      <x:c r="O2115" s="37" t="n">
        <x:v>0.18</x:v>
      </x:c>
      <x:c r="P2115" s="35" t="n">
        <x:f>L2115*O2115</x:f>
        <x:v>0</x:v>
      </x:c>
      <x:c r="Q2115" s="35" t="n">
        <x:v>1.2</x:v>
      </x:c>
      <x:c r="R2115" s="35" t="n">
        <x:f>K2115*Q2115</x:f>
        <x:v>0</x:v>
      </x:c>
      <x:c r="S2115" s="35" t="n">
        <x:f>XLOOKUP(H2115,'菜品主数据'!$A$5:$A$24,'菜品主数据'!$G$5:$G$24,0)</x:f>
        <x:v>10.397</x:v>
      </x:c>
      <x:c r="T2115" s="35" t="n">
        <x:f>K2115*S2115</x:f>
        <x:v>0</x:v>
      </x:c>
      <x:c r="U2115" s="35" t="n">
        <x:f>L2115-N2115-P2115-R2115-T2115</x:f>
        <x:v>0</x:v>
      </x:c>
      <x:c r="V2115" s="21" t="n">
        <x:f>IFERROR(U2115/L2115,0)</x:f>
        <x:v>0</x:v>
      </x:c>
    </x:row>
    <x:row r="2116">
      <x:c r="A2116" s="19" t="str">
        <x:v>SALE-02112</x:v>
      </x:c>
      <x:c r="B2116" s="34" t="n">
        <x:v>46213.5</x:v>
      </x:c>
      <x:c r="C2116" s="19" t="str">
        <x:v>周五</x:v>
      </x:c>
      <x:c r="D2116" s="19" t="str">
        <x:v>S08</x:v>
      </x:c>
      <x:c r="E2116" s="19" t="str">
        <x:v>四季青店</x:v>
      </x:c>
      <x:c r="F2116" s="19" t="str">
        <x:v>外卖</x:v>
      </x:c>
      <x:c r="G2116" s="19" t="str">
        <x:v>全日</x:v>
      </x:c>
      <x:c r="H2116" s="19" t="str">
        <x:v>D12</x:v>
      </x:c>
      <x:c r="I2116" s="19" t="str">
        <x:v>清蒸鲈鱼</x:v>
      </x:c>
      <x:c r="J2116" s="22" t="n">
        <x:f>XLOOKUP(H2116,'菜品主数据'!$A$5:$A$24,'菜品主数据'!$D$5:$D$24,0)</x:f>
        <x:v>39</x:v>
      </x:c>
      <x:c r="K2116" s="31" t="n">
        <x:v>0</x:v>
      </x:c>
      <x:c r="L2116" s="35" t="n">
        <x:f>J2116*K2116</x:f>
        <x:v>0</x:v>
      </x:c>
      <x:c r="M2116" s="36" t="n">
        <x:v>0.08</x:v>
      </x:c>
      <x:c r="N2116" s="35" t="n">
        <x:f>L2116*M2116</x:f>
        <x:v>0</x:v>
      </x:c>
      <x:c r="O2116" s="37" t="n">
        <x:v>0.18</x:v>
      </x:c>
      <x:c r="P2116" s="35" t="n">
        <x:f>L2116*O2116</x:f>
        <x:v>0</x:v>
      </x:c>
      <x:c r="Q2116" s="35" t="n">
        <x:v>1.2</x:v>
      </x:c>
      <x:c r="R2116" s="35" t="n">
        <x:f>K2116*Q2116</x:f>
        <x:v>0</x:v>
      </x:c>
      <x:c r="S2116" s="35" t="n">
        <x:f>XLOOKUP(H2116,'菜品主数据'!$A$5:$A$24,'菜品主数据'!$G$5:$G$24,0)</x:f>
        <x:v>18.874</x:v>
      </x:c>
      <x:c r="T2116" s="35" t="n">
        <x:f>K2116*S2116</x:f>
        <x:v>0</x:v>
      </x:c>
      <x:c r="U2116" s="35" t="n">
        <x:f>L2116-N2116-P2116-R2116-T2116</x:f>
        <x:v>0</x:v>
      </x:c>
      <x:c r="V2116" s="21" t="n">
        <x:f>IFERROR(U2116/L2116,0)</x:f>
        <x:v>0</x:v>
      </x:c>
    </x:row>
    <x:row r="2117">
      <x:c r="A2117" s="19" t="str">
        <x:v>SALE-02113</x:v>
      </x:c>
      <x:c r="B2117" s="34" t="n">
        <x:v>46213.5</x:v>
      </x:c>
      <x:c r="C2117" s="19" t="str">
        <x:v>周五</x:v>
      </x:c>
      <x:c r="D2117" s="19" t="str">
        <x:v>S08</x:v>
      </x:c>
      <x:c r="E2117" s="19" t="str">
        <x:v>四季青店</x:v>
      </x:c>
      <x:c r="F2117" s="19" t="str">
        <x:v>外卖</x:v>
      </x:c>
      <x:c r="G2117" s="19" t="str">
        <x:v>全日</x:v>
      </x:c>
      <x:c r="H2117" s="19" t="str">
        <x:v>D13</x:v>
      </x:c>
      <x:c r="I2117" s="19" t="str">
        <x:v>外婆菜炒蛋</x:v>
      </x:c>
      <x:c r="J2117" s="22" t="n">
        <x:f>XLOOKUP(H2117,'菜品主数据'!$A$5:$A$24,'菜品主数据'!$D$5:$D$24,0)</x:f>
        <x:v>18</x:v>
      </x:c>
      <x:c r="K2117" s="31" t="n">
        <x:v>1</x:v>
      </x:c>
      <x:c r="L2117" s="35" t="n">
        <x:f>J2117*K2117</x:f>
        <x:v>18</x:v>
      </x:c>
      <x:c r="M2117" s="36" t="n">
        <x:v>0.08</x:v>
      </x:c>
      <x:c r="N2117" s="35" t="n">
        <x:f>L2117*M2117</x:f>
        <x:v>1.44</x:v>
      </x:c>
      <x:c r="O2117" s="37" t="n">
        <x:v>0.18</x:v>
      </x:c>
      <x:c r="P2117" s="35" t="n">
        <x:f>L2117*O2117</x:f>
        <x:v>3.2399999999999998</x:v>
      </x:c>
      <x:c r="Q2117" s="35" t="n">
        <x:v>1.2</x:v>
      </x:c>
      <x:c r="R2117" s="35" t="n">
        <x:f>K2117*Q2117</x:f>
        <x:v>1.2</x:v>
      </x:c>
      <x:c r="S2117" s="35" t="n">
        <x:f>XLOOKUP(H2117,'菜品主数据'!$A$5:$A$24,'菜品主数据'!$G$5:$G$24,0)</x:f>
        <x:v>5.403999999999999</x:v>
      </x:c>
      <x:c r="T2117" s="35" t="n">
        <x:f>K2117*S2117</x:f>
        <x:v>5.403999999999999</x:v>
      </x:c>
      <x:c r="U2117" s="35" t="n">
        <x:f>L2117-N2117-P2117-R2117-T2117</x:f>
        <x:v>6.716</x:v>
      </x:c>
      <x:c r="V2117" s="21" t="n">
        <x:f>IFERROR(U2117/L2117,0)</x:f>
        <x:v>0.3731111111111111</x:v>
      </x:c>
    </x:row>
    <x:row r="2118">
      <x:c r="A2118" s="19" t="str">
        <x:v>SALE-02114</x:v>
      </x:c>
      <x:c r="B2118" s="34" t="n">
        <x:v>46213.5</x:v>
      </x:c>
      <x:c r="C2118" s="19" t="str">
        <x:v>周五</x:v>
      </x:c>
      <x:c r="D2118" s="19" t="str">
        <x:v>S08</x:v>
      </x:c>
      <x:c r="E2118" s="19" t="str">
        <x:v>四季青店</x:v>
      </x:c>
      <x:c r="F2118" s="19" t="str">
        <x:v>外卖</x:v>
      </x:c>
      <x:c r="G2118" s="19" t="str">
        <x:v>全日</x:v>
      </x:c>
      <x:c r="H2118" s="19" t="str">
        <x:v>D14</x:v>
      </x:c>
      <x:c r="I2118" s="19" t="str">
        <x:v>酸辣鸡杂</x:v>
      </x:c>
      <x:c r="J2118" s="22" t="n">
        <x:f>XLOOKUP(H2118,'菜品主数据'!$A$5:$A$24,'菜品主数据'!$D$5:$D$24,0)</x:f>
        <x:v>28</x:v>
      </x:c>
      <x:c r="K2118" s="31" t="n">
        <x:v>0</x:v>
      </x:c>
      <x:c r="L2118" s="35" t="n">
        <x:f>J2118*K2118</x:f>
        <x:v>0</x:v>
      </x:c>
      <x:c r="M2118" s="36" t="n">
        <x:v>0.08</x:v>
      </x:c>
      <x:c r="N2118" s="35" t="n">
        <x:f>L2118*M2118</x:f>
        <x:v>0</x:v>
      </x:c>
      <x:c r="O2118" s="37" t="n">
        <x:v>0.18</x:v>
      </x:c>
      <x:c r="P2118" s="35" t="n">
        <x:f>L2118*O2118</x:f>
        <x:v>0</x:v>
      </x:c>
      <x:c r="Q2118" s="35" t="n">
        <x:v>1.2</x:v>
      </x:c>
      <x:c r="R2118" s="35" t="n">
        <x:f>K2118*Q2118</x:f>
        <x:v>0</x:v>
      </x:c>
      <x:c r="S2118" s="35" t="n">
        <x:f>XLOOKUP(H2118,'菜品主数据'!$A$5:$A$24,'菜品主数据'!$G$5:$G$24,0)</x:f>
        <x:v>8.315000000000001</x:v>
      </x:c>
      <x:c r="T2118" s="35" t="n">
        <x:f>K2118*S2118</x:f>
        <x:v>0</x:v>
      </x:c>
      <x:c r="U2118" s="35" t="n">
        <x:f>L2118-N2118-P2118-R2118-T2118</x:f>
        <x:v>0</x:v>
      </x:c>
      <x:c r="V2118" s="21" t="n">
        <x:f>IFERROR(U2118/L2118,0)</x:f>
        <x:v>0</x:v>
      </x:c>
    </x:row>
    <x:row r="2119">
      <x:c r="A2119" s="19" t="str">
        <x:v>SALE-02115</x:v>
      </x:c>
      <x:c r="B2119" s="34" t="n">
        <x:v>46213.5</x:v>
      </x:c>
      <x:c r="C2119" s="19" t="str">
        <x:v>周五</x:v>
      </x:c>
      <x:c r="D2119" s="19" t="str">
        <x:v>S08</x:v>
      </x:c>
      <x:c r="E2119" s="19" t="str">
        <x:v>四季青店</x:v>
      </x:c>
      <x:c r="F2119" s="19" t="str">
        <x:v>外卖</x:v>
      </x:c>
      <x:c r="G2119" s="19" t="str">
        <x:v>全日</x:v>
      </x:c>
      <x:c r="H2119" s="19" t="str">
        <x:v>D15</x:v>
      </x:c>
      <x:c r="I2119" s="19" t="str">
        <x:v>湘西土匪猪肝</x:v>
      </x:c>
      <x:c r="J2119" s="22" t="n">
        <x:f>XLOOKUP(H2119,'菜品主数据'!$A$5:$A$24,'菜品主数据'!$D$5:$D$24,0)</x:f>
        <x:v>26</x:v>
      </x:c>
      <x:c r="K2119" s="31" t="n">
        <x:v>0</x:v>
      </x:c>
      <x:c r="L2119" s="35" t="n">
        <x:f>J2119*K2119</x:f>
        <x:v>0</x:v>
      </x:c>
      <x:c r="M2119" s="36" t="n">
        <x:v>0.08</x:v>
      </x:c>
      <x:c r="N2119" s="35" t="n">
        <x:f>L2119*M2119</x:f>
        <x:v>0</x:v>
      </x:c>
      <x:c r="O2119" s="37" t="n">
        <x:v>0.18</x:v>
      </x:c>
      <x:c r="P2119" s="35" t="n">
        <x:f>L2119*O2119</x:f>
        <x:v>0</x:v>
      </x:c>
      <x:c r="Q2119" s="35" t="n">
        <x:v>1.2</x:v>
      </x:c>
      <x:c r="R2119" s="35" t="n">
        <x:f>K2119*Q2119</x:f>
        <x:v>0</x:v>
      </x:c>
      <x:c r="S2119" s="35" t="n">
        <x:f>XLOOKUP(H2119,'菜品主数据'!$A$5:$A$24,'菜品主数据'!$G$5:$G$24,0)</x:f>
        <x:v>6.3759999999999994</x:v>
      </x:c>
      <x:c r="T2119" s="35" t="n">
        <x:f>K2119*S2119</x:f>
        <x:v>0</x:v>
      </x:c>
      <x:c r="U2119" s="35" t="n">
        <x:f>L2119-N2119-P2119-R2119-T2119</x:f>
        <x:v>0</x:v>
      </x:c>
      <x:c r="V2119" s="21" t="n">
        <x:f>IFERROR(U2119/L2119,0)</x:f>
        <x:v>0</x:v>
      </x:c>
    </x:row>
    <x:row r="2120">
      <x:c r="A2120" s="19" t="str">
        <x:v>SALE-02116</x:v>
      </x:c>
      <x:c r="B2120" s="34" t="n">
        <x:v>46213.5</x:v>
      </x:c>
      <x:c r="C2120" s="19" t="str">
        <x:v>周五</x:v>
      </x:c>
      <x:c r="D2120" s="19" t="str">
        <x:v>S08</x:v>
      </x:c>
      <x:c r="E2120" s="19" t="str">
        <x:v>四季青店</x:v>
      </x:c>
      <x:c r="F2120" s="19" t="str">
        <x:v>外卖</x:v>
      </x:c>
      <x:c r="G2120" s="19" t="str">
        <x:v>全日</x:v>
      </x:c>
      <x:c r="H2120" s="19" t="str">
        <x:v>D16</x:v>
      </x:c>
      <x:c r="I2120" s="19" t="str">
        <x:v>小豆角炒五花</x:v>
      </x:c>
      <x:c r="J2120" s="22" t="n">
        <x:f>XLOOKUP(H2120,'菜品主数据'!$A$5:$A$24,'菜品主数据'!$D$5:$D$24,0)</x:f>
        <x:v>25</x:v>
      </x:c>
      <x:c r="K2120" s="31" t="n">
        <x:v>0</x:v>
      </x:c>
      <x:c r="L2120" s="35" t="n">
        <x:f>J2120*K2120</x:f>
        <x:v>0</x:v>
      </x:c>
      <x:c r="M2120" s="36" t="n">
        <x:v>0.08</x:v>
      </x:c>
      <x:c r="N2120" s="35" t="n">
        <x:f>L2120*M2120</x:f>
        <x:v>0</x:v>
      </x:c>
      <x:c r="O2120" s="37" t="n">
        <x:v>0.18</x:v>
      </x:c>
      <x:c r="P2120" s="35" t="n">
        <x:f>L2120*O2120</x:f>
        <x:v>0</x:v>
      </x:c>
      <x:c r="Q2120" s="35" t="n">
        <x:v>1.2</x:v>
      </x:c>
      <x:c r="R2120" s="35" t="n">
        <x:f>K2120*Q2120</x:f>
        <x:v>0</x:v>
      </x:c>
      <x:c r="S2120" s="35" t="n">
        <x:f>XLOOKUP(H2120,'菜品主数据'!$A$5:$A$24,'菜品主数据'!$G$5:$G$24,0)</x:f>
        <x:v>8.184</x:v>
      </x:c>
      <x:c r="T2120" s="35" t="n">
        <x:f>K2120*S2120</x:f>
        <x:v>0</x:v>
      </x:c>
      <x:c r="U2120" s="35" t="n">
        <x:f>L2120-N2120-P2120-R2120-T2120</x:f>
        <x:v>0</x:v>
      </x:c>
      <x:c r="V2120" s="21" t="n">
        <x:f>IFERROR(U2120/L2120,0)</x:f>
        <x:v>0</x:v>
      </x:c>
    </x:row>
    <x:row r="2121">
      <x:c r="A2121" s="19" t="str">
        <x:v>SALE-02117</x:v>
      </x:c>
      <x:c r="B2121" s="34" t="n">
        <x:v>46213.5</x:v>
      </x:c>
      <x:c r="C2121" s="19" t="str">
        <x:v>周五</x:v>
      </x:c>
      <x:c r="D2121" s="19" t="str">
        <x:v>S08</x:v>
      </x:c>
      <x:c r="E2121" s="19" t="str">
        <x:v>四季青店</x:v>
      </x:c>
      <x:c r="F2121" s="19" t="str">
        <x:v>外卖</x:v>
      </x:c>
      <x:c r="G2121" s="19" t="str">
        <x:v>全日</x:v>
      </x:c>
      <x:c r="H2121" s="19" t="str">
        <x:v>D17</x:v>
      </x:c>
      <x:c r="I2121" s="19" t="str">
        <x:v>蒜蓉粉丝虾</x:v>
      </x:c>
      <x:c r="J2121" s="22" t="n">
        <x:f>XLOOKUP(H2121,'菜品主数据'!$A$5:$A$24,'菜品主数据'!$D$5:$D$24,0)</x:f>
        <x:v>36</x:v>
      </x:c>
      <x:c r="K2121" s="31" t="n">
        <x:v>0</x:v>
      </x:c>
      <x:c r="L2121" s="35" t="n">
        <x:f>J2121*K2121</x:f>
        <x:v>0</x:v>
      </x:c>
      <x:c r="M2121" s="36" t="n">
        <x:v>0.08</x:v>
      </x:c>
      <x:c r="N2121" s="35" t="n">
        <x:f>L2121*M2121</x:f>
        <x:v>0</x:v>
      </x:c>
      <x:c r="O2121" s="37" t="n">
        <x:v>0.18</x:v>
      </x:c>
      <x:c r="P2121" s="35" t="n">
        <x:f>L2121*O2121</x:f>
        <x:v>0</x:v>
      </x:c>
      <x:c r="Q2121" s="35" t="n">
        <x:v>1.2</x:v>
      </x:c>
      <x:c r="R2121" s="35" t="n">
        <x:f>K2121*Q2121</x:f>
        <x:v>0</x:v>
      </x:c>
      <x:c r="S2121" s="35" t="n">
        <x:f>XLOOKUP(H2121,'菜品主数据'!$A$5:$A$24,'菜品主数据'!$G$5:$G$24,0)</x:f>
        <x:v>13.594</x:v>
      </x:c>
      <x:c r="T2121" s="35" t="n">
        <x:f>K2121*S2121</x:f>
        <x:v>0</x:v>
      </x:c>
      <x:c r="U2121" s="35" t="n">
        <x:f>L2121-N2121-P2121-R2121-T2121</x:f>
        <x:v>0</x:v>
      </x:c>
      <x:c r="V2121" s="21" t="n">
        <x:f>IFERROR(U2121/L2121,0)</x:f>
        <x:v>0</x:v>
      </x:c>
    </x:row>
    <x:row r="2122">
      <x:c r="A2122" s="19" t="str">
        <x:v>SALE-02118</x:v>
      </x:c>
      <x:c r="B2122" s="34" t="n">
        <x:v>46213.5</x:v>
      </x:c>
      <x:c r="C2122" s="19" t="str">
        <x:v>周五</x:v>
      </x:c>
      <x:c r="D2122" s="19" t="str">
        <x:v>S08</x:v>
      </x:c>
      <x:c r="E2122" s="19" t="str">
        <x:v>四季青店</x:v>
      </x:c>
      <x:c r="F2122" s="19" t="str">
        <x:v>外卖</x:v>
      </x:c>
      <x:c r="G2122" s="19" t="str">
        <x:v>全日</x:v>
      </x:c>
      <x:c r="H2122" s="19" t="str">
        <x:v>D18</x:v>
      </x:c>
      <x:c r="I2122" s="19" t="str">
        <x:v>青椒炒油麦菜</x:v>
      </x:c>
      <x:c r="J2122" s="22" t="n">
        <x:f>XLOOKUP(H2122,'菜品主数据'!$A$5:$A$24,'菜品主数据'!$D$5:$D$24,0)</x:f>
        <x:v>18</x:v>
      </x:c>
      <x:c r="K2122" s="31" t="n">
        <x:v>0</x:v>
      </x:c>
      <x:c r="L2122" s="35" t="n">
        <x:f>J2122*K2122</x:f>
        <x:v>0</x:v>
      </x:c>
      <x:c r="M2122" s="36" t="n">
        <x:v>0.08</x:v>
      </x:c>
      <x:c r="N2122" s="35" t="n">
        <x:f>L2122*M2122</x:f>
        <x:v>0</x:v>
      </x:c>
      <x:c r="O2122" s="37" t="n">
        <x:v>0.18</x:v>
      </x:c>
      <x:c r="P2122" s="35" t="n">
        <x:f>L2122*O2122</x:f>
        <x:v>0</x:v>
      </x:c>
      <x:c r="Q2122" s="35" t="n">
        <x:v>1.2</x:v>
      </x:c>
      <x:c r="R2122" s="35" t="n">
        <x:f>K2122*Q2122</x:f>
        <x:v>0</x:v>
      </x:c>
      <x:c r="S2122" s="35" t="n">
        <x:f>XLOOKUP(H2122,'菜品主数据'!$A$5:$A$24,'菜品主数据'!$G$5:$G$24,0)</x:f>
        <x:v>3.1759999999999993</x:v>
      </x:c>
      <x:c r="T2122" s="35" t="n">
        <x:f>K2122*S2122</x:f>
        <x:v>0</x:v>
      </x:c>
      <x:c r="U2122" s="35" t="n">
        <x:f>L2122-N2122-P2122-R2122-T2122</x:f>
        <x:v>0</x:v>
      </x:c>
      <x:c r="V2122" s="21" t="n">
        <x:f>IFERROR(U2122/L2122,0)</x:f>
        <x:v>0</x:v>
      </x:c>
    </x:row>
    <x:row r="2123">
      <x:c r="A2123" s="19" t="str">
        <x:v>SALE-02119</x:v>
      </x:c>
      <x:c r="B2123" s="34" t="n">
        <x:v>46213.5</x:v>
      </x:c>
      <x:c r="C2123" s="19" t="str">
        <x:v>周五</x:v>
      </x:c>
      <x:c r="D2123" s="19" t="str">
        <x:v>S08</x:v>
      </x:c>
      <x:c r="E2123" s="19" t="str">
        <x:v>四季青店</x:v>
      </x:c>
      <x:c r="F2123" s="19" t="str">
        <x:v>外卖</x:v>
      </x:c>
      <x:c r="G2123" s="19" t="str">
        <x:v>全日</x:v>
      </x:c>
      <x:c r="H2123" s="19" t="str">
        <x:v>D19</x:v>
      </x:c>
      <x:c r="I2123" s="19" t="str">
        <x:v>酸萝卜炒鸡杂</x:v>
      </x:c>
      <x:c r="J2123" s="22" t="n">
        <x:f>XLOOKUP(H2123,'菜品主数据'!$A$5:$A$24,'菜品主数据'!$D$5:$D$24,0)</x:f>
        <x:v>25</x:v>
      </x:c>
      <x:c r="K2123" s="31" t="n">
        <x:v>0</x:v>
      </x:c>
      <x:c r="L2123" s="35" t="n">
        <x:f>J2123*K2123</x:f>
        <x:v>0</x:v>
      </x:c>
      <x:c r="M2123" s="36" t="n">
        <x:v>0.08</x:v>
      </x:c>
      <x:c r="N2123" s="35" t="n">
        <x:f>L2123*M2123</x:f>
        <x:v>0</x:v>
      </x:c>
      <x:c r="O2123" s="37" t="n">
        <x:v>0.18</x:v>
      </x:c>
      <x:c r="P2123" s="35" t="n">
        <x:f>L2123*O2123</x:f>
        <x:v>0</x:v>
      </x:c>
      <x:c r="Q2123" s="35" t="n">
        <x:v>1.2</x:v>
      </x:c>
      <x:c r="R2123" s="35" t="n">
        <x:f>K2123*Q2123</x:f>
        <x:v>0</x:v>
      </x:c>
      <x:c r="S2123" s="35" t="n">
        <x:f>XLOOKUP(H2123,'菜品主数据'!$A$5:$A$24,'菜品主数据'!$G$5:$G$24,0)</x:f>
        <x:v>7.9399999999999995</x:v>
      </x:c>
      <x:c r="T2123" s="35" t="n">
        <x:f>K2123*S2123</x:f>
        <x:v>0</x:v>
      </x:c>
      <x:c r="U2123" s="35" t="n">
        <x:f>L2123-N2123-P2123-R2123-T2123</x:f>
        <x:v>0</x:v>
      </x:c>
      <x:c r="V2123" s="21" t="n">
        <x:f>IFERROR(U2123/L2123,0)</x:f>
        <x:v>0</x:v>
      </x:c>
    </x:row>
    <x:row r="2124">
      <x:c r="A2124" s="19" t="str">
        <x:v>SALE-02120</x:v>
      </x:c>
      <x:c r="B2124" s="34" t="n">
        <x:v>46213.5</x:v>
      </x:c>
      <x:c r="C2124" s="19" t="str">
        <x:v>周五</x:v>
      </x:c>
      <x:c r="D2124" s="19" t="str">
        <x:v>S08</x:v>
      </x:c>
      <x:c r="E2124" s="19" t="str">
        <x:v>四季青店</x:v>
      </x:c>
      <x:c r="F2124" s="19" t="str">
        <x:v>外卖</x:v>
      </x:c>
      <x:c r="G2124" s="19" t="str">
        <x:v>全日</x:v>
      </x:c>
      <x:c r="H2124" s="19" t="str">
        <x:v>D20</x:v>
      </x:c>
      <x:c r="I2124" s="19" t="str">
        <x:v>雪菜肉末青豆</x:v>
      </x:c>
      <x:c r="J2124" s="22" t="n">
        <x:f>XLOOKUP(H2124,'菜品主数据'!$A$5:$A$24,'菜品主数据'!$D$5:$D$24,0)</x:f>
        <x:v>18</x:v>
      </x:c>
      <x:c r="K2124" s="31" t="n">
        <x:v>0</x:v>
      </x:c>
      <x:c r="L2124" s="35" t="n">
        <x:f>J2124*K2124</x:f>
        <x:v>0</x:v>
      </x:c>
      <x:c r="M2124" s="36" t="n">
        <x:v>0.08</x:v>
      </x:c>
      <x:c r="N2124" s="35" t="n">
        <x:f>L2124*M2124</x:f>
        <x:v>0</x:v>
      </x:c>
      <x:c r="O2124" s="37" t="n">
        <x:v>0.18</x:v>
      </x:c>
      <x:c r="P2124" s="35" t="n">
        <x:f>L2124*O2124</x:f>
        <x:v>0</x:v>
      </x:c>
      <x:c r="Q2124" s="35" t="n">
        <x:v>1.2</x:v>
      </x:c>
      <x:c r="R2124" s="35" t="n">
        <x:f>K2124*Q2124</x:f>
        <x:v>0</x:v>
      </x:c>
      <x:c r="S2124" s="35" t="n">
        <x:f>XLOOKUP(H2124,'菜品主数据'!$A$5:$A$24,'菜品主数据'!$G$5:$G$24,0)</x:f>
        <x:v>7.303999999999999</x:v>
      </x:c>
      <x:c r="T2124" s="35" t="n">
        <x:f>K2124*S2124</x:f>
        <x:v>0</x:v>
      </x:c>
      <x:c r="U2124" s="35" t="n">
        <x:f>L2124-N2124-P2124-R2124-T2124</x:f>
        <x:v>0</x:v>
      </x:c>
      <x:c r="V2124" s="21" t="n">
        <x:f>IFERROR(U2124/L2124,0)</x:f>
        <x:v>0</x:v>
      </x:c>
    </x:row>
    <x:row r="2125">
      <x:c r="A2125" s="19" t="str">
        <x:v>SALE-02121</x:v>
      </x:c>
      <x:c r="B2125" s="34" t="n">
        <x:v>46214.5</x:v>
      </x:c>
      <x:c r="C2125" s="19" t="str">
        <x:v>周六</x:v>
      </x:c>
      <x:c r="D2125" s="19" t="str">
        <x:v>S08</x:v>
      </x:c>
      <x:c r="E2125" s="19" t="str">
        <x:v>四季青店</x:v>
      </x:c>
      <x:c r="F2125" s="19" t="str">
        <x:v>堂食</x:v>
      </x:c>
      <x:c r="G2125" s="19" t="str">
        <x:v>全日</x:v>
      </x:c>
      <x:c r="H2125" s="19" t="str">
        <x:v>D01</x:v>
      </x:c>
      <x:c r="I2125" s="19" t="str">
        <x:v>辣椒炒肉</x:v>
      </x:c>
      <x:c r="J2125" s="22" t="n">
        <x:f>XLOOKUP(H2125,'菜品主数据'!$A$5:$A$24,'菜品主数据'!$D$5:$D$24,0)</x:f>
        <x:v>29</x:v>
      </x:c>
      <x:c r="K2125" s="31" t="n">
        <x:v>30</x:v>
      </x:c>
      <x:c r="L2125" s="35" t="n">
        <x:f>J2125*K2125</x:f>
        <x:v>870</x:v>
      </x:c>
      <x:c r="M2125" s="36" t="n">
        <x:v>0</x:v>
      </x:c>
      <x:c r="N2125" s="35" t="n">
        <x:f>L2125*M2125</x:f>
        <x:v>0</x:v>
      </x:c>
      <x:c r="O2125" s="37" t="n">
        <x:v>0</x:v>
      </x:c>
      <x:c r="P2125" s="35" t="n">
        <x:f>L2125*O2125</x:f>
        <x:v>0</x:v>
      </x:c>
      <x:c r="Q2125" s="35" t="n">
        <x:v>0</x:v>
      </x:c>
      <x:c r="R2125" s="35" t="n">
        <x:f>K2125*Q2125</x:f>
        <x:v>0</x:v>
      </x:c>
      <x:c r="S2125" s="35" t="n">
        <x:f>XLOOKUP(H2125,'菜品主数据'!$A$5:$A$24,'菜品主数据'!$G$5:$G$24,0)</x:f>
        <x:v>8.634400000000001</x:v>
      </x:c>
      <x:c r="T2125" s="35" t="n">
        <x:f>K2125*S2125</x:f>
        <x:v>259.03200000000004</x:v>
      </x:c>
      <x:c r="U2125" s="35" t="n">
        <x:f>L2125-N2125-P2125-R2125-T2125</x:f>
        <x:v>610.968</x:v>
      </x:c>
      <x:c r="V2125" s="21" t="n">
        <x:f>IFERROR(U2125/L2125,0)</x:f>
        <x:v>0.7022620689655172</x:v>
      </x:c>
    </x:row>
    <x:row r="2126">
      <x:c r="A2126" s="19" t="str">
        <x:v>SALE-02122</x:v>
      </x:c>
      <x:c r="B2126" s="34" t="n">
        <x:v>46214.5</x:v>
      </x:c>
      <x:c r="C2126" s="19" t="str">
        <x:v>周六</x:v>
      </x:c>
      <x:c r="D2126" s="19" t="str">
        <x:v>S08</x:v>
      </x:c>
      <x:c r="E2126" s="19" t="str">
        <x:v>四季青店</x:v>
      </x:c>
      <x:c r="F2126" s="19" t="str">
        <x:v>堂食</x:v>
      </x:c>
      <x:c r="G2126" s="19" t="str">
        <x:v>全日</x:v>
      </x:c>
      <x:c r="H2126" s="19" t="str">
        <x:v>D02</x:v>
      </x:c>
      <x:c r="I2126" s="19" t="str">
        <x:v>小炒黄牛肉</x:v>
      </x:c>
      <x:c r="J2126" s="22" t="n">
        <x:f>XLOOKUP(H2126,'菜品主数据'!$A$5:$A$24,'菜品主数据'!$D$5:$D$24,0)</x:f>
        <x:v>49</x:v>
      </x:c>
      <x:c r="K2126" s="31" t="n">
        <x:v>17</x:v>
      </x:c>
      <x:c r="L2126" s="35" t="n">
        <x:f>J2126*K2126</x:f>
        <x:v>833</x:v>
      </x:c>
      <x:c r="M2126" s="36" t="n">
        <x:v>0</x:v>
      </x:c>
      <x:c r="N2126" s="35" t="n">
        <x:f>L2126*M2126</x:f>
        <x:v>0</x:v>
      </x:c>
      <x:c r="O2126" s="37" t="n">
        <x:v>0</x:v>
      </x:c>
      <x:c r="P2126" s="35" t="n">
        <x:f>L2126*O2126</x:f>
        <x:v>0</x:v>
      </x:c>
      <x:c r="Q2126" s="35" t="n">
        <x:v>0</x:v>
      </x:c>
      <x:c r="R2126" s="35" t="n">
        <x:f>K2126*Q2126</x:f>
        <x:v>0</x:v>
      </x:c>
      <x:c r="S2126" s="35" t="n">
        <x:f>XLOOKUP(H2126,'菜品主数据'!$A$5:$A$24,'菜品主数据'!$G$5:$G$24,0)</x:f>
        <x:v>17.577</x:v>
      </x:c>
      <x:c r="T2126" s="35" t="n">
        <x:f>K2126*S2126</x:f>
        <x:v>298.809</x:v>
      </x:c>
      <x:c r="U2126" s="35" t="n">
        <x:f>L2126-N2126-P2126-R2126-T2126</x:f>
        <x:v>534.191</x:v>
      </x:c>
      <x:c r="V2126" s="21" t="n">
        <x:f>IFERROR(U2126/L2126,0)</x:f>
        <x:v>0.6412857142857143</x:v>
      </x:c>
    </x:row>
    <x:row r="2127">
      <x:c r="A2127" s="19" t="str">
        <x:v>SALE-02123</x:v>
      </x:c>
      <x:c r="B2127" s="34" t="n">
        <x:v>46214.5</x:v>
      </x:c>
      <x:c r="C2127" s="19" t="str">
        <x:v>周六</x:v>
      </x:c>
      <x:c r="D2127" s="19" t="str">
        <x:v>S08</x:v>
      </x:c>
      <x:c r="E2127" s="19" t="str">
        <x:v>四季青店</x:v>
      </x:c>
      <x:c r="F2127" s="19" t="str">
        <x:v>堂食</x:v>
      </x:c>
      <x:c r="G2127" s="19" t="str">
        <x:v>全日</x:v>
      </x:c>
      <x:c r="H2127" s="19" t="str">
        <x:v>D03</x:v>
      </x:c>
      <x:c r="I2127" s="19" t="str">
        <x:v>香醋炒蛋</x:v>
      </x:c>
      <x:c r="J2127" s="22" t="n">
        <x:f>XLOOKUP(H2127,'菜品主数据'!$A$5:$A$24,'菜品主数据'!$D$5:$D$24,0)</x:f>
        <x:v>14.9</x:v>
      </x:c>
      <x:c r="K2127" s="31" t="n">
        <x:v>25</x:v>
      </x:c>
      <x:c r="L2127" s="35" t="n">
        <x:f>J2127*K2127</x:f>
        <x:v>372.5</x:v>
      </x:c>
      <x:c r="M2127" s="36" t="n">
        <x:v>0</x:v>
      </x:c>
      <x:c r="N2127" s="35" t="n">
        <x:f>L2127*M2127</x:f>
        <x:v>0</x:v>
      </x:c>
      <x:c r="O2127" s="37" t="n">
        <x:v>0</x:v>
      </x:c>
      <x:c r="P2127" s="35" t="n">
        <x:f>L2127*O2127</x:f>
        <x:v>0</x:v>
      </x:c>
      <x:c r="Q2127" s="35" t="n">
        <x:v>0</x:v>
      </x:c>
      <x:c r="R2127" s="35" t="n">
        <x:f>K2127*Q2127</x:f>
        <x:v>0</x:v>
      </x:c>
      <x:c r="S2127" s="35" t="n">
        <x:f>XLOOKUP(H2127,'菜品主数据'!$A$5:$A$24,'菜品主数据'!$G$5:$G$24,0)</x:f>
        <x:v>3.7459999999999996</x:v>
      </x:c>
      <x:c r="T2127" s="35" t="n">
        <x:f>K2127*S2127</x:f>
        <x:v>93.64999999999999</x:v>
      </x:c>
      <x:c r="U2127" s="35" t="n">
        <x:f>L2127-N2127-P2127-R2127-T2127</x:f>
        <x:v>278.85</x:v>
      </x:c>
      <x:c r="V2127" s="21" t="n">
        <x:f>IFERROR(U2127/L2127,0)</x:f>
        <x:v>0.7485906040268457</x:v>
      </x:c>
    </x:row>
    <x:row r="2128">
      <x:c r="A2128" s="19" t="str">
        <x:v>SALE-02124</x:v>
      </x:c>
      <x:c r="B2128" s="34" t="n">
        <x:v>46214.5</x:v>
      </x:c>
      <x:c r="C2128" s="19" t="str">
        <x:v>周六</x:v>
      </x:c>
      <x:c r="D2128" s="19" t="str">
        <x:v>S08</x:v>
      </x:c>
      <x:c r="E2128" s="19" t="str">
        <x:v>四季青店</x:v>
      </x:c>
      <x:c r="F2128" s="19" t="str">
        <x:v>堂食</x:v>
      </x:c>
      <x:c r="G2128" s="19" t="str">
        <x:v>全日</x:v>
      </x:c>
      <x:c r="H2128" s="19" t="str">
        <x:v>D04</x:v>
      </x:c>
      <x:c r="I2128" s="19" t="str">
        <x:v>酸包菜炒粉皮</x:v>
      </x:c>
      <x:c r="J2128" s="22" t="n">
        <x:f>XLOOKUP(H2128,'菜品主数据'!$A$5:$A$24,'菜品主数据'!$D$5:$D$24,0)</x:f>
        <x:v>16</x:v>
      </x:c>
      <x:c r="K2128" s="31" t="n">
        <x:v>22</x:v>
      </x:c>
      <x:c r="L2128" s="35" t="n">
        <x:f>J2128*K2128</x:f>
        <x:v>352</x:v>
      </x:c>
      <x:c r="M2128" s="36" t="n">
        <x:v>0</x:v>
      </x:c>
      <x:c r="N2128" s="35" t="n">
        <x:f>L2128*M2128</x:f>
        <x:v>0</x:v>
      </x:c>
      <x:c r="O2128" s="37" t="n">
        <x:v>0</x:v>
      </x:c>
      <x:c r="P2128" s="35" t="n">
        <x:f>L2128*O2128</x:f>
        <x:v>0</x:v>
      </x:c>
      <x:c r="Q2128" s="35" t="n">
        <x:v>0</x:v>
      </x:c>
      <x:c r="R2128" s="35" t="n">
        <x:f>K2128*Q2128</x:f>
        <x:v>0</x:v>
      </x:c>
      <x:c r="S2128" s="35" t="n">
        <x:f>XLOOKUP(H2128,'菜品主数据'!$A$5:$A$24,'菜品主数据'!$G$5:$G$24,0)</x:f>
        <x:v>3.978</x:v>
      </x:c>
      <x:c r="T2128" s="35" t="n">
        <x:f>K2128*S2128</x:f>
        <x:v>87.516</x:v>
      </x:c>
      <x:c r="U2128" s="35" t="n">
        <x:f>L2128-N2128-P2128-R2128-T2128</x:f>
        <x:v>264.484</x:v>
      </x:c>
      <x:c r="V2128" s="21" t="n">
        <x:f>IFERROR(U2128/L2128,0)</x:f>
        <x:v>0.7513749999999999</x:v>
      </x:c>
    </x:row>
    <x:row r="2129">
      <x:c r="A2129" s="19" t="str">
        <x:v>SALE-02125</x:v>
      </x:c>
      <x:c r="B2129" s="34" t="n">
        <x:v>46214.5</x:v>
      </x:c>
      <x:c r="C2129" s="19" t="str">
        <x:v>周六</x:v>
      </x:c>
      <x:c r="D2129" s="19" t="str">
        <x:v>S08</x:v>
      </x:c>
      <x:c r="E2129" s="19" t="str">
        <x:v>四季青店</x:v>
      </x:c>
      <x:c r="F2129" s="19" t="str">
        <x:v>堂食</x:v>
      </x:c>
      <x:c r="G2129" s="19" t="str">
        <x:v>全日</x:v>
      </x:c>
      <x:c r="H2129" s="19" t="str">
        <x:v>D05</x:v>
      </x:c>
      <x:c r="I2129" s="19" t="str">
        <x:v>麻婆豆腐</x:v>
      </x:c>
      <x:c r="J2129" s="22" t="n">
        <x:f>XLOOKUP(H2129,'菜品主数据'!$A$5:$A$24,'菜品主数据'!$D$5:$D$24,0)</x:f>
        <x:v>9.9</x:v>
      </x:c>
      <x:c r="K2129" s="31" t="n">
        <x:v>33</x:v>
      </x:c>
      <x:c r="L2129" s="35" t="n">
        <x:f>J2129*K2129</x:f>
        <x:v>326.7</x:v>
      </x:c>
      <x:c r="M2129" s="36" t="n">
        <x:v>0</x:v>
      </x:c>
      <x:c r="N2129" s="35" t="n">
        <x:f>L2129*M2129</x:f>
        <x:v>0</x:v>
      </x:c>
      <x:c r="O2129" s="37" t="n">
        <x:v>0</x:v>
      </x:c>
      <x:c r="P2129" s="35" t="n">
        <x:f>L2129*O2129</x:f>
        <x:v>0</x:v>
      </x:c>
      <x:c r="Q2129" s="35" t="n">
        <x:v>0</x:v>
      </x:c>
      <x:c r="R2129" s="35" t="n">
        <x:f>K2129*Q2129</x:f>
        <x:v>0</x:v>
      </x:c>
      <x:c r="S2129" s="35" t="n">
        <x:f>XLOOKUP(H2129,'菜品主数据'!$A$5:$A$24,'菜品主数据'!$G$5:$G$24,0)</x:f>
        <x:v>5.367000000000001</x:v>
      </x:c>
      <x:c r="T2129" s="35" t="n">
        <x:f>K2129*S2129</x:f>
        <x:v>177.11100000000002</x:v>
      </x:c>
      <x:c r="U2129" s="35" t="n">
        <x:f>L2129-N2129-P2129-R2129-T2129</x:f>
        <x:v>149.58899999999997</x:v>
      </x:c>
      <x:c r="V2129" s="21" t="n">
        <x:f>IFERROR(U2129/L2129,0)</x:f>
        <x:v>0.45787878787878783</x:v>
      </x:c>
    </x:row>
    <x:row r="2130">
      <x:c r="A2130" s="19" t="str">
        <x:v>SALE-02126</x:v>
      </x:c>
      <x:c r="B2130" s="34" t="n">
        <x:v>46214.5</x:v>
      </x:c>
      <x:c r="C2130" s="19" t="str">
        <x:v>周六</x:v>
      </x:c>
      <x:c r="D2130" s="19" t="str">
        <x:v>S08</x:v>
      </x:c>
      <x:c r="E2130" s="19" t="str">
        <x:v>四季青店</x:v>
      </x:c>
      <x:c r="F2130" s="19" t="str">
        <x:v>堂食</x:v>
      </x:c>
      <x:c r="G2130" s="19" t="str">
        <x:v>全日</x:v>
      </x:c>
      <x:c r="H2130" s="19" t="str">
        <x:v>D06</x:v>
      </x:c>
      <x:c r="I2130" s="19" t="str">
        <x:v>剁椒鱼头</x:v>
      </x:c>
      <x:c r="J2130" s="22" t="n">
        <x:f>XLOOKUP(H2130,'菜品主数据'!$A$5:$A$24,'菜品主数据'!$D$5:$D$24,0)</x:f>
        <x:v>39</x:v>
      </x:c>
      <x:c r="K2130" s="31" t="n">
        <x:v>7</x:v>
      </x:c>
      <x:c r="L2130" s="35" t="n">
        <x:f>J2130*K2130</x:f>
        <x:v>273</x:v>
      </x:c>
      <x:c r="M2130" s="36" t="n">
        <x:v>0</x:v>
      </x:c>
      <x:c r="N2130" s="35" t="n">
        <x:f>L2130*M2130</x:f>
        <x:v>0</x:v>
      </x:c>
      <x:c r="O2130" s="37" t="n">
        <x:v>0</x:v>
      </x:c>
      <x:c r="P2130" s="35" t="n">
        <x:f>L2130*O2130</x:f>
        <x:v>0</x:v>
      </x:c>
      <x:c r="Q2130" s="35" t="n">
        <x:v>0</x:v>
      </x:c>
      <x:c r="R2130" s="35" t="n">
        <x:f>K2130*Q2130</x:f>
        <x:v>0</x:v>
      </x:c>
      <x:c r="S2130" s="35" t="n">
        <x:f>XLOOKUP(H2130,'菜品主数据'!$A$5:$A$24,'菜品主数据'!$G$5:$G$24,0)</x:f>
        <x:v>17.446</x:v>
      </x:c>
      <x:c r="T2130" s="35" t="n">
        <x:f>K2130*S2130</x:f>
        <x:v>122.12200000000001</x:v>
      </x:c>
      <x:c r="U2130" s="35" t="n">
        <x:f>L2130-N2130-P2130-R2130-T2130</x:f>
        <x:v>150.878</x:v>
      </x:c>
      <x:c r="V2130" s="21" t="n">
        <x:f>IFERROR(U2130/L2130,0)</x:f>
        <x:v>0.5526666666666666</x:v>
      </x:c>
    </x:row>
    <x:row r="2131">
      <x:c r="A2131" s="19" t="str">
        <x:v>SALE-02127</x:v>
      </x:c>
      <x:c r="B2131" s="34" t="n">
        <x:v>46214.5</x:v>
      </x:c>
      <x:c r="C2131" s="19" t="str">
        <x:v>周六</x:v>
      </x:c>
      <x:c r="D2131" s="19" t="str">
        <x:v>S08</x:v>
      </x:c>
      <x:c r="E2131" s="19" t="str">
        <x:v>四季青店</x:v>
      </x:c>
      <x:c r="F2131" s="19" t="str">
        <x:v>堂食</x:v>
      </x:c>
      <x:c r="G2131" s="19" t="str">
        <x:v>全日</x:v>
      </x:c>
      <x:c r="H2131" s="19" t="str">
        <x:v>D07</x:v>
      </x:c>
      <x:c r="I2131" s="19" t="str">
        <x:v>川味回锅肉</x:v>
      </x:c>
      <x:c r="J2131" s="22" t="n">
        <x:f>XLOOKUP(H2131,'菜品主数据'!$A$5:$A$24,'菜品主数据'!$D$5:$D$24,0)</x:f>
        <x:v>29</x:v>
      </x:c>
      <x:c r="K2131" s="31" t="n">
        <x:v>9</x:v>
      </x:c>
      <x:c r="L2131" s="35" t="n">
        <x:f>J2131*K2131</x:f>
        <x:v>261</x:v>
      </x:c>
      <x:c r="M2131" s="36" t="n">
        <x:v>0</x:v>
      </x:c>
      <x:c r="N2131" s="35" t="n">
        <x:f>L2131*M2131</x:f>
        <x:v>0</x:v>
      </x:c>
      <x:c r="O2131" s="37" t="n">
        <x:v>0</x:v>
      </x:c>
      <x:c r="P2131" s="35" t="n">
        <x:f>L2131*O2131</x:f>
        <x:v>0</x:v>
      </x:c>
      <x:c r="Q2131" s="35" t="n">
        <x:v>0</x:v>
      </x:c>
      <x:c r="R2131" s="35" t="n">
        <x:f>K2131*Q2131</x:f>
        <x:v>0</x:v>
      </x:c>
      <x:c r="S2131" s="35" t="n">
        <x:f>XLOOKUP(H2131,'菜品主数据'!$A$5:$A$24,'菜品主数据'!$G$5:$G$24,0)</x:f>
        <x:v>10.231000000000002</x:v>
      </x:c>
      <x:c r="T2131" s="35" t="n">
        <x:f>K2131*S2131</x:f>
        <x:v>92.07900000000001</x:v>
      </x:c>
      <x:c r="U2131" s="35" t="n">
        <x:f>L2131-N2131-P2131-R2131-T2131</x:f>
        <x:v>168.921</x:v>
      </x:c>
      <x:c r="V2131" s="21" t="n">
        <x:f>IFERROR(U2131/L2131,0)</x:f>
        <x:v>0.6472068965517241</x:v>
      </x:c>
    </x:row>
    <x:row r="2132">
      <x:c r="A2132" s="19" t="str">
        <x:v>SALE-02128</x:v>
      </x:c>
      <x:c r="B2132" s="34" t="n">
        <x:v>46214.5</x:v>
      </x:c>
      <x:c r="C2132" s="19" t="str">
        <x:v>周六</x:v>
      </x:c>
      <x:c r="D2132" s="19" t="str">
        <x:v>S08</x:v>
      </x:c>
      <x:c r="E2132" s="19" t="str">
        <x:v>四季青店</x:v>
      </x:c>
      <x:c r="F2132" s="19" t="str">
        <x:v>堂食</x:v>
      </x:c>
      <x:c r="G2132" s="19" t="str">
        <x:v>全日</x:v>
      </x:c>
      <x:c r="H2132" s="19" t="str">
        <x:v>D08</x:v>
      </x:c>
      <x:c r="I2132" s="19" t="str">
        <x:v>生炒清远鸡</x:v>
      </x:c>
      <x:c r="J2132" s="22" t="n">
        <x:f>XLOOKUP(H2132,'菜品主数据'!$A$5:$A$24,'菜品主数据'!$D$5:$D$24,0)</x:f>
        <x:v>36</x:v>
      </x:c>
      <x:c r="K2132" s="31" t="n">
        <x:v>8</x:v>
      </x:c>
      <x:c r="L2132" s="35" t="n">
        <x:f>J2132*K2132</x:f>
        <x:v>288</x:v>
      </x:c>
      <x:c r="M2132" s="36" t="n">
        <x:v>0</x:v>
      </x:c>
      <x:c r="N2132" s="35" t="n">
        <x:f>L2132*M2132</x:f>
        <x:v>0</x:v>
      </x:c>
      <x:c r="O2132" s="37" t="n">
        <x:v>0</x:v>
      </x:c>
      <x:c r="P2132" s="35" t="n">
        <x:f>L2132*O2132</x:f>
        <x:v>0</x:v>
      </x:c>
      <x:c r="Q2132" s="35" t="n">
        <x:v>0</x:v>
      </x:c>
      <x:c r="R2132" s="35" t="n">
        <x:f>K2132*Q2132</x:f>
        <x:v>0</x:v>
      </x:c>
      <x:c r="S2132" s="35" t="n">
        <x:f>XLOOKUP(H2132,'菜品主数据'!$A$5:$A$24,'菜品主数据'!$G$5:$G$24,0)</x:f>
        <x:v>13.48</x:v>
      </x:c>
      <x:c r="T2132" s="35" t="n">
        <x:f>K2132*S2132</x:f>
        <x:v>107.84</x:v>
      </x:c>
      <x:c r="U2132" s="35" t="n">
        <x:f>L2132-N2132-P2132-R2132-T2132</x:f>
        <x:v>180.16</x:v>
      </x:c>
      <x:c r="V2132" s="21" t="n">
        <x:f>IFERROR(U2132/L2132,0)</x:f>
        <x:v>0.6255555555555555</x:v>
      </x:c>
    </x:row>
    <x:row r="2133">
      <x:c r="A2133" s="19" t="str">
        <x:v>SALE-02129</x:v>
      </x:c>
      <x:c r="B2133" s="34" t="n">
        <x:v>46214.5</x:v>
      </x:c>
      <x:c r="C2133" s="19" t="str">
        <x:v>周六</x:v>
      </x:c>
      <x:c r="D2133" s="19" t="str">
        <x:v>S08</x:v>
      </x:c>
      <x:c r="E2133" s="19" t="str">
        <x:v>四季青店</x:v>
      </x:c>
      <x:c r="F2133" s="19" t="str">
        <x:v>堂食</x:v>
      </x:c>
      <x:c r="G2133" s="19" t="str">
        <x:v>全日</x:v>
      </x:c>
      <x:c r="H2133" s="19" t="str">
        <x:v>D09</x:v>
      </x:c>
      <x:c r="I2133" s="19" t="str">
        <x:v>炒豆干</x:v>
      </x:c>
      <x:c r="J2133" s="22" t="n">
        <x:f>XLOOKUP(H2133,'菜品主数据'!$A$5:$A$24,'菜品主数据'!$D$5:$D$24,0)</x:f>
        <x:v>18</x:v>
      </x:c>
      <x:c r="K2133" s="31" t="n">
        <x:v>9</x:v>
      </x:c>
      <x:c r="L2133" s="35" t="n">
        <x:f>J2133*K2133</x:f>
        <x:v>162</x:v>
      </x:c>
      <x:c r="M2133" s="36" t="n">
        <x:v>0</x:v>
      </x:c>
      <x:c r="N2133" s="35" t="n">
        <x:f>L2133*M2133</x:f>
        <x:v>0</x:v>
      </x:c>
      <x:c r="O2133" s="37" t="n">
        <x:v>0</x:v>
      </x:c>
      <x:c r="P2133" s="35" t="n">
        <x:f>L2133*O2133</x:f>
        <x:v>0</x:v>
      </x:c>
      <x:c r="Q2133" s="35" t="n">
        <x:v>0</x:v>
      </x:c>
      <x:c r="R2133" s="35" t="n">
        <x:f>K2133*Q2133</x:f>
        <x:v>0</x:v>
      </x:c>
      <x:c r="S2133" s="35" t="n">
        <x:f>XLOOKUP(H2133,'菜品主数据'!$A$5:$A$24,'菜品主数据'!$G$5:$G$24,0)</x:f>
        <x:v>6.613999999999999</x:v>
      </x:c>
      <x:c r="T2133" s="35" t="n">
        <x:f>K2133*S2133</x:f>
        <x:v>59.52599999999999</x:v>
      </x:c>
      <x:c r="U2133" s="35" t="n">
        <x:f>L2133-N2133-P2133-R2133-T2133</x:f>
        <x:v>102.47400000000002</x:v>
      </x:c>
      <x:c r="V2133" s="21" t="n">
        <x:f>IFERROR(U2133/L2133,0)</x:f>
        <x:v>0.6325555555555556</x:v>
      </x:c>
    </x:row>
    <x:row r="2134">
      <x:c r="A2134" s="19" t="str">
        <x:v>SALE-02130</x:v>
      </x:c>
      <x:c r="B2134" s="34" t="n">
        <x:v>46214.5</x:v>
      </x:c>
      <x:c r="C2134" s="19" t="str">
        <x:v>周六</x:v>
      </x:c>
      <x:c r="D2134" s="19" t="str">
        <x:v>S08</x:v>
      </x:c>
      <x:c r="E2134" s="19" t="str">
        <x:v>四季青店</x:v>
      </x:c>
      <x:c r="F2134" s="19" t="str">
        <x:v>堂食</x:v>
      </x:c>
      <x:c r="G2134" s="19" t="str">
        <x:v>全日</x:v>
      </x:c>
      <x:c r="H2134" s="19" t="str">
        <x:v>D10</x:v>
      </x:c>
      <x:c r="I2134" s="19" t="str">
        <x:v>农家一碗香</x:v>
      </x:c>
      <x:c r="J2134" s="22" t="n">
        <x:f>XLOOKUP(H2134,'菜品主数据'!$A$5:$A$24,'菜品主数据'!$D$5:$D$24,0)</x:f>
        <x:v>22.9</x:v>
      </x:c>
      <x:c r="K2134" s="31" t="n">
        <x:v>10</x:v>
      </x:c>
      <x:c r="L2134" s="35" t="n">
        <x:f>J2134*K2134</x:f>
        <x:v>229</x:v>
      </x:c>
      <x:c r="M2134" s="36" t="n">
        <x:v>0</x:v>
      </x:c>
      <x:c r="N2134" s="35" t="n">
        <x:f>L2134*M2134</x:f>
        <x:v>0</x:v>
      </x:c>
      <x:c r="O2134" s="37" t="n">
        <x:v>0</x:v>
      </x:c>
      <x:c r="P2134" s="35" t="n">
        <x:f>L2134*O2134</x:f>
        <x:v>0</x:v>
      </x:c>
      <x:c r="Q2134" s="35" t="n">
        <x:v>0</x:v>
      </x:c>
      <x:c r="R2134" s="35" t="n">
        <x:f>K2134*Q2134</x:f>
        <x:v>0</x:v>
      </x:c>
      <x:c r="S2134" s="35" t="n">
        <x:f>XLOOKUP(H2134,'菜品主数据'!$A$5:$A$24,'菜品主数据'!$G$5:$G$24,0)</x:f>
        <x:v>9.770200000000003</x:v>
      </x:c>
      <x:c r="T2134" s="35" t="n">
        <x:f>K2134*S2134</x:f>
        <x:v>97.70200000000003</x:v>
      </x:c>
      <x:c r="U2134" s="35" t="n">
        <x:f>L2134-N2134-P2134-R2134-T2134</x:f>
        <x:v>131.29799999999997</x:v>
      </x:c>
      <x:c r="V2134" s="21" t="n">
        <x:f>IFERROR(U2134/L2134,0)</x:f>
        <x:v>0.5733537117903929</x:v>
      </x:c>
    </x:row>
    <x:row r="2135">
      <x:c r="A2135" s="19" t="str">
        <x:v>SALE-02131</x:v>
      </x:c>
      <x:c r="B2135" s="34" t="n">
        <x:v>46214.5</x:v>
      </x:c>
      <x:c r="C2135" s="19" t="str">
        <x:v>周六</x:v>
      </x:c>
      <x:c r="D2135" s="19" t="str">
        <x:v>S08</x:v>
      </x:c>
      <x:c r="E2135" s="19" t="str">
        <x:v>四季青店</x:v>
      </x:c>
      <x:c r="F2135" s="19" t="str">
        <x:v>堂食</x:v>
      </x:c>
      <x:c r="G2135" s="19" t="str">
        <x:v>全日</x:v>
      </x:c>
      <x:c r="H2135" s="19" t="str">
        <x:v>D11</x:v>
      </x:c>
      <x:c r="I2135" s="19" t="str">
        <x:v>香辣爆肥肠</x:v>
      </x:c>
      <x:c r="J2135" s="22" t="n">
        <x:f>XLOOKUP(H2135,'菜品主数据'!$A$5:$A$24,'菜品主数据'!$D$5:$D$24,0)</x:f>
        <x:v>39</x:v>
      </x:c>
      <x:c r="K2135" s="31" t="n">
        <x:v>4</x:v>
      </x:c>
      <x:c r="L2135" s="35" t="n">
        <x:f>J2135*K2135</x:f>
        <x:v>156</x:v>
      </x:c>
      <x:c r="M2135" s="36" t="n">
        <x:v>0</x:v>
      </x:c>
      <x:c r="N2135" s="35" t="n">
        <x:f>L2135*M2135</x:f>
        <x:v>0</x:v>
      </x:c>
      <x:c r="O2135" s="37" t="n">
        <x:v>0</x:v>
      </x:c>
      <x:c r="P2135" s="35" t="n">
        <x:f>L2135*O2135</x:f>
        <x:v>0</x:v>
      </x:c>
      <x:c r="Q2135" s="35" t="n">
        <x:v>0</x:v>
      </x:c>
      <x:c r="R2135" s="35" t="n">
        <x:f>K2135*Q2135</x:f>
        <x:v>0</x:v>
      </x:c>
      <x:c r="S2135" s="35" t="n">
        <x:f>XLOOKUP(H2135,'菜品主数据'!$A$5:$A$24,'菜品主数据'!$G$5:$G$24,0)</x:f>
        <x:v>10.397</x:v>
      </x:c>
      <x:c r="T2135" s="35" t="n">
        <x:f>K2135*S2135</x:f>
        <x:v>41.588</x:v>
      </x:c>
      <x:c r="U2135" s="35" t="n">
        <x:f>L2135-N2135-P2135-R2135-T2135</x:f>
        <x:v>114.412</x:v>
      </x:c>
      <x:c r="V2135" s="21" t="n">
        <x:f>IFERROR(U2135/L2135,0)</x:f>
        <x:v>0.7334102564102565</x:v>
      </x:c>
    </x:row>
    <x:row r="2136">
      <x:c r="A2136" s="19" t="str">
        <x:v>SALE-02132</x:v>
      </x:c>
      <x:c r="B2136" s="34" t="n">
        <x:v>46214.5</x:v>
      </x:c>
      <x:c r="C2136" s="19" t="str">
        <x:v>周六</x:v>
      </x:c>
      <x:c r="D2136" s="19" t="str">
        <x:v>S08</x:v>
      </x:c>
      <x:c r="E2136" s="19" t="str">
        <x:v>四季青店</x:v>
      </x:c>
      <x:c r="F2136" s="19" t="str">
        <x:v>堂食</x:v>
      </x:c>
      <x:c r="G2136" s="19" t="str">
        <x:v>全日</x:v>
      </x:c>
      <x:c r="H2136" s="19" t="str">
        <x:v>D12</x:v>
      </x:c>
      <x:c r="I2136" s="19" t="str">
        <x:v>清蒸鲈鱼</x:v>
      </x:c>
      <x:c r="J2136" s="22" t="n">
        <x:f>XLOOKUP(H2136,'菜品主数据'!$A$5:$A$24,'菜品主数据'!$D$5:$D$24,0)</x:f>
        <x:v>39</x:v>
      </x:c>
      <x:c r="K2136" s="31" t="n">
        <x:v>4</x:v>
      </x:c>
      <x:c r="L2136" s="35" t="n">
        <x:f>J2136*K2136</x:f>
        <x:v>156</x:v>
      </x:c>
      <x:c r="M2136" s="36" t="n">
        <x:v>0</x:v>
      </x:c>
      <x:c r="N2136" s="35" t="n">
        <x:f>L2136*M2136</x:f>
        <x:v>0</x:v>
      </x:c>
      <x:c r="O2136" s="37" t="n">
        <x:v>0</x:v>
      </x:c>
      <x:c r="P2136" s="35" t="n">
        <x:f>L2136*O2136</x:f>
        <x:v>0</x:v>
      </x:c>
      <x:c r="Q2136" s="35" t="n">
        <x:v>0</x:v>
      </x:c>
      <x:c r="R2136" s="35" t="n">
        <x:f>K2136*Q2136</x:f>
        <x:v>0</x:v>
      </x:c>
      <x:c r="S2136" s="35" t="n">
        <x:f>XLOOKUP(H2136,'菜品主数据'!$A$5:$A$24,'菜品主数据'!$G$5:$G$24,0)</x:f>
        <x:v>18.874</x:v>
      </x:c>
      <x:c r="T2136" s="35" t="n">
        <x:f>K2136*S2136</x:f>
        <x:v>75.496</x:v>
      </x:c>
      <x:c r="U2136" s="35" t="n">
        <x:f>L2136-N2136-P2136-R2136-T2136</x:f>
        <x:v>80.504</x:v>
      </x:c>
      <x:c r="V2136" s="21" t="n">
        <x:f>IFERROR(U2136/L2136,0)</x:f>
        <x:v>0.516051282051282</x:v>
      </x:c>
    </x:row>
    <x:row r="2137">
      <x:c r="A2137" s="19" t="str">
        <x:v>SALE-02133</x:v>
      </x:c>
      <x:c r="B2137" s="34" t="n">
        <x:v>46214.5</x:v>
      </x:c>
      <x:c r="C2137" s="19" t="str">
        <x:v>周六</x:v>
      </x:c>
      <x:c r="D2137" s="19" t="str">
        <x:v>S08</x:v>
      </x:c>
      <x:c r="E2137" s="19" t="str">
        <x:v>四季青店</x:v>
      </x:c>
      <x:c r="F2137" s="19" t="str">
        <x:v>堂食</x:v>
      </x:c>
      <x:c r="G2137" s="19" t="str">
        <x:v>全日</x:v>
      </x:c>
      <x:c r="H2137" s="19" t="str">
        <x:v>D13</x:v>
      </x:c>
      <x:c r="I2137" s="19" t="str">
        <x:v>外婆菜炒蛋</x:v>
      </x:c>
      <x:c r="J2137" s="22" t="n">
        <x:f>XLOOKUP(H2137,'菜品主数据'!$A$5:$A$24,'菜品主数据'!$D$5:$D$24,0)</x:f>
        <x:v>18</x:v>
      </x:c>
      <x:c r="K2137" s="31" t="n">
        <x:v>10</x:v>
      </x:c>
      <x:c r="L2137" s="35" t="n">
        <x:f>J2137*K2137</x:f>
        <x:v>180</x:v>
      </x:c>
      <x:c r="M2137" s="36" t="n">
        <x:v>0</x:v>
      </x:c>
      <x:c r="N2137" s="35" t="n">
        <x:f>L2137*M2137</x:f>
        <x:v>0</x:v>
      </x:c>
      <x:c r="O2137" s="37" t="n">
        <x:v>0</x:v>
      </x:c>
      <x:c r="P2137" s="35" t="n">
        <x:f>L2137*O2137</x:f>
        <x:v>0</x:v>
      </x:c>
      <x:c r="Q2137" s="35" t="n">
        <x:v>0</x:v>
      </x:c>
      <x:c r="R2137" s="35" t="n">
        <x:f>K2137*Q2137</x:f>
        <x:v>0</x:v>
      </x:c>
      <x:c r="S2137" s="35" t="n">
        <x:f>XLOOKUP(H2137,'菜品主数据'!$A$5:$A$24,'菜品主数据'!$G$5:$G$24,0)</x:f>
        <x:v>5.403999999999999</x:v>
      </x:c>
      <x:c r="T2137" s="35" t="n">
        <x:f>K2137*S2137</x:f>
        <x:v>54.03999999999999</x:v>
      </x:c>
      <x:c r="U2137" s="35" t="n">
        <x:f>L2137-N2137-P2137-R2137-T2137</x:f>
        <x:v>125.96000000000001</x:v>
      </x:c>
      <x:c r="V2137" s="21" t="n">
        <x:f>IFERROR(U2137/L2137,0)</x:f>
        <x:v>0.6997777777777778</x:v>
      </x:c>
    </x:row>
    <x:row r="2138">
      <x:c r="A2138" s="19" t="str">
        <x:v>SALE-02134</x:v>
      </x:c>
      <x:c r="B2138" s="34" t="n">
        <x:v>46214.5</x:v>
      </x:c>
      <x:c r="C2138" s="19" t="str">
        <x:v>周六</x:v>
      </x:c>
      <x:c r="D2138" s="19" t="str">
        <x:v>S08</x:v>
      </x:c>
      <x:c r="E2138" s="19" t="str">
        <x:v>四季青店</x:v>
      </x:c>
      <x:c r="F2138" s="19" t="str">
        <x:v>堂食</x:v>
      </x:c>
      <x:c r="G2138" s="19" t="str">
        <x:v>全日</x:v>
      </x:c>
      <x:c r="H2138" s="19" t="str">
        <x:v>D14</x:v>
      </x:c>
      <x:c r="I2138" s="19" t="str">
        <x:v>酸辣鸡杂</x:v>
      </x:c>
      <x:c r="J2138" s="22" t="n">
        <x:f>XLOOKUP(H2138,'菜品主数据'!$A$5:$A$24,'菜品主数据'!$D$5:$D$24,0)</x:f>
        <x:v>28</x:v>
      </x:c>
      <x:c r="K2138" s="31" t="n">
        <x:v>5</x:v>
      </x:c>
      <x:c r="L2138" s="35" t="n">
        <x:f>J2138*K2138</x:f>
        <x:v>140</x:v>
      </x:c>
      <x:c r="M2138" s="36" t="n">
        <x:v>0</x:v>
      </x:c>
      <x:c r="N2138" s="35" t="n">
        <x:f>L2138*M2138</x:f>
        <x:v>0</x:v>
      </x:c>
      <x:c r="O2138" s="37" t="n">
        <x:v>0</x:v>
      </x:c>
      <x:c r="P2138" s="35" t="n">
        <x:f>L2138*O2138</x:f>
        <x:v>0</x:v>
      </x:c>
      <x:c r="Q2138" s="35" t="n">
        <x:v>0</x:v>
      </x:c>
      <x:c r="R2138" s="35" t="n">
        <x:f>K2138*Q2138</x:f>
        <x:v>0</x:v>
      </x:c>
      <x:c r="S2138" s="35" t="n">
        <x:f>XLOOKUP(H2138,'菜品主数据'!$A$5:$A$24,'菜品主数据'!$G$5:$G$24,0)</x:f>
        <x:v>8.315000000000001</x:v>
      </x:c>
      <x:c r="T2138" s="35" t="n">
        <x:f>K2138*S2138</x:f>
        <x:v>41.575</x:v>
      </x:c>
      <x:c r="U2138" s="35" t="n">
        <x:f>L2138-N2138-P2138-R2138-T2138</x:f>
        <x:v>98.425</x:v>
      </x:c>
      <x:c r="V2138" s="21" t="n">
        <x:f>IFERROR(U2138/L2138,0)</x:f>
        <x:v>0.7030357142857143</x:v>
      </x:c>
    </x:row>
    <x:row r="2139">
      <x:c r="A2139" s="19" t="str">
        <x:v>SALE-02135</x:v>
      </x:c>
      <x:c r="B2139" s="34" t="n">
        <x:v>46214.5</x:v>
      </x:c>
      <x:c r="C2139" s="19" t="str">
        <x:v>周六</x:v>
      </x:c>
      <x:c r="D2139" s="19" t="str">
        <x:v>S08</x:v>
      </x:c>
      <x:c r="E2139" s="19" t="str">
        <x:v>四季青店</x:v>
      </x:c>
      <x:c r="F2139" s="19" t="str">
        <x:v>堂食</x:v>
      </x:c>
      <x:c r="G2139" s="19" t="str">
        <x:v>全日</x:v>
      </x:c>
      <x:c r="H2139" s="19" t="str">
        <x:v>D15</x:v>
      </x:c>
      <x:c r="I2139" s="19" t="str">
        <x:v>湘西土匪猪肝</x:v>
      </x:c>
      <x:c r="J2139" s="22" t="n">
        <x:f>XLOOKUP(H2139,'菜品主数据'!$A$5:$A$24,'菜品主数据'!$D$5:$D$24,0)</x:f>
        <x:v>26</x:v>
      </x:c>
      <x:c r="K2139" s="31" t="n">
        <x:v>4</x:v>
      </x:c>
      <x:c r="L2139" s="35" t="n">
        <x:f>J2139*K2139</x:f>
        <x:v>104</x:v>
      </x:c>
      <x:c r="M2139" s="36" t="n">
        <x:v>0</x:v>
      </x:c>
      <x:c r="N2139" s="35" t="n">
        <x:f>L2139*M2139</x:f>
        <x:v>0</x:v>
      </x:c>
      <x:c r="O2139" s="37" t="n">
        <x:v>0</x:v>
      </x:c>
      <x:c r="P2139" s="35" t="n">
        <x:f>L2139*O2139</x:f>
        <x:v>0</x:v>
      </x:c>
      <x:c r="Q2139" s="35" t="n">
        <x:v>0</x:v>
      </x:c>
      <x:c r="R2139" s="35" t="n">
        <x:f>K2139*Q2139</x:f>
        <x:v>0</x:v>
      </x:c>
      <x:c r="S2139" s="35" t="n">
        <x:f>XLOOKUP(H2139,'菜品主数据'!$A$5:$A$24,'菜品主数据'!$G$5:$G$24,0)</x:f>
        <x:v>6.3759999999999994</x:v>
      </x:c>
      <x:c r="T2139" s="35" t="n">
        <x:f>K2139*S2139</x:f>
        <x:v>25.503999999999998</x:v>
      </x:c>
      <x:c r="U2139" s="35" t="n">
        <x:f>L2139-N2139-P2139-R2139-T2139</x:f>
        <x:v>78.49600000000001</x:v>
      </x:c>
      <x:c r="V2139" s="21" t="n">
        <x:f>IFERROR(U2139/L2139,0)</x:f>
        <x:v>0.7547692307692309</x:v>
      </x:c>
    </x:row>
    <x:row r="2140">
      <x:c r="A2140" s="19" t="str">
        <x:v>SALE-02136</x:v>
      </x:c>
      <x:c r="B2140" s="34" t="n">
        <x:v>46214.5</x:v>
      </x:c>
      <x:c r="C2140" s="19" t="str">
        <x:v>周六</x:v>
      </x:c>
      <x:c r="D2140" s="19" t="str">
        <x:v>S08</x:v>
      </x:c>
      <x:c r="E2140" s="19" t="str">
        <x:v>四季青店</x:v>
      </x:c>
      <x:c r="F2140" s="19" t="str">
        <x:v>堂食</x:v>
      </x:c>
      <x:c r="G2140" s="19" t="str">
        <x:v>全日</x:v>
      </x:c>
      <x:c r="H2140" s="19" t="str">
        <x:v>D16</x:v>
      </x:c>
      <x:c r="I2140" s="19" t="str">
        <x:v>小豆角炒五花</x:v>
      </x:c>
      <x:c r="J2140" s="22" t="n">
        <x:f>XLOOKUP(H2140,'菜品主数据'!$A$5:$A$24,'菜品主数据'!$D$5:$D$24,0)</x:f>
        <x:v>25</x:v>
      </x:c>
      <x:c r="K2140" s="31" t="n">
        <x:v>5</x:v>
      </x:c>
      <x:c r="L2140" s="35" t="n">
        <x:f>J2140*K2140</x:f>
        <x:v>125</x:v>
      </x:c>
      <x:c r="M2140" s="36" t="n">
        <x:v>0</x:v>
      </x:c>
      <x:c r="N2140" s="35" t="n">
        <x:f>L2140*M2140</x:f>
        <x:v>0</x:v>
      </x:c>
      <x:c r="O2140" s="37" t="n">
        <x:v>0</x:v>
      </x:c>
      <x:c r="P2140" s="35" t="n">
        <x:f>L2140*O2140</x:f>
        <x:v>0</x:v>
      </x:c>
      <x:c r="Q2140" s="35" t="n">
        <x:v>0</x:v>
      </x:c>
      <x:c r="R2140" s="35" t="n">
        <x:f>K2140*Q2140</x:f>
        <x:v>0</x:v>
      </x:c>
      <x:c r="S2140" s="35" t="n">
        <x:f>XLOOKUP(H2140,'菜品主数据'!$A$5:$A$24,'菜品主数据'!$G$5:$G$24,0)</x:f>
        <x:v>8.184</x:v>
      </x:c>
      <x:c r="T2140" s="35" t="n">
        <x:f>K2140*S2140</x:f>
        <x:v>40.919999999999995</x:v>
      </x:c>
      <x:c r="U2140" s="35" t="n">
        <x:f>L2140-N2140-P2140-R2140-T2140</x:f>
        <x:v>84.08000000000001</x:v>
      </x:c>
      <x:c r="V2140" s="21" t="n">
        <x:f>IFERROR(U2140/L2140,0)</x:f>
        <x:v>0.6726400000000001</x:v>
      </x:c>
    </x:row>
    <x:row r="2141">
      <x:c r="A2141" s="19" t="str">
        <x:v>SALE-02137</x:v>
      </x:c>
      <x:c r="B2141" s="34" t="n">
        <x:v>46214.5</x:v>
      </x:c>
      <x:c r="C2141" s="19" t="str">
        <x:v>周六</x:v>
      </x:c>
      <x:c r="D2141" s="19" t="str">
        <x:v>S08</x:v>
      </x:c>
      <x:c r="E2141" s="19" t="str">
        <x:v>四季青店</x:v>
      </x:c>
      <x:c r="F2141" s="19" t="str">
        <x:v>堂食</x:v>
      </x:c>
      <x:c r="G2141" s="19" t="str">
        <x:v>全日</x:v>
      </x:c>
      <x:c r="H2141" s="19" t="str">
        <x:v>D17</x:v>
      </x:c>
      <x:c r="I2141" s="19" t="str">
        <x:v>蒜蓉粉丝虾</x:v>
      </x:c>
      <x:c r="J2141" s="22" t="n">
        <x:f>XLOOKUP(H2141,'菜品主数据'!$A$5:$A$24,'菜品主数据'!$D$5:$D$24,0)</x:f>
        <x:v>36</x:v>
      </x:c>
      <x:c r="K2141" s="31" t="n">
        <x:v>3</x:v>
      </x:c>
      <x:c r="L2141" s="35" t="n">
        <x:f>J2141*K2141</x:f>
        <x:v>108</x:v>
      </x:c>
      <x:c r="M2141" s="36" t="n">
        <x:v>0</x:v>
      </x:c>
      <x:c r="N2141" s="35" t="n">
        <x:f>L2141*M2141</x:f>
        <x:v>0</x:v>
      </x:c>
      <x:c r="O2141" s="37" t="n">
        <x:v>0</x:v>
      </x:c>
      <x:c r="P2141" s="35" t="n">
        <x:f>L2141*O2141</x:f>
        <x:v>0</x:v>
      </x:c>
      <x:c r="Q2141" s="35" t="n">
        <x:v>0</x:v>
      </x:c>
      <x:c r="R2141" s="35" t="n">
        <x:f>K2141*Q2141</x:f>
        <x:v>0</x:v>
      </x:c>
      <x:c r="S2141" s="35" t="n">
        <x:f>XLOOKUP(H2141,'菜品主数据'!$A$5:$A$24,'菜品主数据'!$G$5:$G$24,0)</x:f>
        <x:v>13.594</x:v>
      </x:c>
      <x:c r="T2141" s="35" t="n">
        <x:f>K2141*S2141</x:f>
        <x:v>40.782</x:v>
      </x:c>
      <x:c r="U2141" s="35" t="n">
        <x:f>L2141-N2141-P2141-R2141-T2141</x:f>
        <x:v>67.218</x:v>
      </x:c>
      <x:c r="V2141" s="21" t="n">
        <x:f>IFERROR(U2141/L2141,0)</x:f>
        <x:v>0.6223888888888889</x:v>
      </x:c>
    </x:row>
    <x:row r="2142">
      <x:c r="A2142" s="19" t="str">
        <x:v>SALE-02138</x:v>
      </x:c>
      <x:c r="B2142" s="34" t="n">
        <x:v>46214.5</x:v>
      </x:c>
      <x:c r="C2142" s="19" t="str">
        <x:v>周六</x:v>
      </x:c>
      <x:c r="D2142" s="19" t="str">
        <x:v>S08</x:v>
      </x:c>
      <x:c r="E2142" s="19" t="str">
        <x:v>四季青店</x:v>
      </x:c>
      <x:c r="F2142" s="19" t="str">
        <x:v>堂食</x:v>
      </x:c>
      <x:c r="G2142" s="19" t="str">
        <x:v>全日</x:v>
      </x:c>
      <x:c r="H2142" s="19" t="str">
        <x:v>D18</x:v>
      </x:c>
      <x:c r="I2142" s="19" t="str">
        <x:v>青椒炒油麦菜</x:v>
      </x:c>
      <x:c r="J2142" s="22" t="n">
        <x:f>XLOOKUP(H2142,'菜品主数据'!$A$5:$A$24,'菜品主数据'!$D$5:$D$24,0)</x:f>
        <x:v>18</x:v>
      </x:c>
      <x:c r="K2142" s="31" t="n">
        <x:v>5</x:v>
      </x:c>
      <x:c r="L2142" s="35" t="n">
        <x:f>J2142*K2142</x:f>
        <x:v>90</x:v>
      </x:c>
      <x:c r="M2142" s="36" t="n">
        <x:v>0</x:v>
      </x:c>
      <x:c r="N2142" s="35" t="n">
        <x:f>L2142*M2142</x:f>
        <x:v>0</x:v>
      </x:c>
      <x:c r="O2142" s="37" t="n">
        <x:v>0</x:v>
      </x:c>
      <x:c r="P2142" s="35" t="n">
        <x:f>L2142*O2142</x:f>
        <x:v>0</x:v>
      </x:c>
      <x:c r="Q2142" s="35" t="n">
        <x:v>0</x:v>
      </x:c>
      <x:c r="R2142" s="35" t="n">
        <x:f>K2142*Q2142</x:f>
        <x:v>0</x:v>
      </x:c>
      <x:c r="S2142" s="35" t="n">
        <x:f>XLOOKUP(H2142,'菜品主数据'!$A$5:$A$24,'菜品主数据'!$G$5:$G$24,0)</x:f>
        <x:v>3.1759999999999993</x:v>
      </x:c>
      <x:c r="T2142" s="35" t="n">
        <x:f>K2142*S2142</x:f>
        <x:v>15.879999999999995</x:v>
      </x:c>
      <x:c r="U2142" s="35" t="n">
        <x:f>L2142-N2142-P2142-R2142-T2142</x:f>
        <x:v>74.12</x:v>
      </x:c>
      <x:c r="V2142" s="21" t="n">
        <x:f>IFERROR(U2142/L2142,0)</x:f>
        <x:v>0.8235555555555556</x:v>
      </x:c>
    </x:row>
    <x:row r="2143">
      <x:c r="A2143" s="19" t="str">
        <x:v>SALE-02139</x:v>
      </x:c>
      <x:c r="B2143" s="34" t="n">
        <x:v>46214.5</x:v>
      </x:c>
      <x:c r="C2143" s="19" t="str">
        <x:v>周六</x:v>
      </x:c>
      <x:c r="D2143" s="19" t="str">
        <x:v>S08</x:v>
      </x:c>
      <x:c r="E2143" s="19" t="str">
        <x:v>四季青店</x:v>
      </x:c>
      <x:c r="F2143" s="19" t="str">
        <x:v>堂食</x:v>
      </x:c>
      <x:c r="G2143" s="19" t="str">
        <x:v>全日</x:v>
      </x:c>
      <x:c r="H2143" s="19" t="str">
        <x:v>D19</x:v>
      </x:c>
      <x:c r="I2143" s="19" t="str">
        <x:v>酸萝卜炒鸡杂</x:v>
      </x:c>
      <x:c r="J2143" s="22" t="n">
        <x:f>XLOOKUP(H2143,'菜品主数据'!$A$5:$A$24,'菜品主数据'!$D$5:$D$24,0)</x:f>
        <x:v>25</x:v>
      </x:c>
      <x:c r="K2143" s="31" t="n">
        <x:v>4</x:v>
      </x:c>
      <x:c r="L2143" s="35" t="n">
        <x:f>J2143*K2143</x:f>
        <x:v>100</x:v>
      </x:c>
      <x:c r="M2143" s="36" t="n">
        <x:v>0</x:v>
      </x:c>
      <x:c r="N2143" s="35" t="n">
        <x:f>L2143*M2143</x:f>
        <x:v>0</x:v>
      </x:c>
      <x:c r="O2143" s="37" t="n">
        <x:v>0</x:v>
      </x:c>
      <x:c r="P2143" s="35" t="n">
        <x:f>L2143*O2143</x:f>
        <x:v>0</x:v>
      </x:c>
      <x:c r="Q2143" s="35" t="n">
        <x:v>0</x:v>
      </x:c>
      <x:c r="R2143" s="35" t="n">
        <x:f>K2143*Q2143</x:f>
        <x:v>0</x:v>
      </x:c>
      <x:c r="S2143" s="35" t="n">
        <x:f>XLOOKUP(H2143,'菜品主数据'!$A$5:$A$24,'菜品主数据'!$G$5:$G$24,0)</x:f>
        <x:v>7.9399999999999995</x:v>
      </x:c>
      <x:c r="T2143" s="35" t="n">
        <x:f>K2143*S2143</x:f>
        <x:v>31.759999999999998</x:v>
      </x:c>
      <x:c r="U2143" s="35" t="n">
        <x:f>L2143-N2143-P2143-R2143-T2143</x:f>
        <x:v>68.24000000000001</x:v>
      </x:c>
      <x:c r="V2143" s="21" t="n">
        <x:f>IFERROR(U2143/L2143,0)</x:f>
        <x:v>0.6824000000000001</x:v>
      </x:c>
    </x:row>
    <x:row r="2144">
      <x:c r="A2144" s="19" t="str">
        <x:v>SALE-02140</x:v>
      </x:c>
      <x:c r="B2144" s="34" t="n">
        <x:v>46214.5</x:v>
      </x:c>
      <x:c r="C2144" s="19" t="str">
        <x:v>周六</x:v>
      </x:c>
      <x:c r="D2144" s="19" t="str">
        <x:v>S08</x:v>
      </x:c>
      <x:c r="E2144" s="19" t="str">
        <x:v>四季青店</x:v>
      </x:c>
      <x:c r="F2144" s="19" t="str">
        <x:v>堂食</x:v>
      </x:c>
      <x:c r="G2144" s="19" t="str">
        <x:v>全日</x:v>
      </x:c>
      <x:c r="H2144" s="19" t="str">
        <x:v>D20</x:v>
      </x:c>
      <x:c r="I2144" s="19" t="str">
        <x:v>雪菜肉末青豆</x:v>
      </x:c>
      <x:c r="J2144" s="22" t="n">
        <x:f>XLOOKUP(H2144,'菜品主数据'!$A$5:$A$24,'菜品主数据'!$D$5:$D$24,0)</x:f>
        <x:v>18</x:v>
      </x:c>
      <x:c r="K2144" s="31" t="n">
        <x:v>5</x:v>
      </x:c>
      <x:c r="L2144" s="35" t="n">
        <x:f>J2144*K2144</x:f>
        <x:v>90</x:v>
      </x:c>
      <x:c r="M2144" s="36" t="n">
        <x:v>0</x:v>
      </x:c>
      <x:c r="N2144" s="35" t="n">
        <x:f>L2144*M2144</x:f>
        <x:v>0</x:v>
      </x:c>
      <x:c r="O2144" s="37" t="n">
        <x:v>0</x:v>
      </x:c>
      <x:c r="P2144" s="35" t="n">
        <x:f>L2144*O2144</x:f>
        <x:v>0</x:v>
      </x:c>
      <x:c r="Q2144" s="35" t="n">
        <x:v>0</x:v>
      </x:c>
      <x:c r="R2144" s="35" t="n">
        <x:f>K2144*Q2144</x:f>
        <x:v>0</x:v>
      </x:c>
      <x:c r="S2144" s="35" t="n">
        <x:f>XLOOKUP(H2144,'菜品主数据'!$A$5:$A$24,'菜品主数据'!$G$5:$G$24,0)</x:f>
        <x:v>7.303999999999999</x:v>
      </x:c>
      <x:c r="T2144" s="35" t="n">
        <x:f>K2144*S2144</x:f>
        <x:v>36.519999999999996</x:v>
      </x:c>
      <x:c r="U2144" s="35" t="n">
        <x:f>L2144-N2144-P2144-R2144-T2144</x:f>
        <x:v>53.480000000000004</x:v>
      </x:c>
      <x:c r="V2144" s="21" t="n">
        <x:f>IFERROR(U2144/L2144,0)</x:f>
        <x:v>0.5942222222222223</x:v>
      </x:c>
    </x:row>
    <x:row r="2145">
      <x:c r="A2145" s="19" t="str">
        <x:v>SALE-02141</x:v>
      </x:c>
      <x:c r="B2145" s="34" t="n">
        <x:v>46214.5</x:v>
      </x:c>
      <x:c r="C2145" s="19" t="str">
        <x:v>周六</x:v>
      </x:c>
      <x:c r="D2145" s="19" t="str">
        <x:v>S08</x:v>
      </x:c>
      <x:c r="E2145" s="19" t="str">
        <x:v>四季青店</x:v>
      </x:c>
      <x:c r="F2145" s="19" t="str">
        <x:v>外卖</x:v>
      </x:c>
      <x:c r="G2145" s="19" t="str">
        <x:v>全日</x:v>
      </x:c>
      <x:c r="H2145" s="19" t="str">
        <x:v>D01</x:v>
      </x:c>
      <x:c r="I2145" s="19" t="str">
        <x:v>辣椒炒肉</x:v>
      </x:c>
      <x:c r="J2145" s="22" t="n">
        <x:f>XLOOKUP(H2145,'菜品主数据'!$A$5:$A$24,'菜品主数据'!$D$5:$D$24,0)</x:f>
        <x:v>29</x:v>
      </x:c>
      <x:c r="K2145" s="31" t="n">
        <x:v>3</x:v>
      </x:c>
      <x:c r="L2145" s="35" t="n">
        <x:f>J2145*K2145</x:f>
        <x:v>87</x:v>
      </x:c>
      <x:c r="M2145" s="36" t="n">
        <x:v>0.08</x:v>
      </x:c>
      <x:c r="N2145" s="35" t="n">
        <x:f>L2145*M2145</x:f>
        <x:v>6.96</x:v>
      </x:c>
      <x:c r="O2145" s="37" t="n">
        <x:v>0.18</x:v>
      </x:c>
      <x:c r="P2145" s="35" t="n">
        <x:f>L2145*O2145</x:f>
        <x:v>15.66</x:v>
      </x:c>
      <x:c r="Q2145" s="35" t="n">
        <x:v>1.2</x:v>
      </x:c>
      <x:c r="R2145" s="35" t="n">
        <x:f>K2145*Q2145</x:f>
        <x:v>3.5999999999999996</x:v>
      </x:c>
      <x:c r="S2145" s="35" t="n">
        <x:f>XLOOKUP(H2145,'菜品主数据'!$A$5:$A$24,'菜品主数据'!$G$5:$G$24,0)</x:f>
        <x:v>8.634400000000001</x:v>
      </x:c>
      <x:c r="T2145" s="35" t="n">
        <x:f>K2145*S2145</x:f>
        <x:v>25.903200000000005</x:v>
      </x:c>
      <x:c r="U2145" s="35" t="n">
        <x:f>L2145-N2145-P2145-R2145-T2145</x:f>
        <x:v>34.8768</x:v>
      </x:c>
      <x:c r="V2145" s="21" t="n">
        <x:f>IFERROR(U2145/L2145,0)</x:f>
        <x:v>0.40088275862068967</x:v>
      </x:c>
    </x:row>
    <x:row r="2146">
      <x:c r="A2146" s="19" t="str">
        <x:v>SALE-02142</x:v>
      </x:c>
      <x:c r="B2146" s="34" t="n">
        <x:v>46214.5</x:v>
      </x:c>
      <x:c r="C2146" s="19" t="str">
        <x:v>周六</x:v>
      </x:c>
      <x:c r="D2146" s="19" t="str">
        <x:v>S08</x:v>
      </x:c>
      <x:c r="E2146" s="19" t="str">
        <x:v>四季青店</x:v>
      </x:c>
      <x:c r="F2146" s="19" t="str">
        <x:v>外卖</x:v>
      </x:c>
      <x:c r="G2146" s="19" t="str">
        <x:v>全日</x:v>
      </x:c>
      <x:c r="H2146" s="19" t="str">
        <x:v>D02</x:v>
      </x:c>
      <x:c r="I2146" s="19" t="str">
        <x:v>小炒黄牛肉</x:v>
      </x:c>
      <x:c r="J2146" s="22" t="n">
        <x:f>XLOOKUP(H2146,'菜品主数据'!$A$5:$A$24,'菜品主数据'!$D$5:$D$24,0)</x:f>
        <x:v>49</x:v>
      </x:c>
      <x:c r="K2146" s="31" t="n">
        <x:v>6</x:v>
      </x:c>
      <x:c r="L2146" s="35" t="n">
        <x:f>J2146*K2146</x:f>
        <x:v>294</x:v>
      </x:c>
      <x:c r="M2146" s="36" t="n">
        <x:v>0.08</x:v>
      </x:c>
      <x:c r="N2146" s="35" t="n">
        <x:f>L2146*M2146</x:f>
        <x:v>23.52</x:v>
      </x:c>
      <x:c r="O2146" s="37" t="n">
        <x:v>0.18</x:v>
      </x:c>
      <x:c r="P2146" s="35" t="n">
        <x:f>L2146*O2146</x:f>
        <x:v>52.919999999999995</x:v>
      </x:c>
      <x:c r="Q2146" s="35" t="n">
        <x:v>1.2</x:v>
      </x:c>
      <x:c r="R2146" s="35" t="n">
        <x:f>K2146*Q2146</x:f>
        <x:v>7.199999999999999</x:v>
      </x:c>
      <x:c r="S2146" s="35" t="n">
        <x:f>XLOOKUP(H2146,'菜品主数据'!$A$5:$A$24,'菜品主数据'!$G$5:$G$24,0)</x:f>
        <x:v>17.577</x:v>
      </x:c>
      <x:c r="T2146" s="35" t="n">
        <x:f>K2146*S2146</x:f>
        <x:v>105.46200000000002</x:v>
      </x:c>
      <x:c r="U2146" s="35" t="n">
        <x:f>L2146-N2146-P2146-R2146-T2146</x:f>
        <x:v>104.89800000000002</x:v>
      </x:c>
      <x:c r="V2146" s="21" t="n">
        <x:f>IFERROR(U2146/L2146,0)</x:f>
        <x:v>0.35679591836734703</x:v>
      </x:c>
    </x:row>
    <x:row r="2147">
      <x:c r="A2147" s="19" t="str">
        <x:v>SALE-02143</x:v>
      </x:c>
      <x:c r="B2147" s="34" t="n">
        <x:v>46214.5</x:v>
      </x:c>
      <x:c r="C2147" s="19" t="str">
        <x:v>周六</x:v>
      </x:c>
      <x:c r="D2147" s="19" t="str">
        <x:v>S08</x:v>
      </x:c>
      <x:c r="E2147" s="19" t="str">
        <x:v>四季青店</x:v>
      </x:c>
      <x:c r="F2147" s="19" t="str">
        <x:v>外卖</x:v>
      </x:c>
      <x:c r="G2147" s="19" t="str">
        <x:v>全日</x:v>
      </x:c>
      <x:c r="H2147" s="19" t="str">
        <x:v>D03</x:v>
      </x:c>
      <x:c r="I2147" s="19" t="str">
        <x:v>香醋炒蛋</x:v>
      </x:c>
      <x:c r="J2147" s="22" t="n">
        <x:f>XLOOKUP(H2147,'菜品主数据'!$A$5:$A$24,'菜品主数据'!$D$5:$D$24,0)</x:f>
        <x:v>14.9</x:v>
      </x:c>
      <x:c r="K2147" s="31" t="n">
        <x:v>2</x:v>
      </x:c>
      <x:c r="L2147" s="35" t="n">
        <x:f>J2147*K2147</x:f>
        <x:v>29.8</x:v>
      </x:c>
      <x:c r="M2147" s="36" t="n">
        <x:v>0.08</x:v>
      </x:c>
      <x:c r="N2147" s="35" t="n">
        <x:f>L2147*M2147</x:f>
        <x:v>2.384</x:v>
      </x:c>
      <x:c r="O2147" s="37" t="n">
        <x:v>0.18</x:v>
      </x:c>
      <x:c r="P2147" s="35" t="n">
        <x:f>L2147*O2147</x:f>
        <x:v>5.364</x:v>
      </x:c>
      <x:c r="Q2147" s="35" t="n">
        <x:v>1.2</x:v>
      </x:c>
      <x:c r="R2147" s="35" t="n">
        <x:f>K2147*Q2147</x:f>
        <x:v>2.4</x:v>
      </x:c>
      <x:c r="S2147" s="35" t="n">
        <x:f>XLOOKUP(H2147,'菜品主数据'!$A$5:$A$24,'菜品主数据'!$G$5:$G$24,0)</x:f>
        <x:v>3.7459999999999996</x:v>
      </x:c>
      <x:c r="T2147" s="35" t="n">
        <x:f>K2147*S2147</x:f>
        <x:v>7.491999999999999</x:v>
      </x:c>
      <x:c r="U2147" s="35" t="n">
        <x:f>L2147-N2147-P2147-R2147-T2147</x:f>
        <x:v>12.160000000000002</x:v>
      </x:c>
      <x:c r="V2147" s="21" t="n">
        <x:f>IFERROR(U2147/L2147,0)</x:f>
        <x:v>0.40805369127516783</x:v>
      </x:c>
    </x:row>
    <x:row r="2148">
      <x:c r="A2148" s="19" t="str">
        <x:v>SALE-02144</x:v>
      </x:c>
      <x:c r="B2148" s="34" t="n">
        <x:v>46214.5</x:v>
      </x:c>
      <x:c r="C2148" s="19" t="str">
        <x:v>周六</x:v>
      </x:c>
      <x:c r="D2148" s="19" t="str">
        <x:v>S08</x:v>
      </x:c>
      <x:c r="E2148" s="19" t="str">
        <x:v>四季青店</x:v>
      </x:c>
      <x:c r="F2148" s="19" t="str">
        <x:v>外卖</x:v>
      </x:c>
      <x:c r="G2148" s="19" t="str">
        <x:v>全日</x:v>
      </x:c>
      <x:c r="H2148" s="19" t="str">
        <x:v>D04</x:v>
      </x:c>
      <x:c r="I2148" s="19" t="str">
        <x:v>酸包菜炒粉皮</x:v>
      </x:c>
      <x:c r="J2148" s="22" t="n">
        <x:f>XLOOKUP(H2148,'菜品主数据'!$A$5:$A$24,'菜品主数据'!$D$5:$D$24,0)</x:f>
        <x:v>16</x:v>
      </x:c>
      <x:c r="K2148" s="31" t="n">
        <x:v>2</x:v>
      </x:c>
      <x:c r="L2148" s="35" t="n">
        <x:f>J2148*K2148</x:f>
        <x:v>32</x:v>
      </x:c>
      <x:c r="M2148" s="36" t="n">
        <x:v>0.08</x:v>
      </x:c>
      <x:c r="N2148" s="35" t="n">
        <x:f>L2148*M2148</x:f>
        <x:v>2.56</x:v>
      </x:c>
      <x:c r="O2148" s="37" t="n">
        <x:v>0.18</x:v>
      </x:c>
      <x:c r="P2148" s="35" t="n">
        <x:f>L2148*O2148</x:f>
        <x:v>5.76</x:v>
      </x:c>
      <x:c r="Q2148" s="35" t="n">
        <x:v>1.2</x:v>
      </x:c>
      <x:c r="R2148" s="35" t="n">
        <x:f>K2148*Q2148</x:f>
        <x:v>2.4</x:v>
      </x:c>
      <x:c r="S2148" s="35" t="n">
        <x:f>XLOOKUP(H2148,'菜品主数据'!$A$5:$A$24,'菜品主数据'!$G$5:$G$24,0)</x:f>
        <x:v>3.978</x:v>
      </x:c>
      <x:c r="T2148" s="35" t="n">
        <x:f>K2148*S2148</x:f>
        <x:v>7.956</x:v>
      </x:c>
      <x:c r="U2148" s="35" t="n">
        <x:f>L2148-N2148-P2148-R2148-T2148</x:f>
        <x:v>13.324000000000002</x:v>
      </x:c>
      <x:c r="V2148" s="21" t="n">
        <x:f>IFERROR(U2148/L2148,0)</x:f>
        <x:v>0.41637500000000005</x:v>
      </x:c>
    </x:row>
    <x:row r="2149">
      <x:c r="A2149" s="19" t="str">
        <x:v>SALE-02145</x:v>
      </x:c>
      <x:c r="B2149" s="34" t="n">
        <x:v>46214.5</x:v>
      </x:c>
      <x:c r="C2149" s="19" t="str">
        <x:v>周六</x:v>
      </x:c>
      <x:c r="D2149" s="19" t="str">
        <x:v>S08</x:v>
      </x:c>
      <x:c r="E2149" s="19" t="str">
        <x:v>四季青店</x:v>
      </x:c>
      <x:c r="F2149" s="19" t="str">
        <x:v>外卖</x:v>
      </x:c>
      <x:c r="G2149" s="19" t="str">
        <x:v>全日</x:v>
      </x:c>
      <x:c r="H2149" s="19" t="str">
        <x:v>D05</x:v>
      </x:c>
      <x:c r="I2149" s="19" t="str">
        <x:v>麻婆豆腐</x:v>
      </x:c>
      <x:c r="J2149" s="22" t="n">
        <x:f>XLOOKUP(H2149,'菜品主数据'!$A$5:$A$24,'菜品主数据'!$D$5:$D$24,0)</x:f>
        <x:v>9.9</x:v>
      </x:c>
      <x:c r="K2149" s="31" t="n">
        <x:v>3</x:v>
      </x:c>
      <x:c r="L2149" s="35" t="n">
        <x:f>J2149*K2149</x:f>
        <x:v>29.700000000000003</x:v>
      </x:c>
      <x:c r="M2149" s="36" t="n">
        <x:v>0.08</x:v>
      </x:c>
      <x:c r="N2149" s="35" t="n">
        <x:f>L2149*M2149</x:f>
        <x:v>2.3760000000000003</x:v>
      </x:c>
      <x:c r="O2149" s="37" t="n">
        <x:v>0.18</x:v>
      </x:c>
      <x:c r="P2149" s="35" t="n">
        <x:f>L2149*O2149</x:f>
        <x:v>5.346</x:v>
      </x:c>
      <x:c r="Q2149" s="35" t="n">
        <x:v>1.2</x:v>
      </x:c>
      <x:c r="R2149" s="35" t="n">
        <x:f>K2149*Q2149</x:f>
        <x:v>3.5999999999999996</x:v>
      </x:c>
      <x:c r="S2149" s="35" t="n">
        <x:f>XLOOKUP(H2149,'菜品主数据'!$A$5:$A$24,'菜品主数据'!$G$5:$G$24,0)</x:f>
        <x:v>5.367000000000001</x:v>
      </x:c>
      <x:c r="T2149" s="35" t="n">
        <x:f>K2149*S2149</x:f>
        <x:v>16.101000000000003</x:v>
      </x:c>
      <x:c r="U2149" s="35" t="n">
        <x:f>L2149-N2149-P2149-R2149-T2149</x:f>
        <x:v>2.2769999999999975</x:v>
      </x:c>
      <x:c r="V2149" s="21" t="n">
        <x:f>IFERROR(U2149/L2149,0)</x:f>
        <x:v>0.07666666666666658</x:v>
      </x:c>
    </x:row>
    <x:row r="2150">
      <x:c r="A2150" s="19" t="str">
        <x:v>SALE-02146</x:v>
      </x:c>
      <x:c r="B2150" s="34" t="n">
        <x:v>46214.5</x:v>
      </x:c>
      <x:c r="C2150" s="19" t="str">
        <x:v>周六</x:v>
      </x:c>
      <x:c r="D2150" s="19" t="str">
        <x:v>S08</x:v>
      </x:c>
      <x:c r="E2150" s="19" t="str">
        <x:v>四季青店</x:v>
      </x:c>
      <x:c r="F2150" s="19" t="str">
        <x:v>外卖</x:v>
      </x:c>
      <x:c r="G2150" s="19" t="str">
        <x:v>全日</x:v>
      </x:c>
      <x:c r="H2150" s="19" t="str">
        <x:v>D06</x:v>
      </x:c>
      <x:c r="I2150" s="19" t="str">
        <x:v>剁椒鱼头</x:v>
      </x:c>
      <x:c r="J2150" s="22" t="n">
        <x:f>XLOOKUP(H2150,'菜品主数据'!$A$5:$A$24,'菜品主数据'!$D$5:$D$24,0)</x:f>
        <x:v>39</x:v>
      </x:c>
      <x:c r="K2150" s="31" t="n">
        <x:v>0</x:v>
      </x:c>
      <x:c r="L2150" s="35" t="n">
        <x:f>J2150*K2150</x:f>
        <x:v>0</x:v>
      </x:c>
      <x:c r="M2150" s="36" t="n">
        <x:v>0.08</x:v>
      </x:c>
      <x:c r="N2150" s="35" t="n">
        <x:f>L2150*M2150</x:f>
        <x:v>0</x:v>
      </x:c>
      <x:c r="O2150" s="37" t="n">
        <x:v>0.18</x:v>
      </x:c>
      <x:c r="P2150" s="35" t="n">
        <x:f>L2150*O2150</x:f>
        <x:v>0</x:v>
      </x:c>
      <x:c r="Q2150" s="35" t="n">
        <x:v>1.2</x:v>
      </x:c>
      <x:c r="R2150" s="35" t="n">
        <x:f>K2150*Q2150</x:f>
        <x:v>0</x:v>
      </x:c>
      <x:c r="S2150" s="35" t="n">
        <x:f>XLOOKUP(H2150,'菜品主数据'!$A$5:$A$24,'菜品主数据'!$G$5:$G$24,0)</x:f>
        <x:v>17.446</x:v>
      </x:c>
      <x:c r="T2150" s="35" t="n">
        <x:f>K2150*S2150</x:f>
        <x:v>0</x:v>
      </x:c>
      <x:c r="U2150" s="35" t="n">
        <x:f>L2150-N2150-P2150-R2150-T2150</x:f>
        <x:v>0</x:v>
      </x:c>
      <x:c r="V2150" s="21" t="n">
        <x:f>IFERROR(U2150/L2150,0)</x:f>
        <x:v>0</x:v>
      </x:c>
    </x:row>
    <x:row r="2151">
      <x:c r="A2151" s="19" t="str">
        <x:v>SALE-02147</x:v>
      </x:c>
      <x:c r="B2151" s="34" t="n">
        <x:v>46214.5</x:v>
      </x:c>
      <x:c r="C2151" s="19" t="str">
        <x:v>周六</x:v>
      </x:c>
      <x:c r="D2151" s="19" t="str">
        <x:v>S08</x:v>
      </x:c>
      <x:c r="E2151" s="19" t="str">
        <x:v>四季青店</x:v>
      </x:c>
      <x:c r="F2151" s="19" t="str">
        <x:v>外卖</x:v>
      </x:c>
      <x:c r="G2151" s="19" t="str">
        <x:v>全日</x:v>
      </x:c>
      <x:c r="H2151" s="19" t="str">
        <x:v>D07</x:v>
      </x:c>
      <x:c r="I2151" s="19" t="str">
        <x:v>川味回锅肉</x:v>
      </x:c>
      <x:c r="J2151" s="22" t="n">
        <x:f>XLOOKUP(H2151,'菜品主数据'!$A$5:$A$24,'菜品主数据'!$D$5:$D$24,0)</x:f>
        <x:v>29</x:v>
      </x:c>
      <x:c r="K2151" s="31" t="n">
        <x:v>1</x:v>
      </x:c>
      <x:c r="L2151" s="35" t="n">
        <x:f>J2151*K2151</x:f>
        <x:v>29</x:v>
      </x:c>
      <x:c r="M2151" s="36" t="n">
        <x:v>0.08</x:v>
      </x:c>
      <x:c r="N2151" s="35" t="n">
        <x:f>L2151*M2151</x:f>
        <x:v>2.32</x:v>
      </x:c>
      <x:c r="O2151" s="37" t="n">
        <x:v>0.18</x:v>
      </x:c>
      <x:c r="P2151" s="35" t="n">
        <x:f>L2151*O2151</x:f>
        <x:v>5.22</x:v>
      </x:c>
      <x:c r="Q2151" s="35" t="n">
        <x:v>1.2</x:v>
      </x:c>
      <x:c r="R2151" s="35" t="n">
        <x:f>K2151*Q2151</x:f>
        <x:v>1.2</x:v>
      </x:c>
      <x:c r="S2151" s="35" t="n">
        <x:f>XLOOKUP(H2151,'菜品主数据'!$A$5:$A$24,'菜品主数据'!$G$5:$G$24,0)</x:f>
        <x:v>10.231000000000002</x:v>
      </x:c>
      <x:c r="T2151" s="35" t="n">
        <x:f>K2151*S2151</x:f>
        <x:v>10.231000000000002</x:v>
      </x:c>
      <x:c r="U2151" s="35" t="n">
        <x:f>L2151-N2151-P2151-R2151-T2151</x:f>
        <x:v>10.029</x:v>
      </x:c>
      <x:c r="V2151" s="21" t="n">
        <x:f>IFERROR(U2151/L2151,0)</x:f>
        <x:v>0.3458275862068966</x:v>
      </x:c>
    </x:row>
    <x:row r="2152">
      <x:c r="A2152" s="19" t="str">
        <x:v>SALE-02148</x:v>
      </x:c>
      <x:c r="B2152" s="34" t="n">
        <x:v>46214.5</x:v>
      </x:c>
      <x:c r="C2152" s="19" t="str">
        <x:v>周六</x:v>
      </x:c>
      <x:c r="D2152" s="19" t="str">
        <x:v>S08</x:v>
      </x:c>
      <x:c r="E2152" s="19" t="str">
        <x:v>四季青店</x:v>
      </x:c>
      <x:c r="F2152" s="19" t="str">
        <x:v>外卖</x:v>
      </x:c>
      <x:c r="G2152" s="19" t="str">
        <x:v>全日</x:v>
      </x:c>
      <x:c r="H2152" s="19" t="str">
        <x:v>D08</x:v>
      </x:c>
      <x:c r="I2152" s="19" t="str">
        <x:v>生炒清远鸡</x:v>
      </x:c>
      <x:c r="J2152" s="22" t="n">
        <x:f>XLOOKUP(H2152,'菜品主数据'!$A$5:$A$24,'菜品主数据'!$D$5:$D$24,0)</x:f>
        <x:v>36</x:v>
      </x:c>
      <x:c r="K2152" s="31" t="n">
        <x:v>0</x:v>
      </x:c>
      <x:c r="L2152" s="35" t="n">
        <x:f>J2152*K2152</x:f>
        <x:v>0</x:v>
      </x:c>
      <x:c r="M2152" s="36" t="n">
        <x:v>0.08</x:v>
      </x:c>
      <x:c r="N2152" s="35" t="n">
        <x:f>L2152*M2152</x:f>
        <x:v>0</x:v>
      </x:c>
      <x:c r="O2152" s="37" t="n">
        <x:v>0.18</x:v>
      </x:c>
      <x:c r="P2152" s="35" t="n">
        <x:f>L2152*O2152</x:f>
        <x:v>0</x:v>
      </x:c>
      <x:c r="Q2152" s="35" t="n">
        <x:v>1.2</x:v>
      </x:c>
      <x:c r="R2152" s="35" t="n">
        <x:f>K2152*Q2152</x:f>
        <x:v>0</x:v>
      </x:c>
      <x:c r="S2152" s="35" t="n">
        <x:f>XLOOKUP(H2152,'菜品主数据'!$A$5:$A$24,'菜品主数据'!$G$5:$G$24,0)</x:f>
        <x:v>13.48</x:v>
      </x:c>
      <x:c r="T2152" s="35" t="n">
        <x:f>K2152*S2152</x:f>
        <x:v>0</x:v>
      </x:c>
      <x:c r="U2152" s="35" t="n">
        <x:f>L2152-N2152-P2152-R2152-T2152</x:f>
        <x:v>0</x:v>
      </x:c>
      <x:c r="V2152" s="21" t="n">
        <x:f>IFERROR(U2152/L2152,0)</x:f>
        <x:v>0</x:v>
      </x:c>
    </x:row>
    <x:row r="2153">
      <x:c r="A2153" s="19" t="str">
        <x:v>SALE-02149</x:v>
      </x:c>
      <x:c r="B2153" s="34" t="n">
        <x:v>46214.5</x:v>
      </x:c>
      <x:c r="C2153" s="19" t="str">
        <x:v>周六</x:v>
      </x:c>
      <x:c r="D2153" s="19" t="str">
        <x:v>S08</x:v>
      </x:c>
      <x:c r="E2153" s="19" t="str">
        <x:v>四季青店</x:v>
      </x:c>
      <x:c r="F2153" s="19" t="str">
        <x:v>外卖</x:v>
      </x:c>
      <x:c r="G2153" s="19" t="str">
        <x:v>全日</x:v>
      </x:c>
      <x:c r="H2153" s="19" t="str">
        <x:v>D09</x:v>
      </x:c>
      <x:c r="I2153" s="19" t="str">
        <x:v>炒豆干</x:v>
      </x:c>
      <x:c r="J2153" s="22" t="n">
        <x:f>XLOOKUP(H2153,'菜品主数据'!$A$5:$A$24,'菜品主数据'!$D$5:$D$24,0)</x:f>
        <x:v>18</x:v>
      </x:c>
      <x:c r="K2153" s="31" t="n">
        <x:v>2</x:v>
      </x:c>
      <x:c r="L2153" s="35" t="n">
        <x:f>J2153*K2153</x:f>
        <x:v>36</x:v>
      </x:c>
      <x:c r="M2153" s="36" t="n">
        <x:v>0.08</x:v>
      </x:c>
      <x:c r="N2153" s="35" t="n">
        <x:f>L2153*M2153</x:f>
        <x:v>2.88</x:v>
      </x:c>
      <x:c r="O2153" s="37" t="n">
        <x:v>0.18</x:v>
      </x:c>
      <x:c r="P2153" s="35" t="n">
        <x:f>L2153*O2153</x:f>
        <x:v>6.4799999999999995</x:v>
      </x:c>
      <x:c r="Q2153" s="35" t="n">
        <x:v>1.2</x:v>
      </x:c>
      <x:c r="R2153" s="35" t="n">
        <x:f>K2153*Q2153</x:f>
        <x:v>2.4</x:v>
      </x:c>
      <x:c r="S2153" s="35" t="n">
        <x:f>XLOOKUP(H2153,'菜品主数据'!$A$5:$A$24,'菜品主数据'!$G$5:$G$24,0)</x:f>
        <x:v>6.613999999999999</x:v>
      </x:c>
      <x:c r="T2153" s="35" t="n">
        <x:f>K2153*S2153</x:f>
        <x:v>13.227999999999998</x:v>
      </x:c>
      <x:c r="U2153" s="35" t="n">
        <x:f>L2153-N2153-P2153-R2153-T2153</x:f>
        <x:v>11.012</x:v>
      </x:c>
      <x:c r="V2153" s="21" t="n">
        <x:f>IFERROR(U2153/L2153,0)</x:f>
        <x:v>0.3058888888888889</x:v>
      </x:c>
    </x:row>
    <x:row r="2154">
      <x:c r="A2154" s="19" t="str">
        <x:v>SALE-02150</x:v>
      </x:c>
      <x:c r="B2154" s="34" t="n">
        <x:v>46214.5</x:v>
      </x:c>
      <x:c r="C2154" s="19" t="str">
        <x:v>周六</x:v>
      </x:c>
      <x:c r="D2154" s="19" t="str">
        <x:v>S08</x:v>
      </x:c>
      <x:c r="E2154" s="19" t="str">
        <x:v>四季青店</x:v>
      </x:c>
      <x:c r="F2154" s="19" t="str">
        <x:v>外卖</x:v>
      </x:c>
      <x:c r="G2154" s="19" t="str">
        <x:v>全日</x:v>
      </x:c>
      <x:c r="H2154" s="19" t="str">
        <x:v>D10</x:v>
      </x:c>
      <x:c r="I2154" s="19" t="str">
        <x:v>农家一碗香</x:v>
      </x:c>
      <x:c r="J2154" s="22" t="n">
        <x:f>XLOOKUP(H2154,'菜品主数据'!$A$5:$A$24,'菜品主数据'!$D$5:$D$24,0)</x:f>
        <x:v>22.9</x:v>
      </x:c>
      <x:c r="K2154" s="31" t="n">
        <x:v>1</x:v>
      </x:c>
      <x:c r="L2154" s="35" t="n">
        <x:f>J2154*K2154</x:f>
        <x:v>22.9</x:v>
      </x:c>
      <x:c r="M2154" s="36" t="n">
        <x:v>0.08</x:v>
      </x:c>
      <x:c r="N2154" s="35" t="n">
        <x:f>L2154*M2154</x:f>
        <x:v>1.8319999999999999</x:v>
      </x:c>
      <x:c r="O2154" s="37" t="n">
        <x:v>0.18</x:v>
      </x:c>
      <x:c r="P2154" s="35" t="n">
        <x:f>L2154*O2154</x:f>
        <x:v>4.122</x:v>
      </x:c>
      <x:c r="Q2154" s="35" t="n">
        <x:v>1.2</x:v>
      </x:c>
      <x:c r="R2154" s="35" t="n">
        <x:f>K2154*Q2154</x:f>
        <x:v>1.2</x:v>
      </x:c>
      <x:c r="S2154" s="35" t="n">
        <x:f>XLOOKUP(H2154,'菜品主数据'!$A$5:$A$24,'菜品主数据'!$G$5:$G$24,0)</x:f>
        <x:v>9.770200000000003</x:v>
      </x:c>
      <x:c r="T2154" s="35" t="n">
        <x:f>K2154*S2154</x:f>
        <x:v>9.770200000000003</x:v>
      </x:c>
      <x:c r="U2154" s="35" t="n">
        <x:f>L2154-N2154-P2154-R2154-T2154</x:f>
        <x:v>5.975799999999996</x:v>
      </x:c>
      <x:c r="V2154" s="21" t="n">
        <x:f>IFERROR(U2154/L2154,0)</x:f>
        <x:v>0.260951965065502</x:v>
      </x:c>
    </x:row>
    <x:row r="2155">
      <x:c r="A2155" s="19" t="str">
        <x:v>SALE-02151</x:v>
      </x:c>
      <x:c r="B2155" s="34" t="n">
        <x:v>46214.5</x:v>
      </x:c>
      <x:c r="C2155" s="19" t="str">
        <x:v>周六</x:v>
      </x:c>
      <x:c r="D2155" s="19" t="str">
        <x:v>S08</x:v>
      </x:c>
      <x:c r="E2155" s="19" t="str">
        <x:v>四季青店</x:v>
      </x:c>
      <x:c r="F2155" s="19" t="str">
        <x:v>外卖</x:v>
      </x:c>
      <x:c r="G2155" s="19" t="str">
        <x:v>全日</x:v>
      </x:c>
      <x:c r="H2155" s="19" t="str">
        <x:v>D11</x:v>
      </x:c>
      <x:c r="I2155" s="19" t="str">
        <x:v>香辣爆肥肠</x:v>
      </x:c>
      <x:c r="J2155" s="22" t="n">
        <x:f>XLOOKUP(H2155,'菜品主数据'!$A$5:$A$24,'菜品主数据'!$D$5:$D$24,0)</x:f>
        <x:v>39</x:v>
      </x:c>
      <x:c r="K2155" s="31" t="n">
        <x:v>0</x:v>
      </x:c>
      <x:c r="L2155" s="35" t="n">
        <x:f>J2155*K2155</x:f>
        <x:v>0</x:v>
      </x:c>
      <x:c r="M2155" s="36" t="n">
        <x:v>0.08</x:v>
      </x:c>
      <x:c r="N2155" s="35" t="n">
        <x:f>L2155*M2155</x:f>
        <x:v>0</x:v>
      </x:c>
      <x:c r="O2155" s="37" t="n">
        <x:v>0.18</x:v>
      </x:c>
      <x:c r="P2155" s="35" t="n">
        <x:f>L2155*O2155</x:f>
        <x:v>0</x:v>
      </x:c>
      <x:c r="Q2155" s="35" t="n">
        <x:v>1.2</x:v>
      </x:c>
      <x:c r="R2155" s="35" t="n">
        <x:f>K2155*Q2155</x:f>
        <x:v>0</x:v>
      </x:c>
      <x:c r="S2155" s="35" t="n">
        <x:f>XLOOKUP(H2155,'菜品主数据'!$A$5:$A$24,'菜品主数据'!$G$5:$G$24,0)</x:f>
        <x:v>10.397</x:v>
      </x:c>
      <x:c r="T2155" s="35" t="n">
        <x:f>K2155*S2155</x:f>
        <x:v>0</x:v>
      </x:c>
      <x:c r="U2155" s="35" t="n">
        <x:f>L2155-N2155-P2155-R2155-T2155</x:f>
        <x:v>0</x:v>
      </x:c>
      <x:c r="V2155" s="21" t="n">
        <x:f>IFERROR(U2155/L2155,0)</x:f>
        <x:v>0</x:v>
      </x:c>
    </x:row>
    <x:row r="2156">
      <x:c r="A2156" s="19" t="str">
        <x:v>SALE-02152</x:v>
      </x:c>
      <x:c r="B2156" s="34" t="n">
        <x:v>46214.5</x:v>
      </x:c>
      <x:c r="C2156" s="19" t="str">
        <x:v>周六</x:v>
      </x:c>
      <x:c r="D2156" s="19" t="str">
        <x:v>S08</x:v>
      </x:c>
      <x:c r="E2156" s="19" t="str">
        <x:v>四季青店</x:v>
      </x:c>
      <x:c r="F2156" s="19" t="str">
        <x:v>外卖</x:v>
      </x:c>
      <x:c r="G2156" s="19" t="str">
        <x:v>全日</x:v>
      </x:c>
      <x:c r="H2156" s="19" t="str">
        <x:v>D12</x:v>
      </x:c>
      <x:c r="I2156" s="19" t="str">
        <x:v>清蒸鲈鱼</x:v>
      </x:c>
      <x:c r="J2156" s="22" t="n">
        <x:f>XLOOKUP(H2156,'菜品主数据'!$A$5:$A$24,'菜品主数据'!$D$5:$D$24,0)</x:f>
        <x:v>39</x:v>
      </x:c>
      <x:c r="K2156" s="31" t="n">
        <x:v>0</x:v>
      </x:c>
      <x:c r="L2156" s="35" t="n">
        <x:f>J2156*K2156</x:f>
        <x:v>0</x:v>
      </x:c>
      <x:c r="M2156" s="36" t="n">
        <x:v>0.08</x:v>
      </x:c>
      <x:c r="N2156" s="35" t="n">
        <x:f>L2156*M2156</x:f>
        <x:v>0</x:v>
      </x:c>
      <x:c r="O2156" s="37" t="n">
        <x:v>0.18</x:v>
      </x:c>
      <x:c r="P2156" s="35" t="n">
        <x:f>L2156*O2156</x:f>
        <x:v>0</x:v>
      </x:c>
      <x:c r="Q2156" s="35" t="n">
        <x:v>1.2</x:v>
      </x:c>
      <x:c r="R2156" s="35" t="n">
        <x:f>K2156*Q2156</x:f>
        <x:v>0</x:v>
      </x:c>
      <x:c r="S2156" s="35" t="n">
        <x:f>XLOOKUP(H2156,'菜品主数据'!$A$5:$A$24,'菜品主数据'!$G$5:$G$24,0)</x:f>
        <x:v>18.874</x:v>
      </x:c>
      <x:c r="T2156" s="35" t="n">
        <x:f>K2156*S2156</x:f>
        <x:v>0</x:v>
      </x:c>
      <x:c r="U2156" s="35" t="n">
        <x:f>L2156-N2156-P2156-R2156-T2156</x:f>
        <x:v>0</x:v>
      </x:c>
      <x:c r="V2156" s="21" t="n">
        <x:f>IFERROR(U2156/L2156,0)</x:f>
        <x:v>0</x:v>
      </x:c>
    </x:row>
    <x:row r="2157">
      <x:c r="A2157" s="19" t="str">
        <x:v>SALE-02153</x:v>
      </x:c>
      <x:c r="B2157" s="34" t="n">
        <x:v>46214.5</x:v>
      </x:c>
      <x:c r="C2157" s="19" t="str">
        <x:v>周六</x:v>
      </x:c>
      <x:c r="D2157" s="19" t="str">
        <x:v>S08</x:v>
      </x:c>
      <x:c r="E2157" s="19" t="str">
        <x:v>四季青店</x:v>
      </x:c>
      <x:c r="F2157" s="19" t="str">
        <x:v>外卖</x:v>
      </x:c>
      <x:c r="G2157" s="19" t="str">
        <x:v>全日</x:v>
      </x:c>
      <x:c r="H2157" s="19" t="str">
        <x:v>D13</x:v>
      </x:c>
      <x:c r="I2157" s="19" t="str">
        <x:v>外婆菜炒蛋</x:v>
      </x:c>
      <x:c r="J2157" s="22" t="n">
        <x:f>XLOOKUP(H2157,'菜品主数据'!$A$5:$A$24,'菜品主数据'!$D$5:$D$24,0)</x:f>
        <x:v>18</x:v>
      </x:c>
      <x:c r="K2157" s="31" t="n">
        <x:v>1</x:v>
      </x:c>
      <x:c r="L2157" s="35" t="n">
        <x:f>J2157*K2157</x:f>
        <x:v>18</x:v>
      </x:c>
      <x:c r="M2157" s="36" t="n">
        <x:v>0.08</x:v>
      </x:c>
      <x:c r="N2157" s="35" t="n">
        <x:f>L2157*M2157</x:f>
        <x:v>1.44</x:v>
      </x:c>
      <x:c r="O2157" s="37" t="n">
        <x:v>0.18</x:v>
      </x:c>
      <x:c r="P2157" s="35" t="n">
        <x:f>L2157*O2157</x:f>
        <x:v>3.2399999999999998</x:v>
      </x:c>
      <x:c r="Q2157" s="35" t="n">
        <x:v>1.2</x:v>
      </x:c>
      <x:c r="R2157" s="35" t="n">
        <x:f>K2157*Q2157</x:f>
        <x:v>1.2</x:v>
      </x:c>
      <x:c r="S2157" s="35" t="n">
        <x:f>XLOOKUP(H2157,'菜品主数据'!$A$5:$A$24,'菜品主数据'!$G$5:$G$24,0)</x:f>
        <x:v>5.403999999999999</x:v>
      </x:c>
      <x:c r="T2157" s="35" t="n">
        <x:f>K2157*S2157</x:f>
        <x:v>5.403999999999999</x:v>
      </x:c>
      <x:c r="U2157" s="35" t="n">
        <x:f>L2157-N2157-P2157-R2157-T2157</x:f>
        <x:v>6.716</x:v>
      </x:c>
      <x:c r="V2157" s="21" t="n">
        <x:f>IFERROR(U2157/L2157,0)</x:f>
        <x:v>0.3731111111111111</x:v>
      </x:c>
    </x:row>
    <x:row r="2158">
      <x:c r="A2158" s="19" t="str">
        <x:v>SALE-02154</x:v>
      </x:c>
      <x:c r="B2158" s="34" t="n">
        <x:v>46214.5</x:v>
      </x:c>
      <x:c r="C2158" s="19" t="str">
        <x:v>周六</x:v>
      </x:c>
      <x:c r="D2158" s="19" t="str">
        <x:v>S08</x:v>
      </x:c>
      <x:c r="E2158" s="19" t="str">
        <x:v>四季青店</x:v>
      </x:c>
      <x:c r="F2158" s="19" t="str">
        <x:v>外卖</x:v>
      </x:c>
      <x:c r="G2158" s="19" t="str">
        <x:v>全日</x:v>
      </x:c>
      <x:c r="H2158" s="19" t="str">
        <x:v>D14</x:v>
      </x:c>
      <x:c r="I2158" s="19" t="str">
        <x:v>酸辣鸡杂</x:v>
      </x:c>
      <x:c r="J2158" s="22" t="n">
        <x:f>XLOOKUP(H2158,'菜品主数据'!$A$5:$A$24,'菜品主数据'!$D$5:$D$24,0)</x:f>
        <x:v>28</x:v>
      </x:c>
      <x:c r="K2158" s="31" t="n">
        <x:v>0</x:v>
      </x:c>
      <x:c r="L2158" s="35" t="n">
        <x:f>J2158*K2158</x:f>
        <x:v>0</x:v>
      </x:c>
      <x:c r="M2158" s="36" t="n">
        <x:v>0.08</x:v>
      </x:c>
      <x:c r="N2158" s="35" t="n">
        <x:f>L2158*M2158</x:f>
        <x:v>0</x:v>
      </x:c>
      <x:c r="O2158" s="37" t="n">
        <x:v>0.18</x:v>
      </x:c>
      <x:c r="P2158" s="35" t="n">
        <x:f>L2158*O2158</x:f>
        <x:v>0</x:v>
      </x:c>
      <x:c r="Q2158" s="35" t="n">
        <x:v>1.2</x:v>
      </x:c>
      <x:c r="R2158" s="35" t="n">
        <x:f>K2158*Q2158</x:f>
        <x:v>0</x:v>
      </x:c>
      <x:c r="S2158" s="35" t="n">
        <x:f>XLOOKUP(H2158,'菜品主数据'!$A$5:$A$24,'菜品主数据'!$G$5:$G$24,0)</x:f>
        <x:v>8.315000000000001</x:v>
      </x:c>
      <x:c r="T2158" s="35" t="n">
        <x:f>K2158*S2158</x:f>
        <x:v>0</x:v>
      </x:c>
      <x:c r="U2158" s="35" t="n">
        <x:f>L2158-N2158-P2158-R2158-T2158</x:f>
        <x:v>0</x:v>
      </x:c>
      <x:c r="V2158" s="21" t="n">
        <x:f>IFERROR(U2158/L2158,0)</x:f>
        <x:v>0</x:v>
      </x:c>
    </x:row>
    <x:row r="2159">
      <x:c r="A2159" s="19" t="str">
        <x:v>SALE-02155</x:v>
      </x:c>
      <x:c r="B2159" s="34" t="n">
        <x:v>46214.5</x:v>
      </x:c>
      <x:c r="C2159" s="19" t="str">
        <x:v>周六</x:v>
      </x:c>
      <x:c r="D2159" s="19" t="str">
        <x:v>S08</x:v>
      </x:c>
      <x:c r="E2159" s="19" t="str">
        <x:v>四季青店</x:v>
      </x:c>
      <x:c r="F2159" s="19" t="str">
        <x:v>外卖</x:v>
      </x:c>
      <x:c r="G2159" s="19" t="str">
        <x:v>全日</x:v>
      </x:c>
      <x:c r="H2159" s="19" t="str">
        <x:v>D15</x:v>
      </x:c>
      <x:c r="I2159" s="19" t="str">
        <x:v>湘西土匪猪肝</x:v>
      </x:c>
      <x:c r="J2159" s="22" t="n">
        <x:f>XLOOKUP(H2159,'菜品主数据'!$A$5:$A$24,'菜品主数据'!$D$5:$D$24,0)</x:f>
        <x:v>26</x:v>
      </x:c>
      <x:c r="K2159" s="31" t="n">
        <x:v>0</x:v>
      </x:c>
      <x:c r="L2159" s="35" t="n">
        <x:f>J2159*K2159</x:f>
        <x:v>0</x:v>
      </x:c>
      <x:c r="M2159" s="36" t="n">
        <x:v>0.08</x:v>
      </x:c>
      <x:c r="N2159" s="35" t="n">
        <x:f>L2159*M2159</x:f>
        <x:v>0</x:v>
      </x:c>
      <x:c r="O2159" s="37" t="n">
        <x:v>0.18</x:v>
      </x:c>
      <x:c r="P2159" s="35" t="n">
        <x:f>L2159*O2159</x:f>
        <x:v>0</x:v>
      </x:c>
      <x:c r="Q2159" s="35" t="n">
        <x:v>1.2</x:v>
      </x:c>
      <x:c r="R2159" s="35" t="n">
        <x:f>K2159*Q2159</x:f>
        <x:v>0</x:v>
      </x:c>
      <x:c r="S2159" s="35" t="n">
        <x:f>XLOOKUP(H2159,'菜品主数据'!$A$5:$A$24,'菜品主数据'!$G$5:$G$24,0)</x:f>
        <x:v>6.3759999999999994</x:v>
      </x:c>
      <x:c r="T2159" s="35" t="n">
        <x:f>K2159*S2159</x:f>
        <x:v>0</x:v>
      </x:c>
      <x:c r="U2159" s="35" t="n">
        <x:f>L2159-N2159-P2159-R2159-T2159</x:f>
        <x:v>0</x:v>
      </x:c>
      <x:c r="V2159" s="21" t="n">
        <x:f>IFERROR(U2159/L2159,0)</x:f>
        <x:v>0</x:v>
      </x:c>
    </x:row>
    <x:row r="2160">
      <x:c r="A2160" s="19" t="str">
        <x:v>SALE-02156</x:v>
      </x:c>
      <x:c r="B2160" s="34" t="n">
        <x:v>46214.5</x:v>
      </x:c>
      <x:c r="C2160" s="19" t="str">
        <x:v>周六</x:v>
      </x:c>
      <x:c r="D2160" s="19" t="str">
        <x:v>S08</x:v>
      </x:c>
      <x:c r="E2160" s="19" t="str">
        <x:v>四季青店</x:v>
      </x:c>
      <x:c r="F2160" s="19" t="str">
        <x:v>外卖</x:v>
      </x:c>
      <x:c r="G2160" s="19" t="str">
        <x:v>全日</x:v>
      </x:c>
      <x:c r="H2160" s="19" t="str">
        <x:v>D16</x:v>
      </x:c>
      <x:c r="I2160" s="19" t="str">
        <x:v>小豆角炒五花</x:v>
      </x:c>
      <x:c r="J2160" s="22" t="n">
        <x:f>XLOOKUP(H2160,'菜品主数据'!$A$5:$A$24,'菜品主数据'!$D$5:$D$24,0)</x:f>
        <x:v>25</x:v>
      </x:c>
      <x:c r="K2160" s="31" t="n">
        <x:v>0</x:v>
      </x:c>
      <x:c r="L2160" s="35" t="n">
        <x:f>J2160*K2160</x:f>
        <x:v>0</x:v>
      </x:c>
      <x:c r="M2160" s="36" t="n">
        <x:v>0.08</x:v>
      </x:c>
      <x:c r="N2160" s="35" t="n">
        <x:f>L2160*M2160</x:f>
        <x:v>0</x:v>
      </x:c>
      <x:c r="O2160" s="37" t="n">
        <x:v>0.18</x:v>
      </x:c>
      <x:c r="P2160" s="35" t="n">
        <x:f>L2160*O2160</x:f>
        <x:v>0</x:v>
      </x:c>
      <x:c r="Q2160" s="35" t="n">
        <x:v>1.2</x:v>
      </x:c>
      <x:c r="R2160" s="35" t="n">
        <x:f>K2160*Q2160</x:f>
        <x:v>0</x:v>
      </x:c>
      <x:c r="S2160" s="35" t="n">
        <x:f>XLOOKUP(H2160,'菜品主数据'!$A$5:$A$24,'菜品主数据'!$G$5:$G$24,0)</x:f>
        <x:v>8.184</x:v>
      </x:c>
      <x:c r="T2160" s="35" t="n">
        <x:f>K2160*S2160</x:f>
        <x:v>0</x:v>
      </x:c>
      <x:c r="U2160" s="35" t="n">
        <x:f>L2160-N2160-P2160-R2160-T2160</x:f>
        <x:v>0</x:v>
      </x:c>
      <x:c r="V2160" s="21" t="n">
        <x:f>IFERROR(U2160/L2160,0)</x:f>
        <x:v>0</x:v>
      </x:c>
    </x:row>
    <x:row r="2161">
      <x:c r="A2161" s="19" t="str">
        <x:v>SALE-02157</x:v>
      </x:c>
      <x:c r="B2161" s="34" t="n">
        <x:v>46214.5</x:v>
      </x:c>
      <x:c r="C2161" s="19" t="str">
        <x:v>周六</x:v>
      </x:c>
      <x:c r="D2161" s="19" t="str">
        <x:v>S08</x:v>
      </x:c>
      <x:c r="E2161" s="19" t="str">
        <x:v>四季青店</x:v>
      </x:c>
      <x:c r="F2161" s="19" t="str">
        <x:v>外卖</x:v>
      </x:c>
      <x:c r="G2161" s="19" t="str">
        <x:v>全日</x:v>
      </x:c>
      <x:c r="H2161" s="19" t="str">
        <x:v>D17</x:v>
      </x:c>
      <x:c r="I2161" s="19" t="str">
        <x:v>蒜蓉粉丝虾</x:v>
      </x:c>
      <x:c r="J2161" s="22" t="n">
        <x:f>XLOOKUP(H2161,'菜品主数据'!$A$5:$A$24,'菜品主数据'!$D$5:$D$24,0)</x:f>
        <x:v>36</x:v>
      </x:c>
      <x:c r="K2161" s="31" t="n">
        <x:v>0</x:v>
      </x:c>
      <x:c r="L2161" s="35" t="n">
        <x:f>J2161*K2161</x:f>
        <x:v>0</x:v>
      </x:c>
      <x:c r="M2161" s="36" t="n">
        <x:v>0.08</x:v>
      </x:c>
      <x:c r="N2161" s="35" t="n">
        <x:f>L2161*M2161</x:f>
        <x:v>0</x:v>
      </x:c>
      <x:c r="O2161" s="37" t="n">
        <x:v>0.18</x:v>
      </x:c>
      <x:c r="P2161" s="35" t="n">
        <x:f>L2161*O2161</x:f>
        <x:v>0</x:v>
      </x:c>
      <x:c r="Q2161" s="35" t="n">
        <x:v>1.2</x:v>
      </x:c>
      <x:c r="R2161" s="35" t="n">
        <x:f>K2161*Q2161</x:f>
        <x:v>0</x:v>
      </x:c>
      <x:c r="S2161" s="35" t="n">
        <x:f>XLOOKUP(H2161,'菜品主数据'!$A$5:$A$24,'菜品主数据'!$G$5:$G$24,0)</x:f>
        <x:v>13.594</x:v>
      </x:c>
      <x:c r="T2161" s="35" t="n">
        <x:f>K2161*S2161</x:f>
        <x:v>0</x:v>
      </x:c>
      <x:c r="U2161" s="35" t="n">
        <x:f>L2161-N2161-P2161-R2161-T2161</x:f>
        <x:v>0</x:v>
      </x:c>
      <x:c r="V2161" s="21" t="n">
        <x:f>IFERROR(U2161/L2161,0)</x:f>
        <x:v>0</x:v>
      </x:c>
    </x:row>
    <x:row r="2162">
      <x:c r="A2162" s="19" t="str">
        <x:v>SALE-02158</x:v>
      </x:c>
      <x:c r="B2162" s="34" t="n">
        <x:v>46214.5</x:v>
      </x:c>
      <x:c r="C2162" s="19" t="str">
        <x:v>周六</x:v>
      </x:c>
      <x:c r="D2162" s="19" t="str">
        <x:v>S08</x:v>
      </x:c>
      <x:c r="E2162" s="19" t="str">
        <x:v>四季青店</x:v>
      </x:c>
      <x:c r="F2162" s="19" t="str">
        <x:v>外卖</x:v>
      </x:c>
      <x:c r="G2162" s="19" t="str">
        <x:v>全日</x:v>
      </x:c>
      <x:c r="H2162" s="19" t="str">
        <x:v>D18</x:v>
      </x:c>
      <x:c r="I2162" s="19" t="str">
        <x:v>青椒炒油麦菜</x:v>
      </x:c>
      <x:c r="J2162" s="22" t="n">
        <x:f>XLOOKUP(H2162,'菜品主数据'!$A$5:$A$24,'菜品主数据'!$D$5:$D$24,0)</x:f>
        <x:v>18</x:v>
      </x:c>
      <x:c r="K2162" s="31" t="n">
        <x:v>0</x:v>
      </x:c>
      <x:c r="L2162" s="35" t="n">
        <x:f>J2162*K2162</x:f>
        <x:v>0</x:v>
      </x:c>
      <x:c r="M2162" s="36" t="n">
        <x:v>0.08</x:v>
      </x:c>
      <x:c r="N2162" s="35" t="n">
        <x:f>L2162*M2162</x:f>
        <x:v>0</x:v>
      </x:c>
      <x:c r="O2162" s="37" t="n">
        <x:v>0.18</x:v>
      </x:c>
      <x:c r="P2162" s="35" t="n">
        <x:f>L2162*O2162</x:f>
        <x:v>0</x:v>
      </x:c>
      <x:c r="Q2162" s="35" t="n">
        <x:v>1.2</x:v>
      </x:c>
      <x:c r="R2162" s="35" t="n">
        <x:f>K2162*Q2162</x:f>
        <x:v>0</x:v>
      </x:c>
      <x:c r="S2162" s="35" t="n">
        <x:f>XLOOKUP(H2162,'菜品主数据'!$A$5:$A$24,'菜品主数据'!$G$5:$G$24,0)</x:f>
        <x:v>3.1759999999999993</x:v>
      </x:c>
      <x:c r="T2162" s="35" t="n">
        <x:f>K2162*S2162</x:f>
        <x:v>0</x:v>
      </x:c>
      <x:c r="U2162" s="35" t="n">
        <x:f>L2162-N2162-P2162-R2162-T2162</x:f>
        <x:v>0</x:v>
      </x:c>
      <x:c r="V2162" s="21" t="n">
        <x:f>IFERROR(U2162/L2162,0)</x:f>
        <x:v>0</x:v>
      </x:c>
    </x:row>
    <x:row r="2163">
      <x:c r="A2163" s="19" t="str">
        <x:v>SALE-02159</x:v>
      </x:c>
      <x:c r="B2163" s="34" t="n">
        <x:v>46214.5</x:v>
      </x:c>
      <x:c r="C2163" s="19" t="str">
        <x:v>周六</x:v>
      </x:c>
      <x:c r="D2163" s="19" t="str">
        <x:v>S08</x:v>
      </x:c>
      <x:c r="E2163" s="19" t="str">
        <x:v>四季青店</x:v>
      </x:c>
      <x:c r="F2163" s="19" t="str">
        <x:v>外卖</x:v>
      </x:c>
      <x:c r="G2163" s="19" t="str">
        <x:v>全日</x:v>
      </x:c>
      <x:c r="H2163" s="19" t="str">
        <x:v>D19</x:v>
      </x:c>
      <x:c r="I2163" s="19" t="str">
        <x:v>酸萝卜炒鸡杂</x:v>
      </x:c>
      <x:c r="J2163" s="22" t="n">
        <x:f>XLOOKUP(H2163,'菜品主数据'!$A$5:$A$24,'菜品主数据'!$D$5:$D$24,0)</x:f>
        <x:v>25</x:v>
      </x:c>
      <x:c r="K2163" s="31" t="n">
        <x:v>0</x:v>
      </x:c>
      <x:c r="L2163" s="35" t="n">
        <x:f>J2163*K2163</x:f>
        <x:v>0</x:v>
      </x:c>
      <x:c r="M2163" s="36" t="n">
        <x:v>0.08</x:v>
      </x:c>
      <x:c r="N2163" s="35" t="n">
        <x:f>L2163*M2163</x:f>
        <x:v>0</x:v>
      </x:c>
      <x:c r="O2163" s="37" t="n">
        <x:v>0.18</x:v>
      </x:c>
      <x:c r="P2163" s="35" t="n">
        <x:f>L2163*O2163</x:f>
        <x:v>0</x:v>
      </x:c>
      <x:c r="Q2163" s="35" t="n">
        <x:v>1.2</x:v>
      </x:c>
      <x:c r="R2163" s="35" t="n">
        <x:f>K2163*Q2163</x:f>
        <x:v>0</x:v>
      </x:c>
      <x:c r="S2163" s="35" t="n">
        <x:f>XLOOKUP(H2163,'菜品主数据'!$A$5:$A$24,'菜品主数据'!$G$5:$G$24,0)</x:f>
        <x:v>7.9399999999999995</x:v>
      </x:c>
      <x:c r="T2163" s="35" t="n">
        <x:f>K2163*S2163</x:f>
        <x:v>0</x:v>
      </x:c>
      <x:c r="U2163" s="35" t="n">
        <x:f>L2163-N2163-P2163-R2163-T2163</x:f>
        <x:v>0</x:v>
      </x:c>
      <x:c r="V2163" s="21" t="n">
        <x:f>IFERROR(U2163/L2163,0)</x:f>
        <x:v>0</x:v>
      </x:c>
    </x:row>
    <x:row r="2164">
      <x:c r="A2164" s="19" t="str">
        <x:v>SALE-02160</x:v>
      </x:c>
      <x:c r="B2164" s="34" t="n">
        <x:v>46214.5</x:v>
      </x:c>
      <x:c r="C2164" s="19" t="str">
        <x:v>周六</x:v>
      </x:c>
      <x:c r="D2164" s="19" t="str">
        <x:v>S08</x:v>
      </x:c>
      <x:c r="E2164" s="19" t="str">
        <x:v>四季青店</x:v>
      </x:c>
      <x:c r="F2164" s="19" t="str">
        <x:v>外卖</x:v>
      </x:c>
      <x:c r="G2164" s="19" t="str">
        <x:v>全日</x:v>
      </x:c>
      <x:c r="H2164" s="19" t="str">
        <x:v>D20</x:v>
      </x:c>
      <x:c r="I2164" s="19" t="str">
        <x:v>雪菜肉末青豆</x:v>
      </x:c>
      <x:c r="J2164" s="22" t="n">
        <x:f>XLOOKUP(H2164,'菜品主数据'!$A$5:$A$24,'菜品主数据'!$D$5:$D$24,0)</x:f>
        <x:v>18</x:v>
      </x:c>
      <x:c r="K2164" s="31" t="n">
        <x:v>0</x:v>
      </x:c>
      <x:c r="L2164" s="35" t="n">
        <x:f>J2164*K2164</x:f>
        <x:v>0</x:v>
      </x:c>
      <x:c r="M2164" s="36" t="n">
        <x:v>0.08</x:v>
      </x:c>
      <x:c r="N2164" s="35" t="n">
        <x:f>L2164*M2164</x:f>
        <x:v>0</x:v>
      </x:c>
      <x:c r="O2164" s="37" t="n">
        <x:v>0.18</x:v>
      </x:c>
      <x:c r="P2164" s="35" t="n">
        <x:f>L2164*O2164</x:f>
        <x:v>0</x:v>
      </x:c>
      <x:c r="Q2164" s="35" t="n">
        <x:v>1.2</x:v>
      </x:c>
      <x:c r="R2164" s="35" t="n">
        <x:f>K2164*Q2164</x:f>
        <x:v>0</x:v>
      </x:c>
      <x:c r="S2164" s="35" t="n">
        <x:f>XLOOKUP(H2164,'菜品主数据'!$A$5:$A$24,'菜品主数据'!$G$5:$G$24,0)</x:f>
        <x:v>7.303999999999999</x:v>
      </x:c>
      <x:c r="T2164" s="35" t="n">
        <x:f>K2164*S2164</x:f>
        <x:v>0</x:v>
      </x:c>
      <x:c r="U2164" s="35" t="n">
        <x:f>L2164-N2164-P2164-R2164-T2164</x:f>
        <x:v>0</x:v>
      </x:c>
      <x:c r="V2164" s="21" t="n">
        <x:f>IFERROR(U2164/L2164,0)</x:f>
        <x:v>0</x:v>
      </x:c>
    </x:row>
    <x:row r="2165">
      <x:c r="A2165" s="19" t="str">
        <x:v>SALE-02161</x:v>
      </x:c>
      <x:c r="B2165" s="34" t="n">
        <x:v>46215.5</x:v>
      </x:c>
      <x:c r="C2165" s="19" t="str">
        <x:v>周日</x:v>
      </x:c>
      <x:c r="D2165" s="19" t="str">
        <x:v>S08</x:v>
      </x:c>
      <x:c r="E2165" s="19" t="str">
        <x:v>四季青店</x:v>
      </x:c>
      <x:c r="F2165" s="19" t="str">
        <x:v>堂食</x:v>
      </x:c>
      <x:c r="G2165" s="19" t="str">
        <x:v>全日</x:v>
      </x:c>
      <x:c r="H2165" s="19" t="str">
        <x:v>D01</x:v>
      </x:c>
      <x:c r="I2165" s="19" t="str">
        <x:v>辣椒炒肉</x:v>
      </x:c>
      <x:c r="J2165" s="22" t="n">
        <x:f>XLOOKUP(H2165,'菜品主数据'!$A$5:$A$24,'菜品主数据'!$D$5:$D$24,0)</x:f>
        <x:v>29</x:v>
      </x:c>
      <x:c r="K2165" s="31" t="n">
        <x:v>29</x:v>
      </x:c>
      <x:c r="L2165" s="35" t="n">
        <x:f>J2165*K2165</x:f>
        <x:v>841</x:v>
      </x:c>
      <x:c r="M2165" s="36" t="n">
        <x:v>0</x:v>
      </x:c>
      <x:c r="N2165" s="35" t="n">
        <x:f>L2165*M2165</x:f>
        <x:v>0</x:v>
      </x:c>
      <x:c r="O2165" s="37" t="n">
        <x:v>0</x:v>
      </x:c>
      <x:c r="P2165" s="35" t="n">
        <x:f>L2165*O2165</x:f>
        <x:v>0</x:v>
      </x:c>
      <x:c r="Q2165" s="35" t="n">
        <x:v>0</x:v>
      </x:c>
      <x:c r="R2165" s="35" t="n">
        <x:f>K2165*Q2165</x:f>
        <x:v>0</x:v>
      </x:c>
      <x:c r="S2165" s="35" t="n">
        <x:f>XLOOKUP(H2165,'菜品主数据'!$A$5:$A$24,'菜品主数据'!$G$5:$G$24,0)</x:f>
        <x:v>8.634400000000001</x:v>
      </x:c>
      <x:c r="T2165" s="35" t="n">
        <x:f>K2165*S2165</x:f>
        <x:v>250.39760000000004</x:v>
      </x:c>
      <x:c r="U2165" s="35" t="n">
        <x:f>L2165-N2165-P2165-R2165-T2165</x:f>
        <x:v>590.6024</x:v>
      </x:c>
      <x:c r="V2165" s="21" t="n">
        <x:f>IFERROR(U2165/L2165,0)</x:f>
        <x:v>0.7022620689655172</x:v>
      </x:c>
    </x:row>
    <x:row r="2166">
      <x:c r="A2166" s="19" t="str">
        <x:v>SALE-02162</x:v>
      </x:c>
      <x:c r="B2166" s="34" t="n">
        <x:v>46215.5</x:v>
      </x:c>
      <x:c r="C2166" s="19" t="str">
        <x:v>周日</x:v>
      </x:c>
      <x:c r="D2166" s="19" t="str">
        <x:v>S08</x:v>
      </x:c>
      <x:c r="E2166" s="19" t="str">
        <x:v>四季青店</x:v>
      </x:c>
      <x:c r="F2166" s="19" t="str">
        <x:v>堂食</x:v>
      </x:c>
      <x:c r="G2166" s="19" t="str">
        <x:v>全日</x:v>
      </x:c>
      <x:c r="H2166" s="19" t="str">
        <x:v>D02</x:v>
      </x:c>
      <x:c r="I2166" s="19" t="str">
        <x:v>小炒黄牛肉</x:v>
      </x:c>
      <x:c r="J2166" s="22" t="n">
        <x:f>XLOOKUP(H2166,'菜品主数据'!$A$5:$A$24,'菜品主数据'!$D$5:$D$24,0)</x:f>
        <x:v>49</x:v>
      </x:c>
      <x:c r="K2166" s="31" t="n">
        <x:v>18</x:v>
      </x:c>
      <x:c r="L2166" s="35" t="n">
        <x:f>J2166*K2166</x:f>
        <x:v>882</x:v>
      </x:c>
      <x:c r="M2166" s="36" t="n">
        <x:v>0</x:v>
      </x:c>
      <x:c r="N2166" s="35" t="n">
        <x:f>L2166*M2166</x:f>
        <x:v>0</x:v>
      </x:c>
      <x:c r="O2166" s="37" t="n">
        <x:v>0</x:v>
      </x:c>
      <x:c r="P2166" s="35" t="n">
        <x:f>L2166*O2166</x:f>
        <x:v>0</x:v>
      </x:c>
      <x:c r="Q2166" s="35" t="n">
        <x:v>0</x:v>
      </x:c>
      <x:c r="R2166" s="35" t="n">
        <x:f>K2166*Q2166</x:f>
        <x:v>0</x:v>
      </x:c>
      <x:c r="S2166" s="35" t="n">
        <x:f>XLOOKUP(H2166,'菜品主数据'!$A$5:$A$24,'菜品主数据'!$G$5:$G$24,0)</x:f>
        <x:v>17.577</x:v>
      </x:c>
      <x:c r="T2166" s="35" t="n">
        <x:f>K2166*S2166</x:f>
        <x:v>316.386</x:v>
      </x:c>
      <x:c r="U2166" s="35" t="n">
        <x:f>L2166-N2166-P2166-R2166-T2166</x:f>
        <x:v>565.614</x:v>
      </x:c>
      <x:c r="V2166" s="21" t="n">
        <x:f>IFERROR(U2166/L2166,0)</x:f>
        <x:v>0.6412857142857143</x:v>
      </x:c>
    </x:row>
    <x:row r="2167">
      <x:c r="A2167" s="19" t="str">
        <x:v>SALE-02163</x:v>
      </x:c>
      <x:c r="B2167" s="34" t="n">
        <x:v>46215.5</x:v>
      </x:c>
      <x:c r="C2167" s="19" t="str">
        <x:v>周日</x:v>
      </x:c>
      <x:c r="D2167" s="19" t="str">
        <x:v>S08</x:v>
      </x:c>
      <x:c r="E2167" s="19" t="str">
        <x:v>四季青店</x:v>
      </x:c>
      <x:c r="F2167" s="19" t="str">
        <x:v>堂食</x:v>
      </x:c>
      <x:c r="G2167" s="19" t="str">
        <x:v>全日</x:v>
      </x:c>
      <x:c r="H2167" s="19" t="str">
        <x:v>D03</x:v>
      </x:c>
      <x:c r="I2167" s="19" t="str">
        <x:v>香醋炒蛋</x:v>
      </x:c>
      <x:c r="J2167" s="22" t="n">
        <x:f>XLOOKUP(H2167,'菜品主数据'!$A$5:$A$24,'菜品主数据'!$D$5:$D$24,0)</x:f>
        <x:v>14.9</x:v>
      </x:c>
      <x:c r="K2167" s="31" t="n">
        <x:v>25</x:v>
      </x:c>
      <x:c r="L2167" s="35" t="n">
        <x:f>J2167*K2167</x:f>
        <x:v>372.5</x:v>
      </x:c>
      <x:c r="M2167" s="36" t="n">
        <x:v>0</x:v>
      </x:c>
      <x:c r="N2167" s="35" t="n">
        <x:f>L2167*M2167</x:f>
        <x:v>0</x:v>
      </x:c>
      <x:c r="O2167" s="37" t="n">
        <x:v>0</x:v>
      </x:c>
      <x:c r="P2167" s="35" t="n">
        <x:f>L2167*O2167</x:f>
        <x:v>0</x:v>
      </x:c>
      <x:c r="Q2167" s="35" t="n">
        <x:v>0</x:v>
      </x:c>
      <x:c r="R2167" s="35" t="n">
        <x:f>K2167*Q2167</x:f>
        <x:v>0</x:v>
      </x:c>
      <x:c r="S2167" s="35" t="n">
        <x:f>XLOOKUP(H2167,'菜品主数据'!$A$5:$A$24,'菜品主数据'!$G$5:$G$24,0)</x:f>
        <x:v>3.7459999999999996</x:v>
      </x:c>
      <x:c r="T2167" s="35" t="n">
        <x:f>K2167*S2167</x:f>
        <x:v>93.64999999999999</x:v>
      </x:c>
      <x:c r="U2167" s="35" t="n">
        <x:f>L2167-N2167-P2167-R2167-T2167</x:f>
        <x:v>278.85</x:v>
      </x:c>
      <x:c r="V2167" s="21" t="n">
        <x:f>IFERROR(U2167/L2167,0)</x:f>
        <x:v>0.7485906040268457</x:v>
      </x:c>
    </x:row>
    <x:row r="2168">
      <x:c r="A2168" s="19" t="str">
        <x:v>SALE-02164</x:v>
      </x:c>
      <x:c r="B2168" s="34" t="n">
        <x:v>46215.5</x:v>
      </x:c>
      <x:c r="C2168" s="19" t="str">
        <x:v>周日</x:v>
      </x:c>
      <x:c r="D2168" s="19" t="str">
        <x:v>S08</x:v>
      </x:c>
      <x:c r="E2168" s="19" t="str">
        <x:v>四季青店</x:v>
      </x:c>
      <x:c r="F2168" s="19" t="str">
        <x:v>堂食</x:v>
      </x:c>
      <x:c r="G2168" s="19" t="str">
        <x:v>全日</x:v>
      </x:c>
      <x:c r="H2168" s="19" t="str">
        <x:v>D04</x:v>
      </x:c>
      <x:c r="I2168" s="19" t="str">
        <x:v>酸包菜炒粉皮</x:v>
      </x:c>
      <x:c r="J2168" s="22" t="n">
        <x:f>XLOOKUP(H2168,'菜品主数据'!$A$5:$A$24,'菜品主数据'!$D$5:$D$24,0)</x:f>
        <x:v>16</x:v>
      </x:c>
      <x:c r="K2168" s="31" t="n">
        <x:v>23</x:v>
      </x:c>
      <x:c r="L2168" s="35" t="n">
        <x:f>J2168*K2168</x:f>
        <x:v>368</x:v>
      </x:c>
      <x:c r="M2168" s="36" t="n">
        <x:v>0</x:v>
      </x:c>
      <x:c r="N2168" s="35" t="n">
        <x:f>L2168*M2168</x:f>
        <x:v>0</x:v>
      </x:c>
      <x:c r="O2168" s="37" t="n">
        <x:v>0</x:v>
      </x:c>
      <x:c r="P2168" s="35" t="n">
        <x:f>L2168*O2168</x:f>
        <x:v>0</x:v>
      </x:c>
      <x:c r="Q2168" s="35" t="n">
        <x:v>0</x:v>
      </x:c>
      <x:c r="R2168" s="35" t="n">
        <x:f>K2168*Q2168</x:f>
        <x:v>0</x:v>
      </x:c>
      <x:c r="S2168" s="35" t="n">
        <x:f>XLOOKUP(H2168,'菜品主数据'!$A$5:$A$24,'菜品主数据'!$G$5:$G$24,0)</x:f>
        <x:v>3.978</x:v>
      </x:c>
      <x:c r="T2168" s="35" t="n">
        <x:f>K2168*S2168</x:f>
        <x:v>91.494</x:v>
      </x:c>
      <x:c r="U2168" s="35" t="n">
        <x:f>L2168-N2168-P2168-R2168-T2168</x:f>
        <x:v>276.506</x:v>
      </x:c>
      <x:c r="V2168" s="21" t="n">
        <x:f>IFERROR(U2168/L2168,0)</x:f>
        <x:v>0.7513749999999999</x:v>
      </x:c>
    </x:row>
    <x:row r="2169">
      <x:c r="A2169" s="19" t="str">
        <x:v>SALE-02165</x:v>
      </x:c>
      <x:c r="B2169" s="34" t="n">
        <x:v>46215.5</x:v>
      </x:c>
      <x:c r="C2169" s="19" t="str">
        <x:v>周日</x:v>
      </x:c>
      <x:c r="D2169" s="19" t="str">
        <x:v>S08</x:v>
      </x:c>
      <x:c r="E2169" s="19" t="str">
        <x:v>四季青店</x:v>
      </x:c>
      <x:c r="F2169" s="19" t="str">
        <x:v>堂食</x:v>
      </x:c>
      <x:c r="G2169" s="19" t="str">
        <x:v>全日</x:v>
      </x:c>
      <x:c r="H2169" s="19" t="str">
        <x:v>D05</x:v>
      </x:c>
      <x:c r="I2169" s="19" t="str">
        <x:v>麻婆豆腐</x:v>
      </x:c>
      <x:c r="J2169" s="22" t="n">
        <x:f>XLOOKUP(H2169,'菜品主数据'!$A$5:$A$24,'菜品主数据'!$D$5:$D$24,0)</x:f>
        <x:v>9.9</x:v>
      </x:c>
      <x:c r="K2169" s="31" t="n">
        <x:v>31</x:v>
      </x:c>
      <x:c r="L2169" s="35" t="n">
        <x:f>J2169*K2169</x:f>
        <x:v>306.90000000000003</x:v>
      </x:c>
      <x:c r="M2169" s="36" t="n">
        <x:v>0</x:v>
      </x:c>
      <x:c r="N2169" s="35" t="n">
        <x:f>L2169*M2169</x:f>
        <x:v>0</x:v>
      </x:c>
      <x:c r="O2169" s="37" t="n">
        <x:v>0</x:v>
      </x:c>
      <x:c r="P2169" s="35" t="n">
        <x:f>L2169*O2169</x:f>
        <x:v>0</x:v>
      </x:c>
      <x:c r="Q2169" s="35" t="n">
        <x:v>0</x:v>
      </x:c>
      <x:c r="R2169" s="35" t="n">
        <x:f>K2169*Q2169</x:f>
        <x:v>0</x:v>
      </x:c>
      <x:c r="S2169" s="35" t="n">
        <x:f>XLOOKUP(H2169,'菜品主数据'!$A$5:$A$24,'菜品主数据'!$G$5:$G$24,0)</x:f>
        <x:v>5.367000000000001</x:v>
      </x:c>
      <x:c r="T2169" s="35" t="n">
        <x:f>K2169*S2169</x:f>
        <x:v>166.37700000000004</x:v>
      </x:c>
      <x:c r="U2169" s="35" t="n">
        <x:f>L2169-N2169-P2169-R2169-T2169</x:f>
        <x:v>140.523</x:v>
      </x:c>
      <x:c r="V2169" s="21" t="n">
        <x:f>IFERROR(U2169/L2169,0)</x:f>
        <x:v>0.45787878787878783</x:v>
      </x:c>
    </x:row>
    <x:row r="2170">
      <x:c r="A2170" s="19" t="str">
        <x:v>SALE-02166</x:v>
      </x:c>
      <x:c r="B2170" s="34" t="n">
        <x:v>46215.5</x:v>
      </x:c>
      <x:c r="C2170" s="19" t="str">
        <x:v>周日</x:v>
      </x:c>
      <x:c r="D2170" s="19" t="str">
        <x:v>S08</x:v>
      </x:c>
      <x:c r="E2170" s="19" t="str">
        <x:v>四季青店</x:v>
      </x:c>
      <x:c r="F2170" s="19" t="str">
        <x:v>堂食</x:v>
      </x:c>
      <x:c r="G2170" s="19" t="str">
        <x:v>全日</x:v>
      </x:c>
      <x:c r="H2170" s="19" t="str">
        <x:v>D06</x:v>
      </x:c>
      <x:c r="I2170" s="19" t="str">
        <x:v>剁椒鱼头</x:v>
      </x:c>
      <x:c r="J2170" s="22" t="n">
        <x:f>XLOOKUP(H2170,'菜品主数据'!$A$5:$A$24,'菜品主数据'!$D$5:$D$24,0)</x:f>
        <x:v>39</x:v>
      </x:c>
      <x:c r="K2170" s="31" t="n">
        <x:v>7</x:v>
      </x:c>
      <x:c r="L2170" s="35" t="n">
        <x:f>J2170*K2170</x:f>
        <x:v>273</x:v>
      </x:c>
      <x:c r="M2170" s="36" t="n">
        <x:v>0</x:v>
      </x:c>
      <x:c r="N2170" s="35" t="n">
        <x:f>L2170*M2170</x:f>
        <x:v>0</x:v>
      </x:c>
      <x:c r="O2170" s="37" t="n">
        <x:v>0</x:v>
      </x:c>
      <x:c r="P2170" s="35" t="n">
        <x:f>L2170*O2170</x:f>
        <x:v>0</x:v>
      </x:c>
      <x:c r="Q2170" s="35" t="n">
        <x:v>0</x:v>
      </x:c>
      <x:c r="R2170" s="35" t="n">
        <x:f>K2170*Q2170</x:f>
        <x:v>0</x:v>
      </x:c>
      <x:c r="S2170" s="35" t="n">
        <x:f>XLOOKUP(H2170,'菜品主数据'!$A$5:$A$24,'菜品主数据'!$G$5:$G$24,0)</x:f>
        <x:v>17.446</x:v>
      </x:c>
      <x:c r="T2170" s="35" t="n">
        <x:f>K2170*S2170</x:f>
        <x:v>122.12200000000001</x:v>
      </x:c>
      <x:c r="U2170" s="35" t="n">
        <x:f>L2170-N2170-P2170-R2170-T2170</x:f>
        <x:v>150.878</x:v>
      </x:c>
      <x:c r="V2170" s="21" t="n">
        <x:f>IFERROR(U2170/L2170,0)</x:f>
        <x:v>0.5526666666666666</x:v>
      </x:c>
    </x:row>
    <x:row r="2171">
      <x:c r="A2171" s="19" t="str">
        <x:v>SALE-02167</x:v>
      </x:c>
      <x:c r="B2171" s="34" t="n">
        <x:v>46215.5</x:v>
      </x:c>
      <x:c r="C2171" s="19" t="str">
        <x:v>周日</x:v>
      </x:c>
      <x:c r="D2171" s="19" t="str">
        <x:v>S08</x:v>
      </x:c>
      <x:c r="E2171" s="19" t="str">
        <x:v>四季青店</x:v>
      </x:c>
      <x:c r="F2171" s="19" t="str">
        <x:v>堂食</x:v>
      </x:c>
      <x:c r="G2171" s="19" t="str">
        <x:v>全日</x:v>
      </x:c>
      <x:c r="H2171" s="19" t="str">
        <x:v>D07</x:v>
      </x:c>
      <x:c r="I2171" s="19" t="str">
        <x:v>川味回锅肉</x:v>
      </x:c>
      <x:c r="J2171" s="22" t="n">
        <x:f>XLOOKUP(H2171,'菜品主数据'!$A$5:$A$24,'菜品主数据'!$D$5:$D$24,0)</x:f>
        <x:v>29</x:v>
      </x:c>
      <x:c r="K2171" s="31" t="n">
        <x:v>8</x:v>
      </x:c>
      <x:c r="L2171" s="35" t="n">
        <x:f>J2171*K2171</x:f>
        <x:v>232</x:v>
      </x:c>
      <x:c r="M2171" s="36" t="n">
        <x:v>0</x:v>
      </x:c>
      <x:c r="N2171" s="35" t="n">
        <x:f>L2171*M2171</x:f>
        <x:v>0</x:v>
      </x:c>
      <x:c r="O2171" s="37" t="n">
        <x:v>0</x:v>
      </x:c>
      <x:c r="P2171" s="35" t="n">
        <x:f>L2171*O2171</x:f>
        <x:v>0</x:v>
      </x:c>
      <x:c r="Q2171" s="35" t="n">
        <x:v>0</x:v>
      </x:c>
      <x:c r="R2171" s="35" t="n">
        <x:f>K2171*Q2171</x:f>
        <x:v>0</x:v>
      </x:c>
      <x:c r="S2171" s="35" t="n">
        <x:f>XLOOKUP(H2171,'菜品主数据'!$A$5:$A$24,'菜品主数据'!$G$5:$G$24,0)</x:f>
        <x:v>10.231000000000002</x:v>
      </x:c>
      <x:c r="T2171" s="35" t="n">
        <x:f>K2171*S2171</x:f>
        <x:v>81.84800000000001</x:v>
      </x:c>
      <x:c r="U2171" s="35" t="n">
        <x:f>L2171-N2171-P2171-R2171-T2171</x:f>
        <x:v>150.152</x:v>
      </x:c>
      <x:c r="V2171" s="21" t="n">
        <x:f>IFERROR(U2171/L2171,0)</x:f>
        <x:v>0.647206896551724</x:v>
      </x:c>
    </x:row>
    <x:row r="2172">
      <x:c r="A2172" s="19" t="str">
        <x:v>SALE-02168</x:v>
      </x:c>
      <x:c r="B2172" s="34" t="n">
        <x:v>46215.5</x:v>
      </x:c>
      <x:c r="C2172" s="19" t="str">
        <x:v>周日</x:v>
      </x:c>
      <x:c r="D2172" s="19" t="str">
        <x:v>S08</x:v>
      </x:c>
      <x:c r="E2172" s="19" t="str">
        <x:v>四季青店</x:v>
      </x:c>
      <x:c r="F2172" s="19" t="str">
        <x:v>堂食</x:v>
      </x:c>
      <x:c r="G2172" s="19" t="str">
        <x:v>全日</x:v>
      </x:c>
      <x:c r="H2172" s="19" t="str">
        <x:v>D08</x:v>
      </x:c>
      <x:c r="I2172" s="19" t="str">
        <x:v>生炒清远鸡</x:v>
      </x:c>
      <x:c r="J2172" s="22" t="n">
        <x:f>XLOOKUP(H2172,'菜品主数据'!$A$5:$A$24,'菜品主数据'!$D$5:$D$24,0)</x:f>
        <x:v>36</x:v>
      </x:c>
      <x:c r="K2172" s="31" t="n">
        <x:v>6</x:v>
      </x:c>
      <x:c r="L2172" s="35" t="n">
        <x:f>J2172*K2172</x:f>
        <x:v>216</x:v>
      </x:c>
      <x:c r="M2172" s="36" t="n">
        <x:v>0</x:v>
      </x:c>
      <x:c r="N2172" s="35" t="n">
        <x:f>L2172*M2172</x:f>
        <x:v>0</x:v>
      </x:c>
      <x:c r="O2172" s="37" t="n">
        <x:v>0</x:v>
      </x:c>
      <x:c r="P2172" s="35" t="n">
        <x:f>L2172*O2172</x:f>
        <x:v>0</x:v>
      </x:c>
      <x:c r="Q2172" s="35" t="n">
        <x:v>0</x:v>
      </x:c>
      <x:c r="R2172" s="35" t="n">
        <x:f>K2172*Q2172</x:f>
        <x:v>0</x:v>
      </x:c>
      <x:c r="S2172" s="35" t="n">
        <x:f>XLOOKUP(H2172,'菜品主数据'!$A$5:$A$24,'菜品主数据'!$G$5:$G$24,0)</x:f>
        <x:v>13.48</x:v>
      </x:c>
      <x:c r="T2172" s="35" t="n">
        <x:f>K2172*S2172</x:f>
        <x:v>80.88</x:v>
      </x:c>
      <x:c r="U2172" s="35" t="n">
        <x:f>L2172-N2172-P2172-R2172-T2172</x:f>
        <x:v>135.12</x:v>
      </x:c>
      <x:c r="V2172" s="21" t="n">
        <x:f>IFERROR(U2172/L2172,0)</x:f>
        <x:v>0.6255555555555555</x:v>
      </x:c>
    </x:row>
    <x:row r="2173">
      <x:c r="A2173" s="19" t="str">
        <x:v>SALE-02169</x:v>
      </x:c>
      <x:c r="B2173" s="34" t="n">
        <x:v>46215.5</x:v>
      </x:c>
      <x:c r="C2173" s="19" t="str">
        <x:v>周日</x:v>
      </x:c>
      <x:c r="D2173" s="19" t="str">
        <x:v>S08</x:v>
      </x:c>
      <x:c r="E2173" s="19" t="str">
        <x:v>四季青店</x:v>
      </x:c>
      <x:c r="F2173" s="19" t="str">
        <x:v>堂食</x:v>
      </x:c>
      <x:c r="G2173" s="19" t="str">
        <x:v>全日</x:v>
      </x:c>
      <x:c r="H2173" s="19" t="str">
        <x:v>D09</x:v>
      </x:c>
      <x:c r="I2173" s="19" t="str">
        <x:v>炒豆干</x:v>
      </x:c>
      <x:c r="J2173" s="22" t="n">
        <x:f>XLOOKUP(H2173,'菜品主数据'!$A$5:$A$24,'菜品主数据'!$D$5:$D$24,0)</x:f>
        <x:v>18</x:v>
      </x:c>
      <x:c r="K2173" s="31" t="n">
        <x:v>9</x:v>
      </x:c>
      <x:c r="L2173" s="35" t="n">
        <x:f>J2173*K2173</x:f>
        <x:v>162</x:v>
      </x:c>
      <x:c r="M2173" s="36" t="n">
        <x:v>0</x:v>
      </x:c>
      <x:c r="N2173" s="35" t="n">
        <x:f>L2173*M2173</x:f>
        <x:v>0</x:v>
      </x:c>
      <x:c r="O2173" s="37" t="n">
        <x:v>0</x:v>
      </x:c>
      <x:c r="P2173" s="35" t="n">
        <x:f>L2173*O2173</x:f>
        <x:v>0</x:v>
      </x:c>
      <x:c r="Q2173" s="35" t="n">
        <x:v>0</x:v>
      </x:c>
      <x:c r="R2173" s="35" t="n">
        <x:f>K2173*Q2173</x:f>
        <x:v>0</x:v>
      </x:c>
      <x:c r="S2173" s="35" t="n">
        <x:f>XLOOKUP(H2173,'菜品主数据'!$A$5:$A$24,'菜品主数据'!$G$5:$G$24,0)</x:f>
        <x:v>6.613999999999999</x:v>
      </x:c>
      <x:c r="T2173" s="35" t="n">
        <x:f>K2173*S2173</x:f>
        <x:v>59.52599999999999</x:v>
      </x:c>
      <x:c r="U2173" s="35" t="n">
        <x:f>L2173-N2173-P2173-R2173-T2173</x:f>
        <x:v>102.47400000000002</x:v>
      </x:c>
      <x:c r="V2173" s="21" t="n">
        <x:f>IFERROR(U2173/L2173,0)</x:f>
        <x:v>0.6325555555555556</x:v>
      </x:c>
    </x:row>
    <x:row r="2174">
      <x:c r="A2174" s="19" t="str">
        <x:v>SALE-02170</x:v>
      </x:c>
      <x:c r="B2174" s="34" t="n">
        <x:v>46215.5</x:v>
      </x:c>
      <x:c r="C2174" s="19" t="str">
        <x:v>周日</x:v>
      </x:c>
      <x:c r="D2174" s="19" t="str">
        <x:v>S08</x:v>
      </x:c>
      <x:c r="E2174" s="19" t="str">
        <x:v>四季青店</x:v>
      </x:c>
      <x:c r="F2174" s="19" t="str">
        <x:v>堂食</x:v>
      </x:c>
      <x:c r="G2174" s="19" t="str">
        <x:v>全日</x:v>
      </x:c>
      <x:c r="H2174" s="19" t="str">
        <x:v>D10</x:v>
      </x:c>
      <x:c r="I2174" s="19" t="str">
        <x:v>农家一碗香</x:v>
      </x:c>
      <x:c r="J2174" s="22" t="n">
        <x:f>XLOOKUP(H2174,'菜品主数据'!$A$5:$A$24,'菜品主数据'!$D$5:$D$24,0)</x:f>
        <x:v>22.9</x:v>
      </x:c>
      <x:c r="K2174" s="31" t="n">
        <x:v>10</x:v>
      </x:c>
      <x:c r="L2174" s="35" t="n">
        <x:f>J2174*K2174</x:f>
        <x:v>229</x:v>
      </x:c>
      <x:c r="M2174" s="36" t="n">
        <x:v>0</x:v>
      </x:c>
      <x:c r="N2174" s="35" t="n">
        <x:f>L2174*M2174</x:f>
        <x:v>0</x:v>
      </x:c>
      <x:c r="O2174" s="37" t="n">
        <x:v>0</x:v>
      </x:c>
      <x:c r="P2174" s="35" t="n">
        <x:f>L2174*O2174</x:f>
        <x:v>0</x:v>
      </x:c>
      <x:c r="Q2174" s="35" t="n">
        <x:v>0</x:v>
      </x:c>
      <x:c r="R2174" s="35" t="n">
        <x:f>K2174*Q2174</x:f>
        <x:v>0</x:v>
      </x:c>
      <x:c r="S2174" s="35" t="n">
        <x:f>XLOOKUP(H2174,'菜品主数据'!$A$5:$A$24,'菜品主数据'!$G$5:$G$24,0)</x:f>
        <x:v>9.770200000000003</x:v>
      </x:c>
      <x:c r="T2174" s="35" t="n">
        <x:f>K2174*S2174</x:f>
        <x:v>97.70200000000003</x:v>
      </x:c>
      <x:c r="U2174" s="35" t="n">
        <x:f>L2174-N2174-P2174-R2174-T2174</x:f>
        <x:v>131.29799999999997</x:v>
      </x:c>
      <x:c r="V2174" s="21" t="n">
        <x:f>IFERROR(U2174/L2174,0)</x:f>
        <x:v>0.5733537117903929</x:v>
      </x:c>
    </x:row>
    <x:row r="2175">
      <x:c r="A2175" s="19" t="str">
        <x:v>SALE-02171</x:v>
      </x:c>
      <x:c r="B2175" s="34" t="n">
        <x:v>46215.5</x:v>
      </x:c>
      <x:c r="C2175" s="19" t="str">
        <x:v>周日</x:v>
      </x:c>
      <x:c r="D2175" s="19" t="str">
        <x:v>S08</x:v>
      </x:c>
      <x:c r="E2175" s="19" t="str">
        <x:v>四季青店</x:v>
      </x:c>
      <x:c r="F2175" s="19" t="str">
        <x:v>堂食</x:v>
      </x:c>
      <x:c r="G2175" s="19" t="str">
        <x:v>全日</x:v>
      </x:c>
      <x:c r="H2175" s="19" t="str">
        <x:v>D11</x:v>
      </x:c>
      <x:c r="I2175" s="19" t="str">
        <x:v>香辣爆肥肠</x:v>
      </x:c>
      <x:c r="J2175" s="22" t="n">
        <x:f>XLOOKUP(H2175,'菜品主数据'!$A$5:$A$24,'菜品主数据'!$D$5:$D$24,0)</x:f>
        <x:v>39</x:v>
      </x:c>
      <x:c r="K2175" s="31" t="n">
        <x:v>4</x:v>
      </x:c>
      <x:c r="L2175" s="35" t="n">
        <x:f>J2175*K2175</x:f>
        <x:v>156</x:v>
      </x:c>
      <x:c r="M2175" s="36" t="n">
        <x:v>0</x:v>
      </x:c>
      <x:c r="N2175" s="35" t="n">
        <x:f>L2175*M2175</x:f>
        <x:v>0</x:v>
      </x:c>
      <x:c r="O2175" s="37" t="n">
        <x:v>0</x:v>
      </x:c>
      <x:c r="P2175" s="35" t="n">
        <x:f>L2175*O2175</x:f>
        <x:v>0</x:v>
      </x:c>
      <x:c r="Q2175" s="35" t="n">
        <x:v>0</x:v>
      </x:c>
      <x:c r="R2175" s="35" t="n">
        <x:f>K2175*Q2175</x:f>
        <x:v>0</x:v>
      </x:c>
      <x:c r="S2175" s="35" t="n">
        <x:f>XLOOKUP(H2175,'菜品主数据'!$A$5:$A$24,'菜品主数据'!$G$5:$G$24,0)</x:f>
        <x:v>10.397</x:v>
      </x:c>
      <x:c r="T2175" s="35" t="n">
        <x:f>K2175*S2175</x:f>
        <x:v>41.588</x:v>
      </x:c>
      <x:c r="U2175" s="35" t="n">
        <x:f>L2175-N2175-P2175-R2175-T2175</x:f>
        <x:v>114.412</x:v>
      </x:c>
      <x:c r="V2175" s="21" t="n">
        <x:f>IFERROR(U2175/L2175,0)</x:f>
        <x:v>0.7334102564102565</x:v>
      </x:c>
    </x:row>
    <x:row r="2176">
      <x:c r="A2176" s="19" t="str">
        <x:v>SALE-02172</x:v>
      </x:c>
      <x:c r="B2176" s="34" t="n">
        <x:v>46215.5</x:v>
      </x:c>
      <x:c r="C2176" s="19" t="str">
        <x:v>周日</x:v>
      </x:c>
      <x:c r="D2176" s="19" t="str">
        <x:v>S08</x:v>
      </x:c>
      <x:c r="E2176" s="19" t="str">
        <x:v>四季青店</x:v>
      </x:c>
      <x:c r="F2176" s="19" t="str">
        <x:v>堂食</x:v>
      </x:c>
      <x:c r="G2176" s="19" t="str">
        <x:v>全日</x:v>
      </x:c>
      <x:c r="H2176" s="19" t="str">
        <x:v>D12</x:v>
      </x:c>
      <x:c r="I2176" s="19" t="str">
        <x:v>清蒸鲈鱼</x:v>
      </x:c>
      <x:c r="J2176" s="22" t="n">
        <x:f>XLOOKUP(H2176,'菜品主数据'!$A$5:$A$24,'菜品主数据'!$D$5:$D$24,0)</x:f>
        <x:v>39</x:v>
      </x:c>
      <x:c r="K2176" s="31" t="n">
        <x:v>4</x:v>
      </x:c>
      <x:c r="L2176" s="35" t="n">
        <x:f>J2176*K2176</x:f>
        <x:v>156</x:v>
      </x:c>
      <x:c r="M2176" s="36" t="n">
        <x:v>0</x:v>
      </x:c>
      <x:c r="N2176" s="35" t="n">
        <x:f>L2176*M2176</x:f>
        <x:v>0</x:v>
      </x:c>
      <x:c r="O2176" s="37" t="n">
        <x:v>0</x:v>
      </x:c>
      <x:c r="P2176" s="35" t="n">
        <x:f>L2176*O2176</x:f>
        <x:v>0</x:v>
      </x:c>
      <x:c r="Q2176" s="35" t="n">
        <x:v>0</x:v>
      </x:c>
      <x:c r="R2176" s="35" t="n">
        <x:f>K2176*Q2176</x:f>
        <x:v>0</x:v>
      </x:c>
      <x:c r="S2176" s="35" t="n">
        <x:f>XLOOKUP(H2176,'菜品主数据'!$A$5:$A$24,'菜品主数据'!$G$5:$G$24,0)</x:f>
        <x:v>18.874</x:v>
      </x:c>
      <x:c r="T2176" s="35" t="n">
        <x:f>K2176*S2176</x:f>
        <x:v>75.496</x:v>
      </x:c>
      <x:c r="U2176" s="35" t="n">
        <x:f>L2176-N2176-P2176-R2176-T2176</x:f>
        <x:v>80.504</x:v>
      </x:c>
      <x:c r="V2176" s="21" t="n">
        <x:f>IFERROR(U2176/L2176,0)</x:f>
        <x:v>0.516051282051282</x:v>
      </x:c>
    </x:row>
    <x:row r="2177">
      <x:c r="A2177" s="19" t="str">
        <x:v>SALE-02173</x:v>
      </x:c>
      <x:c r="B2177" s="34" t="n">
        <x:v>46215.5</x:v>
      </x:c>
      <x:c r="C2177" s="19" t="str">
        <x:v>周日</x:v>
      </x:c>
      <x:c r="D2177" s="19" t="str">
        <x:v>S08</x:v>
      </x:c>
      <x:c r="E2177" s="19" t="str">
        <x:v>四季青店</x:v>
      </x:c>
      <x:c r="F2177" s="19" t="str">
        <x:v>堂食</x:v>
      </x:c>
      <x:c r="G2177" s="19" t="str">
        <x:v>全日</x:v>
      </x:c>
      <x:c r="H2177" s="19" t="str">
        <x:v>D13</x:v>
      </x:c>
      <x:c r="I2177" s="19" t="str">
        <x:v>外婆菜炒蛋</x:v>
      </x:c>
      <x:c r="J2177" s="22" t="n">
        <x:f>XLOOKUP(H2177,'菜品主数据'!$A$5:$A$24,'菜品主数据'!$D$5:$D$24,0)</x:f>
        <x:v>18</x:v>
      </x:c>
      <x:c r="K2177" s="31" t="n">
        <x:v>9</x:v>
      </x:c>
      <x:c r="L2177" s="35" t="n">
        <x:f>J2177*K2177</x:f>
        <x:v>162</x:v>
      </x:c>
      <x:c r="M2177" s="36" t="n">
        <x:v>0</x:v>
      </x:c>
      <x:c r="N2177" s="35" t="n">
        <x:f>L2177*M2177</x:f>
        <x:v>0</x:v>
      </x:c>
      <x:c r="O2177" s="37" t="n">
        <x:v>0</x:v>
      </x:c>
      <x:c r="P2177" s="35" t="n">
        <x:f>L2177*O2177</x:f>
        <x:v>0</x:v>
      </x:c>
      <x:c r="Q2177" s="35" t="n">
        <x:v>0</x:v>
      </x:c>
      <x:c r="R2177" s="35" t="n">
        <x:f>K2177*Q2177</x:f>
        <x:v>0</x:v>
      </x:c>
      <x:c r="S2177" s="35" t="n">
        <x:f>XLOOKUP(H2177,'菜品主数据'!$A$5:$A$24,'菜品主数据'!$G$5:$G$24,0)</x:f>
        <x:v>5.403999999999999</x:v>
      </x:c>
      <x:c r="T2177" s="35" t="n">
        <x:f>K2177*S2177</x:f>
        <x:v>48.63599999999999</x:v>
      </x:c>
      <x:c r="U2177" s="35" t="n">
        <x:f>L2177-N2177-P2177-R2177-T2177</x:f>
        <x:v>113.364</x:v>
      </x:c>
      <x:c r="V2177" s="21" t="n">
        <x:f>IFERROR(U2177/L2177,0)</x:f>
        <x:v>0.6997777777777778</x:v>
      </x:c>
    </x:row>
    <x:row r="2178">
      <x:c r="A2178" s="19" t="str">
        <x:v>SALE-02174</x:v>
      </x:c>
      <x:c r="B2178" s="34" t="n">
        <x:v>46215.5</x:v>
      </x:c>
      <x:c r="C2178" s="19" t="str">
        <x:v>周日</x:v>
      </x:c>
      <x:c r="D2178" s="19" t="str">
        <x:v>S08</x:v>
      </x:c>
      <x:c r="E2178" s="19" t="str">
        <x:v>四季青店</x:v>
      </x:c>
      <x:c r="F2178" s="19" t="str">
        <x:v>堂食</x:v>
      </x:c>
      <x:c r="G2178" s="19" t="str">
        <x:v>全日</x:v>
      </x:c>
      <x:c r="H2178" s="19" t="str">
        <x:v>D14</x:v>
      </x:c>
      <x:c r="I2178" s="19" t="str">
        <x:v>酸辣鸡杂</x:v>
      </x:c>
      <x:c r="J2178" s="22" t="n">
        <x:f>XLOOKUP(H2178,'菜品主数据'!$A$5:$A$24,'菜品主数据'!$D$5:$D$24,0)</x:f>
        <x:v>28</x:v>
      </x:c>
      <x:c r="K2178" s="31" t="n">
        <x:v>5</x:v>
      </x:c>
      <x:c r="L2178" s="35" t="n">
        <x:f>J2178*K2178</x:f>
        <x:v>140</x:v>
      </x:c>
      <x:c r="M2178" s="36" t="n">
        <x:v>0</x:v>
      </x:c>
      <x:c r="N2178" s="35" t="n">
        <x:f>L2178*M2178</x:f>
        <x:v>0</x:v>
      </x:c>
      <x:c r="O2178" s="37" t="n">
        <x:v>0</x:v>
      </x:c>
      <x:c r="P2178" s="35" t="n">
        <x:f>L2178*O2178</x:f>
        <x:v>0</x:v>
      </x:c>
      <x:c r="Q2178" s="35" t="n">
        <x:v>0</x:v>
      </x:c>
      <x:c r="R2178" s="35" t="n">
        <x:f>K2178*Q2178</x:f>
        <x:v>0</x:v>
      </x:c>
      <x:c r="S2178" s="35" t="n">
        <x:f>XLOOKUP(H2178,'菜品主数据'!$A$5:$A$24,'菜品主数据'!$G$5:$G$24,0)</x:f>
        <x:v>8.315000000000001</x:v>
      </x:c>
      <x:c r="T2178" s="35" t="n">
        <x:f>K2178*S2178</x:f>
        <x:v>41.575</x:v>
      </x:c>
      <x:c r="U2178" s="35" t="n">
        <x:f>L2178-N2178-P2178-R2178-T2178</x:f>
        <x:v>98.425</x:v>
      </x:c>
      <x:c r="V2178" s="21" t="n">
        <x:f>IFERROR(U2178/L2178,0)</x:f>
        <x:v>0.7030357142857143</x:v>
      </x:c>
    </x:row>
    <x:row r="2179">
      <x:c r="A2179" s="19" t="str">
        <x:v>SALE-02175</x:v>
      </x:c>
      <x:c r="B2179" s="34" t="n">
        <x:v>46215.5</x:v>
      </x:c>
      <x:c r="C2179" s="19" t="str">
        <x:v>周日</x:v>
      </x:c>
      <x:c r="D2179" s="19" t="str">
        <x:v>S08</x:v>
      </x:c>
      <x:c r="E2179" s="19" t="str">
        <x:v>四季青店</x:v>
      </x:c>
      <x:c r="F2179" s="19" t="str">
        <x:v>堂食</x:v>
      </x:c>
      <x:c r="G2179" s="19" t="str">
        <x:v>全日</x:v>
      </x:c>
      <x:c r="H2179" s="19" t="str">
        <x:v>D15</x:v>
      </x:c>
      <x:c r="I2179" s="19" t="str">
        <x:v>湘西土匪猪肝</x:v>
      </x:c>
      <x:c r="J2179" s="22" t="n">
        <x:f>XLOOKUP(H2179,'菜品主数据'!$A$5:$A$24,'菜品主数据'!$D$5:$D$24,0)</x:f>
        <x:v>26</x:v>
      </x:c>
      <x:c r="K2179" s="31" t="n">
        <x:v>4</x:v>
      </x:c>
      <x:c r="L2179" s="35" t="n">
        <x:f>J2179*K2179</x:f>
        <x:v>104</x:v>
      </x:c>
      <x:c r="M2179" s="36" t="n">
        <x:v>0</x:v>
      </x:c>
      <x:c r="N2179" s="35" t="n">
        <x:f>L2179*M2179</x:f>
        <x:v>0</x:v>
      </x:c>
      <x:c r="O2179" s="37" t="n">
        <x:v>0</x:v>
      </x:c>
      <x:c r="P2179" s="35" t="n">
        <x:f>L2179*O2179</x:f>
        <x:v>0</x:v>
      </x:c>
      <x:c r="Q2179" s="35" t="n">
        <x:v>0</x:v>
      </x:c>
      <x:c r="R2179" s="35" t="n">
        <x:f>K2179*Q2179</x:f>
        <x:v>0</x:v>
      </x:c>
      <x:c r="S2179" s="35" t="n">
        <x:f>XLOOKUP(H2179,'菜品主数据'!$A$5:$A$24,'菜品主数据'!$G$5:$G$24,0)</x:f>
        <x:v>6.3759999999999994</x:v>
      </x:c>
      <x:c r="T2179" s="35" t="n">
        <x:f>K2179*S2179</x:f>
        <x:v>25.503999999999998</x:v>
      </x:c>
      <x:c r="U2179" s="35" t="n">
        <x:f>L2179-N2179-P2179-R2179-T2179</x:f>
        <x:v>78.49600000000001</x:v>
      </x:c>
      <x:c r="V2179" s="21" t="n">
        <x:f>IFERROR(U2179/L2179,0)</x:f>
        <x:v>0.7547692307692309</x:v>
      </x:c>
    </x:row>
    <x:row r="2180">
      <x:c r="A2180" s="19" t="str">
        <x:v>SALE-02176</x:v>
      </x:c>
      <x:c r="B2180" s="34" t="n">
        <x:v>46215.5</x:v>
      </x:c>
      <x:c r="C2180" s="19" t="str">
        <x:v>周日</x:v>
      </x:c>
      <x:c r="D2180" s="19" t="str">
        <x:v>S08</x:v>
      </x:c>
      <x:c r="E2180" s="19" t="str">
        <x:v>四季青店</x:v>
      </x:c>
      <x:c r="F2180" s="19" t="str">
        <x:v>堂食</x:v>
      </x:c>
      <x:c r="G2180" s="19" t="str">
        <x:v>全日</x:v>
      </x:c>
      <x:c r="H2180" s="19" t="str">
        <x:v>D16</x:v>
      </x:c>
      <x:c r="I2180" s="19" t="str">
        <x:v>小豆角炒五花</x:v>
      </x:c>
      <x:c r="J2180" s="22" t="n">
        <x:f>XLOOKUP(H2180,'菜品主数据'!$A$5:$A$24,'菜品主数据'!$D$5:$D$24,0)</x:f>
        <x:v>25</x:v>
      </x:c>
      <x:c r="K2180" s="31" t="n">
        <x:v>4</x:v>
      </x:c>
      <x:c r="L2180" s="35" t="n">
        <x:f>J2180*K2180</x:f>
        <x:v>100</x:v>
      </x:c>
      <x:c r="M2180" s="36" t="n">
        <x:v>0</x:v>
      </x:c>
      <x:c r="N2180" s="35" t="n">
        <x:f>L2180*M2180</x:f>
        <x:v>0</x:v>
      </x:c>
      <x:c r="O2180" s="37" t="n">
        <x:v>0</x:v>
      </x:c>
      <x:c r="P2180" s="35" t="n">
        <x:f>L2180*O2180</x:f>
        <x:v>0</x:v>
      </x:c>
      <x:c r="Q2180" s="35" t="n">
        <x:v>0</x:v>
      </x:c>
      <x:c r="R2180" s="35" t="n">
        <x:f>K2180*Q2180</x:f>
        <x:v>0</x:v>
      </x:c>
      <x:c r="S2180" s="35" t="n">
        <x:f>XLOOKUP(H2180,'菜品主数据'!$A$5:$A$24,'菜品主数据'!$G$5:$G$24,0)</x:f>
        <x:v>8.184</x:v>
      </x:c>
      <x:c r="T2180" s="35" t="n">
        <x:f>K2180*S2180</x:f>
        <x:v>32.736</x:v>
      </x:c>
      <x:c r="U2180" s="35" t="n">
        <x:f>L2180-N2180-P2180-R2180-T2180</x:f>
        <x:v>67.26400000000001</x:v>
      </x:c>
      <x:c r="V2180" s="21" t="n">
        <x:f>IFERROR(U2180/L2180,0)</x:f>
        <x:v>0.6726400000000001</x:v>
      </x:c>
    </x:row>
    <x:row r="2181">
      <x:c r="A2181" s="19" t="str">
        <x:v>SALE-02177</x:v>
      </x:c>
      <x:c r="B2181" s="34" t="n">
        <x:v>46215.5</x:v>
      </x:c>
      <x:c r="C2181" s="19" t="str">
        <x:v>周日</x:v>
      </x:c>
      <x:c r="D2181" s="19" t="str">
        <x:v>S08</x:v>
      </x:c>
      <x:c r="E2181" s="19" t="str">
        <x:v>四季青店</x:v>
      </x:c>
      <x:c r="F2181" s="19" t="str">
        <x:v>堂食</x:v>
      </x:c>
      <x:c r="G2181" s="19" t="str">
        <x:v>全日</x:v>
      </x:c>
      <x:c r="H2181" s="19" t="str">
        <x:v>D17</x:v>
      </x:c>
      <x:c r="I2181" s="19" t="str">
        <x:v>蒜蓉粉丝虾</x:v>
      </x:c>
      <x:c r="J2181" s="22" t="n">
        <x:f>XLOOKUP(H2181,'菜品主数据'!$A$5:$A$24,'菜品主数据'!$D$5:$D$24,0)</x:f>
        <x:v>36</x:v>
      </x:c>
      <x:c r="K2181" s="31" t="n">
        <x:v>3</x:v>
      </x:c>
      <x:c r="L2181" s="35" t="n">
        <x:f>J2181*K2181</x:f>
        <x:v>108</x:v>
      </x:c>
      <x:c r="M2181" s="36" t="n">
        <x:v>0</x:v>
      </x:c>
      <x:c r="N2181" s="35" t="n">
        <x:f>L2181*M2181</x:f>
        <x:v>0</x:v>
      </x:c>
      <x:c r="O2181" s="37" t="n">
        <x:v>0</x:v>
      </x:c>
      <x:c r="P2181" s="35" t="n">
        <x:f>L2181*O2181</x:f>
        <x:v>0</x:v>
      </x:c>
      <x:c r="Q2181" s="35" t="n">
        <x:v>0</x:v>
      </x:c>
      <x:c r="R2181" s="35" t="n">
        <x:f>K2181*Q2181</x:f>
        <x:v>0</x:v>
      </x:c>
      <x:c r="S2181" s="35" t="n">
        <x:f>XLOOKUP(H2181,'菜品主数据'!$A$5:$A$24,'菜品主数据'!$G$5:$G$24,0)</x:f>
        <x:v>13.594</x:v>
      </x:c>
      <x:c r="T2181" s="35" t="n">
        <x:f>K2181*S2181</x:f>
        <x:v>40.782</x:v>
      </x:c>
      <x:c r="U2181" s="35" t="n">
        <x:f>L2181-N2181-P2181-R2181-T2181</x:f>
        <x:v>67.218</x:v>
      </x:c>
      <x:c r="V2181" s="21" t="n">
        <x:f>IFERROR(U2181/L2181,0)</x:f>
        <x:v>0.6223888888888889</x:v>
      </x:c>
    </x:row>
    <x:row r="2182">
      <x:c r="A2182" s="19" t="str">
        <x:v>SALE-02178</x:v>
      </x:c>
      <x:c r="B2182" s="34" t="n">
        <x:v>46215.5</x:v>
      </x:c>
      <x:c r="C2182" s="19" t="str">
        <x:v>周日</x:v>
      </x:c>
      <x:c r="D2182" s="19" t="str">
        <x:v>S08</x:v>
      </x:c>
      <x:c r="E2182" s="19" t="str">
        <x:v>四季青店</x:v>
      </x:c>
      <x:c r="F2182" s="19" t="str">
        <x:v>堂食</x:v>
      </x:c>
      <x:c r="G2182" s="19" t="str">
        <x:v>全日</x:v>
      </x:c>
      <x:c r="H2182" s="19" t="str">
        <x:v>D18</x:v>
      </x:c>
      <x:c r="I2182" s="19" t="str">
        <x:v>青椒炒油麦菜</x:v>
      </x:c>
      <x:c r="J2182" s="22" t="n">
        <x:f>XLOOKUP(H2182,'菜品主数据'!$A$5:$A$24,'菜品主数据'!$D$5:$D$24,0)</x:f>
        <x:v>18</x:v>
      </x:c>
      <x:c r="K2182" s="31" t="n">
        <x:v>5</x:v>
      </x:c>
      <x:c r="L2182" s="35" t="n">
        <x:f>J2182*K2182</x:f>
        <x:v>90</x:v>
      </x:c>
      <x:c r="M2182" s="36" t="n">
        <x:v>0</x:v>
      </x:c>
      <x:c r="N2182" s="35" t="n">
        <x:f>L2182*M2182</x:f>
        <x:v>0</x:v>
      </x:c>
      <x:c r="O2182" s="37" t="n">
        <x:v>0</x:v>
      </x:c>
      <x:c r="P2182" s="35" t="n">
        <x:f>L2182*O2182</x:f>
        <x:v>0</x:v>
      </x:c>
      <x:c r="Q2182" s="35" t="n">
        <x:v>0</x:v>
      </x:c>
      <x:c r="R2182" s="35" t="n">
        <x:f>K2182*Q2182</x:f>
        <x:v>0</x:v>
      </x:c>
      <x:c r="S2182" s="35" t="n">
        <x:f>XLOOKUP(H2182,'菜品主数据'!$A$5:$A$24,'菜品主数据'!$G$5:$G$24,0)</x:f>
        <x:v>3.1759999999999993</x:v>
      </x:c>
      <x:c r="T2182" s="35" t="n">
        <x:f>K2182*S2182</x:f>
        <x:v>15.879999999999995</x:v>
      </x:c>
      <x:c r="U2182" s="35" t="n">
        <x:f>L2182-N2182-P2182-R2182-T2182</x:f>
        <x:v>74.12</x:v>
      </x:c>
      <x:c r="V2182" s="21" t="n">
        <x:f>IFERROR(U2182/L2182,0)</x:f>
        <x:v>0.8235555555555556</x:v>
      </x:c>
    </x:row>
    <x:row r="2183">
      <x:c r="A2183" s="19" t="str">
        <x:v>SALE-02179</x:v>
      </x:c>
      <x:c r="B2183" s="34" t="n">
        <x:v>46215.5</x:v>
      </x:c>
      <x:c r="C2183" s="19" t="str">
        <x:v>周日</x:v>
      </x:c>
      <x:c r="D2183" s="19" t="str">
        <x:v>S08</x:v>
      </x:c>
      <x:c r="E2183" s="19" t="str">
        <x:v>四季青店</x:v>
      </x:c>
      <x:c r="F2183" s="19" t="str">
        <x:v>堂食</x:v>
      </x:c>
      <x:c r="G2183" s="19" t="str">
        <x:v>全日</x:v>
      </x:c>
      <x:c r="H2183" s="19" t="str">
        <x:v>D19</x:v>
      </x:c>
      <x:c r="I2183" s="19" t="str">
        <x:v>酸萝卜炒鸡杂</x:v>
      </x:c>
      <x:c r="J2183" s="22" t="n">
        <x:f>XLOOKUP(H2183,'菜品主数据'!$A$5:$A$24,'菜品主数据'!$D$5:$D$24,0)</x:f>
        <x:v>25</x:v>
      </x:c>
      <x:c r="K2183" s="31" t="n">
        <x:v>4</x:v>
      </x:c>
      <x:c r="L2183" s="35" t="n">
        <x:f>J2183*K2183</x:f>
        <x:v>100</x:v>
      </x:c>
      <x:c r="M2183" s="36" t="n">
        <x:v>0</x:v>
      </x:c>
      <x:c r="N2183" s="35" t="n">
        <x:f>L2183*M2183</x:f>
        <x:v>0</x:v>
      </x:c>
      <x:c r="O2183" s="37" t="n">
        <x:v>0</x:v>
      </x:c>
      <x:c r="P2183" s="35" t="n">
        <x:f>L2183*O2183</x:f>
        <x:v>0</x:v>
      </x:c>
      <x:c r="Q2183" s="35" t="n">
        <x:v>0</x:v>
      </x:c>
      <x:c r="R2183" s="35" t="n">
        <x:f>K2183*Q2183</x:f>
        <x:v>0</x:v>
      </x:c>
      <x:c r="S2183" s="35" t="n">
        <x:f>XLOOKUP(H2183,'菜品主数据'!$A$5:$A$24,'菜品主数据'!$G$5:$G$24,0)</x:f>
        <x:v>7.9399999999999995</x:v>
      </x:c>
      <x:c r="T2183" s="35" t="n">
        <x:f>K2183*S2183</x:f>
        <x:v>31.759999999999998</x:v>
      </x:c>
      <x:c r="U2183" s="35" t="n">
        <x:f>L2183-N2183-P2183-R2183-T2183</x:f>
        <x:v>68.24000000000001</x:v>
      </x:c>
      <x:c r="V2183" s="21" t="n">
        <x:f>IFERROR(U2183/L2183,0)</x:f>
        <x:v>0.6824000000000001</x:v>
      </x:c>
    </x:row>
    <x:row r="2184">
      <x:c r="A2184" s="19" t="str">
        <x:v>SALE-02180</x:v>
      </x:c>
      <x:c r="B2184" s="34" t="n">
        <x:v>46215.5</x:v>
      </x:c>
      <x:c r="C2184" s="19" t="str">
        <x:v>周日</x:v>
      </x:c>
      <x:c r="D2184" s="19" t="str">
        <x:v>S08</x:v>
      </x:c>
      <x:c r="E2184" s="19" t="str">
        <x:v>四季青店</x:v>
      </x:c>
      <x:c r="F2184" s="19" t="str">
        <x:v>堂食</x:v>
      </x:c>
      <x:c r="G2184" s="19" t="str">
        <x:v>全日</x:v>
      </x:c>
      <x:c r="H2184" s="19" t="str">
        <x:v>D20</x:v>
      </x:c>
      <x:c r="I2184" s="19" t="str">
        <x:v>雪菜肉末青豆</x:v>
      </x:c>
      <x:c r="J2184" s="22" t="n">
        <x:f>XLOOKUP(H2184,'菜品主数据'!$A$5:$A$24,'菜品主数据'!$D$5:$D$24,0)</x:f>
        <x:v>18</x:v>
      </x:c>
      <x:c r="K2184" s="31" t="n">
        <x:v>5</x:v>
      </x:c>
      <x:c r="L2184" s="35" t="n">
        <x:f>J2184*K2184</x:f>
        <x:v>90</x:v>
      </x:c>
      <x:c r="M2184" s="36" t="n">
        <x:v>0</x:v>
      </x:c>
      <x:c r="N2184" s="35" t="n">
        <x:f>L2184*M2184</x:f>
        <x:v>0</x:v>
      </x:c>
      <x:c r="O2184" s="37" t="n">
        <x:v>0</x:v>
      </x:c>
      <x:c r="P2184" s="35" t="n">
        <x:f>L2184*O2184</x:f>
        <x:v>0</x:v>
      </x:c>
      <x:c r="Q2184" s="35" t="n">
        <x:v>0</x:v>
      </x:c>
      <x:c r="R2184" s="35" t="n">
        <x:f>K2184*Q2184</x:f>
        <x:v>0</x:v>
      </x:c>
      <x:c r="S2184" s="35" t="n">
        <x:f>XLOOKUP(H2184,'菜品主数据'!$A$5:$A$24,'菜品主数据'!$G$5:$G$24,0)</x:f>
        <x:v>7.303999999999999</x:v>
      </x:c>
      <x:c r="T2184" s="35" t="n">
        <x:f>K2184*S2184</x:f>
        <x:v>36.519999999999996</x:v>
      </x:c>
      <x:c r="U2184" s="35" t="n">
        <x:f>L2184-N2184-P2184-R2184-T2184</x:f>
        <x:v>53.480000000000004</x:v>
      </x:c>
      <x:c r="V2184" s="21" t="n">
        <x:f>IFERROR(U2184/L2184,0)</x:f>
        <x:v>0.5942222222222223</x:v>
      </x:c>
    </x:row>
    <x:row r="2185">
      <x:c r="A2185" s="19" t="str">
        <x:v>SALE-02181</x:v>
      </x:c>
      <x:c r="B2185" s="34" t="n">
        <x:v>46215.5</x:v>
      </x:c>
      <x:c r="C2185" s="19" t="str">
        <x:v>周日</x:v>
      </x:c>
      <x:c r="D2185" s="19" t="str">
        <x:v>S08</x:v>
      </x:c>
      <x:c r="E2185" s="19" t="str">
        <x:v>四季青店</x:v>
      </x:c>
      <x:c r="F2185" s="19" t="str">
        <x:v>外卖</x:v>
      </x:c>
      <x:c r="G2185" s="19" t="str">
        <x:v>全日</x:v>
      </x:c>
      <x:c r="H2185" s="19" t="str">
        <x:v>D01</x:v>
      </x:c>
      <x:c r="I2185" s="19" t="str">
        <x:v>辣椒炒肉</x:v>
      </x:c>
      <x:c r="J2185" s="22" t="n">
        <x:f>XLOOKUP(H2185,'菜品主数据'!$A$5:$A$24,'菜品主数据'!$D$5:$D$24,0)</x:f>
        <x:v>29</x:v>
      </x:c>
      <x:c r="K2185" s="31" t="n">
        <x:v>3</x:v>
      </x:c>
      <x:c r="L2185" s="35" t="n">
        <x:f>J2185*K2185</x:f>
        <x:v>87</x:v>
      </x:c>
      <x:c r="M2185" s="36" t="n">
        <x:v>0.08</x:v>
      </x:c>
      <x:c r="N2185" s="35" t="n">
        <x:f>L2185*M2185</x:f>
        <x:v>6.96</x:v>
      </x:c>
      <x:c r="O2185" s="37" t="n">
        <x:v>0.18</x:v>
      </x:c>
      <x:c r="P2185" s="35" t="n">
        <x:f>L2185*O2185</x:f>
        <x:v>15.66</x:v>
      </x:c>
      <x:c r="Q2185" s="35" t="n">
        <x:v>1.2</x:v>
      </x:c>
      <x:c r="R2185" s="35" t="n">
        <x:f>K2185*Q2185</x:f>
        <x:v>3.5999999999999996</x:v>
      </x:c>
      <x:c r="S2185" s="35" t="n">
        <x:f>XLOOKUP(H2185,'菜品主数据'!$A$5:$A$24,'菜品主数据'!$G$5:$G$24,0)</x:f>
        <x:v>8.634400000000001</x:v>
      </x:c>
      <x:c r="T2185" s="35" t="n">
        <x:f>K2185*S2185</x:f>
        <x:v>25.903200000000005</x:v>
      </x:c>
      <x:c r="U2185" s="35" t="n">
        <x:f>L2185-N2185-P2185-R2185-T2185</x:f>
        <x:v>34.8768</x:v>
      </x:c>
      <x:c r="V2185" s="21" t="n">
        <x:f>IFERROR(U2185/L2185,0)</x:f>
        <x:v>0.40088275862068967</x:v>
      </x:c>
    </x:row>
    <x:row r="2186">
      <x:c r="A2186" s="19" t="str">
        <x:v>SALE-02182</x:v>
      </x:c>
      <x:c r="B2186" s="34" t="n">
        <x:v>46215.5</x:v>
      </x:c>
      <x:c r="C2186" s="19" t="str">
        <x:v>周日</x:v>
      </x:c>
      <x:c r="D2186" s="19" t="str">
        <x:v>S08</x:v>
      </x:c>
      <x:c r="E2186" s="19" t="str">
        <x:v>四季青店</x:v>
      </x:c>
      <x:c r="F2186" s="19" t="str">
        <x:v>外卖</x:v>
      </x:c>
      <x:c r="G2186" s="19" t="str">
        <x:v>全日</x:v>
      </x:c>
      <x:c r="H2186" s="19" t="str">
        <x:v>D02</x:v>
      </x:c>
      <x:c r="I2186" s="19" t="str">
        <x:v>小炒黄牛肉</x:v>
      </x:c>
      <x:c r="J2186" s="22" t="n">
        <x:f>XLOOKUP(H2186,'菜品主数据'!$A$5:$A$24,'菜品主数据'!$D$5:$D$24,0)</x:f>
        <x:v>49</x:v>
      </x:c>
      <x:c r="K2186" s="31" t="n">
        <x:v>6</x:v>
      </x:c>
      <x:c r="L2186" s="35" t="n">
        <x:f>J2186*K2186</x:f>
        <x:v>294</x:v>
      </x:c>
      <x:c r="M2186" s="36" t="n">
        <x:v>0.08</x:v>
      </x:c>
      <x:c r="N2186" s="35" t="n">
        <x:f>L2186*M2186</x:f>
        <x:v>23.52</x:v>
      </x:c>
      <x:c r="O2186" s="37" t="n">
        <x:v>0.18</x:v>
      </x:c>
      <x:c r="P2186" s="35" t="n">
        <x:f>L2186*O2186</x:f>
        <x:v>52.919999999999995</x:v>
      </x:c>
      <x:c r="Q2186" s="35" t="n">
        <x:v>1.2</x:v>
      </x:c>
      <x:c r="R2186" s="35" t="n">
        <x:f>K2186*Q2186</x:f>
        <x:v>7.199999999999999</x:v>
      </x:c>
      <x:c r="S2186" s="35" t="n">
        <x:f>XLOOKUP(H2186,'菜品主数据'!$A$5:$A$24,'菜品主数据'!$G$5:$G$24,0)</x:f>
        <x:v>17.577</x:v>
      </x:c>
      <x:c r="T2186" s="35" t="n">
        <x:f>K2186*S2186</x:f>
        <x:v>105.46200000000002</x:v>
      </x:c>
      <x:c r="U2186" s="35" t="n">
        <x:f>L2186-N2186-P2186-R2186-T2186</x:f>
        <x:v>104.89800000000002</x:v>
      </x:c>
      <x:c r="V2186" s="21" t="n">
        <x:f>IFERROR(U2186/L2186,0)</x:f>
        <x:v>0.35679591836734703</x:v>
      </x:c>
    </x:row>
    <x:row r="2187">
      <x:c r="A2187" s="19" t="str">
        <x:v>SALE-02183</x:v>
      </x:c>
      <x:c r="B2187" s="34" t="n">
        <x:v>46215.5</x:v>
      </x:c>
      <x:c r="C2187" s="19" t="str">
        <x:v>周日</x:v>
      </x:c>
      <x:c r="D2187" s="19" t="str">
        <x:v>S08</x:v>
      </x:c>
      <x:c r="E2187" s="19" t="str">
        <x:v>四季青店</x:v>
      </x:c>
      <x:c r="F2187" s="19" t="str">
        <x:v>外卖</x:v>
      </x:c>
      <x:c r="G2187" s="19" t="str">
        <x:v>全日</x:v>
      </x:c>
      <x:c r="H2187" s="19" t="str">
        <x:v>D03</x:v>
      </x:c>
      <x:c r="I2187" s="19" t="str">
        <x:v>香醋炒蛋</x:v>
      </x:c>
      <x:c r="J2187" s="22" t="n">
        <x:f>XLOOKUP(H2187,'菜品主数据'!$A$5:$A$24,'菜品主数据'!$D$5:$D$24,0)</x:f>
        <x:v>14.9</x:v>
      </x:c>
      <x:c r="K2187" s="31" t="n">
        <x:v>2</x:v>
      </x:c>
      <x:c r="L2187" s="35" t="n">
        <x:f>J2187*K2187</x:f>
        <x:v>29.8</x:v>
      </x:c>
      <x:c r="M2187" s="36" t="n">
        <x:v>0.08</x:v>
      </x:c>
      <x:c r="N2187" s="35" t="n">
        <x:f>L2187*M2187</x:f>
        <x:v>2.384</x:v>
      </x:c>
      <x:c r="O2187" s="37" t="n">
        <x:v>0.18</x:v>
      </x:c>
      <x:c r="P2187" s="35" t="n">
        <x:f>L2187*O2187</x:f>
        <x:v>5.364</x:v>
      </x:c>
      <x:c r="Q2187" s="35" t="n">
        <x:v>1.2</x:v>
      </x:c>
      <x:c r="R2187" s="35" t="n">
        <x:f>K2187*Q2187</x:f>
        <x:v>2.4</x:v>
      </x:c>
      <x:c r="S2187" s="35" t="n">
        <x:f>XLOOKUP(H2187,'菜品主数据'!$A$5:$A$24,'菜品主数据'!$G$5:$G$24,0)</x:f>
        <x:v>3.7459999999999996</x:v>
      </x:c>
      <x:c r="T2187" s="35" t="n">
        <x:f>K2187*S2187</x:f>
        <x:v>7.491999999999999</x:v>
      </x:c>
      <x:c r="U2187" s="35" t="n">
        <x:f>L2187-N2187-P2187-R2187-T2187</x:f>
        <x:v>12.160000000000002</x:v>
      </x:c>
      <x:c r="V2187" s="21" t="n">
        <x:f>IFERROR(U2187/L2187,0)</x:f>
        <x:v>0.40805369127516783</x:v>
      </x:c>
    </x:row>
    <x:row r="2188">
      <x:c r="A2188" s="19" t="str">
        <x:v>SALE-02184</x:v>
      </x:c>
      <x:c r="B2188" s="34" t="n">
        <x:v>46215.5</x:v>
      </x:c>
      <x:c r="C2188" s="19" t="str">
        <x:v>周日</x:v>
      </x:c>
      <x:c r="D2188" s="19" t="str">
        <x:v>S08</x:v>
      </x:c>
      <x:c r="E2188" s="19" t="str">
        <x:v>四季青店</x:v>
      </x:c>
      <x:c r="F2188" s="19" t="str">
        <x:v>外卖</x:v>
      </x:c>
      <x:c r="G2188" s="19" t="str">
        <x:v>全日</x:v>
      </x:c>
      <x:c r="H2188" s="19" t="str">
        <x:v>D04</x:v>
      </x:c>
      <x:c r="I2188" s="19" t="str">
        <x:v>酸包菜炒粉皮</x:v>
      </x:c>
      <x:c r="J2188" s="22" t="n">
        <x:f>XLOOKUP(H2188,'菜品主数据'!$A$5:$A$24,'菜品主数据'!$D$5:$D$24,0)</x:f>
        <x:v>16</x:v>
      </x:c>
      <x:c r="K2188" s="31" t="n">
        <x:v>2</x:v>
      </x:c>
      <x:c r="L2188" s="35" t="n">
        <x:f>J2188*K2188</x:f>
        <x:v>32</x:v>
      </x:c>
      <x:c r="M2188" s="36" t="n">
        <x:v>0.08</x:v>
      </x:c>
      <x:c r="N2188" s="35" t="n">
        <x:f>L2188*M2188</x:f>
        <x:v>2.56</x:v>
      </x:c>
      <x:c r="O2188" s="37" t="n">
        <x:v>0.18</x:v>
      </x:c>
      <x:c r="P2188" s="35" t="n">
        <x:f>L2188*O2188</x:f>
        <x:v>5.76</x:v>
      </x:c>
      <x:c r="Q2188" s="35" t="n">
        <x:v>1.2</x:v>
      </x:c>
      <x:c r="R2188" s="35" t="n">
        <x:f>K2188*Q2188</x:f>
        <x:v>2.4</x:v>
      </x:c>
      <x:c r="S2188" s="35" t="n">
        <x:f>XLOOKUP(H2188,'菜品主数据'!$A$5:$A$24,'菜品主数据'!$G$5:$G$24,0)</x:f>
        <x:v>3.978</x:v>
      </x:c>
      <x:c r="T2188" s="35" t="n">
        <x:f>K2188*S2188</x:f>
        <x:v>7.956</x:v>
      </x:c>
      <x:c r="U2188" s="35" t="n">
        <x:f>L2188-N2188-P2188-R2188-T2188</x:f>
        <x:v>13.324000000000002</x:v>
      </x:c>
      <x:c r="V2188" s="21" t="n">
        <x:f>IFERROR(U2188/L2188,0)</x:f>
        <x:v>0.41637500000000005</x:v>
      </x:c>
    </x:row>
    <x:row r="2189">
      <x:c r="A2189" s="19" t="str">
        <x:v>SALE-02185</x:v>
      </x:c>
      <x:c r="B2189" s="34" t="n">
        <x:v>46215.5</x:v>
      </x:c>
      <x:c r="C2189" s="19" t="str">
        <x:v>周日</x:v>
      </x:c>
      <x:c r="D2189" s="19" t="str">
        <x:v>S08</x:v>
      </x:c>
      <x:c r="E2189" s="19" t="str">
        <x:v>四季青店</x:v>
      </x:c>
      <x:c r="F2189" s="19" t="str">
        <x:v>外卖</x:v>
      </x:c>
      <x:c r="G2189" s="19" t="str">
        <x:v>全日</x:v>
      </x:c>
      <x:c r="H2189" s="19" t="str">
        <x:v>D05</x:v>
      </x:c>
      <x:c r="I2189" s="19" t="str">
        <x:v>麻婆豆腐</x:v>
      </x:c>
      <x:c r="J2189" s="22" t="n">
        <x:f>XLOOKUP(H2189,'菜品主数据'!$A$5:$A$24,'菜品主数据'!$D$5:$D$24,0)</x:f>
        <x:v>9.9</x:v>
      </x:c>
      <x:c r="K2189" s="31" t="n">
        <x:v>3</x:v>
      </x:c>
      <x:c r="L2189" s="35" t="n">
        <x:f>J2189*K2189</x:f>
        <x:v>29.700000000000003</x:v>
      </x:c>
      <x:c r="M2189" s="36" t="n">
        <x:v>0.08</x:v>
      </x:c>
      <x:c r="N2189" s="35" t="n">
        <x:f>L2189*M2189</x:f>
        <x:v>2.3760000000000003</x:v>
      </x:c>
      <x:c r="O2189" s="37" t="n">
        <x:v>0.18</x:v>
      </x:c>
      <x:c r="P2189" s="35" t="n">
        <x:f>L2189*O2189</x:f>
        <x:v>5.346</x:v>
      </x:c>
      <x:c r="Q2189" s="35" t="n">
        <x:v>1.2</x:v>
      </x:c>
      <x:c r="R2189" s="35" t="n">
        <x:f>K2189*Q2189</x:f>
        <x:v>3.5999999999999996</x:v>
      </x:c>
      <x:c r="S2189" s="35" t="n">
        <x:f>XLOOKUP(H2189,'菜品主数据'!$A$5:$A$24,'菜品主数据'!$G$5:$G$24,0)</x:f>
        <x:v>5.367000000000001</x:v>
      </x:c>
      <x:c r="T2189" s="35" t="n">
        <x:f>K2189*S2189</x:f>
        <x:v>16.101000000000003</x:v>
      </x:c>
      <x:c r="U2189" s="35" t="n">
        <x:f>L2189-N2189-P2189-R2189-T2189</x:f>
        <x:v>2.2769999999999975</x:v>
      </x:c>
      <x:c r="V2189" s="21" t="n">
        <x:f>IFERROR(U2189/L2189,0)</x:f>
        <x:v>0.07666666666666658</x:v>
      </x:c>
    </x:row>
    <x:row r="2190">
      <x:c r="A2190" s="19" t="str">
        <x:v>SALE-02186</x:v>
      </x:c>
      <x:c r="B2190" s="34" t="n">
        <x:v>46215.5</x:v>
      </x:c>
      <x:c r="C2190" s="19" t="str">
        <x:v>周日</x:v>
      </x:c>
      <x:c r="D2190" s="19" t="str">
        <x:v>S08</x:v>
      </x:c>
      <x:c r="E2190" s="19" t="str">
        <x:v>四季青店</x:v>
      </x:c>
      <x:c r="F2190" s="19" t="str">
        <x:v>外卖</x:v>
      </x:c>
      <x:c r="G2190" s="19" t="str">
        <x:v>全日</x:v>
      </x:c>
      <x:c r="H2190" s="19" t="str">
        <x:v>D06</x:v>
      </x:c>
      <x:c r="I2190" s="19" t="str">
        <x:v>剁椒鱼头</x:v>
      </x:c>
      <x:c r="J2190" s="22" t="n">
        <x:f>XLOOKUP(H2190,'菜品主数据'!$A$5:$A$24,'菜品主数据'!$D$5:$D$24,0)</x:f>
        <x:v>39</x:v>
      </x:c>
      <x:c r="K2190" s="31" t="n">
        <x:v>0</x:v>
      </x:c>
      <x:c r="L2190" s="35" t="n">
        <x:f>J2190*K2190</x:f>
        <x:v>0</x:v>
      </x:c>
      <x:c r="M2190" s="36" t="n">
        <x:v>0.08</x:v>
      </x:c>
      <x:c r="N2190" s="35" t="n">
        <x:f>L2190*M2190</x:f>
        <x:v>0</x:v>
      </x:c>
      <x:c r="O2190" s="37" t="n">
        <x:v>0.18</x:v>
      </x:c>
      <x:c r="P2190" s="35" t="n">
        <x:f>L2190*O2190</x:f>
        <x:v>0</x:v>
      </x:c>
      <x:c r="Q2190" s="35" t="n">
        <x:v>1.2</x:v>
      </x:c>
      <x:c r="R2190" s="35" t="n">
        <x:f>K2190*Q2190</x:f>
        <x:v>0</x:v>
      </x:c>
      <x:c r="S2190" s="35" t="n">
        <x:f>XLOOKUP(H2190,'菜品主数据'!$A$5:$A$24,'菜品主数据'!$G$5:$G$24,0)</x:f>
        <x:v>17.446</x:v>
      </x:c>
      <x:c r="T2190" s="35" t="n">
        <x:f>K2190*S2190</x:f>
        <x:v>0</x:v>
      </x:c>
      <x:c r="U2190" s="35" t="n">
        <x:f>L2190-N2190-P2190-R2190-T2190</x:f>
        <x:v>0</x:v>
      </x:c>
      <x:c r="V2190" s="21" t="n">
        <x:f>IFERROR(U2190/L2190,0)</x:f>
        <x:v>0</x:v>
      </x:c>
    </x:row>
    <x:row r="2191">
      <x:c r="A2191" s="19" t="str">
        <x:v>SALE-02187</x:v>
      </x:c>
      <x:c r="B2191" s="34" t="n">
        <x:v>46215.5</x:v>
      </x:c>
      <x:c r="C2191" s="19" t="str">
        <x:v>周日</x:v>
      </x:c>
      <x:c r="D2191" s="19" t="str">
        <x:v>S08</x:v>
      </x:c>
      <x:c r="E2191" s="19" t="str">
        <x:v>四季青店</x:v>
      </x:c>
      <x:c r="F2191" s="19" t="str">
        <x:v>外卖</x:v>
      </x:c>
      <x:c r="G2191" s="19" t="str">
        <x:v>全日</x:v>
      </x:c>
      <x:c r="H2191" s="19" t="str">
        <x:v>D07</x:v>
      </x:c>
      <x:c r="I2191" s="19" t="str">
        <x:v>川味回锅肉</x:v>
      </x:c>
      <x:c r="J2191" s="22" t="n">
        <x:f>XLOOKUP(H2191,'菜品主数据'!$A$5:$A$24,'菜品主数据'!$D$5:$D$24,0)</x:f>
        <x:v>29</x:v>
      </x:c>
      <x:c r="K2191" s="31" t="n">
        <x:v>1</x:v>
      </x:c>
      <x:c r="L2191" s="35" t="n">
        <x:f>J2191*K2191</x:f>
        <x:v>29</x:v>
      </x:c>
      <x:c r="M2191" s="36" t="n">
        <x:v>0.08</x:v>
      </x:c>
      <x:c r="N2191" s="35" t="n">
        <x:f>L2191*M2191</x:f>
        <x:v>2.32</x:v>
      </x:c>
      <x:c r="O2191" s="37" t="n">
        <x:v>0.18</x:v>
      </x:c>
      <x:c r="P2191" s="35" t="n">
        <x:f>L2191*O2191</x:f>
        <x:v>5.22</x:v>
      </x:c>
      <x:c r="Q2191" s="35" t="n">
        <x:v>1.2</x:v>
      </x:c>
      <x:c r="R2191" s="35" t="n">
        <x:f>K2191*Q2191</x:f>
        <x:v>1.2</x:v>
      </x:c>
      <x:c r="S2191" s="35" t="n">
        <x:f>XLOOKUP(H2191,'菜品主数据'!$A$5:$A$24,'菜品主数据'!$G$5:$G$24,0)</x:f>
        <x:v>10.231000000000002</x:v>
      </x:c>
      <x:c r="T2191" s="35" t="n">
        <x:f>K2191*S2191</x:f>
        <x:v>10.231000000000002</x:v>
      </x:c>
      <x:c r="U2191" s="35" t="n">
        <x:f>L2191-N2191-P2191-R2191-T2191</x:f>
        <x:v>10.029</x:v>
      </x:c>
      <x:c r="V2191" s="21" t="n">
        <x:f>IFERROR(U2191/L2191,0)</x:f>
        <x:v>0.3458275862068966</x:v>
      </x:c>
    </x:row>
    <x:row r="2192">
      <x:c r="A2192" s="19" t="str">
        <x:v>SALE-02188</x:v>
      </x:c>
      <x:c r="B2192" s="34" t="n">
        <x:v>46215.5</x:v>
      </x:c>
      <x:c r="C2192" s="19" t="str">
        <x:v>周日</x:v>
      </x:c>
      <x:c r="D2192" s="19" t="str">
        <x:v>S08</x:v>
      </x:c>
      <x:c r="E2192" s="19" t="str">
        <x:v>四季青店</x:v>
      </x:c>
      <x:c r="F2192" s="19" t="str">
        <x:v>外卖</x:v>
      </x:c>
      <x:c r="G2192" s="19" t="str">
        <x:v>全日</x:v>
      </x:c>
      <x:c r="H2192" s="19" t="str">
        <x:v>D08</x:v>
      </x:c>
      <x:c r="I2192" s="19" t="str">
        <x:v>生炒清远鸡</x:v>
      </x:c>
      <x:c r="J2192" s="22" t="n">
        <x:f>XLOOKUP(H2192,'菜品主数据'!$A$5:$A$24,'菜品主数据'!$D$5:$D$24,0)</x:f>
        <x:v>36</x:v>
      </x:c>
      <x:c r="K2192" s="31" t="n">
        <x:v>0</x:v>
      </x:c>
      <x:c r="L2192" s="35" t="n">
        <x:f>J2192*K2192</x:f>
        <x:v>0</x:v>
      </x:c>
      <x:c r="M2192" s="36" t="n">
        <x:v>0.08</x:v>
      </x:c>
      <x:c r="N2192" s="35" t="n">
        <x:f>L2192*M2192</x:f>
        <x:v>0</x:v>
      </x:c>
      <x:c r="O2192" s="37" t="n">
        <x:v>0.18</x:v>
      </x:c>
      <x:c r="P2192" s="35" t="n">
        <x:f>L2192*O2192</x:f>
        <x:v>0</x:v>
      </x:c>
      <x:c r="Q2192" s="35" t="n">
        <x:v>1.2</x:v>
      </x:c>
      <x:c r="R2192" s="35" t="n">
        <x:f>K2192*Q2192</x:f>
        <x:v>0</x:v>
      </x:c>
      <x:c r="S2192" s="35" t="n">
        <x:f>XLOOKUP(H2192,'菜品主数据'!$A$5:$A$24,'菜品主数据'!$G$5:$G$24,0)</x:f>
        <x:v>13.48</x:v>
      </x:c>
      <x:c r="T2192" s="35" t="n">
        <x:f>K2192*S2192</x:f>
        <x:v>0</x:v>
      </x:c>
      <x:c r="U2192" s="35" t="n">
        <x:f>L2192-N2192-P2192-R2192-T2192</x:f>
        <x:v>0</x:v>
      </x:c>
      <x:c r="V2192" s="21" t="n">
        <x:f>IFERROR(U2192/L2192,0)</x:f>
        <x:v>0</x:v>
      </x:c>
    </x:row>
    <x:row r="2193">
      <x:c r="A2193" s="19" t="str">
        <x:v>SALE-02189</x:v>
      </x:c>
      <x:c r="B2193" s="34" t="n">
        <x:v>46215.5</x:v>
      </x:c>
      <x:c r="C2193" s="19" t="str">
        <x:v>周日</x:v>
      </x:c>
      <x:c r="D2193" s="19" t="str">
        <x:v>S08</x:v>
      </x:c>
      <x:c r="E2193" s="19" t="str">
        <x:v>四季青店</x:v>
      </x:c>
      <x:c r="F2193" s="19" t="str">
        <x:v>外卖</x:v>
      </x:c>
      <x:c r="G2193" s="19" t="str">
        <x:v>全日</x:v>
      </x:c>
      <x:c r="H2193" s="19" t="str">
        <x:v>D09</x:v>
      </x:c>
      <x:c r="I2193" s="19" t="str">
        <x:v>炒豆干</x:v>
      </x:c>
      <x:c r="J2193" s="22" t="n">
        <x:f>XLOOKUP(H2193,'菜品主数据'!$A$5:$A$24,'菜品主数据'!$D$5:$D$24,0)</x:f>
        <x:v>18</x:v>
      </x:c>
      <x:c r="K2193" s="31" t="n">
        <x:v>1</x:v>
      </x:c>
      <x:c r="L2193" s="35" t="n">
        <x:f>J2193*K2193</x:f>
        <x:v>18</x:v>
      </x:c>
      <x:c r="M2193" s="36" t="n">
        <x:v>0.08</x:v>
      </x:c>
      <x:c r="N2193" s="35" t="n">
        <x:f>L2193*M2193</x:f>
        <x:v>1.44</x:v>
      </x:c>
      <x:c r="O2193" s="37" t="n">
        <x:v>0.18</x:v>
      </x:c>
      <x:c r="P2193" s="35" t="n">
        <x:f>L2193*O2193</x:f>
        <x:v>3.2399999999999998</x:v>
      </x:c>
      <x:c r="Q2193" s="35" t="n">
        <x:v>1.2</x:v>
      </x:c>
      <x:c r="R2193" s="35" t="n">
        <x:f>K2193*Q2193</x:f>
        <x:v>1.2</x:v>
      </x:c>
      <x:c r="S2193" s="35" t="n">
        <x:f>XLOOKUP(H2193,'菜品主数据'!$A$5:$A$24,'菜品主数据'!$G$5:$G$24,0)</x:f>
        <x:v>6.613999999999999</x:v>
      </x:c>
      <x:c r="T2193" s="35" t="n">
        <x:f>K2193*S2193</x:f>
        <x:v>6.613999999999999</x:v>
      </x:c>
      <x:c r="U2193" s="35" t="n">
        <x:f>L2193-N2193-P2193-R2193-T2193</x:f>
        <x:v>5.506</x:v>
      </x:c>
      <x:c r="V2193" s="21" t="n">
        <x:f>IFERROR(U2193/L2193,0)</x:f>
        <x:v>0.3058888888888889</x:v>
      </x:c>
    </x:row>
    <x:row r="2194">
      <x:c r="A2194" s="19" t="str">
        <x:v>SALE-02190</x:v>
      </x:c>
      <x:c r="B2194" s="34" t="n">
        <x:v>46215.5</x:v>
      </x:c>
      <x:c r="C2194" s="19" t="str">
        <x:v>周日</x:v>
      </x:c>
      <x:c r="D2194" s="19" t="str">
        <x:v>S08</x:v>
      </x:c>
      <x:c r="E2194" s="19" t="str">
        <x:v>四季青店</x:v>
      </x:c>
      <x:c r="F2194" s="19" t="str">
        <x:v>外卖</x:v>
      </x:c>
      <x:c r="G2194" s="19" t="str">
        <x:v>全日</x:v>
      </x:c>
      <x:c r="H2194" s="19" t="str">
        <x:v>D10</x:v>
      </x:c>
      <x:c r="I2194" s="19" t="str">
        <x:v>农家一碗香</x:v>
      </x:c>
      <x:c r="J2194" s="22" t="n">
        <x:f>XLOOKUP(H2194,'菜品主数据'!$A$5:$A$24,'菜品主数据'!$D$5:$D$24,0)</x:f>
        <x:v>22.9</x:v>
      </x:c>
      <x:c r="K2194" s="31" t="n">
        <x:v>1</x:v>
      </x:c>
      <x:c r="L2194" s="35" t="n">
        <x:f>J2194*K2194</x:f>
        <x:v>22.9</x:v>
      </x:c>
      <x:c r="M2194" s="36" t="n">
        <x:v>0.08</x:v>
      </x:c>
      <x:c r="N2194" s="35" t="n">
        <x:f>L2194*M2194</x:f>
        <x:v>1.8319999999999999</x:v>
      </x:c>
      <x:c r="O2194" s="37" t="n">
        <x:v>0.18</x:v>
      </x:c>
      <x:c r="P2194" s="35" t="n">
        <x:f>L2194*O2194</x:f>
        <x:v>4.122</x:v>
      </x:c>
      <x:c r="Q2194" s="35" t="n">
        <x:v>1.2</x:v>
      </x:c>
      <x:c r="R2194" s="35" t="n">
        <x:f>K2194*Q2194</x:f>
        <x:v>1.2</x:v>
      </x:c>
      <x:c r="S2194" s="35" t="n">
        <x:f>XLOOKUP(H2194,'菜品主数据'!$A$5:$A$24,'菜品主数据'!$G$5:$G$24,0)</x:f>
        <x:v>9.770200000000003</x:v>
      </x:c>
      <x:c r="T2194" s="35" t="n">
        <x:f>K2194*S2194</x:f>
        <x:v>9.770200000000003</x:v>
      </x:c>
      <x:c r="U2194" s="35" t="n">
        <x:f>L2194-N2194-P2194-R2194-T2194</x:f>
        <x:v>5.975799999999996</x:v>
      </x:c>
      <x:c r="V2194" s="21" t="n">
        <x:f>IFERROR(U2194/L2194,0)</x:f>
        <x:v>0.260951965065502</x:v>
      </x:c>
    </x:row>
    <x:row r="2195">
      <x:c r="A2195" s="19" t="str">
        <x:v>SALE-02191</x:v>
      </x:c>
      <x:c r="B2195" s="34" t="n">
        <x:v>46215.5</x:v>
      </x:c>
      <x:c r="C2195" s="19" t="str">
        <x:v>周日</x:v>
      </x:c>
      <x:c r="D2195" s="19" t="str">
        <x:v>S08</x:v>
      </x:c>
      <x:c r="E2195" s="19" t="str">
        <x:v>四季青店</x:v>
      </x:c>
      <x:c r="F2195" s="19" t="str">
        <x:v>外卖</x:v>
      </x:c>
      <x:c r="G2195" s="19" t="str">
        <x:v>全日</x:v>
      </x:c>
      <x:c r="H2195" s="19" t="str">
        <x:v>D11</x:v>
      </x:c>
      <x:c r="I2195" s="19" t="str">
        <x:v>香辣爆肥肠</x:v>
      </x:c>
      <x:c r="J2195" s="22" t="n">
        <x:f>XLOOKUP(H2195,'菜品主数据'!$A$5:$A$24,'菜品主数据'!$D$5:$D$24,0)</x:f>
        <x:v>39</x:v>
      </x:c>
      <x:c r="K2195" s="31" t="n">
        <x:v>0</x:v>
      </x:c>
      <x:c r="L2195" s="35" t="n">
        <x:f>J2195*K2195</x:f>
        <x:v>0</x:v>
      </x:c>
      <x:c r="M2195" s="36" t="n">
        <x:v>0.08</x:v>
      </x:c>
      <x:c r="N2195" s="35" t="n">
        <x:f>L2195*M2195</x:f>
        <x:v>0</x:v>
      </x:c>
      <x:c r="O2195" s="37" t="n">
        <x:v>0.18</x:v>
      </x:c>
      <x:c r="P2195" s="35" t="n">
        <x:f>L2195*O2195</x:f>
        <x:v>0</x:v>
      </x:c>
      <x:c r="Q2195" s="35" t="n">
        <x:v>1.2</x:v>
      </x:c>
      <x:c r="R2195" s="35" t="n">
        <x:f>K2195*Q2195</x:f>
        <x:v>0</x:v>
      </x:c>
      <x:c r="S2195" s="35" t="n">
        <x:f>XLOOKUP(H2195,'菜品主数据'!$A$5:$A$24,'菜品主数据'!$G$5:$G$24,0)</x:f>
        <x:v>10.397</x:v>
      </x:c>
      <x:c r="T2195" s="35" t="n">
        <x:f>K2195*S2195</x:f>
        <x:v>0</x:v>
      </x:c>
      <x:c r="U2195" s="35" t="n">
        <x:f>L2195-N2195-P2195-R2195-T2195</x:f>
        <x:v>0</x:v>
      </x:c>
      <x:c r="V2195" s="21" t="n">
        <x:f>IFERROR(U2195/L2195,0)</x:f>
        <x:v>0</x:v>
      </x:c>
    </x:row>
    <x:row r="2196">
      <x:c r="A2196" s="19" t="str">
        <x:v>SALE-02192</x:v>
      </x:c>
      <x:c r="B2196" s="34" t="n">
        <x:v>46215.5</x:v>
      </x:c>
      <x:c r="C2196" s="19" t="str">
        <x:v>周日</x:v>
      </x:c>
      <x:c r="D2196" s="19" t="str">
        <x:v>S08</x:v>
      </x:c>
      <x:c r="E2196" s="19" t="str">
        <x:v>四季青店</x:v>
      </x:c>
      <x:c r="F2196" s="19" t="str">
        <x:v>外卖</x:v>
      </x:c>
      <x:c r="G2196" s="19" t="str">
        <x:v>全日</x:v>
      </x:c>
      <x:c r="H2196" s="19" t="str">
        <x:v>D12</x:v>
      </x:c>
      <x:c r="I2196" s="19" t="str">
        <x:v>清蒸鲈鱼</x:v>
      </x:c>
      <x:c r="J2196" s="22" t="n">
        <x:f>XLOOKUP(H2196,'菜品主数据'!$A$5:$A$24,'菜品主数据'!$D$5:$D$24,0)</x:f>
        <x:v>39</x:v>
      </x:c>
      <x:c r="K2196" s="31" t="n">
        <x:v>0</x:v>
      </x:c>
      <x:c r="L2196" s="35" t="n">
        <x:f>J2196*K2196</x:f>
        <x:v>0</x:v>
      </x:c>
      <x:c r="M2196" s="36" t="n">
        <x:v>0.08</x:v>
      </x:c>
      <x:c r="N2196" s="35" t="n">
        <x:f>L2196*M2196</x:f>
        <x:v>0</x:v>
      </x:c>
      <x:c r="O2196" s="37" t="n">
        <x:v>0.18</x:v>
      </x:c>
      <x:c r="P2196" s="35" t="n">
        <x:f>L2196*O2196</x:f>
        <x:v>0</x:v>
      </x:c>
      <x:c r="Q2196" s="35" t="n">
        <x:v>1.2</x:v>
      </x:c>
      <x:c r="R2196" s="35" t="n">
        <x:f>K2196*Q2196</x:f>
        <x:v>0</x:v>
      </x:c>
      <x:c r="S2196" s="35" t="n">
        <x:f>XLOOKUP(H2196,'菜品主数据'!$A$5:$A$24,'菜品主数据'!$G$5:$G$24,0)</x:f>
        <x:v>18.874</x:v>
      </x:c>
      <x:c r="T2196" s="35" t="n">
        <x:f>K2196*S2196</x:f>
        <x:v>0</x:v>
      </x:c>
      <x:c r="U2196" s="35" t="n">
        <x:f>L2196-N2196-P2196-R2196-T2196</x:f>
        <x:v>0</x:v>
      </x:c>
      <x:c r="V2196" s="21" t="n">
        <x:f>IFERROR(U2196/L2196,0)</x:f>
        <x:v>0</x:v>
      </x:c>
    </x:row>
    <x:row r="2197">
      <x:c r="A2197" s="19" t="str">
        <x:v>SALE-02193</x:v>
      </x:c>
      <x:c r="B2197" s="34" t="n">
        <x:v>46215.5</x:v>
      </x:c>
      <x:c r="C2197" s="19" t="str">
        <x:v>周日</x:v>
      </x:c>
      <x:c r="D2197" s="19" t="str">
        <x:v>S08</x:v>
      </x:c>
      <x:c r="E2197" s="19" t="str">
        <x:v>四季青店</x:v>
      </x:c>
      <x:c r="F2197" s="19" t="str">
        <x:v>外卖</x:v>
      </x:c>
      <x:c r="G2197" s="19" t="str">
        <x:v>全日</x:v>
      </x:c>
      <x:c r="H2197" s="19" t="str">
        <x:v>D13</x:v>
      </x:c>
      <x:c r="I2197" s="19" t="str">
        <x:v>外婆菜炒蛋</x:v>
      </x:c>
      <x:c r="J2197" s="22" t="n">
        <x:f>XLOOKUP(H2197,'菜品主数据'!$A$5:$A$24,'菜品主数据'!$D$5:$D$24,0)</x:f>
        <x:v>18</x:v>
      </x:c>
      <x:c r="K2197" s="31" t="n">
        <x:v>1</x:v>
      </x:c>
      <x:c r="L2197" s="35" t="n">
        <x:f>J2197*K2197</x:f>
        <x:v>18</x:v>
      </x:c>
      <x:c r="M2197" s="36" t="n">
        <x:v>0.08</x:v>
      </x:c>
      <x:c r="N2197" s="35" t="n">
        <x:f>L2197*M2197</x:f>
        <x:v>1.44</x:v>
      </x:c>
      <x:c r="O2197" s="37" t="n">
        <x:v>0.18</x:v>
      </x:c>
      <x:c r="P2197" s="35" t="n">
        <x:f>L2197*O2197</x:f>
        <x:v>3.2399999999999998</x:v>
      </x:c>
      <x:c r="Q2197" s="35" t="n">
        <x:v>1.2</x:v>
      </x:c>
      <x:c r="R2197" s="35" t="n">
        <x:f>K2197*Q2197</x:f>
        <x:v>1.2</x:v>
      </x:c>
      <x:c r="S2197" s="35" t="n">
        <x:f>XLOOKUP(H2197,'菜品主数据'!$A$5:$A$24,'菜品主数据'!$G$5:$G$24,0)</x:f>
        <x:v>5.403999999999999</x:v>
      </x:c>
      <x:c r="T2197" s="35" t="n">
        <x:f>K2197*S2197</x:f>
        <x:v>5.403999999999999</x:v>
      </x:c>
      <x:c r="U2197" s="35" t="n">
        <x:f>L2197-N2197-P2197-R2197-T2197</x:f>
        <x:v>6.716</x:v>
      </x:c>
      <x:c r="V2197" s="21" t="n">
        <x:f>IFERROR(U2197/L2197,0)</x:f>
        <x:v>0.3731111111111111</x:v>
      </x:c>
    </x:row>
    <x:row r="2198">
      <x:c r="A2198" s="19" t="str">
        <x:v>SALE-02194</x:v>
      </x:c>
      <x:c r="B2198" s="34" t="n">
        <x:v>46215.5</x:v>
      </x:c>
      <x:c r="C2198" s="19" t="str">
        <x:v>周日</x:v>
      </x:c>
      <x:c r="D2198" s="19" t="str">
        <x:v>S08</x:v>
      </x:c>
      <x:c r="E2198" s="19" t="str">
        <x:v>四季青店</x:v>
      </x:c>
      <x:c r="F2198" s="19" t="str">
        <x:v>外卖</x:v>
      </x:c>
      <x:c r="G2198" s="19" t="str">
        <x:v>全日</x:v>
      </x:c>
      <x:c r="H2198" s="19" t="str">
        <x:v>D14</x:v>
      </x:c>
      <x:c r="I2198" s="19" t="str">
        <x:v>酸辣鸡杂</x:v>
      </x:c>
      <x:c r="J2198" s="22" t="n">
        <x:f>XLOOKUP(H2198,'菜品主数据'!$A$5:$A$24,'菜品主数据'!$D$5:$D$24,0)</x:f>
        <x:v>28</x:v>
      </x:c>
      <x:c r="K2198" s="31" t="n">
        <x:v>0</x:v>
      </x:c>
      <x:c r="L2198" s="35" t="n">
        <x:f>J2198*K2198</x:f>
        <x:v>0</x:v>
      </x:c>
      <x:c r="M2198" s="36" t="n">
        <x:v>0.08</x:v>
      </x:c>
      <x:c r="N2198" s="35" t="n">
        <x:f>L2198*M2198</x:f>
        <x:v>0</x:v>
      </x:c>
      <x:c r="O2198" s="37" t="n">
        <x:v>0.18</x:v>
      </x:c>
      <x:c r="P2198" s="35" t="n">
        <x:f>L2198*O2198</x:f>
        <x:v>0</x:v>
      </x:c>
      <x:c r="Q2198" s="35" t="n">
        <x:v>1.2</x:v>
      </x:c>
      <x:c r="R2198" s="35" t="n">
        <x:f>K2198*Q2198</x:f>
        <x:v>0</x:v>
      </x:c>
      <x:c r="S2198" s="35" t="n">
        <x:f>XLOOKUP(H2198,'菜品主数据'!$A$5:$A$24,'菜品主数据'!$G$5:$G$24,0)</x:f>
        <x:v>8.315000000000001</x:v>
      </x:c>
      <x:c r="T2198" s="35" t="n">
        <x:f>K2198*S2198</x:f>
        <x:v>0</x:v>
      </x:c>
      <x:c r="U2198" s="35" t="n">
        <x:f>L2198-N2198-P2198-R2198-T2198</x:f>
        <x:v>0</x:v>
      </x:c>
      <x:c r="V2198" s="21" t="n">
        <x:f>IFERROR(U2198/L2198,0)</x:f>
        <x:v>0</x:v>
      </x:c>
    </x:row>
    <x:row r="2199">
      <x:c r="A2199" s="19" t="str">
        <x:v>SALE-02195</x:v>
      </x:c>
      <x:c r="B2199" s="34" t="n">
        <x:v>46215.5</x:v>
      </x:c>
      <x:c r="C2199" s="19" t="str">
        <x:v>周日</x:v>
      </x:c>
      <x:c r="D2199" s="19" t="str">
        <x:v>S08</x:v>
      </x:c>
      <x:c r="E2199" s="19" t="str">
        <x:v>四季青店</x:v>
      </x:c>
      <x:c r="F2199" s="19" t="str">
        <x:v>外卖</x:v>
      </x:c>
      <x:c r="G2199" s="19" t="str">
        <x:v>全日</x:v>
      </x:c>
      <x:c r="H2199" s="19" t="str">
        <x:v>D15</x:v>
      </x:c>
      <x:c r="I2199" s="19" t="str">
        <x:v>湘西土匪猪肝</x:v>
      </x:c>
      <x:c r="J2199" s="22" t="n">
        <x:f>XLOOKUP(H2199,'菜品主数据'!$A$5:$A$24,'菜品主数据'!$D$5:$D$24,0)</x:f>
        <x:v>26</x:v>
      </x:c>
      <x:c r="K2199" s="31" t="n">
        <x:v>0</x:v>
      </x:c>
      <x:c r="L2199" s="35" t="n">
        <x:f>J2199*K2199</x:f>
        <x:v>0</x:v>
      </x:c>
      <x:c r="M2199" s="36" t="n">
        <x:v>0.08</x:v>
      </x:c>
      <x:c r="N2199" s="35" t="n">
        <x:f>L2199*M2199</x:f>
        <x:v>0</x:v>
      </x:c>
      <x:c r="O2199" s="37" t="n">
        <x:v>0.18</x:v>
      </x:c>
      <x:c r="P2199" s="35" t="n">
        <x:f>L2199*O2199</x:f>
        <x:v>0</x:v>
      </x:c>
      <x:c r="Q2199" s="35" t="n">
        <x:v>1.2</x:v>
      </x:c>
      <x:c r="R2199" s="35" t="n">
        <x:f>K2199*Q2199</x:f>
        <x:v>0</x:v>
      </x:c>
      <x:c r="S2199" s="35" t="n">
        <x:f>XLOOKUP(H2199,'菜品主数据'!$A$5:$A$24,'菜品主数据'!$G$5:$G$24,0)</x:f>
        <x:v>6.3759999999999994</x:v>
      </x:c>
      <x:c r="T2199" s="35" t="n">
        <x:f>K2199*S2199</x:f>
        <x:v>0</x:v>
      </x:c>
      <x:c r="U2199" s="35" t="n">
        <x:f>L2199-N2199-P2199-R2199-T2199</x:f>
        <x:v>0</x:v>
      </x:c>
      <x:c r="V2199" s="21" t="n">
        <x:f>IFERROR(U2199/L2199,0)</x:f>
        <x:v>0</x:v>
      </x:c>
    </x:row>
    <x:row r="2200">
      <x:c r="A2200" s="19" t="str">
        <x:v>SALE-02196</x:v>
      </x:c>
      <x:c r="B2200" s="34" t="n">
        <x:v>46215.5</x:v>
      </x:c>
      <x:c r="C2200" s="19" t="str">
        <x:v>周日</x:v>
      </x:c>
      <x:c r="D2200" s="19" t="str">
        <x:v>S08</x:v>
      </x:c>
      <x:c r="E2200" s="19" t="str">
        <x:v>四季青店</x:v>
      </x:c>
      <x:c r="F2200" s="19" t="str">
        <x:v>外卖</x:v>
      </x:c>
      <x:c r="G2200" s="19" t="str">
        <x:v>全日</x:v>
      </x:c>
      <x:c r="H2200" s="19" t="str">
        <x:v>D16</x:v>
      </x:c>
      <x:c r="I2200" s="19" t="str">
        <x:v>小豆角炒五花</x:v>
      </x:c>
      <x:c r="J2200" s="22" t="n">
        <x:f>XLOOKUP(H2200,'菜品主数据'!$A$5:$A$24,'菜品主数据'!$D$5:$D$24,0)</x:f>
        <x:v>25</x:v>
      </x:c>
      <x:c r="K2200" s="31" t="n">
        <x:v>0</x:v>
      </x:c>
      <x:c r="L2200" s="35" t="n">
        <x:f>J2200*K2200</x:f>
        <x:v>0</x:v>
      </x:c>
      <x:c r="M2200" s="36" t="n">
        <x:v>0.08</x:v>
      </x:c>
      <x:c r="N2200" s="35" t="n">
        <x:f>L2200*M2200</x:f>
        <x:v>0</x:v>
      </x:c>
      <x:c r="O2200" s="37" t="n">
        <x:v>0.18</x:v>
      </x:c>
      <x:c r="P2200" s="35" t="n">
        <x:f>L2200*O2200</x:f>
        <x:v>0</x:v>
      </x:c>
      <x:c r="Q2200" s="35" t="n">
        <x:v>1.2</x:v>
      </x:c>
      <x:c r="R2200" s="35" t="n">
        <x:f>K2200*Q2200</x:f>
        <x:v>0</x:v>
      </x:c>
      <x:c r="S2200" s="35" t="n">
        <x:f>XLOOKUP(H2200,'菜品主数据'!$A$5:$A$24,'菜品主数据'!$G$5:$G$24,0)</x:f>
        <x:v>8.184</x:v>
      </x:c>
      <x:c r="T2200" s="35" t="n">
        <x:f>K2200*S2200</x:f>
        <x:v>0</x:v>
      </x:c>
      <x:c r="U2200" s="35" t="n">
        <x:f>L2200-N2200-P2200-R2200-T2200</x:f>
        <x:v>0</x:v>
      </x:c>
      <x:c r="V2200" s="21" t="n">
        <x:f>IFERROR(U2200/L2200,0)</x:f>
        <x:v>0</x:v>
      </x:c>
    </x:row>
    <x:row r="2201">
      <x:c r="A2201" s="19" t="str">
        <x:v>SALE-02197</x:v>
      </x:c>
      <x:c r="B2201" s="34" t="n">
        <x:v>46215.5</x:v>
      </x:c>
      <x:c r="C2201" s="19" t="str">
        <x:v>周日</x:v>
      </x:c>
      <x:c r="D2201" s="19" t="str">
        <x:v>S08</x:v>
      </x:c>
      <x:c r="E2201" s="19" t="str">
        <x:v>四季青店</x:v>
      </x:c>
      <x:c r="F2201" s="19" t="str">
        <x:v>外卖</x:v>
      </x:c>
      <x:c r="G2201" s="19" t="str">
        <x:v>全日</x:v>
      </x:c>
      <x:c r="H2201" s="19" t="str">
        <x:v>D17</x:v>
      </x:c>
      <x:c r="I2201" s="19" t="str">
        <x:v>蒜蓉粉丝虾</x:v>
      </x:c>
      <x:c r="J2201" s="22" t="n">
        <x:f>XLOOKUP(H2201,'菜品主数据'!$A$5:$A$24,'菜品主数据'!$D$5:$D$24,0)</x:f>
        <x:v>36</x:v>
      </x:c>
      <x:c r="K2201" s="31" t="n">
        <x:v>0</x:v>
      </x:c>
      <x:c r="L2201" s="35" t="n">
        <x:f>J2201*K2201</x:f>
        <x:v>0</x:v>
      </x:c>
      <x:c r="M2201" s="36" t="n">
        <x:v>0.08</x:v>
      </x:c>
      <x:c r="N2201" s="35" t="n">
        <x:f>L2201*M2201</x:f>
        <x:v>0</x:v>
      </x:c>
      <x:c r="O2201" s="37" t="n">
        <x:v>0.18</x:v>
      </x:c>
      <x:c r="P2201" s="35" t="n">
        <x:f>L2201*O2201</x:f>
        <x:v>0</x:v>
      </x:c>
      <x:c r="Q2201" s="35" t="n">
        <x:v>1.2</x:v>
      </x:c>
      <x:c r="R2201" s="35" t="n">
        <x:f>K2201*Q2201</x:f>
        <x:v>0</x:v>
      </x:c>
      <x:c r="S2201" s="35" t="n">
        <x:f>XLOOKUP(H2201,'菜品主数据'!$A$5:$A$24,'菜品主数据'!$G$5:$G$24,0)</x:f>
        <x:v>13.594</x:v>
      </x:c>
      <x:c r="T2201" s="35" t="n">
        <x:f>K2201*S2201</x:f>
        <x:v>0</x:v>
      </x:c>
      <x:c r="U2201" s="35" t="n">
        <x:f>L2201-N2201-P2201-R2201-T2201</x:f>
        <x:v>0</x:v>
      </x:c>
      <x:c r="V2201" s="21" t="n">
        <x:f>IFERROR(U2201/L2201,0)</x:f>
        <x:v>0</x:v>
      </x:c>
    </x:row>
    <x:row r="2202">
      <x:c r="A2202" s="19" t="str">
        <x:v>SALE-02198</x:v>
      </x:c>
      <x:c r="B2202" s="34" t="n">
        <x:v>46215.5</x:v>
      </x:c>
      <x:c r="C2202" s="19" t="str">
        <x:v>周日</x:v>
      </x:c>
      <x:c r="D2202" s="19" t="str">
        <x:v>S08</x:v>
      </x:c>
      <x:c r="E2202" s="19" t="str">
        <x:v>四季青店</x:v>
      </x:c>
      <x:c r="F2202" s="19" t="str">
        <x:v>外卖</x:v>
      </x:c>
      <x:c r="G2202" s="19" t="str">
        <x:v>全日</x:v>
      </x:c>
      <x:c r="H2202" s="19" t="str">
        <x:v>D18</x:v>
      </x:c>
      <x:c r="I2202" s="19" t="str">
        <x:v>青椒炒油麦菜</x:v>
      </x:c>
      <x:c r="J2202" s="22" t="n">
        <x:f>XLOOKUP(H2202,'菜品主数据'!$A$5:$A$24,'菜品主数据'!$D$5:$D$24,0)</x:f>
        <x:v>18</x:v>
      </x:c>
      <x:c r="K2202" s="31" t="n">
        <x:v>0</x:v>
      </x:c>
      <x:c r="L2202" s="35" t="n">
        <x:f>J2202*K2202</x:f>
        <x:v>0</x:v>
      </x:c>
      <x:c r="M2202" s="36" t="n">
        <x:v>0.08</x:v>
      </x:c>
      <x:c r="N2202" s="35" t="n">
        <x:f>L2202*M2202</x:f>
        <x:v>0</x:v>
      </x:c>
      <x:c r="O2202" s="37" t="n">
        <x:v>0.18</x:v>
      </x:c>
      <x:c r="P2202" s="35" t="n">
        <x:f>L2202*O2202</x:f>
        <x:v>0</x:v>
      </x:c>
      <x:c r="Q2202" s="35" t="n">
        <x:v>1.2</x:v>
      </x:c>
      <x:c r="R2202" s="35" t="n">
        <x:f>K2202*Q2202</x:f>
        <x:v>0</x:v>
      </x:c>
      <x:c r="S2202" s="35" t="n">
        <x:f>XLOOKUP(H2202,'菜品主数据'!$A$5:$A$24,'菜品主数据'!$G$5:$G$24,0)</x:f>
        <x:v>3.1759999999999993</x:v>
      </x:c>
      <x:c r="T2202" s="35" t="n">
        <x:f>K2202*S2202</x:f>
        <x:v>0</x:v>
      </x:c>
      <x:c r="U2202" s="35" t="n">
        <x:f>L2202-N2202-P2202-R2202-T2202</x:f>
        <x:v>0</x:v>
      </x:c>
      <x:c r="V2202" s="21" t="n">
        <x:f>IFERROR(U2202/L2202,0)</x:f>
        <x:v>0</x:v>
      </x:c>
    </x:row>
    <x:row r="2203">
      <x:c r="A2203" s="19" t="str">
        <x:v>SALE-02199</x:v>
      </x:c>
      <x:c r="B2203" s="34" t="n">
        <x:v>46215.5</x:v>
      </x:c>
      <x:c r="C2203" s="19" t="str">
        <x:v>周日</x:v>
      </x:c>
      <x:c r="D2203" s="19" t="str">
        <x:v>S08</x:v>
      </x:c>
      <x:c r="E2203" s="19" t="str">
        <x:v>四季青店</x:v>
      </x:c>
      <x:c r="F2203" s="19" t="str">
        <x:v>外卖</x:v>
      </x:c>
      <x:c r="G2203" s="19" t="str">
        <x:v>全日</x:v>
      </x:c>
      <x:c r="H2203" s="19" t="str">
        <x:v>D19</x:v>
      </x:c>
      <x:c r="I2203" s="19" t="str">
        <x:v>酸萝卜炒鸡杂</x:v>
      </x:c>
      <x:c r="J2203" s="22" t="n">
        <x:f>XLOOKUP(H2203,'菜品主数据'!$A$5:$A$24,'菜品主数据'!$D$5:$D$24,0)</x:f>
        <x:v>25</x:v>
      </x:c>
      <x:c r="K2203" s="31" t="n">
        <x:v>0</x:v>
      </x:c>
      <x:c r="L2203" s="35" t="n">
        <x:f>J2203*K2203</x:f>
        <x:v>0</x:v>
      </x:c>
      <x:c r="M2203" s="36" t="n">
        <x:v>0.08</x:v>
      </x:c>
      <x:c r="N2203" s="35" t="n">
        <x:f>L2203*M2203</x:f>
        <x:v>0</x:v>
      </x:c>
      <x:c r="O2203" s="37" t="n">
        <x:v>0.18</x:v>
      </x:c>
      <x:c r="P2203" s="35" t="n">
        <x:f>L2203*O2203</x:f>
        <x:v>0</x:v>
      </x:c>
      <x:c r="Q2203" s="35" t="n">
        <x:v>1.2</x:v>
      </x:c>
      <x:c r="R2203" s="35" t="n">
        <x:f>K2203*Q2203</x:f>
        <x:v>0</x:v>
      </x:c>
      <x:c r="S2203" s="35" t="n">
        <x:f>XLOOKUP(H2203,'菜品主数据'!$A$5:$A$24,'菜品主数据'!$G$5:$G$24,0)</x:f>
        <x:v>7.9399999999999995</x:v>
      </x:c>
      <x:c r="T2203" s="35" t="n">
        <x:f>K2203*S2203</x:f>
        <x:v>0</x:v>
      </x:c>
      <x:c r="U2203" s="35" t="n">
        <x:f>L2203-N2203-P2203-R2203-T2203</x:f>
        <x:v>0</x:v>
      </x:c>
      <x:c r="V2203" s="21" t="n">
        <x:f>IFERROR(U2203/L2203,0)</x:f>
        <x:v>0</x:v>
      </x:c>
    </x:row>
    <x:row r="2204">
      <x:c r="A2204" s="19" t="str">
        <x:v>SALE-02200</x:v>
      </x:c>
      <x:c r="B2204" s="34" t="n">
        <x:v>46215.5</x:v>
      </x:c>
      <x:c r="C2204" s="19" t="str">
        <x:v>周日</x:v>
      </x:c>
      <x:c r="D2204" s="19" t="str">
        <x:v>S08</x:v>
      </x:c>
      <x:c r="E2204" s="19" t="str">
        <x:v>四季青店</x:v>
      </x:c>
      <x:c r="F2204" s="19" t="str">
        <x:v>外卖</x:v>
      </x:c>
      <x:c r="G2204" s="19" t="str">
        <x:v>全日</x:v>
      </x:c>
      <x:c r="H2204" s="19" t="str">
        <x:v>D20</x:v>
      </x:c>
      <x:c r="I2204" s="19" t="str">
        <x:v>雪菜肉末青豆</x:v>
      </x:c>
      <x:c r="J2204" s="22" t="n">
        <x:f>XLOOKUP(H2204,'菜品主数据'!$A$5:$A$24,'菜品主数据'!$D$5:$D$24,0)</x:f>
        <x:v>18</x:v>
      </x:c>
      <x:c r="K2204" s="31" t="n">
        <x:v>0</x:v>
      </x:c>
      <x:c r="L2204" s="35" t="n">
        <x:f>J2204*K2204</x:f>
        <x:v>0</x:v>
      </x:c>
      <x:c r="M2204" s="36" t="n">
        <x:v>0.08</x:v>
      </x:c>
      <x:c r="N2204" s="35" t="n">
        <x:f>L2204*M2204</x:f>
        <x:v>0</x:v>
      </x:c>
      <x:c r="O2204" s="37" t="n">
        <x:v>0.18</x:v>
      </x:c>
      <x:c r="P2204" s="35" t="n">
        <x:f>L2204*O2204</x:f>
        <x:v>0</x:v>
      </x:c>
      <x:c r="Q2204" s="35" t="n">
        <x:v>1.2</x:v>
      </x:c>
      <x:c r="R2204" s="35" t="n">
        <x:f>K2204*Q2204</x:f>
        <x:v>0</x:v>
      </x:c>
      <x:c r="S2204" s="35" t="n">
        <x:f>XLOOKUP(H2204,'菜品主数据'!$A$5:$A$24,'菜品主数据'!$G$5:$G$24,0)</x:f>
        <x:v>7.303999999999999</x:v>
      </x:c>
      <x:c r="T2204" s="35" t="n">
        <x:f>K2204*S2204</x:f>
        <x:v>0</x:v>
      </x:c>
      <x:c r="U2204" s="35" t="n">
        <x:f>L2204-N2204-P2204-R2204-T2204</x:f>
        <x:v>0</x:v>
      </x:c>
      <x:c r="V2204" s="21" t="n">
        <x:f>IFERROR(U2204/L2204,0)</x:f>
        <x:v>0</x:v>
      </x:c>
    </x:row>
    <x:row r="2205">
      <x:c r="A2205" s="19" t="str">
        <x:v>SALE-02201</x:v>
      </x:c>
      <x:c r="B2205" s="34" t="n">
        <x:v>46216.5</x:v>
      </x:c>
      <x:c r="C2205" s="19" t="str">
        <x:v>周一</x:v>
      </x:c>
      <x:c r="D2205" s="19" t="str">
        <x:v>S08</x:v>
      </x:c>
      <x:c r="E2205" s="19" t="str">
        <x:v>四季青店</x:v>
      </x:c>
      <x:c r="F2205" s="19" t="str">
        <x:v>堂食</x:v>
      </x:c>
      <x:c r="G2205" s="19" t="str">
        <x:v>全日</x:v>
      </x:c>
      <x:c r="H2205" s="19" t="str">
        <x:v>D01</x:v>
      </x:c>
      <x:c r="I2205" s="19" t="str">
        <x:v>辣椒炒肉</x:v>
      </x:c>
      <x:c r="J2205" s="22" t="n">
        <x:f>XLOOKUP(H2205,'菜品主数据'!$A$5:$A$24,'菜品主数据'!$D$5:$D$24,0)</x:f>
        <x:v>29</x:v>
      </x:c>
      <x:c r="K2205" s="31" t="n">
        <x:v>39</x:v>
      </x:c>
      <x:c r="L2205" s="35" t="n">
        <x:f>J2205*K2205</x:f>
        <x:v>1131</x:v>
      </x:c>
      <x:c r="M2205" s="36" t="n">
        <x:v>0</x:v>
      </x:c>
      <x:c r="N2205" s="35" t="n">
        <x:f>L2205*M2205</x:f>
        <x:v>0</x:v>
      </x:c>
      <x:c r="O2205" s="37" t="n">
        <x:v>0</x:v>
      </x:c>
      <x:c r="P2205" s="35" t="n">
        <x:f>L2205*O2205</x:f>
        <x:v>0</x:v>
      </x:c>
      <x:c r="Q2205" s="35" t="n">
        <x:v>0</x:v>
      </x:c>
      <x:c r="R2205" s="35" t="n">
        <x:f>K2205*Q2205</x:f>
        <x:v>0</x:v>
      </x:c>
      <x:c r="S2205" s="35" t="n">
        <x:f>XLOOKUP(H2205,'菜品主数据'!$A$5:$A$24,'菜品主数据'!$G$5:$G$24,0)</x:f>
        <x:v>8.634400000000001</x:v>
      </x:c>
      <x:c r="T2205" s="35" t="n">
        <x:f>K2205*S2205</x:f>
        <x:v>336.74160000000006</x:v>
      </x:c>
      <x:c r="U2205" s="35" t="n">
        <x:f>L2205-N2205-P2205-R2205-T2205</x:f>
        <x:v>794.2583999999999</x:v>
      </x:c>
      <x:c r="V2205" s="21" t="n">
        <x:f>IFERROR(U2205/L2205,0)</x:f>
        <x:v>0.7022620689655172</x:v>
      </x:c>
    </x:row>
    <x:row r="2206">
      <x:c r="A2206" s="19" t="str">
        <x:v>SALE-02202</x:v>
      </x:c>
      <x:c r="B2206" s="34" t="n">
        <x:v>46216.5</x:v>
      </x:c>
      <x:c r="C2206" s="19" t="str">
        <x:v>周一</x:v>
      </x:c>
      <x:c r="D2206" s="19" t="str">
        <x:v>S08</x:v>
      </x:c>
      <x:c r="E2206" s="19" t="str">
        <x:v>四季青店</x:v>
      </x:c>
      <x:c r="F2206" s="19" t="str">
        <x:v>堂食</x:v>
      </x:c>
      <x:c r="G2206" s="19" t="str">
        <x:v>全日</x:v>
      </x:c>
      <x:c r="H2206" s="19" t="str">
        <x:v>D02</x:v>
      </x:c>
      <x:c r="I2206" s="19" t="str">
        <x:v>小炒黄牛肉</x:v>
      </x:c>
      <x:c r="J2206" s="22" t="n">
        <x:f>XLOOKUP(H2206,'菜品主数据'!$A$5:$A$24,'菜品主数据'!$D$5:$D$24,0)</x:f>
        <x:v>49</x:v>
      </x:c>
      <x:c r="K2206" s="31" t="n">
        <x:v>24</x:v>
      </x:c>
      <x:c r="L2206" s="35" t="n">
        <x:f>J2206*K2206</x:f>
        <x:v>1176</x:v>
      </x:c>
      <x:c r="M2206" s="36" t="n">
        <x:v>0</x:v>
      </x:c>
      <x:c r="N2206" s="35" t="n">
        <x:f>L2206*M2206</x:f>
        <x:v>0</x:v>
      </x:c>
      <x:c r="O2206" s="37" t="n">
        <x:v>0</x:v>
      </x:c>
      <x:c r="P2206" s="35" t="n">
        <x:f>L2206*O2206</x:f>
        <x:v>0</x:v>
      </x:c>
      <x:c r="Q2206" s="35" t="n">
        <x:v>0</x:v>
      </x:c>
      <x:c r="R2206" s="35" t="n">
        <x:f>K2206*Q2206</x:f>
        <x:v>0</x:v>
      </x:c>
      <x:c r="S2206" s="35" t="n">
        <x:f>XLOOKUP(H2206,'菜品主数据'!$A$5:$A$24,'菜品主数据'!$G$5:$G$24,0)</x:f>
        <x:v>17.577</x:v>
      </x:c>
      <x:c r="T2206" s="35" t="n">
        <x:f>K2206*S2206</x:f>
        <x:v>421.84800000000007</x:v>
      </x:c>
      <x:c r="U2206" s="35" t="n">
        <x:f>L2206-N2206-P2206-R2206-T2206</x:f>
        <x:v>754.1519999999999</x:v>
      </x:c>
      <x:c r="V2206" s="21" t="n">
        <x:f>IFERROR(U2206/L2206,0)</x:f>
        <x:v>0.6412857142857142</x:v>
      </x:c>
    </x:row>
    <x:row r="2207">
      <x:c r="A2207" s="19" t="str">
        <x:v>SALE-02203</x:v>
      </x:c>
      <x:c r="B2207" s="34" t="n">
        <x:v>46216.5</x:v>
      </x:c>
      <x:c r="C2207" s="19" t="str">
        <x:v>周一</x:v>
      </x:c>
      <x:c r="D2207" s="19" t="str">
        <x:v>S08</x:v>
      </x:c>
      <x:c r="E2207" s="19" t="str">
        <x:v>四季青店</x:v>
      </x:c>
      <x:c r="F2207" s="19" t="str">
        <x:v>堂食</x:v>
      </x:c>
      <x:c r="G2207" s="19" t="str">
        <x:v>全日</x:v>
      </x:c>
      <x:c r="H2207" s="19" t="str">
        <x:v>D03</x:v>
      </x:c>
      <x:c r="I2207" s="19" t="str">
        <x:v>香醋炒蛋</x:v>
      </x:c>
      <x:c r="J2207" s="22" t="n">
        <x:f>XLOOKUP(H2207,'菜品主数据'!$A$5:$A$24,'菜品主数据'!$D$5:$D$24,0)</x:f>
        <x:v>14.9</x:v>
      </x:c>
      <x:c r="K2207" s="31" t="n">
        <x:v>34</x:v>
      </x:c>
      <x:c r="L2207" s="35" t="n">
        <x:f>J2207*K2207</x:f>
        <x:v>506.6</x:v>
      </x:c>
      <x:c r="M2207" s="36" t="n">
        <x:v>0</x:v>
      </x:c>
      <x:c r="N2207" s="35" t="n">
        <x:f>L2207*M2207</x:f>
        <x:v>0</x:v>
      </x:c>
      <x:c r="O2207" s="37" t="n">
        <x:v>0</x:v>
      </x:c>
      <x:c r="P2207" s="35" t="n">
        <x:f>L2207*O2207</x:f>
        <x:v>0</x:v>
      </x:c>
      <x:c r="Q2207" s="35" t="n">
        <x:v>0</x:v>
      </x:c>
      <x:c r="R2207" s="35" t="n">
        <x:f>K2207*Q2207</x:f>
        <x:v>0</x:v>
      </x:c>
      <x:c r="S2207" s="35" t="n">
        <x:f>XLOOKUP(H2207,'菜品主数据'!$A$5:$A$24,'菜品主数据'!$G$5:$G$24,0)</x:f>
        <x:v>3.7459999999999996</x:v>
      </x:c>
      <x:c r="T2207" s="35" t="n">
        <x:f>K2207*S2207</x:f>
        <x:v>127.36399999999999</x:v>
      </x:c>
      <x:c r="U2207" s="35" t="n">
        <x:f>L2207-N2207-P2207-R2207-T2207</x:f>
        <x:v>379.23600000000005</x:v>
      </x:c>
      <x:c r="V2207" s="21" t="n">
        <x:f>IFERROR(U2207/L2207,0)</x:f>
        <x:v>0.7485906040268457</x:v>
      </x:c>
    </x:row>
    <x:row r="2208">
      <x:c r="A2208" s="19" t="str">
        <x:v>SALE-02204</x:v>
      </x:c>
      <x:c r="B2208" s="34" t="n">
        <x:v>46216.5</x:v>
      </x:c>
      <x:c r="C2208" s="19" t="str">
        <x:v>周一</x:v>
      </x:c>
      <x:c r="D2208" s="19" t="str">
        <x:v>S08</x:v>
      </x:c>
      <x:c r="E2208" s="19" t="str">
        <x:v>四季青店</x:v>
      </x:c>
      <x:c r="F2208" s="19" t="str">
        <x:v>堂食</x:v>
      </x:c>
      <x:c r="G2208" s="19" t="str">
        <x:v>全日</x:v>
      </x:c>
      <x:c r="H2208" s="19" t="str">
        <x:v>D04</x:v>
      </x:c>
      <x:c r="I2208" s="19" t="str">
        <x:v>酸包菜炒粉皮</x:v>
      </x:c>
      <x:c r="J2208" s="22" t="n">
        <x:f>XLOOKUP(H2208,'菜品主数据'!$A$5:$A$24,'菜品主数据'!$D$5:$D$24,0)</x:f>
        <x:v>16</x:v>
      </x:c>
      <x:c r="K2208" s="31" t="n">
        <x:v>29</x:v>
      </x:c>
      <x:c r="L2208" s="35" t="n">
        <x:f>J2208*K2208</x:f>
        <x:v>464</x:v>
      </x:c>
      <x:c r="M2208" s="36" t="n">
        <x:v>0</x:v>
      </x:c>
      <x:c r="N2208" s="35" t="n">
        <x:f>L2208*M2208</x:f>
        <x:v>0</x:v>
      </x:c>
      <x:c r="O2208" s="37" t="n">
        <x:v>0</x:v>
      </x:c>
      <x:c r="P2208" s="35" t="n">
        <x:f>L2208*O2208</x:f>
        <x:v>0</x:v>
      </x:c>
      <x:c r="Q2208" s="35" t="n">
        <x:v>0</x:v>
      </x:c>
      <x:c r="R2208" s="35" t="n">
        <x:f>K2208*Q2208</x:f>
        <x:v>0</x:v>
      </x:c>
      <x:c r="S2208" s="35" t="n">
        <x:f>XLOOKUP(H2208,'菜品主数据'!$A$5:$A$24,'菜品主数据'!$G$5:$G$24,0)</x:f>
        <x:v>3.978</x:v>
      </x:c>
      <x:c r="T2208" s="35" t="n">
        <x:f>K2208*S2208</x:f>
        <x:v>115.36200000000001</x:v>
      </x:c>
      <x:c r="U2208" s="35" t="n">
        <x:f>L2208-N2208-P2208-R2208-T2208</x:f>
        <x:v>348.638</x:v>
      </x:c>
      <x:c r="V2208" s="21" t="n">
        <x:f>IFERROR(U2208/L2208,0)</x:f>
        <x:v>0.7513749999999999</x:v>
      </x:c>
    </x:row>
    <x:row r="2209">
      <x:c r="A2209" s="19" t="str">
        <x:v>SALE-02205</x:v>
      </x:c>
      <x:c r="B2209" s="34" t="n">
        <x:v>46216.5</x:v>
      </x:c>
      <x:c r="C2209" s="19" t="str">
        <x:v>周一</x:v>
      </x:c>
      <x:c r="D2209" s="19" t="str">
        <x:v>S08</x:v>
      </x:c>
      <x:c r="E2209" s="19" t="str">
        <x:v>四季青店</x:v>
      </x:c>
      <x:c r="F2209" s="19" t="str">
        <x:v>堂食</x:v>
      </x:c>
      <x:c r="G2209" s="19" t="str">
        <x:v>全日</x:v>
      </x:c>
      <x:c r="H2209" s="19" t="str">
        <x:v>D05</x:v>
      </x:c>
      <x:c r="I2209" s="19" t="str">
        <x:v>麻婆豆腐</x:v>
      </x:c>
      <x:c r="J2209" s="22" t="n">
        <x:f>XLOOKUP(H2209,'菜品主数据'!$A$5:$A$24,'菜品主数据'!$D$5:$D$24,0)</x:f>
        <x:v>9.9</x:v>
      </x:c>
      <x:c r="K2209" s="31" t="n">
        <x:v>46</x:v>
      </x:c>
      <x:c r="L2209" s="35" t="n">
        <x:f>J2209*K2209</x:f>
        <x:v>455.40000000000003</x:v>
      </x:c>
      <x:c r="M2209" s="36" t="n">
        <x:v>0</x:v>
      </x:c>
      <x:c r="N2209" s="35" t="n">
        <x:f>L2209*M2209</x:f>
        <x:v>0</x:v>
      </x:c>
      <x:c r="O2209" s="37" t="n">
        <x:v>0</x:v>
      </x:c>
      <x:c r="P2209" s="35" t="n">
        <x:f>L2209*O2209</x:f>
        <x:v>0</x:v>
      </x:c>
      <x:c r="Q2209" s="35" t="n">
        <x:v>0</x:v>
      </x:c>
      <x:c r="R2209" s="35" t="n">
        <x:f>K2209*Q2209</x:f>
        <x:v>0</x:v>
      </x:c>
      <x:c r="S2209" s="35" t="n">
        <x:f>XLOOKUP(H2209,'菜品主数据'!$A$5:$A$24,'菜品主数据'!$G$5:$G$24,0)</x:f>
        <x:v>5.367000000000001</x:v>
      </x:c>
      <x:c r="T2209" s="35" t="n">
        <x:f>K2209*S2209</x:f>
        <x:v>246.88200000000003</x:v>
      </x:c>
      <x:c r="U2209" s="35" t="n">
        <x:f>L2209-N2209-P2209-R2209-T2209</x:f>
        <x:v>208.518</x:v>
      </x:c>
      <x:c r="V2209" s="21" t="n">
        <x:f>IFERROR(U2209/L2209,0)</x:f>
        <x:v>0.45787878787878783</x:v>
      </x:c>
    </x:row>
    <x:row r="2210">
      <x:c r="A2210" s="19" t="str">
        <x:v>SALE-02206</x:v>
      </x:c>
      <x:c r="B2210" s="34" t="n">
        <x:v>46216.5</x:v>
      </x:c>
      <x:c r="C2210" s="19" t="str">
        <x:v>周一</x:v>
      </x:c>
      <x:c r="D2210" s="19" t="str">
        <x:v>S08</x:v>
      </x:c>
      <x:c r="E2210" s="19" t="str">
        <x:v>四季青店</x:v>
      </x:c>
      <x:c r="F2210" s="19" t="str">
        <x:v>堂食</x:v>
      </x:c>
      <x:c r="G2210" s="19" t="str">
        <x:v>全日</x:v>
      </x:c>
      <x:c r="H2210" s="19" t="str">
        <x:v>D06</x:v>
      </x:c>
      <x:c r="I2210" s="19" t="str">
        <x:v>剁椒鱼头</x:v>
      </x:c>
      <x:c r="J2210" s="22" t="n">
        <x:f>XLOOKUP(H2210,'菜品主数据'!$A$5:$A$24,'菜品主数据'!$D$5:$D$24,0)</x:f>
        <x:v>39</x:v>
      </x:c>
      <x:c r="K2210" s="31" t="n">
        <x:v>11</x:v>
      </x:c>
      <x:c r="L2210" s="35" t="n">
        <x:f>J2210*K2210</x:f>
        <x:v>429</x:v>
      </x:c>
      <x:c r="M2210" s="36" t="n">
        <x:v>0</x:v>
      </x:c>
      <x:c r="N2210" s="35" t="n">
        <x:f>L2210*M2210</x:f>
        <x:v>0</x:v>
      </x:c>
      <x:c r="O2210" s="37" t="n">
        <x:v>0</x:v>
      </x:c>
      <x:c r="P2210" s="35" t="n">
        <x:f>L2210*O2210</x:f>
        <x:v>0</x:v>
      </x:c>
      <x:c r="Q2210" s="35" t="n">
        <x:v>0</x:v>
      </x:c>
      <x:c r="R2210" s="35" t="n">
        <x:f>K2210*Q2210</x:f>
        <x:v>0</x:v>
      </x:c>
      <x:c r="S2210" s="35" t="n">
        <x:f>XLOOKUP(H2210,'菜品主数据'!$A$5:$A$24,'菜品主数据'!$G$5:$G$24,0)</x:f>
        <x:v>17.446</x:v>
      </x:c>
      <x:c r="T2210" s="35" t="n">
        <x:f>K2210*S2210</x:f>
        <x:v>191.906</x:v>
      </x:c>
      <x:c r="U2210" s="35" t="n">
        <x:f>L2210-N2210-P2210-R2210-T2210</x:f>
        <x:v>237.094</x:v>
      </x:c>
      <x:c r="V2210" s="21" t="n">
        <x:f>IFERROR(U2210/L2210,0)</x:f>
        <x:v>0.5526666666666666</x:v>
      </x:c>
    </x:row>
    <x:row r="2211">
      <x:c r="A2211" s="19" t="str">
        <x:v>SALE-02207</x:v>
      </x:c>
      <x:c r="B2211" s="34" t="n">
        <x:v>46216.5</x:v>
      </x:c>
      <x:c r="C2211" s="19" t="str">
        <x:v>周一</x:v>
      </x:c>
      <x:c r="D2211" s="19" t="str">
        <x:v>S08</x:v>
      </x:c>
      <x:c r="E2211" s="19" t="str">
        <x:v>四季青店</x:v>
      </x:c>
      <x:c r="F2211" s="19" t="str">
        <x:v>堂食</x:v>
      </x:c>
      <x:c r="G2211" s="19" t="str">
        <x:v>全日</x:v>
      </x:c>
      <x:c r="H2211" s="19" t="str">
        <x:v>D07</x:v>
      </x:c>
      <x:c r="I2211" s="19" t="str">
        <x:v>川味回锅肉</x:v>
      </x:c>
      <x:c r="J2211" s="22" t="n">
        <x:f>XLOOKUP(H2211,'菜品主数据'!$A$5:$A$24,'菜品主数据'!$D$5:$D$24,0)</x:f>
        <x:v>29</x:v>
      </x:c>
      <x:c r="K2211" s="31" t="n">
        <x:v>13</x:v>
      </x:c>
      <x:c r="L2211" s="35" t="n">
        <x:f>J2211*K2211</x:f>
        <x:v>377</x:v>
      </x:c>
      <x:c r="M2211" s="36" t="n">
        <x:v>0</x:v>
      </x:c>
      <x:c r="N2211" s="35" t="n">
        <x:f>L2211*M2211</x:f>
        <x:v>0</x:v>
      </x:c>
      <x:c r="O2211" s="37" t="n">
        <x:v>0</x:v>
      </x:c>
      <x:c r="P2211" s="35" t="n">
        <x:f>L2211*O2211</x:f>
        <x:v>0</x:v>
      </x:c>
      <x:c r="Q2211" s="35" t="n">
        <x:v>0</x:v>
      </x:c>
      <x:c r="R2211" s="35" t="n">
        <x:f>K2211*Q2211</x:f>
        <x:v>0</x:v>
      </x:c>
      <x:c r="S2211" s="35" t="n">
        <x:f>XLOOKUP(H2211,'菜品主数据'!$A$5:$A$24,'菜品主数据'!$G$5:$G$24,0)</x:f>
        <x:v>10.231000000000002</x:v>
      </x:c>
      <x:c r="T2211" s="35" t="n">
        <x:f>K2211*S2211</x:f>
        <x:v>133.00300000000001</x:v>
      </x:c>
      <x:c r="U2211" s="35" t="n">
        <x:f>L2211-N2211-P2211-R2211-T2211</x:f>
        <x:v>243.99699999999999</x:v>
      </x:c>
      <x:c r="V2211" s="21" t="n">
        <x:f>IFERROR(U2211/L2211,0)</x:f>
        <x:v>0.6472068965517241</x:v>
      </x:c>
    </x:row>
    <x:row r="2212">
      <x:c r="A2212" s="19" t="str">
        <x:v>SALE-02208</x:v>
      </x:c>
      <x:c r="B2212" s="34" t="n">
        <x:v>46216.5</x:v>
      </x:c>
      <x:c r="C2212" s="19" t="str">
        <x:v>周一</x:v>
      </x:c>
      <x:c r="D2212" s="19" t="str">
        <x:v>S08</x:v>
      </x:c>
      <x:c r="E2212" s="19" t="str">
        <x:v>四季青店</x:v>
      </x:c>
      <x:c r="F2212" s="19" t="str">
        <x:v>堂食</x:v>
      </x:c>
      <x:c r="G2212" s="19" t="str">
        <x:v>全日</x:v>
      </x:c>
      <x:c r="H2212" s="19" t="str">
        <x:v>D08</x:v>
      </x:c>
      <x:c r="I2212" s="19" t="str">
        <x:v>生炒清远鸡</x:v>
      </x:c>
      <x:c r="J2212" s="22" t="n">
        <x:f>XLOOKUP(H2212,'菜品主数据'!$A$5:$A$24,'菜品主数据'!$D$5:$D$24,0)</x:f>
        <x:v>36</x:v>
      </x:c>
      <x:c r="K2212" s="31" t="n">
        <x:v>10</x:v>
      </x:c>
      <x:c r="L2212" s="35" t="n">
        <x:f>J2212*K2212</x:f>
        <x:v>360</x:v>
      </x:c>
      <x:c r="M2212" s="36" t="n">
        <x:v>0</x:v>
      </x:c>
      <x:c r="N2212" s="35" t="n">
        <x:f>L2212*M2212</x:f>
        <x:v>0</x:v>
      </x:c>
      <x:c r="O2212" s="37" t="n">
        <x:v>0</x:v>
      </x:c>
      <x:c r="P2212" s="35" t="n">
        <x:f>L2212*O2212</x:f>
        <x:v>0</x:v>
      </x:c>
      <x:c r="Q2212" s="35" t="n">
        <x:v>0</x:v>
      </x:c>
      <x:c r="R2212" s="35" t="n">
        <x:f>K2212*Q2212</x:f>
        <x:v>0</x:v>
      </x:c>
      <x:c r="S2212" s="35" t="n">
        <x:f>XLOOKUP(H2212,'菜品主数据'!$A$5:$A$24,'菜品主数据'!$G$5:$G$24,0)</x:f>
        <x:v>13.48</x:v>
      </x:c>
      <x:c r="T2212" s="35" t="n">
        <x:f>K2212*S2212</x:f>
        <x:v>134.8</x:v>
      </x:c>
      <x:c r="U2212" s="35" t="n">
        <x:f>L2212-N2212-P2212-R2212-T2212</x:f>
        <x:v>225.2</x:v>
      </x:c>
      <x:c r="V2212" s="21" t="n">
        <x:f>IFERROR(U2212/L2212,0)</x:f>
        <x:v>0.6255555555555555</x:v>
      </x:c>
    </x:row>
    <x:row r="2213">
      <x:c r="A2213" s="19" t="str">
        <x:v>SALE-02209</x:v>
      </x:c>
      <x:c r="B2213" s="34" t="n">
        <x:v>46216.5</x:v>
      </x:c>
      <x:c r="C2213" s="19" t="str">
        <x:v>周一</x:v>
      </x:c>
      <x:c r="D2213" s="19" t="str">
        <x:v>S08</x:v>
      </x:c>
      <x:c r="E2213" s="19" t="str">
        <x:v>四季青店</x:v>
      </x:c>
      <x:c r="F2213" s="19" t="str">
        <x:v>堂食</x:v>
      </x:c>
      <x:c r="G2213" s="19" t="str">
        <x:v>全日</x:v>
      </x:c>
      <x:c r="H2213" s="19" t="str">
        <x:v>D09</x:v>
      </x:c>
      <x:c r="I2213" s="19" t="str">
        <x:v>炒豆干</x:v>
      </x:c>
      <x:c r="J2213" s="22" t="n">
        <x:f>XLOOKUP(H2213,'菜品主数据'!$A$5:$A$24,'菜品主数据'!$D$5:$D$24,0)</x:f>
        <x:v>18</x:v>
      </x:c>
      <x:c r="K2213" s="31" t="n">
        <x:v>13</x:v>
      </x:c>
      <x:c r="L2213" s="35" t="n">
        <x:f>J2213*K2213</x:f>
        <x:v>234</x:v>
      </x:c>
      <x:c r="M2213" s="36" t="n">
        <x:v>0</x:v>
      </x:c>
      <x:c r="N2213" s="35" t="n">
        <x:f>L2213*M2213</x:f>
        <x:v>0</x:v>
      </x:c>
      <x:c r="O2213" s="37" t="n">
        <x:v>0</x:v>
      </x:c>
      <x:c r="P2213" s="35" t="n">
        <x:f>L2213*O2213</x:f>
        <x:v>0</x:v>
      </x:c>
      <x:c r="Q2213" s="35" t="n">
        <x:v>0</x:v>
      </x:c>
      <x:c r="R2213" s="35" t="n">
        <x:f>K2213*Q2213</x:f>
        <x:v>0</x:v>
      </x:c>
      <x:c r="S2213" s="35" t="n">
        <x:f>XLOOKUP(H2213,'菜品主数据'!$A$5:$A$24,'菜品主数据'!$G$5:$G$24,0)</x:f>
        <x:v>6.613999999999999</x:v>
      </x:c>
      <x:c r="T2213" s="35" t="n">
        <x:f>K2213*S2213</x:f>
        <x:v>85.98199999999999</x:v>
      </x:c>
      <x:c r="U2213" s="35" t="n">
        <x:f>L2213-N2213-P2213-R2213-T2213</x:f>
        <x:v>148.01800000000003</x:v>
      </x:c>
      <x:c r="V2213" s="21" t="n">
        <x:f>IFERROR(U2213/L2213,0)</x:f>
        <x:v>0.6325555555555556</x:v>
      </x:c>
    </x:row>
    <x:row r="2214">
      <x:c r="A2214" s="19" t="str">
        <x:v>SALE-02210</x:v>
      </x:c>
      <x:c r="B2214" s="34" t="n">
        <x:v>46216.5</x:v>
      </x:c>
      <x:c r="C2214" s="19" t="str">
        <x:v>周一</x:v>
      </x:c>
      <x:c r="D2214" s="19" t="str">
        <x:v>S08</x:v>
      </x:c>
      <x:c r="E2214" s="19" t="str">
        <x:v>四季青店</x:v>
      </x:c>
      <x:c r="F2214" s="19" t="str">
        <x:v>堂食</x:v>
      </x:c>
      <x:c r="G2214" s="19" t="str">
        <x:v>全日</x:v>
      </x:c>
      <x:c r="H2214" s="19" t="str">
        <x:v>D10</x:v>
      </x:c>
      <x:c r="I2214" s="19" t="str">
        <x:v>农家一碗香</x:v>
      </x:c>
      <x:c r="J2214" s="22" t="n">
        <x:f>XLOOKUP(H2214,'菜品主数据'!$A$5:$A$24,'菜品主数据'!$D$5:$D$24,0)</x:f>
        <x:v>22.9</x:v>
      </x:c>
      <x:c r="K2214" s="31" t="n">
        <x:v>16</x:v>
      </x:c>
      <x:c r="L2214" s="35" t="n">
        <x:f>J2214*K2214</x:f>
        <x:v>366.4</x:v>
      </x:c>
      <x:c r="M2214" s="36" t="n">
        <x:v>0</x:v>
      </x:c>
      <x:c r="N2214" s="35" t="n">
        <x:f>L2214*M2214</x:f>
        <x:v>0</x:v>
      </x:c>
      <x:c r="O2214" s="37" t="n">
        <x:v>0</x:v>
      </x:c>
      <x:c r="P2214" s="35" t="n">
        <x:f>L2214*O2214</x:f>
        <x:v>0</x:v>
      </x:c>
      <x:c r="Q2214" s="35" t="n">
        <x:v>0</x:v>
      </x:c>
      <x:c r="R2214" s="35" t="n">
        <x:f>K2214*Q2214</x:f>
        <x:v>0</x:v>
      </x:c>
      <x:c r="S2214" s="35" t="n">
        <x:f>XLOOKUP(H2214,'菜品主数据'!$A$5:$A$24,'菜品主数据'!$G$5:$G$24,0)</x:f>
        <x:v>9.770200000000003</x:v>
      </x:c>
      <x:c r="T2214" s="35" t="n">
        <x:f>K2214*S2214</x:f>
        <x:v>156.32320000000004</x:v>
      </x:c>
      <x:c r="U2214" s="35" t="n">
        <x:f>L2214-N2214-P2214-R2214-T2214</x:f>
        <x:v>210.07679999999993</x:v>
      </x:c>
      <x:c r="V2214" s="21" t="n">
        <x:f>IFERROR(U2214/L2214,0)</x:f>
        <x:v>0.5733537117903929</x:v>
      </x:c>
    </x:row>
    <x:row r="2215">
      <x:c r="A2215" s="19" t="str">
        <x:v>SALE-02211</x:v>
      </x:c>
      <x:c r="B2215" s="34" t="n">
        <x:v>46216.5</x:v>
      </x:c>
      <x:c r="C2215" s="19" t="str">
        <x:v>周一</x:v>
      </x:c>
      <x:c r="D2215" s="19" t="str">
        <x:v>S08</x:v>
      </x:c>
      <x:c r="E2215" s="19" t="str">
        <x:v>四季青店</x:v>
      </x:c>
      <x:c r="F2215" s="19" t="str">
        <x:v>堂食</x:v>
      </x:c>
      <x:c r="G2215" s="19" t="str">
        <x:v>全日</x:v>
      </x:c>
      <x:c r="H2215" s="19" t="str">
        <x:v>D11</x:v>
      </x:c>
      <x:c r="I2215" s="19" t="str">
        <x:v>香辣爆肥肠</x:v>
      </x:c>
      <x:c r="J2215" s="22" t="n">
        <x:f>XLOOKUP(H2215,'菜品主数据'!$A$5:$A$24,'菜品主数据'!$D$5:$D$24,0)</x:f>
        <x:v>39</x:v>
      </x:c>
      <x:c r="K2215" s="31" t="n">
        <x:v>6</x:v>
      </x:c>
      <x:c r="L2215" s="35" t="n">
        <x:f>J2215*K2215</x:f>
        <x:v>234</x:v>
      </x:c>
      <x:c r="M2215" s="36" t="n">
        <x:v>0</x:v>
      </x:c>
      <x:c r="N2215" s="35" t="n">
        <x:f>L2215*M2215</x:f>
        <x:v>0</x:v>
      </x:c>
      <x:c r="O2215" s="37" t="n">
        <x:v>0</x:v>
      </x:c>
      <x:c r="P2215" s="35" t="n">
        <x:f>L2215*O2215</x:f>
        <x:v>0</x:v>
      </x:c>
      <x:c r="Q2215" s="35" t="n">
        <x:v>0</x:v>
      </x:c>
      <x:c r="R2215" s="35" t="n">
        <x:f>K2215*Q2215</x:f>
        <x:v>0</x:v>
      </x:c>
      <x:c r="S2215" s="35" t="n">
        <x:f>XLOOKUP(H2215,'菜品主数据'!$A$5:$A$24,'菜品主数据'!$G$5:$G$24,0)</x:f>
        <x:v>10.397</x:v>
      </x:c>
      <x:c r="T2215" s="35" t="n">
        <x:f>K2215*S2215</x:f>
        <x:v>62.382000000000005</x:v>
      </x:c>
      <x:c r="U2215" s="35" t="n">
        <x:f>L2215-N2215-P2215-R2215-T2215</x:f>
        <x:v>171.618</x:v>
      </x:c>
      <x:c r="V2215" s="21" t="n">
        <x:f>IFERROR(U2215/L2215,0)</x:f>
        <x:v>0.7334102564102564</x:v>
      </x:c>
    </x:row>
    <x:row r="2216">
      <x:c r="A2216" s="19" t="str">
        <x:v>SALE-02212</x:v>
      </x:c>
      <x:c r="B2216" s="34" t="n">
        <x:v>46216.5</x:v>
      </x:c>
      <x:c r="C2216" s="19" t="str">
        <x:v>周一</x:v>
      </x:c>
      <x:c r="D2216" s="19" t="str">
        <x:v>S08</x:v>
      </x:c>
      <x:c r="E2216" s="19" t="str">
        <x:v>四季青店</x:v>
      </x:c>
      <x:c r="F2216" s="19" t="str">
        <x:v>堂食</x:v>
      </x:c>
      <x:c r="G2216" s="19" t="str">
        <x:v>全日</x:v>
      </x:c>
      <x:c r="H2216" s="19" t="str">
        <x:v>D12</x:v>
      </x:c>
      <x:c r="I2216" s="19" t="str">
        <x:v>清蒸鲈鱼</x:v>
      </x:c>
      <x:c r="J2216" s="22" t="n">
        <x:f>XLOOKUP(H2216,'菜品主数据'!$A$5:$A$24,'菜品主数据'!$D$5:$D$24,0)</x:f>
        <x:v>39</x:v>
      </x:c>
      <x:c r="K2216" s="31" t="n">
        <x:v>6</x:v>
      </x:c>
      <x:c r="L2216" s="35" t="n">
        <x:f>J2216*K2216</x:f>
        <x:v>234</x:v>
      </x:c>
      <x:c r="M2216" s="36" t="n">
        <x:v>0</x:v>
      </x:c>
      <x:c r="N2216" s="35" t="n">
        <x:f>L2216*M2216</x:f>
        <x:v>0</x:v>
      </x:c>
      <x:c r="O2216" s="37" t="n">
        <x:v>0</x:v>
      </x:c>
      <x:c r="P2216" s="35" t="n">
        <x:f>L2216*O2216</x:f>
        <x:v>0</x:v>
      </x:c>
      <x:c r="Q2216" s="35" t="n">
        <x:v>0</x:v>
      </x:c>
      <x:c r="R2216" s="35" t="n">
        <x:f>K2216*Q2216</x:f>
        <x:v>0</x:v>
      </x:c>
      <x:c r="S2216" s="35" t="n">
        <x:f>XLOOKUP(H2216,'菜品主数据'!$A$5:$A$24,'菜品主数据'!$G$5:$G$24,0)</x:f>
        <x:v>18.874</x:v>
      </x:c>
      <x:c r="T2216" s="35" t="n">
        <x:f>K2216*S2216</x:f>
        <x:v>113.244</x:v>
      </x:c>
      <x:c r="U2216" s="35" t="n">
        <x:f>L2216-N2216-P2216-R2216-T2216</x:f>
        <x:v>120.756</x:v>
      </x:c>
      <x:c r="V2216" s="21" t="n">
        <x:f>IFERROR(U2216/L2216,0)</x:f>
        <x:v>0.516051282051282</x:v>
      </x:c>
    </x:row>
    <x:row r="2217">
      <x:c r="A2217" s="19" t="str">
        <x:v>SALE-02213</x:v>
      </x:c>
      <x:c r="B2217" s="34" t="n">
        <x:v>46216.5</x:v>
      </x:c>
      <x:c r="C2217" s="19" t="str">
        <x:v>周一</x:v>
      </x:c>
      <x:c r="D2217" s="19" t="str">
        <x:v>S08</x:v>
      </x:c>
      <x:c r="E2217" s="19" t="str">
        <x:v>四季青店</x:v>
      </x:c>
      <x:c r="F2217" s="19" t="str">
        <x:v>堂食</x:v>
      </x:c>
      <x:c r="G2217" s="19" t="str">
        <x:v>全日</x:v>
      </x:c>
      <x:c r="H2217" s="19" t="str">
        <x:v>D13</x:v>
      </x:c>
      <x:c r="I2217" s="19" t="str">
        <x:v>外婆菜炒蛋</x:v>
      </x:c>
      <x:c r="J2217" s="22" t="n">
        <x:f>XLOOKUP(H2217,'菜品主数据'!$A$5:$A$24,'菜品主数据'!$D$5:$D$24,0)</x:f>
        <x:v>18</x:v>
      </x:c>
      <x:c r="K2217" s="31" t="n">
        <x:v>13</x:v>
      </x:c>
      <x:c r="L2217" s="35" t="n">
        <x:f>J2217*K2217</x:f>
        <x:v>234</x:v>
      </x:c>
      <x:c r="M2217" s="36" t="n">
        <x:v>0</x:v>
      </x:c>
      <x:c r="N2217" s="35" t="n">
        <x:f>L2217*M2217</x:f>
        <x:v>0</x:v>
      </x:c>
      <x:c r="O2217" s="37" t="n">
        <x:v>0</x:v>
      </x:c>
      <x:c r="P2217" s="35" t="n">
        <x:f>L2217*O2217</x:f>
        <x:v>0</x:v>
      </x:c>
      <x:c r="Q2217" s="35" t="n">
        <x:v>0</x:v>
      </x:c>
      <x:c r="R2217" s="35" t="n">
        <x:f>K2217*Q2217</x:f>
        <x:v>0</x:v>
      </x:c>
      <x:c r="S2217" s="35" t="n">
        <x:f>XLOOKUP(H2217,'菜品主数据'!$A$5:$A$24,'菜品主数据'!$G$5:$G$24,0)</x:f>
        <x:v>5.403999999999999</x:v>
      </x:c>
      <x:c r="T2217" s="35" t="n">
        <x:f>K2217*S2217</x:f>
        <x:v>70.25199999999998</x:v>
      </x:c>
      <x:c r="U2217" s="35" t="n">
        <x:f>L2217-N2217-P2217-R2217-T2217</x:f>
        <x:v>163.74800000000002</x:v>
      </x:c>
      <x:c r="V2217" s="21" t="n">
        <x:f>IFERROR(U2217/L2217,0)</x:f>
        <x:v>0.6997777777777778</x:v>
      </x:c>
    </x:row>
    <x:row r="2218">
      <x:c r="A2218" s="19" t="str">
        <x:v>SALE-02214</x:v>
      </x:c>
      <x:c r="B2218" s="34" t="n">
        <x:v>46216.5</x:v>
      </x:c>
      <x:c r="C2218" s="19" t="str">
        <x:v>周一</x:v>
      </x:c>
      <x:c r="D2218" s="19" t="str">
        <x:v>S08</x:v>
      </x:c>
      <x:c r="E2218" s="19" t="str">
        <x:v>四季青店</x:v>
      </x:c>
      <x:c r="F2218" s="19" t="str">
        <x:v>堂食</x:v>
      </x:c>
      <x:c r="G2218" s="19" t="str">
        <x:v>全日</x:v>
      </x:c>
      <x:c r="H2218" s="19" t="str">
        <x:v>D14</x:v>
      </x:c>
      <x:c r="I2218" s="19" t="str">
        <x:v>酸辣鸡杂</x:v>
      </x:c>
      <x:c r="J2218" s="22" t="n">
        <x:f>XLOOKUP(H2218,'菜品主数据'!$A$5:$A$24,'菜品主数据'!$D$5:$D$24,0)</x:f>
        <x:v>28</x:v>
      </x:c>
      <x:c r="K2218" s="31" t="n">
        <x:v>7</x:v>
      </x:c>
      <x:c r="L2218" s="35" t="n">
        <x:f>J2218*K2218</x:f>
        <x:v>196</x:v>
      </x:c>
      <x:c r="M2218" s="36" t="n">
        <x:v>0</x:v>
      </x:c>
      <x:c r="N2218" s="35" t="n">
        <x:f>L2218*M2218</x:f>
        <x:v>0</x:v>
      </x:c>
      <x:c r="O2218" s="37" t="n">
        <x:v>0</x:v>
      </x:c>
      <x:c r="P2218" s="35" t="n">
        <x:f>L2218*O2218</x:f>
        <x:v>0</x:v>
      </x:c>
      <x:c r="Q2218" s="35" t="n">
        <x:v>0</x:v>
      </x:c>
      <x:c r="R2218" s="35" t="n">
        <x:f>K2218*Q2218</x:f>
        <x:v>0</x:v>
      </x:c>
      <x:c r="S2218" s="35" t="n">
        <x:f>XLOOKUP(H2218,'菜品主数据'!$A$5:$A$24,'菜品主数据'!$G$5:$G$24,0)</x:f>
        <x:v>8.315000000000001</x:v>
      </x:c>
      <x:c r="T2218" s="35" t="n">
        <x:f>K2218*S2218</x:f>
        <x:v>58.20500000000001</x:v>
      </x:c>
      <x:c r="U2218" s="35" t="n">
        <x:f>L2218-N2218-P2218-R2218-T2218</x:f>
        <x:v>137.795</x:v>
      </x:c>
      <x:c r="V2218" s="21" t="n">
        <x:f>IFERROR(U2218/L2218,0)</x:f>
        <x:v>0.7030357142857142</x:v>
      </x:c>
    </x:row>
    <x:row r="2219">
      <x:c r="A2219" s="19" t="str">
        <x:v>SALE-02215</x:v>
      </x:c>
      <x:c r="B2219" s="34" t="n">
        <x:v>46216.5</x:v>
      </x:c>
      <x:c r="C2219" s="19" t="str">
        <x:v>周一</x:v>
      </x:c>
      <x:c r="D2219" s="19" t="str">
        <x:v>S08</x:v>
      </x:c>
      <x:c r="E2219" s="19" t="str">
        <x:v>四季青店</x:v>
      </x:c>
      <x:c r="F2219" s="19" t="str">
        <x:v>堂食</x:v>
      </x:c>
      <x:c r="G2219" s="19" t="str">
        <x:v>全日</x:v>
      </x:c>
      <x:c r="H2219" s="19" t="str">
        <x:v>D15</x:v>
      </x:c>
      <x:c r="I2219" s="19" t="str">
        <x:v>湘西土匪猪肝</x:v>
      </x:c>
      <x:c r="J2219" s="22" t="n">
        <x:f>XLOOKUP(H2219,'菜品主数据'!$A$5:$A$24,'菜品主数据'!$D$5:$D$24,0)</x:f>
        <x:v>26</x:v>
      </x:c>
      <x:c r="K2219" s="31" t="n">
        <x:v>7</x:v>
      </x:c>
      <x:c r="L2219" s="35" t="n">
        <x:f>J2219*K2219</x:f>
        <x:v>182</x:v>
      </x:c>
      <x:c r="M2219" s="36" t="n">
        <x:v>0</x:v>
      </x:c>
      <x:c r="N2219" s="35" t="n">
        <x:f>L2219*M2219</x:f>
        <x:v>0</x:v>
      </x:c>
      <x:c r="O2219" s="37" t="n">
        <x:v>0</x:v>
      </x:c>
      <x:c r="P2219" s="35" t="n">
        <x:f>L2219*O2219</x:f>
        <x:v>0</x:v>
      </x:c>
      <x:c r="Q2219" s="35" t="n">
        <x:v>0</x:v>
      </x:c>
      <x:c r="R2219" s="35" t="n">
        <x:f>K2219*Q2219</x:f>
        <x:v>0</x:v>
      </x:c>
      <x:c r="S2219" s="35" t="n">
        <x:f>XLOOKUP(H2219,'菜品主数据'!$A$5:$A$24,'菜品主数据'!$G$5:$G$24,0)</x:f>
        <x:v>6.3759999999999994</x:v>
      </x:c>
      <x:c r="T2219" s="35" t="n">
        <x:f>K2219*S2219</x:f>
        <x:v>44.632</x:v>
      </x:c>
      <x:c r="U2219" s="35" t="n">
        <x:f>L2219-N2219-P2219-R2219-T2219</x:f>
        <x:v>137.368</x:v>
      </x:c>
      <x:c r="V2219" s="21" t="n">
        <x:f>IFERROR(U2219/L2219,0)</x:f>
        <x:v>0.7547692307692307</x:v>
      </x:c>
    </x:row>
    <x:row r="2220">
      <x:c r="A2220" s="19" t="str">
        <x:v>SALE-02216</x:v>
      </x:c>
      <x:c r="B2220" s="34" t="n">
        <x:v>46216.5</x:v>
      </x:c>
      <x:c r="C2220" s="19" t="str">
        <x:v>周一</x:v>
      </x:c>
      <x:c r="D2220" s="19" t="str">
        <x:v>S08</x:v>
      </x:c>
      <x:c r="E2220" s="19" t="str">
        <x:v>四季青店</x:v>
      </x:c>
      <x:c r="F2220" s="19" t="str">
        <x:v>堂食</x:v>
      </x:c>
      <x:c r="G2220" s="19" t="str">
        <x:v>全日</x:v>
      </x:c>
      <x:c r="H2220" s="19" t="str">
        <x:v>D16</x:v>
      </x:c>
      <x:c r="I2220" s="19" t="str">
        <x:v>小豆角炒五花</x:v>
      </x:c>
      <x:c r="J2220" s="22" t="n">
        <x:f>XLOOKUP(H2220,'菜品主数据'!$A$5:$A$24,'菜品主数据'!$D$5:$D$24,0)</x:f>
        <x:v>25</x:v>
      </x:c>
      <x:c r="K2220" s="31" t="n">
        <x:v>7</x:v>
      </x:c>
      <x:c r="L2220" s="35" t="n">
        <x:f>J2220*K2220</x:f>
        <x:v>175</x:v>
      </x:c>
      <x:c r="M2220" s="36" t="n">
        <x:v>0</x:v>
      </x:c>
      <x:c r="N2220" s="35" t="n">
        <x:f>L2220*M2220</x:f>
        <x:v>0</x:v>
      </x:c>
      <x:c r="O2220" s="37" t="n">
        <x:v>0</x:v>
      </x:c>
      <x:c r="P2220" s="35" t="n">
        <x:f>L2220*O2220</x:f>
        <x:v>0</x:v>
      </x:c>
      <x:c r="Q2220" s="35" t="n">
        <x:v>0</x:v>
      </x:c>
      <x:c r="R2220" s="35" t="n">
        <x:f>K2220*Q2220</x:f>
        <x:v>0</x:v>
      </x:c>
      <x:c r="S2220" s="35" t="n">
        <x:f>XLOOKUP(H2220,'菜品主数据'!$A$5:$A$24,'菜品主数据'!$G$5:$G$24,0)</x:f>
        <x:v>8.184</x:v>
      </x:c>
      <x:c r="T2220" s="35" t="n">
        <x:f>K2220*S2220</x:f>
        <x:v>57.288</x:v>
      </x:c>
      <x:c r="U2220" s="35" t="n">
        <x:f>L2220-N2220-P2220-R2220-T2220</x:f>
        <x:v>117.712</x:v>
      </x:c>
      <x:c r="V2220" s="21" t="n">
        <x:f>IFERROR(U2220/L2220,0)</x:f>
        <x:v>0.67264</x:v>
      </x:c>
    </x:row>
    <x:row r="2221">
      <x:c r="A2221" s="19" t="str">
        <x:v>SALE-02217</x:v>
      </x:c>
      <x:c r="B2221" s="34" t="n">
        <x:v>46216.5</x:v>
      </x:c>
      <x:c r="C2221" s="19" t="str">
        <x:v>周一</x:v>
      </x:c>
      <x:c r="D2221" s="19" t="str">
        <x:v>S08</x:v>
      </x:c>
      <x:c r="E2221" s="19" t="str">
        <x:v>四季青店</x:v>
      </x:c>
      <x:c r="F2221" s="19" t="str">
        <x:v>堂食</x:v>
      </x:c>
      <x:c r="G2221" s="19" t="str">
        <x:v>全日</x:v>
      </x:c>
      <x:c r="H2221" s="19" t="str">
        <x:v>D17</x:v>
      </x:c>
      <x:c r="I2221" s="19" t="str">
        <x:v>蒜蓉粉丝虾</x:v>
      </x:c>
      <x:c r="J2221" s="22" t="n">
        <x:f>XLOOKUP(H2221,'菜品主数据'!$A$5:$A$24,'菜品主数据'!$D$5:$D$24,0)</x:f>
        <x:v>36</x:v>
      </x:c>
      <x:c r="K2221" s="31" t="n">
        <x:v>4</x:v>
      </x:c>
      <x:c r="L2221" s="35" t="n">
        <x:f>J2221*K2221</x:f>
        <x:v>144</x:v>
      </x:c>
      <x:c r="M2221" s="36" t="n">
        <x:v>0</x:v>
      </x:c>
      <x:c r="N2221" s="35" t="n">
        <x:f>L2221*M2221</x:f>
        <x:v>0</x:v>
      </x:c>
      <x:c r="O2221" s="37" t="n">
        <x:v>0</x:v>
      </x:c>
      <x:c r="P2221" s="35" t="n">
        <x:f>L2221*O2221</x:f>
        <x:v>0</x:v>
      </x:c>
      <x:c r="Q2221" s="35" t="n">
        <x:v>0</x:v>
      </x:c>
      <x:c r="R2221" s="35" t="n">
        <x:f>K2221*Q2221</x:f>
        <x:v>0</x:v>
      </x:c>
      <x:c r="S2221" s="35" t="n">
        <x:f>XLOOKUP(H2221,'菜品主数据'!$A$5:$A$24,'菜品主数据'!$G$5:$G$24,0)</x:f>
        <x:v>13.594</x:v>
      </x:c>
      <x:c r="T2221" s="35" t="n">
        <x:f>K2221*S2221</x:f>
        <x:v>54.376</x:v>
      </x:c>
      <x:c r="U2221" s="35" t="n">
        <x:f>L2221-N2221-P2221-R2221-T2221</x:f>
        <x:v>89.624</x:v>
      </x:c>
      <x:c r="V2221" s="21" t="n">
        <x:f>IFERROR(U2221/L2221,0)</x:f>
        <x:v>0.6223888888888889</x:v>
      </x:c>
    </x:row>
    <x:row r="2222">
      <x:c r="A2222" s="19" t="str">
        <x:v>SALE-02218</x:v>
      </x:c>
      <x:c r="B2222" s="34" t="n">
        <x:v>46216.5</x:v>
      </x:c>
      <x:c r="C2222" s="19" t="str">
        <x:v>周一</x:v>
      </x:c>
      <x:c r="D2222" s="19" t="str">
        <x:v>S08</x:v>
      </x:c>
      <x:c r="E2222" s="19" t="str">
        <x:v>四季青店</x:v>
      </x:c>
      <x:c r="F2222" s="19" t="str">
        <x:v>堂食</x:v>
      </x:c>
      <x:c r="G2222" s="19" t="str">
        <x:v>全日</x:v>
      </x:c>
      <x:c r="H2222" s="19" t="str">
        <x:v>D18</x:v>
      </x:c>
      <x:c r="I2222" s="19" t="str">
        <x:v>青椒炒油麦菜</x:v>
      </x:c>
      <x:c r="J2222" s="22" t="n">
        <x:f>XLOOKUP(H2222,'菜品主数据'!$A$5:$A$24,'菜品主数据'!$D$5:$D$24,0)</x:f>
        <x:v>18</x:v>
      </x:c>
      <x:c r="K2222" s="31" t="n">
        <x:v>8</x:v>
      </x:c>
      <x:c r="L2222" s="35" t="n">
        <x:f>J2222*K2222</x:f>
        <x:v>144</x:v>
      </x:c>
      <x:c r="M2222" s="36" t="n">
        <x:v>0</x:v>
      </x:c>
      <x:c r="N2222" s="35" t="n">
        <x:f>L2222*M2222</x:f>
        <x:v>0</x:v>
      </x:c>
      <x:c r="O2222" s="37" t="n">
        <x:v>0</x:v>
      </x:c>
      <x:c r="P2222" s="35" t="n">
        <x:f>L2222*O2222</x:f>
        <x:v>0</x:v>
      </x:c>
      <x:c r="Q2222" s="35" t="n">
        <x:v>0</x:v>
      </x:c>
      <x:c r="R2222" s="35" t="n">
        <x:f>K2222*Q2222</x:f>
        <x:v>0</x:v>
      </x:c>
      <x:c r="S2222" s="35" t="n">
        <x:f>XLOOKUP(H2222,'菜品主数据'!$A$5:$A$24,'菜品主数据'!$G$5:$G$24,0)</x:f>
        <x:v>3.1759999999999993</x:v>
      </x:c>
      <x:c r="T2222" s="35" t="n">
        <x:f>K2222*S2222</x:f>
        <x:v>25.407999999999994</x:v>
      </x:c>
      <x:c r="U2222" s="35" t="n">
        <x:f>L2222-N2222-P2222-R2222-T2222</x:f>
        <x:v>118.59200000000001</x:v>
      </x:c>
      <x:c r="V2222" s="21" t="n">
        <x:f>IFERROR(U2222/L2222,0)</x:f>
        <x:v>0.8235555555555556</x:v>
      </x:c>
    </x:row>
    <x:row r="2223">
      <x:c r="A2223" s="19" t="str">
        <x:v>SALE-02219</x:v>
      </x:c>
      <x:c r="B2223" s="34" t="n">
        <x:v>46216.5</x:v>
      </x:c>
      <x:c r="C2223" s="19" t="str">
        <x:v>周一</x:v>
      </x:c>
      <x:c r="D2223" s="19" t="str">
        <x:v>S08</x:v>
      </x:c>
      <x:c r="E2223" s="19" t="str">
        <x:v>四季青店</x:v>
      </x:c>
      <x:c r="F2223" s="19" t="str">
        <x:v>堂食</x:v>
      </x:c>
      <x:c r="G2223" s="19" t="str">
        <x:v>全日</x:v>
      </x:c>
      <x:c r="H2223" s="19" t="str">
        <x:v>D19</x:v>
      </x:c>
      <x:c r="I2223" s="19" t="str">
        <x:v>酸萝卜炒鸡杂</x:v>
      </x:c>
      <x:c r="J2223" s="22" t="n">
        <x:f>XLOOKUP(H2223,'菜品主数据'!$A$5:$A$24,'菜品主数据'!$D$5:$D$24,0)</x:f>
        <x:v>25</x:v>
      </x:c>
      <x:c r="K2223" s="31" t="n">
        <x:v>5</x:v>
      </x:c>
      <x:c r="L2223" s="35" t="n">
        <x:f>J2223*K2223</x:f>
        <x:v>125</x:v>
      </x:c>
      <x:c r="M2223" s="36" t="n">
        <x:v>0</x:v>
      </x:c>
      <x:c r="N2223" s="35" t="n">
        <x:f>L2223*M2223</x:f>
        <x:v>0</x:v>
      </x:c>
      <x:c r="O2223" s="37" t="n">
        <x:v>0</x:v>
      </x:c>
      <x:c r="P2223" s="35" t="n">
        <x:f>L2223*O2223</x:f>
        <x:v>0</x:v>
      </x:c>
      <x:c r="Q2223" s="35" t="n">
        <x:v>0</x:v>
      </x:c>
      <x:c r="R2223" s="35" t="n">
        <x:f>K2223*Q2223</x:f>
        <x:v>0</x:v>
      </x:c>
      <x:c r="S2223" s="35" t="n">
        <x:f>XLOOKUP(H2223,'菜品主数据'!$A$5:$A$24,'菜品主数据'!$G$5:$G$24,0)</x:f>
        <x:v>7.9399999999999995</x:v>
      </x:c>
      <x:c r="T2223" s="35" t="n">
        <x:f>K2223*S2223</x:f>
        <x:v>39.699999999999996</x:v>
      </x:c>
      <x:c r="U2223" s="35" t="n">
        <x:f>L2223-N2223-P2223-R2223-T2223</x:f>
        <x:v>85.30000000000001</x:v>
      </x:c>
      <x:c r="V2223" s="21" t="n">
        <x:f>IFERROR(U2223/L2223,0)</x:f>
        <x:v>0.6824000000000001</x:v>
      </x:c>
    </x:row>
    <x:row r="2224">
      <x:c r="A2224" s="19" t="str">
        <x:v>SALE-02220</x:v>
      </x:c>
      <x:c r="B2224" s="34" t="n">
        <x:v>46216.5</x:v>
      </x:c>
      <x:c r="C2224" s="19" t="str">
        <x:v>周一</x:v>
      </x:c>
      <x:c r="D2224" s="19" t="str">
        <x:v>S08</x:v>
      </x:c>
      <x:c r="E2224" s="19" t="str">
        <x:v>四季青店</x:v>
      </x:c>
      <x:c r="F2224" s="19" t="str">
        <x:v>堂食</x:v>
      </x:c>
      <x:c r="G2224" s="19" t="str">
        <x:v>全日</x:v>
      </x:c>
      <x:c r="H2224" s="19" t="str">
        <x:v>D20</x:v>
      </x:c>
      <x:c r="I2224" s="19" t="str">
        <x:v>雪菜肉末青豆</x:v>
      </x:c>
      <x:c r="J2224" s="22" t="n">
        <x:f>XLOOKUP(H2224,'菜品主数据'!$A$5:$A$24,'菜品主数据'!$D$5:$D$24,0)</x:f>
        <x:v>18</x:v>
      </x:c>
      <x:c r="K2224" s="31" t="n">
        <x:v>8</x:v>
      </x:c>
      <x:c r="L2224" s="35" t="n">
        <x:f>J2224*K2224</x:f>
        <x:v>144</x:v>
      </x:c>
      <x:c r="M2224" s="36" t="n">
        <x:v>0</x:v>
      </x:c>
      <x:c r="N2224" s="35" t="n">
        <x:f>L2224*M2224</x:f>
        <x:v>0</x:v>
      </x:c>
      <x:c r="O2224" s="37" t="n">
        <x:v>0</x:v>
      </x:c>
      <x:c r="P2224" s="35" t="n">
        <x:f>L2224*O2224</x:f>
        <x:v>0</x:v>
      </x:c>
      <x:c r="Q2224" s="35" t="n">
        <x:v>0</x:v>
      </x:c>
      <x:c r="R2224" s="35" t="n">
        <x:f>K2224*Q2224</x:f>
        <x:v>0</x:v>
      </x:c>
      <x:c r="S2224" s="35" t="n">
        <x:f>XLOOKUP(H2224,'菜品主数据'!$A$5:$A$24,'菜品主数据'!$G$5:$G$24,0)</x:f>
        <x:v>7.303999999999999</x:v>
      </x:c>
      <x:c r="T2224" s="35" t="n">
        <x:f>K2224*S2224</x:f>
        <x:v>58.431999999999995</x:v>
      </x:c>
      <x:c r="U2224" s="35" t="n">
        <x:f>L2224-N2224-P2224-R2224-T2224</x:f>
        <x:v>85.56800000000001</x:v>
      </x:c>
      <x:c r="V2224" s="21" t="n">
        <x:f>IFERROR(U2224/L2224,0)</x:f>
        <x:v>0.5942222222222223</x:v>
      </x:c>
    </x:row>
    <x:row r="2225">
      <x:c r="A2225" s="19" t="str">
        <x:v>SALE-02221</x:v>
      </x:c>
      <x:c r="B2225" s="34" t="n">
        <x:v>46216.5</x:v>
      </x:c>
      <x:c r="C2225" s="19" t="str">
        <x:v>周一</x:v>
      </x:c>
      <x:c r="D2225" s="19" t="str">
        <x:v>S08</x:v>
      </x:c>
      <x:c r="E2225" s="19" t="str">
        <x:v>四季青店</x:v>
      </x:c>
      <x:c r="F2225" s="19" t="str">
        <x:v>外卖</x:v>
      </x:c>
      <x:c r="G2225" s="19" t="str">
        <x:v>全日</x:v>
      </x:c>
      <x:c r="H2225" s="19" t="str">
        <x:v>D01</x:v>
      </x:c>
      <x:c r="I2225" s="19" t="str">
        <x:v>辣椒炒肉</x:v>
      </x:c>
      <x:c r="J2225" s="22" t="n">
        <x:f>XLOOKUP(H2225,'菜品主数据'!$A$5:$A$24,'菜品主数据'!$D$5:$D$24,0)</x:f>
        <x:v>29</x:v>
      </x:c>
      <x:c r="K2225" s="31" t="n">
        <x:v>4</x:v>
      </x:c>
      <x:c r="L2225" s="35" t="n">
        <x:f>J2225*K2225</x:f>
        <x:v>116</x:v>
      </x:c>
      <x:c r="M2225" s="36" t="n">
        <x:v>0.08</x:v>
      </x:c>
      <x:c r="N2225" s="35" t="n">
        <x:f>L2225*M2225</x:f>
        <x:v>9.28</x:v>
      </x:c>
      <x:c r="O2225" s="37" t="n">
        <x:v>0.18</x:v>
      </x:c>
      <x:c r="P2225" s="35" t="n">
        <x:f>L2225*O2225</x:f>
        <x:v>20.88</x:v>
      </x:c>
      <x:c r="Q2225" s="35" t="n">
        <x:v>1.2</x:v>
      </x:c>
      <x:c r="R2225" s="35" t="n">
        <x:f>K2225*Q2225</x:f>
        <x:v>4.8</x:v>
      </x:c>
      <x:c r="S2225" s="35" t="n">
        <x:f>XLOOKUP(H2225,'菜品主数据'!$A$5:$A$24,'菜品主数据'!$G$5:$G$24,0)</x:f>
        <x:v>8.634400000000001</x:v>
      </x:c>
      <x:c r="T2225" s="35" t="n">
        <x:f>K2225*S2225</x:f>
        <x:v>34.537600000000005</x:v>
      </x:c>
      <x:c r="U2225" s="35" t="n">
        <x:f>L2225-N2225-P2225-R2225-T2225</x:f>
        <x:v>46.5024</x:v>
      </x:c>
      <x:c r="V2225" s="21" t="n">
        <x:f>IFERROR(U2225/L2225,0)</x:f>
        <x:v>0.40088275862068967</x:v>
      </x:c>
    </x:row>
    <x:row r="2226">
      <x:c r="A2226" s="19" t="str">
        <x:v>SALE-02222</x:v>
      </x:c>
      <x:c r="B2226" s="34" t="n">
        <x:v>46216.5</x:v>
      </x:c>
      <x:c r="C2226" s="19" t="str">
        <x:v>周一</x:v>
      </x:c>
      <x:c r="D2226" s="19" t="str">
        <x:v>S08</x:v>
      </x:c>
      <x:c r="E2226" s="19" t="str">
        <x:v>四季青店</x:v>
      </x:c>
      <x:c r="F2226" s="19" t="str">
        <x:v>外卖</x:v>
      </x:c>
      <x:c r="G2226" s="19" t="str">
        <x:v>全日</x:v>
      </x:c>
      <x:c r="H2226" s="19" t="str">
        <x:v>D02</x:v>
      </x:c>
      <x:c r="I2226" s="19" t="str">
        <x:v>小炒黄牛肉</x:v>
      </x:c>
      <x:c r="J2226" s="22" t="n">
        <x:f>XLOOKUP(H2226,'菜品主数据'!$A$5:$A$24,'菜品主数据'!$D$5:$D$24,0)</x:f>
        <x:v>49</x:v>
      </x:c>
      <x:c r="K2226" s="31" t="n">
        <x:v>8</x:v>
      </x:c>
      <x:c r="L2226" s="35" t="n">
        <x:f>J2226*K2226</x:f>
        <x:v>392</x:v>
      </x:c>
      <x:c r="M2226" s="36" t="n">
        <x:v>0.08</x:v>
      </x:c>
      <x:c r="N2226" s="35" t="n">
        <x:f>L2226*M2226</x:f>
        <x:v>31.36</x:v>
      </x:c>
      <x:c r="O2226" s="37" t="n">
        <x:v>0.18</x:v>
      </x:c>
      <x:c r="P2226" s="35" t="n">
        <x:f>L2226*O2226</x:f>
        <x:v>70.56</x:v>
      </x:c>
      <x:c r="Q2226" s="35" t="n">
        <x:v>1.2</x:v>
      </x:c>
      <x:c r="R2226" s="35" t="n">
        <x:f>K2226*Q2226</x:f>
        <x:v>9.6</x:v>
      </x:c>
      <x:c r="S2226" s="35" t="n">
        <x:f>XLOOKUP(H2226,'菜品主数据'!$A$5:$A$24,'菜品主数据'!$G$5:$G$24,0)</x:f>
        <x:v>17.577</x:v>
      </x:c>
      <x:c r="T2226" s="35" t="n">
        <x:f>K2226*S2226</x:f>
        <x:v>140.616</x:v>
      </x:c>
      <x:c r="U2226" s="35" t="n">
        <x:f>L2226-N2226-P2226-R2226-T2226</x:f>
        <x:v>139.86399999999995</x:v>
      </x:c>
      <x:c r="V2226" s="21" t="n">
        <x:f>IFERROR(U2226/L2226,0)</x:f>
        <x:v>0.3567959183673468</x:v>
      </x:c>
    </x:row>
    <x:row r="2227">
      <x:c r="A2227" s="19" t="str">
        <x:v>SALE-02223</x:v>
      </x:c>
      <x:c r="B2227" s="34" t="n">
        <x:v>46216.5</x:v>
      </x:c>
      <x:c r="C2227" s="19" t="str">
        <x:v>周一</x:v>
      </x:c>
      <x:c r="D2227" s="19" t="str">
        <x:v>S08</x:v>
      </x:c>
      <x:c r="E2227" s="19" t="str">
        <x:v>四季青店</x:v>
      </x:c>
      <x:c r="F2227" s="19" t="str">
        <x:v>外卖</x:v>
      </x:c>
      <x:c r="G2227" s="19" t="str">
        <x:v>全日</x:v>
      </x:c>
      <x:c r="H2227" s="19" t="str">
        <x:v>D03</x:v>
      </x:c>
      <x:c r="I2227" s="19" t="str">
        <x:v>香醋炒蛋</x:v>
      </x:c>
      <x:c r="J2227" s="22" t="n">
        <x:f>XLOOKUP(H2227,'菜品主数据'!$A$5:$A$24,'菜品主数据'!$D$5:$D$24,0)</x:f>
        <x:v>14.9</x:v>
      </x:c>
      <x:c r="K2227" s="31" t="n">
        <x:v>3</x:v>
      </x:c>
      <x:c r="L2227" s="35" t="n">
        <x:f>J2227*K2227</x:f>
        <x:v>44.7</x:v>
      </x:c>
      <x:c r="M2227" s="36" t="n">
        <x:v>0.08</x:v>
      </x:c>
      <x:c r="N2227" s="35" t="n">
        <x:f>L2227*M2227</x:f>
        <x:v>3.5760000000000005</x:v>
      </x:c>
      <x:c r="O2227" s="37" t="n">
        <x:v>0.18</x:v>
      </x:c>
      <x:c r="P2227" s="35" t="n">
        <x:f>L2227*O2227</x:f>
        <x:v>8.046</x:v>
      </x:c>
      <x:c r="Q2227" s="35" t="n">
        <x:v>1.2</x:v>
      </x:c>
      <x:c r="R2227" s="35" t="n">
        <x:f>K2227*Q2227</x:f>
        <x:v>3.5999999999999996</x:v>
      </x:c>
      <x:c r="S2227" s="35" t="n">
        <x:f>XLOOKUP(H2227,'菜品主数据'!$A$5:$A$24,'菜品主数据'!$G$5:$G$24,0)</x:f>
        <x:v>3.7459999999999996</x:v>
      </x:c>
      <x:c r="T2227" s="35" t="n">
        <x:f>K2227*S2227</x:f>
        <x:v>11.238</x:v>
      </x:c>
      <x:c r="U2227" s="35" t="n">
        <x:f>L2227-N2227-P2227-R2227-T2227</x:f>
        <x:v>18.240000000000002</x:v>
      </x:c>
      <x:c r="V2227" s="21" t="n">
        <x:f>IFERROR(U2227/L2227,0)</x:f>
        <x:v>0.40805369127516783</x:v>
      </x:c>
    </x:row>
    <x:row r="2228">
      <x:c r="A2228" s="19" t="str">
        <x:v>SALE-02224</x:v>
      </x:c>
      <x:c r="B2228" s="34" t="n">
        <x:v>46216.5</x:v>
      </x:c>
      <x:c r="C2228" s="19" t="str">
        <x:v>周一</x:v>
      </x:c>
      <x:c r="D2228" s="19" t="str">
        <x:v>S08</x:v>
      </x:c>
      <x:c r="E2228" s="19" t="str">
        <x:v>四季青店</x:v>
      </x:c>
      <x:c r="F2228" s="19" t="str">
        <x:v>外卖</x:v>
      </x:c>
      <x:c r="G2228" s="19" t="str">
        <x:v>全日</x:v>
      </x:c>
      <x:c r="H2228" s="19" t="str">
        <x:v>D04</x:v>
      </x:c>
      <x:c r="I2228" s="19" t="str">
        <x:v>酸包菜炒粉皮</x:v>
      </x:c>
      <x:c r="J2228" s="22" t="n">
        <x:f>XLOOKUP(H2228,'菜品主数据'!$A$5:$A$24,'菜品主数据'!$D$5:$D$24,0)</x:f>
        <x:v>16</x:v>
      </x:c>
      <x:c r="K2228" s="31" t="n">
        <x:v>3</x:v>
      </x:c>
      <x:c r="L2228" s="35" t="n">
        <x:f>J2228*K2228</x:f>
        <x:v>48</x:v>
      </x:c>
      <x:c r="M2228" s="36" t="n">
        <x:v>0.08</x:v>
      </x:c>
      <x:c r="N2228" s="35" t="n">
        <x:f>L2228*M2228</x:f>
        <x:v>3.84</x:v>
      </x:c>
      <x:c r="O2228" s="37" t="n">
        <x:v>0.18</x:v>
      </x:c>
      <x:c r="P2228" s="35" t="n">
        <x:f>L2228*O2228</x:f>
        <x:v>8.64</x:v>
      </x:c>
      <x:c r="Q2228" s="35" t="n">
        <x:v>1.2</x:v>
      </x:c>
      <x:c r="R2228" s="35" t="n">
        <x:f>K2228*Q2228</x:f>
        <x:v>3.5999999999999996</x:v>
      </x:c>
      <x:c r="S2228" s="35" t="n">
        <x:f>XLOOKUP(H2228,'菜品主数据'!$A$5:$A$24,'菜品主数据'!$G$5:$G$24,0)</x:f>
        <x:v>3.978</x:v>
      </x:c>
      <x:c r="T2228" s="35" t="n">
        <x:f>K2228*S2228</x:f>
        <x:v>11.934000000000001</x:v>
      </x:c>
      <x:c r="U2228" s="35" t="n">
        <x:f>L2228-N2228-P2228-R2228-T2228</x:f>
        <x:v>19.985999999999994</x:v>
      </x:c>
      <x:c r="V2228" s="21" t="n">
        <x:f>IFERROR(U2228/L2228,0)</x:f>
        <x:v>0.4163749999999999</x:v>
      </x:c>
    </x:row>
    <x:row r="2229">
      <x:c r="A2229" s="19" t="str">
        <x:v>SALE-02225</x:v>
      </x:c>
      <x:c r="B2229" s="34" t="n">
        <x:v>46216.5</x:v>
      </x:c>
      <x:c r="C2229" s="19" t="str">
        <x:v>周一</x:v>
      </x:c>
      <x:c r="D2229" s="19" t="str">
        <x:v>S08</x:v>
      </x:c>
      <x:c r="E2229" s="19" t="str">
        <x:v>四季青店</x:v>
      </x:c>
      <x:c r="F2229" s="19" t="str">
        <x:v>外卖</x:v>
      </x:c>
      <x:c r="G2229" s="19" t="str">
        <x:v>全日</x:v>
      </x:c>
      <x:c r="H2229" s="19" t="str">
        <x:v>D05</x:v>
      </x:c>
      <x:c r="I2229" s="19" t="str">
        <x:v>麻婆豆腐</x:v>
      </x:c>
      <x:c r="J2229" s="22" t="n">
        <x:f>XLOOKUP(H2229,'菜品主数据'!$A$5:$A$24,'菜品主数据'!$D$5:$D$24,0)</x:f>
        <x:v>9.9</x:v>
      </x:c>
      <x:c r="K2229" s="31" t="n">
        <x:v>4</x:v>
      </x:c>
      <x:c r="L2229" s="35" t="n">
        <x:f>J2229*K2229</x:f>
        <x:v>39.6</x:v>
      </x:c>
      <x:c r="M2229" s="36" t="n">
        <x:v>0.08</x:v>
      </x:c>
      <x:c r="N2229" s="35" t="n">
        <x:f>L2229*M2229</x:f>
        <x:v>3.168</x:v>
      </x:c>
      <x:c r="O2229" s="37" t="n">
        <x:v>0.18</x:v>
      </x:c>
      <x:c r="P2229" s="35" t="n">
        <x:f>L2229*O2229</x:f>
        <x:v>7.128</x:v>
      </x:c>
      <x:c r="Q2229" s="35" t="n">
        <x:v>1.2</x:v>
      </x:c>
      <x:c r="R2229" s="35" t="n">
        <x:f>K2229*Q2229</x:f>
        <x:v>4.8</x:v>
      </x:c>
      <x:c r="S2229" s="35" t="n">
        <x:f>XLOOKUP(H2229,'菜品主数据'!$A$5:$A$24,'菜品主数据'!$G$5:$G$24,0)</x:f>
        <x:v>5.367000000000001</x:v>
      </x:c>
      <x:c r="T2229" s="35" t="n">
        <x:f>K2229*S2229</x:f>
        <x:v>21.468000000000004</x:v>
      </x:c>
      <x:c r="U2229" s="35" t="n">
        <x:f>L2229-N2229-P2229-R2229-T2229</x:f>
        <x:v>3.035999999999998</x:v>
      </x:c>
      <x:c r="V2229" s="21" t="n">
        <x:f>IFERROR(U2229/L2229,0)</x:f>
        <x:v>0.0766666666666666</x:v>
      </x:c>
    </x:row>
    <x:row r="2230">
      <x:c r="A2230" s="19" t="str">
        <x:v>SALE-02226</x:v>
      </x:c>
      <x:c r="B2230" s="34" t="n">
        <x:v>46216.5</x:v>
      </x:c>
      <x:c r="C2230" s="19" t="str">
        <x:v>周一</x:v>
      </x:c>
      <x:c r="D2230" s="19" t="str">
        <x:v>S08</x:v>
      </x:c>
      <x:c r="E2230" s="19" t="str">
        <x:v>四季青店</x:v>
      </x:c>
      <x:c r="F2230" s="19" t="str">
        <x:v>外卖</x:v>
      </x:c>
      <x:c r="G2230" s="19" t="str">
        <x:v>全日</x:v>
      </x:c>
      <x:c r="H2230" s="19" t="str">
        <x:v>D06</x:v>
      </x:c>
      <x:c r="I2230" s="19" t="str">
        <x:v>剁椒鱼头</x:v>
      </x:c>
      <x:c r="J2230" s="22" t="n">
        <x:f>XLOOKUP(H2230,'菜品主数据'!$A$5:$A$24,'菜品主数据'!$D$5:$D$24,0)</x:f>
        <x:v>39</x:v>
      </x:c>
      <x:c r="K2230" s="31" t="n">
        <x:v>1</x:v>
      </x:c>
      <x:c r="L2230" s="35" t="n">
        <x:f>J2230*K2230</x:f>
        <x:v>39</x:v>
      </x:c>
      <x:c r="M2230" s="36" t="n">
        <x:v>0.08</x:v>
      </x:c>
      <x:c r="N2230" s="35" t="n">
        <x:f>L2230*M2230</x:f>
        <x:v>3.12</x:v>
      </x:c>
      <x:c r="O2230" s="37" t="n">
        <x:v>0.18</x:v>
      </x:c>
      <x:c r="P2230" s="35" t="n">
        <x:f>L2230*O2230</x:f>
        <x:v>7.02</x:v>
      </x:c>
      <x:c r="Q2230" s="35" t="n">
        <x:v>1.2</x:v>
      </x:c>
      <x:c r="R2230" s="35" t="n">
        <x:f>K2230*Q2230</x:f>
        <x:v>1.2</x:v>
      </x:c>
      <x:c r="S2230" s="35" t="n">
        <x:f>XLOOKUP(H2230,'菜品主数据'!$A$5:$A$24,'菜品主数据'!$G$5:$G$24,0)</x:f>
        <x:v>17.446</x:v>
      </x:c>
      <x:c r="T2230" s="35" t="n">
        <x:f>K2230*S2230</x:f>
        <x:v>17.446</x:v>
      </x:c>
      <x:c r="U2230" s="35" t="n">
        <x:f>L2230-N2230-P2230-R2230-T2230</x:f>
        <x:v>10.214000000000002</x:v>
      </x:c>
      <x:c r="V2230" s="21" t="n">
        <x:f>IFERROR(U2230/L2230,0)</x:f>
        <x:v>0.26189743589743597</x:v>
      </x:c>
    </x:row>
    <x:row r="2231">
      <x:c r="A2231" s="19" t="str">
        <x:v>SALE-02227</x:v>
      </x:c>
      <x:c r="B2231" s="34" t="n">
        <x:v>46216.5</x:v>
      </x:c>
      <x:c r="C2231" s="19" t="str">
        <x:v>周一</x:v>
      </x:c>
      <x:c r="D2231" s="19" t="str">
        <x:v>S08</x:v>
      </x:c>
      <x:c r="E2231" s="19" t="str">
        <x:v>四季青店</x:v>
      </x:c>
      <x:c r="F2231" s="19" t="str">
        <x:v>外卖</x:v>
      </x:c>
      <x:c r="G2231" s="19" t="str">
        <x:v>全日</x:v>
      </x:c>
      <x:c r="H2231" s="19" t="str">
        <x:v>D07</x:v>
      </x:c>
      <x:c r="I2231" s="19" t="str">
        <x:v>川味回锅肉</x:v>
      </x:c>
      <x:c r="J2231" s="22" t="n">
        <x:f>XLOOKUP(H2231,'菜品主数据'!$A$5:$A$24,'菜品主数据'!$D$5:$D$24,0)</x:f>
        <x:v>29</x:v>
      </x:c>
      <x:c r="K2231" s="31" t="n">
        <x:v>1</x:v>
      </x:c>
      <x:c r="L2231" s="35" t="n">
        <x:f>J2231*K2231</x:f>
        <x:v>29</x:v>
      </x:c>
      <x:c r="M2231" s="36" t="n">
        <x:v>0.08</x:v>
      </x:c>
      <x:c r="N2231" s="35" t="n">
        <x:f>L2231*M2231</x:f>
        <x:v>2.32</x:v>
      </x:c>
      <x:c r="O2231" s="37" t="n">
        <x:v>0.18</x:v>
      </x:c>
      <x:c r="P2231" s="35" t="n">
        <x:f>L2231*O2231</x:f>
        <x:v>5.22</x:v>
      </x:c>
      <x:c r="Q2231" s="35" t="n">
        <x:v>1.2</x:v>
      </x:c>
      <x:c r="R2231" s="35" t="n">
        <x:f>K2231*Q2231</x:f>
        <x:v>1.2</x:v>
      </x:c>
      <x:c r="S2231" s="35" t="n">
        <x:f>XLOOKUP(H2231,'菜品主数据'!$A$5:$A$24,'菜品主数据'!$G$5:$G$24,0)</x:f>
        <x:v>10.231000000000002</x:v>
      </x:c>
      <x:c r="T2231" s="35" t="n">
        <x:f>K2231*S2231</x:f>
        <x:v>10.231000000000002</x:v>
      </x:c>
      <x:c r="U2231" s="35" t="n">
        <x:f>L2231-N2231-P2231-R2231-T2231</x:f>
        <x:v>10.029</x:v>
      </x:c>
      <x:c r="V2231" s="21" t="n">
        <x:f>IFERROR(U2231/L2231,0)</x:f>
        <x:v>0.3458275862068966</x:v>
      </x:c>
    </x:row>
    <x:row r="2232">
      <x:c r="A2232" s="19" t="str">
        <x:v>SALE-02228</x:v>
      </x:c>
      <x:c r="B2232" s="34" t="n">
        <x:v>46216.5</x:v>
      </x:c>
      <x:c r="C2232" s="19" t="str">
        <x:v>周一</x:v>
      </x:c>
      <x:c r="D2232" s="19" t="str">
        <x:v>S08</x:v>
      </x:c>
      <x:c r="E2232" s="19" t="str">
        <x:v>四季青店</x:v>
      </x:c>
      <x:c r="F2232" s="19" t="str">
        <x:v>外卖</x:v>
      </x:c>
      <x:c r="G2232" s="19" t="str">
        <x:v>全日</x:v>
      </x:c>
      <x:c r="H2232" s="19" t="str">
        <x:v>D08</x:v>
      </x:c>
      <x:c r="I2232" s="19" t="str">
        <x:v>生炒清远鸡</x:v>
      </x:c>
      <x:c r="J2232" s="22" t="n">
        <x:f>XLOOKUP(H2232,'菜品主数据'!$A$5:$A$24,'菜品主数据'!$D$5:$D$24,0)</x:f>
        <x:v>36</x:v>
      </x:c>
      <x:c r="K2232" s="31" t="n">
        <x:v>1</x:v>
      </x:c>
      <x:c r="L2232" s="35" t="n">
        <x:f>J2232*K2232</x:f>
        <x:v>36</x:v>
      </x:c>
      <x:c r="M2232" s="36" t="n">
        <x:v>0.08</x:v>
      </x:c>
      <x:c r="N2232" s="35" t="n">
        <x:f>L2232*M2232</x:f>
        <x:v>2.88</x:v>
      </x:c>
      <x:c r="O2232" s="37" t="n">
        <x:v>0.18</x:v>
      </x:c>
      <x:c r="P2232" s="35" t="n">
        <x:f>L2232*O2232</x:f>
        <x:v>6.4799999999999995</x:v>
      </x:c>
      <x:c r="Q2232" s="35" t="n">
        <x:v>1.2</x:v>
      </x:c>
      <x:c r="R2232" s="35" t="n">
        <x:f>K2232*Q2232</x:f>
        <x:v>1.2</x:v>
      </x:c>
      <x:c r="S2232" s="35" t="n">
        <x:f>XLOOKUP(H2232,'菜品主数据'!$A$5:$A$24,'菜品主数据'!$G$5:$G$24,0)</x:f>
        <x:v>13.48</x:v>
      </x:c>
      <x:c r="T2232" s="35" t="n">
        <x:f>K2232*S2232</x:f>
        <x:v>13.48</x:v>
      </x:c>
      <x:c r="U2232" s="35" t="n">
        <x:f>L2232-N2232-P2232-R2232-T2232</x:f>
        <x:v>11.959999999999997</x:v>
      </x:c>
      <x:c r="V2232" s="21" t="n">
        <x:f>IFERROR(U2232/L2232,0)</x:f>
        <x:v>0.33222222222222214</x:v>
      </x:c>
    </x:row>
    <x:row r="2233">
      <x:c r="A2233" s="19" t="str">
        <x:v>SALE-02229</x:v>
      </x:c>
      <x:c r="B2233" s="34" t="n">
        <x:v>46216.5</x:v>
      </x:c>
      <x:c r="C2233" s="19" t="str">
        <x:v>周一</x:v>
      </x:c>
      <x:c r="D2233" s="19" t="str">
        <x:v>S08</x:v>
      </x:c>
      <x:c r="E2233" s="19" t="str">
        <x:v>四季青店</x:v>
      </x:c>
      <x:c r="F2233" s="19" t="str">
        <x:v>外卖</x:v>
      </x:c>
      <x:c r="G2233" s="19" t="str">
        <x:v>全日</x:v>
      </x:c>
      <x:c r="H2233" s="19" t="str">
        <x:v>D09</x:v>
      </x:c>
      <x:c r="I2233" s="19" t="str">
        <x:v>炒豆干</x:v>
      </x:c>
      <x:c r="J2233" s="22" t="n">
        <x:f>XLOOKUP(H2233,'菜品主数据'!$A$5:$A$24,'菜品主数据'!$D$5:$D$24,0)</x:f>
        <x:v>18</x:v>
      </x:c>
      <x:c r="K2233" s="31" t="n">
        <x:v>1</x:v>
      </x:c>
      <x:c r="L2233" s="35" t="n">
        <x:f>J2233*K2233</x:f>
        <x:v>18</x:v>
      </x:c>
      <x:c r="M2233" s="36" t="n">
        <x:v>0.08</x:v>
      </x:c>
      <x:c r="N2233" s="35" t="n">
        <x:f>L2233*M2233</x:f>
        <x:v>1.44</x:v>
      </x:c>
      <x:c r="O2233" s="37" t="n">
        <x:v>0.18</x:v>
      </x:c>
      <x:c r="P2233" s="35" t="n">
        <x:f>L2233*O2233</x:f>
        <x:v>3.2399999999999998</x:v>
      </x:c>
      <x:c r="Q2233" s="35" t="n">
        <x:v>1.2</x:v>
      </x:c>
      <x:c r="R2233" s="35" t="n">
        <x:f>K2233*Q2233</x:f>
        <x:v>1.2</x:v>
      </x:c>
      <x:c r="S2233" s="35" t="n">
        <x:f>XLOOKUP(H2233,'菜品主数据'!$A$5:$A$24,'菜品主数据'!$G$5:$G$24,0)</x:f>
        <x:v>6.613999999999999</x:v>
      </x:c>
      <x:c r="T2233" s="35" t="n">
        <x:f>K2233*S2233</x:f>
        <x:v>6.613999999999999</x:v>
      </x:c>
      <x:c r="U2233" s="35" t="n">
        <x:f>L2233-N2233-P2233-R2233-T2233</x:f>
        <x:v>5.506</x:v>
      </x:c>
      <x:c r="V2233" s="21" t="n">
        <x:f>IFERROR(U2233/L2233,0)</x:f>
        <x:v>0.3058888888888889</x:v>
      </x:c>
    </x:row>
    <x:row r="2234">
      <x:c r="A2234" s="19" t="str">
        <x:v>SALE-02230</x:v>
      </x:c>
      <x:c r="B2234" s="34" t="n">
        <x:v>46216.5</x:v>
      </x:c>
      <x:c r="C2234" s="19" t="str">
        <x:v>周一</x:v>
      </x:c>
      <x:c r="D2234" s="19" t="str">
        <x:v>S08</x:v>
      </x:c>
      <x:c r="E2234" s="19" t="str">
        <x:v>四季青店</x:v>
      </x:c>
      <x:c r="F2234" s="19" t="str">
        <x:v>外卖</x:v>
      </x:c>
      <x:c r="G2234" s="19" t="str">
        <x:v>全日</x:v>
      </x:c>
      <x:c r="H2234" s="19" t="str">
        <x:v>D10</x:v>
      </x:c>
      <x:c r="I2234" s="19" t="str">
        <x:v>农家一碗香</x:v>
      </x:c>
      <x:c r="J2234" s="22" t="n">
        <x:f>XLOOKUP(H2234,'菜品主数据'!$A$5:$A$24,'菜品主数据'!$D$5:$D$24,0)</x:f>
        <x:v>22.9</x:v>
      </x:c>
      <x:c r="K2234" s="31" t="n">
        <x:v>1</x:v>
      </x:c>
      <x:c r="L2234" s="35" t="n">
        <x:f>J2234*K2234</x:f>
        <x:v>22.9</x:v>
      </x:c>
      <x:c r="M2234" s="36" t="n">
        <x:v>0.08</x:v>
      </x:c>
      <x:c r="N2234" s="35" t="n">
        <x:f>L2234*M2234</x:f>
        <x:v>1.8319999999999999</x:v>
      </x:c>
      <x:c r="O2234" s="37" t="n">
        <x:v>0.18</x:v>
      </x:c>
      <x:c r="P2234" s="35" t="n">
        <x:f>L2234*O2234</x:f>
        <x:v>4.122</x:v>
      </x:c>
      <x:c r="Q2234" s="35" t="n">
        <x:v>1.2</x:v>
      </x:c>
      <x:c r="R2234" s="35" t="n">
        <x:f>K2234*Q2234</x:f>
        <x:v>1.2</x:v>
      </x:c>
      <x:c r="S2234" s="35" t="n">
        <x:f>XLOOKUP(H2234,'菜品主数据'!$A$5:$A$24,'菜品主数据'!$G$5:$G$24,0)</x:f>
        <x:v>9.770200000000003</x:v>
      </x:c>
      <x:c r="T2234" s="35" t="n">
        <x:f>K2234*S2234</x:f>
        <x:v>9.770200000000003</x:v>
      </x:c>
      <x:c r="U2234" s="35" t="n">
        <x:f>L2234-N2234-P2234-R2234-T2234</x:f>
        <x:v>5.975799999999996</x:v>
      </x:c>
      <x:c r="V2234" s="21" t="n">
        <x:f>IFERROR(U2234/L2234,0)</x:f>
        <x:v>0.260951965065502</x:v>
      </x:c>
    </x:row>
    <x:row r="2235">
      <x:c r="A2235" s="19" t="str">
        <x:v>SALE-02231</x:v>
      </x:c>
      <x:c r="B2235" s="34" t="n">
        <x:v>46216.5</x:v>
      </x:c>
      <x:c r="C2235" s="19" t="str">
        <x:v>周一</x:v>
      </x:c>
      <x:c r="D2235" s="19" t="str">
        <x:v>S08</x:v>
      </x:c>
      <x:c r="E2235" s="19" t="str">
        <x:v>四季青店</x:v>
      </x:c>
      <x:c r="F2235" s="19" t="str">
        <x:v>外卖</x:v>
      </x:c>
      <x:c r="G2235" s="19" t="str">
        <x:v>全日</x:v>
      </x:c>
      <x:c r="H2235" s="19" t="str">
        <x:v>D11</x:v>
      </x:c>
      <x:c r="I2235" s="19" t="str">
        <x:v>香辣爆肥肠</x:v>
      </x:c>
      <x:c r="J2235" s="22" t="n">
        <x:f>XLOOKUP(H2235,'菜品主数据'!$A$5:$A$24,'菜品主数据'!$D$5:$D$24,0)</x:f>
        <x:v>39</x:v>
      </x:c>
      <x:c r="K2235" s="31" t="n">
        <x:v>0</x:v>
      </x:c>
      <x:c r="L2235" s="35" t="n">
        <x:f>J2235*K2235</x:f>
        <x:v>0</x:v>
      </x:c>
      <x:c r="M2235" s="36" t="n">
        <x:v>0.08</x:v>
      </x:c>
      <x:c r="N2235" s="35" t="n">
        <x:f>L2235*M2235</x:f>
        <x:v>0</x:v>
      </x:c>
      <x:c r="O2235" s="37" t="n">
        <x:v>0.18</x:v>
      </x:c>
      <x:c r="P2235" s="35" t="n">
        <x:f>L2235*O2235</x:f>
        <x:v>0</x:v>
      </x:c>
      <x:c r="Q2235" s="35" t="n">
        <x:v>1.2</x:v>
      </x:c>
      <x:c r="R2235" s="35" t="n">
        <x:f>K2235*Q2235</x:f>
        <x:v>0</x:v>
      </x:c>
      <x:c r="S2235" s="35" t="n">
        <x:f>XLOOKUP(H2235,'菜品主数据'!$A$5:$A$24,'菜品主数据'!$G$5:$G$24,0)</x:f>
        <x:v>10.397</x:v>
      </x:c>
      <x:c r="T2235" s="35" t="n">
        <x:f>K2235*S2235</x:f>
        <x:v>0</x:v>
      </x:c>
      <x:c r="U2235" s="35" t="n">
        <x:f>L2235-N2235-P2235-R2235-T2235</x:f>
        <x:v>0</x:v>
      </x:c>
      <x:c r="V2235" s="21" t="n">
        <x:f>IFERROR(U2235/L2235,0)</x:f>
        <x:v>0</x:v>
      </x:c>
    </x:row>
    <x:row r="2236">
      <x:c r="A2236" s="19" t="str">
        <x:v>SALE-02232</x:v>
      </x:c>
      <x:c r="B2236" s="34" t="n">
        <x:v>46216.5</x:v>
      </x:c>
      <x:c r="C2236" s="19" t="str">
        <x:v>周一</x:v>
      </x:c>
      <x:c r="D2236" s="19" t="str">
        <x:v>S08</x:v>
      </x:c>
      <x:c r="E2236" s="19" t="str">
        <x:v>四季青店</x:v>
      </x:c>
      <x:c r="F2236" s="19" t="str">
        <x:v>外卖</x:v>
      </x:c>
      <x:c r="G2236" s="19" t="str">
        <x:v>全日</x:v>
      </x:c>
      <x:c r="H2236" s="19" t="str">
        <x:v>D12</x:v>
      </x:c>
      <x:c r="I2236" s="19" t="str">
        <x:v>清蒸鲈鱼</x:v>
      </x:c>
      <x:c r="J2236" s="22" t="n">
        <x:f>XLOOKUP(H2236,'菜品主数据'!$A$5:$A$24,'菜品主数据'!$D$5:$D$24,0)</x:f>
        <x:v>39</x:v>
      </x:c>
      <x:c r="K2236" s="31" t="n">
        <x:v>0</x:v>
      </x:c>
      <x:c r="L2236" s="35" t="n">
        <x:f>J2236*K2236</x:f>
        <x:v>0</x:v>
      </x:c>
      <x:c r="M2236" s="36" t="n">
        <x:v>0.08</x:v>
      </x:c>
      <x:c r="N2236" s="35" t="n">
        <x:f>L2236*M2236</x:f>
        <x:v>0</x:v>
      </x:c>
      <x:c r="O2236" s="37" t="n">
        <x:v>0.18</x:v>
      </x:c>
      <x:c r="P2236" s="35" t="n">
        <x:f>L2236*O2236</x:f>
        <x:v>0</x:v>
      </x:c>
      <x:c r="Q2236" s="35" t="n">
        <x:v>1.2</x:v>
      </x:c>
      <x:c r="R2236" s="35" t="n">
        <x:f>K2236*Q2236</x:f>
        <x:v>0</x:v>
      </x:c>
      <x:c r="S2236" s="35" t="n">
        <x:f>XLOOKUP(H2236,'菜品主数据'!$A$5:$A$24,'菜品主数据'!$G$5:$G$24,0)</x:f>
        <x:v>18.874</x:v>
      </x:c>
      <x:c r="T2236" s="35" t="n">
        <x:f>K2236*S2236</x:f>
        <x:v>0</x:v>
      </x:c>
      <x:c r="U2236" s="35" t="n">
        <x:f>L2236-N2236-P2236-R2236-T2236</x:f>
        <x:v>0</x:v>
      </x:c>
      <x:c r="V2236" s="21" t="n">
        <x:f>IFERROR(U2236/L2236,0)</x:f>
        <x:v>0</x:v>
      </x:c>
    </x:row>
    <x:row r="2237">
      <x:c r="A2237" s="19" t="str">
        <x:v>SALE-02233</x:v>
      </x:c>
      <x:c r="B2237" s="34" t="n">
        <x:v>46216.5</x:v>
      </x:c>
      <x:c r="C2237" s="19" t="str">
        <x:v>周一</x:v>
      </x:c>
      <x:c r="D2237" s="19" t="str">
        <x:v>S08</x:v>
      </x:c>
      <x:c r="E2237" s="19" t="str">
        <x:v>四季青店</x:v>
      </x:c>
      <x:c r="F2237" s="19" t="str">
        <x:v>外卖</x:v>
      </x:c>
      <x:c r="G2237" s="19" t="str">
        <x:v>全日</x:v>
      </x:c>
      <x:c r="H2237" s="19" t="str">
        <x:v>D13</x:v>
      </x:c>
      <x:c r="I2237" s="19" t="str">
        <x:v>外婆菜炒蛋</x:v>
      </x:c>
      <x:c r="J2237" s="22" t="n">
        <x:f>XLOOKUP(H2237,'菜品主数据'!$A$5:$A$24,'菜品主数据'!$D$5:$D$24,0)</x:f>
        <x:v>18</x:v>
      </x:c>
      <x:c r="K2237" s="31" t="n">
        <x:v>1</x:v>
      </x:c>
      <x:c r="L2237" s="35" t="n">
        <x:f>J2237*K2237</x:f>
        <x:v>18</x:v>
      </x:c>
      <x:c r="M2237" s="36" t="n">
        <x:v>0.08</x:v>
      </x:c>
      <x:c r="N2237" s="35" t="n">
        <x:f>L2237*M2237</x:f>
        <x:v>1.44</x:v>
      </x:c>
      <x:c r="O2237" s="37" t="n">
        <x:v>0.18</x:v>
      </x:c>
      <x:c r="P2237" s="35" t="n">
        <x:f>L2237*O2237</x:f>
        <x:v>3.2399999999999998</x:v>
      </x:c>
      <x:c r="Q2237" s="35" t="n">
        <x:v>1.2</x:v>
      </x:c>
      <x:c r="R2237" s="35" t="n">
        <x:f>K2237*Q2237</x:f>
        <x:v>1.2</x:v>
      </x:c>
      <x:c r="S2237" s="35" t="n">
        <x:f>XLOOKUP(H2237,'菜品主数据'!$A$5:$A$24,'菜品主数据'!$G$5:$G$24,0)</x:f>
        <x:v>5.403999999999999</x:v>
      </x:c>
      <x:c r="T2237" s="35" t="n">
        <x:f>K2237*S2237</x:f>
        <x:v>5.403999999999999</x:v>
      </x:c>
      <x:c r="U2237" s="35" t="n">
        <x:f>L2237-N2237-P2237-R2237-T2237</x:f>
        <x:v>6.716</x:v>
      </x:c>
      <x:c r="V2237" s="21" t="n">
        <x:f>IFERROR(U2237/L2237,0)</x:f>
        <x:v>0.3731111111111111</x:v>
      </x:c>
    </x:row>
    <x:row r="2238">
      <x:c r="A2238" s="19" t="str">
        <x:v>SALE-02234</x:v>
      </x:c>
      <x:c r="B2238" s="34" t="n">
        <x:v>46216.5</x:v>
      </x:c>
      <x:c r="C2238" s="19" t="str">
        <x:v>周一</x:v>
      </x:c>
      <x:c r="D2238" s="19" t="str">
        <x:v>S08</x:v>
      </x:c>
      <x:c r="E2238" s="19" t="str">
        <x:v>四季青店</x:v>
      </x:c>
      <x:c r="F2238" s="19" t="str">
        <x:v>外卖</x:v>
      </x:c>
      <x:c r="G2238" s="19" t="str">
        <x:v>全日</x:v>
      </x:c>
      <x:c r="H2238" s="19" t="str">
        <x:v>D14</x:v>
      </x:c>
      <x:c r="I2238" s="19" t="str">
        <x:v>酸辣鸡杂</x:v>
      </x:c>
      <x:c r="J2238" s="22" t="n">
        <x:f>XLOOKUP(H2238,'菜品主数据'!$A$5:$A$24,'菜品主数据'!$D$5:$D$24,0)</x:f>
        <x:v>28</x:v>
      </x:c>
      <x:c r="K2238" s="31" t="n">
        <x:v>0</x:v>
      </x:c>
      <x:c r="L2238" s="35" t="n">
        <x:f>J2238*K2238</x:f>
        <x:v>0</x:v>
      </x:c>
      <x:c r="M2238" s="36" t="n">
        <x:v>0.08</x:v>
      </x:c>
      <x:c r="N2238" s="35" t="n">
        <x:f>L2238*M2238</x:f>
        <x:v>0</x:v>
      </x:c>
      <x:c r="O2238" s="37" t="n">
        <x:v>0.18</x:v>
      </x:c>
      <x:c r="P2238" s="35" t="n">
        <x:f>L2238*O2238</x:f>
        <x:v>0</x:v>
      </x:c>
      <x:c r="Q2238" s="35" t="n">
        <x:v>1.2</x:v>
      </x:c>
      <x:c r="R2238" s="35" t="n">
        <x:f>K2238*Q2238</x:f>
        <x:v>0</x:v>
      </x:c>
      <x:c r="S2238" s="35" t="n">
        <x:f>XLOOKUP(H2238,'菜品主数据'!$A$5:$A$24,'菜品主数据'!$G$5:$G$24,0)</x:f>
        <x:v>8.315000000000001</x:v>
      </x:c>
      <x:c r="T2238" s="35" t="n">
        <x:f>K2238*S2238</x:f>
        <x:v>0</x:v>
      </x:c>
      <x:c r="U2238" s="35" t="n">
        <x:f>L2238-N2238-P2238-R2238-T2238</x:f>
        <x:v>0</x:v>
      </x:c>
      <x:c r="V2238" s="21" t="n">
        <x:f>IFERROR(U2238/L2238,0)</x:f>
        <x:v>0</x:v>
      </x:c>
    </x:row>
    <x:row r="2239">
      <x:c r="A2239" s="19" t="str">
        <x:v>SALE-02235</x:v>
      </x:c>
      <x:c r="B2239" s="34" t="n">
        <x:v>46216.5</x:v>
      </x:c>
      <x:c r="C2239" s="19" t="str">
        <x:v>周一</x:v>
      </x:c>
      <x:c r="D2239" s="19" t="str">
        <x:v>S08</x:v>
      </x:c>
      <x:c r="E2239" s="19" t="str">
        <x:v>四季青店</x:v>
      </x:c>
      <x:c r="F2239" s="19" t="str">
        <x:v>外卖</x:v>
      </x:c>
      <x:c r="G2239" s="19" t="str">
        <x:v>全日</x:v>
      </x:c>
      <x:c r="H2239" s="19" t="str">
        <x:v>D15</x:v>
      </x:c>
      <x:c r="I2239" s="19" t="str">
        <x:v>湘西土匪猪肝</x:v>
      </x:c>
      <x:c r="J2239" s="22" t="n">
        <x:f>XLOOKUP(H2239,'菜品主数据'!$A$5:$A$24,'菜品主数据'!$D$5:$D$24,0)</x:f>
        <x:v>26</x:v>
      </x:c>
      <x:c r="K2239" s="31" t="n">
        <x:v>0</x:v>
      </x:c>
      <x:c r="L2239" s="35" t="n">
        <x:f>J2239*K2239</x:f>
        <x:v>0</x:v>
      </x:c>
      <x:c r="M2239" s="36" t="n">
        <x:v>0.08</x:v>
      </x:c>
      <x:c r="N2239" s="35" t="n">
        <x:f>L2239*M2239</x:f>
        <x:v>0</x:v>
      </x:c>
      <x:c r="O2239" s="37" t="n">
        <x:v>0.18</x:v>
      </x:c>
      <x:c r="P2239" s="35" t="n">
        <x:f>L2239*O2239</x:f>
        <x:v>0</x:v>
      </x:c>
      <x:c r="Q2239" s="35" t="n">
        <x:v>1.2</x:v>
      </x:c>
      <x:c r="R2239" s="35" t="n">
        <x:f>K2239*Q2239</x:f>
        <x:v>0</x:v>
      </x:c>
      <x:c r="S2239" s="35" t="n">
        <x:f>XLOOKUP(H2239,'菜品主数据'!$A$5:$A$24,'菜品主数据'!$G$5:$G$24,0)</x:f>
        <x:v>6.3759999999999994</x:v>
      </x:c>
      <x:c r="T2239" s="35" t="n">
        <x:f>K2239*S2239</x:f>
        <x:v>0</x:v>
      </x:c>
      <x:c r="U2239" s="35" t="n">
        <x:f>L2239-N2239-P2239-R2239-T2239</x:f>
        <x:v>0</x:v>
      </x:c>
      <x:c r="V2239" s="21" t="n">
        <x:f>IFERROR(U2239/L2239,0)</x:f>
        <x:v>0</x:v>
      </x:c>
    </x:row>
    <x:row r="2240">
      <x:c r="A2240" s="19" t="str">
        <x:v>SALE-02236</x:v>
      </x:c>
      <x:c r="B2240" s="34" t="n">
        <x:v>46216.5</x:v>
      </x:c>
      <x:c r="C2240" s="19" t="str">
        <x:v>周一</x:v>
      </x:c>
      <x:c r="D2240" s="19" t="str">
        <x:v>S08</x:v>
      </x:c>
      <x:c r="E2240" s="19" t="str">
        <x:v>四季青店</x:v>
      </x:c>
      <x:c r="F2240" s="19" t="str">
        <x:v>外卖</x:v>
      </x:c>
      <x:c r="G2240" s="19" t="str">
        <x:v>全日</x:v>
      </x:c>
      <x:c r="H2240" s="19" t="str">
        <x:v>D16</x:v>
      </x:c>
      <x:c r="I2240" s="19" t="str">
        <x:v>小豆角炒五花</x:v>
      </x:c>
      <x:c r="J2240" s="22" t="n">
        <x:f>XLOOKUP(H2240,'菜品主数据'!$A$5:$A$24,'菜品主数据'!$D$5:$D$24,0)</x:f>
        <x:v>25</x:v>
      </x:c>
      <x:c r="K2240" s="31" t="n">
        <x:v>0</x:v>
      </x:c>
      <x:c r="L2240" s="35" t="n">
        <x:f>J2240*K2240</x:f>
        <x:v>0</x:v>
      </x:c>
      <x:c r="M2240" s="36" t="n">
        <x:v>0.08</x:v>
      </x:c>
      <x:c r="N2240" s="35" t="n">
        <x:f>L2240*M2240</x:f>
        <x:v>0</x:v>
      </x:c>
      <x:c r="O2240" s="37" t="n">
        <x:v>0.18</x:v>
      </x:c>
      <x:c r="P2240" s="35" t="n">
        <x:f>L2240*O2240</x:f>
        <x:v>0</x:v>
      </x:c>
      <x:c r="Q2240" s="35" t="n">
        <x:v>1.2</x:v>
      </x:c>
      <x:c r="R2240" s="35" t="n">
        <x:f>K2240*Q2240</x:f>
        <x:v>0</x:v>
      </x:c>
      <x:c r="S2240" s="35" t="n">
        <x:f>XLOOKUP(H2240,'菜品主数据'!$A$5:$A$24,'菜品主数据'!$G$5:$G$24,0)</x:f>
        <x:v>8.184</x:v>
      </x:c>
      <x:c r="T2240" s="35" t="n">
        <x:f>K2240*S2240</x:f>
        <x:v>0</x:v>
      </x:c>
      <x:c r="U2240" s="35" t="n">
        <x:f>L2240-N2240-P2240-R2240-T2240</x:f>
        <x:v>0</x:v>
      </x:c>
      <x:c r="V2240" s="21" t="n">
        <x:f>IFERROR(U2240/L2240,0)</x:f>
        <x:v>0</x:v>
      </x:c>
    </x:row>
    <x:row r="2241">
      <x:c r="A2241" s="19" t="str">
        <x:v>SALE-02237</x:v>
      </x:c>
      <x:c r="B2241" s="34" t="n">
        <x:v>46216.5</x:v>
      </x:c>
      <x:c r="C2241" s="19" t="str">
        <x:v>周一</x:v>
      </x:c>
      <x:c r="D2241" s="19" t="str">
        <x:v>S08</x:v>
      </x:c>
      <x:c r="E2241" s="19" t="str">
        <x:v>四季青店</x:v>
      </x:c>
      <x:c r="F2241" s="19" t="str">
        <x:v>外卖</x:v>
      </x:c>
      <x:c r="G2241" s="19" t="str">
        <x:v>全日</x:v>
      </x:c>
      <x:c r="H2241" s="19" t="str">
        <x:v>D17</x:v>
      </x:c>
      <x:c r="I2241" s="19" t="str">
        <x:v>蒜蓉粉丝虾</x:v>
      </x:c>
      <x:c r="J2241" s="22" t="n">
        <x:f>XLOOKUP(H2241,'菜品主数据'!$A$5:$A$24,'菜品主数据'!$D$5:$D$24,0)</x:f>
        <x:v>36</x:v>
      </x:c>
      <x:c r="K2241" s="31" t="n">
        <x:v>0</x:v>
      </x:c>
      <x:c r="L2241" s="35" t="n">
        <x:f>J2241*K2241</x:f>
        <x:v>0</x:v>
      </x:c>
      <x:c r="M2241" s="36" t="n">
        <x:v>0.08</x:v>
      </x:c>
      <x:c r="N2241" s="35" t="n">
        <x:f>L2241*M2241</x:f>
        <x:v>0</x:v>
      </x:c>
      <x:c r="O2241" s="37" t="n">
        <x:v>0.18</x:v>
      </x:c>
      <x:c r="P2241" s="35" t="n">
        <x:f>L2241*O2241</x:f>
        <x:v>0</x:v>
      </x:c>
      <x:c r="Q2241" s="35" t="n">
        <x:v>1.2</x:v>
      </x:c>
      <x:c r="R2241" s="35" t="n">
        <x:f>K2241*Q2241</x:f>
        <x:v>0</x:v>
      </x:c>
      <x:c r="S2241" s="35" t="n">
        <x:f>XLOOKUP(H2241,'菜品主数据'!$A$5:$A$24,'菜品主数据'!$G$5:$G$24,0)</x:f>
        <x:v>13.594</x:v>
      </x:c>
      <x:c r="T2241" s="35" t="n">
        <x:f>K2241*S2241</x:f>
        <x:v>0</x:v>
      </x:c>
      <x:c r="U2241" s="35" t="n">
        <x:f>L2241-N2241-P2241-R2241-T2241</x:f>
        <x:v>0</x:v>
      </x:c>
      <x:c r="V2241" s="21" t="n">
        <x:f>IFERROR(U2241/L2241,0)</x:f>
        <x:v>0</x:v>
      </x:c>
    </x:row>
    <x:row r="2242">
      <x:c r="A2242" s="19" t="str">
        <x:v>SALE-02238</x:v>
      </x:c>
      <x:c r="B2242" s="34" t="n">
        <x:v>46216.5</x:v>
      </x:c>
      <x:c r="C2242" s="19" t="str">
        <x:v>周一</x:v>
      </x:c>
      <x:c r="D2242" s="19" t="str">
        <x:v>S08</x:v>
      </x:c>
      <x:c r="E2242" s="19" t="str">
        <x:v>四季青店</x:v>
      </x:c>
      <x:c r="F2242" s="19" t="str">
        <x:v>外卖</x:v>
      </x:c>
      <x:c r="G2242" s="19" t="str">
        <x:v>全日</x:v>
      </x:c>
      <x:c r="H2242" s="19" t="str">
        <x:v>D18</x:v>
      </x:c>
      <x:c r="I2242" s="19" t="str">
        <x:v>青椒炒油麦菜</x:v>
      </x:c>
      <x:c r="J2242" s="22" t="n">
        <x:f>XLOOKUP(H2242,'菜品主数据'!$A$5:$A$24,'菜品主数据'!$D$5:$D$24,0)</x:f>
        <x:v>18</x:v>
      </x:c>
      <x:c r="K2242" s="31" t="n">
        <x:v>0</x:v>
      </x:c>
      <x:c r="L2242" s="35" t="n">
        <x:f>J2242*K2242</x:f>
        <x:v>0</x:v>
      </x:c>
      <x:c r="M2242" s="36" t="n">
        <x:v>0.08</x:v>
      </x:c>
      <x:c r="N2242" s="35" t="n">
        <x:f>L2242*M2242</x:f>
        <x:v>0</x:v>
      </x:c>
      <x:c r="O2242" s="37" t="n">
        <x:v>0.18</x:v>
      </x:c>
      <x:c r="P2242" s="35" t="n">
        <x:f>L2242*O2242</x:f>
        <x:v>0</x:v>
      </x:c>
      <x:c r="Q2242" s="35" t="n">
        <x:v>1.2</x:v>
      </x:c>
      <x:c r="R2242" s="35" t="n">
        <x:f>K2242*Q2242</x:f>
        <x:v>0</x:v>
      </x:c>
      <x:c r="S2242" s="35" t="n">
        <x:f>XLOOKUP(H2242,'菜品主数据'!$A$5:$A$24,'菜品主数据'!$G$5:$G$24,0)</x:f>
        <x:v>3.1759999999999993</x:v>
      </x:c>
      <x:c r="T2242" s="35" t="n">
        <x:f>K2242*S2242</x:f>
        <x:v>0</x:v>
      </x:c>
      <x:c r="U2242" s="35" t="n">
        <x:f>L2242-N2242-P2242-R2242-T2242</x:f>
        <x:v>0</x:v>
      </x:c>
      <x:c r="V2242" s="21" t="n">
        <x:f>IFERROR(U2242/L2242,0)</x:f>
        <x:v>0</x:v>
      </x:c>
    </x:row>
    <x:row r="2243">
      <x:c r="A2243" s="19" t="str">
        <x:v>SALE-02239</x:v>
      </x:c>
      <x:c r="B2243" s="34" t="n">
        <x:v>46216.5</x:v>
      </x:c>
      <x:c r="C2243" s="19" t="str">
        <x:v>周一</x:v>
      </x:c>
      <x:c r="D2243" s="19" t="str">
        <x:v>S08</x:v>
      </x:c>
      <x:c r="E2243" s="19" t="str">
        <x:v>四季青店</x:v>
      </x:c>
      <x:c r="F2243" s="19" t="str">
        <x:v>外卖</x:v>
      </x:c>
      <x:c r="G2243" s="19" t="str">
        <x:v>全日</x:v>
      </x:c>
      <x:c r="H2243" s="19" t="str">
        <x:v>D19</x:v>
      </x:c>
      <x:c r="I2243" s="19" t="str">
        <x:v>酸萝卜炒鸡杂</x:v>
      </x:c>
      <x:c r="J2243" s="22" t="n">
        <x:f>XLOOKUP(H2243,'菜品主数据'!$A$5:$A$24,'菜品主数据'!$D$5:$D$24,0)</x:f>
        <x:v>25</x:v>
      </x:c>
      <x:c r="K2243" s="31" t="n">
        <x:v>0</x:v>
      </x:c>
      <x:c r="L2243" s="35" t="n">
        <x:f>J2243*K2243</x:f>
        <x:v>0</x:v>
      </x:c>
      <x:c r="M2243" s="36" t="n">
        <x:v>0.08</x:v>
      </x:c>
      <x:c r="N2243" s="35" t="n">
        <x:f>L2243*M2243</x:f>
        <x:v>0</x:v>
      </x:c>
      <x:c r="O2243" s="37" t="n">
        <x:v>0.18</x:v>
      </x:c>
      <x:c r="P2243" s="35" t="n">
        <x:f>L2243*O2243</x:f>
        <x:v>0</x:v>
      </x:c>
      <x:c r="Q2243" s="35" t="n">
        <x:v>1.2</x:v>
      </x:c>
      <x:c r="R2243" s="35" t="n">
        <x:f>K2243*Q2243</x:f>
        <x:v>0</x:v>
      </x:c>
      <x:c r="S2243" s="35" t="n">
        <x:f>XLOOKUP(H2243,'菜品主数据'!$A$5:$A$24,'菜品主数据'!$G$5:$G$24,0)</x:f>
        <x:v>7.9399999999999995</x:v>
      </x:c>
      <x:c r="T2243" s="35" t="n">
        <x:f>K2243*S2243</x:f>
        <x:v>0</x:v>
      </x:c>
      <x:c r="U2243" s="35" t="n">
        <x:f>L2243-N2243-P2243-R2243-T2243</x:f>
        <x:v>0</x:v>
      </x:c>
      <x:c r="V2243" s="21" t="n">
        <x:f>IFERROR(U2243/L2243,0)</x:f>
        <x:v>0</x:v>
      </x:c>
    </x:row>
    <x:row r="2244">
      <x:c r="A2244" s="19" t="str">
        <x:v>SALE-02240</x:v>
      </x:c>
      <x:c r="B2244" s="34" t="n">
        <x:v>46216.5</x:v>
      </x:c>
      <x:c r="C2244" s="19" t="str">
        <x:v>周一</x:v>
      </x:c>
      <x:c r="D2244" s="19" t="str">
        <x:v>S08</x:v>
      </x:c>
      <x:c r="E2244" s="19" t="str">
        <x:v>四季青店</x:v>
      </x:c>
      <x:c r="F2244" s="19" t="str">
        <x:v>外卖</x:v>
      </x:c>
      <x:c r="G2244" s="19" t="str">
        <x:v>全日</x:v>
      </x:c>
      <x:c r="H2244" s="19" t="str">
        <x:v>D20</x:v>
      </x:c>
      <x:c r="I2244" s="19" t="str">
        <x:v>雪菜肉末青豆</x:v>
      </x:c>
      <x:c r="J2244" s="22" t="n">
        <x:f>XLOOKUP(H2244,'菜品主数据'!$A$5:$A$24,'菜品主数据'!$D$5:$D$24,0)</x:f>
        <x:v>18</x:v>
      </x:c>
      <x:c r="K2244" s="31" t="n">
        <x:v>0</x:v>
      </x:c>
      <x:c r="L2244" s="35" t="n">
        <x:f>J2244*K2244</x:f>
        <x:v>0</x:v>
      </x:c>
      <x:c r="M2244" s="36" t="n">
        <x:v>0.08</x:v>
      </x:c>
      <x:c r="N2244" s="35" t="n">
        <x:f>L2244*M2244</x:f>
        <x:v>0</x:v>
      </x:c>
      <x:c r="O2244" s="37" t="n">
        <x:v>0.18</x:v>
      </x:c>
      <x:c r="P2244" s="35" t="n">
        <x:f>L2244*O2244</x:f>
        <x:v>0</x:v>
      </x:c>
      <x:c r="Q2244" s="35" t="n">
        <x:v>1.2</x:v>
      </x:c>
      <x:c r="R2244" s="35" t="n">
        <x:f>K2244*Q2244</x:f>
        <x:v>0</x:v>
      </x:c>
      <x:c r="S2244" s="35" t="n">
        <x:f>XLOOKUP(H2244,'菜品主数据'!$A$5:$A$24,'菜品主数据'!$G$5:$G$24,0)</x:f>
        <x:v>7.303999999999999</x:v>
      </x:c>
      <x:c r="T2244" s="35" t="n">
        <x:f>K2244*S2244</x:f>
        <x:v>0</x:v>
      </x:c>
      <x:c r="U2244" s="35" t="n">
        <x:f>L2244-N2244-P2244-R2244-T2244</x:f>
        <x:v>0</x:v>
      </x:c>
      <x:c r="V2244" s="21" t="n">
        <x:f>IFERROR(U2244/L2244,0)</x:f>
        <x:v>0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64011f30d8d346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8" hidden="0" customWidth="1"/>
    <x:col min="5" max="5" width="15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4" customHeight="1">
      <x:c r="A1" s="3" t="str">
        <x:v>门店日汇总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8" customHeight="1">
      <x:c r="A2" s="7" t="str">
        <x:v>首页与经营平台的基础汇总层；所有指标从销售明细计算，不另造一套首页数字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28" customHeight="1">
      <x:c r="A4" s="12" t="str">
        <x:v>日期</x:v>
      </x:c>
      <x:c r="B4" s="12" t="str">
        <x:v>星期</x:v>
      </x:c>
      <x:c r="C4" s="12" t="str">
        <x:v>门店ID</x:v>
      </x:c>
      <x:c r="D4" s="12" t="str">
        <x:v>门店</x:v>
      </x:c>
      <x:c r="E4" s="12" t="str">
        <x:v>月销基线</x:v>
      </x:c>
      <x:c r="F4" s="12" t="str">
        <x:v>日型系数</x:v>
      </x:c>
      <x:c r="G4" s="12" t="str">
        <x:v>目标流水</x:v>
      </x:c>
      <x:c r="H4" s="12" t="str">
        <x:v>实际流水</x:v>
      </x:c>
      <x:c r="I4" s="12" t="str">
        <x:v>偏差</x:v>
      </x:c>
      <x:c r="J4" s="12" t="str">
        <x:v>堂食流水</x:v>
      </x:c>
      <x:c r="K4" s="12" t="str">
        <x:v>外卖流水</x:v>
      </x:c>
      <x:c r="L4" s="12" t="str">
        <x:v>外卖占比</x:v>
      </x:c>
      <x:c r="M4" s="12" t="str">
        <x:v>食材成本</x:v>
      </x:c>
      <x:c r="N4" s="12" t="str">
        <x:v>平台佣金</x:v>
      </x:c>
      <x:c r="O4" s="12" t="str">
        <x:v>活动折扣</x:v>
      </x:c>
      <x:c r="P4" s="12" t="str">
        <x:v>贡献毛利</x:v>
      </x:c>
      <x:c r="Q4" s="12" t="str">
        <x:v>贡献毛利率</x:v>
      </x:c>
      <x:c r="R4" s="12" t="str">
        <x:v>售出份数</x:v>
      </x:c>
      <x:c r="S4" s="12" t="str">
        <x:v>估算客数</x:v>
      </x:c>
      <x:c r="T4" s="12" t="str">
        <x:v>客单价</x:v>
      </x:c>
    </x:row>
    <x:row r="5">
      <x:c r="A5" s="34" t="n">
        <x:v>46210.5</x:v>
      </x:c>
      <x:c r="B5" s="19" t="str">
        <x:v>周二</x:v>
      </x:c>
      <x:c r="C5" s="19" t="str">
        <x:v>S01</x:v>
      </x:c>
      <x:c r="D5" s="19" t="str">
        <x:v>近江天阳店</x:v>
      </x:c>
      <x:c r="E5" s="35" t="n">
        <x:f>XLOOKUP(C5,'门店与角色'!$A$5:$A$12,'门店与角色'!$D$5:$D$12,0)</x:f>
        <x:v>285000</x:v>
      </x:c>
      <x:c r="F5" s="35" t="n">
        <x:f>XLOOKUP(B5,'封面与口径'!$N$14:$N$20,'封面与口径'!$O$14:$O$20,1)</x:f>
        <x:v>1.08</x:v>
      </x:c>
      <x:c r="G5" s="35" t="n">
        <x:f>E5/30*F5</x:f>
        <x:v>10260</x:v>
      </x:c>
      <x:c r="H5" s="35" t="n">
        <x:f>SUMIFS('7日销售明细'!$L$5:$L$2244,'7日销售明细'!$B$5:$B$2244,A5,'7日销售明细'!$D$5:$D$2244,C5)</x:f>
        <x:v>10255.099999999999</x:v>
      </x:c>
      <x:c r="I5" s="35" t="n">
        <x:f>H5-G5</x:f>
        <x:v>-4.900000000001455</x:v>
      </x:c>
      <x:c r="J5" s="35" t="n">
        <x:f>SUMIFS('7日销售明细'!$L$5:$L$2244,'7日销售明细'!$B$5:$B$2244,A5,'7日销售明细'!$D$5:$D$2244,C5,'7日销售明细'!$F$5:$F$2244,"堂食")</x:f>
        <x:v>9234.3</x:v>
      </x:c>
      <x:c r="K5" s="35" t="n">
        <x:f>SUMIFS('7日销售明细'!$L$5:$L$2244,'7日销售明细'!$B$5:$B$2244,A5,'7日销售明细'!$D$5:$D$2244,C5,'7日销售明细'!$F$5:$F$2244,"外卖")</x:f>
        <x:v>1020.8</x:v>
      </x:c>
      <x:c r="L5" s="21" t="n">
        <x:f>IFERROR(K5/H5,0)</x:f>
        <x:v>0.09954071632651072</x:v>
      </x:c>
      <x:c r="M5" s="35" t="n">
        <x:f>SUMIFS('7日销售明细'!$T$5:$T$2244,'7日销售明细'!$B$5:$B$2244,A5,'7日销售明细'!$D$5:$D$2244,C5)</x:f>
        <x:v>3536.9786000000004</x:v>
      </x:c>
      <x:c r="N5" s="35" t="n">
        <x:f>SUMIFS('7日销售明细'!$P$5:$P$2244,'7日销售明细'!$B$5:$B$2244,A5,'7日销售明细'!$D$5:$D$2244,C5)</x:f>
        <x:v>183.74400000000003</x:v>
      </x:c>
      <x:c r="O5" s="35" t="n">
        <x:f>SUMIFS('7日销售明细'!$N$5:$N$2244,'7日销售明细'!$B$5:$B$2244,A5,'7日销售明细'!$D$5:$D$2244,C5)</x:f>
        <x:v>81.66399999999999</x:v>
      </x:c>
      <x:c r="P5" s="35" t="n">
        <x:f>SUMIFS('7日销售明细'!$U$5:$U$2244,'7日销售明细'!$B$5:$B$2244,A5,'7日销售明细'!$D$5:$D$2244,C5)</x:f>
        <x:v>6405.9133999999995</x:v>
      </x:c>
      <x:c r="Q5" s="21" t="n">
        <x:f>IFERROR(P5/H5,0)</x:f>
        <x:v>0.6246563563495237</x:v>
      </x:c>
      <x:c r="R5" s="20" t="n">
        <x:f>SUMIFS('7日销售明细'!$K$5:$K$2244,'7日销售明细'!$B$5:$B$2244,A5,'7日销售明细'!$D$5:$D$2244,C5)</x:f>
        <x:v>427</x:v>
      </x:c>
      <x:c r="S5" s="20" t="n">
        <x:f>H5/'封面与口径'!$I$11</x:f>
        <x:v>320.47187499999995</x:v>
      </x:c>
      <x:c r="T5" s="22" t="n">
        <x:f>IFERROR(H5/S5,0)</x:f>
        <x:v>32</x:v>
      </x:c>
    </x:row>
    <x:row r="6">
      <x:c r="A6" s="34" t="n">
        <x:v>46211.5</x:v>
      </x:c>
      <x:c r="B6" s="19" t="str">
        <x:v>周三</x:v>
      </x:c>
      <x:c r="C6" s="19" t="str">
        <x:v>S01</x:v>
      </x:c>
      <x:c r="D6" s="19" t="str">
        <x:v>近江天阳店</x:v>
      </x:c>
      <x:c r="E6" s="35" t="n">
        <x:f>XLOOKUP(C6,'门店与角色'!$A$5:$A$12,'门店与角色'!$D$5:$D$12,0)</x:f>
        <x:v>285000</x:v>
      </x:c>
      <x:c r="F6" s="35" t="n">
        <x:f>XLOOKUP(B6,'封面与口径'!$N$14:$N$20,'封面与口径'!$O$14:$O$20,1)</x:f>
        <x:v>1.05</x:v>
      </x:c>
      <x:c r="G6" s="35" t="n">
        <x:f>E6/30*F6</x:f>
        <x:v>9975</x:v>
      </x:c>
      <x:c r="H6" s="35" t="n">
        <x:f>SUMIFS('7日销售明细'!$L$5:$L$2244,'7日销售明细'!$B$5:$B$2244,A6,'7日销售明细'!$D$5:$D$2244,C6)</x:f>
        <x:v>9977.699999999999</x:v>
      </x:c>
      <x:c r="I6" s="35" t="n">
        <x:f>H6-G6</x:f>
        <x:v>2.6999999999989086</x:v>
      </x:c>
      <x:c r="J6" s="35" t="n">
        <x:f>SUMIFS('7日销售明细'!$L$5:$L$2244,'7日销售明细'!$B$5:$B$2244,A6,'7日销售明细'!$D$5:$D$2244,C6,'7日销售明细'!$F$5:$F$2244,"堂食")</x:f>
        <x:v>8978.8</x:v>
      </x:c>
      <x:c r="K6" s="35" t="n">
        <x:f>SUMIFS('7日销售明细'!$L$5:$L$2244,'7日销售明细'!$B$5:$B$2244,A6,'7日销售明细'!$D$5:$D$2244,C6,'7日销售明细'!$F$5:$F$2244,"外卖")</x:f>
        <x:v>998.9</x:v>
      </x:c>
      <x:c r="L6" s="21" t="n">
        <x:f>IFERROR(K6/H6,0)</x:f>
        <x:v>0.10011325255319363</x:v>
      </x:c>
      <x:c r="M6" s="35" t="n">
        <x:f>SUMIFS('7日销售明细'!$T$5:$T$2244,'7日销售明细'!$B$5:$B$2244,A6,'7日销售明细'!$D$5:$D$2244,C6)</x:f>
        <x:v>3435.1883999999995</x:v>
      </x:c>
      <x:c r="N6" s="35" t="n">
        <x:f>SUMIFS('7日销售明细'!$P$5:$P$2244,'7日销售明细'!$B$5:$B$2244,A6,'7日销售明细'!$D$5:$D$2244,C6)</x:f>
        <x:v>179.802</x:v>
      </x:c>
      <x:c r="O6" s="35" t="n">
        <x:f>SUMIFS('7日销售明细'!$N$5:$N$2244,'7日销售明细'!$B$5:$B$2244,A6,'7日销售明细'!$D$5:$D$2244,C6)</x:f>
        <x:v>79.91199999999998</x:v>
      </x:c>
      <x:c r="P6" s="35" t="n">
        <x:f>SUMIFS('7日销售明细'!$U$5:$U$2244,'7日销售明细'!$B$5:$B$2244,A6,'7日销售明细'!$D$5:$D$2244,C6)</x:f>
        <x:v>6238.3976</x:v>
      </x:c>
      <x:c r="Q6" s="21" t="n">
        <x:f>IFERROR(P6/H6,0)</x:f>
        <x:v>0.6252340318911173</x:v>
      </x:c>
      <x:c r="R6" s="20" t="n">
        <x:f>SUMIFS('7日销售明细'!$K$5:$K$2244,'7日销售明细'!$B$5:$B$2244,A6,'7日销售明细'!$D$5:$D$2244,C6)</x:f>
        <x:v>414</x:v>
      </x:c>
      <x:c r="S6" s="20" t="n">
        <x:f>H6/'封面与口径'!$I$11</x:f>
        <x:v>311.80312499999997</x:v>
      </x:c>
      <x:c r="T6" s="22" t="n">
        <x:f>IFERROR(H6/S6,0)</x:f>
        <x:v>32</x:v>
      </x:c>
    </x:row>
    <x:row r="7">
      <x:c r="A7" s="34" t="n">
        <x:v>46212.5</x:v>
      </x:c>
      <x:c r="B7" s="19" t="str">
        <x:v>周四</x:v>
      </x:c>
      <x:c r="C7" s="19" t="str">
        <x:v>S01</x:v>
      </x:c>
      <x:c r="D7" s="19" t="str">
        <x:v>近江天阳店</x:v>
      </x:c>
      <x:c r="E7" s="35" t="n">
        <x:f>XLOOKUP(C7,'门店与角色'!$A$5:$A$12,'门店与角色'!$D$5:$D$12,0)</x:f>
        <x:v>285000</x:v>
      </x:c>
      <x:c r="F7" s="35" t="n">
        <x:f>XLOOKUP(B7,'封面与口径'!$N$14:$N$20,'封面与口径'!$O$14:$O$20,1)</x:f>
        <x:v>1.03</x:v>
      </x:c>
      <x:c r="G7" s="35" t="n">
        <x:f>E7/30*F7</x:f>
        <x:v>9785</x:v>
      </x:c>
      <x:c r="H7" s="35" t="n">
        <x:f>SUMIFS('7日销售明细'!$L$5:$L$2244,'7日销售明细'!$B$5:$B$2244,A7,'7日销售明细'!$D$5:$D$2244,C7)</x:f>
        <x:v>9780.6</x:v>
      </x:c>
      <x:c r="I7" s="35" t="n">
        <x:f>H7-G7</x:f>
        <x:v>-4.399999999999636</x:v>
      </x:c>
      <x:c r="J7" s="35" t="n">
        <x:f>SUMIFS('7日销售明细'!$L$5:$L$2244,'7日销售明细'!$B$5:$B$2244,A7,'7日销售明细'!$D$5:$D$2244,C7,'7日销售明细'!$F$5:$F$2244,"堂食")</x:f>
        <x:v>8802.7</x:v>
      </x:c>
      <x:c r="K7" s="35" t="n">
        <x:f>SUMIFS('7日销售明细'!$L$5:$L$2244,'7日销售明细'!$B$5:$B$2244,A7,'7日销售明细'!$D$5:$D$2244,C7,'7日销售明细'!$F$5:$F$2244,"外卖")</x:f>
        <x:v>977.9</x:v>
      </x:c>
      <x:c r="L7" s="21" t="n">
        <x:f>IFERROR(K7/H7,0)</x:f>
        <x:v>0.09998364108541398</x:v>
      </x:c>
      <x:c r="M7" s="35" t="n">
        <x:f>SUMIFS('7日销售明细'!$T$5:$T$2244,'7日销售明细'!$B$5:$B$2244,A7,'7日销售明细'!$D$5:$D$2244,C7)</x:f>
        <x:v>3375.0358</x:v>
      </x:c>
      <x:c r="N7" s="35" t="n">
        <x:f>SUMIFS('7日销售明细'!$P$5:$P$2244,'7日销售明细'!$B$5:$B$2244,A7,'7日销售明细'!$D$5:$D$2244,C7)</x:f>
        <x:v>176.02200000000002</x:v>
      </x:c>
      <x:c r="O7" s="35" t="n">
        <x:f>SUMIFS('7日销售明细'!$N$5:$N$2244,'7日销售明细'!$B$5:$B$2244,A7,'7日销售明细'!$D$5:$D$2244,C7)</x:f>
        <x:v>78.23199999999999</x:v>
      </x:c>
      <x:c r="P7" s="35" t="n">
        <x:f>SUMIFS('7日销售明细'!$U$5:$U$2244,'7日销售明细'!$B$5:$B$2244,A7,'7日销售明细'!$D$5:$D$2244,C7)</x:f>
        <x:v>6108.1102</x:v>
      </x:c>
      <x:c r="Q7" s="21" t="n">
        <x:f>IFERROR(P7/H7,0)</x:f>
        <x:v>0.6245128315236284</x:v>
      </x:c>
      <x:c r="R7" s="20" t="n">
        <x:f>SUMIFS('7日销售明细'!$K$5:$K$2244,'7日销售明细'!$B$5:$B$2244,A7,'7日销售明细'!$D$5:$D$2244,C7)</x:f>
        <x:v>407</x:v>
      </x:c>
      <x:c r="S7" s="20" t="n">
        <x:f>H7/'封面与口径'!$I$11</x:f>
        <x:v>305.64375</x:v>
      </x:c>
      <x:c r="T7" s="22" t="n">
        <x:f>IFERROR(H7/S7,0)</x:f>
        <x:v>32</x:v>
      </x:c>
    </x:row>
    <x:row r="8">
      <x:c r="A8" s="34" t="n">
        <x:v>46213.5</x:v>
      </x:c>
      <x:c r="B8" s="19" t="str">
        <x:v>周五</x:v>
      </x:c>
      <x:c r="C8" s="19" t="str">
        <x:v>S01</x:v>
      </x:c>
      <x:c r="D8" s="19" t="str">
        <x:v>近江天阳店</x:v>
      </x:c>
      <x:c r="E8" s="35" t="n">
        <x:f>XLOOKUP(C8,'门店与角色'!$A$5:$A$12,'门店与角色'!$D$5:$D$12,0)</x:f>
        <x:v>285000</x:v>
      </x:c>
      <x:c r="F8" s="35" t="n">
        <x:f>XLOOKUP(B8,'封面与口径'!$N$14:$N$20,'封面与口径'!$O$14:$O$20,1)</x:f>
        <x:v>1.07</x:v>
      </x:c>
      <x:c r="G8" s="35" t="n">
        <x:f>E8/30*F8</x:f>
        <x:v>10165</x:v>
      </x:c>
      <x:c r="H8" s="35" t="n">
        <x:f>SUMIFS('7日销售明细'!$L$5:$L$2244,'7日销售明细'!$B$5:$B$2244,A8,'7日销售明细'!$D$5:$D$2244,C8)</x:f>
        <x:v>10160.099999999999</x:v>
      </x:c>
      <x:c r="I8" s="35" t="n">
        <x:f>H8-G8</x:f>
        <x:v>-4.900000000001455</x:v>
      </x:c>
      <x:c r="J8" s="35" t="n">
        <x:f>SUMIFS('7日销售明细'!$L$5:$L$2244,'7日销售明细'!$B$5:$B$2244,A8,'7日销售明细'!$D$5:$D$2244,C8,'7日销售明细'!$F$5:$F$2244,"堂食")</x:f>
        <x:v>9141.3</x:v>
      </x:c>
      <x:c r="K8" s="35" t="n">
        <x:f>SUMIFS('7日销售明细'!$L$5:$L$2244,'7日销售明细'!$B$5:$B$2244,A8,'7日销售明细'!$D$5:$D$2244,C8,'7日销售明细'!$F$5:$F$2244,"外卖")</x:f>
        <x:v>1018.8</x:v>
      </x:c>
      <x:c r="L8" s="21" t="n">
        <x:f>IFERROR(K8/H8,0)</x:f>
        <x:v>0.1002746035964213</x:v>
      </x:c>
      <x:c r="M8" s="35" t="n">
        <x:f>SUMIFS('7日销售明细'!$T$5:$T$2244,'7日销售明细'!$B$5:$B$2244,A8,'7日销售明细'!$D$5:$D$2244,C8)</x:f>
        <x:v>3500.6602000000003</x:v>
      </x:c>
      <x:c r="N8" s="35" t="n">
        <x:f>SUMIFS('7日销售明细'!$P$5:$P$2244,'7日销售明细'!$B$5:$B$2244,A8,'7日销售明细'!$D$5:$D$2244,C8)</x:f>
        <x:v>183.38400000000001</x:v>
      </x:c>
      <x:c r="O8" s="35" t="n">
        <x:f>SUMIFS('7日销售明细'!$N$5:$N$2244,'7日销售明细'!$B$5:$B$2244,A8,'7日销售明细'!$D$5:$D$2244,C8)</x:f>
        <x:v>81.50399999999998</x:v>
      </x:c>
      <x:c r="P8" s="35" t="n">
        <x:f>SUMIFS('7日销售明细'!$U$5:$U$2244,'7日销售明细'!$B$5:$B$2244,A8,'7日销售明细'!$D$5:$D$2244,C8)</x:f>
        <x:v>6348.951800000001</x:v>
      </x:c>
      <x:c r="Q8" s="21" t="n">
        <x:f>IFERROR(P8/H8,0)</x:f>
        <x:v>0.6248906802098406</x:v>
      </x:c>
      <x:c r="R8" s="20" t="n">
        <x:f>SUMIFS('7日销售明细'!$K$5:$K$2244,'7日销售明细'!$B$5:$B$2244,A8,'7日销售明细'!$D$5:$D$2244,C8)</x:f>
        <x:v>423</x:v>
      </x:c>
      <x:c r="S8" s="20" t="n">
        <x:f>H8/'封面与口径'!$I$11</x:f>
        <x:v>317.50312499999995</x:v>
      </x:c>
      <x:c r="T8" s="22" t="n">
        <x:f>IFERROR(H8/S8,0)</x:f>
        <x:v>32</x:v>
      </x:c>
    </x:row>
    <x:row r="9">
      <x:c r="A9" s="34" t="n">
        <x:v>46214.5</x:v>
      </x:c>
      <x:c r="B9" s="19" t="str">
        <x:v>周六</x:v>
      </x:c>
      <x:c r="C9" s="19" t="str">
        <x:v>S01</x:v>
      </x:c>
      <x:c r="D9" s="19" t="str">
        <x:v>近江天阳店</x:v>
      </x:c>
      <x:c r="E9" s="35" t="n">
        <x:f>XLOOKUP(C9,'门店与角色'!$A$5:$A$12,'门店与角色'!$D$5:$D$12,0)</x:f>
        <x:v>285000</x:v>
      </x:c>
      <x:c r="F9" s="35" t="n">
        <x:f>XLOOKUP(B9,'封面与口径'!$N$14:$N$20,'封面与口径'!$O$14:$O$20,1)</x:f>
        <x:v>0.82</x:v>
      </x:c>
      <x:c r="G9" s="35" t="n">
        <x:f>E9/30*F9</x:f>
        <x:v>7789.999999999999</x:v>
      </x:c>
      <x:c r="H9" s="35" t="n">
        <x:f>SUMIFS('7日销售明细'!$L$5:$L$2244,'7日销售明细'!$B$5:$B$2244,A9,'7日销售明细'!$D$5:$D$2244,C9)</x:f>
        <x:v>7788.2</x:v>
      </x:c>
      <x:c r="I9" s="35" t="n">
        <x:f>H9-G9</x:f>
        <x:v>-1.7999999999992724</x:v>
      </x:c>
      <x:c r="J9" s="35" t="n">
        <x:f>SUMIFS('7日销售明细'!$L$5:$L$2244,'7日销售明细'!$B$5:$B$2244,A9,'7日销售明细'!$D$5:$D$2244,C9,'7日销售明细'!$F$5:$F$2244,"堂食")</x:f>
        <x:v>7009</x:v>
      </x:c>
      <x:c r="K9" s="35" t="n">
        <x:f>SUMIFS('7日销售明细'!$L$5:$L$2244,'7日销售明细'!$B$5:$B$2244,A9,'7日销售明细'!$D$5:$D$2244,C9,'7日销售明细'!$F$5:$F$2244,"外卖")</x:f>
        <x:v>779.2</x:v>
      </x:c>
      <x:c r="L9" s="21" t="n">
        <x:f>IFERROR(K9/H9,0)</x:f>
        <x:v>0.10004879176189621</x:v>
      </x:c>
      <x:c r="M9" s="35" t="n">
        <x:f>SUMIFS('7日销售明细'!$T$5:$T$2244,'7日销售明细'!$B$5:$B$2244,A9,'7日销售明细'!$D$5:$D$2244,C9)</x:f>
        <x:v>2688.6962000000003</x:v>
      </x:c>
      <x:c r="N9" s="35" t="n">
        <x:f>SUMIFS('7日销售明细'!$P$5:$P$2244,'7日销售明细'!$B$5:$B$2244,A9,'7日销售明细'!$D$5:$D$2244,C9)</x:f>
        <x:v>140.25600000000003</x:v>
      </x:c>
      <x:c r="O9" s="35" t="n">
        <x:f>SUMIFS('7日销售明细'!$N$5:$N$2244,'7日销售明细'!$B$5:$B$2244,A9,'7日销售明细'!$D$5:$D$2244,C9)</x:f>
        <x:v>62.33599999999999</x:v>
      </x:c>
      <x:c r="P9" s="35" t="n">
        <x:f>SUMIFS('7日销售明细'!$U$5:$U$2244,'7日销售明细'!$B$5:$B$2244,A9,'7日销售明细'!$D$5:$D$2244,C9)</x:f>
        <x:v>4863.311800000001</x:v>
      </x:c>
      <x:c r="Q9" s="21" t="n">
        <x:f>IFERROR(P9/H9,0)</x:f>
        <x:v>0.6244461878226036</x:v>
      </x:c>
      <x:c r="R9" s="20" t="n">
        <x:f>SUMIFS('7日销售明细'!$K$5:$K$2244,'7日销售明细'!$B$5:$B$2244,A9,'7日销售明细'!$D$5:$D$2244,C9)</x:f>
        <x:v>325</x:v>
      </x:c>
      <x:c r="S9" s="20" t="n">
        <x:f>H9/'封面与口径'!$I$11</x:f>
        <x:v>243.38125</x:v>
      </x:c>
      <x:c r="T9" s="22" t="n">
        <x:f>IFERROR(H9/S9,0)</x:f>
        <x:v>32</x:v>
      </x:c>
    </x:row>
    <x:row r="10">
      <x:c r="A10" s="34" t="n">
        <x:v>46215.5</x:v>
      </x:c>
      <x:c r="B10" s="19" t="str">
        <x:v>周日</x:v>
      </x:c>
      <x:c r="C10" s="19" t="str">
        <x:v>S01</x:v>
      </x:c>
      <x:c r="D10" s="19" t="str">
        <x:v>近江天阳店</x:v>
      </x:c>
      <x:c r="E10" s="35" t="n">
        <x:f>XLOOKUP(C10,'门店与角色'!$A$5:$A$12,'门店与角色'!$D$5:$D$12,0)</x:f>
        <x:v>285000</x:v>
      </x:c>
      <x:c r="F10" s="35" t="n">
        <x:f>XLOOKUP(B10,'封面与口径'!$N$14:$N$20,'封面与口径'!$O$14:$O$20,1)</x:f>
        <x:v>0.8</x:v>
      </x:c>
      <x:c r="G10" s="35" t="n">
        <x:f>E10/30*F10</x:f>
        <x:v>7600</x:v>
      </x:c>
      <x:c r="H10" s="35" t="n">
        <x:f>SUMIFS('7日销售明细'!$L$5:$L$2244,'7日销售明细'!$B$5:$B$2244,A10,'7日销售明细'!$D$5:$D$2244,C10)</x:f>
        <x:v>7600.299999999999</x:v>
      </x:c>
      <x:c r="I10" s="35" t="n">
        <x:f>H10-G10</x:f>
        <x:v>0.2999999999992724</x:v>
      </x:c>
      <x:c r="J10" s="35" t="n">
        <x:f>SUMIFS('7日销售明细'!$L$5:$L$2244,'7日销售明细'!$B$5:$B$2244,A10,'7日销售明细'!$D$5:$D$2244,C10,'7日销售明细'!$F$5:$F$2244,"堂食")</x:f>
        <x:v>6843.099999999999</x:v>
      </x:c>
      <x:c r="K10" s="35" t="n">
        <x:f>SUMIFS('7日销售明细'!$L$5:$L$2244,'7日销售明细'!$B$5:$B$2244,A10,'7日销售明细'!$D$5:$D$2244,C10,'7日销售明细'!$F$5:$F$2244,"外卖")</x:f>
        <x:v>757.2</x:v>
      </x:c>
      <x:c r="L10" s="21" t="n">
        <x:f>IFERROR(K10/H10,0)</x:f>
        <x:v>0.09962764627712066</x:v>
      </x:c>
      <x:c r="M10" s="35" t="n">
        <x:f>SUMIFS('7日销售明细'!$T$5:$T$2244,'7日销售明细'!$B$5:$B$2244,A10,'7日销售明细'!$D$5:$D$2244,C10)</x:f>
        <x:v>2627.1624</x:v>
      </x:c>
      <x:c r="N10" s="35" t="n">
        <x:f>SUMIFS('7日销售明细'!$P$5:$P$2244,'7日销售明细'!$B$5:$B$2244,A10,'7日销售明细'!$D$5:$D$2244,C10)</x:f>
        <x:v>136.296</x:v>
      </x:c>
      <x:c r="O10" s="35" t="n">
        <x:f>SUMIFS('7日销售明细'!$N$5:$N$2244,'7日销售明细'!$B$5:$B$2244,A10,'7日销售明细'!$D$5:$D$2244,C10)</x:f>
        <x:v>60.57599999999999</x:v>
      </x:c>
      <x:c r="P10" s="35" t="n">
        <x:f>SUMIFS('7日销售明细'!$U$5:$U$2244,'7日销售明细'!$B$5:$B$2244,A10,'7日销售明细'!$D$5:$D$2244,C10)</x:f>
        <x:v>4743.865600000001</x:v>
      </x:c>
      <x:c r="Q10" s="21" t="n">
        <x:f>IFERROR(P10/H10,0)</x:f>
        <x:v>0.6241682038866889</x:v>
      </x:c>
      <x:c r="R10" s="20" t="n">
        <x:f>SUMIFS('7日销售明细'!$K$5:$K$2244,'7日销售明细'!$B$5:$B$2244,A10,'7日销售明细'!$D$5:$D$2244,C10)</x:f>
        <x:v>314</x:v>
      </x:c>
      <x:c r="S10" s="20" t="n">
        <x:f>H10/'封面与口径'!$I$11</x:f>
        <x:v>237.50937499999998</x:v>
      </x:c>
      <x:c r="T10" s="22" t="n">
        <x:f>IFERROR(H10/S10,0)</x:f>
        <x:v>32</x:v>
      </x:c>
    </x:row>
    <x:row r="11">
      <x:c r="A11" s="34" t="n">
        <x:v>46216.5</x:v>
      </x:c>
      <x:c r="B11" s="19" t="str">
        <x:v>周一</x:v>
      </x:c>
      <x:c r="C11" s="19" t="str">
        <x:v>S01</x:v>
      </x:c>
      <x:c r="D11" s="19" t="str">
        <x:v>近江天阳店</x:v>
      </x:c>
      <x:c r="E11" s="35" t="n">
        <x:f>XLOOKUP(C11,'门店与角色'!$A$5:$A$12,'门店与角色'!$D$5:$D$12,0)</x:f>
        <x:v>285000</x:v>
      </x:c>
      <x:c r="F11" s="35" t="n">
        <x:f>XLOOKUP(B11,'封面与口径'!$N$14:$N$20,'封面与口径'!$O$14:$O$20,1)</x:f>
        <x:v>1.15</x:v>
      </x:c>
      <x:c r="G11" s="35" t="n">
        <x:f>E11/30*F11</x:f>
        <x:v>10925</x:v>
      </x:c>
      <x:c r="H11" s="35" t="n">
        <x:f>SUMIFS('7日销售明细'!$L$5:$L$2244,'7日销售明细'!$B$5:$B$2244,A11,'7日销售明细'!$D$5:$D$2244,C11)</x:f>
        <x:v>10925.3</x:v>
      </x:c>
      <x:c r="I11" s="35" t="n">
        <x:f>H11-G11</x:f>
        <x:v>0.2999999999992724</x:v>
      </x:c>
      <x:c r="J11" s="35" t="n">
        <x:f>SUMIFS('7日销售明细'!$L$5:$L$2244,'7日销售明细'!$B$5:$B$2244,A11,'7日销售明细'!$D$5:$D$2244,C11,'7日销售明细'!$F$5:$F$2244,"堂食")</x:f>
        <x:v>9833.6</x:v>
      </x:c>
      <x:c r="K11" s="35" t="n">
        <x:f>SUMIFS('7日销售明细'!$L$5:$L$2244,'7日销售明细'!$B$5:$B$2244,A11,'7日销售明细'!$D$5:$D$2244,C11,'7日销售明细'!$F$5:$F$2244,"外卖")</x:f>
        <x:v>1091.6999999999998</x:v>
      </x:c>
      <x:c r="L11" s="21" t="n">
        <x:f>IFERROR(K11/H11,0)</x:f>
        <x:v>0.09992402954609941</x:v>
      </x:c>
      <x:c r="M11" s="35" t="n">
        <x:f>SUMIFS('7日销售明细'!$T$5:$T$2244,'7日销售明细'!$B$5:$B$2244,A11,'7日销售明细'!$D$5:$D$2244,C11)</x:f>
        <x:v>3752.4560000000015</x:v>
      </x:c>
      <x:c r="N11" s="35" t="n">
        <x:f>SUMIFS('7日销售明细'!$P$5:$P$2244,'7日销售明细'!$B$5:$B$2244,A11,'7日销售明细'!$D$5:$D$2244,C11)</x:f>
        <x:v>196.506</x:v>
      </x:c>
      <x:c r="O11" s="35" t="n">
        <x:f>SUMIFS('7日销售明细'!$N$5:$N$2244,'7日销售明细'!$B$5:$B$2244,A11,'7日销售明细'!$D$5:$D$2244,C11)</x:f>
        <x:v>87.33599999999998</x:v>
      </x:c>
      <x:c r="P11" s="35" t="n">
        <x:f>SUMIFS('7日销售明细'!$U$5:$U$2244,'7日销售明细'!$B$5:$B$2244,A11,'7日销售明细'!$D$5:$D$2244,C11)</x:f>
        <x:v>6837.401999999999</x:v>
      </x:c>
      <x:c r="Q11" s="21" t="n">
        <x:f>IFERROR(P11/H11,0)</x:f>
        <x:v>0.6258319680008787</x:v>
      </x:c>
      <x:c r="R11" s="20" t="n">
        <x:f>SUMIFS('7日销售明细'!$K$5:$K$2244,'7日销售明细'!$B$5:$B$2244,A11,'7日销售明细'!$D$5:$D$2244,C11)</x:f>
        <x:v>457</x:v>
      </x:c>
      <x:c r="S11" s="20" t="n">
        <x:f>H11/'封面与口径'!$I$11</x:f>
        <x:v>341.415625</x:v>
      </x:c>
      <x:c r="T11" s="22" t="n">
        <x:f>IFERROR(H11/S11,0)</x:f>
        <x:v>32</x:v>
      </x:c>
    </x:row>
    <x:row r="12">
      <x:c r="A12" s="34" t="n">
        <x:v>46210.5</x:v>
      </x:c>
      <x:c r="B12" s="19" t="str">
        <x:v>周二</x:v>
      </x:c>
      <x:c r="C12" s="19" t="str">
        <x:v>S02</x:v>
      </x:c>
      <x:c r="D12" s="19" t="str">
        <x:v>尊宝大厦店</x:v>
      </x:c>
      <x:c r="E12" s="35" t="n">
        <x:f>XLOOKUP(C12,'门店与角色'!$A$5:$A$12,'门店与角色'!$D$5:$D$12,0)</x:f>
        <x:v>270000</x:v>
      </x:c>
      <x:c r="F12" s="35" t="n">
        <x:f>XLOOKUP(B12,'封面与口径'!$N$14:$N$20,'封面与口径'!$O$14:$O$20,1)</x:f>
        <x:v>1.08</x:v>
      </x:c>
      <x:c r="G12" s="35" t="n">
        <x:f>E12/30*F12</x:f>
        <x:v>9720</x:v>
      </x:c>
      <x:c r="H12" s="35" t="n">
        <x:f>SUMIFS('7日销售明细'!$L$5:$L$2244,'7日销售明细'!$B$5:$B$2244,A12,'7日销售明细'!$D$5:$D$2244,C12)</x:f>
        <x:v>9718.9</x:v>
      </x:c>
      <x:c r="I12" s="35" t="n">
        <x:f>H12-G12</x:f>
        <x:v>-1.1000000000003638</x:v>
      </x:c>
      <x:c r="J12" s="35" t="n">
        <x:f>SUMIFS('7日销售明细'!$L$5:$L$2244,'7日销售明细'!$B$5:$B$2244,A12,'7日销售明细'!$D$5:$D$2244,C12,'7日销售明细'!$F$5:$F$2244,"堂食")</x:f>
        <x:v>8749</x:v>
      </x:c>
      <x:c r="K12" s="35" t="n">
        <x:f>SUMIFS('7日销售明细'!$L$5:$L$2244,'7日销售明细'!$B$5:$B$2244,A12,'7日销售明细'!$D$5:$D$2244,C12,'7日销售明细'!$F$5:$F$2244,"外卖")</x:f>
        <x:v>969.9</x:v>
      </x:c>
      <x:c r="L12" s="21" t="n">
        <x:f>IFERROR(K12/H12,0)</x:f>
        <x:v>0.09979524431777259</x:v>
      </x:c>
      <x:c r="M12" s="35" t="n">
        <x:f>SUMIFS('7日销售明细'!$T$5:$T$2244,'7日销售明细'!$B$5:$B$2244,A12,'7日销售明细'!$D$5:$D$2244,C12)</x:f>
        <x:v>3349.1966</x:v>
      </x:c>
      <x:c r="N12" s="35" t="n">
        <x:f>SUMIFS('7日销售明细'!$P$5:$P$2244,'7日销售明细'!$B$5:$B$2244,A12,'7日销售明细'!$D$5:$D$2244,C12)</x:f>
        <x:v>174.58200000000002</x:v>
      </x:c>
      <x:c r="O12" s="35" t="n">
        <x:f>SUMIFS('7日销售明细'!$N$5:$N$2244,'7日销售明细'!$B$5:$B$2244,A12,'7日销售明细'!$D$5:$D$2244,C12)</x:f>
        <x:v>77.59199999999997</x:v>
      </x:c>
      <x:c r="P12" s="35" t="n">
        <x:f>SUMIFS('7日销售明细'!$U$5:$U$2244,'7日销售明细'!$B$5:$B$2244,A12,'7日销售明细'!$D$5:$D$2244,C12)</x:f>
        <x:v>6074.329399999999</x:v>
      </x:c>
      <x:c r="Q12" s="21" t="n">
        <x:f>IFERROR(P12/H12,0)</x:f>
        <x:v>0.6250017388799143</x:v>
      </x:c>
      <x:c r="R12" s="20" t="n">
        <x:f>SUMIFS('7日销售明细'!$K$5:$K$2244,'7日销售明细'!$B$5:$B$2244,A12,'7日销售明细'!$D$5:$D$2244,C12)</x:f>
        <x:v>401</x:v>
      </x:c>
      <x:c r="S12" s="20" t="n">
        <x:f>H12/'封面与口径'!$I$11</x:f>
        <x:v>303.715625</x:v>
      </x:c>
      <x:c r="T12" s="22" t="n">
        <x:f>IFERROR(H12/S12,0)</x:f>
        <x:v>32</x:v>
      </x:c>
    </x:row>
    <x:row r="13">
      <x:c r="A13" s="34" t="n">
        <x:v>46211.5</x:v>
      </x:c>
      <x:c r="B13" s="19" t="str">
        <x:v>周三</x:v>
      </x:c>
      <x:c r="C13" s="19" t="str">
        <x:v>S02</x:v>
      </x:c>
      <x:c r="D13" s="19" t="str">
        <x:v>尊宝大厦店</x:v>
      </x:c>
      <x:c r="E13" s="35" t="n">
        <x:f>XLOOKUP(C13,'门店与角色'!$A$5:$A$12,'门店与角色'!$D$5:$D$12,0)</x:f>
        <x:v>270000</x:v>
      </x:c>
      <x:c r="F13" s="35" t="n">
        <x:f>XLOOKUP(B13,'封面与口径'!$N$14:$N$20,'封面与口径'!$O$14:$O$20,1)</x:f>
        <x:v>1.05</x:v>
      </x:c>
      <x:c r="G13" s="35" t="n">
        <x:f>E13/30*F13</x:f>
        <x:v>9450</x:v>
      </x:c>
      <x:c r="H13" s="35" t="n">
        <x:f>SUMIFS('7日销售明细'!$L$5:$L$2244,'7日销售明细'!$B$5:$B$2244,A13,'7日销售明细'!$D$5:$D$2244,C13)</x:f>
        <x:v>9442.3</x:v>
      </x:c>
      <x:c r="I13" s="35" t="n">
        <x:f>H13-G13</x:f>
        <x:v>-7.700000000000728</x:v>
      </x:c>
      <x:c r="J13" s="35" t="n">
        <x:f>SUMIFS('7日销售明细'!$L$5:$L$2244,'7日销售明细'!$B$5:$B$2244,A13,'7日销售明细'!$D$5:$D$2244,C13,'7日销售明细'!$F$5:$F$2244,"堂食")</x:f>
        <x:v>8502.3</x:v>
      </x:c>
      <x:c r="K13" s="35" t="n">
        <x:f>SUMIFS('7日销售明细'!$L$5:$L$2244,'7日销售明细'!$B$5:$B$2244,A13,'7日销售明细'!$D$5:$D$2244,C13,'7日销售明细'!$F$5:$F$2244,"外卖")</x:f>
        <x:v>940</x:v>
      </x:c>
      <x:c r="L13" s="21" t="n">
        <x:f>IFERROR(K13/H13,0)</x:f>
        <x:v>0.09955201592832255</x:v>
      </x:c>
      <x:c r="M13" s="35" t="n">
        <x:f>SUMIFS('7日销售明细'!$T$5:$T$2244,'7日销售明细'!$B$5:$B$2244,A13,'7日销售明细'!$D$5:$D$2244,C13)</x:f>
        <x:v>3262.2858</x:v>
      </x:c>
      <x:c r="N13" s="35" t="n">
        <x:f>SUMIFS('7日销售明细'!$P$5:$P$2244,'7日销售明细'!$B$5:$B$2244,A13,'7日销售明细'!$D$5:$D$2244,C13)</x:f>
        <x:v>169.2</x:v>
      </x:c>
      <x:c r="O13" s="35" t="n">
        <x:f>SUMIFS('7日销售明细'!$N$5:$N$2244,'7日销售明细'!$B$5:$B$2244,A13,'7日销售明细'!$D$5:$D$2244,C13)</x:f>
        <x:v>75.19999999999997</x:v>
      </x:c>
      <x:c r="P13" s="35" t="n">
        <x:f>SUMIFS('7日销售明细'!$U$5:$U$2244,'7日销售明细'!$B$5:$B$2244,A13,'7日销售明细'!$D$5:$D$2244,C13)</x:f>
        <x:v>5894.814199999999</x:v>
      </x:c>
      <x:c r="Q13" s="21" t="n">
        <x:f>IFERROR(P13/H13,0)</x:f>
        <x:v>0.624298550141385</x:v>
      </x:c>
      <x:c r="R13" s="20" t="n">
        <x:f>SUMIFS('7日销售明细'!$K$5:$K$2244,'7日销售明细'!$B$5:$B$2244,A13,'7日销售明细'!$D$5:$D$2244,C13)</x:f>
        <x:v>389</x:v>
      </x:c>
      <x:c r="S13" s="20" t="n">
        <x:f>H13/'封面与口径'!$I$11</x:f>
        <x:v>295.071875</x:v>
      </x:c>
      <x:c r="T13" s="22" t="n">
        <x:f>IFERROR(H13/S13,0)</x:f>
        <x:v>32</x:v>
      </x:c>
    </x:row>
    <x:row r="14">
      <x:c r="A14" s="34" t="n">
        <x:v>46212.5</x:v>
      </x:c>
      <x:c r="B14" s="19" t="str">
        <x:v>周四</x:v>
      </x:c>
      <x:c r="C14" s="19" t="str">
        <x:v>S02</x:v>
      </x:c>
      <x:c r="D14" s="19" t="str">
        <x:v>尊宝大厦店</x:v>
      </x:c>
      <x:c r="E14" s="35" t="n">
        <x:f>XLOOKUP(C14,'门店与角色'!$A$5:$A$12,'门店与角色'!$D$5:$D$12,0)</x:f>
        <x:v>270000</x:v>
      </x:c>
      <x:c r="F14" s="35" t="n">
        <x:f>XLOOKUP(B14,'封面与口径'!$N$14:$N$20,'封面与口径'!$O$14:$O$20,1)</x:f>
        <x:v>1.03</x:v>
      </x:c>
      <x:c r="G14" s="35" t="n">
        <x:f>E14/30*F14</x:f>
        <x:v>9270</x:v>
      </x:c>
      <x:c r="H14" s="35" t="n">
        <x:f>SUMIFS('7日销售明细'!$L$5:$L$2244,'7日销售明细'!$B$5:$B$2244,A14,'7日销售明细'!$D$5:$D$2244,C14)</x:f>
        <x:v>9269.099999999999</x:v>
      </x:c>
      <x:c r="I14" s="35" t="n">
        <x:f>H14-G14</x:f>
        <x:v>-0.9000000000014552</x:v>
      </x:c>
      <x:c r="J14" s="35" t="n">
        <x:f>SUMIFS('7日销售明细'!$L$5:$L$2244,'7日销售明细'!$B$5:$B$2244,A14,'7日销售明细'!$D$5:$D$2244,C14,'7日销售明细'!$F$5:$F$2244,"堂食")</x:f>
        <x:v>8342.099999999999</x:v>
      </x:c>
      <x:c r="K14" s="35" t="n">
        <x:f>SUMIFS('7日销售明细'!$L$5:$L$2244,'7日销售明细'!$B$5:$B$2244,A14,'7日销售明细'!$D$5:$D$2244,C14,'7日销售明细'!$F$5:$F$2244,"外卖")</x:f>
        <x:v>927</x:v>
      </x:c>
      <x:c r="L14" s="21" t="n">
        <x:f>IFERROR(K14/H14,0)</x:f>
        <x:v>0.10000970968055152</x:v>
      </x:c>
      <x:c r="M14" s="35" t="n">
        <x:f>SUMIFS('7日销售明细'!$T$5:$T$2244,'7日销售明细'!$B$5:$B$2244,A14,'7日销售明细'!$D$5:$D$2244,C14)</x:f>
        <x:v>3205.1975999999995</x:v>
      </x:c>
      <x:c r="N14" s="35" t="n">
        <x:f>SUMIFS('7日销售明细'!$P$5:$P$2244,'7日销售明细'!$B$5:$B$2244,A14,'7日销售明细'!$D$5:$D$2244,C14)</x:f>
        <x:v>166.86</x:v>
      </x:c>
      <x:c r="O14" s="35" t="n">
        <x:f>SUMIFS('7日销售明细'!$N$5:$N$2244,'7日销售明细'!$B$5:$B$2244,A14,'7日销售明细'!$D$5:$D$2244,C14)</x:f>
        <x:v>74.15999999999998</x:v>
      </x:c>
      <x:c r="P14" s="35" t="n">
        <x:f>SUMIFS('7日销售明细'!$U$5:$U$2244,'7日销售明细'!$B$5:$B$2244,A14,'7日销售明细'!$D$5:$D$2244,C14)</x:f>
        <x:v>5780.882399999999</x:v>
      </x:c>
      <x:c r="Q14" s="21" t="n">
        <x:f>IFERROR(P14/H14,0)</x:f>
        <x:v>0.6236724601093957</x:v>
      </x:c>
      <x:c r="R14" s="20" t="n">
        <x:f>SUMIFS('7日销售明细'!$K$5:$K$2244,'7日销售明细'!$B$5:$B$2244,A14,'7日销售明细'!$D$5:$D$2244,C14)</x:f>
        <x:v>386</x:v>
      </x:c>
      <x:c r="S14" s="20" t="n">
        <x:f>H14/'封面与口径'!$I$11</x:f>
        <x:v>289.65937499999995</x:v>
      </x:c>
      <x:c r="T14" s="22" t="n">
        <x:f>IFERROR(H14/S14,0)</x:f>
        <x:v>32</x:v>
      </x:c>
    </x:row>
    <x:row r="15">
      <x:c r="A15" s="34" t="n">
        <x:v>46213.5</x:v>
      </x:c>
      <x:c r="B15" s="19" t="str">
        <x:v>周五</x:v>
      </x:c>
      <x:c r="C15" s="19" t="str">
        <x:v>S02</x:v>
      </x:c>
      <x:c r="D15" s="19" t="str">
        <x:v>尊宝大厦店</x:v>
      </x:c>
      <x:c r="E15" s="35" t="n">
        <x:f>XLOOKUP(C15,'门店与角色'!$A$5:$A$12,'门店与角色'!$D$5:$D$12,0)</x:f>
        <x:v>270000</x:v>
      </x:c>
      <x:c r="F15" s="35" t="n">
        <x:f>XLOOKUP(B15,'封面与口径'!$N$14:$N$20,'封面与口径'!$O$14:$O$20,1)</x:f>
        <x:v>1.07</x:v>
      </x:c>
      <x:c r="G15" s="35" t="n">
        <x:f>E15/30*F15</x:f>
        <x:v>9630</x:v>
      </x:c>
      <x:c r="H15" s="35" t="n">
        <x:f>SUMIFS('7日销售明细'!$L$5:$L$2244,'7日销售明细'!$B$5:$B$2244,A15,'7日销售明细'!$D$5:$D$2244,C15)</x:f>
        <x:v>9619</x:v>
      </x:c>
      <x:c r="I15" s="35" t="n">
        <x:f>H15-G15</x:f>
        <x:v>-11</x:v>
      </x:c>
      <x:c r="J15" s="35" t="n">
        <x:f>SUMIFS('7日销售明细'!$L$5:$L$2244,'7日销售明细'!$B$5:$B$2244,A15,'7日销售明细'!$D$5:$D$2244,C15,'7日销售明细'!$F$5:$F$2244,"堂食")</x:f>
        <x:v>8658.1</x:v>
      </x:c>
      <x:c r="K15" s="35" t="n">
        <x:f>SUMIFS('7日销售明细'!$L$5:$L$2244,'7日销售明细'!$B$5:$B$2244,A15,'7日销售明细'!$D$5:$D$2244,C15,'7日销售明细'!$F$5:$F$2244,"外卖")</x:f>
        <x:v>960.9</x:v>
      </x:c>
      <x:c r="L15" s="21" t="n">
        <x:f>IFERROR(K15/H15,0)</x:f>
        <x:v>0.09989603908930242</x:v>
      </x:c>
      <x:c r="M15" s="35" t="n">
        <x:f>SUMIFS('7日销售明细'!$T$5:$T$2244,'7日销售明细'!$B$5:$B$2244,A15,'7日销售明细'!$D$5:$D$2244,C15)</x:f>
        <x:v>3314.566599999999</x:v>
      </x:c>
      <x:c r="N15" s="35" t="n">
        <x:f>SUMIFS('7日销售明细'!$P$5:$P$2244,'7日销售明细'!$B$5:$B$2244,A15,'7日销售明细'!$D$5:$D$2244,C15)</x:f>
        <x:v>172.96200000000002</x:v>
      </x:c>
      <x:c r="O15" s="35" t="n">
        <x:f>SUMIFS('7日销售明细'!$N$5:$N$2244,'7日销售明细'!$B$5:$B$2244,A15,'7日销售明细'!$D$5:$D$2244,C15)</x:f>
        <x:v>76.87199999999999</x:v>
      </x:c>
      <x:c r="P15" s="35" t="n">
        <x:f>SUMIFS('7日销售明细'!$U$5:$U$2244,'7日销售明细'!$B$5:$B$2244,A15,'7日销售明细'!$D$5:$D$2244,C15)</x:f>
        <x:v>6011.399399999998</x:v>
      </x:c>
      <x:c r="Q15" s="21" t="n">
        <x:f>IFERROR(P15/H15,0)</x:f>
        <x:v>0.624950556190872</x:v>
      </x:c>
      <x:c r="R15" s="20" t="n">
        <x:f>SUMIFS('7日销售明细'!$K$5:$K$2244,'7日销售明细'!$B$5:$B$2244,A15,'7日销售明细'!$D$5:$D$2244,C15)</x:f>
        <x:v>400</x:v>
      </x:c>
      <x:c r="S15" s="20" t="n">
        <x:f>H15/'封面与口径'!$I$11</x:f>
        <x:v>300.59375</x:v>
      </x:c>
      <x:c r="T15" s="22" t="n">
        <x:f>IFERROR(H15/S15,0)</x:f>
        <x:v>32</x:v>
      </x:c>
    </x:row>
    <x:row r="16">
      <x:c r="A16" s="34" t="n">
        <x:v>46214.5</x:v>
      </x:c>
      <x:c r="B16" s="19" t="str">
        <x:v>周六</x:v>
      </x:c>
      <x:c r="C16" s="19" t="str">
        <x:v>S02</x:v>
      </x:c>
      <x:c r="D16" s="19" t="str">
        <x:v>尊宝大厦店</x:v>
      </x:c>
      <x:c r="E16" s="35" t="n">
        <x:f>XLOOKUP(C16,'门店与角色'!$A$5:$A$12,'门店与角色'!$D$5:$D$12,0)</x:f>
        <x:v>270000</x:v>
      </x:c>
      <x:c r="F16" s="35" t="n">
        <x:f>XLOOKUP(B16,'封面与口径'!$N$14:$N$20,'封面与口径'!$O$14:$O$20,1)</x:f>
        <x:v>0.82</x:v>
      </x:c>
      <x:c r="G16" s="35" t="n">
        <x:f>E16/30*F16</x:f>
        <x:v>7380</x:v>
      </x:c>
      <x:c r="H16" s="35" t="n">
        <x:f>SUMIFS('7日销售明细'!$L$5:$L$2244,'7日销售明细'!$B$5:$B$2244,A16,'7日销售明细'!$D$5:$D$2244,C16)</x:f>
        <x:v>7384.8</x:v>
      </x:c>
      <x:c r="I16" s="35" t="n">
        <x:f>H16-G16</x:f>
        <x:v>4.800000000000182</x:v>
      </x:c>
      <x:c r="J16" s="35" t="n">
        <x:f>SUMIFS('7日销售明细'!$L$5:$L$2244,'7日销售明细'!$B$5:$B$2244,A16,'7日销售明细'!$D$5:$D$2244,C16,'7日销售明细'!$F$5:$F$2244,"堂食")</x:f>
        <x:v>6643.6</x:v>
      </x:c>
      <x:c r="K16" s="35" t="n">
        <x:f>SUMIFS('7日销售明细'!$L$5:$L$2244,'7日销售明细'!$B$5:$B$2244,A16,'7日销售明细'!$D$5:$D$2244,C16,'7日销售明细'!$F$5:$F$2244,"外卖")</x:f>
        <x:v>741.1999999999999</x:v>
      </x:c>
      <x:c r="L16" s="21" t="n">
        <x:f>IFERROR(K16/H16,0)</x:f>
        <x:v>0.1003683241252302</x:v>
      </x:c>
      <x:c r="M16" s="35" t="n">
        <x:f>SUMIFS('7日销售明细'!$T$5:$T$2244,'7日销售明细'!$B$5:$B$2244,A16,'7日销售明细'!$D$5:$D$2244,C16)</x:f>
        <x:v>2563.966</x:v>
      </x:c>
      <x:c r="N16" s="35" t="n">
        <x:f>SUMIFS('7日销售明细'!$P$5:$P$2244,'7日销售明细'!$B$5:$B$2244,A16,'7日销售明细'!$D$5:$D$2244,C16)</x:f>
        <x:v>133.416</x:v>
      </x:c>
      <x:c r="O16" s="35" t="n">
        <x:f>SUMIFS('7日销售明细'!$N$5:$N$2244,'7日销售明细'!$B$5:$B$2244,A16,'7日销售明细'!$D$5:$D$2244,C16)</x:f>
        <x:v>59.295999999999985</x:v>
      </x:c>
      <x:c r="P16" s="35" t="n">
        <x:f>SUMIFS('7日销售明细'!$U$5:$U$2244,'7日销售明细'!$B$5:$B$2244,A16,'7日销售明细'!$D$5:$D$2244,C16)</x:f>
        <x:v>4595.722000000002</x:v>
      </x:c>
      <x:c r="Q16" s="21" t="n">
        <x:f>IFERROR(P16/H16,0)</x:f>
        <x:v>0.6223217961217639</x:v>
      </x:c>
      <x:c r="R16" s="20" t="n">
        <x:f>SUMIFS('7日销售明细'!$K$5:$K$2244,'7日销售明细'!$B$5:$B$2244,A16,'7日销售明细'!$D$5:$D$2244,C16)</x:f>
        <x:v>303</x:v>
      </x:c>
      <x:c r="S16" s="20" t="n">
        <x:f>H16/'封面与口径'!$I$11</x:f>
        <x:v>230.775</x:v>
      </x:c>
      <x:c r="T16" s="22" t="n">
        <x:f>IFERROR(H16/S16,0)</x:f>
        <x:v>32</x:v>
      </x:c>
    </x:row>
    <x:row r="17">
      <x:c r="A17" s="34" t="n">
        <x:v>46215.5</x:v>
      </x:c>
      <x:c r="B17" s="19" t="str">
        <x:v>周日</x:v>
      </x:c>
      <x:c r="C17" s="19" t="str">
        <x:v>S02</x:v>
      </x:c>
      <x:c r="D17" s="19" t="str">
        <x:v>尊宝大厦店</x:v>
      </x:c>
      <x:c r="E17" s="35" t="n">
        <x:f>XLOOKUP(C17,'门店与角色'!$A$5:$A$12,'门店与角色'!$D$5:$D$12,0)</x:f>
        <x:v>270000</x:v>
      </x:c>
      <x:c r="F17" s="35" t="n">
        <x:f>XLOOKUP(B17,'封面与口径'!$N$14:$N$20,'封面与口径'!$O$14:$O$20,1)</x:f>
        <x:v>0.8</x:v>
      </x:c>
      <x:c r="G17" s="35" t="n">
        <x:f>E17/30*F17</x:f>
        <x:v>7200</x:v>
      </x:c>
      <x:c r="H17" s="35" t="n">
        <x:f>SUMIFS('7日销售明细'!$L$5:$L$2244,'7日销售明细'!$B$5:$B$2244,A17,'7日销售明细'!$D$5:$D$2244,C17)</x:f>
        <x:v>7200.900000000001</x:v>
      </x:c>
      <x:c r="I17" s="35" t="n">
        <x:f>H17-G17</x:f>
        <x:v>0.9000000000005457</x:v>
      </x:c>
      <x:c r="J17" s="35" t="n">
        <x:f>SUMIFS('7日销售明细'!$L$5:$L$2244,'7日销售明细'!$B$5:$B$2244,A17,'7日销售明细'!$D$5:$D$2244,C17,'7日销售明细'!$F$5:$F$2244,"堂食")</x:f>
        <x:v>6480.8</x:v>
      </x:c>
      <x:c r="K17" s="35" t="n">
        <x:f>SUMIFS('7日销售明细'!$L$5:$L$2244,'7日销售明细'!$B$5:$B$2244,A17,'7日销售明细'!$D$5:$D$2244,C17,'7日销售明细'!$F$5:$F$2244,"外卖")</x:f>
        <x:v>720.1</x:v>
      </x:c>
      <x:c r="L17" s="21" t="n">
        <x:f>IFERROR(K17/H17,0)</x:f>
        <x:v>0.10000138871529947</x:v>
      </x:c>
      <x:c r="M17" s="35" t="n">
        <x:f>SUMIFS('7日销售明细'!$T$5:$T$2244,'7日销售明细'!$B$5:$B$2244,A17,'7日销售明细'!$D$5:$D$2244,C17)</x:f>
        <x:v>2492.7378</x:v>
      </x:c>
      <x:c r="N17" s="35" t="n">
        <x:f>SUMIFS('7日销售明细'!$P$5:$P$2244,'7日销售明细'!$B$5:$B$2244,A17,'7日销售明细'!$D$5:$D$2244,C17)</x:f>
        <x:v>129.618</x:v>
      </x:c>
      <x:c r="O17" s="35" t="n">
        <x:f>SUMIFS('7日销售明细'!$N$5:$N$2244,'7日销售明细'!$B$5:$B$2244,A17,'7日销售明细'!$D$5:$D$2244,C17)</x:f>
        <x:v>57.608</x:v>
      </x:c>
      <x:c r="P17" s="35" t="n">
        <x:f>SUMIFS('7日销售明细'!$U$5:$U$2244,'7日销售明细'!$B$5:$B$2244,A17,'7日销售明细'!$D$5:$D$2244,C17)</x:f>
        <x:v>4488.536200000001</x:v>
      </x:c>
      <x:c r="Q17" s="21" t="n">
        <x:f>IFERROR(P17/H17,0)</x:f>
        <x:v>0.6233298893193908</x:v>
      </x:c>
      <x:c r="R17" s="20" t="n">
        <x:f>SUMIFS('7日销售明细'!$K$5:$K$2244,'7日销售明细'!$B$5:$B$2244,A17,'7日销售明细'!$D$5:$D$2244,C17)</x:f>
        <x:v>297</x:v>
      </x:c>
      <x:c r="S17" s="20" t="n">
        <x:f>H17/'封面与口径'!$I$11</x:f>
        <x:v>225.02812500000002</x:v>
      </x:c>
      <x:c r="T17" s="22" t="n">
        <x:f>IFERROR(H17/S17,0)</x:f>
        <x:v>32</x:v>
      </x:c>
    </x:row>
    <x:row r="18">
      <x:c r="A18" s="34" t="n">
        <x:v>46216.5</x:v>
      </x:c>
      <x:c r="B18" s="19" t="str">
        <x:v>周一</x:v>
      </x:c>
      <x:c r="C18" s="19" t="str">
        <x:v>S02</x:v>
      </x:c>
      <x:c r="D18" s="19" t="str">
        <x:v>尊宝大厦店</x:v>
      </x:c>
      <x:c r="E18" s="35" t="n">
        <x:f>XLOOKUP(C18,'门店与角色'!$A$5:$A$12,'门店与角色'!$D$5:$D$12,0)</x:f>
        <x:v>270000</x:v>
      </x:c>
      <x:c r="F18" s="35" t="n">
        <x:f>XLOOKUP(B18,'封面与口径'!$N$14:$N$20,'封面与口径'!$O$14:$O$20,1)</x:f>
        <x:v>1.15</x:v>
      </x:c>
      <x:c r="G18" s="35" t="n">
        <x:f>E18/30*F18</x:f>
        <x:v>10350</x:v>
      </x:c>
      <x:c r="H18" s="35" t="n">
        <x:f>SUMIFS('7日销售明细'!$L$5:$L$2244,'7日销售明细'!$B$5:$B$2244,A18,'7日销售明细'!$D$5:$D$2244,C18)</x:f>
        <x:v>10345.199999999999</x:v>
      </x:c>
      <x:c r="I18" s="35" t="n">
        <x:f>H18-G18</x:f>
        <x:v>-4.800000000001091</x:v>
      </x:c>
      <x:c r="J18" s="35" t="n">
        <x:f>SUMIFS('7日销售明细'!$L$5:$L$2244,'7日销售明细'!$B$5:$B$2244,A18,'7日销售明细'!$D$5:$D$2244,C18,'7日销售明细'!$F$5:$F$2244,"堂食")</x:f>
        <x:v>9312.3</x:v>
      </x:c>
      <x:c r="K18" s="35" t="n">
        <x:f>SUMIFS('7日销售明细'!$L$5:$L$2244,'7日销售明细'!$B$5:$B$2244,A18,'7日销售明细'!$D$5:$D$2244,C18,'7日销售明细'!$F$5:$F$2244,"外卖")</x:f>
        <x:v>1032.9</x:v>
      </x:c>
      <x:c r="L18" s="21" t="n">
        <x:f>IFERROR(K18/H18,0)</x:f>
        <x:v>0.09984340563739708</x:v>
      </x:c>
      <x:c r="M18" s="35" t="n">
        <x:f>SUMIFS('7日销售明细'!$T$5:$T$2244,'7日销售明细'!$B$5:$B$2244,A18,'7日销售明细'!$D$5:$D$2244,C18)</x:f>
        <x:v>3557.8225999999995</x:v>
      </x:c>
      <x:c r="N18" s="35" t="n">
        <x:f>SUMIFS('7日销售明细'!$P$5:$P$2244,'7日销售明细'!$B$5:$B$2244,A18,'7日销售明细'!$D$5:$D$2244,C18)</x:f>
        <x:v>185.922</x:v>
      </x:c>
      <x:c r="O18" s="35" t="n">
        <x:f>SUMIFS('7日销售明细'!$N$5:$N$2244,'7日销售明细'!$B$5:$B$2244,A18,'7日销售明细'!$D$5:$D$2244,C18)</x:f>
        <x:v>82.63199999999998</x:v>
      </x:c>
      <x:c r="P18" s="35" t="n">
        <x:f>SUMIFS('7日销售明细'!$U$5:$U$2244,'7日销售明细'!$B$5:$B$2244,A18,'7日销售明细'!$D$5:$D$2244,C18)</x:f>
        <x:v>6472.023399999999</x:v>
      </x:c>
      <x:c r="Q18" s="21" t="n">
        <x:f>IFERROR(P18/H18,0)</x:f>
        <x:v>0.6256064068360205</x:v>
      </x:c>
      <x:c r="R18" s="20" t="n">
        <x:f>SUMIFS('7日销售明细'!$K$5:$K$2244,'7日销售明细'!$B$5:$B$2244,A18,'7日销售明细'!$D$5:$D$2244,C18)</x:f>
        <x:v>430</x:v>
      </x:c>
      <x:c r="S18" s="20" t="n">
        <x:f>H18/'封面与口径'!$I$11</x:f>
        <x:v>323.28749999999997</x:v>
      </x:c>
      <x:c r="T18" s="22" t="n">
        <x:f>IFERROR(H18/S18,0)</x:f>
        <x:v>32</x:v>
      </x:c>
    </x:row>
    <x:row r="19">
      <x:c r="A19" s="34" t="n">
        <x:v>46210.5</x:v>
      </x:c>
      <x:c r="B19" s="19" t="str">
        <x:v>周二</x:v>
      </x:c>
      <x:c r="C19" s="19" t="str">
        <x:v>S03</x:v>
      </x:c>
      <x:c r="D19" s="19" t="str">
        <x:v>铂悦城店</x:v>
      </x:c>
      <x:c r="E19" s="35" t="n">
        <x:f>XLOOKUP(C19,'门店与角色'!$A$5:$A$12,'门店与角色'!$D$5:$D$12,0)</x:f>
        <x:v>260000</x:v>
      </x:c>
      <x:c r="F19" s="35" t="n">
        <x:f>XLOOKUP(B19,'封面与口径'!$N$14:$N$20,'封面与口径'!$O$14:$O$20,1)</x:f>
        <x:v>1.08</x:v>
      </x:c>
      <x:c r="G19" s="35" t="n">
        <x:f>E19/30*F19</x:f>
        <x:v>9360</x:v>
      </x:c>
      <x:c r="H19" s="35" t="n">
        <x:f>SUMIFS('7日销售明细'!$L$5:$L$2244,'7日销售明细'!$B$5:$B$2244,A19,'7日销售明细'!$D$5:$D$2244,C19)</x:f>
        <x:v>9358</x:v>
      </x:c>
      <x:c r="I19" s="35" t="n">
        <x:f>H19-G19</x:f>
        <x:v>-2</x:v>
      </x:c>
      <x:c r="J19" s="35" t="n">
        <x:f>SUMIFS('7日销售明细'!$L$5:$L$2244,'7日销售明细'!$B$5:$B$2244,A19,'7日销售明细'!$D$5:$D$2244,C19,'7日销售明细'!$F$5:$F$2244,"堂食")</x:f>
        <x:v>8424.1</x:v>
      </x:c>
      <x:c r="K19" s="35" t="n">
        <x:f>SUMIFS('7日销售明细'!$L$5:$L$2244,'7日销售明细'!$B$5:$B$2244,A19,'7日销售明细'!$D$5:$D$2244,C19,'7日销售明细'!$F$5:$F$2244,"外卖")</x:f>
        <x:v>933.9</x:v>
      </x:c>
      <x:c r="L19" s="21" t="n">
        <x:f>IFERROR(K19/H19,0)</x:f>
        <x:v>0.09979696516349647</x:v>
      </x:c>
      <x:c r="M19" s="35" t="n">
        <x:f>SUMIFS('7日销售明细'!$T$5:$T$2244,'7日销售明细'!$B$5:$B$2244,A19,'7日销售明细'!$D$5:$D$2244,C19)</x:f>
        <x:v>3221.489</x:v>
      </x:c>
      <x:c r="N19" s="35" t="n">
        <x:f>SUMIFS('7日销售明细'!$P$5:$P$2244,'7日销售明细'!$B$5:$B$2244,A19,'7日销售明细'!$D$5:$D$2244,C19)</x:f>
        <x:v>168.102</x:v>
      </x:c>
      <x:c r="O19" s="35" t="n">
        <x:f>SUMIFS('7日销售明细'!$N$5:$N$2244,'7日销售明细'!$B$5:$B$2244,A19,'7日销售明细'!$D$5:$D$2244,C19)</x:f>
        <x:v>74.71199999999999</x:v>
      </x:c>
      <x:c r="P19" s="35" t="n">
        <x:f>SUMIFS('7日销售明细'!$U$5:$U$2244,'7日销售明细'!$B$5:$B$2244,A19,'7日销售明细'!$D$5:$D$2244,C19)</x:f>
        <x:v>5851.696999999998</x:v>
      </x:c>
      <x:c r="Q19" s="21" t="n">
        <x:f>IFERROR(P19/H19,0)</x:f>
        <x:v>0.6253149177174608</x:v>
      </x:c>
      <x:c r="R19" s="20" t="n">
        <x:f>SUMIFS('7日销售明细'!$K$5:$K$2244,'7日销售明细'!$B$5:$B$2244,A19,'7日销售明细'!$D$5:$D$2244,C19)</x:f>
        <x:v>391</x:v>
      </x:c>
      <x:c r="S19" s="20" t="n">
        <x:f>H19/'封面与口径'!$I$11</x:f>
        <x:v>292.4375</x:v>
      </x:c>
      <x:c r="T19" s="22" t="n">
        <x:f>IFERROR(H19/S19,0)</x:f>
        <x:v>32</x:v>
      </x:c>
    </x:row>
    <x:row r="20">
      <x:c r="A20" s="34" t="n">
        <x:v>46211.5</x:v>
      </x:c>
      <x:c r="B20" s="19" t="str">
        <x:v>周三</x:v>
      </x:c>
      <x:c r="C20" s="19" t="str">
        <x:v>S03</x:v>
      </x:c>
      <x:c r="D20" s="19" t="str">
        <x:v>铂悦城店</x:v>
      </x:c>
      <x:c r="E20" s="35" t="n">
        <x:f>XLOOKUP(C20,'门店与角色'!$A$5:$A$12,'门店与角色'!$D$5:$D$12,0)</x:f>
        <x:v>260000</x:v>
      </x:c>
      <x:c r="F20" s="35" t="n">
        <x:f>XLOOKUP(B20,'封面与口径'!$N$14:$N$20,'封面与口径'!$O$14:$O$20,1)</x:f>
        <x:v>1.05</x:v>
      </x:c>
      <x:c r="G20" s="35" t="n">
        <x:f>E20/30*F20</x:f>
        <x:v>9100</x:v>
      </x:c>
      <x:c r="H20" s="35" t="n">
        <x:f>SUMIFS('7日销售明细'!$L$5:$L$2244,'7日销售明细'!$B$5:$B$2244,A20,'7日销售明细'!$D$5:$D$2244,C20)</x:f>
        <x:v>9096.8</x:v>
      </x:c>
      <x:c r="I20" s="35" t="n">
        <x:f>H20-G20</x:f>
        <x:v>-3.2000000000007276</x:v>
      </x:c>
      <x:c r="J20" s="35" t="n">
        <x:f>SUMIFS('7日销售明细'!$L$5:$L$2244,'7日销售明细'!$B$5:$B$2244,A20,'7日销售明细'!$D$5:$D$2244,C20,'7日销售明细'!$F$5:$F$2244,"堂食")</x:f>
        <x:v>8187.799999999999</x:v>
      </x:c>
      <x:c r="K20" s="35" t="n">
        <x:f>SUMIFS('7日销售明细'!$L$5:$L$2244,'7日销售明细'!$B$5:$B$2244,A20,'7日销售明细'!$D$5:$D$2244,C20,'7日销售明细'!$F$5:$F$2244,"外卖")</x:f>
        <x:v>909</x:v>
      </x:c>
      <x:c r="L20" s="21" t="n">
        <x:f>IFERROR(K20/H20,0)</x:f>
        <x:v>0.09992524843901153</x:v>
      </x:c>
      <x:c r="M20" s="35" t="n">
        <x:f>SUMIFS('7日销售明细'!$T$5:$T$2244,'7日销售明细'!$B$5:$B$2244,A20,'7日销售明细'!$D$5:$D$2244,C20)</x:f>
        <x:v>3127.5932</x:v>
      </x:c>
      <x:c r="N20" s="35" t="n">
        <x:f>SUMIFS('7日销售明细'!$P$5:$P$2244,'7日销售明细'!$B$5:$B$2244,A20,'7日销售明细'!$D$5:$D$2244,C20)</x:f>
        <x:v>163.62</x:v>
      </x:c>
      <x:c r="O20" s="35" t="n">
        <x:f>SUMIFS('7日销售明细'!$N$5:$N$2244,'7日销售明细'!$B$5:$B$2244,A20,'7日销售明细'!$D$5:$D$2244,C20)</x:f>
        <x:v>72.71999999999998</x:v>
      </x:c>
      <x:c r="P20" s="35" t="n">
        <x:f>SUMIFS('7日销售明细'!$U$5:$U$2244,'7日销售明细'!$B$5:$B$2244,A20,'7日销售明细'!$D$5:$D$2244,C20)</x:f>
        <x:v>5693.266799999999</x:v>
      </x:c>
      <x:c r="Q20" s="21" t="n">
        <x:f>IFERROR(P20/H20,0)</x:f>
        <x:v>0.6258537947410078</x:v>
      </x:c>
      <x:c r="R20" s="20" t="n">
        <x:f>SUMIFS('7日销售明细'!$K$5:$K$2244,'7日销售明细'!$B$5:$B$2244,A20,'7日销售明细'!$D$5:$D$2244,C20)</x:f>
        <x:v>377</x:v>
      </x:c>
      <x:c r="S20" s="20" t="n">
        <x:f>H20/'封面与口径'!$I$11</x:f>
        <x:v>284.275</x:v>
      </x:c>
      <x:c r="T20" s="22" t="n">
        <x:f>IFERROR(H20/S20,0)</x:f>
        <x:v>32</x:v>
      </x:c>
    </x:row>
    <x:row r="21">
      <x:c r="A21" s="34" t="n">
        <x:v>46212.5</x:v>
      </x:c>
      <x:c r="B21" s="19" t="str">
        <x:v>周四</x:v>
      </x:c>
      <x:c r="C21" s="19" t="str">
        <x:v>S03</x:v>
      </x:c>
      <x:c r="D21" s="19" t="str">
        <x:v>铂悦城店</x:v>
      </x:c>
      <x:c r="E21" s="35" t="n">
        <x:f>XLOOKUP(C21,'门店与角色'!$A$5:$A$12,'门店与角色'!$D$5:$D$12,0)</x:f>
        <x:v>260000</x:v>
      </x:c>
      <x:c r="F21" s="35" t="n">
        <x:f>XLOOKUP(B21,'封面与口径'!$N$14:$N$20,'封面与口径'!$O$14:$O$20,1)</x:f>
        <x:v>1.03</x:v>
      </x:c>
      <x:c r="G21" s="35" t="n">
        <x:f>E21/30*F21</x:f>
        <x:v>8926.666666666666</x:v>
      </x:c>
      <x:c r="H21" s="35" t="n">
        <x:f>SUMIFS('7日销售明细'!$L$5:$L$2244,'7日销售明细'!$B$5:$B$2244,A21,'7日销售明细'!$D$5:$D$2244,C21)</x:f>
        <x:v>8920.699999999999</x:v>
      </x:c>
      <x:c r="I21" s="35" t="n">
        <x:f>H21-G21</x:f>
        <x:v>-5.966666666667152</x:v>
      </x:c>
      <x:c r="J21" s="35" t="n">
        <x:f>SUMIFS('7日销售明细'!$L$5:$L$2244,'7日销售明细'!$B$5:$B$2244,A21,'7日销售明细'!$D$5:$D$2244,C21,'7日销售明细'!$F$5:$F$2244,"堂食")</x:f>
        <x:v>8030.799999999999</x:v>
      </x:c>
      <x:c r="K21" s="35" t="n">
        <x:f>SUMIFS('7日销售明细'!$L$5:$L$2244,'7日销售明细'!$B$5:$B$2244,A21,'7日销售明细'!$D$5:$D$2244,C21,'7日销售明细'!$F$5:$F$2244,"外卖")</x:f>
        <x:v>889.9</x:v>
      </x:c>
      <x:c r="L21" s="21" t="n">
        <x:f>IFERROR(K21/H21,0)</x:f>
        <x:v>0.09975674554687414</x:v>
      </x:c>
      <x:c r="M21" s="35" t="n">
        <x:f>SUMIFS('7日销售明细'!$T$5:$T$2244,'7日销售明细'!$B$5:$B$2244,A21,'7日销售明细'!$D$5:$D$2244,C21)</x:f>
        <x:v>3099.969</x:v>
      </x:c>
      <x:c r="N21" s="35" t="n">
        <x:f>SUMIFS('7日销售明细'!$P$5:$P$2244,'7日销售明细'!$B$5:$B$2244,A21,'7日销售明细'!$D$5:$D$2244,C21)</x:f>
        <x:v>160.182</x:v>
      </x:c>
      <x:c r="O21" s="35" t="n">
        <x:f>SUMIFS('7日销售明细'!$N$5:$N$2244,'7日销售明细'!$B$5:$B$2244,A21,'7日销售明细'!$D$5:$D$2244,C21)</x:f>
        <x:v>71.19200000000001</x:v>
      </x:c>
      <x:c r="P21" s="35" t="n">
        <x:f>SUMIFS('7日销售明细'!$U$5:$U$2244,'7日销售明细'!$B$5:$B$2244,A21,'7日销售明细'!$D$5:$D$2244,C21)</x:f>
        <x:v>5550.956999999999</x:v>
      </x:c>
      <x:c r="Q21" s="21" t="n">
        <x:f>IFERROR(P21/H21,0)</x:f>
        <x:v>0.6222557646821438</x:v>
      </x:c>
      <x:c r="R21" s="20" t="n">
        <x:f>SUMIFS('7日销售明细'!$K$5:$K$2244,'7日销售明细'!$B$5:$B$2244,A21,'7日销售明细'!$D$5:$D$2244,C21)</x:f>
        <x:v>368</x:v>
      </x:c>
      <x:c r="S21" s="20" t="n">
        <x:f>H21/'封面与口径'!$I$11</x:f>
        <x:v>278.77187499999997</x:v>
      </x:c>
      <x:c r="T21" s="22" t="n">
        <x:f>IFERROR(H21/S21,0)</x:f>
        <x:v>32</x:v>
      </x:c>
    </x:row>
    <x:row r="22">
      <x:c r="A22" s="34" t="n">
        <x:v>46213.5</x:v>
      </x:c>
      <x:c r="B22" s="19" t="str">
        <x:v>周五</x:v>
      </x:c>
      <x:c r="C22" s="19" t="str">
        <x:v>S03</x:v>
      </x:c>
      <x:c r="D22" s="19" t="str">
        <x:v>铂悦城店</x:v>
      </x:c>
      <x:c r="E22" s="35" t="n">
        <x:f>XLOOKUP(C22,'门店与角色'!$A$5:$A$12,'门店与角色'!$D$5:$D$12,0)</x:f>
        <x:v>260000</x:v>
      </x:c>
      <x:c r="F22" s="35" t="n">
        <x:f>XLOOKUP(B22,'封面与口径'!$N$14:$N$20,'封面与口径'!$O$14:$O$20,1)</x:f>
        <x:v>1.07</x:v>
      </x:c>
      <x:c r="G22" s="35" t="n">
        <x:f>E22/30*F22</x:f>
        <x:v>9273.333333333334</x:v>
      </x:c>
      <x:c r="H22" s="35" t="n">
        <x:f>SUMIFS('7日销售明细'!$L$5:$L$2244,'7日销售明细'!$B$5:$B$2244,A22,'7日销售明细'!$D$5:$D$2244,C22)</x:f>
        <x:v>9269.800000000001</x:v>
      </x:c>
      <x:c r="I22" s="35" t="n">
        <x:f>H22-G22</x:f>
        <x:v>-3.5333333333328483</x:v>
      </x:c>
      <x:c r="J22" s="35" t="n">
        <x:f>SUMIFS('7日销售明细'!$L$5:$L$2244,'7日销售明细'!$B$5:$B$2244,A22,'7日销售明细'!$D$5:$D$2244,C22,'7日销售明细'!$F$5:$F$2244,"堂食")</x:f>
        <x:v>8345.900000000001</x:v>
      </x:c>
      <x:c r="K22" s="35" t="n">
        <x:f>SUMIFS('7日销售明细'!$L$5:$L$2244,'7日销售明细'!$B$5:$B$2244,A22,'7日销售明细'!$D$5:$D$2244,C22,'7日销售明细'!$F$5:$F$2244,"外卖")</x:f>
        <x:v>923.9</x:v>
      </x:c>
      <x:c r="L22" s="21" t="n">
        <x:f>IFERROR(K22/H22,0)</x:f>
        <x:v>0.09966773824677985</x:v>
      </x:c>
      <x:c r="M22" s="35" t="n">
        <x:f>SUMIFS('7日销售明细'!$T$5:$T$2244,'7日销售明细'!$B$5:$B$2244,A22,'7日销售明细'!$D$5:$D$2244,C22)</x:f>
        <x:v>3206.4307999999996</x:v>
      </x:c>
      <x:c r="N22" s="35" t="n">
        <x:f>SUMIFS('7日销售明细'!$P$5:$P$2244,'7日销售明细'!$B$5:$B$2244,A22,'7日销售明细'!$D$5:$D$2244,C22)</x:f>
        <x:v>166.30200000000002</x:v>
      </x:c>
      <x:c r="O22" s="35" t="n">
        <x:f>SUMIFS('7日销售明细'!$N$5:$N$2244,'7日销售明细'!$B$5:$B$2244,A22,'7日销售明细'!$D$5:$D$2244,C22)</x:f>
        <x:v>73.91199999999999</x:v>
      </x:c>
      <x:c r="P22" s="35" t="n">
        <x:f>SUMIFS('7日销售明细'!$U$5:$U$2244,'7日销售明细'!$B$5:$B$2244,A22,'7日销售明细'!$D$5:$D$2244,C22)</x:f>
        <x:v>5781.155200000001</x:v>
      </x:c>
      <x:c r="Q22" s="21" t="n">
        <x:f>IFERROR(P22/H22,0)</x:f>
        <x:v>0.6236547929836674</x:v>
      </x:c>
      <x:c r="R22" s="20" t="n">
        <x:f>SUMIFS('7日销售明细'!$K$5:$K$2244,'7日销售明细'!$B$5:$B$2244,A22,'7日销售明细'!$D$5:$D$2244,C22)</x:f>
        <x:v>389</x:v>
      </x:c>
      <x:c r="S22" s="20" t="n">
        <x:f>H22/'封面与口径'!$I$11</x:f>
        <x:v>289.68125000000003</x:v>
      </x:c>
      <x:c r="T22" s="22" t="n">
        <x:f>IFERROR(H22/S22,0)</x:f>
        <x:v>32</x:v>
      </x:c>
    </x:row>
    <x:row r="23">
      <x:c r="A23" s="34" t="n">
        <x:v>46214.5</x:v>
      </x:c>
      <x:c r="B23" s="19" t="str">
        <x:v>周六</x:v>
      </x:c>
      <x:c r="C23" s="19" t="str">
        <x:v>S03</x:v>
      </x:c>
      <x:c r="D23" s="19" t="str">
        <x:v>铂悦城店</x:v>
      </x:c>
      <x:c r="E23" s="35" t="n">
        <x:f>XLOOKUP(C23,'门店与角色'!$A$5:$A$12,'门店与角色'!$D$5:$D$12,0)</x:f>
        <x:v>260000</x:v>
      </x:c>
      <x:c r="F23" s="35" t="n">
        <x:f>XLOOKUP(B23,'封面与口径'!$N$14:$N$20,'封面与口径'!$O$14:$O$20,1)</x:f>
        <x:v>0.82</x:v>
      </x:c>
      <x:c r="G23" s="35" t="n">
        <x:f>E23/30*F23</x:f>
        <x:v>7106.666666666666</x:v>
      </x:c>
      <x:c r="H23" s="35" t="n">
        <x:f>SUMIFS('7日销售明细'!$L$5:$L$2244,'7日销售明细'!$B$5:$B$2244,A23,'7日销售明细'!$D$5:$D$2244,C23)</x:f>
        <x:v>7102.9</x:v>
      </x:c>
      <x:c r="I23" s="35" t="n">
        <x:f>H23-G23</x:f>
        <x:v>-3.766666666666424</x:v>
      </x:c>
      <x:c r="J23" s="35" t="n">
        <x:f>SUMIFS('7日销售明细'!$L$5:$L$2244,'7日销售明细'!$B$5:$B$2244,A23,'7日销售明细'!$D$5:$D$2244,C23,'7日销售明细'!$F$5:$F$2244,"堂食")</x:f>
        <x:v>6397.7</x:v>
      </x:c>
      <x:c r="K23" s="35" t="n">
        <x:f>SUMIFS('7日销售明细'!$L$5:$L$2244,'7日销售明细'!$B$5:$B$2244,A23,'7日销售明细'!$D$5:$D$2244,C23,'7日销售明细'!$F$5:$F$2244,"外卖")</x:f>
        <x:v>705.1999999999999</x:v>
      </x:c>
      <x:c r="L23" s="21" t="n">
        <x:f>IFERROR(K23/H23,0)</x:f>
        <x:v>0.09928339129088118</x:v>
      </x:c>
      <x:c r="M23" s="35" t="n">
        <x:f>SUMIFS('7日销售明细'!$T$5:$T$2244,'7日销售明细'!$B$5:$B$2244,A23,'7日销售明细'!$D$5:$D$2244,C23)</x:f>
        <x:v>2460.0668000000005</x:v>
      </x:c>
      <x:c r="N23" s="35" t="n">
        <x:f>SUMIFS('7日销售明细'!$P$5:$P$2244,'7日销售明细'!$B$5:$B$2244,A23,'7日销售明细'!$D$5:$D$2244,C23)</x:f>
        <x:v>126.93599999999999</x:v>
      </x:c>
      <x:c r="O23" s="35" t="n">
        <x:f>SUMIFS('7日销售明细'!$N$5:$N$2244,'7日销售明细'!$B$5:$B$2244,A23,'7日销售明细'!$D$5:$D$2244,C23)</x:f>
        <x:v>56.41599999999999</x:v>
      </x:c>
      <x:c r="P23" s="35" t="n">
        <x:f>SUMIFS('7日销售明细'!$U$5:$U$2244,'7日销售明细'!$B$5:$B$2244,A23,'7日销售明细'!$D$5:$D$2244,C23)</x:f>
        <x:v>4428.281200000002</x:v>
      </x:c>
      <x:c r="Q23" s="21" t="n">
        <x:f>IFERROR(P23/H23,0)</x:f>
        <x:v>0.6234469301271315</x:v>
      </x:c>
      <x:c r="R23" s="20" t="n">
        <x:f>SUMIFS('7日销售明细'!$K$5:$K$2244,'7日销售明细'!$B$5:$B$2244,A23,'7日销售明细'!$D$5:$D$2244,C23)</x:f>
        <x:v>293</x:v>
      </x:c>
      <x:c r="S23" s="20" t="n">
        <x:f>H23/'封面与口径'!$I$11</x:f>
        <x:v>221.965625</x:v>
      </x:c>
      <x:c r="T23" s="22" t="n">
        <x:f>IFERROR(H23/S23,0)</x:f>
        <x:v>32</x:v>
      </x:c>
    </x:row>
    <x:row r="24">
      <x:c r="A24" s="34" t="n">
        <x:v>46215.5</x:v>
      </x:c>
      <x:c r="B24" s="19" t="str">
        <x:v>周日</x:v>
      </x:c>
      <x:c r="C24" s="19" t="str">
        <x:v>S03</x:v>
      </x:c>
      <x:c r="D24" s="19" t="str">
        <x:v>铂悦城店</x:v>
      </x:c>
      <x:c r="E24" s="35" t="n">
        <x:f>XLOOKUP(C24,'门店与角色'!$A$5:$A$12,'门店与角色'!$D$5:$D$12,0)</x:f>
        <x:v>260000</x:v>
      </x:c>
      <x:c r="F24" s="35" t="n">
        <x:f>XLOOKUP(B24,'封面与口径'!$N$14:$N$20,'封面与口径'!$O$14:$O$20,1)</x:f>
        <x:v>0.8</x:v>
      </x:c>
      <x:c r="G24" s="35" t="n">
        <x:f>E24/30*F24</x:f>
        <x:v>6933.333333333333</x:v>
      </x:c>
      <x:c r="H24" s="35" t="n">
        <x:f>SUMIFS('7日销售明细'!$L$5:$L$2244,'7日销售明细'!$B$5:$B$2244,A24,'7日销售明细'!$D$5:$D$2244,C24)</x:f>
        <x:v>6927.400000000001</x:v>
      </x:c>
      <x:c r="I24" s="35" t="n">
        <x:f>H24-G24</x:f>
        <x:v>-5.9333333333324845</x:v>
      </x:c>
      <x:c r="J24" s="35" t="n">
        <x:f>SUMIFS('7日销售明细'!$L$5:$L$2244,'7日销售明细'!$B$5:$B$2244,A24,'7日销售明细'!$D$5:$D$2244,C24,'7日销售明细'!$F$5:$F$2244,"堂食")</x:f>
        <x:v>6238.200000000001</x:v>
      </x:c>
      <x:c r="K24" s="35" t="n">
        <x:f>SUMIFS('7日销售明细'!$L$5:$L$2244,'7日销售明细'!$B$5:$B$2244,A24,'7日销售明细'!$D$5:$D$2244,C24,'7日销售明细'!$F$5:$F$2244,"外卖")</x:f>
        <x:v>689.2</x:v>
      </x:c>
      <x:c r="L24" s="21" t="n">
        <x:f>IFERROR(K24/H24,0)</x:f>
        <x:v>0.0994889857666657</x:v>
      </x:c>
      <x:c r="M24" s="35" t="n">
        <x:f>SUMIFS('7日销售明细'!$T$5:$T$2244,'7日销售明细'!$B$5:$B$2244,A24,'7日销售明细'!$D$5:$D$2244,C24)</x:f>
        <x:v>2403.7344</x:v>
      </x:c>
      <x:c r="N24" s="35" t="n">
        <x:f>SUMIFS('7日销售明细'!$P$5:$P$2244,'7日销售明细'!$B$5:$B$2244,A24,'7日销售明细'!$D$5:$D$2244,C24)</x:f>
        <x:v>124.05599999999998</x:v>
      </x:c>
      <x:c r="O24" s="35" t="n">
        <x:f>SUMIFS('7日销售明细'!$N$5:$N$2244,'7日销售明细'!$B$5:$B$2244,A24,'7日销售明细'!$D$5:$D$2244,C24)</x:f>
        <x:v>55.135999999999996</x:v>
      </x:c>
      <x:c r="P24" s="35" t="n">
        <x:f>SUMIFS('7日销售明细'!$U$5:$U$2244,'7日销售明细'!$B$5:$B$2244,A24,'7日销售明细'!$D$5:$D$2244,C24)</x:f>
        <x:v>4314.4736</x:v>
      </x:c>
      <x:c r="Q24" s="21" t="n">
        <x:f>IFERROR(P24/H24,0)</x:f>
        <x:v>0.6228128302104685</x:v>
      </x:c>
      <x:c r="R24" s="20" t="n">
        <x:f>SUMIFS('7日销售明细'!$K$5:$K$2244,'7日销售明细'!$B$5:$B$2244,A24,'7日销售明细'!$D$5:$D$2244,C24)</x:f>
        <x:v>285</x:v>
      </x:c>
      <x:c r="S24" s="20" t="n">
        <x:f>H24/'封面与口径'!$I$11</x:f>
        <x:v>216.48125000000002</x:v>
      </x:c>
      <x:c r="T24" s="22" t="n">
        <x:f>IFERROR(H24/S24,0)</x:f>
        <x:v>32</x:v>
      </x:c>
    </x:row>
    <x:row r="25">
      <x:c r="A25" s="34" t="n">
        <x:v>46216.5</x:v>
      </x:c>
      <x:c r="B25" s="19" t="str">
        <x:v>周一</x:v>
      </x:c>
      <x:c r="C25" s="19" t="str">
        <x:v>S03</x:v>
      </x:c>
      <x:c r="D25" s="19" t="str">
        <x:v>铂悦城店</x:v>
      </x:c>
      <x:c r="E25" s="35" t="n">
        <x:f>XLOOKUP(C25,'门店与角色'!$A$5:$A$12,'门店与角色'!$D$5:$D$12,0)</x:f>
        <x:v>260000</x:v>
      </x:c>
      <x:c r="F25" s="35" t="n">
        <x:f>XLOOKUP(B25,'封面与口径'!$N$14:$N$20,'封面与口径'!$O$14:$O$20,1)</x:f>
        <x:v>1.15</x:v>
      </x:c>
      <x:c r="G25" s="35" t="n">
        <x:f>E25/30*F25</x:f>
        <x:v>9966.666666666666</x:v>
      </x:c>
      <x:c r="H25" s="35" t="n">
        <x:f>SUMIFS('7日销售明细'!$L$5:$L$2244,'7日销售明细'!$B$5:$B$2244,A25,'7日销售明细'!$D$5:$D$2244,C25)</x:f>
        <x:v>9966.5</x:v>
      </x:c>
      <x:c r="I25" s="35" t="n">
        <x:f>H25-G25</x:f>
        <x:v>-0.16666666666606034</x:v>
      </x:c>
      <x:c r="J25" s="35" t="n">
        <x:f>SUMIFS('7日销售明细'!$L$5:$L$2244,'7日销售明细'!$B$5:$B$2244,A25,'7日销售明细'!$D$5:$D$2244,C25,'7日销售明细'!$F$5:$F$2244,"堂食")</x:f>
        <x:v>8969.6</x:v>
      </x:c>
      <x:c r="K25" s="35" t="n">
        <x:f>SUMIFS('7日销售明细'!$L$5:$L$2244,'7日销售明细'!$B$5:$B$2244,A25,'7日销售明细'!$D$5:$D$2244,C25,'7日销售明细'!$F$5:$F$2244,"外卖")</x:f>
        <x:v>996.9</x:v>
      </x:c>
      <x:c r="L25" s="21" t="n">
        <x:f>IFERROR(K25/H25,0)</x:f>
        <x:v>0.10002508403150553</x:v>
      </x:c>
      <x:c r="M25" s="35" t="n">
        <x:f>SUMIFS('7日销售明细'!$T$5:$T$2244,'7日销售明细'!$B$5:$B$2244,A25,'7日销售明细'!$D$5:$D$2244,C25)</x:f>
        <x:v>3443.0359999999996</x:v>
      </x:c>
      <x:c r="N25" s="35" t="n">
        <x:f>SUMIFS('7日销售明细'!$P$5:$P$2244,'7日销售明细'!$B$5:$B$2244,A25,'7日销售明细'!$D$5:$D$2244,C25)</x:f>
        <x:v>179.442</x:v>
      </x:c>
      <x:c r="O25" s="35" t="n">
        <x:f>SUMIFS('7日销售明细'!$N$5:$N$2244,'7日销售明细'!$B$5:$B$2244,A25,'7日销售明细'!$D$5:$D$2244,C25)</x:f>
        <x:v>79.75199999999998</x:v>
      </x:c>
      <x:c r="P25" s="35" t="n">
        <x:f>SUMIFS('7日销售明细'!$U$5:$U$2244,'7日销售明细'!$B$5:$B$2244,A25,'7日销售明细'!$D$5:$D$2244,C25)</x:f>
        <x:v>6219.869999999999</x:v>
      </x:c>
      <x:c r="Q25" s="21" t="n">
        <x:f>IFERROR(P25/H25,0)</x:f>
        <x:v>0.6240776601615411</x:v>
      </x:c>
      <x:c r="R25" s="20" t="n">
        <x:f>SUMIFS('7日销售明细'!$K$5:$K$2244,'7日销售明细'!$B$5:$B$2244,A25,'7日销售明细'!$D$5:$D$2244,C25)</x:f>
        <x:v>413</x:v>
      </x:c>
      <x:c r="S25" s="20" t="n">
        <x:f>H25/'封面与口径'!$I$11</x:f>
        <x:v>311.453125</x:v>
      </x:c>
      <x:c r="T25" s="22" t="n">
        <x:f>IFERROR(H25/S25,0)</x:f>
        <x:v>32</x:v>
      </x:c>
    </x:row>
    <x:row r="26">
      <x:c r="A26" s="34" t="n">
        <x:v>46210.5</x:v>
      </x:c>
      <x:c r="B26" s="19" t="str">
        <x:v>周二</x:v>
      </x:c>
      <x:c r="C26" s="19" t="str">
        <x:v>S04</x:v>
      </x:c>
      <x:c r="D26" s="19" t="str">
        <x:v>金街美地店</x:v>
      </x:c>
      <x:c r="E26" s="35" t="n">
        <x:f>XLOOKUP(C26,'门店与角色'!$A$5:$A$12,'门店与角色'!$D$5:$D$12,0)</x:f>
        <x:v>255000</x:v>
      </x:c>
      <x:c r="F26" s="35" t="n">
        <x:f>XLOOKUP(B26,'封面与口径'!$N$14:$N$20,'封面与口径'!$O$14:$O$20,1)</x:f>
        <x:v>1.08</x:v>
      </x:c>
      <x:c r="G26" s="35" t="n">
        <x:f>E26/30*F26</x:f>
        <x:v>9180</x:v>
      </x:c>
      <x:c r="H26" s="35" t="n">
        <x:f>SUMIFS('7日销售明细'!$L$5:$L$2244,'7日销售明细'!$B$5:$B$2244,A26,'7日销售明细'!$D$5:$D$2244,C26)</x:f>
        <x:v>9175.800000000001</x:v>
      </x:c>
      <x:c r="I26" s="35" t="n">
        <x:f>H26-G26</x:f>
        <x:v>-4.199999999998909</x:v>
      </x:c>
      <x:c r="J26" s="35" t="n">
        <x:f>SUMIFS('7日销售明细'!$L$5:$L$2244,'7日销售明细'!$B$5:$B$2244,A26,'7日销售明细'!$D$5:$D$2244,C26,'7日销售明细'!$F$5:$F$2244,"堂食")</x:f>
        <x:v>8257.900000000001</x:v>
      </x:c>
      <x:c r="K26" s="35" t="n">
        <x:f>SUMIFS('7日销售明细'!$L$5:$L$2244,'7日销售明细'!$B$5:$B$2244,A26,'7日销售明细'!$D$5:$D$2244,C26,'7日销售明细'!$F$5:$F$2244,"外卖")</x:f>
        <x:v>917.9</x:v>
      </x:c>
      <x:c r="L26" s="21" t="n">
        <x:f>IFERROR(K26/H26,0)</x:f>
        <x:v>0.10003487434338149</x:v>
      </x:c>
      <x:c r="M26" s="35" t="n">
        <x:f>SUMIFS('7日销售明细'!$T$5:$T$2244,'7日销售明细'!$B$5:$B$2244,A26,'7日销售明细'!$D$5:$D$2244,C26)</x:f>
        <x:v>3173.5074000000004</x:v>
      </x:c>
      <x:c r="N26" s="35" t="n">
        <x:f>SUMIFS('7日销售明细'!$P$5:$P$2244,'7日销售明细'!$B$5:$B$2244,A26,'7日销售明细'!$D$5:$D$2244,C26)</x:f>
        <x:v>165.222</x:v>
      </x:c>
      <x:c r="O26" s="35" t="n">
        <x:f>SUMIFS('7日销售明细'!$N$5:$N$2244,'7日销售明细'!$B$5:$B$2244,A26,'7日销售明细'!$D$5:$D$2244,C26)</x:f>
        <x:v>73.432</x:v>
      </x:c>
      <x:c r="P26" s="35" t="n">
        <x:f>SUMIFS('7日销售明细'!$U$5:$U$2244,'7日销售明细'!$B$5:$B$2244,A26,'7日销售明细'!$D$5:$D$2244,C26)</x:f>
        <x:v>5724.0386</x:v>
      </x:c>
      <x:c r="Q26" s="21" t="n">
        <x:f>IFERROR(P26/H26,0)</x:f>
        <x:v>0.6238190239543145</x:v>
      </x:c>
      <x:c r="R26" s="20" t="n">
        <x:f>SUMIFS('7日销售明细'!$K$5:$K$2244,'7日销售明细'!$B$5:$B$2244,A26,'7日销售明细'!$D$5:$D$2244,C26)</x:f>
        <x:v>378</x:v>
      </x:c>
      <x:c r="S26" s="20" t="n">
        <x:f>H26/'封面与口径'!$I$11</x:f>
        <x:v>286.74375000000003</x:v>
      </x:c>
      <x:c r="T26" s="22" t="n">
        <x:f>IFERROR(H26/S26,0)</x:f>
        <x:v>32</x:v>
      </x:c>
    </x:row>
    <x:row r="27">
      <x:c r="A27" s="34" t="n">
        <x:v>46211.5</x:v>
      </x:c>
      <x:c r="B27" s="19" t="str">
        <x:v>周三</x:v>
      </x:c>
      <x:c r="C27" s="19" t="str">
        <x:v>S04</x:v>
      </x:c>
      <x:c r="D27" s="19" t="str">
        <x:v>金街美地店</x:v>
      </x:c>
      <x:c r="E27" s="35" t="n">
        <x:f>XLOOKUP(C27,'门店与角色'!$A$5:$A$12,'门店与角色'!$D$5:$D$12,0)</x:f>
        <x:v>255000</x:v>
      </x:c>
      <x:c r="F27" s="35" t="n">
        <x:f>XLOOKUP(B27,'封面与口径'!$N$14:$N$20,'封面与口径'!$O$14:$O$20,1)</x:f>
        <x:v>1.05</x:v>
      </x:c>
      <x:c r="G27" s="35" t="n">
        <x:f>E27/30*F27</x:f>
        <x:v>8925</x:v>
      </x:c>
      <x:c r="H27" s="35" t="n">
        <x:f>SUMIFS('7日销售明细'!$L$5:$L$2244,'7日销售明细'!$B$5:$B$2244,A27,'7日销售明细'!$D$5:$D$2244,C27)</x:f>
        <x:v>8913.3</x:v>
      </x:c>
      <x:c r="I27" s="35" t="n">
        <x:f>H27-G27</x:f>
        <x:v>-11.700000000000728</x:v>
      </x:c>
      <x:c r="J27" s="35" t="n">
        <x:f>SUMIFS('7日销售明细'!$L$5:$L$2244,'7日销售明细'!$B$5:$B$2244,A27,'7日销售明细'!$D$5:$D$2244,C27,'7日销售明细'!$F$5:$F$2244,"堂食")</x:f>
        <x:v>8030.199999999999</x:v>
      </x:c>
      <x:c r="K27" s="35" t="n">
        <x:f>SUMIFS('7日销售明细'!$L$5:$L$2244,'7日销售明细'!$B$5:$B$2244,A27,'7日销售明细'!$D$5:$D$2244,C27,'7日销售明细'!$F$5:$F$2244,"外卖")</x:f>
        <x:v>883.1</x:v>
      </x:c>
      <x:c r="L27" s="21" t="n">
        <x:f>IFERROR(K27/H27,0)</x:f>
        <x:v>0.09907666072049635</x:v>
      </x:c>
      <x:c r="M27" s="35" t="n">
        <x:f>SUMIFS('7日销售明细'!$T$5:$T$2244,'7日销售明细'!$B$5:$B$2244,A27,'7日销售明细'!$D$5:$D$2244,C27)</x:f>
        <x:v>3071.1721999999995</x:v>
      </x:c>
      <x:c r="N27" s="35" t="n">
        <x:f>SUMIFS('7日销售明细'!$P$5:$P$2244,'7日销售明细'!$B$5:$B$2244,A27,'7日销售明细'!$D$5:$D$2244,C27)</x:f>
        <x:v>158.95799999999997</x:v>
      </x:c>
      <x:c r="O27" s="35" t="n">
        <x:f>SUMIFS('7日销售明细'!$N$5:$N$2244,'7日销售明细'!$B$5:$B$2244,A27,'7日销售明细'!$D$5:$D$2244,C27)</x:f>
        <x:v>70.64799999999998</x:v>
      </x:c>
      <x:c r="P27" s="35" t="n">
        <x:f>SUMIFS('7日销售明细'!$U$5:$U$2244,'7日销售明细'!$B$5:$B$2244,A27,'7日销售明细'!$D$5:$D$2244,C27)</x:f>
        <x:v>5575.3218000000015</x:v>
      </x:c>
      <x:c r="Q27" s="21" t="n">
        <x:f>IFERROR(P27/H27,0)</x:f>
        <x:v>0.6255059069031674</x:v>
      </x:c>
      <x:c r="R27" s="20" t="n">
        <x:f>SUMIFS('7日销售明细'!$K$5:$K$2244,'7日销售明细'!$B$5:$B$2244,A27,'7日销售明细'!$D$5:$D$2244,C27)</x:f>
        <x:v>365</x:v>
      </x:c>
      <x:c r="S27" s="20" t="n">
        <x:f>H27/'封面与口径'!$I$11</x:f>
        <x:v>278.540625</x:v>
      </x:c>
      <x:c r="T27" s="22" t="n">
        <x:f>IFERROR(H27/S27,0)</x:f>
        <x:v>32</x:v>
      </x:c>
    </x:row>
    <x:row r="28">
      <x:c r="A28" s="34" t="n">
        <x:v>46212.5</x:v>
      </x:c>
      <x:c r="B28" s="19" t="str">
        <x:v>周四</x:v>
      </x:c>
      <x:c r="C28" s="19" t="str">
        <x:v>S04</x:v>
      </x:c>
      <x:c r="D28" s="19" t="str">
        <x:v>金街美地店</x:v>
      </x:c>
      <x:c r="E28" s="35" t="n">
        <x:f>XLOOKUP(C28,'门店与角色'!$A$5:$A$12,'门店与角色'!$D$5:$D$12,0)</x:f>
        <x:v>255000</x:v>
      </x:c>
      <x:c r="F28" s="35" t="n">
        <x:f>XLOOKUP(B28,'封面与口径'!$N$14:$N$20,'封面与口径'!$O$14:$O$20,1)</x:f>
        <x:v>1.03</x:v>
      </x:c>
      <x:c r="G28" s="35" t="n">
        <x:f>E28/30*F28</x:f>
        <x:v>8755</x:v>
      </x:c>
      <x:c r="H28" s="35" t="n">
        <x:f>SUMIFS('7日销售明细'!$L$5:$L$2244,'7日销售明细'!$B$5:$B$2244,A28,'7日销售明细'!$D$5:$D$2244,C28)</x:f>
        <x:v>8755.1</x:v>
      </x:c>
      <x:c r="I28" s="35" t="n">
        <x:f>H28-G28</x:f>
        <x:v>0.1000000000003638</x:v>
      </x:c>
      <x:c r="J28" s="35" t="n">
        <x:f>SUMIFS('7日销售明细'!$L$5:$L$2244,'7日销售明细'!$B$5:$B$2244,A28,'7日销售明细'!$D$5:$D$2244,C28,'7日销售明细'!$F$5:$F$2244,"堂食")</x:f>
        <x:v>7880</x:v>
      </x:c>
      <x:c r="K28" s="35" t="n">
        <x:f>SUMIFS('7日销售明细'!$L$5:$L$2244,'7日销售明细'!$B$5:$B$2244,A28,'7日销售明细'!$D$5:$D$2244,C28,'7日销售明细'!$F$5:$F$2244,"外卖")</x:f>
        <x:v>875.1</x:v>
      </x:c>
      <x:c r="L28" s="21" t="n">
        <x:f>IFERROR(K28/H28,0)</x:f>
        <x:v>0.09995317015225412</x:v>
      </x:c>
      <x:c r="M28" s="35" t="n">
        <x:f>SUMIFS('7日销售明细'!$T$5:$T$2244,'7日销售明细'!$B$5:$B$2244,A28,'7日销售明细'!$D$5:$D$2244,C28)</x:f>
        <x:v>3014.3736</x:v>
      </x:c>
      <x:c r="N28" s="35" t="n">
        <x:f>SUMIFS('7日销售明细'!$P$5:$P$2244,'7日销售明细'!$B$5:$B$2244,A28,'7日销售明细'!$D$5:$D$2244,C28)</x:f>
        <x:v>157.518</x:v>
      </x:c>
      <x:c r="O28" s="35" t="n">
        <x:f>SUMIFS('7日销售明细'!$N$5:$N$2244,'7日销售明细'!$B$5:$B$2244,A28,'7日销售明细'!$D$5:$D$2244,C28)</x:f>
        <x:v>70.00799999999998</x:v>
      </x:c>
      <x:c r="P28" s="35" t="n">
        <x:f>SUMIFS('7日销售明细'!$U$5:$U$2244,'7日销售明细'!$B$5:$B$2244,A28,'7日销售明细'!$D$5:$D$2244,C28)</x:f>
        <x:v>5476.0004</x:v>
      </x:c>
      <x:c r="Q28" s="21" t="n">
        <x:f>IFERROR(P28/H28,0)</x:f>
        <x:v>0.6254640609473335</x:v>
      </x:c>
      <x:c r="R28" s="20" t="n">
        <x:f>SUMIFS('7日销售明细'!$K$5:$K$2244,'7日销售明细'!$B$5:$B$2244,A28,'7日销售明细'!$D$5:$D$2244,C28)</x:f>
        <x:v>361</x:v>
      </x:c>
      <x:c r="S28" s="20" t="n">
        <x:f>H28/'封面与口径'!$I$11</x:f>
        <x:v>273.596875</x:v>
      </x:c>
      <x:c r="T28" s="22" t="n">
        <x:f>IFERROR(H28/S28,0)</x:f>
        <x:v>32</x:v>
      </x:c>
    </x:row>
    <x:row r="29">
      <x:c r="A29" s="34" t="n">
        <x:v>46213.5</x:v>
      </x:c>
      <x:c r="B29" s="19" t="str">
        <x:v>周五</x:v>
      </x:c>
      <x:c r="C29" s="19" t="str">
        <x:v>S04</x:v>
      </x:c>
      <x:c r="D29" s="19" t="str">
        <x:v>金街美地店</x:v>
      </x:c>
      <x:c r="E29" s="35" t="n">
        <x:f>XLOOKUP(C29,'门店与角色'!$A$5:$A$12,'门店与角色'!$D$5:$D$12,0)</x:f>
        <x:v>255000</x:v>
      </x:c>
      <x:c r="F29" s="35" t="n">
        <x:f>XLOOKUP(B29,'封面与口径'!$N$14:$N$20,'封面与口径'!$O$14:$O$20,1)</x:f>
        <x:v>1.07</x:v>
      </x:c>
      <x:c r="G29" s="35" t="n">
        <x:f>E29/30*F29</x:f>
        <x:v>9095</x:v>
      </x:c>
      <x:c r="H29" s="35" t="n">
        <x:f>SUMIFS('7日销售明细'!$L$5:$L$2244,'7日销售明细'!$B$5:$B$2244,A29,'7日销售明细'!$D$5:$D$2244,C29)</x:f>
        <x:v>9086.300000000001</x:v>
      </x:c>
      <x:c r="I29" s="35" t="n">
        <x:f>H29-G29</x:f>
        <x:v>-8.699999999998909</x:v>
      </x:c>
      <x:c r="J29" s="35" t="n">
        <x:f>SUMIFS('7日销售明细'!$L$5:$L$2244,'7日销售明细'!$B$5:$B$2244,A29,'7日销售明细'!$D$5:$D$2244,C29,'7日销售明细'!$F$5:$F$2244,"堂食")</x:f>
        <x:v>8177.400000000001</x:v>
      </x:c>
      <x:c r="K29" s="35" t="n">
        <x:f>SUMIFS('7日销售明细'!$L$5:$L$2244,'7日销售明细'!$B$5:$B$2244,A29,'7日销售明细'!$D$5:$D$2244,C29,'7日销售明细'!$F$5:$F$2244,"外卖")</x:f>
        <x:v>908.9</x:v>
      </x:c>
      <x:c r="L29" s="21" t="n">
        <x:f>IFERROR(K29/H29,0)</x:f>
        <x:v>0.10002971506553822</x:v>
      </x:c>
      <x:c r="M29" s="35" t="n">
        <x:f>SUMIFS('7日销售明细'!$T$5:$T$2244,'7日销售明细'!$B$5:$B$2244,A29,'7日销售明细'!$D$5:$D$2244,C29)</x:f>
        <x:v>3140.7812</x:v>
      </x:c>
      <x:c r="N29" s="35" t="n">
        <x:f>SUMIFS('7日销售明细'!$P$5:$P$2244,'7日销售明细'!$B$5:$B$2244,A29,'7日销售明细'!$D$5:$D$2244,C29)</x:f>
        <x:v>163.602</x:v>
      </x:c>
      <x:c r="O29" s="35" t="n">
        <x:f>SUMIFS('7日销售明细'!$N$5:$N$2244,'7日销售明细'!$B$5:$B$2244,A29,'7日销售明细'!$D$5:$D$2244,C29)</x:f>
        <x:v>72.712</x:v>
      </x:c>
      <x:c r="P29" s="35" t="n">
        <x:f>SUMIFS('7日销售明细'!$U$5:$U$2244,'7日销售明细'!$B$5:$B$2244,A29,'7日销售明细'!$D$5:$D$2244,C29)</x:f>
        <x:v>5669.604799999999</x:v>
      </x:c>
      <x:c r="Q29" s="21" t="n">
        <x:f>IFERROR(P29/H29,0)</x:f>
        <x:v>0.6239728822513012</x:v>
      </x:c>
      <x:c r="R29" s="20" t="n">
        <x:f>SUMIFS('7日销售明细'!$K$5:$K$2244,'7日销售明细'!$B$5:$B$2244,A29,'7日销售明细'!$D$5:$D$2244,C29)</x:f>
        <x:v>376</x:v>
      </x:c>
      <x:c r="S29" s="20" t="n">
        <x:f>H29/'封面与口径'!$I$11</x:f>
        <x:v>283.94687500000003</x:v>
      </x:c>
      <x:c r="T29" s="22" t="n">
        <x:f>IFERROR(H29/S29,0)</x:f>
        <x:v>32</x:v>
      </x:c>
    </x:row>
    <x:row r="30">
      <x:c r="A30" s="34" t="n">
        <x:v>46214.5</x:v>
      </x:c>
      <x:c r="B30" s="19" t="str">
        <x:v>周六</x:v>
      </x:c>
      <x:c r="C30" s="19" t="str">
        <x:v>S04</x:v>
      </x:c>
      <x:c r="D30" s="19" t="str">
        <x:v>金街美地店</x:v>
      </x:c>
      <x:c r="E30" s="35" t="n">
        <x:f>XLOOKUP(C30,'门店与角色'!$A$5:$A$12,'门店与角色'!$D$5:$D$12,0)</x:f>
        <x:v>255000</x:v>
      </x:c>
      <x:c r="F30" s="35" t="n">
        <x:f>XLOOKUP(B30,'封面与口径'!$N$14:$N$20,'封面与口径'!$O$14:$O$20,1)</x:f>
        <x:v>0.82</x:v>
      </x:c>
      <x:c r="G30" s="35" t="n">
        <x:f>E30/30*F30</x:f>
        <x:v>6970</x:v>
      </x:c>
      <x:c r="H30" s="35" t="n">
        <x:f>SUMIFS('7日销售明细'!$L$5:$L$2244,'7日销售明细'!$B$5:$B$2244,A30,'7日销售明细'!$D$5:$D$2244,C30)</x:f>
        <x:v>6968</x:v>
      </x:c>
      <x:c r="I30" s="35" t="n">
        <x:f>H30-G30</x:f>
        <x:v>-2</x:v>
      </x:c>
      <x:c r="J30" s="35" t="n">
        <x:f>SUMIFS('7日销售明细'!$L$5:$L$2244,'7日销售明细'!$B$5:$B$2244,A30,'7日销售明细'!$D$5:$D$2244,C30,'7日销售明细'!$F$5:$F$2244,"堂食")</x:f>
        <x:v>6271.9</x:v>
      </x:c>
      <x:c r="K30" s="35" t="n">
        <x:f>SUMIFS('7日销售明细'!$L$5:$L$2244,'7日销售明细'!$B$5:$B$2244,A30,'7日销售明细'!$D$5:$D$2244,C30,'7日销售明细'!$F$5:$F$2244,"外卖")</x:f>
        <x:v>696.0999999999999</x:v>
      </x:c>
      <x:c r="L30" s="21" t="n">
        <x:f>IFERROR(K30/H30,0)</x:f>
        <x:v>0.0998995407577497</x:v>
      </x:c>
      <x:c r="M30" s="35" t="n">
        <x:f>SUMIFS('7日销售明细'!$T$5:$T$2244,'7日销售明细'!$B$5:$B$2244,A30,'7日销售明细'!$D$5:$D$2244,C30)</x:f>
        <x:v>2417.6510000000003</x:v>
      </x:c>
      <x:c r="N30" s="35" t="n">
        <x:f>SUMIFS('7日销售明细'!$P$5:$P$2244,'7日销售明细'!$B$5:$B$2244,A30,'7日销售明细'!$D$5:$D$2244,C30)</x:f>
        <x:v>125.29799999999999</x:v>
      </x:c>
      <x:c r="O30" s="35" t="n">
        <x:f>SUMIFS('7日销售明细'!$N$5:$N$2244,'7日销售明细'!$B$5:$B$2244,A30,'7日销售明细'!$D$5:$D$2244,C30)</x:f>
        <x:v>55.687999999999995</x:v>
      </x:c>
      <x:c r="P30" s="35" t="n">
        <x:f>SUMIFS('7日销售明细'!$U$5:$U$2244,'7日销售明细'!$B$5:$B$2244,A30,'7日销售明细'!$D$5:$D$2244,C30)</x:f>
        <x:v>4339.363000000001</x:v>
      </x:c>
      <x:c r="Q30" s="21" t="n">
        <x:f>IFERROR(P30/H30,0)</x:f>
        <x:v>0.622755884041332</x:v>
      </x:c>
      <x:c r="R30" s="20" t="n">
        <x:f>SUMIFS('7日销售明细'!$K$5:$K$2244,'7日销售明细'!$B$5:$B$2244,A30,'7日销售明细'!$D$5:$D$2244,C30)</x:f>
        <x:v>288</x:v>
      </x:c>
      <x:c r="S30" s="20" t="n">
        <x:f>H30/'封面与口径'!$I$11</x:f>
        <x:v>217.75</x:v>
      </x:c>
      <x:c r="T30" s="22" t="n">
        <x:f>IFERROR(H30/S30,0)</x:f>
        <x:v>32</x:v>
      </x:c>
    </x:row>
    <x:row r="31">
      <x:c r="A31" s="34" t="n">
        <x:v>46215.5</x:v>
      </x:c>
      <x:c r="B31" s="19" t="str">
        <x:v>周日</x:v>
      </x:c>
      <x:c r="C31" s="19" t="str">
        <x:v>S04</x:v>
      </x:c>
      <x:c r="D31" s="19" t="str">
        <x:v>金街美地店</x:v>
      </x:c>
      <x:c r="E31" s="35" t="n">
        <x:f>XLOOKUP(C31,'门店与角色'!$A$5:$A$12,'门店与角色'!$D$5:$D$12,0)</x:f>
        <x:v>255000</x:v>
      </x:c>
      <x:c r="F31" s="35" t="n">
        <x:f>XLOOKUP(B31,'封面与口径'!$N$14:$N$20,'封面与口径'!$O$14:$O$20,1)</x:f>
        <x:v>0.8</x:v>
      </x:c>
      <x:c r="G31" s="35" t="n">
        <x:f>E31/30*F31</x:f>
        <x:v>6800</x:v>
      </x:c>
      <x:c r="H31" s="35" t="n">
        <x:f>SUMIFS('7日销售明细'!$L$5:$L$2244,'7日销售明细'!$B$5:$B$2244,A31,'7日销售明细'!$D$5:$D$2244,C31)</x:f>
        <x:v>6796.399999999999</x:v>
      </x:c>
      <x:c r="I31" s="35" t="n">
        <x:f>H31-G31</x:f>
        <x:v>-3.6000000000012733</x:v>
      </x:c>
      <x:c r="J31" s="35" t="n">
        <x:f>SUMIFS('7日销售明细'!$L$5:$L$2244,'7日销售明细'!$B$5:$B$2244,A31,'7日销售明细'!$D$5:$D$2244,C31,'7日销售明细'!$F$5:$F$2244,"堂食")</x:f>
        <x:v>6117.099999999999</x:v>
      </x:c>
      <x:c r="K31" s="35" t="n">
        <x:f>SUMIFS('7日销售明细'!$L$5:$L$2244,'7日销售明细'!$B$5:$B$2244,A31,'7日销售明细'!$D$5:$D$2244,C31,'7日销售明细'!$F$5:$F$2244,"外卖")</x:f>
        <x:v>679.3000000000001</x:v>
      </x:c>
      <x:c r="L31" s="21" t="n">
        <x:f>IFERROR(K31/H31,0)</x:f>
        <x:v>0.09994997351539053</x:v>
      </x:c>
      <x:c r="M31" s="35" t="n">
        <x:f>SUMIFS('7日销售明细'!$T$5:$T$2244,'7日销售明细'!$B$5:$B$2244,A31,'7日销售明细'!$D$5:$D$2244,C31)</x:f>
        <x:v>2345.1506000000004</x:v>
      </x:c>
      <x:c r="N31" s="35" t="n">
        <x:f>SUMIFS('7日销售明细'!$P$5:$P$2244,'7日销售明细'!$B$5:$B$2244,A31,'7日销售明细'!$D$5:$D$2244,C31)</x:f>
        <x:v>122.27399999999999</x:v>
      </x:c>
      <x:c r="O31" s="35" t="n">
        <x:f>SUMIFS('7日销售明细'!$N$5:$N$2244,'7日销售明细'!$B$5:$B$2244,A31,'7日销售明细'!$D$5:$D$2244,C31)</x:f>
        <x:v>54.343999999999994</x:v>
      </x:c>
      <x:c r="P31" s="35" t="n">
        <x:f>SUMIFS('7日销售明细'!$U$5:$U$2244,'7日销售明细'!$B$5:$B$2244,A31,'7日销售明细'!$D$5:$D$2244,C31)</x:f>
        <x:v>4245.8314</x:v>
      </x:c>
      <x:c r="Q31" s="21" t="n">
        <x:f>IFERROR(P31/H31,0)</x:f>
        <x:v>0.6247177034900832</x:v>
      </x:c>
      <x:c r="R31" s="20" t="n">
        <x:f>SUMIFS('7日销售明细'!$K$5:$K$2244,'7日销售明细'!$B$5:$B$2244,A31,'7日销售明细'!$D$5:$D$2244,C31)</x:f>
        <x:v>279</x:v>
      </x:c>
      <x:c r="S31" s="20" t="n">
        <x:f>H31/'封面与口径'!$I$11</x:f>
        <x:v>212.38749999999996</x:v>
      </x:c>
      <x:c r="T31" s="22" t="n">
        <x:f>IFERROR(H31/S31,0)</x:f>
        <x:v>32</x:v>
      </x:c>
    </x:row>
    <x:row r="32">
      <x:c r="A32" s="34" t="n">
        <x:v>46216.5</x:v>
      </x:c>
      <x:c r="B32" s="19" t="str">
        <x:v>周一</x:v>
      </x:c>
      <x:c r="C32" s="19" t="str">
        <x:v>S04</x:v>
      </x:c>
      <x:c r="D32" s="19" t="str">
        <x:v>金街美地店</x:v>
      </x:c>
      <x:c r="E32" s="35" t="n">
        <x:f>XLOOKUP(C32,'门店与角色'!$A$5:$A$12,'门店与角色'!$D$5:$D$12,0)</x:f>
        <x:v>255000</x:v>
      </x:c>
      <x:c r="F32" s="35" t="n">
        <x:f>XLOOKUP(B32,'封面与口径'!$N$14:$N$20,'封面与口径'!$O$14:$O$20,1)</x:f>
        <x:v>1.15</x:v>
      </x:c>
      <x:c r="G32" s="35" t="n">
        <x:f>E32/30*F32</x:f>
        <x:v>9775</x:v>
      </x:c>
      <x:c r="H32" s="35" t="n">
        <x:f>SUMIFS('7日销售明细'!$L$5:$L$2244,'7日销售明细'!$B$5:$B$2244,A32,'7日销售明细'!$D$5:$D$2244,C32)</x:f>
        <x:v>9772.5</x:v>
      </x:c>
      <x:c r="I32" s="35" t="n">
        <x:f>H32-G32</x:f>
        <x:v>-2.5</x:v>
      </x:c>
      <x:c r="J32" s="35" t="n">
        <x:f>SUMIFS('7日销售明细'!$L$5:$L$2244,'7日销售明细'!$B$5:$B$2244,A32,'7日销售明细'!$D$5:$D$2244,C32,'7日销售明细'!$F$5:$F$2244,"堂食")</x:f>
        <x:v>8797.6</x:v>
      </x:c>
      <x:c r="K32" s="35" t="n">
        <x:f>SUMIFS('7日销售明细'!$L$5:$L$2244,'7日销售明细'!$B$5:$B$2244,A32,'7日销售明细'!$D$5:$D$2244,C32,'7日销售明细'!$F$5:$F$2244,"外卖")</x:f>
        <x:v>974.9</x:v>
      </x:c>
      <x:c r="L32" s="21" t="n">
        <x:f>IFERROR(K32/H32,0)</x:f>
        <x:v>0.09975952929137887</x:v>
      </x:c>
      <x:c r="M32" s="35" t="n">
        <x:f>SUMIFS('7日销售明细'!$T$5:$T$2244,'7日销售明细'!$B$5:$B$2244,A32,'7日销售明细'!$D$5:$D$2244,C32)</x:f>
        <x:v>3374.283</x:v>
      </x:c>
      <x:c r="N32" s="35" t="n">
        <x:f>SUMIFS('7日销售明细'!$P$5:$P$2244,'7日销售明细'!$B$5:$B$2244,A32,'7日销售明细'!$D$5:$D$2244,C32)</x:f>
        <x:v>175.482</x:v>
      </x:c>
      <x:c r="O32" s="35" t="n">
        <x:f>SUMIFS('7日销售明细'!$N$5:$N$2244,'7日销售明细'!$B$5:$B$2244,A32,'7日销售明细'!$D$5:$D$2244,C32)</x:f>
        <x:v>77.99199999999999</x:v>
      </x:c>
      <x:c r="P32" s="35" t="n">
        <x:f>SUMIFS('7日销售明细'!$U$5:$U$2244,'7日销售明细'!$B$5:$B$2244,A32,'7日销售明细'!$D$5:$D$2244,C32)</x:f>
        <x:v>6100.343000000001</x:v>
      </x:c>
      <x:c r="Q32" s="21" t="n">
        <x:f>IFERROR(P32/H32,0)</x:f>
        <x:v>0.6242356612944487</x:v>
      </x:c>
      <x:c r="R32" s="20" t="n">
        <x:f>SUMIFS('7日销售明细'!$K$5:$K$2244,'7日销售明细'!$B$5:$B$2244,A32,'7日销售明细'!$D$5:$D$2244,C32)</x:f>
        <x:v>409</x:v>
      </x:c>
      <x:c r="S32" s="20" t="n">
        <x:f>H32/'封面与口径'!$I$11</x:f>
        <x:v>305.390625</x:v>
      </x:c>
      <x:c r="T32" s="22" t="n">
        <x:f>IFERROR(H32/S32,0)</x:f>
        <x:v>32</x:v>
      </x:c>
    </x:row>
    <x:row r="33">
      <x:c r="A33" s="34" t="n">
        <x:v>46210.5</x:v>
      </x:c>
      <x:c r="B33" s="19" t="str">
        <x:v>周二</x:v>
      </x:c>
      <x:c r="C33" s="19" t="str">
        <x:v>S05</x:v>
      </x:c>
      <x:c r="D33" s="19" t="str">
        <x:v>同顺街店</x:v>
      </x:c>
      <x:c r="E33" s="35" t="n">
        <x:f>XLOOKUP(C33,'门店与角色'!$A$5:$A$12,'门店与角色'!$D$5:$D$12,0)</x:f>
        <x:v>248000</x:v>
      </x:c>
      <x:c r="F33" s="35" t="n">
        <x:f>XLOOKUP(B33,'封面与口径'!$N$14:$N$20,'封面与口径'!$O$14:$O$20,1)</x:f>
        <x:v>1.08</x:v>
      </x:c>
      <x:c r="G33" s="35" t="n">
        <x:f>E33/30*F33</x:f>
        <x:v>8928</x:v>
      </x:c>
      <x:c r="H33" s="35" t="n">
        <x:f>SUMIFS('7日销售明细'!$L$5:$L$2244,'7日销售明细'!$B$5:$B$2244,A33,'7日销售明细'!$D$5:$D$2244,C33)</x:f>
        <x:v>8926.1</x:v>
      </x:c>
      <x:c r="I33" s="35" t="n">
        <x:f>H33-G33</x:f>
        <x:v>-1.8999999999996362</x:v>
      </x:c>
      <x:c r="J33" s="35" t="n">
        <x:f>SUMIFS('7日销售明细'!$L$5:$L$2244,'7日销售明细'!$B$5:$B$2244,A33,'7日销售明细'!$D$5:$D$2244,C33,'7日销售明细'!$F$5:$F$2244,"堂食")</x:f>
        <x:v>8035</x:v>
      </x:c>
      <x:c r="K33" s="35" t="n">
        <x:f>SUMIFS('7日销售明细'!$L$5:$L$2244,'7日销售明细'!$B$5:$B$2244,A33,'7日销售明细'!$D$5:$D$2244,C33,'7日销售明细'!$F$5:$F$2244,"外卖")</x:f>
        <x:v>891.1</x:v>
      </x:c>
      <x:c r="L33" s="21" t="n">
        <x:f>IFERROR(K33/H33,0)</x:f>
        <x:v>0.09983083317462274</x:v>
      </x:c>
      <x:c r="M33" s="35" t="n">
        <x:f>SUMIFS('7日销售明细'!$T$5:$T$2244,'7日销售明细'!$B$5:$B$2244,A33,'7日销售明细'!$D$5:$D$2244,C33)</x:f>
        <x:v>3088.0413999999996</x:v>
      </x:c>
      <x:c r="N33" s="35" t="n">
        <x:f>SUMIFS('7日销售明细'!$P$5:$P$2244,'7日销售明细'!$B$5:$B$2244,A33,'7日销售明细'!$D$5:$D$2244,C33)</x:f>
        <x:v>160.39800000000002</x:v>
      </x:c>
      <x:c r="O33" s="35" t="n">
        <x:f>SUMIFS('7日销售明细'!$N$5:$N$2244,'7日销售明细'!$B$5:$B$2244,A33,'7日销售明细'!$D$5:$D$2244,C33)</x:f>
        <x:v>71.288</x:v>
      </x:c>
      <x:c r="P33" s="35" t="n">
        <x:f>SUMIFS('7日销售明细'!$U$5:$U$2244,'7日销售明细'!$B$5:$B$2244,A33,'7日销售明细'!$D$5:$D$2244,C33)</x:f>
        <x:v>5569.172599999998</x:v>
      </x:c>
      <x:c r="Q33" s="21" t="n">
        <x:f>IFERROR(P33/H33,0)</x:f>
        <x:v>0.6239200322649306</x:v>
      </x:c>
      <x:c r="R33" s="20" t="n">
        <x:f>SUMIFS('7日销售明细'!$K$5:$K$2244,'7日销售明细'!$B$5:$B$2244,A33,'7日销售明细'!$D$5:$D$2244,C33)</x:f>
        <x:v>365</x:v>
      </x:c>
      <x:c r="S33" s="20" t="n">
        <x:f>H33/'封面与口径'!$I$11</x:f>
        <x:v>278.940625</x:v>
      </x:c>
      <x:c r="T33" s="22" t="n">
        <x:f>IFERROR(H33/S33,0)</x:f>
        <x:v>32</x:v>
      </x:c>
    </x:row>
    <x:row r="34">
      <x:c r="A34" s="34" t="n">
        <x:v>46211.5</x:v>
      </x:c>
      <x:c r="B34" s="19" t="str">
        <x:v>周三</x:v>
      </x:c>
      <x:c r="C34" s="19" t="str">
        <x:v>S05</x:v>
      </x:c>
      <x:c r="D34" s="19" t="str">
        <x:v>同顺街店</x:v>
      </x:c>
      <x:c r="E34" s="35" t="n">
        <x:f>XLOOKUP(C34,'门店与角色'!$A$5:$A$12,'门店与角色'!$D$5:$D$12,0)</x:f>
        <x:v>248000</x:v>
      </x:c>
      <x:c r="F34" s="35" t="n">
        <x:f>XLOOKUP(B34,'封面与口径'!$N$14:$N$20,'封面与口径'!$O$14:$O$20,1)</x:f>
        <x:v>1.05</x:v>
      </x:c>
      <x:c r="G34" s="35" t="n">
        <x:f>E34/30*F34</x:f>
        <x:v>8680</x:v>
      </x:c>
      <x:c r="H34" s="35" t="n">
        <x:f>SUMIFS('7日销售明细'!$L$5:$L$2244,'7日销售明细'!$B$5:$B$2244,A34,'7日销售明细'!$D$5:$D$2244,C34)</x:f>
        <x:v>8678.1</x:v>
      </x:c>
      <x:c r="I34" s="35" t="n">
        <x:f>H34-G34</x:f>
        <x:v>-1.8999999999996362</x:v>
      </x:c>
      <x:c r="J34" s="35" t="n">
        <x:f>SUMIFS('7日销售明细'!$L$5:$L$2244,'7日销售明细'!$B$5:$B$2244,A34,'7日销售明细'!$D$5:$D$2244,C34,'7日销售明细'!$F$5:$F$2244,"堂食")</x:f>
        <x:v>7811.1</x:v>
      </x:c>
      <x:c r="K34" s="35" t="n">
        <x:f>SUMIFS('7日销售明细'!$L$5:$L$2244,'7日销售明细'!$B$5:$B$2244,A34,'7日销售明细'!$D$5:$D$2244,C34,'7日销售明细'!$F$5:$F$2244,"外卖")</x:f>
        <x:v>867</x:v>
      </x:c>
      <x:c r="L34" s="21" t="n">
        <x:f>IFERROR(K34/H34,0)</x:f>
        <x:v>0.0999066615964324</x:v>
      </x:c>
      <x:c r="M34" s="35" t="n">
        <x:f>SUMIFS('7日销售明细'!$T$5:$T$2244,'7日销售明细'!$B$5:$B$2244,A34,'7日销售明细'!$D$5:$D$2244,C34)</x:f>
        <x:v>3002.7760000000003</x:v>
      </x:c>
      <x:c r="N34" s="35" t="n">
        <x:f>SUMIFS('7日销售明细'!$P$5:$P$2244,'7日销售明细'!$B$5:$B$2244,A34,'7日销售明细'!$D$5:$D$2244,C34)</x:f>
        <x:v>156.06</x:v>
      </x:c>
      <x:c r="O34" s="35" t="n">
        <x:f>SUMIFS('7日销售明细'!$N$5:$N$2244,'7日销售明细'!$B$5:$B$2244,A34,'7日销售明细'!$D$5:$D$2244,C34)</x:f>
        <x:v>69.36</x:v>
      </x:c>
      <x:c r="P34" s="35" t="n">
        <x:f>SUMIFS('7日销售明细'!$U$5:$U$2244,'7日销售明细'!$B$5:$B$2244,A34,'7日销售明细'!$D$5:$D$2244,C34)</x:f>
        <x:v>5412.704000000001</x:v>
      </x:c>
      <x:c r="Q34" s="21" t="n">
        <x:f>IFERROR(P34/H34,0)</x:f>
        <x:v>0.6237199386962584</x:v>
      </x:c>
      <x:c r="R34" s="20" t="n">
        <x:f>SUMIFS('7日销售明细'!$K$5:$K$2244,'7日销售明细'!$B$5:$B$2244,A34,'7日销售明细'!$D$5:$D$2244,C34)</x:f>
        <x:v>357</x:v>
      </x:c>
      <x:c r="S34" s="20" t="n">
        <x:f>H34/'封面与口径'!$I$11</x:f>
        <x:v>271.190625</x:v>
      </x:c>
      <x:c r="T34" s="22" t="n">
        <x:f>IFERROR(H34/S34,0)</x:f>
        <x:v>32</x:v>
      </x:c>
    </x:row>
    <x:row r="35">
      <x:c r="A35" s="34" t="n">
        <x:v>46212.5</x:v>
      </x:c>
      <x:c r="B35" s="19" t="str">
        <x:v>周四</x:v>
      </x:c>
      <x:c r="C35" s="19" t="str">
        <x:v>S05</x:v>
      </x:c>
      <x:c r="D35" s="19" t="str">
        <x:v>同顺街店</x:v>
      </x:c>
      <x:c r="E35" s="35" t="n">
        <x:f>XLOOKUP(C35,'门店与角色'!$A$5:$A$12,'门店与角色'!$D$5:$D$12,0)</x:f>
        <x:v>248000</x:v>
      </x:c>
      <x:c r="F35" s="35" t="n">
        <x:f>XLOOKUP(B35,'封面与口径'!$N$14:$N$20,'封面与口径'!$O$14:$O$20,1)</x:f>
        <x:v>1.03</x:v>
      </x:c>
      <x:c r="G35" s="35" t="n">
        <x:f>E35/30*F35</x:f>
        <x:v>8514.666666666666</x:v>
      </x:c>
      <x:c r="H35" s="35" t="n">
        <x:f>SUMIFS('7日销售明细'!$L$5:$L$2244,'7日销售明细'!$B$5:$B$2244,A35,'7日销售明细'!$D$5:$D$2244,C35)</x:f>
        <x:v>8503.2</x:v>
      </x:c>
      <x:c r="I35" s="35" t="n">
        <x:f>H35-G35</x:f>
        <x:v>-11.466666666665333</x:v>
      </x:c>
      <x:c r="J35" s="35" t="n">
        <x:f>SUMIFS('7日销售明细'!$L$5:$L$2244,'7日销售明细'!$B$5:$B$2244,A35,'7日销售明细'!$D$5:$D$2244,C35,'7日销售明细'!$F$5:$F$2244,"堂食")</x:f>
        <x:v>7661.1</x:v>
      </x:c>
      <x:c r="K35" s="35" t="n">
        <x:f>SUMIFS('7日销售明细'!$L$5:$L$2244,'7日销售明细'!$B$5:$B$2244,A35,'7日销售明细'!$D$5:$D$2244,C35,'7日销售明细'!$F$5:$F$2244,"外卖")</x:f>
        <x:v>842.1</x:v>
      </x:c>
      <x:c r="L35" s="21" t="n">
        <x:f>IFERROR(K35/H35,0)</x:f>
        <x:v>0.09903330510866497</x:v>
      </x:c>
      <x:c r="M35" s="35" t="n">
        <x:f>SUMIFS('7日销售明细'!$T$5:$T$2244,'7日销售明细'!$B$5:$B$2244,A35,'7日销售明细'!$D$5:$D$2244,C35)</x:f>
        <x:v>2939.713</x:v>
      </x:c>
      <x:c r="N35" s="35" t="n">
        <x:f>SUMIFS('7日销售明细'!$P$5:$P$2244,'7日销售明细'!$B$5:$B$2244,A35,'7日销售明细'!$D$5:$D$2244,C35)</x:f>
        <x:v>151.57799999999997</x:v>
      </x:c>
      <x:c r="O35" s="35" t="n">
        <x:f>SUMIFS('7日销售明细'!$N$5:$N$2244,'7日销售明细'!$B$5:$B$2244,A35,'7日销售明细'!$D$5:$D$2244,C35)</x:f>
        <x:v>67.368</x:v>
      </x:c>
      <x:c r="P35" s="35" t="n">
        <x:f>SUMIFS('7日销售明细'!$U$5:$U$2244,'7日销售明细'!$B$5:$B$2244,A35,'7日销售明细'!$D$5:$D$2244,C35)</x:f>
        <x:v>5308.540999999999</x:v>
      </x:c>
      <x:c r="Q35" s="21" t="n">
        <x:f>IFERROR(P35/H35,0)</x:f>
        <x:v>0.6242992050051743</x:v>
      </x:c>
      <x:c r="R35" s="20" t="n">
        <x:f>SUMIFS('7日销售明细'!$K$5:$K$2244,'7日销售明细'!$B$5:$B$2244,A35,'7日销售明细'!$D$5:$D$2244,C35)</x:f>
        <x:v>351</x:v>
      </x:c>
      <x:c r="S35" s="20" t="n">
        <x:f>H35/'封面与口径'!$I$11</x:f>
        <x:v>265.725</x:v>
      </x:c>
      <x:c r="T35" s="22" t="n">
        <x:f>IFERROR(H35/S35,0)</x:f>
        <x:v>32</x:v>
      </x:c>
    </x:row>
    <x:row r="36">
      <x:c r="A36" s="34" t="n">
        <x:v>46213.5</x:v>
      </x:c>
      <x:c r="B36" s="19" t="str">
        <x:v>周五</x:v>
      </x:c>
      <x:c r="C36" s="19" t="str">
        <x:v>S05</x:v>
      </x:c>
      <x:c r="D36" s="19" t="str">
        <x:v>同顺街店</x:v>
      </x:c>
      <x:c r="E36" s="35" t="n">
        <x:f>XLOOKUP(C36,'门店与角色'!$A$5:$A$12,'门店与角色'!$D$5:$D$12,0)</x:f>
        <x:v>248000</x:v>
      </x:c>
      <x:c r="F36" s="35" t="n">
        <x:f>XLOOKUP(B36,'封面与口径'!$N$14:$N$20,'封面与口径'!$O$14:$O$20,1)</x:f>
        <x:v>1.07</x:v>
      </x:c>
      <x:c r="G36" s="35" t="n">
        <x:f>E36/30*F36</x:f>
        <x:v>8845.333333333334</x:v>
      </x:c>
      <x:c r="H36" s="35" t="n">
        <x:f>SUMIFS('7日销售明细'!$L$5:$L$2244,'7日销售明细'!$B$5:$B$2244,A36,'7日销售明细'!$D$5:$D$2244,C36)</x:f>
        <x:v>8841.9</x:v>
      </x:c>
      <x:c r="I36" s="35" t="n">
        <x:f>H36-G36</x:f>
        <x:v>-3.4333333333343035</x:v>
      </x:c>
      <x:c r="J36" s="35" t="n">
        <x:f>SUMIFS('7日销售明细'!$L$5:$L$2244,'7日销售明细'!$B$5:$B$2244,A36,'7日销售明细'!$D$5:$D$2244,C36,'7日销售明细'!$F$5:$F$2244,"堂食")</x:f>
        <x:v>7961.9</x:v>
      </x:c>
      <x:c r="K36" s="35" t="n">
        <x:f>SUMIFS('7日销售明细'!$L$5:$L$2244,'7日销售明细'!$B$5:$B$2244,A36,'7日销售明细'!$D$5:$D$2244,C36,'7日销售明细'!$F$5:$F$2244,"外卖")</x:f>
        <x:v>880</x:v>
      </x:c>
      <x:c r="L36" s="21" t="n">
        <x:f>IFERROR(K36/H36,0)</x:f>
        <x:v>0.09952611995159412</x:v>
      </x:c>
      <x:c r="M36" s="35" t="n">
        <x:f>SUMIFS('7日销售明细'!$T$5:$T$2244,'7日销售明细'!$B$5:$B$2244,A36,'7日销售明细'!$D$5:$D$2244,C36)</x:f>
        <x:v>3063.8045999999995</x:v>
      </x:c>
      <x:c r="N36" s="35" t="n">
        <x:f>SUMIFS('7日销售明细'!$P$5:$P$2244,'7日销售明细'!$B$5:$B$2244,A36,'7日销售明细'!$D$5:$D$2244,C36)</x:f>
        <x:v>158.4</x:v>
      </x:c>
      <x:c r="O36" s="35" t="n">
        <x:f>SUMIFS('7日销售明细'!$N$5:$N$2244,'7日销售明细'!$B$5:$B$2244,A36,'7日销售明细'!$D$5:$D$2244,C36)</x:f>
        <x:v>70.4</x:v>
      </x:c>
      <x:c r="P36" s="35" t="n">
        <x:f>SUMIFS('7日销售明细'!$U$5:$U$2244,'7日销售明细'!$B$5:$B$2244,A36,'7日销售明细'!$D$5:$D$2244,C36)</x:f>
        <x:v>5512.0954</x:v>
      </x:c>
      <x:c r="Q36" s="21" t="n">
        <x:f>IFERROR(P36/H36,0)</x:f>
        <x:v>0.6234062135966252</x:v>
      </x:c>
      <x:c r="R36" s="20" t="n">
        <x:f>SUMIFS('7日销售明细'!$K$5:$K$2244,'7日销售明细'!$B$5:$B$2244,A36,'7日销售明细'!$D$5:$D$2244,C36)</x:f>
        <x:v>362</x:v>
      </x:c>
      <x:c r="S36" s="20" t="n">
        <x:f>H36/'封面与口径'!$I$11</x:f>
        <x:v>276.309375</x:v>
      </x:c>
      <x:c r="T36" s="22" t="n">
        <x:f>IFERROR(H36/S36,0)</x:f>
        <x:v>32</x:v>
      </x:c>
    </x:row>
    <x:row r="37">
      <x:c r="A37" s="34" t="n">
        <x:v>46214.5</x:v>
      </x:c>
      <x:c r="B37" s="19" t="str">
        <x:v>周六</x:v>
      </x:c>
      <x:c r="C37" s="19" t="str">
        <x:v>S05</x:v>
      </x:c>
      <x:c r="D37" s="19" t="str">
        <x:v>同顺街店</x:v>
      </x:c>
      <x:c r="E37" s="35" t="n">
        <x:f>XLOOKUP(C37,'门店与角色'!$A$5:$A$12,'门店与角色'!$D$5:$D$12,0)</x:f>
        <x:v>248000</x:v>
      </x:c>
      <x:c r="F37" s="35" t="n">
        <x:f>XLOOKUP(B37,'封面与口径'!$N$14:$N$20,'封面与口径'!$O$14:$O$20,1)</x:f>
        <x:v>0.82</x:v>
      </x:c>
      <x:c r="G37" s="35" t="n">
        <x:f>E37/30*F37</x:f>
        <x:v>6778.666666666666</x:v>
      </x:c>
      <x:c r="H37" s="35" t="n">
        <x:f>SUMIFS('7日销售明细'!$L$5:$L$2244,'7日销售明细'!$B$5:$B$2244,A37,'7日销售明细'!$D$5:$D$2244,C37)</x:f>
        <x:v>6780.7</x:v>
      </x:c>
      <x:c r="I37" s="35" t="n">
        <x:f>H37-G37</x:f>
        <x:v>2.0333333333337578</x:v>
      </x:c>
      <x:c r="J37" s="35" t="n">
        <x:f>SUMIFS('7日销售明细'!$L$5:$L$2244,'7日销售明细'!$B$5:$B$2244,A37,'7日销售明细'!$D$5:$D$2244,C37,'7日销售明细'!$F$5:$F$2244,"堂食")</x:f>
        <x:v>6101.5</x:v>
      </x:c>
      <x:c r="K37" s="35" t="n">
        <x:f>SUMIFS('7日销售明细'!$L$5:$L$2244,'7日销售明细'!$B$5:$B$2244,A37,'7日销售明细'!$D$5:$D$2244,C37,'7日销售明细'!$F$5:$F$2244,"外卖")</x:f>
        <x:v>679.1999999999999</x:v>
      </x:c>
      <x:c r="L37" s="21" t="n">
        <x:f>IFERROR(K37/H37,0)</x:f>
        <x:v>0.1001666494609701</x:v>
      </x:c>
      <x:c r="M37" s="35" t="n">
        <x:f>SUMIFS('7日销售明细'!$T$5:$T$2244,'7日销售明细'!$B$5:$B$2244,A37,'7日销售明细'!$D$5:$D$2244,C37)</x:f>
        <x:v>2350.4062</x:v>
      </x:c>
      <x:c r="N37" s="35" t="n">
        <x:f>SUMIFS('7日销售明细'!$P$5:$P$2244,'7日销售明细'!$B$5:$B$2244,A37,'7日销售明细'!$D$5:$D$2244,C37)</x:f>
        <x:v>122.25599999999999</x:v>
      </x:c>
      <x:c r="O37" s="35" t="n">
        <x:f>SUMIFS('7日销售明细'!$N$5:$N$2244,'7日销售明细'!$B$5:$B$2244,A37,'7日销售明细'!$D$5:$D$2244,C37)</x:f>
        <x:v>54.336</x:v>
      </x:c>
      <x:c r="P37" s="35" t="n">
        <x:f>SUMIFS('7日销售明细'!$U$5:$U$2244,'7日销售明细'!$B$5:$B$2244,A37,'7日销售明细'!$D$5:$D$2244,C37)</x:f>
        <x:v>4223.7018</x:v>
      </x:c>
      <x:c r="Q37" s="21" t="n">
        <x:f>IFERROR(P37/H37,0)</x:f>
        <x:v>0.6229005559897945</x:v>
      </x:c>
      <x:c r="R37" s="20" t="n">
        <x:f>SUMIFS('7日销售明细'!$K$5:$K$2244,'7日销售明细'!$B$5:$B$2244,A37,'7日销售明细'!$D$5:$D$2244,C37)</x:f>
        <x:v>279</x:v>
      </x:c>
      <x:c r="S37" s="20" t="n">
        <x:f>H37/'封面与口径'!$I$11</x:f>
        <x:v>211.896875</x:v>
      </x:c>
      <x:c r="T37" s="22" t="n">
        <x:f>IFERROR(H37/S37,0)</x:f>
        <x:v>32</x:v>
      </x:c>
    </x:row>
    <x:row r="38">
      <x:c r="A38" s="34" t="n">
        <x:v>46215.5</x:v>
      </x:c>
      <x:c r="B38" s="19" t="str">
        <x:v>周日</x:v>
      </x:c>
      <x:c r="C38" s="19" t="str">
        <x:v>S05</x:v>
      </x:c>
      <x:c r="D38" s="19" t="str">
        <x:v>同顺街店</x:v>
      </x:c>
      <x:c r="E38" s="35" t="n">
        <x:f>XLOOKUP(C38,'门店与角色'!$A$5:$A$12,'门店与角色'!$D$5:$D$12,0)</x:f>
        <x:v>248000</x:v>
      </x:c>
      <x:c r="F38" s="35" t="n">
        <x:f>XLOOKUP(B38,'封面与口径'!$N$14:$N$20,'封面与口径'!$O$14:$O$20,1)</x:f>
        <x:v>0.8</x:v>
      </x:c>
      <x:c r="G38" s="35" t="n">
        <x:f>E38/30*F38</x:f>
        <x:v>6613.333333333333</x:v>
      </x:c>
      <x:c r="H38" s="35" t="n">
        <x:f>SUMIFS('7日销售明细'!$L$5:$L$2244,'7日销售明细'!$B$5:$B$2244,A38,'7日销售明细'!$D$5:$D$2244,C38)</x:f>
        <x:v>6610.7</x:v>
      </x:c>
      <x:c r="I38" s="35" t="n">
        <x:f>H38-G38</x:f>
        <x:v>-2.633333333333212</x:v>
      </x:c>
      <x:c r="J38" s="35" t="n">
        <x:f>SUMIFS('7日销售明细'!$L$5:$L$2244,'7日销售明细'!$B$5:$B$2244,A38,'7日销售明细'!$D$5:$D$2244,C38,'7日销售明细'!$F$5:$F$2244,"堂食")</x:f>
        <x:v>5950.400000000001</x:v>
      </x:c>
      <x:c r="K38" s="35" t="n">
        <x:f>SUMIFS('7日销售明细'!$L$5:$L$2244,'7日销售明细'!$B$5:$B$2244,A38,'7日销售明细'!$D$5:$D$2244,C38,'7日销售明细'!$F$5:$F$2244,"外卖")</x:f>
        <x:v>660.3</x:v>
      </x:c>
      <x:c r="L38" s="21" t="n">
        <x:f>IFERROR(K38/H38,0)</x:f>
        <x:v>0.09988352216860544</x:v>
      </x:c>
      <x:c r="M38" s="35" t="n">
        <x:f>SUMIFS('7日销售明细'!$T$5:$T$2244,'7日销售明细'!$B$5:$B$2244,A38,'7日销售明细'!$D$5:$D$2244,C38)</x:f>
        <x:v>2283.496600000001</x:v>
      </x:c>
      <x:c r="N38" s="35" t="n">
        <x:f>SUMIFS('7日销售明细'!$P$5:$P$2244,'7日销售明细'!$B$5:$B$2244,A38,'7日销售明细'!$D$5:$D$2244,C38)</x:f>
        <x:v>118.854</x:v>
      </x:c>
      <x:c r="O38" s="35" t="n">
        <x:f>SUMIFS('7日销售明细'!$N$5:$N$2244,'7日销售明细'!$B$5:$B$2244,A38,'7日销售明细'!$D$5:$D$2244,C38)</x:f>
        <x:v>52.824</x:v>
      </x:c>
      <x:c r="P38" s="35" t="n">
        <x:f>SUMIFS('7日销售明细'!$U$5:$U$2244,'7日销售明细'!$B$5:$B$2244,A38,'7日销售明细'!$D$5:$D$2244,C38)</x:f>
        <x:v>4127.9254</x:v>
      </x:c>
      <x:c r="Q38" s="21" t="n">
        <x:f>IFERROR(P38/H38,0)</x:f>
        <x:v>0.6244309074681955</x:v>
      </x:c>
      <x:c r="R38" s="20" t="n">
        <x:f>SUMIFS('7日销售明细'!$K$5:$K$2244,'7日销售明细'!$B$5:$B$2244,A38,'7日销售明细'!$D$5:$D$2244,C38)</x:f>
        <x:v>271</x:v>
      </x:c>
      <x:c r="S38" s="20" t="n">
        <x:f>H38/'封面与口径'!$I$11</x:f>
        <x:v>206.584375</x:v>
      </x:c>
      <x:c r="T38" s="22" t="n">
        <x:f>IFERROR(H38/S38,0)</x:f>
        <x:v>32</x:v>
      </x:c>
    </x:row>
    <x:row r="39">
      <x:c r="A39" s="34" t="n">
        <x:v>46216.5</x:v>
      </x:c>
      <x:c r="B39" s="19" t="str">
        <x:v>周一</x:v>
      </x:c>
      <x:c r="C39" s="19" t="str">
        <x:v>S05</x:v>
      </x:c>
      <x:c r="D39" s="19" t="str">
        <x:v>同顺街店</x:v>
      </x:c>
      <x:c r="E39" s="35" t="n">
        <x:f>XLOOKUP(C39,'门店与角色'!$A$5:$A$12,'门店与角色'!$D$5:$D$12,0)</x:f>
        <x:v>248000</x:v>
      </x:c>
      <x:c r="F39" s="35" t="n">
        <x:f>XLOOKUP(B39,'封面与口径'!$N$14:$N$20,'封面与口径'!$O$14:$O$20,1)</x:f>
        <x:v>1.15</x:v>
      </x:c>
      <x:c r="G39" s="35" t="n">
        <x:f>E39/30*F39</x:f>
        <x:v>9506.666666666666</x:v>
      </x:c>
      <x:c r="H39" s="35" t="n">
        <x:f>SUMIFS('7日销售明细'!$L$5:$L$2244,'7日销售明细'!$B$5:$B$2244,A39,'7日销售明细'!$D$5:$D$2244,C39)</x:f>
        <x:v>9512.099999999999</x:v>
      </x:c>
      <x:c r="I39" s="35" t="n">
        <x:f>H39-G39</x:f>
        <x:v>5.4333333333324845</x:v>
      </x:c>
      <x:c r="J39" s="35" t="n">
        <x:f>SUMIFS('7日销售明细'!$L$5:$L$2244,'7日销售明细'!$B$5:$B$2244,A39,'7日销售明细'!$D$5:$D$2244,C39,'7日销售明细'!$F$5:$F$2244,"堂食")</x:f>
        <x:v>8560.099999999999</x:v>
      </x:c>
      <x:c r="K39" s="35" t="n">
        <x:f>SUMIFS('7日销售明细'!$L$5:$L$2244,'7日销售明细'!$B$5:$B$2244,A39,'7日销售明细'!$D$5:$D$2244,C39,'7日销售明细'!$F$5:$F$2244,"外卖")</x:f>
        <x:v>952</x:v>
      </x:c>
      <x:c r="L39" s="21" t="n">
        <x:f>IFERROR(K39/H39,0)</x:f>
        <x:v>0.10008305211257243</x:v>
      </x:c>
      <x:c r="M39" s="35" t="n">
        <x:f>SUMIFS('7日销售明细'!$T$5:$T$2244,'7日销售明细'!$B$5:$B$2244,A39,'7日销售明细'!$D$5:$D$2244,C39)</x:f>
        <x:v>3274.7158000000004</x:v>
      </x:c>
      <x:c r="N39" s="35" t="n">
        <x:f>SUMIFS('7日销售明细'!$P$5:$P$2244,'7日销售明细'!$B$5:$B$2244,A39,'7日销售明细'!$D$5:$D$2244,C39)</x:f>
        <x:v>171.35999999999999</x:v>
      </x:c>
      <x:c r="O39" s="35" t="n">
        <x:f>SUMIFS('7日销售明细'!$N$5:$N$2244,'7日销售明细'!$B$5:$B$2244,A39,'7日销售明细'!$D$5:$D$2244,C39)</x:f>
        <x:v>76.15999999999997</x:v>
      </x:c>
      <x:c r="P39" s="35" t="n">
        <x:f>SUMIFS('7日销售明细'!$U$5:$U$2244,'7日销售明细'!$B$5:$B$2244,A39,'7日销售明细'!$D$5:$D$2244,C39)</x:f>
        <x:v>5949.0642</x:v>
      </x:c>
      <x:c r="Q39" s="21" t="n">
        <x:f>IFERROR(P39/H39,0)</x:f>
        <x:v>0.625420695745419</x:v>
      </x:c>
      <x:c r="R39" s="20" t="n">
        <x:f>SUMIFS('7日销售明细'!$K$5:$K$2244,'7日销售明细'!$B$5:$B$2244,A39,'7日销售明细'!$D$5:$D$2244,C39)</x:f>
        <x:v>391</x:v>
      </x:c>
      <x:c r="S39" s="20" t="n">
        <x:f>H39/'封面与口径'!$I$11</x:f>
        <x:v>297.25312499999995</x:v>
      </x:c>
      <x:c r="T39" s="22" t="n">
        <x:f>IFERROR(H39/S39,0)</x:f>
        <x:v>32</x:v>
      </x:c>
    </x:row>
    <x:row r="40">
      <x:c r="A40" s="34" t="n">
        <x:v>46210.5</x:v>
      </x:c>
      <x:c r="B40" s="19" t="str">
        <x:v>周二</x:v>
      </x:c>
      <x:c r="C40" s="19" t="str">
        <x:v>S06</x:v>
      </x:c>
      <x:c r="D40" s="19" t="str">
        <x:v>蓝钻天城店</x:v>
      </x:c>
      <x:c r="E40" s="35" t="n">
        <x:f>XLOOKUP(C40,'门店与角色'!$A$5:$A$12,'门店与角色'!$D$5:$D$12,0)</x:f>
        <x:v>240000</x:v>
      </x:c>
      <x:c r="F40" s="35" t="n">
        <x:f>XLOOKUP(B40,'封面与口径'!$N$14:$N$20,'封面与口径'!$O$14:$O$20,1)</x:f>
        <x:v>1.08</x:v>
      </x:c>
      <x:c r="G40" s="35" t="n">
        <x:f>E40/30*F40</x:f>
        <x:v>8640</x:v>
      </x:c>
      <x:c r="H40" s="35" t="n">
        <x:f>SUMIFS('7日销售明细'!$L$5:$L$2244,'7日销售明细'!$B$5:$B$2244,A40,'7日销售明细'!$D$5:$D$2244,C40)</x:f>
        <x:v>8638.199999999999</x:v>
      </x:c>
      <x:c r="I40" s="35" t="n">
        <x:f>H40-G40</x:f>
        <x:v>-1.8000000000010914</x:v>
      </x:c>
      <x:c r="J40" s="35" t="n">
        <x:f>SUMIFS('7日销售明细'!$L$5:$L$2244,'7日销售明细'!$B$5:$B$2244,A40,'7日销售明细'!$D$5:$D$2244,C40,'7日销售明细'!$F$5:$F$2244,"堂食")</x:f>
        <x:v>7771.099999999999</x:v>
      </x:c>
      <x:c r="K40" s="35" t="n">
        <x:f>SUMIFS('7日销售明细'!$L$5:$L$2244,'7日销售明细'!$B$5:$B$2244,A40,'7日销售明细'!$D$5:$D$2244,C40,'7日销售明细'!$F$5:$F$2244,"外卖")</x:f>
        <x:v>867.1</x:v>
      </x:c>
      <x:c r="L40" s="21" t="n">
        <x:f>IFERROR(K40/H40,0)</x:f>
        <x:v>0.10037970873561623</x:v>
      </x:c>
      <x:c r="M40" s="35" t="n">
        <x:f>SUMIFS('7日销售明细'!$T$5:$T$2244,'7日销售明细'!$B$5:$B$2244,A40,'7日销售明细'!$D$5:$D$2244,C40)</x:f>
        <x:v>3000.4712</x:v>
      </x:c>
      <x:c r="N40" s="35" t="n">
        <x:f>SUMIFS('7日销售明细'!$P$5:$P$2244,'7日销售明细'!$B$5:$B$2244,A40,'7日销售明细'!$D$5:$D$2244,C40)</x:f>
        <x:v>156.07799999999997</x:v>
      </x:c>
      <x:c r="O40" s="35" t="n">
        <x:f>SUMIFS('7日销售明细'!$N$5:$N$2244,'7日销售明细'!$B$5:$B$2244,A40,'7日销售明细'!$D$5:$D$2244,C40)</x:f>
        <x:v>69.368</x:v>
      </x:c>
      <x:c r="P40" s="35" t="n">
        <x:f>SUMIFS('7日销售明细'!$U$5:$U$2244,'7日销售明细'!$B$5:$B$2244,A40,'7日销售明细'!$D$5:$D$2244,C40)</x:f>
        <x:v>5376.282800000001</x:v>
      </x:c>
      <x:c r="Q40" s="21" t="n">
        <x:f>IFERROR(P40/H40,0)</x:f>
        <x:v>0.6223846171656133</x:v>
      </x:c>
      <x:c r="R40" s="20" t="n">
        <x:f>SUMIFS('7日销售明细'!$K$5:$K$2244,'7日销售明细'!$B$5:$B$2244,A40,'7日销售明细'!$D$5:$D$2244,C40)</x:f>
        <x:v>353</x:v>
      </x:c>
      <x:c r="S40" s="20" t="n">
        <x:f>H40/'封面与口径'!$I$11</x:f>
        <x:v>269.94374999999997</x:v>
      </x:c>
      <x:c r="T40" s="22" t="n">
        <x:f>IFERROR(H40/S40,0)</x:f>
        <x:v>32</x:v>
      </x:c>
    </x:row>
    <x:row r="41">
      <x:c r="A41" s="34" t="n">
        <x:v>46211.5</x:v>
      </x:c>
      <x:c r="B41" s="19" t="str">
        <x:v>周三</x:v>
      </x:c>
      <x:c r="C41" s="19" t="str">
        <x:v>S06</x:v>
      </x:c>
      <x:c r="D41" s="19" t="str">
        <x:v>蓝钻天城店</x:v>
      </x:c>
      <x:c r="E41" s="35" t="n">
        <x:f>XLOOKUP(C41,'门店与角色'!$A$5:$A$12,'门店与角色'!$D$5:$D$12,0)</x:f>
        <x:v>240000</x:v>
      </x:c>
      <x:c r="F41" s="35" t="n">
        <x:f>XLOOKUP(B41,'封面与口径'!$N$14:$N$20,'封面与口径'!$O$14:$O$20,1)</x:f>
        <x:v>1.05</x:v>
      </x:c>
      <x:c r="G41" s="35" t="n">
        <x:f>E41/30*F41</x:f>
        <x:v>8400</x:v>
      </x:c>
      <x:c r="H41" s="35" t="n">
        <x:f>SUMIFS('7日销售明细'!$L$5:$L$2244,'7日销售明细'!$B$5:$B$2244,A41,'7日销售明细'!$D$5:$D$2244,C41)</x:f>
        <x:v>8398.4</x:v>
      </x:c>
      <x:c r="I41" s="35" t="n">
        <x:f>H41-G41</x:f>
        <x:v>-1.6000000000003638</x:v>
      </x:c>
      <x:c r="J41" s="35" t="n">
        <x:f>SUMIFS('7日销售明细'!$L$5:$L$2244,'7日销售明细'!$B$5:$B$2244,A41,'7日销售明细'!$D$5:$D$2244,C41,'7日销售明细'!$F$5:$F$2244,"堂食")</x:f>
        <x:v>7560.5</x:v>
      </x:c>
      <x:c r="K41" s="35" t="n">
        <x:f>SUMIFS('7日销售明细'!$L$5:$L$2244,'7日销售明细'!$B$5:$B$2244,A41,'7日销售明细'!$D$5:$D$2244,C41,'7日销售明细'!$F$5:$F$2244,"外卖")</x:f>
        <x:v>837.9</x:v>
      </x:c>
      <x:c r="L41" s="21" t="n">
        <x:f>IFERROR(K41/H41,0)</x:f>
        <x:v>0.09976900361973709</x:v>
      </x:c>
      <x:c r="M41" s="35" t="n">
        <x:f>SUMIFS('7日销售明细'!$T$5:$T$2244,'7日销售明细'!$B$5:$B$2244,A41,'7日销售明细'!$D$5:$D$2244,C41)</x:f>
        <x:v>2900.9832000000006</x:v>
      </x:c>
      <x:c r="N41" s="35" t="n">
        <x:f>SUMIFS('7日销售明细'!$P$5:$P$2244,'7日销售明细'!$B$5:$B$2244,A41,'7日销售明细'!$D$5:$D$2244,C41)</x:f>
        <x:v>150.822</x:v>
      </x:c>
      <x:c r="O41" s="35" t="n">
        <x:f>SUMIFS('7日销售明细'!$N$5:$N$2244,'7日销售明细'!$B$5:$B$2244,A41,'7日销售明细'!$D$5:$D$2244,C41)</x:f>
        <x:v>67.032</x:v>
      </x:c>
      <x:c r="P41" s="35" t="n">
        <x:f>SUMIFS('7日销售明细'!$U$5:$U$2244,'7日销售明细'!$B$5:$B$2244,A41,'7日销售明细'!$D$5:$D$2244,C41)</x:f>
        <x:v>5242.3628</x:v>
      </x:c>
      <x:c r="Q41" s="21" t="n">
        <x:f>IFERROR(P41/H41,0)</x:f>
        <x:v>0.624209706610783</x:v>
      </x:c>
      <x:c r="R41" s="20" t="n">
        <x:f>SUMIFS('7日销售明细'!$K$5:$K$2244,'7日销售明细'!$B$5:$B$2244,A41,'7日销售明细'!$D$5:$D$2244,C41)</x:f>
        <x:v>347</x:v>
      </x:c>
      <x:c r="S41" s="20" t="n">
        <x:f>H41/'封面与口径'!$I$11</x:f>
        <x:v>262.45</x:v>
      </x:c>
      <x:c r="T41" s="22" t="n">
        <x:f>IFERROR(H41/S41,0)</x:f>
        <x:v>32</x:v>
      </x:c>
    </x:row>
    <x:row r="42">
      <x:c r="A42" s="34" t="n">
        <x:v>46212.5</x:v>
      </x:c>
      <x:c r="B42" s="19" t="str">
        <x:v>周四</x:v>
      </x:c>
      <x:c r="C42" s="19" t="str">
        <x:v>S06</x:v>
      </x:c>
      <x:c r="D42" s="19" t="str">
        <x:v>蓝钻天城店</x:v>
      </x:c>
      <x:c r="E42" s="35" t="n">
        <x:f>XLOOKUP(C42,'门店与角色'!$A$5:$A$12,'门店与角色'!$D$5:$D$12,0)</x:f>
        <x:v>240000</x:v>
      </x:c>
      <x:c r="F42" s="35" t="n">
        <x:f>XLOOKUP(B42,'封面与口径'!$N$14:$N$20,'封面与口径'!$O$14:$O$20,1)</x:f>
        <x:v>1.03</x:v>
      </x:c>
      <x:c r="G42" s="35" t="n">
        <x:f>E42/30*F42</x:f>
        <x:v>8240</x:v>
      </x:c>
      <x:c r="H42" s="35" t="n">
        <x:f>SUMIFS('7日销售明细'!$L$5:$L$2244,'7日销售明细'!$B$5:$B$2244,A42,'7日销售明细'!$D$5:$D$2244,C42)</x:f>
        <x:v>8235.2</x:v>
      </x:c>
      <x:c r="I42" s="35" t="n">
        <x:f>H42-G42</x:f>
        <x:v>-4.799999999999272</x:v>
      </x:c>
      <x:c r="J42" s="35" t="n">
        <x:f>SUMIFS('7日销售明细'!$L$5:$L$2244,'7日销售明细'!$B$5:$B$2244,A42,'7日销售明细'!$D$5:$D$2244,C42,'7日销售明细'!$F$5:$F$2244,"堂食")</x:f>
        <x:v>7409.1</x:v>
      </x:c>
      <x:c r="K42" s="35" t="n">
        <x:f>SUMIFS('7日销售明细'!$L$5:$L$2244,'7日销售明细'!$B$5:$B$2244,A42,'7日销售明细'!$D$5:$D$2244,C42,'7日销售明细'!$F$5:$F$2244,"外卖")</x:f>
        <x:v>826.1</x:v>
      </x:c>
      <x:c r="L42" s="21" t="n">
        <x:f>IFERROR(K42/H42,0)</x:f>
        <x:v>0.10031328929473479</x:v>
      </x:c>
      <x:c r="M42" s="35" t="n">
        <x:f>SUMIFS('7日销售明细'!$T$5:$T$2244,'7日销售明细'!$B$5:$B$2244,A42,'7日销售明细'!$D$5:$D$2244,C42)</x:f>
        <x:v>2849.8443999999995</x:v>
      </x:c>
      <x:c r="N42" s="35" t="n">
        <x:f>SUMIFS('7日销售明细'!$P$5:$P$2244,'7日销售明细'!$B$5:$B$2244,A42,'7日销售明细'!$D$5:$D$2244,C42)</x:f>
        <x:v>148.698</x:v>
      </x:c>
      <x:c r="O42" s="35" t="n">
        <x:f>SUMIFS('7日销售明细'!$N$5:$N$2244,'7日销售明细'!$B$5:$B$2244,A42,'7日销售明细'!$D$5:$D$2244,C42)</x:f>
        <x:v>66.088</x:v>
      </x:c>
      <x:c r="P42" s="35" t="n">
        <x:f>SUMIFS('7日销售明细'!$U$5:$U$2244,'7日销售明细'!$B$5:$B$2244,A42,'7日销售明细'!$D$5:$D$2244,C42)</x:f>
        <x:v>5135.7696000000005</x:v>
      </x:c>
      <x:c r="Q42" s="21" t="n">
        <x:f>IFERROR(P42/H42,0)</x:f>
        <x:v>0.6236362929862056</x:v>
      </x:c>
      <x:c r="R42" s="20" t="n">
        <x:f>SUMIFS('7日销售明细'!$K$5:$K$2244,'7日销售明细'!$B$5:$B$2244,A42,'7日销售明细'!$D$5:$D$2244,C42)</x:f>
        <x:v>343</x:v>
      </x:c>
      <x:c r="S42" s="20" t="n">
        <x:f>H42/'封面与口径'!$I$11</x:f>
        <x:v>257.35</x:v>
      </x:c>
      <x:c r="T42" s="22" t="n">
        <x:f>IFERROR(H42/S42,0)</x:f>
        <x:v>32</x:v>
      </x:c>
    </x:row>
    <x:row r="43">
      <x:c r="A43" s="34" t="n">
        <x:v>46213.5</x:v>
      </x:c>
      <x:c r="B43" s="19" t="str">
        <x:v>周五</x:v>
      </x:c>
      <x:c r="C43" s="19" t="str">
        <x:v>S06</x:v>
      </x:c>
      <x:c r="D43" s="19" t="str">
        <x:v>蓝钻天城店</x:v>
      </x:c>
      <x:c r="E43" s="35" t="n">
        <x:f>XLOOKUP(C43,'门店与角色'!$A$5:$A$12,'门店与角色'!$D$5:$D$12,0)</x:f>
        <x:v>240000</x:v>
      </x:c>
      <x:c r="F43" s="35" t="n">
        <x:f>XLOOKUP(B43,'封面与口径'!$N$14:$N$20,'封面与口径'!$O$14:$O$20,1)</x:f>
        <x:v>1.07</x:v>
      </x:c>
      <x:c r="G43" s="35" t="n">
        <x:f>E43/30*F43</x:f>
        <x:v>8560</x:v>
      </x:c>
      <x:c r="H43" s="35" t="n">
        <x:f>SUMIFS('7日销售明细'!$L$5:$L$2244,'7日销售明细'!$B$5:$B$2244,A43,'7日销售明细'!$D$5:$D$2244,C43)</x:f>
        <x:v>8565.800000000001</x:v>
      </x:c>
      <x:c r="I43" s="35" t="n">
        <x:f>H43-G43</x:f>
        <x:v>5.800000000001091</x:v>
      </x:c>
      <x:c r="J43" s="35" t="n">
        <x:f>SUMIFS('7日销售明细'!$L$5:$L$2244,'7日销售明细'!$B$5:$B$2244,A43,'7日销售明细'!$D$5:$D$2244,C43,'7日销售明细'!$F$5:$F$2244,"堂食")</x:f>
        <x:v>7708.7</x:v>
      </x:c>
      <x:c r="K43" s="35" t="n">
        <x:f>SUMIFS('7日销售明细'!$L$5:$L$2244,'7日销售明细'!$B$5:$B$2244,A43,'7日销售明细'!$D$5:$D$2244,C43,'7日销售明细'!$F$5:$F$2244,"外卖")</x:f>
        <x:v>857.1</x:v>
      </x:c>
      <x:c r="L43" s="21" t="n">
        <x:f>IFERROR(K43/H43,0)</x:f>
        <x:v>0.10006070653062177</x:v>
      </x:c>
      <x:c r="M43" s="35" t="n">
        <x:f>SUMIFS('7日销售明细'!$T$5:$T$2244,'7日销售明细'!$B$5:$B$2244,A43,'7日销售明细'!$D$5:$D$2244,C43)</x:f>
        <x:v>2971.8514</x:v>
      </x:c>
      <x:c r="N43" s="35" t="n">
        <x:f>SUMIFS('7日销售明细'!$P$5:$P$2244,'7日销售明细'!$B$5:$B$2244,A43,'7日销售明细'!$D$5:$D$2244,C43)</x:f>
        <x:v>154.27800000000002</x:v>
      </x:c>
      <x:c r="O43" s="35" t="n">
        <x:f>SUMIFS('7日销售明细'!$N$5:$N$2244,'7日销售明细'!$B$5:$B$2244,A43,'7日销售明细'!$D$5:$D$2244,C43)</x:f>
        <x:v>68.568</x:v>
      </x:c>
      <x:c r="P43" s="35" t="n">
        <x:f>SUMIFS('7日销售明细'!$U$5:$U$2244,'7日销售明细'!$B$5:$B$2244,A43,'7日销售明细'!$D$5:$D$2244,C43)</x:f>
        <x:v>5335.102599999999</x:v>
      </x:c>
      <x:c r="Q43" s="21" t="n">
        <x:f>IFERROR(P43/H43,0)</x:f>
        <x:v>0.6228376333792522</x:v>
      </x:c>
      <x:c r="R43" s="20" t="n">
        <x:f>SUMIFS('7日销售明细'!$K$5:$K$2244,'7日销售明细'!$B$5:$B$2244,A43,'7日销售明细'!$D$5:$D$2244,C43)</x:f>
        <x:v>357</x:v>
      </x:c>
      <x:c r="S43" s="20" t="n">
        <x:f>H43/'封面与口径'!$I$11</x:f>
        <x:v>267.68125000000003</x:v>
      </x:c>
      <x:c r="T43" s="22" t="n">
        <x:f>IFERROR(H43/S43,0)</x:f>
        <x:v>32</x:v>
      </x:c>
    </x:row>
    <x:row r="44">
      <x:c r="A44" s="34" t="n">
        <x:v>46214.5</x:v>
      </x:c>
      <x:c r="B44" s="19" t="str">
        <x:v>周六</x:v>
      </x:c>
      <x:c r="C44" s="19" t="str">
        <x:v>S06</x:v>
      </x:c>
      <x:c r="D44" s="19" t="str">
        <x:v>蓝钻天城店</x:v>
      </x:c>
      <x:c r="E44" s="35" t="n">
        <x:f>XLOOKUP(C44,'门店与角色'!$A$5:$A$12,'门店与角色'!$D$5:$D$12,0)</x:f>
        <x:v>240000</x:v>
      </x:c>
      <x:c r="F44" s="35" t="n">
        <x:f>XLOOKUP(B44,'封面与口径'!$N$14:$N$20,'封面与口径'!$O$14:$O$20,1)</x:f>
        <x:v>0.82</x:v>
      </x:c>
      <x:c r="G44" s="35" t="n">
        <x:f>E44/30*F44</x:f>
        <x:v>6560</x:v>
      </x:c>
      <x:c r="H44" s="35" t="n">
        <x:f>SUMIFS('7日销售明细'!$L$5:$L$2244,'7日销售明细'!$B$5:$B$2244,A44,'7日销售明细'!$D$5:$D$2244,C44)</x:f>
        <x:v>6559.5</x:v>
      </x:c>
      <x:c r="I44" s="35" t="n">
        <x:f>H44-G44</x:f>
        <x:v>-0.5</x:v>
      </x:c>
      <x:c r="J44" s="35" t="n">
        <x:f>SUMIFS('7日销售明细'!$L$5:$L$2244,'7日销售明细'!$B$5:$B$2244,A44,'7日销售明细'!$D$5:$D$2244,C44,'7日销售明细'!$F$5:$F$2244,"堂食")</x:f>
        <x:v>5903.3</x:v>
      </x:c>
      <x:c r="K44" s="35" t="n">
        <x:f>SUMIFS('7日销售明细'!$L$5:$L$2244,'7日销售明细'!$B$5:$B$2244,A44,'7日销售明细'!$D$5:$D$2244,C44,'7日销售明细'!$F$5:$F$2244,"外卖")</x:f>
        <x:v>656.1999999999999</x:v>
      </x:c>
      <x:c r="L44" s="21" t="n">
        <x:f>IFERROR(K44/H44,0)</x:f>
        <x:v>0.10003811266102598</x:v>
      </x:c>
      <x:c r="M44" s="35" t="n">
        <x:f>SUMIFS('7日销售明细'!$T$5:$T$2244,'7日销售明细'!$B$5:$B$2244,A44,'7日销售明细'!$D$5:$D$2244,C44)</x:f>
        <x:v>2267.8462</x:v>
      </x:c>
      <x:c r="N44" s="35" t="n">
        <x:f>SUMIFS('7日销售明细'!$P$5:$P$2244,'7日销售明细'!$B$5:$B$2244,A44,'7日销售明细'!$D$5:$D$2244,C44)</x:f>
        <x:v>118.11599999999999</x:v>
      </x:c>
      <x:c r="O44" s="35" t="n">
        <x:f>SUMIFS('7日销售明细'!$N$5:$N$2244,'7日销售明细'!$B$5:$B$2244,A44,'7日销售明细'!$D$5:$D$2244,C44)</x:f>
        <x:v>52.49599999999999</x:v>
      </x:c>
      <x:c r="P44" s="35" t="n">
        <x:f>SUMIFS('7日销售明细'!$U$5:$U$2244,'7日销售明细'!$B$5:$B$2244,A44,'7日销售明细'!$D$5:$D$2244,C44)</x:f>
        <x:v>4091.041799999999</x:v>
      </x:c>
      <x:c r="Q44" s="21" t="n">
        <x:f>IFERROR(P44/H44,0)</x:f>
        <x:v>0.6236819574662702</x:v>
      </x:c>
      <x:c r="R44" s="20" t="n">
        <x:f>SUMIFS('7日销售明细'!$K$5:$K$2244,'7日销售明细'!$B$5:$B$2244,A44,'7日销售明细'!$D$5:$D$2244,C44)</x:f>
        <x:v>274</x:v>
      </x:c>
      <x:c r="S44" s="20" t="n">
        <x:f>H44/'封面与口径'!$I$11</x:f>
        <x:v>204.984375</x:v>
      </x:c>
      <x:c r="T44" s="22" t="n">
        <x:f>IFERROR(H44/S44,0)</x:f>
        <x:v>32</x:v>
      </x:c>
    </x:row>
    <x:row r="45">
      <x:c r="A45" s="34" t="n">
        <x:v>46215.5</x:v>
      </x:c>
      <x:c r="B45" s="19" t="str">
        <x:v>周日</x:v>
      </x:c>
      <x:c r="C45" s="19" t="str">
        <x:v>S06</x:v>
      </x:c>
      <x:c r="D45" s="19" t="str">
        <x:v>蓝钻天城店</x:v>
      </x:c>
      <x:c r="E45" s="35" t="n">
        <x:f>XLOOKUP(C45,'门店与角色'!$A$5:$A$12,'门店与角色'!$D$5:$D$12,0)</x:f>
        <x:v>240000</x:v>
      </x:c>
      <x:c r="F45" s="35" t="n">
        <x:f>XLOOKUP(B45,'封面与口径'!$N$14:$N$20,'封面与口径'!$O$14:$O$20,1)</x:f>
        <x:v>0.8</x:v>
      </x:c>
      <x:c r="G45" s="35" t="n">
        <x:f>E45/30*F45</x:f>
        <x:v>6400</x:v>
      </x:c>
      <x:c r="H45" s="35" t="n">
        <x:f>SUMIFS('7日销售明细'!$L$5:$L$2244,'7日销售明细'!$B$5:$B$2244,A45,'7日销售明细'!$D$5:$D$2244,C45)</x:f>
        <x:v>6398.199999999999</x:v>
      </x:c>
      <x:c r="I45" s="35" t="n">
        <x:f>H45-G45</x:f>
        <x:v>-1.8000000000010914</x:v>
      </x:c>
      <x:c r="J45" s="35" t="n">
        <x:f>SUMIFS('7日销售明细'!$L$5:$L$2244,'7日销售明细'!$B$5:$B$2244,A45,'7日销售明细'!$D$5:$D$2244,C45,'7日销售明细'!$F$5:$F$2244,"堂食")</x:f>
        <x:v>5759.799999999999</x:v>
      </x:c>
      <x:c r="K45" s="35" t="n">
        <x:f>SUMIFS('7日销售明细'!$L$5:$L$2244,'7日销售明细'!$B$5:$B$2244,A45,'7日销售明细'!$D$5:$D$2244,C45,'7日销售明细'!$F$5:$F$2244,"外卖")</x:f>
        <x:v>638.4</x:v>
      </x:c>
      <x:c r="L45" s="21" t="n">
        <x:f>IFERROR(K45/H45,0)</x:f>
        <x:v>0.09977806258010066</x:v>
      </x:c>
      <x:c r="M45" s="35" t="n">
        <x:f>SUMIFS('7日销售明细'!$T$5:$T$2244,'7日销售明细'!$B$5:$B$2244,A45,'7日销售明细'!$D$5:$D$2244,C45)</x:f>
        <x:v>2205.935600000001</x:v>
      </x:c>
      <x:c r="N45" s="35" t="n">
        <x:f>SUMIFS('7日销售明细'!$P$5:$P$2244,'7日销售明细'!$B$5:$B$2244,A45,'7日销售明细'!$D$5:$D$2244,C45)</x:f>
        <x:v>114.91199999999999</x:v>
      </x:c>
      <x:c r="O45" s="35" t="n">
        <x:f>SUMIFS('7日销售明细'!$N$5:$N$2244,'7日销售明细'!$B$5:$B$2244,A45,'7日销售明细'!$D$5:$D$2244,C45)</x:f>
        <x:v>51.071999999999996</x:v>
      </x:c>
      <x:c r="P45" s="35" t="n">
        <x:f>SUMIFS('7日销售明细'!$U$5:$U$2244,'7日销售明细'!$B$5:$B$2244,A45,'7日销售明细'!$D$5:$D$2244,C45)</x:f>
        <x:v>3999.8803999999986</x:v>
      </x:c>
      <x:c r="Q45" s="21" t="n">
        <x:f>IFERROR(P45/H45,0)</x:f>
        <x:v>0.6251571379450469</x:v>
      </x:c>
      <x:c r="R45" s="20" t="n">
        <x:f>SUMIFS('7日销售明细'!$K$5:$K$2244,'7日销售明细'!$B$5:$B$2244,A45,'7日销售明细'!$D$5:$D$2244,C45)</x:f>
        <x:v>262</x:v>
      </x:c>
      <x:c r="S45" s="20" t="n">
        <x:f>H45/'封面与口径'!$I$11</x:f>
        <x:v>199.94374999999997</x:v>
      </x:c>
      <x:c r="T45" s="22" t="n">
        <x:f>IFERROR(H45/S45,0)</x:f>
        <x:v>32</x:v>
      </x:c>
    </x:row>
    <x:row r="46">
      <x:c r="A46" s="34" t="n">
        <x:v>46216.5</x:v>
      </x:c>
      <x:c r="B46" s="19" t="str">
        <x:v>周一</x:v>
      </x:c>
      <x:c r="C46" s="19" t="str">
        <x:v>S06</x:v>
      </x:c>
      <x:c r="D46" s="19" t="str">
        <x:v>蓝钻天城店</x:v>
      </x:c>
      <x:c r="E46" s="35" t="n">
        <x:f>XLOOKUP(C46,'门店与角色'!$A$5:$A$12,'门店与角色'!$D$5:$D$12,0)</x:f>
        <x:v>240000</x:v>
      </x:c>
      <x:c r="F46" s="35" t="n">
        <x:f>XLOOKUP(B46,'封面与口径'!$N$14:$N$20,'封面与口径'!$O$14:$O$20,1)</x:f>
        <x:v>1.15</x:v>
      </x:c>
      <x:c r="G46" s="35" t="n">
        <x:f>E46/30*F46</x:f>
        <x:v>9200</x:v>
      </x:c>
      <x:c r="H46" s="35" t="n">
        <x:f>SUMIFS('7日销售明细'!$L$5:$L$2244,'7日销售明细'!$B$5:$B$2244,A46,'7日销售明细'!$D$5:$D$2244,C46)</x:f>
        <x:v>9197.9</x:v>
      </x:c>
      <x:c r="I46" s="35" t="n">
        <x:f>H46-G46</x:f>
        <x:v>-2.100000000000364</x:v>
      </x:c>
      <x:c r="J46" s="35" t="n">
        <x:f>SUMIFS('7日销售明细'!$L$5:$L$2244,'7日销售明细'!$B$5:$B$2244,A46,'7日销售明细'!$D$5:$D$2244,C46,'7日销售明细'!$F$5:$F$2244,"堂食")</x:f>
        <x:v>8282</x:v>
      </x:c>
      <x:c r="K46" s="35" t="n">
        <x:f>SUMIFS('7日销售明细'!$L$5:$L$2244,'7日销售明细'!$B$5:$B$2244,A46,'7日销售明细'!$D$5:$D$2244,C46,'7日销售明细'!$F$5:$F$2244,"外卖")</x:f>
        <x:v>915.9</x:v>
      </x:c>
      <x:c r="L46" s="21" t="n">
        <x:f>IFERROR(K46/H46,0)</x:f>
        <x:v>0.09957707737635765</x:v>
      </x:c>
      <x:c r="M46" s="35" t="n">
        <x:f>SUMIFS('7日销售明细'!$T$5:$T$2244,'7日销售明细'!$B$5:$B$2244,A46,'7日销售明细'!$D$5:$D$2244,C46)</x:f>
        <x:v>3173.2183999999997</x:v>
      </x:c>
      <x:c r="N46" s="35" t="n">
        <x:f>SUMIFS('7日销售明细'!$P$5:$P$2244,'7日销售明细'!$B$5:$B$2244,A46,'7日销售明细'!$D$5:$D$2244,C46)</x:f>
        <x:v>164.86200000000002</x:v>
      </x:c>
      <x:c r="O46" s="35" t="n">
        <x:f>SUMIFS('7日销售明细'!$N$5:$N$2244,'7日销售明细'!$B$5:$B$2244,A46,'7日销售明细'!$D$5:$D$2244,C46)</x:f>
        <x:v>73.27199999999999</x:v>
      </x:c>
      <x:c r="P46" s="35" t="n">
        <x:f>SUMIFS('7日销售明细'!$U$5:$U$2244,'7日销售明细'!$B$5:$B$2244,A46,'7日销售明细'!$D$5:$D$2244,C46)</x:f>
        <x:v>5745.7476</x:v>
      </x:c>
      <x:c r="Q46" s="21" t="n">
        <x:f>IFERROR(P46/H46,0)</x:f>
        <x:v>0.6246803726937671</x:v>
      </x:c>
      <x:c r="R46" s="20" t="n">
        <x:f>SUMIFS('7日销售明细'!$K$5:$K$2244,'7日销售明细'!$B$5:$B$2244,A46,'7日销售明细'!$D$5:$D$2244,C46)</x:f>
        <x:v>378</x:v>
      </x:c>
      <x:c r="S46" s="20" t="n">
        <x:f>H46/'封面与口径'!$I$11</x:f>
        <x:v>287.434375</x:v>
      </x:c>
      <x:c r="T46" s="22" t="n">
        <x:f>IFERROR(H46/S46,0)</x:f>
        <x:v>32</x:v>
      </x:c>
    </x:row>
    <x:row r="47">
      <x:c r="A47" s="34" t="n">
        <x:v>46210.5</x:v>
      </x:c>
      <x:c r="B47" s="19" t="str">
        <x:v>周二</x:v>
      </x:c>
      <x:c r="C47" s="19" t="str">
        <x:v>S07</x:v>
      </x:c>
      <x:c r="D47" s="19" t="str">
        <x:v>小和山店</x:v>
      </x:c>
      <x:c r="E47" s="35" t="n">
        <x:f>XLOOKUP(C47,'门店与角色'!$A$5:$A$12,'门店与角色'!$D$5:$D$12,0)</x:f>
        <x:v>230000</x:v>
      </x:c>
      <x:c r="F47" s="35" t="n">
        <x:f>XLOOKUP(B47,'封面与口径'!$N$14:$N$20,'封面与口径'!$O$14:$O$20,1)</x:f>
        <x:v>1.08</x:v>
      </x:c>
      <x:c r="G47" s="35" t="n">
        <x:f>E47/30*F47</x:f>
        <x:v>8280</x:v>
      </x:c>
      <x:c r="H47" s="35" t="n">
        <x:f>SUMIFS('7日销售明细'!$L$5:$L$2244,'7日销售明细'!$B$5:$B$2244,A47,'7日销售明细'!$D$5:$D$2244,C47)</x:f>
        <x:v>8282.3</x:v>
      </x:c>
      <x:c r="I47" s="35" t="n">
        <x:f>H47-G47</x:f>
        <x:v>2.2999999999992724</x:v>
      </x:c>
      <x:c r="J47" s="35" t="n">
        <x:f>SUMIFS('7日销售明细'!$L$5:$L$2244,'7日销售明细'!$B$5:$B$2244,A47,'7日销售明细'!$D$5:$D$2244,C47,'7日销售明细'!$F$5:$F$2244,"堂食")</x:f>
        <x:v>7454.299999999999</x:v>
      </x:c>
      <x:c r="K47" s="35" t="n">
        <x:f>SUMIFS('7日销售明细'!$L$5:$L$2244,'7日销售明细'!$B$5:$B$2244,A47,'7日销售明细'!$D$5:$D$2244,C47,'7日销售明细'!$F$5:$F$2244,"外卖")</x:f>
        <x:v>828</x:v>
      </x:c>
      <x:c r="L47" s="21" t="n">
        <x:f>IFERROR(K47/H47,0)</x:f>
        <x:v>0.09997222993612886</x:v>
      </x:c>
      <x:c r="M47" s="35" t="n">
        <x:f>SUMIFS('7日销售明细'!$T$5:$T$2244,'7日销售明细'!$B$5:$B$2244,A47,'7日销售明细'!$D$5:$D$2244,C47)</x:f>
        <x:v>2867.2716000000005</x:v>
      </x:c>
      <x:c r="N47" s="35" t="n">
        <x:f>SUMIFS('7日销售明细'!$P$5:$P$2244,'7日销售明细'!$B$5:$B$2244,A47,'7日销售明细'!$D$5:$D$2244,C47)</x:f>
        <x:v>149.04000000000002</x:v>
      </x:c>
      <x:c r="O47" s="35" t="n">
        <x:f>SUMIFS('7日销售明细'!$N$5:$N$2244,'7日销售明细'!$B$5:$B$2244,A47,'7日销售明细'!$D$5:$D$2244,C47)</x:f>
        <x:v>66.24</x:v>
      </x:c>
      <x:c r="P47" s="35" t="n">
        <x:f>SUMIFS('7日销售明细'!$U$5:$U$2244,'7日销售明细'!$B$5:$B$2244,A47,'7日销售明细'!$D$5:$D$2244,C47)</x:f>
        <x:v>5163.748400000001</x:v>
      </x:c>
      <x:c r="Q47" s="21" t="n">
        <x:f>IFERROR(P47/H47,0)</x:f>
        <x:v>0.623467925576229</x:v>
      </x:c>
      <x:c r="R47" s="20" t="n">
        <x:f>SUMIFS('7日销售明细'!$K$5:$K$2244,'7日销售明细'!$B$5:$B$2244,A47,'7日销售明细'!$D$5:$D$2244,C47)</x:f>
        <x:v>343</x:v>
      </x:c>
      <x:c r="S47" s="20" t="n">
        <x:f>H47/'封面与口径'!$I$11</x:f>
        <x:v>258.821875</x:v>
      </x:c>
      <x:c r="T47" s="22" t="n">
        <x:f>IFERROR(H47/S47,0)</x:f>
        <x:v>32</x:v>
      </x:c>
    </x:row>
    <x:row r="48">
      <x:c r="A48" s="34" t="n">
        <x:v>46211.5</x:v>
      </x:c>
      <x:c r="B48" s="19" t="str">
        <x:v>周三</x:v>
      </x:c>
      <x:c r="C48" s="19" t="str">
        <x:v>S07</x:v>
      </x:c>
      <x:c r="D48" s="19" t="str">
        <x:v>小和山店</x:v>
      </x:c>
      <x:c r="E48" s="35" t="n">
        <x:f>XLOOKUP(C48,'门店与角色'!$A$5:$A$12,'门店与角色'!$D$5:$D$12,0)</x:f>
        <x:v>230000</x:v>
      </x:c>
      <x:c r="F48" s="35" t="n">
        <x:f>XLOOKUP(B48,'封面与口径'!$N$14:$N$20,'封面与口径'!$O$14:$O$20,1)</x:f>
        <x:v>1.05</x:v>
      </x:c>
      <x:c r="G48" s="35" t="n">
        <x:f>E48/30*F48</x:f>
        <x:v>8050.000000000001</x:v>
      </x:c>
      <x:c r="H48" s="35" t="n">
        <x:f>SUMIFS('7日销售明细'!$L$5:$L$2244,'7日销售明细'!$B$5:$B$2244,A48,'7日销售明细'!$D$5:$D$2244,C48)</x:f>
        <x:v>8044.999999999999</x:v>
      </x:c>
      <x:c r="I48" s="35" t="n">
        <x:f>H48-G48</x:f>
        <x:v>-5.000000000001819</x:v>
      </x:c>
      <x:c r="J48" s="35" t="n">
        <x:f>SUMIFS('7日销售明细'!$L$5:$L$2244,'7日销售明细'!$B$5:$B$2244,A48,'7日销售明细'!$D$5:$D$2244,C48,'7日销售明细'!$F$5:$F$2244,"堂食")</x:f>
        <x:v>7241.799999999999</x:v>
      </x:c>
      <x:c r="K48" s="35" t="n">
        <x:f>SUMIFS('7日销售明细'!$L$5:$L$2244,'7日销售明细'!$B$5:$B$2244,A48,'7日销售明细'!$D$5:$D$2244,C48,'7日销售明细'!$F$5:$F$2244,"外卖")</x:f>
        <x:v>803.2</x:v>
      </x:c>
      <x:c r="L48" s="21" t="n">
        <x:f>IFERROR(K48/H48,0)</x:f>
        <x:v>0.09983840894965819</x:v>
      </x:c>
      <x:c r="M48" s="35" t="n">
        <x:f>SUMIFS('7日销售明细'!$T$5:$T$2244,'7日销售明细'!$B$5:$B$2244,A48,'7日销售明细'!$D$5:$D$2244,C48)</x:f>
        <x:v>2784.4364</x:v>
      </x:c>
      <x:c r="N48" s="35" t="n">
        <x:f>SUMIFS('7日销售明细'!$P$5:$P$2244,'7日销售明细'!$B$5:$B$2244,A48,'7日销售明细'!$D$5:$D$2244,C48)</x:f>
        <x:v>144.57600000000002</x:v>
      </x:c>
      <x:c r="O48" s="35" t="n">
        <x:f>SUMIFS('7日销售明细'!$N$5:$N$2244,'7日销售明细'!$B$5:$B$2244,A48,'7日销售明细'!$D$5:$D$2244,C48)</x:f>
        <x:v>64.256</x:v>
      </x:c>
      <x:c r="P48" s="35" t="n">
        <x:f>SUMIFS('7日销售明细'!$U$5:$U$2244,'7日销售明细'!$B$5:$B$2244,A48,'7日销售明细'!$D$5:$D$2244,C48)</x:f>
        <x:v>5018.1316000000015</x:v>
      </x:c>
      <x:c r="Q48" s="21" t="n">
        <x:f>IFERROR(P48/H48,0)</x:f>
        <x:v>0.6237578123057802</x:v>
      </x:c>
      <x:c r="R48" s="20" t="n">
        <x:f>SUMIFS('7日销售明细'!$K$5:$K$2244,'7日销售明细'!$B$5:$B$2244,A48,'7日销售明细'!$D$5:$D$2244,C48)</x:f>
        <x:v>331</x:v>
      </x:c>
      <x:c r="S48" s="20" t="n">
        <x:f>H48/'封面与口径'!$I$11</x:f>
        <x:v>251.40624999999997</x:v>
      </x:c>
      <x:c r="T48" s="22" t="n">
        <x:f>IFERROR(H48/S48,0)</x:f>
        <x:v>32</x:v>
      </x:c>
    </x:row>
    <x:row r="49">
      <x:c r="A49" s="34" t="n">
        <x:v>46212.5</x:v>
      </x:c>
      <x:c r="B49" s="19" t="str">
        <x:v>周四</x:v>
      </x:c>
      <x:c r="C49" s="19" t="str">
        <x:v>S07</x:v>
      </x:c>
      <x:c r="D49" s="19" t="str">
        <x:v>小和山店</x:v>
      </x:c>
      <x:c r="E49" s="35" t="n">
        <x:f>XLOOKUP(C49,'门店与角色'!$A$5:$A$12,'门店与角色'!$D$5:$D$12,0)</x:f>
        <x:v>230000</x:v>
      </x:c>
      <x:c r="F49" s="35" t="n">
        <x:f>XLOOKUP(B49,'封面与口径'!$N$14:$N$20,'封面与口径'!$O$14:$O$20,1)</x:f>
        <x:v>1.03</x:v>
      </x:c>
      <x:c r="G49" s="35" t="n">
        <x:f>E49/30*F49</x:f>
        <x:v>7896.666666666667</x:v>
      </x:c>
      <x:c r="H49" s="35" t="n">
        <x:f>SUMIFS('7日销售明细'!$L$5:$L$2244,'7日销售明细'!$B$5:$B$2244,A49,'7日销售明细'!$D$5:$D$2244,C49)</x:f>
        <x:v>7894.7</x:v>
      </x:c>
      <x:c r="I49" s="35" t="n">
        <x:f>H49-G49</x:f>
        <x:v>-1.9666666666671517</x:v>
      </x:c>
      <x:c r="J49" s="35" t="n">
        <x:f>SUMIFS('7日销售明细'!$L$5:$L$2244,'7日销售明细'!$B$5:$B$2244,A49,'7日销售明细'!$D$5:$D$2244,C49,'7日销售明细'!$F$5:$F$2244,"堂食")</x:f>
        <x:v>7104.5</x:v>
      </x:c>
      <x:c r="K49" s="35" t="n">
        <x:f>SUMIFS('7日销售明细'!$L$5:$L$2244,'7日销售明细'!$B$5:$B$2244,A49,'7日销售明细'!$D$5:$D$2244,C49,'7日销售明细'!$F$5:$F$2244,"外卖")</x:f>
        <x:v>790.2</x:v>
      </x:c>
      <x:c r="L49" s="21" t="n">
        <x:f>IFERROR(K49/H49,0)</x:f>
        <x:v>0.1000924670981798</x:v>
      </x:c>
      <x:c r="M49" s="35" t="n">
        <x:f>SUMIFS('7日销售明细'!$T$5:$T$2244,'7日销售明细'!$B$5:$B$2244,A49,'7日销售明细'!$D$5:$D$2244,C49)</x:f>
        <x:v>2734.7105999999994</x:v>
      </x:c>
      <x:c r="N49" s="35" t="n">
        <x:f>SUMIFS('7日销售明细'!$P$5:$P$2244,'7日销售明细'!$B$5:$B$2244,A49,'7日销售明细'!$D$5:$D$2244,C49)</x:f>
        <x:v>142.236</x:v>
      </x:c>
      <x:c r="O49" s="35" t="n">
        <x:f>SUMIFS('7日销售明细'!$N$5:$N$2244,'7日销售明细'!$B$5:$B$2244,A49,'7日销售明细'!$D$5:$D$2244,C49)</x:f>
        <x:v>63.21599999999999</x:v>
      </x:c>
      <x:c r="P49" s="35" t="n">
        <x:f>SUMIFS('7日销售明细'!$U$5:$U$2244,'7日销售明细'!$B$5:$B$2244,A49,'7日销售明细'!$D$5:$D$2244,C49)</x:f>
        <x:v>4920.937400000002</x:v>
      </x:c>
      <x:c r="Q49" s="21" t="n">
        <x:f>IFERROR(P49/H49,0)</x:f>
        <x:v>0.6233216461676824</x:v>
      </x:c>
      <x:c r="R49" s="20" t="n">
        <x:f>SUMIFS('7日销售明细'!$K$5:$K$2244,'7日销售明细'!$B$5:$B$2244,A49,'7日销售明细'!$D$5:$D$2244,C49)</x:f>
        <x:v>330</x:v>
      </x:c>
      <x:c r="S49" s="20" t="n">
        <x:f>H49/'封面与口径'!$I$11</x:f>
        <x:v>246.709375</x:v>
      </x:c>
      <x:c r="T49" s="22" t="n">
        <x:f>IFERROR(H49/S49,0)</x:f>
        <x:v>32</x:v>
      </x:c>
    </x:row>
    <x:row r="50">
      <x:c r="A50" s="34" t="n">
        <x:v>46213.5</x:v>
      </x:c>
      <x:c r="B50" s="19" t="str">
        <x:v>周五</x:v>
      </x:c>
      <x:c r="C50" s="19" t="str">
        <x:v>S07</x:v>
      </x:c>
      <x:c r="D50" s="19" t="str">
        <x:v>小和山店</x:v>
      </x:c>
      <x:c r="E50" s="35" t="n">
        <x:f>XLOOKUP(C50,'门店与角色'!$A$5:$A$12,'门店与角色'!$D$5:$D$12,0)</x:f>
        <x:v>230000</x:v>
      </x:c>
      <x:c r="F50" s="35" t="n">
        <x:f>XLOOKUP(B50,'封面与口径'!$N$14:$N$20,'封面与口径'!$O$14:$O$20,1)</x:f>
        <x:v>1.07</x:v>
      </x:c>
      <x:c r="G50" s="35" t="n">
        <x:f>E50/30*F50</x:f>
        <x:v>8203.333333333334</x:v>
      </x:c>
      <x:c r="H50" s="35" t="n">
        <x:f>SUMIFS('7日销售明细'!$L$5:$L$2244,'7日销售明细'!$B$5:$B$2244,A50,'7日销售明细'!$D$5:$D$2244,C50)</x:f>
        <x:v>8197.8</x:v>
      </x:c>
      <x:c r="I50" s="35" t="n">
        <x:f>H50-G50</x:f>
        <x:v>-5.533333333334667</x:v>
      </x:c>
      <x:c r="J50" s="35" t="n">
        <x:f>SUMIFS('7日销售明细'!$L$5:$L$2244,'7日销售明细'!$B$5:$B$2244,A50,'7日销售明细'!$D$5:$D$2244,C50,'7日销售明细'!$F$5:$F$2244,"堂食")</x:f>
        <x:v>7384.699999999999</x:v>
      </x:c>
      <x:c r="K50" s="35" t="n">
        <x:f>SUMIFS('7日销售明细'!$L$5:$L$2244,'7日销售明细'!$B$5:$B$2244,A50,'7日销售明细'!$D$5:$D$2244,C50,'7日销售明细'!$F$5:$F$2244,"外卖")</x:f>
        <x:v>813.1</x:v>
      </x:c>
      <x:c r="L50" s="21" t="n">
        <x:f>IFERROR(K50/H50,0)</x:f>
        <x:v>0.09918514723462393</x:v>
      </x:c>
      <x:c r="M50" s="35" t="n">
        <x:f>SUMIFS('7日销售明细'!$T$5:$T$2244,'7日销售明细'!$B$5:$B$2244,A50,'7日销售明细'!$D$5:$D$2244,C50)</x:f>
        <x:v>2829.3275999999996</x:v>
      </x:c>
      <x:c r="N50" s="35" t="n">
        <x:f>SUMIFS('7日销售明细'!$P$5:$P$2244,'7日销售明细'!$B$5:$B$2244,A50,'7日销售明细'!$D$5:$D$2244,C50)</x:f>
        <x:v>146.358</x:v>
      </x:c>
      <x:c r="O50" s="35" t="n">
        <x:f>SUMIFS('7日销售明细'!$N$5:$N$2244,'7日销售明细'!$B$5:$B$2244,A50,'7日销售明细'!$D$5:$D$2244,C50)</x:f>
        <x:v>65.048</x:v>
      </x:c>
      <x:c r="P50" s="35" t="n">
        <x:f>SUMIFS('7日销售明细'!$U$5:$U$2244,'7日销售明细'!$B$5:$B$2244,A50,'7日销售明细'!$D$5:$D$2244,C50)</x:f>
        <x:v>5122.2663999999995</x:v>
      </x:c>
      <x:c r="Q50" s="21" t="n">
        <x:f>IFERROR(P50/H50,0)</x:f>
        <x:v>0.6248342726097246</x:v>
      </x:c>
      <x:c r="R50" s="20" t="n">
        <x:f>SUMIFS('7日销售明细'!$K$5:$K$2244,'7日销售明细'!$B$5:$B$2244,A50,'7日销售明细'!$D$5:$D$2244,C50)</x:f>
        <x:v>337</x:v>
      </x:c>
      <x:c r="S50" s="20" t="n">
        <x:f>H50/'封面与口径'!$I$11</x:f>
        <x:v>256.18125</x:v>
      </x:c>
      <x:c r="T50" s="22" t="n">
        <x:f>IFERROR(H50/S50,0)</x:f>
        <x:v>32</x:v>
      </x:c>
    </x:row>
    <x:row r="51">
      <x:c r="A51" s="34" t="n">
        <x:v>46214.5</x:v>
      </x:c>
      <x:c r="B51" s="19" t="str">
        <x:v>周六</x:v>
      </x:c>
      <x:c r="C51" s="19" t="str">
        <x:v>S07</x:v>
      </x:c>
      <x:c r="D51" s="19" t="str">
        <x:v>小和山店</x:v>
      </x:c>
      <x:c r="E51" s="35" t="n">
        <x:f>XLOOKUP(C51,'门店与角色'!$A$5:$A$12,'门店与角色'!$D$5:$D$12,0)</x:f>
        <x:v>230000</x:v>
      </x:c>
      <x:c r="F51" s="35" t="n">
        <x:f>XLOOKUP(B51,'封面与口径'!$N$14:$N$20,'封面与口径'!$O$14:$O$20,1)</x:f>
        <x:v>0.82</x:v>
      </x:c>
      <x:c r="G51" s="35" t="n">
        <x:f>E51/30*F51</x:f>
        <x:v>6286.666666666667</x:v>
      </x:c>
      <x:c r="H51" s="35" t="n">
        <x:f>SUMIFS('7日销售明细'!$L$5:$L$2244,'7日销售明细'!$B$5:$B$2244,A51,'7日销售明细'!$D$5:$D$2244,C51)</x:f>
        <x:v>6289.299999999999</x:v>
      </x:c>
      <x:c r="I51" s="35" t="n">
        <x:f>H51-G51</x:f>
        <x:v>2.6333333333323026</x:v>
      </x:c>
      <x:c r="J51" s="35" t="n">
        <x:f>SUMIFS('7日销售明细'!$L$5:$L$2244,'7日销售明细'!$B$5:$B$2244,A51,'7日销售明细'!$D$5:$D$2244,C51,'7日销售明细'!$F$5:$F$2244,"堂食")</x:f>
        <x:v>5661.9</x:v>
      </x:c>
      <x:c r="K51" s="35" t="n">
        <x:f>SUMIFS('7日销售明细'!$L$5:$L$2244,'7日销售明细'!$B$5:$B$2244,A51,'7日销售明细'!$D$5:$D$2244,C51,'7日销售明细'!$F$5:$F$2244,"外卖")</x:f>
        <x:v>627.4</x:v>
      </x:c>
      <x:c r="L51" s="21" t="n">
        <x:f>IFERROR(K51/H51,0)</x:f>
        <x:v>0.0997567296837486</x:v>
      </x:c>
      <x:c r="M51" s="35" t="n">
        <x:f>SUMIFS('7日销售明细'!$T$5:$T$2244,'7日销售明细'!$B$5:$B$2244,A51,'7日销售明细'!$D$5:$D$2244,C51)</x:f>
        <x:v>2172.6160000000004</x:v>
      </x:c>
      <x:c r="N51" s="35" t="n">
        <x:f>SUMIFS('7日销售明细'!$P$5:$P$2244,'7日销售明细'!$B$5:$B$2244,A51,'7日销售明细'!$D$5:$D$2244,C51)</x:f>
        <x:v>112.932</x:v>
      </x:c>
      <x:c r="O51" s="35" t="n">
        <x:f>SUMIFS('7日销售明细'!$N$5:$N$2244,'7日销售明细'!$B$5:$B$2244,A51,'7日销售明细'!$D$5:$D$2244,C51)</x:f>
        <x:v>50.192</x:v>
      </x:c>
      <x:c r="P51" s="35" t="n">
        <x:f>SUMIFS('7日销售明细'!$U$5:$U$2244,'7日销售明细'!$B$5:$B$2244,A51,'7日销售明细'!$D$5:$D$2244,C51)</x:f>
        <x:v>3927.159999999999</x:v>
      </x:c>
      <x:c r="Q51" s="21" t="n">
        <x:f>IFERROR(P51/H51,0)</x:f>
        <x:v>0.6244192517450272</x:v>
      </x:c>
      <x:c r="R51" s="20" t="n">
        <x:f>SUMIFS('7日销售明细'!$K$5:$K$2244,'7日销售明细'!$B$5:$B$2244,A51,'7日销售明细'!$D$5:$D$2244,C51)</x:f>
        <x:v>257</x:v>
      </x:c>
      <x:c r="S51" s="20" t="n">
        <x:f>H51/'封面与口径'!$I$11</x:f>
        <x:v>196.54062499999998</x:v>
      </x:c>
      <x:c r="T51" s="22" t="n">
        <x:f>IFERROR(H51/S51,0)</x:f>
        <x:v>32</x:v>
      </x:c>
    </x:row>
    <x:row r="52">
      <x:c r="A52" s="34" t="n">
        <x:v>46215.5</x:v>
      </x:c>
      <x:c r="B52" s="19" t="str">
        <x:v>周日</x:v>
      </x:c>
      <x:c r="C52" s="19" t="str">
        <x:v>S07</x:v>
      </x:c>
      <x:c r="D52" s="19" t="str">
        <x:v>小和山店</x:v>
      </x:c>
      <x:c r="E52" s="35" t="n">
        <x:f>XLOOKUP(C52,'门店与角色'!$A$5:$A$12,'门店与角色'!$D$5:$D$12,0)</x:f>
        <x:v>230000</x:v>
      </x:c>
      <x:c r="F52" s="35" t="n">
        <x:f>XLOOKUP(B52,'封面与口径'!$N$14:$N$20,'封面与口径'!$O$14:$O$20,1)</x:f>
        <x:v>0.8</x:v>
      </x:c>
      <x:c r="G52" s="35" t="n">
        <x:f>E52/30*F52</x:f>
        <x:v>6133.333333333334</x:v>
      </x:c>
      <x:c r="H52" s="35" t="n">
        <x:f>SUMIFS('7日销售明细'!$L$5:$L$2244,'7日销售明细'!$B$5:$B$2244,A52,'7日销售明细'!$D$5:$D$2244,C52)</x:f>
        <x:v>6130.5</x:v>
      </x:c>
      <x:c r="I52" s="35" t="n">
        <x:f>H52-G52</x:f>
        <x:v>-2.8333333333339397</x:v>
      </x:c>
      <x:c r="J52" s="35" t="n">
        <x:f>SUMIFS('7日销售明细'!$L$5:$L$2244,'7日销售明细'!$B$5:$B$2244,A52,'7日销售明细'!$D$5:$D$2244,C52,'7日销售明细'!$F$5:$F$2244,"堂食")</x:f>
        <x:v>5521.1</x:v>
      </x:c>
      <x:c r="K52" s="35" t="n">
        <x:f>SUMIFS('7日销售明细'!$L$5:$L$2244,'7日销售明细'!$B$5:$B$2244,A52,'7日销售明细'!$D$5:$D$2244,C52,'7日销售明细'!$F$5:$F$2244,"外卖")</x:f>
        <x:v>609.4</x:v>
      </x:c>
      <x:c r="L52" s="21" t="n">
        <x:f>IFERROR(K52/H52,0)</x:f>
        <x:v>0.09940461626294755</x:v>
      </x:c>
      <x:c r="M52" s="35" t="n">
        <x:f>SUMIFS('7日销售明细'!$T$5:$T$2244,'7日销售明细'!$B$5:$B$2244,A52,'7日销售明细'!$D$5:$D$2244,C52)</x:f>
        <x:v>2105.8842000000004</x:v>
      </x:c>
      <x:c r="N52" s="35" t="n">
        <x:f>SUMIFS('7日销售明细'!$P$5:$P$2244,'7日销售明细'!$B$5:$B$2244,A52,'7日销售明细'!$D$5:$D$2244,C52)</x:f>
        <x:v>109.692</x:v>
      </x:c>
      <x:c r="O52" s="35" t="n">
        <x:f>SUMIFS('7日销售明细'!$N$5:$N$2244,'7日销售明细'!$B$5:$B$2244,A52,'7日销售明细'!$D$5:$D$2244,C52)</x:f>
        <x:v>48.751999999999995</x:v>
      </x:c>
      <x:c r="P52" s="35" t="n">
        <x:f>SUMIFS('7日销售明细'!$U$5:$U$2244,'7日销售明细'!$B$5:$B$2244,A52,'7日销售明细'!$D$5:$D$2244,C52)</x:f>
        <x:v>3840.9717999999993</x:v>
      </x:c>
      <x:c r="Q52" s="21" t="n">
        <x:f>IFERROR(P52/H52,0)</x:f>
        <x:v>0.6265348340265883</x:v>
      </x:c>
      <x:c r="R52" s="20" t="n">
        <x:f>SUMIFS('7日销售明细'!$K$5:$K$2244,'7日销售明细'!$B$5:$B$2244,A52,'7日销售明细'!$D$5:$D$2244,C52)</x:f>
        <x:v>252</x:v>
      </x:c>
      <x:c r="S52" s="20" t="n">
        <x:f>H52/'封面与口径'!$I$11</x:f>
        <x:v>191.578125</x:v>
      </x:c>
      <x:c r="T52" s="22" t="n">
        <x:f>IFERROR(H52/S52,0)</x:f>
        <x:v>32</x:v>
      </x:c>
    </x:row>
    <x:row r="53">
      <x:c r="A53" s="34" t="n">
        <x:v>46216.5</x:v>
      </x:c>
      <x:c r="B53" s="19" t="str">
        <x:v>周一</x:v>
      </x:c>
      <x:c r="C53" s="19" t="str">
        <x:v>S07</x:v>
      </x:c>
      <x:c r="D53" s="19" t="str">
        <x:v>小和山店</x:v>
      </x:c>
      <x:c r="E53" s="35" t="n">
        <x:f>XLOOKUP(C53,'门店与角色'!$A$5:$A$12,'门店与角色'!$D$5:$D$12,0)</x:f>
        <x:v>230000</x:v>
      </x:c>
      <x:c r="F53" s="35" t="n">
        <x:f>XLOOKUP(B53,'封面与口径'!$N$14:$N$20,'封面与口径'!$O$14:$O$20,1)</x:f>
        <x:v>1.15</x:v>
      </x:c>
      <x:c r="G53" s="35" t="n">
        <x:f>E53/30*F53</x:f>
        <x:v>8816.666666666666</x:v>
      </x:c>
      <x:c r="H53" s="35" t="n">
        <x:f>SUMIFS('7日销售明细'!$L$5:$L$2244,'7日销售明细'!$B$5:$B$2244,A53,'7日销售明细'!$D$5:$D$2244,C53)</x:f>
        <x:v>8815.500000000002</x:v>
      </x:c>
      <x:c r="I53" s="35" t="n">
        <x:f>H53-G53</x:f>
        <x:v>-1.1666666666642413</x:v>
      </x:c>
      <x:c r="J53" s="35" t="n">
        <x:f>SUMIFS('7日销售明细'!$L$5:$L$2244,'7日销售明细'!$B$5:$B$2244,A53,'7日销售明细'!$D$5:$D$2244,C53,'7日销售明细'!$F$5:$F$2244,"堂食")</x:f>
        <x:v>7935.400000000001</x:v>
      </x:c>
      <x:c r="K53" s="35" t="n">
        <x:f>SUMIFS('7日销售明细'!$L$5:$L$2244,'7日销售明细'!$B$5:$B$2244,A53,'7日销售明细'!$D$5:$D$2244,C53,'7日销售明细'!$F$5:$F$2244,"外卖")</x:f>
        <x:v>880.1</x:v>
      </x:c>
      <x:c r="L53" s="21" t="n">
        <x:f>IFERROR(K53/H53,0)</x:f>
        <x:v>0.09983551698712494</x:v>
      </x:c>
      <x:c r="M53" s="35" t="n">
        <x:f>SUMIFS('7日销售明细'!$T$5:$T$2244,'7日销售明细'!$B$5:$B$2244,A53,'7日销售明细'!$D$5:$D$2244,C53)</x:f>
        <x:v>3065.776</x:v>
      </x:c>
      <x:c r="N53" s="35" t="n">
        <x:f>SUMIFS('7日销售明细'!$P$5:$P$2244,'7日销售明细'!$B$5:$B$2244,A53,'7日销售明细'!$D$5:$D$2244,C53)</x:f>
        <x:v>158.418</x:v>
      </x:c>
      <x:c r="O53" s="35" t="n">
        <x:f>SUMIFS('7日销售明细'!$N$5:$N$2244,'7日销售明细'!$B$5:$B$2244,A53,'7日销售明细'!$D$5:$D$2244,C53)</x:f>
        <x:v>70.40799999999999</x:v>
      </x:c>
      <x:c r="P53" s="35" t="n">
        <x:f>SUMIFS('7日销售明细'!$U$5:$U$2244,'7日销售明细'!$B$5:$B$2244,A53,'7日销售明细'!$D$5:$D$2244,C53)</x:f>
        <x:v>5483.697999999999</x:v>
      </x:c>
      <x:c r="Q53" s="21" t="n">
        <x:f>IFERROR(P53/H53,0)</x:f>
        <x:v>0.6220518405081956</x:v>
      </x:c>
      <x:c r="R53" s="20" t="n">
        <x:f>SUMIFS('7日销售明细'!$K$5:$K$2244,'7日销售明细'!$B$5:$B$2244,A53,'7日销售明细'!$D$5:$D$2244,C53)</x:f>
        <x:v>365</x:v>
      </x:c>
      <x:c r="S53" s="20" t="n">
        <x:f>H53/'封面与口径'!$I$11</x:f>
        <x:v>275.48437500000006</x:v>
      </x:c>
      <x:c r="T53" s="22" t="n">
        <x:f>IFERROR(H53/S53,0)</x:f>
        <x:v>32</x:v>
      </x:c>
    </x:row>
    <x:row r="54">
      <x:c r="A54" s="34" t="n">
        <x:v>46210.5</x:v>
      </x:c>
      <x:c r="B54" s="19" t="str">
        <x:v>周二</x:v>
      </x:c>
      <x:c r="C54" s="19" t="str">
        <x:v>S08</x:v>
      </x:c>
      <x:c r="D54" s="19" t="str">
        <x:v>四季青店</x:v>
      </x:c>
      <x:c r="E54" s="35" t="n">
        <x:f>XLOOKUP(C54,'门店与角色'!$A$5:$A$12,'门店与角色'!$D$5:$D$12,0)</x:f>
        <x:v>212000</x:v>
      </x:c>
      <x:c r="F54" s="35" t="n">
        <x:f>XLOOKUP(B54,'封面与口径'!$N$14:$N$20,'封面与口径'!$O$14:$O$20,1)</x:f>
        <x:v>1.08</x:v>
      </x:c>
      <x:c r="G54" s="35" t="n">
        <x:f>E54/30*F54</x:f>
        <x:v>7632.000000000001</x:v>
      </x:c>
      <x:c r="H54" s="35" t="n">
        <x:f>SUMIFS('7日销售明细'!$L$5:$L$2244,'7日销售明细'!$B$5:$B$2244,A54,'7日销售明细'!$D$5:$D$2244,C54)</x:f>
        <x:v>7620.7</x:v>
      </x:c>
      <x:c r="I54" s="35" t="n">
        <x:f>H54-G54</x:f>
        <x:v>-11.300000000001091</x:v>
      </x:c>
      <x:c r="J54" s="35" t="n">
        <x:f>SUMIFS('7日销售明细'!$L$5:$L$2244,'7日销售明细'!$B$5:$B$2244,A54,'7日销售明细'!$D$5:$D$2244,C54,'7日销售明细'!$F$5:$F$2244,"堂食")</x:f>
        <x:v>6866.5</x:v>
      </x:c>
      <x:c r="K54" s="35" t="n">
        <x:f>SUMIFS('7日销售明细'!$L$5:$L$2244,'7日销售明细'!$B$5:$B$2244,A54,'7日销售明细'!$D$5:$D$2244,C54,'7日销售明细'!$F$5:$F$2244,"外卖")</x:f>
        <x:v>754.2</x:v>
      </x:c>
      <x:c r="L54" s="21" t="n">
        <x:f>IFERROR(K54/H54,0)</x:f>
        <x:v>0.09896728646974688</x:v>
      </x:c>
      <x:c r="M54" s="35" t="n">
        <x:f>SUMIFS('7日销售明细'!$T$5:$T$2244,'7日销售明细'!$B$5:$B$2244,A54,'7日销售明细'!$D$5:$D$2244,C54)</x:f>
        <x:v>2620.8732</x:v>
      </x:c>
      <x:c r="N54" s="35" t="n">
        <x:f>SUMIFS('7日销售明细'!$P$5:$P$2244,'7日销售明细'!$B$5:$B$2244,A54,'7日销售明细'!$D$5:$D$2244,C54)</x:f>
        <x:v>135.75600000000003</x:v>
      </x:c>
      <x:c r="O54" s="35" t="n">
        <x:f>SUMIFS('7日销售明细'!$N$5:$N$2244,'7日销售明细'!$B$5:$B$2244,A54,'7日销售明细'!$D$5:$D$2244,C54)</x:f>
        <x:v>60.33599999999999</x:v>
      </x:c>
      <x:c r="P54" s="35" t="n">
        <x:f>SUMIFS('7日销售明细'!$U$5:$U$2244,'7日销售明细'!$B$5:$B$2244,A54,'7日销售明细'!$D$5:$D$2244,C54)</x:f>
        <x:v>4771.334800000001</x:v>
      </x:c>
      <x:c r="Q54" s="21" t="n">
        <x:f>IFERROR(P54/H54,0)</x:f>
        <x:v>0.6261019066489957</x:v>
      </x:c>
      <x:c r="R54" s="20" t="n">
        <x:f>SUMIFS('7日销售明细'!$K$5:$K$2244,'7日销售明细'!$B$5:$B$2244,A54,'7日销售明细'!$D$5:$D$2244,C54)</x:f>
        <x:v>313</x:v>
      </x:c>
      <x:c r="S54" s="20" t="n">
        <x:f>H54/'封面与口径'!$I$11</x:f>
        <x:v>238.146875</x:v>
      </x:c>
      <x:c r="T54" s="22" t="n">
        <x:f>IFERROR(H54/S54,0)</x:f>
        <x:v>32</x:v>
      </x:c>
    </x:row>
    <x:row r="55">
      <x:c r="A55" s="34" t="n">
        <x:v>46211.5</x:v>
      </x:c>
      <x:c r="B55" s="19" t="str">
        <x:v>周三</x:v>
      </x:c>
      <x:c r="C55" s="19" t="str">
        <x:v>S08</x:v>
      </x:c>
      <x:c r="D55" s="19" t="str">
        <x:v>四季青店</x:v>
      </x:c>
      <x:c r="E55" s="35" t="n">
        <x:f>XLOOKUP(C55,'门店与角色'!$A$5:$A$12,'门店与角色'!$D$5:$D$12,0)</x:f>
        <x:v>212000</x:v>
      </x:c>
      <x:c r="F55" s="35" t="n">
        <x:f>XLOOKUP(B55,'封面与口径'!$N$14:$N$20,'封面与口径'!$O$14:$O$20,1)</x:f>
        <x:v>1.05</x:v>
      </x:c>
      <x:c r="G55" s="35" t="n">
        <x:f>E55/30*F55</x:f>
        <x:v>7420.000000000001</x:v>
      </x:c>
      <x:c r="H55" s="35" t="n">
        <x:f>SUMIFS('7日销售明细'!$L$5:$L$2244,'7日销售明细'!$B$5:$B$2244,A55,'7日销售明细'!$D$5:$D$2244,C55)</x:f>
        <x:v>7421.3</x:v>
      </x:c>
      <x:c r="I55" s="35" t="n">
        <x:f>H55-G55</x:f>
        <x:v>1.2999999999992724</x:v>
      </x:c>
      <x:c r="J55" s="35" t="n">
        <x:f>SUMIFS('7日销售明细'!$L$5:$L$2244,'7日销售明细'!$B$5:$B$2244,A55,'7日销售明细'!$D$5:$D$2244,C55,'7日销售明细'!$F$5:$F$2244,"堂食")</x:f>
        <x:v>6680.1</x:v>
      </x:c>
      <x:c r="K55" s="35" t="n">
        <x:f>SUMIFS('7日销售明细'!$L$5:$L$2244,'7日销售明细'!$B$5:$B$2244,A55,'7日销售明细'!$D$5:$D$2244,C55,'7日销售明细'!$F$5:$F$2244,"外卖")</x:f>
        <x:v>741.1999999999999</x:v>
      </x:c>
      <x:c r="L55" s="21" t="n">
        <x:f>IFERROR(K55/H55,0)</x:f>
        <x:v>0.09987468502822955</x:v>
      </x:c>
      <x:c r="M55" s="35" t="n">
        <x:f>SUMIFS('7日销售明细'!$T$5:$T$2244,'7日销售明细'!$B$5:$B$2244,A55,'7日销售明细'!$D$5:$D$2244,C55)</x:f>
        <x:v>2573.6547999999993</x:v>
      </x:c>
      <x:c r="N55" s="35" t="n">
        <x:f>SUMIFS('7日销售明细'!$P$5:$P$2244,'7日销售明细'!$B$5:$B$2244,A55,'7日销售明细'!$D$5:$D$2244,C55)</x:f>
        <x:v>133.416</x:v>
      </x:c>
      <x:c r="O55" s="35" t="n">
        <x:f>SUMIFS('7日销售明细'!$N$5:$N$2244,'7日销售明细'!$B$5:$B$2244,A55,'7日销售明细'!$D$5:$D$2244,C55)</x:f>
        <x:v>59.295999999999985</x:v>
      </x:c>
      <x:c r="P55" s="35" t="n">
        <x:f>SUMIFS('7日销售明细'!$U$5:$U$2244,'7日销售明细'!$B$5:$B$2244,A55,'7日销售明细'!$D$5:$D$2244,C55)</x:f>
        <x:v>4622.533200000002</x:v>
      </x:c>
      <x:c r="Q55" s="21" t="n">
        <x:f>IFERROR(P55/H55,0)</x:f>
        <x:v>0.6228737822214439</x:v>
      </x:c>
      <x:c r="R55" s="20" t="n">
        <x:f>SUMIFS('7日销售明细'!$K$5:$K$2244,'7日销售明细'!$B$5:$B$2244,A55,'7日销售明细'!$D$5:$D$2244,C55)</x:f>
        <x:v>308</x:v>
      </x:c>
      <x:c r="S55" s="20" t="n">
        <x:f>H55/'封面与口径'!$I$11</x:f>
        <x:v>231.915625</x:v>
      </x:c>
      <x:c r="T55" s="22" t="n">
        <x:f>IFERROR(H55/S55,0)</x:f>
        <x:v>32</x:v>
      </x:c>
    </x:row>
    <x:row r="56">
      <x:c r="A56" s="34" t="n">
        <x:v>46212.5</x:v>
      </x:c>
      <x:c r="B56" s="19" t="str">
        <x:v>周四</x:v>
      </x:c>
      <x:c r="C56" s="19" t="str">
        <x:v>S08</x:v>
      </x:c>
      <x:c r="D56" s="19" t="str">
        <x:v>四季青店</x:v>
      </x:c>
      <x:c r="E56" s="35" t="n">
        <x:f>XLOOKUP(C56,'门店与角色'!$A$5:$A$12,'门店与角色'!$D$5:$D$12,0)</x:f>
        <x:v>212000</x:v>
      </x:c>
      <x:c r="F56" s="35" t="n">
        <x:f>XLOOKUP(B56,'封面与口径'!$N$14:$N$20,'封面与口径'!$O$14:$O$20,1)</x:f>
        <x:v>1.03</x:v>
      </x:c>
      <x:c r="G56" s="35" t="n">
        <x:f>E56/30*F56</x:f>
        <x:v>7278.666666666667</x:v>
      </x:c>
      <x:c r="H56" s="35" t="n">
        <x:f>SUMIFS('7日销售明细'!$L$5:$L$2244,'7日销售明细'!$B$5:$B$2244,A56,'7日销售明细'!$D$5:$D$2244,C56)</x:f>
        <x:v>7281.9</x:v>
      </x:c>
      <x:c r="I56" s="35" t="n">
        <x:f>H56-G56</x:f>
        <x:v>3.2333333333326664</x:v>
      </x:c>
      <x:c r="J56" s="35" t="n">
        <x:f>SUMIFS('7日销售明细'!$L$5:$L$2244,'7日销售明细'!$B$5:$B$2244,A56,'7日销售明细'!$D$5:$D$2244,C56,'7日销售明细'!$F$5:$F$2244,"堂食")</x:f>
        <x:v>6553.7</x:v>
      </x:c>
      <x:c r="K56" s="35" t="n">
        <x:f>SUMIFS('7日销售明细'!$L$5:$L$2244,'7日销售明细'!$B$5:$B$2244,A56,'7日销售明细'!$D$5:$D$2244,C56,'7日销售明细'!$F$5:$F$2244,"外卖")</x:f>
        <x:v>728.2</x:v>
      </x:c>
      <x:c r="L56" s="21" t="n">
        <x:f>IFERROR(K56/H56,0)</x:f>
        <x:v>0.10000137326796579</x:v>
      </x:c>
      <x:c r="M56" s="35" t="n">
        <x:f>SUMIFS('7日销售明细'!$T$5:$T$2244,'7日销售明细'!$B$5:$B$2244,A56,'7日销售明细'!$D$5:$D$2244,C56)</x:f>
        <x:v>2516.6766000000002</x:v>
      </x:c>
      <x:c r="N56" s="35" t="n">
        <x:f>SUMIFS('7日销售明细'!$P$5:$P$2244,'7日销售明细'!$B$5:$B$2244,A56,'7日销售明细'!$D$5:$D$2244,C56)</x:f>
        <x:v>131.076</x:v>
      </x:c>
      <x:c r="O56" s="35" t="n">
        <x:f>SUMIFS('7日销售明细'!$N$5:$N$2244,'7日销售明细'!$B$5:$B$2244,A56,'7日销售明细'!$D$5:$D$2244,C56)</x:f>
        <x:v>58.256</x:v>
      </x:c>
      <x:c r="P56" s="35" t="n">
        <x:f>SUMIFS('7日销售明细'!$U$5:$U$2244,'7日销售明细'!$B$5:$B$2244,A56,'7日销售明细'!$D$5:$D$2244,C56)</x:f>
        <x:v>4544.691400000001</x:v>
      </x:c>
      <x:c r="Q56" s="21" t="n">
        <x:f>IFERROR(P56/H56,0)</x:f>
        <x:v>0.6241079113967509</x:v>
      </x:c>
      <x:c r="R56" s="20" t="n">
        <x:f>SUMIFS('7日销售明细'!$K$5:$K$2244,'7日销售明细'!$B$5:$B$2244,A56,'7日销售明细'!$D$5:$D$2244,C56)</x:f>
        <x:v>300</x:v>
      </x:c>
      <x:c r="S56" s="20" t="n">
        <x:f>H56/'封面与口径'!$I$11</x:f>
        <x:v>227.559375</x:v>
      </x:c>
      <x:c r="T56" s="22" t="n">
        <x:f>IFERROR(H56/S56,0)</x:f>
        <x:v>32</x:v>
      </x:c>
    </x:row>
    <x:row r="57">
      <x:c r="A57" s="34" t="n">
        <x:v>46213.5</x:v>
      </x:c>
      <x:c r="B57" s="19" t="str">
        <x:v>周五</x:v>
      </x:c>
      <x:c r="C57" s="19" t="str">
        <x:v>S08</x:v>
      </x:c>
      <x:c r="D57" s="19" t="str">
        <x:v>四季青店</x:v>
      </x:c>
      <x:c r="E57" s="35" t="n">
        <x:f>XLOOKUP(C57,'门店与角色'!$A$5:$A$12,'门店与角色'!$D$5:$D$12,0)</x:f>
        <x:v>212000</x:v>
      </x:c>
      <x:c r="F57" s="35" t="n">
        <x:f>XLOOKUP(B57,'封面与口径'!$N$14:$N$20,'封面与口径'!$O$14:$O$20,1)</x:f>
        <x:v>1.07</x:v>
      </x:c>
      <x:c r="G57" s="35" t="n">
        <x:f>E57/30*F57</x:f>
        <x:v>7561.333333333334</x:v>
      </x:c>
      <x:c r="H57" s="35" t="n">
        <x:f>SUMIFS('7日销售明细'!$L$5:$L$2244,'7日销售明细'!$B$5:$B$2244,A57,'7日销售明细'!$D$5:$D$2244,C57)</x:f>
        <x:v>7556.400000000001</x:v>
      </x:c>
      <x:c r="I57" s="35" t="n">
        <x:f>H57-G57</x:f>
        <x:v>-4.933333333333394</x:v>
      </x:c>
      <x:c r="J57" s="35" t="n">
        <x:f>SUMIFS('7日销售明细'!$L$5:$L$2244,'7日销售明细'!$B$5:$B$2244,A57,'7日销售明细'!$D$5:$D$2244,C57,'7日销售明细'!$F$5:$F$2244,"堂食")</x:f>
        <x:v>6802.200000000001</x:v>
      </x:c>
      <x:c r="K57" s="35" t="n">
        <x:f>SUMIFS('7日销售明细'!$L$5:$L$2244,'7日销售明细'!$B$5:$B$2244,A57,'7日销售明细'!$D$5:$D$2244,C57,'7日销售明细'!$F$5:$F$2244,"外卖")</x:f>
        <x:v>754.2</x:v>
      </x:c>
      <x:c r="L57" s="21" t="n">
        <x:f>IFERROR(K57/H57,0)</x:f>
        <x:v>0.09980943306336351</x:v>
      </x:c>
      <x:c r="M57" s="35" t="n">
        <x:f>SUMIFS('7日销售明细'!$T$5:$T$2244,'7日销售明细'!$B$5:$B$2244,A57,'7日销售明细'!$D$5:$D$2244,C57)</x:f>
        <x:v>2625.511</x:v>
      </x:c>
      <x:c r="N57" s="35" t="n">
        <x:f>SUMIFS('7日销售明细'!$P$5:$P$2244,'7日销售明细'!$B$5:$B$2244,A57,'7日销售明细'!$D$5:$D$2244,C57)</x:f>
        <x:v>135.75600000000003</x:v>
      </x:c>
      <x:c r="O57" s="35" t="n">
        <x:f>SUMIFS('7日销售明细'!$N$5:$N$2244,'7日销售明细'!$B$5:$B$2244,A57,'7日销售明细'!$D$5:$D$2244,C57)</x:f>
        <x:v>60.33599999999999</x:v>
      </x:c>
      <x:c r="P57" s="35" t="n">
        <x:f>SUMIFS('7日销售明细'!$U$5:$U$2244,'7日销售明细'!$B$5:$B$2244,A57,'7日销售明细'!$D$5:$D$2244,C57)</x:f>
        <x:v>4702.397000000002</x:v>
      </x:c>
      <x:c r="Q57" s="21" t="n">
        <x:f>IFERROR(P57/H57,0)</x:f>
        <x:v>0.622306521624054</x:v>
      </x:c>
      <x:c r="R57" s="20" t="n">
        <x:f>SUMIFS('7日销售明细'!$K$5:$K$2244,'7日销售明细'!$B$5:$B$2244,A57,'7日销售明细'!$D$5:$D$2244,C57)</x:f>
        <x:v>312</x:v>
      </x:c>
      <x:c r="S57" s="20" t="n">
        <x:f>H57/'封面与口径'!$I$11</x:f>
        <x:v>236.13750000000002</x:v>
      </x:c>
      <x:c r="T57" s="22" t="n">
        <x:f>IFERROR(H57/S57,0)</x:f>
        <x:v>32</x:v>
      </x:c>
    </x:row>
    <x:row r="58">
      <x:c r="A58" s="34" t="n">
        <x:v>46214.5</x:v>
      </x:c>
      <x:c r="B58" s="19" t="str">
        <x:v>周六</x:v>
      </x:c>
      <x:c r="C58" s="19" t="str">
        <x:v>S08</x:v>
      </x:c>
      <x:c r="D58" s="19" t="str">
        <x:v>四季青店</x:v>
      </x:c>
      <x:c r="E58" s="35" t="n">
        <x:f>XLOOKUP(C58,'门店与角色'!$A$5:$A$12,'门店与角色'!$D$5:$D$12,0)</x:f>
        <x:v>212000</x:v>
      </x:c>
      <x:c r="F58" s="35" t="n">
        <x:f>XLOOKUP(B58,'封面与口径'!$N$14:$N$20,'封面与口径'!$O$14:$O$20,1)</x:f>
        <x:v>0.82</x:v>
      </x:c>
      <x:c r="G58" s="35" t="n">
        <x:f>E58/30*F58</x:f>
        <x:v>5794.666666666667</x:v>
      </x:c>
      <x:c r="H58" s="35" t="n">
        <x:f>SUMIFS('7日销售明细'!$L$5:$L$2244,'7日销售明细'!$B$5:$B$2244,A58,'7日销售明细'!$D$5:$D$2244,C58)</x:f>
        <x:v>5794.599999999999</x:v>
      </x:c>
      <x:c r="I58" s="35" t="n">
        <x:f>H58-G58</x:f>
        <x:v>-0.06666666666751553</x:v>
      </x:c>
      <x:c r="J58" s="35" t="n">
        <x:f>SUMIFS('7日销售明细'!$L$5:$L$2244,'7日销售明细'!$B$5:$B$2244,A58,'7日销售明细'!$D$5:$D$2244,C58,'7日销售明细'!$F$5:$F$2244,"堂食")</x:f>
        <x:v>5216.2</x:v>
      </x:c>
      <x:c r="K58" s="35" t="n">
        <x:f>SUMIFS('7日销售明细'!$L$5:$L$2244,'7日销售明细'!$B$5:$B$2244,A58,'7日销售明细'!$D$5:$D$2244,C58,'7日销售明细'!$F$5:$F$2244,"外卖")</x:f>
        <x:v>578.4</x:v>
      </x:c>
      <x:c r="L58" s="21" t="n">
        <x:f>IFERROR(K58/H58,0)</x:f>
        <x:v>0.09981707106616505</x:v>
      </x:c>
      <x:c r="M58" s="35" t="n">
        <x:f>SUMIFS('7日销售明细'!$T$5:$T$2244,'7日销售明细'!$B$5:$B$2244,A58,'7日销售明细'!$D$5:$D$2244,C58)</x:f>
        <x:v>2000.9994</x:v>
      </x:c>
      <x:c r="N58" s="35" t="n">
        <x:f>SUMIFS('7日销售明细'!$P$5:$P$2244,'7日销售明细'!$B$5:$B$2244,A58,'7日销售明细'!$D$5:$D$2244,C58)</x:f>
        <x:v>104.11200000000001</x:v>
      </x:c>
      <x:c r="O58" s="35" t="n">
        <x:f>SUMIFS('7日销售明细'!$N$5:$N$2244,'7日销售明细'!$B$5:$B$2244,A58,'7日销售明细'!$D$5:$D$2244,C58)</x:f>
        <x:v>46.272</x:v>
      </x:c>
      <x:c r="P58" s="35" t="n">
        <x:f>SUMIFS('7日销售明细'!$U$5:$U$2244,'7日销售明细'!$B$5:$B$2244,A58,'7日销售明细'!$D$5:$D$2244,C58)</x:f>
        <x:v>3618.0165999999995</x:v>
      </x:c>
      <x:c r="Q58" s="21" t="n">
        <x:f>IFERROR(P58/H58,0)</x:f>
        <x:v>0.6243772822973113</x:v>
      </x:c>
      <x:c r="R58" s="20" t="n">
        <x:f>SUMIFS('7日销售明细'!$K$5:$K$2244,'7日销售明细'!$B$5:$B$2244,A58,'7日销售明细'!$D$5:$D$2244,C58)</x:f>
        <x:v>240</x:v>
      </x:c>
      <x:c r="S58" s="20" t="n">
        <x:f>H58/'封面与口径'!$I$11</x:f>
        <x:v>181.08124999999998</x:v>
      </x:c>
      <x:c r="T58" s="22" t="n">
        <x:f>IFERROR(H58/S58,0)</x:f>
        <x:v>32</x:v>
      </x:c>
    </x:row>
    <x:row r="59">
      <x:c r="A59" s="34" t="n">
        <x:v>46215.5</x:v>
      </x:c>
      <x:c r="B59" s="19" t="str">
        <x:v>周日</x:v>
      </x:c>
      <x:c r="C59" s="19" t="str">
        <x:v>S08</x:v>
      </x:c>
      <x:c r="D59" s="19" t="str">
        <x:v>四季青店</x:v>
      </x:c>
      <x:c r="E59" s="35" t="n">
        <x:f>XLOOKUP(C59,'门店与角色'!$A$5:$A$12,'门店与角色'!$D$5:$D$12,0)</x:f>
        <x:v>212000</x:v>
      </x:c>
      <x:c r="F59" s="35" t="n">
        <x:f>XLOOKUP(B59,'封面与口径'!$N$14:$N$20,'封面与口径'!$O$14:$O$20,1)</x:f>
        <x:v>0.8</x:v>
      </x:c>
      <x:c r="G59" s="35" t="n">
        <x:f>E59/30*F59</x:f>
        <x:v>5653.333333333334</x:v>
      </x:c>
      <x:c r="H59" s="35" t="n">
        <x:f>SUMIFS('7日销售明细'!$L$5:$L$2244,'7日销售明细'!$B$5:$B$2244,A59,'7日销售明细'!$D$5:$D$2244,C59)</x:f>
        <x:v>5648.799999999999</x:v>
      </x:c>
      <x:c r="I59" s="35" t="n">
        <x:f>H59-G59</x:f>
        <x:v>-4.533333333334667</x:v>
      </x:c>
      <x:c r="J59" s="35" t="n">
        <x:f>SUMIFS('7日销售明细'!$L$5:$L$2244,'7日销售明细'!$B$5:$B$2244,A59,'7日销售明细'!$D$5:$D$2244,C59,'7日销售明细'!$F$5:$F$2244,"堂食")</x:f>
        <x:v>5088.4</x:v>
      </x:c>
      <x:c r="K59" s="35" t="n">
        <x:f>SUMIFS('7日销售明细'!$L$5:$L$2244,'7日销售明细'!$B$5:$B$2244,A59,'7日销售明细'!$D$5:$D$2244,C59,'7日销售明细'!$F$5:$F$2244,"外卖")</x:f>
        <x:v>560.4</x:v>
      </x:c>
      <x:c r="L59" s="21" t="n">
        <x:f>IFERROR(K59/H59,0)</x:f>
        <x:v>0.09920691120237927</x:v>
      </x:c>
      <x:c r="M59" s="35" t="n">
        <x:f>SUMIFS('7日销售明细'!$T$5:$T$2244,'7日销售明细'!$B$5:$B$2244,A59,'7日销售明细'!$D$5:$D$2244,C59)</x:f>
        <x:v>1945.7930000000003</x:v>
      </x:c>
      <x:c r="N59" s="35" t="n">
        <x:f>SUMIFS('7日销售明细'!$P$5:$P$2244,'7日销售明细'!$B$5:$B$2244,A59,'7日销售明细'!$D$5:$D$2244,C59)</x:f>
        <x:v>100.872</x:v>
      </x:c>
      <x:c r="O59" s="35" t="n">
        <x:f>SUMIFS('7日销售明细'!$N$5:$N$2244,'7日销售明细'!$B$5:$B$2244,A59,'7日销售明细'!$D$5:$D$2244,C59)</x:f>
        <x:v>44.831999999999994</x:v>
      </x:c>
      <x:c r="P59" s="35" t="n">
        <x:f>SUMIFS('7日销售明细'!$U$5:$U$2244,'7日销售明细'!$B$5:$B$2244,A59,'7日销售明细'!$D$5:$D$2244,C59)</x:f>
        <x:v>3533.3029999999994</x:v>
      </x:c>
      <x:c r="Q59" s="21" t="n">
        <x:f>IFERROR(P59/H59,0)</x:f>
        <x:v>0.6254962115847613</x:v>
      </x:c>
      <x:c r="R59" s="20" t="n">
        <x:f>SUMIFS('7日销售明细'!$K$5:$K$2244,'7日销售明细'!$B$5:$B$2244,A59,'7日销售明细'!$D$5:$D$2244,C59)</x:f>
        <x:v>233</x:v>
      </x:c>
      <x:c r="S59" s="20" t="n">
        <x:f>H59/'封面与口径'!$I$11</x:f>
        <x:v>176.52499999999998</x:v>
      </x:c>
      <x:c r="T59" s="22" t="n">
        <x:f>IFERROR(H59/S59,0)</x:f>
        <x:v>32</x:v>
      </x:c>
    </x:row>
    <x:row r="60">
      <x:c r="A60" s="34" t="n">
        <x:v>46216.5</x:v>
      </x:c>
      <x:c r="B60" s="19" t="str">
        <x:v>周一</x:v>
      </x:c>
      <x:c r="C60" s="19" t="str">
        <x:v>S08</x:v>
      </x:c>
      <x:c r="D60" s="19" t="str">
        <x:v>四季青店</x:v>
      </x:c>
      <x:c r="E60" s="35" t="n">
        <x:f>XLOOKUP(C60,'门店与角色'!$A$5:$A$12,'门店与角色'!$D$5:$D$12,0)</x:f>
        <x:v>212000</x:v>
      </x:c>
      <x:c r="F60" s="35" t="n">
        <x:f>XLOOKUP(B60,'封面与口径'!$N$14:$N$20,'封面与口径'!$O$14:$O$20,1)</x:f>
        <x:v>1.15</x:v>
      </x:c>
      <x:c r="G60" s="35" t="n">
        <x:f>E60/30*F60</x:f>
        <x:v>8126.666666666666</x:v>
      </x:c>
      <x:c r="H60" s="35" t="n">
        <x:f>SUMIFS('7日销售明细'!$L$5:$L$2244,'7日销售明细'!$B$5:$B$2244,A60,'7日销售明细'!$D$5:$D$2244,C60)</x:f>
        <x:v>8114.599999999999</x:v>
      </x:c>
      <x:c r="I60" s="35" t="n">
        <x:f>H60-G60</x:f>
        <x:v>-12.066666666666606</x:v>
      </x:c>
      <x:c r="J60" s="35" t="n">
        <x:f>SUMIFS('7日销售明细'!$L$5:$L$2244,'7日销售明细'!$B$5:$B$2244,A60,'7日销售明细'!$D$5:$D$2244,C60,'7日销售明细'!$F$5:$F$2244,"堂食")</x:f>
        <x:v>7311.4</x:v>
      </x:c>
      <x:c r="K60" s="35" t="n">
        <x:f>SUMIFS('7日销售明细'!$L$5:$L$2244,'7日销售明细'!$B$5:$B$2244,A60,'7日销售明细'!$D$5:$D$2244,C60,'7日销售明细'!$F$5:$F$2244,"外卖")</x:f>
        <x:v>803.2</x:v>
      </x:c>
      <x:c r="L60" s="21" t="n">
        <x:f>IFERROR(K60/H60,0)</x:f>
        <x:v>0.09898208167993494</x:v>
      </x:c>
      <x:c r="M60" s="35" t="n">
        <x:f>SUMIFS('7日销售明细'!$T$5:$T$2244,'7日销售明细'!$B$5:$B$2244,A60,'7日销售明细'!$D$5:$D$2244,C60)</x:f>
        <x:v>2816.8696</x:v>
      </x:c>
      <x:c r="N60" s="35" t="n">
        <x:f>SUMIFS('7日销售明细'!$P$5:$P$2244,'7日销售明细'!$B$5:$B$2244,A60,'7日销售明细'!$D$5:$D$2244,C60)</x:f>
        <x:v>144.57600000000002</x:v>
      </x:c>
      <x:c r="O60" s="35" t="n">
        <x:f>SUMIFS('7日销售明细'!$N$5:$N$2244,'7日销售明细'!$B$5:$B$2244,A60,'7日销售明细'!$D$5:$D$2244,C60)</x:f>
        <x:v>64.256</x:v>
      </x:c>
      <x:c r="P60" s="35" t="n">
        <x:f>SUMIFS('7日销售明细'!$U$5:$U$2244,'7日销售明细'!$B$5:$B$2244,A60,'7日销售明细'!$D$5:$D$2244,C60)</x:f>
        <x:v>5055.298400000001</x:v>
      </x:c>
      <x:c r="Q60" s="21" t="n">
        <x:f>IFERROR(P60/H60,0)</x:f>
        <x:v>0.6229879969437805</x:v>
      </x:c>
      <x:c r="R60" s="20" t="n">
        <x:f>SUMIFS('7日销售明细'!$K$5:$K$2244,'7日销售明细'!$B$5:$B$2244,A60,'7日销售明细'!$D$5:$D$2244,C60)</x:f>
        <x:v>334</x:v>
      </x:c>
      <x:c r="S60" s="20" t="n">
        <x:f>H60/'封面与口径'!$I$11</x:f>
        <x:v>253.58124999999998</x:v>
      </x:c>
      <x:c r="T60" s="22" t="n">
        <x:f>IFERROR(H60/S60,0)</x:f>
        <x:v>32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d6f2d94981e24a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0" hidden="0" customWidth="1"/>
    <x:col min="4" max="4" width="18" hidden="0" customWidth="1"/>
    <x:col min="5" max="5" width="10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</x:cols>
  <x:sheetData>
    <x:row r="1" ht="34" customHeight="1">
      <x:c r="A1" s="3" t="str">
        <x:v>菜品日销量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按门店、日期、菜品聚合午晚市和堂食/外卖，是理论耗用与炒菜机日志的直接上游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2" t="str">
        <x:v>聚合键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菜品ID</x:v>
      </x:c>
      <x:c r="F4" s="12" t="str">
        <x:v>菜品</x:v>
      </x:c>
      <x:c r="G4" s="12" t="str">
        <x:v>销售份数</x:v>
      </x:c>
      <x:c r="H4" s="12" t="str">
        <x:v>流水</x:v>
      </x:c>
      <x:c r="I4" s="12" t="str">
        <x:v>理论食材成本</x:v>
      </x:c>
    </x:row>
    <x:row r="5">
      <x:c r="A5" s="19" t="str">
        <x:v>2026-07-07|S01|D01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D01</x:v>
      </x:c>
      <x:c r="F5" s="19" t="str">
        <x:v>辣椒炒肉</x:v>
      </x:c>
      <x:c r="G5" s="20" t="n">
        <x:f>SUMIFS('7日销售明细'!$K$5:$K$2244,'7日销售明细'!$B$5:$B$2244,B5,'7日销售明细'!$D$5:$D$2244,C5,'7日销售明细'!$H$5:$H$2244,E5)</x:f>
        <x:v>58</x:v>
      </x:c>
      <x:c r="H5" s="35" t="n">
        <x:f>SUMIFS('7日销售明细'!$L$5:$L$2244,'7日销售明细'!$B$5:$B$2244,B5,'7日销售明细'!$D$5:$D$2244,C5,'7日销售明细'!$H$5:$H$2244,E5)</x:f>
        <x:v>1682</x:v>
      </x:c>
      <x:c r="I5" s="35" t="n">
        <x:f>G5*XLOOKUP(E5,'菜品主数据'!$A$5:$A$24,'菜品主数据'!$G$5:$G$24,0)</x:f>
        <x:v>500.7952000000001</x:v>
      </x:c>
    </x:row>
    <x:row r="6">
      <x:c r="A6" s="19" t="str">
        <x:v>2026-07-07|S01|D02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D02</x:v>
      </x:c>
      <x:c r="F6" s="19" t="str">
        <x:v>小炒黄牛肉</x:v>
      </x:c>
      <x:c r="G6" s="20" t="n">
        <x:f>SUMIFS('7日销售明细'!$K$5:$K$2244,'7日销售明细'!$B$5:$B$2244,B6,'7日销售明细'!$D$5:$D$2244,C6,'7日销售明细'!$H$5:$H$2244,E6)</x:f>
        <x:v>35</x:v>
      </x:c>
      <x:c r="H6" s="35" t="n">
        <x:f>SUMIFS('7日销售明细'!$L$5:$L$2244,'7日销售明细'!$B$5:$B$2244,B6,'7日销售明细'!$D$5:$D$2244,C6,'7日销售明细'!$H$5:$H$2244,E6)</x:f>
        <x:v>1715</x:v>
      </x:c>
      <x:c r="I6" s="35" t="n">
        <x:f>G6*XLOOKUP(E6,'菜品主数据'!$A$5:$A$24,'菜品主数据'!$G$5:$G$24,0)</x:f>
        <x:v>615.195</x:v>
      </x:c>
    </x:row>
    <x:row r="7">
      <x:c r="A7" s="19" t="str">
        <x:v>2026-07-07|S01|D03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D03</x:v>
      </x:c>
      <x:c r="F7" s="19" t="str">
        <x:v>香醋炒蛋</x:v>
      </x:c>
      <x:c r="G7" s="20" t="n">
        <x:f>SUMIFS('7日销售明细'!$K$5:$K$2244,'7日销售明细'!$B$5:$B$2244,B7,'7日销售明细'!$D$5:$D$2244,C7,'7日销售明细'!$H$5:$H$2244,E7)</x:f>
        <x:v>46</x:v>
      </x:c>
      <x:c r="H7" s="35" t="n">
        <x:f>SUMIFS('7日销售明细'!$L$5:$L$2244,'7日销售明细'!$B$5:$B$2244,B7,'7日销售明细'!$D$5:$D$2244,C7,'7日销售明细'!$H$5:$H$2244,E7)</x:f>
        <x:v>685.4000000000001</x:v>
      </x:c>
      <x:c r="I7" s="35" t="n">
        <x:f>G7*XLOOKUP(E7,'菜品主数据'!$A$5:$A$24,'菜品主数据'!$G$5:$G$24,0)</x:f>
        <x:v>172.31599999999997</x:v>
      </x:c>
    </x:row>
    <x:row r="8">
      <x:c r="A8" s="19" t="str">
        <x:v>2026-07-07|S01|D04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D04</x:v>
      </x:c>
      <x:c r="F8" s="19" t="str">
        <x:v>酸包菜炒粉皮</x:v>
      </x:c>
      <x:c r="G8" s="20" t="n">
        <x:f>SUMIFS('7日销售明细'!$K$5:$K$2244,'7日销售明细'!$B$5:$B$2244,B8,'7日销售明细'!$D$5:$D$2244,C8,'7日销售明细'!$H$5:$H$2244,E8)</x:f>
        <x:v>45</x:v>
      </x:c>
      <x:c r="H8" s="35" t="n">
        <x:f>SUMIFS('7日销售明细'!$L$5:$L$2244,'7日销售明细'!$B$5:$B$2244,B8,'7日销售明细'!$D$5:$D$2244,C8,'7日销售明细'!$H$5:$H$2244,E8)</x:f>
        <x:v>720</x:v>
      </x:c>
      <x:c r="I8" s="35" t="n">
        <x:f>G8*XLOOKUP(E8,'菜品主数据'!$A$5:$A$24,'菜品主数据'!$G$5:$G$24,0)</x:f>
        <x:v>179.01000000000002</x:v>
      </x:c>
    </x:row>
    <x:row r="9">
      <x:c r="A9" s="19" t="str">
        <x:v>2026-07-07|S01|D05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D05</x:v>
      </x:c>
      <x:c r="F9" s="19" t="str">
        <x:v>麻婆豆腐</x:v>
      </x:c>
      <x:c r="G9" s="20" t="n">
        <x:f>SUMIFS('7日销售明细'!$K$5:$K$2244,'7日销售明细'!$B$5:$B$2244,B9,'7日销售明细'!$D$5:$D$2244,C9,'7日销售明细'!$H$5:$H$2244,E9)</x:f>
        <x:v>61</x:v>
      </x:c>
      <x:c r="H9" s="35" t="n">
        <x:f>SUMIFS('7日销售明细'!$L$5:$L$2244,'7日销售明细'!$B$5:$B$2244,B9,'7日销售明细'!$D$5:$D$2244,C9,'7日销售明细'!$H$5:$H$2244,E9)</x:f>
        <x:v>603.9</x:v>
      </x:c>
      <x:c r="I9" s="35" t="n">
        <x:f>G9*XLOOKUP(E9,'菜品主数据'!$A$5:$A$24,'菜品主数据'!$G$5:$G$24,0)</x:f>
        <x:v>327.38700000000006</x:v>
      </x:c>
    </x:row>
    <x:row r="10">
      <x:c r="A10" s="19" t="str">
        <x:v>2026-07-07|S01|D06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D06</x:v>
      </x:c>
      <x:c r="F10" s="19" t="str">
        <x:v>剁椒鱼头</x:v>
      </x:c>
      <x:c r="G10" s="20" t="n">
        <x:f>SUMIFS('7日销售明细'!$K$5:$K$2244,'7日销售明细'!$B$5:$B$2244,B10,'7日销售明细'!$D$5:$D$2244,C10,'7日销售明细'!$H$5:$H$2244,E10)</x:f>
        <x:v>15</x:v>
      </x:c>
      <x:c r="H10" s="35" t="n">
        <x:f>SUMIFS('7日销售明细'!$L$5:$L$2244,'7日销售明细'!$B$5:$B$2244,B10,'7日销售明细'!$D$5:$D$2244,C10,'7日销售明细'!$H$5:$H$2244,E10)</x:f>
        <x:v>585</x:v>
      </x:c>
      <x:c r="I10" s="35" t="n">
        <x:f>G10*XLOOKUP(E10,'菜品主数据'!$A$5:$A$24,'菜品主数据'!$G$5:$G$24,0)</x:f>
        <x:v>261.69</x:v>
      </x:c>
    </x:row>
    <x:row r="11">
      <x:c r="A11" s="19" t="str">
        <x:v>2026-07-07|S01|D07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D07</x:v>
      </x:c>
      <x:c r="F11" s="19" t="str">
        <x:v>川味回锅肉</x:v>
      </x:c>
      <x:c r="G11" s="20" t="n">
        <x:f>SUMIFS('7日销售明细'!$K$5:$K$2244,'7日销售明细'!$B$5:$B$2244,B11,'7日销售明细'!$D$5:$D$2244,C11,'7日销售明细'!$H$5:$H$2244,E11)</x:f>
        <x:v>19</x:v>
      </x:c>
      <x:c r="H11" s="35" t="n">
        <x:f>SUMIFS('7日销售明细'!$L$5:$L$2244,'7日销售明细'!$B$5:$B$2244,B11,'7日销售明细'!$D$5:$D$2244,C11,'7日销售明细'!$H$5:$H$2244,E11)</x:f>
        <x:v>551</x:v>
      </x:c>
      <x:c r="I11" s="35" t="n">
        <x:f>G11*XLOOKUP(E11,'菜品主数据'!$A$5:$A$24,'菜品主数据'!$G$5:$G$24,0)</x:f>
        <x:v>194.38900000000004</x:v>
      </x:c>
    </x:row>
    <x:row r="12">
      <x:c r="A12" s="19" t="str">
        <x:v>2026-07-07|S01|D08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D08</x:v>
      </x:c>
      <x:c r="F12" s="19" t="str">
        <x:v>生炒清远鸡</x:v>
      </x:c>
      <x:c r="G12" s="20" t="n">
        <x:f>SUMIFS('7日销售明细'!$K$5:$K$2244,'7日销售明细'!$B$5:$B$2244,B12,'7日销售明细'!$D$5:$D$2244,C12,'7日销售明细'!$H$5:$H$2244,E12)</x:f>
        <x:v>12</x:v>
      </x:c>
      <x:c r="H12" s="35" t="n">
        <x:f>SUMIFS('7日销售明细'!$L$5:$L$2244,'7日销售明细'!$B$5:$B$2244,B12,'7日销售明细'!$D$5:$D$2244,C12,'7日销售明细'!$H$5:$H$2244,E12)</x:f>
        <x:v>432</x:v>
      </x:c>
      <x:c r="I12" s="35" t="n">
        <x:f>G12*XLOOKUP(E12,'菜品主数据'!$A$5:$A$24,'菜品主数据'!$G$5:$G$24,0)</x:f>
        <x:v>161.76</x:v>
      </x:c>
    </x:row>
    <x:row r="13">
      <x:c r="A13" s="19" t="str">
        <x:v>2026-07-07|S01|D09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D09</x:v>
      </x:c>
      <x:c r="F13" s="19" t="str">
        <x:v>炒豆干</x:v>
      </x:c>
      <x:c r="G13" s="20" t="n">
        <x:f>SUMIFS('7日销售明细'!$K$5:$K$2244,'7日销售明细'!$B$5:$B$2244,B13,'7日销售明细'!$D$5:$D$2244,C13,'7日销售明细'!$H$5:$H$2244,E13)</x:f>
        <x:v>18</x:v>
      </x:c>
      <x:c r="H13" s="35" t="n">
        <x:f>SUMIFS('7日销售明细'!$L$5:$L$2244,'7日销售明细'!$B$5:$B$2244,B13,'7日销售明细'!$D$5:$D$2244,C13,'7日销售明细'!$H$5:$H$2244,E13)</x:f>
        <x:v>324</x:v>
      </x:c>
      <x:c r="I13" s="35" t="n">
        <x:f>G13*XLOOKUP(E13,'菜品主数据'!$A$5:$A$24,'菜品主数据'!$G$5:$G$24,0)</x:f>
        <x:v>119.05199999999998</x:v>
      </x:c>
    </x:row>
    <x:row r="14">
      <x:c r="A14" s="19" t="str">
        <x:v>2026-07-07|S01|D10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D10</x:v>
      </x:c>
      <x:c r="F14" s="19" t="str">
        <x:v>农家一碗香</x:v>
      </x:c>
      <x:c r="G14" s="20" t="n">
        <x:f>SUMIFS('7日销售明细'!$K$5:$K$2244,'7日销售明细'!$B$5:$B$2244,B14,'7日销售明细'!$D$5:$D$2244,C14,'7日销售明细'!$H$5:$H$2244,E14)</x:f>
        <x:v>22</x:v>
      </x:c>
      <x:c r="H14" s="35" t="n">
        <x:f>SUMIFS('7日销售明细'!$L$5:$L$2244,'7日销售明细'!$B$5:$B$2244,B14,'7日销售明细'!$D$5:$D$2244,C14,'7日销售明细'!$H$5:$H$2244,E14)</x:f>
        <x:v>503.8</x:v>
      </x:c>
      <x:c r="I14" s="35" t="n">
        <x:f>G14*XLOOKUP(E14,'菜品主数据'!$A$5:$A$24,'菜品主数据'!$G$5:$G$24,0)</x:f>
        <x:v>214.94440000000006</x:v>
      </x:c>
    </x:row>
    <x:row r="15">
      <x:c r="A15" s="19" t="str">
        <x:v>2026-07-07|S01|D11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D11</x:v>
      </x:c>
      <x:c r="F15" s="19" t="str">
        <x:v>香辣爆肥肠</x:v>
      </x:c>
      <x:c r="G15" s="20" t="n">
        <x:f>SUMIFS('7日销售明细'!$K$5:$K$2244,'7日销售明细'!$B$5:$B$2244,B15,'7日销售明细'!$D$5:$D$2244,C15,'7日销售明细'!$H$5:$H$2244,E15)</x:f>
        <x:v>8</x:v>
      </x:c>
      <x:c r="H15" s="35" t="n">
        <x:f>SUMIFS('7日销售明细'!$L$5:$L$2244,'7日销售明细'!$B$5:$B$2244,B15,'7日销售明细'!$D$5:$D$2244,C15,'7日销售明细'!$H$5:$H$2244,E15)</x:f>
        <x:v>312</x:v>
      </x:c>
      <x:c r="I15" s="35" t="n">
        <x:f>G15*XLOOKUP(E15,'菜品主数据'!$A$5:$A$24,'菜品主数据'!$G$5:$G$24,0)</x:f>
        <x:v>83.176</x:v>
      </x:c>
    </x:row>
    <x:row r="16">
      <x:c r="A16" s="19" t="str">
        <x:v>2026-07-07|S01|D12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D12</x:v>
      </x:c>
      <x:c r="F16" s="19" t="str">
        <x:v>清蒸鲈鱼</x:v>
      </x:c>
      <x:c r="G16" s="20" t="n">
        <x:f>SUMIFS('7日销售明细'!$K$5:$K$2244,'7日销售明细'!$B$5:$B$2244,B16,'7日销售明细'!$D$5:$D$2244,C16,'7日销售明细'!$H$5:$H$2244,E16)</x:f>
        <x:v>8</x:v>
      </x:c>
      <x:c r="H16" s="35" t="n">
        <x:f>SUMIFS('7日销售明细'!$L$5:$L$2244,'7日销售明细'!$B$5:$B$2244,B16,'7日销售明细'!$D$5:$D$2244,C16,'7日销售明细'!$H$5:$H$2244,E16)</x:f>
        <x:v>312</x:v>
      </x:c>
      <x:c r="I16" s="35" t="n">
        <x:f>G16*XLOOKUP(E16,'菜品主数据'!$A$5:$A$24,'菜品主数据'!$G$5:$G$24,0)</x:f>
        <x:v>150.992</x:v>
      </x:c>
    </x:row>
    <x:row r="17">
      <x:c r="A17" s="19" t="str">
        <x:v>2026-07-07|S01|D13</x:v>
      </x:c>
      <x:c r="B17" s="34" t="n">
        <x:v>46210.5</x:v>
      </x:c>
      <x:c r="C17" s="19" t="str">
        <x:v>S01</x:v>
      </x:c>
      <x:c r="D17" s="19" t="str">
        <x:v>近江天阳店</x:v>
      </x:c>
      <x:c r="E17" s="19" t="str">
        <x:v>D13</x:v>
      </x:c>
      <x:c r="F17" s="19" t="str">
        <x:v>外婆菜炒蛋</x:v>
      </x:c>
      <x:c r="G17" s="20" t="n">
        <x:f>SUMIFS('7日销售明细'!$K$5:$K$2244,'7日销售明细'!$B$5:$B$2244,B17,'7日销售明细'!$D$5:$D$2244,C17,'7日销售明细'!$H$5:$H$2244,E17)</x:f>
        <x:v>17</x:v>
      </x:c>
      <x:c r="H17" s="35" t="n">
        <x:f>SUMIFS('7日销售明细'!$L$5:$L$2244,'7日销售明细'!$B$5:$B$2244,B17,'7日销售明细'!$D$5:$D$2244,C17,'7日销售明细'!$H$5:$H$2244,E17)</x:f>
        <x:v>306</x:v>
      </x:c>
      <x:c r="I17" s="35" t="n">
        <x:f>G17*XLOOKUP(E17,'菜品主数据'!$A$5:$A$24,'菜品主数据'!$G$5:$G$24,0)</x:f>
        <x:v>91.86799999999998</x:v>
      </x:c>
    </x:row>
    <x:row r="18">
      <x:c r="A18" s="19" t="str">
        <x:v>2026-07-07|S01|D14</x:v>
      </x:c>
      <x:c r="B18" s="34" t="n">
        <x:v>46210.5</x:v>
      </x:c>
      <x:c r="C18" s="19" t="str">
        <x:v>S01</x:v>
      </x:c>
      <x:c r="D18" s="19" t="str">
        <x:v>近江天阳店</x:v>
      </x:c>
      <x:c r="E18" s="19" t="str">
        <x:v>D14</x:v>
      </x:c>
      <x:c r="F18" s="19" t="str">
        <x:v>酸辣鸡杂</x:v>
      </x:c>
      <x:c r="G18" s="20" t="n">
        <x:f>SUMIFS('7日销售明细'!$K$5:$K$2244,'7日销售明细'!$B$5:$B$2244,B18,'7日销售明细'!$D$5:$D$2244,C18,'7日销售明细'!$H$5:$H$2244,E18)</x:f>
        <x:v>10</x:v>
      </x:c>
      <x:c r="H18" s="35" t="n">
        <x:f>SUMIFS('7日销售明细'!$L$5:$L$2244,'7日销售明细'!$B$5:$B$2244,B18,'7日销售明细'!$D$5:$D$2244,C18,'7日销售明细'!$H$5:$H$2244,E18)</x:f>
        <x:v>280</x:v>
      </x:c>
      <x:c r="I18" s="35" t="n">
        <x:f>G18*XLOOKUP(E18,'菜品主数据'!$A$5:$A$24,'菜品主数据'!$G$5:$G$24,0)</x:f>
        <x:v>83.15</x:v>
      </x:c>
    </x:row>
    <x:row r="19">
      <x:c r="A19" s="19" t="str">
        <x:v>2026-07-07|S01|D15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D15</x:v>
      </x:c>
      <x:c r="F19" s="19" t="str">
        <x:v>湘西土匪猪肝</x:v>
      </x:c>
      <x:c r="G19" s="20" t="n">
        <x:f>SUMIFS('7日销售明细'!$K$5:$K$2244,'7日销售明细'!$B$5:$B$2244,B19,'7日销售明细'!$D$5:$D$2244,C19,'7日销售明细'!$H$5:$H$2244,E19)</x:f>
        <x:v>10</x:v>
      </x:c>
      <x:c r="H19" s="35" t="n">
        <x:f>SUMIFS('7日销售明细'!$L$5:$L$2244,'7日销售明细'!$B$5:$B$2244,B19,'7日销售明细'!$D$5:$D$2244,C19,'7日销售明细'!$H$5:$H$2244,E19)</x:f>
        <x:v>260</x:v>
      </x:c>
      <x:c r="I19" s="35" t="n">
        <x:f>G19*XLOOKUP(E19,'菜品主数据'!$A$5:$A$24,'菜品主数据'!$G$5:$G$24,0)</x:f>
        <x:v>63.75999999999999</x:v>
      </x:c>
    </x:row>
    <x:row r="20">
      <x:c r="A20" s="19" t="str">
        <x:v>2026-07-07|S01|D16</x:v>
      </x:c>
      <x:c r="B20" s="34" t="n">
        <x:v>46210.5</x:v>
      </x:c>
      <x:c r="C20" s="19" t="str">
        <x:v>S01</x:v>
      </x:c>
      <x:c r="D20" s="19" t="str">
        <x:v>近江天阳店</x:v>
      </x:c>
      <x:c r="E20" s="19" t="str">
        <x:v>D16</x:v>
      </x:c>
      <x:c r="F20" s="19" t="str">
        <x:v>小豆角炒五花</x:v>
      </x:c>
      <x:c r="G20" s="20" t="n">
        <x:f>SUMIFS('7日销售明细'!$K$5:$K$2244,'7日销售明细'!$B$5:$B$2244,B20,'7日销售明细'!$D$5:$D$2244,C20,'7日销售明细'!$H$5:$H$2244,E20)</x:f>
        <x:v>10</x:v>
      </x:c>
      <x:c r="H20" s="35" t="n">
        <x:f>SUMIFS('7日销售明细'!$L$5:$L$2244,'7日销售明细'!$B$5:$B$2244,B20,'7日销售明细'!$D$5:$D$2244,C20,'7日销售明细'!$H$5:$H$2244,E20)</x:f>
        <x:v>250</x:v>
      </x:c>
      <x:c r="I20" s="35" t="n">
        <x:f>G20*XLOOKUP(E20,'菜品主数据'!$A$5:$A$24,'菜品主数据'!$G$5:$G$24,0)</x:f>
        <x:v>81.83999999999999</x:v>
      </x:c>
    </x:row>
    <x:row r="21">
      <x:c r="A21" s="19" t="str">
        <x:v>2026-07-07|S01|D17</x:v>
      </x:c>
      <x:c r="B21" s="34" t="n">
        <x:v>46210.5</x:v>
      </x:c>
      <x:c r="C21" s="19" t="str">
        <x:v>S01</x:v>
      </x:c>
      <x:c r="D21" s="19" t="str">
        <x:v>近江天阳店</x:v>
      </x:c>
      <x:c r="E21" s="19" t="str">
        <x:v>D17</x:v>
      </x:c>
      <x:c r="F21" s="19" t="str">
        <x:v>蒜蓉粉丝虾</x:v>
      </x:c>
      <x:c r="G21" s="20" t="n">
        <x:f>SUMIFS('7日销售明细'!$K$5:$K$2244,'7日销售明细'!$B$5:$B$2244,B21,'7日销售明细'!$D$5:$D$2244,C21,'7日销售明细'!$H$5:$H$2244,E21)</x:f>
        <x:v>5</x:v>
      </x:c>
      <x:c r="H21" s="35" t="n">
        <x:f>SUMIFS('7日销售明细'!$L$5:$L$2244,'7日销售明细'!$B$5:$B$2244,B21,'7日销售明细'!$D$5:$D$2244,C21,'7日销售明细'!$H$5:$H$2244,E21)</x:f>
        <x:v>180</x:v>
      </x:c>
      <x:c r="I21" s="35" t="n">
        <x:f>G21*XLOOKUP(E21,'菜品主数据'!$A$5:$A$24,'菜品主数据'!$G$5:$G$24,0)</x:f>
        <x:v>67.97</x:v>
      </x:c>
    </x:row>
    <x:row r="22">
      <x:c r="A22" s="19" t="str">
        <x:v>2026-07-07|S01|D18</x:v>
      </x:c>
      <x:c r="B22" s="34" t="n">
        <x:v>46210.5</x:v>
      </x:c>
      <x:c r="C22" s="19" t="str">
        <x:v>S01</x:v>
      </x:c>
      <x:c r="D22" s="19" t="str">
        <x:v>近江天阳店</x:v>
      </x:c>
      <x:c r="E22" s="19" t="str">
        <x:v>D18</x:v>
      </x:c>
      <x:c r="F22" s="19" t="str">
        <x:v>青椒炒油麦菜</x:v>
      </x:c>
      <x:c r="G22" s="20" t="n">
        <x:f>SUMIFS('7日销售明细'!$K$5:$K$2244,'7日销售明细'!$B$5:$B$2244,B22,'7日销售明细'!$D$5:$D$2244,C22,'7日销售明细'!$H$5:$H$2244,E22)</x:f>
        <x:v>10</x:v>
      </x:c>
      <x:c r="H22" s="35" t="n">
        <x:f>SUMIFS('7日销售明细'!$L$5:$L$2244,'7日销售明细'!$B$5:$B$2244,B22,'7日销售明细'!$D$5:$D$2244,C22,'7日销售明细'!$H$5:$H$2244,E22)</x:f>
        <x:v>180</x:v>
      </x:c>
      <x:c r="I22" s="35" t="n">
        <x:f>G22*XLOOKUP(E22,'菜品主数据'!$A$5:$A$24,'菜品主数据'!$G$5:$G$24,0)</x:f>
        <x:v>31.75999999999999</x:v>
      </x:c>
    </x:row>
    <x:row r="23">
      <x:c r="A23" s="19" t="str">
        <x:v>2026-07-07|S01|D19</x:v>
      </x:c>
      <x:c r="B23" s="34" t="n">
        <x:v>46210.5</x:v>
      </x:c>
      <x:c r="C23" s="19" t="str">
        <x:v>S01</x:v>
      </x:c>
      <x:c r="D23" s="19" t="str">
        <x:v>近江天阳店</x:v>
      </x:c>
      <x:c r="E23" s="19" t="str">
        <x:v>D19</x:v>
      </x:c>
      <x:c r="F23" s="19" t="str">
        <x:v>酸萝卜炒鸡杂</x:v>
      </x:c>
      <x:c r="G23" s="20" t="n">
        <x:f>SUMIFS('7日销售明细'!$K$5:$K$2244,'7日销售明细'!$B$5:$B$2244,B23,'7日销售明细'!$D$5:$D$2244,C23,'7日销售明细'!$H$5:$H$2244,E23)</x:f>
        <x:v>7</x:v>
      </x:c>
      <x:c r="H23" s="35" t="n">
        <x:f>SUMIFS('7日销售明细'!$L$5:$L$2244,'7日销售明细'!$B$5:$B$2244,B23,'7日销售明细'!$D$5:$D$2244,C23,'7日销售明细'!$H$5:$H$2244,E23)</x:f>
        <x:v>175</x:v>
      </x:c>
      <x:c r="I23" s="35" t="n">
        <x:f>G23*XLOOKUP(E23,'菜品主数据'!$A$5:$A$24,'菜品主数据'!$G$5:$G$24,0)</x:f>
        <x:v>55.58</x:v>
      </x:c>
    </x:row>
    <x:row r="24">
      <x:c r="A24" s="19" t="str">
        <x:v>2026-07-07|S01|D20</x:v>
      </x:c>
      <x:c r="B24" s="34" t="n">
        <x:v>46210.5</x:v>
      </x:c>
      <x:c r="C24" s="19" t="str">
        <x:v>S01</x:v>
      </x:c>
      <x:c r="D24" s="19" t="str">
        <x:v>近江天阳店</x:v>
      </x:c>
      <x:c r="E24" s="19" t="str">
        <x:v>D20</x:v>
      </x:c>
      <x:c r="F24" s="19" t="str">
        <x:v>雪菜肉末青豆</x:v>
      </x:c>
      <x:c r="G24" s="20" t="n">
        <x:f>SUMIFS('7日销售明细'!$K$5:$K$2244,'7日销售明细'!$B$5:$B$2244,B24,'7日销售明细'!$D$5:$D$2244,C24,'7日销售明细'!$H$5:$H$2244,E24)</x:f>
        <x:v>11</x:v>
      </x:c>
      <x:c r="H24" s="35" t="n">
        <x:f>SUMIFS('7日销售明细'!$L$5:$L$2244,'7日销售明细'!$B$5:$B$2244,B24,'7日销售明细'!$D$5:$D$2244,C24,'7日销售明细'!$H$5:$H$2244,E24)</x:f>
        <x:v>198</x:v>
      </x:c>
      <x:c r="I24" s="35" t="n">
        <x:f>G24*XLOOKUP(E24,'菜品主数据'!$A$5:$A$24,'菜品主数据'!$G$5:$G$24,0)</x:f>
        <x:v>80.344</x:v>
      </x:c>
    </x:row>
    <x:row r="25">
      <x:c r="A25" s="19" t="str">
        <x:v>2026-07-08|S01|D01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D01</x:v>
      </x:c>
      <x:c r="F25" s="19" t="str">
        <x:v>辣椒炒肉</x:v>
      </x:c>
      <x:c r="G25" s="20" t="n">
        <x:f>SUMIFS('7日销售明细'!$K$5:$K$2244,'7日销售明细'!$B$5:$B$2244,B25,'7日销售明细'!$D$5:$D$2244,C25,'7日销售明细'!$H$5:$H$2244,E25)</x:f>
        <x:v>55</x:v>
      </x:c>
      <x:c r="H25" s="35" t="n">
        <x:f>SUMIFS('7日销售明细'!$L$5:$L$2244,'7日销售明细'!$B$5:$B$2244,B25,'7日销售明细'!$D$5:$D$2244,C25,'7日销售明细'!$H$5:$H$2244,E25)</x:f>
        <x:v>1595</x:v>
      </x:c>
      <x:c r="I25" s="35" t="n">
        <x:f>G25*XLOOKUP(E25,'菜品主数据'!$A$5:$A$24,'菜品主数据'!$G$5:$G$24,0)</x:f>
        <x:v>474.89200000000005</x:v>
      </x:c>
    </x:row>
    <x:row r="26">
      <x:c r="A26" s="19" t="str">
        <x:v>2026-07-08|S01|D02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D02</x:v>
      </x:c>
      <x:c r="F26" s="19" t="str">
        <x:v>小炒黄牛肉</x:v>
      </x:c>
      <x:c r="G26" s="20" t="n">
        <x:f>SUMIFS('7日销售明细'!$K$5:$K$2244,'7日销售明细'!$B$5:$B$2244,B26,'7日销售明细'!$D$5:$D$2244,C26,'7日销售明细'!$H$5:$H$2244,E26)</x:f>
        <x:v>34</x:v>
      </x:c>
      <x:c r="H26" s="35" t="n">
        <x:f>SUMIFS('7日销售明细'!$L$5:$L$2244,'7日销售明细'!$B$5:$B$2244,B26,'7日销售明细'!$D$5:$D$2244,C26,'7日销售明细'!$H$5:$H$2244,E26)</x:f>
        <x:v>1666</x:v>
      </x:c>
      <x:c r="I26" s="35" t="n">
        <x:f>G26*XLOOKUP(E26,'菜品主数据'!$A$5:$A$24,'菜品主数据'!$G$5:$G$24,0)</x:f>
        <x:v>597.618</x:v>
      </x:c>
    </x:row>
    <x:row r="27">
      <x:c r="A27" s="19" t="str">
        <x:v>2026-07-08|S01|D03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D03</x:v>
      </x:c>
      <x:c r="F27" s="19" t="str">
        <x:v>香醋炒蛋</x:v>
      </x:c>
      <x:c r="G27" s="20" t="n">
        <x:f>SUMIFS('7日销售明细'!$K$5:$K$2244,'7日销售明细'!$B$5:$B$2244,B27,'7日销售明细'!$D$5:$D$2244,C27,'7日销售明细'!$H$5:$H$2244,E27)</x:f>
        <x:v>45</x:v>
      </x:c>
      <x:c r="H27" s="35" t="n">
        <x:f>SUMIFS('7日销售明细'!$L$5:$L$2244,'7日销售明细'!$B$5:$B$2244,B27,'7日销售明细'!$D$5:$D$2244,C27,'7日销售明细'!$H$5:$H$2244,E27)</x:f>
        <x:v>670.5</x:v>
      </x:c>
      <x:c r="I27" s="35" t="n">
        <x:f>G27*XLOOKUP(E27,'菜品主数据'!$A$5:$A$24,'菜品主数据'!$G$5:$G$24,0)</x:f>
        <x:v>168.57</x:v>
      </x:c>
    </x:row>
    <x:row r="28">
      <x:c r="A28" s="19" t="str">
        <x:v>2026-07-08|S01|D04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D04</x:v>
      </x:c>
      <x:c r="F28" s="19" t="str">
        <x:v>酸包菜炒粉皮</x:v>
      </x:c>
      <x:c r="G28" s="20" t="n">
        <x:f>SUMIFS('7日销售明细'!$K$5:$K$2244,'7日销售明细'!$B$5:$B$2244,B28,'7日销售明细'!$D$5:$D$2244,C28,'7日销售明细'!$H$5:$H$2244,E28)</x:f>
        <x:v>43</x:v>
      </x:c>
      <x:c r="H28" s="35" t="n">
        <x:f>SUMIFS('7日销售明细'!$L$5:$L$2244,'7日销售明细'!$B$5:$B$2244,B28,'7日销售明细'!$D$5:$D$2244,C28,'7日销售明细'!$H$5:$H$2244,E28)</x:f>
        <x:v>688</x:v>
      </x:c>
      <x:c r="I28" s="35" t="n">
        <x:f>G28*XLOOKUP(E28,'菜品主数据'!$A$5:$A$24,'菜品主数据'!$G$5:$G$24,0)</x:f>
        <x:v>171.054</x:v>
      </x:c>
    </x:row>
    <x:row r="29">
      <x:c r="A29" s="19" t="str">
        <x:v>2026-07-08|S01|D05</x:v>
      </x:c>
      <x:c r="B29" s="34" t="n">
        <x:v>46211.5</x:v>
      </x:c>
      <x:c r="C29" s="19" t="str">
        <x:v>S01</x:v>
      </x:c>
      <x:c r="D29" s="19" t="str">
        <x:v>近江天阳店</x:v>
      </x:c>
      <x:c r="E29" s="19" t="str">
        <x:v>D05</x:v>
      </x:c>
      <x:c r="F29" s="19" t="str">
        <x:v>麻婆豆腐</x:v>
      </x:c>
      <x:c r="G29" s="20" t="n">
        <x:f>SUMIFS('7日销售明细'!$K$5:$K$2244,'7日销售明细'!$B$5:$B$2244,B29,'7日销售明细'!$D$5:$D$2244,C29,'7日销售明细'!$H$5:$H$2244,E29)</x:f>
        <x:v>56</x:v>
      </x:c>
      <x:c r="H29" s="35" t="n">
        <x:f>SUMIFS('7日销售明细'!$L$5:$L$2244,'7日销售明细'!$B$5:$B$2244,B29,'7日销售明细'!$D$5:$D$2244,C29,'7日销售明细'!$H$5:$H$2244,E29)</x:f>
        <x:v>554.4000000000001</x:v>
      </x:c>
      <x:c r="I29" s="35" t="n">
        <x:f>G29*XLOOKUP(E29,'菜品主数据'!$A$5:$A$24,'菜品主数据'!$G$5:$G$24,0)</x:f>
        <x:v>300.552</x:v>
      </x:c>
    </x:row>
    <x:row r="30">
      <x:c r="A30" s="19" t="str">
        <x:v>2026-07-08|S01|D06</x:v>
      </x:c>
      <x:c r="B30" s="34" t="n">
        <x:v>46211.5</x:v>
      </x:c>
      <x:c r="C30" s="19" t="str">
        <x:v>S01</x:v>
      </x:c>
      <x:c r="D30" s="19" t="str">
        <x:v>近江天阳店</x:v>
      </x:c>
      <x:c r="E30" s="19" t="str">
        <x:v>D06</x:v>
      </x:c>
      <x:c r="F30" s="19" t="str">
        <x:v>剁椒鱼头</x:v>
      </x:c>
      <x:c r="G30" s="20" t="n">
        <x:f>SUMIFS('7日销售明细'!$K$5:$K$2244,'7日销售明细'!$B$5:$B$2244,B30,'7日销售明细'!$D$5:$D$2244,C30,'7日销售明细'!$H$5:$H$2244,E30)</x:f>
        <x:v>15</x:v>
      </x:c>
      <x:c r="H30" s="35" t="n">
        <x:f>SUMIFS('7日销售明细'!$L$5:$L$2244,'7日销售明细'!$B$5:$B$2244,B30,'7日销售明细'!$D$5:$D$2244,C30,'7日销售明细'!$H$5:$H$2244,E30)</x:f>
        <x:v>585</x:v>
      </x:c>
      <x:c r="I30" s="35" t="n">
        <x:f>G30*XLOOKUP(E30,'菜品主数据'!$A$5:$A$24,'菜品主数据'!$G$5:$G$24,0)</x:f>
        <x:v>261.69</x:v>
      </x:c>
    </x:row>
    <x:row r="31">
      <x:c r="A31" s="19" t="str">
        <x:v>2026-07-08|S01|D07</x:v>
      </x:c>
      <x:c r="B31" s="34" t="n">
        <x:v>46211.5</x:v>
      </x:c>
      <x:c r="C31" s="19" t="str">
        <x:v>S01</x:v>
      </x:c>
      <x:c r="D31" s="19" t="str">
        <x:v>近江天阳店</x:v>
      </x:c>
      <x:c r="E31" s="19" t="str">
        <x:v>D07</x:v>
      </x:c>
      <x:c r="F31" s="19" t="str">
        <x:v>川味回锅肉</x:v>
      </x:c>
      <x:c r="G31" s="20" t="n">
        <x:f>SUMIFS('7日销售明细'!$K$5:$K$2244,'7日销售明细'!$B$5:$B$2244,B31,'7日销售明细'!$D$5:$D$2244,C31,'7日销售明细'!$H$5:$H$2244,E31)</x:f>
        <x:v>17</x:v>
      </x:c>
      <x:c r="H31" s="35" t="n">
        <x:f>SUMIFS('7日销售明细'!$L$5:$L$2244,'7日销售明细'!$B$5:$B$2244,B31,'7日销售明细'!$D$5:$D$2244,C31,'7日销售明细'!$H$5:$H$2244,E31)</x:f>
        <x:v>493</x:v>
      </x:c>
      <x:c r="I31" s="35" t="n">
        <x:f>G31*XLOOKUP(E31,'菜品主数据'!$A$5:$A$24,'菜品主数据'!$G$5:$G$24,0)</x:f>
        <x:v>173.92700000000002</x:v>
      </x:c>
    </x:row>
    <x:row r="32">
      <x:c r="A32" s="19" t="str">
        <x:v>2026-07-08|S01|D08</x:v>
      </x:c>
      <x:c r="B32" s="34" t="n">
        <x:v>46211.5</x:v>
      </x:c>
      <x:c r="C32" s="19" t="str">
        <x:v>S01</x:v>
      </x:c>
      <x:c r="D32" s="19" t="str">
        <x:v>近江天阳店</x:v>
      </x:c>
      <x:c r="E32" s="19" t="str">
        <x:v>D08</x:v>
      </x:c>
      <x:c r="F32" s="19" t="str">
        <x:v>生炒清远鸡</x:v>
      </x:c>
      <x:c r="G32" s="20" t="n">
        <x:f>SUMIFS('7日销售明细'!$K$5:$K$2244,'7日销售明细'!$B$5:$B$2244,B32,'7日销售明细'!$D$5:$D$2244,C32,'7日销售明细'!$H$5:$H$2244,E32)</x:f>
        <x:v>13</x:v>
      </x:c>
      <x:c r="H32" s="35" t="n">
        <x:f>SUMIFS('7日销售明细'!$L$5:$L$2244,'7日销售明细'!$B$5:$B$2244,B32,'7日销售明细'!$D$5:$D$2244,C32,'7日销售明细'!$H$5:$H$2244,E32)</x:f>
        <x:v>468</x:v>
      </x:c>
      <x:c r="I32" s="35" t="n">
        <x:f>G32*XLOOKUP(E32,'菜品主数据'!$A$5:$A$24,'菜品主数据'!$G$5:$G$24,0)</x:f>
        <x:v>175.24</x:v>
      </x:c>
    </x:row>
    <x:row r="33">
      <x:c r="A33" s="19" t="str">
        <x:v>2026-07-08|S01|D09</x:v>
      </x:c>
      <x:c r="B33" s="34" t="n">
        <x:v>46211.5</x:v>
      </x:c>
      <x:c r="C33" s="19" t="str">
        <x:v>S01</x:v>
      </x:c>
      <x:c r="D33" s="19" t="str">
        <x:v>近江天阳店</x:v>
      </x:c>
      <x:c r="E33" s="19" t="str">
        <x:v>D09</x:v>
      </x:c>
      <x:c r="F33" s="19" t="str">
        <x:v>炒豆干</x:v>
      </x:c>
      <x:c r="G33" s="20" t="n">
        <x:f>SUMIFS('7日销售明细'!$K$5:$K$2244,'7日销售明细'!$B$5:$B$2244,B33,'7日销售明细'!$D$5:$D$2244,C33,'7日销售明细'!$H$5:$H$2244,E33)</x:f>
        <x:v>19</x:v>
      </x:c>
      <x:c r="H33" s="35" t="n">
        <x:f>SUMIFS('7日销售明细'!$L$5:$L$2244,'7日销售明细'!$B$5:$B$2244,B33,'7日销售明细'!$D$5:$D$2244,C33,'7日销售明细'!$H$5:$H$2244,E33)</x:f>
        <x:v>342</x:v>
      </x:c>
      <x:c r="I33" s="35" t="n">
        <x:f>G33*XLOOKUP(E33,'菜品主数据'!$A$5:$A$24,'菜品主数据'!$G$5:$G$24,0)</x:f>
        <x:v>125.66599999999998</x:v>
      </x:c>
    </x:row>
    <x:row r="34">
      <x:c r="A34" s="19" t="str">
        <x:v>2026-07-08|S01|D10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D10</x:v>
      </x:c>
      <x:c r="F34" s="19" t="str">
        <x:v>农家一碗香</x:v>
      </x:c>
      <x:c r="G34" s="20" t="n">
        <x:f>SUMIFS('7日销售明细'!$K$5:$K$2244,'7日销售明细'!$B$5:$B$2244,B34,'7日销售明细'!$D$5:$D$2244,C34,'7日销售明细'!$H$5:$H$2244,E34)</x:f>
        <x:v>22</x:v>
      </x:c>
      <x:c r="H34" s="35" t="n">
        <x:f>SUMIFS('7日销售明细'!$L$5:$L$2244,'7日销售明细'!$B$5:$B$2244,B34,'7日销售明细'!$D$5:$D$2244,C34,'7日销售明细'!$H$5:$H$2244,E34)</x:f>
        <x:v>503.8</x:v>
      </x:c>
      <x:c r="I34" s="35" t="n">
        <x:f>G34*XLOOKUP(E34,'菜品主数据'!$A$5:$A$24,'菜品主数据'!$G$5:$G$24,0)</x:f>
        <x:v>214.94440000000006</x:v>
      </x:c>
    </x:row>
    <x:row r="35">
      <x:c r="A35" s="19" t="str">
        <x:v>2026-07-08|S01|D11</x:v>
      </x:c>
      <x:c r="B35" s="34" t="n">
        <x:v>46211.5</x:v>
      </x:c>
      <x:c r="C35" s="19" t="str">
        <x:v>S01</x:v>
      </x:c>
      <x:c r="D35" s="19" t="str">
        <x:v>近江天阳店</x:v>
      </x:c>
      <x:c r="E35" s="19" t="str">
        <x:v>D11</x:v>
      </x:c>
      <x:c r="F35" s="19" t="str">
        <x:v>香辣爆肥肠</x:v>
      </x:c>
      <x:c r="G35" s="20" t="n">
        <x:f>SUMIFS('7日销售明细'!$K$5:$K$2244,'7日销售明细'!$B$5:$B$2244,B35,'7日销售明细'!$D$5:$D$2244,C35,'7日销售明细'!$H$5:$H$2244,E35)</x:f>
        <x:v>8</x:v>
      </x:c>
      <x:c r="H35" s="35" t="n">
        <x:f>SUMIFS('7日销售明细'!$L$5:$L$2244,'7日销售明细'!$B$5:$B$2244,B35,'7日销售明细'!$D$5:$D$2244,C35,'7日销售明细'!$H$5:$H$2244,E35)</x:f>
        <x:v>312</x:v>
      </x:c>
      <x:c r="I35" s="35" t="n">
        <x:f>G35*XLOOKUP(E35,'菜品主数据'!$A$5:$A$24,'菜品主数据'!$G$5:$G$24,0)</x:f>
        <x:v>83.176</x:v>
      </x:c>
    </x:row>
    <x:row r="36">
      <x:c r="A36" s="19" t="str">
        <x:v>2026-07-08|S01|D12</x:v>
      </x:c>
      <x:c r="B36" s="34" t="n">
        <x:v>46211.5</x:v>
      </x:c>
      <x:c r="C36" s="19" t="str">
        <x:v>S01</x:v>
      </x:c>
      <x:c r="D36" s="19" t="str">
        <x:v>近江天阳店</x:v>
      </x:c>
      <x:c r="E36" s="19" t="str">
        <x:v>D12</x:v>
      </x:c>
      <x:c r="F36" s="19" t="str">
        <x:v>清蒸鲈鱼</x:v>
      </x:c>
      <x:c r="G36" s="20" t="n">
        <x:f>SUMIFS('7日销售明细'!$K$5:$K$2244,'7日销售明细'!$B$5:$B$2244,B36,'7日销售明细'!$D$5:$D$2244,C36,'7日销售明细'!$H$5:$H$2244,E36)</x:f>
        <x:v>7</x:v>
      </x:c>
      <x:c r="H36" s="35" t="n">
        <x:f>SUMIFS('7日销售明细'!$L$5:$L$2244,'7日销售明细'!$B$5:$B$2244,B36,'7日销售明细'!$D$5:$D$2244,C36,'7日销售明细'!$H$5:$H$2244,E36)</x:f>
        <x:v>273</x:v>
      </x:c>
      <x:c r="I36" s="35" t="n">
        <x:f>G36*XLOOKUP(E36,'菜品主数据'!$A$5:$A$24,'菜品主数据'!$G$5:$G$24,0)</x:f>
        <x:v>132.118</x:v>
      </x:c>
    </x:row>
    <x:row r="37">
      <x:c r="A37" s="19" t="str">
        <x:v>2026-07-08|S01|D13</x:v>
      </x:c>
      <x:c r="B37" s="34" t="n">
        <x:v>46211.5</x:v>
      </x:c>
      <x:c r="C37" s="19" t="str">
        <x:v>S01</x:v>
      </x:c>
      <x:c r="D37" s="19" t="str">
        <x:v>近江天阳店</x:v>
      </x:c>
      <x:c r="E37" s="19" t="str">
        <x:v>D13</x:v>
      </x:c>
      <x:c r="F37" s="19" t="str">
        <x:v>外婆菜炒蛋</x:v>
      </x:c>
      <x:c r="G37" s="20" t="n">
        <x:f>SUMIFS('7日销售明细'!$K$5:$K$2244,'7日销售明细'!$B$5:$B$2244,B37,'7日销售明细'!$D$5:$D$2244,C37,'7日销售明细'!$H$5:$H$2244,E37)</x:f>
        <x:v>19</x:v>
      </x:c>
      <x:c r="H37" s="35" t="n">
        <x:f>SUMIFS('7日销售明细'!$L$5:$L$2244,'7日销售明细'!$B$5:$B$2244,B37,'7日销售明细'!$D$5:$D$2244,C37,'7日销售明细'!$H$5:$H$2244,E37)</x:f>
        <x:v>342</x:v>
      </x:c>
      <x:c r="I37" s="35" t="n">
        <x:f>G37*XLOOKUP(E37,'菜品主数据'!$A$5:$A$24,'菜品主数据'!$G$5:$G$24,0)</x:f>
        <x:v>102.67599999999999</x:v>
      </x:c>
    </x:row>
    <x:row r="38">
      <x:c r="A38" s="19" t="str">
        <x:v>2026-07-08|S01|D14</x:v>
      </x:c>
      <x:c r="B38" s="34" t="n">
        <x:v>46211.5</x:v>
      </x:c>
      <x:c r="C38" s="19" t="str">
        <x:v>S01</x:v>
      </x:c>
      <x:c r="D38" s="19" t="str">
        <x:v>近江天阳店</x:v>
      </x:c>
      <x:c r="E38" s="19" t="str">
        <x:v>D14</x:v>
      </x:c>
      <x:c r="F38" s="19" t="str">
        <x:v>酸辣鸡杂</x:v>
      </x:c>
      <x:c r="G38" s="20" t="n">
        <x:f>SUMIFS('7日销售明细'!$K$5:$K$2244,'7日销售明细'!$B$5:$B$2244,B38,'7日销售明细'!$D$5:$D$2244,C38,'7日销售明细'!$H$5:$H$2244,E38)</x:f>
        <x:v>11</x:v>
      </x:c>
      <x:c r="H38" s="35" t="n">
        <x:f>SUMIFS('7日销售明细'!$L$5:$L$2244,'7日销售明细'!$B$5:$B$2244,B38,'7日销售明细'!$D$5:$D$2244,C38,'7日销售明细'!$H$5:$H$2244,E38)</x:f>
        <x:v>308</x:v>
      </x:c>
      <x:c r="I38" s="35" t="n">
        <x:f>G38*XLOOKUP(E38,'菜品主数据'!$A$5:$A$24,'菜品主数据'!$G$5:$G$24,0)</x:f>
        <x:v>91.46500000000002</x:v>
      </x:c>
    </x:row>
    <x:row r="39">
      <x:c r="A39" s="19" t="str">
        <x:v>2026-07-08|S01|D15</x:v>
      </x:c>
      <x:c r="B39" s="34" t="n">
        <x:v>46211.5</x:v>
      </x:c>
      <x:c r="C39" s="19" t="str">
        <x:v>S01</x:v>
      </x:c>
      <x:c r="D39" s="19" t="str">
        <x:v>近江天阳店</x:v>
      </x:c>
      <x:c r="E39" s="19" t="str">
        <x:v>D15</x:v>
      </x:c>
      <x:c r="F39" s="19" t="str">
        <x:v>湘西土匪猪肝</x:v>
      </x:c>
      <x:c r="G39" s="20" t="n">
        <x:f>SUMIFS('7日销售明细'!$K$5:$K$2244,'7日销售明细'!$B$5:$B$2244,B39,'7日销售明细'!$D$5:$D$2244,C39,'7日销售明细'!$H$5:$H$2244,E39)</x:f>
        <x:v>8</x:v>
      </x:c>
      <x:c r="H39" s="35" t="n">
        <x:f>SUMIFS('7日销售明细'!$L$5:$L$2244,'7日销售明细'!$B$5:$B$2244,B39,'7日销售明细'!$D$5:$D$2244,C39,'7日销售明细'!$H$5:$H$2244,E39)</x:f>
        <x:v>208</x:v>
      </x:c>
      <x:c r="I39" s="35" t="n">
        <x:f>G39*XLOOKUP(E39,'菜品主数据'!$A$5:$A$24,'菜品主数据'!$G$5:$G$24,0)</x:f>
        <x:v>51.007999999999996</x:v>
      </x:c>
    </x:row>
    <x:row r="40">
      <x:c r="A40" s="19" t="str">
        <x:v>2026-07-08|S01|D16</x:v>
      </x:c>
      <x:c r="B40" s="34" t="n">
        <x:v>46211.5</x:v>
      </x:c>
      <x:c r="C40" s="19" t="str">
        <x:v>S01</x:v>
      </x:c>
      <x:c r="D40" s="19" t="str">
        <x:v>近江天阳店</x:v>
      </x:c>
      <x:c r="E40" s="19" t="str">
        <x:v>D16</x:v>
      </x:c>
      <x:c r="F40" s="19" t="str">
        <x:v>小豆角炒五花</x:v>
      </x:c>
      <x:c r="G40" s="20" t="n">
        <x:f>SUMIFS('7日销售明细'!$K$5:$K$2244,'7日销售明细'!$B$5:$B$2244,B40,'7日销售明细'!$D$5:$D$2244,C40,'7日销售明细'!$H$5:$H$2244,E40)</x:f>
        <x:v>8</x:v>
      </x:c>
      <x:c r="H40" s="35" t="n">
        <x:f>SUMIFS('7日销售明细'!$L$5:$L$2244,'7日销售明细'!$B$5:$B$2244,B40,'7日销售明细'!$D$5:$D$2244,C40,'7日销售明细'!$H$5:$H$2244,E40)</x:f>
        <x:v>200</x:v>
      </x:c>
      <x:c r="I40" s="35" t="n">
        <x:f>G40*XLOOKUP(E40,'菜品主数据'!$A$5:$A$24,'菜品主数据'!$G$5:$G$24,0)</x:f>
        <x:v>65.472</x:v>
      </x:c>
    </x:row>
    <x:row r="41">
      <x:c r="A41" s="19" t="str">
        <x:v>2026-07-08|S01|D17</x:v>
      </x:c>
      <x:c r="B41" s="34" t="n">
        <x:v>46211.5</x:v>
      </x:c>
      <x:c r="C41" s="19" t="str">
        <x:v>S01</x:v>
      </x:c>
      <x:c r="D41" s="19" t="str">
        <x:v>近江天阳店</x:v>
      </x:c>
      <x:c r="E41" s="19" t="str">
        <x:v>D17</x:v>
      </x:c>
      <x:c r="F41" s="19" t="str">
        <x:v>蒜蓉粉丝虾</x:v>
      </x:c>
      <x:c r="G41" s="20" t="n">
        <x:f>SUMIFS('7日销售明细'!$K$5:$K$2244,'7日销售明细'!$B$5:$B$2244,B41,'7日销售明细'!$D$5:$D$2244,C41,'7日销售明细'!$H$5:$H$2244,E41)</x:f>
        <x:v>6</x:v>
      </x:c>
      <x:c r="H41" s="35" t="n">
        <x:f>SUMIFS('7日销售明细'!$L$5:$L$2244,'7日销售明细'!$B$5:$B$2244,B41,'7日销售明细'!$D$5:$D$2244,C41,'7日销售明细'!$H$5:$H$2244,E41)</x:f>
        <x:v>216</x:v>
      </x:c>
      <x:c r="I41" s="35" t="n">
        <x:f>G41*XLOOKUP(E41,'菜品主数据'!$A$5:$A$24,'菜品主数据'!$G$5:$G$24,0)</x:f>
        <x:v>81.564</x:v>
      </x:c>
    </x:row>
    <x:row r="42">
      <x:c r="A42" s="19" t="str">
        <x:v>2026-07-08|S01|D18</x:v>
      </x:c>
      <x:c r="B42" s="34" t="n">
        <x:v>46211.5</x:v>
      </x:c>
      <x:c r="C42" s="19" t="str">
        <x:v>S01</x:v>
      </x:c>
      <x:c r="D42" s="19" t="str">
        <x:v>近江天阳店</x:v>
      </x:c>
      <x:c r="E42" s="19" t="str">
        <x:v>D18</x:v>
      </x:c>
      <x:c r="F42" s="19" t="str">
        <x:v>青椒炒油麦菜</x:v>
      </x:c>
      <x:c r="G42" s="20" t="n">
        <x:f>SUMIFS('7日销售明细'!$K$5:$K$2244,'7日销售明细'!$B$5:$B$2244,B42,'7日销售明细'!$D$5:$D$2244,C42,'7日销售明细'!$H$5:$H$2244,E42)</x:f>
        <x:v>11</x:v>
      </x:c>
      <x:c r="H42" s="35" t="n">
        <x:f>SUMIFS('7日销售明细'!$L$5:$L$2244,'7日销售明细'!$B$5:$B$2244,B42,'7日销售明细'!$D$5:$D$2244,C42,'7日销售明细'!$H$5:$H$2244,E42)</x:f>
        <x:v>198</x:v>
      </x:c>
      <x:c r="I42" s="35" t="n">
        <x:f>G42*XLOOKUP(E42,'菜品主数据'!$A$5:$A$24,'菜品主数据'!$G$5:$G$24,0)</x:f>
        <x:v>34.93599999999999</x:v>
      </x:c>
    </x:row>
    <x:row r="43">
      <x:c r="A43" s="19" t="str">
        <x:v>2026-07-08|S01|D19</x:v>
      </x:c>
      <x:c r="B43" s="34" t="n">
        <x:v>46211.5</x:v>
      </x:c>
      <x:c r="C43" s="19" t="str">
        <x:v>S01</x:v>
      </x:c>
      <x:c r="D43" s="19" t="str">
        <x:v>近江天阳店</x:v>
      </x:c>
      <x:c r="E43" s="19" t="str">
        <x:v>D19</x:v>
      </x:c>
      <x:c r="F43" s="19" t="str">
        <x:v>酸萝卜炒鸡杂</x:v>
      </x:c>
      <x:c r="G43" s="20" t="n">
        <x:f>SUMIFS('7日销售明细'!$K$5:$K$2244,'7日销售明细'!$B$5:$B$2244,B43,'7日销售明细'!$D$5:$D$2244,C43,'7日销售明细'!$H$5:$H$2244,E43)</x:f>
        <x:v>7</x:v>
      </x:c>
      <x:c r="H43" s="35" t="n">
        <x:f>SUMIFS('7日销售明细'!$L$5:$L$2244,'7日销售明细'!$B$5:$B$2244,B43,'7日销售明细'!$D$5:$D$2244,C43,'7日销售明细'!$H$5:$H$2244,E43)</x:f>
        <x:v>175</x:v>
      </x:c>
      <x:c r="I43" s="35" t="n">
        <x:f>G43*XLOOKUP(E43,'菜品主数据'!$A$5:$A$24,'菜品主数据'!$G$5:$G$24,0)</x:f>
        <x:v>55.58</x:v>
      </x:c>
    </x:row>
    <x:row r="44">
      <x:c r="A44" s="19" t="str">
        <x:v>2026-07-08|S01|D20</x:v>
      </x:c>
      <x:c r="B44" s="34" t="n">
        <x:v>46211.5</x:v>
      </x:c>
      <x:c r="C44" s="19" t="str">
        <x:v>S01</x:v>
      </x:c>
      <x:c r="D44" s="19" t="str">
        <x:v>近江天阳店</x:v>
      </x:c>
      <x:c r="E44" s="19" t="str">
        <x:v>D20</x:v>
      </x:c>
      <x:c r="F44" s="19" t="str">
        <x:v>雪菜肉末青豆</x:v>
      </x:c>
      <x:c r="G44" s="20" t="n">
        <x:f>SUMIFS('7日销售明细'!$K$5:$K$2244,'7日销售明细'!$B$5:$B$2244,B44,'7日销售明细'!$D$5:$D$2244,C44,'7日销售明细'!$H$5:$H$2244,E44)</x:f>
        <x:v>10</x:v>
      </x:c>
      <x:c r="H44" s="35" t="n">
        <x:f>SUMIFS('7日销售明细'!$L$5:$L$2244,'7日销售明细'!$B$5:$B$2244,B44,'7日销售明细'!$D$5:$D$2244,C44,'7日销售明细'!$H$5:$H$2244,E44)</x:f>
        <x:v>180</x:v>
      </x:c>
      <x:c r="I44" s="35" t="n">
        <x:f>G44*XLOOKUP(E44,'菜品主数据'!$A$5:$A$24,'菜品主数据'!$G$5:$G$24,0)</x:f>
        <x:v>73.03999999999999</x:v>
      </x:c>
    </x:row>
    <x:row r="45">
      <x:c r="A45" s="19" t="str">
        <x:v>2026-07-09|S01|D01</x:v>
      </x:c>
      <x:c r="B45" s="34" t="n">
        <x:v>46212.5</x:v>
      </x:c>
      <x:c r="C45" s="19" t="str">
        <x:v>S01</x:v>
      </x:c>
      <x:c r="D45" s="19" t="str">
        <x:v>近江天阳店</x:v>
      </x:c>
      <x:c r="E45" s="19" t="str">
        <x:v>D01</x:v>
      </x:c>
      <x:c r="F45" s="19" t="str">
        <x:v>辣椒炒肉</x:v>
      </x:c>
      <x:c r="G45" s="20" t="n">
        <x:f>SUMIFS('7日销售明细'!$K$5:$K$2244,'7日销售明细'!$B$5:$B$2244,B45,'7日销售明细'!$D$5:$D$2244,C45,'7日销售明细'!$H$5:$H$2244,E45)</x:f>
        <x:v>57</x:v>
      </x:c>
      <x:c r="H45" s="35" t="n">
        <x:f>SUMIFS('7日销售明细'!$L$5:$L$2244,'7日销售明细'!$B$5:$B$2244,B45,'7日销售明细'!$D$5:$D$2244,C45,'7日销售明细'!$H$5:$H$2244,E45)</x:f>
        <x:v>1653</x:v>
      </x:c>
      <x:c r="I45" s="35" t="n">
        <x:f>G45*XLOOKUP(E45,'菜品主数据'!$A$5:$A$24,'菜品主数据'!$G$5:$G$24,0)</x:f>
        <x:v>492.16080000000005</x:v>
      </x:c>
    </x:row>
    <x:row r="46">
      <x:c r="A46" s="19" t="str">
        <x:v>2026-07-09|S01|D02</x:v>
      </x:c>
      <x:c r="B46" s="34" t="n">
        <x:v>46212.5</x:v>
      </x:c>
      <x:c r="C46" s="19" t="str">
        <x:v>S01</x:v>
      </x:c>
      <x:c r="D46" s="19" t="str">
        <x:v>近江天阳店</x:v>
      </x:c>
      <x:c r="E46" s="19" t="str">
        <x:v>D02</x:v>
      </x:c>
      <x:c r="F46" s="19" t="str">
        <x:v>小炒黄牛肉</x:v>
      </x:c>
      <x:c r="G46" s="20" t="n">
        <x:f>SUMIFS('7日销售明细'!$K$5:$K$2244,'7日销售明细'!$B$5:$B$2244,B46,'7日销售明细'!$D$5:$D$2244,C46,'7日销售明细'!$H$5:$H$2244,E46)</x:f>
        <x:v>35</x:v>
      </x:c>
      <x:c r="H46" s="35" t="n">
        <x:f>SUMIFS('7日销售明细'!$L$5:$L$2244,'7日销售明细'!$B$5:$B$2244,B46,'7日销售明细'!$D$5:$D$2244,C46,'7日销售明细'!$H$5:$H$2244,E46)</x:f>
        <x:v>1715</x:v>
      </x:c>
      <x:c r="I46" s="35" t="n">
        <x:f>G46*XLOOKUP(E46,'菜品主数据'!$A$5:$A$24,'菜品主数据'!$G$5:$G$24,0)</x:f>
        <x:v>615.195</x:v>
      </x:c>
    </x:row>
    <x:row r="47">
      <x:c r="A47" s="19" t="str">
        <x:v>2026-07-09|S01|D03</x:v>
      </x:c>
      <x:c r="B47" s="34" t="n">
        <x:v>46212.5</x:v>
      </x:c>
      <x:c r="C47" s="19" t="str">
        <x:v>S01</x:v>
      </x:c>
      <x:c r="D47" s="19" t="str">
        <x:v>近江天阳店</x:v>
      </x:c>
      <x:c r="E47" s="19" t="str">
        <x:v>D03</x:v>
      </x:c>
      <x:c r="F47" s="19" t="str">
        <x:v>香醋炒蛋</x:v>
      </x:c>
      <x:c r="G47" s="20" t="n">
        <x:f>SUMIFS('7日销售明细'!$K$5:$K$2244,'7日销售明细'!$B$5:$B$2244,B47,'7日销售明细'!$D$5:$D$2244,C47,'7日销售明细'!$H$5:$H$2244,E47)</x:f>
        <x:v>44</x:v>
      </x:c>
      <x:c r="H47" s="35" t="n">
        <x:f>SUMIFS('7日销售明细'!$L$5:$L$2244,'7日销售明细'!$B$5:$B$2244,B47,'7日销售明细'!$D$5:$D$2244,C47,'7日销售明细'!$H$5:$H$2244,E47)</x:f>
        <x:v>655.6</x:v>
      </x:c>
      <x:c r="I47" s="35" t="n">
        <x:f>G47*XLOOKUP(E47,'菜品主数据'!$A$5:$A$24,'菜品主数据'!$G$5:$G$24,0)</x:f>
        <x:v>164.82399999999998</x:v>
      </x:c>
    </x:row>
    <x:row r="48">
      <x:c r="A48" s="19" t="str">
        <x:v>2026-07-09|S01|D04</x:v>
      </x:c>
      <x:c r="B48" s="34" t="n">
        <x:v>46212.5</x:v>
      </x:c>
      <x:c r="C48" s="19" t="str">
        <x:v>S01</x:v>
      </x:c>
      <x:c r="D48" s="19" t="str">
        <x:v>近江天阳店</x:v>
      </x:c>
      <x:c r="E48" s="19" t="str">
        <x:v>D04</x:v>
      </x:c>
      <x:c r="F48" s="19" t="str">
        <x:v>酸包菜炒粉皮</x:v>
      </x:c>
      <x:c r="G48" s="20" t="n">
        <x:f>SUMIFS('7日销售明细'!$K$5:$K$2244,'7日销售明细'!$B$5:$B$2244,B48,'7日销售明细'!$D$5:$D$2244,C48,'7日销售明细'!$H$5:$H$2244,E48)</x:f>
        <x:v>43</x:v>
      </x:c>
      <x:c r="H48" s="35" t="n">
        <x:f>SUMIFS('7日销售明细'!$L$5:$L$2244,'7日销售明细'!$B$5:$B$2244,B48,'7日销售明细'!$D$5:$D$2244,C48,'7日销售明细'!$H$5:$H$2244,E48)</x:f>
        <x:v>688</x:v>
      </x:c>
      <x:c r="I48" s="35" t="n">
        <x:f>G48*XLOOKUP(E48,'菜品主数据'!$A$5:$A$24,'菜品主数据'!$G$5:$G$24,0)</x:f>
        <x:v>171.054</x:v>
      </x:c>
    </x:row>
    <x:row r="49">
      <x:c r="A49" s="19" t="str">
        <x:v>2026-07-09|S01|D05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D05</x:v>
      </x:c>
      <x:c r="F49" s="19" t="str">
        <x:v>麻婆豆腐</x:v>
      </x:c>
      <x:c r="G49" s="20" t="n">
        <x:f>SUMIFS('7日销售明细'!$K$5:$K$2244,'7日销售明细'!$B$5:$B$2244,B49,'7日销售明细'!$D$5:$D$2244,C49,'7日销售明细'!$H$5:$H$2244,E49)</x:f>
        <x:v>60</x:v>
      </x:c>
      <x:c r="H49" s="35" t="n">
        <x:f>SUMIFS('7日销售明细'!$L$5:$L$2244,'7日销售明细'!$B$5:$B$2244,B49,'7日销售明细'!$D$5:$D$2244,C49,'7日销售明细'!$H$5:$H$2244,E49)</x:f>
        <x:v>594</x:v>
      </x:c>
      <x:c r="I49" s="35" t="n">
        <x:f>G49*XLOOKUP(E49,'菜品主数据'!$A$5:$A$24,'菜品主数据'!$G$5:$G$24,0)</x:f>
        <x:v>322.02000000000004</x:v>
      </x:c>
    </x:row>
    <x:row r="50">
      <x:c r="A50" s="19" t="str">
        <x:v>2026-07-09|S01|D06</x:v>
      </x:c>
      <x:c r="B50" s="34" t="n">
        <x:v>46212.5</x:v>
      </x:c>
      <x:c r="C50" s="19" t="str">
        <x:v>S01</x:v>
      </x:c>
      <x:c r="D50" s="19" t="str">
        <x:v>近江天阳店</x:v>
      </x:c>
      <x:c r="E50" s="19" t="str">
        <x:v>D06</x:v>
      </x:c>
      <x:c r="F50" s="19" t="str">
        <x:v>剁椒鱼头</x:v>
      </x:c>
      <x:c r="G50" s="20" t="n">
        <x:f>SUMIFS('7日销售明细'!$K$5:$K$2244,'7日销售明细'!$B$5:$B$2244,B50,'7日销售明细'!$D$5:$D$2244,C50,'7日销售明细'!$H$5:$H$2244,E50)</x:f>
        <x:v>14</x:v>
      </x:c>
      <x:c r="H50" s="35" t="n">
        <x:f>SUMIFS('7日销售明细'!$L$5:$L$2244,'7日销售明细'!$B$5:$B$2244,B50,'7日销售明细'!$D$5:$D$2244,C50,'7日销售明细'!$H$5:$H$2244,E50)</x:f>
        <x:v>546</x:v>
      </x:c>
      <x:c r="I50" s="35" t="n">
        <x:f>G50*XLOOKUP(E50,'菜品主数据'!$A$5:$A$24,'菜品主数据'!$G$5:$G$24,0)</x:f>
        <x:v>244.24400000000003</x:v>
      </x:c>
    </x:row>
    <x:row r="51">
      <x:c r="A51" s="19" t="str">
        <x:v>2026-07-09|S01|D07</x:v>
      </x:c>
      <x:c r="B51" s="34" t="n">
        <x:v>46212.5</x:v>
      </x:c>
      <x:c r="C51" s="19" t="str">
        <x:v>S01</x:v>
      </x:c>
      <x:c r="D51" s="19" t="str">
        <x:v>近江天阳店</x:v>
      </x:c>
      <x:c r="E51" s="19" t="str">
        <x:v>D07</x:v>
      </x:c>
      <x:c r="F51" s="19" t="str">
        <x:v>川味回锅肉</x:v>
      </x:c>
      <x:c r="G51" s="20" t="n">
        <x:f>SUMIFS('7日销售明细'!$K$5:$K$2244,'7日销售明细'!$B$5:$B$2244,B51,'7日销售明细'!$D$5:$D$2244,C51,'7日销售明细'!$H$5:$H$2244,E51)</x:f>
        <x:v>17</x:v>
      </x:c>
      <x:c r="H51" s="35" t="n">
        <x:f>SUMIFS('7日销售明细'!$L$5:$L$2244,'7日销售明细'!$B$5:$B$2244,B51,'7日销售明细'!$D$5:$D$2244,C51,'7日销售明细'!$H$5:$H$2244,E51)</x:f>
        <x:v>493</x:v>
      </x:c>
      <x:c r="I51" s="35" t="n">
        <x:f>G51*XLOOKUP(E51,'菜品主数据'!$A$5:$A$24,'菜品主数据'!$G$5:$G$24,0)</x:f>
        <x:v>173.92700000000002</x:v>
      </x:c>
    </x:row>
    <x:row r="52">
      <x:c r="A52" s="19" t="str">
        <x:v>2026-07-09|S01|D08</x:v>
      </x:c>
      <x:c r="B52" s="34" t="n">
        <x:v>46212.5</x:v>
      </x:c>
      <x:c r="C52" s="19" t="str">
        <x:v>S01</x:v>
      </x:c>
      <x:c r="D52" s="19" t="str">
        <x:v>近江天阳店</x:v>
      </x:c>
      <x:c r="E52" s="19" t="str">
        <x:v>D08</x:v>
      </x:c>
      <x:c r="F52" s="19" t="str">
        <x:v>生炒清远鸡</x:v>
      </x:c>
      <x:c r="G52" s="20" t="n">
        <x:f>SUMIFS('7日销售明细'!$K$5:$K$2244,'7日销售明细'!$B$5:$B$2244,B52,'7日销售明细'!$D$5:$D$2244,C52,'7日销售明细'!$H$5:$H$2244,E52)</x:f>
        <x:v>13</x:v>
      </x:c>
      <x:c r="H52" s="35" t="n">
        <x:f>SUMIFS('7日销售明细'!$L$5:$L$2244,'7日销售明细'!$B$5:$B$2244,B52,'7日销售明细'!$D$5:$D$2244,C52,'7日销售明细'!$H$5:$H$2244,E52)</x:f>
        <x:v>468</x:v>
      </x:c>
      <x:c r="I52" s="35" t="n">
        <x:f>G52*XLOOKUP(E52,'菜品主数据'!$A$5:$A$24,'菜品主数据'!$G$5:$G$24,0)</x:f>
        <x:v>175.24</x:v>
      </x:c>
    </x:row>
    <x:row r="53">
      <x:c r="A53" s="19" t="str">
        <x:v>2026-07-09|S01|D09</x:v>
      </x:c>
      <x:c r="B53" s="34" t="n">
        <x:v>46212.5</x:v>
      </x:c>
      <x:c r="C53" s="19" t="str">
        <x:v>S01</x:v>
      </x:c>
      <x:c r="D53" s="19" t="str">
        <x:v>近江天阳店</x:v>
      </x:c>
      <x:c r="E53" s="19" t="str">
        <x:v>D09</x:v>
      </x:c>
      <x:c r="F53" s="19" t="str">
        <x:v>炒豆干</x:v>
      </x:c>
      <x:c r="G53" s="20" t="n">
        <x:f>SUMIFS('7日销售明细'!$K$5:$K$2244,'7日销售明细'!$B$5:$B$2244,B53,'7日销售明细'!$D$5:$D$2244,C53,'7日销售明细'!$H$5:$H$2244,E53)</x:f>
        <x:v>17</x:v>
      </x:c>
      <x:c r="H53" s="35" t="n">
        <x:f>SUMIFS('7日销售明细'!$L$5:$L$2244,'7日销售明细'!$B$5:$B$2244,B53,'7日销售明细'!$D$5:$D$2244,C53,'7日销售明细'!$H$5:$H$2244,E53)</x:f>
        <x:v>306</x:v>
      </x:c>
      <x:c r="I53" s="35" t="n">
        <x:f>G53*XLOOKUP(E53,'菜品主数据'!$A$5:$A$24,'菜品主数据'!$G$5:$G$24,0)</x:f>
        <x:v>112.43799999999999</x:v>
      </x:c>
    </x:row>
    <x:row r="54">
      <x:c r="A54" s="19" t="str">
        <x:v>2026-07-09|S01|D10</x:v>
      </x:c>
      <x:c r="B54" s="34" t="n">
        <x:v>46212.5</x:v>
      </x:c>
      <x:c r="C54" s="19" t="str">
        <x:v>S01</x:v>
      </x:c>
      <x:c r="D54" s="19" t="str">
        <x:v>近江天阳店</x:v>
      </x:c>
      <x:c r="E54" s="19" t="str">
        <x:v>D10</x:v>
      </x:c>
      <x:c r="F54" s="19" t="str">
        <x:v>农家一碗香</x:v>
      </x:c>
      <x:c r="G54" s="20" t="n">
        <x:f>SUMIFS('7日销售明细'!$K$5:$K$2244,'7日销售明细'!$B$5:$B$2244,B54,'7日销售明细'!$D$5:$D$2244,C54,'7日销售明细'!$H$5:$H$2244,E54)</x:f>
        <x:v>20</x:v>
      </x:c>
      <x:c r="H54" s="35" t="n">
        <x:f>SUMIFS('7日销售明细'!$L$5:$L$2244,'7日销售明细'!$B$5:$B$2244,B54,'7日销售明细'!$D$5:$D$2244,C54,'7日销售明细'!$H$5:$H$2244,E54)</x:f>
        <x:v>458</x:v>
      </x:c>
      <x:c r="I54" s="35" t="n">
        <x:f>G54*XLOOKUP(E54,'菜品主数据'!$A$5:$A$24,'菜品主数据'!$G$5:$G$24,0)</x:f>
        <x:v>195.40400000000005</x:v>
      </x:c>
    </x:row>
    <x:row r="55">
      <x:c r="A55" s="19" t="str">
        <x:v>2026-07-09|S01|D11</x:v>
      </x:c>
      <x:c r="B55" s="34" t="n">
        <x:v>46212.5</x:v>
      </x:c>
      <x:c r="C55" s="19" t="str">
        <x:v>S01</x:v>
      </x:c>
      <x:c r="D55" s="19" t="str">
        <x:v>近江天阳店</x:v>
      </x:c>
      <x:c r="E55" s="19" t="str">
        <x:v>D11</x:v>
      </x:c>
      <x:c r="F55" s="19" t="str">
        <x:v>香辣爆肥肠</x:v>
      </x:c>
      <x:c r="G55" s="20" t="n">
        <x:f>SUMIFS('7日销售明细'!$K$5:$K$2244,'7日销售明细'!$B$5:$B$2244,B55,'7日销售明细'!$D$5:$D$2244,C55,'7日销售明细'!$H$5:$H$2244,E55)</x:f>
        <x:v>7</x:v>
      </x:c>
      <x:c r="H55" s="35" t="n">
        <x:f>SUMIFS('7日销售明细'!$L$5:$L$2244,'7日销售明细'!$B$5:$B$2244,B55,'7日销售明细'!$D$5:$D$2244,C55,'7日销售明细'!$H$5:$H$2244,E55)</x:f>
        <x:v>273</x:v>
      </x:c>
      <x:c r="I55" s="35" t="n">
        <x:f>G55*XLOOKUP(E55,'菜品主数据'!$A$5:$A$24,'菜品主数据'!$G$5:$G$24,0)</x:f>
        <x:v>72.779</x:v>
      </x:c>
    </x:row>
    <x:row r="56">
      <x:c r="A56" s="19" t="str">
        <x:v>2026-07-09|S01|D12</x:v>
      </x:c>
      <x:c r="B56" s="34" t="n">
        <x:v>46212.5</x:v>
      </x:c>
      <x:c r="C56" s="19" t="str">
        <x:v>S01</x:v>
      </x:c>
      <x:c r="D56" s="19" t="str">
        <x:v>近江天阳店</x:v>
      </x:c>
      <x:c r="E56" s="19" t="str">
        <x:v>D12</x:v>
      </x:c>
      <x:c r="F56" s="19" t="str">
        <x:v>清蒸鲈鱼</x:v>
      </x:c>
      <x:c r="G56" s="20" t="n">
        <x:f>SUMIFS('7日销售明细'!$K$5:$K$2244,'7日销售明细'!$B$5:$B$2244,B56,'7日销售明细'!$D$5:$D$2244,C56,'7日销售明细'!$H$5:$H$2244,E56)</x:f>
        <x:v>7</x:v>
      </x:c>
      <x:c r="H56" s="35" t="n">
        <x:f>SUMIFS('7日销售明细'!$L$5:$L$2244,'7日销售明细'!$B$5:$B$2244,B56,'7日销售明细'!$D$5:$D$2244,C56,'7日销售明细'!$H$5:$H$2244,E56)</x:f>
        <x:v>273</x:v>
      </x:c>
      <x:c r="I56" s="35" t="n">
        <x:f>G56*XLOOKUP(E56,'菜品主数据'!$A$5:$A$24,'菜品主数据'!$G$5:$G$24,0)</x:f>
        <x:v>132.118</x:v>
      </x:c>
    </x:row>
    <x:row r="57">
      <x:c r="A57" s="19" t="str">
        <x:v>2026-07-09|S01|D13</x:v>
      </x:c>
      <x:c r="B57" s="34" t="n">
        <x:v>46212.5</x:v>
      </x:c>
      <x:c r="C57" s="19" t="str">
        <x:v>S01</x:v>
      </x:c>
      <x:c r="D57" s="19" t="str">
        <x:v>近江天阳店</x:v>
      </x:c>
      <x:c r="E57" s="19" t="str">
        <x:v>D13</x:v>
      </x:c>
      <x:c r="F57" s="19" t="str">
        <x:v>外婆菜炒蛋</x:v>
      </x:c>
      <x:c r="G57" s="20" t="n">
        <x:f>SUMIFS('7日销售明细'!$K$5:$K$2244,'7日销售明细'!$B$5:$B$2244,B57,'7日销售明细'!$D$5:$D$2244,C57,'7日销售明细'!$H$5:$H$2244,E57)</x:f>
        <x:v>18</x:v>
      </x:c>
      <x:c r="H57" s="35" t="n">
        <x:f>SUMIFS('7日销售明细'!$L$5:$L$2244,'7日销售明细'!$B$5:$B$2244,B57,'7日销售明细'!$D$5:$D$2244,C57,'7日销售明细'!$H$5:$H$2244,E57)</x:f>
        <x:v>324</x:v>
      </x:c>
      <x:c r="I57" s="35" t="n">
        <x:f>G57*XLOOKUP(E57,'菜品主数据'!$A$5:$A$24,'菜品主数据'!$G$5:$G$24,0)</x:f>
        <x:v>97.27199999999998</x:v>
      </x:c>
    </x:row>
    <x:row r="58">
      <x:c r="A58" s="19" t="str">
        <x:v>2026-07-09|S01|D14</x:v>
      </x:c>
      <x:c r="B58" s="34" t="n">
        <x:v>46212.5</x:v>
      </x:c>
      <x:c r="C58" s="19" t="str">
        <x:v>S01</x:v>
      </x:c>
      <x:c r="D58" s="19" t="str">
        <x:v>近江天阳店</x:v>
      </x:c>
      <x:c r="E58" s="19" t="str">
        <x:v>D14</x:v>
      </x:c>
      <x:c r="F58" s="19" t="str">
        <x:v>酸辣鸡杂</x:v>
      </x:c>
      <x:c r="G58" s="20" t="n">
        <x:f>SUMIFS('7日销售明细'!$K$5:$K$2244,'7日销售明细'!$B$5:$B$2244,B58,'7日销售明细'!$D$5:$D$2244,C58,'7日销售明细'!$H$5:$H$2244,E58)</x:f>
        <x:v>10</x:v>
      </x:c>
      <x:c r="H58" s="35" t="n">
        <x:f>SUMIFS('7日销售明细'!$L$5:$L$2244,'7日销售明细'!$B$5:$B$2244,B58,'7日销售明细'!$D$5:$D$2244,C58,'7日销售明细'!$H$5:$H$2244,E58)</x:f>
        <x:v>280</x:v>
      </x:c>
      <x:c r="I58" s="35" t="n">
        <x:f>G58*XLOOKUP(E58,'菜品主数据'!$A$5:$A$24,'菜品主数据'!$G$5:$G$24,0)</x:f>
        <x:v>83.15</x:v>
      </x:c>
    </x:row>
    <x:row r="59">
      <x:c r="A59" s="19" t="str">
        <x:v>2026-07-09|S01|D15</x:v>
      </x:c>
      <x:c r="B59" s="34" t="n">
        <x:v>46212.5</x:v>
      </x:c>
      <x:c r="C59" s="19" t="str">
        <x:v>S01</x:v>
      </x:c>
      <x:c r="D59" s="19" t="str">
        <x:v>近江天阳店</x:v>
      </x:c>
      <x:c r="E59" s="19" t="str">
        <x:v>D15</x:v>
      </x:c>
      <x:c r="F59" s="19" t="str">
        <x:v>湘西土匪猪肝</x:v>
      </x:c>
      <x:c r="G59" s="20" t="n">
        <x:f>SUMIFS('7日销售明细'!$K$5:$K$2244,'7日销售明细'!$B$5:$B$2244,B59,'7日销售明细'!$D$5:$D$2244,C59,'7日销售明细'!$H$5:$H$2244,E59)</x:f>
        <x:v>7</x:v>
      </x:c>
      <x:c r="H59" s="35" t="n">
        <x:f>SUMIFS('7日销售明细'!$L$5:$L$2244,'7日销售明细'!$B$5:$B$2244,B59,'7日销售明细'!$D$5:$D$2244,C59,'7日销售明细'!$H$5:$H$2244,E59)</x:f>
        <x:v>182</x:v>
      </x:c>
      <x:c r="I59" s="35" t="n">
        <x:f>G59*XLOOKUP(E59,'菜品主数据'!$A$5:$A$24,'菜品主数据'!$G$5:$G$24,0)</x:f>
        <x:v>44.632</x:v>
      </x:c>
    </x:row>
    <x:row r="60">
      <x:c r="A60" s="19" t="str">
        <x:v>2026-07-09|S01|D16</x:v>
      </x:c>
      <x:c r="B60" s="34" t="n">
        <x:v>46212.5</x:v>
      </x:c>
      <x:c r="C60" s="19" t="str">
        <x:v>S01</x:v>
      </x:c>
      <x:c r="D60" s="19" t="str">
        <x:v>近江天阳店</x:v>
      </x:c>
      <x:c r="E60" s="19" t="str">
        <x:v>D16</x:v>
      </x:c>
      <x:c r="F60" s="19" t="str">
        <x:v>小豆角炒五花</x:v>
      </x:c>
      <x:c r="G60" s="20" t="n">
        <x:f>SUMIFS('7日销售明细'!$K$5:$K$2244,'7日销售明细'!$B$5:$B$2244,B60,'7日销售明细'!$D$5:$D$2244,C60,'7日销售明细'!$H$5:$H$2244,E60)</x:f>
        <x:v>8</x:v>
      </x:c>
      <x:c r="H60" s="35" t="n">
        <x:f>SUMIFS('7日销售明细'!$L$5:$L$2244,'7日销售明细'!$B$5:$B$2244,B60,'7日销售明细'!$D$5:$D$2244,C60,'7日销售明细'!$H$5:$H$2244,E60)</x:f>
        <x:v>200</x:v>
      </x:c>
      <x:c r="I60" s="35" t="n">
        <x:f>G60*XLOOKUP(E60,'菜品主数据'!$A$5:$A$24,'菜品主数据'!$G$5:$G$24,0)</x:f>
        <x:v>65.472</x:v>
      </x:c>
    </x:row>
    <x:row r="61">
      <x:c r="A61" s="19" t="str">
        <x:v>2026-07-09|S01|D17</x:v>
      </x:c>
      <x:c r="B61" s="34" t="n">
        <x:v>46212.5</x:v>
      </x:c>
      <x:c r="C61" s="19" t="str">
        <x:v>S01</x:v>
      </x:c>
      <x:c r="D61" s="19" t="str">
        <x:v>近江天阳店</x:v>
      </x:c>
      <x:c r="E61" s="19" t="str">
        <x:v>D17</x:v>
      </x:c>
      <x:c r="F61" s="19" t="str">
        <x:v>蒜蓉粉丝虾</x:v>
      </x:c>
      <x:c r="G61" s="20" t="n">
        <x:f>SUMIFS('7日销售明细'!$K$5:$K$2244,'7日销售明细'!$B$5:$B$2244,B61,'7日销售明细'!$D$5:$D$2244,C61,'7日销售明细'!$H$5:$H$2244,E61)</x:f>
        <x:v>5</x:v>
      </x:c>
      <x:c r="H61" s="35" t="n">
        <x:f>SUMIFS('7日销售明细'!$L$5:$L$2244,'7日销售明细'!$B$5:$B$2244,B61,'7日销售明细'!$D$5:$D$2244,C61,'7日销售明细'!$H$5:$H$2244,E61)</x:f>
        <x:v>180</x:v>
      </x:c>
      <x:c r="I61" s="35" t="n">
        <x:f>G61*XLOOKUP(E61,'菜品主数据'!$A$5:$A$24,'菜品主数据'!$G$5:$G$24,0)</x:f>
        <x:v>67.97</x:v>
      </x:c>
    </x:row>
    <x:row r="62">
      <x:c r="A62" s="19" t="str">
        <x:v>2026-07-09|S01|D18</x:v>
      </x:c>
      <x:c r="B62" s="34" t="n">
        <x:v>46212.5</x:v>
      </x:c>
      <x:c r="C62" s="19" t="str">
        <x:v>S01</x:v>
      </x:c>
      <x:c r="D62" s="19" t="str">
        <x:v>近江天阳店</x:v>
      </x:c>
      <x:c r="E62" s="19" t="str">
        <x:v>D18</x:v>
      </x:c>
      <x:c r="F62" s="19" t="str">
        <x:v>青椒炒油麦菜</x:v>
      </x:c>
      <x:c r="G62" s="20" t="n">
        <x:f>SUMIFS('7日销售明细'!$K$5:$K$2244,'7日销售明细'!$B$5:$B$2244,B62,'7日销售明细'!$D$5:$D$2244,C62,'7日销售明细'!$H$5:$H$2244,E62)</x:f>
        <x:v>10</x:v>
      </x:c>
      <x:c r="H62" s="35" t="n">
        <x:f>SUMIFS('7日销售明细'!$L$5:$L$2244,'7日销售明细'!$B$5:$B$2244,B62,'7日销售明细'!$D$5:$D$2244,C62,'7日销售明细'!$H$5:$H$2244,E62)</x:f>
        <x:v>180</x:v>
      </x:c>
      <x:c r="I62" s="35" t="n">
        <x:f>G62*XLOOKUP(E62,'菜品主数据'!$A$5:$A$24,'菜品主数据'!$G$5:$G$24,0)</x:f>
        <x:v>31.75999999999999</x:v>
      </x:c>
    </x:row>
    <x:row r="63">
      <x:c r="A63" s="19" t="str">
        <x:v>2026-07-09|S01|D19</x:v>
      </x:c>
      <x:c r="B63" s="34" t="n">
        <x:v>46212.5</x:v>
      </x:c>
      <x:c r="C63" s="19" t="str">
        <x:v>S01</x:v>
      </x:c>
      <x:c r="D63" s="19" t="str">
        <x:v>近江天阳店</x:v>
      </x:c>
      <x:c r="E63" s="19" t="str">
        <x:v>D19</x:v>
      </x:c>
      <x:c r="F63" s="19" t="str">
        <x:v>酸萝卜炒鸡杂</x:v>
      </x:c>
      <x:c r="G63" s="20" t="n">
        <x:f>SUMIFS('7日销售明细'!$K$5:$K$2244,'7日销售明细'!$B$5:$B$2244,B63,'7日销售明细'!$D$5:$D$2244,C63,'7日销售明细'!$H$5:$H$2244,E63)</x:f>
        <x:v>6</x:v>
      </x:c>
      <x:c r="H63" s="35" t="n">
        <x:f>SUMIFS('7日销售明细'!$L$5:$L$2244,'7日销售明细'!$B$5:$B$2244,B63,'7日销售明细'!$D$5:$D$2244,C63,'7日销售明细'!$H$5:$H$2244,E63)</x:f>
        <x:v>150</x:v>
      </x:c>
      <x:c r="I63" s="35" t="n">
        <x:f>G63*XLOOKUP(E63,'菜品主数据'!$A$5:$A$24,'菜品主数据'!$G$5:$G$24,0)</x:f>
        <x:v>47.64</x:v>
      </x:c>
    </x:row>
    <x:row r="64">
      <x:c r="A64" s="19" t="str">
        <x:v>2026-07-09|S01|D20</x:v>
      </x:c>
      <x:c r="B64" s="34" t="n">
        <x:v>46212.5</x:v>
      </x:c>
      <x:c r="C64" s="19" t="str">
        <x:v>S01</x:v>
      </x:c>
      <x:c r="D64" s="19" t="str">
        <x:v>近江天阳店</x:v>
      </x:c>
      <x:c r="E64" s="19" t="str">
        <x:v>D20</x:v>
      </x:c>
      <x:c r="F64" s="19" t="str">
        <x:v>雪菜肉末青豆</x:v>
      </x:c>
      <x:c r="G64" s="20" t="n">
        <x:f>SUMIFS('7日销售明细'!$K$5:$K$2244,'7日销售明细'!$B$5:$B$2244,B64,'7日销售明细'!$D$5:$D$2244,C64,'7日销售明细'!$H$5:$H$2244,E64)</x:f>
        <x:v>9</x:v>
      </x:c>
      <x:c r="H64" s="35" t="n">
        <x:f>SUMIFS('7日销售明细'!$L$5:$L$2244,'7日销售明细'!$B$5:$B$2244,B64,'7日销售明细'!$D$5:$D$2244,C64,'7日销售明细'!$H$5:$H$2244,E64)</x:f>
        <x:v>162</x:v>
      </x:c>
      <x:c r="I64" s="35" t="n">
        <x:f>G64*XLOOKUP(E64,'菜品主数据'!$A$5:$A$24,'菜品主数据'!$G$5:$G$24,0)</x:f>
        <x:v>65.73599999999999</x:v>
      </x:c>
    </x:row>
    <x:row r="65">
      <x:c r="A65" s="19" t="str">
        <x:v>2026-07-10|S01|D01</x:v>
      </x:c>
      <x:c r="B65" s="34" t="n">
        <x:v>46213.5</x:v>
      </x:c>
      <x:c r="C65" s="19" t="str">
        <x:v>S01</x:v>
      </x:c>
      <x:c r="D65" s="19" t="str">
        <x:v>近江天阳店</x:v>
      </x:c>
      <x:c r="E65" s="19" t="str">
        <x:v>D01</x:v>
      </x:c>
      <x:c r="F65" s="19" t="str">
        <x:v>辣椒炒肉</x:v>
      </x:c>
      <x:c r="G65" s="20" t="n">
        <x:f>SUMIFS('7日销售明细'!$K$5:$K$2244,'7日销售明细'!$B$5:$B$2244,B65,'7日销售明细'!$D$5:$D$2244,C65,'7日销售明细'!$H$5:$H$2244,E65)</x:f>
        <x:v>55</x:v>
      </x:c>
      <x:c r="H65" s="35" t="n">
        <x:f>SUMIFS('7日销售明细'!$L$5:$L$2244,'7日销售明细'!$B$5:$B$2244,B65,'7日销售明细'!$D$5:$D$2244,C65,'7日销售明细'!$H$5:$H$2244,E65)</x:f>
        <x:v>1595</x:v>
      </x:c>
      <x:c r="I65" s="35" t="n">
        <x:f>G65*XLOOKUP(E65,'菜品主数据'!$A$5:$A$24,'菜品主数据'!$G$5:$G$24,0)</x:f>
        <x:v>474.89200000000005</x:v>
      </x:c>
    </x:row>
    <x:row r="66">
      <x:c r="A66" s="19" t="str">
        <x:v>2026-07-10|S01|D02</x:v>
      </x:c>
      <x:c r="B66" s="34" t="n">
        <x:v>46213.5</x:v>
      </x:c>
      <x:c r="C66" s="19" t="str">
        <x:v>S01</x:v>
      </x:c>
      <x:c r="D66" s="19" t="str">
        <x:v>近江天阳店</x:v>
      </x:c>
      <x:c r="E66" s="19" t="str">
        <x:v>D02</x:v>
      </x:c>
      <x:c r="F66" s="19" t="str">
        <x:v>小炒黄牛肉</x:v>
      </x:c>
      <x:c r="G66" s="20" t="n">
        <x:f>SUMIFS('7日销售明细'!$K$5:$K$2244,'7日销售明细'!$B$5:$B$2244,B66,'7日销售明细'!$D$5:$D$2244,C66,'7日销售明细'!$H$5:$H$2244,E66)</x:f>
        <x:v>36</x:v>
      </x:c>
      <x:c r="H66" s="35" t="n">
        <x:f>SUMIFS('7日销售明细'!$L$5:$L$2244,'7日销售明细'!$B$5:$B$2244,B66,'7日销售明细'!$D$5:$D$2244,C66,'7日销售明细'!$H$5:$H$2244,E66)</x:f>
        <x:v>1764</x:v>
      </x:c>
      <x:c r="I66" s="35" t="n">
        <x:f>G66*XLOOKUP(E66,'菜品主数据'!$A$5:$A$24,'菜品主数据'!$G$5:$G$24,0)</x:f>
        <x:v>632.772</x:v>
      </x:c>
    </x:row>
    <x:row r="67">
      <x:c r="A67" s="19" t="str">
        <x:v>2026-07-10|S01|D03</x:v>
      </x:c>
      <x:c r="B67" s="34" t="n">
        <x:v>46213.5</x:v>
      </x:c>
      <x:c r="C67" s="19" t="str">
        <x:v>S01</x:v>
      </x:c>
      <x:c r="D67" s="19" t="str">
        <x:v>近江天阳店</x:v>
      </x:c>
      <x:c r="E67" s="19" t="str">
        <x:v>D03</x:v>
      </x:c>
      <x:c r="F67" s="19" t="str">
        <x:v>香醋炒蛋</x:v>
      </x:c>
      <x:c r="G67" s="20" t="n">
        <x:f>SUMIFS('7日销售明细'!$K$5:$K$2244,'7日销售明细'!$B$5:$B$2244,B67,'7日销售明细'!$D$5:$D$2244,C67,'7日销售明细'!$H$5:$H$2244,E67)</x:f>
        <x:v>49</x:v>
      </x:c>
      <x:c r="H67" s="35" t="n">
        <x:f>SUMIFS('7日销售明细'!$L$5:$L$2244,'7日销售明细'!$B$5:$B$2244,B67,'7日销售明细'!$D$5:$D$2244,C67,'7日销售明细'!$H$5:$H$2244,E67)</x:f>
        <x:v>730.1</x:v>
      </x:c>
      <x:c r="I67" s="35" t="n">
        <x:f>G67*XLOOKUP(E67,'菜品主数据'!$A$5:$A$24,'菜品主数据'!$G$5:$G$24,0)</x:f>
        <x:v>183.55399999999997</x:v>
      </x:c>
    </x:row>
    <x:row r="68">
      <x:c r="A68" s="19" t="str">
        <x:v>2026-07-10|S01|D04</x:v>
      </x:c>
      <x:c r="B68" s="34" t="n">
        <x:v>46213.5</x:v>
      </x:c>
      <x:c r="C68" s="19" t="str">
        <x:v>S01</x:v>
      </x:c>
      <x:c r="D68" s="19" t="str">
        <x:v>近江天阳店</x:v>
      </x:c>
      <x:c r="E68" s="19" t="str">
        <x:v>D04</x:v>
      </x:c>
      <x:c r="F68" s="19" t="str">
        <x:v>酸包菜炒粉皮</x:v>
      </x:c>
      <x:c r="G68" s="20" t="n">
        <x:f>SUMIFS('7日销售明细'!$K$5:$K$2244,'7日销售明细'!$B$5:$B$2244,B68,'7日销售明细'!$D$5:$D$2244,C68,'7日销售明细'!$H$5:$H$2244,E68)</x:f>
        <x:v>45</x:v>
      </x:c>
      <x:c r="H68" s="35" t="n">
        <x:f>SUMIFS('7日销售明细'!$L$5:$L$2244,'7日销售明细'!$B$5:$B$2244,B68,'7日销售明细'!$D$5:$D$2244,C68,'7日销售明细'!$H$5:$H$2244,E68)</x:f>
        <x:v>720</x:v>
      </x:c>
      <x:c r="I68" s="35" t="n">
        <x:f>G68*XLOOKUP(E68,'菜品主数据'!$A$5:$A$24,'菜品主数据'!$G$5:$G$24,0)</x:f>
        <x:v>179.01000000000002</x:v>
      </x:c>
    </x:row>
    <x:row r="69">
      <x:c r="A69" s="19" t="str">
        <x:v>2026-07-10|S01|D05</x:v>
      </x:c>
      <x:c r="B69" s="34" t="n">
        <x:v>46213.5</x:v>
      </x:c>
      <x:c r="C69" s="19" t="str">
        <x:v>S01</x:v>
      </x:c>
      <x:c r="D69" s="19" t="str">
        <x:v>近江天阳店</x:v>
      </x:c>
      <x:c r="E69" s="19" t="str">
        <x:v>D05</x:v>
      </x:c>
      <x:c r="F69" s="19" t="str">
        <x:v>麻婆豆腐</x:v>
      </x:c>
      <x:c r="G69" s="20" t="n">
        <x:f>SUMIFS('7日销售明细'!$K$5:$K$2244,'7日销售明细'!$B$5:$B$2244,B69,'7日销售明细'!$D$5:$D$2244,C69,'7日销售明细'!$H$5:$H$2244,E69)</x:f>
        <x:v>59</x:v>
      </x:c>
      <x:c r="H69" s="35" t="n">
        <x:f>SUMIFS('7日销售明细'!$L$5:$L$2244,'7日销售明细'!$B$5:$B$2244,B69,'7日销售明细'!$D$5:$D$2244,C69,'7日销售明细'!$H$5:$H$2244,E69)</x:f>
        <x:v>584.1</x:v>
      </x:c>
      <x:c r="I69" s="35" t="n">
        <x:f>G69*XLOOKUP(E69,'菜品主数据'!$A$5:$A$24,'菜品主数据'!$G$5:$G$24,0)</x:f>
        <x:v>316.6530000000001</x:v>
      </x:c>
    </x:row>
    <x:row r="70">
      <x:c r="A70" s="19" t="str">
        <x:v>2026-07-10|S01|D06</x:v>
      </x:c>
      <x:c r="B70" s="34" t="n">
        <x:v>46213.5</x:v>
      </x:c>
      <x:c r="C70" s="19" t="str">
        <x:v>S01</x:v>
      </x:c>
      <x:c r="D70" s="19" t="str">
        <x:v>近江天阳店</x:v>
      </x:c>
      <x:c r="E70" s="19" t="str">
        <x:v>D06</x:v>
      </x:c>
      <x:c r="F70" s="19" t="str">
        <x:v>剁椒鱼头</x:v>
      </x:c>
      <x:c r="G70" s="20" t="n">
        <x:f>SUMIFS('7日销售明细'!$K$5:$K$2244,'7日销售明细'!$B$5:$B$2244,B70,'7日销售明细'!$D$5:$D$2244,C70,'7日销售明细'!$H$5:$H$2244,E70)</x:f>
        <x:v>16</x:v>
      </x:c>
      <x:c r="H70" s="35" t="n">
        <x:f>SUMIFS('7日销售明细'!$L$5:$L$2244,'7日销售明细'!$B$5:$B$2244,B70,'7日销售明细'!$D$5:$D$2244,C70,'7日销售明细'!$H$5:$H$2244,E70)</x:f>
        <x:v>624</x:v>
      </x:c>
      <x:c r="I70" s="35" t="n">
        <x:f>G70*XLOOKUP(E70,'菜品主数据'!$A$5:$A$24,'菜品主数据'!$G$5:$G$24,0)</x:f>
        <x:v>279.136</x:v>
      </x:c>
    </x:row>
    <x:row r="71">
      <x:c r="A71" s="19" t="str">
        <x:v>2026-07-10|S01|D07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D07</x:v>
      </x:c>
      <x:c r="F71" s="19" t="str">
        <x:v>川味回锅肉</x:v>
      </x:c>
      <x:c r="G71" s="20" t="n">
        <x:f>SUMIFS('7日销售明细'!$K$5:$K$2244,'7日销售明细'!$B$5:$B$2244,B71,'7日销售明细'!$D$5:$D$2244,C71,'7日销售明细'!$H$5:$H$2244,E71)</x:f>
        <x:v>19</x:v>
      </x:c>
      <x:c r="H71" s="35" t="n">
        <x:f>SUMIFS('7日销售明细'!$L$5:$L$2244,'7日销售明细'!$B$5:$B$2244,B71,'7日销售明细'!$D$5:$D$2244,C71,'7日销售明细'!$H$5:$H$2244,E71)</x:f>
        <x:v>551</x:v>
      </x:c>
      <x:c r="I71" s="35" t="n">
        <x:f>G71*XLOOKUP(E71,'菜品主数据'!$A$5:$A$24,'菜品主数据'!$G$5:$G$24,0)</x:f>
        <x:v>194.38900000000004</x:v>
      </x:c>
    </x:row>
    <x:row r="72">
      <x:c r="A72" s="19" t="str">
        <x:v>2026-07-10|S01|D08</x:v>
      </x:c>
      <x:c r="B72" s="34" t="n">
        <x:v>46213.5</x:v>
      </x:c>
      <x:c r="C72" s="19" t="str">
        <x:v>S01</x:v>
      </x:c>
      <x:c r="D72" s="19" t="str">
        <x:v>近江天阳店</x:v>
      </x:c>
      <x:c r="E72" s="19" t="str">
        <x:v>D08</x:v>
      </x:c>
      <x:c r="F72" s="19" t="str">
        <x:v>生炒清远鸡</x:v>
      </x:c>
      <x:c r="G72" s="20" t="n">
        <x:f>SUMIFS('7日销售明细'!$K$5:$K$2244,'7日销售明细'!$B$5:$B$2244,B72,'7日销售明细'!$D$5:$D$2244,C72,'7日销售明细'!$H$5:$H$2244,E72)</x:f>
        <x:v>12</x:v>
      </x:c>
      <x:c r="H72" s="35" t="n">
        <x:f>SUMIFS('7日销售明细'!$L$5:$L$2244,'7日销售明细'!$B$5:$B$2244,B72,'7日销售明细'!$D$5:$D$2244,C72,'7日销售明细'!$H$5:$H$2244,E72)</x:f>
        <x:v>432</x:v>
      </x:c>
      <x:c r="I72" s="35" t="n">
        <x:f>G72*XLOOKUP(E72,'菜品主数据'!$A$5:$A$24,'菜品主数据'!$G$5:$G$24,0)</x:f>
        <x:v>161.76</x:v>
      </x:c>
    </x:row>
    <x:row r="73">
      <x:c r="A73" s="19" t="str">
        <x:v>2026-07-10|S01|D09</x:v>
      </x:c>
      <x:c r="B73" s="34" t="n">
        <x:v>46213.5</x:v>
      </x:c>
      <x:c r="C73" s="19" t="str">
        <x:v>S01</x:v>
      </x:c>
      <x:c r="D73" s="19" t="str">
        <x:v>近江天阳店</x:v>
      </x:c>
      <x:c r="E73" s="19" t="str">
        <x:v>D09</x:v>
      </x:c>
      <x:c r="F73" s="19" t="str">
        <x:v>炒豆干</x:v>
      </x:c>
      <x:c r="G73" s="20" t="n">
        <x:f>SUMIFS('7日销售明细'!$K$5:$K$2244,'7日销售明细'!$B$5:$B$2244,B73,'7日销售明细'!$D$5:$D$2244,C73,'7日销售明细'!$H$5:$H$2244,E73)</x:f>
        <x:v>17</x:v>
      </x:c>
      <x:c r="H73" s="35" t="n">
        <x:f>SUMIFS('7日销售明细'!$L$5:$L$2244,'7日销售明细'!$B$5:$B$2244,B73,'7日销售明细'!$D$5:$D$2244,C73,'7日销售明细'!$H$5:$H$2244,E73)</x:f>
        <x:v>306</x:v>
      </x:c>
      <x:c r="I73" s="35" t="n">
        <x:f>G73*XLOOKUP(E73,'菜品主数据'!$A$5:$A$24,'菜品主数据'!$G$5:$G$24,0)</x:f>
        <x:v>112.43799999999999</x:v>
      </x:c>
    </x:row>
    <x:row r="74">
      <x:c r="A74" s="19" t="str">
        <x:v>2026-07-10|S01|D10</x:v>
      </x:c>
      <x:c r="B74" s="34" t="n">
        <x:v>46213.5</x:v>
      </x:c>
      <x:c r="C74" s="19" t="str">
        <x:v>S01</x:v>
      </x:c>
      <x:c r="D74" s="19" t="str">
        <x:v>近江天阳店</x:v>
      </x:c>
      <x:c r="E74" s="19" t="str">
        <x:v>D10</x:v>
      </x:c>
      <x:c r="F74" s="19" t="str">
        <x:v>农家一碗香</x:v>
      </x:c>
      <x:c r="G74" s="20" t="n">
        <x:f>SUMIFS('7日销售明细'!$K$5:$K$2244,'7日销售明细'!$B$5:$B$2244,B74,'7日销售明细'!$D$5:$D$2244,C74,'7日销售明细'!$H$5:$H$2244,E74)</x:f>
        <x:v>21</x:v>
      </x:c>
      <x:c r="H74" s="35" t="n">
        <x:f>SUMIFS('7日销售明细'!$L$5:$L$2244,'7日销售明细'!$B$5:$B$2244,B74,'7日销售明细'!$D$5:$D$2244,C74,'7日销售明细'!$H$5:$H$2244,E74)</x:f>
        <x:v>480.9</x:v>
      </x:c>
      <x:c r="I74" s="35" t="n">
        <x:f>G74*XLOOKUP(E74,'菜品主数据'!$A$5:$A$24,'菜品主数据'!$G$5:$G$24,0)</x:f>
        <x:v>205.17420000000004</x:v>
      </x:c>
    </x:row>
    <x:row r="75">
      <x:c r="A75" s="19" t="str">
        <x:v>2026-07-10|S01|D11</x:v>
      </x:c>
      <x:c r="B75" s="34" t="n">
        <x:v>46213.5</x:v>
      </x:c>
      <x:c r="C75" s="19" t="str">
        <x:v>S01</x:v>
      </x:c>
      <x:c r="D75" s="19" t="str">
        <x:v>近江天阳店</x:v>
      </x:c>
      <x:c r="E75" s="19" t="str">
        <x:v>D11</x:v>
      </x:c>
      <x:c r="F75" s="19" t="str">
        <x:v>香辣爆肥肠</x:v>
      </x:c>
      <x:c r="G75" s="20" t="n">
        <x:f>SUMIFS('7日销售明细'!$K$5:$K$2244,'7日销售明细'!$B$5:$B$2244,B75,'7日销售明细'!$D$5:$D$2244,C75,'7日销售明细'!$H$5:$H$2244,E75)</x:f>
        <x:v>7</x:v>
      </x:c>
      <x:c r="H75" s="35" t="n">
        <x:f>SUMIFS('7日销售明细'!$L$5:$L$2244,'7日销售明细'!$B$5:$B$2244,B75,'7日销售明细'!$D$5:$D$2244,C75,'7日销售明细'!$H$5:$H$2244,E75)</x:f>
        <x:v>273</x:v>
      </x:c>
      <x:c r="I75" s="35" t="n">
        <x:f>G75*XLOOKUP(E75,'菜品主数据'!$A$5:$A$24,'菜品主数据'!$G$5:$G$24,0)</x:f>
        <x:v>72.779</x:v>
      </x:c>
    </x:row>
    <x:row r="76">
      <x:c r="A76" s="19" t="str">
        <x:v>2026-07-10|S01|D12</x:v>
      </x:c>
      <x:c r="B76" s="34" t="n">
        <x:v>46213.5</x:v>
      </x:c>
      <x:c r="C76" s="19" t="str">
        <x:v>S01</x:v>
      </x:c>
      <x:c r="D76" s="19" t="str">
        <x:v>近江天阳店</x:v>
      </x:c>
      <x:c r="E76" s="19" t="str">
        <x:v>D12</x:v>
      </x:c>
      <x:c r="F76" s="19" t="str">
        <x:v>清蒸鲈鱼</x:v>
      </x:c>
      <x:c r="G76" s="20" t="n">
        <x:f>SUMIFS('7日销售明细'!$K$5:$K$2244,'7日销售明细'!$B$5:$B$2244,B76,'7日销售明细'!$D$5:$D$2244,C76,'7日销售明细'!$H$5:$H$2244,E76)</x:f>
        <x:v>7</x:v>
      </x:c>
      <x:c r="H76" s="35" t="n">
        <x:f>SUMIFS('7日销售明细'!$L$5:$L$2244,'7日销售明细'!$B$5:$B$2244,B76,'7日销售明细'!$D$5:$D$2244,C76,'7日销售明细'!$H$5:$H$2244,E76)</x:f>
        <x:v>273</x:v>
      </x:c>
      <x:c r="I76" s="35" t="n">
        <x:f>G76*XLOOKUP(E76,'菜品主数据'!$A$5:$A$24,'菜品主数据'!$G$5:$G$24,0)</x:f>
        <x:v>132.118</x:v>
      </x:c>
    </x:row>
    <x:row r="77">
      <x:c r="A77" s="19" t="str">
        <x:v>2026-07-10|S01|D13</x:v>
      </x:c>
      <x:c r="B77" s="34" t="n">
        <x:v>46213.5</x:v>
      </x:c>
      <x:c r="C77" s="19" t="str">
        <x:v>S01</x:v>
      </x:c>
      <x:c r="D77" s="19" t="str">
        <x:v>近江天阳店</x:v>
      </x:c>
      <x:c r="E77" s="19" t="str">
        <x:v>D13</x:v>
      </x:c>
      <x:c r="F77" s="19" t="str">
        <x:v>外婆菜炒蛋</x:v>
      </x:c>
      <x:c r="G77" s="20" t="n">
        <x:f>SUMIFS('7日销售明细'!$K$5:$K$2244,'7日销售明细'!$B$5:$B$2244,B77,'7日销售明细'!$D$5:$D$2244,C77,'7日销售明细'!$H$5:$H$2244,E77)</x:f>
        <x:v>19</x:v>
      </x:c>
      <x:c r="H77" s="35" t="n">
        <x:f>SUMIFS('7日销售明细'!$L$5:$L$2244,'7日销售明细'!$B$5:$B$2244,B77,'7日销售明细'!$D$5:$D$2244,C77,'7日销售明细'!$H$5:$H$2244,E77)</x:f>
        <x:v>342</x:v>
      </x:c>
      <x:c r="I77" s="35" t="n">
        <x:f>G77*XLOOKUP(E77,'菜品主数据'!$A$5:$A$24,'菜品主数据'!$G$5:$G$24,0)</x:f>
        <x:v>102.67599999999999</x:v>
      </x:c>
    </x:row>
    <x:row r="78">
      <x:c r="A78" s="19" t="str">
        <x:v>2026-07-10|S01|D14</x:v>
      </x:c>
      <x:c r="B78" s="34" t="n">
        <x:v>46213.5</x:v>
      </x:c>
      <x:c r="C78" s="19" t="str">
        <x:v>S01</x:v>
      </x:c>
      <x:c r="D78" s="19" t="str">
        <x:v>近江天阳店</x:v>
      </x:c>
      <x:c r="E78" s="19" t="str">
        <x:v>D14</x:v>
      </x:c>
      <x:c r="F78" s="19" t="str">
        <x:v>酸辣鸡杂</x:v>
      </x:c>
      <x:c r="G78" s="20" t="n">
        <x:f>SUMIFS('7日销售明细'!$K$5:$K$2244,'7日销售明细'!$B$5:$B$2244,B78,'7日销售明细'!$D$5:$D$2244,C78,'7日销售明细'!$H$5:$H$2244,E78)</x:f>
        <x:v>11</x:v>
      </x:c>
      <x:c r="H78" s="35" t="n">
        <x:f>SUMIFS('7日销售明细'!$L$5:$L$2244,'7日销售明细'!$B$5:$B$2244,B78,'7日销售明细'!$D$5:$D$2244,C78,'7日销售明细'!$H$5:$H$2244,E78)</x:f>
        <x:v>308</x:v>
      </x:c>
      <x:c r="I78" s="35" t="n">
        <x:f>G78*XLOOKUP(E78,'菜品主数据'!$A$5:$A$24,'菜品主数据'!$G$5:$G$24,0)</x:f>
        <x:v>91.46500000000002</x:v>
      </x:c>
    </x:row>
    <x:row r="79">
      <x:c r="A79" s="19" t="str">
        <x:v>2026-07-10|S01|D15</x:v>
      </x:c>
      <x:c r="B79" s="34" t="n">
        <x:v>46213.5</x:v>
      </x:c>
      <x:c r="C79" s="19" t="str">
        <x:v>S01</x:v>
      </x:c>
      <x:c r="D79" s="19" t="str">
        <x:v>近江天阳店</x:v>
      </x:c>
      <x:c r="E79" s="19" t="str">
        <x:v>D15</x:v>
      </x:c>
      <x:c r="F79" s="19" t="str">
        <x:v>湘西土匪猪肝</x:v>
      </x:c>
      <x:c r="G79" s="20" t="n">
        <x:f>SUMIFS('7日销售明细'!$K$5:$K$2244,'7日销售明细'!$B$5:$B$2244,B79,'7日销售明细'!$D$5:$D$2244,C79,'7日销售明细'!$H$5:$H$2244,E79)</x:f>
        <x:v>8</x:v>
      </x:c>
      <x:c r="H79" s="35" t="n">
        <x:f>SUMIFS('7日销售明细'!$L$5:$L$2244,'7日销售明细'!$B$5:$B$2244,B79,'7日销售明细'!$D$5:$D$2244,C79,'7日销售明细'!$H$5:$H$2244,E79)</x:f>
        <x:v>208</x:v>
      </x:c>
      <x:c r="I79" s="35" t="n">
        <x:f>G79*XLOOKUP(E79,'菜品主数据'!$A$5:$A$24,'菜品主数据'!$G$5:$G$24,0)</x:f>
        <x:v>51.007999999999996</x:v>
      </x:c>
    </x:row>
    <x:row r="80">
      <x:c r="A80" s="19" t="str">
        <x:v>2026-07-10|S01|D16</x:v>
      </x:c>
      <x:c r="B80" s="34" t="n">
        <x:v>46213.5</x:v>
      </x:c>
      <x:c r="C80" s="19" t="str">
        <x:v>S01</x:v>
      </x:c>
      <x:c r="D80" s="19" t="str">
        <x:v>近江天阳店</x:v>
      </x:c>
      <x:c r="E80" s="19" t="str">
        <x:v>D16</x:v>
      </x:c>
      <x:c r="F80" s="19" t="str">
        <x:v>小豆角炒五花</x:v>
      </x:c>
      <x:c r="G80" s="20" t="n">
        <x:f>SUMIFS('7日销售明细'!$K$5:$K$2244,'7日销售明细'!$B$5:$B$2244,B80,'7日销售明细'!$D$5:$D$2244,C80,'7日销售明细'!$H$5:$H$2244,E80)</x:f>
        <x:v>9</x:v>
      </x:c>
      <x:c r="H80" s="35" t="n">
        <x:f>SUMIFS('7日销售明细'!$L$5:$L$2244,'7日销售明细'!$B$5:$B$2244,B80,'7日销售明细'!$D$5:$D$2244,C80,'7日销售明细'!$H$5:$H$2244,E80)</x:f>
        <x:v>225</x:v>
      </x:c>
      <x:c r="I80" s="35" t="n">
        <x:f>G80*XLOOKUP(E80,'菜品主数据'!$A$5:$A$24,'菜品主数据'!$G$5:$G$24,0)</x:f>
        <x:v>73.65599999999999</x:v>
      </x:c>
    </x:row>
    <x:row r="81">
      <x:c r="A81" s="19" t="str">
        <x:v>2026-07-10|S01|D17</x:v>
      </x:c>
      <x:c r="B81" s="34" t="n">
        <x:v>46213.5</x:v>
      </x:c>
      <x:c r="C81" s="19" t="str">
        <x:v>S01</x:v>
      </x:c>
      <x:c r="D81" s="19" t="str">
        <x:v>近江天阳店</x:v>
      </x:c>
      <x:c r="E81" s="19" t="str">
        <x:v>D17</x:v>
      </x:c>
      <x:c r="F81" s="19" t="str">
        <x:v>蒜蓉粉丝虾</x:v>
      </x:c>
      <x:c r="G81" s="20" t="n">
        <x:f>SUMIFS('7日销售明细'!$K$5:$K$2244,'7日销售明细'!$B$5:$B$2244,B81,'7日销售明细'!$D$5:$D$2244,C81,'7日销售明细'!$H$5:$H$2244,E81)</x:f>
        <x:v>6</x:v>
      </x:c>
      <x:c r="H81" s="35" t="n">
        <x:f>SUMIFS('7日销售明细'!$L$5:$L$2244,'7日销售明细'!$B$5:$B$2244,B81,'7日销售明细'!$D$5:$D$2244,C81,'7日销售明细'!$H$5:$H$2244,E81)</x:f>
        <x:v>216</x:v>
      </x:c>
      <x:c r="I81" s="35" t="n">
        <x:f>G81*XLOOKUP(E81,'菜品主数据'!$A$5:$A$24,'菜品主数据'!$G$5:$G$24,0)</x:f>
        <x:v>81.564</x:v>
      </x:c>
    </x:row>
    <x:row r="82">
      <x:c r="A82" s="19" t="str">
        <x:v>2026-07-10|S01|D18</x:v>
      </x:c>
      <x:c r="B82" s="34" t="n">
        <x:v>46213.5</x:v>
      </x:c>
      <x:c r="C82" s="19" t="str">
        <x:v>S01</x:v>
      </x:c>
      <x:c r="D82" s="19" t="str">
        <x:v>近江天阳店</x:v>
      </x:c>
      <x:c r="E82" s="19" t="str">
        <x:v>D18</x:v>
      </x:c>
      <x:c r="F82" s="19" t="str">
        <x:v>青椒炒油麦菜</x:v>
      </x:c>
      <x:c r="G82" s="20" t="n">
        <x:f>SUMIFS('7日销售明细'!$K$5:$K$2244,'7日销售明细'!$B$5:$B$2244,B82,'7日销售明细'!$D$5:$D$2244,C82,'7日销售明细'!$H$5:$H$2244,E82)</x:f>
        <x:v>11</x:v>
      </x:c>
      <x:c r="H82" s="35" t="n">
        <x:f>SUMIFS('7日销售明细'!$L$5:$L$2244,'7日销售明细'!$B$5:$B$2244,B82,'7日销售明细'!$D$5:$D$2244,C82,'7日销售明细'!$H$5:$H$2244,E82)</x:f>
        <x:v>198</x:v>
      </x:c>
      <x:c r="I82" s="35" t="n">
        <x:f>G82*XLOOKUP(E82,'菜品主数据'!$A$5:$A$24,'菜品主数据'!$G$5:$G$24,0)</x:f>
        <x:v>34.93599999999999</x:v>
      </x:c>
    </x:row>
    <x:row r="83">
      <x:c r="A83" s="19" t="str">
        <x:v>2026-07-10|S01|D19</x:v>
      </x:c>
      <x:c r="B83" s="34" t="n">
        <x:v>46213.5</x:v>
      </x:c>
      <x:c r="C83" s="19" t="str">
        <x:v>S01</x:v>
      </x:c>
      <x:c r="D83" s="19" t="str">
        <x:v>近江天阳店</x:v>
      </x:c>
      <x:c r="E83" s="19" t="str">
        <x:v>D19</x:v>
      </x:c>
      <x:c r="F83" s="19" t="str">
        <x:v>酸萝卜炒鸡杂</x:v>
      </x:c>
      <x:c r="G83" s="20" t="n">
        <x:f>SUMIFS('7日销售明细'!$K$5:$K$2244,'7日销售明细'!$B$5:$B$2244,B83,'7日销售明细'!$D$5:$D$2244,C83,'7日销售明细'!$H$5:$H$2244,E83)</x:f>
        <x:v>6</x:v>
      </x:c>
      <x:c r="H83" s="35" t="n">
        <x:f>SUMIFS('7日销售明细'!$L$5:$L$2244,'7日销售明细'!$B$5:$B$2244,B83,'7日销售明细'!$D$5:$D$2244,C83,'7日销售明细'!$H$5:$H$2244,E83)</x:f>
        <x:v>150</x:v>
      </x:c>
      <x:c r="I83" s="35" t="n">
        <x:f>G83*XLOOKUP(E83,'菜品主数据'!$A$5:$A$24,'菜品主数据'!$G$5:$G$24,0)</x:f>
        <x:v>47.64</x:v>
      </x:c>
    </x:row>
    <x:row r="84">
      <x:c r="A84" s="19" t="str">
        <x:v>2026-07-10|S01|D20</x:v>
      </x:c>
      <x:c r="B84" s="34" t="n">
        <x:v>46213.5</x:v>
      </x:c>
      <x:c r="C84" s="19" t="str">
        <x:v>S01</x:v>
      </x:c>
      <x:c r="D84" s="19" t="str">
        <x:v>近江天阳店</x:v>
      </x:c>
      <x:c r="E84" s="19" t="str">
        <x:v>D20</x:v>
      </x:c>
      <x:c r="F84" s="19" t="str">
        <x:v>雪菜肉末青豆</x:v>
      </x:c>
      <x:c r="G84" s="20" t="n">
        <x:f>SUMIFS('7日销售明细'!$K$5:$K$2244,'7日销售明细'!$B$5:$B$2244,B84,'7日销售明细'!$D$5:$D$2244,C84,'7日销售明细'!$H$5:$H$2244,E84)</x:f>
        <x:v>10</x:v>
      </x:c>
      <x:c r="H84" s="35" t="n">
        <x:f>SUMIFS('7日销售明细'!$L$5:$L$2244,'7日销售明细'!$B$5:$B$2244,B84,'7日销售明细'!$D$5:$D$2244,C84,'7日销售明细'!$H$5:$H$2244,E84)</x:f>
        <x:v>180</x:v>
      </x:c>
      <x:c r="I84" s="35" t="n">
        <x:f>G84*XLOOKUP(E84,'菜品主数据'!$A$5:$A$24,'菜品主数据'!$G$5:$G$24,0)</x:f>
        <x:v>73.03999999999999</x:v>
      </x:c>
    </x:row>
    <x:row r="85">
      <x:c r="A85" s="19" t="str">
        <x:v>2026-07-11|S01|D01</x:v>
      </x:c>
      <x:c r="B85" s="34" t="n">
        <x:v>46214.5</x:v>
      </x:c>
      <x:c r="C85" s="19" t="str">
        <x:v>S01</x:v>
      </x:c>
      <x:c r="D85" s="19" t="str">
        <x:v>近江天阳店</x:v>
      </x:c>
      <x:c r="E85" s="19" t="str">
        <x:v>D01</x:v>
      </x:c>
      <x:c r="F85" s="19" t="str">
        <x:v>辣椒炒肉</x:v>
      </x:c>
      <x:c r="G85" s="20" t="n">
        <x:f>SUMIFS('7日销售明细'!$K$5:$K$2244,'7日销售明细'!$B$5:$B$2244,B85,'7日销售明细'!$D$5:$D$2244,C85,'7日销售明细'!$H$5:$H$2244,E85)</x:f>
        <x:v>43</x:v>
      </x:c>
      <x:c r="H85" s="35" t="n">
        <x:f>SUMIFS('7日销售明细'!$L$5:$L$2244,'7日销售明细'!$B$5:$B$2244,B85,'7日销售明细'!$D$5:$D$2244,C85,'7日销售明细'!$H$5:$H$2244,E85)</x:f>
        <x:v>1247</x:v>
      </x:c>
      <x:c r="I85" s="35" t="n">
        <x:f>G85*XLOOKUP(E85,'菜品主数据'!$A$5:$A$24,'菜品主数据'!$G$5:$G$24,0)</x:f>
        <x:v>371.27920000000006</x:v>
      </x:c>
    </x:row>
    <x:row r="86">
      <x:c r="A86" s="19" t="str">
        <x:v>2026-07-11|S01|D02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D02</x:v>
      </x:c>
      <x:c r="F86" s="19" t="str">
        <x:v>小炒黄牛肉</x:v>
      </x:c>
      <x:c r="G86" s="20" t="n">
        <x:f>SUMIFS('7日销售明细'!$K$5:$K$2244,'7日销售明细'!$B$5:$B$2244,B86,'7日销售明细'!$D$5:$D$2244,C86,'7日销售明细'!$H$5:$H$2244,E86)</x:f>
        <x:v>28</x:v>
      </x:c>
      <x:c r="H86" s="35" t="n">
        <x:f>SUMIFS('7日销售明细'!$L$5:$L$2244,'7日销售明细'!$B$5:$B$2244,B86,'7日销售明细'!$D$5:$D$2244,C86,'7日销售明细'!$H$5:$H$2244,E86)</x:f>
        <x:v>1372</x:v>
      </x:c>
      <x:c r="I86" s="35" t="n">
        <x:f>G86*XLOOKUP(E86,'菜品主数据'!$A$5:$A$24,'菜品主数据'!$G$5:$G$24,0)</x:f>
        <x:v>492.15600000000006</x:v>
      </x:c>
    </x:row>
    <x:row r="87">
      <x:c r="A87" s="19" t="str">
        <x:v>2026-07-11|S01|D03</x:v>
      </x:c>
      <x:c r="B87" s="34" t="n">
        <x:v>46214.5</x:v>
      </x:c>
      <x:c r="C87" s="19" t="str">
        <x:v>S01</x:v>
      </x:c>
      <x:c r="D87" s="19" t="str">
        <x:v>近江天阳店</x:v>
      </x:c>
      <x:c r="E87" s="19" t="str">
        <x:v>D03</x:v>
      </x:c>
      <x:c r="F87" s="19" t="str">
        <x:v>香醋炒蛋</x:v>
      </x:c>
      <x:c r="G87" s="20" t="n">
        <x:f>SUMIFS('7日销售明细'!$K$5:$K$2244,'7日销售明细'!$B$5:$B$2244,B87,'7日销售明细'!$D$5:$D$2244,C87,'7日销售明细'!$H$5:$H$2244,E87)</x:f>
        <x:v>34</x:v>
      </x:c>
      <x:c r="H87" s="35" t="n">
        <x:f>SUMIFS('7日销售明细'!$L$5:$L$2244,'7日销售明细'!$B$5:$B$2244,B87,'7日销售明细'!$D$5:$D$2244,C87,'7日销售明细'!$H$5:$H$2244,E87)</x:f>
        <x:v>506.6</x:v>
      </x:c>
      <x:c r="I87" s="35" t="n">
        <x:f>G87*XLOOKUP(E87,'菜品主数据'!$A$5:$A$24,'菜品主数据'!$G$5:$G$24,0)</x:f>
        <x:v>127.36399999999999</x:v>
      </x:c>
    </x:row>
    <x:row r="88">
      <x:c r="A88" s="19" t="str">
        <x:v>2026-07-11|S01|D04</x:v>
      </x:c>
      <x:c r="B88" s="34" t="n">
        <x:v>46214.5</x:v>
      </x:c>
      <x:c r="C88" s="19" t="str">
        <x:v>S01</x:v>
      </x:c>
      <x:c r="D88" s="19" t="str">
        <x:v>近江天阳店</x:v>
      </x:c>
      <x:c r="E88" s="19" t="str">
        <x:v>D04</x:v>
      </x:c>
      <x:c r="F88" s="19" t="str">
        <x:v>酸包菜炒粉皮</x:v>
      </x:c>
      <x:c r="G88" s="20" t="n">
        <x:f>SUMIFS('7日销售明细'!$K$5:$K$2244,'7日销售明细'!$B$5:$B$2244,B88,'7日销售明细'!$D$5:$D$2244,C88,'7日销售明细'!$H$5:$H$2244,E88)</x:f>
        <x:v>36</x:v>
      </x:c>
      <x:c r="H88" s="35" t="n">
        <x:f>SUMIFS('7日销售明细'!$L$5:$L$2244,'7日销售明细'!$B$5:$B$2244,B88,'7日销售明细'!$D$5:$D$2244,C88,'7日销售明细'!$H$5:$H$2244,E88)</x:f>
        <x:v>576</x:v>
      </x:c>
      <x:c r="I88" s="35" t="n">
        <x:f>G88*XLOOKUP(E88,'菜品主数据'!$A$5:$A$24,'菜品主数据'!$G$5:$G$24,0)</x:f>
        <x:v>143.208</x:v>
      </x:c>
    </x:row>
    <x:row r="89">
      <x:c r="A89" s="19" t="str">
        <x:v>2026-07-11|S01|D05</x:v>
      </x:c>
      <x:c r="B89" s="34" t="n">
        <x:v>46214.5</x:v>
      </x:c>
      <x:c r="C89" s="19" t="str">
        <x:v>S01</x:v>
      </x:c>
      <x:c r="D89" s="19" t="str">
        <x:v>近江天阳店</x:v>
      </x:c>
      <x:c r="E89" s="19" t="str">
        <x:v>D05</x:v>
      </x:c>
      <x:c r="F89" s="19" t="str">
        <x:v>麻婆豆腐</x:v>
      </x:c>
      <x:c r="G89" s="20" t="n">
        <x:f>SUMIFS('7日销售明细'!$K$5:$K$2244,'7日销售明细'!$B$5:$B$2244,B89,'7日销售明细'!$D$5:$D$2244,C89,'7日销售明细'!$H$5:$H$2244,E89)</x:f>
        <x:v>49</x:v>
      </x:c>
      <x:c r="H89" s="35" t="n">
        <x:f>SUMIFS('7日销售明细'!$L$5:$L$2244,'7日销售明细'!$B$5:$B$2244,B89,'7日销售明细'!$D$5:$D$2244,C89,'7日销售明细'!$H$5:$H$2244,E89)</x:f>
        <x:v>485.1</x:v>
      </x:c>
      <x:c r="I89" s="35" t="n">
        <x:f>G89*XLOOKUP(E89,'菜品主数据'!$A$5:$A$24,'菜品主数据'!$G$5:$G$24,0)</x:f>
        <x:v>262.98300000000006</x:v>
      </x:c>
    </x:row>
    <x:row r="90">
      <x:c r="A90" s="19" t="str">
        <x:v>2026-07-11|S01|D06</x:v>
      </x:c>
      <x:c r="B90" s="34" t="n">
        <x:v>46214.5</x:v>
      </x:c>
      <x:c r="C90" s="19" t="str">
        <x:v>S01</x:v>
      </x:c>
      <x:c r="D90" s="19" t="str">
        <x:v>近江天阳店</x:v>
      </x:c>
      <x:c r="E90" s="19" t="str">
        <x:v>D06</x:v>
      </x:c>
      <x:c r="F90" s="19" t="str">
        <x:v>剁椒鱼头</x:v>
      </x:c>
      <x:c r="G90" s="20" t="n">
        <x:f>SUMIFS('7日销售明细'!$K$5:$K$2244,'7日销售明细'!$B$5:$B$2244,B90,'7日销售明细'!$D$5:$D$2244,C90,'7日销售明细'!$H$5:$H$2244,E90)</x:f>
        <x:v>11</x:v>
      </x:c>
      <x:c r="H90" s="35" t="n">
        <x:f>SUMIFS('7日销售明细'!$L$5:$L$2244,'7日销售明细'!$B$5:$B$2244,B90,'7日销售明细'!$D$5:$D$2244,C90,'7日销售明细'!$H$5:$H$2244,E90)</x:f>
        <x:v>429</x:v>
      </x:c>
      <x:c r="I90" s="35" t="n">
        <x:f>G90*XLOOKUP(E90,'菜品主数据'!$A$5:$A$24,'菜品主数据'!$G$5:$G$24,0)</x:f>
        <x:v>191.906</x:v>
      </x:c>
    </x:row>
    <x:row r="91">
      <x:c r="A91" s="19" t="str">
        <x:v>2026-07-11|S01|D07</x:v>
      </x:c>
      <x:c r="B91" s="34" t="n">
        <x:v>46214.5</x:v>
      </x:c>
      <x:c r="C91" s="19" t="str">
        <x:v>S01</x:v>
      </x:c>
      <x:c r="D91" s="19" t="str">
        <x:v>近江天阳店</x:v>
      </x:c>
      <x:c r="E91" s="19" t="str">
        <x:v>D07</x:v>
      </x:c>
      <x:c r="F91" s="19" t="str">
        <x:v>川味回锅肉</x:v>
      </x:c>
      <x:c r="G91" s="20" t="n">
        <x:f>SUMIFS('7日销售明细'!$K$5:$K$2244,'7日销售明细'!$B$5:$B$2244,B91,'7日销售明细'!$D$5:$D$2244,C91,'7日销售明细'!$H$5:$H$2244,E91)</x:f>
        <x:v>14</x:v>
      </x:c>
      <x:c r="H91" s="35" t="n">
        <x:f>SUMIFS('7日销售明细'!$L$5:$L$2244,'7日销售明细'!$B$5:$B$2244,B91,'7日销售明细'!$D$5:$D$2244,C91,'7日销售明细'!$H$5:$H$2244,E91)</x:f>
        <x:v>406</x:v>
      </x:c>
      <x:c r="I91" s="35" t="n">
        <x:f>G91*XLOOKUP(E91,'菜品主数据'!$A$5:$A$24,'菜品主数据'!$G$5:$G$24,0)</x:f>
        <x:v>143.23400000000004</x:v>
      </x:c>
    </x:row>
    <x:row r="92">
      <x:c r="A92" s="19" t="str">
        <x:v>2026-07-11|S01|D08</x:v>
      </x:c>
      <x:c r="B92" s="34" t="n">
        <x:v>46214.5</x:v>
      </x:c>
      <x:c r="C92" s="19" t="str">
        <x:v>S01</x:v>
      </x:c>
      <x:c r="D92" s="19" t="str">
        <x:v>近江天阳店</x:v>
      </x:c>
      <x:c r="E92" s="19" t="str">
        <x:v>D08</x:v>
      </x:c>
      <x:c r="F92" s="19" t="str">
        <x:v>生炒清远鸡</x:v>
      </x:c>
      <x:c r="G92" s="20" t="n">
        <x:f>SUMIFS('7日销售明细'!$K$5:$K$2244,'7日销售明细'!$B$5:$B$2244,B92,'7日销售明细'!$D$5:$D$2244,C92,'7日销售明细'!$H$5:$H$2244,E92)</x:f>
        <x:v>10</x:v>
      </x:c>
      <x:c r="H92" s="35" t="n">
        <x:f>SUMIFS('7日销售明细'!$L$5:$L$2244,'7日销售明细'!$B$5:$B$2244,B92,'7日销售明细'!$D$5:$D$2244,C92,'7日销售明细'!$H$5:$H$2244,E92)</x:f>
        <x:v>360</x:v>
      </x:c>
      <x:c r="I92" s="35" t="n">
        <x:f>G92*XLOOKUP(E92,'菜品主数据'!$A$5:$A$24,'菜品主数据'!$G$5:$G$24,0)</x:f>
        <x:v>134.8</x:v>
      </x:c>
    </x:row>
    <x:row r="93">
      <x:c r="A93" s="19" t="str">
        <x:v>2026-07-11|S01|D09</x:v>
      </x:c>
      <x:c r="B93" s="34" t="n">
        <x:v>46214.5</x:v>
      </x:c>
      <x:c r="C93" s="19" t="str">
        <x:v>S01</x:v>
      </x:c>
      <x:c r="D93" s="19" t="str">
        <x:v>近江天阳店</x:v>
      </x:c>
      <x:c r="E93" s="19" t="str">
        <x:v>D09</x:v>
      </x:c>
      <x:c r="F93" s="19" t="str">
        <x:v>炒豆干</x:v>
      </x:c>
      <x:c r="G93" s="20" t="n">
        <x:f>SUMIFS('7日销售明细'!$K$5:$K$2244,'7日销售明细'!$B$5:$B$2244,B93,'7日销售明细'!$D$5:$D$2244,C93,'7日销售明细'!$H$5:$H$2244,E93)</x:f>
        <x:v>13</x:v>
      </x:c>
      <x:c r="H93" s="35" t="n">
        <x:f>SUMIFS('7日销售明细'!$L$5:$L$2244,'7日销售明细'!$B$5:$B$2244,B93,'7日销售明细'!$D$5:$D$2244,C93,'7日销售明细'!$H$5:$H$2244,E93)</x:f>
        <x:v>234</x:v>
      </x:c>
      <x:c r="I93" s="35" t="n">
        <x:f>G93*XLOOKUP(E93,'菜品主数据'!$A$5:$A$24,'菜品主数据'!$G$5:$G$24,0)</x:f>
        <x:v>85.98199999999999</x:v>
      </x:c>
    </x:row>
    <x:row r="94">
      <x:c r="A94" s="19" t="str">
        <x:v>2026-07-11|S01|D10</x:v>
      </x:c>
      <x:c r="B94" s="34" t="n">
        <x:v>46214.5</x:v>
      </x:c>
      <x:c r="C94" s="19" t="str">
        <x:v>S01</x:v>
      </x:c>
      <x:c r="D94" s="19" t="str">
        <x:v>近江天阳店</x:v>
      </x:c>
      <x:c r="E94" s="19" t="str">
        <x:v>D10</x:v>
      </x:c>
      <x:c r="F94" s="19" t="str">
        <x:v>农家一碗香</x:v>
      </x:c>
      <x:c r="G94" s="20" t="n">
        <x:f>SUMIFS('7日销售明细'!$K$5:$K$2244,'7日销售明细'!$B$5:$B$2244,B94,'7日销售明细'!$D$5:$D$2244,C94,'7日销售明细'!$H$5:$H$2244,E94)</x:f>
        <x:v>15</x:v>
      </x:c>
      <x:c r="H94" s="35" t="n">
        <x:f>SUMIFS('7日销售明细'!$L$5:$L$2244,'7日销售明细'!$B$5:$B$2244,B94,'7日销售明细'!$D$5:$D$2244,C94,'7日销售明细'!$H$5:$H$2244,E94)</x:f>
        <x:v>343.49999999999994</x:v>
      </x:c>
      <x:c r="I94" s="35" t="n">
        <x:f>G94*XLOOKUP(E94,'菜品主数据'!$A$5:$A$24,'菜品主数据'!$G$5:$G$24,0)</x:f>
        <x:v>146.55300000000005</x:v>
      </x:c>
    </x:row>
    <x:row r="95">
      <x:c r="A95" s="19" t="str">
        <x:v>2026-07-11|S01|D11</x:v>
      </x:c>
      <x:c r="B95" s="34" t="n">
        <x:v>46214.5</x:v>
      </x:c>
      <x:c r="C95" s="19" t="str">
        <x:v>S01</x:v>
      </x:c>
      <x:c r="D95" s="19" t="str">
        <x:v>近江天阳店</x:v>
      </x:c>
      <x:c r="E95" s="19" t="str">
        <x:v>D11</x:v>
      </x:c>
      <x:c r="F95" s="19" t="str">
        <x:v>香辣爆肥肠</x:v>
      </x:c>
      <x:c r="G95" s="20" t="n">
        <x:f>SUMIFS('7日销售明细'!$K$5:$K$2244,'7日销售明细'!$B$5:$B$2244,B95,'7日销售明细'!$D$5:$D$2244,C95,'7日销售明细'!$H$5:$H$2244,E95)</x:f>
        <x:v>6</x:v>
      </x:c>
      <x:c r="H95" s="35" t="n">
        <x:f>SUMIFS('7日销售明细'!$L$5:$L$2244,'7日销售明细'!$B$5:$B$2244,B95,'7日销售明细'!$D$5:$D$2244,C95,'7日销售明细'!$H$5:$H$2244,E95)</x:f>
        <x:v>234</x:v>
      </x:c>
      <x:c r="I95" s="35" t="n">
        <x:f>G95*XLOOKUP(E95,'菜品主数据'!$A$5:$A$24,'菜品主数据'!$G$5:$G$24,0)</x:f>
        <x:v>62.382000000000005</x:v>
      </x:c>
    </x:row>
    <x:row r="96">
      <x:c r="A96" s="19" t="str">
        <x:v>2026-07-11|S01|D12</x:v>
      </x:c>
      <x:c r="B96" s="34" t="n">
        <x:v>46214.5</x:v>
      </x:c>
      <x:c r="C96" s="19" t="str">
        <x:v>S01</x:v>
      </x:c>
      <x:c r="D96" s="19" t="str">
        <x:v>近江天阳店</x:v>
      </x:c>
      <x:c r="E96" s="19" t="str">
        <x:v>D12</x:v>
      </x:c>
      <x:c r="F96" s="19" t="str">
        <x:v>清蒸鲈鱼</x:v>
      </x:c>
      <x:c r="G96" s="20" t="n">
        <x:f>SUMIFS('7日销售明细'!$K$5:$K$2244,'7日销售明细'!$B$5:$B$2244,B96,'7日销售明细'!$D$5:$D$2244,C96,'7日销售明细'!$H$5:$H$2244,E96)</x:f>
        <x:v>6</x:v>
      </x:c>
      <x:c r="H96" s="35" t="n">
        <x:f>SUMIFS('7日销售明细'!$L$5:$L$2244,'7日销售明细'!$B$5:$B$2244,B96,'7日销售明细'!$D$5:$D$2244,C96,'7日销售明细'!$H$5:$H$2244,E96)</x:f>
        <x:v>234</x:v>
      </x:c>
      <x:c r="I96" s="35" t="n">
        <x:f>G96*XLOOKUP(E96,'菜品主数据'!$A$5:$A$24,'菜品主数据'!$G$5:$G$24,0)</x:f>
        <x:v>113.244</x:v>
      </x:c>
    </x:row>
    <x:row r="97">
      <x:c r="A97" s="19" t="str">
        <x:v>2026-07-11|S01|D13</x:v>
      </x:c>
      <x:c r="B97" s="34" t="n">
        <x:v>46214.5</x:v>
      </x:c>
      <x:c r="C97" s="19" t="str">
        <x:v>S01</x:v>
      </x:c>
      <x:c r="D97" s="19" t="str">
        <x:v>近江天阳店</x:v>
      </x:c>
      <x:c r="E97" s="19" t="str">
        <x:v>D13</x:v>
      </x:c>
      <x:c r="F97" s="19" t="str">
        <x:v>外婆菜炒蛋</x:v>
      </x:c>
      <x:c r="G97" s="20" t="n">
        <x:f>SUMIFS('7日销售明细'!$K$5:$K$2244,'7日销售明细'!$B$5:$B$2244,B97,'7日销售明细'!$D$5:$D$2244,C97,'7日销售明细'!$H$5:$H$2244,E97)</x:f>
        <x:v>15</x:v>
      </x:c>
      <x:c r="H97" s="35" t="n">
        <x:f>SUMIFS('7日销售明细'!$L$5:$L$2244,'7日销售明细'!$B$5:$B$2244,B97,'7日销售明细'!$D$5:$D$2244,C97,'7日销售明细'!$H$5:$H$2244,E97)</x:f>
        <x:v>270</x:v>
      </x:c>
      <x:c r="I97" s="35" t="n">
        <x:f>G97*XLOOKUP(E97,'菜品主数据'!$A$5:$A$24,'菜品主数据'!$G$5:$G$24,0)</x:f>
        <x:v>81.05999999999999</x:v>
      </x:c>
    </x:row>
    <x:row r="98">
      <x:c r="A98" s="19" t="str">
        <x:v>2026-07-11|S01|D14</x:v>
      </x:c>
      <x:c r="B98" s="34" t="n">
        <x:v>46214.5</x:v>
      </x:c>
      <x:c r="C98" s="19" t="str">
        <x:v>S01</x:v>
      </x:c>
      <x:c r="D98" s="19" t="str">
        <x:v>近江天阳店</x:v>
      </x:c>
      <x:c r="E98" s="19" t="str">
        <x:v>D14</x:v>
      </x:c>
      <x:c r="F98" s="19" t="str">
        <x:v>酸辣鸡杂</x:v>
      </x:c>
      <x:c r="G98" s="20" t="n">
        <x:f>SUMIFS('7日销售明细'!$K$5:$K$2244,'7日销售明细'!$B$5:$B$2244,B98,'7日销售明细'!$D$5:$D$2244,C98,'7日销售明细'!$H$5:$H$2244,E98)</x:f>
        <x:v>7</x:v>
      </x:c>
      <x:c r="H98" s="35" t="n">
        <x:f>SUMIFS('7日销售明细'!$L$5:$L$2244,'7日销售明细'!$B$5:$B$2244,B98,'7日销售明细'!$D$5:$D$2244,C98,'7日销售明细'!$H$5:$H$2244,E98)</x:f>
        <x:v>196</x:v>
      </x:c>
      <x:c r="I98" s="35" t="n">
        <x:f>G98*XLOOKUP(E98,'菜品主数据'!$A$5:$A$24,'菜品主数据'!$G$5:$G$24,0)</x:f>
        <x:v>58.20500000000001</x:v>
      </x:c>
    </x:row>
    <x:row r="99">
      <x:c r="A99" s="19" t="str">
        <x:v>2026-07-11|S01|D15</x:v>
      </x:c>
      <x:c r="B99" s="34" t="n">
        <x:v>46214.5</x:v>
      </x:c>
      <x:c r="C99" s="19" t="str">
        <x:v>S01</x:v>
      </x:c>
      <x:c r="D99" s="19" t="str">
        <x:v>近江天阳店</x:v>
      </x:c>
      <x:c r="E99" s="19" t="str">
        <x:v>D15</x:v>
      </x:c>
      <x:c r="F99" s="19" t="str">
        <x:v>湘西土匪猪肝</x:v>
      </x:c>
      <x:c r="G99" s="20" t="n">
        <x:f>SUMIFS('7日销售明细'!$K$5:$K$2244,'7日销售明细'!$B$5:$B$2244,B99,'7日销售明细'!$D$5:$D$2244,C99,'7日销售明细'!$H$5:$H$2244,E99)</x:f>
        <x:v>6</x:v>
      </x:c>
      <x:c r="H99" s="35" t="n">
        <x:f>SUMIFS('7日销售明细'!$L$5:$L$2244,'7日销售明细'!$B$5:$B$2244,B99,'7日销售明细'!$D$5:$D$2244,C99,'7日销售明细'!$H$5:$H$2244,E99)</x:f>
        <x:v>156</x:v>
      </x:c>
      <x:c r="I99" s="35" t="n">
        <x:f>G99*XLOOKUP(E99,'菜品主数据'!$A$5:$A$24,'菜品主数据'!$G$5:$G$24,0)</x:f>
        <x:v>38.256</x:v>
      </x:c>
    </x:row>
    <x:row r="100">
      <x:c r="A100" s="19" t="str">
        <x:v>2026-07-11|S01|D16</x:v>
      </x:c>
      <x:c r="B100" s="34" t="n">
        <x:v>46214.5</x:v>
      </x:c>
      <x:c r="C100" s="19" t="str">
        <x:v>S01</x:v>
      </x:c>
      <x:c r="D100" s="19" t="str">
        <x:v>近江天阳店</x:v>
      </x:c>
      <x:c r="E100" s="19" t="str">
        <x:v>D16</x:v>
      </x:c>
      <x:c r="F100" s="19" t="str">
        <x:v>小豆角炒五花</x:v>
      </x:c>
      <x:c r="G100" s="20" t="n">
        <x:f>SUMIFS('7日销售明细'!$K$5:$K$2244,'7日销售明细'!$B$5:$B$2244,B100,'7日销售明细'!$D$5:$D$2244,C100,'7日销售明细'!$H$5:$H$2244,E100)</x:f>
        <x:v>8</x:v>
      </x:c>
      <x:c r="H100" s="35" t="n">
        <x:f>SUMIFS('7日销售明细'!$L$5:$L$2244,'7日销售明细'!$B$5:$B$2244,B100,'7日销售明细'!$D$5:$D$2244,C100,'7日销售明细'!$H$5:$H$2244,E100)</x:f>
        <x:v>200</x:v>
      </x:c>
      <x:c r="I100" s="35" t="n">
        <x:f>G100*XLOOKUP(E100,'菜品主数据'!$A$5:$A$24,'菜品主数据'!$G$5:$G$24,0)</x:f>
        <x:v>65.472</x:v>
      </x:c>
    </x:row>
    <x:row r="101">
      <x:c r="A101" s="19" t="str">
        <x:v>2026-07-11|S01|D17</x:v>
      </x:c>
      <x:c r="B101" s="34" t="n">
        <x:v>46214.5</x:v>
      </x:c>
      <x:c r="C101" s="19" t="str">
        <x:v>S01</x:v>
      </x:c>
      <x:c r="D101" s="19" t="str">
        <x:v>近江天阳店</x:v>
      </x:c>
      <x:c r="E101" s="19" t="str">
        <x:v>D17</x:v>
      </x:c>
      <x:c r="F101" s="19" t="str">
        <x:v>蒜蓉粉丝虾</x:v>
      </x:c>
      <x:c r="G101" s="20" t="n">
        <x:f>SUMIFS('7日销售明细'!$K$5:$K$2244,'7日销售明细'!$B$5:$B$2244,B101,'7日销售明细'!$D$5:$D$2244,C101,'7日销售明细'!$H$5:$H$2244,E101)</x:f>
        <x:v>4</x:v>
      </x:c>
      <x:c r="H101" s="35" t="n">
        <x:f>SUMIFS('7日销售明细'!$L$5:$L$2244,'7日销售明细'!$B$5:$B$2244,B101,'7日销售明细'!$D$5:$D$2244,C101,'7日销售明细'!$H$5:$H$2244,E101)</x:f>
        <x:v>144</x:v>
      </x:c>
      <x:c r="I101" s="35" t="n">
        <x:f>G101*XLOOKUP(E101,'菜品主数据'!$A$5:$A$24,'菜品主数据'!$G$5:$G$24,0)</x:f>
        <x:v>54.376</x:v>
      </x:c>
    </x:row>
    <x:row r="102">
      <x:c r="A102" s="19" t="str">
        <x:v>2026-07-11|S01|D18</x:v>
      </x:c>
      <x:c r="B102" s="34" t="n">
        <x:v>46214.5</x:v>
      </x:c>
      <x:c r="C102" s="19" t="str">
        <x:v>S01</x:v>
      </x:c>
      <x:c r="D102" s="19" t="str">
        <x:v>近江天阳店</x:v>
      </x:c>
      <x:c r="E102" s="19" t="str">
        <x:v>D18</x:v>
      </x:c>
      <x:c r="F102" s="19" t="str">
        <x:v>青椒炒油麦菜</x:v>
      </x:c>
      <x:c r="G102" s="20" t="n">
        <x:f>SUMIFS('7日销售明细'!$K$5:$K$2244,'7日销售明细'!$B$5:$B$2244,B102,'7日销售明细'!$D$5:$D$2244,C102,'7日销售明细'!$H$5:$H$2244,E102)</x:f>
        <x:v>8</x:v>
      </x:c>
      <x:c r="H102" s="35" t="n">
        <x:f>SUMIFS('7日销售明细'!$L$5:$L$2244,'7日销售明细'!$B$5:$B$2244,B102,'7日销售明细'!$D$5:$D$2244,C102,'7日销售明细'!$H$5:$H$2244,E102)</x:f>
        <x:v>144</x:v>
      </x:c>
      <x:c r="I102" s="35" t="n">
        <x:f>G102*XLOOKUP(E102,'菜品主数据'!$A$5:$A$24,'菜品主数据'!$G$5:$G$24,0)</x:f>
        <x:v>25.407999999999994</x:v>
      </x:c>
    </x:row>
    <x:row r="103">
      <x:c r="A103" s="19" t="str">
        <x:v>2026-07-11|S01|D19</x:v>
      </x:c>
      <x:c r="B103" s="34" t="n">
        <x:v>46214.5</x:v>
      </x:c>
      <x:c r="C103" s="19" t="str">
        <x:v>S01</x:v>
      </x:c>
      <x:c r="D103" s="19" t="str">
        <x:v>近江天阳店</x:v>
      </x:c>
      <x:c r="E103" s="19" t="str">
        <x:v>D19</x:v>
      </x:c>
      <x:c r="F103" s="19" t="str">
        <x:v>酸萝卜炒鸡杂</x:v>
      </x:c>
      <x:c r="G103" s="20" t="n">
        <x:f>SUMIFS('7日销售明细'!$K$5:$K$2244,'7日销售明细'!$B$5:$B$2244,B103,'7日销售明细'!$D$5:$D$2244,C103,'7日销售明细'!$H$5:$H$2244,E103)</x:f>
        <x:v>5</x:v>
      </x:c>
      <x:c r="H103" s="35" t="n">
        <x:f>SUMIFS('7日销售明细'!$L$5:$L$2244,'7日销售明细'!$B$5:$B$2244,B103,'7日销售明细'!$D$5:$D$2244,C103,'7日销售明细'!$H$5:$H$2244,E103)</x:f>
        <x:v>125</x:v>
      </x:c>
      <x:c r="I103" s="35" t="n">
        <x:f>G103*XLOOKUP(E103,'菜品主数据'!$A$5:$A$24,'菜品主数据'!$G$5:$G$24,0)</x:f>
        <x:v>39.699999999999996</x:v>
      </x:c>
    </x:row>
    <x:row r="104">
      <x:c r="A104" s="19" t="str">
        <x:v>2026-07-11|S01|D20</x:v>
      </x:c>
      <x:c r="B104" s="34" t="n">
        <x:v>46214.5</x:v>
      </x:c>
      <x:c r="C104" s="19" t="str">
        <x:v>S01</x:v>
      </x:c>
      <x:c r="D104" s="19" t="str">
        <x:v>近江天阳店</x:v>
      </x:c>
      <x:c r="E104" s="19" t="str">
        <x:v>D20</x:v>
      </x:c>
      <x:c r="F104" s="19" t="str">
        <x:v>雪菜肉末青豆</x:v>
      </x:c>
      <x:c r="G104" s="20" t="n">
        <x:f>SUMIFS('7日销售明细'!$K$5:$K$2244,'7日销售明细'!$B$5:$B$2244,B104,'7日销售明细'!$D$5:$D$2244,C104,'7日销售明细'!$H$5:$H$2244,E104)</x:f>
        <x:v>7</x:v>
      </x:c>
      <x:c r="H104" s="35" t="n">
        <x:f>SUMIFS('7日销售明细'!$L$5:$L$2244,'7日销售明细'!$B$5:$B$2244,B104,'7日销售明细'!$D$5:$D$2244,C104,'7日销售明细'!$H$5:$H$2244,E104)</x:f>
        <x:v>126</x:v>
      </x:c>
      <x:c r="I104" s="35" t="n">
        <x:f>G104*XLOOKUP(E104,'菜品主数据'!$A$5:$A$24,'菜品主数据'!$G$5:$G$24,0)</x:f>
        <x:v>51.12799999999999</x:v>
      </x:c>
    </x:row>
    <x:row r="105">
      <x:c r="A105" s="19" t="str">
        <x:v>2026-07-12|S01|D01</x:v>
      </x:c>
      <x:c r="B105" s="34" t="n">
        <x:v>46215.5</x:v>
      </x:c>
      <x:c r="C105" s="19" t="str">
        <x:v>S01</x:v>
      </x:c>
      <x:c r="D105" s="19" t="str">
        <x:v>近江天阳店</x:v>
      </x:c>
      <x:c r="E105" s="19" t="str">
        <x:v>D01</x:v>
      </x:c>
      <x:c r="F105" s="19" t="str">
        <x:v>辣椒炒肉</x:v>
      </x:c>
      <x:c r="G105" s="20" t="n">
        <x:f>SUMIFS('7日销售明细'!$K$5:$K$2244,'7日销售明细'!$B$5:$B$2244,B105,'7日销售明细'!$D$5:$D$2244,C105,'7日销售明细'!$H$5:$H$2244,E105)</x:f>
        <x:v>40</x:v>
      </x:c>
      <x:c r="H105" s="35" t="n">
        <x:f>SUMIFS('7日销售明细'!$L$5:$L$2244,'7日销售明细'!$B$5:$B$2244,B105,'7日销售明细'!$D$5:$D$2244,C105,'7日销售明细'!$H$5:$H$2244,E105)</x:f>
        <x:v>1160</x:v>
      </x:c>
      <x:c r="I105" s="35" t="n">
        <x:f>G105*XLOOKUP(E105,'菜品主数据'!$A$5:$A$24,'菜品主数据'!$G$5:$G$24,0)</x:f>
        <x:v>345.37600000000003</x:v>
      </x:c>
    </x:row>
    <x:row r="106">
      <x:c r="A106" s="19" t="str">
        <x:v>2026-07-12|S01|D02</x:v>
      </x:c>
      <x:c r="B106" s="34" t="n">
        <x:v>46215.5</x:v>
      </x:c>
      <x:c r="C106" s="19" t="str">
        <x:v>S01</x:v>
      </x:c>
      <x:c r="D106" s="19" t="str">
        <x:v>近江天阳店</x:v>
      </x:c>
      <x:c r="E106" s="19" t="str">
        <x:v>D02</x:v>
      </x:c>
      <x:c r="F106" s="19" t="str">
        <x:v>小炒黄牛肉</x:v>
      </x:c>
      <x:c r="G106" s="20" t="n">
        <x:f>SUMIFS('7日销售明细'!$K$5:$K$2244,'7日销售明细'!$B$5:$B$2244,B106,'7日销售明细'!$D$5:$D$2244,C106,'7日销售明细'!$H$5:$H$2244,E106)</x:f>
        <x:v>27</x:v>
      </x:c>
      <x:c r="H106" s="35" t="n">
        <x:f>SUMIFS('7日销售明细'!$L$5:$L$2244,'7日销售明细'!$B$5:$B$2244,B106,'7日销售明细'!$D$5:$D$2244,C106,'7日销售明细'!$H$5:$H$2244,E106)</x:f>
        <x:v>1323</x:v>
      </x:c>
      <x:c r="I106" s="35" t="n">
        <x:f>G106*XLOOKUP(E106,'菜品主数据'!$A$5:$A$24,'菜品主数据'!$G$5:$G$24,0)</x:f>
        <x:v>474.57900000000006</x:v>
      </x:c>
    </x:row>
    <x:row r="107">
      <x:c r="A107" s="19" t="str">
        <x:v>2026-07-12|S01|D03</x:v>
      </x:c>
      <x:c r="B107" s="34" t="n">
        <x:v>46215.5</x:v>
      </x:c>
      <x:c r="C107" s="19" t="str">
        <x:v>S01</x:v>
      </x:c>
      <x:c r="D107" s="19" t="str">
        <x:v>近江天阳店</x:v>
      </x:c>
      <x:c r="E107" s="19" t="str">
        <x:v>D03</x:v>
      </x:c>
      <x:c r="F107" s="19" t="str">
        <x:v>香醋炒蛋</x:v>
      </x:c>
      <x:c r="G107" s="20" t="n">
        <x:f>SUMIFS('7日销售明细'!$K$5:$K$2244,'7日销售明细'!$B$5:$B$2244,B107,'7日销售明细'!$D$5:$D$2244,C107,'7日销售明细'!$H$5:$H$2244,E107)</x:f>
        <x:v>37</x:v>
      </x:c>
      <x:c r="H107" s="35" t="n">
        <x:f>SUMIFS('7日销售明细'!$L$5:$L$2244,'7日销售明细'!$B$5:$B$2244,B107,'7日销售明细'!$D$5:$D$2244,C107,'7日销售明细'!$H$5:$H$2244,E107)</x:f>
        <x:v>551.3000000000001</x:v>
      </x:c>
      <x:c r="I107" s="35" t="n">
        <x:f>G107*XLOOKUP(E107,'菜品主数据'!$A$5:$A$24,'菜品主数据'!$G$5:$G$24,0)</x:f>
        <x:v>138.60199999999998</x:v>
      </x:c>
    </x:row>
    <x:row r="108">
      <x:c r="A108" s="19" t="str">
        <x:v>2026-07-12|S01|D04</x:v>
      </x:c>
      <x:c r="B108" s="34" t="n">
        <x:v>46215.5</x:v>
      </x:c>
      <x:c r="C108" s="19" t="str">
        <x:v>S01</x:v>
      </x:c>
      <x:c r="D108" s="19" t="str">
        <x:v>近江天阳店</x:v>
      </x:c>
      <x:c r="E108" s="19" t="str">
        <x:v>D04</x:v>
      </x:c>
      <x:c r="F108" s="19" t="str">
        <x:v>酸包菜炒粉皮</x:v>
      </x:c>
      <x:c r="G108" s="20" t="n">
        <x:f>SUMIFS('7日销售明细'!$K$5:$K$2244,'7日销售明细'!$B$5:$B$2244,B108,'7日销售明细'!$D$5:$D$2244,C108,'7日销售明细'!$H$5:$H$2244,E108)</x:f>
        <x:v>31</x:v>
      </x:c>
      <x:c r="H108" s="35" t="n">
        <x:f>SUMIFS('7日销售明细'!$L$5:$L$2244,'7日销售明细'!$B$5:$B$2244,B108,'7日销售明细'!$D$5:$D$2244,C108,'7日销售明细'!$H$5:$H$2244,E108)</x:f>
        <x:v>496</x:v>
      </x:c>
      <x:c r="I108" s="35" t="n">
        <x:f>G108*XLOOKUP(E108,'菜品主数据'!$A$5:$A$24,'菜品主数据'!$G$5:$G$24,0)</x:f>
        <x:v>123.31800000000001</x:v>
      </x:c>
    </x:row>
    <x:row r="109">
      <x:c r="A109" s="19" t="str">
        <x:v>2026-07-12|S01|D05</x:v>
      </x:c>
      <x:c r="B109" s="34" t="n">
        <x:v>46215.5</x:v>
      </x:c>
      <x:c r="C109" s="19" t="str">
        <x:v>S01</x:v>
      </x:c>
      <x:c r="D109" s="19" t="str">
        <x:v>近江天阳店</x:v>
      </x:c>
      <x:c r="E109" s="19" t="str">
        <x:v>D05</x:v>
      </x:c>
      <x:c r="F109" s="19" t="str">
        <x:v>麻婆豆腐</x:v>
      </x:c>
      <x:c r="G109" s="20" t="n">
        <x:f>SUMIFS('7日销售明细'!$K$5:$K$2244,'7日销售明细'!$B$5:$B$2244,B109,'7日销售明细'!$D$5:$D$2244,C109,'7日销售明细'!$H$5:$H$2244,E109)</x:f>
        <x:v>43</x:v>
      </x:c>
      <x:c r="H109" s="35" t="n">
        <x:f>SUMIFS('7日销售明细'!$L$5:$L$2244,'7日销售明细'!$B$5:$B$2244,B109,'7日销售明细'!$D$5:$D$2244,C109,'7日销售明细'!$H$5:$H$2244,E109)</x:f>
        <x:v>425.70000000000005</x:v>
      </x:c>
      <x:c r="I109" s="35" t="n">
        <x:f>G109*XLOOKUP(E109,'菜品主数据'!$A$5:$A$24,'菜品主数据'!$G$5:$G$24,0)</x:f>
        <x:v>230.78100000000003</x:v>
      </x:c>
    </x:row>
    <x:row r="110">
      <x:c r="A110" s="19" t="str">
        <x:v>2026-07-12|S01|D06</x:v>
      </x:c>
      <x:c r="B110" s="34" t="n">
        <x:v>46215.5</x:v>
      </x:c>
      <x:c r="C110" s="19" t="str">
        <x:v>S01</x:v>
      </x:c>
      <x:c r="D110" s="19" t="str">
        <x:v>近江天阳店</x:v>
      </x:c>
      <x:c r="E110" s="19" t="str">
        <x:v>D06</x:v>
      </x:c>
      <x:c r="F110" s="19" t="str">
        <x:v>剁椒鱼头</x:v>
      </x:c>
      <x:c r="G110" s="20" t="n">
        <x:f>SUMIFS('7日销售明细'!$K$5:$K$2244,'7日销售明细'!$B$5:$B$2244,B110,'7日销售明细'!$D$5:$D$2244,C110,'7日销售明细'!$H$5:$H$2244,E110)</x:f>
        <x:v>12</x:v>
      </x:c>
      <x:c r="H110" s="35" t="n">
        <x:f>SUMIFS('7日销售明细'!$L$5:$L$2244,'7日销售明细'!$B$5:$B$2244,B110,'7日销售明细'!$D$5:$D$2244,C110,'7日销售明细'!$H$5:$H$2244,E110)</x:f>
        <x:v>468</x:v>
      </x:c>
      <x:c r="I110" s="35" t="n">
        <x:f>G110*XLOOKUP(E110,'菜品主数据'!$A$5:$A$24,'菜品主数据'!$G$5:$G$24,0)</x:f>
        <x:v>209.35200000000003</x:v>
      </x:c>
    </x:row>
    <x:row r="111">
      <x:c r="A111" s="19" t="str">
        <x:v>2026-07-12|S01|D07</x:v>
      </x:c>
      <x:c r="B111" s="34" t="n">
        <x:v>46215.5</x:v>
      </x:c>
      <x:c r="C111" s="19" t="str">
        <x:v>S01</x:v>
      </x:c>
      <x:c r="D111" s="19" t="str">
        <x:v>近江天阳店</x:v>
      </x:c>
      <x:c r="E111" s="19" t="str">
        <x:v>D07</x:v>
      </x:c>
      <x:c r="F111" s="19" t="str">
        <x:v>川味回锅肉</x:v>
      </x:c>
      <x:c r="G111" s="20" t="n">
        <x:f>SUMIFS('7日销售明细'!$K$5:$K$2244,'7日销售明细'!$B$5:$B$2244,B111,'7日销售明细'!$D$5:$D$2244,C111,'7日销售明细'!$H$5:$H$2244,E111)</x:f>
        <x:v>14</x:v>
      </x:c>
      <x:c r="H111" s="35" t="n">
        <x:f>SUMIFS('7日销售明细'!$L$5:$L$2244,'7日销售明细'!$B$5:$B$2244,B111,'7日销售明细'!$D$5:$D$2244,C111,'7日销售明细'!$H$5:$H$2244,E111)</x:f>
        <x:v>406</x:v>
      </x:c>
      <x:c r="I111" s="35" t="n">
        <x:f>G111*XLOOKUP(E111,'菜品主数据'!$A$5:$A$24,'菜品主数据'!$G$5:$G$24,0)</x:f>
        <x:v>143.23400000000004</x:v>
      </x:c>
    </x:row>
    <x:row r="112">
      <x:c r="A112" s="19" t="str">
        <x:v>2026-07-12|S01|D08</x:v>
      </x:c>
      <x:c r="B112" s="34" t="n">
        <x:v>46215.5</x:v>
      </x:c>
      <x:c r="C112" s="19" t="str">
        <x:v>S01</x:v>
      </x:c>
      <x:c r="D112" s="19" t="str">
        <x:v>近江天阳店</x:v>
      </x:c>
      <x:c r="E112" s="19" t="str">
        <x:v>D08</x:v>
      </x:c>
      <x:c r="F112" s="19" t="str">
        <x:v>生炒清远鸡</x:v>
      </x:c>
      <x:c r="G112" s="20" t="n">
        <x:f>SUMIFS('7日销售明细'!$K$5:$K$2244,'7日销售明细'!$B$5:$B$2244,B112,'7日销售明细'!$D$5:$D$2244,C112,'7日销售明细'!$H$5:$H$2244,E112)</x:f>
        <x:v>10</x:v>
      </x:c>
      <x:c r="H112" s="35" t="n">
        <x:f>SUMIFS('7日销售明细'!$L$5:$L$2244,'7日销售明细'!$B$5:$B$2244,B112,'7日销售明细'!$D$5:$D$2244,C112,'7日销售明细'!$H$5:$H$2244,E112)</x:f>
        <x:v>360</x:v>
      </x:c>
      <x:c r="I112" s="35" t="n">
        <x:f>G112*XLOOKUP(E112,'菜品主数据'!$A$5:$A$24,'菜品主数据'!$G$5:$G$24,0)</x:f>
        <x:v>134.8</x:v>
      </x:c>
    </x:row>
    <x:row r="113">
      <x:c r="A113" s="19" t="str">
        <x:v>2026-07-12|S01|D09</x:v>
      </x:c>
      <x:c r="B113" s="34" t="n">
        <x:v>46215.5</x:v>
      </x:c>
      <x:c r="C113" s="19" t="str">
        <x:v>S01</x:v>
      </x:c>
      <x:c r="D113" s="19" t="str">
        <x:v>近江天阳店</x:v>
      </x:c>
      <x:c r="E113" s="19" t="str">
        <x:v>D09</x:v>
      </x:c>
      <x:c r="F113" s="19" t="str">
        <x:v>炒豆干</x:v>
      </x:c>
      <x:c r="G113" s="20" t="n">
        <x:f>SUMIFS('7日销售明细'!$K$5:$K$2244,'7日销售明细'!$B$5:$B$2244,B113,'7日销售明细'!$D$5:$D$2244,C113,'7日销售明细'!$H$5:$H$2244,E113)</x:f>
        <x:v>14</x:v>
      </x:c>
      <x:c r="H113" s="35" t="n">
        <x:f>SUMIFS('7日销售明细'!$L$5:$L$2244,'7日销售明细'!$B$5:$B$2244,B113,'7日销售明细'!$D$5:$D$2244,C113,'7日销售明细'!$H$5:$H$2244,E113)</x:f>
        <x:v>252</x:v>
      </x:c>
      <x:c r="I113" s="35" t="n">
        <x:f>G113*XLOOKUP(E113,'菜品主数据'!$A$5:$A$24,'菜品主数据'!$G$5:$G$24,0)</x:f>
        <x:v>92.59599999999999</x:v>
      </x:c>
    </x:row>
    <x:row r="114">
      <x:c r="A114" s="19" t="str">
        <x:v>2026-07-12|S01|D10</x:v>
      </x:c>
      <x:c r="B114" s="34" t="n">
        <x:v>46215.5</x:v>
      </x:c>
      <x:c r="C114" s="19" t="str">
        <x:v>S01</x:v>
      </x:c>
      <x:c r="D114" s="19" t="str">
        <x:v>近江天阳店</x:v>
      </x:c>
      <x:c r="E114" s="19" t="str">
        <x:v>D10</x:v>
      </x:c>
      <x:c r="F114" s="19" t="str">
        <x:v>农家一碗香</x:v>
      </x:c>
      <x:c r="G114" s="20" t="n">
        <x:f>SUMIFS('7日销售明细'!$K$5:$K$2244,'7日销售明细'!$B$5:$B$2244,B114,'7日销售明细'!$D$5:$D$2244,C114,'7日销售明细'!$H$5:$H$2244,E114)</x:f>
        <x:v>17</x:v>
      </x:c>
      <x:c r="H114" s="35" t="n">
        <x:f>SUMIFS('7日销售明细'!$L$5:$L$2244,'7日销售明细'!$B$5:$B$2244,B114,'7日销售明细'!$D$5:$D$2244,C114,'7日销售明细'!$H$5:$H$2244,E114)</x:f>
        <x:v>389.29999999999995</x:v>
      </x:c>
      <x:c r="I114" s="35" t="n">
        <x:f>G114*XLOOKUP(E114,'菜品主数据'!$A$5:$A$24,'菜品主数据'!$G$5:$G$24,0)</x:f>
        <x:v>166.09340000000003</x:v>
      </x:c>
    </x:row>
    <x:row r="115">
      <x:c r="A115" s="19" t="str">
        <x:v>2026-07-12|S01|D11</x:v>
      </x:c>
      <x:c r="B115" s="34" t="n">
        <x:v>46215.5</x:v>
      </x:c>
      <x:c r="C115" s="19" t="str">
        <x:v>S01</x:v>
      </x:c>
      <x:c r="D115" s="19" t="str">
        <x:v>近江天阳店</x:v>
      </x:c>
      <x:c r="E115" s="19" t="str">
        <x:v>D11</x:v>
      </x:c>
      <x:c r="F115" s="19" t="str">
        <x:v>香辣爆肥肠</x:v>
      </x:c>
      <x:c r="G115" s="20" t="n">
        <x:f>SUMIFS('7日销售明细'!$K$5:$K$2244,'7日销售明细'!$B$5:$B$2244,B115,'7日销售明细'!$D$5:$D$2244,C115,'7日销售明细'!$H$5:$H$2244,E115)</x:f>
        <x:v>6</x:v>
      </x:c>
      <x:c r="H115" s="35" t="n">
        <x:f>SUMIFS('7日销售明细'!$L$5:$L$2244,'7日销售明细'!$B$5:$B$2244,B115,'7日销售明细'!$D$5:$D$2244,C115,'7日销售明细'!$H$5:$H$2244,E115)</x:f>
        <x:v>234</x:v>
      </x:c>
      <x:c r="I115" s="35" t="n">
        <x:f>G115*XLOOKUP(E115,'菜品主数据'!$A$5:$A$24,'菜品主数据'!$G$5:$G$24,0)</x:f>
        <x:v>62.382000000000005</x:v>
      </x:c>
    </x:row>
    <x:row r="116">
      <x:c r="A116" s="19" t="str">
        <x:v>2026-07-12|S01|D12</x:v>
      </x:c>
      <x:c r="B116" s="34" t="n">
        <x:v>46215.5</x:v>
      </x:c>
      <x:c r="C116" s="19" t="str">
        <x:v>S01</x:v>
      </x:c>
      <x:c r="D116" s="19" t="str">
        <x:v>近江天阳店</x:v>
      </x:c>
      <x:c r="E116" s="19" t="str">
        <x:v>D12</x:v>
      </x:c>
      <x:c r="F116" s="19" t="str">
        <x:v>清蒸鲈鱼</x:v>
      </x:c>
      <x:c r="G116" s="20" t="n">
        <x:f>SUMIFS('7日销售明细'!$K$5:$K$2244,'7日销售明细'!$B$5:$B$2244,B116,'7日销售明细'!$D$5:$D$2244,C116,'7日销售明细'!$H$5:$H$2244,E116)</x:f>
        <x:v>6</x:v>
      </x:c>
      <x:c r="H116" s="35" t="n">
        <x:f>SUMIFS('7日销售明细'!$L$5:$L$2244,'7日销售明细'!$B$5:$B$2244,B116,'7日销售明细'!$D$5:$D$2244,C116,'7日销售明细'!$H$5:$H$2244,E116)</x:f>
        <x:v>234</x:v>
      </x:c>
      <x:c r="I116" s="35" t="n">
        <x:f>G116*XLOOKUP(E116,'菜品主数据'!$A$5:$A$24,'菜品主数据'!$G$5:$G$24,0)</x:f>
        <x:v>113.244</x:v>
      </x:c>
    </x:row>
    <x:row r="117">
      <x:c r="A117" s="19" t="str">
        <x:v>2026-07-12|S01|D13</x:v>
      </x:c>
      <x:c r="B117" s="34" t="n">
        <x:v>46215.5</x:v>
      </x:c>
      <x:c r="C117" s="19" t="str">
        <x:v>S01</x:v>
      </x:c>
      <x:c r="D117" s="19" t="str">
        <x:v>近江天阳店</x:v>
      </x:c>
      <x:c r="E117" s="19" t="str">
        <x:v>D13</x:v>
      </x:c>
      <x:c r="F117" s="19" t="str">
        <x:v>外婆菜炒蛋</x:v>
      </x:c>
      <x:c r="G117" s="20" t="n">
        <x:f>SUMIFS('7日销售明细'!$K$5:$K$2244,'7日销售明细'!$B$5:$B$2244,B117,'7日销售明细'!$D$5:$D$2244,C117,'7日销售明细'!$H$5:$H$2244,E117)</x:f>
        <x:v>13</x:v>
      </x:c>
      <x:c r="H117" s="35" t="n">
        <x:f>SUMIFS('7日销售明细'!$L$5:$L$2244,'7日销售明细'!$B$5:$B$2244,B117,'7日销售明细'!$D$5:$D$2244,C117,'7日销售明细'!$H$5:$H$2244,E117)</x:f>
        <x:v>234</x:v>
      </x:c>
      <x:c r="I117" s="35" t="n">
        <x:f>G117*XLOOKUP(E117,'菜品主数据'!$A$5:$A$24,'菜品主数据'!$G$5:$G$24,0)</x:f>
        <x:v>70.25199999999998</x:v>
      </x:c>
    </x:row>
    <x:row r="118">
      <x:c r="A118" s="19" t="str">
        <x:v>2026-07-12|S01|D14</x:v>
      </x:c>
      <x:c r="B118" s="34" t="n">
        <x:v>46215.5</x:v>
      </x:c>
      <x:c r="C118" s="19" t="str">
        <x:v>S01</x:v>
      </x:c>
      <x:c r="D118" s="19" t="str">
        <x:v>近江天阳店</x:v>
      </x:c>
      <x:c r="E118" s="19" t="str">
        <x:v>D14</x:v>
      </x:c>
      <x:c r="F118" s="19" t="str">
        <x:v>酸辣鸡杂</x:v>
      </x:c>
      <x:c r="G118" s="20" t="n">
        <x:f>SUMIFS('7日销售明细'!$K$5:$K$2244,'7日销售明细'!$B$5:$B$2244,B118,'7日销售明细'!$D$5:$D$2244,C118,'7日销售明细'!$H$5:$H$2244,E118)</x:f>
        <x:v>7</x:v>
      </x:c>
      <x:c r="H118" s="35" t="n">
        <x:f>SUMIFS('7日销售明细'!$L$5:$L$2244,'7日销售明细'!$B$5:$B$2244,B118,'7日销售明细'!$D$5:$D$2244,C118,'7日销售明细'!$H$5:$H$2244,E118)</x:f>
        <x:v>196</x:v>
      </x:c>
      <x:c r="I118" s="35" t="n">
        <x:f>G118*XLOOKUP(E118,'菜品主数据'!$A$5:$A$24,'菜品主数据'!$G$5:$G$24,0)</x:f>
        <x:v>58.20500000000001</x:v>
      </x:c>
    </x:row>
    <x:row r="119">
      <x:c r="A119" s="19" t="str">
        <x:v>2026-07-12|S01|D15</x:v>
      </x:c>
      <x:c r="B119" s="34" t="n">
        <x:v>46215.5</x:v>
      </x:c>
      <x:c r="C119" s="19" t="str">
        <x:v>S01</x:v>
      </x:c>
      <x:c r="D119" s="19" t="str">
        <x:v>近江天阳店</x:v>
      </x:c>
      <x:c r="E119" s="19" t="str">
        <x:v>D15</x:v>
      </x:c>
      <x:c r="F119" s="19" t="str">
        <x:v>湘西土匪猪肝</x:v>
      </x:c>
      <x:c r="G119" s="20" t="n">
        <x:f>SUMIFS('7日销售明细'!$K$5:$K$2244,'7日销售明细'!$B$5:$B$2244,B119,'7日销售明细'!$D$5:$D$2244,C119,'7日销售明细'!$H$5:$H$2244,E119)</x:f>
        <x:v>7</x:v>
      </x:c>
      <x:c r="H119" s="35" t="n">
        <x:f>SUMIFS('7日销售明细'!$L$5:$L$2244,'7日销售明细'!$B$5:$B$2244,B119,'7日销售明细'!$D$5:$D$2244,C119,'7日销售明细'!$H$5:$H$2244,E119)</x:f>
        <x:v>182</x:v>
      </x:c>
      <x:c r="I119" s="35" t="n">
        <x:f>G119*XLOOKUP(E119,'菜品主数据'!$A$5:$A$24,'菜品主数据'!$G$5:$G$24,0)</x:f>
        <x:v>44.632</x:v>
      </x:c>
    </x:row>
    <x:row r="120">
      <x:c r="A120" s="19" t="str">
        <x:v>2026-07-12|S01|D16</x:v>
      </x:c>
      <x:c r="B120" s="34" t="n">
        <x:v>46215.5</x:v>
      </x:c>
      <x:c r="C120" s="19" t="str">
        <x:v>S01</x:v>
      </x:c>
      <x:c r="D120" s="19" t="str">
        <x:v>近江天阳店</x:v>
      </x:c>
      <x:c r="E120" s="19" t="str">
        <x:v>D16</x:v>
      </x:c>
      <x:c r="F120" s="19" t="str">
        <x:v>小豆角炒五花</x:v>
      </x:c>
      <x:c r="G120" s="20" t="n">
        <x:f>SUMIFS('7日销售明细'!$K$5:$K$2244,'7日销售明细'!$B$5:$B$2244,B120,'7日销售明细'!$D$5:$D$2244,C120,'7日销售明细'!$H$5:$H$2244,E120)</x:f>
        <x:v>6</x:v>
      </x:c>
      <x:c r="H120" s="35" t="n">
        <x:f>SUMIFS('7日销售明细'!$L$5:$L$2244,'7日销售明细'!$B$5:$B$2244,B120,'7日销售明细'!$D$5:$D$2244,C120,'7日销售明细'!$H$5:$H$2244,E120)</x:f>
        <x:v>150</x:v>
      </x:c>
      <x:c r="I120" s="35" t="n">
        <x:f>G120*XLOOKUP(E120,'菜品主数据'!$A$5:$A$24,'菜品主数据'!$G$5:$G$24,0)</x:f>
        <x:v>49.104</x:v>
      </x:c>
    </x:row>
    <x:row r="121">
      <x:c r="A121" s="19" t="str">
        <x:v>2026-07-12|S01|D17</x:v>
      </x:c>
      <x:c r="B121" s="34" t="n">
        <x:v>46215.5</x:v>
      </x:c>
      <x:c r="C121" s="19" t="str">
        <x:v>S01</x:v>
      </x:c>
      <x:c r="D121" s="19" t="str">
        <x:v>近江天阳店</x:v>
      </x:c>
      <x:c r="E121" s="19" t="str">
        <x:v>D17</x:v>
      </x:c>
      <x:c r="F121" s="19" t="str">
        <x:v>蒜蓉粉丝虾</x:v>
      </x:c>
      <x:c r="G121" s="20" t="n">
        <x:f>SUMIFS('7日销售明细'!$K$5:$K$2244,'7日销售明细'!$B$5:$B$2244,B121,'7日销售明细'!$D$5:$D$2244,C121,'7日销售明细'!$H$5:$H$2244,E121)</x:f>
        <x:v>4</x:v>
      </x:c>
      <x:c r="H121" s="35" t="n">
        <x:f>SUMIFS('7日销售明细'!$L$5:$L$2244,'7日销售明细'!$B$5:$B$2244,B121,'7日销售明细'!$D$5:$D$2244,C121,'7日销售明细'!$H$5:$H$2244,E121)</x:f>
        <x:v>144</x:v>
      </x:c>
      <x:c r="I121" s="35" t="n">
        <x:f>G121*XLOOKUP(E121,'菜品主数据'!$A$5:$A$24,'菜品主数据'!$G$5:$G$24,0)</x:f>
        <x:v>54.376</x:v>
      </x:c>
    </x:row>
    <x:row r="122">
      <x:c r="A122" s="19" t="str">
        <x:v>2026-07-12|S01|D18</x:v>
      </x:c>
      <x:c r="B122" s="34" t="n">
        <x:v>46215.5</x:v>
      </x:c>
      <x:c r="C122" s="19" t="str">
        <x:v>S01</x:v>
      </x:c>
      <x:c r="D122" s="19" t="str">
        <x:v>近江天阳店</x:v>
      </x:c>
      <x:c r="E122" s="19" t="str">
        <x:v>D18</x:v>
      </x:c>
      <x:c r="F122" s="19" t="str">
        <x:v>青椒炒油麦菜</x:v>
      </x:c>
      <x:c r="G122" s="20" t="n">
        <x:f>SUMIFS('7日销售明细'!$K$5:$K$2244,'7日销售明细'!$B$5:$B$2244,B122,'7日销售明细'!$D$5:$D$2244,C122,'7日销售明细'!$H$5:$H$2244,E122)</x:f>
        <x:v>8</x:v>
      </x:c>
      <x:c r="H122" s="35" t="n">
        <x:f>SUMIFS('7日销售明细'!$L$5:$L$2244,'7日销售明细'!$B$5:$B$2244,B122,'7日销售明细'!$D$5:$D$2244,C122,'7日销售明细'!$H$5:$H$2244,E122)</x:f>
        <x:v>144</x:v>
      </x:c>
      <x:c r="I122" s="35" t="n">
        <x:f>G122*XLOOKUP(E122,'菜品主数据'!$A$5:$A$24,'菜品主数据'!$G$5:$G$24,0)</x:f>
        <x:v>25.407999999999994</x:v>
      </x:c>
    </x:row>
    <x:row r="123">
      <x:c r="A123" s="19" t="str">
        <x:v>2026-07-12|S01|D19</x:v>
      </x:c>
      <x:c r="B123" s="34" t="n">
        <x:v>46215.5</x:v>
      </x:c>
      <x:c r="C123" s="19" t="str">
        <x:v>S01</x:v>
      </x:c>
      <x:c r="D123" s="19" t="str">
        <x:v>近江天阳店</x:v>
      </x:c>
      <x:c r="E123" s="19" t="str">
        <x:v>D19</x:v>
      </x:c>
      <x:c r="F123" s="19" t="str">
        <x:v>酸萝卜炒鸡杂</x:v>
      </x:c>
      <x:c r="G123" s="20" t="n">
        <x:f>SUMIFS('7日销售明细'!$K$5:$K$2244,'7日销售明细'!$B$5:$B$2244,B123,'7日销售明细'!$D$5:$D$2244,C123,'7日销售明细'!$H$5:$H$2244,E123)</x:f>
        <x:v>5</x:v>
      </x:c>
      <x:c r="H123" s="35" t="n">
        <x:f>SUMIFS('7日销售明细'!$L$5:$L$2244,'7日销售明细'!$B$5:$B$2244,B123,'7日销售明细'!$D$5:$D$2244,C123,'7日销售明细'!$H$5:$H$2244,E123)</x:f>
        <x:v>125</x:v>
      </x:c>
      <x:c r="I123" s="35" t="n">
        <x:f>G123*XLOOKUP(E123,'菜品主数据'!$A$5:$A$24,'菜品主数据'!$G$5:$G$24,0)</x:f>
        <x:v>39.699999999999996</x:v>
      </x:c>
    </x:row>
    <x:row r="124">
      <x:c r="A124" s="19" t="str">
        <x:v>2026-07-12|S01|D20</x:v>
      </x:c>
      <x:c r="B124" s="34" t="n">
        <x:v>46215.5</x:v>
      </x:c>
      <x:c r="C124" s="19" t="str">
        <x:v>S01</x:v>
      </x:c>
      <x:c r="D124" s="19" t="str">
        <x:v>近江天阳店</x:v>
      </x:c>
      <x:c r="E124" s="19" t="str">
        <x:v>D20</x:v>
      </x:c>
      <x:c r="F124" s="19" t="str">
        <x:v>雪菜肉末青豆</x:v>
      </x:c>
      <x:c r="G124" s="20" t="n">
        <x:f>SUMIFS('7日销售明细'!$K$5:$K$2244,'7日销售明细'!$B$5:$B$2244,B124,'7日销售明细'!$D$5:$D$2244,C124,'7日销售明细'!$H$5:$H$2244,E124)</x:f>
        <x:v>7</x:v>
      </x:c>
      <x:c r="H124" s="35" t="n">
        <x:f>SUMIFS('7日销售明细'!$L$5:$L$2244,'7日销售明细'!$B$5:$B$2244,B124,'7日销售明细'!$D$5:$D$2244,C124,'7日销售明细'!$H$5:$H$2244,E124)</x:f>
        <x:v>126</x:v>
      </x:c>
      <x:c r="I124" s="35" t="n">
        <x:f>G124*XLOOKUP(E124,'菜品主数据'!$A$5:$A$24,'菜品主数据'!$G$5:$G$24,0)</x:f>
        <x:v>51.12799999999999</x:v>
      </x:c>
    </x:row>
    <x:row r="125">
      <x:c r="A125" s="19" t="str">
        <x:v>2026-07-13|S01|D01</x:v>
      </x:c>
      <x:c r="B125" s="34" t="n">
        <x:v>46216.5</x:v>
      </x:c>
      <x:c r="C125" s="19" t="str">
        <x:v>S01</x:v>
      </x:c>
      <x:c r="D125" s="19" t="str">
        <x:v>近江天阳店</x:v>
      </x:c>
      <x:c r="E125" s="19" t="str">
        <x:v>D01</x:v>
      </x:c>
      <x:c r="F125" s="19" t="str">
        <x:v>辣椒炒肉</x:v>
      </x:c>
      <x:c r="G125" s="20" t="n">
        <x:f>SUMIFS('7日销售明细'!$K$5:$K$2244,'7日销售明细'!$B$5:$B$2244,B125,'7日销售明细'!$D$5:$D$2244,C125,'7日销售明细'!$H$5:$H$2244,E125)</x:f>
        <x:v>62</x:v>
      </x:c>
      <x:c r="H125" s="35" t="n">
        <x:f>SUMIFS('7日销售明细'!$L$5:$L$2244,'7日销售明细'!$B$5:$B$2244,B125,'7日销售明细'!$D$5:$D$2244,C125,'7日销售明细'!$H$5:$H$2244,E125)</x:f>
        <x:v>1798</x:v>
      </x:c>
      <x:c r="I125" s="35" t="n">
        <x:f>G125*XLOOKUP(E125,'菜品主数据'!$A$5:$A$24,'菜品主数据'!$G$5:$G$24,0)</x:f>
        <x:v>535.3328</x:v>
      </x:c>
    </x:row>
    <x:row r="126">
      <x:c r="A126" s="19" t="str">
        <x:v>2026-07-13|S01|D02</x:v>
      </x:c>
      <x:c r="B126" s="34" t="n">
        <x:v>46216.5</x:v>
      </x:c>
      <x:c r="C126" s="19" t="str">
        <x:v>S01</x:v>
      </x:c>
      <x:c r="D126" s="19" t="str">
        <x:v>近江天阳店</x:v>
      </x:c>
      <x:c r="E126" s="19" t="str">
        <x:v>D02</x:v>
      </x:c>
      <x:c r="F126" s="19" t="str">
        <x:v>小炒黄牛肉</x:v>
      </x:c>
      <x:c r="G126" s="20" t="n">
        <x:f>SUMIFS('7日销售明细'!$K$5:$K$2244,'7日销售明细'!$B$5:$B$2244,B126,'7日销售明细'!$D$5:$D$2244,C126,'7日销售明细'!$H$5:$H$2244,E126)</x:f>
        <x:v>37</x:v>
      </x:c>
      <x:c r="H126" s="35" t="n">
        <x:f>SUMIFS('7日销售明细'!$L$5:$L$2244,'7日销售明细'!$B$5:$B$2244,B126,'7日销售明细'!$D$5:$D$2244,C126,'7日销售明细'!$H$5:$H$2244,E126)</x:f>
        <x:v>1813</x:v>
      </x:c>
      <x:c r="I126" s="35" t="n">
        <x:f>G126*XLOOKUP(E126,'菜品主数据'!$A$5:$A$24,'菜品主数据'!$G$5:$G$24,0)</x:f>
        <x:v>650.349</x:v>
      </x:c>
    </x:row>
    <x:row r="127">
      <x:c r="A127" s="19" t="str">
        <x:v>2026-07-13|S01|D03</x:v>
      </x:c>
      <x:c r="B127" s="34" t="n">
        <x:v>46216.5</x:v>
      </x:c>
      <x:c r="C127" s="19" t="str">
        <x:v>S01</x:v>
      </x:c>
      <x:c r="D127" s="19" t="str">
        <x:v>近江天阳店</x:v>
      </x:c>
      <x:c r="E127" s="19" t="str">
        <x:v>D03</x:v>
      </x:c>
      <x:c r="F127" s="19" t="str">
        <x:v>香醋炒蛋</x:v>
      </x:c>
      <x:c r="G127" s="20" t="n">
        <x:f>SUMIFS('7日销售明细'!$K$5:$K$2244,'7日销售明细'!$B$5:$B$2244,B127,'7日销售明细'!$D$5:$D$2244,C127,'7日销售明细'!$H$5:$H$2244,E127)</x:f>
        <x:v>50</x:v>
      </x:c>
      <x:c r="H127" s="35" t="n">
        <x:f>SUMIFS('7日销售明细'!$L$5:$L$2244,'7日销售明细'!$B$5:$B$2244,B127,'7日销售明细'!$D$5:$D$2244,C127,'7日销售明细'!$H$5:$H$2244,E127)</x:f>
        <x:v>745</x:v>
      </x:c>
      <x:c r="I127" s="35" t="n">
        <x:f>G127*XLOOKUP(E127,'菜品主数据'!$A$5:$A$24,'菜品主数据'!$G$5:$G$24,0)</x:f>
        <x:v>187.29999999999998</x:v>
      </x:c>
    </x:row>
    <x:row r="128">
      <x:c r="A128" s="19" t="str">
        <x:v>2026-07-13|S01|D04</x:v>
      </x:c>
      <x:c r="B128" s="34" t="n">
        <x:v>46216.5</x:v>
      </x:c>
      <x:c r="C128" s="19" t="str">
        <x:v>S01</x:v>
      </x:c>
      <x:c r="D128" s="19" t="str">
        <x:v>近江天阳店</x:v>
      </x:c>
      <x:c r="E128" s="19" t="str">
        <x:v>D04</x:v>
      </x:c>
      <x:c r="F128" s="19" t="str">
        <x:v>酸包菜炒粉皮</x:v>
      </x:c>
      <x:c r="G128" s="20" t="n">
        <x:f>SUMIFS('7日销售明细'!$K$5:$K$2244,'7日销售明细'!$B$5:$B$2244,B128,'7日销售明细'!$D$5:$D$2244,C128,'7日销售明细'!$H$5:$H$2244,E128)</x:f>
        <x:v>48</x:v>
      </x:c>
      <x:c r="H128" s="35" t="n">
        <x:f>SUMIFS('7日销售明细'!$L$5:$L$2244,'7日销售明细'!$B$5:$B$2244,B128,'7日销售明细'!$D$5:$D$2244,C128,'7日销售明细'!$H$5:$H$2244,E128)</x:f>
        <x:v>768</x:v>
      </x:c>
      <x:c r="I128" s="35" t="n">
        <x:f>G128*XLOOKUP(E128,'菜品主数据'!$A$5:$A$24,'菜品主数据'!$G$5:$G$24,0)</x:f>
        <x:v>190.94400000000002</x:v>
      </x:c>
    </x:row>
    <x:row r="129">
      <x:c r="A129" s="19" t="str">
        <x:v>2026-07-13|S01|D05</x:v>
      </x:c>
      <x:c r="B129" s="34" t="n">
        <x:v>46216.5</x:v>
      </x:c>
      <x:c r="C129" s="19" t="str">
        <x:v>S01</x:v>
      </x:c>
      <x:c r="D129" s="19" t="str">
        <x:v>近江天阳店</x:v>
      </x:c>
      <x:c r="E129" s="19" t="str">
        <x:v>D05</x:v>
      </x:c>
      <x:c r="F129" s="19" t="str">
        <x:v>麻婆豆腐</x:v>
      </x:c>
      <x:c r="G129" s="20" t="n">
        <x:f>SUMIFS('7日销售明细'!$K$5:$K$2244,'7日销售明细'!$B$5:$B$2244,B129,'7日销售明细'!$D$5:$D$2244,C129,'7日销售明细'!$H$5:$H$2244,E129)</x:f>
        <x:v>66</x:v>
      </x:c>
      <x:c r="H129" s="35" t="n">
        <x:f>SUMIFS('7日销售明细'!$L$5:$L$2244,'7日销售明细'!$B$5:$B$2244,B129,'7日销售明细'!$D$5:$D$2244,C129,'7日销售明细'!$H$5:$H$2244,E129)</x:f>
        <x:v>653.4</x:v>
      </x:c>
      <x:c r="I129" s="35" t="n">
        <x:f>G129*XLOOKUP(E129,'菜品主数据'!$A$5:$A$24,'菜品主数据'!$G$5:$G$24,0)</x:f>
        <x:v>354.22200000000004</x:v>
      </x:c>
    </x:row>
    <x:row r="130">
      <x:c r="A130" s="19" t="str">
        <x:v>2026-07-13|S01|D06</x:v>
      </x:c>
      <x:c r="B130" s="34" t="n">
        <x:v>46216.5</x:v>
      </x:c>
      <x:c r="C130" s="19" t="str">
        <x:v>S01</x:v>
      </x:c>
      <x:c r="D130" s="19" t="str">
        <x:v>近江天阳店</x:v>
      </x:c>
      <x:c r="E130" s="19" t="str">
        <x:v>D06</x:v>
      </x:c>
      <x:c r="F130" s="19" t="str">
        <x:v>剁椒鱼头</x:v>
      </x:c>
      <x:c r="G130" s="20" t="n">
        <x:f>SUMIFS('7日销售明细'!$K$5:$K$2244,'7日销售明细'!$B$5:$B$2244,B130,'7日销售明细'!$D$5:$D$2244,C130,'7日销售明细'!$H$5:$H$2244,E130)</x:f>
        <x:v>15</x:v>
      </x:c>
      <x:c r="H130" s="35" t="n">
        <x:f>SUMIFS('7日销售明细'!$L$5:$L$2244,'7日销售明细'!$B$5:$B$2244,B130,'7日销售明细'!$D$5:$D$2244,C130,'7日销售明细'!$H$5:$H$2244,E130)</x:f>
        <x:v>585</x:v>
      </x:c>
      <x:c r="I130" s="35" t="n">
        <x:f>G130*XLOOKUP(E130,'菜品主数据'!$A$5:$A$24,'菜品主数据'!$G$5:$G$24,0)</x:f>
        <x:v>261.69</x:v>
      </x:c>
    </x:row>
    <x:row r="131">
      <x:c r="A131" s="19" t="str">
        <x:v>2026-07-13|S01|D07</x:v>
      </x:c>
      <x:c r="B131" s="34" t="n">
        <x:v>46216.5</x:v>
      </x:c>
      <x:c r="C131" s="19" t="str">
        <x:v>S01</x:v>
      </x:c>
      <x:c r="D131" s="19" t="str">
        <x:v>近江天阳店</x:v>
      </x:c>
      <x:c r="E131" s="19" t="str">
        <x:v>D07</x:v>
      </x:c>
      <x:c r="F131" s="19" t="str">
        <x:v>川味回锅肉</x:v>
      </x:c>
      <x:c r="G131" s="20" t="n">
        <x:f>SUMIFS('7日销售明细'!$K$5:$K$2244,'7日销售明细'!$B$5:$B$2244,B131,'7日销售明细'!$D$5:$D$2244,C131,'7日销售明细'!$H$5:$H$2244,E131)</x:f>
        <x:v>19</x:v>
      </x:c>
      <x:c r="H131" s="35" t="n">
        <x:f>SUMIFS('7日销售明细'!$L$5:$L$2244,'7日销售明细'!$B$5:$B$2244,B131,'7日销售明细'!$D$5:$D$2244,C131,'7日销售明细'!$H$5:$H$2244,E131)</x:f>
        <x:v>551</x:v>
      </x:c>
      <x:c r="I131" s="35" t="n">
        <x:f>G131*XLOOKUP(E131,'菜品主数据'!$A$5:$A$24,'菜品主数据'!$G$5:$G$24,0)</x:f>
        <x:v>194.38900000000004</x:v>
      </x:c>
    </x:row>
    <x:row r="132">
      <x:c r="A132" s="19" t="str">
        <x:v>2026-07-13|S01|D08</x:v>
      </x:c>
      <x:c r="B132" s="34" t="n">
        <x:v>46216.5</x:v>
      </x:c>
      <x:c r="C132" s="19" t="str">
        <x:v>S01</x:v>
      </x:c>
      <x:c r="D132" s="19" t="str">
        <x:v>近江天阳店</x:v>
      </x:c>
      <x:c r="E132" s="19" t="str">
        <x:v>D08</x:v>
      </x:c>
      <x:c r="F132" s="19" t="str">
        <x:v>生炒清远鸡</x:v>
      </x:c>
      <x:c r="G132" s="20" t="n">
        <x:f>SUMIFS('7日销售明细'!$K$5:$K$2244,'7日销售明细'!$B$5:$B$2244,B132,'7日销售明细'!$D$5:$D$2244,C132,'7日销售明细'!$H$5:$H$2244,E132)</x:f>
        <x:v>14</x:v>
      </x:c>
      <x:c r="H132" s="35" t="n">
        <x:f>SUMIFS('7日销售明细'!$L$5:$L$2244,'7日销售明细'!$B$5:$B$2244,B132,'7日销售明细'!$D$5:$D$2244,C132,'7日销售明细'!$H$5:$H$2244,E132)</x:f>
        <x:v>504</x:v>
      </x:c>
      <x:c r="I132" s="35" t="n">
        <x:f>G132*XLOOKUP(E132,'菜品主数据'!$A$5:$A$24,'菜品主数据'!$G$5:$G$24,0)</x:f>
        <x:v>188.72</x:v>
      </x:c>
    </x:row>
    <x:row r="133">
      <x:c r="A133" s="19" t="str">
        <x:v>2026-07-13|S01|D09</x:v>
      </x:c>
      <x:c r="B133" s="34" t="n">
        <x:v>46216.5</x:v>
      </x:c>
      <x:c r="C133" s="19" t="str">
        <x:v>S01</x:v>
      </x:c>
      <x:c r="D133" s="19" t="str">
        <x:v>近江天阳店</x:v>
      </x:c>
      <x:c r="E133" s="19" t="str">
        <x:v>D09</x:v>
      </x:c>
      <x:c r="F133" s="19" t="str">
        <x:v>炒豆干</x:v>
      </x:c>
      <x:c r="G133" s="20" t="n">
        <x:f>SUMIFS('7日销售明细'!$K$5:$K$2244,'7日销售明细'!$B$5:$B$2244,B133,'7日销售明细'!$D$5:$D$2244,C133,'7日销售明细'!$H$5:$H$2244,E133)</x:f>
        <x:v>21</x:v>
      </x:c>
      <x:c r="H133" s="35" t="n">
        <x:f>SUMIFS('7日销售明细'!$L$5:$L$2244,'7日销售明细'!$B$5:$B$2244,B133,'7日销售明细'!$D$5:$D$2244,C133,'7日销售明细'!$H$5:$H$2244,E133)</x:f>
        <x:v>378</x:v>
      </x:c>
      <x:c r="I133" s="35" t="n">
        <x:f>G133*XLOOKUP(E133,'菜品主数据'!$A$5:$A$24,'菜品主数据'!$G$5:$G$24,0)</x:f>
        <x:v>138.89399999999998</x:v>
      </x:c>
    </x:row>
    <x:row r="134">
      <x:c r="A134" s="19" t="str">
        <x:v>2026-07-13|S01|D10</x:v>
      </x:c>
      <x:c r="B134" s="34" t="n">
        <x:v>46216.5</x:v>
      </x:c>
      <x:c r="C134" s="19" t="str">
        <x:v>S01</x:v>
      </x:c>
      <x:c r="D134" s="19" t="str">
        <x:v>近江天阳店</x:v>
      </x:c>
      <x:c r="E134" s="19" t="str">
        <x:v>D10</x:v>
      </x:c>
      <x:c r="F134" s="19" t="str">
        <x:v>农家一碗香</x:v>
      </x:c>
      <x:c r="G134" s="20" t="n">
        <x:f>SUMIFS('7日销售明细'!$K$5:$K$2244,'7日销售明细'!$B$5:$B$2244,B134,'7日销售明细'!$D$5:$D$2244,C134,'7日销售明细'!$H$5:$H$2244,E134)</x:f>
        <x:v>21</x:v>
      </x:c>
      <x:c r="H134" s="35" t="n">
        <x:f>SUMIFS('7日销售明细'!$L$5:$L$2244,'7日销售明细'!$B$5:$B$2244,B134,'7日销售明细'!$D$5:$D$2244,C134,'7日销售明细'!$H$5:$H$2244,E134)</x:f>
        <x:v>480.9</x:v>
      </x:c>
      <x:c r="I134" s="35" t="n">
        <x:f>G134*XLOOKUP(E134,'菜品主数据'!$A$5:$A$24,'菜品主数据'!$G$5:$G$24,0)</x:f>
        <x:v>205.17420000000004</x:v>
      </x:c>
    </x:row>
    <x:row r="135">
      <x:c r="A135" s="19" t="str">
        <x:v>2026-07-13|S01|D11</x:v>
      </x:c>
      <x:c r="B135" s="34" t="n">
        <x:v>46216.5</x:v>
      </x:c>
      <x:c r="C135" s="19" t="str">
        <x:v>S01</x:v>
      </x:c>
      <x:c r="D135" s="19" t="str">
        <x:v>近江天阳店</x:v>
      </x:c>
      <x:c r="E135" s="19" t="str">
        <x:v>D11</x:v>
      </x:c>
      <x:c r="F135" s="19" t="str">
        <x:v>香辣爆肥肠</x:v>
      </x:c>
      <x:c r="G135" s="20" t="n">
        <x:f>SUMIFS('7日销售明细'!$K$5:$K$2244,'7日销售明细'!$B$5:$B$2244,B135,'7日销售明细'!$D$5:$D$2244,C135,'7日销售明细'!$H$5:$H$2244,E135)</x:f>
        <x:v>9</x:v>
      </x:c>
      <x:c r="H135" s="35" t="n">
        <x:f>SUMIFS('7日销售明细'!$L$5:$L$2244,'7日销售明细'!$B$5:$B$2244,B135,'7日销售明细'!$D$5:$D$2244,C135,'7日销售明细'!$H$5:$H$2244,E135)</x:f>
        <x:v>351</x:v>
      </x:c>
      <x:c r="I135" s="35" t="n">
        <x:f>G135*XLOOKUP(E135,'菜品主数据'!$A$5:$A$24,'菜品主数据'!$G$5:$G$24,0)</x:f>
        <x:v>93.57300000000001</x:v>
      </x:c>
    </x:row>
    <x:row r="136">
      <x:c r="A136" s="19" t="str">
        <x:v>2026-07-13|S01|D12</x:v>
      </x:c>
      <x:c r="B136" s="34" t="n">
        <x:v>46216.5</x:v>
      </x:c>
      <x:c r="C136" s="19" t="str">
        <x:v>S01</x:v>
      </x:c>
      <x:c r="D136" s="19" t="str">
        <x:v>近江天阳店</x:v>
      </x:c>
      <x:c r="E136" s="19" t="str">
        <x:v>D12</x:v>
      </x:c>
      <x:c r="F136" s="19" t="str">
        <x:v>清蒸鲈鱼</x:v>
      </x:c>
      <x:c r="G136" s="20" t="n">
        <x:f>SUMIFS('7日销售明细'!$K$5:$K$2244,'7日销售明细'!$B$5:$B$2244,B136,'7日销售明细'!$D$5:$D$2244,C136,'7日销售明细'!$H$5:$H$2244,E136)</x:f>
        <x:v>8</x:v>
      </x:c>
      <x:c r="H136" s="35" t="n">
        <x:f>SUMIFS('7日销售明细'!$L$5:$L$2244,'7日销售明细'!$B$5:$B$2244,B136,'7日销售明细'!$D$5:$D$2244,C136,'7日销售明细'!$H$5:$H$2244,E136)</x:f>
        <x:v>312</x:v>
      </x:c>
      <x:c r="I136" s="35" t="n">
        <x:f>G136*XLOOKUP(E136,'菜品主数据'!$A$5:$A$24,'菜品主数据'!$G$5:$G$24,0)</x:f>
        <x:v>150.992</x:v>
      </x:c>
    </x:row>
    <x:row r="137">
      <x:c r="A137" s="19" t="str">
        <x:v>2026-07-13|S01|D13</x:v>
      </x:c>
      <x:c r="B137" s="34" t="n">
        <x:v>46216.5</x:v>
      </x:c>
      <x:c r="C137" s="19" t="str">
        <x:v>S01</x:v>
      </x:c>
      <x:c r="D137" s="19" t="str">
        <x:v>近江天阳店</x:v>
      </x:c>
      <x:c r="E137" s="19" t="str">
        <x:v>D13</x:v>
      </x:c>
      <x:c r="F137" s="19" t="str">
        <x:v>外婆菜炒蛋</x:v>
      </x:c>
      <x:c r="G137" s="20" t="n">
        <x:f>SUMIFS('7日销售明细'!$K$5:$K$2244,'7日销售明细'!$B$5:$B$2244,B137,'7日销售明细'!$D$5:$D$2244,C137,'7日销售明细'!$H$5:$H$2244,E137)</x:f>
        <x:v>20</x:v>
      </x:c>
      <x:c r="H137" s="35" t="n">
        <x:f>SUMIFS('7日销售明细'!$L$5:$L$2244,'7日销售明细'!$B$5:$B$2244,B137,'7日销售明细'!$D$5:$D$2244,C137,'7日销售明细'!$H$5:$H$2244,E137)</x:f>
        <x:v>360</x:v>
      </x:c>
      <x:c r="I137" s="35" t="n">
        <x:f>G137*XLOOKUP(E137,'菜品主数据'!$A$5:$A$24,'菜品主数据'!$G$5:$G$24,0)</x:f>
        <x:v>108.07999999999998</x:v>
      </x:c>
    </x:row>
    <x:row r="138">
      <x:c r="A138" s="19" t="str">
        <x:v>2026-07-13|S01|D14</x:v>
      </x:c>
      <x:c r="B138" s="34" t="n">
        <x:v>46216.5</x:v>
      </x:c>
      <x:c r="C138" s="19" t="str">
        <x:v>S01</x:v>
      </x:c>
      <x:c r="D138" s="19" t="str">
        <x:v>近江天阳店</x:v>
      </x:c>
      <x:c r="E138" s="19" t="str">
        <x:v>D14</x:v>
      </x:c>
      <x:c r="F138" s="19" t="str">
        <x:v>酸辣鸡杂</x:v>
      </x:c>
      <x:c r="G138" s="20" t="n">
        <x:f>SUMIFS('7日销售明细'!$K$5:$K$2244,'7日销售明细'!$B$5:$B$2244,B138,'7日销售明细'!$D$5:$D$2244,C138,'7日销售明细'!$H$5:$H$2244,E138)</x:f>
        <x:v>12</x:v>
      </x:c>
      <x:c r="H138" s="35" t="n">
        <x:f>SUMIFS('7日销售明细'!$L$5:$L$2244,'7日销售明细'!$B$5:$B$2244,B138,'7日销售明细'!$D$5:$D$2244,C138,'7日销售明细'!$H$5:$H$2244,E138)</x:f>
        <x:v>336</x:v>
      </x:c>
      <x:c r="I138" s="35" t="n">
        <x:f>G138*XLOOKUP(E138,'菜品主数据'!$A$5:$A$24,'菜品主数据'!$G$5:$G$24,0)</x:f>
        <x:v>99.78000000000002</x:v>
      </x:c>
    </x:row>
    <x:row r="139">
      <x:c r="A139" s="19" t="str">
        <x:v>2026-07-13|S01|D15</x:v>
      </x:c>
      <x:c r="B139" s="34" t="n">
        <x:v>46216.5</x:v>
      </x:c>
      <x:c r="C139" s="19" t="str">
        <x:v>S01</x:v>
      </x:c>
      <x:c r="D139" s="19" t="str">
        <x:v>近江天阳店</x:v>
      </x:c>
      <x:c r="E139" s="19" t="str">
        <x:v>D15</x:v>
      </x:c>
      <x:c r="F139" s="19" t="str">
        <x:v>湘西土匪猪肝</x:v>
      </x:c>
      <x:c r="G139" s="20" t="n">
        <x:f>SUMIFS('7日销售明细'!$K$5:$K$2244,'7日销售明细'!$B$5:$B$2244,B139,'7日销售明细'!$D$5:$D$2244,C139,'7日销售明细'!$H$5:$H$2244,E139)</x:f>
        <x:v>10</x:v>
      </x:c>
      <x:c r="H139" s="35" t="n">
        <x:f>SUMIFS('7日销售明细'!$L$5:$L$2244,'7日销售明细'!$B$5:$B$2244,B139,'7日销售明细'!$D$5:$D$2244,C139,'7日销售明细'!$H$5:$H$2244,E139)</x:f>
        <x:v>260</x:v>
      </x:c>
      <x:c r="I139" s="35" t="n">
        <x:f>G139*XLOOKUP(E139,'菜品主数据'!$A$5:$A$24,'菜品主数据'!$G$5:$G$24,0)</x:f>
        <x:v>63.75999999999999</x:v>
      </x:c>
    </x:row>
    <x:row r="140">
      <x:c r="A140" s="19" t="str">
        <x:v>2026-07-13|S01|D16</x:v>
      </x:c>
      <x:c r="B140" s="34" t="n">
        <x:v>46216.5</x:v>
      </x:c>
      <x:c r="C140" s="19" t="str">
        <x:v>S01</x:v>
      </x:c>
      <x:c r="D140" s="19" t="str">
        <x:v>近江天阳店</x:v>
      </x:c>
      <x:c r="E140" s="19" t="str">
        <x:v>D16</x:v>
      </x:c>
      <x:c r="F140" s="19" t="str">
        <x:v>小豆角炒五花</x:v>
      </x:c>
      <x:c r="G140" s="20" t="n">
        <x:f>SUMIFS('7日销售明细'!$K$5:$K$2244,'7日销售明细'!$B$5:$B$2244,B140,'7日销售明细'!$D$5:$D$2244,C140,'7日销售明细'!$H$5:$H$2244,E140)</x:f>
        <x:v>9</x:v>
      </x:c>
      <x:c r="H140" s="35" t="n">
        <x:f>SUMIFS('7日销售明细'!$L$5:$L$2244,'7日销售明细'!$B$5:$B$2244,B140,'7日销售明细'!$D$5:$D$2244,C140,'7日销售明细'!$H$5:$H$2244,E140)</x:f>
        <x:v>225</x:v>
      </x:c>
      <x:c r="I140" s="35" t="n">
        <x:f>G140*XLOOKUP(E140,'菜品主数据'!$A$5:$A$24,'菜品主数据'!$G$5:$G$24,0)</x:f>
        <x:v>73.65599999999999</x:v>
      </x:c>
    </x:row>
    <x:row r="141">
      <x:c r="A141" s="19" t="str">
        <x:v>2026-07-13|S01|D17</x:v>
      </x:c>
      <x:c r="B141" s="34" t="n">
        <x:v>46216.5</x:v>
      </x:c>
      <x:c r="C141" s="19" t="str">
        <x:v>S01</x:v>
      </x:c>
      <x:c r="D141" s="19" t="str">
        <x:v>近江天阳店</x:v>
      </x:c>
      <x:c r="E141" s="19" t="str">
        <x:v>D17</x:v>
      </x:c>
      <x:c r="F141" s="19" t="str">
        <x:v>蒜蓉粉丝虾</x:v>
      </x:c>
      <x:c r="G141" s="20" t="n">
        <x:f>SUMIFS('7日销售明细'!$K$5:$K$2244,'7日销售明细'!$B$5:$B$2244,B141,'7日销售明细'!$D$5:$D$2244,C141,'7日销售明细'!$H$5:$H$2244,E141)</x:f>
        <x:v>6</x:v>
      </x:c>
      <x:c r="H141" s="35" t="n">
        <x:f>SUMIFS('7日销售明细'!$L$5:$L$2244,'7日销售明细'!$B$5:$B$2244,B141,'7日销售明细'!$D$5:$D$2244,C141,'7日销售明细'!$H$5:$H$2244,E141)</x:f>
        <x:v>216</x:v>
      </x:c>
      <x:c r="I141" s="35" t="n">
        <x:f>G141*XLOOKUP(E141,'菜品主数据'!$A$5:$A$24,'菜品主数据'!$G$5:$G$24,0)</x:f>
        <x:v>81.564</x:v>
      </x:c>
    </x:row>
    <x:row r="142">
      <x:c r="A142" s="19" t="str">
        <x:v>2026-07-13|S01|D18</x:v>
      </x:c>
      <x:c r="B142" s="34" t="n">
        <x:v>46216.5</x:v>
      </x:c>
      <x:c r="C142" s="19" t="str">
        <x:v>S01</x:v>
      </x:c>
      <x:c r="D142" s="19" t="str">
        <x:v>近江天阳店</x:v>
      </x:c>
      <x:c r="E142" s="19" t="str">
        <x:v>D18</x:v>
      </x:c>
      <x:c r="F142" s="19" t="str">
        <x:v>青椒炒油麦菜</x:v>
      </x:c>
      <x:c r="G142" s="20" t="n">
        <x:f>SUMIFS('7日销售明细'!$K$5:$K$2244,'7日销售明细'!$B$5:$B$2244,B142,'7日销售明细'!$D$5:$D$2244,C142,'7日销售明细'!$H$5:$H$2244,E142)</x:f>
        <x:v>12</x:v>
      </x:c>
      <x:c r="H142" s="35" t="n">
        <x:f>SUMIFS('7日销售明细'!$L$5:$L$2244,'7日销售明细'!$B$5:$B$2244,B142,'7日销售明细'!$D$5:$D$2244,C142,'7日销售明细'!$H$5:$H$2244,E142)</x:f>
        <x:v>216</x:v>
      </x:c>
      <x:c r="I142" s="35" t="n">
        <x:f>G142*XLOOKUP(E142,'菜品主数据'!$A$5:$A$24,'菜品主数据'!$G$5:$G$24,0)</x:f>
        <x:v>38.111999999999995</x:v>
      </x:c>
    </x:row>
    <x:row r="143">
      <x:c r="A143" s="19" t="str">
        <x:v>2026-07-13|S01|D19</x:v>
      </x:c>
      <x:c r="B143" s="34" t="n">
        <x:v>46216.5</x:v>
      </x:c>
      <x:c r="C143" s="19" t="str">
        <x:v>S01</x:v>
      </x:c>
      <x:c r="D143" s="19" t="str">
        <x:v>近江天阳店</x:v>
      </x:c>
      <x:c r="E143" s="19" t="str">
        <x:v>D19</x:v>
      </x:c>
      <x:c r="F143" s="19" t="str">
        <x:v>酸萝卜炒鸡杂</x:v>
      </x:c>
      <x:c r="G143" s="20" t="n">
        <x:f>SUMIFS('7日销售明细'!$K$5:$K$2244,'7日销售明细'!$B$5:$B$2244,B143,'7日销售明细'!$D$5:$D$2244,C143,'7日销售明细'!$H$5:$H$2244,E143)</x:f>
        <x:v>7</x:v>
      </x:c>
      <x:c r="H143" s="35" t="n">
        <x:f>SUMIFS('7日销售明细'!$L$5:$L$2244,'7日销售明细'!$B$5:$B$2244,B143,'7日销售明细'!$D$5:$D$2244,C143,'7日销售明细'!$H$5:$H$2244,E143)</x:f>
        <x:v>175</x:v>
      </x:c>
      <x:c r="I143" s="35" t="n">
        <x:f>G143*XLOOKUP(E143,'菜品主数据'!$A$5:$A$24,'菜品主数据'!$G$5:$G$24,0)</x:f>
        <x:v>55.58</x:v>
      </x:c>
    </x:row>
    <x:row r="144">
      <x:c r="A144" s="19" t="str">
        <x:v>2026-07-13|S01|D20</x:v>
      </x:c>
      <x:c r="B144" s="34" t="n">
        <x:v>46216.5</x:v>
      </x:c>
      <x:c r="C144" s="19" t="str">
        <x:v>S01</x:v>
      </x:c>
      <x:c r="D144" s="19" t="str">
        <x:v>近江天阳店</x:v>
      </x:c>
      <x:c r="E144" s="19" t="str">
        <x:v>D20</x:v>
      </x:c>
      <x:c r="F144" s="19" t="str">
        <x:v>雪菜肉末青豆</x:v>
      </x:c>
      <x:c r="G144" s="20" t="n">
        <x:f>SUMIFS('7日销售明细'!$K$5:$K$2244,'7日销售明细'!$B$5:$B$2244,B144,'7日销售明细'!$D$5:$D$2244,C144,'7日销售明细'!$H$5:$H$2244,E144)</x:f>
        <x:v>11</x:v>
      </x:c>
      <x:c r="H144" s="35" t="n">
        <x:f>SUMIFS('7日销售明细'!$L$5:$L$2244,'7日销售明细'!$B$5:$B$2244,B144,'7日销售明细'!$D$5:$D$2244,C144,'7日销售明细'!$H$5:$H$2244,E144)</x:f>
        <x:v>198</x:v>
      </x:c>
      <x:c r="I144" s="35" t="n">
        <x:f>G144*XLOOKUP(E144,'菜品主数据'!$A$5:$A$24,'菜品主数据'!$G$5:$G$24,0)</x:f>
        <x:v>80.344</x:v>
      </x:c>
    </x:row>
    <x:row r="145">
      <x:c r="A145" s="19" t="str">
        <x:v>2026-07-07|S02|D01</x:v>
      </x:c>
      <x:c r="B145" s="34" t="n">
        <x:v>46210.5</x:v>
      </x:c>
      <x:c r="C145" s="19" t="str">
        <x:v>S02</x:v>
      </x:c>
      <x:c r="D145" s="19" t="str">
        <x:v>尊宝大厦店</x:v>
      </x:c>
      <x:c r="E145" s="19" t="str">
        <x:v>D01</x:v>
      </x:c>
      <x:c r="F145" s="19" t="str">
        <x:v>辣椒炒肉</x:v>
      </x:c>
      <x:c r="G145" s="20" t="n">
        <x:f>SUMIFS('7日销售明细'!$K$5:$K$2244,'7日销售明细'!$B$5:$B$2244,B145,'7日销售明细'!$D$5:$D$2244,C145,'7日销售明细'!$H$5:$H$2244,E145)</x:f>
        <x:v>55</x:v>
      </x:c>
      <x:c r="H145" s="35" t="n">
        <x:f>SUMIFS('7日销售明细'!$L$5:$L$2244,'7日销售明细'!$B$5:$B$2244,B145,'7日销售明细'!$D$5:$D$2244,C145,'7日销售明细'!$H$5:$H$2244,E145)</x:f>
        <x:v>1595</x:v>
      </x:c>
      <x:c r="I145" s="35" t="n">
        <x:f>G145*XLOOKUP(E145,'菜品主数据'!$A$5:$A$24,'菜品主数据'!$G$5:$G$24,0)</x:f>
        <x:v>474.89200000000005</x:v>
      </x:c>
    </x:row>
    <x:row r="146">
      <x:c r="A146" s="19" t="str">
        <x:v>2026-07-07|S02|D02</x:v>
      </x:c>
      <x:c r="B146" s="34" t="n">
        <x:v>46210.5</x:v>
      </x:c>
      <x:c r="C146" s="19" t="str">
        <x:v>S02</x:v>
      </x:c>
      <x:c r="D146" s="19" t="str">
        <x:v>尊宝大厦店</x:v>
      </x:c>
      <x:c r="E146" s="19" t="str">
        <x:v>D02</x:v>
      </x:c>
      <x:c r="F146" s="19" t="str">
        <x:v>小炒黄牛肉</x:v>
      </x:c>
      <x:c r="G146" s="20" t="n">
        <x:f>SUMIFS('7日销售明细'!$K$5:$K$2244,'7日销售明细'!$B$5:$B$2244,B146,'7日销售明细'!$D$5:$D$2244,C146,'7日销售明细'!$H$5:$H$2244,E146)</x:f>
        <x:v>35</x:v>
      </x:c>
      <x:c r="H146" s="35" t="n">
        <x:f>SUMIFS('7日销售明细'!$L$5:$L$2244,'7日销售明细'!$B$5:$B$2244,B146,'7日销售明细'!$D$5:$D$2244,C146,'7日销售明细'!$H$5:$H$2244,E146)</x:f>
        <x:v>1715</x:v>
      </x:c>
      <x:c r="I146" s="35" t="n">
        <x:f>G146*XLOOKUP(E146,'菜品主数据'!$A$5:$A$24,'菜品主数据'!$G$5:$G$24,0)</x:f>
        <x:v>615.195</x:v>
      </x:c>
    </x:row>
    <x:row r="147">
      <x:c r="A147" s="19" t="str">
        <x:v>2026-07-07|S02|D03</x:v>
      </x:c>
      <x:c r="B147" s="34" t="n">
        <x:v>46210.5</x:v>
      </x:c>
      <x:c r="C147" s="19" t="str">
        <x:v>S02</x:v>
      </x:c>
      <x:c r="D147" s="19" t="str">
        <x:v>尊宝大厦店</x:v>
      </x:c>
      <x:c r="E147" s="19" t="str">
        <x:v>D03</x:v>
      </x:c>
      <x:c r="F147" s="19" t="str">
        <x:v>香醋炒蛋</x:v>
      </x:c>
      <x:c r="G147" s="20" t="n">
        <x:f>SUMIFS('7日销售明细'!$K$5:$K$2244,'7日销售明细'!$B$5:$B$2244,B147,'7日销售明细'!$D$5:$D$2244,C147,'7日销售明细'!$H$5:$H$2244,E147)</x:f>
        <x:v>46</x:v>
      </x:c>
      <x:c r="H147" s="35" t="n">
        <x:f>SUMIFS('7日销售明细'!$L$5:$L$2244,'7日销售明细'!$B$5:$B$2244,B147,'7日销售明细'!$D$5:$D$2244,C147,'7日销售明细'!$H$5:$H$2244,E147)</x:f>
        <x:v>685.4000000000001</x:v>
      </x:c>
      <x:c r="I147" s="35" t="n">
        <x:f>G147*XLOOKUP(E147,'菜品主数据'!$A$5:$A$24,'菜品主数据'!$G$5:$G$24,0)</x:f>
        <x:v>172.31599999999997</x:v>
      </x:c>
    </x:row>
    <x:row r="148">
      <x:c r="A148" s="19" t="str">
        <x:v>2026-07-07|S02|D04</x:v>
      </x:c>
      <x:c r="B148" s="34" t="n">
        <x:v>46210.5</x:v>
      </x:c>
      <x:c r="C148" s="19" t="str">
        <x:v>S02</x:v>
      </x:c>
      <x:c r="D148" s="19" t="str">
        <x:v>尊宝大厦店</x:v>
      </x:c>
      <x:c r="E148" s="19" t="str">
        <x:v>D04</x:v>
      </x:c>
      <x:c r="F148" s="19" t="str">
        <x:v>酸包菜炒粉皮</x:v>
      </x:c>
      <x:c r="G148" s="20" t="n">
        <x:f>SUMIFS('7日销售明细'!$K$5:$K$2244,'7日销售明细'!$B$5:$B$2244,B148,'7日销售明细'!$D$5:$D$2244,C148,'7日销售明细'!$H$5:$H$2244,E148)</x:f>
        <x:v>40</x:v>
      </x:c>
      <x:c r="H148" s="35" t="n">
        <x:f>SUMIFS('7日销售明细'!$L$5:$L$2244,'7日销售明细'!$B$5:$B$2244,B148,'7日销售明细'!$D$5:$D$2244,C148,'7日销售明细'!$H$5:$H$2244,E148)</x:f>
        <x:v>640</x:v>
      </x:c>
      <x:c r="I148" s="35" t="n">
        <x:f>G148*XLOOKUP(E148,'菜品主数据'!$A$5:$A$24,'菜品主数据'!$G$5:$G$24,0)</x:f>
        <x:v>159.12</x:v>
      </x:c>
    </x:row>
    <x:row r="149">
      <x:c r="A149" s="19" t="str">
        <x:v>2026-07-07|S02|D05</x:v>
      </x:c>
      <x:c r="B149" s="34" t="n">
        <x:v>46210.5</x:v>
      </x:c>
      <x:c r="C149" s="19" t="str">
        <x:v>S02</x:v>
      </x:c>
      <x:c r="D149" s="19" t="str">
        <x:v>尊宝大厦店</x:v>
      </x:c>
      <x:c r="E149" s="19" t="str">
        <x:v>D05</x:v>
      </x:c>
      <x:c r="F149" s="19" t="str">
        <x:v>麻婆豆腐</x:v>
      </x:c>
      <x:c r="G149" s="20" t="n">
        <x:f>SUMIFS('7日销售明细'!$K$5:$K$2244,'7日销售明细'!$B$5:$B$2244,B149,'7日销售明细'!$D$5:$D$2244,C149,'7日销售明细'!$H$5:$H$2244,E149)</x:f>
        <x:v>57</x:v>
      </x:c>
      <x:c r="H149" s="35" t="n">
        <x:f>SUMIFS('7日销售明细'!$L$5:$L$2244,'7日销售明细'!$B$5:$B$2244,B149,'7日销售明细'!$D$5:$D$2244,C149,'7日销售明细'!$H$5:$H$2244,E149)</x:f>
        <x:v>564.3000000000001</x:v>
      </x:c>
      <x:c r="I149" s="35" t="n">
        <x:f>G149*XLOOKUP(E149,'菜品主数据'!$A$5:$A$24,'菜品主数据'!$G$5:$G$24,0)</x:f>
        <x:v>305.91900000000004</x:v>
      </x:c>
    </x:row>
    <x:row r="150">
      <x:c r="A150" s="19" t="str">
        <x:v>2026-07-07|S02|D06</x:v>
      </x:c>
      <x:c r="B150" s="34" t="n">
        <x:v>46210.5</x:v>
      </x:c>
      <x:c r="C150" s="19" t="str">
        <x:v>S02</x:v>
      </x:c>
      <x:c r="D150" s="19" t="str">
        <x:v>尊宝大厦店</x:v>
      </x:c>
      <x:c r="E150" s="19" t="str">
        <x:v>D06</x:v>
      </x:c>
      <x:c r="F150" s="19" t="str">
        <x:v>剁椒鱼头</x:v>
      </x:c>
      <x:c r="G150" s="20" t="n">
        <x:f>SUMIFS('7日销售明细'!$K$5:$K$2244,'7日销售明细'!$B$5:$B$2244,B150,'7日销售明细'!$D$5:$D$2244,C150,'7日销售明细'!$H$5:$H$2244,E150)</x:f>
        <x:v>14</x:v>
      </x:c>
      <x:c r="H150" s="35" t="n">
        <x:f>SUMIFS('7日销售明细'!$L$5:$L$2244,'7日销售明细'!$B$5:$B$2244,B150,'7日销售明细'!$D$5:$D$2244,C150,'7日销售明细'!$H$5:$H$2244,E150)</x:f>
        <x:v>546</x:v>
      </x:c>
      <x:c r="I150" s="35" t="n">
        <x:f>G150*XLOOKUP(E150,'菜品主数据'!$A$5:$A$24,'菜品主数据'!$G$5:$G$24,0)</x:f>
        <x:v>244.24400000000003</x:v>
      </x:c>
    </x:row>
    <x:row r="151">
      <x:c r="A151" s="19" t="str">
        <x:v>2026-07-07|S02|D07</x:v>
      </x:c>
      <x:c r="B151" s="34" t="n">
        <x:v>46210.5</x:v>
      </x:c>
      <x:c r="C151" s="19" t="str">
        <x:v>S02</x:v>
      </x:c>
      <x:c r="D151" s="19" t="str">
        <x:v>尊宝大厦店</x:v>
      </x:c>
      <x:c r="E151" s="19" t="str">
        <x:v>D07</x:v>
      </x:c>
      <x:c r="F151" s="19" t="str">
        <x:v>川味回锅肉</x:v>
      </x:c>
      <x:c r="G151" s="20" t="n">
        <x:f>SUMIFS('7日销售明细'!$K$5:$K$2244,'7日销售明细'!$B$5:$B$2244,B151,'7日销售明细'!$D$5:$D$2244,C151,'7日销售明细'!$H$5:$H$2244,E151)</x:f>
        <x:v>17</x:v>
      </x:c>
      <x:c r="H151" s="35" t="n">
        <x:f>SUMIFS('7日销售明细'!$L$5:$L$2244,'7日销售明细'!$B$5:$B$2244,B151,'7日销售明细'!$D$5:$D$2244,C151,'7日销售明细'!$H$5:$H$2244,E151)</x:f>
        <x:v>493</x:v>
      </x:c>
      <x:c r="I151" s="35" t="n">
        <x:f>G151*XLOOKUP(E151,'菜品主数据'!$A$5:$A$24,'菜品主数据'!$G$5:$G$24,0)</x:f>
        <x:v>173.92700000000002</x:v>
      </x:c>
    </x:row>
    <x:row r="152">
      <x:c r="A152" s="19" t="str">
        <x:v>2026-07-07|S02|D08</x:v>
      </x:c>
      <x:c r="B152" s="34" t="n">
        <x:v>46210.5</x:v>
      </x:c>
      <x:c r="C152" s="19" t="str">
        <x:v>S02</x:v>
      </x:c>
      <x:c r="D152" s="19" t="str">
        <x:v>尊宝大厦店</x:v>
      </x:c>
      <x:c r="E152" s="19" t="str">
        <x:v>D08</x:v>
      </x:c>
      <x:c r="F152" s="19" t="str">
        <x:v>生炒清远鸡</x:v>
      </x:c>
      <x:c r="G152" s="20" t="n">
        <x:f>SUMIFS('7日销售明细'!$K$5:$K$2244,'7日销售明细'!$B$5:$B$2244,B152,'7日销售明细'!$D$5:$D$2244,C152,'7日销售明细'!$H$5:$H$2244,E152)</x:f>
        <x:v>14</x:v>
      </x:c>
      <x:c r="H152" s="35" t="n">
        <x:f>SUMIFS('7日销售明细'!$L$5:$L$2244,'7日销售明细'!$B$5:$B$2244,B152,'7日销售明细'!$D$5:$D$2244,C152,'7日销售明细'!$H$5:$H$2244,E152)</x:f>
        <x:v>504</x:v>
      </x:c>
      <x:c r="I152" s="35" t="n">
        <x:f>G152*XLOOKUP(E152,'菜品主数据'!$A$5:$A$24,'菜品主数据'!$G$5:$G$24,0)</x:f>
        <x:v>188.72</x:v>
      </x:c>
    </x:row>
    <x:row r="153">
      <x:c r="A153" s="19" t="str">
        <x:v>2026-07-07|S02|D09</x:v>
      </x:c>
      <x:c r="B153" s="34" t="n">
        <x:v>46210.5</x:v>
      </x:c>
      <x:c r="C153" s="19" t="str">
        <x:v>S02</x:v>
      </x:c>
      <x:c r="D153" s="19" t="str">
        <x:v>尊宝大厦店</x:v>
      </x:c>
      <x:c r="E153" s="19" t="str">
        <x:v>D09</x:v>
      </x:c>
      <x:c r="F153" s="19" t="str">
        <x:v>炒豆干</x:v>
      </x:c>
      <x:c r="G153" s="20" t="n">
        <x:f>SUMIFS('7日销售明细'!$K$5:$K$2244,'7日销售明细'!$B$5:$B$2244,B153,'7日销售明细'!$D$5:$D$2244,C153,'7日销售明细'!$H$5:$H$2244,E153)</x:f>
        <x:v>17</x:v>
      </x:c>
      <x:c r="H153" s="35" t="n">
        <x:f>SUMIFS('7日销售明细'!$L$5:$L$2244,'7日销售明细'!$B$5:$B$2244,B153,'7日销售明细'!$D$5:$D$2244,C153,'7日销售明细'!$H$5:$H$2244,E153)</x:f>
        <x:v>306</x:v>
      </x:c>
      <x:c r="I153" s="35" t="n">
        <x:f>G153*XLOOKUP(E153,'菜品主数据'!$A$5:$A$24,'菜品主数据'!$G$5:$G$24,0)</x:f>
        <x:v>112.43799999999999</x:v>
      </x:c>
    </x:row>
    <x:row r="154">
      <x:c r="A154" s="19" t="str">
        <x:v>2026-07-07|S02|D10</x:v>
      </x:c>
      <x:c r="B154" s="34" t="n">
        <x:v>46210.5</x:v>
      </x:c>
      <x:c r="C154" s="19" t="str">
        <x:v>S02</x:v>
      </x:c>
      <x:c r="D154" s="19" t="str">
        <x:v>尊宝大厦店</x:v>
      </x:c>
      <x:c r="E154" s="19" t="str">
        <x:v>D10</x:v>
      </x:c>
      <x:c r="F154" s="19" t="str">
        <x:v>农家一碗香</x:v>
      </x:c>
      <x:c r="G154" s="20" t="n">
        <x:f>SUMIFS('7日销售明细'!$K$5:$K$2244,'7日销售明细'!$B$5:$B$2244,B154,'7日销售明细'!$D$5:$D$2244,C154,'7日销售明细'!$H$5:$H$2244,E154)</x:f>
        <x:v>18</x:v>
      </x:c>
      <x:c r="H154" s="35" t="n">
        <x:f>SUMIFS('7日销售明细'!$L$5:$L$2244,'7日销售明细'!$B$5:$B$2244,B154,'7日销售明细'!$D$5:$D$2244,C154,'7日销售明细'!$H$5:$H$2244,E154)</x:f>
        <x:v>412.19999999999993</x:v>
      </x:c>
      <x:c r="I154" s="35" t="n">
        <x:f>G154*XLOOKUP(E154,'菜品主数据'!$A$5:$A$24,'菜品主数据'!$G$5:$G$24,0)</x:f>
        <x:v>175.86360000000005</x:v>
      </x:c>
    </x:row>
    <x:row r="155">
      <x:c r="A155" s="19" t="str">
        <x:v>2026-07-07|S02|D11</x:v>
      </x:c>
      <x:c r="B155" s="34" t="n">
        <x:v>46210.5</x:v>
      </x:c>
      <x:c r="C155" s="19" t="str">
        <x:v>S02</x:v>
      </x:c>
      <x:c r="D155" s="19" t="str">
        <x:v>尊宝大厦店</x:v>
      </x:c>
      <x:c r="E155" s="19" t="str">
        <x:v>D11</x:v>
      </x:c>
      <x:c r="F155" s="19" t="str">
        <x:v>香辣爆肥肠</x:v>
      </x:c>
      <x:c r="G155" s="20" t="n">
        <x:f>SUMIFS('7日销售明细'!$K$5:$K$2244,'7日销售明细'!$B$5:$B$2244,B155,'7日销售明细'!$D$5:$D$2244,C155,'7日销售明细'!$H$5:$H$2244,E155)</x:f>
        <x:v>8</x:v>
      </x:c>
      <x:c r="H155" s="35" t="n">
        <x:f>SUMIFS('7日销售明细'!$L$5:$L$2244,'7日销售明细'!$B$5:$B$2244,B155,'7日销售明细'!$D$5:$D$2244,C155,'7日销售明细'!$H$5:$H$2244,E155)</x:f>
        <x:v>312</x:v>
      </x:c>
      <x:c r="I155" s="35" t="n">
        <x:f>G155*XLOOKUP(E155,'菜品主数据'!$A$5:$A$24,'菜品主数据'!$G$5:$G$24,0)</x:f>
        <x:v>83.176</x:v>
      </x:c>
    </x:row>
    <x:row r="156">
      <x:c r="A156" s="19" t="str">
        <x:v>2026-07-07|S02|D12</x:v>
      </x:c>
      <x:c r="B156" s="34" t="n">
        <x:v>46210.5</x:v>
      </x:c>
      <x:c r="C156" s="19" t="str">
        <x:v>S02</x:v>
      </x:c>
      <x:c r="D156" s="19" t="str">
        <x:v>尊宝大厦店</x:v>
      </x:c>
      <x:c r="E156" s="19" t="str">
        <x:v>D12</x:v>
      </x:c>
      <x:c r="F156" s="19" t="str">
        <x:v>清蒸鲈鱼</x:v>
      </x:c>
      <x:c r="G156" s="20" t="n">
        <x:f>SUMIFS('7日销售明细'!$K$5:$K$2244,'7日销售明细'!$B$5:$B$2244,B156,'7日销售明细'!$D$5:$D$2244,C156,'7日销售明细'!$H$5:$H$2244,E156)</x:f>
        <x:v>7</x:v>
      </x:c>
      <x:c r="H156" s="35" t="n">
        <x:f>SUMIFS('7日销售明细'!$L$5:$L$2244,'7日销售明细'!$B$5:$B$2244,B156,'7日销售明细'!$D$5:$D$2244,C156,'7日销售明细'!$H$5:$H$2244,E156)</x:f>
        <x:v>273</x:v>
      </x:c>
      <x:c r="I156" s="35" t="n">
        <x:f>G156*XLOOKUP(E156,'菜品主数据'!$A$5:$A$24,'菜品主数据'!$G$5:$G$24,0)</x:f>
        <x:v>132.118</x:v>
      </x:c>
    </x:row>
    <x:row r="157">
      <x:c r="A157" s="19" t="str">
        <x:v>2026-07-07|S02|D13</x:v>
      </x:c>
      <x:c r="B157" s="34" t="n">
        <x:v>46210.5</x:v>
      </x:c>
      <x:c r="C157" s="19" t="str">
        <x:v>S02</x:v>
      </x:c>
      <x:c r="D157" s="19" t="str">
        <x:v>尊宝大厦店</x:v>
      </x:c>
      <x:c r="E157" s="19" t="str">
        <x:v>D13</x:v>
      </x:c>
      <x:c r="F157" s="19" t="str">
        <x:v>外婆菜炒蛋</x:v>
      </x:c>
      <x:c r="G157" s="20" t="n">
        <x:f>SUMIFS('7日销售明细'!$K$5:$K$2244,'7日销售明细'!$B$5:$B$2244,B157,'7日销售明细'!$D$5:$D$2244,C157,'7日销售明细'!$H$5:$H$2244,E157)</x:f>
        <x:v>16</x:v>
      </x:c>
      <x:c r="H157" s="35" t="n">
        <x:f>SUMIFS('7日销售明细'!$L$5:$L$2244,'7日销售明细'!$B$5:$B$2244,B157,'7日销售明细'!$D$5:$D$2244,C157,'7日销售明细'!$H$5:$H$2244,E157)</x:f>
        <x:v>288</x:v>
      </x:c>
      <x:c r="I157" s="35" t="n">
        <x:f>G157*XLOOKUP(E157,'菜品主数据'!$A$5:$A$24,'菜品主数据'!$G$5:$G$24,0)</x:f>
        <x:v>86.46399999999998</x:v>
      </x:c>
    </x:row>
    <x:row r="158">
      <x:c r="A158" s="19" t="str">
        <x:v>2026-07-07|S02|D14</x:v>
      </x:c>
      <x:c r="B158" s="34" t="n">
        <x:v>46210.5</x:v>
      </x:c>
      <x:c r="C158" s="19" t="str">
        <x:v>S02</x:v>
      </x:c>
      <x:c r="D158" s="19" t="str">
        <x:v>尊宝大厦店</x:v>
      </x:c>
      <x:c r="E158" s="19" t="str">
        <x:v>D14</x:v>
      </x:c>
      <x:c r="F158" s="19" t="str">
        <x:v>酸辣鸡杂</x:v>
      </x:c>
      <x:c r="G158" s="20" t="n">
        <x:f>SUMIFS('7日销售明细'!$K$5:$K$2244,'7日销售明细'!$B$5:$B$2244,B158,'7日销售明细'!$D$5:$D$2244,C158,'7日销售明细'!$H$5:$H$2244,E158)</x:f>
        <x:v>10</x:v>
      </x:c>
      <x:c r="H158" s="35" t="n">
        <x:f>SUMIFS('7日销售明细'!$L$5:$L$2244,'7日销售明细'!$B$5:$B$2244,B158,'7日销售明细'!$D$5:$D$2244,C158,'7日销售明细'!$H$5:$H$2244,E158)</x:f>
        <x:v>280</x:v>
      </x:c>
      <x:c r="I158" s="35" t="n">
        <x:f>G158*XLOOKUP(E158,'菜品主数据'!$A$5:$A$24,'菜品主数据'!$G$5:$G$24,0)</x:f>
        <x:v>83.15</x:v>
      </x:c>
    </x:row>
    <x:row r="159">
      <x:c r="A159" s="19" t="str">
        <x:v>2026-07-07|S02|D15</x:v>
      </x:c>
      <x:c r="B159" s="34" t="n">
        <x:v>46210.5</x:v>
      </x:c>
      <x:c r="C159" s="19" t="str">
        <x:v>S02</x:v>
      </x:c>
      <x:c r="D159" s="19" t="str">
        <x:v>尊宝大厦店</x:v>
      </x:c>
      <x:c r="E159" s="19" t="str">
        <x:v>D15</x:v>
      </x:c>
      <x:c r="F159" s="19" t="str">
        <x:v>湘西土匪猪肝</x:v>
      </x:c>
      <x:c r="G159" s="20" t="n">
        <x:f>SUMIFS('7日销售明细'!$K$5:$K$2244,'7日销售明细'!$B$5:$B$2244,B159,'7日销售明细'!$D$5:$D$2244,C159,'7日销售明细'!$H$5:$H$2244,E159)</x:f>
        <x:v>8</x:v>
      </x:c>
      <x:c r="H159" s="35" t="n">
        <x:f>SUMIFS('7日销售明细'!$L$5:$L$2244,'7日销售明细'!$B$5:$B$2244,B159,'7日销售明细'!$D$5:$D$2244,C159,'7日销售明细'!$H$5:$H$2244,E159)</x:f>
        <x:v>208</x:v>
      </x:c>
      <x:c r="I159" s="35" t="n">
        <x:f>G159*XLOOKUP(E159,'菜品主数据'!$A$5:$A$24,'菜品主数据'!$G$5:$G$24,0)</x:f>
        <x:v>51.007999999999996</x:v>
      </x:c>
    </x:row>
    <x:row r="160">
      <x:c r="A160" s="19" t="str">
        <x:v>2026-07-07|S02|D16</x:v>
      </x:c>
      <x:c r="B160" s="34" t="n">
        <x:v>46210.5</x:v>
      </x:c>
      <x:c r="C160" s="19" t="str">
        <x:v>S02</x:v>
      </x:c>
      <x:c r="D160" s="19" t="str">
        <x:v>尊宝大厦店</x:v>
      </x:c>
      <x:c r="E160" s="19" t="str">
        <x:v>D16</x:v>
      </x:c>
      <x:c r="F160" s="19" t="str">
        <x:v>小豆角炒五花</x:v>
      </x:c>
      <x:c r="G160" s="20" t="n">
        <x:f>SUMIFS('7日销售明细'!$K$5:$K$2244,'7日销售明细'!$B$5:$B$2244,B160,'7日销售明细'!$D$5:$D$2244,C160,'7日销售明细'!$H$5:$H$2244,E160)</x:f>
        <x:v>8</x:v>
      </x:c>
      <x:c r="H160" s="35" t="n">
        <x:f>SUMIFS('7日销售明细'!$L$5:$L$2244,'7日销售明细'!$B$5:$B$2244,B160,'7日销售明细'!$D$5:$D$2244,C160,'7日销售明细'!$H$5:$H$2244,E160)</x:f>
        <x:v>200</x:v>
      </x:c>
      <x:c r="I160" s="35" t="n">
        <x:f>G160*XLOOKUP(E160,'菜品主数据'!$A$5:$A$24,'菜品主数据'!$G$5:$G$24,0)</x:f>
        <x:v>65.472</x:v>
      </x:c>
    </x:row>
    <x:row r="161">
      <x:c r="A161" s="19" t="str">
        <x:v>2026-07-07|S02|D17</x:v>
      </x:c>
      <x:c r="B161" s="34" t="n">
        <x:v>46210.5</x:v>
      </x:c>
      <x:c r="C161" s="19" t="str">
        <x:v>S02</x:v>
      </x:c>
      <x:c r="D161" s="19" t="str">
        <x:v>尊宝大厦店</x:v>
      </x:c>
      <x:c r="E161" s="19" t="str">
        <x:v>D17</x:v>
      </x:c>
      <x:c r="F161" s="19" t="str">
        <x:v>蒜蓉粉丝虾</x:v>
      </x:c>
      <x:c r="G161" s="20" t="n">
        <x:f>SUMIFS('7日销售明细'!$K$5:$K$2244,'7日销售明细'!$B$5:$B$2244,B161,'7日销售明细'!$D$5:$D$2244,C161,'7日销售明细'!$H$5:$H$2244,E161)</x:f>
        <x:v>5</x:v>
      </x:c>
      <x:c r="H161" s="35" t="n">
        <x:f>SUMIFS('7日销售明细'!$L$5:$L$2244,'7日销售明细'!$B$5:$B$2244,B161,'7日销售明细'!$D$5:$D$2244,C161,'7日销售明细'!$H$5:$H$2244,E161)</x:f>
        <x:v>180</x:v>
      </x:c>
      <x:c r="I161" s="35" t="n">
        <x:f>G161*XLOOKUP(E161,'菜品主数据'!$A$5:$A$24,'菜品主数据'!$G$5:$G$24,0)</x:f>
        <x:v>67.97</x:v>
      </x:c>
    </x:row>
    <x:row r="162">
      <x:c r="A162" s="19" t="str">
        <x:v>2026-07-07|S02|D18</x:v>
      </x:c>
      <x:c r="B162" s="34" t="n">
        <x:v>46210.5</x:v>
      </x:c>
      <x:c r="C162" s="19" t="str">
        <x:v>S02</x:v>
      </x:c>
      <x:c r="D162" s="19" t="str">
        <x:v>尊宝大厦店</x:v>
      </x:c>
      <x:c r="E162" s="19" t="str">
        <x:v>D18</x:v>
      </x:c>
      <x:c r="F162" s="19" t="str">
        <x:v>青椒炒油麦菜</x:v>
      </x:c>
      <x:c r="G162" s="20" t="n">
        <x:f>SUMIFS('7日销售明细'!$K$5:$K$2244,'7日销售明细'!$B$5:$B$2244,B162,'7日销售明细'!$D$5:$D$2244,C162,'7日销售明细'!$H$5:$H$2244,E162)</x:f>
        <x:v>9</x:v>
      </x:c>
      <x:c r="H162" s="35" t="n">
        <x:f>SUMIFS('7日销售明细'!$L$5:$L$2244,'7日销售明细'!$B$5:$B$2244,B162,'7日销售明细'!$D$5:$D$2244,C162,'7日销售明细'!$H$5:$H$2244,E162)</x:f>
        <x:v>162</x:v>
      </x:c>
      <x:c r="I162" s="35" t="n">
        <x:f>G162*XLOOKUP(E162,'菜品主数据'!$A$5:$A$24,'菜品主数据'!$G$5:$G$24,0)</x:f>
        <x:v>28.583999999999993</x:v>
      </x:c>
    </x:row>
    <x:row r="163">
      <x:c r="A163" s="19" t="str">
        <x:v>2026-07-07|S02|D19</x:v>
      </x:c>
      <x:c r="B163" s="34" t="n">
        <x:v>46210.5</x:v>
      </x:c>
      <x:c r="C163" s="19" t="str">
        <x:v>S02</x:v>
      </x:c>
      <x:c r="D163" s="19" t="str">
        <x:v>尊宝大厦店</x:v>
      </x:c>
      <x:c r="E163" s="19" t="str">
        <x:v>D19</x:v>
      </x:c>
      <x:c r="F163" s="19" t="str">
        <x:v>酸萝卜炒鸡杂</x:v>
      </x:c>
      <x:c r="G163" s="20" t="n">
        <x:f>SUMIFS('7日销售明细'!$K$5:$K$2244,'7日销售明细'!$B$5:$B$2244,B163,'7日销售明细'!$D$5:$D$2244,C163,'7日销售明细'!$H$5:$H$2244,E163)</x:f>
        <x:v>7</x:v>
      </x:c>
      <x:c r="H163" s="35" t="n">
        <x:f>SUMIFS('7日销售明细'!$L$5:$L$2244,'7日销售明细'!$B$5:$B$2244,B163,'7日销售明细'!$D$5:$D$2244,C163,'7日销售明细'!$H$5:$H$2244,E163)</x:f>
        <x:v>175</x:v>
      </x:c>
      <x:c r="I163" s="35" t="n">
        <x:f>G163*XLOOKUP(E163,'菜品主数据'!$A$5:$A$24,'菜品主数据'!$G$5:$G$24,0)</x:f>
        <x:v>55.58</x:v>
      </x:c>
    </x:row>
    <x:row r="164">
      <x:c r="A164" s="19" t="str">
        <x:v>2026-07-07|S02|D20</x:v>
      </x:c>
      <x:c r="B164" s="34" t="n">
        <x:v>46210.5</x:v>
      </x:c>
      <x:c r="C164" s="19" t="str">
        <x:v>S02</x:v>
      </x:c>
      <x:c r="D164" s="19" t="str">
        <x:v>尊宝大厦店</x:v>
      </x:c>
      <x:c r="E164" s="19" t="str">
        <x:v>D20</x:v>
      </x:c>
      <x:c r="F164" s="19" t="str">
        <x:v>雪菜肉末青豆</x:v>
      </x:c>
      <x:c r="G164" s="20" t="n">
        <x:f>SUMIFS('7日销售明细'!$K$5:$K$2244,'7日销售明细'!$B$5:$B$2244,B164,'7日销售明细'!$D$5:$D$2244,C164,'7日销售明细'!$H$5:$H$2244,E164)</x:f>
        <x:v>10</x:v>
      </x:c>
      <x:c r="H164" s="35" t="n">
        <x:f>SUMIFS('7日销售明细'!$L$5:$L$2244,'7日销售明细'!$B$5:$B$2244,B164,'7日销售明细'!$D$5:$D$2244,C164,'7日销售明细'!$H$5:$H$2244,E164)</x:f>
        <x:v>180</x:v>
      </x:c>
      <x:c r="I164" s="35" t="n">
        <x:f>G164*XLOOKUP(E164,'菜品主数据'!$A$5:$A$24,'菜品主数据'!$G$5:$G$24,0)</x:f>
        <x:v>73.03999999999999</x:v>
      </x:c>
    </x:row>
    <x:row r="165">
      <x:c r="A165" s="19" t="str">
        <x:v>2026-07-08|S02|D01</x:v>
      </x:c>
      <x:c r="B165" s="34" t="n">
        <x:v>46211.5</x:v>
      </x:c>
      <x:c r="C165" s="19" t="str">
        <x:v>S02</x:v>
      </x:c>
      <x:c r="D165" s="19" t="str">
        <x:v>尊宝大厦店</x:v>
      </x:c>
      <x:c r="E165" s="19" t="str">
        <x:v>D01</x:v>
      </x:c>
      <x:c r="F165" s="19" t="str">
        <x:v>辣椒炒肉</x:v>
      </x:c>
      <x:c r="G165" s="20" t="n">
        <x:f>SUMIFS('7日销售明细'!$K$5:$K$2244,'7日销售明细'!$B$5:$B$2244,B165,'7日销售明细'!$D$5:$D$2244,C165,'7日销售明细'!$H$5:$H$2244,E165)</x:f>
        <x:v>53</x:v>
      </x:c>
      <x:c r="H165" s="35" t="n">
        <x:f>SUMIFS('7日销售明细'!$L$5:$L$2244,'7日销售明细'!$B$5:$B$2244,B165,'7日销售明细'!$D$5:$D$2244,C165,'7日销售明细'!$H$5:$H$2244,E165)</x:f>
        <x:v>1537</x:v>
      </x:c>
      <x:c r="I165" s="35" t="n">
        <x:f>G165*XLOOKUP(E165,'菜品主数据'!$A$5:$A$24,'菜品主数据'!$G$5:$G$24,0)</x:f>
        <x:v>457.62320000000005</x:v>
      </x:c>
    </x:row>
    <x:row r="166">
      <x:c r="A166" s="19" t="str">
        <x:v>2026-07-08|S02|D02</x:v>
      </x:c>
      <x:c r="B166" s="34" t="n">
        <x:v>46211.5</x:v>
      </x:c>
      <x:c r="C166" s="19" t="str">
        <x:v>S02</x:v>
      </x:c>
      <x:c r="D166" s="19" t="str">
        <x:v>尊宝大厦店</x:v>
      </x:c>
      <x:c r="E166" s="19" t="str">
        <x:v>D02</x:v>
      </x:c>
      <x:c r="F166" s="19" t="str">
        <x:v>小炒黄牛肉</x:v>
      </x:c>
      <x:c r="G166" s="20" t="n">
        <x:f>SUMIFS('7日销售明细'!$K$5:$K$2244,'7日销售明细'!$B$5:$B$2244,B166,'7日销售明细'!$D$5:$D$2244,C166,'7日销售明细'!$H$5:$H$2244,E166)</x:f>
        <x:v>36</x:v>
      </x:c>
      <x:c r="H166" s="35" t="n">
        <x:f>SUMIFS('7日销售明细'!$L$5:$L$2244,'7日销售明细'!$B$5:$B$2244,B166,'7日销售明细'!$D$5:$D$2244,C166,'7日销售明细'!$H$5:$H$2244,E166)</x:f>
        <x:v>1764</x:v>
      </x:c>
      <x:c r="I166" s="35" t="n">
        <x:f>G166*XLOOKUP(E166,'菜品主数据'!$A$5:$A$24,'菜品主数据'!$G$5:$G$24,0)</x:f>
        <x:v>632.772</x:v>
      </x:c>
    </x:row>
    <x:row r="167">
      <x:c r="A167" s="19" t="str">
        <x:v>2026-07-08|S02|D03</x:v>
      </x:c>
      <x:c r="B167" s="34" t="n">
        <x:v>46211.5</x:v>
      </x:c>
      <x:c r="C167" s="19" t="str">
        <x:v>S02</x:v>
      </x:c>
      <x:c r="D167" s="19" t="str">
        <x:v>尊宝大厦店</x:v>
      </x:c>
      <x:c r="E167" s="19" t="str">
        <x:v>D03</x:v>
      </x:c>
      <x:c r="F167" s="19" t="str">
        <x:v>香醋炒蛋</x:v>
      </x:c>
      <x:c r="G167" s="20" t="n">
        <x:f>SUMIFS('7日销售明细'!$K$5:$K$2244,'7日销售明细'!$B$5:$B$2244,B167,'7日销售明细'!$D$5:$D$2244,C167,'7日销售明细'!$H$5:$H$2244,E167)</x:f>
        <x:v>44</x:v>
      </x:c>
      <x:c r="H167" s="35" t="n">
        <x:f>SUMIFS('7日销售明细'!$L$5:$L$2244,'7日销售明细'!$B$5:$B$2244,B167,'7日销售明细'!$D$5:$D$2244,C167,'7日销售明细'!$H$5:$H$2244,E167)</x:f>
        <x:v>655.6</x:v>
      </x:c>
      <x:c r="I167" s="35" t="n">
        <x:f>G167*XLOOKUP(E167,'菜品主数据'!$A$5:$A$24,'菜品主数据'!$G$5:$G$24,0)</x:f>
        <x:v>164.82399999999998</x:v>
      </x:c>
    </x:row>
    <x:row r="168">
      <x:c r="A168" s="19" t="str">
        <x:v>2026-07-08|S02|D04</x:v>
      </x:c>
      <x:c r="B168" s="34" t="n">
        <x:v>46211.5</x:v>
      </x:c>
      <x:c r="C168" s="19" t="str">
        <x:v>S02</x:v>
      </x:c>
      <x:c r="D168" s="19" t="str">
        <x:v>尊宝大厦店</x:v>
      </x:c>
      <x:c r="E168" s="19" t="str">
        <x:v>D04</x:v>
      </x:c>
      <x:c r="F168" s="19" t="str">
        <x:v>酸包菜炒粉皮</x:v>
      </x:c>
      <x:c r="G168" s="20" t="n">
        <x:f>SUMIFS('7日销售明细'!$K$5:$K$2244,'7日销售明细'!$B$5:$B$2244,B168,'7日销售明细'!$D$5:$D$2244,C168,'7日销售明细'!$H$5:$H$2244,E168)</x:f>
        <x:v>40</x:v>
      </x:c>
      <x:c r="H168" s="35" t="n">
        <x:f>SUMIFS('7日销售明细'!$L$5:$L$2244,'7日销售明细'!$B$5:$B$2244,B168,'7日销售明细'!$D$5:$D$2244,C168,'7日销售明细'!$H$5:$H$2244,E168)</x:f>
        <x:v>640</x:v>
      </x:c>
      <x:c r="I168" s="35" t="n">
        <x:f>G168*XLOOKUP(E168,'菜品主数据'!$A$5:$A$24,'菜品主数据'!$G$5:$G$24,0)</x:f>
        <x:v>159.12</x:v>
      </x:c>
    </x:row>
    <x:row r="169">
      <x:c r="A169" s="19" t="str">
        <x:v>2026-07-08|S02|D05</x:v>
      </x:c>
      <x:c r="B169" s="34" t="n">
        <x:v>46211.5</x:v>
      </x:c>
      <x:c r="C169" s="19" t="str">
        <x:v>S02</x:v>
      </x:c>
      <x:c r="D169" s="19" t="str">
        <x:v>尊宝大厦店</x:v>
      </x:c>
      <x:c r="E169" s="19" t="str">
        <x:v>D05</x:v>
      </x:c>
      <x:c r="F169" s="19" t="str">
        <x:v>麻婆豆腐</x:v>
      </x:c>
      <x:c r="G169" s="20" t="n">
        <x:f>SUMIFS('7日销售明细'!$K$5:$K$2244,'7日销售明细'!$B$5:$B$2244,B169,'7日销售明细'!$D$5:$D$2244,C169,'7日销售明细'!$H$5:$H$2244,E169)</x:f>
        <x:v>55</x:v>
      </x:c>
      <x:c r="H169" s="35" t="n">
        <x:f>SUMIFS('7日销售明细'!$L$5:$L$2244,'7日销售明细'!$B$5:$B$2244,B169,'7日销售明细'!$D$5:$D$2244,C169,'7日销售明细'!$H$5:$H$2244,E169)</x:f>
        <x:v>544.5</x:v>
      </x:c>
      <x:c r="I169" s="35" t="n">
        <x:f>G169*XLOOKUP(E169,'菜品主数据'!$A$5:$A$24,'菜品主数据'!$G$5:$G$24,0)</x:f>
        <x:v>295.18500000000006</x:v>
      </x:c>
    </x:row>
    <x:row r="170">
      <x:c r="A170" s="19" t="str">
        <x:v>2026-07-08|S02|D06</x:v>
      </x:c>
      <x:c r="B170" s="34" t="n">
        <x:v>46211.5</x:v>
      </x:c>
      <x:c r="C170" s="19" t="str">
        <x:v>S02</x:v>
      </x:c>
      <x:c r="D170" s="19" t="str">
        <x:v>尊宝大厦店</x:v>
      </x:c>
      <x:c r="E170" s="19" t="str">
        <x:v>D06</x:v>
      </x:c>
      <x:c r="F170" s="19" t="str">
        <x:v>剁椒鱼头</x:v>
      </x:c>
      <x:c r="G170" s="20" t="n">
        <x:f>SUMIFS('7日销售明细'!$K$5:$K$2244,'7日销售明细'!$B$5:$B$2244,B170,'7日销售明细'!$D$5:$D$2244,C170,'7日销售明细'!$H$5:$H$2244,E170)</x:f>
        <x:v>14</x:v>
      </x:c>
      <x:c r="H170" s="35" t="n">
        <x:f>SUMIFS('7日销售明细'!$L$5:$L$2244,'7日销售明细'!$B$5:$B$2244,B170,'7日销售明细'!$D$5:$D$2244,C170,'7日销售明细'!$H$5:$H$2244,E170)</x:f>
        <x:v>546</x:v>
      </x:c>
      <x:c r="I170" s="35" t="n">
        <x:f>G170*XLOOKUP(E170,'菜品主数据'!$A$5:$A$24,'菜品主数据'!$G$5:$G$24,0)</x:f>
        <x:v>244.24400000000003</x:v>
      </x:c>
    </x:row>
    <x:row r="171">
      <x:c r="A171" s="19" t="str">
        <x:v>2026-07-08|S02|D07</x:v>
      </x:c>
      <x:c r="B171" s="34" t="n">
        <x:v>46211.5</x:v>
      </x:c>
      <x:c r="C171" s="19" t="str">
        <x:v>S02</x:v>
      </x:c>
      <x:c r="D171" s="19" t="str">
        <x:v>尊宝大厦店</x:v>
      </x:c>
      <x:c r="E171" s="19" t="str">
        <x:v>D07</x:v>
      </x:c>
      <x:c r="F171" s="19" t="str">
        <x:v>川味回锅肉</x:v>
      </x:c>
      <x:c r="G171" s="20" t="n">
        <x:f>SUMIFS('7日销售明细'!$K$5:$K$2244,'7日销售明细'!$B$5:$B$2244,B171,'7日销售明细'!$D$5:$D$2244,C171,'7日销售明细'!$H$5:$H$2244,E171)</x:f>
        <x:v>17</x:v>
      </x:c>
      <x:c r="H171" s="35" t="n">
        <x:f>SUMIFS('7日销售明细'!$L$5:$L$2244,'7日销售明细'!$B$5:$B$2244,B171,'7日销售明细'!$D$5:$D$2244,C171,'7日销售明细'!$H$5:$H$2244,E171)</x:f>
        <x:v>493</x:v>
      </x:c>
      <x:c r="I171" s="35" t="n">
        <x:f>G171*XLOOKUP(E171,'菜品主数据'!$A$5:$A$24,'菜品主数据'!$G$5:$G$24,0)</x:f>
        <x:v>173.92700000000002</x:v>
      </x:c>
    </x:row>
    <x:row r="172">
      <x:c r="A172" s="19" t="str">
        <x:v>2026-07-08|S02|D08</x:v>
      </x:c>
      <x:c r="B172" s="34" t="n">
        <x:v>46211.5</x:v>
      </x:c>
      <x:c r="C172" s="19" t="str">
        <x:v>S02</x:v>
      </x:c>
      <x:c r="D172" s="19" t="str">
        <x:v>尊宝大厦店</x:v>
      </x:c>
      <x:c r="E172" s="19" t="str">
        <x:v>D08</x:v>
      </x:c>
      <x:c r="F172" s="19" t="str">
        <x:v>生炒清远鸡</x:v>
      </x:c>
      <x:c r="G172" s="20" t="n">
        <x:f>SUMIFS('7日销售明细'!$K$5:$K$2244,'7日销售明细'!$B$5:$B$2244,B172,'7日销售明细'!$D$5:$D$2244,C172,'7日销售明细'!$H$5:$H$2244,E172)</x:f>
        <x:v>12</x:v>
      </x:c>
      <x:c r="H172" s="35" t="n">
        <x:f>SUMIFS('7日销售明细'!$L$5:$L$2244,'7日销售明细'!$B$5:$B$2244,B172,'7日销售明细'!$D$5:$D$2244,C172,'7日销售明细'!$H$5:$H$2244,E172)</x:f>
        <x:v>432</x:v>
      </x:c>
      <x:c r="I172" s="35" t="n">
        <x:f>G172*XLOOKUP(E172,'菜品主数据'!$A$5:$A$24,'菜品主数据'!$G$5:$G$24,0)</x:f>
        <x:v>161.76</x:v>
      </x:c>
    </x:row>
    <x:row r="173">
      <x:c r="A173" s="19" t="str">
        <x:v>2026-07-08|S02|D09</x:v>
      </x:c>
      <x:c r="B173" s="34" t="n">
        <x:v>46211.5</x:v>
      </x:c>
      <x:c r="C173" s="19" t="str">
        <x:v>S02</x:v>
      </x:c>
      <x:c r="D173" s="19" t="str">
        <x:v>尊宝大厦店</x:v>
      </x:c>
      <x:c r="E173" s="19" t="str">
        <x:v>D09</x:v>
      </x:c>
      <x:c r="F173" s="19" t="str">
        <x:v>炒豆干</x:v>
      </x:c>
      <x:c r="G173" s="20" t="n">
        <x:f>SUMIFS('7日销售明细'!$K$5:$K$2244,'7日销售明细'!$B$5:$B$2244,B173,'7日销售明细'!$D$5:$D$2244,C173,'7日销售明细'!$H$5:$H$2244,E173)</x:f>
        <x:v>18</x:v>
      </x:c>
      <x:c r="H173" s="35" t="n">
        <x:f>SUMIFS('7日销售明细'!$L$5:$L$2244,'7日销售明细'!$B$5:$B$2244,B173,'7日销售明细'!$D$5:$D$2244,C173,'7日销售明细'!$H$5:$H$2244,E173)</x:f>
        <x:v>324</x:v>
      </x:c>
      <x:c r="I173" s="35" t="n">
        <x:f>G173*XLOOKUP(E173,'菜品主数据'!$A$5:$A$24,'菜品主数据'!$G$5:$G$24,0)</x:f>
        <x:v>119.05199999999998</x:v>
      </x:c>
    </x:row>
    <x:row r="174">
      <x:c r="A174" s="19" t="str">
        <x:v>2026-07-08|S02|D10</x:v>
      </x:c>
      <x:c r="B174" s="34" t="n">
        <x:v>46211.5</x:v>
      </x:c>
      <x:c r="C174" s="19" t="str">
        <x:v>S02</x:v>
      </x:c>
      <x:c r="D174" s="19" t="str">
        <x:v>尊宝大厦店</x:v>
      </x:c>
      <x:c r="E174" s="19" t="str">
        <x:v>D10</x:v>
      </x:c>
      <x:c r="F174" s="19" t="str">
        <x:v>农家一碗香</x:v>
      </x:c>
      <x:c r="G174" s="20" t="n">
        <x:f>SUMIFS('7日销售明细'!$K$5:$K$2244,'7日销售明细'!$B$5:$B$2244,B174,'7日销售明细'!$D$5:$D$2244,C174,'7日销售明细'!$H$5:$H$2244,E174)</x:f>
        <x:v>18</x:v>
      </x:c>
      <x:c r="H174" s="35" t="n">
        <x:f>SUMIFS('7日销售明细'!$L$5:$L$2244,'7日销售明细'!$B$5:$B$2244,B174,'7日销售明细'!$D$5:$D$2244,C174,'7日销售明细'!$H$5:$H$2244,E174)</x:f>
        <x:v>412.19999999999993</x:v>
      </x:c>
      <x:c r="I174" s="35" t="n">
        <x:f>G174*XLOOKUP(E174,'菜品主数据'!$A$5:$A$24,'菜品主数据'!$G$5:$G$24,0)</x:f>
        <x:v>175.86360000000005</x:v>
      </x:c>
    </x:row>
    <x:row r="175">
      <x:c r="A175" s="19" t="str">
        <x:v>2026-07-08|S02|D11</x:v>
      </x:c>
      <x:c r="B175" s="34" t="n">
        <x:v>46211.5</x:v>
      </x:c>
      <x:c r="C175" s="19" t="str">
        <x:v>S02</x:v>
      </x:c>
      <x:c r="D175" s="19" t="str">
        <x:v>尊宝大厦店</x:v>
      </x:c>
      <x:c r="E175" s="19" t="str">
        <x:v>D11</x:v>
      </x:c>
      <x:c r="F175" s="19" t="str">
        <x:v>香辣爆肥肠</x:v>
      </x:c>
      <x:c r="G175" s="20" t="n">
        <x:f>SUMIFS('7日销售明细'!$K$5:$K$2244,'7日销售明细'!$B$5:$B$2244,B175,'7日销售明细'!$D$5:$D$2244,C175,'7日销售明细'!$H$5:$H$2244,E175)</x:f>
        <x:v>7</x:v>
      </x:c>
      <x:c r="H175" s="35" t="n">
        <x:f>SUMIFS('7日销售明细'!$L$5:$L$2244,'7日销售明细'!$B$5:$B$2244,B175,'7日销售明细'!$D$5:$D$2244,C175,'7日销售明细'!$H$5:$H$2244,E175)</x:f>
        <x:v>273</x:v>
      </x:c>
      <x:c r="I175" s="35" t="n">
        <x:f>G175*XLOOKUP(E175,'菜品主数据'!$A$5:$A$24,'菜品主数据'!$G$5:$G$24,0)</x:f>
        <x:v>72.779</x:v>
      </x:c>
    </x:row>
    <x:row r="176">
      <x:c r="A176" s="19" t="str">
        <x:v>2026-07-08|S02|D12</x:v>
      </x:c>
      <x:c r="B176" s="34" t="n">
        <x:v>46211.5</x:v>
      </x:c>
      <x:c r="C176" s="19" t="str">
        <x:v>S02</x:v>
      </x:c>
      <x:c r="D176" s="19" t="str">
        <x:v>尊宝大厦店</x:v>
      </x:c>
      <x:c r="E176" s="19" t="str">
        <x:v>D12</x:v>
      </x:c>
      <x:c r="F176" s="19" t="str">
        <x:v>清蒸鲈鱼</x:v>
      </x:c>
      <x:c r="G176" s="20" t="n">
        <x:f>SUMIFS('7日销售明细'!$K$5:$K$2244,'7日销售明细'!$B$5:$B$2244,B176,'7日销售明细'!$D$5:$D$2244,C176,'7日销售明细'!$H$5:$H$2244,E176)</x:f>
        <x:v>7</x:v>
      </x:c>
      <x:c r="H176" s="35" t="n">
        <x:f>SUMIFS('7日销售明细'!$L$5:$L$2244,'7日销售明细'!$B$5:$B$2244,B176,'7日销售明细'!$D$5:$D$2244,C176,'7日销售明细'!$H$5:$H$2244,E176)</x:f>
        <x:v>273</x:v>
      </x:c>
      <x:c r="I176" s="35" t="n">
        <x:f>G176*XLOOKUP(E176,'菜品主数据'!$A$5:$A$24,'菜品主数据'!$G$5:$G$24,0)</x:f>
        <x:v>132.118</x:v>
      </x:c>
    </x:row>
    <x:row r="177">
      <x:c r="A177" s="19" t="str">
        <x:v>2026-07-08|S02|D13</x:v>
      </x:c>
      <x:c r="B177" s="34" t="n">
        <x:v>46211.5</x:v>
      </x:c>
      <x:c r="C177" s="19" t="str">
        <x:v>S02</x:v>
      </x:c>
      <x:c r="D177" s="19" t="str">
        <x:v>尊宝大厦店</x:v>
      </x:c>
      <x:c r="E177" s="19" t="str">
        <x:v>D13</x:v>
      </x:c>
      <x:c r="F177" s="19" t="str">
        <x:v>外婆菜炒蛋</x:v>
      </x:c>
      <x:c r="G177" s="20" t="n">
        <x:f>SUMIFS('7日销售明细'!$K$5:$K$2244,'7日销售明细'!$B$5:$B$2244,B177,'7日销售明细'!$D$5:$D$2244,C177,'7日销售明细'!$H$5:$H$2244,E177)</x:f>
        <x:v>16</x:v>
      </x:c>
      <x:c r="H177" s="35" t="n">
        <x:f>SUMIFS('7日销售明细'!$L$5:$L$2244,'7日销售明细'!$B$5:$B$2244,B177,'7日销售明细'!$D$5:$D$2244,C177,'7日销售明细'!$H$5:$H$2244,E177)</x:f>
        <x:v>288</x:v>
      </x:c>
      <x:c r="I177" s="35" t="n">
        <x:f>G177*XLOOKUP(E177,'菜品主数据'!$A$5:$A$24,'菜品主数据'!$G$5:$G$24,0)</x:f>
        <x:v>86.46399999999998</x:v>
      </x:c>
    </x:row>
    <x:row r="178">
      <x:c r="A178" s="19" t="str">
        <x:v>2026-07-08|S02|D14</x:v>
      </x:c>
      <x:c r="B178" s="34" t="n">
        <x:v>46211.5</x:v>
      </x:c>
      <x:c r="C178" s="19" t="str">
        <x:v>S02</x:v>
      </x:c>
      <x:c r="D178" s="19" t="str">
        <x:v>尊宝大厦店</x:v>
      </x:c>
      <x:c r="E178" s="19" t="str">
        <x:v>D14</x:v>
      </x:c>
      <x:c r="F178" s="19" t="str">
        <x:v>酸辣鸡杂</x:v>
      </x:c>
      <x:c r="G178" s="20" t="n">
        <x:f>SUMIFS('7日销售明细'!$K$5:$K$2244,'7日销售明细'!$B$5:$B$2244,B178,'7日销售明细'!$D$5:$D$2244,C178,'7日销售明细'!$H$5:$H$2244,E178)</x:f>
        <x:v>8</x:v>
      </x:c>
      <x:c r="H178" s="35" t="n">
        <x:f>SUMIFS('7日销售明细'!$L$5:$L$2244,'7日销售明细'!$B$5:$B$2244,B178,'7日销售明细'!$D$5:$D$2244,C178,'7日销售明细'!$H$5:$H$2244,E178)</x:f>
        <x:v>224</x:v>
      </x:c>
      <x:c r="I178" s="35" t="n">
        <x:f>G178*XLOOKUP(E178,'菜品主数据'!$A$5:$A$24,'菜品主数据'!$G$5:$G$24,0)</x:f>
        <x:v>66.52000000000001</x:v>
      </x:c>
    </x:row>
    <x:row r="179">
      <x:c r="A179" s="19" t="str">
        <x:v>2026-07-08|S02|D15</x:v>
      </x:c>
      <x:c r="B179" s="34" t="n">
        <x:v>46211.5</x:v>
      </x:c>
      <x:c r="C179" s="19" t="str">
        <x:v>S02</x:v>
      </x:c>
      <x:c r="D179" s="19" t="str">
        <x:v>尊宝大厦店</x:v>
      </x:c>
      <x:c r="E179" s="19" t="str">
        <x:v>D15</x:v>
      </x:c>
      <x:c r="F179" s="19" t="str">
        <x:v>湘西土匪猪肝</x:v>
      </x:c>
      <x:c r="G179" s="20" t="n">
        <x:f>SUMIFS('7日销售明细'!$K$5:$K$2244,'7日销售明细'!$B$5:$B$2244,B179,'7日销售明细'!$D$5:$D$2244,C179,'7日销售明细'!$H$5:$H$2244,E179)</x:f>
        <x:v>7</x:v>
      </x:c>
      <x:c r="H179" s="35" t="n">
        <x:f>SUMIFS('7日销售明细'!$L$5:$L$2244,'7日销售明细'!$B$5:$B$2244,B179,'7日销售明细'!$D$5:$D$2244,C179,'7日销售明细'!$H$5:$H$2244,E179)</x:f>
        <x:v>182</x:v>
      </x:c>
      <x:c r="I179" s="35" t="n">
        <x:f>G179*XLOOKUP(E179,'菜品主数据'!$A$5:$A$24,'菜品主数据'!$G$5:$G$24,0)</x:f>
        <x:v>44.632</x:v>
      </x:c>
    </x:row>
    <x:row r="180">
      <x:c r="A180" s="19" t="str">
        <x:v>2026-07-08|S02|D16</x:v>
      </x:c>
      <x:c r="B180" s="34" t="n">
        <x:v>46211.5</x:v>
      </x:c>
      <x:c r="C180" s="19" t="str">
        <x:v>S02</x:v>
      </x:c>
      <x:c r="D180" s="19" t="str">
        <x:v>尊宝大厦店</x:v>
      </x:c>
      <x:c r="E180" s="19" t="str">
        <x:v>D16</x:v>
      </x:c>
      <x:c r="F180" s="19" t="str">
        <x:v>小豆角炒五花</x:v>
      </x:c>
      <x:c r="G180" s="20" t="n">
        <x:f>SUMIFS('7日销售明细'!$K$5:$K$2244,'7日销售明细'!$B$5:$B$2244,B180,'7日销售明细'!$D$5:$D$2244,C180,'7日销售明细'!$H$5:$H$2244,E180)</x:f>
        <x:v>8</x:v>
      </x:c>
      <x:c r="H180" s="35" t="n">
        <x:f>SUMIFS('7日销售明细'!$L$5:$L$2244,'7日销售明细'!$B$5:$B$2244,B180,'7日销售明细'!$D$5:$D$2244,C180,'7日销售明细'!$H$5:$H$2244,E180)</x:f>
        <x:v>200</x:v>
      </x:c>
      <x:c r="I180" s="35" t="n">
        <x:f>G180*XLOOKUP(E180,'菜品主数据'!$A$5:$A$24,'菜品主数据'!$G$5:$G$24,0)</x:f>
        <x:v>65.472</x:v>
      </x:c>
    </x:row>
    <x:row r="181">
      <x:c r="A181" s="19" t="str">
        <x:v>2026-07-08|S02|D17</x:v>
      </x:c>
      <x:c r="B181" s="34" t="n">
        <x:v>46211.5</x:v>
      </x:c>
      <x:c r="C181" s="19" t="str">
        <x:v>S02</x:v>
      </x:c>
      <x:c r="D181" s="19" t="str">
        <x:v>尊宝大厦店</x:v>
      </x:c>
      <x:c r="E181" s="19" t="str">
        <x:v>D17</x:v>
      </x:c>
      <x:c r="F181" s="19" t="str">
        <x:v>蒜蓉粉丝虾</x:v>
      </x:c>
      <x:c r="G181" s="20" t="n">
        <x:f>SUMIFS('7日销售明细'!$K$5:$K$2244,'7日销售明细'!$B$5:$B$2244,B181,'7日销售明细'!$D$5:$D$2244,C181,'7日销售明细'!$H$5:$H$2244,E181)</x:f>
        <x:v>5</x:v>
      </x:c>
      <x:c r="H181" s="35" t="n">
        <x:f>SUMIFS('7日销售明细'!$L$5:$L$2244,'7日销售明细'!$B$5:$B$2244,B181,'7日销售明细'!$D$5:$D$2244,C181,'7日销售明细'!$H$5:$H$2244,E181)</x:f>
        <x:v>180</x:v>
      </x:c>
      <x:c r="I181" s="35" t="n">
        <x:f>G181*XLOOKUP(E181,'菜品主数据'!$A$5:$A$24,'菜品主数据'!$G$5:$G$24,0)</x:f>
        <x:v>67.97</x:v>
      </x:c>
    </x:row>
    <x:row r="182">
      <x:c r="A182" s="19" t="str">
        <x:v>2026-07-08|S02|D18</x:v>
      </x:c>
      <x:c r="B182" s="34" t="n">
        <x:v>46211.5</x:v>
      </x:c>
      <x:c r="C182" s="19" t="str">
        <x:v>S02</x:v>
      </x:c>
      <x:c r="D182" s="19" t="str">
        <x:v>尊宝大厦店</x:v>
      </x:c>
      <x:c r="E182" s="19" t="str">
        <x:v>D18</x:v>
      </x:c>
      <x:c r="F182" s="19" t="str">
        <x:v>青椒炒油麦菜</x:v>
      </x:c>
      <x:c r="G182" s="20" t="n">
        <x:f>SUMIFS('7日销售明细'!$K$5:$K$2244,'7日销售明细'!$B$5:$B$2244,B182,'7日销售明细'!$D$5:$D$2244,C182,'7日销售明细'!$H$5:$H$2244,E182)</x:f>
        <x:v>9</x:v>
      </x:c>
      <x:c r="H182" s="35" t="n">
        <x:f>SUMIFS('7日销售明细'!$L$5:$L$2244,'7日销售明细'!$B$5:$B$2244,B182,'7日销售明细'!$D$5:$D$2244,C182,'7日销售明细'!$H$5:$H$2244,E182)</x:f>
        <x:v>162</x:v>
      </x:c>
      <x:c r="I182" s="35" t="n">
        <x:f>G182*XLOOKUP(E182,'菜品主数据'!$A$5:$A$24,'菜品主数据'!$G$5:$G$24,0)</x:f>
        <x:v>28.583999999999993</x:v>
      </x:c>
    </x:row>
    <x:row r="183">
      <x:c r="A183" s="19" t="str">
        <x:v>2026-07-08|S02|D19</x:v>
      </x:c>
      <x:c r="B183" s="34" t="n">
        <x:v>46211.5</x:v>
      </x:c>
      <x:c r="C183" s="19" t="str">
        <x:v>S02</x:v>
      </x:c>
      <x:c r="D183" s="19" t="str">
        <x:v>尊宝大厦店</x:v>
      </x:c>
      <x:c r="E183" s="19" t="str">
        <x:v>D19</x:v>
      </x:c>
      <x:c r="F183" s="19" t="str">
        <x:v>酸萝卜炒鸡杂</x:v>
      </x:c>
      <x:c r="G183" s="20" t="n">
        <x:f>SUMIFS('7日销售明细'!$K$5:$K$2244,'7日销售明细'!$B$5:$B$2244,B183,'7日销售明细'!$D$5:$D$2244,C183,'7日销售明细'!$H$5:$H$2244,E183)</x:f>
        <x:v>6</x:v>
      </x:c>
      <x:c r="H183" s="35" t="n">
        <x:f>SUMIFS('7日销售明细'!$L$5:$L$2244,'7日销售明细'!$B$5:$B$2244,B183,'7日销售明细'!$D$5:$D$2244,C183,'7日销售明细'!$H$5:$H$2244,E183)</x:f>
        <x:v>150</x:v>
      </x:c>
      <x:c r="I183" s="35" t="n">
        <x:f>G183*XLOOKUP(E183,'菜品主数据'!$A$5:$A$24,'菜品主数据'!$G$5:$G$24,0)</x:f>
        <x:v>47.64</x:v>
      </x:c>
    </x:row>
    <x:row r="184">
      <x:c r="A184" s="19" t="str">
        <x:v>2026-07-08|S02|D20</x:v>
      </x:c>
      <x:c r="B184" s="34" t="n">
        <x:v>46211.5</x:v>
      </x:c>
      <x:c r="C184" s="19" t="str">
        <x:v>S02</x:v>
      </x:c>
      <x:c r="D184" s="19" t="str">
        <x:v>尊宝大厦店</x:v>
      </x:c>
      <x:c r="E184" s="19" t="str">
        <x:v>D20</x:v>
      </x:c>
      <x:c r="F184" s="19" t="str">
        <x:v>雪菜肉末青豆</x:v>
      </x:c>
      <x:c r="G184" s="20" t="n">
        <x:f>SUMIFS('7日销售明细'!$K$5:$K$2244,'7日销售明细'!$B$5:$B$2244,B184,'7日销售明细'!$D$5:$D$2244,C184,'7日销售明细'!$H$5:$H$2244,E184)</x:f>
        <x:v>9</x:v>
      </x:c>
      <x:c r="H184" s="35" t="n">
        <x:f>SUMIFS('7日销售明细'!$L$5:$L$2244,'7日销售明细'!$B$5:$B$2244,B184,'7日销售明细'!$D$5:$D$2244,C184,'7日销售明细'!$H$5:$H$2244,E184)</x:f>
        <x:v>162</x:v>
      </x:c>
      <x:c r="I184" s="35" t="n">
        <x:f>G184*XLOOKUP(E184,'菜品主数据'!$A$5:$A$24,'菜品主数据'!$G$5:$G$24,0)</x:f>
        <x:v>65.73599999999999</x:v>
      </x:c>
    </x:row>
    <x:row r="185">
      <x:c r="A185" s="19" t="str">
        <x:v>2026-07-09|S02|D01</x:v>
      </x:c>
      <x:c r="B185" s="34" t="n">
        <x:v>46212.5</x:v>
      </x:c>
      <x:c r="C185" s="19" t="str">
        <x:v>S02</x:v>
      </x:c>
      <x:c r="D185" s="19" t="str">
        <x:v>尊宝大厦店</x:v>
      </x:c>
      <x:c r="E185" s="19" t="str">
        <x:v>D01</x:v>
      </x:c>
      <x:c r="F185" s="19" t="str">
        <x:v>辣椒炒肉</x:v>
      </x:c>
      <x:c r="G185" s="20" t="n">
        <x:f>SUMIFS('7日销售明细'!$K$5:$K$2244,'7日销售明细'!$B$5:$B$2244,B185,'7日销售明细'!$D$5:$D$2244,C185,'7日销售明细'!$H$5:$H$2244,E185)</x:f>
        <x:v>52</x:v>
      </x:c>
      <x:c r="H185" s="35" t="n">
        <x:f>SUMIFS('7日销售明细'!$L$5:$L$2244,'7日销售明细'!$B$5:$B$2244,B185,'7日销售明细'!$D$5:$D$2244,C185,'7日销售明细'!$H$5:$H$2244,E185)</x:f>
        <x:v>1508</x:v>
      </x:c>
      <x:c r="I185" s="35" t="n">
        <x:f>G185*XLOOKUP(E185,'菜品主数据'!$A$5:$A$24,'菜品主数据'!$G$5:$G$24,0)</x:f>
        <x:v>448.9888000000001</x:v>
      </x:c>
    </x:row>
    <x:row r="186">
      <x:c r="A186" s="19" t="str">
        <x:v>2026-07-09|S02|D02</x:v>
      </x:c>
      <x:c r="B186" s="34" t="n">
        <x:v>46212.5</x:v>
      </x:c>
      <x:c r="C186" s="19" t="str">
        <x:v>S02</x:v>
      </x:c>
      <x:c r="D186" s="19" t="str">
        <x:v>尊宝大厦店</x:v>
      </x:c>
      <x:c r="E186" s="19" t="str">
        <x:v>D02</x:v>
      </x:c>
      <x:c r="F186" s="19" t="str">
        <x:v>小炒黄牛肉</x:v>
      </x:c>
      <x:c r="G186" s="20" t="n">
        <x:f>SUMIFS('7日销售明细'!$K$5:$K$2244,'7日销售明细'!$B$5:$B$2244,B186,'7日销售明细'!$D$5:$D$2244,C186,'7日销售明细'!$H$5:$H$2244,E186)</x:f>
        <x:v>35</x:v>
      </x:c>
      <x:c r="H186" s="35" t="n">
        <x:f>SUMIFS('7日销售明细'!$L$5:$L$2244,'7日销售明细'!$B$5:$B$2244,B186,'7日销售明细'!$D$5:$D$2244,C186,'7日销售明细'!$H$5:$H$2244,E186)</x:f>
        <x:v>1715</x:v>
      </x:c>
      <x:c r="I186" s="35" t="n">
        <x:f>G186*XLOOKUP(E186,'菜品主数据'!$A$5:$A$24,'菜品主数据'!$G$5:$G$24,0)</x:f>
        <x:v>615.195</x:v>
      </x:c>
    </x:row>
    <x:row r="187">
      <x:c r="A187" s="19" t="str">
        <x:v>2026-07-09|S02|D03</x:v>
      </x:c>
      <x:c r="B187" s="34" t="n">
        <x:v>46212.5</x:v>
      </x:c>
      <x:c r="C187" s="19" t="str">
        <x:v>S02</x:v>
      </x:c>
      <x:c r="D187" s="19" t="str">
        <x:v>尊宝大厦店</x:v>
      </x:c>
      <x:c r="E187" s="19" t="str">
        <x:v>D03</x:v>
      </x:c>
      <x:c r="F187" s="19" t="str">
        <x:v>香醋炒蛋</x:v>
      </x:c>
      <x:c r="G187" s="20" t="n">
        <x:f>SUMIFS('7日销售明细'!$K$5:$K$2244,'7日销售明细'!$B$5:$B$2244,B187,'7日销售明细'!$D$5:$D$2244,C187,'7日销售明细'!$H$5:$H$2244,E187)</x:f>
        <x:v>42</x:v>
      </x:c>
      <x:c r="H187" s="35" t="n">
        <x:f>SUMIFS('7日销售明细'!$L$5:$L$2244,'7日销售明细'!$B$5:$B$2244,B187,'7日销售明细'!$D$5:$D$2244,C187,'7日销售明细'!$H$5:$H$2244,E187)</x:f>
        <x:v>625.8000000000001</x:v>
      </x:c>
      <x:c r="I187" s="35" t="n">
        <x:f>G187*XLOOKUP(E187,'菜品主数据'!$A$5:$A$24,'菜品主数据'!$G$5:$G$24,0)</x:f>
        <x:v>157.332</x:v>
      </x:c>
    </x:row>
    <x:row r="188">
      <x:c r="A188" s="19" t="str">
        <x:v>2026-07-09|S02|D04</x:v>
      </x:c>
      <x:c r="B188" s="34" t="n">
        <x:v>46212.5</x:v>
      </x:c>
      <x:c r="C188" s="19" t="str">
        <x:v>S02</x:v>
      </x:c>
      <x:c r="D188" s="19" t="str">
        <x:v>尊宝大厦店</x:v>
      </x:c>
      <x:c r="E188" s="19" t="str">
        <x:v>D04</x:v>
      </x:c>
      <x:c r="F188" s="19" t="str">
        <x:v>酸包菜炒粉皮</x:v>
      </x:c>
      <x:c r="G188" s="20" t="n">
        <x:f>SUMIFS('7日销售明细'!$K$5:$K$2244,'7日销售明细'!$B$5:$B$2244,B188,'7日销售明细'!$D$5:$D$2244,C188,'7日销售明细'!$H$5:$H$2244,E188)</x:f>
        <x:v>39</x:v>
      </x:c>
      <x:c r="H188" s="35" t="n">
        <x:f>SUMIFS('7日销售明细'!$L$5:$L$2244,'7日销售明细'!$B$5:$B$2244,B188,'7日销售明细'!$D$5:$D$2244,C188,'7日销售明细'!$H$5:$H$2244,E188)</x:f>
        <x:v>624</x:v>
      </x:c>
      <x:c r="I188" s="35" t="n">
        <x:f>G188*XLOOKUP(E188,'菜品主数据'!$A$5:$A$24,'菜品主数据'!$G$5:$G$24,0)</x:f>
        <x:v>155.142</x:v>
      </x:c>
    </x:row>
    <x:row r="189">
      <x:c r="A189" s="19" t="str">
        <x:v>2026-07-09|S02|D05</x:v>
      </x:c>
      <x:c r="B189" s="34" t="n">
        <x:v>46212.5</x:v>
      </x:c>
      <x:c r="C189" s="19" t="str">
        <x:v>S02</x:v>
      </x:c>
      <x:c r="D189" s="19" t="str">
        <x:v>尊宝大厦店</x:v>
      </x:c>
      <x:c r="E189" s="19" t="str">
        <x:v>D05</x:v>
      </x:c>
      <x:c r="F189" s="19" t="str">
        <x:v>麻婆豆腐</x:v>
      </x:c>
      <x:c r="G189" s="20" t="n">
        <x:f>SUMIFS('7日销售明细'!$K$5:$K$2244,'7日销售明细'!$B$5:$B$2244,B189,'7日销售明细'!$D$5:$D$2244,C189,'7日销售明细'!$H$5:$H$2244,E189)</x:f>
        <x:v>58</x:v>
      </x:c>
      <x:c r="H189" s="35" t="n">
        <x:f>SUMIFS('7日销售明细'!$L$5:$L$2244,'7日销售明细'!$B$5:$B$2244,B189,'7日销售明细'!$D$5:$D$2244,C189,'7日销售明细'!$H$5:$H$2244,E189)</x:f>
        <x:v>574.2</x:v>
      </x:c>
      <x:c r="I189" s="35" t="n">
        <x:f>G189*XLOOKUP(E189,'菜品主数据'!$A$5:$A$24,'菜品主数据'!$G$5:$G$24,0)</x:f>
        <x:v>311.28600000000006</x:v>
      </x:c>
    </x:row>
    <x:row r="190">
      <x:c r="A190" s="19" t="str">
        <x:v>2026-07-09|S02|D06</x:v>
      </x:c>
      <x:c r="B190" s="34" t="n">
        <x:v>46212.5</x:v>
      </x:c>
      <x:c r="C190" s="19" t="str">
        <x:v>S02</x:v>
      </x:c>
      <x:c r="D190" s="19" t="str">
        <x:v>尊宝大厦店</x:v>
      </x:c>
      <x:c r="E190" s="19" t="str">
        <x:v>D06</x:v>
      </x:c>
      <x:c r="F190" s="19" t="str">
        <x:v>剁椒鱼头</x:v>
      </x:c>
      <x:c r="G190" s="20" t="n">
        <x:f>SUMIFS('7日销售明细'!$K$5:$K$2244,'7日销售明细'!$B$5:$B$2244,B190,'7日销售明细'!$D$5:$D$2244,C190,'7日销售明细'!$H$5:$H$2244,E190)</x:f>
        <x:v>12</x:v>
      </x:c>
      <x:c r="H190" s="35" t="n">
        <x:f>SUMIFS('7日销售明细'!$L$5:$L$2244,'7日销售明细'!$B$5:$B$2244,B190,'7日销售明细'!$D$5:$D$2244,C190,'7日销售明细'!$H$5:$H$2244,E190)</x:f>
        <x:v>468</x:v>
      </x:c>
      <x:c r="I190" s="35" t="n">
        <x:f>G190*XLOOKUP(E190,'菜品主数据'!$A$5:$A$24,'菜品主数据'!$G$5:$G$24,0)</x:f>
        <x:v>209.35200000000003</x:v>
      </x:c>
    </x:row>
    <x:row r="191">
      <x:c r="A191" s="19" t="str">
        <x:v>2026-07-09|S02|D07</x:v>
      </x:c>
      <x:c r="B191" s="34" t="n">
        <x:v>46212.5</x:v>
      </x:c>
      <x:c r="C191" s="19" t="str">
        <x:v>S02</x:v>
      </x:c>
      <x:c r="D191" s="19" t="str">
        <x:v>尊宝大厦店</x:v>
      </x:c>
      <x:c r="E191" s="19" t="str">
        <x:v>D07</x:v>
      </x:c>
      <x:c r="F191" s="19" t="str">
        <x:v>川味回锅肉</x:v>
      </x:c>
      <x:c r="G191" s="20" t="n">
        <x:f>SUMIFS('7日销售明细'!$K$5:$K$2244,'7日销售明细'!$B$5:$B$2244,B191,'7日销售明细'!$D$5:$D$2244,C191,'7日销售明细'!$H$5:$H$2244,E191)</x:f>
        <x:v>16</x:v>
      </x:c>
      <x:c r="H191" s="35" t="n">
        <x:f>SUMIFS('7日销售明细'!$L$5:$L$2244,'7日销售明细'!$B$5:$B$2244,B191,'7日销售明细'!$D$5:$D$2244,C191,'7日销售明细'!$H$5:$H$2244,E191)</x:f>
        <x:v>464</x:v>
      </x:c>
      <x:c r="I191" s="35" t="n">
        <x:f>G191*XLOOKUP(E191,'菜品主数据'!$A$5:$A$24,'菜品主数据'!$G$5:$G$24,0)</x:f>
        <x:v>163.69600000000003</x:v>
      </x:c>
    </x:row>
    <x:row r="192">
      <x:c r="A192" s="19" t="str">
        <x:v>2026-07-09|S02|D08</x:v>
      </x:c>
      <x:c r="B192" s="34" t="n">
        <x:v>46212.5</x:v>
      </x:c>
      <x:c r="C192" s="19" t="str">
        <x:v>S02</x:v>
      </x:c>
      <x:c r="D192" s="19" t="str">
        <x:v>尊宝大厦店</x:v>
      </x:c>
      <x:c r="E192" s="19" t="str">
        <x:v>D08</x:v>
      </x:c>
      <x:c r="F192" s="19" t="str">
        <x:v>生炒清远鸡</x:v>
      </x:c>
      <x:c r="G192" s="20" t="n">
        <x:f>SUMIFS('7日销售明细'!$K$5:$K$2244,'7日销售明细'!$B$5:$B$2244,B192,'7日销售明细'!$D$5:$D$2244,C192,'7日销售明细'!$H$5:$H$2244,E192)</x:f>
        <x:v>12</x:v>
      </x:c>
      <x:c r="H192" s="35" t="n">
        <x:f>SUMIFS('7日销售明细'!$L$5:$L$2244,'7日销售明细'!$B$5:$B$2244,B192,'7日销售明细'!$D$5:$D$2244,C192,'7日销售明细'!$H$5:$H$2244,E192)</x:f>
        <x:v>432</x:v>
      </x:c>
      <x:c r="I192" s="35" t="n">
        <x:f>G192*XLOOKUP(E192,'菜品主数据'!$A$5:$A$24,'菜品主数据'!$G$5:$G$24,0)</x:f>
        <x:v>161.76</x:v>
      </x:c>
    </x:row>
    <x:row r="193">
      <x:c r="A193" s="19" t="str">
        <x:v>2026-07-09|S02|D09</x:v>
      </x:c>
      <x:c r="B193" s="34" t="n">
        <x:v>46212.5</x:v>
      </x:c>
      <x:c r="C193" s="19" t="str">
        <x:v>S02</x:v>
      </x:c>
      <x:c r="D193" s="19" t="str">
        <x:v>尊宝大厦店</x:v>
      </x:c>
      <x:c r="E193" s="19" t="str">
        <x:v>D09</x:v>
      </x:c>
      <x:c r="F193" s="19" t="str">
        <x:v>炒豆干</x:v>
      </x:c>
      <x:c r="G193" s="20" t="n">
        <x:f>SUMIFS('7日销售明细'!$K$5:$K$2244,'7日销售明细'!$B$5:$B$2244,B193,'7日销售明细'!$D$5:$D$2244,C193,'7日销售明细'!$H$5:$H$2244,E193)</x:f>
        <x:v>17</x:v>
      </x:c>
      <x:c r="H193" s="35" t="n">
        <x:f>SUMIFS('7日销售明细'!$L$5:$L$2244,'7日销售明细'!$B$5:$B$2244,B193,'7日销售明细'!$D$5:$D$2244,C193,'7日销售明细'!$H$5:$H$2244,E193)</x:f>
        <x:v>306</x:v>
      </x:c>
      <x:c r="I193" s="35" t="n">
        <x:f>G193*XLOOKUP(E193,'菜品主数据'!$A$5:$A$24,'菜品主数据'!$G$5:$G$24,0)</x:f>
        <x:v>112.43799999999999</x:v>
      </x:c>
    </x:row>
    <x:row r="194">
      <x:c r="A194" s="19" t="str">
        <x:v>2026-07-09|S02|D10</x:v>
      </x:c>
      <x:c r="B194" s="34" t="n">
        <x:v>46212.5</x:v>
      </x:c>
      <x:c r="C194" s="19" t="str">
        <x:v>S02</x:v>
      </x:c>
      <x:c r="D194" s="19" t="str">
        <x:v>尊宝大厦店</x:v>
      </x:c>
      <x:c r="E194" s="19" t="str">
        <x:v>D10</x:v>
      </x:c>
      <x:c r="F194" s="19" t="str">
        <x:v>农家一碗香</x:v>
      </x:c>
      <x:c r="G194" s="20" t="n">
        <x:f>SUMIFS('7日销售明细'!$K$5:$K$2244,'7日销售明细'!$B$5:$B$2244,B194,'7日销售明细'!$D$5:$D$2244,C194,'7日销售明细'!$H$5:$H$2244,E194)</x:f>
        <x:v>19</x:v>
      </x:c>
      <x:c r="H194" s="35" t="n">
        <x:f>SUMIFS('7日销售明细'!$L$5:$L$2244,'7日销售明细'!$B$5:$B$2244,B194,'7日销售明细'!$D$5:$D$2244,C194,'7日销售明细'!$H$5:$H$2244,E194)</x:f>
        <x:v>435.09999999999997</x:v>
      </x:c>
      <x:c r="I194" s="35" t="n">
        <x:f>G194*XLOOKUP(E194,'菜品主数据'!$A$5:$A$24,'菜品主数据'!$G$5:$G$24,0)</x:f>
        <x:v>185.63380000000006</x:v>
      </x:c>
    </x:row>
    <x:row r="195">
      <x:c r="A195" s="19" t="str">
        <x:v>2026-07-09|S02|D11</x:v>
      </x:c>
      <x:c r="B195" s="34" t="n">
        <x:v>46212.5</x:v>
      </x:c>
      <x:c r="C195" s="19" t="str">
        <x:v>S02</x:v>
      </x:c>
      <x:c r="D195" s="19" t="str">
        <x:v>尊宝大厦店</x:v>
      </x:c>
      <x:c r="E195" s="19" t="str">
        <x:v>D11</x:v>
      </x:c>
      <x:c r="F195" s="19" t="str">
        <x:v>香辣爆肥肠</x:v>
      </x:c>
      <x:c r="G195" s="20" t="n">
        <x:f>SUMIFS('7日销售明细'!$K$5:$K$2244,'7日销售明细'!$B$5:$B$2244,B195,'7日销售明细'!$D$5:$D$2244,C195,'7日销售明细'!$H$5:$H$2244,E195)</x:f>
        <x:v>6</x:v>
      </x:c>
      <x:c r="H195" s="35" t="n">
        <x:f>SUMIFS('7日销售明细'!$L$5:$L$2244,'7日销售明细'!$B$5:$B$2244,B195,'7日销售明细'!$D$5:$D$2244,C195,'7日销售明细'!$H$5:$H$2244,E195)</x:f>
        <x:v>234</x:v>
      </x:c>
      <x:c r="I195" s="35" t="n">
        <x:f>G195*XLOOKUP(E195,'菜品主数据'!$A$5:$A$24,'菜品主数据'!$G$5:$G$24,0)</x:f>
        <x:v>62.382000000000005</x:v>
      </x:c>
    </x:row>
    <x:row r="196">
      <x:c r="A196" s="19" t="str">
        <x:v>2026-07-09|S02|D12</x:v>
      </x:c>
      <x:c r="B196" s="34" t="n">
        <x:v>46212.5</x:v>
      </x:c>
      <x:c r="C196" s="19" t="str">
        <x:v>S02</x:v>
      </x:c>
      <x:c r="D196" s="19" t="str">
        <x:v>尊宝大厦店</x:v>
      </x:c>
      <x:c r="E196" s="19" t="str">
        <x:v>D12</x:v>
      </x:c>
      <x:c r="F196" s="19" t="str">
        <x:v>清蒸鲈鱼</x:v>
      </x:c>
      <x:c r="G196" s="20" t="n">
        <x:f>SUMIFS('7日销售明细'!$K$5:$K$2244,'7日销售明细'!$B$5:$B$2244,B196,'7日销售明细'!$D$5:$D$2244,C196,'7日销售明细'!$H$5:$H$2244,E196)</x:f>
        <x:v>7</x:v>
      </x:c>
      <x:c r="H196" s="35" t="n">
        <x:f>SUMIFS('7日销售明细'!$L$5:$L$2244,'7日销售明细'!$B$5:$B$2244,B196,'7日销售明细'!$D$5:$D$2244,C196,'7日销售明细'!$H$5:$H$2244,E196)</x:f>
        <x:v>273</x:v>
      </x:c>
      <x:c r="I196" s="35" t="n">
        <x:f>G196*XLOOKUP(E196,'菜品主数据'!$A$5:$A$24,'菜品主数据'!$G$5:$G$24,0)</x:f>
        <x:v>132.118</x:v>
      </x:c>
    </x:row>
    <x:row r="197">
      <x:c r="A197" s="19" t="str">
        <x:v>2026-07-09|S02|D13</x:v>
      </x:c>
      <x:c r="B197" s="34" t="n">
        <x:v>46212.5</x:v>
      </x:c>
      <x:c r="C197" s="19" t="str">
        <x:v>S02</x:v>
      </x:c>
      <x:c r="D197" s="19" t="str">
        <x:v>尊宝大厦店</x:v>
      </x:c>
      <x:c r="E197" s="19" t="str">
        <x:v>D13</x:v>
      </x:c>
      <x:c r="F197" s="19" t="str">
        <x:v>外婆菜炒蛋</x:v>
      </x:c>
      <x:c r="G197" s="20" t="n">
        <x:f>SUMIFS('7日销售明细'!$K$5:$K$2244,'7日销售明细'!$B$5:$B$2244,B197,'7日销售明细'!$D$5:$D$2244,C197,'7日销售明细'!$H$5:$H$2244,E197)</x:f>
        <x:v>16</x:v>
      </x:c>
      <x:c r="H197" s="35" t="n">
        <x:f>SUMIFS('7日销售明细'!$L$5:$L$2244,'7日销售明细'!$B$5:$B$2244,B197,'7日销售明细'!$D$5:$D$2244,C197,'7日销售明细'!$H$5:$H$2244,E197)</x:f>
        <x:v>288</x:v>
      </x:c>
      <x:c r="I197" s="35" t="n">
        <x:f>G197*XLOOKUP(E197,'菜品主数据'!$A$5:$A$24,'菜品主数据'!$G$5:$G$24,0)</x:f>
        <x:v>86.46399999999998</x:v>
      </x:c>
    </x:row>
    <x:row r="198">
      <x:c r="A198" s="19" t="str">
        <x:v>2026-07-09|S02|D14</x:v>
      </x:c>
      <x:c r="B198" s="34" t="n">
        <x:v>46212.5</x:v>
      </x:c>
      <x:c r="C198" s="19" t="str">
        <x:v>S02</x:v>
      </x:c>
      <x:c r="D198" s="19" t="str">
        <x:v>尊宝大厦店</x:v>
      </x:c>
      <x:c r="E198" s="19" t="str">
        <x:v>D14</x:v>
      </x:c>
      <x:c r="F198" s="19" t="str">
        <x:v>酸辣鸡杂</x:v>
      </x:c>
      <x:c r="G198" s="20" t="n">
        <x:f>SUMIFS('7日销售明细'!$K$5:$K$2244,'7日销售明细'!$B$5:$B$2244,B198,'7日销售明细'!$D$5:$D$2244,C198,'7日销售明细'!$H$5:$H$2244,E198)</x:f>
        <x:v>8</x:v>
      </x:c>
      <x:c r="H198" s="35" t="n">
        <x:f>SUMIFS('7日销售明细'!$L$5:$L$2244,'7日销售明细'!$B$5:$B$2244,B198,'7日销售明细'!$D$5:$D$2244,C198,'7日销售明细'!$H$5:$H$2244,E198)</x:f>
        <x:v>224</x:v>
      </x:c>
      <x:c r="I198" s="35" t="n">
        <x:f>G198*XLOOKUP(E198,'菜品主数据'!$A$5:$A$24,'菜品主数据'!$G$5:$G$24,0)</x:f>
        <x:v>66.52000000000001</x:v>
      </x:c>
    </x:row>
    <x:row r="199">
      <x:c r="A199" s="19" t="str">
        <x:v>2026-07-09|S02|D15</x:v>
      </x:c>
      <x:c r="B199" s="34" t="n">
        <x:v>46212.5</x:v>
      </x:c>
      <x:c r="C199" s="19" t="str">
        <x:v>S02</x:v>
      </x:c>
      <x:c r="D199" s="19" t="str">
        <x:v>尊宝大厦店</x:v>
      </x:c>
      <x:c r="E199" s="19" t="str">
        <x:v>D15</x:v>
      </x:c>
      <x:c r="F199" s="19" t="str">
        <x:v>湘西土匪猪肝</x:v>
      </x:c>
      <x:c r="G199" s="20" t="n">
        <x:f>SUMIFS('7日销售明细'!$K$5:$K$2244,'7日销售明细'!$B$5:$B$2244,B199,'7日销售明细'!$D$5:$D$2244,C199,'7日销售明细'!$H$5:$H$2244,E199)</x:f>
        <x:v>8</x:v>
      </x:c>
      <x:c r="H199" s="35" t="n">
        <x:f>SUMIFS('7日销售明细'!$L$5:$L$2244,'7日销售明细'!$B$5:$B$2244,B199,'7日销售明细'!$D$5:$D$2244,C199,'7日销售明细'!$H$5:$H$2244,E199)</x:f>
        <x:v>208</x:v>
      </x:c>
      <x:c r="I199" s="35" t="n">
        <x:f>G199*XLOOKUP(E199,'菜品主数据'!$A$5:$A$24,'菜品主数据'!$G$5:$G$24,0)</x:f>
        <x:v>51.007999999999996</x:v>
      </x:c>
    </x:row>
    <x:row r="200">
      <x:c r="A200" s="19" t="str">
        <x:v>2026-07-09|S02|D16</x:v>
      </x:c>
      <x:c r="B200" s="34" t="n">
        <x:v>46212.5</x:v>
      </x:c>
      <x:c r="C200" s="19" t="str">
        <x:v>S02</x:v>
      </x:c>
      <x:c r="D200" s="19" t="str">
        <x:v>尊宝大厦店</x:v>
      </x:c>
      <x:c r="E200" s="19" t="str">
        <x:v>D16</x:v>
      </x:c>
      <x:c r="F200" s="19" t="str">
        <x:v>小豆角炒五花</x:v>
      </x:c>
      <x:c r="G200" s="20" t="n">
        <x:f>SUMIFS('7日销售明细'!$K$5:$K$2244,'7日销售明细'!$B$5:$B$2244,B200,'7日销售明细'!$D$5:$D$2244,C200,'7日销售明细'!$H$5:$H$2244,E200)</x:f>
        <x:v>8</x:v>
      </x:c>
      <x:c r="H200" s="35" t="n">
        <x:f>SUMIFS('7日销售明细'!$L$5:$L$2244,'7日销售明细'!$B$5:$B$2244,B200,'7日销售明细'!$D$5:$D$2244,C200,'7日销售明细'!$H$5:$H$2244,E200)</x:f>
        <x:v>200</x:v>
      </x:c>
      <x:c r="I200" s="35" t="n">
        <x:f>G200*XLOOKUP(E200,'菜品主数据'!$A$5:$A$24,'菜品主数据'!$G$5:$G$24,0)</x:f>
        <x:v>65.472</x:v>
      </x:c>
    </x:row>
    <x:row r="201">
      <x:c r="A201" s="19" t="str">
        <x:v>2026-07-09|S02|D17</x:v>
      </x:c>
      <x:c r="B201" s="34" t="n">
        <x:v>46212.5</x:v>
      </x:c>
      <x:c r="C201" s="19" t="str">
        <x:v>S02</x:v>
      </x:c>
      <x:c r="D201" s="19" t="str">
        <x:v>尊宝大厦店</x:v>
      </x:c>
      <x:c r="E201" s="19" t="str">
        <x:v>D17</x:v>
      </x:c>
      <x:c r="F201" s="19" t="str">
        <x:v>蒜蓉粉丝虾</x:v>
      </x:c>
      <x:c r="G201" s="20" t="n">
        <x:f>SUMIFS('7日销售明细'!$K$5:$K$2244,'7日销售明细'!$B$5:$B$2244,B201,'7日销售明细'!$D$5:$D$2244,C201,'7日销售明细'!$H$5:$H$2244,E201)</x:f>
        <x:v>5</x:v>
      </x:c>
      <x:c r="H201" s="35" t="n">
        <x:f>SUMIFS('7日销售明细'!$L$5:$L$2244,'7日销售明细'!$B$5:$B$2244,B201,'7日销售明细'!$D$5:$D$2244,C201,'7日销售明细'!$H$5:$H$2244,E201)</x:f>
        <x:v>180</x:v>
      </x:c>
      <x:c r="I201" s="35" t="n">
        <x:f>G201*XLOOKUP(E201,'菜品主数据'!$A$5:$A$24,'菜品主数据'!$G$5:$G$24,0)</x:f>
        <x:v>67.97</x:v>
      </x:c>
    </x:row>
    <x:row r="202">
      <x:c r="A202" s="19" t="str">
        <x:v>2026-07-09|S02|D18</x:v>
      </x:c>
      <x:c r="B202" s="34" t="n">
        <x:v>46212.5</x:v>
      </x:c>
      <x:c r="C202" s="19" t="str">
        <x:v>S02</x:v>
      </x:c>
      <x:c r="D202" s="19" t="str">
        <x:v>尊宝大厦店</x:v>
      </x:c>
      <x:c r="E202" s="19" t="str">
        <x:v>D18</x:v>
      </x:c>
      <x:c r="F202" s="19" t="str">
        <x:v>青椒炒油麦菜</x:v>
      </x:c>
      <x:c r="G202" s="20" t="n">
        <x:f>SUMIFS('7日销售明细'!$K$5:$K$2244,'7日销售明细'!$B$5:$B$2244,B202,'7日销售明细'!$D$5:$D$2244,C202,'7日销售明细'!$H$5:$H$2244,E202)</x:f>
        <x:v>10</x:v>
      </x:c>
      <x:c r="H202" s="35" t="n">
        <x:f>SUMIFS('7日销售明细'!$L$5:$L$2244,'7日销售明细'!$B$5:$B$2244,B202,'7日销售明细'!$D$5:$D$2244,C202,'7日销售明细'!$H$5:$H$2244,E202)</x:f>
        <x:v>180</x:v>
      </x:c>
      <x:c r="I202" s="35" t="n">
        <x:f>G202*XLOOKUP(E202,'菜品主数据'!$A$5:$A$24,'菜品主数据'!$G$5:$G$24,0)</x:f>
        <x:v>31.75999999999999</x:v>
      </x:c>
    </x:row>
    <x:row r="203">
      <x:c r="A203" s="19" t="str">
        <x:v>2026-07-09|S02|D19</x:v>
      </x:c>
      <x:c r="B203" s="34" t="n">
        <x:v>46212.5</x:v>
      </x:c>
      <x:c r="C203" s="19" t="str">
        <x:v>S02</x:v>
      </x:c>
      <x:c r="D203" s="19" t="str">
        <x:v>尊宝大厦店</x:v>
      </x:c>
      <x:c r="E203" s="19" t="str">
        <x:v>D19</x:v>
      </x:c>
      <x:c r="F203" s="19" t="str">
        <x:v>酸萝卜炒鸡杂</x:v>
      </x:c>
      <x:c r="G203" s="20" t="n">
        <x:f>SUMIFS('7日销售明细'!$K$5:$K$2244,'7日销售明细'!$B$5:$B$2244,B203,'7日销售明细'!$D$5:$D$2244,C203,'7日销售明细'!$H$5:$H$2244,E203)</x:f>
        <x:v>6</x:v>
      </x:c>
      <x:c r="H203" s="35" t="n">
        <x:f>SUMIFS('7日销售明细'!$L$5:$L$2244,'7日销售明细'!$B$5:$B$2244,B203,'7日销售明细'!$D$5:$D$2244,C203,'7日销售明细'!$H$5:$H$2244,E203)</x:f>
        <x:v>150</x:v>
      </x:c>
      <x:c r="I203" s="35" t="n">
        <x:f>G203*XLOOKUP(E203,'菜品主数据'!$A$5:$A$24,'菜品主数据'!$G$5:$G$24,0)</x:f>
        <x:v>47.64</x:v>
      </x:c>
    </x:row>
    <x:row r="204">
      <x:c r="A204" s="19" t="str">
        <x:v>2026-07-09|S02|D20</x:v>
      </x:c>
      <x:c r="B204" s="34" t="n">
        <x:v>46212.5</x:v>
      </x:c>
      <x:c r="C204" s="19" t="str">
        <x:v>S02</x:v>
      </x:c>
      <x:c r="D204" s="19" t="str">
        <x:v>尊宝大厦店</x:v>
      </x:c>
      <x:c r="E204" s="19" t="str">
        <x:v>D20</x:v>
      </x:c>
      <x:c r="F204" s="19" t="str">
        <x:v>雪菜肉末青豆</x:v>
      </x:c>
      <x:c r="G204" s="20" t="n">
        <x:f>SUMIFS('7日销售明细'!$K$5:$K$2244,'7日销售明细'!$B$5:$B$2244,B204,'7日销售明细'!$D$5:$D$2244,C204,'7日销售明细'!$H$5:$H$2244,E204)</x:f>
        <x:v>10</x:v>
      </x:c>
      <x:c r="H204" s="35" t="n">
        <x:f>SUMIFS('7日销售明细'!$L$5:$L$2244,'7日销售明细'!$B$5:$B$2244,B204,'7日销售明细'!$D$5:$D$2244,C204,'7日销售明细'!$H$5:$H$2244,E204)</x:f>
        <x:v>180</x:v>
      </x:c>
      <x:c r="I204" s="35" t="n">
        <x:f>G204*XLOOKUP(E204,'菜品主数据'!$A$5:$A$24,'菜品主数据'!$G$5:$G$24,0)</x:f>
        <x:v>73.03999999999999</x:v>
      </x:c>
    </x:row>
    <x:row r="205">
      <x:c r="A205" s="19" t="str">
        <x:v>2026-07-10|S02|D01</x:v>
      </x:c>
      <x:c r="B205" s="34" t="n">
        <x:v>46213.5</x:v>
      </x:c>
      <x:c r="C205" s="19" t="str">
        <x:v>S02</x:v>
      </x:c>
      <x:c r="D205" s="19" t="str">
        <x:v>尊宝大厦店</x:v>
      </x:c>
      <x:c r="E205" s="19" t="str">
        <x:v>D01</x:v>
      </x:c>
      <x:c r="F205" s="19" t="str">
        <x:v>辣椒炒肉</x:v>
      </x:c>
      <x:c r="G205" s="20" t="n">
        <x:f>SUMIFS('7日销售明细'!$K$5:$K$2244,'7日销售明细'!$B$5:$B$2244,B205,'7日销售明细'!$D$5:$D$2244,C205,'7日销售明细'!$H$5:$H$2244,E205)</x:f>
        <x:v>57</x:v>
      </x:c>
      <x:c r="H205" s="35" t="n">
        <x:f>SUMIFS('7日销售明细'!$L$5:$L$2244,'7日销售明细'!$B$5:$B$2244,B205,'7日销售明细'!$D$5:$D$2244,C205,'7日销售明细'!$H$5:$H$2244,E205)</x:f>
        <x:v>1653</x:v>
      </x:c>
      <x:c r="I205" s="35" t="n">
        <x:f>G205*XLOOKUP(E205,'菜品主数据'!$A$5:$A$24,'菜品主数据'!$G$5:$G$24,0)</x:f>
        <x:v>492.16080000000005</x:v>
      </x:c>
    </x:row>
    <x:row r="206">
      <x:c r="A206" s="19" t="str">
        <x:v>2026-07-10|S02|D02</x:v>
      </x:c>
      <x:c r="B206" s="34" t="n">
        <x:v>46213.5</x:v>
      </x:c>
      <x:c r="C206" s="19" t="str">
        <x:v>S02</x:v>
      </x:c>
      <x:c r="D206" s="19" t="str">
        <x:v>尊宝大厦店</x:v>
      </x:c>
      <x:c r="E206" s="19" t="str">
        <x:v>D02</x:v>
      </x:c>
      <x:c r="F206" s="19" t="str">
        <x:v>小炒黄牛肉</x:v>
      </x:c>
      <x:c r="G206" s="20" t="n">
        <x:f>SUMIFS('7日销售明细'!$K$5:$K$2244,'7日销售明细'!$B$5:$B$2244,B206,'7日销售明细'!$D$5:$D$2244,C206,'7日销售明细'!$H$5:$H$2244,E206)</x:f>
        <x:v>33</x:v>
      </x:c>
      <x:c r="H206" s="35" t="n">
        <x:f>SUMIFS('7日销售明细'!$L$5:$L$2244,'7日销售明细'!$B$5:$B$2244,B206,'7日销售明细'!$D$5:$D$2244,C206,'7日销售明细'!$H$5:$H$2244,E206)</x:f>
        <x:v>1617</x:v>
      </x:c>
      <x:c r="I206" s="35" t="n">
        <x:f>G206*XLOOKUP(E206,'菜品主数据'!$A$5:$A$24,'菜品主数据'!$G$5:$G$24,0)</x:f>
        <x:v>580.041</x:v>
      </x:c>
    </x:row>
    <x:row r="207">
      <x:c r="A207" s="19" t="str">
        <x:v>2026-07-10|S02|D03</x:v>
      </x:c>
      <x:c r="B207" s="34" t="n">
        <x:v>46213.5</x:v>
      </x:c>
      <x:c r="C207" s="19" t="str">
        <x:v>S02</x:v>
      </x:c>
      <x:c r="D207" s="19" t="str">
        <x:v>尊宝大厦店</x:v>
      </x:c>
      <x:c r="E207" s="19" t="str">
        <x:v>D03</x:v>
      </x:c>
      <x:c r="F207" s="19" t="str">
        <x:v>香醋炒蛋</x:v>
      </x:c>
      <x:c r="G207" s="20" t="n">
        <x:f>SUMIFS('7日销售明细'!$K$5:$K$2244,'7日销售明细'!$B$5:$B$2244,B207,'7日销售明细'!$D$5:$D$2244,C207,'7日销售明细'!$H$5:$H$2244,E207)</x:f>
        <x:v>44</x:v>
      </x:c>
      <x:c r="H207" s="35" t="n">
        <x:f>SUMIFS('7日销售明细'!$L$5:$L$2244,'7日销售明细'!$B$5:$B$2244,B207,'7日销售明细'!$D$5:$D$2244,C207,'7日销售明细'!$H$5:$H$2244,E207)</x:f>
        <x:v>655.6</x:v>
      </x:c>
      <x:c r="I207" s="35" t="n">
        <x:f>G207*XLOOKUP(E207,'菜品主数据'!$A$5:$A$24,'菜品主数据'!$G$5:$G$24,0)</x:f>
        <x:v>164.82399999999998</x:v>
      </x:c>
    </x:row>
    <x:row r="208">
      <x:c r="A208" s="19" t="str">
        <x:v>2026-07-10|S02|D04</x:v>
      </x:c>
      <x:c r="B208" s="34" t="n">
        <x:v>46213.5</x:v>
      </x:c>
      <x:c r="C208" s="19" t="str">
        <x:v>S02</x:v>
      </x:c>
      <x:c r="D208" s="19" t="str">
        <x:v>尊宝大厦店</x:v>
      </x:c>
      <x:c r="E208" s="19" t="str">
        <x:v>D04</x:v>
      </x:c>
      <x:c r="F208" s="19" t="str">
        <x:v>酸包菜炒粉皮</x:v>
      </x:c>
      <x:c r="G208" s="20" t="n">
        <x:f>SUMIFS('7日销售明细'!$K$5:$K$2244,'7日销售明细'!$B$5:$B$2244,B208,'7日销售明细'!$D$5:$D$2244,C208,'7日销售明细'!$H$5:$H$2244,E208)</x:f>
        <x:v>42</x:v>
      </x:c>
      <x:c r="H208" s="35" t="n">
        <x:f>SUMIFS('7日销售明细'!$L$5:$L$2244,'7日销售明细'!$B$5:$B$2244,B208,'7日销售明细'!$D$5:$D$2244,C208,'7日销售明细'!$H$5:$H$2244,E208)</x:f>
        <x:v>672</x:v>
      </x:c>
      <x:c r="I208" s="35" t="n">
        <x:f>G208*XLOOKUP(E208,'菜品主数据'!$A$5:$A$24,'菜品主数据'!$G$5:$G$24,0)</x:f>
        <x:v>167.07600000000002</x:v>
      </x:c>
    </x:row>
    <x:row r="209">
      <x:c r="A209" s="19" t="str">
        <x:v>2026-07-10|S02|D05</x:v>
      </x:c>
      <x:c r="B209" s="34" t="n">
        <x:v>46213.5</x:v>
      </x:c>
      <x:c r="C209" s="19" t="str">
        <x:v>S02</x:v>
      </x:c>
      <x:c r="D209" s="19" t="str">
        <x:v>尊宝大厦店</x:v>
      </x:c>
      <x:c r="E209" s="19" t="str">
        <x:v>D05</x:v>
      </x:c>
      <x:c r="F209" s="19" t="str">
        <x:v>麻婆豆腐</x:v>
      </x:c>
      <x:c r="G209" s="20" t="n">
        <x:f>SUMIFS('7日销售明细'!$K$5:$K$2244,'7日销售明细'!$B$5:$B$2244,B209,'7日销售明细'!$D$5:$D$2244,C209,'7日销售明细'!$H$5:$H$2244,E209)</x:f>
        <x:v>57</x:v>
      </x:c>
      <x:c r="H209" s="35" t="n">
        <x:f>SUMIFS('7日销售明细'!$L$5:$L$2244,'7日销售明细'!$B$5:$B$2244,B209,'7日销售明细'!$D$5:$D$2244,C209,'7日销售明细'!$H$5:$H$2244,E209)</x:f>
        <x:v>564.3000000000001</x:v>
      </x:c>
      <x:c r="I209" s="35" t="n">
        <x:f>G209*XLOOKUP(E209,'菜品主数据'!$A$5:$A$24,'菜品主数据'!$G$5:$G$24,0)</x:f>
        <x:v>305.91900000000004</x:v>
      </x:c>
    </x:row>
    <x:row r="210">
      <x:c r="A210" s="19" t="str">
        <x:v>2026-07-10|S02|D06</x:v>
      </x:c>
      <x:c r="B210" s="34" t="n">
        <x:v>46213.5</x:v>
      </x:c>
      <x:c r="C210" s="19" t="str">
        <x:v>S02</x:v>
      </x:c>
      <x:c r="D210" s="19" t="str">
        <x:v>尊宝大厦店</x:v>
      </x:c>
      <x:c r="E210" s="19" t="str">
        <x:v>D06</x:v>
      </x:c>
      <x:c r="F210" s="19" t="str">
        <x:v>剁椒鱼头</x:v>
      </x:c>
      <x:c r="G210" s="20" t="n">
        <x:f>SUMIFS('7日销售明细'!$K$5:$K$2244,'7日销售明细'!$B$5:$B$2244,B210,'7日销售明细'!$D$5:$D$2244,C210,'7日销售明细'!$H$5:$H$2244,E210)</x:f>
        <x:v>14</x:v>
      </x:c>
      <x:c r="H210" s="35" t="n">
        <x:f>SUMIFS('7日销售明细'!$L$5:$L$2244,'7日销售明细'!$B$5:$B$2244,B210,'7日销售明细'!$D$5:$D$2244,C210,'7日销售明细'!$H$5:$H$2244,E210)</x:f>
        <x:v>546</x:v>
      </x:c>
      <x:c r="I210" s="35" t="n">
        <x:f>G210*XLOOKUP(E210,'菜品主数据'!$A$5:$A$24,'菜品主数据'!$G$5:$G$24,0)</x:f>
        <x:v>244.24400000000003</x:v>
      </x:c>
    </x:row>
    <x:row r="211">
      <x:c r="A211" s="19" t="str">
        <x:v>2026-07-10|S02|D07</x:v>
      </x:c>
      <x:c r="B211" s="34" t="n">
        <x:v>46213.5</x:v>
      </x:c>
      <x:c r="C211" s="19" t="str">
        <x:v>S02</x:v>
      </x:c>
      <x:c r="D211" s="19" t="str">
        <x:v>尊宝大厦店</x:v>
      </x:c>
      <x:c r="E211" s="19" t="str">
        <x:v>D07</x:v>
      </x:c>
      <x:c r="F211" s="19" t="str">
        <x:v>川味回锅肉</x:v>
      </x:c>
      <x:c r="G211" s="20" t="n">
        <x:f>SUMIFS('7日销售明细'!$K$5:$K$2244,'7日销售明细'!$B$5:$B$2244,B211,'7日销售明细'!$D$5:$D$2244,C211,'7日销售明细'!$H$5:$H$2244,E211)</x:f>
        <x:v>16</x:v>
      </x:c>
      <x:c r="H211" s="35" t="n">
        <x:f>SUMIFS('7日销售明细'!$L$5:$L$2244,'7日销售明细'!$B$5:$B$2244,B211,'7日销售明细'!$D$5:$D$2244,C211,'7日销售明细'!$H$5:$H$2244,E211)</x:f>
        <x:v>464</x:v>
      </x:c>
      <x:c r="I211" s="35" t="n">
        <x:f>G211*XLOOKUP(E211,'菜品主数据'!$A$5:$A$24,'菜品主数据'!$G$5:$G$24,0)</x:f>
        <x:v>163.69600000000003</x:v>
      </x:c>
    </x:row>
    <x:row r="212">
      <x:c r="A212" s="19" t="str">
        <x:v>2026-07-10|S02|D08</x:v>
      </x:c>
      <x:c r="B212" s="34" t="n">
        <x:v>46213.5</x:v>
      </x:c>
      <x:c r="C212" s="19" t="str">
        <x:v>S02</x:v>
      </x:c>
      <x:c r="D212" s="19" t="str">
        <x:v>尊宝大厦店</x:v>
      </x:c>
      <x:c r="E212" s="19" t="str">
        <x:v>D08</x:v>
      </x:c>
      <x:c r="F212" s="19" t="str">
        <x:v>生炒清远鸡</x:v>
      </x:c>
      <x:c r="G212" s="20" t="n">
        <x:f>SUMIFS('7日销售明细'!$K$5:$K$2244,'7日销售明细'!$B$5:$B$2244,B212,'7日销售明细'!$D$5:$D$2244,C212,'7日销售明细'!$H$5:$H$2244,E212)</x:f>
        <x:v>13</x:v>
      </x:c>
      <x:c r="H212" s="35" t="n">
        <x:f>SUMIFS('7日销售明细'!$L$5:$L$2244,'7日销售明细'!$B$5:$B$2244,B212,'7日销售明细'!$D$5:$D$2244,C212,'7日销售明细'!$H$5:$H$2244,E212)</x:f>
        <x:v>468</x:v>
      </x:c>
      <x:c r="I212" s="35" t="n">
        <x:f>G212*XLOOKUP(E212,'菜品主数据'!$A$5:$A$24,'菜品主数据'!$G$5:$G$24,0)</x:f>
        <x:v>175.24</x:v>
      </x:c>
    </x:row>
    <x:row r="213">
      <x:c r="A213" s="19" t="str">
        <x:v>2026-07-10|S02|D09</x:v>
      </x:c>
      <x:c r="B213" s="34" t="n">
        <x:v>46213.5</x:v>
      </x:c>
      <x:c r="C213" s="19" t="str">
        <x:v>S02</x:v>
      </x:c>
      <x:c r="D213" s="19" t="str">
        <x:v>尊宝大厦店</x:v>
      </x:c>
      <x:c r="E213" s="19" t="str">
        <x:v>D09</x:v>
      </x:c>
      <x:c r="F213" s="19" t="str">
        <x:v>炒豆干</x:v>
      </x:c>
      <x:c r="G213" s="20" t="n">
        <x:f>SUMIFS('7日销售明细'!$K$5:$K$2244,'7日销售明细'!$B$5:$B$2244,B213,'7日销售明细'!$D$5:$D$2244,C213,'7日销售明细'!$H$5:$H$2244,E213)</x:f>
        <x:v>18</x:v>
      </x:c>
      <x:c r="H213" s="35" t="n">
        <x:f>SUMIFS('7日销售明细'!$L$5:$L$2244,'7日销售明细'!$B$5:$B$2244,B213,'7日销售明细'!$D$5:$D$2244,C213,'7日销售明细'!$H$5:$H$2244,E213)</x:f>
        <x:v>324</x:v>
      </x:c>
      <x:c r="I213" s="35" t="n">
        <x:f>G213*XLOOKUP(E213,'菜品主数据'!$A$5:$A$24,'菜品主数据'!$G$5:$G$24,0)</x:f>
        <x:v>119.05199999999998</x:v>
      </x:c>
    </x:row>
    <x:row r="214">
      <x:c r="A214" s="19" t="str">
        <x:v>2026-07-10|S02|D10</x:v>
      </x:c>
      <x:c r="B214" s="34" t="n">
        <x:v>46213.5</x:v>
      </x:c>
      <x:c r="C214" s="19" t="str">
        <x:v>S02</x:v>
      </x:c>
      <x:c r="D214" s="19" t="str">
        <x:v>尊宝大厦店</x:v>
      </x:c>
      <x:c r="E214" s="19" t="str">
        <x:v>D10</x:v>
      </x:c>
      <x:c r="F214" s="19" t="str">
        <x:v>农家一碗香</x:v>
      </x:c>
      <x:c r="G214" s="20" t="n">
        <x:f>SUMIFS('7日销售明细'!$K$5:$K$2244,'7日销售明细'!$B$5:$B$2244,B214,'7日销售明细'!$D$5:$D$2244,C214,'7日销售明细'!$H$5:$H$2244,E214)</x:f>
        <x:v>19</x:v>
      </x:c>
      <x:c r="H214" s="35" t="n">
        <x:f>SUMIFS('7日销售明细'!$L$5:$L$2244,'7日销售明细'!$B$5:$B$2244,B214,'7日销售明细'!$D$5:$D$2244,C214,'7日销售明细'!$H$5:$H$2244,E214)</x:f>
        <x:v>435.09999999999997</x:v>
      </x:c>
      <x:c r="I214" s="35" t="n">
        <x:f>G214*XLOOKUP(E214,'菜品主数据'!$A$5:$A$24,'菜品主数据'!$G$5:$G$24,0)</x:f>
        <x:v>185.63380000000006</x:v>
      </x:c>
    </x:row>
    <x:row r="215">
      <x:c r="A215" s="19" t="str">
        <x:v>2026-07-10|S02|D11</x:v>
      </x:c>
      <x:c r="B215" s="34" t="n">
        <x:v>46213.5</x:v>
      </x:c>
      <x:c r="C215" s="19" t="str">
        <x:v>S02</x:v>
      </x:c>
      <x:c r="D215" s="19" t="str">
        <x:v>尊宝大厦店</x:v>
      </x:c>
      <x:c r="E215" s="19" t="str">
        <x:v>D11</x:v>
      </x:c>
      <x:c r="F215" s="19" t="str">
        <x:v>香辣爆肥肠</x:v>
      </x:c>
      <x:c r="G215" s="20" t="n">
        <x:f>SUMIFS('7日销售明细'!$K$5:$K$2244,'7日销售明细'!$B$5:$B$2244,B215,'7日销售明细'!$D$5:$D$2244,C215,'7日销售明细'!$H$5:$H$2244,E215)</x:f>
        <x:v>7</x:v>
      </x:c>
      <x:c r="H215" s="35" t="n">
        <x:f>SUMIFS('7日销售明细'!$L$5:$L$2244,'7日销售明细'!$B$5:$B$2244,B215,'7日销售明细'!$D$5:$D$2244,C215,'7日销售明细'!$H$5:$H$2244,E215)</x:f>
        <x:v>273</x:v>
      </x:c>
      <x:c r="I215" s="35" t="n">
        <x:f>G215*XLOOKUP(E215,'菜品主数据'!$A$5:$A$24,'菜品主数据'!$G$5:$G$24,0)</x:f>
        <x:v>72.779</x:v>
      </x:c>
    </x:row>
    <x:row r="216">
      <x:c r="A216" s="19" t="str">
        <x:v>2026-07-10|S02|D12</x:v>
      </x:c>
      <x:c r="B216" s="34" t="n">
        <x:v>46213.5</x:v>
      </x:c>
      <x:c r="C216" s="19" t="str">
        <x:v>S02</x:v>
      </x:c>
      <x:c r="D216" s="19" t="str">
        <x:v>尊宝大厦店</x:v>
      </x:c>
      <x:c r="E216" s="19" t="str">
        <x:v>D12</x:v>
      </x:c>
      <x:c r="F216" s="19" t="str">
        <x:v>清蒸鲈鱼</x:v>
      </x:c>
      <x:c r="G216" s="20" t="n">
        <x:f>SUMIFS('7日销售明细'!$K$5:$K$2244,'7日销售明细'!$B$5:$B$2244,B216,'7日销售明细'!$D$5:$D$2244,C216,'7日销售明细'!$H$5:$H$2244,E216)</x:f>
        <x:v>7</x:v>
      </x:c>
      <x:c r="H216" s="35" t="n">
        <x:f>SUMIFS('7日销售明细'!$L$5:$L$2244,'7日销售明细'!$B$5:$B$2244,B216,'7日销售明细'!$D$5:$D$2244,C216,'7日销售明细'!$H$5:$H$2244,E216)</x:f>
        <x:v>273</x:v>
      </x:c>
      <x:c r="I216" s="35" t="n">
        <x:f>G216*XLOOKUP(E216,'菜品主数据'!$A$5:$A$24,'菜品主数据'!$G$5:$G$24,0)</x:f>
        <x:v>132.118</x:v>
      </x:c>
    </x:row>
    <x:row r="217">
      <x:c r="A217" s="19" t="str">
        <x:v>2026-07-10|S02|D13</x:v>
      </x:c>
      <x:c r="B217" s="34" t="n">
        <x:v>46213.5</x:v>
      </x:c>
      <x:c r="C217" s="19" t="str">
        <x:v>S02</x:v>
      </x:c>
      <x:c r="D217" s="19" t="str">
        <x:v>尊宝大厦店</x:v>
      </x:c>
      <x:c r="E217" s="19" t="str">
        <x:v>D13</x:v>
      </x:c>
      <x:c r="F217" s="19" t="str">
        <x:v>外婆菜炒蛋</x:v>
      </x:c>
      <x:c r="G217" s="20" t="n">
        <x:f>SUMIFS('7日销售明细'!$K$5:$K$2244,'7日销售明细'!$B$5:$B$2244,B217,'7日销售明细'!$D$5:$D$2244,C217,'7日销售明细'!$H$5:$H$2244,E217)</x:f>
        <x:v>16</x:v>
      </x:c>
      <x:c r="H217" s="35" t="n">
        <x:f>SUMIFS('7日销售明细'!$L$5:$L$2244,'7日销售明细'!$B$5:$B$2244,B217,'7日销售明细'!$D$5:$D$2244,C217,'7日销售明细'!$H$5:$H$2244,E217)</x:f>
        <x:v>288</x:v>
      </x:c>
      <x:c r="I217" s="35" t="n">
        <x:f>G217*XLOOKUP(E217,'菜品主数据'!$A$5:$A$24,'菜品主数据'!$G$5:$G$24,0)</x:f>
        <x:v>86.46399999999998</x:v>
      </x:c>
    </x:row>
    <x:row r="218">
      <x:c r="A218" s="19" t="str">
        <x:v>2026-07-10|S02|D14</x:v>
      </x:c>
      <x:c r="B218" s="34" t="n">
        <x:v>46213.5</x:v>
      </x:c>
      <x:c r="C218" s="19" t="str">
        <x:v>S02</x:v>
      </x:c>
      <x:c r="D218" s="19" t="str">
        <x:v>尊宝大厦店</x:v>
      </x:c>
      <x:c r="E218" s="19" t="str">
        <x:v>D14</x:v>
      </x:c>
      <x:c r="F218" s="19" t="str">
        <x:v>酸辣鸡杂</x:v>
      </x:c>
      <x:c r="G218" s="20" t="n">
        <x:f>SUMIFS('7日销售明细'!$K$5:$K$2244,'7日销售明细'!$B$5:$B$2244,B218,'7日销售明细'!$D$5:$D$2244,C218,'7日销售明细'!$H$5:$H$2244,E218)</x:f>
        <x:v>9</x:v>
      </x:c>
      <x:c r="H218" s="35" t="n">
        <x:f>SUMIFS('7日销售明细'!$L$5:$L$2244,'7日销售明细'!$B$5:$B$2244,B218,'7日销售明细'!$D$5:$D$2244,C218,'7日销售明细'!$H$5:$H$2244,E218)</x:f>
        <x:v>252</x:v>
      </x:c>
      <x:c r="I218" s="35" t="n">
        <x:f>G218*XLOOKUP(E218,'菜品主数据'!$A$5:$A$24,'菜品主数据'!$G$5:$G$24,0)</x:f>
        <x:v>74.83500000000001</x:v>
      </x:c>
    </x:row>
    <x:row r="219">
      <x:c r="A219" s="19" t="str">
        <x:v>2026-07-10|S02|D15</x:v>
      </x:c>
      <x:c r="B219" s="34" t="n">
        <x:v>46213.5</x:v>
      </x:c>
      <x:c r="C219" s="19" t="str">
        <x:v>S02</x:v>
      </x:c>
      <x:c r="D219" s="19" t="str">
        <x:v>尊宝大厦店</x:v>
      </x:c>
      <x:c r="E219" s="19" t="str">
        <x:v>D15</x:v>
      </x:c>
      <x:c r="F219" s="19" t="str">
        <x:v>湘西土匪猪肝</x:v>
      </x:c>
      <x:c r="G219" s="20" t="n">
        <x:f>SUMIFS('7日销售明细'!$K$5:$K$2244,'7日销售明细'!$B$5:$B$2244,B219,'7日销售明细'!$D$5:$D$2244,C219,'7日销售明细'!$H$5:$H$2244,E219)</x:f>
        <x:v>8</x:v>
      </x:c>
      <x:c r="H219" s="35" t="n">
        <x:f>SUMIFS('7日销售明细'!$L$5:$L$2244,'7日销售明细'!$B$5:$B$2244,B219,'7日销售明细'!$D$5:$D$2244,C219,'7日销售明细'!$H$5:$H$2244,E219)</x:f>
        <x:v>208</x:v>
      </x:c>
      <x:c r="I219" s="35" t="n">
        <x:f>G219*XLOOKUP(E219,'菜品主数据'!$A$5:$A$24,'菜品主数据'!$G$5:$G$24,0)</x:f>
        <x:v>51.007999999999996</x:v>
      </x:c>
    </x:row>
    <x:row r="220">
      <x:c r="A220" s="19" t="str">
        <x:v>2026-07-10|S02|D16</x:v>
      </x:c>
      <x:c r="B220" s="34" t="n">
        <x:v>46213.5</x:v>
      </x:c>
      <x:c r="C220" s="19" t="str">
        <x:v>S02</x:v>
      </x:c>
      <x:c r="D220" s="19" t="str">
        <x:v>尊宝大厦店</x:v>
      </x:c>
      <x:c r="E220" s="19" t="str">
        <x:v>D16</x:v>
      </x:c>
      <x:c r="F220" s="19" t="str">
        <x:v>小豆角炒五花</x:v>
      </x:c>
      <x:c r="G220" s="20" t="n">
        <x:f>SUMIFS('7日销售明细'!$K$5:$K$2244,'7日销售明细'!$B$5:$B$2244,B220,'7日销售明细'!$D$5:$D$2244,C220,'7日销售明细'!$H$5:$H$2244,E220)</x:f>
        <x:v>8</x:v>
      </x:c>
      <x:c r="H220" s="35" t="n">
        <x:f>SUMIFS('7日销售明细'!$L$5:$L$2244,'7日销售明细'!$B$5:$B$2244,B220,'7日销售明细'!$D$5:$D$2244,C220,'7日销售明细'!$H$5:$H$2244,E220)</x:f>
        <x:v>200</x:v>
      </x:c>
      <x:c r="I220" s="35" t="n">
        <x:f>G220*XLOOKUP(E220,'菜品主数据'!$A$5:$A$24,'菜品主数据'!$G$5:$G$24,0)</x:f>
        <x:v>65.472</x:v>
      </x:c>
    </x:row>
    <x:row r="221">
      <x:c r="A221" s="19" t="str">
        <x:v>2026-07-10|S02|D17</x:v>
      </x:c>
      <x:c r="B221" s="34" t="n">
        <x:v>46213.5</x:v>
      </x:c>
      <x:c r="C221" s="19" t="str">
        <x:v>S02</x:v>
      </x:c>
      <x:c r="D221" s="19" t="str">
        <x:v>尊宝大厦店</x:v>
      </x:c>
      <x:c r="E221" s="19" t="str">
        <x:v>D17</x:v>
      </x:c>
      <x:c r="F221" s="19" t="str">
        <x:v>蒜蓉粉丝虾</x:v>
      </x:c>
      <x:c r="G221" s="20" t="n">
        <x:f>SUMIFS('7日销售明细'!$K$5:$K$2244,'7日销售明细'!$B$5:$B$2244,B221,'7日销售明细'!$D$5:$D$2244,C221,'7日销售明细'!$H$5:$H$2244,E221)</x:f>
        <x:v>6</x:v>
      </x:c>
      <x:c r="H221" s="35" t="n">
        <x:f>SUMIFS('7日销售明细'!$L$5:$L$2244,'7日销售明细'!$B$5:$B$2244,B221,'7日销售明细'!$D$5:$D$2244,C221,'7日销售明细'!$H$5:$H$2244,E221)</x:f>
        <x:v>216</x:v>
      </x:c>
      <x:c r="I221" s="35" t="n">
        <x:f>G221*XLOOKUP(E221,'菜品主数据'!$A$5:$A$24,'菜品主数据'!$G$5:$G$24,0)</x:f>
        <x:v>81.564</x:v>
      </x:c>
    </x:row>
    <x:row r="222">
      <x:c r="A222" s="19" t="str">
        <x:v>2026-07-10|S02|D18</x:v>
      </x:c>
      <x:c r="B222" s="34" t="n">
        <x:v>46213.5</x:v>
      </x:c>
      <x:c r="C222" s="19" t="str">
        <x:v>S02</x:v>
      </x:c>
      <x:c r="D222" s="19" t="str">
        <x:v>尊宝大厦店</x:v>
      </x:c>
      <x:c r="E222" s="19" t="str">
        <x:v>D18</x:v>
      </x:c>
      <x:c r="F222" s="19" t="str">
        <x:v>青椒炒油麦菜</x:v>
      </x:c>
      <x:c r="G222" s="20" t="n">
        <x:f>SUMIFS('7日销售明细'!$K$5:$K$2244,'7日销售明细'!$B$5:$B$2244,B222,'7日销售明细'!$D$5:$D$2244,C222,'7日销售明细'!$H$5:$H$2244,E222)</x:f>
        <x:v>10</x:v>
      </x:c>
      <x:c r="H222" s="35" t="n">
        <x:f>SUMIFS('7日销售明细'!$L$5:$L$2244,'7日销售明细'!$B$5:$B$2244,B222,'7日销售明细'!$D$5:$D$2244,C222,'7日销售明细'!$H$5:$H$2244,E222)</x:f>
        <x:v>180</x:v>
      </x:c>
      <x:c r="I222" s="35" t="n">
        <x:f>G222*XLOOKUP(E222,'菜品主数据'!$A$5:$A$24,'菜品主数据'!$G$5:$G$24,0)</x:f>
        <x:v>31.75999999999999</x:v>
      </x:c>
    </x:row>
    <x:row r="223">
      <x:c r="A223" s="19" t="str">
        <x:v>2026-07-10|S02|D19</x:v>
      </x:c>
      <x:c r="B223" s="34" t="n">
        <x:v>46213.5</x:v>
      </x:c>
      <x:c r="C223" s="19" t="str">
        <x:v>S02</x:v>
      </x:c>
      <x:c r="D223" s="19" t="str">
        <x:v>尊宝大厦店</x:v>
      </x:c>
      <x:c r="E223" s="19" t="str">
        <x:v>D19</x:v>
      </x:c>
      <x:c r="F223" s="19" t="str">
        <x:v>酸萝卜炒鸡杂</x:v>
      </x:c>
      <x:c r="G223" s="20" t="n">
        <x:f>SUMIFS('7日销售明细'!$K$5:$K$2244,'7日销售明细'!$B$5:$B$2244,B223,'7日销售明细'!$D$5:$D$2244,C223,'7日销售明细'!$H$5:$H$2244,E223)</x:f>
        <x:v>6</x:v>
      </x:c>
      <x:c r="H223" s="35" t="n">
        <x:f>SUMIFS('7日销售明细'!$L$5:$L$2244,'7日销售明细'!$B$5:$B$2244,B223,'7日销售明细'!$D$5:$D$2244,C223,'7日销售明细'!$H$5:$H$2244,E223)</x:f>
        <x:v>150</x:v>
      </x:c>
      <x:c r="I223" s="35" t="n">
        <x:f>G223*XLOOKUP(E223,'菜品主数据'!$A$5:$A$24,'菜品主数据'!$G$5:$G$24,0)</x:f>
        <x:v>47.64</x:v>
      </x:c>
    </x:row>
    <x:row r="224">
      <x:c r="A224" s="19" t="str">
        <x:v>2026-07-10|S02|D20</x:v>
      </x:c>
      <x:c r="B224" s="34" t="n">
        <x:v>46213.5</x:v>
      </x:c>
      <x:c r="C224" s="19" t="str">
        <x:v>S02</x:v>
      </x:c>
      <x:c r="D224" s="19" t="str">
        <x:v>尊宝大厦店</x:v>
      </x:c>
      <x:c r="E224" s="19" t="str">
        <x:v>D20</x:v>
      </x:c>
      <x:c r="F224" s="19" t="str">
        <x:v>雪菜肉末青豆</x:v>
      </x:c>
      <x:c r="G224" s="20" t="n">
        <x:f>SUMIFS('7日销售明细'!$K$5:$K$2244,'7日销售明细'!$B$5:$B$2244,B224,'7日销售明细'!$D$5:$D$2244,C224,'7日销售明细'!$H$5:$H$2244,E224)</x:f>
        <x:v>10</x:v>
      </x:c>
      <x:c r="H224" s="35" t="n">
        <x:f>SUMIFS('7日销售明细'!$L$5:$L$2244,'7日销售明细'!$B$5:$B$2244,B224,'7日销售明细'!$D$5:$D$2244,C224,'7日销售明细'!$H$5:$H$2244,E224)</x:f>
        <x:v>180</x:v>
      </x:c>
      <x:c r="I224" s="35" t="n">
        <x:f>G224*XLOOKUP(E224,'菜品主数据'!$A$5:$A$24,'菜品主数据'!$G$5:$G$24,0)</x:f>
        <x:v>73.03999999999999</x:v>
      </x:c>
    </x:row>
    <x:row r="225">
      <x:c r="A225" s="19" t="str">
        <x:v>2026-07-11|S02|D01</x:v>
      </x:c>
      <x:c r="B225" s="34" t="n">
        <x:v>46214.5</x:v>
      </x:c>
      <x:c r="C225" s="19" t="str">
        <x:v>S02</x:v>
      </x:c>
      <x:c r="D225" s="19" t="str">
        <x:v>尊宝大厦店</x:v>
      </x:c>
      <x:c r="E225" s="19" t="str">
        <x:v>D01</x:v>
      </x:c>
      <x:c r="F225" s="19" t="str">
        <x:v>辣椒炒肉</x:v>
      </x:c>
      <x:c r="G225" s="20" t="n">
        <x:f>SUMIFS('7日销售明细'!$K$5:$K$2244,'7日销售明细'!$B$5:$B$2244,B225,'7日销售明细'!$D$5:$D$2244,C225,'7日销售明细'!$H$5:$H$2244,E225)</x:f>
        <x:v>40</x:v>
      </x:c>
      <x:c r="H225" s="35" t="n">
        <x:f>SUMIFS('7日销售明细'!$L$5:$L$2244,'7日销售明细'!$B$5:$B$2244,B225,'7日销售明细'!$D$5:$D$2244,C225,'7日销售明细'!$H$5:$H$2244,E225)</x:f>
        <x:v>1160</x:v>
      </x:c>
      <x:c r="I225" s="35" t="n">
        <x:f>G225*XLOOKUP(E225,'菜品主数据'!$A$5:$A$24,'菜品主数据'!$G$5:$G$24,0)</x:f>
        <x:v>345.37600000000003</x:v>
      </x:c>
    </x:row>
    <x:row r="226">
      <x:c r="A226" s="19" t="str">
        <x:v>2026-07-11|S02|D02</x:v>
      </x:c>
      <x:c r="B226" s="34" t="n">
        <x:v>46214.5</x:v>
      </x:c>
      <x:c r="C226" s="19" t="str">
        <x:v>S02</x:v>
      </x:c>
      <x:c r="D226" s="19" t="str">
        <x:v>尊宝大厦店</x:v>
      </x:c>
      <x:c r="E226" s="19" t="str">
        <x:v>D02</x:v>
      </x:c>
      <x:c r="F226" s="19" t="str">
        <x:v>小炒黄牛肉</x:v>
      </x:c>
      <x:c r="G226" s="20" t="n">
        <x:f>SUMIFS('7日销售明细'!$K$5:$K$2244,'7日销售明细'!$B$5:$B$2244,B226,'7日销售明细'!$D$5:$D$2244,C226,'7日销售明细'!$H$5:$H$2244,E226)</x:f>
        <x:v>29</x:v>
      </x:c>
      <x:c r="H226" s="35" t="n">
        <x:f>SUMIFS('7日销售明细'!$L$5:$L$2244,'7日销售明细'!$B$5:$B$2244,B226,'7日销售明细'!$D$5:$D$2244,C226,'7日销售明细'!$H$5:$H$2244,E226)</x:f>
        <x:v>1421</x:v>
      </x:c>
      <x:c r="I226" s="35" t="n">
        <x:f>G226*XLOOKUP(E226,'菜品主数据'!$A$5:$A$24,'菜品主数据'!$G$5:$G$24,0)</x:f>
        <x:v>509.73300000000006</x:v>
      </x:c>
    </x:row>
    <x:row r="227">
      <x:c r="A227" s="19" t="str">
        <x:v>2026-07-11|S02|D03</x:v>
      </x:c>
      <x:c r="B227" s="34" t="n">
        <x:v>46214.5</x:v>
      </x:c>
      <x:c r="C227" s="19" t="str">
        <x:v>S02</x:v>
      </x:c>
      <x:c r="D227" s="19" t="str">
        <x:v>尊宝大厦店</x:v>
      </x:c>
      <x:c r="E227" s="19" t="str">
        <x:v>D03</x:v>
      </x:c>
      <x:c r="F227" s="19" t="str">
        <x:v>香醋炒蛋</x:v>
      </x:c>
      <x:c r="G227" s="20" t="n">
        <x:f>SUMIFS('7日销售明细'!$K$5:$K$2244,'7日销售明细'!$B$5:$B$2244,B227,'7日销售明细'!$D$5:$D$2244,C227,'7日销售明细'!$H$5:$H$2244,E227)</x:f>
        <x:v>32</x:v>
      </x:c>
      <x:c r="H227" s="35" t="n">
        <x:f>SUMIFS('7日销售明细'!$L$5:$L$2244,'7日销售明细'!$B$5:$B$2244,B227,'7日销售明细'!$D$5:$D$2244,C227,'7日销售明细'!$H$5:$H$2244,E227)</x:f>
        <x:v>476.8</x:v>
      </x:c>
      <x:c r="I227" s="35" t="n">
        <x:f>G227*XLOOKUP(E227,'菜品主数据'!$A$5:$A$24,'菜品主数据'!$G$5:$G$24,0)</x:f>
        <x:v>119.87199999999999</x:v>
      </x:c>
    </x:row>
    <x:row r="228">
      <x:c r="A228" s="19" t="str">
        <x:v>2026-07-11|S02|D04</x:v>
      </x:c>
      <x:c r="B228" s="34" t="n">
        <x:v>46214.5</x:v>
      </x:c>
      <x:c r="C228" s="19" t="str">
        <x:v>S02</x:v>
      </x:c>
      <x:c r="D228" s="19" t="str">
        <x:v>尊宝大厦店</x:v>
      </x:c>
      <x:c r="E228" s="19" t="str">
        <x:v>D04</x:v>
      </x:c>
      <x:c r="F228" s="19" t="str">
        <x:v>酸包菜炒粉皮</x:v>
      </x:c>
      <x:c r="G228" s="20" t="n">
        <x:f>SUMIFS('7日销售明细'!$K$5:$K$2244,'7日销售明细'!$B$5:$B$2244,B228,'7日销售明细'!$D$5:$D$2244,C228,'7日销售明细'!$H$5:$H$2244,E228)</x:f>
        <x:v>30</x:v>
      </x:c>
      <x:c r="H228" s="35" t="n">
        <x:f>SUMIFS('7日销售明细'!$L$5:$L$2244,'7日销售明细'!$B$5:$B$2244,B228,'7日销售明细'!$D$5:$D$2244,C228,'7日销售明细'!$H$5:$H$2244,E228)</x:f>
        <x:v>480</x:v>
      </x:c>
      <x:c r="I228" s="35" t="n">
        <x:f>G228*XLOOKUP(E228,'菜品主数据'!$A$5:$A$24,'菜品主数据'!$G$5:$G$24,0)</x:f>
        <x:v>119.34</x:v>
      </x:c>
    </x:row>
    <x:row r="229">
      <x:c r="A229" s="19" t="str">
        <x:v>2026-07-11|S02|D05</x:v>
      </x:c>
      <x:c r="B229" s="34" t="n">
        <x:v>46214.5</x:v>
      </x:c>
      <x:c r="C229" s="19" t="str">
        <x:v>S02</x:v>
      </x:c>
      <x:c r="D229" s="19" t="str">
        <x:v>尊宝大厦店</x:v>
      </x:c>
      <x:c r="E229" s="19" t="str">
        <x:v>D05</x:v>
      </x:c>
      <x:c r="F229" s="19" t="str">
        <x:v>麻婆豆腐</x:v>
      </x:c>
      <x:c r="G229" s="20" t="n">
        <x:f>SUMIFS('7日销售明细'!$K$5:$K$2244,'7日销售明细'!$B$5:$B$2244,B229,'7日销售明细'!$D$5:$D$2244,C229,'7日销售明细'!$H$5:$H$2244,E229)</x:f>
        <x:v>45</x:v>
      </x:c>
      <x:c r="H229" s="35" t="n">
        <x:f>SUMIFS('7日销售明细'!$L$5:$L$2244,'7日销售明细'!$B$5:$B$2244,B229,'7日销售明细'!$D$5:$D$2244,C229,'7日销售明细'!$H$5:$H$2244,E229)</x:f>
        <x:v>445.50000000000006</x:v>
      </x:c>
      <x:c r="I229" s="35" t="n">
        <x:f>G229*XLOOKUP(E229,'菜品主数据'!$A$5:$A$24,'菜品主数据'!$G$5:$G$24,0)</x:f>
        <x:v>241.51500000000004</x:v>
      </x:c>
    </x:row>
    <x:row r="230">
      <x:c r="A230" s="19" t="str">
        <x:v>2026-07-11|S02|D06</x:v>
      </x:c>
      <x:c r="B230" s="34" t="n">
        <x:v>46214.5</x:v>
      </x:c>
      <x:c r="C230" s="19" t="str">
        <x:v>S02</x:v>
      </x:c>
      <x:c r="D230" s="19" t="str">
        <x:v>尊宝大厦店</x:v>
      </x:c>
      <x:c r="E230" s="19" t="str">
        <x:v>D06</x:v>
      </x:c>
      <x:c r="F230" s="19" t="str">
        <x:v>剁椒鱼头</x:v>
      </x:c>
      <x:c r="G230" s="20" t="n">
        <x:f>SUMIFS('7日销售明细'!$K$5:$K$2244,'7日销售明细'!$B$5:$B$2244,B230,'7日销售明细'!$D$5:$D$2244,C230,'7日销售明细'!$H$5:$H$2244,E230)</x:f>
        <x:v>10</x:v>
      </x:c>
      <x:c r="H230" s="35" t="n">
        <x:f>SUMIFS('7日销售明细'!$L$5:$L$2244,'7日销售明细'!$B$5:$B$2244,B230,'7日销售明细'!$D$5:$D$2244,C230,'7日销售明细'!$H$5:$H$2244,E230)</x:f>
        <x:v>390</x:v>
      </x:c>
      <x:c r="I230" s="35" t="n">
        <x:f>G230*XLOOKUP(E230,'菜品主数据'!$A$5:$A$24,'菜品主数据'!$G$5:$G$24,0)</x:f>
        <x:v>174.46</x:v>
      </x:c>
    </x:row>
    <x:row r="231">
      <x:c r="A231" s="19" t="str">
        <x:v>2026-07-11|S02|D07</x:v>
      </x:c>
      <x:c r="B231" s="34" t="n">
        <x:v>46214.5</x:v>
      </x:c>
      <x:c r="C231" s="19" t="str">
        <x:v>S02</x:v>
      </x:c>
      <x:c r="D231" s="19" t="str">
        <x:v>尊宝大厦店</x:v>
      </x:c>
      <x:c r="E231" s="19" t="str">
        <x:v>D07</x:v>
      </x:c>
      <x:c r="F231" s="19" t="str">
        <x:v>川味回锅肉</x:v>
      </x:c>
      <x:c r="G231" s="20" t="n">
        <x:f>SUMIFS('7日销售明细'!$K$5:$K$2244,'7日销售明细'!$B$5:$B$2244,B231,'7日销售明细'!$D$5:$D$2244,C231,'7日销售明细'!$H$5:$H$2244,E231)</x:f>
        <x:v>13</x:v>
      </x:c>
      <x:c r="H231" s="35" t="n">
        <x:f>SUMIFS('7日销售明细'!$L$5:$L$2244,'7日销售明细'!$B$5:$B$2244,B231,'7日销售明细'!$D$5:$D$2244,C231,'7日销售明细'!$H$5:$H$2244,E231)</x:f>
        <x:v>377</x:v>
      </x:c>
      <x:c r="I231" s="35" t="n">
        <x:f>G231*XLOOKUP(E231,'菜品主数据'!$A$5:$A$24,'菜品主数据'!$G$5:$G$24,0)</x:f>
        <x:v>133.00300000000001</x:v>
      </x:c>
    </x:row>
    <x:row r="232">
      <x:c r="A232" s="19" t="str">
        <x:v>2026-07-11|S02|D08</x:v>
      </x:c>
      <x:c r="B232" s="34" t="n">
        <x:v>46214.5</x:v>
      </x:c>
      <x:c r="C232" s="19" t="str">
        <x:v>S02</x:v>
      </x:c>
      <x:c r="D232" s="19" t="str">
        <x:v>尊宝大厦店</x:v>
      </x:c>
      <x:c r="E232" s="19" t="str">
        <x:v>D08</x:v>
      </x:c>
      <x:c r="F232" s="19" t="str">
        <x:v>生炒清远鸡</x:v>
      </x:c>
      <x:c r="G232" s="20" t="n">
        <x:f>SUMIFS('7日销售明细'!$K$5:$K$2244,'7日销售明细'!$B$5:$B$2244,B232,'7日销售明细'!$D$5:$D$2244,C232,'7日销售明细'!$H$5:$H$2244,E232)</x:f>
        <x:v>11</x:v>
      </x:c>
      <x:c r="H232" s="35" t="n">
        <x:f>SUMIFS('7日销售明细'!$L$5:$L$2244,'7日销售明细'!$B$5:$B$2244,B232,'7日销售明细'!$D$5:$D$2244,C232,'7日销售明细'!$H$5:$H$2244,E232)</x:f>
        <x:v>396</x:v>
      </x:c>
      <x:c r="I232" s="35" t="n">
        <x:f>G232*XLOOKUP(E232,'菜品主数据'!$A$5:$A$24,'菜品主数据'!$G$5:$G$24,0)</x:f>
        <x:v>148.28</x:v>
      </x:c>
    </x:row>
    <x:row r="233">
      <x:c r="A233" s="19" t="str">
        <x:v>2026-07-11|S02|D09</x:v>
      </x:c>
      <x:c r="B233" s="34" t="n">
        <x:v>46214.5</x:v>
      </x:c>
      <x:c r="C233" s="19" t="str">
        <x:v>S02</x:v>
      </x:c>
      <x:c r="D233" s="19" t="str">
        <x:v>尊宝大厦店</x:v>
      </x:c>
      <x:c r="E233" s="19" t="str">
        <x:v>D09</x:v>
      </x:c>
      <x:c r="F233" s="19" t="str">
        <x:v>炒豆干</x:v>
      </x:c>
      <x:c r="G233" s="20" t="n">
        <x:f>SUMIFS('7日销售明细'!$K$5:$K$2244,'7日销售明细'!$B$5:$B$2244,B233,'7日销售明细'!$D$5:$D$2244,C233,'7日销售明细'!$H$5:$H$2244,E233)</x:f>
        <x:v>14</x:v>
      </x:c>
      <x:c r="H233" s="35" t="n">
        <x:f>SUMIFS('7日销售明细'!$L$5:$L$2244,'7日销售明细'!$B$5:$B$2244,B233,'7日销售明细'!$D$5:$D$2244,C233,'7日销售明细'!$H$5:$H$2244,E233)</x:f>
        <x:v>252</x:v>
      </x:c>
      <x:c r="I233" s="35" t="n">
        <x:f>G233*XLOOKUP(E233,'菜品主数据'!$A$5:$A$24,'菜品主数据'!$G$5:$G$24,0)</x:f>
        <x:v>92.59599999999999</x:v>
      </x:c>
    </x:row>
    <x:row r="234">
      <x:c r="A234" s="19" t="str">
        <x:v>2026-07-11|S02|D10</x:v>
      </x:c>
      <x:c r="B234" s="34" t="n">
        <x:v>46214.5</x:v>
      </x:c>
      <x:c r="C234" s="19" t="str">
        <x:v>S02</x:v>
      </x:c>
      <x:c r="D234" s="19" t="str">
        <x:v>尊宝大厦店</x:v>
      </x:c>
      <x:c r="E234" s="19" t="str">
        <x:v>D10</x:v>
      </x:c>
      <x:c r="F234" s="19" t="str">
        <x:v>农家一碗香</x:v>
      </x:c>
      <x:c r="G234" s="20" t="n">
        <x:f>SUMIFS('7日销售明细'!$K$5:$K$2244,'7日销售明细'!$B$5:$B$2244,B234,'7日销售明细'!$D$5:$D$2244,C234,'7日销售明细'!$H$5:$H$2244,E234)</x:f>
        <x:v>15</x:v>
      </x:c>
      <x:c r="H234" s="35" t="n">
        <x:f>SUMIFS('7日销售明细'!$L$5:$L$2244,'7日销售明细'!$B$5:$B$2244,B234,'7日销售明细'!$D$5:$D$2244,C234,'7日销售明细'!$H$5:$H$2244,E234)</x:f>
        <x:v>343.49999999999994</x:v>
      </x:c>
      <x:c r="I234" s="35" t="n">
        <x:f>G234*XLOOKUP(E234,'菜品主数据'!$A$5:$A$24,'菜品主数据'!$G$5:$G$24,0)</x:f>
        <x:v>146.55300000000005</x:v>
      </x:c>
    </x:row>
    <x:row r="235">
      <x:c r="A235" s="19" t="str">
        <x:v>2026-07-11|S02|D11</x:v>
      </x:c>
      <x:c r="B235" s="34" t="n">
        <x:v>46214.5</x:v>
      </x:c>
      <x:c r="C235" s="19" t="str">
        <x:v>S02</x:v>
      </x:c>
      <x:c r="D235" s="19" t="str">
        <x:v>尊宝大厦店</x:v>
      </x:c>
      <x:c r="E235" s="19" t="str">
        <x:v>D11</x:v>
      </x:c>
      <x:c r="F235" s="19" t="str">
        <x:v>香辣爆肥肠</x:v>
      </x:c>
      <x:c r="G235" s="20" t="n">
        <x:f>SUMIFS('7日销售明细'!$K$5:$K$2244,'7日销售明细'!$B$5:$B$2244,B235,'7日销售明细'!$D$5:$D$2244,C235,'7日销售明细'!$H$5:$H$2244,E235)</x:f>
        <x:v>5</x:v>
      </x:c>
      <x:c r="H235" s="35" t="n">
        <x:f>SUMIFS('7日销售明细'!$L$5:$L$2244,'7日销售明细'!$B$5:$B$2244,B235,'7日销售明细'!$D$5:$D$2244,C235,'7日销售明细'!$H$5:$H$2244,E235)</x:f>
        <x:v>195</x:v>
      </x:c>
      <x:c r="I235" s="35" t="n">
        <x:f>G235*XLOOKUP(E235,'菜品主数据'!$A$5:$A$24,'菜品主数据'!$G$5:$G$24,0)</x:f>
        <x:v>51.985</x:v>
      </x:c>
    </x:row>
    <x:row r="236">
      <x:c r="A236" s="19" t="str">
        <x:v>2026-07-11|S02|D12</x:v>
      </x:c>
      <x:c r="B236" s="34" t="n">
        <x:v>46214.5</x:v>
      </x:c>
      <x:c r="C236" s="19" t="str">
        <x:v>S02</x:v>
      </x:c>
      <x:c r="D236" s="19" t="str">
        <x:v>尊宝大厦店</x:v>
      </x:c>
      <x:c r="E236" s="19" t="str">
        <x:v>D12</x:v>
      </x:c>
      <x:c r="F236" s="19" t="str">
        <x:v>清蒸鲈鱼</x:v>
      </x:c>
      <x:c r="G236" s="20" t="n">
        <x:f>SUMIFS('7日销售明细'!$K$5:$K$2244,'7日销售明细'!$B$5:$B$2244,B236,'7日销售明细'!$D$5:$D$2244,C236,'7日销售明细'!$H$5:$H$2244,E236)</x:f>
        <x:v>6</x:v>
      </x:c>
      <x:c r="H236" s="35" t="n">
        <x:f>SUMIFS('7日销售明细'!$L$5:$L$2244,'7日销售明细'!$B$5:$B$2244,B236,'7日销售明细'!$D$5:$D$2244,C236,'7日销售明细'!$H$5:$H$2244,E236)</x:f>
        <x:v>234</x:v>
      </x:c>
      <x:c r="I236" s="35" t="n">
        <x:f>G236*XLOOKUP(E236,'菜品主数据'!$A$5:$A$24,'菜品主数据'!$G$5:$G$24,0)</x:f>
        <x:v>113.244</x:v>
      </x:c>
    </x:row>
    <x:row r="237">
      <x:c r="A237" s="19" t="str">
        <x:v>2026-07-11|S02|D13</x:v>
      </x:c>
      <x:c r="B237" s="34" t="n">
        <x:v>46214.5</x:v>
      </x:c>
      <x:c r="C237" s="19" t="str">
        <x:v>S02</x:v>
      </x:c>
      <x:c r="D237" s="19" t="str">
        <x:v>尊宝大厦店</x:v>
      </x:c>
      <x:c r="E237" s="19" t="str">
        <x:v>D13</x:v>
      </x:c>
      <x:c r="F237" s="19" t="str">
        <x:v>外婆菜炒蛋</x:v>
      </x:c>
      <x:c r="G237" s="20" t="n">
        <x:f>SUMIFS('7日销售明细'!$K$5:$K$2244,'7日销售明细'!$B$5:$B$2244,B237,'7日销售明细'!$D$5:$D$2244,C237,'7日销售明细'!$H$5:$H$2244,E237)</x:f>
        <x:v>13</x:v>
      </x:c>
      <x:c r="H237" s="35" t="n">
        <x:f>SUMIFS('7日销售明细'!$L$5:$L$2244,'7日销售明细'!$B$5:$B$2244,B237,'7日销售明细'!$D$5:$D$2244,C237,'7日销售明细'!$H$5:$H$2244,E237)</x:f>
        <x:v>234</x:v>
      </x:c>
      <x:c r="I237" s="35" t="n">
        <x:f>G237*XLOOKUP(E237,'菜品主数据'!$A$5:$A$24,'菜品主数据'!$G$5:$G$24,0)</x:f>
        <x:v>70.25199999999998</x:v>
      </x:c>
    </x:row>
    <x:row r="238">
      <x:c r="A238" s="19" t="str">
        <x:v>2026-07-11|S02|D14</x:v>
      </x:c>
      <x:c r="B238" s="34" t="n">
        <x:v>46214.5</x:v>
      </x:c>
      <x:c r="C238" s="19" t="str">
        <x:v>S02</x:v>
      </x:c>
      <x:c r="D238" s="19" t="str">
        <x:v>尊宝大厦店</x:v>
      </x:c>
      <x:c r="E238" s="19" t="str">
        <x:v>D14</x:v>
      </x:c>
      <x:c r="F238" s="19" t="str">
        <x:v>酸辣鸡杂</x:v>
      </x:c>
      <x:c r="G238" s="20" t="n">
        <x:f>SUMIFS('7日销售明细'!$K$5:$K$2244,'7日销售明细'!$B$5:$B$2244,B238,'7日销售明细'!$D$5:$D$2244,C238,'7日销售明细'!$H$5:$H$2244,E238)</x:f>
        <x:v>7</x:v>
      </x:c>
      <x:c r="H238" s="35" t="n">
        <x:f>SUMIFS('7日销售明细'!$L$5:$L$2244,'7日销售明细'!$B$5:$B$2244,B238,'7日销售明细'!$D$5:$D$2244,C238,'7日销售明细'!$H$5:$H$2244,E238)</x:f>
        <x:v>196</x:v>
      </x:c>
      <x:c r="I238" s="35" t="n">
        <x:f>G238*XLOOKUP(E238,'菜品主数据'!$A$5:$A$24,'菜品主数据'!$G$5:$G$24,0)</x:f>
        <x:v>58.20500000000001</x:v>
      </x:c>
    </x:row>
    <x:row r="239">
      <x:c r="A239" s="19" t="str">
        <x:v>2026-07-11|S02|D15</x:v>
      </x:c>
      <x:c r="B239" s="34" t="n">
        <x:v>46214.5</x:v>
      </x:c>
      <x:c r="C239" s="19" t="str">
        <x:v>S02</x:v>
      </x:c>
      <x:c r="D239" s="19" t="str">
        <x:v>尊宝大厦店</x:v>
      </x:c>
      <x:c r="E239" s="19" t="str">
        <x:v>D15</x:v>
      </x:c>
      <x:c r="F239" s="19" t="str">
        <x:v>湘西土匪猪肝</x:v>
      </x:c>
      <x:c r="G239" s="20" t="n">
        <x:f>SUMIFS('7日销售明细'!$K$5:$K$2244,'7日销售明细'!$B$5:$B$2244,B239,'7日销售明细'!$D$5:$D$2244,C239,'7日销售明细'!$H$5:$H$2244,E239)</x:f>
        <x:v>6</x:v>
      </x:c>
      <x:c r="H239" s="35" t="n">
        <x:f>SUMIFS('7日销售明细'!$L$5:$L$2244,'7日销售明细'!$B$5:$B$2244,B239,'7日销售明细'!$D$5:$D$2244,C239,'7日销售明细'!$H$5:$H$2244,E239)</x:f>
        <x:v>156</x:v>
      </x:c>
      <x:c r="I239" s="35" t="n">
        <x:f>G239*XLOOKUP(E239,'菜品主数据'!$A$5:$A$24,'菜品主数据'!$G$5:$G$24,0)</x:f>
        <x:v>38.256</x:v>
      </x:c>
    </x:row>
    <x:row r="240">
      <x:c r="A240" s="19" t="str">
        <x:v>2026-07-11|S02|D16</x:v>
      </x:c>
      <x:c r="B240" s="34" t="n">
        <x:v>46214.5</x:v>
      </x:c>
      <x:c r="C240" s="19" t="str">
        <x:v>S02</x:v>
      </x:c>
      <x:c r="D240" s="19" t="str">
        <x:v>尊宝大厦店</x:v>
      </x:c>
      <x:c r="E240" s="19" t="str">
        <x:v>D16</x:v>
      </x:c>
      <x:c r="F240" s="19" t="str">
        <x:v>小豆角炒五花</x:v>
      </x:c>
      <x:c r="G240" s="20" t="n">
        <x:f>SUMIFS('7日销售明细'!$K$5:$K$2244,'7日销售明细'!$B$5:$B$2244,B240,'7日销售明细'!$D$5:$D$2244,C240,'7日销售明细'!$H$5:$H$2244,E240)</x:f>
        <x:v>6</x:v>
      </x:c>
      <x:c r="H240" s="35" t="n">
        <x:f>SUMIFS('7日销售明细'!$L$5:$L$2244,'7日销售明细'!$B$5:$B$2244,B240,'7日销售明细'!$D$5:$D$2244,C240,'7日销售明细'!$H$5:$H$2244,E240)</x:f>
        <x:v>150</x:v>
      </x:c>
      <x:c r="I240" s="35" t="n">
        <x:f>G240*XLOOKUP(E240,'菜品主数据'!$A$5:$A$24,'菜品主数据'!$G$5:$G$24,0)</x:f>
        <x:v>49.104</x:v>
      </x:c>
    </x:row>
    <x:row r="241">
      <x:c r="A241" s="19" t="str">
        <x:v>2026-07-11|S02|D17</x:v>
      </x:c>
      <x:c r="B241" s="34" t="n">
        <x:v>46214.5</x:v>
      </x:c>
      <x:c r="C241" s="19" t="str">
        <x:v>S02</x:v>
      </x:c>
      <x:c r="D241" s="19" t="str">
        <x:v>尊宝大厦店</x:v>
      </x:c>
      <x:c r="E241" s="19" t="str">
        <x:v>D17</x:v>
      </x:c>
      <x:c r="F241" s="19" t="str">
        <x:v>蒜蓉粉丝虾</x:v>
      </x:c>
      <x:c r="G241" s="20" t="n">
        <x:f>SUMIFS('7日销售明细'!$K$5:$K$2244,'7日销售明细'!$B$5:$B$2244,B241,'7日销售明细'!$D$5:$D$2244,C241,'7日销售明细'!$H$5:$H$2244,E241)</x:f>
        <x:v>4</x:v>
      </x:c>
      <x:c r="H241" s="35" t="n">
        <x:f>SUMIFS('7日销售明细'!$L$5:$L$2244,'7日销售明细'!$B$5:$B$2244,B241,'7日销售明细'!$D$5:$D$2244,C241,'7日销售明细'!$H$5:$H$2244,E241)</x:f>
        <x:v>144</x:v>
      </x:c>
      <x:c r="I241" s="35" t="n">
        <x:f>G241*XLOOKUP(E241,'菜品主数据'!$A$5:$A$24,'菜品主数据'!$G$5:$G$24,0)</x:f>
        <x:v>54.376</x:v>
      </x:c>
    </x:row>
    <x:row r="242">
      <x:c r="A242" s="19" t="str">
        <x:v>2026-07-11|S02|D18</x:v>
      </x:c>
      <x:c r="B242" s="34" t="n">
        <x:v>46214.5</x:v>
      </x:c>
      <x:c r="C242" s="19" t="str">
        <x:v>S02</x:v>
      </x:c>
      <x:c r="D242" s="19" t="str">
        <x:v>尊宝大厦店</x:v>
      </x:c>
      <x:c r="E242" s="19" t="str">
        <x:v>D18</x:v>
      </x:c>
      <x:c r="F242" s="19" t="str">
        <x:v>青椒炒油麦菜</x:v>
      </x:c>
      <x:c r="G242" s="20" t="n">
        <x:f>SUMIFS('7日销售明细'!$K$5:$K$2244,'7日销售明细'!$B$5:$B$2244,B242,'7日销售明细'!$D$5:$D$2244,C242,'7日销售明细'!$H$5:$H$2244,E242)</x:f>
        <x:v>7</x:v>
      </x:c>
      <x:c r="H242" s="35" t="n">
        <x:f>SUMIFS('7日销售明细'!$L$5:$L$2244,'7日销售明细'!$B$5:$B$2244,B242,'7日销售明细'!$D$5:$D$2244,C242,'7日销售明细'!$H$5:$H$2244,E242)</x:f>
        <x:v>126</x:v>
      </x:c>
      <x:c r="I242" s="35" t="n">
        <x:f>G242*XLOOKUP(E242,'菜品主数据'!$A$5:$A$24,'菜品主数据'!$G$5:$G$24,0)</x:f>
        <x:v>22.231999999999996</x:v>
      </x:c>
    </x:row>
    <x:row r="243">
      <x:c r="A243" s="19" t="str">
        <x:v>2026-07-11|S02|D19</x:v>
      </x:c>
      <x:c r="B243" s="34" t="n">
        <x:v>46214.5</x:v>
      </x:c>
      <x:c r="C243" s="19" t="str">
        <x:v>S02</x:v>
      </x:c>
      <x:c r="D243" s="19" t="str">
        <x:v>尊宝大厦店</x:v>
      </x:c>
      <x:c r="E243" s="19" t="str">
        <x:v>D19</x:v>
      </x:c>
      <x:c r="F243" s="19" t="str">
        <x:v>酸萝卜炒鸡杂</x:v>
      </x:c>
      <x:c r="G243" s="20" t="n">
        <x:f>SUMIFS('7日销售明细'!$K$5:$K$2244,'7日销售明细'!$B$5:$B$2244,B243,'7日销售明细'!$D$5:$D$2244,C243,'7日销售明细'!$H$5:$H$2244,E243)</x:f>
        <x:v>4</x:v>
      </x:c>
      <x:c r="H243" s="35" t="n">
        <x:f>SUMIFS('7日销售明细'!$L$5:$L$2244,'7日销售明细'!$B$5:$B$2244,B243,'7日销售明细'!$D$5:$D$2244,C243,'7日销售明细'!$H$5:$H$2244,E243)</x:f>
        <x:v>100</x:v>
      </x:c>
      <x:c r="I243" s="35" t="n">
        <x:f>G243*XLOOKUP(E243,'菜品主数据'!$A$5:$A$24,'菜品主数据'!$G$5:$G$24,0)</x:f>
        <x:v>31.759999999999998</x:v>
      </x:c>
    </x:row>
    <x:row r="244">
      <x:c r="A244" s="19" t="str">
        <x:v>2026-07-11|S02|D20</x:v>
      </x:c>
      <x:c r="B244" s="34" t="n">
        <x:v>46214.5</x:v>
      </x:c>
      <x:c r="C244" s="19" t="str">
        <x:v>S02</x:v>
      </x:c>
      <x:c r="D244" s="19" t="str">
        <x:v>尊宝大厦店</x:v>
      </x:c>
      <x:c r="E244" s="19" t="str">
        <x:v>D20</x:v>
      </x:c>
      <x:c r="F244" s="19" t="str">
        <x:v>雪菜肉末青豆</x:v>
      </x:c>
      <x:c r="G244" s="20" t="n">
        <x:f>SUMIFS('7日销售明细'!$K$5:$K$2244,'7日销售明细'!$B$5:$B$2244,B244,'7日销售明细'!$D$5:$D$2244,C244,'7日销售明细'!$H$5:$H$2244,E244)</x:f>
        <x:v>6</x:v>
      </x:c>
      <x:c r="H244" s="35" t="n">
        <x:f>SUMIFS('7日销售明细'!$L$5:$L$2244,'7日销售明细'!$B$5:$B$2244,B244,'7日销售明细'!$D$5:$D$2244,C244,'7日销售明细'!$H$5:$H$2244,E244)</x:f>
        <x:v>108</x:v>
      </x:c>
      <x:c r="I244" s="35" t="n">
        <x:f>G244*XLOOKUP(E244,'菜品主数据'!$A$5:$A$24,'菜品主数据'!$G$5:$G$24,0)</x:f>
        <x:v>43.824</x:v>
      </x:c>
    </x:row>
    <x:row r="245">
      <x:c r="A245" s="19" t="str">
        <x:v>2026-07-12|S02|D01</x:v>
      </x:c>
      <x:c r="B245" s="34" t="n">
        <x:v>46215.5</x:v>
      </x:c>
      <x:c r="C245" s="19" t="str">
        <x:v>S02</x:v>
      </x:c>
      <x:c r="D245" s="19" t="str">
        <x:v>尊宝大厦店</x:v>
      </x:c>
      <x:c r="E245" s="19" t="str">
        <x:v>D01</x:v>
      </x:c>
      <x:c r="F245" s="19" t="str">
        <x:v>辣椒炒肉</x:v>
      </x:c>
      <x:c r="G245" s="20" t="n">
        <x:f>SUMIFS('7日销售明细'!$K$5:$K$2244,'7日销售明细'!$B$5:$B$2244,B245,'7日销售明细'!$D$5:$D$2244,C245,'7日销售明细'!$H$5:$H$2244,E245)</x:f>
        <x:v>42</x:v>
      </x:c>
      <x:c r="H245" s="35" t="n">
        <x:f>SUMIFS('7日销售明细'!$L$5:$L$2244,'7日销售明细'!$B$5:$B$2244,B245,'7日销售明细'!$D$5:$D$2244,C245,'7日销售明细'!$H$5:$H$2244,E245)</x:f>
        <x:v>1218</x:v>
      </x:c>
      <x:c r="I245" s="35" t="n">
        <x:f>G245*XLOOKUP(E245,'菜品主数据'!$A$5:$A$24,'菜品主数据'!$G$5:$G$24,0)</x:f>
        <x:v>362.64480000000003</x:v>
      </x:c>
    </x:row>
    <x:row r="246">
      <x:c r="A246" s="19" t="str">
        <x:v>2026-07-12|S02|D02</x:v>
      </x:c>
      <x:c r="B246" s="34" t="n">
        <x:v>46215.5</x:v>
      </x:c>
      <x:c r="C246" s="19" t="str">
        <x:v>S02</x:v>
      </x:c>
      <x:c r="D246" s="19" t="str">
        <x:v>尊宝大厦店</x:v>
      </x:c>
      <x:c r="E246" s="19" t="str">
        <x:v>D02</x:v>
      </x:c>
      <x:c r="F246" s="19" t="str">
        <x:v>小炒黄牛肉</x:v>
      </x:c>
      <x:c r="G246" s="20" t="n">
        <x:f>SUMIFS('7日销售明细'!$K$5:$K$2244,'7日销售明细'!$B$5:$B$2244,B246,'7日销售明细'!$D$5:$D$2244,C246,'7日销售明细'!$H$5:$H$2244,E246)</x:f>
        <x:v>27</x:v>
      </x:c>
      <x:c r="H246" s="35" t="n">
        <x:f>SUMIFS('7日销售明细'!$L$5:$L$2244,'7日销售明细'!$B$5:$B$2244,B246,'7日销售明细'!$D$5:$D$2244,C246,'7日销售明细'!$H$5:$H$2244,E246)</x:f>
        <x:v>1323</x:v>
      </x:c>
      <x:c r="I246" s="35" t="n">
        <x:f>G246*XLOOKUP(E246,'菜品主数据'!$A$5:$A$24,'菜品主数据'!$G$5:$G$24,0)</x:f>
        <x:v>474.57900000000006</x:v>
      </x:c>
    </x:row>
    <x:row r="247">
      <x:c r="A247" s="19" t="str">
        <x:v>2026-07-12|S02|D03</x:v>
      </x:c>
      <x:c r="B247" s="34" t="n">
        <x:v>46215.5</x:v>
      </x:c>
      <x:c r="C247" s="19" t="str">
        <x:v>S02</x:v>
      </x:c>
      <x:c r="D247" s="19" t="str">
        <x:v>尊宝大厦店</x:v>
      </x:c>
      <x:c r="E247" s="19" t="str">
        <x:v>D03</x:v>
      </x:c>
      <x:c r="F247" s="19" t="str">
        <x:v>香醋炒蛋</x:v>
      </x:c>
      <x:c r="G247" s="20" t="n">
        <x:f>SUMIFS('7日销售明细'!$K$5:$K$2244,'7日销售明细'!$B$5:$B$2244,B247,'7日销售明细'!$D$5:$D$2244,C247,'7日销售明细'!$H$5:$H$2244,E247)</x:f>
        <x:v>33</x:v>
      </x:c>
      <x:c r="H247" s="35" t="n">
        <x:f>SUMIFS('7日销售明细'!$L$5:$L$2244,'7日销售明细'!$B$5:$B$2244,B247,'7日销售明细'!$D$5:$D$2244,C247,'7日销售明细'!$H$5:$H$2244,E247)</x:f>
        <x:v>491.70000000000005</x:v>
      </x:c>
      <x:c r="I247" s="35" t="n">
        <x:f>G247*XLOOKUP(E247,'菜品主数据'!$A$5:$A$24,'菜品主数据'!$G$5:$G$24,0)</x:f>
        <x:v>123.61799999999998</x:v>
      </x:c>
    </x:row>
    <x:row r="248">
      <x:c r="A248" s="19" t="str">
        <x:v>2026-07-12|S02|D04</x:v>
      </x:c>
      <x:c r="B248" s="34" t="n">
        <x:v>46215.5</x:v>
      </x:c>
      <x:c r="C248" s="19" t="str">
        <x:v>S02</x:v>
      </x:c>
      <x:c r="D248" s="19" t="str">
        <x:v>尊宝大厦店</x:v>
      </x:c>
      <x:c r="E248" s="19" t="str">
        <x:v>D04</x:v>
      </x:c>
      <x:c r="F248" s="19" t="str">
        <x:v>酸包菜炒粉皮</x:v>
      </x:c>
      <x:c r="G248" s="20" t="n">
        <x:f>SUMIFS('7日销售明细'!$K$5:$K$2244,'7日销售明细'!$B$5:$B$2244,B248,'7日销售明细'!$D$5:$D$2244,C248,'7日销售明细'!$H$5:$H$2244,E248)</x:f>
        <x:v>31</x:v>
      </x:c>
      <x:c r="H248" s="35" t="n">
        <x:f>SUMIFS('7日销售明细'!$L$5:$L$2244,'7日销售明细'!$B$5:$B$2244,B248,'7日销售明细'!$D$5:$D$2244,C248,'7日销售明细'!$H$5:$H$2244,E248)</x:f>
        <x:v>496</x:v>
      </x:c>
      <x:c r="I248" s="35" t="n">
        <x:f>G248*XLOOKUP(E248,'菜品主数据'!$A$5:$A$24,'菜品主数据'!$G$5:$G$24,0)</x:f>
        <x:v>123.31800000000001</x:v>
      </x:c>
    </x:row>
    <x:row r="249">
      <x:c r="A249" s="19" t="str">
        <x:v>2026-07-12|S02|D05</x:v>
      </x:c>
      <x:c r="B249" s="34" t="n">
        <x:v>46215.5</x:v>
      </x:c>
      <x:c r="C249" s="19" t="str">
        <x:v>S02</x:v>
      </x:c>
      <x:c r="D249" s="19" t="str">
        <x:v>尊宝大厦店</x:v>
      </x:c>
      <x:c r="E249" s="19" t="str">
        <x:v>D05</x:v>
      </x:c>
      <x:c r="F249" s="19" t="str">
        <x:v>麻婆豆腐</x:v>
      </x:c>
      <x:c r="G249" s="20" t="n">
        <x:f>SUMIFS('7日销售明细'!$K$5:$K$2244,'7日销售明细'!$B$5:$B$2244,B249,'7日销售明细'!$D$5:$D$2244,C249,'7日销售明细'!$H$5:$H$2244,E249)</x:f>
        <x:v>43</x:v>
      </x:c>
      <x:c r="H249" s="35" t="n">
        <x:f>SUMIFS('7日销售明细'!$L$5:$L$2244,'7日销售明细'!$B$5:$B$2244,B249,'7日销售明细'!$D$5:$D$2244,C249,'7日销售明细'!$H$5:$H$2244,E249)</x:f>
        <x:v>425.70000000000005</x:v>
      </x:c>
      <x:c r="I249" s="35" t="n">
        <x:f>G249*XLOOKUP(E249,'菜品主数据'!$A$5:$A$24,'菜品主数据'!$G$5:$G$24,0)</x:f>
        <x:v>230.78100000000003</x:v>
      </x:c>
    </x:row>
    <x:row r="250">
      <x:c r="A250" s="19" t="str">
        <x:v>2026-07-12|S02|D06</x:v>
      </x:c>
      <x:c r="B250" s="34" t="n">
        <x:v>46215.5</x:v>
      </x:c>
      <x:c r="C250" s="19" t="str">
        <x:v>S02</x:v>
      </x:c>
      <x:c r="D250" s="19" t="str">
        <x:v>尊宝大厦店</x:v>
      </x:c>
      <x:c r="E250" s="19" t="str">
        <x:v>D06</x:v>
      </x:c>
      <x:c r="F250" s="19" t="str">
        <x:v>剁椒鱼头</x:v>
      </x:c>
      <x:c r="G250" s="20" t="n">
        <x:f>SUMIFS('7日销售明细'!$K$5:$K$2244,'7日销售明细'!$B$5:$B$2244,B250,'7日销售明细'!$D$5:$D$2244,C250,'7日销售明细'!$H$5:$H$2244,E250)</x:f>
        <x:v>11</x:v>
      </x:c>
      <x:c r="H250" s="35" t="n">
        <x:f>SUMIFS('7日销售明细'!$L$5:$L$2244,'7日销售明细'!$B$5:$B$2244,B250,'7日销售明细'!$D$5:$D$2244,C250,'7日销售明细'!$H$5:$H$2244,E250)</x:f>
        <x:v>429</x:v>
      </x:c>
      <x:c r="I250" s="35" t="n">
        <x:f>G250*XLOOKUP(E250,'菜品主数据'!$A$5:$A$24,'菜品主数据'!$G$5:$G$24,0)</x:f>
        <x:v>191.906</x:v>
      </x:c>
    </x:row>
    <x:row r="251">
      <x:c r="A251" s="19" t="str">
        <x:v>2026-07-12|S02|D07</x:v>
      </x:c>
      <x:c r="B251" s="34" t="n">
        <x:v>46215.5</x:v>
      </x:c>
      <x:c r="C251" s="19" t="str">
        <x:v>S02</x:v>
      </x:c>
      <x:c r="D251" s="19" t="str">
        <x:v>尊宝大厦店</x:v>
      </x:c>
      <x:c r="E251" s="19" t="str">
        <x:v>D07</x:v>
      </x:c>
      <x:c r="F251" s="19" t="str">
        <x:v>川味回锅肉</x:v>
      </x:c>
      <x:c r="G251" s="20" t="n">
        <x:f>SUMIFS('7日销售明细'!$K$5:$K$2244,'7日销售明细'!$B$5:$B$2244,B251,'7日销售明细'!$D$5:$D$2244,C251,'7日销售明细'!$H$5:$H$2244,E251)</x:f>
        <x:v>13</x:v>
      </x:c>
      <x:c r="H251" s="35" t="n">
        <x:f>SUMIFS('7日销售明细'!$L$5:$L$2244,'7日销售明细'!$B$5:$B$2244,B251,'7日销售明细'!$D$5:$D$2244,C251,'7日销售明细'!$H$5:$H$2244,E251)</x:f>
        <x:v>377</x:v>
      </x:c>
      <x:c r="I251" s="35" t="n">
        <x:f>G251*XLOOKUP(E251,'菜品主数据'!$A$5:$A$24,'菜品主数据'!$G$5:$G$24,0)</x:f>
        <x:v>133.00300000000001</x:v>
      </x:c>
    </x:row>
    <x:row r="252">
      <x:c r="A252" s="19" t="str">
        <x:v>2026-07-12|S02|D08</x:v>
      </x:c>
      <x:c r="B252" s="34" t="n">
        <x:v>46215.5</x:v>
      </x:c>
      <x:c r="C252" s="19" t="str">
        <x:v>S02</x:v>
      </x:c>
      <x:c r="D252" s="19" t="str">
        <x:v>尊宝大厦店</x:v>
      </x:c>
      <x:c r="E252" s="19" t="str">
        <x:v>D08</x:v>
      </x:c>
      <x:c r="F252" s="19" t="str">
        <x:v>生炒清远鸡</x:v>
      </x:c>
      <x:c r="G252" s="20" t="n">
        <x:f>SUMIFS('7日销售明细'!$K$5:$K$2244,'7日销售明细'!$B$5:$B$2244,B252,'7日销售明细'!$D$5:$D$2244,C252,'7日销售明细'!$H$5:$H$2244,E252)</x:f>
        <x:v>9</x:v>
      </x:c>
      <x:c r="H252" s="35" t="n">
        <x:f>SUMIFS('7日销售明细'!$L$5:$L$2244,'7日销售明细'!$B$5:$B$2244,B252,'7日销售明细'!$D$5:$D$2244,C252,'7日销售明细'!$H$5:$H$2244,E252)</x:f>
        <x:v>324</x:v>
      </x:c>
      <x:c r="I252" s="35" t="n">
        <x:f>G252*XLOOKUP(E252,'菜品主数据'!$A$5:$A$24,'菜品主数据'!$G$5:$G$24,0)</x:f>
        <x:v>121.32000000000001</x:v>
      </x:c>
    </x:row>
    <x:row r="253">
      <x:c r="A253" s="19" t="str">
        <x:v>2026-07-12|S02|D09</x:v>
      </x:c>
      <x:c r="B253" s="34" t="n">
        <x:v>46215.5</x:v>
      </x:c>
      <x:c r="C253" s="19" t="str">
        <x:v>S02</x:v>
      </x:c>
      <x:c r="D253" s="19" t="str">
        <x:v>尊宝大厦店</x:v>
      </x:c>
      <x:c r="E253" s="19" t="str">
        <x:v>D09</x:v>
      </x:c>
      <x:c r="F253" s="19" t="str">
        <x:v>炒豆干</x:v>
      </x:c>
      <x:c r="G253" s="20" t="n">
        <x:f>SUMIFS('7日销售明细'!$K$5:$K$2244,'7日销售明细'!$B$5:$B$2244,B253,'7日销售明细'!$D$5:$D$2244,C253,'7日销售明细'!$H$5:$H$2244,E253)</x:f>
        <x:v>13</x:v>
      </x:c>
      <x:c r="H253" s="35" t="n">
        <x:f>SUMIFS('7日销售明细'!$L$5:$L$2244,'7日销售明细'!$B$5:$B$2244,B253,'7日销售明细'!$D$5:$D$2244,C253,'7日销售明细'!$H$5:$H$2244,E253)</x:f>
        <x:v>234</x:v>
      </x:c>
      <x:c r="I253" s="35" t="n">
        <x:f>G253*XLOOKUP(E253,'菜品主数据'!$A$5:$A$24,'菜品主数据'!$G$5:$G$24,0)</x:f>
        <x:v>85.98199999999999</x:v>
      </x:c>
    </x:row>
    <x:row r="254">
      <x:c r="A254" s="19" t="str">
        <x:v>2026-07-12|S02|D10</x:v>
      </x:c>
      <x:c r="B254" s="34" t="n">
        <x:v>46215.5</x:v>
      </x:c>
      <x:c r="C254" s="19" t="str">
        <x:v>S02</x:v>
      </x:c>
      <x:c r="D254" s="19" t="str">
        <x:v>尊宝大厦店</x:v>
      </x:c>
      <x:c r="E254" s="19" t="str">
        <x:v>D10</x:v>
      </x:c>
      <x:c r="F254" s="19" t="str">
        <x:v>农家一碗香</x:v>
      </x:c>
      <x:c r="G254" s="20" t="n">
        <x:f>SUMIFS('7日销售明细'!$K$5:$K$2244,'7日销售明细'!$B$5:$B$2244,B254,'7日销售明细'!$D$5:$D$2244,C254,'7日销售明细'!$H$5:$H$2244,E254)</x:f>
        <x:v>15</x:v>
      </x:c>
      <x:c r="H254" s="35" t="n">
        <x:f>SUMIFS('7日销售明细'!$L$5:$L$2244,'7日销售明细'!$B$5:$B$2244,B254,'7日销售明细'!$D$5:$D$2244,C254,'7日销售明细'!$H$5:$H$2244,E254)</x:f>
        <x:v>343.49999999999994</x:v>
      </x:c>
      <x:c r="I254" s="35" t="n">
        <x:f>G254*XLOOKUP(E254,'菜品主数据'!$A$5:$A$24,'菜品主数据'!$G$5:$G$24,0)</x:f>
        <x:v>146.55300000000005</x:v>
      </x:c>
    </x:row>
    <x:row r="255">
      <x:c r="A255" s="19" t="str">
        <x:v>2026-07-12|S02|D11</x:v>
      </x:c>
      <x:c r="B255" s="34" t="n">
        <x:v>46215.5</x:v>
      </x:c>
      <x:c r="C255" s="19" t="str">
        <x:v>S02</x:v>
      </x:c>
      <x:c r="D255" s="19" t="str">
        <x:v>尊宝大厦店</x:v>
      </x:c>
      <x:c r="E255" s="19" t="str">
        <x:v>D11</x:v>
      </x:c>
      <x:c r="F255" s="19" t="str">
        <x:v>香辣爆肥肠</x:v>
      </x:c>
      <x:c r="G255" s="20" t="n">
        <x:f>SUMIFS('7日销售明细'!$K$5:$K$2244,'7日销售明细'!$B$5:$B$2244,B255,'7日销售明细'!$D$5:$D$2244,C255,'7日销售明细'!$H$5:$H$2244,E255)</x:f>
        <x:v>5</x:v>
      </x:c>
      <x:c r="H255" s="35" t="n">
        <x:f>SUMIFS('7日销售明细'!$L$5:$L$2244,'7日销售明细'!$B$5:$B$2244,B255,'7日销售明细'!$D$5:$D$2244,C255,'7日销售明细'!$H$5:$H$2244,E255)</x:f>
        <x:v>195</x:v>
      </x:c>
      <x:c r="I255" s="35" t="n">
        <x:f>G255*XLOOKUP(E255,'菜品主数据'!$A$5:$A$24,'菜品主数据'!$G$5:$G$24,0)</x:f>
        <x:v>51.985</x:v>
      </x:c>
    </x:row>
    <x:row r="256">
      <x:c r="A256" s="19" t="str">
        <x:v>2026-07-12|S02|D12</x:v>
      </x:c>
      <x:c r="B256" s="34" t="n">
        <x:v>46215.5</x:v>
      </x:c>
      <x:c r="C256" s="19" t="str">
        <x:v>S02</x:v>
      </x:c>
      <x:c r="D256" s="19" t="str">
        <x:v>尊宝大厦店</x:v>
      </x:c>
      <x:c r="E256" s="19" t="str">
        <x:v>D12</x:v>
      </x:c>
      <x:c r="F256" s="19" t="str">
        <x:v>清蒸鲈鱼</x:v>
      </x:c>
      <x:c r="G256" s="20" t="n">
        <x:f>SUMIFS('7日销售明细'!$K$5:$K$2244,'7日销售明细'!$B$5:$B$2244,B256,'7日销售明细'!$D$5:$D$2244,C256,'7日销售明细'!$H$5:$H$2244,E256)</x:f>
        <x:v>5</x:v>
      </x:c>
      <x:c r="H256" s="35" t="n">
        <x:f>SUMIFS('7日销售明细'!$L$5:$L$2244,'7日销售明细'!$B$5:$B$2244,B256,'7日销售明细'!$D$5:$D$2244,C256,'7日销售明细'!$H$5:$H$2244,E256)</x:f>
        <x:v>195</x:v>
      </x:c>
      <x:c r="I256" s="35" t="n">
        <x:f>G256*XLOOKUP(E256,'菜品主数据'!$A$5:$A$24,'菜品主数据'!$G$5:$G$24,0)</x:f>
        <x:v>94.36999999999999</x:v>
      </x:c>
    </x:row>
    <x:row r="257">
      <x:c r="A257" s="19" t="str">
        <x:v>2026-07-12|S02|D13</x:v>
      </x:c>
      <x:c r="B257" s="34" t="n">
        <x:v>46215.5</x:v>
      </x:c>
      <x:c r="C257" s="19" t="str">
        <x:v>S02</x:v>
      </x:c>
      <x:c r="D257" s="19" t="str">
        <x:v>尊宝大厦店</x:v>
      </x:c>
      <x:c r="E257" s="19" t="str">
        <x:v>D13</x:v>
      </x:c>
      <x:c r="F257" s="19" t="str">
        <x:v>外婆菜炒蛋</x:v>
      </x:c>
      <x:c r="G257" s="20" t="n">
        <x:f>SUMIFS('7日销售明细'!$K$5:$K$2244,'7日销售明细'!$B$5:$B$2244,B257,'7日销售明细'!$D$5:$D$2244,C257,'7日销售明细'!$H$5:$H$2244,E257)</x:f>
        <x:v>12</x:v>
      </x:c>
      <x:c r="H257" s="35" t="n">
        <x:f>SUMIFS('7日销售明细'!$L$5:$L$2244,'7日销售明细'!$B$5:$B$2244,B257,'7日销售明细'!$D$5:$D$2244,C257,'7日销售明细'!$H$5:$H$2244,E257)</x:f>
        <x:v>216</x:v>
      </x:c>
      <x:c r="I257" s="35" t="n">
        <x:f>G257*XLOOKUP(E257,'菜品主数据'!$A$5:$A$24,'菜品主数据'!$G$5:$G$24,0)</x:f>
        <x:v>64.84799999999998</x:v>
      </x:c>
    </x:row>
    <x:row r="258">
      <x:c r="A258" s="19" t="str">
        <x:v>2026-07-12|S02|D14</x:v>
      </x:c>
      <x:c r="B258" s="34" t="n">
        <x:v>46215.5</x:v>
      </x:c>
      <x:c r="C258" s="19" t="str">
        <x:v>S02</x:v>
      </x:c>
      <x:c r="D258" s="19" t="str">
        <x:v>尊宝大厦店</x:v>
      </x:c>
      <x:c r="E258" s="19" t="str">
        <x:v>D14</x:v>
      </x:c>
      <x:c r="F258" s="19" t="str">
        <x:v>酸辣鸡杂</x:v>
      </x:c>
      <x:c r="G258" s="20" t="n">
        <x:f>SUMIFS('7日销售明细'!$K$5:$K$2244,'7日销售明细'!$B$5:$B$2244,B258,'7日销售明细'!$D$5:$D$2244,C258,'7日销售明细'!$H$5:$H$2244,E258)</x:f>
        <x:v>6</x:v>
      </x:c>
      <x:c r="H258" s="35" t="n">
        <x:f>SUMIFS('7日销售明细'!$L$5:$L$2244,'7日销售明细'!$B$5:$B$2244,B258,'7日销售明细'!$D$5:$D$2244,C258,'7日销售明细'!$H$5:$H$2244,E258)</x:f>
        <x:v>168</x:v>
      </x:c>
      <x:c r="I258" s="35" t="n">
        <x:f>G258*XLOOKUP(E258,'菜品主数据'!$A$5:$A$24,'菜品主数据'!$G$5:$G$24,0)</x:f>
        <x:v>49.89000000000001</x:v>
      </x:c>
    </x:row>
    <x:row r="259">
      <x:c r="A259" s="19" t="str">
        <x:v>2026-07-12|S02|D15</x:v>
      </x:c>
      <x:c r="B259" s="34" t="n">
        <x:v>46215.5</x:v>
      </x:c>
      <x:c r="C259" s="19" t="str">
        <x:v>S02</x:v>
      </x:c>
      <x:c r="D259" s="19" t="str">
        <x:v>尊宝大厦店</x:v>
      </x:c>
      <x:c r="E259" s="19" t="str">
        <x:v>D15</x:v>
      </x:c>
      <x:c r="F259" s="19" t="str">
        <x:v>湘西土匪猪肝</x:v>
      </x:c>
      <x:c r="G259" s="20" t="n">
        <x:f>SUMIFS('7日销售明细'!$K$5:$K$2244,'7日销售明细'!$B$5:$B$2244,B259,'7日销售明细'!$D$5:$D$2244,C259,'7日销售明细'!$H$5:$H$2244,E259)</x:f>
        <x:v>5</x:v>
      </x:c>
      <x:c r="H259" s="35" t="n">
        <x:f>SUMIFS('7日销售明细'!$L$5:$L$2244,'7日销售明细'!$B$5:$B$2244,B259,'7日销售明细'!$D$5:$D$2244,C259,'7日销售明细'!$H$5:$H$2244,E259)</x:f>
        <x:v>130</x:v>
      </x:c>
      <x:c r="I259" s="35" t="n">
        <x:f>G259*XLOOKUP(E259,'菜品主数据'!$A$5:$A$24,'菜品主数据'!$G$5:$G$24,0)</x:f>
        <x:v>31.879999999999995</x:v>
      </x:c>
    </x:row>
    <x:row r="260">
      <x:c r="A260" s="19" t="str">
        <x:v>2026-07-12|S02|D16</x:v>
      </x:c>
      <x:c r="B260" s="34" t="n">
        <x:v>46215.5</x:v>
      </x:c>
      <x:c r="C260" s="19" t="str">
        <x:v>S02</x:v>
      </x:c>
      <x:c r="D260" s="19" t="str">
        <x:v>尊宝大厦店</x:v>
      </x:c>
      <x:c r="E260" s="19" t="str">
        <x:v>D16</x:v>
      </x:c>
      <x:c r="F260" s="19" t="str">
        <x:v>小豆角炒五花</x:v>
      </x:c>
      <x:c r="G260" s="20" t="n">
        <x:f>SUMIFS('7日销售明细'!$K$5:$K$2244,'7日销售明细'!$B$5:$B$2244,B260,'7日销售明细'!$D$5:$D$2244,C260,'7日销售明细'!$H$5:$H$2244,E260)</x:f>
        <x:v>6</x:v>
      </x:c>
      <x:c r="H260" s="35" t="n">
        <x:f>SUMIFS('7日销售明细'!$L$5:$L$2244,'7日销售明细'!$B$5:$B$2244,B260,'7日销售明细'!$D$5:$D$2244,C260,'7日销售明细'!$H$5:$H$2244,E260)</x:f>
        <x:v>150</x:v>
      </x:c>
      <x:c r="I260" s="35" t="n">
        <x:f>G260*XLOOKUP(E260,'菜品主数据'!$A$5:$A$24,'菜品主数据'!$G$5:$G$24,0)</x:f>
        <x:v>49.104</x:v>
      </x:c>
    </x:row>
    <x:row r="261">
      <x:c r="A261" s="19" t="str">
        <x:v>2026-07-12|S02|D17</x:v>
      </x:c>
      <x:c r="B261" s="34" t="n">
        <x:v>46215.5</x:v>
      </x:c>
      <x:c r="C261" s="19" t="str">
        <x:v>S02</x:v>
      </x:c>
      <x:c r="D261" s="19" t="str">
        <x:v>尊宝大厦店</x:v>
      </x:c>
      <x:c r="E261" s="19" t="str">
        <x:v>D17</x:v>
      </x:c>
      <x:c r="F261" s="19" t="str">
        <x:v>蒜蓉粉丝虾</x:v>
      </x:c>
      <x:c r="G261" s="20" t="n">
        <x:f>SUMIFS('7日销售明细'!$K$5:$K$2244,'7日销售明细'!$B$5:$B$2244,B261,'7日销售明细'!$D$5:$D$2244,C261,'7日销售明细'!$H$5:$H$2244,E261)</x:f>
        <x:v>4</x:v>
      </x:c>
      <x:c r="H261" s="35" t="n">
        <x:f>SUMIFS('7日销售明细'!$L$5:$L$2244,'7日销售明细'!$B$5:$B$2244,B261,'7日销售明细'!$D$5:$D$2244,C261,'7日销售明细'!$H$5:$H$2244,E261)</x:f>
        <x:v>144</x:v>
      </x:c>
      <x:c r="I261" s="35" t="n">
        <x:f>G261*XLOOKUP(E261,'菜品主数据'!$A$5:$A$24,'菜品主数据'!$G$5:$G$24,0)</x:f>
        <x:v>54.376</x:v>
      </x:c>
    </x:row>
    <x:row r="262">
      <x:c r="A262" s="19" t="str">
        <x:v>2026-07-12|S02|D18</x:v>
      </x:c>
      <x:c r="B262" s="34" t="n">
        <x:v>46215.5</x:v>
      </x:c>
      <x:c r="C262" s="19" t="str">
        <x:v>S02</x:v>
      </x:c>
      <x:c r="D262" s="19" t="str">
        <x:v>尊宝大厦店</x:v>
      </x:c>
      <x:c r="E262" s="19" t="str">
        <x:v>D18</x:v>
      </x:c>
      <x:c r="F262" s="19" t="str">
        <x:v>青椒炒油麦菜</x:v>
      </x:c>
      <x:c r="G262" s="20" t="n">
        <x:f>SUMIFS('7日销售明细'!$K$5:$K$2244,'7日销售明细'!$B$5:$B$2244,B262,'7日销售明细'!$D$5:$D$2244,C262,'7日销售明细'!$H$5:$H$2244,E262)</x:f>
        <x:v>6</x:v>
      </x:c>
      <x:c r="H262" s="35" t="n">
        <x:f>SUMIFS('7日销售明细'!$L$5:$L$2244,'7日销售明细'!$B$5:$B$2244,B262,'7日销售明细'!$D$5:$D$2244,C262,'7日销售明细'!$H$5:$H$2244,E262)</x:f>
        <x:v>108</x:v>
      </x:c>
      <x:c r="I262" s="35" t="n">
        <x:f>G262*XLOOKUP(E262,'菜品主数据'!$A$5:$A$24,'菜品主数据'!$G$5:$G$24,0)</x:f>
        <x:v>19.055999999999997</x:v>
      </x:c>
    </x:row>
    <x:row r="263">
      <x:c r="A263" s="19" t="str">
        <x:v>2026-07-12|S02|D19</x:v>
      </x:c>
      <x:c r="B263" s="34" t="n">
        <x:v>46215.5</x:v>
      </x:c>
      <x:c r="C263" s="19" t="str">
        <x:v>S02</x:v>
      </x:c>
      <x:c r="D263" s="19" t="str">
        <x:v>尊宝大厦店</x:v>
      </x:c>
      <x:c r="E263" s="19" t="str">
        <x:v>D19</x:v>
      </x:c>
      <x:c r="F263" s="19" t="str">
        <x:v>酸萝卜炒鸡杂</x:v>
      </x:c>
      <x:c r="G263" s="20" t="n">
        <x:f>SUMIFS('7日销售明细'!$K$5:$K$2244,'7日销售明细'!$B$5:$B$2244,B263,'7日销售明细'!$D$5:$D$2244,C263,'7日销售明细'!$H$5:$H$2244,E263)</x:f>
        <x:v>5</x:v>
      </x:c>
      <x:c r="H263" s="35" t="n">
        <x:f>SUMIFS('7日销售明细'!$L$5:$L$2244,'7日销售明细'!$B$5:$B$2244,B263,'7日销售明细'!$D$5:$D$2244,C263,'7日销售明细'!$H$5:$H$2244,E263)</x:f>
        <x:v>125</x:v>
      </x:c>
      <x:c r="I263" s="35" t="n">
        <x:f>G263*XLOOKUP(E263,'菜品主数据'!$A$5:$A$24,'菜品主数据'!$G$5:$G$24,0)</x:f>
        <x:v>39.699999999999996</x:v>
      </x:c>
    </x:row>
    <x:row r="264">
      <x:c r="A264" s="19" t="str">
        <x:v>2026-07-12|S02|D20</x:v>
      </x:c>
      <x:c r="B264" s="34" t="n">
        <x:v>46215.5</x:v>
      </x:c>
      <x:c r="C264" s="19" t="str">
        <x:v>S02</x:v>
      </x:c>
      <x:c r="D264" s="19" t="str">
        <x:v>尊宝大厦店</x:v>
      </x:c>
      <x:c r="E264" s="19" t="str">
        <x:v>D20</x:v>
      </x:c>
      <x:c r="F264" s="19" t="str">
        <x:v>雪菜肉末青豆</x:v>
      </x:c>
      <x:c r="G264" s="20" t="n">
        <x:f>SUMIFS('7日销售明细'!$K$5:$K$2244,'7日销售明细'!$B$5:$B$2244,B264,'7日销售明细'!$D$5:$D$2244,C264,'7日销售明细'!$H$5:$H$2244,E264)</x:f>
        <x:v>6</x:v>
      </x:c>
      <x:c r="H264" s="35" t="n">
        <x:f>SUMIFS('7日销售明细'!$L$5:$L$2244,'7日销售明细'!$B$5:$B$2244,B264,'7日销售明细'!$D$5:$D$2244,C264,'7日销售明细'!$H$5:$H$2244,E264)</x:f>
        <x:v>108</x:v>
      </x:c>
      <x:c r="I264" s="35" t="n">
        <x:f>G264*XLOOKUP(E264,'菜品主数据'!$A$5:$A$24,'菜品主数据'!$G$5:$G$24,0)</x:f>
        <x:v>43.824</x:v>
      </x:c>
    </x:row>
    <x:row r="265">
      <x:c r="A265" s="19" t="str">
        <x:v>2026-07-13|S02|D01</x:v>
      </x:c>
      <x:c r="B265" s="34" t="n">
        <x:v>46216.5</x:v>
      </x:c>
      <x:c r="C265" s="19" t="str">
        <x:v>S02</x:v>
      </x:c>
      <x:c r="D265" s="19" t="str">
        <x:v>尊宝大厦店</x:v>
      </x:c>
      <x:c r="E265" s="19" t="str">
        <x:v>D01</x:v>
      </x:c>
      <x:c r="F265" s="19" t="str">
        <x:v>辣椒炒肉</x:v>
      </x:c>
      <x:c r="G265" s="20" t="n">
        <x:f>SUMIFS('7日销售明细'!$K$5:$K$2244,'7日销售明细'!$B$5:$B$2244,B265,'7日销售明细'!$D$5:$D$2244,C265,'7日销售明细'!$H$5:$H$2244,E265)</x:f>
        <x:v>55</x:v>
      </x:c>
      <x:c r="H265" s="35" t="n">
        <x:f>SUMIFS('7日销售明细'!$L$5:$L$2244,'7日销售明细'!$B$5:$B$2244,B265,'7日销售明细'!$D$5:$D$2244,C265,'7日销售明细'!$H$5:$H$2244,E265)</x:f>
        <x:v>1595</x:v>
      </x:c>
      <x:c r="I265" s="35" t="n">
        <x:f>G265*XLOOKUP(E265,'菜品主数据'!$A$5:$A$24,'菜品主数据'!$G$5:$G$24,0)</x:f>
        <x:v>474.89200000000005</x:v>
      </x:c>
    </x:row>
    <x:row r="266">
      <x:c r="A266" s="19" t="str">
        <x:v>2026-07-13|S02|D02</x:v>
      </x:c>
      <x:c r="B266" s="34" t="n">
        <x:v>46216.5</x:v>
      </x:c>
      <x:c r="C266" s="19" t="str">
        <x:v>S02</x:v>
      </x:c>
      <x:c r="D266" s="19" t="str">
        <x:v>尊宝大厦店</x:v>
      </x:c>
      <x:c r="E266" s="19" t="str">
        <x:v>D02</x:v>
      </x:c>
      <x:c r="F266" s="19" t="str">
        <x:v>小炒黄牛肉</x:v>
      </x:c>
      <x:c r="G266" s="20" t="n">
        <x:f>SUMIFS('7日销售明细'!$K$5:$K$2244,'7日销售明细'!$B$5:$B$2244,B266,'7日销售明细'!$D$5:$D$2244,C266,'7日销售明细'!$H$5:$H$2244,E266)</x:f>
        <x:v>37</x:v>
      </x:c>
      <x:c r="H266" s="35" t="n">
        <x:f>SUMIFS('7日销售明细'!$L$5:$L$2244,'7日销售明细'!$B$5:$B$2244,B266,'7日销售明细'!$D$5:$D$2244,C266,'7日销售明细'!$H$5:$H$2244,E266)</x:f>
        <x:v>1813</x:v>
      </x:c>
      <x:c r="I266" s="35" t="n">
        <x:f>G266*XLOOKUP(E266,'菜品主数据'!$A$5:$A$24,'菜品主数据'!$G$5:$G$24,0)</x:f>
        <x:v>650.349</x:v>
      </x:c>
    </x:row>
    <x:row r="267">
      <x:c r="A267" s="19" t="str">
        <x:v>2026-07-13|S02|D03</x:v>
      </x:c>
      <x:c r="B267" s="34" t="n">
        <x:v>46216.5</x:v>
      </x:c>
      <x:c r="C267" s="19" t="str">
        <x:v>S02</x:v>
      </x:c>
      <x:c r="D267" s="19" t="str">
        <x:v>尊宝大厦店</x:v>
      </x:c>
      <x:c r="E267" s="19" t="str">
        <x:v>D03</x:v>
      </x:c>
      <x:c r="F267" s="19" t="str">
        <x:v>香醋炒蛋</x:v>
      </x:c>
      <x:c r="G267" s="20" t="n">
        <x:f>SUMIFS('7日销售明细'!$K$5:$K$2244,'7日销售明细'!$B$5:$B$2244,B267,'7日销售明细'!$D$5:$D$2244,C267,'7日销售明细'!$H$5:$H$2244,E267)</x:f>
        <x:v>48</x:v>
      </x:c>
      <x:c r="H267" s="35" t="n">
        <x:f>SUMIFS('7日销售明细'!$L$5:$L$2244,'7日销售明细'!$B$5:$B$2244,B267,'7日销售明细'!$D$5:$D$2244,C267,'7日销售明细'!$H$5:$H$2244,E267)</x:f>
        <x:v>715.2</x:v>
      </x:c>
      <x:c r="I267" s="35" t="n">
        <x:f>G267*XLOOKUP(E267,'菜品主数据'!$A$5:$A$24,'菜品主数据'!$G$5:$G$24,0)</x:f>
        <x:v>179.808</x:v>
      </x:c>
    </x:row>
    <x:row r="268">
      <x:c r="A268" s="19" t="str">
        <x:v>2026-07-13|S02|D04</x:v>
      </x:c>
      <x:c r="B268" s="34" t="n">
        <x:v>46216.5</x:v>
      </x:c>
      <x:c r="C268" s="19" t="str">
        <x:v>S02</x:v>
      </x:c>
      <x:c r="D268" s="19" t="str">
        <x:v>尊宝大厦店</x:v>
      </x:c>
      <x:c r="E268" s="19" t="str">
        <x:v>D04</x:v>
      </x:c>
      <x:c r="F268" s="19" t="str">
        <x:v>酸包菜炒粉皮</x:v>
      </x:c>
      <x:c r="G268" s="20" t="n">
        <x:f>SUMIFS('7日销售明细'!$K$5:$K$2244,'7日销售明细'!$B$5:$B$2244,B268,'7日销售明细'!$D$5:$D$2244,C268,'7日销售明细'!$H$5:$H$2244,E268)</x:f>
        <x:v>48</x:v>
      </x:c>
      <x:c r="H268" s="35" t="n">
        <x:f>SUMIFS('7日销售明细'!$L$5:$L$2244,'7日销售明细'!$B$5:$B$2244,B268,'7日销售明细'!$D$5:$D$2244,C268,'7日销售明细'!$H$5:$H$2244,E268)</x:f>
        <x:v>768</x:v>
      </x:c>
      <x:c r="I268" s="35" t="n">
        <x:f>G268*XLOOKUP(E268,'菜品主数据'!$A$5:$A$24,'菜品主数据'!$G$5:$G$24,0)</x:f>
        <x:v>190.94400000000002</x:v>
      </x:c>
    </x:row>
    <x:row r="269">
      <x:c r="A269" s="19" t="str">
        <x:v>2026-07-13|S02|D05</x:v>
      </x:c>
      <x:c r="B269" s="34" t="n">
        <x:v>46216.5</x:v>
      </x:c>
      <x:c r="C269" s="19" t="str">
        <x:v>S02</x:v>
      </x:c>
      <x:c r="D269" s="19" t="str">
        <x:v>尊宝大厦店</x:v>
      </x:c>
      <x:c r="E269" s="19" t="str">
        <x:v>D05</x:v>
      </x:c>
      <x:c r="F269" s="19" t="str">
        <x:v>麻婆豆腐</x:v>
      </x:c>
      <x:c r="G269" s="20" t="n">
        <x:f>SUMIFS('7日销售明细'!$K$5:$K$2244,'7日销售明细'!$B$5:$B$2244,B269,'7日销售明细'!$D$5:$D$2244,C269,'7日销售明细'!$H$5:$H$2244,E269)</x:f>
        <x:v>57</x:v>
      </x:c>
      <x:c r="H269" s="35" t="n">
        <x:f>SUMIFS('7日销售明细'!$L$5:$L$2244,'7日销售明细'!$B$5:$B$2244,B269,'7日销售明细'!$D$5:$D$2244,C269,'7日销售明细'!$H$5:$H$2244,E269)</x:f>
        <x:v>564.3000000000001</x:v>
      </x:c>
      <x:c r="I269" s="35" t="n">
        <x:f>G269*XLOOKUP(E269,'菜品主数据'!$A$5:$A$24,'菜品主数据'!$G$5:$G$24,0)</x:f>
        <x:v>305.91900000000004</x:v>
      </x:c>
    </x:row>
    <x:row r="270">
      <x:c r="A270" s="19" t="str">
        <x:v>2026-07-13|S02|D06</x:v>
      </x:c>
      <x:c r="B270" s="34" t="n">
        <x:v>46216.5</x:v>
      </x:c>
      <x:c r="C270" s="19" t="str">
        <x:v>S02</x:v>
      </x:c>
      <x:c r="D270" s="19" t="str">
        <x:v>尊宝大厦店</x:v>
      </x:c>
      <x:c r="E270" s="19" t="str">
        <x:v>D06</x:v>
      </x:c>
      <x:c r="F270" s="19" t="str">
        <x:v>剁椒鱼头</x:v>
      </x:c>
      <x:c r="G270" s="20" t="n">
        <x:f>SUMIFS('7日销售明细'!$K$5:$K$2244,'7日销售明细'!$B$5:$B$2244,B270,'7日销售明细'!$D$5:$D$2244,C270,'7日销售明细'!$H$5:$H$2244,E270)</x:f>
        <x:v>14</x:v>
      </x:c>
      <x:c r="H270" s="35" t="n">
        <x:f>SUMIFS('7日销售明细'!$L$5:$L$2244,'7日销售明细'!$B$5:$B$2244,B270,'7日销售明细'!$D$5:$D$2244,C270,'7日销售明细'!$H$5:$H$2244,E270)</x:f>
        <x:v>546</x:v>
      </x:c>
      <x:c r="I270" s="35" t="n">
        <x:f>G270*XLOOKUP(E270,'菜品主数据'!$A$5:$A$24,'菜品主数据'!$G$5:$G$24,0)</x:f>
        <x:v>244.24400000000003</x:v>
      </x:c>
    </x:row>
    <x:row r="271">
      <x:c r="A271" s="19" t="str">
        <x:v>2026-07-13|S02|D07</x:v>
      </x:c>
      <x:c r="B271" s="34" t="n">
        <x:v>46216.5</x:v>
      </x:c>
      <x:c r="C271" s="19" t="str">
        <x:v>S02</x:v>
      </x:c>
      <x:c r="D271" s="19" t="str">
        <x:v>尊宝大厦店</x:v>
      </x:c>
      <x:c r="E271" s="19" t="str">
        <x:v>D07</x:v>
      </x:c>
      <x:c r="F271" s="19" t="str">
        <x:v>川味回锅肉</x:v>
      </x:c>
      <x:c r="G271" s="20" t="n">
        <x:f>SUMIFS('7日销售明细'!$K$5:$K$2244,'7日销售明细'!$B$5:$B$2244,B271,'7日销售明细'!$D$5:$D$2244,C271,'7日销售明细'!$H$5:$H$2244,E271)</x:f>
        <x:v>18</x:v>
      </x:c>
      <x:c r="H271" s="35" t="n">
        <x:f>SUMIFS('7日销售明细'!$L$5:$L$2244,'7日销售明细'!$B$5:$B$2244,B271,'7日销售明细'!$D$5:$D$2244,C271,'7日销售明细'!$H$5:$H$2244,E271)</x:f>
        <x:v>522</x:v>
      </x:c>
      <x:c r="I271" s="35" t="n">
        <x:f>G271*XLOOKUP(E271,'菜品主数据'!$A$5:$A$24,'菜品主数据'!$G$5:$G$24,0)</x:f>
        <x:v>184.15800000000002</x:v>
      </x:c>
    </x:row>
    <x:row r="272">
      <x:c r="A272" s="19" t="str">
        <x:v>2026-07-13|S02|D08</x:v>
      </x:c>
      <x:c r="B272" s="34" t="n">
        <x:v>46216.5</x:v>
      </x:c>
      <x:c r="C272" s="19" t="str">
        <x:v>S02</x:v>
      </x:c>
      <x:c r="D272" s="19" t="str">
        <x:v>尊宝大厦店</x:v>
      </x:c>
      <x:c r="E272" s="19" t="str">
        <x:v>D08</x:v>
      </x:c>
      <x:c r="F272" s="19" t="str">
        <x:v>生炒清远鸡</x:v>
      </x:c>
      <x:c r="G272" s="20" t="n">
        <x:f>SUMIFS('7日销售明细'!$K$5:$K$2244,'7日销售明细'!$B$5:$B$2244,B272,'7日销售明细'!$D$5:$D$2244,C272,'7日销售明细'!$H$5:$H$2244,E272)</x:f>
        <x:v>13</x:v>
      </x:c>
      <x:c r="H272" s="35" t="n">
        <x:f>SUMIFS('7日销售明细'!$L$5:$L$2244,'7日销售明细'!$B$5:$B$2244,B272,'7日销售明细'!$D$5:$D$2244,C272,'7日销售明细'!$H$5:$H$2244,E272)</x:f>
        <x:v>468</x:v>
      </x:c>
      <x:c r="I272" s="35" t="n">
        <x:f>G272*XLOOKUP(E272,'菜品主数据'!$A$5:$A$24,'菜品主数据'!$G$5:$G$24,0)</x:f>
        <x:v>175.24</x:v>
      </x:c>
    </x:row>
    <x:row r="273">
      <x:c r="A273" s="19" t="str">
        <x:v>2026-07-13|S02|D09</x:v>
      </x:c>
      <x:c r="B273" s="34" t="n">
        <x:v>46216.5</x:v>
      </x:c>
      <x:c r="C273" s="19" t="str">
        <x:v>S02</x:v>
      </x:c>
      <x:c r="D273" s="19" t="str">
        <x:v>尊宝大厦店</x:v>
      </x:c>
      <x:c r="E273" s="19" t="str">
        <x:v>D09</x:v>
      </x:c>
      <x:c r="F273" s="19" t="str">
        <x:v>炒豆干</x:v>
      </x:c>
      <x:c r="G273" s="20" t="n">
        <x:f>SUMIFS('7日销售明细'!$K$5:$K$2244,'7日销售明细'!$B$5:$B$2244,B273,'7日销售明细'!$D$5:$D$2244,C273,'7日销售明细'!$H$5:$H$2244,E273)</x:f>
        <x:v>20</x:v>
      </x:c>
      <x:c r="H273" s="35" t="n">
        <x:f>SUMIFS('7日销售明细'!$L$5:$L$2244,'7日销售明细'!$B$5:$B$2244,B273,'7日销售明细'!$D$5:$D$2244,C273,'7日销售明细'!$H$5:$H$2244,E273)</x:f>
        <x:v>360</x:v>
      </x:c>
      <x:c r="I273" s="35" t="n">
        <x:f>G273*XLOOKUP(E273,'菜品主数据'!$A$5:$A$24,'菜品主数据'!$G$5:$G$24,0)</x:f>
        <x:v>132.27999999999997</x:v>
      </x:c>
    </x:row>
    <x:row r="274">
      <x:c r="A274" s="19" t="str">
        <x:v>2026-07-13|S02|D10</x:v>
      </x:c>
      <x:c r="B274" s="34" t="n">
        <x:v>46216.5</x:v>
      </x:c>
      <x:c r="C274" s="19" t="str">
        <x:v>S02</x:v>
      </x:c>
      <x:c r="D274" s="19" t="str">
        <x:v>尊宝大厦店</x:v>
      </x:c>
      <x:c r="E274" s="19" t="str">
        <x:v>D10</x:v>
      </x:c>
      <x:c r="F274" s="19" t="str">
        <x:v>农家一碗香</x:v>
      </x:c>
      <x:c r="G274" s="20" t="n">
        <x:f>SUMIFS('7日销售明细'!$K$5:$K$2244,'7日销售明细'!$B$5:$B$2244,B274,'7日销售明细'!$D$5:$D$2244,C274,'7日销售明细'!$H$5:$H$2244,E274)</x:f>
        <x:v>23</x:v>
      </x:c>
      <x:c r="H274" s="35" t="n">
        <x:f>SUMIFS('7日销售明细'!$L$5:$L$2244,'7日销售明细'!$B$5:$B$2244,B274,'7日销售明细'!$D$5:$D$2244,C274,'7日销售明细'!$H$5:$H$2244,E274)</x:f>
        <x:v>526.6999999999999</x:v>
      </x:c>
      <x:c r="I274" s="35" t="n">
        <x:f>G274*XLOOKUP(E274,'菜品主数据'!$A$5:$A$24,'菜品主数据'!$G$5:$G$24,0)</x:f>
        <x:v>224.71460000000008</x:v>
      </x:c>
    </x:row>
    <x:row r="275">
      <x:c r="A275" s="19" t="str">
        <x:v>2026-07-13|S02|D11</x:v>
      </x:c>
      <x:c r="B275" s="34" t="n">
        <x:v>46216.5</x:v>
      </x:c>
      <x:c r="C275" s="19" t="str">
        <x:v>S02</x:v>
      </x:c>
      <x:c r="D275" s="19" t="str">
        <x:v>尊宝大厦店</x:v>
      </x:c>
      <x:c r="E275" s="19" t="str">
        <x:v>D11</x:v>
      </x:c>
      <x:c r="F275" s="19" t="str">
        <x:v>香辣爆肥肠</x:v>
      </x:c>
      <x:c r="G275" s="20" t="n">
        <x:f>SUMIFS('7日销售明细'!$K$5:$K$2244,'7日销售明细'!$B$5:$B$2244,B275,'7日销售明细'!$D$5:$D$2244,C275,'7日销售明细'!$H$5:$H$2244,E275)</x:f>
        <x:v>8</x:v>
      </x:c>
      <x:c r="H275" s="35" t="n">
        <x:f>SUMIFS('7日销售明细'!$L$5:$L$2244,'7日销售明细'!$B$5:$B$2244,B275,'7日销售明细'!$D$5:$D$2244,C275,'7日销售明细'!$H$5:$H$2244,E275)</x:f>
        <x:v>312</x:v>
      </x:c>
      <x:c r="I275" s="35" t="n">
        <x:f>G275*XLOOKUP(E275,'菜品主数据'!$A$5:$A$24,'菜品主数据'!$G$5:$G$24,0)</x:f>
        <x:v>83.176</x:v>
      </x:c>
    </x:row>
    <x:row r="276">
      <x:c r="A276" s="19" t="str">
        <x:v>2026-07-13|S02|D12</x:v>
      </x:c>
      <x:c r="B276" s="34" t="n">
        <x:v>46216.5</x:v>
      </x:c>
      <x:c r="C276" s="19" t="str">
        <x:v>S02</x:v>
      </x:c>
      <x:c r="D276" s="19" t="str">
        <x:v>尊宝大厦店</x:v>
      </x:c>
      <x:c r="E276" s="19" t="str">
        <x:v>D12</x:v>
      </x:c>
      <x:c r="F276" s="19" t="str">
        <x:v>清蒸鲈鱼</x:v>
      </x:c>
      <x:c r="G276" s="20" t="n">
        <x:f>SUMIFS('7日销售明细'!$K$5:$K$2244,'7日销售明细'!$B$5:$B$2244,B276,'7日销售明细'!$D$5:$D$2244,C276,'7日销售明细'!$H$5:$H$2244,E276)</x:f>
        <x:v>8</x:v>
      </x:c>
      <x:c r="H276" s="35" t="n">
        <x:f>SUMIFS('7日销售明细'!$L$5:$L$2244,'7日销售明细'!$B$5:$B$2244,B276,'7日销售明细'!$D$5:$D$2244,C276,'7日销售明细'!$H$5:$H$2244,E276)</x:f>
        <x:v>312</x:v>
      </x:c>
      <x:c r="I276" s="35" t="n">
        <x:f>G276*XLOOKUP(E276,'菜品主数据'!$A$5:$A$24,'菜品主数据'!$G$5:$G$24,0)</x:f>
        <x:v>150.992</x:v>
      </x:c>
    </x:row>
    <x:row r="277">
      <x:c r="A277" s="19" t="str">
        <x:v>2026-07-13|S02|D13</x:v>
      </x:c>
      <x:c r="B277" s="34" t="n">
        <x:v>46216.5</x:v>
      </x:c>
      <x:c r="C277" s="19" t="str">
        <x:v>S02</x:v>
      </x:c>
      <x:c r="D277" s="19" t="str">
        <x:v>尊宝大厦店</x:v>
      </x:c>
      <x:c r="E277" s="19" t="str">
        <x:v>D13</x:v>
      </x:c>
      <x:c r="F277" s="19" t="str">
        <x:v>外婆菜炒蛋</x:v>
      </x:c>
      <x:c r="G277" s="20" t="n">
        <x:f>SUMIFS('7日销售明细'!$K$5:$K$2244,'7日销售明细'!$B$5:$B$2244,B277,'7日销售明细'!$D$5:$D$2244,C277,'7日销售明细'!$H$5:$H$2244,E277)</x:f>
        <x:v>19</x:v>
      </x:c>
      <x:c r="H277" s="35" t="n">
        <x:f>SUMIFS('7日销售明细'!$L$5:$L$2244,'7日销售明细'!$B$5:$B$2244,B277,'7日销售明细'!$D$5:$D$2244,C277,'7日销售明细'!$H$5:$H$2244,E277)</x:f>
        <x:v>342</x:v>
      </x:c>
      <x:c r="I277" s="35" t="n">
        <x:f>G277*XLOOKUP(E277,'菜品主数据'!$A$5:$A$24,'菜品主数据'!$G$5:$G$24,0)</x:f>
        <x:v>102.67599999999999</x:v>
      </x:c>
    </x:row>
    <x:row r="278">
      <x:c r="A278" s="19" t="str">
        <x:v>2026-07-13|S02|D14</x:v>
      </x:c>
      <x:c r="B278" s="34" t="n">
        <x:v>46216.5</x:v>
      </x:c>
      <x:c r="C278" s="19" t="str">
        <x:v>S02</x:v>
      </x:c>
      <x:c r="D278" s="19" t="str">
        <x:v>尊宝大厦店</x:v>
      </x:c>
      <x:c r="E278" s="19" t="str">
        <x:v>D14</x:v>
      </x:c>
      <x:c r="F278" s="19" t="str">
        <x:v>酸辣鸡杂</x:v>
      </x:c>
      <x:c r="G278" s="20" t="n">
        <x:f>SUMIFS('7日销售明细'!$K$5:$K$2244,'7日销售明细'!$B$5:$B$2244,B278,'7日销售明细'!$D$5:$D$2244,C278,'7日销售明细'!$H$5:$H$2244,E278)</x:f>
        <x:v>10</x:v>
      </x:c>
      <x:c r="H278" s="35" t="n">
        <x:f>SUMIFS('7日销售明细'!$L$5:$L$2244,'7日销售明细'!$B$5:$B$2244,B278,'7日销售明细'!$D$5:$D$2244,C278,'7日销售明细'!$H$5:$H$2244,E278)</x:f>
        <x:v>280</x:v>
      </x:c>
      <x:c r="I278" s="35" t="n">
        <x:f>G278*XLOOKUP(E278,'菜品主数据'!$A$5:$A$24,'菜品主数据'!$G$5:$G$24,0)</x:f>
        <x:v>83.15</x:v>
      </x:c>
    </x:row>
    <x:row r="279">
      <x:c r="A279" s="19" t="str">
        <x:v>2026-07-13|S02|D15</x:v>
      </x:c>
      <x:c r="B279" s="34" t="n">
        <x:v>46216.5</x:v>
      </x:c>
      <x:c r="C279" s="19" t="str">
        <x:v>S02</x:v>
      </x:c>
      <x:c r="D279" s="19" t="str">
        <x:v>尊宝大厦店</x:v>
      </x:c>
      <x:c r="E279" s="19" t="str">
        <x:v>D15</x:v>
      </x:c>
      <x:c r="F279" s="19" t="str">
        <x:v>湘西土匪猪肝</x:v>
      </x:c>
      <x:c r="G279" s="20" t="n">
        <x:f>SUMIFS('7日销售明细'!$K$5:$K$2244,'7日销售明细'!$B$5:$B$2244,B279,'7日销售明细'!$D$5:$D$2244,C279,'7日销售明细'!$H$5:$H$2244,E279)</x:f>
        <x:v>9</x:v>
      </x:c>
      <x:c r="H279" s="35" t="n">
        <x:f>SUMIFS('7日销售明细'!$L$5:$L$2244,'7日销售明细'!$B$5:$B$2244,B279,'7日销售明细'!$D$5:$D$2244,C279,'7日销售明细'!$H$5:$H$2244,E279)</x:f>
        <x:v>234</x:v>
      </x:c>
      <x:c r="I279" s="35" t="n">
        <x:f>G279*XLOOKUP(E279,'菜品主数据'!$A$5:$A$24,'菜品主数据'!$G$5:$G$24,0)</x:f>
        <x:v>57.38399999999999</x:v>
      </x:c>
    </x:row>
    <x:row r="280">
      <x:c r="A280" s="19" t="str">
        <x:v>2026-07-13|S02|D16</x:v>
      </x:c>
      <x:c r="B280" s="34" t="n">
        <x:v>46216.5</x:v>
      </x:c>
      <x:c r="C280" s="19" t="str">
        <x:v>S02</x:v>
      </x:c>
      <x:c r="D280" s="19" t="str">
        <x:v>尊宝大厦店</x:v>
      </x:c>
      <x:c r="E280" s="19" t="str">
        <x:v>D16</x:v>
      </x:c>
      <x:c r="F280" s="19" t="str">
        <x:v>小豆角炒五花</x:v>
      </x:c>
      <x:c r="G280" s="20" t="n">
        <x:f>SUMIFS('7日销售明细'!$K$5:$K$2244,'7日销售明细'!$B$5:$B$2244,B280,'7日销售明细'!$D$5:$D$2244,C280,'7日销售明细'!$H$5:$H$2244,E280)</x:f>
        <x:v>8</x:v>
      </x:c>
      <x:c r="H280" s="35" t="n">
        <x:f>SUMIFS('7日销售明细'!$L$5:$L$2244,'7日销售明细'!$B$5:$B$2244,B280,'7日销售明细'!$D$5:$D$2244,C280,'7日销售明细'!$H$5:$H$2244,E280)</x:f>
        <x:v>200</x:v>
      </x:c>
      <x:c r="I280" s="35" t="n">
        <x:f>G280*XLOOKUP(E280,'菜品主数据'!$A$5:$A$24,'菜品主数据'!$G$5:$G$24,0)</x:f>
        <x:v>65.472</x:v>
      </x:c>
    </x:row>
    <x:row r="281">
      <x:c r="A281" s="19" t="str">
        <x:v>2026-07-13|S02|D17</x:v>
      </x:c>
      <x:c r="B281" s="34" t="n">
        <x:v>46216.5</x:v>
      </x:c>
      <x:c r="C281" s="19" t="str">
        <x:v>S02</x:v>
      </x:c>
      <x:c r="D281" s="19" t="str">
        <x:v>尊宝大厦店</x:v>
      </x:c>
      <x:c r="E281" s="19" t="str">
        <x:v>D17</x:v>
      </x:c>
      <x:c r="F281" s="19" t="str">
        <x:v>蒜蓉粉丝虾</x:v>
      </x:c>
      <x:c r="G281" s="20" t="n">
        <x:f>SUMIFS('7日销售明细'!$K$5:$K$2244,'7日销售明细'!$B$5:$B$2244,B281,'7日销售明细'!$D$5:$D$2244,C281,'7日销售明细'!$H$5:$H$2244,E281)</x:f>
        <x:v>6</x:v>
      </x:c>
      <x:c r="H281" s="35" t="n">
        <x:f>SUMIFS('7日销售明细'!$L$5:$L$2244,'7日销售明细'!$B$5:$B$2244,B281,'7日销售明细'!$D$5:$D$2244,C281,'7日销售明细'!$H$5:$H$2244,E281)</x:f>
        <x:v>216</x:v>
      </x:c>
      <x:c r="I281" s="35" t="n">
        <x:f>G281*XLOOKUP(E281,'菜品主数据'!$A$5:$A$24,'菜品主数据'!$G$5:$G$24,0)</x:f>
        <x:v>81.564</x:v>
      </x:c>
    </x:row>
    <x:row r="282">
      <x:c r="A282" s="19" t="str">
        <x:v>2026-07-13|S02|D18</x:v>
      </x:c>
      <x:c r="B282" s="34" t="n">
        <x:v>46216.5</x:v>
      </x:c>
      <x:c r="C282" s="19" t="str">
        <x:v>S02</x:v>
      </x:c>
      <x:c r="D282" s="19" t="str">
        <x:v>尊宝大厦店</x:v>
      </x:c>
      <x:c r="E282" s="19" t="str">
        <x:v>D18</x:v>
      </x:c>
      <x:c r="F282" s="19" t="str">
        <x:v>青椒炒油麦菜</x:v>
      </x:c>
      <x:c r="G282" s="20" t="n">
        <x:f>SUMIFS('7日销售明细'!$K$5:$K$2244,'7日销售明细'!$B$5:$B$2244,B282,'7日销售明细'!$D$5:$D$2244,C282,'7日销售明细'!$H$5:$H$2244,E282)</x:f>
        <x:v>11</x:v>
      </x:c>
      <x:c r="H282" s="35" t="n">
        <x:f>SUMIFS('7日销售明细'!$L$5:$L$2244,'7日销售明细'!$B$5:$B$2244,B282,'7日销售明细'!$D$5:$D$2244,C282,'7日销售明细'!$H$5:$H$2244,E282)</x:f>
        <x:v>198</x:v>
      </x:c>
      <x:c r="I282" s="35" t="n">
        <x:f>G282*XLOOKUP(E282,'菜品主数据'!$A$5:$A$24,'菜品主数据'!$G$5:$G$24,0)</x:f>
        <x:v>34.93599999999999</x:v>
      </x:c>
    </x:row>
    <x:row r="283">
      <x:c r="A283" s="19" t="str">
        <x:v>2026-07-13|S02|D19</x:v>
      </x:c>
      <x:c r="B283" s="34" t="n">
        <x:v>46216.5</x:v>
      </x:c>
      <x:c r="C283" s="19" t="str">
        <x:v>S02</x:v>
      </x:c>
      <x:c r="D283" s="19" t="str">
        <x:v>尊宝大厦店</x:v>
      </x:c>
      <x:c r="E283" s="19" t="str">
        <x:v>D19</x:v>
      </x:c>
      <x:c r="F283" s="19" t="str">
        <x:v>酸萝卜炒鸡杂</x:v>
      </x:c>
      <x:c r="G283" s="20" t="n">
        <x:f>SUMIFS('7日销售明细'!$K$5:$K$2244,'7日销售明细'!$B$5:$B$2244,B283,'7日销售明细'!$D$5:$D$2244,C283,'7日销售明细'!$H$5:$H$2244,E283)</x:f>
        <x:v>7</x:v>
      </x:c>
      <x:c r="H283" s="35" t="n">
        <x:f>SUMIFS('7日销售明细'!$L$5:$L$2244,'7日销售明细'!$B$5:$B$2244,B283,'7日销售明细'!$D$5:$D$2244,C283,'7日销售明细'!$H$5:$H$2244,E283)</x:f>
        <x:v>175</x:v>
      </x:c>
      <x:c r="I283" s="35" t="n">
        <x:f>G283*XLOOKUP(E283,'菜品主数据'!$A$5:$A$24,'菜品主数据'!$G$5:$G$24,0)</x:f>
        <x:v>55.58</x:v>
      </x:c>
    </x:row>
    <x:row r="284">
      <x:c r="A284" s="19" t="str">
        <x:v>2026-07-13|S02|D20</x:v>
      </x:c>
      <x:c r="B284" s="34" t="n">
        <x:v>46216.5</x:v>
      </x:c>
      <x:c r="C284" s="19" t="str">
        <x:v>S02</x:v>
      </x:c>
      <x:c r="D284" s="19" t="str">
        <x:v>尊宝大厦店</x:v>
      </x:c>
      <x:c r="E284" s="19" t="str">
        <x:v>D20</x:v>
      </x:c>
      <x:c r="F284" s="19" t="str">
        <x:v>雪菜肉末青豆</x:v>
      </x:c>
      <x:c r="G284" s="20" t="n">
        <x:f>SUMIFS('7日销售明细'!$K$5:$K$2244,'7日销售明细'!$B$5:$B$2244,B284,'7日销售明细'!$D$5:$D$2244,C284,'7日销售明细'!$H$5:$H$2244,E284)</x:f>
        <x:v>11</x:v>
      </x:c>
      <x:c r="H284" s="35" t="n">
        <x:f>SUMIFS('7日销售明细'!$L$5:$L$2244,'7日销售明细'!$B$5:$B$2244,B284,'7日销售明细'!$D$5:$D$2244,C284,'7日销售明细'!$H$5:$H$2244,E284)</x:f>
        <x:v>198</x:v>
      </x:c>
      <x:c r="I284" s="35" t="n">
        <x:f>G284*XLOOKUP(E284,'菜品主数据'!$A$5:$A$24,'菜品主数据'!$G$5:$G$24,0)</x:f>
        <x:v>80.344</x:v>
      </x:c>
    </x:row>
    <x:row r="285">
      <x:c r="A285" s="19" t="str">
        <x:v>2026-07-07|S03|D01</x:v>
      </x:c>
      <x:c r="B285" s="34" t="n">
        <x:v>46210.5</x:v>
      </x:c>
      <x:c r="C285" s="19" t="str">
        <x:v>S03</x:v>
      </x:c>
      <x:c r="D285" s="19" t="str">
        <x:v>铂悦城店</x:v>
      </x:c>
      <x:c r="E285" s="19" t="str">
        <x:v>D01</x:v>
      </x:c>
      <x:c r="F285" s="19" t="str">
        <x:v>辣椒炒肉</x:v>
      </x:c>
      <x:c r="G285" s="20" t="n">
        <x:f>SUMIFS('7日销售明细'!$K$5:$K$2244,'7日销售明细'!$B$5:$B$2244,B285,'7日销售明细'!$D$5:$D$2244,C285,'7日销售明细'!$H$5:$H$2244,E285)</x:f>
        <x:v>53</x:v>
      </x:c>
      <x:c r="H285" s="35" t="n">
        <x:f>SUMIFS('7日销售明细'!$L$5:$L$2244,'7日销售明细'!$B$5:$B$2244,B285,'7日销售明细'!$D$5:$D$2244,C285,'7日销售明细'!$H$5:$H$2244,E285)</x:f>
        <x:v>1537</x:v>
      </x:c>
      <x:c r="I285" s="35" t="n">
        <x:f>G285*XLOOKUP(E285,'菜品主数据'!$A$5:$A$24,'菜品主数据'!$G$5:$G$24,0)</x:f>
        <x:v>457.62320000000005</x:v>
      </x:c>
    </x:row>
    <x:row r="286">
      <x:c r="A286" s="19" t="str">
        <x:v>2026-07-07|S03|D02</x:v>
      </x:c>
      <x:c r="B286" s="34" t="n">
        <x:v>46210.5</x:v>
      </x:c>
      <x:c r="C286" s="19" t="str">
        <x:v>S03</x:v>
      </x:c>
      <x:c r="D286" s="19" t="str">
        <x:v>铂悦城店</x:v>
      </x:c>
      <x:c r="E286" s="19" t="str">
        <x:v>D02</x:v>
      </x:c>
      <x:c r="F286" s="19" t="str">
        <x:v>小炒黄牛肉</x:v>
      </x:c>
      <x:c r="G286" s="20" t="n">
        <x:f>SUMIFS('7日销售明细'!$K$5:$K$2244,'7日销售明细'!$B$5:$B$2244,B286,'7日销售明细'!$D$5:$D$2244,C286,'7日销售明细'!$H$5:$H$2244,E286)</x:f>
        <x:v>33</x:v>
      </x:c>
      <x:c r="H286" s="35" t="n">
        <x:f>SUMIFS('7日销售明细'!$L$5:$L$2244,'7日销售明细'!$B$5:$B$2244,B286,'7日销售明细'!$D$5:$D$2244,C286,'7日销售明细'!$H$5:$H$2244,E286)</x:f>
        <x:v>1617</x:v>
      </x:c>
      <x:c r="I286" s="35" t="n">
        <x:f>G286*XLOOKUP(E286,'菜品主数据'!$A$5:$A$24,'菜品主数据'!$G$5:$G$24,0)</x:f>
        <x:v>580.041</x:v>
      </x:c>
    </x:row>
    <x:row r="287">
      <x:c r="A287" s="19" t="str">
        <x:v>2026-07-07|S03|D03</x:v>
      </x:c>
      <x:c r="B287" s="34" t="n">
        <x:v>46210.5</x:v>
      </x:c>
      <x:c r="C287" s="19" t="str">
        <x:v>S03</x:v>
      </x:c>
      <x:c r="D287" s="19" t="str">
        <x:v>铂悦城店</x:v>
      </x:c>
      <x:c r="E287" s="19" t="str">
        <x:v>D03</x:v>
      </x:c>
      <x:c r="F287" s="19" t="str">
        <x:v>香醋炒蛋</x:v>
      </x:c>
      <x:c r="G287" s="20" t="n">
        <x:f>SUMIFS('7日销售明细'!$K$5:$K$2244,'7日销售明细'!$B$5:$B$2244,B287,'7日销售明细'!$D$5:$D$2244,C287,'7日销售明细'!$H$5:$H$2244,E287)</x:f>
        <x:v>46</x:v>
      </x:c>
      <x:c r="H287" s="35" t="n">
        <x:f>SUMIFS('7日销售明细'!$L$5:$L$2244,'7日销售明细'!$B$5:$B$2244,B287,'7日销售明细'!$D$5:$D$2244,C287,'7日销售明细'!$H$5:$H$2244,E287)</x:f>
        <x:v>685.4000000000001</x:v>
      </x:c>
      <x:c r="I287" s="35" t="n">
        <x:f>G287*XLOOKUP(E287,'菜品主数据'!$A$5:$A$24,'菜品主数据'!$G$5:$G$24,0)</x:f>
        <x:v>172.31599999999997</x:v>
      </x:c>
    </x:row>
    <x:row r="288">
      <x:c r="A288" s="19" t="str">
        <x:v>2026-07-07|S03|D04</x:v>
      </x:c>
      <x:c r="B288" s="34" t="n">
        <x:v>46210.5</x:v>
      </x:c>
      <x:c r="C288" s="19" t="str">
        <x:v>S03</x:v>
      </x:c>
      <x:c r="D288" s="19" t="str">
        <x:v>铂悦城店</x:v>
      </x:c>
      <x:c r="E288" s="19" t="str">
        <x:v>D04</x:v>
      </x:c>
      <x:c r="F288" s="19" t="str">
        <x:v>酸包菜炒粉皮</x:v>
      </x:c>
      <x:c r="G288" s="20" t="n">
        <x:f>SUMIFS('7日销售明细'!$K$5:$K$2244,'7日销售明细'!$B$5:$B$2244,B288,'7日销售明细'!$D$5:$D$2244,C288,'7日销售明细'!$H$5:$H$2244,E288)</x:f>
        <x:v>41</x:v>
      </x:c>
      <x:c r="H288" s="35" t="n">
        <x:f>SUMIFS('7日销售明细'!$L$5:$L$2244,'7日销售明细'!$B$5:$B$2244,B288,'7日销售明细'!$D$5:$D$2244,C288,'7日销售明细'!$H$5:$H$2244,E288)</x:f>
        <x:v>656</x:v>
      </x:c>
      <x:c r="I288" s="35" t="n">
        <x:f>G288*XLOOKUP(E288,'菜品主数据'!$A$5:$A$24,'菜品主数据'!$G$5:$G$24,0)</x:f>
        <x:v>163.098</x:v>
      </x:c>
    </x:row>
    <x:row r="289">
      <x:c r="A289" s="19" t="str">
        <x:v>2026-07-07|S03|D05</x:v>
      </x:c>
      <x:c r="B289" s="34" t="n">
        <x:v>46210.5</x:v>
      </x:c>
      <x:c r="C289" s="19" t="str">
        <x:v>S03</x:v>
      </x:c>
      <x:c r="D289" s="19" t="str">
        <x:v>铂悦城店</x:v>
      </x:c>
      <x:c r="E289" s="19" t="str">
        <x:v>D05</x:v>
      </x:c>
      <x:c r="F289" s="19" t="str">
        <x:v>麻婆豆腐</x:v>
      </x:c>
      <x:c r="G289" s="20" t="n">
        <x:f>SUMIFS('7日销售明细'!$K$5:$K$2244,'7日销售明细'!$B$5:$B$2244,B289,'7日销售明细'!$D$5:$D$2244,C289,'7日销售明细'!$H$5:$H$2244,E289)</x:f>
        <x:v>55</x:v>
      </x:c>
      <x:c r="H289" s="35" t="n">
        <x:f>SUMIFS('7日销售明细'!$L$5:$L$2244,'7日销售明细'!$B$5:$B$2244,B289,'7日销售明细'!$D$5:$D$2244,C289,'7日销售明细'!$H$5:$H$2244,E289)</x:f>
        <x:v>544.5</x:v>
      </x:c>
      <x:c r="I289" s="35" t="n">
        <x:f>G289*XLOOKUP(E289,'菜品主数据'!$A$5:$A$24,'菜品主数据'!$G$5:$G$24,0)</x:f>
        <x:v>295.18500000000006</x:v>
      </x:c>
    </x:row>
    <x:row r="290">
      <x:c r="A290" s="19" t="str">
        <x:v>2026-07-07|S03|D06</x:v>
      </x:c>
      <x:c r="B290" s="34" t="n">
        <x:v>46210.5</x:v>
      </x:c>
      <x:c r="C290" s="19" t="str">
        <x:v>S03</x:v>
      </x:c>
      <x:c r="D290" s="19" t="str">
        <x:v>铂悦城店</x:v>
      </x:c>
      <x:c r="E290" s="19" t="str">
        <x:v>D06</x:v>
      </x:c>
      <x:c r="F290" s="19" t="str">
        <x:v>剁椒鱼头</x:v>
      </x:c>
      <x:c r="G290" s="20" t="n">
        <x:f>SUMIFS('7日销售明细'!$K$5:$K$2244,'7日销售明细'!$B$5:$B$2244,B290,'7日销售明细'!$D$5:$D$2244,C290,'7日销售明细'!$H$5:$H$2244,E290)</x:f>
        <x:v>13</x:v>
      </x:c>
      <x:c r="H290" s="35" t="n">
        <x:f>SUMIFS('7日销售明细'!$L$5:$L$2244,'7日销售明细'!$B$5:$B$2244,B290,'7日销售明细'!$D$5:$D$2244,C290,'7日销售明细'!$H$5:$H$2244,E290)</x:f>
        <x:v>507</x:v>
      </x:c>
      <x:c r="I290" s="35" t="n">
        <x:f>G290*XLOOKUP(E290,'菜品主数据'!$A$5:$A$24,'菜品主数据'!$G$5:$G$24,0)</x:f>
        <x:v>226.79800000000003</x:v>
      </x:c>
    </x:row>
    <x:row r="291">
      <x:c r="A291" s="19" t="str">
        <x:v>2026-07-07|S03|D07</x:v>
      </x:c>
      <x:c r="B291" s="34" t="n">
        <x:v>46210.5</x:v>
      </x:c>
      <x:c r="C291" s="19" t="str">
        <x:v>S03</x:v>
      </x:c>
      <x:c r="D291" s="19" t="str">
        <x:v>铂悦城店</x:v>
      </x:c>
      <x:c r="E291" s="19" t="str">
        <x:v>D07</x:v>
      </x:c>
      <x:c r="F291" s="19" t="str">
        <x:v>川味回锅肉</x:v>
      </x:c>
      <x:c r="G291" s="20" t="n">
        <x:f>SUMIFS('7日销售明细'!$K$5:$K$2244,'7日销售明细'!$B$5:$B$2244,B291,'7日销售明细'!$D$5:$D$2244,C291,'7日销售明细'!$H$5:$H$2244,E291)</x:f>
        <x:v>17</x:v>
      </x:c>
      <x:c r="H291" s="35" t="n">
        <x:f>SUMIFS('7日销售明细'!$L$5:$L$2244,'7日销售明细'!$B$5:$B$2244,B291,'7日销售明细'!$D$5:$D$2244,C291,'7日销售明细'!$H$5:$H$2244,E291)</x:f>
        <x:v>493</x:v>
      </x:c>
      <x:c r="I291" s="35" t="n">
        <x:f>G291*XLOOKUP(E291,'菜品主数据'!$A$5:$A$24,'菜品主数据'!$G$5:$G$24,0)</x:f>
        <x:v>173.92700000000002</x:v>
      </x:c>
    </x:row>
    <x:row r="292">
      <x:c r="A292" s="19" t="str">
        <x:v>2026-07-07|S03|D08</x:v>
      </x:c>
      <x:c r="B292" s="34" t="n">
        <x:v>46210.5</x:v>
      </x:c>
      <x:c r="C292" s="19" t="str">
        <x:v>S03</x:v>
      </x:c>
      <x:c r="D292" s="19" t="str">
        <x:v>铂悦城店</x:v>
      </x:c>
      <x:c r="E292" s="19" t="str">
        <x:v>D08</x:v>
      </x:c>
      <x:c r="F292" s="19" t="str">
        <x:v>生炒清远鸡</x:v>
      </x:c>
      <x:c r="G292" s="20" t="n">
        <x:f>SUMIFS('7日销售明细'!$K$5:$K$2244,'7日销售明细'!$B$5:$B$2244,B292,'7日销售明细'!$D$5:$D$2244,C292,'7日销售明细'!$H$5:$H$2244,E292)</x:f>
        <x:v>11</x:v>
      </x:c>
      <x:c r="H292" s="35" t="n">
        <x:f>SUMIFS('7日销售明细'!$L$5:$L$2244,'7日销售明细'!$B$5:$B$2244,B292,'7日销售明细'!$D$5:$D$2244,C292,'7日销售明细'!$H$5:$H$2244,E292)</x:f>
        <x:v>396</x:v>
      </x:c>
      <x:c r="I292" s="35" t="n">
        <x:f>G292*XLOOKUP(E292,'菜品主数据'!$A$5:$A$24,'菜品主数据'!$G$5:$G$24,0)</x:f>
        <x:v>148.28</x:v>
      </x:c>
    </x:row>
    <x:row r="293">
      <x:c r="A293" s="19" t="str">
        <x:v>2026-07-07|S03|D09</x:v>
      </x:c>
      <x:c r="B293" s="34" t="n">
        <x:v>46210.5</x:v>
      </x:c>
      <x:c r="C293" s="19" t="str">
        <x:v>S03</x:v>
      </x:c>
      <x:c r="D293" s="19" t="str">
        <x:v>铂悦城店</x:v>
      </x:c>
      <x:c r="E293" s="19" t="str">
        <x:v>D09</x:v>
      </x:c>
      <x:c r="F293" s="19" t="str">
        <x:v>炒豆干</x:v>
      </x:c>
      <x:c r="G293" s="20" t="n">
        <x:f>SUMIFS('7日销售明细'!$K$5:$K$2244,'7日销售明细'!$B$5:$B$2244,B293,'7日销售明细'!$D$5:$D$2244,C293,'7日销售明细'!$H$5:$H$2244,E293)</x:f>
        <x:v>18</x:v>
      </x:c>
      <x:c r="H293" s="35" t="n">
        <x:f>SUMIFS('7日销售明细'!$L$5:$L$2244,'7日销售明细'!$B$5:$B$2244,B293,'7日销售明细'!$D$5:$D$2244,C293,'7日销售明细'!$H$5:$H$2244,E293)</x:f>
        <x:v>324</x:v>
      </x:c>
      <x:c r="I293" s="35" t="n">
        <x:f>G293*XLOOKUP(E293,'菜品主数据'!$A$5:$A$24,'菜品主数据'!$G$5:$G$24,0)</x:f>
        <x:v>119.05199999999998</x:v>
      </x:c>
    </x:row>
    <x:row r="294">
      <x:c r="A294" s="19" t="str">
        <x:v>2026-07-07|S03|D10</x:v>
      </x:c>
      <x:c r="B294" s="34" t="n">
        <x:v>46210.5</x:v>
      </x:c>
      <x:c r="C294" s="19" t="str">
        <x:v>S03</x:v>
      </x:c>
      <x:c r="D294" s="19" t="str">
        <x:v>铂悦城店</x:v>
      </x:c>
      <x:c r="E294" s="19" t="str">
        <x:v>D10</x:v>
      </x:c>
      <x:c r="F294" s="19" t="str">
        <x:v>农家一碗香</x:v>
      </x:c>
      <x:c r="G294" s="20" t="n">
        <x:f>SUMIFS('7日销售明细'!$K$5:$K$2244,'7日销售明细'!$B$5:$B$2244,B294,'7日销售明细'!$D$5:$D$2244,C294,'7日销售明细'!$H$5:$H$2244,E294)</x:f>
        <x:v>19</x:v>
      </x:c>
      <x:c r="H294" s="35" t="n">
        <x:f>SUMIFS('7日销售明细'!$L$5:$L$2244,'7日销售明细'!$B$5:$B$2244,B294,'7日销售明细'!$D$5:$D$2244,C294,'7日销售明细'!$H$5:$H$2244,E294)</x:f>
        <x:v>435.09999999999997</x:v>
      </x:c>
      <x:c r="I294" s="35" t="n">
        <x:f>G294*XLOOKUP(E294,'菜品主数据'!$A$5:$A$24,'菜品主数据'!$G$5:$G$24,0)</x:f>
        <x:v>185.63380000000006</x:v>
      </x:c>
    </x:row>
    <x:row r="295">
      <x:c r="A295" s="19" t="str">
        <x:v>2026-07-07|S03|D11</x:v>
      </x:c>
      <x:c r="B295" s="34" t="n">
        <x:v>46210.5</x:v>
      </x:c>
      <x:c r="C295" s="19" t="str">
        <x:v>S03</x:v>
      </x:c>
      <x:c r="D295" s="19" t="str">
        <x:v>铂悦城店</x:v>
      </x:c>
      <x:c r="E295" s="19" t="str">
        <x:v>D11</x:v>
      </x:c>
      <x:c r="F295" s="19" t="str">
        <x:v>香辣爆肥肠</x:v>
      </x:c>
      <x:c r="G295" s="20" t="n">
        <x:f>SUMIFS('7日销售明细'!$K$5:$K$2244,'7日销售明细'!$B$5:$B$2244,B295,'7日销售明细'!$D$5:$D$2244,C295,'7日销售明细'!$H$5:$H$2244,E295)</x:f>
        <x:v>7</x:v>
      </x:c>
      <x:c r="H295" s="35" t="n">
        <x:f>SUMIFS('7日销售明细'!$L$5:$L$2244,'7日销售明细'!$B$5:$B$2244,B295,'7日销售明细'!$D$5:$D$2244,C295,'7日销售明细'!$H$5:$H$2244,E295)</x:f>
        <x:v>273</x:v>
      </x:c>
      <x:c r="I295" s="35" t="n">
        <x:f>G295*XLOOKUP(E295,'菜品主数据'!$A$5:$A$24,'菜品主数据'!$G$5:$G$24,0)</x:f>
        <x:v>72.779</x:v>
      </x:c>
    </x:row>
    <x:row r="296">
      <x:c r="A296" s="19" t="str">
        <x:v>2026-07-07|S03|D12</x:v>
      </x:c>
      <x:c r="B296" s="34" t="n">
        <x:v>46210.5</x:v>
      </x:c>
      <x:c r="C296" s="19" t="str">
        <x:v>S03</x:v>
      </x:c>
      <x:c r="D296" s="19" t="str">
        <x:v>铂悦城店</x:v>
      </x:c>
      <x:c r="E296" s="19" t="str">
        <x:v>D12</x:v>
      </x:c>
      <x:c r="F296" s="19" t="str">
        <x:v>清蒸鲈鱼</x:v>
      </x:c>
      <x:c r="G296" s="20" t="n">
        <x:f>SUMIFS('7日销售明细'!$K$5:$K$2244,'7日销售明细'!$B$5:$B$2244,B296,'7日销售明细'!$D$5:$D$2244,C296,'7日销售明细'!$H$5:$H$2244,E296)</x:f>
        <x:v>7</x:v>
      </x:c>
      <x:c r="H296" s="35" t="n">
        <x:f>SUMIFS('7日销售明细'!$L$5:$L$2244,'7日销售明细'!$B$5:$B$2244,B296,'7日销售明细'!$D$5:$D$2244,C296,'7日销售明细'!$H$5:$H$2244,E296)</x:f>
        <x:v>273</x:v>
      </x:c>
      <x:c r="I296" s="35" t="n">
        <x:f>G296*XLOOKUP(E296,'菜品主数据'!$A$5:$A$24,'菜品主数据'!$G$5:$G$24,0)</x:f>
        <x:v>132.118</x:v>
      </x:c>
    </x:row>
    <x:row r="297">
      <x:c r="A297" s="19" t="str">
        <x:v>2026-07-07|S03|D13</x:v>
      </x:c>
      <x:c r="B297" s="34" t="n">
        <x:v>46210.5</x:v>
      </x:c>
      <x:c r="C297" s="19" t="str">
        <x:v>S03</x:v>
      </x:c>
      <x:c r="D297" s="19" t="str">
        <x:v>铂悦城店</x:v>
      </x:c>
      <x:c r="E297" s="19" t="str">
        <x:v>D13</x:v>
      </x:c>
      <x:c r="F297" s="19" t="str">
        <x:v>外婆菜炒蛋</x:v>
      </x:c>
      <x:c r="G297" s="20" t="n">
        <x:f>SUMIFS('7日销售明细'!$K$5:$K$2244,'7日销售明细'!$B$5:$B$2244,B297,'7日销售明细'!$D$5:$D$2244,C297,'7日销售明细'!$H$5:$H$2244,E297)</x:f>
        <x:v>16</x:v>
      </x:c>
      <x:c r="H297" s="35" t="n">
        <x:f>SUMIFS('7日销售明细'!$L$5:$L$2244,'7日销售明细'!$B$5:$B$2244,B297,'7日销售明细'!$D$5:$D$2244,C297,'7日销售明细'!$H$5:$H$2244,E297)</x:f>
        <x:v>288</x:v>
      </x:c>
      <x:c r="I297" s="35" t="n">
        <x:f>G297*XLOOKUP(E297,'菜品主数据'!$A$5:$A$24,'菜品主数据'!$G$5:$G$24,0)</x:f>
        <x:v>86.46399999999998</x:v>
      </x:c>
    </x:row>
    <x:row r="298">
      <x:c r="A298" s="19" t="str">
        <x:v>2026-07-07|S03|D14</x:v>
      </x:c>
      <x:c r="B298" s="34" t="n">
        <x:v>46210.5</x:v>
      </x:c>
      <x:c r="C298" s="19" t="str">
        <x:v>S03</x:v>
      </x:c>
      <x:c r="D298" s="19" t="str">
        <x:v>铂悦城店</x:v>
      </x:c>
      <x:c r="E298" s="19" t="str">
        <x:v>D14</x:v>
      </x:c>
      <x:c r="F298" s="19" t="str">
        <x:v>酸辣鸡杂</x:v>
      </x:c>
      <x:c r="G298" s="20" t="n">
        <x:f>SUMIFS('7日销售明细'!$K$5:$K$2244,'7日销售明细'!$B$5:$B$2244,B298,'7日销售明细'!$D$5:$D$2244,C298,'7日销售明细'!$H$5:$H$2244,E298)</x:f>
        <x:v>8</x:v>
      </x:c>
      <x:c r="H298" s="35" t="n">
        <x:f>SUMIFS('7日销售明细'!$L$5:$L$2244,'7日销售明细'!$B$5:$B$2244,B298,'7日销售明细'!$D$5:$D$2244,C298,'7日销售明细'!$H$5:$H$2244,E298)</x:f>
        <x:v>224</x:v>
      </x:c>
      <x:c r="I298" s="35" t="n">
        <x:f>G298*XLOOKUP(E298,'菜品主数据'!$A$5:$A$24,'菜品主数据'!$G$5:$G$24,0)</x:f>
        <x:v>66.52000000000001</x:v>
      </x:c>
    </x:row>
    <x:row r="299">
      <x:c r="A299" s="19" t="str">
        <x:v>2026-07-07|S03|D15</x:v>
      </x:c>
      <x:c r="B299" s="34" t="n">
        <x:v>46210.5</x:v>
      </x:c>
      <x:c r="C299" s="19" t="str">
        <x:v>S03</x:v>
      </x:c>
      <x:c r="D299" s="19" t="str">
        <x:v>铂悦城店</x:v>
      </x:c>
      <x:c r="E299" s="19" t="str">
        <x:v>D15</x:v>
      </x:c>
      <x:c r="F299" s="19" t="str">
        <x:v>湘西土匪猪肝</x:v>
      </x:c>
      <x:c r="G299" s="20" t="n">
        <x:f>SUMIFS('7日销售明细'!$K$5:$K$2244,'7日销售明细'!$B$5:$B$2244,B299,'7日销售明细'!$D$5:$D$2244,C299,'7日销售明细'!$H$5:$H$2244,E299)</x:f>
        <x:v>8</x:v>
      </x:c>
      <x:c r="H299" s="35" t="n">
        <x:f>SUMIFS('7日销售明细'!$L$5:$L$2244,'7日销售明细'!$B$5:$B$2244,B299,'7日销售明细'!$D$5:$D$2244,C299,'7日销售明细'!$H$5:$H$2244,E299)</x:f>
        <x:v>208</x:v>
      </x:c>
      <x:c r="I299" s="35" t="n">
        <x:f>G299*XLOOKUP(E299,'菜品主数据'!$A$5:$A$24,'菜品主数据'!$G$5:$G$24,0)</x:f>
        <x:v>51.007999999999996</x:v>
      </x:c>
    </x:row>
    <x:row r="300">
      <x:c r="A300" s="19" t="str">
        <x:v>2026-07-07|S03|D16</x:v>
      </x:c>
      <x:c r="B300" s="34" t="n">
        <x:v>46210.5</x:v>
      </x:c>
      <x:c r="C300" s="19" t="str">
        <x:v>S03</x:v>
      </x:c>
      <x:c r="D300" s="19" t="str">
        <x:v>铂悦城店</x:v>
      </x:c>
      <x:c r="E300" s="19" t="str">
        <x:v>D16</x:v>
      </x:c>
      <x:c r="F300" s="19" t="str">
        <x:v>小豆角炒五花</x:v>
      </x:c>
      <x:c r="G300" s="20" t="n">
        <x:f>SUMIFS('7日销售明细'!$K$5:$K$2244,'7日销售明细'!$B$5:$B$2244,B300,'7日销售明细'!$D$5:$D$2244,C300,'7日销售明细'!$H$5:$H$2244,E300)</x:f>
        <x:v>8</x:v>
      </x:c>
      <x:c r="H300" s="35" t="n">
        <x:f>SUMIFS('7日销售明细'!$L$5:$L$2244,'7日销售明细'!$B$5:$B$2244,B300,'7日销售明细'!$D$5:$D$2244,C300,'7日销售明细'!$H$5:$H$2244,E300)</x:f>
        <x:v>200</x:v>
      </x:c>
      <x:c r="I300" s="35" t="n">
        <x:f>G300*XLOOKUP(E300,'菜品主数据'!$A$5:$A$24,'菜品主数据'!$G$5:$G$24,0)</x:f>
        <x:v>65.472</x:v>
      </x:c>
    </x:row>
    <x:row r="301">
      <x:c r="A301" s="19" t="str">
        <x:v>2026-07-07|S03|D17</x:v>
      </x:c>
      <x:c r="B301" s="34" t="n">
        <x:v>46210.5</x:v>
      </x:c>
      <x:c r="C301" s="19" t="str">
        <x:v>S03</x:v>
      </x:c>
      <x:c r="D301" s="19" t="str">
        <x:v>铂悦城店</x:v>
      </x:c>
      <x:c r="E301" s="19" t="str">
        <x:v>D17</x:v>
      </x:c>
      <x:c r="F301" s="19" t="str">
        <x:v>蒜蓉粉丝虾</x:v>
      </x:c>
      <x:c r="G301" s="20" t="n">
        <x:f>SUMIFS('7日销售明细'!$K$5:$K$2244,'7日销售明细'!$B$5:$B$2244,B301,'7日销售明细'!$D$5:$D$2244,C301,'7日销售明细'!$H$5:$H$2244,E301)</x:f>
        <x:v>5</x:v>
      </x:c>
      <x:c r="H301" s="35" t="n">
        <x:f>SUMIFS('7日销售明细'!$L$5:$L$2244,'7日销售明细'!$B$5:$B$2244,B301,'7日销售明细'!$D$5:$D$2244,C301,'7日销售明细'!$H$5:$H$2244,E301)</x:f>
        <x:v>180</x:v>
      </x:c>
      <x:c r="I301" s="35" t="n">
        <x:f>G301*XLOOKUP(E301,'菜品主数据'!$A$5:$A$24,'菜品主数据'!$G$5:$G$24,0)</x:f>
        <x:v>67.97</x:v>
      </x:c>
    </x:row>
    <x:row r="302">
      <x:c r="A302" s="19" t="str">
        <x:v>2026-07-07|S03|D18</x:v>
      </x:c>
      <x:c r="B302" s="34" t="n">
        <x:v>46210.5</x:v>
      </x:c>
      <x:c r="C302" s="19" t="str">
        <x:v>S03</x:v>
      </x:c>
      <x:c r="D302" s="19" t="str">
        <x:v>铂悦城店</x:v>
      </x:c>
      <x:c r="E302" s="19" t="str">
        <x:v>D18</x:v>
      </x:c>
      <x:c r="F302" s="19" t="str">
        <x:v>青椒炒油麦菜</x:v>
      </x:c>
      <x:c r="G302" s="20" t="n">
        <x:f>SUMIFS('7日销售明细'!$K$5:$K$2244,'7日销售明细'!$B$5:$B$2244,B302,'7日销售明细'!$D$5:$D$2244,C302,'7日销售明细'!$H$5:$H$2244,E302)</x:f>
        <x:v>9</x:v>
      </x:c>
      <x:c r="H302" s="35" t="n">
        <x:f>SUMIFS('7日销售明细'!$L$5:$L$2244,'7日销售明细'!$B$5:$B$2244,B302,'7日销售明细'!$D$5:$D$2244,C302,'7日销售明细'!$H$5:$H$2244,E302)</x:f>
        <x:v>162</x:v>
      </x:c>
      <x:c r="I302" s="35" t="n">
        <x:f>G302*XLOOKUP(E302,'菜品主数据'!$A$5:$A$24,'菜品主数据'!$G$5:$G$24,0)</x:f>
        <x:v>28.583999999999993</x:v>
      </x:c>
    </x:row>
    <x:row r="303">
      <x:c r="A303" s="19" t="str">
        <x:v>2026-07-07|S03|D19</x:v>
      </x:c>
      <x:c r="B303" s="34" t="n">
        <x:v>46210.5</x:v>
      </x:c>
      <x:c r="C303" s="19" t="str">
        <x:v>S03</x:v>
      </x:c>
      <x:c r="D303" s="19" t="str">
        <x:v>铂悦城店</x:v>
      </x:c>
      <x:c r="E303" s="19" t="str">
        <x:v>D19</x:v>
      </x:c>
      <x:c r="F303" s="19" t="str">
        <x:v>酸萝卜炒鸡杂</x:v>
      </x:c>
      <x:c r="G303" s="20" t="n">
        <x:f>SUMIFS('7日销售明细'!$K$5:$K$2244,'7日销售明细'!$B$5:$B$2244,B303,'7日销售明细'!$D$5:$D$2244,C303,'7日销售明细'!$H$5:$H$2244,E303)</x:f>
        <x:v>7</x:v>
      </x:c>
      <x:c r="H303" s="35" t="n">
        <x:f>SUMIFS('7日销售明细'!$L$5:$L$2244,'7日销售明细'!$B$5:$B$2244,B303,'7日销售明细'!$D$5:$D$2244,C303,'7日销售明细'!$H$5:$H$2244,E303)</x:f>
        <x:v>175</x:v>
      </x:c>
      <x:c r="I303" s="35" t="n">
        <x:f>G303*XLOOKUP(E303,'菜品主数据'!$A$5:$A$24,'菜品主数据'!$G$5:$G$24,0)</x:f>
        <x:v>55.58</x:v>
      </x:c>
    </x:row>
    <x:row r="304">
      <x:c r="A304" s="19" t="str">
        <x:v>2026-07-07|S03|D20</x:v>
      </x:c>
      <x:c r="B304" s="34" t="n">
        <x:v>46210.5</x:v>
      </x:c>
      <x:c r="C304" s="19" t="str">
        <x:v>S03</x:v>
      </x:c>
      <x:c r="D304" s="19" t="str">
        <x:v>铂悦城店</x:v>
      </x:c>
      <x:c r="E304" s="19" t="str">
        <x:v>D20</x:v>
      </x:c>
      <x:c r="F304" s="19" t="str">
        <x:v>雪菜肉末青豆</x:v>
      </x:c>
      <x:c r="G304" s="20" t="n">
        <x:f>SUMIFS('7日销售明细'!$K$5:$K$2244,'7日销售明细'!$B$5:$B$2244,B304,'7日销售明细'!$D$5:$D$2244,C304,'7日销售明细'!$H$5:$H$2244,E304)</x:f>
        <x:v>10</x:v>
      </x:c>
      <x:c r="H304" s="35" t="n">
        <x:f>SUMIFS('7日销售明细'!$L$5:$L$2244,'7日销售明细'!$B$5:$B$2244,B304,'7日销售明细'!$D$5:$D$2244,C304,'7日销售明细'!$H$5:$H$2244,E304)</x:f>
        <x:v>180</x:v>
      </x:c>
      <x:c r="I304" s="35" t="n">
        <x:f>G304*XLOOKUP(E304,'菜品主数据'!$A$5:$A$24,'菜品主数据'!$G$5:$G$24,0)</x:f>
        <x:v>73.03999999999999</x:v>
      </x:c>
    </x:row>
    <x:row r="305">
      <x:c r="A305" s="19" t="str">
        <x:v>2026-07-08|S03|D01</x:v>
      </x:c>
      <x:c r="B305" s="34" t="n">
        <x:v>46211.5</x:v>
      </x:c>
      <x:c r="C305" s="19" t="str">
        <x:v>S03</x:v>
      </x:c>
      <x:c r="D305" s="19" t="str">
        <x:v>铂悦城店</x:v>
      </x:c>
      <x:c r="E305" s="19" t="str">
        <x:v>D01</x:v>
      </x:c>
      <x:c r="F305" s="19" t="str">
        <x:v>辣椒炒肉</x:v>
      </x:c>
      <x:c r="G305" s="20" t="n">
        <x:f>SUMIFS('7日销售明细'!$K$5:$K$2244,'7日销售明细'!$B$5:$B$2244,B305,'7日销售明细'!$D$5:$D$2244,C305,'7日销售明细'!$H$5:$H$2244,E305)</x:f>
        <x:v>52</x:v>
      </x:c>
      <x:c r="H305" s="35" t="n">
        <x:f>SUMIFS('7日销售明细'!$L$5:$L$2244,'7日销售明细'!$B$5:$B$2244,B305,'7日销售明细'!$D$5:$D$2244,C305,'7日销售明细'!$H$5:$H$2244,E305)</x:f>
        <x:v>1508</x:v>
      </x:c>
      <x:c r="I305" s="35" t="n">
        <x:f>G305*XLOOKUP(E305,'菜品主数据'!$A$5:$A$24,'菜品主数据'!$G$5:$G$24,0)</x:f>
        <x:v>448.9888000000001</x:v>
      </x:c>
    </x:row>
    <x:row r="306">
      <x:c r="A306" s="19" t="str">
        <x:v>2026-07-08|S03|D02</x:v>
      </x:c>
      <x:c r="B306" s="34" t="n">
        <x:v>46211.5</x:v>
      </x:c>
      <x:c r="C306" s="19" t="str">
        <x:v>S03</x:v>
      </x:c>
      <x:c r="D306" s="19" t="str">
        <x:v>铂悦城店</x:v>
      </x:c>
      <x:c r="E306" s="19" t="str">
        <x:v>D02</x:v>
      </x:c>
      <x:c r="F306" s="19" t="str">
        <x:v>小炒黄牛肉</x:v>
      </x:c>
      <x:c r="G306" s="20" t="n">
        <x:f>SUMIFS('7日销售明细'!$K$5:$K$2244,'7日销售明细'!$B$5:$B$2244,B306,'7日销售明细'!$D$5:$D$2244,C306,'7日销售明细'!$H$5:$H$2244,E306)</x:f>
        <x:v>33</x:v>
      </x:c>
      <x:c r="H306" s="35" t="n">
        <x:f>SUMIFS('7日销售明细'!$L$5:$L$2244,'7日销售明细'!$B$5:$B$2244,B306,'7日销售明细'!$D$5:$D$2244,C306,'7日销售明细'!$H$5:$H$2244,E306)</x:f>
        <x:v>1617</x:v>
      </x:c>
      <x:c r="I306" s="35" t="n">
        <x:f>G306*XLOOKUP(E306,'菜品主数据'!$A$5:$A$24,'菜品主数据'!$G$5:$G$24,0)</x:f>
        <x:v>580.041</x:v>
      </x:c>
    </x:row>
    <x:row r="307">
      <x:c r="A307" s="19" t="str">
        <x:v>2026-07-08|S03|D03</x:v>
      </x:c>
      <x:c r="B307" s="34" t="n">
        <x:v>46211.5</x:v>
      </x:c>
      <x:c r="C307" s="19" t="str">
        <x:v>S03</x:v>
      </x:c>
      <x:c r="D307" s="19" t="str">
        <x:v>铂悦城店</x:v>
      </x:c>
      <x:c r="E307" s="19" t="str">
        <x:v>D03</x:v>
      </x:c>
      <x:c r="F307" s="19" t="str">
        <x:v>香醋炒蛋</x:v>
      </x:c>
      <x:c r="G307" s="20" t="n">
        <x:f>SUMIFS('7日销售明细'!$K$5:$K$2244,'7日销售明细'!$B$5:$B$2244,B307,'7日销售明细'!$D$5:$D$2244,C307,'7日销售明细'!$H$5:$H$2244,E307)</x:f>
        <x:v>43</x:v>
      </x:c>
      <x:c r="H307" s="35" t="n">
        <x:f>SUMIFS('7日销售明细'!$L$5:$L$2244,'7日销售明细'!$B$5:$B$2244,B307,'7日销售明细'!$D$5:$D$2244,C307,'7日销售明细'!$H$5:$H$2244,E307)</x:f>
        <x:v>640.7</x:v>
      </x:c>
      <x:c r="I307" s="35" t="n">
        <x:f>G307*XLOOKUP(E307,'菜品主数据'!$A$5:$A$24,'菜品主数据'!$G$5:$G$24,0)</x:f>
        <x:v>161.07799999999997</x:v>
      </x:c>
    </x:row>
    <x:row r="308">
      <x:c r="A308" s="19" t="str">
        <x:v>2026-07-08|S03|D04</x:v>
      </x:c>
      <x:c r="B308" s="34" t="n">
        <x:v>46211.5</x:v>
      </x:c>
      <x:c r="C308" s="19" t="str">
        <x:v>S03</x:v>
      </x:c>
      <x:c r="D308" s="19" t="str">
        <x:v>铂悦城店</x:v>
      </x:c>
      <x:c r="E308" s="19" t="str">
        <x:v>D04</x:v>
      </x:c>
      <x:c r="F308" s="19" t="str">
        <x:v>酸包菜炒粉皮</x:v>
      </x:c>
      <x:c r="G308" s="20" t="n">
        <x:f>SUMIFS('7日销售明细'!$K$5:$K$2244,'7日销售明细'!$B$5:$B$2244,B308,'7日销售明细'!$D$5:$D$2244,C308,'7日销售明细'!$H$5:$H$2244,E308)</x:f>
        <x:v>41</x:v>
      </x:c>
      <x:c r="H308" s="35" t="n">
        <x:f>SUMIFS('7日销售明细'!$L$5:$L$2244,'7日销售明细'!$B$5:$B$2244,B308,'7日销售明细'!$D$5:$D$2244,C308,'7日销售明细'!$H$5:$H$2244,E308)</x:f>
        <x:v>656</x:v>
      </x:c>
      <x:c r="I308" s="35" t="n">
        <x:f>G308*XLOOKUP(E308,'菜品主数据'!$A$5:$A$24,'菜品主数据'!$G$5:$G$24,0)</x:f>
        <x:v>163.098</x:v>
      </x:c>
    </x:row>
    <x:row r="309">
      <x:c r="A309" s="19" t="str">
        <x:v>2026-07-08|S03|D05</x:v>
      </x:c>
      <x:c r="B309" s="34" t="n">
        <x:v>46211.5</x:v>
      </x:c>
      <x:c r="C309" s="19" t="str">
        <x:v>S03</x:v>
      </x:c>
      <x:c r="D309" s="19" t="str">
        <x:v>铂悦城店</x:v>
      </x:c>
      <x:c r="E309" s="19" t="str">
        <x:v>D05</x:v>
      </x:c>
      <x:c r="F309" s="19" t="str">
        <x:v>麻婆豆腐</x:v>
      </x:c>
      <x:c r="G309" s="20" t="n">
        <x:f>SUMIFS('7日销售明细'!$K$5:$K$2244,'7日销售明细'!$B$5:$B$2244,B309,'7日销售明细'!$D$5:$D$2244,C309,'7日销售明细'!$H$5:$H$2244,E309)</x:f>
        <x:v>52</x:v>
      </x:c>
      <x:c r="H309" s="35" t="n">
        <x:f>SUMIFS('7日销售明细'!$L$5:$L$2244,'7日销售明细'!$B$5:$B$2244,B309,'7日销售明细'!$D$5:$D$2244,C309,'7日销售明细'!$H$5:$H$2244,E309)</x:f>
        <x:v>514.8</x:v>
      </x:c>
      <x:c r="I309" s="35" t="n">
        <x:f>G309*XLOOKUP(E309,'菜品主数据'!$A$5:$A$24,'菜品主数据'!$G$5:$G$24,0)</x:f>
        <x:v>279.08400000000006</x:v>
      </x:c>
    </x:row>
    <x:row r="310">
      <x:c r="A310" s="19" t="str">
        <x:v>2026-07-08|S03|D06</x:v>
      </x:c>
      <x:c r="B310" s="34" t="n">
        <x:v>46211.5</x:v>
      </x:c>
      <x:c r="C310" s="19" t="str">
        <x:v>S03</x:v>
      </x:c>
      <x:c r="D310" s="19" t="str">
        <x:v>铂悦城店</x:v>
      </x:c>
      <x:c r="E310" s="19" t="str">
        <x:v>D06</x:v>
      </x:c>
      <x:c r="F310" s="19" t="str">
        <x:v>剁椒鱼头</x:v>
      </x:c>
      <x:c r="G310" s="20" t="n">
        <x:f>SUMIFS('7日销售明细'!$K$5:$K$2244,'7日销售明细'!$B$5:$B$2244,B310,'7日销售明细'!$D$5:$D$2244,C310,'7日销售明细'!$H$5:$H$2244,E310)</x:f>
        <x:v>13</x:v>
      </x:c>
      <x:c r="H310" s="35" t="n">
        <x:f>SUMIFS('7日销售明细'!$L$5:$L$2244,'7日销售明细'!$B$5:$B$2244,B310,'7日销售明细'!$D$5:$D$2244,C310,'7日销售明细'!$H$5:$H$2244,E310)</x:f>
        <x:v>507</x:v>
      </x:c>
      <x:c r="I310" s="35" t="n">
        <x:f>G310*XLOOKUP(E310,'菜品主数据'!$A$5:$A$24,'菜品主数据'!$G$5:$G$24,0)</x:f>
        <x:v>226.79800000000003</x:v>
      </x:c>
    </x:row>
    <x:row r="311">
      <x:c r="A311" s="19" t="str">
        <x:v>2026-07-08|S03|D07</x:v>
      </x:c>
      <x:c r="B311" s="34" t="n">
        <x:v>46211.5</x:v>
      </x:c>
      <x:c r="C311" s="19" t="str">
        <x:v>S03</x:v>
      </x:c>
      <x:c r="D311" s="19" t="str">
        <x:v>铂悦城店</x:v>
      </x:c>
      <x:c r="E311" s="19" t="str">
        <x:v>D07</x:v>
      </x:c>
      <x:c r="F311" s="19" t="str">
        <x:v>川味回锅肉</x:v>
      </x:c>
      <x:c r="G311" s="20" t="n">
        <x:f>SUMIFS('7日销售明细'!$K$5:$K$2244,'7日销售明细'!$B$5:$B$2244,B311,'7日销售明细'!$D$5:$D$2244,C311,'7日销售明细'!$H$5:$H$2244,E311)</x:f>
        <x:v>15</x:v>
      </x:c>
      <x:c r="H311" s="35" t="n">
        <x:f>SUMIFS('7日销售明细'!$L$5:$L$2244,'7日销售明细'!$B$5:$B$2244,B311,'7日销售明细'!$D$5:$D$2244,C311,'7日销售明细'!$H$5:$H$2244,E311)</x:f>
        <x:v>435</x:v>
      </x:c>
      <x:c r="I311" s="35" t="n">
        <x:f>G311*XLOOKUP(E311,'菜品主数据'!$A$5:$A$24,'菜品主数据'!$G$5:$G$24,0)</x:f>
        <x:v>153.46500000000003</x:v>
      </x:c>
    </x:row>
    <x:row r="312">
      <x:c r="A312" s="19" t="str">
        <x:v>2026-07-08|S03|D08</x:v>
      </x:c>
      <x:c r="B312" s="34" t="n">
        <x:v>46211.5</x:v>
      </x:c>
      <x:c r="C312" s="19" t="str">
        <x:v>S03</x:v>
      </x:c>
      <x:c r="D312" s="19" t="str">
        <x:v>铂悦城店</x:v>
      </x:c>
      <x:c r="E312" s="19" t="str">
        <x:v>D08</x:v>
      </x:c>
      <x:c r="F312" s="19" t="str">
        <x:v>生炒清远鸡</x:v>
      </x:c>
      <x:c r="G312" s="20" t="n">
        <x:f>SUMIFS('7日销售明细'!$K$5:$K$2244,'7日销售明细'!$B$5:$B$2244,B312,'7日销售明细'!$D$5:$D$2244,C312,'7日销售明细'!$H$5:$H$2244,E312)</x:f>
        <x:v>13</x:v>
      </x:c>
      <x:c r="H312" s="35" t="n">
        <x:f>SUMIFS('7日销售明细'!$L$5:$L$2244,'7日销售明细'!$B$5:$B$2244,B312,'7日销售明细'!$D$5:$D$2244,C312,'7日销售明细'!$H$5:$H$2244,E312)</x:f>
        <x:v>468</x:v>
      </x:c>
      <x:c r="I312" s="35" t="n">
        <x:f>G312*XLOOKUP(E312,'菜品主数据'!$A$5:$A$24,'菜品主数据'!$G$5:$G$24,0)</x:f>
        <x:v>175.24</x:v>
      </x:c>
    </x:row>
    <x:row r="313">
      <x:c r="A313" s="19" t="str">
        <x:v>2026-07-08|S03|D09</x:v>
      </x:c>
      <x:c r="B313" s="34" t="n">
        <x:v>46211.5</x:v>
      </x:c>
      <x:c r="C313" s="19" t="str">
        <x:v>S03</x:v>
      </x:c>
      <x:c r="D313" s="19" t="str">
        <x:v>铂悦城店</x:v>
      </x:c>
      <x:c r="E313" s="19" t="str">
        <x:v>D09</x:v>
      </x:c>
      <x:c r="F313" s="19" t="str">
        <x:v>炒豆干</x:v>
      </x:c>
      <x:c r="G313" s="20" t="n">
        <x:f>SUMIFS('7日销售明细'!$K$5:$K$2244,'7日销售明细'!$B$5:$B$2244,B313,'7日销售明细'!$D$5:$D$2244,C313,'7日销售明细'!$H$5:$H$2244,E313)</x:f>
        <x:v>17</x:v>
      </x:c>
      <x:c r="H313" s="35" t="n">
        <x:f>SUMIFS('7日销售明细'!$L$5:$L$2244,'7日销售明细'!$B$5:$B$2244,B313,'7日销售明细'!$D$5:$D$2244,C313,'7日销售明细'!$H$5:$H$2244,E313)</x:f>
        <x:v>306</x:v>
      </x:c>
      <x:c r="I313" s="35" t="n">
        <x:f>G313*XLOOKUP(E313,'菜品主数据'!$A$5:$A$24,'菜品主数据'!$G$5:$G$24,0)</x:f>
        <x:v>112.43799999999999</x:v>
      </x:c>
    </x:row>
    <x:row r="314">
      <x:c r="A314" s="19" t="str">
        <x:v>2026-07-08|S03|D10</x:v>
      </x:c>
      <x:c r="B314" s="34" t="n">
        <x:v>46211.5</x:v>
      </x:c>
      <x:c r="C314" s="19" t="str">
        <x:v>S03</x:v>
      </x:c>
      <x:c r="D314" s="19" t="str">
        <x:v>铂悦城店</x:v>
      </x:c>
      <x:c r="E314" s="19" t="str">
        <x:v>D10</x:v>
      </x:c>
      <x:c r="F314" s="19" t="str">
        <x:v>农家一碗香</x:v>
      </x:c>
      <x:c r="G314" s="20" t="n">
        <x:f>SUMIFS('7日销售明细'!$K$5:$K$2244,'7日销售明细'!$B$5:$B$2244,B314,'7日销售明细'!$D$5:$D$2244,C314,'7日销售明细'!$H$5:$H$2244,E314)</x:f>
        <x:v>17</x:v>
      </x:c>
      <x:c r="H314" s="35" t="n">
        <x:f>SUMIFS('7日销售明细'!$L$5:$L$2244,'7日销售明细'!$B$5:$B$2244,B314,'7日销售明细'!$D$5:$D$2244,C314,'7日销售明细'!$H$5:$H$2244,E314)</x:f>
        <x:v>389.29999999999995</x:v>
      </x:c>
      <x:c r="I314" s="35" t="n">
        <x:f>G314*XLOOKUP(E314,'菜品主数据'!$A$5:$A$24,'菜品主数据'!$G$5:$G$24,0)</x:f>
        <x:v>166.09340000000003</x:v>
      </x:c>
    </x:row>
    <x:row r="315">
      <x:c r="A315" s="19" t="str">
        <x:v>2026-07-08|S03|D11</x:v>
      </x:c>
      <x:c r="B315" s="34" t="n">
        <x:v>46211.5</x:v>
      </x:c>
      <x:c r="C315" s="19" t="str">
        <x:v>S03</x:v>
      </x:c>
      <x:c r="D315" s="19" t="str">
        <x:v>铂悦城店</x:v>
      </x:c>
      <x:c r="E315" s="19" t="str">
        <x:v>D11</x:v>
      </x:c>
      <x:c r="F315" s="19" t="str">
        <x:v>香辣爆肥肠</x:v>
      </x:c>
      <x:c r="G315" s="20" t="n">
        <x:f>SUMIFS('7日销售明细'!$K$5:$K$2244,'7日销售明细'!$B$5:$B$2244,B315,'7日销售明细'!$D$5:$D$2244,C315,'7日销售明细'!$H$5:$H$2244,E315)</x:f>
        <x:v>7</x:v>
      </x:c>
      <x:c r="H315" s="35" t="n">
        <x:f>SUMIFS('7日销售明细'!$L$5:$L$2244,'7日销售明细'!$B$5:$B$2244,B315,'7日销售明细'!$D$5:$D$2244,C315,'7日销售明细'!$H$5:$H$2244,E315)</x:f>
        <x:v>273</x:v>
      </x:c>
      <x:c r="I315" s="35" t="n">
        <x:f>G315*XLOOKUP(E315,'菜品主数据'!$A$5:$A$24,'菜品主数据'!$G$5:$G$24,0)</x:f>
        <x:v>72.779</x:v>
      </x:c>
    </x:row>
    <x:row r="316">
      <x:c r="A316" s="19" t="str">
        <x:v>2026-07-08|S03|D12</x:v>
      </x:c>
      <x:c r="B316" s="34" t="n">
        <x:v>46211.5</x:v>
      </x:c>
      <x:c r="C316" s="19" t="str">
        <x:v>S03</x:v>
      </x:c>
      <x:c r="D316" s="19" t="str">
        <x:v>铂悦城店</x:v>
      </x:c>
      <x:c r="E316" s="19" t="str">
        <x:v>D12</x:v>
      </x:c>
      <x:c r="F316" s="19" t="str">
        <x:v>清蒸鲈鱼</x:v>
      </x:c>
      <x:c r="G316" s="20" t="n">
        <x:f>SUMIFS('7日销售明细'!$K$5:$K$2244,'7日销售明细'!$B$5:$B$2244,B316,'7日销售明细'!$D$5:$D$2244,C316,'7日销售明细'!$H$5:$H$2244,E316)</x:f>
        <x:v>6</x:v>
      </x:c>
      <x:c r="H316" s="35" t="n">
        <x:f>SUMIFS('7日销售明细'!$L$5:$L$2244,'7日销售明细'!$B$5:$B$2244,B316,'7日销售明细'!$D$5:$D$2244,C316,'7日销售明细'!$H$5:$H$2244,E316)</x:f>
        <x:v>234</x:v>
      </x:c>
      <x:c r="I316" s="35" t="n">
        <x:f>G316*XLOOKUP(E316,'菜品主数据'!$A$5:$A$24,'菜品主数据'!$G$5:$G$24,0)</x:f>
        <x:v>113.244</x:v>
      </x:c>
    </x:row>
    <x:row r="317">
      <x:c r="A317" s="19" t="str">
        <x:v>2026-07-08|S03|D13</x:v>
      </x:c>
      <x:c r="B317" s="34" t="n">
        <x:v>46211.5</x:v>
      </x:c>
      <x:c r="C317" s="19" t="str">
        <x:v>S03</x:v>
      </x:c>
      <x:c r="D317" s="19" t="str">
        <x:v>铂悦城店</x:v>
      </x:c>
      <x:c r="E317" s="19" t="str">
        <x:v>D13</x:v>
      </x:c>
      <x:c r="F317" s="19" t="str">
        <x:v>外婆菜炒蛋</x:v>
      </x:c>
      <x:c r="G317" s="20" t="n">
        <x:f>SUMIFS('7日销售明细'!$K$5:$K$2244,'7日销售明细'!$B$5:$B$2244,B317,'7日销售明细'!$D$5:$D$2244,C317,'7日销售明细'!$H$5:$H$2244,E317)</x:f>
        <x:v>17</x:v>
      </x:c>
      <x:c r="H317" s="35" t="n">
        <x:f>SUMIFS('7日销售明细'!$L$5:$L$2244,'7日销售明细'!$B$5:$B$2244,B317,'7日销售明细'!$D$5:$D$2244,C317,'7日销售明细'!$H$5:$H$2244,E317)</x:f>
        <x:v>306</x:v>
      </x:c>
      <x:c r="I317" s="35" t="n">
        <x:f>G317*XLOOKUP(E317,'菜品主数据'!$A$5:$A$24,'菜品主数据'!$G$5:$G$24,0)</x:f>
        <x:v>91.86799999999998</x:v>
      </x:c>
    </x:row>
    <x:row r="318">
      <x:c r="A318" s="19" t="str">
        <x:v>2026-07-08|S03|D14</x:v>
      </x:c>
      <x:c r="B318" s="34" t="n">
        <x:v>46211.5</x:v>
      </x:c>
      <x:c r="C318" s="19" t="str">
        <x:v>S03</x:v>
      </x:c>
      <x:c r="D318" s="19" t="str">
        <x:v>铂悦城店</x:v>
      </x:c>
      <x:c r="E318" s="19" t="str">
        <x:v>D14</x:v>
      </x:c>
      <x:c r="F318" s="19" t="str">
        <x:v>酸辣鸡杂</x:v>
      </x:c>
      <x:c r="G318" s="20" t="n">
        <x:f>SUMIFS('7日销售明细'!$K$5:$K$2244,'7日销售明细'!$B$5:$B$2244,B318,'7日销售明细'!$D$5:$D$2244,C318,'7日销售明细'!$H$5:$H$2244,E318)</x:f>
        <x:v>8</x:v>
      </x:c>
      <x:c r="H318" s="35" t="n">
        <x:f>SUMIFS('7日销售明细'!$L$5:$L$2244,'7日销售明细'!$B$5:$B$2244,B318,'7日销售明细'!$D$5:$D$2244,C318,'7日销售明细'!$H$5:$H$2244,E318)</x:f>
        <x:v>224</x:v>
      </x:c>
      <x:c r="I318" s="35" t="n">
        <x:f>G318*XLOOKUP(E318,'菜品主数据'!$A$5:$A$24,'菜品主数据'!$G$5:$G$24,0)</x:f>
        <x:v>66.52000000000001</x:v>
      </x:c>
    </x:row>
    <x:row r="319">
      <x:c r="A319" s="19" t="str">
        <x:v>2026-07-08|S03|D15</x:v>
      </x:c>
      <x:c r="B319" s="34" t="n">
        <x:v>46211.5</x:v>
      </x:c>
      <x:c r="C319" s="19" t="str">
        <x:v>S03</x:v>
      </x:c>
      <x:c r="D319" s="19" t="str">
        <x:v>铂悦城店</x:v>
      </x:c>
      <x:c r="E319" s="19" t="str">
        <x:v>D15</x:v>
      </x:c>
      <x:c r="F319" s="19" t="str">
        <x:v>湘西土匪猪肝</x:v>
      </x:c>
      <x:c r="G319" s="20" t="n">
        <x:f>SUMIFS('7日销售明细'!$K$5:$K$2244,'7日销售明细'!$B$5:$B$2244,B319,'7日销售明细'!$D$5:$D$2244,C319,'7日销售明细'!$H$5:$H$2244,E319)</x:f>
        <x:v>7</x:v>
      </x:c>
      <x:c r="H319" s="35" t="n">
        <x:f>SUMIFS('7日销售明细'!$L$5:$L$2244,'7日销售明细'!$B$5:$B$2244,B319,'7日销售明细'!$D$5:$D$2244,C319,'7日销售明细'!$H$5:$H$2244,E319)</x:f>
        <x:v>182</x:v>
      </x:c>
      <x:c r="I319" s="35" t="n">
        <x:f>G319*XLOOKUP(E319,'菜品主数据'!$A$5:$A$24,'菜品主数据'!$G$5:$G$24,0)</x:f>
        <x:v>44.632</x:v>
      </x:c>
    </x:row>
    <x:row r="320">
      <x:c r="A320" s="19" t="str">
        <x:v>2026-07-08|S03|D16</x:v>
      </x:c>
      <x:c r="B320" s="34" t="n">
        <x:v>46211.5</x:v>
      </x:c>
      <x:c r="C320" s="19" t="str">
        <x:v>S03</x:v>
      </x:c>
      <x:c r="D320" s="19" t="str">
        <x:v>铂悦城店</x:v>
      </x:c>
      <x:c r="E320" s="19" t="str">
        <x:v>D16</x:v>
      </x:c>
      <x:c r="F320" s="19" t="str">
        <x:v>小豆角炒五花</x:v>
      </x:c>
      <x:c r="G320" s="20" t="n">
        <x:f>SUMIFS('7日销售明细'!$K$5:$K$2244,'7日销售明细'!$B$5:$B$2244,B320,'7日销售明细'!$D$5:$D$2244,C320,'7日销售明细'!$H$5:$H$2244,E320)</x:f>
        <x:v>8</x:v>
      </x:c>
      <x:c r="H320" s="35" t="n">
        <x:f>SUMIFS('7日销售明细'!$L$5:$L$2244,'7日销售明细'!$B$5:$B$2244,B320,'7日销售明细'!$D$5:$D$2244,C320,'7日销售明细'!$H$5:$H$2244,E320)</x:f>
        <x:v>200</x:v>
      </x:c>
      <x:c r="I320" s="35" t="n">
        <x:f>G320*XLOOKUP(E320,'菜品主数据'!$A$5:$A$24,'菜品主数据'!$G$5:$G$24,0)</x:f>
        <x:v>65.472</x:v>
      </x:c>
    </x:row>
    <x:row r="321">
      <x:c r="A321" s="19" t="str">
        <x:v>2026-07-08|S03|D17</x:v>
      </x:c>
      <x:c r="B321" s="34" t="n">
        <x:v>46211.5</x:v>
      </x:c>
      <x:c r="C321" s="19" t="str">
        <x:v>S03</x:v>
      </x:c>
      <x:c r="D321" s="19" t="str">
        <x:v>铂悦城店</x:v>
      </x:c>
      <x:c r="E321" s="19" t="str">
        <x:v>D17</x:v>
      </x:c>
      <x:c r="F321" s="19" t="str">
        <x:v>蒜蓉粉丝虾</x:v>
      </x:c>
      <x:c r="G321" s="20" t="n">
        <x:f>SUMIFS('7日销售明细'!$K$5:$K$2244,'7日销售明细'!$B$5:$B$2244,B321,'7日销售明细'!$D$5:$D$2244,C321,'7日销售明细'!$H$5:$H$2244,E321)</x:f>
        <x:v>5</x:v>
      </x:c>
      <x:c r="H321" s="35" t="n">
        <x:f>SUMIFS('7日销售明细'!$L$5:$L$2244,'7日销售明细'!$B$5:$B$2244,B321,'7日销售明细'!$D$5:$D$2244,C321,'7日销售明细'!$H$5:$H$2244,E321)</x:f>
        <x:v>180</x:v>
      </x:c>
      <x:c r="I321" s="35" t="n">
        <x:f>G321*XLOOKUP(E321,'菜品主数据'!$A$5:$A$24,'菜品主数据'!$G$5:$G$24,0)</x:f>
        <x:v>67.97</x:v>
      </x:c>
    </x:row>
    <x:row r="322">
      <x:c r="A322" s="19" t="str">
        <x:v>2026-07-08|S03|D18</x:v>
      </x:c>
      <x:c r="B322" s="34" t="n">
        <x:v>46211.5</x:v>
      </x:c>
      <x:c r="C322" s="19" t="str">
        <x:v>S03</x:v>
      </x:c>
      <x:c r="D322" s="19" t="str">
        <x:v>铂悦城店</x:v>
      </x:c>
      <x:c r="E322" s="19" t="str">
        <x:v>D18</x:v>
      </x:c>
      <x:c r="F322" s="19" t="str">
        <x:v>青椒炒油麦菜</x:v>
      </x:c>
      <x:c r="G322" s="20" t="n">
        <x:f>SUMIFS('7日销售明细'!$K$5:$K$2244,'7日销售明细'!$B$5:$B$2244,B322,'7日销售明细'!$D$5:$D$2244,C322,'7日销售明细'!$H$5:$H$2244,E322)</x:f>
        <x:v>8</x:v>
      </x:c>
      <x:c r="H322" s="35" t="n">
        <x:f>SUMIFS('7日销售明细'!$L$5:$L$2244,'7日销售明细'!$B$5:$B$2244,B322,'7日销售明细'!$D$5:$D$2244,C322,'7日销售明细'!$H$5:$H$2244,E322)</x:f>
        <x:v>144</x:v>
      </x:c>
      <x:c r="I322" s="35" t="n">
        <x:f>G322*XLOOKUP(E322,'菜品主数据'!$A$5:$A$24,'菜品主数据'!$G$5:$G$24,0)</x:f>
        <x:v>25.407999999999994</x:v>
      </x:c>
    </x:row>
    <x:row r="323">
      <x:c r="A323" s="19" t="str">
        <x:v>2026-07-08|S03|D19</x:v>
      </x:c>
      <x:c r="B323" s="34" t="n">
        <x:v>46211.5</x:v>
      </x:c>
      <x:c r="C323" s="19" t="str">
        <x:v>S03</x:v>
      </x:c>
      <x:c r="D323" s="19" t="str">
        <x:v>铂悦城店</x:v>
      </x:c>
      <x:c r="E323" s="19" t="str">
        <x:v>D19</x:v>
      </x:c>
      <x:c r="F323" s="19" t="str">
        <x:v>酸萝卜炒鸡杂</x:v>
      </x:c>
      <x:c r="G323" s="20" t="n">
        <x:f>SUMIFS('7日销售明细'!$K$5:$K$2244,'7日销售明细'!$B$5:$B$2244,B323,'7日销售明细'!$D$5:$D$2244,C323,'7日销售明细'!$H$5:$H$2244,E323)</x:f>
        <x:v>6</x:v>
      </x:c>
      <x:c r="H323" s="35" t="n">
        <x:f>SUMIFS('7日销售明细'!$L$5:$L$2244,'7日销售明细'!$B$5:$B$2244,B323,'7日销售明细'!$D$5:$D$2244,C323,'7日销售明细'!$H$5:$H$2244,E323)</x:f>
        <x:v>150</x:v>
      </x:c>
      <x:c r="I323" s="35" t="n">
        <x:f>G323*XLOOKUP(E323,'菜品主数据'!$A$5:$A$24,'菜品主数据'!$G$5:$G$24,0)</x:f>
        <x:v>47.64</x:v>
      </x:c>
    </x:row>
    <x:row r="324">
      <x:c r="A324" s="19" t="str">
        <x:v>2026-07-08|S03|D20</x:v>
      </x:c>
      <x:c r="B324" s="34" t="n">
        <x:v>46211.5</x:v>
      </x:c>
      <x:c r="C324" s="19" t="str">
        <x:v>S03</x:v>
      </x:c>
      <x:c r="D324" s="19" t="str">
        <x:v>铂悦城店</x:v>
      </x:c>
      <x:c r="E324" s="19" t="str">
        <x:v>D20</x:v>
      </x:c>
      <x:c r="F324" s="19" t="str">
        <x:v>雪菜肉末青豆</x:v>
      </x:c>
      <x:c r="G324" s="20" t="n">
        <x:f>SUMIFS('7日销售明细'!$K$5:$K$2244,'7日销售明细'!$B$5:$B$2244,B324,'7日销售明细'!$D$5:$D$2244,C324,'7日销售明细'!$H$5:$H$2244,E324)</x:f>
        <x:v>9</x:v>
      </x:c>
      <x:c r="H324" s="35" t="n">
        <x:f>SUMIFS('7日销售明细'!$L$5:$L$2244,'7日销售明细'!$B$5:$B$2244,B324,'7日销售明细'!$D$5:$D$2244,C324,'7日销售明细'!$H$5:$H$2244,E324)</x:f>
        <x:v>162</x:v>
      </x:c>
      <x:c r="I324" s="35" t="n">
        <x:f>G324*XLOOKUP(E324,'菜品主数据'!$A$5:$A$24,'菜品主数据'!$G$5:$G$24,0)</x:f>
        <x:v>65.73599999999999</x:v>
      </x:c>
    </x:row>
    <x:row r="325">
      <x:c r="A325" s="19" t="str">
        <x:v>2026-07-09|S03|D01</x:v>
      </x:c>
      <x:c r="B325" s="34" t="n">
        <x:v>46212.5</x:v>
      </x:c>
      <x:c r="C325" s="19" t="str">
        <x:v>S03</x:v>
      </x:c>
      <x:c r="D325" s="19" t="str">
        <x:v>铂悦城店</x:v>
      </x:c>
      <x:c r="E325" s="19" t="str">
        <x:v>D01</x:v>
      </x:c>
      <x:c r="F325" s="19" t="str">
        <x:v>辣椒炒肉</x:v>
      </x:c>
      <x:c r="G325" s="20" t="n">
        <x:f>SUMIFS('7日销售明细'!$K$5:$K$2244,'7日销售明细'!$B$5:$B$2244,B325,'7日销售明细'!$D$5:$D$2244,C325,'7日销售明细'!$H$5:$H$2244,E325)</x:f>
        <x:v>51</x:v>
      </x:c>
      <x:c r="H325" s="35" t="n">
        <x:f>SUMIFS('7日销售明细'!$L$5:$L$2244,'7日销售明细'!$B$5:$B$2244,B325,'7日销售明细'!$D$5:$D$2244,C325,'7日销售明细'!$H$5:$H$2244,E325)</x:f>
        <x:v>1479</x:v>
      </x:c>
      <x:c r="I325" s="35" t="n">
        <x:f>G325*XLOOKUP(E325,'菜品主数据'!$A$5:$A$24,'菜品主数据'!$G$5:$G$24,0)</x:f>
        <x:v>440.35440000000006</x:v>
      </x:c>
    </x:row>
    <x:row r="326">
      <x:c r="A326" s="19" t="str">
        <x:v>2026-07-09|S03|D02</x:v>
      </x:c>
      <x:c r="B326" s="34" t="n">
        <x:v>46212.5</x:v>
      </x:c>
      <x:c r="C326" s="19" t="str">
        <x:v>S03</x:v>
      </x:c>
      <x:c r="D326" s="19" t="str">
        <x:v>铂悦城店</x:v>
      </x:c>
      <x:c r="E326" s="19" t="str">
        <x:v>D02</x:v>
      </x:c>
      <x:c r="F326" s="19" t="str">
        <x:v>小炒黄牛肉</x:v>
      </x:c>
      <x:c r="G326" s="20" t="n">
        <x:f>SUMIFS('7日销售明细'!$K$5:$K$2244,'7日销售明细'!$B$5:$B$2244,B326,'7日销售明细'!$D$5:$D$2244,C326,'7日销售明细'!$H$5:$H$2244,E326)</x:f>
        <x:v>33</x:v>
      </x:c>
      <x:c r="H326" s="35" t="n">
        <x:f>SUMIFS('7日销售明细'!$L$5:$L$2244,'7日销售明细'!$B$5:$B$2244,B326,'7日销售明细'!$D$5:$D$2244,C326,'7日销售明细'!$H$5:$H$2244,E326)</x:f>
        <x:v>1617</x:v>
      </x:c>
      <x:c r="I326" s="35" t="n">
        <x:f>G326*XLOOKUP(E326,'菜品主数据'!$A$5:$A$24,'菜品主数据'!$G$5:$G$24,0)</x:f>
        <x:v>580.041</x:v>
      </x:c>
    </x:row>
    <x:row r="327">
      <x:c r="A327" s="19" t="str">
        <x:v>2026-07-09|S03|D03</x:v>
      </x:c>
      <x:c r="B327" s="34" t="n">
        <x:v>46212.5</x:v>
      </x:c>
      <x:c r="C327" s="19" t="str">
        <x:v>S03</x:v>
      </x:c>
      <x:c r="D327" s="19" t="str">
        <x:v>铂悦城店</x:v>
      </x:c>
      <x:c r="E327" s="19" t="str">
        <x:v>D03</x:v>
      </x:c>
      <x:c r="F327" s="19" t="str">
        <x:v>香醋炒蛋</x:v>
      </x:c>
      <x:c r="G327" s="20" t="n">
        <x:f>SUMIFS('7日销售明细'!$K$5:$K$2244,'7日销售明细'!$B$5:$B$2244,B327,'7日销售明细'!$D$5:$D$2244,C327,'7日销售明细'!$H$5:$H$2244,E327)</x:f>
        <x:v>40</x:v>
      </x:c>
      <x:c r="H327" s="35" t="n">
        <x:f>SUMIFS('7日销售明细'!$L$5:$L$2244,'7日销售明细'!$B$5:$B$2244,B327,'7日销售明细'!$D$5:$D$2244,C327,'7日销售明细'!$H$5:$H$2244,E327)</x:f>
        <x:v>596</x:v>
      </x:c>
      <x:c r="I327" s="35" t="n">
        <x:f>G327*XLOOKUP(E327,'菜品主数据'!$A$5:$A$24,'菜品主数据'!$G$5:$G$24,0)</x:f>
        <x:v>149.83999999999997</x:v>
      </x:c>
    </x:row>
    <x:row r="328">
      <x:c r="A328" s="19" t="str">
        <x:v>2026-07-09|S03|D04</x:v>
      </x:c>
      <x:c r="B328" s="34" t="n">
        <x:v>46212.5</x:v>
      </x:c>
      <x:c r="C328" s="19" t="str">
        <x:v>S03</x:v>
      </x:c>
      <x:c r="D328" s="19" t="str">
        <x:v>铂悦城店</x:v>
      </x:c>
      <x:c r="E328" s="19" t="str">
        <x:v>D04</x:v>
      </x:c>
      <x:c r="F328" s="19" t="str">
        <x:v>酸包菜炒粉皮</x:v>
      </x:c>
      <x:c r="G328" s="20" t="n">
        <x:f>SUMIFS('7日销售明细'!$K$5:$K$2244,'7日销售明细'!$B$5:$B$2244,B328,'7日销售明细'!$D$5:$D$2244,C328,'7日销售明细'!$H$5:$H$2244,E328)</x:f>
        <x:v>37</x:v>
      </x:c>
      <x:c r="H328" s="35" t="n">
        <x:f>SUMIFS('7日销售明细'!$L$5:$L$2244,'7日销售明细'!$B$5:$B$2244,B328,'7日销售明细'!$D$5:$D$2244,C328,'7日销售明细'!$H$5:$H$2244,E328)</x:f>
        <x:v>592</x:v>
      </x:c>
      <x:c r="I328" s="35" t="n">
        <x:f>G328*XLOOKUP(E328,'菜品主数据'!$A$5:$A$24,'菜品主数据'!$G$5:$G$24,0)</x:f>
        <x:v>147.186</x:v>
      </x:c>
    </x:row>
    <x:row r="329">
      <x:c r="A329" s="19" t="str">
        <x:v>2026-07-09|S03|D05</x:v>
      </x:c>
      <x:c r="B329" s="34" t="n">
        <x:v>46212.5</x:v>
      </x:c>
      <x:c r="C329" s="19" t="str">
        <x:v>S03</x:v>
      </x:c>
      <x:c r="D329" s="19" t="str">
        <x:v>铂悦城店</x:v>
      </x:c>
      <x:c r="E329" s="19" t="str">
        <x:v>D05</x:v>
      </x:c>
      <x:c r="F329" s="19" t="str">
        <x:v>麻婆豆腐</x:v>
      </x:c>
      <x:c r="G329" s="20" t="n">
        <x:f>SUMIFS('7日销售明细'!$K$5:$K$2244,'7日销售明细'!$B$5:$B$2244,B329,'7日销售明细'!$D$5:$D$2244,C329,'7日销售明细'!$H$5:$H$2244,E329)</x:f>
        <x:v>55</x:v>
      </x:c>
      <x:c r="H329" s="35" t="n">
        <x:f>SUMIFS('7日销售明细'!$L$5:$L$2244,'7日销售明细'!$B$5:$B$2244,B329,'7日销售明细'!$D$5:$D$2244,C329,'7日销售明细'!$H$5:$H$2244,E329)</x:f>
        <x:v>544.5</x:v>
      </x:c>
      <x:c r="I329" s="35" t="n">
        <x:f>G329*XLOOKUP(E329,'菜品主数据'!$A$5:$A$24,'菜品主数据'!$G$5:$G$24,0)</x:f>
        <x:v>295.18500000000006</x:v>
      </x:c>
    </x:row>
    <x:row r="330">
      <x:c r="A330" s="19" t="str">
        <x:v>2026-07-09|S03|D06</x:v>
      </x:c>
      <x:c r="B330" s="34" t="n">
        <x:v>46212.5</x:v>
      </x:c>
      <x:c r="C330" s="19" t="str">
        <x:v>S03</x:v>
      </x:c>
      <x:c r="D330" s="19" t="str">
        <x:v>铂悦城店</x:v>
      </x:c>
      <x:c r="E330" s="19" t="str">
        <x:v>D06</x:v>
      </x:c>
      <x:c r="F330" s="19" t="str">
        <x:v>剁椒鱼头</x:v>
      </x:c>
      <x:c r="G330" s="20" t="n">
        <x:f>SUMIFS('7日销售明细'!$K$5:$K$2244,'7日销售明细'!$B$5:$B$2244,B330,'7日销售明细'!$D$5:$D$2244,C330,'7日销售明细'!$H$5:$H$2244,E330)</x:f>
        <x:v>15</x:v>
      </x:c>
      <x:c r="H330" s="35" t="n">
        <x:f>SUMIFS('7日销售明细'!$L$5:$L$2244,'7日销售明细'!$B$5:$B$2244,B330,'7日销售明细'!$D$5:$D$2244,C330,'7日销售明细'!$H$5:$H$2244,E330)</x:f>
        <x:v>585</x:v>
      </x:c>
      <x:c r="I330" s="35" t="n">
        <x:f>G330*XLOOKUP(E330,'菜品主数据'!$A$5:$A$24,'菜品主数据'!$G$5:$G$24,0)</x:f>
        <x:v>261.69</x:v>
      </x:c>
    </x:row>
    <x:row r="331">
      <x:c r="A331" s="19" t="str">
        <x:v>2026-07-09|S03|D07</x:v>
      </x:c>
      <x:c r="B331" s="34" t="n">
        <x:v>46212.5</x:v>
      </x:c>
      <x:c r="C331" s="19" t="str">
        <x:v>S03</x:v>
      </x:c>
      <x:c r="D331" s="19" t="str">
        <x:v>铂悦城店</x:v>
      </x:c>
      <x:c r="E331" s="19" t="str">
        <x:v>D07</x:v>
      </x:c>
      <x:c r="F331" s="19" t="str">
        <x:v>川味回锅肉</x:v>
      </x:c>
      <x:c r="G331" s="20" t="n">
        <x:f>SUMIFS('7日销售明细'!$K$5:$K$2244,'7日销售明细'!$B$5:$B$2244,B331,'7日销售明细'!$D$5:$D$2244,C331,'7日销售明细'!$H$5:$H$2244,E331)</x:f>
        <x:v>15</x:v>
      </x:c>
      <x:c r="H331" s="35" t="n">
        <x:f>SUMIFS('7日销售明细'!$L$5:$L$2244,'7日销售明细'!$B$5:$B$2244,B331,'7日销售明细'!$D$5:$D$2244,C331,'7日销售明细'!$H$5:$H$2244,E331)</x:f>
        <x:v>435</x:v>
      </x:c>
      <x:c r="I331" s="35" t="n">
        <x:f>G331*XLOOKUP(E331,'菜品主数据'!$A$5:$A$24,'菜品主数据'!$G$5:$G$24,0)</x:f>
        <x:v>153.46500000000003</x:v>
      </x:c>
    </x:row>
    <x:row r="332">
      <x:c r="A332" s="19" t="str">
        <x:v>2026-07-09|S03|D08</x:v>
      </x:c>
      <x:c r="B332" s="34" t="n">
        <x:v>46212.5</x:v>
      </x:c>
      <x:c r="C332" s="19" t="str">
        <x:v>S03</x:v>
      </x:c>
      <x:c r="D332" s="19" t="str">
        <x:v>铂悦城店</x:v>
      </x:c>
      <x:c r="E332" s="19" t="str">
        <x:v>D08</x:v>
      </x:c>
      <x:c r="F332" s="19" t="str">
        <x:v>生炒清远鸡</x:v>
      </x:c>
      <x:c r="G332" s="20" t="n">
        <x:f>SUMIFS('7日销售明细'!$K$5:$K$2244,'7日销售明细'!$B$5:$B$2244,B332,'7日销售明细'!$D$5:$D$2244,C332,'7日销售明细'!$H$5:$H$2244,E332)</x:f>
        <x:v>11</x:v>
      </x:c>
      <x:c r="H332" s="35" t="n">
        <x:f>SUMIFS('7日销售明细'!$L$5:$L$2244,'7日销售明细'!$B$5:$B$2244,B332,'7日销售明细'!$D$5:$D$2244,C332,'7日销售明细'!$H$5:$H$2244,E332)</x:f>
        <x:v>396</x:v>
      </x:c>
      <x:c r="I332" s="35" t="n">
        <x:f>G332*XLOOKUP(E332,'菜品主数据'!$A$5:$A$24,'菜品主数据'!$G$5:$G$24,0)</x:f>
        <x:v>148.28</x:v>
      </x:c>
    </x:row>
    <x:row r="333">
      <x:c r="A333" s="19" t="str">
        <x:v>2026-07-09|S03|D09</x:v>
      </x:c>
      <x:c r="B333" s="34" t="n">
        <x:v>46212.5</x:v>
      </x:c>
      <x:c r="C333" s="19" t="str">
        <x:v>S03</x:v>
      </x:c>
      <x:c r="D333" s="19" t="str">
        <x:v>铂悦城店</x:v>
      </x:c>
      <x:c r="E333" s="19" t="str">
        <x:v>D09</x:v>
      </x:c>
      <x:c r="F333" s="19" t="str">
        <x:v>炒豆干</x:v>
      </x:c>
      <x:c r="G333" s="20" t="n">
        <x:f>SUMIFS('7日销售明细'!$K$5:$K$2244,'7日销售明细'!$B$5:$B$2244,B333,'7日销售明细'!$D$5:$D$2244,C333,'7日销售明细'!$H$5:$H$2244,E333)</x:f>
        <x:v>15</x:v>
      </x:c>
      <x:c r="H333" s="35" t="n">
        <x:f>SUMIFS('7日销售明细'!$L$5:$L$2244,'7日销售明细'!$B$5:$B$2244,B333,'7日销售明细'!$D$5:$D$2244,C333,'7日销售明细'!$H$5:$H$2244,E333)</x:f>
        <x:v>270</x:v>
      </x:c>
      <x:c r="I333" s="35" t="n">
        <x:f>G333*XLOOKUP(E333,'菜品主数据'!$A$5:$A$24,'菜品主数据'!$G$5:$G$24,0)</x:f>
        <x:v>99.20999999999998</x:v>
      </x:c>
    </x:row>
    <x:row r="334">
      <x:c r="A334" s="19" t="str">
        <x:v>2026-07-09|S03|D10</x:v>
      </x:c>
      <x:c r="B334" s="34" t="n">
        <x:v>46212.5</x:v>
      </x:c>
      <x:c r="C334" s="19" t="str">
        <x:v>S03</x:v>
      </x:c>
      <x:c r="D334" s="19" t="str">
        <x:v>铂悦城店</x:v>
      </x:c>
      <x:c r="E334" s="19" t="str">
        <x:v>D10</x:v>
      </x:c>
      <x:c r="F334" s="19" t="str">
        <x:v>农家一碗香</x:v>
      </x:c>
      <x:c r="G334" s="20" t="n">
        <x:f>SUMIFS('7日销售明细'!$K$5:$K$2244,'7日销售明细'!$B$5:$B$2244,B334,'7日销售明细'!$D$5:$D$2244,C334,'7日销售明细'!$H$5:$H$2244,E334)</x:f>
        <x:v>18</x:v>
      </x:c>
      <x:c r="H334" s="35" t="n">
        <x:f>SUMIFS('7日销售明细'!$L$5:$L$2244,'7日销售明细'!$B$5:$B$2244,B334,'7日销售明细'!$D$5:$D$2244,C334,'7日销售明细'!$H$5:$H$2244,E334)</x:f>
        <x:v>412.2</x:v>
      </x:c>
      <x:c r="I334" s="35" t="n">
        <x:f>G334*XLOOKUP(E334,'菜品主数据'!$A$5:$A$24,'菜品主数据'!$G$5:$G$24,0)</x:f>
        <x:v>175.86360000000005</x:v>
      </x:c>
    </x:row>
    <x:row r="335">
      <x:c r="A335" s="19" t="str">
        <x:v>2026-07-09|S03|D11</x:v>
      </x:c>
      <x:c r="B335" s="34" t="n">
        <x:v>46212.5</x:v>
      </x:c>
      <x:c r="C335" s="19" t="str">
        <x:v>S03</x:v>
      </x:c>
      <x:c r="D335" s="19" t="str">
        <x:v>铂悦城店</x:v>
      </x:c>
      <x:c r="E335" s="19" t="str">
        <x:v>D11</x:v>
      </x:c>
      <x:c r="F335" s="19" t="str">
        <x:v>香辣爆肥肠</x:v>
      </x:c>
      <x:c r="G335" s="20" t="n">
        <x:f>SUMIFS('7日销售明细'!$K$5:$K$2244,'7日销售明细'!$B$5:$B$2244,B335,'7日销售明细'!$D$5:$D$2244,C335,'7日销售明细'!$H$5:$H$2244,E335)</x:f>
        <x:v>6</x:v>
      </x:c>
      <x:c r="H335" s="35" t="n">
        <x:f>SUMIFS('7日销售明细'!$L$5:$L$2244,'7日销售明细'!$B$5:$B$2244,B335,'7日销售明细'!$D$5:$D$2244,C335,'7日销售明细'!$H$5:$H$2244,E335)</x:f>
        <x:v>234</x:v>
      </x:c>
      <x:c r="I335" s="35" t="n">
        <x:f>G335*XLOOKUP(E335,'菜品主数据'!$A$5:$A$24,'菜品主数据'!$G$5:$G$24,0)</x:f>
        <x:v>62.382000000000005</x:v>
      </x:c>
    </x:row>
    <x:row r="336">
      <x:c r="A336" s="19" t="str">
        <x:v>2026-07-09|S03|D12</x:v>
      </x:c>
      <x:c r="B336" s="34" t="n">
        <x:v>46212.5</x:v>
      </x:c>
      <x:c r="C336" s="19" t="str">
        <x:v>S03</x:v>
      </x:c>
      <x:c r="D336" s="19" t="str">
        <x:v>铂悦城店</x:v>
      </x:c>
      <x:c r="E336" s="19" t="str">
        <x:v>D12</x:v>
      </x:c>
      <x:c r="F336" s="19" t="str">
        <x:v>清蒸鲈鱼</x:v>
      </x:c>
      <x:c r="G336" s="20" t="n">
        <x:f>SUMIFS('7日销售明细'!$K$5:$K$2244,'7日销售明细'!$B$5:$B$2244,B336,'7日销售明细'!$D$5:$D$2244,C336,'7日销售明细'!$H$5:$H$2244,E336)</x:f>
        <x:v>7</x:v>
      </x:c>
      <x:c r="H336" s="35" t="n">
        <x:f>SUMIFS('7日销售明细'!$L$5:$L$2244,'7日销售明细'!$B$5:$B$2244,B336,'7日销售明细'!$D$5:$D$2244,C336,'7日销售明细'!$H$5:$H$2244,E336)</x:f>
        <x:v>273</x:v>
      </x:c>
      <x:c r="I336" s="35" t="n">
        <x:f>G336*XLOOKUP(E336,'菜品主数据'!$A$5:$A$24,'菜品主数据'!$G$5:$G$24,0)</x:f>
        <x:v>132.118</x:v>
      </x:c>
    </x:row>
    <x:row r="337">
      <x:c r="A337" s="19" t="str">
        <x:v>2026-07-09|S03|D13</x:v>
      </x:c>
      <x:c r="B337" s="34" t="n">
        <x:v>46212.5</x:v>
      </x:c>
      <x:c r="C337" s="19" t="str">
        <x:v>S03</x:v>
      </x:c>
      <x:c r="D337" s="19" t="str">
        <x:v>铂悦城店</x:v>
      </x:c>
      <x:c r="E337" s="19" t="str">
        <x:v>D13</x:v>
      </x:c>
      <x:c r="F337" s="19" t="str">
        <x:v>外婆菜炒蛋</x:v>
      </x:c>
      <x:c r="G337" s="20" t="n">
        <x:f>SUMIFS('7日销售明细'!$K$5:$K$2244,'7日销售明细'!$B$5:$B$2244,B337,'7日销售明细'!$D$5:$D$2244,C337,'7日销售明细'!$H$5:$H$2244,E337)</x:f>
        <x:v>16</x:v>
      </x:c>
      <x:c r="H337" s="35" t="n">
        <x:f>SUMIFS('7日销售明细'!$L$5:$L$2244,'7日销售明细'!$B$5:$B$2244,B337,'7日销售明细'!$D$5:$D$2244,C337,'7日销售明细'!$H$5:$H$2244,E337)</x:f>
        <x:v>288</x:v>
      </x:c>
      <x:c r="I337" s="35" t="n">
        <x:f>G337*XLOOKUP(E337,'菜品主数据'!$A$5:$A$24,'菜品主数据'!$G$5:$G$24,0)</x:f>
        <x:v>86.46399999999998</x:v>
      </x:c>
    </x:row>
    <x:row r="338">
      <x:c r="A338" s="19" t="str">
        <x:v>2026-07-09|S03|D14</x:v>
      </x:c>
      <x:c r="B338" s="34" t="n">
        <x:v>46212.5</x:v>
      </x:c>
      <x:c r="C338" s="19" t="str">
        <x:v>S03</x:v>
      </x:c>
      <x:c r="D338" s="19" t="str">
        <x:v>铂悦城店</x:v>
      </x:c>
      <x:c r="E338" s="19" t="str">
        <x:v>D14</x:v>
      </x:c>
      <x:c r="F338" s="19" t="str">
        <x:v>酸辣鸡杂</x:v>
      </x:c>
      <x:c r="G338" s="20" t="n">
        <x:f>SUMIFS('7日销售明细'!$K$5:$K$2244,'7日销售明细'!$B$5:$B$2244,B338,'7日销售明细'!$D$5:$D$2244,C338,'7日销售明细'!$H$5:$H$2244,E338)</x:f>
        <x:v>8</x:v>
      </x:c>
      <x:c r="H338" s="35" t="n">
        <x:f>SUMIFS('7日销售明细'!$L$5:$L$2244,'7日销售明细'!$B$5:$B$2244,B338,'7日销售明细'!$D$5:$D$2244,C338,'7日销售明细'!$H$5:$H$2244,E338)</x:f>
        <x:v>224</x:v>
      </x:c>
      <x:c r="I338" s="35" t="n">
        <x:f>G338*XLOOKUP(E338,'菜品主数据'!$A$5:$A$24,'菜品主数据'!$G$5:$G$24,0)</x:f>
        <x:v>66.52000000000001</x:v>
      </x:c>
    </x:row>
    <x:row r="339">
      <x:c r="A339" s="19" t="str">
        <x:v>2026-07-09|S03|D15</x:v>
      </x:c>
      <x:c r="B339" s="34" t="n">
        <x:v>46212.5</x:v>
      </x:c>
      <x:c r="C339" s="19" t="str">
        <x:v>S03</x:v>
      </x:c>
      <x:c r="D339" s="19" t="str">
        <x:v>铂悦城店</x:v>
      </x:c>
      <x:c r="E339" s="19" t="str">
        <x:v>D15</x:v>
      </x:c>
      <x:c r="F339" s="19" t="str">
        <x:v>湘西土匪猪肝</x:v>
      </x:c>
      <x:c r="G339" s="20" t="n">
        <x:f>SUMIFS('7日销售明细'!$K$5:$K$2244,'7日销售明细'!$B$5:$B$2244,B339,'7日销售明细'!$D$5:$D$2244,C339,'7日销售明细'!$H$5:$H$2244,E339)</x:f>
        <x:v>7</x:v>
      </x:c>
      <x:c r="H339" s="35" t="n">
        <x:f>SUMIFS('7日销售明细'!$L$5:$L$2244,'7日销售明细'!$B$5:$B$2244,B339,'7日销售明细'!$D$5:$D$2244,C339,'7日销售明细'!$H$5:$H$2244,E339)</x:f>
        <x:v>182</x:v>
      </x:c>
      <x:c r="I339" s="35" t="n">
        <x:f>G339*XLOOKUP(E339,'菜品主数据'!$A$5:$A$24,'菜品主数据'!$G$5:$G$24,0)</x:f>
        <x:v>44.632</x:v>
      </x:c>
    </x:row>
    <x:row r="340">
      <x:c r="A340" s="19" t="str">
        <x:v>2026-07-09|S03|D16</x:v>
      </x:c>
      <x:c r="B340" s="34" t="n">
        <x:v>46212.5</x:v>
      </x:c>
      <x:c r="C340" s="19" t="str">
        <x:v>S03</x:v>
      </x:c>
      <x:c r="D340" s="19" t="str">
        <x:v>铂悦城店</x:v>
      </x:c>
      <x:c r="E340" s="19" t="str">
        <x:v>D16</x:v>
      </x:c>
      <x:c r="F340" s="19" t="str">
        <x:v>小豆角炒五花</x:v>
      </x:c>
      <x:c r="G340" s="20" t="n">
        <x:f>SUMIFS('7日销售明细'!$K$5:$K$2244,'7日销售明细'!$B$5:$B$2244,B340,'7日销售明细'!$D$5:$D$2244,C340,'7日销售明细'!$H$5:$H$2244,E340)</x:f>
        <x:v>7</x:v>
      </x:c>
      <x:c r="H340" s="35" t="n">
        <x:f>SUMIFS('7日销售明细'!$L$5:$L$2244,'7日销售明细'!$B$5:$B$2244,B340,'7日销售明细'!$D$5:$D$2244,C340,'7日销售明细'!$H$5:$H$2244,E340)</x:f>
        <x:v>175</x:v>
      </x:c>
      <x:c r="I340" s="35" t="n">
        <x:f>G340*XLOOKUP(E340,'菜品主数据'!$A$5:$A$24,'菜品主数据'!$G$5:$G$24,0)</x:f>
        <x:v>57.288</x:v>
      </x:c>
    </x:row>
    <x:row r="341">
      <x:c r="A341" s="19" t="str">
        <x:v>2026-07-09|S03|D17</x:v>
      </x:c>
      <x:c r="B341" s="34" t="n">
        <x:v>46212.5</x:v>
      </x:c>
      <x:c r="C341" s="19" t="str">
        <x:v>S03</x:v>
      </x:c>
      <x:c r="D341" s="19" t="str">
        <x:v>铂悦城店</x:v>
      </x:c>
      <x:c r="E341" s="19" t="str">
        <x:v>D17</x:v>
      </x:c>
      <x:c r="F341" s="19" t="str">
        <x:v>蒜蓉粉丝虾</x:v>
      </x:c>
      <x:c r="G341" s="20" t="n">
        <x:f>SUMIFS('7日销售明细'!$K$5:$K$2244,'7日销售明细'!$B$5:$B$2244,B341,'7日销售明细'!$D$5:$D$2244,C341,'7日销售明细'!$H$5:$H$2244,E341)</x:f>
        <x:v>5</x:v>
      </x:c>
      <x:c r="H341" s="35" t="n">
        <x:f>SUMIFS('7日销售明细'!$L$5:$L$2244,'7日销售明细'!$B$5:$B$2244,B341,'7日销售明细'!$D$5:$D$2244,C341,'7日销售明细'!$H$5:$H$2244,E341)</x:f>
        <x:v>180</x:v>
      </x:c>
      <x:c r="I341" s="35" t="n">
        <x:f>G341*XLOOKUP(E341,'菜品主数据'!$A$5:$A$24,'菜品主数据'!$G$5:$G$24,0)</x:f>
        <x:v>67.97</x:v>
      </x:c>
    </x:row>
    <x:row r="342">
      <x:c r="A342" s="19" t="str">
        <x:v>2026-07-09|S03|D18</x:v>
      </x:c>
      <x:c r="B342" s="34" t="n">
        <x:v>46212.5</x:v>
      </x:c>
      <x:c r="C342" s="19" t="str">
        <x:v>S03</x:v>
      </x:c>
      <x:c r="D342" s="19" t="str">
        <x:v>铂悦城店</x:v>
      </x:c>
      <x:c r="E342" s="19" t="str">
        <x:v>D18</x:v>
      </x:c>
      <x:c r="F342" s="19" t="str">
        <x:v>青椒炒油麦菜</x:v>
      </x:c>
      <x:c r="G342" s="20" t="n">
        <x:f>SUMIFS('7日销售明细'!$K$5:$K$2244,'7日销售明细'!$B$5:$B$2244,B342,'7日销售明细'!$D$5:$D$2244,C342,'7日销售明细'!$H$5:$H$2244,E342)</x:f>
        <x:v>8</x:v>
      </x:c>
      <x:c r="H342" s="35" t="n">
        <x:f>SUMIFS('7日销售明细'!$L$5:$L$2244,'7日销售明细'!$B$5:$B$2244,B342,'7日销售明细'!$D$5:$D$2244,C342,'7日销售明细'!$H$5:$H$2244,E342)</x:f>
        <x:v>144</x:v>
      </x:c>
      <x:c r="I342" s="35" t="n">
        <x:f>G342*XLOOKUP(E342,'菜品主数据'!$A$5:$A$24,'菜品主数据'!$G$5:$G$24,0)</x:f>
        <x:v>25.407999999999994</x:v>
      </x:c>
    </x:row>
    <x:row r="343">
      <x:c r="A343" s="19" t="str">
        <x:v>2026-07-09|S03|D19</x:v>
      </x:c>
      <x:c r="B343" s="34" t="n">
        <x:v>46212.5</x:v>
      </x:c>
      <x:c r="C343" s="19" t="str">
        <x:v>S03</x:v>
      </x:c>
      <x:c r="D343" s="19" t="str">
        <x:v>铂悦城店</x:v>
      </x:c>
      <x:c r="E343" s="19" t="str">
        <x:v>D19</x:v>
      </x:c>
      <x:c r="F343" s="19" t="str">
        <x:v>酸萝卜炒鸡杂</x:v>
      </x:c>
      <x:c r="G343" s="20" t="n">
        <x:f>SUMIFS('7日销售明细'!$K$5:$K$2244,'7日销售明细'!$B$5:$B$2244,B343,'7日销售明细'!$D$5:$D$2244,C343,'7日销售明细'!$H$5:$H$2244,E343)</x:f>
        <x:v>6</x:v>
      </x:c>
      <x:c r="H343" s="35" t="n">
        <x:f>SUMIFS('7日销售明细'!$L$5:$L$2244,'7日销售明细'!$B$5:$B$2244,B343,'7日销售明细'!$D$5:$D$2244,C343,'7日销售明细'!$H$5:$H$2244,E343)</x:f>
        <x:v>150</x:v>
      </x:c>
      <x:c r="I343" s="35" t="n">
        <x:f>G343*XLOOKUP(E343,'菜品主数据'!$A$5:$A$24,'菜品主数据'!$G$5:$G$24,0)</x:f>
        <x:v>47.64</x:v>
      </x:c>
    </x:row>
    <x:row r="344">
      <x:c r="A344" s="19" t="str">
        <x:v>2026-07-09|S03|D20</x:v>
      </x:c>
      <x:c r="B344" s="34" t="n">
        <x:v>46212.5</x:v>
      </x:c>
      <x:c r="C344" s="19" t="str">
        <x:v>S03</x:v>
      </x:c>
      <x:c r="D344" s="19" t="str">
        <x:v>铂悦城店</x:v>
      </x:c>
      <x:c r="E344" s="19" t="str">
        <x:v>D20</x:v>
      </x:c>
      <x:c r="F344" s="19" t="str">
        <x:v>雪菜肉末青豆</x:v>
      </x:c>
      <x:c r="G344" s="20" t="n">
        <x:f>SUMIFS('7日销售明细'!$K$5:$K$2244,'7日销售明细'!$B$5:$B$2244,B344,'7日销售明细'!$D$5:$D$2244,C344,'7日销售明细'!$H$5:$H$2244,E344)</x:f>
        <x:v>8</x:v>
      </x:c>
      <x:c r="H344" s="35" t="n">
        <x:f>SUMIFS('7日销售明细'!$L$5:$L$2244,'7日销售明细'!$B$5:$B$2244,B344,'7日销售明细'!$D$5:$D$2244,C344,'7日销售明细'!$H$5:$H$2244,E344)</x:f>
        <x:v>144</x:v>
      </x:c>
      <x:c r="I344" s="35" t="n">
        <x:f>G344*XLOOKUP(E344,'菜品主数据'!$A$5:$A$24,'菜品主数据'!$G$5:$G$24,0)</x:f>
        <x:v>58.431999999999995</x:v>
      </x:c>
    </x:row>
    <x:row r="345">
      <x:c r="A345" s="19" t="str">
        <x:v>2026-07-10|S03|D01</x:v>
      </x:c>
      <x:c r="B345" s="34" t="n">
        <x:v>46213.5</x:v>
      </x:c>
      <x:c r="C345" s="19" t="str">
        <x:v>S03</x:v>
      </x:c>
      <x:c r="D345" s="19" t="str">
        <x:v>铂悦城店</x:v>
      </x:c>
      <x:c r="E345" s="19" t="str">
        <x:v>D01</x:v>
      </x:c>
      <x:c r="F345" s="19" t="str">
        <x:v>辣椒炒肉</x:v>
      </x:c>
      <x:c r="G345" s="20" t="n">
        <x:f>SUMIFS('7日销售明细'!$K$5:$K$2244,'7日销售明细'!$B$5:$B$2244,B345,'7日销售明细'!$D$5:$D$2244,C345,'7日销售明细'!$H$5:$H$2244,E345)</x:f>
        <x:v>54</x:v>
      </x:c>
      <x:c r="H345" s="35" t="n">
        <x:f>SUMIFS('7日销售明细'!$L$5:$L$2244,'7日销售明细'!$B$5:$B$2244,B345,'7日销售明细'!$D$5:$D$2244,C345,'7日销售明细'!$H$5:$H$2244,E345)</x:f>
        <x:v>1566</x:v>
      </x:c>
      <x:c r="I345" s="35" t="n">
        <x:f>G345*XLOOKUP(E345,'菜品主数据'!$A$5:$A$24,'菜品主数据'!$G$5:$G$24,0)</x:f>
        <x:v>466.2576000000001</x:v>
      </x:c>
    </x:row>
    <x:row r="346">
      <x:c r="A346" s="19" t="str">
        <x:v>2026-07-10|S03|D02</x:v>
      </x:c>
      <x:c r="B346" s="34" t="n">
        <x:v>46213.5</x:v>
      </x:c>
      <x:c r="C346" s="19" t="str">
        <x:v>S03</x:v>
      </x:c>
      <x:c r="D346" s="19" t="str">
        <x:v>铂悦城店</x:v>
      </x:c>
      <x:c r="E346" s="19" t="str">
        <x:v>D02</x:v>
      </x:c>
      <x:c r="F346" s="19" t="str">
        <x:v>小炒黄牛肉</x:v>
      </x:c>
      <x:c r="G346" s="20" t="n">
        <x:f>SUMIFS('7日销售明细'!$K$5:$K$2244,'7日销售明细'!$B$5:$B$2244,B346,'7日销售明细'!$D$5:$D$2244,C346,'7日销售明细'!$H$5:$H$2244,E346)</x:f>
        <x:v>32</x:v>
      </x:c>
      <x:c r="H346" s="35" t="n">
        <x:f>SUMIFS('7日销售明细'!$L$5:$L$2244,'7日销售明细'!$B$5:$B$2244,B346,'7日销售明细'!$D$5:$D$2244,C346,'7日销售明细'!$H$5:$H$2244,E346)</x:f>
        <x:v>1568</x:v>
      </x:c>
      <x:c r="I346" s="35" t="n">
        <x:f>G346*XLOOKUP(E346,'菜品主数据'!$A$5:$A$24,'菜品主数据'!$G$5:$G$24,0)</x:f>
        <x:v>562.464</x:v>
      </x:c>
    </x:row>
    <x:row r="347">
      <x:c r="A347" s="19" t="str">
        <x:v>2026-07-10|S03|D03</x:v>
      </x:c>
      <x:c r="B347" s="34" t="n">
        <x:v>46213.5</x:v>
      </x:c>
      <x:c r="C347" s="19" t="str">
        <x:v>S03</x:v>
      </x:c>
      <x:c r="D347" s="19" t="str">
        <x:v>铂悦城店</x:v>
      </x:c>
      <x:c r="E347" s="19" t="str">
        <x:v>D03</x:v>
      </x:c>
      <x:c r="F347" s="19" t="str">
        <x:v>香醋炒蛋</x:v>
      </x:c>
      <x:c r="G347" s="20" t="n">
        <x:f>SUMIFS('7日销售明细'!$K$5:$K$2244,'7日销售明细'!$B$5:$B$2244,B347,'7日销售明细'!$D$5:$D$2244,C347,'7日销售明细'!$H$5:$H$2244,E347)</x:f>
        <x:v>42</x:v>
      </x:c>
      <x:c r="H347" s="35" t="n">
        <x:f>SUMIFS('7日销售明细'!$L$5:$L$2244,'7日销售明细'!$B$5:$B$2244,B347,'7日销售明细'!$D$5:$D$2244,C347,'7日销售明细'!$H$5:$H$2244,E347)</x:f>
        <x:v>625.8000000000001</x:v>
      </x:c>
      <x:c r="I347" s="35" t="n">
        <x:f>G347*XLOOKUP(E347,'菜品主数据'!$A$5:$A$24,'菜品主数据'!$G$5:$G$24,0)</x:f>
        <x:v>157.332</x:v>
      </x:c>
    </x:row>
    <x:row r="348">
      <x:c r="A348" s="19" t="str">
        <x:v>2026-07-10|S03|D04</x:v>
      </x:c>
      <x:c r="B348" s="34" t="n">
        <x:v>46213.5</x:v>
      </x:c>
      <x:c r="C348" s="19" t="str">
        <x:v>S03</x:v>
      </x:c>
      <x:c r="D348" s="19" t="str">
        <x:v>铂悦城店</x:v>
      </x:c>
      <x:c r="E348" s="19" t="str">
        <x:v>D04</x:v>
      </x:c>
      <x:c r="F348" s="19" t="str">
        <x:v>酸包菜炒粉皮</x:v>
      </x:c>
      <x:c r="G348" s="20" t="n">
        <x:f>SUMIFS('7日销售明细'!$K$5:$K$2244,'7日销售明细'!$B$5:$B$2244,B348,'7日销售明细'!$D$5:$D$2244,C348,'7日销售明细'!$H$5:$H$2244,E348)</x:f>
        <x:v>38</x:v>
      </x:c>
      <x:c r="H348" s="35" t="n">
        <x:f>SUMIFS('7日销售明细'!$L$5:$L$2244,'7日销售明细'!$B$5:$B$2244,B348,'7日销售明细'!$D$5:$D$2244,C348,'7日销售明细'!$H$5:$H$2244,E348)</x:f>
        <x:v>608</x:v>
      </x:c>
      <x:c r="I348" s="35" t="n">
        <x:f>G348*XLOOKUP(E348,'菜品主数据'!$A$5:$A$24,'菜品主数据'!$G$5:$G$24,0)</x:f>
        <x:v>151.16400000000002</x:v>
      </x:c>
    </x:row>
    <x:row r="349">
      <x:c r="A349" s="19" t="str">
        <x:v>2026-07-10|S03|D05</x:v>
      </x:c>
      <x:c r="B349" s="34" t="n">
        <x:v>46213.5</x:v>
      </x:c>
      <x:c r="C349" s="19" t="str">
        <x:v>S03</x:v>
      </x:c>
      <x:c r="D349" s="19" t="str">
        <x:v>铂悦城店</x:v>
      </x:c>
      <x:c r="E349" s="19" t="str">
        <x:v>D05</x:v>
      </x:c>
      <x:c r="F349" s="19" t="str">
        <x:v>麻婆豆腐</x:v>
      </x:c>
      <x:c r="G349" s="20" t="n">
        <x:f>SUMIFS('7日销售明细'!$K$5:$K$2244,'7日销售明细'!$B$5:$B$2244,B349,'7日销售明细'!$D$5:$D$2244,C349,'7日销售明细'!$H$5:$H$2244,E349)</x:f>
        <x:v>59</x:v>
      </x:c>
      <x:c r="H349" s="35" t="n">
        <x:f>SUMIFS('7日销售明细'!$L$5:$L$2244,'7日销售明细'!$B$5:$B$2244,B349,'7日销售明细'!$D$5:$D$2244,C349,'7日销售明细'!$H$5:$H$2244,E349)</x:f>
        <x:v>584.1</x:v>
      </x:c>
      <x:c r="I349" s="35" t="n">
        <x:f>G349*XLOOKUP(E349,'菜品主数据'!$A$5:$A$24,'菜品主数据'!$G$5:$G$24,0)</x:f>
        <x:v>316.6530000000001</x:v>
      </x:c>
    </x:row>
    <x:row r="350">
      <x:c r="A350" s="19" t="str">
        <x:v>2026-07-10|S03|D06</x:v>
      </x:c>
      <x:c r="B350" s="34" t="n">
        <x:v>46213.5</x:v>
      </x:c>
      <x:c r="C350" s="19" t="str">
        <x:v>S03</x:v>
      </x:c>
      <x:c r="D350" s="19" t="str">
        <x:v>铂悦城店</x:v>
      </x:c>
      <x:c r="E350" s="19" t="str">
        <x:v>D06</x:v>
      </x:c>
      <x:c r="F350" s="19" t="str">
        <x:v>剁椒鱼头</x:v>
      </x:c>
      <x:c r="G350" s="20" t="n">
        <x:f>SUMIFS('7日销售明细'!$K$5:$K$2244,'7日销售明细'!$B$5:$B$2244,B350,'7日销售明细'!$D$5:$D$2244,C350,'7日销售明细'!$H$5:$H$2244,E350)</x:f>
        <x:v>12</x:v>
      </x:c>
      <x:c r="H350" s="35" t="n">
        <x:f>SUMIFS('7日销售明细'!$L$5:$L$2244,'7日销售明细'!$B$5:$B$2244,B350,'7日销售明细'!$D$5:$D$2244,C350,'7日销售明细'!$H$5:$H$2244,E350)</x:f>
        <x:v>468</x:v>
      </x:c>
      <x:c r="I350" s="35" t="n">
        <x:f>G350*XLOOKUP(E350,'菜品主数据'!$A$5:$A$24,'菜品主数据'!$G$5:$G$24,0)</x:f>
        <x:v>209.35200000000003</x:v>
      </x:c>
    </x:row>
    <x:row r="351">
      <x:c r="A351" s="19" t="str">
        <x:v>2026-07-10|S03|D07</x:v>
      </x:c>
      <x:c r="B351" s="34" t="n">
        <x:v>46213.5</x:v>
      </x:c>
      <x:c r="C351" s="19" t="str">
        <x:v>S03</x:v>
      </x:c>
      <x:c r="D351" s="19" t="str">
        <x:v>铂悦城店</x:v>
      </x:c>
      <x:c r="E351" s="19" t="str">
        <x:v>D07</x:v>
      </x:c>
      <x:c r="F351" s="19" t="str">
        <x:v>川味回锅肉</x:v>
      </x:c>
      <x:c r="G351" s="20" t="n">
        <x:f>SUMIFS('7日销售明细'!$K$5:$K$2244,'7日销售明细'!$B$5:$B$2244,B351,'7日销售明细'!$D$5:$D$2244,C351,'7日销售明细'!$H$5:$H$2244,E351)</x:f>
        <x:v>17</x:v>
      </x:c>
      <x:c r="H351" s="35" t="n">
        <x:f>SUMIFS('7日销售明细'!$L$5:$L$2244,'7日销售明细'!$B$5:$B$2244,B351,'7日销售明细'!$D$5:$D$2244,C351,'7日销售明细'!$H$5:$H$2244,E351)</x:f>
        <x:v>493</x:v>
      </x:c>
      <x:c r="I351" s="35" t="n">
        <x:f>G351*XLOOKUP(E351,'菜品主数据'!$A$5:$A$24,'菜品主数据'!$G$5:$G$24,0)</x:f>
        <x:v>173.92700000000002</x:v>
      </x:c>
    </x:row>
    <x:row r="352">
      <x:c r="A352" s="19" t="str">
        <x:v>2026-07-10|S03|D08</x:v>
      </x:c>
      <x:c r="B352" s="34" t="n">
        <x:v>46213.5</x:v>
      </x:c>
      <x:c r="C352" s="19" t="str">
        <x:v>S03</x:v>
      </x:c>
      <x:c r="D352" s="19" t="str">
        <x:v>铂悦城店</x:v>
      </x:c>
      <x:c r="E352" s="19" t="str">
        <x:v>D08</x:v>
      </x:c>
      <x:c r="F352" s="19" t="str">
        <x:v>生炒清远鸡</x:v>
      </x:c>
      <x:c r="G352" s="20" t="n">
        <x:f>SUMIFS('7日销售明细'!$K$5:$K$2244,'7日销售明细'!$B$5:$B$2244,B352,'7日销售明细'!$D$5:$D$2244,C352,'7日销售明细'!$H$5:$H$2244,E352)</x:f>
        <x:v>12</x:v>
      </x:c>
      <x:c r="H352" s="35" t="n">
        <x:f>SUMIFS('7日销售明细'!$L$5:$L$2244,'7日销售明细'!$B$5:$B$2244,B352,'7日销售明细'!$D$5:$D$2244,C352,'7日销售明细'!$H$5:$H$2244,E352)</x:f>
        <x:v>432</x:v>
      </x:c>
      <x:c r="I352" s="35" t="n">
        <x:f>G352*XLOOKUP(E352,'菜品主数据'!$A$5:$A$24,'菜品主数据'!$G$5:$G$24,0)</x:f>
        <x:v>161.76</x:v>
      </x:c>
    </x:row>
    <x:row r="353">
      <x:c r="A353" s="19" t="str">
        <x:v>2026-07-10|S03|D09</x:v>
      </x:c>
      <x:c r="B353" s="34" t="n">
        <x:v>46213.5</x:v>
      </x:c>
      <x:c r="C353" s="19" t="str">
        <x:v>S03</x:v>
      </x:c>
      <x:c r="D353" s="19" t="str">
        <x:v>铂悦城店</x:v>
      </x:c>
      <x:c r="E353" s="19" t="str">
        <x:v>D09</x:v>
      </x:c>
      <x:c r="F353" s="19" t="str">
        <x:v>炒豆干</x:v>
      </x:c>
      <x:c r="G353" s="20" t="n">
        <x:f>SUMIFS('7日销售明细'!$K$5:$K$2244,'7日销售明细'!$B$5:$B$2244,B353,'7日销售明细'!$D$5:$D$2244,C353,'7日销售明细'!$H$5:$H$2244,E353)</x:f>
        <x:v>17</x:v>
      </x:c>
      <x:c r="H353" s="35" t="n">
        <x:f>SUMIFS('7日销售明细'!$L$5:$L$2244,'7日销售明细'!$B$5:$B$2244,B353,'7日销售明细'!$D$5:$D$2244,C353,'7日销售明细'!$H$5:$H$2244,E353)</x:f>
        <x:v>306</x:v>
      </x:c>
      <x:c r="I353" s="35" t="n">
        <x:f>G353*XLOOKUP(E353,'菜品主数据'!$A$5:$A$24,'菜品主数据'!$G$5:$G$24,0)</x:f>
        <x:v>112.43799999999999</x:v>
      </x:c>
    </x:row>
    <x:row r="354">
      <x:c r="A354" s="19" t="str">
        <x:v>2026-07-10|S03|D10</x:v>
      </x:c>
      <x:c r="B354" s="34" t="n">
        <x:v>46213.5</x:v>
      </x:c>
      <x:c r="C354" s="19" t="str">
        <x:v>S03</x:v>
      </x:c>
      <x:c r="D354" s="19" t="str">
        <x:v>铂悦城店</x:v>
      </x:c>
      <x:c r="E354" s="19" t="str">
        <x:v>D10</x:v>
      </x:c>
      <x:c r="F354" s="19" t="str">
        <x:v>农家一碗香</x:v>
      </x:c>
      <x:c r="G354" s="20" t="n">
        <x:f>SUMIFS('7日销售明细'!$K$5:$K$2244,'7日销售明细'!$B$5:$B$2244,B354,'7日销售明细'!$D$5:$D$2244,C354,'7日销售明细'!$H$5:$H$2244,E354)</x:f>
        <x:v>21</x:v>
      </x:c>
      <x:c r="H354" s="35" t="n">
        <x:f>SUMIFS('7日销售明细'!$L$5:$L$2244,'7日销售明细'!$B$5:$B$2244,B354,'7日销售明细'!$D$5:$D$2244,C354,'7日销售明细'!$H$5:$H$2244,E354)</x:f>
        <x:v>480.9</x:v>
      </x:c>
      <x:c r="I354" s="35" t="n">
        <x:f>G354*XLOOKUP(E354,'菜品主数据'!$A$5:$A$24,'菜品主数据'!$G$5:$G$24,0)</x:f>
        <x:v>205.17420000000004</x:v>
      </x:c>
    </x:row>
    <x:row r="355">
      <x:c r="A355" s="19" t="str">
        <x:v>2026-07-10|S03|D11</x:v>
      </x:c>
      <x:c r="B355" s="34" t="n">
        <x:v>46213.5</x:v>
      </x:c>
      <x:c r="C355" s="19" t="str">
        <x:v>S03</x:v>
      </x:c>
      <x:c r="D355" s="19" t="str">
        <x:v>铂悦城店</x:v>
      </x:c>
      <x:c r="E355" s="19" t="str">
        <x:v>D11</x:v>
      </x:c>
      <x:c r="F355" s="19" t="str">
        <x:v>香辣爆肥肠</x:v>
      </x:c>
      <x:c r="G355" s="20" t="n">
        <x:f>SUMIFS('7日销售明细'!$K$5:$K$2244,'7日销售明细'!$B$5:$B$2244,B355,'7日销售明细'!$D$5:$D$2244,C355,'7日销售明细'!$H$5:$H$2244,E355)</x:f>
        <x:v>6</x:v>
      </x:c>
      <x:c r="H355" s="35" t="n">
        <x:f>SUMIFS('7日销售明细'!$L$5:$L$2244,'7日销售明细'!$B$5:$B$2244,B355,'7日销售明细'!$D$5:$D$2244,C355,'7日销售明细'!$H$5:$H$2244,E355)</x:f>
        <x:v>234</x:v>
      </x:c>
      <x:c r="I355" s="35" t="n">
        <x:f>G355*XLOOKUP(E355,'菜品主数据'!$A$5:$A$24,'菜品主数据'!$G$5:$G$24,0)</x:f>
        <x:v>62.382000000000005</x:v>
      </x:c>
    </x:row>
    <x:row r="356">
      <x:c r="A356" s="19" t="str">
        <x:v>2026-07-10|S03|D12</x:v>
      </x:c>
      <x:c r="B356" s="34" t="n">
        <x:v>46213.5</x:v>
      </x:c>
      <x:c r="C356" s="19" t="str">
        <x:v>S03</x:v>
      </x:c>
      <x:c r="D356" s="19" t="str">
        <x:v>铂悦城店</x:v>
      </x:c>
      <x:c r="E356" s="19" t="str">
        <x:v>D12</x:v>
      </x:c>
      <x:c r="F356" s="19" t="str">
        <x:v>清蒸鲈鱼</x:v>
      </x:c>
      <x:c r="G356" s="20" t="n">
        <x:f>SUMIFS('7日销售明细'!$K$5:$K$2244,'7日销售明细'!$B$5:$B$2244,B356,'7日销售明细'!$D$5:$D$2244,C356,'7日销售明细'!$H$5:$H$2244,E356)</x:f>
        <x:v>7</x:v>
      </x:c>
      <x:c r="H356" s="35" t="n">
        <x:f>SUMIFS('7日销售明细'!$L$5:$L$2244,'7日销售明细'!$B$5:$B$2244,B356,'7日销售明细'!$D$5:$D$2244,C356,'7日销售明细'!$H$5:$H$2244,E356)</x:f>
        <x:v>273</x:v>
      </x:c>
      <x:c r="I356" s="35" t="n">
        <x:f>G356*XLOOKUP(E356,'菜品主数据'!$A$5:$A$24,'菜品主数据'!$G$5:$G$24,0)</x:f>
        <x:v>132.118</x:v>
      </x:c>
    </x:row>
    <x:row r="357">
      <x:c r="A357" s="19" t="str">
        <x:v>2026-07-10|S03|D13</x:v>
      </x:c>
      <x:c r="B357" s="34" t="n">
        <x:v>46213.5</x:v>
      </x:c>
      <x:c r="C357" s="19" t="str">
        <x:v>S03</x:v>
      </x:c>
      <x:c r="D357" s="19" t="str">
        <x:v>铂悦城店</x:v>
      </x:c>
      <x:c r="E357" s="19" t="str">
        <x:v>D13</x:v>
      </x:c>
      <x:c r="F357" s="19" t="str">
        <x:v>外婆菜炒蛋</x:v>
      </x:c>
      <x:c r="G357" s="20" t="n">
        <x:f>SUMIFS('7日销售明细'!$K$5:$K$2244,'7日销售明细'!$B$5:$B$2244,B357,'7日销售明细'!$D$5:$D$2244,C357,'7日销售明细'!$H$5:$H$2244,E357)</x:f>
        <x:v>17</x:v>
      </x:c>
      <x:c r="H357" s="35" t="n">
        <x:f>SUMIFS('7日销售明细'!$L$5:$L$2244,'7日销售明细'!$B$5:$B$2244,B357,'7日销售明细'!$D$5:$D$2244,C357,'7日销售明细'!$H$5:$H$2244,E357)</x:f>
        <x:v>306</x:v>
      </x:c>
      <x:c r="I357" s="35" t="n">
        <x:f>G357*XLOOKUP(E357,'菜品主数据'!$A$5:$A$24,'菜品主数据'!$G$5:$G$24,0)</x:f>
        <x:v>91.86799999999998</x:v>
      </x:c>
    </x:row>
    <x:row r="358">
      <x:c r="A358" s="19" t="str">
        <x:v>2026-07-10|S03|D14</x:v>
      </x:c>
      <x:c r="B358" s="34" t="n">
        <x:v>46213.5</x:v>
      </x:c>
      <x:c r="C358" s="19" t="str">
        <x:v>S03</x:v>
      </x:c>
      <x:c r="D358" s="19" t="str">
        <x:v>铂悦城店</x:v>
      </x:c>
      <x:c r="E358" s="19" t="str">
        <x:v>D14</x:v>
      </x:c>
      <x:c r="F358" s="19" t="str">
        <x:v>酸辣鸡杂</x:v>
      </x:c>
      <x:c r="G358" s="20" t="n">
        <x:f>SUMIFS('7日销售明细'!$K$5:$K$2244,'7日销售明细'!$B$5:$B$2244,B358,'7日销售明细'!$D$5:$D$2244,C358,'7日销售明细'!$H$5:$H$2244,E358)</x:f>
        <x:v>9</x:v>
      </x:c>
      <x:c r="H358" s="35" t="n">
        <x:f>SUMIFS('7日销售明细'!$L$5:$L$2244,'7日销售明细'!$B$5:$B$2244,B358,'7日销售明细'!$D$5:$D$2244,C358,'7日销售明细'!$H$5:$H$2244,E358)</x:f>
        <x:v>252</x:v>
      </x:c>
      <x:c r="I358" s="35" t="n">
        <x:f>G358*XLOOKUP(E358,'菜品主数据'!$A$5:$A$24,'菜品主数据'!$G$5:$G$24,0)</x:f>
        <x:v>74.83500000000001</x:v>
      </x:c>
    </x:row>
    <x:row r="359">
      <x:c r="A359" s="19" t="str">
        <x:v>2026-07-10|S03|D15</x:v>
      </x:c>
      <x:c r="B359" s="34" t="n">
        <x:v>46213.5</x:v>
      </x:c>
      <x:c r="C359" s="19" t="str">
        <x:v>S03</x:v>
      </x:c>
      <x:c r="D359" s="19" t="str">
        <x:v>铂悦城店</x:v>
      </x:c>
      <x:c r="E359" s="19" t="str">
        <x:v>D15</x:v>
      </x:c>
      <x:c r="F359" s="19" t="str">
        <x:v>湘西土匪猪肝</x:v>
      </x:c>
      <x:c r="G359" s="20" t="n">
        <x:f>SUMIFS('7日销售明细'!$K$5:$K$2244,'7日销售明细'!$B$5:$B$2244,B359,'7日销售明细'!$D$5:$D$2244,C359,'7日销售明细'!$H$5:$H$2244,E359)</x:f>
        <x:v>8</x:v>
      </x:c>
      <x:c r="H359" s="35" t="n">
        <x:f>SUMIFS('7日销售明细'!$L$5:$L$2244,'7日销售明细'!$B$5:$B$2244,B359,'7日销售明细'!$D$5:$D$2244,C359,'7日销售明细'!$H$5:$H$2244,E359)</x:f>
        <x:v>208</x:v>
      </x:c>
      <x:c r="I359" s="35" t="n">
        <x:f>G359*XLOOKUP(E359,'菜品主数据'!$A$5:$A$24,'菜品主数据'!$G$5:$G$24,0)</x:f>
        <x:v>51.007999999999996</x:v>
      </x:c>
    </x:row>
    <x:row r="360">
      <x:c r="A360" s="19" t="str">
        <x:v>2026-07-10|S03|D16</x:v>
      </x:c>
      <x:c r="B360" s="34" t="n">
        <x:v>46213.5</x:v>
      </x:c>
      <x:c r="C360" s="19" t="str">
        <x:v>S03</x:v>
      </x:c>
      <x:c r="D360" s="19" t="str">
        <x:v>铂悦城店</x:v>
      </x:c>
      <x:c r="E360" s="19" t="str">
        <x:v>D16</x:v>
      </x:c>
      <x:c r="F360" s="19" t="str">
        <x:v>小豆角炒五花</x:v>
      </x:c>
      <x:c r="G360" s="20" t="n">
        <x:f>SUMIFS('7日销售明细'!$K$5:$K$2244,'7日销售明细'!$B$5:$B$2244,B360,'7日销售明细'!$D$5:$D$2244,C360,'7日销售明细'!$H$5:$H$2244,E360)</x:f>
        <x:v>7</x:v>
      </x:c>
      <x:c r="H360" s="35" t="n">
        <x:f>SUMIFS('7日销售明细'!$L$5:$L$2244,'7日销售明细'!$B$5:$B$2244,B360,'7日销售明细'!$D$5:$D$2244,C360,'7日销售明细'!$H$5:$H$2244,E360)</x:f>
        <x:v>175</x:v>
      </x:c>
      <x:c r="I360" s="35" t="n">
        <x:f>G360*XLOOKUP(E360,'菜品主数据'!$A$5:$A$24,'菜品主数据'!$G$5:$G$24,0)</x:f>
        <x:v>57.288</x:v>
      </x:c>
    </x:row>
    <x:row r="361">
      <x:c r="A361" s="19" t="str">
        <x:v>2026-07-10|S03|D17</x:v>
      </x:c>
      <x:c r="B361" s="34" t="n">
        <x:v>46213.5</x:v>
      </x:c>
      <x:c r="C361" s="19" t="str">
        <x:v>S03</x:v>
      </x:c>
      <x:c r="D361" s="19" t="str">
        <x:v>铂悦城店</x:v>
      </x:c>
      <x:c r="E361" s="19" t="str">
        <x:v>D17</x:v>
      </x:c>
      <x:c r="F361" s="19" t="str">
        <x:v>蒜蓉粉丝虾</x:v>
      </x:c>
      <x:c r="G361" s="20" t="n">
        <x:f>SUMIFS('7日销售明细'!$K$5:$K$2244,'7日销售明细'!$B$5:$B$2244,B361,'7日销售明细'!$D$5:$D$2244,C361,'7日销售明细'!$H$5:$H$2244,E361)</x:f>
        <x:v>5</x:v>
      </x:c>
      <x:c r="H361" s="35" t="n">
        <x:f>SUMIFS('7日销售明细'!$L$5:$L$2244,'7日销售明细'!$B$5:$B$2244,B361,'7日销售明细'!$D$5:$D$2244,C361,'7日销售明细'!$H$5:$H$2244,E361)</x:f>
        <x:v>180</x:v>
      </x:c>
      <x:c r="I361" s="35" t="n">
        <x:f>G361*XLOOKUP(E361,'菜品主数据'!$A$5:$A$24,'菜品主数据'!$G$5:$G$24,0)</x:f>
        <x:v>67.97</x:v>
      </x:c>
    </x:row>
    <x:row r="362">
      <x:c r="A362" s="19" t="str">
        <x:v>2026-07-10|S03|D18</x:v>
      </x:c>
      <x:c r="B362" s="34" t="n">
        <x:v>46213.5</x:v>
      </x:c>
      <x:c r="C362" s="19" t="str">
        <x:v>S03</x:v>
      </x:c>
      <x:c r="D362" s="19" t="str">
        <x:v>铂悦城店</x:v>
      </x:c>
      <x:c r="E362" s="19" t="str">
        <x:v>D18</x:v>
      </x:c>
      <x:c r="F362" s="19" t="str">
        <x:v>青椒炒油麦菜</x:v>
      </x:c>
      <x:c r="G362" s="20" t="n">
        <x:f>SUMIFS('7日销售明细'!$K$5:$K$2244,'7日销售明细'!$B$5:$B$2244,B362,'7日销售明细'!$D$5:$D$2244,C362,'7日销售明细'!$H$5:$H$2244,E362)</x:f>
        <x:v>10</x:v>
      </x:c>
      <x:c r="H362" s="35" t="n">
        <x:f>SUMIFS('7日销售明细'!$L$5:$L$2244,'7日销售明细'!$B$5:$B$2244,B362,'7日销售明细'!$D$5:$D$2244,C362,'7日销售明细'!$H$5:$H$2244,E362)</x:f>
        <x:v>180</x:v>
      </x:c>
      <x:c r="I362" s="35" t="n">
        <x:f>G362*XLOOKUP(E362,'菜品主数据'!$A$5:$A$24,'菜品主数据'!$G$5:$G$24,0)</x:f>
        <x:v>31.75999999999999</x:v>
      </x:c>
    </x:row>
    <x:row r="363">
      <x:c r="A363" s="19" t="str">
        <x:v>2026-07-10|S03|D19</x:v>
      </x:c>
      <x:c r="B363" s="34" t="n">
        <x:v>46213.5</x:v>
      </x:c>
      <x:c r="C363" s="19" t="str">
        <x:v>S03</x:v>
      </x:c>
      <x:c r="D363" s="19" t="str">
        <x:v>铂悦城店</x:v>
      </x:c>
      <x:c r="E363" s="19" t="str">
        <x:v>D19</x:v>
      </x:c>
      <x:c r="F363" s="19" t="str">
        <x:v>酸萝卜炒鸡杂</x:v>
      </x:c>
      <x:c r="G363" s="20" t="n">
        <x:f>SUMIFS('7日销售明细'!$K$5:$K$2244,'7日销售明细'!$B$5:$B$2244,B363,'7日销售明细'!$D$5:$D$2244,C363,'7日销售明细'!$H$5:$H$2244,E363)</x:f>
        <x:v>6</x:v>
      </x:c>
      <x:c r="H363" s="35" t="n">
        <x:f>SUMIFS('7日销售明细'!$L$5:$L$2244,'7日销售明细'!$B$5:$B$2244,B363,'7日销售明细'!$D$5:$D$2244,C363,'7日销售明细'!$H$5:$H$2244,E363)</x:f>
        <x:v>150</x:v>
      </x:c>
      <x:c r="I363" s="35" t="n">
        <x:f>G363*XLOOKUP(E363,'菜品主数据'!$A$5:$A$24,'菜品主数据'!$G$5:$G$24,0)</x:f>
        <x:v>47.64</x:v>
      </x:c>
    </x:row>
    <x:row r="364">
      <x:c r="A364" s="19" t="str">
        <x:v>2026-07-10|S03|D20</x:v>
      </x:c>
      <x:c r="B364" s="34" t="n">
        <x:v>46213.5</x:v>
      </x:c>
      <x:c r="C364" s="19" t="str">
        <x:v>S03</x:v>
      </x:c>
      <x:c r="D364" s="19" t="str">
        <x:v>铂悦城店</x:v>
      </x:c>
      <x:c r="E364" s="19" t="str">
        <x:v>D20</x:v>
      </x:c>
      <x:c r="F364" s="19" t="str">
        <x:v>雪菜肉末青豆</x:v>
      </x:c>
      <x:c r="G364" s="20" t="n">
        <x:f>SUMIFS('7日销售明细'!$K$5:$K$2244,'7日销售明细'!$B$5:$B$2244,B364,'7日销售明细'!$D$5:$D$2244,C364,'7日销售明细'!$H$5:$H$2244,E364)</x:f>
        <x:v>10</x:v>
      </x:c>
      <x:c r="H364" s="35" t="n">
        <x:f>SUMIFS('7日销售明细'!$L$5:$L$2244,'7日销售明细'!$B$5:$B$2244,B364,'7日销售明细'!$D$5:$D$2244,C364,'7日销售明细'!$H$5:$H$2244,E364)</x:f>
        <x:v>180</x:v>
      </x:c>
      <x:c r="I364" s="35" t="n">
        <x:f>G364*XLOOKUP(E364,'菜品主数据'!$A$5:$A$24,'菜品主数据'!$G$5:$G$24,0)</x:f>
        <x:v>73.03999999999999</x:v>
      </x:c>
    </x:row>
    <x:row r="365">
      <x:c r="A365" s="19" t="str">
        <x:v>2026-07-11|S03|D01</x:v>
      </x:c>
      <x:c r="B365" s="34" t="n">
        <x:v>46214.5</x:v>
      </x:c>
      <x:c r="C365" s="19" t="str">
        <x:v>S03</x:v>
      </x:c>
      <x:c r="D365" s="19" t="str">
        <x:v>铂悦城店</x:v>
      </x:c>
      <x:c r="E365" s="19" t="str">
        <x:v>D01</x:v>
      </x:c>
      <x:c r="F365" s="19" t="str">
        <x:v>辣椒炒肉</x:v>
      </x:c>
      <x:c r="G365" s="20" t="n">
        <x:f>SUMIFS('7日销售明细'!$K$5:$K$2244,'7日销售明细'!$B$5:$B$2244,B365,'7日销售明细'!$D$5:$D$2244,C365,'7日销售明细'!$H$5:$H$2244,E365)</x:f>
        <x:v>39</x:v>
      </x:c>
      <x:c r="H365" s="35" t="n">
        <x:f>SUMIFS('7日销售明细'!$L$5:$L$2244,'7日销售明细'!$B$5:$B$2244,B365,'7日销售明细'!$D$5:$D$2244,C365,'7日销售明细'!$H$5:$H$2244,E365)</x:f>
        <x:v>1131</x:v>
      </x:c>
      <x:c r="I365" s="35" t="n">
        <x:f>G365*XLOOKUP(E365,'菜品主数据'!$A$5:$A$24,'菜品主数据'!$G$5:$G$24,0)</x:f>
        <x:v>336.74160000000006</x:v>
      </x:c>
    </x:row>
    <x:row r="366">
      <x:c r="A366" s="19" t="str">
        <x:v>2026-07-11|S03|D02</x:v>
      </x:c>
      <x:c r="B366" s="34" t="n">
        <x:v>46214.5</x:v>
      </x:c>
      <x:c r="C366" s="19" t="str">
        <x:v>S03</x:v>
      </x:c>
      <x:c r="D366" s="19" t="str">
        <x:v>铂悦城店</x:v>
      </x:c>
      <x:c r="E366" s="19" t="str">
        <x:v>D02</x:v>
      </x:c>
      <x:c r="F366" s="19" t="str">
        <x:v>小炒黄牛肉</x:v>
      </x:c>
      <x:c r="G366" s="20" t="n">
        <x:f>SUMIFS('7日销售明细'!$K$5:$K$2244,'7日销售明细'!$B$5:$B$2244,B366,'7日销售明细'!$D$5:$D$2244,C366,'7日销售明细'!$H$5:$H$2244,E366)</x:f>
        <x:v>27</x:v>
      </x:c>
      <x:c r="H366" s="35" t="n">
        <x:f>SUMIFS('7日销售明细'!$L$5:$L$2244,'7日销售明细'!$B$5:$B$2244,B366,'7日销售明细'!$D$5:$D$2244,C366,'7日销售明细'!$H$5:$H$2244,E366)</x:f>
        <x:v>1323</x:v>
      </x:c>
      <x:c r="I366" s="35" t="n">
        <x:f>G366*XLOOKUP(E366,'菜品主数据'!$A$5:$A$24,'菜品主数据'!$G$5:$G$24,0)</x:f>
        <x:v>474.57900000000006</x:v>
      </x:c>
    </x:row>
    <x:row r="367">
      <x:c r="A367" s="19" t="str">
        <x:v>2026-07-11|S03|D03</x:v>
      </x:c>
      <x:c r="B367" s="34" t="n">
        <x:v>46214.5</x:v>
      </x:c>
      <x:c r="C367" s="19" t="str">
        <x:v>S03</x:v>
      </x:c>
      <x:c r="D367" s="19" t="str">
        <x:v>铂悦城店</x:v>
      </x:c>
      <x:c r="E367" s="19" t="str">
        <x:v>D03</x:v>
      </x:c>
      <x:c r="F367" s="19" t="str">
        <x:v>香醋炒蛋</x:v>
      </x:c>
      <x:c r="G367" s="20" t="n">
        <x:f>SUMIFS('7日销售明细'!$K$5:$K$2244,'7日销售明细'!$B$5:$B$2244,B367,'7日销售明细'!$D$5:$D$2244,C367,'7日销售明细'!$H$5:$H$2244,E367)</x:f>
        <x:v>33</x:v>
      </x:c>
      <x:c r="H367" s="35" t="n">
        <x:f>SUMIFS('7日销售明细'!$L$5:$L$2244,'7日销售明细'!$B$5:$B$2244,B367,'7日销售明细'!$D$5:$D$2244,C367,'7日销售明细'!$H$5:$H$2244,E367)</x:f>
        <x:v>491.7</x:v>
      </x:c>
      <x:c r="I367" s="35" t="n">
        <x:f>G367*XLOOKUP(E367,'菜品主数据'!$A$5:$A$24,'菜品主数据'!$G$5:$G$24,0)</x:f>
        <x:v>123.61799999999998</x:v>
      </x:c>
    </x:row>
    <x:row r="368">
      <x:c r="A368" s="19" t="str">
        <x:v>2026-07-11|S03|D04</x:v>
      </x:c>
      <x:c r="B368" s="34" t="n">
        <x:v>46214.5</x:v>
      </x:c>
      <x:c r="C368" s="19" t="str">
        <x:v>S03</x:v>
      </x:c>
      <x:c r="D368" s="19" t="str">
        <x:v>铂悦城店</x:v>
      </x:c>
      <x:c r="E368" s="19" t="str">
        <x:v>D04</x:v>
      </x:c>
      <x:c r="F368" s="19" t="str">
        <x:v>酸包菜炒粉皮</x:v>
      </x:c>
      <x:c r="G368" s="20" t="n">
        <x:f>SUMIFS('7日销售明细'!$K$5:$K$2244,'7日销售明细'!$B$5:$B$2244,B368,'7日销售明细'!$D$5:$D$2244,C368,'7日销售明细'!$H$5:$H$2244,E368)</x:f>
        <x:v>29</x:v>
      </x:c>
      <x:c r="H368" s="35" t="n">
        <x:f>SUMIFS('7日销售明细'!$L$5:$L$2244,'7日销售明细'!$B$5:$B$2244,B368,'7日销售明细'!$D$5:$D$2244,C368,'7日销售明细'!$H$5:$H$2244,E368)</x:f>
        <x:v>464</x:v>
      </x:c>
      <x:c r="I368" s="35" t="n">
        <x:f>G368*XLOOKUP(E368,'菜品主数据'!$A$5:$A$24,'菜品主数据'!$G$5:$G$24,0)</x:f>
        <x:v>115.36200000000001</x:v>
      </x:c>
    </x:row>
    <x:row r="369">
      <x:c r="A369" s="19" t="str">
        <x:v>2026-07-11|S03|D05</x:v>
      </x:c>
      <x:c r="B369" s="34" t="n">
        <x:v>46214.5</x:v>
      </x:c>
      <x:c r="C369" s="19" t="str">
        <x:v>S03</x:v>
      </x:c>
      <x:c r="D369" s="19" t="str">
        <x:v>铂悦城店</x:v>
      </x:c>
      <x:c r="E369" s="19" t="str">
        <x:v>D05</x:v>
      </x:c>
      <x:c r="F369" s="19" t="str">
        <x:v>麻婆豆腐</x:v>
      </x:c>
      <x:c r="G369" s="20" t="n">
        <x:f>SUMIFS('7日销售明细'!$K$5:$K$2244,'7日销售明细'!$B$5:$B$2244,B369,'7日销售明细'!$D$5:$D$2244,C369,'7日销售明细'!$H$5:$H$2244,E369)</x:f>
        <x:v>42</x:v>
      </x:c>
      <x:c r="H369" s="35" t="n">
        <x:f>SUMIFS('7日销售明细'!$L$5:$L$2244,'7日销售明细'!$B$5:$B$2244,B369,'7日销售明细'!$D$5:$D$2244,C369,'7日销售明细'!$H$5:$H$2244,E369)</x:f>
        <x:v>415.8</x:v>
      </x:c>
      <x:c r="I369" s="35" t="n">
        <x:f>G369*XLOOKUP(E369,'菜品主数据'!$A$5:$A$24,'菜品主数据'!$G$5:$G$24,0)</x:f>
        <x:v>225.41400000000004</x:v>
      </x:c>
    </x:row>
    <x:row r="370">
      <x:c r="A370" s="19" t="str">
        <x:v>2026-07-11|S03|D06</x:v>
      </x:c>
      <x:c r="B370" s="34" t="n">
        <x:v>46214.5</x:v>
      </x:c>
      <x:c r="C370" s="19" t="str">
        <x:v>S03</x:v>
      </x:c>
      <x:c r="D370" s="19" t="str">
        <x:v>铂悦城店</x:v>
      </x:c>
      <x:c r="E370" s="19" t="str">
        <x:v>D06</x:v>
      </x:c>
      <x:c r="F370" s="19" t="str">
        <x:v>剁椒鱼头</x:v>
      </x:c>
      <x:c r="G370" s="20" t="n">
        <x:f>SUMIFS('7日销售明细'!$K$5:$K$2244,'7日销售明细'!$B$5:$B$2244,B370,'7日销售明细'!$D$5:$D$2244,C370,'7日销售明细'!$H$5:$H$2244,E370)</x:f>
        <x:v>11</x:v>
      </x:c>
      <x:c r="H370" s="35" t="n">
        <x:f>SUMIFS('7日销售明细'!$L$5:$L$2244,'7日销售明细'!$B$5:$B$2244,B370,'7日销售明细'!$D$5:$D$2244,C370,'7日销售明细'!$H$5:$H$2244,E370)</x:f>
        <x:v>429</x:v>
      </x:c>
      <x:c r="I370" s="35" t="n">
        <x:f>G370*XLOOKUP(E370,'菜品主数据'!$A$5:$A$24,'菜品主数据'!$G$5:$G$24,0)</x:f>
        <x:v>191.906</x:v>
      </x:c>
    </x:row>
    <x:row r="371">
      <x:c r="A371" s="19" t="str">
        <x:v>2026-07-11|S03|D07</x:v>
      </x:c>
      <x:c r="B371" s="34" t="n">
        <x:v>46214.5</x:v>
      </x:c>
      <x:c r="C371" s="19" t="str">
        <x:v>S03</x:v>
      </x:c>
      <x:c r="D371" s="19" t="str">
        <x:v>铂悦城店</x:v>
      </x:c>
      <x:c r="E371" s="19" t="str">
        <x:v>D07</x:v>
      </x:c>
      <x:c r="F371" s="19" t="str">
        <x:v>川味回锅肉</x:v>
      </x:c>
      <x:c r="G371" s="20" t="n">
        <x:f>SUMIFS('7日销售明细'!$K$5:$K$2244,'7日销售明细'!$B$5:$B$2244,B371,'7日销售明细'!$D$5:$D$2244,C371,'7日销售明细'!$H$5:$H$2244,E371)</x:f>
        <x:v>12</x:v>
      </x:c>
      <x:c r="H371" s="35" t="n">
        <x:f>SUMIFS('7日销售明细'!$L$5:$L$2244,'7日销售明细'!$B$5:$B$2244,B371,'7日销售明细'!$D$5:$D$2244,C371,'7日销售明细'!$H$5:$H$2244,E371)</x:f>
        <x:v>348</x:v>
      </x:c>
      <x:c r="I371" s="35" t="n">
        <x:f>G371*XLOOKUP(E371,'菜品主数据'!$A$5:$A$24,'菜品主数据'!$G$5:$G$24,0)</x:f>
        <x:v>122.77200000000002</x:v>
      </x:c>
    </x:row>
    <x:row r="372">
      <x:c r="A372" s="19" t="str">
        <x:v>2026-07-11|S03|D08</x:v>
      </x:c>
      <x:c r="B372" s="34" t="n">
        <x:v>46214.5</x:v>
      </x:c>
      <x:c r="C372" s="19" t="str">
        <x:v>S03</x:v>
      </x:c>
      <x:c r="D372" s="19" t="str">
        <x:v>铂悦城店</x:v>
      </x:c>
      <x:c r="E372" s="19" t="str">
        <x:v>D08</x:v>
      </x:c>
      <x:c r="F372" s="19" t="str">
        <x:v>生炒清远鸡</x:v>
      </x:c>
      <x:c r="G372" s="20" t="n">
        <x:f>SUMIFS('7日销售明细'!$K$5:$K$2244,'7日销售明细'!$B$5:$B$2244,B372,'7日销售明细'!$D$5:$D$2244,C372,'7日销售明细'!$H$5:$H$2244,E372)</x:f>
        <x:v>9</x:v>
      </x:c>
      <x:c r="H372" s="35" t="n">
        <x:f>SUMIFS('7日销售明细'!$L$5:$L$2244,'7日销售明细'!$B$5:$B$2244,B372,'7日销售明细'!$D$5:$D$2244,C372,'7日销售明细'!$H$5:$H$2244,E372)</x:f>
        <x:v>324</x:v>
      </x:c>
      <x:c r="I372" s="35" t="n">
        <x:f>G372*XLOOKUP(E372,'菜品主数据'!$A$5:$A$24,'菜品主数据'!$G$5:$G$24,0)</x:f>
        <x:v>121.32000000000001</x:v>
      </x:c>
    </x:row>
    <x:row r="373">
      <x:c r="A373" s="19" t="str">
        <x:v>2026-07-11|S03|D09</x:v>
      </x:c>
      <x:c r="B373" s="34" t="n">
        <x:v>46214.5</x:v>
      </x:c>
      <x:c r="C373" s="19" t="str">
        <x:v>S03</x:v>
      </x:c>
      <x:c r="D373" s="19" t="str">
        <x:v>铂悦城店</x:v>
      </x:c>
      <x:c r="E373" s="19" t="str">
        <x:v>D09</x:v>
      </x:c>
      <x:c r="F373" s="19" t="str">
        <x:v>炒豆干</x:v>
      </x:c>
      <x:c r="G373" s="20" t="n">
        <x:f>SUMIFS('7日销售明细'!$K$5:$K$2244,'7日销售明细'!$B$5:$B$2244,B373,'7日销售明细'!$D$5:$D$2244,C373,'7日销售明细'!$H$5:$H$2244,E373)</x:f>
        <x:v>13</x:v>
      </x:c>
      <x:c r="H373" s="35" t="n">
        <x:f>SUMIFS('7日销售明细'!$L$5:$L$2244,'7日销售明细'!$B$5:$B$2244,B373,'7日销售明细'!$D$5:$D$2244,C373,'7日销售明细'!$H$5:$H$2244,E373)</x:f>
        <x:v>234</x:v>
      </x:c>
      <x:c r="I373" s="35" t="n">
        <x:f>G373*XLOOKUP(E373,'菜品主数据'!$A$5:$A$24,'菜品主数据'!$G$5:$G$24,0)</x:f>
        <x:v>85.98199999999999</x:v>
      </x:c>
    </x:row>
    <x:row r="374">
      <x:c r="A374" s="19" t="str">
        <x:v>2026-07-11|S03|D10</x:v>
      </x:c>
      <x:c r="B374" s="34" t="n">
        <x:v>46214.5</x:v>
      </x:c>
      <x:c r="C374" s="19" t="str">
        <x:v>S03</x:v>
      </x:c>
      <x:c r="D374" s="19" t="str">
        <x:v>铂悦城店</x:v>
      </x:c>
      <x:c r="E374" s="19" t="str">
        <x:v>D10</x:v>
      </x:c>
      <x:c r="F374" s="19" t="str">
        <x:v>农家一碗香</x:v>
      </x:c>
      <x:c r="G374" s="20" t="n">
        <x:f>SUMIFS('7日销售明细'!$K$5:$K$2244,'7日销售明细'!$B$5:$B$2244,B374,'7日销售明细'!$D$5:$D$2244,C374,'7日销售明细'!$H$5:$H$2244,E374)</x:f>
        <x:v>16</x:v>
      </x:c>
      <x:c r="H374" s="35" t="n">
        <x:f>SUMIFS('7日销售明细'!$L$5:$L$2244,'7日销售明细'!$B$5:$B$2244,B374,'7日销售明细'!$D$5:$D$2244,C374,'7日销售明细'!$H$5:$H$2244,E374)</x:f>
        <x:v>366.4</x:v>
      </x:c>
      <x:c r="I374" s="35" t="n">
        <x:f>G374*XLOOKUP(E374,'菜品主数据'!$A$5:$A$24,'菜品主数据'!$G$5:$G$24,0)</x:f>
        <x:v>156.32320000000004</x:v>
      </x:c>
    </x:row>
    <x:row r="375">
      <x:c r="A375" s="19" t="str">
        <x:v>2026-07-11|S03|D11</x:v>
      </x:c>
      <x:c r="B375" s="34" t="n">
        <x:v>46214.5</x:v>
      </x:c>
      <x:c r="C375" s="19" t="str">
        <x:v>S03</x:v>
      </x:c>
      <x:c r="D375" s="19" t="str">
        <x:v>铂悦城店</x:v>
      </x:c>
      <x:c r="E375" s="19" t="str">
        <x:v>D11</x:v>
      </x:c>
      <x:c r="F375" s="19" t="str">
        <x:v>香辣爆肥肠</x:v>
      </x:c>
      <x:c r="G375" s="20" t="n">
        <x:f>SUMIFS('7日销售明细'!$K$5:$K$2244,'7日销售明细'!$B$5:$B$2244,B375,'7日销售明细'!$D$5:$D$2244,C375,'7日销售明细'!$H$5:$H$2244,E375)</x:f>
        <x:v>5</x:v>
      </x:c>
      <x:c r="H375" s="35" t="n">
        <x:f>SUMIFS('7日销售明细'!$L$5:$L$2244,'7日销售明细'!$B$5:$B$2244,B375,'7日销售明细'!$D$5:$D$2244,C375,'7日销售明细'!$H$5:$H$2244,E375)</x:f>
        <x:v>195</x:v>
      </x:c>
      <x:c r="I375" s="35" t="n">
        <x:f>G375*XLOOKUP(E375,'菜品主数据'!$A$5:$A$24,'菜品主数据'!$G$5:$G$24,0)</x:f>
        <x:v>51.985</x:v>
      </x:c>
    </x:row>
    <x:row r="376">
      <x:c r="A376" s="19" t="str">
        <x:v>2026-07-11|S03|D12</x:v>
      </x:c>
      <x:c r="B376" s="34" t="n">
        <x:v>46214.5</x:v>
      </x:c>
      <x:c r="C376" s="19" t="str">
        <x:v>S03</x:v>
      </x:c>
      <x:c r="D376" s="19" t="str">
        <x:v>铂悦城店</x:v>
      </x:c>
      <x:c r="E376" s="19" t="str">
        <x:v>D12</x:v>
      </x:c>
      <x:c r="F376" s="19" t="str">
        <x:v>清蒸鲈鱼</x:v>
      </x:c>
      <x:c r="G376" s="20" t="n">
        <x:f>SUMIFS('7日销售明细'!$K$5:$K$2244,'7日销售明细'!$B$5:$B$2244,B376,'7日销售明细'!$D$5:$D$2244,C376,'7日销售明细'!$H$5:$H$2244,E376)</x:f>
        <x:v>5</x:v>
      </x:c>
      <x:c r="H376" s="35" t="n">
        <x:f>SUMIFS('7日销售明细'!$L$5:$L$2244,'7日销售明细'!$B$5:$B$2244,B376,'7日销售明细'!$D$5:$D$2244,C376,'7日销售明细'!$H$5:$H$2244,E376)</x:f>
        <x:v>195</x:v>
      </x:c>
      <x:c r="I376" s="35" t="n">
        <x:f>G376*XLOOKUP(E376,'菜品主数据'!$A$5:$A$24,'菜品主数据'!$G$5:$G$24,0)</x:f>
        <x:v>94.36999999999999</x:v>
      </x:c>
    </x:row>
    <x:row r="377">
      <x:c r="A377" s="19" t="str">
        <x:v>2026-07-11|S03|D13</x:v>
      </x:c>
      <x:c r="B377" s="34" t="n">
        <x:v>46214.5</x:v>
      </x:c>
      <x:c r="C377" s="19" t="str">
        <x:v>S03</x:v>
      </x:c>
      <x:c r="D377" s="19" t="str">
        <x:v>铂悦城店</x:v>
      </x:c>
      <x:c r="E377" s="19" t="str">
        <x:v>D13</x:v>
      </x:c>
      <x:c r="F377" s="19" t="str">
        <x:v>外婆菜炒蛋</x:v>
      </x:c>
      <x:c r="G377" s="20" t="n">
        <x:f>SUMIFS('7日销售明细'!$K$5:$K$2244,'7日销售明细'!$B$5:$B$2244,B377,'7日销售明细'!$D$5:$D$2244,C377,'7日销售明细'!$H$5:$H$2244,E377)</x:f>
        <x:v>13</x:v>
      </x:c>
      <x:c r="H377" s="35" t="n">
        <x:f>SUMIFS('7日销售明细'!$L$5:$L$2244,'7日销售明细'!$B$5:$B$2244,B377,'7日销售明细'!$D$5:$D$2244,C377,'7日销售明细'!$H$5:$H$2244,E377)</x:f>
        <x:v>234</x:v>
      </x:c>
      <x:c r="I377" s="35" t="n">
        <x:f>G377*XLOOKUP(E377,'菜品主数据'!$A$5:$A$24,'菜品主数据'!$G$5:$G$24,0)</x:f>
        <x:v>70.25199999999998</x:v>
      </x:c>
    </x:row>
    <x:row r="378">
      <x:c r="A378" s="19" t="str">
        <x:v>2026-07-11|S03|D14</x:v>
      </x:c>
      <x:c r="B378" s="34" t="n">
        <x:v>46214.5</x:v>
      </x:c>
      <x:c r="C378" s="19" t="str">
        <x:v>S03</x:v>
      </x:c>
      <x:c r="D378" s="19" t="str">
        <x:v>铂悦城店</x:v>
      </x:c>
      <x:c r="E378" s="19" t="str">
        <x:v>D14</x:v>
      </x:c>
      <x:c r="F378" s="19" t="str">
        <x:v>酸辣鸡杂</x:v>
      </x:c>
      <x:c r="G378" s="20" t="n">
        <x:f>SUMIFS('7日销售明细'!$K$5:$K$2244,'7日销售明细'!$B$5:$B$2244,B378,'7日销售明细'!$D$5:$D$2244,C378,'7日销售明细'!$H$5:$H$2244,E378)</x:f>
        <x:v>6</x:v>
      </x:c>
      <x:c r="H378" s="35" t="n">
        <x:f>SUMIFS('7日销售明细'!$L$5:$L$2244,'7日销售明细'!$B$5:$B$2244,B378,'7日销售明细'!$D$5:$D$2244,C378,'7日销售明细'!$H$5:$H$2244,E378)</x:f>
        <x:v>168</x:v>
      </x:c>
      <x:c r="I378" s="35" t="n">
        <x:f>G378*XLOOKUP(E378,'菜品主数据'!$A$5:$A$24,'菜品主数据'!$G$5:$G$24,0)</x:f>
        <x:v>49.89000000000001</x:v>
      </x:c>
    </x:row>
    <x:row r="379">
      <x:c r="A379" s="19" t="str">
        <x:v>2026-07-11|S03|D15</x:v>
      </x:c>
      <x:c r="B379" s="34" t="n">
        <x:v>46214.5</x:v>
      </x:c>
      <x:c r="C379" s="19" t="str">
        <x:v>S03</x:v>
      </x:c>
      <x:c r="D379" s="19" t="str">
        <x:v>铂悦城店</x:v>
      </x:c>
      <x:c r="E379" s="19" t="str">
        <x:v>D15</x:v>
      </x:c>
      <x:c r="F379" s="19" t="str">
        <x:v>湘西土匪猪肝</x:v>
      </x:c>
      <x:c r="G379" s="20" t="n">
        <x:f>SUMIFS('7日销售明细'!$K$5:$K$2244,'7日销售明细'!$B$5:$B$2244,B379,'7日销售明细'!$D$5:$D$2244,C379,'7日销售明细'!$H$5:$H$2244,E379)</x:f>
        <x:v>6</x:v>
      </x:c>
      <x:c r="H379" s="35" t="n">
        <x:f>SUMIFS('7日销售明细'!$L$5:$L$2244,'7日销售明细'!$B$5:$B$2244,B379,'7日销售明细'!$D$5:$D$2244,C379,'7日销售明细'!$H$5:$H$2244,E379)</x:f>
        <x:v>156</x:v>
      </x:c>
      <x:c r="I379" s="35" t="n">
        <x:f>G379*XLOOKUP(E379,'菜品主数据'!$A$5:$A$24,'菜品主数据'!$G$5:$G$24,0)</x:f>
        <x:v>38.256</x:v>
      </x:c>
    </x:row>
    <x:row r="380">
      <x:c r="A380" s="19" t="str">
        <x:v>2026-07-11|S03|D16</x:v>
      </x:c>
      <x:c r="B380" s="34" t="n">
        <x:v>46214.5</x:v>
      </x:c>
      <x:c r="C380" s="19" t="str">
        <x:v>S03</x:v>
      </x:c>
      <x:c r="D380" s="19" t="str">
        <x:v>铂悦城店</x:v>
      </x:c>
      <x:c r="E380" s="19" t="str">
        <x:v>D16</x:v>
      </x:c>
      <x:c r="F380" s="19" t="str">
        <x:v>小豆角炒五花</x:v>
      </x:c>
      <x:c r="G380" s="20" t="n">
        <x:f>SUMIFS('7日销售明细'!$K$5:$K$2244,'7日销售明细'!$B$5:$B$2244,B380,'7日销售明细'!$D$5:$D$2244,C380,'7日销售明细'!$H$5:$H$2244,E380)</x:f>
        <x:v>6</x:v>
      </x:c>
      <x:c r="H380" s="35" t="n">
        <x:f>SUMIFS('7日销售明细'!$L$5:$L$2244,'7日销售明细'!$B$5:$B$2244,B380,'7日销售明细'!$D$5:$D$2244,C380,'7日销售明细'!$H$5:$H$2244,E380)</x:f>
        <x:v>150</x:v>
      </x:c>
      <x:c r="I380" s="35" t="n">
        <x:f>G380*XLOOKUP(E380,'菜品主数据'!$A$5:$A$24,'菜品主数据'!$G$5:$G$24,0)</x:f>
        <x:v>49.104</x:v>
      </x:c>
    </x:row>
    <x:row r="381">
      <x:c r="A381" s="19" t="str">
        <x:v>2026-07-11|S03|D17</x:v>
      </x:c>
      <x:c r="B381" s="34" t="n">
        <x:v>46214.5</x:v>
      </x:c>
      <x:c r="C381" s="19" t="str">
        <x:v>S03</x:v>
      </x:c>
      <x:c r="D381" s="19" t="str">
        <x:v>铂悦城店</x:v>
      </x:c>
      <x:c r="E381" s="19" t="str">
        <x:v>D17</x:v>
      </x:c>
      <x:c r="F381" s="19" t="str">
        <x:v>蒜蓉粉丝虾</x:v>
      </x:c>
      <x:c r="G381" s="20" t="n">
        <x:f>SUMIFS('7日销售明细'!$K$5:$K$2244,'7日销售明细'!$B$5:$B$2244,B381,'7日销售明细'!$D$5:$D$2244,C381,'7日销售明细'!$H$5:$H$2244,E381)</x:f>
        <x:v>4</x:v>
      </x:c>
      <x:c r="H381" s="35" t="n">
        <x:f>SUMIFS('7日销售明细'!$L$5:$L$2244,'7日销售明细'!$B$5:$B$2244,B381,'7日销售明细'!$D$5:$D$2244,C381,'7日销售明细'!$H$5:$H$2244,E381)</x:f>
        <x:v>144</x:v>
      </x:c>
      <x:c r="I381" s="35" t="n">
        <x:f>G381*XLOOKUP(E381,'菜品主数据'!$A$5:$A$24,'菜品主数据'!$G$5:$G$24,0)</x:f>
        <x:v>54.376</x:v>
      </x:c>
    </x:row>
    <x:row r="382">
      <x:c r="A382" s="19" t="str">
        <x:v>2026-07-11|S03|D18</x:v>
      </x:c>
      <x:c r="B382" s="34" t="n">
        <x:v>46214.5</x:v>
      </x:c>
      <x:c r="C382" s="19" t="str">
        <x:v>S03</x:v>
      </x:c>
      <x:c r="D382" s="19" t="str">
        <x:v>铂悦城店</x:v>
      </x:c>
      <x:c r="E382" s="19" t="str">
        <x:v>D18</x:v>
      </x:c>
      <x:c r="F382" s="19" t="str">
        <x:v>青椒炒油麦菜</x:v>
      </x:c>
      <x:c r="G382" s="20" t="n">
        <x:f>SUMIFS('7日销售明细'!$K$5:$K$2244,'7日销售明细'!$B$5:$B$2244,B382,'7日销售明细'!$D$5:$D$2244,C382,'7日销售明细'!$H$5:$H$2244,E382)</x:f>
        <x:v>7</x:v>
      </x:c>
      <x:c r="H382" s="35" t="n">
        <x:f>SUMIFS('7日销售明细'!$L$5:$L$2244,'7日销售明细'!$B$5:$B$2244,B382,'7日销售明细'!$D$5:$D$2244,C382,'7日销售明细'!$H$5:$H$2244,E382)</x:f>
        <x:v>126</x:v>
      </x:c>
      <x:c r="I382" s="35" t="n">
        <x:f>G382*XLOOKUP(E382,'菜品主数据'!$A$5:$A$24,'菜品主数据'!$G$5:$G$24,0)</x:f>
        <x:v>22.231999999999996</x:v>
      </x:c>
    </x:row>
    <x:row r="383">
      <x:c r="A383" s="19" t="str">
        <x:v>2026-07-11|S03|D19</x:v>
      </x:c>
      <x:c r="B383" s="34" t="n">
        <x:v>46214.5</x:v>
      </x:c>
      <x:c r="C383" s="19" t="str">
        <x:v>S03</x:v>
      </x:c>
      <x:c r="D383" s="19" t="str">
        <x:v>铂悦城店</x:v>
      </x:c>
      <x:c r="E383" s="19" t="str">
        <x:v>D19</x:v>
      </x:c>
      <x:c r="F383" s="19" t="str">
        <x:v>酸萝卜炒鸡杂</x:v>
      </x:c>
      <x:c r="G383" s="20" t="n">
        <x:f>SUMIFS('7日销售明细'!$K$5:$K$2244,'7日销售明细'!$B$5:$B$2244,B383,'7日销售明细'!$D$5:$D$2244,C383,'7日销售明细'!$H$5:$H$2244,E383)</x:f>
        <x:v>4</x:v>
      </x:c>
      <x:c r="H383" s="35" t="n">
        <x:f>SUMIFS('7日销售明细'!$L$5:$L$2244,'7日销售明细'!$B$5:$B$2244,B383,'7日销售明细'!$D$5:$D$2244,C383,'7日销售明细'!$H$5:$H$2244,E383)</x:f>
        <x:v>100</x:v>
      </x:c>
      <x:c r="I383" s="35" t="n">
        <x:f>G383*XLOOKUP(E383,'菜品主数据'!$A$5:$A$24,'菜品主数据'!$G$5:$G$24,0)</x:f>
        <x:v>31.759999999999998</x:v>
      </x:c>
    </x:row>
    <x:row r="384">
      <x:c r="A384" s="19" t="str">
        <x:v>2026-07-11|S03|D20</x:v>
      </x:c>
      <x:c r="B384" s="34" t="n">
        <x:v>46214.5</x:v>
      </x:c>
      <x:c r="C384" s="19" t="str">
        <x:v>S03</x:v>
      </x:c>
      <x:c r="D384" s="19" t="str">
        <x:v>铂悦城店</x:v>
      </x:c>
      <x:c r="E384" s="19" t="str">
        <x:v>D20</x:v>
      </x:c>
      <x:c r="F384" s="19" t="str">
        <x:v>雪菜肉末青豆</x:v>
      </x:c>
      <x:c r="G384" s="20" t="n">
        <x:f>SUMIFS('7日销售明细'!$K$5:$K$2244,'7日销售明细'!$B$5:$B$2244,B384,'7日销售明细'!$D$5:$D$2244,C384,'7日销售明细'!$H$5:$H$2244,E384)</x:f>
        <x:v>6</x:v>
      </x:c>
      <x:c r="H384" s="35" t="n">
        <x:f>SUMIFS('7日销售明细'!$L$5:$L$2244,'7日销售明细'!$B$5:$B$2244,B384,'7日销售明细'!$D$5:$D$2244,C384,'7日销售明细'!$H$5:$H$2244,E384)</x:f>
        <x:v>108</x:v>
      </x:c>
      <x:c r="I384" s="35" t="n">
        <x:f>G384*XLOOKUP(E384,'菜品主数据'!$A$5:$A$24,'菜品主数据'!$G$5:$G$24,0)</x:f>
        <x:v>43.824</x:v>
      </x:c>
    </x:row>
    <x:row r="385">
      <x:c r="A385" s="19" t="str">
        <x:v>2026-07-12|S03|D01</x:v>
      </x:c>
      <x:c r="B385" s="34" t="n">
        <x:v>46215.5</x:v>
      </x:c>
      <x:c r="C385" s="19" t="str">
        <x:v>S03</x:v>
      </x:c>
      <x:c r="D385" s="19" t="str">
        <x:v>铂悦城店</x:v>
      </x:c>
      <x:c r="E385" s="19" t="str">
        <x:v>D01</x:v>
      </x:c>
      <x:c r="F385" s="19" t="str">
        <x:v>辣椒炒肉</x:v>
      </x:c>
      <x:c r="G385" s="20" t="n">
        <x:f>SUMIFS('7日销售明细'!$K$5:$K$2244,'7日销售明细'!$B$5:$B$2244,B385,'7日销售明细'!$D$5:$D$2244,C385,'7日销售明细'!$H$5:$H$2244,E385)</x:f>
        <x:v>36</x:v>
      </x:c>
      <x:c r="H385" s="35" t="n">
        <x:f>SUMIFS('7日销售明细'!$L$5:$L$2244,'7日销售明细'!$B$5:$B$2244,B385,'7日销售明细'!$D$5:$D$2244,C385,'7日销售明细'!$H$5:$H$2244,E385)</x:f>
        <x:v>1044</x:v>
      </x:c>
      <x:c r="I385" s="35" t="n">
        <x:f>G385*XLOOKUP(E385,'菜品主数据'!$A$5:$A$24,'菜品主数据'!$G$5:$G$24,0)</x:f>
        <x:v>310.83840000000004</x:v>
      </x:c>
    </x:row>
    <x:row r="386">
      <x:c r="A386" s="19" t="str">
        <x:v>2026-07-12|S03|D02</x:v>
      </x:c>
      <x:c r="B386" s="34" t="n">
        <x:v>46215.5</x:v>
      </x:c>
      <x:c r="C386" s="19" t="str">
        <x:v>S03</x:v>
      </x:c>
      <x:c r="D386" s="19" t="str">
        <x:v>铂悦城店</x:v>
      </x:c>
      <x:c r="E386" s="19" t="str">
        <x:v>D02</x:v>
      </x:c>
      <x:c r="F386" s="19" t="str">
        <x:v>小炒黄牛肉</x:v>
      </x:c>
      <x:c r="G386" s="20" t="n">
        <x:f>SUMIFS('7日销售明细'!$K$5:$K$2244,'7日销售明细'!$B$5:$B$2244,B386,'7日销售明细'!$D$5:$D$2244,C386,'7日销售明细'!$H$5:$H$2244,E386)</x:f>
        <x:v>26</x:v>
      </x:c>
      <x:c r="H386" s="35" t="n">
        <x:f>SUMIFS('7日销售明细'!$L$5:$L$2244,'7日销售明细'!$B$5:$B$2244,B386,'7日销售明细'!$D$5:$D$2244,C386,'7日销售明细'!$H$5:$H$2244,E386)</x:f>
        <x:v>1274</x:v>
      </x:c>
      <x:c r="I386" s="35" t="n">
        <x:f>G386*XLOOKUP(E386,'菜品主数据'!$A$5:$A$24,'菜品主数据'!$G$5:$G$24,0)</x:f>
        <x:v>457.00200000000007</x:v>
      </x:c>
    </x:row>
    <x:row r="387">
      <x:c r="A387" s="19" t="str">
        <x:v>2026-07-12|S03|D03</x:v>
      </x:c>
      <x:c r="B387" s="34" t="n">
        <x:v>46215.5</x:v>
      </x:c>
      <x:c r="C387" s="19" t="str">
        <x:v>S03</x:v>
      </x:c>
      <x:c r="D387" s="19" t="str">
        <x:v>铂悦城店</x:v>
      </x:c>
      <x:c r="E387" s="19" t="str">
        <x:v>D03</x:v>
      </x:c>
      <x:c r="F387" s="19" t="str">
        <x:v>香醋炒蛋</x:v>
      </x:c>
      <x:c r="G387" s="20" t="n">
        <x:f>SUMIFS('7日销售明细'!$K$5:$K$2244,'7日销售明细'!$B$5:$B$2244,B387,'7日销售明细'!$D$5:$D$2244,C387,'7日销售明细'!$H$5:$H$2244,E387)</x:f>
        <x:v>32</x:v>
      </x:c>
      <x:c r="H387" s="35" t="n">
        <x:f>SUMIFS('7日销售明细'!$L$5:$L$2244,'7日销售明细'!$B$5:$B$2244,B387,'7日销售明细'!$D$5:$D$2244,C387,'7日销售明细'!$H$5:$H$2244,E387)</x:f>
        <x:v>476.8</x:v>
      </x:c>
      <x:c r="I387" s="35" t="n">
        <x:f>G387*XLOOKUP(E387,'菜品主数据'!$A$5:$A$24,'菜品主数据'!$G$5:$G$24,0)</x:f>
        <x:v>119.87199999999999</x:v>
      </x:c>
    </x:row>
    <x:row r="388">
      <x:c r="A388" s="19" t="str">
        <x:v>2026-07-12|S03|D04</x:v>
      </x:c>
      <x:c r="B388" s="34" t="n">
        <x:v>46215.5</x:v>
      </x:c>
      <x:c r="C388" s="19" t="str">
        <x:v>S03</x:v>
      </x:c>
      <x:c r="D388" s="19" t="str">
        <x:v>铂悦城店</x:v>
      </x:c>
      <x:c r="E388" s="19" t="str">
        <x:v>D04</x:v>
      </x:c>
      <x:c r="F388" s="19" t="str">
        <x:v>酸包菜炒粉皮</x:v>
      </x:c>
      <x:c r="G388" s="20" t="n">
        <x:f>SUMIFS('7日销售明细'!$K$5:$K$2244,'7日销售明细'!$B$5:$B$2244,B388,'7日销售明细'!$D$5:$D$2244,C388,'7日销售明细'!$H$5:$H$2244,E388)</x:f>
        <x:v>30</x:v>
      </x:c>
      <x:c r="H388" s="35" t="n">
        <x:f>SUMIFS('7日销售明细'!$L$5:$L$2244,'7日销售明细'!$B$5:$B$2244,B388,'7日销售明细'!$D$5:$D$2244,C388,'7日销售明细'!$H$5:$H$2244,E388)</x:f>
        <x:v>480</x:v>
      </x:c>
      <x:c r="I388" s="35" t="n">
        <x:f>G388*XLOOKUP(E388,'菜品主数据'!$A$5:$A$24,'菜品主数据'!$G$5:$G$24,0)</x:f>
        <x:v>119.34</x:v>
      </x:c>
    </x:row>
    <x:row r="389">
      <x:c r="A389" s="19" t="str">
        <x:v>2026-07-12|S03|D05</x:v>
      </x:c>
      <x:c r="B389" s="34" t="n">
        <x:v>46215.5</x:v>
      </x:c>
      <x:c r="C389" s="19" t="str">
        <x:v>S03</x:v>
      </x:c>
      <x:c r="D389" s="19" t="str">
        <x:v>铂悦城店</x:v>
      </x:c>
      <x:c r="E389" s="19" t="str">
        <x:v>D05</x:v>
      </x:c>
      <x:c r="F389" s="19" t="str">
        <x:v>麻婆豆腐</x:v>
      </x:c>
      <x:c r="G389" s="20" t="n">
        <x:f>SUMIFS('7日销售明细'!$K$5:$K$2244,'7日销售明细'!$B$5:$B$2244,B389,'7日销售明细'!$D$5:$D$2244,C389,'7日销售明细'!$H$5:$H$2244,E389)</x:f>
        <x:v>39</x:v>
      </x:c>
      <x:c r="H389" s="35" t="n">
        <x:f>SUMIFS('7日销售明细'!$L$5:$L$2244,'7日销售明细'!$B$5:$B$2244,B389,'7日销售明细'!$D$5:$D$2244,C389,'7日销售明细'!$H$5:$H$2244,E389)</x:f>
        <x:v>386.1</x:v>
      </x:c>
      <x:c r="I389" s="35" t="n">
        <x:f>G389*XLOOKUP(E389,'菜品主数据'!$A$5:$A$24,'菜品主数据'!$G$5:$G$24,0)</x:f>
        <x:v>209.31300000000005</x:v>
      </x:c>
    </x:row>
    <x:row r="390">
      <x:c r="A390" s="19" t="str">
        <x:v>2026-07-12|S03|D06</x:v>
      </x:c>
      <x:c r="B390" s="34" t="n">
        <x:v>46215.5</x:v>
      </x:c>
      <x:c r="C390" s="19" t="str">
        <x:v>S03</x:v>
      </x:c>
      <x:c r="D390" s="19" t="str">
        <x:v>铂悦城店</x:v>
      </x:c>
      <x:c r="E390" s="19" t="str">
        <x:v>D06</x:v>
      </x:c>
      <x:c r="F390" s="19" t="str">
        <x:v>剁椒鱼头</x:v>
      </x:c>
      <x:c r="G390" s="20" t="n">
        <x:f>SUMIFS('7日销售明细'!$K$5:$K$2244,'7日销售明细'!$B$5:$B$2244,B390,'7日销售明细'!$D$5:$D$2244,C390,'7日销售明细'!$H$5:$H$2244,E390)</x:f>
        <x:v>11</x:v>
      </x:c>
      <x:c r="H390" s="35" t="n">
        <x:f>SUMIFS('7日销售明细'!$L$5:$L$2244,'7日销售明细'!$B$5:$B$2244,B390,'7日销售明细'!$D$5:$D$2244,C390,'7日销售明细'!$H$5:$H$2244,E390)</x:f>
        <x:v>429</x:v>
      </x:c>
      <x:c r="I390" s="35" t="n">
        <x:f>G390*XLOOKUP(E390,'菜品主数据'!$A$5:$A$24,'菜品主数据'!$G$5:$G$24,0)</x:f>
        <x:v>191.906</x:v>
      </x:c>
    </x:row>
    <x:row r="391">
      <x:c r="A391" s="19" t="str">
        <x:v>2026-07-12|S03|D07</x:v>
      </x:c>
      <x:c r="B391" s="34" t="n">
        <x:v>46215.5</x:v>
      </x:c>
      <x:c r="C391" s="19" t="str">
        <x:v>S03</x:v>
      </x:c>
      <x:c r="D391" s="19" t="str">
        <x:v>铂悦城店</x:v>
      </x:c>
      <x:c r="E391" s="19" t="str">
        <x:v>D07</x:v>
      </x:c>
      <x:c r="F391" s="19" t="str">
        <x:v>川味回锅肉</x:v>
      </x:c>
      <x:c r="G391" s="20" t="n">
        <x:f>SUMIFS('7日销售明细'!$K$5:$K$2244,'7日销售明细'!$B$5:$B$2244,B391,'7日销售明细'!$D$5:$D$2244,C391,'7日销售明细'!$H$5:$H$2244,E391)</x:f>
        <x:v>12</x:v>
      </x:c>
      <x:c r="H391" s="35" t="n">
        <x:f>SUMIFS('7日销售明细'!$L$5:$L$2244,'7日销售明细'!$B$5:$B$2244,B391,'7日销售明细'!$D$5:$D$2244,C391,'7日销售明细'!$H$5:$H$2244,E391)</x:f>
        <x:v>348</x:v>
      </x:c>
      <x:c r="I391" s="35" t="n">
        <x:f>G391*XLOOKUP(E391,'菜品主数据'!$A$5:$A$24,'菜品主数据'!$G$5:$G$24,0)</x:f>
        <x:v>122.77200000000002</x:v>
      </x:c>
    </x:row>
    <x:row r="392">
      <x:c r="A392" s="19" t="str">
        <x:v>2026-07-12|S03|D08</x:v>
      </x:c>
      <x:c r="B392" s="34" t="n">
        <x:v>46215.5</x:v>
      </x:c>
      <x:c r="C392" s="19" t="str">
        <x:v>S03</x:v>
      </x:c>
      <x:c r="D392" s="19" t="str">
        <x:v>铂悦城店</x:v>
      </x:c>
      <x:c r="E392" s="19" t="str">
        <x:v>D08</x:v>
      </x:c>
      <x:c r="F392" s="19" t="str">
        <x:v>生炒清远鸡</x:v>
      </x:c>
      <x:c r="G392" s="20" t="n">
        <x:f>SUMIFS('7日销售明细'!$K$5:$K$2244,'7日销售明细'!$B$5:$B$2244,B392,'7日销售明细'!$D$5:$D$2244,C392,'7日销售明细'!$H$5:$H$2244,E392)</x:f>
        <x:v>8</x:v>
      </x:c>
      <x:c r="H392" s="35" t="n">
        <x:f>SUMIFS('7日销售明细'!$L$5:$L$2244,'7日销售明细'!$B$5:$B$2244,B392,'7日销售明细'!$D$5:$D$2244,C392,'7日销售明细'!$H$5:$H$2244,E392)</x:f>
        <x:v>288</x:v>
      </x:c>
      <x:c r="I392" s="35" t="n">
        <x:f>G392*XLOOKUP(E392,'菜品主数据'!$A$5:$A$24,'菜品主数据'!$G$5:$G$24,0)</x:f>
        <x:v>107.84</x:v>
      </x:c>
    </x:row>
    <x:row r="393">
      <x:c r="A393" s="19" t="str">
        <x:v>2026-07-12|S03|D09</x:v>
      </x:c>
      <x:c r="B393" s="34" t="n">
        <x:v>46215.5</x:v>
      </x:c>
      <x:c r="C393" s="19" t="str">
        <x:v>S03</x:v>
      </x:c>
      <x:c r="D393" s="19" t="str">
        <x:v>铂悦城店</x:v>
      </x:c>
      <x:c r="E393" s="19" t="str">
        <x:v>D09</x:v>
      </x:c>
      <x:c r="F393" s="19" t="str">
        <x:v>炒豆干</x:v>
      </x:c>
      <x:c r="G393" s="20" t="n">
        <x:f>SUMIFS('7日销售明细'!$K$5:$K$2244,'7日销售明细'!$B$5:$B$2244,B393,'7日销售明细'!$D$5:$D$2244,C393,'7日销售明细'!$H$5:$H$2244,E393)</x:f>
        <x:v>12</x:v>
      </x:c>
      <x:c r="H393" s="35" t="n">
        <x:f>SUMIFS('7日销售明细'!$L$5:$L$2244,'7日销售明细'!$B$5:$B$2244,B393,'7日销售明细'!$D$5:$D$2244,C393,'7日销售明细'!$H$5:$H$2244,E393)</x:f>
        <x:v>216</x:v>
      </x:c>
      <x:c r="I393" s="35" t="n">
        <x:f>G393*XLOOKUP(E393,'菜品主数据'!$A$5:$A$24,'菜品主数据'!$G$5:$G$24,0)</x:f>
        <x:v>79.368</x:v>
      </x:c>
    </x:row>
    <x:row r="394">
      <x:c r="A394" s="19" t="str">
        <x:v>2026-07-12|S03|D10</x:v>
      </x:c>
      <x:c r="B394" s="34" t="n">
        <x:v>46215.5</x:v>
      </x:c>
      <x:c r="C394" s="19" t="str">
        <x:v>S03</x:v>
      </x:c>
      <x:c r="D394" s="19" t="str">
        <x:v>铂悦城店</x:v>
      </x:c>
      <x:c r="E394" s="19" t="str">
        <x:v>D10</x:v>
      </x:c>
      <x:c r="F394" s="19" t="str">
        <x:v>农家一碗香</x:v>
      </x:c>
      <x:c r="G394" s="20" t="n">
        <x:f>SUMIFS('7日销售明细'!$K$5:$K$2244,'7日销售明细'!$B$5:$B$2244,B394,'7日销售明细'!$D$5:$D$2244,C394,'7日销售明细'!$H$5:$H$2244,E394)</x:f>
        <x:v>15</x:v>
      </x:c>
      <x:c r="H394" s="35" t="n">
        <x:f>SUMIFS('7日销售明细'!$L$5:$L$2244,'7日销售明细'!$B$5:$B$2244,B394,'7日销售明细'!$D$5:$D$2244,C394,'7日销售明细'!$H$5:$H$2244,E394)</x:f>
        <x:v>343.49999999999994</x:v>
      </x:c>
      <x:c r="I394" s="35" t="n">
        <x:f>G394*XLOOKUP(E394,'菜品主数据'!$A$5:$A$24,'菜品主数据'!$G$5:$G$24,0)</x:f>
        <x:v>146.55300000000005</x:v>
      </x:c>
    </x:row>
    <x:row r="395">
      <x:c r="A395" s="19" t="str">
        <x:v>2026-07-12|S03|D11</x:v>
      </x:c>
      <x:c r="B395" s="34" t="n">
        <x:v>46215.5</x:v>
      </x:c>
      <x:c r="C395" s="19" t="str">
        <x:v>S03</x:v>
      </x:c>
      <x:c r="D395" s="19" t="str">
        <x:v>铂悦城店</x:v>
      </x:c>
      <x:c r="E395" s="19" t="str">
        <x:v>D11</x:v>
      </x:c>
      <x:c r="F395" s="19" t="str">
        <x:v>香辣爆肥肠</x:v>
      </x:c>
      <x:c r="G395" s="20" t="n">
        <x:f>SUMIFS('7日销售明细'!$K$5:$K$2244,'7日销售明细'!$B$5:$B$2244,B395,'7日销售明细'!$D$5:$D$2244,C395,'7日销售明细'!$H$5:$H$2244,E395)</x:f>
        <x:v>5</x:v>
      </x:c>
      <x:c r="H395" s="35" t="n">
        <x:f>SUMIFS('7日销售明细'!$L$5:$L$2244,'7日销售明细'!$B$5:$B$2244,B395,'7日销售明细'!$D$5:$D$2244,C395,'7日销售明细'!$H$5:$H$2244,E395)</x:f>
        <x:v>195</x:v>
      </x:c>
      <x:c r="I395" s="35" t="n">
        <x:f>G395*XLOOKUP(E395,'菜品主数据'!$A$5:$A$24,'菜品主数据'!$G$5:$G$24,0)</x:f>
        <x:v>51.985</x:v>
      </x:c>
    </x:row>
    <x:row r="396">
      <x:c r="A396" s="19" t="str">
        <x:v>2026-07-12|S03|D12</x:v>
      </x:c>
      <x:c r="B396" s="34" t="n">
        <x:v>46215.5</x:v>
      </x:c>
      <x:c r="C396" s="19" t="str">
        <x:v>S03</x:v>
      </x:c>
      <x:c r="D396" s="19" t="str">
        <x:v>铂悦城店</x:v>
      </x:c>
      <x:c r="E396" s="19" t="str">
        <x:v>D12</x:v>
      </x:c>
      <x:c r="F396" s="19" t="str">
        <x:v>清蒸鲈鱼</x:v>
      </x:c>
      <x:c r="G396" s="20" t="n">
        <x:f>SUMIFS('7日销售明细'!$K$5:$K$2244,'7日销售明细'!$B$5:$B$2244,B396,'7日销售明细'!$D$5:$D$2244,C396,'7日销售明细'!$H$5:$H$2244,E396)</x:f>
        <x:v>6</x:v>
      </x:c>
      <x:c r="H396" s="35" t="n">
        <x:f>SUMIFS('7日销售明细'!$L$5:$L$2244,'7日销售明细'!$B$5:$B$2244,B396,'7日销售明细'!$D$5:$D$2244,C396,'7日销售明细'!$H$5:$H$2244,E396)</x:f>
        <x:v>234</x:v>
      </x:c>
      <x:c r="I396" s="35" t="n">
        <x:f>G396*XLOOKUP(E396,'菜品主数据'!$A$5:$A$24,'菜品主数据'!$G$5:$G$24,0)</x:f>
        <x:v>113.244</x:v>
      </x:c>
    </x:row>
    <x:row r="397">
      <x:c r="A397" s="19" t="str">
        <x:v>2026-07-12|S03|D13</x:v>
      </x:c>
      <x:c r="B397" s="34" t="n">
        <x:v>46215.5</x:v>
      </x:c>
      <x:c r="C397" s="19" t="str">
        <x:v>S03</x:v>
      </x:c>
      <x:c r="D397" s="19" t="str">
        <x:v>铂悦城店</x:v>
      </x:c>
      <x:c r="E397" s="19" t="str">
        <x:v>D13</x:v>
      </x:c>
      <x:c r="F397" s="19" t="str">
        <x:v>外婆菜炒蛋</x:v>
      </x:c>
      <x:c r="G397" s="20" t="n">
        <x:f>SUMIFS('7日销售明细'!$K$5:$K$2244,'7日销售明细'!$B$5:$B$2244,B397,'7日销售明细'!$D$5:$D$2244,C397,'7日销售明细'!$H$5:$H$2244,E397)</x:f>
        <x:v>13</x:v>
      </x:c>
      <x:c r="H397" s="35" t="n">
        <x:f>SUMIFS('7日销售明细'!$L$5:$L$2244,'7日销售明细'!$B$5:$B$2244,B397,'7日销售明细'!$D$5:$D$2244,C397,'7日销售明细'!$H$5:$H$2244,E397)</x:f>
        <x:v>234</x:v>
      </x:c>
      <x:c r="I397" s="35" t="n">
        <x:f>G397*XLOOKUP(E397,'菜品主数据'!$A$5:$A$24,'菜品主数据'!$G$5:$G$24,0)</x:f>
        <x:v>70.25199999999998</x:v>
      </x:c>
    </x:row>
    <x:row r="398">
      <x:c r="A398" s="19" t="str">
        <x:v>2026-07-12|S03|D14</x:v>
      </x:c>
      <x:c r="B398" s="34" t="n">
        <x:v>46215.5</x:v>
      </x:c>
      <x:c r="C398" s="19" t="str">
        <x:v>S03</x:v>
      </x:c>
      <x:c r="D398" s="19" t="str">
        <x:v>铂悦城店</x:v>
      </x:c>
      <x:c r="E398" s="19" t="str">
        <x:v>D14</x:v>
      </x:c>
      <x:c r="F398" s="19" t="str">
        <x:v>酸辣鸡杂</x:v>
      </x:c>
      <x:c r="G398" s="20" t="n">
        <x:f>SUMIFS('7日销售明细'!$K$5:$K$2244,'7日销售明细'!$B$5:$B$2244,B398,'7日销售明细'!$D$5:$D$2244,C398,'7日销售明细'!$H$5:$H$2244,E398)</x:f>
        <x:v>7</x:v>
      </x:c>
      <x:c r="H398" s="35" t="n">
        <x:f>SUMIFS('7日销售明细'!$L$5:$L$2244,'7日销售明细'!$B$5:$B$2244,B398,'7日销售明细'!$D$5:$D$2244,C398,'7日销售明细'!$H$5:$H$2244,E398)</x:f>
        <x:v>196</x:v>
      </x:c>
      <x:c r="I398" s="35" t="n">
        <x:f>G398*XLOOKUP(E398,'菜品主数据'!$A$5:$A$24,'菜品主数据'!$G$5:$G$24,0)</x:f>
        <x:v>58.20500000000001</x:v>
      </x:c>
    </x:row>
    <x:row r="399">
      <x:c r="A399" s="19" t="str">
        <x:v>2026-07-12|S03|D15</x:v>
      </x:c>
      <x:c r="B399" s="34" t="n">
        <x:v>46215.5</x:v>
      </x:c>
      <x:c r="C399" s="19" t="str">
        <x:v>S03</x:v>
      </x:c>
      <x:c r="D399" s="19" t="str">
        <x:v>铂悦城店</x:v>
      </x:c>
      <x:c r="E399" s="19" t="str">
        <x:v>D15</x:v>
      </x:c>
      <x:c r="F399" s="19" t="str">
        <x:v>湘西土匪猪肝</x:v>
      </x:c>
      <x:c r="G399" s="20" t="n">
        <x:f>SUMIFS('7日销售明细'!$K$5:$K$2244,'7日销售明细'!$B$5:$B$2244,B399,'7日销售明细'!$D$5:$D$2244,C399,'7日销售明细'!$H$5:$H$2244,E399)</x:f>
        <x:v>5</x:v>
      </x:c>
      <x:c r="H399" s="35" t="n">
        <x:f>SUMIFS('7日销售明细'!$L$5:$L$2244,'7日销售明细'!$B$5:$B$2244,B399,'7日销售明细'!$D$5:$D$2244,C399,'7日销售明细'!$H$5:$H$2244,E399)</x:f>
        <x:v>130</x:v>
      </x:c>
      <x:c r="I399" s="35" t="n">
        <x:f>G399*XLOOKUP(E399,'菜品主数据'!$A$5:$A$24,'菜品主数据'!$G$5:$G$24,0)</x:f>
        <x:v>31.879999999999995</x:v>
      </x:c>
    </x:row>
    <x:row r="400">
      <x:c r="A400" s="19" t="str">
        <x:v>2026-07-12|S03|D16</x:v>
      </x:c>
      <x:c r="B400" s="34" t="n">
        <x:v>46215.5</x:v>
      </x:c>
      <x:c r="C400" s="19" t="str">
        <x:v>S03</x:v>
      </x:c>
      <x:c r="D400" s="19" t="str">
        <x:v>铂悦城店</x:v>
      </x:c>
      <x:c r="E400" s="19" t="str">
        <x:v>D16</x:v>
      </x:c>
      <x:c r="F400" s="19" t="str">
        <x:v>小豆角炒五花</x:v>
      </x:c>
      <x:c r="G400" s="20" t="n">
        <x:f>SUMIFS('7日销售明细'!$K$5:$K$2244,'7日销售明细'!$B$5:$B$2244,B400,'7日销售明细'!$D$5:$D$2244,C400,'7日销售明细'!$H$5:$H$2244,E400)</x:f>
        <x:v>6</x:v>
      </x:c>
      <x:c r="H400" s="35" t="n">
        <x:f>SUMIFS('7日销售明细'!$L$5:$L$2244,'7日销售明细'!$B$5:$B$2244,B400,'7日销售明细'!$D$5:$D$2244,C400,'7日销售明细'!$H$5:$H$2244,E400)</x:f>
        <x:v>150</x:v>
      </x:c>
      <x:c r="I400" s="35" t="n">
        <x:f>G400*XLOOKUP(E400,'菜品主数据'!$A$5:$A$24,'菜品主数据'!$G$5:$G$24,0)</x:f>
        <x:v>49.104</x:v>
      </x:c>
    </x:row>
    <x:row r="401">
      <x:c r="A401" s="19" t="str">
        <x:v>2026-07-12|S03|D17</x:v>
      </x:c>
      <x:c r="B401" s="34" t="n">
        <x:v>46215.5</x:v>
      </x:c>
      <x:c r="C401" s="19" t="str">
        <x:v>S03</x:v>
      </x:c>
      <x:c r="D401" s="19" t="str">
        <x:v>铂悦城店</x:v>
      </x:c>
      <x:c r="E401" s="19" t="str">
        <x:v>D17</x:v>
      </x:c>
      <x:c r="F401" s="19" t="str">
        <x:v>蒜蓉粉丝虾</x:v>
      </x:c>
      <x:c r="G401" s="20" t="n">
        <x:f>SUMIFS('7日销售明细'!$K$5:$K$2244,'7日销售明细'!$B$5:$B$2244,B401,'7日销售明细'!$D$5:$D$2244,C401,'7日销售明细'!$H$5:$H$2244,E401)</x:f>
        <x:v>4</x:v>
      </x:c>
      <x:c r="H401" s="35" t="n">
        <x:f>SUMIFS('7日销售明细'!$L$5:$L$2244,'7日销售明细'!$B$5:$B$2244,B401,'7日销售明细'!$D$5:$D$2244,C401,'7日销售明细'!$H$5:$H$2244,E401)</x:f>
        <x:v>144</x:v>
      </x:c>
      <x:c r="I401" s="35" t="n">
        <x:f>G401*XLOOKUP(E401,'菜品主数据'!$A$5:$A$24,'菜品主数据'!$G$5:$G$24,0)</x:f>
        <x:v>54.376</x:v>
      </x:c>
    </x:row>
    <x:row r="402">
      <x:c r="A402" s="19" t="str">
        <x:v>2026-07-12|S03|D18</x:v>
      </x:c>
      <x:c r="B402" s="34" t="n">
        <x:v>46215.5</x:v>
      </x:c>
      <x:c r="C402" s="19" t="str">
        <x:v>S03</x:v>
      </x:c>
      <x:c r="D402" s="19" t="str">
        <x:v>铂悦城店</x:v>
      </x:c>
      <x:c r="E402" s="19" t="str">
        <x:v>D18</x:v>
      </x:c>
      <x:c r="F402" s="19" t="str">
        <x:v>青椒炒油麦菜</x:v>
      </x:c>
      <x:c r="G402" s="20" t="n">
        <x:f>SUMIFS('7日销售明细'!$K$5:$K$2244,'7日销售明细'!$B$5:$B$2244,B402,'7日销售明细'!$D$5:$D$2244,C402,'7日销售明细'!$H$5:$H$2244,E402)</x:f>
        <x:v>6</x:v>
      </x:c>
      <x:c r="H402" s="35" t="n">
        <x:f>SUMIFS('7日销售明细'!$L$5:$L$2244,'7日销售明细'!$B$5:$B$2244,B402,'7日销售明细'!$D$5:$D$2244,C402,'7日销售明细'!$H$5:$H$2244,E402)</x:f>
        <x:v>108</x:v>
      </x:c>
      <x:c r="I402" s="35" t="n">
        <x:f>G402*XLOOKUP(E402,'菜品主数据'!$A$5:$A$24,'菜品主数据'!$G$5:$G$24,0)</x:f>
        <x:v>19.055999999999997</x:v>
      </x:c>
    </x:row>
    <x:row r="403">
      <x:c r="A403" s="19" t="str">
        <x:v>2026-07-12|S03|D19</x:v>
      </x:c>
      <x:c r="B403" s="34" t="n">
        <x:v>46215.5</x:v>
      </x:c>
      <x:c r="C403" s="19" t="str">
        <x:v>S03</x:v>
      </x:c>
      <x:c r="D403" s="19" t="str">
        <x:v>铂悦城店</x:v>
      </x:c>
      <x:c r="E403" s="19" t="str">
        <x:v>D19</x:v>
      </x:c>
      <x:c r="F403" s="19" t="str">
        <x:v>酸萝卜炒鸡杂</x:v>
      </x:c>
      <x:c r="G403" s="20" t="n">
        <x:f>SUMIFS('7日销售明细'!$K$5:$K$2244,'7日销售明细'!$B$5:$B$2244,B403,'7日销售明细'!$D$5:$D$2244,C403,'7日销售明细'!$H$5:$H$2244,E403)</x:f>
        <x:v>5</x:v>
      </x:c>
      <x:c r="H403" s="35" t="n">
        <x:f>SUMIFS('7日销售明细'!$L$5:$L$2244,'7日销售明细'!$B$5:$B$2244,B403,'7日销售明细'!$D$5:$D$2244,C403,'7日销售明细'!$H$5:$H$2244,E403)</x:f>
        <x:v>125</x:v>
      </x:c>
      <x:c r="I403" s="35" t="n">
        <x:f>G403*XLOOKUP(E403,'菜品主数据'!$A$5:$A$24,'菜品主数据'!$G$5:$G$24,0)</x:f>
        <x:v>39.699999999999996</x:v>
      </x:c>
    </x:row>
    <x:row r="404">
      <x:c r="A404" s="19" t="str">
        <x:v>2026-07-12|S03|D20</x:v>
      </x:c>
      <x:c r="B404" s="34" t="n">
        <x:v>46215.5</x:v>
      </x:c>
      <x:c r="C404" s="19" t="str">
        <x:v>S03</x:v>
      </x:c>
      <x:c r="D404" s="19" t="str">
        <x:v>铂悦城店</x:v>
      </x:c>
      <x:c r="E404" s="19" t="str">
        <x:v>D20</x:v>
      </x:c>
      <x:c r="F404" s="19" t="str">
        <x:v>雪菜肉末青豆</x:v>
      </x:c>
      <x:c r="G404" s="20" t="n">
        <x:f>SUMIFS('7日销售明细'!$K$5:$K$2244,'7日销售明细'!$B$5:$B$2244,B404,'7日销售明细'!$D$5:$D$2244,C404,'7日销售明细'!$H$5:$H$2244,E404)</x:f>
        <x:v>7</x:v>
      </x:c>
      <x:c r="H404" s="35" t="n">
        <x:f>SUMIFS('7日销售明细'!$L$5:$L$2244,'7日销售明细'!$B$5:$B$2244,B404,'7日销售明细'!$D$5:$D$2244,C404,'7日销售明细'!$H$5:$H$2244,E404)</x:f>
        <x:v>126</x:v>
      </x:c>
      <x:c r="I404" s="35" t="n">
        <x:f>G404*XLOOKUP(E404,'菜品主数据'!$A$5:$A$24,'菜品主数据'!$G$5:$G$24,0)</x:f>
        <x:v>51.12799999999999</x:v>
      </x:c>
    </x:row>
    <x:row r="405">
      <x:c r="A405" s="19" t="str">
        <x:v>2026-07-13|S03|D01</x:v>
      </x:c>
      <x:c r="B405" s="34" t="n">
        <x:v>46216.5</x:v>
      </x:c>
      <x:c r="C405" s="19" t="str">
        <x:v>S03</x:v>
      </x:c>
      <x:c r="D405" s="19" t="str">
        <x:v>铂悦城店</x:v>
      </x:c>
      <x:c r="E405" s="19" t="str">
        <x:v>D01</x:v>
      </x:c>
      <x:c r="F405" s="19" t="str">
        <x:v>辣椒炒肉</x:v>
      </x:c>
      <x:c r="G405" s="20" t="n">
        <x:f>SUMIFS('7日销售明细'!$K$5:$K$2244,'7日销售明细'!$B$5:$B$2244,B405,'7日销售明细'!$D$5:$D$2244,C405,'7日销售明细'!$H$5:$H$2244,E405)</x:f>
        <x:v>52</x:v>
      </x:c>
      <x:c r="H405" s="35" t="n">
        <x:f>SUMIFS('7日销售明细'!$L$5:$L$2244,'7日销售明细'!$B$5:$B$2244,B405,'7日销售明细'!$D$5:$D$2244,C405,'7日销售明细'!$H$5:$H$2244,E405)</x:f>
        <x:v>1508</x:v>
      </x:c>
      <x:c r="I405" s="35" t="n">
        <x:f>G405*XLOOKUP(E405,'菜品主数据'!$A$5:$A$24,'菜品主数据'!$G$5:$G$24,0)</x:f>
        <x:v>448.9888000000001</x:v>
      </x:c>
    </x:row>
    <x:row r="406">
      <x:c r="A406" s="19" t="str">
        <x:v>2026-07-13|S03|D02</x:v>
      </x:c>
      <x:c r="B406" s="34" t="n">
        <x:v>46216.5</x:v>
      </x:c>
      <x:c r="C406" s="19" t="str">
        <x:v>S03</x:v>
      </x:c>
      <x:c r="D406" s="19" t="str">
        <x:v>铂悦城店</x:v>
      </x:c>
      <x:c r="E406" s="19" t="str">
        <x:v>D02</x:v>
      </x:c>
      <x:c r="F406" s="19" t="str">
        <x:v>小炒黄牛肉</x:v>
      </x:c>
      <x:c r="G406" s="20" t="n">
        <x:f>SUMIFS('7日销售明细'!$K$5:$K$2244,'7日销售明细'!$B$5:$B$2244,B406,'7日销售明细'!$D$5:$D$2244,C406,'7日销售明细'!$H$5:$H$2244,E406)</x:f>
        <x:v>36</x:v>
      </x:c>
      <x:c r="H406" s="35" t="n">
        <x:f>SUMIFS('7日销售明细'!$L$5:$L$2244,'7日销售明细'!$B$5:$B$2244,B406,'7日销售明细'!$D$5:$D$2244,C406,'7日销售明细'!$H$5:$H$2244,E406)</x:f>
        <x:v>1764</x:v>
      </x:c>
      <x:c r="I406" s="35" t="n">
        <x:f>G406*XLOOKUP(E406,'菜品主数据'!$A$5:$A$24,'菜品主数据'!$G$5:$G$24,0)</x:f>
        <x:v>632.772</x:v>
      </x:c>
    </x:row>
    <x:row r="407">
      <x:c r="A407" s="19" t="str">
        <x:v>2026-07-13|S03|D03</x:v>
      </x:c>
      <x:c r="B407" s="34" t="n">
        <x:v>46216.5</x:v>
      </x:c>
      <x:c r="C407" s="19" t="str">
        <x:v>S03</x:v>
      </x:c>
      <x:c r="D407" s="19" t="str">
        <x:v>铂悦城店</x:v>
      </x:c>
      <x:c r="E407" s="19" t="str">
        <x:v>D03</x:v>
      </x:c>
      <x:c r="F407" s="19" t="str">
        <x:v>香醋炒蛋</x:v>
      </x:c>
      <x:c r="G407" s="20" t="n">
        <x:f>SUMIFS('7日销售明细'!$K$5:$K$2244,'7日销售明细'!$B$5:$B$2244,B407,'7日销售明细'!$D$5:$D$2244,C407,'7日销售明细'!$H$5:$H$2244,E407)</x:f>
        <x:v>46</x:v>
      </x:c>
      <x:c r="H407" s="35" t="n">
        <x:f>SUMIFS('7日销售明细'!$L$5:$L$2244,'7日销售明细'!$B$5:$B$2244,B407,'7日销售明细'!$D$5:$D$2244,C407,'7日销售明细'!$H$5:$H$2244,E407)</x:f>
        <x:v>685.4000000000001</x:v>
      </x:c>
      <x:c r="I407" s="35" t="n">
        <x:f>G407*XLOOKUP(E407,'菜品主数据'!$A$5:$A$24,'菜品主数据'!$G$5:$G$24,0)</x:f>
        <x:v>172.31599999999997</x:v>
      </x:c>
    </x:row>
    <x:row r="408">
      <x:c r="A408" s="19" t="str">
        <x:v>2026-07-13|S03|D04</x:v>
      </x:c>
      <x:c r="B408" s="34" t="n">
        <x:v>46216.5</x:v>
      </x:c>
      <x:c r="C408" s="19" t="str">
        <x:v>S03</x:v>
      </x:c>
      <x:c r="D408" s="19" t="str">
        <x:v>铂悦城店</x:v>
      </x:c>
      <x:c r="E408" s="19" t="str">
        <x:v>D04</x:v>
      </x:c>
      <x:c r="F408" s="19" t="str">
        <x:v>酸包菜炒粉皮</x:v>
      </x:c>
      <x:c r="G408" s="20" t="n">
        <x:f>SUMIFS('7日销售明细'!$K$5:$K$2244,'7日销售明细'!$B$5:$B$2244,B408,'7日销售明细'!$D$5:$D$2244,C408,'7日销售明细'!$H$5:$H$2244,E408)</x:f>
        <x:v>43</x:v>
      </x:c>
      <x:c r="H408" s="35" t="n">
        <x:f>SUMIFS('7日销售明细'!$L$5:$L$2244,'7日销售明细'!$B$5:$B$2244,B408,'7日销售明细'!$D$5:$D$2244,C408,'7日销售明细'!$H$5:$H$2244,E408)</x:f>
        <x:v>688</x:v>
      </x:c>
      <x:c r="I408" s="35" t="n">
        <x:f>G408*XLOOKUP(E408,'菜品主数据'!$A$5:$A$24,'菜品主数据'!$G$5:$G$24,0)</x:f>
        <x:v>171.054</x:v>
      </x:c>
    </x:row>
    <x:row r="409">
      <x:c r="A409" s="19" t="str">
        <x:v>2026-07-13|S03|D05</x:v>
      </x:c>
      <x:c r="B409" s="34" t="n">
        <x:v>46216.5</x:v>
      </x:c>
      <x:c r="C409" s="19" t="str">
        <x:v>S03</x:v>
      </x:c>
      <x:c r="D409" s="19" t="str">
        <x:v>铂悦城店</x:v>
      </x:c>
      <x:c r="E409" s="19" t="str">
        <x:v>D05</x:v>
      </x:c>
      <x:c r="F409" s="19" t="str">
        <x:v>麻婆豆腐</x:v>
      </x:c>
      <x:c r="G409" s="20" t="n">
        <x:f>SUMIFS('7日销售明细'!$K$5:$K$2244,'7日销售明细'!$B$5:$B$2244,B409,'7日销售明细'!$D$5:$D$2244,C409,'7日销售明细'!$H$5:$H$2244,E409)</x:f>
        <x:v>58</x:v>
      </x:c>
      <x:c r="H409" s="35" t="n">
        <x:f>SUMIFS('7日销售明细'!$L$5:$L$2244,'7日销售明细'!$B$5:$B$2244,B409,'7日销售明细'!$D$5:$D$2244,C409,'7日销售明细'!$H$5:$H$2244,E409)</x:f>
        <x:v>574.2</x:v>
      </x:c>
      <x:c r="I409" s="35" t="n">
        <x:f>G409*XLOOKUP(E409,'菜品主数据'!$A$5:$A$24,'菜品主数据'!$G$5:$G$24,0)</x:f>
        <x:v>311.28600000000006</x:v>
      </x:c>
    </x:row>
    <x:row r="410">
      <x:c r="A410" s="19" t="str">
        <x:v>2026-07-13|S03|D06</x:v>
      </x:c>
      <x:c r="B410" s="34" t="n">
        <x:v>46216.5</x:v>
      </x:c>
      <x:c r="C410" s="19" t="str">
        <x:v>S03</x:v>
      </x:c>
      <x:c r="D410" s="19" t="str">
        <x:v>铂悦城店</x:v>
      </x:c>
      <x:c r="E410" s="19" t="str">
        <x:v>D06</x:v>
      </x:c>
      <x:c r="F410" s="19" t="str">
        <x:v>剁椒鱼头</x:v>
      </x:c>
      <x:c r="G410" s="20" t="n">
        <x:f>SUMIFS('7日销售明细'!$K$5:$K$2244,'7日销售明细'!$B$5:$B$2244,B410,'7日销售明细'!$D$5:$D$2244,C410,'7日销售明细'!$H$5:$H$2244,E410)</x:f>
        <x:v>15</x:v>
      </x:c>
      <x:c r="H410" s="35" t="n">
        <x:f>SUMIFS('7日销售明细'!$L$5:$L$2244,'7日销售明细'!$B$5:$B$2244,B410,'7日销售明细'!$D$5:$D$2244,C410,'7日销售明细'!$H$5:$H$2244,E410)</x:f>
        <x:v>585</x:v>
      </x:c>
      <x:c r="I410" s="35" t="n">
        <x:f>G410*XLOOKUP(E410,'菜品主数据'!$A$5:$A$24,'菜品主数据'!$G$5:$G$24,0)</x:f>
        <x:v>261.69</x:v>
      </x:c>
    </x:row>
    <x:row r="411">
      <x:c r="A411" s="19" t="str">
        <x:v>2026-07-13|S03|D07</x:v>
      </x:c>
      <x:c r="B411" s="34" t="n">
        <x:v>46216.5</x:v>
      </x:c>
      <x:c r="C411" s="19" t="str">
        <x:v>S03</x:v>
      </x:c>
      <x:c r="D411" s="19" t="str">
        <x:v>铂悦城店</x:v>
      </x:c>
      <x:c r="E411" s="19" t="str">
        <x:v>D07</x:v>
      </x:c>
      <x:c r="F411" s="19" t="str">
        <x:v>川味回锅肉</x:v>
      </x:c>
      <x:c r="G411" s="20" t="n">
        <x:f>SUMIFS('7日销售明细'!$K$5:$K$2244,'7日销售明细'!$B$5:$B$2244,B411,'7日销售明细'!$D$5:$D$2244,C411,'7日销售明细'!$H$5:$H$2244,E411)</x:f>
        <x:v>17</x:v>
      </x:c>
      <x:c r="H411" s="35" t="n">
        <x:f>SUMIFS('7日销售明细'!$L$5:$L$2244,'7日销售明细'!$B$5:$B$2244,B411,'7日销售明细'!$D$5:$D$2244,C411,'7日销售明细'!$H$5:$H$2244,E411)</x:f>
        <x:v>493</x:v>
      </x:c>
      <x:c r="I411" s="35" t="n">
        <x:f>G411*XLOOKUP(E411,'菜品主数据'!$A$5:$A$24,'菜品主数据'!$G$5:$G$24,0)</x:f>
        <x:v>173.92700000000002</x:v>
      </x:c>
    </x:row>
    <x:row r="412">
      <x:c r="A412" s="19" t="str">
        <x:v>2026-07-13|S03|D08</x:v>
      </x:c>
      <x:c r="B412" s="34" t="n">
        <x:v>46216.5</x:v>
      </x:c>
      <x:c r="C412" s="19" t="str">
        <x:v>S03</x:v>
      </x:c>
      <x:c r="D412" s="19" t="str">
        <x:v>铂悦城店</x:v>
      </x:c>
      <x:c r="E412" s="19" t="str">
        <x:v>D08</x:v>
      </x:c>
      <x:c r="F412" s="19" t="str">
        <x:v>生炒清远鸡</x:v>
      </x:c>
      <x:c r="G412" s="20" t="n">
        <x:f>SUMIFS('7日销售明细'!$K$5:$K$2244,'7日销售明细'!$B$5:$B$2244,B412,'7日销售明细'!$D$5:$D$2244,C412,'7日销售明细'!$H$5:$H$2244,E412)</x:f>
        <x:v>13</x:v>
      </x:c>
      <x:c r="H412" s="35" t="n">
        <x:f>SUMIFS('7日销售明细'!$L$5:$L$2244,'7日销售明细'!$B$5:$B$2244,B412,'7日销售明细'!$D$5:$D$2244,C412,'7日销售明细'!$H$5:$H$2244,E412)</x:f>
        <x:v>468</x:v>
      </x:c>
      <x:c r="I412" s="35" t="n">
        <x:f>G412*XLOOKUP(E412,'菜品主数据'!$A$5:$A$24,'菜品主数据'!$G$5:$G$24,0)</x:f>
        <x:v>175.24</x:v>
      </x:c>
    </x:row>
    <x:row r="413">
      <x:c r="A413" s="19" t="str">
        <x:v>2026-07-13|S03|D09</x:v>
      </x:c>
      <x:c r="B413" s="34" t="n">
        <x:v>46216.5</x:v>
      </x:c>
      <x:c r="C413" s="19" t="str">
        <x:v>S03</x:v>
      </x:c>
      <x:c r="D413" s="19" t="str">
        <x:v>铂悦城店</x:v>
      </x:c>
      <x:c r="E413" s="19" t="str">
        <x:v>D09</x:v>
      </x:c>
      <x:c r="F413" s="19" t="str">
        <x:v>炒豆干</x:v>
      </x:c>
      <x:c r="G413" s="20" t="n">
        <x:f>SUMIFS('7日销售明细'!$K$5:$K$2244,'7日销售明细'!$B$5:$B$2244,B413,'7日销售明细'!$D$5:$D$2244,C413,'7日销售明细'!$H$5:$H$2244,E413)</x:f>
        <x:v>18</x:v>
      </x:c>
      <x:c r="H413" s="35" t="n">
        <x:f>SUMIFS('7日销售明细'!$L$5:$L$2244,'7日销售明细'!$B$5:$B$2244,B413,'7日销售明细'!$D$5:$D$2244,C413,'7日销售明细'!$H$5:$H$2244,E413)</x:f>
        <x:v>324</x:v>
      </x:c>
      <x:c r="I413" s="35" t="n">
        <x:f>G413*XLOOKUP(E413,'菜品主数据'!$A$5:$A$24,'菜品主数据'!$G$5:$G$24,0)</x:f>
        <x:v>119.05199999999998</x:v>
      </x:c>
    </x:row>
    <x:row r="414">
      <x:c r="A414" s="19" t="str">
        <x:v>2026-07-13|S03|D10</x:v>
      </x:c>
      <x:c r="B414" s="34" t="n">
        <x:v>46216.5</x:v>
      </x:c>
      <x:c r="C414" s="19" t="str">
        <x:v>S03</x:v>
      </x:c>
      <x:c r="D414" s="19" t="str">
        <x:v>铂悦城店</x:v>
      </x:c>
      <x:c r="E414" s="19" t="str">
        <x:v>D10</x:v>
      </x:c>
      <x:c r="F414" s="19" t="str">
        <x:v>农家一碗香</x:v>
      </x:c>
      <x:c r="G414" s="20" t="n">
        <x:f>SUMIFS('7日销售明细'!$K$5:$K$2244,'7日销售明细'!$B$5:$B$2244,B414,'7日销售明细'!$D$5:$D$2244,C414,'7日销售明细'!$H$5:$H$2244,E414)</x:f>
        <x:v>21</x:v>
      </x:c>
      <x:c r="H414" s="35" t="n">
        <x:f>SUMIFS('7日销售明细'!$L$5:$L$2244,'7日销售明细'!$B$5:$B$2244,B414,'7日销售明细'!$D$5:$D$2244,C414,'7日销售明细'!$H$5:$H$2244,E414)</x:f>
        <x:v>480.9</x:v>
      </x:c>
      <x:c r="I414" s="35" t="n">
        <x:f>G414*XLOOKUP(E414,'菜品主数据'!$A$5:$A$24,'菜品主数据'!$G$5:$G$24,0)</x:f>
        <x:v>205.17420000000004</x:v>
      </x:c>
    </x:row>
    <x:row r="415">
      <x:c r="A415" s="19" t="str">
        <x:v>2026-07-13|S03|D11</x:v>
      </x:c>
      <x:c r="B415" s="34" t="n">
        <x:v>46216.5</x:v>
      </x:c>
      <x:c r="C415" s="19" t="str">
        <x:v>S03</x:v>
      </x:c>
      <x:c r="D415" s="19" t="str">
        <x:v>铂悦城店</x:v>
      </x:c>
      <x:c r="E415" s="19" t="str">
        <x:v>D11</x:v>
      </x:c>
      <x:c r="F415" s="19" t="str">
        <x:v>香辣爆肥肠</x:v>
      </x:c>
      <x:c r="G415" s="20" t="n">
        <x:f>SUMIFS('7日销售明细'!$K$5:$K$2244,'7日销售明细'!$B$5:$B$2244,B415,'7日销售明细'!$D$5:$D$2244,C415,'7日销售明细'!$H$5:$H$2244,E415)</x:f>
        <x:v>8</x:v>
      </x:c>
      <x:c r="H415" s="35" t="n">
        <x:f>SUMIFS('7日销售明细'!$L$5:$L$2244,'7日销售明细'!$B$5:$B$2244,B415,'7日销售明细'!$D$5:$D$2244,C415,'7日销售明细'!$H$5:$H$2244,E415)</x:f>
        <x:v>312</x:v>
      </x:c>
      <x:c r="I415" s="35" t="n">
        <x:f>G415*XLOOKUP(E415,'菜品主数据'!$A$5:$A$24,'菜品主数据'!$G$5:$G$24,0)</x:f>
        <x:v>83.176</x:v>
      </x:c>
    </x:row>
    <x:row r="416">
      <x:c r="A416" s="19" t="str">
        <x:v>2026-07-13|S03|D12</x:v>
      </x:c>
      <x:c r="B416" s="34" t="n">
        <x:v>46216.5</x:v>
      </x:c>
      <x:c r="C416" s="19" t="str">
        <x:v>S03</x:v>
      </x:c>
      <x:c r="D416" s="19" t="str">
        <x:v>铂悦城店</x:v>
      </x:c>
      <x:c r="E416" s="19" t="str">
        <x:v>D12</x:v>
      </x:c>
      <x:c r="F416" s="19" t="str">
        <x:v>清蒸鲈鱼</x:v>
      </x:c>
      <x:c r="G416" s="20" t="n">
        <x:f>SUMIFS('7日销售明细'!$K$5:$K$2244,'7日销售明细'!$B$5:$B$2244,B416,'7日销售明细'!$D$5:$D$2244,C416,'7日销售明细'!$H$5:$H$2244,E416)</x:f>
        <x:v>8</x:v>
      </x:c>
      <x:c r="H416" s="35" t="n">
        <x:f>SUMIFS('7日销售明细'!$L$5:$L$2244,'7日销售明细'!$B$5:$B$2244,B416,'7日销售明细'!$D$5:$D$2244,C416,'7日销售明细'!$H$5:$H$2244,E416)</x:f>
        <x:v>312</x:v>
      </x:c>
      <x:c r="I416" s="35" t="n">
        <x:f>G416*XLOOKUP(E416,'菜品主数据'!$A$5:$A$24,'菜品主数据'!$G$5:$G$24,0)</x:f>
        <x:v>150.992</x:v>
      </x:c>
    </x:row>
    <x:row r="417">
      <x:c r="A417" s="19" t="str">
        <x:v>2026-07-13|S03|D13</x:v>
      </x:c>
      <x:c r="B417" s="34" t="n">
        <x:v>46216.5</x:v>
      </x:c>
      <x:c r="C417" s="19" t="str">
        <x:v>S03</x:v>
      </x:c>
      <x:c r="D417" s="19" t="str">
        <x:v>铂悦城店</x:v>
      </x:c>
      <x:c r="E417" s="19" t="str">
        <x:v>D13</x:v>
      </x:c>
      <x:c r="F417" s="19" t="str">
        <x:v>外婆菜炒蛋</x:v>
      </x:c>
      <x:c r="G417" s="20" t="n">
        <x:f>SUMIFS('7日销售明细'!$K$5:$K$2244,'7日销售明细'!$B$5:$B$2244,B417,'7日销售明细'!$D$5:$D$2244,C417,'7日销售明细'!$H$5:$H$2244,E417)</x:f>
        <x:v>18</x:v>
      </x:c>
      <x:c r="H417" s="35" t="n">
        <x:f>SUMIFS('7日销售明细'!$L$5:$L$2244,'7日销售明细'!$B$5:$B$2244,B417,'7日销售明细'!$D$5:$D$2244,C417,'7日销售明细'!$H$5:$H$2244,E417)</x:f>
        <x:v>324</x:v>
      </x:c>
      <x:c r="I417" s="35" t="n">
        <x:f>G417*XLOOKUP(E417,'菜品主数据'!$A$5:$A$24,'菜品主数据'!$G$5:$G$24,0)</x:f>
        <x:v>97.27199999999998</x:v>
      </x:c>
    </x:row>
    <x:row r="418">
      <x:c r="A418" s="19" t="str">
        <x:v>2026-07-13|S03|D14</x:v>
      </x:c>
      <x:c r="B418" s="34" t="n">
        <x:v>46216.5</x:v>
      </x:c>
      <x:c r="C418" s="19" t="str">
        <x:v>S03</x:v>
      </x:c>
      <x:c r="D418" s="19" t="str">
        <x:v>铂悦城店</x:v>
      </x:c>
      <x:c r="E418" s="19" t="str">
        <x:v>D14</x:v>
      </x:c>
      <x:c r="F418" s="19" t="str">
        <x:v>酸辣鸡杂</x:v>
      </x:c>
      <x:c r="G418" s="20" t="n">
        <x:f>SUMIFS('7日销售明细'!$K$5:$K$2244,'7日销售明细'!$B$5:$B$2244,B418,'7日销售明细'!$D$5:$D$2244,C418,'7日销售明细'!$H$5:$H$2244,E418)</x:f>
        <x:v>10</x:v>
      </x:c>
      <x:c r="H418" s="35" t="n">
        <x:f>SUMIFS('7日销售明细'!$L$5:$L$2244,'7日销售明细'!$B$5:$B$2244,B418,'7日销售明细'!$D$5:$D$2244,C418,'7日销售明细'!$H$5:$H$2244,E418)</x:f>
        <x:v>280</x:v>
      </x:c>
      <x:c r="I418" s="35" t="n">
        <x:f>G418*XLOOKUP(E418,'菜品主数据'!$A$5:$A$24,'菜品主数据'!$G$5:$G$24,0)</x:f>
        <x:v>83.15</x:v>
      </x:c>
    </x:row>
    <x:row r="419">
      <x:c r="A419" s="19" t="str">
        <x:v>2026-07-13|S03|D15</x:v>
      </x:c>
      <x:c r="B419" s="34" t="n">
        <x:v>46216.5</x:v>
      </x:c>
      <x:c r="C419" s="19" t="str">
        <x:v>S03</x:v>
      </x:c>
      <x:c r="D419" s="19" t="str">
        <x:v>铂悦城店</x:v>
      </x:c>
      <x:c r="E419" s="19" t="str">
        <x:v>D15</x:v>
      </x:c>
      <x:c r="F419" s="19" t="str">
        <x:v>湘西土匪猪肝</x:v>
      </x:c>
      <x:c r="G419" s="20" t="n">
        <x:f>SUMIFS('7日销售明细'!$K$5:$K$2244,'7日销售明细'!$B$5:$B$2244,B419,'7日销售明细'!$D$5:$D$2244,C419,'7日销售明细'!$H$5:$H$2244,E419)</x:f>
        <x:v>10</x:v>
      </x:c>
      <x:c r="H419" s="35" t="n">
        <x:f>SUMIFS('7日销售明细'!$L$5:$L$2244,'7日销售明细'!$B$5:$B$2244,B419,'7日销售明细'!$D$5:$D$2244,C419,'7日销售明细'!$H$5:$H$2244,E419)</x:f>
        <x:v>260</x:v>
      </x:c>
      <x:c r="I419" s="35" t="n">
        <x:f>G419*XLOOKUP(E419,'菜品主数据'!$A$5:$A$24,'菜品主数据'!$G$5:$G$24,0)</x:f>
        <x:v>63.75999999999999</x:v>
      </x:c>
    </x:row>
    <x:row r="420">
      <x:c r="A420" s="19" t="str">
        <x:v>2026-07-13|S03|D16</x:v>
      </x:c>
      <x:c r="B420" s="34" t="n">
        <x:v>46216.5</x:v>
      </x:c>
      <x:c r="C420" s="19" t="str">
        <x:v>S03</x:v>
      </x:c>
      <x:c r="D420" s="19" t="str">
        <x:v>铂悦城店</x:v>
      </x:c>
      <x:c r="E420" s="19" t="str">
        <x:v>D16</x:v>
      </x:c>
      <x:c r="F420" s="19" t="str">
        <x:v>小豆角炒五花</x:v>
      </x:c>
      <x:c r="G420" s="20" t="n">
        <x:f>SUMIFS('7日销售明细'!$K$5:$K$2244,'7日销售明细'!$B$5:$B$2244,B420,'7日销售明细'!$D$5:$D$2244,C420,'7日销售明细'!$H$5:$H$2244,E420)</x:f>
        <x:v>8</x:v>
      </x:c>
      <x:c r="H420" s="35" t="n">
        <x:f>SUMIFS('7日销售明细'!$L$5:$L$2244,'7日销售明细'!$B$5:$B$2244,B420,'7日销售明细'!$D$5:$D$2244,C420,'7日销售明细'!$H$5:$H$2244,E420)</x:f>
        <x:v>200</x:v>
      </x:c>
      <x:c r="I420" s="35" t="n">
        <x:f>G420*XLOOKUP(E420,'菜品主数据'!$A$5:$A$24,'菜品主数据'!$G$5:$G$24,0)</x:f>
        <x:v>65.472</x:v>
      </x:c>
    </x:row>
    <x:row r="421">
      <x:c r="A421" s="19" t="str">
        <x:v>2026-07-13|S03|D17</x:v>
      </x:c>
      <x:c r="B421" s="34" t="n">
        <x:v>46216.5</x:v>
      </x:c>
      <x:c r="C421" s="19" t="str">
        <x:v>S03</x:v>
      </x:c>
      <x:c r="D421" s="19" t="str">
        <x:v>铂悦城店</x:v>
      </x:c>
      <x:c r="E421" s="19" t="str">
        <x:v>D17</x:v>
      </x:c>
      <x:c r="F421" s="19" t="str">
        <x:v>蒜蓉粉丝虾</x:v>
      </x:c>
      <x:c r="G421" s="20" t="n">
        <x:f>SUMIFS('7日销售明细'!$K$5:$K$2244,'7日销售明细'!$B$5:$B$2244,B421,'7日销售明细'!$D$5:$D$2244,C421,'7日销售明细'!$H$5:$H$2244,E421)</x:f>
        <x:v>5</x:v>
      </x:c>
      <x:c r="H421" s="35" t="n">
        <x:f>SUMIFS('7日销售明细'!$L$5:$L$2244,'7日销售明细'!$B$5:$B$2244,B421,'7日销售明细'!$D$5:$D$2244,C421,'7日销售明细'!$H$5:$H$2244,E421)</x:f>
        <x:v>180</x:v>
      </x:c>
      <x:c r="I421" s="35" t="n">
        <x:f>G421*XLOOKUP(E421,'菜品主数据'!$A$5:$A$24,'菜品主数据'!$G$5:$G$24,0)</x:f>
        <x:v>67.97</x:v>
      </x:c>
    </x:row>
    <x:row r="422">
      <x:c r="A422" s="19" t="str">
        <x:v>2026-07-13|S03|D18</x:v>
      </x:c>
      <x:c r="B422" s="34" t="n">
        <x:v>46216.5</x:v>
      </x:c>
      <x:c r="C422" s="19" t="str">
        <x:v>S03</x:v>
      </x:c>
      <x:c r="D422" s="19" t="str">
        <x:v>铂悦城店</x:v>
      </x:c>
      <x:c r="E422" s="19" t="str">
        <x:v>D18</x:v>
      </x:c>
      <x:c r="F422" s="19" t="str">
        <x:v>青椒炒油麦菜</x:v>
      </x:c>
      <x:c r="G422" s="20" t="n">
        <x:f>SUMIFS('7日销售明细'!$K$5:$K$2244,'7日销售明细'!$B$5:$B$2244,B422,'7日销售明细'!$D$5:$D$2244,C422,'7日销售明细'!$H$5:$H$2244,E422)</x:f>
        <x:v>10</x:v>
      </x:c>
      <x:c r="H422" s="35" t="n">
        <x:f>SUMIFS('7日销售明细'!$L$5:$L$2244,'7日销售明细'!$B$5:$B$2244,B422,'7日销售明细'!$D$5:$D$2244,C422,'7日销售明细'!$H$5:$H$2244,E422)</x:f>
        <x:v>180</x:v>
      </x:c>
      <x:c r="I422" s="35" t="n">
        <x:f>G422*XLOOKUP(E422,'菜品主数据'!$A$5:$A$24,'菜品主数据'!$G$5:$G$24,0)</x:f>
        <x:v>31.75999999999999</x:v>
      </x:c>
    </x:row>
    <x:row r="423">
      <x:c r="A423" s="19" t="str">
        <x:v>2026-07-13|S03|D19</x:v>
      </x:c>
      <x:c r="B423" s="34" t="n">
        <x:v>46216.5</x:v>
      </x:c>
      <x:c r="C423" s="19" t="str">
        <x:v>S03</x:v>
      </x:c>
      <x:c r="D423" s="19" t="str">
        <x:v>铂悦城店</x:v>
      </x:c>
      <x:c r="E423" s="19" t="str">
        <x:v>D19</x:v>
      </x:c>
      <x:c r="F423" s="19" t="str">
        <x:v>酸萝卜炒鸡杂</x:v>
      </x:c>
      <x:c r="G423" s="20" t="n">
        <x:f>SUMIFS('7日销售明细'!$K$5:$K$2244,'7日销售明细'!$B$5:$B$2244,B423,'7日销售明细'!$D$5:$D$2244,C423,'7日销售明细'!$H$5:$H$2244,E423)</x:f>
        <x:v>6</x:v>
      </x:c>
      <x:c r="H423" s="35" t="n">
        <x:f>SUMIFS('7日销售明细'!$L$5:$L$2244,'7日销售明细'!$B$5:$B$2244,B423,'7日销售明细'!$D$5:$D$2244,C423,'7日销售明细'!$H$5:$H$2244,E423)</x:f>
        <x:v>150</x:v>
      </x:c>
      <x:c r="I423" s="35" t="n">
        <x:f>G423*XLOOKUP(E423,'菜品主数据'!$A$5:$A$24,'菜品主数据'!$G$5:$G$24,0)</x:f>
        <x:v>47.64</x:v>
      </x:c>
    </x:row>
    <x:row r="424">
      <x:c r="A424" s="19" t="str">
        <x:v>2026-07-13|S03|D20</x:v>
      </x:c>
      <x:c r="B424" s="34" t="n">
        <x:v>46216.5</x:v>
      </x:c>
      <x:c r="C424" s="19" t="str">
        <x:v>S03</x:v>
      </x:c>
      <x:c r="D424" s="19" t="str">
        <x:v>铂悦城店</x:v>
      </x:c>
      <x:c r="E424" s="19" t="str">
        <x:v>D20</x:v>
      </x:c>
      <x:c r="F424" s="19" t="str">
        <x:v>雪菜肉末青豆</x:v>
      </x:c>
      <x:c r="G424" s="20" t="n">
        <x:f>SUMIFS('7日销售明细'!$K$5:$K$2244,'7日销售明细'!$B$5:$B$2244,B424,'7日销售明细'!$D$5:$D$2244,C424,'7日销售明细'!$H$5:$H$2244,E424)</x:f>
        <x:v>11</x:v>
      </x:c>
      <x:c r="H424" s="35" t="n">
        <x:f>SUMIFS('7日销售明细'!$L$5:$L$2244,'7日销售明细'!$B$5:$B$2244,B424,'7日销售明细'!$D$5:$D$2244,C424,'7日销售明细'!$H$5:$H$2244,E424)</x:f>
        <x:v>198</x:v>
      </x:c>
      <x:c r="I424" s="35" t="n">
        <x:f>G424*XLOOKUP(E424,'菜品主数据'!$A$5:$A$24,'菜品主数据'!$G$5:$G$24,0)</x:f>
        <x:v>80.344</x:v>
      </x:c>
    </x:row>
    <x:row r="425">
      <x:c r="A425" s="19" t="str">
        <x:v>2026-07-07|S04|D01</x:v>
      </x:c>
      <x:c r="B425" s="34" t="n">
        <x:v>46210.5</x:v>
      </x:c>
      <x:c r="C425" s="19" t="str">
        <x:v>S04</x:v>
      </x:c>
      <x:c r="D425" s="19" t="str">
        <x:v>金街美地店</x:v>
      </x:c>
      <x:c r="E425" s="19" t="str">
        <x:v>D01</x:v>
      </x:c>
      <x:c r="F425" s="19" t="str">
        <x:v>辣椒炒肉</x:v>
      </x:c>
      <x:c r="G425" s="20" t="n">
        <x:f>SUMIFS('7日销售明细'!$K$5:$K$2244,'7日销售明细'!$B$5:$B$2244,B425,'7日销售明细'!$D$5:$D$2244,C425,'7日销售明细'!$H$5:$H$2244,E425)</x:f>
        <x:v>49</x:v>
      </x:c>
      <x:c r="H425" s="35" t="n">
        <x:f>SUMIFS('7日销售明细'!$L$5:$L$2244,'7日销售明细'!$B$5:$B$2244,B425,'7日销售明细'!$D$5:$D$2244,C425,'7日销售明细'!$H$5:$H$2244,E425)</x:f>
        <x:v>1421</x:v>
      </x:c>
      <x:c r="I425" s="35" t="n">
        <x:f>G425*XLOOKUP(E425,'菜品主数据'!$A$5:$A$24,'菜品主数据'!$G$5:$G$24,0)</x:f>
        <x:v>423.08560000000006</x:v>
      </x:c>
    </x:row>
    <x:row r="426">
      <x:c r="A426" s="19" t="str">
        <x:v>2026-07-07|S04|D02</x:v>
      </x:c>
      <x:c r="B426" s="34" t="n">
        <x:v>46210.5</x:v>
      </x:c>
      <x:c r="C426" s="19" t="str">
        <x:v>S04</x:v>
      </x:c>
      <x:c r="D426" s="19" t="str">
        <x:v>金街美地店</x:v>
      </x:c>
      <x:c r="E426" s="19" t="str">
        <x:v>D02</x:v>
      </x:c>
      <x:c r="F426" s="19" t="str">
        <x:v>小炒黄牛肉</x:v>
      </x:c>
      <x:c r="G426" s="20" t="n">
        <x:f>SUMIFS('7日销售明细'!$K$5:$K$2244,'7日销售明细'!$B$5:$B$2244,B426,'7日销售明细'!$D$5:$D$2244,C426,'7日销售明细'!$H$5:$H$2244,E426)</x:f>
        <x:v>35</x:v>
      </x:c>
      <x:c r="H426" s="35" t="n">
        <x:f>SUMIFS('7日销售明细'!$L$5:$L$2244,'7日销售明细'!$B$5:$B$2244,B426,'7日销售明细'!$D$5:$D$2244,C426,'7日销售明细'!$H$5:$H$2244,E426)</x:f>
        <x:v>1715</x:v>
      </x:c>
      <x:c r="I426" s="35" t="n">
        <x:f>G426*XLOOKUP(E426,'菜品主数据'!$A$5:$A$24,'菜品主数据'!$G$5:$G$24,0)</x:f>
        <x:v>615.195</x:v>
      </x:c>
    </x:row>
    <x:row r="427">
      <x:c r="A427" s="19" t="str">
        <x:v>2026-07-07|S04|D03</x:v>
      </x:c>
      <x:c r="B427" s="34" t="n">
        <x:v>46210.5</x:v>
      </x:c>
      <x:c r="C427" s="19" t="str">
        <x:v>S04</x:v>
      </x:c>
      <x:c r="D427" s="19" t="str">
        <x:v>金街美地店</x:v>
      </x:c>
      <x:c r="E427" s="19" t="str">
        <x:v>D03</x:v>
      </x:c>
      <x:c r="F427" s="19" t="str">
        <x:v>香醋炒蛋</x:v>
      </x:c>
      <x:c r="G427" s="20" t="n">
        <x:f>SUMIFS('7日销售明细'!$K$5:$K$2244,'7日销售明细'!$B$5:$B$2244,B427,'7日销售明细'!$D$5:$D$2244,C427,'7日销售明细'!$H$5:$H$2244,E427)</x:f>
        <x:v>40</x:v>
      </x:c>
      <x:c r="H427" s="35" t="n">
        <x:f>SUMIFS('7日销售明细'!$L$5:$L$2244,'7日销售明细'!$B$5:$B$2244,B427,'7日销售明细'!$D$5:$D$2244,C427,'7日销售明细'!$H$5:$H$2244,E427)</x:f>
        <x:v>596</x:v>
      </x:c>
      <x:c r="I427" s="35" t="n">
        <x:f>G427*XLOOKUP(E427,'菜品主数据'!$A$5:$A$24,'菜品主数据'!$G$5:$G$24,0)</x:f>
        <x:v>149.83999999999997</x:v>
      </x:c>
    </x:row>
    <x:row r="428">
      <x:c r="A428" s="19" t="str">
        <x:v>2026-07-07|S04|D04</x:v>
      </x:c>
      <x:c r="B428" s="34" t="n">
        <x:v>46210.5</x:v>
      </x:c>
      <x:c r="C428" s="19" t="str">
        <x:v>S04</x:v>
      </x:c>
      <x:c r="D428" s="19" t="str">
        <x:v>金街美地店</x:v>
      </x:c>
      <x:c r="E428" s="19" t="str">
        <x:v>D04</x:v>
      </x:c>
      <x:c r="F428" s="19" t="str">
        <x:v>酸包菜炒粉皮</x:v>
      </x:c>
      <x:c r="G428" s="20" t="n">
        <x:f>SUMIFS('7日销售明细'!$K$5:$K$2244,'7日销售明细'!$B$5:$B$2244,B428,'7日销售明细'!$D$5:$D$2244,C428,'7日销售明细'!$H$5:$H$2244,E428)</x:f>
        <x:v>39</x:v>
      </x:c>
      <x:c r="H428" s="35" t="n">
        <x:f>SUMIFS('7日销售明细'!$L$5:$L$2244,'7日销售明细'!$B$5:$B$2244,B428,'7日销售明细'!$D$5:$D$2244,C428,'7日销售明细'!$H$5:$H$2244,E428)</x:f>
        <x:v>624</x:v>
      </x:c>
      <x:c r="I428" s="35" t="n">
        <x:f>G428*XLOOKUP(E428,'菜品主数据'!$A$5:$A$24,'菜品主数据'!$G$5:$G$24,0)</x:f>
        <x:v>155.142</x:v>
      </x:c>
    </x:row>
    <x:row r="429">
      <x:c r="A429" s="19" t="str">
        <x:v>2026-07-07|S04|D05</x:v>
      </x:c>
      <x:c r="B429" s="34" t="n">
        <x:v>46210.5</x:v>
      </x:c>
      <x:c r="C429" s="19" t="str">
        <x:v>S04</x:v>
      </x:c>
      <x:c r="D429" s="19" t="str">
        <x:v>金街美地店</x:v>
      </x:c>
      <x:c r="E429" s="19" t="str">
        <x:v>D05</x:v>
      </x:c>
      <x:c r="F429" s="19" t="str">
        <x:v>麻婆豆腐</x:v>
      </x:c>
      <x:c r="G429" s="20" t="n">
        <x:f>SUMIFS('7日销售明细'!$K$5:$K$2244,'7日销售明细'!$B$5:$B$2244,B429,'7日销售明细'!$D$5:$D$2244,C429,'7日销售明细'!$H$5:$H$2244,E429)</x:f>
        <x:v>53</x:v>
      </x:c>
      <x:c r="H429" s="35" t="n">
        <x:f>SUMIFS('7日销售明细'!$L$5:$L$2244,'7日销售明细'!$B$5:$B$2244,B429,'7日销售明细'!$D$5:$D$2244,C429,'7日销售明细'!$H$5:$H$2244,E429)</x:f>
        <x:v>524.7</x:v>
      </x:c>
      <x:c r="I429" s="35" t="n">
        <x:f>G429*XLOOKUP(E429,'菜品主数据'!$A$5:$A$24,'菜品主数据'!$G$5:$G$24,0)</x:f>
        <x:v>284.451</x:v>
      </x:c>
    </x:row>
    <x:row r="430">
      <x:c r="A430" s="19" t="str">
        <x:v>2026-07-07|S04|D06</x:v>
      </x:c>
      <x:c r="B430" s="34" t="n">
        <x:v>46210.5</x:v>
      </x:c>
      <x:c r="C430" s="19" t="str">
        <x:v>S04</x:v>
      </x:c>
      <x:c r="D430" s="19" t="str">
        <x:v>金街美地店</x:v>
      </x:c>
      <x:c r="E430" s="19" t="str">
        <x:v>D06</x:v>
      </x:c>
      <x:c r="F430" s="19" t="str">
        <x:v>剁椒鱼头</x:v>
      </x:c>
      <x:c r="G430" s="20" t="n">
        <x:f>SUMIFS('7日销售明细'!$K$5:$K$2244,'7日销售明细'!$B$5:$B$2244,B430,'7日销售明细'!$D$5:$D$2244,C430,'7日销售明细'!$H$5:$H$2244,E430)</x:f>
        <x:v>13</x:v>
      </x:c>
      <x:c r="H430" s="35" t="n">
        <x:f>SUMIFS('7日销售明细'!$L$5:$L$2244,'7日销售明细'!$B$5:$B$2244,B430,'7日销售明细'!$D$5:$D$2244,C430,'7日销售明细'!$H$5:$H$2244,E430)</x:f>
        <x:v>507</x:v>
      </x:c>
      <x:c r="I430" s="35" t="n">
        <x:f>G430*XLOOKUP(E430,'菜品主数据'!$A$5:$A$24,'菜品主数据'!$G$5:$G$24,0)</x:f>
        <x:v>226.79800000000003</x:v>
      </x:c>
    </x:row>
    <x:row r="431">
      <x:c r="A431" s="19" t="str">
        <x:v>2026-07-07|S04|D07</x:v>
      </x:c>
      <x:c r="B431" s="34" t="n">
        <x:v>46210.5</x:v>
      </x:c>
      <x:c r="C431" s="19" t="str">
        <x:v>S04</x:v>
      </x:c>
      <x:c r="D431" s="19" t="str">
        <x:v>金街美地店</x:v>
      </x:c>
      <x:c r="E431" s="19" t="str">
        <x:v>D07</x:v>
      </x:c>
      <x:c r="F431" s="19" t="str">
        <x:v>川味回锅肉</x:v>
      </x:c>
      <x:c r="G431" s="20" t="n">
        <x:f>SUMIFS('7日销售明细'!$K$5:$K$2244,'7日销售明细'!$B$5:$B$2244,B431,'7日销售明细'!$D$5:$D$2244,C431,'7日销售明细'!$H$5:$H$2244,E431)</x:f>
        <x:v>16</x:v>
      </x:c>
      <x:c r="H431" s="35" t="n">
        <x:f>SUMIFS('7日销售明细'!$L$5:$L$2244,'7日销售明细'!$B$5:$B$2244,B431,'7日销售明细'!$D$5:$D$2244,C431,'7日销售明细'!$H$5:$H$2244,E431)</x:f>
        <x:v>464</x:v>
      </x:c>
      <x:c r="I431" s="35" t="n">
        <x:f>G431*XLOOKUP(E431,'菜品主数据'!$A$5:$A$24,'菜品主数据'!$G$5:$G$24,0)</x:f>
        <x:v>163.69600000000003</x:v>
      </x:c>
    </x:row>
    <x:row r="432">
      <x:c r="A432" s="19" t="str">
        <x:v>2026-07-07|S04|D08</x:v>
      </x:c>
      <x:c r="B432" s="34" t="n">
        <x:v>46210.5</x:v>
      </x:c>
      <x:c r="C432" s="19" t="str">
        <x:v>S04</x:v>
      </x:c>
      <x:c r="D432" s="19" t="str">
        <x:v>金街美地店</x:v>
      </x:c>
      <x:c r="E432" s="19" t="str">
        <x:v>D08</x:v>
      </x:c>
      <x:c r="F432" s="19" t="str">
        <x:v>生炒清远鸡</x:v>
      </x:c>
      <x:c r="G432" s="20" t="n">
        <x:f>SUMIFS('7日销售明细'!$K$5:$K$2244,'7日销售明细'!$B$5:$B$2244,B432,'7日销售明细'!$D$5:$D$2244,C432,'7日销售明细'!$H$5:$H$2244,E432)</x:f>
        <x:v>12</x:v>
      </x:c>
      <x:c r="H432" s="35" t="n">
        <x:f>SUMIFS('7日销售明细'!$L$5:$L$2244,'7日销售明细'!$B$5:$B$2244,B432,'7日销售明细'!$D$5:$D$2244,C432,'7日销售明细'!$H$5:$H$2244,E432)</x:f>
        <x:v>432</x:v>
      </x:c>
      <x:c r="I432" s="35" t="n">
        <x:f>G432*XLOOKUP(E432,'菜品主数据'!$A$5:$A$24,'菜品主数据'!$G$5:$G$24,0)</x:f>
        <x:v>161.76</x:v>
      </x:c>
    </x:row>
    <x:row r="433">
      <x:c r="A433" s="19" t="str">
        <x:v>2026-07-07|S04|D09</x:v>
      </x:c>
      <x:c r="B433" s="34" t="n">
        <x:v>46210.5</x:v>
      </x:c>
      <x:c r="C433" s="19" t="str">
        <x:v>S04</x:v>
      </x:c>
      <x:c r="D433" s="19" t="str">
        <x:v>金街美地店</x:v>
      </x:c>
      <x:c r="E433" s="19" t="str">
        <x:v>D09</x:v>
      </x:c>
      <x:c r="F433" s="19" t="str">
        <x:v>炒豆干</x:v>
      </x:c>
      <x:c r="G433" s="20" t="n">
        <x:f>SUMIFS('7日销售明细'!$K$5:$K$2244,'7日销售明细'!$B$5:$B$2244,B433,'7日销售明细'!$D$5:$D$2244,C433,'7日销售明细'!$H$5:$H$2244,E433)</x:f>
        <x:v>18</x:v>
      </x:c>
      <x:c r="H433" s="35" t="n">
        <x:f>SUMIFS('7日销售明细'!$L$5:$L$2244,'7日销售明细'!$B$5:$B$2244,B433,'7日销售明细'!$D$5:$D$2244,C433,'7日销售明细'!$H$5:$H$2244,E433)</x:f>
        <x:v>324</x:v>
      </x:c>
      <x:c r="I433" s="35" t="n">
        <x:f>G433*XLOOKUP(E433,'菜品主数据'!$A$5:$A$24,'菜品主数据'!$G$5:$G$24,0)</x:f>
        <x:v>119.05199999999998</x:v>
      </x:c>
    </x:row>
    <x:row r="434">
      <x:c r="A434" s="19" t="str">
        <x:v>2026-07-07|S04|D10</x:v>
      </x:c>
      <x:c r="B434" s="34" t="n">
        <x:v>46210.5</x:v>
      </x:c>
      <x:c r="C434" s="19" t="str">
        <x:v>S04</x:v>
      </x:c>
      <x:c r="D434" s="19" t="str">
        <x:v>金街美地店</x:v>
      </x:c>
      <x:c r="E434" s="19" t="str">
        <x:v>D10</x:v>
      </x:c>
      <x:c r="F434" s="19" t="str">
        <x:v>农家一碗香</x:v>
      </x:c>
      <x:c r="G434" s="20" t="n">
        <x:f>SUMIFS('7日销售明细'!$K$5:$K$2244,'7日销售明细'!$B$5:$B$2244,B434,'7日销售明细'!$D$5:$D$2244,C434,'7日销售明细'!$H$5:$H$2244,E434)</x:f>
        <x:v>19</x:v>
      </x:c>
      <x:c r="H434" s="35" t="n">
        <x:f>SUMIFS('7日销售明细'!$L$5:$L$2244,'7日销售明细'!$B$5:$B$2244,B434,'7日销售明细'!$D$5:$D$2244,C434,'7日销售明细'!$H$5:$H$2244,E434)</x:f>
        <x:v>435.09999999999997</x:v>
      </x:c>
      <x:c r="I434" s="35" t="n">
        <x:f>G434*XLOOKUP(E434,'菜品主数据'!$A$5:$A$24,'菜品主数据'!$G$5:$G$24,0)</x:f>
        <x:v>185.63380000000006</x:v>
      </x:c>
    </x:row>
    <x:row r="435">
      <x:c r="A435" s="19" t="str">
        <x:v>2026-07-07|S04|D11</x:v>
      </x:c>
      <x:c r="B435" s="34" t="n">
        <x:v>46210.5</x:v>
      </x:c>
      <x:c r="C435" s="19" t="str">
        <x:v>S04</x:v>
      </x:c>
      <x:c r="D435" s="19" t="str">
        <x:v>金街美地店</x:v>
      </x:c>
      <x:c r="E435" s="19" t="str">
        <x:v>D11</x:v>
      </x:c>
      <x:c r="F435" s="19" t="str">
        <x:v>香辣爆肥肠</x:v>
      </x:c>
      <x:c r="G435" s="20" t="n">
        <x:f>SUMIFS('7日销售明细'!$K$5:$K$2244,'7日销售明细'!$B$5:$B$2244,B435,'7日销售明细'!$D$5:$D$2244,C435,'7日销售明细'!$H$5:$H$2244,E435)</x:f>
        <x:v>7</x:v>
      </x:c>
      <x:c r="H435" s="35" t="n">
        <x:f>SUMIFS('7日销售明细'!$L$5:$L$2244,'7日销售明细'!$B$5:$B$2244,B435,'7日销售明细'!$D$5:$D$2244,C435,'7日销售明细'!$H$5:$H$2244,E435)</x:f>
        <x:v>273</x:v>
      </x:c>
      <x:c r="I435" s="35" t="n">
        <x:f>G435*XLOOKUP(E435,'菜品主数据'!$A$5:$A$24,'菜品主数据'!$G$5:$G$24,0)</x:f>
        <x:v>72.779</x:v>
      </x:c>
    </x:row>
    <x:row r="436">
      <x:c r="A436" s="19" t="str">
        <x:v>2026-07-07|S04|D12</x:v>
      </x:c>
      <x:c r="B436" s="34" t="n">
        <x:v>46210.5</x:v>
      </x:c>
      <x:c r="C436" s="19" t="str">
        <x:v>S04</x:v>
      </x:c>
      <x:c r="D436" s="19" t="str">
        <x:v>金街美地店</x:v>
      </x:c>
      <x:c r="E436" s="19" t="str">
        <x:v>D12</x:v>
      </x:c>
      <x:c r="F436" s="19" t="str">
        <x:v>清蒸鲈鱼</x:v>
      </x:c>
      <x:c r="G436" s="20" t="n">
        <x:f>SUMIFS('7日销售明细'!$K$5:$K$2244,'7日销售明细'!$B$5:$B$2244,B436,'7日销售明细'!$D$5:$D$2244,C436,'7日销售明细'!$H$5:$H$2244,E436)</x:f>
        <x:v>7</x:v>
      </x:c>
      <x:c r="H436" s="35" t="n">
        <x:f>SUMIFS('7日销售明细'!$L$5:$L$2244,'7日销售明细'!$B$5:$B$2244,B436,'7日销售明细'!$D$5:$D$2244,C436,'7日销售明细'!$H$5:$H$2244,E436)</x:f>
        <x:v>273</x:v>
      </x:c>
      <x:c r="I436" s="35" t="n">
        <x:f>G436*XLOOKUP(E436,'菜品主数据'!$A$5:$A$24,'菜品主数据'!$G$5:$G$24,0)</x:f>
        <x:v>132.118</x:v>
      </x:c>
    </x:row>
    <x:row r="437">
      <x:c r="A437" s="19" t="str">
        <x:v>2026-07-07|S04|D13</x:v>
      </x:c>
      <x:c r="B437" s="34" t="n">
        <x:v>46210.5</x:v>
      </x:c>
      <x:c r="C437" s="19" t="str">
        <x:v>S04</x:v>
      </x:c>
      <x:c r="D437" s="19" t="str">
        <x:v>金街美地店</x:v>
      </x:c>
      <x:c r="E437" s="19" t="str">
        <x:v>D13</x:v>
      </x:c>
      <x:c r="F437" s="19" t="str">
        <x:v>外婆菜炒蛋</x:v>
      </x:c>
      <x:c r="G437" s="20" t="n">
        <x:f>SUMIFS('7日销售明细'!$K$5:$K$2244,'7日销售明细'!$B$5:$B$2244,B437,'7日销售明细'!$D$5:$D$2244,C437,'7日销售明细'!$H$5:$H$2244,E437)</x:f>
        <x:v>18</x:v>
      </x:c>
      <x:c r="H437" s="35" t="n">
        <x:f>SUMIFS('7日销售明细'!$L$5:$L$2244,'7日销售明细'!$B$5:$B$2244,B437,'7日销售明细'!$D$5:$D$2244,C437,'7日销售明细'!$H$5:$H$2244,E437)</x:f>
        <x:v>324</x:v>
      </x:c>
      <x:c r="I437" s="35" t="n">
        <x:f>G437*XLOOKUP(E437,'菜品主数据'!$A$5:$A$24,'菜品主数据'!$G$5:$G$24,0)</x:f>
        <x:v>97.27199999999998</x:v>
      </x:c>
    </x:row>
    <x:row r="438">
      <x:c r="A438" s="19" t="str">
        <x:v>2026-07-07|S04|D14</x:v>
      </x:c>
      <x:c r="B438" s="34" t="n">
        <x:v>46210.5</x:v>
      </x:c>
      <x:c r="C438" s="19" t="str">
        <x:v>S04</x:v>
      </x:c>
      <x:c r="D438" s="19" t="str">
        <x:v>金街美地店</x:v>
      </x:c>
      <x:c r="E438" s="19" t="str">
        <x:v>D14</x:v>
      </x:c>
      <x:c r="F438" s="19" t="str">
        <x:v>酸辣鸡杂</x:v>
      </x:c>
      <x:c r="G438" s="20" t="n">
        <x:f>SUMIFS('7日销售明细'!$K$5:$K$2244,'7日销售明细'!$B$5:$B$2244,B438,'7日销售明细'!$D$5:$D$2244,C438,'7日销售明细'!$H$5:$H$2244,E438)</x:f>
        <x:v>9</x:v>
      </x:c>
      <x:c r="H438" s="35" t="n">
        <x:f>SUMIFS('7日销售明细'!$L$5:$L$2244,'7日销售明细'!$B$5:$B$2244,B438,'7日销售明细'!$D$5:$D$2244,C438,'7日销售明细'!$H$5:$H$2244,E438)</x:f>
        <x:v>252</x:v>
      </x:c>
      <x:c r="I438" s="35" t="n">
        <x:f>G438*XLOOKUP(E438,'菜品主数据'!$A$5:$A$24,'菜品主数据'!$G$5:$G$24,0)</x:f>
        <x:v>74.83500000000001</x:v>
      </x:c>
    </x:row>
    <x:row r="439">
      <x:c r="A439" s="19" t="str">
        <x:v>2026-07-07|S04|D15</x:v>
      </x:c>
      <x:c r="B439" s="34" t="n">
        <x:v>46210.5</x:v>
      </x:c>
      <x:c r="C439" s="19" t="str">
        <x:v>S04</x:v>
      </x:c>
      <x:c r="D439" s="19" t="str">
        <x:v>金街美地店</x:v>
      </x:c>
      <x:c r="E439" s="19" t="str">
        <x:v>D15</x:v>
      </x:c>
      <x:c r="F439" s="19" t="str">
        <x:v>湘西土匪猪肝</x:v>
      </x:c>
      <x:c r="G439" s="20" t="n">
        <x:f>SUMIFS('7日销售明细'!$K$5:$K$2244,'7日销售明细'!$B$5:$B$2244,B439,'7日销售明细'!$D$5:$D$2244,C439,'7日销售明细'!$H$5:$H$2244,E439)</x:f>
        <x:v>7</x:v>
      </x:c>
      <x:c r="H439" s="35" t="n">
        <x:f>SUMIFS('7日销售明细'!$L$5:$L$2244,'7日销售明细'!$B$5:$B$2244,B439,'7日销售明细'!$D$5:$D$2244,C439,'7日销售明细'!$H$5:$H$2244,E439)</x:f>
        <x:v>182</x:v>
      </x:c>
      <x:c r="I439" s="35" t="n">
        <x:f>G439*XLOOKUP(E439,'菜品主数据'!$A$5:$A$24,'菜品主数据'!$G$5:$G$24,0)</x:f>
        <x:v>44.632</x:v>
      </x:c>
    </x:row>
    <x:row r="440">
      <x:c r="A440" s="19" t="str">
        <x:v>2026-07-07|S04|D16</x:v>
      </x:c>
      <x:c r="B440" s="34" t="n">
        <x:v>46210.5</x:v>
      </x:c>
      <x:c r="C440" s="19" t="str">
        <x:v>S04</x:v>
      </x:c>
      <x:c r="D440" s="19" t="str">
        <x:v>金街美地店</x:v>
      </x:c>
      <x:c r="E440" s="19" t="str">
        <x:v>D16</x:v>
      </x:c>
      <x:c r="F440" s="19" t="str">
        <x:v>小豆角炒五花</x:v>
      </x:c>
      <x:c r="G440" s="20" t="n">
        <x:f>SUMIFS('7日销售明细'!$K$5:$K$2244,'7日销售明细'!$B$5:$B$2244,B440,'7日销售明细'!$D$5:$D$2244,C440,'7日销售明细'!$H$5:$H$2244,E440)</x:f>
        <x:v>7</x:v>
      </x:c>
      <x:c r="H440" s="35" t="n">
        <x:f>SUMIFS('7日销售明细'!$L$5:$L$2244,'7日销售明细'!$B$5:$B$2244,B440,'7日销售明细'!$D$5:$D$2244,C440,'7日销售明细'!$H$5:$H$2244,E440)</x:f>
        <x:v>175</x:v>
      </x:c>
      <x:c r="I440" s="35" t="n">
        <x:f>G440*XLOOKUP(E440,'菜品主数据'!$A$5:$A$24,'菜品主数据'!$G$5:$G$24,0)</x:f>
        <x:v>57.288</x:v>
      </x:c>
    </x:row>
    <x:row r="441">
      <x:c r="A441" s="19" t="str">
        <x:v>2026-07-07|S04|D17</x:v>
      </x:c>
      <x:c r="B441" s="34" t="n">
        <x:v>46210.5</x:v>
      </x:c>
      <x:c r="C441" s="19" t="str">
        <x:v>S04</x:v>
      </x:c>
      <x:c r="D441" s="19" t="str">
        <x:v>金街美地店</x:v>
      </x:c>
      <x:c r="E441" s="19" t="str">
        <x:v>D17</x:v>
      </x:c>
      <x:c r="F441" s="19" t="str">
        <x:v>蒜蓉粉丝虾</x:v>
      </x:c>
      <x:c r="G441" s="20" t="n">
        <x:f>SUMIFS('7日销售明细'!$K$5:$K$2244,'7日销售明细'!$B$5:$B$2244,B441,'7日销售明细'!$D$5:$D$2244,C441,'7日销售明细'!$H$5:$H$2244,E441)</x:f>
        <x:v>5</x:v>
      </x:c>
      <x:c r="H441" s="35" t="n">
        <x:f>SUMIFS('7日销售明细'!$L$5:$L$2244,'7日销售明细'!$B$5:$B$2244,B441,'7日销售明细'!$D$5:$D$2244,C441,'7日销售明细'!$H$5:$H$2244,E441)</x:f>
        <x:v>180</x:v>
      </x:c>
      <x:c r="I441" s="35" t="n">
        <x:f>G441*XLOOKUP(E441,'菜品主数据'!$A$5:$A$24,'菜品主数据'!$G$5:$G$24,0)</x:f>
        <x:v>67.97</x:v>
      </x:c>
    </x:row>
    <x:row r="442">
      <x:c r="A442" s="19" t="str">
        <x:v>2026-07-07|S04|D18</x:v>
      </x:c>
      <x:c r="B442" s="34" t="n">
        <x:v>46210.5</x:v>
      </x:c>
      <x:c r="C442" s="19" t="str">
        <x:v>S04</x:v>
      </x:c>
      <x:c r="D442" s="19" t="str">
        <x:v>金街美地店</x:v>
      </x:c>
      <x:c r="E442" s="19" t="str">
        <x:v>D18</x:v>
      </x:c>
      <x:c r="F442" s="19" t="str">
        <x:v>青椒炒油麦菜</x:v>
      </x:c>
      <x:c r="G442" s="20" t="n">
        <x:f>SUMIFS('7日销售明细'!$K$5:$K$2244,'7日销售明细'!$B$5:$B$2244,B442,'7日销售明细'!$D$5:$D$2244,C442,'7日销售明细'!$H$5:$H$2244,E442)</x:f>
        <x:v>9</x:v>
      </x:c>
      <x:c r="H442" s="35" t="n">
        <x:f>SUMIFS('7日销售明细'!$L$5:$L$2244,'7日销售明细'!$B$5:$B$2244,B442,'7日销售明细'!$D$5:$D$2244,C442,'7日销售明细'!$H$5:$H$2244,E442)</x:f>
        <x:v>162</x:v>
      </x:c>
      <x:c r="I442" s="35" t="n">
        <x:f>G442*XLOOKUP(E442,'菜品主数据'!$A$5:$A$24,'菜品主数据'!$G$5:$G$24,0)</x:f>
        <x:v>28.583999999999993</x:v>
      </x:c>
    </x:row>
    <x:row r="443">
      <x:c r="A443" s="19" t="str">
        <x:v>2026-07-07|S04|D19</x:v>
      </x:c>
      <x:c r="B443" s="34" t="n">
        <x:v>46210.5</x:v>
      </x:c>
      <x:c r="C443" s="19" t="str">
        <x:v>S04</x:v>
      </x:c>
      <x:c r="D443" s="19" t="str">
        <x:v>金街美地店</x:v>
      </x:c>
      <x:c r="E443" s="19" t="str">
        <x:v>D19</x:v>
      </x:c>
      <x:c r="F443" s="19" t="str">
        <x:v>酸萝卜炒鸡杂</x:v>
      </x:c>
      <x:c r="G443" s="20" t="n">
        <x:f>SUMIFS('7日销售明细'!$K$5:$K$2244,'7日销售明细'!$B$5:$B$2244,B443,'7日销售明细'!$D$5:$D$2244,C443,'7日销售明细'!$H$5:$H$2244,E443)</x:f>
        <x:v>6</x:v>
      </x:c>
      <x:c r="H443" s="35" t="n">
        <x:f>SUMIFS('7日销售明细'!$L$5:$L$2244,'7日销售明细'!$B$5:$B$2244,B443,'7日销售明细'!$D$5:$D$2244,C443,'7日销售明细'!$H$5:$H$2244,E443)</x:f>
        <x:v>150</x:v>
      </x:c>
      <x:c r="I443" s="35" t="n">
        <x:f>G443*XLOOKUP(E443,'菜品主数据'!$A$5:$A$24,'菜品主数据'!$G$5:$G$24,0)</x:f>
        <x:v>47.64</x:v>
      </x:c>
    </x:row>
    <x:row r="444">
      <x:c r="A444" s="19" t="str">
        <x:v>2026-07-07|S04|D20</x:v>
      </x:c>
      <x:c r="B444" s="34" t="n">
        <x:v>46210.5</x:v>
      </x:c>
      <x:c r="C444" s="19" t="str">
        <x:v>S04</x:v>
      </x:c>
      <x:c r="D444" s="19" t="str">
        <x:v>金街美地店</x:v>
      </x:c>
      <x:c r="E444" s="19" t="str">
        <x:v>D20</x:v>
      </x:c>
      <x:c r="F444" s="19" t="str">
        <x:v>雪菜肉末青豆</x:v>
      </x:c>
      <x:c r="G444" s="20" t="n">
        <x:f>SUMIFS('7日销售明细'!$K$5:$K$2244,'7日销售明细'!$B$5:$B$2244,B444,'7日销售明细'!$D$5:$D$2244,C444,'7日销售明细'!$H$5:$H$2244,E444)</x:f>
        <x:v>9</x:v>
      </x:c>
      <x:c r="H444" s="35" t="n">
        <x:f>SUMIFS('7日销售明细'!$L$5:$L$2244,'7日销售明细'!$B$5:$B$2244,B444,'7日销售明细'!$D$5:$D$2244,C444,'7日销售明细'!$H$5:$H$2244,E444)</x:f>
        <x:v>162</x:v>
      </x:c>
      <x:c r="I444" s="35" t="n">
        <x:f>G444*XLOOKUP(E444,'菜品主数据'!$A$5:$A$24,'菜品主数据'!$G$5:$G$24,0)</x:f>
        <x:v>65.73599999999999</x:v>
      </x:c>
    </x:row>
    <x:row r="445">
      <x:c r="A445" s="19" t="str">
        <x:v>2026-07-08|S04|D01</x:v>
      </x:c>
      <x:c r="B445" s="34" t="n">
        <x:v>46211.5</x:v>
      </x:c>
      <x:c r="C445" s="19" t="str">
        <x:v>S04</x:v>
      </x:c>
      <x:c r="D445" s="19" t="str">
        <x:v>金街美地店</x:v>
      </x:c>
      <x:c r="E445" s="19" t="str">
        <x:v>D01</x:v>
      </x:c>
      <x:c r="F445" s="19" t="str">
        <x:v>辣椒炒肉</x:v>
      </x:c>
      <x:c r="G445" s="20" t="n">
        <x:f>SUMIFS('7日销售明细'!$K$5:$K$2244,'7日销售明细'!$B$5:$B$2244,B445,'7日销售明细'!$D$5:$D$2244,C445,'7日销售明细'!$H$5:$H$2244,E445)</x:f>
        <x:v>47</x:v>
      </x:c>
      <x:c r="H445" s="35" t="n">
        <x:f>SUMIFS('7日销售明细'!$L$5:$L$2244,'7日销售明细'!$B$5:$B$2244,B445,'7日销售明细'!$D$5:$D$2244,C445,'7日销售明细'!$H$5:$H$2244,E445)</x:f>
        <x:v>1363</x:v>
      </x:c>
      <x:c r="I445" s="35" t="n">
        <x:f>G445*XLOOKUP(E445,'菜品主数据'!$A$5:$A$24,'菜品主数据'!$G$5:$G$24,0)</x:f>
        <x:v>405.81680000000006</x:v>
      </x:c>
    </x:row>
    <x:row r="446">
      <x:c r="A446" s="19" t="str">
        <x:v>2026-07-08|S04|D02</x:v>
      </x:c>
      <x:c r="B446" s="34" t="n">
        <x:v>46211.5</x:v>
      </x:c>
      <x:c r="C446" s="19" t="str">
        <x:v>S04</x:v>
      </x:c>
      <x:c r="D446" s="19" t="str">
        <x:v>金街美地店</x:v>
      </x:c>
      <x:c r="E446" s="19" t="str">
        <x:v>D02</x:v>
      </x:c>
      <x:c r="F446" s="19" t="str">
        <x:v>小炒黄牛肉</x:v>
      </x:c>
      <x:c r="G446" s="20" t="n">
        <x:f>SUMIFS('7日销售明细'!$K$5:$K$2244,'7日销售明细'!$B$5:$B$2244,B446,'7日销售明细'!$D$5:$D$2244,C446,'7日销售明细'!$H$5:$H$2244,E446)</x:f>
        <x:v>35</x:v>
      </x:c>
      <x:c r="H446" s="35" t="n">
        <x:f>SUMIFS('7日销售明细'!$L$5:$L$2244,'7日销售明细'!$B$5:$B$2244,B446,'7日销售明细'!$D$5:$D$2244,C446,'7日销售明细'!$H$5:$H$2244,E446)</x:f>
        <x:v>1715</x:v>
      </x:c>
      <x:c r="I446" s="35" t="n">
        <x:f>G446*XLOOKUP(E446,'菜品主数据'!$A$5:$A$24,'菜品主数据'!$G$5:$G$24,0)</x:f>
        <x:v>615.195</x:v>
      </x:c>
    </x:row>
    <x:row r="447">
      <x:c r="A447" s="19" t="str">
        <x:v>2026-07-08|S04|D03</x:v>
      </x:c>
      <x:c r="B447" s="34" t="n">
        <x:v>46211.5</x:v>
      </x:c>
      <x:c r="C447" s="19" t="str">
        <x:v>S04</x:v>
      </x:c>
      <x:c r="D447" s="19" t="str">
        <x:v>金街美地店</x:v>
      </x:c>
      <x:c r="E447" s="19" t="str">
        <x:v>D03</x:v>
      </x:c>
      <x:c r="F447" s="19" t="str">
        <x:v>香醋炒蛋</x:v>
      </x:c>
      <x:c r="G447" s="20" t="n">
        <x:f>SUMIFS('7日销售明细'!$K$5:$K$2244,'7日销售明细'!$B$5:$B$2244,B447,'7日销售明细'!$D$5:$D$2244,C447,'7日销售明细'!$H$5:$H$2244,E447)</x:f>
        <x:v>42</x:v>
      </x:c>
      <x:c r="H447" s="35" t="n">
        <x:f>SUMIFS('7日销售明细'!$L$5:$L$2244,'7日销售明细'!$B$5:$B$2244,B447,'7日销售明细'!$D$5:$D$2244,C447,'7日销售明细'!$H$5:$H$2244,E447)</x:f>
        <x:v>625.8000000000001</x:v>
      </x:c>
      <x:c r="I447" s="35" t="n">
        <x:f>G447*XLOOKUP(E447,'菜品主数据'!$A$5:$A$24,'菜品主数据'!$G$5:$G$24,0)</x:f>
        <x:v>157.332</x:v>
      </x:c>
    </x:row>
    <x:row r="448">
      <x:c r="A448" s="19" t="str">
        <x:v>2026-07-08|S04|D04</x:v>
      </x:c>
      <x:c r="B448" s="34" t="n">
        <x:v>46211.5</x:v>
      </x:c>
      <x:c r="C448" s="19" t="str">
        <x:v>S04</x:v>
      </x:c>
      <x:c r="D448" s="19" t="str">
        <x:v>金街美地店</x:v>
      </x:c>
      <x:c r="E448" s="19" t="str">
        <x:v>D04</x:v>
      </x:c>
      <x:c r="F448" s="19" t="str">
        <x:v>酸包菜炒粉皮</x:v>
      </x:c>
      <x:c r="G448" s="20" t="n">
        <x:f>SUMIFS('7日销售明细'!$K$5:$K$2244,'7日销售明细'!$B$5:$B$2244,B448,'7日销售明细'!$D$5:$D$2244,C448,'7日销售明细'!$H$5:$H$2244,E448)</x:f>
        <x:v>39</x:v>
      </x:c>
      <x:c r="H448" s="35" t="n">
        <x:f>SUMIFS('7日销售明细'!$L$5:$L$2244,'7日销售明细'!$B$5:$B$2244,B448,'7日销售明细'!$D$5:$D$2244,C448,'7日销售明细'!$H$5:$H$2244,E448)</x:f>
        <x:v>624</x:v>
      </x:c>
      <x:c r="I448" s="35" t="n">
        <x:f>G448*XLOOKUP(E448,'菜品主数据'!$A$5:$A$24,'菜品主数据'!$G$5:$G$24,0)</x:f>
        <x:v>155.142</x:v>
      </x:c>
    </x:row>
    <x:row r="449">
      <x:c r="A449" s="19" t="str">
        <x:v>2026-07-08|S04|D05</x:v>
      </x:c>
      <x:c r="B449" s="34" t="n">
        <x:v>46211.5</x:v>
      </x:c>
      <x:c r="C449" s="19" t="str">
        <x:v>S04</x:v>
      </x:c>
      <x:c r="D449" s="19" t="str">
        <x:v>金街美地店</x:v>
      </x:c>
      <x:c r="E449" s="19" t="str">
        <x:v>D05</x:v>
      </x:c>
      <x:c r="F449" s="19" t="str">
        <x:v>麻婆豆腐</x:v>
      </x:c>
      <x:c r="G449" s="20" t="n">
        <x:f>SUMIFS('7日销售明细'!$K$5:$K$2244,'7日销售明细'!$B$5:$B$2244,B449,'7日销售明细'!$D$5:$D$2244,C449,'7日销售明细'!$H$5:$H$2244,E449)</x:f>
        <x:v>48</x:v>
      </x:c>
      <x:c r="H449" s="35" t="n">
        <x:f>SUMIFS('7日销售明细'!$L$5:$L$2244,'7日销售明细'!$B$5:$B$2244,B449,'7日销售明细'!$D$5:$D$2244,C449,'7日销售明细'!$H$5:$H$2244,E449)</x:f>
        <x:v>475.20000000000005</x:v>
      </x:c>
      <x:c r="I449" s="35" t="n">
        <x:f>G449*XLOOKUP(E449,'菜品主数据'!$A$5:$A$24,'菜品主数据'!$G$5:$G$24,0)</x:f>
        <x:v>257.61600000000004</x:v>
      </x:c>
    </x:row>
    <x:row r="450">
      <x:c r="A450" s="19" t="str">
        <x:v>2026-07-08|S04|D06</x:v>
      </x:c>
      <x:c r="B450" s="34" t="n">
        <x:v>46211.5</x:v>
      </x:c>
      <x:c r="C450" s="19" t="str">
        <x:v>S04</x:v>
      </x:c>
      <x:c r="D450" s="19" t="str">
        <x:v>金街美地店</x:v>
      </x:c>
      <x:c r="E450" s="19" t="str">
        <x:v>D06</x:v>
      </x:c>
      <x:c r="F450" s="19" t="str">
        <x:v>剁椒鱼头</x:v>
      </x:c>
      <x:c r="G450" s="20" t="n">
        <x:f>SUMIFS('7日销售明细'!$K$5:$K$2244,'7日销售明细'!$B$5:$B$2244,B450,'7日销售明细'!$D$5:$D$2244,C450,'7日销售明细'!$H$5:$H$2244,E450)</x:f>
        <x:v>13</x:v>
      </x:c>
      <x:c r="H450" s="35" t="n">
        <x:f>SUMIFS('7日销售明细'!$L$5:$L$2244,'7日销售明细'!$B$5:$B$2244,B450,'7日销售明细'!$D$5:$D$2244,C450,'7日销售明细'!$H$5:$H$2244,E450)</x:f>
        <x:v>507</x:v>
      </x:c>
      <x:c r="I450" s="35" t="n">
        <x:f>G450*XLOOKUP(E450,'菜品主数据'!$A$5:$A$24,'菜品主数据'!$G$5:$G$24,0)</x:f>
        <x:v>226.79800000000003</x:v>
      </x:c>
    </x:row>
    <x:row r="451">
      <x:c r="A451" s="19" t="str">
        <x:v>2026-07-08|S04|D07</x:v>
      </x:c>
      <x:c r="B451" s="34" t="n">
        <x:v>46211.5</x:v>
      </x:c>
      <x:c r="C451" s="19" t="str">
        <x:v>S04</x:v>
      </x:c>
      <x:c r="D451" s="19" t="str">
        <x:v>金街美地店</x:v>
      </x:c>
      <x:c r="E451" s="19" t="str">
        <x:v>D07</x:v>
      </x:c>
      <x:c r="F451" s="19" t="str">
        <x:v>川味回锅肉</x:v>
      </x:c>
      <x:c r="G451" s="20" t="n">
        <x:f>SUMIFS('7日销售明细'!$K$5:$K$2244,'7日销售明细'!$B$5:$B$2244,B451,'7日销售明细'!$D$5:$D$2244,C451,'7日销售明细'!$H$5:$H$2244,E451)</x:f>
        <x:v>15</x:v>
      </x:c>
      <x:c r="H451" s="35" t="n">
        <x:f>SUMIFS('7日销售明细'!$L$5:$L$2244,'7日销售明细'!$B$5:$B$2244,B451,'7日销售明细'!$D$5:$D$2244,C451,'7日销售明细'!$H$5:$H$2244,E451)</x:f>
        <x:v>435</x:v>
      </x:c>
      <x:c r="I451" s="35" t="n">
        <x:f>G451*XLOOKUP(E451,'菜品主数据'!$A$5:$A$24,'菜品主数据'!$G$5:$G$24,0)</x:f>
        <x:v>153.46500000000003</x:v>
      </x:c>
    </x:row>
    <x:row r="452">
      <x:c r="A452" s="19" t="str">
        <x:v>2026-07-08|S04|D08</x:v>
      </x:c>
      <x:c r="B452" s="34" t="n">
        <x:v>46211.5</x:v>
      </x:c>
      <x:c r="C452" s="19" t="str">
        <x:v>S04</x:v>
      </x:c>
      <x:c r="D452" s="19" t="str">
        <x:v>金街美地店</x:v>
      </x:c>
      <x:c r="E452" s="19" t="str">
        <x:v>D08</x:v>
      </x:c>
      <x:c r="F452" s="19" t="str">
        <x:v>生炒清远鸡</x:v>
      </x:c>
      <x:c r="G452" s="20" t="n">
        <x:f>SUMIFS('7日销售明细'!$K$5:$K$2244,'7日销售明细'!$B$5:$B$2244,B452,'7日销售明细'!$D$5:$D$2244,C452,'7日销售明细'!$H$5:$H$2244,E452)</x:f>
        <x:v>12</x:v>
      </x:c>
      <x:c r="H452" s="35" t="n">
        <x:f>SUMIFS('7日销售明细'!$L$5:$L$2244,'7日销售明细'!$B$5:$B$2244,B452,'7日销售明细'!$D$5:$D$2244,C452,'7日销售明细'!$H$5:$H$2244,E452)</x:f>
        <x:v>432</x:v>
      </x:c>
      <x:c r="I452" s="35" t="n">
        <x:f>G452*XLOOKUP(E452,'菜品主数据'!$A$5:$A$24,'菜品主数据'!$G$5:$G$24,0)</x:f>
        <x:v>161.76</x:v>
      </x:c>
    </x:row>
    <x:row r="453">
      <x:c r="A453" s="19" t="str">
        <x:v>2026-07-08|S04|D09</x:v>
      </x:c>
      <x:c r="B453" s="34" t="n">
        <x:v>46211.5</x:v>
      </x:c>
      <x:c r="C453" s="19" t="str">
        <x:v>S04</x:v>
      </x:c>
      <x:c r="D453" s="19" t="str">
        <x:v>金街美地店</x:v>
      </x:c>
      <x:c r="E453" s="19" t="str">
        <x:v>D09</x:v>
      </x:c>
      <x:c r="F453" s="19" t="str">
        <x:v>炒豆干</x:v>
      </x:c>
      <x:c r="G453" s="20" t="n">
        <x:f>SUMIFS('7日销售明细'!$K$5:$K$2244,'7日销售明细'!$B$5:$B$2244,B453,'7日销售明细'!$D$5:$D$2244,C453,'7日销售明细'!$H$5:$H$2244,E453)</x:f>
        <x:v>17</x:v>
      </x:c>
      <x:c r="H453" s="35" t="n">
        <x:f>SUMIFS('7日销售明细'!$L$5:$L$2244,'7日销售明细'!$B$5:$B$2244,B453,'7日销售明细'!$D$5:$D$2244,C453,'7日销售明细'!$H$5:$H$2244,E453)</x:f>
        <x:v>306</x:v>
      </x:c>
      <x:c r="I453" s="35" t="n">
        <x:f>G453*XLOOKUP(E453,'菜品主数据'!$A$5:$A$24,'菜品主数据'!$G$5:$G$24,0)</x:f>
        <x:v>112.43799999999999</x:v>
      </x:c>
    </x:row>
    <x:row r="454">
      <x:c r="A454" s="19" t="str">
        <x:v>2026-07-08|S04|D10</x:v>
      </x:c>
      <x:c r="B454" s="34" t="n">
        <x:v>46211.5</x:v>
      </x:c>
      <x:c r="C454" s="19" t="str">
        <x:v>S04</x:v>
      </x:c>
      <x:c r="D454" s="19" t="str">
        <x:v>金街美地店</x:v>
      </x:c>
      <x:c r="E454" s="19" t="str">
        <x:v>D10</x:v>
      </x:c>
      <x:c r="F454" s="19" t="str">
        <x:v>农家一碗香</x:v>
      </x:c>
      <x:c r="G454" s="20" t="n">
        <x:f>SUMIFS('7日销售明细'!$K$5:$K$2244,'7日销售明细'!$B$5:$B$2244,B454,'7日销售明细'!$D$5:$D$2244,C454,'7日销售明细'!$H$5:$H$2244,E454)</x:f>
        <x:v>17</x:v>
      </x:c>
      <x:c r="H454" s="35" t="n">
        <x:f>SUMIFS('7日销售明细'!$L$5:$L$2244,'7日销售明细'!$B$5:$B$2244,B454,'7日销售明细'!$D$5:$D$2244,C454,'7日销售明细'!$H$5:$H$2244,E454)</x:f>
        <x:v>389.29999999999995</x:v>
      </x:c>
      <x:c r="I454" s="35" t="n">
        <x:f>G454*XLOOKUP(E454,'菜品主数据'!$A$5:$A$24,'菜品主数据'!$G$5:$G$24,0)</x:f>
        <x:v>166.09340000000003</x:v>
      </x:c>
    </x:row>
    <x:row r="455">
      <x:c r="A455" s="19" t="str">
        <x:v>2026-07-08|S04|D11</x:v>
      </x:c>
      <x:c r="B455" s="34" t="n">
        <x:v>46211.5</x:v>
      </x:c>
      <x:c r="C455" s="19" t="str">
        <x:v>S04</x:v>
      </x:c>
      <x:c r="D455" s="19" t="str">
        <x:v>金街美地店</x:v>
      </x:c>
      <x:c r="E455" s="19" t="str">
        <x:v>D11</x:v>
      </x:c>
      <x:c r="F455" s="19" t="str">
        <x:v>香辣爆肥肠</x:v>
      </x:c>
      <x:c r="G455" s="20" t="n">
        <x:f>SUMIFS('7日销售明细'!$K$5:$K$2244,'7日销售明细'!$B$5:$B$2244,B455,'7日销售明细'!$D$5:$D$2244,C455,'7日销售明细'!$H$5:$H$2244,E455)</x:f>
        <x:v>7</x:v>
      </x:c>
      <x:c r="H455" s="35" t="n">
        <x:f>SUMIFS('7日销售明细'!$L$5:$L$2244,'7日销售明细'!$B$5:$B$2244,B455,'7日销售明细'!$D$5:$D$2244,C455,'7日销售明细'!$H$5:$H$2244,E455)</x:f>
        <x:v>273</x:v>
      </x:c>
      <x:c r="I455" s="35" t="n">
        <x:f>G455*XLOOKUP(E455,'菜品主数据'!$A$5:$A$24,'菜品主数据'!$G$5:$G$24,0)</x:f>
        <x:v>72.779</x:v>
      </x:c>
    </x:row>
    <x:row r="456">
      <x:c r="A456" s="19" t="str">
        <x:v>2026-07-08|S04|D12</x:v>
      </x:c>
      <x:c r="B456" s="34" t="n">
        <x:v>46211.5</x:v>
      </x:c>
      <x:c r="C456" s="19" t="str">
        <x:v>S04</x:v>
      </x:c>
      <x:c r="D456" s="19" t="str">
        <x:v>金街美地店</x:v>
      </x:c>
      <x:c r="E456" s="19" t="str">
        <x:v>D12</x:v>
      </x:c>
      <x:c r="F456" s="19" t="str">
        <x:v>清蒸鲈鱼</x:v>
      </x:c>
      <x:c r="G456" s="20" t="n">
        <x:f>SUMIFS('7日销售明细'!$K$5:$K$2244,'7日销售明细'!$B$5:$B$2244,B456,'7日销售明细'!$D$5:$D$2244,C456,'7日销售明细'!$H$5:$H$2244,E456)</x:f>
        <x:v>7</x:v>
      </x:c>
      <x:c r="H456" s="35" t="n">
        <x:f>SUMIFS('7日销售明细'!$L$5:$L$2244,'7日销售明细'!$B$5:$B$2244,B456,'7日销售明细'!$D$5:$D$2244,C456,'7日销售明细'!$H$5:$H$2244,E456)</x:f>
        <x:v>273</x:v>
      </x:c>
      <x:c r="I456" s="35" t="n">
        <x:f>G456*XLOOKUP(E456,'菜品主数据'!$A$5:$A$24,'菜品主数据'!$G$5:$G$24,0)</x:f>
        <x:v>132.118</x:v>
      </x:c>
    </x:row>
    <x:row r="457">
      <x:c r="A457" s="19" t="str">
        <x:v>2026-07-08|S04|D13</x:v>
      </x:c>
      <x:c r="B457" s="34" t="n">
        <x:v>46211.5</x:v>
      </x:c>
      <x:c r="C457" s="19" t="str">
        <x:v>S04</x:v>
      </x:c>
      <x:c r="D457" s="19" t="str">
        <x:v>金街美地店</x:v>
      </x:c>
      <x:c r="E457" s="19" t="str">
        <x:v>D13</x:v>
      </x:c>
      <x:c r="F457" s="19" t="str">
        <x:v>外婆菜炒蛋</x:v>
      </x:c>
      <x:c r="G457" s="20" t="n">
        <x:f>SUMIFS('7日销售明细'!$K$5:$K$2244,'7日销售明细'!$B$5:$B$2244,B457,'7日销售明细'!$D$5:$D$2244,C457,'7日销售明细'!$H$5:$H$2244,E457)</x:f>
        <x:v>17</x:v>
      </x:c>
      <x:c r="H457" s="35" t="n">
        <x:f>SUMIFS('7日销售明细'!$L$5:$L$2244,'7日销售明细'!$B$5:$B$2244,B457,'7日销售明细'!$D$5:$D$2244,C457,'7日销售明细'!$H$5:$H$2244,E457)</x:f>
        <x:v>306</x:v>
      </x:c>
      <x:c r="I457" s="35" t="n">
        <x:f>G457*XLOOKUP(E457,'菜品主数据'!$A$5:$A$24,'菜品主数据'!$G$5:$G$24,0)</x:f>
        <x:v>91.86799999999998</x:v>
      </x:c>
    </x:row>
    <x:row r="458">
      <x:c r="A458" s="19" t="str">
        <x:v>2026-07-08|S04|D14</x:v>
      </x:c>
      <x:c r="B458" s="34" t="n">
        <x:v>46211.5</x:v>
      </x:c>
      <x:c r="C458" s="19" t="str">
        <x:v>S04</x:v>
      </x:c>
      <x:c r="D458" s="19" t="str">
        <x:v>金街美地店</x:v>
      </x:c>
      <x:c r="E458" s="19" t="str">
        <x:v>D14</x:v>
      </x:c>
      <x:c r="F458" s="19" t="str">
        <x:v>酸辣鸡杂</x:v>
      </x:c>
      <x:c r="G458" s="20" t="n">
        <x:f>SUMIFS('7日销售明细'!$K$5:$K$2244,'7日销售明细'!$B$5:$B$2244,B458,'7日销售明细'!$D$5:$D$2244,C458,'7日销售明细'!$H$5:$H$2244,E458)</x:f>
        <x:v>7</x:v>
      </x:c>
      <x:c r="H458" s="35" t="n">
        <x:f>SUMIFS('7日销售明细'!$L$5:$L$2244,'7日销售明细'!$B$5:$B$2244,B458,'7日销售明细'!$D$5:$D$2244,C458,'7日销售明细'!$H$5:$H$2244,E458)</x:f>
        <x:v>196</x:v>
      </x:c>
      <x:c r="I458" s="35" t="n">
        <x:f>G458*XLOOKUP(E458,'菜品主数据'!$A$5:$A$24,'菜品主数据'!$G$5:$G$24,0)</x:f>
        <x:v>58.20500000000001</x:v>
      </x:c>
    </x:row>
    <x:row r="459">
      <x:c r="A459" s="19" t="str">
        <x:v>2026-07-08|S04|D15</x:v>
      </x:c>
      <x:c r="B459" s="34" t="n">
        <x:v>46211.5</x:v>
      </x:c>
      <x:c r="C459" s="19" t="str">
        <x:v>S04</x:v>
      </x:c>
      <x:c r="D459" s="19" t="str">
        <x:v>金街美地店</x:v>
      </x:c>
      <x:c r="E459" s="19" t="str">
        <x:v>D15</x:v>
      </x:c>
      <x:c r="F459" s="19" t="str">
        <x:v>湘西土匪猪肝</x:v>
      </x:c>
      <x:c r="G459" s="20" t="n">
        <x:f>SUMIFS('7日销售明细'!$K$5:$K$2244,'7日销售明细'!$B$5:$B$2244,B459,'7日销售明细'!$D$5:$D$2244,C459,'7日销售明细'!$H$5:$H$2244,E459)</x:f>
        <x:v>7</x:v>
      </x:c>
      <x:c r="H459" s="35" t="n">
        <x:f>SUMIFS('7日销售明细'!$L$5:$L$2244,'7日销售明细'!$B$5:$B$2244,B459,'7日销售明细'!$D$5:$D$2244,C459,'7日销售明细'!$H$5:$H$2244,E459)</x:f>
        <x:v>182</x:v>
      </x:c>
      <x:c r="I459" s="35" t="n">
        <x:f>G459*XLOOKUP(E459,'菜品主数据'!$A$5:$A$24,'菜品主数据'!$G$5:$G$24,0)</x:f>
        <x:v>44.632</x:v>
      </x:c>
    </x:row>
    <x:row r="460">
      <x:c r="A460" s="19" t="str">
        <x:v>2026-07-08|S04|D16</x:v>
      </x:c>
      <x:c r="B460" s="34" t="n">
        <x:v>46211.5</x:v>
      </x:c>
      <x:c r="C460" s="19" t="str">
        <x:v>S04</x:v>
      </x:c>
      <x:c r="D460" s="19" t="str">
        <x:v>金街美地店</x:v>
      </x:c>
      <x:c r="E460" s="19" t="str">
        <x:v>D16</x:v>
      </x:c>
      <x:c r="F460" s="19" t="str">
        <x:v>小豆角炒五花</x:v>
      </x:c>
      <x:c r="G460" s="20" t="n">
        <x:f>SUMIFS('7日销售明细'!$K$5:$K$2244,'7日销售明细'!$B$5:$B$2244,B460,'7日销售明细'!$D$5:$D$2244,C460,'7日销售明细'!$H$5:$H$2244,E460)</x:f>
        <x:v>7</x:v>
      </x:c>
      <x:c r="H460" s="35" t="n">
        <x:f>SUMIFS('7日销售明细'!$L$5:$L$2244,'7日销售明细'!$B$5:$B$2244,B460,'7日销售明细'!$D$5:$D$2244,C460,'7日销售明细'!$H$5:$H$2244,E460)</x:f>
        <x:v>175</x:v>
      </x:c>
      <x:c r="I460" s="35" t="n">
        <x:f>G460*XLOOKUP(E460,'菜品主数据'!$A$5:$A$24,'菜品主数据'!$G$5:$G$24,0)</x:f>
        <x:v>57.288</x:v>
      </x:c>
    </x:row>
    <x:row r="461">
      <x:c r="A461" s="19" t="str">
        <x:v>2026-07-08|S04|D17</x:v>
      </x:c>
      <x:c r="B461" s="34" t="n">
        <x:v>46211.5</x:v>
      </x:c>
      <x:c r="C461" s="19" t="str">
        <x:v>S04</x:v>
      </x:c>
      <x:c r="D461" s="19" t="str">
        <x:v>金街美地店</x:v>
      </x:c>
      <x:c r="E461" s="19" t="str">
        <x:v>D17</x:v>
      </x:c>
      <x:c r="F461" s="19" t="str">
        <x:v>蒜蓉粉丝虾</x:v>
      </x:c>
      <x:c r="G461" s="20" t="n">
        <x:f>SUMIFS('7日销售明细'!$K$5:$K$2244,'7日销售明细'!$B$5:$B$2244,B461,'7日销售明细'!$D$5:$D$2244,C461,'7日销售明细'!$H$5:$H$2244,E461)</x:f>
        <x:v>5</x:v>
      </x:c>
      <x:c r="H461" s="35" t="n">
        <x:f>SUMIFS('7日销售明细'!$L$5:$L$2244,'7日销售明细'!$B$5:$B$2244,B461,'7日销售明细'!$D$5:$D$2244,C461,'7日销售明细'!$H$5:$H$2244,E461)</x:f>
        <x:v>180</x:v>
      </x:c>
      <x:c r="I461" s="35" t="n">
        <x:f>G461*XLOOKUP(E461,'菜品主数据'!$A$5:$A$24,'菜品主数据'!$G$5:$G$24,0)</x:f>
        <x:v>67.97</x:v>
      </x:c>
    </x:row>
    <x:row r="462">
      <x:c r="A462" s="19" t="str">
        <x:v>2026-07-08|S04|D18</x:v>
      </x:c>
      <x:c r="B462" s="34" t="n">
        <x:v>46211.5</x:v>
      </x:c>
      <x:c r="C462" s="19" t="str">
        <x:v>S04</x:v>
      </x:c>
      <x:c r="D462" s="19" t="str">
        <x:v>金街美地店</x:v>
      </x:c>
      <x:c r="E462" s="19" t="str">
        <x:v>D18</x:v>
      </x:c>
      <x:c r="F462" s="19" t="str">
        <x:v>青椒炒油麦菜</x:v>
      </x:c>
      <x:c r="G462" s="20" t="n">
        <x:f>SUMIFS('7日销售明细'!$K$5:$K$2244,'7日销售明细'!$B$5:$B$2244,B462,'7日销售明细'!$D$5:$D$2244,C462,'7日销售明细'!$H$5:$H$2244,E462)</x:f>
        <x:v>9</x:v>
      </x:c>
      <x:c r="H462" s="35" t="n">
        <x:f>SUMIFS('7日销售明细'!$L$5:$L$2244,'7日销售明细'!$B$5:$B$2244,B462,'7日销售明细'!$D$5:$D$2244,C462,'7日销售明细'!$H$5:$H$2244,E462)</x:f>
        <x:v>162</x:v>
      </x:c>
      <x:c r="I462" s="35" t="n">
        <x:f>G462*XLOOKUP(E462,'菜品主数据'!$A$5:$A$24,'菜品主数据'!$G$5:$G$24,0)</x:f>
        <x:v>28.583999999999993</x:v>
      </x:c>
    </x:row>
    <x:row r="463">
      <x:c r="A463" s="19" t="str">
        <x:v>2026-07-08|S04|D19</x:v>
      </x:c>
      <x:c r="B463" s="34" t="n">
        <x:v>46211.5</x:v>
      </x:c>
      <x:c r="C463" s="19" t="str">
        <x:v>S04</x:v>
      </x:c>
      <x:c r="D463" s="19" t="str">
        <x:v>金街美地店</x:v>
      </x:c>
      <x:c r="E463" s="19" t="str">
        <x:v>D19</x:v>
      </x:c>
      <x:c r="F463" s="19" t="str">
        <x:v>酸萝卜炒鸡杂</x:v>
      </x:c>
      <x:c r="G463" s="20" t="n">
        <x:f>SUMIFS('7日销售明细'!$K$5:$K$2244,'7日销售明细'!$B$5:$B$2244,B463,'7日销售明细'!$D$5:$D$2244,C463,'7日销售明细'!$H$5:$H$2244,E463)</x:f>
        <x:v>6</x:v>
      </x:c>
      <x:c r="H463" s="35" t="n">
        <x:f>SUMIFS('7日销售明细'!$L$5:$L$2244,'7日销售明细'!$B$5:$B$2244,B463,'7日销售明细'!$D$5:$D$2244,C463,'7日销售明细'!$H$5:$H$2244,E463)</x:f>
        <x:v>150</x:v>
      </x:c>
      <x:c r="I463" s="35" t="n">
        <x:f>G463*XLOOKUP(E463,'菜品主数据'!$A$5:$A$24,'菜品主数据'!$G$5:$G$24,0)</x:f>
        <x:v>47.64</x:v>
      </x:c>
    </x:row>
    <x:row r="464">
      <x:c r="A464" s="19" t="str">
        <x:v>2026-07-08|S04|D20</x:v>
      </x:c>
      <x:c r="B464" s="34" t="n">
        <x:v>46211.5</x:v>
      </x:c>
      <x:c r="C464" s="19" t="str">
        <x:v>S04</x:v>
      </x:c>
      <x:c r="D464" s="19" t="str">
        <x:v>金街美地店</x:v>
      </x:c>
      <x:c r="E464" s="19" t="str">
        <x:v>D20</x:v>
      </x:c>
      <x:c r="F464" s="19" t="str">
        <x:v>雪菜肉末青豆</x:v>
      </x:c>
      <x:c r="G464" s="20" t="n">
        <x:f>SUMIFS('7日销售明细'!$K$5:$K$2244,'7日销售明细'!$B$5:$B$2244,B464,'7日销售明细'!$D$5:$D$2244,C464,'7日销售明细'!$H$5:$H$2244,E464)</x:f>
        <x:v>8</x:v>
      </x:c>
      <x:c r="H464" s="35" t="n">
        <x:f>SUMIFS('7日销售明细'!$L$5:$L$2244,'7日销售明细'!$B$5:$B$2244,B464,'7日销售明细'!$D$5:$D$2244,C464,'7日销售明细'!$H$5:$H$2244,E464)</x:f>
        <x:v>144</x:v>
      </x:c>
      <x:c r="I464" s="35" t="n">
        <x:f>G464*XLOOKUP(E464,'菜品主数据'!$A$5:$A$24,'菜品主数据'!$G$5:$G$24,0)</x:f>
        <x:v>58.431999999999995</x:v>
      </x:c>
    </x:row>
    <x:row r="465">
      <x:c r="A465" s="19" t="str">
        <x:v>2026-07-09|S04|D01</x:v>
      </x:c>
      <x:c r="B465" s="34" t="n">
        <x:v>46212.5</x:v>
      </x:c>
      <x:c r="C465" s="19" t="str">
        <x:v>S04</x:v>
      </x:c>
      <x:c r="D465" s="19" t="str">
        <x:v>金街美地店</x:v>
      </x:c>
      <x:c r="E465" s="19" t="str">
        <x:v>D01</x:v>
      </x:c>
      <x:c r="F465" s="19" t="str">
        <x:v>辣椒炒肉</x:v>
      </x:c>
      <x:c r="G465" s="20" t="n">
        <x:f>SUMIFS('7日销售明细'!$K$5:$K$2244,'7日销售明细'!$B$5:$B$2244,B465,'7日销售明细'!$D$5:$D$2244,C465,'7日销售明细'!$H$5:$H$2244,E465)</x:f>
        <x:v>48</x:v>
      </x:c>
      <x:c r="H465" s="35" t="n">
        <x:f>SUMIFS('7日销售明细'!$L$5:$L$2244,'7日销售明细'!$B$5:$B$2244,B465,'7日销售明细'!$D$5:$D$2244,C465,'7日销售明细'!$H$5:$H$2244,E465)</x:f>
        <x:v>1392</x:v>
      </x:c>
      <x:c r="I465" s="35" t="n">
        <x:f>G465*XLOOKUP(E465,'菜品主数据'!$A$5:$A$24,'菜品主数据'!$G$5:$G$24,0)</x:f>
        <x:v>414.4512000000001</x:v>
      </x:c>
    </x:row>
    <x:row r="466">
      <x:c r="A466" s="19" t="str">
        <x:v>2026-07-09|S04|D02</x:v>
      </x:c>
      <x:c r="B466" s="34" t="n">
        <x:v>46212.5</x:v>
      </x:c>
      <x:c r="C466" s="19" t="str">
        <x:v>S04</x:v>
      </x:c>
      <x:c r="D466" s="19" t="str">
        <x:v>金街美地店</x:v>
      </x:c>
      <x:c r="E466" s="19" t="str">
        <x:v>D02</x:v>
      </x:c>
      <x:c r="F466" s="19" t="str">
        <x:v>小炒黄牛肉</x:v>
      </x:c>
      <x:c r="G466" s="20" t="n">
        <x:f>SUMIFS('7日销售明细'!$K$5:$K$2244,'7日销售明细'!$B$5:$B$2244,B466,'7日销售明细'!$D$5:$D$2244,C466,'7日销售明细'!$H$5:$H$2244,E466)</x:f>
        <x:v>33</x:v>
      </x:c>
      <x:c r="H466" s="35" t="n">
        <x:f>SUMIFS('7日销售明细'!$L$5:$L$2244,'7日销售明细'!$B$5:$B$2244,B466,'7日销售明细'!$D$5:$D$2244,C466,'7日销售明细'!$H$5:$H$2244,E466)</x:f>
        <x:v>1617</x:v>
      </x:c>
      <x:c r="I466" s="35" t="n">
        <x:f>G466*XLOOKUP(E466,'菜品主数据'!$A$5:$A$24,'菜品主数据'!$G$5:$G$24,0)</x:f>
        <x:v>580.041</x:v>
      </x:c>
    </x:row>
    <x:row r="467">
      <x:c r="A467" s="19" t="str">
        <x:v>2026-07-09|S04|D03</x:v>
      </x:c>
      <x:c r="B467" s="34" t="n">
        <x:v>46212.5</x:v>
      </x:c>
      <x:c r="C467" s="19" t="str">
        <x:v>S04</x:v>
      </x:c>
      <x:c r="D467" s="19" t="str">
        <x:v>金街美地店</x:v>
      </x:c>
      <x:c r="E467" s="19" t="str">
        <x:v>D03</x:v>
      </x:c>
      <x:c r="F467" s="19" t="str">
        <x:v>香醋炒蛋</x:v>
      </x:c>
      <x:c r="G467" s="20" t="n">
        <x:f>SUMIFS('7日销售明细'!$K$5:$K$2244,'7日销售明细'!$B$5:$B$2244,B467,'7日销售明细'!$D$5:$D$2244,C467,'7日销售明细'!$H$5:$H$2244,E467)</x:f>
        <x:v>42</x:v>
      </x:c>
      <x:c r="H467" s="35" t="n">
        <x:f>SUMIFS('7日销售明细'!$L$5:$L$2244,'7日销售明细'!$B$5:$B$2244,B467,'7日销售明细'!$D$5:$D$2244,C467,'7日销售明细'!$H$5:$H$2244,E467)</x:f>
        <x:v>625.8000000000001</x:v>
      </x:c>
      <x:c r="I467" s="35" t="n">
        <x:f>G467*XLOOKUP(E467,'菜品主数据'!$A$5:$A$24,'菜品主数据'!$G$5:$G$24,0)</x:f>
        <x:v>157.332</x:v>
      </x:c>
    </x:row>
    <x:row r="468">
      <x:c r="A468" s="19" t="str">
        <x:v>2026-07-09|S04|D04</x:v>
      </x:c>
      <x:c r="B468" s="34" t="n">
        <x:v>46212.5</x:v>
      </x:c>
      <x:c r="C468" s="19" t="str">
        <x:v>S04</x:v>
      </x:c>
      <x:c r="D468" s="19" t="str">
        <x:v>金街美地店</x:v>
      </x:c>
      <x:c r="E468" s="19" t="str">
        <x:v>D04</x:v>
      </x:c>
      <x:c r="F468" s="19" t="str">
        <x:v>酸包菜炒粉皮</x:v>
      </x:c>
      <x:c r="G468" s="20" t="n">
        <x:f>SUMIFS('7日销售明细'!$K$5:$K$2244,'7日销售明细'!$B$5:$B$2244,B468,'7日销售明细'!$D$5:$D$2244,C468,'7日销售明细'!$H$5:$H$2244,E468)</x:f>
        <x:v>39</x:v>
      </x:c>
      <x:c r="H468" s="35" t="n">
        <x:f>SUMIFS('7日销售明细'!$L$5:$L$2244,'7日销售明细'!$B$5:$B$2244,B468,'7日销售明细'!$D$5:$D$2244,C468,'7日销售明细'!$H$5:$H$2244,E468)</x:f>
        <x:v>624</x:v>
      </x:c>
      <x:c r="I468" s="35" t="n">
        <x:f>G468*XLOOKUP(E468,'菜品主数据'!$A$5:$A$24,'菜品主数据'!$G$5:$G$24,0)</x:f>
        <x:v>155.142</x:v>
      </x:c>
    </x:row>
    <x:row r="469">
      <x:c r="A469" s="19" t="str">
        <x:v>2026-07-09|S04|D05</x:v>
      </x:c>
      <x:c r="B469" s="34" t="n">
        <x:v>46212.5</x:v>
      </x:c>
      <x:c r="C469" s="19" t="str">
        <x:v>S04</x:v>
      </x:c>
      <x:c r="D469" s="19" t="str">
        <x:v>金街美地店</x:v>
      </x:c>
      <x:c r="E469" s="19" t="str">
        <x:v>D05</x:v>
      </x:c>
      <x:c r="F469" s="19" t="str">
        <x:v>麻婆豆腐</x:v>
      </x:c>
      <x:c r="G469" s="20" t="n">
        <x:f>SUMIFS('7日销售明细'!$K$5:$K$2244,'7日销售明细'!$B$5:$B$2244,B469,'7日销售明细'!$D$5:$D$2244,C469,'7日销售明细'!$H$5:$H$2244,E469)</x:f>
        <x:v>50</x:v>
      </x:c>
      <x:c r="H469" s="35" t="n">
        <x:f>SUMIFS('7日销售明细'!$L$5:$L$2244,'7日销售明细'!$B$5:$B$2244,B469,'7日销售明细'!$D$5:$D$2244,C469,'7日销售明细'!$H$5:$H$2244,E469)</x:f>
        <x:v>495.00000000000006</x:v>
      </x:c>
      <x:c r="I469" s="35" t="n">
        <x:f>G469*XLOOKUP(E469,'菜品主数据'!$A$5:$A$24,'菜品主数据'!$G$5:$G$24,0)</x:f>
        <x:v>268.35</x:v>
      </x:c>
    </x:row>
    <x:row r="470">
      <x:c r="A470" s="19" t="str">
        <x:v>2026-07-09|S04|D06</x:v>
      </x:c>
      <x:c r="B470" s="34" t="n">
        <x:v>46212.5</x:v>
      </x:c>
      <x:c r="C470" s="19" t="str">
        <x:v>S04</x:v>
      </x:c>
      <x:c r="D470" s="19" t="str">
        <x:v>金街美地店</x:v>
      </x:c>
      <x:c r="E470" s="19" t="str">
        <x:v>D06</x:v>
      </x:c>
      <x:c r="F470" s="19" t="str">
        <x:v>剁椒鱼头</x:v>
      </x:c>
      <x:c r="G470" s="20" t="n">
        <x:f>SUMIFS('7日销售明细'!$K$5:$K$2244,'7日销售明细'!$B$5:$B$2244,B470,'7日销售明细'!$D$5:$D$2244,C470,'7日销售明细'!$H$5:$H$2244,E470)</x:f>
        <x:v>13</x:v>
      </x:c>
      <x:c r="H470" s="35" t="n">
        <x:f>SUMIFS('7日销售明细'!$L$5:$L$2244,'7日销售明细'!$B$5:$B$2244,B470,'7日销售明细'!$D$5:$D$2244,C470,'7日销售明细'!$H$5:$H$2244,E470)</x:f>
        <x:v>507</x:v>
      </x:c>
      <x:c r="I470" s="35" t="n">
        <x:f>G470*XLOOKUP(E470,'菜品主数据'!$A$5:$A$24,'菜品主数据'!$G$5:$G$24,0)</x:f>
        <x:v>226.79800000000003</x:v>
      </x:c>
    </x:row>
    <x:row r="471">
      <x:c r="A471" s="19" t="str">
        <x:v>2026-07-09|S04|D07</x:v>
      </x:c>
      <x:c r="B471" s="34" t="n">
        <x:v>46212.5</x:v>
      </x:c>
      <x:c r="C471" s="19" t="str">
        <x:v>S04</x:v>
      </x:c>
      <x:c r="D471" s="19" t="str">
        <x:v>金街美地店</x:v>
      </x:c>
      <x:c r="E471" s="19" t="str">
        <x:v>D07</x:v>
      </x:c>
      <x:c r="F471" s="19" t="str">
        <x:v>川味回锅肉</x:v>
      </x:c>
      <x:c r="G471" s="20" t="n">
        <x:f>SUMIFS('7日销售明细'!$K$5:$K$2244,'7日销售明细'!$B$5:$B$2244,B471,'7日销售明细'!$D$5:$D$2244,C471,'7日销售明细'!$H$5:$H$2244,E471)</x:f>
        <x:v>14</x:v>
      </x:c>
      <x:c r="H471" s="35" t="n">
        <x:f>SUMIFS('7日销售明细'!$L$5:$L$2244,'7日销售明细'!$B$5:$B$2244,B471,'7日销售明细'!$D$5:$D$2244,C471,'7日销售明细'!$H$5:$H$2244,E471)</x:f>
        <x:v>406</x:v>
      </x:c>
      <x:c r="I471" s="35" t="n">
        <x:f>G471*XLOOKUP(E471,'菜品主数据'!$A$5:$A$24,'菜品主数据'!$G$5:$G$24,0)</x:f>
        <x:v>143.23400000000004</x:v>
      </x:c>
    </x:row>
    <x:row r="472">
      <x:c r="A472" s="19" t="str">
        <x:v>2026-07-09|S04|D08</x:v>
      </x:c>
      <x:c r="B472" s="34" t="n">
        <x:v>46212.5</x:v>
      </x:c>
      <x:c r="C472" s="19" t="str">
        <x:v>S04</x:v>
      </x:c>
      <x:c r="D472" s="19" t="str">
        <x:v>金街美地店</x:v>
      </x:c>
      <x:c r="E472" s="19" t="str">
        <x:v>D08</x:v>
      </x:c>
      <x:c r="F472" s="19" t="str">
        <x:v>生炒清远鸡</x:v>
      </x:c>
      <x:c r="G472" s="20" t="n">
        <x:f>SUMIFS('7日销售明细'!$K$5:$K$2244,'7日销售明细'!$B$5:$B$2244,B472,'7日销售明细'!$D$5:$D$2244,C472,'7日销售明细'!$H$5:$H$2244,E472)</x:f>
        <x:v>12</x:v>
      </x:c>
      <x:c r="H472" s="35" t="n">
        <x:f>SUMIFS('7日销售明细'!$L$5:$L$2244,'7日销售明细'!$B$5:$B$2244,B472,'7日销售明细'!$D$5:$D$2244,C472,'7日销售明细'!$H$5:$H$2244,E472)</x:f>
        <x:v>432</x:v>
      </x:c>
      <x:c r="I472" s="35" t="n">
        <x:f>G472*XLOOKUP(E472,'菜品主数据'!$A$5:$A$24,'菜品主数据'!$G$5:$G$24,0)</x:f>
        <x:v>161.76</x:v>
      </x:c>
    </x:row>
    <x:row r="473">
      <x:c r="A473" s="19" t="str">
        <x:v>2026-07-09|S04|D09</x:v>
      </x:c>
      <x:c r="B473" s="34" t="n">
        <x:v>46212.5</x:v>
      </x:c>
      <x:c r="C473" s="19" t="str">
        <x:v>S04</x:v>
      </x:c>
      <x:c r="D473" s="19" t="str">
        <x:v>金街美地店</x:v>
      </x:c>
      <x:c r="E473" s="19" t="str">
        <x:v>D09</x:v>
      </x:c>
      <x:c r="F473" s="19" t="str">
        <x:v>炒豆干</x:v>
      </x:c>
      <x:c r="G473" s="20" t="n">
        <x:f>SUMIFS('7日销售明细'!$K$5:$K$2244,'7日销售明细'!$B$5:$B$2244,B473,'7日销售明细'!$D$5:$D$2244,C473,'7日销售明细'!$H$5:$H$2244,E473)</x:f>
        <x:v>16</x:v>
      </x:c>
      <x:c r="H473" s="35" t="n">
        <x:f>SUMIFS('7日销售明细'!$L$5:$L$2244,'7日销售明细'!$B$5:$B$2244,B473,'7日销售明细'!$D$5:$D$2244,C473,'7日销售明细'!$H$5:$H$2244,E473)</x:f>
        <x:v>288</x:v>
      </x:c>
      <x:c r="I473" s="35" t="n">
        <x:f>G473*XLOOKUP(E473,'菜品主数据'!$A$5:$A$24,'菜品主数据'!$G$5:$G$24,0)</x:f>
        <x:v>105.82399999999998</x:v>
      </x:c>
    </x:row>
    <x:row r="474">
      <x:c r="A474" s="19" t="str">
        <x:v>2026-07-09|S04|D10</x:v>
      </x:c>
      <x:c r="B474" s="34" t="n">
        <x:v>46212.5</x:v>
      </x:c>
      <x:c r="C474" s="19" t="str">
        <x:v>S04</x:v>
      </x:c>
      <x:c r="D474" s="19" t="str">
        <x:v>金街美地店</x:v>
      </x:c>
      <x:c r="E474" s="19" t="str">
        <x:v>D10</x:v>
      </x:c>
      <x:c r="F474" s="19" t="str">
        <x:v>农家一碗香</x:v>
      </x:c>
      <x:c r="G474" s="20" t="n">
        <x:f>SUMIFS('7日销售明细'!$K$5:$K$2244,'7日销售明细'!$B$5:$B$2244,B474,'7日销售明细'!$D$5:$D$2244,C474,'7日销售明细'!$H$5:$H$2244,E474)</x:f>
        <x:v>17</x:v>
      </x:c>
      <x:c r="H474" s="35" t="n">
        <x:f>SUMIFS('7日销售明细'!$L$5:$L$2244,'7日销售明细'!$B$5:$B$2244,B474,'7日销售明细'!$D$5:$D$2244,C474,'7日销售明细'!$H$5:$H$2244,E474)</x:f>
        <x:v>389.29999999999995</x:v>
      </x:c>
      <x:c r="I474" s="35" t="n">
        <x:f>G474*XLOOKUP(E474,'菜品主数据'!$A$5:$A$24,'菜品主数据'!$G$5:$G$24,0)</x:f>
        <x:v>166.09340000000003</x:v>
      </x:c>
    </x:row>
    <x:row r="475">
      <x:c r="A475" s="19" t="str">
        <x:v>2026-07-09|S04|D11</x:v>
      </x:c>
      <x:c r="B475" s="34" t="n">
        <x:v>46212.5</x:v>
      </x:c>
      <x:c r="C475" s="19" t="str">
        <x:v>S04</x:v>
      </x:c>
      <x:c r="D475" s="19" t="str">
        <x:v>金街美地店</x:v>
      </x:c>
      <x:c r="E475" s="19" t="str">
        <x:v>D11</x:v>
      </x:c>
      <x:c r="F475" s="19" t="str">
        <x:v>香辣爆肥肠</x:v>
      </x:c>
      <x:c r="G475" s="20" t="n">
        <x:f>SUMIFS('7日销售明细'!$K$5:$K$2244,'7日销售明细'!$B$5:$B$2244,B475,'7日销售明细'!$D$5:$D$2244,C475,'7日销售明细'!$H$5:$H$2244,E475)</x:f>
        <x:v>7</x:v>
      </x:c>
      <x:c r="H475" s="35" t="n">
        <x:f>SUMIFS('7日销售明细'!$L$5:$L$2244,'7日销售明细'!$B$5:$B$2244,B475,'7日销售明细'!$D$5:$D$2244,C475,'7日销售明细'!$H$5:$H$2244,E475)</x:f>
        <x:v>273</x:v>
      </x:c>
      <x:c r="I475" s="35" t="n">
        <x:f>G475*XLOOKUP(E475,'菜品主数据'!$A$5:$A$24,'菜品主数据'!$G$5:$G$24,0)</x:f>
        <x:v>72.779</x:v>
      </x:c>
    </x:row>
    <x:row r="476">
      <x:c r="A476" s="19" t="str">
        <x:v>2026-07-09|S04|D12</x:v>
      </x:c>
      <x:c r="B476" s="34" t="n">
        <x:v>46212.5</x:v>
      </x:c>
      <x:c r="C476" s="19" t="str">
        <x:v>S04</x:v>
      </x:c>
      <x:c r="D476" s="19" t="str">
        <x:v>金街美地店</x:v>
      </x:c>
      <x:c r="E476" s="19" t="str">
        <x:v>D12</x:v>
      </x:c>
      <x:c r="F476" s="19" t="str">
        <x:v>清蒸鲈鱼</x:v>
      </x:c>
      <x:c r="G476" s="20" t="n">
        <x:f>SUMIFS('7日销售明细'!$K$5:$K$2244,'7日销售明细'!$B$5:$B$2244,B476,'7日销售明细'!$D$5:$D$2244,C476,'7日销售明细'!$H$5:$H$2244,E476)</x:f>
        <x:v>6</x:v>
      </x:c>
      <x:c r="H476" s="35" t="n">
        <x:f>SUMIFS('7日销售明细'!$L$5:$L$2244,'7日销售明细'!$B$5:$B$2244,B476,'7日销售明细'!$D$5:$D$2244,C476,'7日销售明细'!$H$5:$H$2244,E476)</x:f>
        <x:v>234</x:v>
      </x:c>
      <x:c r="I476" s="35" t="n">
        <x:f>G476*XLOOKUP(E476,'菜品主数据'!$A$5:$A$24,'菜品主数据'!$G$5:$G$24,0)</x:f>
        <x:v>113.244</x:v>
      </x:c>
    </x:row>
    <x:row r="477">
      <x:c r="A477" s="19" t="str">
        <x:v>2026-07-09|S04|D13</x:v>
      </x:c>
      <x:c r="B477" s="34" t="n">
        <x:v>46212.5</x:v>
      </x:c>
      <x:c r="C477" s="19" t="str">
        <x:v>S04</x:v>
      </x:c>
      <x:c r="D477" s="19" t="str">
        <x:v>金街美地店</x:v>
      </x:c>
      <x:c r="E477" s="19" t="str">
        <x:v>D13</x:v>
      </x:c>
      <x:c r="F477" s="19" t="str">
        <x:v>外婆菜炒蛋</x:v>
      </x:c>
      <x:c r="G477" s="20" t="n">
        <x:f>SUMIFS('7日销售明细'!$K$5:$K$2244,'7日销售明细'!$B$5:$B$2244,B477,'7日销售明细'!$D$5:$D$2244,C477,'7日销售明细'!$H$5:$H$2244,E477)</x:f>
        <x:v>15</x:v>
      </x:c>
      <x:c r="H477" s="35" t="n">
        <x:f>SUMIFS('7日销售明细'!$L$5:$L$2244,'7日销售明细'!$B$5:$B$2244,B477,'7日销售明细'!$D$5:$D$2244,C477,'7日销售明细'!$H$5:$H$2244,E477)</x:f>
        <x:v>270</x:v>
      </x:c>
      <x:c r="I477" s="35" t="n">
        <x:f>G477*XLOOKUP(E477,'菜品主数据'!$A$5:$A$24,'菜品主数据'!$G$5:$G$24,0)</x:f>
        <x:v>81.05999999999999</x:v>
      </x:c>
    </x:row>
    <x:row r="478">
      <x:c r="A478" s="19" t="str">
        <x:v>2026-07-09|S04|D14</x:v>
      </x:c>
      <x:c r="B478" s="34" t="n">
        <x:v>46212.5</x:v>
      </x:c>
      <x:c r="C478" s="19" t="str">
        <x:v>S04</x:v>
      </x:c>
      <x:c r="D478" s="19" t="str">
        <x:v>金街美地店</x:v>
      </x:c>
      <x:c r="E478" s="19" t="str">
        <x:v>D14</x:v>
      </x:c>
      <x:c r="F478" s="19" t="str">
        <x:v>酸辣鸡杂</x:v>
      </x:c>
      <x:c r="G478" s="20" t="n">
        <x:f>SUMIFS('7日销售明细'!$K$5:$K$2244,'7日销售明细'!$B$5:$B$2244,B478,'7日销售明细'!$D$5:$D$2244,C478,'7日销售明细'!$H$5:$H$2244,E478)</x:f>
        <x:v>9</x:v>
      </x:c>
      <x:c r="H478" s="35" t="n">
        <x:f>SUMIFS('7日销售明细'!$L$5:$L$2244,'7日销售明细'!$B$5:$B$2244,B478,'7日销售明细'!$D$5:$D$2244,C478,'7日销售明细'!$H$5:$H$2244,E478)</x:f>
        <x:v>252</x:v>
      </x:c>
      <x:c r="I478" s="35" t="n">
        <x:f>G478*XLOOKUP(E478,'菜品主数据'!$A$5:$A$24,'菜品主数据'!$G$5:$G$24,0)</x:f>
        <x:v>74.83500000000001</x:v>
      </x:c>
    </x:row>
    <x:row r="479">
      <x:c r="A479" s="19" t="str">
        <x:v>2026-07-09|S04|D15</x:v>
      </x:c>
      <x:c r="B479" s="34" t="n">
        <x:v>46212.5</x:v>
      </x:c>
      <x:c r="C479" s="19" t="str">
        <x:v>S04</x:v>
      </x:c>
      <x:c r="D479" s="19" t="str">
        <x:v>金街美地店</x:v>
      </x:c>
      <x:c r="E479" s="19" t="str">
        <x:v>D15</x:v>
      </x:c>
      <x:c r="F479" s="19" t="str">
        <x:v>湘西土匪猪肝</x:v>
      </x:c>
      <x:c r="G479" s="20" t="n">
        <x:f>SUMIFS('7日销售明细'!$K$5:$K$2244,'7日销售明细'!$B$5:$B$2244,B479,'7日销售明细'!$D$5:$D$2244,C479,'7日销售明细'!$H$5:$H$2244,E479)</x:f>
        <x:v>7</x:v>
      </x:c>
      <x:c r="H479" s="35" t="n">
        <x:f>SUMIFS('7日销售明细'!$L$5:$L$2244,'7日销售明细'!$B$5:$B$2244,B479,'7日销售明细'!$D$5:$D$2244,C479,'7日销售明细'!$H$5:$H$2244,E479)</x:f>
        <x:v>182</x:v>
      </x:c>
      <x:c r="I479" s="35" t="n">
        <x:f>G479*XLOOKUP(E479,'菜品主数据'!$A$5:$A$24,'菜品主数据'!$G$5:$G$24,0)</x:f>
        <x:v>44.632</x:v>
      </x:c>
    </x:row>
    <x:row r="480">
      <x:c r="A480" s="19" t="str">
        <x:v>2026-07-09|S04|D16</x:v>
      </x:c>
      <x:c r="B480" s="34" t="n">
        <x:v>46212.5</x:v>
      </x:c>
      <x:c r="C480" s="19" t="str">
        <x:v>S04</x:v>
      </x:c>
      <x:c r="D480" s="19" t="str">
        <x:v>金街美地店</x:v>
      </x:c>
      <x:c r="E480" s="19" t="str">
        <x:v>D16</x:v>
      </x:c>
      <x:c r="F480" s="19" t="str">
        <x:v>小豆角炒五花</x:v>
      </x:c>
      <x:c r="G480" s="20" t="n">
        <x:f>SUMIFS('7日销售明细'!$K$5:$K$2244,'7日销售明细'!$B$5:$B$2244,B480,'7日销售明细'!$D$5:$D$2244,C480,'7日销售明细'!$H$5:$H$2244,E480)</x:f>
        <x:v>7</x:v>
      </x:c>
      <x:c r="H480" s="35" t="n">
        <x:f>SUMIFS('7日销售明细'!$L$5:$L$2244,'7日销售明细'!$B$5:$B$2244,B480,'7日销售明细'!$D$5:$D$2244,C480,'7日销售明细'!$H$5:$H$2244,E480)</x:f>
        <x:v>175</x:v>
      </x:c>
      <x:c r="I480" s="35" t="n">
        <x:f>G480*XLOOKUP(E480,'菜品主数据'!$A$5:$A$24,'菜品主数据'!$G$5:$G$24,0)</x:f>
        <x:v>57.288</x:v>
      </x:c>
    </x:row>
    <x:row r="481">
      <x:c r="A481" s="19" t="str">
        <x:v>2026-07-09|S04|D17</x:v>
      </x:c>
      <x:c r="B481" s="34" t="n">
        <x:v>46212.5</x:v>
      </x:c>
      <x:c r="C481" s="19" t="str">
        <x:v>S04</x:v>
      </x:c>
      <x:c r="D481" s="19" t="str">
        <x:v>金街美地店</x:v>
      </x:c>
      <x:c r="E481" s="19" t="str">
        <x:v>D17</x:v>
      </x:c>
      <x:c r="F481" s="19" t="str">
        <x:v>蒜蓉粉丝虾</x:v>
      </x:c>
      <x:c r="G481" s="20" t="n">
        <x:f>SUMIFS('7日销售明细'!$K$5:$K$2244,'7日销售明细'!$B$5:$B$2244,B481,'7日销售明细'!$D$5:$D$2244,C481,'7日销售明细'!$H$5:$H$2244,E481)</x:f>
        <x:v>5</x:v>
      </x:c>
      <x:c r="H481" s="35" t="n">
        <x:f>SUMIFS('7日销售明细'!$L$5:$L$2244,'7日销售明细'!$B$5:$B$2244,B481,'7日销售明细'!$D$5:$D$2244,C481,'7日销售明细'!$H$5:$H$2244,E481)</x:f>
        <x:v>180</x:v>
      </x:c>
      <x:c r="I481" s="35" t="n">
        <x:f>G481*XLOOKUP(E481,'菜品主数据'!$A$5:$A$24,'菜品主数据'!$G$5:$G$24,0)</x:f>
        <x:v>67.97</x:v>
      </x:c>
    </x:row>
    <x:row r="482">
      <x:c r="A482" s="19" t="str">
        <x:v>2026-07-09|S04|D18</x:v>
      </x:c>
      <x:c r="B482" s="34" t="n">
        <x:v>46212.5</x:v>
      </x:c>
      <x:c r="C482" s="19" t="str">
        <x:v>S04</x:v>
      </x:c>
      <x:c r="D482" s="19" t="str">
        <x:v>金街美地店</x:v>
      </x:c>
      <x:c r="E482" s="19" t="str">
        <x:v>D18</x:v>
      </x:c>
      <x:c r="F482" s="19" t="str">
        <x:v>青椒炒油麦菜</x:v>
      </x:c>
      <x:c r="G482" s="20" t="n">
        <x:f>SUMIFS('7日销售明细'!$K$5:$K$2244,'7日销售明细'!$B$5:$B$2244,B482,'7日销售明细'!$D$5:$D$2244,C482,'7日销售明细'!$H$5:$H$2244,E482)</x:f>
        <x:v>8</x:v>
      </x:c>
      <x:c r="H482" s="35" t="n">
        <x:f>SUMIFS('7日销售明细'!$L$5:$L$2244,'7日销售明细'!$B$5:$B$2244,B482,'7日销售明细'!$D$5:$D$2244,C482,'7日销售明细'!$H$5:$H$2244,E482)</x:f>
        <x:v>144</x:v>
      </x:c>
      <x:c r="I482" s="35" t="n">
        <x:f>G482*XLOOKUP(E482,'菜品主数据'!$A$5:$A$24,'菜品主数据'!$G$5:$G$24,0)</x:f>
        <x:v>25.407999999999994</x:v>
      </x:c>
    </x:row>
    <x:row r="483">
      <x:c r="A483" s="19" t="str">
        <x:v>2026-07-09|S04|D19</x:v>
      </x:c>
      <x:c r="B483" s="34" t="n">
        <x:v>46212.5</x:v>
      </x:c>
      <x:c r="C483" s="19" t="str">
        <x:v>S04</x:v>
      </x:c>
      <x:c r="D483" s="19" t="str">
        <x:v>金街美地店</x:v>
      </x:c>
      <x:c r="E483" s="19" t="str">
        <x:v>D19</x:v>
      </x:c>
      <x:c r="F483" s="19" t="str">
        <x:v>酸萝卜炒鸡杂</x:v>
      </x:c>
      <x:c r="G483" s="20" t="n">
        <x:f>SUMIFS('7日销售明细'!$K$5:$K$2244,'7日销售明细'!$B$5:$B$2244,B483,'7日销售明细'!$D$5:$D$2244,C483,'7日销售明细'!$H$5:$H$2244,E483)</x:f>
        <x:v>5</x:v>
      </x:c>
      <x:c r="H483" s="35" t="n">
        <x:f>SUMIFS('7日销售明细'!$L$5:$L$2244,'7日销售明细'!$B$5:$B$2244,B483,'7日销售明细'!$D$5:$D$2244,C483,'7日销售明细'!$H$5:$H$2244,E483)</x:f>
        <x:v>125</x:v>
      </x:c>
      <x:c r="I483" s="35" t="n">
        <x:f>G483*XLOOKUP(E483,'菜品主数据'!$A$5:$A$24,'菜品主数据'!$G$5:$G$24,0)</x:f>
        <x:v>39.699999999999996</x:v>
      </x:c>
    </x:row>
    <x:row r="484">
      <x:c r="A484" s="19" t="str">
        <x:v>2026-07-09|S04|D20</x:v>
      </x:c>
      <x:c r="B484" s="34" t="n">
        <x:v>46212.5</x:v>
      </x:c>
      <x:c r="C484" s="19" t="str">
        <x:v>S04</x:v>
      </x:c>
      <x:c r="D484" s="19" t="str">
        <x:v>金街美地店</x:v>
      </x:c>
      <x:c r="E484" s="19" t="str">
        <x:v>D20</x:v>
      </x:c>
      <x:c r="F484" s="19" t="str">
        <x:v>雪菜肉末青豆</x:v>
      </x:c>
      <x:c r="G484" s="20" t="n">
        <x:f>SUMIFS('7日销售明细'!$K$5:$K$2244,'7日销售明细'!$B$5:$B$2244,B484,'7日销售明细'!$D$5:$D$2244,C484,'7日销售明细'!$H$5:$H$2244,E484)</x:f>
        <x:v>8</x:v>
      </x:c>
      <x:c r="H484" s="35" t="n">
        <x:f>SUMIFS('7日销售明细'!$L$5:$L$2244,'7日销售明细'!$B$5:$B$2244,B484,'7日销售明细'!$D$5:$D$2244,C484,'7日销售明细'!$H$5:$H$2244,E484)</x:f>
        <x:v>144</x:v>
      </x:c>
      <x:c r="I484" s="35" t="n">
        <x:f>G484*XLOOKUP(E484,'菜品主数据'!$A$5:$A$24,'菜品主数据'!$G$5:$G$24,0)</x:f>
        <x:v>58.431999999999995</x:v>
      </x:c>
    </x:row>
    <x:row r="485">
      <x:c r="A485" s="19" t="str">
        <x:v>2026-07-10|S04|D01</x:v>
      </x:c>
      <x:c r="B485" s="34" t="n">
        <x:v>46213.5</x:v>
      </x:c>
      <x:c r="C485" s="19" t="str">
        <x:v>S04</x:v>
      </x:c>
      <x:c r="D485" s="19" t="str">
        <x:v>金街美地店</x:v>
      </x:c>
      <x:c r="E485" s="19" t="str">
        <x:v>D01</x:v>
      </x:c>
      <x:c r="F485" s="19" t="str">
        <x:v>辣椒炒肉</x:v>
      </x:c>
      <x:c r="G485" s="20" t="n">
        <x:f>SUMIFS('7日销售明细'!$K$5:$K$2244,'7日销售明细'!$B$5:$B$2244,B485,'7日销售明细'!$D$5:$D$2244,C485,'7日销售明细'!$H$5:$H$2244,E485)</x:f>
        <x:v>51</x:v>
      </x:c>
      <x:c r="H485" s="35" t="n">
        <x:f>SUMIFS('7日销售明细'!$L$5:$L$2244,'7日销售明细'!$B$5:$B$2244,B485,'7日销售明细'!$D$5:$D$2244,C485,'7日销售明细'!$H$5:$H$2244,E485)</x:f>
        <x:v>1479</x:v>
      </x:c>
      <x:c r="I485" s="35" t="n">
        <x:f>G485*XLOOKUP(E485,'菜品主数据'!$A$5:$A$24,'菜品主数据'!$G$5:$G$24,0)</x:f>
        <x:v>440.35440000000006</x:v>
      </x:c>
    </x:row>
    <x:row r="486">
      <x:c r="A486" s="19" t="str">
        <x:v>2026-07-10|S04|D02</x:v>
      </x:c>
      <x:c r="B486" s="34" t="n">
        <x:v>46213.5</x:v>
      </x:c>
      <x:c r="C486" s="19" t="str">
        <x:v>S04</x:v>
      </x:c>
      <x:c r="D486" s="19" t="str">
        <x:v>金街美地店</x:v>
      </x:c>
      <x:c r="E486" s="19" t="str">
        <x:v>D02</x:v>
      </x:c>
      <x:c r="F486" s="19" t="str">
        <x:v>小炒黄牛肉</x:v>
      </x:c>
      <x:c r="G486" s="20" t="n">
        <x:f>SUMIFS('7日销售明细'!$K$5:$K$2244,'7日销售明细'!$B$5:$B$2244,B486,'7日销售明细'!$D$5:$D$2244,C486,'7日销售明细'!$H$5:$H$2244,E486)</x:f>
        <x:v>33</x:v>
      </x:c>
      <x:c r="H486" s="35" t="n">
        <x:f>SUMIFS('7日销售明细'!$L$5:$L$2244,'7日销售明细'!$B$5:$B$2244,B486,'7日销售明细'!$D$5:$D$2244,C486,'7日销售明细'!$H$5:$H$2244,E486)</x:f>
        <x:v>1617</x:v>
      </x:c>
      <x:c r="I486" s="35" t="n">
        <x:f>G486*XLOOKUP(E486,'菜品主数据'!$A$5:$A$24,'菜品主数据'!$G$5:$G$24,0)</x:f>
        <x:v>580.041</x:v>
      </x:c>
    </x:row>
    <x:row r="487">
      <x:c r="A487" s="19" t="str">
        <x:v>2026-07-10|S04|D03</x:v>
      </x:c>
      <x:c r="B487" s="34" t="n">
        <x:v>46213.5</x:v>
      </x:c>
      <x:c r="C487" s="19" t="str">
        <x:v>S04</x:v>
      </x:c>
      <x:c r="D487" s="19" t="str">
        <x:v>金街美地店</x:v>
      </x:c>
      <x:c r="E487" s="19" t="str">
        <x:v>D03</x:v>
      </x:c>
      <x:c r="F487" s="19" t="str">
        <x:v>香醋炒蛋</x:v>
      </x:c>
      <x:c r="G487" s="20" t="n">
        <x:f>SUMIFS('7日销售明细'!$K$5:$K$2244,'7日销售明细'!$B$5:$B$2244,B487,'7日销售明细'!$D$5:$D$2244,C487,'7日销售明细'!$H$5:$H$2244,E487)</x:f>
        <x:v>44</x:v>
      </x:c>
      <x:c r="H487" s="35" t="n">
        <x:f>SUMIFS('7日销售明细'!$L$5:$L$2244,'7日销售明细'!$B$5:$B$2244,B487,'7日销售明细'!$D$5:$D$2244,C487,'7日销售明细'!$H$5:$H$2244,E487)</x:f>
        <x:v>655.6</x:v>
      </x:c>
      <x:c r="I487" s="35" t="n">
        <x:f>G487*XLOOKUP(E487,'菜品主数据'!$A$5:$A$24,'菜品主数据'!$G$5:$G$24,0)</x:f>
        <x:v>164.82399999999998</x:v>
      </x:c>
    </x:row>
    <x:row r="488">
      <x:c r="A488" s="19" t="str">
        <x:v>2026-07-10|S04|D04</x:v>
      </x:c>
      <x:c r="B488" s="34" t="n">
        <x:v>46213.5</x:v>
      </x:c>
      <x:c r="C488" s="19" t="str">
        <x:v>S04</x:v>
      </x:c>
      <x:c r="D488" s="19" t="str">
        <x:v>金街美地店</x:v>
      </x:c>
      <x:c r="E488" s="19" t="str">
        <x:v>D04</x:v>
      </x:c>
      <x:c r="F488" s="19" t="str">
        <x:v>酸包菜炒粉皮</x:v>
      </x:c>
      <x:c r="G488" s="20" t="n">
        <x:f>SUMIFS('7日销售明细'!$K$5:$K$2244,'7日销售明细'!$B$5:$B$2244,B488,'7日销售明细'!$D$5:$D$2244,C488,'7日销售明细'!$H$5:$H$2244,E488)</x:f>
        <x:v>36</x:v>
      </x:c>
      <x:c r="H488" s="35" t="n">
        <x:f>SUMIFS('7日销售明细'!$L$5:$L$2244,'7日销售明细'!$B$5:$B$2244,B488,'7日销售明细'!$D$5:$D$2244,C488,'7日销售明细'!$H$5:$H$2244,E488)</x:f>
        <x:v>576</x:v>
      </x:c>
      <x:c r="I488" s="35" t="n">
        <x:f>G488*XLOOKUP(E488,'菜品主数据'!$A$5:$A$24,'菜品主数据'!$G$5:$G$24,0)</x:f>
        <x:v>143.208</x:v>
      </x:c>
    </x:row>
    <x:row r="489">
      <x:c r="A489" s="19" t="str">
        <x:v>2026-07-10|S04|D05</x:v>
      </x:c>
      <x:c r="B489" s="34" t="n">
        <x:v>46213.5</x:v>
      </x:c>
      <x:c r="C489" s="19" t="str">
        <x:v>S04</x:v>
      </x:c>
      <x:c r="D489" s="19" t="str">
        <x:v>金街美地店</x:v>
      </x:c>
      <x:c r="E489" s="19" t="str">
        <x:v>D05</x:v>
      </x:c>
      <x:c r="F489" s="19" t="str">
        <x:v>麻婆豆腐</x:v>
      </x:c>
      <x:c r="G489" s="20" t="n">
        <x:f>SUMIFS('7日销售明细'!$K$5:$K$2244,'7日销售明细'!$B$5:$B$2244,B489,'7日销售明细'!$D$5:$D$2244,C489,'7日销售明细'!$H$5:$H$2244,E489)</x:f>
        <x:v>54</x:v>
      </x:c>
      <x:c r="H489" s="35" t="n">
        <x:f>SUMIFS('7日销售明细'!$L$5:$L$2244,'7日销售明细'!$B$5:$B$2244,B489,'7日销售明细'!$D$5:$D$2244,C489,'7日销售明细'!$H$5:$H$2244,E489)</x:f>
        <x:v>534.6</x:v>
      </x:c>
      <x:c r="I489" s="35" t="n">
        <x:f>G489*XLOOKUP(E489,'菜品主数据'!$A$5:$A$24,'菜品主数据'!$G$5:$G$24,0)</x:f>
        <x:v>289.81800000000004</x:v>
      </x:c>
    </x:row>
    <x:row r="490">
      <x:c r="A490" s="19" t="str">
        <x:v>2026-07-10|S04|D06</x:v>
      </x:c>
      <x:c r="B490" s="34" t="n">
        <x:v>46213.5</x:v>
      </x:c>
      <x:c r="C490" s="19" t="str">
        <x:v>S04</x:v>
      </x:c>
      <x:c r="D490" s="19" t="str">
        <x:v>金街美地店</x:v>
      </x:c>
      <x:c r="E490" s="19" t="str">
        <x:v>D06</x:v>
      </x:c>
      <x:c r="F490" s="19" t="str">
        <x:v>剁椒鱼头</x:v>
      </x:c>
      <x:c r="G490" s="20" t="n">
        <x:f>SUMIFS('7日销售明细'!$K$5:$K$2244,'7日销售明细'!$B$5:$B$2244,B490,'7日销售明细'!$D$5:$D$2244,C490,'7日销售明细'!$H$5:$H$2244,E490)</x:f>
        <x:v>13</x:v>
      </x:c>
      <x:c r="H490" s="35" t="n">
        <x:f>SUMIFS('7日销售明细'!$L$5:$L$2244,'7日销售明细'!$B$5:$B$2244,B490,'7日销售明细'!$D$5:$D$2244,C490,'7日销售明细'!$H$5:$H$2244,E490)</x:f>
        <x:v>507</x:v>
      </x:c>
      <x:c r="I490" s="35" t="n">
        <x:f>G490*XLOOKUP(E490,'菜品主数据'!$A$5:$A$24,'菜品主数据'!$G$5:$G$24,0)</x:f>
        <x:v>226.79800000000003</x:v>
      </x:c>
    </x:row>
    <x:row r="491">
      <x:c r="A491" s="19" t="str">
        <x:v>2026-07-10|S04|D07</x:v>
      </x:c>
      <x:c r="B491" s="34" t="n">
        <x:v>46213.5</x:v>
      </x:c>
      <x:c r="C491" s="19" t="str">
        <x:v>S04</x:v>
      </x:c>
      <x:c r="D491" s="19" t="str">
        <x:v>金街美地店</x:v>
      </x:c>
      <x:c r="E491" s="19" t="str">
        <x:v>D07</x:v>
      </x:c>
      <x:c r="F491" s="19" t="str">
        <x:v>川味回锅肉</x:v>
      </x:c>
      <x:c r="G491" s="20" t="n">
        <x:f>SUMIFS('7日销售明细'!$K$5:$K$2244,'7日销售明细'!$B$5:$B$2244,B491,'7日销售明细'!$D$5:$D$2244,C491,'7日销售明细'!$H$5:$H$2244,E491)</x:f>
        <x:v>15</x:v>
      </x:c>
      <x:c r="H491" s="35" t="n">
        <x:f>SUMIFS('7日销售明细'!$L$5:$L$2244,'7日销售明细'!$B$5:$B$2244,B491,'7日销售明细'!$D$5:$D$2244,C491,'7日销售明细'!$H$5:$H$2244,E491)</x:f>
        <x:v>435</x:v>
      </x:c>
      <x:c r="I491" s="35" t="n">
        <x:f>G491*XLOOKUP(E491,'菜品主数据'!$A$5:$A$24,'菜品主数据'!$G$5:$G$24,0)</x:f>
        <x:v>153.46500000000003</x:v>
      </x:c>
    </x:row>
    <x:row r="492">
      <x:c r="A492" s="19" t="str">
        <x:v>2026-07-10|S04|D08</x:v>
      </x:c>
      <x:c r="B492" s="34" t="n">
        <x:v>46213.5</x:v>
      </x:c>
      <x:c r="C492" s="19" t="str">
        <x:v>S04</x:v>
      </x:c>
      <x:c r="D492" s="19" t="str">
        <x:v>金街美地店</x:v>
      </x:c>
      <x:c r="E492" s="19" t="str">
        <x:v>D08</x:v>
      </x:c>
      <x:c r="F492" s="19" t="str">
        <x:v>生炒清远鸡</x:v>
      </x:c>
      <x:c r="G492" s="20" t="n">
        <x:f>SUMIFS('7日销售明细'!$K$5:$K$2244,'7日销售明细'!$B$5:$B$2244,B492,'7日销售明细'!$D$5:$D$2244,C492,'7日销售明细'!$H$5:$H$2244,E492)</x:f>
        <x:v>12</x:v>
      </x:c>
      <x:c r="H492" s="35" t="n">
        <x:f>SUMIFS('7日销售明细'!$L$5:$L$2244,'7日销售明细'!$B$5:$B$2244,B492,'7日销售明细'!$D$5:$D$2244,C492,'7日销售明细'!$H$5:$H$2244,E492)</x:f>
        <x:v>432</x:v>
      </x:c>
      <x:c r="I492" s="35" t="n">
        <x:f>G492*XLOOKUP(E492,'菜品主数据'!$A$5:$A$24,'菜品主数据'!$G$5:$G$24,0)</x:f>
        <x:v>161.76</x:v>
      </x:c>
    </x:row>
    <x:row r="493">
      <x:c r="A493" s="19" t="str">
        <x:v>2026-07-10|S04|D09</x:v>
      </x:c>
      <x:c r="B493" s="34" t="n">
        <x:v>46213.5</x:v>
      </x:c>
      <x:c r="C493" s="19" t="str">
        <x:v>S04</x:v>
      </x:c>
      <x:c r="D493" s="19" t="str">
        <x:v>金街美地店</x:v>
      </x:c>
      <x:c r="E493" s="19" t="str">
        <x:v>D09</x:v>
      </x:c>
      <x:c r="F493" s="19" t="str">
        <x:v>炒豆干</x:v>
      </x:c>
      <x:c r="G493" s="20" t="n">
        <x:f>SUMIFS('7日销售明细'!$K$5:$K$2244,'7日销售明细'!$B$5:$B$2244,B493,'7日销售明细'!$D$5:$D$2244,C493,'7日销售明细'!$H$5:$H$2244,E493)</x:f>
        <x:v>16</x:v>
      </x:c>
      <x:c r="H493" s="35" t="n">
        <x:f>SUMIFS('7日销售明细'!$L$5:$L$2244,'7日销售明细'!$B$5:$B$2244,B493,'7日销售明细'!$D$5:$D$2244,C493,'7日销售明细'!$H$5:$H$2244,E493)</x:f>
        <x:v>288</x:v>
      </x:c>
      <x:c r="I493" s="35" t="n">
        <x:f>G493*XLOOKUP(E493,'菜品主数据'!$A$5:$A$24,'菜品主数据'!$G$5:$G$24,0)</x:f>
        <x:v>105.82399999999998</x:v>
      </x:c>
    </x:row>
    <x:row r="494">
      <x:c r="A494" s="19" t="str">
        <x:v>2026-07-10|S04|D10</x:v>
      </x:c>
      <x:c r="B494" s="34" t="n">
        <x:v>46213.5</x:v>
      </x:c>
      <x:c r="C494" s="19" t="str">
        <x:v>S04</x:v>
      </x:c>
      <x:c r="D494" s="19" t="str">
        <x:v>金街美地店</x:v>
      </x:c>
      <x:c r="E494" s="19" t="str">
        <x:v>D10</x:v>
      </x:c>
      <x:c r="F494" s="19" t="str">
        <x:v>农家一碗香</x:v>
      </x:c>
      <x:c r="G494" s="20" t="n">
        <x:f>SUMIFS('7日销售明细'!$K$5:$K$2244,'7日销售明细'!$B$5:$B$2244,B494,'7日销售明细'!$D$5:$D$2244,C494,'7日销售明细'!$H$5:$H$2244,E494)</x:f>
        <x:v>19</x:v>
      </x:c>
      <x:c r="H494" s="35" t="n">
        <x:f>SUMIFS('7日销售明细'!$L$5:$L$2244,'7日销售明细'!$B$5:$B$2244,B494,'7日销售明细'!$D$5:$D$2244,C494,'7日销售明细'!$H$5:$H$2244,E494)</x:f>
        <x:v>435.09999999999997</x:v>
      </x:c>
      <x:c r="I494" s="35" t="n">
        <x:f>G494*XLOOKUP(E494,'菜品主数据'!$A$5:$A$24,'菜品主数据'!$G$5:$G$24,0)</x:f>
        <x:v>185.63380000000006</x:v>
      </x:c>
    </x:row>
    <x:row r="495">
      <x:c r="A495" s="19" t="str">
        <x:v>2026-07-10|S04|D11</x:v>
      </x:c>
      <x:c r="B495" s="34" t="n">
        <x:v>46213.5</x:v>
      </x:c>
      <x:c r="C495" s="19" t="str">
        <x:v>S04</x:v>
      </x:c>
      <x:c r="D495" s="19" t="str">
        <x:v>金街美地店</x:v>
      </x:c>
      <x:c r="E495" s="19" t="str">
        <x:v>D11</x:v>
      </x:c>
      <x:c r="F495" s="19" t="str">
        <x:v>香辣爆肥肠</x:v>
      </x:c>
      <x:c r="G495" s="20" t="n">
        <x:f>SUMIFS('7日销售明细'!$K$5:$K$2244,'7日销售明细'!$B$5:$B$2244,B495,'7日销售明细'!$D$5:$D$2244,C495,'7日销售明细'!$H$5:$H$2244,E495)</x:f>
        <x:v>7</x:v>
      </x:c>
      <x:c r="H495" s="35" t="n">
        <x:f>SUMIFS('7日销售明细'!$L$5:$L$2244,'7日销售明细'!$B$5:$B$2244,B495,'7日销售明细'!$D$5:$D$2244,C495,'7日销售明细'!$H$5:$H$2244,E495)</x:f>
        <x:v>273</x:v>
      </x:c>
      <x:c r="I495" s="35" t="n">
        <x:f>G495*XLOOKUP(E495,'菜品主数据'!$A$5:$A$24,'菜品主数据'!$G$5:$G$24,0)</x:f>
        <x:v>72.779</x:v>
      </x:c>
    </x:row>
    <x:row r="496">
      <x:c r="A496" s="19" t="str">
        <x:v>2026-07-10|S04|D12</x:v>
      </x:c>
      <x:c r="B496" s="34" t="n">
        <x:v>46213.5</x:v>
      </x:c>
      <x:c r="C496" s="19" t="str">
        <x:v>S04</x:v>
      </x:c>
      <x:c r="D496" s="19" t="str">
        <x:v>金街美地店</x:v>
      </x:c>
      <x:c r="E496" s="19" t="str">
        <x:v>D12</x:v>
      </x:c>
      <x:c r="F496" s="19" t="str">
        <x:v>清蒸鲈鱼</x:v>
      </x:c>
      <x:c r="G496" s="20" t="n">
        <x:f>SUMIFS('7日销售明细'!$K$5:$K$2244,'7日销售明细'!$B$5:$B$2244,B496,'7日销售明细'!$D$5:$D$2244,C496,'7日销售明细'!$H$5:$H$2244,E496)</x:f>
        <x:v>7</x:v>
      </x:c>
      <x:c r="H496" s="35" t="n">
        <x:f>SUMIFS('7日销售明细'!$L$5:$L$2244,'7日销售明细'!$B$5:$B$2244,B496,'7日销售明细'!$D$5:$D$2244,C496,'7日销售明细'!$H$5:$H$2244,E496)</x:f>
        <x:v>273</x:v>
      </x:c>
      <x:c r="I496" s="35" t="n">
        <x:f>G496*XLOOKUP(E496,'菜品主数据'!$A$5:$A$24,'菜品主数据'!$G$5:$G$24,0)</x:f>
        <x:v>132.118</x:v>
      </x:c>
    </x:row>
    <x:row r="497">
      <x:c r="A497" s="19" t="str">
        <x:v>2026-07-10|S04|D13</x:v>
      </x:c>
      <x:c r="B497" s="34" t="n">
        <x:v>46213.5</x:v>
      </x:c>
      <x:c r="C497" s="19" t="str">
        <x:v>S04</x:v>
      </x:c>
      <x:c r="D497" s="19" t="str">
        <x:v>金街美地店</x:v>
      </x:c>
      <x:c r="E497" s="19" t="str">
        <x:v>D13</x:v>
      </x:c>
      <x:c r="F497" s="19" t="str">
        <x:v>外婆菜炒蛋</x:v>
      </x:c>
      <x:c r="G497" s="20" t="n">
        <x:f>SUMIFS('7日销售明细'!$K$5:$K$2244,'7日销售明细'!$B$5:$B$2244,B497,'7日销售明细'!$D$5:$D$2244,C497,'7日销售明细'!$H$5:$H$2244,E497)</x:f>
        <x:v>16</x:v>
      </x:c>
      <x:c r="H497" s="35" t="n">
        <x:f>SUMIFS('7日销售明细'!$L$5:$L$2244,'7日销售明细'!$B$5:$B$2244,B497,'7日销售明细'!$D$5:$D$2244,C497,'7日销售明细'!$H$5:$H$2244,E497)</x:f>
        <x:v>288</x:v>
      </x:c>
      <x:c r="I497" s="35" t="n">
        <x:f>G497*XLOOKUP(E497,'菜品主数据'!$A$5:$A$24,'菜品主数据'!$G$5:$G$24,0)</x:f>
        <x:v>86.46399999999998</x:v>
      </x:c>
    </x:row>
    <x:row r="498">
      <x:c r="A498" s="19" t="str">
        <x:v>2026-07-10|S04|D14</x:v>
      </x:c>
      <x:c r="B498" s="34" t="n">
        <x:v>46213.5</x:v>
      </x:c>
      <x:c r="C498" s="19" t="str">
        <x:v>S04</x:v>
      </x:c>
      <x:c r="D498" s="19" t="str">
        <x:v>金街美地店</x:v>
      </x:c>
      <x:c r="E498" s="19" t="str">
        <x:v>D14</x:v>
      </x:c>
      <x:c r="F498" s="19" t="str">
        <x:v>酸辣鸡杂</x:v>
      </x:c>
      <x:c r="G498" s="20" t="n">
        <x:f>SUMIFS('7日销售明细'!$K$5:$K$2244,'7日销售明细'!$B$5:$B$2244,B498,'7日销售明细'!$D$5:$D$2244,C498,'7日销售明细'!$H$5:$H$2244,E498)</x:f>
        <x:v>8</x:v>
      </x:c>
      <x:c r="H498" s="35" t="n">
        <x:f>SUMIFS('7日销售明细'!$L$5:$L$2244,'7日销售明细'!$B$5:$B$2244,B498,'7日销售明细'!$D$5:$D$2244,C498,'7日销售明细'!$H$5:$H$2244,E498)</x:f>
        <x:v>224</x:v>
      </x:c>
      <x:c r="I498" s="35" t="n">
        <x:f>G498*XLOOKUP(E498,'菜品主数据'!$A$5:$A$24,'菜品主数据'!$G$5:$G$24,0)</x:f>
        <x:v>66.52000000000001</x:v>
      </x:c>
    </x:row>
    <x:row r="499">
      <x:c r="A499" s="19" t="str">
        <x:v>2026-07-10|S04|D15</x:v>
      </x:c>
      <x:c r="B499" s="34" t="n">
        <x:v>46213.5</x:v>
      </x:c>
      <x:c r="C499" s="19" t="str">
        <x:v>S04</x:v>
      </x:c>
      <x:c r="D499" s="19" t="str">
        <x:v>金街美地店</x:v>
      </x:c>
      <x:c r="E499" s="19" t="str">
        <x:v>D15</x:v>
      </x:c>
      <x:c r="F499" s="19" t="str">
        <x:v>湘西土匪猪肝</x:v>
      </x:c>
      <x:c r="G499" s="20" t="n">
        <x:f>SUMIFS('7日销售明细'!$K$5:$K$2244,'7日销售明细'!$B$5:$B$2244,B499,'7日销售明细'!$D$5:$D$2244,C499,'7日销售明细'!$H$5:$H$2244,E499)</x:f>
        <x:v>8</x:v>
      </x:c>
      <x:c r="H499" s="35" t="n">
        <x:f>SUMIFS('7日销售明细'!$L$5:$L$2244,'7日销售明细'!$B$5:$B$2244,B499,'7日销售明细'!$D$5:$D$2244,C499,'7日销售明细'!$H$5:$H$2244,E499)</x:f>
        <x:v>208</x:v>
      </x:c>
      <x:c r="I499" s="35" t="n">
        <x:f>G499*XLOOKUP(E499,'菜品主数据'!$A$5:$A$24,'菜品主数据'!$G$5:$G$24,0)</x:f>
        <x:v>51.007999999999996</x:v>
      </x:c>
    </x:row>
    <x:row r="500">
      <x:c r="A500" s="19" t="str">
        <x:v>2026-07-10|S04|D16</x:v>
      </x:c>
      <x:c r="B500" s="34" t="n">
        <x:v>46213.5</x:v>
      </x:c>
      <x:c r="C500" s="19" t="str">
        <x:v>S04</x:v>
      </x:c>
      <x:c r="D500" s="19" t="str">
        <x:v>金街美地店</x:v>
      </x:c>
      <x:c r="E500" s="19" t="str">
        <x:v>D16</x:v>
      </x:c>
      <x:c r="F500" s="19" t="str">
        <x:v>小豆角炒五花</x:v>
      </x:c>
      <x:c r="G500" s="20" t="n">
        <x:f>SUMIFS('7日销售明细'!$K$5:$K$2244,'7日销售明细'!$B$5:$B$2244,B500,'7日销售明细'!$D$5:$D$2244,C500,'7日销售明细'!$H$5:$H$2244,E500)</x:f>
        <x:v>8</x:v>
      </x:c>
      <x:c r="H500" s="35" t="n">
        <x:f>SUMIFS('7日销售明细'!$L$5:$L$2244,'7日销售明细'!$B$5:$B$2244,B500,'7日销售明细'!$D$5:$D$2244,C500,'7日销售明细'!$H$5:$H$2244,E500)</x:f>
        <x:v>200</x:v>
      </x:c>
      <x:c r="I500" s="35" t="n">
        <x:f>G500*XLOOKUP(E500,'菜品主数据'!$A$5:$A$24,'菜品主数据'!$G$5:$G$24,0)</x:f>
        <x:v>65.472</x:v>
      </x:c>
    </x:row>
    <x:row r="501">
      <x:c r="A501" s="19" t="str">
        <x:v>2026-07-10|S04|D17</x:v>
      </x:c>
      <x:c r="B501" s="34" t="n">
        <x:v>46213.5</x:v>
      </x:c>
      <x:c r="C501" s="19" t="str">
        <x:v>S04</x:v>
      </x:c>
      <x:c r="D501" s="19" t="str">
        <x:v>金街美地店</x:v>
      </x:c>
      <x:c r="E501" s="19" t="str">
        <x:v>D17</x:v>
      </x:c>
      <x:c r="F501" s="19" t="str">
        <x:v>蒜蓉粉丝虾</x:v>
      </x:c>
      <x:c r="G501" s="20" t="n">
        <x:f>SUMIFS('7日销售明细'!$K$5:$K$2244,'7日销售明细'!$B$5:$B$2244,B501,'7日销售明细'!$D$5:$D$2244,C501,'7日销售明细'!$H$5:$H$2244,E501)</x:f>
        <x:v>5</x:v>
      </x:c>
      <x:c r="H501" s="35" t="n">
        <x:f>SUMIFS('7日销售明细'!$L$5:$L$2244,'7日销售明细'!$B$5:$B$2244,B501,'7日销售明细'!$D$5:$D$2244,C501,'7日销售明细'!$H$5:$H$2244,E501)</x:f>
        <x:v>180</x:v>
      </x:c>
      <x:c r="I501" s="35" t="n">
        <x:f>G501*XLOOKUP(E501,'菜品主数据'!$A$5:$A$24,'菜品主数据'!$G$5:$G$24,0)</x:f>
        <x:v>67.97</x:v>
      </x:c>
    </x:row>
    <x:row r="502">
      <x:c r="A502" s="19" t="str">
        <x:v>2026-07-10|S04|D18</x:v>
      </x:c>
      <x:c r="B502" s="34" t="n">
        <x:v>46213.5</x:v>
      </x:c>
      <x:c r="C502" s="19" t="str">
        <x:v>S04</x:v>
      </x:c>
      <x:c r="D502" s="19" t="str">
        <x:v>金街美地店</x:v>
      </x:c>
      <x:c r="E502" s="19" t="str">
        <x:v>D18</x:v>
      </x:c>
      <x:c r="F502" s="19" t="str">
        <x:v>青椒炒油麦菜</x:v>
      </x:c>
      <x:c r="G502" s="20" t="n">
        <x:f>SUMIFS('7日销售明细'!$K$5:$K$2244,'7日销售明细'!$B$5:$B$2244,B502,'7日销售明细'!$D$5:$D$2244,C502,'7日销售明细'!$H$5:$H$2244,E502)</x:f>
        <x:v>8</x:v>
      </x:c>
      <x:c r="H502" s="35" t="n">
        <x:f>SUMIFS('7日销售明细'!$L$5:$L$2244,'7日销售明细'!$B$5:$B$2244,B502,'7日销售明细'!$D$5:$D$2244,C502,'7日销售明细'!$H$5:$H$2244,E502)</x:f>
        <x:v>144</x:v>
      </x:c>
      <x:c r="I502" s="35" t="n">
        <x:f>G502*XLOOKUP(E502,'菜品主数据'!$A$5:$A$24,'菜品主数据'!$G$5:$G$24,0)</x:f>
        <x:v>25.407999999999994</x:v>
      </x:c>
    </x:row>
    <x:row r="503">
      <x:c r="A503" s="19" t="str">
        <x:v>2026-07-10|S04|D19</x:v>
      </x:c>
      <x:c r="B503" s="34" t="n">
        <x:v>46213.5</x:v>
      </x:c>
      <x:c r="C503" s="19" t="str">
        <x:v>S04</x:v>
      </x:c>
      <x:c r="D503" s="19" t="str">
        <x:v>金街美地店</x:v>
      </x:c>
      <x:c r="E503" s="19" t="str">
        <x:v>D19</x:v>
      </x:c>
      <x:c r="F503" s="19" t="str">
        <x:v>酸萝卜炒鸡杂</x:v>
      </x:c>
      <x:c r="G503" s="20" t="n">
        <x:f>SUMIFS('7日销售明细'!$K$5:$K$2244,'7日销售明细'!$B$5:$B$2244,B503,'7日销售明细'!$D$5:$D$2244,C503,'7日销售明细'!$H$5:$H$2244,E503)</x:f>
        <x:v>7</x:v>
      </x:c>
      <x:c r="H503" s="35" t="n">
        <x:f>SUMIFS('7日销售明细'!$L$5:$L$2244,'7日销售明细'!$B$5:$B$2244,B503,'7日销售明细'!$D$5:$D$2244,C503,'7日销售明细'!$H$5:$H$2244,E503)</x:f>
        <x:v>175</x:v>
      </x:c>
      <x:c r="I503" s="35" t="n">
        <x:f>G503*XLOOKUP(E503,'菜品主数据'!$A$5:$A$24,'菜品主数据'!$G$5:$G$24,0)</x:f>
        <x:v>55.58</x:v>
      </x:c>
    </x:row>
    <x:row r="504">
      <x:c r="A504" s="19" t="str">
        <x:v>2026-07-10|S04|D20</x:v>
      </x:c>
      <x:c r="B504" s="34" t="n">
        <x:v>46213.5</x:v>
      </x:c>
      <x:c r="C504" s="19" t="str">
        <x:v>S04</x:v>
      </x:c>
      <x:c r="D504" s="19" t="str">
        <x:v>金街美地店</x:v>
      </x:c>
      <x:c r="E504" s="19" t="str">
        <x:v>D20</x:v>
      </x:c>
      <x:c r="F504" s="19" t="str">
        <x:v>雪菜肉末青豆</x:v>
      </x:c>
      <x:c r="G504" s="20" t="n">
        <x:f>SUMIFS('7日销售明细'!$K$5:$K$2244,'7日销售明细'!$B$5:$B$2244,B504,'7日销售明细'!$D$5:$D$2244,C504,'7日销售明细'!$H$5:$H$2244,E504)</x:f>
        <x:v>9</x:v>
      </x:c>
      <x:c r="H504" s="35" t="n">
        <x:f>SUMIFS('7日销售明细'!$L$5:$L$2244,'7日销售明细'!$B$5:$B$2244,B504,'7日销售明细'!$D$5:$D$2244,C504,'7日销售明细'!$H$5:$H$2244,E504)</x:f>
        <x:v>162</x:v>
      </x:c>
      <x:c r="I504" s="35" t="n">
        <x:f>G504*XLOOKUP(E504,'菜品主数据'!$A$5:$A$24,'菜品主数据'!$G$5:$G$24,0)</x:f>
        <x:v>65.73599999999999</x:v>
      </x:c>
    </x:row>
    <x:row r="505">
      <x:c r="A505" s="19" t="str">
        <x:v>2026-07-11|S04|D01</x:v>
      </x:c>
      <x:c r="B505" s="34" t="n">
        <x:v>46214.5</x:v>
      </x:c>
      <x:c r="C505" s="19" t="str">
        <x:v>S04</x:v>
      </x:c>
      <x:c r="D505" s="19" t="str">
        <x:v>金街美地店</x:v>
      </x:c>
      <x:c r="E505" s="19" t="str">
        <x:v>D01</x:v>
      </x:c>
      <x:c r="F505" s="19" t="str">
        <x:v>辣椒炒肉</x:v>
      </x:c>
      <x:c r="G505" s="20" t="n">
        <x:f>SUMIFS('7日销售明细'!$K$5:$K$2244,'7日销售明细'!$B$5:$B$2244,B505,'7日销售明细'!$D$5:$D$2244,C505,'7日销售明细'!$H$5:$H$2244,E505)</x:f>
        <x:v>37</x:v>
      </x:c>
      <x:c r="H505" s="35" t="n">
        <x:f>SUMIFS('7日销售明细'!$L$5:$L$2244,'7日销售明细'!$B$5:$B$2244,B505,'7日销售明细'!$D$5:$D$2244,C505,'7日销售明细'!$H$5:$H$2244,E505)</x:f>
        <x:v>1073</x:v>
      </x:c>
      <x:c r="I505" s="35" t="n">
        <x:f>G505*XLOOKUP(E505,'菜品主数据'!$A$5:$A$24,'菜品主数据'!$G$5:$G$24,0)</x:f>
        <x:v>319.47280000000006</x:v>
      </x:c>
    </x:row>
    <x:row r="506">
      <x:c r="A506" s="19" t="str">
        <x:v>2026-07-11|S04|D02</x:v>
      </x:c>
      <x:c r="B506" s="34" t="n">
        <x:v>46214.5</x:v>
      </x:c>
      <x:c r="C506" s="19" t="str">
        <x:v>S04</x:v>
      </x:c>
      <x:c r="D506" s="19" t="str">
        <x:v>金街美地店</x:v>
      </x:c>
      <x:c r="E506" s="19" t="str">
        <x:v>D02</x:v>
      </x:c>
      <x:c r="F506" s="19" t="str">
        <x:v>小炒黄牛肉</x:v>
      </x:c>
      <x:c r="G506" s="20" t="n">
        <x:f>SUMIFS('7日销售明细'!$K$5:$K$2244,'7日销售明细'!$B$5:$B$2244,B506,'7日销售明细'!$D$5:$D$2244,C506,'7日销售明细'!$H$5:$H$2244,E506)</x:f>
        <x:v>28</x:v>
      </x:c>
      <x:c r="H506" s="35" t="n">
        <x:f>SUMIFS('7日销售明细'!$L$5:$L$2244,'7日销售明细'!$B$5:$B$2244,B506,'7日销售明细'!$D$5:$D$2244,C506,'7日销售明细'!$H$5:$H$2244,E506)</x:f>
        <x:v>1372</x:v>
      </x:c>
      <x:c r="I506" s="35" t="n">
        <x:f>G506*XLOOKUP(E506,'菜品主数据'!$A$5:$A$24,'菜品主数据'!$G$5:$G$24,0)</x:f>
        <x:v>492.15600000000006</x:v>
      </x:c>
    </x:row>
    <x:row r="507">
      <x:c r="A507" s="19" t="str">
        <x:v>2026-07-11|S04|D03</x:v>
      </x:c>
      <x:c r="B507" s="34" t="n">
        <x:v>46214.5</x:v>
      </x:c>
      <x:c r="C507" s="19" t="str">
        <x:v>S04</x:v>
      </x:c>
      <x:c r="D507" s="19" t="str">
        <x:v>金街美地店</x:v>
      </x:c>
      <x:c r="E507" s="19" t="str">
        <x:v>D03</x:v>
      </x:c>
      <x:c r="F507" s="19" t="str">
        <x:v>香醋炒蛋</x:v>
      </x:c>
      <x:c r="G507" s="20" t="n">
        <x:f>SUMIFS('7日销售明细'!$K$5:$K$2244,'7日销售明细'!$B$5:$B$2244,B507,'7日销售明细'!$D$5:$D$2244,C507,'7日销售明细'!$H$5:$H$2244,E507)</x:f>
        <x:v>31</x:v>
      </x:c>
      <x:c r="H507" s="35" t="n">
        <x:f>SUMIFS('7日销售明细'!$L$5:$L$2244,'7日销售明细'!$B$5:$B$2244,B507,'7日销售明细'!$D$5:$D$2244,C507,'7日销售明细'!$H$5:$H$2244,E507)</x:f>
        <x:v>461.9</x:v>
      </x:c>
      <x:c r="I507" s="35" t="n">
        <x:f>G507*XLOOKUP(E507,'菜品主数据'!$A$5:$A$24,'菜品主数据'!$G$5:$G$24,0)</x:f>
        <x:v>116.12599999999999</x:v>
      </x:c>
    </x:row>
    <x:row r="508">
      <x:c r="A508" s="19" t="str">
        <x:v>2026-07-11|S04|D04</x:v>
      </x:c>
      <x:c r="B508" s="34" t="n">
        <x:v>46214.5</x:v>
      </x:c>
      <x:c r="C508" s="19" t="str">
        <x:v>S04</x:v>
      </x:c>
      <x:c r="D508" s="19" t="str">
        <x:v>金街美地店</x:v>
      </x:c>
      <x:c r="E508" s="19" t="str">
        <x:v>D04</x:v>
      </x:c>
      <x:c r="F508" s="19" t="str">
        <x:v>酸包菜炒粉皮</x:v>
      </x:c>
      <x:c r="G508" s="20" t="n">
        <x:f>SUMIFS('7日销售明细'!$K$5:$K$2244,'7日销售明细'!$B$5:$B$2244,B508,'7日销售明细'!$D$5:$D$2244,C508,'7日销售明细'!$H$5:$H$2244,E508)</x:f>
        <x:v>30</x:v>
      </x:c>
      <x:c r="H508" s="35" t="n">
        <x:f>SUMIFS('7日销售明细'!$L$5:$L$2244,'7日销售明细'!$B$5:$B$2244,B508,'7日销售明细'!$D$5:$D$2244,C508,'7日销售明细'!$H$5:$H$2244,E508)</x:f>
        <x:v>480</x:v>
      </x:c>
      <x:c r="I508" s="35" t="n">
        <x:f>G508*XLOOKUP(E508,'菜品主数据'!$A$5:$A$24,'菜品主数据'!$G$5:$G$24,0)</x:f>
        <x:v>119.34</x:v>
      </x:c>
    </x:row>
    <x:row r="509">
      <x:c r="A509" s="19" t="str">
        <x:v>2026-07-11|S04|D05</x:v>
      </x:c>
      <x:c r="B509" s="34" t="n">
        <x:v>46214.5</x:v>
      </x:c>
      <x:c r="C509" s="19" t="str">
        <x:v>S04</x:v>
      </x:c>
      <x:c r="D509" s="19" t="str">
        <x:v>金街美地店</x:v>
      </x:c>
      <x:c r="E509" s="19" t="str">
        <x:v>D05</x:v>
      </x:c>
      <x:c r="F509" s="19" t="str">
        <x:v>麻婆豆腐</x:v>
      </x:c>
      <x:c r="G509" s="20" t="n">
        <x:f>SUMIFS('7日销售明细'!$K$5:$K$2244,'7日销售明细'!$B$5:$B$2244,B509,'7日销售明细'!$D$5:$D$2244,C509,'7日销售明细'!$H$5:$H$2244,E509)</x:f>
        <x:v>43</x:v>
      </x:c>
      <x:c r="H509" s="35" t="n">
        <x:f>SUMIFS('7日销售明细'!$L$5:$L$2244,'7日销售明细'!$B$5:$B$2244,B509,'7日销售明细'!$D$5:$D$2244,C509,'7日销售明细'!$H$5:$H$2244,E509)</x:f>
        <x:v>425.70000000000005</x:v>
      </x:c>
      <x:c r="I509" s="35" t="n">
        <x:f>G509*XLOOKUP(E509,'菜品主数据'!$A$5:$A$24,'菜品主数据'!$G$5:$G$24,0)</x:f>
        <x:v>230.78100000000003</x:v>
      </x:c>
    </x:row>
    <x:row r="510">
      <x:c r="A510" s="19" t="str">
        <x:v>2026-07-11|S04|D06</x:v>
      </x:c>
      <x:c r="B510" s="34" t="n">
        <x:v>46214.5</x:v>
      </x:c>
      <x:c r="C510" s="19" t="str">
        <x:v>S04</x:v>
      </x:c>
      <x:c r="D510" s="19" t="str">
        <x:v>金街美地店</x:v>
      </x:c>
      <x:c r="E510" s="19" t="str">
        <x:v>D06</x:v>
      </x:c>
      <x:c r="F510" s="19" t="str">
        <x:v>剁椒鱼头</x:v>
      </x:c>
      <x:c r="G510" s="20" t="n">
        <x:f>SUMIFS('7日销售明细'!$K$5:$K$2244,'7日销售明细'!$B$5:$B$2244,B510,'7日销售明细'!$D$5:$D$2244,C510,'7日销售明细'!$H$5:$H$2244,E510)</x:f>
        <x:v>10</x:v>
      </x:c>
      <x:c r="H510" s="35" t="n">
        <x:f>SUMIFS('7日销售明细'!$L$5:$L$2244,'7日销售明细'!$B$5:$B$2244,B510,'7日销售明细'!$D$5:$D$2244,C510,'7日销售明细'!$H$5:$H$2244,E510)</x:f>
        <x:v>390</x:v>
      </x:c>
      <x:c r="I510" s="35" t="n">
        <x:f>G510*XLOOKUP(E510,'菜品主数据'!$A$5:$A$24,'菜品主数据'!$G$5:$G$24,0)</x:f>
        <x:v>174.46</x:v>
      </x:c>
    </x:row>
    <x:row r="511">
      <x:c r="A511" s="19" t="str">
        <x:v>2026-07-11|S04|D07</x:v>
      </x:c>
      <x:c r="B511" s="34" t="n">
        <x:v>46214.5</x:v>
      </x:c>
      <x:c r="C511" s="19" t="str">
        <x:v>S04</x:v>
      </x:c>
      <x:c r="D511" s="19" t="str">
        <x:v>金街美地店</x:v>
      </x:c>
      <x:c r="E511" s="19" t="str">
        <x:v>D07</x:v>
      </x:c>
      <x:c r="F511" s="19" t="str">
        <x:v>川味回锅肉</x:v>
      </x:c>
      <x:c r="G511" s="20" t="n">
        <x:f>SUMIFS('7日销售明细'!$K$5:$K$2244,'7日销售明细'!$B$5:$B$2244,B511,'7日销售明细'!$D$5:$D$2244,C511,'7日销售明细'!$H$5:$H$2244,E511)</x:f>
        <x:v>11</x:v>
      </x:c>
      <x:c r="H511" s="35" t="n">
        <x:f>SUMIFS('7日销售明细'!$L$5:$L$2244,'7日销售明细'!$B$5:$B$2244,B511,'7日销售明细'!$D$5:$D$2244,C511,'7日销售明细'!$H$5:$H$2244,E511)</x:f>
        <x:v>319</x:v>
      </x:c>
      <x:c r="I511" s="35" t="n">
        <x:f>G511*XLOOKUP(E511,'菜品主数据'!$A$5:$A$24,'菜品主数据'!$G$5:$G$24,0)</x:f>
        <x:v>112.54100000000003</x:v>
      </x:c>
    </x:row>
    <x:row r="512">
      <x:c r="A512" s="19" t="str">
        <x:v>2026-07-11|S04|D08</x:v>
      </x:c>
      <x:c r="B512" s="34" t="n">
        <x:v>46214.5</x:v>
      </x:c>
      <x:c r="C512" s="19" t="str">
        <x:v>S04</x:v>
      </x:c>
      <x:c r="D512" s="19" t="str">
        <x:v>金街美地店</x:v>
      </x:c>
      <x:c r="E512" s="19" t="str">
        <x:v>D08</x:v>
      </x:c>
      <x:c r="F512" s="19" t="str">
        <x:v>生炒清远鸡</x:v>
      </x:c>
      <x:c r="G512" s="20" t="n">
        <x:f>SUMIFS('7日销售明细'!$K$5:$K$2244,'7日销售明细'!$B$5:$B$2244,B512,'7日销售明细'!$D$5:$D$2244,C512,'7日销售明细'!$H$5:$H$2244,E512)</x:f>
        <x:v>8</x:v>
      </x:c>
      <x:c r="H512" s="35" t="n">
        <x:f>SUMIFS('7日销售明细'!$L$5:$L$2244,'7日销售明细'!$B$5:$B$2244,B512,'7日销售明细'!$D$5:$D$2244,C512,'7日销售明细'!$H$5:$H$2244,E512)</x:f>
        <x:v>288</x:v>
      </x:c>
      <x:c r="I512" s="35" t="n">
        <x:f>G512*XLOOKUP(E512,'菜品主数据'!$A$5:$A$24,'菜品主数据'!$G$5:$G$24,0)</x:f>
        <x:v>107.84</x:v>
      </x:c>
    </x:row>
    <x:row r="513">
      <x:c r="A513" s="19" t="str">
        <x:v>2026-07-11|S04|D09</x:v>
      </x:c>
      <x:c r="B513" s="34" t="n">
        <x:v>46214.5</x:v>
      </x:c>
      <x:c r="C513" s="19" t="str">
        <x:v>S04</x:v>
      </x:c>
      <x:c r="D513" s="19" t="str">
        <x:v>金街美地店</x:v>
      </x:c>
      <x:c r="E513" s="19" t="str">
        <x:v>D09</x:v>
      </x:c>
      <x:c r="F513" s="19" t="str">
        <x:v>炒豆干</x:v>
      </x:c>
      <x:c r="G513" s="20" t="n">
        <x:f>SUMIFS('7日销售明细'!$K$5:$K$2244,'7日销售明细'!$B$5:$B$2244,B513,'7日销售明细'!$D$5:$D$2244,C513,'7日销售明细'!$H$5:$H$2244,E513)</x:f>
        <x:v>13</x:v>
      </x:c>
      <x:c r="H513" s="35" t="n">
        <x:f>SUMIFS('7日销售明细'!$L$5:$L$2244,'7日销售明细'!$B$5:$B$2244,B513,'7日销售明细'!$D$5:$D$2244,C513,'7日销售明细'!$H$5:$H$2244,E513)</x:f>
        <x:v>234</x:v>
      </x:c>
      <x:c r="I513" s="35" t="n">
        <x:f>G513*XLOOKUP(E513,'菜品主数据'!$A$5:$A$24,'菜品主数据'!$G$5:$G$24,0)</x:f>
        <x:v>85.98199999999999</x:v>
      </x:c>
    </x:row>
    <x:row r="514">
      <x:c r="A514" s="19" t="str">
        <x:v>2026-07-11|S04|D10</x:v>
      </x:c>
      <x:c r="B514" s="34" t="n">
        <x:v>46214.5</x:v>
      </x:c>
      <x:c r="C514" s="19" t="str">
        <x:v>S04</x:v>
      </x:c>
      <x:c r="D514" s="19" t="str">
        <x:v>金街美地店</x:v>
      </x:c>
      <x:c r="E514" s="19" t="str">
        <x:v>D10</x:v>
      </x:c>
      <x:c r="F514" s="19" t="str">
        <x:v>农家一碗香</x:v>
      </x:c>
      <x:c r="G514" s="20" t="n">
        <x:f>SUMIFS('7日销售明细'!$K$5:$K$2244,'7日销售明细'!$B$5:$B$2244,B514,'7日销售明细'!$D$5:$D$2244,C514,'7日销售明细'!$H$5:$H$2244,E514)</x:f>
        <x:v>16</x:v>
      </x:c>
      <x:c r="H514" s="35" t="n">
        <x:f>SUMIFS('7日销售明细'!$L$5:$L$2244,'7日销售明细'!$B$5:$B$2244,B514,'7日销售明细'!$D$5:$D$2244,C514,'7日销售明细'!$H$5:$H$2244,E514)</x:f>
        <x:v>366.4</x:v>
      </x:c>
      <x:c r="I514" s="35" t="n">
        <x:f>G514*XLOOKUP(E514,'菜品主数据'!$A$5:$A$24,'菜品主数据'!$G$5:$G$24,0)</x:f>
        <x:v>156.32320000000004</x:v>
      </x:c>
    </x:row>
    <x:row r="515">
      <x:c r="A515" s="19" t="str">
        <x:v>2026-07-11|S04|D11</x:v>
      </x:c>
      <x:c r="B515" s="34" t="n">
        <x:v>46214.5</x:v>
      </x:c>
      <x:c r="C515" s="19" t="str">
        <x:v>S04</x:v>
      </x:c>
      <x:c r="D515" s="19" t="str">
        <x:v>金街美地店</x:v>
      </x:c>
      <x:c r="E515" s="19" t="str">
        <x:v>D11</x:v>
      </x:c>
      <x:c r="F515" s="19" t="str">
        <x:v>香辣爆肥肠</x:v>
      </x:c>
      <x:c r="G515" s="20" t="n">
        <x:f>SUMIFS('7日销售明细'!$K$5:$K$2244,'7日销售明细'!$B$5:$B$2244,B515,'7日销售明细'!$D$5:$D$2244,C515,'7日销售明细'!$H$5:$H$2244,E515)</x:f>
        <x:v>5</x:v>
      </x:c>
      <x:c r="H515" s="35" t="n">
        <x:f>SUMIFS('7日销售明细'!$L$5:$L$2244,'7日销售明细'!$B$5:$B$2244,B515,'7日销售明细'!$D$5:$D$2244,C515,'7日销售明细'!$H$5:$H$2244,E515)</x:f>
        <x:v>195</x:v>
      </x:c>
      <x:c r="I515" s="35" t="n">
        <x:f>G515*XLOOKUP(E515,'菜品主数据'!$A$5:$A$24,'菜品主数据'!$G$5:$G$24,0)</x:f>
        <x:v>51.985</x:v>
      </x:c>
    </x:row>
    <x:row r="516">
      <x:c r="A516" s="19" t="str">
        <x:v>2026-07-11|S04|D12</x:v>
      </x:c>
      <x:c r="B516" s="34" t="n">
        <x:v>46214.5</x:v>
      </x:c>
      <x:c r="C516" s="19" t="str">
        <x:v>S04</x:v>
      </x:c>
      <x:c r="D516" s="19" t="str">
        <x:v>金街美地店</x:v>
      </x:c>
      <x:c r="E516" s="19" t="str">
        <x:v>D12</x:v>
      </x:c>
      <x:c r="F516" s="19" t="str">
        <x:v>清蒸鲈鱼</x:v>
      </x:c>
      <x:c r="G516" s="20" t="n">
        <x:f>SUMIFS('7日销售明细'!$K$5:$K$2244,'7日销售明细'!$B$5:$B$2244,B516,'7日销售明细'!$D$5:$D$2244,C516,'7日销售明细'!$H$5:$H$2244,E516)</x:f>
        <x:v>5</x:v>
      </x:c>
      <x:c r="H516" s="35" t="n">
        <x:f>SUMIFS('7日销售明细'!$L$5:$L$2244,'7日销售明细'!$B$5:$B$2244,B516,'7日销售明细'!$D$5:$D$2244,C516,'7日销售明细'!$H$5:$H$2244,E516)</x:f>
        <x:v>195</x:v>
      </x:c>
      <x:c r="I516" s="35" t="n">
        <x:f>G516*XLOOKUP(E516,'菜品主数据'!$A$5:$A$24,'菜品主数据'!$G$5:$G$24,0)</x:f>
        <x:v>94.36999999999999</x:v>
      </x:c>
    </x:row>
    <x:row r="517">
      <x:c r="A517" s="19" t="str">
        <x:v>2026-07-11|S04|D13</x:v>
      </x:c>
      <x:c r="B517" s="34" t="n">
        <x:v>46214.5</x:v>
      </x:c>
      <x:c r="C517" s="19" t="str">
        <x:v>S04</x:v>
      </x:c>
      <x:c r="D517" s="19" t="str">
        <x:v>金街美地店</x:v>
      </x:c>
      <x:c r="E517" s="19" t="str">
        <x:v>D13</x:v>
      </x:c>
      <x:c r="F517" s="19" t="str">
        <x:v>外婆菜炒蛋</x:v>
      </x:c>
      <x:c r="G517" s="20" t="n">
        <x:f>SUMIFS('7日销售明细'!$K$5:$K$2244,'7日销售明细'!$B$5:$B$2244,B517,'7日销售明细'!$D$5:$D$2244,C517,'7日销售明细'!$H$5:$H$2244,E517)</x:f>
        <x:v>13</x:v>
      </x:c>
      <x:c r="H517" s="35" t="n">
        <x:f>SUMIFS('7日销售明细'!$L$5:$L$2244,'7日销售明细'!$B$5:$B$2244,B517,'7日销售明细'!$D$5:$D$2244,C517,'7日销售明细'!$H$5:$H$2244,E517)</x:f>
        <x:v>234</x:v>
      </x:c>
      <x:c r="I517" s="35" t="n">
        <x:f>G517*XLOOKUP(E517,'菜品主数据'!$A$5:$A$24,'菜品主数据'!$G$5:$G$24,0)</x:f>
        <x:v>70.25199999999998</x:v>
      </x:c>
    </x:row>
    <x:row r="518">
      <x:c r="A518" s="19" t="str">
        <x:v>2026-07-11|S04|D14</x:v>
      </x:c>
      <x:c r="B518" s="34" t="n">
        <x:v>46214.5</x:v>
      </x:c>
      <x:c r="C518" s="19" t="str">
        <x:v>S04</x:v>
      </x:c>
      <x:c r="D518" s="19" t="str">
        <x:v>金街美地店</x:v>
      </x:c>
      <x:c r="E518" s="19" t="str">
        <x:v>D14</x:v>
      </x:c>
      <x:c r="F518" s="19" t="str">
        <x:v>酸辣鸡杂</x:v>
      </x:c>
      <x:c r="G518" s="20" t="n">
        <x:f>SUMIFS('7日销售明细'!$K$5:$K$2244,'7日销售明细'!$B$5:$B$2244,B518,'7日销售明细'!$D$5:$D$2244,C518,'7日销售明细'!$H$5:$H$2244,E518)</x:f>
        <x:v>6</x:v>
      </x:c>
      <x:c r="H518" s="35" t="n">
        <x:f>SUMIFS('7日销售明细'!$L$5:$L$2244,'7日销售明细'!$B$5:$B$2244,B518,'7日销售明细'!$D$5:$D$2244,C518,'7日销售明细'!$H$5:$H$2244,E518)</x:f>
        <x:v>168</x:v>
      </x:c>
      <x:c r="I518" s="35" t="n">
        <x:f>G518*XLOOKUP(E518,'菜品主数据'!$A$5:$A$24,'菜品主数据'!$G$5:$G$24,0)</x:f>
        <x:v>49.89000000000001</x:v>
      </x:c>
    </x:row>
    <x:row r="519">
      <x:c r="A519" s="19" t="str">
        <x:v>2026-07-11|S04|D15</x:v>
      </x:c>
      <x:c r="B519" s="34" t="n">
        <x:v>46214.5</x:v>
      </x:c>
      <x:c r="C519" s="19" t="str">
        <x:v>S04</x:v>
      </x:c>
      <x:c r="D519" s="19" t="str">
        <x:v>金街美地店</x:v>
      </x:c>
      <x:c r="E519" s="19" t="str">
        <x:v>D15</x:v>
      </x:c>
      <x:c r="F519" s="19" t="str">
        <x:v>湘西土匪猪肝</x:v>
      </x:c>
      <x:c r="G519" s="20" t="n">
        <x:f>SUMIFS('7日销售明细'!$K$5:$K$2244,'7日销售明细'!$B$5:$B$2244,B519,'7日销售明细'!$D$5:$D$2244,C519,'7日销售明细'!$H$5:$H$2244,E519)</x:f>
        <x:v>6</x:v>
      </x:c>
      <x:c r="H519" s="35" t="n">
        <x:f>SUMIFS('7日销售明细'!$L$5:$L$2244,'7日销售明细'!$B$5:$B$2244,B519,'7日销售明细'!$D$5:$D$2244,C519,'7日销售明细'!$H$5:$H$2244,E519)</x:f>
        <x:v>156</x:v>
      </x:c>
      <x:c r="I519" s="35" t="n">
        <x:f>G519*XLOOKUP(E519,'菜品主数据'!$A$5:$A$24,'菜品主数据'!$G$5:$G$24,0)</x:f>
        <x:v>38.256</x:v>
      </x:c>
    </x:row>
    <x:row r="520">
      <x:c r="A520" s="19" t="str">
        <x:v>2026-07-11|S04|D16</x:v>
      </x:c>
      <x:c r="B520" s="34" t="n">
        <x:v>46214.5</x:v>
      </x:c>
      <x:c r="C520" s="19" t="str">
        <x:v>S04</x:v>
      </x:c>
      <x:c r="D520" s="19" t="str">
        <x:v>金街美地店</x:v>
      </x:c>
      <x:c r="E520" s="19" t="str">
        <x:v>D16</x:v>
      </x:c>
      <x:c r="F520" s="19" t="str">
        <x:v>小豆角炒五花</x:v>
      </x:c>
      <x:c r="G520" s="20" t="n">
        <x:f>SUMIFS('7日销售明细'!$K$5:$K$2244,'7日销售明细'!$B$5:$B$2244,B520,'7日销售明细'!$D$5:$D$2244,C520,'7日销售明细'!$H$5:$H$2244,E520)</x:f>
        <x:v>5</x:v>
      </x:c>
      <x:c r="H520" s="35" t="n">
        <x:f>SUMIFS('7日销售明细'!$L$5:$L$2244,'7日销售明细'!$B$5:$B$2244,B520,'7日销售明细'!$D$5:$D$2244,C520,'7日销售明细'!$H$5:$H$2244,E520)</x:f>
        <x:v>125</x:v>
      </x:c>
      <x:c r="I520" s="35" t="n">
        <x:f>G520*XLOOKUP(E520,'菜品主数据'!$A$5:$A$24,'菜品主数据'!$G$5:$G$24,0)</x:f>
        <x:v>40.919999999999995</x:v>
      </x:c>
    </x:row>
    <x:row r="521">
      <x:c r="A521" s="19" t="str">
        <x:v>2026-07-11|S04|D17</x:v>
      </x:c>
      <x:c r="B521" s="34" t="n">
        <x:v>46214.5</x:v>
      </x:c>
      <x:c r="C521" s="19" t="str">
        <x:v>S04</x:v>
      </x:c>
      <x:c r="D521" s="19" t="str">
        <x:v>金街美地店</x:v>
      </x:c>
      <x:c r="E521" s="19" t="str">
        <x:v>D17</x:v>
      </x:c>
      <x:c r="F521" s="19" t="str">
        <x:v>蒜蓉粉丝虾</x:v>
      </x:c>
      <x:c r="G521" s="20" t="n">
        <x:f>SUMIFS('7日销售明细'!$K$5:$K$2244,'7日销售明细'!$B$5:$B$2244,B521,'7日销售明细'!$D$5:$D$2244,C521,'7日销售明细'!$H$5:$H$2244,E521)</x:f>
        <x:v>4</x:v>
      </x:c>
      <x:c r="H521" s="35" t="n">
        <x:f>SUMIFS('7日销售明细'!$L$5:$L$2244,'7日销售明细'!$B$5:$B$2244,B521,'7日销售明细'!$D$5:$D$2244,C521,'7日销售明细'!$H$5:$H$2244,E521)</x:f>
        <x:v>144</x:v>
      </x:c>
      <x:c r="I521" s="35" t="n">
        <x:f>G521*XLOOKUP(E521,'菜品主数据'!$A$5:$A$24,'菜品主数据'!$G$5:$G$24,0)</x:f>
        <x:v>54.376</x:v>
      </x:c>
    </x:row>
    <x:row r="522">
      <x:c r="A522" s="19" t="str">
        <x:v>2026-07-11|S04|D18</x:v>
      </x:c>
      <x:c r="B522" s="34" t="n">
        <x:v>46214.5</x:v>
      </x:c>
      <x:c r="C522" s="19" t="str">
        <x:v>S04</x:v>
      </x:c>
      <x:c r="D522" s="19" t="str">
        <x:v>金街美地店</x:v>
      </x:c>
      <x:c r="E522" s="19" t="str">
        <x:v>D18</x:v>
      </x:c>
      <x:c r="F522" s="19" t="str">
        <x:v>青椒炒油麦菜</x:v>
      </x:c>
      <x:c r="G522" s="20" t="n">
        <x:f>SUMIFS('7日销售明细'!$K$5:$K$2244,'7日销售明细'!$B$5:$B$2244,B522,'7日销售明细'!$D$5:$D$2244,C522,'7日销售明细'!$H$5:$H$2244,E522)</x:f>
        <x:v>6</x:v>
      </x:c>
      <x:c r="H522" s="35" t="n">
        <x:f>SUMIFS('7日销售明细'!$L$5:$L$2244,'7日销售明细'!$B$5:$B$2244,B522,'7日销售明细'!$D$5:$D$2244,C522,'7日销售明细'!$H$5:$H$2244,E522)</x:f>
        <x:v>108</x:v>
      </x:c>
      <x:c r="I522" s="35" t="n">
        <x:f>G522*XLOOKUP(E522,'菜品主数据'!$A$5:$A$24,'菜品主数据'!$G$5:$G$24,0)</x:f>
        <x:v>19.055999999999997</x:v>
      </x:c>
    </x:row>
    <x:row r="523">
      <x:c r="A523" s="19" t="str">
        <x:v>2026-07-11|S04|D19</x:v>
      </x:c>
      <x:c r="B523" s="34" t="n">
        <x:v>46214.5</x:v>
      </x:c>
      <x:c r="C523" s="19" t="str">
        <x:v>S04</x:v>
      </x:c>
      <x:c r="D523" s="19" t="str">
        <x:v>金街美地店</x:v>
      </x:c>
      <x:c r="E523" s="19" t="str">
        <x:v>D19</x:v>
      </x:c>
      <x:c r="F523" s="19" t="str">
        <x:v>酸萝卜炒鸡杂</x:v>
      </x:c>
      <x:c r="G523" s="20" t="n">
        <x:f>SUMIFS('7日销售明细'!$K$5:$K$2244,'7日销售明细'!$B$5:$B$2244,B523,'7日销售明细'!$D$5:$D$2244,C523,'7日销售明细'!$H$5:$H$2244,E523)</x:f>
        <x:v>5</x:v>
      </x:c>
      <x:c r="H523" s="35" t="n">
        <x:f>SUMIFS('7日销售明细'!$L$5:$L$2244,'7日销售明细'!$B$5:$B$2244,B523,'7日销售明细'!$D$5:$D$2244,C523,'7日销售明细'!$H$5:$H$2244,E523)</x:f>
        <x:v>125</x:v>
      </x:c>
      <x:c r="I523" s="35" t="n">
        <x:f>G523*XLOOKUP(E523,'菜品主数据'!$A$5:$A$24,'菜品主数据'!$G$5:$G$24,0)</x:f>
        <x:v>39.699999999999996</x:v>
      </x:c>
    </x:row>
    <x:row r="524">
      <x:c r="A524" s="19" t="str">
        <x:v>2026-07-11|S04|D20</x:v>
      </x:c>
      <x:c r="B524" s="34" t="n">
        <x:v>46214.5</x:v>
      </x:c>
      <x:c r="C524" s="19" t="str">
        <x:v>S04</x:v>
      </x:c>
      <x:c r="D524" s="19" t="str">
        <x:v>金街美地店</x:v>
      </x:c>
      <x:c r="E524" s="19" t="str">
        <x:v>D20</x:v>
      </x:c>
      <x:c r="F524" s="19" t="str">
        <x:v>雪菜肉末青豆</x:v>
      </x:c>
      <x:c r="G524" s="20" t="n">
        <x:f>SUMIFS('7日销售明细'!$K$5:$K$2244,'7日销售明细'!$B$5:$B$2244,B524,'7日销售明细'!$D$5:$D$2244,C524,'7日销售明细'!$H$5:$H$2244,E524)</x:f>
        <x:v>6</x:v>
      </x:c>
      <x:c r="H524" s="35" t="n">
        <x:f>SUMIFS('7日销售明细'!$L$5:$L$2244,'7日销售明细'!$B$5:$B$2244,B524,'7日销售明细'!$D$5:$D$2244,C524,'7日销售明细'!$H$5:$H$2244,E524)</x:f>
        <x:v>108</x:v>
      </x:c>
      <x:c r="I524" s="35" t="n">
        <x:f>G524*XLOOKUP(E524,'菜品主数据'!$A$5:$A$24,'菜品主数据'!$G$5:$G$24,0)</x:f>
        <x:v>43.824</x:v>
      </x:c>
    </x:row>
    <x:row r="525">
      <x:c r="A525" s="19" t="str">
        <x:v>2026-07-12|S04|D01</x:v>
      </x:c>
      <x:c r="B525" s="34" t="n">
        <x:v>46215.5</x:v>
      </x:c>
      <x:c r="C525" s="19" t="str">
        <x:v>S04</x:v>
      </x:c>
      <x:c r="D525" s="19" t="str">
        <x:v>金街美地店</x:v>
      </x:c>
      <x:c r="E525" s="19" t="str">
        <x:v>D01</x:v>
      </x:c>
      <x:c r="F525" s="19" t="str">
        <x:v>辣椒炒肉</x:v>
      </x:c>
      <x:c r="G525" s="20" t="n">
        <x:f>SUMIFS('7日销售明细'!$K$5:$K$2244,'7日销售明细'!$B$5:$B$2244,B525,'7日销售明细'!$D$5:$D$2244,C525,'7日销售明细'!$H$5:$H$2244,E525)</x:f>
        <x:v>37</x:v>
      </x:c>
      <x:c r="H525" s="35" t="n">
        <x:f>SUMIFS('7日销售明细'!$L$5:$L$2244,'7日销售明细'!$B$5:$B$2244,B525,'7日销售明细'!$D$5:$D$2244,C525,'7日销售明细'!$H$5:$H$2244,E525)</x:f>
        <x:v>1073</x:v>
      </x:c>
      <x:c r="I525" s="35" t="n">
        <x:f>G525*XLOOKUP(E525,'菜品主数据'!$A$5:$A$24,'菜品主数据'!$G$5:$G$24,0)</x:f>
        <x:v>319.47280000000006</x:v>
      </x:c>
    </x:row>
    <x:row r="526">
      <x:c r="A526" s="19" t="str">
        <x:v>2026-07-12|S04|D02</x:v>
      </x:c>
      <x:c r="B526" s="34" t="n">
        <x:v>46215.5</x:v>
      </x:c>
      <x:c r="C526" s="19" t="str">
        <x:v>S04</x:v>
      </x:c>
      <x:c r="D526" s="19" t="str">
        <x:v>金街美地店</x:v>
      </x:c>
      <x:c r="E526" s="19" t="str">
        <x:v>D02</x:v>
      </x:c>
      <x:c r="F526" s="19" t="str">
        <x:v>小炒黄牛肉</x:v>
      </x:c>
      <x:c r="G526" s="20" t="n">
        <x:f>SUMIFS('7日销售明细'!$K$5:$K$2244,'7日销售明细'!$B$5:$B$2244,B526,'7日销售明细'!$D$5:$D$2244,C526,'7日销售明细'!$H$5:$H$2244,E526)</x:f>
        <x:v>29</x:v>
      </x:c>
      <x:c r="H526" s="35" t="n">
        <x:f>SUMIFS('7日销售明细'!$L$5:$L$2244,'7日销售明细'!$B$5:$B$2244,B526,'7日销售明细'!$D$5:$D$2244,C526,'7日销售明细'!$H$5:$H$2244,E526)</x:f>
        <x:v>1421</x:v>
      </x:c>
      <x:c r="I526" s="35" t="n">
        <x:f>G526*XLOOKUP(E526,'菜品主数据'!$A$5:$A$24,'菜品主数据'!$G$5:$G$24,0)</x:f>
        <x:v>509.73300000000006</x:v>
      </x:c>
    </x:row>
    <x:row r="527">
      <x:c r="A527" s="19" t="str">
        <x:v>2026-07-12|S04|D03</x:v>
      </x:c>
      <x:c r="B527" s="34" t="n">
        <x:v>46215.5</x:v>
      </x:c>
      <x:c r="C527" s="19" t="str">
        <x:v>S04</x:v>
      </x:c>
      <x:c r="D527" s="19" t="str">
        <x:v>金街美地店</x:v>
      </x:c>
      <x:c r="E527" s="19" t="str">
        <x:v>D03</x:v>
      </x:c>
      <x:c r="F527" s="19" t="str">
        <x:v>香醋炒蛋</x:v>
      </x:c>
      <x:c r="G527" s="20" t="n">
        <x:f>SUMIFS('7日销售明细'!$K$5:$K$2244,'7日销售明细'!$B$5:$B$2244,B527,'7日销售明细'!$D$5:$D$2244,C527,'7日销售明细'!$H$5:$H$2244,E527)</x:f>
        <x:v>33</x:v>
      </x:c>
      <x:c r="H527" s="35" t="n">
        <x:f>SUMIFS('7日销售明细'!$L$5:$L$2244,'7日销售明细'!$B$5:$B$2244,B527,'7日销售明细'!$D$5:$D$2244,C527,'7日销售明细'!$H$5:$H$2244,E527)</x:f>
        <x:v>491.7</x:v>
      </x:c>
      <x:c r="I527" s="35" t="n">
        <x:f>G527*XLOOKUP(E527,'菜品主数据'!$A$5:$A$24,'菜品主数据'!$G$5:$G$24,0)</x:f>
        <x:v>123.61799999999998</x:v>
      </x:c>
    </x:row>
    <x:row r="528">
      <x:c r="A528" s="19" t="str">
        <x:v>2026-07-12|S04|D04</x:v>
      </x:c>
      <x:c r="B528" s="34" t="n">
        <x:v>46215.5</x:v>
      </x:c>
      <x:c r="C528" s="19" t="str">
        <x:v>S04</x:v>
      </x:c>
      <x:c r="D528" s="19" t="str">
        <x:v>金街美地店</x:v>
      </x:c>
      <x:c r="E528" s="19" t="str">
        <x:v>D04</x:v>
      </x:c>
      <x:c r="F528" s="19" t="str">
        <x:v>酸包菜炒粉皮</x:v>
      </x:c>
      <x:c r="G528" s="20" t="n">
        <x:f>SUMIFS('7日销售明细'!$K$5:$K$2244,'7日销售明细'!$B$5:$B$2244,B528,'7日销售明细'!$D$5:$D$2244,C528,'7日销售明细'!$H$5:$H$2244,E528)</x:f>
        <x:v>28</x:v>
      </x:c>
      <x:c r="H528" s="35" t="n">
        <x:f>SUMIFS('7日销售明细'!$L$5:$L$2244,'7日销售明细'!$B$5:$B$2244,B528,'7日销售明细'!$D$5:$D$2244,C528,'7日销售明细'!$H$5:$H$2244,E528)</x:f>
        <x:v>448</x:v>
      </x:c>
      <x:c r="I528" s="35" t="n">
        <x:f>G528*XLOOKUP(E528,'菜品主数据'!$A$5:$A$24,'菜品主数据'!$G$5:$G$24,0)</x:f>
        <x:v>111.384</x:v>
      </x:c>
    </x:row>
    <x:row r="529">
      <x:c r="A529" s="19" t="str">
        <x:v>2026-07-12|S04|D05</x:v>
      </x:c>
      <x:c r="B529" s="34" t="n">
        <x:v>46215.5</x:v>
      </x:c>
      <x:c r="C529" s="19" t="str">
        <x:v>S04</x:v>
      </x:c>
      <x:c r="D529" s="19" t="str">
        <x:v>金街美地店</x:v>
      </x:c>
      <x:c r="E529" s="19" t="str">
        <x:v>D05</x:v>
      </x:c>
      <x:c r="F529" s="19" t="str">
        <x:v>麻婆豆腐</x:v>
      </x:c>
      <x:c r="G529" s="20" t="n">
        <x:f>SUMIFS('7日销售明细'!$K$5:$K$2244,'7日销售明细'!$B$5:$B$2244,B529,'7日销售明细'!$D$5:$D$2244,C529,'7日销售明细'!$H$5:$H$2244,E529)</x:f>
        <x:v>39</x:v>
      </x:c>
      <x:c r="H529" s="35" t="n">
        <x:f>SUMIFS('7日销售明细'!$L$5:$L$2244,'7日销售明细'!$B$5:$B$2244,B529,'7日销售明细'!$D$5:$D$2244,C529,'7日销售明细'!$H$5:$H$2244,E529)</x:f>
        <x:v>386.1</x:v>
      </x:c>
      <x:c r="I529" s="35" t="n">
        <x:f>G529*XLOOKUP(E529,'菜品主数据'!$A$5:$A$24,'菜品主数据'!$G$5:$G$24,0)</x:f>
        <x:v>209.31300000000005</x:v>
      </x:c>
    </x:row>
    <x:row r="530">
      <x:c r="A530" s="19" t="str">
        <x:v>2026-07-12|S04|D06</x:v>
      </x:c>
      <x:c r="B530" s="34" t="n">
        <x:v>46215.5</x:v>
      </x:c>
      <x:c r="C530" s="19" t="str">
        <x:v>S04</x:v>
      </x:c>
      <x:c r="D530" s="19" t="str">
        <x:v>金街美地店</x:v>
      </x:c>
      <x:c r="E530" s="19" t="str">
        <x:v>D06</x:v>
      </x:c>
      <x:c r="F530" s="19" t="str">
        <x:v>剁椒鱼头</x:v>
      </x:c>
      <x:c r="G530" s="20" t="n">
        <x:f>SUMIFS('7日销售明细'!$K$5:$K$2244,'7日销售明细'!$B$5:$B$2244,B530,'7日销售明细'!$D$5:$D$2244,C530,'7日销售明细'!$H$5:$H$2244,E530)</x:f>
        <x:v>9</x:v>
      </x:c>
      <x:c r="H530" s="35" t="n">
        <x:f>SUMIFS('7日销售明细'!$L$5:$L$2244,'7日销售明细'!$B$5:$B$2244,B530,'7日销售明细'!$D$5:$D$2244,C530,'7日销售明细'!$H$5:$H$2244,E530)</x:f>
        <x:v>351</x:v>
      </x:c>
      <x:c r="I530" s="35" t="n">
        <x:f>G530*XLOOKUP(E530,'菜品主数据'!$A$5:$A$24,'菜品主数据'!$G$5:$G$24,0)</x:f>
        <x:v>157.014</x:v>
      </x:c>
    </x:row>
    <x:row r="531">
      <x:c r="A531" s="19" t="str">
        <x:v>2026-07-12|S04|D07</x:v>
      </x:c>
      <x:c r="B531" s="34" t="n">
        <x:v>46215.5</x:v>
      </x:c>
      <x:c r="C531" s="19" t="str">
        <x:v>S04</x:v>
      </x:c>
      <x:c r="D531" s="19" t="str">
        <x:v>金街美地店</x:v>
      </x:c>
      <x:c r="E531" s="19" t="str">
        <x:v>D07</x:v>
      </x:c>
      <x:c r="F531" s="19" t="str">
        <x:v>川味回锅肉</x:v>
      </x:c>
      <x:c r="G531" s="20" t="n">
        <x:f>SUMIFS('7日销售明细'!$K$5:$K$2244,'7日销售明细'!$B$5:$B$2244,B531,'7日销售明细'!$D$5:$D$2244,C531,'7日销售明细'!$H$5:$H$2244,E531)</x:f>
        <x:v>12</x:v>
      </x:c>
      <x:c r="H531" s="35" t="n">
        <x:f>SUMIFS('7日销售明细'!$L$5:$L$2244,'7日销售明细'!$B$5:$B$2244,B531,'7日销售明细'!$D$5:$D$2244,C531,'7日销售明细'!$H$5:$H$2244,E531)</x:f>
        <x:v>348</x:v>
      </x:c>
      <x:c r="I531" s="35" t="n">
        <x:f>G531*XLOOKUP(E531,'菜品主数据'!$A$5:$A$24,'菜品主数据'!$G$5:$G$24,0)</x:f>
        <x:v>122.77200000000002</x:v>
      </x:c>
    </x:row>
    <x:row r="532">
      <x:c r="A532" s="19" t="str">
        <x:v>2026-07-12|S04|D08</x:v>
      </x:c>
      <x:c r="B532" s="34" t="n">
        <x:v>46215.5</x:v>
      </x:c>
      <x:c r="C532" s="19" t="str">
        <x:v>S04</x:v>
      </x:c>
      <x:c r="D532" s="19" t="str">
        <x:v>金街美地店</x:v>
      </x:c>
      <x:c r="E532" s="19" t="str">
        <x:v>D08</x:v>
      </x:c>
      <x:c r="F532" s="19" t="str">
        <x:v>生炒清远鸡</x:v>
      </x:c>
      <x:c r="G532" s="20" t="n">
        <x:f>SUMIFS('7日销售明细'!$K$5:$K$2244,'7日销售明细'!$B$5:$B$2244,B532,'7日销售明细'!$D$5:$D$2244,C532,'7日销售明细'!$H$5:$H$2244,E532)</x:f>
        <x:v>7</x:v>
      </x:c>
      <x:c r="H532" s="35" t="n">
        <x:f>SUMIFS('7日销售明细'!$L$5:$L$2244,'7日销售明细'!$B$5:$B$2244,B532,'7日销售明细'!$D$5:$D$2244,C532,'7日销售明细'!$H$5:$H$2244,E532)</x:f>
        <x:v>252</x:v>
      </x:c>
      <x:c r="I532" s="35" t="n">
        <x:f>G532*XLOOKUP(E532,'菜品主数据'!$A$5:$A$24,'菜品主数据'!$G$5:$G$24,0)</x:f>
        <x:v>94.36</x:v>
      </x:c>
    </x:row>
    <x:row r="533">
      <x:c r="A533" s="19" t="str">
        <x:v>2026-07-12|S04|D09</x:v>
      </x:c>
      <x:c r="B533" s="34" t="n">
        <x:v>46215.5</x:v>
      </x:c>
      <x:c r="C533" s="19" t="str">
        <x:v>S04</x:v>
      </x:c>
      <x:c r="D533" s="19" t="str">
        <x:v>金街美地店</x:v>
      </x:c>
      <x:c r="E533" s="19" t="str">
        <x:v>D09</x:v>
      </x:c>
      <x:c r="F533" s="19" t="str">
        <x:v>炒豆干</x:v>
      </x:c>
      <x:c r="G533" s="20" t="n">
        <x:f>SUMIFS('7日销售明细'!$K$5:$K$2244,'7日销售明细'!$B$5:$B$2244,B533,'7日销售明细'!$D$5:$D$2244,C533,'7日销售明细'!$H$5:$H$2244,E533)</x:f>
        <x:v>13</x:v>
      </x:c>
      <x:c r="H533" s="35" t="n">
        <x:f>SUMIFS('7日销售明细'!$L$5:$L$2244,'7日销售明细'!$B$5:$B$2244,B533,'7日销售明细'!$D$5:$D$2244,C533,'7日销售明细'!$H$5:$H$2244,E533)</x:f>
        <x:v>234</x:v>
      </x:c>
      <x:c r="I533" s="35" t="n">
        <x:f>G533*XLOOKUP(E533,'菜品主数据'!$A$5:$A$24,'菜品主数据'!$G$5:$G$24,0)</x:f>
        <x:v>85.98199999999999</x:v>
      </x:c>
    </x:row>
    <x:row r="534">
      <x:c r="A534" s="19" t="str">
        <x:v>2026-07-12|S04|D10</x:v>
      </x:c>
      <x:c r="B534" s="34" t="n">
        <x:v>46215.5</x:v>
      </x:c>
      <x:c r="C534" s="19" t="str">
        <x:v>S04</x:v>
      </x:c>
      <x:c r="D534" s="19" t="str">
        <x:v>金街美地店</x:v>
      </x:c>
      <x:c r="E534" s="19" t="str">
        <x:v>D10</x:v>
      </x:c>
      <x:c r="F534" s="19" t="str">
        <x:v>农家一碗香</x:v>
      </x:c>
      <x:c r="G534" s="20" t="n">
        <x:f>SUMIFS('7日销售明细'!$K$5:$K$2244,'7日销售明细'!$B$5:$B$2244,B534,'7日销售明细'!$D$5:$D$2244,C534,'7日销售明细'!$H$5:$H$2244,E534)</x:f>
        <x:v>14</x:v>
      </x:c>
      <x:c r="H534" s="35" t="n">
        <x:f>SUMIFS('7日销售明细'!$L$5:$L$2244,'7日销售明细'!$B$5:$B$2244,B534,'7日销售明细'!$D$5:$D$2244,C534,'7日销售明细'!$H$5:$H$2244,E534)</x:f>
        <x:v>320.59999999999997</x:v>
      </x:c>
      <x:c r="I534" s="35" t="n">
        <x:f>G534*XLOOKUP(E534,'菜品主数据'!$A$5:$A$24,'菜品主数据'!$G$5:$G$24,0)</x:f>
        <x:v>136.78280000000004</x:v>
      </x:c>
    </x:row>
    <x:row r="535">
      <x:c r="A535" s="19" t="str">
        <x:v>2026-07-12|S04|D11</x:v>
      </x:c>
      <x:c r="B535" s="34" t="n">
        <x:v>46215.5</x:v>
      </x:c>
      <x:c r="C535" s="19" t="str">
        <x:v>S04</x:v>
      </x:c>
      <x:c r="D535" s="19" t="str">
        <x:v>金街美地店</x:v>
      </x:c>
      <x:c r="E535" s="19" t="str">
        <x:v>D11</x:v>
      </x:c>
      <x:c r="F535" s="19" t="str">
        <x:v>香辣爆肥肠</x:v>
      </x:c>
      <x:c r="G535" s="20" t="n">
        <x:f>SUMIFS('7日销售明细'!$K$5:$K$2244,'7日销售明细'!$B$5:$B$2244,B535,'7日销售明细'!$D$5:$D$2244,C535,'7日销售明细'!$H$5:$H$2244,E535)</x:f>
        <x:v>5</x:v>
      </x:c>
      <x:c r="H535" s="35" t="n">
        <x:f>SUMIFS('7日销售明细'!$L$5:$L$2244,'7日销售明细'!$B$5:$B$2244,B535,'7日销售明细'!$D$5:$D$2244,C535,'7日销售明细'!$H$5:$H$2244,E535)</x:f>
        <x:v>195</x:v>
      </x:c>
      <x:c r="I535" s="35" t="n">
        <x:f>G535*XLOOKUP(E535,'菜品主数据'!$A$5:$A$24,'菜品主数据'!$G$5:$G$24,0)</x:f>
        <x:v>51.985</x:v>
      </x:c>
    </x:row>
    <x:row r="536">
      <x:c r="A536" s="19" t="str">
        <x:v>2026-07-12|S04|D12</x:v>
      </x:c>
      <x:c r="B536" s="34" t="n">
        <x:v>46215.5</x:v>
      </x:c>
      <x:c r="C536" s="19" t="str">
        <x:v>S04</x:v>
      </x:c>
      <x:c r="D536" s="19" t="str">
        <x:v>金街美地店</x:v>
      </x:c>
      <x:c r="E536" s="19" t="str">
        <x:v>D12</x:v>
      </x:c>
      <x:c r="F536" s="19" t="str">
        <x:v>清蒸鲈鱼</x:v>
      </x:c>
      <x:c r="G536" s="20" t="n">
        <x:f>SUMIFS('7日销售明细'!$K$5:$K$2244,'7日销售明细'!$B$5:$B$2244,B536,'7日销售明细'!$D$5:$D$2244,C536,'7日销售明细'!$H$5:$H$2244,E536)</x:f>
        <x:v>5</x:v>
      </x:c>
      <x:c r="H536" s="35" t="n">
        <x:f>SUMIFS('7日销售明细'!$L$5:$L$2244,'7日销售明细'!$B$5:$B$2244,B536,'7日销售明细'!$D$5:$D$2244,C536,'7日销售明细'!$H$5:$H$2244,E536)</x:f>
        <x:v>195</x:v>
      </x:c>
      <x:c r="I536" s="35" t="n">
        <x:f>G536*XLOOKUP(E536,'菜品主数据'!$A$5:$A$24,'菜品主数据'!$G$5:$G$24,0)</x:f>
        <x:v>94.36999999999999</x:v>
      </x:c>
    </x:row>
    <x:row r="537">
      <x:c r="A537" s="19" t="str">
        <x:v>2026-07-12|S04|D13</x:v>
      </x:c>
      <x:c r="B537" s="34" t="n">
        <x:v>46215.5</x:v>
      </x:c>
      <x:c r="C537" s="19" t="str">
        <x:v>S04</x:v>
      </x:c>
      <x:c r="D537" s="19" t="str">
        <x:v>金街美地店</x:v>
      </x:c>
      <x:c r="E537" s="19" t="str">
        <x:v>D13</x:v>
      </x:c>
      <x:c r="F537" s="19" t="str">
        <x:v>外婆菜炒蛋</x:v>
      </x:c>
      <x:c r="G537" s="20" t="n">
        <x:f>SUMIFS('7日销售明细'!$K$5:$K$2244,'7日销售明细'!$B$5:$B$2244,B537,'7日销售明细'!$D$5:$D$2244,C537,'7日销售明细'!$H$5:$H$2244,E537)</x:f>
        <x:v>13</x:v>
      </x:c>
      <x:c r="H537" s="35" t="n">
        <x:f>SUMIFS('7日销售明细'!$L$5:$L$2244,'7日销售明细'!$B$5:$B$2244,B537,'7日销售明细'!$D$5:$D$2244,C537,'7日销售明细'!$H$5:$H$2244,E537)</x:f>
        <x:v>234</x:v>
      </x:c>
      <x:c r="I537" s="35" t="n">
        <x:f>G537*XLOOKUP(E537,'菜品主数据'!$A$5:$A$24,'菜品主数据'!$G$5:$G$24,0)</x:f>
        <x:v>70.25199999999998</x:v>
      </x:c>
    </x:row>
    <x:row r="538">
      <x:c r="A538" s="19" t="str">
        <x:v>2026-07-12|S04|D14</x:v>
      </x:c>
      <x:c r="B538" s="34" t="n">
        <x:v>46215.5</x:v>
      </x:c>
      <x:c r="C538" s="19" t="str">
        <x:v>S04</x:v>
      </x:c>
      <x:c r="D538" s="19" t="str">
        <x:v>金街美地店</x:v>
      </x:c>
      <x:c r="E538" s="19" t="str">
        <x:v>D14</x:v>
      </x:c>
      <x:c r="F538" s="19" t="str">
        <x:v>酸辣鸡杂</x:v>
      </x:c>
      <x:c r="G538" s="20" t="n">
        <x:f>SUMIFS('7日销售明细'!$K$5:$K$2244,'7日销售明细'!$B$5:$B$2244,B538,'7日销售明细'!$D$5:$D$2244,C538,'7日销售明细'!$H$5:$H$2244,E538)</x:f>
        <x:v>6</x:v>
      </x:c>
      <x:c r="H538" s="35" t="n">
        <x:f>SUMIFS('7日销售明细'!$L$5:$L$2244,'7日销售明细'!$B$5:$B$2244,B538,'7日销售明细'!$D$5:$D$2244,C538,'7日销售明细'!$H$5:$H$2244,E538)</x:f>
        <x:v>168</x:v>
      </x:c>
      <x:c r="I538" s="35" t="n">
        <x:f>G538*XLOOKUP(E538,'菜品主数据'!$A$5:$A$24,'菜品主数据'!$G$5:$G$24,0)</x:f>
        <x:v>49.89000000000001</x:v>
      </x:c>
    </x:row>
    <x:row r="539">
      <x:c r="A539" s="19" t="str">
        <x:v>2026-07-12|S04|D15</x:v>
      </x:c>
      <x:c r="B539" s="34" t="n">
        <x:v>46215.5</x:v>
      </x:c>
      <x:c r="C539" s="19" t="str">
        <x:v>S04</x:v>
      </x:c>
      <x:c r="D539" s="19" t="str">
        <x:v>金街美地店</x:v>
      </x:c>
      <x:c r="E539" s="19" t="str">
        <x:v>D15</x:v>
      </x:c>
      <x:c r="F539" s="19" t="str">
        <x:v>湘西土匪猪肝</x:v>
      </x:c>
      <x:c r="G539" s="20" t="n">
        <x:f>SUMIFS('7日销售明细'!$K$5:$K$2244,'7日销售明细'!$B$5:$B$2244,B539,'7日销售明细'!$D$5:$D$2244,C539,'7日销售明细'!$H$5:$H$2244,E539)</x:f>
        <x:v>5</x:v>
      </x:c>
      <x:c r="H539" s="35" t="n">
        <x:f>SUMIFS('7日销售明细'!$L$5:$L$2244,'7日销售明细'!$B$5:$B$2244,B539,'7日销售明细'!$D$5:$D$2244,C539,'7日销售明细'!$H$5:$H$2244,E539)</x:f>
        <x:v>130</x:v>
      </x:c>
      <x:c r="I539" s="35" t="n">
        <x:f>G539*XLOOKUP(E539,'菜品主数据'!$A$5:$A$24,'菜品主数据'!$G$5:$G$24,0)</x:f>
        <x:v>31.879999999999995</x:v>
      </x:c>
    </x:row>
    <x:row r="540">
      <x:c r="A540" s="19" t="str">
        <x:v>2026-07-12|S04|D16</x:v>
      </x:c>
      <x:c r="B540" s="34" t="n">
        <x:v>46215.5</x:v>
      </x:c>
      <x:c r="C540" s="19" t="str">
        <x:v>S04</x:v>
      </x:c>
      <x:c r="D540" s="19" t="str">
        <x:v>金街美地店</x:v>
      </x:c>
      <x:c r="E540" s="19" t="str">
        <x:v>D16</x:v>
      </x:c>
      <x:c r="F540" s="19" t="str">
        <x:v>小豆角炒五花</x:v>
      </x:c>
      <x:c r="G540" s="20" t="n">
        <x:f>SUMIFS('7日销售明细'!$K$5:$K$2244,'7日销售明细'!$B$5:$B$2244,B540,'7日销售明细'!$D$5:$D$2244,C540,'7日销售明细'!$H$5:$H$2244,E540)</x:f>
        <x:v>5</x:v>
      </x:c>
      <x:c r="H540" s="35" t="n">
        <x:f>SUMIFS('7日销售明细'!$L$5:$L$2244,'7日销售明细'!$B$5:$B$2244,B540,'7日销售明细'!$D$5:$D$2244,C540,'7日销售明细'!$H$5:$H$2244,E540)</x:f>
        <x:v>125</x:v>
      </x:c>
      <x:c r="I540" s="35" t="n">
        <x:f>G540*XLOOKUP(E540,'菜品主数据'!$A$5:$A$24,'菜品主数据'!$G$5:$G$24,0)</x:f>
        <x:v>40.919999999999995</x:v>
      </x:c>
    </x:row>
    <x:row r="541">
      <x:c r="A541" s="19" t="str">
        <x:v>2026-07-12|S04|D17</x:v>
      </x:c>
      <x:c r="B541" s="34" t="n">
        <x:v>46215.5</x:v>
      </x:c>
      <x:c r="C541" s="19" t="str">
        <x:v>S04</x:v>
      </x:c>
      <x:c r="D541" s="19" t="str">
        <x:v>金街美地店</x:v>
      </x:c>
      <x:c r="E541" s="19" t="str">
        <x:v>D17</x:v>
      </x:c>
      <x:c r="F541" s="19" t="str">
        <x:v>蒜蓉粉丝虾</x:v>
      </x:c>
      <x:c r="G541" s="20" t="n">
        <x:f>SUMIFS('7日销售明细'!$K$5:$K$2244,'7日销售明细'!$B$5:$B$2244,B541,'7日销售明细'!$D$5:$D$2244,C541,'7日销售明细'!$H$5:$H$2244,E541)</x:f>
        <x:v>3</x:v>
      </x:c>
      <x:c r="H541" s="35" t="n">
        <x:f>SUMIFS('7日销售明细'!$L$5:$L$2244,'7日销售明细'!$B$5:$B$2244,B541,'7日销售明细'!$D$5:$D$2244,C541,'7日销售明细'!$H$5:$H$2244,E541)</x:f>
        <x:v>108</x:v>
      </x:c>
      <x:c r="I541" s="35" t="n">
        <x:f>G541*XLOOKUP(E541,'菜品主数据'!$A$5:$A$24,'菜品主数据'!$G$5:$G$24,0)</x:f>
        <x:v>40.782</x:v>
      </x:c>
    </x:row>
    <x:row r="542">
      <x:c r="A542" s="19" t="str">
        <x:v>2026-07-12|S04|D18</x:v>
      </x:c>
      <x:c r="B542" s="34" t="n">
        <x:v>46215.5</x:v>
      </x:c>
      <x:c r="C542" s="19" t="str">
        <x:v>S04</x:v>
      </x:c>
      <x:c r="D542" s="19" t="str">
        <x:v>金街美地店</x:v>
      </x:c>
      <x:c r="E542" s="19" t="str">
        <x:v>D18</x:v>
      </x:c>
      <x:c r="F542" s="19" t="str">
        <x:v>青椒炒油麦菜</x:v>
      </x:c>
      <x:c r="G542" s="20" t="n">
        <x:f>SUMIFS('7日销售明细'!$K$5:$K$2244,'7日销售明细'!$B$5:$B$2244,B542,'7日销售明细'!$D$5:$D$2244,C542,'7日销售明细'!$H$5:$H$2244,E542)</x:f>
        <x:v>6</x:v>
      </x:c>
      <x:c r="H542" s="35" t="n">
        <x:f>SUMIFS('7日销售明细'!$L$5:$L$2244,'7日销售明细'!$B$5:$B$2244,B542,'7日销售明细'!$D$5:$D$2244,C542,'7日销售明细'!$H$5:$H$2244,E542)</x:f>
        <x:v>108</x:v>
      </x:c>
      <x:c r="I542" s="35" t="n">
        <x:f>G542*XLOOKUP(E542,'菜品主数据'!$A$5:$A$24,'菜品主数据'!$G$5:$G$24,0)</x:f>
        <x:v>19.055999999999997</x:v>
      </x:c>
    </x:row>
    <x:row r="543">
      <x:c r="A543" s="19" t="str">
        <x:v>2026-07-12|S04|D19</x:v>
      </x:c>
      <x:c r="B543" s="34" t="n">
        <x:v>46215.5</x:v>
      </x:c>
      <x:c r="C543" s="19" t="str">
        <x:v>S04</x:v>
      </x:c>
      <x:c r="D543" s="19" t="str">
        <x:v>金街美地店</x:v>
      </x:c>
      <x:c r="E543" s="19" t="str">
        <x:v>D19</x:v>
      </x:c>
      <x:c r="F543" s="19" t="str">
        <x:v>酸萝卜炒鸡杂</x:v>
      </x:c>
      <x:c r="G543" s="20" t="n">
        <x:f>SUMIFS('7日销售明细'!$K$5:$K$2244,'7日销售明细'!$B$5:$B$2244,B543,'7日销售明细'!$D$5:$D$2244,C543,'7日销售明细'!$H$5:$H$2244,E543)</x:f>
        <x:v>4</x:v>
      </x:c>
      <x:c r="H543" s="35" t="n">
        <x:f>SUMIFS('7日销售明细'!$L$5:$L$2244,'7日销售明细'!$B$5:$B$2244,B543,'7日销售明细'!$D$5:$D$2244,C543,'7日销售明细'!$H$5:$H$2244,E543)</x:f>
        <x:v>100</x:v>
      </x:c>
      <x:c r="I543" s="35" t="n">
        <x:f>G543*XLOOKUP(E543,'菜品主数据'!$A$5:$A$24,'菜品主数据'!$G$5:$G$24,0)</x:f>
        <x:v>31.759999999999998</x:v>
      </x:c>
    </x:row>
    <x:row r="544">
      <x:c r="A544" s="19" t="str">
        <x:v>2026-07-12|S04|D20</x:v>
      </x:c>
      <x:c r="B544" s="34" t="n">
        <x:v>46215.5</x:v>
      </x:c>
      <x:c r="C544" s="19" t="str">
        <x:v>S04</x:v>
      </x:c>
      <x:c r="D544" s="19" t="str">
        <x:v>金街美地店</x:v>
      </x:c>
      <x:c r="E544" s="19" t="str">
        <x:v>D20</x:v>
      </x:c>
      <x:c r="F544" s="19" t="str">
        <x:v>雪菜肉末青豆</x:v>
      </x:c>
      <x:c r="G544" s="20" t="n">
        <x:f>SUMIFS('7日销售明细'!$K$5:$K$2244,'7日销售明细'!$B$5:$B$2244,B544,'7日销售明细'!$D$5:$D$2244,C544,'7日销售明细'!$H$5:$H$2244,E544)</x:f>
        <x:v>6</x:v>
      </x:c>
      <x:c r="H544" s="35" t="n">
        <x:f>SUMIFS('7日销售明细'!$L$5:$L$2244,'7日销售明细'!$B$5:$B$2244,B544,'7日销售明细'!$D$5:$D$2244,C544,'7日销售明细'!$H$5:$H$2244,E544)</x:f>
        <x:v>108</x:v>
      </x:c>
      <x:c r="I544" s="35" t="n">
        <x:f>G544*XLOOKUP(E544,'菜品主数据'!$A$5:$A$24,'菜品主数据'!$G$5:$G$24,0)</x:f>
        <x:v>43.824</x:v>
      </x:c>
    </x:row>
    <x:row r="545">
      <x:c r="A545" s="19" t="str">
        <x:v>2026-07-13|S04|D01</x:v>
      </x:c>
      <x:c r="B545" s="34" t="n">
        <x:v>46216.5</x:v>
      </x:c>
      <x:c r="C545" s="19" t="str">
        <x:v>S04</x:v>
      </x:c>
      <x:c r="D545" s="19" t="str">
        <x:v>金街美地店</x:v>
      </x:c>
      <x:c r="E545" s="19" t="str">
        <x:v>D01</x:v>
      </x:c>
      <x:c r="F545" s="19" t="str">
        <x:v>辣椒炒肉</x:v>
      </x:c>
      <x:c r="G545" s="20" t="n">
        <x:f>SUMIFS('7日销售明细'!$K$5:$K$2244,'7日销售明细'!$B$5:$B$2244,B545,'7日销售明细'!$D$5:$D$2244,C545,'7日销售明细'!$H$5:$H$2244,E545)</x:f>
        <x:v>52</x:v>
      </x:c>
      <x:c r="H545" s="35" t="n">
        <x:f>SUMIFS('7日销售明细'!$L$5:$L$2244,'7日销售明细'!$B$5:$B$2244,B545,'7日销售明细'!$D$5:$D$2244,C545,'7日销售明细'!$H$5:$H$2244,E545)</x:f>
        <x:v>1508</x:v>
      </x:c>
      <x:c r="I545" s="35" t="n">
        <x:f>G545*XLOOKUP(E545,'菜品主数据'!$A$5:$A$24,'菜品主数据'!$G$5:$G$24,0)</x:f>
        <x:v>448.9888000000001</x:v>
      </x:c>
    </x:row>
    <x:row r="546">
      <x:c r="A546" s="19" t="str">
        <x:v>2026-07-13|S04|D02</x:v>
      </x:c>
      <x:c r="B546" s="34" t="n">
        <x:v>46216.5</x:v>
      </x:c>
      <x:c r="C546" s="19" t="str">
        <x:v>S04</x:v>
      </x:c>
      <x:c r="D546" s="19" t="str">
        <x:v>金街美地店</x:v>
      </x:c>
      <x:c r="E546" s="19" t="str">
        <x:v>D02</x:v>
      </x:c>
      <x:c r="F546" s="19" t="str">
        <x:v>小炒黄牛肉</x:v>
      </x:c>
      <x:c r="G546" s="20" t="n">
        <x:f>SUMIFS('7日销售明细'!$K$5:$K$2244,'7日销售明细'!$B$5:$B$2244,B546,'7日销售明细'!$D$5:$D$2244,C546,'7日销售明细'!$H$5:$H$2244,E546)</x:f>
        <x:v>33</x:v>
      </x:c>
      <x:c r="H546" s="35" t="n">
        <x:f>SUMIFS('7日销售明细'!$L$5:$L$2244,'7日销售明细'!$B$5:$B$2244,B546,'7日销售明细'!$D$5:$D$2244,C546,'7日销售明细'!$H$5:$H$2244,E546)</x:f>
        <x:v>1617</x:v>
      </x:c>
      <x:c r="I546" s="35" t="n">
        <x:f>G546*XLOOKUP(E546,'菜品主数据'!$A$5:$A$24,'菜品主数据'!$G$5:$G$24,0)</x:f>
        <x:v>580.041</x:v>
      </x:c>
    </x:row>
    <x:row r="547">
      <x:c r="A547" s="19" t="str">
        <x:v>2026-07-13|S04|D03</x:v>
      </x:c>
      <x:c r="B547" s="34" t="n">
        <x:v>46216.5</x:v>
      </x:c>
      <x:c r="C547" s="19" t="str">
        <x:v>S04</x:v>
      </x:c>
      <x:c r="D547" s="19" t="str">
        <x:v>金街美地店</x:v>
      </x:c>
      <x:c r="E547" s="19" t="str">
        <x:v>D03</x:v>
      </x:c>
      <x:c r="F547" s="19" t="str">
        <x:v>香醋炒蛋</x:v>
      </x:c>
      <x:c r="G547" s="20" t="n">
        <x:f>SUMIFS('7日销售明细'!$K$5:$K$2244,'7日销售明细'!$B$5:$B$2244,B547,'7日销售明细'!$D$5:$D$2244,C547,'7日销售明细'!$H$5:$H$2244,E547)</x:f>
        <x:v>46</x:v>
      </x:c>
      <x:c r="H547" s="35" t="n">
        <x:f>SUMIFS('7日销售明细'!$L$5:$L$2244,'7日销售明细'!$B$5:$B$2244,B547,'7日销售明细'!$D$5:$D$2244,C547,'7日销售明细'!$H$5:$H$2244,E547)</x:f>
        <x:v>685.4000000000001</x:v>
      </x:c>
      <x:c r="I547" s="35" t="n">
        <x:f>G547*XLOOKUP(E547,'菜品主数据'!$A$5:$A$24,'菜品主数据'!$G$5:$G$24,0)</x:f>
        <x:v>172.31599999999997</x:v>
      </x:c>
    </x:row>
    <x:row r="548">
      <x:c r="A548" s="19" t="str">
        <x:v>2026-07-13|S04|D04</x:v>
      </x:c>
      <x:c r="B548" s="34" t="n">
        <x:v>46216.5</x:v>
      </x:c>
      <x:c r="C548" s="19" t="str">
        <x:v>S04</x:v>
      </x:c>
      <x:c r="D548" s="19" t="str">
        <x:v>金街美地店</x:v>
      </x:c>
      <x:c r="E548" s="19" t="str">
        <x:v>D04</x:v>
      </x:c>
      <x:c r="F548" s="19" t="str">
        <x:v>酸包菜炒粉皮</x:v>
      </x:c>
      <x:c r="G548" s="20" t="n">
        <x:f>SUMIFS('7日销售明细'!$K$5:$K$2244,'7日销售明细'!$B$5:$B$2244,B548,'7日销售明细'!$D$5:$D$2244,C548,'7日销售明细'!$H$5:$H$2244,E548)</x:f>
        <x:v>45</x:v>
      </x:c>
      <x:c r="H548" s="35" t="n">
        <x:f>SUMIFS('7日销售明细'!$L$5:$L$2244,'7日销售明细'!$B$5:$B$2244,B548,'7日销售明细'!$D$5:$D$2244,C548,'7日销售明细'!$H$5:$H$2244,E548)</x:f>
        <x:v>720</x:v>
      </x:c>
      <x:c r="I548" s="35" t="n">
        <x:f>G548*XLOOKUP(E548,'菜品主数据'!$A$5:$A$24,'菜品主数据'!$G$5:$G$24,0)</x:f>
        <x:v>179.01000000000002</x:v>
      </x:c>
    </x:row>
    <x:row r="549">
      <x:c r="A549" s="19" t="str">
        <x:v>2026-07-13|S04|D05</x:v>
      </x:c>
      <x:c r="B549" s="34" t="n">
        <x:v>46216.5</x:v>
      </x:c>
      <x:c r="C549" s="19" t="str">
        <x:v>S04</x:v>
      </x:c>
      <x:c r="D549" s="19" t="str">
        <x:v>金街美地店</x:v>
      </x:c>
      <x:c r="E549" s="19" t="str">
        <x:v>D05</x:v>
      </x:c>
      <x:c r="F549" s="19" t="str">
        <x:v>麻婆豆腐</x:v>
      </x:c>
      <x:c r="G549" s="20" t="n">
        <x:f>SUMIFS('7日销售明细'!$K$5:$K$2244,'7日销售明细'!$B$5:$B$2244,B549,'7日销售明细'!$D$5:$D$2244,C549,'7日销售明细'!$H$5:$H$2244,E549)</x:f>
        <x:v>58</x:v>
      </x:c>
      <x:c r="H549" s="35" t="n">
        <x:f>SUMIFS('7日销售明细'!$L$5:$L$2244,'7日销售明细'!$B$5:$B$2244,B549,'7日销售明细'!$D$5:$D$2244,C549,'7日销售明细'!$H$5:$H$2244,E549)</x:f>
        <x:v>574.2</x:v>
      </x:c>
      <x:c r="I549" s="35" t="n">
        <x:f>G549*XLOOKUP(E549,'菜品主数据'!$A$5:$A$24,'菜品主数据'!$G$5:$G$24,0)</x:f>
        <x:v>311.28600000000006</x:v>
      </x:c>
    </x:row>
    <x:row r="550">
      <x:c r="A550" s="19" t="str">
        <x:v>2026-07-13|S04|D06</x:v>
      </x:c>
      <x:c r="B550" s="34" t="n">
        <x:v>46216.5</x:v>
      </x:c>
      <x:c r="C550" s="19" t="str">
        <x:v>S04</x:v>
      </x:c>
      <x:c r="D550" s="19" t="str">
        <x:v>金街美地店</x:v>
      </x:c>
      <x:c r="E550" s="19" t="str">
        <x:v>D06</x:v>
      </x:c>
      <x:c r="F550" s="19" t="str">
        <x:v>剁椒鱼头</x:v>
      </x:c>
      <x:c r="G550" s="20" t="n">
        <x:f>SUMIFS('7日销售明细'!$K$5:$K$2244,'7日销售明细'!$B$5:$B$2244,B550,'7日销售明细'!$D$5:$D$2244,C550,'7日销售明细'!$H$5:$H$2244,E550)</x:f>
        <x:v>15</x:v>
      </x:c>
      <x:c r="H550" s="35" t="n">
        <x:f>SUMIFS('7日销售明细'!$L$5:$L$2244,'7日销售明细'!$B$5:$B$2244,B550,'7日销售明细'!$D$5:$D$2244,C550,'7日销售明细'!$H$5:$H$2244,E550)</x:f>
        <x:v>585</x:v>
      </x:c>
      <x:c r="I550" s="35" t="n">
        <x:f>G550*XLOOKUP(E550,'菜品主数据'!$A$5:$A$24,'菜品主数据'!$G$5:$G$24,0)</x:f>
        <x:v>261.69</x:v>
      </x:c>
    </x:row>
    <x:row r="551">
      <x:c r="A551" s="19" t="str">
        <x:v>2026-07-13|S04|D07</x:v>
      </x:c>
      <x:c r="B551" s="34" t="n">
        <x:v>46216.5</x:v>
      </x:c>
      <x:c r="C551" s="19" t="str">
        <x:v>S04</x:v>
      </x:c>
      <x:c r="D551" s="19" t="str">
        <x:v>金街美地店</x:v>
      </x:c>
      <x:c r="E551" s="19" t="str">
        <x:v>D07</x:v>
      </x:c>
      <x:c r="F551" s="19" t="str">
        <x:v>川味回锅肉</x:v>
      </x:c>
      <x:c r="G551" s="20" t="n">
        <x:f>SUMIFS('7日销售明细'!$K$5:$K$2244,'7日销售明细'!$B$5:$B$2244,B551,'7日销售明细'!$D$5:$D$2244,C551,'7日销售明细'!$H$5:$H$2244,E551)</x:f>
        <x:v>17</x:v>
      </x:c>
      <x:c r="H551" s="35" t="n">
        <x:f>SUMIFS('7日销售明细'!$L$5:$L$2244,'7日销售明细'!$B$5:$B$2244,B551,'7日销售明细'!$D$5:$D$2244,C551,'7日销售明细'!$H$5:$H$2244,E551)</x:f>
        <x:v>493</x:v>
      </x:c>
      <x:c r="I551" s="35" t="n">
        <x:f>G551*XLOOKUP(E551,'菜品主数据'!$A$5:$A$24,'菜品主数据'!$G$5:$G$24,0)</x:f>
        <x:v>173.92700000000002</x:v>
      </x:c>
    </x:row>
    <x:row r="552">
      <x:c r="A552" s="19" t="str">
        <x:v>2026-07-13|S04|D08</x:v>
      </x:c>
      <x:c r="B552" s="34" t="n">
        <x:v>46216.5</x:v>
      </x:c>
      <x:c r="C552" s="19" t="str">
        <x:v>S04</x:v>
      </x:c>
      <x:c r="D552" s="19" t="str">
        <x:v>金街美地店</x:v>
      </x:c>
      <x:c r="E552" s="19" t="str">
        <x:v>D08</x:v>
      </x:c>
      <x:c r="F552" s="19" t="str">
        <x:v>生炒清远鸡</x:v>
      </x:c>
      <x:c r="G552" s="20" t="n">
        <x:f>SUMIFS('7日销售明细'!$K$5:$K$2244,'7日销售明细'!$B$5:$B$2244,B552,'7日销售明细'!$D$5:$D$2244,C552,'7日销售明细'!$H$5:$H$2244,E552)</x:f>
        <x:v>12</x:v>
      </x:c>
      <x:c r="H552" s="35" t="n">
        <x:f>SUMIFS('7日销售明细'!$L$5:$L$2244,'7日销售明细'!$B$5:$B$2244,B552,'7日销售明细'!$D$5:$D$2244,C552,'7日销售明细'!$H$5:$H$2244,E552)</x:f>
        <x:v>432</x:v>
      </x:c>
      <x:c r="I552" s="35" t="n">
        <x:f>G552*XLOOKUP(E552,'菜品主数据'!$A$5:$A$24,'菜品主数据'!$G$5:$G$24,0)</x:f>
        <x:v>161.76</x:v>
      </x:c>
    </x:row>
    <x:row r="553">
      <x:c r="A553" s="19" t="str">
        <x:v>2026-07-13|S04|D09</x:v>
      </x:c>
      <x:c r="B553" s="34" t="n">
        <x:v>46216.5</x:v>
      </x:c>
      <x:c r="C553" s="19" t="str">
        <x:v>S04</x:v>
      </x:c>
      <x:c r="D553" s="19" t="str">
        <x:v>金街美地店</x:v>
      </x:c>
      <x:c r="E553" s="19" t="str">
        <x:v>D09</x:v>
      </x:c>
      <x:c r="F553" s="19" t="str">
        <x:v>炒豆干</x:v>
      </x:c>
      <x:c r="G553" s="20" t="n">
        <x:f>SUMIFS('7日销售明细'!$K$5:$K$2244,'7日销售明细'!$B$5:$B$2244,B553,'7日销售明细'!$D$5:$D$2244,C553,'7日销售明细'!$H$5:$H$2244,E553)</x:f>
        <x:v>16</x:v>
      </x:c>
      <x:c r="H553" s="35" t="n">
        <x:f>SUMIFS('7日销售明细'!$L$5:$L$2244,'7日销售明细'!$B$5:$B$2244,B553,'7日销售明细'!$D$5:$D$2244,C553,'7日销售明细'!$H$5:$H$2244,E553)</x:f>
        <x:v>288</x:v>
      </x:c>
      <x:c r="I553" s="35" t="n">
        <x:f>G553*XLOOKUP(E553,'菜品主数据'!$A$5:$A$24,'菜品主数据'!$G$5:$G$24,0)</x:f>
        <x:v>105.82399999999998</x:v>
      </x:c>
    </x:row>
    <x:row r="554">
      <x:c r="A554" s="19" t="str">
        <x:v>2026-07-13|S04|D10</x:v>
      </x:c>
      <x:c r="B554" s="34" t="n">
        <x:v>46216.5</x:v>
      </x:c>
      <x:c r="C554" s="19" t="str">
        <x:v>S04</x:v>
      </x:c>
      <x:c r="D554" s="19" t="str">
        <x:v>金街美地店</x:v>
      </x:c>
      <x:c r="E554" s="19" t="str">
        <x:v>D10</x:v>
      </x:c>
      <x:c r="F554" s="19" t="str">
        <x:v>农家一碗香</x:v>
      </x:c>
      <x:c r="G554" s="20" t="n">
        <x:f>SUMIFS('7日销售明细'!$K$5:$K$2244,'7日销售明细'!$B$5:$B$2244,B554,'7日销售明细'!$D$5:$D$2244,C554,'7日销售明细'!$H$5:$H$2244,E554)</x:f>
        <x:v>21</x:v>
      </x:c>
      <x:c r="H554" s="35" t="n">
        <x:f>SUMIFS('7日销售明细'!$L$5:$L$2244,'7日销售明细'!$B$5:$B$2244,B554,'7日销售明细'!$D$5:$D$2244,C554,'7日销售明细'!$H$5:$H$2244,E554)</x:f>
        <x:v>480.9</x:v>
      </x:c>
      <x:c r="I554" s="35" t="n">
        <x:f>G554*XLOOKUP(E554,'菜品主数据'!$A$5:$A$24,'菜品主数据'!$G$5:$G$24,0)</x:f>
        <x:v>205.17420000000004</x:v>
      </x:c>
    </x:row>
    <x:row r="555">
      <x:c r="A555" s="19" t="str">
        <x:v>2026-07-13|S04|D11</x:v>
      </x:c>
      <x:c r="B555" s="34" t="n">
        <x:v>46216.5</x:v>
      </x:c>
      <x:c r="C555" s="19" t="str">
        <x:v>S04</x:v>
      </x:c>
      <x:c r="D555" s="19" t="str">
        <x:v>金街美地店</x:v>
      </x:c>
      <x:c r="E555" s="19" t="str">
        <x:v>D11</x:v>
      </x:c>
      <x:c r="F555" s="19" t="str">
        <x:v>香辣爆肥肠</x:v>
      </x:c>
      <x:c r="G555" s="20" t="n">
        <x:f>SUMIFS('7日销售明细'!$K$5:$K$2244,'7日销售明细'!$B$5:$B$2244,B555,'7日销售明细'!$D$5:$D$2244,C555,'7日销售明细'!$H$5:$H$2244,E555)</x:f>
        <x:v>7</x:v>
      </x:c>
      <x:c r="H555" s="35" t="n">
        <x:f>SUMIFS('7日销售明细'!$L$5:$L$2244,'7日销售明细'!$B$5:$B$2244,B555,'7日销售明细'!$D$5:$D$2244,C555,'7日销售明细'!$H$5:$H$2244,E555)</x:f>
        <x:v>273</x:v>
      </x:c>
      <x:c r="I555" s="35" t="n">
        <x:f>G555*XLOOKUP(E555,'菜品主数据'!$A$5:$A$24,'菜品主数据'!$G$5:$G$24,0)</x:f>
        <x:v>72.779</x:v>
      </x:c>
    </x:row>
    <x:row r="556">
      <x:c r="A556" s="19" t="str">
        <x:v>2026-07-13|S04|D12</x:v>
      </x:c>
      <x:c r="B556" s="34" t="n">
        <x:v>46216.5</x:v>
      </x:c>
      <x:c r="C556" s="19" t="str">
        <x:v>S04</x:v>
      </x:c>
      <x:c r="D556" s="19" t="str">
        <x:v>金街美地店</x:v>
      </x:c>
      <x:c r="E556" s="19" t="str">
        <x:v>D12</x:v>
      </x:c>
      <x:c r="F556" s="19" t="str">
        <x:v>清蒸鲈鱼</x:v>
      </x:c>
      <x:c r="G556" s="20" t="n">
        <x:f>SUMIFS('7日销售明细'!$K$5:$K$2244,'7日销售明细'!$B$5:$B$2244,B556,'7日销售明细'!$D$5:$D$2244,C556,'7日销售明细'!$H$5:$H$2244,E556)</x:f>
        <x:v>8</x:v>
      </x:c>
      <x:c r="H556" s="35" t="n">
        <x:f>SUMIFS('7日销售明细'!$L$5:$L$2244,'7日销售明细'!$B$5:$B$2244,B556,'7日销售明细'!$D$5:$D$2244,C556,'7日销售明细'!$H$5:$H$2244,E556)</x:f>
        <x:v>312</x:v>
      </x:c>
      <x:c r="I556" s="35" t="n">
        <x:f>G556*XLOOKUP(E556,'菜品主数据'!$A$5:$A$24,'菜品主数据'!$G$5:$G$24,0)</x:f>
        <x:v>150.992</x:v>
      </x:c>
    </x:row>
    <x:row r="557">
      <x:c r="A557" s="19" t="str">
        <x:v>2026-07-13|S04|D13</x:v>
      </x:c>
      <x:c r="B557" s="34" t="n">
        <x:v>46216.5</x:v>
      </x:c>
      <x:c r="C557" s="19" t="str">
        <x:v>S04</x:v>
      </x:c>
      <x:c r="D557" s="19" t="str">
        <x:v>金街美地店</x:v>
      </x:c>
      <x:c r="E557" s="19" t="str">
        <x:v>D13</x:v>
      </x:c>
      <x:c r="F557" s="19" t="str">
        <x:v>外婆菜炒蛋</x:v>
      </x:c>
      <x:c r="G557" s="20" t="n">
        <x:f>SUMIFS('7日销售明细'!$K$5:$K$2244,'7日销售明细'!$B$5:$B$2244,B557,'7日销售明细'!$D$5:$D$2244,C557,'7日销售明细'!$H$5:$H$2244,E557)</x:f>
        <x:v>19</x:v>
      </x:c>
      <x:c r="H557" s="35" t="n">
        <x:f>SUMIFS('7日销售明细'!$L$5:$L$2244,'7日销售明细'!$B$5:$B$2244,B557,'7日销售明细'!$D$5:$D$2244,C557,'7日销售明细'!$H$5:$H$2244,E557)</x:f>
        <x:v>342</x:v>
      </x:c>
      <x:c r="I557" s="35" t="n">
        <x:f>G557*XLOOKUP(E557,'菜品主数据'!$A$5:$A$24,'菜品主数据'!$G$5:$G$24,0)</x:f>
        <x:v>102.67599999999999</x:v>
      </x:c>
    </x:row>
    <x:row r="558">
      <x:c r="A558" s="19" t="str">
        <x:v>2026-07-13|S04|D14</x:v>
      </x:c>
      <x:c r="B558" s="34" t="n">
        <x:v>46216.5</x:v>
      </x:c>
      <x:c r="C558" s="19" t="str">
        <x:v>S04</x:v>
      </x:c>
      <x:c r="D558" s="19" t="str">
        <x:v>金街美地店</x:v>
      </x:c>
      <x:c r="E558" s="19" t="str">
        <x:v>D14</x:v>
      </x:c>
      <x:c r="F558" s="19" t="str">
        <x:v>酸辣鸡杂</x:v>
      </x:c>
      <x:c r="G558" s="20" t="n">
        <x:f>SUMIFS('7日销售明细'!$K$5:$K$2244,'7日销售明细'!$B$5:$B$2244,B558,'7日销售明细'!$D$5:$D$2244,C558,'7日销售明细'!$H$5:$H$2244,E558)</x:f>
        <x:v>9</x:v>
      </x:c>
      <x:c r="H558" s="35" t="n">
        <x:f>SUMIFS('7日销售明细'!$L$5:$L$2244,'7日销售明细'!$B$5:$B$2244,B558,'7日销售明细'!$D$5:$D$2244,C558,'7日销售明细'!$H$5:$H$2244,E558)</x:f>
        <x:v>252</x:v>
      </x:c>
      <x:c r="I558" s="35" t="n">
        <x:f>G558*XLOOKUP(E558,'菜品主数据'!$A$5:$A$24,'菜品主数据'!$G$5:$G$24,0)</x:f>
        <x:v>74.83500000000001</x:v>
      </x:c>
    </x:row>
    <x:row r="559">
      <x:c r="A559" s="19" t="str">
        <x:v>2026-07-13|S04|D15</x:v>
      </x:c>
      <x:c r="B559" s="34" t="n">
        <x:v>46216.5</x:v>
      </x:c>
      <x:c r="C559" s="19" t="str">
        <x:v>S04</x:v>
      </x:c>
      <x:c r="D559" s="19" t="str">
        <x:v>金街美地店</x:v>
      </x:c>
      <x:c r="E559" s="19" t="str">
        <x:v>D15</x:v>
      </x:c>
      <x:c r="F559" s="19" t="str">
        <x:v>湘西土匪猪肝</x:v>
      </x:c>
      <x:c r="G559" s="20" t="n">
        <x:f>SUMIFS('7日销售明细'!$K$5:$K$2244,'7日销售明细'!$B$5:$B$2244,B559,'7日销售明细'!$D$5:$D$2244,C559,'7日销售明细'!$H$5:$H$2244,E559)</x:f>
        <x:v>9</x:v>
      </x:c>
      <x:c r="H559" s="35" t="n">
        <x:f>SUMIFS('7日销售明细'!$L$5:$L$2244,'7日销售明细'!$B$5:$B$2244,B559,'7日销售明细'!$D$5:$D$2244,C559,'7日销售明细'!$H$5:$H$2244,E559)</x:f>
        <x:v>234</x:v>
      </x:c>
      <x:c r="I559" s="35" t="n">
        <x:f>G559*XLOOKUP(E559,'菜品主数据'!$A$5:$A$24,'菜品主数据'!$G$5:$G$24,0)</x:f>
        <x:v>57.38399999999999</x:v>
      </x:c>
    </x:row>
    <x:row r="560">
      <x:c r="A560" s="19" t="str">
        <x:v>2026-07-13|S04|D16</x:v>
      </x:c>
      <x:c r="B560" s="34" t="n">
        <x:v>46216.5</x:v>
      </x:c>
      <x:c r="C560" s="19" t="str">
        <x:v>S04</x:v>
      </x:c>
      <x:c r="D560" s="19" t="str">
        <x:v>金街美地店</x:v>
      </x:c>
      <x:c r="E560" s="19" t="str">
        <x:v>D16</x:v>
      </x:c>
      <x:c r="F560" s="19" t="str">
        <x:v>小豆角炒五花</x:v>
      </x:c>
      <x:c r="G560" s="20" t="n">
        <x:f>SUMIFS('7日销售明细'!$K$5:$K$2244,'7日销售明细'!$B$5:$B$2244,B560,'7日销售明细'!$D$5:$D$2244,C560,'7日销售明细'!$H$5:$H$2244,E560)</x:f>
        <x:v>9</x:v>
      </x:c>
      <x:c r="H560" s="35" t="n">
        <x:f>SUMIFS('7日销售明细'!$L$5:$L$2244,'7日销售明细'!$B$5:$B$2244,B560,'7日销售明细'!$D$5:$D$2244,C560,'7日销售明细'!$H$5:$H$2244,E560)</x:f>
        <x:v>225</x:v>
      </x:c>
      <x:c r="I560" s="35" t="n">
        <x:f>G560*XLOOKUP(E560,'菜品主数据'!$A$5:$A$24,'菜品主数据'!$G$5:$G$24,0)</x:f>
        <x:v>73.65599999999999</x:v>
      </x:c>
    </x:row>
    <x:row r="561">
      <x:c r="A561" s="19" t="str">
        <x:v>2026-07-13|S04|D17</x:v>
      </x:c>
      <x:c r="B561" s="34" t="n">
        <x:v>46216.5</x:v>
      </x:c>
      <x:c r="C561" s="19" t="str">
        <x:v>S04</x:v>
      </x:c>
      <x:c r="D561" s="19" t="str">
        <x:v>金街美地店</x:v>
      </x:c>
      <x:c r="E561" s="19" t="str">
        <x:v>D17</x:v>
      </x:c>
      <x:c r="F561" s="19" t="str">
        <x:v>蒜蓉粉丝虾</x:v>
      </x:c>
      <x:c r="G561" s="20" t="n">
        <x:f>SUMIFS('7日销售明细'!$K$5:$K$2244,'7日销售明细'!$B$5:$B$2244,B561,'7日销售明细'!$D$5:$D$2244,C561,'7日销售明细'!$H$5:$H$2244,E561)</x:f>
        <x:v>6</x:v>
      </x:c>
      <x:c r="H561" s="35" t="n">
        <x:f>SUMIFS('7日销售明细'!$L$5:$L$2244,'7日销售明细'!$B$5:$B$2244,B561,'7日销售明细'!$D$5:$D$2244,C561,'7日销售明细'!$H$5:$H$2244,E561)</x:f>
        <x:v>216</x:v>
      </x:c>
      <x:c r="I561" s="35" t="n">
        <x:f>G561*XLOOKUP(E561,'菜品主数据'!$A$5:$A$24,'菜品主数据'!$G$5:$G$24,0)</x:f>
        <x:v>81.564</x:v>
      </x:c>
    </x:row>
    <x:row r="562">
      <x:c r="A562" s="19" t="str">
        <x:v>2026-07-13|S04|D18</x:v>
      </x:c>
      <x:c r="B562" s="34" t="n">
        <x:v>46216.5</x:v>
      </x:c>
      <x:c r="C562" s="19" t="str">
        <x:v>S04</x:v>
      </x:c>
      <x:c r="D562" s="19" t="str">
        <x:v>金街美地店</x:v>
      </x:c>
      <x:c r="E562" s="19" t="str">
        <x:v>D18</x:v>
      </x:c>
      <x:c r="F562" s="19" t="str">
        <x:v>青椒炒油麦菜</x:v>
      </x:c>
      <x:c r="G562" s="20" t="n">
        <x:f>SUMIFS('7日销售明细'!$K$5:$K$2244,'7日销售明细'!$B$5:$B$2244,B562,'7日销售明细'!$D$5:$D$2244,C562,'7日销售明细'!$H$5:$H$2244,E562)</x:f>
        <x:v>10</x:v>
      </x:c>
      <x:c r="H562" s="35" t="n">
        <x:f>SUMIFS('7日销售明细'!$L$5:$L$2244,'7日销售明细'!$B$5:$B$2244,B562,'7日销售明细'!$D$5:$D$2244,C562,'7日销售明细'!$H$5:$H$2244,E562)</x:f>
        <x:v>180</x:v>
      </x:c>
      <x:c r="I562" s="35" t="n">
        <x:f>G562*XLOOKUP(E562,'菜品主数据'!$A$5:$A$24,'菜品主数据'!$G$5:$G$24,0)</x:f>
        <x:v>31.75999999999999</x:v>
      </x:c>
    </x:row>
    <x:row r="563">
      <x:c r="A563" s="19" t="str">
        <x:v>2026-07-13|S04|D19</x:v>
      </x:c>
      <x:c r="B563" s="34" t="n">
        <x:v>46216.5</x:v>
      </x:c>
      <x:c r="C563" s="19" t="str">
        <x:v>S04</x:v>
      </x:c>
      <x:c r="D563" s="19" t="str">
        <x:v>金街美地店</x:v>
      </x:c>
      <x:c r="E563" s="19" t="str">
        <x:v>D19</x:v>
      </x:c>
      <x:c r="F563" s="19" t="str">
        <x:v>酸萝卜炒鸡杂</x:v>
      </x:c>
      <x:c r="G563" s="20" t="n">
        <x:f>SUMIFS('7日销售明细'!$K$5:$K$2244,'7日销售明细'!$B$5:$B$2244,B563,'7日销售明细'!$D$5:$D$2244,C563,'7日销售明细'!$H$5:$H$2244,E563)</x:f>
        <x:v>7</x:v>
      </x:c>
      <x:c r="H563" s="35" t="n">
        <x:f>SUMIFS('7日销售明细'!$L$5:$L$2244,'7日销售明细'!$B$5:$B$2244,B563,'7日销售明细'!$D$5:$D$2244,C563,'7日销售明细'!$H$5:$H$2244,E563)</x:f>
        <x:v>175</x:v>
      </x:c>
      <x:c r="I563" s="35" t="n">
        <x:f>G563*XLOOKUP(E563,'菜品主数据'!$A$5:$A$24,'菜品主数据'!$G$5:$G$24,0)</x:f>
        <x:v>55.58</x:v>
      </x:c>
    </x:row>
    <x:row r="564">
      <x:c r="A564" s="19" t="str">
        <x:v>2026-07-13|S04|D20</x:v>
      </x:c>
      <x:c r="B564" s="34" t="n">
        <x:v>46216.5</x:v>
      </x:c>
      <x:c r="C564" s="19" t="str">
        <x:v>S04</x:v>
      </x:c>
      <x:c r="D564" s="19" t="str">
        <x:v>金街美地店</x:v>
      </x:c>
      <x:c r="E564" s="19" t="str">
        <x:v>D20</x:v>
      </x:c>
      <x:c r="F564" s="19" t="str">
        <x:v>雪菜肉末青豆</x:v>
      </x:c>
      <x:c r="G564" s="20" t="n">
        <x:f>SUMIFS('7日销售明细'!$K$5:$K$2244,'7日销售明细'!$B$5:$B$2244,B564,'7日销售明细'!$D$5:$D$2244,C564,'7日销售明细'!$H$5:$H$2244,E564)</x:f>
        <x:v>10</x:v>
      </x:c>
      <x:c r="H564" s="35" t="n">
        <x:f>SUMIFS('7日销售明细'!$L$5:$L$2244,'7日销售明细'!$B$5:$B$2244,B564,'7日销售明细'!$D$5:$D$2244,C564,'7日销售明细'!$H$5:$H$2244,E564)</x:f>
        <x:v>180</x:v>
      </x:c>
      <x:c r="I564" s="35" t="n">
        <x:f>G564*XLOOKUP(E564,'菜品主数据'!$A$5:$A$24,'菜品主数据'!$G$5:$G$24,0)</x:f>
        <x:v>73.03999999999999</x:v>
      </x:c>
    </x:row>
    <x:row r="565">
      <x:c r="A565" s="19" t="str">
        <x:v>2026-07-07|S05|D01</x:v>
      </x:c>
      <x:c r="B565" s="34" t="n">
        <x:v>46210.5</x:v>
      </x:c>
      <x:c r="C565" s="19" t="str">
        <x:v>S05</x:v>
      </x:c>
      <x:c r="D565" s="19" t="str">
        <x:v>同顺街店</x:v>
      </x:c>
      <x:c r="E565" s="19" t="str">
        <x:v>D01</x:v>
      </x:c>
      <x:c r="F565" s="19" t="str">
        <x:v>辣椒炒肉</x:v>
      </x:c>
      <x:c r="G565" s="20" t="n">
        <x:f>SUMIFS('7日销售明细'!$K$5:$K$2244,'7日销售明细'!$B$5:$B$2244,B565,'7日销售明细'!$D$5:$D$2244,C565,'7日销售明细'!$H$5:$H$2244,E565)</x:f>
        <x:v>47</x:v>
      </x:c>
      <x:c r="H565" s="35" t="n">
        <x:f>SUMIFS('7日销售明细'!$L$5:$L$2244,'7日销售明细'!$B$5:$B$2244,B565,'7日销售明细'!$D$5:$D$2244,C565,'7日销售明细'!$H$5:$H$2244,E565)</x:f>
        <x:v>1363</x:v>
      </x:c>
      <x:c r="I565" s="35" t="n">
        <x:f>G565*XLOOKUP(E565,'菜品主数据'!$A$5:$A$24,'菜品主数据'!$G$5:$G$24,0)</x:f>
        <x:v>405.81680000000006</x:v>
      </x:c>
    </x:row>
    <x:row r="566">
      <x:c r="A566" s="19" t="str">
        <x:v>2026-07-07|S05|D02</x:v>
      </x:c>
      <x:c r="B566" s="34" t="n">
        <x:v>46210.5</x:v>
      </x:c>
      <x:c r="C566" s="19" t="str">
        <x:v>S05</x:v>
      </x:c>
      <x:c r="D566" s="19" t="str">
        <x:v>同顺街店</x:v>
      </x:c>
      <x:c r="E566" s="19" t="str">
        <x:v>D02</x:v>
      </x:c>
      <x:c r="F566" s="19" t="str">
        <x:v>小炒黄牛肉</x:v>
      </x:c>
      <x:c r="G566" s="20" t="n">
        <x:f>SUMIFS('7日销售明细'!$K$5:$K$2244,'7日销售明细'!$B$5:$B$2244,B566,'7日销售明细'!$D$5:$D$2244,C566,'7日销售明细'!$H$5:$H$2244,E566)</x:f>
        <x:v>36</x:v>
      </x:c>
      <x:c r="H566" s="35" t="n">
        <x:f>SUMIFS('7日销售明细'!$L$5:$L$2244,'7日销售明细'!$B$5:$B$2244,B566,'7日销售明细'!$D$5:$D$2244,C566,'7日销售明细'!$H$5:$H$2244,E566)</x:f>
        <x:v>1764</x:v>
      </x:c>
      <x:c r="I566" s="35" t="n">
        <x:f>G566*XLOOKUP(E566,'菜品主数据'!$A$5:$A$24,'菜品主数据'!$G$5:$G$24,0)</x:f>
        <x:v>632.772</x:v>
      </x:c>
    </x:row>
    <x:row r="567">
      <x:c r="A567" s="19" t="str">
        <x:v>2026-07-07|S05|D03</x:v>
      </x:c>
      <x:c r="B567" s="34" t="n">
        <x:v>46210.5</x:v>
      </x:c>
      <x:c r="C567" s="19" t="str">
        <x:v>S05</x:v>
      </x:c>
      <x:c r="D567" s="19" t="str">
        <x:v>同顺街店</x:v>
      </x:c>
      <x:c r="E567" s="19" t="str">
        <x:v>D03</x:v>
      </x:c>
      <x:c r="F567" s="19" t="str">
        <x:v>香醋炒蛋</x:v>
      </x:c>
      <x:c r="G567" s="20" t="n">
        <x:f>SUMIFS('7日销售明细'!$K$5:$K$2244,'7日销售明细'!$B$5:$B$2244,B567,'7日销售明细'!$D$5:$D$2244,C567,'7日销售明细'!$H$5:$H$2244,E567)</x:f>
        <x:v>39</x:v>
      </x:c>
      <x:c r="H567" s="35" t="n">
        <x:f>SUMIFS('7日销售明细'!$L$5:$L$2244,'7日销售明细'!$B$5:$B$2244,B567,'7日销售明细'!$D$5:$D$2244,C567,'7日销售明细'!$H$5:$H$2244,E567)</x:f>
        <x:v>581.1</x:v>
      </x:c>
      <x:c r="I567" s="35" t="n">
        <x:f>G567*XLOOKUP(E567,'菜品主数据'!$A$5:$A$24,'菜品主数据'!$G$5:$G$24,0)</x:f>
        <x:v>146.094</x:v>
      </x:c>
    </x:row>
    <x:row r="568">
      <x:c r="A568" s="19" t="str">
        <x:v>2026-07-07|S05|D04</x:v>
      </x:c>
      <x:c r="B568" s="34" t="n">
        <x:v>46210.5</x:v>
      </x:c>
      <x:c r="C568" s="19" t="str">
        <x:v>S05</x:v>
      </x:c>
      <x:c r="D568" s="19" t="str">
        <x:v>同顺街店</x:v>
      </x:c>
      <x:c r="E568" s="19" t="str">
        <x:v>D04</x:v>
      </x:c>
      <x:c r="F568" s="19" t="str">
        <x:v>酸包菜炒粉皮</x:v>
      </x:c>
      <x:c r="G568" s="20" t="n">
        <x:f>SUMIFS('7日销售明细'!$K$5:$K$2244,'7日销售明细'!$B$5:$B$2244,B568,'7日销售明细'!$D$5:$D$2244,C568,'7日销售明细'!$H$5:$H$2244,E568)</x:f>
        <x:v>39</x:v>
      </x:c>
      <x:c r="H568" s="35" t="n">
        <x:f>SUMIFS('7日销售明细'!$L$5:$L$2244,'7日销售明细'!$B$5:$B$2244,B568,'7日销售明细'!$D$5:$D$2244,C568,'7日销售明细'!$H$5:$H$2244,E568)</x:f>
        <x:v>624</x:v>
      </x:c>
      <x:c r="I568" s="35" t="n">
        <x:f>G568*XLOOKUP(E568,'菜品主数据'!$A$5:$A$24,'菜品主数据'!$G$5:$G$24,0)</x:f>
        <x:v>155.142</x:v>
      </x:c>
    </x:row>
    <x:row r="569">
      <x:c r="A569" s="19" t="str">
        <x:v>2026-07-07|S05|D05</x:v>
      </x:c>
      <x:c r="B569" s="34" t="n">
        <x:v>46210.5</x:v>
      </x:c>
      <x:c r="C569" s="19" t="str">
        <x:v>S05</x:v>
      </x:c>
      <x:c r="D569" s="19" t="str">
        <x:v>同顺街店</x:v>
      </x:c>
      <x:c r="E569" s="19" t="str">
        <x:v>D05</x:v>
      </x:c>
      <x:c r="F569" s="19" t="str">
        <x:v>麻婆豆腐</x:v>
      </x:c>
      <x:c r="G569" s="20" t="n">
        <x:f>SUMIFS('7日销售明细'!$K$5:$K$2244,'7日销售明细'!$B$5:$B$2244,B569,'7日销售明细'!$D$5:$D$2244,C569,'7日销售明细'!$H$5:$H$2244,E569)</x:f>
        <x:v>52</x:v>
      </x:c>
      <x:c r="H569" s="35" t="n">
        <x:f>SUMIFS('7日销售明细'!$L$5:$L$2244,'7日销售明细'!$B$5:$B$2244,B569,'7日销售明细'!$D$5:$D$2244,C569,'7日销售明细'!$H$5:$H$2244,E569)</x:f>
        <x:v>514.8</x:v>
      </x:c>
      <x:c r="I569" s="35" t="n">
        <x:f>G569*XLOOKUP(E569,'菜品主数据'!$A$5:$A$24,'菜品主数据'!$G$5:$G$24,0)</x:f>
        <x:v>279.08400000000006</x:v>
      </x:c>
    </x:row>
    <x:row r="570">
      <x:c r="A570" s="19" t="str">
        <x:v>2026-07-07|S05|D06</x:v>
      </x:c>
      <x:c r="B570" s="34" t="n">
        <x:v>46210.5</x:v>
      </x:c>
      <x:c r="C570" s="19" t="str">
        <x:v>S05</x:v>
      </x:c>
      <x:c r="D570" s="19" t="str">
        <x:v>同顺街店</x:v>
      </x:c>
      <x:c r="E570" s="19" t="str">
        <x:v>D06</x:v>
      </x:c>
      <x:c r="F570" s="19" t="str">
        <x:v>剁椒鱼头</x:v>
      </x:c>
      <x:c r="G570" s="20" t="n">
        <x:f>SUMIFS('7日销售明细'!$K$5:$K$2244,'7日销售明细'!$B$5:$B$2244,B570,'7日销售明细'!$D$5:$D$2244,C570,'7日销售明细'!$H$5:$H$2244,E570)</x:f>
        <x:v>12</x:v>
      </x:c>
      <x:c r="H570" s="35" t="n">
        <x:f>SUMIFS('7日销售明细'!$L$5:$L$2244,'7日销售明细'!$B$5:$B$2244,B570,'7日销售明细'!$D$5:$D$2244,C570,'7日销售明细'!$H$5:$H$2244,E570)</x:f>
        <x:v>468</x:v>
      </x:c>
      <x:c r="I570" s="35" t="n">
        <x:f>G570*XLOOKUP(E570,'菜品主数据'!$A$5:$A$24,'菜品主数据'!$G$5:$G$24,0)</x:f>
        <x:v>209.35200000000003</x:v>
      </x:c>
    </x:row>
    <x:row r="571">
      <x:c r="A571" s="19" t="str">
        <x:v>2026-07-07|S05|D07</x:v>
      </x:c>
      <x:c r="B571" s="34" t="n">
        <x:v>46210.5</x:v>
      </x:c>
      <x:c r="C571" s="19" t="str">
        <x:v>S05</x:v>
      </x:c>
      <x:c r="D571" s="19" t="str">
        <x:v>同顺街店</x:v>
      </x:c>
      <x:c r="E571" s="19" t="str">
        <x:v>D07</x:v>
      </x:c>
      <x:c r="F571" s="19" t="str">
        <x:v>川味回锅肉</x:v>
      </x:c>
      <x:c r="G571" s="20" t="n">
        <x:f>SUMIFS('7日销售明细'!$K$5:$K$2244,'7日销售明细'!$B$5:$B$2244,B571,'7日销售明细'!$D$5:$D$2244,C571,'7日销售明细'!$H$5:$H$2244,E571)</x:f>
        <x:v>16</x:v>
      </x:c>
      <x:c r="H571" s="35" t="n">
        <x:f>SUMIFS('7日销售明细'!$L$5:$L$2244,'7日销售明细'!$B$5:$B$2244,B571,'7日销售明细'!$D$5:$D$2244,C571,'7日销售明细'!$H$5:$H$2244,E571)</x:f>
        <x:v>464</x:v>
      </x:c>
      <x:c r="I571" s="35" t="n">
        <x:f>G571*XLOOKUP(E571,'菜品主数据'!$A$5:$A$24,'菜品主数据'!$G$5:$G$24,0)</x:f>
        <x:v>163.69600000000003</x:v>
      </x:c>
    </x:row>
    <x:row r="572">
      <x:c r="A572" s="19" t="str">
        <x:v>2026-07-07|S05|D08</x:v>
      </x:c>
      <x:c r="B572" s="34" t="n">
        <x:v>46210.5</x:v>
      </x:c>
      <x:c r="C572" s="19" t="str">
        <x:v>S05</x:v>
      </x:c>
      <x:c r="D572" s="19" t="str">
        <x:v>同顺街店</x:v>
      </x:c>
      <x:c r="E572" s="19" t="str">
        <x:v>D08</x:v>
      </x:c>
      <x:c r="F572" s="19" t="str">
        <x:v>生炒清远鸡</x:v>
      </x:c>
      <x:c r="G572" s="20" t="n">
        <x:f>SUMIFS('7日销售明细'!$K$5:$K$2244,'7日销售明细'!$B$5:$B$2244,B572,'7日销售明细'!$D$5:$D$2244,C572,'7日销售明细'!$H$5:$H$2244,E572)</x:f>
        <x:v>12</x:v>
      </x:c>
      <x:c r="H572" s="35" t="n">
        <x:f>SUMIFS('7日销售明细'!$L$5:$L$2244,'7日销售明细'!$B$5:$B$2244,B572,'7日销售明细'!$D$5:$D$2244,C572,'7日销售明细'!$H$5:$H$2244,E572)</x:f>
        <x:v>432</x:v>
      </x:c>
      <x:c r="I572" s="35" t="n">
        <x:f>G572*XLOOKUP(E572,'菜品主数据'!$A$5:$A$24,'菜品主数据'!$G$5:$G$24,0)</x:f>
        <x:v>161.76</x:v>
      </x:c>
    </x:row>
    <x:row r="573">
      <x:c r="A573" s="19" t="str">
        <x:v>2026-07-07|S05|D09</x:v>
      </x:c>
      <x:c r="B573" s="34" t="n">
        <x:v>46210.5</x:v>
      </x:c>
      <x:c r="C573" s="19" t="str">
        <x:v>S05</x:v>
      </x:c>
      <x:c r="D573" s="19" t="str">
        <x:v>同顺街店</x:v>
      </x:c>
      <x:c r="E573" s="19" t="str">
        <x:v>D09</x:v>
      </x:c>
      <x:c r="F573" s="19" t="str">
        <x:v>炒豆干</x:v>
      </x:c>
      <x:c r="G573" s="20" t="n">
        <x:f>SUMIFS('7日销售明细'!$K$5:$K$2244,'7日销售明细'!$B$5:$B$2244,B573,'7日销售明细'!$D$5:$D$2244,C573,'7日销售明细'!$H$5:$H$2244,E573)</x:f>
        <x:v>15</x:v>
      </x:c>
      <x:c r="H573" s="35" t="n">
        <x:f>SUMIFS('7日销售明细'!$L$5:$L$2244,'7日销售明细'!$B$5:$B$2244,B573,'7日销售明细'!$D$5:$D$2244,C573,'7日销售明细'!$H$5:$H$2244,E573)</x:f>
        <x:v>270</x:v>
      </x:c>
      <x:c r="I573" s="35" t="n">
        <x:f>G573*XLOOKUP(E573,'菜品主数据'!$A$5:$A$24,'菜品主数据'!$G$5:$G$24,0)</x:f>
        <x:v>99.20999999999998</x:v>
      </x:c>
    </x:row>
    <x:row r="574">
      <x:c r="A574" s="19" t="str">
        <x:v>2026-07-07|S05|D10</x:v>
      </x:c>
      <x:c r="B574" s="34" t="n">
        <x:v>46210.5</x:v>
      </x:c>
      <x:c r="C574" s="19" t="str">
        <x:v>S05</x:v>
      </x:c>
      <x:c r="D574" s="19" t="str">
        <x:v>同顺街店</x:v>
      </x:c>
      <x:c r="E574" s="19" t="str">
        <x:v>D10</x:v>
      </x:c>
      <x:c r="F574" s="19" t="str">
        <x:v>农家一碗香</x:v>
      </x:c>
      <x:c r="G574" s="20" t="n">
        <x:f>SUMIFS('7日销售明细'!$K$5:$K$2244,'7日销售明细'!$B$5:$B$2244,B574,'7日销售明细'!$D$5:$D$2244,C574,'7日销售明细'!$H$5:$H$2244,E574)</x:f>
        <x:v>18</x:v>
      </x:c>
      <x:c r="H574" s="35" t="n">
        <x:f>SUMIFS('7日销售明细'!$L$5:$L$2244,'7日销售明细'!$B$5:$B$2244,B574,'7日销售明细'!$D$5:$D$2244,C574,'7日销售明细'!$H$5:$H$2244,E574)</x:f>
        <x:v>412.19999999999993</x:v>
      </x:c>
      <x:c r="I574" s="35" t="n">
        <x:f>G574*XLOOKUP(E574,'菜品主数据'!$A$5:$A$24,'菜品主数据'!$G$5:$G$24,0)</x:f>
        <x:v>175.86360000000005</x:v>
      </x:c>
    </x:row>
    <x:row r="575">
      <x:c r="A575" s="19" t="str">
        <x:v>2026-07-07|S05|D11</x:v>
      </x:c>
      <x:c r="B575" s="34" t="n">
        <x:v>46210.5</x:v>
      </x:c>
      <x:c r="C575" s="19" t="str">
        <x:v>S05</x:v>
      </x:c>
      <x:c r="D575" s="19" t="str">
        <x:v>同顺街店</x:v>
      </x:c>
      <x:c r="E575" s="19" t="str">
        <x:v>D11</x:v>
      </x:c>
      <x:c r="F575" s="19" t="str">
        <x:v>香辣爆肥肠</x:v>
      </x:c>
      <x:c r="G575" s="20" t="n">
        <x:f>SUMIFS('7日销售明细'!$K$5:$K$2244,'7日销售明细'!$B$5:$B$2244,B575,'7日销售明细'!$D$5:$D$2244,C575,'7日销售明细'!$H$5:$H$2244,E575)</x:f>
        <x:v>7</x:v>
      </x:c>
      <x:c r="H575" s="35" t="n">
        <x:f>SUMIFS('7日销售明细'!$L$5:$L$2244,'7日销售明细'!$B$5:$B$2244,B575,'7日销售明细'!$D$5:$D$2244,C575,'7日销售明细'!$H$5:$H$2244,E575)</x:f>
        <x:v>273</x:v>
      </x:c>
      <x:c r="I575" s="35" t="n">
        <x:f>G575*XLOOKUP(E575,'菜品主数据'!$A$5:$A$24,'菜品主数据'!$G$5:$G$24,0)</x:f>
        <x:v>72.779</x:v>
      </x:c>
    </x:row>
    <x:row r="576">
      <x:c r="A576" s="19" t="str">
        <x:v>2026-07-07|S05|D12</x:v>
      </x:c>
      <x:c r="B576" s="34" t="n">
        <x:v>46210.5</x:v>
      </x:c>
      <x:c r="C576" s="19" t="str">
        <x:v>S05</x:v>
      </x:c>
      <x:c r="D576" s="19" t="str">
        <x:v>同顺街店</x:v>
      </x:c>
      <x:c r="E576" s="19" t="str">
        <x:v>D12</x:v>
      </x:c>
      <x:c r="F576" s="19" t="str">
        <x:v>清蒸鲈鱼</x:v>
      </x:c>
      <x:c r="G576" s="20" t="n">
        <x:f>SUMIFS('7日销售明细'!$K$5:$K$2244,'7日销售明细'!$B$5:$B$2244,B576,'7日销售明细'!$D$5:$D$2244,C576,'7日销售明细'!$H$5:$H$2244,E576)</x:f>
        <x:v>7</x:v>
      </x:c>
      <x:c r="H576" s="35" t="n">
        <x:f>SUMIFS('7日销售明细'!$L$5:$L$2244,'7日销售明细'!$B$5:$B$2244,B576,'7日销售明细'!$D$5:$D$2244,C576,'7日销售明细'!$H$5:$H$2244,E576)</x:f>
        <x:v>273</x:v>
      </x:c>
      <x:c r="I576" s="35" t="n">
        <x:f>G576*XLOOKUP(E576,'菜品主数据'!$A$5:$A$24,'菜品主数据'!$G$5:$G$24,0)</x:f>
        <x:v>132.118</x:v>
      </x:c>
    </x:row>
    <x:row r="577">
      <x:c r="A577" s="19" t="str">
        <x:v>2026-07-07|S05|D13</x:v>
      </x:c>
      <x:c r="B577" s="34" t="n">
        <x:v>46210.5</x:v>
      </x:c>
      <x:c r="C577" s="19" t="str">
        <x:v>S05</x:v>
      </x:c>
      <x:c r="D577" s="19" t="str">
        <x:v>同顺街店</x:v>
      </x:c>
      <x:c r="E577" s="19" t="str">
        <x:v>D13</x:v>
      </x:c>
      <x:c r="F577" s="19" t="str">
        <x:v>外婆菜炒蛋</x:v>
      </x:c>
      <x:c r="G577" s="20" t="n">
        <x:f>SUMIFS('7日销售明细'!$K$5:$K$2244,'7日销售明细'!$B$5:$B$2244,B577,'7日销售明细'!$D$5:$D$2244,C577,'7日销售明细'!$H$5:$H$2244,E577)</x:f>
        <x:v>16</x:v>
      </x:c>
      <x:c r="H577" s="35" t="n">
        <x:f>SUMIFS('7日销售明细'!$L$5:$L$2244,'7日销售明细'!$B$5:$B$2244,B577,'7日销售明细'!$D$5:$D$2244,C577,'7日销售明细'!$H$5:$H$2244,E577)</x:f>
        <x:v>288</x:v>
      </x:c>
      <x:c r="I577" s="35" t="n">
        <x:f>G577*XLOOKUP(E577,'菜品主数据'!$A$5:$A$24,'菜品主数据'!$G$5:$G$24,0)</x:f>
        <x:v>86.46399999999998</x:v>
      </x:c>
    </x:row>
    <x:row r="578">
      <x:c r="A578" s="19" t="str">
        <x:v>2026-07-07|S05|D14</x:v>
      </x:c>
      <x:c r="B578" s="34" t="n">
        <x:v>46210.5</x:v>
      </x:c>
      <x:c r="C578" s="19" t="str">
        <x:v>S05</x:v>
      </x:c>
      <x:c r="D578" s="19" t="str">
        <x:v>同顺街店</x:v>
      </x:c>
      <x:c r="E578" s="19" t="str">
        <x:v>D14</x:v>
      </x:c>
      <x:c r="F578" s="19" t="str">
        <x:v>酸辣鸡杂</x:v>
      </x:c>
      <x:c r="G578" s="20" t="n">
        <x:f>SUMIFS('7日销售明细'!$K$5:$K$2244,'7日销售明细'!$B$5:$B$2244,B578,'7日销售明细'!$D$5:$D$2244,C578,'7日销售明细'!$H$5:$H$2244,E578)</x:f>
        <x:v>8</x:v>
      </x:c>
      <x:c r="H578" s="35" t="n">
        <x:f>SUMIFS('7日销售明细'!$L$5:$L$2244,'7日销售明细'!$B$5:$B$2244,B578,'7日销售明细'!$D$5:$D$2244,C578,'7日销售明细'!$H$5:$H$2244,E578)</x:f>
        <x:v>224</x:v>
      </x:c>
      <x:c r="I578" s="35" t="n">
        <x:f>G578*XLOOKUP(E578,'菜品主数据'!$A$5:$A$24,'菜品主数据'!$G$5:$G$24,0)</x:f>
        <x:v>66.52000000000001</x:v>
      </x:c>
    </x:row>
    <x:row r="579">
      <x:c r="A579" s="19" t="str">
        <x:v>2026-07-07|S05|D15</x:v>
      </x:c>
      <x:c r="B579" s="34" t="n">
        <x:v>46210.5</x:v>
      </x:c>
      <x:c r="C579" s="19" t="str">
        <x:v>S05</x:v>
      </x:c>
      <x:c r="D579" s="19" t="str">
        <x:v>同顺街店</x:v>
      </x:c>
      <x:c r="E579" s="19" t="str">
        <x:v>D15</x:v>
      </x:c>
      <x:c r="F579" s="19" t="str">
        <x:v>湘西土匪猪肝</x:v>
      </x:c>
      <x:c r="G579" s="20" t="n">
        <x:f>SUMIFS('7日销售明细'!$K$5:$K$2244,'7日销售明细'!$B$5:$B$2244,B579,'7日销售明细'!$D$5:$D$2244,C579,'7日销售明细'!$H$5:$H$2244,E579)</x:f>
        <x:v>7</x:v>
      </x:c>
      <x:c r="H579" s="35" t="n">
        <x:f>SUMIFS('7日销售明细'!$L$5:$L$2244,'7日销售明细'!$B$5:$B$2244,B579,'7日销售明细'!$D$5:$D$2244,C579,'7日销售明细'!$H$5:$H$2244,E579)</x:f>
        <x:v>182</x:v>
      </x:c>
      <x:c r="I579" s="35" t="n">
        <x:f>G579*XLOOKUP(E579,'菜品主数据'!$A$5:$A$24,'菜品主数据'!$G$5:$G$24,0)</x:f>
        <x:v>44.632</x:v>
      </x:c>
    </x:row>
    <x:row r="580">
      <x:c r="A580" s="19" t="str">
        <x:v>2026-07-07|S05|D16</x:v>
      </x:c>
      <x:c r="B580" s="34" t="n">
        <x:v>46210.5</x:v>
      </x:c>
      <x:c r="C580" s="19" t="str">
        <x:v>S05</x:v>
      </x:c>
      <x:c r="D580" s="19" t="str">
        <x:v>同顺街店</x:v>
      </x:c>
      <x:c r="E580" s="19" t="str">
        <x:v>D16</x:v>
      </x:c>
      <x:c r="F580" s="19" t="str">
        <x:v>小豆角炒五花</x:v>
      </x:c>
      <x:c r="G580" s="20" t="n">
        <x:f>SUMIFS('7日销售明细'!$K$5:$K$2244,'7日销售明细'!$B$5:$B$2244,B580,'7日销售明细'!$D$5:$D$2244,C580,'7日销售明细'!$H$5:$H$2244,E580)</x:f>
        <x:v>7</x:v>
      </x:c>
      <x:c r="H580" s="35" t="n">
        <x:f>SUMIFS('7日销售明细'!$L$5:$L$2244,'7日销售明细'!$B$5:$B$2244,B580,'7日销售明细'!$D$5:$D$2244,C580,'7日销售明细'!$H$5:$H$2244,E580)</x:f>
        <x:v>175</x:v>
      </x:c>
      <x:c r="I580" s="35" t="n">
        <x:f>G580*XLOOKUP(E580,'菜品主数据'!$A$5:$A$24,'菜品主数据'!$G$5:$G$24,0)</x:f>
        <x:v>57.288</x:v>
      </x:c>
    </x:row>
    <x:row r="581">
      <x:c r="A581" s="19" t="str">
        <x:v>2026-07-07|S05|D17</x:v>
      </x:c>
      <x:c r="B581" s="34" t="n">
        <x:v>46210.5</x:v>
      </x:c>
      <x:c r="C581" s="19" t="str">
        <x:v>S05</x:v>
      </x:c>
      <x:c r="D581" s="19" t="str">
        <x:v>同顺街店</x:v>
      </x:c>
      <x:c r="E581" s="19" t="str">
        <x:v>D17</x:v>
      </x:c>
      <x:c r="F581" s="19" t="str">
        <x:v>蒜蓉粉丝虾</x:v>
      </x:c>
      <x:c r="G581" s="20" t="n">
        <x:f>SUMIFS('7日销售明细'!$K$5:$K$2244,'7日销售明细'!$B$5:$B$2244,B581,'7日销售明细'!$D$5:$D$2244,C581,'7日销售明细'!$H$5:$H$2244,E581)</x:f>
        <x:v>5</x:v>
      </x:c>
      <x:c r="H581" s="35" t="n">
        <x:f>SUMIFS('7日销售明细'!$L$5:$L$2244,'7日销售明细'!$B$5:$B$2244,B581,'7日销售明细'!$D$5:$D$2244,C581,'7日销售明细'!$H$5:$H$2244,E581)</x:f>
        <x:v>180</x:v>
      </x:c>
      <x:c r="I581" s="35" t="n">
        <x:f>G581*XLOOKUP(E581,'菜品主数据'!$A$5:$A$24,'菜品主数据'!$G$5:$G$24,0)</x:f>
        <x:v>67.97</x:v>
      </x:c>
    </x:row>
    <x:row r="582">
      <x:c r="A582" s="19" t="str">
        <x:v>2026-07-07|S05|D18</x:v>
      </x:c>
      <x:c r="B582" s="34" t="n">
        <x:v>46210.5</x:v>
      </x:c>
      <x:c r="C582" s="19" t="str">
        <x:v>S05</x:v>
      </x:c>
      <x:c r="D582" s="19" t="str">
        <x:v>同顺街店</x:v>
      </x:c>
      <x:c r="E582" s="19" t="str">
        <x:v>D18</x:v>
      </x:c>
      <x:c r="F582" s="19" t="str">
        <x:v>青椒炒油麦菜</x:v>
      </x:c>
      <x:c r="G582" s="20" t="n">
        <x:f>SUMIFS('7日销售明细'!$K$5:$K$2244,'7日销售明细'!$B$5:$B$2244,B582,'7日销售明细'!$D$5:$D$2244,C582,'7日销售明细'!$H$5:$H$2244,E582)</x:f>
        <x:v>8</x:v>
      </x:c>
      <x:c r="H582" s="35" t="n">
        <x:f>SUMIFS('7日销售明细'!$L$5:$L$2244,'7日销售明细'!$B$5:$B$2244,B582,'7日销售明细'!$D$5:$D$2244,C582,'7日销售明细'!$H$5:$H$2244,E582)</x:f>
        <x:v>144</x:v>
      </x:c>
      <x:c r="I582" s="35" t="n">
        <x:f>G582*XLOOKUP(E582,'菜品主数据'!$A$5:$A$24,'菜品主数据'!$G$5:$G$24,0)</x:f>
        <x:v>25.407999999999994</x:v>
      </x:c>
    </x:row>
    <x:row r="583">
      <x:c r="A583" s="19" t="str">
        <x:v>2026-07-07|S05|D19</x:v>
      </x:c>
      <x:c r="B583" s="34" t="n">
        <x:v>46210.5</x:v>
      </x:c>
      <x:c r="C583" s="19" t="str">
        <x:v>S05</x:v>
      </x:c>
      <x:c r="D583" s="19" t="str">
        <x:v>同顺街店</x:v>
      </x:c>
      <x:c r="E583" s="19" t="str">
        <x:v>D19</x:v>
      </x:c>
      <x:c r="F583" s="19" t="str">
        <x:v>酸萝卜炒鸡杂</x:v>
      </x:c>
      <x:c r="G583" s="20" t="n">
        <x:f>SUMIFS('7日销售明细'!$K$5:$K$2244,'7日销售明细'!$B$5:$B$2244,B583,'7日销售明细'!$D$5:$D$2244,C583,'7日销售明细'!$H$5:$H$2244,E583)</x:f>
        <x:v>6</x:v>
      </x:c>
      <x:c r="H583" s="35" t="n">
        <x:f>SUMIFS('7日销售明细'!$L$5:$L$2244,'7日销售明细'!$B$5:$B$2244,B583,'7日销售明细'!$D$5:$D$2244,C583,'7日销售明细'!$H$5:$H$2244,E583)</x:f>
        <x:v>150</x:v>
      </x:c>
      <x:c r="I583" s="35" t="n">
        <x:f>G583*XLOOKUP(E583,'菜品主数据'!$A$5:$A$24,'菜品主数据'!$G$5:$G$24,0)</x:f>
        <x:v>47.64</x:v>
      </x:c>
    </x:row>
    <x:row r="584">
      <x:c r="A584" s="19" t="str">
        <x:v>2026-07-07|S05|D20</x:v>
      </x:c>
      <x:c r="B584" s="34" t="n">
        <x:v>46210.5</x:v>
      </x:c>
      <x:c r="C584" s="19" t="str">
        <x:v>S05</x:v>
      </x:c>
      <x:c r="D584" s="19" t="str">
        <x:v>同顺街店</x:v>
      </x:c>
      <x:c r="E584" s="19" t="str">
        <x:v>D20</x:v>
      </x:c>
      <x:c r="F584" s="19" t="str">
        <x:v>雪菜肉末青豆</x:v>
      </x:c>
      <x:c r="G584" s="20" t="n">
        <x:f>SUMIFS('7日销售明细'!$K$5:$K$2244,'7日销售明细'!$B$5:$B$2244,B584,'7日销售明细'!$D$5:$D$2244,C584,'7日销售明细'!$H$5:$H$2244,E584)</x:f>
        <x:v>8</x:v>
      </x:c>
      <x:c r="H584" s="35" t="n">
        <x:f>SUMIFS('7日销售明细'!$L$5:$L$2244,'7日销售明细'!$B$5:$B$2244,B584,'7日销售明细'!$D$5:$D$2244,C584,'7日销售明细'!$H$5:$H$2244,E584)</x:f>
        <x:v>144</x:v>
      </x:c>
      <x:c r="I584" s="35" t="n">
        <x:f>G584*XLOOKUP(E584,'菜品主数据'!$A$5:$A$24,'菜品主数据'!$G$5:$G$24,0)</x:f>
        <x:v>58.431999999999995</x:v>
      </x:c>
    </x:row>
    <x:row r="585">
      <x:c r="A585" s="19" t="str">
        <x:v>2026-07-08|S05|D01</x:v>
      </x:c>
      <x:c r="B585" s="34" t="n">
        <x:v>46211.5</x:v>
      </x:c>
      <x:c r="C585" s="19" t="str">
        <x:v>S05</x:v>
      </x:c>
      <x:c r="D585" s="19" t="str">
        <x:v>同顺街店</x:v>
      </x:c>
      <x:c r="E585" s="19" t="str">
        <x:v>D01</x:v>
      </x:c>
      <x:c r="F585" s="19" t="str">
        <x:v>辣椒炒肉</x:v>
      </x:c>
      <x:c r="G585" s="20" t="n">
        <x:f>SUMIFS('7日销售明细'!$K$5:$K$2244,'7日销售明细'!$B$5:$B$2244,B585,'7日销售明细'!$D$5:$D$2244,C585,'7日销售明细'!$H$5:$H$2244,E585)</x:f>
        <x:v>49</x:v>
      </x:c>
      <x:c r="H585" s="35" t="n">
        <x:f>SUMIFS('7日销售明细'!$L$5:$L$2244,'7日销售明细'!$B$5:$B$2244,B585,'7日销售明细'!$D$5:$D$2244,C585,'7日销售明细'!$H$5:$H$2244,E585)</x:f>
        <x:v>1421</x:v>
      </x:c>
      <x:c r="I585" s="35" t="n">
        <x:f>G585*XLOOKUP(E585,'菜品主数据'!$A$5:$A$24,'菜品主数据'!$G$5:$G$24,0)</x:f>
        <x:v>423.08560000000006</x:v>
      </x:c>
    </x:row>
    <x:row r="586">
      <x:c r="A586" s="19" t="str">
        <x:v>2026-07-08|S05|D02</x:v>
      </x:c>
      <x:c r="B586" s="34" t="n">
        <x:v>46211.5</x:v>
      </x:c>
      <x:c r="C586" s="19" t="str">
        <x:v>S05</x:v>
      </x:c>
      <x:c r="D586" s="19" t="str">
        <x:v>同顺街店</x:v>
      </x:c>
      <x:c r="E586" s="19" t="str">
        <x:v>D02</x:v>
      </x:c>
      <x:c r="F586" s="19" t="str">
        <x:v>小炒黄牛肉</x:v>
      </x:c>
      <x:c r="G586" s="20" t="n">
        <x:f>SUMIFS('7日销售明细'!$K$5:$K$2244,'7日销售明细'!$B$5:$B$2244,B586,'7日销售明细'!$D$5:$D$2244,C586,'7日销售明细'!$H$5:$H$2244,E586)</x:f>
        <x:v>33</x:v>
      </x:c>
      <x:c r="H586" s="35" t="n">
        <x:f>SUMIFS('7日销售明细'!$L$5:$L$2244,'7日销售明细'!$B$5:$B$2244,B586,'7日销售明细'!$D$5:$D$2244,C586,'7日销售明细'!$H$5:$H$2244,E586)</x:f>
        <x:v>1617</x:v>
      </x:c>
      <x:c r="I586" s="35" t="n">
        <x:f>G586*XLOOKUP(E586,'菜品主数据'!$A$5:$A$24,'菜品主数据'!$G$5:$G$24,0)</x:f>
        <x:v>580.041</x:v>
      </x:c>
    </x:row>
    <x:row r="587">
      <x:c r="A587" s="19" t="str">
        <x:v>2026-07-08|S05|D03</x:v>
      </x:c>
      <x:c r="B587" s="34" t="n">
        <x:v>46211.5</x:v>
      </x:c>
      <x:c r="C587" s="19" t="str">
        <x:v>S05</x:v>
      </x:c>
      <x:c r="D587" s="19" t="str">
        <x:v>同顺街店</x:v>
      </x:c>
      <x:c r="E587" s="19" t="str">
        <x:v>D03</x:v>
      </x:c>
      <x:c r="F587" s="19" t="str">
        <x:v>香醋炒蛋</x:v>
      </x:c>
      <x:c r="G587" s="20" t="n">
        <x:f>SUMIFS('7日销售明细'!$K$5:$K$2244,'7日销售明细'!$B$5:$B$2244,B587,'7日销售明细'!$D$5:$D$2244,C587,'7日销售明细'!$H$5:$H$2244,E587)</x:f>
        <x:v>41</x:v>
      </x:c>
      <x:c r="H587" s="35" t="n">
        <x:f>SUMIFS('7日销售明细'!$L$5:$L$2244,'7日销售明细'!$B$5:$B$2244,B587,'7日销售明细'!$D$5:$D$2244,C587,'7日销售明细'!$H$5:$H$2244,E587)</x:f>
        <x:v>610.9000000000001</x:v>
      </x:c>
      <x:c r="I587" s="35" t="n">
        <x:f>G587*XLOOKUP(E587,'菜品主数据'!$A$5:$A$24,'菜品主数据'!$G$5:$G$24,0)</x:f>
        <x:v>153.58599999999998</x:v>
      </x:c>
    </x:row>
    <x:row r="588">
      <x:c r="A588" s="19" t="str">
        <x:v>2026-07-08|S05|D04</x:v>
      </x:c>
      <x:c r="B588" s="34" t="n">
        <x:v>46211.5</x:v>
      </x:c>
      <x:c r="C588" s="19" t="str">
        <x:v>S05</x:v>
      </x:c>
      <x:c r="D588" s="19" t="str">
        <x:v>同顺街店</x:v>
      </x:c>
      <x:c r="E588" s="19" t="str">
        <x:v>D04</x:v>
      </x:c>
      <x:c r="F588" s="19" t="str">
        <x:v>酸包菜炒粉皮</x:v>
      </x:c>
      <x:c r="G588" s="20" t="n">
        <x:f>SUMIFS('7日销售明细'!$K$5:$K$2244,'7日销售明细'!$B$5:$B$2244,B588,'7日销售明细'!$D$5:$D$2244,C588,'7日销售明细'!$H$5:$H$2244,E588)</x:f>
        <x:v>36</x:v>
      </x:c>
      <x:c r="H588" s="35" t="n">
        <x:f>SUMIFS('7日销售明细'!$L$5:$L$2244,'7日销售明细'!$B$5:$B$2244,B588,'7日销售明细'!$D$5:$D$2244,C588,'7日销售明细'!$H$5:$H$2244,E588)</x:f>
        <x:v>576</x:v>
      </x:c>
      <x:c r="I588" s="35" t="n">
        <x:f>G588*XLOOKUP(E588,'菜品主数据'!$A$5:$A$24,'菜品主数据'!$G$5:$G$24,0)</x:f>
        <x:v>143.208</x:v>
      </x:c>
    </x:row>
    <x:row r="589">
      <x:c r="A589" s="19" t="str">
        <x:v>2026-07-08|S05|D05</x:v>
      </x:c>
      <x:c r="B589" s="34" t="n">
        <x:v>46211.5</x:v>
      </x:c>
      <x:c r="C589" s="19" t="str">
        <x:v>S05</x:v>
      </x:c>
      <x:c r="D589" s="19" t="str">
        <x:v>同顺街店</x:v>
      </x:c>
      <x:c r="E589" s="19" t="str">
        <x:v>D05</x:v>
      </x:c>
      <x:c r="F589" s="19" t="str">
        <x:v>麻婆豆腐</x:v>
      </x:c>
      <x:c r="G589" s="20" t="n">
        <x:f>SUMIFS('7日销售明细'!$K$5:$K$2244,'7日销售明细'!$B$5:$B$2244,B589,'7日销售明细'!$D$5:$D$2244,C589,'7日销售明细'!$H$5:$H$2244,E589)</x:f>
        <x:v>51</x:v>
      </x:c>
      <x:c r="H589" s="35" t="n">
        <x:f>SUMIFS('7日销售明细'!$L$5:$L$2244,'7日销售明细'!$B$5:$B$2244,B589,'7日销售明细'!$D$5:$D$2244,C589,'7日销售明细'!$H$5:$H$2244,E589)</x:f>
        <x:v>504.90000000000003</x:v>
      </x:c>
      <x:c r="I589" s="35" t="n">
        <x:f>G589*XLOOKUP(E589,'菜品主数据'!$A$5:$A$24,'菜品主数据'!$G$5:$G$24,0)</x:f>
        <x:v>273.71700000000004</x:v>
      </x:c>
    </x:row>
    <x:row r="590">
      <x:c r="A590" s="19" t="str">
        <x:v>2026-07-08|S05|D06</x:v>
      </x:c>
      <x:c r="B590" s="34" t="n">
        <x:v>46211.5</x:v>
      </x:c>
      <x:c r="C590" s="19" t="str">
        <x:v>S05</x:v>
      </x:c>
      <x:c r="D590" s="19" t="str">
        <x:v>同顺街店</x:v>
      </x:c>
      <x:c r="E590" s="19" t="str">
        <x:v>D06</x:v>
      </x:c>
      <x:c r="F590" s="19" t="str">
        <x:v>剁椒鱼头</x:v>
      </x:c>
      <x:c r="G590" s="20" t="n">
        <x:f>SUMIFS('7日销售明细'!$K$5:$K$2244,'7日销售明细'!$B$5:$B$2244,B590,'7日销售明细'!$D$5:$D$2244,C590,'7日销售明细'!$H$5:$H$2244,E590)</x:f>
        <x:v>14</x:v>
      </x:c>
      <x:c r="H590" s="35" t="n">
        <x:f>SUMIFS('7日销售明细'!$L$5:$L$2244,'7日销售明细'!$B$5:$B$2244,B590,'7日销售明细'!$D$5:$D$2244,C590,'7日销售明细'!$H$5:$H$2244,E590)</x:f>
        <x:v>546</x:v>
      </x:c>
      <x:c r="I590" s="35" t="n">
        <x:f>G590*XLOOKUP(E590,'菜品主数据'!$A$5:$A$24,'菜品主数据'!$G$5:$G$24,0)</x:f>
        <x:v>244.24400000000003</x:v>
      </x:c>
    </x:row>
    <x:row r="591">
      <x:c r="A591" s="19" t="str">
        <x:v>2026-07-08|S05|D07</x:v>
      </x:c>
      <x:c r="B591" s="34" t="n">
        <x:v>46211.5</x:v>
      </x:c>
      <x:c r="C591" s="19" t="str">
        <x:v>S05</x:v>
      </x:c>
      <x:c r="D591" s="19" t="str">
        <x:v>同顺街店</x:v>
      </x:c>
      <x:c r="E591" s="19" t="str">
        <x:v>D07</x:v>
      </x:c>
      <x:c r="F591" s="19" t="str">
        <x:v>川味回锅肉</x:v>
      </x:c>
      <x:c r="G591" s="20" t="n">
        <x:f>SUMIFS('7日销售明细'!$K$5:$K$2244,'7日销售明细'!$B$5:$B$2244,B591,'7日销售明细'!$D$5:$D$2244,C591,'7日销售明细'!$H$5:$H$2244,E591)</x:f>
        <x:v>15</x:v>
      </x:c>
      <x:c r="H591" s="35" t="n">
        <x:f>SUMIFS('7日销售明细'!$L$5:$L$2244,'7日销售明细'!$B$5:$B$2244,B591,'7日销售明细'!$D$5:$D$2244,C591,'7日销售明细'!$H$5:$H$2244,E591)</x:f>
        <x:v>435</x:v>
      </x:c>
      <x:c r="I591" s="35" t="n">
        <x:f>G591*XLOOKUP(E591,'菜品主数据'!$A$5:$A$24,'菜品主数据'!$G$5:$G$24,0)</x:f>
        <x:v>153.46500000000003</x:v>
      </x:c>
    </x:row>
    <x:row r="592">
      <x:c r="A592" s="19" t="str">
        <x:v>2026-07-08|S05|D08</x:v>
      </x:c>
      <x:c r="B592" s="34" t="n">
        <x:v>46211.5</x:v>
      </x:c>
      <x:c r="C592" s="19" t="str">
        <x:v>S05</x:v>
      </x:c>
      <x:c r="D592" s="19" t="str">
        <x:v>同顺街店</x:v>
      </x:c>
      <x:c r="E592" s="19" t="str">
        <x:v>D08</x:v>
      </x:c>
      <x:c r="F592" s="19" t="str">
        <x:v>生炒清远鸡</x:v>
      </x:c>
      <x:c r="G592" s="20" t="n">
        <x:f>SUMIFS('7日销售明细'!$K$5:$K$2244,'7日销售明细'!$B$5:$B$2244,B592,'7日销售明细'!$D$5:$D$2244,C592,'7日销售明细'!$H$5:$H$2244,E592)</x:f>
        <x:v>11</x:v>
      </x:c>
      <x:c r="H592" s="35" t="n">
        <x:f>SUMIFS('7日销售明细'!$L$5:$L$2244,'7日销售明细'!$B$5:$B$2244,B592,'7日销售明细'!$D$5:$D$2244,C592,'7日销售明细'!$H$5:$H$2244,E592)</x:f>
        <x:v>396</x:v>
      </x:c>
      <x:c r="I592" s="35" t="n">
        <x:f>G592*XLOOKUP(E592,'菜品主数据'!$A$5:$A$24,'菜品主数据'!$G$5:$G$24,0)</x:f>
        <x:v>148.28</x:v>
      </x:c>
    </x:row>
    <x:row r="593">
      <x:c r="A593" s="19" t="str">
        <x:v>2026-07-08|S05|D09</x:v>
      </x:c>
      <x:c r="B593" s="34" t="n">
        <x:v>46211.5</x:v>
      </x:c>
      <x:c r="C593" s="19" t="str">
        <x:v>S05</x:v>
      </x:c>
      <x:c r="D593" s="19" t="str">
        <x:v>同顺街店</x:v>
      </x:c>
      <x:c r="E593" s="19" t="str">
        <x:v>D09</x:v>
      </x:c>
      <x:c r="F593" s="19" t="str">
        <x:v>炒豆干</x:v>
      </x:c>
      <x:c r="G593" s="20" t="n">
        <x:f>SUMIFS('7日销售明细'!$K$5:$K$2244,'7日销售明细'!$B$5:$B$2244,B593,'7日销售明细'!$D$5:$D$2244,C593,'7日销售明细'!$H$5:$H$2244,E593)</x:f>
        <x:v>16</x:v>
      </x:c>
      <x:c r="H593" s="35" t="n">
        <x:f>SUMIFS('7日销售明细'!$L$5:$L$2244,'7日销售明细'!$B$5:$B$2244,B593,'7日销售明细'!$D$5:$D$2244,C593,'7日销售明细'!$H$5:$H$2244,E593)</x:f>
        <x:v>288</x:v>
      </x:c>
      <x:c r="I593" s="35" t="n">
        <x:f>G593*XLOOKUP(E593,'菜品主数据'!$A$5:$A$24,'菜品主数据'!$G$5:$G$24,0)</x:f>
        <x:v>105.82399999999998</x:v>
      </x:c>
    </x:row>
    <x:row r="594">
      <x:c r="A594" s="19" t="str">
        <x:v>2026-07-08|S05|D10</x:v>
      </x:c>
      <x:c r="B594" s="34" t="n">
        <x:v>46211.5</x:v>
      </x:c>
      <x:c r="C594" s="19" t="str">
        <x:v>S05</x:v>
      </x:c>
      <x:c r="D594" s="19" t="str">
        <x:v>同顺街店</x:v>
      </x:c>
      <x:c r="E594" s="19" t="str">
        <x:v>D10</x:v>
      </x:c>
      <x:c r="F594" s="19" t="str">
        <x:v>农家一碗香</x:v>
      </x:c>
      <x:c r="G594" s="20" t="n">
        <x:f>SUMIFS('7日销售明细'!$K$5:$K$2244,'7日销售明细'!$B$5:$B$2244,B594,'7日销售明细'!$D$5:$D$2244,C594,'7日销售明细'!$H$5:$H$2244,E594)</x:f>
        <x:v>17</x:v>
      </x:c>
      <x:c r="H594" s="35" t="n">
        <x:f>SUMIFS('7日销售明细'!$L$5:$L$2244,'7日销售明细'!$B$5:$B$2244,B594,'7日销售明细'!$D$5:$D$2244,C594,'7日销售明细'!$H$5:$H$2244,E594)</x:f>
        <x:v>389.29999999999995</x:v>
      </x:c>
      <x:c r="I594" s="35" t="n">
        <x:f>G594*XLOOKUP(E594,'菜品主数据'!$A$5:$A$24,'菜品主数据'!$G$5:$G$24,0)</x:f>
        <x:v>166.09340000000003</x:v>
      </x:c>
    </x:row>
    <x:row r="595">
      <x:c r="A595" s="19" t="str">
        <x:v>2026-07-08|S05|D11</x:v>
      </x:c>
      <x:c r="B595" s="34" t="n">
        <x:v>46211.5</x:v>
      </x:c>
      <x:c r="C595" s="19" t="str">
        <x:v>S05</x:v>
      </x:c>
      <x:c r="D595" s="19" t="str">
        <x:v>同顺街店</x:v>
      </x:c>
      <x:c r="E595" s="19" t="str">
        <x:v>D11</x:v>
      </x:c>
      <x:c r="F595" s="19" t="str">
        <x:v>香辣爆肥肠</x:v>
      </x:c>
      <x:c r="G595" s="20" t="n">
        <x:f>SUMIFS('7日销售明细'!$K$5:$K$2244,'7日销售明细'!$B$5:$B$2244,B595,'7日销售明细'!$D$5:$D$2244,C595,'7日销售明细'!$H$5:$H$2244,E595)</x:f>
        <x:v>6</x:v>
      </x:c>
      <x:c r="H595" s="35" t="n">
        <x:f>SUMIFS('7日销售明细'!$L$5:$L$2244,'7日销售明细'!$B$5:$B$2244,B595,'7日销售明细'!$D$5:$D$2244,C595,'7日销售明细'!$H$5:$H$2244,E595)</x:f>
        <x:v>234</x:v>
      </x:c>
      <x:c r="I595" s="35" t="n">
        <x:f>G595*XLOOKUP(E595,'菜品主数据'!$A$5:$A$24,'菜品主数据'!$G$5:$G$24,0)</x:f>
        <x:v>62.382000000000005</x:v>
      </x:c>
    </x:row>
    <x:row r="596">
      <x:c r="A596" s="19" t="str">
        <x:v>2026-07-08|S05|D12</x:v>
      </x:c>
      <x:c r="B596" s="34" t="n">
        <x:v>46211.5</x:v>
      </x:c>
      <x:c r="C596" s="19" t="str">
        <x:v>S05</x:v>
      </x:c>
      <x:c r="D596" s="19" t="str">
        <x:v>同顺街店</x:v>
      </x:c>
      <x:c r="E596" s="19" t="str">
        <x:v>D12</x:v>
      </x:c>
      <x:c r="F596" s="19" t="str">
        <x:v>清蒸鲈鱼</x:v>
      </x:c>
      <x:c r="G596" s="20" t="n">
        <x:f>SUMIFS('7日销售明细'!$K$5:$K$2244,'7日销售明细'!$B$5:$B$2244,B596,'7日销售明细'!$D$5:$D$2244,C596,'7日销售明细'!$H$5:$H$2244,E596)</x:f>
        <x:v>6</x:v>
      </x:c>
      <x:c r="H596" s="35" t="n">
        <x:f>SUMIFS('7日销售明细'!$L$5:$L$2244,'7日销售明细'!$B$5:$B$2244,B596,'7日销售明细'!$D$5:$D$2244,C596,'7日销售明细'!$H$5:$H$2244,E596)</x:f>
        <x:v>234</x:v>
      </x:c>
      <x:c r="I596" s="35" t="n">
        <x:f>G596*XLOOKUP(E596,'菜品主数据'!$A$5:$A$24,'菜品主数据'!$G$5:$G$24,0)</x:f>
        <x:v>113.244</x:v>
      </x:c>
    </x:row>
    <x:row r="597">
      <x:c r="A597" s="19" t="str">
        <x:v>2026-07-08|S05|D13</x:v>
      </x:c>
      <x:c r="B597" s="34" t="n">
        <x:v>46211.5</x:v>
      </x:c>
      <x:c r="C597" s="19" t="str">
        <x:v>S05</x:v>
      </x:c>
      <x:c r="D597" s="19" t="str">
        <x:v>同顺街店</x:v>
      </x:c>
      <x:c r="E597" s="19" t="str">
        <x:v>D13</x:v>
      </x:c>
      <x:c r="F597" s="19" t="str">
        <x:v>外婆菜炒蛋</x:v>
      </x:c>
      <x:c r="G597" s="20" t="n">
        <x:f>SUMIFS('7日销售明细'!$K$5:$K$2244,'7日销售明细'!$B$5:$B$2244,B597,'7日销售明细'!$D$5:$D$2244,C597,'7日销售明细'!$H$5:$H$2244,E597)</x:f>
        <x:v>14</x:v>
      </x:c>
      <x:c r="H597" s="35" t="n">
        <x:f>SUMIFS('7日销售明细'!$L$5:$L$2244,'7日销售明细'!$B$5:$B$2244,B597,'7日销售明细'!$D$5:$D$2244,C597,'7日销售明细'!$H$5:$H$2244,E597)</x:f>
        <x:v>252</x:v>
      </x:c>
      <x:c r="I597" s="35" t="n">
        <x:f>G597*XLOOKUP(E597,'菜品主数据'!$A$5:$A$24,'菜品主数据'!$G$5:$G$24,0)</x:f>
        <x:v>75.65599999999999</x:v>
      </x:c>
    </x:row>
    <x:row r="598">
      <x:c r="A598" s="19" t="str">
        <x:v>2026-07-08|S05|D14</x:v>
      </x:c>
      <x:c r="B598" s="34" t="n">
        <x:v>46211.5</x:v>
      </x:c>
      <x:c r="C598" s="19" t="str">
        <x:v>S05</x:v>
      </x:c>
      <x:c r="D598" s="19" t="str">
        <x:v>同顺街店</x:v>
      </x:c>
      <x:c r="E598" s="19" t="str">
        <x:v>D14</x:v>
      </x:c>
      <x:c r="F598" s="19" t="str">
        <x:v>酸辣鸡杂</x:v>
      </x:c>
      <x:c r="G598" s="20" t="n">
        <x:f>SUMIFS('7日销售明细'!$K$5:$K$2244,'7日销售明细'!$B$5:$B$2244,B598,'7日销售明细'!$D$5:$D$2244,C598,'7日销售明细'!$H$5:$H$2244,E598)</x:f>
        <x:v>8</x:v>
      </x:c>
      <x:c r="H598" s="35" t="n">
        <x:f>SUMIFS('7日销售明细'!$L$5:$L$2244,'7日销售明细'!$B$5:$B$2244,B598,'7日销售明细'!$D$5:$D$2244,C598,'7日销售明细'!$H$5:$H$2244,E598)</x:f>
        <x:v>224</x:v>
      </x:c>
      <x:c r="I598" s="35" t="n">
        <x:f>G598*XLOOKUP(E598,'菜品主数据'!$A$5:$A$24,'菜品主数据'!$G$5:$G$24,0)</x:f>
        <x:v>66.52000000000001</x:v>
      </x:c>
    </x:row>
    <x:row r="599">
      <x:c r="A599" s="19" t="str">
        <x:v>2026-07-08|S05|D15</x:v>
      </x:c>
      <x:c r="B599" s="34" t="n">
        <x:v>46211.5</x:v>
      </x:c>
      <x:c r="C599" s="19" t="str">
        <x:v>S05</x:v>
      </x:c>
      <x:c r="D599" s="19" t="str">
        <x:v>同顺街店</x:v>
      </x:c>
      <x:c r="E599" s="19" t="str">
        <x:v>D15</x:v>
      </x:c>
      <x:c r="F599" s="19" t="str">
        <x:v>湘西土匪猪肝</x:v>
      </x:c>
      <x:c r="G599" s="20" t="n">
        <x:f>SUMIFS('7日销售明细'!$K$5:$K$2244,'7日销售明细'!$B$5:$B$2244,B599,'7日销售明细'!$D$5:$D$2244,C599,'7日销售明细'!$H$5:$H$2244,E599)</x:f>
        <x:v>7</x:v>
      </x:c>
      <x:c r="H599" s="35" t="n">
        <x:f>SUMIFS('7日销售明细'!$L$5:$L$2244,'7日销售明细'!$B$5:$B$2244,B599,'7日销售明细'!$D$5:$D$2244,C599,'7日销售明细'!$H$5:$H$2244,E599)</x:f>
        <x:v>182</x:v>
      </x:c>
      <x:c r="I599" s="35" t="n">
        <x:f>G599*XLOOKUP(E599,'菜品主数据'!$A$5:$A$24,'菜品主数据'!$G$5:$G$24,0)</x:f>
        <x:v>44.632</x:v>
      </x:c>
    </x:row>
    <x:row r="600">
      <x:c r="A600" s="19" t="str">
        <x:v>2026-07-08|S05|D16</x:v>
      </x:c>
      <x:c r="B600" s="34" t="n">
        <x:v>46211.5</x:v>
      </x:c>
      <x:c r="C600" s="19" t="str">
        <x:v>S05</x:v>
      </x:c>
      <x:c r="D600" s="19" t="str">
        <x:v>同顺街店</x:v>
      </x:c>
      <x:c r="E600" s="19" t="str">
        <x:v>D16</x:v>
      </x:c>
      <x:c r="F600" s="19" t="str">
        <x:v>小豆角炒五花</x:v>
      </x:c>
      <x:c r="G600" s="20" t="n">
        <x:f>SUMIFS('7日销售明细'!$K$5:$K$2244,'7日销售明细'!$B$5:$B$2244,B600,'7日销售明细'!$D$5:$D$2244,C600,'7日销售明细'!$H$5:$H$2244,E600)</x:f>
        <x:v>7</x:v>
      </x:c>
      <x:c r="H600" s="35" t="n">
        <x:f>SUMIFS('7日销售明细'!$L$5:$L$2244,'7日销售明细'!$B$5:$B$2244,B600,'7日销售明细'!$D$5:$D$2244,C600,'7日销售明细'!$H$5:$H$2244,E600)</x:f>
        <x:v>175</x:v>
      </x:c>
      <x:c r="I600" s="35" t="n">
        <x:f>G600*XLOOKUP(E600,'菜品主数据'!$A$5:$A$24,'菜品主数据'!$G$5:$G$24,0)</x:f>
        <x:v>57.288</x:v>
      </x:c>
    </x:row>
    <x:row r="601">
      <x:c r="A601" s="19" t="str">
        <x:v>2026-07-08|S05|D17</x:v>
      </x:c>
      <x:c r="B601" s="34" t="n">
        <x:v>46211.5</x:v>
      </x:c>
      <x:c r="C601" s="19" t="str">
        <x:v>S05</x:v>
      </x:c>
      <x:c r="D601" s="19" t="str">
        <x:v>同顺街店</x:v>
      </x:c>
      <x:c r="E601" s="19" t="str">
        <x:v>D17</x:v>
      </x:c>
      <x:c r="F601" s="19" t="str">
        <x:v>蒜蓉粉丝虾</x:v>
      </x:c>
      <x:c r="G601" s="20" t="n">
        <x:f>SUMIFS('7日销售明细'!$K$5:$K$2244,'7日销售明细'!$B$5:$B$2244,B601,'7日销售明细'!$D$5:$D$2244,C601,'7日销售明细'!$H$5:$H$2244,E601)</x:f>
        <x:v>5</x:v>
      </x:c>
      <x:c r="H601" s="35" t="n">
        <x:f>SUMIFS('7日销售明细'!$L$5:$L$2244,'7日销售明细'!$B$5:$B$2244,B601,'7日销售明细'!$D$5:$D$2244,C601,'7日销售明细'!$H$5:$H$2244,E601)</x:f>
        <x:v>180</x:v>
      </x:c>
      <x:c r="I601" s="35" t="n">
        <x:f>G601*XLOOKUP(E601,'菜品主数据'!$A$5:$A$24,'菜品主数据'!$G$5:$G$24,0)</x:f>
        <x:v>67.97</x:v>
      </x:c>
    </x:row>
    <x:row r="602">
      <x:c r="A602" s="19" t="str">
        <x:v>2026-07-08|S05|D18</x:v>
      </x:c>
      <x:c r="B602" s="34" t="n">
        <x:v>46211.5</x:v>
      </x:c>
      <x:c r="C602" s="19" t="str">
        <x:v>S05</x:v>
      </x:c>
      <x:c r="D602" s="19" t="str">
        <x:v>同顺街店</x:v>
      </x:c>
      <x:c r="E602" s="19" t="str">
        <x:v>D18</x:v>
      </x:c>
      <x:c r="F602" s="19" t="str">
        <x:v>青椒炒油麦菜</x:v>
      </x:c>
      <x:c r="G602" s="20" t="n">
        <x:f>SUMIFS('7日销售明细'!$K$5:$K$2244,'7日销售明细'!$B$5:$B$2244,B602,'7日销售明细'!$D$5:$D$2244,C602,'7日销售明细'!$H$5:$H$2244,E602)</x:f>
        <x:v>8</x:v>
      </x:c>
      <x:c r="H602" s="35" t="n">
        <x:f>SUMIFS('7日销售明细'!$L$5:$L$2244,'7日销售明细'!$B$5:$B$2244,B602,'7日销售明细'!$D$5:$D$2244,C602,'7日销售明细'!$H$5:$H$2244,E602)</x:f>
        <x:v>144</x:v>
      </x:c>
      <x:c r="I602" s="35" t="n">
        <x:f>G602*XLOOKUP(E602,'菜品主数据'!$A$5:$A$24,'菜品主数据'!$G$5:$G$24,0)</x:f>
        <x:v>25.407999999999994</x:v>
      </x:c>
    </x:row>
    <x:row r="603">
      <x:c r="A603" s="19" t="str">
        <x:v>2026-07-08|S05|D19</x:v>
      </x:c>
      <x:c r="B603" s="34" t="n">
        <x:v>46211.5</x:v>
      </x:c>
      <x:c r="C603" s="19" t="str">
        <x:v>S05</x:v>
      </x:c>
      <x:c r="D603" s="19" t="str">
        <x:v>同顺街店</x:v>
      </x:c>
      <x:c r="E603" s="19" t="str">
        <x:v>D19</x:v>
      </x:c>
      <x:c r="F603" s="19" t="str">
        <x:v>酸萝卜炒鸡杂</x:v>
      </x:c>
      <x:c r="G603" s="20" t="n">
        <x:f>SUMIFS('7日销售明细'!$K$5:$K$2244,'7日销售明细'!$B$5:$B$2244,B603,'7日销售明细'!$D$5:$D$2244,C603,'7日销售明细'!$H$5:$H$2244,E603)</x:f>
        <x:v>5</x:v>
      </x:c>
      <x:c r="H603" s="35" t="n">
        <x:f>SUMIFS('7日销售明细'!$L$5:$L$2244,'7日销售明细'!$B$5:$B$2244,B603,'7日销售明细'!$D$5:$D$2244,C603,'7日销售明细'!$H$5:$H$2244,E603)</x:f>
        <x:v>125</x:v>
      </x:c>
      <x:c r="I603" s="35" t="n">
        <x:f>G603*XLOOKUP(E603,'菜品主数据'!$A$5:$A$24,'菜品主数据'!$G$5:$G$24,0)</x:f>
        <x:v>39.699999999999996</x:v>
      </x:c>
    </x:row>
    <x:row r="604">
      <x:c r="A604" s="19" t="str">
        <x:v>2026-07-08|S05|D20</x:v>
      </x:c>
      <x:c r="B604" s="34" t="n">
        <x:v>46211.5</x:v>
      </x:c>
      <x:c r="C604" s="19" t="str">
        <x:v>S05</x:v>
      </x:c>
      <x:c r="D604" s="19" t="str">
        <x:v>同顺街店</x:v>
      </x:c>
      <x:c r="E604" s="19" t="str">
        <x:v>D20</x:v>
      </x:c>
      <x:c r="F604" s="19" t="str">
        <x:v>雪菜肉末青豆</x:v>
      </x:c>
      <x:c r="G604" s="20" t="n">
        <x:f>SUMIFS('7日销售明细'!$K$5:$K$2244,'7日销售明细'!$B$5:$B$2244,B604,'7日销售明细'!$D$5:$D$2244,C604,'7日销售明细'!$H$5:$H$2244,E604)</x:f>
        <x:v>8</x:v>
      </x:c>
      <x:c r="H604" s="35" t="n">
        <x:f>SUMIFS('7日销售明细'!$L$5:$L$2244,'7日销售明细'!$B$5:$B$2244,B604,'7日销售明细'!$D$5:$D$2244,C604,'7日销售明细'!$H$5:$H$2244,E604)</x:f>
        <x:v>144</x:v>
      </x:c>
      <x:c r="I604" s="35" t="n">
        <x:f>G604*XLOOKUP(E604,'菜品主数据'!$A$5:$A$24,'菜品主数据'!$G$5:$G$24,0)</x:f>
        <x:v>58.431999999999995</x:v>
      </x:c>
    </x:row>
    <x:row r="605">
      <x:c r="A605" s="19" t="str">
        <x:v>2026-07-09|S05|D01</x:v>
      </x:c>
      <x:c r="B605" s="34" t="n">
        <x:v>46212.5</x:v>
      </x:c>
      <x:c r="C605" s="19" t="str">
        <x:v>S05</x:v>
      </x:c>
      <x:c r="D605" s="19" t="str">
        <x:v>同顺街店</x:v>
      </x:c>
      <x:c r="E605" s="19" t="str">
        <x:v>D01</x:v>
      </x:c>
      <x:c r="F605" s="19" t="str">
        <x:v>辣椒炒肉</x:v>
      </x:c>
      <x:c r="G605" s="20" t="n">
        <x:f>SUMIFS('7日销售明细'!$K$5:$K$2244,'7日销售明细'!$B$5:$B$2244,B605,'7日销售明细'!$D$5:$D$2244,C605,'7日销售明细'!$H$5:$H$2244,E605)</x:f>
        <x:v>47</x:v>
      </x:c>
      <x:c r="H605" s="35" t="n">
        <x:f>SUMIFS('7日销售明细'!$L$5:$L$2244,'7日销售明细'!$B$5:$B$2244,B605,'7日销售明细'!$D$5:$D$2244,C605,'7日销售明细'!$H$5:$H$2244,E605)</x:f>
        <x:v>1363</x:v>
      </x:c>
      <x:c r="I605" s="35" t="n">
        <x:f>G605*XLOOKUP(E605,'菜品主数据'!$A$5:$A$24,'菜品主数据'!$G$5:$G$24,0)</x:f>
        <x:v>405.81680000000006</x:v>
      </x:c>
    </x:row>
    <x:row r="606">
      <x:c r="A606" s="19" t="str">
        <x:v>2026-07-09|S05|D02</x:v>
      </x:c>
      <x:c r="B606" s="34" t="n">
        <x:v>46212.5</x:v>
      </x:c>
      <x:c r="C606" s="19" t="str">
        <x:v>S05</x:v>
      </x:c>
      <x:c r="D606" s="19" t="str">
        <x:v>同顺街店</x:v>
      </x:c>
      <x:c r="E606" s="19" t="str">
        <x:v>D02</x:v>
      </x:c>
      <x:c r="F606" s="19" t="str">
        <x:v>小炒黄牛肉</x:v>
      </x:c>
      <x:c r="G606" s="20" t="n">
        <x:f>SUMIFS('7日销售明细'!$K$5:$K$2244,'7日销售明细'!$B$5:$B$2244,B606,'7日销售明细'!$D$5:$D$2244,C606,'7日销售明细'!$H$5:$H$2244,E606)</x:f>
        <x:v>34</x:v>
      </x:c>
      <x:c r="H606" s="35" t="n">
        <x:f>SUMIFS('7日销售明细'!$L$5:$L$2244,'7日销售明细'!$B$5:$B$2244,B606,'7日销售明细'!$D$5:$D$2244,C606,'7日销售明细'!$H$5:$H$2244,E606)</x:f>
        <x:v>1666</x:v>
      </x:c>
      <x:c r="I606" s="35" t="n">
        <x:f>G606*XLOOKUP(E606,'菜品主数据'!$A$5:$A$24,'菜品主数据'!$G$5:$G$24,0)</x:f>
        <x:v>597.618</x:v>
      </x:c>
    </x:row>
    <x:row r="607">
      <x:c r="A607" s="19" t="str">
        <x:v>2026-07-09|S05|D03</x:v>
      </x:c>
      <x:c r="B607" s="34" t="n">
        <x:v>46212.5</x:v>
      </x:c>
      <x:c r="C607" s="19" t="str">
        <x:v>S05</x:v>
      </x:c>
      <x:c r="D607" s="19" t="str">
        <x:v>同顺街店</x:v>
      </x:c>
      <x:c r="E607" s="19" t="str">
        <x:v>D03</x:v>
      </x:c>
      <x:c r="F607" s="19" t="str">
        <x:v>香醋炒蛋</x:v>
      </x:c>
      <x:c r="G607" s="20" t="n">
        <x:f>SUMIFS('7日销售明细'!$K$5:$K$2244,'7日销售明细'!$B$5:$B$2244,B607,'7日销售明细'!$D$5:$D$2244,C607,'7日销售明细'!$H$5:$H$2244,E607)</x:f>
        <x:v>40</x:v>
      </x:c>
      <x:c r="H607" s="35" t="n">
        <x:f>SUMIFS('7日销售明细'!$L$5:$L$2244,'7日销售明细'!$B$5:$B$2244,B607,'7日销售明细'!$D$5:$D$2244,C607,'7日销售明细'!$H$5:$H$2244,E607)</x:f>
        <x:v>596.0000000000001</x:v>
      </x:c>
      <x:c r="I607" s="35" t="n">
        <x:f>G607*XLOOKUP(E607,'菜品主数据'!$A$5:$A$24,'菜品主数据'!$G$5:$G$24,0)</x:f>
        <x:v>149.83999999999997</x:v>
      </x:c>
    </x:row>
    <x:row r="608">
      <x:c r="A608" s="19" t="str">
        <x:v>2026-07-09|S05|D04</x:v>
      </x:c>
      <x:c r="B608" s="34" t="n">
        <x:v>46212.5</x:v>
      </x:c>
      <x:c r="C608" s="19" t="str">
        <x:v>S05</x:v>
      </x:c>
      <x:c r="D608" s="19" t="str">
        <x:v>同顺街店</x:v>
      </x:c>
      <x:c r="E608" s="19" t="str">
        <x:v>D04</x:v>
      </x:c>
      <x:c r="F608" s="19" t="str">
        <x:v>酸包菜炒粉皮</x:v>
      </x:c>
      <x:c r="G608" s="20" t="n">
        <x:f>SUMIFS('7日销售明细'!$K$5:$K$2244,'7日销售明细'!$B$5:$B$2244,B608,'7日销售明细'!$D$5:$D$2244,C608,'7日销售明细'!$H$5:$H$2244,E608)</x:f>
        <x:v>35</x:v>
      </x:c>
      <x:c r="H608" s="35" t="n">
        <x:f>SUMIFS('7日销售明细'!$L$5:$L$2244,'7日销售明细'!$B$5:$B$2244,B608,'7日销售明细'!$D$5:$D$2244,C608,'7日销售明细'!$H$5:$H$2244,E608)</x:f>
        <x:v>560</x:v>
      </x:c>
      <x:c r="I608" s="35" t="n">
        <x:f>G608*XLOOKUP(E608,'菜品主数据'!$A$5:$A$24,'菜品主数据'!$G$5:$G$24,0)</x:f>
        <x:v>139.23000000000002</x:v>
      </x:c>
    </x:row>
    <x:row r="609">
      <x:c r="A609" s="19" t="str">
        <x:v>2026-07-09|S05|D05</x:v>
      </x:c>
      <x:c r="B609" s="34" t="n">
        <x:v>46212.5</x:v>
      </x:c>
      <x:c r="C609" s="19" t="str">
        <x:v>S05</x:v>
      </x:c>
      <x:c r="D609" s="19" t="str">
        <x:v>同顺街店</x:v>
      </x:c>
      <x:c r="E609" s="19" t="str">
        <x:v>D05</x:v>
      </x:c>
      <x:c r="F609" s="19" t="str">
        <x:v>麻婆豆腐</x:v>
      </x:c>
      <x:c r="G609" s="20" t="n">
        <x:f>SUMIFS('7日销售明细'!$K$5:$K$2244,'7日销售明细'!$B$5:$B$2244,B609,'7日销售明细'!$D$5:$D$2244,C609,'7日销售明细'!$H$5:$H$2244,E609)</x:f>
        <x:v>52</x:v>
      </x:c>
      <x:c r="H609" s="35" t="n">
        <x:f>SUMIFS('7日销售明细'!$L$5:$L$2244,'7日销售明细'!$B$5:$B$2244,B609,'7日销售明细'!$D$5:$D$2244,C609,'7日销售明细'!$H$5:$H$2244,E609)</x:f>
        <x:v>514.8</x:v>
      </x:c>
      <x:c r="I609" s="35" t="n">
        <x:f>G609*XLOOKUP(E609,'菜品主数据'!$A$5:$A$24,'菜品主数据'!$G$5:$G$24,0)</x:f>
        <x:v>279.08400000000006</x:v>
      </x:c>
    </x:row>
    <x:row r="610">
      <x:c r="A610" s="19" t="str">
        <x:v>2026-07-09|S05|D06</x:v>
      </x:c>
      <x:c r="B610" s="34" t="n">
        <x:v>46212.5</x:v>
      </x:c>
      <x:c r="C610" s="19" t="str">
        <x:v>S05</x:v>
      </x:c>
      <x:c r="D610" s="19" t="str">
        <x:v>同顺街店</x:v>
      </x:c>
      <x:c r="E610" s="19" t="str">
        <x:v>D06</x:v>
      </x:c>
      <x:c r="F610" s="19" t="str">
        <x:v>剁椒鱼头</x:v>
      </x:c>
      <x:c r="G610" s="20" t="n">
        <x:f>SUMIFS('7日销售明细'!$K$5:$K$2244,'7日销售明细'!$B$5:$B$2244,B610,'7日销售明细'!$D$5:$D$2244,C610,'7日销售明细'!$H$5:$H$2244,E610)</x:f>
        <x:v>12</x:v>
      </x:c>
      <x:c r="H610" s="35" t="n">
        <x:f>SUMIFS('7日销售明细'!$L$5:$L$2244,'7日销售明细'!$B$5:$B$2244,B610,'7日销售明细'!$D$5:$D$2244,C610,'7日销售明细'!$H$5:$H$2244,E610)</x:f>
        <x:v>468</x:v>
      </x:c>
      <x:c r="I610" s="35" t="n">
        <x:f>G610*XLOOKUP(E610,'菜品主数据'!$A$5:$A$24,'菜品主数据'!$G$5:$G$24,0)</x:f>
        <x:v>209.35200000000003</x:v>
      </x:c>
    </x:row>
    <x:row r="611">
      <x:c r="A611" s="19" t="str">
        <x:v>2026-07-09|S05|D07</x:v>
      </x:c>
      <x:c r="B611" s="34" t="n">
        <x:v>46212.5</x:v>
      </x:c>
      <x:c r="C611" s="19" t="str">
        <x:v>S05</x:v>
      </x:c>
      <x:c r="D611" s="19" t="str">
        <x:v>同顺街店</x:v>
      </x:c>
      <x:c r="E611" s="19" t="str">
        <x:v>D07</x:v>
      </x:c>
      <x:c r="F611" s="19" t="str">
        <x:v>川味回锅肉</x:v>
      </x:c>
      <x:c r="G611" s="20" t="n">
        <x:f>SUMIFS('7日销售明细'!$K$5:$K$2244,'7日销售明细'!$B$5:$B$2244,B611,'7日销售明细'!$D$5:$D$2244,C611,'7日销售明细'!$H$5:$H$2244,E611)</x:f>
        <x:v>15</x:v>
      </x:c>
      <x:c r="H611" s="35" t="n">
        <x:f>SUMIFS('7日销售明细'!$L$5:$L$2244,'7日销售明细'!$B$5:$B$2244,B611,'7日销售明细'!$D$5:$D$2244,C611,'7日销售明细'!$H$5:$H$2244,E611)</x:f>
        <x:v>435</x:v>
      </x:c>
      <x:c r="I611" s="35" t="n">
        <x:f>G611*XLOOKUP(E611,'菜品主数据'!$A$5:$A$24,'菜品主数据'!$G$5:$G$24,0)</x:f>
        <x:v>153.46500000000003</x:v>
      </x:c>
    </x:row>
    <x:row r="612">
      <x:c r="A612" s="19" t="str">
        <x:v>2026-07-09|S05|D08</x:v>
      </x:c>
      <x:c r="B612" s="34" t="n">
        <x:v>46212.5</x:v>
      </x:c>
      <x:c r="C612" s="19" t="str">
        <x:v>S05</x:v>
      </x:c>
      <x:c r="D612" s="19" t="str">
        <x:v>同顺街店</x:v>
      </x:c>
      <x:c r="E612" s="19" t="str">
        <x:v>D08</x:v>
      </x:c>
      <x:c r="F612" s="19" t="str">
        <x:v>生炒清远鸡</x:v>
      </x:c>
      <x:c r="G612" s="20" t="n">
        <x:f>SUMIFS('7日销售明细'!$K$5:$K$2244,'7日销售明细'!$B$5:$B$2244,B612,'7日销售明细'!$D$5:$D$2244,C612,'7日销售明细'!$H$5:$H$2244,E612)</x:f>
        <x:v>10</x:v>
      </x:c>
      <x:c r="H612" s="35" t="n">
        <x:f>SUMIFS('7日销售明细'!$L$5:$L$2244,'7日销售明细'!$B$5:$B$2244,B612,'7日销售明细'!$D$5:$D$2244,C612,'7日销售明细'!$H$5:$H$2244,E612)</x:f>
        <x:v>360</x:v>
      </x:c>
      <x:c r="I612" s="35" t="n">
        <x:f>G612*XLOOKUP(E612,'菜品主数据'!$A$5:$A$24,'菜品主数据'!$G$5:$G$24,0)</x:f>
        <x:v>134.8</x:v>
      </x:c>
    </x:row>
    <x:row r="613">
      <x:c r="A613" s="19" t="str">
        <x:v>2026-07-09|S05|D09</x:v>
      </x:c>
      <x:c r="B613" s="34" t="n">
        <x:v>46212.5</x:v>
      </x:c>
      <x:c r="C613" s="19" t="str">
        <x:v>S05</x:v>
      </x:c>
      <x:c r="D613" s="19" t="str">
        <x:v>同顺街店</x:v>
      </x:c>
      <x:c r="E613" s="19" t="str">
        <x:v>D09</x:v>
      </x:c>
      <x:c r="F613" s="19" t="str">
        <x:v>炒豆干</x:v>
      </x:c>
      <x:c r="G613" s="20" t="n">
        <x:f>SUMIFS('7日销售明细'!$K$5:$K$2244,'7日销售明细'!$B$5:$B$2244,B613,'7日销售明细'!$D$5:$D$2244,C613,'7日销售明细'!$H$5:$H$2244,E613)</x:f>
        <x:v>16</x:v>
      </x:c>
      <x:c r="H613" s="35" t="n">
        <x:f>SUMIFS('7日销售明细'!$L$5:$L$2244,'7日销售明细'!$B$5:$B$2244,B613,'7日销售明细'!$D$5:$D$2244,C613,'7日销售明细'!$H$5:$H$2244,E613)</x:f>
        <x:v>288</x:v>
      </x:c>
      <x:c r="I613" s="35" t="n">
        <x:f>G613*XLOOKUP(E613,'菜品主数据'!$A$5:$A$24,'菜品主数据'!$G$5:$G$24,0)</x:f>
        <x:v>105.82399999999998</x:v>
      </x:c>
    </x:row>
    <x:row r="614">
      <x:c r="A614" s="19" t="str">
        <x:v>2026-07-09|S05|D10</x:v>
      </x:c>
      <x:c r="B614" s="34" t="n">
        <x:v>46212.5</x:v>
      </x:c>
      <x:c r="C614" s="19" t="str">
        <x:v>S05</x:v>
      </x:c>
      <x:c r="D614" s="19" t="str">
        <x:v>同顺街店</x:v>
      </x:c>
      <x:c r="E614" s="19" t="str">
        <x:v>D10</x:v>
      </x:c>
      <x:c r="F614" s="19" t="str">
        <x:v>农家一碗香</x:v>
      </x:c>
      <x:c r="G614" s="20" t="n">
        <x:f>SUMIFS('7日销售明细'!$K$5:$K$2244,'7日销售明细'!$B$5:$B$2244,B614,'7日销售明细'!$D$5:$D$2244,C614,'7日销售明细'!$H$5:$H$2244,E614)</x:f>
        <x:v>16</x:v>
      </x:c>
      <x:c r="H614" s="35" t="n">
        <x:f>SUMIFS('7日销售明细'!$L$5:$L$2244,'7日销售明细'!$B$5:$B$2244,B614,'7日销售明细'!$D$5:$D$2244,C614,'7日销售明细'!$H$5:$H$2244,E614)</x:f>
        <x:v>366.4</x:v>
      </x:c>
      <x:c r="I614" s="35" t="n">
        <x:f>G614*XLOOKUP(E614,'菜品主数据'!$A$5:$A$24,'菜品主数据'!$G$5:$G$24,0)</x:f>
        <x:v>156.32320000000004</x:v>
      </x:c>
    </x:row>
    <x:row r="615">
      <x:c r="A615" s="19" t="str">
        <x:v>2026-07-09|S05|D11</x:v>
      </x:c>
      <x:c r="B615" s="34" t="n">
        <x:v>46212.5</x:v>
      </x:c>
      <x:c r="C615" s="19" t="str">
        <x:v>S05</x:v>
      </x:c>
      <x:c r="D615" s="19" t="str">
        <x:v>同顺街店</x:v>
      </x:c>
      <x:c r="E615" s="19" t="str">
        <x:v>D11</x:v>
      </x:c>
      <x:c r="F615" s="19" t="str">
        <x:v>香辣爆肥肠</x:v>
      </x:c>
      <x:c r="G615" s="20" t="n">
        <x:f>SUMIFS('7日销售明细'!$K$5:$K$2244,'7日销售明细'!$B$5:$B$2244,B615,'7日销售明细'!$D$5:$D$2244,C615,'7日销售明细'!$H$5:$H$2244,E615)</x:f>
        <x:v>6</x:v>
      </x:c>
      <x:c r="H615" s="35" t="n">
        <x:f>SUMIFS('7日销售明细'!$L$5:$L$2244,'7日销售明细'!$B$5:$B$2244,B615,'7日销售明细'!$D$5:$D$2244,C615,'7日销售明细'!$H$5:$H$2244,E615)</x:f>
        <x:v>234</x:v>
      </x:c>
      <x:c r="I615" s="35" t="n">
        <x:f>G615*XLOOKUP(E615,'菜品主数据'!$A$5:$A$24,'菜品主数据'!$G$5:$G$24,0)</x:f>
        <x:v>62.382000000000005</x:v>
      </x:c>
    </x:row>
    <x:row r="616">
      <x:c r="A616" s="19" t="str">
        <x:v>2026-07-09|S05|D12</x:v>
      </x:c>
      <x:c r="B616" s="34" t="n">
        <x:v>46212.5</x:v>
      </x:c>
      <x:c r="C616" s="19" t="str">
        <x:v>S05</x:v>
      </x:c>
      <x:c r="D616" s="19" t="str">
        <x:v>同顺街店</x:v>
      </x:c>
      <x:c r="E616" s="19" t="str">
        <x:v>D12</x:v>
      </x:c>
      <x:c r="F616" s="19" t="str">
        <x:v>清蒸鲈鱼</x:v>
      </x:c>
      <x:c r="G616" s="20" t="n">
        <x:f>SUMIFS('7日销售明细'!$K$5:$K$2244,'7日销售明细'!$B$5:$B$2244,B616,'7日销售明细'!$D$5:$D$2244,C616,'7日销售明细'!$H$5:$H$2244,E616)</x:f>
        <x:v>6</x:v>
      </x:c>
      <x:c r="H616" s="35" t="n">
        <x:f>SUMIFS('7日销售明细'!$L$5:$L$2244,'7日销售明细'!$B$5:$B$2244,B616,'7日销售明细'!$D$5:$D$2244,C616,'7日销售明细'!$H$5:$H$2244,E616)</x:f>
        <x:v>234</x:v>
      </x:c>
      <x:c r="I616" s="35" t="n">
        <x:f>G616*XLOOKUP(E616,'菜品主数据'!$A$5:$A$24,'菜品主数据'!$G$5:$G$24,0)</x:f>
        <x:v>113.244</x:v>
      </x:c>
    </x:row>
    <x:row r="617">
      <x:c r="A617" s="19" t="str">
        <x:v>2026-07-09|S05|D13</x:v>
      </x:c>
      <x:c r="B617" s="34" t="n">
        <x:v>46212.5</x:v>
      </x:c>
      <x:c r="C617" s="19" t="str">
        <x:v>S05</x:v>
      </x:c>
      <x:c r="D617" s="19" t="str">
        <x:v>同顺街店</x:v>
      </x:c>
      <x:c r="E617" s="19" t="str">
        <x:v>D13</x:v>
      </x:c>
      <x:c r="F617" s="19" t="str">
        <x:v>外婆菜炒蛋</x:v>
      </x:c>
      <x:c r="G617" s="20" t="n">
        <x:f>SUMIFS('7日销售明细'!$K$5:$K$2244,'7日销售明细'!$B$5:$B$2244,B617,'7日销售明细'!$D$5:$D$2244,C617,'7日销售明细'!$H$5:$H$2244,E617)</x:f>
        <x:v>16</x:v>
      </x:c>
      <x:c r="H617" s="35" t="n">
        <x:f>SUMIFS('7日销售明细'!$L$5:$L$2244,'7日销售明细'!$B$5:$B$2244,B617,'7日销售明细'!$D$5:$D$2244,C617,'7日销售明细'!$H$5:$H$2244,E617)</x:f>
        <x:v>288</x:v>
      </x:c>
      <x:c r="I617" s="35" t="n">
        <x:f>G617*XLOOKUP(E617,'菜品主数据'!$A$5:$A$24,'菜品主数据'!$G$5:$G$24,0)</x:f>
        <x:v>86.46399999999998</x:v>
      </x:c>
    </x:row>
    <x:row r="618">
      <x:c r="A618" s="19" t="str">
        <x:v>2026-07-09|S05|D14</x:v>
      </x:c>
      <x:c r="B618" s="34" t="n">
        <x:v>46212.5</x:v>
      </x:c>
      <x:c r="C618" s="19" t="str">
        <x:v>S05</x:v>
      </x:c>
      <x:c r="D618" s="19" t="str">
        <x:v>同顺街店</x:v>
      </x:c>
      <x:c r="E618" s="19" t="str">
        <x:v>D14</x:v>
      </x:c>
      <x:c r="F618" s="19" t="str">
        <x:v>酸辣鸡杂</x:v>
      </x:c>
      <x:c r="G618" s="20" t="n">
        <x:f>SUMIFS('7日销售明细'!$K$5:$K$2244,'7日销售明细'!$B$5:$B$2244,B618,'7日销售明细'!$D$5:$D$2244,C618,'7日销售明细'!$H$5:$H$2244,E618)</x:f>
        <x:v>8</x:v>
      </x:c>
      <x:c r="H618" s="35" t="n">
        <x:f>SUMIFS('7日销售明细'!$L$5:$L$2244,'7日销售明细'!$B$5:$B$2244,B618,'7日销售明细'!$D$5:$D$2244,C618,'7日销售明细'!$H$5:$H$2244,E618)</x:f>
        <x:v>224</x:v>
      </x:c>
      <x:c r="I618" s="35" t="n">
        <x:f>G618*XLOOKUP(E618,'菜品主数据'!$A$5:$A$24,'菜品主数据'!$G$5:$G$24,0)</x:f>
        <x:v>66.52000000000001</x:v>
      </x:c>
    </x:row>
    <x:row r="619">
      <x:c r="A619" s="19" t="str">
        <x:v>2026-07-09|S05|D15</x:v>
      </x:c>
      <x:c r="B619" s="34" t="n">
        <x:v>46212.5</x:v>
      </x:c>
      <x:c r="C619" s="19" t="str">
        <x:v>S05</x:v>
      </x:c>
      <x:c r="D619" s="19" t="str">
        <x:v>同顺街店</x:v>
      </x:c>
      <x:c r="E619" s="19" t="str">
        <x:v>D15</x:v>
      </x:c>
      <x:c r="F619" s="19" t="str">
        <x:v>湘西土匪猪肝</x:v>
      </x:c>
      <x:c r="G619" s="20" t="n">
        <x:f>SUMIFS('7日销售明细'!$K$5:$K$2244,'7日销售明细'!$B$5:$B$2244,B619,'7日销售明细'!$D$5:$D$2244,C619,'7日销售明细'!$H$5:$H$2244,E619)</x:f>
        <x:v>6</x:v>
      </x:c>
      <x:c r="H619" s="35" t="n">
        <x:f>SUMIFS('7日销售明细'!$L$5:$L$2244,'7日销售明细'!$B$5:$B$2244,B619,'7日销售明细'!$D$5:$D$2244,C619,'7日销售明细'!$H$5:$H$2244,E619)</x:f>
        <x:v>156</x:v>
      </x:c>
      <x:c r="I619" s="35" t="n">
        <x:f>G619*XLOOKUP(E619,'菜品主数据'!$A$5:$A$24,'菜品主数据'!$G$5:$G$24,0)</x:f>
        <x:v>38.256</x:v>
      </x:c>
    </x:row>
    <x:row r="620">
      <x:c r="A620" s="19" t="str">
        <x:v>2026-07-09|S05|D16</x:v>
      </x:c>
      <x:c r="B620" s="34" t="n">
        <x:v>46212.5</x:v>
      </x:c>
      <x:c r="C620" s="19" t="str">
        <x:v>S05</x:v>
      </x:c>
      <x:c r="D620" s="19" t="str">
        <x:v>同顺街店</x:v>
      </x:c>
      <x:c r="E620" s="19" t="str">
        <x:v>D16</x:v>
      </x:c>
      <x:c r="F620" s="19" t="str">
        <x:v>小豆角炒五花</x:v>
      </x:c>
      <x:c r="G620" s="20" t="n">
        <x:f>SUMIFS('7日销售明细'!$K$5:$K$2244,'7日销售明细'!$B$5:$B$2244,B620,'7日销售明细'!$D$5:$D$2244,C620,'7日销售明细'!$H$5:$H$2244,E620)</x:f>
        <x:v>7</x:v>
      </x:c>
      <x:c r="H620" s="35" t="n">
        <x:f>SUMIFS('7日销售明细'!$L$5:$L$2244,'7日销售明细'!$B$5:$B$2244,B620,'7日销售明细'!$D$5:$D$2244,C620,'7日销售明细'!$H$5:$H$2244,E620)</x:f>
        <x:v>175</x:v>
      </x:c>
      <x:c r="I620" s="35" t="n">
        <x:f>G620*XLOOKUP(E620,'菜品主数据'!$A$5:$A$24,'菜品主数据'!$G$5:$G$24,0)</x:f>
        <x:v>57.288</x:v>
      </x:c>
    </x:row>
    <x:row r="621">
      <x:c r="A621" s="19" t="str">
        <x:v>2026-07-09|S05|D17</x:v>
      </x:c>
      <x:c r="B621" s="34" t="n">
        <x:v>46212.5</x:v>
      </x:c>
      <x:c r="C621" s="19" t="str">
        <x:v>S05</x:v>
      </x:c>
      <x:c r="D621" s="19" t="str">
        <x:v>同顺街店</x:v>
      </x:c>
      <x:c r="E621" s="19" t="str">
        <x:v>D17</x:v>
      </x:c>
      <x:c r="F621" s="19" t="str">
        <x:v>蒜蓉粉丝虾</x:v>
      </x:c>
      <x:c r="G621" s="20" t="n">
        <x:f>SUMIFS('7日销售明细'!$K$5:$K$2244,'7日销售明细'!$B$5:$B$2244,B621,'7日销售明细'!$D$5:$D$2244,C621,'7日销售明细'!$H$5:$H$2244,E621)</x:f>
        <x:v>5</x:v>
      </x:c>
      <x:c r="H621" s="35" t="n">
        <x:f>SUMIFS('7日销售明细'!$L$5:$L$2244,'7日销售明细'!$B$5:$B$2244,B621,'7日销售明细'!$D$5:$D$2244,C621,'7日销售明细'!$H$5:$H$2244,E621)</x:f>
        <x:v>180</x:v>
      </x:c>
      <x:c r="I621" s="35" t="n">
        <x:f>G621*XLOOKUP(E621,'菜品主数据'!$A$5:$A$24,'菜品主数据'!$G$5:$G$24,0)</x:f>
        <x:v>67.97</x:v>
      </x:c>
    </x:row>
    <x:row r="622">
      <x:c r="A622" s="19" t="str">
        <x:v>2026-07-09|S05|D18</x:v>
      </x:c>
      <x:c r="B622" s="34" t="n">
        <x:v>46212.5</x:v>
      </x:c>
      <x:c r="C622" s="19" t="str">
        <x:v>S05</x:v>
      </x:c>
      <x:c r="D622" s="19" t="str">
        <x:v>同顺街店</x:v>
      </x:c>
      <x:c r="E622" s="19" t="str">
        <x:v>D18</x:v>
      </x:c>
      <x:c r="F622" s="19" t="str">
        <x:v>青椒炒油麦菜</x:v>
      </x:c>
      <x:c r="G622" s="20" t="n">
        <x:f>SUMIFS('7日销售明细'!$K$5:$K$2244,'7日销售明细'!$B$5:$B$2244,B622,'7日销售明细'!$D$5:$D$2244,C622,'7日销售明细'!$H$5:$H$2244,E622)</x:f>
        <x:v>8</x:v>
      </x:c>
      <x:c r="H622" s="35" t="n">
        <x:f>SUMIFS('7日销售明细'!$L$5:$L$2244,'7日销售明细'!$B$5:$B$2244,B622,'7日销售明细'!$D$5:$D$2244,C622,'7日销售明细'!$H$5:$H$2244,E622)</x:f>
        <x:v>144</x:v>
      </x:c>
      <x:c r="I622" s="35" t="n">
        <x:f>G622*XLOOKUP(E622,'菜品主数据'!$A$5:$A$24,'菜品主数据'!$G$5:$G$24,0)</x:f>
        <x:v>25.407999999999994</x:v>
      </x:c>
    </x:row>
    <x:row r="623">
      <x:c r="A623" s="19" t="str">
        <x:v>2026-07-09|S05|D19</x:v>
      </x:c>
      <x:c r="B623" s="34" t="n">
        <x:v>46212.5</x:v>
      </x:c>
      <x:c r="C623" s="19" t="str">
        <x:v>S05</x:v>
      </x:c>
      <x:c r="D623" s="19" t="str">
        <x:v>同顺街店</x:v>
      </x:c>
      <x:c r="E623" s="19" t="str">
        <x:v>D19</x:v>
      </x:c>
      <x:c r="F623" s="19" t="str">
        <x:v>酸萝卜炒鸡杂</x:v>
      </x:c>
      <x:c r="G623" s="20" t="n">
        <x:f>SUMIFS('7日销售明细'!$K$5:$K$2244,'7日销售明细'!$B$5:$B$2244,B623,'7日销售明细'!$D$5:$D$2244,C623,'7日销售明细'!$H$5:$H$2244,E623)</x:f>
        <x:v>5</x:v>
      </x:c>
      <x:c r="H623" s="35" t="n">
        <x:f>SUMIFS('7日销售明细'!$L$5:$L$2244,'7日销售明细'!$B$5:$B$2244,B623,'7日销售明细'!$D$5:$D$2244,C623,'7日销售明细'!$H$5:$H$2244,E623)</x:f>
        <x:v>125</x:v>
      </x:c>
      <x:c r="I623" s="35" t="n">
        <x:f>G623*XLOOKUP(E623,'菜品主数据'!$A$5:$A$24,'菜品主数据'!$G$5:$G$24,0)</x:f>
        <x:v>39.699999999999996</x:v>
      </x:c>
    </x:row>
    <x:row r="624">
      <x:c r="A624" s="19" t="str">
        <x:v>2026-07-09|S05|D20</x:v>
      </x:c>
      <x:c r="B624" s="34" t="n">
        <x:v>46212.5</x:v>
      </x:c>
      <x:c r="C624" s="19" t="str">
        <x:v>S05</x:v>
      </x:c>
      <x:c r="D624" s="19" t="str">
        <x:v>同顺街店</x:v>
      </x:c>
      <x:c r="E624" s="19" t="str">
        <x:v>D20</x:v>
      </x:c>
      <x:c r="F624" s="19" t="str">
        <x:v>雪菜肉末青豆</x:v>
      </x:c>
      <x:c r="G624" s="20" t="n">
        <x:f>SUMIFS('7日销售明细'!$K$5:$K$2244,'7日销售明细'!$B$5:$B$2244,B624,'7日销售明细'!$D$5:$D$2244,C624,'7日销售明细'!$H$5:$H$2244,E624)</x:f>
        <x:v>7</x:v>
      </x:c>
      <x:c r="H624" s="35" t="n">
        <x:f>SUMIFS('7日销售明细'!$L$5:$L$2244,'7日销售明细'!$B$5:$B$2244,B624,'7日销售明细'!$D$5:$D$2244,C624,'7日销售明细'!$H$5:$H$2244,E624)</x:f>
        <x:v>126</x:v>
      </x:c>
      <x:c r="I624" s="35" t="n">
        <x:f>G624*XLOOKUP(E624,'菜品主数据'!$A$5:$A$24,'菜品主数据'!$G$5:$G$24,0)</x:f>
        <x:v>51.12799999999999</x:v>
      </x:c>
    </x:row>
    <x:row r="625">
      <x:c r="A625" s="19" t="str">
        <x:v>2026-07-10|S05|D01</x:v>
      </x:c>
      <x:c r="B625" s="34" t="n">
        <x:v>46213.5</x:v>
      </x:c>
      <x:c r="C625" s="19" t="str">
        <x:v>S05</x:v>
      </x:c>
      <x:c r="D625" s="19" t="str">
        <x:v>同顺街店</x:v>
      </x:c>
      <x:c r="E625" s="19" t="str">
        <x:v>D01</x:v>
      </x:c>
      <x:c r="F625" s="19" t="str">
        <x:v>辣椒炒肉</x:v>
      </x:c>
      <x:c r="G625" s="20" t="n">
        <x:f>SUMIFS('7日销售明细'!$K$5:$K$2244,'7日销售明细'!$B$5:$B$2244,B625,'7日销售明细'!$D$5:$D$2244,C625,'7日销售明细'!$H$5:$H$2244,E625)</x:f>
        <x:v>50</x:v>
      </x:c>
      <x:c r="H625" s="35" t="n">
        <x:f>SUMIFS('7日销售明细'!$L$5:$L$2244,'7日销售明细'!$B$5:$B$2244,B625,'7日销售明细'!$D$5:$D$2244,C625,'7日销售明细'!$H$5:$H$2244,E625)</x:f>
        <x:v>1450</x:v>
      </x:c>
      <x:c r="I625" s="35" t="n">
        <x:f>G625*XLOOKUP(E625,'菜品主数据'!$A$5:$A$24,'菜品主数据'!$G$5:$G$24,0)</x:f>
        <x:v>431.7200000000001</x:v>
      </x:c>
    </x:row>
    <x:row r="626">
      <x:c r="A626" s="19" t="str">
        <x:v>2026-07-10|S05|D02</x:v>
      </x:c>
      <x:c r="B626" s="34" t="n">
        <x:v>46213.5</x:v>
      </x:c>
      <x:c r="C626" s="19" t="str">
        <x:v>S05</x:v>
      </x:c>
      <x:c r="D626" s="19" t="str">
        <x:v>同顺街店</x:v>
      </x:c>
      <x:c r="E626" s="19" t="str">
        <x:v>D02</x:v>
      </x:c>
      <x:c r="F626" s="19" t="str">
        <x:v>小炒黄牛肉</x:v>
      </x:c>
      <x:c r="G626" s="20" t="n">
        <x:f>SUMIFS('7日销售明细'!$K$5:$K$2244,'7日销售明细'!$B$5:$B$2244,B626,'7日销售明细'!$D$5:$D$2244,C626,'7日销售明细'!$H$5:$H$2244,E626)</x:f>
        <x:v>34</x:v>
      </x:c>
      <x:c r="H626" s="35" t="n">
        <x:f>SUMIFS('7日销售明细'!$L$5:$L$2244,'7日销售明细'!$B$5:$B$2244,B626,'7日销售明细'!$D$5:$D$2244,C626,'7日销售明细'!$H$5:$H$2244,E626)</x:f>
        <x:v>1666</x:v>
      </x:c>
      <x:c r="I626" s="35" t="n">
        <x:f>G626*XLOOKUP(E626,'菜品主数据'!$A$5:$A$24,'菜品主数据'!$G$5:$G$24,0)</x:f>
        <x:v>597.618</x:v>
      </x:c>
    </x:row>
    <x:row r="627">
      <x:c r="A627" s="19" t="str">
        <x:v>2026-07-10|S05|D03</x:v>
      </x:c>
      <x:c r="B627" s="34" t="n">
        <x:v>46213.5</x:v>
      </x:c>
      <x:c r="C627" s="19" t="str">
        <x:v>S05</x:v>
      </x:c>
      <x:c r="D627" s="19" t="str">
        <x:v>同顺街店</x:v>
      </x:c>
      <x:c r="E627" s="19" t="str">
        <x:v>D03</x:v>
      </x:c>
      <x:c r="F627" s="19" t="str">
        <x:v>香醋炒蛋</x:v>
      </x:c>
      <x:c r="G627" s="20" t="n">
        <x:f>SUMIFS('7日销售明细'!$K$5:$K$2244,'7日销售明细'!$B$5:$B$2244,B627,'7日销售明细'!$D$5:$D$2244,C627,'7日销售明细'!$H$5:$H$2244,E627)</x:f>
        <x:v>42</x:v>
      </x:c>
      <x:c r="H627" s="35" t="n">
        <x:f>SUMIFS('7日销售明细'!$L$5:$L$2244,'7日销售明细'!$B$5:$B$2244,B627,'7日销售明细'!$D$5:$D$2244,C627,'7日销售明细'!$H$5:$H$2244,E627)</x:f>
        <x:v>625.8000000000001</x:v>
      </x:c>
      <x:c r="I627" s="35" t="n">
        <x:f>G627*XLOOKUP(E627,'菜品主数据'!$A$5:$A$24,'菜品主数据'!$G$5:$G$24,0)</x:f>
        <x:v>157.332</x:v>
      </x:c>
    </x:row>
    <x:row r="628">
      <x:c r="A628" s="19" t="str">
        <x:v>2026-07-10|S05|D04</x:v>
      </x:c>
      <x:c r="B628" s="34" t="n">
        <x:v>46213.5</x:v>
      </x:c>
      <x:c r="C628" s="19" t="str">
        <x:v>S05</x:v>
      </x:c>
      <x:c r="D628" s="19" t="str">
        <x:v>同顺街店</x:v>
      </x:c>
      <x:c r="E628" s="19" t="str">
        <x:v>D04</x:v>
      </x:c>
      <x:c r="F628" s="19" t="str">
        <x:v>酸包菜炒粉皮</x:v>
      </x:c>
      <x:c r="G628" s="20" t="n">
        <x:f>SUMIFS('7日销售明细'!$K$5:$K$2244,'7日销售明细'!$B$5:$B$2244,B628,'7日销售明细'!$D$5:$D$2244,C628,'7日销售明细'!$H$5:$H$2244,E628)</x:f>
        <x:v>35</x:v>
      </x:c>
      <x:c r="H628" s="35" t="n">
        <x:f>SUMIFS('7日销售明细'!$L$5:$L$2244,'7日销售明细'!$B$5:$B$2244,B628,'7日销售明细'!$D$5:$D$2244,C628,'7日销售明细'!$H$5:$H$2244,E628)</x:f>
        <x:v>560</x:v>
      </x:c>
      <x:c r="I628" s="35" t="n">
        <x:f>G628*XLOOKUP(E628,'菜品主数据'!$A$5:$A$24,'菜品主数据'!$G$5:$G$24,0)</x:f>
        <x:v>139.23000000000002</x:v>
      </x:c>
    </x:row>
    <x:row r="629">
      <x:c r="A629" s="19" t="str">
        <x:v>2026-07-10|S05|D05</x:v>
      </x:c>
      <x:c r="B629" s="34" t="n">
        <x:v>46213.5</x:v>
      </x:c>
      <x:c r="C629" s="19" t="str">
        <x:v>S05</x:v>
      </x:c>
      <x:c r="D629" s="19" t="str">
        <x:v>同顺街店</x:v>
      </x:c>
      <x:c r="E629" s="19" t="str">
        <x:v>D05</x:v>
      </x:c>
      <x:c r="F629" s="19" t="str">
        <x:v>麻婆豆腐</x:v>
      </x:c>
      <x:c r="G629" s="20" t="n">
        <x:f>SUMIFS('7日销售明细'!$K$5:$K$2244,'7日销售明细'!$B$5:$B$2244,B629,'7日销售明细'!$D$5:$D$2244,C629,'7日销售明细'!$H$5:$H$2244,E629)</x:f>
        <x:v>51</x:v>
      </x:c>
      <x:c r="H629" s="35" t="n">
        <x:f>SUMIFS('7日销售明细'!$L$5:$L$2244,'7日销售明细'!$B$5:$B$2244,B629,'7日销售明细'!$D$5:$D$2244,C629,'7日销售明细'!$H$5:$H$2244,E629)</x:f>
        <x:v>504.90000000000003</x:v>
      </x:c>
      <x:c r="I629" s="35" t="n">
        <x:f>G629*XLOOKUP(E629,'菜品主数据'!$A$5:$A$24,'菜品主数据'!$G$5:$G$24,0)</x:f>
        <x:v>273.71700000000004</x:v>
      </x:c>
    </x:row>
    <x:row r="630">
      <x:c r="A630" s="19" t="str">
        <x:v>2026-07-10|S05|D06</x:v>
      </x:c>
      <x:c r="B630" s="34" t="n">
        <x:v>46213.5</x:v>
      </x:c>
      <x:c r="C630" s="19" t="str">
        <x:v>S05</x:v>
      </x:c>
      <x:c r="D630" s="19" t="str">
        <x:v>同顺街店</x:v>
      </x:c>
      <x:c r="E630" s="19" t="str">
        <x:v>D06</x:v>
      </x:c>
      <x:c r="F630" s="19" t="str">
        <x:v>剁椒鱼头</x:v>
      </x:c>
      <x:c r="G630" s="20" t="n">
        <x:f>SUMIFS('7日销售明细'!$K$5:$K$2244,'7日销售明细'!$B$5:$B$2244,B630,'7日销售明细'!$D$5:$D$2244,C630,'7日销售明细'!$H$5:$H$2244,E630)</x:f>
        <x:v>14</x:v>
      </x:c>
      <x:c r="H630" s="35" t="n">
        <x:f>SUMIFS('7日销售明细'!$L$5:$L$2244,'7日销售明细'!$B$5:$B$2244,B630,'7日销售明细'!$D$5:$D$2244,C630,'7日销售明细'!$H$5:$H$2244,E630)</x:f>
        <x:v>546</x:v>
      </x:c>
      <x:c r="I630" s="35" t="n">
        <x:f>G630*XLOOKUP(E630,'菜品主数据'!$A$5:$A$24,'菜品主数据'!$G$5:$G$24,0)</x:f>
        <x:v>244.24400000000003</x:v>
      </x:c>
    </x:row>
    <x:row r="631">
      <x:c r="A631" s="19" t="str">
        <x:v>2026-07-10|S05|D07</x:v>
      </x:c>
      <x:c r="B631" s="34" t="n">
        <x:v>46213.5</x:v>
      </x:c>
      <x:c r="C631" s="19" t="str">
        <x:v>S05</x:v>
      </x:c>
      <x:c r="D631" s="19" t="str">
        <x:v>同顺街店</x:v>
      </x:c>
      <x:c r="E631" s="19" t="str">
        <x:v>D07</x:v>
      </x:c>
      <x:c r="F631" s="19" t="str">
        <x:v>川味回锅肉</x:v>
      </x:c>
      <x:c r="G631" s="20" t="n">
        <x:f>SUMIFS('7日销售明细'!$K$5:$K$2244,'7日销售明细'!$B$5:$B$2244,B631,'7日销售明细'!$D$5:$D$2244,C631,'7日销售明细'!$H$5:$H$2244,E631)</x:f>
        <x:v>14</x:v>
      </x:c>
      <x:c r="H631" s="35" t="n">
        <x:f>SUMIFS('7日销售明细'!$L$5:$L$2244,'7日销售明细'!$B$5:$B$2244,B631,'7日销售明细'!$D$5:$D$2244,C631,'7日销售明细'!$H$5:$H$2244,E631)</x:f>
        <x:v>406</x:v>
      </x:c>
      <x:c r="I631" s="35" t="n">
        <x:f>G631*XLOOKUP(E631,'菜品主数据'!$A$5:$A$24,'菜品主数据'!$G$5:$G$24,0)</x:f>
        <x:v>143.23400000000004</x:v>
      </x:c>
    </x:row>
    <x:row r="632">
      <x:c r="A632" s="19" t="str">
        <x:v>2026-07-10|S05|D08</x:v>
      </x:c>
      <x:c r="B632" s="34" t="n">
        <x:v>46213.5</x:v>
      </x:c>
      <x:c r="C632" s="19" t="str">
        <x:v>S05</x:v>
      </x:c>
      <x:c r="D632" s="19" t="str">
        <x:v>同顺街店</x:v>
      </x:c>
      <x:c r="E632" s="19" t="str">
        <x:v>D08</x:v>
      </x:c>
      <x:c r="F632" s="19" t="str">
        <x:v>生炒清远鸡</x:v>
      </x:c>
      <x:c r="G632" s="20" t="n">
        <x:f>SUMIFS('7日销售明细'!$K$5:$K$2244,'7日销售明细'!$B$5:$B$2244,B632,'7日销售明细'!$D$5:$D$2244,C632,'7日销售明细'!$H$5:$H$2244,E632)</x:f>
        <x:v>11</x:v>
      </x:c>
      <x:c r="H632" s="35" t="n">
        <x:f>SUMIFS('7日销售明细'!$L$5:$L$2244,'7日销售明细'!$B$5:$B$2244,B632,'7日销售明细'!$D$5:$D$2244,C632,'7日销售明细'!$H$5:$H$2244,E632)</x:f>
        <x:v>396</x:v>
      </x:c>
      <x:c r="I632" s="35" t="n">
        <x:f>G632*XLOOKUP(E632,'菜品主数据'!$A$5:$A$24,'菜品主数据'!$G$5:$G$24,0)</x:f>
        <x:v>148.28</x:v>
      </x:c>
    </x:row>
    <x:row r="633">
      <x:c r="A633" s="19" t="str">
        <x:v>2026-07-10|S05|D09</x:v>
      </x:c>
      <x:c r="B633" s="34" t="n">
        <x:v>46213.5</x:v>
      </x:c>
      <x:c r="C633" s="19" t="str">
        <x:v>S05</x:v>
      </x:c>
      <x:c r="D633" s="19" t="str">
        <x:v>同顺街店</x:v>
      </x:c>
      <x:c r="E633" s="19" t="str">
        <x:v>D09</x:v>
      </x:c>
      <x:c r="F633" s="19" t="str">
        <x:v>炒豆干</x:v>
      </x:c>
      <x:c r="G633" s="20" t="n">
        <x:f>SUMIFS('7日销售明细'!$K$5:$K$2244,'7日销售明细'!$B$5:$B$2244,B633,'7日销售明细'!$D$5:$D$2244,C633,'7日销售明细'!$H$5:$H$2244,E633)</x:f>
        <x:v>17</x:v>
      </x:c>
      <x:c r="H633" s="35" t="n">
        <x:f>SUMIFS('7日销售明细'!$L$5:$L$2244,'7日销售明细'!$B$5:$B$2244,B633,'7日销售明细'!$D$5:$D$2244,C633,'7日销售明细'!$H$5:$H$2244,E633)</x:f>
        <x:v>306</x:v>
      </x:c>
      <x:c r="I633" s="35" t="n">
        <x:f>G633*XLOOKUP(E633,'菜品主数据'!$A$5:$A$24,'菜品主数据'!$G$5:$G$24,0)</x:f>
        <x:v>112.43799999999999</x:v>
      </x:c>
    </x:row>
    <x:row r="634">
      <x:c r="A634" s="19" t="str">
        <x:v>2026-07-10|S05|D10</x:v>
      </x:c>
      <x:c r="B634" s="34" t="n">
        <x:v>46213.5</x:v>
      </x:c>
      <x:c r="C634" s="19" t="str">
        <x:v>S05</x:v>
      </x:c>
      <x:c r="D634" s="19" t="str">
        <x:v>同顺街店</x:v>
      </x:c>
      <x:c r="E634" s="19" t="str">
        <x:v>D10</x:v>
      </x:c>
      <x:c r="F634" s="19" t="str">
        <x:v>农家一碗香</x:v>
      </x:c>
      <x:c r="G634" s="20" t="n">
        <x:f>SUMIFS('7日销售明细'!$K$5:$K$2244,'7日销售明细'!$B$5:$B$2244,B634,'7日销售明细'!$D$5:$D$2244,C634,'7日销售明细'!$H$5:$H$2244,E634)</x:f>
        <x:v>18</x:v>
      </x:c>
      <x:c r="H634" s="35" t="n">
        <x:f>SUMIFS('7日销售明细'!$L$5:$L$2244,'7日销售明细'!$B$5:$B$2244,B634,'7日销售明细'!$D$5:$D$2244,C634,'7日销售明细'!$H$5:$H$2244,E634)</x:f>
        <x:v>412.2</x:v>
      </x:c>
      <x:c r="I634" s="35" t="n">
        <x:f>G634*XLOOKUP(E634,'菜品主数据'!$A$5:$A$24,'菜品主数据'!$G$5:$G$24,0)</x:f>
        <x:v>175.86360000000005</x:v>
      </x:c>
    </x:row>
    <x:row r="635">
      <x:c r="A635" s="19" t="str">
        <x:v>2026-07-10|S05|D11</x:v>
      </x:c>
      <x:c r="B635" s="34" t="n">
        <x:v>46213.5</x:v>
      </x:c>
      <x:c r="C635" s="19" t="str">
        <x:v>S05</x:v>
      </x:c>
      <x:c r="D635" s="19" t="str">
        <x:v>同顺街店</x:v>
      </x:c>
      <x:c r="E635" s="19" t="str">
        <x:v>D11</x:v>
      </x:c>
      <x:c r="F635" s="19" t="str">
        <x:v>香辣爆肥肠</x:v>
      </x:c>
      <x:c r="G635" s="20" t="n">
        <x:f>SUMIFS('7日销售明细'!$K$5:$K$2244,'7日销售明细'!$B$5:$B$2244,B635,'7日销售明细'!$D$5:$D$2244,C635,'7日销售明细'!$H$5:$H$2244,E635)</x:f>
        <x:v>7</x:v>
      </x:c>
      <x:c r="H635" s="35" t="n">
        <x:f>SUMIFS('7日销售明细'!$L$5:$L$2244,'7日销售明细'!$B$5:$B$2244,B635,'7日销售明细'!$D$5:$D$2244,C635,'7日销售明细'!$H$5:$H$2244,E635)</x:f>
        <x:v>273</x:v>
      </x:c>
      <x:c r="I635" s="35" t="n">
        <x:f>G635*XLOOKUP(E635,'菜品主数据'!$A$5:$A$24,'菜品主数据'!$G$5:$G$24,0)</x:f>
        <x:v>72.779</x:v>
      </x:c>
    </x:row>
    <x:row r="636">
      <x:c r="A636" s="19" t="str">
        <x:v>2026-07-10|S05|D12</x:v>
      </x:c>
      <x:c r="B636" s="34" t="n">
        <x:v>46213.5</x:v>
      </x:c>
      <x:c r="C636" s="19" t="str">
        <x:v>S05</x:v>
      </x:c>
      <x:c r="D636" s="19" t="str">
        <x:v>同顺街店</x:v>
      </x:c>
      <x:c r="E636" s="19" t="str">
        <x:v>D12</x:v>
      </x:c>
      <x:c r="F636" s="19" t="str">
        <x:v>清蒸鲈鱼</x:v>
      </x:c>
      <x:c r="G636" s="20" t="n">
        <x:f>SUMIFS('7日销售明细'!$K$5:$K$2244,'7日销售明细'!$B$5:$B$2244,B636,'7日销售明细'!$D$5:$D$2244,C636,'7日销售明细'!$H$5:$H$2244,E636)</x:f>
        <x:v>7</x:v>
      </x:c>
      <x:c r="H636" s="35" t="n">
        <x:f>SUMIFS('7日销售明细'!$L$5:$L$2244,'7日销售明细'!$B$5:$B$2244,B636,'7日销售明细'!$D$5:$D$2244,C636,'7日销售明细'!$H$5:$H$2244,E636)</x:f>
        <x:v>273</x:v>
      </x:c>
      <x:c r="I636" s="35" t="n">
        <x:f>G636*XLOOKUP(E636,'菜品主数据'!$A$5:$A$24,'菜品主数据'!$G$5:$G$24,0)</x:f>
        <x:v>132.118</x:v>
      </x:c>
    </x:row>
    <x:row r="637">
      <x:c r="A637" s="19" t="str">
        <x:v>2026-07-10|S05|D13</x:v>
      </x:c>
      <x:c r="B637" s="34" t="n">
        <x:v>46213.5</x:v>
      </x:c>
      <x:c r="C637" s="19" t="str">
        <x:v>S05</x:v>
      </x:c>
      <x:c r="D637" s="19" t="str">
        <x:v>同顺街店</x:v>
      </x:c>
      <x:c r="E637" s="19" t="str">
        <x:v>D13</x:v>
      </x:c>
      <x:c r="F637" s="19" t="str">
        <x:v>外婆菜炒蛋</x:v>
      </x:c>
      <x:c r="G637" s="20" t="n">
        <x:f>SUMIFS('7日销售明细'!$K$5:$K$2244,'7日销售明细'!$B$5:$B$2244,B637,'7日销售明细'!$D$5:$D$2244,C637,'7日销售明细'!$H$5:$H$2244,E637)</x:f>
        <x:v>14</x:v>
      </x:c>
      <x:c r="H637" s="35" t="n">
        <x:f>SUMIFS('7日销售明细'!$L$5:$L$2244,'7日销售明细'!$B$5:$B$2244,B637,'7日销售明细'!$D$5:$D$2244,C637,'7日销售明细'!$H$5:$H$2244,E637)</x:f>
        <x:v>252</x:v>
      </x:c>
      <x:c r="I637" s="35" t="n">
        <x:f>G637*XLOOKUP(E637,'菜品主数据'!$A$5:$A$24,'菜品主数据'!$G$5:$G$24,0)</x:f>
        <x:v>75.65599999999999</x:v>
      </x:c>
    </x:row>
    <x:row r="638">
      <x:c r="A638" s="19" t="str">
        <x:v>2026-07-10|S05|D14</x:v>
      </x:c>
      <x:c r="B638" s="34" t="n">
        <x:v>46213.5</x:v>
      </x:c>
      <x:c r="C638" s="19" t="str">
        <x:v>S05</x:v>
      </x:c>
      <x:c r="D638" s="19" t="str">
        <x:v>同顺街店</x:v>
      </x:c>
      <x:c r="E638" s="19" t="str">
        <x:v>D14</x:v>
      </x:c>
      <x:c r="F638" s="19" t="str">
        <x:v>酸辣鸡杂</x:v>
      </x:c>
      <x:c r="G638" s="20" t="n">
        <x:f>SUMIFS('7日销售明细'!$K$5:$K$2244,'7日销售明细'!$B$5:$B$2244,B638,'7日销售明细'!$D$5:$D$2244,C638,'7日销售明细'!$H$5:$H$2244,E638)</x:f>
        <x:v>7</x:v>
      </x:c>
      <x:c r="H638" s="35" t="n">
        <x:f>SUMIFS('7日销售明细'!$L$5:$L$2244,'7日销售明细'!$B$5:$B$2244,B638,'7日销售明细'!$D$5:$D$2244,C638,'7日销售明细'!$H$5:$H$2244,E638)</x:f>
        <x:v>196</x:v>
      </x:c>
      <x:c r="I638" s="35" t="n">
        <x:f>G638*XLOOKUP(E638,'菜品主数据'!$A$5:$A$24,'菜品主数据'!$G$5:$G$24,0)</x:f>
        <x:v>58.20500000000001</x:v>
      </x:c>
    </x:row>
    <x:row r="639">
      <x:c r="A639" s="19" t="str">
        <x:v>2026-07-10|S05|D15</x:v>
      </x:c>
      <x:c r="B639" s="34" t="n">
        <x:v>46213.5</x:v>
      </x:c>
      <x:c r="C639" s="19" t="str">
        <x:v>S05</x:v>
      </x:c>
      <x:c r="D639" s="19" t="str">
        <x:v>同顺街店</x:v>
      </x:c>
      <x:c r="E639" s="19" t="str">
        <x:v>D15</x:v>
      </x:c>
      <x:c r="F639" s="19" t="str">
        <x:v>湘西土匪猪肝</x:v>
      </x:c>
      <x:c r="G639" s="20" t="n">
        <x:f>SUMIFS('7日销售明细'!$K$5:$K$2244,'7日销售明细'!$B$5:$B$2244,B639,'7日销售明细'!$D$5:$D$2244,C639,'7日销售明细'!$H$5:$H$2244,E639)</x:f>
        <x:v>7</x:v>
      </x:c>
      <x:c r="H639" s="35" t="n">
        <x:f>SUMIFS('7日销售明细'!$L$5:$L$2244,'7日销售明细'!$B$5:$B$2244,B639,'7日销售明细'!$D$5:$D$2244,C639,'7日销售明细'!$H$5:$H$2244,E639)</x:f>
        <x:v>182</x:v>
      </x:c>
      <x:c r="I639" s="35" t="n">
        <x:f>G639*XLOOKUP(E639,'菜品主数据'!$A$5:$A$24,'菜品主数据'!$G$5:$G$24,0)</x:f>
        <x:v>44.632</x:v>
      </x:c>
    </x:row>
    <x:row r="640">
      <x:c r="A640" s="19" t="str">
        <x:v>2026-07-10|S05|D16</x:v>
      </x:c>
      <x:c r="B640" s="34" t="n">
        <x:v>46213.5</x:v>
      </x:c>
      <x:c r="C640" s="19" t="str">
        <x:v>S05</x:v>
      </x:c>
      <x:c r="D640" s="19" t="str">
        <x:v>同顺街店</x:v>
      </x:c>
      <x:c r="E640" s="19" t="str">
        <x:v>D16</x:v>
      </x:c>
      <x:c r="F640" s="19" t="str">
        <x:v>小豆角炒五花</x:v>
      </x:c>
      <x:c r="G640" s="20" t="n">
        <x:f>SUMIFS('7日销售明细'!$K$5:$K$2244,'7日销售明细'!$B$5:$B$2244,B640,'7日销售明细'!$D$5:$D$2244,C640,'7日销售明细'!$H$5:$H$2244,E640)</x:f>
        <x:v>7</x:v>
      </x:c>
      <x:c r="H640" s="35" t="n">
        <x:f>SUMIFS('7日销售明细'!$L$5:$L$2244,'7日销售明细'!$B$5:$B$2244,B640,'7日销售明细'!$D$5:$D$2244,C640,'7日销售明细'!$H$5:$H$2244,E640)</x:f>
        <x:v>175</x:v>
      </x:c>
      <x:c r="I640" s="35" t="n">
        <x:f>G640*XLOOKUP(E640,'菜品主数据'!$A$5:$A$24,'菜品主数据'!$G$5:$G$24,0)</x:f>
        <x:v>57.288</x:v>
      </x:c>
    </x:row>
    <x:row r="641">
      <x:c r="A641" s="19" t="str">
        <x:v>2026-07-10|S05|D17</x:v>
      </x:c>
      <x:c r="B641" s="34" t="n">
        <x:v>46213.5</x:v>
      </x:c>
      <x:c r="C641" s="19" t="str">
        <x:v>S05</x:v>
      </x:c>
      <x:c r="D641" s="19" t="str">
        <x:v>同顺街店</x:v>
      </x:c>
      <x:c r="E641" s="19" t="str">
        <x:v>D17</x:v>
      </x:c>
      <x:c r="F641" s="19" t="str">
        <x:v>蒜蓉粉丝虾</x:v>
      </x:c>
      <x:c r="G641" s="20" t="n">
        <x:f>SUMIFS('7日销售明细'!$K$5:$K$2244,'7日销售明细'!$B$5:$B$2244,B641,'7日销售明细'!$D$5:$D$2244,C641,'7日销售明细'!$H$5:$H$2244,E641)</x:f>
        <x:v>5</x:v>
      </x:c>
      <x:c r="H641" s="35" t="n">
        <x:f>SUMIFS('7日销售明细'!$L$5:$L$2244,'7日销售明细'!$B$5:$B$2244,B641,'7日销售明细'!$D$5:$D$2244,C641,'7日销售明细'!$H$5:$H$2244,E641)</x:f>
        <x:v>180</x:v>
      </x:c>
      <x:c r="I641" s="35" t="n">
        <x:f>G641*XLOOKUP(E641,'菜品主数据'!$A$5:$A$24,'菜品主数据'!$G$5:$G$24,0)</x:f>
        <x:v>67.97</x:v>
      </x:c>
    </x:row>
    <x:row r="642">
      <x:c r="A642" s="19" t="str">
        <x:v>2026-07-10|S05|D18</x:v>
      </x:c>
      <x:c r="B642" s="34" t="n">
        <x:v>46213.5</x:v>
      </x:c>
      <x:c r="C642" s="19" t="str">
        <x:v>S05</x:v>
      </x:c>
      <x:c r="D642" s="19" t="str">
        <x:v>同顺街店</x:v>
      </x:c>
      <x:c r="E642" s="19" t="str">
        <x:v>D18</x:v>
      </x:c>
      <x:c r="F642" s="19" t="str">
        <x:v>青椒炒油麦菜</x:v>
      </x:c>
      <x:c r="G642" s="20" t="n">
        <x:f>SUMIFS('7日销售明细'!$K$5:$K$2244,'7日销售明细'!$B$5:$B$2244,B642,'7日销售明细'!$D$5:$D$2244,C642,'7日销售明细'!$H$5:$H$2244,E642)</x:f>
        <x:v>8</x:v>
      </x:c>
      <x:c r="H642" s="35" t="n">
        <x:f>SUMIFS('7日销售明细'!$L$5:$L$2244,'7日销售明细'!$B$5:$B$2244,B642,'7日销售明细'!$D$5:$D$2244,C642,'7日销售明细'!$H$5:$H$2244,E642)</x:f>
        <x:v>144</x:v>
      </x:c>
      <x:c r="I642" s="35" t="n">
        <x:f>G642*XLOOKUP(E642,'菜品主数据'!$A$5:$A$24,'菜品主数据'!$G$5:$G$24,0)</x:f>
        <x:v>25.407999999999994</x:v>
      </x:c>
    </x:row>
    <x:row r="643">
      <x:c r="A643" s="19" t="str">
        <x:v>2026-07-10|S05|D19</x:v>
      </x:c>
      <x:c r="B643" s="34" t="n">
        <x:v>46213.5</x:v>
      </x:c>
      <x:c r="C643" s="19" t="str">
        <x:v>S05</x:v>
      </x:c>
      <x:c r="D643" s="19" t="str">
        <x:v>同顺街店</x:v>
      </x:c>
      <x:c r="E643" s="19" t="str">
        <x:v>D19</x:v>
      </x:c>
      <x:c r="F643" s="19" t="str">
        <x:v>酸萝卜炒鸡杂</x:v>
      </x:c>
      <x:c r="G643" s="20" t="n">
        <x:f>SUMIFS('7日销售明细'!$K$5:$K$2244,'7日销售明细'!$B$5:$B$2244,B643,'7日销售明细'!$D$5:$D$2244,C643,'7日销售明细'!$H$5:$H$2244,E643)</x:f>
        <x:v>6</x:v>
      </x:c>
      <x:c r="H643" s="35" t="n">
        <x:f>SUMIFS('7日销售明细'!$L$5:$L$2244,'7日销售明细'!$B$5:$B$2244,B643,'7日销售明细'!$D$5:$D$2244,C643,'7日销售明细'!$H$5:$H$2244,E643)</x:f>
        <x:v>150</x:v>
      </x:c>
      <x:c r="I643" s="35" t="n">
        <x:f>G643*XLOOKUP(E643,'菜品主数据'!$A$5:$A$24,'菜品主数据'!$G$5:$G$24,0)</x:f>
        <x:v>47.64</x:v>
      </x:c>
    </x:row>
    <x:row r="644">
      <x:c r="A644" s="19" t="str">
        <x:v>2026-07-10|S05|D20</x:v>
      </x:c>
      <x:c r="B644" s="34" t="n">
        <x:v>46213.5</x:v>
      </x:c>
      <x:c r="C644" s="19" t="str">
        <x:v>S05</x:v>
      </x:c>
      <x:c r="D644" s="19" t="str">
        <x:v>同顺街店</x:v>
      </x:c>
      <x:c r="E644" s="19" t="str">
        <x:v>D20</x:v>
      </x:c>
      <x:c r="F644" s="19" t="str">
        <x:v>雪菜肉末青豆</x:v>
      </x:c>
      <x:c r="G644" s="20" t="n">
        <x:f>SUMIFS('7日销售明细'!$K$5:$K$2244,'7日销售明细'!$B$5:$B$2244,B644,'7日销售明细'!$D$5:$D$2244,C644,'7日销售明细'!$H$5:$H$2244,E644)</x:f>
        <x:v>8</x:v>
      </x:c>
      <x:c r="H644" s="35" t="n">
        <x:f>SUMIFS('7日销售明细'!$L$5:$L$2244,'7日销售明细'!$B$5:$B$2244,B644,'7日销售明细'!$D$5:$D$2244,C644,'7日销售明细'!$H$5:$H$2244,E644)</x:f>
        <x:v>144</x:v>
      </x:c>
      <x:c r="I644" s="35" t="n">
        <x:f>G644*XLOOKUP(E644,'菜品主数据'!$A$5:$A$24,'菜品主数据'!$G$5:$G$24,0)</x:f>
        <x:v>58.431999999999995</x:v>
      </x:c>
    </x:row>
    <x:row r="645">
      <x:c r="A645" s="19" t="str">
        <x:v>2026-07-11|S05|D01</x:v>
      </x:c>
      <x:c r="B645" s="34" t="n">
        <x:v>46214.5</x:v>
      </x:c>
      <x:c r="C645" s="19" t="str">
        <x:v>S05</x:v>
      </x:c>
      <x:c r="D645" s="19" t="str">
        <x:v>同顺街店</x:v>
      </x:c>
      <x:c r="E645" s="19" t="str">
        <x:v>D01</x:v>
      </x:c>
      <x:c r="F645" s="19" t="str">
        <x:v>辣椒炒肉</x:v>
      </x:c>
      <x:c r="G645" s="20" t="n">
        <x:f>SUMIFS('7日销售明细'!$K$5:$K$2244,'7日销售明细'!$B$5:$B$2244,B645,'7日销售明细'!$D$5:$D$2244,C645,'7日销售明细'!$H$5:$H$2244,E645)</x:f>
        <x:v>36</x:v>
      </x:c>
      <x:c r="H645" s="35" t="n">
        <x:f>SUMIFS('7日销售明细'!$L$5:$L$2244,'7日销售明细'!$B$5:$B$2244,B645,'7日销售明细'!$D$5:$D$2244,C645,'7日销售明细'!$H$5:$H$2244,E645)</x:f>
        <x:v>1044</x:v>
      </x:c>
      <x:c r="I645" s="35" t="n">
        <x:f>G645*XLOOKUP(E645,'菜品主数据'!$A$5:$A$24,'菜品主数据'!$G$5:$G$24,0)</x:f>
        <x:v>310.83840000000004</x:v>
      </x:c>
    </x:row>
    <x:row r="646">
      <x:c r="A646" s="19" t="str">
        <x:v>2026-07-11|S05|D02</x:v>
      </x:c>
      <x:c r="B646" s="34" t="n">
        <x:v>46214.5</x:v>
      </x:c>
      <x:c r="C646" s="19" t="str">
        <x:v>S05</x:v>
      </x:c>
      <x:c r="D646" s="19" t="str">
        <x:v>同顺街店</x:v>
      </x:c>
      <x:c r="E646" s="19" t="str">
        <x:v>D02</x:v>
      </x:c>
      <x:c r="F646" s="19" t="str">
        <x:v>小炒黄牛肉</x:v>
      </x:c>
      <x:c r="G646" s="20" t="n">
        <x:f>SUMIFS('7日销售明细'!$K$5:$K$2244,'7日销售明细'!$B$5:$B$2244,B646,'7日销售明细'!$D$5:$D$2244,C646,'7日销售明细'!$H$5:$H$2244,E646)</x:f>
        <x:v>25</x:v>
      </x:c>
      <x:c r="H646" s="35" t="n">
        <x:f>SUMIFS('7日销售明细'!$L$5:$L$2244,'7日销售明细'!$B$5:$B$2244,B646,'7日销售明细'!$D$5:$D$2244,C646,'7日销售明细'!$H$5:$H$2244,E646)</x:f>
        <x:v>1225</x:v>
      </x:c>
      <x:c r="I646" s="35" t="n">
        <x:f>G646*XLOOKUP(E646,'菜品主数据'!$A$5:$A$24,'菜品主数据'!$G$5:$G$24,0)</x:f>
        <x:v>439.42500000000007</x:v>
      </x:c>
    </x:row>
    <x:row r="647">
      <x:c r="A647" s="19" t="str">
        <x:v>2026-07-11|S05|D03</x:v>
      </x:c>
      <x:c r="B647" s="34" t="n">
        <x:v>46214.5</x:v>
      </x:c>
      <x:c r="C647" s="19" t="str">
        <x:v>S05</x:v>
      </x:c>
      <x:c r="D647" s="19" t="str">
        <x:v>同顺街店</x:v>
      </x:c>
      <x:c r="E647" s="19" t="str">
        <x:v>D03</x:v>
      </x:c>
      <x:c r="F647" s="19" t="str">
        <x:v>香醋炒蛋</x:v>
      </x:c>
      <x:c r="G647" s="20" t="n">
        <x:f>SUMIFS('7日销售明细'!$K$5:$K$2244,'7日销售明细'!$B$5:$B$2244,B647,'7日销售明细'!$D$5:$D$2244,C647,'7日销售明细'!$H$5:$H$2244,E647)</x:f>
        <x:v>30</x:v>
      </x:c>
      <x:c r="H647" s="35" t="n">
        <x:f>SUMIFS('7日销售明细'!$L$5:$L$2244,'7日销售明细'!$B$5:$B$2244,B647,'7日销售明细'!$D$5:$D$2244,C647,'7日销售明细'!$H$5:$H$2244,E647)</x:f>
        <x:v>447</x:v>
      </x:c>
      <x:c r="I647" s="35" t="n">
        <x:f>G647*XLOOKUP(E647,'菜品主数据'!$A$5:$A$24,'菜品主数据'!$G$5:$G$24,0)</x:f>
        <x:v>112.37999999999998</x:v>
      </x:c>
    </x:row>
    <x:row r="648">
      <x:c r="A648" s="19" t="str">
        <x:v>2026-07-11|S05|D04</x:v>
      </x:c>
      <x:c r="B648" s="34" t="n">
        <x:v>46214.5</x:v>
      </x:c>
      <x:c r="C648" s="19" t="str">
        <x:v>S05</x:v>
      </x:c>
      <x:c r="D648" s="19" t="str">
        <x:v>同顺街店</x:v>
      </x:c>
      <x:c r="E648" s="19" t="str">
        <x:v>D04</x:v>
      </x:c>
      <x:c r="F648" s="19" t="str">
        <x:v>酸包菜炒粉皮</x:v>
      </x:c>
      <x:c r="G648" s="20" t="n">
        <x:f>SUMIFS('7日销售明细'!$K$5:$K$2244,'7日销售明细'!$B$5:$B$2244,B648,'7日销售明细'!$D$5:$D$2244,C648,'7日销售明细'!$H$5:$H$2244,E648)</x:f>
        <x:v>28</x:v>
      </x:c>
      <x:c r="H648" s="35" t="n">
        <x:f>SUMIFS('7日销售明细'!$L$5:$L$2244,'7日销售明细'!$B$5:$B$2244,B648,'7日销售明细'!$D$5:$D$2244,C648,'7日销售明细'!$H$5:$H$2244,E648)</x:f>
        <x:v>448</x:v>
      </x:c>
      <x:c r="I648" s="35" t="n">
        <x:f>G648*XLOOKUP(E648,'菜品主数据'!$A$5:$A$24,'菜品主数据'!$G$5:$G$24,0)</x:f>
        <x:v>111.384</x:v>
      </x:c>
    </x:row>
    <x:row r="649">
      <x:c r="A649" s="19" t="str">
        <x:v>2026-07-11|S05|D05</x:v>
      </x:c>
      <x:c r="B649" s="34" t="n">
        <x:v>46214.5</x:v>
      </x:c>
      <x:c r="C649" s="19" t="str">
        <x:v>S05</x:v>
      </x:c>
      <x:c r="D649" s="19" t="str">
        <x:v>同顺街店</x:v>
      </x:c>
      <x:c r="E649" s="19" t="str">
        <x:v>D05</x:v>
      </x:c>
      <x:c r="F649" s="19" t="str">
        <x:v>麻婆豆腐</x:v>
      </x:c>
      <x:c r="G649" s="20" t="n">
        <x:f>SUMIFS('7日销售明细'!$K$5:$K$2244,'7日销售明细'!$B$5:$B$2244,B649,'7日销售明细'!$D$5:$D$2244,C649,'7日销售明细'!$H$5:$H$2244,E649)</x:f>
        <x:v>39</x:v>
      </x:c>
      <x:c r="H649" s="35" t="n">
        <x:f>SUMIFS('7日销售明细'!$L$5:$L$2244,'7日销售明细'!$B$5:$B$2244,B649,'7日销售明细'!$D$5:$D$2244,C649,'7日销售明细'!$H$5:$H$2244,E649)</x:f>
        <x:v>386.1</x:v>
      </x:c>
      <x:c r="I649" s="35" t="n">
        <x:f>G649*XLOOKUP(E649,'菜品主数据'!$A$5:$A$24,'菜品主数据'!$G$5:$G$24,0)</x:f>
        <x:v>209.31300000000005</x:v>
      </x:c>
    </x:row>
    <x:row r="650">
      <x:c r="A650" s="19" t="str">
        <x:v>2026-07-11|S05|D06</x:v>
      </x:c>
      <x:c r="B650" s="34" t="n">
        <x:v>46214.5</x:v>
      </x:c>
      <x:c r="C650" s="19" t="str">
        <x:v>S05</x:v>
      </x:c>
      <x:c r="D650" s="19" t="str">
        <x:v>同顺街店</x:v>
      </x:c>
      <x:c r="E650" s="19" t="str">
        <x:v>D06</x:v>
      </x:c>
      <x:c r="F650" s="19" t="str">
        <x:v>剁椒鱼头</x:v>
      </x:c>
      <x:c r="G650" s="20" t="n">
        <x:f>SUMIFS('7日销售明细'!$K$5:$K$2244,'7日销售明细'!$B$5:$B$2244,B650,'7日销售明细'!$D$5:$D$2244,C650,'7日销售明细'!$H$5:$H$2244,E650)</x:f>
        <x:v>11</x:v>
      </x:c>
      <x:c r="H650" s="35" t="n">
        <x:f>SUMIFS('7日销售明细'!$L$5:$L$2244,'7日销售明细'!$B$5:$B$2244,B650,'7日销售明细'!$D$5:$D$2244,C650,'7日销售明细'!$H$5:$H$2244,E650)</x:f>
        <x:v>429</x:v>
      </x:c>
      <x:c r="I650" s="35" t="n">
        <x:f>G650*XLOOKUP(E650,'菜品主数据'!$A$5:$A$24,'菜品主数据'!$G$5:$G$24,0)</x:f>
        <x:v>191.906</x:v>
      </x:c>
    </x:row>
    <x:row r="651">
      <x:c r="A651" s="19" t="str">
        <x:v>2026-07-11|S05|D07</x:v>
      </x:c>
      <x:c r="B651" s="34" t="n">
        <x:v>46214.5</x:v>
      </x:c>
      <x:c r="C651" s="19" t="str">
        <x:v>S05</x:v>
      </x:c>
      <x:c r="D651" s="19" t="str">
        <x:v>同顺街店</x:v>
      </x:c>
      <x:c r="E651" s="19" t="str">
        <x:v>D07</x:v>
      </x:c>
      <x:c r="F651" s="19" t="str">
        <x:v>川味回锅肉</x:v>
      </x:c>
      <x:c r="G651" s="20" t="n">
        <x:f>SUMIFS('7日销售明细'!$K$5:$K$2244,'7日销售明细'!$B$5:$B$2244,B651,'7日销售明细'!$D$5:$D$2244,C651,'7日销售明细'!$H$5:$H$2244,E651)</x:f>
        <x:v>12</x:v>
      </x:c>
      <x:c r="H651" s="35" t="n">
        <x:f>SUMIFS('7日销售明细'!$L$5:$L$2244,'7日销售明细'!$B$5:$B$2244,B651,'7日销售明细'!$D$5:$D$2244,C651,'7日销售明细'!$H$5:$H$2244,E651)</x:f>
        <x:v>348</x:v>
      </x:c>
      <x:c r="I651" s="35" t="n">
        <x:f>G651*XLOOKUP(E651,'菜品主数据'!$A$5:$A$24,'菜品主数据'!$G$5:$G$24,0)</x:f>
        <x:v>122.77200000000002</x:v>
      </x:c>
    </x:row>
    <x:row r="652">
      <x:c r="A652" s="19" t="str">
        <x:v>2026-07-11|S05|D08</x:v>
      </x:c>
      <x:c r="B652" s="34" t="n">
        <x:v>46214.5</x:v>
      </x:c>
      <x:c r="C652" s="19" t="str">
        <x:v>S05</x:v>
      </x:c>
      <x:c r="D652" s="19" t="str">
        <x:v>同顺街店</x:v>
      </x:c>
      <x:c r="E652" s="19" t="str">
        <x:v>D08</x:v>
      </x:c>
      <x:c r="F652" s="19" t="str">
        <x:v>生炒清远鸡</x:v>
      </x:c>
      <x:c r="G652" s="20" t="n">
        <x:f>SUMIFS('7日销售明细'!$K$5:$K$2244,'7日销售明细'!$B$5:$B$2244,B652,'7日销售明细'!$D$5:$D$2244,C652,'7日销售明细'!$H$5:$H$2244,E652)</x:f>
        <x:v>9</x:v>
      </x:c>
      <x:c r="H652" s="35" t="n">
        <x:f>SUMIFS('7日销售明细'!$L$5:$L$2244,'7日销售明细'!$B$5:$B$2244,B652,'7日销售明细'!$D$5:$D$2244,C652,'7日销售明细'!$H$5:$H$2244,E652)</x:f>
        <x:v>324</x:v>
      </x:c>
      <x:c r="I652" s="35" t="n">
        <x:f>G652*XLOOKUP(E652,'菜品主数据'!$A$5:$A$24,'菜品主数据'!$G$5:$G$24,0)</x:f>
        <x:v>121.32000000000001</x:v>
      </x:c>
    </x:row>
    <x:row r="653">
      <x:c r="A653" s="19" t="str">
        <x:v>2026-07-11|S05|D09</x:v>
      </x:c>
      <x:c r="B653" s="34" t="n">
        <x:v>46214.5</x:v>
      </x:c>
      <x:c r="C653" s="19" t="str">
        <x:v>S05</x:v>
      </x:c>
      <x:c r="D653" s="19" t="str">
        <x:v>同顺街店</x:v>
      </x:c>
      <x:c r="E653" s="19" t="str">
        <x:v>D09</x:v>
      </x:c>
      <x:c r="F653" s="19" t="str">
        <x:v>炒豆干</x:v>
      </x:c>
      <x:c r="G653" s="20" t="n">
        <x:f>SUMIFS('7日销售明细'!$K$5:$K$2244,'7日销售明细'!$B$5:$B$2244,B653,'7日销售明细'!$D$5:$D$2244,C653,'7日销售明细'!$H$5:$H$2244,E653)</x:f>
        <x:v>12</x:v>
      </x:c>
      <x:c r="H653" s="35" t="n">
        <x:f>SUMIFS('7日销售明细'!$L$5:$L$2244,'7日销售明细'!$B$5:$B$2244,B653,'7日销售明细'!$D$5:$D$2244,C653,'7日销售明细'!$H$5:$H$2244,E653)</x:f>
        <x:v>216</x:v>
      </x:c>
      <x:c r="I653" s="35" t="n">
        <x:f>G653*XLOOKUP(E653,'菜品主数据'!$A$5:$A$24,'菜品主数据'!$G$5:$G$24,0)</x:f>
        <x:v>79.368</x:v>
      </x:c>
    </x:row>
    <x:row r="654">
      <x:c r="A654" s="19" t="str">
        <x:v>2026-07-11|S05|D10</x:v>
      </x:c>
      <x:c r="B654" s="34" t="n">
        <x:v>46214.5</x:v>
      </x:c>
      <x:c r="C654" s="19" t="str">
        <x:v>S05</x:v>
      </x:c>
      <x:c r="D654" s="19" t="str">
        <x:v>同顺街店</x:v>
      </x:c>
      <x:c r="E654" s="19" t="str">
        <x:v>D10</x:v>
      </x:c>
      <x:c r="F654" s="19" t="str">
        <x:v>农家一碗香</x:v>
      </x:c>
      <x:c r="G654" s="20" t="n">
        <x:f>SUMIFS('7日销售明细'!$K$5:$K$2244,'7日销售明细'!$B$5:$B$2244,B654,'7日销售明细'!$D$5:$D$2244,C654,'7日销售明细'!$H$5:$H$2244,E654)</x:f>
        <x:v>14</x:v>
      </x:c>
      <x:c r="H654" s="35" t="n">
        <x:f>SUMIFS('7日销售明细'!$L$5:$L$2244,'7日销售明细'!$B$5:$B$2244,B654,'7日销售明细'!$D$5:$D$2244,C654,'7日销售明细'!$H$5:$H$2244,E654)</x:f>
        <x:v>320.59999999999997</x:v>
      </x:c>
      <x:c r="I654" s="35" t="n">
        <x:f>G654*XLOOKUP(E654,'菜品主数据'!$A$5:$A$24,'菜品主数据'!$G$5:$G$24,0)</x:f>
        <x:v>136.78280000000004</x:v>
      </x:c>
    </x:row>
    <x:row r="655">
      <x:c r="A655" s="19" t="str">
        <x:v>2026-07-11|S05|D11</x:v>
      </x:c>
      <x:c r="B655" s="34" t="n">
        <x:v>46214.5</x:v>
      </x:c>
      <x:c r="C655" s="19" t="str">
        <x:v>S05</x:v>
      </x:c>
      <x:c r="D655" s="19" t="str">
        <x:v>同顺街店</x:v>
      </x:c>
      <x:c r="E655" s="19" t="str">
        <x:v>D11</x:v>
      </x:c>
      <x:c r="F655" s="19" t="str">
        <x:v>香辣爆肥肠</x:v>
      </x:c>
      <x:c r="G655" s="20" t="n">
        <x:f>SUMIFS('7日销售明细'!$K$5:$K$2244,'7日销售明细'!$B$5:$B$2244,B655,'7日销售明细'!$D$5:$D$2244,C655,'7日销售明细'!$H$5:$H$2244,E655)</x:f>
        <x:v>5</x:v>
      </x:c>
      <x:c r="H655" s="35" t="n">
        <x:f>SUMIFS('7日销售明细'!$L$5:$L$2244,'7日销售明细'!$B$5:$B$2244,B655,'7日销售明细'!$D$5:$D$2244,C655,'7日销售明细'!$H$5:$H$2244,E655)</x:f>
        <x:v>195</x:v>
      </x:c>
      <x:c r="I655" s="35" t="n">
        <x:f>G655*XLOOKUP(E655,'菜品主数据'!$A$5:$A$24,'菜品主数据'!$G$5:$G$24,0)</x:f>
        <x:v>51.985</x:v>
      </x:c>
    </x:row>
    <x:row r="656">
      <x:c r="A656" s="19" t="str">
        <x:v>2026-07-11|S05|D12</x:v>
      </x:c>
      <x:c r="B656" s="34" t="n">
        <x:v>46214.5</x:v>
      </x:c>
      <x:c r="C656" s="19" t="str">
        <x:v>S05</x:v>
      </x:c>
      <x:c r="D656" s="19" t="str">
        <x:v>同顺街店</x:v>
      </x:c>
      <x:c r="E656" s="19" t="str">
        <x:v>D12</x:v>
      </x:c>
      <x:c r="F656" s="19" t="str">
        <x:v>清蒸鲈鱼</x:v>
      </x:c>
      <x:c r="G656" s="20" t="n">
        <x:f>SUMIFS('7日销售明细'!$K$5:$K$2244,'7日销售明细'!$B$5:$B$2244,B656,'7日销售明细'!$D$5:$D$2244,C656,'7日销售明细'!$H$5:$H$2244,E656)</x:f>
        <x:v>5</x:v>
      </x:c>
      <x:c r="H656" s="35" t="n">
        <x:f>SUMIFS('7日销售明细'!$L$5:$L$2244,'7日销售明细'!$B$5:$B$2244,B656,'7日销售明细'!$D$5:$D$2244,C656,'7日销售明细'!$H$5:$H$2244,E656)</x:f>
        <x:v>195</x:v>
      </x:c>
      <x:c r="I656" s="35" t="n">
        <x:f>G656*XLOOKUP(E656,'菜品主数据'!$A$5:$A$24,'菜品主数据'!$G$5:$G$24,0)</x:f>
        <x:v>94.36999999999999</x:v>
      </x:c>
    </x:row>
    <x:row r="657">
      <x:c r="A657" s="19" t="str">
        <x:v>2026-07-11|S05|D13</x:v>
      </x:c>
      <x:c r="B657" s="34" t="n">
        <x:v>46214.5</x:v>
      </x:c>
      <x:c r="C657" s="19" t="str">
        <x:v>S05</x:v>
      </x:c>
      <x:c r="D657" s="19" t="str">
        <x:v>同顺街店</x:v>
      </x:c>
      <x:c r="E657" s="19" t="str">
        <x:v>D13</x:v>
      </x:c>
      <x:c r="F657" s="19" t="str">
        <x:v>外婆菜炒蛋</x:v>
      </x:c>
      <x:c r="G657" s="20" t="n">
        <x:f>SUMIFS('7日销售明细'!$K$5:$K$2244,'7日销售明细'!$B$5:$B$2244,B657,'7日销售明细'!$D$5:$D$2244,C657,'7日销售明细'!$H$5:$H$2244,E657)</x:f>
        <x:v>13</x:v>
      </x:c>
      <x:c r="H657" s="35" t="n">
        <x:f>SUMIFS('7日销售明细'!$L$5:$L$2244,'7日销售明细'!$B$5:$B$2244,B657,'7日销售明细'!$D$5:$D$2244,C657,'7日销售明细'!$H$5:$H$2244,E657)</x:f>
        <x:v>234</x:v>
      </x:c>
      <x:c r="I657" s="35" t="n">
        <x:f>G657*XLOOKUP(E657,'菜品主数据'!$A$5:$A$24,'菜品主数据'!$G$5:$G$24,0)</x:f>
        <x:v>70.25199999999998</x:v>
      </x:c>
    </x:row>
    <x:row r="658">
      <x:c r="A658" s="19" t="str">
        <x:v>2026-07-11|S05|D14</x:v>
      </x:c>
      <x:c r="B658" s="34" t="n">
        <x:v>46214.5</x:v>
      </x:c>
      <x:c r="C658" s="19" t="str">
        <x:v>S05</x:v>
      </x:c>
      <x:c r="D658" s="19" t="str">
        <x:v>同顺街店</x:v>
      </x:c>
      <x:c r="E658" s="19" t="str">
        <x:v>D14</x:v>
      </x:c>
      <x:c r="F658" s="19" t="str">
        <x:v>酸辣鸡杂</x:v>
      </x:c>
      <x:c r="G658" s="20" t="n">
        <x:f>SUMIFS('7日销售明细'!$K$5:$K$2244,'7日销售明细'!$B$5:$B$2244,B658,'7日销售明细'!$D$5:$D$2244,C658,'7日销售明细'!$H$5:$H$2244,E658)</x:f>
        <x:v>6</x:v>
      </x:c>
      <x:c r="H658" s="35" t="n">
        <x:f>SUMIFS('7日销售明细'!$L$5:$L$2244,'7日销售明细'!$B$5:$B$2244,B658,'7日销售明细'!$D$5:$D$2244,C658,'7日销售明细'!$H$5:$H$2244,E658)</x:f>
        <x:v>168</x:v>
      </x:c>
      <x:c r="I658" s="35" t="n">
        <x:f>G658*XLOOKUP(E658,'菜品主数据'!$A$5:$A$24,'菜品主数据'!$G$5:$G$24,0)</x:f>
        <x:v>49.89000000000001</x:v>
      </x:c>
    </x:row>
    <x:row r="659">
      <x:c r="A659" s="19" t="str">
        <x:v>2026-07-11|S05|D15</x:v>
      </x:c>
      <x:c r="B659" s="34" t="n">
        <x:v>46214.5</x:v>
      </x:c>
      <x:c r="C659" s="19" t="str">
        <x:v>S05</x:v>
      </x:c>
      <x:c r="D659" s="19" t="str">
        <x:v>同顺街店</x:v>
      </x:c>
      <x:c r="E659" s="19" t="str">
        <x:v>D15</x:v>
      </x:c>
      <x:c r="F659" s="19" t="str">
        <x:v>湘西土匪猪肝</x:v>
      </x:c>
      <x:c r="G659" s="20" t="n">
        <x:f>SUMIFS('7日销售明细'!$K$5:$K$2244,'7日销售明细'!$B$5:$B$2244,B659,'7日销售明细'!$D$5:$D$2244,C659,'7日销售明细'!$H$5:$H$2244,E659)</x:f>
        <x:v>5</x:v>
      </x:c>
      <x:c r="H659" s="35" t="n">
        <x:f>SUMIFS('7日销售明细'!$L$5:$L$2244,'7日销售明细'!$B$5:$B$2244,B659,'7日销售明细'!$D$5:$D$2244,C659,'7日销售明细'!$H$5:$H$2244,E659)</x:f>
        <x:v>130</x:v>
      </x:c>
      <x:c r="I659" s="35" t="n">
        <x:f>G659*XLOOKUP(E659,'菜品主数据'!$A$5:$A$24,'菜品主数据'!$G$5:$G$24,0)</x:f>
        <x:v>31.879999999999995</x:v>
      </x:c>
    </x:row>
    <x:row r="660">
      <x:c r="A660" s="19" t="str">
        <x:v>2026-07-11|S05|D16</x:v>
      </x:c>
      <x:c r="B660" s="34" t="n">
        <x:v>46214.5</x:v>
      </x:c>
      <x:c r="C660" s="19" t="str">
        <x:v>S05</x:v>
      </x:c>
      <x:c r="D660" s="19" t="str">
        <x:v>同顺街店</x:v>
      </x:c>
      <x:c r="E660" s="19" t="str">
        <x:v>D16</x:v>
      </x:c>
      <x:c r="F660" s="19" t="str">
        <x:v>小豆角炒五花</x:v>
      </x:c>
      <x:c r="G660" s="20" t="n">
        <x:f>SUMIFS('7日销售明细'!$K$5:$K$2244,'7日销售明细'!$B$5:$B$2244,B660,'7日销售明细'!$D$5:$D$2244,C660,'7日销售明细'!$H$5:$H$2244,E660)</x:f>
        <x:v>6</x:v>
      </x:c>
      <x:c r="H660" s="35" t="n">
        <x:f>SUMIFS('7日销售明细'!$L$5:$L$2244,'7日销售明细'!$B$5:$B$2244,B660,'7日销售明细'!$D$5:$D$2244,C660,'7日销售明细'!$H$5:$H$2244,E660)</x:f>
        <x:v>150</x:v>
      </x:c>
      <x:c r="I660" s="35" t="n">
        <x:f>G660*XLOOKUP(E660,'菜品主数据'!$A$5:$A$24,'菜品主数据'!$G$5:$G$24,0)</x:f>
        <x:v>49.104</x:v>
      </x:c>
    </x:row>
    <x:row r="661">
      <x:c r="A661" s="19" t="str">
        <x:v>2026-07-11|S05|D17</x:v>
      </x:c>
      <x:c r="B661" s="34" t="n">
        <x:v>46214.5</x:v>
      </x:c>
      <x:c r="C661" s="19" t="str">
        <x:v>S05</x:v>
      </x:c>
      <x:c r="D661" s="19" t="str">
        <x:v>同顺街店</x:v>
      </x:c>
      <x:c r="E661" s="19" t="str">
        <x:v>D17</x:v>
      </x:c>
      <x:c r="F661" s="19" t="str">
        <x:v>蒜蓉粉丝虾</x:v>
      </x:c>
      <x:c r="G661" s="20" t="n">
        <x:f>SUMIFS('7日销售明细'!$K$5:$K$2244,'7日销售明细'!$B$5:$B$2244,B661,'7日销售明细'!$D$5:$D$2244,C661,'7日销售明细'!$H$5:$H$2244,E661)</x:f>
        <x:v>4</x:v>
      </x:c>
      <x:c r="H661" s="35" t="n">
        <x:f>SUMIFS('7日销售明细'!$L$5:$L$2244,'7日销售明细'!$B$5:$B$2244,B661,'7日销售明细'!$D$5:$D$2244,C661,'7日销售明细'!$H$5:$H$2244,E661)</x:f>
        <x:v>144</x:v>
      </x:c>
      <x:c r="I661" s="35" t="n">
        <x:f>G661*XLOOKUP(E661,'菜品主数据'!$A$5:$A$24,'菜品主数据'!$G$5:$G$24,0)</x:f>
        <x:v>54.376</x:v>
      </x:c>
    </x:row>
    <x:row r="662">
      <x:c r="A662" s="19" t="str">
        <x:v>2026-07-11|S05|D18</x:v>
      </x:c>
      <x:c r="B662" s="34" t="n">
        <x:v>46214.5</x:v>
      </x:c>
      <x:c r="C662" s="19" t="str">
        <x:v>S05</x:v>
      </x:c>
      <x:c r="D662" s="19" t="str">
        <x:v>同顺街店</x:v>
      </x:c>
      <x:c r="E662" s="19" t="str">
        <x:v>D18</x:v>
      </x:c>
      <x:c r="F662" s="19" t="str">
        <x:v>青椒炒油麦菜</x:v>
      </x:c>
      <x:c r="G662" s="20" t="n">
        <x:f>SUMIFS('7日销售明细'!$K$5:$K$2244,'7日销售明细'!$B$5:$B$2244,B662,'7日销售明细'!$D$5:$D$2244,C662,'7日销售明细'!$H$5:$H$2244,E662)</x:f>
        <x:v>7</x:v>
      </x:c>
      <x:c r="H662" s="35" t="n">
        <x:f>SUMIFS('7日销售明细'!$L$5:$L$2244,'7日销售明细'!$B$5:$B$2244,B662,'7日销售明细'!$D$5:$D$2244,C662,'7日销售明细'!$H$5:$H$2244,E662)</x:f>
        <x:v>126</x:v>
      </x:c>
      <x:c r="I662" s="35" t="n">
        <x:f>G662*XLOOKUP(E662,'菜品主数据'!$A$5:$A$24,'菜品主数据'!$G$5:$G$24,0)</x:f>
        <x:v>22.231999999999996</x:v>
      </x:c>
    </x:row>
    <x:row r="663">
      <x:c r="A663" s="19" t="str">
        <x:v>2026-07-11|S05|D19</x:v>
      </x:c>
      <x:c r="B663" s="34" t="n">
        <x:v>46214.5</x:v>
      </x:c>
      <x:c r="C663" s="19" t="str">
        <x:v>S05</x:v>
      </x:c>
      <x:c r="D663" s="19" t="str">
        <x:v>同顺街店</x:v>
      </x:c>
      <x:c r="E663" s="19" t="str">
        <x:v>D19</x:v>
      </x:c>
      <x:c r="F663" s="19" t="str">
        <x:v>酸萝卜炒鸡杂</x:v>
      </x:c>
      <x:c r="G663" s="20" t="n">
        <x:f>SUMIFS('7日销售明细'!$K$5:$K$2244,'7日销售明细'!$B$5:$B$2244,B663,'7日销售明细'!$D$5:$D$2244,C663,'7日销售明细'!$H$5:$H$2244,E663)</x:f>
        <x:v>5</x:v>
      </x:c>
      <x:c r="H663" s="35" t="n">
        <x:f>SUMIFS('7日销售明细'!$L$5:$L$2244,'7日销售明细'!$B$5:$B$2244,B663,'7日销售明细'!$D$5:$D$2244,C663,'7日销售明细'!$H$5:$H$2244,E663)</x:f>
        <x:v>125</x:v>
      </x:c>
      <x:c r="I663" s="35" t="n">
        <x:f>G663*XLOOKUP(E663,'菜品主数据'!$A$5:$A$24,'菜品主数据'!$G$5:$G$24,0)</x:f>
        <x:v>39.699999999999996</x:v>
      </x:c>
    </x:row>
    <x:row r="664">
      <x:c r="A664" s="19" t="str">
        <x:v>2026-07-11|S05|D20</x:v>
      </x:c>
      <x:c r="B664" s="34" t="n">
        <x:v>46214.5</x:v>
      </x:c>
      <x:c r="C664" s="19" t="str">
        <x:v>S05</x:v>
      </x:c>
      <x:c r="D664" s="19" t="str">
        <x:v>同顺街店</x:v>
      </x:c>
      <x:c r="E664" s="19" t="str">
        <x:v>D20</x:v>
      </x:c>
      <x:c r="F664" s="19" t="str">
        <x:v>雪菜肉末青豆</x:v>
      </x:c>
      <x:c r="G664" s="20" t="n">
        <x:f>SUMIFS('7日销售明细'!$K$5:$K$2244,'7日销售明细'!$B$5:$B$2244,B664,'7日销售明细'!$D$5:$D$2244,C664,'7日销售明细'!$H$5:$H$2244,E664)</x:f>
        <x:v>7</x:v>
      </x:c>
      <x:c r="H664" s="35" t="n">
        <x:f>SUMIFS('7日销售明细'!$L$5:$L$2244,'7日销售明细'!$B$5:$B$2244,B664,'7日销售明细'!$D$5:$D$2244,C664,'7日销售明细'!$H$5:$H$2244,E664)</x:f>
        <x:v>126</x:v>
      </x:c>
      <x:c r="I664" s="35" t="n">
        <x:f>G664*XLOOKUP(E664,'菜品主数据'!$A$5:$A$24,'菜品主数据'!$G$5:$G$24,0)</x:f>
        <x:v>51.12799999999999</x:v>
      </x:c>
    </x:row>
    <x:row r="665">
      <x:c r="A665" s="19" t="str">
        <x:v>2026-07-12|S05|D01</x:v>
      </x:c>
      <x:c r="B665" s="34" t="n">
        <x:v>46215.5</x:v>
      </x:c>
      <x:c r="C665" s="19" t="str">
        <x:v>S05</x:v>
      </x:c>
      <x:c r="D665" s="19" t="str">
        <x:v>同顺街店</x:v>
      </x:c>
      <x:c r="E665" s="19" t="str">
        <x:v>D01</x:v>
      </x:c>
      <x:c r="F665" s="19" t="str">
        <x:v>辣椒炒肉</x:v>
      </x:c>
      <x:c r="G665" s="20" t="n">
        <x:f>SUMIFS('7日销售明细'!$K$5:$K$2244,'7日销售明细'!$B$5:$B$2244,B665,'7日销售明细'!$D$5:$D$2244,C665,'7日销售明细'!$H$5:$H$2244,E665)</x:f>
        <x:v>35</x:v>
      </x:c>
      <x:c r="H665" s="35" t="n">
        <x:f>SUMIFS('7日销售明细'!$L$5:$L$2244,'7日销售明细'!$B$5:$B$2244,B665,'7日销售明细'!$D$5:$D$2244,C665,'7日销售明细'!$H$5:$H$2244,E665)</x:f>
        <x:v>1015</x:v>
      </x:c>
      <x:c r="I665" s="35" t="n">
        <x:f>G665*XLOOKUP(E665,'菜品主数据'!$A$5:$A$24,'菜品主数据'!$G$5:$G$24,0)</x:f>
        <x:v>302.20400000000006</x:v>
      </x:c>
    </x:row>
    <x:row r="666">
      <x:c r="A666" s="19" t="str">
        <x:v>2026-07-12|S05|D02</x:v>
      </x:c>
      <x:c r="B666" s="34" t="n">
        <x:v>46215.5</x:v>
      </x:c>
      <x:c r="C666" s="19" t="str">
        <x:v>S05</x:v>
      </x:c>
      <x:c r="D666" s="19" t="str">
        <x:v>同顺街店</x:v>
      </x:c>
      <x:c r="E666" s="19" t="str">
        <x:v>D02</x:v>
      </x:c>
      <x:c r="F666" s="19" t="str">
        <x:v>小炒黄牛肉</x:v>
      </x:c>
      <x:c r="G666" s="20" t="n">
        <x:f>SUMIFS('7日销售明细'!$K$5:$K$2244,'7日销售明细'!$B$5:$B$2244,B666,'7日销售明细'!$D$5:$D$2244,C666,'7日销售明细'!$H$5:$H$2244,E666)</x:f>
        <x:v>27</x:v>
      </x:c>
      <x:c r="H666" s="35" t="n">
        <x:f>SUMIFS('7日销售明细'!$L$5:$L$2244,'7日销售明细'!$B$5:$B$2244,B666,'7日销售明细'!$D$5:$D$2244,C666,'7日销售明细'!$H$5:$H$2244,E666)</x:f>
        <x:v>1323</x:v>
      </x:c>
      <x:c r="I666" s="35" t="n">
        <x:f>G666*XLOOKUP(E666,'菜品主数据'!$A$5:$A$24,'菜品主数据'!$G$5:$G$24,0)</x:f>
        <x:v>474.57900000000006</x:v>
      </x:c>
    </x:row>
    <x:row r="667">
      <x:c r="A667" s="19" t="str">
        <x:v>2026-07-12|S05|D03</x:v>
      </x:c>
      <x:c r="B667" s="34" t="n">
        <x:v>46215.5</x:v>
      </x:c>
      <x:c r="C667" s="19" t="str">
        <x:v>S05</x:v>
      </x:c>
      <x:c r="D667" s="19" t="str">
        <x:v>同顺街店</x:v>
      </x:c>
      <x:c r="E667" s="19" t="str">
        <x:v>D03</x:v>
      </x:c>
      <x:c r="F667" s="19" t="str">
        <x:v>香醋炒蛋</x:v>
      </x:c>
      <x:c r="G667" s="20" t="n">
        <x:f>SUMIFS('7日销售明细'!$K$5:$K$2244,'7日销售明细'!$B$5:$B$2244,B667,'7日销售明细'!$D$5:$D$2244,C667,'7日销售明细'!$H$5:$H$2244,E667)</x:f>
        <x:v>32</x:v>
      </x:c>
      <x:c r="H667" s="35" t="n">
        <x:f>SUMIFS('7日销售明细'!$L$5:$L$2244,'7日销售明细'!$B$5:$B$2244,B667,'7日销售明细'!$D$5:$D$2244,C667,'7日销售明细'!$H$5:$H$2244,E667)</x:f>
        <x:v>476.8</x:v>
      </x:c>
      <x:c r="I667" s="35" t="n">
        <x:f>G667*XLOOKUP(E667,'菜品主数据'!$A$5:$A$24,'菜品主数据'!$G$5:$G$24,0)</x:f>
        <x:v>119.87199999999999</x:v>
      </x:c>
    </x:row>
    <x:row r="668">
      <x:c r="A668" s="19" t="str">
        <x:v>2026-07-12|S05|D04</x:v>
      </x:c>
      <x:c r="B668" s="34" t="n">
        <x:v>46215.5</x:v>
      </x:c>
      <x:c r="C668" s="19" t="str">
        <x:v>S05</x:v>
      </x:c>
      <x:c r="D668" s="19" t="str">
        <x:v>同顺街店</x:v>
      </x:c>
      <x:c r="E668" s="19" t="str">
        <x:v>D04</x:v>
      </x:c>
      <x:c r="F668" s="19" t="str">
        <x:v>酸包菜炒粉皮</x:v>
      </x:c>
      <x:c r="G668" s="20" t="n">
        <x:f>SUMIFS('7日销售明细'!$K$5:$K$2244,'7日销售明细'!$B$5:$B$2244,B668,'7日销售明细'!$D$5:$D$2244,C668,'7日销售明细'!$H$5:$H$2244,E668)</x:f>
        <x:v>28</x:v>
      </x:c>
      <x:c r="H668" s="35" t="n">
        <x:f>SUMIFS('7日销售明细'!$L$5:$L$2244,'7日销售明细'!$B$5:$B$2244,B668,'7日销售明细'!$D$5:$D$2244,C668,'7日销售明细'!$H$5:$H$2244,E668)</x:f>
        <x:v>448</x:v>
      </x:c>
      <x:c r="I668" s="35" t="n">
        <x:f>G668*XLOOKUP(E668,'菜品主数据'!$A$5:$A$24,'菜品主数据'!$G$5:$G$24,0)</x:f>
        <x:v>111.384</x:v>
      </x:c>
    </x:row>
    <x:row r="669">
      <x:c r="A669" s="19" t="str">
        <x:v>2026-07-12|S05|D05</x:v>
      </x:c>
      <x:c r="B669" s="34" t="n">
        <x:v>46215.5</x:v>
      </x:c>
      <x:c r="C669" s="19" t="str">
        <x:v>S05</x:v>
      </x:c>
      <x:c r="D669" s="19" t="str">
        <x:v>同顺街店</x:v>
      </x:c>
      <x:c r="E669" s="19" t="str">
        <x:v>D05</x:v>
      </x:c>
      <x:c r="F669" s="19" t="str">
        <x:v>麻婆豆腐</x:v>
      </x:c>
      <x:c r="G669" s="20" t="n">
        <x:f>SUMIFS('7日销售明细'!$K$5:$K$2244,'7日销售明细'!$B$5:$B$2244,B669,'7日销售明细'!$D$5:$D$2244,C669,'7日销售明细'!$H$5:$H$2244,E669)</x:f>
        <x:v>38</x:v>
      </x:c>
      <x:c r="H669" s="35" t="n">
        <x:f>SUMIFS('7日销售明细'!$L$5:$L$2244,'7日销售明细'!$B$5:$B$2244,B669,'7日销售明细'!$D$5:$D$2244,C669,'7日销售明细'!$H$5:$H$2244,E669)</x:f>
        <x:v>376.2</x:v>
      </x:c>
      <x:c r="I669" s="35" t="n">
        <x:f>G669*XLOOKUP(E669,'菜品主数据'!$A$5:$A$24,'菜品主数据'!$G$5:$G$24,0)</x:f>
        <x:v>203.94600000000003</x:v>
      </x:c>
    </x:row>
    <x:row r="670">
      <x:c r="A670" s="19" t="str">
        <x:v>2026-07-12|S05|D06</x:v>
      </x:c>
      <x:c r="B670" s="34" t="n">
        <x:v>46215.5</x:v>
      </x:c>
      <x:c r="C670" s="19" t="str">
        <x:v>S05</x:v>
      </x:c>
      <x:c r="D670" s="19" t="str">
        <x:v>同顺街店</x:v>
      </x:c>
      <x:c r="E670" s="19" t="str">
        <x:v>D06</x:v>
      </x:c>
      <x:c r="F670" s="19" t="str">
        <x:v>剁椒鱼头</x:v>
      </x:c>
      <x:c r="G670" s="20" t="n">
        <x:f>SUMIFS('7日销售明细'!$K$5:$K$2244,'7日销售明细'!$B$5:$B$2244,B670,'7日销售明细'!$D$5:$D$2244,C670,'7日销售明细'!$H$5:$H$2244,E670)</x:f>
        <x:v>9</x:v>
      </x:c>
      <x:c r="H670" s="35" t="n">
        <x:f>SUMIFS('7日销售明细'!$L$5:$L$2244,'7日销售明细'!$B$5:$B$2244,B670,'7日销售明细'!$D$5:$D$2244,C670,'7日销售明细'!$H$5:$H$2244,E670)</x:f>
        <x:v>351</x:v>
      </x:c>
      <x:c r="I670" s="35" t="n">
        <x:f>G670*XLOOKUP(E670,'菜品主数据'!$A$5:$A$24,'菜品主数据'!$G$5:$G$24,0)</x:f>
        <x:v>157.014</x:v>
      </x:c>
    </x:row>
    <x:row r="671">
      <x:c r="A671" s="19" t="str">
        <x:v>2026-07-12|S05|D07</x:v>
      </x:c>
      <x:c r="B671" s="34" t="n">
        <x:v>46215.5</x:v>
      </x:c>
      <x:c r="C671" s="19" t="str">
        <x:v>S05</x:v>
      </x:c>
      <x:c r="D671" s="19" t="str">
        <x:v>同顺街店</x:v>
      </x:c>
      <x:c r="E671" s="19" t="str">
        <x:v>D07</x:v>
      </x:c>
      <x:c r="F671" s="19" t="str">
        <x:v>川味回锅肉</x:v>
      </x:c>
      <x:c r="G671" s="20" t="n">
        <x:f>SUMIFS('7日销售明细'!$K$5:$K$2244,'7日销售明细'!$B$5:$B$2244,B671,'7日销售明细'!$D$5:$D$2244,C671,'7日销售明细'!$H$5:$H$2244,E671)</x:f>
        <x:v>12</x:v>
      </x:c>
      <x:c r="H671" s="35" t="n">
        <x:f>SUMIFS('7日销售明细'!$L$5:$L$2244,'7日销售明细'!$B$5:$B$2244,B671,'7日销售明细'!$D$5:$D$2244,C671,'7日销售明细'!$H$5:$H$2244,E671)</x:f>
        <x:v>348</x:v>
      </x:c>
      <x:c r="I671" s="35" t="n">
        <x:f>G671*XLOOKUP(E671,'菜品主数据'!$A$5:$A$24,'菜品主数据'!$G$5:$G$24,0)</x:f>
        <x:v>122.77200000000002</x:v>
      </x:c>
    </x:row>
    <x:row r="672">
      <x:c r="A672" s="19" t="str">
        <x:v>2026-07-12|S05|D08</x:v>
      </x:c>
      <x:c r="B672" s="34" t="n">
        <x:v>46215.5</x:v>
      </x:c>
      <x:c r="C672" s="19" t="str">
        <x:v>S05</x:v>
      </x:c>
      <x:c r="D672" s="19" t="str">
        <x:v>同顺街店</x:v>
      </x:c>
      <x:c r="E672" s="19" t="str">
        <x:v>D08</x:v>
      </x:c>
      <x:c r="F672" s="19" t="str">
        <x:v>生炒清远鸡</x:v>
      </x:c>
      <x:c r="G672" s="20" t="n">
        <x:f>SUMIFS('7日销售明细'!$K$5:$K$2244,'7日销售明细'!$B$5:$B$2244,B672,'7日销售明细'!$D$5:$D$2244,C672,'7日销售明细'!$H$5:$H$2244,E672)</x:f>
        <x:v>8</x:v>
      </x:c>
      <x:c r="H672" s="35" t="n">
        <x:f>SUMIFS('7日销售明细'!$L$5:$L$2244,'7日销售明细'!$B$5:$B$2244,B672,'7日销售明细'!$D$5:$D$2244,C672,'7日销售明细'!$H$5:$H$2244,E672)</x:f>
        <x:v>288</x:v>
      </x:c>
      <x:c r="I672" s="35" t="n">
        <x:f>G672*XLOOKUP(E672,'菜品主数据'!$A$5:$A$24,'菜品主数据'!$G$5:$G$24,0)</x:f>
        <x:v>107.84</x:v>
      </x:c>
    </x:row>
    <x:row r="673">
      <x:c r="A673" s="19" t="str">
        <x:v>2026-07-12|S05|D09</x:v>
      </x:c>
      <x:c r="B673" s="34" t="n">
        <x:v>46215.5</x:v>
      </x:c>
      <x:c r="C673" s="19" t="str">
        <x:v>S05</x:v>
      </x:c>
      <x:c r="D673" s="19" t="str">
        <x:v>同顺街店</x:v>
      </x:c>
      <x:c r="E673" s="19" t="str">
        <x:v>D09</x:v>
      </x:c>
      <x:c r="F673" s="19" t="str">
        <x:v>炒豆干</x:v>
      </x:c>
      <x:c r="G673" s="20" t="n">
        <x:f>SUMIFS('7日销售明细'!$K$5:$K$2244,'7日销售明细'!$B$5:$B$2244,B673,'7日销售明细'!$D$5:$D$2244,C673,'7日销售明细'!$H$5:$H$2244,E673)</x:f>
        <x:v>12</x:v>
      </x:c>
      <x:c r="H673" s="35" t="n">
        <x:f>SUMIFS('7日销售明细'!$L$5:$L$2244,'7日销售明细'!$B$5:$B$2244,B673,'7日销售明细'!$D$5:$D$2244,C673,'7日销售明细'!$H$5:$H$2244,E673)</x:f>
        <x:v>216</x:v>
      </x:c>
      <x:c r="I673" s="35" t="n">
        <x:f>G673*XLOOKUP(E673,'菜品主数据'!$A$5:$A$24,'菜品主数据'!$G$5:$G$24,0)</x:f>
        <x:v>79.368</x:v>
      </x:c>
    </x:row>
    <x:row r="674">
      <x:c r="A674" s="19" t="str">
        <x:v>2026-07-12|S05|D10</x:v>
      </x:c>
      <x:c r="B674" s="34" t="n">
        <x:v>46215.5</x:v>
      </x:c>
      <x:c r="C674" s="19" t="str">
        <x:v>S05</x:v>
      </x:c>
      <x:c r="D674" s="19" t="str">
        <x:v>同顺街店</x:v>
      </x:c>
      <x:c r="E674" s="19" t="str">
        <x:v>D10</x:v>
      </x:c>
      <x:c r="F674" s="19" t="str">
        <x:v>农家一碗香</x:v>
      </x:c>
      <x:c r="G674" s="20" t="n">
        <x:f>SUMIFS('7日销售明细'!$K$5:$K$2244,'7日销售明细'!$B$5:$B$2244,B674,'7日销售明细'!$D$5:$D$2244,C674,'7日销售明细'!$H$5:$H$2244,E674)</x:f>
        <x:v>13</x:v>
      </x:c>
      <x:c r="H674" s="35" t="n">
        <x:f>SUMIFS('7日销售明细'!$L$5:$L$2244,'7日销售明细'!$B$5:$B$2244,B674,'7日销售明细'!$D$5:$D$2244,C674,'7日销售明细'!$H$5:$H$2244,E674)</x:f>
        <x:v>297.69999999999993</x:v>
      </x:c>
      <x:c r="I674" s="35" t="n">
        <x:f>G674*XLOOKUP(E674,'菜品主数据'!$A$5:$A$24,'菜品主数据'!$G$5:$G$24,0)</x:f>
        <x:v>127.01260000000003</x:v>
      </x:c>
    </x:row>
    <x:row r="675">
      <x:c r="A675" s="19" t="str">
        <x:v>2026-07-12|S05|D11</x:v>
      </x:c>
      <x:c r="B675" s="34" t="n">
        <x:v>46215.5</x:v>
      </x:c>
      <x:c r="C675" s="19" t="str">
        <x:v>S05</x:v>
      </x:c>
      <x:c r="D675" s="19" t="str">
        <x:v>同顺街店</x:v>
      </x:c>
      <x:c r="E675" s="19" t="str">
        <x:v>D11</x:v>
      </x:c>
      <x:c r="F675" s="19" t="str">
        <x:v>香辣爆肥肠</x:v>
      </x:c>
      <x:c r="G675" s="20" t="n">
        <x:f>SUMIFS('7日销售明细'!$K$5:$K$2244,'7日销售明细'!$B$5:$B$2244,B675,'7日销售明细'!$D$5:$D$2244,C675,'7日销售明细'!$H$5:$H$2244,E675)</x:f>
        <x:v>5</x:v>
      </x:c>
      <x:c r="H675" s="35" t="n">
        <x:f>SUMIFS('7日销售明细'!$L$5:$L$2244,'7日销售明细'!$B$5:$B$2244,B675,'7日销售明细'!$D$5:$D$2244,C675,'7日销售明细'!$H$5:$H$2244,E675)</x:f>
        <x:v>195</x:v>
      </x:c>
      <x:c r="I675" s="35" t="n">
        <x:f>G675*XLOOKUP(E675,'菜品主数据'!$A$5:$A$24,'菜品主数据'!$G$5:$G$24,0)</x:f>
        <x:v>51.985</x:v>
      </x:c>
    </x:row>
    <x:row r="676">
      <x:c r="A676" s="19" t="str">
        <x:v>2026-07-12|S05|D12</x:v>
      </x:c>
      <x:c r="B676" s="34" t="n">
        <x:v>46215.5</x:v>
      </x:c>
      <x:c r="C676" s="19" t="str">
        <x:v>S05</x:v>
      </x:c>
      <x:c r="D676" s="19" t="str">
        <x:v>同顺街店</x:v>
      </x:c>
      <x:c r="E676" s="19" t="str">
        <x:v>D12</x:v>
      </x:c>
      <x:c r="F676" s="19" t="str">
        <x:v>清蒸鲈鱼</x:v>
      </x:c>
      <x:c r="G676" s="20" t="n">
        <x:f>SUMIFS('7日销售明细'!$K$5:$K$2244,'7日销售明细'!$B$5:$B$2244,B676,'7日销售明细'!$D$5:$D$2244,C676,'7日销售明细'!$H$5:$H$2244,E676)</x:f>
        <x:v>5</x:v>
      </x:c>
      <x:c r="H676" s="35" t="n">
        <x:f>SUMIFS('7日销售明细'!$L$5:$L$2244,'7日销售明细'!$B$5:$B$2244,B676,'7日销售明细'!$D$5:$D$2244,C676,'7日销售明细'!$H$5:$H$2244,E676)</x:f>
        <x:v>195</x:v>
      </x:c>
      <x:c r="I676" s="35" t="n">
        <x:f>G676*XLOOKUP(E676,'菜品主数据'!$A$5:$A$24,'菜品主数据'!$G$5:$G$24,0)</x:f>
        <x:v>94.36999999999999</x:v>
      </x:c>
    </x:row>
    <x:row r="677">
      <x:c r="A677" s="19" t="str">
        <x:v>2026-07-12|S05|D13</x:v>
      </x:c>
      <x:c r="B677" s="34" t="n">
        <x:v>46215.5</x:v>
      </x:c>
      <x:c r="C677" s="19" t="str">
        <x:v>S05</x:v>
      </x:c>
      <x:c r="D677" s="19" t="str">
        <x:v>同顺街店</x:v>
      </x:c>
      <x:c r="E677" s="19" t="str">
        <x:v>D13</x:v>
      </x:c>
      <x:c r="F677" s="19" t="str">
        <x:v>外婆菜炒蛋</x:v>
      </x:c>
      <x:c r="G677" s="20" t="n">
        <x:f>SUMIFS('7日销售明细'!$K$5:$K$2244,'7日销售明细'!$B$5:$B$2244,B677,'7日销售明细'!$D$5:$D$2244,C677,'7日销售明细'!$H$5:$H$2244,E677)</x:f>
        <x:v>11</x:v>
      </x:c>
      <x:c r="H677" s="35" t="n">
        <x:f>SUMIFS('7日销售明细'!$L$5:$L$2244,'7日销售明细'!$B$5:$B$2244,B677,'7日销售明细'!$D$5:$D$2244,C677,'7日销售明细'!$H$5:$H$2244,E677)</x:f>
        <x:v>198</x:v>
      </x:c>
      <x:c r="I677" s="35" t="n">
        <x:f>G677*XLOOKUP(E677,'菜品主数据'!$A$5:$A$24,'菜品主数据'!$G$5:$G$24,0)</x:f>
        <x:v>59.44399999999999</x:v>
      </x:c>
    </x:row>
    <x:row r="678">
      <x:c r="A678" s="19" t="str">
        <x:v>2026-07-12|S05|D14</x:v>
      </x:c>
      <x:c r="B678" s="34" t="n">
        <x:v>46215.5</x:v>
      </x:c>
      <x:c r="C678" s="19" t="str">
        <x:v>S05</x:v>
      </x:c>
      <x:c r="D678" s="19" t="str">
        <x:v>同顺街店</x:v>
      </x:c>
      <x:c r="E678" s="19" t="str">
        <x:v>D14</x:v>
      </x:c>
      <x:c r="F678" s="19" t="str">
        <x:v>酸辣鸡杂</x:v>
      </x:c>
      <x:c r="G678" s="20" t="n">
        <x:f>SUMIFS('7日销售明细'!$K$5:$K$2244,'7日销售明细'!$B$5:$B$2244,B678,'7日销售明细'!$D$5:$D$2244,C678,'7日销售明细'!$H$5:$H$2244,E678)</x:f>
        <x:v>6</x:v>
      </x:c>
      <x:c r="H678" s="35" t="n">
        <x:f>SUMIFS('7日销售明细'!$L$5:$L$2244,'7日销售明细'!$B$5:$B$2244,B678,'7日销售明细'!$D$5:$D$2244,C678,'7日销售明细'!$H$5:$H$2244,E678)</x:f>
        <x:v>168</x:v>
      </x:c>
      <x:c r="I678" s="35" t="n">
        <x:f>G678*XLOOKUP(E678,'菜品主数据'!$A$5:$A$24,'菜品主数据'!$G$5:$G$24,0)</x:f>
        <x:v>49.89000000000001</x:v>
      </x:c>
    </x:row>
    <x:row r="679">
      <x:c r="A679" s="19" t="str">
        <x:v>2026-07-12|S05|D15</x:v>
      </x:c>
      <x:c r="B679" s="34" t="n">
        <x:v>46215.5</x:v>
      </x:c>
      <x:c r="C679" s="19" t="str">
        <x:v>S05</x:v>
      </x:c>
      <x:c r="D679" s="19" t="str">
        <x:v>同顺街店</x:v>
      </x:c>
      <x:c r="E679" s="19" t="str">
        <x:v>D15</x:v>
      </x:c>
      <x:c r="F679" s="19" t="str">
        <x:v>湘西土匪猪肝</x:v>
      </x:c>
      <x:c r="G679" s="20" t="n">
        <x:f>SUMIFS('7日销售明细'!$K$5:$K$2244,'7日销售明细'!$B$5:$B$2244,B679,'7日销售明细'!$D$5:$D$2244,C679,'7日销售明细'!$H$5:$H$2244,E679)</x:f>
        <x:v>5</x:v>
      </x:c>
      <x:c r="H679" s="35" t="n">
        <x:f>SUMIFS('7日销售明细'!$L$5:$L$2244,'7日销售明细'!$B$5:$B$2244,B679,'7日销售明细'!$D$5:$D$2244,C679,'7日销售明细'!$H$5:$H$2244,E679)</x:f>
        <x:v>130</x:v>
      </x:c>
      <x:c r="I679" s="35" t="n">
        <x:f>G679*XLOOKUP(E679,'菜品主数据'!$A$5:$A$24,'菜品主数据'!$G$5:$G$24,0)</x:f>
        <x:v>31.879999999999995</x:v>
      </x:c>
    </x:row>
    <x:row r="680">
      <x:c r="A680" s="19" t="str">
        <x:v>2026-07-12|S05|D16</x:v>
      </x:c>
      <x:c r="B680" s="34" t="n">
        <x:v>46215.5</x:v>
      </x:c>
      <x:c r="C680" s="19" t="str">
        <x:v>S05</x:v>
      </x:c>
      <x:c r="D680" s="19" t="str">
        <x:v>同顺街店</x:v>
      </x:c>
      <x:c r="E680" s="19" t="str">
        <x:v>D16</x:v>
      </x:c>
      <x:c r="F680" s="19" t="str">
        <x:v>小豆角炒五花</x:v>
      </x:c>
      <x:c r="G680" s="20" t="n">
        <x:f>SUMIFS('7日销售明细'!$K$5:$K$2244,'7日销售明细'!$B$5:$B$2244,B680,'7日销售明细'!$D$5:$D$2244,C680,'7日销售明细'!$H$5:$H$2244,E680)</x:f>
        <x:v>5</x:v>
      </x:c>
      <x:c r="H680" s="35" t="n">
        <x:f>SUMIFS('7日销售明细'!$L$5:$L$2244,'7日销售明细'!$B$5:$B$2244,B680,'7日销售明细'!$D$5:$D$2244,C680,'7日销售明细'!$H$5:$H$2244,E680)</x:f>
        <x:v>125</x:v>
      </x:c>
      <x:c r="I680" s="35" t="n">
        <x:f>G680*XLOOKUP(E680,'菜品主数据'!$A$5:$A$24,'菜品主数据'!$G$5:$G$24,0)</x:f>
        <x:v>40.919999999999995</x:v>
      </x:c>
    </x:row>
    <x:row r="681">
      <x:c r="A681" s="19" t="str">
        <x:v>2026-07-12|S05|D17</x:v>
      </x:c>
      <x:c r="B681" s="34" t="n">
        <x:v>46215.5</x:v>
      </x:c>
      <x:c r="C681" s="19" t="str">
        <x:v>S05</x:v>
      </x:c>
      <x:c r="D681" s="19" t="str">
        <x:v>同顺街店</x:v>
      </x:c>
      <x:c r="E681" s="19" t="str">
        <x:v>D17</x:v>
      </x:c>
      <x:c r="F681" s="19" t="str">
        <x:v>蒜蓉粉丝虾</x:v>
      </x:c>
      <x:c r="G681" s="20" t="n">
        <x:f>SUMIFS('7日销售明细'!$K$5:$K$2244,'7日销售明细'!$B$5:$B$2244,B681,'7日销售明细'!$D$5:$D$2244,C681,'7日销售明细'!$H$5:$H$2244,E681)</x:f>
        <x:v>4</x:v>
      </x:c>
      <x:c r="H681" s="35" t="n">
        <x:f>SUMIFS('7日销售明细'!$L$5:$L$2244,'7日销售明细'!$B$5:$B$2244,B681,'7日销售明细'!$D$5:$D$2244,C681,'7日销售明细'!$H$5:$H$2244,E681)</x:f>
        <x:v>144</x:v>
      </x:c>
      <x:c r="I681" s="35" t="n">
        <x:f>G681*XLOOKUP(E681,'菜品主数据'!$A$5:$A$24,'菜品主数据'!$G$5:$G$24,0)</x:f>
        <x:v>54.376</x:v>
      </x:c>
    </x:row>
    <x:row r="682">
      <x:c r="A682" s="19" t="str">
        <x:v>2026-07-12|S05|D18</x:v>
      </x:c>
      <x:c r="B682" s="34" t="n">
        <x:v>46215.5</x:v>
      </x:c>
      <x:c r="C682" s="19" t="str">
        <x:v>S05</x:v>
      </x:c>
      <x:c r="D682" s="19" t="str">
        <x:v>同顺街店</x:v>
      </x:c>
      <x:c r="E682" s="19" t="str">
        <x:v>D18</x:v>
      </x:c>
      <x:c r="F682" s="19" t="str">
        <x:v>青椒炒油麦菜</x:v>
      </x:c>
      <x:c r="G682" s="20" t="n">
        <x:f>SUMIFS('7日销售明细'!$K$5:$K$2244,'7日销售明细'!$B$5:$B$2244,B682,'7日销售明细'!$D$5:$D$2244,C682,'7日销售明细'!$H$5:$H$2244,E682)</x:f>
        <x:v>6</x:v>
      </x:c>
      <x:c r="H682" s="35" t="n">
        <x:f>SUMIFS('7日销售明细'!$L$5:$L$2244,'7日销售明细'!$B$5:$B$2244,B682,'7日销售明细'!$D$5:$D$2244,C682,'7日销售明细'!$H$5:$H$2244,E682)</x:f>
        <x:v>108</x:v>
      </x:c>
      <x:c r="I682" s="35" t="n">
        <x:f>G682*XLOOKUP(E682,'菜品主数据'!$A$5:$A$24,'菜品主数据'!$G$5:$G$24,0)</x:f>
        <x:v>19.055999999999997</x:v>
      </x:c>
    </x:row>
    <x:row r="683">
      <x:c r="A683" s="19" t="str">
        <x:v>2026-07-12|S05|D19</x:v>
      </x:c>
      <x:c r="B683" s="34" t="n">
        <x:v>46215.5</x:v>
      </x:c>
      <x:c r="C683" s="19" t="str">
        <x:v>S05</x:v>
      </x:c>
      <x:c r="D683" s="19" t="str">
        <x:v>同顺街店</x:v>
      </x:c>
      <x:c r="E683" s="19" t="str">
        <x:v>D19</x:v>
      </x:c>
      <x:c r="F683" s="19" t="str">
        <x:v>酸萝卜炒鸡杂</x:v>
      </x:c>
      <x:c r="G683" s="20" t="n">
        <x:f>SUMIFS('7日销售明细'!$K$5:$K$2244,'7日销售明细'!$B$5:$B$2244,B683,'7日销售明细'!$D$5:$D$2244,C683,'7日销售明细'!$H$5:$H$2244,E683)</x:f>
        <x:v>4</x:v>
      </x:c>
      <x:c r="H683" s="35" t="n">
        <x:f>SUMIFS('7日销售明细'!$L$5:$L$2244,'7日销售明细'!$B$5:$B$2244,B683,'7日销售明细'!$D$5:$D$2244,C683,'7日销售明细'!$H$5:$H$2244,E683)</x:f>
        <x:v>100</x:v>
      </x:c>
      <x:c r="I683" s="35" t="n">
        <x:f>G683*XLOOKUP(E683,'菜品主数据'!$A$5:$A$24,'菜品主数据'!$G$5:$G$24,0)</x:f>
        <x:v>31.759999999999998</x:v>
      </x:c>
    </x:row>
    <x:row r="684">
      <x:c r="A684" s="19" t="str">
        <x:v>2026-07-12|S05|D20</x:v>
      </x:c>
      <x:c r="B684" s="34" t="n">
        <x:v>46215.5</x:v>
      </x:c>
      <x:c r="C684" s="19" t="str">
        <x:v>S05</x:v>
      </x:c>
      <x:c r="D684" s="19" t="str">
        <x:v>同顺街店</x:v>
      </x:c>
      <x:c r="E684" s="19" t="str">
        <x:v>D20</x:v>
      </x:c>
      <x:c r="F684" s="19" t="str">
        <x:v>雪菜肉末青豆</x:v>
      </x:c>
      <x:c r="G684" s="20" t="n">
        <x:f>SUMIFS('7日销售明细'!$K$5:$K$2244,'7日销售明细'!$B$5:$B$2244,B684,'7日销售明细'!$D$5:$D$2244,C684,'7日销售明细'!$H$5:$H$2244,E684)</x:f>
        <x:v>6</x:v>
      </x:c>
      <x:c r="H684" s="35" t="n">
        <x:f>SUMIFS('7日销售明细'!$L$5:$L$2244,'7日销售明细'!$B$5:$B$2244,B684,'7日销售明细'!$D$5:$D$2244,C684,'7日销售明细'!$H$5:$H$2244,E684)</x:f>
        <x:v>108</x:v>
      </x:c>
      <x:c r="I684" s="35" t="n">
        <x:f>G684*XLOOKUP(E684,'菜品主数据'!$A$5:$A$24,'菜品主数据'!$G$5:$G$24,0)</x:f>
        <x:v>43.824</x:v>
      </x:c>
    </x:row>
    <x:row r="685">
      <x:c r="A685" s="19" t="str">
        <x:v>2026-07-13|S05|D01</x:v>
      </x:c>
      <x:c r="B685" s="34" t="n">
        <x:v>46216.5</x:v>
      </x:c>
      <x:c r="C685" s="19" t="str">
        <x:v>S05</x:v>
      </x:c>
      <x:c r="D685" s="19" t="str">
        <x:v>同顺街店</x:v>
      </x:c>
      <x:c r="E685" s="19" t="str">
        <x:v>D01</x:v>
      </x:c>
      <x:c r="F685" s="19" t="str">
        <x:v>辣椒炒肉</x:v>
      </x:c>
      <x:c r="G685" s="20" t="n">
        <x:f>SUMIFS('7日销售明细'!$K$5:$K$2244,'7日销售明细'!$B$5:$B$2244,B685,'7日销售明细'!$D$5:$D$2244,C685,'7日销售明细'!$H$5:$H$2244,E685)</x:f>
        <x:v>55</x:v>
      </x:c>
      <x:c r="H685" s="35" t="n">
        <x:f>SUMIFS('7日销售明细'!$L$5:$L$2244,'7日销售明细'!$B$5:$B$2244,B685,'7日销售明细'!$D$5:$D$2244,C685,'7日销售明细'!$H$5:$H$2244,E685)</x:f>
        <x:v>1595</x:v>
      </x:c>
      <x:c r="I685" s="35" t="n">
        <x:f>G685*XLOOKUP(E685,'菜品主数据'!$A$5:$A$24,'菜品主数据'!$G$5:$G$24,0)</x:f>
        <x:v>474.89200000000005</x:v>
      </x:c>
    </x:row>
    <x:row r="686">
      <x:c r="A686" s="19" t="str">
        <x:v>2026-07-13|S05|D02</x:v>
      </x:c>
      <x:c r="B686" s="34" t="n">
        <x:v>46216.5</x:v>
      </x:c>
      <x:c r="C686" s="19" t="str">
        <x:v>S05</x:v>
      </x:c>
      <x:c r="D686" s="19" t="str">
        <x:v>同顺街店</x:v>
      </x:c>
      <x:c r="E686" s="19" t="str">
        <x:v>D02</x:v>
      </x:c>
      <x:c r="F686" s="19" t="str">
        <x:v>小炒黄牛肉</x:v>
      </x:c>
      <x:c r="G686" s="20" t="n">
        <x:f>SUMIFS('7日销售明细'!$K$5:$K$2244,'7日销售明细'!$B$5:$B$2244,B686,'7日销售明细'!$D$5:$D$2244,C686,'7日销售明细'!$H$5:$H$2244,E686)</x:f>
        <x:v>37</x:v>
      </x:c>
      <x:c r="H686" s="35" t="n">
        <x:f>SUMIFS('7日销售明细'!$L$5:$L$2244,'7日销售明细'!$B$5:$B$2244,B686,'7日销售明细'!$D$5:$D$2244,C686,'7日销售明细'!$H$5:$H$2244,E686)</x:f>
        <x:v>1813</x:v>
      </x:c>
      <x:c r="I686" s="35" t="n">
        <x:f>G686*XLOOKUP(E686,'菜品主数据'!$A$5:$A$24,'菜品主数据'!$G$5:$G$24,0)</x:f>
        <x:v>650.349</x:v>
      </x:c>
    </x:row>
    <x:row r="687">
      <x:c r="A687" s="19" t="str">
        <x:v>2026-07-13|S05|D03</x:v>
      </x:c>
      <x:c r="B687" s="34" t="n">
        <x:v>46216.5</x:v>
      </x:c>
      <x:c r="C687" s="19" t="str">
        <x:v>S05</x:v>
      </x:c>
      <x:c r="D687" s="19" t="str">
        <x:v>同顺街店</x:v>
      </x:c>
      <x:c r="E687" s="19" t="str">
        <x:v>D03</x:v>
      </x:c>
      <x:c r="F687" s="19" t="str">
        <x:v>香醋炒蛋</x:v>
      </x:c>
      <x:c r="G687" s="20" t="n">
        <x:f>SUMIFS('7日销售明细'!$K$5:$K$2244,'7日销售明细'!$B$5:$B$2244,B687,'7日销售明细'!$D$5:$D$2244,C687,'7日销售明细'!$H$5:$H$2244,E687)</x:f>
        <x:v>45</x:v>
      </x:c>
      <x:c r="H687" s="35" t="n">
        <x:f>SUMIFS('7日销售明细'!$L$5:$L$2244,'7日销售明细'!$B$5:$B$2244,B687,'7日销售明细'!$D$5:$D$2244,C687,'7日销售明细'!$H$5:$H$2244,E687)</x:f>
        <x:v>670.5</x:v>
      </x:c>
      <x:c r="I687" s="35" t="n">
        <x:f>G687*XLOOKUP(E687,'菜品主数据'!$A$5:$A$24,'菜品主数据'!$G$5:$G$24,0)</x:f>
        <x:v>168.57</x:v>
      </x:c>
    </x:row>
    <x:row r="688">
      <x:c r="A688" s="19" t="str">
        <x:v>2026-07-13|S05|D04</x:v>
      </x:c>
      <x:c r="B688" s="34" t="n">
        <x:v>46216.5</x:v>
      </x:c>
      <x:c r="C688" s="19" t="str">
        <x:v>S05</x:v>
      </x:c>
      <x:c r="D688" s="19" t="str">
        <x:v>同顺街店</x:v>
      </x:c>
      <x:c r="E688" s="19" t="str">
        <x:v>D04</x:v>
      </x:c>
      <x:c r="F688" s="19" t="str">
        <x:v>酸包菜炒粉皮</x:v>
      </x:c>
      <x:c r="G688" s="20" t="n">
        <x:f>SUMIFS('7日销售明细'!$K$5:$K$2244,'7日销售明细'!$B$5:$B$2244,B688,'7日销售明细'!$D$5:$D$2244,C688,'7日销售明细'!$H$5:$H$2244,E688)</x:f>
        <x:v>38</x:v>
      </x:c>
      <x:c r="H688" s="35" t="n">
        <x:f>SUMIFS('7日销售明细'!$L$5:$L$2244,'7日销售明细'!$B$5:$B$2244,B688,'7日销售明细'!$D$5:$D$2244,C688,'7日销售明细'!$H$5:$H$2244,E688)</x:f>
        <x:v>608</x:v>
      </x:c>
      <x:c r="I688" s="35" t="n">
        <x:f>G688*XLOOKUP(E688,'菜品主数据'!$A$5:$A$24,'菜品主数据'!$G$5:$G$24,0)</x:f>
        <x:v>151.16400000000002</x:v>
      </x:c>
    </x:row>
    <x:row r="689">
      <x:c r="A689" s="19" t="str">
        <x:v>2026-07-13|S05|D05</x:v>
      </x:c>
      <x:c r="B689" s="34" t="n">
        <x:v>46216.5</x:v>
      </x:c>
      <x:c r="C689" s="19" t="str">
        <x:v>S05</x:v>
      </x:c>
      <x:c r="D689" s="19" t="str">
        <x:v>同顺街店</x:v>
      </x:c>
      <x:c r="E689" s="19" t="str">
        <x:v>D05</x:v>
      </x:c>
      <x:c r="F689" s="19" t="str">
        <x:v>麻婆豆腐</x:v>
      </x:c>
      <x:c r="G689" s="20" t="n">
        <x:f>SUMIFS('7日销售明细'!$K$5:$K$2244,'7日销售明细'!$B$5:$B$2244,B689,'7日销售明细'!$D$5:$D$2244,C689,'7日销售明细'!$H$5:$H$2244,E689)</x:f>
        <x:v>55</x:v>
      </x:c>
      <x:c r="H689" s="35" t="n">
        <x:f>SUMIFS('7日销售明细'!$L$5:$L$2244,'7日销售明细'!$B$5:$B$2244,B689,'7日销售明细'!$D$5:$D$2244,C689,'7日销售明细'!$H$5:$H$2244,E689)</x:f>
        <x:v>544.5</x:v>
      </x:c>
      <x:c r="I689" s="35" t="n">
        <x:f>G689*XLOOKUP(E689,'菜品主数据'!$A$5:$A$24,'菜品主数据'!$G$5:$G$24,0)</x:f>
        <x:v>295.18500000000006</x:v>
      </x:c>
    </x:row>
    <x:row r="690">
      <x:c r="A690" s="19" t="str">
        <x:v>2026-07-13|S05|D06</x:v>
      </x:c>
      <x:c r="B690" s="34" t="n">
        <x:v>46216.5</x:v>
      </x:c>
      <x:c r="C690" s="19" t="str">
        <x:v>S05</x:v>
      </x:c>
      <x:c r="D690" s="19" t="str">
        <x:v>同顺街店</x:v>
      </x:c>
      <x:c r="E690" s="19" t="str">
        <x:v>D06</x:v>
      </x:c>
      <x:c r="F690" s="19" t="str">
        <x:v>剁椒鱼头</x:v>
      </x:c>
      <x:c r="G690" s="20" t="n">
        <x:f>SUMIFS('7日销售明细'!$K$5:$K$2244,'7日销售明细'!$B$5:$B$2244,B690,'7日销售明细'!$D$5:$D$2244,C690,'7日销售明细'!$H$5:$H$2244,E690)</x:f>
        <x:v>12</x:v>
      </x:c>
      <x:c r="H690" s="35" t="n">
        <x:f>SUMIFS('7日销售明细'!$L$5:$L$2244,'7日销售明细'!$B$5:$B$2244,B690,'7日销售明细'!$D$5:$D$2244,C690,'7日销售明细'!$H$5:$H$2244,E690)</x:f>
        <x:v>468</x:v>
      </x:c>
      <x:c r="I690" s="35" t="n">
        <x:f>G690*XLOOKUP(E690,'菜品主数据'!$A$5:$A$24,'菜品主数据'!$G$5:$G$24,0)</x:f>
        <x:v>209.35200000000003</x:v>
      </x:c>
    </x:row>
    <x:row r="691">
      <x:c r="A691" s="19" t="str">
        <x:v>2026-07-13|S05|D07</x:v>
      </x:c>
      <x:c r="B691" s="34" t="n">
        <x:v>46216.5</x:v>
      </x:c>
      <x:c r="C691" s="19" t="str">
        <x:v>S05</x:v>
      </x:c>
      <x:c r="D691" s="19" t="str">
        <x:v>同顺街店</x:v>
      </x:c>
      <x:c r="E691" s="19" t="str">
        <x:v>D07</x:v>
      </x:c>
      <x:c r="F691" s="19" t="str">
        <x:v>川味回锅肉</x:v>
      </x:c>
      <x:c r="G691" s="20" t="n">
        <x:f>SUMIFS('7日销售明细'!$K$5:$K$2244,'7日销售明细'!$B$5:$B$2244,B691,'7日销售明细'!$D$5:$D$2244,C691,'7日销售明细'!$H$5:$H$2244,E691)</x:f>
        <x:v>16</x:v>
      </x:c>
      <x:c r="H691" s="35" t="n">
        <x:f>SUMIFS('7日销售明细'!$L$5:$L$2244,'7日销售明细'!$B$5:$B$2244,B691,'7日销售明细'!$D$5:$D$2244,C691,'7日销售明细'!$H$5:$H$2244,E691)</x:f>
        <x:v>464</x:v>
      </x:c>
      <x:c r="I691" s="35" t="n">
        <x:f>G691*XLOOKUP(E691,'菜品主数据'!$A$5:$A$24,'菜品主数据'!$G$5:$G$24,0)</x:f>
        <x:v>163.69600000000003</x:v>
      </x:c>
    </x:row>
    <x:row r="692">
      <x:c r="A692" s="19" t="str">
        <x:v>2026-07-13|S05|D08</x:v>
      </x:c>
      <x:c r="B692" s="34" t="n">
        <x:v>46216.5</x:v>
      </x:c>
      <x:c r="C692" s="19" t="str">
        <x:v>S05</x:v>
      </x:c>
      <x:c r="D692" s="19" t="str">
        <x:v>同顺街店</x:v>
      </x:c>
      <x:c r="E692" s="19" t="str">
        <x:v>D08</x:v>
      </x:c>
      <x:c r="F692" s="19" t="str">
        <x:v>生炒清远鸡</x:v>
      </x:c>
      <x:c r="G692" s="20" t="n">
        <x:f>SUMIFS('7日销售明细'!$K$5:$K$2244,'7日销售明细'!$B$5:$B$2244,B692,'7日销售明细'!$D$5:$D$2244,C692,'7日销售明细'!$H$5:$H$2244,E692)</x:f>
        <x:v>13</x:v>
      </x:c>
      <x:c r="H692" s="35" t="n">
        <x:f>SUMIFS('7日销售明细'!$L$5:$L$2244,'7日销售明细'!$B$5:$B$2244,B692,'7日销售明细'!$D$5:$D$2244,C692,'7日销售明细'!$H$5:$H$2244,E692)</x:f>
        <x:v>468</x:v>
      </x:c>
      <x:c r="I692" s="35" t="n">
        <x:f>G692*XLOOKUP(E692,'菜品主数据'!$A$5:$A$24,'菜品主数据'!$G$5:$G$24,0)</x:f>
        <x:v>175.24</x:v>
      </x:c>
    </x:row>
    <x:row r="693">
      <x:c r="A693" s="19" t="str">
        <x:v>2026-07-13|S05|D09</x:v>
      </x:c>
      <x:c r="B693" s="34" t="n">
        <x:v>46216.5</x:v>
      </x:c>
      <x:c r="C693" s="19" t="str">
        <x:v>S05</x:v>
      </x:c>
      <x:c r="D693" s="19" t="str">
        <x:v>同顺街店</x:v>
      </x:c>
      <x:c r="E693" s="19" t="str">
        <x:v>D09</x:v>
      </x:c>
      <x:c r="F693" s="19" t="str">
        <x:v>炒豆干</x:v>
      </x:c>
      <x:c r="G693" s="20" t="n">
        <x:f>SUMIFS('7日销售明细'!$K$5:$K$2244,'7日销售明细'!$B$5:$B$2244,B693,'7日销售明细'!$D$5:$D$2244,C693,'7日销售明细'!$H$5:$H$2244,E693)</x:f>
        <x:v>16</x:v>
      </x:c>
      <x:c r="H693" s="35" t="n">
        <x:f>SUMIFS('7日销售明细'!$L$5:$L$2244,'7日销售明细'!$B$5:$B$2244,B693,'7日销售明细'!$D$5:$D$2244,C693,'7日销售明细'!$H$5:$H$2244,E693)</x:f>
        <x:v>288</x:v>
      </x:c>
      <x:c r="I693" s="35" t="n">
        <x:f>G693*XLOOKUP(E693,'菜品主数据'!$A$5:$A$24,'菜品主数据'!$G$5:$G$24,0)</x:f>
        <x:v>105.82399999999998</x:v>
      </x:c>
    </x:row>
    <x:row r="694">
      <x:c r="A694" s="19" t="str">
        <x:v>2026-07-13|S05|D10</x:v>
      </x:c>
      <x:c r="B694" s="34" t="n">
        <x:v>46216.5</x:v>
      </x:c>
      <x:c r="C694" s="19" t="str">
        <x:v>S05</x:v>
      </x:c>
      <x:c r="D694" s="19" t="str">
        <x:v>同顺街店</x:v>
      </x:c>
      <x:c r="E694" s="19" t="str">
        <x:v>D10</x:v>
      </x:c>
      <x:c r="F694" s="19" t="str">
        <x:v>农家一碗香</x:v>
      </x:c>
      <x:c r="G694" s="20" t="n">
        <x:f>SUMIFS('7日销售明细'!$K$5:$K$2244,'7日销售明细'!$B$5:$B$2244,B694,'7日销售明细'!$D$5:$D$2244,C694,'7日销售明细'!$H$5:$H$2244,E694)</x:f>
        <x:v>19</x:v>
      </x:c>
      <x:c r="H694" s="35" t="n">
        <x:f>SUMIFS('7日销售明细'!$L$5:$L$2244,'7日销售明细'!$B$5:$B$2244,B694,'7日销售明细'!$D$5:$D$2244,C694,'7日销售明细'!$H$5:$H$2244,E694)</x:f>
        <x:v>435.09999999999997</x:v>
      </x:c>
      <x:c r="I694" s="35" t="n">
        <x:f>G694*XLOOKUP(E694,'菜品主数据'!$A$5:$A$24,'菜品主数据'!$G$5:$G$24,0)</x:f>
        <x:v>185.63380000000006</x:v>
      </x:c>
    </x:row>
    <x:row r="695">
      <x:c r="A695" s="19" t="str">
        <x:v>2026-07-13|S05|D11</x:v>
      </x:c>
      <x:c r="B695" s="34" t="n">
        <x:v>46216.5</x:v>
      </x:c>
      <x:c r="C695" s="19" t="str">
        <x:v>S05</x:v>
      </x:c>
      <x:c r="D695" s="19" t="str">
        <x:v>同顺街店</x:v>
      </x:c>
      <x:c r="E695" s="19" t="str">
        <x:v>D11</x:v>
      </x:c>
      <x:c r="F695" s="19" t="str">
        <x:v>香辣爆肥肠</x:v>
      </x:c>
      <x:c r="G695" s="20" t="n">
        <x:f>SUMIFS('7日销售明细'!$K$5:$K$2244,'7日销售明细'!$B$5:$B$2244,B695,'7日销售明细'!$D$5:$D$2244,C695,'7日销售明细'!$H$5:$H$2244,E695)</x:f>
        <x:v>7</x:v>
      </x:c>
      <x:c r="H695" s="35" t="n">
        <x:f>SUMIFS('7日销售明细'!$L$5:$L$2244,'7日销售明细'!$B$5:$B$2244,B695,'7日销售明细'!$D$5:$D$2244,C695,'7日销售明细'!$H$5:$H$2244,E695)</x:f>
        <x:v>273</x:v>
      </x:c>
      <x:c r="I695" s="35" t="n">
        <x:f>G695*XLOOKUP(E695,'菜品主数据'!$A$5:$A$24,'菜品主数据'!$G$5:$G$24,0)</x:f>
        <x:v>72.779</x:v>
      </x:c>
    </x:row>
    <x:row r="696">
      <x:c r="A696" s="19" t="str">
        <x:v>2026-07-13|S05|D12</x:v>
      </x:c>
      <x:c r="B696" s="34" t="n">
        <x:v>46216.5</x:v>
      </x:c>
      <x:c r="C696" s="19" t="str">
        <x:v>S05</x:v>
      </x:c>
      <x:c r="D696" s="19" t="str">
        <x:v>同顺街店</x:v>
      </x:c>
      <x:c r="E696" s="19" t="str">
        <x:v>D12</x:v>
      </x:c>
      <x:c r="F696" s="19" t="str">
        <x:v>清蒸鲈鱼</x:v>
      </x:c>
      <x:c r="G696" s="20" t="n">
        <x:f>SUMIFS('7日销售明细'!$K$5:$K$2244,'7日销售明细'!$B$5:$B$2244,B696,'7日销售明细'!$D$5:$D$2244,C696,'7日销售明细'!$H$5:$H$2244,E696)</x:f>
        <x:v>7</x:v>
      </x:c>
      <x:c r="H696" s="35" t="n">
        <x:f>SUMIFS('7日销售明细'!$L$5:$L$2244,'7日销售明细'!$B$5:$B$2244,B696,'7日销售明细'!$D$5:$D$2244,C696,'7日销售明细'!$H$5:$H$2244,E696)</x:f>
        <x:v>273</x:v>
      </x:c>
      <x:c r="I696" s="35" t="n">
        <x:f>G696*XLOOKUP(E696,'菜品主数据'!$A$5:$A$24,'菜品主数据'!$G$5:$G$24,0)</x:f>
        <x:v>132.118</x:v>
      </x:c>
    </x:row>
    <x:row r="697">
      <x:c r="A697" s="19" t="str">
        <x:v>2026-07-13|S05|D13</x:v>
      </x:c>
      <x:c r="B697" s="34" t="n">
        <x:v>46216.5</x:v>
      </x:c>
      <x:c r="C697" s="19" t="str">
        <x:v>S05</x:v>
      </x:c>
      <x:c r="D697" s="19" t="str">
        <x:v>同顺街店</x:v>
      </x:c>
      <x:c r="E697" s="19" t="str">
        <x:v>D13</x:v>
      </x:c>
      <x:c r="F697" s="19" t="str">
        <x:v>外婆菜炒蛋</x:v>
      </x:c>
      <x:c r="G697" s="20" t="n">
        <x:f>SUMIFS('7日销售明细'!$K$5:$K$2244,'7日销售明细'!$B$5:$B$2244,B697,'7日销售明细'!$D$5:$D$2244,C697,'7日销售明细'!$H$5:$H$2244,E697)</x:f>
        <x:v>17</x:v>
      </x:c>
      <x:c r="H697" s="35" t="n">
        <x:f>SUMIFS('7日销售明细'!$L$5:$L$2244,'7日销售明细'!$B$5:$B$2244,B697,'7日销售明细'!$D$5:$D$2244,C697,'7日销售明细'!$H$5:$H$2244,E697)</x:f>
        <x:v>306</x:v>
      </x:c>
      <x:c r="I697" s="35" t="n">
        <x:f>G697*XLOOKUP(E697,'菜品主数据'!$A$5:$A$24,'菜品主数据'!$G$5:$G$24,0)</x:f>
        <x:v>91.86799999999998</x:v>
      </x:c>
    </x:row>
    <x:row r="698">
      <x:c r="A698" s="19" t="str">
        <x:v>2026-07-13|S05|D14</x:v>
      </x:c>
      <x:c r="B698" s="34" t="n">
        <x:v>46216.5</x:v>
      </x:c>
      <x:c r="C698" s="19" t="str">
        <x:v>S05</x:v>
      </x:c>
      <x:c r="D698" s="19" t="str">
        <x:v>同顺街店</x:v>
      </x:c>
      <x:c r="E698" s="19" t="str">
        <x:v>D14</x:v>
      </x:c>
      <x:c r="F698" s="19" t="str">
        <x:v>酸辣鸡杂</x:v>
      </x:c>
      <x:c r="G698" s="20" t="n">
        <x:f>SUMIFS('7日销售明细'!$K$5:$K$2244,'7日销售明细'!$B$5:$B$2244,B698,'7日销售明细'!$D$5:$D$2244,C698,'7日销售明细'!$H$5:$H$2244,E698)</x:f>
        <x:v>9</x:v>
      </x:c>
      <x:c r="H698" s="35" t="n">
        <x:f>SUMIFS('7日销售明细'!$L$5:$L$2244,'7日销售明细'!$B$5:$B$2244,B698,'7日销售明细'!$D$5:$D$2244,C698,'7日销售明细'!$H$5:$H$2244,E698)</x:f>
        <x:v>252</x:v>
      </x:c>
      <x:c r="I698" s="35" t="n">
        <x:f>G698*XLOOKUP(E698,'菜品主数据'!$A$5:$A$24,'菜品主数据'!$G$5:$G$24,0)</x:f>
        <x:v>74.83500000000001</x:v>
      </x:c>
    </x:row>
    <x:row r="699">
      <x:c r="A699" s="19" t="str">
        <x:v>2026-07-13|S05|D15</x:v>
      </x:c>
      <x:c r="B699" s="34" t="n">
        <x:v>46216.5</x:v>
      </x:c>
      <x:c r="C699" s="19" t="str">
        <x:v>S05</x:v>
      </x:c>
      <x:c r="D699" s="19" t="str">
        <x:v>同顺街店</x:v>
      </x:c>
      <x:c r="E699" s="19" t="str">
        <x:v>D15</x:v>
      </x:c>
      <x:c r="F699" s="19" t="str">
        <x:v>湘西土匪猪肝</x:v>
      </x:c>
      <x:c r="G699" s="20" t="n">
        <x:f>SUMIFS('7日销售明细'!$K$5:$K$2244,'7日销售明细'!$B$5:$B$2244,B699,'7日销售明细'!$D$5:$D$2244,C699,'7日销售明细'!$H$5:$H$2244,E699)</x:f>
        <x:v>7</x:v>
      </x:c>
      <x:c r="H699" s="35" t="n">
        <x:f>SUMIFS('7日销售明细'!$L$5:$L$2244,'7日销售明细'!$B$5:$B$2244,B699,'7日销售明细'!$D$5:$D$2244,C699,'7日销售明细'!$H$5:$H$2244,E699)</x:f>
        <x:v>182</x:v>
      </x:c>
      <x:c r="I699" s="35" t="n">
        <x:f>G699*XLOOKUP(E699,'菜品主数据'!$A$5:$A$24,'菜品主数据'!$G$5:$G$24,0)</x:f>
        <x:v>44.632</x:v>
      </x:c>
    </x:row>
    <x:row r="700">
      <x:c r="A700" s="19" t="str">
        <x:v>2026-07-13|S05|D16</x:v>
      </x:c>
      <x:c r="B700" s="34" t="n">
        <x:v>46216.5</x:v>
      </x:c>
      <x:c r="C700" s="19" t="str">
        <x:v>S05</x:v>
      </x:c>
      <x:c r="D700" s="19" t="str">
        <x:v>同顺街店</x:v>
      </x:c>
      <x:c r="E700" s="19" t="str">
        <x:v>D16</x:v>
      </x:c>
      <x:c r="F700" s="19" t="str">
        <x:v>小豆角炒五花</x:v>
      </x:c>
      <x:c r="G700" s="20" t="n">
        <x:f>SUMIFS('7日销售明细'!$K$5:$K$2244,'7日销售明细'!$B$5:$B$2244,B700,'7日销售明细'!$D$5:$D$2244,C700,'7日销售明细'!$H$5:$H$2244,E700)</x:f>
        <x:v>8</x:v>
      </x:c>
      <x:c r="H700" s="35" t="n">
        <x:f>SUMIFS('7日销售明细'!$L$5:$L$2244,'7日销售明细'!$B$5:$B$2244,B700,'7日销售明细'!$D$5:$D$2244,C700,'7日销售明细'!$H$5:$H$2244,E700)</x:f>
        <x:v>200</x:v>
      </x:c>
      <x:c r="I700" s="35" t="n">
        <x:f>G700*XLOOKUP(E700,'菜品主数据'!$A$5:$A$24,'菜品主数据'!$G$5:$G$24,0)</x:f>
        <x:v>65.472</x:v>
      </x:c>
    </x:row>
    <x:row r="701">
      <x:c r="A701" s="19" t="str">
        <x:v>2026-07-13|S05|D17</x:v>
      </x:c>
      <x:c r="B701" s="34" t="n">
        <x:v>46216.5</x:v>
      </x:c>
      <x:c r="C701" s="19" t="str">
        <x:v>S05</x:v>
      </x:c>
      <x:c r="D701" s="19" t="str">
        <x:v>同顺街店</x:v>
      </x:c>
      <x:c r="E701" s="19" t="str">
        <x:v>D17</x:v>
      </x:c>
      <x:c r="F701" s="19" t="str">
        <x:v>蒜蓉粉丝虾</x:v>
      </x:c>
      <x:c r="G701" s="20" t="n">
        <x:f>SUMIFS('7日销售明细'!$K$5:$K$2244,'7日销售明细'!$B$5:$B$2244,B701,'7日销售明细'!$D$5:$D$2244,C701,'7日销售明细'!$H$5:$H$2244,E701)</x:f>
        <x:v>5</x:v>
      </x:c>
      <x:c r="H701" s="35" t="n">
        <x:f>SUMIFS('7日销售明细'!$L$5:$L$2244,'7日销售明细'!$B$5:$B$2244,B701,'7日销售明细'!$D$5:$D$2244,C701,'7日销售明细'!$H$5:$H$2244,E701)</x:f>
        <x:v>180</x:v>
      </x:c>
      <x:c r="I701" s="35" t="n">
        <x:f>G701*XLOOKUP(E701,'菜品主数据'!$A$5:$A$24,'菜品主数据'!$G$5:$G$24,0)</x:f>
        <x:v>67.97</x:v>
      </x:c>
    </x:row>
    <x:row r="702">
      <x:c r="A702" s="19" t="str">
        <x:v>2026-07-13|S05|D18</x:v>
      </x:c>
      <x:c r="B702" s="34" t="n">
        <x:v>46216.5</x:v>
      </x:c>
      <x:c r="C702" s="19" t="str">
        <x:v>S05</x:v>
      </x:c>
      <x:c r="D702" s="19" t="str">
        <x:v>同顺街店</x:v>
      </x:c>
      <x:c r="E702" s="19" t="str">
        <x:v>D18</x:v>
      </x:c>
      <x:c r="F702" s="19" t="str">
        <x:v>青椒炒油麦菜</x:v>
      </x:c>
      <x:c r="G702" s="20" t="n">
        <x:f>SUMIFS('7日销售明细'!$K$5:$K$2244,'7日销售明细'!$B$5:$B$2244,B702,'7日销售明细'!$D$5:$D$2244,C702,'7日销售明细'!$H$5:$H$2244,E702)</x:f>
        <x:v>10</x:v>
      </x:c>
      <x:c r="H702" s="35" t="n">
        <x:f>SUMIFS('7日销售明细'!$L$5:$L$2244,'7日销售明细'!$B$5:$B$2244,B702,'7日销售明细'!$D$5:$D$2244,C702,'7日销售明细'!$H$5:$H$2244,E702)</x:f>
        <x:v>180</x:v>
      </x:c>
      <x:c r="I702" s="35" t="n">
        <x:f>G702*XLOOKUP(E702,'菜品主数据'!$A$5:$A$24,'菜品主数据'!$G$5:$G$24,0)</x:f>
        <x:v>31.75999999999999</x:v>
      </x:c>
    </x:row>
    <x:row r="703">
      <x:c r="A703" s="19" t="str">
        <x:v>2026-07-13|S05|D19</x:v>
      </x:c>
      <x:c r="B703" s="34" t="n">
        <x:v>46216.5</x:v>
      </x:c>
      <x:c r="C703" s="19" t="str">
        <x:v>S05</x:v>
      </x:c>
      <x:c r="D703" s="19" t="str">
        <x:v>同顺街店</x:v>
      </x:c>
      <x:c r="E703" s="19" t="str">
        <x:v>D19</x:v>
      </x:c>
      <x:c r="F703" s="19" t="str">
        <x:v>酸萝卜炒鸡杂</x:v>
      </x:c>
      <x:c r="G703" s="20" t="n">
        <x:f>SUMIFS('7日销售明细'!$K$5:$K$2244,'7日销售明细'!$B$5:$B$2244,B703,'7日销售明细'!$D$5:$D$2244,C703,'7日销售明细'!$H$5:$H$2244,E703)</x:f>
        <x:v>6</x:v>
      </x:c>
      <x:c r="H703" s="35" t="n">
        <x:f>SUMIFS('7日销售明细'!$L$5:$L$2244,'7日销售明细'!$B$5:$B$2244,B703,'7日销售明细'!$D$5:$D$2244,C703,'7日销售明细'!$H$5:$H$2244,E703)</x:f>
        <x:v>150</x:v>
      </x:c>
      <x:c r="I703" s="35" t="n">
        <x:f>G703*XLOOKUP(E703,'菜品主数据'!$A$5:$A$24,'菜品主数据'!$G$5:$G$24,0)</x:f>
        <x:v>47.64</x:v>
      </x:c>
    </x:row>
    <x:row r="704">
      <x:c r="A704" s="19" t="str">
        <x:v>2026-07-13|S05|D20</x:v>
      </x:c>
      <x:c r="B704" s="34" t="n">
        <x:v>46216.5</x:v>
      </x:c>
      <x:c r="C704" s="19" t="str">
        <x:v>S05</x:v>
      </x:c>
      <x:c r="D704" s="19" t="str">
        <x:v>同顺街店</x:v>
      </x:c>
      <x:c r="E704" s="19" t="str">
        <x:v>D20</x:v>
      </x:c>
      <x:c r="F704" s="19" t="str">
        <x:v>雪菜肉末青豆</x:v>
      </x:c>
      <x:c r="G704" s="20" t="n">
        <x:f>SUMIFS('7日销售明细'!$K$5:$K$2244,'7日销售明细'!$B$5:$B$2244,B704,'7日销售明细'!$D$5:$D$2244,C704,'7日销售明细'!$H$5:$H$2244,E704)</x:f>
        <x:v>9</x:v>
      </x:c>
      <x:c r="H704" s="35" t="n">
        <x:f>SUMIFS('7日销售明细'!$L$5:$L$2244,'7日销售明细'!$B$5:$B$2244,B704,'7日销售明细'!$D$5:$D$2244,C704,'7日销售明细'!$H$5:$H$2244,E704)</x:f>
        <x:v>162</x:v>
      </x:c>
      <x:c r="I704" s="35" t="n">
        <x:f>G704*XLOOKUP(E704,'菜品主数据'!$A$5:$A$24,'菜品主数据'!$G$5:$G$24,0)</x:f>
        <x:v>65.73599999999999</x:v>
      </x:c>
    </x:row>
    <x:row r="705">
      <x:c r="A705" s="19" t="str">
        <x:v>2026-07-07|S06|D01</x:v>
      </x:c>
      <x:c r="B705" s="34" t="n">
        <x:v>46210.5</x:v>
      </x:c>
      <x:c r="C705" s="19" t="str">
        <x:v>S06</x:v>
      </x:c>
      <x:c r="D705" s="19" t="str">
        <x:v>蓝钻天城店</x:v>
      </x:c>
      <x:c r="E705" s="19" t="str">
        <x:v>D01</x:v>
      </x:c>
      <x:c r="F705" s="19" t="str">
        <x:v>辣椒炒肉</x:v>
      </x:c>
      <x:c r="G705" s="20" t="n">
        <x:f>SUMIFS('7日销售明细'!$K$5:$K$2244,'7日销售明细'!$B$5:$B$2244,B705,'7日销售明细'!$D$5:$D$2244,C705,'7日销售明细'!$H$5:$H$2244,E705)</x:f>
        <x:v>49</x:v>
      </x:c>
      <x:c r="H705" s="35" t="n">
        <x:f>SUMIFS('7日销售明细'!$L$5:$L$2244,'7日销售明细'!$B$5:$B$2244,B705,'7日销售明细'!$D$5:$D$2244,C705,'7日销售明细'!$H$5:$H$2244,E705)</x:f>
        <x:v>1421</x:v>
      </x:c>
      <x:c r="I705" s="35" t="n">
        <x:f>G705*XLOOKUP(E705,'菜品主数据'!$A$5:$A$24,'菜品主数据'!$G$5:$G$24,0)</x:f>
        <x:v>423.08560000000006</x:v>
      </x:c>
    </x:row>
    <x:row r="706">
      <x:c r="A706" s="19" t="str">
        <x:v>2026-07-07|S06|D02</x:v>
      </x:c>
      <x:c r="B706" s="34" t="n">
        <x:v>46210.5</x:v>
      </x:c>
      <x:c r="C706" s="19" t="str">
        <x:v>S06</x:v>
      </x:c>
      <x:c r="D706" s="19" t="str">
        <x:v>蓝钻天城店</x:v>
      </x:c>
      <x:c r="E706" s="19" t="str">
        <x:v>D02</x:v>
      </x:c>
      <x:c r="F706" s="19" t="str">
        <x:v>小炒黄牛肉</x:v>
      </x:c>
      <x:c r="G706" s="20" t="n">
        <x:f>SUMIFS('7日销售明细'!$K$5:$K$2244,'7日销售明细'!$B$5:$B$2244,B706,'7日销售明细'!$D$5:$D$2244,C706,'7日销售明细'!$H$5:$H$2244,E706)</x:f>
        <x:v>33</x:v>
      </x:c>
      <x:c r="H706" s="35" t="n">
        <x:f>SUMIFS('7日销售明细'!$L$5:$L$2244,'7日销售明细'!$B$5:$B$2244,B706,'7日销售明细'!$D$5:$D$2244,C706,'7日销售明细'!$H$5:$H$2244,E706)</x:f>
        <x:v>1617</x:v>
      </x:c>
      <x:c r="I706" s="35" t="n">
        <x:f>G706*XLOOKUP(E706,'菜品主数据'!$A$5:$A$24,'菜品主数据'!$G$5:$G$24,0)</x:f>
        <x:v>580.041</x:v>
      </x:c>
    </x:row>
    <x:row r="707">
      <x:c r="A707" s="19" t="str">
        <x:v>2026-07-07|S06|D03</x:v>
      </x:c>
      <x:c r="B707" s="34" t="n">
        <x:v>46210.5</x:v>
      </x:c>
      <x:c r="C707" s="19" t="str">
        <x:v>S06</x:v>
      </x:c>
      <x:c r="D707" s="19" t="str">
        <x:v>蓝钻天城店</x:v>
      </x:c>
      <x:c r="E707" s="19" t="str">
        <x:v>D03</x:v>
      </x:c>
      <x:c r="F707" s="19" t="str">
        <x:v>香醋炒蛋</x:v>
      </x:c>
      <x:c r="G707" s="20" t="n">
        <x:f>SUMIFS('7日销售明细'!$K$5:$K$2244,'7日销售明细'!$B$5:$B$2244,B707,'7日销售明细'!$D$5:$D$2244,C707,'7日销售明细'!$H$5:$H$2244,E707)</x:f>
        <x:v>37</x:v>
      </x:c>
      <x:c r="H707" s="35" t="n">
        <x:f>SUMIFS('7日销售明细'!$L$5:$L$2244,'7日销售明细'!$B$5:$B$2244,B707,'7日销售明细'!$D$5:$D$2244,C707,'7日销售明细'!$H$5:$H$2244,E707)</x:f>
        <x:v>551.3</x:v>
      </x:c>
      <x:c r="I707" s="35" t="n">
        <x:f>G707*XLOOKUP(E707,'菜品主数据'!$A$5:$A$24,'菜品主数据'!$G$5:$G$24,0)</x:f>
        <x:v>138.60199999999998</x:v>
      </x:c>
    </x:row>
    <x:row r="708">
      <x:c r="A708" s="19" t="str">
        <x:v>2026-07-07|S06|D04</x:v>
      </x:c>
      <x:c r="B708" s="34" t="n">
        <x:v>46210.5</x:v>
      </x:c>
      <x:c r="C708" s="19" t="str">
        <x:v>S06</x:v>
      </x:c>
      <x:c r="D708" s="19" t="str">
        <x:v>蓝钻天城店</x:v>
      </x:c>
      <x:c r="E708" s="19" t="str">
        <x:v>D04</x:v>
      </x:c>
      <x:c r="F708" s="19" t="str">
        <x:v>酸包菜炒粉皮</x:v>
      </x:c>
      <x:c r="G708" s="20" t="n">
        <x:f>SUMIFS('7日销售明细'!$K$5:$K$2244,'7日销售明细'!$B$5:$B$2244,B708,'7日销售明细'!$D$5:$D$2244,C708,'7日销售明细'!$H$5:$H$2244,E708)</x:f>
        <x:v>33</x:v>
      </x:c>
      <x:c r="H708" s="35" t="n">
        <x:f>SUMIFS('7日销售明细'!$L$5:$L$2244,'7日销售明细'!$B$5:$B$2244,B708,'7日销售明细'!$D$5:$D$2244,C708,'7日销售明细'!$H$5:$H$2244,E708)</x:f>
        <x:v>528</x:v>
      </x:c>
      <x:c r="I708" s="35" t="n">
        <x:f>G708*XLOOKUP(E708,'菜品主数据'!$A$5:$A$24,'菜品主数据'!$G$5:$G$24,0)</x:f>
        <x:v>131.274</x:v>
      </x:c>
    </x:row>
    <x:row r="709">
      <x:c r="A709" s="19" t="str">
        <x:v>2026-07-07|S06|D05</x:v>
      </x:c>
      <x:c r="B709" s="34" t="n">
        <x:v>46210.5</x:v>
      </x:c>
      <x:c r="C709" s="19" t="str">
        <x:v>S06</x:v>
      </x:c>
      <x:c r="D709" s="19" t="str">
        <x:v>蓝钻天城店</x:v>
      </x:c>
      <x:c r="E709" s="19" t="str">
        <x:v>D05</x:v>
      </x:c>
      <x:c r="F709" s="19" t="str">
        <x:v>麻婆豆腐</x:v>
      </x:c>
      <x:c r="G709" s="20" t="n">
        <x:f>SUMIFS('7日销售明细'!$K$5:$K$2244,'7日销售明细'!$B$5:$B$2244,B709,'7日销售明细'!$D$5:$D$2244,C709,'7日销售明细'!$H$5:$H$2244,E709)</x:f>
        <x:v>53</x:v>
      </x:c>
      <x:c r="H709" s="35" t="n">
        <x:f>SUMIFS('7日销售明细'!$L$5:$L$2244,'7日销售明细'!$B$5:$B$2244,B709,'7日销售明细'!$D$5:$D$2244,C709,'7日销售明细'!$H$5:$H$2244,E709)</x:f>
        <x:v>524.7</x:v>
      </x:c>
      <x:c r="I709" s="35" t="n">
        <x:f>G709*XLOOKUP(E709,'菜品主数据'!$A$5:$A$24,'菜品主数据'!$G$5:$G$24,0)</x:f>
        <x:v>284.451</x:v>
      </x:c>
    </x:row>
    <x:row r="710">
      <x:c r="A710" s="19" t="str">
        <x:v>2026-07-07|S06|D06</x:v>
      </x:c>
      <x:c r="B710" s="34" t="n">
        <x:v>46210.5</x:v>
      </x:c>
      <x:c r="C710" s="19" t="str">
        <x:v>S06</x:v>
      </x:c>
      <x:c r="D710" s="19" t="str">
        <x:v>蓝钻天城店</x:v>
      </x:c>
      <x:c r="E710" s="19" t="str">
        <x:v>D06</x:v>
      </x:c>
      <x:c r="F710" s="19" t="str">
        <x:v>剁椒鱼头</x:v>
      </x:c>
      <x:c r="G710" s="20" t="n">
        <x:f>SUMIFS('7日销售明细'!$K$5:$K$2244,'7日销售明细'!$B$5:$B$2244,B710,'7日销售明细'!$D$5:$D$2244,C710,'7日销售明细'!$H$5:$H$2244,E710)</x:f>
        <x:v>12</x:v>
      </x:c>
      <x:c r="H710" s="35" t="n">
        <x:f>SUMIFS('7日销售明细'!$L$5:$L$2244,'7日销售明细'!$B$5:$B$2244,B710,'7日销售明细'!$D$5:$D$2244,C710,'7日销售明细'!$H$5:$H$2244,E710)</x:f>
        <x:v>468</x:v>
      </x:c>
      <x:c r="I710" s="35" t="n">
        <x:f>G710*XLOOKUP(E710,'菜品主数据'!$A$5:$A$24,'菜品主数据'!$G$5:$G$24,0)</x:f>
        <x:v>209.35200000000003</x:v>
      </x:c>
    </x:row>
    <x:row r="711">
      <x:c r="A711" s="19" t="str">
        <x:v>2026-07-07|S06|D07</x:v>
      </x:c>
      <x:c r="B711" s="34" t="n">
        <x:v>46210.5</x:v>
      </x:c>
      <x:c r="C711" s="19" t="str">
        <x:v>S06</x:v>
      </x:c>
      <x:c r="D711" s="19" t="str">
        <x:v>蓝钻天城店</x:v>
      </x:c>
      <x:c r="E711" s="19" t="str">
        <x:v>D07</x:v>
      </x:c>
      <x:c r="F711" s="19" t="str">
        <x:v>川味回锅肉</x:v>
      </x:c>
      <x:c r="G711" s="20" t="n">
        <x:f>SUMIFS('7日销售明细'!$K$5:$K$2244,'7日销售明细'!$B$5:$B$2244,B711,'7日销售明细'!$D$5:$D$2244,C711,'7日销售明细'!$H$5:$H$2244,E711)</x:f>
        <x:v>15</x:v>
      </x:c>
      <x:c r="H711" s="35" t="n">
        <x:f>SUMIFS('7日销售明细'!$L$5:$L$2244,'7日销售明细'!$B$5:$B$2244,B711,'7日销售明细'!$D$5:$D$2244,C711,'7日销售明细'!$H$5:$H$2244,E711)</x:f>
        <x:v>435</x:v>
      </x:c>
      <x:c r="I711" s="35" t="n">
        <x:f>G711*XLOOKUP(E711,'菜品主数据'!$A$5:$A$24,'菜品主数据'!$G$5:$G$24,0)</x:f>
        <x:v>153.46500000000003</x:v>
      </x:c>
    </x:row>
    <x:row r="712">
      <x:c r="A712" s="19" t="str">
        <x:v>2026-07-07|S06|D08</x:v>
      </x:c>
      <x:c r="B712" s="34" t="n">
        <x:v>46210.5</x:v>
      </x:c>
      <x:c r="C712" s="19" t="str">
        <x:v>S06</x:v>
      </x:c>
      <x:c r="D712" s="19" t="str">
        <x:v>蓝钻天城店</x:v>
      </x:c>
      <x:c r="E712" s="19" t="str">
        <x:v>D08</x:v>
      </x:c>
      <x:c r="F712" s="19" t="str">
        <x:v>生炒清远鸡</x:v>
      </x:c>
      <x:c r="G712" s="20" t="n">
        <x:f>SUMIFS('7日销售明细'!$K$5:$K$2244,'7日销售明细'!$B$5:$B$2244,B712,'7日销售明细'!$D$5:$D$2244,C712,'7日销售明细'!$H$5:$H$2244,E712)</x:f>
        <x:v>12</x:v>
      </x:c>
      <x:c r="H712" s="35" t="n">
        <x:f>SUMIFS('7日销售明细'!$L$5:$L$2244,'7日销售明细'!$B$5:$B$2244,B712,'7日销售明细'!$D$5:$D$2244,C712,'7日销售明细'!$H$5:$H$2244,E712)</x:f>
        <x:v>432</x:v>
      </x:c>
      <x:c r="I712" s="35" t="n">
        <x:f>G712*XLOOKUP(E712,'菜品主数据'!$A$5:$A$24,'菜品主数据'!$G$5:$G$24,0)</x:f>
        <x:v>161.76</x:v>
      </x:c>
    </x:row>
    <x:row r="713">
      <x:c r="A713" s="19" t="str">
        <x:v>2026-07-07|S06|D09</x:v>
      </x:c>
      <x:c r="B713" s="34" t="n">
        <x:v>46210.5</x:v>
      </x:c>
      <x:c r="C713" s="19" t="str">
        <x:v>S06</x:v>
      </x:c>
      <x:c r="D713" s="19" t="str">
        <x:v>蓝钻天城店</x:v>
      </x:c>
      <x:c r="E713" s="19" t="str">
        <x:v>D09</x:v>
      </x:c>
      <x:c r="F713" s="19" t="str">
        <x:v>炒豆干</x:v>
      </x:c>
      <x:c r="G713" s="20" t="n">
        <x:f>SUMIFS('7日销售明细'!$K$5:$K$2244,'7日销售明细'!$B$5:$B$2244,B713,'7日销售明细'!$D$5:$D$2244,C713,'7日销售明细'!$H$5:$H$2244,E713)</x:f>
        <x:v>15</x:v>
      </x:c>
      <x:c r="H713" s="35" t="n">
        <x:f>SUMIFS('7日销售明细'!$L$5:$L$2244,'7日销售明细'!$B$5:$B$2244,B713,'7日销售明细'!$D$5:$D$2244,C713,'7日销售明细'!$H$5:$H$2244,E713)</x:f>
        <x:v>270</x:v>
      </x:c>
      <x:c r="I713" s="35" t="n">
        <x:f>G713*XLOOKUP(E713,'菜品主数据'!$A$5:$A$24,'菜品主数据'!$G$5:$G$24,0)</x:f>
        <x:v>99.20999999999998</x:v>
      </x:c>
    </x:row>
    <x:row r="714">
      <x:c r="A714" s="19" t="str">
        <x:v>2026-07-07|S06|D10</x:v>
      </x:c>
      <x:c r="B714" s="34" t="n">
        <x:v>46210.5</x:v>
      </x:c>
      <x:c r="C714" s="19" t="str">
        <x:v>S06</x:v>
      </x:c>
      <x:c r="D714" s="19" t="str">
        <x:v>蓝钻天城店</x:v>
      </x:c>
      <x:c r="E714" s="19" t="str">
        <x:v>D10</x:v>
      </x:c>
      <x:c r="F714" s="19" t="str">
        <x:v>农家一碗香</x:v>
      </x:c>
      <x:c r="G714" s="20" t="n">
        <x:f>SUMIFS('7日销售明细'!$K$5:$K$2244,'7日销售明细'!$B$5:$B$2244,B714,'7日销售明细'!$D$5:$D$2244,C714,'7日销售明细'!$H$5:$H$2244,E714)</x:f>
        <x:v>18</x:v>
      </x:c>
      <x:c r="H714" s="35" t="n">
        <x:f>SUMIFS('7日销售明细'!$L$5:$L$2244,'7日销售明细'!$B$5:$B$2244,B714,'7日销售明细'!$D$5:$D$2244,C714,'7日销售明细'!$H$5:$H$2244,E714)</x:f>
        <x:v>412.19999999999993</x:v>
      </x:c>
      <x:c r="I714" s="35" t="n">
        <x:f>G714*XLOOKUP(E714,'菜品主数据'!$A$5:$A$24,'菜品主数据'!$G$5:$G$24,0)</x:f>
        <x:v>175.86360000000005</x:v>
      </x:c>
    </x:row>
    <x:row r="715">
      <x:c r="A715" s="19" t="str">
        <x:v>2026-07-07|S06|D11</x:v>
      </x:c>
      <x:c r="B715" s="34" t="n">
        <x:v>46210.5</x:v>
      </x:c>
      <x:c r="C715" s="19" t="str">
        <x:v>S06</x:v>
      </x:c>
      <x:c r="D715" s="19" t="str">
        <x:v>蓝钻天城店</x:v>
      </x:c>
      <x:c r="E715" s="19" t="str">
        <x:v>D11</x:v>
      </x:c>
      <x:c r="F715" s="19" t="str">
        <x:v>香辣爆肥肠</x:v>
      </x:c>
      <x:c r="G715" s="20" t="n">
        <x:f>SUMIFS('7日销售明细'!$K$5:$K$2244,'7日销售明细'!$B$5:$B$2244,B715,'7日销售明细'!$D$5:$D$2244,C715,'7日销售明细'!$H$5:$H$2244,E715)</x:f>
        <x:v>7</x:v>
      </x:c>
      <x:c r="H715" s="35" t="n">
        <x:f>SUMIFS('7日销售明细'!$L$5:$L$2244,'7日销售明细'!$B$5:$B$2244,B715,'7日销售明细'!$D$5:$D$2244,C715,'7日销售明细'!$H$5:$H$2244,E715)</x:f>
        <x:v>273</x:v>
      </x:c>
      <x:c r="I715" s="35" t="n">
        <x:f>G715*XLOOKUP(E715,'菜品主数据'!$A$5:$A$24,'菜品主数据'!$G$5:$G$24,0)</x:f>
        <x:v>72.779</x:v>
      </x:c>
    </x:row>
    <x:row r="716">
      <x:c r="A716" s="19" t="str">
        <x:v>2026-07-07|S06|D12</x:v>
      </x:c>
      <x:c r="B716" s="34" t="n">
        <x:v>46210.5</x:v>
      </x:c>
      <x:c r="C716" s="19" t="str">
        <x:v>S06</x:v>
      </x:c>
      <x:c r="D716" s="19" t="str">
        <x:v>蓝钻天城店</x:v>
      </x:c>
      <x:c r="E716" s="19" t="str">
        <x:v>D12</x:v>
      </x:c>
      <x:c r="F716" s="19" t="str">
        <x:v>清蒸鲈鱼</x:v>
      </x:c>
      <x:c r="G716" s="20" t="n">
        <x:f>SUMIFS('7日销售明细'!$K$5:$K$2244,'7日销售明细'!$B$5:$B$2244,B716,'7日销售明细'!$D$5:$D$2244,C716,'7日销售明细'!$H$5:$H$2244,E716)</x:f>
        <x:v>7</x:v>
      </x:c>
      <x:c r="H716" s="35" t="n">
        <x:f>SUMIFS('7日销售明细'!$L$5:$L$2244,'7日销售明细'!$B$5:$B$2244,B716,'7日销售明细'!$D$5:$D$2244,C716,'7日销售明细'!$H$5:$H$2244,E716)</x:f>
        <x:v>273</x:v>
      </x:c>
      <x:c r="I716" s="35" t="n">
        <x:f>G716*XLOOKUP(E716,'菜品主数据'!$A$5:$A$24,'菜品主数据'!$G$5:$G$24,0)</x:f>
        <x:v>132.118</x:v>
      </x:c>
    </x:row>
    <x:row r="717">
      <x:c r="A717" s="19" t="str">
        <x:v>2026-07-07|S06|D13</x:v>
      </x:c>
      <x:c r="B717" s="34" t="n">
        <x:v>46210.5</x:v>
      </x:c>
      <x:c r="C717" s="19" t="str">
        <x:v>S06</x:v>
      </x:c>
      <x:c r="D717" s="19" t="str">
        <x:v>蓝钻天城店</x:v>
      </x:c>
      <x:c r="E717" s="19" t="str">
        <x:v>D13</x:v>
      </x:c>
      <x:c r="F717" s="19" t="str">
        <x:v>外婆菜炒蛋</x:v>
      </x:c>
      <x:c r="G717" s="20" t="n">
        <x:f>SUMIFS('7日销售明细'!$K$5:$K$2244,'7日销售明细'!$B$5:$B$2244,B717,'7日销售明细'!$D$5:$D$2244,C717,'7日销售明细'!$H$5:$H$2244,E717)</x:f>
        <x:v>15</x:v>
      </x:c>
      <x:c r="H717" s="35" t="n">
        <x:f>SUMIFS('7日销售明细'!$L$5:$L$2244,'7日销售明细'!$B$5:$B$2244,B717,'7日销售明细'!$D$5:$D$2244,C717,'7日销售明细'!$H$5:$H$2244,E717)</x:f>
        <x:v>270</x:v>
      </x:c>
      <x:c r="I717" s="35" t="n">
        <x:f>G717*XLOOKUP(E717,'菜品主数据'!$A$5:$A$24,'菜品主数据'!$G$5:$G$24,0)</x:f>
        <x:v>81.05999999999999</x:v>
      </x:c>
    </x:row>
    <x:row r="718">
      <x:c r="A718" s="19" t="str">
        <x:v>2026-07-07|S06|D14</x:v>
      </x:c>
      <x:c r="B718" s="34" t="n">
        <x:v>46210.5</x:v>
      </x:c>
      <x:c r="C718" s="19" t="str">
        <x:v>S06</x:v>
      </x:c>
      <x:c r="D718" s="19" t="str">
        <x:v>蓝钻天城店</x:v>
      </x:c>
      <x:c r="E718" s="19" t="str">
        <x:v>D14</x:v>
      </x:c>
      <x:c r="F718" s="19" t="str">
        <x:v>酸辣鸡杂</x:v>
      </x:c>
      <x:c r="G718" s="20" t="n">
        <x:f>SUMIFS('7日销售明细'!$K$5:$K$2244,'7日销售明细'!$B$5:$B$2244,B718,'7日销售明细'!$D$5:$D$2244,C718,'7日销售明细'!$H$5:$H$2244,E718)</x:f>
        <x:v>8</x:v>
      </x:c>
      <x:c r="H718" s="35" t="n">
        <x:f>SUMIFS('7日销售明细'!$L$5:$L$2244,'7日销售明细'!$B$5:$B$2244,B718,'7日销售明细'!$D$5:$D$2244,C718,'7日销售明细'!$H$5:$H$2244,E718)</x:f>
        <x:v>224</x:v>
      </x:c>
      <x:c r="I718" s="35" t="n">
        <x:f>G718*XLOOKUP(E718,'菜品主数据'!$A$5:$A$24,'菜品主数据'!$G$5:$G$24,0)</x:f>
        <x:v>66.52000000000001</x:v>
      </x:c>
    </x:row>
    <x:row r="719">
      <x:c r="A719" s="19" t="str">
        <x:v>2026-07-07|S06|D15</x:v>
      </x:c>
      <x:c r="B719" s="34" t="n">
        <x:v>46210.5</x:v>
      </x:c>
      <x:c r="C719" s="19" t="str">
        <x:v>S06</x:v>
      </x:c>
      <x:c r="D719" s="19" t="str">
        <x:v>蓝钻天城店</x:v>
      </x:c>
      <x:c r="E719" s="19" t="str">
        <x:v>D15</x:v>
      </x:c>
      <x:c r="F719" s="19" t="str">
        <x:v>湘西土匪猪肝</x:v>
      </x:c>
      <x:c r="G719" s="20" t="n">
        <x:f>SUMIFS('7日销售明细'!$K$5:$K$2244,'7日销售明细'!$B$5:$B$2244,B719,'7日销售明细'!$D$5:$D$2244,C719,'7日销售明细'!$H$5:$H$2244,E719)</x:f>
        <x:v>7</x:v>
      </x:c>
      <x:c r="H719" s="35" t="n">
        <x:f>SUMIFS('7日销售明细'!$L$5:$L$2244,'7日销售明细'!$B$5:$B$2244,B719,'7日销售明细'!$D$5:$D$2244,C719,'7日销售明细'!$H$5:$H$2244,E719)</x:f>
        <x:v>182</x:v>
      </x:c>
      <x:c r="I719" s="35" t="n">
        <x:f>G719*XLOOKUP(E719,'菜品主数据'!$A$5:$A$24,'菜品主数据'!$G$5:$G$24,0)</x:f>
        <x:v>44.632</x:v>
      </x:c>
    </x:row>
    <x:row r="720">
      <x:c r="A720" s="19" t="str">
        <x:v>2026-07-07|S06|D16</x:v>
      </x:c>
      <x:c r="B720" s="34" t="n">
        <x:v>46210.5</x:v>
      </x:c>
      <x:c r="C720" s="19" t="str">
        <x:v>S06</x:v>
      </x:c>
      <x:c r="D720" s="19" t="str">
        <x:v>蓝钻天城店</x:v>
      </x:c>
      <x:c r="E720" s="19" t="str">
        <x:v>D16</x:v>
      </x:c>
      <x:c r="F720" s="19" t="str">
        <x:v>小豆角炒五花</x:v>
      </x:c>
      <x:c r="G720" s="20" t="n">
        <x:f>SUMIFS('7日销售明细'!$K$5:$K$2244,'7日销售明细'!$B$5:$B$2244,B720,'7日销售明细'!$D$5:$D$2244,C720,'7日销售明细'!$H$5:$H$2244,E720)</x:f>
        <x:v>7</x:v>
      </x:c>
      <x:c r="H720" s="35" t="n">
        <x:f>SUMIFS('7日销售明细'!$L$5:$L$2244,'7日销售明细'!$B$5:$B$2244,B720,'7日销售明细'!$D$5:$D$2244,C720,'7日销售明细'!$H$5:$H$2244,E720)</x:f>
        <x:v>175</x:v>
      </x:c>
      <x:c r="I720" s="35" t="n">
        <x:f>G720*XLOOKUP(E720,'菜品主数据'!$A$5:$A$24,'菜品主数据'!$G$5:$G$24,0)</x:f>
        <x:v>57.288</x:v>
      </x:c>
    </x:row>
    <x:row r="721">
      <x:c r="A721" s="19" t="str">
        <x:v>2026-07-07|S06|D17</x:v>
      </x:c>
      <x:c r="B721" s="34" t="n">
        <x:v>46210.5</x:v>
      </x:c>
      <x:c r="C721" s="19" t="str">
        <x:v>S06</x:v>
      </x:c>
      <x:c r="D721" s="19" t="str">
        <x:v>蓝钻天城店</x:v>
      </x:c>
      <x:c r="E721" s="19" t="str">
        <x:v>D17</x:v>
      </x:c>
      <x:c r="F721" s="19" t="str">
        <x:v>蒜蓉粉丝虾</x:v>
      </x:c>
      <x:c r="G721" s="20" t="n">
        <x:f>SUMIFS('7日销售明细'!$K$5:$K$2244,'7日销售明细'!$B$5:$B$2244,B721,'7日销售明细'!$D$5:$D$2244,C721,'7日销售明细'!$H$5:$H$2244,E721)</x:f>
        <x:v>5</x:v>
      </x:c>
      <x:c r="H721" s="35" t="n">
        <x:f>SUMIFS('7日销售明细'!$L$5:$L$2244,'7日销售明细'!$B$5:$B$2244,B721,'7日销售明细'!$D$5:$D$2244,C721,'7日销售明细'!$H$5:$H$2244,E721)</x:f>
        <x:v>180</x:v>
      </x:c>
      <x:c r="I721" s="35" t="n">
        <x:f>G721*XLOOKUP(E721,'菜品主数据'!$A$5:$A$24,'菜品主数据'!$G$5:$G$24,0)</x:f>
        <x:v>67.97</x:v>
      </x:c>
    </x:row>
    <x:row r="722">
      <x:c r="A722" s="19" t="str">
        <x:v>2026-07-07|S06|D18</x:v>
      </x:c>
      <x:c r="B722" s="34" t="n">
        <x:v>46210.5</x:v>
      </x:c>
      <x:c r="C722" s="19" t="str">
        <x:v>S06</x:v>
      </x:c>
      <x:c r="D722" s="19" t="str">
        <x:v>蓝钻天城店</x:v>
      </x:c>
      <x:c r="E722" s="19" t="str">
        <x:v>D18</x:v>
      </x:c>
      <x:c r="F722" s="19" t="str">
        <x:v>青椒炒油麦菜</x:v>
      </x:c>
      <x:c r="G722" s="20" t="n">
        <x:f>SUMIFS('7日销售明细'!$K$5:$K$2244,'7日销售明细'!$B$5:$B$2244,B722,'7日销售明细'!$D$5:$D$2244,C722,'7日销售明细'!$H$5:$H$2244,E722)</x:f>
        <x:v>7</x:v>
      </x:c>
      <x:c r="H722" s="35" t="n">
        <x:f>SUMIFS('7日销售明细'!$L$5:$L$2244,'7日销售明细'!$B$5:$B$2244,B722,'7日销售明细'!$D$5:$D$2244,C722,'7日销售明细'!$H$5:$H$2244,E722)</x:f>
        <x:v>126</x:v>
      </x:c>
      <x:c r="I722" s="35" t="n">
        <x:f>G722*XLOOKUP(E722,'菜品主数据'!$A$5:$A$24,'菜品主数据'!$G$5:$G$24,0)</x:f>
        <x:v>22.231999999999996</x:v>
      </x:c>
    </x:row>
    <x:row r="723">
      <x:c r="A723" s="19" t="str">
        <x:v>2026-07-07|S06|D19</x:v>
      </x:c>
      <x:c r="B723" s="34" t="n">
        <x:v>46210.5</x:v>
      </x:c>
      <x:c r="C723" s="19" t="str">
        <x:v>S06</x:v>
      </x:c>
      <x:c r="D723" s="19" t="str">
        <x:v>蓝钻天城店</x:v>
      </x:c>
      <x:c r="E723" s="19" t="str">
        <x:v>D19</x:v>
      </x:c>
      <x:c r="F723" s="19" t="str">
        <x:v>酸萝卜炒鸡杂</x:v>
      </x:c>
      <x:c r="G723" s="20" t="n">
        <x:f>SUMIFS('7日销售明细'!$K$5:$K$2244,'7日销售明细'!$B$5:$B$2244,B723,'7日销售明细'!$D$5:$D$2244,C723,'7日销售明细'!$H$5:$H$2244,E723)</x:f>
        <x:v>6</x:v>
      </x:c>
      <x:c r="H723" s="35" t="n">
        <x:f>SUMIFS('7日销售明细'!$L$5:$L$2244,'7日销售明细'!$B$5:$B$2244,B723,'7日销售明细'!$D$5:$D$2244,C723,'7日销售明细'!$H$5:$H$2244,E723)</x:f>
        <x:v>150</x:v>
      </x:c>
      <x:c r="I723" s="35" t="n">
        <x:f>G723*XLOOKUP(E723,'菜品主数据'!$A$5:$A$24,'菜品主数据'!$G$5:$G$24,0)</x:f>
        <x:v>47.64</x:v>
      </x:c>
    </x:row>
    <x:row r="724">
      <x:c r="A724" s="19" t="str">
        <x:v>2026-07-07|S06|D20</x:v>
      </x:c>
      <x:c r="B724" s="34" t="n">
        <x:v>46210.5</x:v>
      </x:c>
      <x:c r="C724" s="19" t="str">
        <x:v>S06</x:v>
      </x:c>
      <x:c r="D724" s="19" t="str">
        <x:v>蓝钻天城店</x:v>
      </x:c>
      <x:c r="E724" s="19" t="str">
        <x:v>D20</x:v>
      </x:c>
      <x:c r="F724" s="19" t="str">
        <x:v>雪菜肉末青豆</x:v>
      </x:c>
      <x:c r="G724" s="20" t="n">
        <x:f>SUMIFS('7日销售明细'!$K$5:$K$2244,'7日销售明细'!$B$5:$B$2244,B724,'7日销售明细'!$D$5:$D$2244,C724,'7日销售明细'!$H$5:$H$2244,E724)</x:f>
        <x:v>7</x:v>
      </x:c>
      <x:c r="H724" s="35" t="n">
        <x:f>SUMIFS('7日销售明细'!$L$5:$L$2244,'7日销售明细'!$B$5:$B$2244,B724,'7日销售明细'!$D$5:$D$2244,C724,'7日销售明细'!$H$5:$H$2244,E724)</x:f>
        <x:v>126</x:v>
      </x:c>
      <x:c r="I724" s="35" t="n">
        <x:f>G724*XLOOKUP(E724,'菜品主数据'!$A$5:$A$24,'菜品主数据'!$G$5:$G$24,0)</x:f>
        <x:v>51.12799999999999</x:v>
      </x:c>
    </x:row>
    <x:row r="725">
      <x:c r="A725" s="19" t="str">
        <x:v>2026-07-08|S06|D01</x:v>
      </x:c>
      <x:c r="B725" s="34" t="n">
        <x:v>46211.5</x:v>
      </x:c>
      <x:c r="C725" s="19" t="str">
        <x:v>S06</x:v>
      </x:c>
      <x:c r="D725" s="19" t="str">
        <x:v>蓝钻天城店</x:v>
      </x:c>
      <x:c r="E725" s="19" t="str">
        <x:v>D01</x:v>
      </x:c>
      <x:c r="F725" s="19" t="str">
        <x:v>辣椒炒肉</x:v>
      </x:c>
      <x:c r="G725" s="20" t="n">
        <x:f>SUMIFS('7日销售明细'!$K$5:$K$2244,'7日销售明细'!$B$5:$B$2244,B725,'7日销售明细'!$D$5:$D$2244,C725,'7日销售明细'!$H$5:$H$2244,E725)</x:f>
        <x:v>47</x:v>
      </x:c>
      <x:c r="H725" s="35" t="n">
        <x:f>SUMIFS('7日销售明细'!$L$5:$L$2244,'7日销售明细'!$B$5:$B$2244,B725,'7日销售明细'!$D$5:$D$2244,C725,'7日销售明细'!$H$5:$H$2244,E725)</x:f>
        <x:v>1363</x:v>
      </x:c>
      <x:c r="I725" s="35" t="n">
        <x:f>G725*XLOOKUP(E725,'菜品主数据'!$A$5:$A$24,'菜品主数据'!$G$5:$G$24,0)</x:f>
        <x:v>405.81680000000006</x:v>
      </x:c>
    </x:row>
    <x:row r="726">
      <x:c r="A726" s="19" t="str">
        <x:v>2026-07-08|S06|D02</x:v>
      </x:c>
      <x:c r="B726" s="34" t="n">
        <x:v>46211.5</x:v>
      </x:c>
      <x:c r="C726" s="19" t="str">
        <x:v>S06</x:v>
      </x:c>
      <x:c r="D726" s="19" t="str">
        <x:v>蓝钻天城店</x:v>
      </x:c>
      <x:c r="E726" s="19" t="str">
        <x:v>D02</x:v>
      </x:c>
      <x:c r="F726" s="19" t="str">
        <x:v>小炒黄牛肉</x:v>
      </x:c>
      <x:c r="G726" s="20" t="n">
        <x:f>SUMIFS('7日销售明细'!$K$5:$K$2244,'7日销售明细'!$B$5:$B$2244,B726,'7日销售明细'!$D$5:$D$2244,C726,'7日销售明细'!$H$5:$H$2244,E726)</x:f>
        <x:v>33</x:v>
      </x:c>
      <x:c r="H726" s="35" t="n">
        <x:f>SUMIFS('7日销售明细'!$L$5:$L$2244,'7日销售明细'!$B$5:$B$2244,B726,'7日销售明细'!$D$5:$D$2244,C726,'7日销售明细'!$H$5:$H$2244,E726)</x:f>
        <x:v>1617</x:v>
      </x:c>
      <x:c r="I726" s="35" t="n">
        <x:f>G726*XLOOKUP(E726,'菜品主数据'!$A$5:$A$24,'菜品主数据'!$G$5:$G$24,0)</x:f>
        <x:v>580.041</x:v>
      </x:c>
    </x:row>
    <x:row r="727">
      <x:c r="A727" s="19" t="str">
        <x:v>2026-07-08|S06|D03</x:v>
      </x:c>
      <x:c r="B727" s="34" t="n">
        <x:v>46211.5</x:v>
      </x:c>
      <x:c r="C727" s="19" t="str">
        <x:v>S06</x:v>
      </x:c>
      <x:c r="D727" s="19" t="str">
        <x:v>蓝钻天城店</x:v>
      </x:c>
      <x:c r="E727" s="19" t="str">
        <x:v>D03</x:v>
      </x:c>
      <x:c r="F727" s="19" t="str">
        <x:v>香醋炒蛋</x:v>
      </x:c>
      <x:c r="G727" s="20" t="n">
        <x:f>SUMIFS('7日销售明细'!$K$5:$K$2244,'7日销售明细'!$B$5:$B$2244,B727,'7日销售明细'!$D$5:$D$2244,C727,'7日销售明细'!$H$5:$H$2244,E727)</x:f>
        <x:v>39</x:v>
      </x:c>
      <x:c r="H727" s="35" t="n">
        <x:f>SUMIFS('7日销售明细'!$L$5:$L$2244,'7日销售明细'!$B$5:$B$2244,B727,'7日销售明细'!$D$5:$D$2244,C727,'7日销售明细'!$H$5:$H$2244,E727)</x:f>
        <x:v>581.1</x:v>
      </x:c>
      <x:c r="I727" s="35" t="n">
        <x:f>G727*XLOOKUP(E727,'菜品主数据'!$A$5:$A$24,'菜品主数据'!$G$5:$G$24,0)</x:f>
        <x:v>146.094</x:v>
      </x:c>
    </x:row>
    <x:row r="728">
      <x:c r="A728" s="19" t="str">
        <x:v>2026-07-08|S06|D04</x:v>
      </x:c>
      <x:c r="B728" s="34" t="n">
        <x:v>46211.5</x:v>
      </x:c>
      <x:c r="C728" s="19" t="str">
        <x:v>S06</x:v>
      </x:c>
      <x:c r="D728" s="19" t="str">
        <x:v>蓝钻天城店</x:v>
      </x:c>
      <x:c r="E728" s="19" t="str">
        <x:v>D04</x:v>
      </x:c>
      <x:c r="F728" s="19" t="str">
        <x:v>酸包菜炒粉皮</x:v>
      </x:c>
      <x:c r="G728" s="20" t="n">
        <x:f>SUMIFS('7日销售明细'!$K$5:$K$2244,'7日销售明细'!$B$5:$B$2244,B728,'7日销售明细'!$D$5:$D$2244,C728,'7日销售明细'!$H$5:$H$2244,E728)</x:f>
        <x:v>36</x:v>
      </x:c>
      <x:c r="H728" s="35" t="n">
        <x:f>SUMIFS('7日销售明细'!$L$5:$L$2244,'7日销售明细'!$B$5:$B$2244,B728,'7日销售明细'!$D$5:$D$2244,C728,'7日销售明细'!$H$5:$H$2244,E728)</x:f>
        <x:v>576</x:v>
      </x:c>
      <x:c r="I728" s="35" t="n">
        <x:f>G728*XLOOKUP(E728,'菜品主数据'!$A$5:$A$24,'菜品主数据'!$G$5:$G$24,0)</x:f>
        <x:v>143.208</x:v>
      </x:c>
    </x:row>
    <x:row r="729">
      <x:c r="A729" s="19" t="str">
        <x:v>2026-07-08|S06|D05</x:v>
      </x:c>
      <x:c r="B729" s="34" t="n">
        <x:v>46211.5</x:v>
      </x:c>
      <x:c r="C729" s="19" t="str">
        <x:v>S06</x:v>
      </x:c>
      <x:c r="D729" s="19" t="str">
        <x:v>蓝钻天城店</x:v>
      </x:c>
      <x:c r="E729" s="19" t="str">
        <x:v>D05</x:v>
      </x:c>
      <x:c r="F729" s="19" t="str">
        <x:v>麻婆豆腐</x:v>
      </x:c>
      <x:c r="G729" s="20" t="n">
        <x:f>SUMIFS('7日销售明细'!$K$5:$K$2244,'7日销售明细'!$B$5:$B$2244,B729,'7日销售明细'!$D$5:$D$2244,C729,'7日销售明细'!$H$5:$H$2244,E729)</x:f>
        <x:v>50</x:v>
      </x:c>
      <x:c r="H729" s="35" t="n">
        <x:f>SUMIFS('7日销售明细'!$L$5:$L$2244,'7日销售明细'!$B$5:$B$2244,B729,'7日销售明细'!$D$5:$D$2244,C729,'7日销售明细'!$H$5:$H$2244,E729)</x:f>
        <x:v>495</x:v>
      </x:c>
      <x:c r="I729" s="35" t="n">
        <x:f>G729*XLOOKUP(E729,'菜品主数据'!$A$5:$A$24,'菜品主数据'!$G$5:$G$24,0)</x:f>
        <x:v>268.35</x:v>
      </x:c>
    </x:row>
    <x:row r="730">
      <x:c r="A730" s="19" t="str">
        <x:v>2026-07-08|S06|D06</x:v>
      </x:c>
      <x:c r="B730" s="34" t="n">
        <x:v>46211.5</x:v>
      </x:c>
      <x:c r="C730" s="19" t="str">
        <x:v>S06</x:v>
      </x:c>
      <x:c r="D730" s="19" t="str">
        <x:v>蓝钻天城店</x:v>
      </x:c>
      <x:c r="E730" s="19" t="str">
        <x:v>D06</x:v>
      </x:c>
      <x:c r="F730" s="19" t="str">
        <x:v>剁椒鱼头</x:v>
      </x:c>
      <x:c r="G730" s="20" t="n">
        <x:f>SUMIFS('7日销售明细'!$K$5:$K$2244,'7日销售明细'!$B$5:$B$2244,B730,'7日销售明细'!$D$5:$D$2244,C730,'7日销售明细'!$H$5:$H$2244,E730)</x:f>
        <x:v>11</x:v>
      </x:c>
      <x:c r="H730" s="35" t="n">
        <x:f>SUMIFS('7日销售明细'!$L$5:$L$2244,'7日销售明细'!$B$5:$B$2244,B730,'7日销售明细'!$D$5:$D$2244,C730,'7日销售明细'!$H$5:$H$2244,E730)</x:f>
        <x:v>429</x:v>
      </x:c>
      <x:c r="I730" s="35" t="n">
        <x:f>G730*XLOOKUP(E730,'菜品主数据'!$A$5:$A$24,'菜品主数据'!$G$5:$G$24,0)</x:f>
        <x:v>191.906</x:v>
      </x:c>
    </x:row>
    <x:row r="731">
      <x:c r="A731" s="19" t="str">
        <x:v>2026-07-08|S06|D07</x:v>
      </x:c>
      <x:c r="B731" s="34" t="n">
        <x:v>46211.5</x:v>
      </x:c>
      <x:c r="C731" s="19" t="str">
        <x:v>S06</x:v>
      </x:c>
      <x:c r="D731" s="19" t="str">
        <x:v>蓝钻天城店</x:v>
      </x:c>
      <x:c r="E731" s="19" t="str">
        <x:v>D07</x:v>
      </x:c>
      <x:c r="F731" s="19" t="str">
        <x:v>川味回锅肉</x:v>
      </x:c>
      <x:c r="G731" s="20" t="n">
        <x:f>SUMIFS('7日销售明细'!$K$5:$K$2244,'7日销售明细'!$B$5:$B$2244,B731,'7日销售明细'!$D$5:$D$2244,C731,'7日销售明细'!$H$5:$H$2244,E731)</x:f>
        <x:v>15</x:v>
      </x:c>
      <x:c r="H731" s="35" t="n">
        <x:f>SUMIFS('7日销售明细'!$L$5:$L$2244,'7日销售明细'!$B$5:$B$2244,B731,'7日销售明细'!$D$5:$D$2244,C731,'7日销售明细'!$H$5:$H$2244,E731)</x:f>
        <x:v>435</x:v>
      </x:c>
      <x:c r="I731" s="35" t="n">
        <x:f>G731*XLOOKUP(E731,'菜品主数据'!$A$5:$A$24,'菜品主数据'!$G$5:$G$24,0)</x:f>
        <x:v>153.46500000000003</x:v>
      </x:c>
    </x:row>
    <x:row r="732">
      <x:c r="A732" s="19" t="str">
        <x:v>2026-07-08|S06|D08</x:v>
      </x:c>
      <x:c r="B732" s="34" t="n">
        <x:v>46211.5</x:v>
      </x:c>
      <x:c r="C732" s="19" t="str">
        <x:v>S06</x:v>
      </x:c>
      <x:c r="D732" s="19" t="str">
        <x:v>蓝钻天城店</x:v>
      </x:c>
      <x:c r="E732" s="19" t="str">
        <x:v>D08</x:v>
      </x:c>
      <x:c r="F732" s="19" t="str">
        <x:v>生炒清远鸡</x:v>
      </x:c>
      <x:c r="G732" s="20" t="n">
        <x:f>SUMIFS('7日销售明细'!$K$5:$K$2244,'7日销售明细'!$B$5:$B$2244,B732,'7日销售明细'!$D$5:$D$2244,C732,'7日销售明细'!$H$5:$H$2244,E732)</x:f>
        <x:v>11</x:v>
      </x:c>
      <x:c r="H732" s="35" t="n">
        <x:f>SUMIFS('7日销售明细'!$L$5:$L$2244,'7日销售明细'!$B$5:$B$2244,B732,'7日销售明细'!$D$5:$D$2244,C732,'7日销售明细'!$H$5:$H$2244,E732)</x:f>
        <x:v>396</x:v>
      </x:c>
      <x:c r="I732" s="35" t="n">
        <x:f>G732*XLOOKUP(E732,'菜品主数据'!$A$5:$A$24,'菜品主数据'!$G$5:$G$24,0)</x:f>
        <x:v>148.28</x:v>
      </x:c>
    </x:row>
    <x:row r="733">
      <x:c r="A733" s="19" t="str">
        <x:v>2026-07-08|S06|D09</x:v>
      </x:c>
      <x:c r="B733" s="34" t="n">
        <x:v>46211.5</x:v>
      </x:c>
      <x:c r="C733" s="19" t="str">
        <x:v>S06</x:v>
      </x:c>
      <x:c r="D733" s="19" t="str">
        <x:v>蓝钻天城店</x:v>
      </x:c>
      <x:c r="E733" s="19" t="str">
        <x:v>D09</x:v>
      </x:c>
      <x:c r="F733" s="19" t="str">
        <x:v>炒豆干</x:v>
      </x:c>
      <x:c r="G733" s="20" t="n">
        <x:f>SUMIFS('7日销售明细'!$K$5:$K$2244,'7日销售明细'!$B$5:$B$2244,B733,'7日销售明细'!$D$5:$D$2244,C733,'7日销售明细'!$H$5:$H$2244,E733)</x:f>
        <x:v>15</x:v>
      </x:c>
      <x:c r="H733" s="35" t="n">
        <x:f>SUMIFS('7日销售明细'!$L$5:$L$2244,'7日销售明细'!$B$5:$B$2244,B733,'7日销售明细'!$D$5:$D$2244,C733,'7日销售明细'!$H$5:$H$2244,E733)</x:f>
        <x:v>270</x:v>
      </x:c>
      <x:c r="I733" s="35" t="n">
        <x:f>G733*XLOOKUP(E733,'菜品主数据'!$A$5:$A$24,'菜品主数据'!$G$5:$G$24,0)</x:f>
        <x:v>99.20999999999998</x:v>
      </x:c>
    </x:row>
    <x:row r="734">
      <x:c r="A734" s="19" t="str">
        <x:v>2026-07-08|S06|D10</x:v>
      </x:c>
      <x:c r="B734" s="34" t="n">
        <x:v>46211.5</x:v>
      </x:c>
      <x:c r="C734" s="19" t="str">
        <x:v>S06</x:v>
      </x:c>
      <x:c r="D734" s="19" t="str">
        <x:v>蓝钻天城店</x:v>
      </x:c>
      <x:c r="E734" s="19" t="str">
        <x:v>D10</x:v>
      </x:c>
      <x:c r="F734" s="19" t="str">
        <x:v>农家一碗香</x:v>
      </x:c>
      <x:c r="G734" s="20" t="n">
        <x:f>SUMIFS('7日销售明细'!$K$5:$K$2244,'7日销售明细'!$B$5:$B$2244,B734,'7日销售明细'!$D$5:$D$2244,C734,'7日销售明细'!$H$5:$H$2244,E734)</x:f>
        <x:v>17</x:v>
      </x:c>
      <x:c r="H734" s="35" t="n">
        <x:f>SUMIFS('7日销售明细'!$L$5:$L$2244,'7日销售明细'!$B$5:$B$2244,B734,'7日销售明细'!$D$5:$D$2244,C734,'7日销售明细'!$H$5:$H$2244,E734)</x:f>
        <x:v>389.29999999999995</x:v>
      </x:c>
      <x:c r="I734" s="35" t="n">
        <x:f>G734*XLOOKUP(E734,'菜品主数据'!$A$5:$A$24,'菜品主数据'!$G$5:$G$24,0)</x:f>
        <x:v>166.09340000000003</x:v>
      </x:c>
    </x:row>
    <x:row r="735">
      <x:c r="A735" s="19" t="str">
        <x:v>2026-07-08|S06|D11</x:v>
      </x:c>
      <x:c r="B735" s="34" t="n">
        <x:v>46211.5</x:v>
      </x:c>
      <x:c r="C735" s="19" t="str">
        <x:v>S06</x:v>
      </x:c>
      <x:c r="D735" s="19" t="str">
        <x:v>蓝钻天城店</x:v>
      </x:c>
      <x:c r="E735" s="19" t="str">
        <x:v>D11</x:v>
      </x:c>
      <x:c r="F735" s="19" t="str">
        <x:v>香辣爆肥肠</x:v>
      </x:c>
      <x:c r="G735" s="20" t="n">
        <x:f>SUMIFS('7日销售明细'!$K$5:$K$2244,'7日销售明细'!$B$5:$B$2244,B735,'7日销售明细'!$D$5:$D$2244,C735,'7日销售明细'!$H$5:$H$2244,E735)</x:f>
        <x:v>6</x:v>
      </x:c>
      <x:c r="H735" s="35" t="n">
        <x:f>SUMIFS('7日销售明细'!$L$5:$L$2244,'7日销售明细'!$B$5:$B$2244,B735,'7日销售明细'!$D$5:$D$2244,C735,'7日销售明细'!$H$5:$H$2244,E735)</x:f>
        <x:v>234</x:v>
      </x:c>
      <x:c r="I735" s="35" t="n">
        <x:f>G735*XLOOKUP(E735,'菜品主数据'!$A$5:$A$24,'菜品主数据'!$G$5:$G$24,0)</x:f>
        <x:v>62.382000000000005</x:v>
      </x:c>
    </x:row>
    <x:row r="736">
      <x:c r="A736" s="19" t="str">
        <x:v>2026-07-08|S06|D12</x:v>
      </x:c>
      <x:c r="B736" s="34" t="n">
        <x:v>46211.5</x:v>
      </x:c>
      <x:c r="C736" s="19" t="str">
        <x:v>S06</x:v>
      </x:c>
      <x:c r="D736" s="19" t="str">
        <x:v>蓝钻天城店</x:v>
      </x:c>
      <x:c r="E736" s="19" t="str">
        <x:v>D12</x:v>
      </x:c>
      <x:c r="F736" s="19" t="str">
        <x:v>清蒸鲈鱼</x:v>
      </x:c>
      <x:c r="G736" s="20" t="n">
        <x:f>SUMIFS('7日销售明细'!$K$5:$K$2244,'7日销售明细'!$B$5:$B$2244,B736,'7日销售明细'!$D$5:$D$2244,C736,'7日销售明细'!$H$5:$H$2244,E736)</x:f>
        <x:v>6</x:v>
      </x:c>
      <x:c r="H736" s="35" t="n">
        <x:f>SUMIFS('7日销售明细'!$L$5:$L$2244,'7日销售明细'!$B$5:$B$2244,B736,'7日销售明细'!$D$5:$D$2244,C736,'7日销售明细'!$H$5:$H$2244,E736)</x:f>
        <x:v>234</x:v>
      </x:c>
      <x:c r="I736" s="35" t="n">
        <x:f>G736*XLOOKUP(E736,'菜品主数据'!$A$5:$A$24,'菜品主数据'!$G$5:$G$24,0)</x:f>
        <x:v>113.244</x:v>
      </x:c>
    </x:row>
    <x:row r="737">
      <x:c r="A737" s="19" t="str">
        <x:v>2026-07-08|S06|D13</x:v>
      </x:c>
      <x:c r="B737" s="34" t="n">
        <x:v>46211.5</x:v>
      </x:c>
      <x:c r="C737" s="19" t="str">
        <x:v>S06</x:v>
      </x:c>
      <x:c r="D737" s="19" t="str">
        <x:v>蓝钻天城店</x:v>
      </x:c>
      <x:c r="E737" s="19" t="str">
        <x:v>D13</x:v>
      </x:c>
      <x:c r="F737" s="19" t="str">
        <x:v>外婆菜炒蛋</x:v>
      </x:c>
      <x:c r="G737" s="20" t="n">
        <x:f>SUMIFS('7日销售明细'!$K$5:$K$2244,'7日销售明细'!$B$5:$B$2244,B737,'7日销售明细'!$D$5:$D$2244,C737,'7日销售明细'!$H$5:$H$2244,E737)</x:f>
        <x:v>16</x:v>
      </x:c>
      <x:c r="H737" s="35" t="n">
        <x:f>SUMIFS('7日销售明细'!$L$5:$L$2244,'7日销售明细'!$B$5:$B$2244,B737,'7日销售明细'!$D$5:$D$2244,C737,'7日销售明细'!$H$5:$H$2244,E737)</x:f>
        <x:v>288</x:v>
      </x:c>
      <x:c r="I737" s="35" t="n">
        <x:f>G737*XLOOKUP(E737,'菜品主数据'!$A$5:$A$24,'菜品主数据'!$G$5:$G$24,0)</x:f>
        <x:v>86.46399999999998</x:v>
      </x:c>
    </x:row>
    <x:row r="738">
      <x:c r="A738" s="19" t="str">
        <x:v>2026-07-08|S06|D14</x:v>
      </x:c>
      <x:c r="B738" s="34" t="n">
        <x:v>46211.5</x:v>
      </x:c>
      <x:c r="C738" s="19" t="str">
        <x:v>S06</x:v>
      </x:c>
      <x:c r="D738" s="19" t="str">
        <x:v>蓝钻天城店</x:v>
      </x:c>
      <x:c r="E738" s="19" t="str">
        <x:v>D14</x:v>
      </x:c>
      <x:c r="F738" s="19" t="str">
        <x:v>酸辣鸡杂</x:v>
      </x:c>
      <x:c r="G738" s="20" t="n">
        <x:f>SUMIFS('7日销售明细'!$K$5:$K$2244,'7日销售明细'!$B$5:$B$2244,B738,'7日销售明细'!$D$5:$D$2244,C738,'7日销售明细'!$H$5:$H$2244,E738)</x:f>
        <x:v>7</x:v>
      </x:c>
      <x:c r="H738" s="35" t="n">
        <x:f>SUMIFS('7日销售明细'!$L$5:$L$2244,'7日销售明细'!$B$5:$B$2244,B738,'7日销售明细'!$D$5:$D$2244,C738,'7日销售明细'!$H$5:$H$2244,E738)</x:f>
        <x:v>196</x:v>
      </x:c>
      <x:c r="I738" s="35" t="n">
        <x:f>G738*XLOOKUP(E738,'菜品主数据'!$A$5:$A$24,'菜品主数据'!$G$5:$G$24,0)</x:f>
        <x:v>58.20500000000001</x:v>
      </x:c>
    </x:row>
    <x:row r="739">
      <x:c r="A739" s="19" t="str">
        <x:v>2026-07-08|S06|D15</x:v>
      </x:c>
      <x:c r="B739" s="34" t="n">
        <x:v>46211.5</x:v>
      </x:c>
      <x:c r="C739" s="19" t="str">
        <x:v>S06</x:v>
      </x:c>
      <x:c r="D739" s="19" t="str">
        <x:v>蓝钻天城店</x:v>
      </x:c>
      <x:c r="E739" s="19" t="str">
        <x:v>D15</x:v>
      </x:c>
      <x:c r="F739" s="19" t="str">
        <x:v>湘西土匪猪肝</x:v>
      </x:c>
      <x:c r="G739" s="20" t="n">
        <x:f>SUMIFS('7日销售明细'!$K$5:$K$2244,'7日销售明细'!$B$5:$B$2244,B739,'7日销售明细'!$D$5:$D$2244,C739,'7日销售明细'!$H$5:$H$2244,E739)</x:f>
        <x:v>6</x:v>
      </x:c>
      <x:c r="H739" s="35" t="n">
        <x:f>SUMIFS('7日销售明细'!$L$5:$L$2244,'7日销售明细'!$B$5:$B$2244,B739,'7日销售明细'!$D$5:$D$2244,C739,'7日销售明细'!$H$5:$H$2244,E739)</x:f>
        <x:v>156</x:v>
      </x:c>
      <x:c r="I739" s="35" t="n">
        <x:f>G739*XLOOKUP(E739,'菜品主数据'!$A$5:$A$24,'菜品主数据'!$G$5:$G$24,0)</x:f>
        <x:v>38.256</x:v>
      </x:c>
    </x:row>
    <x:row r="740">
      <x:c r="A740" s="19" t="str">
        <x:v>2026-07-08|S06|D16</x:v>
      </x:c>
      <x:c r="B740" s="34" t="n">
        <x:v>46211.5</x:v>
      </x:c>
      <x:c r="C740" s="19" t="str">
        <x:v>S06</x:v>
      </x:c>
      <x:c r="D740" s="19" t="str">
        <x:v>蓝钻天城店</x:v>
      </x:c>
      <x:c r="E740" s="19" t="str">
        <x:v>D16</x:v>
      </x:c>
      <x:c r="F740" s="19" t="str">
        <x:v>小豆角炒五花</x:v>
      </x:c>
      <x:c r="G740" s="20" t="n">
        <x:f>SUMIFS('7日销售明细'!$K$5:$K$2244,'7日销售明细'!$B$5:$B$2244,B740,'7日销售明细'!$D$5:$D$2244,C740,'7日销售明细'!$H$5:$H$2244,E740)</x:f>
        <x:v>7</x:v>
      </x:c>
      <x:c r="H740" s="35" t="n">
        <x:f>SUMIFS('7日销售明细'!$L$5:$L$2244,'7日销售明细'!$B$5:$B$2244,B740,'7日销售明细'!$D$5:$D$2244,C740,'7日销售明细'!$H$5:$H$2244,E740)</x:f>
        <x:v>175</x:v>
      </x:c>
      <x:c r="I740" s="35" t="n">
        <x:f>G740*XLOOKUP(E740,'菜品主数据'!$A$5:$A$24,'菜品主数据'!$G$5:$G$24,0)</x:f>
        <x:v>57.288</x:v>
      </x:c>
    </x:row>
    <x:row r="741">
      <x:c r="A741" s="19" t="str">
        <x:v>2026-07-08|S06|D17</x:v>
      </x:c>
      <x:c r="B741" s="34" t="n">
        <x:v>46211.5</x:v>
      </x:c>
      <x:c r="C741" s="19" t="str">
        <x:v>S06</x:v>
      </x:c>
      <x:c r="D741" s="19" t="str">
        <x:v>蓝钻天城店</x:v>
      </x:c>
      <x:c r="E741" s="19" t="str">
        <x:v>D17</x:v>
      </x:c>
      <x:c r="F741" s="19" t="str">
        <x:v>蒜蓉粉丝虾</x:v>
      </x:c>
      <x:c r="G741" s="20" t="n">
        <x:f>SUMIFS('7日销售明细'!$K$5:$K$2244,'7日销售明细'!$B$5:$B$2244,B741,'7日销售明细'!$D$5:$D$2244,C741,'7日销售明细'!$H$5:$H$2244,E741)</x:f>
        <x:v>4</x:v>
      </x:c>
      <x:c r="H741" s="35" t="n">
        <x:f>SUMIFS('7日销售明细'!$L$5:$L$2244,'7日销售明细'!$B$5:$B$2244,B741,'7日销售明细'!$D$5:$D$2244,C741,'7日销售明细'!$H$5:$H$2244,E741)</x:f>
        <x:v>144</x:v>
      </x:c>
      <x:c r="I741" s="35" t="n">
        <x:f>G741*XLOOKUP(E741,'菜品主数据'!$A$5:$A$24,'菜品主数据'!$G$5:$G$24,0)</x:f>
        <x:v>54.376</x:v>
      </x:c>
    </x:row>
    <x:row r="742">
      <x:c r="A742" s="19" t="str">
        <x:v>2026-07-08|S06|D18</x:v>
      </x:c>
      <x:c r="B742" s="34" t="n">
        <x:v>46211.5</x:v>
      </x:c>
      <x:c r="C742" s="19" t="str">
        <x:v>S06</x:v>
      </x:c>
      <x:c r="D742" s="19" t="str">
        <x:v>蓝钻天城店</x:v>
      </x:c>
      <x:c r="E742" s="19" t="str">
        <x:v>D18</x:v>
      </x:c>
      <x:c r="F742" s="19" t="str">
        <x:v>青椒炒油麦菜</x:v>
      </x:c>
      <x:c r="G742" s="20" t="n">
        <x:f>SUMIFS('7日销售明细'!$K$5:$K$2244,'7日销售明细'!$B$5:$B$2244,B742,'7日销售明细'!$D$5:$D$2244,C742,'7日销售明细'!$H$5:$H$2244,E742)</x:f>
        <x:v>7</x:v>
      </x:c>
      <x:c r="H742" s="35" t="n">
        <x:f>SUMIFS('7日销售明细'!$L$5:$L$2244,'7日销售明细'!$B$5:$B$2244,B742,'7日销售明细'!$D$5:$D$2244,C742,'7日销售明细'!$H$5:$H$2244,E742)</x:f>
        <x:v>126</x:v>
      </x:c>
      <x:c r="I742" s="35" t="n">
        <x:f>G742*XLOOKUP(E742,'菜品主数据'!$A$5:$A$24,'菜品主数据'!$G$5:$G$24,0)</x:f>
        <x:v>22.231999999999996</x:v>
      </x:c>
    </x:row>
    <x:row r="743">
      <x:c r="A743" s="19" t="str">
        <x:v>2026-07-08|S06|D19</x:v>
      </x:c>
      <x:c r="B743" s="34" t="n">
        <x:v>46211.5</x:v>
      </x:c>
      <x:c r="C743" s="19" t="str">
        <x:v>S06</x:v>
      </x:c>
      <x:c r="D743" s="19" t="str">
        <x:v>蓝钻天城店</x:v>
      </x:c>
      <x:c r="E743" s="19" t="str">
        <x:v>D19</x:v>
      </x:c>
      <x:c r="F743" s="19" t="str">
        <x:v>酸萝卜炒鸡杂</x:v>
      </x:c>
      <x:c r="G743" s="20" t="n">
        <x:f>SUMIFS('7日销售明细'!$K$5:$K$2244,'7日销售明细'!$B$5:$B$2244,B743,'7日销售明细'!$D$5:$D$2244,C743,'7日销售明细'!$H$5:$H$2244,E743)</x:f>
        <x:v>6</x:v>
      </x:c>
      <x:c r="H743" s="35" t="n">
        <x:f>SUMIFS('7日销售明细'!$L$5:$L$2244,'7日销售明细'!$B$5:$B$2244,B743,'7日销售明细'!$D$5:$D$2244,C743,'7日销售明细'!$H$5:$H$2244,E743)</x:f>
        <x:v>150</x:v>
      </x:c>
      <x:c r="I743" s="35" t="n">
        <x:f>G743*XLOOKUP(E743,'菜品主数据'!$A$5:$A$24,'菜品主数据'!$G$5:$G$24,0)</x:f>
        <x:v>47.64</x:v>
      </x:c>
    </x:row>
    <x:row r="744">
      <x:c r="A744" s="19" t="str">
        <x:v>2026-07-08|S06|D20</x:v>
      </x:c>
      <x:c r="B744" s="34" t="n">
        <x:v>46211.5</x:v>
      </x:c>
      <x:c r="C744" s="19" t="str">
        <x:v>S06</x:v>
      </x:c>
      <x:c r="D744" s="19" t="str">
        <x:v>蓝钻天城店</x:v>
      </x:c>
      <x:c r="E744" s="19" t="str">
        <x:v>D20</x:v>
      </x:c>
      <x:c r="F744" s="19" t="str">
        <x:v>雪菜肉末青豆</x:v>
      </x:c>
      <x:c r="G744" s="20" t="n">
        <x:f>SUMIFS('7日销售明细'!$K$5:$K$2244,'7日销售明细'!$B$5:$B$2244,B744,'7日销售明细'!$D$5:$D$2244,C744,'7日销售明细'!$H$5:$H$2244,E744)</x:f>
        <x:v>8</x:v>
      </x:c>
      <x:c r="H744" s="35" t="n">
        <x:f>SUMIFS('7日销售明细'!$L$5:$L$2244,'7日销售明细'!$B$5:$B$2244,B744,'7日销售明细'!$D$5:$D$2244,C744,'7日销售明细'!$H$5:$H$2244,E744)</x:f>
        <x:v>144</x:v>
      </x:c>
      <x:c r="I744" s="35" t="n">
        <x:f>G744*XLOOKUP(E744,'菜品主数据'!$A$5:$A$24,'菜品主数据'!$G$5:$G$24,0)</x:f>
        <x:v>58.431999999999995</x:v>
      </x:c>
    </x:row>
    <x:row r="745">
      <x:c r="A745" s="19" t="str">
        <x:v>2026-07-09|S06|D01</x:v>
      </x:c>
      <x:c r="B745" s="34" t="n">
        <x:v>46212.5</x:v>
      </x:c>
      <x:c r="C745" s="19" t="str">
        <x:v>S06</x:v>
      </x:c>
      <x:c r="D745" s="19" t="str">
        <x:v>蓝钻天城店</x:v>
      </x:c>
      <x:c r="E745" s="19" t="str">
        <x:v>D01</x:v>
      </x:c>
      <x:c r="F745" s="19" t="str">
        <x:v>辣椒炒肉</x:v>
      </x:c>
      <x:c r="G745" s="20" t="n">
        <x:f>SUMIFS('7日销售明细'!$K$5:$K$2244,'7日销售明细'!$B$5:$B$2244,B745,'7日销售明细'!$D$5:$D$2244,C745,'7日销售明细'!$H$5:$H$2244,E745)</x:f>
        <x:v>47</x:v>
      </x:c>
      <x:c r="H745" s="35" t="n">
        <x:f>SUMIFS('7日销售明细'!$L$5:$L$2244,'7日销售明细'!$B$5:$B$2244,B745,'7日销售明细'!$D$5:$D$2244,C745,'7日销售明细'!$H$5:$H$2244,E745)</x:f>
        <x:v>1363</x:v>
      </x:c>
      <x:c r="I745" s="35" t="n">
        <x:f>G745*XLOOKUP(E745,'菜品主数据'!$A$5:$A$24,'菜品主数据'!$G$5:$G$24,0)</x:f>
        <x:v>405.81680000000006</x:v>
      </x:c>
    </x:row>
    <x:row r="746">
      <x:c r="A746" s="19" t="str">
        <x:v>2026-07-09|S06|D02</x:v>
      </x:c>
      <x:c r="B746" s="34" t="n">
        <x:v>46212.5</x:v>
      </x:c>
      <x:c r="C746" s="19" t="str">
        <x:v>S06</x:v>
      </x:c>
      <x:c r="D746" s="19" t="str">
        <x:v>蓝钻天城店</x:v>
      </x:c>
      <x:c r="E746" s="19" t="str">
        <x:v>D02</x:v>
      </x:c>
      <x:c r="F746" s="19" t="str">
        <x:v>小炒黄牛肉</x:v>
      </x:c>
      <x:c r="G746" s="20" t="n">
        <x:f>SUMIFS('7日销售明细'!$K$5:$K$2244,'7日销售明细'!$B$5:$B$2244,B746,'7日销售明细'!$D$5:$D$2244,C746,'7日销售明细'!$H$5:$H$2244,E746)</x:f>
        <x:v>30</x:v>
      </x:c>
      <x:c r="H746" s="35" t="n">
        <x:f>SUMIFS('7日销售明细'!$L$5:$L$2244,'7日销售明细'!$B$5:$B$2244,B746,'7日销售明细'!$D$5:$D$2244,C746,'7日销售明细'!$H$5:$H$2244,E746)</x:f>
        <x:v>1470</x:v>
      </x:c>
      <x:c r="I746" s="35" t="n">
        <x:f>G746*XLOOKUP(E746,'菜品主数据'!$A$5:$A$24,'菜品主数据'!$G$5:$G$24,0)</x:f>
        <x:v>527.3100000000001</x:v>
      </x:c>
    </x:row>
    <x:row r="747">
      <x:c r="A747" s="19" t="str">
        <x:v>2026-07-09|S06|D03</x:v>
      </x:c>
      <x:c r="B747" s="34" t="n">
        <x:v>46212.5</x:v>
      </x:c>
      <x:c r="C747" s="19" t="str">
        <x:v>S06</x:v>
      </x:c>
      <x:c r="D747" s="19" t="str">
        <x:v>蓝钻天城店</x:v>
      </x:c>
      <x:c r="E747" s="19" t="str">
        <x:v>D03</x:v>
      </x:c>
      <x:c r="F747" s="19" t="str">
        <x:v>香醋炒蛋</x:v>
      </x:c>
      <x:c r="G747" s="20" t="n">
        <x:f>SUMIFS('7日销售明细'!$K$5:$K$2244,'7日销售明细'!$B$5:$B$2244,B747,'7日销售明细'!$D$5:$D$2244,C747,'7日销售明细'!$H$5:$H$2244,E747)</x:f>
        <x:v>39</x:v>
      </x:c>
      <x:c r="H747" s="35" t="n">
        <x:f>SUMIFS('7日销售明细'!$L$5:$L$2244,'7日销售明细'!$B$5:$B$2244,B747,'7日销售明细'!$D$5:$D$2244,C747,'7日销售明细'!$H$5:$H$2244,E747)</x:f>
        <x:v>581.1</x:v>
      </x:c>
      <x:c r="I747" s="35" t="n">
        <x:f>G747*XLOOKUP(E747,'菜品主数据'!$A$5:$A$24,'菜品主数据'!$G$5:$G$24,0)</x:f>
        <x:v>146.094</x:v>
      </x:c>
    </x:row>
    <x:row r="748">
      <x:c r="A748" s="19" t="str">
        <x:v>2026-07-09|S06|D04</x:v>
      </x:c>
      <x:c r="B748" s="34" t="n">
        <x:v>46212.5</x:v>
      </x:c>
      <x:c r="C748" s="19" t="str">
        <x:v>S06</x:v>
      </x:c>
      <x:c r="D748" s="19" t="str">
        <x:v>蓝钻天城店</x:v>
      </x:c>
      <x:c r="E748" s="19" t="str">
        <x:v>D04</x:v>
      </x:c>
      <x:c r="F748" s="19" t="str">
        <x:v>酸包菜炒粉皮</x:v>
      </x:c>
      <x:c r="G748" s="20" t="n">
        <x:f>SUMIFS('7日销售明细'!$K$5:$K$2244,'7日销售明细'!$B$5:$B$2244,B748,'7日销售明细'!$D$5:$D$2244,C748,'7日销售明细'!$H$5:$H$2244,E748)</x:f>
        <x:v>35</x:v>
      </x:c>
      <x:c r="H748" s="35" t="n">
        <x:f>SUMIFS('7日销售明细'!$L$5:$L$2244,'7日销售明细'!$B$5:$B$2244,B748,'7日销售明细'!$D$5:$D$2244,C748,'7日销售明细'!$H$5:$H$2244,E748)</x:f>
        <x:v>560</x:v>
      </x:c>
      <x:c r="I748" s="35" t="n">
        <x:f>G748*XLOOKUP(E748,'菜品主数据'!$A$5:$A$24,'菜品主数据'!$G$5:$G$24,0)</x:f>
        <x:v>139.23000000000002</x:v>
      </x:c>
    </x:row>
    <x:row r="749">
      <x:c r="A749" s="19" t="str">
        <x:v>2026-07-09|S06|D05</x:v>
      </x:c>
      <x:c r="B749" s="34" t="n">
        <x:v>46212.5</x:v>
      </x:c>
      <x:c r="C749" s="19" t="str">
        <x:v>S06</x:v>
      </x:c>
      <x:c r="D749" s="19" t="str">
        <x:v>蓝钻天城店</x:v>
      </x:c>
      <x:c r="E749" s="19" t="str">
        <x:v>D05</x:v>
      </x:c>
      <x:c r="F749" s="19" t="str">
        <x:v>麻婆豆腐</x:v>
      </x:c>
      <x:c r="G749" s="20" t="n">
        <x:f>SUMIFS('7日销售明细'!$K$5:$K$2244,'7日销售明细'!$B$5:$B$2244,B749,'7日销售明细'!$D$5:$D$2244,C749,'7日销售明细'!$H$5:$H$2244,E749)</x:f>
        <x:v>51</x:v>
      </x:c>
      <x:c r="H749" s="35" t="n">
        <x:f>SUMIFS('7日销售明细'!$L$5:$L$2244,'7日销售明细'!$B$5:$B$2244,B749,'7日销售明细'!$D$5:$D$2244,C749,'7日销售明细'!$H$5:$H$2244,E749)</x:f>
        <x:v>504.90000000000003</x:v>
      </x:c>
      <x:c r="I749" s="35" t="n">
        <x:f>G749*XLOOKUP(E749,'菜品主数据'!$A$5:$A$24,'菜品主数据'!$G$5:$G$24,0)</x:f>
        <x:v>273.71700000000004</x:v>
      </x:c>
    </x:row>
    <x:row r="750">
      <x:c r="A750" s="19" t="str">
        <x:v>2026-07-09|S06|D06</x:v>
      </x:c>
      <x:c r="B750" s="34" t="n">
        <x:v>46212.5</x:v>
      </x:c>
      <x:c r="C750" s="19" t="str">
        <x:v>S06</x:v>
      </x:c>
      <x:c r="D750" s="19" t="str">
        <x:v>蓝钻天城店</x:v>
      </x:c>
      <x:c r="E750" s="19" t="str">
        <x:v>D06</x:v>
      </x:c>
      <x:c r="F750" s="19" t="str">
        <x:v>剁椒鱼头</x:v>
      </x:c>
      <x:c r="G750" s="20" t="n">
        <x:f>SUMIFS('7日销售明细'!$K$5:$K$2244,'7日销售明细'!$B$5:$B$2244,B750,'7日销售明细'!$D$5:$D$2244,C750,'7日销售明细'!$H$5:$H$2244,E750)</x:f>
        <x:v>12</x:v>
      </x:c>
      <x:c r="H750" s="35" t="n">
        <x:f>SUMIFS('7日销售明细'!$L$5:$L$2244,'7日销售明细'!$B$5:$B$2244,B750,'7日销售明细'!$D$5:$D$2244,C750,'7日销售明细'!$H$5:$H$2244,E750)</x:f>
        <x:v>468</x:v>
      </x:c>
      <x:c r="I750" s="35" t="n">
        <x:f>G750*XLOOKUP(E750,'菜品主数据'!$A$5:$A$24,'菜品主数据'!$G$5:$G$24,0)</x:f>
        <x:v>209.35200000000003</x:v>
      </x:c>
    </x:row>
    <x:row r="751">
      <x:c r="A751" s="19" t="str">
        <x:v>2026-07-09|S06|D07</x:v>
      </x:c>
      <x:c r="B751" s="34" t="n">
        <x:v>46212.5</x:v>
      </x:c>
      <x:c r="C751" s="19" t="str">
        <x:v>S06</x:v>
      </x:c>
      <x:c r="D751" s="19" t="str">
        <x:v>蓝钻天城店</x:v>
      </x:c>
      <x:c r="E751" s="19" t="str">
        <x:v>D07</x:v>
      </x:c>
      <x:c r="F751" s="19" t="str">
        <x:v>川味回锅肉</x:v>
      </x:c>
      <x:c r="G751" s="20" t="n">
        <x:f>SUMIFS('7日销售明细'!$K$5:$K$2244,'7日销售明细'!$B$5:$B$2244,B751,'7日销售明细'!$D$5:$D$2244,C751,'7日销售明细'!$H$5:$H$2244,E751)</x:f>
        <x:v>14</x:v>
      </x:c>
      <x:c r="H751" s="35" t="n">
        <x:f>SUMIFS('7日销售明细'!$L$5:$L$2244,'7日销售明细'!$B$5:$B$2244,B751,'7日销售明细'!$D$5:$D$2244,C751,'7日销售明细'!$H$5:$H$2244,E751)</x:f>
        <x:v>406</x:v>
      </x:c>
      <x:c r="I751" s="35" t="n">
        <x:f>G751*XLOOKUP(E751,'菜品主数据'!$A$5:$A$24,'菜品主数据'!$G$5:$G$24,0)</x:f>
        <x:v>143.23400000000004</x:v>
      </x:c>
    </x:row>
    <x:row r="752">
      <x:c r="A752" s="19" t="str">
        <x:v>2026-07-09|S06|D08</x:v>
      </x:c>
      <x:c r="B752" s="34" t="n">
        <x:v>46212.5</x:v>
      </x:c>
      <x:c r="C752" s="19" t="str">
        <x:v>S06</x:v>
      </x:c>
      <x:c r="D752" s="19" t="str">
        <x:v>蓝钻天城店</x:v>
      </x:c>
      <x:c r="E752" s="19" t="str">
        <x:v>D08</x:v>
      </x:c>
      <x:c r="F752" s="19" t="str">
        <x:v>生炒清远鸡</x:v>
      </x:c>
      <x:c r="G752" s="20" t="n">
        <x:f>SUMIFS('7日销售明细'!$K$5:$K$2244,'7日销售明细'!$B$5:$B$2244,B752,'7日销售明细'!$D$5:$D$2244,C752,'7日销售明细'!$H$5:$H$2244,E752)</x:f>
        <x:v>11</x:v>
      </x:c>
      <x:c r="H752" s="35" t="n">
        <x:f>SUMIFS('7日销售明细'!$L$5:$L$2244,'7日销售明细'!$B$5:$B$2244,B752,'7日销售明细'!$D$5:$D$2244,C752,'7日销售明细'!$H$5:$H$2244,E752)</x:f>
        <x:v>396</x:v>
      </x:c>
      <x:c r="I752" s="35" t="n">
        <x:f>G752*XLOOKUP(E752,'菜品主数据'!$A$5:$A$24,'菜品主数据'!$G$5:$G$24,0)</x:f>
        <x:v>148.28</x:v>
      </x:c>
    </x:row>
    <x:row r="753">
      <x:c r="A753" s="19" t="str">
        <x:v>2026-07-09|S06|D09</x:v>
      </x:c>
      <x:c r="B753" s="34" t="n">
        <x:v>46212.5</x:v>
      </x:c>
      <x:c r="C753" s="19" t="str">
        <x:v>S06</x:v>
      </x:c>
      <x:c r="D753" s="19" t="str">
        <x:v>蓝钻天城店</x:v>
      </x:c>
      <x:c r="E753" s="19" t="str">
        <x:v>D09</x:v>
      </x:c>
      <x:c r="F753" s="19" t="str">
        <x:v>炒豆干</x:v>
      </x:c>
      <x:c r="G753" s="20" t="n">
        <x:f>SUMIFS('7日销售明细'!$K$5:$K$2244,'7日销售明细'!$B$5:$B$2244,B753,'7日销售明细'!$D$5:$D$2244,C753,'7日销售明细'!$H$5:$H$2244,E753)</x:f>
        <x:v>14</x:v>
      </x:c>
      <x:c r="H753" s="35" t="n">
        <x:f>SUMIFS('7日销售明细'!$L$5:$L$2244,'7日销售明细'!$B$5:$B$2244,B753,'7日销售明细'!$D$5:$D$2244,C753,'7日销售明细'!$H$5:$H$2244,E753)</x:f>
        <x:v>252</x:v>
      </x:c>
      <x:c r="I753" s="35" t="n">
        <x:f>G753*XLOOKUP(E753,'菜品主数据'!$A$5:$A$24,'菜品主数据'!$G$5:$G$24,0)</x:f>
        <x:v>92.59599999999999</x:v>
      </x:c>
    </x:row>
    <x:row r="754">
      <x:c r="A754" s="19" t="str">
        <x:v>2026-07-09|S06|D10</x:v>
      </x:c>
      <x:c r="B754" s="34" t="n">
        <x:v>46212.5</x:v>
      </x:c>
      <x:c r="C754" s="19" t="str">
        <x:v>S06</x:v>
      </x:c>
      <x:c r="D754" s="19" t="str">
        <x:v>蓝钻天城店</x:v>
      </x:c>
      <x:c r="E754" s="19" t="str">
        <x:v>D10</x:v>
      </x:c>
      <x:c r="F754" s="19" t="str">
        <x:v>农家一碗香</x:v>
      </x:c>
      <x:c r="G754" s="20" t="n">
        <x:f>SUMIFS('7日销售明细'!$K$5:$K$2244,'7日销售明细'!$B$5:$B$2244,B754,'7日销售明细'!$D$5:$D$2244,C754,'7日销售明细'!$H$5:$H$2244,E754)</x:f>
        <x:v>18</x:v>
      </x:c>
      <x:c r="H754" s="35" t="n">
        <x:f>SUMIFS('7日销售明细'!$L$5:$L$2244,'7日销售明细'!$B$5:$B$2244,B754,'7日销售明细'!$D$5:$D$2244,C754,'7日销售明细'!$H$5:$H$2244,E754)</x:f>
        <x:v>412.2</x:v>
      </x:c>
      <x:c r="I754" s="35" t="n">
        <x:f>G754*XLOOKUP(E754,'菜品主数据'!$A$5:$A$24,'菜品主数据'!$G$5:$G$24,0)</x:f>
        <x:v>175.86360000000005</x:v>
      </x:c>
    </x:row>
    <x:row r="755">
      <x:c r="A755" s="19" t="str">
        <x:v>2026-07-09|S06|D11</x:v>
      </x:c>
      <x:c r="B755" s="34" t="n">
        <x:v>46212.5</x:v>
      </x:c>
      <x:c r="C755" s="19" t="str">
        <x:v>S06</x:v>
      </x:c>
      <x:c r="D755" s="19" t="str">
        <x:v>蓝钻天城店</x:v>
      </x:c>
      <x:c r="E755" s="19" t="str">
        <x:v>D11</x:v>
      </x:c>
      <x:c r="F755" s="19" t="str">
        <x:v>香辣爆肥肠</x:v>
      </x:c>
      <x:c r="G755" s="20" t="n">
        <x:f>SUMIFS('7日销售明细'!$K$5:$K$2244,'7日销售明细'!$B$5:$B$2244,B755,'7日销售明细'!$D$5:$D$2244,C755,'7日销售明细'!$H$5:$H$2244,E755)</x:f>
        <x:v>6</x:v>
      </x:c>
      <x:c r="H755" s="35" t="n">
        <x:f>SUMIFS('7日销售明细'!$L$5:$L$2244,'7日销售明细'!$B$5:$B$2244,B755,'7日销售明细'!$D$5:$D$2244,C755,'7日销售明细'!$H$5:$H$2244,E755)</x:f>
        <x:v>234</x:v>
      </x:c>
      <x:c r="I755" s="35" t="n">
        <x:f>G755*XLOOKUP(E755,'菜品主数据'!$A$5:$A$24,'菜品主数据'!$G$5:$G$24,0)</x:f>
        <x:v>62.382000000000005</x:v>
      </x:c>
    </x:row>
    <x:row r="756">
      <x:c r="A756" s="19" t="str">
        <x:v>2026-07-09|S06|D12</x:v>
      </x:c>
      <x:c r="B756" s="34" t="n">
        <x:v>46212.5</x:v>
      </x:c>
      <x:c r="C756" s="19" t="str">
        <x:v>S06</x:v>
      </x:c>
      <x:c r="D756" s="19" t="str">
        <x:v>蓝钻天城店</x:v>
      </x:c>
      <x:c r="E756" s="19" t="str">
        <x:v>D12</x:v>
      </x:c>
      <x:c r="F756" s="19" t="str">
        <x:v>清蒸鲈鱼</x:v>
      </x:c>
      <x:c r="G756" s="20" t="n">
        <x:f>SUMIFS('7日销售明细'!$K$5:$K$2244,'7日销售明细'!$B$5:$B$2244,B756,'7日销售明细'!$D$5:$D$2244,C756,'7日销售明细'!$H$5:$H$2244,E756)</x:f>
        <x:v>6</x:v>
      </x:c>
      <x:c r="H756" s="35" t="n">
        <x:f>SUMIFS('7日销售明细'!$L$5:$L$2244,'7日销售明细'!$B$5:$B$2244,B756,'7日销售明细'!$D$5:$D$2244,C756,'7日销售明细'!$H$5:$H$2244,E756)</x:f>
        <x:v>234</x:v>
      </x:c>
      <x:c r="I756" s="35" t="n">
        <x:f>G756*XLOOKUP(E756,'菜品主数据'!$A$5:$A$24,'菜品主数据'!$G$5:$G$24,0)</x:f>
        <x:v>113.244</x:v>
      </x:c>
    </x:row>
    <x:row r="757">
      <x:c r="A757" s="19" t="str">
        <x:v>2026-07-09|S06|D13</x:v>
      </x:c>
      <x:c r="B757" s="34" t="n">
        <x:v>46212.5</x:v>
      </x:c>
      <x:c r="C757" s="19" t="str">
        <x:v>S06</x:v>
      </x:c>
      <x:c r="D757" s="19" t="str">
        <x:v>蓝钻天城店</x:v>
      </x:c>
      <x:c r="E757" s="19" t="str">
        <x:v>D13</x:v>
      </x:c>
      <x:c r="F757" s="19" t="str">
        <x:v>外婆菜炒蛋</x:v>
      </x:c>
      <x:c r="G757" s="20" t="n">
        <x:f>SUMIFS('7日销售明细'!$K$5:$K$2244,'7日销售明细'!$B$5:$B$2244,B757,'7日销售明细'!$D$5:$D$2244,C757,'7日销售明细'!$H$5:$H$2244,E757)</x:f>
        <x:v>15</x:v>
      </x:c>
      <x:c r="H757" s="35" t="n">
        <x:f>SUMIFS('7日销售明细'!$L$5:$L$2244,'7日销售明细'!$B$5:$B$2244,B757,'7日销售明细'!$D$5:$D$2244,C757,'7日销售明细'!$H$5:$H$2244,E757)</x:f>
        <x:v>270</x:v>
      </x:c>
      <x:c r="I757" s="35" t="n">
        <x:f>G757*XLOOKUP(E757,'菜品主数据'!$A$5:$A$24,'菜品主数据'!$G$5:$G$24,0)</x:f>
        <x:v>81.05999999999999</x:v>
      </x:c>
    </x:row>
    <x:row r="758">
      <x:c r="A758" s="19" t="str">
        <x:v>2026-07-09|S06|D14</x:v>
      </x:c>
      <x:c r="B758" s="34" t="n">
        <x:v>46212.5</x:v>
      </x:c>
      <x:c r="C758" s="19" t="str">
        <x:v>S06</x:v>
      </x:c>
      <x:c r="D758" s="19" t="str">
        <x:v>蓝钻天城店</x:v>
      </x:c>
      <x:c r="E758" s="19" t="str">
        <x:v>D14</x:v>
      </x:c>
      <x:c r="F758" s="19" t="str">
        <x:v>酸辣鸡杂</x:v>
      </x:c>
      <x:c r="G758" s="20" t="n">
        <x:f>SUMIFS('7日销售明细'!$K$5:$K$2244,'7日销售明细'!$B$5:$B$2244,B758,'7日销售明细'!$D$5:$D$2244,C758,'7日销售明细'!$H$5:$H$2244,E758)</x:f>
        <x:v>7</x:v>
      </x:c>
      <x:c r="H758" s="35" t="n">
        <x:f>SUMIFS('7日销售明细'!$L$5:$L$2244,'7日销售明细'!$B$5:$B$2244,B758,'7日销售明细'!$D$5:$D$2244,C758,'7日销售明细'!$H$5:$H$2244,E758)</x:f>
        <x:v>196</x:v>
      </x:c>
      <x:c r="I758" s="35" t="n">
        <x:f>G758*XLOOKUP(E758,'菜品主数据'!$A$5:$A$24,'菜品主数据'!$G$5:$G$24,0)</x:f>
        <x:v>58.20500000000001</x:v>
      </x:c>
    </x:row>
    <x:row r="759">
      <x:c r="A759" s="19" t="str">
        <x:v>2026-07-09|S06|D15</x:v>
      </x:c>
      <x:c r="B759" s="34" t="n">
        <x:v>46212.5</x:v>
      </x:c>
      <x:c r="C759" s="19" t="str">
        <x:v>S06</x:v>
      </x:c>
      <x:c r="D759" s="19" t="str">
        <x:v>蓝钻天城店</x:v>
      </x:c>
      <x:c r="E759" s="19" t="str">
        <x:v>D15</x:v>
      </x:c>
      <x:c r="F759" s="19" t="str">
        <x:v>湘西土匪猪肝</x:v>
      </x:c>
      <x:c r="G759" s="20" t="n">
        <x:f>SUMIFS('7日销售明细'!$K$5:$K$2244,'7日销售明细'!$B$5:$B$2244,B759,'7日销售明细'!$D$5:$D$2244,C759,'7日销售明细'!$H$5:$H$2244,E759)</x:f>
        <x:v>6</x:v>
      </x:c>
      <x:c r="H759" s="35" t="n">
        <x:f>SUMIFS('7日销售明细'!$L$5:$L$2244,'7日销售明细'!$B$5:$B$2244,B759,'7日销售明细'!$D$5:$D$2244,C759,'7日销售明细'!$H$5:$H$2244,E759)</x:f>
        <x:v>156</x:v>
      </x:c>
      <x:c r="I759" s="35" t="n">
        <x:f>G759*XLOOKUP(E759,'菜品主数据'!$A$5:$A$24,'菜品主数据'!$G$5:$G$24,0)</x:f>
        <x:v>38.256</x:v>
      </x:c>
    </x:row>
    <x:row r="760">
      <x:c r="A760" s="19" t="str">
        <x:v>2026-07-09|S06|D16</x:v>
      </x:c>
      <x:c r="B760" s="34" t="n">
        <x:v>46212.5</x:v>
      </x:c>
      <x:c r="C760" s="19" t="str">
        <x:v>S06</x:v>
      </x:c>
      <x:c r="D760" s="19" t="str">
        <x:v>蓝钻天城店</x:v>
      </x:c>
      <x:c r="E760" s="19" t="str">
        <x:v>D16</x:v>
      </x:c>
      <x:c r="F760" s="19" t="str">
        <x:v>小豆角炒五花</x:v>
      </x:c>
      <x:c r="G760" s="20" t="n">
        <x:f>SUMIFS('7日销售明细'!$K$5:$K$2244,'7日销售明细'!$B$5:$B$2244,B760,'7日销售明细'!$D$5:$D$2244,C760,'7日销售明细'!$H$5:$H$2244,E760)</x:f>
        <x:v>7</x:v>
      </x:c>
      <x:c r="H760" s="35" t="n">
        <x:f>SUMIFS('7日销售明细'!$L$5:$L$2244,'7日销售明细'!$B$5:$B$2244,B760,'7日销售明细'!$D$5:$D$2244,C760,'7日销售明细'!$H$5:$H$2244,E760)</x:f>
        <x:v>175</x:v>
      </x:c>
      <x:c r="I760" s="35" t="n">
        <x:f>G760*XLOOKUP(E760,'菜品主数据'!$A$5:$A$24,'菜品主数据'!$G$5:$G$24,0)</x:f>
        <x:v>57.288</x:v>
      </x:c>
    </x:row>
    <x:row r="761">
      <x:c r="A761" s="19" t="str">
        <x:v>2026-07-09|S06|D17</x:v>
      </x:c>
      <x:c r="B761" s="34" t="n">
        <x:v>46212.5</x:v>
      </x:c>
      <x:c r="C761" s="19" t="str">
        <x:v>S06</x:v>
      </x:c>
      <x:c r="D761" s="19" t="str">
        <x:v>蓝钻天城店</x:v>
      </x:c>
      <x:c r="E761" s="19" t="str">
        <x:v>D17</x:v>
      </x:c>
      <x:c r="F761" s="19" t="str">
        <x:v>蒜蓉粉丝虾</x:v>
      </x:c>
      <x:c r="G761" s="20" t="n">
        <x:f>SUMIFS('7日销售明细'!$K$5:$K$2244,'7日销售明细'!$B$5:$B$2244,B761,'7日销售明细'!$D$5:$D$2244,C761,'7日销售明细'!$H$5:$H$2244,E761)</x:f>
        <x:v>4</x:v>
      </x:c>
      <x:c r="H761" s="35" t="n">
        <x:f>SUMIFS('7日销售明细'!$L$5:$L$2244,'7日销售明细'!$B$5:$B$2244,B761,'7日销售明细'!$D$5:$D$2244,C761,'7日销售明细'!$H$5:$H$2244,E761)</x:f>
        <x:v>144</x:v>
      </x:c>
      <x:c r="I761" s="35" t="n">
        <x:f>G761*XLOOKUP(E761,'菜品主数据'!$A$5:$A$24,'菜品主数据'!$G$5:$G$24,0)</x:f>
        <x:v>54.376</x:v>
      </x:c>
    </x:row>
    <x:row r="762">
      <x:c r="A762" s="19" t="str">
        <x:v>2026-07-09|S06|D18</x:v>
      </x:c>
      <x:c r="B762" s="34" t="n">
        <x:v>46212.5</x:v>
      </x:c>
      <x:c r="C762" s="19" t="str">
        <x:v>S06</x:v>
      </x:c>
      <x:c r="D762" s="19" t="str">
        <x:v>蓝钻天城店</x:v>
      </x:c>
      <x:c r="E762" s="19" t="str">
        <x:v>D18</x:v>
      </x:c>
      <x:c r="F762" s="19" t="str">
        <x:v>青椒炒油麦菜</x:v>
      </x:c>
      <x:c r="G762" s="20" t="n">
        <x:f>SUMIFS('7日销售明细'!$K$5:$K$2244,'7日销售明细'!$B$5:$B$2244,B762,'7日销售明细'!$D$5:$D$2244,C762,'7日销售明细'!$H$5:$H$2244,E762)</x:f>
        <x:v>8</x:v>
      </x:c>
      <x:c r="H762" s="35" t="n">
        <x:f>SUMIFS('7日销售明细'!$L$5:$L$2244,'7日销售明细'!$B$5:$B$2244,B762,'7日销售明细'!$D$5:$D$2244,C762,'7日销售明细'!$H$5:$H$2244,E762)</x:f>
        <x:v>144</x:v>
      </x:c>
      <x:c r="I762" s="35" t="n">
        <x:f>G762*XLOOKUP(E762,'菜品主数据'!$A$5:$A$24,'菜品主数据'!$G$5:$G$24,0)</x:f>
        <x:v>25.407999999999994</x:v>
      </x:c>
    </x:row>
    <x:row r="763">
      <x:c r="A763" s="19" t="str">
        <x:v>2026-07-09|S06|D19</x:v>
      </x:c>
      <x:c r="B763" s="34" t="n">
        <x:v>46212.5</x:v>
      </x:c>
      <x:c r="C763" s="19" t="str">
        <x:v>S06</x:v>
      </x:c>
      <x:c r="D763" s="19" t="str">
        <x:v>蓝钻天城店</x:v>
      </x:c>
      <x:c r="E763" s="19" t="str">
        <x:v>D19</x:v>
      </x:c>
      <x:c r="F763" s="19" t="str">
        <x:v>酸萝卜炒鸡杂</x:v>
      </x:c>
      <x:c r="G763" s="20" t="n">
        <x:f>SUMIFS('7日销售明细'!$K$5:$K$2244,'7日销售明细'!$B$5:$B$2244,B763,'7日销售明细'!$D$5:$D$2244,C763,'7日销售明细'!$H$5:$H$2244,E763)</x:f>
        <x:v>5</x:v>
      </x:c>
      <x:c r="H763" s="35" t="n">
        <x:f>SUMIFS('7日销售明细'!$L$5:$L$2244,'7日销售明细'!$B$5:$B$2244,B763,'7日销售明细'!$D$5:$D$2244,C763,'7日销售明细'!$H$5:$H$2244,E763)</x:f>
        <x:v>125</x:v>
      </x:c>
      <x:c r="I763" s="35" t="n">
        <x:f>G763*XLOOKUP(E763,'菜品主数据'!$A$5:$A$24,'菜品主数据'!$G$5:$G$24,0)</x:f>
        <x:v>39.699999999999996</x:v>
      </x:c>
    </x:row>
    <x:row r="764">
      <x:c r="A764" s="19" t="str">
        <x:v>2026-07-09|S06|D20</x:v>
      </x:c>
      <x:c r="B764" s="34" t="n">
        <x:v>46212.5</x:v>
      </x:c>
      <x:c r="C764" s="19" t="str">
        <x:v>S06</x:v>
      </x:c>
      <x:c r="D764" s="19" t="str">
        <x:v>蓝钻天城店</x:v>
      </x:c>
      <x:c r="E764" s="19" t="str">
        <x:v>D20</x:v>
      </x:c>
      <x:c r="F764" s="19" t="str">
        <x:v>雪菜肉末青豆</x:v>
      </x:c>
      <x:c r="G764" s="20" t="n">
        <x:f>SUMIFS('7日销售明细'!$K$5:$K$2244,'7日销售明细'!$B$5:$B$2244,B764,'7日销售明细'!$D$5:$D$2244,C764,'7日销售明细'!$H$5:$H$2244,E764)</x:f>
        <x:v>8</x:v>
      </x:c>
      <x:c r="H764" s="35" t="n">
        <x:f>SUMIFS('7日销售明细'!$L$5:$L$2244,'7日销售明细'!$B$5:$B$2244,B764,'7日销售明细'!$D$5:$D$2244,C764,'7日销售明细'!$H$5:$H$2244,E764)</x:f>
        <x:v>144</x:v>
      </x:c>
      <x:c r="I764" s="35" t="n">
        <x:f>G764*XLOOKUP(E764,'菜品主数据'!$A$5:$A$24,'菜品主数据'!$G$5:$G$24,0)</x:f>
        <x:v>58.431999999999995</x:v>
      </x:c>
    </x:row>
    <x:row r="765">
      <x:c r="A765" s="19" t="str">
        <x:v>2026-07-10|S06|D01</x:v>
      </x:c>
      <x:c r="B765" s="34" t="n">
        <x:v>46213.5</x:v>
      </x:c>
      <x:c r="C765" s="19" t="str">
        <x:v>S06</x:v>
      </x:c>
      <x:c r="D765" s="19" t="str">
        <x:v>蓝钻天城店</x:v>
      </x:c>
      <x:c r="E765" s="19" t="str">
        <x:v>D01</x:v>
      </x:c>
      <x:c r="F765" s="19" t="str">
        <x:v>辣椒炒肉</x:v>
      </x:c>
      <x:c r="G765" s="20" t="n">
        <x:f>SUMIFS('7日销售明细'!$K$5:$K$2244,'7日销售明细'!$B$5:$B$2244,B765,'7日销售明细'!$D$5:$D$2244,C765,'7日销售明细'!$H$5:$H$2244,E765)</x:f>
        <x:v>44</x:v>
      </x:c>
      <x:c r="H765" s="35" t="n">
        <x:f>SUMIFS('7日销售明细'!$L$5:$L$2244,'7日销售明细'!$B$5:$B$2244,B765,'7日销售明细'!$D$5:$D$2244,C765,'7日销售明细'!$H$5:$H$2244,E765)</x:f>
        <x:v>1276</x:v>
      </x:c>
      <x:c r="I765" s="35" t="n">
        <x:f>G765*XLOOKUP(E765,'菜品主数据'!$A$5:$A$24,'菜品主数据'!$G$5:$G$24,0)</x:f>
        <x:v>379.91360000000003</x:v>
      </x:c>
    </x:row>
    <x:row r="766">
      <x:c r="A766" s="19" t="str">
        <x:v>2026-07-10|S06|D02</x:v>
      </x:c>
      <x:c r="B766" s="34" t="n">
        <x:v>46213.5</x:v>
      </x:c>
      <x:c r="C766" s="19" t="str">
        <x:v>S06</x:v>
      </x:c>
      <x:c r="D766" s="19" t="str">
        <x:v>蓝钻天城店</x:v>
      </x:c>
      <x:c r="E766" s="19" t="str">
        <x:v>D02</x:v>
      </x:c>
      <x:c r="F766" s="19" t="str">
        <x:v>小炒黄牛肉</x:v>
      </x:c>
      <x:c r="G766" s="20" t="n">
        <x:f>SUMIFS('7日销售明细'!$K$5:$K$2244,'7日销售明细'!$B$5:$B$2244,B766,'7日销售明细'!$D$5:$D$2244,C766,'7日销售明细'!$H$5:$H$2244,E766)</x:f>
        <x:v>32</x:v>
      </x:c>
      <x:c r="H766" s="35" t="n">
        <x:f>SUMIFS('7日销售明细'!$L$5:$L$2244,'7日销售明细'!$B$5:$B$2244,B766,'7日销售明细'!$D$5:$D$2244,C766,'7日销售明细'!$H$5:$H$2244,E766)</x:f>
        <x:v>1568</x:v>
      </x:c>
      <x:c r="I766" s="35" t="n">
        <x:f>G766*XLOOKUP(E766,'菜品主数据'!$A$5:$A$24,'菜品主数据'!$G$5:$G$24,0)</x:f>
        <x:v>562.464</x:v>
      </x:c>
    </x:row>
    <x:row r="767">
      <x:c r="A767" s="19" t="str">
        <x:v>2026-07-10|S06|D03</x:v>
      </x:c>
      <x:c r="B767" s="34" t="n">
        <x:v>46213.5</x:v>
      </x:c>
      <x:c r="C767" s="19" t="str">
        <x:v>S06</x:v>
      </x:c>
      <x:c r="D767" s="19" t="str">
        <x:v>蓝钻天城店</x:v>
      </x:c>
      <x:c r="E767" s="19" t="str">
        <x:v>D03</x:v>
      </x:c>
      <x:c r="F767" s="19" t="str">
        <x:v>香醋炒蛋</x:v>
      </x:c>
      <x:c r="G767" s="20" t="n">
        <x:f>SUMIFS('7日销售明细'!$K$5:$K$2244,'7日销售明细'!$B$5:$B$2244,B767,'7日销售明细'!$D$5:$D$2244,C767,'7日销售明细'!$H$5:$H$2244,E767)</x:f>
        <x:v>40</x:v>
      </x:c>
      <x:c r="H767" s="35" t="n">
        <x:f>SUMIFS('7日销售明细'!$L$5:$L$2244,'7日销售明细'!$B$5:$B$2244,B767,'7日销售明细'!$D$5:$D$2244,C767,'7日销售明细'!$H$5:$H$2244,E767)</x:f>
        <x:v>596</x:v>
      </x:c>
      <x:c r="I767" s="35" t="n">
        <x:f>G767*XLOOKUP(E767,'菜品主数据'!$A$5:$A$24,'菜品主数据'!$G$5:$G$24,0)</x:f>
        <x:v>149.83999999999997</x:v>
      </x:c>
    </x:row>
    <x:row r="768">
      <x:c r="A768" s="19" t="str">
        <x:v>2026-07-10|S06|D04</x:v>
      </x:c>
      <x:c r="B768" s="34" t="n">
        <x:v>46213.5</x:v>
      </x:c>
      <x:c r="C768" s="19" t="str">
        <x:v>S06</x:v>
      </x:c>
      <x:c r="D768" s="19" t="str">
        <x:v>蓝钻天城店</x:v>
      </x:c>
      <x:c r="E768" s="19" t="str">
        <x:v>D04</x:v>
      </x:c>
      <x:c r="F768" s="19" t="str">
        <x:v>酸包菜炒粉皮</x:v>
      </x:c>
      <x:c r="G768" s="20" t="n">
        <x:f>SUMIFS('7日销售明细'!$K$5:$K$2244,'7日销售明细'!$B$5:$B$2244,B768,'7日销售明细'!$D$5:$D$2244,C768,'7日销售明细'!$H$5:$H$2244,E768)</x:f>
        <x:v>38</x:v>
      </x:c>
      <x:c r="H768" s="35" t="n">
        <x:f>SUMIFS('7日销售明细'!$L$5:$L$2244,'7日销售明细'!$B$5:$B$2244,B768,'7日销售明细'!$D$5:$D$2244,C768,'7日销售明细'!$H$5:$H$2244,E768)</x:f>
        <x:v>608</x:v>
      </x:c>
      <x:c r="I768" s="35" t="n">
        <x:f>G768*XLOOKUP(E768,'菜品主数据'!$A$5:$A$24,'菜品主数据'!$G$5:$G$24,0)</x:f>
        <x:v>151.16400000000002</x:v>
      </x:c>
    </x:row>
    <x:row r="769">
      <x:c r="A769" s="19" t="str">
        <x:v>2026-07-10|S06|D05</x:v>
      </x:c>
      <x:c r="B769" s="34" t="n">
        <x:v>46213.5</x:v>
      </x:c>
      <x:c r="C769" s="19" t="str">
        <x:v>S06</x:v>
      </x:c>
      <x:c r="D769" s="19" t="str">
        <x:v>蓝钻天城店</x:v>
      </x:c>
      <x:c r="E769" s="19" t="str">
        <x:v>D05</x:v>
      </x:c>
      <x:c r="F769" s="19" t="str">
        <x:v>麻婆豆腐</x:v>
      </x:c>
      <x:c r="G769" s="20" t="n">
        <x:f>SUMIFS('7日销售明细'!$K$5:$K$2244,'7日销售明细'!$B$5:$B$2244,B769,'7日销售明细'!$D$5:$D$2244,C769,'7日销售明细'!$H$5:$H$2244,E769)</x:f>
        <x:v>53</x:v>
      </x:c>
      <x:c r="H769" s="35" t="n">
        <x:f>SUMIFS('7日销售明细'!$L$5:$L$2244,'7日销售明细'!$B$5:$B$2244,B769,'7日销售明细'!$D$5:$D$2244,C769,'7日销售明细'!$H$5:$H$2244,E769)</x:f>
        <x:v>524.7</x:v>
      </x:c>
      <x:c r="I769" s="35" t="n">
        <x:f>G769*XLOOKUP(E769,'菜品主数据'!$A$5:$A$24,'菜品主数据'!$G$5:$G$24,0)</x:f>
        <x:v>284.451</x:v>
      </x:c>
    </x:row>
    <x:row r="770">
      <x:c r="A770" s="19" t="str">
        <x:v>2026-07-10|S06|D06</x:v>
      </x:c>
      <x:c r="B770" s="34" t="n">
        <x:v>46213.5</x:v>
      </x:c>
      <x:c r="C770" s="19" t="str">
        <x:v>S06</x:v>
      </x:c>
      <x:c r="D770" s="19" t="str">
        <x:v>蓝钻天城店</x:v>
      </x:c>
      <x:c r="E770" s="19" t="str">
        <x:v>D06</x:v>
      </x:c>
      <x:c r="F770" s="19" t="str">
        <x:v>剁椒鱼头</x:v>
      </x:c>
      <x:c r="G770" s="20" t="n">
        <x:f>SUMIFS('7日销售明细'!$K$5:$K$2244,'7日销售明细'!$B$5:$B$2244,B770,'7日销售明细'!$D$5:$D$2244,C770,'7日销售明细'!$H$5:$H$2244,E770)</x:f>
        <x:v>14</x:v>
      </x:c>
      <x:c r="H770" s="35" t="n">
        <x:f>SUMIFS('7日销售明细'!$L$5:$L$2244,'7日销售明细'!$B$5:$B$2244,B770,'7日销售明细'!$D$5:$D$2244,C770,'7日销售明细'!$H$5:$H$2244,E770)</x:f>
        <x:v>546</x:v>
      </x:c>
      <x:c r="I770" s="35" t="n">
        <x:f>G770*XLOOKUP(E770,'菜品主数据'!$A$5:$A$24,'菜品主数据'!$G$5:$G$24,0)</x:f>
        <x:v>244.24400000000003</x:v>
      </x:c>
    </x:row>
    <x:row r="771">
      <x:c r="A771" s="19" t="str">
        <x:v>2026-07-10|S06|D07</x:v>
      </x:c>
      <x:c r="B771" s="34" t="n">
        <x:v>46213.5</x:v>
      </x:c>
      <x:c r="C771" s="19" t="str">
        <x:v>S06</x:v>
      </x:c>
      <x:c r="D771" s="19" t="str">
        <x:v>蓝钻天城店</x:v>
      </x:c>
      <x:c r="E771" s="19" t="str">
        <x:v>D07</x:v>
      </x:c>
      <x:c r="F771" s="19" t="str">
        <x:v>川味回锅肉</x:v>
      </x:c>
      <x:c r="G771" s="20" t="n">
        <x:f>SUMIFS('7日销售明细'!$K$5:$K$2244,'7日销售明细'!$B$5:$B$2244,B771,'7日销售明细'!$D$5:$D$2244,C771,'7日销售明细'!$H$5:$H$2244,E771)</x:f>
        <x:v>15</x:v>
      </x:c>
      <x:c r="H771" s="35" t="n">
        <x:f>SUMIFS('7日销售明细'!$L$5:$L$2244,'7日销售明细'!$B$5:$B$2244,B771,'7日销售明细'!$D$5:$D$2244,C771,'7日销售明细'!$H$5:$H$2244,E771)</x:f>
        <x:v>435</x:v>
      </x:c>
      <x:c r="I771" s="35" t="n">
        <x:f>G771*XLOOKUP(E771,'菜品主数据'!$A$5:$A$24,'菜品主数据'!$G$5:$G$24,0)</x:f>
        <x:v>153.46500000000003</x:v>
      </x:c>
    </x:row>
    <x:row r="772">
      <x:c r="A772" s="19" t="str">
        <x:v>2026-07-10|S06|D08</x:v>
      </x:c>
      <x:c r="B772" s="34" t="n">
        <x:v>46213.5</x:v>
      </x:c>
      <x:c r="C772" s="19" t="str">
        <x:v>S06</x:v>
      </x:c>
      <x:c r="D772" s="19" t="str">
        <x:v>蓝钻天城店</x:v>
      </x:c>
      <x:c r="E772" s="19" t="str">
        <x:v>D08</x:v>
      </x:c>
      <x:c r="F772" s="19" t="str">
        <x:v>生炒清远鸡</x:v>
      </x:c>
      <x:c r="G772" s="20" t="n">
        <x:f>SUMIFS('7日销售明细'!$K$5:$K$2244,'7日销售明细'!$B$5:$B$2244,B772,'7日销售明细'!$D$5:$D$2244,C772,'7日销售明细'!$H$5:$H$2244,E772)</x:f>
        <x:v>11</x:v>
      </x:c>
      <x:c r="H772" s="35" t="n">
        <x:f>SUMIFS('7日销售明细'!$L$5:$L$2244,'7日销售明细'!$B$5:$B$2244,B772,'7日销售明细'!$D$5:$D$2244,C772,'7日销售明细'!$H$5:$H$2244,E772)</x:f>
        <x:v>396</x:v>
      </x:c>
      <x:c r="I772" s="35" t="n">
        <x:f>G772*XLOOKUP(E772,'菜品主数据'!$A$5:$A$24,'菜品主数据'!$G$5:$G$24,0)</x:f>
        <x:v>148.28</x:v>
      </x:c>
    </x:row>
    <x:row r="773">
      <x:c r="A773" s="19" t="str">
        <x:v>2026-07-10|S06|D09</x:v>
      </x:c>
      <x:c r="B773" s="34" t="n">
        <x:v>46213.5</x:v>
      </x:c>
      <x:c r="C773" s="19" t="str">
        <x:v>S06</x:v>
      </x:c>
      <x:c r="D773" s="19" t="str">
        <x:v>蓝钻天城店</x:v>
      </x:c>
      <x:c r="E773" s="19" t="str">
        <x:v>D09</x:v>
      </x:c>
      <x:c r="F773" s="19" t="str">
        <x:v>炒豆干</x:v>
      </x:c>
      <x:c r="G773" s="20" t="n">
        <x:f>SUMIFS('7日销售明细'!$K$5:$K$2244,'7日销售明细'!$B$5:$B$2244,B773,'7日销售明细'!$D$5:$D$2244,C773,'7日销售明细'!$H$5:$H$2244,E773)</x:f>
        <x:v>15</x:v>
      </x:c>
      <x:c r="H773" s="35" t="n">
        <x:f>SUMIFS('7日销售明细'!$L$5:$L$2244,'7日销售明细'!$B$5:$B$2244,B773,'7日销售明细'!$D$5:$D$2244,C773,'7日销售明细'!$H$5:$H$2244,E773)</x:f>
        <x:v>270</x:v>
      </x:c>
      <x:c r="I773" s="35" t="n">
        <x:f>G773*XLOOKUP(E773,'菜品主数据'!$A$5:$A$24,'菜品主数据'!$G$5:$G$24,0)</x:f>
        <x:v>99.20999999999998</x:v>
      </x:c>
    </x:row>
    <x:row r="774">
      <x:c r="A774" s="19" t="str">
        <x:v>2026-07-10|S06|D10</x:v>
      </x:c>
      <x:c r="B774" s="34" t="n">
        <x:v>46213.5</x:v>
      </x:c>
      <x:c r="C774" s="19" t="str">
        <x:v>S06</x:v>
      </x:c>
      <x:c r="D774" s="19" t="str">
        <x:v>蓝钻天城店</x:v>
      </x:c>
      <x:c r="E774" s="19" t="str">
        <x:v>D10</x:v>
      </x:c>
      <x:c r="F774" s="19" t="str">
        <x:v>农家一碗香</x:v>
      </x:c>
      <x:c r="G774" s="20" t="n">
        <x:f>SUMIFS('7日销售明细'!$K$5:$K$2244,'7日销售明细'!$B$5:$B$2244,B774,'7日销售明细'!$D$5:$D$2244,C774,'7日销售明细'!$H$5:$H$2244,E774)</x:f>
        <x:v>19</x:v>
      </x:c>
      <x:c r="H774" s="35" t="n">
        <x:f>SUMIFS('7日销售明细'!$L$5:$L$2244,'7日销售明细'!$B$5:$B$2244,B774,'7日销售明细'!$D$5:$D$2244,C774,'7日销售明细'!$H$5:$H$2244,E774)</x:f>
        <x:v>435.09999999999997</x:v>
      </x:c>
      <x:c r="I774" s="35" t="n">
        <x:f>G774*XLOOKUP(E774,'菜品主数据'!$A$5:$A$24,'菜品主数据'!$G$5:$G$24,0)</x:f>
        <x:v>185.63380000000006</x:v>
      </x:c>
    </x:row>
    <x:row r="775">
      <x:c r="A775" s="19" t="str">
        <x:v>2026-07-10|S06|D11</x:v>
      </x:c>
      <x:c r="B775" s="34" t="n">
        <x:v>46213.5</x:v>
      </x:c>
      <x:c r="C775" s="19" t="str">
        <x:v>S06</x:v>
      </x:c>
      <x:c r="D775" s="19" t="str">
        <x:v>蓝钻天城店</x:v>
      </x:c>
      <x:c r="E775" s="19" t="str">
        <x:v>D11</x:v>
      </x:c>
      <x:c r="F775" s="19" t="str">
        <x:v>香辣爆肥肠</x:v>
      </x:c>
      <x:c r="G775" s="20" t="n">
        <x:f>SUMIFS('7日销售明细'!$K$5:$K$2244,'7日销售明细'!$B$5:$B$2244,B775,'7日销售明细'!$D$5:$D$2244,C775,'7日销售明细'!$H$5:$H$2244,E775)</x:f>
        <x:v>6</x:v>
      </x:c>
      <x:c r="H775" s="35" t="n">
        <x:f>SUMIFS('7日销售明细'!$L$5:$L$2244,'7日销售明细'!$B$5:$B$2244,B775,'7日销售明细'!$D$5:$D$2244,C775,'7日销售明细'!$H$5:$H$2244,E775)</x:f>
        <x:v>234</x:v>
      </x:c>
      <x:c r="I775" s="35" t="n">
        <x:f>G775*XLOOKUP(E775,'菜品主数据'!$A$5:$A$24,'菜品主数据'!$G$5:$G$24,0)</x:f>
        <x:v>62.382000000000005</x:v>
      </x:c>
    </x:row>
    <x:row r="776">
      <x:c r="A776" s="19" t="str">
        <x:v>2026-07-10|S06|D12</x:v>
      </x:c>
      <x:c r="B776" s="34" t="n">
        <x:v>46213.5</x:v>
      </x:c>
      <x:c r="C776" s="19" t="str">
        <x:v>S06</x:v>
      </x:c>
      <x:c r="D776" s="19" t="str">
        <x:v>蓝钻天城店</x:v>
      </x:c>
      <x:c r="E776" s="19" t="str">
        <x:v>D12</x:v>
      </x:c>
      <x:c r="F776" s="19" t="str">
        <x:v>清蒸鲈鱼</x:v>
      </x:c>
      <x:c r="G776" s="20" t="n">
        <x:f>SUMIFS('7日销售明细'!$K$5:$K$2244,'7日销售明细'!$B$5:$B$2244,B776,'7日销售明细'!$D$5:$D$2244,C776,'7日销售明细'!$H$5:$H$2244,E776)</x:f>
        <x:v>6</x:v>
      </x:c>
      <x:c r="H776" s="35" t="n">
        <x:f>SUMIFS('7日销售明细'!$L$5:$L$2244,'7日销售明细'!$B$5:$B$2244,B776,'7日销售明细'!$D$5:$D$2244,C776,'7日销售明细'!$H$5:$H$2244,E776)</x:f>
        <x:v>234</x:v>
      </x:c>
      <x:c r="I776" s="35" t="n">
        <x:f>G776*XLOOKUP(E776,'菜品主数据'!$A$5:$A$24,'菜品主数据'!$G$5:$G$24,0)</x:f>
        <x:v>113.244</x:v>
      </x:c>
    </x:row>
    <x:row r="777">
      <x:c r="A777" s="19" t="str">
        <x:v>2026-07-10|S06|D13</x:v>
      </x:c>
      <x:c r="B777" s="34" t="n">
        <x:v>46213.5</x:v>
      </x:c>
      <x:c r="C777" s="19" t="str">
        <x:v>S06</x:v>
      </x:c>
      <x:c r="D777" s="19" t="str">
        <x:v>蓝钻天城店</x:v>
      </x:c>
      <x:c r="E777" s="19" t="str">
        <x:v>D13</x:v>
      </x:c>
      <x:c r="F777" s="19" t="str">
        <x:v>外婆菜炒蛋</x:v>
      </x:c>
      <x:c r="G777" s="20" t="n">
        <x:f>SUMIFS('7日销售明细'!$K$5:$K$2244,'7日销售明细'!$B$5:$B$2244,B777,'7日销售明细'!$D$5:$D$2244,C777,'7日销售明细'!$H$5:$H$2244,E777)</x:f>
        <x:v>16</x:v>
      </x:c>
      <x:c r="H777" s="35" t="n">
        <x:f>SUMIFS('7日销售明细'!$L$5:$L$2244,'7日销售明细'!$B$5:$B$2244,B777,'7日销售明细'!$D$5:$D$2244,C777,'7日销售明细'!$H$5:$H$2244,E777)</x:f>
        <x:v>288</x:v>
      </x:c>
      <x:c r="I777" s="35" t="n">
        <x:f>G777*XLOOKUP(E777,'菜品主数据'!$A$5:$A$24,'菜品主数据'!$G$5:$G$24,0)</x:f>
        <x:v>86.46399999999998</x:v>
      </x:c>
    </x:row>
    <x:row r="778">
      <x:c r="A778" s="19" t="str">
        <x:v>2026-07-10|S06|D14</x:v>
      </x:c>
      <x:c r="B778" s="34" t="n">
        <x:v>46213.5</x:v>
      </x:c>
      <x:c r="C778" s="19" t="str">
        <x:v>S06</x:v>
      </x:c>
      <x:c r="D778" s="19" t="str">
        <x:v>蓝钻天城店</x:v>
      </x:c>
      <x:c r="E778" s="19" t="str">
        <x:v>D14</x:v>
      </x:c>
      <x:c r="F778" s="19" t="str">
        <x:v>酸辣鸡杂</x:v>
      </x:c>
      <x:c r="G778" s="20" t="n">
        <x:f>SUMIFS('7日销售明细'!$K$5:$K$2244,'7日销售明细'!$B$5:$B$2244,B778,'7日销售明细'!$D$5:$D$2244,C778,'7日销售明细'!$H$5:$H$2244,E778)</x:f>
        <x:v>8</x:v>
      </x:c>
      <x:c r="H778" s="35" t="n">
        <x:f>SUMIFS('7日销售明细'!$L$5:$L$2244,'7日销售明细'!$B$5:$B$2244,B778,'7日销售明细'!$D$5:$D$2244,C778,'7日销售明细'!$H$5:$H$2244,E778)</x:f>
        <x:v>224</x:v>
      </x:c>
      <x:c r="I778" s="35" t="n">
        <x:f>G778*XLOOKUP(E778,'菜品主数据'!$A$5:$A$24,'菜品主数据'!$G$5:$G$24,0)</x:f>
        <x:v>66.52000000000001</x:v>
      </x:c>
    </x:row>
    <x:row r="779">
      <x:c r="A779" s="19" t="str">
        <x:v>2026-07-10|S06|D15</x:v>
      </x:c>
      <x:c r="B779" s="34" t="n">
        <x:v>46213.5</x:v>
      </x:c>
      <x:c r="C779" s="19" t="str">
        <x:v>S06</x:v>
      </x:c>
      <x:c r="D779" s="19" t="str">
        <x:v>蓝钻天城店</x:v>
      </x:c>
      <x:c r="E779" s="19" t="str">
        <x:v>D15</x:v>
      </x:c>
      <x:c r="F779" s="19" t="str">
        <x:v>湘西土匪猪肝</x:v>
      </x:c>
      <x:c r="G779" s="20" t="n">
        <x:f>SUMIFS('7日销售明细'!$K$5:$K$2244,'7日销售明细'!$B$5:$B$2244,B779,'7日销售明细'!$D$5:$D$2244,C779,'7日销售明细'!$H$5:$H$2244,E779)</x:f>
        <x:v>6</x:v>
      </x:c>
      <x:c r="H779" s="35" t="n">
        <x:f>SUMIFS('7日销售明细'!$L$5:$L$2244,'7日销售明细'!$B$5:$B$2244,B779,'7日销售明细'!$D$5:$D$2244,C779,'7日销售明细'!$H$5:$H$2244,E779)</x:f>
        <x:v>156</x:v>
      </x:c>
      <x:c r="I779" s="35" t="n">
        <x:f>G779*XLOOKUP(E779,'菜品主数据'!$A$5:$A$24,'菜品主数据'!$G$5:$G$24,0)</x:f>
        <x:v>38.256</x:v>
      </x:c>
    </x:row>
    <x:row r="780">
      <x:c r="A780" s="19" t="str">
        <x:v>2026-07-10|S06|D16</x:v>
      </x:c>
      <x:c r="B780" s="34" t="n">
        <x:v>46213.5</x:v>
      </x:c>
      <x:c r="C780" s="19" t="str">
        <x:v>S06</x:v>
      </x:c>
      <x:c r="D780" s="19" t="str">
        <x:v>蓝钻天城店</x:v>
      </x:c>
      <x:c r="E780" s="19" t="str">
        <x:v>D16</x:v>
      </x:c>
      <x:c r="F780" s="19" t="str">
        <x:v>小豆角炒五花</x:v>
      </x:c>
      <x:c r="G780" s="20" t="n">
        <x:f>SUMIFS('7日销售明细'!$K$5:$K$2244,'7日销售明细'!$B$5:$B$2244,B780,'7日销售明细'!$D$5:$D$2244,C780,'7日销售明细'!$H$5:$H$2244,E780)</x:f>
        <x:v>7</x:v>
      </x:c>
      <x:c r="H780" s="35" t="n">
        <x:f>SUMIFS('7日销售明细'!$L$5:$L$2244,'7日销售明细'!$B$5:$B$2244,B780,'7日销售明细'!$D$5:$D$2244,C780,'7日销售明细'!$H$5:$H$2244,E780)</x:f>
        <x:v>175</x:v>
      </x:c>
      <x:c r="I780" s="35" t="n">
        <x:f>G780*XLOOKUP(E780,'菜品主数据'!$A$5:$A$24,'菜品主数据'!$G$5:$G$24,0)</x:f>
        <x:v>57.288</x:v>
      </x:c>
    </x:row>
    <x:row r="781">
      <x:c r="A781" s="19" t="str">
        <x:v>2026-07-10|S06|D17</x:v>
      </x:c>
      <x:c r="B781" s="34" t="n">
        <x:v>46213.5</x:v>
      </x:c>
      <x:c r="C781" s="19" t="str">
        <x:v>S06</x:v>
      </x:c>
      <x:c r="D781" s="19" t="str">
        <x:v>蓝钻天城店</x:v>
      </x:c>
      <x:c r="E781" s="19" t="str">
        <x:v>D17</x:v>
      </x:c>
      <x:c r="F781" s="19" t="str">
        <x:v>蒜蓉粉丝虾</x:v>
      </x:c>
      <x:c r="G781" s="20" t="n">
        <x:f>SUMIFS('7日销售明细'!$K$5:$K$2244,'7日销售明细'!$B$5:$B$2244,B781,'7日销售明细'!$D$5:$D$2244,C781,'7日销售明细'!$H$5:$H$2244,E781)</x:f>
        <x:v>4</x:v>
      </x:c>
      <x:c r="H781" s="35" t="n">
        <x:f>SUMIFS('7日销售明细'!$L$5:$L$2244,'7日销售明细'!$B$5:$B$2244,B781,'7日销售明细'!$D$5:$D$2244,C781,'7日销售明细'!$H$5:$H$2244,E781)</x:f>
        <x:v>144</x:v>
      </x:c>
      <x:c r="I781" s="35" t="n">
        <x:f>G781*XLOOKUP(E781,'菜品主数据'!$A$5:$A$24,'菜品主数据'!$G$5:$G$24,0)</x:f>
        <x:v>54.376</x:v>
      </x:c>
    </x:row>
    <x:row r="782">
      <x:c r="A782" s="19" t="str">
        <x:v>2026-07-10|S06|D18</x:v>
      </x:c>
      <x:c r="B782" s="34" t="n">
        <x:v>46213.5</x:v>
      </x:c>
      <x:c r="C782" s="19" t="str">
        <x:v>S06</x:v>
      </x:c>
      <x:c r="D782" s="19" t="str">
        <x:v>蓝钻天城店</x:v>
      </x:c>
      <x:c r="E782" s="19" t="str">
        <x:v>D18</x:v>
      </x:c>
      <x:c r="F782" s="19" t="str">
        <x:v>青椒炒油麦菜</x:v>
      </x:c>
      <x:c r="G782" s="20" t="n">
        <x:f>SUMIFS('7日销售明细'!$K$5:$K$2244,'7日销售明细'!$B$5:$B$2244,B782,'7日销售明细'!$D$5:$D$2244,C782,'7日销售明细'!$H$5:$H$2244,E782)</x:f>
        <x:v>9</x:v>
      </x:c>
      <x:c r="H782" s="35" t="n">
        <x:f>SUMIFS('7日销售明细'!$L$5:$L$2244,'7日销售明细'!$B$5:$B$2244,B782,'7日销售明细'!$D$5:$D$2244,C782,'7日销售明细'!$H$5:$H$2244,E782)</x:f>
        <x:v>162</x:v>
      </x:c>
      <x:c r="I782" s="35" t="n">
        <x:f>G782*XLOOKUP(E782,'菜品主数据'!$A$5:$A$24,'菜品主数据'!$G$5:$G$24,0)</x:f>
        <x:v>28.583999999999993</x:v>
      </x:c>
    </x:row>
    <x:row r="783">
      <x:c r="A783" s="19" t="str">
        <x:v>2026-07-10|S06|D19</x:v>
      </x:c>
      <x:c r="B783" s="34" t="n">
        <x:v>46213.5</x:v>
      </x:c>
      <x:c r="C783" s="19" t="str">
        <x:v>S06</x:v>
      </x:c>
      <x:c r="D783" s="19" t="str">
        <x:v>蓝钻天城店</x:v>
      </x:c>
      <x:c r="E783" s="19" t="str">
        <x:v>D19</x:v>
      </x:c>
      <x:c r="F783" s="19" t="str">
        <x:v>酸萝卜炒鸡杂</x:v>
      </x:c>
      <x:c r="G783" s="20" t="n">
        <x:f>SUMIFS('7日销售明细'!$K$5:$K$2244,'7日销售明细'!$B$5:$B$2244,B783,'7日销售明细'!$D$5:$D$2244,C783,'7日销售明细'!$H$5:$H$2244,E783)</x:f>
        <x:v>6</x:v>
      </x:c>
      <x:c r="H783" s="35" t="n">
        <x:f>SUMIFS('7日销售明细'!$L$5:$L$2244,'7日销售明细'!$B$5:$B$2244,B783,'7日销售明细'!$D$5:$D$2244,C783,'7日销售明细'!$H$5:$H$2244,E783)</x:f>
        <x:v>150</x:v>
      </x:c>
      <x:c r="I783" s="35" t="n">
        <x:f>G783*XLOOKUP(E783,'菜品主数据'!$A$5:$A$24,'菜品主数据'!$G$5:$G$24,0)</x:f>
        <x:v>47.64</x:v>
      </x:c>
    </x:row>
    <x:row r="784">
      <x:c r="A784" s="19" t="str">
        <x:v>2026-07-10|S06|D20</x:v>
      </x:c>
      <x:c r="B784" s="34" t="n">
        <x:v>46213.5</x:v>
      </x:c>
      <x:c r="C784" s="19" t="str">
        <x:v>S06</x:v>
      </x:c>
      <x:c r="D784" s="19" t="str">
        <x:v>蓝钻天城店</x:v>
      </x:c>
      <x:c r="E784" s="19" t="str">
        <x:v>D20</x:v>
      </x:c>
      <x:c r="F784" s="19" t="str">
        <x:v>雪菜肉末青豆</x:v>
      </x:c>
      <x:c r="G784" s="20" t="n">
        <x:f>SUMIFS('7日销售明细'!$K$5:$K$2244,'7日销售明细'!$B$5:$B$2244,B784,'7日销售明细'!$D$5:$D$2244,C784,'7日销售明细'!$H$5:$H$2244,E784)</x:f>
        <x:v>8</x:v>
      </x:c>
      <x:c r="H784" s="35" t="n">
        <x:f>SUMIFS('7日销售明细'!$L$5:$L$2244,'7日销售明细'!$B$5:$B$2244,B784,'7日销售明细'!$D$5:$D$2244,C784,'7日销售明细'!$H$5:$H$2244,E784)</x:f>
        <x:v>144</x:v>
      </x:c>
      <x:c r="I784" s="35" t="n">
        <x:f>G784*XLOOKUP(E784,'菜品主数据'!$A$5:$A$24,'菜品主数据'!$G$5:$G$24,0)</x:f>
        <x:v>58.431999999999995</x:v>
      </x:c>
    </x:row>
    <x:row r="785">
      <x:c r="A785" s="19" t="str">
        <x:v>2026-07-11|S06|D01</x:v>
      </x:c>
      <x:c r="B785" s="34" t="n">
        <x:v>46214.5</x:v>
      </x:c>
      <x:c r="C785" s="19" t="str">
        <x:v>S06</x:v>
      </x:c>
      <x:c r="D785" s="19" t="str">
        <x:v>蓝钻天城店</x:v>
      </x:c>
      <x:c r="E785" s="19" t="str">
        <x:v>D01</x:v>
      </x:c>
      <x:c r="F785" s="19" t="str">
        <x:v>辣椒炒肉</x:v>
      </x:c>
      <x:c r="G785" s="20" t="n">
        <x:f>SUMIFS('7日销售明细'!$K$5:$K$2244,'7日销售明细'!$B$5:$B$2244,B785,'7日销售明细'!$D$5:$D$2244,C785,'7日销售明细'!$H$5:$H$2244,E785)</x:f>
        <x:v>36</x:v>
      </x:c>
      <x:c r="H785" s="35" t="n">
        <x:f>SUMIFS('7日销售明细'!$L$5:$L$2244,'7日销售明细'!$B$5:$B$2244,B785,'7日销售明细'!$D$5:$D$2244,C785,'7日销售明细'!$H$5:$H$2244,E785)</x:f>
        <x:v>1044</x:v>
      </x:c>
      <x:c r="I785" s="35" t="n">
        <x:f>G785*XLOOKUP(E785,'菜品主数据'!$A$5:$A$24,'菜品主数据'!$G$5:$G$24,0)</x:f>
        <x:v>310.83840000000004</x:v>
      </x:c>
    </x:row>
    <x:row r="786">
      <x:c r="A786" s="19" t="str">
        <x:v>2026-07-11|S06|D02</x:v>
      </x:c>
      <x:c r="B786" s="34" t="n">
        <x:v>46214.5</x:v>
      </x:c>
      <x:c r="C786" s="19" t="str">
        <x:v>S06</x:v>
      </x:c>
      <x:c r="D786" s="19" t="str">
        <x:v>蓝钻天城店</x:v>
      </x:c>
      <x:c r="E786" s="19" t="str">
        <x:v>D02</x:v>
      </x:c>
      <x:c r="F786" s="19" t="str">
        <x:v>小炒黄牛肉</x:v>
      </x:c>
      <x:c r="G786" s="20" t="n">
        <x:f>SUMIFS('7日销售明细'!$K$5:$K$2244,'7日销售明细'!$B$5:$B$2244,B786,'7日销售明细'!$D$5:$D$2244,C786,'7日销售明细'!$H$5:$H$2244,E786)</x:f>
        <x:v>25</x:v>
      </x:c>
      <x:c r="H786" s="35" t="n">
        <x:f>SUMIFS('7日销售明细'!$L$5:$L$2244,'7日销售明细'!$B$5:$B$2244,B786,'7日销售明细'!$D$5:$D$2244,C786,'7日销售明细'!$H$5:$H$2244,E786)</x:f>
        <x:v>1225</x:v>
      </x:c>
      <x:c r="I786" s="35" t="n">
        <x:f>G786*XLOOKUP(E786,'菜品主数据'!$A$5:$A$24,'菜品主数据'!$G$5:$G$24,0)</x:f>
        <x:v>439.42500000000007</x:v>
      </x:c>
    </x:row>
    <x:row r="787">
      <x:c r="A787" s="19" t="str">
        <x:v>2026-07-11|S06|D03</x:v>
      </x:c>
      <x:c r="B787" s="34" t="n">
        <x:v>46214.5</x:v>
      </x:c>
      <x:c r="C787" s="19" t="str">
        <x:v>S06</x:v>
      </x:c>
      <x:c r="D787" s="19" t="str">
        <x:v>蓝钻天城店</x:v>
      </x:c>
      <x:c r="E787" s="19" t="str">
        <x:v>D03</x:v>
      </x:c>
      <x:c r="F787" s="19" t="str">
        <x:v>香醋炒蛋</x:v>
      </x:c>
      <x:c r="G787" s="20" t="n">
        <x:f>SUMIFS('7日销售明细'!$K$5:$K$2244,'7日销售明细'!$B$5:$B$2244,B787,'7日销售明细'!$D$5:$D$2244,C787,'7日销售明细'!$H$5:$H$2244,E787)</x:f>
        <x:v>29</x:v>
      </x:c>
      <x:c r="H787" s="35" t="n">
        <x:f>SUMIFS('7日销售明细'!$L$5:$L$2244,'7日销售明细'!$B$5:$B$2244,B787,'7日销售明细'!$D$5:$D$2244,C787,'7日销售明细'!$H$5:$H$2244,E787)</x:f>
        <x:v>432.1</x:v>
      </x:c>
      <x:c r="I787" s="35" t="n">
        <x:f>G787*XLOOKUP(E787,'菜品主数据'!$A$5:$A$24,'菜品主数据'!$G$5:$G$24,0)</x:f>
        <x:v>108.63399999999999</x:v>
      </x:c>
    </x:row>
    <x:row r="788">
      <x:c r="A788" s="19" t="str">
        <x:v>2026-07-11|S06|D04</x:v>
      </x:c>
      <x:c r="B788" s="34" t="n">
        <x:v>46214.5</x:v>
      </x:c>
      <x:c r="C788" s="19" t="str">
        <x:v>S06</x:v>
      </x:c>
      <x:c r="D788" s="19" t="str">
        <x:v>蓝钻天城店</x:v>
      </x:c>
      <x:c r="E788" s="19" t="str">
        <x:v>D04</x:v>
      </x:c>
      <x:c r="F788" s="19" t="str">
        <x:v>酸包菜炒粉皮</x:v>
      </x:c>
      <x:c r="G788" s="20" t="n">
        <x:f>SUMIFS('7日销售明细'!$K$5:$K$2244,'7日销售明细'!$B$5:$B$2244,B788,'7日销售明细'!$D$5:$D$2244,C788,'7日销售明细'!$H$5:$H$2244,E788)</x:f>
        <x:v>30</x:v>
      </x:c>
      <x:c r="H788" s="35" t="n">
        <x:f>SUMIFS('7日销售明细'!$L$5:$L$2244,'7日销售明细'!$B$5:$B$2244,B788,'7日销售明细'!$D$5:$D$2244,C788,'7日销售明细'!$H$5:$H$2244,E788)</x:f>
        <x:v>480</x:v>
      </x:c>
      <x:c r="I788" s="35" t="n">
        <x:f>G788*XLOOKUP(E788,'菜品主数据'!$A$5:$A$24,'菜品主数据'!$G$5:$G$24,0)</x:f>
        <x:v>119.34</x:v>
      </x:c>
    </x:row>
    <x:row r="789">
      <x:c r="A789" s="19" t="str">
        <x:v>2026-07-11|S06|D05</x:v>
      </x:c>
      <x:c r="B789" s="34" t="n">
        <x:v>46214.5</x:v>
      </x:c>
      <x:c r="C789" s="19" t="str">
        <x:v>S06</x:v>
      </x:c>
      <x:c r="D789" s="19" t="str">
        <x:v>蓝钻天城店</x:v>
      </x:c>
      <x:c r="E789" s="19" t="str">
        <x:v>D05</x:v>
      </x:c>
      <x:c r="F789" s="19" t="str">
        <x:v>麻婆豆腐</x:v>
      </x:c>
      <x:c r="G789" s="20" t="n">
        <x:f>SUMIFS('7日销售明细'!$K$5:$K$2244,'7日销售明细'!$B$5:$B$2244,B789,'7日销售明细'!$D$5:$D$2244,C789,'7日销售明细'!$H$5:$H$2244,E789)</x:f>
        <x:v>42</x:v>
      </x:c>
      <x:c r="H789" s="35" t="n">
        <x:f>SUMIFS('7日销售明细'!$L$5:$L$2244,'7日销售明细'!$B$5:$B$2244,B789,'7日销售明细'!$D$5:$D$2244,C789,'7日销售明细'!$H$5:$H$2244,E789)</x:f>
        <x:v>415.8</x:v>
      </x:c>
      <x:c r="I789" s="35" t="n">
        <x:f>G789*XLOOKUP(E789,'菜品主数据'!$A$5:$A$24,'菜品主数据'!$G$5:$G$24,0)</x:f>
        <x:v>225.41400000000004</x:v>
      </x:c>
    </x:row>
    <x:row r="790">
      <x:c r="A790" s="19" t="str">
        <x:v>2026-07-11|S06|D06</x:v>
      </x:c>
      <x:c r="B790" s="34" t="n">
        <x:v>46214.5</x:v>
      </x:c>
      <x:c r="C790" s="19" t="str">
        <x:v>S06</x:v>
      </x:c>
      <x:c r="D790" s="19" t="str">
        <x:v>蓝钻天城店</x:v>
      </x:c>
      <x:c r="E790" s="19" t="str">
        <x:v>D06</x:v>
      </x:c>
      <x:c r="F790" s="19" t="str">
        <x:v>剁椒鱼头</x:v>
      </x:c>
      <x:c r="G790" s="20" t="n">
        <x:f>SUMIFS('7日销售明细'!$K$5:$K$2244,'7日销售明细'!$B$5:$B$2244,B790,'7日销售明细'!$D$5:$D$2244,C790,'7日销售明细'!$H$5:$H$2244,E790)</x:f>
        <x:v>9</x:v>
      </x:c>
      <x:c r="H790" s="35" t="n">
        <x:f>SUMIFS('7日销售明细'!$L$5:$L$2244,'7日销售明细'!$B$5:$B$2244,B790,'7日销售明细'!$D$5:$D$2244,C790,'7日销售明细'!$H$5:$H$2244,E790)</x:f>
        <x:v>351</x:v>
      </x:c>
      <x:c r="I790" s="35" t="n">
        <x:f>G790*XLOOKUP(E790,'菜品主数据'!$A$5:$A$24,'菜品主数据'!$G$5:$G$24,0)</x:f>
        <x:v>157.014</x:v>
      </x:c>
    </x:row>
    <x:row r="791">
      <x:c r="A791" s="19" t="str">
        <x:v>2026-07-11|S06|D07</x:v>
      </x:c>
      <x:c r="B791" s="34" t="n">
        <x:v>46214.5</x:v>
      </x:c>
      <x:c r="C791" s="19" t="str">
        <x:v>S06</x:v>
      </x:c>
      <x:c r="D791" s="19" t="str">
        <x:v>蓝钻天城店</x:v>
      </x:c>
      <x:c r="E791" s="19" t="str">
        <x:v>D07</x:v>
      </x:c>
      <x:c r="F791" s="19" t="str">
        <x:v>川味回锅肉</x:v>
      </x:c>
      <x:c r="G791" s="20" t="n">
        <x:f>SUMIFS('7日销售明细'!$K$5:$K$2244,'7日销售明细'!$B$5:$B$2244,B791,'7日销售明细'!$D$5:$D$2244,C791,'7日销售明细'!$H$5:$H$2244,E791)</x:f>
        <x:v>11</x:v>
      </x:c>
      <x:c r="H791" s="35" t="n">
        <x:f>SUMIFS('7日销售明细'!$L$5:$L$2244,'7日销售明细'!$B$5:$B$2244,B791,'7日销售明细'!$D$5:$D$2244,C791,'7日销售明细'!$H$5:$H$2244,E791)</x:f>
        <x:v>319</x:v>
      </x:c>
      <x:c r="I791" s="35" t="n">
        <x:f>G791*XLOOKUP(E791,'菜品主数据'!$A$5:$A$24,'菜品主数据'!$G$5:$G$24,0)</x:f>
        <x:v>112.54100000000003</x:v>
      </x:c>
    </x:row>
    <x:row r="792">
      <x:c r="A792" s="19" t="str">
        <x:v>2026-07-11|S06|D08</x:v>
      </x:c>
      <x:c r="B792" s="34" t="n">
        <x:v>46214.5</x:v>
      </x:c>
      <x:c r="C792" s="19" t="str">
        <x:v>S06</x:v>
      </x:c>
      <x:c r="D792" s="19" t="str">
        <x:v>蓝钻天城店</x:v>
      </x:c>
      <x:c r="E792" s="19" t="str">
        <x:v>D08</x:v>
      </x:c>
      <x:c r="F792" s="19" t="str">
        <x:v>生炒清远鸡</x:v>
      </x:c>
      <x:c r="G792" s="20" t="n">
        <x:f>SUMIFS('7日销售明细'!$K$5:$K$2244,'7日销售明细'!$B$5:$B$2244,B792,'7日销售明细'!$D$5:$D$2244,C792,'7日销售明细'!$H$5:$H$2244,E792)</x:f>
        <x:v>8</x:v>
      </x:c>
      <x:c r="H792" s="35" t="n">
        <x:f>SUMIFS('7日销售明细'!$L$5:$L$2244,'7日销售明细'!$B$5:$B$2244,B792,'7日销售明细'!$D$5:$D$2244,C792,'7日销售明细'!$H$5:$H$2244,E792)</x:f>
        <x:v>288</x:v>
      </x:c>
      <x:c r="I792" s="35" t="n">
        <x:f>G792*XLOOKUP(E792,'菜品主数据'!$A$5:$A$24,'菜品主数据'!$G$5:$G$24,0)</x:f>
        <x:v>107.84</x:v>
      </x:c>
    </x:row>
    <x:row r="793">
      <x:c r="A793" s="19" t="str">
        <x:v>2026-07-11|S06|D09</x:v>
      </x:c>
      <x:c r="B793" s="34" t="n">
        <x:v>46214.5</x:v>
      </x:c>
      <x:c r="C793" s="19" t="str">
        <x:v>S06</x:v>
      </x:c>
      <x:c r="D793" s="19" t="str">
        <x:v>蓝钻天城店</x:v>
      </x:c>
      <x:c r="E793" s="19" t="str">
        <x:v>D09</x:v>
      </x:c>
      <x:c r="F793" s="19" t="str">
        <x:v>炒豆干</x:v>
      </x:c>
      <x:c r="G793" s="20" t="n">
        <x:f>SUMIFS('7日销售明细'!$K$5:$K$2244,'7日销售明细'!$B$5:$B$2244,B793,'7日销售明细'!$D$5:$D$2244,C793,'7日销售明细'!$H$5:$H$2244,E793)</x:f>
        <x:v>13</x:v>
      </x:c>
      <x:c r="H793" s="35" t="n">
        <x:f>SUMIFS('7日销售明细'!$L$5:$L$2244,'7日销售明细'!$B$5:$B$2244,B793,'7日销售明细'!$D$5:$D$2244,C793,'7日销售明细'!$H$5:$H$2244,E793)</x:f>
        <x:v>234</x:v>
      </x:c>
      <x:c r="I793" s="35" t="n">
        <x:f>G793*XLOOKUP(E793,'菜品主数据'!$A$5:$A$24,'菜品主数据'!$G$5:$G$24,0)</x:f>
        <x:v>85.98199999999999</x:v>
      </x:c>
    </x:row>
    <x:row r="794">
      <x:c r="A794" s="19" t="str">
        <x:v>2026-07-11|S06|D10</x:v>
      </x:c>
      <x:c r="B794" s="34" t="n">
        <x:v>46214.5</x:v>
      </x:c>
      <x:c r="C794" s="19" t="str">
        <x:v>S06</x:v>
      </x:c>
      <x:c r="D794" s="19" t="str">
        <x:v>蓝钻天城店</x:v>
      </x:c>
      <x:c r="E794" s="19" t="str">
        <x:v>D10</x:v>
      </x:c>
      <x:c r="F794" s="19" t="str">
        <x:v>农家一碗香</x:v>
      </x:c>
      <x:c r="G794" s="20" t="n">
        <x:f>SUMIFS('7日销售明细'!$K$5:$K$2244,'7日销售明细'!$B$5:$B$2244,B794,'7日销售明细'!$D$5:$D$2244,C794,'7日销售明细'!$H$5:$H$2244,E794)</x:f>
        <x:v>14</x:v>
      </x:c>
      <x:c r="H794" s="35" t="n">
        <x:f>SUMIFS('7日销售明细'!$L$5:$L$2244,'7日销售明细'!$B$5:$B$2244,B794,'7日销售明细'!$D$5:$D$2244,C794,'7日销售明细'!$H$5:$H$2244,E794)</x:f>
        <x:v>320.59999999999997</x:v>
      </x:c>
      <x:c r="I794" s="35" t="n">
        <x:f>G794*XLOOKUP(E794,'菜品主数据'!$A$5:$A$24,'菜品主数据'!$G$5:$G$24,0)</x:f>
        <x:v>136.78280000000004</x:v>
      </x:c>
    </x:row>
    <x:row r="795">
      <x:c r="A795" s="19" t="str">
        <x:v>2026-07-11|S06|D11</x:v>
      </x:c>
      <x:c r="B795" s="34" t="n">
        <x:v>46214.5</x:v>
      </x:c>
      <x:c r="C795" s="19" t="str">
        <x:v>S06</x:v>
      </x:c>
      <x:c r="D795" s="19" t="str">
        <x:v>蓝钻天城店</x:v>
      </x:c>
      <x:c r="E795" s="19" t="str">
        <x:v>D11</x:v>
      </x:c>
      <x:c r="F795" s="19" t="str">
        <x:v>香辣爆肥肠</x:v>
      </x:c>
      <x:c r="G795" s="20" t="n">
        <x:f>SUMIFS('7日销售明细'!$K$5:$K$2244,'7日销售明细'!$B$5:$B$2244,B795,'7日销售明细'!$D$5:$D$2244,C795,'7日销售明细'!$H$5:$H$2244,E795)</x:f>
        <x:v>5</x:v>
      </x:c>
      <x:c r="H795" s="35" t="n">
        <x:f>SUMIFS('7日销售明细'!$L$5:$L$2244,'7日销售明细'!$B$5:$B$2244,B795,'7日销售明细'!$D$5:$D$2244,C795,'7日销售明细'!$H$5:$H$2244,E795)</x:f>
        <x:v>195</x:v>
      </x:c>
      <x:c r="I795" s="35" t="n">
        <x:f>G795*XLOOKUP(E795,'菜品主数据'!$A$5:$A$24,'菜品主数据'!$G$5:$G$24,0)</x:f>
        <x:v>51.985</x:v>
      </x:c>
    </x:row>
    <x:row r="796">
      <x:c r="A796" s="19" t="str">
        <x:v>2026-07-11|S06|D12</x:v>
      </x:c>
      <x:c r="B796" s="34" t="n">
        <x:v>46214.5</x:v>
      </x:c>
      <x:c r="C796" s="19" t="str">
        <x:v>S06</x:v>
      </x:c>
      <x:c r="D796" s="19" t="str">
        <x:v>蓝钻天城店</x:v>
      </x:c>
      <x:c r="E796" s="19" t="str">
        <x:v>D12</x:v>
      </x:c>
      <x:c r="F796" s="19" t="str">
        <x:v>清蒸鲈鱼</x:v>
      </x:c>
      <x:c r="G796" s="20" t="n">
        <x:f>SUMIFS('7日销售明细'!$K$5:$K$2244,'7日销售明细'!$B$5:$B$2244,B796,'7日销售明细'!$D$5:$D$2244,C796,'7日销售明细'!$H$5:$H$2244,E796)</x:f>
        <x:v>4</x:v>
      </x:c>
      <x:c r="H796" s="35" t="n">
        <x:f>SUMIFS('7日销售明细'!$L$5:$L$2244,'7日销售明细'!$B$5:$B$2244,B796,'7日销售明细'!$D$5:$D$2244,C796,'7日销售明细'!$H$5:$H$2244,E796)</x:f>
        <x:v>156</x:v>
      </x:c>
      <x:c r="I796" s="35" t="n">
        <x:f>G796*XLOOKUP(E796,'菜品主数据'!$A$5:$A$24,'菜品主数据'!$G$5:$G$24,0)</x:f>
        <x:v>75.496</x:v>
      </x:c>
    </x:row>
    <x:row r="797">
      <x:c r="A797" s="19" t="str">
        <x:v>2026-07-11|S06|D13</x:v>
      </x:c>
      <x:c r="B797" s="34" t="n">
        <x:v>46214.5</x:v>
      </x:c>
      <x:c r="C797" s="19" t="str">
        <x:v>S06</x:v>
      </x:c>
      <x:c r="D797" s="19" t="str">
        <x:v>蓝钻天城店</x:v>
      </x:c>
      <x:c r="E797" s="19" t="str">
        <x:v>D13</x:v>
      </x:c>
      <x:c r="F797" s="19" t="str">
        <x:v>外婆菜炒蛋</x:v>
      </x:c>
      <x:c r="G797" s="20" t="n">
        <x:f>SUMIFS('7日销售明细'!$K$5:$K$2244,'7日销售明细'!$B$5:$B$2244,B797,'7日销售明细'!$D$5:$D$2244,C797,'7日销售明细'!$H$5:$H$2244,E797)</x:f>
        <x:v>12</x:v>
      </x:c>
      <x:c r="H797" s="35" t="n">
        <x:f>SUMIFS('7日销售明细'!$L$5:$L$2244,'7日销售明细'!$B$5:$B$2244,B797,'7日销售明细'!$D$5:$D$2244,C797,'7日销售明细'!$H$5:$H$2244,E797)</x:f>
        <x:v>216</x:v>
      </x:c>
      <x:c r="I797" s="35" t="n">
        <x:f>G797*XLOOKUP(E797,'菜品主数据'!$A$5:$A$24,'菜品主数据'!$G$5:$G$24,0)</x:f>
        <x:v>64.84799999999998</x:v>
      </x:c>
    </x:row>
    <x:row r="798">
      <x:c r="A798" s="19" t="str">
        <x:v>2026-07-11|S06|D14</x:v>
      </x:c>
      <x:c r="B798" s="34" t="n">
        <x:v>46214.5</x:v>
      </x:c>
      <x:c r="C798" s="19" t="str">
        <x:v>S06</x:v>
      </x:c>
      <x:c r="D798" s="19" t="str">
        <x:v>蓝钻天城店</x:v>
      </x:c>
      <x:c r="E798" s="19" t="str">
        <x:v>D14</x:v>
      </x:c>
      <x:c r="F798" s="19" t="str">
        <x:v>酸辣鸡杂</x:v>
      </x:c>
      <x:c r="G798" s="20" t="n">
        <x:f>SUMIFS('7日销售明细'!$K$5:$K$2244,'7日销售明细'!$B$5:$B$2244,B798,'7日销售明细'!$D$5:$D$2244,C798,'7日销售明细'!$H$5:$H$2244,E798)</x:f>
        <x:v>6</x:v>
      </x:c>
      <x:c r="H798" s="35" t="n">
        <x:f>SUMIFS('7日销售明细'!$L$5:$L$2244,'7日销售明细'!$B$5:$B$2244,B798,'7日销售明细'!$D$5:$D$2244,C798,'7日销售明细'!$H$5:$H$2244,E798)</x:f>
        <x:v>168</x:v>
      </x:c>
      <x:c r="I798" s="35" t="n">
        <x:f>G798*XLOOKUP(E798,'菜品主数据'!$A$5:$A$24,'菜品主数据'!$G$5:$G$24,0)</x:f>
        <x:v>49.89000000000001</x:v>
      </x:c>
    </x:row>
    <x:row r="799">
      <x:c r="A799" s="19" t="str">
        <x:v>2026-07-11|S06|D15</x:v>
      </x:c>
      <x:c r="B799" s="34" t="n">
        <x:v>46214.5</x:v>
      </x:c>
      <x:c r="C799" s="19" t="str">
        <x:v>S06</x:v>
      </x:c>
      <x:c r="D799" s="19" t="str">
        <x:v>蓝钻天城店</x:v>
      </x:c>
      <x:c r="E799" s="19" t="str">
        <x:v>D15</x:v>
      </x:c>
      <x:c r="F799" s="19" t="str">
        <x:v>湘西土匪猪肝</x:v>
      </x:c>
      <x:c r="G799" s="20" t="n">
        <x:f>SUMIFS('7日销售明细'!$K$5:$K$2244,'7日销售明细'!$B$5:$B$2244,B799,'7日销售明细'!$D$5:$D$2244,C799,'7日销售明细'!$H$5:$H$2244,E799)</x:f>
        <x:v>5</x:v>
      </x:c>
      <x:c r="H799" s="35" t="n">
        <x:f>SUMIFS('7日销售明细'!$L$5:$L$2244,'7日销售明细'!$B$5:$B$2244,B799,'7日销售明细'!$D$5:$D$2244,C799,'7日销售明细'!$H$5:$H$2244,E799)</x:f>
        <x:v>130</x:v>
      </x:c>
      <x:c r="I799" s="35" t="n">
        <x:f>G799*XLOOKUP(E799,'菜品主数据'!$A$5:$A$24,'菜品主数据'!$G$5:$G$24,0)</x:f>
        <x:v>31.879999999999995</x:v>
      </x:c>
    </x:row>
    <x:row r="800">
      <x:c r="A800" s="19" t="str">
        <x:v>2026-07-11|S06|D16</x:v>
      </x:c>
      <x:c r="B800" s="34" t="n">
        <x:v>46214.5</x:v>
      </x:c>
      <x:c r="C800" s="19" t="str">
        <x:v>S06</x:v>
      </x:c>
      <x:c r="D800" s="19" t="str">
        <x:v>蓝钻天城店</x:v>
      </x:c>
      <x:c r="E800" s="19" t="str">
        <x:v>D16</x:v>
      </x:c>
      <x:c r="F800" s="19" t="str">
        <x:v>小豆角炒五花</x:v>
      </x:c>
      <x:c r="G800" s="20" t="n">
        <x:f>SUMIFS('7日销售明细'!$K$5:$K$2244,'7日销售明细'!$B$5:$B$2244,B800,'7日销售明细'!$D$5:$D$2244,C800,'7日销售明细'!$H$5:$H$2244,E800)</x:f>
        <x:v>5</x:v>
      </x:c>
      <x:c r="H800" s="35" t="n">
        <x:f>SUMIFS('7日销售明细'!$L$5:$L$2244,'7日销售明细'!$B$5:$B$2244,B800,'7日销售明细'!$D$5:$D$2244,C800,'7日销售明细'!$H$5:$H$2244,E800)</x:f>
        <x:v>125</x:v>
      </x:c>
      <x:c r="I800" s="35" t="n">
        <x:f>G800*XLOOKUP(E800,'菜品主数据'!$A$5:$A$24,'菜品主数据'!$G$5:$G$24,0)</x:f>
        <x:v>40.919999999999995</x:v>
      </x:c>
    </x:row>
    <x:row r="801">
      <x:c r="A801" s="19" t="str">
        <x:v>2026-07-11|S06|D17</x:v>
      </x:c>
      <x:c r="B801" s="34" t="n">
        <x:v>46214.5</x:v>
      </x:c>
      <x:c r="C801" s="19" t="str">
        <x:v>S06</x:v>
      </x:c>
      <x:c r="D801" s="19" t="str">
        <x:v>蓝钻天城店</x:v>
      </x:c>
      <x:c r="E801" s="19" t="str">
        <x:v>D17</x:v>
      </x:c>
      <x:c r="F801" s="19" t="str">
        <x:v>蒜蓉粉丝虾</x:v>
      </x:c>
      <x:c r="G801" s="20" t="n">
        <x:f>SUMIFS('7日销售明细'!$K$5:$K$2244,'7日销售明细'!$B$5:$B$2244,B801,'7日销售明细'!$D$5:$D$2244,C801,'7日销售明细'!$H$5:$H$2244,E801)</x:f>
        <x:v>4</x:v>
      </x:c>
      <x:c r="H801" s="35" t="n">
        <x:f>SUMIFS('7日销售明细'!$L$5:$L$2244,'7日销售明细'!$B$5:$B$2244,B801,'7日销售明细'!$D$5:$D$2244,C801,'7日销售明细'!$H$5:$H$2244,E801)</x:f>
        <x:v>144</x:v>
      </x:c>
      <x:c r="I801" s="35" t="n">
        <x:f>G801*XLOOKUP(E801,'菜品主数据'!$A$5:$A$24,'菜品主数据'!$G$5:$G$24,0)</x:f>
        <x:v>54.376</x:v>
      </x:c>
    </x:row>
    <x:row r="802">
      <x:c r="A802" s="19" t="str">
        <x:v>2026-07-11|S06|D18</x:v>
      </x:c>
      <x:c r="B802" s="34" t="n">
        <x:v>46214.5</x:v>
      </x:c>
      <x:c r="C802" s="19" t="str">
        <x:v>S06</x:v>
      </x:c>
      <x:c r="D802" s="19" t="str">
        <x:v>蓝钻天城店</x:v>
      </x:c>
      <x:c r="E802" s="19" t="str">
        <x:v>D18</x:v>
      </x:c>
      <x:c r="F802" s="19" t="str">
        <x:v>青椒炒油麦菜</x:v>
      </x:c>
      <x:c r="G802" s="20" t="n">
        <x:f>SUMIFS('7日销售明细'!$K$5:$K$2244,'7日销售明细'!$B$5:$B$2244,B802,'7日销售明细'!$D$5:$D$2244,C802,'7日销售明细'!$H$5:$H$2244,E802)</x:f>
        <x:v>6</x:v>
      </x:c>
      <x:c r="H802" s="35" t="n">
        <x:f>SUMIFS('7日销售明细'!$L$5:$L$2244,'7日销售明细'!$B$5:$B$2244,B802,'7日销售明细'!$D$5:$D$2244,C802,'7日销售明细'!$H$5:$H$2244,E802)</x:f>
        <x:v>108</x:v>
      </x:c>
      <x:c r="I802" s="35" t="n">
        <x:f>G802*XLOOKUP(E802,'菜品主数据'!$A$5:$A$24,'菜品主数据'!$G$5:$G$24,0)</x:f>
        <x:v>19.055999999999997</x:v>
      </x:c>
    </x:row>
    <x:row r="803">
      <x:c r="A803" s="19" t="str">
        <x:v>2026-07-11|S06|D19</x:v>
      </x:c>
      <x:c r="B803" s="34" t="n">
        <x:v>46214.5</x:v>
      </x:c>
      <x:c r="C803" s="19" t="str">
        <x:v>S06</x:v>
      </x:c>
      <x:c r="D803" s="19" t="str">
        <x:v>蓝钻天城店</x:v>
      </x:c>
      <x:c r="E803" s="19" t="str">
        <x:v>D19</x:v>
      </x:c>
      <x:c r="F803" s="19" t="str">
        <x:v>酸萝卜炒鸡杂</x:v>
      </x:c>
      <x:c r="G803" s="20" t="n">
        <x:f>SUMIFS('7日销售明细'!$K$5:$K$2244,'7日销售明细'!$B$5:$B$2244,B803,'7日销售明细'!$D$5:$D$2244,C803,'7日销售明细'!$H$5:$H$2244,E803)</x:f>
        <x:v>4</x:v>
      </x:c>
      <x:c r="H803" s="35" t="n">
        <x:f>SUMIFS('7日销售明细'!$L$5:$L$2244,'7日销售明细'!$B$5:$B$2244,B803,'7日销售明细'!$D$5:$D$2244,C803,'7日销售明细'!$H$5:$H$2244,E803)</x:f>
        <x:v>100</x:v>
      </x:c>
      <x:c r="I803" s="35" t="n">
        <x:f>G803*XLOOKUP(E803,'菜品主数据'!$A$5:$A$24,'菜品主数据'!$G$5:$G$24,0)</x:f>
        <x:v>31.759999999999998</x:v>
      </x:c>
    </x:row>
    <x:row r="804">
      <x:c r="A804" s="19" t="str">
        <x:v>2026-07-11|S06|D20</x:v>
      </x:c>
      <x:c r="B804" s="34" t="n">
        <x:v>46214.5</x:v>
      </x:c>
      <x:c r="C804" s="19" t="str">
        <x:v>S06</x:v>
      </x:c>
      <x:c r="D804" s="19" t="str">
        <x:v>蓝钻天城店</x:v>
      </x:c>
      <x:c r="E804" s="19" t="str">
        <x:v>D20</x:v>
      </x:c>
      <x:c r="F804" s="19" t="str">
        <x:v>雪菜肉末青豆</x:v>
      </x:c>
      <x:c r="G804" s="20" t="n">
        <x:f>SUMIFS('7日销售明细'!$K$5:$K$2244,'7日销售明细'!$B$5:$B$2244,B804,'7日销售明细'!$D$5:$D$2244,C804,'7日销售明细'!$H$5:$H$2244,E804)</x:f>
        <x:v>6</x:v>
      </x:c>
      <x:c r="H804" s="35" t="n">
        <x:f>SUMIFS('7日销售明细'!$L$5:$L$2244,'7日销售明细'!$B$5:$B$2244,B804,'7日销售明细'!$D$5:$D$2244,C804,'7日销售明细'!$H$5:$H$2244,E804)</x:f>
        <x:v>108</x:v>
      </x:c>
      <x:c r="I804" s="35" t="n">
        <x:f>G804*XLOOKUP(E804,'菜品主数据'!$A$5:$A$24,'菜品主数据'!$G$5:$G$24,0)</x:f>
        <x:v>43.824</x:v>
      </x:c>
    </x:row>
    <x:row r="805">
      <x:c r="A805" s="19" t="str">
        <x:v>2026-07-12|S06|D01</x:v>
      </x:c>
      <x:c r="B805" s="34" t="n">
        <x:v>46215.5</x:v>
      </x:c>
      <x:c r="C805" s="19" t="str">
        <x:v>S06</x:v>
      </x:c>
      <x:c r="D805" s="19" t="str">
        <x:v>蓝钻天城店</x:v>
      </x:c>
      <x:c r="E805" s="19" t="str">
        <x:v>D01</x:v>
      </x:c>
      <x:c r="F805" s="19" t="str">
        <x:v>辣椒炒肉</x:v>
      </x:c>
      <x:c r="G805" s="20" t="n">
        <x:f>SUMIFS('7日销售明细'!$K$5:$K$2244,'7日销售明细'!$B$5:$B$2244,B805,'7日销售明细'!$D$5:$D$2244,C805,'7日销售明细'!$H$5:$H$2244,E805)</x:f>
        <x:v>38</x:v>
      </x:c>
      <x:c r="H805" s="35" t="n">
        <x:f>SUMIFS('7日销售明细'!$L$5:$L$2244,'7日销售明细'!$B$5:$B$2244,B805,'7日销售明细'!$D$5:$D$2244,C805,'7日销售明细'!$H$5:$H$2244,E805)</x:f>
        <x:v>1102</x:v>
      </x:c>
      <x:c r="I805" s="35" t="n">
        <x:f>G805*XLOOKUP(E805,'菜品主数据'!$A$5:$A$24,'菜品主数据'!$G$5:$G$24,0)</x:f>
        <x:v>328.10720000000003</x:v>
      </x:c>
    </x:row>
    <x:row r="806">
      <x:c r="A806" s="19" t="str">
        <x:v>2026-07-12|S06|D02</x:v>
      </x:c>
      <x:c r="B806" s="34" t="n">
        <x:v>46215.5</x:v>
      </x:c>
      <x:c r="C806" s="19" t="str">
        <x:v>S06</x:v>
      </x:c>
      <x:c r="D806" s="19" t="str">
        <x:v>蓝钻天城店</x:v>
      </x:c>
      <x:c r="E806" s="19" t="str">
        <x:v>D02</x:v>
      </x:c>
      <x:c r="F806" s="19" t="str">
        <x:v>小炒黄牛肉</x:v>
      </x:c>
      <x:c r="G806" s="20" t="n">
        <x:f>SUMIFS('7日销售明细'!$K$5:$K$2244,'7日销售明细'!$B$5:$B$2244,B806,'7日销售明细'!$D$5:$D$2244,C806,'7日销售明细'!$H$5:$H$2244,E806)</x:f>
        <x:v>26</x:v>
      </x:c>
      <x:c r="H806" s="35" t="n">
        <x:f>SUMIFS('7日销售明细'!$L$5:$L$2244,'7日销售明细'!$B$5:$B$2244,B806,'7日销售明细'!$D$5:$D$2244,C806,'7日销售明细'!$H$5:$H$2244,E806)</x:f>
        <x:v>1274</x:v>
      </x:c>
      <x:c r="I806" s="35" t="n">
        <x:f>G806*XLOOKUP(E806,'菜品主数据'!$A$5:$A$24,'菜品主数据'!$G$5:$G$24,0)</x:f>
        <x:v>457.00200000000007</x:v>
      </x:c>
    </x:row>
    <x:row r="807">
      <x:c r="A807" s="19" t="str">
        <x:v>2026-07-12|S06|D03</x:v>
      </x:c>
      <x:c r="B807" s="34" t="n">
        <x:v>46215.5</x:v>
      </x:c>
      <x:c r="C807" s="19" t="str">
        <x:v>S06</x:v>
      </x:c>
      <x:c r="D807" s="19" t="str">
        <x:v>蓝钻天城店</x:v>
      </x:c>
      <x:c r="E807" s="19" t="str">
        <x:v>D03</x:v>
      </x:c>
      <x:c r="F807" s="19" t="str">
        <x:v>香醋炒蛋</x:v>
      </x:c>
      <x:c r="G807" s="20" t="n">
        <x:f>SUMIFS('7日销售明细'!$K$5:$K$2244,'7日销售明细'!$B$5:$B$2244,B807,'7日销售明细'!$D$5:$D$2244,C807,'7日销售明细'!$H$5:$H$2244,E807)</x:f>
        <x:v>29</x:v>
      </x:c>
      <x:c r="H807" s="35" t="n">
        <x:f>SUMIFS('7日销售明细'!$L$5:$L$2244,'7日销售明细'!$B$5:$B$2244,B807,'7日销售明细'!$D$5:$D$2244,C807,'7日销售明细'!$H$5:$H$2244,E807)</x:f>
        <x:v>432.1</x:v>
      </x:c>
      <x:c r="I807" s="35" t="n">
        <x:f>G807*XLOOKUP(E807,'菜品主数据'!$A$5:$A$24,'菜品主数据'!$G$5:$G$24,0)</x:f>
        <x:v>108.63399999999999</x:v>
      </x:c>
    </x:row>
    <x:row r="808">
      <x:c r="A808" s="19" t="str">
        <x:v>2026-07-12|S06|D04</x:v>
      </x:c>
      <x:c r="B808" s="34" t="n">
        <x:v>46215.5</x:v>
      </x:c>
      <x:c r="C808" s="19" t="str">
        <x:v>S06</x:v>
      </x:c>
      <x:c r="D808" s="19" t="str">
        <x:v>蓝钻天城店</x:v>
      </x:c>
      <x:c r="E808" s="19" t="str">
        <x:v>D04</x:v>
      </x:c>
      <x:c r="F808" s="19" t="str">
        <x:v>酸包菜炒粉皮</x:v>
      </x:c>
      <x:c r="G808" s="20" t="n">
        <x:f>SUMIFS('7日销售明细'!$K$5:$K$2244,'7日销售明细'!$B$5:$B$2244,B808,'7日销售明细'!$D$5:$D$2244,C808,'7日销售明细'!$H$5:$H$2244,E808)</x:f>
        <x:v>25</x:v>
      </x:c>
      <x:c r="H808" s="35" t="n">
        <x:f>SUMIFS('7日销售明细'!$L$5:$L$2244,'7日销售明细'!$B$5:$B$2244,B808,'7日销售明细'!$D$5:$D$2244,C808,'7日销售明细'!$H$5:$H$2244,E808)</x:f>
        <x:v>400</x:v>
      </x:c>
      <x:c r="I808" s="35" t="n">
        <x:f>G808*XLOOKUP(E808,'菜品主数据'!$A$5:$A$24,'菜品主数据'!$G$5:$G$24,0)</x:f>
        <x:v>99.45</x:v>
      </x:c>
    </x:row>
    <x:row r="809">
      <x:c r="A809" s="19" t="str">
        <x:v>2026-07-12|S06|D05</x:v>
      </x:c>
      <x:c r="B809" s="34" t="n">
        <x:v>46215.5</x:v>
      </x:c>
      <x:c r="C809" s="19" t="str">
        <x:v>S06</x:v>
      </x:c>
      <x:c r="D809" s="19" t="str">
        <x:v>蓝钻天城店</x:v>
      </x:c>
      <x:c r="E809" s="19" t="str">
        <x:v>D05</x:v>
      </x:c>
      <x:c r="F809" s="19" t="str">
        <x:v>麻婆豆腐</x:v>
      </x:c>
      <x:c r="G809" s="20" t="n">
        <x:f>SUMIFS('7日销售明细'!$K$5:$K$2244,'7日销售明细'!$B$5:$B$2244,B809,'7日销售明细'!$D$5:$D$2244,C809,'7日销售明细'!$H$5:$H$2244,E809)</x:f>
        <x:v>37</x:v>
      </x:c>
      <x:c r="H809" s="35" t="n">
        <x:f>SUMIFS('7日销售明细'!$L$5:$L$2244,'7日销售明细'!$B$5:$B$2244,B809,'7日销售明细'!$D$5:$D$2244,C809,'7日销售明细'!$H$5:$H$2244,E809)</x:f>
        <x:v>366.3</x:v>
      </x:c>
      <x:c r="I809" s="35" t="n">
        <x:f>G809*XLOOKUP(E809,'菜品主数据'!$A$5:$A$24,'菜品主数据'!$G$5:$G$24,0)</x:f>
        <x:v>198.57900000000004</x:v>
      </x:c>
    </x:row>
    <x:row r="810">
      <x:c r="A810" s="19" t="str">
        <x:v>2026-07-12|S06|D06</x:v>
      </x:c>
      <x:c r="B810" s="34" t="n">
        <x:v>46215.5</x:v>
      </x:c>
      <x:c r="C810" s="19" t="str">
        <x:v>S06</x:v>
      </x:c>
      <x:c r="D810" s="19" t="str">
        <x:v>蓝钻天城店</x:v>
      </x:c>
      <x:c r="E810" s="19" t="str">
        <x:v>D06</x:v>
      </x:c>
      <x:c r="F810" s="19" t="str">
        <x:v>剁椒鱼头</x:v>
      </x:c>
      <x:c r="G810" s="20" t="n">
        <x:f>SUMIFS('7日销售明细'!$K$5:$K$2244,'7日销售明细'!$B$5:$B$2244,B810,'7日销售明细'!$D$5:$D$2244,C810,'7日销售明细'!$H$5:$H$2244,E810)</x:f>
        <x:v>9</x:v>
      </x:c>
      <x:c r="H810" s="35" t="n">
        <x:f>SUMIFS('7日销售明细'!$L$5:$L$2244,'7日销售明细'!$B$5:$B$2244,B810,'7日销售明细'!$D$5:$D$2244,C810,'7日销售明细'!$H$5:$H$2244,E810)</x:f>
        <x:v>351</x:v>
      </x:c>
      <x:c r="I810" s="35" t="n">
        <x:f>G810*XLOOKUP(E810,'菜品主数据'!$A$5:$A$24,'菜品主数据'!$G$5:$G$24,0)</x:f>
        <x:v>157.014</x:v>
      </x:c>
    </x:row>
    <x:row r="811">
      <x:c r="A811" s="19" t="str">
        <x:v>2026-07-12|S06|D07</x:v>
      </x:c>
      <x:c r="B811" s="34" t="n">
        <x:v>46215.5</x:v>
      </x:c>
      <x:c r="C811" s="19" t="str">
        <x:v>S06</x:v>
      </x:c>
      <x:c r="D811" s="19" t="str">
        <x:v>蓝钻天城店</x:v>
      </x:c>
      <x:c r="E811" s="19" t="str">
        <x:v>D07</x:v>
      </x:c>
      <x:c r="F811" s="19" t="str">
        <x:v>川味回锅肉</x:v>
      </x:c>
      <x:c r="G811" s="20" t="n">
        <x:f>SUMIFS('7日销售明细'!$K$5:$K$2244,'7日销售明细'!$B$5:$B$2244,B811,'7日销售明细'!$D$5:$D$2244,C811,'7日销售明细'!$H$5:$H$2244,E811)</x:f>
        <x:v>11</x:v>
      </x:c>
      <x:c r="H811" s="35" t="n">
        <x:f>SUMIFS('7日销售明细'!$L$5:$L$2244,'7日销售明细'!$B$5:$B$2244,B811,'7日销售明细'!$D$5:$D$2244,C811,'7日销售明细'!$H$5:$H$2244,E811)</x:f>
        <x:v>319</x:v>
      </x:c>
      <x:c r="I811" s="35" t="n">
        <x:f>G811*XLOOKUP(E811,'菜品主数据'!$A$5:$A$24,'菜品主数据'!$G$5:$G$24,0)</x:f>
        <x:v>112.54100000000003</x:v>
      </x:c>
    </x:row>
    <x:row r="812">
      <x:c r="A812" s="19" t="str">
        <x:v>2026-07-12|S06|D08</x:v>
      </x:c>
      <x:c r="B812" s="34" t="n">
        <x:v>46215.5</x:v>
      </x:c>
      <x:c r="C812" s="19" t="str">
        <x:v>S06</x:v>
      </x:c>
      <x:c r="D812" s="19" t="str">
        <x:v>蓝钻天城店</x:v>
      </x:c>
      <x:c r="E812" s="19" t="str">
        <x:v>D08</x:v>
      </x:c>
      <x:c r="F812" s="19" t="str">
        <x:v>生炒清远鸡</x:v>
      </x:c>
      <x:c r="G812" s="20" t="n">
        <x:f>SUMIFS('7日销售明细'!$K$5:$K$2244,'7日销售明细'!$B$5:$B$2244,B812,'7日销售明细'!$D$5:$D$2244,C812,'7日销售明细'!$H$5:$H$2244,E812)</x:f>
        <x:v>7</x:v>
      </x:c>
      <x:c r="H812" s="35" t="n">
        <x:f>SUMIFS('7日销售明细'!$L$5:$L$2244,'7日销售明细'!$B$5:$B$2244,B812,'7日销售明细'!$D$5:$D$2244,C812,'7日销售明细'!$H$5:$H$2244,E812)</x:f>
        <x:v>252</x:v>
      </x:c>
      <x:c r="I812" s="35" t="n">
        <x:f>G812*XLOOKUP(E812,'菜品主数据'!$A$5:$A$24,'菜品主数据'!$G$5:$G$24,0)</x:f>
        <x:v>94.36</x:v>
      </x:c>
    </x:row>
    <x:row r="813">
      <x:c r="A813" s="19" t="str">
        <x:v>2026-07-12|S06|D09</x:v>
      </x:c>
      <x:c r="B813" s="34" t="n">
        <x:v>46215.5</x:v>
      </x:c>
      <x:c r="C813" s="19" t="str">
        <x:v>S06</x:v>
      </x:c>
      <x:c r="D813" s="19" t="str">
        <x:v>蓝钻天城店</x:v>
      </x:c>
      <x:c r="E813" s="19" t="str">
        <x:v>D09</x:v>
      </x:c>
      <x:c r="F813" s="19" t="str">
        <x:v>炒豆干</x:v>
      </x:c>
      <x:c r="G813" s="20" t="n">
        <x:f>SUMIFS('7日销售明细'!$K$5:$K$2244,'7日销售明细'!$B$5:$B$2244,B813,'7日销售明细'!$D$5:$D$2244,C813,'7日销售明细'!$H$5:$H$2244,E813)</x:f>
        <x:v>12</x:v>
      </x:c>
      <x:c r="H813" s="35" t="n">
        <x:f>SUMIFS('7日销售明细'!$L$5:$L$2244,'7日销售明细'!$B$5:$B$2244,B813,'7日销售明细'!$D$5:$D$2244,C813,'7日销售明细'!$H$5:$H$2244,E813)</x:f>
        <x:v>216</x:v>
      </x:c>
      <x:c r="I813" s="35" t="n">
        <x:f>G813*XLOOKUP(E813,'菜品主数据'!$A$5:$A$24,'菜品主数据'!$G$5:$G$24,0)</x:f>
        <x:v>79.368</x:v>
      </x:c>
    </x:row>
    <x:row r="814">
      <x:c r="A814" s="19" t="str">
        <x:v>2026-07-12|S06|D10</x:v>
      </x:c>
      <x:c r="B814" s="34" t="n">
        <x:v>46215.5</x:v>
      </x:c>
      <x:c r="C814" s="19" t="str">
        <x:v>S06</x:v>
      </x:c>
      <x:c r="D814" s="19" t="str">
        <x:v>蓝钻天城店</x:v>
      </x:c>
      <x:c r="E814" s="19" t="str">
        <x:v>D10</x:v>
      </x:c>
      <x:c r="F814" s="19" t="str">
        <x:v>农家一碗香</x:v>
      </x:c>
      <x:c r="G814" s="20" t="n">
        <x:f>SUMIFS('7日销售明细'!$K$5:$K$2244,'7日销售明细'!$B$5:$B$2244,B814,'7日销售明细'!$D$5:$D$2244,C814,'7日销售明细'!$H$5:$H$2244,E814)</x:f>
        <x:v>12</x:v>
      </x:c>
      <x:c r="H814" s="35" t="n">
        <x:f>SUMIFS('7日销售明细'!$L$5:$L$2244,'7日销售明细'!$B$5:$B$2244,B814,'7日销售明细'!$D$5:$D$2244,C814,'7日销售明细'!$H$5:$H$2244,E814)</x:f>
        <x:v>274.79999999999995</x:v>
      </x:c>
      <x:c r="I814" s="35" t="n">
        <x:f>G814*XLOOKUP(E814,'菜品主数据'!$A$5:$A$24,'菜品主数据'!$G$5:$G$24,0)</x:f>
        <x:v>117.24240000000003</x:v>
      </x:c>
    </x:row>
    <x:row r="815">
      <x:c r="A815" s="19" t="str">
        <x:v>2026-07-12|S06|D11</x:v>
      </x:c>
      <x:c r="B815" s="34" t="n">
        <x:v>46215.5</x:v>
      </x:c>
      <x:c r="C815" s="19" t="str">
        <x:v>S06</x:v>
      </x:c>
      <x:c r="D815" s="19" t="str">
        <x:v>蓝钻天城店</x:v>
      </x:c>
      <x:c r="E815" s="19" t="str">
        <x:v>D11</x:v>
      </x:c>
      <x:c r="F815" s="19" t="str">
        <x:v>香辣爆肥肠</x:v>
      </x:c>
      <x:c r="G815" s="20" t="n">
        <x:f>SUMIFS('7日销售明细'!$K$5:$K$2244,'7日销售明细'!$B$5:$B$2244,B815,'7日销售明细'!$D$5:$D$2244,C815,'7日销售明细'!$H$5:$H$2244,E815)</x:f>
        <x:v>4</x:v>
      </x:c>
      <x:c r="H815" s="35" t="n">
        <x:f>SUMIFS('7日销售明细'!$L$5:$L$2244,'7日销售明细'!$B$5:$B$2244,B815,'7日销售明细'!$D$5:$D$2244,C815,'7日销售明细'!$H$5:$H$2244,E815)</x:f>
        <x:v>156</x:v>
      </x:c>
      <x:c r="I815" s="35" t="n">
        <x:f>G815*XLOOKUP(E815,'菜品主数据'!$A$5:$A$24,'菜品主数据'!$G$5:$G$24,0)</x:f>
        <x:v>41.588</x:v>
      </x:c>
    </x:row>
    <x:row r="816">
      <x:c r="A816" s="19" t="str">
        <x:v>2026-07-12|S06|D12</x:v>
      </x:c>
      <x:c r="B816" s="34" t="n">
        <x:v>46215.5</x:v>
      </x:c>
      <x:c r="C816" s="19" t="str">
        <x:v>S06</x:v>
      </x:c>
      <x:c r="D816" s="19" t="str">
        <x:v>蓝钻天城店</x:v>
      </x:c>
      <x:c r="E816" s="19" t="str">
        <x:v>D12</x:v>
      </x:c>
      <x:c r="F816" s="19" t="str">
        <x:v>清蒸鲈鱼</x:v>
      </x:c>
      <x:c r="G816" s="20" t="n">
        <x:f>SUMIFS('7日销售明细'!$K$5:$K$2244,'7日销售明细'!$B$5:$B$2244,B816,'7日销售明细'!$D$5:$D$2244,C816,'7日销售明细'!$H$5:$H$2244,E816)</x:f>
        <x:v>4</x:v>
      </x:c>
      <x:c r="H816" s="35" t="n">
        <x:f>SUMIFS('7日销售明细'!$L$5:$L$2244,'7日销售明细'!$B$5:$B$2244,B816,'7日销售明细'!$D$5:$D$2244,C816,'7日销售明细'!$H$5:$H$2244,E816)</x:f>
        <x:v>156</x:v>
      </x:c>
      <x:c r="I816" s="35" t="n">
        <x:f>G816*XLOOKUP(E816,'菜品主数据'!$A$5:$A$24,'菜品主数据'!$G$5:$G$24,0)</x:f>
        <x:v>75.496</x:v>
      </x:c>
    </x:row>
    <x:row r="817">
      <x:c r="A817" s="19" t="str">
        <x:v>2026-07-12|S06|D13</x:v>
      </x:c>
      <x:c r="B817" s="34" t="n">
        <x:v>46215.5</x:v>
      </x:c>
      <x:c r="C817" s="19" t="str">
        <x:v>S06</x:v>
      </x:c>
      <x:c r="D817" s="19" t="str">
        <x:v>蓝钻天城店</x:v>
      </x:c>
      <x:c r="E817" s="19" t="str">
        <x:v>D13</x:v>
      </x:c>
      <x:c r="F817" s="19" t="str">
        <x:v>外婆菜炒蛋</x:v>
      </x:c>
      <x:c r="G817" s="20" t="n">
        <x:f>SUMIFS('7日销售明细'!$K$5:$K$2244,'7日销售明细'!$B$5:$B$2244,B817,'7日销售明细'!$D$5:$D$2244,C817,'7日销售明细'!$H$5:$H$2244,E817)</x:f>
        <x:v>12</x:v>
      </x:c>
      <x:c r="H817" s="35" t="n">
        <x:f>SUMIFS('7日销售明细'!$L$5:$L$2244,'7日销售明细'!$B$5:$B$2244,B817,'7日销售明细'!$D$5:$D$2244,C817,'7日销售明细'!$H$5:$H$2244,E817)</x:f>
        <x:v>216</x:v>
      </x:c>
      <x:c r="I817" s="35" t="n">
        <x:f>G817*XLOOKUP(E817,'菜品主数据'!$A$5:$A$24,'菜品主数据'!$G$5:$G$24,0)</x:f>
        <x:v>64.84799999999998</x:v>
      </x:c>
    </x:row>
    <x:row r="818">
      <x:c r="A818" s="19" t="str">
        <x:v>2026-07-12|S06|D14</x:v>
      </x:c>
      <x:c r="B818" s="34" t="n">
        <x:v>46215.5</x:v>
      </x:c>
      <x:c r="C818" s="19" t="str">
        <x:v>S06</x:v>
      </x:c>
      <x:c r="D818" s="19" t="str">
        <x:v>蓝钻天城店</x:v>
      </x:c>
      <x:c r="E818" s="19" t="str">
        <x:v>D14</x:v>
      </x:c>
      <x:c r="F818" s="19" t="str">
        <x:v>酸辣鸡杂</x:v>
      </x:c>
      <x:c r="G818" s="20" t="n">
        <x:f>SUMIFS('7日销售明细'!$K$5:$K$2244,'7日销售明细'!$B$5:$B$2244,B818,'7日销售明细'!$D$5:$D$2244,C818,'7日销售明细'!$H$5:$H$2244,E818)</x:f>
        <x:v>6</x:v>
      </x:c>
      <x:c r="H818" s="35" t="n">
        <x:f>SUMIFS('7日销售明细'!$L$5:$L$2244,'7日销售明细'!$B$5:$B$2244,B818,'7日销售明细'!$D$5:$D$2244,C818,'7日销售明细'!$H$5:$H$2244,E818)</x:f>
        <x:v>168</x:v>
      </x:c>
      <x:c r="I818" s="35" t="n">
        <x:f>G818*XLOOKUP(E818,'菜品主数据'!$A$5:$A$24,'菜品主数据'!$G$5:$G$24,0)</x:f>
        <x:v>49.89000000000001</x:v>
      </x:c>
    </x:row>
    <x:row r="819">
      <x:c r="A819" s="19" t="str">
        <x:v>2026-07-12|S06|D15</x:v>
      </x:c>
      <x:c r="B819" s="34" t="n">
        <x:v>46215.5</x:v>
      </x:c>
      <x:c r="C819" s="19" t="str">
        <x:v>S06</x:v>
      </x:c>
      <x:c r="D819" s="19" t="str">
        <x:v>蓝钻天城店</x:v>
      </x:c>
      <x:c r="E819" s="19" t="str">
        <x:v>D15</x:v>
      </x:c>
      <x:c r="F819" s="19" t="str">
        <x:v>湘西土匪猪肝</x:v>
      </x:c>
      <x:c r="G819" s="20" t="n">
        <x:f>SUMIFS('7日销售明细'!$K$5:$K$2244,'7日销售明细'!$B$5:$B$2244,B819,'7日销售明细'!$D$5:$D$2244,C819,'7日销售明细'!$H$5:$H$2244,E819)</x:f>
        <x:v>5</x:v>
      </x:c>
      <x:c r="H819" s="35" t="n">
        <x:f>SUMIFS('7日销售明细'!$L$5:$L$2244,'7日销售明细'!$B$5:$B$2244,B819,'7日销售明细'!$D$5:$D$2244,C819,'7日销售明细'!$H$5:$H$2244,E819)</x:f>
        <x:v>130</x:v>
      </x:c>
      <x:c r="I819" s="35" t="n">
        <x:f>G819*XLOOKUP(E819,'菜品主数据'!$A$5:$A$24,'菜品主数据'!$G$5:$G$24,0)</x:f>
        <x:v>31.879999999999995</x:v>
      </x:c>
    </x:row>
    <x:row r="820">
      <x:c r="A820" s="19" t="str">
        <x:v>2026-07-12|S06|D16</x:v>
      </x:c>
      <x:c r="B820" s="34" t="n">
        <x:v>46215.5</x:v>
      </x:c>
      <x:c r="C820" s="19" t="str">
        <x:v>S06</x:v>
      </x:c>
      <x:c r="D820" s="19" t="str">
        <x:v>蓝钻天城店</x:v>
      </x:c>
      <x:c r="E820" s="19" t="str">
        <x:v>D16</x:v>
      </x:c>
      <x:c r="F820" s="19" t="str">
        <x:v>小豆角炒五花</x:v>
      </x:c>
      <x:c r="G820" s="20" t="n">
        <x:f>SUMIFS('7日销售明细'!$K$5:$K$2244,'7日销售明细'!$B$5:$B$2244,B820,'7日销售明细'!$D$5:$D$2244,C820,'7日销售明细'!$H$5:$H$2244,E820)</x:f>
        <x:v>5</x:v>
      </x:c>
      <x:c r="H820" s="35" t="n">
        <x:f>SUMIFS('7日销售明细'!$L$5:$L$2244,'7日销售明细'!$B$5:$B$2244,B820,'7日销售明细'!$D$5:$D$2244,C820,'7日销售明细'!$H$5:$H$2244,E820)</x:f>
        <x:v>125</x:v>
      </x:c>
      <x:c r="I820" s="35" t="n">
        <x:f>G820*XLOOKUP(E820,'菜品主数据'!$A$5:$A$24,'菜品主数据'!$G$5:$G$24,0)</x:f>
        <x:v>40.919999999999995</x:v>
      </x:c>
    </x:row>
    <x:row r="821">
      <x:c r="A821" s="19" t="str">
        <x:v>2026-07-12|S06|D17</x:v>
      </x:c>
      <x:c r="B821" s="34" t="n">
        <x:v>46215.5</x:v>
      </x:c>
      <x:c r="C821" s="19" t="str">
        <x:v>S06</x:v>
      </x:c>
      <x:c r="D821" s="19" t="str">
        <x:v>蓝钻天城店</x:v>
      </x:c>
      <x:c r="E821" s="19" t="str">
        <x:v>D17</x:v>
      </x:c>
      <x:c r="F821" s="19" t="str">
        <x:v>蒜蓉粉丝虾</x:v>
      </x:c>
      <x:c r="G821" s="20" t="n">
        <x:f>SUMIFS('7日销售明细'!$K$5:$K$2244,'7日销售明细'!$B$5:$B$2244,B821,'7日销售明细'!$D$5:$D$2244,C821,'7日销售明细'!$H$5:$H$2244,E821)</x:f>
        <x:v>4</x:v>
      </x:c>
      <x:c r="H821" s="35" t="n">
        <x:f>SUMIFS('7日销售明细'!$L$5:$L$2244,'7日销售明细'!$B$5:$B$2244,B821,'7日销售明细'!$D$5:$D$2244,C821,'7日销售明细'!$H$5:$H$2244,E821)</x:f>
        <x:v>144</x:v>
      </x:c>
      <x:c r="I821" s="35" t="n">
        <x:f>G821*XLOOKUP(E821,'菜品主数据'!$A$5:$A$24,'菜品主数据'!$G$5:$G$24,0)</x:f>
        <x:v>54.376</x:v>
      </x:c>
    </x:row>
    <x:row r="822">
      <x:c r="A822" s="19" t="str">
        <x:v>2026-07-12|S06|D18</x:v>
      </x:c>
      <x:c r="B822" s="34" t="n">
        <x:v>46215.5</x:v>
      </x:c>
      <x:c r="C822" s="19" t="str">
        <x:v>S06</x:v>
      </x:c>
      <x:c r="D822" s="19" t="str">
        <x:v>蓝钻天城店</x:v>
      </x:c>
      <x:c r="E822" s="19" t="str">
        <x:v>D18</x:v>
      </x:c>
      <x:c r="F822" s="19" t="str">
        <x:v>青椒炒油麦菜</x:v>
      </x:c>
      <x:c r="G822" s="20" t="n">
        <x:f>SUMIFS('7日销售明细'!$K$5:$K$2244,'7日销售明细'!$B$5:$B$2244,B822,'7日销售明细'!$D$5:$D$2244,C822,'7日销售明细'!$H$5:$H$2244,E822)</x:f>
        <x:v>6</x:v>
      </x:c>
      <x:c r="H822" s="35" t="n">
        <x:f>SUMIFS('7日销售明细'!$L$5:$L$2244,'7日销售明细'!$B$5:$B$2244,B822,'7日销售明细'!$D$5:$D$2244,C822,'7日销售明细'!$H$5:$H$2244,E822)</x:f>
        <x:v>108</x:v>
      </x:c>
      <x:c r="I822" s="35" t="n">
        <x:f>G822*XLOOKUP(E822,'菜品主数据'!$A$5:$A$24,'菜品主数据'!$G$5:$G$24,0)</x:f>
        <x:v>19.055999999999997</x:v>
      </x:c>
    </x:row>
    <x:row r="823">
      <x:c r="A823" s="19" t="str">
        <x:v>2026-07-12|S06|D19</x:v>
      </x:c>
      <x:c r="B823" s="34" t="n">
        <x:v>46215.5</x:v>
      </x:c>
      <x:c r="C823" s="19" t="str">
        <x:v>S06</x:v>
      </x:c>
      <x:c r="D823" s="19" t="str">
        <x:v>蓝钻天城店</x:v>
      </x:c>
      <x:c r="E823" s="19" t="str">
        <x:v>D19</x:v>
      </x:c>
      <x:c r="F823" s="19" t="str">
        <x:v>酸萝卜炒鸡杂</x:v>
      </x:c>
      <x:c r="G823" s="20" t="n">
        <x:f>SUMIFS('7日销售明细'!$K$5:$K$2244,'7日销售明细'!$B$5:$B$2244,B823,'7日销售明细'!$D$5:$D$2244,C823,'7日销售明细'!$H$5:$H$2244,E823)</x:f>
        <x:v>4</x:v>
      </x:c>
      <x:c r="H823" s="35" t="n">
        <x:f>SUMIFS('7日销售明细'!$L$5:$L$2244,'7日销售明细'!$B$5:$B$2244,B823,'7日销售明细'!$D$5:$D$2244,C823,'7日销售明细'!$H$5:$H$2244,E823)</x:f>
        <x:v>100</x:v>
      </x:c>
      <x:c r="I823" s="35" t="n">
        <x:f>G823*XLOOKUP(E823,'菜品主数据'!$A$5:$A$24,'菜品主数据'!$G$5:$G$24,0)</x:f>
        <x:v>31.759999999999998</x:v>
      </x:c>
    </x:row>
    <x:row r="824">
      <x:c r="A824" s="19" t="str">
        <x:v>2026-07-12|S06|D20</x:v>
      </x:c>
      <x:c r="B824" s="34" t="n">
        <x:v>46215.5</x:v>
      </x:c>
      <x:c r="C824" s="19" t="str">
        <x:v>S06</x:v>
      </x:c>
      <x:c r="D824" s="19" t="str">
        <x:v>蓝钻天城店</x:v>
      </x:c>
      <x:c r="E824" s="19" t="str">
        <x:v>D20</x:v>
      </x:c>
      <x:c r="F824" s="19" t="str">
        <x:v>雪菜肉末青豆</x:v>
      </x:c>
      <x:c r="G824" s="20" t="n">
        <x:f>SUMIFS('7日销售明细'!$K$5:$K$2244,'7日销售明细'!$B$5:$B$2244,B824,'7日销售明细'!$D$5:$D$2244,C824,'7日销售明细'!$H$5:$H$2244,E824)</x:f>
        <x:v>6</x:v>
      </x:c>
      <x:c r="H824" s="35" t="n">
        <x:f>SUMIFS('7日销售明细'!$L$5:$L$2244,'7日销售明细'!$B$5:$B$2244,B824,'7日销售明细'!$D$5:$D$2244,C824,'7日销售明细'!$H$5:$H$2244,E824)</x:f>
        <x:v>108</x:v>
      </x:c>
      <x:c r="I824" s="35" t="n">
        <x:f>G824*XLOOKUP(E824,'菜品主数据'!$A$5:$A$24,'菜品主数据'!$G$5:$G$24,0)</x:f>
        <x:v>43.824</x:v>
      </x:c>
    </x:row>
    <x:row r="825">
      <x:c r="A825" s="19" t="str">
        <x:v>2026-07-13|S06|D01</x:v>
      </x:c>
      <x:c r="B825" s="34" t="n">
        <x:v>46216.5</x:v>
      </x:c>
      <x:c r="C825" s="19" t="str">
        <x:v>S06</x:v>
      </x:c>
      <x:c r="D825" s="19" t="str">
        <x:v>蓝钻天城店</x:v>
      </x:c>
      <x:c r="E825" s="19" t="str">
        <x:v>D01</x:v>
      </x:c>
      <x:c r="F825" s="19" t="str">
        <x:v>辣椒炒肉</x:v>
      </x:c>
      <x:c r="G825" s="20" t="n">
        <x:f>SUMIFS('7日销售明细'!$K$5:$K$2244,'7日销售明细'!$B$5:$B$2244,B825,'7日销售明细'!$D$5:$D$2244,C825,'7日销售明细'!$H$5:$H$2244,E825)</x:f>
        <x:v>49</x:v>
      </x:c>
      <x:c r="H825" s="35" t="n">
        <x:f>SUMIFS('7日销售明细'!$L$5:$L$2244,'7日销售明细'!$B$5:$B$2244,B825,'7日销售明细'!$D$5:$D$2244,C825,'7日销售明细'!$H$5:$H$2244,E825)</x:f>
        <x:v>1421</x:v>
      </x:c>
      <x:c r="I825" s="35" t="n">
        <x:f>G825*XLOOKUP(E825,'菜品主数据'!$A$5:$A$24,'菜品主数据'!$G$5:$G$24,0)</x:f>
        <x:v>423.08560000000006</x:v>
      </x:c>
    </x:row>
    <x:row r="826">
      <x:c r="A826" s="19" t="str">
        <x:v>2026-07-13|S06|D02</x:v>
      </x:c>
      <x:c r="B826" s="34" t="n">
        <x:v>46216.5</x:v>
      </x:c>
      <x:c r="C826" s="19" t="str">
        <x:v>S06</x:v>
      </x:c>
      <x:c r="D826" s="19" t="str">
        <x:v>蓝钻天城店</x:v>
      </x:c>
      <x:c r="E826" s="19" t="str">
        <x:v>D02</x:v>
      </x:c>
      <x:c r="F826" s="19" t="str">
        <x:v>小炒黄牛肉</x:v>
      </x:c>
      <x:c r="G826" s="20" t="n">
        <x:f>SUMIFS('7日销售明细'!$K$5:$K$2244,'7日销售明细'!$B$5:$B$2244,B826,'7日销售明细'!$D$5:$D$2244,C826,'7日销售明细'!$H$5:$H$2244,E826)</x:f>
        <x:v>35</x:v>
      </x:c>
      <x:c r="H826" s="35" t="n">
        <x:f>SUMIFS('7日销售明细'!$L$5:$L$2244,'7日销售明细'!$B$5:$B$2244,B826,'7日销售明细'!$D$5:$D$2244,C826,'7日销售明细'!$H$5:$H$2244,E826)</x:f>
        <x:v>1715</x:v>
      </x:c>
      <x:c r="I826" s="35" t="n">
        <x:f>G826*XLOOKUP(E826,'菜品主数据'!$A$5:$A$24,'菜品主数据'!$G$5:$G$24,0)</x:f>
        <x:v>615.195</x:v>
      </x:c>
    </x:row>
    <x:row r="827">
      <x:c r="A827" s="19" t="str">
        <x:v>2026-07-13|S06|D03</x:v>
      </x:c>
      <x:c r="B827" s="34" t="n">
        <x:v>46216.5</x:v>
      </x:c>
      <x:c r="C827" s="19" t="str">
        <x:v>S06</x:v>
      </x:c>
      <x:c r="D827" s="19" t="str">
        <x:v>蓝钻天城店</x:v>
      </x:c>
      <x:c r="E827" s="19" t="str">
        <x:v>D03</x:v>
      </x:c>
      <x:c r="F827" s="19" t="str">
        <x:v>香醋炒蛋</x:v>
      </x:c>
      <x:c r="G827" s="20" t="n">
        <x:f>SUMIFS('7日销售明细'!$K$5:$K$2244,'7日销售明细'!$B$5:$B$2244,B827,'7日销售明细'!$D$5:$D$2244,C827,'7日销售明细'!$H$5:$H$2244,E827)</x:f>
        <x:v>40</x:v>
      </x:c>
      <x:c r="H827" s="35" t="n">
        <x:f>SUMIFS('7日销售明细'!$L$5:$L$2244,'7日销售明细'!$B$5:$B$2244,B827,'7日销售明细'!$D$5:$D$2244,C827,'7日销售明细'!$H$5:$H$2244,E827)</x:f>
        <x:v>596</x:v>
      </x:c>
      <x:c r="I827" s="35" t="n">
        <x:f>G827*XLOOKUP(E827,'菜品主数据'!$A$5:$A$24,'菜品主数据'!$G$5:$G$24,0)</x:f>
        <x:v>149.83999999999997</x:v>
      </x:c>
    </x:row>
    <x:row r="828">
      <x:c r="A828" s="19" t="str">
        <x:v>2026-07-13|S06|D04</x:v>
      </x:c>
      <x:c r="B828" s="34" t="n">
        <x:v>46216.5</x:v>
      </x:c>
      <x:c r="C828" s="19" t="str">
        <x:v>S06</x:v>
      </x:c>
      <x:c r="D828" s="19" t="str">
        <x:v>蓝钻天城店</x:v>
      </x:c>
      <x:c r="E828" s="19" t="str">
        <x:v>D04</x:v>
      </x:c>
      <x:c r="F828" s="19" t="str">
        <x:v>酸包菜炒粉皮</x:v>
      </x:c>
      <x:c r="G828" s="20" t="n">
        <x:f>SUMIFS('7日销售明细'!$K$5:$K$2244,'7日销售明细'!$B$5:$B$2244,B828,'7日销售明细'!$D$5:$D$2244,C828,'7日销售明细'!$H$5:$H$2244,E828)</x:f>
        <x:v>38</x:v>
      </x:c>
      <x:c r="H828" s="35" t="n">
        <x:f>SUMIFS('7日销售明细'!$L$5:$L$2244,'7日销售明细'!$B$5:$B$2244,B828,'7日销售明细'!$D$5:$D$2244,C828,'7日销售明细'!$H$5:$H$2244,E828)</x:f>
        <x:v>608</x:v>
      </x:c>
      <x:c r="I828" s="35" t="n">
        <x:f>G828*XLOOKUP(E828,'菜品主数据'!$A$5:$A$24,'菜品主数据'!$G$5:$G$24,0)</x:f>
        <x:v>151.16400000000002</x:v>
      </x:c>
    </x:row>
    <x:row r="829">
      <x:c r="A829" s="19" t="str">
        <x:v>2026-07-13|S06|D05</x:v>
      </x:c>
      <x:c r="B829" s="34" t="n">
        <x:v>46216.5</x:v>
      </x:c>
      <x:c r="C829" s="19" t="str">
        <x:v>S06</x:v>
      </x:c>
      <x:c r="D829" s="19" t="str">
        <x:v>蓝钻天城店</x:v>
      </x:c>
      <x:c r="E829" s="19" t="str">
        <x:v>D05</x:v>
      </x:c>
      <x:c r="F829" s="19" t="str">
        <x:v>麻婆豆腐</x:v>
      </x:c>
      <x:c r="G829" s="20" t="n">
        <x:f>SUMIFS('7日销售明细'!$K$5:$K$2244,'7日销售明细'!$B$5:$B$2244,B829,'7日销售明细'!$D$5:$D$2244,C829,'7日销售明细'!$H$5:$H$2244,E829)</x:f>
        <x:v>52</x:v>
      </x:c>
      <x:c r="H829" s="35" t="n">
        <x:f>SUMIFS('7日销售明细'!$L$5:$L$2244,'7日销售明细'!$B$5:$B$2244,B829,'7日销售明细'!$D$5:$D$2244,C829,'7日销售明细'!$H$5:$H$2244,E829)</x:f>
        <x:v>514.8</x:v>
      </x:c>
      <x:c r="I829" s="35" t="n">
        <x:f>G829*XLOOKUP(E829,'菜品主数据'!$A$5:$A$24,'菜品主数据'!$G$5:$G$24,0)</x:f>
        <x:v>279.08400000000006</x:v>
      </x:c>
    </x:row>
    <x:row r="830">
      <x:c r="A830" s="19" t="str">
        <x:v>2026-07-13|S06|D06</x:v>
      </x:c>
      <x:c r="B830" s="34" t="n">
        <x:v>46216.5</x:v>
      </x:c>
      <x:c r="C830" s="19" t="str">
        <x:v>S06</x:v>
      </x:c>
      <x:c r="D830" s="19" t="str">
        <x:v>蓝钻天城店</x:v>
      </x:c>
      <x:c r="E830" s="19" t="str">
        <x:v>D06</x:v>
      </x:c>
      <x:c r="F830" s="19" t="str">
        <x:v>剁椒鱼头</x:v>
      </x:c>
      <x:c r="G830" s="20" t="n">
        <x:f>SUMIFS('7日销售明细'!$K$5:$K$2244,'7日销售明细'!$B$5:$B$2244,B830,'7日销售明细'!$D$5:$D$2244,C830,'7日销售明细'!$H$5:$H$2244,E830)</x:f>
        <x:v>12</x:v>
      </x:c>
      <x:c r="H830" s="35" t="n">
        <x:f>SUMIFS('7日销售明细'!$L$5:$L$2244,'7日销售明细'!$B$5:$B$2244,B830,'7日销售明细'!$D$5:$D$2244,C830,'7日销售明细'!$H$5:$H$2244,E830)</x:f>
        <x:v>468</x:v>
      </x:c>
      <x:c r="I830" s="35" t="n">
        <x:f>G830*XLOOKUP(E830,'菜品主数据'!$A$5:$A$24,'菜品主数据'!$G$5:$G$24,0)</x:f>
        <x:v>209.35200000000003</x:v>
      </x:c>
    </x:row>
    <x:row r="831">
      <x:c r="A831" s="19" t="str">
        <x:v>2026-07-13|S06|D07</x:v>
      </x:c>
      <x:c r="B831" s="34" t="n">
        <x:v>46216.5</x:v>
      </x:c>
      <x:c r="C831" s="19" t="str">
        <x:v>S06</x:v>
      </x:c>
      <x:c r="D831" s="19" t="str">
        <x:v>蓝钻天城店</x:v>
      </x:c>
      <x:c r="E831" s="19" t="str">
        <x:v>D07</x:v>
      </x:c>
      <x:c r="F831" s="19" t="str">
        <x:v>川味回锅肉</x:v>
      </x:c>
      <x:c r="G831" s="20" t="n">
        <x:f>SUMIFS('7日销售明细'!$K$5:$K$2244,'7日销售明细'!$B$5:$B$2244,B831,'7日销售明细'!$D$5:$D$2244,C831,'7日销售明细'!$H$5:$H$2244,E831)</x:f>
        <x:v>16</x:v>
      </x:c>
      <x:c r="H831" s="35" t="n">
        <x:f>SUMIFS('7日销售明细'!$L$5:$L$2244,'7日销售明细'!$B$5:$B$2244,B831,'7日销售明细'!$D$5:$D$2244,C831,'7日销售明细'!$H$5:$H$2244,E831)</x:f>
        <x:v>464</x:v>
      </x:c>
      <x:c r="I831" s="35" t="n">
        <x:f>G831*XLOOKUP(E831,'菜品主数据'!$A$5:$A$24,'菜品主数据'!$G$5:$G$24,0)</x:f>
        <x:v>163.69600000000003</x:v>
      </x:c>
    </x:row>
    <x:row r="832">
      <x:c r="A832" s="19" t="str">
        <x:v>2026-07-13|S06|D08</x:v>
      </x:c>
      <x:c r="B832" s="34" t="n">
        <x:v>46216.5</x:v>
      </x:c>
      <x:c r="C832" s="19" t="str">
        <x:v>S06</x:v>
      </x:c>
      <x:c r="D832" s="19" t="str">
        <x:v>蓝钻天城店</x:v>
      </x:c>
      <x:c r="E832" s="19" t="str">
        <x:v>D08</x:v>
      </x:c>
      <x:c r="F832" s="19" t="str">
        <x:v>生炒清远鸡</x:v>
      </x:c>
      <x:c r="G832" s="20" t="n">
        <x:f>SUMIFS('7日销售明细'!$K$5:$K$2244,'7日销售明细'!$B$5:$B$2244,B832,'7日销售明细'!$D$5:$D$2244,C832,'7日销售明细'!$H$5:$H$2244,E832)</x:f>
        <x:v>13</x:v>
      </x:c>
      <x:c r="H832" s="35" t="n">
        <x:f>SUMIFS('7日销售明细'!$L$5:$L$2244,'7日销售明细'!$B$5:$B$2244,B832,'7日销售明细'!$D$5:$D$2244,C832,'7日销售明细'!$H$5:$H$2244,E832)</x:f>
        <x:v>468</x:v>
      </x:c>
      <x:c r="I832" s="35" t="n">
        <x:f>G832*XLOOKUP(E832,'菜品主数据'!$A$5:$A$24,'菜品主数据'!$G$5:$G$24,0)</x:f>
        <x:v>175.24</x:v>
      </x:c>
    </x:row>
    <x:row r="833">
      <x:c r="A833" s="19" t="str">
        <x:v>2026-07-13|S06|D09</x:v>
      </x:c>
      <x:c r="B833" s="34" t="n">
        <x:v>46216.5</x:v>
      </x:c>
      <x:c r="C833" s="19" t="str">
        <x:v>S06</x:v>
      </x:c>
      <x:c r="D833" s="19" t="str">
        <x:v>蓝钻天城店</x:v>
      </x:c>
      <x:c r="E833" s="19" t="str">
        <x:v>D09</x:v>
      </x:c>
      <x:c r="F833" s="19" t="str">
        <x:v>炒豆干</x:v>
      </x:c>
      <x:c r="G833" s="20" t="n">
        <x:f>SUMIFS('7日销售明细'!$K$5:$K$2244,'7日销售明细'!$B$5:$B$2244,B833,'7日销售明细'!$D$5:$D$2244,C833,'7日销售明细'!$H$5:$H$2244,E833)</x:f>
        <x:v>17</x:v>
      </x:c>
      <x:c r="H833" s="35" t="n">
        <x:f>SUMIFS('7日销售明细'!$L$5:$L$2244,'7日销售明细'!$B$5:$B$2244,B833,'7日销售明细'!$D$5:$D$2244,C833,'7日销售明细'!$H$5:$H$2244,E833)</x:f>
        <x:v>306</x:v>
      </x:c>
      <x:c r="I833" s="35" t="n">
        <x:f>G833*XLOOKUP(E833,'菜品主数据'!$A$5:$A$24,'菜品主数据'!$G$5:$G$24,0)</x:f>
        <x:v>112.43799999999999</x:v>
      </x:c>
    </x:row>
    <x:row r="834">
      <x:c r="A834" s="19" t="str">
        <x:v>2026-07-13|S06|D10</x:v>
      </x:c>
      <x:c r="B834" s="34" t="n">
        <x:v>46216.5</x:v>
      </x:c>
      <x:c r="C834" s="19" t="str">
        <x:v>S06</x:v>
      </x:c>
      <x:c r="D834" s="19" t="str">
        <x:v>蓝钻天城店</x:v>
      </x:c>
      <x:c r="E834" s="19" t="str">
        <x:v>D10</x:v>
      </x:c>
      <x:c r="F834" s="19" t="str">
        <x:v>农家一碗香</x:v>
      </x:c>
      <x:c r="G834" s="20" t="n">
        <x:f>SUMIFS('7日销售明细'!$K$5:$K$2244,'7日销售明细'!$B$5:$B$2244,B834,'7日销售明细'!$D$5:$D$2244,C834,'7日销售明细'!$H$5:$H$2244,E834)</x:f>
        <x:v>19</x:v>
      </x:c>
      <x:c r="H834" s="35" t="n">
        <x:f>SUMIFS('7日销售明细'!$L$5:$L$2244,'7日销售明细'!$B$5:$B$2244,B834,'7日销售明细'!$D$5:$D$2244,C834,'7日销售明细'!$H$5:$H$2244,E834)</x:f>
        <x:v>435.09999999999997</x:v>
      </x:c>
      <x:c r="I834" s="35" t="n">
        <x:f>G834*XLOOKUP(E834,'菜品主数据'!$A$5:$A$24,'菜品主数据'!$G$5:$G$24,0)</x:f>
        <x:v>185.63380000000006</x:v>
      </x:c>
    </x:row>
    <x:row r="835">
      <x:c r="A835" s="19" t="str">
        <x:v>2026-07-13|S06|D11</x:v>
      </x:c>
      <x:c r="B835" s="34" t="n">
        <x:v>46216.5</x:v>
      </x:c>
      <x:c r="C835" s="19" t="str">
        <x:v>S06</x:v>
      </x:c>
      <x:c r="D835" s="19" t="str">
        <x:v>蓝钻天城店</x:v>
      </x:c>
      <x:c r="E835" s="19" t="str">
        <x:v>D11</x:v>
      </x:c>
      <x:c r="F835" s="19" t="str">
        <x:v>香辣爆肥肠</x:v>
      </x:c>
      <x:c r="G835" s="20" t="n">
        <x:f>SUMIFS('7日销售明细'!$K$5:$K$2244,'7日销售明细'!$B$5:$B$2244,B835,'7日销售明细'!$D$5:$D$2244,C835,'7日销售明细'!$H$5:$H$2244,E835)</x:f>
        <x:v>7</x:v>
      </x:c>
      <x:c r="H835" s="35" t="n">
        <x:f>SUMIFS('7日销售明细'!$L$5:$L$2244,'7日销售明细'!$B$5:$B$2244,B835,'7日销售明细'!$D$5:$D$2244,C835,'7日销售明细'!$H$5:$H$2244,E835)</x:f>
        <x:v>273</x:v>
      </x:c>
      <x:c r="I835" s="35" t="n">
        <x:f>G835*XLOOKUP(E835,'菜品主数据'!$A$5:$A$24,'菜品主数据'!$G$5:$G$24,0)</x:f>
        <x:v>72.779</x:v>
      </x:c>
    </x:row>
    <x:row r="836">
      <x:c r="A836" s="19" t="str">
        <x:v>2026-07-13|S06|D12</x:v>
      </x:c>
      <x:c r="B836" s="34" t="n">
        <x:v>46216.5</x:v>
      </x:c>
      <x:c r="C836" s="19" t="str">
        <x:v>S06</x:v>
      </x:c>
      <x:c r="D836" s="19" t="str">
        <x:v>蓝钻天城店</x:v>
      </x:c>
      <x:c r="E836" s="19" t="str">
        <x:v>D12</x:v>
      </x:c>
      <x:c r="F836" s="19" t="str">
        <x:v>清蒸鲈鱼</x:v>
      </x:c>
      <x:c r="G836" s="20" t="n">
        <x:f>SUMIFS('7日销售明细'!$K$5:$K$2244,'7日销售明细'!$B$5:$B$2244,B836,'7日销售明细'!$D$5:$D$2244,C836,'7日销售明细'!$H$5:$H$2244,E836)</x:f>
        <x:v>7</x:v>
      </x:c>
      <x:c r="H836" s="35" t="n">
        <x:f>SUMIFS('7日销售明细'!$L$5:$L$2244,'7日销售明细'!$B$5:$B$2244,B836,'7日销售明细'!$D$5:$D$2244,C836,'7日销售明细'!$H$5:$H$2244,E836)</x:f>
        <x:v>273</x:v>
      </x:c>
      <x:c r="I836" s="35" t="n">
        <x:f>G836*XLOOKUP(E836,'菜品主数据'!$A$5:$A$24,'菜品主数据'!$G$5:$G$24,0)</x:f>
        <x:v>132.118</x:v>
      </x:c>
    </x:row>
    <x:row r="837">
      <x:c r="A837" s="19" t="str">
        <x:v>2026-07-13|S06|D13</x:v>
      </x:c>
      <x:c r="B837" s="34" t="n">
        <x:v>46216.5</x:v>
      </x:c>
      <x:c r="C837" s="19" t="str">
        <x:v>S06</x:v>
      </x:c>
      <x:c r="D837" s="19" t="str">
        <x:v>蓝钻天城店</x:v>
      </x:c>
      <x:c r="E837" s="19" t="str">
        <x:v>D13</x:v>
      </x:c>
      <x:c r="F837" s="19" t="str">
        <x:v>外婆菜炒蛋</x:v>
      </x:c>
      <x:c r="G837" s="20" t="n">
        <x:f>SUMIFS('7日销售明细'!$K$5:$K$2244,'7日销售明细'!$B$5:$B$2244,B837,'7日销售明细'!$D$5:$D$2244,C837,'7日销售明细'!$H$5:$H$2244,E837)</x:f>
        <x:v>17</x:v>
      </x:c>
      <x:c r="H837" s="35" t="n">
        <x:f>SUMIFS('7日销售明细'!$L$5:$L$2244,'7日销售明细'!$B$5:$B$2244,B837,'7日销售明细'!$D$5:$D$2244,C837,'7日销售明细'!$H$5:$H$2244,E837)</x:f>
        <x:v>306</x:v>
      </x:c>
      <x:c r="I837" s="35" t="n">
        <x:f>G837*XLOOKUP(E837,'菜品主数据'!$A$5:$A$24,'菜品主数据'!$G$5:$G$24,0)</x:f>
        <x:v>91.86799999999998</x:v>
      </x:c>
    </x:row>
    <x:row r="838">
      <x:c r="A838" s="19" t="str">
        <x:v>2026-07-13|S06|D14</x:v>
      </x:c>
      <x:c r="B838" s="34" t="n">
        <x:v>46216.5</x:v>
      </x:c>
      <x:c r="C838" s="19" t="str">
        <x:v>S06</x:v>
      </x:c>
      <x:c r="D838" s="19" t="str">
        <x:v>蓝钻天城店</x:v>
      </x:c>
      <x:c r="E838" s="19" t="str">
        <x:v>D14</x:v>
      </x:c>
      <x:c r="F838" s="19" t="str">
        <x:v>酸辣鸡杂</x:v>
      </x:c>
      <x:c r="G838" s="20" t="n">
        <x:f>SUMIFS('7日销售明细'!$K$5:$K$2244,'7日销售明细'!$B$5:$B$2244,B838,'7日销售明细'!$D$5:$D$2244,C838,'7日销售明细'!$H$5:$H$2244,E838)</x:f>
        <x:v>9</x:v>
      </x:c>
      <x:c r="H838" s="35" t="n">
        <x:f>SUMIFS('7日销售明细'!$L$5:$L$2244,'7日销售明细'!$B$5:$B$2244,B838,'7日销售明细'!$D$5:$D$2244,C838,'7日销售明细'!$H$5:$H$2244,E838)</x:f>
        <x:v>252</x:v>
      </x:c>
      <x:c r="I838" s="35" t="n">
        <x:f>G838*XLOOKUP(E838,'菜品主数据'!$A$5:$A$24,'菜品主数据'!$G$5:$G$24,0)</x:f>
        <x:v>74.83500000000001</x:v>
      </x:c>
    </x:row>
    <x:row r="839">
      <x:c r="A839" s="19" t="str">
        <x:v>2026-07-13|S06|D15</x:v>
      </x:c>
      <x:c r="B839" s="34" t="n">
        <x:v>46216.5</x:v>
      </x:c>
      <x:c r="C839" s="19" t="str">
        <x:v>S06</x:v>
      </x:c>
      <x:c r="D839" s="19" t="str">
        <x:v>蓝钻天城店</x:v>
      </x:c>
      <x:c r="E839" s="19" t="str">
        <x:v>D15</x:v>
      </x:c>
      <x:c r="F839" s="19" t="str">
        <x:v>湘西土匪猪肝</x:v>
      </x:c>
      <x:c r="G839" s="20" t="n">
        <x:f>SUMIFS('7日销售明细'!$K$5:$K$2244,'7日销售明细'!$B$5:$B$2244,B839,'7日销售明细'!$D$5:$D$2244,C839,'7日销售明细'!$H$5:$H$2244,E839)</x:f>
        <x:v>8</x:v>
      </x:c>
      <x:c r="H839" s="35" t="n">
        <x:f>SUMIFS('7日销售明细'!$L$5:$L$2244,'7日销售明细'!$B$5:$B$2244,B839,'7日销售明细'!$D$5:$D$2244,C839,'7日销售明细'!$H$5:$H$2244,E839)</x:f>
        <x:v>208</x:v>
      </x:c>
      <x:c r="I839" s="35" t="n">
        <x:f>G839*XLOOKUP(E839,'菜品主数据'!$A$5:$A$24,'菜品主数据'!$G$5:$G$24,0)</x:f>
        <x:v>51.007999999999996</x:v>
      </x:c>
    </x:row>
    <x:row r="840">
      <x:c r="A840" s="19" t="str">
        <x:v>2026-07-13|S06|D16</x:v>
      </x:c>
      <x:c r="B840" s="34" t="n">
        <x:v>46216.5</x:v>
      </x:c>
      <x:c r="C840" s="19" t="str">
        <x:v>S06</x:v>
      </x:c>
      <x:c r="D840" s="19" t="str">
        <x:v>蓝钻天城店</x:v>
      </x:c>
      <x:c r="E840" s="19" t="str">
        <x:v>D16</x:v>
      </x:c>
      <x:c r="F840" s="19" t="str">
        <x:v>小豆角炒五花</x:v>
      </x:c>
      <x:c r="G840" s="20" t="n">
        <x:f>SUMIFS('7日销售明细'!$K$5:$K$2244,'7日销售明细'!$B$5:$B$2244,B840,'7日销售明细'!$D$5:$D$2244,C840,'7日销售明细'!$H$5:$H$2244,E840)</x:f>
        <x:v>8</x:v>
      </x:c>
      <x:c r="H840" s="35" t="n">
        <x:f>SUMIFS('7日销售明细'!$L$5:$L$2244,'7日销售明细'!$B$5:$B$2244,B840,'7日销售明细'!$D$5:$D$2244,C840,'7日销售明细'!$H$5:$H$2244,E840)</x:f>
        <x:v>200</x:v>
      </x:c>
      <x:c r="I840" s="35" t="n">
        <x:f>G840*XLOOKUP(E840,'菜品主数据'!$A$5:$A$24,'菜品主数据'!$G$5:$G$24,0)</x:f>
        <x:v>65.472</x:v>
      </x:c>
    </x:row>
    <x:row r="841">
      <x:c r="A841" s="19" t="str">
        <x:v>2026-07-13|S06|D17</x:v>
      </x:c>
      <x:c r="B841" s="34" t="n">
        <x:v>46216.5</x:v>
      </x:c>
      <x:c r="C841" s="19" t="str">
        <x:v>S06</x:v>
      </x:c>
      <x:c r="D841" s="19" t="str">
        <x:v>蓝钻天城店</x:v>
      </x:c>
      <x:c r="E841" s="19" t="str">
        <x:v>D17</x:v>
      </x:c>
      <x:c r="F841" s="19" t="str">
        <x:v>蒜蓉粉丝虾</x:v>
      </x:c>
      <x:c r="G841" s="20" t="n">
        <x:f>SUMIFS('7日销售明细'!$K$5:$K$2244,'7日销售明细'!$B$5:$B$2244,B841,'7日销售明细'!$D$5:$D$2244,C841,'7日销售明细'!$H$5:$H$2244,E841)</x:f>
        <x:v>5</x:v>
      </x:c>
      <x:c r="H841" s="35" t="n">
        <x:f>SUMIFS('7日销售明细'!$L$5:$L$2244,'7日销售明细'!$B$5:$B$2244,B841,'7日销售明细'!$D$5:$D$2244,C841,'7日销售明细'!$H$5:$H$2244,E841)</x:f>
        <x:v>180</x:v>
      </x:c>
      <x:c r="I841" s="35" t="n">
        <x:f>G841*XLOOKUP(E841,'菜品主数据'!$A$5:$A$24,'菜品主数据'!$G$5:$G$24,0)</x:f>
        <x:v>67.97</x:v>
      </x:c>
    </x:row>
    <x:row r="842">
      <x:c r="A842" s="19" t="str">
        <x:v>2026-07-13|S06|D18</x:v>
      </x:c>
      <x:c r="B842" s="34" t="n">
        <x:v>46216.5</x:v>
      </x:c>
      <x:c r="C842" s="19" t="str">
        <x:v>S06</x:v>
      </x:c>
      <x:c r="D842" s="19" t="str">
        <x:v>蓝钻天城店</x:v>
      </x:c>
      <x:c r="E842" s="19" t="str">
        <x:v>D18</x:v>
      </x:c>
      <x:c r="F842" s="19" t="str">
        <x:v>青椒炒油麦菜</x:v>
      </x:c>
      <x:c r="G842" s="20" t="n">
        <x:f>SUMIFS('7日销售明细'!$K$5:$K$2244,'7日销售明细'!$B$5:$B$2244,B842,'7日销售明细'!$D$5:$D$2244,C842,'7日销售明细'!$H$5:$H$2244,E842)</x:f>
        <x:v>10</x:v>
      </x:c>
      <x:c r="H842" s="35" t="n">
        <x:f>SUMIFS('7日销售明细'!$L$5:$L$2244,'7日销售明细'!$B$5:$B$2244,B842,'7日销售明细'!$D$5:$D$2244,C842,'7日销售明细'!$H$5:$H$2244,E842)</x:f>
        <x:v>180</x:v>
      </x:c>
      <x:c r="I842" s="35" t="n">
        <x:f>G842*XLOOKUP(E842,'菜品主数据'!$A$5:$A$24,'菜品主数据'!$G$5:$G$24,0)</x:f>
        <x:v>31.75999999999999</x:v>
      </x:c>
    </x:row>
    <x:row r="843">
      <x:c r="A843" s="19" t="str">
        <x:v>2026-07-13|S06|D19</x:v>
      </x:c>
      <x:c r="B843" s="34" t="n">
        <x:v>46216.5</x:v>
      </x:c>
      <x:c r="C843" s="19" t="str">
        <x:v>S06</x:v>
      </x:c>
      <x:c r="D843" s="19" t="str">
        <x:v>蓝钻天城店</x:v>
      </x:c>
      <x:c r="E843" s="19" t="str">
        <x:v>D19</x:v>
      </x:c>
      <x:c r="F843" s="19" t="str">
        <x:v>酸萝卜炒鸡杂</x:v>
      </x:c>
      <x:c r="G843" s="20" t="n">
        <x:f>SUMIFS('7日销售明细'!$K$5:$K$2244,'7日销售明细'!$B$5:$B$2244,B843,'7日销售明细'!$D$5:$D$2244,C843,'7日销售明细'!$H$5:$H$2244,E843)</x:f>
        <x:v>6</x:v>
      </x:c>
      <x:c r="H843" s="35" t="n">
        <x:f>SUMIFS('7日销售明细'!$L$5:$L$2244,'7日销售明细'!$B$5:$B$2244,B843,'7日销售明细'!$D$5:$D$2244,C843,'7日销售明细'!$H$5:$H$2244,E843)</x:f>
        <x:v>150</x:v>
      </x:c>
      <x:c r="I843" s="35" t="n">
        <x:f>G843*XLOOKUP(E843,'菜品主数据'!$A$5:$A$24,'菜品主数据'!$G$5:$G$24,0)</x:f>
        <x:v>47.64</x:v>
      </x:c>
    </x:row>
    <x:row r="844">
      <x:c r="A844" s="19" t="str">
        <x:v>2026-07-13|S06|D20</x:v>
      </x:c>
      <x:c r="B844" s="34" t="n">
        <x:v>46216.5</x:v>
      </x:c>
      <x:c r="C844" s="19" t="str">
        <x:v>S06</x:v>
      </x:c>
      <x:c r="D844" s="19" t="str">
        <x:v>蓝钻天城店</x:v>
      </x:c>
      <x:c r="E844" s="19" t="str">
        <x:v>D20</x:v>
      </x:c>
      <x:c r="F844" s="19" t="str">
        <x:v>雪菜肉末青豆</x:v>
      </x:c>
      <x:c r="G844" s="20" t="n">
        <x:f>SUMIFS('7日销售明细'!$K$5:$K$2244,'7日销售明细'!$B$5:$B$2244,B844,'7日销售明细'!$D$5:$D$2244,C844,'7日销售明细'!$H$5:$H$2244,E844)</x:f>
        <x:v>10</x:v>
      </x:c>
      <x:c r="H844" s="35" t="n">
        <x:f>SUMIFS('7日销售明细'!$L$5:$L$2244,'7日销售明细'!$B$5:$B$2244,B844,'7日销售明细'!$D$5:$D$2244,C844,'7日销售明细'!$H$5:$H$2244,E844)</x:f>
        <x:v>180</x:v>
      </x:c>
      <x:c r="I844" s="35" t="n">
        <x:f>G844*XLOOKUP(E844,'菜品主数据'!$A$5:$A$24,'菜品主数据'!$G$5:$G$24,0)</x:f>
        <x:v>73.03999999999999</x:v>
      </x:c>
    </x:row>
    <x:row r="845">
      <x:c r="A845" s="19" t="str">
        <x:v>2026-07-07|S07|D01</x:v>
      </x:c>
      <x:c r="B845" s="34" t="n">
        <x:v>46210.5</x:v>
      </x:c>
      <x:c r="C845" s="19" t="str">
        <x:v>S07</x:v>
      </x:c>
      <x:c r="D845" s="19" t="str">
        <x:v>小和山店</x:v>
      </x:c>
      <x:c r="E845" s="19" t="str">
        <x:v>D01</x:v>
      </x:c>
      <x:c r="F845" s="19" t="str">
        <x:v>辣椒炒肉</x:v>
      </x:c>
      <x:c r="G845" s="20" t="n">
        <x:f>SUMIFS('7日销售明细'!$K$5:$K$2244,'7日销售明细'!$B$5:$B$2244,B845,'7日销售明细'!$D$5:$D$2244,C845,'7日销售明细'!$H$5:$H$2244,E845)</x:f>
        <x:v>43</x:v>
      </x:c>
      <x:c r="H845" s="35" t="n">
        <x:f>SUMIFS('7日销售明细'!$L$5:$L$2244,'7日销售明细'!$B$5:$B$2244,B845,'7日销售明细'!$D$5:$D$2244,C845,'7日销售明细'!$H$5:$H$2244,E845)</x:f>
        <x:v>1247</x:v>
      </x:c>
      <x:c r="I845" s="35" t="n">
        <x:f>G845*XLOOKUP(E845,'菜品主数据'!$A$5:$A$24,'菜品主数据'!$G$5:$G$24,0)</x:f>
        <x:v>371.27920000000006</x:v>
      </x:c>
    </x:row>
    <x:row r="846">
      <x:c r="A846" s="19" t="str">
        <x:v>2026-07-07|S07|D02</x:v>
      </x:c>
      <x:c r="B846" s="34" t="n">
        <x:v>46210.5</x:v>
      </x:c>
      <x:c r="C846" s="19" t="str">
        <x:v>S07</x:v>
      </x:c>
      <x:c r="D846" s="19" t="str">
        <x:v>小和山店</x:v>
      </x:c>
      <x:c r="E846" s="19" t="str">
        <x:v>D02</x:v>
      </x:c>
      <x:c r="F846" s="19" t="str">
        <x:v>小炒黄牛肉</x:v>
      </x:c>
      <x:c r="G846" s="20" t="n">
        <x:f>SUMIFS('7日销售明细'!$K$5:$K$2244,'7日销售明细'!$B$5:$B$2244,B846,'7日销售明细'!$D$5:$D$2244,C846,'7日销售明细'!$H$5:$H$2244,E846)</x:f>
        <x:v>32</x:v>
      </x:c>
      <x:c r="H846" s="35" t="n">
        <x:f>SUMIFS('7日销售明细'!$L$5:$L$2244,'7日销售明细'!$B$5:$B$2244,B846,'7日销售明细'!$D$5:$D$2244,C846,'7日销售明细'!$H$5:$H$2244,E846)</x:f>
        <x:v>1568</x:v>
      </x:c>
      <x:c r="I846" s="35" t="n">
        <x:f>G846*XLOOKUP(E846,'菜品主数据'!$A$5:$A$24,'菜品主数据'!$G$5:$G$24,0)</x:f>
        <x:v>562.464</x:v>
      </x:c>
    </x:row>
    <x:row r="847">
      <x:c r="A847" s="19" t="str">
        <x:v>2026-07-07|S07|D03</x:v>
      </x:c>
      <x:c r="B847" s="34" t="n">
        <x:v>46210.5</x:v>
      </x:c>
      <x:c r="C847" s="19" t="str">
        <x:v>S07</x:v>
      </x:c>
      <x:c r="D847" s="19" t="str">
        <x:v>小和山店</x:v>
      </x:c>
      <x:c r="E847" s="19" t="str">
        <x:v>D03</x:v>
      </x:c>
      <x:c r="F847" s="19" t="str">
        <x:v>香醋炒蛋</x:v>
      </x:c>
      <x:c r="G847" s="20" t="n">
        <x:f>SUMIFS('7日销售明细'!$K$5:$K$2244,'7日销售明细'!$B$5:$B$2244,B847,'7日销售明细'!$D$5:$D$2244,C847,'7日销售明细'!$H$5:$H$2244,E847)</x:f>
        <x:v>41</x:v>
      </x:c>
      <x:c r="H847" s="35" t="n">
        <x:f>SUMIFS('7日销售明细'!$L$5:$L$2244,'7日销售明细'!$B$5:$B$2244,B847,'7日销售明细'!$D$5:$D$2244,C847,'7日销售明细'!$H$5:$H$2244,E847)</x:f>
        <x:v>610.9000000000001</x:v>
      </x:c>
      <x:c r="I847" s="35" t="n">
        <x:f>G847*XLOOKUP(E847,'菜品主数据'!$A$5:$A$24,'菜品主数据'!$G$5:$G$24,0)</x:f>
        <x:v>153.58599999999998</x:v>
      </x:c>
    </x:row>
    <x:row r="848">
      <x:c r="A848" s="19" t="str">
        <x:v>2026-07-07|S07|D04</x:v>
      </x:c>
      <x:c r="B848" s="34" t="n">
        <x:v>46210.5</x:v>
      </x:c>
      <x:c r="C848" s="19" t="str">
        <x:v>S07</x:v>
      </x:c>
      <x:c r="D848" s="19" t="str">
        <x:v>小和山店</x:v>
      </x:c>
      <x:c r="E848" s="19" t="str">
        <x:v>D04</x:v>
      </x:c>
      <x:c r="F848" s="19" t="str">
        <x:v>酸包菜炒粉皮</x:v>
      </x:c>
      <x:c r="G848" s="20" t="n">
        <x:f>SUMIFS('7日销售明细'!$K$5:$K$2244,'7日销售明细'!$B$5:$B$2244,B848,'7日销售明细'!$D$5:$D$2244,C848,'7日销售明细'!$H$5:$H$2244,E848)</x:f>
        <x:v>34</x:v>
      </x:c>
      <x:c r="H848" s="35" t="n">
        <x:f>SUMIFS('7日销售明细'!$L$5:$L$2244,'7日销售明细'!$B$5:$B$2244,B848,'7日销售明细'!$D$5:$D$2244,C848,'7日销售明细'!$H$5:$H$2244,E848)</x:f>
        <x:v>544</x:v>
      </x:c>
      <x:c r="I848" s="35" t="n">
        <x:f>G848*XLOOKUP(E848,'菜品主数据'!$A$5:$A$24,'菜品主数据'!$G$5:$G$24,0)</x:f>
        <x:v>135.252</x:v>
      </x:c>
    </x:row>
    <x:row r="849">
      <x:c r="A849" s="19" t="str">
        <x:v>2026-07-07|S07|D05</x:v>
      </x:c>
      <x:c r="B849" s="34" t="n">
        <x:v>46210.5</x:v>
      </x:c>
      <x:c r="C849" s="19" t="str">
        <x:v>S07</x:v>
      </x:c>
      <x:c r="D849" s="19" t="str">
        <x:v>小和山店</x:v>
      </x:c>
      <x:c r="E849" s="19" t="str">
        <x:v>D05</x:v>
      </x:c>
      <x:c r="F849" s="19" t="str">
        <x:v>麻婆豆腐</x:v>
      </x:c>
      <x:c r="G849" s="20" t="n">
        <x:f>SUMIFS('7日销售明细'!$K$5:$K$2244,'7日销售明细'!$B$5:$B$2244,B849,'7日销售明细'!$D$5:$D$2244,C849,'7日销售明细'!$H$5:$H$2244,E849)</x:f>
        <x:v>49</x:v>
      </x:c>
      <x:c r="H849" s="35" t="n">
        <x:f>SUMIFS('7日销售明细'!$L$5:$L$2244,'7日销售明细'!$B$5:$B$2244,B849,'7日销售明细'!$D$5:$D$2244,C849,'7日销售明细'!$H$5:$H$2244,E849)</x:f>
        <x:v>485.1</x:v>
      </x:c>
      <x:c r="I849" s="35" t="n">
        <x:f>G849*XLOOKUP(E849,'菜品主数据'!$A$5:$A$24,'菜品主数据'!$G$5:$G$24,0)</x:f>
        <x:v>262.98300000000006</x:v>
      </x:c>
    </x:row>
    <x:row r="850">
      <x:c r="A850" s="19" t="str">
        <x:v>2026-07-07|S07|D06</x:v>
      </x:c>
      <x:c r="B850" s="34" t="n">
        <x:v>46210.5</x:v>
      </x:c>
      <x:c r="C850" s="19" t="str">
        <x:v>S07</x:v>
      </x:c>
      <x:c r="D850" s="19" t="str">
        <x:v>小和山店</x:v>
      </x:c>
      <x:c r="E850" s="19" t="str">
        <x:v>D06</x:v>
      </x:c>
      <x:c r="F850" s="19" t="str">
        <x:v>剁椒鱼头</x:v>
      </x:c>
      <x:c r="G850" s="20" t="n">
        <x:f>SUMIFS('7日销售明细'!$K$5:$K$2244,'7日销售明细'!$B$5:$B$2244,B850,'7日销售明细'!$D$5:$D$2244,C850,'7日销售明细'!$H$5:$H$2244,E850)</x:f>
        <x:v>13</x:v>
      </x:c>
      <x:c r="H850" s="35" t="n">
        <x:f>SUMIFS('7日销售明细'!$L$5:$L$2244,'7日销售明细'!$B$5:$B$2244,B850,'7日销售明细'!$D$5:$D$2244,C850,'7日销售明细'!$H$5:$H$2244,E850)</x:f>
        <x:v>507</x:v>
      </x:c>
      <x:c r="I850" s="35" t="n">
        <x:f>G850*XLOOKUP(E850,'菜品主数据'!$A$5:$A$24,'菜品主数据'!$G$5:$G$24,0)</x:f>
        <x:v>226.79800000000003</x:v>
      </x:c>
    </x:row>
    <x:row r="851">
      <x:c r="A851" s="19" t="str">
        <x:v>2026-07-07|S07|D07</x:v>
      </x:c>
      <x:c r="B851" s="34" t="n">
        <x:v>46210.5</x:v>
      </x:c>
      <x:c r="C851" s="19" t="str">
        <x:v>S07</x:v>
      </x:c>
      <x:c r="D851" s="19" t="str">
        <x:v>小和山店</x:v>
      </x:c>
      <x:c r="E851" s="19" t="str">
        <x:v>D07</x:v>
      </x:c>
      <x:c r="F851" s="19" t="str">
        <x:v>川味回锅肉</x:v>
      </x:c>
      <x:c r="G851" s="20" t="n">
        <x:f>SUMIFS('7日销售明细'!$K$5:$K$2244,'7日销售明细'!$B$5:$B$2244,B851,'7日销售明细'!$D$5:$D$2244,C851,'7日销售明细'!$H$5:$H$2244,E851)</x:f>
        <x:v>15</x:v>
      </x:c>
      <x:c r="H851" s="35" t="n">
        <x:f>SUMIFS('7日销售明细'!$L$5:$L$2244,'7日销售明细'!$B$5:$B$2244,B851,'7日销售明细'!$D$5:$D$2244,C851,'7日销售明细'!$H$5:$H$2244,E851)</x:f>
        <x:v>435</x:v>
      </x:c>
      <x:c r="I851" s="35" t="n">
        <x:f>G851*XLOOKUP(E851,'菜品主数据'!$A$5:$A$24,'菜品主数据'!$G$5:$G$24,0)</x:f>
        <x:v>153.46500000000003</x:v>
      </x:c>
    </x:row>
    <x:row r="852">
      <x:c r="A852" s="19" t="str">
        <x:v>2026-07-07|S07|D08</x:v>
      </x:c>
      <x:c r="B852" s="34" t="n">
        <x:v>46210.5</x:v>
      </x:c>
      <x:c r="C852" s="19" t="str">
        <x:v>S07</x:v>
      </x:c>
      <x:c r="D852" s="19" t="str">
        <x:v>小和山店</x:v>
      </x:c>
      <x:c r="E852" s="19" t="str">
        <x:v>D08</x:v>
      </x:c>
      <x:c r="F852" s="19" t="str">
        <x:v>生炒清远鸡</x:v>
      </x:c>
      <x:c r="G852" s="20" t="n">
        <x:f>SUMIFS('7日销售明细'!$K$5:$K$2244,'7日销售明细'!$B$5:$B$2244,B852,'7日销售明细'!$D$5:$D$2244,C852,'7日销售明细'!$H$5:$H$2244,E852)</x:f>
        <x:v>10</x:v>
      </x:c>
      <x:c r="H852" s="35" t="n">
        <x:f>SUMIFS('7日销售明细'!$L$5:$L$2244,'7日销售明细'!$B$5:$B$2244,B852,'7日销售明细'!$D$5:$D$2244,C852,'7日销售明细'!$H$5:$H$2244,E852)</x:f>
        <x:v>360</x:v>
      </x:c>
      <x:c r="I852" s="35" t="n">
        <x:f>G852*XLOOKUP(E852,'菜品主数据'!$A$5:$A$24,'菜品主数据'!$G$5:$G$24,0)</x:f>
        <x:v>134.8</x:v>
      </x:c>
    </x:row>
    <x:row r="853">
      <x:c r="A853" s="19" t="str">
        <x:v>2026-07-07|S07|D09</x:v>
      </x:c>
      <x:c r="B853" s="34" t="n">
        <x:v>46210.5</x:v>
      </x:c>
      <x:c r="C853" s="19" t="str">
        <x:v>S07</x:v>
      </x:c>
      <x:c r="D853" s="19" t="str">
        <x:v>小和山店</x:v>
      </x:c>
      <x:c r="E853" s="19" t="str">
        <x:v>D09</x:v>
      </x:c>
      <x:c r="F853" s="19" t="str">
        <x:v>炒豆干</x:v>
      </x:c>
      <x:c r="G853" s="20" t="n">
        <x:f>SUMIFS('7日销售明细'!$K$5:$K$2244,'7日销售明细'!$B$5:$B$2244,B853,'7日销售明细'!$D$5:$D$2244,C853,'7日销售明细'!$H$5:$H$2244,E853)</x:f>
        <x:v>16</x:v>
      </x:c>
      <x:c r="H853" s="35" t="n">
        <x:f>SUMIFS('7日销售明细'!$L$5:$L$2244,'7日销售明细'!$B$5:$B$2244,B853,'7日销售明细'!$D$5:$D$2244,C853,'7日销售明细'!$H$5:$H$2244,E853)</x:f>
        <x:v>288</x:v>
      </x:c>
      <x:c r="I853" s="35" t="n">
        <x:f>G853*XLOOKUP(E853,'菜品主数据'!$A$5:$A$24,'菜品主数据'!$G$5:$G$24,0)</x:f>
        <x:v>105.82399999999998</x:v>
      </x:c>
    </x:row>
    <x:row r="854">
      <x:c r="A854" s="19" t="str">
        <x:v>2026-07-07|S07|D10</x:v>
      </x:c>
      <x:c r="B854" s="34" t="n">
        <x:v>46210.5</x:v>
      </x:c>
      <x:c r="C854" s="19" t="str">
        <x:v>S07</x:v>
      </x:c>
      <x:c r="D854" s="19" t="str">
        <x:v>小和山店</x:v>
      </x:c>
      <x:c r="E854" s="19" t="str">
        <x:v>D10</x:v>
      </x:c>
      <x:c r="F854" s="19" t="str">
        <x:v>农家一碗香</x:v>
      </x:c>
      <x:c r="G854" s="20" t="n">
        <x:f>SUMIFS('7日销售明细'!$K$5:$K$2244,'7日销售明细'!$B$5:$B$2244,B854,'7日销售明细'!$D$5:$D$2244,C854,'7日销售明细'!$H$5:$H$2244,E854)</x:f>
        <x:v>17</x:v>
      </x:c>
      <x:c r="H854" s="35" t="n">
        <x:f>SUMIFS('7日销售明细'!$L$5:$L$2244,'7日销售明细'!$B$5:$B$2244,B854,'7日销售明细'!$D$5:$D$2244,C854,'7日销售明细'!$H$5:$H$2244,E854)</x:f>
        <x:v>389.29999999999995</x:v>
      </x:c>
      <x:c r="I854" s="35" t="n">
        <x:f>G854*XLOOKUP(E854,'菜品主数据'!$A$5:$A$24,'菜品主数据'!$G$5:$G$24,0)</x:f>
        <x:v>166.09340000000003</x:v>
      </x:c>
    </x:row>
    <x:row r="855">
      <x:c r="A855" s="19" t="str">
        <x:v>2026-07-07|S07|D11</x:v>
      </x:c>
      <x:c r="B855" s="34" t="n">
        <x:v>46210.5</x:v>
      </x:c>
      <x:c r="C855" s="19" t="str">
        <x:v>S07</x:v>
      </x:c>
      <x:c r="D855" s="19" t="str">
        <x:v>小和山店</x:v>
      </x:c>
      <x:c r="E855" s="19" t="str">
        <x:v>D11</x:v>
      </x:c>
      <x:c r="F855" s="19" t="str">
        <x:v>香辣爆肥肠</x:v>
      </x:c>
      <x:c r="G855" s="20" t="n">
        <x:f>SUMIFS('7日销售明细'!$K$5:$K$2244,'7日销售明细'!$B$5:$B$2244,B855,'7日销售明细'!$D$5:$D$2244,C855,'7日销售明细'!$H$5:$H$2244,E855)</x:f>
        <x:v>6</x:v>
      </x:c>
      <x:c r="H855" s="35" t="n">
        <x:f>SUMIFS('7日销售明细'!$L$5:$L$2244,'7日销售明细'!$B$5:$B$2244,B855,'7日销售明细'!$D$5:$D$2244,C855,'7日销售明细'!$H$5:$H$2244,E855)</x:f>
        <x:v>234</x:v>
      </x:c>
      <x:c r="I855" s="35" t="n">
        <x:f>G855*XLOOKUP(E855,'菜品主数据'!$A$5:$A$24,'菜品主数据'!$G$5:$G$24,0)</x:f>
        <x:v>62.382000000000005</x:v>
      </x:c>
    </x:row>
    <x:row r="856">
      <x:c r="A856" s="19" t="str">
        <x:v>2026-07-07|S07|D12</x:v>
      </x:c>
      <x:c r="B856" s="34" t="n">
        <x:v>46210.5</x:v>
      </x:c>
      <x:c r="C856" s="19" t="str">
        <x:v>S07</x:v>
      </x:c>
      <x:c r="D856" s="19" t="str">
        <x:v>小和山店</x:v>
      </x:c>
      <x:c r="E856" s="19" t="str">
        <x:v>D12</x:v>
      </x:c>
      <x:c r="F856" s="19" t="str">
        <x:v>清蒸鲈鱼</x:v>
      </x:c>
      <x:c r="G856" s="20" t="n">
        <x:f>SUMIFS('7日销售明细'!$K$5:$K$2244,'7日销售明细'!$B$5:$B$2244,B856,'7日销售明细'!$D$5:$D$2244,C856,'7日销售明细'!$H$5:$H$2244,E856)</x:f>
        <x:v>6</x:v>
      </x:c>
      <x:c r="H856" s="35" t="n">
        <x:f>SUMIFS('7日销售明细'!$L$5:$L$2244,'7日销售明细'!$B$5:$B$2244,B856,'7日销售明细'!$D$5:$D$2244,C856,'7日销售明细'!$H$5:$H$2244,E856)</x:f>
        <x:v>234</x:v>
      </x:c>
      <x:c r="I856" s="35" t="n">
        <x:f>G856*XLOOKUP(E856,'菜品主数据'!$A$5:$A$24,'菜品主数据'!$G$5:$G$24,0)</x:f>
        <x:v>113.244</x:v>
      </x:c>
    </x:row>
    <x:row r="857">
      <x:c r="A857" s="19" t="str">
        <x:v>2026-07-07|S07|D13</x:v>
      </x:c>
      <x:c r="B857" s="34" t="n">
        <x:v>46210.5</x:v>
      </x:c>
      <x:c r="C857" s="19" t="str">
        <x:v>S07</x:v>
      </x:c>
      <x:c r="D857" s="19" t="str">
        <x:v>小和山店</x:v>
      </x:c>
      <x:c r="E857" s="19" t="str">
        <x:v>D13</x:v>
      </x:c>
      <x:c r="F857" s="19" t="str">
        <x:v>外婆菜炒蛋</x:v>
      </x:c>
      <x:c r="G857" s="20" t="n">
        <x:f>SUMIFS('7日销售明细'!$K$5:$K$2244,'7日销售明细'!$B$5:$B$2244,B857,'7日销售明细'!$D$5:$D$2244,C857,'7日销售明细'!$H$5:$H$2244,E857)</x:f>
        <x:v>15</x:v>
      </x:c>
      <x:c r="H857" s="35" t="n">
        <x:f>SUMIFS('7日销售明细'!$L$5:$L$2244,'7日销售明细'!$B$5:$B$2244,B857,'7日销售明细'!$D$5:$D$2244,C857,'7日销售明细'!$H$5:$H$2244,E857)</x:f>
        <x:v>270</x:v>
      </x:c>
      <x:c r="I857" s="35" t="n">
        <x:f>G857*XLOOKUP(E857,'菜品主数据'!$A$5:$A$24,'菜品主数据'!$G$5:$G$24,0)</x:f>
        <x:v>81.05999999999999</x:v>
      </x:c>
    </x:row>
    <x:row r="858">
      <x:c r="A858" s="19" t="str">
        <x:v>2026-07-07|S07|D14</x:v>
      </x:c>
      <x:c r="B858" s="34" t="n">
        <x:v>46210.5</x:v>
      </x:c>
      <x:c r="C858" s="19" t="str">
        <x:v>S07</x:v>
      </x:c>
      <x:c r="D858" s="19" t="str">
        <x:v>小和山店</x:v>
      </x:c>
      <x:c r="E858" s="19" t="str">
        <x:v>D14</x:v>
      </x:c>
      <x:c r="F858" s="19" t="str">
        <x:v>酸辣鸡杂</x:v>
      </x:c>
      <x:c r="G858" s="20" t="n">
        <x:f>SUMIFS('7日销售明细'!$K$5:$K$2244,'7日销售明细'!$B$5:$B$2244,B858,'7日销售明细'!$D$5:$D$2244,C858,'7日销售明细'!$H$5:$H$2244,E858)</x:f>
        <x:v>7</x:v>
      </x:c>
      <x:c r="H858" s="35" t="n">
        <x:f>SUMIFS('7日销售明细'!$L$5:$L$2244,'7日销售明细'!$B$5:$B$2244,B858,'7日销售明细'!$D$5:$D$2244,C858,'7日销售明细'!$H$5:$H$2244,E858)</x:f>
        <x:v>196</x:v>
      </x:c>
      <x:c r="I858" s="35" t="n">
        <x:f>G858*XLOOKUP(E858,'菜品主数据'!$A$5:$A$24,'菜品主数据'!$G$5:$G$24,0)</x:f>
        <x:v>58.20500000000001</x:v>
      </x:c>
    </x:row>
    <x:row r="859">
      <x:c r="A859" s="19" t="str">
        <x:v>2026-07-07|S07|D15</x:v>
      </x:c>
      <x:c r="B859" s="34" t="n">
        <x:v>46210.5</x:v>
      </x:c>
      <x:c r="C859" s="19" t="str">
        <x:v>S07</x:v>
      </x:c>
      <x:c r="D859" s="19" t="str">
        <x:v>小和山店</x:v>
      </x:c>
      <x:c r="E859" s="19" t="str">
        <x:v>D15</x:v>
      </x:c>
      <x:c r="F859" s="19" t="str">
        <x:v>湘西土匪猪肝</x:v>
      </x:c>
      <x:c r="G859" s="20" t="n">
        <x:f>SUMIFS('7日销售明细'!$K$5:$K$2244,'7日销售明细'!$B$5:$B$2244,B859,'7日销售明细'!$D$5:$D$2244,C859,'7日销售明细'!$H$5:$H$2244,E859)</x:f>
        <x:v>7</x:v>
      </x:c>
      <x:c r="H859" s="35" t="n">
        <x:f>SUMIFS('7日销售明细'!$L$5:$L$2244,'7日销售明细'!$B$5:$B$2244,B859,'7日销售明细'!$D$5:$D$2244,C859,'7日销售明细'!$H$5:$H$2244,E859)</x:f>
        <x:v>182</x:v>
      </x:c>
      <x:c r="I859" s="35" t="n">
        <x:f>G859*XLOOKUP(E859,'菜品主数据'!$A$5:$A$24,'菜品主数据'!$G$5:$G$24,0)</x:f>
        <x:v>44.632</x:v>
      </x:c>
    </x:row>
    <x:row r="860">
      <x:c r="A860" s="19" t="str">
        <x:v>2026-07-07|S07|D16</x:v>
      </x:c>
      <x:c r="B860" s="34" t="n">
        <x:v>46210.5</x:v>
      </x:c>
      <x:c r="C860" s="19" t="str">
        <x:v>S07</x:v>
      </x:c>
      <x:c r="D860" s="19" t="str">
        <x:v>小和山店</x:v>
      </x:c>
      <x:c r="E860" s="19" t="str">
        <x:v>D16</x:v>
      </x:c>
      <x:c r="F860" s="19" t="str">
        <x:v>小豆角炒五花</x:v>
      </x:c>
      <x:c r="G860" s="20" t="n">
        <x:f>SUMIFS('7日销售明细'!$K$5:$K$2244,'7日销售明细'!$B$5:$B$2244,B860,'7日销售明细'!$D$5:$D$2244,C860,'7日销售明细'!$H$5:$H$2244,E860)</x:f>
        <x:v>7</x:v>
      </x:c>
      <x:c r="H860" s="35" t="n">
        <x:f>SUMIFS('7日销售明细'!$L$5:$L$2244,'7日销售明细'!$B$5:$B$2244,B860,'7日销售明细'!$D$5:$D$2244,C860,'7日销售明细'!$H$5:$H$2244,E860)</x:f>
        <x:v>175</x:v>
      </x:c>
      <x:c r="I860" s="35" t="n">
        <x:f>G860*XLOOKUP(E860,'菜品主数据'!$A$5:$A$24,'菜品主数据'!$G$5:$G$24,0)</x:f>
        <x:v>57.288</x:v>
      </x:c>
    </x:row>
    <x:row r="861">
      <x:c r="A861" s="19" t="str">
        <x:v>2026-07-07|S07|D17</x:v>
      </x:c>
      <x:c r="B861" s="34" t="n">
        <x:v>46210.5</x:v>
      </x:c>
      <x:c r="C861" s="19" t="str">
        <x:v>S07</x:v>
      </x:c>
      <x:c r="D861" s="19" t="str">
        <x:v>小和山店</x:v>
      </x:c>
      <x:c r="E861" s="19" t="str">
        <x:v>D17</x:v>
      </x:c>
      <x:c r="F861" s="19" t="str">
        <x:v>蒜蓉粉丝虾</x:v>
      </x:c>
      <x:c r="G861" s="20" t="n">
        <x:f>SUMIFS('7日销售明细'!$K$5:$K$2244,'7日销售明细'!$B$5:$B$2244,B861,'7日销售明细'!$D$5:$D$2244,C861,'7日销售明细'!$H$5:$H$2244,E861)</x:f>
        <x:v>4</x:v>
      </x:c>
      <x:c r="H861" s="35" t="n">
        <x:f>SUMIFS('7日销售明细'!$L$5:$L$2244,'7日销售明细'!$B$5:$B$2244,B861,'7日销售明细'!$D$5:$D$2244,C861,'7日销售明细'!$H$5:$H$2244,E861)</x:f>
        <x:v>144</x:v>
      </x:c>
      <x:c r="I861" s="35" t="n">
        <x:f>G861*XLOOKUP(E861,'菜品主数据'!$A$5:$A$24,'菜品主数据'!$G$5:$G$24,0)</x:f>
        <x:v>54.376</x:v>
      </x:c>
    </x:row>
    <x:row r="862">
      <x:c r="A862" s="19" t="str">
        <x:v>2026-07-07|S07|D18</x:v>
      </x:c>
      <x:c r="B862" s="34" t="n">
        <x:v>46210.5</x:v>
      </x:c>
      <x:c r="C862" s="19" t="str">
        <x:v>S07</x:v>
      </x:c>
      <x:c r="D862" s="19" t="str">
        <x:v>小和山店</x:v>
      </x:c>
      <x:c r="E862" s="19" t="str">
        <x:v>D18</x:v>
      </x:c>
      <x:c r="F862" s="19" t="str">
        <x:v>青椒炒油麦菜</x:v>
      </x:c>
      <x:c r="G862" s="20" t="n">
        <x:f>SUMIFS('7日销售明细'!$K$5:$K$2244,'7日销售明细'!$B$5:$B$2244,B862,'7日销售明细'!$D$5:$D$2244,C862,'7日销售明细'!$H$5:$H$2244,E862)</x:f>
        <x:v>8</x:v>
      </x:c>
      <x:c r="H862" s="35" t="n">
        <x:f>SUMIFS('7日销售明细'!$L$5:$L$2244,'7日销售明细'!$B$5:$B$2244,B862,'7日销售明细'!$D$5:$D$2244,C862,'7日销售明细'!$H$5:$H$2244,E862)</x:f>
        <x:v>144</x:v>
      </x:c>
      <x:c r="I862" s="35" t="n">
        <x:f>G862*XLOOKUP(E862,'菜品主数据'!$A$5:$A$24,'菜品主数据'!$G$5:$G$24,0)</x:f>
        <x:v>25.407999999999994</x:v>
      </x:c>
    </x:row>
    <x:row r="863">
      <x:c r="A863" s="19" t="str">
        <x:v>2026-07-07|S07|D19</x:v>
      </x:c>
      <x:c r="B863" s="34" t="n">
        <x:v>46210.5</x:v>
      </x:c>
      <x:c r="C863" s="19" t="str">
        <x:v>S07</x:v>
      </x:c>
      <x:c r="D863" s="19" t="str">
        <x:v>小和山店</x:v>
      </x:c>
      <x:c r="E863" s="19" t="str">
        <x:v>D19</x:v>
      </x:c>
      <x:c r="F863" s="19" t="str">
        <x:v>酸萝卜炒鸡杂</x:v>
      </x:c>
      <x:c r="G863" s="20" t="n">
        <x:f>SUMIFS('7日销售明细'!$K$5:$K$2244,'7日销售明细'!$B$5:$B$2244,B863,'7日销售明细'!$D$5:$D$2244,C863,'7日销售明细'!$H$5:$H$2244,E863)</x:f>
        <x:v>5</x:v>
      </x:c>
      <x:c r="H863" s="35" t="n">
        <x:f>SUMIFS('7日销售明细'!$L$5:$L$2244,'7日销售明细'!$B$5:$B$2244,B863,'7日销售明细'!$D$5:$D$2244,C863,'7日销售明细'!$H$5:$H$2244,E863)</x:f>
        <x:v>125</x:v>
      </x:c>
      <x:c r="I863" s="35" t="n">
        <x:f>G863*XLOOKUP(E863,'菜品主数据'!$A$5:$A$24,'菜品主数据'!$G$5:$G$24,0)</x:f>
        <x:v>39.699999999999996</x:v>
      </x:c>
    </x:row>
    <x:row r="864">
      <x:c r="A864" s="19" t="str">
        <x:v>2026-07-07|S07|D20</x:v>
      </x:c>
      <x:c r="B864" s="34" t="n">
        <x:v>46210.5</x:v>
      </x:c>
      <x:c r="C864" s="19" t="str">
        <x:v>S07</x:v>
      </x:c>
      <x:c r="D864" s="19" t="str">
        <x:v>小和山店</x:v>
      </x:c>
      <x:c r="E864" s="19" t="str">
        <x:v>D20</x:v>
      </x:c>
      <x:c r="F864" s="19" t="str">
        <x:v>雪菜肉末青豆</x:v>
      </x:c>
      <x:c r="G864" s="20" t="n">
        <x:f>SUMIFS('7日销售明细'!$K$5:$K$2244,'7日销售明细'!$B$5:$B$2244,B864,'7日销售明细'!$D$5:$D$2244,C864,'7日销售明细'!$H$5:$H$2244,E864)</x:f>
        <x:v>8</x:v>
      </x:c>
      <x:c r="H864" s="35" t="n">
        <x:f>SUMIFS('7日销售明细'!$L$5:$L$2244,'7日销售明细'!$B$5:$B$2244,B864,'7日销售明细'!$D$5:$D$2244,C864,'7日销售明细'!$H$5:$H$2244,E864)</x:f>
        <x:v>144</x:v>
      </x:c>
      <x:c r="I864" s="35" t="n">
        <x:f>G864*XLOOKUP(E864,'菜品主数据'!$A$5:$A$24,'菜品主数据'!$G$5:$G$24,0)</x:f>
        <x:v>58.431999999999995</x:v>
      </x:c>
    </x:row>
    <x:row r="865">
      <x:c r="A865" s="19" t="str">
        <x:v>2026-07-08|S07|D01</x:v>
      </x:c>
      <x:c r="B865" s="34" t="n">
        <x:v>46211.5</x:v>
      </x:c>
      <x:c r="C865" s="19" t="str">
        <x:v>S07</x:v>
      </x:c>
      <x:c r="D865" s="19" t="str">
        <x:v>小和山店</x:v>
      </x:c>
      <x:c r="E865" s="19" t="str">
        <x:v>D01</x:v>
      </x:c>
      <x:c r="F865" s="19" t="str">
        <x:v>辣椒炒肉</x:v>
      </x:c>
      <x:c r="G865" s="20" t="n">
        <x:f>SUMIFS('7日销售明细'!$K$5:$K$2244,'7日销售明细'!$B$5:$B$2244,B865,'7日销售明细'!$D$5:$D$2244,C865,'7日销售明细'!$H$5:$H$2244,E865)</x:f>
        <x:v>43</x:v>
      </x:c>
      <x:c r="H865" s="35" t="n">
        <x:f>SUMIFS('7日销售明细'!$L$5:$L$2244,'7日销售明细'!$B$5:$B$2244,B865,'7日销售明细'!$D$5:$D$2244,C865,'7日销售明细'!$H$5:$H$2244,E865)</x:f>
        <x:v>1247</x:v>
      </x:c>
      <x:c r="I865" s="35" t="n">
        <x:f>G865*XLOOKUP(E865,'菜品主数据'!$A$5:$A$24,'菜品主数据'!$G$5:$G$24,0)</x:f>
        <x:v>371.27920000000006</x:v>
      </x:c>
    </x:row>
    <x:row r="866">
      <x:c r="A866" s="19" t="str">
        <x:v>2026-07-08|S07|D02</x:v>
      </x:c>
      <x:c r="B866" s="34" t="n">
        <x:v>46211.5</x:v>
      </x:c>
      <x:c r="C866" s="19" t="str">
        <x:v>S07</x:v>
      </x:c>
      <x:c r="D866" s="19" t="str">
        <x:v>小和山店</x:v>
      </x:c>
      <x:c r="E866" s="19" t="str">
        <x:v>D02</x:v>
      </x:c>
      <x:c r="F866" s="19" t="str">
        <x:v>小炒黄牛肉</x:v>
      </x:c>
      <x:c r="G866" s="20" t="n">
        <x:f>SUMIFS('7日销售明细'!$K$5:$K$2244,'7日销售明细'!$B$5:$B$2244,B866,'7日销售明细'!$D$5:$D$2244,C866,'7日销售明细'!$H$5:$H$2244,E866)</x:f>
        <x:v>31</x:v>
      </x:c>
      <x:c r="H866" s="35" t="n">
        <x:f>SUMIFS('7日销售明细'!$L$5:$L$2244,'7日销售明细'!$B$5:$B$2244,B866,'7日销售明细'!$D$5:$D$2244,C866,'7日销售明细'!$H$5:$H$2244,E866)</x:f>
        <x:v>1519</x:v>
      </x:c>
      <x:c r="I866" s="35" t="n">
        <x:f>G866*XLOOKUP(E866,'菜品主数据'!$A$5:$A$24,'菜品主数据'!$G$5:$G$24,0)</x:f>
        <x:v>544.8870000000001</x:v>
      </x:c>
    </x:row>
    <x:row r="867">
      <x:c r="A867" s="19" t="str">
        <x:v>2026-07-08|S07|D03</x:v>
      </x:c>
      <x:c r="B867" s="34" t="n">
        <x:v>46211.5</x:v>
      </x:c>
      <x:c r="C867" s="19" t="str">
        <x:v>S07</x:v>
      </x:c>
      <x:c r="D867" s="19" t="str">
        <x:v>小和山店</x:v>
      </x:c>
      <x:c r="E867" s="19" t="str">
        <x:v>D03</x:v>
      </x:c>
      <x:c r="F867" s="19" t="str">
        <x:v>香醋炒蛋</x:v>
      </x:c>
      <x:c r="G867" s="20" t="n">
        <x:f>SUMIFS('7日销售明细'!$K$5:$K$2244,'7日销售明细'!$B$5:$B$2244,B867,'7日销售明细'!$D$5:$D$2244,C867,'7日销售明细'!$H$5:$H$2244,E867)</x:f>
        <x:v>36</x:v>
      </x:c>
      <x:c r="H867" s="35" t="n">
        <x:f>SUMIFS('7日销售明细'!$L$5:$L$2244,'7日销售明细'!$B$5:$B$2244,B867,'7日销售明细'!$D$5:$D$2244,C867,'7日销售明细'!$H$5:$H$2244,E867)</x:f>
        <x:v>536.4</x:v>
      </x:c>
      <x:c r="I867" s="35" t="n">
        <x:f>G867*XLOOKUP(E867,'菜品主数据'!$A$5:$A$24,'菜品主数据'!$G$5:$G$24,0)</x:f>
        <x:v>134.856</x:v>
      </x:c>
    </x:row>
    <x:row r="868">
      <x:c r="A868" s="19" t="str">
        <x:v>2026-07-08|S07|D04</x:v>
      </x:c>
      <x:c r="B868" s="34" t="n">
        <x:v>46211.5</x:v>
      </x:c>
      <x:c r="C868" s="19" t="str">
        <x:v>S07</x:v>
      </x:c>
      <x:c r="D868" s="19" t="str">
        <x:v>小和山店</x:v>
      </x:c>
      <x:c r="E868" s="19" t="str">
        <x:v>D04</x:v>
      </x:c>
      <x:c r="F868" s="19" t="str">
        <x:v>酸包菜炒粉皮</x:v>
      </x:c>
      <x:c r="G868" s="20" t="n">
        <x:f>SUMIFS('7日销售明细'!$K$5:$K$2244,'7日销售明细'!$B$5:$B$2244,B868,'7日销售明细'!$D$5:$D$2244,C868,'7日销售明细'!$H$5:$H$2244,E868)</x:f>
        <x:v>35</x:v>
      </x:c>
      <x:c r="H868" s="35" t="n">
        <x:f>SUMIFS('7日销售明细'!$L$5:$L$2244,'7日销售明细'!$B$5:$B$2244,B868,'7日销售明细'!$D$5:$D$2244,C868,'7日销售明细'!$H$5:$H$2244,E868)</x:f>
        <x:v>560</x:v>
      </x:c>
      <x:c r="I868" s="35" t="n">
        <x:f>G868*XLOOKUP(E868,'菜品主数据'!$A$5:$A$24,'菜品主数据'!$G$5:$G$24,0)</x:f>
        <x:v>139.23000000000002</x:v>
      </x:c>
    </x:row>
    <x:row r="869">
      <x:c r="A869" s="19" t="str">
        <x:v>2026-07-08|S07|D05</x:v>
      </x:c>
      <x:c r="B869" s="34" t="n">
        <x:v>46211.5</x:v>
      </x:c>
      <x:c r="C869" s="19" t="str">
        <x:v>S07</x:v>
      </x:c>
      <x:c r="D869" s="19" t="str">
        <x:v>小和山店</x:v>
      </x:c>
      <x:c r="E869" s="19" t="str">
        <x:v>D05</x:v>
      </x:c>
      <x:c r="F869" s="19" t="str">
        <x:v>麻婆豆腐</x:v>
      </x:c>
      <x:c r="G869" s="20" t="n">
        <x:f>SUMIFS('7日销售明细'!$K$5:$K$2244,'7日销售明细'!$B$5:$B$2244,B869,'7日销售明细'!$D$5:$D$2244,C869,'7日销售明细'!$H$5:$H$2244,E869)</x:f>
        <x:v>48</x:v>
      </x:c>
      <x:c r="H869" s="35" t="n">
        <x:f>SUMIFS('7日销售明细'!$L$5:$L$2244,'7日销售明细'!$B$5:$B$2244,B869,'7日销售明细'!$D$5:$D$2244,C869,'7日销售明细'!$H$5:$H$2244,E869)</x:f>
        <x:v>475.20000000000005</x:v>
      </x:c>
      <x:c r="I869" s="35" t="n">
        <x:f>G869*XLOOKUP(E869,'菜品主数据'!$A$5:$A$24,'菜品主数据'!$G$5:$G$24,0)</x:f>
        <x:v>257.61600000000004</x:v>
      </x:c>
    </x:row>
    <x:row r="870">
      <x:c r="A870" s="19" t="str">
        <x:v>2026-07-08|S07|D06</x:v>
      </x:c>
      <x:c r="B870" s="34" t="n">
        <x:v>46211.5</x:v>
      </x:c>
      <x:c r="C870" s="19" t="str">
        <x:v>S07</x:v>
      </x:c>
      <x:c r="D870" s="19" t="str">
        <x:v>小和山店</x:v>
      </x:c>
      <x:c r="E870" s="19" t="str">
        <x:v>D06</x:v>
      </x:c>
      <x:c r="F870" s="19" t="str">
        <x:v>剁椒鱼头</x:v>
      </x:c>
      <x:c r="G870" s="20" t="n">
        <x:f>SUMIFS('7日销售明细'!$K$5:$K$2244,'7日销售明细'!$B$5:$B$2244,B870,'7日销售明细'!$D$5:$D$2244,C870,'7日销售明细'!$H$5:$H$2244,E870)</x:f>
        <x:v>12</x:v>
      </x:c>
      <x:c r="H870" s="35" t="n">
        <x:f>SUMIFS('7日销售明细'!$L$5:$L$2244,'7日销售明细'!$B$5:$B$2244,B870,'7日销售明细'!$D$5:$D$2244,C870,'7日销售明细'!$H$5:$H$2244,E870)</x:f>
        <x:v>468</x:v>
      </x:c>
      <x:c r="I870" s="35" t="n">
        <x:f>G870*XLOOKUP(E870,'菜品主数据'!$A$5:$A$24,'菜品主数据'!$G$5:$G$24,0)</x:f>
        <x:v>209.35200000000003</x:v>
      </x:c>
    </x:row>
    <x:row r="871">
      <x:c r="A871" s="19" t="str">
        <x:v>2026-07-08|S07|D07</x:v>
      </x:c>
      <x:c r="B871" s="34" t="n">
        <x:v>46211.5</x:v>
      </x:c>
      <x:c r="C871" s="19" t="str">
        <x:v>S07</x:v>
      </x:c>
      <x:c r="D871" s="19" t="str">
        <x:v>小和山店</x:v>
      </x:c>
      <x:c r="E871" s="19" t="str">
        <x:v>D07</x:v>
      </x:c>
      <x:c r="F871" s="19" t="str">
        <x:v>川味回锅肉</x:v>
      </x:c>
      <x:c r="G871" s="20" t="n">
        <x:f>SUMIFS('7日销售明细'!$K$5:$K$2244,'7日销售明细'!$B$5:$B$2244,B871,'7日销售明细'!$D$5:$D$2244,C871,'7日销售明细'!$H$5:$H$2244,E871)</x:f>
        <x:v>14</x:v>
      </x:c>
      <x:c r="H871" s="35" t="n">
        <x:f>SUMIFS('7日销售明细'!$L$5:$L$2244,'7日销售明细'!$B$5:$B$2244,B871,'7日销售明细'!$D$5:$D$2244,C871,'7日销售明细'!$H$5:$H$2244,E871)</x:f>
        <x:v>406</x:v>
      </x:c>
      <x:c r="I871" s="35" t="n">
        <x:f>G871*XLOOKUP(E871,'菜品主数据'!$A$5:$A$24,'菜品主数据'!$G$5:$G$24,0)</x:f>
        <x:v>143.23400000000004</x:v>
      </x:c>
    </x:row>
    <x:row r="872">
      <x:c r="A872" s="19" t="str">
        <x:v>2026-07-08|S07|D08</x:v>
      </x:c>
      <x:c r="B872" s="34" t="n">
        <x:v>46211.5</x:v>
      </x:c>
      <x:c r="C872" s="19" t="str">
        <x:v>S07</x:v>
      </x:c>
      <x:c r="D872" s="19" t="str">
        <x:v>小和山店</x:v>
      </x:c>
      <x:c r="E872" s="19" t="str">
        <x:v>D08</x:v>
      </x:c>
      <x:c r="F872" s="19" t="str">
        <x:v>生炒清远鸡</x:v>
      </x:c>
      <x:c r="G872" s="20" t="n">
        <x:f>SUMIFS('7日销售明细'!$K$5:$K$2244,'7日销售明细'!$B$5:$B$2244,B872,'7日销售明细'!$D$5:$D$2244,C872,'7日销售明细'!$H$5:$H$2244,E872)</x:f>
        <x:v>11</x:v>
      </x:c>
      <x:c r="H872" s="35" t="n">
        <x:f>SUMIFS('7日销售明细'!$L$5:$L$2244,'7日销售明细'!$B$5:$B$2244,B872,'7日销售明细'!$D$5:$D$2244,C872,'7日销售明细'!$H$5:$H$2244,E872)</x:f>
        <x:v>396</x:v>
      </x:c>
      <x:c r="I872" s="35" t="n">
        <x:f>G872*XLOOKUP(E872,'菜品主数据'!$A$5:$A$24,'菜品主数据'!$G$5:$G$24,0)</x:f>
        <x:v>148.28</x:v>
      </x:c>
    </x:row>
    <x:row r="873">
      <x:c r="A873" s="19" t="str">
        <x:v>2026-07-08|S07|D09</x:v>
      </x:c>
      <x:c r="B873" s="34" t="n">
        <x:v>46211.5</x:v>
      </x:c>
      <x:c r="C873" s="19" t="str">
        <x:v>S07</x:v>
      </x:c>
      <x:c r="D873" s="19" t="str">
        <x:v>小和山店</x:v>
      </x:c>
      <x:c r="E873" s="19" t="str">
        <x:v>D09</x:v>
      </x:c>
      <x:c r="F873" s="19" t="str">
        <x:v>炒豆干</x:v>
      </x:c>
      <x:c r="G873" s="20" t="n">
        <x:f>SUMIFS('7日销售明细'!$K$5:$K$2244,'7日销售明细'!$B$5:$B$2244,B873,'7日销售明细'!$D$5:$D$2244,C873,'7日销售明细'!$H$5:$H$2244,E873)</x:f>
        <x:v>14</x:v>
      </x:c>
      <x:c r="H873" s="35" t="n">
        <x:f>SUMIFS('7日销售明细'!$L$5:$L$2244,'7日销售明细'!$B$5:$B$2244,B873,'7日销售明细'!$D$5:$D$2244,C873,'7日销售明细'!$H$5:$H$2244,E873)</x:f>
        <x:v>252</x:v>
      </x:c>
      <x:c r="I873" s="35" t="n">
        <x:f>G873*XLOOKUP(E873,'菜品主数据'!$A$5:$A$24,'菜品主数据'!$G$5:$G$24,0)</x:f>
        <x:v>92.59599999999999</x:v>
      </x:c>
    </x:row>
    <x:row r="874">
      <x:c r="A874" s="19" t="str">
        <x:v>2026-07-08|S07|D10</x:v>
      </x:c>
      <x:c r="B874" s="34" t="n">
        <x:v>46211.5</x:v>
      </x:c>
      <x:c r="C874" s="19" t="str">
        <x:v>S07</x:v>
      </x:c>
      <x:c r="D874" s="19" t="str">
        <x:v>小和山店</x:v>
      </x:c>
      <x:c r="E874" s="19" t="str">
        <x:v>D10</x:v>
      </x:c>
      <x:c r="F874" s="19" t="str">
        <x:v>农家一碗香</x:v>
      </x:c>
      <x:c r="G874" s="20" t="n">
        <x:f>SUMIFS('7日销售明细'!$K$5:$K$2244,'7日销售明细'!$B$5:$B$2244,B874,'7日销售明细'!$D$5:$D$2244,C874,'7日销售明细'!$H$5:$H$2244,E874)</x:f>
        <x:v>16</x:v>
      </x:c>
      <x:c r="H874" s="35" t="n">
        <x:f>SUMIFS('7日销售明细'!$L$5:$L$2244,'7日销售明细'!$B$5:$B$2244,B874,'7日销售明细'!$D$5:$D$2244,C874,'7日销售明细'!$H$5:$H$2244,E874)</x:f>
        <x:v>366.4</x:v>
      </x:c>
      <x:c r="I874" s="35" t="n">
        <x:f>G874*XLOOKUP(E874,'菜品主数据'!$A$5:$A$24,'菜品主数据'!$G$5:$G$24,0)</x:f>
        <x:v>156.32320000000004</x:v>
      </x:c>
    </x:row>
    <x:row r="875">
      <x:c r="A875" s="19" t="str">
        <x:v>2026-07-08|S07|D11</x:v>
      </x:c>
      <x:c r="B875" s="34" t="n">
        <x:v>46211.5</x:v>
      </x:c>
      <x:c r="C875" s="19" t="str">
        <x:v>S07</x:v>
      </x:c>
      <x:c r="D875" s="19" t="str">
        <x:v>小和山店</x:v>
      </x:c>
      <x:c r="E875" s="19" t="str">
        <x:v>D11</x:v>
      </x:c>
      <x:c r="F875" s="19" t="str">
        <x:v>香辣爆肥肠</x:v>
      </x:c>
      <x:c r="G875" s="20" t="n">
        <x:f>SUMIFS('7日销售明细'!$K$5:$K$2244,'7日销售明细'!$B$5:$B$2244,B875,'7日销售明细'!$D$5:$D$2244,C875,'7日销售明细'!$H$5:$H$2244,E875)</x:f>
        <x:v>6</x:v>
      </x:c>
      <x:c r="H875" s="35" t="n">
        <x:f>SUMIFS('7日销售明细'!$L$5:$L$2244,'7日销售明细'!$B$5:$B$2244,B875,'7日销售明细'!$D$5:$D$2244,C875,'7日销售明细'!$H$5:$H$2244,E875)</x:f>
        <x:v>234</x:v>
      </x:c>
      <x:c r="I875" s="35" t="n">
        <x:f>G875*XLOOKUP(E875,'菜品主数据'!$A$5:$A$24,'菜品主数据'!$G$5:$G$24,0)</x:f>
        <x:v>62.382000000000005</x:v>
      </x:c>
    </x:row>
    <x:row r="876">
      <x:c r="A876" s="19" t="str">
        <x:v>2026-07-08|S07|D12</x:v>
      </x:c>
      <x:c r="B876" s="34" t="n">
        <x:v>46211.5</x:v>
      </x:c>
      <x:c r="C876" s="19" t="str">
        <x:v>S07</x:v>
      </x:c>
      <x:c r="D876" s="19" t="str">
        <x:v>小和山店</x:v>
      </x:c>
      <x:c r="E876" s="19" t="str">
        <x:v>D12</x:v>
      </x:c>
      <x:c r="F876" s="19" t="str">
        <x:v>清蒸鲈鱼</x:v>
      </x:c>
      <x:c r="G876" s="20" t="n">
        <x:f>SUMIFS('7日销售明细'!$K$5:$K$2244,'7日销售明细'!$B$5:$B$2244,B876,'7日销售明细'!$D$5:$D$2244,C876,'7日销售明细'!$H$5:$H$2244,E876)</x:f>
        <x:v>6</x:v>
      </x:c>
      <x:c r="H876" s="35" t="n">
        <x:f>SUMIFS('7日销售明细'!$L$5:$L$2244,'7日销售明细'!$B$5:$B$2244,B876,'7日销售明细'!$D$5:$D$2244,C876,'7日销售明细'!$H$5:$H$2244,E876)</x:f>
        <x:v>234</x:v>
      </x:c>
      <x:c r="I876" s="35" t="n">
        <x:f>G876*XLOOKUP(E876,'菜品主数据'!$A$5:$A$24,'菜品主数据'!$G$5:$G$24,0)</x:f>
        <x:v>113.244</x:v>
      </x:c>
    </x:row>
    <x:row r="877">
      <x:c r="A877" s="19" t="str">
        <x:v>2026-07-08|S07|D13</x:v>
      </x:c>
      <x:c r="B877" s="34" t="n">
        <x:v>46211.5</x:v>
      </x:c>
      <x:c r="C877" s="19" t="str">
        <x:v>S07</x:v>
      </x:c>
      <x:c r="D877" s="19" t="str">
        <x:v>小和山店</x:v>
      </x:c>
      <x:c r="E877" s="19" t="str">
        <x:v>D13</x:v>
      </x:c>
      <x:c r="F877" s="19" t="str">
        <x:v>外婆菜炒蛋</x:v>
      </x:c>
      <x:c r="G877" s="20" t="n">
        <x:f>SUMIFS('7日销售明细'!$K$5:$K$2244,'7日销售明细'!$B$5:$B$2244,B877,'7日销售明细'!$D$5:$D$2244,C877,'7日销售明细'!$H$5:$H$2244,E877)</x:f>
        <x:v>14</x:v>
      </x:c>
      <x:c r="H877" s="35" t="n">
        <x:f>SUMIFS('7日销售明细'!$L$5:$L$2244,'7日销售明细'!$B$5:$B$2244,B877,'7日销售明细'!$D$5:$D$2244,C877,'7日销售明细'!$H$5:$H$2244,E877)</x:f>
        <x:v>252</x:v>
      </x:c>
      <x:c r="I877" s="35" t="n">
        <x:f>G877*XLOOKUP(E877,'菜品主数据'!$A$5:$A$24,'菜品主数据'!$G$5:$G$24,0)</x:f>
        <x:v>75.65599999999999</x:v>
      </x:c>
    </x:row>
    <x:row r="878">
      <x:c r="A878" s="19" t="str">
        <x:v>2026-07-08|S07|D14</x:v>
      </x:c>
      <x:c r="B878" s="34" t="n">
        <x:v>46211.5</x:v>
      </x:c>
      <x:c r="C878" s="19" t="str">
        <x:v>S07</x:v>
      </x:c>
      <x:c r="D878" s="19" t="str">
        <x:v>小和山店</x:v>
      </x:c>
      <x:c r="E878" s="19" t="str">
        <x:v>D14</x:v>
      </x:c>
      <x:c r="F878" s="19" t="str">
        <x:v>酸辣鸡杂</x:v>
      </x:c>
      <x:c r="G878" s="20" t="n">
        <x:f>SUMIFS('7日销售明细'!$K$5:$K$2244,'7日销售明细'!$B$5:$B$2244,B878,'7日销售明细'!$D$5:$D$2244,C878,'7日销售明细'!$H$5:$H$2244,E878)</x:f>
        <x:v>7</x:v>
      </x:c>
      <x:c r="H878" s="35" t="n">
        <x:f>SUMIFS('7日销售明细'!$L$5:$L$2244,'7日销售明细'!$B$5:$B$2244,B878,'7日销售明细'!$D$5:$D$2244,C878,'7日销售明细'!$H$5:$H$2244,E878)</x:f>
        <x:v>196</x:v>
      </x:c>
      <x:c r="I878" s="35" t="n">
        <x:f>G878*XLOOKUP(E878,'菜品主数据'!$A$5:$A$24,'菜品主数据'!$G$5:$G$24,0)</x:f>
        <x:v>58.20500000000001</x:v>
      </x:c>
    </x:row>
    <x:row r="879">
      <x:c r="A879" s="19" t="str">
        <x:v>2026-07-08|S07|D15</x:v>
      </x:c>
      <x:c r="B879" s="34" t="n">
        <x:v>46211.5</x:v>
      </x:c>
      <x:c r="C879" s="19" t="str">
        <x:v>S07</x:v>
      </x:c>
      <x:c r="D879" s="19" t="str">
        <x:v>小和山店</x:v>
      </x:c>
      <x:c r="E879" s="19" t="str">
        <x:v>D15</x:v>
      </x:c>
      <x:c r="F879" s="19" t="str">
        <x:v>湘西土匪猪肝</x:v>
      </x:c>
      <x:c r="G879" s="20" t="n">
        <x:f>SUMIFS('7日销售明细'!$K$5:$K$2244,'7日销售明细'!$B$5:$B$2244,B879,'7日销售明细'!$D$5:$D$2244,C879,'7日销售明细'!$H$5:$H$2244,E879)</x:f>
        <x:v>7</x:v>
      </x:c>
      <x:c r="H879" s="35" t="n">
        <x:f>SUMIFS('7日销售明细'!$L$5:$L$2244,'7日销售明细'!$B$5:$B$2244,B879,'7日销售明细'!$D$5:$D$2244,C879,'7日销售明细'!$H$5:$H$2244,E879)</x:f>
        <x:v>182</x:v>
      </x:c>
      <x:c r="I879" s="35" t="n">
        <x:f>G879*XLOOKUP(E879,'菜品主数据'!$A$5:$A$24,'菜品主数据'!$G$5:$G$24,0)</x:f>
        <x:v>44.632</x:v>
      </x:c>
    </x:row>
    <x:row r="880">
      <x:c r="A880" s="19" t="str">
        <x:v>2026-07-08|S07|D16</x:v>
      </x:c>
      <x:c r="B880" s="34" t="n">
        <x:v>46211.5</x:v>
      </x:c>
      <x:c r="C880" s="19" t="str">
        <x:v>S07</x:v>
      </x:c>
      <x:c r="D880" s="19" t="str">
        <x:v>小和山店</x:v>
      </x:c>
      <x:c r="E880" s="19" t="str">
        <x:v>D16</x:v>
      </x:c>
      <x:c r="F880" s="19" t="str">
        <x:v>小豆角炒五花</x:v>
      </x:c>
      <x:c r="G880" s="20" t="n">
        <x:f>SUMIFS('7日销售明细'!$K$5:$K$2244,'7日销售明细'!$B$5:$B$2244,B880,'7日销售明细'!$D$5:$D$2244,C880,'7日销售明细'!$H$5:$H$2244,E880)</x:f>
        <x:v>7</x:v>
      </x:c>
      <x:c r="H880" s="35" t="n">
        <x:f>SUMIFS('7日销售明细'!$L$5:$L$2244,'7日销售明细'!$B$5:$B$2244,B880,'7日销售明细'!$D$5:$D$2244,C880,'7日销售明细'!$H$5:$H$2244,E880)</x:f>
        <x:v>175</x:v>
      </x:c>
      <x:c r="I880" s="35" t="n">
        <x:f>G880*XLOOKUP(E880,'菜品主数据'!$A$5:$A$24,'菜品主数据'!$G$5:$G$24,0)</x:f>
        <x:v>57.288</x:v>
      </x:c>
    </x:row>
    <x:row r="881">
      <x:c r="A881" s="19" t="str">
        <x:v>2026-07-08|S07|D17</x:v>
      </x:c>
      <x:c r="B881" s="34" t="n">
        <x:v>46211.5</x:v>
      </x:c>
      <x:c r="C881" s="19" t="str">
        <x:v>S07</x:v>
      </x:c>
      <x:c r="D881" s="19" t="str">
        <x:v>小和山店</x:v>
      </x:c>
      <x:c r="E881" s="19" t="str">
        <x:v>D17</x:v>
      </x:c>
      <x:c r="F881" s="19" t="str">
        <x:v>蒜蓉粉丝虾</x:v>
      </x:c>
      <x:c r="G881" s="20" t="n">
        <x:f>SUMIFS('7日销售明细'!$K$5:$K$2244,'7日销售明细'!$B$5:$B$2244,B881,'7日销售明细'!$D$5:$D$2244,C881,'7日销售明细'!$H$5:$H$2244,E881)</x:f>
        <x:v>4</x:v>
      </x:c>
      <x:c r="H881" s="35" t="n">
        <x:f>SUMIFS('7日销售明细'!$L$5:$L$2244,'7日销售明细'!$B$5:$B$2244,B881,'7日销售明细'!$D$5:$D$2244,C881,'7日销售明细'!$H$5:$H$2244,E881)</x:f>
        <x:v>144</x:v>
      </x:c>
      <x:c r="I881" s="35" t="n">
        <x:f>G881*XLOOKUP(E881,'菜品主数据'!$A$5:$A$24,'菜品主数据'!$G$5:$G$24,0)</x:f>
        <x:v>54.376</x:v>
      </x:c>
    </x:row>
    <x:row r="882">
      <x:c r="A882" s="19" t="str">
        <x:v>2026-07-08|S07|D18</x:v>
      </x:c>
      <x:c r="B882" s="34" t="n">
        <x:v>46211.5</x:v>
      </x:c>
      <x:c r="C882" s="19" t="str">
        <x:v>S07</x:v>
      </x:c>
      <x:c r="D882" s="19" t="str">
        <x:v>小和山店</x:v>
      </x:c>
      <x:c r="E882" s="19" t="str">
        <x:v>D18</x:v>
      </x:c>
      <x:c r="F882" s="19" t="str">
        <x:v>青椒炒油麦菜</x:v>
      </x:c>
      <x:c r="G882" s="20" t="n">
        <x:f>SUMIFS('7日销售明细'!$K$5:$K$2244,'7日销售明细'!$B$5:$B$2244,B882,'7日销售明细'!$D$5:$D$2244,C882,'7日销售明细'!$H$5:$H$2244,E882)</x:f>
        <x:v>7</x:v>
      </x:c>
      <x:c r="H882" s="35" t="n">
        <x:f>SUMIFS('7日销售明细'!$L$5:$L$2244,'7日销售明细'!$B$5:$B$2244,B882,'7日销售明细'!$D$5:$D$2244,C882,'7日销售明细'!$H$5:$H$2244,E882)</x:f>
        <x:v>126</x:v>
      </x:c>
      <x:c r="I882" s="35" t="n">
        <x:f>G882*XLOOKUP(E882,'菜品主数据'!$A$5:$A$24,'菜品主数据'!$G$5:$G$24,0)</x:f>
        <x:v>22.231999999999996</x:v>
      </x:c>
    </x:row>
    <x:row r="883">
      <x:c r="A883" s="19" t="str">
        <x:v>2026-07-08|S07|D19</x:v>
      </x:c>
      <x:c r="B883" s="34" t="n">
        <x:v>46211.5</x:v>
      </x:c>
      <x:c r="C883" s="19" t="str">
        <x:v>S07</x:v>
      </x:c>
      <x:c r="D883" s="19" t="str">
        <x:v>小和山店</x:v>
      </x:c>
      <x:c r="E883" s="19" t="str">
        <x:v>D19</x:v>
      </x:c>
      <x:c r="F883" s="19" t="str">
        <x:v>酸萝卜炒鸡杂</x:v>
      </x:c>
      <x:c r="G883" s="20" t="n">
        <x:f>SUMIFS('7日销售明细'!$K$5:$K$2244,'7日销售明细'!$B$5:$B$2244,B883,'7日销售明细'!$D$5:$D$2244,C883,'7日销售明细'!$H$5:$H$2244,E883)</x:f>
        <x:v>6</x:v>
      </x:c>
      <x:c r="H883" s="35" t="n">
        <x:f>SUMIFS('7日销售明细'!$L$5:$L$2244,'7日销售明细'!$B$5:$B$2244,B883,'7日销售明细'!$D$5:$D$2244,C883,'7日销售明细'!$H$5:$H$2244,E883)</x:f>
        <x:v>150</x:v>
      </x:c>
      <x:c r="I883" s="35" t="n">
        <x:f>G883*XLOOKUP(E883,'菜品主数据'!$A$5:$A$24,'菜品主数据'!$G$5:$G$24,0)</x:f>
        <x:v>47.64</x:v>
      </x:c>
    </x:row>
    <x:row r="884">
      <x:c r="A884" s="19" t="str">
        <x:v>2026-07-08|S07|D20</x:v>
      </x:c>
      <x:c r="B884" s="34" t="n">
        <x:v>46211.5</x:v>
      </x:c>
      <x:c r="C884" s="19" t="str">
        <x:v>S07</x:v>
      </x:c>
      <x:c r="D884" s="19" t="str">
        <x:v>小和山店</x:v>
      </x:c>
      <x:c r="E884" s="19" t="str">
        <x:v>D20</x:v>
      </x:c>
      <x:c r="F884" s="19" t="str">
        <x:v>雪菜肉末青豆</x:v>
      </x:c>
      <x:c r="G884" s="20" t="n">
        <x:f>SUMIFS('7日销售明细'!$K$5:$K$2244,'7日销售明细'!$B$5:$B$2244,B884,'7日销售明细'!$D$5:$D$2244,C884,'7日销售明细'!$H$5:$H$2244,E884)</x:f>
        <x:v>7</x:v>
      </x:c>
      <x:c r="H884" s="35" t="n">
        <x:f>SUMIFS('7日销售明细'!$L$5:$L$2244,'7日销售明细'!$B$5:$B$2244,B884,'7日销售明细'!$D$5:$D$2244,C884,'7日销售明细'!$H$5:$H$2244,E884)</x:f>
        <x:v>126</x:v>
      </x:c>
      <x:c r="I884" s="35" t="n">
        <x:f>G884*XLOOKUP(E884,'菜品主数据'!$A$5:$A$24,'菜品主数据'!$G$5:$G$24,0)</x:f>
        <x:v>51.12799999999999</x:v>
      </x:c>
    </x:row>
    <x:row r="885">
      <x:c r="A885" s="19" t="str">
        <x:v>2026-07-09|S07|D01</x:v>
      </x:c>
      <x:c r="B885" s="34" t="n">
        <x:v>46212.5</x:v>
      </x:c>
      <x:c r="C885" s="19" t="str">
        <x:v>S07</x:v>
      </x:c>
      <x:c r="D885" s="19" t="str">
        <x:v>小和山店</x:v>
      </x:c>
      <x:c r="E885" s="19" t="str">
        <x:v>D01</x:v>
      </x:c>
      <x:c r="F885" s="19" t="str">
        <x:v>辣椒炒肉</x:v>
      </x:c>
      <x:c r="G885" s="20" t="n">
        <x:f>SUMIFS('7日销售明细'!$K$5:$K$2244,'7日销售明细'!$B$5:$B$2244,B885,'7日销售明细'!$D$5:$D$2244,C885,'7日销售明细'!$H$5:$H$2244,E885)</x:f>
        <x:v>43</x:v>
      </x:c>
      <x:c r="H885" s="35" t="n">
        <x:f>SUMIFS('7日销售明细'!$L$5:$L$2244,'7日销售明细'!$B$5:$B$2244,B885,'7日销售明细'!$D$5:$D$2244,C885,'7日销售明细'!$H$5:$H$2244,E885)</x:f>
        <x:v>1247</x:v>
      </x:c>
      <x:c r="I885" s="35" t="n">
        <x:f>G885*XLOOKUP(E885,'菜品主数据'!$A$5:$A$24,'菜品主数据'!$G$5:$G$24,0)</x:f>
        <x:v>371.27920000000006</x:v>
      </x:c>
    </x:row>
    <x:row r="886">
      <x:c r="A886" s="19" t="str">
        <x:v>2026-07-09|S07|D02</x:v>
      </x:c>
      <x:c r="B886" s="34" t="n">
        <x:v>46212.5</x:v>
      </x:c>
      <x:c r="C886" s="19" t="str">
        <x:v>S07</x:v>
      </x:c>
      <x:c r="D886" s="19" t="str">
        <x:v>小和山店</x:v>
      </x:c>
      <x:c r="E886" s="19" t="str">
        <x:v>D02</x:v>
      </x:c>
      <x:c r="F886" s="19" t="str">
        <x:v>小炒黄牛肉</x:v>
      </x:c>
      <x:c r="G886" s="20" t="n">
        <x:f>SUMIFS('7日销售明细'!$K$5:$K$2244,'7日销售明细'!$B$5:$B$2244,B886,'7日销售明细'!$D$5:$D$2244,C886,'7日销售明细'!$H$5:$H$2244,E886)</x:f>
        <x:v>28</x:v>
      </x:c>
      <x:c r="H886" s="35" t="n">
        <x:f>SUMIFS('7日销售明细'!$L$5:$L$2244,'7日销售明细'!$B$5:$B$2244,B886,'7日销售明细'!$D$5:$D$2244,C886,'7日销售明细'!$H$5:$H$2244,E886)</x:f>
        <x:v>1372</x:v>
      </x:c>
      <x:c r="I886" s="35" t="n">
        <x:f>G886*XLOOKUP(E886,'菜品主数据'!$A$5:$A$24,'菜品主数据'!$G$5:$G$24,0)</x:f>
        <x:v>492.15600000000006</x:v>
      </x:c>
    </x:row>
    <x:row r="887">
      <x:c r="A887" s="19" t="str">
        <x:v>2026-07-09|S07|D03</x:v>
      </x:c>
      <x:c r="B887" s="34" t="n">
        <x:v>46212.5</x:v>
      </x:c>
      <x:c r="C887" s="19" t="str">
        <x:v>S07</x:v>
      </x:c>
      <x:c r="D887" s="19" t="str">
        <x:v>小和山店</x:v>
      </x:c>
      <x:c r="E887" s="19" t="str">
        <x:v>D03</x:v>
      </x:c>
      <x:c r="F887" s="19" t="str">
        <x:v>香醋炒蛋</x:v>
      </x:c>
      <x:c r="G887" s="20" t="n">
        <x:f>SUMIFS('7日销售明细'!$K$5:$K$2244,'7日销售明细'!$B$5:$B$2244,B887,'7日销售明细'!$D$5:$D$2244,C887,'7日销售明细'!$H$5:$H$2244,E887)</x:f>
        <x:v>36</x:v>
      </x:c>
      <x:c r="H887" s="35" t="n">
        <x:f>SUMIFS('7日销售明细'!$L$5:$L$2244,'7日销售明细'!$B$5:$B$2244,B887,'7日销售明细'!$D$5:$D$2244,C887,'7日销售明细'!$H$5:$H$2244,E887)</x:f>
        <x:v>536.4</x:v>
      </x:c>
      <x:c r="I887" s="35" t="n">
        <x:f>G887*XLOOKUP(E887,'菜品主数据'!$A$5:$A$24,'菜品主数据'!$G$5:$G$24,0)</x:f>
        <x:v>134.856</x:v>
      </x:c>
    </x:row>
    <x:row r="888">
      <x:c r="A888" s="19" t="str">
        <x:v>2026-07-09|S07|D04</x:v>
      </x:c>
      <x:c r="B888" s="34" t="n">
        <x:v>46212.5</x:v>
      </x:c>
      <x:c r="C888" s="19" t="str">
        <x:v>S07</x:v>
      </x:c>
      <x:c r="D888" s="19" t="str">
        <x:v>小和山店</x:v>
      </x:c>
      <x:c r="E888" s="19" t="str">
        <x:v>D04</x:v>
      </x:c>
      <x:c r="F888" s="19" t="str">
        <x:v>酸包菜炒粉皮</x:v>
      </x:c>
      <x:c r="G888" s="20" t="n">
        <x:f>SUMIFS('7日销售明细'!$K$5:$K$2244,'7日销售明细'!$B$5:$B$2244,B888,'7日销售明细'!$D$5:$D$2244,C888,'7日销售明细'!$H$5:$H$2244,E888)</x:f>
        <x:v>35</x:v>
      </x:c>
      <x:c r="H888" s="35" t="n">
        <x:f>SUMIFS('7日销售明细'!$L$5:$L$2244,'7日销售明细'!$B$5:$B$2244,B888,'7日销售明细'!$D$5:$D$2244,C888,'7日销售明细'!$H$5:$H$2244,E888)</x:f>
        <x:v>560</x:v>
      </x:c>
      <x:c r="I888" s="35" t="n">
        <x:f>G888*XLOOKUP(E888,'菜品主数据'!$A$5:$A$24,'菜品主数据'!$G$5:$G$24,0)</x:f>
        <x:v>139.23000000000002</x:v>
      </x:c>
    </x:row>
    <x:row r="889">
      <x:c r="A889" s="19" t="str">
        <x:v>2026-07-09|S07|D05</x:v>
      </x:c>
      <x:c r="B889" s="34" t="n">
        <x:v>46212.5</x:v>
      </x:c>
      <x:c r="C889" s="19" t="str">
        <x:v>S07</x:v>
      </x:c>
      <x:c r="D889" s="19" t="str">
        <x:v>小和山店</x:v>
      </x:c>
      <x:c r="E889" s="19" t="str">
        <x:v>D05</x:v>
      </x:c>
      <x:c r="F889" s="19" t="str">
        <x:v>麻婆豆腐</x:v>
      </x:c>
      <x:c r="G889" s="20" t="n">
        <x:f>SUMIFS('7日销售明细'!$K$5:$K$2244,'7日销售明细'!$B$5:$B$2244,B889,'7日销售明细'!$D$5:$D$2244,C889,'7日销售明细'!$H$5:$H$2244,E889)</x:f>
        <x:v>50</x:v>
      </x:c>
      <x:c r="H889" s="35" t="n">
        <x:f>SUMIFS('7日销售明细'!$L$5:$L$2244,'7日销售明细'!$B$5:$B$2244,B889,'7日销售明细'!$D$5:$D$2244,C889,'7日销售明细'!$H$5:$H$2244,E889)</x:f>
        <x:v>495.00000000000006</x:v>
      </x:c>
      <x:c r="I889" s="35" t="n">
        <x:f>G889*XLOOKUP(E889,'菜品主数据'!$A$5:$A$24,'菜品主数据'!$G$5:$G$24,0)</x:f>
        <x:v>268.35</x:v>
      </x:c>
    </x:row>
    <x:row r="890">
      <x:c r="A890" s="19" t="str">
        <x:v>2026-07-09|S07|D06</x:v>
      </x:c>
      <x:c r="B890" s="34" t="n">
        <x:v>46212.5</x:v>
      </x:c>
      <x:c r="C890" s="19" t="str">
        <x:v>S07</x:v>
      </x:c>
      <x:c r="D890" s="19" t="str">
        <x:v>小和山店</x:v>
      </x:c>
      <x:c r="E890" s="19" t="str">
        <x:v>D06</x:v>
      </x:c>
      <x:c r="F890" s="19" t="str">
        <x:v>剁椒鱼头</x:v>
      </x:c>
      <x:c r="G890" s="20" t="n">
        <x:f>SUMIFS('7日销售明细'!$K$5:$K$2244,'7日销售明细'!$B$5:$B$2244,B890,'7日销售明细'!$D$5:$D$2244,C890,'7日销售明细'!$H$5:$H$2244,E890)</x:f>
        <x:v>11</x:v>
      </x:c>
      <x:c r="H890" s="35" t="n">
        <x:f>SUMIFS('7日销售明细'!$L$5:$L$2244,'7日销售明细'!$B$5:$B$2244,B890,'7日销售明细'!$D$5:$D$2244,C890,'7日销售明细'!$H$5:$H$2244,E890)</x:f>
        <x:v>429</x:v>
      </x:c>
      <x:c r="I890" s="35" t="n">
        <x:f>G890*XLOOKUP(E890,'菜品主数据'!$A$5:$A$24,'菜品主数据'!$G$5:$G$24,0)</x:f>
        <x:v>191.906</x:v>
      </x:c>
    </x:row>
    <x:row r="891">
      <x:c r="A891" s="19" t="str">
        <x:v>2026-07-09|S07|D07</x:v>
      </x:c>
      <x:c r="B891" s="34" t="n">
        <x:v>46212.5</x:v>
      </x:c>
      <x:c r="C891" s="19" t="str">
        <x:v>S07</x:v>
      </x:c>
      <x:c r="D891" s="19" t="str">
        <x:v>小和山店</x:v>
      </x:c>
      <x:c r="E891" s="19" t="str">
        <x:v>D07</x:v>
      </x:c>
      <x:c r="F891" s="19" t="str">
        <x:v>川味回锅肉</x:v>
      </x:c>
      <x:c r="G891" s="20" t="n">
        <x:f>SUMIFS('7日销售明细'!$K$5:$K$2244,'7日销售明细'!$B$5:$B$2244,B891,'7日销售明细'!$D$5:$D$2244,C891,'7日销售明细'!$H$5:$H$2244,E891)</x:f>
        <x:v>13</x:v>
      </x:c>
      <x:c r="H891" s="35" t="n">
        <x:f>SUMIFS('7日销售明细'!$L$5:$L$2244,'7日销售明细'!$B$5:$B$2244,B891,'7日销售明细'!$D$5:$D$2244,C891,'7日销售明细'!$H$5:$H$2244,E891)</x:f>
        <x:v>377</x:v>
      </x:c>
      <x:c r="I891" s="35" t="n">
        <x:f>G891*XLOOKUP(E891,'菜品主数据'!$A$5:$A$24,'菜品主数据'!$G$5:$G$24,0)</x:f>
        <x:v>133.00300000000001</x:v>
      </x:c>
    </x:row>
    <x:row r="892">
      <x:c r="A892" s="19" t="str">
        <x:v>2026-07-09|S07|D08</x:v>
      </x:c>
      <x:c r="B892" s="34" t="n">
        <x:v>46212.5</x:v>
      </x:c>
      <x:c r="C892" s="19" t="str">
        <x:v>S07</x:v>
      </x:c>
      <x:c r="D892" s="19" t="str">
        <x:v>小和山店</x:v>
      </x:c>
      <x:c r="E892" s="19" t="str">
        <x:v>D08</x:v>
      </x:c>
      <x:c r="F892" s="19" t="str">
        <x:v>生炒清远鸡</x:v>
      </x:c>
      <x:c r="G892" s="20" t="n">
        <x:f>SUMIFS('7日销售明细'!$K$5:$K$2244,'7日销售明细'!$B$5:$B$2244,B892,'7日销售明细'!$D$5:$D$2244,C892,'7日销售明细'!$H$5:$H$2244,E892)</x:f>
        <x:v>11</x:v>
      </x:c>
      <x:c r="H892" s="35" t="n">
        <x:f>SUMIFS('7日销售明细'!$L$5:$L$2244,'7日销售明细'!$B$5:$B$2244,B892,'7日销售明细'!$D$5:$D$2244,C892,'7日销售明细'!$H$5:$H$2244,E892)</x:f>
        <x:v>396</x:v>
      </x:c>
      <x:c r="I892" s="35" t="n">
        <x:f>G892*XLOOKUP(E892,'菜品主数据'!$A$5:$A$24,'菜品主数据'!$G$5:$G$24,0)</x:f>
        <x:v>148.28</x:v>
      </x:c>
    </x:row>
    <x:row r="893">
      <x:c r="A893" s="19" t="str">
        <x:v>2026-07-09|S07|D09</x:v>
      </x:c>
      <x:c r="B893" s="34" t="n">
        <x:v>46212.5</x:v>
      </x:c>
      <x:c r="C893" s="19" t="str">
        <x:v>S07</x:v>
      </x:c>
      <x:c r="D893" s="19" t="str">
        <x:v>小和山店</x:v>
      </x:c>
      <x:c r="E893" s="19" t="str">
        <x:v>D09</x:v>
      </x:c>
      <x:c r="F893" s="19" t="str">
        <x:v>炒豆干</x:v>
      </x:c>
      <x:c r="G893" s="20" t="n">
        <x:f>SUMIFS('7日销售明细'!$K$5:$K$2244,'7日销售明细'!$B$5:$B$2244,B893,'7日销售明细'!$D$5:$D$2244,C893,'7日销售明细'!$H$5:$H$2244,E893)</x:f>
        <x:v>14</x:v>
      </x:c>
      <x:c r="H893" s="35" t="n">
        <x:f>SUMIFS('7日销售明细'!$L$5:$L$2244,'7日销售明细'!$B$5:$B$2244,B893,'7日销售明细'!$D$5:$D$2244,C893,'7日销售明细'!$H$5:$H$2244,E893)</x:f>
        <x:v>252</x:v>
      </x:c>
      <x:c r="I893" s="35" t="n">
        <x:f>G893*XLOOKUP(E893,'菜品主数据'!$A$5:$A$24,'菜品主数据'!$G$5:$G$24,0)</x:f>
        <x:v>92.59599999999999</x:v>
      </x:c>
    </x:row>
    <x:row r="894">
      <x:c r="A894" s="19" t="str">
        <x:v>2026-07-09|S07|D10</x:v>
      </x:c>
      <x:c r="B894" s="34" t="n">
        <x:v>46212.5</x:v>
      </x:c>
      <x:c r="C894" s="19" t="str">
        <x:v>S07</x:v>
      </x:c>
      <x:c r="D894" s="19" t="str">
        <x:v>小和山店</x:v>
      </x:c>
      <x:c r="E894" s="19" t="str">
        <x:v>D10</x:v>
      </x:c>
      <x:c r="F894" s="19" t="str">
        <x:v>农家一碗香</x:v>
      </x:c>
      <x:c r="G894" s="20" t="n">
        <x:f>SUMIFS('7日销售明细'!$K$5:$K$2244,'7日销售明细'!$B$5:$B$2244,B894,'7日销售明细'!$D$5:$D$2244,C894,'7日销售明细'!$H$5:$H$2244,E894)</x:f>
        <x:v>17</x:v>
      </x:c>
      <x:c r="H894" s="35" t="n">
        <x:f>SUMIFS('7日销售明细'!$L$5:$L$2244,'7日销售明细'!$B$5:$B$2244,B894,'7日销售明细'!$D$5:$D$2244,C894,'7日销售明细'!$H$5:$H$2244,E894)</x:f>
        <x:v>389.29999999999995</x:v>
      </x:c>
      <x:c r="I894" s="35" t="n">
        <x:f>G894*XLOOKUP(E894,'菜品主数据'!$A$5:$A$24,'菜品主数据'!$G$5:$G$24,0)</x:f>
        <x:v>166.09340000000003</x:v>
      </x:c>
    </x:row>
    <x:row r="895">
      <x:c r="A895" s="19" t="str">
        <x:v>2026-07-09|S07|D11</x:v>
      </x:c>
      <x:c r="B895" s="34" t="n">
        <x:v>46212.5</x:v>
      </x:c>
      <x:c r="C895" s="19" t="str">
        <x:v>S07</x:v>
      </x:c>
      <x:c r="D895" s="19" t="str">
        <x:v>小和山店</x:v>
      </x:c>
      <x:c r="E895" s="19" t="str">
        <x:v>D11</x:v>
      </x:c>
      <x:c r="F895" s="19" t="str">
        <x:v>香辣爆肥肠</x:v>
      </x:c>
      <x:c r="G895" s="20" t="n">
        <x:f>SUMIFS('7日销售明细'!$K$5:$K$2244,'7日销售明细'!$B$5:$B$2244,B895,'7日销售明细'!$D$5:$D$2244,C895,'7日销售明细'!$H$5:$H$2244,E895)</x:f>
        <x:v>6</x:v>
      </x:c>
      <x:c r="H895" s="35" t="n">
        <x:f>SUMIFS('7日销售明细'!$L$5:$L$2244,'7日销售明细'!$B$5:$B$2244,B895,'7日销售明细'!$D$5:$D$2244,C895,'7日销售明细'!$H$5:$H$2244,E895)</x:f>
        <x:v>234</x:v>
      </x:c>
      <x:c r="I895" s="35" t="n">
        <x:f>G895*XLOOKUP(E895,'菜品主数据'!$A$5:$A$24,'菜品主数据'!$G$5:$G$24,0)</x:f>
        <x:v>62.382000000000005</x:v>
      </x:c>
    </x:row>
    <x:row r="896">
      <x:c r="A896" s="19" t="str">
        <x:v>2026-07-09|S07|D12</x:v>
      </x:c>
      <x:c r="B896" s="34" t="n">
        <x:v>46212.5</x:v>
      </x:c>
      <x:c r="C896" s="19" t="str">
        <x:v>S07</x:v>
      </x:c>
      <x:c r="D896" s="19" t="str">
        <x:v>小和山店</x:v>
      </x:c>
      <x:c r="E896" s="19" t="str">
        <x:v>D12</x:v>
      </x:c>
      <x:c r="F896" s="19" t="str">
        <x:v>清蒸鲈鱼</x:v>
      </x:c>
      <x:c r="G896" s="20" t="n">
        <x:f>SUMIFS('7日销售明细'!$K$5:$K$2244,'7日销售明细'!$B$5:$B$2244,B896,'7日销售明细'!$D$5:$D$2244,C896,'7日销售明细'!$H$5:$H$2244,E896)</x:f>
        <x:v>6</x:v>
      </x:c>
      <x:c r="H896" s="35" t="n">
        <x:f>SUMIFS('7日销售明细'!$L$5:$L$2244,'7日销售明细'!$B$5:$B$2244,B896,'7日销售明细'!$D$5:$D$2244,C896,'7日销售明细'!$H$5:$H$2244,E896)</x:f>
        <x:v>234</x:v>
      </x:c>
      <x:c r="I896" s="35" t="n">
        <x:f>G896*XLOOKUP(E896,'菜品主数据'!$A$5:$A$24,'菜品主数据'!$G$5:$G$24,0)</x:f>
        <x:v>113.244</x:v>
      </x:c>
    </x:row>
    <x:row r="897">
      <x:c r="A897" s="19" t="str">
        <x:v>2026-07-09|S07|D13</x:v>
      </x:c>
      <x:c r="B897" s="34" t="n">
        <x:v>46212.5</x:v>
      </x:c>
      <x:c r="C897" s="19" t="str">
        <x:v>S07</x:v>
      </x:c>
      <x:c r="D897" s="19" t="str">
        <x:v>小和山店</x:v>
      </x:c>
      <x:c r="E897" s="19" t="str">
        <x:v>D13</x:v>
      </x:c>
      <x:c r="F897" s="19" t="str">
        <x:v>外婆菜炒蛋</x:v>
      </x:c>
      <x:c r="G897" s="20" t="n">
        <x:f>SUMIFS('7日销售明细'!$K$5:$K$2244,'7日销售明细'!$B$5:$B$2244,B897,'7日销售明细'!$D$5:$D$2244,C897,'7日销售明细'!$H$5:$H$2244,E897)</x:f>
        <x:v>15</x:v>
      </x:c>
      <x:c r="H897" s="35" t="n">
        <x:f>SUMIFS('7日销售明细'!$L$5:$L$2244,'7日销售明细'!$B$5:$B$2244,B897,'7日销售明细'!$D$5:$D$2244,C897,'7日销售明细'!$H$5:$H$2244,E897)</x:f>
        <x:v>270</x:v>
      </x:c>
      <x:c r="I897" s="35" t="n">
        <x:f>G897*XLOOKUP(E897,'菜品主数据'!$A$5:$A$24,'菜品主数据'!$G$5:$G$24,0)</x:f>
        <x:v>81.05999999999999</x:v>
      </x:c>
    </x:row>
    <x:row r="898">
      <x:c r="A898" s="19" t="str">
        <x:v>2026-07-09|S07|D14</x:v>
      </x:c>
      <x:c r="B898" s="34" t="n">
        <x:v>46212.5</x:v>
      </x:c>
      <x:c r="C898" s="19" t="str">
        <x:v>S07</x:v>
      </x:c>
      <x:c r="D898" s="19" t="str">
        <x:v>小和山店</x:v>
      </x:c>
      <x:c r="E898" s="19" t="str">
        <x:v>D14</x:v>
      </x:c>
      <x:c r="F898" s="19" t="str">
        <x:v>酸辣鸡杂</x:v>
      </x:c>
      <x:c r="G898" s="20" t="n">
        <x:f>SUMIFS('7日销售明细'!$K$5:$K$2244,'7日销售明细'!$B$5:$B$2244,B898,'7日销售明细'!$D$5:$D$2244,C898,'7日销售明细'!$H$5:$H$2244,E898)</x:f>
        <x:v>7</x:v>
      </x:c>
      <x:c r="H898" s="35" t="n">
        <x:f>SUMIFS('7日销售明细'!$L$5:$L$2244,'7日销售明细'!$B$5:$B$2244,B898,'7日销售明细'!$D$5:$D$2244,C898,'7日销售明细'!$H$5:$H$2244,E898)</x:f>
        <x:v>196</x:v>
      </x:c>
      <x:c r="I898" s="35" t="n">
        <x:f>G898*XLOOKUP(E898,'菜品主数据'!$A$5:$A$24,'菜品主数据'!$G$5:$G$24,0)</x:f>
        <x:v>58.20500000000001</x:v>
      </x:c>
    </x:row>
    <x:row r="899">
      <x:c r="A899" s="19" t="str">
        <x:v>2026-07-09|S07|D15</x:v>
      </x:c>
      <x:c r="B899" s="34" t="n">
        <x:v>46212.5</x:v>
      </x:c>
      <x:c r="C899" s="19" t="str">
        <x:v>S07</x:v>
      </x:c>
      <x:c r="D899" s="19" t="str">
        <x:v>小和山店</x:v>
      </x:c>
      <x:c r="E899" s="19" t="str">
        <x:v>D15</x:v>
      </x:c>
      <x:c r="F899" s="19" t="str">
        <x:v>湘西土匪猪肝</x:v>
      </x:c>
      <x:c r="G899" s="20" t="n">
        <x:f>SUMIFS('7日销售明细'!$K$5:$K$2244,'7日销售明细'!$B$5:$B$2244,B899,'7日销售明细'!$D$5:$D$2244,C899,'7日销售明细'!$H$5:$H$2244,E899)</x:f>
        <x:v>7</x:v>
      </x:c>
      <x:c r="H899" s="35" t="n">
        <x:f>SUMIFS('7日销售明细'!$L$5:$L$2244,'7日销售明细'!$B$5:$B$2244,B899,'7日销售明细'!$D$5:$D$2244,C899,'7日销售明细'!$H$5:$H$2244,E899)</x:f>
        <x:v>182</x:v>
      </x:c>
      <x:c r="I899" s="35" t="n">
        <x:f>G899*XLOOKUP(E899,'菜品主数据'!$A$5:$A$24,'菜品主数据'!$G$5:$G$24,0)</x:f>
        <x:v>44.632</x:v>
      </x:c>
    </x:row>
    <x:row r="900">
      <x:c r="A900" s="19" t="str">
        <x:v>2026-07-09|S07|D16</x:v>
      </x:c>
      <x:c r="B900" s="34" t="n">
        <x:v>46212.5</x:v>
      </x:c>
      <x:c r="C900" s="19" t="str">
        <x:v>S07</x:v>
      </x:c>
      <x:c r="D900" s="19" t="str">
        <x:v>小和山店</x:v>
      </x:c>
      <x:c r="E900" s="19" t="str">
        <x:v>D16</x:v>
      </x:c>
      <x:c r="F900" s="19" t="str">
        <x:v>小豆角炒五花</x:v>
      </x:c>
      <x:c r="G900" s="20" t="n">
        <x:f>SUMIFS('7日销售明细'!$K$5:$K$2244,'7日销售明细'!$B$5:$B$2244,B900,'7日销售明细'!$D$5:$D$2244,C900,'7日销售明细'!$H$5:$H$2244,E900)</x:f>
        <x:v>6</x:v>
      </x:c>
      <x:c r="H900" s="35" t="n">
        <x:f>SUMIFS('7日销售明细'!$L$5:$L$2244,'7日销售明细'!$B$5:$B$2244,B900,'7日销售明细'!$D$5:$D$2244,C900,'7日销售明细'!$H$5:$H$2244,E900)</x:f>
        <x:v>150</x:v>
      </x:c>
      <x:c r="I900" s="35" t="n">
        <x:f>G900*XLOOKUP(E900,'菜品主数据'!$A$5:$A$24,'菜品主数据'!$G$5:$G$24,0)</x:f>
        <x:v>49.104</x:v>
      </x:c>
    </x:row>
    <x:row r="901">
      <x:c r="A901" s="19" t="str">
        <x:v>2026-07-09|S07|D17</x:v>
      </x:c>
      <x:c r="B901" s="34" t="n">
        <x:v>46212.5</x:v>
      </x:c>
      <x:c r="C901" s="19" t="str">
        <x:v>S07</x:v>
      </x:c>
      <x:c r="D901" s="19" t="str">
        <x:v>小和山店</x:v>
      </x:c>
      <x:c r="E901" s="19" t="str">
        <x:v>D17</x:v>
      </x:c>
      <x:c r="F901" s="19" t="str">
        <x:v>蒜蓉粉丝虾</x:v>
      </x:c>
      <x:c r="G901" s="20" t="n">
        <x:f>SUMIFS('7日销售明细'!$K$5:$K$2244,'7日销售明细'!$B$5:$B$2244,B901,'7日销售明细'!$D$5:$D$2244,C901,'7日销售明细'!$H$5:$H$2244,E901)</x:f>
        <x:v>5</x:v>
      </x:c>
      <x:c r="H901" s="35" t="n">
        <x:f>SUMIFS('7日销售明细'!$L$5:$L$2244,'7日销售明细'!$B$5:$B$2244,B901,'7日销售明细'!$D$5:$D$2244,C901,'7日销售明细'!$H$5:$H$2244,E901)</x:f>
        <x:v>180</x:v>
      </x:c>
      <x:c r="I901" s="35" t="n">
        <x:f>G901*XLOOKUP(E901,'菜品主数据'!$A$5:$A$24,'菜品主数据'!$G$5:$G$24,0)</x:f>
        <x:v>67.97</x:v>
      </x:c>
    </x:row>
    <x:row r="902">
      <x:c r="A902" s="19" t="str">
        <x:v>2026-07-09|S07|D18</x:v>
      </x:c>
      <x:c r="B902" s="34" t="n">
        <x:v>46212.5</x:v>
      </x:c>
      <x:c r="C902" s="19" t="str">
        <x:v>S07</x:v>
      </x:c>
      <x:c r="D902" s="19" t="str">
        <x:v>小和山店</x:v>
      </x:c>
      <x:c r="E902" s="19" t="str">
        <x:v>D18</x:v>
      </x:c>
      <x:c r="F902" s="19" t="str">
        <x:v>青椒炒油麦菜</x:v>
      </x:c>
      <x:c r="G902" s="20" t="n">
        <x:f>SUMIFS('7日销售明细'!$K$5:$K$2244,'7日销售明细'!$B$5:$B$2244,B902,'7日销售明细'!$D$5:$D$2244,C902,'7日销售明细'!$H$5:$H$2244,E902)</x:f>
        <x:v>7</x:v>
      </x:c>
      <x:c r="H902" s="35" t="n">
        <x:f>SUMIFS('7日销售明细'!$L$5:$L$2244,'7日销售明细'!$B$5:$B$2244,B902,'7日销售明细'!$D$5:$D$2244,C902,'7日销售明细'!$H$5:$H$2244,E902)</x:f>
        <x:v>126</x:v>
      </x:c>
      <x:c r="I902" s="35" t="n">
        <x:f>G902*XLOOKUP(E902,'菜品主数据'!$A$5:$A$24,'菜品主数据'!$G$5:$G$24,0)</x:f>
        <x:v>22.231999999999996</x:v>
      </x:c>
    </x:row>
    <x:row r="903">
      <x:c r="A903" s="19" t="str">
        <x:v>2026-07-09|S07|D19</x:v>
      </x:c>
      <x:c r="B903" s="34" t="n">
        <x:v>46212.5</x:v>
      </x:c>
      <x:c r="C903" s="19" t="str">
        <x:v>S07</x:v>
      </x:c>
      <x:c r="D903" s="19" t="str">
        <x:v>小和山店</x:v>
      </x:c>
      <x:c r="E903" s="19" t="str">
        <x:v>D19</x:v>
      </x:c>
      <x:c r="F903" s="19" t="str">
        <x:v>酸萝卜炒鸡杂</x:v>
      </x:c>
      <x:c r="G903" s="20" t="n">
        <x:f>SUMIFS('7日销售明细'!$K$5:$K$2244,'7日销售明细'!$B$5:$B$2244,B903,'7日销售明细'!$D$5:$D$2244,C903,'7日销售明细'!$H$5:$H$2244,E903)</x:f>
        <x:v>5</x:v>
      </x:c>
      <x:c r="H903" s="35" t="n">
        <x:f>SUMIFS('7日销售明细'!$L$5:$L$2244,'7日销售明细'!$B$5:$B$2244,B903,'7日销售明细'!$D$5:$D$2244,C903,'7日销售明细'!$H$5:$H$2244,E903)</x:f>
        <x:v>125</x:v>
      </x:c>
      <x:c r="I903" s="35" t="n">
        <x:f>G903*XLOOKUP(E903,'菜品主数据'!$A$5:$A$24,'菜品主数据'!$G$5:$G$24,0)</x:f>
        <x:v>39.699999999999996</x:v>
      </x:c>
    </x:row>
    <x:row r="904">
      <x:c r="A904" s="19" t="str">
        <x:v>2026-07-09|S07|D20</x:v>
      </x:c>
      <x:c r="B904" s="34" t="n">
        <x:v>46212.5</x:v>
      </x:c>
      <x:c r="C904" s="19" t="str">
        <x:v>S07</x:v>
      </x:c>
      <x:c r="D904" s="19" t="str">
        <x:v>小和山店</x:v>
      </x:c>
      <x:c r="E904" s="19" t="str">
        <x:v>D20</x:v>
      </x:c>
      <x:c r="F904" s="19" t="str">
        <x:v>雪菜肉末青豆</x:v>
      </x:c>
      <x:c r="G904" s="20" t="n">
        <x:f>SUMIFS('7日销售明细'!$K$5:$K$2244,'7日销售明细'!$B$5:$B$2244,B904,'7日销售明细'!$D$5:$D$2244,C904,'7日销售明细'!$H$5:$H$2244,E904)</x:f>
        <x:v>8</x:v>
      </x:c>
      <x:c r="H904" s="35" t="n">
        <x:f>SUMIFS('7日销售明细'!$L$5:$L$2244,'7日销售明细'!$B$5:$B$2244,B904,'7日销售明细'!$D$5:$D$2244,C904,'7日销售明细'!$H$5:$H$2244,E904)</x:f>
        <x:v>144</x:v>
      </x:c>
      <x:c r="I904" s="35" t="n">
        <x:f>G904*XLOOKUP(E904,'菜品主数据'!$A$5:$A$24,'菜品主数据'!$G$5:$G$24,0)</x:f>
        <x:v>58.431999999999995</x:v>
      </x:c>
    </x:row>
    <x:row r="905">
      <x:c r="A905" s="19" t="str">
        <x:v>2026-07-10|S07|D01</x:v>
      </x:c>
      <x:c r="B905" s="34" t="n">
        <x:v>46213.5</x:v>
      </x:c>
      <x:c r="C905" s="19" t="str">
        <x:v>S07</x:v>
      </x:c>
      <x:c r="D905" s="19" t="str">
        <x:v>小和山店</x:v>
      </x:c>
      <x:c r="E905" s="19" t="str">
        <x:v>D01</x:v>
      </x:c>
      <x:c r="F905" s="19" t="str">
        <x:v>辣椒炒肉</x:v>
      </x:c>
      <x:c r="G905" s="20" t="n">
        <x:f>SUMIFS('7日销售明细'!$K$5:$K$2244,'7日销售明细'!$B$5:$B$2244,B905,'7日销售明细'!$D$5:$D$2244,C905,'7日销售明细'!$H$5:$H$2244,E905)</x:f>
        <x:v>48</x:v>
      </x:c>
      <x:c r="H905" s="35" t="n">
        <x:f>SUMIFS('7日销售明细'!$L$5:$L$2244,'7日销售明细'!$B$5:$B$2244,B905,'7日销售明细'!$D$5:$D$2244,C905,'7日销售明细'!$H$5:$H$2244,E905)</x:f>
        <x:v>1392</x:v>
      </x:c>
      <x:c r="I905" s="35" t="n">
        <x:f>G905*XLOOKUP(E905,'菜品主数据'!$A$5:$A$24,'菜品主数据'!$G$5:$G$24,0)</x:f>
        <x:v>414.4512000000001</x:v>
      </x:c>
    </x:row>
    <x:row r="906">
      <x:c r="A906" s="19" t="str">
        <x:v>2026-07-10|S07|D02</x:v>
      </x:c>
      <x:c r="B906" s="34" t="n">
        <x:v>46213.5</x:v>
      </x:c>
      <x:c r="C906" s="19" t="str">
        <x:v>S07</x:v>
      </x:c>
      <x:c r="D906" s="19" t="str">
        <x:v>小和山店</x:v>
      </x:c>
      <x:c r="E906" s="19" t="str">
        <x:v>D02</x:v>
      </x:c>
      <x:c r="F906" s="19" t="str">
        <x:v>小炒黄牛肉</x:v>
      </x:c>
      <x:c r="G906" s="20" t="n">
        <x:f>SUMIFS('7日销售明细'!$K$5:$K$2244,'7日销售明细'!$B$5:$B$2244,B906,'7日销售明细'!$D$5:$D$2244,C906,'7日销售明细'!$H$5:$H$2244,E906)</x:f>
        <x:v>32</x:v>
      </x:c>
      <x:c r="H906" s="35" t="n">
        <x:f>SUMIFS('7日销售明细'!$L$5:$L$2244,'7日销售明细'!$B$5:$B$2244,B906,'7日销售明细'!$D$5:$D$2244,C906,'7日销售明细'!$H$5:$H$2244,E906)</x:f>
        <x:v>1568</x:v>
      </x:c>
      <x:c r="I906" s="35" t="n">
        <x:f>G906*XLOOKUP(E906,'菜品主数据'!$A$5:$A$24,'菜品主数据'!$G$5:$G$24,0)</x:f>
        <x:v>562.464</x:v>
      </x:c>
    </x:row>
    <x:row r="907">
      <x:c r="A907" s="19" t="str">
        <x:v>2026-07-10|S07|D03</x:v>
      </x:c>
      <x:c r="B907" s="34" t="n">
        <x:v>46213.5</x:v>
      </x:c>
      <x:c r="C907" s="19" t="str">
        <x:v>S07</x:v>
      </x:c>
      <x:c r="D907" s="19" t="str">
        <x:v>小和山店</x:v>
      </x:c>
      <x:c r="E907" s="19" t="str">
        <x:v>D03</x:v>
      </x:c>
      <x:c r="F907" s="19" t="str">
        <x:v>香醋炒蛋</x:v>
      </x:c>
      <x:c r="G907" s="20" t="n">
        <x:f>SUMIFS('7日销售明细'!$K$5:$K$2244,'7日销售明细'!$B$5:$B$2244,B907,'7日销售明细'!$D$5:$D$2244,C907,'7日销售明细'!$H$5:$H$2244,E907)</x:f>
        <x:v>37</x:v>
      </x:c>
      <x:c r="H907" s="35" t="n">
        <x:f>SUMIFS('7日销售明细'!$L$5:$L$2244,'7日销售明细'!$B$5:$B$2244,B907,'7日销售明细'!$D$5:$D$2244,C907,'7日销售明细'!$H$5:$H$2244,E907)</x:f>
        <x:v>551.3000000000001</x:v>
      </x:c>
      <x:c r="I907" s="35" t="n">
        <x:f>G907*XLOOKUP(E907,'菜品主数据'!$A$5:$A$24,'菜品主数据'!$G$5:$G$24,0)</x:f>
        <x:v>138.60199999999998</x:v>
      </x:c>
    </x:row>
    <x:row r="908">
      <x:c r="A908" s="19" t="str">
        <x:v>2026-07-10|S07|D04</x:v>
      </x:c>
      <x:c r="B908" s="34" t="n">
        <x:v>46213.5</x:v>
      </x:c>
      <x:c r="C908" s="19" t="str">
        <x:v>S07</x:v>
      </x:c>
      <x:c r="D908" s="19" t="str">
        <x:v>小和山店</x:v>
      </x:c>
      <x:c r="E908" s="19" t="str">
        <x:v>D04</x:v>
      </x:c>
      <x:c r="F908" s="19" t="str">
        <x:v>酸包菜炒粉皮</x:v>
      </x:c>
      <x:c r="G908" s="20" t="n">
        <x:f>SUMIFS('7日销售明细'!$K$5:$K$2244,'7日销售明细'!$B$5:$B$2244,B908,'7日销售明细'!$D$5:$D$2244,C908,'7日销售明细'!$H$5:$H$2244,E908)</x:f>
        <x:v>33</x:v>
      </x:c>
      <x:c r="H908" s="35" t="n">
        <x:f>SUMIFS('7日销售明细'!$L$5:$L$2244,'7日销售明细'!$B$5:$B$2244,B908,'7日销售明细'!$D$5:$D$2244,C908,'7日销售明细'!$H$5:$H$2244,E908)</x:f>
        <x:v>528</x:v>
      </x:c>
      <x:c r="I908" s="35" t="n">
        <x:f>G908*XLOOKUP(E908,'菜品主数据'!$A$5:$A$24,'菜品主数据'!$G$5:$G$24,0)</x:f>
        <x:v>131.274</x:v>
      </x:c>
    </x:row>
    <x:row r="909">
      <x:c r="A909" s="19" t="str">
        <x:v>2026-07-10|S07|D05</x:v>
      </x:c>
      <x:c r="B909" s="34" t="n">
        <x:v>46213.5</x:v>
      </x:c>
      <x:c r="C909" s="19" t="str">
        <x:v>S07</x:v>
      </x:c>
      <x:c r="D909" s="19" t="str">
        <x:v>小和山店</x:v>
      </x:c>
      <x:c r="E909" s="19" t="str">
        <x:v>D05</x:v>
      </x:c>
      <x:c r="F909" s="19" t="str">
        <x:v>麻婆豆腐</x:v>
      </x:c>
      <x:c r="G909" s="20" t="n">
        <x:f>SUMIFS('7日销售明细'!$K$5:$K$2244,'7日销售明细'!$B$5:$B$2244,B909,'7日销售明细'!$D$5:$D$2244,C909,'7日销售明细'!$H$5:$H$2244,E909)</x:f>
        <x:v>48</x:v>
      </x:c>
      <x:c r="H909" s="35" t="n">
        <x:f>SUMIFS('7日销售明细'!$L$5:$L$2244,'7日销售明细'!$B$5:$B$2244,B909,'7日销售明细'!$D$5:$D$2244,C909,'7日销售明细'!$H$5:$H$2244,E909)</x:f>
        <x:v>475.2</x:v>
      </x:c>
      <x:c r="I909" s="35" t="n">
        <x:f>G909*XLOOKUP(E909,'菜品主数据'!$A$5:$A$24,'菜品主数据'!$G$5:$G$24,0)</x:f>
        <x:v>257.61600000000004</x:v>
      </x:c>
    </x:row>
    <x:row r="910">
      <x:c r="A910" s="19" t="str">
        <x:v>2026-07-10|S07|D06</x:v>
      </x:c>
      <x:c r="B910" s="34" t="n">
        <x:v>46213.5</x:v>
      </x:c>
      <x:c r="C910" s="19" t="str">
        <x:v>S07</x:v>
      </x:c>
      <x:c r="D910" s="19" t="str">
        <x:v>小和山店</x:v>
      </x:c>
      <x:c r="E910" s="19" t="str">
        <x:v>D06</x:v>
      </x:c>
      <x:c r="F910" s="19" t="str">
        <x:v>剁椒鱼头</x:v>
      </x:c>
      <x:c r="G910" s="20" t="n">
        <x:f>SUMIFS('7日销售明细'!$K$5:$K$2244,'7日销售明细'!$B$5:$B$2244,B910,'7日销售明细'!$D$5:$D$2244,C910,'7日销售明细'!$H$5:$H$2244,E910)</x:f>
        <x:v>11</x:v>
      </x:c>
      <x:c r="H910" s="35" t="n">
        <x:f>SUMIFS('7日销售明细'!$L$5:$L$2244,'7日销售明细'!$B$5:$B$2244,B910,'7日销售明细'!$D$5:$D$2244,C910,'7日销售明细'!$H$5:$H$2244,E910)</x:f>
        <x:v>429</x:v>
      </x:c>
      <x:c r="I910" s="35" t="n">
        <x:f>G910*XLOOKUP(E910,'菜品主数据'!$A$5:$A$24,'菜品主数据'!$G$5:$G$24,0)</x:f>
        <x:v>191.906</x:v>
      </x:c>
    </x:row>
    <x:row r="911">
      <x:c r="A911" s="19" t="str">
        <x:v>2026-07-10|S07|D07</x:v>
      </x:c>
      <x:c r="B911" s="34" t="n">
        <x:v>46213.5</x:v>
      </x:c>
      <x:c r="C911" s="19" t="str">
        <x:v>S07</x:v>
      </x:c>
      <x:c r="D911" s="19" t="str">
        <x:v>小和山店</x:v>
      </x:c>
      <x:c r="E911" s="19" t="str">
        <x:v>D07</x:v>
      </x:c>
      <x:c r="F911" s="19" t="str">
        <x:v>川味回锅肉</x:v>
      </x:c>
      <x:c r="G911" s="20" t="n">
        <x:f>SUMIFS('7日销售明细'!$K$5:$K$2244,'7日销售明细'!$B$5:$B$2244,B911,'7日销售明细'!$D$5:$D$2244,C911,'7日销售明细'!$H$5:$H$2244,E911)</x:f>
        <x:v>14</x:v>
      </x:c>
      <x:c r="H911" s="35" t="n">
        <x:f>SUMIFS('7日销售明细'!$L$5:$L$2244,'7日销售明细'!$B$5:$B$2244,B911,'7日销售明细'!$D$5:$D$2244,C911,'7日销售明细'!$H$5:$H$2244,E911)</x:f>
        <x:v>406</x:v>
      </x:c>
      <x:c r="I911" s="35" t="n">
        <x:f>G911*XLOOKUP(E911,'菜品主数据'!$A$5:$A$24,'菜品主数据'!$G$5:$G$24,0)</x:f>
        <x:v>143.23400000000004</x:v>
      </x:c>
    </x:row>
    <x:row r="912">
      <x:c r="A912" s="19" t="str">
        <x:v>2026-07-10|S07|D08</x:v>
      </x:c>
      <x:c r="B912" s="34" t="n">
        <x:v>46213.5</x:v>
      </x:c>
      <x:c r="C912" s="19" t="str">
        <x:v>S07</x:v>
      </x:c>
      <x:c r="D912" s="19" t="str">
        <x:v>小和山店</x:v>
      </x:c>
      <x:c r="E912" s="19" t="str">
        <x:v>D08</x:v>
      </x:c>
      <x:c r="F912" s="19" t="str">
        <x:v>生炒清远鸡</x:v>
      </x:c>
      <x:c r="G912" s="20" t="n">
        <x:f>SUMIFS('7日销售明细'!$K$5:$K$2244,'7日销售明细'!$B$5:$B$2244,B912,'7日销售明细'!$D$5:$D$2244,C912,'7日销售明细'!$H$5:$H$2244,E912)</x:f>
        <x:v>10</x:v>
      </x:c>
      <x:c r="H912" s="35" t="n">
        <x:f>SUMIFS('7日销售明细'!$L$5:$L$2244,'7日销售明细'!$B$5:$B$2244,B912,'7日销售明细'!$D$5:$D$2244,C912,'7日销售明细'!$H$5:$H$2244,E912)</x:f>
        <x:v>360</x:v>
      </x:c>
      <x:c r="I912" s="35" t="n">
        <x:f>G912*XLOOKUP(E912,'菜品主数据'!$A$5:$A$24,'菜品主数据'!$G$5:$G$24,0)</x:f>
        <x:v>134.8</x:v>
      </x:c>
    </x:row>
    <x:row r="913">
      <x:c r="A913" s="19" t="str">
        <x:v>2026-07-10|S07|D09</x:v>
      </x:c>
      <x:c r="B913" s="34" t="n">
        <x:v>46213.5</x:v>
      </x:c>
      <x:c r="C913" s="19" t="str">
        <x:v>S07</x:v>
      </x:c>
      <x:c r="D913" s="19" t="str">
        <x:v>小和山店</x:v>
      </x:c>
      <x:c r="E913" s="19" t="str">
        <x:v>D09</x:v>
      </x:c>
      <x:c r="F913" s="19" t="str">
        <x:v>炒豆干</x:v>
      </x:c>
      <x:c r="G913" s="20" t="n">
        <x:f>SUMIFS('7日销售明细'!$K$5:$K$2244,'7日销售明细'!$B$5:$B$2244,B913,'7日销售明细'!$D$5:$D$2244,C913,'7日销售明细'!$H$5:$H$2244,E913)</x:f>
        <x:v>14</x:v>
      </x:c>
      <x:c r="H913" s="35" t="n">
        <x:f>SUMIFS('7日销售明细'!$L$5:$L$2244,'7日销售明细'!$B$5:$B$2244,B913,'7日销售明细'!$D$5:$D$2244,C913,'7日销售明细'!$H$5:$H$2244,E913)</x:f>
        <x:v>252</x:v>
      </x:c>
      <x:c r="I913" s="35" t="n">
        <x:f>G913*XLOOKUP(E913,'菜品主数据'!$A$5:$A$24,'菜品主数据'!$G$5:$G$24,0)</x:f>
        <x:v>92.59599999999999</x:v>
      </x:c>
    </x:row>
    <x:row r="914">
      <x:c r="A914" s="19" t="str">
        <x:v>2026-07-10|S07|D10</x:v>
      </x:c>
      <x:c r="B914" s="34" t="n">
        <x:v>46213.5</x:v>
      </x:c>
      <x:c r="C914" s="19" t="str">
        <x:v>S07</x:v>
      </x:c>
      <x:c r="D914" s="19" t="str">
        <x:v>小和山店</x:v>
      </x:c>
      <x:c r="E914" s="19" t="str">
        <x:v>D10</x:v>
      </x:c>
      <x:c r="F914" s="19" t="str">
        <x:v>农家一碗香</x:v>
      </x:c>
      <x:c r="G914" s="20" t="n">
        <x:f>SUMIFS('7日销售明细'!$K$5:$K$2244,'7日销售明细'!$B$5:$B$2244,B914,'7日销售明细'!$D$5:$D$2244,C914,'7日销售明细'!$H$5:$H$2244,E914)</x:f>
        <x:v>17</x:v>
      </x:c>
      <x:c r="H914" s="35" t="n">
        <x:f>SUMIFS('7日销售明细'!$L$5:$L$2244,'7日销售明细'!$B$5:$B$2244,B914,'7日销售明细'!$D$5:$D$2244,C914,'7日销售明细'!$H$5:$H$2244,E914)</x:f>
        <x:v>389.29999999999995</x:v>
      </x:c>
      <x:c r="I914" s="35" t="n">
        <x:f>G914*XLOOKUP(E914,'菜品主数据'!$A$5:$A$24,'菜品主数据'!$G$5:$G$24,0)</x:f>
        <x:v>166.09340000000003</x:v>
      </x:c>
    </x:row>
    <x:row r="915">
      <x:c r="A915" s="19" t="str">
        <x:v>2026-07-10|S07|D11</x:v>
      </x:c>
      <x:c r="B915" s="34" t="n">
        <x:v>46213.5</x:v>
      </x:c>
      <x:c r="C915" s="19" t="str">
        <x:v>S07</x:v>
      </x:c>
      <x:c r="D915" s="19" t="str">
        <x:v>小和山店</x:v>
      </x:c>
      <x:c r="E915" s="19" t="str">
        <x:v>D11</x:v>
      </x:c>
      <x:c r="F915" s="19" t="str">
        <x:v>香辣爆肥肠</x:v>
      </x:c>
      <x:c r="G915" s="20" t="n">
        <x:f>SUMIFS('7日销售明细'!$K$5:$K$2244,'7日销售明细'!$B$5:$B$2244,B915,'7日销售明细'!$D$5:$D$2244,C915,'7日销售明细'!$H$5:$H$2244,E915)</x:f>
        <x:v>6</x:v>
      </x:c>
      <x:c r="H915" s="35" t="n">
        <x:f>SUMIFS('7日销售明细'!$L$5:$L$2244,'7日销售明细'!$B$5:$B$2244,B915,'7日销售明细'!$D$5:$D$2244,C915,'7日销售明细'!$H$5:$H$2244,E915)</x:f>
        <x:v>234</x:v>
      </x:c>
      <x:c r="I915" s="35" t="n">
        <x:f>G915*XLOOKUP(E915,'菜品主数据'!$A$5:$A$24,'菜品主数据'!$G$5:$G$24,0)</x:f>
        <x:v>62.382000000000005</x:v>
      </x:c>
    </x:row>
    <x:row r="916">
      <x:c r="A916" s="19" t="str">
        <x:v>2026-07-10|S07|D12</x:v>
      </x:c>
      <x:c r="B916" s="34" t="n">
        <x:v>46213.5</x:v>
      </x:c>
      <x:c r="C916" s="19" t="str">
        <x:v>S07</x:v>
      </x:c>
      <x:c r="D916" s="19" t="str">
        <x:v>小和山店</x:v>
      </x:c>
      <x:c r="E916" s="19" t="str">
        <x:v>D12</x:v>
      </x:c>
      <x:c r="F916" s="19" t="str">
        <x:v>清蒸鲈鱼</x:v>
      </x:c>
      <x:c r="G916" s="20" t="n">
        <x:f>SUMIFS('7日销售明细'!$K$5:$K$2244,'7日销售明细'!$B$5:$B$2244,B916,'7日销售明细'!$D$5:$D$2244,C916,'7日销售明细'!$H$5:$H$2244,E916)</x:f>
        <x:v>6</x:v>
      </x:c>
      <x:c r="H916" s="35" t="n">
        <x:f>SUMIFS('7日销售明细'!$L$5:$L$2244,'7日销售明细'!$B$5:$B$2244,B916,'7日销售明细'!$D$5:$D$2244,C916,'7日销售明细'!$H$5:$H$2244,E916)</x:f>
        <x:v>234</x:v>
      </x:c>
      <x:c r="I916" s="35" t="n">
        <x:f>G916*XLOOKUP(E916,'菜品主数据'!$A$5:$A$24,'菜品主数据'!$G$5:$G$24,0)</x:f>
        <x:v>113.244</x:v>
      </x:c>
    </x:row>
    <x:row r="917">
      <x:c r="A917" s="19" t="str">
        <x:v>2026-07-10|S07|D13</x:v>
      </x:c>
      <x:c r="B917" s="34" t="n">
        <x:v>46213.5</x:v>
      </x:c>
      <x:c r="C917" s="19" t="str">
        <x:v>S07</x:v>
      </x:c>
      <x:c r="D917" s="19" t="str">
        <x:v>小和山店</x:v>
      </x:c>
      <x:c r="E917" s="19" t="str">
        <x:v>D13</x:v>
      </x:c>
      <x:c r="F917" s="19" t="str">
        <x:v>外婆菜炒蛋</x:v>
      </x:c>
      <x:c r="G917" s="20" t="n">
        <x:f>SUMIFS('7日销售明细'!$K$5:$K$2244,'7日销售明细'!$B$5:$B$2244,B917,'7日销售明细'!$D$5:$D$2244,C917,'7日销售明细'!$H$5:$H$2244,E917)</x:f>
        <x:v>15</x:v>
      </x:c>
      <x:c r="H917" s="35" t="n">
        <x:f>SUMIFS('7日销售明细'!$L$5:$L$2244,'7日销售明细'!$B$5:$B$2244,B917,'7日销售明细'!$D$5:$D$2244,C917,'7日销售明细'!$H$5:$H$2244,E917)</x:f>
        <x:v>270</x:v>
      </x:c>
      <x:c r="I917" s="35" t="n">
        <x:f>G917*XLOOKUP(E917,'菜品主数据'!$A$5:$A$24,'菜品主数据'!$G$5:$G$24,0)</x:f>
        <x:v>81.05999999999999</x:v>
      </x:c>
    </x:row>
    <x:row r="918">
      <x:c r="A918" s="19" t="str">
        <x:v>2026-07-10|S07|D14</x:v>
      </x:c>
      <x:c r="B918" s="34" t="n">
        <x:v>46213.5</x:v>
      </x:c>
      <x:c r="C918" s="19" t="str">
        <x:v>S07</x:v>
      </x:c>
      <x:c r="D918" s="19" t="str">
        <x:v>小和山店</x:v>
      </x:c>
      <x:c r="E918" s="19" t="str">
        <x:v>D14</x:v>
      </x:c>
      <x:c r="F918" s="19" t="str">
        <x:v>酸辣鸡杂</x:v>
      </x:c>
      <x:c r="G918" s="20" t="n">
        <x:f>SUMIFS('7日销售明细'!$K$5:$K$2244,'7日销售明细'!$B$5:$B$2244,B918,'7日销售明细'!$D$5:$D$2244,C918,'7日销售明细'!$H$5:$H$2244,E918)</x:f>
        <x:v>7</x:v>
      </x:c>
      <x:c r="H918" s="35" t="n">
        <x:f>SUMIFS('7日销售明细'!$L$5:$L$2244,'7日销售明细'!$B$5:$B$2244,B918,'7日销售明细'!$D$5:$D$2244,C918,'7日销售明细'!$H$5:$H$2244,E918)</x:f>
        <x:v>196</x:v>
      </x:c>
      <x:c r="I918" s="35" t="n">
        <x:f>G918*XLOOKUP(E918,'菜品主数据'!$A$5:$A$24,'菜品主数据'!$G$5:$G$24,0)</x:f>
        <x:v>58.20500000000001</x:v>
      </x:c>
    </x:row>
    <x:row r="919">
      <x:c r="A919" s="19" t="str">
        <x:v>2026-07-10|S07|D15</x:v>
      </x:c>
      <x:c r="B919" s="34" t="n">
        <x:v>46213.5</x:v>
      </x:c>
      <x:c r="C919" s="19" t="str">
        <x:v>S07</x:v>
      </x:c>
      <x:c r="D919" s="19" t="str">
        <x:v>小和山店</x:v>
      </x:c>
      <x:c r="E919" s="19" t="str">
        <x:v>D15</x:v>
      </x:c>
      <x:c r="F919" s="19" t="str">
        <x:v>湘西土匪猪肝</x:v>
      </x:c>
      <x:c r="G919" s="20" t="n">
        <x:f>SUMIFS('7日销售明细'!$K$5:$K$2244,'7日销售明细'!$B$5:$B$2244,B919,'7日销售明细'!$D$5:$D$2244,C919,'7日销售明细'!$H$5:$H$2244,E919)</x:f>
        <x:v>6</x:v>
      </x:c>
      <x:c r="H919" s="35" t="n">
        <x:f>SUMIFS('7日销售明细'!$L$5:$L$2244,'7日销售明细'!$B$5:$B$2244,B919,'7日销售明细'!$D$5:$D$2244,C919,'7日销售明细'!$H$5:$H$2244,E919)</x:f>
        <x:v>156</x:v>
      </x:c>
      <x:c r="I919" s="35" t="n">
        <x:f>G919*XLOOKUP(E919,'菜品主数据'!$A$5:$A$24,'菜品主数据'!$G$5:$G$24,0)</x:f>
        <x:v>38.256</x:v>
      </x:c>
    </x:row>
    <x:row r="920">
      <x:c r="A920" s="19" t="str">
        <x:v>2026-07-10|S07|D16</x:v>
      </x:c>
      <x:c r="B920" s="34" t="n">
        <x:v>46213.5</x:v>
      </x:c>
      <x:c r="C920" s="19" t="str">
        <x:v>S07</x:v>
      </x:c>
      <x:c r="D920" s="19" t="str">
        <x:v>小和山店</x:v>
      </x:c>
      <x:c r="E920" s="19" t="str">
        <x:v>D16</x:v>
      </x:c>
      <x:c r="F920" s="19" t="str">
        <x:v>小豆角炒五花</x:v>
      </x:c>
      <x:c r="G920" s="20" t="n">
        <x:f>SUMIFS('7日销售明细'!$K$5:$K$2244,'7日销售明细'!$B$5:$B$2244,B920,'7日销售明细'!$D$5:$D$2244,C920,'7日销售明细'!$H$5:$H$2244,E920)</x:f>
        <x:v>7</x:v>
      </x:c>
      <x:c r="H920" s="35" t="n">
        <x:f>SUMIFS('7日销售明细'!$L$5:$L$2244,'7日销售明细'!$B$5:$B$2244,B920,'7日销售明细'!$D$5:$D$2244,C920,'7日销售明细'!$H$5:$H$2244,E920)</x:f>
        <x:v>175</x:v>
      </x:c>
      <x:c r="I920" s="35" t="n">
        <x:f>G920*XLOOKUP(E920,'菜品主数据'!$A$5:$A$24,'菜品主数据'!$G$5:$G$24,0)</x:f>
        <x:v>57.288</x:v>
      </x:c>
    </x:row>
    <x:row r="921">
      <x:c r="A921" s="19" t="str">
        <x:v>2026-07-10|S07|D17</x:v>
      </x:c>
      <x:c r="B921" s="34" t="n">
        <x:v>46213.5</x:v>
      </x:c>
      <x:c r="C921" s="19" t="str">
        <x:v>S07</x:v>
      </x:c>
      <x:c r="D921" s="19" t="str">
        <x:v>小和山店</x:v>
      </x:c>
      <x:c r="E921" s="19" t="str">
        <x:v>D17</x:v>
      </x:c>
      <x:c r="F921" s="19" t="str">
        <x:v>蒜蓉粉丝虾</x:v>
      </x:c>
      <x:c r="G921" s="20" t="n">
        <x:f>SUMIFS('7日销售明细'!$K$5:$K$2244,'7日销售明细'!$B$5:$B$2244,B921,'7日销售明细'!$D$5:$D$2244,C921,'7日销售明细'!$H$5:$H$2244,E921)</x:f>
        <x:v>4</x:v>
      </x:c>
      <x:c r="H921" s="35" t="n">
        <x:f>SUMIFS('7日销售明细'!$L$5:$L$2244,'7日销售明细'!$B$5:$B$2244,B921,'7日销售明细'!$D$5:$D$2244,C921,'7日销售明细'!$H$5:$H$2244,E921)</x:f>
        <x:v>144</x:v>
      </x:c>
      <x:c r="I921" s="35" t="n">
        <x:f>G921*XLOOKUP(E921,'菜品主数据'!$A$5:$A$24,'菜品主数据'!$G$5:$G$24,0)</x:f>
        <x:v>54.376</x:v>
      </x:c>
    </x:row>
    <x:row r="922">
      <x:c r="A922" s="19" t="str">
        <x:v>2026-07-10|S07|D18</x:v>
      </x:c>
      <x:c r="B922" s="34" t="n">
        <x:v>46213.5</x:v>
      </x:c>
      <x:c r="C922" s="19" t="str">
        <x:v>S07</x:v>
      </x:c>
      <x:c r="D922" s="19" t="str">
        <x:v>小和山店</x:v>
      </x:c>
      <x:c r="E922" s="19" t="str">
        <x:v>D18</x:v>
      </x:c>
      <x:c r="F922" s="19" t="str">
        <x:v>青椒炒油麦菜</x:v>
      </x:c>
      <x:c r="G922" s="20" t="n">
        <x:f>SUMIFS('7日销售明细'!$K$5:$K$2244,'7日销售明细'!$B$5:$B$2244,B922,'7日销售明细'!$D$5:$D$2244,C922,'7日销售明细'!$H$5:$H$2244,E922)</x:f>
        <x:v>8</x:v>
      </x:c>
      <x:c r="H922" s="35" t="n">
        <x:f>SUMIFS('7日销售明细'!$L$5:$L$2244,'7日销售明细'!$B$5:$B$2244,B922,'7日销售明细'!$D$5:$D$2244,C922,'7日销售明细'!$H$5:$H$2244,E922)</x:f>
        <x:v>144</x:v>
      </x:c>
      <x:c r="I922" s="35" t="n">
        <x:f>G922*XLOOKUP(E922,'菜品主数据'!$A$5:$A$24,'菜品主数据'!$G$5:$G$24,0)</x:f>
        <x:v>25.407999999999994</x:v>
      </x:c>
    </x:row>
    <x:row r="923">
      <x:c r="A923" s="19" t="str">
        <x:v>2026-07-10|S07|D19</x:v>
      </x:c>
      <x:c r="B923" s="34" t="n">
        <x:v>46213.5</x:v>
      </x:c>
      <x:c r="C923" s="19" t="str">
        <x:v>S07</x:v>
      </x:c>
      <x:c r="D923" s="19" t="str">
        <x:v>小和山店</x:v>
      </x:c>
      <x:c r="E923" s="19" t="str">
        <x:v>D19</x:v>
      </x:c>
      <x:c r="F923" s="19" t="str">
        <x:v>酸萝卜炒鸡杂</x:v>
      </x:c>
      <x:c r="G923" s="20" t="n">
        <x:f>SUMIFS('7日销售明细'!$K$5:$K$2244,'7日销售明细'!$B$5:$B$2244,B923,'7日销售明细'!$D$5:$D$2244,C923,'7日销售明细'!$H$5:$H$2244,E923)</x:f>
        <x:v>6</x:v>
      </x:c>
      <x:c r="H923" s="35" t="n">
        <x:f>SUMIFS('7日销售明细'!$L$5:$L$2244,'7日销售明细'!$B$5:$B$2244,B923,'7日销售明细'!$D$5:$D$2244,C923,'7日销售明细'!$H$5:$H$2244,E923)</x:f>
        <x:v>150</x:v>
      </x:c>
      <x:c r="I923" s="35" t="n">
        <x:f>G923*XLOOKUP(E923,'菜品主数据'!$A$5:$A$24,'菜品主数据'!$G$5:$G$24,0)</x:f>
        <x:v>47.64</x:v>
      </x:c>
    </x:row>
    <x:row r="924">
      <x:c r="A924" s="19" t="str">
        <x:v>2026-07-10|S07|D20</x:v>
      </x:c>
      <x:c r="B924" s="34" t="n">
        <x:v>46213.5</x:v>
      </x:c>
      <x:c r="C924" s="19" t="str">
        <x:v>S07</x:v>
      </x:c>
      <x:c r="D924" s="19" t="str">
        <x:v>小和山店</x:v>
      </x:c>
      <x:c r="E924" s="19" t="str">
        <x:v>D20</x:v>
      </x:c>
      <x:c r="F924" s="19" t="str">
        <x:v>雪菜肉末青豆</x:v>
      </x:c>
      <x:c r="G924" s="20" t="n">
        <x:f>SUMIFS('7日销售明细'!$K$5:$K$2244,'7日销售明细'!$B$5:$B$2244,B924,'7日销售明细'!$D$5:$D$2244,C924,'7日销售明细'!$H$5:$H$2244,E924)</x:f>
        <x:v>8</x:v>
      </x:c>
      <x:c r="H924" s="35" t="n">
        <x:f>SUMIFS('7日销售明细'!$L$5:$L$2244,'7日销售明细'!$B$5:$B$2244,B924,'7日销售明细'!$D$5:$D$2244,C924,'7日销售明细'!$H$5:$H$2244,E924)</x:f>
        <x:v>144</x:v>
      </x:c>
      <x:c r="I924" s="35" t="n">
        <x:f>G924*XLOOKUP(E924,'菜品主数据'!$A$5:$A$24,'菜品主数据'!$G$5:$G$24,0)</x:f>
        <x:v>58.431999999999995</x:v>
      </x:c>
    </x:row>
    <x:row r="925">
      <x:c r="A925" s="19" t="str">
        <x:v>2026-07-11|S07|D01</x:v>
      </x:c>
      <x:c r="B925" s="34" t="n">
        <x:v>46214.5</x:v>
      </x:c>
      <x:c r="C925" s="19" t="str">
        <x:v>S07</x:v>
      </x:c>
      <x:c r="D925" s="19" t="str">
        <x:v>小和山店</x:v>
      </x:c>
      <x:c r="E925" s="19" t="str">
        <x:v>D01</x:v>
      </x:c>
      <x:c r="F925" s="19" t="str">
        <x:v>辣椒炒肉</x:v>
      </x:c>
      <x:c r="G925" s="20" t="n">
        <x:f>SUMIFS('7日销售明细'!$K$5:$K$2244,'7日销售明细'!$B$5:$B$2244,B925,'7日销售明细'!$D$5:$D$2244,C925,'7日销售明细'!$H$5:$H$2244,E925)</x:f>
        <x:v>34</x:v>
      </x:c>
      <x:c r="H925" s="35" t="n">
        <x:f>SUMIFS('7日销售明细'!$L$5:$L$2244,'7日销售明细'!$B$5:$B$2244,B925,'7日销售明细'!$D$5:$D$2244,C925,'7日销售明细'!$H$5:$H$2244,E925)</x:f>
        <x:v>986</x:v>
      </x:c>
      <x:c r="I925" s="35" t="n">
        <x:f>G925*XLOOKUP(E925,'菜品主数据'!$A$5:$A$24,'菜品主数据'!$G$5:$G$24,0)</x:f>
        <x:v>293.56960000000004</x:v>
      </x:c>
    </x:row>
    <x:row r="926">
      <x:c r="A926" s="19" t="str">
        <x:v>2026-07-11|S07|D02</x:v>
      </x:c>
      <x:c r="B926" s="34" t="n">
        <x:v>46214.5</x:v>
      </x:c>
      <x:c r="C926" s="19" t="str">
        <x:v>S07</x:v>
      </x:c>
      <x:c r="D926" s="19" t="str">
        <x:v>小和山店</x:v>
      </x:c>
      <x:c r="E926" s="19" t="str">
        <x:v>D02</x:v>
      </x:c>
      <x:c r="F926" s="19" t="str">
        <x:v>小炒黄牛肉</x:v>
      </x:c>
      <x:c r="G926" s="20" t="n">
        <x:f>SUMIFS('7日销售明细'!$K$5:$K$2244,'7日销售明细'!$B$5:$B$2244,B926,'7日销售明细'!$D$5:$D$2244,C926,'7日销售明细'!$H$5:$H$2244,E926)</x:f>
        <x:v>25</x:v>
      </x:c>
      <x:c r="H926" s="35" t="n">
        <x:f>SUMIFS('7日销售明细'!$L$5:$L$2244,'7日销售明细'!$B$5:$B$2244,B926,'7日销售明细'!$D$5:$D$2244,C926,'7日销售明细'!$H$5:$H$2244,E926)</x:f>
        <x:v>1225</x:v>
      </x:c>
      <x:c r="I926" s="35" t="n">
        <x:f>G926*XLOOKUP(E926,'菜品主数据'!$A$5:$A$24,'菜品主数据'!$G$5:$G$24,0)</x:f>
        <x:v>439.42500000000007</x:v>
      </x:c>
    </x:row>
    <x:row r="927">
      <x:c r="A927" s="19" t="str">
        <x:v>2026-07-11|S07|D03</x:v>
      </x:c>
      <x:c r="B927" s="34" t="n">
        <x:v>46214.5</x:v>
      </x:c>
      <x:c r="C927" s="19" t="str">
        <x:v>S07</x:v>
      </x:c>
      <x:c r="D927" s="19" t="str">
        <x:v>小和山店</x:v>
      </x:c>
      <x:c r="E927" s="19" t="str">
        <x:v>D03</x:v>
      </x:c>
      <x:c r="F927" s="19" t="str">
        <x:v>香醋炒蛋</x:v>
      </x:c>
      <x:c r="G927" s="20" t="n">
        <x:f>SUMIFS('7日销售明细'!$K$5:$K$2244,'7日销售明细'!$B$5:$B$2244,B927,'7日销售明细'!$D$5:$D$2244,C927,'7日销售明细'!$H$5:$H$2244,E927)</x:f>
        <x:v>30</x:v>
      </x:c>
      <x:c r="H927" s="35" t="n">
        <x:f>SUMIFS('7日销售明细'!$L$5:$L$2244,'7日销售明细'!$B$5:$B$2244,B927,'7日销售明细'!$D$5:$D$2244,C927,'7日销售明细'!$H$5:$H$2244,E927)</x:f>
        <x:v>447</x:v>
      </x:c>
      <x:c r="I927" s="35" t="n">
        <x:f>G927*XLOOKUP(E927,'菜品主数据'!$A$5:$A$24,'菜品主数据'!$G$5:$G$24,0)</x:f>
        <x:v>112.37999999999998</x:v>
      </x:c>
    </x:row>
    <x:row r="928">
      <x:c r="A928" s="19" t="str">
        <x:v>2026-07-11|S07|D04</x:v>
      </x:c>
      <x:c r="B928" s="34" t="n">
        <x:v>46214.5</x:v>
      </x:c>
      <x:c r="C928" s="19" t="str">
        <x:v>S07</x:v>
      </x:c>
      <x:c r="D928" s="19" t="str">
        <x:v>小和山店</x:v>
      </x:c>
      <x:c r="E928" s="19" t="str">
        <x:v>D04</x:v>
      </x:c>
      <x:c r="F928" s="19" t="str">
        <x:v>酸包菜炒粉皮</x:v>
      </x:c>
      <x:c r="G928" s="20" t="n">
        <x:f>SUMIFS('7日销售明细'!$K$5:$K$2244,'7日销售明细'!$B$5:$B$2244,B928,'7日销售明细'!$D$5:$D$2244,C928,'7日销售明细'!$H$5:$H$2244,E928)</x:f>
        <x:v>25</x:v>
      </x:c>
      <x:c r="H928" s="35" t="n">
        <x:f>SUMIFS('7日销售明细'!$L$5:$L$2244,'7日销售明细'!$B$5:$B$2244,B928,'7日销售明细'!$D$5:$D$2244,C928,'7日销售明细'!$H$5:$H$2244,E928)</x:f>
        <x:v>400</x:v>
      </x:c>
      <x:c r="I928" s="35" t="n">
        <x:f>G928*XLOOKUP(E928,'菜品主数据'!$A$5:$A$24,'菜品主数据'!$G$5:$G$24,0)</x:f>
        <x:v>99.45</x:v>
      </x:c>
    </x:row>
    <x:row r="929">
      <x:c r="A929" s="19" t="str">
        <x:v>2026-07-11|S07|D05</x:v>
      </x:c>
      <x:c r="B929" s="34" t="n">
        <x:v>46214.5</x:v>
      </x:c>
      <x:c r="C929" s="19" t="str">
        <x:v>S07</x:v>
      </x:c>
      <x:c r="D929" s="19" t="str">
        <x:v>小和山店</x:v>
      </x:c>
      <x:c r="E929" s="19" t="str">
        <x:v>D05</x:v>
      </x:c>
      <x:c r="F929" s="19" t="str">
        <x:v>麻婆豆腐</x:v>
      </x:c>
      <x:c r="G929" s="20" t="n">
        <x:f>SUMIFS('7日销售明细'!$K$5:$K$2244,'7日销售明细'!$B$5:$B$2244,B929,'7日销售明细'!$D$5:$D$2244,C929,'7日销售明细'!$H$5:$H$2244,E929)</x:f>
        <x:v>35</x:v>
      </x:c>
      <x:c r="H929" s="35" t="n">
        <x:f>SUMIFS('7日销售明细'!$L$5:$L$2244,'7日销售明细'!$B$5:$B$2244,B929,'7日销售明细'!$D$5:$D$2244,C929,'7日销售明细'!$H$5:$H$2244,E929)</x:f>
        <x:v>346.5</x:v>
      </x:c>
      <x:c r="I929" s="35" t="n">
        <x:f>G929*XLOOKUP(E929,'菜品主数据'!$A$5:$A$24,'菜品主数据'!$G$5:$G$24,0)</x:f>
        <x:v>187.84500000000003</x:v>
      </x:c>
    </x:row>
    <x:row r="930">
      <x:c r="A930" s="19" t="str">
        <x:v>2026-07-11|S07|D06</x:v>
      </x:c>
      <x:c r="B930" s="34" t="n">
        <x:v>46214.5</x:v>
      </x:c>
      <x:c r="C930" s="19" t="str">
        <x:v>S07</x:v>
      </x:c>
      <x:c r="D930" s="19" t="str">
        <x:v>小和山店</x:v>
      </x:c>
      <x:c r="E930" s="19" t="str">
        <x:v>D06</x:v>
      </x:c>
      <x:c r="F930" s="19" t="str">
        <x:v>剁椒鱼头</x:v>
      </x:c>
      <x:c r="G930" s="20" t="n">
        <x:f>SUMIFS('7日销售明细'!$K$5:$K$2244,'7日销售明细'!$B$5:$B$2244,B930,'7日销售明细'!$D$5:$D$2244,C930,'7日销售明细'!$H$5:$H$2244,E930)</x:f>
        <x:v>9</x:v>
      </x:c>
      <x:c r="H930" s="35" t="n">
        <x:f>SUMIFS('7日销售明细'!$L$5:$L$2244,'7日销售明细'!$B$5:$B$2244,B930,'7日销售明细'!$D$5:$D$2244,C930,'7日销售明细'!$H$5:$H$2244,E930)</x:f>
        <x:v>351</x:v>
      </x:c>
      <x:c r="I930" s="35" t="n">
        <x:f>G930*XLOOKUP(E930,'菜品主数据'!$A$5:$A$24,'菜品主数据'!$G$5:$G$24,0)</x:f>
        <x:v>157.014</x:v>
      </x:c>
    </x:row>
    <x:row r="931">
      <x:c r="A931" s="19" t="str">
        <x:v>2026-07-11|S07|D07</x:v>
      </x:c>
      <x:c r="B931" s="34" t="n">
        <x:v>46214.5</x:v>
      </x:c>
      <x:c r="C931" s="19" t="str">
        <x:v>S07</x:v>
      </x:c>
      <x:c r="D931" s="19" t="str">
        <x:v>小和山店</x:v>
      </x:c>
      <x:c r="E931" s="19" t="str">
        <x:v>D07</x:v>
      </x:c>
      <x:c r="F931" s="19" t="str">
        <x:v>川味回锅肉</x:v>
      </x:c>
      <x:c r="G931" s="20" t="n">
        <x:f>SUMIFS('7日销售明细'!$K$5:$K$2244,'7日销售明细'!$B$5:$B$2244,B931,'7日销售明细'!$D$5:$D$2244,C931,'7日销售明细'!$H$5:$H$2244,E931)</x:f>
        <x:v>12</x:v>
      </x:c>
      <x:c r="H931" s="35" t="n">
        <x:f>SUMIFS('7日销售明细'!$L$5:$L$2244,'7日销售明细'!$B$5:$B$2244,B931,'7日销售明细'!$D$5:$D$2244,C931,'7日销售明细'!$H$5:$H$2244,E931)</x:f>
        <x:v>348</x:v>
      </x:c>
      <x:c r="I931" s="35" t="n">
        <x:f>G931*XLOOKUP(E931,'菜品主数据'!$A$5:$A$24,'菜品主数据'!$G$5:$G$24,0)</x:f>
        <x:v>122.77200000000002</x:v>
      </x:c>
    </x:row>
    <x:row r="932">
      <x:c r="A932" s="19" t="str">
        <x:v>2026-07-11|S07|D08</x:v>
      </x:c>
      <x:c r="B932" s="34" t="n">
        <x:v>46214.5</x:v>
      </x:c>
      <x:c r="C932" s="19" t="str">
        <x:v>S07</x:v>
      </x:c>
      <x:c r="D932" s="19" t="str">
        <x:v>小和山店</x:v>
      </x:c>
      <x:c r="E932" s="19" t="str">
        <x:v>D08</x:v>
      </x:c>
      <x:c r="F932" s="19" t="str">
        <x:v>生炒清远鸡</x:v>
      </x:c>
      <x:c r="G932" s="20" t="n">
        <x:f>SUMIFS('7日销售明细'!$K$5:$K$2244,'7日销售明细'!$B$5:$B$2244,B932,'7日销售明细'!$D$5:$D$2244,C932,'7日销售明细'!$H$5:$H$2244,E932)</x:f>
        <x:v>7</x:v>
      </x:c>
      <x:c r="H932" s="35" t="n">
        <x:f>SUMIFS('7日销售明细'!$L$5:$L$2244,'7日销售明细'!$B$5:$B$2244,B932,'7日销售明细'!$D$5:$D$2244,C932,'7日销售明细'!$H$5:$H$2244,E932)</x:f>
        <x:v>252</x:v>
      </x:c>
      <x:c r="I932" s="35" t="n">
        <x:f>G932*XLOOKUP(E932,'菜品主数据'!$A$5:$A$24,'菜品主数据'!$G$5:$G$24,0)</x:f>
        <x:v>94.36</x:v>
      </x:c>
    </x:row>
    <x:row r="933">
      <x:c r="A933" s="19" t="str">
        <x:v>2026-07-11|S07|D09</x:v>
      </x:c>
      <x:c r="B933" s="34" t="n">
        <x:v>46214.5</x:v>
      </x:c>
      <x:c r="C933" s="19" t="str">
        <x:v>S07</x:v>
      </x:c>
      <x:c r="D933" s="19" t="str">
        <x:v>小和山店</x:v>
      </x:c>
      <x:c r="E933" s="19" t="str">
        <x:v>D09</x:v>
      </x:c>
      <x:c r="F933" s="19" t="str">
        <x:v>炒豆干</x:v>
      </x:c>
      <x:c r="G933" s="20" t="n">
        <x:f>SUMIFS('7日销售明细'!$K$5:$K$2244,'7日销售明细'!$B$5:$B$2244,B933,'7日销售明细'!$D$5:$D$2244,C933,'7日销售明细'!$H$5:$H$2244,E933)</x:f>
        <x:v>12</x:v>
      </x:c>
      <x:c r="H933" s="35" t="n">
        <x:f>SUMIFS('7日销售明细'!$L$5:$L$2244,'7日销售明细'!$B$5:$B$2244,B933,'7日销售明细'!$D$5:$D$2244,C933,'7日销售明细'!$H$5:$H$2244,E933)</x:f>
        <x:v>216</x:v>
      </x:c>
      <x:c r="I933" s="35" t="n">
        <x:f>G933*XLOOKUP(E933,'菜品主数据'!$A$5:$A$24,'菜品主数据'!$G$5:$G$24,0)</x:f>
        <x:v>79.368</x:v>
      </x:c>
    </x:row>
    <x:row r="934">
      <x:c r="A934" s="19" t="str">
        <x:v>2026-07-11|S07|D10</x:v>
      </x:c>
      <x:c r="B934" s="34" t="n">
        <x:v>46214.5</x:v>
      </x:c>
      <x:c r="C934" s="19" t="str">
        <x:v>S07</x:v>
      </x:c>
      <x:c r="D934" s="19" t="str">
        <x:v>小和山店</x:v>
      </x:c>
      <x:c r="E934" s="19" t="str">
        <x:v>D10</x:v>
      </x:c>
      <x:c r="F934" s="19" t="str">
        <x:v>农家一碗香</x:v>
      </x:c>
      <x:c r="G934" s="20" t="n">
        <x:f>SUMIFS('7日销售明细'!$K$5:$K$2244,'7日销售明细'!$B$5:$B$2244,B934,'7日销售明细'!$D$5:$D$2244,C934,'7日销售明细'!$H$5:$H$2244,E934)</x:f>
        <x:v>12</x:v>
      </x:c>
      <x:c r="H934" s="35" t="n">
        <x:f>SUMIFS('7日销售明细'!$L$5:$L$2244,'7日销售明细'!$B$5:$B$2244,B934,'7日销售明细'!$D$5:$D$2244,C934,'7日销售明细'!$H$5:$H$2244,E934)</x:f>
        <x:v>274.79999999999995</x:v>
      </x:c>
      <x:c r="I934" s="35" t="n">
        <x:f>G934*XLOOKUP(E934,'菜品主数据'!$A$5:$A$24,'菜品主数据'!$G$5:$G$24,0)</x:f>
        <x:v>117.24240000000003</x:v>
      </x:c>
    </x:row>
    <x:row r="935">
      <x:c r="A935" s="19" t="str">
        <x:v>2026-07-11|S07|D11</x:v>
      </x:c>
      <x:c r="B935" s="34" t="n">
        <x:v>46214.5</x:v>
      </x:c>
      <x:c r="C935" s="19" t="str">
        <x:v>S07</x:v>
      </x:c>
      <x:c r="D935" s="19" t="str">
        <x:v>小和山店</x:v>
      </x:c>
      <x:c r="E935" s="19" t="str">
        <x:v>D11</x:v>
      </x:c>
      <x:c r="F935" s="19" t="str">
        <x:v>香辣爆肥肠</x:v>
      </x:c>
      <x:c r="G935" s="20" t="n">
        <x:f>SUMIFS('7日销售明细'!$K$5:$K$2244,'7日销售明细'!$B$5:$B$2244,B935,'7日销售明细'!$D$5:$D$2244,C935,'7日销售明细'!$H$5:$H$2244,E935)</x:f>
        <x:v>5</x:v>
      </x:c>
      <x:c r="H935" s="35" t="n">
        <x:f>SUMIFS('7日销售明细'!$L$5:$L$2244,'7日销售明细'!$B$5:$B$2244,B935,'7日销售明细'!$D$5:$D$2244,C935,'7日销售明细'!$H$5:$H$2244,E935)</x:f>
        <x:v>195</x:v>
      </x:c>
      <x:c r="I935" s="35" t="n">
        <x:f>G935*XLOOKUP(E935,'菜品主数据'!$A$5:$A$24,'菜品主数据'!$G$5:$G$24,0)</x:f>
        <x:v>51.985</x:v>
      </x:c>
    </x:row>
    <x:row r="936">
      <x:c r="A936" s="19" t="str">
        <x:v>2026-07-11|S07|D12</x:v>
      </x:c>
      <x:c r="B936" s="34" t="n">
        <x:v>46214.5</x:v>
      </x:c>
      <x:c r="C936" s="19" t="str">
        <x:v>S07</x:v>
      </x:c>
      <x:c r="D936" s="19" t="str">
        <x:v>小和山店</x:v>
      </x:c>
      <x:c r="E936" s="19" t="str">
        <x:v>D12</x:v>
      </x:c>
      <x:c r="F936" s="19" t="str">
        <x:v>清蒸鲈鱼</x:v>
      </x:c>
      <x:c r="G936" s="20" t="n">
        <x:f>SUMIFS('7日销售明细'!$K$5:$K$2244,'7日销售明细'!$B$5:$B$2244,B936,'7日销售明细'!$D$5:$D$2244,C936,'7日销售明细'!$H$5:$H$2244,E936)</x:f>
        <x:v>5</x:v>
      </x:c>
      <x:c r="H936" s="35" t="n">
        <x:f>SUMIFS('7日销售明细'!$L$5:$L$2244,'7日销售明细'!$B$5:$B$2244,B936,'7日销售明细'!$D$5:$D$2244,C936,'7日销售明细'!$H$5:$H$2244,E936)</x:f>
        <x:v>195</x:v>
      </x:c>
      <x:c r="I936" s="35" t="n">
        <x:f>G936*XLOOKUP(E936,'菜品主数据'!$A$5:$A$24,'菜品主数据'!$G$5:$G$24,0)</x:f>
        <x:v>94.36999999999999</x:v>
      </x:c>
    </x:row>
    <x:row r="937">
      <x:c r="A937" s="19" t="str">
        <x:v>2026-07-11|S07|D13</x:v>
      </x:c>
      <x:c r="B937" s="34" t="n">
        <x:v>46214.5</x:v>
      </x:c>
      <x:c r="C937" s="19" t="str">
        <x:v>S07</x:v>
      </x:c>
      <x:c r="D937" s="19" t="str">
        <x:v>小和山店</x:v>
      </x:c>
      <x:c r="E937" s="19" t="str">
        <x:v>D13</x:v>
      </x:c>
      <x:c r="F937" s="19" t="str">
        <x:v>外婆菜炒蛋</x:v>
      </x:c>
      <x:c r="G937" s="20" t="n">
        <x:f>SUMIFS('7日销售明细'!$K$5:$K$2244,'7日销售明细'!$B$5:$B$2244,B937,'7日销售明细'!$D$5:$D$2244,C937,'7日销售明细'!$H$5:$H$2244,E937)</x:f>
        <x:v>11</x:v>
      </x:c>
      <x:c r="H937" s="35" t="n">
        <x:f>SUMIFS('7日销售明细'!$L$5:$L$2244,'7日销售明细'!$B$5:$B$2244,B937,'7日销售明细'!$D$5:$D$2244,C937,'7日销售明细'!$H$5:$H$2244,E937)</x:f>
        <x:v>198</x:v>
      </x:c>
      <x:c r="I937" s="35" t="n">
        <x:f>G937*XLOOKUP(E937,'菜品主数据'!$A$5:$A$24,'菜品主数据'!$G$5:$G$24,0)</x:f>
        <x:v>59.44399999999999</x:v>
      </x:c>
    </x:row>
    <x:row r="938">
      <x:c r="A938" s="19" t="str">
        <x:v>2026-07-11|S07|D14</x:v>
      </x:c>
      <x:c r="B938" s="34" t="n">
        <x:v>46214.5</x:v>
      </x:c>
      <x:c r="C938" s="19" t="str">
        <x:v>S07</x:v>
      </x:c>
      <x:c r="D938" s="19" t="str">
        <x:v>小和山店</x:v>
      </x:c>
      <x:c r="E938" s="19" t="str">
        <x:v>D14</x:v>
      </x:c>
      <x:c r="F938" s="19" t="str">
        <x:v>酸辣鸡杂</x:v>
      </x:c>
      <x:c r="G938" s="20" t="n">
        <x:f>SUMIFS('7日销售明细'!$K$5:$K$2244,'7日销售明细'!$B$5:$B$2244,B938,'7日销售明细'!$D$5:$D$2244,C938,'7日销售明细'!$H$5:$H$2244,E938)</x:f>
        <x:v>5</x:v>
      </x:c>
      <x:c r="H938" s="35" t="n">
        <x:f>SUMIFS('7日销售明细'!$L$5:$L$2244,'7日销售明细'!$B$5:$B$2244,B938,'7日销售明细'!$D$5:$D$2244,C938,'7日销售明细'!$H$5:$H$2244,E938)</x:f>
        <x:v>140</x:v>
      </x:c>
      <x:c r="I938" s="35" t="n">
        <x:f>G938*XLOOKUP(E938,'菜品主数据'!$A$5:$A$24,'菜品主数据'!$G$5:$G$24,0)</x:f>
        <x:v>41.575</x:v>
      </x:c>
    </x:row>
    <x:row r="939">
      <x:c r="A939" s="19" t="str">
        <x:v>2026-07-11|S07|D15</x:v>
      </x:c>
      <x:c r="B939" s="34" t="n">
        <x:v>46214.5</x:v>
      </x:c>
      <x:c r="C939" s="19" t="str">
        <x:v>S07</x:v>
      </x:c>
      <x:c r="D939" s="19" t="str">
        <x:v>小和山店</x:v>
      </x:c>
      <x:c r="E939" s="19" t="str">
        <x:v>D15</x:v>
      </x:c>
      <x:c r="F939" s="19" t="str">
        <x:v>湘西土匪猪肝</x:v>
      </x:c>
      <x:c r="G939" s="20" t="n">
        <x:f>SUMIFS('7日销售明细'!$K$5:$K$2244,'7日销售明细'!$B$5:$B$2244,B939,'7日销售明细'!$D$5:$D$2244,C939,'7日销售明细'!$H$5:$H$2244,E939)</x:f>
        <x:v>5</x:v>
      </x:c>
      <x:c r="H939" s="35" t="n">
        <x:f>SUMIFS('7日销售明细'!$L$5:$L$2244,'7日销售明细'!$B$5:$B$2244,B939,'7日销售明细'!$D$5:$D$2244,C939,'7日销售明细'!$H$5:$H$2244,E939)</x:f>
        <x:v>130</x:v>
      </x:c>
      <x:c r="I939" s="35" t="n">
        <x:f>G939*XLOOKUP(E939,'菜品主数据'!$A$5:$A$24,'菜品主数据'!$G$5:$G$24,0)</x:f>
        <x:v>31.879999999999995</x:v>
      </x:c>
    </x:row>
    <x:row r="940">
      <x:c r="A940" s="19" t="str">
        <x:v>2026-07-11|S07|D16</x:v>
      </x:c>
      <x:c r="B940" s="34" t="n">
        <x:v>46214.5</x:v>
      </x:c>
      <x:c r="C940" s="19" t="str">
        <x:v>S07</x:v>
      </x:c>
      <x:c r="D940" s="19" t="str">
        <x:v>小和山店</x:v>
      </x:c>
      <x:c r="E940" s="19" t="str">
        <x:v>D16</x:v>
      </x:c>
      <x:c r="F940" s="19" t="str">
        <x:v>小豆角炒五花</x:v>
      </x:c>
      <x:c r="G940" s="20" t="n">
        <x:f>SUMIFS('7日销售明细'!$K$5:$K$2244,'7日销售明细'!$B$5:$B$2244,B940,'7日销售明细'!$D$5:$D$2244,C940,'7日销售明细'!$H$5:$H$2244,E940)</x:f>
        <x:v>5</x:v>
      </x:c>
      <x:c r="H940" s="35" t="n">
        <x:f>SUMIFS('7日销售明细'!$L$5:$L$2244,'7日销售明细'!$B$5:$B$2244,B940,'7日销售明细'!$D$5:$D$2244,C940,'7日销售明细'!$H$5:$H$2244,E940)</x:f>
        <x:v>125</x:v>
      </x:c>
      <x:c r="I940" s="35" t="n">
        <x:f>G940*XLOOKUP(E940,'菜品主数据'!$A$5:$A$24,'菜品主数据'!$G$5:$G$24,0)</x:f>
        <x:v>40.919999999999995</x:v>
      </x:c>
    </x:row>
    <x:row r="941">
      <x:c r="A941" s="19" t="str">
        <x:v>2026-07-11|S07|D17</x:v>
      </x:c>
      <x:c r="B941" s="34" t="n">
        <x:v>46214.5</x:v>
      </x:c>
      <x:c r="C941" s="19" t="str">
        <x:v>S07</x:v>
      </x:c>
      <x:c r="D941" s="19" t="str">
        <x:v>小和山店</x:v>
      </x:c>
      <x:c r="E941" s="19" t="str">
        <x:v>D17</x:v>
      </x:c>
      <x:c r="F941" s="19" t="str">
        <x:v>蒜蓉粉丝虾</x:v>
      </x:c>
      <x:c r="G941" s="20" t="n">
        <x:f>SUMIFS('7日销售明细'!$K$5:$K$2244,'7日销售明细'!$B$5:$B$2244,B941,'7日销售明细'!$D$5:$D$2244,C941,'7日销售明细'!$H$5:$H$2244,E941)</x:f>
        <x:v>4</x:v>
      </x:c>
      <x:c r="H941" s="35" t="n">
        <x:f>SUMIFS('7日销售明细'!$L$5:$L$2244,'7日销售明细'!$B$5:$B$2244,B941,'7日销售明细'!$D$5:$D$2244,C941,'7日销售明细'!$H$5:$H$2244,E941)</x:f>
        <x:v>144</x:v>
      </x:c>
      <x:c r="I941" s="35" t="n">
        <x:f>G941*XLOOKUP(E941,'菜品主数据'!$A$5:$A$24,'菜品主数据'!$G$5:$G$24,0)</x:f>
        <x:v>54.376</x:v>
      </x:c>
    </x:row>
    <x:row r="942">
      <x:c r="A942" s="19" t="str">
        <x:v>2026-07-11|S07|D18</x:v>
      </x:c>
      <x:c r="B942" s="34" t="n">
        <x:v>46214.5</x:v>
      </x:c>
      <x:c r="C942" s="19" t="str">
        <x:v>S07</x:v>
      </x:c>
      <x:c r="D942" s="19" t="str">
        <x:v>小和山店</x:v>
      </x:c>
      <x:c r="E942" s="19" t="str">
        <x:v>D18</x:v>
      </x:c>
      <x:c r="F942" s="19" t="str">
        <x:v>青椒炒油麦菜</x:v>
      </x:c>
      <x:c r="G942" s="20" t="n">
        <x:f>SUMIFS('7日销售明细'!$K$5:$K$2244,'7日销售明细'!$B$5:$B$2244,B942,'7日销售明细'!$D$5:$D$2244,C942,'7日销售明细'!$H$5:$H$2244,E942)</x:f>
        <x:v>6</x:v>
      </x:c>
      <x:c r="H942" s="35" t="n">
        <x:f>SUMIFS('7日销售明细'!$L$5:$L$2244,'7日销售明细'!$B$5:$B$2244,B942,'7日销售明细'!$D$5:$D$2244,C942,'7日销售明细'!$H$5:$H$2244,E942)</x:f>
        <x:v>108</x:v>
      </x:c>
      <x:c r="I942" s="35" t="n">
        <x:f>G942*XLOOKUP(E942,'菜品主数据'!$A$5:$A$24,'菜品主数据'!$G$5:$G$24,0)</x:f>
        <x:v>19.055999999999997</x:v>
      </x:c>
    </x:row>
    <x:row r="943">
      <x:c r="A943" s="19" t="str">
        <x:v>2026-07-11|S07|D19</x:v>
      </x:c>
      <x:c r="B943" s="34" t="n">
        <x:v>46214.5</x:v>
      </x:c>
      <x:c r="C943" s="19" t="str">
        <x:v>S07</x:v>
      </x:c>
      <x:c r="D943" s="19" t="str">
        <x:v>小和山店</x:v>
      </x:c>
      <x:c r="E943" s="19" t="str">
        <x:v>D19</x:v>
      </x:c>
      <x:c r="F943" s="19" t="str">
        <x:v>酸萝卜炒鸡杂</x:v>
      </x:c>
      <x:c r="G943" s="20" t="n">
        <x:f>SUMIFS('7日销售明细'!$K$5:$K$2244,'7日销售明细'!$B$5:$B$2244,B943,'7日销售明细'!$D$5:$D$2244,C943,'7日销售明细'!$H$5:$H$2244,E943)</x:f>
        <x:v>4</x:v>
      </x:c>
      <x:c r="H943" s="35" t="n">
        <x:f>SUMIFS('7日销售明细'!$L$5:$L$2244,'7日销售明细'!$B$5:$B$2244,B943,'7日销售明细'!$D$5:$D$2244,C943,'7日销售明细'!$H$5:$H$2244,E943)</x:f>
        <x:v>100</x:v>
      </x:c>
      <x:c r="I943" s="35" t="n">
        <x:f>G943*XLOOKUP(E943,'菜品主数据'!$A$5:$A$24,'菜品主数据'!$G$5:$G$24,0)</x:f>
        <x:v>31.759999999999998</x:v>
      </x:c>
    </x:row>
    <x:row r="944">
      <x:c r="A944" s="19" t="str">
        <x:v>2026-07-11|S07|D20</x:v>
      </x:c>
      <x:c r="B944" s="34" t="n">
        <x:v>46214.5</x:v>
      </x:c>
      <x:c r="C944" s="19" t="str">
        <x:v>S07</x:v>
      </x:c>
      <x:c r="D944" s="19" t="str">
        <x:v>小和山店</x:v>
      </x:c>
      <x:c r="E944" s="19" t="str">
        <x:v>D20</x:v>
      </x:c>
      <x:c r="F944" s="19" t="str">
        <x:v>雪菜肉末青豆</x:v>
      </x:c>
      <x:c r="G944" s="20" t="n">
        <x:f>SUMIFS('7日销售明细'!$K$5:$K$2244,'7日销售明细'!$B$5:$B$2244,B944,'7日销售明细'!$D$5:$D$2244,C944,'7日销售明细'!$H$5:$H$2244,E944)</x:f>
        <x:v>6</x:v>
      </x:c>
      <x:c r="H944" s="35" t="n">
        <x:f>SUMIFS('7日销售明细'!$L$5:$L$2244,'7日销售明细'!$B$5:$B$2244,B944,'7日销售明细'!$D$5:$D$2244,C944,'7日销售明细'!$H$5:$H$2244,E944)</x:f>
        <x:v>108</x:v>
      </x:c>
      <x:c r="I944" s="35" t="n">
        <x:f>G944*XLOOKUP(E944,'菜品主数据'!$A$5:$A$24,'菜品主数据'!$G$5:$G$24,0)</x:f>
        <x:v>43.824</x:v>
      </x:c>
    </x:row>
    <x:row r="945">
      <x:c r="A945" s="19" t="str">
        <x:v>2026-07-12|S07|D01</x:v>
      </x:c>
      <x:c r="B945" s="34" t="n">
        <x:v>46215.5</x:v>
      </x:c>
      <x:c r="C945" s="19" t="str">
        <x:v>S07</x:v>
      </x:c>
      <x:c r="D945" s="19" t="str">
        <x:v>小和山店</x:v>
      </x:c>
      <x:c r="E945" s="19" t="str">
        <x:v>D01</x:v>
      </x:c>
      <x:c r="F945" s="19" t="str">
        <x:v>辣椒炒肉</x:v>
      </x:c>
      <x:c r="G945" s="20" t="n">
        <x:f>SUMIFS('7日销售明细'!$K$5:$K$2244,'7日销售明细'!$B$5:$B$2244,B945,'7日销售明细'!$D$5:$D$2244,C945,'7日销售明细'!$H$5:$H$2244,E945)</x:f>
        <x:v>35</x:v>
      </x:c>
      <x:c r="H945" s="35" t="n">
        <x:f>SUMIFS('7日销售明细'!$L$5:$L$2244,'7日销售明细'!$B$5:$B$2244,B945,'7日销售明细'!$D$5:$D$2244,C945,'7日销售明细'!$H$5:$H$2244,E945)</x:f>
        <x:v>1015</x:v>
      </x:c>
      <x:c r="I945" s="35" t="n">
        <x:f>G945*XLOOKUP(E945,'菜品主数据'!$A$5:$A$24,'菜品主数据'!$G$5:$G$24,0)</x:f>
        <x:v>302.20400000000006</x:v>
      </x:c>
    </x:row>
    <x:row r="946">
      <x:c r="A946" s="19" t="str">
        <x:v>2026-07-12|S07|D02</x:v>
      </x:c>
      <x:c r="B946" s="34" t="n">
        <x:v>46215.5</x:v>
      </x:c>
      <x:c r="C946" s="19" t="str">
        <x:v>S07</x:v>
      </x:c>
      <x:c r="D946" s="19" t="str">
        <x:v>小和山店</x:v>
      </x:c>
      <x:c r="E946" s="19" t="str">
        <x:v>D02</x:v>
      </x:c>
      <x:c r="F946" s="19" t="str">
        <x:v>小炒黄牛肉</x:v>
      </x:c>
      <x:c r="G946" s="20" t="n">
        <x:f>SUMIFS('7日销售明细'!$K$5:$K$2244,'7日销售明细'!$B$5:$B$2244,B946,'7日销售明细'!$D$5:$D$2244,C946,'7日销售明细'!$H$5:$H$2244,E946)</x:f>
        <x:v>25</x:v>
      </x:c>
      <x:c r="H946" s="35" t="n">
        <x:f>SUMIFS('7日销售明细'!$L$5:$L$2244,'7日销售明细'!$B$5:$B$2244,B946,'7日销售明细'!$D$5:$D$2244,C946,'7日销售明细'!$H$5:$H$2244,E946)</x:f>
        <x:v>1225</x:v>
      </x:c>
      <x:c r="I946" s="35" t="n">
        <x:f>G946*XLOOKUP(E946,'菜品主数据'!$A$5:$A$24,'菜品主数据'!$G$5:$G$24,0)</x:f>
        <x:v>439.42500000000007</x:v>
      </x:c>
    </x:row>
    <x:row r="947">
      <x:c r="A947" s="19" t="str">
        <x:v>2026-07-12|S07|D03</x:v>
      </x:c>
      <x:c r="B947" s="34" t="n">
        <x:v>46215.5</x:v>
      </x:c>
      <x:c r="C947" s="19" t="str">
        <x:v>S07</x:v>
      </x:c>
      <x:c r="D947" s="19" t="str">
        <x:v>小和山店</x:v>
      </x:c>
      <x:c r="E947" s="19" t="str">
        <x:v>D03</x:v>
      </x:c>
      <x:c r="F947" s="19" t="str">
        <x:v>香醋炒蛋</x:v>
      </x:c>
      <x:c r="G947" s="20" t="n">
        <x:f>SUMIFS('7日销售明细'!$K$5:$K$2244,'7日销售明细'!$B$5:$B$2244,B947,'7日销售明细'!$D$5:$D$2244,C947,'7日销售明细'!$H$5:$H$2244,E947)</x:f>
        <x:v>28</x:v>
      </x:c>
      <x:c r="H947" s="35" t="n">
        <x:f>SUMIFS('7日销售明细'!$L$5:$L$2244,'7日销售明细'!$B$5:$B$2244,B947,'7日销售明细'!$D$5:$D$2244,C947,'7日销售明细'!$H$5:$H$2244,E947)</x:f>
        <x:v>417.20000000000005</x:v>
      </x:c>
      <x:c r="I947" s="35" t="n">
        <x:f>G947*XLOOKUP(E947,'菜品主数据'!$A$5:$A$24,'菜品主数据'!$G$5:$G$24,0)</x:f>
        <x:v>104.88799999999999</x:v>
      </x:c>
    </x:row>
    <x:row r="948">
      <x:c r="A948" s="19" t="str">
        <x:v>2026-07-12|S07|D04</x:v>
      </x:c>
      <x:c r="B948" s="34" t="n">
        <x:v>46215.5</x:v>
      </x:c>
      <x:c r="C948" s="19" t="str">
        <x:v>S07</x:v>
      </x:c>
      <x:c r="D948" s="19" t="str">
        <x:v>小和山店</x:v>
      </x:c>
      <x:c r="E948" s="19" t="str">
        <x:v>D04</x:v>
      </x:c>
      <x:c r="F948" s="19" t="str">
        <x:v>酸包菜炒粉皮</x:v>
      </x:c>
      <x:c r="G948" s="20" t="n">
        <x:f>SUMIFS('7日销售明细'!$K$5:$K$2244,'7日销售明细'!$B$5:$B$2244,B948,'7日销售明细'!$D$5:$D$2244,C948,'7日销售明细'!$H$5:$H$2244,E948)</x:f>
        <x:v>26</x:v>
      </x:c>
      <x:c r="H948" s="35" t="n">
        <x:f>SUMIFS('7日销售明细'!$L$5:$L$2244,'7日销售明细'!$B$5:$B$2244,B948,'7日销售明细'!$D$5:$D$2244,C948,'7日销售明细'!$H$5:$H$2244,E948)</x:f>
        <x:v>416</x:v>
      </x:c>
      <x:c r="I948" s="35" t="n">
        <x:f>G948*XLOOKUP(E948,'菜品主数据'!$A$5:$A$24,'菜品主数据'!$G$5:$G$24,0)</x:f>
        <x:v>103.42800000000001</x:v>
      </x:c>
    </x:row>
    <x:row r="949">
      <x:c r="A949" s="19" t="str">
        <x:v>2026-07-12|S07|D05</x:v>
      </x:c>
      <x:c r="B949" s="34" t="n">
        <x:v>46215.5</x:v>
      </x:c>
      <x:c r="C949" s="19" t="str">
        <x:v>S07</x:v>
      </x:c>
      <x:c r="D949" s="19" t="str">
        <x:v>小和山店</x:v>
      </x:c>
      <x:c r="E949" s="19" t="str">
        <x:v>D05</x:v>
      </x:c>
      <x:c r="F949" s="19" t="str">
        <x:v>麻婆豆腐</x:v>
      </x:c>
      <x:c r="G949" s="20" t="n">
        <x:f>SUMIFS('7日销售明细'!$K$5:$K$2244,'7日销售明细'!$B$5:$B$2244,B949,'7日销售明细'!$D$5:$D$2244,C949,'7日销售明细'!$H$5:$H$2244,E949)</x:f>
        <x:v>36</x:v>
      </x:c>
      <x:c r="H949" s="35" t="n">
        <x:f>SUMIFS('7日销售明细'!$L$5:$L$2244,'7日销售明细'!$B$5:$B$2244,B949,'7日销售明细'!$D$5:$D$2244,C949,'7日销售明细'!$H$5:$H$2244,E949)</x:f>
        <x:v>356.4</x:v>
      </x:c>
      <x:c r="I949" s="35" t="n">
        <x:f>G949*XLOOKUP(E949,'菜品主数据'!$A$5:$A$24,'菜品主数据'!$G$5:$G$24,0)</x:f>
        <x:v>193.21200000000005</x:v>
      </x:c>
    </x:row>
    <x:row r="950">
      <x:c r="A950" s="19" t="str">
        <x:v>2026-07-12|S07|D06</x:v>
      </x:c>
      <x:c r="B950" s="34" t="n">
        <x:v>46215.5</x:v>
      </x:c>
      <x:c r="C950" s="19" t="str">
        <x:v>S07</x:v>
      </x:c>
      <x:c r="D950" s="19" t="str">
        <x:v>小和山店</x:v>
      </x:c>
      <x:c r="E950" s="19" t="str">
        <x:v>D06</x:v>
      </x:c>
      <x:c r="F950" s="19" t="str">
        <x:v>剁椒鱼头</x:v>
      </x:c>
      <x:c r="G950" s="20" t="n">
        <x:f>SUMIFS('7日销售明细'!$K$5:$K$2244,'7日销售明细'!$B$5:$B$2244,B950,'7日销售明细'!$D$5:$D$2244,C950,'7日销售明细'!$H$5:$H$2244,E950)</x:f>
        <x:v>8</x:v>
      </x:c>
      <x:c r="H950" s="35" t="n">
        <x:f>SUMIFS('7日销售明细'!$L$5:$L$2244,'7日销售明细'!$B$5:$B$2244,B950,'7日销售明细'!$D$5:$D$2244,C950,'7日销售明细'!$H$5:$H$2244,E950)</x:f>
        <x:v>312</x:v>
      </x:c>
      <x:c r="I950" s="35" t="n">
        <x:f>G950*XLOOKUP(E950,'菜品主数据'!$A$5:$A$24,'菜品主数据'!$G$5:$G$24,0)</x:f>
        <x:v>139.568</x:v>
      </x:c>
    </x:row>
    <x:row r="951">
      <x:c r="A951" s="19" t="str">
        <x:v>2026-07-12|S07|D07</x:v>
      </x:c>
      <x:c r="B951" s="34" t="n">
        <x:v>46215.5</x:v>
      </x:c>
      <x:c r="C951" s="19" t="str">
        <x:v>S07</x:v>
      </x:c>
      <x:c r="D951" s="19" t="str">
        <x:v>小和山店</x:v>
      </x:c>
      <x:c r="E951" s="19" t="str">
        <x:v>D07</x:v>
      </x:c>
      <x:c r="F951" s="19" t="str">
        <x:v>川味回锅肉</x:v>
      </x:c>
      <x:c r="G951" s="20" t="n">
        <x:f>SUMIFS('7日销售明细'!$K$5:$K$2244,'7日销售明细'!$B$5:$B$2244,B951,'7日销售明细'!$D$5:$D$2244,C951,'7日销售明细'!$H$5:$H$2244,E951)</x:f>
        <x:v>11</x:v>
      </x:c>
      <x:c r="H951" s="35" t="n">
        <x:f>SUMIFS('7日销售明细'!$L$5:$L$2244,'7日销售明细'!$B$5:$B$2244,B951,'7日销售明细'!$D$5:$D$2244,C951,'7日销售明细'!$H$5:$H$2244,E951)</x:f>
        <x:v>319</x:v>
      </x:c>
      <x:c r="I951" s="35" t="n">
        <x:f>G951*XLOOKUP(E951,'菜品主数据'!$A$5:$A$24,'菜品主数据'!$G$5:$G$24,0)</x:f>
        <x:v>112.54100000000003</x:v>
      </x:c>
    </x:row>
    <x:row r="952">
      <x:c r="A952" s="19" t="str">
        <x:v>2026-07-12|S07|D08</x:v>
      </x:c>
      <x:c r="B952" s="34" t="n">
        <x:v>46215.5</x:v>
      </x:c>
      <x:c r="C952" s="19" t="str">
        <x:v>S07</x:v>
      </x:c>
      <x:c r="D952" s="19" t="str">
        <x:v>小和山店</x:v>
      </x:c>
      <x:c r="E952" s="19" t="str">
        <x:v>D08</x:v>
      </x:c>
      <x:c r="F952" s="19" t="str">
        <x:v>生炒清远鸡</x:v>
      </x:c>
      <x:c r="G952" s="20" t="n">
        <x:f>SUMIFS('7日销售明细'!$K$5:$K$2244,'7日销售明细'!$B$5:$B$2244,B952,'7日销售明细'!$D$5:$D$2244,C952,'7日销售明细'!$H$5:$H$2244,E952)</x:f>
        <x:v>7</x:v>
      </x:c>
      <x:c r="H952" s="35" t="n">
        <x:f>SUMIFS('7日销售明细'!$L$5:$L$2244,'7日销售明细'!$B$5:$B$2244,B952,'7日销售明细'!$D$5:$D$2244,C952,'7日销售明细'!$H$5:$H$2244,E952)</x:f>
        <x:v>252</x:v>
      </x:c>
      <x:c r="I952" s="35" t="n">
        <x:f>G952*XLOOKUP(E952,'菜品主数据'!$A$5:$A$24,'菜品主数据'!$G$5:$G$24,0)</x:f>
        <x:v>94.36</x:v>
      </x:c>
    </x:row>
    <x:row r="953">
      <x:c r="A953" s="19" t="str">
        <x:v>2026-07-12|S07|D09</x:v>
      </x:c>
      <x:c r="B953" s="34" t="n">
        <x:v>46215.5</x:v>
      </x:c>
      <x:c r="C953" s="19" t="str">
        <x:v>S07</x:v>
      </x:c>
      <x:c r="D953" s="19" t="str">
        <x:v>小和山店</x:v>
      </x:c>
      <x:c r="E953" s="19" t="str">
        <x:v>D09</x:v>
      </x:c>
      <x:c r="F953" s="19" t="str">
        <x:v>炒豆干</x:v>
      </x:c>
      <x:c r="G953" s="20" t="n">
        <x:f>SUMIFS('7日销售明细'!$K$5:$K$2244,'7日销售明细'!$B$5:$B$2244,B953,'7日销售明细'!$D$5:$D$2244,C953,'7日销售明细'!$H$5:$H$2244,E953)</x:f>
        <x:v>12</x:v>
      </x:c>
      <x:c r="H953" s="35" t="n">
        <x:f>SUMIFS('7日销售明细'!$L$5:$L$2244,'7日销售明细'!$B$5:$B$2244,B953,'7日销售明细'!$D$5:$D$2244,C953,'7日销售明细'!$H$5:$H$2244,E953)</x:f>
        <x:v>216</x:v>
      </x:c>
      <x:c r="I953" s="35" t="n">
        <x:f>G953*XLOOKUP(E953,'菜品主数据'!$A$5:$A$24,'菜品主数据'!$G$5:$G$24,0)</x:f>
        <x:v>79.368</x:v>
      </x:c>
    </x:row>
    <x:row r="954">
      <x:c r="A954" s="19" t="str">
        <x:v>2026-07-12|S07|D10</x:v>
      </x:c>
      <x:c r="B954" s="34" t="n">
        <x:v>46215.5</x:v>
      </x:c>
      <x:c r="C954" s="19" t="str">
        <x:v>S07</x:v>
      </x:c>
      <x:c r="D954" s="19" t="str">
        <x:v>小和山店</x:v>
      </x:c>
      <x:c r="E954" s="19" t="str">
        <x:v>D10</x:v>
      </x:c>
      <x:c r="F954" s="19" t="str">
        <x:v>农家一碗香</x:v>
      </x:c>
      <x:c r="G954" s="20" t="n">
        <x:f>SUMIFS('7日销售明细'!$K$5:$K$2244,'7日销售明细'!$B$5:$B$2244,B954,'7日销售明细'!$D$5:$D$2244,C954,'7日销售明细'!$H$5:$H$2244,E954)</x:f>
        <x:v>11</x:v>
      </x:c>
      <x:c r="H954" s="35" t="n">
        <x:f>SUMIFS('7日销售明细'!$L$5:$L$2244,'7日销售明细'!$B$5:$B$2244,B954,'7日销售明细'!$D$5:$D$2244,C954,'7日销售明细'!$H$5:$H$2244,E954)</x:f>
        <x:v>251.9</x:v>
      </x:c>
      <x:c r="I954" s="35" t="n">
        <x:f>G954*XLOOKUP(E954,'菜品主数据'!$A$5:$A$24,'菜品主数据'!$G$5:$G$24,0)</x:f>
        <x:v>107.47220000000003</x:v>
      </x:c>
    </x:row>
    <x:row r="955">
      <x:c r="A955" s="19" t="str">
        <x:v>2026-07-12|S07|D11</x:v>
      </x:c>
      <x:c r="B955" s="34" t="n">
        <x:v>46215.5</x:v>
      </x:c>
      <x:c r="C955" s="19" t="str">
        <x:v>S07</x:v>
      </x:c>
      <x:c r="D955" s="19" t="str">
        <x:v>小和山店</x:v>
      </x:c>
      <x:c r="E955" s="19" t="str">
        <x:v>D11</x:v>
      </x:c>
      <x:c r="F955" s="19" t="str">
        <x:v>香辣爆肥肠</x:v>
      </x:c>
      <x:c r="G955" s="20" t="n">
        <x:f>SUMIFS('7日销售明细'!$K$5:$K$2244,'7日销售明细'!$B$5:$B$2244,B955,'7日销售明细'!$D$5:$D$2244,C955,'7日销售明细'!$H$5:$H$2244,E955)</x:f>
        <x:v>5</x:v>
      </x:c>
      <x:c r="H955" s="35" t="n">
        <x:f>SUMIFS('7日销售明细'!$L$5:$L$2244,'7日销售明细'!$B$5:$B$2244,B955,'7日销售明细'!$D$5:$D$2244,C955,'7日销售明细'!$H$5:$H$2244,E955)</x:f>
        <x:v>195</x:v>
      </x:c>
      <x:c r="I955" s="35" t="n">
        <x:f>G955*XLOOKUP(E955,'菜品主数据'!$A$5:$A$24,'菜品主数据'!$G$5:$G$24,0)</x:f>
        <x:v>51.985</x:v>
      </x:c>
    </x:row>
    <x:row r="956">
      <x:c r="A956" s="19" t="str">
        <x:v>2026-07-12|S07|D12</x:v>
      </x:c>
      <x:c r="B956" s="34" t="n">
        <x:v>46215.5</x:v>
      </x:c>
      <x:c r="C956" s="19" t="str">
        <x:v>S07</x:v>
      </x:c>
      <x:c r="D956" s="19" t="str">
        <x:v>小和山店</x:v>
      </x:c>
      <x:c r="E956" s="19" t="str">
        <x:v>D12</x:v>
      </x:c>
      <x:c r="F956" s="19" t="str">
        <x:v>清蒸鲈鱼</x:v>
      </x:c>
      <x:c r="G956" s="20" t="n">
        <x:f>SUMIFS('7日销售明细'!$K$5:$K$2244,'7日销售明细'!$B$5:$B$2244,B956,'7日销售明细'!$D$5:$D$2244,C956,'7日销售明细'!$H$5:$H$2244,E956)</x:f>
        <x:v>4</x:v>
      </x:c>
      <x:c r="H956" s="35" t="n">
        <x:f>SUMIFS('7日销售明细'!$L$5:$L$2244,'7日销售明细'!$B$5:$B$2244,B956,'7日销售明细'!$D$5:$D$2244,C956,'7日销售明细'!$H$5:$H$2244,E956)</x:f>
        <x:v>156</x:v>
      </x:c>
      <x:c r="I956" s="35" t="n">
        <x:f>G956*XLOOKUP(E956,'菜品主数据'!$A$5:$A$24,'菜品主数据'!$G$5:$G$24,0)</x:f>
        <x:v>75.496</x:v>
      </x:c>
    </x:row>
    <x:row r="957">
      <x:c r="A957" s="19" t="str">
        <x:v>2026-07-12|S07|D13</x:v>
      </x:c>
      <x:c r="B957" s="34" t="n">
        <x:v>46215.5</x:v>
      </x:c>
      <x:c r="C957" s="19" t="str">
        <x:v>S07</x:v>
      </x:c>
      <x:c r="D957" s="19" t="str">
        <x:v>小和山店</x:v>
      </x:c>
      <x:c r="E957" s="19" t="str">
        <x:v>D13</x:v>
      </x:c>
      <x:c r="F957" s="19" t="str">
        <x:v>外婆菜炒蛋</x:v>
      </x:c>
      <x:c r="G957" s="20" t="n">
        <x:f>SUMIFS('7日销售明细'!$K$5:$K$2244,'7日销售明细'!$B$5:$B$2244,B957,'7日销售明细'!$D$5:$D$2244,C957,'7日销售明细'!$H$5:$H$2244,E957)</x:f>
        <x:v>11</x:v>
      </x:c>
      <x:c r="H957" s="35" t="n">
        <x:f>SUMIFS('7日销售明细'!$L$5:$L$2244,'7日销售明细'!$B$5:$B$2244,B957,'7日销售明细'!$D$5:$D$2244,C957,'7日销售明细'!$H$5:$H$2244,E957)</x:f>
        <x:v>198</x:v>
      </x:c>
      <x:c r="I957" s="35" t="n">
        <x:f>G957*XLOOKUP(E957,'菜品主数据'!$A$5:$A$24,'菜品主数据'!$G$5:$G$24,0)</x:f>
        <x:v>59.44399999999999</x:v>
      </x:c>
    </x:row>
    <x:row r="958">
      <x:c r="A958" s="19" t="str">
        <x:v>2026-07-12|S07|D14</x:v>
      </x:c>
      <x:c r="B958" s="34" t="n">
        <x:v>46215.5</x:v>
      </x:c>
      <x:c r="C958" s="19" t="str">
        <x:v>S07</x:v>
      </x:c>
      <x:c r="D958" s="19" t="str">
        <x:v>小和山店</x:v>
      </x:c>
      <x:c r="E958" s="19" t="str">
        <x:v>D14</x:v>
      </x:c>
      <x:c r="F958" s="19" t="str">
        <x:v>酸辣鸡杂</x:v>
      </x:c>
      <x:c r="G958" s="20" t="n">
        <x:f>SUMIFS('7日销售明细'!$K$5:$K$2244,'7日销售明细'!$B$5:$B$2244,B958,'7日销售明细'!$D$5:$D$2244,C958,'7日销售明细'!$H$5:$H$2244,E958)</x:f>
        <x:v>5</x:v>
      </x:c>
      <x:c r="H958" s="35" t="n">
        <x:f>SUMIFS('7日销售明细'!$L$5:$L$2244,'7日销售明细'!$B$5:$B$2244,B958,'7日销售明细'!$D$5:$D$2244,C958,'7日销售明细'!$H$5:$H$2244,E958)</x:f>
        <x:v>140</x:v>
      </x:c>
      <x:c r="I958" s="35" t="n">
        <x:f>G958*XLOOKUP(E958,'菜品主数据'!$A$5:$A$24,'菜品主数据'!$G$5:$G$24,0)</x:f>
        <x:v>41.575</x:v>
      </x:c>
    </x:row>
    <x:row r="959">
      <x:c r="A959" s="19" t="str">
        <x:v>2026-07-12|S07|D15</x:v>
      </x:c>
      <x:c r="B959" s="34" t="n">
        <x:v>46215.5</x:v>
      </x:c>
      <x:c r="C959" s="19" t="str">
        <x:v>S07</x:v>
      </x:c>
      <x:c r="D959" s="19" t="str">
        <x:v>小和山店</x:v>
      </x:c>
      <x:c r="E959" s="19" t="str">
        <x:v>D15</x:v>
      </x:c>
      <x:c r="F959" s="19" t="str">
        <x:v>湘西土匪猪肝</x:v>
      </x:c>
      <x:c r="G959" s="20" t="n">
        <x:f>SUMIFS('7日销售明细'!$K$5:$K$2244,'7日销售明细'!$B$5:$B$2244,B959,'7日销售明细'!$D$5:$D$2244,C959,'7日销售明细'!$H$5:$H$2244,E959)</x:f>
        <x:v>5</x:v>
      </x:c>
      <x:c r="H959" s="35" t="n">
        <x:f>SUMIFS('7日销售明细'!$L$5:$L$2244,'7日销售明细'!$B$5:$B$2244,B959,'7日销售明细'!$D$5:$D$2244,C959,'7日销售明细'!$H$5:$H$2244,E959)</x:f>
        <x:v>130</x:v>
      </x:c>
      <x:c r="I959" s="35" t="n">
        <x:f>G959*XLOOKUP(E959,'菜品主数据'!$A$5:$A$24,'菜品主数据'!$G$5:$G$24,0)</x:f>
        <x:v>31.879999999999995</x:v>
      </x:c>
    </x:row>
    <x:row r="960">
      <x:c r="A960" s="19" t="str">
        <x:v>2026-07-12|S07|D16</x:v>
      </x:c>
      <x:c r="B960" s="34" t="n">
        <x:v>46215.5</x:v>
      </x:c>
      <x:c r="C960" s="19" t="str">
        <x:v>S07</x:v>
      </x:c>
      <x:c r="D960" s="19" t="str">
        <x:v>小和山店</x:v>
      </x:c>
      <x:c r="E960" s="19" t="str">
        <x:v>D16</x:v>
      </x:c>
      <x:c r="F960" s="19" t="str">
        <x:v>小豆角炒五花</x:v>
      </x:c>
      <x:c r="G960" s="20" t="n">
        <x:f>SUMIFS('7日销售明细'!$K$5:$K$2244,'7日销售明细'!$B$5:$B$2244,B960,'7日销售明细'!$D$5:$D$2244,C960,'7日销售明细'!$H$5:$H$2244,E960)</x:f>
        <x:v>5</x:v>
      </x:c>
      <x:c r="H960" s="35" t="n">
        <x:f>SUMIFS('7日销售明细'!$L$5:$L$2244,'7日销售明细'!$B$5:$B$2244,B960,'7日销售明细'!$D$5:$D$2244,C960,'7日销售明细'!$H$5:$H$2244,E960)</x:f>
        <x:v>125</x:v>
      </x:c>
      <x:c r="I960" s="35" t="n">
        <x:f>G960*XLOOKUP(E960,'菜品主数据'!$A$5:$A$24,'菜品主数据'!$G$5:$G$24,0)</x:f>
        <x:v>40.919999999999995</x:v>
      </x:c>
    </x:row>
    <x:row r="961">
      <x:c r="A961" s="19" t="str">
        <x:v>2026-07-12|S07|D17</x:v>
      </x:c>
      <x:c r="B961" s="34" t="n">
        <x:v>46215.5</x:v>
      </x:c>
      <x:c r="C961" s="19" t="str">
        <x:v>S07</x:v>
      </x:c>
      <x:c r="D961" s="19" t="str">
        <x:v>小和山店</x:v>
      </x:c>
      <x:c r="E961" s="19" t="str">
        <x:v>D17</x:v>
      </x:c>
      <x:c r="F961" s="19" t="str">
        <x:v>蒜蓉粉丝虾</x:v>
      </x:c>
      <x:c r="G961" s="20" t="n">
        <x:f>SUMIFS('7日销售明细'!$K$5:$K$2244,'7日销售明细'!$B$5:$B$2244,B961,'7日销售明细'!$D$5:$D$2244,C961,'7日销售明细'!$H$5:$H$2244,E961)</x:f>
        <x:v>3</x:v>
      </x:c>
      <x:c r="H961" s="35" t="n">
        <x:f>SUMIFS('7日销售明细'!$L$5:$L$2244,'7日销售明细'!$B$5:$B$2244,B961,'7日销售明细'!$D$5:$D$2244,C961,'7日销售明细'!$H$5:$H$2244,E961)</x:f>
        <x:v>108</x:v>
      </x:c>
      <x:c r="I961" s="35" t="n">
        <x:f>G961*XLOOKUP(E961,'菜品主数据'!$A$5:$A$24,'菜品主数据'!$G$5:$G$24,0)</x:f>
        <x:v>40.782</x:v>
      </x:c>
    </x:row>
    <x:row r="962">
      <x:c r="A962" s="19" t="str">
        <x:v>2026-07-12|S07|D18</x:v>
      </x:c>
      <x:c r="B962" s="34" t="n">
        <x:v>46215.5</x:v>
      </x:c>
      <x:c r="C962" s="19" t="str">
        <x:v>S07</x:v>
      </x:c>
      <x:c r="D962" s="19" t="str">
        <x:v>小和山店</x:v>
      </x:c>
      <x:c r="E962" s="19" t="str">
        <x:v>D18</x:v>
      </x:c>
      <x:c r="F962" s="19" t="str">
        <x:v>青椒炒油麦菜</x:v>
      </x:c>
      <x:c r="G962" s="20" t="n">
        <x:f>SUMIFS('7日销售明细'!$K$5:$K$2244,'7日销售明细'!$B$5:$B$2244,B962,'7日销售明细'!$D$5:$D$2244,C962,'7日销售明细'!$H$5:$H$2244,E962)</x:f>
        <x:v>6</x:v>
      </x:c>
      <x:c r="H962" s="35" t="n">
        <x:f>SUMIFS('7日销售明细'!$L$5:$L$2244,'7日销售明细'!$B$5:$B$2244,B962,'7日销售明细'!$D$5:$D$2244,C962,'7日销售明细'!$H$5:$H$2244,E962)</x:f>
        <x:v>108</x:v>
      </x:c>
      <x:c r="I962" s="35" t="n">
        <x:f>G962*XLOOKUP(E962,'菜品主数据'!$A$5:$A$24,'菜品主数据'!$G$5:$G$24,0)</x:f>
        <x:v>19.055999999999997</x:v>
      </x:c>
    </x:row>
    <x:row r="963">
      <x:c r="A963" s="19" t="str">
        <x:v>2026-07-12|S07|D19</x:v>
      </x:c>
      <x:c r="B963" s="34" t="n">
        <x:v>46215.5</x:v>
      </x:c>
      <x:c r="C963" s="19" t="str">
        <x:v>S07</x:v>
      </x:c>
      <x:c r="D963" s="19" t="str">
        <x:v>小和山店</x:v>
      </x:c>
      <x:c r="E963" s="19" t="str">
        <x:v>D19</x:v>
      </x:c>
      <x:c r="F963" s="19" t="str">
        <x:v>酸萝卜炒鸡杂</x:v>
      </x:c>
      <x:c r="G963" s="20" t="n">
        <x:f>SUMIFS('7日销售明细'!$K$5:$K$2244,'7日销售明细'!$B$5:$B$2244,B963,'7日销售明细'!$D$5:$D$2244,C963,'7日销售明细'!$H$5:$H$2244,E963)</x:f>
        <x:v>4</x:v>
      </x:c>
      <x:c r="H963" s="35" t="n">
        <x:f>SUMIFS('7日销售明细'!$L$5:$L$2244,'7日销售明细'!$B$5:$B$2244,B963,'7日销售明细'!$D$5:$D$2244,C963,'7日销售明细'!$H$5:$H$2244,E963)</x:f>
        <x:v>100</x:v>
      </x:c>
      <x:c r="I963" s="35" t="n">
        <x:f>G963*XLOOKUP(E963,'菜品主数据'!$A$5:$A$24,'菜品主数据'!$G$5:$G$24,0)</x:f>
        <x:v>31.759999999999998</x:v>
      </x:c>
    </x:row>
    <x:row r="964">
      <x:c r="A964" s="19" t="str">
        <x:v>2026-07-12|S07|D20</x:v>
      </x:c>
      <x:c r="B964" s="34" t="n">
        <x:v>46215.5</x:v>
      </x:c>
      <x:c r="C964" s="19" t="str">
        <x:v>S07</x:v>
      </x:c>
      <x:c r="D964" s="19" t="str">
        <x:v>小和山店</x:v>
      </x:c>
      <x:c r="E964" s="19" t="str">
        <x:v>D20</x:v>
      </x:c>
      <x:c r="F964" s="19" t="str">
        <x:v>雪菜肉末青豆</x:v>
      </x:c>
      <x:c r="G964" s="20" t="n">
        <x:f>SUMIFS('7日销售明细'!$K$5:$K$2244,'7日销售明细'!$B$5:$B$2244,B964,'7日销售明细'!$D$5:$D$2244,C964,'7日销售明细'!$H$5:$H$2244,E964)</x:f>
        <x:v>5</x:v>
      </x:c>
      <x:c r="H964" s="35" t="n">
        <x:f>SUMIFS('7日销售明细'!$L$5:$L$2244,'7日销售明细'!$B$5:$B$2244,B964,'7日销售明细'!$D$5:$D$2244,C964,'7日销售明细'!$H$5:$H$2244,E964)</x:f>
        <x:v>90</x:v>
      </x:c>
      <x:c r="I964" s="35" t="n">
        <x:f>G964*XLOOKUP(E964,'菜品主数据'!$A$5:$A$24,'菜品主数据'!$G$5:$G$24,0)</x:f>
        <x:v>36.519999999999996</x:v>
      </x:c>
    </x:row>
    <x:row r="965">
      <x:c r="A965" s="19" t="str">
        <x:v>2026-07-13|S07|D01</x:v>
      </x:c>
      <x:c r="B965" s="34" t="n">
        <x:v>46216.5</x:v>
      </x:c>
      <x:c r="C965" s="19" t="str">
        <x:v>S07</x:v>
      </x:c>
      <x:c r="D965" s="19" t="str">
        <x:v>小和山店</x:v>
      </x:c>
      <x:c r="E965" s="19" t="str">
        <x:v>D01</x:v>
      </x:c>
      <x:c r="F965" s="19" t="str">
        <x:v>辣椒炒肉</x:v>
      </x:c>
      <x:c r="G965" s="20" t="n">
        <x:f>SUMIFS('7日销售明细'!$K$5:$K$2244,'7日销售明细'!$B$5:$B$2244,B965,'7日销售明细'!$D$5:$D$2244,C965,'7日销售明细'!$H$5:$H$2244,E965)</x:f>
        <x:v>46</x:v>
      </x:c>
      <x:c r="H965" s="35" t="n">
        <x:f>SUMIFS('7日销售明细'!$L$5:$L$2244,'7日销售明细'!$B$5:$B$2244,B965,'7日销售明细'!$D$5:$D$2244,C965,'7日销售明细'!$H$5:$H$2244,E965)</x:f>
        <x:v>1334</x:v>
      </x:c>
      <x:c r="I965" s="35" t="n">
        <x:f>G965*XLOOKUP(E965,'菜品主数据'!$A$5:$A$24,'菜品主数据'!$G$5:$G$24,0)</x:f>
        <x:v>397.18240000000003</x:v>
      </x:c>
    </x:row>
    <x:row r="966">
      <x:c r="A966" s="19" t="str">
        <x:v>2026-07-13|S07|D02</x:v>
      </x:c>
      <x:c r="B966" s="34" t="n">
        <x:v>46216.5</x:v>
      </x:c>
      <x:c r="C966" s="19" t="str">
        <x:v>S07</x:v>
      </x:c>
      <x:c r="D966" s="19" t="str">
        <x:v>小和山店</x:v>
      </x:c>
      <x:c r="E966" s="19" t="str">
        <x:v>D02</x:v>
      </x:c>
      <x:c r="F966" s="19" t="str">
        <x:v>小炒黄牛肉</x:v>
      </x:c>
      <x:c r="G966" s="20" t="n">
        <x:f>SUMIFS('7日销售明细'!$K$5:$K$2244,'7日销售明细'!$B$5:$B$2244,B966,'7日销售明细'!$D$5:$D$2244,C966,'7日销售明细'!$H$5:$H$2244,E966)</x:f>
        <x:v>34</x:v>
      </x:c>
      <x:c r="H966" s="35" t="n">
        <x:f>SUMIFS('7日销售明细'!$L$5:$L$2244,'7日销售明细'!$B$5:$B$2244,B966,'7日销售明细'!$D$5:$D$2244,C966,'7日销售明细'!$H$5:$H$2244,E966)</x:f>
        <x:v>1666</x:v>
      </x:c>
      <x:c r="I966" s="35" t="n">
        <x:f>G966*XLOOKUP(E966,'菜品主数据'!$A$5:$A$24,'菜品主数据'!$G$5:$G$24,0)</x:f>
        <x:v>597.618</x:v>
      </x:c>
    </x:row>
    <x:row r="967">
      <x:c r="A967" s="19" t="str">
        <x:v>2026-07-13|S07|D03</x:v>
      </x:c>
      <x:c r="B967" s="34" t="n">
        <x:v>46216.5</x:v>
      </x:c>
      <x:c r="C967" s="19" t="str">
        <x:v>S07</x:v>
      </x:c>
      <x:c r="D967" s="19" t="str">
        <x:v>小和山店</x:v>
      </x:c>
      <x:c r="E967" s="19" t="str">
        <x:v>D03</x:v>
      </x:c>
      <x:c r="F967" s="19" t="str">
        <x:v>香醋炒蛋</x:v>
      </x:c>
      <x:c r="G967" s="20" t="n">
        <x:f>SUMIFS('7日销售明细'!$K$5:$K$2244,'7日销售明细'!$B$5:$B$2244,B967,'7日销售明细'!$D$5:$D$2244,C967,'7日销售明细'!$H$5:$H$2244,E967)</x:f>
        <x:v>42</x:v>
      </x:c>
      <x:c r="H967" s="35" t="n">
        <x:f>SUMIFS('7日销售明细'!$L$5:$L$2244,'7日销售明细'!$B$5:$B$2244,B967,'7日销售明细'!$D$5:$D$2244,C967,'7日销售明细'!$H$5:$H$2244,E967)</x:f>
        <x:v>625.8000000000001</x:v>
      </x:c>
      <x:c r="I967" s="35" t="n">
        <x:f>G967*XLOOKUP(E967,'菜品主数据'!$A$5:$A$24,'菜品主数据'!$G$5:$G$24,0)</x:f>
        <x:v>157.332</x:v>
      </x:c>
    </x:row>
    <x:row r="968">
      <x:c r="A968" s="19" t="str">
        <x:v>2026-07-13|S07|D04</x:v>
      </x:c>
      <x:c r="B968" s="34" t="n">
        <x:v>46216.5</x:v>
      </x:c>
      <x:c r="C968" s="19" t="str">
        <x:v>S07</x:v>
      </x:c>
      <x:c r="D968" s="19" t="str">
        <x:v>小和山店</x:v>
      </x:c>
      <x:c r="E968" s="19" t="str">
        <x:v>D04</x:v>
      </x:c>
      <x:c r="F968" s="19" t="str">
        <x:v>酸包菜炒粉皮</x:v>
      </x:c>
      <x:c r="G968" s="20" t="n">
        <x:f>SUMIFS('7日销售明细'!$K$5:$K$2244,'7日销售明细'!$B$5:$B$2244,B968,'7日销售明细'!$D$5:$D$2244,C968,'7日销售明细'!$H$5:$H$2244,E968)</x:f>
        <x:v>34</x:v>
      </x:c>
      <x:c r="H968" s="35" t="n">
        <x:f>SUMIFS('7日销售明细'!$L$5:$L$2244,'7日销售明细'!$B$5:$B$2244,B968,'7日销售明细'!$D$5:$D$2244,C968,'7日销售明细'!$H$5:$H$2244,E968)</x:f>
        <x:v>544</x:v>
      </x:c>
      <x:c r="I968" s="35" t="n">
        <x:f>G968*XLOOKUP(E968,'菜品主数据'!$A$5:$A$24,'菜品主数据'!$G$5:$G$24,0)</x:f>
        <x:v>135.252</x:v>
      </x:c>
    </x:row>
    <x:row r="969">
      <x:c r="A969" s="19" t="str">
        <x:v>2026-07-13|S07|D05</x:v>
      </x:c>
      <x:c r="B969" s="34" t="n">
        <x:v>46216.5</x:v>
      </x:c>
      <x:c r="C969" s="19" t="str">
        <x:v>S07</x:v>
      </x:c>
      <x:c r="D969" s="19" t="str">
        <x:v>小和山店</x:v>
      </x:c>
      <x:c r="E969" s="19" t="str">
        <x:v>D05</x:v>
      </x:c>
      <x:c r="F969" s="19" t="str">
        <x:v>麻婆豆腐</x:v>
      </x:c>
      <x:c r="G969" s="20" t="n">
        <x:f>SUMIFS('7日销售明细'!$K$5:$K$2244,'7日销售明细'!$B$5:$B$2244,B969,'7日销售明细'!$D$5:$D$2244,C969,'7日销售明细'!$H$5:$H$2244,E969)</x:f>
        <x:v>55</x:v>
      </x:c>
      <x:c r="H969" s="35" t="n">
        <x:f>SUMIFS('7日销售明细'!$L$5:$L$2244,'7日销售明细'!$B$5:$B$2244,B969,'7日销售明细'!$D$5:$D$2244,C969,'7日销售明细'!$H$5:$H$2244,E969)</x:f>
        <x:v>544.5</x:v>
      </x:c>
      <x:c r="I969" s="35" t="n">
        <x:f>G969*XLOOKUP(E969,'菜品主数据'!$A$5:$A$24,'菜品主数据'!$G$5:$G$24,0)</x:f>
        <x:v>295.18500000000006</x:v>
      </x:c>
    </x:row>
    <x:row r="970">
      <x:c r="A970" s="19" t="str">
        <x:v>2026-07-13|S07|D06</x:v>
      </x:c>
      <x:c r="B970" s="34" t="n">
        <x:v>46216.5</x:v>
      </x:c>
      <x:c r="C970" s="19" t="str">
        <x:v>S07</x:v>
      </x:c>
      <x:c r="D970" s="19" t="str">
        <x:v>小和山店</x:v>
      </x:c>
      <x:c r="E970" s="19" t="str">
        <x:v>D06</x:v>
      </x:c>
      <x:c r="F970" s="19" t="str">
        <x:v>剁椒鱼头</x:v>
      </x:c>
      <x:c r="G970" s="20" t="n">
        <x:f>SUMIFS('7日销售明细'!$K$5:$K$2244,'7日销售明细'!$B$5:$B$2244,B970,'7日销售明细'!$D$5:$D$2244,C970,'7日销售明细'!$H$5:$H$2244,E970)</x:f>
        <x:v>12</x:v>
      </x:c>
      <x:c r="H970" s="35" t="n">
        <x:f>SUMIFS('7日销售明细'!$L$5:$L$2244,'7日销售明细'!$B$5:$B$2244,B970,'7日销售明细'!$D$5:$D$2244,C970,'7日销售明细'!$H$5:$H$2244,E970)</x:f>
        <x:v>468</x:v>
      </x:c>
      <x:c r="I970" s="35" t="n">
        <x:f>G970*XLOOKUP(E970,'菜品主数据'!$A$5:$A$24,'菜品主数据'!$G$5:$G$24,0)</x:f>
        <x:v>209.35200000000003</x:v>
      </x:c>
    </x:row>
    <x:row r="971">
      <x:c r="A971" s="19" t="str">
        <x:v>2026-07-13|S07|D07</x:v>
      </x:c>
      <x:c r="B971" s="34" t="n">
        <x:v>46216.5</x:v>
      </x:c>
      <x:c r="C971" s="19" t="str">
        <x:v>S07</x:v>
      </x:c>
      <x:c r="D971" s="19" t="str">
        <x:v>小和山店</x:v>
      </x:c>
      <x:c r="E971" s="19" t="str">
        <x:v>D07</x:v>
      </x:c>
      <x:c r="F971" s="19" t="str">
        <x:v>川味回锅肉</x:v>
      </x:c>
      <x:c r="G971" s="20" t="n">
        <x:f>SUMIFS('7日销售明细'!$K$5:$K$2244,'7日销售明细'!$B$5:$B$2244,B971,'7日销售明细'!$D$5:$D$2244,C971,'7日销售明细'!$H$5:$H$2244,E971)</x:f>
        <x:v>15</x:v>
      </x:c>
      <x:c r="H971" s="35" t="n">
        <x:f>SUMIFS('7日销售明细'!$L$5:$L$2244,'7日销售明细'!$B$5:$B$2244,B971,'7日销售明细'!$D$5:$D$2244,C971,'7日销售明细'!$H$5:$H$2244,E971)</x:f>
        <x:v>435</x:v>
      </x:c>
      <x:c r="I971" s="35" t="n">
        <x:f>G971*XLOOKUP(E971,'菜品主数据'!$A$5:$A$24,'菜品主数据'!$G$5:$G$24,0)</x:f>
        <x:v>153.46500000000003</x:v>
      </x:c>
    </x:row>
    <x:row r="972">
      <x:c r="A972" s="19" t="str">
        <x:v>2026-07-13|S07|D08</x:v>
      </x:c>
      <x:c r="B972" s="34" t="n">
        <x:v>46216.5</x:v>
      </x:c>
      <x:c r="C972" s="19" t="str">
        <x:v>S07</x:v>
      </x:c>
      <x:c r="D972" s="19" t="str">
        <x:v>小和山店</x:v>
      </x:c>
      <x:c r="E972" s="19" t="str">
        <x:v>D08</x:v>
      </x:c>
      <x:c r="F972" s="19" t="str">
        <x:v>生炒清远鸡</x:v>
      </x:c>
      <x:c r="G972" s="20" t="n">
        <x:f>SUMIFS('7日销售明细'!$K$5:$K$2244,'7日销售明细'!$B$5:$B$2244,B972,'7日销售明细'!$D$5:$D$2244,C972,'7日销售明细'!$H$5:$H$2244,E972)</x:f>
        <x:v>13</x:v>
      </x:c>
      <x:c r="H972" s="35" t="n">
        <x:f>SUMIFS('7日销售明细'!$L$5:$L$2244,'7日销售明细'!$B$5:$B$2244,B972,'7日销售明细'!$D$5:$D$2244,C972,'7日销售明细'!$H$5:$H$2244,E972)</x:f>
        <x:v>468</x:v>
      </x:c>
      <x:c r="I972" s="35" t="n">
        <x:f>G972*XLOOKUP(E972,'菜品主数据'!$A$5:$A$24,'菜品主数据'!$G$5:$G$24,0)</x:f>
        <x:v>175.24</x:v>
      </x:c>
    </x:row>
    <x:row r="973">
      <x:c r="A973" s="19" t="str">
        <x:v>2026-07-13|S07|D09</x:v>
      </x:c>
      <x:c r="B973" s="34" t="n">
        <x:v>46216.5</x:v>
      </x:c>
      <x:c r="C973" s="19" t="str">
        <x:v>S07</x:v>
      </x:c>
      <x:c r="D973" s="19" t="str">
        <x:v>小和山店</x:v>
      </x:c>
      <x:c r="E973" s="19" t="str">
        <x:v>D09</x:v>
      </x:c>
      <x:c r="F973" s="19" t="str">
        <x:v>炒豆干</x:v>
      </x:c>
      <x:c r="G973" s="20" t="n">
        <x:f>SUMIFS('7日销售明细'!$K$5:$K$2244,'7日销售明细'!$B$5:$B$2244,B973,'7日销售明细'!$D$5:$D$2244,C973,'7日销售明细'!$H$5:$H$2244,E973)</x:f>
        <x:v>16</x:v>
      </x:c>
      <x:c r="H973" s="35" t="n">
        <x:f>SUMIFS('7日销售明细'!$L$5:$L$2244,'7日销售明细'!$B$5:$B$2244,B973,'7日销售明细'!$D$5:$D$2244,C973,'7日销售明细'!$H$5:$H$2244,E973)</x:f>
        <x:v>288</x:v>
      </x:c>
      <x:c r="I973" s="35" t="n">
        <x:f>G973*XLOOKUP(E973,'菜品主数据'!$A$5:$A$24,'菜品主数据'!$G$5:$G$24,0)</x:f>
        <x:v>105.82399999999998</x:v>
      </x:c>
    </x:row>
    <x:row r="974">
      <x:c r="A974" s="19" t="str">
        <x:v>2026-07-13|S07|D10</x:v>
      </x:c>
      <x:c r="B974" s="34" t="n">
        <x:v>46216.5</x:v>
      </x:c>
      <x:c r="C974" s="19" t="str">
        <x:v>S07</x:v>
      </x:c>
      <x:c r="D974" s="19" t="str">
        <x:v>小和山店</x:v>
      </x:c>
      <x:c r="E974" s="19" t="str">
        <x:v>D10</x:v>
      </x:c>
      <x:c r="F974" s="19" t="str">
        <x:v>农家一碗香</x:v>
      </x:c>
      <x:c r="G974" s="20" t="n">
        <x:f>SUMIFS('7日销售明细'!$K$5:$K$2244,'7日销售明细'!$B$5:$B$2244,B974,'7日销售明细'!$D$5:$D$2244,C974,'7日销售明细'!$H$5:$H$2244,E974)</x:f>
        <x:v>18</x:v>
      </x:c>
      <x:c r="H974" s="35" t="n">
        <x:f>SUMIFS('7日销售明细'!$L$5:$L$2244,'7日销售明细'!$B$5:$B$2244,B974,'7日销售明细'!$D$5:$D$2244,C974,'7日销售明细'!$H$5:$H$2244,E974)</x:f>
        <x:v>412.19999999999993</x:v>
      </x:c>
      <x:c r="I974" s="35" t="n">
        <x:f>G974*XLOOKUP(E974,'菜品主数据'!$A$5:$A$24,'菜品主数据'!$G$5:$G$24,0)</x:f>
        <x:v>175.86360000000005</x:v>
      </x:c>
    </x:row>
    <x:row r="975">
      <x:c r="A975" s="19" t="str">
        <x:v>2026-07-13|S07|D11</x:v>
      </x:c>
      <x:c r="B975" s="34" t="n">
        <x:v>46216.5</x:v>
      </x:c>
      <x:c r="C975" s="19" t="str">
        <x:v>S07</x:v>
      </x:c>
      <x:c r="D975" s="19" t="str">
        <x:v>小和山店</x:v>
      </x:c>
      <x:c r="E975" s="19" t="str">
        <x:v>D11</x:v>
      </x:c>
      <x:c r="F975" s="19" t="str">
        <x:v>香辣爆肥肠</x:v>
      </x:c>
      <x:c r="G975" s="20" t="n">
        <x:f>SUMIFS('7日销售明细'!$K$5:$K$2244,'7日销售明细'!$B$5:$B$2244,B975,'7日销售明细'!$D$5:$D$2244,C975,'7日销售明细'!$H$5:$H$2244,E975)</x:f>
        <x:v>6</x:v>
      </x:c>
      <x:c r="H975" s="35" t="n">
        <x:f>SUMIFS('7日销售明细'!$L$5:$L$2244,'7日销售明细'!$B$5:$B$2244,B975,'7日销售明细'!$D$5:$D$2244,C975,'7日销售明细'!$H$5:$H$2244,E975)</x:f>
        <x:v>234</x:v>
      </x:c>
      <x:c r="I975" s="35" t="n">
        <x:f>G975*XLOOKUP(E975,'菜品主数据'!$A$5:$A$24,'菜品主数据'!$G$5:$G$24,0)</x:f>
        <x:v>62.382000000000005</x:v>
      </x:c>
    </x:row>
    <x:row r="976">
      <x:c r="A976" s="19" t="str">
        <x:v>2026-07-13|S07|D12</x:v>
      </x:c>
      <x:c r="B976" s="34" t="n">
        <x:v>46216.5</x:v>
      </x:c>
      <x:c r="C976" s="19" t="str">
        <x:v>S07</x:v>
      </x:c>
      <x:c r="D976" s="19" t="str">
        <x:v>小和山店</x:v>
      </x:c>
      <x:c r="E976" s="19" t="str">
        <x:v>D12</x:v>
      </x:c>
      <x:c r="F976" s="19" t="str">
        <x:v>清蒸鲈鱼</x:v>
      </x:c>
      <x:c r="G976" s="20" t="n">
        <x:f>SUMIFS('7日销售明细'!$K$5:$K$2244,'7日销售明细'!$B$5:$B$2244,B976,'7日销售明细'!$D$5:$D$2244,C976,'7日销售明细'!$H$5:$H$2244,E976)</x:f>
        <x:v>7</x:v>
      </x:c>
      <x:c r="H976" s="35" t="n">
        <x:f>SUMIFS('7日销售明细'!$L$5:$L$2244,'7日销售明细'!$B$5:$B$2244,B976,'7日销售明细'!$D$5:$D$2244,C976,'7日销售明细'!$H$5:$H$2244,E976)</x:f>
        <x:v>273</x:v>
      </x:c>
      <x:c r="I976" s="35" t="n">
        <x:f>G976*XLOOKUP(E976,'菜品主数据'!$A$5:$A$24,'菜品主数据'!$G$5:$G$24,0)</x:f>
        <x:v>132.118</x:v>
      </x:c>
    </x:row>
    <x:row r="977">
      <x:c r="A977" s="19" t="str">
        <x:v>2026-07-13|S07|D13</x:v>
      </x:c>
      <x:c r="B977" s="34" t="n">
        <x:v>46216.5</x:v>
      </x:c>
      <x:c r="C977" s="19" t="str">
        <x:v>S07</x:v>
      </x:c>
      <x:c r="D977" s="19" t="str">
        <x:v>小和山店</x:v>
      </x:c>
      <x:c r="E977" s="19" t="str">
        <x:v>D13</x:v>
      </x:c>
      <x:c r="F977" s="19" t="str">
        <x:v>外婆菜炒蛋</x:v>
      </x:c>
      <x:c r="G977" s="20" t="n">
        <x:f>SUMIFS('7日销售明细'!$K$5:$K$2244,'7日销售明细'!$B$5:$B$2244,B977,'7日销售明细'!$D$5:$D$2244,C977,'7日销售明细'!$H$5:$H$2244,E977)</x:f>
        <x:v>16</x:v>
      </x:c>
      <x:c r="H977" s="35" t="n">
        <x:f>SUMIFS('7日销售明细'!$L$5:$L$2244,'7日销售明细'!$B$5:$B$2244,B977,'7日销售明细'!$D$5:$D$2244,C977,'7日销售明细'!$H$5:$H$2244,E977)</x:f>
        <x:v>288</x:v>
      </x:c>
      <x:c r="I977" s="35" t="n">
        <x:f>G977*XLOOKUP(E977,'菜品主数据'!$A$5:$A$24,'菜品主数据'!$G$5:$G$24,0)</x:f>
        <x:v>86.46399999999998</x:v>
      </x:c>
    </x:row>
    <x:row r="978">
      <x:c r="A978" s="19" t="str">
        <x:v>2026-07-13|S07|D14</x:v>
      </x:c>
      <x:c r="B978" s="34" t="n">
        <x:v>46216.5</x:v>
      </x:c>
      <x:c r="C978" s="19" t="str">
        <x:v>S07</x:v>
      </x:c>
      <x:c r="D978" s="19" t="str">
        <x:v>小和山店</x:v>
      </x:c>
      <x:c r="E978" s="19" t="str">
        <x:v>D14</x:v>
      </x:c>
      <x:c r="F978" s="19" t="str">
        <x:v>酸辣鸡杂</x:v>
      </x:c>
      <x:c r="G978" s="20" t="n">
        <x:f>SUMIFS('7日销售明细'!$K$5:$K$2244,'7日销售明细'!$B$5:$B$2244,B978,'7日销售明细'!$D$5:$D$2244,C978,'7日销售明细'!$H$5:$H$2244,E978)</x:f>
        <x:v>8</x:v>
      </x:c>
      <x:c r="H978" s="35" t="n">
        <x:f>SUMIFS('7日销售明细'!$L$5:$L$2244,'7日销售明细'!$B$5:$B$2244,B978,'7日销售明细'!$D$5:$D$2244,C978,'7日销售明细'!$H$5:$H$2244,E978)</x:f>
        <x:v>224</x:v>
      </x:c>
      <x:c r="I978" s="35" t="n">
        <x:f>G978*XLOOKUP(E978,'菜品主数据'!$A$5:$A$24,'菜品主数据'!$G$5:$G$24,0)</x:f>
        <x:v>66.52000000000001</x:v>
      </x:c>
    </x:row>
    <x:row r="979">
      <x:c r="A979" s="19" t="str">
        <x:v>2026-07-13|S07|D15</x:v>
      </x:c>
      <x:c r="B979" s="34" t="n">
        <x:v>46216.5</x:v>
      </x:c>
      <x:c r="C979" s="19" t="str">
        <x:v>S07</x:v>
      </x:c>
      <x:c r="D979" s="19" t="str">
        <x:v>小和山店</x:v>
      </x:c>
      <x:c r="E979" s="19" t="str">
        <x:v>D15</x:v>
      </x:c>
      <x:c r="F979" s="19" t="str">
        <x:v>湘西土匪猪肝</x:v>
      </x:c>
      <x:c r="G979" s="20" t="n">
        <x:f>SUMIFS('7日销售明细'!$K$5:$K$2244,'7日销售明细'!$B$5:$B$2244,B979,'7日销售明细'!$D$5:$D$2244,C979,'7日销售明细'!$H$5:$H$2244,E979)</x:f>
        <x:v>7</x:v>
      </x:c>
      <x:c r="H979" s="35" t="n">
        <x:f>SUMIFS('7日销售明细'!$L$5:$L$2244,'7日销售明细'!$B$5:$B$2244,B979,'7日销售明细'!$D$5:$D$2244,C979,'7日销售明细'!$H$5:$H$2244,E979)</x:f>
        <x:v>182</x:v>
      </x:c>
      <x:c r="I979" s="35" t="n">
        <x:f>G979*XLOOKUP(E979,'菜品主数据'!$A$5:$A$24,'菜品主数据'!$G$5:$G$24,0)</x:f>
        <x:v>44.632</x:v>
      </x:c>
    </x:row>
    <x:row r="980">
      <x:c r="A980" s="19" t="str">
        <x:v>2026-07-13|S07|D16</x:v>
      </x:c>
      <x:c r="B980" s="34" t="n">
        <x:v>46216.5</x:v>
      </x:c>
      <x:c r="C980" s="19" t="str">
        <x:v>S07</x:v>
      </x:c>
      <x:c r="D980" s="19" t="str">
        <x:v>小和山店</x:v>
      </x:c>
      <x:c r="E980" s="19" t="str">
        <x:v>D16</x:v>
      </x:c>
      <x:c r="F980" s="19" t="str">
        <x:v>小豆角炒五花</x:v>
      </x:c>
      <x:c r="G980" s="20" t="n">
        <x:f>SUMIFS('7日销售明细'!$K$5:$K$2244,'7日销售明细'!$B$5:$B$2244,B980,'7日销售明细'!$D$5:$D$2244,C980,'7日销售明细'!$H$5:$H$2244,E980)</x:f>
        <x:v>7</x:v>
      </x:c>
      <x:c r="H980" s="35" t="n">
        <x:f>SUMIFS('7日销售明细'!$L$5:$L$2244,'7日销售明细'!$B$5:$B$2244,B980,'7日销售明细'!$D$5:$D$2244,C980,'7日销售明细'!$H$5:$H$2244,E980)</x:f>
        <x:v>175</x:v>
      </x:c>
      <x:c r="I980" s="35" t="n">
        <x:f>G980*XLOOKUP(E980,'菜品主数据'!$A$5:$A$24,'菜品主数据'!$G$5:$G$24,0)</x:f>
        <x:v>57.288</x:v>
      </x:c>
    </x:row>
    <x:row r="981">
      <x:c r="A981" s="19" t="str">
        <x:v>2026-07-13|S07|D17</x:v>
      </x:c>
      <x:c r="B981" s="34" t="n">
        <x:v>46216.5</x:v>
      </x:c>
      <x:c r="C981" s="19" t="str">
        <x:v>S07</x:v>
      </x:c>
      <x:c r="D981" s="19" t="str">
        <x:v>小和山店</x:v>
      </x:c>
      <x:c r="E981" s="19" t="str">
        <x:v>D17</x:v>
      </x:c>
      <x:c r="F981" s="19" t="str">
        <x:v>蒜蓉粉丝虾</x:v>
      </x:c>
      <x:c r="G981" s="20" t="n">
        <x:f>SUMIFS('7日销售明细'!$K$5:$K$2244,'7日销售明细'!$B$5:$B$2244,B981,'7日销售明细'!$D$5:$D$2244,C981,'7日销售明细'!$H$5:$H$2244,E981)</x:f>
        <x:v>5</x:v>
      </x:c>
      <x:c r="H981" s="35" t="n">
        <x:f>SUMIFS('7日销售明细'!$L$5:$L$2244,'7日销售明细'!$B$5:$B$2244,B981,'7日销售明细'!$D$5:$D$2244,C981,'7日销售明细'!$H$5:$H$2244,E981)</x:f>
        <x:v>180</x:v>
      </x:c>
      <x:c r="I981" s="35" t="n">
        <x:f>G981*XLOOKUP(E981,'菜品主数据'!$A$5:$A$24,'菜品主数据'!$G$5:$G$24,0)</x:f>
        <x:v>67.97</x:v>
      </x:c>
    </x:row>
    <x:row r="982">
      <x:c r="A982" s="19" t="str">
        <x:v>2026-07-13|S07|D18</x:v>
      </x:c>
      <x:c r="B982" s="34" t="n">
        <x:v>46216.5</x:v>
      </x:c>
      <x:c r="C982" s="19" t="str">
        <x:v>S07</x:v>
      </x:c>
      <x:c r="D982" s="19" t="str">
        <x:v>小和山店</x:v>
      </x:c>
      <x:c r="E982" s="19" t="str">
        <x:v>D18</x:v>
      </x:c>
      <x:c r="F982" s="19" t="str">
        <x:v>青椒炒油麦菜</x:v>
      </x:c>
      <x:c r="G982" s="20" t="n">
        <x:f>SUMIFS('7日销售明细'!$K$5:$K$2244,'7日销售明细'!$B$5:$B$2244,B982,'7日销售明细'!$D$5:$D$2244,C982,'7日销售明细'!$H$5:$H$2244,E982)</x:f>
        <x:v>8</x:v>
      </x:c>
      <x:c r="H982" s="35" t="n">
        <x:f>SUMIFS('7日销售明细'!$L$5:$L$2244,'7日销售明细'!$B$5:$B$2244,B982,'7日销售明细'!$D$5:$D$2244,C982,'7日销售明细'!$H$5:$H$2244,E982)</x:f>
        <x:v>144</x:v>
      </x:c>
      <x:c r="I982" s="35" t="n">
        <x:f>G982*XLOOKUP(E982,'菜品主数据'!$A$5:$A$24,'菜品主数据'!$G$5:$G$24,0)</x:f>
        <x:v>25.407999999999994</x:v>
      </x:c>
    </x:row>
    <x:row r="983">
      <x:c r="A983" s="19" t="str">
        <x:v>2026-07-13|S07|D19</x:v>
      </x:c>
      <x:c r="B983" s="34" t="n">
        <x:v>46216.5</x:v>
      </x:c>
      <x:c r="C983" s="19" t="str">
        <x:v>S07</x:v>
      </x:c>
      <x:c r="D983" s="19" t="str">
        <x:v>小和山店</x:v>
      </x:c>
      <x:c r="E983" s="19" t="str">
        <x:v>D19</x:v>
      </x:c>
      <x:c r="F983" s="19" t="str">
        <x:v>酸萝卜炒鸡杂</x:v>
      </x:c>
      <x:c r="G983" s="20" t="n">
        <x:f>SUMIFS('7日销售明细'!$K$5:$K$2244,'7日销售明细'!$B$5:$B$2244,B983,'7日销售明细'!$D$5:$D$2244,C983,'7日销售明细'!$H$5:$H$2244,E983)</x:f>
        <x:v>6</x:v>
      </x:c>
      <x:c r="H983" s="35" t="n">
        <x:f>SUMIFS('7日销售明细'!$L$5:$L$2244,'7日销售明细'!$B$5:$B$2244,B983,'7日销售明细'!$D$5:$D$2244,C983,'7日销售明细'!$H$5:$H$2244,E983)</x:f>
        <x:v>150</x:v>
      </x:c>
      <x:c r="I983" s="35" t="n">
        <x:f>G983*XLOOKUP(E983,'菜品主数据'!$A$5:$A$24,'菜品主数据'!$G$5:$G$24,0)</x:f>
        <x:v>47.64</x:v>
      </x:c>
    </x:row>
    <x:row r="984">
      <x:c r="A984" s="19" t="str">
        <x:v>2026-07-13|S07|D20</x:v>
      </x:c>
      <x:c r="B984" s="34" t="n">
        <x:v>46216.5</x:v>
      </x:c>
      <x:c r="C984" s="19" t="str">
        <x:v>S07</x:v>
      </x:c>
      <x:c r="D984" s="19" t="str">
        <x:v>小和山店</x:v>
      </x:c>
      <x:c r="E984" s="19" t="str">
        <x:v>D20</x:v>
      </x:c>
      <x:c r="F984" s="19" t="str">
        <x:v>雪菜肉末青豆</x:v>
      </x:c>
      <x:c r="G984" s="20" t="n">
        <x:f>SUMIFS('7日销售明细'!$K$5:$K$2244,'7日销售明细'!$B$5:$B$2244,B984,'7日销售明细'!$D$5:$D$2244,C984,'7日销售明细'!$H$5:$H$2244,E984)</x:f>
        <x:v>10</x:v>
      </x:c>
      <x:c r="H984" s="35" t="n">
        <x:f>SUMIFS('7日销售明细'!$L$5:$L$2244,'7日销售明细'!$B$5:$B$2244,B984,'7日销售明细'!$D$5:$D$2244,C984,'7日销售明细'!$H$5:$H$2244,E984)</x:f>
        <x:v>180</x:v>
      </x:c>
      <x:c r="I984" s="35" t="n">
        <x:f>G984*XLOOKUP(E984,'菜品主数据'!$A$5:$A$24,'菜品主数据'!$G$5:$G$24,0)</x:f>
        <x:v>73.03999999999999</x:v>
      </x:c>
    </x:row>
    <x:row r="985">
      <x:c r="A985" s="19" t="str">
        <x:v>2026-07-07|S08|D01</x:v>
      </x:c>
      <x:c r="B985" s="34" t="n">
        <x:v>46210.5</x:v>
      </x:c>
      <x:c r="C985" s="19" t="str">
        <x:v>S08</x:v>
      </x:c>
      <x:c r="D985" s="19" t="str">
        <x:v>四季青店</x:v>
      </x:c>
      <x:c r="E985" s="19" t="str">
        <x:v>D01</x:v>
      </x:c>
      <x:c r="F985" s="19" t="str">
        <x:v>辣椒炒肉</x:v>
      </x:c>
      <x:c r="G985" s="20" t="n">
        <x:f>SUMIFS('7日销售明细'!$K$5:$K$2244,'7日销售明细'!$B$5:$B$2244,B985,'7日销售明细'!$D$5:$D$2244,C985,'7日销售明细'!$H$5:$H$2244,E985)</x:f>
        <x:v>45</x:v>
      </x:c>
      <x:c r="H985" s="35" t="n">
        <x:f>SUMIFS('7日销售明细'!$L$5:$L$2244,'7日销售明细'!$B$5:$B$2244,B985,'7日销售明细'!$D$5:$D$2244,C985,'7日销售明细'!$H$5:$H$2244,E985)</x:f>
        <x:v>1305</x:v>
      </x:c>
      <x:c r="I985" s="35" t="n">
        <x:f>G985*XLOOKUP(E985,'菜品主数据'!$A$5:$A$24,'菜品主数据'!$G$5:$G$24,0)</x:f>
        <x:v>388.54800000000006</x:v>
      </x:c>
    </x:row>
    <x:row r="986">
      <x:c r="A986" s="19" t="str">
        <x:v>2026-07-07|S08|D02</x:v>
      </x:c>
      <x:c r="B986" s="34" t="n">
        <x:v>46210.5</x:v>
      </x:c>
      <x:c r="C986" s="19" t="str">
        <x:v>S08</x:v>
      </x:c>
      <x:c r="D986" s="19" t="str">
        <x:v>四季青店</x:v>
      </x:c>
      <x:c r="E986" s="19" t="str">
        <x:v>D02</x:v>
      </x:c>
      <x:c r="F986" s="19" t="str">
        <x:v>小炒黄牛肉</x:v>
      </x:c>
      <x:c r="G986" s="20" t="n">
        <x:f>SUMIFS('7日销售明细'!$K$5:$K$2244,'7日销售明细'!$B$5:$B$2244,B986,'7日销售明细'!$D$5:$D$2244,C986,'7日销售明细'!$H$5:$H$2244,E986)</x:f>
        <x:v>29</x:v>
      </x:c>
      <x:c r="H986" s="35" t="n">
        <x:f>SUMIFS('7日销售明细'!$L$5:$L$2244,'7日销售明细'!$B$5:$B$2244,B986,'7日销售明细'!$D$5:$D$2244,C986,'7日销售明细'!$H$5:$H$2244,E986)</x:f>
        <x:v>1421</x:v>
      </x:c>
      <x:c r="I986" s="35" t="n">
        <x:f>G986*XLOOKUP(E986,'菜品主数据'!$A$5:$A$24,'菜品主数据'!$G$5:$G$24,0)</x:f>
        <x:v>509.73300000000006</x:v>
      </x:c>
    </x:row>
    <x:row r="987">
      <x:c r="A987" s="19" t="str">
        <x:v>2026-07-07|S08|D03</x:v>
      </x:c>
      <x:c r="B987" s="34" t="n">
        <x:v>46210.5</x:v>
      </x:c>
      <x:c r="C987" s="19" t="str">
        <x:v>S08</x:v>
      </x:c>
      <x:c r="D987" s="19" t="str">
        <x:v>四季青店</x:v>
      </x:c>
      <x:c r="E987" s="19" t="str">
        <x:v>D03</x:v>
      </x:c>
      <x:c r="F987" s="19" t="str">
        <x:v>香醋炒蛋</x:v>
      </x:c>
      <x:c r="G987" s="20" t="n">
        <x:f>SUMIFS('7日销售明细'!$K$5:$K$2244,'7日销售明细'!$B$5:$B$2244,B987,'7日销售明细'!$D$5:$D$2244,C987,'7日销售明细'!$H$5:$H$2244,E987)</x:f>
        <x:v>36</x:v>
      </x:c>
      <x:c r="H987" s="35" t="n">
        <x:f>SUMIFS('7日销售明细'!$L$5:$L$2244,'7日销售明细'!$B$5:$B$2244,B987,'7日销售明细'!$D$5:$D$2244,C987,'7日销售明细'!$H$5:$H$2244,E987)</x:f>
        <x:v>536.4</x:v>
      </x:c>
      <x:c r="I987" s="35" t="n">
        <x:f>G987*XLOOKUP(E987,'菜品主数据'!$A$5:$A$24,'菜品主数据'!$G$5:$G$24,0)</x:f>
        <x:v>134.856</x:v>
      </x:c>
    </x:row>
    <x:row r="988">
      <x:c r="A988" s="19" t="str">
        <x:v>2026-07-07|S08|D04</x:v>
      </x:c>
      <x:c r="B988" s="34" t="n">
        <x:v>46210.5</x:v>
      </x:c>
      <x:c r="C988" s="19" t="str">
        <x:v>S08</x:v>
      </x:c>
      <x:c r="D988" s="19" t="str">
        <x:v>四季青店</x:v>
      </x:c>
      <x:c r="E988" s="19" t="str">
        <x:v>D04</x:v>
      </x:c>
      <x:c r="F988" s="19" t="str">
        <x:v>酸包菜炒粉皮</x:v>
      </x:c>
      <x:c r="G988" s="20" t="n">
        <x:f>SUMIFS('7日销售明细'!$K$5:$K$2244,'7日销售明细'!$B$5:$B$2244,B988,'7日销售明细'!$D$5:$D$2244,C988,'7日销售明细'!$H$5:$H$2244,E988)</x:f>
        <x:v>33</x:v>
      </x:c>
      <x:c r="H988" s="35" t="n">
        <x:f>SUMIFS('7日销售明细'!$L$5:$L$2244,'7日销售明细'!$B$5:$B$2244,B988,'7日销售明细'!$D$5:$D$2244,C988,'7日销售明细'!$H$5:$H$2244,E988)</x:f>
        <x:v>528</x:v>
      </x:c>
      <x:c r="I988" s="35" t="n">
        <x:f>G988*XLOOKUP(E988,'菜品主数据'!$A$5:$A$24,'菜品主数据'!$G$5:$G$24,0)</x:f>
        <x:v>131.274</x:v>
      </x:c>
    </x:row>
    <x:row r="989">
      <x:c r="A989" s="19" t="str">
        <x:v>2026-07-07|S08|D05</x:v>
      </x:c>
      <x:c r="B989" s="34" t="n">
        <x:v>46210.5</x:v>
      </x:c>
      <x:c r="C989" s="19" t="str">
        <x:v>S08</x:v>
      </x:c>
      <x:c r="D989" s="19" t="str">
        <x:v>四季青店</x:v>
      </x:c>
      <x:c r="E989" s="19" t="str">
        <x:v>D05</x:v>
      </x:c>
      <x:c r="F989" s="19" t="str">
        <x:v>麻婆豆腐</x:v>
      </x:c>
      <x:c r="G989" s="20" t="n">
        <x:f>SUMIFS('7日销售明细'!$K$5:$K$2244,'7日销售明细'!$B$5:$B$2244,B989,'7日销售明细'!$D$5:$D$2244,C989,'7日销售明细'!$H$5:$H$2244,E989)</x:f>
        <x:v>41</x:v>
      </x:c>
      <x:c r="H989" s="35" t="n">
        <x:f>SUMIFS('7日销售明细'!$L$5:$L$2244,'7日销售明细'!$B$5:$B$2244,B989,'7日销售明细'!$D$5:$D$2244,C989,'7日销售明细'!$H$5:$H$2244,E989)</x:f>
        <x:v>405.90000000000003</x:v>
      </x:c>
      <x:c r="I989" s="35" t="n">
        <x:f>G989*XLOOKUP(E989,'菜品主数据'!$A$5:$A$24,'菜品主数据'!$G$5:$G$24,0)</x:f>
        <x:v>220.04700000000003</x:v>
      </x:c>
    </x:row>
    <x:row r="990">
      <x:c r="A990" s="19" t="str">
        <x:v>2026-07-07|S08|D06</x:v>
      </x:c>
      <x:c r="B990" s="34" t="n">
        <x:v>46210.5</x:v>
      </x:c>
      <x:c r="C990" s="19" t="str">
        <x:v>S08</x:v>
      </x:c>
      <x:c r="D990" s="19" t="str">
        <x:v>四季青店</x:v>
      </x:c>
      <x:c r="E990" s="19" t="str">
        <x:v>D06</x:v>
      </x:c>
      <x:c r="F990" s="19" t="str">
        <x:v>剁椒鱼头</x:v>
      </x:c>
      <x:c r="G990" s="20" t="n">
        <x:f>SUMIFS('7日销售明细'!$K$5:$K$2244,'7日销售明细'!$B$5:$B$2244,B990,'7日销售明细'!$D$5:$D$2244,C990,'7日销售明细'!$H$5:$H$2244,E990)</x:f>
        <x:v>10</x:v>
      </x:c>
      <x:c r="H990" s="35" t="n">
        <x:f>SUMIFS('7日销售明细'!$L$5:$L$2244,'7日销售明细'!$B$5:$B$2244,B990,'7日销售明细'!$D$5:$D$2244,C990,'7日销售明细'!$H$5:$H$2244,E990)</x:f>
        <x:v>390</x:v>
      </x:c>
      <x:c r="I990" s="35" t="n">
        <x:f>G990*XLOOKUP(E990,'菜品主数据'!$A$5:$A$24,'菜品主数据'!$G$5:$G$24,0)</x:f>
        <x:v>174.46</x:v>
      </x:c>
    </x:row>
    <x:row r="991">
      <x:c r="A991" s="19" t="str">
        <x:v>2026-07-07|S08|D07</x:v>
      </x:c>
      <x:c r="B991" s="34" t="n">
        <x:v>46210.5</x:v>
      </x:c>
      <x:c r="C991" s="19" t="str">
        <x:v>S08</x:v>
      </x:c>
      <x:c r="D991" s="19" t="str">
        <x:v>四季青店</x:v>
      </x:c>
      <x:c r="E991" s="19" t="str">
        <x:v>D07</x:v>
      </x:c>
      <x:c r="F991" s="19" t="str">
        <x:v>川味回锅肉</x:v>
      </x:c>
      <x:c r="G991" s="20" t="n">
        <x:f>SUMIFS('7日销售明细'!$K$5:$K$2244,'7日销售明细'!$B$5:$B$2244,B991,'7日销售明细'!$D$5:$D$2244,C991,'7日销售明细'!$H$5:$H$2244,E991)</x:f>
        <x:v>14</x:v>
      </x:c>
      <x:c r="H991" s="35" t="n">
        <x:f>SUMIFS('7日销售明细'!$L$5:$L$2244,'7日销售明细'!$B$5:$B$2244,B991,'7日销售明细'!$D$5:$D$2244,C991,'7日销售明细'!$H$5:$H$2244,E991)</x:f>
        <x:v>406</x:v>
      </x:c>
      <x:c r="I991" s="35" t="n">
        <x:f>G991*XLOOKUP(E991,'菜品主数据'!$A$5:$A$24,'菜品主数据'!$G$5:$G$24,0)</x:f>
        <x:v>143.23400000000004</x:v>
      </x:c>
    </x:row>
    <x:row r="992">
      <x:c r="A992" s="19" t="str">
        <x:v>2026-07-07|S08|D08</x:v>
      </x:c>
      <x:c r="B992" s="34" t="n">
        <x:v>46210.5</x:v>
      </x:c>
      <x:c r="C992" s="19" t="str">
        <x:v>S08</x:v>
      </x:c>
      <x:c r="D992" s="19" t="str">
        <x:v>四季青店</x:v>
      </x:c>
      <x:c r="E992" s="19" t="str">
        <x:v>D08</x:v>
      </x:c>
      <x:c r="F992" s="19" t="str">
        <x:v>生炒清远鸡</x:v>
      </x:c>
      <x:c r="G992" s="20" t="n">
        <x:f>SUMIFS('7日销售明细'!$K$5:$K$2244,'7日销售明细'!$B$5:$B$2244,B992,'7日销售明细'!$D$5:$D$2244,C992,'7日销售明细'!$H$5:$H$2244,E992)</x:f>
        <x:v>9</x:v>
      </x:c>
      <x:c r="H992" s="35" t="n">
        <x:f>SUMIFS('7日销售明细'!$L$5:$L$2244,'7日销售明细'!$B$5:$B$2244,B992,'7日销售明细'!$D$5:$D$2244,C992,'7日销售明细'!$H$5:$H$2244,E992)</x:f>
        <x:v>324</x:v>
      </x:c>
      <x:c r="I992" s="35" t="n">
        <x:f>G992*XLOOKUP(E992,'菜品主数据'!$A$5:$A$24,'菜品主数据'!$G$5:$G$24,0)</x:f>
        <x:v>121.32000000000001</x:v>
      </x:c>
    </x:row>
    <x:row r="993">
      <x:c r="A993" s="19" t="str">
        <x:v>2026-07-07|S08|D09</x:v>
      </x:c>
      <x:c r="B993" s="34" t="n">
        <x:v>46210.5</x:v>
      </x:c>
      <x:c r="C993" s="19" t="str">
        <x:v>S08</x:v>
      </x:c>
      <x:c r="D993" s="19" t="str">
        <x:v>四季青店</x:v>
      </x:c>
      <x:c r="E993" s="19" t="str">
        <x:v>D09</x:v>
      </x:c>
      <x:c r="F993" s="19" t="str">
        <x:v>炒豆干</x:v>
      </x:c>
      <x:c r="G993" s="20" t="n">
        <x:f>SUMIFS('7日销售明细'!$K$5:$K$2244,'7日销售明细'!$B$5:$B$2244,B993,'7日销售明细'!$D$5:$D$2244,C993,'7日销售明细'!$H$5:$H$2244,E993)</x:f>
        <x:v>14</x:v>
      </x:c>
      <x:c r="H993" s="35" t="n">
        <x:f>SUMIFS('7日销售明细'!$L$5:$L$2244,'7日销售明细'!$B$5:$B$2244,B993,'7日销售明细'!$D$5:$D$2244,C993,'7日销售明细'!$H$5:$H$2244,E993)</x:f>
        <x:v>252</x:v>
      </x:c>
      <x:c r="I993" s="35" t="n">
        <x:f>G993*XLOOKUP(E993,'菜品主数据'!$A$5:$A$24,'菜品主数据'!$G$5:$G$24,0)</x:f>
        <x:v>92.59599999999999</x:v>
      </x:c>
    </x:row>
    <x:row r="994">
      <x:c r="A994" s="19" t="str">
        <x:v>2026-07-07|S08|D10</x:v>
      </x:c>
      <x:c r="B994" s="34" t="n">
        <x:v>46210.5</x:v>
      </x:c>
      <x:c r="C994" s="19" t="str">
        <x:v>S08</x:v>
      </x:c>
      <x:c r="D994" s="19" t="str">
        <x:v>四季青店</x:v>
      </x:c>
      <x:c r="E994" s="19" t="str">
        <x:v>D10</x:v>
      </x:c>
      <x:c r="F994" s="19" t="str">
        <x:v>农家一碗香</x:v>
      </x:c>
      <x:c r="G994" s="20" t="n">
        <x:f>SUMIFS('7日销售明细'!$K$5:$K$2244,'7日销售明细'!$B$5:$B$2244,B994,'7日销售明细'!$D$5:$D$2244,C994,'7日销售明细'!$H$5:$H$2244,E994)</x:f>
        <x:v>16</x:v>
      </x:c>
      <x:c r="H994" s="35" t="n">
        <x:f>SUMIFS('7日销售明细'!$L$5:$L$2244,'7日销售明细'!$B$5:$B$2244,B994,'7日销售明细'!$D$5:$D$2244,C994,'7日销售明细'!$H$5:$H$2244,E994)</x:f>
        <x:v>366.4</x:v>
      </x:c>
      <x:c r="I994" s="35" t="n">
        <x:f>G994*XLOOKUP(E994,'菜品主数据'!$A$5:$A$24,'菜品主数据'!$G$5:$G$24,0)</x:f>
        <x:v>156.32320000000004</x:v>
      </x:c>
    </x:row>
    <x:row r="995">
      <x:c r="A995" s="19" t="str">
        <x:v>2026-07-07|S08|D11</x:v>
      </x:c>
      <x:c r="B995" s="34" t="n">
        <x:v>46210.5</x:v>
      </x:c>
      <x:c r="C995" s="19" t="str">
        <x:v>S08</x:v>
      </x:c>
      <x:c r="D995" s="19" t="str">
        <x:v>四季青店</x:v>
      </x:c>
      <x:c r="E995" s="19" t="str">
        <x:v>D11</x:v>
      </x:c>
      <x:c r="F995" s="19" t="str">
        <x:v>香辣爆肥肠</x:v>
      </x:c>
      <x:c r="G995" s="20" t="n">
        <x:f>SUMIFS('7日销售明细'!$K$5:$K$2244,'7日销售明细'!$B$5:$B$2244,B995,'7日销售明细'!$D$5:$D$2244,C995,'7日销售明细'!$H$5:$H$2244,E995)</x:f>
        <x:v>5</x:v>
      </x:c>
      <x:c r="H995" s="35" t="n">
        <x:f>SUMIFS('7日销售明细'!$L$5:$L$2244,'7日销售明细'!$B$5:$B$2244,B995,'7日销售明细'!$D$5:$D$2244,C995,'7日销售明细'!$H$5:$H$2244,E995)</x:f>
        <x:v>195</x:v>
      </x:c>
      <x:c r="I995" s="35" t="n">
        <x:f>G995*XLOOKUP(E995,'菜品主数据'!$A$5:$A$24,'菜品主数据'!$G$5:$G$24,0)</x:f>
        <x:v>51.985</x:v>
      </x:c>
    </x:row>
    <x:row r="996">
      <x:c r="A996" s="19" t="str">
        <x:v>2026-07-07|S08|D12</x:v>
      </x:c>
      <x:c r="B996" s="34" t="n">
        <x:v>46210.5</x:v>
      </x:c>
      <x:c r="C996" s="19" t="str">
        <x:v>S08</x:v>
      </x:c>
      <x:c r="D996" s="19" t="str">
        <x:v>四季青店</x:v>
      </x:c>
      <x:c r="E996" s="19" t="str">
        <x:v>D12</x:v>
      </x:c>
      <x:c r="F996" s="19" t="str">
        <x:v>清蒸鲈鱼</x:v>
      </x:c>
      <x:c r="G996" s="20" t="n">
        <x:f>SUMIFS('7日销售明细'!$K$5:$K$2244,'7日销售明细'!$B$5:$B$2244,B996,'7日销售明细'!$D$5:$D$2244,C996,'7日销售明细'!$H$5:$H$2244,E996)</x:f>
        <x:v>6</x:v>
      </x:c>
      <x:c r="H996" s="35" t="n">
        <x:f>SUMIFS('7日销售明细'!$L$5:$L$2244,'7日销售明细'!$B$5:$B$2244,B996,'7日销售明细'!$D$5:$D$2244,C996,'7日销售明细'!$H$5:$H$2244,E996)</x:f>
        <x:v>234</x:v>
      </x:c>
      <x:c r="I996" s="35" t="n">
        <x:f>G996*XLOOKUP(E996,'菜品主数据'!$A$5:$A$24,'菜品主数据'!$G$5:$G$24,0)</x:f>
        <x:v>113.244</x:v>
      </x:c>
    </x:row>
    <x:row r="997">
      <x:c r="A997" s="19" t="str">
        <x:v>2026-07-07|S08|D13</x:v>
      </x:c>
      <x:c r="B997" s="34" t="n">
        <x:v>46210.5</x:v>
      </x:c>
      <x:c r="C997" s="19" t="str">
        <x:v>S08</x:v>
      </x:c>
      <x:c r="D997" s="19" t="str">
        <x:v>四季青店</x:v>
      </x:c>
      <x:c r="E997" s="19" t="str">
        <x:v>D13</x:v>
      </x:c>
      <x:c r="F997" s="19" t="str">
        <x:v>外婆菜炒蛋</x:v>
      </x:c>
      <x:c r="G997" s="20" t="n">
        <x:f>SUMIFS('7日销售明细'!$K$5:$K$2244,'7日销售明细'!$B$5:$B$2244,B997,'7日销售明细'!$D$5:$D$2244,C997,'7日销售明细'!$H$5:$H$2244,E997)</x:f>
        <x:v>13</x:v>
      </x:c>
      <x:c r="H997" s="35" t="n">
        <x:f>SUMIFS('7日销售明细'!$L$5:$L$2244,'7日销售明细'!$B$5:$B$2244,B997,'7日销售明细'!$D$5:$D$2244,C997,'7日销售明细'!$H$5:$H$2244,E997)</x:f>
        <x:v>234</x:v>
      </x:c>
      <x:c r="I997" s="35" t="n">
        <x:f>G997*XLOOKUP(E997,'菜品主数据'!$A$5:$A$24,'菜品主数据'!$G$5:$G$24,0)</x:f>
        <x:v>70.25199999999998</x:v>
      </x:c>
    </x:row>
    <x:row r="998">
      <x:c r="A998" s="19" t="str">
        <x:v>2026-07-07|S08|D14</x:v>
      </x:c>
      <x:c r="B998" s="34" t="n">
        <x:v>46210.5</x:v>
      </x:c>
      <x:c r="C998" s="19" t="str">
        <x:v>S08</x:v>
      </x:c>
      <x:c r="D998" s="19" t="str">
        <x:v>四季青店</x:v>
      </x:c>
      <x:c r="E998" s="19" t="str">
        <x:v>D14</x:v>
      </x:c>
      <x:c r="F998" s="19" t="str">
        <x:v>酸辣鸡杂</x:v>
      </x:c>
      <x:c r="G998" s="20" t="n">
        <x:f>SUMIFS('7日销售明细'!$K$5:$K$2244,'7日销售明细'!$B$5:$B$2244,B998,'7日销售明细'!$D$5:$D$2244,C998,'7日销售明细'!$H$5:$H$2244,E998)</x:f>
        <x:v>7</x:v>
      </x:c>
      <x:c r="H998" s="35" t="n">
        <x:f>SUMIFS('7日销售明细'!$L$5:$L$2244,'7日销售明细'!$B$5:$B$2244,B998,'7日销售明细'!$D$5:$D$2244,C998,'7日销售明细'!$H$5:$H$2244,E998)</x:f>
        <x:v>196</x:v>
      </x:c>
      <x:c r="I998" s="35" t="n">
        <x:f>G998*XLOOKUP(E998,'菜品主数据'!$A$5:$A$24,'菜品主数据'!$G$5:$G$24,0)</x:f>
        <x:v>58.20500000000001</x:v>
      </x:c>
    </x:row>
    <x:row r="999">
      <x:c r="A999" s="19" t="str">
        <x:v>2026-07-07|S08|D15</x:v>
      </x:c>
      <x:c r="B999" s="34" t="n">
        <x:v>46210.5</x:v>
      </x:c>
      <x:c r="C999" s="19" t="str">
        <x:v>S08</x:v>
      </x:c>
      <x:c r="D999" s="19" t="str">
        <x:v>四季青店</x:v>
      </x:c>
      <x:c r="E999" s="19" t="str">
        <x:v>D15</x:v>
      </x:c>
      <x:c r="F999" s="19" t="str">
        <x:v>湘西土匪猪肝</x:v>
      </x:c>
      <x:c r="G999" s="20" t="n">
        <x:f>SUMIFS('7日销售明细'!$K$5:$K$2244,'7日销售明细'!$B$5:$B$2244,B999,'7日销售明细'!$D$5:$D$2244,C999,'7日销售明细'!$H$5:$H$2244,E999)</x:f>
        <x:v>6</x:v>
      </x:c>
      <x:c r="H999" s="35" t="n">
        <x:f>SUMIFS('7日销售明细'!$L$5:$L$2244,'7日销售明细'!$B$5:$B$2244,B999,'7日销售明细'!$D$5:$D$2244,C999,'7日销售明细'!$H$5:$H$2244,E999)</x:f>
        <x:v>156</x:v>
      </x:c>
      <x:c r="I999" s="35" t="n">
        <x:f>G999*XLOOKUP(E999,'菜品主数据'!$A$5:$A$24,'菜品主数据'!$G$5:$G$24,0)</x:f>
        <x:v>38.256</x:v>
      </x:c>
    </x:row>
    <x:row r="1000">
      <x:c r="A1000" s="19" t="str">
        <x:v>2026-07-07|S08|D16</x:v>
      </x:c>
      <x:c r="B1000" s="34" t="n">
        <x:v>46210.5</x:v>
      </x:c>
      <x:c r="C1000" s="19" t="str">
        <x:v>S08</x:v>
      </x:c>
      <x:c r="D1000" s="19" t="str">
        <x:v>四季青店</x:v>
      </x:c>
      <x:c r="E1000" s="19" t="str">
        <x:v>D16</x:v>
      </x:c>
      <x:c r="F1000" s="19" t="str">
        <x:v>小豆角炒五花</x:v>
      </x:c>
      <x:c r="G1000" s="20" t="n">
        <x:f>SUMIFS('7日销售明细'!$K$5:$K$2244,'7日销售明细'!$B$5:$B$2244,B1000,'7日销售明细'!$D$5:$D$2244,C1000,'7日销售明细'!$H$5:$H$2244,E1000)</x:f>
        <x:v>6</x:v>
      </x:c>
      <x:c r="H1000" s="35" t="n">
        <x:f>SUMIFS('7日销售明细'!$L$5:$L$2244,'7日销售明细'!$B$5:$B$2244,B1000,'7日销售明细'!$D$5:$D$2244,C1000,'7日销售明细'!$H$5:$H$2244,E1000)</x:f>
        <x:v>150</x:v>
      </x:c>
      <x:c r="I1000" s="35" t="n">
        <x:f>G1000*XLOOKUP(E1000,'菜品主数据'!$A$5:$A$24,'菜品主数据'!$G$5:$G$24,0)</x:f>
        <x:v>49.104</x:v>
      </x:c>
    </x:row>
    <x:row r="1001">
      <x:c r="A1001" s="19" t="str">
        <x:v>2026-07-07|S08|D17</x:v>
      </x:c>
      <x:c r="B1001" s="34" t="n">
        <x:v>46210.5</x:v>
      </x:c>
      <x:c r="C1001" s="19" t="str">
        <x:v>S08</x:v>
      </x:c>
      <x:c r="D1001" s="19" t="str">
        <x:v>四季青店</x:v>
      </x:c>
      <x:c r="E1001" s="19" t="str">
        <x:v>D17</x:v>
      </x:c>
      <x:c r="F1001" s="19" t="str">
        <x:v>蒜蓉粉丝虾</x:v>
      </x:c>
      <x:c r="G1001" s="20" t="n">
        <x:f>SUMIFS('7日销售明细'!$K$5:$K$2244,'7日销售明细'!$B$5:$B$2244,B1001,'7日销售明细'!$D$5:$D$2244,C1001,'7日销售明细'!$H$5:$H$2244,E1001)</x:f>
        <x:v>4</x:v>
      </x:c>
      <x:c r="H1001" s="35" t="n">
        <x:f>SUMIFS('7日销售明细'!$L$5:$L$2244,'7日销售明细'!$B$5:$B$2244,B1001,'7日销售明细'!$D$5:$D$2244,C1001,'7日销售明细'!$H$5:$H$2244,E1001)</x:f>
        <x:v>144</x:v>
      </x:c>
      <x:c r="I1001" s="35" t="n">
        <x:f>G1001*XLOOKUP(E1001,'菜品主数据'!$A$5:$A$24,'菜品主数据'!$G$5:$G$24,0)</x:f>
        <x:v>54.376</x:v>
      </x:c>
    </x:row>
    <x:row r="1002">
      <x:c r="A1002" s="19" t="str">
        <x:v>2026-07-07|S08|D18</x:v>
      </x:c>
      <x:c r="B1002" s="34" t="n">
        <x:v>46210.5</x:v>
      </x:c>
      <x:c r="C1002" s="19" t="str">
        <x:v>S08</x:v>
      </x:c>
      <x:c r="D1002" s="19" t="str">
        <x:v>四季青店</x:v>
      </x:c>
      <x:c r="E1002" s="19" t="str">
        <x:v>D18</x:v>
      </x:c>
      <x:c r="F1002" s="19" t="str">
        <x:v>青椒炒油麦菜</x:v>
      </x:c>
      <x:c r="G1002" s="20" t="n">
        <x:f>SUMIFS('7日销售明细'!$K$5:$K$2244,'7日销售明细'!$B$5:$B$2244,B1002,'7日销售明细'!$D$5:$D$2244,C1002,'7日销售明细'!$H$5:$H$2244,E1002)</x:f>
        <x:v>7</x:v>
      </x:c>
      <x:c r="H1002" s="35" t="n">
        <x:f>SUMIFS('7日销售明细'!$L$5:$L$2244,'7日销售明细'!$B$5:$B$2244,B1002,'7日销售明细'!$D$5:$D$2244,C1002,'7日销售明细'!$H$5:$H$2244,E1002)</x:f>
        <x:v>126</x:v>
      </x:c>
      <x:c r="I1002" s="35" t="n">
        <x:f>G1002*XLOOKUP(E1002,'菜品主数据'!$A$5:$A$24,'菜品主数据'!$G$5:$G$24,0)</x:f>
        <x:v>22.231999999999996</x:v>
      </x:c>
    </x:row>
    <x:row r="1003">
      <x:c r="A1003" s="19" t="str">
        <x:v>2026-07-07|S08|D19</x:v>
      </x:c>
      <x:c r="B1003" s="34" t="n">
        <x:v>46210.5</x:v>
      </x:c>
      <x:c r="C1003" s="19" t="str">
        <x:v>S08</x:v>
      </x:c>
      <x:c r="D1003" s="19" t="str">
        <x:v>四季青店</x:v>
      </x:c>
      <x:c r="E1003" s="19" t="str">
        <x:v>D19</x:v>
      </x:c>
      <x:c r="F1003" s="19" t="str">
        <x:v>酸萝卜炒鸡杂</x:v>
      </x:c>
      <x:c r="G1003" s="20" t="n">
        <x:f>SUMIFS('7日销售明细'!$K$5:$K$2244,'7日销售明细'!$B$5:$B$2244,B1003,'7日销售明细'!$D$5:$D$2244,C1003,'7日销售明细'!$H$5:$H$2244,E1003)</x:f>
        <x:v>5</x:v>
      </x:c>
      <x:c r="H1003" s="35" t="n">
        <x:f>SUMIFS('7日销售明细'!$L$5:$L$2244,'7日销售明细'!$B$5:$B$2244,B1003,'7日销售明细'!$D$5:$D$2244,C1003,'7日销售明细'!$H$5:$H$2244,E1003)</x:f>
        <x:v>125</x:v>
      </x:c>
      <x:c r="I1003" s="35" t="n">
        <x:f>G1003*XLOOKUP(E1003,'菜品主数据'!$A$5:$A$24,'菜品主数据'!$G$5:$G$24,0)</x:f>
        <x:v>39.699999999999996</x:v>
      </x:c>
    </x:row>
    <x:row r="1004">
      <x:c r="A1004" s="19" t="str">
        <x:v>2026-07-07|S08|D20</x:v>
      </x:c>
      <x:c r="B1004" s="34" t="n">
        <x:v>46210.5</x:v>
      </x:c>
      <x:c r="C1004" s="19" t="str">
        <x:v>S08</x:v>
      </x:c>
      <x:c r="D1004" s="19" t="str">
        <x:v>四季青店</x:v>
      </x:c>
      <x:c r="E1004" s="19" t="str">
        <x:v>D20</x:v>
      </x:c>
      <x:c r="F1004" s="19" t="str">
        <x:v>雪菜肉末青豆</x:v>
      </x:c>
      <x:c r="G1004" s="20" t="n">
        <x:f>SUMIFS('7日销售明细'!$K$5:$K$2244,'7日销售明细'!$B$5:$B$2244,B1004,'7日销售明细'!$D$5:$D$2244,C1004,'7日销售明细'!$H$5:$H$2244,E1004)</x:f>
        <x:v>7</x:v>
      </x:c>
      <x:c r="H1004" s="35" t="n">
        <x:f>SUMIFS('7日销售明细'!$L$5:$L$2244,'7日销售明细'!$B$5:$B$2244,B1004,'7日销售明细'!$D$5:$D$2244,C1004,'7日销售明细'!$H$5:$H$2244,E1004)</x:f>
        <x:v>126</x:v>
      </x:c>
      <x:c r="I1004" s="35" t="n">
        <x:f>G1004*XLOOKUP(E1004,'菜品主数据'!$A$5:$A$24,'菜品主数据'!$G$5:$G$24,0)</x:f>
        <x:v>51.12799999999999</x:v>
      </x:c>
    </x:row>
    <x:row r="1005">
      <x:c r="A1005" s="19" t="str">
        <x:v>2026-07-08|S08|D01</x:v>
      </x:c>
      <x:c r="B1005" s="34" t="n">
        <x:v>46211.5</x:v>
      </x:c>
      <x:c r="C1005" s="19" t="str">
        <x:v>S08</x:v>
      </x:c>
      <x:c r="D1005" s="19" t="str">
        <x:v>四季青店</x:v>
      </x:c>
      <x:c r="E1005" s="19" t="str">
        <x:v>D01</x:v>
      </x:c>
      <x:c r="F1005" s="19" t="str">
        <x:v>辣椒炒肉</x:v>
      </x:c>
      <x:c r="G1005" s="20" t="n">
        <x:f>SUMIFS('7日销售明细'!$K$5:$K$2244,'7日销售明细'!$B$5:$B$2244,B1005,'7日销售明细'!$D$5:$D$2244,C1005,'7日销售明细'!$H$5:$H$2244,E1005)</x:f>
        <x:v>41</x:v>
      </x:c>
      <x:c r="H1005" s="35" t="n">
        <x:f>SUMIFS('7日销售明细'!$L$5:$L$2244,'7日销售明细'!$B$5:$B$2244,B1005,'7日销售明细'!$D$5:$D$2244,C1005,'7日销售明细'!$H$5:$H$2244,E1005)</x:f>
        <x:v>1189</x:v>
      </x:c>
      <x:c r="I1005" s="35" t="n">
        <x:f>G1005*XLOOKUP(E1005,'菜品主数据'!$A$5:$A$24,'菜品主数据'!$G$5:$G$24,0)</x:f>
        <x:v>354.01040000000006</x:v>
      </x:c>
    </x:row>
    <x:row r="1006">
      <x:c r="A1006" s="19" t="str">
        <x:v>2026-07-08|S08|D02</x:v>
      </x:c>
      <x:c r="B1006" s="34" t="n">
        <x:v>46211.5</x:v>
      </x:c>
      <x:c r="C1006" s="19" t="str">
        <x:v>S08</x:v>
      </x:c>
      <x:c r="D1006" s="19" t="str">
        <x:v>四季青店</x:v>
      </x:c>
      <x:c r="E1006" s="19" t="str">
        <x:v>D02</x:v>
      </x:c>
      <x:c r="F1006" s="19" t="str">
        <x:v>小炒黄牛肉</x:v>
      </x:c>
      <x:c r="G1006" s="20" t="n">
        <x:f>SUMIFS('7日销售明细'!$K$5:$K$2244,'7日销售明细'!$B$5:$B$2244,B1006,'7日销售明细'!$D$5:$D$2244,C1006,'7日销售明细'!$H$5:$H$2244,E1006)</x:f>
        <x:v>28</x:v>
      </x:c>
      <x:c r="H1006" s="35" t="n">
        <x:f>SUMIFS('7日销售明细'!$L$5:$L$2244,'7日销售明细'!$B$5:$B$2244,B1006,'7日销售明细'!$D$5:$D$2244,C1006,'7日销售明细'!$H$5:$H$2244,E1006)</x:f>
        <x:v>1372</x:v>
      </x:c>
      <x:c r="I1006" s="35" t="n">
        <x:f>G1006*XLOOKUP(E1006,'菜品主数据'!$A$5:$A$24,'菜品主数据'!$G$5:$G$24,0)</x:f>
        <x:v>492.15600000000006</x:v>
      </x:c>
    </x:row>
    <x:row r="1007">
      <x:c r="A1007" s="19" t="str">
        <x:v>2026-07-08|S08|D03</x:v>
      </x:c>
      <x:c r="B1007" s="34" t="n">
        <x:v>46211.5</x:v>
      </x:c>
      <x:c r="C1007" s="19" t="str">
        <x:v>S08</x:v>
      </x:c>
      <x:c r="D1007" s="19" t="str">
        <x:v>四季青店</x:v>
      </x:c>
      <x:c r="E1007" s="19" t="str">
        <x:v>D03</x:v>
      </x:c>
      <x:c r="F1007" s="19" t="str">
        <x:v>香醋炒蛋</x:v>
      </x:c>
      <x:c r="G1007" s="20" t="n">
        <x:f>SUMIFS('7日销售明细'!$K$5:$K$2244,'7日销售明细'!$B$5:$B$2244,B1007,'7日销售明细'!$D$5:$D$2244,C1007,'7日销售明细'!$H$5:$H$2244,E1007)</x:f>
        <x:v>34</x:v>
      </x:c>
      <x:c r="H1007" s="35" t="n">
        <x:f>SUMIFS('7日销售明细'!$L$5:$L$2244,'7日销售明细'!$B$5:$B$2244,B1007,'7日销售明细'!$D$5:$D$2244,C1007,'7日销售明细'!$H$5:$H$2244,E1007)</x:f>
        <x:v>506.6</x:v>
      </x:c>
      <x:c r="I1007" s="35" t="n">
        <x:f>G1007*XLOOKUP(E1007,'菜品主数据'!$A$5:$A$24,'菜品主数据'!$G$5:$G$24,0)</x:f>
        <x:v>127.36399999999999</x:v>
      </x:c>
    </x:row>
    <x:row r="1008">
      <x:c r="A1008" s="19" t="str">
        <x:v>2026-07-08|S08|D04</x:v>
      </x:c>
      <x:c r="B1008" s="34" t="n">
        <x:v>46211.5</x:v>
      </x:c>
      <x:c r="C1008" s="19" t="str">
        <x:v>S08</x:v>
      </x:c>
      <x:c r="D1008" s="19" t="str">
        <x:v>四季青店</x:v>
      </x:c>
      <x:c r="E1008" s="19" t="str">
        <x:v>D04</x:v>
      </x:c>
      <x:c r="F1008" s="19" t="str">
        <x:v>酸包菜炒粉皮</x:v>
      </x:c>
      <x:c r="G1008" s="20" t="n">
        <x:f>SUMIFS('7日销售明细'!$K$5:$K$2244,'7日销售明细'!$B$5:$B$2244,B1008,'7日销售明细'!$D$5:$D$2244,C1008,'7日销售明细'!$H$5:$H$2244,E1008)</x:f>
        <x:v>29</x:v>
      </x:c>
      <x:c r="H1008" s="35" t="n">
        <x:f>SUMIFS('7日销售明细'!$L$5:$L$2244,'7日销售明细'!$B$5:$B$2244,B1008,'7日销售明细'!$D$5:$D$2244,C1008,'7日销售明细'!$H$5:$H$2244,E1008)</x:f>
        <x:v>464</x:v>
      </x:c>
      <x:c r="I1008" s="35" t="n">
        <x:f>G1008*XLOOKUP(E1008,'菜品主数据'!$A$5:$A$24,'菜品主数据'!$G$5:$G$24,0)</x:f>
        <x:v>115.36200000000001</x:v>
      </x:c>
    </x:row>
    <x:row r="1009">
      <x:c r="A1009" s="19" t="str">
        <x:v>2026-07-08|S08|D05</x:v>
      </x:c>
      <x:c r="B1009" s="34" t="n">
        <x:v>46211.5</x:v>
      </x:c>
      <x:c r="C1009" s="19" t="str">
        <x:v>S08</x:v>
      </x:c>
      <x:c r="D1009" s="19" t="str">
        <x:v>四季青店</x:v>
      </x:c>
      <x:c r="E1009" s="19" t="str">
        <x:v>D05</x:v>
      </x:c>
      <x:c r="F1009" s="19" t="str">
        <x:v>麻婆豆腐</x:v>
      </x:c>
      <x:c r="G1009" s="20" t="n">
        <x:f>SUMIFS('7日销售明细'!$K$5:$K$2244,'7日销售明细'!$B$5:$B$2244,B1009,'7日销售明细'!$D$5:$D$2244,C1009,'7日销售明细'!$H$5:$H$2244,E1009)</x:f>
        <x:v>46</x:v>
      </x:c>
      <x:c r="H1009" s="35" t="n">
        <x:f>SUMIFS('7日销售明细'!$L$5:$L$2244,'7日销售明细'!$B$5:$B$2244,B1009,'7日销售明细'!$D$5:$D$2244,C1009,'7日销售明细'!$H$5:$H$2244,E1009)</x:f>
        <x:v>455.40000000000003</x:v>
      </x:c>
      <x:c r="I1009" s="35" t="n">
        <x:f>G1009*XLOOKUP(E1009,'菜品主数据'!$A$5:$A$24,'菜品主数据'!$G$5:$G$24,0)</x:f>
        <x:v>246.88200000000003</x:v>
      </x:c>
    </x:row>
    <x:row r="1010">
      <x:c r="A1010" s="19" t="str">
        <x:v>2026-07-08|S08|D06</x:v>
      </x:c>
      <x:c r="B1010" s="34" t="n">
        <x:v>46211.5</x:v>
      </x:c>
      <x:c r="C1010" s="19" t="str">
        <x:v>S08</x:v>
      </x:c>
      <x:c r="D1010" s="19" t="str">
        <x:v>四季青店</x:v>
      </x:c>
      <x:c r="E1010" s="19" t="str">
        <x:v>D06</x:v>
      </x:c>
      <x:c r="F1010" s="19" t="str">
        <x:v>剁椒鱼头</x:v>
      </x:c>
      <x:c r="G1010" s="20" t="n">
        <x:f>SUMIFS('7日销售明细'!$K$5:$K$2244,'7日销售明细'!$B$5:$B$2244,B1010,'7日销售明细'!$D$5:$D$2244,C1010,'7日销售明细'!$H$5:$H$2244,E1010)</x:f>
        <x:v>10</x:v>
      </x:c>
      <x:c r="H1010" s="35" t="n">
        <x:f>SUMIFS('7日销售明细'!$L$5:$L$2244,'7日销售明细'!$B$5:$B$2244,B1010,'7日销售明细'!$D$5:$D$2244,C1010,'7日销售明细'!$H$5:$H$2244,E1010)</x:f>
        <x:v>390</x:v>
      </x:c>
      <x:c r="I1010" s="35" t="n">
        <x:f>G1010*XLOOKUP(E1010,'菜品主数据'!$A$5:$A$24,'菜品主数据'!$G$5:$G$24,0)</x:f>
        <x:v>174.46</x:v>
      </x:c>
    </x:row>
    <x:row r="1011">
      <x:c r="A1011" s="19" t="str">
        <x:v>2026-07-08|S08|D07</x:v>
      </x:c>
      <x:c r="B1011" s="34" t="n">
        <x:v>46211.5</x:v>
      </x:c>
      <x:c r="C1011" s="19" t="str">
        <x:v>S08</x:v>
      </x:c>
      <x:c r="D1011" s="19" t="str">
        <x:v>四季青店</x:v>
      </x:c>
      <x:c r="E1011" s="19" t="str">
        <x:v>D07</x:v>
      </x:c>
      <x:c r="F1011" s="19" t="str">
        <x:v>川味回锅肉</x:v>
      </x:c>
      <x:c r="G1011" s="20" t="n">
        <x:f>SUMIFS('7日销售明细'!$K$5:$K$2244,'7日销售明细'!$B$5:$B$2244,B1011,'7日销售明细'!$D$5:$D$2244,C1011,'7日销售明细'!$H$5:$H$2244,E1011)</x:f>
        <x:v>14</x:v>
      </x:c>
      <x:c r="H1011" s="35" t="n">
        <x:f>SUMIFS('7日销售明细'!$L$5:$L$2244,'7日销售明细'!$B$5:$B$2244,B1011,'7日销售明细'!$D$5:$D$2244,C1011,'7日销售明细'!$H$5:$H$2244,E1011)</x:f>
        <x:v>406</x:v>
      </x:c>
      <x:c r="I1011" s="35" t="n">
        <x:f>G1011*XLOOKUP(E1011,'菜品主数据'!$A$5:$A$24,'菜品主数据'!$G$5:$G$24,0)</x:f>
        <x:v>143.23400000000004</x:v>
      </x:c>
    </x:row>
    <x:row r="1012">
      <x:c r="A1012" s="19" t="str">
        <x:v>2026-07-08|S08|D08</x:v>
      </x:c>
      <x:c r="B1012" s="34" t="n">
        <x:v>46211.5</x:v>
      </x:c>
      <x:c r="C1012" s="19" t="str">
        <x:v>S08</x:v>
      </x:c>
      <x:c r="D1012" s="19" t="str">
        <x:v>四季青店</x:v>
      </x:c>
      <x:c r="E1012" s="19" t="str">
        <x:v>D08</x:v>
      </x:c>
      <x:c r="F1012" s="19" t="str">
        <x:v>生炒清远鸡</x:v>
      </x:c>
      <x:c r="G1012" s="20" t="n">
        <x:f>SUMIFS('7日销售明细'!$K$5:$K$2244,'7日销售明细'!$B$5:$B$2244,B1012,'7日销售明细'!$D$5:$D$2244,C1012,'7日销售明细'!$H$5:$H$2244,E1012)</x:f>
        <x:v>10</x:v>
      </x:c>
      <x:c r="H1012" s="35" t="n">
        <x:f>SUMIFS('7日销售明细'!$L$5:$L$2244,'7日销售明细'!$B$5:$B$2244,B1012,'7日销售明细'!$D$5:$D$2244,C1012,'7日销售明细'!$H$5:$H$2244,E1012)</x:f>
        <x:v>360</x:v>
      </x:c>
      <x:c r="I1012" s="35" t="n">
        <x:f>G1012*XLOOKUP(E1012,'菜品主数据'!$A$5:$A$24,'菜品主数据'!$G$5:$G$24,0)</x:f>
        <x:v>134.8</x:v>
      </x:c>
    </x:row>
    <x:row r="1013">
      <x:c r="A1013" s="19" t="str">
        <x:v>2026-07-08|S08|D09</x:v>
      </x:c>
      <x:c r="B1013" s="34" t="n">
        <x:v>46211.5</x:v>
      </x:c>
      <x:c r="C1013" s="19" t="str">
        <x:v>S08</x:v>
      </x:c>
      <x:c r="D1013" s="19" t="str">
        <x:v>四季青店</x:v>
      </x:c>
      <x:c r="E1013" s="19" t="str">
        <x:v>D09</x:v>
      </x:c>
      <x:c r="F1013" s="19" t="str">
        <x:v>炒豆干</x:v>
      </x:c>
      <x:c r="G1013" s="20" t="n">
        <x:f>SUMIFS('7日销售明细'!$K$5:$K$2244,'7日销售明细'!$B$5:$B$2244,B1013,'7日销售明细'!$D$5:$D$2244,C1013,'7日销售明细'!$H$5:$H$2244,E1013)</x:f>
        <x:v>14</x:v>
      </x:c>
      <x:c r="H1013" s="35" t="n">
        <x:f>SUMIFS('7日销售明细'!$L$5:$L$2244,'7日销售明细'!$B$5:$B$2244,B1013,'7日销售明细'!$D$5:$D$2244,C1013,'7日销售明细'!$H$5:$H$2244,E1013)</x:f>
        <x:v>252</x:v>
      </x:c>
      <x:c r="I1013" s="35" t="n">
        <x:f>G1013*XLOOKUP(E1013,'菜品主数据'!$A$5:$A$24,'菜品主数据'!$G$5:$G$24,0)</x:f>
        <x:v>92.59599999999999</x:v>
      </x:c>
    </x:row>
    <x:row r="1014">
      <x:c r="A1014" s="19" t="str">
        <x:v>2026-07-08|S08|D10</x:v>
      </x:c>
      <x:c r="B1014" s="34" t="n">
        <x:v>46211.5</x:v>
      </x:c>
      <x:c r="C1014" s="19" t="str">
        <x:v>S08</x:v>
      </x:c>
      <x:c r="D1014" s="19" t="str">
        <x:v>四季青店</x:v>
      </x:c>
      <x:c r="E1014" s="19" t="str">
        <x:v>D10</x:v>
      </x:c>
      <x:c r="F1014" s="19" t="str">
        <x:v>农家一碗香</x:v>
      </x:c>
      <x:c r="G1014" s="20" t="n">
        <x:f>SUMIFS('7日销售明细'!$K$5:$K$2244,'7日销售明细'!$B$5:$B$2244,B1014,'7日销售明细'!$D$5:$D$2244,C1014,'7日销售明细'!$H$5:$H$2244,E1014)</x:f>
        <x:v>17</x:v>
      </x:c>
      <x:c r="H1014" s="35" t="n">
        <x:f>SUMIFS('7日销售明细'!$L$5:$L$2244,'7日销售明细'!$B$5:$B$2244,B1014,'7日销售明细'!$D$5:$D$2244,C1014,'7日销售明细'!$H$5:$H$2244,E1014)</x:f>
        <x:v>389.29999999999995</x:v>
      </x:c>
      <x:c r="I1014" s="35" t="n">
        <x:f>G1014*XLOOKUP(E1014,'菜品主数据'!$A$5:$A$24,'菜品主数据'!$G$5:$G$24,0)</x:f>
        <x:v>166.09340000000003</x:v>
      </x:c>
    </x:row>
    <x:row r="1015">
      <x:c r="A1015" s="19" t="str">
        <x:v>2026-07-08|S08|D11</x:v>
      </x:c>
      <x:c r="B1015" s="34" t="n">
        <x:v>46211.5</x:v>
      </x:c>
      <x:c r="C1015" s="19" t="str">
        <x:v>S08</x:v>
      </x:c>
      <x:c r="D1015" s="19" t="str">
        <x:v>四季青店</x:v>
      </x:c>
      <x:c r="E1015" s="19" t="str">
        <x:v>D11</x:v>
      </x:c>
      <x:c r="F1015" s="19" t="str">
        <x:v>香辣爆肥肠</x:v>
      </x:c>
      <x:c r="G1015" s="20" t="n">
        <x:f>SUMIFS('7日销售明细'!$K$5:$K$2244,'7日销售明细'!$B$5:$B$2244,B1015,'7日销售明细'!$D$5:$D$2244,C1015,'7日销售明细'!$H$5:$H$2244,E1015)</x:f>
        <x:v>5</x:v>
      </x:c>
      <x:c r="H1015" s="35" t="n">
        <x:f>SUMIFS('7日销售明细'!$L$5:$L$2244,'7日销售明细'!$B$5:$B$2244,B1015,'7日销售明细'!$D$5:$D$2244,C1015,'7日销售明细'!$H$5:$H$2244,E1015)</x:f>
        <x:v>195</x:v>
      </x:c>
      <x:c r="I1015" s="35" t="n">
        <x:f>G1015*XLOOKUP(E1015,'菜品主数据'!$A$5:$A$24,'菜品主数据'!$G$5:$G$24,0)</x:f>
        <x:v>51.985</x:v>
      </x:c>
    </x:row>
    <x:row r="1016">
      <x:c r="A1016" s="19" t="str">
        <x:v>2026-07-08|S08|D12</x:v>
      </x:c>
      <x:c r="B1016" s="34" t="n">
        <x:v>46211.5</x:v>
      </x:c>
      <x:c r="C1016" s="19" t="str">
        <x:v>S08</x:v>
      </x:c>
      <x:c r="D1016" s="19" t="str">
        <x:v>四季青店</x:v>
      </x:c>
      <x:c r="E1016" s="19" t="str">
        <x:v>D12</x:v>
      </x:c>
      <x:c r="F1016" s="19" t="str">
        <x:v>清蒸鲈鱼</x:v>
      </x:c>
      <x:c r="G1016" s="20" t="n">
        <x:f>SUMIFS('7日销售明细'!$K$5:$K$2244,'7日销售明细'!$B$5:$B$2244,B1016,'7日销售明细'!$D$5:$D$2244,C1016,'7日销售明细'!$H$5:$H$2244,E1016)</x:f>
        <x:v>5</x:v>
      </x:c>
      <x:c r="H1016" s="35" t="n">
        <x:f>SUMIFS('7日销售明细'!$L$5:$L$2244,'7日销售明细'!$B$5:$B$2244,B1016,'7日销售明细'!$D$5:$D$2244,C1016,'7日销售明细'!$H$5:$H$2244,E1016)</x:f>
        <x:v>195</x:v>
      </x:c>
      <x:c r="I1016" s="35" t="n">
        <x:f>G1016*XLOOKUP(E1016,'菜品主数据'!$A$5:$A$24,'菜品主数据'!$G$5:$G$24,0)</x:f>
        <x:v>94.36999999999999</x:v>
      </x:c>
    </x:row>
    <x:row r="1017">
      <x:c r="A1017" s="19" t="str">
        <x:v>2026-07-08|S08|D13</x:v>
      </x:c>
      <x:c r="B1017" s="34" t="n">
        <x:v>46211.5</x:v>
      </x:c>
      <x:c r="C1017" s="19" t="str">
        <x:v>S08</x:v>
      </x:c>
      <x:c r="D1017" s="19" t="str">
        <x:v>四季青店</x:v>
      </x:c>
      <x:c r="E1017" s="19" t="str">
        <x:v>D13</x:v>
      </x:c>
      <x:c r="F1017" s="19" t="str">
        <x:v>外婆菜炒蛋</x:v>
      </x:c>
      <x:c r="G1017" s="20" t="n">
        <x:f>SUMIFS('7日销售明细'!$K$5:$K$2244,'7日销售明细'!$B$5:$B$2244,B1017,'7日销售明细'!$D$5:$D$2244,C1017,'7日销售明细'!$H$5:$H$2244,E1017)</x:f>
        <x:v>14</x:v>
      </x:c>
      <x:c r="H1017" s="35" t="n">
        <x:f>SUMIFS('7日销售明细'!$L$5:$L$2244,'7日销售明细'!$B$5:$B$2244,B1017,'7日销售明细'!$D$5:$D$2244,C1017,'7日销售明细'!$H$5:$H$2244,E1017)</x:f>
        <x:v>252</x:v>
      </x:c>
      <x:c r="I1017" s="35" t="n">
        <x:f>G1017*XLOOKUP(E1017,'菜品主数据'!$A$5:$A$24,'菜品主数据'!$G$5:$G$24,0)</x:f>
        <x:v>75.65599999999999</x:v>
      </x:c>
    </x:row>
    <x:row r="1018">
      <x:c r="A1018" s="19" t="str">
        <x:v>2026-07-08|S08|D14</x:v>
      </x:c>
      <x:c r="B1018" s="34" t="n">
        <x:v>46211.5</x:v>
      </x:c>
      <x:c r="C1018" s="19" t="str">
        <x:v>S08</x:v>
      </x:c>
      <x:c r="D1018" s="19" t="str">
        <x:v>四季青店</x:v>
      </x:c>
      <x:c r="E1018" s="19" t="str">
        <x:v>D14</x:v>
      </x:c>
      <x:c r="F1018" s="19" t="str">
        <x:v>酸辣鸡杂</x:v>
      </x:c>
      <x:c r="G1018" s="20" t="n">
        <x:f>SUMIFS('7日销售明细'!$K$5:$K$2244,'7日销售明细'!$B$5:$B$2244,B1018,'7日销售明细'!$D$5:$D$2244,C1018,'7日销售明细'!$H$5:$H$2244,E1018)</x:f>
        <x:v>6</x:v>
      </x:c>
      <x:c r="H1018" s="35" t="n">
        <x:f>SUMIFS('7日销售明细'!$L$5:$L$2244,'7日销售明细'!$B$5:$B$2244,B1018,'7日销售明细'!$D$5:$D$2244,C1018,'7日销售明细'!$H$5:$H$2244,E1018)</x:f>
        <x:v>168</x:v>
      </x:c>
      <x:c r="I1018" s="35" t="n">
        <x:f>G1018*XLOOKUP(E1018,'菜品主数据'!$A$5:$A$24,'菜品主数据'!$G$5:$G$24,0)</x:f>
        <x:v>49.89000000000001</x:v>
      </x:c>
    </x:row>
    <x:row r="1019">
      <x:c r="A1019" s="19" t="str">
        <x:v>2026-07-08|S08|D15</x:v>
      </x:c>
      <x:c r="B1019" s="34" t="n">
        <x:v>46211.5</x:v>
      </x:c>
      <x:c r="C1019" s="19" t="str">
        <x:v>S08</x:v>
      </x:c>
      <x:c r="D1019" s="19" t="str">
        <x:v>四季青店</x:v>
      </x:c>
      <x:c r="E1019" s="19" t="str">
        <x:v>D15</x:v>
      </x:c>
      <x:c r="F1019" s="19" t="str">
        <x:v>湘西土匪猪肝</x:v>
      </x:c>
      <x:c r="G1019" s="20" t="n">
        <x:f>SUMIFS('7日销售明细'!$K$5:$K$2244,'7日销售明细'!$B$5:$B$2244,B1019,'7日销售明细'!$D$5:$D$2244,C1019,'7日销售明细'!$H$5:$H$2244,E1019)</x:f>
        <x:v>6</x:v>
      </x:c>
      <x:c r="H1019" s="35" t="n">
        <x:f>SUMIFS('7日销售明细'!$L$5:$L$2244,'7日销售明细'!$B$5:$B$2244,B1019,'7日销售明细'!$D$5:$D$2244,C1019,'7日销售明细'!$H$5:$H$2244,E1019)</x:f>
        <x:v>156</x:v>
      </x:c>
      <x:c r="I1019" s="35" t="n">
        <x:f>G1019*XLOOKUP(E1019,'菜品主数据'!$A$5:$A$24,'菜品主数据'!$G$5:$G$24,0)</x:f>
        <x:v>38.256</x:v>
      </x:c>
    </x:row>
    <x:row r="1020">
      <x:c r="A1020" s="19" t="str">
        <x:v>2026-07-08|S08|D16</x:v>
      </x:c>
      <x:c r="B1020" s="34" t="n">
        <x:v>46211.5</x:v>
      </x:c>
      <x:c r="C1020" s="19" t="str">
        <x:v>S08</x:v>
      </x:c>
      <x:c r="D1020" s="19" t="str">
        <x:v>四季青店</x:v>
      </x:c>
      <x:c r="E1020" s="19" t="str">
        <x:v>D16</x:v>
      </x:c>
      <x:c r="F1020" s="19" t="str">
        <x:v>小豆角炒五花</x:v>
      </x:c>
      <x:c r="G1020" s="20" t="n">
        <x:f>SUMIFS('7日销售明细'!$K$5:$K$2244,'7日销售明细'!$B$5:$B$2244,B1020,'7日销售明细'!$D$5:$D$2244,C1020,'7日销售明细'!$H$5:$H$2244,E1020)</x:f>
        <x:v>6</x:v>
      </x:c>
      <x:c r="H1020" s="35" t="n">
        <x:f>SUMIFS('7日销售明细'!$L$5:$L$2244,'7日销售明细'!$B$5:$B$2244,B1020,'7日销售明细'!$D$5:$D$2244,C1020,'7日销售明细'!$H$5:$H$2244,E1020)</x:f>
        <x:v>150</x:v>
      </x:c>
      <x:c r="I1020" s="35" t="n">
        <x:f>G1020*XLOOKUP(E1020,'菜品主数据'!$A$5:$A$24,'菜品主数据'!$G$5:$G$24,0)</x:f>
        <x:v>49.104</x:v>
      </x:c>
    </x:row>
    <x:row r="1021">
      <x:c r="A1021" s="19" t="str">
        <x:v>2026-07-08|S08|D17</x:v>
      </x:c>
      <x:c r="B1021" s="34" t="n">
        <x:v>46211.5</x:v>
      </x:c>
      <x:c r="C1021" s="19" t="str">
        <x:v>S08</x:v>
      </x:c>
      <x:c r="D1021" s="19" t="str">
        <x:v>四季青店</x:v>
      </x:c>
      <x:c r="E1021" s="19" t="str">
        <x:v>D17</x:v>
      </x:c>
      <x:c r="F1021" s="19" t="str">
        <x:v>蒜蓉粉丝虾</x:v>
      </x:c>
      <x:c r="G1021" s="20" t="n">
        <x:f>SUMIFS('7日销售明细'!$K$5:$K$2244,'7日销售明细'!$B$5:$B$2244,B1021,'7日销售明细'!$D$5:$D$2244,C1021,'7日销售明细'!$H$5:$H$2244,E1021)</x:f>
        <x:v>4</x:v>
      </x:c>
      <x:c r="H1021" s="35" t="n">
        <x:f>SUMIFS('7日销售明细'!$L$5:$L$2244,'7日销售明细'!$B$5:$B$2244,B1021,'7日销售明细'!$D$5:$D$2244,C1021,'7日销售明细'!$H$5:$H$2244,E1021)</x:f>
        <x:v>144</x:v>
      </x:c>
      <x:c r="I1021" s="35" t="n">
        <x:f>G1021*XLOOKUP(E1021,'菜品主数据'!$A$5:$A$24,'菜品主数据'!$G$5:$G$24,0)</x:f>
        <x:v>54.376</x:v>
      </x:c>
    </x:row>
    <x:row r="1022">
      <x:c r="A1022" s="19" t="str">
        <x:v>2026-07-08|S08|D18</x:v>
      </x:c>
      <x:c r="B1022" s="34" t="n">
        <x:v>46211.5</x:v>
      </x:c>
      <x:c r="C1022" s="19" t="str">
        <x:v>S08</x:v>
      </x:c>
      <x:c r="D1022" s="19" t="str">
        <x:v>四季青店</x:v>
      </x:c>
      <x:c r="E1022" s="19" t="str">
        <x:v>D18</x:v>
      </x:c>
      <x:c r="F1022" s="19" t="str">
        <x:v>青椒炒油麦菜</x:v>
      </x:c>
      <x:c r="G1022" s="20" t="n">
        <x:f>SUMIFS('7日销售明细'!$K$5:$K$2244,'7日销售明细'!$B$5:$B$2244,B1022,'7日销售明细'!$D$5:$D$2244,C1022,'7日销售明细'!$H$5:$H$2244,E1022)</x:f>
        <x:v>7</x:v>
      </x:c>
      <x:c r="H1022" s="35" t="n">
        <x:f>SUMIFS('7日销售明细'!$L$5:$L$2244,'7日销售明细'!$B$5:$B$2244,B1022,'7日销售明细'!$D$5:$D$2244,C1022,'7日销售明细'!$H$5:$H$2244,E1022)</x:f>
        <x:v>126</x:v>
      </x:c>
      <x:c r="I1022" s="35" t="n">
        <x:f>G1022*XLOOKUP(E1022,'菜品主数据'!$A$5:$A$24,'菜品主数据'!$G$5:$G$24,0)</x:f>
        <x:v>22.231999999999996</x:v>
      </x:c>
    </x:row>
    <x:row r="1023">
      <x:c r="A1023" s="19" t="str">
        <x:v>2026-07-08|S08|D19</x:v>
      </x:c>
      <x:c r="B1023" s="34" t="n">
        <x:v>46211.5</x:v>
      </x:c>
      <x:c r="C1023" s="19" t="str">
        <x:v>S08</x:v>
      </x:c>
      <x:c r="D1023" s="19" t="str">
        <x:v>四季青店</x:v>
      </x:c>
      <x:c r="E1023" s="19" t="str">
        <x:v>D19</x:v>
      </x:c>
      <x:c r="F1023" s="19" t="str">
        <x:v>酸萝卜炒鸡杂</x:v>
      </x:c>
      <x:c r="G1023" s="20" t="n">
        <x:f>SUMIFS('7日销售明细'!$K$5:$K$2244,'7日销售明细'!$B$5:$B$2244,B1023,'7日销售明细'!$D$5:$D$2244,C1023,'7日销售明细'!$H$5:$H$2244,E1023)</x:f>
        <x:v>5</x:v>
      </x:c>
      <x:c r="H1023" s="35" t="n">
        <x:f>SUMIFS('7日销售明细'!$L$5:$L$2244,'7日销售明细'!$B$5:$B$2244,B1023,'7日销售明细'!$D$5:$D$2244,C1023,'7日销售明细'!$H$5:$H$2244,E1023)</x:f>
        <x:v>125</x:v>
      </x:c>
      <x:c r="I1023" s="35" t="n">
        <x:f>G1023*XLOOKUP(E1023,'菜品主数据'!$A$5:$A$24,'菜品主数据'!$G$5:$G$24,0)</x:f>
        <x:v>39.699999999999996</x:v>
      </x:c>
    </x:row>
    <x:row r="1024">
      <x:c r="A1024" s="19" t="str">
        <x:v>2026-07-08|S08|D20</x:v>
      </x:c>
      <x:c r="B1024" s="34" t="n">
        <x:v>46211.5</x:v>
      </x:c>
      <x:c r="C1024" s="19" t="str">
        <x:v>S08</x:v>
      </x:c>
      <x:c r="D1024" s="19" t="str">
        <x:v>四季青店</x:v>
      </x:c>
      <x:c r="E1024" s="19" t="str">
        <x:v>D20</x:v>
      </x:c>
      <x:c r="F1024" s="19" t="str">
        <x:v>雪菜肉末青豆</x:v>
      </x:c>
      <x:c r="G1024" s="20" t="n">
        <x:f>SUMIFS('7日销售明细'!$K$5:$K$2244,'7日销售明细'!$B$5:$B$2244,B1024,'7日销售明细'!$D$5:$D$2244,C1024,'7日销售明细'!$H$5:$H$2244,E1024)</x:f>
        <x:v>7</x:v>
      </x:c>
      <x:c r="H1024" s="35" t="n">
        <x:f>SUMIFS('7日销售明细'!$L$5:$L$2244,'7日销售明细'!$B$5:$B$2244,B1024,'7日销售明细'!$D$5:$D$2244,C1024,'7日销售明细'!$H$5:$H$2244,E1024)</x:f>
        <x:v>126</x:v>
      </x:c>
      <x:c r="I1024" s="35" t="n">
        <x:f>G1024*XLOOKUP(E1024,'菜品主数据'!$A$5:$A$24,'菜品主数据'!$G$5:$G$24,0)</x:f>
        <x:v>51.12799999999999</x:v>
      </x:c>
    </x:row>
    <x:row r="1025">
      <x:c r="A1025" s="19" t="str">
        <x:v>2026-07-09|S08|D01</x:v>
      </x:c>
      <x:c r="B1025" s="34" t="n">
        <x:v>46212.5</x:v>
      </x:c>
      <x:c r="C1025" s="19" t="str">
        <x:v>S08</x:v>
      </x:c>
      <x:c r="D1025" s="19" t="str">
        <x:v>四季青店</x:v>
      </x:c>
      <x:c r="E1025" s="19" t="str">
        <x:v>D01</x:v>
      </x:c>
      <x:c r="F1025" s="19" t="str">
        <x:v>辣椒炒肉</x:v>
      </x:c>
      <x:c r="G1025" s="20" t="n">
        <x:f>SUMIFS('7日销售明细'!$K$5:$K$2244,'7日销售明细'!$B$5:$B$2244,B1025,'7日销售明细'!$D$5:$D$2244,C1025,'7日销售明细'!$H$5:$H$2244,E1025)</x:f>
        <x:v>42</x:v>
      </x:c>
      <x:c r="H1025" s="35" t="n">
        <x:f>SUMIFS('7日销售明细'!$L$5:$L$2244,'7日销售明细'!$B$5:$B$2244,B1025,'7日销售明细'!$D$5:$D$2244,C1025,'7日销售明细'!$H$5:$H$2244,E1025)</x:f>
        <x:v>1218</x:v>
      </x:c>
      <x:c r="I1025" s="35" t="n">
        <x:f>G1025*XLOOKUP(E1025,'菜品主数据'!$A$5:$A$24,'菜品主数据'!$G$5:$G$24,0)</x:f>
        <x:v>362.64480000000003</x:v>
      </x:c>
    </x:row>
    <x:row r="1026">
      <x:c r="A1026" s="19" t="str">
        <x:v>2026-07-09|S08|D02</x:v>
      </x:c>
      <x:c r="B1026" s="34" t="n">
        <x:v>46212.5</x:v>
      </x:c>
      <x:c r="C1026" s="19" t="str">
        <x:v>S08</x:v>
      </x:c>
      <x:c r="D1026" s="19" t="str">
        <x:v>四季青店</x:v>
      </x:c>
      <x:c r="E1026" s="19" t="str">
        <x:v>D02</x:v>
      </x:c>
      <x:c r="F1026" s="19" t="str">
        <x:v>小炒黄牛肉</x:v>
      </x:c>
      <x:c r="G1026" s="20" t="n">
        <x:f>SUMIFS('7日销售明细'!$K$5:$K$2244,'7日销售明细'!$B$5:$B$2244,B1026,'7日销售明细'!$D$5:$D$2244,C1026,'7日销售明细'!$H$5:$H$2244,E1026)</x:f>
        <x:v>29</x:v>
      </x:c>
      <x:c r="H1026" s="35" t="n">
        <x:f>SUMIFS('7日销售明细'!$L$5:$L$2244,'7日销售明细'!$B$5:$B$2244,B1026,'7日销售明细'!$D$5:$D$2244,C1026,'7日销售明细'!$H$5:$H$2244,E1026)</x:f>
        <x:v>1421</x:v>
      </x:c>
      <x:c r="I1026" s="35" t="n">
        <x:f>G1026*XLOOKUP(E1026,'菜品主数据'!$A$5:$A$24,'菜品主数据'!$G$5:$G$24,0)</x:f>
        <x:v>509.73300000000006</x:v>
      </x:c>
    </x:row>
    <x:row r="1027">
      <x:c r="A1027" s="19" t="str">
        <x:v>2026-07-09|S08|D03</x:v>
      </x:c>
      <x:c r="B1027" s="34" t="n">
        <x:v>46212.5</x:v>
      </x:c>
      <x:c r="C1027" s="19" t="str">
        <x:v>S08</x:v>
      </x:c>
      <x:c r="D1027" s="19" t="str">
        <x:v>四季青店</x:v>
      </x:c>
      <x:c r="E1027" s="19" t="str">
        <x:v>D03</x:v>
      </x:c>
      <x:c r="F1027" s="19" t="str">
        <x:v>香醋炒蛋</x:v>
      </x:c>
      <x:c r="G1027" s="20" t="n">
        <x:f>SUMIFS('7日销售明细'!$K$5:$K$2244,'7日销售明细'!$B$5:$B$2244,B1027,'7日销售明细'!$D$5:$D$2244,C1027,'7日销售明细'!$H$5:$H$2244,E1027)</x:f>
        <x:v>34</x:v>
      </x:c>
      <x:c r="H1027" s="35" t="n">
        <x:f>SUMIFS('7日销售明细'!$L$5:$L$2244,'7日销售明细'!$B$5:$B$2244,B1027,'7日销售明细'!$D$5:$D$2244,C1027,'7日销售明细'!$H$5:$H$2244,E1027)</x:f>
        <x:v>506.6</x:v>
      </x:c>
      <x:c r="I1027" s="35" t="n">
        <x:f>G1027*XLOOKUP(E1027,'菜品主数据'!$A$5:$A$24,'菜品主数据'!$G$5:$G$24,0)</x:f>
        <x:v>127.36399999999999</x:v>
      </x:c>
    </x:row>
    <x:row r="1028">
      <x:c r="A1028" s="19" t="str">
        <x:v>2026-07-09|S08|D04</x:v>
      </x:c>
      <x:c r="B1028" s="34" t="n">
        <x:v>46212.5</x:v>
      </x:c>
      <x:c r="C1028" s="19" t="str">
        <x:v>S08</x:v>
      </x:c>
      <x:c r="D1028" s="19" t="str">
        <x:v>四季青店</x:v>
      </x:c>
      <x:c r="E1028" s="19" t="str">
        <x:v>D04</x:v>
      </x:c>
      <x:c r="F1028" s="19" t="str">
        <x:v>酸包菜炒粉皮</x:v>
      </x:c>
      <x:c r="G1028" s="20" t="n">
        <x:f>SUMIFS('7日销售明细'!$K$5:$K$2244,'7日销售明细'!$B$5:$B$2244,B1028,'7日销售明细'!$D$5:$D$2244,C1028,'7日销售明细'!$H$5:$H$2244,E1028)</x:f>
        <x:v>30</x:v>
      </x:c>
      <x:c r="H1028" s="35" t="n">
        <x:f>SUMIFS('7日销售明细'!$L$5:$L$2244,'7日销售明细'!$B$5:$B$2244,B1028,'7日销售明细'!$D$5:$D$2244,C1028,'7日销售明细'!$H$5:$H$2244,E1028)</x:f>
        <x:v>480</x:v>
      </x:c>
      <x:c r="I1028" s="35" t="n">
        <x:f>G1028*XLOOKUP(E1028,'菜品主数据'!$A$5:$A$24,'菜品主数据'!$G$5:$G$24,0)</x:f>
        <x:v>119.34</x:v>
      </x:c>
    </x:row>
    <x:row r="1029">
      <x:c r="A1029" s="19" t="str">
        <x:v>2026-07-09|S08|D05</x:v>
      </x:c>
      <x:c r="B1029" s="34" t="n">
        <x:v>46212.5</x:v>
      </x:c>
      <x:c r="C1029" s="19" t="str">
        <x:v>S08</x:v>
      </x:c>
      <x:c r="D1029" s="19" t="str">
        <x:v>四季青店</x:v>
      </x:c>
      <x:c r="E1029" s="19" t="str">
        <x:v>D05</x:v>
      </x:c>
      <x:c r="F1029" s="19" t="str">
        <x:v>麻婆豆腐</x:v>
      </x:c>
      <x:c r="G1029" s="20" t="n">
        <x:f>SUMIFS('7日销售明细'!$K$5:$K$2244,'7日销售明细'!$B$5:$B$2244,B1029,'7日销售明细'!$D$5:$D$2244,C1029,'7日销售明细'!$H$5:$H$2244,E1029)</x:f>
        <x:v>43</x:v>
      </x:c>
      <x:c r="H1029" s="35" t="n">
        <x:f>SUMIFS('7日销售明细'!$L$5:$L$2244,'7日销售明细'!$B$5:$B$2244,B1029,'7日销售明细'!$D$5:$D$2244,C1029,'7日销售明细'!$H$5:$H$2244,E1029)</x:f>
        <x:v>425.70000000000005</x:v>
      </x:c>
      <x:c r="I1029" s="35" t="n">
        <x:f>G1029*XLOOKUP(E1029,'菜品主数据'!$A$5:$A$24,'菜品主数据'!$G$5:$G$24,0)</x:f>
        <x:v>230.78100000000003</x:v>
      </x:c>
    </x:row>
    <x:row r="1030">
      <x:c r="A1030" s="19" t="str">
        <x:v>2026-07-09|S08|D06</x:v>
      </x:c>
      <x:c r="B1030" s="34" t="n">
        <x:v>46212.5</x:v>
      </x:c>
      <x:c r="C1030" s="19" t="str">
        <x:v>S08</x:v>
      </x:c>
      <x:c r="D1030" s="19" t="str">
        <x:v>四季青店</x:v>
      </x:c>
      <x:c r="E1030" s="19" t="str">
        <x:v>D06</x:v>
      </x:c>
      <x:c r="F1030" s="19" t="str">
        <x:v>剁椒鱼头</x:v>
      </x:c>
      <x:c r="G1030" s="20" t="n">
        <x:f>SUMIFS('7日销售明细'!$K$5:$K$2244,'7日销售明细'!$B$5:$B$2244,B1030,'7日销售明细'!$D$5:$D$2244,C1030,'7日销售明细'!$H$5:$H$2244,E1030)</x:f>
        <x:v>11</x:v>
      </x:c>
      <x:c r="H1030" s="35" t="n">
        <x:f>SUMIFS('7日销售明细'!$L$5:$L$2244,'7日销售明细'!$B$5:$B$2244,B1030,'7日销售明细'!$D$5:$D$2244,C1030,'7日销售明细'!$H$5:$H$2244,E1030)</x:f>
        <x:v>429</x:v>
      </x:c>
      <x:c r="I1030" s="35" t="n">
        <x:f>G1030*XLOOKUP(E1030,'菜品主数据'!$A$5:$A$24,'菜品主数据'!$G$5:$G$24,0)</x:f>
        <x:v>191.906</x:v>
      </x:c>
    </x:row>
    <x:row r="1031">
      <x:c r="A1031" s="19" t="str">
        <x:v>2026-07-09|S08|D07</x:v>
      </x:c>
      <x:c r="B1031" s="34" t="n">
        <x:v>46212.5</x:v>
      </x:c>
      <x:c r="C1031" s="19" t="str">
        <x:v>S08</x:v>
      </x:c>
      <x:c r="D1031" s="19" t="str">
        <x:v>四季青店</x:v>
      </x:c>
      <x:c r="E1031" s="19" t="str">
        <x:v>D07</x:v>
      </x:c>
      <x:c r="F1031" s="19" t="str">
        <x:v>川味回锅肉</x:v>
      </x:c>
      <x:c r="G1031" s="20" t="n">
        <x:f>SUMIFS('7日销售明细'!$K$5:$K$2244,'7日销售明细'!$B$5:$B$2244,B1031,'7日销售明细'!$D$5:$D$2244,C1031,'7日销售明细'!$H$5:$H$2244,E1031)</x:f>
        <x:v>12</x:v>
      </x:c>
      <x:c r="H1031" s="35" t="n">
        <x:f>SUMIFS('7日销售明细'!$L$5:$L$2244,'7日销售明细'!$B$5:$B$2244,B1031,'7日销售明细'!$D$5:$D$2244,C1031,'7日销售明细'!$H$5:$H$2244,E1031)</x:f>
        <x:v>348</x:v>
      </x:c>
      <x:c r="I1031" s="35" t="n">
        <x:f>G1031*XLOOKUP(E1031,'菜品主数据'!$A$5:$A$24,'菜品主数据'!$G$5:$G$24,0)</x:f>
        <x:v>122.77200000000002</x:v>
      </x:c>
    </x:row>
    <x:row r="1032">
      <x:c r="A1032" s="19" t="str">
        <x:v>2026-07-09|S08|D08</x:v>
      </x:c>
      <x:c r="B1032" s="34" t="n">
        <x:v>46212.5</x:v>
      </x:c>
      <x:c r="C1032" s="19" t="str">
        <x:v>S08</x:v>
      </x:c>
      <x:c r="D1032" s="19" t="str">
        <x:v>四季青店</x:v>
      </x:c>
      <x:c r="E1032" s="19" t="str">
        <x:v>D08</x:v>
      </x:c>
      <x:c r="F1032" s="19" t="str">
        <x:v>生炒清远鸡</x:v>
      </x:c>
      <x:c r="G1032" s="20" t="n">
        <x:f>SUMIFS('7日销售明细'!$K$5:$K$2244,'7日销售明细'!$B$5:$B$2244,B1032,'7日销售明细'!$D$5:$D$2244,C1032,'7日销售明细'!$H$5:$H$2244,E1032)</x:f>
        <x:v>8</x:v>
      </x:c>
      <x:c r="H1032" s="35" t="n">
        <x:f>SUMIFS('7日销售明细'!$L$5:$L$2244,'7日销售明细'!$B$5:$B$2244,B1032,'7日销售明细'!$D$5:$D$2244,C1032,'7日销售明细'!$H$5:$H$2244,E1032)</x:f>
        <x:v>288</x:v>
      </x:c>
      <x:c r="I1032" s="35" t="n">
        <x:f>G1032*XLOOKUP(E1032,'菜品主数据'!$A$5:$A$24,'菜品主数据'!$G$5:$G$24,0)</x:f>
        <x:v>107.84</x:v>
      </x:c>
    </x:row>
    <x:row r="1033">
      <x:c r="A1033" s="19" t="str">
        <x:v>2026-07-09|S08|D09</x:v>
      </x:c>
      <x:c r="B1033" s="34" t="n">
        <x:v>46212.5</x:v>
      </x:c>
      <x:c r="C1033" s="19" t="str">
        <x:v>S08</x:v>
      </x:c>
      <x:c r="D1033" s="19" t="str">
        <x:v>四季青店</x:v>
      </x:c>
      <x:c r="E1033" s="19" t="str">
        <x:v>D09</x:v>
      </x:c>
      <x:c r="F1033" s="19" t="str">
        <x:v>炒豆干</x:v>
      </x:c>
      <x:c r="G1033" s="20" t="n">
        <x:f>SUMIFS('7日销售明细'!$K$5:$K$2244,'7日销售明细'!$B$5:$B$2244,B1033,'7日销售明细'!$D$5:$D$2244,C1033,'7日销售明细'!$H$5:$H$2244,E1033)</x:f>
        <x:v>14</x:v>
      </x:c>
      <x:c r="H1033" s="35" t="n">
        <x:f>SUMIFS('7日销售明细'!$L$5:$L$2244,'7日销售明细'!$B$5:$B$2244,B1033,'7日销售明细'!$D$5:$D$2244,C1033,'7日销售明细'!$H$5:$H$2244,E1033)</x:f>
        <x:v>252</x:v>
      </x:c>
      <x:c r="I1033" s="35" t="n">
        <x:f>G1033*XLOOKUP(E1033,'菜品主数据'!$A$5:$A$24,'菜品主数据'!$G$5:$G$24,0)</x:f>
        <x:v>92.59599999999999</x:v>
      </x:c>
    </x:row>
    <x:row r="1034">
      <x:c r="A1034" s="19" t="str">
        <x:v>2026-07-09|S08|D10</x:v>
      </x:c>
      <x:c r="B1034" s="34" t="n">
        <x:v>46212.5</x:v>
      </x:c>
      <x:c r="C1034" s="19" t="str">
        <x:v>S08</x:v>
      </x:c>
      <x:c r="D1034" s="19" t="str">
        <x:v>四季青店</x:v>
      </x:c>
      <x:c r="E1034" s="19" t="str">
        <x:v>D10</x:v>
      </x:c>
      <x:c r="F1034" s="19" t="str">
        <x:v>农家一碗香</x:v>
      </x:c>
      <x:c r="G1034" s="20" t="n">
        <x:f>SUMIFS('7日销售明细'!$K$5:$K$2244,'7日销售明细'!$B$5:$B$2244,B1034,'7日销售明细'!$D$5:$D$2244,C1034,'7日销售明细'!$H$5:$H$2244,E1034)</x:f>
        <x:v>14</x:v>
      </x:c>
      <x:c r="H1034" s="35" t="n">
        <x:f>SUMIFS('7日销售明细'!$L$5:$L$2244,'7日销售明细'!$B$5:$B$2244,B1034,'7日销售明细'!$D$5:$D$2244,C1034,'7日销售明细'!$H$5:$H$2244,E1034)</x:f>
        <x:v>320.59999999999997</x:v>
      </x:c>
      <x:c r="I1034" s="35" t="n">
        <x:f>G1034*XLOOKUP(E1034,'菜品主数据'!$A$5:$A$24,'菜品主数据'!$G$5:$G$24,0)</x:f>
        <x:v>136.78280000000004</x:v>
      </x:c>
    </x:row>
    <x:row r="1035">
      <x:c r="A1035" s="19" t="str">
        <x:v>2026-07-09|S08|D11</x:v>
      </x:c>
      <x:c r="B1035" s="34" t="n">
        <x:v>46212.5</x:v>
      </x:c>
      <x:c r="C1035" s="19" t="str">
        <x:v>S08</x:v>
      </x:c>
      <x:c r="D1035" s="19" t="str">
        <x:v>四季青店</x:v>
      </x:c>
      <x:c r="E1035" s="19" t="str">
        <x:v>D11</x:v>
      </x:c>
      <x:c r="F1035" s="19" t="str">
        <x:v>香辣爆肥肠</x:v>
      </x:c>
      <x:c r="G1035" s="20" t="n">
        <x:f>SUMIFS('7日销售明细'!$K$5:$K$2244,'7日销售明细'!$B$5:$B$2244,B1035,'7日销售明细'!$D$5:$D$2244,C1035,'7日销售明细'!$H$5:$H$2244,E1035)</x:f>
        <x:v>5</x:v>
      </x:c>
      <x:c r="H1035" s="35" t="n">
        <x:f>SUMIFS('7日销售明细'!$L$5:$L$2244,'7日销售明细'!$B$5:$B$2244,B1035,'7日销售明细'!$D$5:$D$2244,C1035,'7日销售明细'!$H$5:$H$2244,E1035)</x:f>
        <x:v>195</x:v>
      </x:c>
      <x:c r="I1035" s="35" t="n">
        <x:f>G1035*XLOOKUP(E1035,'菜品主数据'!$A$5:$A$24,'菜品主数据'!$G$5:$G$24,0)</x:f>
        <x:v>51.985</x:v>
      </x:c>
    </x:row>
    <x:row r="1036">
      <x:c r="A1036" s="19" t="str">
        <x:v>2026-07-09|S08|D12</x:v>
      </x:c>
      <x:c r="B1036" s="34" t="n">
        <x:v>46212.5</x:v>
      </x:c>
      <x:c r="C1036" s="19" t="str">
        <x:v>S08</x:v>
      </x:c>
      <x:c r="D1036" s="19" t="str">
        <x:v>四季青店</x:v>
      </x:c>
      <x:c r="E1036" s="19" t="str">
        <x:v>D12</x:v>
      </x:c>
      <x:c r="F1036" s="19" t="str">
        <x:v>清蒸鲈鱼</x:v>
      </x:c>
      <x:c r="G1036" s="20" t="n">
        <x:f>SUMIFS('7日销售明细'!$K$5:$K$2244,'7日销售明细'!$B$5:$B$2244,B1036,'7日销售明细'!$D$5:$D$2244,C1036,'7日销售明细'!$H$5:$H$2244,E1036)</x:f>
        <x:v>5</x:v>
      </x:c>
      <x:c r="H1036" s="35" t="n">
        <x:f>SUMIFS('7日销售明细'!$L$5:$L$2244,'7日销售明细'!$B$5:$B$2244,B1036,'7日销售明细'!$D$5:$D$2244,C1036,'7日销售明细'!$H$5:$H$2244,E1036)</x:f>
        <x:v>195</x:v>
      </x:c>
      <x:c r="I1036" s="35" t="n">
        <x:f>G1036*XLOOKUP(E1036,'菜品主数据'!$A$5:$A$24,'菜品主数据'!$G$5:$G$24,0)</x:f>
        <x:v>94.36999999999999</x:v>
      </x:c>
    </x:row>
    <x:row r="1037">
      <x:c r="A1037" s="19" t="str">
        <x:v>2026-07-09|S08|D13</x:v>
      </x:c>
      <x:c r="B1037" s="34" t="n">
        <x:v>46212.5</x:v>
      </x:c>
      <x:c r="C1037" s="19" t="str">
        <x:v>S08</x:v>
      </x:c>
      <x:c r="D1037" s="19" t="str">
        <x:v>四季青店</x:v>
      </x:c>
      <x:c r="E1037" s="19" t="str">
        <x:v>D13</x:v>
      </x:c>
      <x:c r="F1037" s="19" t="str">
        <x:v>外婆菜炒蛋</x:v>
      </x:c>
      <x:c r="G1037" s="20" t="n">
        <x:f>SUMIFS('7日销售明细'!$K$5:$K$2244,'7日销售明细'!$B$5:$B$2244,B1037,'7日销售明细'!$D$5:$D$2244,C1037,'7日销售明细'!$H$5:$H$2244,E1037)</x:f>
        <x:v>13</x:v>
      </x:c>
      <x:c r="H1037" s="35" t="n">
        <x:f>SUMIFS('7日销售明细'!$L$5:$L$2244,'7日销售明细'!$B$5:$B$2244,B1037,'7日销售明细'!$D$5:$D$2244,C1037,'7日销售明细'!$H$5:$H$2244,E1037)</x:f>
        <x:v>234</x:v>
      </x:c>
      <x:c r="I1037" s="35" t="n">
        <x:f>G1037*XLOOKUP(E1037,'菜品主数据'!$A$5:$A$24,'菜品主数据'!$G$5:$G$24,0)</x:f>
        <x:v>70.25199999999998</x:v>
      </x:c>
    </x:row>
    <x:row r="1038">
      <x:c r="A1038" s="19" t="str">
        <x:v>2026-07-09|S08|D14</x:v>
      </x:c>
      <x:c r="B1038" s="34" t="n">
        <x:v>46212.5</x:v>
      </x:c>
      <x:c r="C1038" s="19" t="str">
        <x:v>S08</x:v>
      </x:c>
      <x:c r="D1038" s="19" t="str">
        <x:v>四季青店</x:v>
      </x:c>
      <x:c r="E1038" s="19" t="str">
        <x:v>D14</x:v>
      </x:c>
      <x:c r="F1038" s="19" t="str">
        <x:v>酸辣鸡杂</x:v>
      </x:c>
      <x:c r="G1038" s="20" t="n">
        <x:f>SUMIFS('7日销售明细'!$K$5:$K$2244,'7日销售明细'!$B$5:$B$2244,B1038,'7日销售明细'!$D$5:$D$2244,C1038,'7日销售明细'!$H$5:$H$2244,E1038)</x:f>
        <x:v>6</x:v>
      </x:c>
      <x:c r="H1038" s="35" t="n">
        <x:f>SUMIFS('7日销售明细'!$L$5:$L$2244,'7日销售明细'!$B$5:$B$2244,B1038,'7日销售明细'!$D$5:$D$2244,C1038,'7日销售明细'!$H$5:$H$2244,E1038)</x:f>
        <x:v>168</x:v>
      </x:c>
      <x:c r="I1038" s="35" t="n">
        <x:f>G1038*XLOOKUP(E1038,'菜品主数据'!$A$5:$A$24,'菜品主数据'!$G$5:$G$24,0)</x:f>
        <x:v>49.89000000000001</x:v>
      </x:c>
    </x:row>
    <x:row r="1039">
      <x:c r="A1039" s="19" t="str">
        <x:v>2026-07-09|S08|D15</x:v>
      </x:c>
      <x:c r="B1039" s="34" t="n">
        <x:v>46212.5</x:v>
      </x:c>
      <x:c r="C1039" s="19" t="str">
        <x:v>S08</x:v>
      </x:c>
      <x:c r="D1039" s="19" t="str">
        <x:v>四季青店</x:v>
      </x:c>
      <x:c r="E1039" s="19" t="str">
        <x:v>D15</x:v>
      </x:c>
      <x:c r="F1039" s="19" t="str">
        <x:v>湘西土匪猪肝</x:v>
      </x:c>
      <x:c r="G1039" s="20" t="n">
        <x:f>SUMIFS('7日销售明细'!$K$5:$K$2244,'7日销售明细'!$B$5:$B$2244,B1039,'7日销售明细'!$D$5:$D$2244,C1039,'7日销售明细'!$H$5:$H$2244,E1039)</x:f>
        <x:v>5</x:v>
      </x:c>
      <x:c r="H1039" s="35" t="n">
        <x:f>SUMIFS('7日销售明细'!$L$5:$L$2244,'7日销售明细'!$B$5:$B$2244,B1039,'7日销售明细'!$D$5:$D$2244,C1039,'7日销售明细'!$H$5:$H$2244,E1039)</x:f>
        <x:v>130</x:v>
      </x:c>
      <x:c r="I1039" s="35" t="n">
        <x:f>G1039*XLOOKUP(E1039,'菜品主数据'!$A$5:$A$24,'菜品主数据'!$G$5:$G$24,0)</x:f>
        <x:v>31.879999999999995</x:v>
      </x:c>
    </x:row>
    <x:row r="1040">
      <x:c r="A1040" s="19" t="str">
        <x:v>2026-07-09|S08|D16</x:v>
      </x:c>
      <x:c r="B1040" s="34" t="n">
        <x:v>46212.5</x:v>
      </x:c>
      <x:c r="C1040" s="19" t="str">
        <x:v>S08</x:v>
      </x:c>
      <x:c r="D1040" s="19" t="str">
        <x:v>四季青店</x:v>
      </x:c>
      <x:c r="E1040" s="19" t="str">
        <x:v>D16</x:v>
      </x:c>
      <x:c r="F1040" s="19" t="str">
        <x:v>小豆角炒五花</x:v>
      </x:c>
      <x:c r="G1040" s="20" t="n">
        <x:f>SUMIFS('7日销售明细'!$K$5:$K$2244,'7日销售明细'!$B$5:$B$2244,B1040,'7日销售明细'!$D$5:$D$2244,C1040,'7日销售明细'!$H$5:$H$2244,E1040)</x:f>
        <x:v>6</x:v>
      </x:c>
      <x:c r="H1040" s="35" t="n">
        <x:f>SUMIFS('7日销售明细'!$L$5:$L$2244,'7日销售明细'!$B$5:$B$2244,B1040,'7日销售明细'!$D$5:$D$2244,C1040,'7日销售明细'!$H$5:$H$2244,E1040)</x:f>
        <x:v>150</x:v>
      </x:c>
      <x:c r="I1040" s="35" t="n">
        <x:f>G1040*XLOOKUP(E1040,'菜品主数据'!$A$5:$A$24,'菜品主数据'!$G$5:$G$24,0)</x:f>
        <x:v>49.104</x:v>
      </x:c>
    </x:row>
    <x:row r="1041">
      <x:c r="A1041" s="19" t="str">
        <x:v>2026-07-09|S08|D17</x:v>
      </x:c>
      <x:c r="B1041" s="34" t="n">
        <x:v>46212.5</x:v>
      </x:c>
      <x:c r="C1041" s="19" t="str">
        <x:v>S08</x:v>
      </x:c>
      <x:c r="D1041" s="19" t="str">
        <x:v>四季青店</x:v>
      </x:c>
      <x:c r="E1041" s="19" t="str">
        <x:v>D17</x:v>
      </x:c>
      <x:c r="F1041" s="19" t="str">
        <x:v>蒜蓉粉丝虾</x:v>
      </x:c>
      <x:c r="G1041" s="20" t="n">
        <x:f>SUMIFS('7日销售明细'!$K$5:$K$2244,'7日销售明细'!$B$5:$B$2244,B1041,'7日销售明细'!$D$5:$D$2244,C1041,'7日销售明细'!$H$5:$H$2244,E1041)</x:f>
        <x:v>4</x:v>
      </x:c>
      <x:c r="H1041" s="35" t="n">
        <x:f>SUMIFS('7日销售明细'!$L$5:$L$2244,'7日销售明细'!$B$5:$B$2244,B1041,'7日销售明细'!$D$5:$D$2244,C1041,'7日销售明细'!$H$5:$H$2244,E1041)</x:f>
        <x:v>144</x:v>
      </x:c>
      <x:c r="I1041" s="35" t="n">
        <x:f>G1041*XLOOKUP(E1041,'菜品主数据'!$A$5:$A$24,'菜品主数据'!$G$5:$G$24,0)</x:f>
        <x:v>54.376</x:v>
      </x:c>
    </x:row>
    <x:row r="1042">
      <x:c r="A1042" s="19" t="str">
        <x:v>2026-07-09|S08|D18</x:v>
      </x:c>
      <x:c r="B1042" s="34" t="n">
        <x:v>46212.5</x:v>
      </x:c>
      <x:c r="C1042" s="19" t="str">
        <x:v>S08</x:v>
      </x:c>
      <x:c r="D1042" s="19" t="str">
        <x:v>四季青店</x:v>
      </x:c>
      <x:c r="E1042" s="19" t="str">
        <x:v>D18</x:v>
      </x:c>
      <x:c r="F1042" s="19" t="str">
        <x:v>青椒炒油麦菜</x:v>
      </x:c>
      <x:c r="G1042" s="20" t="n">
        <x:f>SUMIFS('7日销售明细'!$K$5:$K$2244,'7日销售明细'!$B$5:$B$2244,B1042,'7日销售明细'!$D$5:$D$2244,C1042,'7日销售明细'!$H$5:$H$2244,E1042)</x:f>
        <x:v>7</x:v>
      </x:c>
      <x:c r="H1042" s="35" t="n">
        <x:f>SUMIFS('7日销售明细'!$L$5:$L$2244,'7日销售明细'!$B$5:$B$2244,B1042,'7日销售明细'!$D$5:$D$2244,C1042,'7日销售明细'!$H$5:$H$2244,E1042)</x:f>
        <x:v>126</x:v>
      </x:c>
      <x:c r="I1042" s="35" t="n">
        <x:f>G1042*XLOOKUP(E1042,'菜品主数据'!$A$5:$A$24,'菜品主数据'!$G$5:$G$24,0)</x:f>
        <x:v>22.231999999999996</x:v>
      </x:c>
    </x:row>
    <x:row r="1043">
      <x:c r="A1043" s="19" t="str">
        <x:v>2026-07-09|S08|D19</x:v>
      </x:c>
      <x:c r="B1043" s="34" t="n">
        <x:v>46212.5</x:v>
      </x:c>
      <x:c r="C1043" s="19" t="str">
        <x:v>S08</x:v>
      </x:c>
      <x:c r="D1043" s="19" t="str">
        <x:v>四季青店</x:v>
      </x:c>
      <x:c r="E1043" s="19" t="str">
        <x:v>D19</x:v>
      </x:c>
      <x:c r="F1043" s="19" t="str">
        <x:v>酸萝卜炒鸡杂</x:v>
      </x:c>
      <x:c r="G1043" s="20" t="n">
        <x:f>SUMIFS('7日销售明细'!$K$5:$K$2244,'7日销售明细'!$B$5:$B$2244,B1043,'7日销售明细'!$D$5:$D$2244,C1043,'7日销售明细'!$H$5:$H$2244,E1043)</x:f>
        <x:v>5</x:v>
      </x:c>
      <x:c r="H1043" s="35" t="n">
        <x:f>SUMIFS('7日销售明细'!$L$5:$L$2244,'7日销售明细'!$B$5:$B$2244,B1043,'7日销售明细'!$D$5:$D$2244,C1043,'7日销售明细'!$H$5:$H$2244,E1043)</x:f>
        <x:v>125</x:v>
      </x:c>
      <x:c r="I1043" s="35" t="n">
        <x:f>G1043*XLOOKUP(E1043,'菜品主数据'!$A$5:$A$24,'菜品主数据'!$G$5:$G$24,0)</x:f>
        <x:v>39.699999999999996</x:v>
      </x:c>
    </x:row>
    <x:row r="1044">
      <x:c r="A1044" s="19" t="str">
        <x:v>2026-07-09|S08|D20</x:v>
      </x:c>
      <x:c r="B1044" s="34" t="n">
        <x:v>46212.5</x:v>
      </x:c>
      <x:c r="C1044" s="19" t="str">
        <x:v>S08</x:v>
      </x:c>
      <x:c r="D1044" s="19" t="str">
        <x:v>四季青店</x:v>
      </x:c>
      <x:c r="E1044" s="19" t="str">
        <x:v>D20</x:v>
      </x:c>
      <x:c r="F1044" s="19" t="str">
        <x:v>雪菜肉末青豆</x:v>
      </x:c>
      <x:c r="G1044" s="20" t="n">
        <x:f>SUMIFS('7日销售明细'!$K$5:$K$2244,'7日销售明细'!$B$5:$B$2244,B1044,'7日销售明细'!$D$5:$D$2244,C1044,'7日销售明细'!$H$5:$H$2244,E1044)</x:f>
        <x:v>7</x:v>
      </x:c>
      <x:c r="H1044" s="35" t="n">
        <x:f>SUMIFS('7日销售明细'!$L$5:$L$2244,'7日销售明细'!$B$5:$B$2244,B1044,'7日销售明细'!$D$5:$D$2244,C1044,'7日销售明细'!$H$5:$H$2244,E1044)</x:f>
        <x:v>126</x:v>
      </x:c>
      <x:c r="I1044" s="35" t="n">
        <x:f>G1044*XLOOKUP(E1044,'菜品主数据'!$A$5:$A$24,'菜品主数据'!$G$5:$G$24,0)</x:f>
        <x:v>51.12799999999999</x:v>
      </x:c>
    </x:row>
    <x:row r="1045">
      <x:c r="A1045" s="19" t="str">
        <x:v>2026-07-10|S08|D01</x:v>
      </x:c>
      <x:c r="B1045" s="34" t="n">
        <x:v>46213.5</x:v>
      </x:c>
      <x:c r="C1045" s="19" t="str">
        <x:v>S08</x:v>
      </x:c>
      <x:c r="D1045" s="19" t="str">
        <x:v>四季青店</x:v>
      </x:c>
      <x:c r="E1045" s="19" t="str">
        <x:v>D01</x:v>
      </x:c>
      <x:c r="F1045" s="19" t="str">
        <x:v>辣椒炒肉</x:v>
      </x:c>
      <x:c r="G1045" s="20" t="n">
        <x:f>SUMIFS('7日销售明细'!$K$5:$K$2244,'7日销售明细'!$B$5:$B$2244,B1045,'7日销售明细'!$D$5:$D$2244,C1045,'7日销售明细'!$H$5:$H$2244,E1045)</x:f>
        <x:v>42</x:v>
      </x:c>
      <x:c r="H1045" s="35" t="n">
        <x:f>SUMIFS('7日销售明细'!$L$5:$L$2244,'7日销售明细'!$B$5:$B$2244,B1045,'7日销售明细'!$D$5:$D$2244,C1045,'7日销售明细'!$H$5:$H$2244,E1045)</x:f>
        <x:v>1218</x:v>
      </x:c>
      <x:c r="I1045" s="35" t="n">
        <x:f>G1045*XLOOKUP(E1045,'菜品主数据'!$A$5:$A$24,'菜品主数据'!$G$5:$G$24,0)</x:f>
        <x:v>362.64480000000003</x:v>
      </x:c>
    </x:row>
    <x:row r="1046">
      <x:c r="A1046" s="19" t="str">
        <x:v>2026-07-10|S08|D02</x:v>
      </x:c>
      <x:c r="B1046" s="34" t="n">
        <x:v>46213.5</x:v>
      </x:c>
      <x:c r="C1046" s="19" t="str">
        <x:v>S08</x:v>
      </x:c>
      <x:c r="D1046" s="19" t="str">
        <x:v>四季青店</x:v>
      </x:c>
      <x:c r="E1046" s="19" t="str">
        <x:v>D02</x:v>
      </x:c>
      <x:c r="F1046" s="19" t="str">
        <x:v>小炒黄牛肉</x:v>
      </x:c>
      <x:c r="G1046" s="20" t="n">
        <x:f>SUMIFS('7日销售明细'!$K$5:$K$2244,'7日销售明细'!$B$5:$B$2244,B1046,'7日销售明细'!$D$5:$D$2244,C1046,'7日销售明细'!$H$5:$H$2244,E1046)</x:f>
        <x:v>28</x:v>
      </x:c>
      <x:c r="H1046" s="35" t="n">
        <x:f>SUMIFS('7日销售明细'!$L$5:$L$2244,'7日销售明细'!$B$5:$B$2244,B1046,'7日销售明细'!$D$5:$D$2244,C1046,'7日销售明细'!$H$5:$H$2244,E1046)</x:f>
        <x:v>1372</x:v>
      </x:c>
      <x:c r="I1046" s="35" t="n">
        <x:f>G1046*XLOOKUP(E1046,'菜品主数据'!$A$5:$A$24,'菜品主数据'!$G$5:$G$24,0)</x:f>
        <x:v>492.15600000000006</x:v>
      </x:c>
    </x:row>
    <x:row r="1047">
      <x:c r="A1047" s="19" t="str">
        <x:v>2026-07-10|S08|D03</x:v>
      </x:c>
      <x:c r="B1047" s="34" t="n">
        <x:v>46213.5</x:v>
      </x:c>
      <x:c r="C1047" s="19" t="str">
        <x:v>S08</x:v>
      </x:c>
      <x:c r="D1047" s="19" t="str">
        <x:v>四季青店</x:v>
      </x:c>
      <x:c r="E1047" s="19" t="str">
        <x:v>D03</x:v>
      </x:c>
      <x:c r="F1047" s="19" t="str">
        <x:v>香醋炒蛋</x:v>
      </x:c>
      <x:c r="G1047" s="20" t="n">
        <x:f>SUMIFS('7日销售明细'!$K$5:$K$2244,'7日销售明细'!$B$5:$B$2244,B1047,'7日销售明细'!$D$5:$D$2244,C1047,'7日销售明细'!$H$5:$H$2244,E1047)</x:f>
        <x:v>34</x:v>
      </x:c>
      <x:c r="H1047" s="35" t="n">
        <x:f>SUMIFS('7日销售明细'!$L$5:$L$2244,'7日销售明细'!$B$5:$B$2244,B1047,'7日销售明细'!$D$5:$D$2244,C1047,'7日销售明细'!$H$5:$H$2244,E1047)</x:f>
        <x:v>506.6</x:v>
      </x:c>
      <x:c r="I1047" s="35" t="n">
        <x:f>G1047*XLOOKUP(E1047,'菜品主数据'!$A$5:$A$24,'菜品主数据'!$G$5:$G$24,0)</x:f>
        <x:v>127.36399999999999</x:v>
      </x:c>
    </x:row>
    <x:row r="1048">
      <x:c r="A1048" s="19" t="str">
        <x:v>2026-07-10|S08|D04</x:v>
      </x:c>
      <x:c r="B1048" s="34" t="n">
        <x:v>46213.5</x:v>
      </x:c>
      <x:c r="C1048" s="19" t="str">
        <x:v>S08</x:v>
      </x:c>
      <x:c r="D1048" s="19" t="str">
        <x:v>四季青店</x:v>
      </x:c>
      <x:c r="E1048" s="19" t="str">
        <x:v>D04</x:v>
      </x:c>
      <x:c r="F1048" s="19" t="str">
        <x:v>酸包菜炒粉皮</x:v>
      </x:c>
      <x:c r="G1048" s="20" t="n">
        <x:f>SUMIFS('7日销售明细'!$K$5:$K$2244,'7日销售明细'!$B$5:$B$2244,B1048,'7日销售明细'!$D$5:$D$2244,C1048,'7日销售明细'!$H$5:$H$2244,E1048)</x:f>
        <x:v>32</x:v>
      </x:c>
      <x:c r="H1048" s="35" t="n">
        <x:f>SUMIFS('7日销售明细'!$L$5:$L$2244,'7日销售明细'!$B$5:$B$2244,B1048,'7日销售明细'!$D$5:$D$2244,C1048,'7日销售明细'!$H$5:$H$2244,E1048)</x:f>
        <x:v>512</x:v>
      </x:c>
      <x:c r="I1048" s="35" t="n">
        <x:f>G1048*XLOOKUP(E1048,'菜品主数据'!$A$5:$A$24,'菜品主数据'!$G$5:$G$24,0)</x:f>
        <x:v>127.296</x:v>
      </x:c>
    </x:row>
    <x:row r="1049">
      <x:c r="A1049" s="19" t="str">
        <x:v>2026-07-10|S08|D05</x:v>
      </x:c>
      <x:c r="B1049" s="34" t="n">
        <x:v>46213.5</x:v>
      </x:c>
      <x:c r="C1049" s="19" t="str">
        <x:v>S08</x:v>
      </x:c>
      <x:c r="D1049" s="19" t="str">
        <x:v>四季青店</x:v>
      </x:c>
      <x:c r="E1049" s="19" t="str">
        <x:v>D05</x:v>
      </x:c>
      <x:c r="F1049" s="19" t="str">
        <x:v>麻婆豆腐</x:v>
      </x:c>
      <x:c r="G1049" s="20" t="n">
        <x:f>SUMIFS('7日销售明细'!$K$5:$K$2244,'7日销售明细'!$B$5:$B$2244,B1049,'7日销售明细'!$D$5:$D$2244,C1049,'7日销售明细'!$H$5:$H$2244,E1049)</x:f>
        <x:v>46</x:v>
      </x:c>
      <x:c r="H1049" s="35" t="n">
        <x:f>SUMIFS('7日销售明细'!$L$5:$L$2244,'7日销售明细'!$B$5:$B$2244,B1049,'7日销售明细'!$D$5:$D$2244,C1049,'7日销售明细'!$H$5:$H$2244,E1049)</x:f>
        <x:v>455.40000000000003</x:v>
      </x:c>
      <x:c r="I1049" s="35" t="n">
        <x:f>G1049*XLOOKUP(E1049,'菜品主数据'!$A$5:$A$24,'菜品主数据'!$G$5:$G$24,0)</x:f>
        <x:v>246.88200000000003</x:v>
      </x:c>
    </x:row>
    <x:row r="1050">
      <x:c r="A1050" s="19" t="str">
        <x:v>2026-07-10|S08|D06</x:v>
      </x:c>
      <x:c r="B1050" s="34" t="n">
        <x:v>46213.5</x:v>
      </x:c>
      <x:c r="C1050" s="19" t="str">
        <x:v>S08</x:v>
      </x:c>
      <x:c r="D1050" s="19" t="str">
        <x:v>四季青店</x:v>
      </x:c>
      <x:c r="E1050" s="19" t="str">
        <x:v>D06</x:v>
      </x:c>
      <x:c r="F1050" s="19" t="str">
        <x:v>剁椒鱼头</x:v>
      </x:c>
      <x:c r="G1050" s="20" t="n">
        <x:f>SUMIFS('7日销售明细'!$K$5:$K$2244,'7日销售明细'!$B$5:$B$2244,B1050,'7日销售明细'!$D$5:$D$2244,C1050,'7日销售明细'!$H$5:$H$2244,E1050)</x:f>
        <x:v>12</x:v>
      </x:c>
      <x:c r="H1050" s="35" t="n">
        <x:f>SUMIFS('7日销售明细'!$L$5:$L$2244,'7日销售明细'!$B$5:$B$2244,B1050,'7日销售明细'!$D$5:$D$2244,C1050,'7日销售明细'!$H$5:$H$2244,E1050)</x:f>
        <x:v>468</x:v>
      </x:c>
      <x:c r="I1050" s="35" t="n">
        <x:f>G1050*XLOOKUP(E1050,'菜品主数据'!$A$5:$A$24,'菜品主数据'!$G$5:$G$24,0)</x:f>
        <x:v>209.35200000000003</x:v>
      </x:c>
    </x:row>
    <x:row r="1051">
      <x:c r="A1051" s="19" t="str">
        <x:v>2026-07-10|S08|D07</x:v>
      </x:c>
      <x:c r="B1051" s="34" t="n">
        <x:v>46213.5</x:v>
      </x:c>
      <x:c r="C1051" s="19" t="str">
        <x:v>S08</x:v>
      </x:c>
      <x:c r="D1051" s="19" t="str">
        <x:v>四季青店</x:v>
      </x:c>
      <x:c r="E1051" s="19" t="str">
        <x:v>D07</x:v>
      </x:c>
      <x:c r="F1051" s="19" t="str">
        <x:v>川味回锅肉</x:v>
      </x:c>
      <x:c r="G1051" s="20" t="n">
        <x:f>SUMIFS('7日销售明细'!$K$5:$K$2244,'7日销售明细'!$B$5:$B$2244,B1051,'7日销售明细'!$D$5:$D$2244,C1051,'7日销售明细'!$H$5:$H$2244,E1051)</x:f>
        <x:v>14</x:v>
      </x:c>
      <x:c r="H1051" s="35" t="n">
        <x:f>SUMIFS('7日销售明细'!$L$5:$L$2244,'7日销售明细'!$B$5:$B$2244,B1051,'7日销售明细'!$D$5:$D$2244,C1051,'7日销售明细'!$H$5:$H$2244,E1051)</x:f>
        <x:v>406</x:v>
      </x:c>
      <x:c r="I1051" s="35" t="n">
        <x:f>G1051*XLOOKUP(E1051,'菜品主数据'!$A$5:$A$24,'菜品主数据'!$G$5:$G$24,0)</x:f>
        <x:v>143.23400000000004</x:v>
      </x:c>
    </x:row>
    <x:row r="1052">
      <x:c r="A1052" s="19" t="str">
        <x:v>2026-07-10|S08|D08</x:v>
      </x:c>
      <x:c r="B1052" s="34" t="n">
        <x:v>46213.5</x:v>
      </x:c>
      <x:c r="C1052" s="19" t="str">
        <x:v>S08</x:v>
      </x:c>
      <x:c r="D1052" s="19" t="str">
        <x:v>四季青店</x:v>
      </x:c>
      <x:c r="E1052" s="19" t="str">
        <x:v>D08</x:v>
      </x:c>
      <x:c r="F1052" s="19" t="str">
        <x:v>生炒清远鸡</x:v>
      </x:c>
      <x:c r="G1052" s="20" t="n">
        <x:f>SUMIFS('7日销售明细'!$K$5:$K$2244,'7日销售明细'!$B$5:$B$2244,B1052,'7日销售明细'!$D$5:$D$2244,C1052,'7日销售明细'!$H$5:$H$2244,E1052)</x:f>
        <x:v>10</x:v>
      </x:c>
      <x:c r="H1052" s="35" t="n">
        <x:f>SUMIFS('7日销售明细'!$L$5:$L$2244,'7日销售明细'!$B$5:$B$2244,B1052,'7日销售明细'!$D$5:$D$2244,C1052,'7日销售明细'!$H$5:$H$2244,E1052)</x:f>
        <x:v>360</x:v>
      </x:c>
      <x:c r="I1052" s="35" t="n">
        <x:f>G1052*XLOOKUP(E1052,'菜品主数据'!$A$5:$A$24,'菜品主数据'!$G$5:$G$24,0)</x:f>
        <x:v>134.8</x:v>
      </x:c>
    </x:row>
    <x:row r="1053">
      <x:c r="A1053" s="19" t="str">
        <x:v>2026-07-10|S08|D09</x:v>
      </x:c>
      <x:c r="B1053" s="34" t="n">
        <x:v>46213.5</x:v>
      </x:c>
      <x:c r="C1053" s="19" t="str">
        <x:v>S08</x:v>
      </x:c>
      <x:c r="D1053" s="19" t="str">
        <x:v>四季青店</x:v>
      </x:c>
      <x:c r="E1053" s="19" t="str">
        <x:v>D09</x:v>
      </x:c>
      <x:c r="F1053" s="19" t="str">
        <x:v>炒豆干</x:v>
      </x:c>
      <x:c r="G1053" s="20" t="n">
        <x:f>SUMIFS('7日销售明细'!$K$5:$K$2244,'7日销售明细'!$B$5:$B$2244,B1053,'7日销售明细'!$D$5:$D$2244,C1053,'7日销售明细'!$H$5:$H$2244,E1053)</x:f>
        <x:v>14</x:v>
      </x:c>
      <x:c r="H1053" s="35" t="n">
        <x:f>SUMIFS('7日销售明细'!$L$5:$L$2244,'7日销售明细'!$B$5:$B$2244,B1053,'7日销售明细'!$D$5:$D$2244,C1053,'7日销售明细'!$H$5:$H$2244,E1053)</x:f>
        <x:v>252</x:v>
      </x:c>
      <x:c r="I1053" s="35" t="n">
        <x:f>G1053*XLOOKUP(E1053,'菜品主数据'!$A$5:$A$24,'菜品主数据'!$G$5:$G$24,0)</x:f>
        <x:v>92.59599999999999</x:v>
      </x:c>
    </x:row>
    <x:row r="1054">
      <x:c r="A1054" s="19" t="str">
        <x:v>2026-07-10|S08|D10</x:v>
      </x:c>
      <x:c r="B1054" s="34" t="n">
        <x:v>46213.5</x:v>
      </x:c>
      <x:c r="C1054" s="19" t="str">
        <x:v>S08</x:v>
      </x:c>
      <x:c r="D1054" s="19" t="str">
        <x:v>四季青店</x:v>
      </x:c>
      <x:c r="E1054" s="19" t="str">
        <x:v>D10</x:v>
      </x:c>
      <x:c r="F1054" s="19" t="str">
        <x:v>农家一碗香</x:v>
      </x:c>
      <x:c r="G1054" s="20" t="n">
        <x:f>SUMIFS('7日销售明细'!$K$5:$K$2244,'7日销售明细'!$B$5:$B$2244,B1054,'7日销售明细'!$D$5:$D$2244,C1054,'7日销售明细'!$H$5:$H$2244,E1054)</x:f>
        <x:v>16</x:v>
      </x:c>
      <x:c r="H1054" s="35" t="n">
        <x:f>SUMIFS('7日销售明细'!$L$5:$L$2244,'7日销售明细'!$B$5:$B$2244,B1054,'7日销售明细'!$D$5:$D$2244,C1054,'7日销售明细'!$H$5:$H$2244,E1054)</x:f>
        <x:v>366.4</x:v>
      </x:c>
      <x:c r="I1054" s="35" t="n">
        <x:f>G1054*XLOOKUP(E1054,'菜品主数据'!$A$5:$A$24,'菜品主数据'!$G$5:$G$24,0)</x:f>
        <x:v>156.32320000000004</x:v>
      </x:c>
    </x:row>
    <x:row r="1055">
      <x:c r="A1055" s="19" t="str">
        <x:v>2026-07-10|S08|D11</x:v>
      </x:c>
      <x:c r="B1055" s="34" t="n">
        <x:v>46213.5</x:v>
      </x:c>
      <x:c r="C1055" s="19" t="str">
        <x:v>S08</x:v>
      </x:c>
      <x:c r="D1055" s="19" t="str">
        <x:v>四季青店</x:v>
      </x:c>
      <x:c r="E1055" s="19" t="str">
        <x:v>D11</x:v>
      </x:c>
      <x:c r="F1055" s="19" t="str">
        <x:v>香辣爆肥肠</x:v>
      </x:c>
      <x:c r="G1055" s="20" t="n">
        <x:f>SUMIFS('7日销售明细'!$K$5:$K$2244,'7日销售明细'!$B$5:$B$2244,B1055,'7日销售明细'!$D$5:$D$2244,C1055,'7日销售明细'!$H$5:$H$2244,E1055)</x:f>
        <x:v>5</x:v>
      </x:c>
      <x:c r="H1055" s="35" t="n">
        <x:f>SUMIFS('7日销售明细'!$L$5:$L$2244,'7日销售明细'!$B$5:$B$2244,B1055,'7日销售明细'!$D$5:$D$2244,C1055,'7日销售明细'!$H$5:$H$2244,E1055)</x:f>
        <x:v>195</x:v>
      </x:c>
      <x:c r="I1055" s="35" t="n">
        <x:f>G1055*XLOOKUP(E1055,'菜品主数据'!$A$5:$A$24,'菜品主数据'!$G$5:$G$24,0)</x:f>
        <x:v>51.985</x:v>
      </x:c>
    </x:row>
    <x:row r="1056">
      <x:c r="A1056" s="19" t="str">
        <x:v>2026-07-10|S08|D12</x:v>
      </x:c>
      <x:c r="B1056" s="34" t="n">
        <x:v>46213.5</x:v>
      </x:c>
      <x:c r="C1056" s="19" t="str">
        <x:v>S08</x:v>
      </x:c>
      <x:c r="D1056" s="19" t="str">
        <x:v>四季青店</x:v>
      </x:c>
      <x:c r="E1056" s="19" t="str">
        <x:v>D12</x:v>
      </x:c>
      <x:c r="F1056" s="19" t="str">
        <x:v>清蒸鲈鱼</x:v>
      </x:c>
      <x:c r="G1056" s="20" t="n">
        <x:f>SUMIFS('7日销售明细'!$K$5:$K$2244,'7日销售明细'!$B$5:$B$2244,B1056,'7日销售明细'!$D$5:$D$2244,C1056,'7日销售明细'!$H$5:$H$2244,E1056)</x:f>
        <x:v>6</x:v>
      </x:c>
      <x:c r="H1056" s="35" t="n">
        <x:f>SUMIFS('7日销售明细'!$L$5:$L$2244,'7日销售明细'!$B$5:$B$2244,B1056,'7日销售明细'!$D$5:$D$2244,C1056,'7日销售明细'!$H$5:$H$2244,E1056)</x:f>
        <x:v>234</x:v>
      </x:c>
      <x:c r="I1056" s="35" t="n">
        <x:f>G1056*XLOOKUP(E1056,'菜品主数据'!$A$5:$A$24,'菜品主数据'!$G$5:$G$24,0)</x:f>
        <x:v>113.244</x:v>
      </x:c>
    </x:row>
    <x:row r="1057">
      <x:c r="A1057" s="19" t="str">
        <x:v>2026-07-10|S08|D13</x:v>
      </x:c>
      <x:c r="B1057" s="34" t="n">
        <x:v>46213.5</x:v>
      </x:c>
      <x:c r="C1057" s="19" t="str">
        <x:v>S08</x:v>
      </x:c>
      <x:c r="D1057" s="19" t="str">
        <x:v>四季青店</x:v>
      </x:c>
      <x:c r="E1057" s="19" t="str">
        <x:v>D13</x:v>
      </x:c>
      <x:c r="F1057" s="19" t="str">
        <x:v>外婆菜炒蛋</x:v>
      </x:c>
      <x:c r="G1057" s="20" t="n">
        <x:f>SUMIFS('7日销售明细'!$K$5:$K$2244,'7日销售明细'!$B$5:$B$2244,B1057,'7日销售明细'!$D$5:$D$2244,C1057,'7日销售明细'!$H$5:$H$2244,E1057)</x:f>
        <x:v>13</x:v>
      </x:c>
      <x:c r="H1057" s="35" t="n">
        <x:f>SUMIFS('7日销售明细'!$L$5:$L$2244,'7日销售明细'!$B$5:$B$2244,B1057,'7日销售明细'!$D$5:$D$2244,C1057,'7日销售明细'!$H$5:$H$2244,E1057)</x:f>
        <x:v>234</x:v>
      </x:c>
      <x:c r="I1057" s="35" t="n">
        <x:f>G1057*XLOOKUP(E1057,'菜品主数据'!$A$5:$A$24,'菜品主数据'!$G$5:$G$24,0)</x:f>
        <x:v>70.25199999999998</x:v>
      </x:c>
    </x:row>
    <x:row r="1058">
      <x:c r="A1058" s="19" t="str">
        <x:v>2026-07-10|S08|D14</x:v>
      </x:c>
      <x:c r="B1058" s="34" t="n">
        <x:v>46213.5</x:v>
      </x:c>
      <x:c r="C1058" s="19" t="str">
        <x:v>S08</x:v>
      </x:c>
      <x:c r="D1058" s="19" t="str">
        <x:v>四季青店</x:v>
      </x:c>
      <x:c r="E1058" s="19" t="str">
        <x:v>D14</x:v>
      </x:c>
      <x:c r="F1058" s="19" t="str">
        <x:v>酸辣鸡杂</x:v>
      </x:c>
      <x:c r="G1058" s="20" t="n">
        <x:f>SUMIFS('7日销售明细'!$K$5:$K$2244,'7日销售明细'!$B$5:$B$2244,B1058,'7日销售明细'!$D$5:$D$2244,C1058,'7日销售明细'!$H$5:$H$2244,E1058)</x:f>
        <x:v>6</x:v>
      </x:c>
      <x:c r="H1058" s="35" t="n">
        <x:f>SUMIFS('7日销售明细'!$L$5:$L$2244,'7日销售明细'!$B$5:$B$2244,B1058,'7日销售明细'!$D$5:$D$2244,C1058,'7日销售明细'!$H$5:$H$2244,E1058)</x:f>
        <x:v>168</x:v>
      </x:c>
      <x:c r="I1058" s="35" t="n">
        <x:f>G1058*XLOOKUP(E1058,'菜品主数据'!$A$5:$A$24,'菜品主数据'!$G$5:$G$24,0)</x:f>
        <x:v>49.89000000000001</x:v>
      </x:c>
    </x:row>
    <x:row r="1059">
      <x:c r="A1059" s="19" t="str">
        <x:v>2026-07-10|S08|D15</x:v>
      </x:c>
      <x:c r="B1059" s="34" t="n">
        <x:v>46213.5</x:v>
      </x:c>
      <x:c r="C1059" s="19" t="str">
        <x:v>S08</x:v>
      </x:c>
      <x:c r="D1059" s="19" t="str">
        <x:v>四季青店</x:v>
      </x:c>
      <x:c r="E1059" s="19" t="str">
        <x:v>D15</x:v>
      </x:c>
      <x:c r="F1059" s="19" t="str">
        <x:v>湘西土匪猪肝</x:v>
      </x:c>
      <x:c r="G1059" s="20" t="n">
        <x:f>SUMIFS('7日销售明细'!$K$5:$K$2244,'7日销售明细'!$B$5:$B$2244,B1059,'7日销售明细'!$D$5:$D$2244,C1059,'7日销售明细'!$H$5:$H$2244,E1059)</x:f>
        <x:v>6</x:v>
      </x:c>
      <x:c r="H1059" s="35" t="n">
        <x:f>SUMIFS('7日销售明细'!$L$5:$L$2244,'7日销售明细'!$B$5:$B$2244,B1059,'7日销售明细'!$D$5:$D$2244,C1059,'7日销售明细'!$H$5:$H$2244,E1059)</x:f>
        <x:v>156</x:v>
      </x:c>
      <x:c r="I1059" s="35" t="n">
        <x:f>G1059*XLOOKUP(E1059,'菜品主数据'!$A$5:$A$24,'菜品主数据'!$G$5:$G$24,0)</x:f>
        <x:v>38.256</x:v>
      </x:c>
    </x:row>
    <x:row r="1060">
      <x:c r="A1060" s="19" t="str">
        <x:v>2026-07-10|S08|D16</x:v>
      </x:c>
      <x:c r="B1060" s="34" t="n">
        <x:v>46213.5</x:v>
      </x:c>
      <x:c r="C1060" s="19" t="str">
        <x:v>S08</x:v>
      </x:c>
      <x:c r="D1060" s="19" t="str">
        <x:v>四季青店</x:v>
      </x:c>
      <x:c r="E1060" s="19" t="str">
        <x:v>D16</x:v>
      </x:c>
      <x:c r="F1060" s="19" t="str">
        <x:v>小豆角炒五花</x:v>
      </x:c>
      <x:c r="G1060" s="20" t="n">
        <x:f>SUMIFS('7日销售明细'!$K$5:$K$2244,'7日销售明细'!$B$5:$B$2244,B1060,'7日销售明细'!$D$5:$D$2244,C1060,'7日销售明细'!$H$5:$H$2244,E1060)</x:f>
        <x:v>6</x:v>
      </x:c>
      <x:c r="H1060" s="35" t="n">
        <x:f>SUMIFS('7日销售明细'!$L$5:$L$2244,'7日销售明细'!$B$5:$B$2244,B1060,'7日销售明细'!$D$5:$D$2244,C1060,'7日销售明细'!$H$5:$H$2244,E1060)</x:f>
        <x:v>150</x:v>
      </x:c>
      <x:c r="I1060" s="35" t="n">
        <x:f>G1060*XLOOKUP(E1060,'菜品主数据'!$A$5:$A$24,'菜品主数据'!$G$5:$G$24,0)</x:f>
        <x:v>49.104</x:v>
      </x:c>
    </x:row>
    <x:row r="1061">
      <x:c r="A1061" s="19" t="str">
        <x:v>2026-07-10|S08|D17</x:v>
      </x:c>
      <x:c r="B1061" s="34" t="n">
        <x:v>46213.5</x:v>
      </x:c>
      <x:c r="C1061" s="19" t="str">
        <x:v>S08</x:v>
      </x:c>
      <x:c r="D1061" s="19" t="str">
        <x:v>四季青店</x:v>
      </x:c>
      <x:c r="E1061" s="19" t="str">
        <x:v>D17</x:v>
      </x:c>
      <x:c r="F1061" s="19" t="str">
        <x:v>蒜蓉粉丝虾</x:v>
      </x:c>
      <x:c r="G1061" s="20" t="n">
        <x:f>SUMIFS('7日销售明细'!$K$5:$K$2244,'7日销售明细'!$B$5:$B$2244,B1061,'7日销售明细'!$D$5:$D$2244,C1061,'7日销售明细'!$H$5:$H$2244,E1061)</x:f>
        <x:v>4</x:v>
      </x:c>
      <x:c r="H1061" s="35" t="n">
        <x:f>SUMIFS('7日销售明细'!$L$5:$L$2244,'7日销售明细'!$B$5:$B$2244,B1061,'7日销售明细'!$D$5:$D$2244,C1061,'7日销售明细'!$H$5:$H$2244,E1061)</x:f>
        <x:v>144</x:v>
      </x:c>
      <x:c r="I1061" s="35" t="n">
        <x:f>G1061*XLOOKUP(E1061,'菜品主数据'!$A$5:$A$24,'菜品主数据'!$G$5:$G$24,0)</x:f>
        <x:v>54.376</x:v>
      </x:c>
    </x:row>
    <x:row r="1062">
      <x:c r="A1062" s="19" t="str">
        <x:v>2026-07-10|S08|D18</x:v>
      </x:c>
      <x:c r="B1062" s="34" t="n">
        <x:v>46213.5</x:v>
      </x:c>
      <x:c r="C1062" s="19" t="str">
        <x:v>S08</x:v>
      </x:c>
      <x:c r="D1062" s="19" t="str">
        <x:v>四季青店</x:v>
      </x:c>
      <x:c r="E1062" s="19" t="str">
        <x:v>D18</x:v>
      </x:c>
      <x:c r="F1062" s="19" t="str">
        <x:v>青椒炒油麦菜</x:v>
      </x:c>
      <x:c r="G1062" s="20" t="n">
        <x:f>SUMIFS('7日销售明细'!$K$5:$K$2244,'7日销售明细'!$B$5:$B$2244,B1062,'7日销售明细'!$D$5:$D$2244,C1062,'7日销售明细'!$H$5:$H$2244,E1062)</x:f>
        <x:v>7</x:v>
      </x:c>
      <x:c r="H1062" s="35" t="n">
        <x:f>SUMIFS('7日销售明细'!$L$5:$L$2244,'7日销售明细'!$B$5:$B$2244,B1062,'7日销售明细'!$D$5:$D$2244,C1062,'7日销售明细'!$H$5:$H$2244,E1062)</x:f>
        <x:v>126</x:v>
      </x:c>
      <x:c r="I1062" s="35" t="n">
        <x:f>G1062*XLOOKUP(E1062,'菜品主数据'!$A$5:$A$24,'菜品主数据'!$G$5:$G$24,0)</x:f>
        <x:v>22.231999999999996</x:v>
      </x:c>
    </x:row>
    <x:row r="1063">
      <x:c r="A1063" s="19" t="str">
        <x:v>2026-07-10|S08|D19</x:v>
      </x:c>
      <x:c r="B1063" s="34" t="n">
        <x:v>46213.5</x:v>
      </x:c>
      <x:c r="C1063" s="19" t="str">
        <x:v>S08</x:v>
      </x:c>
      <x:c r="D1063" s="19" t="str">
        <x:v>四季青店</x:v>
      </x:c>
      <x:c r="E1063" s="19" t="str">
        <x:v>D19</x:v>
      </x:c>
      <x:c r="F1063" s="19" t="str">
        <x:v>酸萝卜炒鸡杂</x:v>
      </x:c>
      <x:c r="G1063" s="20" t="n">
        <x:f>SUMIFS('7日销售明细'!$K$5:$K$2244,'7日销售明细'!$B$5:$B$2244,B1063,'7日销售明细'!$D$5:$D$2244,C1063,'7日销售明细'!$H$5:$H$2244,E1063)</x:f>
        <x:v>5</x:v>
      </x:c>
      <x:c r="H1063" s="35" t="n">
        <x:f>SUMIFS('7日销售明细'!$L$5:$L$2244,'7日销售明细'!$B$5:$B$2244,B1063,'7日销售明细'!$D$5:$D$2244,C1063,'7日销售明细'!$H$5:$H$2244,E1063)</x:f>
        <x:v>125</x:v>
      </x:c>
      <x:c r="I1063" s="35" t="n">
        <x:f>G1063*XLOOKUP(E1063,'菜品主数据'!$A$5:$A$24,'菜品主数据'!$G$5:$G$24,0)</x:f>
        <x:v>39.699999999999996</x:v>
      </x:c>
    </x:row>
    <x:row r="1064">
      <x:c r="A1064" s="19" t="str">
        <x:v>2026-07-10|S08|D20</x:v>
      </x:c>
      <x:c r="B1064" s="34" t="n">
        <x:v>46213.5</x:v>
      </x:c>
      <x:c r="C1064" s="19" t="str">
        <x:v>S08</x:v>
      </x:c>
      <x:c r="D1064" s="19" t="str">
        <x:v>四季青店</x:v>
      </x:c>
      <x:c r="E1064" s="19" t="str">
        <x:v>D20</x:v>
      </x:c>
      <x:c r="F1064" s="19" t="str">
        <x:v>雪菜肉末青豆</x:v>
      </x:c>
      <x:c r="G1064" s="20" t="n">
        <x:f>SUMIFS('7日销售明细'!$K$5:$K$2244,'7日销售明细'!$B$5:$B$2244,B1064,'7日销售明细'!$D$5:$D$2244,C1064,'7日销售明细'!$H$5:$H$2244,E1064)</x:f>
        <x:v>6</x:v>
      </x:c>
      <x:c r="H1064" s="35" t="n">
        <x:f>SUMIFS('7日销售明细'!$L$5:$L$2244,'7日销售明细'!$B$5:$B$2244,B1064,'7日销售明细'!$D$5:$D$2244,C1064,'7日销售明细'!$H$5:$H$2244,E1064)</x:f>
        <x:v>108</x:v>
      </x:c>
      <x:c r="I1064" s="35" t="n">
        <x:f>G1064*XLOOKUP(E1064,'菜品主数据'!$A$5:$A$24,'菜品主数据'!$G$5:$G$24,0)</x:f>
        <x:v>43.824</x:v>
      </x:c>
    </x:row>
    <x:row r="1065">
      <x:c r="A1065" s="19" t="str">
        <x:v>2026-07-11|S08|D01</x:v>
      </x:c>
      <x:c r="B1065" s="34" t="n">
        <x:v>46214.5</x:v>
      </x:c>
      <x:c r="C1065" s="19" t="str">
        <x:v>S08</x:v>
      </x:c>
      <x:c r="D1065" s="19" t="str">
        <x:v>四季青店</x:v>
      </x:c>
      <x:c r="E1065" s="19" t="str">
        <x:v>D01</x:v>
      </x:c>
      <x:c r="F1065" s="19" t="str">
        <x:v>辣椒炒肉</x:v>
      </x:c>
      <x:c r="G1065" s="20" t="n">
        <x:f>SUMIFS('7日销售明细'!$K$5:$K$2244,'7日销售明细'!$B$5:$B$2244,B1065,'7日销售明细'!$D$5:$D$2244,C1065,'7日销售明细'!$H$5:$H$2244,E1065)</x:f>
        <x:v>33</x:v>
      </x:c>
      <x:c r="H1065" s="35" t="n">
        <x:f>SUMIFS('7日销售明细'!$L$5:$L$2244,'7日销售明细'!$B$5:$B$2244,B1065,'7日销售明细'!$D$5:$D$2244,C1065,'7日销售明细'!$H$5:$H$2244,E1065)</x:f>
        <x:v>957</x:v>
      </x:c>
      <x:c r="I1065" s="35" t="n">
        <x:f>G1065*XLOOKUP(E1065,'菜品主数据'!$A$5:$A$24,'菜品主数据'!$G$5:$G$24,0)</x:f>
        <x:v>284.93520000000007</x:v>
      </x:c>
    </x:row>
    <x:row r="1066">
      <x:c r="A1066" s="19" t="str">
        <x:v>2026-07-11|S08|D02</x:v>
      </x:c>
      <x:c r="B1066" s="34" t="n">
        <x:v>46214.5</x:v>
      </x:c>
      <x:c r="C1066" s="19" t="str">
        <x:v>S08</x:v>
      </x:c>
      <x:c r="D1066" s="19" t="str">
        <x:v>四季青店</x:v>
      </x:c>
      <x:c r="E1066" s="19" t="str">
        <x:v>D02</x:v>
      </x:c>
      <x:c r="F1066" s="19" t="str">
        <x:v>小炒黄牛肉</x:v>
      </x:c>
      <x:c r="G1066" s="20" t="n">
        <x:f>SUMIFS('7日销售明细'!$K$5:$K$2244,'7日销售明细'!$B$5:$B$2244,B1066,'7日销售明细'!$D$5:$D$2244,C1066,'7日销售明细'!$H$5:$H$2244,E1066)</x:f>
        <x:v>23</x:v>
      </x:c>
      <x:c r="H1066" s="35" t="n">
        <x:f>SUMIFS('7日销售明细'!$L$5:$L$2244,'7日销售明细'!$B$5:$B$2244,B1066,'7日销售明细'!$D$5:$D$2244,C1066,'7日销售明细'!$H$5:$H$2244,E1066)</x:f>
        <x:v>1127</x:v>
      </x:c>
      <x:c r="I1066" s="35" t="n">
        <x:f>G1066*XLOOKUP(E1066,'菜品主数据'!$A$5:$A$24,'菜品主数据'!$G$5:$G$24,0)</x:f>
        <x:v>404.271</x:v>
      </x:c>
    </x:row>
    <x:row r="1067">
      <x:c r="A1067" s="19" t="str">
        <x:v>2026-07-11|S08|D03</x:v>
      </x:c>
      <x:c r="B1067" s="34" t="n">
        <x:v>46214.5</x:v>
      </x:c>
      <x:c r="C1067" s="19" t="str">
        <x:v>S08</x:v>
      </x:c>
      <x:c r="D1067" s="19" t="str">
        <x:v>四季青店</x:v>
      </x:c>
      <x:c r="E1067" s="19" t="str">
        <x:v>D03</x:v>
      </x:c>
      <x:c r="F1067" s="19" t="str">
        <x:v>香醋炒蛋</x:v>
      </x:c>
      <x:c r="G1067" s="20" t="n">
        <x:f>SUMIFS('7日销售明细'!$K$5:$K$2244,'7日销售明细'!$B$5:$B$2244,B1067,'7日销售明细'!$D$5:$D$2244,C1067,'7日销售明细'!$H$5:$H$2244,E1067)</x:f>
        <x:v>27</x:v>
      </x:c>
      <x:c r="H1067" s="35" t="n">
        <x:f>SUMIFS('7日销售明细'!$L$5:$L$2244,'7日销售明细'!$B$5:$B$2244,B1067,'7日销售明细'!$D$5:$D$2244,C1067,'7日销售明细'!$H$5:$H$2244,E1067)</x:f>
        <x:v>402.3</x:v>
      </x:c>
      <x:c r="I1067" s="35" t="n">
        <x:f>G1067*XLOOKUP(E1067,'菜品主数据'!$A$5:$A$24,'菜品主数据'!$G$5:$G$24,0)</x:f>
        <x:v>101.14199999999998</x:v>
      </x:c>
    </x:row>
    <x:row r="1068">
      <x:c r="A1068" s="19" t="str">
        <x:v>2026-07-11|S08|D04</x:v>
      </x:c>
      <x:c r="B1068" s="34" t="n">
        <x:v>46214.5</x:v>
      </x:c>
      <x:c r="C1068" s="19" t="str">
        <x:v>S08</x:v>
      </x:c>
      <x:c r="D1068" s="19" t="str">
        <x:v>四季青店</x:v>
      </x:c>
      <x:c r="E1068" s="19" t="str">
        <x:v>D04</x:v>
      </x:c>
      <x:c r="F1068" s="19" t="str">
        <x:v>酸包菜炒粉皮</x:v>
      </x:c>
      <x:c r="G1068" s="20" t="n">
        <x:f>SUMIFS('7日销售明细'!$K$5:$K$2244,'7日销售明细'!$B$5:$B$2244,B1068,'7日销售明细'!$D$5:$D$2244,C1068,'7日销售明细'!$H$5:$H$2244,E1068)</x:f>
        <x:v>24</x:v>
      </x:c>
      <x:c r="H1068" s="35" t="n">
        <x:f>SUMIFS('7日销售明细'!$L$5:$L$2244,'7日销售明细'!$B$5:$B$2244,B1068,'7日销售明细'!$D$5:$D$2244,C1068,'7日销售明细'!$H$5:$H$2244,E1068)</x:f>
        <x:v>384</x:v>
      </x:c>
      <x:c r="I1068" s="35" t="n">
        <x:f>G1068*XLOOKUP(E1068,'菜品主数据'!$A$5:$A$24,'菜品主数据'!$G$5:$G$24,0)</x:f>
        <x:v>95.47200000000001</x:v>
      </x:c>
    </x:row>
    <x:row r="1069">
      <x:c r="A1069" s="19" t="str">
        <x:v>2026-07-11|S08|D05</x:v>
      </x:c>
      <x:c r="B1069" s="34" t="n">
        <x:v>46214.5</x:v>
      </x:c>
      <x:c r="C1069" s="19" t="str">
        <x:v>S08</x:v>
      </x:c>
      <x:c r="D1069" s="19" t="str">
        <x:v>四季青店</x:v>
      </x:c>
      <x:c r="E1069" s="19" t="str">
        <x:v>D05</x:v>
      </x:c>
      <x:c r="F1069" s="19" t="str">
        <x:v>麻婆豆腐</x:v>
      </x:c>
      <x:c r="G1069" s="20" t="n">
        <x:f>SUMIFS('7日销售明细'!$K$5:$K$2244,'7日销售明细'!$B$5:$B$2244,B1069,'7日销售明细'!$D$5:$D$2244,C1069,'7日销售明细'!$H$5:$H$2244,E1069)</x:f>
        <x:v>36</x:v>
      </x:c>
      <x:c r="H1069" s="35" t="n">
        <x:f>SUMIFS('7日销售明细'!$L$5:$L$2244,'7日销售明细'!$B$5:$B$2244,B1069,'7日销售明细'!$D$5:$D$2244,C1069,'7日销售明细'!$H$5:$H$2244,E1069)</x:f>
        <x:v>356.4</x:v>
      </x:c>
      <x:c r="I1069" s="35" t="n">
        <x:f>G1069*XLOOKUP(E1069,'菜品主数据'!$A$5:$A$24,'菜品主数据'!$G$5:$G$24,0)</x:f>
        <x:v>193.21200000000005</x:v>
      </x:c>
    </x:row>
    <x:row r="1070">
      <x:c r="A1070" s="19" t="str">
        <x:v>2026-07-11|S08|D06</x:v>
      </x:c>
      <x:c r="B1070" s="34" t="n">
        <x:v>46214.5</x:v>
      </x:c>
      <x:c r="C1070" s="19" t="str">
        <x:v>S08</x:v>
      </x:c>
      <x:c r="D1070" s="19" t="str">
        <x:v>四季青店</x:v>
      </x:c>
      <x:c r="E1070" s="19" t="str">
        <x:v>D06</x:v>
      </x:c>
      <x:c r="F1070" s="19" t="str">
        <x:v>剁椒鱼头</x:v>
      </x:c>
      <x:c r="G1070" s="20" t="n">
        <x:f>SUMIFS('7日销售明细'!$K$5:$K$2244,'7日销售明细'!$B$5:$B$2244,B1070,'7日销售明细'!$D$5:$D$2244,C1070,'7日销售明细'!$H$5:$H$2244,E1070)</x:f>
        <x:v>7</x:v>
      </x:c>
      <x:c r="H1070" s="35" t="n">
        <x:f>SUMIFS('7日销售明细'!$L$5:$L$2244,'7日销售明细'!$B$5:$B$2244,B1070,'7日销售明细'!$D$5:$D$2244,C1070,'7日销售明细'!$H$5:$H$2244,E1070)</x:f>
        <x:v>273</x:v>
      </x:c>
      <x:c r="I1070" s="35" t="n">
        <x:f>G1070*XLOOKUP(E1070,'菜品主数据'!$A$5:$A$24,'菜品主数据'!$G$5:$G$24,0)</x:f>
        <x:v>122.12200000000001</x:v>
      </x:c>
    </x:row>
    <x:row r="1071">
      <x:c r="A1071" s="19" t="str">
        <x:v>2026-07-11|S08|D07</x:v>
      </x:c>
      <x:c r="B1071" s="34" t="n">
        <x:v>46214.5</x:v>
      </x:c>
      <x:c r="C1071" s="19" t="str">
        <x:v>S08</x:v>
      </x:c>
      <x:c r="D1071" s="19" t="str">
        <x:v>四季青店</x:v>
      </x:c>
      <x:c r="E1071" s="19" t="str">
        <x:v>D07</x:v>
      </x:c>
      <x:c r="F1071" s="19" t="str">
        <x:v>川味回锅肉</x:v>
      </x:c>
      <x:c r="G1071" s="20" t="n">
        <x:f>SUMIFS('7日销售明细'!$K$5:$K$2244,'7日销售明细'!$B$5:$B$2244,B1071,'7日销售明细'!$D$5:$D$2244,C1071,'7日销售明细'!$H$5:$H$2244,E1071)</x:f>
        <x:v>10</x:v>
      </x:c>
      <x:c r="H1071" s="35" t="n">
        <x:f>SUMIFS('7日销售明细'!$L$5:$L$2244,'7日销售明细'!$B$5:$B$2244,B1071,'7日销售明细'!$D$5:$D$2244,C1071,'7日销售明细'!$H$5:$H$2244,E1071)</x:f>
        <x:v>290</x:v>
      </x:c>
      <x:c r="I1071" s="35" t="n">
        <x:f>G1071*XLOOKUP(E1071,'菜品主数据'!$A$5:$A$24,'菜品主数据'!$G$5:$G$24,0)</x:f>
        <x:v>102.31000000000002</x:v>
      </x:c>
    </x:row>
    <x:row r="1072">
      <x:c r="A1072" s="19" t="str">
        <x:v>2026-07-11|S08|D08</x:v>
      </x:c>
      <x:c r="B1072" s="34" t="n">
        <x:v>46214.5</x:v>
      </x:c>
      <x:c r="C1072" s="19" t="str">
        <x:v>S08</x:v>
      </x:c>
      <x:c r="D1072" s="19" t="str">
        <x:v>四季青店</x:v>
      </x:c>
      <x:c r="E1072" s="19" t="str">
        <x:v>D08</x:v>
      </x:c>
      <x:c r="F1072" s="19" t="str">
        <x:v>生炒清远鸡</x:v>
      </x:c>
      <x:c r="G1072" s="20" t="n">
        <x:f>SUMIFS('7日销售明细'!$K$5:$K$2244,'7日销售明细'!$B$5:$B$2244,B1072,'7日销售明细'!$D$5:$D$2244,C1072,'7日销售明细'!$H$5:$H$2244,E1072)</x:f>
        <x:v>8</x:v>
      </x:c>
      <x:c r="H1072" s="35" t="n">
        <x:f>SUMIFS('7日销售明细'!$L$5:$L$2244,'7日销售明细'!$B$5:$B$2244,B1072,'7日销售明细'!$D$5:$D$2244,C1072,'7日销售明细'!$H$5:$H$2244,E1072)</x:f>
        <x:v>288</x:v>
      </x:c>
      <x:c r="I1072" s="35" t="n">
        <x:f>G1072*XLOOKUP(E1072,'菜品主数据'!$A$5:$A$24,'菜品主数据'!$G$5:$G$24,0)</x:f>
        <x:v>107.84</x:v>
      </x:c>
    </x:row>
    <x:row r="1073">
      <x:c r="A1073" s="19" t="str">
        <x:v>2026-07-11|S08|D09</x:v>
      </x:c>
      <x:c r="B1073" s="34" t="n">
        <x:v>46214.5</x:v>
      </x:c>
      <x:c r="C1073" s="19" t="str">
        <x:v>S08</x:v>
      </x:c>
      <x:c r="D1073" s="19" t="str">
        <x:v>四季青店</x:v>
      </x:c>
      <x:c r="E1073" s="19" t="str">
        <x:v>D09</x:v>
      </x:c>
      <x:c r="F1073" s="19" t="str">
        <x:v>炒豆干</x:v>
      </x:c>
      <x:c r="G1073" s="20" t="n">
        <x:f>SUMIFS('7日销售明细'!$K$5:$K$2244,'7日销售明细'!$B$5:$B$2244,B1073,'7日销售明细'!$D$5:$D$2244,C1073,'7日销售明细'!$H$5:$H$2244,E1073)</x:f>
        <x:v>11</x:v>
      </x:c>
      <x:c r="H1073" s="35" t="n">
        <x:f>SUMIFS('7日销售明细'!$L$5:$L$2244,'7日销售明细'!$B$5:$B$2244,B1073,'7日销售明细'!$D$5:$D$2244,C1073,'7日销售明细'!$H$5:$H$2244,E1073)</x:f>
        <x:v>198</x:v>
      </x:c>
      <x:c r="I1073" s="35" t="n">
        <x:f>G1073*XLOOKUP(E1073,'菜品主数据'!$A$5:$A$24,'菜品主数据'!$G$5:$G$24,0)</x:f>
        <x:v>72.75399999999999</x:v>
      </x:c>
    </x:row>
    <x:row r="1074">
      <x:c r="A1074" s="19" t="str">
        <x:v>2026-07-11|S08|D10</x:v>
      </x:c>
      <x:c r="B1074" s="34" t="n">
        <x:v>46214.5</x:v>
      </x:c>
      <x:c r="C1074" s="19" t="str">
        <x:v>S08</x:v>
      </x:c>
      <x:c r="D1074" s="19" t="str">
        <x:v>四季青店</x:v>
      </x:c>
      <x:c r="E1074" s="19" t="str">
        <x:v>D10</x:v>
      </x:c>
      <x:c r="F1074" s="19" t="str">
        <x:v>农家一碗香</x:v>
      </x:c>
      <x:c r="G1074" s="20" t="n">
        <x:f>SUMIFS('7日销售明细'!$K$5:$K$2244,'7日销售明细'!$B$5:$B$2244,B1074,'7日销售明细'!$D$5:$D$2244,C1074,'7日销售明细'!$H$5:$H$2244,E1074)</x:f>
        <x:v>11</x:v>
      </x:c>
      <x:c r="H1074" s="35" t="n">
        <x:f>SUMIFS('7日销售明细'!$L$5:$L$2244,'7日销售明细'!$B$5:$B$2244,B1074,'7日销售明细'!$D$5:$D$2244,C1074,'7日销售明细'!$H$5:$H$2244,E1074)</x:f>
        <x:v>251.9</x:v>
      </x:c>
      <x:c r="I1074" s="35" t="n">
        <x:f>G1074*XLOOKUP(E1074,'菜品主数据'!$A$5:$A$24,'菜品主数据'!$G$5:$G$24,0)</x:f>
        <x:v>107.47220000000003</x:v>
      </x:c>
    </x:row>
    <x:row r="1075">
      <x:c r="A1075" s="19" t="str">
        <x:v>2026-07-11|S08|D11</x:v>
      </x:c>
      <x:c r="B1075" s="34" t="n">
        <x:v>46214.5</x:v>
      </x:c>
      <x:c r="C1075" s="19" t="str">
        <x:v>S08</x:v>
      </x:c>
      <x:c r="D1075" s="19" t="str">
        <x:v>四季青店</x:v>
      </x:c>
      <x:c r="E1075" s="19" t="str">
        <x:v>D11</x:v>
      </x:c>
      <x:c r="F1075" s="19" t="str">
        <x:v>香辣爆肥肠</x:v>
      </x:c>
      <x:c r="G1075" s="20" t="n">
        <x:f>SUMIFS('7日销售明细'!$K$5:$K$2244,'7日销售明细'!$B$5:$B$2244,B1075,'7日销售明细'!$D$5:$D$2244,C1075,'7日销售明细'!$H$5:$H$2244,E1075)</x:f>
        <x:v>4</x:v>
      </x:c>
      <x:c r="H1075" s="35" t="n">
        <x:f>SUMIFS('7日销售明细'!$L$5:$L$2244,'7日销售明细'!$B$5:$B$2244,B1075,'7日销售明细'!$D$5:$D$2244,C1075,'7日销售明细'!$H$5:$H$2244,E1075)</x:f>
        <x:v>156</x:v>
      </x:c>
      <x:c r="I1075" s="35" t="n">
        <x:f>G1075*XLOOKUP(E1075,'菜品主数据'!$A$5:$A$24,'菜品主数据'!$G$5:$G$24,0)</x:f>
        <x:v>41.588</x:v>
      </x:c>
    </x:row>
    <x:row r="1076">
      <x:c r="A1076" s="19" t="str">
        <x:v>2026-07-11|S08|D12</x:v>
      </x:c>
      <x:c r="B1076" s="34" t="n">
        <x:v>46214.5</x:v>
      </x:c>
      <x:c r="C1076" s="19" t="str">
        <x:v>S08</x:v>
      </x:c>
      <x:c r="D1076" s="19" t="str">
        <x:v>四季青店</x:v>
      </x:c>
      <x:c r="E1076" s="19" t="str">
        <x:v>D12</x:v>
      </x:c>
      <x:c r="F1076" s="19" t="str">
        <x:v>清蒸鲈鱼</x:v>
      </x:c>
      <x:c r="G1076" s="20" t="n">
        <x:f>SUMIFS('7日销售明细'!$K$5:$K$2244,'7日销售明细'!$B$5:$B$2244,B1076,'7日销售明细'!$D$5:$D$2244,C1076,'7日销售明细'!$H$5:$H$2244,E1076)</x:f>
        <x:v>4</x:v>
      </x:c>
      <x:c r="H1076" s="35" t="n">
        <x:f>SUMIFS('7日销售明细'!$L$5:$L$2244,'7日销售明细'!$B$5:$B$2244,B1076,'7日销售明细'!$D$5:$D$2244,C1076,'7日销售明细'!$H$5:$H$2244,E1076)</x:f>
        <x:v>156</x:v>
      </x:c>
      <x:c r="I1076" s="35" t="n">
        <x:f>G1076*XLOOKUP(E1076,'菜品主数据'!$A$5:$A$24,'菜品主数据'!$G$5:$G$24,0)</x:f>
        <x:v>75.496</x:v>
      </x:c>
    </x:row>
    <x:row r="1077">
      <x:c r="A1077" s="19" t="str">
        <x:v>2026-07-11|S08|D13</x:v>
      </x:c>
      <x:c r="B1077" s="34" t="n">
        <x:v>46214.5</x:v>
      </x:c>
      <x:c r="C1077" s="19" t="str">
        <x:v>S08</x:v>
      </x:c>
      <x:c r="D1077" s="19" t="str">
        <x:v>四季青店</x:v>
      </x:c>
      <x:c r="E1077" s="19" t="str">
        <x:v>D13</x:v>
      </x:c>
      <x:c r="F1077" s="19" t="str">
        <x:v>外婆菜炒蛋</x:v>
      </x:c>
      <x:c r="G1077" s="20" t="n">
        <x:f>SUMIFS('7日销售明细'!$K$5:$K$2244,'7日销售明细'!$B$5:$B$2244,B1077,'7日销售明细'!$D$5:$D$2244,C1077,'7日销售明细'!$H$5:$H$2244,E1077)</x:f>
        <x:v>11</x:v>
      </x:c>
      <x:c r="H1077" s="35" t="n">
        <x:f>SUMIFS('7日销售明细'!$L$5:$L$2244,'7日销售明细'!$B$5:$B$2244,B1077,'7日销售明细'!$D$5:$D$2244,C1077,'7日销售明细'!$H$5:$H$2244,E1077)</x:f>
        <x:v>198</x:v>
      </x:c>
      <x:c r="I1077" s="35" t="n">
        <x:f>G1077*XLOOKUP(E1077,'菜品主数据'!$A$5:$A$24,'菜品主数据'!$G$5:$G$24,0)</x:f>
        <x:v>59.44399999999999</x:v>
      </x:c>
    </x:row>
    <x:row r="1078">
      <x:c r="A1078" s="19" t="str">
        <x:v>2026-07-11|S08|D14</x:v>
      </x:c>
      <x:c r="B1078" s="34" t="n">
        <x:v>46214.5</x:v>
      </x:c>
      <x:c r="C1078" s="19" t="str">
        <x:v>S08</x:v>
      </x:c>
      <x:c r="D1078" s="19" t="str">
        <x:v>四季青店</x:v>
      </x:c>
      <x:c r="E1078" s="19" t="str">
        <x:v>D14</x:v>
      </x:c>
      <x:c r="F1078" s="19" t="str">
        <x:v>酸辣鸡杂</x:v>
      </x:c>
      <x:c r="G1078" s="20" t="n">
        <x:f>SUMIFS('7日销售明细'!$K$5:$K$2244,'7日销售明细'!$B$5:$B$2244,B1078,'7日销售明细'!$D$5:$D$2244,C1078,'7日销售明细'!$H$5:$H$2244,E1078)</x:f>
        <x:v>5</x:v>
      </x:c>
      <x:c r="H1078" s="35" t="n">
        <x:f>SUMIFS('7日销售明细'!$L$5:$L$2244,'7日销售明细'!$B$5:$B$2244,B1078,'7日销售明细'!$D$5:$D$2244,C1078,'7日销售明细'!$H$5:$H$2244,E1078)</x:f>
        <x:v>140</x:v>
      </x:c>
      <x:c r="I1078" s="35" t="n">
        <x:f>G1078*XLOOKUP(E1078,'菜品主数据'!$A$5:$A$24,'菜品主数据'!$G$5:$G$24,0)</x:f>
        <x:v>41.575</x:v>
      </x:c>
    </x:row>
    <x:row r="1079">
      <x:c r="A1079" s="19" t="str">
        <x:v>2026-07-11|S08|D15</x:v>
      </x:c>
      <x:c r="B1079" s="34" t="n">
        <x:v>46214.5</x:v>
      </x:c>
      <x:c r="C1079" s="19" t="str">
        <x:v>S08</x:v>
      </x:c>
      <x:c r="D1079" s="19" t="str">
        <x:v>四季青店</x:v>
      </x:c>
      <x:c r="E1079" s="19" t="str">
        <x:v>D15</x:v>
      </x:c>
      <x:c r="F1079" s="19" t="str">
        <x:v>湘西土匪猪肝</x:v>
      </x:c>
      <x:c r="G1079" s="20" t="n">
        <x:f>SUMIFS('7日销售明细'!$K$5:$K$2244,'7日销售明细'!$B$5:$B$2244,B1079,'7日销售明细'!$D$5:$D$2244,C1079,'7日销售明细'!$H$5:$H$2244,E1079)</x:f>
        <x:v>4</x:v>
      </x:c>
      <x:c r="H1079" s="35" t="n">
        <x:f>SUMIFS('7日销售明细'!$L$5:$L$2244,'7日销售明细'!$B$5:$B$2244,B1079,'7日销售明细'!$D$5:$D$2244,C1079,'7日销售明细'!$H$5:$H$2244,E1079)</x:f>
        <x:v>104</x:v>
      </x:c>
      <x:c r="I1079" s="35" t="n">
        <x:f>G1079*XLOOKUP(E1079,'菜品主数据'!$A$5:$A$24,'菜品主数据'!$G$5:$G$24,0)</x:f>
        <x:v>25.503999999999998</x:v>
      </x:c>
    </x:row>
    <x:row r="1080">
      <x:c r="A1080" s="19" t="str">
        <x:v>2026-07-11|S08|D16</x:v>
      </x:c>
      <x:c r="B1080" s="34" t="n">
        <x:v>46214.5</x:v>
      </x:c>
      <x:c r="C1080" s="19" t="str">
        <x:v>S08</x:v>
      </x:c>
      <x:c r="D1080" s="19" t="str">
        <x:v>四季青店</x:v>
      </x:c>
      <x:c r="E1080" s="19" t="str">
        <x:v>D16</x:v>
      </x:c>
      <x:c r="F1080" s="19" t="str">
        <x:v>小豆角炒五花</x:v>
      </x:c>
      <x:c r="G1080" s="20" t="n">
        <x:f>SUMIFS('7日销售明细'!$K$5:$K$2244,'7日销售明细'!$B$5:$B$2244,B1080,'7日销售明细'!$D$5:$D$2244,C1080,'7日销售明细'!$H$5:$H$2244,E1080)</x:f>
        <x:v>5</x:v>
      </x:c>
      <x:c r="H1080" s="35" t="n">
        <x:f>SUMIFS('7日销售明细'!$L$5:$L$2244,'7日销售明细'!$B$5:$B$2244,B1080,'7日销售明细'!$D$5:$D$2244,C1080,'7日销售明细'!$H$5:$H$2244,E1080)</x:f>
        <x:v>125</x:v>
      </x:c>
      <x:c r="I1080" s="35" t="n">
        <x:f>G1080*XLOOKUP(E1080,'菜品主数据'!$A$5:$A$24,'菜品主数据'!$G$5:$G$24,0)</x:f>
        <x:v>40.919999999999995</x:v>
      </x:c>
    </x:row>
    <x:row r="1081">
      <x:c r="A1081" s="19" t="str">
        <x:v>2026-07-11|S08|D17</x:v>
      </x:c>
      <x:c r="B1081" s="34" t="n">
        <x:v>46214.5</x:v>
      </x:c>
      <x:c r="C1081" s="19" t="str">
        <x:v>S08</x:v>
      </x:c>
      <x:c r="D1081" s="19" t="str">
        <x:v>四季青店</x:v>
      </x:c>
      <x:c r="E1081" s="19" t="str">
        <x:v>D17</x:v>
      </x:c>
      <x:c r="F1081" s="19" t="str">
        <x:v>蒜蓉粉丝虾</x:v>
      </x:c>
      <x:c r="G1081" s="20" t="n">
        <x:f>SUMIFS('7日销售明细'!$K$5:$K$2244,'7日销售明细'!$B$5:$B$2244,B1081,'7日销售明细'!$D$5:$D$2244,C1081,'7日销售明细'!$H$5:$H$2244,E1081)</x:f>
        <x:v>3</x:v>
      </x:c>
      <x:c r="H1081" s="35" t="n">
        <x:f>SUMIFS('7日销售明细'!$L$5:$L$2244,'7日销售明细'!$B$5:$B$2244,B1081,'7日销售明细'!$D$5:$D$2244,C1081,'7日销售明细'!$H$5:$H$2244,E1081)</x:f>
        <x:v>108</x:v>
      </x:c>
      <x:c r="I1081" s="35" t="n">
        <x:f>G1081*XLOOKUP(E1081,'菜品主数据'!$A$5:$A$24,'菜品主数据'!$G$5:$G$24,0)</x:f>
        <x:v>40.782</x:v>
      </x:c>
    </x:row>
    <x:row r="1082">
      <x:c r="A1082" s="19" t="str">
        <x:v>2026-07-11|S08|D18</x:v>
      </x:c>
      <x:c r="B1082" s="34" t="n">
        <x:v>46214.5</x:v>
      </x:c>
      <x:c r="C1082" s="19" t="str">
        <x:v>S08</x:v>
      </x:c>
      <x:c r="D1082" s="19" t="str">
        <x:v>四季青店</x:v>
      </x:c>
      <x:c r="E1082" s="19" t="str">
        <x:v>D18</x:v>
      </x:c>
      <x:c r="F1082" s="19" t="str">
        <x:v>青椒炒油麦菜</x:v>
      </x:c>
      <x:c r="G1082" s="20" t="n">
        <x:f>SUMIFS('7日销售明细'!$K$5:$K$2244,'7日销售明细'!$B$5:$B$2244,B1082,'7日销售明细'!$D$5:$D$2244,C1082,'7日销售明细'!$H$5:$H$2244,E1082)</x:f>
        <x:v>5</x:v>
      </x:c>
      <x:c r="H1082" s="35" t="n">
        <x:f>SUMIFS('7日销售明细'!$L$5:$L$2244,'7日销售明细'!$B$5:$B$2244,B1082,'7日销售明细'!$D$5:$D$2244,C1082,'7日销售明细'!$H$5:$H$2244,E1082)</x:f>
        <x:v>90</x:v>
      </x:c>
      <x:c r="I1082" s="35" t="n">
        <x:f>G1082*XLOOKUP(E1082,'菜品主数据'!$A$5:$A$24,'菜品主数据'!$G$5:$G$24,0)</x:f>
        <x:v>15.879999999999995</x:v>
      </x:c>
    </x:row>
    <x:row r="1083">
      <x:c r="A1083" s="19" t="str">
        <x:v>2026-07-11|S08|D19</x:v>
      </x:c>
      <x:c r="B1083" s="34" t="n">
        <x:v>46214.5</x:v>
      </x:c>
      <x:c r="C1083" s="19" t="str">
        <x:v>S08</x:v>
      </x:c>
      <x:c r="D1083" s="19" t="str">
        <x:v>四季青店</x:v>
      </x:c>
      <x:c r="E1083" s="19" t="str">
        <x:v>D19</x:v>
      </x:c>
      <x:c r="F1083" s="19" t="str">
        <x:v>酸萝卜炒鸡杂</x:v>
      </x:c>
      <x:c r="G1083" s="20" t="n">
        <x:f>SUMIFS('7日销售明细'!$K$5:$K$2244,'7日销售明细'!$B$5:$B$2244,B1083,'7日销售明细'!$D$5:$D$2244,C1083,'7日销售明细'!$H$5:$H$2244,E1083)</x:f>
        <x:v>4</x:v>
      </x:c>
      <x:c r="H1083" s="35" t="n">
        <x:f>SUMIFS('7日销售明细'!$L$5:$L$2244,'7日销售明细'!$B$5:$B$2244,B1083,'7日销售明细'!$D$5:$D$2244,C1083,'7日销售明细'!$H$5:$H$2244,E1083)</x:f>
        <x:v>100</x:v>
      </x:c>
      <x:c r="I1083" s="35" t="n">
        <x:f>G1083*XLOOKUP(E1083,'菜品主数据'!$A$5:$A$24,'菜品主数据'!$G$5:$G$24,0)</x:f>
        <x:v>31.759999999999998</x:v>
      </x:c>
    </x:row>
    <x:row r="1084">
      <x:c r="A1084" s="19" t="str">
        <x:v>2026-07-11|S08|D20</x:v>
      </x:c>
      <x:c r="B1084" s="34" t="n">
        <x:v>46214.5</x:v>
      </x:c>
      <x:c r="C1084" s="19" t="str">
        <x:v>S08</x:v>
      </x:c>
      <x:c r="D1084" s="19" t="str">
        <x:v>四季青店</x:v>
      </x:c>
      <x:c r="E1084" s="19" t="str">
        <x:v>D20</x:v>
      </x:c>
      <x:c r="F1084" s="19" t="str">
        <x:v>雪菜肉末青豆</x:v>
      </x:c>
      <x:c r="G1084" s="20" t="n">
        <x:f>SUMIFS('7日销售明细'!$K$5:$K$2244,'7日销售明细'!$B$5:$B$2244,B1084,'7日销售明细'!$D$5:$D$2244,C1084,'7日销售明细'!$H$5:$H$2244,E1084)</x:f>
        <x:v>5</x:v>
      </x:c>
      <x:c r="H1084" s="35" t="n">
        <x:f>SUMIFS('7日销售明细'!$L$5:$L$2244,'7日销售明细'!$B$5:$B$2244,B1084,'7日销售明细'!$D$5:$D$2244,C1084,'7日销售明细'!$H$5:$H$2244,E1084)</x:f>
        <x:v>90</x:v>
      </x:c>
      <x:c r="I1084" s="35" t="n">
        <x:f>G1084*XLOOKUP(E1084,'菜品主数据'!$A$5:$A$24,'菜品主数据'!$G$5:$G$24,0)</x:f>
        <x:v>36.519999999999996</x:v>
      </x:c>
    </x:row>
    <x:row r="1085">
      <x:c r="A1085" s="19" t="str">
        <x:v>2026-07-12|S08|D01</x:v>
      </x:c>
      <x:c r="B1085" s="34" t="n">
        <x:v>46215.5</x:v>
      </x:c>
      <x:c r="C1085" s="19" t="str">
        <x:v>S08</x:v>
      </x:c>
      <x:c r="D1085" s="19" t="str">
        <x:v>四季青店</x:v>
      </x:c>
      <x:c r="E1085" s="19" t="str">
        <x:v>D01</x:v>
      </x:c>
      <x:c r="F1085" s="19" t="str">
        <x:v>辣椒炒肉</x:v>
      </x:c>
      <x:c r="G1085" s="20" t="n">
        <x:f>SUMIFS('7日销售明细'!$K$5:$K$2244,'7日销售明细'!$B$5:$B$2244,B1085,'7日销售明细'!$D$5:$D$2244,C1085,'7日销售明细'!$H$5:$H$2244,E1085)</x:f>
        <x:v>32</x:v>
      </x:c>
      <x:c r="H1085" s="35" t="n">
        <x:f>SUMIFS('7日销售明细'!$L$5:$L$2244,'7日销售明细'!$B$5:$B$2244,B1085,'7日销售明细'!$D$5:$D$2244,C1085,'7日销售明细'!$H$5:$H$2244,E1085)</x:f>
        <x:v>928</x:v>
      </x:c>
      <x:c r="I1085" s="35" t="n">
        <x:f>G1085*XLOOKUP(E1085,'菜品主数据'!$A$5:$A$24,'菜品主数据'!$G$5:$G$24,0)</x:f>
        <x:v>276.30080000000004</x:v>
      </x:c>
    </x:row>
    <x:row r="1086">
      <x:c r="A1086" s="19" t="str">
        <x:v>2026-07-12|S08|D02</x:v>
      </x:c>
      <x:c r="B1086" s="34" t="n">
        <x:v>46215.5</x:v>
      </x:c>
      <x:c r="C1086" s="19" t="str">
        <x:v>S08</x:v>
      </x:c>
      <x:c r="D1086" s="19" t="str">
        <x:v>四季青店</x:v>
      </x:c>
      <x:c r="E1086" s="19" t="str">
        <x:v>D02</x:v>
      </x:c>
      <x:c r="F1086" s="19" t="str">
        <x:v>小炒黄牛肉</x:v>
      </x:c>
      <x:c r="G1086" s="20" t="n">
        <x:f>SUMIFS('7日销售明细'!$K$5:$K$2244,'7日销售明细'!$B$5:$B$2244,B1086,'7日销售明细'!$D$5:$D$2244,C1086,'7日销售明细'!$H$5:$H$2244,E1086)</x:f>
        <x:v>24</x:v>
      </x:c>
      <x:c r="H1086" s="35" t="n">
        <x:f>SUMIFS('7日销售明细'!$L$5:$L$2244,'7日销售明细'!$B$5:$B$2244,B1086,'7日销售明细'!$D$5:$D$2244,C1086,'7日销售明细'!$H$5:$H$2244,E1086)</x:f>
        <x:v>1176</x:v>
      </x:c>
      <x:c r="I1086" s="35" t="n">
        <x:f>G1086*XLOOKUP(E1086,'菜品主数据'!$A$5:$A$24,'菜品主数据'!$G$5:$G$24,0)</x:f>
        <x:v>421.84800000000007</x:v>
      </x:c>
    </x:row>
    <x:row r="1087">
      <x:c r="A1087" s="19" t="str">
        <x:v>2026-07-12|S08|D03</x:v>
      </x:c>
      <x:c r="B1087" s="34" t="n">
        <x:v>46215.5</x:v>
      </x:c>
      <x:c r="C1087" s="19" t="str">
        <x:v>S08</x:v>
      </x:c>
      <x:c r="D1087" s="19" t="str">
        <x:v>四季青店</x:v>
      </x:c>
      <x:c r="E1087" s="19" t="str">
        <x:v>D03</x:v>
      </x:c>
      <x:c r="F1087" s="19" t="str">
        <x:v>香醋炒蛋</x:v>
      </x:c>
      <x:c r="G1087" s="20" t="n">
        <x:f>SUMIFS('7日销售明细'!$K$5:$K$2244,'7日销售明细'!$B$5:$B$2244,B1087,'7日销售明细'!$D$5:$D$2244,C1087,'7日销售明细'!$H$5:$H$2244,E1087)</x:f>
        <x:v>27</x:v>
      </x:c>
      <x:c r="H1087" s="35" t="n">
        <x:f>SUMIFS('7日销售明细'!$L$5:$L$2244,'7日销售明细'!$B$5:$B$2244,B1087,'7日销售明细'!$D$5:$D$2244,C1087,'7日销售明细'!$H$5:$H$2244,E1087)</x:f>
        <x:v>402.3</x:v>
      </x:c>
      <x:c r="I1087" s="35" t="n">
        <x:f>G1087*XLOOKUP(E1087,'菜品主数据'!$A$5:$A$24,'菜品主数据'!$G$5:$G$24,0)</x:f>
        <x:v>101.14199999999998</x:v>
      </x:c>
    </x:row>
    <x:row r="1088">
      <x:c r="A1088" s="19" t="str">
        <x:v>2026-07-12|S08|D04</x:v>
      </x:c>
      <x:c r="B1088" s="34" t="n">
        <x:v>46215.5</x:v>
      </x:c>
      <x:c r="C1088" s="19" t="str">
        <x:v>S08</x:v>
      </x:c>
      <x:c r="D1088" s="19" t="str">
        <x:v>四季青店</x:v>
      </x:c>
      <x:c r="E1088" s="19" t="str">
        <x:v>D04</x:v>
      </x:c>
      <x:c r="F1088" s="19" t="str">
        <x:v>酸包菜炒粉皮</x:v>
      </x:c>
      <x:c r="G1088" s="20" t="n">
        <x:f>SUMIFS('7日销售明细'!$K$5:$K$2244,'7日销售明细'!$B$5:$B$2244,B1088,'7日销售明细'!$D$5:$D$2244,C1088,'7日销售明细'!$H$5:$H$2244,E1088)</x:f>
        <x:v>25</x:v>
      </x:c>
      <x:c r="H1088" s="35" t="n">
        <x:f>SUMIFS('7日销售明细'!$L$5:$L$2244,'7日销售明细'!$B$5:$B$2244,B1088,'7日销售明细'!$D$5:$D$2244,C1088,'7日销售明细'!$H$5:$H$2244,E1088)</x:f>
        <x:v>400</x:v>
      </x:c>
      <x:c r="I1088" s="35" t="n">
        <x:f>G1088*XLOOKUP(E1088,'菜品主数据'!$A$5:$A$24,'菜品主数据'!$G$5:$G$24,0)</x:f>
        <x:v>99.45</x:v>
      </x:c>
    </x:row>
    <x:row r="1089">
      <x:c r="A1089" s="19" t="str">
        <x:v>2026-07-12|S08|D05</x:v>
      </x:c>
      <x:c r="B1089" s="34" t="n">
        <x:v>46215.5</x:v>
      </x:c>
      <x:c r="C1089" s="19" t="str">
        <x:v>S08</x:v>
      </x:c>
      <x:c r="D1089" s="19" t="str">
        <x:v>四季青店</x:v>
      </x:c>
      <x:c r="E1089" s="19" t="str">
        <x:v>D05</x:v>
      </x:c>
      <x:c r="F1089" s="19" t="str">
        <x:v>麻婆豆腐</x:v>
      </x:c>
      <x:c r="G1089" s="20" t="n">
        <x:f>SUMIFS('7日销售明细'!$K$5:$K$2244,'7日销售明细'!$B$5:$B$2244,B1089,'7日销售明细'!$D$5:$D$2244,C1089,'7日销售明细'!$H$5:$H$2244,E1089)</x:f>
        <x:v>34</x:v>
      </x:c>
      <x:c r="H1089" s="35" t="n">
        <x:f>SUMIFS('7日销售明细'!$L$5:$L$2244,'7日销售明细'!$B$5:$B$2244,B1089,'7日销售明细'!$D$5:$D$2244,C1089,'7日销售明细'!$H$5:$H$2244,E1089)</x:f>
        <x:v>336.6</x:v>
      </x:c>
      <x:c r="I1089" s="35" t="n">
        <x:f>G1089*XLOOKUP(E1089,'菜品主数据'!$A$5:$A$24,'菜品主数据'!$G$5:$G$24,0)</x:f>
        <x:v>182.47800000000004</x:v>
      </x:c>
    </x:row>
    <x:row r="1090">
      <x:c r="A1090" s="19" t="str">
        <x:v>2026-07-12|S08|D06</x:v>
      </x:c>
      <x:c r="B1090" s="34" t="n">
        <x:v>46215.5</x:v>
      </x:c>
      <x:c r="C1090" s="19" t="str">
        <x:v>S08</x:v>
      </x:c>
      <x:c r="D1090" s="19" t="str">
        <x:v>四季青店</x:v>
      </x:c>
      <x:c r="E1090" s="19" t="str">
        <x:v>D06</x:v>
      </x:c>
      <x:c r="F1090" s="19" t="str">
        <x:v>剁椒鱼头</x:v>
      </x:c>
      <x:c r="G1090" s="20" t="n">
        <x:f>SUMIFS('7日销售明细'!$K$5:$K$2244,'7日销售明细'!$B$5:$B$2244,B1090,'7日销售明细'!$D$5:$D$2244,C1090,'7日销售明细'!$H$5:$H$2244,E1090)</x:f>
        <x:v>7</x:v>
      </x:c>
      <x:c r="H1090" s="35" t="n">
        <x:f>SUMIFS('7日销售明细'!$L$5:$L$2244,'7日销售明细'!$B$5:$B$2244,B1090,'7日销售明细'!$D$5:$D$2244,C1090,'7日销售明细'!$H$5:$H$2244,E1090)</x:f>
        <x:v>273</x:v>
      </x:c>
      <x:c r="I1090" s="35" t="n">
        <x:f>G1090*XLOOKUP(E1090,'菜品主数据'!$A$5:$A$24,'菜品主数据'!$G$5:$G$24,0)</x:f>
        <x:v>122.12200000000001</x:v>
      </x:c>
    </x:row>
    <x:row r="1091">
      <x:c r="A1091" s="19" t="str">
        <x:v>2026-07-12|S08|D07</x:v>
      </x:c>
      <x:c r="B1091" s="34" t="n">
        <x:v>46215.5</x:v>
      </x:c>
      <x:c r="C1091" s="19" t="str">
        <x:v>S08</x:v>
      </x:c>
      <x:c r="D1091" s="19" t="str">
        <x:v>四季青店</x:v>
      </x:c>
      <x:c r="E1091" s="19" t="str">
        <x:v>D07</x:v>
      </x:c>
      <x:c r="F1091" s="19" t="str">
        <x:v>川味回锅肉</x:v>
      </x:c>
      <x:c r="G1091" s="20" t="n">
        <x:f>SUMIFS('7日销售明细'!$K$5:$K$2244,'7日销售明细'!$B$5:$B$2244,B1091,'7日销售明细'!$D$5:$D$2244,C1091,'7日销售明细'!$H$5:$H$2244,E1091)</x:f>
        <x:v>9</x:v>
      </x:c>
      <x:c r="H1091" s="35" t="n">
        <x:f>SUMIFS('7日销售明细'!$L$5:$L$2244,'7日销售明细'!$B$5:$B$2244,B1091,'7日销售明细'!$D$5:$D$2244,C1091,'7日销售明细'!$H$5:$H$2244,E1091)</x:f>
        <x:v>261</x:v>
      </x:c>
      <x:c r="I1091" s="35" t="n">
        <x:f>G1091*XLOOKUP(E1091,'菜品主数据'!$A$5:$A$24,'菜品主数据'!$G$5:$G$24,0)</x:f>
        <x:v>92.07900000000001</x:v>
      </x:c>
    </x:row>
    <x:row r="1092">
      <x:c r="A1092" s="19" t="str">
        <x:v>2026-07-12|S08|D08</x:v>
      </x:c>
      <x:c r="B1092" s="34" t="n">
        <x:v>46215.5</x:v>
      </x:c>
      <x:c r="C1092" s="19" t="str">
        <x:v>S08</x:v>
      </x:c>
      <x:c r="D1092" s="19" t="str">
        <x:v>四季青店</x:v>
      </x:c>
      <x:c r="E1092" s="19" t="str">
        <x:v>D08</x:v>
      </x:c>
      <x:c r="F1092" s="19" t="str">
        <x:v>生炒清远鸡</x:v>
      </x:c>
      <x:c r="G1092" s="20" t="n">
        <x:f>SUMIFS('7日销售明细'!$K$5:$K$2244,'7日销售明细'!$B$5:$B$2244,B1092,'7日销售明细'!$D$5:$D$2244,C1092,'7日销售明细'!$H$5:$H$2244,E1092)</x:f>
        <x:v>6</x:v>
      </x:c>
      <x:c r="H1092" s="35" t="n">
        <x:f>SUMIFS('7日销售明细'!$L$5:$L$2244,'7日销售明细'!$B$5:$B$2244,B1092,'7日销售明细'!$D$5:$D$2244,C1092,'7日销售明细'!$H$5:$H$2244,E1092)</x:f>
        <x:v>216</x:v>
      </x:c>
      <x:c r="I1092" s="35" t="n">
        <x:f>G1092*XLOOKUP(E1092,'菜品主数据'!$A$5:$A$24,'菜品主数据'!$G$5:$G$24,0)</x:f>
        <x:v>80.88</x:v>
      </x:c>
    </x:row>
    <x:row r="1093">
      <x:c r="A1093" s="19" t="str">
        <x:v>2026-07-12|S08|D09</x:v>
      </x:c>
      <x:c r="B1093" s="34" t="n">
        <x:v>46215.5</x:v>
      </x:c>
      <x:c r="C1093" s="19" t="str">
        <x:v>S08</x:v>
      </x:c>
      <x:c r="D1093" s="19" t="str">
        <x:v>四季青店</x:v>
      </x:c>
      <x:c r="E1093" s="19" t="str">
        <x:v>D09</x:v>
      </x:c>
      <x:c r="F1093" s="19" t="str">
        <x:v>炒豆干</x:v>
      </x:c>
      <x:c r="G1093" s="20" t="n">
        <x:f>SUMIFS('7日销售明细'!$K$5:$K$2244,'7日销售明细'!$B$5:$B$2244,B1093,'7日销售明细'!$D$5:$D$2244,C1093,'7日销售明细'!$H$5:$H$2244,E1093)</x:f>
        <x:v>10</x:v>
      </x:c>
      <x:c r="H1093" s="35" t="n">
        <x:f>SUMIFS('7日销售明细'!$L$5:$L$2244,'7日销售明细'!$B$5:$B$2244,B1093,'7日销售明细'!$D$5:$D$2244,C1093,'7日销售明细'!$H$5:$H$2244,E1093)</x:f>
        <x:v>180</x:v>
      </x:c>
      <x:c r="I1093" s="35" t="n">
        <x:f>G1093*XLOOKUP(E1093,'菜品主数据'!$A$5:$A$24,'菜品主数据'!$G$5:$G$24,0)</x:f>
        <x:v>66.13999999999999</x:v>
      </x:c>
    </x:row>
    <x:row r="1094">
      <x:c r="A1094" s="19" t="str">
        <x:v>2026-07-12|S08|D10</x:v>
      </x:c>
      <x:c r="B1094" s="34" t="n">
        <x:v>46215.5</x:v>
      </x:c>
      <x:c r="C1094" s="19" t="str">
        <x:v>S08</x:v>
      </x:c>
      <x:c r="D1094" s="19" t="str">
        <x:v>四季青店</x:v>
      </x:c>
      <x:c r="E1094" s="19" t="str">
        <x:v>D10</x:v>
      </x:c>
      <x:c r="F1094" s="19" t="str">
        <x:v>农家一碗香</x:v>
      </x:c>
      <x:c r="G1094" s="20" t="n">
        <x:f>SUMIFS('7日销售明细'!$K$5:$K$2244,'7日销售明细'!$B$5:$B$2244,B1094,'7日销售明细'!$D$5:$D$2244,C1094,'7日销售明细'!$H$5:$H$2244,E1094)</x:f>
        <x:v>11</x:v>
      </x:c>
      <x:c r="H1094" s="35" t="n">
        <x:f>SUMIFS('7日销售明细'!$L$5:$L$2244,'7日销售明细'!$B$5:$B$2244,B1094,'7日销售明细'!$D$5:$D$2244,C1094,'7日销售明细'!$H$5:$H$2244,E1094)</x:f>
        <x:v>251.9</x:v>
      </x:c>
      <x:c r="I1094" s="35" t="n">
        <x:f>G1094*XLOOKUP(E1094,'菜品主数据'!$A$5:$A$24,'菜品主数据'!$G$5:$G$24,0)</x:f>
        <x:v>107.47220000000003</x:v>
      </x:c>
    </x:row>
    <x:row r="1095">
      <x:c r="A1095" s="19" t="str">
        <x:v>2026-07-12|S08|D11</x:v>
      </x:c>
      <x:c r="B1095" s="34" t="n">
        <x:v>46215.5</x:v>
      </x:c>
      <x:c r="C1095" s="19" t="str">
        <x:v>S08</x:v>
      </x:c>
      <x:c r="D1095" s="19" t="str">
        <x:v>四季青店</x:v>
      </x:c>
      <x:c r="E1095" s="19" t="str">
        <x:v>D11</x:v>
      </x:c>
      <x:c r="F1095" s="19" t="str">
        <x:v>香辣爆肥肠</x:v>
      </x:c>
      <x:c r="G1095" s="20" t="n">
        <x:f>SUMIFS('7日销售明细'!$K$5:$K$2244,'7日销售明细'!$B$5:$B$2244,B1095,'7日销售明细'!$D$5:$D$2244,C1095,'7日销售明细'!$H$5:$H$2244,E1095)</x:f>
        <x:v>4</x:v>
      </x:c>
      <x:c r="H1095" s="35" t="n">
        <x:f>SUMIFS('7日销售明细'!$L$5:$L$2244,'7日销售明细'!$B$5:$B$2244,B1095,'7日销售明细'!$D$5:$D$2244,C1095,'7日销售明细'!$H$5:$H$2244,E1095)</x:f>
        <x:v>156</x:v>
      </x:c>
      <x:c r="I1095" s="35" t="n">
        <x:f>G1095*XLOOKUP(E1095,'菜品主数据'!$A$5:$A$24,'菜品主数据'!$G$5:$G$24,0)</x:f>
        <x:v>41.588</x:v>
      </x:c>
    </x:row>
    <x:row r="1096">
      <x:c r="A1096" s="19" t="str">
        <x:v>2026-07-12|S08|D12</x:v>
      </x:c>
      <x:c r="B1096" s="34" t="n">
        <x:v>46215.5</x:v>
      </x:c>
      <x:c r="C1096" s="19" t="str">
        <x:v>S08</x:v>
      </x:c>
      <x:c r="D1096" s="19" t="str">
        <x:v>四季青店</x:v>
      </x:c>
      <x:c r="E1096" s="19" t="str">
        <x:v>D12</x:v>
      </x:c>
      <x:c r="F1096" s="19" t="str">
        <x:v>清蒸鲈鱼</x:v>
      </x:c>
      <x:c r="G1096" s="20" t="n">
        <x:f>SUMIFS('7日销售明细'!$K$5:$K$2244,'7日销售明细'!$B$5:$B$2244,B1096,'7日销售明细'!$D$5:$D$2244,C1096,'7日销售明细'!$H$5:$H$2244,E1096)</x:f>
        <x:v>4</x:v>
      </x:c>
      <x:c r="H1096" s="35" t="n">
        <x:f>SUMIFS('7日销售明细'!$L$5:$L$2244,'7日销售明细'!$B$5:$B$2244,B1096,'7日销售明细'!$D$5:$D$2244,C1096,'7日销售明细'!$H$5:$H$2244,E1096)</x:f>
        <x:v>156</x:v>
      </x:c>
      <x:c r="I1096" s="35" t="n">
        <x:f>G1096*XLOOKUP(E1096,'菜品主数据'!$A$5:$A$24,'菜品主数据'!$G$5:$G$24,0)</x:f>
        <x:v>75.496</x:v>
      </x:c>
    </x:row>
    <x:row r="1097">
      <x:c r="A1097" s="19" t="str">
        <x:v>2026-07-12|S08|D13</x:v>
      </x:c>
      <x:c r="B1097" s="34" t="n">
        <x:v>46215.5</x:v>
      </x:c>
      <x:c r="C1097" s="19" t="str">
        <x:v>S08</x:v>
      </x:c>
      <x:c r="D1097" s="19" t="str">
        <x:v>四季青店</x:v>
      </x:c>
      <x:c r="E1097" s="19" t="str">
        <x:v>D13</x:v>
      </x:c>
      <x:c r="F1097" s="19" t="str">
        <x:v>外婆菜炒蛋</x:v>
      </x:c>
      <x:c r="G1097" s="20" t="n">
        <x:f>SUMIFS('7日销售明细'!$K$5:$K$2244,'7日销售明细'!$B$5:$B$2244,B1097,'7日销售明细'!$D$5:$D$2244,C1097,'7日销售明细'!$H$5:$H$2244,E1097)</x:f>
        <x:v>10</x:v>
      </x:c>
      <x:c r="H1097" s="35" t="n">
        <x:f>SUMIFS('7日销售明细'!$L$5:$L$2244,'7日销售明细'!$B$5:$B$2244,B1097,'7日销售明细'!$D$5:$D$2244,C1097,'7日销售明细'!$H$5:$H$2244,E1097)</x:f>
        <x:v>180</x:v>
      </x:c>
      <x:c r="I1097" s="35" t="n">
        <x:f>G1097*XLOOKUP(E1097,'菜品主数据'!$A$5:$A$24,'菜品主数据'!$G$5:$G$24,0)</x:f>
        <x:v>54.03999999999999</x:v>
      </x:c>
    </x:row>
    <x:row r="1098">
      <x:c r="A1098" s="19" t="str">
        <x:v>2026-07-12|S08|D14</x:v>
      </x:c>
      <x:c r="B1098" s="34" t="n">
        <x:v>46215.5</x:v>
      </x:c>
      <x:c r="C1098" s="19" t="str">
        <x:v>S08</x:v>
      </x:c>
      <x:c r="D1098" s="19" t="str">
        <x:v>四季青店</x:v>
      </x:c>
      <x:c r="E1098" s="19" t="str">
        <x:v>D14</x:v>
      </x:c>
      <x:c r="F1098" s="19" t="str">
        <x:v>酸辣鸡杂</x:v>
      </x:c>
      <x:c r="G1098" s="20" t="n">
        <x:f>SUMIFS('7日销售明细'!$K$5:$K$2244,'7日销售明细'!$B$5:$B$2244,B1098,'7日销售明细'!$D$5:$D$2244,C1098,'7日销售明细'!$H$5:$H$2244,E1098)</x:f>
        <x:v>5</x:v>
      </x:c>
      <x:c r="H1098" s="35" t="n">
        <x:f>SUMIFS('7日销售明细'!$L$5:$L$2244,'7日销售明细'!$B$5:$B$2244,B1098,'7日销售明细'!$D$5:$D$2244,C1098,'7日销售明细'!$H$5:$H$2244,E1098)</x:f>
        <x:v>140</x:v>
      </x:c>
      <x:c r="I1098" s="35" t="n">
        <x:f>G1098*XLOOKUP(E1098,'菜品主数据'!$A$5:$A$24,'菜品主数据'!$G$5:$G$24,0)</x:f>
        <x:v>41.575</x:v>
      </x:c>
    </x:row>
    <x:row r="1099">
      <x:c r="A1099" s="19" t="str">
        <x:v>2026-07-12|S08|D15</x:v>
      </x:c>
      <x:c r="B1099" s="34" t="n">
        <x:v>46215.5</x:v>
      </x:c>
      <x:c r="C1099" s="19" t="str">
        <x:v>S08</x:v>
      </x:c>
      <x:c r="D1099" s="19" t="str">
        <x:v>四季青店</x:v>
      </x:c>
      <x:c r="E1099" s="19" t="str">
        <x:v>D15</x:v>
      </x:c>
      <x:c r="F1099" s="19" t="str">
        <x:v>湘西土匪猪肝</x:v>
      </x:c>
      <x:c r="G1099" s="20" t="n">
        <x:f>SUMIFS('7日销售明细'!$K$5:$K$2244,'7日销售明细'!$B$5:$B$2244,B1099,'7日销售明细'!$D$5:$D$2244,C1099,'7日销售明细'!$H$5:$H$2244,E1099)</x:f>
        <x:v>4</x:v>
      </x:c>
      <x:c r="H1099" s="35" t="n">
        <x:f>SUMIFS('7日销售明细'!$L$5:$L$2244,'7日销售明细'!$B$5:$B$2244,B1099,'7日销售明细'!$D$5:$D$2244,C1099,'7日销售明细'!$H$5:$H$2244,E1099)</x:f>
        <x:v>104</x:v>
      </x:c>
      <x:c r="I1099" s="35" t="n">
        <x:f>G1099*XLOOKUP(E1099,'菜品主数据'!$A$5:$A$24,'菜品主数据'!$G$5:$G$24,0)</x:f>
        <x:v>25.503999999999998</x:v>
      </x:c>
    </x:row>
    <x:row r="1100">
      <x:c r="A1100" s="19" t="str">
        <x:v>2026-07-12|S08|D16</x:v>
      </x:c>
      <x:c r="B1100" s="34" t="n">
        <x:v>46215.5</x:v>
      </x:c>
      <x:c r="C1100" s="19" t="str">
        <x:v>S08</x:v>
      </x:c>
      <x:c r="D1100" s="19" t="str">
        <x:v>四季青店</x:v>
      </x:c>
      <x:c r="E1100" s="19" t="str">
        <x:v>D16</x:v>
      </x:c>
      <x:c r="F1100" s="19" t="str">
        <x:v>小豆角炒五花</x:v>
      </x:c>
      <x:c r="G1100" s="20" t="n">
        <x:f>SUMIFS('7日销售明细'!$K$5:$K$2244,'7日销售明细'!$B$5:$B$2244,B1100,'7日销售明细'!$D$5:$D$2244,C1100,'7日销售明细'!$H$5:$H$2244,E1100)</x:f>
        <x:v>4</x:v>
      </x:c>
      <x:c r="H1100" s="35" t="n">
        <x:f>SUMIFS('7日销售明细'!$L$5:$L$2244,'7日销售明细'!$B$5:$B$2244,B1100,'7日销售明细'!$D$5:$D$2244,C1100,'7日销售明细'!$H$5:$H$2244,E1100)</x:f>
        <x:v>100</x:v>
      </x:c>
      <x:c r="I1100" s="35" t="n">
        <x:f>G1100*XLOOKUP(E1100,'菜品主数据'!$A$5:$A$24,'菜品主数据'!$G$5:$G$24,0)</x:f>
        <x:v>32.736</x:v>
      </x:c>
    </x:row>
    <x:row r="1101">
      <x:c r="A1101" s="19" t="str">
        <x:v>2026-07-12|S08|D17</x:v>
      </x:c>
      <x:c r="B1101" s="34" t="n">
        <x:v>46215.5</x:v>
      </x:c>
      <x:c r="C1101" s="19" t="str">
        <x:v>S08</x:v>
      </x:c>
      <x:c r="D1101" s="19" t="str">
        <x:v>四季青店</x:v>
      </x:c>
      <x:c r="E1101" s="19" t="str">
        <x:v>D17</x:v>
      </x:c>
      <x:c r="F1101" s="19" t="str">
        <x:v>蒜蓉粉丝虾</x:v>
      </x:c>
      <x:c r="G1101" s="20" t="n">
        <x:f>SUMIFS('7日销售明细'!$K$5:$K$2244,'7日销售明细'!$B$5:$B$2244,B1101,'7日销售明细'!$D$5:$D$2244,C1101,'7日销售明细'!$H$5:$H$2244,E1101)</x:f>
        <x:v>3</x:v>
      </x:c>
      <x:c r="H1101" s="35" t="n">
        <x:f>SUMIFS('7日销售明细'!$L$5:$L$2244,'7日销售明细'!$B$5:$B$2244,B1101,'7日销售明细'!$D$5:$D$2244,C1101,'7日销售明细'!$H$5:$H$2244,E1101)</x:f>
        <x:v>108</x:v>
      </x:c>
      <x:c r="I1101" s="35" t="n">
        <x:f>G1101*XLOOKUP(E1101,'菜品主数据'!$A$5:$A$24,'菜品主数据'!$G$5:$G$24,0)</x:f>
        <x:v>40.782</x:v>
      </x:c>
    </x:row>
    <x:row r="1102">
      <x:c r="A1102" s="19" t="str">
        <x:v>2026-07-12|S08|D18</x:v>
      </x:c>
      <x:c r="B1102" s="34" t="n">
        <x:v>46215.5</x:v>
      </x:c>
      <x:c r="C1102" s="19" t="str">
        <x:v>S08</x:v>
      </x:c>
      <x:c r="D1102" s="19" t="str">
        <x:v>四季青店</x:v>
      </x:c>
      <x:c r="E1102" s="19" t="str">
        <x:v>D18</x:v>
      </x:c>
      <x:c r="F1102" s="19" t="str">
        <x:v>青椒炒油麦菜</x:v>
      </x:c>
      <x:c r="G1102" s="20" t="n">
        <x:f>SUMIFS('7日销售明细'!$K$5:$K$2244,'7日销售明细'!$B$5:$B$2244,B1102,'7日销售明细'!$D$5:$D$2244,C1102,'7日销售明细'!$H$5:$H$2244,E1102)</x:f>
        <x:v>5</x:v>
      </x:c>
      <x:c r="H1102" s="35" t="n">
        <x:f>SUMIFS('7日销售明细'!$L$5:$L$2244,'7日销售明细'!$B$5:$B$2244,B1102,'7日销售明细'!$D$5:$D$2244,C1102,'7日销售明细'!$H$5:$H$2244,E1102)</x:f>
        <x:v>90</x:v>
      </x:c>
      <x:c r="I1102" s="35" t="n">
        <x:f>G1102*XLOOKUP(E1102,'菜品主数据'!$A$5:$A$24,'菜品主数据'!$G$5:$G$24,0)</x:f>
        <x:v>15.879999999999995</x:v>
      </x:c>
    </x:row>
    <x:row r="1103">
      <x:c r="A1103" s="19" t="str">
        <x:v>2026-07-12|S08|D19</x:v>
      </x:c>
      <x:c r="B1103" s="34" t="n">
        <x:v>46215.5</x:v>
      </x:c>
      <x:c r="C1103" s="19" t="str">
        <x:v>S08</x:v>
      </x:c>
      <x:c r="D1103" s="19" t="str">
        <x:v>四季青店</x:v>
      </x:c>
      <x:c r="E1103" s="19" t="str">
        <x:v>D19</x:v>
      </x:c>
      <x:c r="F1103" s="19" t="str">
        <x:v>酸萝卜炒鸡杂</x:v>
      </x:c>
      <x:c r="G1103" s="20" t="n">
        <x:f>SUMIFS('7日销售明细'!$K$5:$K$2244,'7日销售明细'!$B$5:$B$2244,B1103,'7日销售明细'!$D$5:$D$2244,C1103,'7日销售明细'!$H$5:$H$2244,E1103)</x:f>
        <x:v>4</x:v>
      </x:c>
      <x:c r="H1103" s="35" t="n">
        <x:f>SUMIFS('7日销售明细'!$L$5:$L$2244,'7日销售明细'!$B$5:$B$2244,B1103,'7日销售明细'!$D$5:$D$2244,C1103,'7日销售明细'!$H$5:$H$2244,E1103)</x:f>
        <x:v>100</x:v>
      </x:c>
      <x:c r="I1103" s="35" t="n">
        <x:f>G1103*XLOOKUP(E1103,'菜品主数据'!$A$5:$A$24,'菜品主数据'!$G$5:$G$24,0)</x:f>
        <x:v>31.759999999999998</x:v>
      </x:c>
    </x:row>
    <x:row r="1104">
      <x:c r="A1104" s="19" t="str">
        <x:v>2026-07-12|S08|D20</x:v>
      </x:c>
      <x:c r="B1104" s="34" t="n">
        <x:v>46215.5</x:v>
      </x:c>
      <x:c r="C1104" s="19" t="str">
        <x:v>S08</x:v>
      </x:c>
      <x:c r="D1104" s="19" t="str">
        <x:v>四季青店</x:v>
      </x:c>
      <x:c r="E1104" s="19" t="str">
        <x:v>D20</x:v>
      </x:c>
      <x:c r="F1104" s="19" t="str">
        <x:v>雪菜肉末青豆</x:v>
      </x:c>
      <x:c r="G1104" s="20" t="n">
        <x:f>SUMIFS('7日销售明细'!$K$5:$K$2244,'7日销售明细'!$B$5:$B$2244,B1104,'7日销售明细'!$D$5:$D$2244,C1104,'7日销售明细'!$H$5:$H$2244,E1104)</x:f>
        <x:v>5</x:v>
      </x:c>
      <x:c r="H1104" s="35" t="n">
        <x:f>SUMIFS('7日销售明细'!$L$5:$L$2244,'7日销售明细'!$B$5:$B$2244,B1104,'7日销售明细'!$D$5:$D$2244,C1104,'7日销售明细'!$H$5:$H$2244,E1104)</x:f>
        <x:v>90</x:v>
      </x:c>
      <x:c r="I1104" s="35" t="n">
        <x:f>G1104*XLOOKUP(E1104,'菜品主数据'!$A$5:$A$24,'菜品主数据'!$G$5:$G$24,0)</x:f>
        <x:v>36.519999999999996</x:v>
      </x:c>
    </x:row>
    <x:row r="1105">
      <x:c r="A1105" s="19" t="str">
        <x:v>2026-07-13|S08|D01</x:v>
      </x:c>
      <x:c r="B1105" s="34" t="n">
        <x:v>46216.5</x:v>
      </x:c>
      <x:c r="C1105" s="19" t="str">
        <x:v>S08</x:v>
      </x:c>
      <x:c r="D1105" s="19" t="str">
        <x:v>四季青店</x:v>
      </x:c>
      <x:c r="E1105" s="19" t="str">
        <x:v>D01</x:v>
      </x:c>
      <x:c r="F1105" s="19" t="str">
        <x:v>辣椒炒肉</x:v>
      </x:c>
      <x:c r="G1105" s="20" t="n">
        <x:f>SUMIFS('7日销售明细'!$K$5:$K$2244,'7日销售明细'!$B$5:$B$2244,B1105,'7日销售明细'!$D$5:$D$2244,C1105,'7日销售明细'!$H$5:$H$2244,E1105)</x:f>
        <x:v>43</x:v>
      </x:c>
      <x:c r="H1105" s="35" t="n">
        <x:f>SUMIFS('7日销售明细'!$L$5:$L$2244,'7日销售明细'!$B$5:$B$2244,B1105,'7日销售明细'!$D$5:$D$2244,C1105,'7日销售明细'!$H$5:$H$2244,E1105)</x:f>
        <x:v>1247</x:v>
      </x:c>
      <x:c r="I1105" s="35" t="n">
        <x:f>G1105*XLOOKUP(E1105,'菜品主数据'!$A$5:$A$24,'菜品主数据'!$G$5:$G$24,0)</x:f>
        <x:v>371.27920000000006</x:v>
      </x:c>
    </x:row>
    <x:row r="1106">
      <x:c r="A1106" s="19" t="str">
        <x:v>2026-07-13|S08|D02</x:v>
      </x:c>
      <x:c r="B1106" s="34" t="n">
        <x:v>46216.5</x:v>
      </x:c>
      <x:c r="C1106" s="19" t="str">
        <x:v>S08</x:v>
      </x:c>
      <x:c r="D1106" s="19" t="str">
        <x:v>四季青店</x:v>
      </x:c>
      <x:c r="E1106" s="19" t="str">
        <x:v>D02</x:v>
      </x:c>
      <x:c r="F1106" s="19" t="str">
        <x:v>小炒黄牛肉</x:v>
      </x:c>
      <x:c r="G1106" s="20" t="n">
        <x:f>SUMIFS('7日销售明细'!$K$5:$K$2244,'7日销售明细'!$B$5:$B$2244,B1106,'7日销售明细'!$D$5:$D$2244,C1106,'7日销售明细'!$H$5:$H$2244,E1106)</x:f>
        <x:v>32</x:v>
      </x:c>
      <x:c r="H1106" s="35" t="n">
        <x:f>SUMIFS('7日销售明细'!$L$5:$L$2244,'7日销售明细'!$B$5:$B$2244,B1106,'7日销售明细'!$D$5:$D$2244,C1106,'7日销售明细'!$H$5:$H$2244,E1106)</x:f>
        <x:v>1568</x:v>
      </x:c>
      <x:c r="I1106" s="35" t="n">
        <x:f>G1106*XLOOKUP(E1106,'菜品主数据'!$A$5:$A$24,'菜品主数据'!$G$5:$G$24,0)</x:f>
        <x:v>562.464</x:v>
      </x:c>
    </x:row>
    <x:row r="1107">
      <x:c r="A1107" s="19" t="str">
        <x:v>2026-07-13|S08|D03</x:v>
      </x:c>
      <x:c r="B1107" s="34" t="n">
        <x:v>46216.5</x:v>
      </x:c>
      <x:c r="C1107" s="19" t="str">
        <x:v>S08</x:v>
      </x:c>
      <x:c r="D1107" s="19" t="str">
        <x:v>四季青店</x:v>
      </x:c>
      <x:c r="E1107" s="19" t="str">
        <x:v>D03</x:v>
      </x:c>
      <x:c r="F1107" s="19" t="str">
        <x:v>香醋炒蛋</x:v>
      </x:c>
      <x:c r="G1107" s="20" t="n">
        <x:f>SUMIFS('7日销售明细'!$K$5:$K$2244,'7日销售明细'!$B$5:$B$2244,B1107,'7日销售明细'!$D$5:$D$2244,C1107,'7日销售明细'!$H$5:$H$2244,E1107)</x:f>
        <x:v>37</x:v>
      </x:c>
      <x:c r="H1107" s="35" t="n">
        <x:f>SUMIFS('7日销售明细'!$L$5:$L$2244,'7日销售明细'!$B$5:$B$2244,B1107,'7日销售明细'!$D$5:$D$2244,C1107,'7日销售明细'!$H$5:$H$2244,E1107)</x:f>
        <x:v>551.3000000000001</x:v>
      </x:c>
      <x:c r="I1107" s="35" t="n">
        <x:f>G1107*XLOOKUP(E1107,'菜品主数据'!$A$5:$A$24,'菜品主数据'!$G$5:$G$24,0)</x:f>
        <x:v>138.60199999999998</x:v>
      </x:c>
    </x:row>
    <x:row r="1108">
      <x:c r="A1108" s="19" t="str">
        <x:v>2026-07-13|S08|D04</x:v>
      </x:c>
      <x:c r="B1108" s="34" t="n">
        <x:v>46216.5</x:v>
      </x:c>
      <x:c r="C1108" s="19" t="str">
        <x:v>S08</x:v>
      </x:c>
      <x:c r="D1108" s="19" t="str">
        <x:v>四季青店</x:v>
      </x:c>
      <x:c r="E1108" s="19" t="str">
        <x:v>D04</x:v>
      </x:c>
      <x:c r="F1108" s="19" t="str">
        <x:v>酸包菜炒粉皮</x:v>
      </x:c>
      <x:c r="G1108" s="20" t="n">
        <x:f>SUMIFS('7日销售明细'!$K$5:$K$2244,'7日销售明细'!$B$5:$B$2244,B1108,'7日销售明细'!$D$5:$D$2244,C1108,'7日销售明细'!$H$5:$H$2244,E1108)</x:f>
        <x:v>32</x:v>
      </x:c>
      <x:c r="H1108" s="35" t="n">
        <x:f>SUMIFS('7日销售明细'!$L$5:$L$2244,'7日销售明细'!$B$5:$B$2244,B1108,'7日销售明细'!$D$5:$D$2244,C1108,'7日销售明细'!$H$5:$H$2244,E1108)</x:f>
        <x:v>512</x:v>
      </x:c>
      <x:c r="I1108" s="35" t="n">
        <x:f>G1108*XLOOKUP(E1108,'菜品主数据'!$A$5:$A$24,'菜品主数据'!$G$5:$G$24,0)</x:f>
        <x:v>127.296</x:v>
      </x:c>
    </x:row>
    <x:row r="1109">
      <x:c r="A1109" s="19" t="str">
        <x:v>2026-07-13|S08|D05</x:v>
      </x:c>
      <x:c r="B1109" s="34" t="n">
        <x:v>46216.5</x:v>
      </x:c>
      <x:c r="C1109" s="19" t="str">
        <x:v>S08</x:v>
      </x:c>
      <x:c r="D1109" s="19" t="str">
        <x:v>四季青店</x:v>
      </x:c>
      <x:c r="E1109" s="19" t="str">
        <x:v>D05</x:v>
      </x:c>
      <x:c r="F1109" s="19" t="str">
        <x:v>麻婆豆腐</x:v>
      </x:c>
      <x:c r="G1109" s="20" t="n">
        <x:f>SUMIFS('7日销售明细'!$K$5:$K$2244,'7日销售明细'!$B$5:$B$2244,B1109,'7日销售明细'!$D$5:$D$2244,C1109,'7日销售明细'!$H$5:$H$2244,E1109)</x:f>
        <x:v>50</x:v>
      </x:c>
      <x:c r="H1109" s="35" t="n">
        <x:f>SUMIFS('7日销售明细'!$L$5:$L$2244,'7日销售明细'!$B$5:$B$2244,B1109,'7日销售明细'!$D$5:$D$2244,C1109,'7日销售明细'!$H$5:$H$2244,E1109)</x:f>
        <x:v>495.00000000000006</x:v>
      </x:c>
      <x:c r="I1109" s="35" t="n">
        <x:f>G1109*XLOOKUP(E1109,'菜品主数据'!$A$5:$A$24,'菜品主数据'!$G$5:$G$24,0)</x:f>
        <x:v>268.35</x:v>
      </x:c>
    </x:row>
    <x:row r="1110">
      <x:c r="A1110" s="19" t="str">
        <x:v>2026-07-13|S08|D06</x:v>
      </x:c>
      <x:c r="B1110" s="34" t="n">
        <x:v>46216.5</x:v>
      </x:c>
      <x:c r="C1110" s="19" t="str">
        <x:v>S08</x:v>
      </x:c>
      <x:c r="D1110" s="19" t="str">
        <x:v>四季青店</x:v>
      </x:c>
      <x:c r="E1110" s="19" t="str">
        <x:v>D06</x:v>
      </x:c>
      <x:c r="F1110" s="19" t="str">
        <x:v>剁椒鱼头</x:v>
      </x:c>
      <x:c r="G1110" s="20" t="n">
        <x:f>SUMIFS('7日销售明细'!$K$5:$K$2244,'7日销售明细'!$B$5:$B$2244,B1110,'7日销售明细'!$D$5:$D$2244,C1110,'7日销售明细'!$H$5:$H$2244,E1110)</x:f>
        <x:v>12</x:v>
      </x:c>
      <x:c r="H1110" s="35" t="n">
        <x:f>SUMIFS('7日销售明细'!$L$5:$L$2244,'7日销售明细'!$B$5:$B$2244,B1110,'7日销售明细'!$D$5:$D$2244,C1110,'7日销售明细'!$H$5:$H$2244,E1110)</x:f>
        <x:v>468</x:v>
      </x:c>
      <x:c r="I1110" s="35" t="n">
        <x:f>G1110*XLOOKUP(E1110,'菜品主数据'!$A$5:$A$24,'菜品主数据'!$G$5:$G$24,0)</x:f>
        <x:v>209.35200000000003</x:v>
      </x:c>
    </x:row>
    <x:row r="1111">
      <x:c r="A1111" s="19" t="str">
        <x:v>2026-07-13|S08|D07</x:v>
      </x:c>
      <x:c r="B1111" s="34" t="n">
        <x:v>46216.5</x:v>
      </x:c>
      <x:c r="C1111" s="19" t="str">
        <x:v>S08</x:v>
      </x:c>
      <x:c r="D1111" s="19" t="str">
        <x:v>四季青店</x:v>
      </x:c>
      <x:c r="E1111" s="19" t="str">
        <x:v>D07</x:v>
      </x:c>
      <x:c r="F1111" s="19" t="str">
        <x:v>川味回锅肉</x:v>
      </x:c>
      <x:c r="G1111" s="20" t="n">
        <x:f>SUMIFS('7日销售明细'!$K$5:$K$2244,'7日销售明细'!$B$5:$B$2244,B1111,'7日销售明细'!$D$5:$D$2244,C1111,'7日销售明细'!$H$5:$H$2244,E1111)</x:f>
        <x:v>14</x:v>
      </x:c>
      <x:c r="H1111" s="35" t="n">
        <x:f>SUMIFS('7日销售明细'!$L$5:$L$2244,'7日销售明细'!$B$5:$B$2244,B1111,'7日销售明细'!$D$5:$D$2244,C1111,'7日销售明细'!$H$5:$H$2244,E1111)</x:f>
        <x:v>406</x:v>
      </x:c>
      <x:c r="I1111" s="35" t="n">
        <x:f>G1111*XLOOKUP(E1111,'菜品主数据'!$A$5:$A$24,'菜品主数据'!$G$5:$G$24,0)</x:f>
        <x:v>143.23400000000004</x:v>
      </x:c>
    </x:row>
    <x:row r="1112">
      <x:c r="A1112" s="19" t="str">
        <x:v>2026-07-13|S08|D08</x:v>
      </x:c>
      <x:c r="B1112" s="34" t="n">
        <x:v>46216.5</x:v>
      </x:c>
      <x:c r="C1112" s="19" t="str">
        <x:v>S08</x:v>
      </x:c>
      <x:c r="D1112" s="19" t="str">
        <x:v>四季青店</x:v>
      </x:c>
      <x:c r="E1112" s="19" t="str">
        <x:v>D08</x:v>
      </x:c>
      <x:c r="F1112" s="19" t="str">
        <x:v>生炒清远鸡</x:v>
      </x:c>
      <x:c r="G1112" s="20" t="n">
        <x:f>SUMIFS('7日销售明细'!$K$5:$K$2244,'7日销售明细'!$B$5:$B$2244,B1112,'7日销售明细'!$D$5:$D$2244,C1112,'7日销售明细'!$H$5:$H$2244,E1112)</x:f>
        <x:v>11</x:v>
      </x:c>
      <x:c r="H1112" s="35" t="n">
        <x:f>SUMIFS('7日销售明细'!$L$5:$L$2244,'7日销售明细'!$B$5:$B$2244,B1112,'7日销售明细'!$D$5:$D$2244,C1112,'7日销售明细'!$H$5:$H$2244,E1112)</x:f>
        <x:v>396</x:v>
      </x:c>
      <x:c r="I1112" s="35" t="n">
        <x:f>G1112*XLOOKUP(E1112,'菜品主数据'!$A$5:$A$24,'菜品主数据'!$G$5:$G$24,0)</x:f>
        <x:v>148.28</x:v>
      </x:c>
    </x:row>
    <x:row r="1113">
      <x:c r="A1113" s="19" t="str">
        <x:v>2026-07-13|S08|D09</x:v>
      </x:c>
      <x:c r="B1113" s="34" t="n">
        <x:v>46216.5</x:v>
      </x:c>
      <x:c r="C1113" s="19" t="str">
        <x:v>S08</x:v>
      </x:c>
      <x:c r="D1113" s="19" t="str">
        <x:v>四季青店</x:v>
      </x:c>
      <x:c r="E1113" s="19" t="str">
        <x:v>D09</x:v>
      </x:c>
      <x:c r="F1113" s="19" t="str">
        <x:v>炒豆干</x:v>
      </x:c>
      <x:c r="G1113" s="20" t="n">
        <x:f>SUMIFS('7日销售明细'!$K$5:$K$2244,'7日销售明细'!$B$5:$B$2244,B1113,'7日销售明细'!$D$5:$D$2244,C1113,'7日销售明细'!$H$5:$H$2244,E1113)</x:f>
        <x:v>14</x:v>
      </x:c>
      <x:c r="H1113" s="35" t="n">
        <x:f>SUMIFS('7日销售明细'!$L$5:$L$2244,'7日销售明细'!$B$5:$B$2244,B1113,'7日销售明细'!$D$5:$D$2244,C1113,'7日销售明细'!$H$5:$H$2244,E1113)</x:f>
        <x:v>252</x:v>
      </x:c>
      <x:c r="I1113" s="35" t="n">
        <x:f>G1113*XLOOKUP(E1113,'菜品主数据'!$A$5:$A$24,'菜品主数据'!$G$5:$G$24,0)</x:f>
        <x:v>92.59599999999999</x:v>
      </x:c>
    </x:row>
    <x:row r="1114">
      <x:c r="A1114" s="19" t="str">
        <x:v>2026-07-13|S08|D10</x:v>
      </x:c>
      <x:c r="B1114" s="34" t="n">
        <x:v>46216.5</x:v>
      </x:c>
      <x:c r="C1114" s="19" t="str">
        <x:v>S08</x:v>
      </x:c>
      <x:c r="D1114" s="19" t="str">
        <x:v>四季青店</x:v>
      </x:c>
      <x:c r="E1114" s="19" t="str">
        <x:v>D10</x:v>
      </x:c>
      <x:c r="F1114" s="19" t="str">
        <x:v>农家一碗香</x:v>
      </x:c>
      <x:c r="G1114" s="20" t="n">
        <x:f>SUMIFS('7日销售明细'!$K$5:$K$2244,'7日销售明细'!$B$5:$B$2244,B1114,'7日销售明细'!$D$5:$D$2244,C1114,'7日销售明细'!$H$5:$H$2244,E1114)</x:f>
        <x:v>17</x:v>
      </x:c>
      <x:c r="H1114" s="35" t="n">
        <x:f>SUMIFS('7日销售明细'!$L$5:$L$2244,'7日销售明细'!$B$5:$B$2244,B1114,'7日销售明细'!$D$5:$D$2244,C1114,'7日销售明细'!$H$5:$H$2244,E1114)</x:f>
        <x:v>389.29999999999995</x:v>
      </x:c>
      <x:c r="I1114" s="35" t="n">
        <x:f>G1114*XLOOKUP(E1114,'菜品主数据'!$A$5:$A$24,'菜品主数据'!$G$5:$G$24,0)</x:f>
        <x:v>166.09340000000003</x:v>
      </x:c>
    </x:row>
    <x:row r="1115">
      <x:c r="A1115" s="19" t="str">
        <x:v>2026-07-13|S08|D11</x:v>
      </x:c>
      <x:c r="B1115" s="34" t="n">
        <x:v>46216.5</x:v>
      </x:c>
      <x:c r="C1115" s="19" t="str">
        <x:v>S08</x:v>
      </x:c>
      <x:c r="D1115" s="19" t="str">
        <x:v>四季青店</x:v>
      </x:c>
      <x:c r="E1115" s="19" t="str">
        <x:v>D11</x:v>
      </x:c>
      <x:c r="F1115" s="19" t="str">
        <x:v>香辣爆肥肠</x:v>
      </x:c>
      <x:c r="G1115" s="20" t="n">
        <x:f>SUMIFS('7日销售明细'!$K$5:$K$2244,'7日销售明细'!$B$5:$B$2244,B1115,'7日销售明细'!$D$5:$D$2244,C1115,'7日销售明细'!$H$5:$H$2244,E1115)</x:f>
        <x:v>6</x:v>
      </x:c>
      <x:c r="H1115" s="35" t="n">
        <x:f>SUMIFS('7日销售明细'!$L$5:$L$2244,'7日销售明细'!$B$5:$B$2244,B1115,'7日销售明细'!$D$5:$D$2244,C1115,'7日销售明细'!$H$5:$H$2244,E1115)</x:f>
        <x:v>234</x:v>
      </x:c>
      <x:c r="I1115" s="35" t="n">
        <x:f>G1115*XLOOKUP(E1115,'菜品主数据'!$A$5:$A$24,'菜品主数据'!$G$5:$G$24,0)</x:f>
        <x:v>62.382000000000005</x:v>
      </x:c>
    </x:row>
    <x:row r="1116">
      <x:c r="A1116" s="19" t="str">
        <x:v>2026-07-13|S08|D12</x:v>
      </x:c>
      <x:c r="B1116" s="34" t="n">
        <x:v>46216.5</x:v>
      </x:c>
      <x:c r="C1116" s="19" t="str">
        <x:v>S08</x:v>
      </x:c>
      <x:c r="D1116" s="19" t="str">
        <x:v>四季青店</x:v>
      </x:c>
      <x:c r="E1116" s="19" t="str">
        <x:v>D12</x:v>
      </x:c>
      <x:c r="F1116" s="19" t="str">
        <x:v>清蒸鲈鱼</x:v>
      </x:c>
      <x:c r="G1116" s="20" t="n">
        <x:f>SUMIFS('7日销售明细'!$K$5:$K$2244,'7日销售明细'!$B$5:$B$2244,B1116,'7日销售明细'!$D$5:$D$2244,C1116,'7日销售明细'!$H$5:$H$2244,E1116)</x:f>
        <x:v>6</x:v>
      </x:c>
      <x:c r="H1116" s="35" t="n">
        <x:f>SUMIFS('7日销售明细'!$L$5:$L$2244,'7日销售明细'!$B$5:$B$2244,B1116,'7日销售明细'!$D$5:$D$2244,C1116,'7日销售明细'!$H$5:$H$2244,E1116)</x:f>
        <x:v>234</x:v>
      </x:c>
      <x:c r="I1116" s="35" t="n">
        <x:f>G1116*XLOOKUP(E1116,'菜品主数据'!$A$5:$A$24,'菜品主数据'!$G$5:$G$24,0)</x:f>
        <x:v>113.244</x:v>
      </x:c>
    </x:row>
    <x:row r="1117">
      <x:c r="A1117" s="19" t="str">
        <x:v>2026-07-13|S08|D13</x:v>
      </x:c>
      <x:c r="B1117" s="34" t="n">
        <x:v>46216.5</x:v>
      </x:c>
      <x:c r="C1117" s="19" t="str">
        <x:v>S08</x:v>
      </x:c>
      <x:c r="D1117" s="19" t="str">
        <x:v>四季青店</x:v>
      </x:c>
      <x:c r="E1117" s="19" t="str">
        <x:v>D13</x:v>
      </x:c>
      <x:c r="F1117" s="19" t="str">
        <x:v>外婆菜炒蛋</x:v>
      </x:c>
      <x:c r="G1117" s="20" t="n">
        <x:f>SUMIFS('7日销售明细'!$K$5:$K$2244,'7日销售明细'!$B$5:$B$2244,B1117,'7日销售明细'!$D$5:$D$2244,C1117,'7日销售明细'!$H$5:$H$2244,E1117)</x:f>
        <x:v>14</x:v>
      </x:c>
      <x:c r="H1117" s="35" t="n">
        <x:f>SUMIFS('7日销售明细'!$L$5:$L$2244,'7日销售明细'!$B$5:$B$2244,B1117,'7日销售明细'!$D$5:$D$2244,C1117,'7日销售明细'!$H$5:$H$2244,E1117)</x:f>
        <x:v>252</x:v>
      </x:c>
      <x:c r="I1117" s="35" t="n">
        <x:f>G1117*XLOOKUP(E1117,'菜品主数据'!$A$5:$A$24,'菜品主数据'!$G$5:$G$24,0)</x:f>
        <x:v>75.65599999999999</x:v>
      </x:c>
    </x:row>
    <x:row r="1118">
      <x:c r="A1118" s="19" t="str">
        <x:v>2026-07-13|S08|D14</x:v>
      </x:c>
      <x:c r="B1118" s="34" t="n">
        <x:v>46216.5</x:v>
      </x:c>
      <x:c r="C1118" s="19" t="str">
        <x:v>S08</x:v>
      </x:c>
      <x:c r="D1118" s="19" t="str">
        <x:v>四季青店</x:v>
      </x:c>
      <x:c r="E1118" s="19" t="str">
        <x:v>D14</x:v>
      </x:c>
      <x:c r="F1118" s="19" t="str">
        <x:v>酸辣鸡杂</x:v>
      </x:c>
      <x:c r="G1118" s="20" t="n">
        <x:f>SUMIFS('7日销售明细'!$K$5:$K$2244,'7日销售明细'!$B$5:$B$2244,B1118,'7日销售明细'!$D$5:$D$2244,C1118,'7日销售明细'!$H$5:$H$2244,E1118)</x:f>
        <x:v>7</x:v>
      </x:c>
      <x:c r="H1118" s="35" t="n">
        <x:f>SUMIFS('7日销售明细'!$L$5:$L$2244,'7日销售明细'!$B$5:$B$2244,B1118,'7日销售明细'!$D$5:$D$2244,C1118,'7日销售明细'!$H$5:$H$2244,E1118)</x:f>
        <x:v>196</x:v>
      </x:c>
      <x:c r="I1118" s="35" t="n">
        <x:f>G1118*XLOOKUP(E1118,'菜品主数据'!$A$5:$A$24,'菜品主数据'!$G$5:$G$24,0)</x:f>
        <x:v>58.20500000000001</x:v>
      </x:c>
    </x:row>
    <x:row r="1119">
      <x:c r="A1119" s="19" t="str">
        <x:v>2026-07-13|S08|D15</x:v>
      </x:c>
      <x:c r="B1119" s="34" t="n">
        <x:v>46216.5</x:v>
      </x:c>
      <x:c r="C1119" s="19" t="str">
        <x:v>S08</x:v>
      </x:c>
      <x:c r="D1119" s="19" t="str">
        <x:v>四季青店</x:v>
      </x:c>
      <x:c r="E1119" s="19" t="str">
        <x:v>D15</x:v>
      </x:c>
      <x:c r="F1119" s="19" t="str">
        <x:v>湘西土匪猪肝</x:v>
      </x:c>
      <x:c r="G1119" s="20" t="n">
        <x:f>SUMIFS('7日销售明细'!$K$5:$K$2244,'7日销售明细'!$B$5:$B$2244,B1119,'7日销售明细'!$D$5:$D$2244,C1119,'7日销售明细'!$H$5:$H$2244,E1119)</x:f>
        <x:v>7</x:v>
      </x:c>
      <x:c r="H1119" s="35" t="n">
        <x:f>SUMIFS('7日销售明细'!$L$5:$L$2244,'7日销售明细'!$B$5:$B$2244,B1119,'7日销售明细'!$D$5:$D$2244,C1119,'7日销售明细'!$H$5:$H$2244,E1119)</x:f>
        <x:v>182</x:v>
      </x:c>
      <x:c r="I1119" s="35" t="n">
        <x:f>G1119*XLOOKUP(E1119,'菜品主数据'!$A$5:$A$24,'菜品主数据'!$G$5:$G$24,0)</x:f>
        <x:v>44.632</x:v>
      </x:c>
    </x:row>
    <x:row r="1120">
      <x:c r="A1120" s="19" t="str">
        <x:v>2026-07-13|S08|D16</x:v>
      </x:c>
      <x:c r="B1120" s="34" t="n">
        <x:v>46216.5</x:v>
      </x:c>
      <x:c r="C1120" s="19" t="str">
        <x:v>S08</x:v>
      </x:c>
      <x:c r="D1120" s="19" t="str">
        <x:v>四季青店</x:v>
      </x:c>
      <x:c r="E1120" s="19" t="str">
        <x:v>D16</x:v>
      </x:c>
      <x:c r="F1120" s="19" t="str">
        <x:v>小豆角炒五花</x:v>
      </x:c>
      <x:c r="G1120" s="20" t="n">
        <x:f>SUMIFS('7日销售明细'!$K$5:$K$2244,'7日销售明细'!$B$5:$B$2244,B1120,'7日销售明细'!$D$5:$D$2244,C1120,'7日销售明细'!$H$5:$H$2244,E1120)</x:f>
        <x:v>7</x:v>
      </x:c>
      <x:c r="H1120" s="35" t="n">
        <x:f>SUMIFS('7日销售明细'!$L$5:$L$2244,'7日销售明细'!$B$5:$B$2244,B1120,'7日销售明细'!$D$5:$D$2244,C1120,'7日销售明细'!$H$5:$H$2244,E1120)</x:f>
        <x:v>175</x:v>
      </x:c>
      <x:c r="I1120" s="35" t="n">
        <x:f>G1120*XLOOKUP(E1120,'菜品主数据'!$A$5:$A$24,'菜品主数据'!$G$5:$G$24,0)</x:f>
        <x:v>57.288</x:v>
      </x:c>
    </x:row>
    <x:row r="1121">
      <x:c r="A1121" s="19" t="str">
        <x:v>2026-07-13|S08|D17</x:v>
      </x:c>
      <x:c r="B1121" s="34" t="n">
        <x:v>46216.5</x:v>
      </x:c>
      <x:c r="C1121" s="19" t="str">
        <x:v>S08</x:v>
      </x:c>
      <x:c r="D1121" s="19" t="str">
        <x:v>四季青店</x:v>
      </x:c>
      <x:c r="E1121" s="19" t="str">
        <x:v>D17</x:v>
      </x:c>
      <x:c r="F1121" s="19" t="str">
        <x:v>蒜蓉粉丝虾</x:v>
      </x:c>
      <x:c r="G1121" s="20" t="n">
        <x:f>SUMIFS('7日销售明细'!$K$5:$K$2244,'7日销售明细'!$B$5:$B$2244,B1121,'7日销售明细'!$D$5:$D$2244,C1121,'7日销售明细'!$H$5:$H$2244,E1121)</x:f>
        <x:v>4</x:v>
      </x:c>
      <x:c r="H1121" s="35" t="n">
        <x:f>SUMIFS('7日销售明细'!$L$5:$L$2244,'7日销售明细'!$B$5:$B$2244,B1121,'7日销售明细'!$D$5:$D$2244,C1121,'7日销售明细'!$H$5:$H$2244,E1121)</x:f>
        <x:v>144</x:v>
      </x:c>
      <x:c r="I1121" s="35" t="n">
        <x:f>G1121*XLOOKUP(E1121,'菜品主数据'!$A$5:$A$24,'菜品主数据'!$G$5:$G$24,0)</x:f>
        <x:v>54.376</x:v>
      </x:c>
    </x:row>
    <x:row r="1122">
      <x:c r="A1122" s="19" t="str">
        <x:v>2026-07-13|S08|D18</x:v>
      </x:c>
      <x:c r="B1122" s="34" t="n">
        <x:v>46216.5</x:v>
      </x:c>
      <x:c r="C1122" s="19" t="str">
        <x:v>S08</x:v>
      </x:c>
      <x:c r="D1122" s="19" t="str">
        <x:v>四季青店</x:v>
      </x:c>
      <x:c r="E1122" s="19" t="str">
        <x:v>D18</x:v>
      </x:c>
      <x:c r="F1122" s="19" t="str">
        <x:v>青椒炒油麦菜</x:v>
      </x:c>
      <x:c r="G1122" s="20" t="n">
        <x:f>SUMIFS('7日销售明细'!$K$5:$K$2244,'7日销售明细'!$B$5:$B$2244,B1122,'7日销售明细'!$D$5:$D$2244,C1122,'7日销售明细'!$H$5:$H$2244,E1122)</x:f>
        <x:v>8</x:v>
      </x:c>
      <x:c r="H1122" s="35" t="n">
        <x:f>SUMIFS('7日销售明细'!$L$5:$L$2244,'7日销售明细'!$B$5:$B$2244,B1122,'7日销售明细'!$D$5:$D$2244,C1122,'7日销售明细'!$H$5:$H$2244,E1122)</x:f>
        <x:v>144</x:v>
      </x:c>
      <x:c r="I1122" s="35" t="n">
        <x:f>G1122*XLOOKUP(E1122,'菜品主数据'!$A$5:$A$24,'菜品主数据'!$G$5:$G$24,0)</x:f>
        <x:v>25.407999999999994</x:v>
      </x:c>
    </x:row>
    <x:row r="1123">
      <x:c r="A1123" s="19" t="str">
        <x:v>2026-07-13|S08|D19</x:v>
      </x:c>
      <x:c r="B1123" s="34" t="n">
        <x:v>46216.5</x:v>
      </x:c>
      <x:c r="C1123" s="19" t="str">
        <x:v>S08</x:v>
      </x:c>
      <x:c r="D1123" s="19" t="str">
        <x:v>四季青店</x:v>
      </x:c>
      <x:c r="E1123" s="19" t="str">
        <x:v>D19</x:v>
      </x:c>
      <x:c r="F1123" s="19" t="str">
        <x:v>酸萝卜炒鸡杂</x:v>
      </x:c>
      <x:c r="G1123" s="20" t="n">
        <x:f>SUMIFS('7日销售明细'!$K$5:$K$2244,'7日销售明细'!$B$5:$B$2244,B1123,'7日销售明细'!$D$5:$D$2244,C1123,'7日销售明细'!$H$5:$H$2244,E1123)</x:f>
        <x:v>5</x:v>
      </x:c>
      <x:c r="H1123" s="35" t="n">
        <x:f>SUMIFS('7日销售明细'!$L$5:$L$2244,'7日销售明细'!$B$5:$B$2244,B1123,'7日销售明细'!$D$5:$D$2244,C1123,'7日销售明细'!$H$5:$H$2244,E1123)</x:f>
        <x:v>125</x:v>
      </x:c>
      <x:c r="I1123" s="35" t="n">
        <x:f>G1123*XLOOKUP(E1123,'菜品主数据'!$A$5:$A$24,'菜品主数据'!$G$5:$G$24,0)</x:f>
        <x:v>39.699999999999996</x:v>
      </x:c>
    </x:row>
    <x:row r="1124">
      <x:c r="A1124" s="19" t="str">
        <x:v>2026-07-13|S08|D20</x:v>
      </x:c>
      <x:c r="B1124" s="34" t="n">
        <x:v>46216.5</x:v>
      </x:c>
      <x:c r="C1124" s="19" t="str">
        <x:v>S08</x:v>
      </x:c>
      <x:c r="D1124" s="19" t="str">
        <x:v>四季青店</x:v>
      </x:c>
      <x:c r="E1124" s="19" t="str">
        <x:v>D20</x:v>
      </x:c>
      <x:c r="F1124" s="19" t="str">
        <x:v>雪菜肉末青豆</x:v>
      </x:c>
      <x:c r="G1124" s="20" t="n">
        <x:f>SUMIFS('7日销售明细'!$K$5:$K$2244,'7日销售明细'!$B$5:$B$2244,B1124,'7日销售明细'!$D$5:$D$2244,C1124,'7日销售明细'!$H$5:$H$2244,E1124)</x:f>
        <x:v>8</x:v>
      </x:c>
      <x:c r="H1124" s="35" t="n">
        <x:f>SUMIFS('7日销售明细'!$L$5:$L$2244,'7日销售明细'!$B$5:$B$2244,B1124,'7日销售明细'!$D$5:$D$2244,C1124,'7日销售明细'!$H$5:$H$2244,E1124)</x:f>
        <x:v>144</x:v>
      </x:c>
      <x:c r="I1124" s="35" t="n">
        <x:f>G1124*XLOOKUP(E1124,'菜品主数据'!$A$5:$A$24,'菜品主数据'!$G$5:$G$24,0)</x:f>
        <x:v>58.431999999999995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378e39c33cb4d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2" hidden="0" customWidth="1"/>
    <x:col min="17" max="17" width="16" hidden="0" customWidth="1"/>
  </x:cols>
  <x:sheetData>
    <x:row r="1" ht="34" customHeight="1">
      <x:c r="A1" s="3" t="str">
        <x:v>库存、收货与前处理损耗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关键食材的日库存链；B0712-03批次退换与3kg调拨在此处形成可计算影响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库存键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食材</x:v>
      </x:c>
      <x:c r="F4" s="12" t="str">
        <x:v>期初库存(kg)</x:v>
      </x:c>
      <x:c r="G4" s="12" t="str">
        <x:v>收货(kg)</x:v>
      </x:c>
      <x:c r="H4" s="12" t="str">
        <x:v>理论耗用(kg)</x:v>
      </x:c>
      <x:c r="I4" s="12" t="str">
        <x:v>前处理损耗率</x:v>
      </x:c>
      <x:c r="J4" s="12" t="str">
        <x:v>前处理损耗(kg)</x:v>
      </x:c>
      <x:c r="K4" s="12" t="str">
        <x:v>调拨入(kg)</x:v>
      </x:c>
      <x:c r="L4" s="12" t="str">
        <x:v>调拨出(kg)</x:v>
      </x:c>
      <x:c r="M4" s="12" t="str">
        <x:v>品质调整(kg)</x:v>
      </x:c>
      <x:c r="N4" s="12" t="str">
        <x:v>期末库存(kg)</x:v>
      </x:c>
      <x:c r="O4" s="12" t="str">
        <x:v>安全库存(kg)</x:v>
      </x:c>
      <x:c r="P4" s="12" t="str">
        <x:v>风险状态</x:v>
      </x:c>
      <x:c r="Q4" s="12" t="str">
        <x:v>批次号</x:v>
      </x:c>
    </x:row>
    <x:row r="5">
      <x:c r="A5" s="19" t="str">
        <x:v>2026-07-07|S01|瘦肉片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瘦肉片</x:v>
      </x:c>
      <x:c r="F5" s="32" t="n">
        <x:v>25.2</x:v>
      </x:c>
      <x:c r="G5" s="32" t="n">
        <x:v>16.37280432557054</x:v>
      </x:c>
      <x:c r="H5" s="24" t="n">
        <x:f>'菜品日销量'!G5*150/1000+'菜品日销量'!G13*50/1000+'菜品日销量'!G14*200/1000</x:f>
        <x:v>14</x:v>
      </x:c>
      <x:c r="I5" s="36" t="n">
        <x:v>0.027818427561507195</x:v>
      </x:c>
      <x:c r="J5" s="24" t="n">
        <x:f>H5*I5</x:f>
        <x:v>0.3894579858611007</x:v>
      </x:c>
      <x:c r="K5" s="32" t="n">
        <x:v>0</x:v>
      </x:c>
      <x:c r="L5" s="32" t="n">
        <x:v>0</x:v>
      </x:c>
      <x:c r="M5" s="32" t="n">
        <x:v>0</x:v>
      </x:c>
      <x:c r="N5" s="24" t="n">
        <x:f>F5+G5+K5-L5+M5-H5-J5</x:f>
        <x:v>27.183346339709445</x:v>
      </x:c>
      <x:c r="O5" s="24" t="n">
        <x:f>H5*'封面与口径'!$O$24</x:f>
        <x:v>16.8</x:v>
      </x:c>
      <x:c r="P5" s="19" t="str">
        <x:f>IF(N5&lt;0,"缺货",IF(N5&lt;O5,"预警","正常"))</x:f>
        <x:v>正常</x:v>
      </x:c>
      <x:c r="Q5" s="19" t="str">
        <x:v>瘦肉0707-01</x:v>
      </x:c>
    </x:row>
    <x:row r="6">
      <x:c r="A6" s="19" t="str">
        <x:v>2026-07-08|S01|瘦肉片</x:v>
      </x:c>
      <x:c r="B6" s="34" t="n">
        <x:v>46211.5</x:v>
      </x:c>
      <x:c r="C6" s="19" t="str">
        <x:v>S01</x:v>
      </x:c>
      <x:c r="D6" s="19" t="str">
        <x:v>近江天阳店</x:v>
      </x:c>
      <x:c r="E6" s="19" t="str">
        <x:v>瘦肉片</x:v>
      </x:c>
      <x:c r="F6" s="32" t="n">
        <x:v>27.183346339709445</x:v>
      </x:c>
      <x:c r="G6" s="32" t="n">
        <x:v>15.48839757152656</x:v>
      </x:c>
      <x:c r="H6" s="24" t="n">
        <x:f>'菜品日销量'!G25*150/1000+'菜品日销量'!G33*50/1000+'菜品日销量'!G34*200/1000</x:f>
        <x:v>13.6</x:v>
      </x:c>
      <x:c r="I6" s="36" t="n">
        <x:v>0.03419262512684628</x:v>
      </x:c>
      <x:c r="J6" s="24" t="n">
        <x:f>H6*I6</x:f>
        <x:v>0.4650197017251094</x:v>
      </x:c>
      <x:c r="K6" s="32" t="n">
        <x:v>0</x:v>
      </x:c>
      <x:c r="L6" s="32" t="n">
        <x:v>0</x:v>
      </x:c>
      <x:c r="M6" s="32" t="n">
        <x:v>0</x:v>
      </x:c>
      <x:c r="N6" s="24" t="n">
        <x:f>F6+G6+K6-L6+M6-H6-J6</x:f>
        <x:v>28.606724209510897</x:v>
      </x:c>
      <x:c r="O6" s="24" t="n">
        <x:f>H6*'封面与口径'!$O$24</x:f>
        <x:v>16.32</x:v>
      </x:c>
      <x:c r="P6" s="19" t="str">
        <x:f>IF(N6&lt;0,"缺货",IF(N6&lt;O6,"预警","正常"))</x:f>
        <x:v>正常</x:v>
      </x:c>
      <x:c r="Q6" s="19" t="str">
        <x:v>瘦肉0708-01</x:v>
      </x:c>
    </x:row>
    <x:row r="7">
      <x:c r="A7" s="19" t="str">
        <x:v>2026-07-09|S01|瘦肉片</x:v>
      </x:c>
      <x:c r="B7" s="34" t="n">
        <x:v>46212.5</x:v>
      </x:c>
      <x:c r="C7" s="19" t="str">
        <x:v>S01</x:v>
      </x:c>
      <x:c r="D7" s="19" t="str">
        <x:v>近江天阳店</x:v>
      </x:c>
      <x:c r="E7" s="19" t="str">
        <x:v>瘦肉片</x:v>
      </x:c>
      <x:c r="F7" s="32" t="n">
        <x:v>28.606724209510897</x:v>
      </x:c>
      <x:c r="G7" s="32" t="n">
        <x:v>14.564008547113282</x:v>
      </x:c>
      <x:c r="H7" s="24" t="n">
        <x:f>'菜品日销量'!G45*150/1000+'菜品日销量'!G53*50/1000+'菜品日销量'!G54*200/1000</x:f>
        <x:v>13.4</x:v>
      </x:c>
      <x:c r="I7" s="36" t="n">
        <x:v>0.034015678325438795</x:v>
      </x:c>
      <x:c r="J7" s="24" t="n">
        <x:f>H7*I7</x:f>
        <x:v>0.45581008956087987</x:v>
      </x:c>
      <x:c r="K7" s="32" t="n">
        <x:v>0</x:v>
      </x:c>
      <x:c r="L7" s="32" t="n">
        <x:v>0</x:v>
      </x:c>
      <x:c r="M7" s="32" t="n">
        <x:v>0</x:v>
      </x:c>
      <x:c r="N7" s="24" t="n">
        <x:f>F7+G7+K7-L7+M7-H7-J7</x:f>
        <x:v>29.314922667063296</x:v>
      </x:c>
      <x:c r="O7" s="24" t="n">
        <x:f>H7*'封面与口径'!$O$24</x:f>
        <x:v>16.08</x:v>
      </x:c>
      <x:c r="P7" s="19" t="str">
        <x:f>IF(N7&lt;0,"缺货",IF(N7&lt;O7,"预警","正常"))</x:f>
        <x:v>正常</x:v>
      </x:c>
      <x:c r="Q7" s="19" t="str">
        <x:v>瘦肉0709-01</x:v>
      </x:c>
    </x:row>
    <x:row r="8">
      <x:c r="A8" s="19" t="str">
        <x:v>2026-07-10|S01|瘦肉片</x:v>
      </x:c>
      <x:c r="B8" s="34" t="n">
        <x:v>46213.5</x:v>
      </x:c>
      <x:c r="C8" s="19" t="str">
        <x:v>S01</x:v>
      </x:c>
      <x:c r="D8" s="19" t="str">
        <x:v>近江天阳店</x:v>
      </x:c>
      <x:c r="E8" s="19" t="str">
        <x:v>瘦肉片</x:v>
      </x:c>
      <x:c r="F8" s="32" t="n">
        <x:v>29.314922667063293</x:v>
      </x:c>
      <x:c r="G8" s="32" t="n">
        <x:v>15.729175377479097</x:v>
      </x:c>
      <x:c r="H8" s="24" t="n">
        <x:f>'菜品日销量'!G65*150/1000+'菜品日销量'!G73*50/1000+'菜品日销量'!G74*200/1000</x:f>
        <x:v>13.3</x:v>
      </x:c>
      <x:c r="I8" s="36" t="n">
        <x:v>0.02931244755264196</x:v>
      </x:c>
      <x:c r="J8" s="24" t="n">
        <x:f>H8*I8</x:f>
        <x:v>0.3898555524501381</x:v>
      </x:c>
      <x:c r="K8" s="32" t="n">
        <x:v>0</x:v>
      </x:c>
      <x:c r="L8" s="32" t="n">
        <x:v>0</x:v>
      </x:c>
      <x:c r="M8" s="32" t="n">
        <x:v>0</x:v>
      </x:c>
      <x:c r="N8" s="24" t="n">
        <x:f>F8+G8+K8-L8+M8-H8-J8</x:f>
        <x:v>31.354242492092247</x:v>
      </x:c>
      <x:c r="O8" s="24" t="n">
        <x:f>H8*'封面与口径'!$O$24</x:f>
        <x:v>15.96</x:v>
      </x:c>
      <x:c r="P8" s="19" t="str">
        <x:f>IF(N8&lt;0,"缺货",IF(N8&lt;O8,"预警","正常"))</x:f>
        <x:v>正常</x:v>
      </x:c>
      <x:c r="Q8" s="19" t="str">
        <x:v>瘦肉0710-01</x:v>
      </x:c>
    </x:row>
    <x:row r="9">
      <x:c r="A9" s="19" t="str">
        <x:v>2026-07-11|S01|瘦肉片</x:v>
      </x:c>
      <x:c r="B9" s="34" t="n">
        <x:v>46214.5</x:v>
      </x:c>
      <x:c r="C9" s="19" t="str">
        <x:v>S01</x:v>
      </x:c>
      <x:c r="D9" s="19" t="str">
        <x:v>近江天阳店</x:v>
      </x:c>
      <x:c r="E9" s="19" t="str">
        <x:v>瘦肉片</x:v>
      </x:c>
      <x:c r="F9" s="32" t="n">
        <x:v>31.354242492092247</x:v>
      </x:c>
      <x:c r="G9" s="32" t="n">
        <x:v>11.78490858069363</x:v>
      </x:c>
      <x:c r="H9" s="24" t="n">
        <x:f>'菜品日销量'!G85*150/1000+'菜品日销量'!G93*50/1000+'菜品日销量'!G94*200/1000</x:f>
        <x:v>10.100000000000001</x:v>
      </x:c>
      <x:c r="I9" s="36" t="n">
        <x:v>0.01642650755039102</x:v>
      </x:c>
      <x:c r="J9" s="24" t="n">
        <x:f>H9*I9</x:f>
        <x:v>0.16590772625894934</x:v>
      </x:c>
      <x:c r="K9" s="32" t="n">
        <x:v>0</x:v>
      </x:c>
      <x:c r="L9" s="32" t="n">
        <x:v>0</x:v>
      </x:c>
      <x:c r="M9" s="32" t="n">
        <x:v>0</x:v>
      </x:c>
      <x:c r="N9" s="24" t="n">
        <x:f>F9+G9+K9-L9+M9-H9-J9</x:f>
        <x:v>32.87324334652693</x:v>
      </x:c>
      <x:c r="O9" s="24" t="n">
        <x:f>H9*'封面与口径'!$O$24</x:f>
        <x:v>12.120000000000001</x:v>
      </x:c>
      <x:c r="P9" s="19" t="str">
        <x:f>IF(N9&lt;0,"缺货",IF(N9&lt;O9,"预警","正常"))</x:f>
        <x:v>正常</x:v>
      </x:c>
      <x:c r="Q9" s="19" t="str">
        <x:v>瘦肉0711-01</x:v>
      </x:c>
    </x:row>
    <x:row r="10">
      <x:c r="A10" s="19" t="str">
        <x:v>2026-07-12|S01|瘦肉片</x:v>
      </x:c>
      <x:c r="B10" s="34" t="n">
        <x:v>46215.5</x:v>
      </x:c>
      <x:c r="C10" s="19" t="str">
        <x:v>S01</x:v>
      </x:c>
      <x:c r="D10" s="19" t="str">
        <x:v>近江天阳店</x:v>
      </x:c>
      <x:c r="E10" s="19" t="str">
        <x:v>瘦肉片</x:v>
      </x:c>
      <x:c r="F10" s="32" t="n">
        <x:v>32.87324334652693</x:v>
      </x:c>
      <x:c r="G10" s="32" t="n">
        <x:v>11.80464433763098</x:v>
      </x:c>
      <x:c r="H10" s="24" t="n">
        <x:f>'菜品日销量'!G105*150/1000+'菜品日销量'!G113*50/1000+'菜品日销量'!G114*200/1000</x:f>
        <x:v>10.1</x:v>
      </x:c>
      <x:c r="I10" s="36" t="n">
        <x:v>0.03351279675460253</x:v>
      </x:c>
      <x:c r="J10" s="24" t="n">
        <x:f>H10*I10</x:f>
        <x:v>0.33847924722148554</x:v>
      </x:c>
      <x:c r="K10" s="32" t="n">
        <x:v>0</x:v>
      </x:c>
      <x:c r="L10" s="32" t="n">
        <x:v>0</x:v>
      </x:c>
      <x:c r="M10" s="32" t="n">
        <x:v>0</x:v>
      </x:c>
      <x:c r="N10" s="24" t="n">
        <x:f>F10+G10+K10-L10+M10-H10-J10</x:f>
        <x:v>34.23940843693642</x:v>
      </x:c>
      <x:c r="O10" s="24" t="n">
        <x:f>H10*'封面与口径'!$O$24</x:f>
        <x:v>12.12</x:v>
      </x:c>
      <x:c r="P10" s="19" t="str">
        <x:f>IF(N10&lt;0,"缺货",IF(N10&lt;O10,"预警","正常"))</x:f>
        <x:v>正常</x:v>
      </x:c>
      <x:c r="Q10" s="19" t="str">
        <x:v>瘦肉0712-01</x:v>
      </x:c>
    </x:row>
    <x:row r="11">
      <x:c r="A11" s="19" t="str">
        <x:v>2026-07-13|S01|瘦肉片</x:v>
      </x:c>
      <x:c r="B11" s="34" t="n">
        <x:v>46216.5</x:v>
      </x:c>
      <x:c r="C11" s="19" t="str">
        <x:v>S01</x:v>
      </x:c>
      <x:c r="D11" s="19" t="str">
        <x:v>近江天阳店</x:v>
      </x:c>
      <x:c r="E11" s="19" t="str">
        <x:v>瘦肉片</x:v>
      </x:c>
      <x:c r="F11" s="32" t="n">
        <x:v>34.23940843693642</x:v>
      </x:c>
      <x:c r="G11" s="32" t="n">
        <x:v>16.44786269186853</x:v>
      </x:c>
      <x:c r="H11" s="24" t="n">
        <x:f>'菜品日销量'!G125*150/1000+'菜品日销量'!G133*50/1000+'菜品日销量'!G134*200/1000</x:f>
        <x:v>14.55</x:v>
      </x:c>
      <x:c r="I11" s="36" t="n">
        <x:v>0.021690296281988333</x:v>
      </x:c>
      <x:c r="J11" s="24" t="n">
        <x:f>H11*I11</x:f>
        <x:v>0.31559381090293026</x:v>
      </x:c>
      <x:c r="K11" s="32" t="n">
        <x:v>0</x:v>
      </x:c>
      <x:c r="L11" s="32" t="n">
        <x:v>0</x:v>
      </x:c>
      <x:c r="M11" s="32" t="n">
        <x:v>0</x:v>
      </x:c>
      <x:c r="N11" s="24" t="n">
        <x:f>F11+G11+K11-L11+M11-H11-J11</x:f>
        <x:v>35.82167731790202</x:v>
      </x:c>
      <x:c r="O11" s="24" t="n">
        <x:f>H11*'封面与口径'!$O$24</x:f>
        <x:v>17.46</x:v>
      </x:c>
      <x:c r="P11" s="19" t="str">
        <x:f>IF(N11&lt;0,"缺货",IF(N11&lt;O11,"预警","正常"))</x:f>
        <x:v>正常</x:v>
      </x:c>
      <x:c r="Q11" s="19" t="str">
        <x:v>瘦肉0713-01</x:v>
      </x:c>
    </x:row>
    <x:row r="12">
      <x:c r="A12" s="19" t="str">
        <x:v>2026-07-07|S01|肥肉片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肥肉片</x:v>
      </x:c>
      <x:c r="F12" s="32" t="n">
        <x:v>7.2</x:v>
      </x:c>
      <x:c r="G12" s="32" t="n">
        <x:v>4.357583635085631</x:v>
      </x:c>
      <x:c r="H12" s="24" t="n">
        <x:f>'菜品日销量'!G5*50/1000+'菜品日销量'!G14*50/1000</x:f>
        <x:v>4</x:v>
      </x:c>
      <x:c r="I12" s="36" t="n">
        <x:v>0.035541251531229646</x:v>
      </x:c>
      <x:c r="J12" s="24" t="n">
        <x:f>H12*I12</x:f>
        <x:v>0.14216500612491859</x:v>
      </x:c>
      <x:c r="K12" s="32" t="n">
        <x:v>0</x:v>
      </x:c>
      <x:c r="L12" s="32" t="n">
        <x:v>0</x:v>
      </x:c>
      <x:c r="M12" s="32" t="n">
        <x:v>0</x:v>
      </x:c>
      <x:c r="N12" s="24" t="n">
        <x:f>F12+G12+K12-L12+M12-H12-J12</x:f>
        <x:v>7.415418628960713</x:v>
      </x:c>
      <x:c r="O12" s="24" t="n">
        <x:f>H12*'封面与口径'!$O$24</x:f>
        <x:v>4.8</x:v>
      </x:c>
      <x:c r="P12" s="19" t="str">
        <x:f>IF(N12&lt;0,"缺货",IF(N12&lt;O12,"预警","正常"))</x:f>
        <x:v>正常</x:v>
      </x:c>
      <x:c r="Q12" s="19" t="str">
        <x:v>肥肉0707-01</x:v>
      </x:c>
    </x:row>
    <x:row r="13">
      <x:c r="A13" s="19" t="str">
        <x:v>2026-07-08|S01|肥肉片</x:v>
      </x:c>
      <x:c r="B13" s="34" t="n">
        <x:v>46211.5</x:v>
      </x:c>
      <x:c r="C13" s="19" t="str">
        <x:v>S01</x:v>
      </x:c>
      <x:c r="D13" s="19" t="str">
        <x:v>近江天阳店</x:v>
      </x:c>
      <x:c r="E13" s="19" t="str">
        <x:v>肥肉片</x:v>
      </x:c>
      <x:c r="F13" s="32" t="n">
        <x:v>7.415418628960713</x:v>
      </x:c>
      <x:c r="G13" s="32" t="n">
        <x:v>4.419181230082918</x:v>
      </x:c>
      <x:c r="H13" s="24" t="n">
        <x:f>'菜品日销量'!G25*50/1000+'菜品日销量'!G34*50/1000</x:f>
        <x:v>3.85</x:v>
      </x:c>
      <x:c r="I13" s="36" t="n">
        <x:v>0.020156064325747094</x:v>
      </x:c>
      <x:c r="J13" s="24" t="n">
        <x:f>H13*I13</x:f>
        <x:v>0.07760084765412631</x:v>
      </x:c>
      <x:c r="K13" s="32" t="n">
        <x:v>0</x:v>
      </x:c>
      <x:c r="L13" s="32" t="n">
        <x:v>0</x:v>
      </x:c>
      <x:c r="M13" s="32" t="n">
        <x:v>0</x:v>
      </x:c>
      <x:c r="N13" s="24" t="n">
        <x:f>F13+G13+K13-L13+M13-H13-J13</x:f>
        <x:v>7.906999011389506</x:v>
      </x:c>
      <x:c r="O13" s="24" t="n">
        <x:f>H13*'封面与口径'!$O$24</x:f>
        <x:v>4.62</x:v>
      </x:c>
      <x:c r="P13" s="19" t="str">
        <x:f>IF(N13&lt;0,"缺货",IF(N13&lt;O13,"预警","正常"))</x:f>
        <x:v>正常</x:v>
      </x:c>
      <x:c r="Q13" s="19" t="str">
        <x:v>肥肉0708-01</x:v>
      </x:c>
    </x:row>
    <x:row r="14">
      <x:c r="A14" s="19" t="str">
        <x:v>2026-07-09|S01|肥肉片</x:v>
      </x:c>
      <x:c r="B14" s="34" t="n">
        <x:v>46212.5</x:v>
      </x:c>
      <x:c r="C14" s="19" t="str">
        <x:v>S01</x:v>
      </x:c>
      <x:c r="D14" s="19" t="str">
        <x:v>近江天阳店</x:v>
      </x:c>
      <x:c r="E14" s="19" t="str">
        <x:v>肥肉片</x:v>
      </x:c>
      <x:c r="F14" s="32" t="n">
        <x:v>7.906999011389505</x:v>
      </x:c>
      <x:c r="G14" s="32" t="n">
        <x:v>4.267501834706754</x:v>
      </x:c>
      <x:c r="H14" s="24" t="n">
        <x:f>'菜品日销量'!G45*50/1000+'菜品日销量'!G54*50/1000</x:f>
        <x:v>3.85</x:v>
      </x:c>
      <x:c r="I14" s="36" t="n">
        <x:v>0.021068308647039416</x:v>
      </x:c>
      <x:c r="J14" s="24" t="n">
        <x:f>H14*I14</x:f>
        <x:v>0.08111298829110175</x:v>
      </x:c>
      <x:c r="K14" s="32" t="n">
        <x:v>0</x:v>
      </x:c>
      <x:c r="L14" s="32" t="n">
        <x:v>0</x:v>
      </x:c>
      <x:c r="M14" s="32" t="n">
        <x:v>0</x:v>
      </x:c>
      <x:c r="N14" s="24" t="n">
        <x:f>F14+G14+K14-L14+M14-H14-J14</x:f>
        <x:v>8.243387857805157</x:v>
      </x:c>
      <x:c r="O14" s="24" t="n">
        <x:f>H14*'封面与口径'!$O$24</x:f>
        <x:v>4.62</x:v>
      </x:c>
      <x:c r="P14" s="19" t="str">
        <x:f>IF(N14&lt;0,"缺货",IF(N14&lt;O14,"预警","正常"))</x:f>
        <x:v>正常</x:v>
      </x:c>
      <x:c r="Q14" s="19" t="str">
        <x:v>肥肉0709-01</x:v>
      </x:c>
    </x:row>
    <x:row r="15">
      <x:c r="A15" s="19" t="str">
        <x:v>2026-07-10|S01|肥肉片</x:v>
      </x:c>
      <x:c r="B15" s="34" t="n">
        <x:v>46213.5</x:v>
      </x:c>
      <x:c r="C15" s="19" t="str">
        <x:v>S01</x:v>
      </x:c>
      <x:c r="D15" s="19" t="str">
        <x:v>近江天阳店</x:v>
      </x:c>
      <x:c r="E15" s="19" t="str">
        <x:v>肥肉片</x:v>
      </x:c>
      <x:c r="F15" s="32" t="n">
        <x:v>8.243387857805157</x:v>
      </x:c>
      <x:c r="G15" s="32" t="n">
        <x:v>4.288184303047179</x:v>
      </x:c>
      <x:c r="H15" s="24" t="n">
        <x:f>'菜品日销量'!G65*50/1000+'菜品日销量'!G74*50/1000</x:f>
        <x:v>3.8</x:v>
      </x:c>
      <x:c r="I15" s="36" t="n">
        <x:v>0.03858843706282518</x:v>
      </x:c>
      <x:c r="J15" s="24" t="n">
        <x:f>H15*I15</x:f>
        <x:v>0.14663606083873568</x:v>
      </x:c>
      <x:c r="K15" s="32" t="n">
        <x:v>0</x:v>
      </x:c>
      <x:c r="L15" s="32" t="n">
        <x:v>0</x:v>
      </x:c>
      <x:c r="M15" s="32" t="n">
        <x:v>0</x:v>
      </x:c>
      <x:c r="N15" s="24" t="n">
        <x:f>F15+G15+K15-L15+M15-H15-J15</x:f>
        <x:v>8.584936100013598</x:v>
      </x:c>
      <x:c r="O15" s="24" t="n">
        <x:f>H15*'封面与口径'!$O$24</x:f>
        <x:v>4.56</x:v>
      </x:c>
      <x:c r="P15" s="19" t="str">
        <x:f>IF(N15&lt;0,"缺货",IF(N15&lt;O15,"预警","正常"))</x:f>
        <x:v>正常</x:v>
      </x:c>
      <x:c r="Q15" s="19" t="str">
        <x:v>肥肉0710-01</x:v>
      </x:c>
    </x:row>
    <x:row r="16">
      <x:c r="A16" s="19" t="str">
        <x:v>2026-07-11|S01|肥肉片</x:v>
      </x:c>
      <x:c r="B16" s="34" t="n">
        <x:v>46214.5</x:v>
      </x:c>
      <x:c r="C16" s="19" t="str">
        <x:v>S01</x:v>
      </x:c>
      <x:c r="D16" s="19" t="str">
        <x:v>近江天阳店</x:v>
      </x:c>
      <x:c r="E16" s="19" t="str">
        <x:v>肥肉片</x:v>
      </x:c>
      <x:c r="F16" s="32" t="n">
        <x:v>8.5849361000136</x:v>
      </x:c>
      <x:c r="G16" s="32" t="n">
        <x:v>3.389567794635326</x:v>
      </x:c>
      <x:c r="H16" s="24" t="n">
        <x:f>'菜品日销量'!G85*50/1000+'菜品日销量'!G94*50/1000</x:f>
        <x:v>2.9</x:v>
      </x:c>
      <x:c r="I16" s="36" t="n">
        <x:v>0.01626229743502622</x:v>
      </x:c>
      <x:c r="J16" s="24" t="n">
        <x:f>H16*I16</x:f>
        <x:v>0.047160662561576035</x:v>
      </x:c>
      <x:c r="K16" s="32" t="n">
        <x:v>0</x:v>
      </x:c>
      <x:c r="L16" s="32" t="n">
        <x:v>0</x:v>
      </x:c>
      <x:c r="M16" s="32" t="n">
        <x:v>0</x:v>
      </x:c>
      <x:c r="N16" s="24" t="n">
        <x:f>F16+G16+K16-L16+M16-H16-J16</x:f>
        <x:v>9.02734323208735</x:v>
      </x:c>
      <x:c r="O16" s="24" t="n">
        <x:f>H16*'封面与口径'!$O$24</x:f>
        <x:v>3.48</x:v>
      </x:c>
      <x:c r="P16" s="19" t="str">
        <x:f>IF(N16&lt;0,"缺货",IF(N16&lt;O16,"预警","正常"))</x:f>
        <x:v>正常</x:v>
      </x:c>
      <x:c r="Q16" s="19" t="str">
        <x:v>肥肉0711-01</x:v>
      </x:c>
    </x:row>
    <x:row r="17">
      <x:c r="A17" s="19" t="str">
        <x:v>2026-07-12|S01|肥肉片</x:v>
      </x:c>
      <x:c r="B17" s="34" t="n">
        <x:v>46215.5</x:v>
      </x:c>
      <x:c r="C17" s="19" t="str">
        <x:v>S01</x:v>
      </x:c>
      <x:c r="D17" s="19" t="str">
        <x:v>近江天阳店</x:v>
      </x:c>
      <x:c r="E17" s="19" t="str">
        <x:v>肥肉片</x:v>
      </x:c>
      <x:c r="F17" s="32" t="n">
        <x:v>9.02734323208735</x:v>
      </x:c>
      <x:c r="G17" s="32" t="n">
        <x:v>3.403574484696047</x:v>
      </x:c>
      <x:c r="H17" s="24" t="n">
        <x:f>'菜品日销量'!G105*50/1000+'菜品日销量'!G114*50/1000</x:f>
        <x:v>2.85</x:v>
      </x:c>
      <x:c r="I17" s="36" t="n">
        <x:v>0.024326640722417886</x:v>
      </x:c>
      <x:c r="J17" s="24" t="n">
        <x:f>H17*I17</x:f>
        <x:v>0.06933092605889098</x:v>
      </x:c>
      <x:c r="K17" s="32" t="n">
        <x:v>0</x:v>
      </x:c>
      <x:c r="L17" s="32" t="n">
        <x:v>0</x:v>
      </x:c>
      <x:c r="M17" s="32" t="n">
        <x:v>0</x:v>
      </x:c>
      <x:c r="N17" s="24" t="n">
        <x:f>F17+G17+K17-L17+M17-H17-J17</x:f>
        <x:v>9.511586790724508</x:v>
      </x:c>
      <x:c r="O17" s="24" t="n">
        <x:f>H17*'封面与口径'!$O$24</x:f>
        <x:v>3.42</x:v>
      </x:c>
      <x:c r="P17" s="19" t="str">
        <x:f>IF(N17&lt;0,"缺货",IF(N17&lt;O17,"预警","正常"))</x:f>
        <x:v>正常</x:v>
      </x:c>
      <x:c r="Q17" s="19" t="str">
        <x:v>肥肉0712-01</x:v>
      </x:c>
    </x:row>
    <x:row r="18">
      <x:c r="A18" s="19" t="str">
        <x:v>2026-07-13|S01|肥肉片</x:v>
      </x:c>
      <x:c r="B18" s="34" t="n">
        <x:v>46216.5</x:v>
      </x:c>
      <x:c r="C18" s="19" t="str">
        <x:v>S01</x:v>
      </x:c>
      <x:c r="D18" s="19" t="str">
        <x:v>近江天阳店</x:v>
      </x:c>
      <x:c r="E18" s="19" t="str">
        <x:v>肥肉片</x:v>
      </x:c>
      <x:c r="F18" s="32" t="n">
        <x:v>9.511586790724508</x:v>
      </x:c>
      <x:c r="G18" s="32" t="n">
        <x:v>4.829121893728414</x:v>
      </x:c>
      <x:c r="H18" s="24" t="n">
        <x:f>'菜品日销量'!G125*50/1000+'菜品日销量'!G134*50/1000</x:f>
        <x:v>4.15</x:v>
      </x:c>
      <x:c r="I18" s="36" t="n">
        <x:v>0.03403719887347827</x:v>
      </x:c>
      <x:c r="J18" s="24" t="n">
        <x:f>H18*I18</x:f>
        <x:v>0.14125437532493482</x:v>
      </x:c>
      <x:c r="K18" s="32" t="n">
        <x:v>0</x:v>
      </x:c>
      <x:c r="L18" s="32" t="n">
        <x:v>0</x:v>
      </x:c>
      <x:c r="M18" s="32" t="n">
        <x:v>0</x:v>
      </x:c>
      <x:c r="N18" s="24" t="n">
        <x:f>F18+G18+K18-L18+M18-H18-J18</x:f>
        <x:v>10.049454309127984</x:v>
      </x:c>
      <x:c r="O18" s="24" t="n">
        <x:f>H18*'封面与口径'!$O$24</x:f>
        <x:v>4.98</x:v>
      </x:c>
      <x:c r="P18" s="19" t="str">
        <x:f>IF(N18&lt;0,"缺货",IF(N18&lt;O18,"预警","正常"))</x:f>
        <x:v>正常</x:v>
      </x:c>
      <x:c r="Q18" s="19" t="str">
        <x:v>肥肉0713-01</x:v>
      </x:c>
    </x:row>
    <x:row r="19">
      <x:c r="A19" s="19" t="str">
        <x:v>2026-07-07|S01|牛肉片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牛肉片</x:v>
      </x:c>
      <x:c r="F19" s="32" t="n">
        <x:v>15.75</x:v>
      </x:c>
      <x:c r="G19" s="32" t="n">
        <x:v>10.43858192143696</x:v>
      </x:c>
      <x:c r="H19" s="24" t="n">
        <x:f>'菜品日销量'!G6*250/1000</x:f>
        <x:v>8.75</x:v>
      </x:c>
      <x:c r="I19" s="36" t="n">
        <x:v>0.03449969343713012</x:v>
      </x:c>
      <x:c r="J19" s="24" t="n">
        <x:f>H19*I19</x:f>
        <x:v>0.3018723175748886</x:v>
      </x:c>
      <x:c r="K19" s="32" t="n">
        <x:v>0</x:v>
      </x:c>
      <x:c r="L19" s="32" t="n">
        <x:v>0</x:v>
      </x:c>
      <x:c r="M19" s="32" t="n">
        <x:v>0</x:v>
      </x:c>
      <x:c r="N19" s="24" t="n">
        <x:f>F19+G19+K19-L19+M19-H19-J19</x:f>
        <x:v>17.13670960386207</x:v>
      </x:c>
      <x:c r="O19" s="24" t="n">
        <x:f>H19*'封面与口径'!$O$24</x:f>
        <x:v>10.5</x:v>
      </x:c>
      <x:c r="P19" s="19" t="str">
        <x:f>IF(N19&lt;0,"缺货",IF(N19&lt;O19,"预警","正常"))</x:f>
        <x:v>正常</x:v>
      </x:c>
      <x:c r="Q19" s="19" t="str">
        <x:v>牛肉0707-01</x:v>
      </x:c>
    </x:row>
    <x:row r="20">
      <x:c r="A20" s="19" t="str">
        <x:v>2026-07-08|S01|牛肉片</x:v>
      </x:c>
      <x:c r="B20" s="34" t="n">
        <x:v>46211.5</x:v>
      </x:c>
      <x:c r="C20" s="19" t="str">
        <x:v>S01</x:v>
      </x:c>
      <x:c r="D20" s="19" t="str">
        <x:v>近江天阳店</x:v>
      </x:c>
      <x:c r="E20" s="19" t="str">
        <x:v>牛肉片</x:v>
      </x:c>
      <x:c r="F20" s="32" t="n">
        <x:v>17.13670960386207</x:v>
      </x:c>
      <x:c r="G20" s="32" t="n">
        <x:v>10.024223203348047</x:v>
      </x:c>
      <x:c r="H20" s="24" t="n">
        <x:f>'菜品日销量'!G26*250/1000</x:f>
        <x:v>8.5</x:v>
      </x:c>
      <x:c r="I20" s="36" t="n">
        <x:v>0.03674287820741136</x:v>
      </x:c>
      <x:c r="J20" s="24" t="n">
        <x:f>H20*I20</x:f>
        <x:v>0.31231446476299657</x:v>
      </x:c>
      <x:c r="K20" s="32" t="n">
        <x:v>0</x:v>
      </x:c>
      <x:c r="L20" s="32" t="n">
        <x:v>0</x:v>
      </x:c>
      <x:c r="M20" s="32" t="n">
        <x:v>0</x:v>
      </x:c>
      <x:c r="N20" s="24" t="n">
        <x:f>F20+G20+K20-L20+M20-H20-J20</x:f>
        <x:v>18.34861834244712</x:v>
      </x:c>
      <x:c r="O20" s="24" t="n">
        <x:f>H20*'封面与口径'!$O$24</x:f>
        <x:v>10.2</x:v>
      </x:c>
      <x:c r="P20" s="19" t="str">
        <x:f>IF(N20&lt;0,"缺货",IF(N20&lt;O20,"预警","正常"))</x:f>
        <x:v>正常</x:v>
      </x:c>
      <x:c r="Q20" s="19" t="str">
        <x:v>牛肉0708-01</x:v>
      </x:c>
    </x:row>
    <x:row r="21">
      <x:c r="A21" s="19" t="str">
        <x:v>2026-07-09|S01|牛肉片</x:v>
      </x:c>
      <x:c r="B21" s="34" t="n">
        <x:v>46212.5</x:v>
      </x:c>
      <x:c r="C21" s="19" t="str">
        <x:v>S01</x:v>
      </x:c>
      <x:c r="D21" s="19" t="str">
        <x:v>近江天阳店</x:v>
      </x:c>
      <x:c r="E21" s="19" t="str">
        <x:v>牛肉片</x:v>
      </x:c>
      <x:c r="F21" s="32" t="n">
        <x:v>18.348618342447118</x:v>
      </x:c>
      <x:c r="G21" s="32" t="n">
        <x:v>10.392908389084718</x:v>
      </x:c>
      <x:c r="H21" s="24" t="n">
        <x:f>'菜品日销量'!G46*250/1000</x:f>
        <x:v>8.75</x:v>
      </x:c>
      <x:c r="I21" s="36" t="n">
        <x:v>0.023096057626673966</x:v>
      </x:c>
      <x:c r="J21" s="24" t="n">
        <x:f>H21*I21</x:f>
        <x:v>0.2020905042333972</x:v>
      </x:c>
      <x:c r="K21" s="32" t="n">
        <x:v>0</x:v>
      </x:c>
      <x:c r="L21" s="32" t="n">
        <x:v>0</x:v>
      </x:c>
      <x:c r="M21" s="32" t="n">
        <x:v>0</x:v>
      </x:c>
      <x:c r="N21" s="24" t="n">
        <x:f>F21+G21+K21-L21+M21-H21-J21</x:f>
        <x:v>19.789436227298438</x:v>
      </x:c>
      <x:c r="O21" s="24" t="n">
        <x:f>H21*'封面与口径'!$O$24</x:f>
        <x:v>10.5</x:v>
      </x:c>
      <x:c r="P21" s="19" t="str">
        <x:f>IF(N21&lt;0,"缺货",IF(N21&lt;O21,"预警","正常"))</x:f>
        <x:v>正常</x:v>
      </x:c>
      <x:c r="Q21" s="19" t="str">
        <x:v>牛肉0709-01</x:v>
      </x:c>
    </x:row>
    <x:row r="22">
      <x:c r="A22" s="19" t="str">
        <x:v>2026-07-10|S01|牛肉片</x:v>
      </x:c>
      <x:c r="B22" s="34" t="n">
        <x:v>46213.5</x:v>
      </x:c>
      <x:c r="C22" s="19" t="str">
        <x:v>S01</x:v>
      </x:c>
      <x:c r="D22" s="19" t="str">
        <x:v>近江天阳店</x:v>
      </x:c>
      <x:c r="E22" s="19" t="str">
        <x:v>牛肉片</x:v>
      </x:c>
      <x:c r="F22" s="32" t="n">
        <x:v>19.789436227298438</x:v>
      </x:c>
      <x:c r="G22" s="32" t="n">
        <x:v>10.395750202284137</x:v>
      </x:c>
      <x:c r="H22" s="24" t="n">
        <x:f>'菜品日销量'!G66*250/1000</x:f>
        <x:v>9</x:v>
      </x:c>
      <x:c r="I22" s="36" t="n">
        <x:v>0.0304938331317375</x:v>
      </x:c>
      <x:c r="J22" s="24" t="n">
        <x:f>H22*I22</x:f>
        <x:v>0.2744444981856375</x:v>
      </x:c>
      <x:c r="K22" s="32" t="n">
        <x:v>0</x:v>
      </x:c>
      <x:c r="L22" s="32" t="n">
        <x:v>0</x:v>
      </x:c>
      <x:c r="M22" s="32" t="n">
        <x:v>0</x:v>
      </x:c>
      <x:c r="N22" s="24" t="n">
        <x:f>F22+G22+K22-L22+M22-H22-J22</x:f>
        <x:v>20.910741931396938</x:v>
      </x:c>
      <x:c r="O22" s="24" t="n">
        <x:f>H22*'封面与口径'!$O$24</x:f>
        <x:v>10.799999999999999</x:v>
      </x:c>
      <x:c r="P22" s="19" t="str">
        <x:f>IF(N22&lt;0,"缺货",IF(N22&lt;O22,"预警","正常"))</x:f>
        <x:v>正常</x:v>
      </x:c>
      <x:c r="Q22" s="19" t="str">
        <x:v>牛肉0710-01</x:v>
      </x:c>
    </x:row>
    <x:row r="23">
      <x:c r="A23" s="19" t="str">
        <x:v>2026-07-11|S01|牛肉片</x:v>
      </x:c>
      <x:c r="B23" s="34" t="n">
        <x:v>46214.5</x:v>
      </x:c>
      <x:c r="C23" s="19" t="str">
        <x:v>S01</x:v>
      </x:c>
      <x:c r="D23" s="19" t="str">
        <x:v>近江天阳店</x:v>
      </x:c>
      <x:c r="E23" s="19" t="str">
        <x:v>牛肉片</x:v>
      </x:c>
      <x:c r="F23" s="32" t="n">
        <x:v>20.910741931396938</x:v>
      </x:c>
      <x:c r="G23" s="32" t="n">
        <x:v>8.164042825979191</x:v>
      </x:c>
      <x:c r="H23" s="24" t="n">
        <x:f>'菜品日销量'!G86*250/1000</x:f>
        <x:v>7</x:v>
      </x:c>
      <x:c r="I23" s="36" t="n">
        <x:v>0.03845035883445534</x:v>
      </x:c>
      <x:c r="J23" s="24" t="n">
        <x:f>H23*I23</x:f>
        <x:v>0.2691525118411874</x:v>
      </x:c>
      <x:c r="K23" s="32" t="n">
        <x:v>0</x:v>
      </x:c>
      <x:c r="L23" s="32" t="n">
        <x:v>0</x:v>
      </x:c>
      <x:c r="M23" s="32" t="n">
        <x:v>0</x:v>
      </x:c>
      <x:c r="N23" s="24" t="n">
        <x:f>F23+G23+K23-L23+M23-H23-J23</x:f>
        <x:v>21.80563224553494</x:v>
      </x:c>
      <x:c r="O23" s="24" t="n">
        <x:f>H23*'封面与口径'!$O$24</x:f>
        <x:v>8.4</x:v>
      </x:c>
      <x:c r="P23" s="19" t="str">
        <x:f>IF(N23&lt;0,"缺货",IF(N23&lt;O23,"预警","正常"))</x:f>
        <x:v>正常</x:v>
      </x:c>
      <x:c r="Q23" s="19" t="str">
        <x:v>牛肉0711-01</x:v>
      </x:c>
    </x:row>
    <x:row r="24">
      <x:c r="A24" s="19" t="str">
        <x:v>2026-07-12|S01|牛肉片</x:v>
      </x:c>
      <x:c r="B24" s="34" t="n">
        <x:v>46215.5</x:v>
      </x:c>
      <x:c r="C24" s="19" t="str">
        <x:v>S01</x:v>
      </x:c>
      <x:c r="D24" s="19" t="str">
        <x:v>近江天阳店</x:v>
      </x:c>
      <x:c r="E24" s="19" t="str">
        <x:v>牛肉片</x:v>
      </x:c>
      <x:c r="F24" s="32" t="n">
        <x:v>21.80563224553494</x:v>
      </x:c>
      <x:c r="G24" s="32" t="n">
        <x:v>12</x:v>
      </x:c>
      <x:c r="H24" s="24" t="n">
        <x:f>'菜品日销量'!G106*250/1000</x:f>
        <x:v>6.75</x:v>
      </x:c>
      <x:c r="I24" s="36" t="n">
        <x:v>0.022815058956112494</x:v>
      </x:c>
      <x:c r="J24" s="24" t="n">
        <x:f>H24*I24</x:f>
        <x:v>0.15400164795375934</x:v>
      </x:c>
      <x:c r="K24" s="32" t="n">
        <x:v>3</x:v>
      </x:c>
      <x:c r="L24" s="32" t="n">
        <x:v>0</x:v>
      </x:c>
      <x:c r="M24" s="32" t="n">
        <x:v>-12</x:v>
      </x:c>
      <x:c r="N24" s="24" t="n">
        <x:f>F24+G24+K24-L24+M24-H24-J24</x:f>
        <x:v>17.90163059758118</x:v>
      </x:c>
      <x:c r="O24" s="24" t="n">
        <x:f>H24*'封面与口径'!$O$24</x:f>
        <x:v>8.1</x:v>
      </x:c>
      <x:c r="P24" s="19" t="str">
        <x:f>IF(N24&lt;0,"缺货",IF(N24&lt;O24,"预警","正常"))</x:f>
        <x:v>正常</x:v>
      </x:c>
      <x:c r="Q24" s="19" t="str">
        <x:v>B0712-03</x:v>
      </x:c>
    </x:row>
    <x:row r="25">
      <x:c r="A25" s="19" t="str">
        <x:v>2026-07-13|S01|牛肉片</x:v>
      </x:c>
      <x:c r="B25" s="34" t="n">
        <x:v>46216.5</x:v>
      </x:c>
      <x:c r="C25" s="19" t="str">
        <x:v>S01</x:v>
      </x:c>
      <x:c r="D25" s="19" t="str">
        <x:v>近江天阳店</x:v>
      </x:c>
      <x:c r="E25" s="19" t="str">
        <x:v>牛肉片</x:v>
      </x:c>
      <x:c r="F25" s="32" t="n">
        <x:v>17.90163059758118</x:v>
      </x:c>
      <x:c r="G25" s="32" t="n">
        <x:v>10.74128257430654</x:v>
      </x:c>
      <x:c r="H25" s="24" t="n">
        <x:f>'菜品日销量'!G126*250/1000</x:f>
        <x:v>9.25</x:v>
      </x:c>
      <x:c r="I25" s="36" t="n">
        <x:v>0.03256910353842403</x:v>
      </x:c>
      <x:c r="J25" s="24" t="n">
        <x:f>H25*I25</x:f>
        <x:v>0.3012642077304223</x:v>
      </x:c>
      <x:c r="K25" s="32" t="n">
        <x:v>0</x:v>
      </x:c>
      <x:c r="L25" s="32" t="n">
        <x:v>0</x:v>
      </x:c>
      <x:c r="M25" s="32" t="n">
        <x:v>0</x:v>
      </x:c>
      <x:c r="N25" s="24" t="n">
        <x:f>F25+G25+K25-L25+M25-H25-J25</x:f>
        <x:v>19.091648964157297</x:v>
      </x:c>
      <x:c r="O25" s="24" t="n">
        <x:f>H25*'封面与口径'!$O$24</x:f>
        <x:v>11.1</x:v>
      </x:c>
      <x:c r="P25" s="19" t="str">
        <x:f>IF(N25&lt;0,"缺货",IF(N25&lt;O25,"预警","正常"))</x:f>
        <x:v>正常</x:v>
      </x:c>
      <x:c r="Q25" s="19" t="str">
        <x:v>牛肉0713-01</x:v>
      </x:c>
    </x:row>
    <x:row r="26">
      <x:c r="A26" s="19" t="str">
        <x:v>2026-07-07|S01|螺丝椒</x:v>
      </x:c>
      <x:c r="B26" s="34" t="n">
        <x:v>46210.5</x:v>
      </x:c>
      <x:c r="C26" s="19" t="str">
        <x:v>S01</x:v>
      </x:c>
      <x:c r="D26" s="19" t="str">
        <x:v>近江天阳店</x:v>
      </x:c>
      <x:c r="E26" s="19" t="str">
        <x:v>螺丝椒</x:v>
      </x:c>
      <x:c r="F26" s="32" t="n">
        <x:v>26.1</x:v>
      </x:c>
      <x:c r="G26" s="32" t="n">
        <x:v>17.257073463089082</x:v>
      </x:c>
      <x:c r="H26" s="24" t="n">
        <x:f>'菜品日销量'!G5*250/1000</x:f>
        <x:v>14.5</x:v>
      </x:c>
      <x:c r="I26" s="36" t="n">
        <x:v>0.02698454529209634</x:v>
      </x:c>
      <x:c r="J26" s="24" t="n">
        <x:f>H26*I26</x:f>
        <x:v>0.3912759067353969</x:v>
      </x:c>
      <x:c r="K26" s="32" t="n">
        <x:v>0</x:v>
      </x:c>
      <x:c r="L26" s="32" t="n">
        <x:v>0</x:v>
      </x:c>
      <x:c r="M26" s="32" t="n">
        <x:v>0</x:v>
      </x:c>
      <x:c r="N26" s="24" t="n">
        <x:f>F26+G26+K26-L26+M26-H26-J26</x:f>
        <x:v>28.46579755635368</x:v>
      </x:c>
      <x:c r="O26" s="24" t="n">
        <x:f>H26*'封面与口径'!$O$24</x:f>
        <x:v>17.4</x:v>
      </x:c>
      <x:c r="P26" s="19" t="str">
        <x:f>IF(N26&lt;0,"缺货",IF(N26&lt;O26,"预警","正常"))</x:f>
        <x:v>正常</x:v>
      </x:c>
      <x:c r="Q26" s="19" t="str">
        <x:v>螺丝0707-01</x:v>
      </x:c>
    </x:row>
    <x:row r="27">
      <x:c r="A27" s="19" t="str">
        <x:v>2026-07-08|S01|螺丝椒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螺丝椒</x:v>
      </x:c>
      <x:c r="F27" s="32" t="n">
        <x:v>28.465797556353685</x:v>
      </x:c>
      <x:c r="G27" s="32" t="n">
        <x:v>16.296008771494034</x:v>
      </x:c>
      <x:c r="H27" s="24" t="n">
        <x:f>'菜品日销量'!G25*250/1000</x:f>
        <x:v>13.75</x:v>
      </x:c>
      <x:c r="I27" s="36" t="n">
        <x:v>0.03650230634061208</x:v>
      </x:c>
      <x:c r="J27" s="24" t="n">
        <x:f>H27*I27</x:f>
        <x:v>0.5019067121834161</x:v>
      </x:c>
      <x:c r="K27" s="32" t="n">
        <x:v>0</x:v>
      </x:c>
      <x:c r="L27" s="32" t="n">
        <x:v>0</x:v>
      </x:c>
      <x:c r="M27" s="32" t="n">
        <x:v>0</x:v>
      </x:c>
      <x:c r="N27" s="24" t="n">
        <x:f>F27+G27+K27-L27+M27-H27-J27</x:f>
        <x:v>30.509899615664306</x:v>
      </x:c>
      <x:c r="O27" s="24" t="n">
        <x:f>H27*'封面与口径'!$O$24</x:f>
        <x:v>16.5</x:v>
      </x:c>
      <x:c r="P27" s="19" t="str">
        <x:f>IF(N27&lt;0,"缺货",IF(N27&lt;O27,"预警","正常"))</x:f>
        <x:v>正常</x:v>
      </x:c>
      <x:c r="Q27" s="19" t="str">
        <x:v>螺丝0708-01</x:v>
      </x:c>
    </x:row>
    <x:row r="28">
      <x:c r="A28" s="19" t="str">
        <x:v>2026-07-09|S01|螺丝椒</x:v>
      </x:c>
      <x:c r="B28" s="34" t="n">
        <x:v>46212.5</x:v>
      </x:c>
      <x:c r="C28" s="19" t="str">
        <x:v>S01</x:v>
      </x:c>
      <x:c r="D28" s="19" t="str">
        <x:v>近江天阳店</x:v>
      </x:c>
      <x:c r="E28" s="19" t="str">
        <x:v>螺丝椒</x:v>
      </x:c>
      <x:c r="F28" s="32" t="n">
        <x:v>30.509899615664306</x:v>
      </x:c>
      <x:c r="G28" s="32" t="n">
        <x:v>15.62846273318363</x:v>
      </x:c>
      <x:c r="H28" s="24" t="n">
        <x:f>'菜品日销量'!G45*250/1000</x:f>
        <x:v>14.25</x:v>
      </x:c>
      <x:c r="I28" s="36" t="n">
        <x:v>0.029524203687795486</x:v>
      </x:c>
      <x:c r="J28" s="24" t="n">
        <x:f>H28*I28</x:f>
        <x:v>0.42071990255108566</x:v>
      </x:c>
      <x:c r="K28" s="32" t="n">
        <x:v>0</x:v>
      </x:c>
      <x:c r="L28" s="32" t="n">
        <x:v>0</x:v>
      </x:c>
      <x:c r="M28" s="32" t="n">
        <x:v>0</x:v>
      </x:c>
      <x:c r="N28" s="24" t="n">
        <x:f>F28+G28+K28-L28+M28-H28-J28</x:f>
        <x:v>31.46764244629685</x:v>
      </x:c>
      <x:c r="O28" s="24" t="n">
        <x:f>H28*'封面与口径'!$O$24</x:f>
        <x:v>17.099999999999998</x:v>
      </x:c>
      <x:c r="P28" s="19" t="str">
        <x:f>IF(N28&lt;0,"缺货",IF(N28&lt;O28,"预警","正常"))</x:f>
        <x:v>正常</x:v>
      </x:c>
      <x:c r="Q28" s="19" t="str">
        <x:v>螺丝0709-01</x:v>
      </x:c>
    </x:row>
    <x:row r="29">
      <x:c r="A29" s="19" t="str">
        <x:v>2026-07-10|S01|螺丝椒</x:v>
      </x:c>
      <x:c r="B29" s="34" t="n">
        <x:v>46213.5</x:v>
      </x:c>
      <x:c r="C29" s="19" t="str">
        <x:v>S01</x:v>
      </x:c>
      <x:c r="D29" s="19" t="str">
        <x:v>近江天阳店</x:v>
      </x:c>
      <x:c r="E29" s="19" t="str">
        <x:v>螺丝椒</x:v>
      </x:c>
      <x:c r="F29" s="32" t="n">
        <x:v>31.46764244629685</x:v>
      </x:c>
      <x:c r="G29" s="32" t="n">
        <x:v>16.405236315903075</x:v>
      </x:c>
      <x:c r="H29" s="24" t="n">
        <x:f>'菜品日销量'!G65*250/1000</x:f>
        <x:v>13.75</x:v>
      </x:c>
      <x:c r="I29" s="36" t="n">
        <x:v>0.017857811161749487</x:v>
      </x:c>
      <x:c r="J29" s="24" t="n">
        <x:f>H29*I29</x:f>
        <x:v>0.24554490347405544</x:v>
      </x:c>
      <x:c r="K29" s="32" t="n">
        <x:v>0</x:v>
      </x:c>
      <x:c r="L29" s="32" t="n">
        <x:v>0</x:v>
      </x:c>
      <x:c r="M29" s="32" t="n">
        <x:v>0</x:v>
      </x:c>
      <x:c r="N29" s="24" t="n">
        <x:f>F29+G29+K29-L29+M29-H29-J29</x:f>
        <x:v>33.87733385872587</x:v>
      </x:c>
      <x:c r="O29" s="24" t="n">
        <x:f>H29*'封面与口径'!$O$24</x:f>
        <x:v>16.5</x:v>
      </x:c>
      <x:c r="P29" s="19" t="str">
        <x:f>IF(N29&lt;0,"缺货",IF(N29&lt;O29,"预警","正常"))</x:f>
        <x:v>正常</x:v>
      </x:c>
      <x:c r="Q29" s="19" t="str">
        <x:v>螺丝0710-01</x:v>
      </x:c>
    </x:row>
    <x:row r="30">
      <x:c r="A30" s="19" t="str">
        <x:v>2026-07-11|S01|螺丝椒</x:v>
      </x:c>
      <x:c r="B30" s="34" t="n">
        <x:v>46214.5</x:v>
      </x:c>
      <x:c r="C30" s="19" t="str">
        <x:v>S01</x:v>
      </x:c>
      <x:c r="D30" s="19" t="str">
        <x:v>近江天阳店</x:v>
      </x:c>
      <x:c r="E30" s="19" t="str">
        <x:v>螺丝椒</x:v>
      </x:c>
      <x:c r="F30" s="32" t="n">
        <x:v>33.87733385872587</x:v>
      </x:c>
      <x:c r="G30" s="32" t="n">
        <x:v>12.353346948775778</x:v>
      </x:c>
      <x:c r="H30" s="24" t="n">
        <x:f>'菜品日销量'!G85*250/1000</x:f>
        <x:v>10.75</x:v>
      </x:c>
      <x:c r="I30" s="36" t="n">
        <x:v>0.02721070773019705</x:v>
      </x:c>
      <x:c r="J30" s="24" t="n">
        <x:f>H30*I30</x:f>
        <x:v>0.2925151080996183</x:v>
      </x:c>
      <x:c r="K30" s="32" t="n">
        <x:v>0</x:v>
      </x:c>
      <x:c r="L30" s="32" t="n">
        <x:v>0</x:v>
      </x:c>
      <x:c r="M30" s="32" t="n">
        <x:v>0</x:v>
      </x:c>
      <x:c r="N30" s="24" t="n">
        <x:f>F30+G30+K30-L30+M30-H30-J30</x:f>
        <x:v>35.18816569940203</x:v>
      </x:c>
      <x:c r="O30" s="24" t="n">
        <x:f>H30*'封面与口径'!$O$24</x:f>
        <x:v>12.9</x:v>
      </x:c>
      <x:c r="P30" s="19" t="str">
        <x:f>IF(N30&lt;0,"缺货",IF(N30&lt;O30,"预警","正常"))</x:f>
        <x:v>正常</x:v>
      </x:c>
      <x:c r="Q30" s="19" t="str">
        <x:v>螺丝0711-01</x:v>
      </x:c>
    </x:row>
    <x:row r="31">
      <x:c r="A31" s="19" t="str">
        <x:v>2026-07-12|S01|螺丝椒</x:v>
      </x:c>
      <x:c r="B31" s="34" t="n">
        <x:v>46215.5</x:v>
      </x:c>
      <x:c r="C31" s="19" t="str">
        <x:v>S01</x:v>
      </x:c>
      <x:c r="D31" s="19" t="str">
        <x:v>近江天阳店</x:v>
      </x:c>
      <x:c r="E31" s="19" t="str">
        <x:v>螺丝椒</x:v>
      </x:c>
      <x:c r="F31" s="32" t="n">
        <x:v>35.188165699402035</x:v>
      </x:c>
      <x:c r="G31" s="32" t="n">
        <x:v>11.1570958598417</x:v>
      </x:c>
      <x:c r="H31" s="24" t="n">
        <x:f>'菜品日销量'!G105*250/1000</x:f>
        <x:v>10</x:v>
      </x:c>
      <x:c r="I31" s="36" t="n">
        <x:v>0.022646918886491778</x:v>
      </x:c>
      <x:c r="J31" s="24" t="n">
        <x:f>H31*I31</x:f>
        <x:v>0.2264691888649178</x:v>
      </x:c>
      <x:c r="K31" s="32" t="n">
        <x:v>0</x:v>
      </x:c>
      <x:c r="L31" s="32" t="n">
        <x:v>0</x:v>
      </x:c>
      <x:c r="M31" s="32" t="n">
        <x:v>0</x:v>
      </x:c>
      <x:c r="N31" s="24" t="n">
        <x:f>F31+G31+K31-L31+M31-H31-J31</x:f>
        <x:v>36.11879237037882</x:v>
      </x:c>
      <x:c r="O31" s="24" t="n">
        <x:f>H31*'封面与口径'!$O$24</x:f>
        <x:v>12</x:v>
      </x:c>
      <x:c r="P31" s="19" t="str">
        <x:f>IF(N31&lt;0,"缺货",IF(N31&lt;O31,"预警","正常"))</x:f>
        <x:v>正常</x:v>
      </x:c>
      <x:c r="Q31" s="19" t="str">
        <x:v>螺丝0712-01</x:v>
      </x:c>
    </x:row>
    <x:row r="32">
      <x:c r="A32" s="19" t="str">
        <x:v>2026-07-13|S01|螺丝椒</x:v>
      </x:c>
      <x:c r="B32" s="34" t="n">
        <x:v>46216.5</x:v>
      </x:c>
      <x:c r="C32" s="19" t="str">
        <x:v>S01</x:v>
      </x:c>
      <x:c r="D32" s="19" t="str">
        <x:v>近江天阳店</x:v>
      </x:c>
      <x:c r="E32" s="19" t="str">
        <x:v>螺丝椒</x:v>
      </x:c>
      <x:c r="F32" s="32" t="n">
        <x:v>36.11879237037882</x:v>
      </x:c>
      <x:c r="G32" s="32" t="n">
        <x:v>17.41175547137199</x:v>
      </x:c>
      <x:c r="H32" s="24" t="n">
        <x:f>'菜品日销量'!G125*250/1000</x:f>
        <x:v>15.5</x:v>
      </x:c>
      <x:c r="I32" s="36" t="n">
        <x:v>0.015846382323849568</x:v>
      </x:c>
      <x:c r="J32" s="24" t="n">
        <x:f>H32*I32</x:f>
        <x:v>0.2456189260196683</x:v>
      </x:c>
      <x:c r="K32" s="32" t="n">
        <x:v>0</x:v>
      </x:c>
      <x:c r="L32" s="32" t="n">
        <x:v>0</x:v>
      </x:c>
      <x:c r="M32" s="32" t="n">
        <x:v>0</x:v>
      </x:c>
      <x:c r="N32" s="24" t="n">
        <x:f>F32+G32+K32-L32+M32-H32-J32</x:f>
        <x:v>37.78492891573114</x:v>
      </x:c>
      <x:c r="O32" s="24" t="n">
        <x:f>H32*'封面与口径'!$O$24</x:f>
        <x:v>18.599999999999998</x:v>
      </x:c>
      <x:c r="P32" s="19" t="str">
        <x:f>IF(N32&lt;0,"缺货",IF(N32&lt;O32,"预警","正常"))</x:f>
        <x:v>正常</x:v>
      </x:c>
      <x:c r="Q32" s="19" t="str">
        <x:v>螺丝0713-01</x:v>
      </x:c>
    </x:row>
    <x:row r="33">
      <x:c r="A33" s="19" t="str">
        <x:v>2026-07-07|S01|青湖南椒圈</x:v>
      </x:c>
      <x:c r="B33" s="34" t="n">
        <x:v>46210.5</x:v>
      </x:c>
      <x:c r="C33" s="19" t="str">
        <x:v>S01</x:v>
      </x:c>
      <x:c r="D33" s="19" t="str">
        <x:v>近江天阳店</x:v>
      </x:c>
      <x:c r="E33" s="19" t="str">
        <x:v>青湖南椒圈</x:v>
      </x:c>
      <x:c r="F33" s="32" t="n">
        <x:v>3.9600000000000004</x:v>
      </x:c>
      <x:c r="G33" s="32" t="n">
        <x:v>2.514293037033243</x:v>
      </x:c>
      <x:c r="H33" s="24" t="n">
        <x:f>'菜品日销量'!G14*100/1000</x:f>
        <x:v>2.2</x:v>
      </x:c>
      <x:c r="I33" s="36" t="n">
        <x:v>0.03644615602363976</x:v>
      </x:c>
      <x:c r="J33" s="24" t="n">
        <x:f>H33*I33</x:f>
        <x:v>0.08018154325200748</x:v>
      </x:c>
      <x:c r="K33" s="32" t="n">
        <x:v>0</x:v>
      </x:c>
      <x:c r="L33" s="32" t="n">
        <x:v>0</x:v>
      </x:c>
      <x:c r="M33" s="32" t="n">
        <x:v>0</x:v>
      </x:c>
      <x:c r="N33" s="24" t="n">
        <x:f>F33+G33+K33-L33+M33-H33-J33</x:f>
        <x:v>4.194111493781236</x:v>
      </x:c>
      <x:c r="O33" s="24" t="n">
        <x:f>H33*'封面与口径'!$O$24</x:f>
        <x:v>2.64</x:v>
      </x:c>
      <x:c r="P33" s="19" t="str">
        <x:f>IF(N33&lt;0,"缺货",IF(N33&lt;O33,"预警","正常"))</x:f>
        <x:v>正常</x:v>
      </x:c>
      <x:c r="Q33" s="19" t="str">
        <x:v>青湖0707-01</x:v>
      </x:c>
    </x:row>
    <x:row r="34">
      <x:c r="A34" s="19" t="str">
        <x:v>2026-07-08|S01|青湖南椒圈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青湖南椒圈</x:v>
      </x:c>
      <x:c r="F34" s="32" t="n">
        <x:v>4.194111493781236</x:v>
      </x:c>
      <x:c r="G34" s="32" t="n">
        <x:v>2.579049685620482</x:v>
      </x:c>
      <x:c r="H34" s="24" t="n">
        <x:f>'菜品日销量'!G34*100/1000</x:f>
        <x:v>2.2</x:v>
      </x:c>
      <x:c r="I34" s="36" t="n">
        <x:v>0.033694538871919394</x:v>
      </x:c>
      <x:c r="J34" s="24" t="n">
        <x:f>H34*I34</x:f>
        <x:v>0.07412798551822267</x:v>
      </x:c>
      <x:c r="K34" s="32" t="n">
        <x:v>0</x:v>
      </x:c>
      <x:c r="L34" s="32" t="n">
        <x:v>0</x:v>
      </x:c>
      <x:c r="M34" s="32" t="n">
        <x:v>0</x:v>
      </x:c>
      <x:c r="N34" s="24" t="n">
        <x:f>F34+G34+K34-L34+M34-H34-J34</x:f>
        <x:v>4.499033193883496</x:v>
      </x:c>
      <x:c r="O34" s="24" t="n">
        <x:f>H34*'封面与口径'!$O$24</x:f>
        <x:v>2.64</x:v>
      </x:c>
      <x:c r="P34" s="19" t="str">
        <x:f>IF(N34&lt;0,"缺货",IF(N34&lt;O34,"预警","正常"))</x:f>
        <x:v>正常</x:v>
      </x:c>
      <x:c r="Q34" s="19" t="str">
        <x:v>青湖0708-01</x:v>
      </x:c>
    </x:row>
    <x:row r="35">
      <x:c r="A35" s="19" t="str">
        <x:v>2026-07-09|S01|青湖南椒圈</x:v>
      </x:c>
      <x:c r="B35" s="34" t="n">
        <x:v>46212.5</x:v>
      </x:c>
      <x:c r="C35" s="19" t="str">
        <x:v>S01</x:v>
      </x:c>
      <x:c r="D35" s="19" t="str">
        <x:v>近江天阳店</x:v>
      </x:c>
      <x:c r="E35" s="19" t="str">
        <x:v>青湖南椒圈</x:v>
      </x:c>
      <x:c r="F35" s="32" t="n">
        <x:v>4.499033193883495</x:v>
      </x:c>
      <x:c r="G35" s="32" t="n">
        <x:v>2.2309174955056323</x:v>
      </x:c>
      <x:c r="H35" s="24" t="n">
        <x:f>'菜品日销量'!G54*100/1000</x:f>
        <x:v>2</x:v>
      </x:c>
      <x:c r="I35" s="36" t="n">
        <x:v>0.034699948908458456</x:v>
      </x:c>
      <x:c r="J35" s="24" t="n">
        <x:f>H35*I35</x:f>
        <x:v>0.06939989781691691</x:v>
      </x:c>
      <x:c r="K35" s="32" t="n">
        <x:v>0</x:v>
      </x:c>
      <x:c r="L35" s="32" t="n">
        <x:v>0</x:v>
      </x:c>
      <x:c r="M35" s="32" t="n">
        <x:v>0</x:v>
      </x:c>
      <x:c r="N35" s="24" t="n">
        <x:f>F35+G35+K35-L35+M35-H35-J35</x:f>
        <x:v>4.660550791572211</x:v>
      </x:c>
      <x:c r="O35" s="24" t="n">
        <x:f>H35*'封面与口径'!$O$24</x:f>
        <x:v>2.4</x:v>
      </x:c>
      <x:c r="P35" s="19" t="str">
        <x:f>IF(N35&lt;0,"缺货",IF(N35&lt;O35,"预警","正常"))</x:f>
        <x:v>正常</x:v>
      </x:c>
      <x:c r="Q35" s="19" t="str">
        <x:v>青湖0709-01</x:v>
      </x:c>
    </x:row>
    <x:row r="36">
      <x:c r="A36" s="19" t="str">
        <x:v>2026-07-10|S01|青湖南椒圈</x:v>
      </x:c>
      <x:c r="B36" s="34" t="n">
        <x:v>46213.5</x:v>
      </x:c>
      <x:c r="C36" s="19" t="str">
        <x:v>S01</x:v>
      </x:c>
      <x:c r="D36" s="19" t="str">
        <x:v>近江天阳店</x:v>
      </x:c>
      <x:c r="E36" s="19" t="str">
        <x:v>青湖南椒圈</x:v>
      </x:c>
      <x:c r="F36" s="32" t="n">
        <x:v>4.660550791572211</x:v>
      </x:c>
      <x:c r="G36" s="32" t="n">
        <x:v>2.2700706084133295</x:v>
      </x:c>
      <x:c r="H36" s="24" t="n">
        <x:f>'菜品日销量'!G74*100/1000</x:f>
        <x:v>2.1</x:v>
      </x:c>
      <x:c r="I36" s="36" t="n">
        <x:v>0.02489495705228647</x:v>
      </x:c>
      <x:c r="J36" s="24" t="n">
        <x:f>H36*I36</x:f>
        <x:v>0.052279409809801586</x:v>
      </x:c>
      <x:c r="K36" s="32" t="n">
        <x:v>0</x:v>
      </x:c>
      <x:c r="L36" s="32" t="n">
        <x:v>0</x:v>
      </x:c>
      <x:c r="M36" s="32" t="n">
        <x:v>0</x:v>
      </x:c>
      <x:c r="N36" s="24" t="n">
        <x:f>F36+G36+K36-L36+M36-H36-J36</x:f>
        <x:v>4.778341990175739</x:v>
      </x:c>
      <x:c r="O36" s="24" t="n">
        <x:f>H36*'封面与口径'!$O$24</x:f>
        <x:v>2.52</x:v>
      </x:c>
      <x:c r="P36" s="19" t="str">
        <x:f>IF(N36&lt;0,"缺货",IF(N36&lt;O36,"预警","正常"))</x:f>
        <x:v>正常</x:v>
      </x:c>
      <x:c r="Q36" s="19" t="str">
        <x:v>青湖0710-01</x:v>
      </x:c>
    </x:row>
    <x:row r="37">
      <x:c r="A37" s="19" t="str">
        <x:v>2026-07-11|S01|青湖南椒圈</x:v>
      </x:c>
      <x:c r="B37" s="34" t="n">
        <x:v>46214.5</x:v>
      </x:c>
      <x:c r="C37" s="19" t="str">
        <x:v>S01</x:v>
      </x:c>
      <x:c r="D37" s="19" t="str">
        <x:v>近江天阳店</x:v>
      </x:c>
      <x:c r="E37" s="19" t="str">
        <x:v>青湖南椒圈</x:v>
      </x:c>
      <x:c r="F37" s="32" t="n">
        <x:v>4.778341990175738</x:v>
      </x:c>
      <x:c r="G37" s="32" t="n">
        <x:v>1.6202292610193205</x:v>
      </x:c>
      <x:c r="H37" s="24" t="n">
        <x:f>'菜品日销量'!G94*100/1000</x:f>
        <x:v>1.5</x:v>
      </x:c>
      <x:c r="I37" s="36" t="n">
        <x:v>0.029808543937934688</x:v>
      </x:c>
      <x:c r="J37" s="24" t="n">
        <x:f>H37*I37</x:f>
        <x:v>0.04471281590690203</x:v>
      </x:c>
      <x:c r="K37" s="32" t="n">
        <x:v>0</x:v>
      </x:c>
      <x:c r="L37" s="32" t="n">
        <x:v>0</x:v>
      </x:c>
      <x:c r="M37" s="32" t="n">
        <x:v>0</x:v>
      </x:c>
      <x:c r="N37" s="24" t="n">
        <x:f>F37+G37+K37-L37+M37-H37-J37</x:f>
        <x:v>4.853858435288156</x:v>
      </x:c>
      <x:c r="O37" s="24" t="n">
        <x:f>H37*'封面与口径'!$O$24</x:f>
        <x:v>1.7999999999999998</x:v>
      </x:c>
      <x:c r="P37" s="19" t="str">
        <x:f>IF(N37&lt;0,"缺货",IF(N37&lt;O37,"预警","正常"))</x:f>
        <x:v>正常</x:v>
      </x:c>
      <x:c r="Q37" s="19" t="str">
        <x:v>青湖0711-01</x:v>
      </x:c>
    </x:row>
    <x:row r="38">
      <x:c r="A38" s="19" t="str">
        <x:v>2026-07-12|S01|青湖南椒圈</x:v>
      </x:c>
      <x:c r="B38" s="34" t="n">
        <x:v>46215.5</x:v>
      </x:c>
      <x:c r="C38" s="19" t="str">
        <x:v>S01</x:v>
      </x:c>
      <x:c r="D38" s="19" t="str">
        <x:v>近江天阳店</x:v>
      </x:c>
      <x:c r="E38" s="19" t="str">
        <x:v>青湖南椒圈</x:v>
      </x:c>
      <x:c r="F38" s="32" t="n">
        <x:v>4.853858435288156</x:v>
      </x:c>
      <x:c r="G38" s="32" t="n">
        <x:v>1.98221491938881</x:v>
      </x:c>
      <x:c r="H38" s="24" t="n">
        <x:f>'菜品日销量'!G114*100/1000</x:f>
        <x:v>1.7</x:v>
      </x:c>
      <x:c r="I38" s="36" t="n">
        <x:v>0.028483410698474244</x:v>
      </x:c>
      <x:c r="J38" s="24" t="n">
        <x:f>H38*I38</x:f>
        <x:v>0.04842179818740622</x:v>
      </x:c>
      <x:c r="K38" s="32" t="n">
        <x:v>0</x:v>
      </x:c>
      <x:c r="L38" s="32" t="n">
        <x:v>0</x:v>
      </x:c>
      <x:c r="M38" s="32" t="n">
        <x:v>0</x:v>
      </x:c>
      <x:c r="N38" s="24" t="n">
        <x:f>F38+G38+K38-L38+M38-H38-J38</x:f>
        <x:v>5.0876515564895595</x:v>
      </x:c>
      <x:c r="O38" s="24" t="n">
        <x:f>H38*'封面与口径'!$O$24</x:f>
        <x:v>2.04</x:v>
      </x:c>
      <x:c r="P38" s="19" t="str">
        <x:f>IF(N38&lt;0,"缺货",IF(N38&lt;O38,"预警","正常"))</x:f>
        <x:v>正常</x:v>
      </x:c>
      <x:c r="Q38" s="19" t="str">
        <x:v>青湖0712-01</x:v>
      </x:c>
    </x:row>
    <x:row r="39">
      <x:c r="A39" s="19" t="str">
        <x:v>2026-07-13|S01|青湖南椒圈</x:v>
      </x:c>
      <x:c r="B39" s="34" t="n">
        <x:v>46216.5</x:v>
      </x:c>
      <x:c r="C39" s="19" t="str">
        <x:v>S01</x:v>
      </x:c>
      <x:c r="D39" s="19" t="str">
        <x:v>近江天阳店</x:v>
      </x:c>
      <x:c r="E39" s="19" t="str">
        <x:v>青湖南椒圈</x:v>
      </x:c>
      <x:c r="F39" s="32" t="n">
        <x:v>5.0876515564895595</x:v>
      </x:c>
      <x:c r="G39" s="32" t="n">
        <x:v>2.312383031327367</x:v>
      </x:c>
      <x:c r="H39" s="24" t="n">
        <x:f>'菜品日销量'!G134*100/1000</x:f>
        <x:v>2.1</x:v>
      </x:c>
      <x:c r="I39" s="36" t="n">
        <x:v>0.03497077129082074</x:v>
      </x:c>
      <x:c r="J39" s="24" t="n">
        <x:f>H39*I39</x:f>
        <x:v>0.07343861971072356</x:v>
      </x:c>
      <x:c r="K39" s="32" t="n">
        <x:v>0</x:v>
      </x:c>
      <x:c r="L39" s="32" t="n">
        <x:v>0</x:v>
      </x:c>
      <x:c r="M39" s="32" t="n">
        <x:v>0</x:v>
      </x:c>
      <x:c r="N39" s="24" t="n">
        <x:f>F39+G39+K39-L39+M39-H39-J39</x:f>
        <x:v>5.226595968106202</x:v>
      </x:c>
      <x:c r="O39" s="24" t="n">
        <x:f>H39*'封面与口径'!$O$24</x:f>
        <x:v>2.52</x:v>
      </x:c>
      <x:c r="P39" s="19" t="str">
        <x:f>IF(N39&lt;0,"缺货",IF(N39&lt;O39,"预警","正常"))</x:f>
        <x:v>正常</x:v>
      </x:c>
      <x:c r="Q39" s="19" t="str">
        <x:v>青湖0713-01</x:v>
      </x:c>
    </x:row>
    <x:row r="40">
      <x:c r="A40" s="19" t="str">
        <x:v>2026-07-07|S01|鸡蛋</x:v>
      </x:c>
      <x:c r="B40" s="34" t="n">
        <x:v>46210.5</x:v>
      </x:c>
      <x:c r="C40" s="19" t="str">
        <x:v>S01</x:v>
      </x:c>
      <x:c r="D40" s="19" t="str">
        <x:v>近江天阳店</x:v>
      </x:c>
      <x:c r="E40" s="19" t="str">
        <x:v>鸡蛋</x:v>
      </x:c>
      <x:c r="F40" s="32" t="n">
        <x:v>32.49</x:v>
      </x:c>
      <x:c r="G40" s="32" t="n">
        <x:v>20.533243420539712</x:v>
      </x:c>
      <x:c r="H40" s="24" t="n">
        <x:f>'菜品日销量'!G7*300/1000+'菜品日销量'!G17*250/1000</x:f>
        <x:v>18.05</x:v>
      </x:c>
      <x:c r="I40" s="36" t="n">
        <x:v>0.019476658570225503</x:v>
      </x:c>
      <x:c r="J40" s="24" t="n">
        <x:f>H40*I40</x:f>
        <x:v>0.35155368719257035</x:v>
      </x:c>
      <x:c r="K40" s="32" t="n">
        <x:v>0</x:v>
      </x:c>
      <x:c r="L40" s="32" t="n">
        <x:v>0</x:v>
      </x:c>
      <x:c r="M40" s="32" t="n">
        <x:v>0</x:v>
      </x:c>
      <x:c r="N40" s="24" t="n">
        <x:f>F40+G40+K40-L40+M40-H40-J40</x:f>
        <x:v>34.62168973334715</x:v>
      </x:c>
      <x:c r="O40" s="24" t="n">
        <x:f>H40*'封面与口径'!$O$24</x:f>
        <x:v>21.66</x:v>
      </x:c>
      <x:c r="P40" s="19" t="str">
        <x:f>IF(N40&lt;0,"缺货",IF(N40&lt;O40,"预警","正常"))</x:f>
        <x:v>正常</x:v>
      </x:c>
      <x:c r="Q40" s="19" t="str">
        <x:v>鸡蛋0707-01</x:v>
      </x:c>
    </x:row>
    <x:row r="41">
      <x:c r="A41" s="19" t="str">
        <x:v>2026-07-08|S01|鸡蛋</x:v>
      </x:c>
      <x:c r="B41" s="34" t="n">
        <x:v>46211.5</x:v>
      </x:c>
      <x:c r="C41" s="19" t="str">
        <x:v>S01</x:v>
      </x:c>
      <x:c r="D41" s="19" t="str">
        <x:v>近江天阳店</x:v>
      </x:c>
      <x:c r="E41" s="19" t="str">
        <x:v>鸡蛋</x:v>
      </x:c>
      <x:c r="F41" s="32" t="n">
        <x:v>34.62168973334714</x:v>
      </x:c>
      <x:c r="G41" s="32" t="n">
        <x:v>20.465930796339162</x:v>
      </x:c>
      <x:c r="H41" s="24" t="n">
        <x:f>'菜品日销量'!G27*300/1000+'菜品日销量'!G37*250/1000</x:f>
        <x:v>18.25</x:v>
      </x:c>
      <x:c r="I41" s="36" t="n">
        <x:v>0.033473804228350945</x:v>
      </x:c>
      <x:c r="J41" s="24" t="n">
        <x:f>H41*I41</x:f>
        <x:v>0.6108969271674047</x:v>
      </x:c>
      <x:c r="K41" s="32" t="n">
        <x:v>0</x:v>
      </x:c>
      <x:c r="L41" s="32" t="n">
        <x:v>0</x:v>
      </x:c>
      <x:c r="M41" s="32" t="n">
        <x:v>0</x:v>
      </x:c>
      <x:c r="N41" s="24" t="n">
        <x:f>F41+G41+K41-L41+M41-H41-J41</x:f>
        <x:v>36.2267236025189</x:v>
      </x:c>
      <x:c r="O41" s="24" t="n">
        <x:f>H41*'封面与口径'!$O$24</x:f>
        <x:v>21.9</x:v>
      </x:c>
      <x:c r="P41" s="19" t="str">
        <x:f>IF(N41&lt;0,"缺货",IF(N41&lt;O41,"预警","正常"))</x:f>
        <x:v>正常</x:v>
      </x:c>
      <x:c r="Q41" s="19" t="str">
        <x:v>鸡蛋0708-01</x:v>
      </x:c>
    </x:row>
    <x:row r="42">
      <x:c r="A42" s="19" t="str">
        <x:v>2026-07-09|S01|鸡蛋</x:v>
      </x:c>
      <x:c r="B42" s="34" t="n">
        <x:v>46212.5</x:v>
      </x:c>
      <x:c r="C42" s="19" t="str">
        <x:v>S01</x:v>
      </x:c>
      <x:c r="D42" s="19" t="str">
        <x:v>近江天阳店</x:v>
      </x:c>
      <x:c r="E42" s="19" t="str">
        <x:v>鸡蛋</x:v>
      </x:c>
      <x:c r="F42" s="32" t="n">
        <x:v>36.2267236025189</x:v>
      </x:c>
      <x:c r="G42" s="32" t="n">
        <x:v>19.506523968160742</x:v>
      </x:c>
      <x:c r="H42" s="24" t="n">
        <x:f>'菜品日销量'!G47*300/1000+'菜品日销量'!G57*250/1000</x:f>
        <x:v>17.7</x:v>
      </x:c>
      <x:c r="I42" s="36" t="n">
        <x:v>0.03158667263495425</x:v>
      </x:c>
      <x:c r="J42" s="24" t="n">
        <x:f>H42*I42</x:f>
        <x:v>0.5590841056386903</x:v>
      </x:c>
      <x:c r="K42" s="32" t="n">
        <x:v>0</x:v>
      </x:c>
      <x:c r="L42" s="32" t="n">
        <x:v>0</x:v>
      </x:c>
      <x:c r="M42" s="32" t="n">
        <x:v>0</x:v>
      </x:c>
      <x:c r="N42" s="24" t="n">
        <x:f>F42+G42+K42-L42+M42-H42-J42</x:f>
        <x:v>37.47416346504096</x:v>
      </x:c>
      <x:c r="O42" s="24" t="n">
        <x:f>H42*'封面与口径'!$O$24</x:f>
        <x:v>21.24</x:v>
      </x:c>
      <x:c r="P42" s="19" t="str">
        <x:f>IF(N42&lt;0,"缺货",IF(N42&lt;O42,"预警","正常"))</x:f>
        <x:v>正常</x:v>
      </x:c>
      <x:c r="Q42" s="19" t="str">
        <x:v>鸡蛋0709-01</x:v>
      </x:c>
    </x:row>
    <x:row r="43">
      <x:c r="A43" s="19" t="str">
        <x:v>2026-07-10|S01|鸡蛋</x:v>
      </x:c>
      <x:c r="B43" s="34" t="n">
        <x:v>46213.5</x:v>
      </x:c>
      <x:c r="C43" s="19" t="str">
        <x:v>S01</x:v>
      </x:c>
      <x:c r="D43" s="19" t="str">
        <x:v>近江天阳店</x:v>
      </x:c>
      <x:c r="E43" s="19" t="str">
        <x:v>鸡蛋</x:v>
      </x:c>
      <x:c r="F43" s="32" t="n">
        <x:v>37.47416346504096</x:v>
      </x:c>
      <x:c r="G43" s="32" t="n">
        <x:v>21.488390540962197</x:v>
      </x:c>
      <x:c r="H43" s="24" t="n">
        <x:f>'菜品日销量'!G67*300/1000+'菜品日销量'!G77*250/1000</x:f>
        <x:v>19.45</x:v>
      </x:c>
      <x:c r="I43" s="36" t="n">
        <x:v>0.020085556384894426</x:v>
      </x:c>
      <x:c r="J43" s="24" t="n">
        <x:f>H43*I43</x:f>
        <x:v>0.3906640716861966</x:v>
      </x:c>
      <x:c r="K43" s="32" t="n">
        <x:v>0</x:v>
      </x:c>
      <x:c r="L43" s="32" t="n">
        <x:v>0</x:v>
      </x:c>
      <x:c r="M43" s="32" t="n">
        <x:v>0</x:v>
      </x:c>
      <x:c r="N43" s="24" t="n">
        <x:f>F43+G43+K43-L43+M43-H43-J43</x:f>
        <x:v>39.12188993431696</x:v>
      </x:c>
      <x:c r="O43" s="24" t="n">
        <x:f>H43*'封面与口径'!$O$24</x:f>
        <x:v>23.34</x:v>
      </x:c>
      <x:c r="P43" s="19" t="str">
        <x:f>IF(N43&lt;0,"缺货",IF(N43&lt;O43,"预警","正常"))</x:f>
        <x:v>正常</x:v>
      </x:c>
      <x:c r="Q43" s="19" t="str">
        <x:v>鸡蛋0710-01</x:v>
      </x:c>
    </x:row>
    <x:row r="44">
      <x:c r="A44" s="19" t="str">
        <x:v>2026-07-11|S01|鸡蛋</x:v>
      </x:c>
      <x:c r="B44" s="34" t="n">
        <x:v>46214.5</x:v>
      </x:c>
      <x:c r="C44" s="19" t="str">
        <x:v>S01</x:v>
      </x:c>
      <x:c r="D44" s="19" t="str">
        <x:v>近江天阳店</x:v>
      </x:c>
      <x:c r="E44" s="19" t="str">
        <x:v>鸡蛋</x:v>
      </x:c>
      <x:c r="F44" s="32" t="n">
        <x:v>39.12188993431696</x:v>
      </x:c>
      <x:c r="G44" s="32" t="n">
        <x:v>15.243823777846487</x:v>
      </x:c>
      <x:c r="H44" s="24" t="n">
        <x:f>'菜品日销量'!G87*300/1000+'菜品日销量'!G97*250/1000</x:f>
        <x:v>13.95</x:v>
      </x:c>
      <x:c r="I44" s="36" t="n">
        <x:v>0.023975877201644673</x:v>
      </x:c>
      <x:c r="J44" s="24" t="n">
        <x:f>H44*I44</x:f>
        <x:v>0.33446348696294315</x:v>
      </x:c>
      <x:c r="K44" s="32" t="n">
        <x:v>0</x:v>
      </x:c>
      <x:c r="L44" s="32" t="n">
        <x:v>0</x:v>
      </x:c>
      <x:c r="M44" s="32" t="n">
        <x:v>0</x:v>
      </x:c>
      <x:c r="N44" s="24" t="n">
        <x:f>F44+G44+K44-L44+M44-H44-J44</x:f>
        <x:v>40.081250225200506</x:v>
      </x:c>
      <x:c r="O44" s="24" t="n">
        <x:f>H44*'封面与口径'!$O$24</x:f>
        <x:v>16.74</x:v>
      </x:c>
      <x:c r="P44" s="19" t="str">
        <x:f>IF(N44&lt;0,"缺货",IF(N44&lt;O44,"预警","正常"))</x:f>
        <x:v>正常</x:v>
      </x:c>
      <x:c r="Q44" s="19" t="str">
        <x:v>鸡蛋0711-01</x:v>
      </x:c>
    </x:row>
    <x:row r="45">
      <x:c r="A45" s="19" t="str">
        <x:v>2026-07-12|S01|鸡蛋</x:v>
      </x:c>
      <x:c r="B45" s="34" t="n">
        <x:v>46215.5</x:v>
      </x:c>
      <x:c r="C45" s="19" t="str">
        <x:v>S01</x:v>
      </x:c>
      <x:c r="D45" s="19" t="str">
        <x:v>近江天阳店</x:v>
      </x:c>
      <x:c r="E45" s="19" t="str">
        <x:v>鸡蛋</x:v>
      </x:c>
      <x:c r="F45" s="32" t="n">
        <x:v>40.081250225200506</x:v>
      </x:c>
      <x:c r="G45" s="32" t="n">
        <x:v>15.83626524148422</x:v>
      </x:c>
      <x:c r="H45" s="24" t="n">
        <x:f>'菜品日销量'!G107*300/1000+'菜品日销量'!G117*250/1000</x:f>
        <x:v>14.35</x:v>
      </x:c>
      <x:c r="I45" s="36" t="n">
        <x:v>0.016836650819013976</x:v>
      </x:c>
      <x:c r="J45" s="24" t="n">
        <x:f>H45*I45</x:f>
        <x:v>0.24160593925285057</x:v>
      </x:c>
      <x:c r="K45" s="32" t="n">
        <x:v>0</x:v>
      </x:c>
      <x:c r="L45" s="32" t="n">
        <x:v>0</x:v>
      </x:c>
      <x:c r="M45" s="32" t="n">
        <x:v>0</x:v>
      </x:c>
      <x:c r="N45" s="24" t="n">
        <x:f>F45+G45+K45-L45+M45-H45-J45</x:f>
        <x:v>41.325909527431875</x:v>
      </x:c>
      <x:c r="O45" s="24" t="n">
        <x:f>H45*'封面与口径'!$O$24</x:f>
        <x:v>17.22</x:v>
      </x:c>
      <x:c r="P45" s="19" t="str">
        <x:f>IF(N45&lt;0,"缺货",IF(N45&lt;O45,"预警","正常"))</x:f>
        <x:v>正常</x:v>
      </x:c>
      <x:c r="Q45" s="19" t="str">
        <x:v>鸡蛋0712-01</x:v>
      </x:c>
    </x:row>
    <x:row r="46">
      <x:c r="A46" s="19" t="str">
        <x:v>2026-07-13|S01|鸡蛋</x:v>
      </x:c>
      <x:c r="B46" s="34" t="n">
        <x:v>46216.5</x:v>
      </x:c>
      <x:c r="C46" s="19" t="str">
        <x:v>S01</x:v>
      </x:c>
      <x:c r="D46" s="19" t="str">
        <x:v>近江天阳店</x:v>
      </x:c>
      <x:c r="E46" s="19" t="str">
        <x:v>鸡蛋</x:v>
      </x:c>
      <x:c r="F46" s="32" t="n">
        <x:v>41.325909527431875</x:v>
      </x:c>
      <x:c r="G46" s="32" t="n">
        <x:v>23.398341165901705</x:v>
      </x:c>
      <x:c r="H46" s="24" t="n">
        <x:f>'菜品日销量'!G127*300/1000+'菜品日销量'!G137*250/1000</x:f>
        <x:v>20</x:v>
      </x:c>
      <x:c r="I46" s="36" t="n">
        <x:v>0.017729087992973878</x:v>
      </x:c>
      <x:c r="J46" s="24" t="n">
        <x:f>H46*I46</x:f>
        <x:v>0.35458175985947754</x:v>
      </x:c>
      <x:c r="K46" s="32" t="n">
        <x:v>0</x:v>
      </x:c>
      <x:c r="L46" s="32" t="n">
        <x:v>0</x:v>
      </x:c>
      <x:c r="M46" s="32" t="n">
        <x:v>0</x:v>
      </x:c>
      <x:c r="N46" s="24" t="n">
        <x:f>F46+G46+K46-L46+M46-H46-J46</x:f>
        <x:v>44.369668933474095</x:v>
      </x:c>
      <x:c r="O46" s="24" t="n">
        <x:f>H46*'封面与口径'!$O$24</x:f>
        <x:v>24</x:v>
      </x:c>
      <x:c r="P46" s="19" t="str">
        <x:f>IF(N46&lt;0,"缺货",IF(N46&lt;O46,"预警","正常"))</x:f>
        <x:v>正常</x:v>
      </x:c>
      <x:c r="Q46" s="19" t="str">
        <x:v>鸡蛋0713-01</x:v>
      </x:c>
    </x:row>
    <x:row r="47">
      <x:c r="A47" s="19" t="str">
        <x:v>2026-07-07|S01|鸡肉</x:v>
      </x:c>
      <x:c r="B47" s="34" t="n">
        <x:v>46210.5</x:v>
      </x:c>
      <x:c r="C47" s="19" t="str">
        <x:v>S01</x:v>
      </x:c>
      <x:c r="D47" s="19" t="str">
        <x:v>近江天阳店</x:v>
      </x:c>
      <x:c r="E47" s="19" t="str">
        <x:v>鸡肉</x:v>
      </x:c>
      <x:c r="F47" s="32" t="n">
        <x:v>9.72</x:v>
      </x:c>
      <x:c r="G47" s="32" t="n">
        <x:v>6.244366292820398</x:v>
      </x:c>
      <x:c r="H47" s="24" t="n">
        <x:f>'菜品日销量'!G12*450/1000</x:f>
        <x:v>5.4</x:v>
      </x:c>
      <x:c r="I47" s="36" t="n">
        <x:v>0.02662771175420557</x:v>
      </x:c>
      <x:c r="J47" s="24" t="n">
        <x:f>H47*I47</x:f>
        <x:v>0.1437896434727101</x:v>
      </x:c>
      <x:c r="K47" s="32" t="n">
        <x:v>0</x:v>
      </x:c>
      <x:c r="L47" s="32" t="n">
        <x:v>0</x:v>
      </x:c>
      <x:c r="M47" s="32" t="n">
        <x:v>0</x:v>
      </x:c>
      <x:c r="N47" s="24" t="n">
        <x:f>F47+G47+K47-L47+M47-H47-J47</x:f>
        <x:v>10.420576649347687</x:v>
      </x:c>
      <x:c r="O47" s="24" t="n">
        <x:f>H47*'封面与口径'!$O$24</x:f>
        <x:v>6.48</x:v>
      </x:c>
      <x:c r="P47" s="19" t="str">
        <x:f>IF(N47&lt;0,"缺货",IF(N47&lt;O47,"预警","正常"))</x:f>
        <x:v>正常</x:v>
      </x:c>
      <x:c r="Q47" s="19" t="str">
        <x:v>鸡肉0707-01</x:v>
      </x:c>
    </x:row>
    <x:row r="48">
      <x:c r="A48" s="19" t="str">
        <x:v>2026-07-08|S01|鸡肉</x:v>
      </x:c>
      <x:c r="B48" s="34" t="n">
        <x:v>46211.5</x:v>
      </x:c>
      <x:c r="C48" s="19" t="str">
        <x:v>S01</x:v>
      </x:c>
      <x:c r="D48" s="19" t="str">
        <x:v>近江天阳店</x:v>
      </x:c>
      <x:c r="E48" s="19" t="str">
        <x:v>鸡肉</x:v>
      </x:c>
      <x:c r="F48" s="32" t="n">
        <x:v>10.420576649347687</x:v>
      </x:c>
      <x:c r="G48" s="32" t="n">
        <x:v>6.338249276034593</x:v>
      </x:c>
      <x:c r="H48" s="24" t="n">
        <x:f>'菜品日销量'!G32*450/1000</x:f>
        <x:v>5.85</x:v>
      </x:c>
      <x:c r="I48" s="36" t="n">
        <x:v>0.02627417053474909</x:v>
      </x:c>
      <x:c r="J48" s="24" t="n">
        <x:f>H48*I48</x:f>
        <x:v>0.15370389762828218</x:v>
      </x:c>
      <x:c r="K48" s="32" t="n">
        <x:v>0</x:v>
      </x:c>
      <x:c r="L48" s="32" t="n">
        <x:v>0</x:v>
      </x:c>
      <x:c r="M48" s="32" t="n">
        <x:v>0</x:v>
      </x:c>
      <x:c r="N48" s="24" t="n">
        <x:f>F48+G48+K48-L48+M48-H48-J48</x:f>
        <x:v>10.755122027753997</x:v>
      </x:c>
      <x:c r="O48" s="24" t="n">
        <x:f>H48*'封面与口径'!$O$24</x:f>
        <x:v>7.02</x:v>
      </x:c>
      <x:c r="P48" s="19" t="str">
        <x:f>IF(N48&lt;0,"缺货",IF(N48&lt;O48,"预警","正常"))</x:f>
        <x:v>正常</x:v>
      </x:c>
      <x:c r="Q48" s="19" t="str">
        <x:v>鸡肉0708-01</x:v>
      </x:c>
    </x:row>
    <x:row r="49">
      <x:c r="A49" s="19" t="str">
        <x:v>2026-07-09|S01|鸡肉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鸡肉</x:v>
      </x:c>
      <x:c r="F49" s="32" t="n">
        <x:v>10.755122027753998</x:v>
      </x:c>
      <x:c r="G49" s="32" t="n">
        <x:v>6.442420570224156</x:v>
      </x:c>
      <x:c r="H49" s="24" t="n">
        <x:f>'菜品日销量'!G52*450/1000</x:f>
        <x:v>5.85</x:v>
      </x:c>
      <x:c r="I49" s="36" t="n">
        <x:v>0.03697280008624606</x:v>
      </x:c>
      <x:c r="J49" s="24" t="n">
        <x:f>H49*I49</x:f>
        <x:v>0.21629088050453943</x:v>
      </x:c>
      <x:c r="K49" s="32" t="n">
        <x:v>0</x:v>
      </x:c>
      <x:c r="L49" s="32" t="n">
        <x:v>0</x:v>
      </x:c>
      <x:c r="M49" s="32" t="n">
        <x:v>0</x:v>
      </x:c>
      <x:c r="N49" s="24" t="n">
        <x:f>F49+G49+K49-L49+M49-H49-J49</x:f>
        <x:v>11.131251717473617</x:v>
      </x:c>
      <x:c r="O49" s="24" t="n">
        <x:f>H49*'封面与口径'!$O$24</x:f>
        <x:v>7.02</x:v>
      </x:c>
      <x:c r="P49" s="19" t="str">
        <x:f>IF(N49&lt;0,"缺货",IF(N49&lt;O49,"预警","正常"))</x:f>
        <x:v>正常</x:v>
      </x:c>
      <x:c r="Q49" s="19" t="str">
        <x:v>鸡肉0709-01</x:v>
      </x:c>
    </x:row>
    <x:row r="50">
      <x:c r="A50" s="19" t="str">
        <x:v>2026-07-10|S01|鸡肉</x:v>
      </x:c>
      <x:c r="B50" s="34" t="n">
        <x:v>46213.5</x:v>
      </x:c>
      <x:c r="C50" s="19" t="str">
        <x:v>S01</x:v>
      </x:c>
      <x:c r="D50" s="19" t="str">
        <x:v>近江天阳店</x:v>
      </x:c>
      <x:c r="E50" s="19" t="str">
        <x:v>鸡肉</x:v>
      </x:c>
      <x:c r="F50" s="32" t="n">
        <x:v>11.131251717473617</x:v>
      </x:c>
      <x:c r="G50" s="32" t="n">
        <x:v>5.975699821231817</x:v>
      </x:c>
      <x:c r="H50" s="24" t="n">
        <x:f>'菜品日销量'!G72*450/1000</x:f>
        <x:v>5.4</x:v>
      </x:c>
      <x:c r="I50" s="36" t="n">
        <x:v>0.037341546118804615</x:v>
      </x:c>
      <x:c r="J50" s="24" t="n">
        <x:f>H50*I50</x:f>
        <x:v>0.20164434904154493</x:v>
      </x:c>
      <x:c r="K50" s="32" t="n">
        <x:v>0</x:v>
      </x:c>
      <x:c r="L50" s="32" t="n">
        <x:v>0</x:v>
      </x:c>
      <x:c r="M50" s="32" t="n">
        <x:v>0</x:v>
      </x:c>
      <x:c r="N50" s="24" t="n">
        <x:f>F50+G50+K50-L50+M50-H50-J50</x:f>
        <x:v>11.505307189663888</x:v>
      </x:c>
      <x:c r="O50" s="24" t="n">
        <x:f>H50*'封面与口径'!$O$24</x:f>
        <x:v>6.48</x:v>
      </x:c>
      <x:c r="P50" s="19" t="str">
        <x:f>IF(N50&lt;0,"缺货",IF(N50&lt;O50,"预警","正常"))</x:f>
        <x:v>正常</x:v>
      </x:c>
      <x:c r="Q50" s="19" t="str">
        <x:v>鸡肉0710-01</x:v>
      </x:c>
    </x:row>
    <x:row r="51">
      <x:c r="A51" s="19" t="str">
        <x:v>2026-07-11|S01|鸡肉</x:v>
      </x:c>
      <x:c r="B51" s="34" t="n">
        <x:v>46214.5</x:v>
      </x:c>
      <x:c r="C51" s="19" t="str">
        <x:v>S01</x:v>
      </x:c>
      <x:c r="D51" s="19" t="str">
        <x:v>近江天阳店</x:v>
      </x:c>
      <x:c r="E51" s="19" t="str">
        <x:v>鸡肉</x:v>
      </x:c>
      <x:c r="F51" s="32" t="n">
        <x:v>11.505307189663888</x:v>
      </x:c>
      <x:c r="G51" s="32" t="n">
        <x:v>4.892398679636512</x:v>
      </x:c>
      <x:c r="H51" s="24" t="n">
        <x:f>'菜品日销量'!G92*450/1000</x:f>
        <x:v>4.5</x:v>
      </x:c>
      <x:c r="I51" s="36" t="n">
        <x:v>0.02829251320294396</x:v>
      </x:c>
      <x:c r="J51" s="24" t="n">
        <x:f>H51*I51</x:f>
        <x:v>0.1273163094132478</x:v>
      </x:c>
      <x:c r="K51" s="32" t="n">
        <x:v>0</x:v>
      </x:c>
      <x:c r="L51" s="32" t="n">
        <x:v>0</x:v>
      </x:c>
      <x:c r="M51" s="32" t="n">
        <x:v>0</x:v>
      </x:c>
      <x:c r="N51" s="24" t="n">
        <x:f>F51+G51+K51-L51+M51-H51-J51</x:f>
        <x:v>11.770389559887155</x:v>
      </x:c>
      <x:c r="O51" s="24" t="n">
        <x:f>H51*'封面与口径'!$O$24</x:f>
        <x:v>5.3999999999999995</x:v>
      </x:c>
      <x:c r="P51" s="19" t="str">
        <x:f>IF(N51&lt;0,"缺货",IF(N51&lt;O51,"预警","正常"))</x:f>
        <x:v>正常</x:v>
      </x:c>
      <x:c r="Q51" s="19" t="str">
        <x:v>鸡肉0711-01</x:v>
      </x:c>
    </x:row>
    <x:row r="52">
      <x:c r="A52" s="19" t="str">
        <x:v>2026-07-12|S01|鸡肉</x:v>
      </x:c>
      <x:c r="B52" s="34" t="n">
        <x:v>46215.5</x:v>
      </x:c>
      <x:c r="C52" s="19" t="str">
        <x:v>S01</x:v>
      </x:c>
      <x:c r="D52" s="19" t="str">
        <x:v>近江天阳店</x:v>
      </x:c>
      <x:c r="E52" s="19" t="str">
        <x:v>鸡肉</x:v>
      </x:c>
      <x:c r="F52" s="32" t="n">
        <x:v>11.770389559887155</x:v>
      </x:c>
      <x:c r="G52" s="32" t="n">
        <x:v>4.863900634018681</x:v>
      </x:c>
      <x:c r="H52" s="24" t="n">
        <x:f>'菜品日销量'!G112*450/1000</x:f>
        <x:v>4.5</x:v>
      </x:c>
      <x:c r="I52" s="36" t="n">
        <x:v>0.026675973716582167</x:v>
      </x:c>
      <x:c r="J52" s="24" t="n">
        <x:f>H52*I52</x:f>
        <x:v>0.12004188172461976</x:v>
      </x:c>
      <x:c r="K52" s="32" t="n">
        <x:v>0</x:v>
      </x:c>
      <x:c r="L52" s="32" t="n">
        <x:v>0</x:v>
      </x:c>
      <x:c r="M52" s="32" t="n">
        <x:v>0</x:v>
      </x:c>
      <x:c r="N52" s="24" t="n">
        <x:f>F52+G52+K52-L52+M52-H52-J52</x:f>
        <x:v>12.014248312181218</x:v>
      </x:c>
      <x:c r="O52" s="24" t="n">
        <x:f>H52*'封面与口径'!$O$24</x:f>
        <x:v>5.3999999999999995</x:v>
      </x:c>
      <x:c r="P52" s="19" t="str">
        <x:f>IF(N52&lt;0,"缺货",IF(N52&lt;O52,"预警","正常"))</x:f>
        <x:v>正常</x:v>
      </x:c>
      <x:c r="Q52" s="19" t="str">
        <x:v>鸡肉0712-01</x:v>
      </x:c>
    </x:row>
    <x:row r="53">
      <x:c r="A53" s="19" t="str">
        <x:v>2026-07-13|S01|鸡肉</x:v>
      </x:c>
      <x:c r="B53" s="34" t="n">
        <x:v>46216.5</x:v>
      </x:c>
      <x:c r="C53" s="19" t="str">
        <x:v>S01</x:v>
      </x:c>
      <x:c r="D53" s="19" t="str">
        <x:v>近江天阳店</x:v>
      </x:c>
      <x:c r="E53" s="19" t="str">
        <x:v>鸡肉</x:v>
      </x:c>
      <x:c r="F53" s="32" t="n">
        <x:v>12.014248312181216</x:v>
      </x:c>
      <x:c r="G53" s="32" t="n">
        <x:v>6.869403103573576</x:v>
      </x:c>
      <x:c r="H53" s="24" t="n">
        <x:f>'菜品日销量'!G132*450/1000</x:f>
        <x:v>6.3</x:v>
      </x:c>
      <x:c r="I53" s="36" t="n">
        <x:v>0.028365690139673112</x:v>
      </x:c>
      <x:c r="J53" s="24" t="n">
        <x:f>H53*I53</x:f>
        <x:v>0.1787038478799406</x:v>
      </x:c>
      <x:c r="K53" s="32" t="n">
        <x:v>0</x:v>
      </x:c>
      <x:c r="L53" s="32" t="n">
        <x:v>0</x:v>
      </x:c>
      <x:c r="M53" s="32" t="n">
        <x:v>0</x:v>
      </x:c>
      <x:c r="N53" s="24" t="n">
        <x:f>F53+G53+K53-L53+M53-H53-J53</x:f>
        <x:v>12.40494756787485</x:v>
      </x:c>
      <x:c r="O53" s="24" t="n">
        <x:f>H53*'封面与口径'!$O$24</x:f>
        <x:v>7.56</x:v>
      </x:c>
      <x:c r="P53" s="19" t="str">
        <x:f>IF(N53&lt;0,"缺货",IF(N53&lt;O53,"预警","正常"))</x:f>
        <x:v>正常</x:v>
      </x:c>
      <x:c r="Q53" s="19" t="str">
        <x:v>鸡肉0713-01</x:v>
      </x:c>
    </x:row>
    <x:row r="54">
      <x:c r="A54" s="19" t="str">
        <x:v>2026-07-07|S01|鲈鱼</x:v>
      </x:c>
      <x:c r="B54" s="34" t="n">
        <x:v>46210.5</x:v>
      </x:c>
      <x:c r="C54" s="19" t="str">
        <x:v>S01</x:v>
      </x:c>
      <x:c r="D54" s="19" t="str">
        <x:v>近江天阳店</x:v>
      </x:c>
      <x:c r="E54" s="19" t="str">
        <x:v>鲈鱼</x:v>
      </x:c>
      <x:c r="F54" s="32" t="n">
        <x:v>7.2</x:v>
      </x:c>
      <x:c r="G54" s="32" t="n">
        <x:v>4.623837334472649</x:v>
      </x:c>
      <x:c r="H54" s="24" t="n">
        <x:f>'菜品日销量'!G16*500/1000</x:f>
        <x:v>4</x:v>
      </x:c>
      <x:c r="I54" s="36" t="n">
        <x:v>0.026045757252966463</x:v>
      </x:c>
      <x:c r="J54" s="24" t="n">
        <x:f>H54*I54</x:f>
        <x:v>0.10418302901186585</x:v>
      </x:c>
      <x:c r="K54" s="32" t="n">
        <x:v>0</x:v>
      </x:c>
      <x:c r="L54" s="32" t="n">
        <x:v>0</x:v>
      </x:c>
      <x:c r="M54" s="32" t="n">
        <x:v>0</x:v>
      </x:c>
      <x:c r="N54" s="24" t="n">
        <x:f>F54+G54+K54-L54+M54-H54-J54</x:f>
        <x:v>7.719654305460784</x:v>
      </x:c>
      <x:c r="O54" s="24" t="n">
        <x:f>H54*'封面与口径'!$O$24</x:f>
        <x:v>4.8</x:v>
      </x:c>
      <x:c r="P54" s="19" t="str">
        <x:f>IF(N54&lt;0,"缺货",IF(N54&lt;O54,"预警","正常"))</x:f>
        <x:v>正常</x:v>
      </x:c>
      <x:c r="Q54" s="19" t="str">
        <x:v>鲈鱼0707-01</x:v>
      </x:c>
    </x:row>
    <x:row r="55">
      <x:c r="A55" s="19" t="str">
        <x:v>2026-07-08|S01|鲈鱼</x:v>
      </x:c>
      <x:c r="B55" s="34" t="n">
        <x:v>46211.5</x:v>
      </x:c>
      <x:c r="C55" s="19" t="str">
        <x:v>S01</x:v>
      </x:c>
      <x:c r="D55" s="19" t="str">
        <x:v>近江天阳店</x:v>
      </x:c>
      <x:c r="E55" s="19" t="str">
        <x:v>鲈鱼</x:v>
      </x:c>
      <x:c r="F55" s="32" t="n">
        <x:v>7.719654305460784</x:v>
      </x:c>
      <x:c r="G55" s="32" t="n">
        <x:v>3.8198355816769967</x:v>
      </x:c>
      <x:c r="H55" s="24" t="n">
        <x:f>'菜品日销量'!G36*500/1000</x:f>
        <x:v>3.5</x:v>
      </x:c>
      <x:c r="I55" s="36" t="n">
        <x:v>0.038129547875870376</x:v>
      </x:c>
      <x:c r="J55" s="24" t="n">
        <x:f>H55*I55</x:f>
        <x:v>0.13345341756554632</x:v>
      </x:c>
      <x:c r="K55" s="32" t="n">
        <x:v>0</x:v>
      </x:c>
      <x:c r="L55" s="32" t="n">
        <x:v>0</x:v>
      </x:c>
      <x:c r="M55" s="32" t="n">
        <x:v>0</x:v>
      </x:c>
      <x:c r="N55" s="24" t="n">
        <x:f>F55+G55+K55-L55+M55-H55-J55</x:f>
        <x:v>7.906036469572234</x:v>
      </x:c>
      <x:c r="O55" s="24" t="n">
        <x:f>H55*'封面与口径'!$O$24</x:f>
        <x:v>4.2</x:v>
      </x:c>
      <x:c r="P55" s="19" t="str">
        <x:f>IF(N55&lt;0,"缺货",IF(N55&lt;O55,"预警","正常"))</x:f>
        <x:v>正常</x:v>
      </x:c>
      <x:c r="Q55" s="19" t="str">
        <x:v>鲈鱼0708-01</x:v>
      </x:c>
    </x:row>
    <x:row r="56">
      <x:c r="A56" s="19" t="str">
        <x:v>2026-07-09|S01|鲈鱼</x:v>
      </x:c>
      <x:c r="B56" s="34" t="n">
        <x:v>46212.5</x:v>
      </x:c>
      <x:c r="C56" s="19" t="str">
        <x:v>S01</x:v>
      </x:c>
      <x:c r="D56" s="19" t="str">
        <x:v>近江天阳店</x:v>
      </x:c>
      <x:c r="E56" s="19" t="str">
        <x:v>鲈鱼</x:v>
      </x:c>
      <x:c r="F56" s="32" t="n">
        <x:v>7.906036469572234</x:v>
      </x:c>
      <x:c r="G56" s="32" t="n">
        <x:v>3.96063863522388</x:v>
      </x:c>
      <x:c r="H56" s="24" t="n">
        <x:f>'菜品日销量'!G56*500/1000</x:f>
        <x:v>3.5</x:v>
      </x:c>
      <x:c r="I56" s="36" t="n">
        <x:v>0.03464812744866315</x:v>
      </x:c>
      <x:c r="J56" s="24" t="n">
        <x:f>H56*I56</x:f>
        <x:v>0.12126844607032103</x:v>
      </x:c>
      <x:c r="K56" s="32" t="n">
        <x:v>0</x:v>
      </x:c>
      <x:c r="L56" s="32" t="n">
        <x:v>0</x:v>
      </x:c>
      <x:c r="M56" s="32" t="n">
        <x:v>0</x:v>
      </x:c>
      <x:c r="N56" s="24" t="n">
        <x:f>F56+G56+K56-L56+M56-H56-J56</x:f>
        <x:v>8.245406658725793</x:v>
      </x:c>
      <x:c r="O56" s="24" t="n">
        <x:f>H56*'封面与口径'!$O$24</x:f>
        <x:v>4.2</x:v>
      </x:c>
      <x:c r="P56" s="19" t="str">
        <x:f>IF(N56&lt;0,"缺货",IF(N56&lt;O56,"预警","正常"))</x:f>
        <x:v>正常</x:v>
      </x:c>
      <x:c r="Q56" s="19" t="str">
        <x:v>鲈鱼0709-01</x:v>
      </x:c>
    </x:row>
    <x:row r="57">
      <x:c r="A57" s="19" t="str">
        <x:v>2026-07-10|S01|鲈鱼</x:v>
      </x:c>
      <x:c r="B57" s="34" t="n">
        <x:v>46213.5</x:v>
      </x:c>
      <x:c r="C57" s="19" t="str">
        <x:v>S01</x:v>
      </x:c>
      <x:c r="D57" s="19" t="str">
        <x:v>近江天阳店</x:v>
      </x:c>
      <x:c r="E57" s="19" t="str">
        <x:v>鲈鱼</x:v>
      </x:c>
      <x:c r="F57" s="32" t="n">
        <x:v>8.245406658725793</x:v>
      </x:c>
      <x:c r="G57" s="32" t="n">
        <x:v>3.792492564858984</x:v>
      </x:c>
      <x:c r="H57" s="24" t="n">
        <x:f>'菜品日销量'!G76*500/1000</x:f>
        <x:v>3.5</x:v>
      </x:c>
      <x:c r="I57" s="36" t="n">
        <x:v>0.03802735251677859</x:v>
      </x:c>
      <x:c r="J57" s="24" t="n">
        <x:f>H57*I57</x:f>
        <x:v>0.13309573380872508</x:v>
      </x:c>
      <x:c r="K57" s="32" t="n">
        <x:v>0</x:v>
      </x:c>
      <x:c r="L57" s="32" t="n">
        <x:v>0</x:v>
      </x:c>
      <x:c r="M57" s="32" t="n">
        <x:v>0</x:v>
      </x:c>
      <x:c r="N57" s="24" t="n">
        <x:f>F57+G57+K57-L57+M57-H57-J57</x:f>
        <x:v>8.404803489776052</x:v>
      </x:c>
      <x:c r="O57" s="24" t="n">
        <x:f>H57*'封面与口径'!$O$24</x:f>
        <x:v>4.2</x:v>
      </x:c>
      <x:c r="P57" s="19" t="str">
        <x:f>IF(N57&lt;0,"缺货",IF(N57&lt;O57,"预警","正常"))</x:f>
        <x:v>正常</x:v>
      </x:c>
      <x:c r="Q57" s="19" t="str">
        <x:v>鲈鱼0710-01</x:v>
      </x:c>
    </x:row>
    <x:row r="58">
      <x:c r="A58" s="19" t="str">
        <x:v>2026-07-11|S01|鲈鱼</x:v>
      </x:c>
      <x:c r="B58" s="34" t="n">
        <x:v>46214.5</x:v>
      </x:c>
      <x:c r="C58" s="19" t="str">
        <x:v>S01</x:v>
      </x:c>
      <x:c r="D58" s="19" t="str">
        <x:v>近江天阳店</x:v>
      </x:c>
      <x:c r="E58" s="19" t="str">
        <x:v>鲈鱼</x:v>
      </x:c>
      <x:c r="F58" s="32" t="n">
        <x:v>8.404803489776052</x:v>
      </x:c>
      <x:c r="G58" s="32" t="n">
        <x:v>3.2742627443266716</x:v>
      </x:c>
      <x:c r="H58" s="24" t="n">
        <x:f>'菜品日销量'!G96*500/1000</x:f>
        <x:v>3</x:v>
      </x:c>
      <x:c r="I58" s="36" t="n">
        <x:v>0.035835451373326464</x:v>
      </x:c>
      <x:c r="J58" s="24" t="n">
        <x:f>H58*I58</x:f>
        <x:v>0.10750635411997939</x:v>
      </x:c>
      <x:c r="K58" s="32" t="n">
        <x:v>0</x:v>
      </x:c>
      <x:c r="L58" s="32" t="n">
        <x:v>0</x:v>
      </x:c>
      <x:c r="M58" s="32" t="n">
        <x:v>0</x:v>
      </x:c>
      <x:c r="N58" s="24" t="n">
        <x:f>F58+G58+K58-L58+M58-H58-J58</x:f>
        <x:v>8.571559879982745</x:v>
      </x:c>
      <x:c r="O58" s="24" t="n">
        <x:f>H58*'封面与口径'!$O$24</x:f>
        <x:v>3.5999999999999996</x:v>
      </x:c>
      <x:c r="P58" s="19" t="str">
        <x:f>IF(N58&lt;0,"缺货",IF(N58&lt;O58,"预警","正常"))</x:f>
        <x:v>正常</x:v>
      </x:c>
      <x:c r="Q58" s="19" t="str">
        <x:v>鲈鱼0711-01</x:v>
      </x:c>
    </x:row>
    <x:row r="59">
      <x:c r="A59" s="19" t="str">
        <x:v>2026-07-12|S01|鲈鱼</x:v>
      </x:c>
      <x:c r="B59" s="34" t="n">
        <x:v>46215.5</x:v>
      </x:c>
      <x:c r="C59" s="19" t="str">
        <x:v>S01</x:v>
      </x:c>
      <x:c r="D59" s="19" t="str">
        <x:v>近江天阳店</x:v>
      </x:c>
      <x:c r="E59" s="19" t="str">
        <x:v>鲈鱼</x:v>
      </x:c>
      <x:c r="F59" s="32" t="n">
        <x:v>8.571559879982743</x:v>
      </x:c>
      <x:c r="G59" s="32" t="n">
        <x:v>3.4296848818822028</x:v>
      </x:c>
      <x:c r="H59" s="24" t="n">
        <x:f>'菜品日销量'!G116*500/1000</x:f>
        <x:v>3</x:v>
      </x:c>
      <x:c r="I59" s="36" t="n">
        <x:v>0.034465626058975615</x:v>
      </x:c>
      <x:c r="J59" s="24" t="n">
        <x:f>H59*I59</x:f>
        <x:v>0.10339687817692685</x:v>
      </x:c>
      <x:c r="K59" s="32" t="n">
        <x:v>0</x:v>
      </x:c>
      <x:c r="L59" s="32" t="n">
        <x:v>0</x:v>
      </x:c>
      <x:c r="M59" s="32" t="n">
        <x:v>0</x:v>
      </x:c>
      <x:c r="N59" s="24" t="n">
        <x:f>F59+G59+K59-L59+M59-H59-J59</x:f>
        <x:v>8.89784788368802</x:v>
      </x:c>
      <x:c r="O59" s="24" t="n">
        <x:f>H59*'封面与口径'!$O$24</x:f>
        <x:v>3.5999999999999996</x:v>
      </x:c>
      <x:c r="P59" s="19" t="str">
        <x:f>IF(N59&lt;0,"缺货",IF(N59&lt;O59,"预警","正常"))</x:f>
        <x:v>正常</x:v>
      </x:c>
      <x:c r="Q59" s="19" t="str">
        <x:v>鲈鱼0712-01</x:v>
      </x:c>
    </x:row>
    <x:row r="60">
      <x:c r="A60" s="19" t="str">
        <x:v>2026-07-13|S01|鲈鱼</x:v>
      </x:c>
      <x:c r="B60" s="34" t="n">
        <x:v>46216.5</x:v>
      </x:c>
      <x:c r="C60" s="19" t="str">
        <x:v>S01</x:v>
      </x:c>
      <x:c r="D60" s="19" t="str">
        <x:v>近江天阳店</x:v>
      </x:c>
      <x:c r="E60" s="19" t="str">
        <x:v>鲈鱼</x:v>
      </x:c>
      <x:c r="F60" s="32" t="n">
        <x:v>8.89784788368802</x:v>
      </x:c>
      <x:c r="G60" s="32" t="n">
        <x:v>4.694053564307758</x:v>
      </x:c>
      <x:c r="H60" s="24" t="n">
        <x:f>'菜品日销量'!G136*500/1000</x:f>
        <x:v>4</x:v>
      </x:c>
      <x:c r="I60" s="36" t="n">
        <x:v>0.029368268984688507</x:v>
      </x:c>
      <x:c r="J60" s="24" t="n">
        <x:f>H60*I60</x:f>
        <x:v>0.11747307593875403</x:v>
      </x:c>
      <x:c r="K60" s="32" t="n">
        <x:v>0</x:v>
      </x:c>
      <x:c r="L60" s="32" t="n">
        <x:v>0</x:v>
      </x:c>
      <x:c r="M60" s="32" t="n">
        <x:v>0</x:v>
      </x:c>
      <x:c r="N60" s="24" t="n">
        <x:f>F60+G60+K60-L60+M60-H60-J60</x:f>
        <x:v>9.474428372057023</x:v>
      </x:c>
      <x:c r="O60" s="24" t="n">
        <x:f>H60*'封面与口径'!$O$24</x:f>
        <x:v>4.8</x:v>
      </x:c>
      <x:c r="P60" s="19" t="str">
        <x:f>IF(N60&lt;0,"缺货",IF(N60&lt;O60,"预警","正常"))</x:f>
        <x:v>正常</x:v>
      </x:c>
      <x:c r="Q60" s="19" t="str">
        <x:v>鲈鱼0713-01</x:v>
      </x:c>
    </x:row>
    <x:row r="61">
      <x:c r="A61" s="19" t="str">
        <x:v>2026-07-07|S01|酸包菜</x:v>
      </x:c>
      <x:c r="B61" s="34" t="n">
        <x:v>46210.5</x:v>
      </x:c>
      <x:c r="C61" s="19" t="str">
        <x:v>S01</x:v>
      </x:c>
      <x:c r="D61" s="19" t="str">
        <x:v>近江天阳店</x:v>
      </x:c>
      <x:c r="E61" s="19" t="str">
        <x:v>酸包菜</x:v>
      </x:c>
      <x:c r="F61" s="32" t="n">
        <x:v>16.2</x:v>
      </x:c>
      <x:c r="G61" s="32" t="n">
        <x:v>10.332124579765864</x:v>
      </x:c>
      <x:c r="H61" s="24" t="n">
        <x:f>'菜品日销量'!G8*200/1000</x:f>
        <x:v>9</x:v>
      </x:c>
      <x:c r="I61" s="36" t="n">
        <x:v>0.01758934965301057</x:v>
      </x:c>
      <x:c r="J61" s="24" t="n">
        <x:f>H61*I61</x:f>
        <x:v>0.15830414687709513</x:v>
      </x:c>
      <x:c r="K61" s="32" t="n">
        <x:v>0</x:v>
      </x:c>
      <x:c r="L61" s="32" t="n">
        <x:v>0</x:v>
      </x:c>
      <x:c r="M61" s="32" t="n">
        <x:v>0</x:v>
      </x:c>
      <x:c r="N61" s="24" t="n">
        <x:f>F61+G61+K61-L61+M61-H61-J61</x:f>
        <x:v>17.373820432888767</x:v>
      </x:c>
      <x:c r="O61" s="24" t="n">
        <x:f>H61*'封面与口径'!$O$24</x:f>
        <x:v>10.799999999999999</x:v>
      </x:c>
      <x:c r="P61" s="19" t="str">
        <x:f>IF(N61&lt;0,"缺货",IF(N61&lt;O61,"预警","正常"))</x:f>
        <x:v>正常</x:v>
      </x:c>
      <x:c r="Q61" s="19" t="str">
        <x:v>酸包0707-01</x:v>
      </x:c>
    </x:row>
    <x:row r="62">
      <x:c r="A62" s="19" t="str">
        <x:v>2026-07-08|S01|酸包菜</x:v>
      </x:c>
      <x:c r="B62" s="34" t="n">
        <x:v>46211.5</x:v>
      </x:c>
      <x:c r="C62" s="19" t="str">
        <x:v>S01</x:v>
      </x:c>
      <x:c r="D62" s="19" t="str">
        <x:v>近江天阳店</x:v>
      </x:c>
      <x:c r="E62" s="19" t="str">
        <x:v>酸包菜</x:v>
      </x:c>
      <x:c r="F62" s="32" t="n">
        <x:v>17.373820432888767</x:v>
      </x:c>
      <x:c r="G62" s="32" t="n">
        <x:v>9.657125033131132</x:v>
      </x:c>
      <x:c r="H62" s="24" t="n">
        <x:f>'菜品日销量'!G28*200/1000</x:f>
        <x:v>8.6</x:v>
      </x:c>
      <x:c r="I62" s="36" t="n">
        <x:v>0.036881926414063654</x:v>
      </x:c>
      <x:c r="J62" s="24" t="n">
        <x:f>H62*I62</x:f>
        <x:v>0.3171845671609474</x:v>
      </x:c>
      <x:c r="K62" s="32" t="n">
        <x:v>0</x:v>
      </x:c>
      <x:c r="L62" s="32" t="n">
        <x:v>0</x:v>
      </x:c>
      <x:c r="M62" s="32" t="n">
        <x:v>0</x:v>
      </x:c>
      <x:c r="N62" s="24" t="n">
        <x:f>F62+G62+K62-L62+M62-H62-J62</x:f>
        <x:v>18.113760898858953</x:v>
      </x:c>
      <x:c r="O62" s="24" t="n">
        <x:f>H62*'封面与口径'!$O$24</x:f>
        <x:v>10.319999999999999</x:v>
      </x:c>
      <x:c r="P62" s="19" t="str">
        <x:f>IF(N62&lt;0,"缺货",IF(N62&lt;O62,"预警","正常"))</x:f>
        <x:v>正常</x:v>
      </x:c>
      <x:c r="Q62" s="19" t="str">
        <x:v>酸包0708-01</x:v>
      </x:c>
    </x:row>
    <x:row r="63">
      <x:c r="A63" s="19" t="str">
        <x:v>2026-07-09|S01|酸包菜</x:v>
      </x:c>
      <x:c r="B63" s="34" t="n">
        <x:v>46212.5</x:v>
      </x:c>
      <x:c r="C63" s="19" t="str">
        <x:v>S01</x:v>
      </x:c>
      <x:c r="D63" s="19" t="str">
        <x:v>近江天阳店</x:v>
      </x:c>
      <x:c r="E63" s="19" t="str">
        <x:v>酸包菜</x:v>
      </x:c>
      <x:c r="F63" s="32" t="n">
        <x:v>18.113760898858956</x:v>
      </x:c>
      <x:c r="G63" s="32" t="n">
        <x:v>9.394646466171986</x:v>
      </x:c>
      <x:c r="H63" s="24" t="n">
        <x:f>'菜品日销量'!G48*200/1000</x:f>
        <x:v>8.6</x:v>
      </x:c>
      <x:c r="I63" s="36" t="n">
        <x:v>0.015143417535615948</x:v>
      </x:c>
      <x:c r="J63" s="24" t="n">
        <x:f>H63*I63</x:f>
        <x:v>0.13023339080629714</x:v>
      </x:c>
      <x:c r="K63" s="32" t="n">
        <x:v>0</x:v>
      </x:c>
      <x:c r="L63" s="32" t="n">
        <x:v>0</x:v>
      </x:c>
      <x:c r="M63" s="32" t="n">
        <x:v>0</x:v>
      </x:c>
      <x:c r="N63" s="24" t="n">
        <x:f>F63+G63+K63-L63+M63-H63-J63</x:f>
        <x:v>18.778173974224643</x:v>
      </x:c>
      <x:c r="O63" s="24" t="n">
        <x:f>H63*'封面与口径'!$O$24</x:f>
        <x:v>10.319999999999999</x:v>
      </x:c>
      <x:c r="P63" s="19" t="str">
        <x:f>IF(N63&lt;0,"缺货",IF(N63&lt;O63,"预警","正常"))</x:f>
        <x:v>正常</x:v>
      </x:c>
      <x:c r="Q63" s="19" t="str">
        <x:v>酸包0709-01</x:v>
      </x:c>
    </x:row>
    <x:row r="64">
      <x:c r="A64" s="19" t="str">
        <x:v>2026-07-10|S01|酸包菜</x:v>
      </x:c>
      <x:c r="B64" s="34" t="n">
        <x:v>46213.5</x:v>
      </x:c>
      <x:c r="C64" s="19" t="str">
        <x:v>S01</x:v>
      </x:c>
      <x:c r="D64" s="19" t="str">
        <x:v>近江天阳店</x:v>
      </x:c>
      <x:c r="E64" s="19" t="str">
        <x:v>酸包菜</x:v>
      </x:c>
      <x:c r="F64" s="32" t="n">
        <x:v>18.778173974224643</x:v>
      </x:c>
      <x:c r="G64" s="32" t="n">
        <x:v>10.635432797883505</x:v>
      </x:c>
      <x:c r="H64" s="24" t="n">
        <x:f>'菜品日销量'!G68*200/1000</x:f>
        <x:v>9</x:v>
      </x:c>
      <x:c r="I64" s="36" t="n">
        <x:v>0.015900008034869097</x:v>
      </x:c>
      <x:c r="J64" s="24" t="n">
        <x:f>H64*I64</x:f>
        <x:v>0.14310007231382188</x:v>
      </x:c>
      <x:c r="K64" s="32" t="n">
        <x:v>0</x:v>
      </x:c>
      <x:c r="L64" s="32" t="n">
        <x:v>0</x:v>
      </x:c>
      <x:c r="M64" s="32" t="n">
        <x:v>0</x:v>
      </x:c>
      <x:c r="N64" s="24" t="n">
        <x:f>F64+G64+K64-L64+M64-H64-J64</x:f>
        <x:v>20.270506699794325</x:v>
      </x:c>
      <x:c r="O64" s="24" t="n">
        <x:f>H64*'封面与口径'!$O$24</x:f>
        <x:v>10.799999999999999</x:v>
      </x:c>
      <x:c r="P64" s="19" t="str">
        <x:f>IF(N64&lt;0,"缺货",IF(N64&lt;O64,"预警","正常"))</x:f>
        <x:v>正常</x:v>
      </x:c>
      <x:c r="Q64" s="19" t="str">
        <x:v>酸包0710-01</x:v>
      </x:c>
    </x:row>
    <x:row r="65">
      <x:c r="A65" s="19" t="str">
        <x:v>2026-07-11|S01|酸包菜</x:v>
      </x:c>
      <x:c r="B65" s="34" t="n">
        <x:v>46214.5</x:v>
      </x:c>
      <x:c r="C65" s="19" t="str">
        <x:v>S01</x:v>
      </x:c>
      <x:c r="D65" s="19" t="str">
        <x:v>近江天阳店</x:v>
      </x:c>
      <x:c r="E65" s="19" t="str">
        <x:v>酸包菜</x:v>
      </x:c>
      <x:c r="F65" s="32" t="n">
        <x:v>20.270506699794325</x:v>
      </x:c>
      <x:c r="G65" s="32" t="n">
        <x:v>8.359463999146472</x:v>
      </x:c>
      <x:c r="H65" s="24" t="n">
        <x:f>'菜品日销量'!G88*200/1000</x:f>
        <x:v>7.2</x:v>
      </x:c>
      <x:c r="I65" s="36" t="n">
        <x:v>0.038939214547616244</x:v>
      </x:c>
      <x:c r="J65" s="24" t="n">
        <x:f>H65*I65</x:f>
        <x:v>0.28036234474283694</x:v>
      </x:c>
      <x:c r="K65" s="32" t="n">
        <x:v>0</x:v>
      </x:c>
      <x:c r="L65" s="32" t="n">
        <x:v>0</x:v>
      </x:c>
      <x:c r="M65" s="32" t="n">
        <x:v>0</x:v>
      </x:c>
      <x:c r="N65" s="24" t="n">
        <x:f>F65+G65+K65-L65+M65-H65-J65</x:f>
        <x:v>21.14960835419796</x:v>
      </x:c>
      <x:c r="O65" s="24" t="n">
        <x:f>H65*'封面与口径'!$O$24</x:f>
        <x:v>8.64</x:v>
      </x:c>
      <x:c r="P65" s="19" t="str">
        <x:f>IF(N65&lt;0,"缺货",IF(N65&lt;O65,"预警","正常"))</x:f>
        <x:v>正常</x:v>
      </x:c>
      <x:c r="Q65" s="19" t="str">
        <x:v>酸包0711-01</x:v>
      </x:c>
    </x:row>
    <x:row r="66">
      <x:c r="A66" s="19" t="str">
        <x:v>2026-07-12|S01|酸包菜</x:v>
      </x:c>
      <x:c r="B66" s="34" t="n">
        <x:v>46215.5</x:v>
      </x:c>
      <x:c r="C66" s="19" t="str">
        <x:v>S01</x:v>
      </x:c>
      <x:c r="D66" s="19" t="str">
        <x:v>近江天阳店</x:v>
      </x:c>
      <x:c r="E66" s="19" t="str">
        <x:v>酸包菜</x:v>
      </x:c>
      <x:c r="F66" s="32" t="n">
        <x:v>21.14960835419796</x:v>
      </x:c>
      <x:c r="G66" s="32" t="n">
        <x:v>7.337574819628516</x:v>
      </x:c>
      <x:c r="H66" s="24" t="n">
        <x:f>'菜品日销量'!G108*200/1000</x:f>
        <x:v>6.2</x:v>
      </x:c>
      <x:c r="I66" s="36" t="n">
        <x:v>0.03093939721140531</x:v>
      </x:c>
      <x:c r="J66" s="24" t="n">
        <x:f>H66*I66</x:f>
        <x:v>0.19182426271071293</x:v>
      </x:c>
      <x:c r="K66" s="32" t="n">
        <x:v>0</x:v>
      </x:c>
      <x:c r="L66" s="32" t="n">
        <x:v>0</x:v>
      </x:c>
      <x:c r="M66" s="32" t="n">
        <x:v>0</x:v>
      </x:c>
      <x:c r="N66" s="24" t="n">
        <x:f>F66+G66+K66-L66+M66-H66-J66</x:f>
        <x:v>22.09535891111576</x:v>
      </x:c>
      <x:c r="O66" s="24" t="n">
        <x:f>H66*'封面与口径'!$O$24</x:f>
        <x:v>7.4399999999999995</x:v>
      </x:c>
      <x:c r="P66" s="19" t="str">
        <x:f>IF(N66&lt;0,"缺货",IF(N66&lt;O66,"预警","正常"))</x:f>
        <x:v>正常</x:v>
      </x:c>
      <x:c r="Q66" s="19" t="str">
        <x:v>酸包0712-01</x:v>
      </x:c>
    </x:row>
    <x:row r="67">
      <x:c r="A67" s="19" t="str">
        <x:v>2026-07-13|S01|酸包菜</x:v>
      </x:c>
      <x:c r="B67" s="34" t="n">
        <x:v>46216.5</x:v>
      </x:c>
      <x:c r="C67" s="19" t="str">
        <x:v>S01</x:v>
      </x:c>
      <x:c r="D67" s="19" t="str">
        <x:v>近江天阳店</x:v>
      </x:c>
      <x:c r="E67" s="19" t="str">
        <x:v>酸包菜</x:v>
      </x:c>
      <x:c r="F67" s="32" t="n">
        <x:v>22.09535891111576</x:v>
      </x:c>
      <x:c r="G67" s="32" t="n">
        <x:v>11.301097262391146</x:v>
      </x:c>
      <x:c r="H67" s="24" t="n">
        <x:f>'菜品日销量'!G128*200/1000</x:f>
        <x:v>9.6</x:v>
      </x:c>
      <x:c r="I67" s="36" t="n">
        <x:v>0.025465017336063323</x:v>
      </x:c>
      <x:c r="J67" s="24" t="n">
        <x:f>H67*I67</x:f>
        <x:v>0.24446416642620789</x:v>
      </x:c>
      <x:c r="K67" s="32" t="n">
        <x:v>0</x:v>
      </x:c>
      <x:c r="L67" s="32" t="n">
        <x:v>0</x:v>
      </x:c>
      <x:c r="M67" s="32" t="n">
        <x:v>0</x:v>
      </x:c>
      <x:c r="N67" s="24" t="n">
        <x:f>F67+G67+K67-L67+M67-H67-J67</x:f>
        <x:v>23.551992007080695</x:v>
      </x:c>
      <x:c r="O67" s="24" t="n">
        <x:f>H67*'封面与口径'!$O$24</x:f>
        <x:v>11.52</x:v>
      </x:c>
      <x:c r="P67" s="19" t="str">
        <x:f>IF(N67&lt;0,"缺货",IF(N67&lt;O67,"预警","正常"))</x:f>
        <x:v>正常</x:v>
      </x:c>
      <x:c r="Q67" s="19" t="str">
        <x:v>酸包0713-01</x:v>
      </x:c>
    </x:row>
    <x:row r="68">
      <x:c r="A68" s="19" t="str">
        <x:v>2026-07-07|S01|粉皮</x:v>
      </x:c>
      <x:c r="B68" s="34" t="n">
        <x:v>46210.5</x:v>
      </x:c>
      <x:c r="C68" s="19" t="str">
        <x:v>S01</x:v>
      </x:c>
      <x:c r="D68" s="19" t="str">
        <x:v>近江天阳店</x:v>
      </x:c>
      <x:c r="E68" s="19" t="str">
        <x:v>粉皮</x:v>
      </x:c>
      <x:c r="F68" s="32" t="n">
        <x:v>12.15</x:v>
      </x:c>
      <x:c r="G68" s="32" t="n">
        <x:v>7.375352903084214</x:v>
      </x:c>
      <x:c r="H68" s="24" t="n">
        <x:f>'菜品日销量'!G8*150/1000</x:f>
        <x:v>6.75</x:v>
      </x:c>
      <x:c r="I68" s="36" t="n">
        <x:v>0.03679411409813774</x:v>
      </x:c>
      <x:c r="J68" s="24" t="n">
        <x:f>H68*I68</x:f>
        <x:v>0.24836027016242973</x:v>
      </x:c>
      <x:c r="K68" s="32" t="n">
        <x:v>0</x:v>
      </x:c>
      <x:c r="L68" s="32" t="n">
        <x:v>0</x:v>
      </x:c>
      <x:c r="M68" s="32" t="n">
        <x:v>0</x:v>
      </x:c>
      <x:c r="N68" s="24" t="n">
        <x:f>F68+G68+K68-L68+M68-H68-J68</x:f>
        <x:v>12.526992632921786</x:v>
      </x:c>
      <x:c r="O68" s="24" t="n">
        <x:f>H68*'封面与口径'!$O$24</x:f>
        <x:v>8.1</x:v>
      </x:c>
      <x:c r="P68" s="19" t="str">
        <x:f>IF(N68&lt;0,"缺货",IF(N68&lt;O68,"预警","正常"))</x:f>
        <x:v>正常</x:v>
      </x:c>
      <x:c r="Q68" s="19" t="str">
        <x:v>粉皮0707-01</x:v>
      </x:c>
    </x:row>
    <x:row r="69">
      <x:c r="A69" s="19" t="str">
        <x:v>2026-07-08|S01|粉皮</x:v>
      </x:c>
      <x:c r="B69" s="34" t="n">
        <x:v>46211.5</x:v>
      </x:c>
      <x:c r="C69" s="19" t="str">
        <x:v>S01</x:v>
      </x:c>
      <x:c r="D69" s="19" t="str">
        <x:v>近江天阳店</x:v>
      </x:c>
      <x:c r="E69" s="19" t="str">
        <x:v>粉皮</x:v>
      </x:c>
      <x:c r="F69" s="32" t="n">
        <x:v>12.526992632921786</x:v>
      </x:c>
      <x:c r="G69" s="32" t="n">
        <x:v>7.688337874268261</x:v>
      </x:c>
      <x:c r="H69" s="24" t="n">
        <x:f>'菜品日销量'!G28*150/1000</x:f>
        <x:v>6.45</x:v>
      </x:c>
      <x:c r="I69" s="36" t="n">
        <x:v>0.022863931557597576</x:v>
      </x:c>
      <x:c r="J69" s="24" t="n">
        <x:f>H69*I69</x:f>
        <x:v>0.14747235854650437</x:v>
      </x:c>
      <x:c r="K69" s="32" t="n">
        <x:v>0</x:v>
      </x:c>
      <x:c r="L69" s="32" t="n">
        <x:v>0</x:v>
      </x:c>
      <x:c r="M69" s="32" t="n">
        <x:v>0</x:v>
      </x:c>
      <x:c r="N69" s="24" t="n">
        <x:f>F69+G69+K69-L69+M69-H69-J69</x:f>
        <x:v>13.617858148643542</x:v>
      </x:c>
      <x:c r="O69" s="24" t="n">
        <x:f>H69*'封面与口径'!$O$24</x:f>
        <x:v>7.74</x:v>
      </x:c>
      <x:c r="P69" s="19" t="str">
        <x:f>IF(N69&lt;0,"缺货",IF(N69&lt;O69,"预警","正常"))</x:f>
        <x:v>正常</x:v>
      </x:c>
      <x:c r="Q69" s="19" t="str">
        <x:v>粉皮0708-01</x:v>
      </x:c>
    </x:row>
    <x:row r="70">
      <x:c r="A70" s="19" t="str">
        <x:v>2026-07-09|S01|粉皮</x:v>
      </x:c>
      <x:c r="B70" s="34" t="n">
        <x:v>46212.5</x:v>
      </x:c>
      <x:c r="C70" s="19" t="str">
        <x:v>S01</x:v>
      </x:c>
      <x:c r="D70" s="19" t="str">
        <x:v>近江天阳店</x:v>
      </x:c>
      <x:c r="E70" s="19" t="str">
        <x:v>粉皮</x:v>
      </x:c>
      <x:c r="F70" s="32" t="n">
        <x:v>13.617858148643542</x:v>
      </x:c>
      <x:c r="G70" s="32" t="n">
        <x:v>7.671388445415858</x:v>
      </x:c>
      <x:c r="H70" s="24" t="n">
        <x:f>'菜品日销量'!G48*150/1000</x:f>
        <x:v>6.45</x:v>
      </x:c>
      <x:c r="I70" s="36" t="n">
        <x:v>0.03864396044254395</x:v>
      </x:c>
      <x:c r="J70" s="24" t="n">
        <x:f>H70*I70</x:f>
        <x:v>0.24925354485440848</x:v>
      </x:c>
      <x:c r="K70" s="32" t="n">
        <x:v>0</x:v>
      </x:c>
      <x:c r="L70" s="32" t="n">
        <x:v>0</x:v>
      </x:c>
      <x:c r="M70" s="32" t="n">
        <x:v>0</x:v>
      </x:c>
      <x:c r="N70" s="24" t="n">
        <x:f>F70+G70+K70-L70+M70-H70-J70</x:f>
        <x:v>14.589993049204992</x:v>
      </x:c>
      <x:c r="O70" s="24" t="n">
        <x:f>H70*'封面与口径'!$O$24</x:f>
        <x:v>7.74</x:v>
      </x:c>
      <x:c r="P70" s="19" t="str">
        <x:f>IF(N70&lt;0,"缺货",IF(N70&lt;O70,"预警","正常"))</x:f>
        <x:v>正常</x:v>
      </x:c>
      <x:c r="Q70" s="19" t="str">
        <x:v>粉皮0709-01</x:v>
      </x:c>
    </x:row>
    <x:row r="71">
      <x:c r="A71" s="19" t="str">
        <x:v>2026-07-10|S01|粉皮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粉皮</x:v>
      </x:c>
      <x:c r="F71" s="32" t="n">
        <x:v>14.589993049204992</x:v>
      </x:c>
      <x:c r="G71" s="32" t="n">
        <x:v>7.744271558442683</x:v>
      </x:c>
      <x:c r="H71" s="24" t="n">
        <x:f>'菜品日销量'!G68*150/1000</x:f>
        <x:v>6.75</x:v>
      </x:c>
      <x:c r="I71" s="36" t="n">
        <x:v>0.019758130544740272</x:v>
      </x:c>
      <x:c r="J71" s="24" t="n">
        <x:f>H71*I71</x:f>
        <x:v>0.13336738117699684</x:v>
      </x:c>
      <x:c r="K71" s="32" t="n">
        <x:v>0</x:v>
      </x:c>
      <x:c r="L71" s="32" t="n">
        <x:v>0</x:v>
      </x:c>
      <x:c r="M71" s="32" t="n">
        <x:v>0</x:v>
      </x:c>
      <x:c r="N71" s="24" t="n">
        <x:f>F71+G71+K71-L71+M71-H71-J71</x:f>
        <x:v>15.450897226470678</x:v>
      </x:c>
      <x:c r="O71" s="24" t="n">
        <x:f>H71*'封面与口径'!$O$24</x:f>
        <x:v>8.1</x:v>
      </x:c>
      <x:c r="P71" s="19" t="str">
        <x:f>IF(N71&lt;0,"缺货",IF(N71&lt;O71,"预警","正常"))</x:f>
        <x:v>正常</x:v>
      </x:c>
      <x:c r="Q71" s="19" t="str">
        <x:v>粉皮0710-01</x:v>
      </x:c>
    </x:row>
    <x:row r="72">
      <x:c r="A72" s="19" t="str">
        <x:v>2026-07-11|S01|粉皮</x:v>
      </x:c>
      <x:c r="B72" s="34" t="n">
        <x:v>46214.5</x:v>
      </x:c>
      <x:c r="C72" s="19" t="str">
        <x:v>S01</x:v>
      </x:c>
      <x:c r="D72" s="19" t="str">
        <x:v>近江天阳店</x:v>
      </x:c>
      <x:c r="E72" s="19" t="str">
        <x:v>粉皮</x:v>
      </x:c>
      <x:c r="F72" s="32" t="n">
        <x:v>15.450897226470678</x:v>
      </x:c>
      <x:c r="G72" s="32" t="n">
        <x:v>6.205749149225129</x:v>
      </x:c>
      <x:c r="H72" s="24" t="n">
        <x:f>'菜品日销量'!G88*150/1000</x:f>
        <x:v>5.4</x:v>
      </x:c>
      <x:c r="I72" s="36" t="n">
        <x:v>0.028306160250982773</x:v>
      </x:c>
      <x:c r="J72" s="24" t="n">
        <x:f>H72*I72</x:f>
        <x:v>0.152853265355307</x:v>
      </x:c>
      <x:c r="K72" s="32" t="n">
        <x:v>0</x:v>
      </x:c>
      <x:c r="L72" s="32" t="n">
        <x:v>0</x:v>
      </x:c>
      <x:c r="M72" s="32" t="n">
        <x:v>0</x:v>
      </x:c>
      <x:c r="N72" s="24" t="n">
        <x:f>F72+G72+K72-L72+M72-H72-J72</x:f>
        <x:v>16.1037931103405</x:v>
      </x:c>
      <x:c r="O72" s="24" t="n">
        <x:f>H72*'封面与口径'!$O$24</x:f>
        <x:v>6.48</x:v>
      </x:c>
      <x:c r="P72" s="19" t="str">
        <x:f>IF(N72&lt;0,"缺货",IF(N72&lt;O72,"预警","正常"))</x:f>
        <x:v>正常</x:v>
      </x:c>
      <x:c r="Q72" s="19" t="str">
        <x:v>粉皮0711-01</x:v>
      </x:c>
    </x:row>
    <x:row r="73">
      <x:c r="A73" s="19" t="str">
        <x:v>2026-07-12|S01|粉皮</x:v>
      </x:c>
      <x:c r="B73" s="34" t="n">
        <x:v>46215.5</x:v>
      </x:c>
      <x:c r="C73" s="19" t="str">
        <x:v>S01</x:v>
      </x:c>
      <x:c r="D73" s="19" t="str">
        <x:v>近江天阳店</x:v>
      </x:c>
      <x:c r="E73" s="19" t="str">
        <x:v>粉皮</x:v>
      </x:c>
      <x:c r="F73" s="32" t="n">
        <x:v>16.103793110340497</x:v>
      </x:c>
      <x:c r="G73" s="32" t="n">
        <x:v>5.493887293205571</x:v>
      </x:c>
      <x:c r="H73" s="24" t="n">
        <x:f>'菜品日销量'!G108*150/1000</x:f>
        <x:v>4.65</x:v>
      </x:c>
      <x:c r="I73" s="36" t="n">
        <x:v>0.03451241030928502</x:v>
      </x:c>
      <x:c r="J73" s="24" t="n">
        <x:f>H73*I73</x:f>
        <x:v>0.16048270793817537</x:v>
      </x:c>
      <x:c r="K73" s="32" t="n">
        <x:v>0</x:v>
      </x:c>
      <x:c r="L73" s="32" t="n">
        <x:v>0</x:v>
      </x:c>
      <x:c r="M73" s="32" t="n">
        <x:v>0</x:v>
      </x:c>
      <x:c r="N73" s="24" t="n">
        <x:f>F73+G73+K73-L73+M73-H73-J73</x:f>
        <x:v>16.78719769560789</x:v>
      </x:c>
      <x:c r="O73" s="24" t="n">
        <x:f>H73*'封面与口径'!$O$24</x:f>
        <x:v>5.58</x:v>
      </x:c>
      <x:c r="P73" s="19" t="str">
        <x:f>IF(N73&lt;0,"缺货",IF(N73&lt;O73,"预警","正常"))</x:f>
        <x:v>正常</x:v>
      </x:c>
      <x:c r="Q73" s="19" t="str">
        <x:v>粉皮0712-01</x:v>
      </x:c>
    </x:row>
    <x:row r="74">
      <x:c r="A74" s="19" t="str">
        <x:v>2026-07-13|S01|粉皮</x:v>
      </x:c>
      <x:c r="B74" s="34" t="n">
        <x:v>46216.5</x:v>
      </x:c>
      <x:c r="C74" s="19" t="str">
        <x:v>S01</x:v>
      </x:c>
      <x:c r="D74" s="19" t="str">
        <x:v>近江天阳店</x:v>
      </x:c>
      <x:c r="E74" s="19" t="str">
        <x:v>粉皮</x:v>
      </x:c>
      <x:c r="F74" s="32" t="n">
        <x:v>16.787197695607894</x:v>
      </x:c>
      <x:c r="G74" s="32" t="n">
        <x:v>8.158462189323844</x:v>
      </x:c>
      <x:c r="H74" s="24" t="n">
        <x:f>'菜品日销量'!G128*150/1000</x:f>
        <x:v>7.2</x:v>
      </x:c>
      <x:c r="I74" s="36" t="n">
        <x:v>0.015112774258040071</x:v>
      </x:c>
      <x:c r="J74" s="24" t="n">
        <x:f>H74*I74</x:f>
        <x:v>0.10881197465788851</x:v>
      </x:c>
      <x:c r="K74" s="32" t="n">
        <x:v>0</x:v>
      </x:c>
      <x:c r="L74" s="32" t="n">
        <x:v>0</x:v>
      </x:c>
      <x:c r="M74" s="32" t="n">
        <x:v>0</x:v>
      </x:c>
      <x:c r="N74" s="24" t="n">
        <x:f>F74+G74+K74-L74+M74-H74-J74</x:f>
        <x:v>17.636847910273847</x:v>
      </x:c>
      <x:c r="O74" s="24" t="n">
        <x:f>H74*'封面与口径'!$O$24</x:f>
        <x:v>8.64</x:v>
      </x:c>
      <x:c r="P74" s="19" t="str">
        <x:f>IF(N74&lt;0,"缺货",IF(N74&lt;O74,"预警","正常"))</x:f>
        <x:v>正常</x:v>
      </x:c>
      <x:c r="Q74" s="19" t="str">
        <x:v>粉皮0713-01</x:v>
      </x:c>
    </x:row>
    <x:row r="75">
      <x:c r="A75" s="19" t="str">
        <x:v>2026-07-07|S01|鸡杂</x:v>
      </x:c>
      <x:c r="B75" s="34" t="n">
        <x:v>46210.5</x:v>
      </x:c>
      <x:c r="C75" s="19" t="str">
        <x:v>S01</x:v>
      </x:c>
      <x:c r="D75" s="19" t="str">
        <x:v>近江天阳店</x:v>
      </x:c>
      <x:c r="E75" s="19" t="str">
        <x:v>鸡杂</x:v>
      </x:c>
      <x:c r="F75" s="32" t="n">
        <x:v>7.65</x:v>
      </x:c>
      <x:c r="G75" s="32" t="n">
        <x:v>5.023381930271486</x:v>
      </x:c>
      <x:c r="H75" s="24" t="n">
        <x:f>'菜品日销量'!G18*250/1000+'菜品日销量'!G23*250/1000</x:f>
        <x:v>4.25</x:v>
      </x:c>
      <x:c r="I75" s="36" t="n">
        <x:v>0.01998928920831282</x:v>
      </x:c>
      <x:c r="J75" s="24" t="n">
        <x:f>H75*I75</x:f>
        <x:v>0.08495447913532948</x:v>
      </x:c>
      <x:c r="K75" s="32" t="n">
        <x:v>0</x:v>
      </x:c>
      <x:c r="L75" s="32" t="n">
        <x:v>0</x:v>
      </x:c>
      <x:c r="M75" s="32" t="n">
        <x:v>0</x:v>
      </x:c>
      <x:c r="N75" s="24" t="n">
        <x:f>F75+G75+K75-L75+M75-H75-J75</x:f>
        <x:v>8.338427451136155</x:v>
      </x:c>
      <x:c r="O75" s="24" t="n">
        <x:f>H75*'封面与口径'!$O$24</x:f>
        <x:v>5.1</x:v>
      </x:c>
      <x:c r="P75" s="19" t="str">
        <x:f>IF(N75&lt;0,"缺货",IF(N75&lt;O75,"预警","正常"))</x:f>
        <x:v>正常</x:v>
      </x:c>
      <x:c r="Q75" s="19" t="str">
        <x:v>鸡杂0707-01</x:v>
      </x:c>
    </x:row>
    <x:row r="76">
      <x:c r="A76" s="19" t="str">
        <x:v>2026-07-08|S01|鸡杂</x:v>
      </x:c>
      <x:c r="B76" s="34" t="n">
        <x:v>46211.5</x:v>
      </x:c>
      <x:c r="C76" s="19" t="str">
        <x:v>S01</x:v>
      </x:c>
      <x:c r="D76" s="19" t="str">
        <x:v>近江天阳店</x:v>
      </x:c>
      <x:c r="E76" s="19" t="str">
        <x:v>鸡杂</x:v>
      </x:c>
      <x:c r="F76" s="32" t="n">
        <x:v>8.338427451136155</x:v>
      </x:c>
      <x:c r="G76" s="32" t="n">
        <x:v>4.980139142065342</x:v>
      </x:c>
      <x:c r="H76" s="24" t="n">
        <x:f>'菜品日销量'!G38*250/1000+'菜品日销量'!G43*250/1000</x:f>
        <x:v>4.5</x:v>
      </x:c>
      <x:c r="I76" s="36" t="n">
        <x:v>0.03023113398934508</x:v>
      </x:c>
      <x:c r="J76" s="24" t="n">
        <x:f>H76*I76</x:f>
        <x:v>0.13604010295205285</x:v>
      </x:c>
      <x:c r="K76" s="32" t="n">
        <x:v>0</x:v>
      </x:c>
      <x:c r="L76" s="32" t="n">
        <x:v>0</x:v>
      </x:c>
      <x:c r="M76" s="32" t="n">
        <x:v>0</x:v>
      </x:c>
      <x:c r="N76" s="24" t="n">
        <x:f>F76+G76+K76-L76+M76-H76-J76</x:f>
        <x:v>8.682526490249444</x:v>
      </x:c>
      <x:c r="O76" s="24" t="n">
        <x:f>H76*'封面与口径'!$O$24</x:f>
        <x:v>5.3999999999999995</x:v>
      </x:c>
      <x:c r="P76" s="19" t="str">
        <x:f>IF(N76&lt;0,"缺货",IF(N76&lt;O76,"预警","正常"))</x:f>
        <x:v>正常</x:v>
      </x:c>
      <x:c r="Q76" s="19" t="str">
        <x:v>鸡杂0708-01</x:v>
      </x:c>
    </x:row>
    <x:row r="77">
      <x:c r="A77" s="19" t="str">
        <x:v>2026-07-09|S01|鸡杂</x:v>
      </x:c>
      <x:c r="B77" s="34" t="n">
        <x:v>46212.5</x:v>
      </x:c>
      <x:c r="C77" s="19" t="str">
        <x:v>S01</x:v>
      </x:c>
      <x:c r="D77" s="19" t="str">
        <x:v>近江天阳店</x:v>
      </x:c>
      <x:c r="E77" s="19" t="str">
        <x:v>鸡杂</x:v>
      </x:c>
      <x:c r="F77" s="32" t="n">
        <x:v>8.682526490249444</x:v>
      </x:c>
      <x:c r="G77" s="32" t="n">
        <x:v>4.348883620134761</x:v>
      </x:c>
      <x:c r="H77" s="24" t="n">
        <x:f>'菜品日销量'!G58*250/1000+'菜品日销量'!G63*250/1000</x:f>
        <x:v>4</x:v>
      </x:c>
      <x:c r="I77" s="36" t="n">
        <x:v>0.03425222574366542</x:v>
      </x:c>
      <x:c r="J77" s="24" t="n">
        <x:f>H77*I77</x:f>
        <x:v>0.13700890297466167</x:v>
      </x:c>
      <x:c r="K77" s="32" t="n">
        <x:v>0</x:v>
      </x:c>
      <x:c r="L77" s="32" t="n">
        <x:v>0</x:v>
      </x:c>
      <x:c r="M77" s="32" t="n">
        <x:v>0</x:v>
      </x:c>
      <x:c r="N77" s="24" t="n">
        <x:f>F77+G77+K77-L77+M77-H77-J77</x:f>
        <x:v>8.894401207409542</x:v>
      </x:c>
      <x:c r="O77" s="24" t="n">
        <x:f>H77*'封面与口径'!$O$24</x:f>
        <x:v>4.8</x:v>
      </x:c>
      <x:c r="P77" s="19" t="str">
        <x:f>IF(N77&lt;0,"缺货",IF(N77&lt;O77,"预警","正常"))</x:f>
        <x:v>正常</x:v>
      </x:c>
      <x:c r="Q77" s="19" t="str">
        <x:v>鸡杂0709-01</x:v>
      </x:c>
    </x:row>
    <x:row r="78">
      <x:c r="A78" s="19" t="str">
        <x:v>2026-07-10|S01|鸡杂</x:v>
      </x:c>
      <x:c r="B78" s="34" t="n">
        <x:v>46213.5</x:v>
      </x:c>
      <x:c r="C78" s="19" t="str">
        <x:v>S01</x:v>
      </x:c>
      <x:c r="D78" s="19" t="str">
        <x:v>近江天阳店</x:v>
      </x:c>
      <x:c r="E78" s="19" t="str">
        <x:v>鸡杂</x:v>
      </x:c>
      <x:c r="F78" s="32" t="n">
        <x:v>8.894401207409542</x:v>
      </x:c>
      <x:c r="G78" s="32" t="n">
        <x:v>4.7318617811104895</x:v>
      </x:c>
      <x:c r="H78" s="24" t="n">
        <x:f>'菜品日销量'!G78*250/1000+'菜品日销量'!G83*250/1000</x:f>
        <x:v>4.25</x:v>
      </x:c>
      <x:c r="I78" s="36" t="n">
        <x:v>0.02888190281318545</x:v>
      </x:c>
      <x:c r="J78" s="24" t="n">
        <x:f>H78*I78</x:f>
        <x:v>0.12274808695603817</x:v>
      </x:c>
      <x:c r="K78" s="32" t="n">
        <x:v>0</x:v>
      </x:c>
      <x:c r="L78" s="32" t="n">
        <x:v>0</x:v>
      </x:c>
      <x:c r="M78" s="32" t="n">
        <x:v>0</x:v>
      </x:c>
      <x:c r="N78" s="24" t="n">
        <x:f>F78+G78+K78-L78+M78-H78-J78</x:f>
        <x:v>9.253514901563994</x:v>
      </x:c>
      <x:c r="O78" s="24" t="n">
        <x:f>H78*'封面与口径'!$O$24</x:f>
        <x:v>5.1</x:v>
      </x:c>
      <x:c r="P78" s="19" t="str">
        <x:f>IF(N78&lt;0,"缺货",IF(N78&lt;O78,"预警","正常"))</x:f>
        <x:v>正常</x:v>
      </x:c>
      <x:c r="Q78" s="19" t="str">
        <x:v>鸡杂0710-01</x:v>
      </x:c>
    </x:row>
    <x:row r="79">
      <x:c r="A79" s="19" t="str">
        <x:v>2026-07-11|S01|鸡杂</x:v>
      </x:c>
      <x:c r="B79" s="34" t="n">
        <x:v>46214.5</x:v>
      </x:c>
      <x:c r="C79" s="19" t="str">
        <x:v>S01</x:v>
      </x:c>
      <x:c r="D79" s="19" t="str">
        <x:v>近江天阳店</x:v>
      </x:c>
      <x:c r="E79" s="19" t="str">
        <x:v>鸡杂</x:v>
      </x:c>
      <x:c r="F79" s="32" t="n">
        <x:v>9.253514901563994</x:v>
      </x:c>
      <x:c r="G79" s="32" t="n">
        <x:v>3.2685269545923283</x:v>
      </x:c>
      <x:c r="H79" s="24" t="n">
        <x:f>'菜品日销量'!G98*250/1000+'菜品日销量'!G103*250/1000</x:f>
        <x:v>3</x:v>
      </x:c>
      <x:c r="I79" s="36" t="n">
        <x:v>0.027437029744600185</x:v>
      </x:c>
      <x:c r="J79" s="24" t="n">
        <x:f>H79*I79</x:f>
        <x:v>0.08231108923380055</x:v>
      </x:c>
      <x:c r="K79" s="32" t="n">
        <x:v>0</x:v>
      </x:c>
      <x:c r="L79" s="32" t="n">
        <x:v>0</x:v>
      </x:c>
      <x:c r="M79" s="32" t="n">
        <x:v>0</x:v>
      </x:c>
      <x:c r="N79" s="24" t="n">
        <x:f>F79+G79+K79-L79+M79-H79-J79</x:f>
        <x:v>9.439730766922523</x:v>
      </x:c>
      <x:c r="O79" s="24" t="n">
        <x:f>H79*'封面与口径'!$O$24</x:f>
        <x:v>3.5999999999999996</x:v>
      </x:c>
      <x:c r="P79" s="19" t="str">
        <x:f>IF(N79&lt;0,"缺货",IF(N79&lt;O79,"预警","正常"))</x:f>
        <x:v>正常</x:v>
      </x:c>
      <x:c r="Q79" s="19" t="str">
        <x:v>鸡杂0711-01</x:v>
      </x:c>
    </x:row>
    <x:row r="80">
      <x:c r="A80" s="19" t="str">
        <x:v>2026-07-12|S01|鸡杂</x:v>
      </x:c>
      <x:c r="B80" s="34" t="n">
        <x:v>46215.5</x:v>
      </x:c>
      <x:c r="C80" s="19" t="str">
        <x:v>S01</x:v>
      </x:c>
      <x:c r="D80" s="19" t="str">
        <x:v>近江天阳店</x:v>
      </x:c>
      <x:c r="E80" s="19" t="str">
        <x:v>鸡杂</x:v>
      </x:c>
      <x:c r="F80" s="32" t="n">
        <x:v>9.439730766922523</x:v>
      </x:c>
      <x:c r="G80" s="32" t="n">
        <x:v>3.38774662421731</x:v>
      </x:c>
      <x:c r="H80" s="24" t="n">
        <x:f>'菜品日销量'!G118*250/1000+'菜品日销量'!G123*250/1000</x:f>
        <x:v>3</x:v>
      </x:c>
      <x:c r="I80" s="36" t="n">
        <x:v>0.026464039011966447</x:v>
      </x:c>
      <x:c r="J80" s="24" t="n">
        <x:f>H80*I80</x:f>
        <x:v>0.07939211703589934</x:v>
      </x:c>
      <x:c r="K80" s="32" t="n">
        <x:v>0</x:v>
      </x:c>
      <x:c r="L80" s="32" t="n">
        <x:v>0</x:v>
      </x:c>
      <x:c r="M80" s="32" t="n">
        <x:v>0</x:v>
      </x:c>
      <x:c r="N80" s="24" t="n">
        <x:f>F80+G80+K80-L80+M80-H80-J80</x:f>
        <x:v>9.748085274103934</x:v>
      </x:c>
      <x:c r="O80" s="24" t="n">
        <x:f>H80*'封面与口径'!$O$24</x:f>
        <x:v>3.5999999999999996</x:v>
      </x:c>
      <x:c r="P80" s="19" t="str">
        <x:f>IF(N80&lt;0,"缺货",IF(N80&lt;O80,"预警","正常"))</x:f>
        <x:v>正常</x:v>
      </x:c>
      <x:c r="Q80" s="19" t="str">
        <x:v>鸡杂0712-01</x:v>
      </x:c>
    </x:row>
    <x:row r="81">
      <x:c r="A81" s="19" t="str">
        <x:v>2026-07-13|S01|鸡杂</x:v>
      </x:c>
      <x:c r="B81" s="34" t="n">
        <x:v>46216.5</x:v>
      </x:c>
      <x:c r="C81" s="19" t="str">
        <x:v>S01</x:v>
      </x:c>
      <x:c r="D81" s="19" t="str">
        <x:v>近江天阳店</x:v>
      </x:c>
      <x:c r="E81" s="19" t="str">
        <x:v>鸡杂</x:v>
      </x:c>
      <x:c r="F81" s="32" t="n">
        <x:v>9.748085274103934</x:v>
      </x:c>
      <x:c r="G81" s="32" t="n">
        <x:v>5.479942730325261</x:v>
      </x:c>
      <x:c r="H81" s="24" t="n">
        <x:f>'菜品日销量'!G138*250/1000+'菜品日销量'!G143*250/1000</x:f>
        <x:v>4.75</x:v>
      </x:c>
      <x:c r="I81" s="36" t="n">
        <x:v>0.01987947460610407</x:v>
      </x:c>
      <x:c r="J81" s="24" t="n">
        <x:f>H81*I81</x:f>
        <x:v>0.09442750437899433</x:v>
      </x:c>
      <x:c r="K81" s="32" t="n">
        <x:v>0</x:v>
      </x:c>
      <x:c r="L81" s="32" t="n">
        <x:v>0</x:v>
      </x:c>
      <x:c r="M81" s="32" t="n">
        <x:v>0</x:v>
      </x:c>
      <x:c r="N81" s="24" t="n">
        <x:f>F81+G81+K81-L81+M81-H81-J81</x:f>
        <x:v>10.3836005000502</x:v>
      </x:c>
      <x:c r="O81" s="24" t="n">
        <x:f>H81*'封面与口径'!$O$24</x:f>
        <x:v>5.7</x:v>
      </x:c>
      <x:c r="P81" s="19" t="str">
        <x:f>IF(N81&lt;0,"缺货",IF(N81&lt;O81,"预警","正常"))</x:f>
        <x:v>正常</x:v>
      </x:c>
      <x:c r="Q81" s="19" t="str">
        <x:v>鸡杂0713-01</x:v>
      </x:c>
    </x:row>
    <x:row r="82">
      <x:c r="A82" s="19" t="str">
        <x:v>2026-07-07|S01|豆腐</x:v>
      </x:c>
      <x:c r="B82" s="34" t="n">
        <x:v>46210.5</x:v>
      </x:c>
      <x:c r="C82" s="19" t="str">
        <x:v>S01</x:v>
      </x:c>
      <x:c r="D82" s="19" t="str">
        <x:v>近江天阳店</x:v>
      </x:c>
      <x:c r="E82" s="19" t="str">
        <x:v>豆腐</x:v>
      </x:c>
      <x:c r="F82" s="32" t="n">
        <x:v>43.92</x:v>
      </x:c>
      <x:c r="G82" s="32" t="n">
        <x:v>26.39964999606452</x:v>
      </x:c>
      <x:c r="H82" s="24" t="n">
        <x:f>'菜品日销量'!G9*400/1000</x:f>
        <x:v>24.4</x:v>
      </x:c>
      <x:c r="I82" s="36" t="n">
        <x:v>0.028006300691749506</x:v>
      </x:c>
      <x:c r="J82" s="24" t="n">
        <x:f>H82*I82</x:f>
        <x:v>0.683353736878688</x:v>
      </x:c>
      <x:c r="K82" s="32" t="n">
        <x:v>0</x:v>
      </x:c>
      <x:c r="L82" s="32" t="n">
        <x:v>0</x:v>
      </x:c>
      <x:c r="M82" s="32" t="n">
        <x:v>0</x:v>
      </x:c>
      <x:c r="N82" s="24" t="n">
        <x:f>F82+G82+K82-L82+M82-H82-J82</x:f>
        <x:v>45.23629625918584</x:v>
      </x:c>
      <x:c r="O82" s="24" t="n">
        <x:f>H82*'封面与口径'!$O$24</x:f>
        <x:v>29.279999999999998</x:v>
      </x:c>
      <x:c r="P82" s="19" t="str">
        <x:f>IF(N82&lt;0,"缺货",IF(N82&lt;O82,"预警","正常"))</x:f>
        <x:v>正常</x:v>
      </x:c>
      <x:c r="Q82" s="19" t="str">
        <x:v>豆腐0707-01</x:v>
      </x:c>
    </x:row>
    <x:row r="83">
      <x:c r="A83" s="19" t="str">
        <x:v>2026-07-08|S01|豆腐</x:v>
      </x:c>
      <x:c r="B83" s="34" t="n">
        <x:v>46211.5</x:v>
      </x:c>
      <x:c r="C83" s="19" t="str">
        <x:v>S01</x:v>
      </x:c>
      <x:c r="D83" s="19" t="str">
        <x:v>近江天阳店</x:v>
      </x:c>
      <x:c r="E83" s="19" t="str">
        <x:v>豆腐</x:v>
      </x:c>
      <x:c r="F83" s="32" t="n">
        <x:v>45.23629625918584</x:v>
      </x:c>
      <x:c r="G83" s="32" t="n">
        <x:v>25.506991104968588</x:v>
      </x:c>
      <x:c r="H83" s="24" t="n">
        <x:f>'菜品日销量'!G29*400/1000</x:f>
        <x:v>22.4</x:v>
      </x:c>
      <x:c r="I83" s="36" t="n">
        <x:v>0.024542765034023382</x:v>
      </x:c>
      <x:c r="J83" s="24" t="n">
        <x:f>H83*I83</x:f>
        <x:v>0.5497579367621237</x:v>
      </x:c>
      <x:c r="K83" s="32" t="n">
        <x:v>0</x:v>
      </x:c>
      <x:c r="L83" s="32" t="n">
        <x:v>0</x:v>
      </x:c>
      <x:c r="M83" s="32" t="n">
        <x:v>0</x:v>
      </x:c>
      <x:c r="N83" s="24" t="n">
        <x:f>F83+G83+K83-L83+M83-H83-J83</x:f>
        <x:v>47.7935294273923</x:v>
      </x:c>
      <x:c r="O83" s="24" t="n">
        <x:f>H83*'封面与口径'!$O$24</x:f>
        <x:v>26.88</x:v>
      </x:c>
      <x:c r="P83" s="19" t="str">
        <x:f>IF(N83&lt;0,"缺货",IF(N83&lt;O83,"预警","正常"))</x:f>
        <x:v>正常</x:v>
      </x:c>
      <x:c r="Q83" s="19" t="str">
        <x:v>豆腐0708-01</x:v>
      </x:c>
    </x:row>
    <x:row r="84">
      <x:c r="A84" s="19" t="str">
        <x:v>2026-07-09|S01|豆腐</x:v>
      </x:c>
      <x:c r="B84" s="34" t="n">
        <x:v>46212.5</x:v>
      </x:c>
      <x:c r="C84" s="19" t="str">
        <x:v>S01</x:v>
      </x:c>
      <x:c r="D84" s="19" t="str">
        <x:v>近江天阳店</x:v>
      </x:c>
      <x:c r="E84" s="19" t="str">
        <x:v>豆腐</x:v>
      </x:c>
      <x:c r="F84" s="32" t="n">
        <x:v>47.7935294273923</x:v>
      </x:c>
      <x:c r="G84" s="32" t="n">
        <x:v>26.703974372554566</x:v>
      </x:c>
      <x:c r="H84" s="24" t="n">
        <x:f>'菜品日销量'!G49*400/1000</x:f>
        <x:v>24</x:v>
      </x:c>
      <x:c r="I84" s="36" t="n">
        <x:v>0.02620013530859727</x:v>
      </x:c>
      <x:c r="J84" s="24" t="n">
        <x:f>H84*I84</x:f>
        <x:v>0.6288032474063344</x:v>
      </x:c>
      <x:c r="K84" s="32" t="n">
        <x:v>0</x:v>
      </x:c>
      <x:c r="L84" s="32" t="n">
        <x:v>0</x:v>
      </x:c>
      <x:c r="M84" s="32" t="n">
        <x:v>0</x:v>
      </x:c>
      <x:c r="N84" s="24" t="n">
        <x:f>F84+G84+K84-L84+M84-H84-J84</x:f>
        <x:v>49.86870055254054</x:v>
      </x:c>
      <x:c r="O84" s="24" t="n">
        <x:f>H84*'封面与口径'!$O$24</x:f>
        <x:v>28.799999999999997</x:v>
      </x:c>
      <x:c r="P84" s="19" t="str">
        <x:f>IF(N84&lt;0,"缺货",IF(N84&lt;O84,"预警","正常"))</x:f>
        <x:v>正常</x:v>
      </x:c>
      <x:c r="Q84" s="19" t="str">
        <x:v>豆腐0709-01</x:v>
      </x:c>
    </x:row>
    <x:row r="85">
      <x:c r="A85" s="19" t="str">
        <x:v>2026-07-10|S01|豆腐</x:v>
      </x:c>
      <x:c r="B85" s="34" t="n">
        <x:v>46213.5</x:v>
      </x:c>
      <x:c r="C85" s="19" t="str">
        <x:v>S01</x:v>
      </x:c>
      <x:c r="D85" s="19" t="str">
        <x:v>近江天阳店</x:v>
      </x:c>
      <x:c r="E85" s="19" t="str">
        <x:v>豆腐</x:v>
      </x:c>
      <x:c r="F85" s="32" t="n">
        <x:v>49.86870055254054</x:v>
      </x:c>
      <x:c r="G85" s="32" t="n">
        <x:v>26.361111484242862</x:v>
      </x:c>
      <x:c r="H85" s="24" t="n">
        <x:f>'菜品日销量'!G69*400/1000</x:f>
        <x:v>23.6</x:v>
      </x:c>
      <x:c r="I85" s="36" t="n">
        <x:v>0.017093628026101187</x:v>
      </x:c>
      <x:c r="J85" s="24" t="n">
        <x:f>H85*I85</x:f>
        <x:v>0.403409621415988</x:v>
      </x:c>
      <x:c r="K85" s="32" t="n">
        <x:v>0</x:v>
      </x:c>
      <x:c r="L85" s="32" t="n">
        <x:v>0</x:v>
      </x:c>
      <x:c r="M85" s="32" t="n">
        <x:v>0</x:v>
      </x:c>
      <x:c r="N85" s="24" t="n">
        <x:f>F85+G85+K85-L85+M85-H85-J85</x:f>
        <x:v>52.22640241536741</x:v>
      </x:c>
      <x:c r="O85" s="24" t="n">
        <x:f>H85*'封面与口径'!$O$24</x:f>
        <x:v>28.32</x:v>
      </x:c>
      <x:c r="P85" s="19" t="str">
        <x:f>IF(N85&lt;0,"缺货",IF(N85&lt;O85,"预警","正常"))</x:f>
        <x:v>正常</x:v>
      </x:c>
      <x:c r="Q85" s="19" t="str">
        <x:v>豆腐0710-01</x:v>
      </x:c>
    </x:row>
    <x:row r="86">
      <x:c r="A86" s="19" t="str">
        <x:v>2026-07-11|S01|豆腐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豆腐</x:v>
      </x:c>
      <x:c r="F86" s="32" t="n">
        <x:v>52.22640241536741</x:v>
      </x:c>
      <x:c r="G86" s="32" t="n">
        <x:v>23.519492663439248</x:v>
      </x:c>
      <x:c r="H86" s="24" t="n">
        <x:f>'菜品日销量'!G89*400/1000</x:f>
        <x:v>19.6</x:v>
      </x:c>
      <x:c r="I86" s="36" t="n">
        <x:v>0.03205956440234081</x:v>
      </x:c>
      <x:c r="J86" s="24" t="n">
        <x:f>H86*I86</x:f>
        <x:v>0.6283674622858799</x:v>
      </x:c>
      <x:c r="K86" s="32" t="n">
        <x:v>0</x:v>
      </x:c>
      <x:c r="L86" s="32" t="n">
        <x:v>0</x:v>
      </x:c>
      <x:c r="M86" s="32" t="n">
        <x:v>0</x:v>
      </x:c>
      <x:c r="N86" s="24" t="n">
        <x:f>F86+G86+K86-L86+M86-H86-J86</x:f>
        <x:v>55.51752761652077</x:v>
      </x:c>
      <x:c r="O86" s="24" t="n">
        <x:f>H86*'封面与口径'!$O$24</x:f>
        <x:v>23.52</x:v>
      </x:c>
      <x:c r="P86" s="19" t="str">
        <x:f>IF(N86&lt;0,"缺货",IF(N86&lt;O86,"预警","正常"))</x:f>
        <x:v>正常</x:v>
      </x:c>
      <x:c r="Q86" s="19" t="str">
        <x:v>豆腐0711-01</x:v>
      </x:c>
    </x:row>
    <x:row r="87">
      <x:c r="A87" s="19" t="str">
        <x:v>2026-07-12|S01|豆腐</x:v>
      </x:c>
      <x:c r="B87" s="34" t="n">
        <x:v>46215.5</x:v>
      </x:c>
      <x:c r="C87" s="19" t="str">
        <x:v>S01</x:v>
      </x:c>
      <x:c r="D87" s="19" t="str">
        <x:v>近江天阳店</x:v>
      </x:c>
      <x:c r="E87" s="19" t="str">
        <x:v>豆腐</x:v>
      </x:c>
      <x:c r="F87" s="32" t="n">
        <x:v>55.51752761652078</x:v>
      </x:c>
      <x:c r="G87" s="32" t="n">
        <x:v>20.262161865325215</x:v>
      </x:c>
      <x:c r="H87" s="24" t="n">
        <x:f>'菜品日销量'!G109*400/1000</x:f>
        <x:v>17.2</x:v>
      </x:c>
      <x:c r="I87" s="36" t="n">
        <x:v>0.025049072410922746</x:v>
      </x:c>
      <x:c r="J87" s="24" t="n">
        <x:f>H87*I87</x:f>
        <x:v>0.4308440454678712</x:v>
      </x:c>
      <x:c r="K87" s="32" t="n">
        <x:v>0</x:v>
      </x:c>
      <x:c r="L87" s="32" t="n">
        <x:v>0</x:v>
      </x:c>
      <x:c r="M87" s="32" t="n">
        <x:v>0</x:v>
      </x:c>
      <x:c r="N87" s="24" t="n">
        <x:f>F87+G87+K87-L87+M87-H87-J87</x:f>
        <x:v>58.14884543637812</x:v>
      </x:c>
      <x:c r="O87" s="24" t="n">
        <x:f>H87*'封面与口径'!$O$24</x:f>
        <x:v>20.639999999999997</x:v>
      </x:c>
      <x:c r="P87" s="19" t="str">
        <x:f>IF(N87&lt;0,"缺货",IF(N87&lt;O87,"预警","正常"))</x:f>
        <x:v>正常</x:v>
      </x:c>
      <x:c r="Q87" s="19" t="str">
        <x:v>豆腐0712-01</x:v>
      </x:c>
    </x:row>
    <x:row r="88">
      <x:c r="A88" s="19" t="str">
        <x:v>2026-07-13|S01|豆腐</x:v>
      </x:c>
      <x:c r="B88" s="34" t="n">
        <x:v>46216.5</x:v>
      </x:c>
      <x:c r="C88" s="19" t="str">
        <x:v>S01</x:v>
      </x:c>
      <x:c r="D88" s="19" t="str">
        <x:v>近江天阳店</x:v>
      </x:c>
      <x:c r="E88" s="19" t="str">
        <x:v>豆腐</x:v>
      </x:c>
      <x:c r="F88" s="32" t="n">
        <x:v>58.148845436378124</x:v>
      </x:c>
      <x:c r="G88" s="32" t="n">
        <x:v>29.669773859248913</x:v>
      </x:c>
      <x:c r="H88" s="24" t="n">
        <x:f>'菜品日销量'!G129*400/1000</x:f>
        <x:v>26.4</x:v>
      </x:c>
      <x:c r="I88" s="36" t="n">
        <x:v>0.01908378369852057</x:v>
      </x:c>
      <x:c r="J88" s="24" t="n">
        <x:f>H88*I88</x:f>
        <x:v>0.503811889640943</x:v>
      </x:c>
      <x:c r="K88" s="32" t="n">
        <x:v>0</x:v>
      </x:c>
      <x:c r="L88" s="32" t="n">
        <x:v>0</x:v>
      </x:c>
      <x:c r="M88" s="32" t="n">
        <x:v>0</x:v>
      </x:c>
      <x:c r="N88" s="24" t="n">
        <x:f>F88+G88+K88-L88+M88-H88-J88</x:f>
        <x:v>60.91480740598609</x:v>
      </x:c>
      <x:c r="O88" s="24" t="n">
        <x:f>H88*'封面与口径'!$O$24</x:f>
        <x:v>31.679999999999996</x:v>
      </x:c>
      <x:c r="P88" s="19" t="str">
        <x:f>IF(N88&lt;0,"缺货",IF(N88&lt;O88,"预警","正常"))</x:f>
        <x:v>正常</x:v>
      </x:c>
      <x:c r="Q88" s="19" t="str">
        <x:v>豆腐0713-01</x:v>
      </x:c>
    </x:row>
    <x:row r="89">
      <x:c r="A89" s="19" t="str">
        <x:v>2026-07-07|S02|瘦肉片</x:v>
      </x:c>
      <x:c r="B89" s="34" t="n">
        <x:v>46210.5</x:v>
      </x:c>
      <x:c r="C89" s="19" t="str">
        <x:v>S02</x:v>
      </x:c>
      <x:c r="D89" s="19" t="str">
        <x:v>尊宝大厦店</x:v>
      </x:c>
      <x:c r="E89" s="19" t="str">
        <x:v>瘦肉片</x:v>
      </x:c>
      <x:c r="F89" s="32" t="n">
        <x:v>22.86</x:v>
      </x:c>
      <x:c r="G89" s="32" t="n">
        <x:v>15.159693047310155</x:v>
      </x:c>
      <x:c r="H89" s="24" t="n">
        <x:f>'菜品日销量'!G145*150/1000+'菜品日销量'!G153*50/1000+'菜品日销量'!G154*200/1000</x:f>
        <x:v>12.7</x:v>
      </x:c>
      <x:c r="I89" s="36" t="n">
        <x:v>0.015845544069503795</x:v>
      </x:c>
      <x:c r="J89" s="24" t="n">
        <x:f>H89*I89</x:f>
        <x:v>0.20123840968269818</x:v>
      </x:c>
      <x:c r="K89" s="32" t="n">
        <x:v>0</x:v>
      </x:c>
      <x:c r="L89" s="32" t="n">
        <x:v>0</x:v>
      </x:c>
      <x:c r="M89" s="32" t="n">
        <x:v>0</x:v>
      </x:c>
      <x:c r="N89" s="24" t="n">
        <x:f>F89+G89+K89-L89+M89-H89-J89</x:f>
        <x:v>25.11845463762746</x:v>
      </x:c>
      <x:c r="O89" s="24" t="n">
        <x:f>H89*'封面与口径'!$O$24</x:f>
        <x:v>15.239999999999998</x:v>
      </x:c>
      <x:c r="P89" s="19" t="str">
        <x:f>IF(N89&lt;0,"缺货",IF(N89&lt;O89,"预警","正常"))</x:f>
        <x:v>正常</x:v>
      </x:c>
      <x:c r="Q89" s="19" t="str">
        <x:v>瘦肉0707-02</x:v>
      </x:c>
    </x:row>
    <x:row r="90">
      <x:c r="A90" s="19" t="str">
        <x:v>2026-07-08|S02|瘦肉片</x:v>
      </x:c>
      <x:c r="B90" s="34" t="n">
        <x:v>46211.5</x:v>
      </x:c>
      <x:c r="C90" s="19" t="str">
        <x:v>S02</x:v>
      </x:c>
      <x:c r="D90" s="19" t="str">
        <x:v>尊宝大厦店</x:v>
      </x:c>
      <x:c r="E90" s="19" t="str">
        <x:v>瘦肉片</x:v>
      </x:c>
      <x:c r="F90" s="32" t="n">
        <x:v>25.11845463762746</x:v>
      </x:c>
      <x:c r="G90" s="32" t="n">
        <x:v>14.46165840726943</x:v>
      </x:c>
      <x:c r="H90" s="24" t="n">
        <x:f>'菜品日销量'!G165*150/1000+'菜品日销量'!G173*50/1000+'菜品日销量'!G174*200/1000</x:f>
        <x:v>12.45</x:v>
      </x:c>
      <x:c r="I90" s="36" t="n">
        <x:v>0.0305376555085037</x:v>
      </x:c>
      <x:c r="J90" s="24" t="n">
        <x:f>H90*I90</x:f>
        <x:v>0.3801938110808711</x:v>
      </x:c>
      <x:c r="K90" s="32" t="n">
        <x:v>0</x:v>
      </x:c>
      <x:c r="L90" s="32" t="n">
        <x:v>0</x:v>
      </x:c>
      <x:c r="M90" s="32" t="n">
        <x:v>0</x:v>
      </x:c>
      <x:c r="N90" s="24" t="n">
        <x:f>F90+G90+K90-L90+M90-H90-J90</x:f>
        <x:v>26.74991923381602</x:v>
      </x:c>
      <x:c r="O90" s="24" t="n">
        <x:f>H90*'封面与口径'!$O$24</x:f>
        <x:v>14.939999999999998</x:v>
      </x:c>
      <x:c r="P90" s="19" t="str">
        <x:f>IF(N90&lt;0,"缺货",IF(N90&lt;O90,"预警","正常"))</x:f>
        <x:v>正常</x:v>
      </x:c>
      <x:c r="Q90" s="19" t="str">
        <x:v>瘦肉0708-02</x:v>
      </x:c>
    </x:row>
    <x:row r="91">
      <x:c r="A91" s="19" t="str">
        <x:v>2026-07-09|S02|瘦肉片</x:v>
      </x:c>
      <x:c r="B91" s="34" t="n">
        <x:v>46212.5</x:v>
      </x:c>
      <x:c r="C91" s="19" t="str">
        <x:v>S02</x:v>
      </x:c>
      <x:c r="D91" s="19" t="str">
        <x:v>尊宝大厦店</x:v>
      </x:c>
      <x:c r="E91" s="19" t="str">
        <x:v>瘦肉片</x:v>
      </x:c>
      <x:c r="F91" s="32" t="n">
        <x:v>26.74991923381602</x:v>
      </x:c>
      <x:c r="G91" s="32" t="n">
        <x:v>14.301803311657116</x:v>
      </x:c>
      <x:c r="H91" s="24" t="n">
        <x:f>'菜品日销量'!G185*150/1000+'菜品日销量'!G193*50/1000+'菜品日销量'!G194*200/1000</x:f>
        <x:v>12.45</x:v>
      </x:c>
      <x:c r="I91" s="36" t="n">
        <x:v>0.03951509470108783</x:v>
      </x:c>
      <x:c r="J91" s="24" t="n">
        <x:f>H91*I91</x:f>
        <x:v>0.49196292902854344</x:v>
      </x:c>
      <x:c r="K91" s="32" t="n">
        <x:v>0</x:v>
      </x:c>
      <x:c r="L91" s="32" t="n">
        <x:v>0</x:v>
      </x:c>
      <x:c r="M91" s="32" t="n">
        <x:v>0</x:v>
      </x:c>
      <x:c r="N91" s="24" t="n">
        <x:f>F91+G91+K91-L91+M91-H91-J91</x:f>
        <x:v>28.10975961644459</x:v>
      </x:c>
      <x:c r="O91" s="24" t="n">
        <x:f>H91*'封面与口径'!$O$24</x:f>
        <x:v>14.939999999999998</x:v>
      </x:c>
      <x:c r="P91" s="19" t="str">
        <x:f>IF(N91&lt;0,"缺货",IF(N91&lt;O91,"预警","正常"))</x:f>
        <x:v>正常</x:v>
      </x:c>
      <x:c r="Q91" s="19" t="str">
        <x:v>瘦肉0709-02</x:v>
      </x:c>
    </x:row>
    <x:row r="92">
      <x:c r="A92" s="19" t="str">
        <x:v>2026-07-10|S02|瘦肉片</x:v>
      </x:c>
      <x:c r="B92" s="34" t="n">
        <x:v>46213.5</x:v>
      </x:c>
      <x:c r="C92" s="19" t="str">
        <x:v>S02</x:v>
      </x:c>
      <x:c r="D92" s="19" t="str">
        <x:v>尊宝大厦店</x:v>
      </x:c>
      <x:c r="E92" s="19" t="str">
        <x:v>瘦肉片</x:v>
      </x:c>
      <x:c r="F92" s="32" t="n">
        <x:v>28.10975961644459</x:v>
      </x:c>
      <x:c r="G92" s="32" t="n">
        <x:v>15.65860630725711</x:v>
      </x:c>
      <x:c r="H92" s="24" t="n">
        <x:f>'菜品日销量'!G205*150/1000+'菜品日销量'!G213*50/1000+'菜品日销量'!G214*200/1000</x:f>
        <x:v>13.25</x:v>
      </x:c>
      <x:c r="I92" s="36" t="n">
        <x:v>0.015559996796203776</x:v>
      </x:c>
      <x:c r="J92" s="24" t="n">
        <x:f>H92*I92</x:f>
        <x:v>0.20616995754970002</x:v>
      </x:c>
      <x:c r="K92" s="32" t="n">
        <x:v>0</x:v>
      </x:c>
      <x:c r="L92" s="32" t="n">
        <x:v>0</x:v>
      </x:c>
      <x:c r="M92" s="32" t="n">
        <x:v>0</x:v>
      </x:c>
      <x:c r="N92" s="24" t="n">
        <x:f>F92+G92+K92-L92+M92-H92-J92</x:f>
        <x:v>30.312195966152</x:v>
      </x:c>
      <x:c r="O92" s="24" t="n">
        <x:f>H92*'封面与口径'!$O$24</x:f>
        <x:v>15.899999999999999</x:v>
      </x:c>
      <x:c r="P92" s="19" t="str">
        <x:f>IF(N92&lt;0,"缺货",IF(N92&lt;O92,"预警","正常"))</x:f>
        <x:v>正常</x:v>
      </x:c>
      <x:c r="Q92" s="19" t="str">
        <x:v>瘦肉0710-02</x:v>
      </x:c>
    </x:row>
    <x:row r="93">
      <x:c r="A93" s="19" t="str">
        <x:v>2026-07-11|S02|瘦肉片</x:v>
      </x:c>
      <x:c r="B93" s="34" t="n">
        <x:v>46214.5</x:v>
      </x:c>
      <x:c r="C93" s="19" t="str">
        <x:v>S02</x:v>
      </x:c>
      <x:c r="D93" s="19" t="str">
        <x:v>尊宝大厦店</x:v>
      </x:c>
      <x:c r="E93" s="19" t="str">
        <x:v>瘦肉片</x:v>
      </x:c>
      <x:c r="F93" s="32" t="n">
        <x:v>30.312195966152004</x:v>
      </x:c>
      <x:c r="G93" s="32" t="n">
        <x:v>11.424524756960693</x:v>
      </x:c>
      <x:c r="H93" s="24" t="n">
        <x:f>'菜品日销量'!G225*150/1000+'菜品日销量'!G233*50/1000+'菜品日销量'!G234*200/1000</x:f>
        <x:v>9.7</x:v>
      </x:c>
      <x:c r="I93" s="36" t="n">
        <x:v>0.029850012449279893</x:v>
      </x:c>
      <x:c r="J93" s="24" t="n">
        <x:f>H93*I93</x:f>
        <x:v>0.2895451207580149</x:v>
      </x:c>
      <x:c r="K93" s="32" t="n">
        <x:v>0</x:v>
      </x:c>
      <x:c r="L93" s="32" t="n">
        <x:v>0</x:v>
      </x:c>
      <x:c r="M93" s="32" t="n">
        <x:v>0</x:v>
      </x:c>
      <x:c r="N93" s="24" t="n">
        <x:f>F93+G93+K93-L93+M93-H93-J93</x:f>
        <x:v>31.74717560235468</x:v>
      </x:c>
      <x:c r="O93" s="24" t="n">
        <x:f>H93*'封面与口径'!$O$24</x:f>
        <x:v>11.639999999999999</x:v>
      </x:c>
      <x:c r="P93" s="19" t="str">
        <x:f>IF(N93&lt;0,"缺货",IF(N93&lt;O93,"预警","正常"))</x:f>
        <x:v>正常</x:v>
      </x:c>
      <x:c r="Q93" s="19" t="str">
        <x:v>瘦肉0711-02</x:v>
      </x:c>
    </x:row>
    <x:row r="94">
      <x:c r="A94" s="19" t="str">
        <x:v>2026-07-12|S02|瘦肉片</x:v>
      </x:c>
      <x:c r="B94" s="34" t="n">
        <x:v>46215.5</x:v>
      </x:c>
      <x:c r="C94" s="19" t="str">
        <x:v>S02</x:v>
      </x:c>
      <x:c r="D94" s="19" t="str">
        <x:v>尊宝大厦店</x:v>
      </x:c>
      <x:c r="E94" s="19" t="str">
        <x:v>瘦肉片</x:v>
      </x:c>
      <x:c r="F94" s="32" t="n">
        <x:v>31.74717560235468</x:v>
      </x:c>
      <x:c r="G94" s="32" t="n">
        <x:v>11.665204061398097</x:v>
      </x:c>
      <x:c r="H94" s="24" t="n">
        <x:f>'菜品日销量'!G245*150/1000+'菜品日销量'!G253*50/1000+'菜品日销量'!G254*200/1000</x:f>
        <x:v>9.95</x:v>
      </x:c>
      <x:c r="I94" s="36" t="n">
        <x:v>0.017130334376620673</x:v>
      </x:c>
      <x:c r="J94" s="24" t="n">
        <x:f>H94*I94</x:f>
        <x:v>0.17044682704737568</x:v>
      </x:c>
      <x:c r="K94" s="32" t="n">
        <x:v>0</x:v>
      </x:c>
      <x:c r="L94" s="32" t="n">
        <x:v>0</x:v>
      </x:c>
      <x:c r="M94" s="32" t="n">
        <x:v>0</x:v>
      </x:c>
      <x:c r="N94" s="24" t="n">
        <x:f>F94+G94+K94-L94+M94-H94-J94</x:f>
        <x:v>33.29193283670539</x:v>
      </x:c>
      <x:c r="O94" s="24" t="n">
        <x:f>H94*'封面与口径'!$O$24</x:f>
        <x:v>11.94</x:v>
      </x:c>
      <x:c r="P94" s="19" t="str">
        <x:f>IF(N94&lt;0,"缺货",IF(N94&lt;O94,"预警","正常"))</x:f>
        <x:v>正常</x:v>
      </x:c>
      <x:c r="Q94" s="19" t="str">
        <x:v>瘦肉0712-02</x:v>
      </x:c>
    </x:row>
    <x:row r="95">
      <x:c r="A95" s="19" t="str">
        <x:v>2026-07-13|S02|瘦肉片</x:v>
      </x:c>
      <x:c r="B95" s="34" t="n">
        <x:v>46216.5</x:v>
      </x:c>
      <x:c r="C95" s="19" t="str">
        <x:v>S02</x:v>
      </x:c>
      <x:c r="D95" s="19" t="str">
        <x:v>尊宝大厦店</x:v>
      </x:c>
      <x:c r="E95" s="19" t="str">
        <x:v>瘦肉片</x:v>
      </x:c>
      <x:c r="F95" s="32" t="n">
        <x:v>33.2919328367054</x:v>
      </x:c>
      <x:c r="G95" s="32" t="n">
        <x:v>16.10744163392099</x:v>
      </x:c>
      <x:c r="H95" s="24" t="n">
        <x:f>'菜品日销量'!G265*150/1000+'菜品日销量'!G273*50/1000+'菜品日销量'!G274*200/1000</x:f>
        <x:v>13.85</x:v>
      </x:c>
      <x:c r="I95" s="36" t="n">
        <x:v>0.01619175751488464</x:v>
      </x:c>
      <x:c r="J95" s="24" t="n">
        <x:f>H95*I95</x:f>
        <x:v>0.22425584158115225</x:v>
      </x:c>
      <x:c r="K95" s="32" t="n">
        <x:v>0</x:v>
      </x:c>
      <x:c r="L95" s="32" t="n">
        <x:v>0</x:v>
      </x:c>
      <x:c r="M95" s="32" t="n">
        <x:v>0</x:v>
      </x:c>
      <x:c r="N95" s="24" t="n">
        <x:f>F95+G95+K95-L95+M95-H95-J95</x:f>
        <x:v>35.32511862904523</x:v>
      </x:c>
      <x:c r="O95" s="24" t="n">
        <x:f>H95*'封面与口径'!$O$24</x:f>
        <x:v>16.619999999999997</x:v>
      </x:c>
      <x:c r="P95" s="19" t="str">
        <x:f>IF(N95&lt;0,"缺货",IF(N95&lt;O95,"预警","正常"))</x:f>
        <x:v>正常</x:v>
      </x:c>
      <x:c r="Q95" s="19" t="str">
        <x:v>瘦肉0713-02</x:v>
      </x:c>
    </x:row>
    <x:row r="96">
      <x:c r="A96" s="19" t="str">
        <x:v>2026-07-07|S02|肥肉片</x:v>
      </x:c>
      <x:c r="B96" s="34" t="n">
        <x:v>46210.5</x:v>
      </x:c>
      <x:c r="C96" s="19" t="str">
        <x:v>S02</x:v>
      </x:c>
      <x:c r="D96" s="19" t="str">
        <x:v>尊宝大厦店</x:v>
      </x:c>
      <x:c r="E96" s="19" t="str">
        <x:v>肥肉片</x:v>
      </x:c>
      <x:c r="F96" s="32" t="n">
        <x:v>6.57</x:v>
      </x:c>
      <x:c r="G96" s="32" t="n">
        <x:v>4.19550697430398</x:v>
      </x:c>
      <x:c r="H96" s="24" t="n">
        <x:f>'菜品日销量'!G145*50/1000+'菜品日销量'!G154*50/1000</x:f>
        <x:v>3.65</x:v>
      </x:c>
      <x:c r="I96" s="36" t="n">
        <x:v>0.015453451776516962</x:v>
      </x:c>
      <x:c r="J96" s="24" t="n">
        <x:f>H96*I96</x:f>
        <x:v>0.05640509898428691</x:v>
      </x:c>
      <x:c r="K96" s="32" t="n">
        <x:v>0</x:v>
      </x:c>
      <x:c r="L96" s="32" t="n">
        <x:v>0</x:v>
      </x:c>
      <x:c r="M96" s="32" t="n">
        <x:v>0</x:v>
      </x:c>
      <x:c r="N96" s="24" t="n">
        <x:f>F96+G96+K96-L96+M96-H96-J96</x:f>
        <x:v>7.059101875319692</x:v>
      </x:c>
      <x:c r="O96" s="24" t="n">
        <x:f>H96*'封面与口径'!$O$24</x:f>
        <x:v>4.38</x:v>
      </x:c>
      <x:c r="P96" s="19" t="str">
        <x:f>IF(N96&lt;0,"缺货",IF(N96&lt;O96,"预警","正常"))</x:f>
        <x:v>正常</x:v>
      </x:c>
      <x:c r="Q96" s="19" t="str">
        <x:v>肥肉0707-02</x:v>
      </x:c>
    </x:row>
    <x:row r="97">
      <x:c r="A97" s="19" t="str">
        <x:v>2026-07-08|S02|肥肉片</x:v>
      </x:c>
      <x:c r="B97" s="34" t="n">
        <x:v>46211.5</x:v>
      </x:c>
      <x:c r="C97" s="19" t="str">
        <x:v>S02</x:v>
      </x:c>
      <x:c r="D97" s="19" t="str">
        <x:v>尊宝大厦店</x:v>
      </x:c>
      <x:c r="E97" s="19" t="str">
        <x:v>肥肉片</x:v>
      </x:c>
      <x:c r="F97" s="32" t="n">
        <x:v>7.059101875319692</x:v>
      </x:c>
      <x:c r="G97" s="32" t="n">
        <x:v>3.981564943060178</x:v>
      </x:c>
      <x:c r="H97" s="24" t="n">
        <x:f>'菜品日销量'!G165*50/1000+'菜品日销量'!G174*50/1000</x:f>
        <x:v>3.55</x:v>
      </x:c>
      <x:c r="I97" s="36" t="n">
        <x:v>0.039657329695685146</x:v>
      </x:c>
      <x:c r="J97" s="24" t="n">
        <x:f>H97*I97</x:f>
        <x:v>0.14078352041968226</x:v>
      </x:c>
      <x:c r="K97" s="32" t="n">
        <x:v>0</x:v>
      </x:c>
      <x:c r="L97" s="32" t="n">
        <x:v>0</x:v>
      </x:c>
      <x:c r="M97" s="32" t="n">
        <x:v>0</x:v>
      </x:c>
      <x:c r="N97" s="24" t="n">
        <x:f>F97+G97+K97-L97+M97-H97-J97</x:f>
        <x:v>7.349883297960188</x:v>
      </x:c>
      <x:c r="O97" s="24" t="n">
        <x:f>H97*'封面与口径'!$O$24</x:f>
        <x:v>4.26</x:v>
      </x:c>
      <x:c r="P97" s="19" t="str">
        <x:f>IF(N97&lt;0,"缺货",IF(N97&lt;O97,"预警","正常"))</x:f>
        <x:v>正常</x:v>
      </x:c>
      <x:c r="Q97" s="19" t="str">
        <x:v>肥肉0708-02</x:v>
      </x:c>
    </x:row>
    <x:row r="98">
      <x:c r="A98" s="19" t="str">
        <x:v>2026-07-09|S02|肥肉片</x:v>
      </x:c>
      <x:c r="B98" s="34" t="n">
        <x:v>46212.5</x:v>
      </x:c>
      <x:c r="C98" s="19" t="str">
        <x:v>S02</x:v>
      </x:c>
      <x:c r="D98" s="19" t="str">
        <x:v>尊宝大厦店</x:v>
      </x:c>
      <x:c r="E98" s="19" t="str">
        <x:v>肥肉片</x:v>
      </x:c>
      <x:c r="F98" s="32" t="n">
        <x:v>7.349883297960188</x:v>
      </x:c>
      <x:c r="G98" s="32" t="n">
        <x:v>3.852209131554749</x:v>
      </x:c>
      <x:c r="H98" s="24" t="n">
        <x:f>'菜品日销量'!G185*50/1000+'菜品日销量'!G194*50/1000</x:f>
        <x:v>3.55</x:v>
      </x:c>
      <x:c r="I98" s="36" t="n">
        <x:v>0.024498146201832723</x:v>
      </x:c>
      <x:c r="J98" s="24" t="n">
        <x:f>H98*I98</x:f>
        <x:v>0.08696841901650616</x:v>
      </x:c>
      <x:c r="K98" s="32" t="n">
        <x:v>0</x:v>
      </x:c>
      <x:c r="L98" s="32" t="n">
        <x:v>0</x:v>
      </x:c>
      <x:c r="M98" s="32" t="n">
        <x:v>0</x:v>
      </x:c>
      <x:c r="N98" s="24" t="n">
        <x:f>F98+G98+K98-L98+M98-H98-J98</x:f>
        <x:v>7.565124010498431</x:v>
      </x:c>
      <x:c r="O98" s="24" t="n">
        <x:f>H98*'封面与口径'!$O$24</x:f>
        <x:v>4.26</x:v>
      </x:c>
      <x:c r="P98" s="19" t="str">
        <x:f>IF(N98&lt;0,"缺货",IF(N98&lt;O98,"预警","正常"))</x:f>
        <x:v>正常</x:v>
      </x:c>
      <x:c r="Q98" s="19" t="str">
        <x:v>肥肉0709-02</x:v>
      </x:c>
    </x:row>
    <x:row r="99">
      <x:c r="A99" s="19" t="str">
        <x:v>2026-07-10|S02|肥肉片</x:v>
      </x:c>
      <x:c r="B99" s="34" t="n">
        <x:v>46213.5</x:v>
      </x:c>
      <x:c r="C99" s="19" t="str">
        <x:v>S02</x:v>
      </x:c>
      <x:c r="D99" s="19" t="str">
        <x:v>尊宝大厦店</x:v>
      </x:c>
      <x:c r="E99" s="19" t="str">
        <x:v>肥肉片</x:v>
      </x:c>
      <x:c r="F99" s="32" t="n">
        <x:v>7.565124010498431</x:v>
      </x:c>
      <x:c r="G99" s="32" t="n">
        <x:v>4.286418193529923</x:v>
      </x:c>
      <x:c r="H99" s="24" t="n">
        <x:f>'菜品日销量'!G205*50/1000+'菜品日销量'!G214*50/1000</x:f>
        <x:v>3.8</x:v>
      </x:c>
      <x:c r="I99" s="36" t="n">
        <x:v>0.031529594447121397</x:v>
      </x:c>
      <x:c r="J99" s="24" t="n">
        <x:f>H99*I99</x:f>
        <x:v>0.1198124588990613</x:v>
      </x:c>
      <x:c r="K99" s="32" t="n">
        <x:v>0</x:v>
      </x:c>
      <x:c r="L99" s="32" t="n">
        <x:v>0</x:v>
      </x:c>
      <x:c r="M99" s="32" t="n">
        <x:v>0</x:v>
      </x:c>
      <x:c r="N99" s="24" t="n">
        <x:f>F99+G99+K99-L99+M99-H99-J99</x:f>
        <x:v>7.931729745129293</x:v>
      </x:c>
      <x:c r="O99" s="24" t="n">
        <x:f>H99*'封面与口径'!$O$24</x:f>
        <x:v>4.56</x:v>
      </x:c>
      <x:c r="P99" s="19" t="str">
        <x:f>IF(N99&lt;0,"缺货",IF(N99&lt;O99,"预警","正常"))</x:f>
        <x:v>正常</x:v>
      </x:c>
      <x:c r="Q99" s="19" t="str">
        <x:v>肥肉0710-02</x:v>
      </x:c>
    </x:row>
    <x:row r="100">
      <x:c r="A100" s="19" t="str">
        <x:v>2026-07-11|S02|肥肉片</x:v>
      </x:c>
      <x:c r="B100" s="34" t="n">
        <x:v>46214.5</x:v>
      </x:c>
      <x:c r="C100" s="19" t="str">
        <x:v>S02</x:v>
      </x:c>
      <x:c r="D100" s="19" t="str">
        <x:v>尊宝大厦店</x:v>
      </x:c>
      <x:c r="E100" s="19" t="str">
        <x:v>肥肉片</x:v>
      </x:c>
      <x:c r="F100" s="32" t="n">
        <x:v>7.931729745129294</x:v>
      </x:c>
      <x:c r="G100" s="32" t="n">
        <x:v>3.0545005716021407</x:v>
      </x:c>
      <x:c r="H100" s="24" t="n">
        <x:f>'菜品日销量'!G225*50/1000+'菜品日销量'!G234*50/1000</x:f>
        <x:v>2.75</x:v>
      </x:c>
      <x:c r="I100" s="36" t="n">
        <x:v>0.02501820892212405</x:v>
      </x:c>
      <x:c r="J100" s="24" t="n">
        <x:f>H100*I100</x:f>
        <x:v>0.06880007453584114</x:v>
      </x:c>
      <x:c r="K100" s="32" t="n">
        <x:v>0</x:v>
      </x:c>
      <x:c r="L100" s="32" t="n">
        <x:v>0</x:v>
      </x:c>
      <x:c r="M100" s="32" t="n">
        <x:v>0</x:v>
      </x:c>
      <x:c r="N100" s="24" t="n">
        <x:f>F100+G100+K100-L100+M100-H100-J100</x:f>
        <x:v>8.167430242195593</x:v>
      </x:c>
      <x:c r="O100" s="24" t="n">
        <x:f>H100*'封面与口径'!$O$24</x:f>
        <x:v>3.3</x:v>
      </x:c>
      <x:c r="P100" s="19" t="str">
        <x:f>IF(N100&lt;0,"缺货",IF(N100&lt;O100,"预警","正常"))</x:f>
        <x:v>正常</x:v>
      </x:c>
      <x:c r="Q100" s="19" t="str">
        <x:v>肥肉0711-02</x:v>
      </x:c>
    </x:row>
    <x:row r="101">
      <x:c r="A101" s="19" t="str">
        <x:v>2026-07-12|S02|肥肉片</x:v>
      </x:c>
      <x:c r="B101" s="34" t="n">
        <x:v>46215.5</x:v>
      </x:c>
      <x:c r="C101" s="19" t="str">
        <x:v>S02</x:v>
      </x:c>
      <x:c r="D101" s="19" t="str">
        <x:v>尊宝大厦店</x:v>
      </x:c>
      <x:c r="E101" s="19" t="str">
        <x:v>肥肉片</x:v>
      </x:c>
      <x:c r="F101" s="32" t="n">
        <x:v>8.167430242195593</x:v>
      </x:c>
      <x:c r="G101" s="32" t="n">
        <x:v>3.401176864171675</x:v>
      </x:c>
      <x:c r="H101" s="24" t="n">
        <x:f>'菜品日销量'!G245*50/1000+'菜品日销量'!G254*50/1000</x:f>
        <x:v>2.85</x:v>
      </x:c>
      <x:c r="I101" s="36" t="n">
        <x:v>0.029790105310918323</x:v>
      </x:c>
      <x:c r="J101" s="24" t="n">
        <x:f>H101*I101</x:f>
        <x:v>0.08490180013611723</x:v>
      </x:c>
      <x:c r="K101" s="32" t="n">
        <x:v>0</x:v>
      </x:c>
      <x:c r="L101" s="32" t="n">
        <x:v>0</x:v>
      </x:c>
      <x:c r="M101" s="32" t="n">
        <x:v>0</x:v>
      </x:c>
      <x:c r="N101" s="24" t="n">
        <x:f>F101+G101+K101-L101+M101-H101-J101</x:f>
        <x:v>8.63370530623115</x:v>
      </x:c>
      <x:c r="O101" s="24" t="n">
        <x:f>H101*'封面与口径'!$O$24</x:f>
        <x:v>3.42</x:v>
      </x:c>
      <x:c r="P101" s="19" t="str">
        <x:f>IF(N101&lt;0,"缺货",IF(N101&lt;O101,"预警","正常"))</x:f>
        <x:v>正常</x:v>
      </x:c>
      <x:c r="Q101" s="19" t="str">
        <x:v>肥肉0712-02</x:v>
      </x:c>
    </x:row>
    <x:row r="102">
      <x:c r="A102" s="19" t="str">
        <x:v>2026-07-13|S02|肥肉片</x:v>
      </x:c>
      <x:c r="B102" s="34" t="n">
        <x:v>46216.5</x:v>
      </x:c>
      <x:c r="C102" s="19" t="str">
        <x:v>S02</x:v>
      </x:c>
      <x:c r="D102" s="19" t="str">
        <x:v>尊宝大厦店</x:v>
      </x:c>
      <x:c r="E102" s="19" t="str">
        <x:v>肥肉片</x:v>
      </x:c>
      <x:c r="F102" s="32" t="n">
        <x:v>8.63370530623115</x:v>
      </x:c>
      <x:c r="G102" s="32" t="n">
        <x:v>4.525720224626763</x:v>
      </x:c>
      <x:c r="H102" s="24" t="n">
        <x:f>'菜品日销量'!G265*50/1000+'菜品日销量'!G274*50/1000</x:f>
        <x:v>3.9</x:v>
      </x:c>
      <x:c r="I102" s="36" t="n">
        <x:v>0.01650105113314955</x:v>
      </x:c>
      <x:c r="J102" s="24" t="n">
        <x:f>H102*I102</x:f>
        <x:v>0.06435409941928324</x:v>
      </x:c>
      <x:c r="K102" s="32" t="n">
        <x:v>0</x:v>
      </x:c>
      <x:c r="L102" s="32" t="n">
        <x:v>0</x:v>
      </x:c>
      <x:c r="M102" s="32" t="n">
        <x:v>0</x:v>
      </x:c>
      <x:c r="N102" s="24" t="n">
        <x:f>F102+G102+K102-L102+M102-H102-J102</x:f>
        <x:v>9.19507143143863</x:v>
      </x:c>
      <x:c r="O102" s="24" t="n">
        <x:f>H102*'封面与口径'!$O$24</x:f>
        <x:v>4.68</x:v>
      </x:c>
      <x:c r="P102" s="19" t="str">
        <x:f>IF(N102&lt;0,"缺货",IF(N102&lt;O102,"预警","正常"))</x:f>
        <x:v>正常</x:v>
      </x:c>
      <x:c r="Q102" s="19" t="str">
        <x:v>肥肉0713-02</x:v>
      </x:c>
    </x:row>
    <x:row r="103">
      <x:c r="A103" s="19" t="str">
        <x:v>2026-07-07|S02|牛肉片</x:v>
      </x:c>
      <x:c r="B103" s="34" t="n">
        <x:v>46210.5</x:v>
      </x:c>
      <x:c r="C103" s="19" t="str">
        <x:v>S02</x:v>
      </x:c>
      <x:c r="D103" s="19" t="str">
        <x:v>尊宝大厦店</x:v>
      </x:c>
      <x:c r="E103" s="19" t="str">
        <x:v>牛肉片</x:v>
      </x:c>
      <x:c r="F103" s="32" t="n">
        <x:v>15.75</x:v>
      </x:c>
      <x:c r="G103" s="32" t="n">
        <x:v>10.167646463952876</x:v>
      </x:c>
      <x:c r="H103" s="24" t="n">
        <x:f>'菜品日销量'!G146*250/1000</x:f>
        <x:v>8.75</x:v>
      </x:c>
      <x:c r="I103" s="36" t="n">
        <x:v>0.03223268793831409</x:v>
      </x:c>
      <x:c r="J103" s="24" t="n">
        <x:f>H103*I103</x:f>
        <x:v>0.28203601946024826</x:v>
      </x:c>
      <x:c r="K103" s="32" t="n">
        <x:v>0</x:v>
      </x:c>
      <x:c r="L103" s="32" t="n">
        <x:v>0</x:v>
      </x:c>
      <x:c r="M103" s="32" t="n">
        <x:v>0</x:v>
      </x:c>
      <x:c r="N103" s="24" t="n">
        <x:f>F103+G103+K103-L103+M103-H103-J103</x:f>
        <x:v>16.885610444492627</x:v>
      </x:c>
      <x:c r="O103" s="24" t="n">
        <x:f>H103*'封面与口径'!$O$24</x:f>
        <x:v>10.5</x:v>
      </x:c>
      <x:c r="P103" s="19" t="str">
        <x:f>IF(N103&lt;0,"缺货",IF(N103&lt;O103,"预警","正常"))</x:f>
        <x:v>正常</x:v>
      </x:c>
      <x:c r="Q103" s="19" t="str">
        <x:v>牛肉0707-02</x:v>
      </x:c>
    </x:row>
    <x:row r="104">
      <x:c r="A104" s="19" t="str">
        <x:v>2026-07-08|S02|牛肉片</x:v>
      </x:c>
      <x:c r="B104" s="34" t="n">
        <x:v>46211.5</x:v>
      </x:c>
      <x:c r="C104" s="19" t="str">
        <x:v>S02</x:v>
      </x:c>
      <x:c r="D104" s="19" t="str">
        <x:v>尊宝大厦店</x:v>
      </x:c>
      <x:c r="E104" s="19" t="str">
        <x:v>牛肉片</x:v>
      </x:c>
      <x:c r="F104" s="32" t="n">
        <x:v>16.885610444492627</x:v>
      </x:c>
      <x:c r="G104" s="32" t="n">
        <x:v>10.256805652132446</x:v>
      </x:c>
      <x:c r="H104" s="24" t="n">
        <x:f>'菜品日销量'!G166*250/1000</x:f>
        <x:v>9</x:v>
      </x:c>
      <x:c r="I104" s="36" t="n">
        <x:v>0.03391326617773466</x:v>
      </x:c>
      <x:c r="J104" s="24" t="n">
        <x:f>H104*I104</x:f>
        <x:v>0.3052193955996119</x:v>
      </x:c>
      <x:c r="K104" s="32" t="n">
        <x:v>0</x:v>
      </x:c>
      <x:c r="L104" s="32" t="n">
        <x:v>0</x:v>
      </x:c>
      <x:c r="M104" s="32" t="n">
        <x:v>0</x:v>
      </x:c>
      <x:c r="N104" s="24" t="n">
        <x:f>F104+G104+K104-L104+M104-H104-J104</x:f>
        <x:v>17.837196701025462</x:v>
      </x:c>
      <x:c r="O104" s="24" t="n">
        <x:f>H104*'封面与口径'!$O$24</x:f>
        <x:v>10.799999999999999</x:v>
      </x:c>
      <x:c r="P104" s="19" t="str">
        <x:f>IF(N104&lt;0,"缺货",IF(N104&lt;O104,"预警","正常"))</x:f>
        <x:v>正常</x:v>
      </x:c>
      <x:c r="Q104" s="19" t="str">
        <x:v>牛肉0708-02</x:v>
      </x:c>
    </x:row>
    <x:row r="105">
      <x:c r="A105" s="19" t="str">
        <x:v>2026-07-09|S02|牛肉片</x:v>
      </x:c>
      <x:c r="B105" s="34" t="n">
        <x:v>46212.5</x:v>
      </x:c>
      <x:c r="C105" s="19" t="str">
        <x:v>S02</x:v>
      </x:c>
      <x:c r="D105" s="19" t="str">
        <x:v>尊宝大厦店</x:v>
      </x:c>
      <x:c r="E105" s="19" t="str">
        <x:v>牛肉片</x:v>
      </x:c>
      <x:c r="F105" s="32" t="n">
        <x:v>17.837196701025462</x:v>
      </x:c>
      <x:c r="G105" s="32" t="n">
        <x:v>10.201285121986011</x:v>
      </x:c>
      <x:c r="H105" s="24" t="n">
        <x:f>'菜品日销量'!G186*250/1000</x:f>
        <x:v>8.75</x:v>
      </x:c>
      <x:c r="I105" s="36" t="n">
        <x:v>0.0266482601411753</x:v>
      </x:c>
      <x:c r="J105" s="24" t="n">
        <x:f>H105*I105</x:f>
        <x:v>0.2331722762352839</x:v>
      </x:c>
      <x:c r="K105" s="32" t="n">
        <x:v>0</x:v>
      </x:c>
      <x:c r="L105" s="32" t="n">
        <x:v>0</x:v>
      </x:c>
      <x:c r="M105" s="32" t="n">
        <x:v>0</x:v>
      </x:c>
      <x:c r="N105" s="24" t="n">
        <x:f>F105+G105+K105-L105+M105-H105-J105</x:f>
        <x:v>19.05530954677619</x:v>
      </x:c>
      <x:c r="O105" s="24" t="n">
        <x:f>H105*'封面与口径'!$O$24</x:f>
        <x:v>10.5</x:v>
      </x:c>
      <x:c r="P105" s="19" t="str">
        <x:f>IF(N105&lt;0,"缺货",IF(N105&lt;O105,"预警","正常"))</x:f>
        <x:v>正常</x:v>
      </x:c>
      <x:c r="Q105" s="19" t="str">
        <x:v>牛肉0709-02</x:v>
      </x:c>
    </x:row>
    <x:row r="106">
      <x:c r="A106" s="19" t="str">
        <x:v>2026-07-10|S02|牛肉片</x:v>
      </x:c>
      <x:c r="B106" s="34" t="n">
        <x:v>46213.5</x:v>
      </x:c>
      <x:c r="C106" s="19" t="str">
        <x:v>S02</x:v>
      </x:c>
      <x:c r="D106" s="19" t="str">
        <x:v>尊宝大厦店</x:v>
      </x:c>
      <x:c r="E106" s="19" t="str">
        <x:v>牛肉片</x:v>
      </x:c>
      <x:c r="F106" s="32" t="n">
        <x:v>19.05530954677619</x:v>
      </x:c>
      <x:c r="G106" s="32" t="n">
        <x:v>9.34824486384826</x:v>
      </x:c>
      <x:c r="H106" s="24" t="n">
        <x:f>'菜品日销量'!G206*250/1000</x:f>
        <x:v>8.25</x:v>
      </x:c>
      <x:c r="I106" s="36" t="n">
        <x:v>0.02884418311385535</x:v>
      </x:c>
      <x:c r="J106" s="24" t="n">
        <x:f>H106*I106</x:f>
        <x:v>0.23796451068930666</x:v>
      </x:c>
      <x:c r="K106" s="32" t="n">
        <x:v>0</x:v>
      </x:c>
      <x:c r="L106" s="32" t="n">
        <x:v>0</x:v>
      </x:c>
      <x:c r="M106" s="32" t="n">
        <x:v>0</x:v>
      </x:c>
      <x:c r="N106" s="24" t="n">
        <x:f>F106+G106+K106-L106+M106-H106-J106</x:f>
        <x:v>19.915589899935146</x:v>
      </x:c>
      <x:c r="O106" s="24" t="n">
        <x:f>H106*'封面与口径'!$O$24</x:f>
        <x:v>9.9</x:v>
      </x:c>
      <x:c r="P106" s="19" t="str">
        <x:f>IF(N106&lt;0,"缺货",IF(N106&lt;O106,"预警","正常"))</x:f>
        <x:v>正常</x:v>
      </x:c>
      <x:c r="Q106" s="19" t="str">
        <x:v>牛肉0710-02</x:v>
      </x:c>
    </x:row>
    <x:row r="107">
      <x:c r="A107" s="19" t="str">
        <x:v>2026-07-11|S02|牛肉片</x:v>
      </x:c>
      <x:c r="B107" s="34" t="n">
        <x:v>46214.5</x:v>
      </x:c>
      <x:c r="C107" s="19" t="str">
        <x:v>S02</x:v>
      </x:c>
      <x:c r="D107" s="19" t="str">
        <x:v>尊宝大厦店</x:v>
      </x:c>
      <x:c r="E107" s="19" t="str">
        <x:v>牛肉片</x:v>
      </x:c>
      <x:c r="F107" s="32" t="n">
        <x:v>19.915589899935146</x:v>
      </x:c>
      <x:c r="G107" s="32" t="n">
        <x:v>8.446873635611702</x:v>
      </x:c>
      <x:c r="H107" s="24" t="n">
        <x:f>'菜品日销量'!G226*250/1000</x:f>
        <x:v>7.25</x:v>
      </x:c>
      <x:c r="I107" s="36" t="n">
        <x:v>0.024324948078562725</x:v>
      </x:c>
      <x:c r="J107" s="24" t="n">
        <x:f>H107*I107</x:f>
        <x:v>0.17635587356957977</x:v>
      </x:c>
      <x:c r="K107" s="32" t="n">
        <x:v>0</x:v>
      </x:c>
      <x:c r="L107" s="32" t="n">
        <x:v>0</x:v>
      </x:c>
      <x:c r="M107" s="32" t="n">
        <x:v>0</x:v>
      </x:c>
      <x:c r="N107" s="24" t="n">
        <x:f>F107+G107+K107-L107+M107-H107-J107</x:f>
        <x:v>20.936107661977267</x:v>
      </x:c>
      <x:c r="O107" s="24" t="n">
        <x:f>H107*'封面与口径'!$O$24</x:f>
        <x:v>8.7</x:v>
      </x:c>
      <x:c r="P107" s="19" t="str">
        <x:f>IF(N107&lt;0,"缺货",IF(N107&lt;O107,"预警","正常"))</x:f>
        <x:v>正常</x:v>
      </x:c>
      <x:c r="Q107" s="19" t="str">
        <x:v>牛肉0711-02</x:v>
      </x:c>
    </x:row>
    <x:row r="108">
      <x:c r="A108" s="19" t="str">
        <x:v>2026-07-12|S02|牛肉片</x:v>
      </x:c>
      <x:c r="B108" s="34" t="n">
        <x:v>46215.5</x:v>
      </x:c>
      <x:c r="C108" s="19" t="str">
        <x:v>S02</x:v>
      </x:c>
      <x:c r="D108" s="19" t="str">
        <x:v>尊宝大厦店</x:v>
      </x:c>
      <x:c r="E108" s="19" t="str">
        <x:v>牛肉片</x:v>
      </x:c>
      <x:c r="F108" s="32" t="n">
        <x:v>20.936107661977267</x:v>
      </x:c>
      <x:c r="G108" s="32" t="n">
        <x:v>8.039279563645664</x:v>
      </x:c>
      <x:c r="H108" s="24" t="n">
        <x:f>'菜品日销量'!G246*250/1000</x:f>
        <x:v>6.75</x:v>
      </x:c>
      <x:c r="I108" s="36" t="n">
        <x:v>0.03950301420746907</x:v>
      </x:c>
      <x:c r="J108" s="24" t="n">
        <x:f>H108*I108</x:f>
        <x:v>0.2666453459004162</x:v>
      </x:c>
      <x:c r="K108" s="32" t="n">
        <x:v>0</x:v>
      </x:c>
      <x:c r="L108" s="32" t="n">
        <x:v>3</x:v>
      </x:c>
      <x:c r="M108" s="32" t="n">
        <x:v>0</x:v>
      </x:c>
      <x:c r="N108" s="24" t="n">
        <x:f>F108+G108+K108-L108+M108-H108-J108</x:f>
        <x:v>18.958741879722517</x:v>
      </x:c>
      <x:c r="O108" s="24" t="n">
        <x:f>H108*'封面与口径'!$O$24</x:f>
        <x:v>8.1</x:v>
      </x:c>
      <x:c r="P108" s="19" t="str">
        <x:f>IF(N108&lt;0,"缺货",IF(N108&lt;O108,"预警","正常"))</x:f>
        <x:v>正常</x:v>
      </x:c>
      <x:c r="Q108" s="19" t="str">
        <x:v>牛肉0712-02</x:v>
      </x:c>
    </x:row>
    <x:row r="109">
      <x:c r="A109" s="19" t="str">
        <x:v>2026-07-13|S02|牛肉片</x:v>
      </x:c>
      <x:c r="B109" s="34" t="n">
        <x:v>46216.5</x:v>
      </x:c>
      <x:c r="C109" s="19" t="str">
        <x:v>S02</x:v>
      </x:c>
      <x:c r="D109" s="19" t="str">
        <x:v>尊宝大厦店</x:v>
      </x:c>
      <x:c r="E109" s="19" t="str">
        <x:v>牛肉片</x:v>
      </x:c>
      <x:c r="F109" s="32" t="n">
        <x:v>18.958741879722517</x:v>
      </x:c>
      <x:c r="G109" s="32" t="n">
        <x:v>11.075034477879536</x:v>
      </x:c>
      <x:c r="H109" s="24" t="n">
        <x:f>'菜品日销量'!G266*250/1000</x:f>
        <x:v>9.25</x:v>
      </x:c>
      <x:c r="I109" s="36" t="n">
        <x:v>0.03505001781393076</x:v>
      </x:c>
      <x:c r="J109" s="24" t="n">
        <x:f>H109*I109</x:f>
        <x:v>0.3242126647788595</x:v>
      </x:c>
      <x:c r="K109" s="32" t="n">
        <x:v>0</x:v>
      </x:c>
      <x:c r="L109" s="32" t="n">
        <x:v>0</x:v>
      </x:c>
      <x:c r="M109" s="32" t="n">
        <x:v>0</x:v>
      </x:c>
      <x:c r="N109" s="24" t="n">
        <x:f>F109+G109+K109-L109+M109-H109-J109</x:f>
        <x:v>20.459563692823192</x:v>
      </x:c>
      <x:c r="O109" s="24" t="n">
        <x:f>H109*'封面与口径'!$O$24</x:f>
        <x:v>11.1</x:v>
      </x:c>
      <x:c r="P109" s="19" t="str">
        <x:f>IF(N109&lt;0,"缺货",IF(N109&lt;O109,"预警","正常"))</x:f>
        <x:v>正常</x:v>
      </x:c>
      <x:c r="Q109" s="19" t="str">
        <x:v>牛肉0713-02</x:v>
      </x:c>
    </x:row>
    <x:row r="110">
      <x:c r="A110" s="19" t="str">
        <x:v>2026-07-07|S02|螺丝椒</x:v>
      </x:c>
      <x:c r="B110" s="34" t="n">
        <x:v>46210.5</x:v>
      </x:c>
      <x:c r="C110" s="19" t="str">
        <x:v>S02</x:v>
      </x:c>
      <x:c r="D110" s="19" t="str">
        <x:v>尊宝大厦店</x:v>
      </x:c>
      <x:c r="E110" s="19" t="str">
        <x:v>螺丝椒</x:v>
      </x:c>
      <x:c r="F110" s="32" t="n">
        <x:v>24.75</x:v>
      </x:c>
      <x:c r="G110" s="32" t="n">
        <x:v>16.143677114449368</x:v>
      </x:c>
      <x:c r="H110" s="24" t="n">
        <x:f>'菜品日销量'!G145*250/1000</x:f>
        <x:v>13.75</x:v>
      </x:c>
      <x:c r="I110" s="36" t="n">
        <x:v>0.022857567632537698</x:v>
      </x:c>
      <x:c r="J110" s="24" t="n">
        <x:f>H110*I110</x:f>
        <x:v>0.31429155494739336</x:v>
      </x:c>
      <x:c r="K110" s="32" t="n">
        <x:v>0</x:v>
      </x:c>
      <x:c r="L110" s="32" t="n">
        <x:v>0</x:v>
      </x:c>
      <x:c r="M110" s="32" t="n">
        <x:v>0</x:v>
      </x:c>
      <x:c r="N110" s="24" t="n">
        <x:f>F110+G110+K110-L110+M110-H110-J110</x:f>
        <x:v>26.829385559501976</x:v>
      </x:c>
      <x:c r="O110" s="24" t="n">
        <x:f>H110*'封面与口径'!$O$24</x:f>
        <x:v>16.5</x:v>
      </x:c>
      <x:c r="P110" s="19" t="str">
        <x:f>IF(N110&lt;0,"缺货",IF(N110&lt;O110,"预警","正常"))</x:f>
        <x:v>正常</x:v>
      </x:c>
      <x:c r="Q110" s="19" t="str">
        <x:v>螺丝0707-02</x:v>
      </x:c>
    </x:row>
    <x:row r="111">
      <x:c r="A111" s="19" t="str">
        <x:v>2026-07-08|S02|螺丝椒</x:v>
      </x:c>
      <x:c r="B111" s="34" t="n">
        <x:v>46211.5</x:v>
      </x:c>
      <x:c r="C111" s="19" t="str">
        <x:v>S02</x:v>
      </x:c>
      <x:c r="D111" s="19" t="str">
        <x:v>尊宝大厦店</x:v>
      </x:c>
      <x:c r="E111" s="19" t="str">
        <x:v>螺丝椒</x:v>
      </x:c>
      <x:c r="F111" s="32" t="n">
        <x:v>26.829385559501972</x:v>
      </x:c>
      <x:c r="G111" s="32" t="n">
        <x:v>14.68580318576093</x:v>
      </x:c>
      <x:c r="H111" s="24" t="n">
        <x:f>'菜品日销量'!G165*250/1000</x:f>
        <x:v>13.25</x:v>
      </x:c>
      <x:c r="I111" s="36" t="n">
        <x:v>0.03799626539414662</x:v>
      </x:c>
      <x:c r="J111" s="24" t="n">
        <x:f>H111*I111</x:f>
        <x:v>0.5034505164724427</x:v>
      </x:c>
      <x:c r="K111" s="32" t="n">
        <x:v>0</x:v>
      </x:c>
      <x:c r="L111" s="32" t="n">
        <x:v>0</x:v>
      </x:c>
      <x:c r="M111" s="32" t="n">
        <x:v>0</x:v>
      </x:c>
      <x:c r="N111" s="24" t="n">
        <x:f>F111+G111+K111-L111+M111-H111-J111</x:f>
        <x:v>27.76173822879046</x:v>
      </x:c>
      <x:c r="O111" s="24" t="n">
        <x:f>H111*'封面与口径'!$O$24</x:f>
        <x:v>15.899999999999999</x:v>
      </x:c>
      <x:c r="P111" s="19" t="str">
        <x:f>IF(N111&lt;0,"缺货",IF(N111&lt;O111,"预警","正常"))</x:f>
        <x:v>正常</x:v>
      </x:c>
      <x:c r="Q111" s="19" t="str">
        <x:v>螺丝0708-02</x:v>
      </x:c>
    </x:row>
    <x:row r="112">
      <x:c r="A112" s="19" t="str">
        <x:v>2026-07-09|S02|螺丝椒</x:v>
      </x:c>
      <x:c r="B112" s="34" t="n">
        <x:v>46212.5</x:v>
      </x:c>
      <x:c r="C112" s="19" t="str">
        <x:v>S02</x:v>
      </x:c>
      <x:c r="D112" s="19" t="str">
        <x:v>尊宝大厦店</x:v>
      </x:c>
      <x:c r="E112" s="19" t="str">
        <x:v>螺丝椒</x:v>
      </x:c>
      <x:c r="F112" s="32" t="n">
        <x:v>27.761738228790463</x:v>
      </x:c>
      <x:c r="G112" s="32" t="n">
        <x:v>14.71594637064169</x:v>
      </x:c>
      <x:c r="H112" s="24" t="n">
        <x:f>'菜品日销量'!G185*250/1000</x:f>
        <x:v>13</x:v>
      </x:c>
      <x:c r="I112" s="36" t="n">
        <x:v>0.038623064922546746</x:v>
      </x:c>
      <x:c r="J112" s="24" t="n">
        <x:f>H112*I112</x:f>
        <x:v>0.5020998439931077</x:v>
      </x:c>
      <x:c r="K112" s="32" t="n">
        <x:v>0</x:v>
      </x:c>
      <x:c r="L112" s="32" t="n">
        <x:v>0</x:v>
      </x:c>
      <x:c r="M112" s="32" t="n">
        <x:v>0</x:v>
      </x:c>
      <x:c r="N112" s="24" t="n">
        <x:f>F112+G112+K112-L112+M112-H112-J112</x:f>
        <x:v>28.975584755439044</x:v>
      </x:c>
      <x:c r="O112" s="24" t="n">
        <x:f>H112*'封面与口径'!$O$24</x:f>
        <x:v>15.6</x:v>
      </x:c>
      <x:c r="P112" s="19" t="str">
        <x:f>IF(N112&lt;0,"缺货",IF(N112&lt;O112,"预警","正常"))</x:f>
        <x:v>正常</x:v>
      </x:c>
      <x:c r="Q112" s="19" t="str">
        <x:v>螺丝0709-02</x:v>
      </x:c>
    </x:row>
    <x:row r="113">
      <x:c r="A113" s="19" t="str">
        <x:v>2026-07-10|S02|螺丝椒</x:v>
      </x:c>
      <x:c r="B113" s="34" t="n">
        <x:v>46213.5</x:v>
      </x:c>
      <x:c r="C113" s="19" t="str">
        <x:v>S02</x:v>
      </x:c>
      <x:c r="D113" s="19" t="str">
        <x:v>尊宝大厦店</x:v>
      </x:c>
      <x:c r="E113" s="19" t="str">
        <x:v>螺丝椒</x:v>
      </x:c>
      <x:c r="F113" s="32" t="n">
        <x:v>28.975584755439044</x:v>
      </x:c>
      <x:c r="G113" s="32" t="n">
        <x:v>16.96375566449104</x:v>
      </x:c>
      <x:c r="H113" s="24" t="n">
        <x:f>'菜品日销量'!G205*250/1000</x:f>
        <x:v>14.25</x:v>
      </x:c>
      <x:c r="I113" s="36" t="n">
        <x:v>0.02486671359507989</x:v>
      </x:c>
      <x:c r="J113" s="24" t="n">
        <x:f>H113*I113</x:f>
        <x:v>0.35435066872988846</x:v>
      </x:c>
      <x:c r="K113" s="32" t="n">
        <x:v>0</x:v>
      </x:c>
      <x:c r="L113" s="32" t="n">
        <x:v>0</x:v>
      </x:c>
      <x:c r="M113" s="32" t="n">
        <x:v>0</x:v>
      </x:c>
      <x:c r="N113" s="24" t="n">
        <x:f>F113+G113+K113-L113+M113-H113-J113</x:f>
        <x:v>31.334989751200194</x:v>
      </x:c>
      <x:c r="O113" s="24" t="n">
        <x:f>H113*'封面与口径'!$O$24</x:f>
        <x:v>17.099999999999998</x:v>
      </x:c>
      <x:c r="P113" s="19" t="str">
        <x:f>IF(N113&lt;0,"缺货",IF(N113&lt;O113,"预警","正常"))</x:f>
        <x:v>正常</x:v>
      </x:c>
      <x:c r="Q113" s="19" t="str">
        <x:v>螺丝0710-02</x:v>
      </x:c>
    </x:row>
    <x:row r="114">
      <x:c r="A114" s="19" t="str">
        <x:v>2026-07-11|S02|螺丝椒</x:v>
      </x:c>
      <x:c r="B114" s="34" t="n">
        <x:v>46214.5</x:v>
      </x:c>
      <x:c r="C114" s="19" t="str">
        <x:v>S02</x:v>
      </x:c>
      <x:c r="D114" s="19" t="str">
        <x:v>尊宝大厦店</x:v>
      </x:c>
      <x:c r="E114" s="19" t="str">
        <x:v>螺丝椒</x:v>
      </x:c>
      <x:c r="F114" s="32" t="n">
        <x:v>31.334989751200194</x:v>
      </x:c>
      <x:c r="G114" s="32" t="n">
        <x:v>10.802018981986219</x:v>
      </x:c>
      <x:c r="H114" s="24" t="n">
        <x:f>'菜品日销量'!G225*250/1000</x:f>
        <x:v>10</x:v>
      </x:c>
      <x:c r="I114" s="36" t="n">
        <x:v>0.017709495771608665</x:v>
      </x:c>
      <x:c r="J114" s="24" t="n">
        <x:f>H114*I114</x:f>
        <x:v>0.17709495771608663</x:v>
      </x:c>
      <x:c r="K114" s="32" t="n">
        <x:v>0</x:v>
      </x:c>
      <x:c r="L114" s="32" t="n">
        <x:v>0</x:v>
      </x:c>
      <x:c r="M114" s="32" t="n">
        <x:v>0</x:v>
      </x:c>
      <x:c r="N114" s="24" t="n">
        <x:f>F114+G114+K114-L114+M114-H114-J114</x:f>
        <x:v>31.959913775470326</x:v>
      </x:c>
      <x:c r="O114" s="24" t="n">
        <x:f>H114*'封面与口径'!$O$24</x:f>
        <x:v>12</x:v>
      </x:c>
      <x:c r="P114" s="19" t="str">
        <x:f>IF(N114&lt;0,"缺货",IF(N114&lt;O114,"预警","正常"))</x:f>
        <x:v>正常</x:v>
      </x:c>
      <x:c r="Q114" s="19" t="str">
        <x:v>螺丝0711-02</x:v>
      </x:c>
    </x:row>
    <x:row r="115">
      <x:c r="A115" s="19" t="str">
        <x:v>2026-07-12|S02|螺丝椒</x:v>
      </x:c>
      <x:c r="B115" s="34" t="n">
        <x:v>46215.5</x:v>
      </x:c>
      <x:c r="C115" s="19" t="str">
        <x:v>S02</x:v>
      </x:c>
      <x:c r="D115" s="19" t="str">
        <x:v>尊宝大厦店</x:v>
      </x:c>
      <x:c r="E115" s="19" t="str">
        <x:v>螺丝椒</x:v>
      </x:c>
      <x:c r="F115" s="32" t="n">
        <x:v>31.959913775470326</x:v>
      </x:c>
      <x:c r="G115" s="32" t="n">
        <x:v>12.07943376525292</x:v>
      </x:c>
      <x:c r="H115" s="24" t="n">
        <x:f>'菜品日销量'!G245*250/1000</x:f>
        <x:v>10.5</x:v>
      </x:c>
      <x:c r="I115" s="36" t="n">
        <x:v>0.031220663945707647</x:v>
      </x:c>
      <x:c r="J115" s="24" t="n">
        <x:f>H115*I115</x:f>
        <x:v>0.32781697142993027</x:v>
      </x:c>
      <x:c r="K115" s="32" t="n">
        <x:v>0</x:v>
      </x:c>
      <x:c r="L115" s="32" t="n">
        <x:v>0</x:v>
      </x:c>
      <x:c r="M115" s="32" t="n">
        <x:v>0</x:v>
      </x:c>
      <x:c r="N115" s="24" t="n">
        <x:f>F115+G115+K115-L115+M115-H115-J115</x:f>
        <x:v>33.211530569293316</x:v>
      </x:c>
      <x:c r="O115" s="24" t="n">
        <x:f>H115*'封面与口径'!$O$24</x:f>
        <x:v>12.6</x:v>
      </x:c>
      <x:c r="P115" s="19" t="str">
        <x:f>IF(N115&lt;0,"缺货",IF(N115&lt;O115,"预警","正常"))</x:f>
        <x:v>正常</x:v>
      </x:c>
      <x:c r="Q115" s="19" t="str">
        <x:v>螺丝0712-02</x:v>
      </x:c>
    </x:row>
    <x:row r="116">
      <x:c r="A116" s="19" t="str">
        <x:v>2026-07-13|S02|螺丝椒</x:v>
      </x:c>
      <x:c r="B116" s="34" t="n">
        <x:v>46216.5</x:v>
      </x:c>
      <x:c r="C116" s="19" t="str">
        <x:v>S02</x:v>
      </x:c>
      <x:c r="D116" s="19" t="str">
        <x:v>尊宝大厦店</x:v>
      </x:c>
      <x:c r="E116" s="19" t="str">
        <x:v>螺丝椒</x:v>
      </x:c>
      <x:c r="F116" s="32" t="n">
        <x:v>33.211530569293316</x:v>
      </x:c>
      <x:c r="G116" s="32" t="n">
        <x:v>15.380443248555634</x:v>
      </x:c>
      <x:c r="H116" s="24" t="n">
        <x:f>'菜品日销量'!G265*250/1000</x:f>
        <x:v>13.75</x:v>
      </x:c>
      <x:c r="I116" s="36" t="n">
        <x:v>0.03882878346807062</x:v>
      </x:c>
      <x:c r="J116" s="24" t="n">
        <x:f>H116*I116</x:f>
        <x:v>0.5338957726859711</x:v>
      </x:c>
      <x:c r="K116" s="32" t="n">
        <x:v>0</x:v>
      </x:c>
      <x:c r="L116" s="32" t="n">
        <x:v>0</x:v>
      </x:c>
      <x:c r="M116" s="32" t="n">
        <x:v>0</x:v>
      </x:c>
      <x:c r="N116" s="24" t="n">
        <x:f>F116+G116+K116-L116+M116-H116-J116</x:f>
        <x:v>34.30807804516298</x:v>
      </x:c>
      <x:c r="O116" s="24" t="n">
        <x:f>H116*'封面与口径'!$O$24</x:f>
        <x:v>16.5</x:v>
      </x:c>
      <x:c r="P116" s="19" t="str">
        <x:f>IF(N116&lt;0,"缺货",IF(N116&lt;O116,"预警","正常"))</x:f>
        <x:v>正常</x:v>
      </x:c>
      <x:c r="Q116" s="19" t="str">
        <x:v>螺丝0713-02</x:v>
      </x:c>
    </x:row>
    <x:row r="117">
      <x:c r="A117" s="19" t="str">
        <x:v>2026-07-07|S02|青湖南椒圈</x:v>
      </x:c>
      <x:c r="B117" s="34" t="n">
        <x:v>46210.5</x:v>
      </x:c>
      <x:c r="C117" s="19" t="str">
        <x:v>S02</x:v>
      </x:c>
      <x:c r="D117" s="19" t="str">
        <x:v>尊宝大厦店</x:v>
      </x:c>
      <x:c r="E117" s="19" t="str">
        <x:v>青湖南椒圈</x:v>
      </x:c>
      <x:c r="F117" s="32" t="n">
        <x:v>3.24</x:v>
      </x:c>
      <x:c r="G117" s="32" t="n">
        <x:v>2.156577301605739</x:v>
      </x:c>
      <x:c r="H117" s="24" t="n">
        <x:f>'菜品日销量'!G154*100/1000</x:f>
        <x:v>1.8</x:v>
      </x:c>
      <x:c r="I117" s="36" t="n">
        <x:v>0.026151437359198795</x:v>
      </x:c>
      <x:c r="J117" s="24" t="n">
        <x:f>H117*I117</x:f>
        <x:v>0.047072587246557836</x:v>
      </x:c>
      <x:c r="K117" s="32" t="n">
        <x:v>0</x:v>
      </x:c>
      <x:c r="L117" s="32" t="n">
        <x:v>0</x:v>
      </x:c>
      <x:c r="M117" s="32" t="n">
        <x:v>0</x:v>
      </x:c>
      <x:c r="N117" s="24" t="n">
        <x:f>F117+G117+K117-L117+M117-H117-J117</x:f>
        <x:v>3.5495047143591814</x:v>
      </x:c>
      <x:c r="O117" s="24" t="n">
        <x:f>H117*'封面与口径'!$O$24</x:f>
        <x:v>2.16</x:v>
      </x:c>
      <x:c r="P117" s="19" t="str">
        <x:f>IF(N117&lt;0,"缺货",IF(N117&lt;O117,"预警","正常"))</x:f>
        <x:v>正常</x:v>
      </x:c>
      <x:c r="Q117" s="19" t="str">
        <x:v>青湖0707-02</x:v>
      </x:c>
    </x:row>
    <x:row r="118">
      <x:c r="A118" s="19" t="str">
        <x:v>2026-07-08|S02|青湖南椒圈</x:v>
      </x:c>
      <x:c r="B118" s="34" t="n">
        <x:v>46211.5</x:v>
      </x:c>
      <x:c r="C118" s="19" t="str">
        <x:v>S02</x:v>
      </x:c>
      <x:c r="D118" s="19" t="str">
        <x:v>尊宝大厦店</x:v>
      </x:c>
      <x:c r="E118" s="19" t="str">
        <x:v>青湖南椒圈</x:v>
      </x:c>
      <x:c r="F118" s="32" t="n">
        <x:v>3.5495047143591814</x:v>
      </x:c>
      <x:c r="G118" s="32" t="n">
        <x:v>2.116051039366995</x:v>
      </x:c>
      <x:c r="H118" s="24" t="n">
        <x:f>'菜品日销量'!G174*100/1000</x:f>
        <x:v>1.8</x:v>
      </x:c>
      <x:c r="I118" s="36" t="n">
        <x:v>0.032116100956247215</x:v>
      </x:c>
      <x:c r="J118" s="24" t="n">
        <x:f>H118*I118</x:f>
        <x:v>0.05780898172124499</x:v>
      </x:c>
      <x:c r="K118" s="32" t="n">
        <x:v>0</x:v>
      </x:c>
      <x:c r="L118" s="32" t="n">
        <x:v>0</x:v>
      </x:c>
      <x:c r="M118" s="32" t="n">
        <x:v>0</x:v>
      </x:c>
      <x:c r="N118" s="24" t="n">
        <x:f>F118+G118+K118-L118+M118-H118-J118</x:f>
        <x:v>3.8077467720049314</x:v>
      </x:c>
      <x:c r="O118" s="24" t="n">
        <x:f>H118*'封面与口径'!$O$24</x:f>
        <x:v>2.16</x:v>
      </x:c>
      <x:c r="P118" s="19" t="str">
        <x:f>IF(N118&lt;0,"缺货",IF(N118&lt;O118,"预警","正常"))</x:f>
        <x:v>正常</x:v>
      </x:c>
      <x:c r="Q118" s="19" t="str">
        <x:v>青湖0708-02</x:v>
      </x:c>
    </x:row>
    <x:row r="119">
      <x:c r="A119" s="19" t="str">
        <x:v>2026-07-09|S02|青湖南椒圈</x:v>
      </x:c>
      <x:c r="B119" s="34" t="n">
        <x:v>46212.5</x:v>
      </x:c>
      <x:c r="C119" s="19" t="str">
        <x:v>S02</x:v>
      </x:c>
      <x:c r="D119" s="19" t="str">
        <x:v>尊宝大厦店</x:v>
      </x:c>
      <x:c r="E119" s="19" t="str">
        <x:v>青湖南椒圈</x:v>
      </x:c>
      <x:c r="F119" s="32" t="n">
        <x:v>3.807746772004931</x:v>
      </x:c>
      <x:c r="G119" s="32" t="n">
        <x:v>2.058088006752098</x:v>
      </x:c>
      <x:c r="H119" s="24" t="n">
        <x:f>'菜品日销量'!G194*100/1000</x:f>
        <x:v>1.9</x:v>
      </x:c>
      <x:c r="I119" s="36" t="n">
        <x:v>0.036263530901927396</x:v>
      </x:c>
      <x:c r="J119" s="24" t="n">
        <x:f>H119*I119</x:f>
        <x:v>0.06890070871366205</x:v>
      </x:c>
      <x:c r="K119" s="32" t="n">
        <x:v>0</x:v>
      </x:c>
      <x:c r="L119" s="32" t="n">
        <x:v>0</x:v>
      </x:c>
      <x:c r="M119" s="32" t="n">
        <x:v>0</x:v>
      </x:c>
      <x:c r="N119" s="24" t="n">
        <x:f>F119+G119+K119-L119+M119-H119-J119</x:f>
        <x:v>3.896934070043367</x:v>
      </x:c>
      <x:c r="O119" s="24" t="n">
        <x:f>H119*'封面与口径'!$O$24</x:f>
        <x:v>2.28</x:v>
      </x:c>
      <x:c r="P119" s="19" t="str">
        <x:f>IF(N119&lt;0,"缺货",IF(N119&lt;O119,"预警","正常"))</x:f>
        <x:v>正常</x:v>
      </x:c>
      <x:c r="Q119" s="19" t="str">
        <x:v>青湖0709-02</x:v>
      </x:c>
    </x:row>
    <x:row r="120">
      <x:c r="A120" s="19" t="str">
        <x:v>2026-07-10|S02|青湖南椒圈</x:v>
      </x:c>
      <x:c r="B120" s="34" t="n">
        <x:v>46213.5</x:v>
      </x:c>
      <x:c r="C120" s="19" t="str">
        <x:v>S02</x:v>
      </x:c>
      <x:c r="D120" s="19" t="str">
        <x:v>尊宝大厦店</x:v>
      </x:c>
      <x:c r="E120" s="19" t="str">
        <x:v>青湖南椒圈</x:v>
      </x:c>
      <x:c r="F120" s="32" t="n">
        <x:v>3.896934070043367</x:v>
      </x:c>
      <x:c r="G120" s="32" t="n">
        <x:v>2.1074394220904074</x:v>
      </x:c>
      <x:c r="H120" s="24" t="n">
        <x:f>'菜品日销量'!G214*100/1000</x:f>
        <x:v>1.9</x:v>
      </x:c>
      <x:c r="I120" s="36" t="n">
        <x:v>0.02131360545668602</x:v>
      </x:c>
      <x:c r="J120" s="24" t="n">
        <x:f>H120*I120</x:f>
        <x:v>0.04049585036770344</x:v>
      </x:c>
      <x:c r="K120" s="32" t="n">
        <x:v>0</x:v>
      </x:c>
      <x:c r="L120" s="32" t="n">
        <x:v>0</x:v>
      </x:c>
      <x:c r="M120" s="32" t="n">
        <x:v>0</x:v>
      </x:c>
      <x:c r="N120" s="24" t="n">
        <x:f>F120+G120+K120-L120+M120-H120-J120</x:f>
        <x:v>4.063877641766071</x:v>
      </x:c>
      <x:c r="O120" s="24" t="n">
        <x:f>H120*'封面与口径'!$O$24</x:f>
        <x:v>2.28</x:v>
      </x:c>
      <x:c r="P120" s="19" t="str">
        <x:f>IF(N120&lt;0,"缺货",IF(N120&lt;O120,"预警","正常"))</x:f>
        <x:v>正常</x:v>
      </x:c>
      <x:c r="Q120" s="19" t="str">
        <x:v>青湖0710-02</x:v>
      </x:c>
    </x:row>
    <x:row r="121">
      <x:c r="A121" s="19" t="str">
        <x:v>2026-07-11|S02|青湖南椒圈</x:v>
      </x:c>
      <x:c r="B121" s="34" t="n">
        <x:v>46214.5</x:v>
      </x:c>
      <x:c r="C121" s="19" t="str">
        <x:v>S02</x:v>
      </x:c>
      <x:c r="D121" s="19" t="str">
        <x:v>尊宝大厦店</x:v>
      </x:c>
      <x:c r="E121" s="19" t="str">
        <x:v>青湖南椒圈</x:v>
      </x:c>
      <x:c r="F121" s="32" t="n">
        <x:v>4.063877641766071</x:v>
      </x:c>
      <x:c r="G121" s="32" t="n">
        <x:v>1.694675177520764</x:v>
      </x:c>
      <x:c r="H121" s="24" t="n">
        <x:f>'菜品日销量'!G234*100/1000</x:f>
        <x:v>1.5</x:v>
      </x:c>
      <x:c r="I121" s="36" t="n">
        <x:v>0.034872897582797546</x:v>
      </x:c>
      <x:c r="J121" s="24" t="n">
        <x:f>H121*I121</x:f>
        <x:v>0.05230934637419632</x:v>
      </x:c>
      <x:c r="K121" s="32" t="n">
        <x:v>0</x:v>
      </x:c>
      <x:c r="L121" s="32" t="n">
        <x:v>0</x:v>
      </x:c>
      <x:c r="M121" s="32" t="n">
        <x:v>0</x:v>
      </x:c>
      <x:c r="N121" s="24" t="n">
        <x:f>F121+G121+K121-L121+M121-H121-J121</x:f>
        <x:v>4.2062434729126394</x:v>
      </x:c>
      <x:c r="O121" s="24" t="n">
        <x:f>H121*'封面与口径'!$O$24</x:f>
        <x:v>1.7999999999999998</x:v>
      </x:c>
      <x:c r="P121" s="19" t="str">
        <x:f>IF(N121&lt;0,"缺货",IF(N121&lt;O121,"预警","正常"))</x:f>
        <x:v>正常</x:v>
      </x:c>
      <x:c r="Q121" s="19" t="str">
        <x:v>青湖0711-02</x:v>
      </x:c>
    </x:row>
    <x:row r="122">
      <x:c r="A122" s="19" t="str">
        <x:v>2026-07-12|S02|青湖南椒圈</x:v>
      </x:c>
      <x:c r="B122" s="34" t="n">
        <x:v>46215.5</x:v>
      </x:c>
      <x:c r="C122" s="19" t="str">
        <x:v>S02</x:v>
      </x:c>
      <x:c r="D122" s="19" t="str">
        <x:v>尊宝大厦店</x:v>
      </x:c>
      <x:c r="E122" s="19" t="str">
        <x:v>青湖南椒圈</x:v>
      </x:c>
      <x:c r="F122" s="32" t="n">
        <x:v>4.2062434729126394</x:v>
      </x:c>
      <x:c r="G122" s="32" t="n">
        <x:v>1.6441541436603653</x:v>
      </x:c>
      <x:c r="H122" s="24" t="n">
        <x:f>'菜品日销量'!G254*100/1000</x:f>
        <x:v>1.5</x:v>
      </x:c>
      <x:c r="I122" s="36" t="n">
        <x:v>0.024917382595575736</x:v>
      </x:c>
      <x:c r="J122" s="24" t="n">
        <x:f>H122*I122</x:f>
        <x:v>0.0373760738933636</x:v>
      </x:c>
      <x:c r="K122" s="32" t="n">
        <x:v>0</x:v>
      </x:c>
      <x:c r="L122" s="32" t="n">
        <x:v>0</x:v>
      </x:c>
      <x:c r="M122" s="32" t="n">
        <x:v>0</x:v>
      </x:c>
      <x:c r="N122" s="24" t="n">
        <x:f>F122+G122+K122-L122+M122-H122-J122</x:f>
        <x:v>4.313021542679642</x:v>
      </x:c>
      <x:c r="O122" s="24" t="n">
        <x:f>H122*'封面与口径'!$O$24</x:f>
        <x:v>1.7999999999999998</x:v>
      </x:c>
      <x:c r="P122" s="19" t="str">
        <x:f>IF(N122&lt;0,"缺货",IF(N122&lt;O122,"预警","正常"))</x:f>
        <x:v>正常</x:v>
      </x:c>
      <x:c r="Q122" s="19" t="str">
        <x:v>青湖0712-02</x:v>
      </x:c>
    </x:row>
    <x:row r="123">
      <x:c r="A123" s="19" t="str">
        <x:v>2026-07-13|S02|青湖南椒圈</x:v>
      </x:c>
      <x:c r="B123" s="34" t="n">
        <x:v>46216.5</x:v>
      </x:c>
      <x:c r="C123" s="19" t="str">
        <x:v>S02</x:v>
      </x:c>
      <x:c r="D123" s="19" t="str">
        <x:v>尊宝大厦店</x:v>
      </x:c>
      <x:c r="E123" s="19" t="str">
        <x:v>青湖南椒圈</x:v>
      </x:c>
      <x:c r="F123" s="32" t="n">
        <x:v>4.313021542679642</x:v>
      </x:c>
      <x:c r="G123" s="32" t="n">
        <x:v>2.6285144866985535</x:v>
      </x:c>
      <x:c r="H123" s="24" t="n">
        <x:f>'菜品日销量'!G274*100/1000</x:f>
        <x:v>2.3</x:v>
      </x:c>
      <x:c r="I123" s="36" t="n">
        <x:v>0.018183209134308438</x:v>
      </x:c>
      <x:c r="J123" s="24" t="n">
        <x:f>H123*I123</x:f>
        <x:v>0.041821381008909406</x:v>
      </x:c>
      <x:c r="K123" s="32" t="n">
        <x:v>0</x:v>
      </x:c>
      <x:c r="L123" s="32" t="n">
        <x:v>0</x:v>
      </x:c>
      <x:c r="M123" s="32" t="n">
        <x:v>0</x:v>
      </x:c>
      <x:c r="N123" s="24" t="n">
        <x:f>F123+G123+K123-L123+M123-H123-J123</x:f>
        <x:v>4.599714648369286</x:v>
      </x:c>
      <x:c r="O123" s="24" t="n">
        <x:f>H123*'封面与口径'!$O$24</x:f>
        <x:v>2.76</x:v>
      </x:c>
      <x:c r="P123" s="19" t="str">
        <x:f>IF(N123&lt;0,"缺货",IF(N123&lt;O123,"预警","正常"))</x:f>
        <x:v>正常</x:v>
      </x:c>
      <x:c r="Q123" s="19" t="str">
        <x:v>青湖0713-02</x:v>
      </x:c>
    </x:row>
    <x:row r="124">
      <x:c r="A124" s="19" t="str">
        <x:v>2026-07-07|S02|鸡蛋</x:v>
      </x:c>
      <x:c r="B124" s="34" t="n">
        <x:v>46210.5</x:v>
      </x:c>
      <x:c r="C124" s="19" t="str">
        <x:v>S02</x:v>
      </x:c>
      <x:c r="D124" s="19" t="str">
        <x:v>尊宝大厦店</x:v>
      </x:c>
      <x:c r="E124" s="19" t="str">
        <x:v>鸡蛋</x:v>
      </x:c>
      <x:c r="F124" s="32" t="n">
        <x:v>32.04</x:v>
      </x:c>
      <x:c r="G124" s="32" t="n">
        <x:v>21.277681727246776</x:v>
      </x:c>
      <x:c r="H124" s="24" t="n">
        <x:f>'菜品日销量'!G147*300/1000+'菜品日销量'!G157*250/1000</x:f>
        <x:v>17.8</x:v>
      </x:c>
      <x:c r="I124" s="36" t="n">
        <x:v>0.019334299657338835</x:v>
      </x:c>
      <x:c r="J124" s="24" t="n">
        <x:f>H124*I124</x:f>
        <x:v>0.3441505339006313</x:v>
      </x:c>
      <x:c r="K124" s="32" t="n">
        <x:v>0</x:v>
      </x:c>
      <x:c r="L124" s="32" t="n">
        <x:v>0</x:v>
      </x:c>
      <x:c r="M124" s="32" t="n">
        <x:v>0</x:v>
      </x:c>
      <x:c r="N124" s="24" t="n">
        <x:f>F124+G124+K124-L124+M124-H124-J124</x:f>
        <x:v>35.17353119334615</x:v>
      </x:c>
      <x:c r="O124" s="24" t="n">
        <x:f>H124*'封面与口径'!$O$24</x:f>
        <x:v>21.36</x:v>
      </x:c>
      <x:c r="P124" s="19" t="str">
        <x:f>IF(N124&lt;0,"缺货",IF(N124&lt;O124,"预警","正常"))</x:f>
        <x:v>正常</x:v>
      </x:c>
      <x:c r="Q124" s="19" t="str">
        <x:v>鸡蛋0707-02</x:v>
      </x:c>
    </x:row>
    <x:row r="125">
      <x:c r="A125" s="19" t="str">
        <x:v>2026-07-08|S02|鸡蛋</x:v>
      </x:c>
      <x:c r="B125" s="34" t="n">
        <x:v>46211.5</x:v>
      </x:c>
      <x:c r="C125" s="19" t="str">
        <x:v>S02</x:v>
      </x:c>
      <x:c r="D125" s="19" t="str">
        <x:v>尊宝大厦店</x:v>
      </x:c>
      <x:c r="E125" s="19" t="str">
        <x:v>鸡蛋</x:v>
      </x:c>
      <x:c r="F125" s="32" t="n">
        <x:v>35.17353119334615</x:v>
      </x:c>
      <x:c r="G125" s="32" t="n">
        <x:v>19.886065560001427</x:v>
      </x:c>
      <x:c r="H125" s="24" t="n">
        <x:f>'菜品日销量'!G167*300/1000+'菜品日销量'!G177*250/1000</x:f>
        <x:v>17.2</x:v>
      </x:c>
      <x:c r="I125" s="36" t="n">
        <x:v>0.016479514933070056</x:v>
      </x:c>
      <x:c r="J125" s="24" t="n">
        <x:f>H125*I125</x:f>
        <x:v>0.28344765684880496</x:v>
      </x:c>
      <x:c r="K125" s="32" t="n">
        <x:v>0</x:v>
      </x:c>
      <x:c r="L125" s="32" t="n">
        <x:v>0</x:v>
      </x:c>
      <x:c r="M125" s="32" t="n">
        <x:v>0</x:v>
      </x:c>
      <x:c r="N125" s="24" t="n">
        <x:f>F125+G125+K125-L125+M125-H125-J125</x:f>
        <x:v>37.57614909649877</x:v>
      </x:c>
      <x:c r="O125" s="24" t="n">
        <x:f>H125*'封面与口径'!$O$24</x:f>
        <x:v>20.639999999999997</x:v>
      </x:c>
      <x:c r="P125" s="19" t="str">
        <x:f>IF(N125&lt;0,"缺货",IF(N125&lt;O125,"预警","正常"))</x:f>
        <x:v>正常</x:v>
      </x:c>
      <x:c r="Q125" s="19" t="str">
        <x:v>鸡蛋0708-02</x:v>
      </x:c>
    </x:row>
    <x:row r="126">
      <x:c r="A126" s="19" t="str">
        <x:v>2026-07-09|S02|鸡蛋</x:v>
      </x:c>
      <x:c r="B126" s="34" t="n">
        <x:v>46212.5</x:v>
      </x:c>
      <x:c r="C126" s="19" t="str">
        <x:v>S02</x:v>
      </x:c>
      <x:c r="D126" s="19" t="str">
        <x:v>尊宝大厦店</x:v>
      </x:c>
      <x:c r="E126" s="19" t="str">
        <x:v>鸡蛋</x:v>
      </x:c>
      <x:c r="F126" s="32" t="n">
        <x:v>37.57614909649877</x:v>
      </x:c>
      <x:c r="G126" s="32" t="n">
        <x:v>18.023691523041506</x:v>
      </x:c>
      <x:c r="H126" s="24" t="n">
        <x:f>'菜品日销量'!G187*300/1000+'菜品日销量'!G197*250/1000</x:f>
        <x:v>16.6</x:v>
      </x:c>
      <x:c r="I126" s="36" t="n">
        <x:v>0.035008821400117324</x:v>
      </x:c>
      <x:c r="J126" s="24" t="n">
        <x:f>H126*I126</x:f>
        <x:v>0.5811464352419476</x:v>
      </x:c>
      <x:c r="K126" s="32" t="n">
        <x:v>0</x:v>
      </x:c>
      <x:c r="L126" s="32" t="n">
        <x:v>0</x:v>
      </x:c>
      <x:c r="M126" s="32" t="n">
        <x:v>0</x:v>
      </x:c>
      <x:c r="N126" s="24" t="n">
        <x:f>F126+G126+K126-L126+M126-H126-J126</x:f>
        <x:v>38.418694184298325</x:v>
      </x:c>
      <x:c r="O126" s="24" t="n">
        <x:f>H126*'封面与口径'!$O$24</x:f>
        <x:v>19.92</x:v>
      </x:c>
      <x:c r="P126" s="19" t="str">
        <x:f>IF(N126&lt;0,"缺货",IF(N126&lt;O126,"预警","正常"))</x:f>
        <x:v>正常</x:v>
      </x:c>
      <x:c r="Q126" s="19" t="str">
        <x:v>鸡蛋0709-02</x:v>
      </x:c>
    </x:row>
    <x:row r="127">
      <x:c r="A127" s="19" t="str">
        <x:v>2026-07-10|S02|鸡蛋</x:v>
      </x:c>
      <x:c r="B127" s="34" t="n">
        <x:v>46213.5</x:v>
      </x:c>
      <x:c r="C127" s="19" t="str">
        <x:v>S02</x:v>
      </x:c>
      <x:c r="D127" s="19" t="str">
        <x:v>尊宝大厦店</x:v>
      </x:c>
      <x:c r="E127" s="19" t="str">
        <x:v>鸡蛋</x:v>
      </x:c>
      <x:c r="F127" s="32" t="n">
        <x:v>38.418694184298325</x:v>
      </x:c>
      <x:c r="G127" s="32" t="n">
        <x:v>19.026500261054025</x:v>
      </x:c>
      <x:c r="H127" s="24" t="n">
        <x:f>'菜品日销量'!G207*300/1000+'菜品日销量'!G217*250/1000</x:f>
        <x:v>17.2</x:v>
      </x:c>
      <x:c r="I127" s="36" t="n">
        <x:v>0.030787797861450302</x:v>
      </x:c>
      <x:c r="J127" s="24" t="n">
        <x:f>H127*I127</x:f>
        <x:v>0.5295501232169452</x:v>
      </x:c>
      <x:c r="K127" s="32" t="n">
        <x:v>0</x:v>
      </x:c>
      <x:c r="L127" s="32" t="n">
        <x:v>0</x:v>
      </x:c>
      <x:c r="M127" s="32" t="n">
        <x:v>0</x:v>
      </x:c>
      <x:c r="N127" s="24" t="n">
        <x:f>F127+G127+K127-L127+M127-H127-J127</x:f>
        <x:v>39.71564432213541</x:v>
      </x:c>
      <x:c r="O127" s="24" t="n">
        <x:f>H127*'封面与口径'!$O$24</x:f>
        <x:v>20.639999999999997</x:v>
      </x:c>
      <x:c r="P127" s="19" t="str">
        <x:f>IF(N127&lt;0,"缺货",IF(N127&lt;O127,"预警","正常"))</x:f>
        <x:v>正常</x:v>
      </x:c>
      <x:c r="Q127" s="19" t="str">
        <x:v>鸡蛋0710-02</x:v>
      </x:c>
    </x:row>
    <x:row r="128">
      <x:c r="A128" s="19" t="str">
        <x:v>2026-07-11|S02|鸡蛋</x:v>
      </x:c>
      <x:c r="B128" s="34" t="n">
        <x:v>46214.5</x:v>
      </x:c>
      <x:c r="C128" s="19" t="str">
        <x:v>S02</x:v>
      </x:c>
      <x:c r="D128" s="19" t="str">
        <x:v>尊宝大厦店</x:v>
      </x:c>
      <x:c r="E128" s="19" t="str">
        <x:v>鸡蛋</x:v>
      </x:c>
      <x:c r="F128" s="32" t="n">
        <x:v>39.715644322135404</x:v>
      </x:c>
      <x:c r="G128" s="32" t="n">
        <x:v>15.227855804848451</x:v>
      </x:c>
      <x:c r="H128" s="24" t="n">
        <x:f>'菜品日销量'!G227*300/1000+'菜品日销量'!G237*250/1000</x:f>
        <x:v>12.85</x:v>
      </x:c>
      <x:c r="I128" s="36" t="n">
        <x:v>0.016775242668058545</x:v>
      </x:c>
      <x:c r="J128" s="24" t="n">
        <x:f>H128*I128</x:f>
        <x:v>0.2155618682845523</x:v>
      </x:c>
      <x:c r="K128" s="32" t="n">
        <x:v>0</x:v>
      </x:c>
      <x:c r="L128" s="32" t="n">
        <x:v>0</x:v>
      </x:c>
      <x:c r="M128" s="32" t="n">
        <x:v>0</x:v>
      </x:c>
      <x:c r="N128" s="24" t="n">
        <x:f>F128+G128+K128-L128+M128-H128-J128</x:f>
        <x:v>41.8779382586993</x:v>
      </x:c>
      <x:c r="O128" s="24" t="n">
        <x:f>H128*'封面与口径'!$O$24</x:f>
        <x:v>15.419999999999998</x:v>
      </x:c>
      <x:c r="P128" s="19" t="str">
        <x:f>IF(N128&lt;0,"缺货",IF(N128&lt;O128,"预警","正常"))</x:f>
        <x:v>正常</x:v>
      </x:c>
      <x:c r="Q128" s="19" t="str">
        <x:v>鸡蛋0711-02</x:v>
      </x:c>
    </x:row>
    <x:row r="129">
      <x:c r="A129" s="19" t="str">
        <x:v>2026-07-12|S02|鸡蛋</x:v>
      </x:c>
      <x:c r="B129" s="34" t="n">
        <x:v>46215.5</x:v>
      </x:c>
      <x:c r="C129" s="19" t="str">
        <x:v>S02</x:v>
      </x:c>
      <x:c r="D129" s="19" t="str">
        <x:v>尊宝大厦店</x:v>
      </x:c>
      <x:c r="E129" s="19" t="str">
        <x:v>鸡蛋</x:v>
      </x:c>
      <x:c r="F129" s="32" t="n">
        <x:v>41.8779382586993</x:v>
      </x:c>
      <x:c r="G129" s="32" t="n">
        <x:v>14.665161327780496</x:v>
      </x:c>
      <x:c r="H129" s="24" t="n">
        <x:f>'菜品日销量'!G247*300/1000+'菜品日销量'!G257*250/1000</x:f>
        <x:v>12.9</x:v>
      </x:c>
      <x:c r="I129" s="36" t="n">
        <x:v>0.03352532146580642</x:v>
      </x:c>
      <x:c r="J129" s="24" t="n">
        <x:f>H129*I129</x:f>
        <x:v>0.4324766469089028</x:v>
      </x:c>
      <x:c r="K129" s="32" t="n">
        <x:v>0</x:v>
      </x:c>
      <x:c r="L129" s="32" t="n">
        <x:v>0</x:v>
      </x:c>
      <x:c r="M129" s="32" t="n">
        <x:v>0</x:v>
      </x:c>
      <x:c r="N129" s="24" t="n">
        <x:f>F129+G129+K129-L129+M129-H129-J129</x:f>
        <x:v>43.2106229395709</x:v>
      </x:c>
      <x:c r="O129" s="24" t="n">
        <x:f>H129*'封面与口径'!$O$24</x:f>
        <x:v>15.48</x:v>
      </x:c>
      <x:c r="P129" s="19" t="str">
        <x:f>IF(N129&lt;0,"缺货",IF(N129&lt;O129,"预警","正常"))</x:f>
        <x:v>正常</x:v>
      </x:c>
      <x:c r="Q129" s="19" t="str">
        <x:v>鸡蛋0712-02</x:v>
      </x:c>
    </x:row>
    <x:row r="130">
      <x:c r="A130" s="19" t="str">
        <x:v>2026-07-13|S02|鸡蛋</x:v>
      </x:c>
      <x:c r="B130" s="34" t="n">
        <x:v>46216.5</x:v>
      </x:c>
      <x:c r="C130" s="19" t="str">
        <x:v>S02</x:v>
      </x:c>
      <x:c r="D130" s="19" t="str">
        <x:v>尊宝大厦店</x:v>
      </x:c>
      <x:c r="E130" s="19" t="str">
        <x:v>鸡蛋</x:v>
      </x:c>
      <x:c r="F130" s="32" t="n">
        <x:v>43.2106229395709</x:v>
      </x:c>
      <x:c r="G130" s="32" t="n">
        <x:v>20.719662805895243</x:v>
      </x:c>
      <x:c r="H130" s="24" t="n">
        <x:f>'菜品日销量'!G267*300/1000+'菜品日销量'!G277*250/1000</x:f>
        <x:v>19.15</x:v>
      </x:c>
      <x:c r="I130" s="36" t="n">
        <x:v>0.030487404392447185</x:v>
      </x:c>
      <x:c r="J130" s="24" t="n">
        <x:f>H130*I130</x:f>
        <x:v>0.5838337941153635</x:v>
      </x:c>
      <x:c r="K130" s="32" t="n">
        <x:v>0</x:v>
      </x:c>
      <x:c r="L130" s="32" t="n">
        <x:v>0</x:v>
      </x:c>
      <x:c r="M130" s="32" t="n">
        <x:v>0</x:v>
      </x:c>
      <x:c r="N130" s="24" t="n">
        <x:f>F130+G130+K130-L130+M130-H130-J130</x:f>
        <x:v>44.196451951350774</x:v>
      </x:c>
      <x:c r="O130" s="24" t="n">
        <x:f>H130*'封面与口径'!$O$24</x:f>
        <x:v>22.979999999999997</x:v>
      </x:c>
      <x:c r="P130" s="19" t="str">
        <x:f>IF(N130&lt;0,"缺货",IF(N130&lt;O130,"预警","正常"))</x:f>
        <x:v>正常</x:v>
      </x:c>
      <x:c r="Q130" s="19" t="str">
        <x:v>鸡蛋0713-02</x:v>
      </x:c>
    </x:row>
    <x:row r="131">
      <x:c r="A131" s="19" t="str">
        <x:v>2026-07-07|S02|鸡肉</x:v>
      </x:c>
      <x:c r="B131" s="34" t="n">
        <x:v>46210.5</x:v>
      </x:c>
      <x:c r="C131" s="19" t="str">
        <x:v>S02</x:v>
      </x:c>
      <x:c r="D131" s="19" t="str">
        <x:v>尊宝大厦店</x:v>
      </x:c>
      <x:c r="E131" s="19" t="str">
        <x:v>鸡肉</x:v>
      </x:c>
      <x:c r="F131" s="32" t="n">
        <x:v>11.34</x:v>
      </x:c>
      <x:c r="G131" s="32" t="n">
        <x:v>6.95391253979828</x:v>
      </x:c>
      <x:c r="H131" s="24" t="n">
        <x:f>'菜品日销量'!G152*450/1000</x:f>
        <x:v>6.3</x:v>
      </x:c>
      <x:c r="I131" s="36" t="n">
        <x:v>0.028238419415019082</x:v>
      </x:c>
      <x:c r="J131" s="24" t="n">
        <x:f>H131*I131</x:f>
        <x:v>0.1779020423146202</x:v>
      </x:c>
      <x:c r="K131" s="32" t="n">
        <x:v>0</x:v>
      </x:c>
      <x:c r="L131" s="32" t="n">
        <x:v>0</x:v>
      </x:c>
      <x:c r="M131" s="32" t="n">
        <x:v>0</x:v>
      </x:c>
      <x:c r="N131" s="24" t="n">
        <x:f>F131+G131+K131-L131+M131-H131-J131</x:f>
        <x:v>11.816010497483656</x:v>
      </x:c>
      <x:c r="O131" s="24" t="n">
        <x:f>H131*'封面与口径'!$O$24</x:f>
        <x:v>7.56</x:v>
      </x:c>
      <x:c r="P131" s="19" t="str">
        <x:f>IF(N131&lt;0,"缺货",IF(N131&lt;O131,"预警","正常"))</x:f>
        <x:v>正常</x:v>
      </x:c>
      <x:c r="Q131" s="19" t="str">
        <x:v>鸡肉0707-02</x:v>
      </x:c>
    </x:row>
    <x:row r="132">
      <x:c r="A132" s="19" t="str">
        <x:v>2026-07-08|S02|鸡肉</x:v>
      </x:c>
      <x:c r="B132" s="34" t="n">
        <x:v>46211.5</x:v>
      </x:c>
      <x:c r="C132" s="19" t="str">
        <x:v>S02</x:v>
      </x:c>
      <x:c r="D132" s="19" t="str">
        <x:v>尊宝大厦店</x:v>
      </x:c>
      <x:c r="E132" s="19" t="str">
        <x:v>鸡肉</x:v>
      </x:c>
      <x:c r="F132" s="32" t="n">
        <x:v>11.816010497483656</x:v>
      </x:c>
      <x:c r="G132" s="32" t="n">
        <x:v>6.288476946149133</x:v>
      </x:c>
      <x:c r="H132" s="24" t="n">
        <x:f>'菜品日销量'!G172*450/1000</x:f>
        <x:v>5.4</x:v>
      </x:c>
      <x:c r="I132" s="36" t="n">
        <x:v>0.0254284911906413</x:v>
      </x:c>
      <x:c r="J132" s="24" t="n">
        <x:f>H132*I132</x:f>
        <x:v>0.13731385242946303</x:v>
      </x:c>
      <x:c r="K132" s="32" t="n">
        <x:v>0</x:v>
      </x:c>
      <x:c r="L132" s="32" t="n">
        <x:v>0</x:v>
      </x:c>
      <x:c r="M132" s="32" t="n">
        <x:v>0</x:v>
      </x:c>
      <x:c r="N132" s="24" t="n">
        <x:f>F132+G132+K132-L132+M132-H132-J132</x:f>
        <x:v>12.567173591203328</x:v>
      </x:c>
      <x:c r="O132" s="24" t="n">
        <x:f>H132*'封面与口径'!$O$24</x:f>
        <x:v>6.48</x:v>
      </x:c>
      <x:c r="P132" s="19" t="str">
        <x:f>IF(N132&lt;0,"缺货",IF(N132&lt;O132,"预警","正常"))</x:f>
        <x:v>正常</x:v>
      </x:c>
      <x:c r="Q132" s="19" t="str">
        <x:v>鸡肉0708-02</x:v>
      </x:c>
    </x:row>
    <x:row r="133">
      <x:c r="A133" s="19" t="str">
        <x:v>2026-07-09|S02|鸡肉</x:v>
      </x:c>
      <x:c r="B133" s="34" t="n">
        <x:v>46212.5</x:v>
      </x:c>
      <x:c r="C133" s="19" t="str">
        <x:v>S02</x:v>
      </x:c>
      <x:c r="D133" s="19" t="str">
        <x:v>尊宝大厦店</x:v>
      </x:c>
      <x:c r="E133" s="19" t="str">
        <x:v>鸡肉</x:v>
      </x:c>
      <x:c r="F133" s="32" t="n">
        <x:v>12.567173591203328</x:v>
      </x:c>
      <x:c r="G133" s="32" t="n">
        <x:v>6.173052193043068</x:v>
      </x:c>
      <x:c r="H133" s="24" t="n">
        <x:f>'菜品日销量'!G192*450/1000</x:f>
        <x:v>5.4</x:v>
      </x:c>
      <x:c r="I133" s="36" t="n">
        <x:v>0.018108225944011524</x:v>
      </x:c>
      <x:c r="J133" s="24" t="n">
        <x:f>H133*I133</x:f>
        <x:v>0.09778442009766224</x:v>
      </x:c>
      <x:c r="K133" s="32" t="n">
        <x:v>0</x:v>
      </x:c>
      <x:c r="L133" s="32" t="n">
        <x:v>0</x:v>
      </x:c>
      <x:c r="M133" s="32" t="n">
        <x:v>0</x:v>
      </x:c>
      <x:c r="N133" s="24" t="n">
        <x:f>F133+G133+K133-L133+M133-H133-J133</x:f>
        <x:v>13.242441364148736</x:v>
      </x:c>
      <x:c r="O133" s="24" t="n">
        <x:f>H133*'封面与口径'!$O$24</x:f>
        <x:v>6.48</x:v>
      </x:c>
      <x:c r="P133" s="19" t="str">
        <x:f>IF(N133&lt;0,"缺货",IF(N133&lt;O133,"预警","正常"))</x:f>
        <x:v>正常</x:v>
      </x:c>
      <x:c r="Q133" s="19" t="str">
        <x:v>鸡肉0709-02</x:v>
      </x:c>
    </x:row>
    <x:row r="134">
      <x:c r="A134" s="19" t="str">
        <x:v>2026-07-10|S02|鸡肉</x:v>
      </x:c>
      <x:c r="B134" s="34" t="n">
        <x:v>46213.5</x:v>
      </x:c>
      <x:c r="C134" s="19" t="str">
        <x:v>S02</x:v>
      </x:c>
      <x:c r="D134" s="19" t="str">
        <x:v>尊宝大厦店</x:v>
      </x:c>
      <x:c r="E134" s="19" t="str">
        <x:v>鸡肉</x:v>
      </x:c>
      <x:c r="F134" s="32" t="n">
        <x:v>13.242441364148736</x:v>
      </x:c>
      <x:c r="G134" s="32" t="n">
        <x:v>6.361389336857803</x:v>
      </x:c>
      <x:c r="H134" s="24" t="n">
        <x:f>'菜品日销量'!G212*450/1000</x:f>
        <x:v>5.85</x:v>
      </x:c>
      <x:c r="I134" s="36" t="n">
        <x:v>0.016639200240988097</x:v>
      </x:c>
      <x:c r="J134" s="24" t="n">
        <x:f>H134*I134</x:f>
        <x:v>0.09733932140978037</x:v>
      </x:c>
      <x:c r="K134" s="32" t="n">
        <x:v>0</x:v>
      </x:c>
      <x:c r="L134" s="32" t="n">
        <x:v>0</x:v>
      </x:c>
      <x:c r="M134" s="32" t="n">
        <x:v>0</x:v>
      </x:c>
      <x:c r="N134" s="24" t="n">
        <x:f>F134+G134+K134-L134+M134-H134-J134</x:f>
        <x:v>13.656491379596757</x:v>
      </x:c>
      <x:c r="O134" s="24" t="n">
        <x:f>H134*'封面与口径'!$O$24</x:f>
        <x:v>7.02</x:v>
      </x:c>
      <x:c r="P134" s="19" t="str">
        <x:f>IF(N134&lt;0,"缺货",IF(N134&lt;O134,"预警","正常"))</x:f>
        <x:v>正常</x:v>
      </x:c>
      <x:c r="Q134" s="19" t="str">
        <x:v>鸡肉0710-02</x:v>
      </x:c>
    </x:row>
    <x:row r="135">
      <x:c r="A135" s="19" t="str">
        <x:v>2026-07-11|S02|鸡肉</x:v>
      </x:c>
      <x:c r="B135" s="34" t="n">
        <x:v>46214.5</x:v>
      </x:c>
      <x:c r="C135" s="19" t="str">
        <x:v>S02</x:v>
      </x:c>
      <x:c r="D135" s="19" t="str">
        <x:v>尊宝大厦店</x:v>
      </x:c>
      <x:c r="E135" s="19" t="str">
        <x:v>鸡肉</x:v>
      </x:c>
      <x:c r="F135" s="32" t="n">
        <x:v>13.656491379596757</x:v>
      </x:c>
      <x:c r="G135" s="32" t="n">
        <x:v>5.531212288051661</x:v>
      </x:c>
      <x:c r="H135" s="24" t="n">
        <x:f>'菜品日销量'!G232*450/1000</x:f>
        <x:v>4.95</x:v>
      </x:c>
      <x:c r="I135" s="36" t="n">
        <x:v>0.01841231451682102</x:v>
      </x:c>
      <x:c r="J135" s="24" t="n">
        <x:f>H135*I135</x:f>
        <x:v>0.09114095685826405</x:v>
      </x:c>
      <x:c r="K135" s="32" t="n">
        <x:v>0</x:v>
      </x:c>
      <x:c r="L135" s="32" t="n">
        <x:v>0</x:v>
      </x:c>
      <x:c r="M135" s="32" t="n">
        <x:v>0</x:v>
      </x:c>
      <x:c r="N135" s="24" t="n">
        <x:f>F135+G135+K135-L135+M135-H135-J135</x:f>
        <x:v>14.146562710790153</x:v>
      </x:c>
      <x:c r="O135" s="24" t="n">
        <x:f>H135*'封面与口径'!$O$24</x:f>
        <x:v>5.94</x:v>
      </x:c>
      <x:c r="P135" s="19" t="str">
        <x:f>IF(N135&lt;0,"缺货",IF(N135&lt;O135,"预警","正常"))</x:f>
        <x:v>正常</x:v>
      </x:c>
      <x:c r="Q135" s="19" t="str">
        <x:v>鸡肉0711-02</x:v>
      </x:c>
    </x:row>
    <x:row r="136">
      <x:c r="A136" s="19" t="str">
        <x:v>2026-07-12|S02|鸡肉</x:v>
      </x:c>
      <x:c r="B136" s="34" t="n">
        <x:v>46215.5</x:v>
      </x:c>
      <x:c r="C136" s="19" t="str">
        <x:v>S02</x:v>
      </x:c>
      <x:c r="D136" s="19" t="str">
        <x:v>尊宝大厦店</x:v>
      </x:c>
      <x:c r="E136" s="19" t="str">
        <x:v>鸡肉</x:v>
      </x:c>
      <x:c r="F136" s="32" t="n">
        <x:v>14.146562710790153</x:v>
      </x:c>
      <x:c r="G136" s="32" t="n">
        <x:v>4.468939291946343</x:v>
      </x:c>
      <x:c r="H136" s="24" t="n">
        <x:f>'菜品日销量'!G252*450/1000</x:f>
        <x:v>4.05</x:v>
      </x:c>
      <x:c r="I136" s="36" t="n">
        <x:v>0.026934487402191034</x:v>
      </x:c>
      <x:c r="J136" s="24" t="n">
        <x:f>H136*I136</x:f>
        <x:v>0.10908467397887368</x:v>
      </x:c>
      <x:c r="K136" s="32" t="n">
        <x:v>0</x:v>
      </x:c>
      <x:c r="L136" s="32" t="n">
        <x:v>0</x:v>
      </x:c>
      <x:c r="M136" s="32" t="n">
        <x:v>0</x:v>
      </x:c>
      <x:c r="N136" s="24" t="n">
        <x:f>F136+G136+K136-L136+M136-H136-J136</x:f>
        <x:v>14.456417328757624</x:v>
      </x:c>
      <x:c r="O136" s="24" t="n">
        <x:f>H136*'封面与口径'!$O$24</x:f>
        <x:v>4.859999999999999</x:v>
      </x:c>
      <x:c r="P136" s="19" t="str">
        <x:f>IF(N136&lt;0,"缺货",IF(N136&lt;O136,"预警","正常"))</x:f>
        <x:v>正常</x:v>
      </x:c>
      <x:c r="Q136" s="19" t="str">
        <x:v>鸡肉0712-02</x:v>
      </x:c>
    </x:row>
    <x:row r="137">
      <x:c r="A137" s="19" t="str">
        <x:v>2026-07-13|S02|鸡肉</x:v>
      </x:c>
      <x:c r="B137" s="34" t="n">
        <x:v>46216.5</x:v>
      </x:c>
      <x:c r="C137" s="19" t="str">
        <x:v>S02</x:v>
      </x:c>
      <x:c r="D137" s="19" t="str">
        <x:v>尊宝大厦店</x:v>
      </x:c>
      <x:c r="E137" s="19" t="str">
        <x:v>鸡肉</x:v>
      </x:c>
      <x:c r="F137" s="32" t="n">
        <x:v>14.456417328757624</x:v>
      </x:c>
      <x:c r="G137" s="32" t="n">
        <x:v>6.422228508524184</x:v>
      </x:c>
      <x:c r="H137" s="24" t="n">
        <x:f>'菜品日销量'!G272*450/1000</x:f>
        <x:v>5.85</x:v>
      </x:c>
      <x:c r="I137" s="36" t="n">
        <x:v>0.0376390580932235</x:v>
      </x:c>
      <x:c r="J137" s="24" t="n">
        <x:f>H137*I137</x:f>
        <x:v>0.22018848984535747</x:v>
      </x:c>
      <x:c r="K137" s="32" t="n">
        <x:v>0</x:v>
      </x:c>
      <x:c r="L137" s="32" t="n">
        <x:v>0</x:v>
      </x:c>
      <x:c r="M137" s="32" t="n">
        <x:v>0</x:v>
      </x:c>
      <x:c r="N137" s="24" t="n">
        <x:f>F137+G137+K137-L137+M137-H137-J137</x:f>
        <x:v>14.808457347436452</x:v>
      </x:c>
      <x:c r="O137" s="24" t="n">
        <x:f>H137*'封面与口径'!$O$24</x:f>
        <x:v>7.02</x:v>
      </x:c>
      <x:c r="P137" s="19" t="str">
        <x:f>IF(N137&lt;0,"缺货",IF(N137&lt;O137,"预警","正常"))</x:f>
        <x:v>正常</x:v>
      </x:c>
      <x:c r="Q137" s="19" t="str">
        <x:v>鸡肉0713-02</x:v>
      </x:c>
    </x:row>
    <x:row r="138">
      <x:c r="A138" s="19" t="str">
        <x:v>2026-07-07|S02|鲈鱼</x:v>
      </x:c>
      <x:c r="B138" s="34" t="n">
        <x:v>46210.5</x:v>
      </x:c>
      <x:c r="C138" s="19" t="str">
        <x:v>S02</x:v>
      </x:c>
      <x:c r="D138" s="19" t="str">
        <x:v>尊宝大厦店</x:v>
      </x:c>
      <x:c r="E138" s="19" t="str">
        <x:v>鲈鱼</x:v>
      </x:c>
      <x:c r="F138" s="32" t="n">
        <x:v>6.3</x:v>
      </x:c>
      <x:c r="G138" s="32" t="n">
        <x:v>4.019123455993627</x:v>
      </x:c>
      <x:c r="H138" s="24" t="n">
        <x:f>'菜品日销量'!G156*500/1000</x:f>
        <x:v>3.5</x:v>
      </x:c>
      <x:c r="I138" s="36" t="n">
        <x:v>0.01984805297568628</x:v>
      </x:c>
      <x:c r="J138" s="24" t="n">
        <x:f>H138*I138</x:f>
        <x:v>0.06946818541490198</x:v>
      </x:c>
      <x:c r="K138" s="32" t="n">
        <x:v>0</x:v>
      </x:c>
      <x:c r="L138" s="32" t="n">
        <x:v>0</x:v>
      </x:c>
      <x:c r="M138" s="32" t="n">
        <x:v>0</x:v>
      </x:c>
      <x:c r="N138" s="24" t="n">
        <x:f>F138+G138+K138-L138+M138-H138-J138</x:f>
        <x:v>6.7496552705787245</x:v>
      </x:c>
      <x:c r="O138" s="24" t="n">
        <x:f>H138*'封面与口径'!$O$24</x:f>
        <x:v>4.2</x:v>
      </x:c>
      <x:c r="P138" s="19" t="str">
        <x:f>IF(N138&lt;0,"缺货",IF(N138&lt;O138,"预警","正常"))</x:f>
        <x:v>正常</x:v>
      </x:c>
      <x:c r="Q138" s="19" t="str">
        <x:v>鲈鱼0707-02</x:v>
      </x:c>
    </x:row>
    <x:row r="139">
      <x:c r="A139" s="19" t="str">
        <x:v>2026-07-08|S02|鲈鱼</x:v>
      </x:c>
      <x:c r="B139" s="34" t="n">
        <x:v>46211.5</x:v>
      </x:c>
      <x:c r="C139" s="19" t="str">
        <x:v>S02</x:v>
      </x:c>
      <x:c r="D139" s="19" t="str">
        <x:v>尊宝大厦店</x:v>
      </x:c>
      <x:c r="E139" s="19" t="str">
        <x:v>鲈鱼</x:v>
      </x:c>
      <x:c r="F139" s="32" t="n">
        <x:v>6.7496552705787245</x:v>
      </x:c>
      <x:c r="G139" s="32" t="n">
        <x:v>3.881260219868566</x:v>
      </x:c>
      <x:c r="H139" s="24" t="n">
        <x:f>'菜品日销量'!G176*500/1000</x:f>
        <x:v>3.5</x:v>
      </x:c>
      <x:c r="I139" s="36" t="n">
        <x:v>0.03089692087515651</x:v>
      </x:c>
      <x:c r="J139" s="24" t="n">
        <x:f>H139*I139</x:f>
        <x:v>0.1081392230630478</x:v>
      </x:c>
      <x:c r="K139" s="32" t="n">
        <x:v>0</x:v>
      </x:c>
      <x:c r="L139" s="32" t="n">
        <x:v>0</x:v>
      </x:c>
      <x:c r="M139" s="32" t="n">
        <x:v>0</x:v>
      </x:c>
      <x:c r="N139" s="24" t="n">
        <x:f>F139+G139+K139-L139+M139-H139-J139</x:f>
        <x:v>7.022776267384242</x:v>
      </x:c>
      <x:c r="O139" s="24" t="n">
        <x:f>H139*'封面与口径'!$O$24</x:f>
        <x:v>4.2</x:v>
      </x:c>
      <x:c r="P139" s="19" t="str">
        <x:f>IF(N139&lt;0,"缺货",IF(N139&lt;O139,"预警","正常"))</x:f>
        <x:v>正常</x:v>
      </x:c>
      <x:c r="Q139" s="19" t="str">
        <x:v>鲈鱼0708-02</x:v>
      </x:c>
    </x:row>
    <x:row r="140">
      <x:c r="A140" s="19" t="str">
        <x:v>2026-07-09|S02|鲈鱼</x:v>
      </x:c>
      <x:c r="B140" s="34" t="n">
        <x:v>46212.5</x:v>
      </x:c>
      <x:c r="C140" s="19" t="str">
        <x:v>S02</x:v>
      </x:c>
      <x:c r="D140" s="19" t="str">
        <x:v>尊宝大厦店</x:v>
      </x:c>
      <x:c r="E140" s="19" t="str">
        <x:v>鲈鱼</x:v>
      </x:c>
      <x:c r="F140" s="32" t="n">
        <x:v>7.022776267384241</x:v>
      </x:c>
      <x:c r="G140" s="32" t="n">
        <x:v>4.067355990188047</x:v>
      </x:c>
      <x:c r="H140" s="24" t="n">
        <x:f>'菜品日销量'!G196*500/1000</x:f>
        <x:v>3.5</x:v>
      </x:c>
      <x:c r="I140" s="36" t="n">
        <x:v>0.01531711108175039</x:v>
      </x:c>
      <x:c r="J140" s="24" t="n">
        <x:f>H140*I140</x:f>
        <x:v>0.05360988878612637</x:v>
      </x:c>
      <x:c r="K140" s="32" t="n">
        <x:v>0</x:v>
      </x:c>
      <x:c r="L140" s="32" t="n">
        <x:v>0</x:v>
      </x:c>
      <x:c r="M140" s="32" t="n">
        <x:v>0</x:v>
      </x:c>
      <x:c r="N140" s="24" t="n">
        <x:f>F140+G140+K140-L140+M140-H140-J140</x:f>
        <x:v>7.536522368786163</x:v>
      </x:c>
      <x:c r="O140" s="24" t="n">
        <x:f>H140*'封面与口径'!$O$24</x:f>
        <x:v>4.2</x:v>
      </x:c>
      <x:c r="P140" s="19" t="str">
        <x:f>IF(N140&lt;0,"缺货",IF(N140&lt;O140,"预警","正常"))</x:f>
        <x:v>正常</x:v>
      </x:c>
      <x:c r="Q140" s="19" t="str">
        <x:v>鲈鱼0709-02</x:v>
      </x:c>
    </x:row>
    <x:row r="141">
      <x:c r="A141" s="19" t="str">
        <x:v>2026-07-10|S02|鲈鱼</x:v>
      </x:c>
      <x:c r="B141" s="34" t="n">
        <x:v>46213.5</x:v>
      </x:c>
      <x:c r="C141" s="19" t="str">
        <x:v>S02</x:v>
      </x:c>
      <x:c r="D141" s="19" t="str">
        <x:v>尊宝大厦店</x:v>
      </x:c>
      <x:c r="E141" s="19" t="str">
        <x:v>鲈鱼</x:v>
      </x:c>
      <x:c r="F141" s="32" t="n">
        <x:v>7.536522368786162</x:v>
      </x:c>
      <x:c r="G141" s="32" t="n">
        <x:v>3.947145279703463</x:v>
      </x:c>
      <x:c r="H141" s="24" t="n">
        <x:f>'菜品日销量'!G216*500/1000</x:f>
        <x:v>3.5</x:v>
      </x:c>
      <x:c r="I141" s="36" t="n">
        <x:v>0.02135960734946644</x:v>
      </x:c>
      <x:c r="J141" s="24" t="n">
        <x:f>H141*I141</x:f>
        <x:v>0.07475862572313255</x:v>
      </x:c>
      <x:c r="K141" s="32" t="n">
        <x:v>0</x:v>
      </x:c>
      <x:c r="L141" s="32" t="n">
        <x:v>0</x:v>
      </x:c>
      <x:c r="M141" s="32" t="n">
        <x:v>0</x:v>
      </x:c>
      <x:c r="N141" s="24" t="n">
        <x:f>F141+G141+K141-L141+M141-H141-J141</x:f>
        <x:v>7.908909022766492</x:v>
      </x:c>
      <x:c r="O141" s="24" t="n">
        <x:f>H141*'封面与口径'!$O$24</x:f>
        <x:v>4.2</x:v>
      </x:c>
      <x:c r="P141" s="19" t="str">
        <x:f>IF(N141&lt;0,"缺货",IF(N141&lt;O141,"预警","正常"))</x:f>
        <x:v>正常</x:v>
      </x:c>
      <x:c r="Q141" s="19" t="str">
        <x:v>鲈鱼0710-02</x:v>
      </x:c>
    </x:row>
    <x:row r="142">
      <x:c r="A142" s="19" t="str">
        <x:v>2026-07-11|S02|鲈鱼</x:v>
      </x:c>
      <x:c r="B142" s="34" t="n">
        <x:v>46214.5</x:v>
      </x:c>
      <x:c r="C142" s="19" t="str">
        <x:v>S02</x:v>
      </x:c>
      <x:c r="D142" s="19" t="str">
        <x:v>尊宝大厦店</x:v>
      </x:c>
      <x:c r="E142" s="19" t="str">
        <x:v>鲈鱼</x:v>
      </x:c>
      <x:c r="F142" s="32" t="n">
        <x:v>7.908909022766492</x:v>
      </x:c>
      <x:c r="G142" s="32" t="n">
        <x:v>3.5378096531745538</x:v>
      </x:c>
      <x:c r="H142" s="24" t="n">
        <x:f>'菜品日销量'!G236*500/1000</x:f>
        <x:v>3</x:v>
      </x:c>
      <x:c r="I142" s="36" t="n">
        <x:v>0.016170310867291482</x:v>
      </x:c>
      <x:c r="J142" s="24" t="n">
        <x:f>H142*I142</x:f>
        <x:v>0.048510932601874446</x:v>
      </x:c>
      <x:c r="K142" s="32" t="n">
        <x:v>0</x:v>
      </x:c>
      <x:c r="L142" s="32" t="n">
        <x:v>0</x:v>
      </x:c>
      <x:c r="M142" s="32" t="n">
        <x:v>0</x:v>
      </x:c>
      <x:c r="N142" s="24" t="n">
        <x:f>F142+G142+K142-L142+M142-H142-J142</x:f>
        <x:v>8.39820774333917</x:v>
      </x:c>
      <x:c r="O142" s="24" t="n">
        <x:f>H142*'封面与口径'!$O$24</x:f>
        <x:v>3.5999999999999996</x:v>
      </x:c>
      <x:c r="P142" s="19" t="str">
        <x:f>IF(N142&lt;0,"缺货",IF(N142&lt;O142,"预警","正常"))</x:f>
        <x:v>正常</x:v>
      </x:c>
      <x:c r="Q142" s="19" t="str">
        <x:v>鲈鱼0711-02</x:v>
      </x:c>
    </x:row>
    <x:row r="143">
      <x:c r="A143" s="19" t="str">
        <x:v>2026-07-12|S02|鲈鱼</x:v>
      </x:c>
      <x:c r="B143" s="34" t="n">
        <x:v>46215.5</x:v>
      </x:c>
      <x:c r="C143" s="19" t="str">
        <x:v>S02</x:v>
      </x:c>
      <x:c r="D143" s="19" t="str">
        <x:v>尊宝大厦店</x:v>
      </x:c>
      <x:c r="E143" s="19" t="str">
        <x:v>鲈鱼</x:v>
      </x:c>
      <x:c r="F143" s="32" t="n">
        <x:v>8.39820774333917</x:v>
      </x:c>
      <x:c r="G143" s="32" t="n">
        <x:v>2.944349210999056</x:v>
      </x:c>
      <x:c r="H143" s="24" t="n">
        <x:f>'菜品日销量'!G256*500/1000</x:f>
        <x:v>2.5</x:v>
      </x:c>
      <x:c r="I143" s="36" t="n">
        <x:v>0.020482283101995076</x:v>
      </x:c>
      <x:c r="J143" s="24" t="n">
        <x:f>H143*I143</x:f>
        <x:v>0.05120570775498769</x:v>
      </x:c>
      <x:c r="K143" s="32" t="n">
        <x:v>0</x:v>
      </x:c>
      <x:c r="L143" s="32" t="n">
        <x:v>0</x:v>
      </x:c>
      <x:c r="M143" s="32" t="n">
        <x:v>0</x:v>
      </x:c>
      <x:c r="N143" s="24" t="n">
        <x:f>F143+G143+K143-L143+M143-H143-J143</x:f>
        <x:v>8.791351246583238</x:v>
      </x:c>
      <x:c r="O143" s="24" t="n">
        <x:f>H143*'封面与口径'!$O$24</x:f>
        <x:v>3</x:v>
      </x:c>
      <x:c r="P143" s="19" t="str">
        <x:f>IF(N143&lt;0,"缺货",IF(N143&lt;O143,"预警","正常"))</x:f>
        <x:v>正常</x:v>
      </x:c>
      <x:c r="Q143" s="19" t="str">
        <x:v>鲈鱼0712-02</x:v>
      </x:c>
    </x:row>
    <x:row r="144">
      <x:c r="A144" s="19" t="str">
        <x:v>2026-07-13|S02|鲈鱼</x:v>
      </x:c>
      <x:c r="B144" s="34" t="n">
        <x:v>46216.5</x:v>
      </x:c>
      <x:c r="C144" s="19" t="str">
        <x:v>S02</x:v>
      </x:c>
      <x:c r="D144" s="19" t="str">
        <x:v>尊宝大厦店</x:v>
      </x:c>
      <x:c r="E144" s="19" t="str">
        <x:v>鲈鱼</x:v>
      </x:c>
      <x:c r="F144" s="32" t="n">
        <x:v>8.79135124658324</x:v>
      </x:c>
      <x:c r="G144" s="32" t="n">
        <x:v>4.716749478559184</x:v>
      </x:c>
      <x:c r="H144" s="24" t="n">
        <x:f>'菜品日销量'!G276*500/1000</x:f>
        <x:v>4</x:v>
      </x:c>
      <x:c r="I144" s="36" t="n">
        <x:v>0.023708423040506528</x:v>
      </x:c>
      <x:c r="J144" s="24" t="n">
        <x:f>H144*I144</x:f>
        <x:v>0.09483369216202611</x:v>
      </x:c>
      <x:c r="K144" s="32" t="n">
        <x:v>0</x:v>
      </x:c>
      <x:c r="L144" s="32" t="n">
        <x:v>0</x:v>
      </x:c>
      <x:c r="M144" s="32" t="n">
        <x:v>0</x:v>
      </x:c>
      <x:c r="N144" s="24" t="n">
        <x:f>F144+G144+K144-L144+M144-H144-J144</x:f>
        <x:v>9.413267032980396</x:v>
      </x:c>
      <x:c r="O144" s="24" t="n">
        <x:f>H144*'封面与口径'!$O$24</x:f>
        <x:v>4.8</x:v>
      </x:c>
      <x:c r="P144" s="19" t="str">
        <x:f>IF(N144&lt;0,"缺货",IF(N144&lt;O144,"预警","正常"))</x:f>
        <x:v>正常</x:v>
      </x:c>
      <x:c r="Q144" s="19" t="str">
        <x:v>鲈鱼0713-02</x:v>
      </x:c>
    </x:row>
    <x:row r="145">
      <x:c r="A145" s="19" t="str">
        <x:v>2026-07-07|S02|酸包菜</x:v>
      </x:c>
      <x:c r="B145" s="34" t="n">
        <x:v>46210.5</x:v>
      </x:c>
      <x:c r="C145" s="19" t="str">
        <x:v>S02</x:v>
      </x:c>
      <x:c r="D145" s="19" t="str">
        <x:v>尊宝大厦店</x:v>
      </x:c>
      <x:c r="E145" s="19" t="str">
        <x:v>酸包菜</x:v>
      </x:c>
      <x:c r="F145" s="32" t="n">
        <x:v>14.4</x:v>
      </x:c>
      <x:c r="G145" s="32" t="n">
        <x:v>8.891919365211372</x:v>
      </x:c>
      <x:c r="H145" s="24" t="n">
        <x:f>'菜品日销量'!G148*200/1000</x:f>
        <x:v>8</x:v>
      </x:c>
      <x:c r="I145" s="36" t="n">
        <x:v>0.01991191586593909</x:v>
      </x:c>
      <x:c r="J145" s="24" t="n">
        <x:f>H145*I145</x:f>
        <x:v>0.15929532692751272</x:v>
      </x:c>
      <x:c r="K145" s="32" t="n">
        <x:v>0</x:v>
      </x:c>
      <x:c r="L145" s="32" t="n">
        <x:v>0</x:v>
      </x:c>
      <x:c r="M145" s="32" t="n">
        <x:v>0</x:v>
      </x:c>
      <x:c r="N145" s="24" t="n">
        <x:f>F145+G145+K145-L145+M145-H145-J145</x:f>
        <x:v>15.132624038283858</x:v>
      </x:c>
      <x:c r="O145" s="24" t="n">
        <x:f>H145*'封面与口径'!$O$24</x:f>
        <x:v>9.6</x:v>
      </x:c>
      <x:c r="P145" s="19" t="str">
        <x:f>IF(N145&lt;0,"缺货",IF(N145&lt;O145,"预警","正常"))</x:f>
        <x:v>正常</x:v>
      </x:c>
      <x:c r="Q145" s="19" t="str">
        <x:v>酸包0707-02</x:v>
      </x:c>
    </x:row>
    <x:row r="146">
      <x:c r="A146" s="19" t="str">
        <x:v>2026-07-08|S02|酸包菜</x:v>
      </x:c>
      <x:c r="B146" s="34" t="n">
        <x:v>46211.5</x:v>
      </x:c>
      <x:c r="C146" s="19" t="str">
        <x:v>S02</x:v>
      </x:c>
      <x:c r="D146" s="19" t="str">
        <x:v>尊宝大厦店</x:v>
      </x:c>
      <x:c r="E146" s="19" t="str">
        <x:v>酸包菜</x:v>
      </x:c>
      <x:c r="F146" s="32" t="n">
        <x:v>15.132624038283858</x:v>
      </x:c>
      <x:c r="G146" s="32" t="n">
        <x:v>9.527273212579841</x:v>
      </x:c>
      <x:c r="H146" s="24" t="n">
        <x:f>'菜品日销量'!G168*200/1000</x:f>
        <x:v>8</x:v>
      </x:c>
      <x:c r="I146" s="36" t="n">
        <x:v>0.03488673219338216</x:v>
      </x:c>
      <x:c r="J146" s="24" t="n">
        <x:f>H146*I146</x:f>
        <x:v>0.2790938575470573</x:v>
      </x:c>
      <x:c r="K146" s="32" t="n">
        <x:v>0</x:v>
      </x:c>
      <x:c r="L146" s="32" t="n">
        <x:v>0</x:v>
      </x:c>
      <x:c r="M146" s="32" t="n">
        <x:v>0</x:v>
      </x:c>
      <x:c r="N146" s="24" t="n">
        <x:f>F146+G146+K146-L146+M146-H146-J146</x:f>
        <x:v>16.380803393316643</x:v>
      </x:c>
      <x:c r="O146" s="24" t="n">
        <x:f>H146*'封面与口径'!$O$24</x:f>
        <x:v>9.6</x:v>
      </x:c>
      <x:c r="P146" s="19" t="str">
        <x:f>IF(N146&lt;0,"缺货",IF(N146&lt;O146,"预警","正常"))</x:f>
        <x:v>正常</x:v>
      </x:c>
      <x:c r="Q146" s="19" t="str">
        <x:v>酸包0708-02</x:v>
      </x:c>
    </x:row>
    <x:row r="147">
      <x:c r="A147" s="19" t="str">
        <x:v>2026-07-09|S02|酸包菜</x:v>
      </x:c>
      <x:c r="B147" s="34" t="n">
        <x:v>46212.5</x:v>
      </x:c>
      <x:c r="C147" s="19" t="str">
        <x:v>S02</x:v>
      </x:c>
      <x:c r="D147" s="19" t="str">
        <x:v>尊宝大厦店</x:v>
      </x:c>
      <x:c r="E147" s="19" t="str">
        <x:v>酸包菜</x:v>
      </x:c>
      <x:c r="F147" s="32" t="n">
        <x:v>16.380803393316643</x:v>
      </x:c>
      <x:c r="G147" s="32" t="n">
        <x:v>8.700118743631085</x:v>
      </x:c>
      <x:c r="H147" s="24" t="n">
        <x:f>'菜品日销量'!G188*200/1000</x:f>
        <x:v>7.8</x:v>
      </x:c>
      <x:c r="I147" s="36" t="n">
        <x:v>0.02843244394833046</x:v>
      </x:c>
      <x:c r="J147" s="24" t="n">
        <x:f>H147*I147</x:f>
        <x:v>0.2217730627969776</x:v>
      </x:c>
      <x:c r="K147" s="32" t="n">
        <x:v>0</x:v>
      </x:c>
      <x:c r="L147" s="32" t="n">
        <x:v>0</x:v>
      </x:c>
      <x:c r="M147" s="32" t="n">
        <x:v>0</x:v>
      </x:c>
      <x:c r="N147" s="24" t="n">
        <x:f>F147+G147+K147-L147+M147-H147-J147</x:f>
        <x:v>17.05914907415075</x:v>
      </x:c>
      <x:c r="O147" s="24" t="n">
        <x:f>H147*'封面与口径'!$O$24</x:f>
        <x:v>9.36</x:v>
      </x:c>
      <x:c r="P147" s="19" t="str">
        <x:f>IF(N147&lt;0,"缺货",IF(N147&lt;O147,"预警","正常"))</x:f>
        <x:v>正常</x:v>
      </x:c>
      <x:c r="Q147" s="19" t="str">
        <x:v>酸包0709-02</x:v>
      </x:c>
    </x:row>
    <x:row r="148">
      <x:c r="A148" s="19" t="str">
        <x:v>2026-07-10|S02|酸包菜</x:v>
      </x:c>
      <x:c r="B148" s="34" t="n">
        <x:v>46213.5</x:v>
      </x:c>
      <x:c r="C148" s="19" t="str">
        <x:v>S02</x:v>
      </x:c>
      <x:c r="D148" s="19" t="str">
        <x:v>尊宝大厦店</x:v>
      </x:c>
      <x:c r="E148" s="19" t="str">
        <x:v>酸包菜</x:v>
      </x:c>
      <x:c r="F148" s="32" t="n">
        <x:v>17.05914907415075</x:v>
      </x:c>
      <x:c r="G148" s="32" t="n">
        <x:v>9.155312402115044</x:v>
      </x:c>
      <x:c r="H148" s="24" t="n">
        <x:f>'菜品日销量'!G208*200/1000</x:f>
        <x:v>8.4</x:v>
      </x:c>
      <x:c r="I148" s="36" t="n">
        <x:v>0.03451201982319169</x:v>
      </x:c>
      <x:c r="J148" s="24" t="n">
        <x:f>H148*I148</x:f>
        <x:v>0.28990096651481023</x:v>
      </x:c>
      <x:c r="K148" s="32" t="n">
        <x:v>0</x:v>
      </x:c>
      <x:c r="L148" s="32" t="n">
        <x:v>0</x:v>
      </x:c>
      <x:c r="M148" s="32" t="n">
        <x:v>0</x:v>
      </x:c>
      <x:c r="N148" s="24" t="n">
        <x:f>F148+G148+K148-L148+M148-H148-J148</x:f>
        <x:v>17.52456050975098</x:v>
      </x:c>
      <x:c r="O148" s="24" t="n">
        <x:f>H148*'封面与口径'!$O$24</x:f>
        <x:v>10.08</x:v>
      </x:c>
      <x:c r="P148" s="19" t="str">
        <x:f>IF(N148&lt;0,"缺货",IF(N148&lt;O148,"预警","正常"))</x:f>
        <x:v>正常</x:v>
      </x:c>
      <x:c r="Q148" s="19" t="str">
        <x:v>酸包0710-02</x:v>
      </x:c>
    </x:row>
    <x:row r="149">
      <x:c r="A149" s="19" t="str">
        <x:v>2026-07-11|S02|酸包菜</x:v>
      </x:c>
      <x:c r="B149" s="34" t="n">
        <x:v>46214.5</x:v>
      </x:c>
      <x:c r="C149" s="19" t="str">
        <x:v>S02</x:v>
      </x:c>
      <x:c r="D149" s="19" t="str">
        <x:v>尊宝大厦店</x:v>
      </x:c>
      <x:c r="E149" s="19" t="str">
        <x:v>酸包菜</x:v>
      </x:c>
      <x:c r="F149" s="32" t="n">
        <x:v>17.524560509750984</x:v>
      </x:c>
      <x:c r="G149" s="32" t="n">
        <x:v>7.05284364046828</x:v>
      </x:c>
      <x:c r="H149" s="24" t="n">
        <x:f>'菜品日销量'!G228*200/1000</x:f>
        <x:v>6</x:v>
      </x:c>
      <x:c r="I149" s="36" t="n">
        <x:v>0.020937035691676903</x:v>
      </x:c>
      <x:c r="J149" s="24" t="n">
        <x:f>H149*I149</x:f>
        <x:v>0.12562221415006142</x:v>
      </x:c>
      <x:c r="K149" s="32" t="n">
        <x:v>0</x:v>
      </x:c>
      <x:c r="L149" s="32" t="n">
        <x:v>0</x:v>
      </x:c>
      <x:c r="M149" s="32" t="n">
        <x:v>0</x:v>
      </x:c>
      <x:c r="N149" s="24" t="n">
        <x:f>F149+G149+K149-L149+M149-H149-J149</x:f>
        <x:v>18.451781936069203</x:v>
      </x:c>
      <x:c r="O149" s="24" t="n">
        <x:f>H149*'封面与口径'!$O$24</x:f>
        <x:v>7.199999999999999</x:v>
      </x:c>
      <x:c r="P149" s="19" t="str">
        <x:f>IF(N149&lt;0,"缺货",IF(N149&lt;O149,"预警","正常"))</x:f>
        <x:v>正常</x:v>
      </x:c>
      <x:c r="Q149" s="19" t="str">
        <x:v>酸包0711-02</x:v>
      </x:c>
    </x:row>
    <x:row r="150">
      <x:c r="A150" s="19" t="str">
        <x:v>2026-07-12|S02|酸包菜</x:v>
      </x:c>
      <x:c r="B150" s="34" t="n">
        <x:v>46215.5</x:v>
      </x:c>
      <x:c r="C150" s="19" t="str">
        <x:v>S02</x:v>
      </x:c>
      <x:c r="D150" s="19" t="str">
        <x:v>尊宝大厦店</x:v>
      </x:c>
      <x:c r="E150" s="19" t="str">
        <x:v>酸包菜</x:v>
      </x:c>
      <x:c r="F150" s="32" t="n">
        <x:v>18.451781936069203</x:v>
      </x:c>
      <x:c r="G150" s="32" t="n">
        <x:v>7.217236048035612</x:v>
      </x:c>
      <x:c r="H150" s="24" t="n">
        <x:f>'菜品日销量'!G248*200/1000</x:f>
        <x:v>6.2</x:v>
      </x:c>
      <x:c r="I150" s="36" t="n">
        <x:v>0.01925213630177363</x:v>
      </x:c>
      <x:c r="J150" s="24" t="n">
        <x:f>H150*I150</x:f>
        <x:v>0.11936324507099651</x:v>
      </x:c>
      <x:c r="K150" s="32" t="n">
        <x:v>0</x:v>
      </x:c>
      <x:c r="L150" s="32" t="n">
        <x:v>0</x:v>
      </x:c>
      <x:c r="M150" s="32" t="n">
        <x:v>0</x:v>
      </x:c>
      <x:c r="N150" s="24" t="n">
        <x:f>F150+G150+K150-L150+M150-H150-J150</x:f>
        <x:v>19.34965473903382</x:v>
      </x:c>
      <x:c r="O150" s="24" t="n">
        <x:f>H150*'封面与口径'!$O$24</x:f>
        <x:v>7.4399999999999995</x:v>
      </x:c>
      <x:c r="P150" s="19" t="str">
        <x:f>IF(N150&lt;0,"缺货",IF(N150&lt;O150,"预警","正常"))</x:f>
        <x:v>正常</x:v>
      </x:c>
      <x:c r="Q150" s="19" t="str">
        <x:v>酸包0712-02</x:v>
      </x:c>
    </x:row>
    <x:row r="151">
      <x:c r="A151" s="19" t="str">
        <x:v>2026-07-13|S02|酸包菜</x:v>
      </x:c>
      <x:c r="B151" s="34" t="n">
        <x:v>46216.5</x:v>
      </x:c>
      <x:c r="C151" s="19" t="str">
        <x:v>S02</x:v>
      </x:c>
      <x:c r="D151" s="19" t="str">
        <x:v>尊宝大厦店</x:v>
      </x:c>
      <x:c r="E151" s="19" t="str">
        <x:v>酸包菜</x:v>
      </x:c>
      <x:c r="F151" s="32" t="n">
        <x:v>19.349654739033816</x:v>
      </x:c>
      <x:c r="G151" s="32" t="n">
        <x:v>10.48201107719215</x:v>
      </x:c>
      <x:c r="H151" s="24" t="n">
        <x:f>'菜品日销量'!G268*200/1000</x:f>
        <x:v>9.6</x:v>
      </x:c>
      <x:c r="I151" s="36" t="n">
        <x:v>0.03282100007236493</x:v>
      </x:c>
      <x:c r="J151" s="24" t="n">
        <x:f>H151*I151</x:f>
        <x:v>0.3150816006947033</x:v>
      </x:c>
      <x:c r="K151" s="32" t="n">
        <x:v>0</x:v>
      </x:c>
      <x:c r="L151" s="32" t="n">
        <x:v>0</x:v>
      </x:c>
      <x:c r="M151" s="32" t="n">
        <x:v>0</x:v>
      </x:c>
      <x:c r="N151" s="24" t="n">
        <x:f>F151+G151+K151-L151+M151-H151-J151</x:f>
        <x:v>19.91658421553126</x:v>
      </x:c>
      <x:c r="O151" s="24" t="n">
        <x:f>H151*'封面与口径'!$O$24</x:f>
        <x:v>11.52</x:v>
      </x:c>
      <x:c r="P151" s="19" t="str">
        <x:f>IF(N151&lt;0,"缺货",IF(N151&lt;O151,"预警","正常"))</x:f>
        <x:v>正常</x:v>
      </x:c>
      <x:c r="Q151" s="19" t="str">
        <x:v>酸包0713-02</x:v>
      </x:c>
    </x:row>
    <x:row r="152">
      <x:c r="A152" s="19" t="str">
        <x:v>2026-07-07|S02|粉皮</x:v>
      </x:c>
      <x:c r="B152" s="34" t="n">
        <x:v>46210.5</x:v>
      </x:c>
      <x:c r="C152" s="19" t="str">
        <x:v>S02</x:v>
      </x:c>
      <x:c r="D152" s="19" t="str">
        <x:v>尊宝大厦店</x:v>
      </x:c>
      <x:c r="E152" s="19" t="str">
        <x:v>粉皮</x:v>
      </x:c>
      <x:c r="F152" s="32" t="n">
        <x:v>10.8</x:v>
      </x:c>
      <x:c r="G152" s="32" t="n">
        <x:v>6.549082618502222</x:v>
      </x:c>
      <x:c r="H152" s="24" t="n">
        <x:f>'菜品日销量'!G148*150/1000</x:f>
        <x:v>6</x:v>
      </x:c>
      <x:c r="I152" s="36" t="n">
        <x:v>0.024711281713031066</x:v>
      </x:c>
      <x:c r="J152" s="24" t="n">
        <x:f>H152*I152</x:f>
        <x:v>0.1482676902781864</x:v>
      </x:c>
      <x:c r="K152" s="32" t="n">
        <x:v>0</x:v>
      </x:c>
      <x:c r="L152" s="32" t="n">
        <x:v>0</x:v>
      </x:c>
      <x:c r="M152" s="32" t="n">
        <x:v>0</x:v>
      </x:c>
      <x:c r="N152" s="24" t="n">
        <x:f>F152+G152+K152-L152+M152-H152-J152</x:f>
        <x:v>11.200814928224036</x:v>
      </x:c>
      <x:c r="O152" s="24" t="n">
        <x:f>H152*'封面与口径'!$O$24</x:f>
        <x:v>7.199999999999999</x:v>
      </x:c>
      <x:c r="P152" s="19" t="str">
        <x:f>IF(N152&lt;0,"缺货",IF(N152&lt;O152,"预警","正常"))</x:f>
        <x:v>正常</x:v>
      </x:c>
      <x:c r="Q152" s="19" t="str">
        <x:v>粉皮0707-02</x:v>
      </x:c>
    </x:row>
    <x:row r="153">
      <x:c r="A153" s="19" t="str">
        <x:v>2026-07-08|S02|粉皮</x:v>
      </x:c>
      <x:c r="B153" s="34" t="n">
        <x:v>46211.5</x:v>
      </x:c>
      <x:c r="C153" s="19" t="str">
        <x:v>S02</x:v>
      </x:c>
      <x:c r="D153" s="19" t="str">
        <x:v>尊宝大厦店</x:v>
      </x:c>
      <x:c r="E153" s="19" t="str">
        <x:v>粉皮</x:v>
      </x:c>
      <x:c r="F153" s="32" t="n">
        <x:v>11.200814928224037</x:v>
      </x:c>
      <x:c r="G153" s="32" t="n">
        <x:v>7.111892025692364</x:v>
      </x:c>
      <x:c r="H153" s="24" t="n">
        <x:f>'菜品日销量'!G168*150/1000</x:f>
        <x:v>6</x:v>
      </x:c>
      <x:c r="I153" s="36" t="n">
        <x:v>0.03810805572152791</x:v>
      </x:c>
      <x:c r="J153" s="24" t="n">
        <x:f>H153*I153</x:f>
        <x:v>0.22864833432916745</x:v>
      </x:c>
      <x:c r="K153" s="32" t="n">
        <x:v>0</x:v>
      </x:c>
      <x:c r="L153" s="32" t="n">
        <x:v>0</x:v>
      </x:c>
      <x:c r="M153" s="32" t="n">
        <x:v>0</x:v>
      </x:c>
      <x:c r="N153" s="24" t="n">
        <x:f>F153+G153+K153-L153+M153-H153-J153</x:f>
        <x:v>12.084058619587234</x:v>
      </x:c>
      <x:c r="O153" s="24" t="n">
        <x:f>H153*'封面与口径'!$O$24</x:f>
        <x:v>7.199999999999999</x:v>
      </x:c>
      <x:c r="P153" s="19" t="str">
        <x:f>IF(N153&lt;0,"缺货",IF(N153&lt;O153,"预警","正常"))</x:f>
        <x:v>正常</x:v>
      </x:c>
      <x:c r="Q153" s="19" t="str">
        <x:v>粉皮0708-02</x:v>
      </x:c>
    </x:row>
    <x:row r="154">
      <x:c r="A154" s="19" t="str">
        <x:v>2026-07-09|S02|粉皮</x:v>
      </x:c>
      <x:c r="B154" s="34" t="n">
        <x:v>46212.5</x:v>
      </x:c>
      <x:c r="C154" s="19" t="str">
        <x:v>S02</x:v>
      </x:c>
      <x:c r="D154" s="19" t="str">
        <x:v>尊宝大厦店</x:v>
      </x:c>
      <x:c r="E154" s="19" t="str">
        <x:v>粉皮</x:v>
      </x:c>
      <x:c r="F154" s="32" t="n">
        <x:v>12.084058619587234</x:v>
      </x:c>
      <x:c r="G154" s="32" t="n">
        <x:v>6.923548472265608</x:v>
      </x:c>
      <x:c r="H154" s="24" t="n">
        <x:f>'菜品日销量'!G188*150/1000</x:f>
        <x:v>5.85</x:v>
      </x:c>
      <x:c r="I154" s="36" t="n">
        <x:v>0.036961342781307485</x:v>
      </x:c>
      <x:c r="J154" s="24" t="n">
        <x:f>H154*I154</x:f>
        <x:v>0.21622385527064877</x:v>
      </x:c>
      <x:c r="K154" s="32" t="n">
        <x:v>0</x:v>
      </x:c>
      <x:c r="L154" s="32" t="n">
        <x:v>0</x:v>
      </x:c>
      <x:c r="M154" s="32" t="n">
        <x:v>0</x:v>
      </x:c>
      <x:c r="N154" s="24" t="n">
        <x:f>F154+G154+K154-L154+M154-H154-J154</x:f>
        <x:v>12.941383236582192</x:v>
      </x:c>
      <x:c r="O154" s="24" t="n">
        <x:f>H154*'封面与口径'!$O$24</x:f>
        <x:v>7.02</x:v>
      </x:c>
      <x:c r="P154" s="19" t="str">
        <x:f>IF(N154&lt;0,"缺货",IF(N154&lt;O154,"预警","正常"))</x:f>
        <x:v>正常</x:v>
      </x:c>
      <x:c r="Q154" s="19" t="str">
        <x:v>粉皮0709-02</x:v>
      </x:c>
    </x:row>
    <x:row r="155">
      <x:c r="A155" s="19" t="str">
        <x:v>2026-07-10|S02|粉皮</x:v>
      </x:c>
      <x:c r="B155" s="34" t="n">
        <x:v>46213.5</x:v>
      </x:c>
      <x:c r="C155" s="19" t="str">
        <x:v>S02</x:v>
      </x:c>
      <x:c r="D155" s="19" t="str">
        <x:v>尊宝大厦店</x:v>
      </x:c>
      <x:c r="E155" s="19" t="str">
        <x:v>粉皮</x:v>
      </x:c>
      <x:c r="F155" s="32" t="n">
        <x:v>12.94138323658219</x:v>
      </x:c>
      <x:c r="G155" s="32" t="n">
        <x:v>7.221383457797902</x:v>
      </x:c>
      <x:c r="H155" s="24" t="n">
        <x:f>'菜品日销量'!G208*150/1000</x:f>
        <x:v>6.3</x:v>
      </x:c>
      <x:c r="I155" s="36" t="n">
        <x:v>0.02625087187654592</x:v>
      </x:c>
      <x:c r="J155" s="24" t="n">
        <x:f>H155*I155</x:f>
        <x:v>0.1653804928222393</x:v>
      </x:c>
      <x:c r="K155" s="32" t="n">
        <x:v>0</x:v>
      </x:c>
      <x:c r="L155" s="32" t="n">
        <x:v>0</x:v>
      </x:c>
      <x:c r="M155" s="32" t="n">
        <x:v>0</x:v>
      </x:c>
      <x:c r="N155" s="24" t="n">
        <x:f>F155+G155+K155-L155+M155-H155-J155</x:f>
        <x:v>13.697386201557853</x:v>
      </x:c>
      <x:c r="O155" s="24" t="n">
        <x:f>H155*'封面与口径'!$O$24</x:f>
        <x:v>7.56</x:v>
      </x:c>
      <x:c r="P155" s="19" t="str">
        <x:f>IF(N155&lt;0,"缺货",IF(N155&lt;O155,"预警","正常"))</x:f>
        <x:v>正常</x:v>
      </x:c>
      <x:c r="Q155" s="19" t="str">
        <x:v>粉皮0710-02</x:v>
      </x:c>
    </x:row>
    <x:row r="156">
      <x:c r="A156" s="19" t="str">
        <x:v>2026-07-11|S02|粉皮</x:v>
      </x:c>
      <x:c r="B156" s="34" t="n">
        <x:v>46214.5</x:v>
      </x:c>
      <x:c r="C156" s="19" t="str">
        <x:v>S02</x:v>
      </x:c>
      <x:c r="D156" s="19" t="str">
        <x:v>尊宝大厦店</x:v>
      </x:c>
      <x:c r="E156" s="19" t="str">
        <x:v>粉皮</x:v>
      </x:c>
      <x:c r="F156" s="32" t="n">
        <x:v>13.697386201557853</x:v>
      </x:c>
      <x:c r="G156" s="32" t="n">
        <x:v>5.096327800125892</x:v>
      </x:c>
      <x:c r="H156" s="24" t="n">
        <x:f>'菜品日销量'!G228*150/1000</x:f>
        <x:v>4.5</x:v>
      </x:c>
      <x:c r="I156" s="36" t="n">
        <x:v>0.031118651009425204</x:v>
      </x:c>
      <x:c r="J156" s="24" t="n">
        <x:f>H156*I156</x:f>
        <x:v>0.14003392954241342</x:v>
      </x:c>
      <x:c r="K156" s="32" t="n">
        <x:v>0</x:v>
      </x:c>
      <x:c r="L156" s="32" t="n">
        <x:v>0</x:v>
      </x:c>
      <x:c r="M156" s="32" t="n">
        <x:v>0</x:v>
      </x:c>
      <x:c r="N156" s="24" t="n">
        <x:f>F156+G156+K156-L156+M156-H156-J156</x:f>
        <x:v>14.153680072141333</x:v>
      </x:c>
      <x:c r="O156" s="24" t="n">
        <x:f>H156*'封面与口径'!$O$24</x:f>
        <x:v>5.3999999999999995</x:v>
      </x:c>
      <x:c r="P156" s="19" t="str">
        <x:f>IF(N156&lt;0,"缺货",IF(N156&lt;O156,"预警","正常"))</x:f>
        <x:v>正常</x:v>
      </x:c>
      <x:c r="Q156" s="19" t="str">
        <x:v>粉皮0711-02</x:v>
      </x:c>
    </x:row>
    <x:row r="157">
      <x:c r="A157" s="19" t="str">
        <x:v>2026-07-12|S02|粉皮</x:v>
      </x:c>
      <x:c r="B157" s="34" t="n">
        <x:v>46215.5</x:v>
      </x:c>
      <x:c r="C157" s="19" t="str">
        <x:v>S02</x:v>
      </x:c>
      <x:c r="D157" s="19" t="str">
        <x:v>尊宝大厦店</x:v>
      </x:c>
      <x:c r="E157" s="19" t="str">
        <x:v>粉皮</x:v>
      </x:c>
      <x:c r="F157" s="32" t="n">
        <x:v>14.153680072141333</x:v>
      </x:c>
      <x:c r="G157" s="32" t="n">
        <x:v>5.080236375626232</x:v>
      </x:c>
      <x:c r="H157" s="24" t="n">
        <x:f>'菜品日销量'!G248*150/1000</x:f>
        <x:v>4.65</x:v>
      </x:c>
      <x:c r="I157" s="36" t="n">
        <x:v>0.034846172332727854</x:v>
      </x:c>
      <x:c r="J157" s="24" t="n">
        <x:f>H157*I157</x:f>
        <x:v>0.16203470134718453</x:v>
      </x:c>
      <x:c r="K157" s="32" t="n">
        <x:v>0</x:v>
      </x:c>
      <x:c r="L157" s="32" t="n">
        <x:v>0</x:v>
      </x:c>
      <x:c r="M157" s="32" t="n">
        <x:v>0</x:v>
      </x:c>
      <x:c r="N157" s="24" t="n">
        <x:f>F157+G157+K157-L157+M157-H157-J157</x:f>
        <x:v>14.421881746420377</x:v>
      </x:c>
      <x:c r="O157" s="24" t="n">
        <x:f>H157*'封面与口径'!$O$24</x:f>
        <x:v>5.58</x:v>
      </x:c>
      <x:c r="P157" s="19" t="str">
        <x:f>IF(N157&lt;0,"缺货",IF(N157&lt;O157,"预警","正常"))</x:f>
        <x:v>正常</x:v>
      </x:c>
      <x:c r="Q157" s="19" t="str">
        <x:v>粉皮0712-02</x:v>
      </x:c>
    </x:row>
    <x:row r="158">
      <x:c r="A158" s="19" t="str">
        <x:v>2026-07-13|S02|粉皮</x:v>
      </x:c>
      <x:c r="B158" s="34" t="n">
        <x:v>46216.5</x:v>
      </x:c>
      <x:c r="C158" s="19" t="str">
        <x:v>S02</x:v>
      </x:c>
      <x:c r="D158" s="19" t="str">
        <x:v>尊宝大厦店</x:v>
      </x:c>
      <x:c r="E158" s="19" t="str">
        <x:v>粉皮</x:v>
      </x:c>
      <x:c r="F158" s="32" t="n">
        <x:v>14.421881746420379</x:v>
      </x:c>
      <x:c r="G158" s="32" t="n">
        <x:v>8.00041645168523</x:v>
      </x:c>
      <x:c r="H158" s="24" t="n">
        <x:f>'菜品日销量'!G268*150/1000</x:f>
        <x:v>7.2</x:v>
      </x:c>
      <x:c r="I158" s="36" t="n">
        <x:v>0.018771096206915354</x:v>
      </x:c>
      <x:c r="J158" s="24" t="n">
        <x:f>H158*I158</x:f>
        <x:v>0.13515189268979055</x:v>
      </x:c>
      <x:c r="K158" s="32" t="n">
        <x:v>0</x:v>
      </x:c>
      <x:c r="L158" s="32" t="n">
        <x:v>0</x:v>
      </x:c>
      <x:c r="M158" s="32" t="n">
        <x:v>0</x:v>
      </x:c>
      <x:c r="N158" s="24" t="n">
        <x:f>F158+G158+K158-L158+M158-H158-J158</x:f>
        <x:v>15.087146305415818</x:v>
      </x:c>
      <x:c r="O158" s="24" t="n">
        <x:f>H158*'封面与口径'!$O$24</x:f>
        <x:v>8.64</x:v>
      </x:c>
      <x:c r="P158" s="19" t="str">
        <x:f>IF(N158&lt;0,"缺货",IF(N158&lt;O158,"预警","正常"))</x:f>
        <x:v>正常</x:v>
      </x:c>
      <x:c r="Q158" s="19" t="str">
        <x:v>粉皮0713-02</x:v>
      </x:c>
    </x:row>
    <x:row r="159">
      <x:c r="A159" s="19" t="str">
        <x:v>2026-07-07|S02|鸡杂</x:v>
      </x:c>
      <x:c r="B159" s="34" t="n">
        <x:v>46210.5</x:v>
      </x:c>
      <x:c r="C159" s="19" t="str">
        <x:v>S02</x:v>
      </x:c>
      <x:c r="D159" s="19" t="str">
        <x:v>尊宝大厦店</x:v>
      </x:c>
      <x:c r="E159" s="19" t="str">
        <x:v>鸡杂</x:v>
      </x:c>
      <x:c r="F159" s="32" t="n">
        <x:v>7.65</x:v>
      </x:c>
      <x:c r="G159" s="32" t="n">
        <x:v>4.847747912264371</x:v>
      </x:c>
      <x:c r="H159" s="24" t="n">
        <x:f>'菜品日销量'!G158*250/1000+'菜品日销量'!G163*250/1000</x:f>
        <x:v>4.25</x:v>
      </x:c>
      <x:c r="I159" s="36" t="n">
        <x:v>0.039548062746075</x:v>
      </x:c>
      <x:c r="J159" s="24" t="n">
        <x:f>H159*I159</x:f>
        <x:v>0.16807926667081877</x:v>
      </x:c>
      <x:c r="K159" s="32" t="n">
        <x:v>0</x:v>
      </x:c>
      <x:c r="L159" s="32" t="n">
        <x:v>0</x:v>
      </x:c>
      <x:c r="M159" s="32" t="n">
        <x:v>0</x:v>
      </x:c>
      <x:c r="N159" s="24" t="n">
        <x:f>F159+G159+K159-L159+M159-H159-J159</x:f>
        <x:v>8.079668645593552</x:v>
      </x:c>
      <x:c r="O159" s="24" t="n">
        <x:f>H159*'封面与口径'!$O$24</x:f>
        <x:v>5.1</x:v>
      </x:c>
      <x:c r="P159" s="19" t="str">
        <x:f>IF(N159&lt;0,"缺货",IF(N159&lt;O159,"预警","正常"))</x:f>
        <x:v>正常</x:v>
      </x:c>
      <x:c r="Q159" s="19" t="str">
        <x:v>鸡杂0707-02</x:v>
      </x:c>
    </x:row>
    <x:row r="160">
      <x:c r="A160" s="19" t="str">
        <x:v>2026-07-08|S02|鸡杂</x:v>
      </x:c>
      <x:c r="B160" s="34" t="n">
        <x:v>46211.5</x:v>
      </x:c>
      <x:c r="C160" s="19" t="str">
        <x:v>S02</x:v>
      </x:c>
      <x:c r="D160" s="19" t="str">
        <x:v>尊宝大厦店</x:v>
      </x:c>
      <x:c r="E160" s="19" t="str">
        <x:v>鸡杂</x:v>
      </x:c>
      <x:c r="F160" s="32" t="n">
        <x:v>8.079668645593554</x:v>
      </x:c>
      <x:c r="G160" s="32" t="n">
        <x:v>4.061214432744593</x:v>
      </x:c>
      <x:c r="H160" s="24" t="n">
        <x:f>'菜品日销量'!G178*250/1000+'菜品日销量'!G183*250/1000</x:f>
        <x:v>3.5</x:v>
      </x:c>
      <x:c r="I160" s="36" t="n">
        <x:v>0.025154068303563183</x:v>
      </x:c>
      <x:c r="J160" s="24" t="n">
        <x:f>H160*I160</x:f>
        <x:v>0.08803923906247114</x:v>
      </x:c>
      <x:c r="K160" s="32" t="n">
        <x:v>0</x:v>
      </x:c>
      <x:c r="L160" s="32" t="n">
        <x:v>0</x:v>
      </x:c>
      <x:c r="M160" s="32" t="n">
        <x:v>0</x:v>
      </x:c>
      <x:c r="N160" s="24" t="n">
        <x:f>F160+G160+K160-L160+M160-H160-J160</x:f>
        <x:v>8.552843839275674</x:v>
      </x:c>
      <x:c r="O160" s="24" t="n">
        <x:f>H160*'封面与口径'!$O$24</x:f>
        <x:v>4.2</x:v>
      </x:c>
      <x:c r="P160" s="19" t="str">
        <x:f>IF(N160&lt;0,"缺货",IF(N160&lt;O160,"预警","正常"))</x:f>
        <x:v>正常</x:v>
      </x:c>
      <x:c r="Q160" s="19" t="str">
        <x:v>鸡杂0708-02</x:v>
      </x:c>
    </x:row>
    <x:row r="161">
      <x:c r="A161" s="19" t="str">
        <x:v>2026-07-09|S02|鸡杂</x:v>
      </x:c>
      <x:c r="B161" s="34" t="n">
        <x:v>46212.5</x:v>
      </x:c>
      <x:c r="C161" s="19" t="str">
        <x:v>S02</x:v>
      </x:c>
      <x:c r="D161" s="19" t="str">
        <x:v>尊宝大厦店</x:v>
      </x:c>
      <x:c r="E161" s="19" t="str">
        <x:v>鸡杂</x:v>
      </x:c>
      <x:c r="F161" s="32" t="n">
        <x:v>8.552843839275674</x:v>
      </x:c>
      <x:c r="G161" s="32" t="n">
        <x:v>4.029830837498846</x:v>
      </x:c>
      <x:c r="H161" s="24" t="n">
        <x:f>'菜品日销量'!G198*250/1000+'菜品日销量'!G203*250/1000</x:f>
        <x:v>3.5</x:v>
      </x:c>
      <x:c r="I161" s="36" t="n">
        <x:v>0.03652056892437874</x:v>
      </x:c>
      <x:c r="J161" s="24" t="n">
        <x:f>H161*I161</x:f>
        <x:v>0.1278219912353256</x:v>
      </x:c>
      <x:c r="K161" s="32" t="n">
        <x:v>0</x:v>
      </x:c>
      <x:c r="L161" s="32" t="n">
        <x:v>0</x:v>
      </x:c>
      <x:c r="M161" s="32" t="n">
        <x:v>0</x:v>
      </x:c>
      <x:c r="N161" s="24" t="n">
        <x:f>F161+G161+K161-L161+M161-H161-J161</x:f>
        <x:v>8.954852685539194</x:v>
      </x:c>
      <x:c r="O161" s="24" t="n">
        <x:f>H161*'封面与口径'!$O$24</x:f>
        <x:v>4.2</x:v>
      </x:c>
      <x:c r="P161" s="19" t="str">
        <x:f>IF(N161&lt;0,"缺货",IF(N161&lt;O161,"预警","正常"))</x:f>
        <x:v>正常</x:v>
      </x:c>
      <x:c r="Q161" s="19" t="str">
        <x:v>鸡杂0709-02</x:v>
      </x:c>
    </x:row>
    <x:row r="162">
      <x:c r="A162" s="19" t="str">
        <x:v>2026-07-10|S02|鸡杂</x:v>
      </x:c>
      <x:c r="B162" s="34" t="n">
        <x:v>46213.5</x:v>
      </x:c>
      <x:c r="C162" s="19" t="str">
        <x:v>S02</x:v>
      </x:c>
      <x:c r="D162" s="19" t="str">
        <x:v>尊宝大厦店</x:v>
      </x:c>
      <x:c r="E162" s="19" t="str">
        <x:v>鸡杂</x:v>
      </x:c>
      <x:c r="F162" s="32" t="n">
        <x:v>8.954852685539194</x:v>
      </x:c>
      <x:c r="G162" s="32" t="n">
        <x:v>4.106296369853965</x:v>
      </x:c>
      <x:c r="H162" s="24" t="n">
        <x:f>'菜品日销量'!G218*250/1000+'菜品日销量'!G223*250/1000</x:f>
        <x:v>3.75</x:v>
      </x:c>
      <x:c r="I162" s="36" t="n">
        <x:v>0.01914915179231883</x:v>
      </x:c>
      <x:c r="J162" s="24" t="n">
        <x:f>H162*I162</x:f>
        <x:v>0.0718093192211956</x:v>
      </x:c>
      <x:c r="K162" s="32" t="n">
        <x:v>0</x:v>
      </x:c>
      <x:c r="L162" s="32" t="n">
        <x:v>0</x:v>
      </x:c>
      <x:c r="M162" s="32" t="n">
        <x:v>0</x:v>
      </x:c>
      <x:c r="N162" s="24" t="n">
        <x:f>F162+G162+K162-L162+M162-H162-J162</x:f>
        <x:v>9.239339736171964</x:v>
      </x:c>
      <x:c r="O162" s="24" t="n">
        <x:f>H162*'封面与口径'!$O$24</x:f>
        <x:v>4.5</x:v>
      </x:c>
      <x:c r="P162" s="19" t="str">
        <x:f>IF(N162&lt;0,"缺货",IF(N162&lt;O162,"预警","正常"))</x:f>
        <x:v>正常</x:v>
      </x:c>
      <x:c r="Q162" s="19" t="str">
        <x:v>鸡杂0710-02</x:v>
      </x:c>
    </x:row>
    <x:row r="163">
      <x:c r="A163" s="19" t="str">
        <x:v>2026-07-11|S02|鸡杂</x:v>
      </x:c>
      <x:c r="B163" s="34" t="n">
        <x:v>46214.5</x:v>
      </x:c>
      <x:c r="C163" s="19" t="str">
        <x:v>S02</x:v>
      </x:c>
      <x:c r="D163" s="19" t="str">
        <x:v>尊宝大厦店</x:v>
      </x:c>
      <x:c r="E163" s="19" t="str">
        <x:v>鸡杂</x:v>
      </x:c>
      <x:c r="F163" s="32" t="n">
        <x:v>9.239339736171964</x:v>
      </x:c>
      <x:c r="G163" s="32" t="n">
        <x:v>3.243191280237677</x:v>
      </x:c>
      <x:c r="H163" s="24" t="n">
        <x:f>'菜品日销量'!G238*250/1000+'菜品日销量'!G243*250/1000</x:f>
        <x:v>2.75</x:v>
      </x:c>
      <x:c r="I163" s="36" t="n">
        <x:v>0.02405567115034342</x:v>
      </x:c>
      <x:c r="J163" s="24" t="n">
        <x:f>H163*I163</x:f>
        <x:v>0.0661530956634444</x:v>
      </x:c>
      <x:c r="K163" s="32" t="n">
        <x:v>0</x:v>
      </x:c>
      <x:c r="L163" s="32" t="n">
        <x:v>0</x:v>
      </x:c>
      <x:c r="M163" s="32" t="n">
        <x:v>0</x:v>
      </x:c>
      <x:c r="N163" s="24" t="n">
        <x:f>F163+G163+K163-L163+M163-H163-J163</x:f>
        <x:v>9.666377920746196</x:v>
      </x:c>
      <x:c r="O163" s="24" t="n">
        <x:f>H163*'封面与口径'!$O$24</x:f>
        <x:v>3.3</x:v>
      </x:c>
      <x:c r="P163" s="19" t="str">
        <x:f>IF(N163&lt;0,"缺货",IF(N163&lt;O163,"预警","正常"))</x:f>
        <x:v>正常</x:v>
      </x:c>
      <x:c r="Q163" s="19" t="str">
        <x:v>鸡杂0711-02</x:v>
      </x:c>
    </x:row>
    <x:row r="164">
      <x:c r="A164" s="19" t="str">
        <x:v>2026-07-12|S02|鸡杂</x:v>
      </x:c>
      <x:c r="B164" s="34" t="n">
        <x:v>46215.5</x:v>
      </x:c>
      <x:c r="C164" s="19" t="str">
        <x:v>S02</x:v>
      </x:c>
      <x:c r="D164" s="19" t="str">
        <x:v>尊宝大厦店</x:v>
      </x:c>
      <x:c r="E164" s="19" t="str">
        <x:v>鸡杂</x:v>
      </x:c>
      <x:c r="F164" s="32" t="n">
        <x:v>9.666377920746196</x:v>
      </x:c>
      <x:c r="G164" s="32" t="n">
        <x:v>3.1244192863638562</x:v>
      </x:c>
      <x:c r="H164" s="24" t="n">
        <x:f>'菜品日销量'!G258*250/1000+'菜品日销量'!G263*250/1000</x:f>
        <x:v>2.75</x:v>
      </x:c>
      <x:c r="I164" s="36" t="n">
        <x:v>0.034770492524786506</x:v>
      </x:c>
      <x:c r="J164" s="24" t="n">
        <x:f>H164*I164</x:f>
        <x:v>0.0956188544431629</x:v>
      </x:c>
      <x:c r="K164" s="32" t="n">
        <x:v>0</x:v>
      </x:c>
      <x:c r="L164" s="32" t="n">
        <x:v>0</x:v>
      </x:c>
      <x:c r="M164" s="32" t="n">
        <x:v>0</x:v>
      </x:c>
      <x:c r="N164" s="24" t="n">
        <x:f>F164+G164+K164-L164+M164-H164-J164</x:f>
        <x:v>9.94517835266689</x:v>
      </x:c>
      <x:c r="O164" s="24" t="n">
        <x:f>H164*'封面与口径'!$O$24</x:f>
        <x:v>3.3</x:v>
      </x:c>
      <x:c r="P164" s="19" t="str">
        <x:f>IF(N164&lt;0,"缺货",IF(N164&lt;O164,"预警","正常"))</x:f>
        <x:v>正常</x:v>
      </x:c>
      <x:c r="Q164" s="19" t="str">
        <x:v>鸡杂0712-02</x:v>
      </x:c>
    </x:row>
    <x:row r="165">
      <x:c r="A165" s="19" t="str">
        <x:v>2026-07-13|S02|鸡杂</x:v>
      </x:c>
      <x:c r="B165" s="34" t="n">
        <x:v>46216.5</x:v>
      </x:c>
      <x:c r="C165" s="19" t="str">
        <x:v>S02</x:v>
      </x:c>
      <x:c r="D165" s="19" t="str">
        <x:v>尊宝大厦店</x:v>
      </x:c>
      <x:c r="E165" s="19" t="str">
        <x:v>鸡杂</x:v>
      </x:c>
      <x:c r="F165" s="32" t="n">
        <x:v>9.94517835266689</x:v>
      </x:c>
      <x:c r="G165" s="32" t="n">
        <x:v>4.980578555173841</x:v>
      </x:c>
      <x:c r="H165" s="24" t="n">
        <x:f>'菜品日销量'!G278*250/1000+'菜品日销量'!G283*250/1000</x:f>
        <x:v>4.25</x:v>
      </x:c>
      <x:c r="I165" s="36" t="n">
        <x:v>0.028069313016736253</x:v>
      </x:c>
      <x:c r="J165" s="24" t="n">
        <x:f>H165*I165</x:f>
        <x:v>0.11929458032112908</x:v>
      </x:c>
      <x:c r="K165" s="32" t="n">
        <x:v>0</x:v>
      </x:c>
      <x:c r="L165" s="32" t="n">
        <x:v>0</x:v>
      </x:c>
      <x:c r="M165" s="32" t="n">
        <x:v>0</x:v>
      </x:c>
      <x:c r="N165" s="24" t="n">
        <x:f>F165+G165+K165-L165+M165-H165-J165</x:f>
        <x:v>10.5564623275196</x:v>
      </x:c>
      <x:c r="O165" s="24" t="n">
        <x:f>H165*'封面与口径'!$O$24</x:f>
        <x:v>5.1</x:v>
      </x:c>
      <x:c r="P165" s="19" t="str">
        <x:f>IF(N165&lt;0,"缺货",IF(N165&lt;O165,"预警","正常"))</x:f>
        <x:v>正常</x:v>
      </x:c>
      <x:c r="Q165" s="19" t="str">
        <x:v>鸡杂0713-02</x:v>
      </x:c>
    </x:row>
    <x:row r="166">
      <x:c r="A166" s="19" t="str">
        <x:v>2026-07-07|S02|豆腐</x:v>
      </x:c>
      <x:c r="B166" s="34" t="n">
        <x:v>46210.5</x:v>
      </x:c>
      <x:c r="C166" s="19" t="str">
        <x:v>S02</x:v>
      </x:c>
      <x:c r="D166" s="19" t="str">
        <x:v>尊宝大厦店</x:v>
      </x:c>
      <x:c r="E166" s="19" t="str">
        <x:v>豆腐</x:v>
      </x:c>
      <x:c r="F166" s="32" t="n">
        <x:v>41.04</x:v>
      </x:c>
      <x:c r="G166" s="32" t="n">
        <x:v>26.216456446757647</x:v>
      </x:c>
      <x:c r="H166" s="24" t="n">
        <x:f>'菜品日销量'!G149*400/1000</x:f>
        <x:v>22.8</x:v>
      </x:c>
      <x:c r="I166" s="36" t="n">
        <x:v>0.030461071264106097</x:v>
      </x:c>
      <x:c r="J166" s="24" t="n">
        <x:f>H166*I166</x:f>
        <x:v>0.694512424821619</x:v>
      </x:c>
      <x:c r="K166" s="32" t="n">
        <x:v>0</x:v>
      </x:c>
      <x:c r="L166" s="32" t="n">
        <x:v>0</x:v>
      </x:c>
      <x:c r="M166" s="32" t="n">
        <x:v>0</x:v>
      </x:c>
      <x:c r="N166" s="24" t="n">
        <x:f>F166+G166+K166-L166+M166-H166-J166</x:f>
        <x:v>43.76194402193604</x:v>
      </x:c>
      <x:c r="O166" s="24" t="n">
        <x:f>H166*'封面与口径'!$O$24</x:f>
        <x:v>27.36</x:v>
      </x:c>
      <x:c r="P166" s="19" t="str">
        <x:f>IF(N166&lt;0,"缺货",IF(N166&lt;O166,"预警","正常"))</x:f>
        <x:v>正常</x:v>
      </x:c>
      <x:c r="Q166" s="19" t="str">
        <x:v>豆腐0707-02</x:v>
      </x:c>
    </x:row>
    <x:row r="167">
      <x:c r="A167" s="19" t="str">
        <x:v>2026-07-08|S02|豆腐</x:v>
      </x:c>
      <x:c r="B167" s="34" t="n">
        <x:v>46211.5</x:v>
      </x:c>
      <x:c r="C167" s="19" t="str">
        <x:v>S02</x:v>
      </x:c>
      <x:c r="D167" s="19" t="str">
        <x:v>尊宝大厦店</x:v>
      </x:c>
      <x:c r="E167" s="19" t="str">
        <x:v>豆腐</x:v>
      </x:c>
      <x:c r="F167" s="32" t="n">
        <x:v>43.76194402193603</x:v>
      </x:c>
      <x:c r="G167" s="32" t="n">
        <x:v>25.290675508158905</x:v>
      </x:c>
      <x:c r="H167" s="24" t="n">
        <x:f>'菜品日销量'!G169*400/1000</x:f>
        <x:v>22</x:v>
      </x:c>
      <x:c r="I167" s="36" t="n">
        <x:v>0.020374565069883728</x:v>
      </x:c>
      <x:c r="J167" s="24" t="n">
        <x:f>H167*I167</x:f>
        <x:v>0.44824043153744203</x:v>
      </x:c>
      <x:c r="K167" s="32" t="n">
        <x:v>0</x:v>
      </x:c>
      <x:c r="L167" s="32" t="n">
        <x:v>0</x:v>
      </x:c>
      <x:c r="M167" s="32" t="n">
        <x:v>0</x:v>
      </x:c>
      <x:c r="N167" s="24" t="n">
        <x:f>F167+G167+K167-L167+M167-H167-J167</x:f>
        <x:v>46.6043790985575</x:v>
      </x:c>
      <x:c r="O167" s="24" t="n">
        <x:f>H167*'封面与口径'!$O$24</x:f>
        <x:v>26.4</x:v>
      </x:c>
      <x:c r="P167" s="19" t="str">
        <x:f>IF(N167&lt;0,"缺货",IF(N167&lt;O167,"预警","正常"))</x:f>
        <x:v>正常</x:v>
      </x:c>
      <x:c r="Q167" s="19" t="str">
        <x:v>豆腐0708-02</x:v>
      </x:c>
    </x:row>
    <x:row r="168">
      <x:c r="A168" s="19" t="str">
        <x:v>2026-07-09|S02|豆腐</x:v>
      </x:c>
      <x:c r="B168" s="34" t="n">
        <x:v>46212.5</x:v>
      </x:c>
      <x:c r="C168" s="19" t="str">
        <x:v>S02</x:v>
      </x:c>
      <x:c r="D168" s="19" t="str">
        <x:v>尊宝大厦店</x:v>
      </x:c>
      <x:c r="E168" s="19" t="str">
        <x:v>豆腐</x:v>
      </x:c>
      <x:c r="F168" s="32" t="n">
        <x:v>46.6043790985575</x:v>
      </x:c>
      <x:c r="G168" s="32" t="n">
        <x:v>26.072518766878293</x:v>
      </x:c>
      <x:c r="H168" s="24" t="n">
        <x:f>'菜品日销量'!G189*400/1000</x:f>
        <x:v>23.2</x:v>
      </x:c>
      <x:c r="I168" s="36" t="n">
        <x:v>0.015563418929363465</x:v>
      </x:c>
      <x:c r="J168" s="24" t="n">
        <x:f>H168*I168</x:f>
        <x:v>0.36107131916123236</x:v>
      </x:c>
      <x:c r="K168" s="32" t="n">
        <x:v>0</x:v>
      </x:c>
      <x:c r="L168" s="32" t="n">
        <x:v>0</x:v>
      </x:c>
      <x:c r="M168" s="32" t="n">
        <x:v>0</x:v>
      </x:c>
      <x:c r="N168" s="24" t="n">
        <x:f>F168+G168+K168-L168+M168-H168-J168</x:f>
        <x:v>49.115826546274555</x:v>
      </x:c>
      <x:c r="O168" s="24" t="n">
        <x:f>H168*'封面与口径'!$O$24</x:f>
        <x:v>27.84</x:v>
      </x:c>
      <x:c r="P168" s="19" t="str">
        <x:f>IF(N168&lt;0,"缺货",IF(N168&lt;O168,"预警","正常"))</x:f>
        <x:v>正常</x:v>
      </x:c>
      <x:c r="Q168" s="19" t="str">
        <x:v>豆腐0709-02</x:v>
      </x:c>
    </x:row>
    <x:row r="169">
      <x:c r="A169" s="19" t="str">
        <x:v>2026-07-10|S02|豆腐</x:v>
      </x:c>
      <x:c r="B169" s="34" t="n">
        <x:v>46213.5</x:v>
      </x:c>
      <x:c r="C169" s="19" t="str">
        <x:v>S02</x:v>
      </x:c>
      <x:c r="D169" s="19" t="str">
        <x:v>尊宝大厦店</x:v>
      </x:c>
      <x:c r="E169" s="19" t="str">
        <x:v>豆腐</x:v>
      </x:c>
      <x:c r="F169" s="32" t="n">
        <x:v>49.11582654627456</x:v>
      </x:c>
      <x:c r="G169" s="32" t="n">
        <x:v>26.28032198408813</x:v>
      </x:c>
      <x:c r="H169" s="24" t="n">
        <x:f>'菜品日销量'!G209*400/1000</x:f>
        <x:v>22.8</x:v>
      </x:c>
      <x:c r="I169" s="36" t="n">
        <x:v>0.027302790218336224</x:v>
      </x:c>
      <x:c r="J169" s="24" t="n">
        <x:f>H169*I169</x:f>
        <x:v>0.6225036169780659</x:v>
      </x:c>
      <x:c r="K169" s="32" t="n">
        <x:v>0</x:v>
      </x:c>
      <x:c r="L169" s="32" t="n">
        <x:v>0</x:v>
      </x:c>
      <x:c r="M169" s="32" t="n">
        <x:v>0</x:v>
      </x:c>
      <x:c r="N169" s="24" t="n">
        <x:f>F169+G169+K169-L169+M169-H169-J169</x:f>
        <x:v>51.97364491338463</x:v>
      </x:c>
      <x:c r="O169" s="24" t="n">
        <x:f>H169*'封面与口径'!$O$24</x:f>
        <x:v>27.36</x:v>
      </x:c>
      <x:c r="P169" s="19" t="str">
        <x:f>IF(N169&lt;0,"缺货",IF(N169&lt;O169,"预警","正常"))</x:f>
        <x:v>正常</x:v>
      </x:c>
      <x:c r="Q169" s="19" t="str">
        <x:v>豆腐0710-02</x:v>
      </x:c>
    </x:row>
    <x:row r="170">
      <x:c r="A170" s="19" t="str">
        <x:v>2026-07-11|S02|豆腐</x:v>
      </x:c>
      <x:c r="B170" s="34" t="n">
        <x:v>46214.5</x:v>
      </x:c>
      <x:c r="C170" s="19" t="str">
        <x:v>S02</x:v>
      </x:c>
      <x:c r="D170" s="19" t="str">
        <x:v>尊宝大厦店</x:v>
      </x:c>
      <x:c r="E170" s="19" t="str">
        <x:v>豆腐</x:v>
      </x:c>
      <x:c r="F170" s="32" t="n">
        <x:v>51.97364491338463</x:v>
      </x:c>
      <x:c r="G170" s="32" t="n">
        <x:v>21.219153946549437</x:v>
      </x:c>
      <x:c r="H170" s="24" t="n">
        <x:f>'菜品日销量'!G229*400/1000</x:f>
        <x:v>18</x:v>
      </x:c>
      <x:c r="I170" s="36" t="n">
        <x:v>0.03481122516324074</x:v>
      </x:c>
      <x:c r="J170" s="24" t="n">
        <x:f>H170*I170</x:f>
        <x:v>0.6266020529383334</x:v>
      </x:c>
      <x:c r="K170" s="32" t="n">
        <x:v>0</x:v>
      </x:c>
      <x:c r="L170" s="32" t="n">
        <x:v>0</x:v>
      </x:c>
      <x:c r="M170" s="32" t="n">
        <x:v>0</x:v>
      </x:c>
      <x:c r="N170" s="24" t="n">
        <x:f>F170+G170+K170-L170+M170-H170-J170</x:f>
        <x:v>54.56619680699574</x:v>
      </x:c>
      <x:c r="O170" s="24" t="n">
        <x:f>H170*'封面与口径'!$O$24</x:f>
        <x:v>21.599999999999998</x:v>
      </x:c>
      <x:c r="P170" s="19" t="str">
        <x:f>IF(N170&lt;0,"缺货",IF(N170&lt;O170,"预警","正常"))</x:f>
        <x:v>正常</x:v>
      </x:c>
      <x:c r="Q170" s="19" t="str">
        <x:v>豆腐0711-02</x:v>
      </x:c>
    </x:row>
    <x:row r="171">
      <x:c r="A171" s="19" t="str">
        <x:v>2026-07-12|S02|豆腐</x:v>
      </x:c>
      <x:c r="B171" s="34" t="n">
        <x:v>46215.5</x:v>
      </x:c>
      <x:c r="C171" s="19" t="str">
        <x:v>S02</x:v>
      </x:c>
      <x:c r="D171" s="19" t="str">
        <x:v>尊宝大厦店</x:v>
      </x:c>
      <x:c r="E171" s="19" t="str">
        <x:v>豆腐</x:v>
      </x:c>
      <x:c r="F171" s="32" t="n">
        <x:v>54.56619680699574</x:v>
      </x:c>
      <x:c r="G171" s="32" t="n">
        <x:v>19.588289775622147</x:v>
      </x:c>
      <x:c r="H171" s="24" t="n">
        <x:f>'菜品日销量'!G249*400/1000</x:f>
        <x:v>17.2</x:v>
      </x:c>
      <x:c r="I171" s="36" t="n">
        <x:v>0.016764230890377478</x:v>
      </x:c>
      <x:c r="J171" s="24" t="n">
        <x:f>H171*I171</x:f>
        <x:v>0.2883447713144926</x:v>
      </x:c>
      <x:c r="K171" s="32" t="n">
        <x:v>0</x:v>
      </x:c>
      <x:c r="L171" s="32" t="n">
        <x:v>0</x:v>
      </x:c>
      <x:c r="M171" s="32" t="n">
        <x:v>0</x:v>
      </x:c>
      <x:c r="N171" s="24" t="n">
        <x:f>F171+G171+K171-L171+M171-H171-J171</x:f>
        <x:v>56.6661418113034</x:v>
      </x:c>
      <x:c r="O171" s="24" t="n">
        <x:f>H171*'封面与口径'!$O$24</x:f>
        <x:v>20.639999999999997</x:v>
      </x:c>
      <x:c r="P171" s="19" t="str">
        <x:f>IF(N171&lt;0,"缺货",IF(N171&lt;O171,"预警","正常"))</x:f>
        <x:v>正常</x:v>
      </x:c>
      <x:c r="Q171" s="19" t="str">
        <x:v>豆腐0712-02</x:v>
      </x:c>
    </x:row>
    <x:row r="172">
      <x:c r="A172" s="19" t="str">
        <x:v>2026-07-13|S02|豆腐</x:v>
      </x:c>
      <x:c r="B172" s="34" t="n">
        <x:v>46216.5</x:v>
      </x:c>
      <x:c r="C172" s="19" t="str">
        <x:v>S02</x:v>
      </x:c>
      <x:c r="D172" s="19" t="str">
        <x:v>尊宝大厦店</x:v>
      </x:c>
      <x:c r="E172" s="19" t="str">
        <x:v>豆腐</x:v>
      </x:c>
      <x:c r="F172" s="32" t="n">
        <x:v>56.666141811303405</x:v>
      </x:c>
      <x:c r="G172" s="32" t="n">
        <x:v>26.08547479779401</x:v>
      </x:c>
      <x:c r="H172" s="24" t="n">
        <x:f>'菜品日销量'!G269*400/1000</x:f>
        <x:v>22.8</x:v>
      </x:c>
      <x:c r="I172" s="36" t="n">
        <x:v>0.03040279940594984</x:v>
      </x:c>
      <x:c r="J172" s="24" t="n">
        <x:f>H172*I172</x:f>
        <x:v>0.6931838264556563</x:v>
      </x:c>
      <x:c r="K172" s="32" t="n">
        <x:v>0</x:v>
      </x:c>
      <x:c r="L172" s="32" t="n">
        <x:v>0</x:v>
      </x:c>
      <x:c r="M172" s="32" t="n">
        <x:v>0</x:v>
      </x:c>
      <x:c r="N172" s="24" t="n">
        <x:f>F172+G172+K172-L172+M172-H172-J172</x:f>
        <x:v>59.258432782641755</x:v>
      </x:c>
      <x:c r="O172" s="24" t="n">
        <x:f>H172*'封面与口径'!$O$24</x:f>
        <x:v>27.36</x:v>
      </x:c>
      <x:c r="P172" s="19" t="str">
        <x:f>IF(N172&lt;0,"缺货",IF(N172&lt;O172,"预警","正常"))</x:f>
        <x:v>正常</x:v>
      </x:c>
      <x:c r="Q172" s="19" t="str">
        <x:v>豆腐0713-02</x:v>
      </x:c>
    </x:row>
    <x:row r="173">
      <x:c r="A173" s="19" t="str">
        <x:v>2026-07-07|S03|瘦肉片</x:v>
      </x:c>
      <x:c r="B173" s="34" t="n">
        <x:v>46210.5</x:v>
      </x:c>
      <x:c r="C173" s="19" t="str">
        <x:v>S03</x:v>
      </x:c>
      <x:c r="D173" s="19" t="str">
        <x:v>铂悦城店</x:v>
      </x:c>
      <x:c r="E173" s="19" t="str">
        <x:v>瘦肉片</x:v>
      </x:c>
      <x:c r="F173" s="32" t="n">
        <x:v>22.77</x:v>
      </x:c>
      <x:c r="G173" s="32" t="n">
        <x:v>13.990292951507096</x:v>
      </x:c>
      <x:c r="H173" s="24" t="n">
        <x:f>'菜品日销量'!G285*150/1000+'菜品日销量'!G293*50/1000+'菜品日销量'!G294*200/1000</x:f>
        <x:v>12.649999999999999</x:v>
      </x:c>
      <x:c r="I173" s="36" t="n">
        <x:v>0.03331182567829076</x:v>
      </x:c>
      <x:c r="J173" s="24" t="n">
        <x:f>H173*I173</x:f>
        <x:v>0.42139459483037806</x:v>
      </x:c>
      <x:c r="K173" s="32" t="n">
        <x:v>0</x:v>
      </x:c>
      <x:c r="L173" s="32" t="n">
        <x:v>0</x:v>
      </x:c>
      <x:c r="M173" s="32" t="n">
        <x:v>0</x:v>
      </x:c>
      <x:c r="N173" s="24" t="n">
        <x:f>F173+G173+K173-L173+M173-H173-J173</x:f>
        <x:v>23.68889835667672</x:v>
      </x:c>
      <x:c r="O173" s="24" t="n">
        <x:f>H173*'封面与口径'!$O$24</x:f>
        <x:v>15.179999999999998</x:v>
      </x:c>
      <x:c r="P173" s="19" t="str">
        <x:f>IF(N173&lt;0,"缺货",IF(N173&lt;O173,"预警","正常"))</x:f>
        <x:v>正常</x:v>
      </x:c>
      <x:c r="Q173" s="19" t="str">
        <x:v>瘦肉0707-03</x:v>
      </x:c>
    </x:row>
    <x:row r="174">
      <x:c r="A174" s="19" t="str">
        <x:v>2026-07-08|S03|瘦肉片</x:v>
      </x:c>
      <x:c r="B174" s="34" t="n">
        <x:v>46211.5</x:v>
      </x:c>
      <x:c r="C174" s="19" t="str">
        <x:v>S03</x:v>
      </x:c>
      <x:c r="D174" s="19" t="str">
        <x:v>铂悦城店</x:v>
      </x:c>
      <x:c r="E174" s="19" t="str">
        <x:v>瘦肉片</x:v>
      </x:c>
      <x:c r="F174" s="32" t="n">
        <x:v>23.68889835667672</x:v>
      </x:c>
      <x:c r="G174" s="32" t="n">
        <x:v>13.828653176961156</x:v>
      </x:c>
      <x:c r="H174" s="24" t="n">
        <x:f>'菜品日销量'!G305*150/1000+'菜品日销量'!G313*50/1000+'菜品日销量'!G314*200/1000</x:f>
        <x:v>12.05</x:v>
      </x:c>
      <x:c r="I174" s="36" t="n">
        <x:v>0.015015327282020666</x:v>
      </x:c>
      <x:c r="J174" s="24" t="n">
        <x:f>H174*I174</x:f>
        <x:v>0.18093469374834903</x:v>
      </x:c>
      <x:c r="K174" s="32" t="n">
        <x:v>0</x:v>
      </x:c>
      <x:c r="L174" s="32" t="n">
        <x:v>0</x:v>
      </x:c>
      <x:c r="M174" s="32" t="n">
        <x:v>0</x:v>
      </x:c>
      <x:c r="N174" s="24" t="n">
        <x:f>F174+G174+K174-L174+M174-H174-J174</x:f>
        <x:v>25.28661683988953</x:v>
      </x:c>
      <x:c r="O174" s="24" t="n">
        <x:f>H174*'封面与口径'!$O$24</x:f>
        <x:v>14.46</x:v>
      </x:c>
      <x:c r="P174" s="19" t="str">
        <x:f>IF(N174&lt;0,"缺货",IF(N174&lt;O174,"预警","正常"))</x:f>
        <x:v>正常</x:v>
      </x:c>
      <x:c r="Q174" s="19" t="str">
        <x:v>瘦肉0708-03</x:v>
      </x:c>
    </x:row>
    <x:row r="175">
      <x:c r="A175" s="19" t="str">
        <x:v>2026-07-09|S03|瘦肉片</x:v>
      </x:c>
      <x:c r="B175" s="34" t="n">
        <x:v>46212.5</x:v>
      </x:c>
      <x:c r="C175" s="19" t="str">
        <x:v>S03</x:v>
      </x:c>
      <x:c r="D175" s="19" t="str">
        <x:v>铂悦城店</x:v>
      </x:c>
      <x:c r="E175" s="19" t="str">
        <x:v>瘦肉片</x:v>
      </x:c>
      <x:c r="F175" s="32" t="n">
        <x:v>25.28661683988953</x:v>
      </x:c>
      <x:c r="G175" s="32" t="n">
        <x:v>13.607837460899688</x:v>
      </x:c>
      <x:c r="H175" s="24" t="n">
        <x:f>'菜品日销量'!G325*150/1000+'菜品日销量'!G333*50/1000+'菜品日销量'!G334*200/1000</x:f>
        <x:v>12</x:v>
      </x:c>
      <x:c r="I175" s="36" t="n">
        <x:v>0.021382930757567038</x:v>
      </x:c>
      <x:c r="J175" s="24" t="n">
        <x:f>H175*I175</x:f>
        <x:v>0.2565951690908045</x:v>
      </x:c>
      <x:c r="K175" s="32" t="n">
        <x:v>0</x:v>
      </x:c>
      <x:c r="L175" s="32" t="n">
        <x:v>0</x:v>
      </x:c>
      <x:c r="M175" s="32" t="n">
        <x:v>0</x:v>
      </x:c>
      <x:c r="N175" s="24" t="n">
        <x:f>F175+G175+K175-L175+M175-H175-J175</x:f>
        <x:v>26.637859131698416</x:v>
      </x:c>
      <x:c r="O175" s="24" t="n">
        <x:f>H175*'封面与口径'!$O$24</x:f>
        <x:v>14.399999999999999</x:v>
      </x:c>
      <x:c r="P175" s="19" t="str">
        <x:f>IF(N175&lt;0,"缺货",IF(N175&lt;O175,"预警","正常"))</x:f>
        <x:v>正常</x:v>
      </x:c>
      <x:c r="Q175" s="19" t="str">
        <x:v>瘦肉0709-03</x:v>
      </x:c>
    </x:row>
    <x:row r="176">
      <x:c r="A176" s="19" t="str">
        <x:v>2026-07-10|S03|瘦肉片</x:v>
      </x:c>
      <x:c r="B176" s="34" t="n">
        <x:v>46213.5</x:v>
      </x:c>
      <x:c r="C176" s="19" t="str">
        <x:v>S03</x:v>
      </x:c>
      <x:c r="D176" s="19" t="str">
        <x:v>铂悦城店</x:v>
      </x:c>
      <x:c r="E176" s="19" t="str">
        <x:v>瘦肉片</x:v>
      </x:c>
      <x:c r="F176" s="32" t="n">
        <x:v>26.637859131698416</x:v>
      </x:c>
      <x:c r="G176" s="32" t="n">
        <x:v>15.080634395601376</x:v>
      </x:c>
      <x:c r="H176" s="24" t="n">
        <x:f>'菜品日销量'!G345*150/1000+'菜品日销量'!G353*50/1000+'菜品日销量'!G354*200/1000</x:f>
        <x:v>13.149999999999999</x:v>
      </x:c>
      <x:c r="I176" s="36" t="n">
        <x:v>0.02284586635600912</x:v>
      </x:c>
      <x:c r="J176" s="24" t="n">
        <x:f>H176*I176</x:f>
        <x:v>0.3004231425815199</x:v>
      </x:c>
      <x:c r="K176" s="32" t="n">
        <x:v>0</x:v>
      </x:c>
      <x:c r="L176" s="32" t="n">
        <x:v>0</x:v>
      </x:c>
      <x:c r="M176" s="32" t="n">
        <x:v>0</x:v>
      </x:c>
      <x:c r="N176" s="24" t="n">
        <x:f>F176+G176+K176-L176+M176-H176-J176</x:f>
        <x:v>28.268070384718275</x:v>
      </x:c>
      <x:c r="O176" s="24" t="n">
        <x:f>H176*'封面与口径'!$O$24</x:f>
        <x:v>15.779999999999998</x:v>
      </x:c>
      <x:c r="P176" s="19" t="str">
        <x:f>IF(N176&lt;0,"缺货",IF(N176&lt;O176,"预警","正常"))</x:f>
        <x:v>正常</x:v>
      </x:c>
      <x:c r="Q176" s="19" t="str">
        <x:v>瘦肉0710-03</x:v>
      </x:c>
    </x:row>
    <x:row r="177">
      <x:c r="A177" s="19" t="str">
        <x:v>2026-07-11|S03|瘦肉片</x:v>
      </x:c>
      <x:c r="B177" s="34" t="n">
        <x:v>46214.5</x:v>
      </x:c>
      <x:c r="C177" s="19" t="str">
        <x:v>S03</x:v>
      </x:c>
      <x:c r="D177" s="19" t="str">
        <x:v>铂悦城店</x:v>
      </x:c>
      <x:c r="E177" s="19" t="str">
        <x:v>瘦肉片</x:v>
      </x:c>
      <x:c r="F177" s="32" t="n">
        <x:v>28.26807038471827</x:v>
      </x:c>
      <x:c r="G177" s="32" t="n">
        <x:v>10.734085010579342</x:v>
      </x:c>
      <x:c r="H177" s="24" t="n">
        <x:f>'菜品日销量'!G365*150/1000+'菜品日销量'!G373*50/1000+'菜品日销量'!G374*200/1000</x:f>
        <x:v>9.7</x:v>
      </x:c>
      <x:c r="I177" s="36" t="n">
        <x:v>0.01568842524795058</x:v>
      </x:c>
      <x:c r="J177" s="24" t="n">
        <x:f>H177*I177</x:f>
        <x:v>0.1521777249051206</x:v>
      </x:c>
      <x:c r="K177" s="32" t="n">
        <x:v>0</x:v>
      </x:c>
      <x:c r="L177" s="32" t="n">
        <x:v>0</x:v>
      </x:c>
      <x:c r="M177" s="32" t="n">
        <x:v>0</x:v>
      </x:c>
      <x:c r="N177" s="24" t="n">
        <x:f>F177+G177+K177-L177+M177-H177-J177</x:f>
        <x:v>29.149977670392495</x:v>
      </x:c>
      <x:c r="O177" s="24" t="n">
        <x:f>H177*'封面与口径'!$O$24</x:f>
        <x:v>11.639999999999999</x:v>
      </x:c>
      <x:c r="P177" s="19" t="str">
        <x:f>IF(N177&lt;0,"缺货",IF(N177&lt;O177,"预警","正常"))</x:f>
        <x:v>正常</x:v>
      </x:c>
      <x:c r="Q177" s="19" t="str">
        <x:v>瘦肉0711-03</x:v>
      </x:c>
    </x:row>
    <x:row r="178">
      <x:c r="A178" s="19" t="str">
        <x:v>2026-07-12|S03|瘦肉片</x:v>
      </x:c>
      <x:c r="B178" s="34" t="n">
        <x:v>46215.5</x:v>
      </x:c>
      <x:c r="C178" s="19" t="str">
        <x:v>S03</x:v>
      </x:c>
      <x:c r="D178" s="19" t="str">
        <x:v>铂悦城店</x:v>
      </x:c>
      <x:c r="E178" s="19" t="str">
        <x:v>瘦肉片</x:v>
      </x:c>
      <x:c r="F178" s="32" t="n">
        <x:v>29.149977670392495</x:v>
      </x:c>
      <x:c r="G178" s="32" t="n">
        <x:v>10.577179233081914</x:v>
      </x:c>
      <x:c r="H178" s="24" t="n">
        <x:f>'菜品日销量'!G385*150/1000+'菜品日销量'!G393*50/1000+'菜品日销量'!G394*200/1000</x:f>
        <x:v>9</x:v>
      </x:c>
      <x:c r="I178" s="36" t="n">
        <x:v>0.03297482561505745</x:v>
      </x:c>
      <x:c r="J178" s="24" t="n">
        <x:f>H178*I178</x:f>
        <x:v>0.296773430535517</x:v>
      </x:c>
      <x:c r="K178" s="32" t="n">
        <x:v>0</x:v>
      </x:c>
      <x:c r="L178" s="32" t="n">
        <x:v>0</x:v>
      </x:c>
      <x:c r="M178" s="32" t="n">
        <x:v>0</x:v>
      </x:c>
      <x:c r="N178" s="24" t="n">
        <x:f>F178+G178+K178-L178+M178-H178-J178</x:f>
        <x:v>30.430383472938892</x:v>
      </x:c>
      <x:c r="O178" s="24" t="n">
        <x:f>H178*'封面与口径'!$O$24</x:f>
        <x:v>10.799999999999999</x:v>
      </x:c>
      <x:c r="P178" s="19" t="str">
        <x:f>IF(N178&lt;0,"缺货",IF(N178&lt;O178,"预警","正常"))</x:f>
        <x:v>正常</x:v>
      </x:c>
      <x:c r="Q178" s="19" t="str">
        <x:v>瘦肉0712-03</x:v>
      </x:c>
    </x:row>
    <x:row r="179">
      <x:c r="A179" s="19" t="str">
        <x:v>2026-07-13|S03|瘦肉片</x:v>
      </x:c>
      <x:c r="B179" s="34" t="n">
        <x:v>46216.5</x:v>
      </x:c>
      <x:c r="C179" s="19" t="str">
        <x:v>S03</x:v>
      </x:c>
      <x:c r="D179" s="19" t="str">
        <x:v>铂悦城店</x:v>
      </x:c>
      <x:c r="E179" s="19" t="str">
        <x:v>瘦肉片</x:v>
      </x:c>
      <x:c r="F179" s="32" t="n">
        <x:v>30.430383472938892</x:v>
      </x:c>
      <x:c r="G179" s="32" t="n">
        <x:v>13.96957235022764</x:v>
      </x:c>
      <x:c r="H179" s="24" t="n">
        <x:f>'菜品日销量'!G405*150/1000+'菜品日销量'!G413*50/1000+'菜品日销量'!G414*200/1000</x:f>
        <x:v>12.899999999999999</x:v>
      </x:c>
      <x:c r="I179" s="36" t="n">
        <x:v>0.023311035643171295</x:v>
      </x:c>
      <x:c r="J179" s="24" t="n">
        <x:f>H179*I179</x:f>
        <x:v>0.3007123597969097</x:v>
      </x:c>
      <x:c r="K179" s="32" t="n">
        <x:v>0</x:v>
      </x:c>
      <x:c r="L179" s="32" t="n">
        <x:v>0</x:v>
      </x:c>
      <x:c r="M179" s="32" t="n">
        <x:v>0</x:v>
      </x:c>
      <x:c r="N179" s="24" t="n">
        <x:f>F179+G179+K179-L179+M179-H179-J179</x:f>
        <x:v>31.199243463369626</x:v>
      </x:c>
      <x:c r="O179" s="24" t="n">
        <x:f>H179*'封面与口径'!$O$24</x:f>
        <x:v>15.479999999999997</x:v>
      </x:c>
      <x:c r="P179" s="19" t="str">
        <x:f>IF(N179&lt;0,"缺货",IF(N179&lt;O179,"预警","正常"))</x:f>
        <x:v>正常</x:v>
      </x:c>
      <x:c r="Q179" s="19" t="str">
        <x:v>瘦肉0713-03</x:v>
      </x:c>
    </x:row>
    <x:row r="180">
      <x:c r="A180" s="19" t="str">
        <x:v>2026-07-07|S03|肥肉片</x:v>
      </x:c>
      <x:c r="B180" s="34" t="n">
        <x:v>46210.5</x:v>
      </x:c>
      <x:c r="C180" s="19" t="str">
        <x:v>S03</x:v>
      </x:c>
      <x:c r="D180" s="19" t="str">
        <x:v>铂悦城店</x:v>
      </x:c>
      <x:c r="E180" s="19" t="str">
        <x:v>肥肉片</x:v>
      </x:c>
      <x:c r="F180" s="32" t="n">
        <x:v>6.4799999999999995</x:v>
      </x:c>
      <x:c r="G180" s="32" t="n">
        <x:v>4.0876401595938106</x:v>
      </x:c>
      <x:c r="H180" s="24" t="n">
        <x:f>'菜品日销量'!G285*50/1000+'菜品日销量'!G294*50/1000</x:f>
        <x:v>3.5999999999999996</x:v>
      </x:c>
      <x:c r="I180" s="36" t="n">
        <x:v>0.01553430643760001</x:v>
      </x:c>
      <x:c r="J180" s="24" t="n">
        <x:f>H180*I180</x:f>
        <x:v>0.05592350317536003</x:v>
      </x:c>
      <x:c r="K180" s="32" t="n">
        <x:v>0</x:v>
      </x:c>
      <x:c r="L180" s="32" t="n">
        <x:v>0</x:v>
      </x:c>
      <x:c r="M180" s="32" t="n">
        <x:v>0</x:v>
      </x:c>
      <x:c r="N180" s="24" t="n">
        <x:f>F180+G180+K180-L180+M180-H180-J180</x:f>
        <x:v>6.911716656418451</x:v>
      </x:c>
      <x:c r="O180" s="24" t="n">
        <x:f>H180*'封面与口径'!$O$24</x:f>
        <x:v>4.319999999999999</x:v>
      </x:c>
      <x:c r="P180" s="19" t="str">
        <x:f>IF(N180&lt;0,"缺货",IF(N180&lt;O180,"预警","正常"))</x:f>
        <x:v>正常</x:v>
      </x:c>
      <x:c r="Q180" s="19" t="str">
        <x:v>肥肉0707-03</x:v>
      </x:c>
    </x:row>
    <x:row r="181">
      <x:c r="A181" s="19" t="str">
        <x:v>2026-07-08|S03|肥肉片</x:v>
      </x:c>
      <x:c r="B181" s="34" t="n">
        <x:v>46211.5</x:v>
      </x:c>
      <x:c r="C181" s="19" t="str">
        <x:v>S03</x:v>
      </x:c>
      <x:c r="D181" s="19" t="str">
        <x:v>铂悦城店</x:v>
      </x:c>
      <x:c r="E181" s="19" t="str">
        <x:v>肥肉片</x:v>
      </x:c>
      <x:c r="F181" s="32" t="n">
        <x:v>6.911716656418452</x:v>
      </x:c>
      <x:c r="G181" s="32" t="n">
        <x:v>3.8535792944667815</x:v>
      </x:c>
      <x:c r="H181" s="24" t="n">
        <x:f>'菜品日销量'!G305*50/1000+'菜品日销量'!G314*50/1000</x:f>
        <x:v>3.45</x:v>
      </x:c>
      <x:c r="I181" s="36" t="n">
        <x:v>0.026835359109527283</x:v>
      </x:c>
      <x:c r="J181" s="24" t="n">
        <x:f>H181*I181</x:f>
        <x:v>0.09258198892786913</x:v>
      </x:c>
      <x:c r="K181" s="32" t="n">
        <x:v>0</x:v>
      </x:c>
      <x:c r="L181" s="32" t="n">
        <x:v>0</x:v>
      </x:c>
      <x:c r="M181" s="32" t="n">
        <x:v>0</x:v>
      </x:c>
      <x:c r="N181" s="24" t="n">
        <x:f>F181+G181+K181-L181+M181-H181-J181</x:f>
        <x:v>7.222713961957364</x:v>
      </x:c>
      <x:c r="O181" s="24" t="n">
        <x:f>H181*'封面与口径'!$O$24</x:f>
        <x:v>4.14</x:v>
      </x:c>
      <x:c r="P181" s="19" t="str">
        <x:f>IF(N181&lt;0,"缺货",IF(N181&lt;O181,"预警","正常"))</x:f>
        <x:v>正常</x:v>
      </x:c>
      <x:c r="Q181" s="19" t="str">
        <x:v>肥肉0708-03</x:v>
      </x:c>
    </x:row>
    <x:row r="182">
      <x:c r="A182" s="19" t="str">
        <x:v>2026-07-09|S03|肥肉片</x:v>
      </x:c>
      <x:c r="B182" s="34" t="n">
        <x:v>46212.5</x:v>
      </x:c>
      <x:c r="C182" s="19" t="str">
        <x:v>S03</x:v>
      </x:c>
      <x:c r="D182" s="19" t="str">
        <x:v>铂悦城店</x:v>
      </x:c>
      <x:c r="E182" s="19" t="str">
        <x:v>肥肉片</x:v>
      </x:c>
      <x:c r="F182" s="32" t="n">
        <x:v>7.222713961957364</x:v>
      </x:c>
      <x:c r="G182" s="32" t="n">
        <x:v>4.0983538491000315</x:v>
      </x:c>
      <x:c r="H182" s="24" t="n">
        <x:f>'菜品日销量'!G325*50/1000+'菜品日销量'!G334*50/1000</x:f>
        <x:v>3.4499999999999997</x:v>
      </x:c>
      <x:c r="I182" s="36" t="n">
        <x:v>0.016296119118643954</x:v>
      </x:c>
      <x:c r="J182" s="24" t="n">
        <x:f>H182*I182</x:f>
        <x:v>0.056221610959321634</x:v>
      </x:c>
      <x:c r="K182" s="32" t="n">
        <x:v>0</x:v>
      </x:c>
      <x:c r="L182" s="32" t="n">
        <x:v>0</x:v>
      </x:c>
      <x:c r="M182" s="32" t="n">
        <x:v>0</x:v>
      </x:c>
      <x:c r="N182" s="24" t="n">
        <x:f>F182+G182+K182-L182+M182-H182-J182</x:f>
        <x:v>7.814846200098076</x:v>
      </x:c>
      <x:c r="O182" s="24" t="n">
        <x:f>H182*'封面与口径'!$O$24</x:f>
        <x:v>4.14</x:v>
      </x:c>
      <x:c r="P182" s="19" t="str">
        <x:f>IF(N182&lt;0,"缺货",IF(N182&lt;O182,"预警","正常"))</x:f>
        <x:v>正常</x:v>
      </x:c>
      <x:c r="Q182" s="19" t="str">
        <x:v>肥肉0709-03</x:v>
      </x:c>
    </x:row>
    <x:row r="183">
      <x:c r="A183" s="19" t="str">
        <x:v>2026-07-10|S03|肥肉片</x:v>
      </x:c>
      <x:c r="B183" s="34" t="n">
        <x:v>46213.5</x:v>
      </x:c>
      <x:c r="C183" s="19" t="str">
        <x:v>S03</x:v>
      </x:c>
      <x:c r="D183" s="19" t="str">
        <x:v>铂悦城店</x:v>
      </x:c>
      <x:c r="E183" s="19" t="str">
        <x:v>肥肉片</x:v>
      </x:c>
      <x:c r="F183" s="32" t="n">
        <x:v>7.814846200098075</x:v>
      </x:c>
      <x:c r="G183" s="32" t="n">
        <x:v>4.400927789684135</x:v>
      </x:c>
      <x:c r="H183" s="24" t="n">
        <x:f>'菜品日销量'!G345*50/1000+'菜品日销量'!G354*50/1000</x:f>
        <x:v>3.75</x:v>
      </x:c>
      <x:c r="I183" s="36" t="n">
        <x:v>0.034278929870174946</x:v>
      </x:c>
      <x:c r="J183" s="24" t="n">
        <x:f>H183*I183</x:f>
        <x:v>0.12854598701315606</x:v>
      </x:c>
      <x:c r="K183" s="32" t="n">
        <x:v>0</x:v>
      </x:c>
      <x:c r="L183" s="32" t="n">
        <x:v>0</x:v>
      </x:c>
      <x:c r="M183" s="32" t="n">
        <x:v>0</x:v>
      </x:c>
      <x:c r="N183" s="24" t="n">
        <x:f>F183+G183+K183-L183+M183-H183-J183</x:f>
        <x:v>8.337228002769054</x:v>
      </x:c>
      <x:c r="O183" s="24" t="n">
        <x:f>H183*'封面与口径'!$O$24</x:f>
        <x:v>4.5</x:v>
      </x:c>
      <x:c r="P183" s="19" t="str">
        <x:f>IF(N183&lt;0,"缺货",IF(N183&lt;O183,"预警","正常"))</x:f>
        <x:v>正常</x:v>
      </x:c>
      <x:c r="Q183" s="19" t="str">
        <x:v>肥肉0710-03</x:v>
      </x:c>
    </x:row>
    <x:row r="184">
      <x:c r="A184" s="19" t="str">
        <x:v>2026-07-11|S03|肥肉片</x:v>
      </x:c>
      <x:c r="B184" s="34" t="n">
        <x:v>46214.5</x:v>
      </x:c>
      <x:c r="C184" s="19" t="str">
        <x:v>S03</x:v>
      </x:c>
      <x:c r="D184" s="19" t="str">
        <x:v>铂悦城店</x:v>
      </x:c>
      <x:c r="E184" s="19" t="str">
        <x:v>肥肉片</x:v>
      </x:c>
      <x:c r="F184" s="32" t="n">
        <x:v>8.337228002769054</x:v>
      </x:c>
      <x:c r="G184" s="32" t="n">
        <x:v>3.0587567043674078</x:v>
      </x:c>
      <x:c r="H184" s="24" t="n">
        <x:f>'菜品日销量'!G365*50/1000+'菜品日销量'!G374*50/1000</x:f>
        <x:v>2.75</x:v>
      </x:c>
      <x:c r="I184" s="36" t="n">
        <x:v>0.031530369121239146</x:v>
      </x:c>
      <x:c r="J184" s="24" t="n">
        <x:f>H184*I184</x:f>
        <x:v>0.08670851508340766</x:v>
      </x:c>
      <x:c r="K184" s="32" t="n">
        <x:v>0</x:v>
      </x:c>
      <x:c r="L184" s="32" t="n">
        <x:v>0</x:v>
      </x:c>
      <x:c r="M184" s="32" t="n">
        <x:v>0</x:v>
      </x:c>
      <x:c r="N184" s="24" t="n">
        <x:f>F184+G184+K184-L184+M184-H184-J184</x:f>
        <x:v>8.559276192053055</x:v>
      </x:c>
      <x:c r="O184" s="24" t="n">
        <x:f>H184*'封面与口径'!$O$24</x:f>
        <x:v>3.3</x:v>
      </x:c>
      <x:c r="P184" s="19" t="str">
        <x:f>IF(N184&lt;0,"缺货",IF(N184&lt;O184,"预警","正常"))</x:f>
        <x:v>正常</x:v>
      </x:c>
      <x:c r="Q184" s="19" t="str">
        <x:v>肥肉0711-03</x:v>
      </x:c>
    </x:row>
    <x:row r="185">
      <x:c r="A185" s="19" t="str">
        <x:v>2026-07-12|S03|肥肉片</x:v>
      </x:c>
      <x:c r="B185" s="34" t="n">
        <x:v>46215.5</x:v>
      </x:c>
      <x:c r="C185" s="19" t="str">
        <x:v>S03</x:v>
      </x:c>
      <x:c r="D185" s="19" t="str">
        <x:v>铂悦城店</x:v>
      </x:c>
      <x:c r="E185" s="19" t="str">
        <x:v>肥肉片</x:v>
      </x:c>
      <x:c r="F185" s="32" t="n">
        <x:v>8.559276192053055</x:v>
      </x:c>
      <x:c r="G185" s="32" t="n">
        <x:v>2.9421455323808234</x:v>
      </x:c>
      <x:c r="H185" s="24" t="n">
        <x:f>'菜品日销量'!G385*50/1000+'菜品日销量'!G394*50/1000</x:f>
        <x:v>2.55</x:v>
      </x:c>
      <x:c r="I185" s="36" t="n">
        <x:v>0.03511432306494432</x:v>
      </x:c>
      <x:c r="J185" s="24" t="n">
        <x:f>H185*I185</x:f>
        <x:v>0.089541523815608</x:v>
      </x:c>
      <x:c r="K185" s="32" t="n">
        <x:v>0</x:v>
      </x:c>
      <x:c r="L185" s="32" t="n">
        <x:v>0</x:v>
      </x:c>
      <x:c r="M185" s="32" t="n">
        <x:v>0</x:v>
      </x:c>
      <x:c r="N185" s="24" t="n">
        <x:f>F185+G185+K185-L185+M185-H185-J185</x:f>
        <x:v>8.86188020061827</x:v>
      </x:c>
      <x:c r="O185" s="24" t="n">
        <x:f>H185*'封面与口径'!$O$24</x:f>
        <x:v>3.0599999999999996</x:v>
      </x:c>
      <x:c r="P185" s="19" t="str">
        <x:f>IF(N185&lt;0,"缺货",IF(N185&lt;O185,"预警","正常"))</x:f>
        <x:v>正常</x:v>
      </x:c>
      <x:c r="Q185" s="19" t="str">
        <x:v>肥肉0712-03</x:v>
      </x:c>
    </x:row>
    <x:row r="186">
      <x:c r="A186" s="19" t="str">
        <x:v>2026-07-13|S03|肥肉片</x:v>
      </x:c>
      <x:c r="B186" s="34" t="n">
        <x:v>46216.5</x:v>
      </x:c>
      <x:c r="C186" s="19" t="str">
        <x:v>S03</x:v>
      </x:c>
      <x:c r="D186" s="19" t="str">
        <x:v>铂悦城店</x:v>
      </x:c>
      <x:c r="E186" s="19" t="str">
        <x:v>肥肉片</x:v>
      </x:c>
      <x:c r="F186" s="32" t="n">
        <x:v>8.861880200618272</x:v>
      </x:c>
      <x:c r="G186" s="32" t="n">
        <x:v>4.22267777175053</x:v>
      </x:c>
      <x:c r="H186" s="24" t="n">
        <x:f>'菜品日销量'!G405*50/1000+'菜品日销量'!G414*50/1000</x:f>
        <x:v>3.6500000000000004</x:v>
      </x:c>
      <x:c r="I186" s="36" t="n">
        <x:v>0.024682349583525758</x:v>
      </x:c>
      <x:c r="J186" s="24" t="n">
        <x:f>H186*I186</x:f>
        <x:v>0.09009057597986903</x:v>
      </x:c>
      <x:c r="K186" s="32" t="n">
        <x:v>0</x:v>
      </x:c>
      <x:c r="L186" s="32" t="n">
        <x:v>0</x:v>
      </x:c>
      <x:c r="M186" s="32" t="n">
        <x:v>0</x:v>
      </x:c>
      <x:c r="N186" s="24" t="n">
        <x:f>F186+G186+K186-L186+M186-H186-J186</x:f>
        <x:v>9.344467396388934</x:v>
      </x:c>
      <x:c r="O186" s="24" t="n">
        <x:f>H186*'封面与口径'!$O$24</x:f>
        <x:v>4.38</x:v>
      </x:c>
      <x:c r="P186" s="19" t="str">
        <x:f>IF(N186&lt;0,"缺货",IF(N186&lt;O186,"预警","正常"))</x:f>
        <x:v>正常</x:v>
      </x:c>
      <x:c r="Q186" s="19" t="str">
        <x:v>肥肉0713-03</x:v>
      </x:c>
    </x:row>
    <x:row r="187">
      <x:c r="A187" s="19" t="str">
        <x:v>2026-07-07|S03|牛肉片</x:v>
      </x:c>
      <x:c r="B187" s="34" t="n">
        <x:v>46210.5</x:v>
      </x:c>
      <x:c r="C187" s="19" t="str">
        <x:v>S03</x:v>
      </x:c>
      <x:c r="D187" s="19" t="str">
        <x:v>铂悦城店</x:v>
      </x:c>
      <x:c r="E187" s="19" t="str">
        <x:v>牛肉片</x:v>
      </x:c>
      <x:c r="F187" s="32" t="n">
        <x:v>14.85</x:v>
      </x:c>
      <x:c r="G187" s="32" t="n">
        <x:v>9.526747659071523</x:v>
      </x:c>
      <x:c r="H187" s="24" t="n">
        <x:f>'菜品日销量'!G286*250/1000</x:f>
        <x:v>8.25</x:v>
      </x:c>
      <x:c r="I187" s="36" t="n">
        <x:v>0.03833707149334649</x:v>
      </x:c>
      <x:c r="J187" s="24" t="n">
        <x:f>H187*I187</x:f>
        <x:v>0.3162808398201085</x:v>
      </x:c>
      <x:c r="K187" s="32" t="n">
        <x:v>0</x:v>
      </x:c>
      <x:c r="L187" s="32" t="n">
        <x:v>0</x:v>
      </x:c>
      <x:c r="M187" s="32" t="n">
        <x:v>0</x:v>
      </x:c>
      <x:c r="N187" s="24" t="n">
        <x:f>F187+G187+K187-L187+M187-H187-J187</x:f>
        <x:v>15.810466819251413</x:v>
      </x:c>
      <x:c r="O187" s="24" t="n">
        <x:f>H187*'封面与口径'!$O$24</x:f>
        <x:v>9.9</x:v>
      </x:c>
      <x:c r="P187" s="19" t="str">
        <x:f>IF(N187&lt;0,"缺货",IF(N187&lt;O187,"预警","正常"))</x:f>
        <x:v>正常</x:v>
      </x:c>
      <x:c r="Q187" s="19" t="str">
        <x:v>牛肉0707-03</x:v>
      </x:c>
    </x:row>
    <x:row r="188">
      <x:c r="A188" s="19" t="str">
        <x:v>2026-07-08|S03|牛肉片</x:v>
      </x:c>
      <x:c r="B188" s="34" t="n">
        <x:v>46211.5</x:v>
      </x:c>
      <x:c r="C188" s="19" t="str">
        <x:v>S03</x:v>
      </x:c>
      <x:c r="D188" s="19" t="str">
        <x:v>铂悦城店</x:v>
      </x:c>
      <x:c r="E188" s="19" t="str">
        <x:v>牛肉片</x:v>
      </x:c>
      <x:c r="F188" s="32" t="n">
        <x:v>15.810466819251415</x:v>
      </x:c>
      <x:c r="G188" s="32" t="n">
        <x:v>9.063812859608749</x:v>
      </x:c>
      <x:c r="H188" s="24" t="n">
        <x:f>'菜品日销量'!G306*250/1000</x:f>
        <x:v>8.25</x:v>
      </x:c>
      <x:c r="I188" s="36" t="n">
        <x:v>0.03701571710687497</x:v>
      </x:c>
      <x:c r="J188" s="24" t="n">
        <x:f>H188*I188</x:f>
        <x:v>0.3053796661317185</x:v>
      </x:c>
      <x:c r="K188" s="32" t="n">
        <x:v>0</x:v>
      </x:c>
      <x:c r="L188" s="32" t="n">
        <x:v>0</x:v>
      </x:c>
      <x:c r="M188" s="32" t="n">
        <x:v>0</x:v>
      </x:c>
      <x:c r="N188" s="24" t="n">
        <x:f>F188+G188+K188-L188+M188-H188-J188</x:f>
        <x:v>16.318900012728445</x:v>
      </x:c>
      <x:c r="O188" s="24" t="n">
        <x:f>H188*'封面与口径'!$O$24</x:f>
        <x:v>9.9</x:v>
      </x:c>
      <x:c r="P188" s="19" t="str">
        <x:f>IF(N188&lt;0,"缺货",IF(N188&lt;O188,"预警","正常"))</x:f>
        <x:v>正常</x:v>
      </x:c>
      <x:c r="Q188" s="19" t="str">
        <x:v>牛肉0708-03</x:v>
      </x:c>
    </x:row>
    <x:row r="189">
      <x:c r="A189" s="19" t="str">
        <x:v>2026-07-09|S03|牛肉片</x:v>
      </x:c>
      <x:c r="B189" s="34" t="n">
        <x:v>46212.5</x:v>
      </x:c>
      <x:c r="C189" s="19" t="str">
        <x:v>S03</x:v>
      </x:c>
      <x:c r="D189" s="19" t="str">
        <x:v>铂悦城店</x:v>
      </x:c>
      <x:c r="E189" s="19" t="str">
        <x:v>牛肉片</x:v>
      </x:c>
      <x:c r="F189" s="32" t="n">
        <x:v>16.31890001272844</x:v>
      </x:c>
      <x:c r="G189" s="32" t="n">
        <x:v>9.75173674047965</x:v>
      </x:c>
      <x:c r="H189" s="24" t="n">
        <x:f>'菜品日销量'!G326*250/1000</x:f>
        <x:v>8.25</x:v>
      </x:c>
      <x:c r="I189" s="36" t="n">
        <x:v>0.03841449668128381</x:v>
      </x:c>
      <x:c r="J189" s="24" t="n">
        <x:f>H189*I189</x:f>
        <x:v>0.31691959762059146</x:v>
      </x:c>
      <x:c r="K189" s="32" t="n">
        <x:v>0</x:v>
      </x:c>
      <x:c r="L189" s="32" t="n">
        <x:v>0</x:v>
      </x:c>
      <x:c r="M189" s="32" t="n">
        <x:v>0</x:v>
      </x:c>
      <x:c r="N189" s="24" t="n">
        <x:f>F189+G189+K189-L189+M189-H189-J189</x:f>
        <x:v>17.503717155587502</x:v>
      </x:c>
      <x:c r="O189" s="24" t="n">
        <x:f>H189*'封面与口径'!$O$24</x:f>
        <x:v>9.9</x:v>
      </x:c>
      <x:c r="P189" s="19" t="str">
        <x:f>IF(N189&lt;0,"缺货",IF(N189&lt;O189,"预警","正常"))</x:f>
        <x:v>正常</x:v>
      </x:c>
      <x:c r="Q189" s="19" t="str">
        <x:v>牛肉0709-03</x:v>
      </x:c>
    </x:row>
    <x:row r="190">
      <x:c r="A190" s="19" t="str">
        <x:v>2026-07-10|S03|牛肉片</x:v>
      </x:c>
      <x:c r="B190" s="34" t="n">
        <x:v>46213.5</x:v>
      </x:c>
      <x:c r="C190" s="19" t="str">
        <x:v>S03</x:v>
      </x:c>
      <x:c r="D190" s="19" t="str">
        <x:v>铂悦城店</x:v>
      </x:c>
      <x:c r="E190" s="19" t="str">
        <x:v>牛肉片</x:v>
      </x:c>
      <x:c r="F190" s="32" t="n">
        <x:v>17.503717155587502</x:v>
      </x:c>
      <x:c r="G190" s="32" t="n">
        <x:v>9.008600549336663</x:v>
      </x:c>
      <x:c r="H190" s="24" t="n">
        <x:f>'菜品日销量'!G346*250/1000</x:f>
        <x:v>8</x:v>
      </x:c>
      <x:c r="I190" s="36" t="n">
        <x:v>0.03792384669369177</x:v>
      </x:c>
      <x:c r="J190" s="24" t="n">
        <x:f>H190*I190</x:f>
        <x:v>0.30339077354953414</x:v>
      </x:c>
      <x:c r="K190" s="32" t="n">
        <x:v>0</x:v>
      </x:c>
      <x:c r="L190" s="32" t="n">
        <x:v>0</x:v>
      </x:c>
      <x:c r="M190" s="32" t="n">
        <x:v>0</x:v>
      </x:c>
      <x:c r="N190" s="24" t="n">
        <x:f>F190+G190+K190-L190+M190-H190-J190</x:f>
        <x:v>18.20892693137463</x:v>
      </x:c>
      <x:c r="O190" s="24" t="n">
        <x:f>H190*'封面与口径'!$O$24</x:f>
        <x:v>9.6</x:v>
      </x:c>
      <x:c r="P190" s="19" t="str">
        <x:f>IF(N190&lt;0,"缺货",IF(N190&lt;O190,"预警","正常"))</x:f>
        <x:v>正常</x:v>
      </x:c>
      <x:c r="Q190" s="19" t="str">
        <x:v>牛肉0710-03</x:v>
      </x:c>
    </x:row>
    <x:row r="191">
      <x:c r="A191" s="19" t="str">
        <x:v>2026-07-11|S03|牛肉片</x:v>
      </x:c>
      <x:c r="B191" s="34" t="n">
        <x:v>46214.5</x:v>
      </x:c>
      <x:c r="C191" s="19" t="str">
        <x:v>S03</x:v>
      </x:c>
      <x:c r="D191" s="19" t="str">
        <x:v>铂悦城店</x:v>
      </x:c>
      <x:c r="E191" s="19" t="str">
        <x:v>牛肉片</x:v>
      </x:c>
      <x:c r="F191" s="32" t="n">
        <x:v>18.20892693137463</x:v>
      </x:c>
      <x:c r="G191" s="32" t="n">
        <x:v>7.778166420808566</x:v>
      </x:c>
      <x:c r="H191" s="24" t="n">
        <x:f>'菜品日销量'!G366*250/1000</x:f>
        <x:v>6.75</x:v>
      </x:c>
      <x:c r="I191" s="36" t="n">
        <x:v>0.018267833055757878</x:v>
      </x:c>
      <x:c r="J191" s="24" t="n">
        <x:f>H191*I191</x:f>
        <x:v>0.12330787312636568</x:v>
      </x:c>
      <x:c r="K191" s="32" t="n">
        <x:v>0</x:v>
      </x:c>
      <x:c r="L191" s="32" t="n">
        <x:v>0</x:v>
      </x:c>
      <x:c r="M191" s="32" t="n">
        <x:v>0</x:v>
      </x:c>
      <x:c r="N191" s="24" t="n">
        <x:f>F191+G191+K191-L191+M191-H191-J191</x:f>
        <x:v>19.113785479056833</x:v>
      </x:c>
      <x:c r="O191" s="24" t="n">
        <x:f>H191*'封面与口径'!$O$24</x:f>
        <x:v>8.1</x:v>
      </x:c>
      <x:c r="P191" s="19" t="str">
        <x:f>IF(N191&lt;0,"缺货",IF(N191&lt;O191,"预警","正常"))</x:f>
        <x:v>正常</x:v>
      </x:c>
      <x:c r="Q191" s="19" t="str">
        <x:v>牛肉0711-03</x:v>
      </x:c>
    </x:row>
    <x:row r="192">
      <x:c r="A192" s="19" t="str">
        <x:v>2026-07-12|S03|牛肉片</x:v>
      </x:c>
      <x:c r="B192" s="34" t="n">
        <x:v>46215.5</x:v>
      </x:c>
      <x:c r="C192" s="19" t="str">
        <x:v>S03</x:v>
      </x:c>
      <x:c r="D192" s="19" t="str">
        <x:v>铂悦城店</x:v>
      </x:c>
      <x:c r="E192" s="19" t="str">
        <x:v>牛肉片</x:v>
      </x:c>
      <x:c r="F192" s="32" t="n">
        <x:v>19.11378547905683</x:v>
      </x:c>
      <x:c r="G192" s="32" t="n">
        <x:v>7.237852953667252</x:v>
      </x:c>
      <x:c r="H192" s="24" t="n">
        <x:f>'菜品日销量'!G386*250/1000</x:f>
        <x:v>6.5</x:v>
      </x:c>
      <x:c r="I192" s="36" t="n">
        <x:v>0.03650025269866461</x:v>
      </x:c>
      <x:c r="J192" s="24" t="n">
        <x:f>H192*I192</x:f>
        <x:v>0.23725164254131997</x:v>
      </x:c>
      <x:c r="K192" s="32" t="n">
        <x:v>0</x:v>
      </x:c>
      <x:c r="L192" s="32" t="n">
        <x:v>0</x:v>
      </x:c>
      <x:c r="M192" s="32" t="n">
        <x:v>0</x:v>
      </x:c>
      <x:c r="N192" s="24" t="n">
        <x:f>F192+G192+K192-L192+M192-H192-J192</x:f>
        <x:v>19.61438679018276</x:v>
      </x:c>
      <x:c r="O192" s="24" t="n">
        <x:f>H192*'封面与口径'!$O$24</x:f>
        <x:v>7.8</x:v>
      </x:c>
      <x:c r="P192" s="19" t="str">
        <x:f>IF(N192&lt;0,"缺货",IF(N192&lt;O192,"预警","正常"))</x:f>
        <x:v>正常</x:v>
      </x:c>
      <x:c r="Q192" s="19" t="str">
        <x:v>牛肉0712-03</x:v>
      </x:c>
    </x:row>
    <x:row r="193">
      <x:c r="A193" s="19" t="str">
        <x:v>2026-07-13|S03|牛肉片</x:v>
      </x:c>
      <x:c r="B193" s="34" t="n">
        <x:v>46216.5</x:v>
      </x:c>
      <x:c r="C193" s="19" t="str">
        <x:v>S03</x:v>
      </x:c>
      <x:c r="D193" s="19" t="str">
        <x:v>铂悦城店</x:v>
      </x:c>
      <x:c r="E193" s="19" t="str">
        <x:v>牛肉片</x:v>
      </x:c>
      <x:c r="F193" s="32" t="n">
        <x:v>19.61438679018276</x:v>
      </x:c>
      <x:c r="G193" s="32" t="n">
        <x:v>10.784285427216506</x:v>
      </x:c>
      <x:c r="H193" s="24" t="n">
        <x:f>'菜品日销量'!G406*250/1000</x:f>
        <x:v>9</x:v>
      </x:c>
      <x:c r="I193" s="36" t="n">
        <x:v>0.03478896997631271</x:v>
      </x:c>
      <x:c r="J193" s="24" t="n">
        <x:f>H193*I193</x:f>
        <x:v>0.31310072978681436</x:v>
      </x:c>
      <x:c r="K193" s="32" t="n">
        <x:v>0</x:v>
      </x:c>
      <x:c r="L193" s="32" t="n">
        <x:v>0</x:v>
      </x:c>
      <x:c r="M193" s="32" t="n">
        <x:v>0</x:v>
      </x:c>
      <x:c r="N193" s="24" t="n">
        <x:f>F193+G193+K193-L193+M193-H193-J193</x:f>
        <x:v>21.08557148761245</x:v>
      </x:c>
      <x:c r="O193" s="24" t="n">
        <x:f>H193*'封面与口径'!$O$24</x:f>
        <x:v>10.799999999999999</x:v>
      </x:c>
      <x:c r="P193" s="19" t="str">
        <x:f>IF(N193&lt;0,"缺货",IF(N193&lt;O193,"预警","正常"))</x:f>
        <x:v>正常</x:v>
      </x:c>
      <x:c r="Q193" s="19" t="str">
        <x:v>牛肉0713-03</x:v>
      </x:c>
    </x:row>
    <x:row r="194">
      <x:c r="A194" s="19" t="str">
        <x:v>2026-07-07|S03|螺丝椒</x:v>
      </x:c>
      <x:c r="B194" s="34" t="n">
        <x:v>46210.5</x:v>
      </x:c>
      <x:c r="C194" s="19" t="str">
        <x:v>S03</x:v>
      </x:c>
      <x:c r="D194" s="19" t="str">
        <x:v>铂悦城店</x:v>
      </x:c>
      <x:c r="E194" s="19" t="str">
        <x:v>螺丝椒</x:v>
      </x:c>
      <x:c r="F194" s="32" t="n">
        <x:v>23.85</x:v>
      </x:c>
      <x:c r="G194" s="32" t="n">
        <x:v>15.19539907274428</x:v>
      </x:c>
      <x:c r="H194" s="24" t="n">
        <x:f>'菜品日销量'!G285*250/1000</x:f>
        <x:v>13.25</x:v>
      </x:c>
      <x:c r="I194" s="36" t="n">
        <x:v>0.019638292530932997</x:v>
      </x:c>
      <x:c r="J194" s="24" t="n">
        <x:f>H194*I194</x:f>
        <x:v>0.2602073760348622</x:v>
      </x:c>
      <x:c r="K194" s="32" t="n">
        <x:v>0</x:v>
      </x:c>
      <x:c r="L194" s="32" t="n">
        <x:v>0</x:v>
      </x:c>
      <x:c r="M194" s="32" t="n">
        <x:v>0</x:v>
      </x:c>
      <x:c r="N194" s="24" t="n">
        <x:f>F194+G194+K194-L194+M194-H194-J194</x:f>
        <x:v>25.53519169670942</x:v>
      </x:c>
      <x:c r="O194" s="24" t="n">
        <x:f>H194*'封面与口径'!$O$24</x:f>
        <x:v>15.899999999999999</x:v>
      </x:c>
      <x:c r="P194" s="19" t="str">
        <x:f>IF(N194&lt;0,"缺货",IF(N194&lt;O194,"预警","正常"))</x:f>
        <x:v>正常</x:v>
      </x:c>
      <x:c r="Q194" s="19" t="str">
        <x:v>螺丝0707-03</x:v>
      </x:c>
    </x:row>
    <x:row r="195">
      <x:c r="A195" s="19" t="str">
        <x:v>2026-07-08|S03|螺丝椒</x:v>
      </x:c>
      <x:c r="B195" s="34" t="n">
        <x:v>46211.5</x:v>
      </x:c>
      <x:c r="C195" s="19" t="str">
        <x:v>S03</x:v>
      </x:c>
      <x:c r="D195" s="19" t="str">
        <x:v>铂悦城店</x:v>
      </x:c>
      <x:c r="E195" s="19" t="str">
        <x:v>螺丝椒</x:v>
      </x:c>
      <x:c r="F195" s="32" t="n">
        <x:v>25.53519169670942</x:v>
      </x:c>
      <x:c r="G195" s="32" t="n">
        <x:v>14.448310854725614</x:v>
      </x:c>
      <x:c r="H195" s="24" t="n">
        <x:f>'菜品日销量'!G305*250/1000</x:f>
        <x:v>13</x:v>
      </x:c>
      <x:c r="I195" s="36" t="n">
        <x:v>0.016914824138375657</x:v>
      </x:c>
      <x:c r="J195" s="24" t="n">
        <x:f>H195*I195</x:f>
        <x:v>0.21989271379888353</x:v>
      </x:c>
      <x:c r="K195" s="32" t="n">
        <x:v>0</x:v>
      </x:c>
      <x:c r="L195" s="32" t="n">
        <x:v>0</x:v>
      </x:c>
      <x:c r="M195" s="32" t="n">
        <x:v>0</x:v>
      </x:c>
      <x:c r="N195" s="24" t="n">
        <x:f>F195+G195+K195-L195+M195-H195-J195</x:f>
        <x:v>26.763609837636146</x:v>
      </x:c>
      <x:c r="O195" s="24" t="n">
        <x:f>H195*'封面与口径'!$O$24</x:f>
        <x:v>15.6</x:v>
      </x:c>
      <x:c r="P195" s="19" t="str">
        <x:f>IF(N195&lt;0,"缺货",IF(N195&lt;O195,"预警","正常"))</x:f>
        <x:v>正常</x:v>
      </x:c>
      <x:c r="Q195" s="19" t="str">
        <x:v>螺丝0708-03</x:v>
      </x:c>
    </x:row>
    <x:row r="196">
      <x:c r="A196" s="19" t="str">
        <x:v>2026-07-09|S03|螺丝椒</x:v>
      </x:c>
      <x:c r="B196" s="34" t="n">
        <x:v>46212.5</x:v>
      </x:c>
      <x:c r="C196" s="19" t="str">
        <x:v>S03</x:v>
      </x:c>
      <x:c r="D196" s="19" t="str">
        <x:v>铂悦城店</x:v>
      </x:c>
      <x:c r="E196" s="19" t="str">
        <x:v>螺丝椒</x:v>
      </x:c>
      <x:c r="F196" s="32" t="n">
        <x:v>26.763609837636146</x:v>
      </x:c>
      <x:c r="G196" s="32" t="n">
        <x:v>14.236626375845315</x:v>
      </x:c>
      <x:c r="H196" s="24" t="n">
        <x:f>'菜品日销量'!G325*250/1000</x:f>
        <x:v>12.75</x:v>
      </x:c>
      <x:c r="I196" s="36" t="n">
        <x:v>0.033094723856331484</x:v>
      </x:c>
      <x:c r="J196" s="24" t="n">
        <x:f>H196*I196</x:f>
        <x:v>0.42195772916822644</x:v>
      </x:c>
      <x:c r="K196" s="32" t="n">
        <x:v>0</x:v>
      </x:c>
      <x:c r="L196" s="32" t="n">
        <x:v>0</x:v>
      </x:c>
      <x:c r="M196" s="32" t="n">
        <x:v>0</x:v>
      </x:c>
      <x:c r="N196" s="24" t="n">
        <x:f>F196+G196+K196-L196+M196-H196-J196</x:f>
        <x:v>27.82827848431323</x:v>
      </x:c>
      <x:c r="O196" s="24" t="n">
        <x:f>H196*'封面与口径'!$O$24</x:f>
        <x:v>15.299999999999999</x:v>
      </x:c>
      <x:c r="P196" s="19" t="str">
        <x:f>IF(N196&lt;0,"缺货",IF(N196&lt;O196,"预警","正常"))</x:f>
        <x:v>正常</x:v>
      </x:c>
      <x:c r="Q196" s="19" t="str">
        <x:v>螺丝0709-03</x:v>
      </x:c>
    </x:row>
    <x:row r="197">
      <x:c r="A197" s="19" t="str">
        <x:v>2026-07-10|S03|螺丝椒</x:v>
      </x:c>
      <x:c r="B197" s="34" t="n">
        <x:v>46213.5</x:v>
      </x:c>
      <x:c r="C197" s="19" t="str">
        <x:v>S03</x:v>
      </x:c>
      <x:c r="D197" s="19" t="str">
        <x:v>铂悦城店</x:v>
      </x:c>
      <x:c r="E197" s="19" t="str">
        <x:v>螺丝椒</x:v>
      </x:c>
      <x:c r="F197" s="32" t="n">
        <x:v>27.82827848431323</x:v>
      </x:c>
      <x:c r="G197" s="32" t="n">
        <x:v>15.943546597278571</x:v>
      </x:c>
      <x:c r="H197" s="24" t="n">
        <x:f>'菜品日销量'!G345*250/1000</x:f>
        <x:v>13.5</x:v>
      </x:c>
      <x:c r="I197" s="36" t="n">
        <x:v>0.02127056502999518</x:v>
      </x:c>
      <x:c r="J197" s="24" t="n">
        <x:f>H197*I197</x:f>
        <x:v>0.28715262790493495</x:v>
      </x:c>
      <x:c r="K197" s="32" t="n">
        <x:v>0</x:v>
      </x:c>
      <x:c r="L197" s="32" t="n">
        <x:v>0</x:v>
      </x:c>
      <x:c r="M197" s="32" t="n">
        <x:v>0</x:v>
      </x:c>
      <x:c r="N197" s="24" t="n">
        <x:f>F197+G197+K197-L197+M197-H197-J197</x:f>
        <x:v>29.984672453686866</x:v>
      </x:c>
      <x:c r="O197" s="24" t="n">
        <x:f>H197*'封面与口径'!$O$24</x:f>
        <x:v>16.2</x:v>
      </x:c>
      <x:c r="P197" s="19" t="str">
        <x:f>IF(N197&lt;0,"缺货",IF(N197&lt;O197,"预警","正常"))</x:f>
        <x:v>正常</x:v>
      </x:c>
      <x:c r="Q197" s="19" t="str">
        <x:v>螺丝0710-03</x:v>
      </x:c>
    </x:row>
    <x:row r="198">
      <x:c r="A198" s="19" t="str">
        <x:v>2026-07-11|S03|螺丝椒</x:v>
      </x:c>
      <x:c r="B198" s="34" t="n">
        <x:v>46214.5</x:v>
      </x:c>
      <x:c r="C198" s="19" t="str">
        <x:v>S03</x:v>
      </x:c>
      <x:c r="D198" s="19" t="str">
        <x:v>铂悦城店</x:v>
      </x:c>
      <x:c r="E198" s="19" t="str">
        <x:v>螺丝椒</x:v>
      </x:c>
      <x:c r="F198" s="32" t="n">
        <x:v>29.984672453686866</x:v>
      </x:c>
      <x:c r="G198" s="32" t="n">
        <x:v>11.224419907001877</x:v>
      </x:c>
      <x:c r="H198" s="24" t="n">
        <x:f>'菜品日销量'!G365*250/1000</x:f>
        <x:v>9.75</x:v>
      </x:c>
      <x:c r="I198" s="36" t="n">
        <x:v>0.02315586340803557</x:v>
      </x:c>
      <x:c r="J198" s="24" t="n">
        <x:f>H198*I198</x:f>
        <x:v>0.2257696682283468</x:v>
      </x:c>
      <x:c r="K198" s="32" t="n">
        <x:v>0</x:v>
      </x:c>
      <x:c r="L198" s="32" t="n">
        <x:v>0</x:v>
      </x:c>
      <x:c r="M198" s="32" t="n">
        <x:v>0</x:v>
      </x:c>
      <x:c r="N198" s="24" t="n">
        <x:f>F198+G198+K198-L198+M198-H198-J198</x:f>
        <x:v>31.233322692460398</x:v>
      </x:c>
      <x:c r="O198" s="24" t="n">
        <x:f>H198*'封面与口径'!$O$24</x:f>
        <x:v>11.7</x:v>
      </x:c>
      <x:c r="P198" s="19" t="str">
        <x:f>IF(N198&lt;0,"缺货",IF(N198&lt;O198,"预警","正常"))</x:f>
        <x:v>正常</x:v>
      </x:c>
      <x:c r="Q198" s="19" t="str">
        <x:v>螺丝0711-03</x:v>
      </x:c>
    </x:row>
    <x:row r="199">
      <x:c r="A199" s="19" t="str">
        <x:v>2026-07-12|S03|螺丝椒</x:v>
      </x:c>
      <x:c r="B199" s="34" t="n">
        <x:v>46215.5</x:v>
      </x:c>
      <x:c r="C199" s="19" t="str">
        <x:v>S03</x:v>
      </x:c>
      <x:c r="D199" s="19" t="str">
        <x:v>铂悦城店</x:v>
      </x:c>
      <x:c r="E199" s="19" t="str">
        <x:v>螺丝椒</x:v>
      </x:c>
      <x:c r="F199" s="32" t="n">
        <x:v>31.233322692460398</x:v>
      </x:c>
      <x:c r="G199" s="32" t="n">
        <x:v>9.834295602169423</x:v>
      </x:c>
      <x:c r="H199" s="24" t="n">
        <x:f>'菜品日销量'!G385*250/1000</x:f>
        <x:v>9</x:v>
      </x:c>
      <x:c r="I199" s="36" t="n">
        <x:v>0.01747784784936296</x:v>
      </x:c>
      <x:c r="J199" s="24" t="n">
        <x:f>H199*I199</x:f>
        <x:v>0.15730063064426664</x:v>
      </x:c>
      <x:c r="K199" s="32" t="n">
        <x:v>0</x:v>
      </x:c>
      <x:c r="L199" s="32" t="n">
        <x:v>0</x:v>
      </x:c>
      <x:c r="M199" s="32" t="n">
        <x:v>0</x:v>
      </x:c>
      <x:c r="N199" s="24" t="n">
        <x:f>F199+G199+K199-L199+M199-H199-J199</x:f>
        <x:v>31.91031766398556</x:v>
      </x:c>
      <x:c r="O199" s="24" t="n">
        <x:f>H199*'封面与口径'!$O$24</x:f>
        <x:v>10.799999999999999</x:v>
      </x:c>
      <x:c r="P199" s="19" t="str">
        <x:f>IF(N199&lt;0,"缺货",IF(N199&lt;O199,"预警","正常"))</x:f>
        <x:v>正常</x:v>
      </x:c>
      <x:c r="Q199" s="19" t="str">
        <x:v>螺丝0712-03</x:v>
      </x:c>
    </x:row>
    <x:row r="200">
      <x:c r="A200" s="19" t="str">
        <x:v>2026-07-13|S03|螺丝椒</x:v>
      </x:c>
      <x:c r="B200" s="34" t="n">
        <x:v>46216.5</x:v>
      </x:c>
      <x:c r="C200" s="19" t="str">
        <x:v>S03</x:v>
      </x:c>
      <x:c r="D200" s="19" t="str">
        <x:v>铂悦城店</x:v>
      </x:c>
      <x:c r="E200" s="19" t="str">
        <x:v>螺丝椒</x:v>
      </x:c>
      <x:c r="F200" s="32" t="n">
        <x:v>31.91031766398556</x:v>
      </x:c>
      <x:c r="G200" s="32" t="n">
        <x:v>14.558195198829797</x:v>
      </x:c>
      <x:c r="H200" s="24" t="n">
        <x:f>'菜品日销量'!G405*250/1000</x:f>
        <x:v>13</x:v>
      </x:c>
      <x:c r="I200" s="36" t="n">
        <x:v>0.02598749604099139</x:v>
      </x:c>
      <x:c r="J200" s="24" t="n">
        <x:f>H200*I200</x:f>
        <x:v>0.33783744853288805</x:v>
      </x:c>
      <x:c r="K200" s="32" t="n">
        <x:v>0</x:v>
      </x:c>
      <x:c r="L200" s="32" t="n">
        <x:v>0</x:v>
      </x:c>
      <x:c r="M200" s="32" t="n">
        <x:v>0</x:v>
      </x:c>
      <x:c r="N200" s="24" t="n">
        <x:f>F200+G200+K200-L200+M200-H200-J200</x:f>
        <x:v>33.13067541428247</x:v>
      </x:c>
      <x:c r="O200" s="24" t="n">
        <x:f>H200*'封面与口径'!$O$24</x:f>
        <x:v>15.6</x:v>
      </x:c>
      <x:c r="P200" s="19" t="str">
        <x:f>IF(N200&lt;0,"缺货",IF(N200&lt;O200,"预警","正常"))</x:f>
        <x:v>正常</x:v>
      </x:c>
      <x:c r="Q200" s="19" t="str">
        <x:v>螺丝0713-03</x:v>
      </x:c>
    </x:row>
    <x:row r="201">
      <x:c r="A201" s="19" t="str">
        <x:v>2026-07-07|S03|青湖南椒圈</x:v>
      </x:c>
      <x:c r="B201" s="34" t="n">
        <x:v>46210.5</x:v>
      </x:c>
      <x:c r="C201" s="19" t="str">
        <x:v>S03</x:v>
      </x:c>
      <x:c r="D201" s="19" t="str">
        <x:v>铂悦城店</x:v>
      </x:c>
      <x:c r="E201" s="19" t="str">
        <x:v>青湖南椒圈</x:v>
      </x:c>
      <x:c r="F201" s="32" t="n">
        <x:v>3.42</x:v>
      </x:c>
      <x:c r="G201" s="32" t="n">
        <x:v>2.128894577472679</x:v>
      </x:c>
      <x:c r="H201" s="24" t="n">
        <x:f>'菜品日销量'!G294*100/1000</x:f>
        <x:v>1.9</x:v>
      </x:c>
      <x:c r="I201" s="36" t="n">
        <x:v>0.02047249256178562</x:v>
      </x:c>
      <x:c r="J201" s="24" t="n">
        <x:f>H201*I201</x:f>
        <x:v>0.038897735867392674</x:v>
      </x:c>
      <x:c r="K201" s="32" t="n">
        <x:v>0</x:v>
      </x:c>
      <x:c r="L201" s="32" t="n">
        <x:v>0</x:v>
      </x:c>
      <x:c r="M201" s="32" t="n">
        <x:v>0</x:v>
      </x:c>
      <x:c r="N201" s="24" t="n">
        <x:f>F201+G201+K201-L201+M201-H201-J201</x:f>
        <x:v>3.6099968416052857</x:v>
      </x:c>
      <x:c r="O201" s="24" t="n">
        <x:f>H201*'封面与口径'!$O$24</x:f>
        <x:v>2.28</x:v>
      </x:c>
      <x:c r="P201" s="19" t="str">
        <x:f>IF(N201&lt;0,"缺货",IF(N201&lt;O201,"预警","正常"))</x:f>
        <x:v>正常</x:v>
      </x:c>
      <x:c r="Q201" s="19" t="str">
        <x:v>青湖0707-03</x:v>
      </x:c>
    </x:row>
    <x:row r="202">
      <x:c r="A202" s="19" t="str">
        <x:v>2026-07-08|S03|青湖南椒圈</x:v>
      </x:c>
      <x:c r="B202" s="34" t="n">
        <x:v>46211.5</x:v>
      </x:c>
      <x:c r="C202" s="19" t="str">
        <x:v>S03</x:v>
      </x:c>
      <x:c r="D202" s="19" t="str">
        <x:v>铂悦城店</x:v>
      </x:c>
      <x:c r="E202" s="19" t="str">
        <x:v>青湖南椒圈</x:v>
      </x:c>
      <x:c r="F202" s="32" t="n">
        <x:v>3.6099968416052857</x:v>
      </x:c>
      <x:c r="G202" s="32" t="n">
        <x:v>1.8601320901746239</x:v>
      </x:c>
      <x:c r="H202" s="24" t="n">
        <x:f>'菜品日销量'!G314*100/1000</x:f>
        <x:v>1.7</x:v>
      </x:c>
      <x:c r="I202" s="36" t="n">
        <x:v>0.02316717716124076</x:v>
      </x:c>
      <x:c r="J202" s="24" t="n">
        <x:f>H202*I202</x:f>
        <x:v>0.03938420117410929</x:v>
      </x:c>
      <x:c r="K202" s="32" t="n">
        <x:v>0</x:v>
      </x:c>
      <x:c r="L202" s="32" t="n">
        <x:v>0</x:v>
      </x:c>
      <x:c r="M202" s="32" t="n">
        <x:v>0</x:v>
      </x:c>
      <x:c r="N202" s="24" t="n">
        <x:f>F202+G202+K202-L202+M202-H202-J202</x:f>
        <x:v>3.7307447306057995</x:v>
      </x:c>
      <x:c r="O202" s="24" t="n">
        <x:f>H202*'封面与口径'!$O$24</x:f>
        <x:v>2.04</x:v>
      </x:c>
      <x:c r="P202" s="19" t="str">
        <x:f>IF(N202&lt;0,"缺货",IF(N202&lt;O202,"预警","正常"))</x:f>
        <x:v>正常</x:v>
      </x:c>
      <x:c r="Q202" s="19" t="str">
        <x:v>青湖0708-03</x:v>
      </x:c>
    </x:row>
    <x:row r="203">
      <x:c r="A203" s="19" t="str">
        <x:v>2026-07-09|S03|青湖南椒圈</x:v>
      </x:c>
      <x:c r="B203" s="34" t="n">
        <x:v>46212.5</x:v>
      </x:c>
      <x:c r="C203" s="19" t="str">
        <x:v>S03</x:v>
      </x:c>
      <x:c r="D203" s="19" t="str">
        <x:v>铂悦城店</x:v>
      </x:c>
      <x:c r="E203" s="19" t="str">
        <x:v>青湖南椒圈</x:v>
      </x:c>
      <x:c r="F203" s="32" t="n">
        <x:v>3.7307447306058</x:v>
      </x:c>
      <x:c r="G203" s="32" t="n">
        <x:v>2.032576789641887</x:v>
      </x:c>
      <x:c r="H203" s="24" t="n">
        <x:f>'菜品日销量'!G334*100/1000</x:f>
        <x:v>1.8</x:v>
      </x:c>
      <x:c r="I203" s="36" t="n">
        <x:v>0.022872365795279008</x:v>
      </x:c>
      <x:c r="J203" s="24" t="n">
        <x:f>H203*I203</x:f>
        <x:v>0.04117025843150222</x:v>
      </x:c>
      <x:c r="K203" s="32" t="n">
        <x:v>0</x:v>
      </x:c>
      <x:c r="L203" s="32" t="n">
        <x:v>0</x:v>
      </x:c>
      <x:c r="M203" s="32" t="n">
        <x:v>0</x:v>
      </x:c>
      <x:c r="N203" s="24" t="n">
        <x:f>F203+G203+K203-L203+M203-H203-J203</x:f>
        <x:v>3.922151261816185</x:v>
      </x:c>
      <x:c r="O203" s="24" t="n">
        <x:f>H203*'封面与口径'!$O$24</x:f>
        <x:v>2.16</x:v>
      </x:c>
      <x:c r="P203" s="19" t="str">
        <x:f>IF(N203&lt;0,"缺货",IF(N203&lt;O203,"预警","正常"))</x:f>
        <x:v>正常</x:v>
      </x:c>
      <x:c r="Q203" s="19" t="str">
        <x:v>青湖0709-03</x:v>
      </x:c>
    </x:row>
    <x:row r="204">
      <x:c r="A204" s="19" t="str">
        <x:v>2026-07-10|S03|青湖南椒圈</x:v>
      </x:c>
      <x:c r="B204" s="34" t="n">
        <x:v>46213.5</x:v>
      </x:c>
      <x:c r="C204" s="19" t="str">
        <x:v>S03</x:v>
      </x:c>
      <x:c r="D204" s="19" t="str">
        <x:v>铂悦城店</x:v>
      </x:c>
      <x:c r="E204" s="19" t="str">
        <x:v>青湖南椒圈</x:v>
      </x:c>
      <x:c r="F204" s="32" t="n">
        <x:v>3.922151261816185</x:v>
      </x:c>
      <x:c r="G204" s="32" t="n">
        <x:v>2.5142043809532666</x:v>
      </x:c>
      <x:c r="H204" s="24" t="n">
        <x:f>'菜品日销量'!G354*100/1000</x:f>
        <x:v>2.1</x:v>
      </x:c>
      <x:c r="I204" s="36" t="n">
        <x:v>0.029310949572667236</x:v>
      </x:c>
      <x:c r="J204" s="24" t="n">
        <x:f>H204*I204</x:f>
        <x:v>0.0615529941026012</x:v>
      </x:c>
      <x:c r="K204" s="32" t="n">
        <x:v>0</x:v>
      </x:c>
      <x:c r="L204" s="32" t="n">
        <x:v>0</x:v>
      </x:c>
      <x:c r="M204" s="32" t="n">
        <x:v>0</x:v>
      </x:c>
      <x:c r="N204" s="24" t="n">
        <x:f>F204+G204+K204-L204+M204-H204-J204</x:f>
        <x:v>4.27480264866685</x:v>
      </x:c>
      <x:c r="O204" s="24" t="n">
        <x:f>H204*'封面与口径'!$O$24</x:f>
        <x:v>2.52</x:v>
      </x:c>
      <x:c r="P204" s="19" t="str">
        <x:f>IF(N204&lt;0,"缺货",IF(N204&lt;O204,"预警","正常"))</x:f>
        <x:v>正常</x:v>
      </x:c>
      <x:c r="Q204" s="19" t="str">
        <x:v>青湖0710-03</x:v>
      </x:c>
    </x:row>
    <x:row r="205">
      <x:c r="A205" s="19" t="str">
        <x:v>2026-07-11|S03|青湖南椒圈</x:v>
      </x:c>
      <x:c r="B205" s="34" t="n">
        <x:v>46214.5</x:v>
      </x:c>
      <x:c r="C205" s="19" t="str">
        <x:v>S03</x:v>
      </x:c>
      <x:c r="D205" s="19" t="str">
        <x:v>铂悦城店</x:v>
      </x:c>
      <x:c r="E205" s="19" t="str">
        <x:v>青湖南椒圈</x:v>
      </x:c>
      <x:c r="F205" s="32" t="n">
        <x:v>4.27480264866685</x:v>
      </x:c>
      <x:c r="G205" s="32" t="n">
        <x:v>1.7511779608333435</x:v>
      </x:c>
      <x:c r="H205" s="24" t="n">
        <x:f>'菜品日销量'!G374*100/1000</x:f>
        <x:v>1.6</x:v>
      </x:c>
      <x:c r="I205" s="36" t="n">
        <x:v>0.03759415317620014</x:v>
      </x:c>
      <x:c r="J205" s="24" t="n">
        <x:f>H205*I205</x:f>
        <x:v>0.06015064508192023</x:v>
      </x:c>
      <x:c r="K205" s="32" t="n">
        <x:v>0</x:v>
      </x:c>
      <x:c r="L205" s="32" t="n">
        <x:v>0</x:v>
      </x:c>
      <x:c r="M205" s="32" t="n">
        <x:v>0</x:v>
      </x:c>
      <x:c r="N205" s="24" t="n">
        <x:f>F205+G205+K205-L205+M205-H205-J205</x:f>
        <x:v>4.365829964418273</x:v>
      </x:c>
      <x:c r="O205" s="24" t="n">
        <x:f>H205*'封面与口径'!$O$24</x:f>
        <x:v>1.92</x:v>
      </x:c>
      <x:c r="P205" s="19" t="str">
        <x:f>IF(N205&lt;0,"缺货",IF(N205&lt;O205,"预警","正常"))</x:f>
        <x:v>正常</x:v>
      </x:c>
      <x:c r="Q205" s="19" t="str">
        <x:v>青湖0711-03</x:v>
      </x:c>
    </x:row>
    <x:row r="206">
      <x:c r="A206" s="19" t="str">
        <x:v>2026-07-12|S03|青湖南椒圈</x:v>
      </x:c>
      <x:c r="B206" s="34" t="n">
        <x:v>46215.5</x:v>
      </x:c>
      <x:c r="C206" s="19" t="str">
        <x:v>S03</x:v>
      </x:c>
      <x:c r="D206" s="19" t="str">
        <x:v>铂悦城店</x:v>
      </x:c>
      <x:c r="E206" s="19" t="str">
        <x:v>青湖南椒圈</x:v>
      </x:c>
      <x:c r="F206" s="32" t="n">
        <x:v>4.365829964418274</x:v>
      </x:c>
      <x:c r="G206" s="32" t="n">
        <x:v>1.6702077680663692</x:v>
      </x:c>
      <x:c r="H206" s="24" t="n">
        <x:f>'菜品日销量'!G394*100/1000</x:f>
        <x:v>1.5</x:v>
      </x:c>
      <x:c r="I206" s="36" t="n">
        <x:v>0.03803324578051298</x:v>
      </x:c>
      <x:c r="J206" s="24" t="n">
        <x:f>H206*I206</x:f>
        <x:v>0.05704986867076947</x:v>
      </x:c>
      <x:c r="K206" s="32" t="n">
        <x:v>0</x:v>
      </x:c>
      <x:c r="L206" s="32" t="n">
        <x:v>0</x:v>
      </x:c>
      <x:c r="M206" s="32" t="n">
        <x:v>0</x:v>
      </x:c>
      <x:c r="N206" s="24" t="n">
        <x:f>F206+G206+K206-L206+M206-H206-J206</x:f>
        <x:v>4.478987863813874</x:v>
      </x:c>
      <x:c r="O206" s="24" t="n">
        <x:f>H206*'封面与口径'!$O$24</x:f>
        <x:v>1.7999999999999998</x:v>
      </x:c>
      <x:c r="P206" s="19" t="str">
        <x:f>IF(N206&lt;0,"缺货",IF(N206&lt;O206,"预警","正常"))</x:f>
        <x:v>正常</x:v>
      </x:c>
      <x:c r="Q206" s="19" t="str">
        <x:v>青湖0712-03</x:v>
      </x:c>
    </x:row>
    <x:row r="207">
      <x:c r="A207" s="19" t="str">
        <x:v>2026-07-13|S03|青湖南椒圈</x:v>
      </x:c>
      <x:c r="B207" s="34" t="n">
        <x:v>46216.5</x:v>
      </x:c>
      <x:c r="C207" s="19" t="str">
        <x:v>S03</x:v>
      </x:c>
      <x:c r="D207" s="19" t="str">
        <x:v>铂悦城店</x:v>
      </x:c>
      <x:c r="E207" s="19" t="str">
        <x:v>青湖南椒圈</x:v>
      </x:c>
      <x:c r="F207" s="32" t="n">
        <x:v>4.478987863813874</x:v>
      </x:c>
      <x:c r="G207" s="32" t="n">
        <x:v>2.467570895862666</x:v>
      </x:c>
      <x:c r="H207" s="24" t="n">
        <x:f>'菜品日销量'!G414*100/1000</x:f>
        <x:v>2.1</x:v>
      </x:c>
      <x:c r="I207" s="36" t="n">
        <x:v>0.03683289931198416</x:v>
      </x:c>
      <x:c r="J207" s="24" t="n">
        <x:f>H207*I207</x:f>
        <x:v>0.07734908855516674</x:v>
      </x:c>
      <x:c r="K207" s="32" t="n">
        <x:v>0</x:v>
      </x:c>
      <x:c r="L207" s="32" t="n">
        <x:v>0</x:v>
      </x:c>
      <x:c r="M207" s="32" t="n">
        <x:v>0</x:v>
      </x:c>
      <x:c r="N207" s="24" t="n">
        <x:f>F207+G207+K207-L207+M207-H207-J207</x:f>
        <x:v>4.769209671121374</x:v>
      </x:c>
      <x:c r="O207" s="24" t="n">
        <x:f>H207*'封面与口径'!$O$24</x:f>
        <x:v>2.52</x:v>
      </x:c>
      <x:c r="P207" s="19" t="str">
        <x:f>IF(N207&lt;0,"缺货",IF(N207&lt;O207,"预警","正常"))</x:f>
        <x:v>正常</x:v>
      </x:c>
      <x:c r="Q207" s="19" t="str">
        <x:v>青湖0713-03</x:v>
      </x:c>
    </x:row>
    <x:row r="208">
      <x:c r="A208" s="19" t="str">
        <x:v>2026-07-07|S03|鸡蛋</x:v>
      </x:c>
      <x:c r="B208" s="34" t="n">
        <x:v>46210.5</x:v>
      </x:c>
      <x:c r="C208" s="19" t="str">
        <x:v>S03</x:v>
      </x:c>
      <x:c r="D208" s="19" t="str">
        <x:v>铂悦城店</x:v>
      </x:c>
      <x:c r="E208" s="19" t="str">
        <x:v>鸡蛋</x:v>
      </x:c>
      <x:c r="F208" s="32" t="n">
        <x:v>32.04</x:v>
      </x:c>
      <x:c r="G208" s="32" t="n">
        <x:v>20.919710474921324</x:v>
      </x:c>
      <x:c r="H208" s="24" t="n">
        <x:f>'菜品日销量'!G287*300/1000+'菜品日销量'!G297*250/1000</x:f>
        <x:v>17.8</x:v>
      </x:c>
      <x:c r="I208" s="36" t="n">
        <x:v>0.025009450514337388</x:v>
      </x:c>
      <x:c r="J208" s="24" t="n">
        <x:f>H208*I208</x:f>
        <x:v>0.4451682191552055</x:v>
      </x:c>
      <x:c r="K208" s="32" t="n">
        <x:v>0</x:v>
      </x:c>
      <x:c r="L208" s="32" t="n">
        <x:v>0</x:v>
      </x:c>
      <x:c r="M208" s="32" t="n">
        <x:v>0</x:v>
      </x:c>
      <x:c r="N208" s="24" t="n">
        <x:f>F208+G208+K208-L208+M208-H208-J208</x:f>
        <x:v>34.71454225576612</x:v>
      </x:c>
      <x:c r="O208" s="24" t="n">
        <x:f>H208*'封面与口径'!$O$24</x:f>
        <x:v>21.36</x:v>
      </x:c>
      <x:c r="P208" s="19" t="str">
        <x:f>IF(N208&lt;0,"缺货",IF(N208&lt;O208,"预警","正常"))</x:f>
        <x:v>正常</x:v>
      </x:c>
      <x:c r="Q208" s="19" t="str">
        <x:v>鸡蛋0707-03</x:v>
      </x:c>
    </x:row>
    <x:row r="209">
      <x:c r="A209" s="19" t="str">
        <x:v>2026-07-08|S03|鸡蛋</x:v>
      </x:c>
      <x:c r="B209" s="34" t="n">
        <x:v>46211.5</x:v>
      </x:c>
      <x:c r="C209" s="19" t="str">
        <x:v>S03</x:v>
      </x:c>
      <x:c r="D209" s="19" t="str">
        <x:v>铂悦城店</x:v>
      </x:c>
      <x:c r="E209" s="19" t="str">
        <x:v>鸡蛋</x:v>
      </x:c>
      <x:c r="F209" s="32" t="n">
        <x:v>34.71454225576612</x:v>
      </x:c>
      <x:c r="G209" s="32" t="n">
        <x:v>19.719728164468364</x:v>
      </x:c>
      <x:c r="H209" s="24" t="n">
        <x:f>'菜品日销量'!G307*300/1000+'菜品日销量'!G317*250/1000</x:f>
        <x:v>17.15</x:v>
      </x:c>
      <x:c r="I209" s="36" t="n">
        <x:v>0.03592875050053204</x:v>
      </x:c>
      <x:c r="J209" s="24" t="n">
        <x:f>H209*I209</x:f>
        <x:v>0.6161780710841245</x:v>
      </x:c>
      <x:c r="K209" s="32" t="n">
        <x:v>0</x:v>
      </x:c>
      <x:c r="L209" s="32" t="n">
        <x:v>0</x:v>
      </x:c>
      <x:c r="M209" s="32" t="n">
        <x:v>0</x:v>
      </x:c>
      <x:c r="N209" s="24" t="n">
        <x:f>F209+G209+K209-L209+M209-H209-J209</x:f>
        <x:v>36.66809234915036</x:v>
      </x:c>
      <x:c r="O209" s="24" t="n">
        <x:f>H209*'封面与口径'!$O$24</x:f>
        <x:v>20.58</x:v>
      </x:c>
      <x:c r="P209" s="19" t="str">
        <x:f>IF(N209&lt;0,"缺货",IF(N209&lt;O209,"预警","正常"))</x:f>
        <x:v>正常</x:v>
      </x:c>
      <x:c r="Q209" s="19" t="str">
        <x:v>鸡蛋0708-03</x:v>
      </x:c>
    </x:row>
    <x:row r="210">
      <x:c r="A210" s="19" t="str">
        <x:v>2026-07-09|S03|鸡蛋</x:v>
      </x:c>
      <x:c r="B210" s="34" t="n">
        <x:v>46212.5</x:v>
      </x:c>
      <x:c r="C210" s="19" t="str">
        <x:v>S03</x:v>
      </x:c>
      <x:c r="D210" s="19" t="str">
        <x:v>铂悦城店</x:v>
      </x:c>
      <x:c r="E210" s="19" t="str">
        <x:v>鸡蛋</x:v>
      </x:c>
      <x:c r="F210" s="32" t="n">
        <x:v>36.668092349150356</x:v>
      </x:c>
      <x:c r="G210" s="32" t="n">
        <x:v>18.972981203145576</x:v>
      </x:c>
      <x:c r="H210" s="24" t="n">
        <x:f>'菜品日销量'!G327*300/1000+'菜品日销量'!G337*250/1000</x:f>
        <x:v>16</x:v>
      </x:c>
      <x:c r="I210" s="36" t="n">
        <x:v>0.022587466122952166</x:v>
      </x:c>
      <x:c r="J210" s="24" t="n">
        <x:f>H210*I210</x:f>
        <x:v>0.36139945796723466</x:v>
      </x:c>
      <x:c r="K210" s="32" t="n">
        <x:v>0</x:v>
      </x:c>
      <x:c r="L210" s="32" t="n">
        <x:v>0</x:v>
      </x:c>
      <x:c r="M210" s="32" t="n">
        <x:v>0</x:v>
      </x:c>
      <x:c r="N210" s="24" t="n">
        <x:f>F210+G210+K210-L210+M210-H210-J210</x:f>
        <x:v>39.2796740943287</x:v>
      </x:c>
      <x:c r="O210" s="24" t="n">
        <x:f>H210*'封面与口径'!$O$24</x:f>
        <x:v>19.2</x:v>
      </x:c>
      <x:c r="P210" s="19" t="str">
        <x:f>IF(N210&lt;0,"缺货",IF(N210&lt;O210,"预警","正常"))</x:f>
        <x:v>正常</x:v>
      </x:c>
      <x:c r="Q210" s="19" t="str">
        <x:v>鸡蛋0709-03</x:v>
      </x:c>
    </x:row>
    <x:row r="211">
      <x:c r="A211" s="19" t="str">
        <x:v>2026-07-10|S03|鸡蛋</x:v>
      </x:c>
      <x:c r="B211" s="34" t="n">
        <x:v>46213.5</x:v>
      </x:c>
      <x:c r="C211" s="19" t="str">
        <x:v>S03</x:v>
      </x:c>
      <x:c r="D211" s="19" t="str">
        <x:v>铂悦城店</x:v>
      </x:c>
      <x:c r="E211" s="19" t="str">
        <x:v>鸡蛋</x:v>
      </x:c>
      <x:c r="F211" s="32" t="n">
        <x:v>39.2796740943287</x:v>
      </x:c>
      <x:c r="G211" s="32" t="n">
        <x:v>18.498785907854046</x:v>
      </x:c>
      <x:c r="H211" s="24" t="n">
        <x:f>'菜品日销量'!G347*300/1000+'菜品日销量'!G357*250/1000</x:f>
        <x:v>16.85</x:v>
      </x:c>
      <x:c r="I211" s="36" t="n">
        <x:v>0.02252239758323934</x:v>
      </x:c>
      <x:c r="J211" s="24" t="n">
        <x:f>H211*I211</x:f>
        <x:v>0.3795023992775829</x:v>
      </x:c>
      <x:c r="K211" s="32" t="n">
        <x:v>0</x:v>
      </x:c>
      <x:c r="L211" s="32" t="n">
        <x:v>0</x:v>
      </x:c>
      <x:c r="M211" s="32" t="n">
        <x:v>0</x:v>
      </x:c>
      <x:c r="N211" s="24" t="n">
        <x:f>F211+G211+K211-L211+M211-H211-J211</x:f>
        <x:v>40.548957602905155</x:v>
      </x:c>
      <x:c r="O211" s="24" t="n">
        <x:f>H211*'封面与口径'!$O$24</x:f>
        <x:v>20.220000000000002</x:v>
      </x:c>
      <x:c r="P211" s="19" t="str">
        <x:f>IF(N211&lt;0,"缺货",IF(N211&lt;O211,"预警","正常"))</x:f>
        <x:v>正常</x:v>
      </x:c>
      <x:c r="Q211" s="19" t="str">
        <x:v>鸡蛋0710-03</x:v>
      </x:c>
    </x:row>
    <x:row r="212">
      <x:c r="A212" s="19" t="str">
        <x:v>2026-07-11|S03|鸡蛋</x:v>
      </x:c>
      <x:c r="B212" s="34" t="n">
        <x:v>46214.5</x:v>
      </x:c>
      <x:c r="C212" s="19" t="str">
        <x:v>S03</x:v>
      </x:c>
      <x:c r="D212" s="19" t="str">
        <x:v>铂悦城店</x:v>
      </x:c>
      <x:c r="E212" s="19" t="str">
        <x:v>鸡蛋</x:v>
      </x:c>
      <x:c r="F212" s="32" t="n">
        <x:v>40.548957602905155</x:v>
      </x:c>
      <x:c r="G212" s="32" t="n">
        <x:v>14.970728529364042</x:v>
      </x:c>
      <x:c r="H212" s="24" t="n">
        <x:f>'菜品日销量'!G367*300/1000+'菜品日销量'!G377*250/1000</x:f>
        <x:v>13.15</x:v>
      </x:c>
      <x:c r="I212" s="36" t="n">
        <x:v>0.019573964206402648</x:v>
      </x:c>
      <x:c r="J212" s="24" t="n">
        <x:f>H212*I212</x:f>
        <x:v>0.2573976293141948</x:v>
      </x:c>
      <x:c r="K212" s="32" t="n">
        <x:v>0</x:v>
      </x:c>
      <x:c r="L212" s="32" t="n">
        <x:v>0</x:v>
      </x:c>
      <x:c r="M212" s="32" t="n">
        <x:v>0</x:v>
      </x:c>
      <x:c r="N212" s="24" t="n">
        <x:f>F212+G212+K212-L212+M212-H212-J212</x:f>
        <x:v>42.112288502955</x:v>
      </x:c>
      <x:c r="O212" s="24" t="n">
        <x:f>H212*'封面与口径'!$O$24</x:f>
        <x:v>15.78</x:v>
      </x:c>
      <x:c r="P212" s="19" t="str">
        <x:f>IF(N212&lt;0,"缺货",IF(N212&lt;O212,"预警","正常"))</x:f>
        <x:v>正常</x:v>
      </x:c>
      <x:c r="Q212" s="19" t="str">
        <x:v>鸡蛋0711-03</x:v>
      </x:c>
    </x:row>
    <x:row r="213">
      <x:c r="A213" s="19" t="str">
        <x:v>2026-07-12|S03|鸡蛋</x:v>
      </x:c>
      <x:c r="B213" s="34" t="n">
        <x:v>46215.5</x:v>
      </x:c>
      <x:c r="C213" s="19" t="str">
        <x:v>S03</x:v>
      </x:c>
      <x:c r="D213" s="19" t="str">
        <x:v>铂悦城店</x:v>
      </x:c>
      <x:c r="E213" s="19" t="str">
        <x:v>鸡蛋</x:v>
      </x:c>
      <x:c r="F213" s="32" t="n">
        <x:v>42.11228850295501</x:v>
      </x:c>
      <x:c r="G213" s="32" t="n">
        <x:v>15.264288523142294</x:v>
      </x:c>
      <x:c r="H213" s="24" t="n">
        <x:f>'菜品日销量'!G387*300/1000+'菜品日销量'!G397*250/1000</x:f>
        <x:v>12.85</x:v>
      </x:c>
      <x:c r="I213" s="36" t="n">
        <x:v>0.034994293984490055</x:v>
      </x:c>
      <x:c r="J213" s="24" t="n">
        <x:f>H213*I213</x:f>
        <x:v>0.4496766777006972</x:v>
      </x:c>
      <x:c r="K213" s="32" t="n">
        <x:v>0</x:v>
      </x:c>
      <x:c r="L213" s="32" t="n">
        <x:v>0</x:v>
      </x:c>
      <x:c r="M213" s="32" t="n">
        <x:v>0</x:v>
      </x:c>
      <x:c r="N213" s="24" t="n">
        <x:f>F213+G213+K213-L213+M213-H213-J213</x:f>
        <x:v>44.07690034839661</x:v>
      </x:c>
      <x:c r="O213" s="24" t="n">
        <x:f>H213*'封面与口径'!$O$24</x:f>
        <x:v>15.419999999999998</x:v>
      </x:c>
      <x:c r="P213" s="19" t="str">
        <x:f>IF(N213&lt;0,"缺货",IF(N213&lt;O213,"预警","正常"))</x:f>
        <x:v>正常</x:v>
      </x:c>
      <x:c r="Q213" s="19" t="str">
        <x:v>鸡蛋0712-03</x:v>
      </x:c>
    </x:row>
    <x:row r="214">
      <x:c r="A214" s="19" t="str">
        <x:v>2026-07-13|S03|鸡蛋</x:v>
      </x:c>
      <x:c r="B214" s="34" t="n">
        <x:v>46216.5</x:v>
      </x:c>
      <x:c r="C214" s="19" t="str">
        <x:v>S03</x:v>
      </x:c>
      <x:c r="D214" s="19" t="str">
        <x:v>铂悦城店</x:v>
      </x:c>
      <x:c r="E214" s="19" t="str">
        <x:v>鸡蛋</x:v>
      </x:c>
      <x:c r="F214" s="32" t="n">
        <x:v>44.07690034839661</x:v>
      </x:c>
      <x:c r="G214" s="32" t="n">
        <x:v>21.850290047294994</x:v>
      </x:c>
      <x:c r="H214" s="24" t="n">
        <x:f>'菜品日销量'!G407*300/1000+'菜品日销量'!G417*250/1000</x:f>
        <x:v>18.3</x:v>
      </x:c>
      <x:c r="I214" s="36" t="n">
        <x:v>0.030649498636054224</x:v>
      </x:c>
      <x:c r="J214" s="24" t="n">
        <x:f>H214*I214</x:f>
        <x:v>0.5608858250397923</x:v>
      </x:c>
      <x:c r="K214" s="32" t="n">
        <x:v>0</x:v>
      </x:c>
      <x:c r="L214" s="32" t="n">
        <x:v>0</x:v>
      </x:c>
      <x:c r="M214" s="32" t="n">
        <x:v>0</x:v>
      </x:c>
      <x:c r="N214" s="24" t="n">
        <x:f>F214+G214+K214-L214+M214-H214-J214</x:f>
        <x:v>47.06630457065182</x:v>
      </x:c>
      <x:c r="O214" s="24" t="n">
        <x:f>H214*'封面与口径'!$O$24</x:f>
        <x:v>21.96</x:v>
      </x:c>
      <x:c r="P214" s="19" t="str">
        <x:f>IF(N214&lt;0,"缺货",IF(N214&lt;O214,"预警","正常"))</x:f>
        <x:v>正常</x:v>
      </x:c>
      <x:c r="Q214" s="19" t="str">
        <x:v>鸡蛋0713-03</x:v>
      </x:c>
    </x:row>
    <x:row r="215">
      <x:c r="A215" s="19" t="str">
        <x:v>2026-07-07|S03|鸡肉</x:v>
      </x:c>
      <x:c r="B215" s="34" t="n">
        <x:v>46210.5</x:v>
      </x:c>
      <x:c r="C215" s="19" t="str">
        <x:v>S03</x:v>
      </x:c>
      <x:c r="D215" s="19" t="str">
        <x:v>铂悦城店</x:v>
      </x:c>
      <x:c r="E215" s="19" t="str">
        <x:v>鸡肉</x:v>
      </x:c>
      <x:c r="F215" s="32" t="n">
        <x:v>8.91</x:v>
      </x:c>
      <x:c r="G215" s="32" t="n">
        <x:v>5.859917606903221</x:v>
      </x:c>
      <x:c r="H215" s="24" t="n">
        <x:f>'菜品日销量'!G292*450/1000</x:f>
        <x:v>4.95</x:v>
      </x:c>
      <x:c r="I215" s="36" t="n">
        <x:v>0.03480434131571193</x:v>
      </x:c>
      <x:c r="J215" s="24" t="n">
        <x:f>H215*I215</x:f>
        <x:v>0.17228148951277406</x:v>
      </x:c>
      <x:c r="K215" s="32" t="n">
        <x:v>0</x:v>
      </x:c>
      <x:c r="L215" s="32" t="n">
        <x:v>0</x:v>
      </x:c>
      <x:c r="M215" s="32" t="n">
        <x:v>0</x:v>
      </x:c>
      <x:c r="N215" s="24" t="n">
        <x:f>F215+G215+K215-L215+M215-H215-J215</x:f>
        <x:v>9.647636117390448</x:v>
      </x:c>
      <x:c r="O215" s="24" t="n">
        <x:f>H215*'封面与口径'!$O$24</x:f>
        <x:v>5.94</x:v>
      </x:c>
      <x:c r="P215" s="19" t="str">
        <x:f>IF(N215&lt;0,"缺货",IF(N215&lt;O215,"预警","正常"))</x:f>
        <x:v>正常</x:v>
      </x:c>
      <x:c r="Q215" s="19" t="str">
        <x:v>鸡肉0707-03</x:v>
      </x:c>
    </x:row>
    <x:row r="216">
      <x:c r="A216" s="19" t="str">
        <x:v>2026-07-08|S03|鸡肉</x:v>
      </x:c>
      <x:c r="B216" s="34" t="n">
        <x:v>46211.5</x:v>
      </x:c>
      <x:c r="C216" s="19" t="str">
        <x:v>S03</x:v>
      </x:c>
      <x:c r="D216" s="19" t="str">
        <x:v>铂悦城店</x:v>
      </x:c>
      <x:c r="E216" s="19" t="str">
        <x:v>鸡肉</x:v>
      </x:c>
      <x:c r="F216" s="32" t="n">
        <x:v>9.647636117390446</x:v>
      </x:c>
      <x:c r="G216" s="32" t="n">
        <x:v>6.892169616395181</x:v>
      </x:c>
      <x:c r="H216" s="24" t="n">
        <x:f>'菜品日销量'!G312*450/1000</x:f>
        <x:v>5.85</x:v>
      </x:c>
      <x:c r="I216" s="36" t="n">
        <x:v>0.026331235753915095</x:v>
      </x:c>
      <x:c r="J216" s="24" t="n">
        <x:f>H216*I216</x:f>
        <x:v>0.15403772916040329</x:v>
      </x:c>
      <x:c r="K216" s="32" t="n">
        <x:v>0</x:v>
      </x:c>
      <x:c r="L216" s="32" t="n">
        <x:v>0</x:v>
      </x:c>
      <x:c r="M216" s="32" t="n">
        <x:v>0</x:v>
      </x:c>
      <x:c r="N216" s="24" t="n">
        <x:f>F216+G216+K216-L216+M216-H216-J216</x:f>
        <x:v>10.535768004625224</x:v>
      </x:c>
      <x:c r="O216" s="24" t="n">
        <x:f>H216*'封面与口径'!$O$24</x:f>
        <x:v>7.02</x:v>
      </x:c>
      <x:c r="P216" s="19" t="str">
        <x:f>IF(N216&lt;0,"缺货",IF(N216&lt;O216,"预警","正常"))</x:f>
        <x:v>正常</x:v>
      </x:c>
      <x:c r="Q216" s="19" t="str">
        <x:v>鸡肉0708-03</x:v>
      </x:c>
    </x:row>
    <x:row r="217">
      <x:c r="A217" s="19" t="str">
        <x:v>2026-07-09|S03|鸡肉</x:v>
      </x:c>
      <x:c r="B217" s="34" t="n">
        <x:v>46212.5</x:v>
      </x:c>
      <x:c r="C217" s="19" t="str">
        <x:v>S03</x:v>
      </x:c>
      <x:c r="D217" s="19" t="str">
        <x:v>铂悦城店</x:v>
      </x:c>
      <x:c r="E217" s="19" t="str">
        <x:v>鸡肉</x:v>
      </x:c>
      <x:c r="F217" s="32" t="n">
        <x:v>10.535768004625224</x:v>
      </x:c>
      <x:c r="G217" s="32" t="n">
        <x:v>5.900913839913187</x:v>
      </x:c>
      <x:c r="H217" s="24" t="n">
        <x:f>'菜品日销量'!G332*450/1000</x:f>
        <x:v>4.95</x:v>
      </x:c>
      <x:c r="I217" s="36" t="n">
        <x:v>0.029166641983708053</x:v>
      </x:c>
      <x:c r="J217" s="24" t="n">
        <x:f>H217*I217</x:f>
        <x:v>0.14437487781935487</x:v>
      </x:c>
      <x:c r="K217" s="32" t="n">
        <x:v>0</x:v>
      </x:c>
      <x:c r="L217" s="32" t="n">
        <x:v>0</x:v>
      </x:c>
      <x:c r="M217" s="32" t="n">
        <x:v>0</x:v>
      </x:c>
      <x:c r="N217" s="24" t="n">
        <x:f>F217+G217+K217-L217+M217-H217-J217</x:f>
        <x:v>11.34230696671906</x:v>
      </x:c>
      <x:c r="O217" s="24" t="n">
        <x:f>H217*'封面与口径'!$O$24</x:f>
        <x:v>5.94</x:v>
      </x:c>
      <x:c r="P217" s="19" t="str">
        <x:f>IF(N217&lt;0,"缺货",IF(N217&lt;O217,"预警","正常"))</x:f>
        <x:v>正常</x:v>
      </x:c>
      <x:c r="Q217" s="19" t="str">
        <x:v>鸡肉0709-03</x:v>
      </x:c>
    </x:row>
    <x:row r="218">
      <x:c r="A218" s="19" t="str">
        <x:v>2026-07-10|S03|鸡肉</x:v>
      </x:c>
      <x:c r="B218" s="34" t="n">
        <x:v>46213.5</x:v>
      </x:c>
      <x:c r="C218" s="19" t="str">
        <x:v>S03</x:v>
      </x:c>
      <x:c r="D218" s="19" t="str">
        <x:v>铂悦城店</x:v>
      </x:c>
      <x:c r="E218" s="19" t="str">
        <x:v>鸡肉</x:v>
      </x:c>
      <x:c r="F218" s="32" t="n">
        <x:v>11.342306966719057</x:v>
      </x:c>
      <x:c r="G218" s="32" t="n">
        <x:v>6.40986453188068</x:v>
      </x:c>
      <x:c r="H218" s="24" t="n">
        <x:f>'菜品日销量'!G352*450/1000</x:f>
        <x:v>5.4</x:v>
      </x:c>
      <x:c r="I218" s="36" t="n">
        <x:v>0.03127560836874778</x:v>
      </x:c>
      <x:c r="J218" s="24" t="n">
        <x:f>H218*I218</x:f>
        <x:v>0.16888828519123802</x:v>
      </x:c>
      <x:c r="K218" s="32" t="n">
        <x:v>0</x:v>
      </x:c>
      <x:c r="L218" s="32" t="n">
        <x:v>0</x:v>
      </x:c>
      <x:c r="M218" s="32" t="n">
        <x:v>0</x:v>
      </x:c>
      <x:c r="N218" s="24" t="n">
        <x:f>F218+G218+K218-L218+M218-H218-J218</x:f>
        <x:v>12.183283213408497</x:v>
      </x:c>
      <x:c r="O218" s="24" t="n">
        <x:f>H218*'封面与口径'!$O$24</x:f>
        <x:v>6.48</x:v>
      </x:c>
      <x:c r="P218" s="19" t="str">
        <x:f>IF(N218&lt;0,"缺货",IF(N218&lt;O218,"预警","正常"))</x:f>
        <x:v>正常</x:v>
      </x:c>
      <x:c r="Q218" s="19" t="str">
        <x:v>鸡肉0710-03</x:v>
      </x:c>
    </x:row>
    <x:row r="219">
      <x:c r="A219" s="19" t="str">
        <x:v>2026-07-11|S03|鸡肉</x:v>
      </x:c>
      <x:c r="B219" s="34" t="n">
        <x:v>46214.5</x:v>
      </x:c>
      <x:c r="C219" s="19" t="str">
        <x:v>S03</x:v>
      </x:c>
      <x:c r="D219" s="19" t="str">
        <x:v>铂悦城店</x:v>
      </x:c>
      <x:c r="E219" s="19" t="str">
        <x:v>鸡肉</x:v>
      </x:c>
      <x:c r="F219" s="32" t="n">
        <x:v>12.183283213408497</x:v>
      </x:c>
      <x:c r="G219" s="32" t="n">
        <x:v>4.745995959805324</x:v>
      </x:c>
      <x:c r="H219" s="24" t="n">
        <x:f>'菜品日销量'!G372*450/1000</x:f>
        <x:v>4.05</x:v>
      </x:c>
      <x:c r="I219" s="36" t="n">
        <x:v>0.026164798270018025</x:v>
      </x:c>
      <x:c r="J219" s="24" t="n">
        <x:f>H219*I219</x:f>
        <x:v>0.105967432993573</x:v>
      </x:c>
      <x:c r="K219" s="32" t="n">
        <x:v>0</x:v>
      </x:c>
      <x:c r="L219" s="32" t="n">
        <x:v>0</x:v>
      </x:c>
      <x:c r="M219" s="32" t="n">
        <x:v>0</x:v>
      </x:c>
      <x:c r="N219" s="24" t="n">
        <x:f>F219+G219+K219-L219+M219-H219-J219</x:f>
        <x:v>12.773311740220247</x:v>
      </x:c>
      <x:c r="O219" s="24" t="n">
        <x:f>H219*'封面与口径'!$O$24</x:f>
        <x:v>4.859999999999999</x:v>
      </x:c>
      <x:c r="P219" s="19" t="str">
        <x:f>IF(N219&lt;0,"缺货",IF(N219&lt;O219,"预警","正常"))</x:f>
        <x:v>正常</x:v>
      </x:c>
      <x:c r="Q219" s="19" t="str">
        <x:v>鸡肉0711-03</x:v>
      </x:c>
    </x:row>
    <x:row r="220">
      <x:c r="A220" s="19" t="str">
        <x:v>2026-07-12|S03|鸡肉</x:v>
      </x:c>
      <x:c r="B220" s="34" t="n">
        <x:v>46215.5</x:v>
      </x:c>
      <x:c r="C220" s="19" t="str">
        <x:v>S03</x:v>
      </x:c>
      <x:c r="D220" s="19" t="str">
        <x:v>铂悦城店</x:v>
      </x:c>
      <x:c r="E220" s="19" t="str">
        <x:v>鸡肉</x:v>
      </x:c>
      <x:c r="F220" s="32" t="n">
        <x:v>12.77331174022025</x:v>
      </x:c>
      <x:c r="G220" s="32" t="n">
        <x:v>3.993296540638734</x:v>
      </x:c>
      <x:c r="H220" s="24" t="n">
        <x:f>'菜品日销量'!G392*450/1000</x:f>
        <x:v>3.6</x:v>
      </x:c>
      <x:c r="I220" s="36" t="n">
        <x:v>0.01664770258163281</x:v>
      </x:c>
      <x:c r="J220" s="24" t="n">
        <x:f>H220*I220</x:f>
        <x:v>0.059931729293878126</x:v>
      </x:c>
      <x:c r="K220" s="32" t="n">
        <x:v>0</x:v>
      </x:c>
      <x:c r="L220" s="32" t="n">
        <x:v>0</x:v>
      </x:c>
      <x:c r="M220" s="32" t="n">
        <x:v>0</x:v>
      </x:c>
      <x:c r="N220" s="24" t="n">
        <x:f>F220+G220+K220-L220+M220-H220-J220</x:f>
        <x:v>13.106676551565105</x:v>
      </x:c>
      <x:c r="O220" s="24" t="n">
        <x:f>H220*'封面与口径'!$O$24</x:f>
        <x:v>4.32</x:v>
      </x:c>
      <x:c r="P220" s="19" t="str">
        <x:f>IF(N220&lt;0,"缺货",IF(N220&lt;O220,"预警","正常"))</x:f>
        <x:v>正常</x:v>
      </x:c>
      <x:c r="Q220" s="19" t="str">
        <x:v>鸡肉0712-03</x:v>
      </x:c>
    </x:row>
    <x:row r="221">
      <x:c r="A221" s="19" t="str">
        <x:v>2026-07-13|S03|鸡肉</x:v>
      </x:c>
      <x:c r="B221" s="34" t="n">
        <x:v>46216.5</x:v>
      </x:c>
      <x:c r="C221" s="19" t="str">
        <x:v>S03</x:v>
      </x:c>
      <x:c r="D221" s="19" t="str">
        <x:v>铂悦城店</x:v>
      </x:c>
      <x:c r="E221" s="19" t="str">
        <x:v>鸡肉</x:v>
      </x:c>
      <x:c r="F221" s="32" t="n">
        <x:v>13.106676551565105</x:v>
      </x:c>
      <x:c r="G221" s="32" t="n">
        <x:v>6.812732632592025</x:v>
      </x:c>
      <x:c r="H221" s="24" t="n">
        <x:f>'菜品日销量'!G412*450/1000</x:f>
        <x:v>5.85</x:v>
      </x:c>
      <x:c r="I221" s="36" t="n">
        <x:v>0.024298576620476922</x:v>
      </x:c>
      <x:c r="J221" s="24" t="n">
        <x:f>H221*I221</x:f>
        <x:v>0.14214667322979</x:v>
      </x:c>
      <x:c r="K221" s="32" t="n">
        <x:v>0</x:v>
      </x:c>
      <x:c r="L221" s="32" t="n">
        <x:v>0</x:v>
      </x:c>
      <x:c r="M221" s="32" t="n">
        <x:v>0</x:v>
      </x:c>
      <x:c r="N221" s="24" t="n">
        <x:f>F221+G221+K221-L221+M221-H221-J221</x:f>
        <x:v>13.927262510927342</x:v>
      </x:c>
      <x:c r="O221" s="24" t="n">
        <x:f>H221*'封面与口径'!$O$24</x:f>
        <x:v>7.02</x:v>
      </x:c>
      <x:c r="P221" s="19" t="str">
        <x:f>IF(N221&lt;0,"缺货",IF(N221&lt;O221,"预警","正常"))</x:f>
        <x:v>正常</x:v>
      </x:c>
      <x:c r="Q221" s="19" t="str">
        <x:v>鸡肉0713-03</x:v>
      </x:c>
    </x:row>
    <x:row r="222">
      <x:c r="A222" s="19" t="str">
        <x:v>2026-07-07|S03|鲈鱼</x:v>
      </x:c>
      <x:c r="B222" s="34" t="n">
        <x:v>46210.5</x:v>
      </x:c>
      <x:c r="C222" s="19" t="str">
        <x:v>S03</x:v>
      </x:c>
      <x:c r="D222" s="19" t="str">
        <x:v>铂悦城店</x:v>
      </x:c>
      <x:c r="E222" s="19" t="str">
        <x:v>鲈鱼</x:v>
      </x:c>
      <x:c r="F222" s="32" t="n">
        <x:v>6.3</x:v>
      </x:c>
      <x:c r="G222" s="32" t="n">
        <x:v>4.13934285433482</x:v>
      </x:c>
      <x:c r="H222" s="24" t="n">
        <x:f>'菜品日销量'!G296*500/1000</x:f>
        <x:v>3.5</x:v>
      </x:c>
      <x:c r="I222" s="36" t="n">
        <x:v>0.016438262476920675</x:v>
      </x:c>
      <x:c r="J222" s="24" t="n">
        <x:f>H222*I222</x:f>
        <x:v>0.05753391866922236</x:v>
      </x:c>
      <x:c r="K222" s="32" t="n">
        <x:v>0</x:v>
      </x:c>
      <x:c r="L222" s="32" t="n">
        <x:v>0</x:v>
      </x:c>
      <x:c r="M222" s="32" t="n">
        <x:v>0</x:v>
      </x:c>
      <x:c r="N222" s="24" t="n">
        <x:f>F222+G222+K222-L222+M222-H222-J222</x:f>
        <x:v>6.881808935665597</x:v>
      </x:c>
      <x:c r="O222" s="24" t="n">
        <x:f>H222*'封面与口径'!$O$24</x:f>
        <x:v>4.2</x:v>
      </x:c>
      <x:c r="P222" s="19" t="str">
        <x:f>IF(N222&lt;0,"缺货",IF(N222&lt;O222,"预警","正常"))</x:f>
        <x:v>正常</x:v>
      </x:c>
      <x:c r="Q222" s="19" t="str">
        <x:v>鲈鱼0707-03</x:v>
      </x:c>
    </x:row>
    <x:row r="223">
      <x:c r="A223" s="19" t="str">
        <x:v>2026-07-08|S03|鲈鱼</x:v>
      </x:c>
      <x:c r="B223" s="34" t="n">
        <x:v>46211.5</x:v>
      </x:c>
      <x:c r="C223" s="19" t="str">
        <x:v>S03</x:v>
      </x:c>
      <x:c r="D223" s="19" t="str">
        <x:v>铂悦城店</x:v>
      </x:c>
      <x:c r="E223" s="19" t="str">
        <x:v>鲈鱼</x:v>
      </x:c>
      <x:c r="F223" s="32" t="n">
        <x:v>6.881808935665598</x:v>
      </x:c>
      <x:c r="G223" s="32" t="n">
        <x:v>3.4578906657495283</x:v>
      </x:c>
      <x:c r="H223" s="24" t="n">
        <x:f>'菜品日销量'!G316*500/1000</x:f>
        <x:v>3</x:v>
      </x:c>
      <x:c r="I223" s="36" t="n">
        <x:v>0.030007307087072943</x:v>
      </x:c>
      <x:c r="J223" s="24" t="n">
        <x:f>H223*I223</x:f>
        <x:v>0.09002192126121883</x:v>
      </x:c>
      <x:c r="K223" s="32" t="n">
        <x:v>0</x:v>
      </x:c>
      <x:c r="L223" s="32" t="n">
        <x:v>0</x:v>
      </x:c>
      <x:c r="M223" s="32" t="n">
        <x:v>0</x:v>
      </x:c>
      <x:c r="N223" s="24" t="n">
        <x:f>F223+G223+K223-L223+M223-H223-J223</x:f>
        <x:v>7.2496776801539085</x:v>
      </x:c>
      <x:c r="O223" s="24" t="n">
        <x:f>H223*'封面与口径'!$O$24</x:f>
        <x:v>3.5999999999999996</x:v>
      </x:c>
      <x:c r="P223" s="19" t="str">
        <x:f>IF(N223&lt;0,"缺货",IF(N223&lt;O223,"预警","正常"))</x:f>
        <x:v>正常</x:v>
      </x:c>
      <x:c r="Q223" s="19" t="str">
        <x:v>鲈鱼0708-03</x:v>
      </x:c>
    </x:row>
    <x:row r="224">
      <x:c r="A224" s="19" t="str">
        <x:v>2026-07-09|S03|鲈鱼</x:v>
      </x:c>
      <x:c r="B224" s="34" t="n">
        <x:v>46212.5</x:v>
      </x:c>
      <x:c r="C224" s="19" t="str">
        <x:v>S03</x:v>
      </x:c>
      <x:c r="D224" s="19" t="str">
        <x:v>铂悦城店</x:v>
      </x:c>
      <x:c r="E224" s="19" t="str">
        <x:v>鲈鱼</x:v>
      </x:c>
      <x:c r="F224" s="32" t="n">
        <x:v>7.2496776801539085</x:v>
      </x:c>
      <x:c r="G224" s="32" t="n">
        <x:v>3.952782667165805</x:v>
      </x:c>
      <x:c r="H224" s="24" t="n">
        <x:f>'菜品日销量'!G336*500/1000</x:f>
        <x:v>3.5</x:v>
      </x:c>
      <x:c r="I224" s="36" t="n">
        <x:v>0.02846562501589433</x:v>
      </x:c>
      <x:c r="J224" s="24" t="n">
        <x:f>H224*I224</x:f>
        <x:v>0.09962968755563015</x:v>
      </x:c>
      <x:c r="K224" s="32" t="n">
        <x:v>0</x:v>
      </x:c>
      <x:c r="L224" s="32" t="n">
        <x:v>0</x:v>
      </x:c>
      <x:c r="M224" s="32" t="n">
        <x:v>0</x:v>
      </x:c>
      <x:c r="N224" s="24" t="n">
        <x:f>F224+G224+K224-L224+M224-H224-J224</x:f>
        <x:v>7.6028306597640825</x:v>
      </x:c>
      <x:c r="O224" s="24" t="n">
        <x:f>H224*'封面与口径'!$O$24</x:f>
        <x:v>4.2</x:v>
      </x:c>
      <x:c r="P224" s="19" t="str">
        <x:f>IF(N224&lt;0,"缺货",IF(N224&lt;O224,"预警","正常"))</x:f>
        <x:v>正常</x:v>
      </x:c>
      <x:c r="Q224" s="19" t="str">
        <x:v>鲈鱼0709-03</x:v>
      </x:c>
    </x:row>
    <x:row r="225">
      <x:c r="A225" s="19" t="str">
        <x:v>2026-07-10|S03|鲈鱼</x:v>
      </x:c>
      <x:c r="B225" s="34" t="n">
        <x:v>46213.5</x:v>
      </x:c>
      <x:c r="C225" s="19" t="str">
        <x:v>S03</x:v>
      </x:c>
      <x:c r="D225" s="19" t="str">
        <x:v>铂悦城店</x:v>
      </x:c>
      <x:c r="E225" s="19" t="str">
        <x:v>鲈鱼</x:v>
      </x:c>
      <x:c r="F225" s="32" t="n">
        <x:v>7.6028306597640825</x:v>
      </x:c>
      <x:c r="G225" s="32" t="n">
        <x:v>4.059623751747335</x:v>
      </x:c>
      <x:c r="H225" s="24" t="n">
        <x:f>'菜品日销量'!G356*500/1000</x:f>
        <x:v>3.5</x:v>
      </x:c>
      <x:c r="I225" s="36" t="n">
        <x:v>0.03417996735292952</x:v>
      </x:c>
      <x:c r="J225" s="24" t="n">
        <x:f>H225*I225</x:f>
        <x:v>0.11962988573525331</x:v>
      </x:c>
      <x:c r="K225" s="32" t="n">
        <x:v>0</x:v>
      </x:c>
      <x:c r="L225" s="32" t="n">
        <x:v>0</x:v>
      </x:c>
      <x:c r="M225" s="32" t="n">
        <x:v>0</x:v>
      </x:c>
      <x:c r="N225" s="24" t="n">
        <x:f>F225+G225+K225-L225+M225-H225-J225</x:f>
        <x:v>8.042824525776163</x:v>
      </x:c>
      <x:c r="O225" s="24" t="n">
        <x:f>H225*'封面与口径'!$O$24</x:f>
        <x:v>4.2</x:v>
      </x:c>
      <x:c r="P225" s="19" t="str">
        <x:f>IF(N225&lt;0,"缺货",IF(N225&lt;O225,"预警","正常"))</x:f>
        <x:v>正常</x:v>
      </x:c>
      <x:c r="Q225" s="19" t="str">
        <x:v>鲈鱼0710-03</x:v>
      </x:c>
    </x:row>
    <x:row r="226">
      <x:c r="A226" s="19" t="str">
        <x:v>2026-07-11|S03|鲈鱼</x:v>
      </x:c>
      <x:c r="B226" s="34" t="n">
        <x:v>46214.5</x:v>
      </x:c>
      <x:c r="C226" s="19" t="str">
        <x:v>S03</x:v>
      </x:c>
      <x:c r="D226" s="19" t="str">
        <x:v>铂悦城店</x:v>
      </x:c>
      <x:c r="E226" s="19" t="str">
        <x:v>鲈鱼</x:v>
      </x:c>
      <x:c r="F226" s="32" t="n">
        <x:v>8.042824525776163</x:v>
      </x:c>
      <x:c r="G226" s="32" t="n">
        <x:v>2.85454757058866</x:v>
      </x:c>
      <x:c r="H226" s="24" t="n">
        <x:f>'菜品日销量'!G376*500/1000</x:f>
        <x:v>2.5</x:v>
      </x:c>
      <x:c r="I226" s="36" t="n">
        <x:v>0.03939685519770646</x:v>
      </x:c>
      <x:c r="J226" s="24" t="n">
        <x:f>H226*I226</x:f>
        <x:v>0.09849213799426615</x:v>
      </x:c>
      <x:c r="K226" s="32" t="n">
        <x:v>0</x:v>
      </x:c>
      <x:c r="L226" s="32" t="n">
        <x:v>0</x:v>
      </x:c>
      <x:c r="M226" s="32" t="n">
        <x:v>0</x:v>
      </x:c>
      <x:c r="N226" s="24" t="n">
        <x:f>F226+G226+K226-L226+M226-H226-J226</x:f>
        <x:v>8.298879958370556</x:v>
      </x:c>
      <x:c r="O226" s="24" t="n">
        <x:f>H226*'封面与口径'!$O$24</x:f>
        <x:v>3</x:v>
      </x:c>
      <x:c r="P226" s="19" t="str">
        <x:f>IF(N226&lt;0,"缺货",IF(N226&lt;O226,"预警","正常"))</x:f>
        <x:v>正常</x:v>
      </x:c>
      <x:c r="Q226" s="19" t="str">
        <x:v>鲈鱼0711-03</x:v>
      </x:c>
    </x:row>
    <x:row r="227">
      <x:c r="A227" s="19" t="str">
        <x:v>2026-07-12|S03|鲈鱼</x:v>
      </x:c>
      <x:c r="B227" s="34" t="n">
        <x:v>46215.5</x:v>
      </x:c>
      <x:c r="C227" s="19" t="str">
        <x:v>S03</x:v>
      </x:c>
      <x:c r="D227" s="19" t="str">
        <x:v>铂悦城店</x:v>
      </x:c>
      <x:c r="E227" s="19" t="str">
        <x:v>鲈鱼</x:v>
      </x:c>
      <x:c r="F227" s="32" t="n">
        <x:v>8.298879958370556</x:v>
      </x:c>
      <x:c r="G227" s="32" t="n">
        <x:v>3.283916692585665</x:v>
      </x:c>
      <x:c r="H227" s="24" t="n">
        <x:f>'菜品日销量'!G396*500/1000</x:f>
        <x:v>3</x:v>
      </x:c>
      <x:c r="I227" s="36" t="n">
        <x:v>0.024006470432273688</x:v>
      </x:c>
      <x:c r="J227" s="24" t="n">
        <x:f>H227*I227</x:f>
        <x:v>0.07201941129682106</x:v>
      </x:c>
      <x:c r="K227" s="32" t="n">
        <x:v>0</x:v>
      </x:c>
      <x:c r="L227" s="32" t="n">
        <x:v>0</x:v>
      </x:c>
      <x:c r="M227" s="32" t="n">
        <x:v>0</x:v>
      </x:c>
      <x:c r="N227" s="24" t="n">
        <x:f>F227+G227+K227-L227+M227-H227-J227</x:f>
        <x:v>8.510777239659399</x:v>
      </x:c>
      <x:c r="O227" s="24" t="n">
        <x:f>H227*'封面与口径'!$O$24</x:f>
        <x:v>3.5999999999999996</x:v>
      </x:c>
      <x:c r="P227" s="19" t="str">
        <x:f>IF(N227&lt;0,"缺货",IF(N227&lt;O227,"预警","正常"))</x:f>
        <x:v>正常</x:v>
      </x:c>
      <x:c r="Q227" s="19" t="str">
        <x:v>鲈鱼0712-03</x:v>
      </x:c>
    </x:row>
    <x:row r="228">
      <x:c r="A228" s="19" t="str">
        <x:v>2026-07-13|S03|鲈鱼</x:v>
      </x:c>
      <x:c r="B228" s="34" t="n">
        <x:v>46216.5</x:v>
      </x:c>
      <x:c r="C228" s="19" t="str">
        <x:v>S03</x:v>
      </x:c>
      <x:c r="D228" s="19" t="str">
        <x:v>铂悦城店</x:v>
      </x:c>
      <x:c r="E228" s="19" t="str">
        <x:v>鲈鱼</x:v>
      </x:c>
      <x:c r="F228" s="32" t="n">
        <x:v>8.510777239659399</x:v>
      </x:c>
      <x:c r="G228" s="32" t="n">
        <x:v>4.725773358514014</x:v>
      </x:c>
      <x:c r="H228" s="24" t="n">
        <x:f>'菜品日销量'!G416*500/1000</x:f>
        <x:v>4</x:v>
      </x:c>
      <x:c r="I228" s="36" t="n">
        <x:v>0.03331576517860307</x:v>
      </x:c>
      <x:c r="J228" s="24" t="n">
        <x:f>H228*I228</x:f>
        <x:v>0.13326306071441227</x:v>
      </x:c>
      <x:c r="K228" s="32" t="n">
        <x:v>0</x:v>
      </x:c>
      <x:c r="L228" s="32" t="n">
        <x:v>0</x:v>
      </x:c>
      <x:c r="M228" s="32" t="n">
        <x:v>0</x:v>
      </x:c>
      <x:c r="N228" s="24" t="n">
        <x:f>F228+G228+K228-L228+M228-H228-J228</x:f>
        <x:v>9.103287537459</x:v>
      </x:c>
      <x:c r="O228" s="24" t="n">
        <x:f>H228*'封面与口径'!$O$24</x:f>
        <x:v>4.8</x:v>
      </x:c>
      <x:c r="P228" s="19" t="str">
        <x:f>IF(N228&lt;0,"缺货",IF(N228&lt;O228,"预警","正常"))</x:f>
        <x:v>正常</x:v>
      </x:c>
      <x:c r="Q228" s="19" t="str">
        <x:v>鲈鱼0713-03</x:v>
      </x:c>
    </x:row>
    <x:row r="229">
      <x:c r="A229" s="19" t="str">
        <x:v>2026-07-07|S03|酸包菜</x:v>
      </x:c>
      <x:c r="B229" s="34" t="n">
        <x:v>46210.5</x:v>
      </x:c>
      <x:c r="C229" s="19" t="str">
        <x:v>S03</x:v>
      </x:c>
      <x:c r="D229" s="19" t="str">
        <x:v>铂悦城店</x:v>
      </x:c>
      <x:c r="E229" s="19" t="str">
        <x:v>酸包菜</x:v>
      </x:c>
      <x:c r="F229" s="32" t="n">
        <x:v>14.76</x:v>
      </x:c>
      <x:c r="G229" s="32" t="n">
        <x:v>9.005387533978883</x:v>
      </x:c>
      <x:c r="H229" s="24" t="n">
        <x:f>'菜品日销量'!G288*200/1000</x:f>
        <x:v>8.2</x:v>
      </x:c>
      <x:c r="I229" s="36" t="n">
        <x:v>0.039058512865812176</x:v>
      </x:c>
      <x:c r="J229" s="24" t="n">
        <x:f>H229*I229</x:f>
        <x:v>0.3202798054996598</x:v>
      </x:c>
      <x:c r="K229" s="32" t="n">
        <x:v>0</x:v>
      </x:c>
      <x:c r="L229" s="32" t="n">
        <x:v>0</x:v>
      </x:c>
      <x:c r="M229" s="32" t="n">
        <x:v>0</x:v>
      </x:c>
      <x:c r="N229" s="24" t="n">
        <x:f>F229+G229+K229-L229+M229-H229-J229</x:f>
        <x:v>15.245107728479223</x:v>
      </x:c>
      <x:c r="O229" s="24" t="n">
        <x:f>H229*'封面与口径'!$O$24</x:f>
        <x:v>9.839999999999998</x:v>
      </x:c>
      <x:c r="P229" s="19" t="str">
        <x:f>IF(N229&lt;0,"缺货",IF(N229&lt;O229,"预警","正常"))</x:f>
        <x:v>正常</x:v>
      </x:c>
      <x:c r="Q229" s="19" t="str">
        <x:v>酸包0707-03</x:v>
      </x:c>
    </x:row>
    <x:row r="230">
      <x:c r="A230" s="19" t="str">
        <x:v>2026-07-08|S03|酸包菜</x:v>
      </x:c>
      <x:c r="B230" s="34" t="n">
        <x:v>46211.5</x:v>
      </x:c>
      <x:c r="C230" s="19" t="str">
        <x:v>S03</x:v>
      </x:c>
      <x:c r="D230" s="19" t="str">
        <x:v>铂悦城店</x:v>
      </x:c>
      <x:c r="E230" s="19" t="str">
        <x:v>酸包菜</x:v>
      </x:c>
      <x:c r="F230" s="32" t="n">
        <x:v>15.245107728479223</x:v>
      </x:c>
      <x:c r="G230" s="32" t="n">
        <x:v>9.626460873501948</x:v>
      </x:c>
      <x:c r="H230" s="24" t="n">
        <x:f>'菜品日销量'!G308*200/1000</x:f>
        <x:v>8.2</x:v>
      </x:c>
      <x:c r="I230" s="36" t="n">
        <x:v>0.037039025666201264</x:v>
      </x:c>
      <x:c r="J230" s="24" t="n">
        <x:f>H230*I230</x:f>
        <x:v>0.30372001046285035</x:v>
      </x:c>
      <x:c r="K230" s="32" t="n">
        <x:v>0</x:v>
      </x:c>
      <x:c r="L230" s="32" t="n">
        <x:v>0</x:v>
      </x:c>
      <x:c r="M230" s="32" t="n">
        <x:v>0</x:v>
      </x:c>
      <x:c r="N230" s="24" t="n">
        <x:f>F230+G230+K230-L230+M230-H230-J230</x:f>
        <x:v>16.36784859151832</x:v>
      </x:c>
      <x:c r="O230" s="24" t="n">
        <x:f>H230*'封面与口径'!$O$24</x:f>
        <x:v>9.839999999999998</x:v>
      </x:c>
      <x:c r="P230" s="19" t="str">
        <x:f>IF(N230&lt;0,"缺货",IF(N230&lt;O230,"预警","正常"))</x:f>
        <x:v>正常</x:v>
      </x:c>
      <x:c r="Q230" s="19" t="str">
        <x:v>酸包0708-03</x:v>
      </x:c>
    </x:row>
    <x:row r="231">
      <x:c r="A231" s="19" t="str">
        <x:v>2026-07-09|S03|酸包菜</x:v>
      </x:c>
      <x:c r="B231" s="34" t="n">
        <x:v>46212.5</x:v>
      </x:c>
      <x:c r="C231" s="19" t="str">
        <x:v>S03</x:v>
      </x:c>
      <x:c r="D231" s="19" t="str">
        <x:v>铂悦城店</x:v>
      </x:c>
      <x:c r="E231" s="19" t="str">
        <x:v>酸包菜</x:v>
      </x:c>
      <x:c r="F231" s="32" t="n">
        <x:v>16.36784859151832</x:v>
      </x:c>
      <x:c r="G231" s="32" t="n">
        <x:v>8.550628121602962</x:v>
      </x:c>
      <x:c r="H231" s="24" t="n">
        <x:f>'菜品日销量'!G328*200/1000</x:f>
        <x:v>7.4</x:v>
      </x:c>
      <x:c r="I231" s="36" t="n">
        <x:v>0.01874891305778849</x:v>
      </x:c>
      <x:c r="J231" s="24" t="n">
        <x:f>H231*I231</x:f>
        <x:v>0.13874195662763483</x:v>
      </x:c>
      <x:c r="K231" s="32" t="n">
        <x:v>0</x:v>
      </x:c>
      <x:c r="L231" s="32" t="n">
        <x:v>0</x:v>
      </x:c>
      <x:c r="M231" s="32" t="n">
        <x:v>0</x:v>
      </x:c>
      <x:c r="N231" s="24" t="n">
        <x:f>F231+G231+K231-L231+M231-H231-J231</x:f>
        <x:v>17.379734756493647</x:v>
      </x:c>
      <x:c r="O231" s="24" t="n">
        <x:f>H231*'封面与口径'!$O$24</x:f>
        <x:v>8.88</x:v>
      </x:c>
      <x:c r="P231" s="19" t="str">
        <x:f>IF(N231&lt;0,"缺货",IF(N231&lt;O231,"预警","正常"))</x:f>
        <x:v>正常</x:v>
      </x:c>
      <x:c r="Q231" s="19" t="str">
        <x:v>酸包0709-03</x:v>
      </x:c>
    </x:row>
    <x:row r="232">
      <x:c r="A232" s="19" t="str">
        <x:v>2026-07-10|S03|酸包菜</x:v>
      </x:c>
      <x:c r="B232" s="34" t="n">
        <x:v>46213.5</x:v>
      </x:c>
      <x:c r="C232" s="19" t="str">
        <x:v>S03</x:v>
      </x:c>
      <x:c r="D232" s="19" t="str">
        <x:v>铂悦城店</x:v>
      </x:c>
      <x:c r="E232" s="19" t="str">
        <x:v>酸包菜</x:v>
      </x:c>
      <x:c r="F232" s="32" t="n">
        <x:v>17.379734756493647</x:v>
      </x:c>
      <x:c r="G232" s="32" t="n">
        <x:v>8.265619828811293</x:v>
      </x:c>
      <x:c r="H232" s="24" t="n">
        <x:f>'菜品日销量'!G348*200/1000</x:f>
        <x:v>7.6</x:v>
      </x:c>
      <x:c r="I232" s="36" t="n">
        <x:v>0.016369566965468593</x:v>
      </x:c>
      <x:c r="J232" s="24" t="n">
        <x:f>H232*I232</x:f>
        <x:v>0.1244087089375613</x:v>
      </x:c>
      <x:c r="K232" s="32" t="n">
        <x:v>0</x:v>
      </x:c>
      <x:c r="L232" s="32" t="n">
        <x:v>0</x:v>
      </x:c>
      <x:c r="M232" s="32" t="n">
        <x:v>0</x:v>
      </x:c>
      <x:c r="N232" s="24" t="n">
        <x:f>F232+G232+K232-L232+M232-H232-J232</x:f>
        <x:v>17.92094587636738</x:v>
      </x:c>
      <x:c r="O232" s="24" t="n">
        <x:f>H232*'封面与口径'!$O$24</x:f>
        <x:v>9.12</x:v>
      </x:c>
      <x:c r="P232" s="19" t="str">
        <x:f>IF(N232&lt;0,"缺货",IF(N232&lt;O232,"预警","正常"))</x:f>
        <x:v>正常</x:v>
      </x:c>
      <x:c r="Q232" s="19" t="str">
        <x:v>酸包0710-03</x:v>
      </x:c>
    </x:row>
    <x:row r="233">
      <x:c r="A233" s="19" t="str">
        <x:v>2026-07-11|S03|酸包菜</x:v>
      </x:c>
      <x:c r="B233" s="34" t="n">
        <x:v>46214.5</x:v>
      </x:c>
      <x:c r="C233" s="19" t="str">
        <x:v>S03</x:v>
      </x:c>
      <x:c r="D233" s="19" t="str">
        <x:v>铂悦城店</x:v>
      </x:c>
      <x:c r="E233" s="19" t="str">
        <x:v>酸包菜</x:v>
      </x:c>
      <x:c r="F233" s="32" t="n">
        <x:v>17.920945876367377</x:v>
      </x:c>
      <x:c r="G233" s="32" t="n">
        <x:v>6.756291084551321</x:v>
      </x:c>
      <x:c r="H233" s="24" t="n">
        <x:f>'菜品日销量'!G368*200/1000</x:f>
        <x:v>5.8</x:v>
      </x:c>
      <x:c r="I233" s="36" t="n">
        <x:v>0.01694417419888642</x:v>
      </x:c>
      <x:c r="J233" s="24" t="n">
        <x:f>H233*I233</x:f>
        <x:v>0.09827621035354124</x:v>
      </x:c>
      <x:c r="K233" s="32" t="n">
        <x:v>0</x:v>
      </x:c>
      <x:c r="L233" s="32" t="n">
        <x:v>0</x:v>
      </x:c>
      <x:c r="M233" s="32" t="n">
        <x:v>0</x:v>
      </x:c>
      <x:c r="N233" s="24" t="n">
        <x:f>F233+G233+K233-L233+M233-H233-J233</x:f>
        <x:v>18.778960750565155</x:v>
      </x:c>
      <x:c r="O233" s="24" t="n">
        <x:f>H233*'封面与口径'!$O$24</x:f>
        <x:v>6.96</x:v>
      </x:c>
      <x:c r="P233" s="19" t="str">
        <x:f>IF(N233&lt;0,"缺货",IF(N233&lt;O233,"预警","正常"))</x:f>
        <x:v>正常</x:v>
      </x:c>
      <x:c r="Q233" s="19" t="str">
        <x:v>酸包0711-03</x:v>
      </x:c>
    </x:row>
    <x:row r="234">
      <x:c r="A234" s="19" t="str">
        <x:v>2026-07-12|S03|酸包菜</x:v>
      </x:c>
      <x:c r="B234" s="34" t="n">
        <x:v>46215.5</x:v>
      </x:c>
      <x:c r="C234" s="19" t="str">
        <x:v>S03</x:v>
      </x:c>
      <x:c r="D234" s="19" t="str">
        <x:v>铂悦城店</x:v>
      </x:c>
      <x:c r="E234" s="19" t="str">
        <x:v>酸包菜</x:v>
      </x:c>
      <x:c r="F234" s="32" t="n">
        <x:v>18.778960750565155</x:v>
      </x:c>
      <x:c r="G234" s="32" t="n">
        <x:v>6.930236820385381</x:v>
      </x:c>
      <x:c r="H234" s="24" t="n">
        <x:f>'菜品日销量'!G388*200/1000</x:f>
        <x:v>6</x:v>
      </x:c>
      <x:c r="I234" s="36" t="n">
        <x:v>0.022998152795014472</x:v>
      </x:c>
      <x:c r="J234" s="24" t="n">
        <x:f>H234*I234</x:f>
        <x:v>0.13798891677008684</x:v>
      </x:c>
      <x:c r="K234" s="32" t="n">
        <x:v>0</x:v>
      </x:c>
      <x:c r="L234" s="32" t="n">
        <x:v>0</x:v>
      </x:c>
      <x:c r="M234" s="32" t="n">
        <x:v>0</x:v>
      </x:c>
      <x:c r="N234" s="24" t="n">
        <x:f>F234+G234+K234-L234+M234-H234-J234</x:f>
        <x:v>19.57120865418045</x:v>
      </x:c>
      <x:c r="O234" s="24" t="n">
        <x:f>H234*'封面与口径'!$O$24</x:f>
        <x:v>7.199999999999999</x:v>
      </x:c>
      <x:c r="P234" s="19" t="str">
        <x:f>IF(N234&lt;0,"缺货",IF(N234&lt;O234,"预警","正常"))</x:f>
        <x:v>正常</x:v>
      </x:c>
      <x:c r="Q234" s="19" t="str">
        <x:v>酸包0712-03</x:v>
      </x:c>
    </x:row>
    <x:row r="235">
      <x:c r="A235" s="19" t="str">
        <x:v>2026-07-13|S03|酸包菜</x:v>
      </x:c>
      <x:c r="B235" s="34" t="n">
        <x:v>46216.5</x:v>
      </x:c>
      <x:c r="C235" s="19" t="str">
        <x:v>S03</x:v>
      </x:c>
      <x:c r="D235" s="19" t="str">
        <x:v>铂悦城店</x:v>
      </x:c>
      <x:c r="E235" s="19" t="str">
        <x:v>酸包菜</x:v>
      </x:c>
      <x:c r="F235" s="32" t="n">
        <x:v>19.57120865418045</x:v>
      </x:c>
      <x:c r="G235" s="32" t="n">
        <x:v>9.666811273392943</x:v>
      </x:c>
      <x:c r="H235" s="24" t="n">
        <x:f>'菜品日销量'!G408*200/1000</x:f>
        <x:v>8.6</x:v>
      </x:c>
      <x:c r="I235" s="36" t="n">
        <x:v>0.03491591466821635</x:v>
      </x:c>
      <x:c r="J235" s="24" t="n">
        <x:f>H235*I235</x:f>
        <x:v>0.3002768661466606</x:v>
      </x:c>
      <x:c r="K235" s="32" t="n">
        <x:v>0</x:v>
      </x:c>
      <x:c r="L235" s="32" t="n">
        <x:v>0</x:v>
      </x:c>
      <x:c r="M235" s="32" t="n">
        <x:v>0</x:v>
      </x:c>
      <x:c r="N235" s="24" t="n">
        <x:f>F235+G235+K235-L235+M235-H235-J235</x:f>
        <x:v>20.33774306142673</x:v>
      </x:c>
      <x:c r="O235" s="24" t="n">
        <x:f>H235*'封面与口径'!$O$24</x:f>
        <x:v>10.319999999999999</x:v>
      </x:c>
      <x:c r="P235" s="19" t="str">
        <x:f>IF(N235&lt;0,"缺货",IF(N235&lt;O235,"预警","正常"))</x:f>
        <x:v>正常</x:v>
      </x:c>
      <x:c r="Q235" s="19" t="str">
        <x:v>酸包0713-03</x:v>
      </x:c>
    </x:row>
    <x:row r="236">
      <x:c r="A236" s="19" t="str">
        <x:v>2026-07-07|S03|粉皮</x:v>
      </x:c>
      <x:c r="B236" s="34" t="n">
        <x:v>46210.5</x:v>
      </x:c>
      <x:c r="C236" s="19" t="str">
        <x:v>S03</x:v>
      </x:c>
      <x:c r="D236" s="19" t="str">
        <x:v>铂悦城店</x:v>
      </x:c>
      <x:c r="E236" s="19" t="str">
        <x:v>粉皮</x:v>
      </x:c>
      <x:c r="F236" s="32" t="n">
        <x:v>11.07</x:v>
      </x:c>
      <x:c r="G236" s="32" t="n">
        <x:v>7.361415526849083</x:v>
      </x:c>
      <x:c r="H236" s="24" t="n">
        <x:f>'菜品日销量'!G288*150/1000</x:f>
        <x:v>6.15</x:v>
      </x:c>
      <x:c r="I236" s="36" t="n">
        <x:v>0.037391880105107994</x:v>
      </x:c>
      <x:c r="J236" s="24" t="n">
        <x:f>H236*I236</x:f>
        <x:v>0.22996006264641417</x:v>
      </x:c>
      <x:c r="K236" s="32" t="n">
        <x:v>0</x:v>
      </x:c>
      <x:c r="L236" s="32" t="n">
        <x:v>0</x:v>
      </x:c>
      <x:c r="M236" s="32" t="n">
        <x:v>0</x:v>
      </x:c>
      <x:c r="N236" s="24" t="n">
        <x:f>F236+G236+K236-L236+M236-H236-J236</x:f>
        <x:v>12.051455464202668</x:v>
      </x:c>
      <x:c r="O236" s="24" t="n">
        <x:f>H236*'封面与口径'!$O$24</x:f>
        <x:v>7.38</x:v>
      </x:c>
      <x:c r="P236" s="19" t="str">
        <x:f>IF(N236&lt;0,"缺货",IF(N236&lt;O236,"预警","正常"))</x:f>
        <x:v>正常</x:v>
      </x:c>
      <x:c r="Q236" s="19" t="str">
        <x:v>粉皮0707-03</x:v>
      </x:c>
    </x:row>
    <x:row r="237">
      <x:c r="A237" s="19" t="str">
        <x:v>2026-07-08|S03|粉皮</x:v>
      </x:c>
      <x:c r="B237" s="34" t="n">
        <x:v>46211.5</x:v>
      </x:c>
      <x:c r="C237" s="19" t="str">
        <x:v>S03</x:v>
      </x:c>
      <x:c r="D237" s="19" t="str">
        <x:v>铂悦城店</x:v>
      </x:c>
      <x:c r="E237" s="19" t="str">
        <x:v>粉皮</x:v>
      </x:c>
      <x:c r="F237" s="32" t="n">
        <x:v>12.051455464202668</x:v>
      </x:c>
      <x:c r="G237" s="32" t="n">
        <x:v>6.9539699171693</x:v>
      </x:c>
      <x:c r="H237" s="24" t="n">
        <x:f>'菜品日销量'!G308*150/1000</x:f>
        <x:v>6.15</x:v>
      </x:c>
      <x:c r="I237" s="36" t="n">
        <x:v>0.03439429687787646</x:v>
      </x:c>
      <x:c r="J237" s="24" t="n">
        <x:f>H237*I237</x:f>
        <x:v>0.21152492579894022</x:v>
      </x:c>
      <x:c r="K237" s="32" t="n">
        <x:v>0</x:v>
      </x:c>
      <x:c r="L237" s="32" t="n">
        <x:v>0</x:v>
      </x:c>
      <x:c r="M237" s="32" t="n">
        <x:v>0</x:v>
      </x:c>
      <x:c r="N237" s="24" t="n">
        <x:f>F237+G237+K237-L237+M237-H237-J237</x:f>
        <x:v>12.643900455573027</x:v>
      </x:c>
      <x:c r="O237" s="24" t="n">
        <x:f>H237*'封面与口径'!$O$24</x:f>
        <x:v>7.38</x:v>
      </x:c>
      <x:c r="P237" s="19" t="str">
        <x:f>IF(N237&lt;0,"缺货",IF(N237&lt;O237,"预警","正常"))</x:f>
        <x:v>正常</x:v>
      </x:c>
      <x:c r="Q237" s="19" t="str">
        <x:v>粉皮0708-03</x:v>
      </x:c>
    </x:row>
    <x:row r="238">
      <x:c r="A238" s="19" t="str">
        <x:v>2026-07-09|S03|粉皮</x:v>
      </x:c>
      <x:c r="B238" s="34" t="n">
        <x:v>46212.5</x:v>
      </x:c>
      <x:c r="C238" s="19" t="str">
        <x:v>S03</x:v>
      </x:c>
      <x:c r="D238" s="19" t="str">
        <x:v>铂悦城店</x:v>
      </x:c>
      <x:c r="E238" s="19" t="str">
        <x:v>粉皮</x:v>
      </x:c>
      <x:c r="F238" s="32" t="n">
        <x:v>12.643900455573027</x:v>
      </x:c>
      <x:c r="G238" s="32" t="n">
        <x:v>5.996092784246917</x:v>
      </x:c>
      <x:c r="H238" s="24" t="n">
        <x:f>'菜品日销量'!G328*150/1000</x:f>
        <x:v>5.55</x:v>
      </x:c>
      <x:c r="I238" s="36" t="n">
        <x:v>0.034776136100938576</x:v>
      </x:c>
      <x:c r="J238" s="24" t="n">
        <x:f>H238*I238</x:f>
        <x:v>0.19300755536020908</x:v>
      </x:c>
      <x:c r="K238" s="32" t="n">
        <x:v>0</x:v>
      </x:c>
      <x:c r="L238" s="32" t="n">
        <x:v>0</x:v>
      </x:c>
      <x:c r="M238" s="32" t="n">
        <x:v>0</x:v>
      </x:c>
      <x:c r="N238" s="24" t="n">
        <x:f>F238+G238+K238-L238+M238-H238-J238</x:f>
        <x:v>12.896985684459734</x:v>
      </x:c>
      <x:c r="O238" s="24" t="n">
        <x:f>H238*'封面与口径'!$O$24</x:f>
        <x:v>6.659999999999999</x:v>
      </x:c>
      <x:c r="P238" s="19" t="str">
        <x:f>IF(N238&lt;0,"缺货",IF(N238&lt;O238,"预警","正常"))</x:f>
        <x:v>正常</x:v>
      </x:c>
      <x:c r="Q238" s="19" t="str">
        <x:v>粉皮0709-03</x:v>
      </x:c>
    </x:row>
    <x:row r="239">
      <x:c r="A239" s="19" t="str">
        <x:v>2026-07-10|S03|粉皮</x:v>
      </x:c>
      <x:c r="B239" s="34" t="n">
        <x:v>46213.5</x:v>
      </x:c>
      <x:c r="C239" s="19" t="str">
        <x:v>S03</x:v>
      </x:c>
      <x:c r="D239" s="19" t="str">
        <x:v>铂悦城店</x:v>
      </x:c>
      <x:c r="E239" s="19" t="str">
        <x:v>粉皮</x:v>
      </x:c>
      <x:c r="F239" s="32" t="n">
        <x:v>12.896985684459734</x:v>
      </x:c>
      <x:c r="G239" s="32" t="n">
        <x:v>6.814932399230761</x:v>
      </x:c>
      <x:c r="H239" s="24" t="n">
        <x:f>'菜品日销量'!G348*150/1000</x:f>
        <x:v>5.7</x:v>
      </x:c>
      <x:c r="I239" s="36" t="n">
        <x:v>0.027928398637550048</x:v>
      </x:c>
      <x:c r="J239" s="24" t="n">
        <x:f>H239*I239</x:f>
        <x:v>0.15919187223403528</x:v>
      </x:c>
      <x:c r="K239" s="32" t="n">
        <x:v>0</x:v>
      </x:c>
      <x:c r="L239" s="32" t="n">
        <x:v>0</x:v>
      </x:c>
      <x:c r="M239" s="32" t="n">
        <x:v>0</x:v>
      </x:c>
      <x:c r="N239" s="24" t="n">
        <x:f>F239+G239+K239-L239+M239-H239-J239</x:f>
        <x:v>13.85272621145646</x:v>
      </x:c>
      <x:c r="O239" s="24" t="n">
        <x:f>H239*'封面与口径'!$O$24</x:f>
        <x:v>6.84</x:v>
      </x:c>
      <x:c r="P239" s="19" t="str">
        <x:f>IF(N239&lt;0,"缺货",IF(N239&lt;O239,"预警","正常"))</x:f>
        <x:v>正常</x:v>
      </x:c>
      <x:c r="Q239" s="19" t="str">
        <x:v>粉皮0710-03</x:v>
      </x:c>
    </x:row>
    <x:row r="240">
      <x:c r="A240" s="19" t="str">
        <x:v>2026-07-11|S03|粉皮</x:v>
      </x:c>
      <x:c r="B240" s="34" t="n">
        <x:v>46214.5</x:v>
      </x:c>
      <x:c r="C240" s="19" t="str">
        <x:v>S03</x:v>
      </x:c>
      <x:c r="D240" s="19" t="str">
        <x:v>铂悦城店</x:v>
      </x:c>
      <x:c r="E240" s="19" t="str">
        <x:v>粉皮</x:v>
      </x:c>
      <x:c r="F240" s="32" t="n">
        <x:v>13.85272621145646</x:v>
      </x:c>
      <x:c r="G240" s="32" t="n">
        <x:v>5.104784790701416</x:v>
      </x:c>
      <x:c r="H240" s="24" t="n">
        <x:f>'菜品日销量'!G368*150/1000</x:f>
        <x:v>4.35</x:v>
      </x:c>
      <x:c r="I240" s="36" t="n">
        <x:v>0.03672848125261452</x:v>
      </x:c>
      <x:c r="J240" s="24" t="n">
        <x:f>H240*I240</x:f>
        <x:v>0.15976889344887316</x:v>
      </x:c>
      <x:c r="K240" s="32" t="n">
        <x:v>0</x:v>
      </x:c>
      <x:c r="L240" s="32" t="n">
        <x:v>0</x:v>
      </x:c>
      <x:c r="M240" s="32" t="n">
        <x:v>0</x:v>
      </x:c>
      <x:c r="N240" s="24" t="n">
        <x:f>F240+G240+K240-L240+M240-H240-J240</x:f>
        <x:v>14.447742108709003</x:v>
      </x:c>
      <x:c r="O240" s="24" t="n">
        <x:f>H240*'封面与口径'!$O$24</x:f>
        <x:v>5.22</x:v>
      </x:c>
      <x:c r="P240" s="19" t="str">
        <x:f>IF(N240&lt;0,"缺货",IF(N240&lt;O240,"预警","正常"))</x:f>
        <x:v>正常</x:v>
      </x:c>
      <x:c r="Q240" s="19" t="str">
        <x:v>粉皮0711-03</x:v>
      </x:c>
    </x:row>
    <x:row r="241">
      <x:c r="A241" s="19" t="str">
        <x:v>2026-07-12|S03|粉皮</x:v>
      </x:c>
      <x:c r="B241" s="34" t="n">
        <x:v>46215.5</x:v>
      </x:c>
      <x:c r="C241" s="19" t="str">
        <x:v>S03</x:v>
      </x:c>
      <x:c r="D241" s="19" t="str">
        <x:v>铂悦城店</x:v>
      </x:c>
      <x:c r="E241" s="19" t="str">
        <x:v>粉皮</x:v>
      </x:c>
      <x:c r="F241" s="32" t="n">
        <x:v>14.447742108709004</x:v>
      </x:c>
      <x:c r="G241" s="32" t="n">
        <x:v>5.156175891080912</x:v>
      </x:c>
      <x:c r="H241" s="24" t="n">
        <x:f>'菜品日销量'!G388*150/1000</x:f>
        <x:v>4.5</x:v>
      </x:c>
      <x:c r="I241" s="36" t="n">
        <x:v>0.02844336389760565</x:v>
      </x:c>
      <x:c r="J241" s="24" t="n">
        <x:f>H241*I241</x:f>
        <x:v>0.12799513753922542</x:v>
      </x:c>
      <x:c r="K241" s="32" t="n">
        <x:v>0</x:v>
      </x:c>
      <x:c r="L241" s="32" t="n">
        <x:v>0</x:v>
      </x:c>
      <x:c r="M241" s="32" t="n">
        <x:v>0</x:v>
      </x:c>
      <x:c r="N241" s="24" t="n">
        <x:f>F241+G241+K241-L241+M241-H241-J241</x:f>
        <x:v>14.975922862250693</x:v>
      </x:c>
      <x:c r="O241" s="24" t="n">
        <x:f>H241*'封面与口径'!$O$24</x:f>
        <x:v>5.3999999999999995</x:v>
      </x:c>
      <x:c r="P241" s="19" t="str">
        <x:f>IF(N241&lt;0,"缺货",IF(N241&lt;O241,"预警","正常"))</x:f>
        <x:v>正常</x:v>
      </x:c>
      <x:c r="Q241" s="19" t="str">
        <x:v>粉皮0712-03</x:v>
      </x:c>
    </x:row>
    <x:row r="242">
      <x:c r="A242" s="19" t="str">
        <x:v>2026-07-13|S03|粉皮</x:v>
      </x:c>
      <x:c r="B242" s="34" t="n">
        <x:v>46216.5</x:v>
      </x:c>
      <x:c r="C242" s="19" t="str">
        <x:v>S03</x:v>
      </x:c>
      <x:c r="D242" s="19" t="str">
        <x:v>铂悦城店</x:v>
      </x:c>
      <x:c r="E242" s="19" t="str">
        <x:v>粉皮</x:v>
      </x:c>
      <x:c r="F242" s="32" t="n">
        <x:v>14.975922862250693</x:v>
      </x:c>
      <x:c r="G242" s="32" t="n">
        <x:v>7.260855350093185</x:v>
      </x:c>
      <x:c r="H242" s="24" t="n">
        <x:f>'菜品日销量'!G408*150/1000</x:f>
        <x:v>6.45</x:v>
      </x:c>
      <x:c r="I242" s="36" t="n">
        <x:v>0.015981386122522267</x:v>
      </x:c>
      <x:c r="J242" s="24" t="n">
        <x:f>H242*I242</x:f>
        <x:v>0.10307994049026863</x:v>
      </x:c>
      <x:c r="K242" s="32" t="n">
        <x:v>0</x:v>
      </x:c>
      <x:c r="L242" s="32" t="n">
        <x:v>0</x:v>
      </x:c>
      <x:c r="M242" s="32" t="n">
        <x:v>0</x:v>
      </x:c>
      <x:c r="N242" s="24" t="n">
        <x:f>F242+G242+K242-L242+M242-H242-J242</x:f>
        <x:v>15.683698271853611</x:v>
      </x:c>
      <x:c r="O242" s="24" t="n">
        <x:f>H242*'封面与口径'!$O$24</x:f>
        <x:v>7.74</x:v>
      </x:c>
      <x:c r="P242" s="19" t="str">
        <x:f>IF(N242&lt;0,"缺货",IF(N242&lt;O242,"预警","正常"))</x:f>
        <x:v>正常</x:v>
      </x:c>
      <x:c r="Q242" s="19" t="str">
        <x:v>粉皮0713-03</x:v>
      </x:c>
    </x:row>
    <x:row r="243">
      <x:c r="A243" s="19" t="str">
        <x:v>2026-07-07|S03|鸡杂</x:v>
      </x:c>
      <x:c r="B243" s="34" t="n">
        <x:v>46210.5</x:v>
      </x:c>
      <x:c r="C243" s="19" t="str">
        <x:v>S03</x:v>
      </x:c>
      <x:c r="D243" s="19" t="str">
        <x:v>铂悦城店</x:v>
      </x:c>
      <x:c r="E243" s="19" t="str">
        <x:v>鸡杂</x:v>
      </x:c>
      <x:c r="F243" s="32" t="n">
        <x:v>6.75</x:v>
      </x:c>
      <x:c r="G243" s="32" t="n">
        <x:v>4.405094156939326</x:v>
      </x:c>
      <x:c r="H243" s="24" t="n">
        <x:f>'菜品日销量'!G298*250/1000+'菜品日销量'!G303*250/1000</x:f>
        <x:v>3.75</x:v>
      </x:c>
      <x:c r="I243" s="36" t="n">
        <x:v>0.03152520644514012</x:v>
      </x:c>
      <x:c r="J243" s="24" t="n">
        <x:f>H243*I243</x:f>
        <x:v>0.11821952416927545</x:v>
      </x:c>
      <x:c r="K243" s="32" t="n">
        <x:v>0</x:v>
      </x:c>
      <x:c r="L243" s="32" t="n">
        <x:v>0</x:v>
      </x:c>
      <x:c r="M243" s="32" t="n">
        <x:v>0</x:v>
      </x:c>
      <x:c r="N243" s="24" t="n">
        <x:f>F243+G243+K243-L243+M243-H243-J243</x:f>
        <x:v>7.28687463277005</x:v>
      </x:c>
      <x:c r="O243" s="24" t="n">
        <x:f>H243*'封面与口径'!$O$24</x:f>
        <x:v>4.5</x:v>
      </x:c>
      <x:c r="P243" s="19" t="str">
        <x:f>IF(N243&lt;0,"缺货",IF(N243&lt;O243,"预警","正常"))</x:f>
        <x:v>正常</x:v>
      </x:c>
      <x:c r="Q243" s="19" t="str">
        <x:v>鸡杂0707-03</x:v>
      </x:c>
    </x:row>
    <x:row r="244">
      <x:c r="A244" s="19" t="str">
        <x:v>2026-07-08|S03|鸡杂</x:v>
      </x:c>
      <x:c r="B244" s="34" t="n">
        <x:v>46211.5</x:v>
      </x:c>
      <x:c r="C244" s="19" t="str">
        <x:v>S03</x:v>
      </x:c>
      <x:c r="D244" s="19" t="str">
        <x:v>铂悦城店</x:v>
      </x:c>
      <x:c r="E244" s="19" t="str">
        <x:v>鸡杂</x:v>
      </x:c>
      <x:c r="F244" s="32" t="n">
        <x:v>7.286874632770051</x:v>
      </x:c>
      <x:c r="G244" s="32" t="n">
        <x:v>3.8150971152761715</x:v>
      </x:c>
      <x:c r="H244" s="24" t="n">
        <x:f>'菜品日销量'!G318*250/1000+'菜品日销量'!G323*250/1000</x:f>
        <x:v>3.5</x:v>
      </x:c>
      <x:c r="I244" s="36" t="n">
        <x:v>0.026151220815058614</x:v>
      </x:c>
      <x:c r="J244" s="24" t="n">
        <x:f>H244*I244</x:f>
        <x:v>0.09152927285270515</x:v>
      </x:c>
      <x:c r="K244" s="32" t="n">
        <x:v>0</x:v>
      </x:c>
      <x:c r="L244" s="32" t="n">
        <x:v>0</x:v>
      </x:c>
      <x:c r="M244" s="32" t="n">
        <x:v>0</x:v>
      </x:c>
      <x:c r="N244" s="24" t="n">
        <x:f>F244+G244+K244-L244+M244-H244-J244</x:f>
        <x:v>7.510442475193516</x:v>
      </x:c>
      <x:c r="O244" s="24" t="n">
        <x:f>H244*'封面与口径'!$O$24</x:f>
        <x:v>4.2</x:v>
      </x:c>
      <x:c r="P244" s="19" t="str">
        <x:f>IF(N244&lt;0,"缺货",IF(N244&lt;O244,"预警","正常"))</x:f>
        <x:v>正常</x:v>
      </x:c>
      <x:c r="Q244" s="19" t="str">
        <x:v>鸡杂0708-03</x:v>
      </x:c>
    </x:row>
    <x:row r="245">
      <x:c r="A245" s="19" t="str">
        <x:v>2026-07-09|S03|鸡杂</x:v>
      </x:c>
      <x:c r="B245" s="34" t="n">
        <x:v>46212.5</x:v>
      </x:c>
      <x:c r="C245" s="19" t="str">
        <x:v>S03</x:v>
      </x:c>
      <x:c r="D245" s="19" t="str">
        <x:v>铂悦城店</x:v>
      </x:c>
      <x:c r="E245" s="19" t="str">
        <x:v>鸡杂</x:v>
      </x:c>
      <x:c r="F245" s="32" t="n">
        <x:v>7.510442475193516</x:v>
      </x:c>
      <x:c r="G245" s="32" t="n">
        <x:v>4.005562870331472</x:v>
      </x:c>
      <x:c r="H245" s="24" t="n">
        <x:f>'菜品日销量'!G338*250/1000+'菜品日销量'!G343*250/1000</x:f>
        <x:v>3.5</x:v>
      </x:c>
      <x:c r="I245" s="36" t="n">
        <x:v>0.015576576189039409</x:v>
      </x:c>
      <x:c r="J245" s="24" t="n">
        <x:f>H245*I245</x:f>
        <x:v>0.054518016661637934</x:v>
      </x:c>
      <x:c r="K245" s="32" t="n">
        <x:v>0</x:v>
      </x:c>
      <x:c r="L245" s="32" t="n">
        <x:v>0</x:v>
      </x:c>
      <x:c r="M245" s="32" t="n">
        <x:v>0</x:v>
      </x:c>
      <x:c r="N245" s="24" t="n">
        <x:f>F245+G245+K245-L245+M245-H245-J245</x:f>
        <x:v>7.96148732886335</x:v>
      </x:c>
      <x:c r="O245" s="24" t="n">
        <x:f>H245*'封面与口径'!$O$24</x:f>
        <x:v>4.2</x:v>
      </x:c>
      <x:c r="P245" s="19" t="str">
        <x:f>IF(N245&lt;0,"缺货",IF(N245&lt;O245,"预警","正常"))</x:f>
        <x:v>正常</x:v>
      </x:c>
      <x:c r="Q245" s="19" t="str">
        <x:v>鸡杂0709-03</x:v>
      </x:c>
    </x:row>
    <x:row r="246">
      <x:c r="A246" s="19" t="str">
        <x:v>2026-07-10|S03|鸡杂</x:v>
      </x:c>
      <x:c r="B246" s="34" t="n">
        <x:v>46213.5</x:v>
      </x:c>
      <x:c r="C246" s="19" t="str">
        <x:v>S03</x:v>
      </x:c>
      <x:c r="D246" s="19" t="str">
        <x:v>铂悦城店</x:v>
      </x:c>
      <x:c r="E246" s="19" t="str">
        <x:v>鸡杂</x:v>
      </x:c>
      <x:c r="F246" s="32" t="n">
        <x:v>7.96148732886335</x:v>
      </x:c>
      <x:c r="G246" s="32" t="n">
        <x:v>4.142715591935608</x:v>
      </x:c>
      <x:c r="H246" s="24" t="n">
        <x:f>'菜品日销量'!G358*250/1000+'菜品日销量'!G363*250/1000</x:f>
        <x:v>3.75</x:v>
      </x:c>
      <x:c r="I246" s="36" t="n">
        <x:v>0.03788185121675065</x:v>
      </x:c>
      <x:c r="J246" s="24" t="n">
        <x:f>H246*I246</x:f>
        <x:v>0.14205694206281494</x:v>
      </x:c>
      <x:c r="K246" s="32" t="n">
        <x:v>0</x:v>
      </x:c>
      <x:c r="L246" s="32" t="n">
        <x:v>0</x:v>
      </x:c>
      <x:c r="M246" s="32" t="n">
        <x:v>0</x:v>
      </x:c>
      <x:c r="N246" s="24" t="n">
        <x:f>F246+G246+K246-L246+M246-H246-J246</x:f>
        <x:v>8.212145978736142</x:v>
      </x:c>
      <x:c r="O246" s="24" t="n">
        <x:f>H246*'封面与口径'!$O$24</x:f>
        <x:v>4.5</x:v>
      </x:c>
      <x:c r="P246" s="19" t="str">
        <x:f>IF(N246&lt;0,"缺货",IF(N246&lt;O246,"预警","正常"))</x:f>
        <x:v>正常</x:v>
      </x:c>
      <x:c r="Q246" s="19" t="str">
        <x:v>鸡杂0710-03</x:v>
      </x:c>
    </x:row>
    <x:row r="247">
      <x:c r="A247" s="19" t="str">
        <x:v>2026-07-11|S03|鸡杂</x:v>
      </x:c>
      <x:c r="B247" s="34" t="n">
        <x:v>46214.5</x:v>
      </x:c>
      <x:c r="C247" s="19" t="str">
        <x:v>S03</x:v>
      </x:c>
      <x:c r="D247" s="19" t="str">
        <x:v>铂悦城店</x:v>
      </x:c>
      <x:c r="E247" s="19" t="str">
        <x:v>鸡杂</x:v>
      </x:c>
      <x:c r="F247" s="32" t="n">
        <x:v>8.212145978736142</x:v>
      </x:c>
      <x:c r="G247" s="32" t="n">
        <x:v>2.8811238691865295</x:v>
      </x:c>
      <x:c r="H247" s="24" t="n">
        <x:f>'菜品日销量'!G378*250/1000+'菜品日销量'!G383*250/1000</x:f>
        <x:v>2.5</x:v>
      </x:c>
      <x:c r="I247" s="36" t="n">
        <x:v>0.03970719108234792</x:v>
      </x:c>
      <x:c r="J247" s="24" t="n">
        <x:f>H247*I247</x:f>
        <x:v>0.09926797770586981</x:v>
      </x:c>
      <x:c r="K247" s="32" t="n">
        <x:v>0</x:v>
      </x:c>
      <x:c r="L247" s="32" t="n">
        <x:v>0</x:v>
      </x:c>
      <x:c r="M247" s="32" t="n">
        <x:v>0</x:v>
      </x:c>
      <x:c r="N247" s="24" t="n">
        <x:f>F247+G247+K247-L247+M247-H247-J247</x:f>
        <x:v>8.494001870216803</x:v>
      </x:c>
      <x:c r="O247" s="24" t="n">
        <x:f>H247*'封面与口径'!$O$24</x:f>
        <x:v>3</x:v>
      </x:c>
      <x:c r="P247" s="19" t="str">
        <x:f>IF(N247&lt;0,"缺货",IF(N247&lt;O247,"预警","正常"))</x:f>
        <x:v>正常</x:v>
      </x:c>
      <x:c r="Q247" s="19" t="str">
        <x:v>鸡杂0711-03</x:v>
      </x:c>
    </x:row>
    <x:row r="248">
      <x:c r="A248" s="19" t="str">
        <x:v>2026-07-12|S03|鸡杂</x:v>
      </x:c>
      <x:c r="B248" s="34" t="n">
        <x:v>46215.5</x:v>
      </x:c>
      <x:c r="C248" s="19" t="str">
        <x:v>S03</x:v>
      </x:c>
      <x:c r="D248" s="19" t="str">
        <x:v>铂悦城店</x:v>
      </x:c>
      <x:c r="E248" s="19" t="str">
        <x:v>鸡杂</x:v>
      </x:c>
      <x:c r="F248" s="32" t="n">
        <x:v>8.494001870216803</x:v>
      </x:c>
      <x:c r="G248" s="32" t="n">
        <x:v>3.2938798723867815</x:v>
      </x:c>
      <x:c r="H248" s="24" t="n">
        <x:f>'菜品日销量'!G398*250/1000+'菜品日销量'!G403*250/1000</x:f>
        <x:v>3</x:v>
      </x:c>
      <x:c r="I248" s="36" t="n">
        <x:v>0.02312444085793673</x:v>
      </x:c>
      <x:c r="J248" s="24" t="n">
        <x:f>H248*I248</x:f>
        <x:v>0.0693733225738102</x:v>
      </x:c>
      <x:c r="K248" s="32" t="n">
        <x:v>0</x:v>
      </x:c>
      <x:c r="L248" s="32" t="n">
        <x:v>0</x:v>
      </x:c>
      <x:c r="M248" s="32" t="n">
        <x:v>0</x:v>
      </x:c>
      <x:c r="N248" s="24" t="n">
        <x:f>F248+G248+K248-L248+M248-H248-J248</x:f>
        <x:v>8.718508420029774</x:v>
      </x:c>
      <x:c r="O248" s="24" t="n">
        <x:f>H248*'封面与口径'!$O$24</x:f>
        <x:v>3.5999999999999996</x:v>
      </x:c>
      <x:c r="P248" s="19" t="str">
        <x:f>IF(N248&lt;0,"缺货",IF(N248&lt;O248,"预警","正常"))</x:f>
        <x:v>正常</x:v>
      </x:c>
      <x:c r="Q248" s="19" t="str">
        <x:v>鸡杂0712-03</x:v>
      </x:c>
    </x:row>
    <x:row r="249">
      <x:c r="A249" s="19" t="str">
        <x:v>2026-07-13|S03|鸡杂</x:v>
      </x:c>
      <x:c r="B249" s="34" t="n">
        <x:v>46216.5</x:v>
      </x:c>
      <x:c r="C249" s="19" t="str">
        <x:v>S03</x:v>
      </x:c>
      <x:c r="D249" s="19" t="str">
        <x:v>铂悦城店</x:v>
      </x:c>
      <x:c r="E249" s="19" t="str">
        <x:v>鸡杂</x:v>
      </x:c>
      <x:c r="F249" s="32" t="n">
        <x:v>8.718508420029774</x:v>
      </x:c>
      <x:c r="G249" s="32" t="n">
        <x:v>4.475364569275492</x:v>
      </x:c>
      <x:c r="H249" s="24" t="n">
        <x:f>'菜品日销量'!G418*250/1000+'菜品日销量'!G423*250/1000</x:f>
        <x:v>4</x:v>
      </x:c>
      <x:c r="I249" s="36" t="n">
        <x:v>0.01745353984703625</x:v>
      </x:c>
      <x:c r="J249" s="24" t="n">
        <x:f>H249*I249</x:f>
        <x:v>0.069814159388145</x:v>
      </x:c>
      <x:c r="K249" s="32" t="n">
        <x:v>0</x:v>
      </x:c>
      <x:c r="L249" s="32" t="n">
        <x:v>0</x:v>
      </x:c>
      <x:c r="M249" s="32" t="n">
        <x:v>0</x:v>
      </x:c>
      <x:c r="N249" s="24" t="n">
        <x:f>F249+G249+K249-L249+M249-H249-J249</x:f>
        <x:v>9.124058829917121</x:v>
      </x:c>
      <x:c r="O249" s="24" t="n">
        <x:f>H249*'封面与口径'!$O$24</x:f>
        <x:v>4.8</x:v>
      </x:c>
      <x:c r="P249" s="19" t="str">
        <x:f>IF(N249&lt;0,"缺货",IF(N249&lt;O249,"预警","正常"))</x:f>
        <x:v>正常</x:v>
      </x:c>
      <x:c r="Q249" s="19" t="str">
        <x:v>鸡杂0713-03</x:v>
      </x:c>
    </x:row>
    <x:row r="250">
      <x:c r="A250" s="19" t="str">
        <x:v>2026-07-07|S03|豆腐</x:v>
      </x:c>
      <x:c r="B250" s="34" t="n">
        <x:v>46210.5</x:v>
      </x:c>
      <x:c r="C250" s="19" t="str">
        <x:v>S03</x:v>
      </x:c>
      <x:c r="D250" s="19" t="str">
        <x:v>铂悦城店</x:v>
      </x:c>
      <x:c r="E250" s="19" t="str">
        <x:v>豆腐</x:v>
      </x:c>
      <x:c r="F250" s="32" t="n">
        <x:v>39.6</x:v>
      </x:c>
      <x:c r="G250" s="32" t="n">
        <x:v>24.862563960939312</x:v>
      </x:c>
      <x:c r="H250" s="24" t="n">
        <x:f>'菜品日销量'!G289*400/1000</x:f>
        <x:v>22</x:v>
      </x:c>
      <x:c r="I250" s="36" t="n">
        <x:v>0.02920431052432496</x:v>
      </x:c>
      <x:c r="J250" s="24" t="n">
        <x:f>H250*I250</x:f>
        <x:v>0.6424948315351491</x:v>
      </x:c>
      <x:c r="K250" s="32" t="n">
        <x:v>0</x:v>
      </x:c>
      <x:c r="L250" s="32" t="n">
        <x:v>0</x:v>
      </x:c>
      <x:c r="M250" s="32" t="n">
        <x:v>0</x:v>
      </x:c>
      <x:c r="N250" s="24" t="n">
        <x:f>F250+G250+K250-L250+M250-H250-J250</x:f>
        <x:v>41.820069129404175</x:v>
      </x:c>
      <x:c r="O250" s="24" t="n">
        <x:f>H250*'封面与口径'!$O$24</x:f>
        <x:v>26.4</x:v>
      </x:c>
      <x:c r="P250" s="19" t="str">
        <x:f>IF(N250&lt;0,"缺货",IF(N250&lt;O250,"预警","正常"))</x:f>
        <x:v>正常</x:v>
      </x:c>
      <x:c r="Q250" s="19" t="str">
        <x:v>豆腐0707-03</x:v>
      </x:c>
    </x:row>
    <x:row r="251">
      <x:c r="A251" s="19" t="str">
        <x:v>2026-07-08|S03|豆腐</x:v>
      </x:c>
      <x:c r="B251" s="34" t="n">
        <x:v>46211.5</x:v>
      </x:c>
      <x:c r="C251" s="19" t="str">
        <x:v>S03</x:v>
      </x:c>
      <x:c r="D251" s="19" t="str">
        <x:v>铂悦城店</x:v>
      </x:c>
      <x:c r="E251" s="19" t="str">
        <x:v>豆腐</x:v>
      </x:c>
      <x:c r="F251" s="32" t="n">
        <x:v>41.820069129404175</x:v>
      </x:c>
      <x:c r="G251" s="32" t="n">
        <x:v>24.75615794938527</x:v>
      </x:c>
      <x:c r="H251" s="24" t="n">
        <x:f>'菜品日销量'!G309*400/1000</x:f>
        <x:v>20.8</x:v>
      </x:c>
      <x:c r="I251" s="36" t="n">
        <x:v>0.017212782128996396</x:v>
      </x:c>
      <x:c r="J251" s="24" t="n">
        <x:f>H251*I251</x:f>
        <x:v>0.35802586828312505</x:v>
      </x:c>
      <x:c r="K251" s="32" t="n">
        <x:v>0</x:v>
      </x:c>
      <x:c r="L251" s="32" t="n">
        <x:v>0</x:v>
      </x:c>
      <x:c r="M251" s="32" t="n">
        <x:v>0</x:v>
      </x:c>
      <x:c r="N251" s="24" t="n">
        <x:f>F251+G251+K251-L251+M251-H251-J251</x:f>
        <x:v>45.41820121050632</x:v>
      </x:c>
      <x:c r="O251" s="24" t="n">
        <x:f>H251*'封面与口径'!$O$24</x:f>
        <x:v>24.96</x:v>
      </x:c>
      <x:c r="P251" s="19" t="str">
        <x:f>IF(N251&lt;0,"缺货",IF(N251&lt;O251,"预警","正常"))</x:f>
        <x:v>正常</x:v>
      </x:c>
      <x:c r="Q251" s="19" t="str">
        <x:v>豆腐0708-03</x:v>
      </x:c>
    </x:row>
    <x:row r="252">
      <x:c r="A252" s="19" t="str">
        <x:v>2026-07-09|S03|豆腐</x:v>
      </x:c>
      <x:c r="B252" s="34" t="n">
        <x:v>46212.5</x:v>
      </x:c>
      <x:c r="C252" s="19" t="str">
        <x:v>S03</x:v>
      </x:c>
      <x:c r="D252" s="19" t="str">
        <x:v>铂悦城店</x:v>
      </x:c>
      <x:c r="E252" s="19" t="str">
        <x:v>豆腐</x:v>
      </x:c>
      <x:c r="F252" s="32" t="n">
        <x:v>45.41820121050632</x:v>
      </x:c>
      <x:c r="G252" s="32" t="n">
        <x:v>24.951552813200177</x:v>
      </x:c>
      <x:c r="H252" s="24" t="n">
        <x:f>'菜品日销量'!G329*400/1000</x:f>
        <x:v>22</x:v>
      </x:c>
      <x:c r="I252" s="36" t="n">
        <x:v>0.018303222033032966</x:v>
      </x:c>
      <x:c r="J252" s="24" t="n">
        <x:f>H252*I252</x:f>
        <x:v>0.40267088472672524</x:v>
      </x:c>
      <x:c r="K252" s="32" t="n">
        <x:v>0</x:v>
      </x:c>
      <x:c r="L252" s="32" t="n">
        <x:v>0</x:v>
      </x:c>
      <x:c r="M252" s="32" t="n">
        <x:v>0</x:v>
      </x:c>
      <x:c r="N252" s="24" t="n">
        <x:f>F252+G252+K252-L252+M252-H252-J252</x:f>
        <x:v>47.96708313897977</x:v>
      </x:c>
      <x:c r="O252" s="24" t="n">
        <x:f>H252*'封面与口径'!$O$24</x:f>
        <x:v>26.4</x:v>
      </x:c>
      <x:c r="P252" s="19" t="str">
        <x:f>IF(N252&lt;0,"缺货",IF(N252&lt;O252,"预警","正常"))</x:f>
        <x:v>正常</x:v>
      </x:c>
      <x:c r="Q252" s="19" t="str">
        <x:v>豆腐0709-03</x:v>
      </x:c>
    </x:row>
    <x:row r="253">
      <x:c r="A253" s="19" t="str">
        <x:v>2026-07-10|S03|豆腐</x:v>
      </x:c>
      <x:c r="B253" s="34" t="n">
        <x:v>46213.5</x:v>
      </x:c>
      <x:c r="C253" s="19" t="str">
        <x:v>S03</x:v>
      </x:c>
      <x:c r="D253" s="19" t="str">
        <x:v>铂悦城店</x:v>
      </x:c>
      <x:c r="E253" s="19" t="str">
        <x:v>豆腐</x:v>
      </x:c>
      <x:c r="F253" s="32" t="n">
        <x:v>47.96708313897976</x:v>
      </x:c>
      <x:c r="G253" s="32" t="n">
        <x:v>27.199503988362736</x:v>
      </x:c>
      <x:c r="H253" s="24" t="n">
        <x:f>'菜品日销量'!G349*400/1000</x:f>
        <x:v>23.6</x:v>
      </x:c>
      <x:c r="I253" s="36" t="n">
        <x:v>0.02695903237954691</x:v>
      </x:c>
      <x:c r="J253" s="24" t="n">
        <x:f>H253*I253</x:f>
        <x:v>0.6362331641573071</x:v>
      </x:c>
      <x:c r="K253" s="32" t="n">
        <x:v>0</x:v>
      </x:c>
      <x:c r="L253" s="32" t="n">
        <x:v>0</x:v>
      </x:c>
      <x:c r="M253" s="32" t="n">
        <x:v>0</x:v>
      </x:c>
      <x:c r="N253" s="24" t="n">
        <x:f>F253+G253+K253-L253+M253-H253-J253</x:f>
        <x:v>50.93035396318518</x:v>
      </x:c>
      <x:c r="O253" s="24" t="n">
        <x:f>H253*'封面与口径'!$O$24</x:f>
        <x:v>28.32</x:v>
      </x:c>
      <x:c r="P253" s="19" t="str">
        <x:f>IF(N253&lt;0,"缺货",IF(N253&lt;O253,"预警","正常"))</x:f>
        <x:v>正常</x:v>
      </x:c>
      <x:c r="Q253" s="19" t="str">
        <x:v>豆腐0710-03</x:v>
      </x:c>
    </x:row>
    <x:row r="254">
      <x:c r="A254" s="19" t="str">
        <x:v>2026-07-11|S03|豆腐</x:v>
      </x:c>
      <x:c r="B254" s="34" t="n">
        <x:v>46214.5</x:v>
      </x:c>
      <x:c r="C254" s="19" t="str">
        <x:v>S03</x:v>
      </x:c>
      <x:c r="D254" s="19" t="str">
        <x:v>铂悦城店</x:v>
      </x:c>
      <x:c r="E254" s="19" t="str">
        <x:v>豆腐</x:v>
      </x:c>
      <x:c r="F254" s="32" t="n">
        <x:v>50.93035396318518</x:v>
      </x:c>
      <x:c r="G254" s="32" t="n">
        <x:v>18.948841741704577</x:v>
      </x:c>
      <x:c r="H254" s="24" t="n">
        <x:f>'菜品日销量'!G369*400/1000</x:f>
        <x:v>16.8</x:v>
      </x:c>
      <x:c r="I254" s="36" t="n">
        <x:v>0.03198608641558934</x:v>
      </x:c>
      <x:c r="J254" s="24" t="n">
        <x:f>H254*I254</x:f>
        <x:v>0.5373662517819009</x:v>
      </x:c>
      <x:c r="K254" s="32" t="n">
        <x:v>0</x:v>
      </x:c>
      <x:c r="L254" s="32" t="n">
        <x:v>0</x:v>
      </x:c>
      <x:c r="M254" s="32" t="n">
        <x:v>0</x:v>
      </x:c>
      <x:c r="N254" s="24" t="n">
        <x:f>F254+G254+K254-L254+M254-H254-J254</x:f>
        <x:v>52.54182945310785</x:v>
      </x:c>
      <x:c r="O254" s="24" t="n">
        <x:f>H254*'封面与口径'!$O$24</x:f>
        <x:v>20.16</x:v>
      </x:c>
      <x:c r="P254" s="19" t="str">
        <x:f>IF(N254&lt;0,"缺货",IF(N254&lt;O254,"预警","正常"))</x:f>
        <x:v>正常</x:v>
      </x:c>
      <x:c r="Q254" s="19" t="str">
        <x:v>豆腐0711-03</x:v>
      </x:c>
    </x:row>
    <x:row r="255">
      <x:c r="A255" s="19" t="str">
        <x:v>2026-07-12|S03|豆腐</x:v>
      </x:c>
      <x:c r="B255" s="34" t="n">
        <x:v>46215.5</x:v>
      </x:c>
      <x:c r="C255" s="19" t="str">
        <x:v>S03</x:v>
      </x:c>
      <x:c r="D255" s="19" t="str">
        <x:v>铂悦城店</x:v>
      </x:c>
      <x:c r="E255" s="19" t="str">
        <x:v>豆腐</x:v>
      </x:c>
      <x:c r="F255" s="32" t="n">
        <x:v>52.54182945310785</x:v>
      </x:c>
      <x:c r="G255" s="32" t="n">
        <x:v>17.082972738324425</x:v>
      </x:c>
      <x:c r="H255" s="24" t="n">
        <x:f>'菜品日销量'!G389*400/1000</x:f>
        <x:v>15.6</x:v>
      </x:c>
      <x:c r="I255" s="36" t="n">
        <x:v>0.03239231392680489</x:v>
      </x:c>
      <x:c r="J255" s="24" t="n">
        <x:f>H255*I255</x:f>
        <x:v>0.5053200972581563</x:v>
      </x:c>
      <x:c r="K255" s="32" t="n">
        <x:v>0</x:v>
      </x:c>
      <x:c r="L255" s="32" t="n">
        <x:v>0</x:v>
      </x:c>
      <x:c r="M255" s="32" t="n">
        <x:v>0</x:v>
      </x:c>
      <x:c r="N255" s="24" t="n">
        <x:f>F255+G255+K255-L255+M255-H255-J255</x:f>
        <x:v>53.51948209417412</x:v>
      </x:c>
      <x:c r="O255" s="24" t="n">
        <x:f>H255*'封面与口径'!$O$24</x:f>
        <x:v>18.72</x:v>
      </x:c>
      <x:c r="P255" s="19" t="str">
        <x:f>IF(N255&lt;0,"缺货",IF(N255&lt;O255,"预警","正常"))</x:f>
        <x:v>正常</x:v>
      </x:c>
      <x:c r="Q255" s="19" t="str">
        <x:v>豆腐0712-03</x:v>
      </x:c>
    </x:row>
    <x:row r="256">
      <x:c r="A256" s="19" t="str">
        <x:v>2026-07-13|S03|豆腐</x:v>
      </x:c>
      <x:c r="B256" s="34" t="n">
        <x:v>46216.5</x:v>
      </x:c>
      <x:c r="C256" s="19" t="str">
        <x:v>S03</x:v>
      </x:c>
      <x:c r="D256" s="19" t="str">
        <x:v>铂悦城店</x:v>
      </x:c>
      <x:c r="E256" s="19" t="str">
        <x:v>豆腐</x:v>
      </x:c>
      <x:c r="F256" s="32" t="n">
        <x:v>53.51948209417412</x:v>
      </x:c>
      <x:c r="G256" s="32" t="n">
        <x:v>25.36368882249009</x:v>
      </x:c>
      <x:c r="H256" s="24" t="n">
        <x:f>'菜品日销量'!G409*400/1000</x:f>
        <x:v>23.2</x:v>
      </x:c>
      <x:c r="I256" s="36" t="n">
        <x:v>0.01771172332058468</x:v>
      </x:c>
      <x:c r="J256" s="24" t="n">
        <x:f>H256*I256</x:f>
        <x:v>0.41091198103756454</x:v>
      </x:c>
      <x:c r="K256" s="32" t="n">
        <x:v>0</x:v>
      </x:c>
      <x:c r="L256" s="32" t="n">
        <x:v>0</x:v>
      </x:c>
      <x:c r="M256" s="32" t="n">
        <x:v>0</x:v>
      </x:c>
      <x:c r="N256" s="24" t="n">
        <x:f>F256+G256+K256-L256+M256-H256-J256</x:f>
        <x:v>55.272258935626645</x:v>
      </x:c>
      <x:c r="O256" s="24" t="n">
        <x:f>H256*'封面与口径'!$O$24</x:f>
        <x:v>27.84</x:v>
      </x:c>
      <x:c r="P256" s="19" t="str">
        <x:f>IF(N256&lt;0,"缺货",IF(N256&lt;O256,"预警","正常"))</x:f>
        <x:v>正常</x:v>
      </x:c>
      <x:c r="Q256" s="19" t="str">
        <x:v>豆腐0713-03</x:v>
      </x:c>
    </x:row>
    <x:row r="257">
      <x:c r="A257" s="19" t="str">
        <x:v>2026-07-07|S04|瘦肉片</x:v>
      </x:c>
      <x:c r="B257" s="34" t="n">
        <x:v>46210.5</x:v>
      </x:c>
      <x:c r="C257" s="19" t="str">
        <x:v>S04</x:v>
      </x:c>
      <x:c r="D257" s="19" t="str">
        <x:v>金街美地店</x:v>
      </x:c>
      <x:c r="E257" s="19" t="str">
        <x:v>瘦肉片</x:v>
      </x:c>
      <x:c r="F257" s="32" t="n">
        <x:v>21.69</x:v>
      </x:c>
      <x:c r="G257" s="32" t="n">
        <x:v>14.113619384993713</x:v>
      </x:c>
      <x:c r="H257" s="24" t="n">
        <x:f>'菜品日销量'!G425*150/1000+'菜品日销量'!G433*50/1000+'菜品日销量'!G434*200/1000</x:f>
        <x:v>12.05</x:v>
      </x:c>
      <x:c r="I257" s="36" t="n">
        <x:v>0.034279317696178174</x:v>
      </x:c>
      <x:c r="J257" s="24" t="n">
        <x:f>H257*I257</x:f>
        <x:v>0.413065778238947</x:v>
      </x:c>
      <x:c r="K257" s="32" t="n">
        <x:v>0</x:v>
      </x:c>
      <x:c r="L257" s="32" t="n">
        <x:v>0</x:v>
      </x:c>
      <x:c r="M257" s="32" t="n">
        <x:v>0</x:v>
      </x:c>
      <x:c r="N257" s="24" t="n">
        <x:f>F257+G257+K257-L257+M257-H257-J257</x:f>
        <x:v>23.340553606754767</x:v>
      </x:c>
      <x:c r="O257" s="24" t="n">
        <x:f>H257*'封面与口径'!$O$24</x:f>
        <x:v>14.46</x:v>
      </x:c>
      <x:c r="P257" s="19" t="str">
        <x:f>IF(N257&lt;0,"缺货",IF(N257&lt;O257,"预警","正常"))</x:f>
        <x:v>正常</x:v>
      </x:c>
      <x:c r="Q257" s="19" t="str">
        <x:v>瘦肉0707-04</x:v>
      </x:c>
    </x:row>
    <x:row r="258">
      <x:c r="A258" s="19" t="str">
        <x:v>2026-07-08|S04|瘦肉片</x:v>
      </x:c>
      <x:c r="B258" s="34" t="n">
        <x:v>46211.5</x:v>
      </x:c>
      <x:c r="C258" s="19" t="str">
        <x:v>S04</x:v>
      </x:c>
      <x:c r="D258" s="19" t="str">
        <x:v>金街美地店</x:v>
      </x:c>
      <x:c r="E258" s="19" t="str">
        <x:v>瘦肉片</x:v>
      </x:c>
      <x:c r="F258" s="32" t="n">
        <x:v>23.340553606754767</x:v>
      </x:c>
      <x:c r="G258" s="32" t="n">
        <x:v>13.115847512743398</x:v>
      </x:c>
      <x:c r="H258" s="24" t="n">
        <x:f>'菜品日销量'!G445*150/1000+'菜品日销量'!G453*50/1000+'菜品日销量'!G454*200/1000</x:f>
        <x:v>11.299999999999999</x:v>
      </x:c>
      <x:c r="I258" s="36" t="n">
        <x:v>0.022122813259978502</x:v>
      </x:c>
      <x:c r="J258" s="24" t="n">
        <x:f>H258*I258</x:f>
        <x:v>0.24998778983775705</x:v>
      </x:c>
      <x:c r="K258" s="32" t="n">
        <x:v>0</x:v>
      </x:c>
      <x:c r="L258" s="32" t="n">
        <x:v>0</x:v>
      </x:c>
      <x:c r="M258" s="32" t="n">
        <x:v>0</x:v>
      </x:c>
      <x:c r="N258" s="24" t="n">
        <x:f>F258+G258+K258-L258+M258-H258-J258</x:f>
        <x:v>24.906413329660413</x:v>
      </x:c>
      <x:c r="O258" s="24" t="n">
        <x:f>H258*'封面与口径'!$O$24</x:f>
        <x:v>13.559999999999999</x:v>
      </x:c>
      <x:c r="P258" s="19" t="str">
        <x:f>IF(N258&lt;0,"缺货",IF(N258&lt;O258,"预警","正常"))</x:f>
        <x:v>正常</x:v>
      </x:c>
      <x:c r="Q258" s="19" t="str">
        <x:v>瘦肉0708-04</x:v>
      </x:c>
    </x:row>
    <x:row r="259">
      <x:c r="A259" s="19" t="str">
        <x:v>2026-07-09|S04|瘦肉片</x:v>
      </x:c>
      <x:c r="B259" s="34" t="n">
        <x:v>46212.5</x:v>
      </x:c>
      <x:c r="C259" s="19" t="str">
        <x:v>S04</x:v>
      </x:c>
      <x:c r="D259" s="19" t="str">
        <x:v>金街美地店</x:v>
      </x:c>
      <x:c r="E259" s="19" t="str">
        <x:v>瘦肉片</x:v>
      </x:c>
      <x:c r="F259" s="32" t="n">
        <x:v>24.90641332966041</x:v>
      </x:c>
      <x:c r="G259" s="32" t="n">
        <x:v>13.25119431947805</x:v>
      </x:c>
      <x:c r="H259" s="24" t="n">
        <x:f>'菜品日销量'!G465*150/1000+'菜品日销量'!G473*50/1000+'菜品日销量'!G474*200/1000</x:f>
        <x:v>11.4</x:v>
      </x:c>
      <x:c r="I259" s="36" t="n">
        <x:v>0.018136169707434292</x:v>
      </x:c>
      <x:c r="J259" s="24" t="n">
        <x:f>H259*I259</x:f>
        <x:v>0.20675233466475093</x:v>
      </x:c>
      <x:c r="K259" s="32" t="n">
        <x:v>0</x:v>
      </x:c>
      <x:c r="L259" s="32" t="n">
        <x:v>0</x:v>
      </x:c>
      <x:c r="M259" s="32" t="n">
        <x:v>0</x:v>
      </x:c>
      <x:c r="N259" s="24" t="n">
        <x:f>F259+G259+K259-L259+M259-H259-J259</x:f>
        <x:v>26.550855314473704</x:v>
      </x:c>
      <x:c r="O259" s="24" t="n">
        <x:f>H259*'封面与口径'!$O$24</x:f>
        <x:v>13.68</x:v>
      </x:c>
      <x:c r="P259" s="19" t="str">
        <x:f>IF(N259&lt;0,"缺货",IF(N259&lt;O259,"预警","正常"))</x:f>
        <x:v>正常</x:v>
      </x:c>
      <x:c r="Q259" s="19" t="str">
        <x:v>瘦肉0709-04</x:v>
      </x:c>
    </x:row>
    <x:row r="260">
      <x:c r="A260" s="19" t="str">
        <x:v>2026-07-10|S04|瘦肉片</x:v>
      </x:c>
      <x:c r="B260" s="34" t="n">
        <x:v>46213.5</x:v>
      </x:c>
      <x:c r="C260" s="19" t="str">
        <x:v>S04</x:v>
      </x:c>
      <x:c r="D260" s="19" t="str">
        <x:v>金街美地店</x:v>
      </x:c>
      <x:c r="E260" s="19" t="str">
        <x:v>瘦肉片</x:v>
      </x:c>
      <x:c r="F260" s="32" t="n">
        <x:v>26.550855314473704</x:v>
      </x:c>
      <x:c r="G260" s="32" t="n">
        <x:v>13.734467976462206</x:v>
      </x:c>
      <x:c r="H260" s="24" t="n">
        <x:f>'菜品日销量'!G485*150/1000+'菜品日销量'!G493*50/1000+'菜品日销量'!G494*200/1000</x:f>
        <x:v>12.25</x:v>
      </x:c>
      <x:c r="I260" s="36" t="n">
        <x:v>0.025420047767790978</x:v>
      </x:c>
      <x:c r="J260" s="24" t="n">
        <x:f>H260*I260</x:f>
        <x:v>0.31139558515543947</x:v>
      </x:c>
      <x:c r="K260" s="32" t="n">
        <x:v>0</x:v>
      </x:c>
      <x:c r="L260" s="32" t="n">
        <x:v>0</x:v>
      </x:c>
      <x:c r="M260" s="32" t="n">
        <x:v>0</x:v>
      </x:c>
      <x:c r="N260" s="24" t="n">
        <x:f>F260+G260+K260-L260+M260-H260-J260</x:f>
        <x:v>27.72392770578047</x:v>
      </x:c>
      <x:c r="O260" s="24" t="n">
        <x:f>H260*'封面与口径'!$O$24</x:f>
        <x:v>14.7</x:v>
      </x:c>
      <x:c r="P260" s="19" t="str">
        <x:f>IF(N260&lt;0,"缺货",IF(N260&lt;O260,"预警","正常"))</x:f>
        <x:v>正常</x:v>
      </x:c>
      <x:c r="Q260" s="19" t="str">
        <x:v>瘦肉0710-04</x:v>
      </x:c>
    </x:row>
    <x:row r="261">
      <x:c r="A261" s="19" t="str">
        <x:v>2026-07-11|S04|瘦肉片</x:v>
      </x:c>
      <x:c r="B261" s="34" t="n">
        <x:v>46214.5</x:v>
      </x:c>
      <x:c r="C261" s="19" t="str">
        <x:v>S04</x:v>
      </x:c>
      <x:c r="D261" s="19" t="str">
        <x:v>金街美地店</x:v>
      </x:c>
      <x:c r="E261" s="19" t="str">
        <x:v>瘦肉片</x:v>
      </x:c>
      <x:c r="F261" s="32" t="n">
        <x:v>27.72392770578047</x:v>
      </x:c>
      <x:c r="G261" s="32" t="n">
        <x:v>10.927834891617263</x:v>
      </x:c>
      <x:c r="H261" s="24" t="n">
        <x:f>'菜品日销量'!G505*150/1000+'菜品日销量'!G513*50/1000+'菜品日销量'!G514*200/1000</x:f>
        <x:v>9.4</x:v>
      </x:c>
      <x:c r="I261" s="36" t="n">
        <x:v>0.01839479270703038</x:v>
      </x:c>
      <x:c r="J261" s="24" t="n">
        <x:f>H261*I261</x:f>
        <x:v>0.17291105144608557</x:v>
      </x:c>
      <x:c r="K261" s="32" t="n">
        <x:v>0</x:v>
      </x:c>
      <x:c r="L261" s="32" t="n">
        <x:v>0</x:v>
      </x:c>
      <x:c r="M261" s="32" t="n">
        <x:v>0</x:v>
      </x:c>
      <x:c r="N261" s="24" t="n">
        <x:f>F261+G261+K261-L261+M261-H261-J261</x:f>
        <x:v>29.07885154595165</x:v>
      </x:c>
      <x:c r="O261" s="24" t="n">
        <x:f>H261*'封面与口径'!$O$24</x:f>
        <x:v>11.28</x:v>
      </x:c>
      <x:c r="P261" s="19" t="str">
        <x:f>IF(N261&lt;0,"缺货",IF(N261&lt;O261,"预警","正常"))</x:f>
        <x:v>正常</x:v>
      </x:c>
      <x:c r="Q261" s="19" t="str">
        <x:v>瘦肉0711-04</x:v>
      </x:c>
    </x:row>
    <x:row r="262">
      <x:c r="A262" s="19" t="str">
        <x:v>2026-07-12|S04|瘦肉片</x:v>
      </x:c>
      <x:c r="B262" s="34" t="n">
        <x:v>46215.5</x:v>
      </x:c>
      <x:c r="C262" s="19" t="str">
        <x:v>S04</x:v>
      </x:c>
      <x:c r="D262" s="19" t="str">
        <x:v>金街美地店</x:v>
      </x:c>
      <x:c r="E262" s="19" t="str">
        <x:v>瘦肉片</x:v>
      </x:c>
      <x:c r="F262" s="32" t="n">
        <x:v>29.078851545951647</x:v>
      </x:c>
      <x:c r="G262" s="32" t="n">
        <x:v>9.72780642667967</x:v>
      </x:c>
      <x:c r="H262" s="24" t="n">
        <x:f>'菜品日销量'!G525*150/1000+'菜品日销量'!G533*50/1000+'菜品日销量'!G534*200/1000</x:f>
        <x:v>9</x:v>
      </x:c>
      <x:c r="I262" s="36" t="n">
        <x:v>0.03985078830501316</x:v>
      </x:c>
      <x:c r="J262" s="24" t="n">
        <x:f>H262*I262</x:f>
        <x:v>0.3586570947451184</x:v>
      </x:c>
      <x:c r="K262" s="32" t="n">
        <x:v>0</x:v>
      </x:c>
      <x:c r="L262" s="32" t="n">
        <x:v>0</x:v>
      </x:c>
      <x:c r="M262" s="32" t="n">
        <x:v>0</x:v>
      </x:c>
      <x:c r="N262" s="24" t="n">
        <x:f>F262+G262+K262-L262+M262-H262-J262</x:f>
        <x:v>29.448000877886194</x:v>
      </x:c>
      <x:c r="O262" s="24" t="n">
        <x:f>H262*'封面与口径'!$O$24</x:f>
        <x:v>10.799999999999999</x:v>
      </x:c>
      <x:c r="P262" s="19" t="str">
        <x:f>IF(N262&lt;0,"缺货",IF(N262&lt;O262,"预警","正常"))</x:f>
        <x:v>正常</x:v>
      </x:c>
      <x:c r="Q262" s="19" t="str">
        <x:v>瘦肉0712-04</x:v>
      </x:c>
    </x:row>
    <x:row r="263">
      <x:c r="A263" s="19" t="str">
        <x:v>2026-07-13|S04|瘦肉片</x:v>
      </x:c>
      <x:c r="B263" s="34" t="n">
        <x:v>46216.5</x:v>
      </x:c>
      <x:c r="C263" s="19" t="str">
        <x:v>S04</x:v>
      </x:c>
      <x:c r="D263" s="19" t="str">
        <x:v>金街美地店</x:v>
      </x:c>
      <x:c r="E263" s="19" t="str">
        <x:v>瘦肉片</x:v>
      </x:c>
      <x:c r="F263" s="32" t="n">
        <x:v>29.448000877886194</x:v>
      </x:c>
      <x:c r="G263" s="32" t="n">
        <x:v>14.180344572984694</x:v>
      </x:c>
      <x:c r="H263" s="24" t="n">
        <x:f>'菜品日销量'!G545*150/1000+'菜品日销量'!G553*50/1000+'菜品日销量'!G554*200/1000</x:f>
        <x:v>12.8</x:v>
      </x:c>
      <x:c r="I263" s="36" t="n">
        <x:v>0.025366088037929984</x:v>
      </x:c>
      <x:c r="J263" s="24" t="n">
        <x:f>H263*I263</x:f>
        <x:v>0.3246859268855038</x:v>
      </x:c>
      <x:c r="K263" s="32" t="n">
        <x:v>0</x:v>
      </x:c>
      <x:c r="L263" s="32" t="n">
        <x:v>0</x:v>
      </x:c>
      <x:c r="M263" s="32" t="n">
        <x:v>0</x:v>
      </x:c>
      <x:c r="N263" s="24" t="n">
        <x:f>F263+G263+K263-L263+M263-H263-J263</x:f>
        <x:v>30.503659523985384</x:v>
      </x:c>
      <x:c r="O263" s="24" t="n">
        <x:f>H263*'封面与口径'!$O$24</x:f>
        <x:v>15.36</x:v>
      </x:c>
      <x:c r="P263" s="19" t="str">
        <x:f>IF(N263&lt;0,"缺货",IF(N263&lt;O263,"预警","正常"))</x:f>
        <x:v>正常</x:v>
      </x:c>
      <x:c r="Q263" s="19" t="str">
        <x:v>瘦肉0713-04</x:v>
      </x:c>
    </x:row>
    <x:row r="264">
      <x:c r="A264" s="19" t="str">
        <x:v>2026-07-07|S04|肥肉片</x:v>
      </x:c>
      <x:c r="B264" s="34" t="n">
        <x:v>46210.5</x:v>
      </x:c>
      <x:c r="C264" s="19" t="str">
        <x:v>S04</x:v>
      </x:c>
      <x:c r="D264" s="19" t="str">
        <x:v>金街美地店</x:v>
      </x:c>
      <x:c r="E264" s="19" t="str">
        <x:v>肥肉片</x:v>
      </x:c>
      <x:c r="F264" s="32" t="n">
        <x:v>6.120000000000001</x:v>
      </x:c>
      <x:c r="G264" s="32" t="n">
        <x:v>3.770981727457369</x:v>
      </x:c>
      <x:c r="H264" s="24" t="n">
        <x:f>'菜品日销量'!G425*50/1000+'菜品日销量'!G434*50/1000</x:f>
        <x:v>3.4000000000000004</x:v>
      </x:c>
      <x:c r="I264" s="36" t="n">
        <x:v>0.030866787246397416</x:v>
      </x:c>
      <x:c r="J264" s="24" t="n">
        <x:f>H264*I264</x:f>
        <x:v>0.10494707663775123</x:v>
      </x:c>
      <x:c r="K264" s="32" t="n">
        <x:v>0</x:v>
      </x:c>
      <x:c r="L264" s="32" t="n">
        <x:v>0</x:v>
      </x:c>
      <x:c r="M264" s="32" t="n">
        <x:v>0</x:v>
      </x:c>
      <x:c r="N264" s="24" t="n">
        <x:f>F264+G264+K264-L264+M264-H264-J264</x:f>
        <x:v>6.386034650819617</x:v>
      </x:c>
      <x:c r="O264" s="24" t="n">
        <x:f>H264*'封面与口径'!$O$24</x:f>
        <x:v>4.08</x:v>
      </x:c>
      <x:c r="P264" s="19" t="str">
        <x:f>IF(N264&lt;0,"缺货",IF(N264&lt;O264,"预警","正常"))</x:f>
        <x:v>正常</x:v>
      </x:c>
      <x:c r="Q264" s="19" t="str">
        <x:v>肥肉0707-04</x:v>
      </x:c>
    </x:row>
    <x:row r="265">
      <x:c r="A265" s="19" t="str">
        <x:v>2026-07-08|S04|肥肉片</x:v>
      </x:c>
      <x:c r="B265" s="34" t="n">
        <x:v>46211.5</x:v>
      </x:c>
      <x:c r="C265" s="19" t="str">
        <x:v>S04</x:v>
      </x:c>
      <x:c r="D265" s="19" t="str">
        <x:v>金街美地店</x:v>
      </x:c>
      <x:c r="E265" s="19" t="str">
        <x:v>肥肉片</x:v>
      </x:c>
      <x:c r="F265" s="32" t="n">
        <x:v>6.386034650819617</x:v>
      </x:c>
      <x:c r="G265" s="32" t="n">
        <x:v>3.5881339230845066</x:v>
      </x:c>
      <x:c r="H265" s="24" t="n">
        <x:f>'菜品日销量'!G445*50/1000+'菜品日销量'!G454*50/1000</x:f>
        <x:v>3.2</x:v>
      </x:c>
      <x:c r="I265" s="36" t="n">
        <x:v>0.03131466874184895</x:v>
      </x:c>
      <x:c r="J265" s="24" t="n">
        <x:f>H265*I265</x:f>
        <x:v>0.10020693997391664</x:v>
      </x:c>
      <x:c r="K265" s="32" t="n">
        <x:v>0</x:v>
      </x:c>
      <x:c r="L265" s="32" t="n">
        <x:v>0</x:v>
      </x:c>
      <x:c r="M265" s="32" t="n">
        <x:v>0</x:v>
      </x:c>
      <x:c r="N265" s="24" t="n">
        <x:f>F265+G265+K265-L265+M265-H265-J265</x:f>
        <x:v>6.673961633930206</x:v>
      </x:c>
      <x:c r="O265" s="24" t="n">
        <x:f>H265*'封面与口径'!$O$24</x:f>
        <x:v>3.84</x:v>
      </x:c>
      <x:c r="P265" s="19" t="str">
        <x:f>IF(N265&lt;0,"缺货",IF(N265&lt;O265,"预警","正常"))</x:f>
        <x:v>正常</x:v>
      </x:c>
      <x:c r="Q265" s="19" t="str">
        <x:v>肥肉0708-04</x:v>
      </x:c>
    </x:row>
    <x:row r="266">
      <x:c r="A266" s="19" t="str">
        <x:v>2026-07-09|S04|肥肉片</x:v>
      </x:c>
      <x:c r="B266" s="34" t="n">
        <x:v>46212.5</x:v>
      </x:c>
      <x:c r="C266" s="19" t="str">
        <x:v>S04</x:v>
      </x:c>
      <x:c r="D266" s="19" t="str">
        <x:v>金街美地店</x:v>
      </x:c>
      <x:c r="E266" s="19" t="str">
        <x:v>肥肉片</x:v>
      </x:c>
      <x:c r="F266" s="32" t="n">
        <x:v>6.673961633930206</x:v>
      </x:c>
      <x:c r="G266" s="32" t="n">
        <x:v>3.5998759469249935</x:v>
      </x:c>
      <x:c r="H266" s="24" t="n">
        <x:f>'菜品日销量'!G465*50/1000+'菜品日销量'!G474*50/1000</x:f>
        <x:v>3.25</x:v>
      </x:c>
      <x:c r="I266" s="36" t="n">
        <x:v>0.038274361242836896</x:v>
      </x:c>
      <x:c r="J266" s="24" t="n">
        <x:f>H266*I266</x:f>
        <x:v>0.12439167403921991</x:v>
      </x:c>
      <x:c r="K266" s="32" t="n">
        <x:v>0</x:v>
      </x:c>
      <x:c r="L266" s="32" t="n">
        <x:v>0</x:v>
      </x:c>
      <x:c r="M266" s="32" t="n">
        <x:v>0</x:v>
      </x:c>
      <x:c r="N266" s="24" t="n">
        <x:f>F266+G266+K266-L266+M266-H266-J266</x:f>
        <x:v>6.899445906815981</x:v>
      </x:c>
      <x:c r="O266" s="24" t="n">
        <x:f>H266*'封面与口径'!$O$24</x:f>
        <x:v>3.9</x:v>
      </x:c>
      <x:c r="P266" s="19" t="str">
        <x:f>IF(N266&lt;0,"缺货",IF(N266&lt;O266,"预警","正常"))</x:f>
        <x:v>正常</x:v>
      </x:c>
      <x:c r="Q266" s="19" t="str">
        <x:v>肥肉0709-04</x:v>
      </x:c>
    </x:row>
    <x:row r="267">
      <x:c r="A267" s="19" t="str">
        <x:v>2026-07-10|S04|肥肉片</x:v>
      </x:c>
      <x:c r="B267" s="34" t="n">
        <x:v>46213.5</x:v>
      </x:c>
      <x:c r="C267" s="19" t="str">
        <x:v>S04</x:v>
      </x:c>
      <x:c r="D267" s="19" t="str">
        <x:v>金街美地店</x:v>
      </x:c>
      <x:c r="E267" s="19" t="str">
        <x:v>肥肉片</x:v>
      </x:c>
      <x:c r="F267" s="32" t="n">
        <x:v>6.899445906815981</x:v>
      </x:c>
      <x:c r="G267" s="32" t="n">
        <x:v>3.957050973185583</x:v>
      </x:c>
      <x:c r="H267" s="24" t="n">
        <x:f>'菜品日销量'!G485*50/1000+'菜品日销量'!G494*50/1000</x:f>
        <x:v>3.5</x:v>
      </x:c>
      <x:c r="I267" s="36" t="n">
        <x:v>0.021082557352744637</x:v>
      </x:c>
      <x:c r="J267" s="24" t="n">
        <x:f>H267*I267</x:f>
        <x:v>0.07378895073460623</x:v>
      </x:c>
      <x:c r="K267" s="32" t="n">
        <x:v>0</x:v>
      </x:c>
      <x:c r="L267" s="32" t="n">
        <x:v>0</x:v>
      </x:c>
      <x:c r="M267" s="32" t="n">
        <x:v>0</x:v>
      </x:c>
      <x:c r="N267" s="24" t="n">
        <x:f>F267+G267+K267-L267+M267-H267-J267</x:f>
        <x:v>7.282707929266957</x:v>
      </x:c>
      <x:c r="O267" s="24" t="n">
        <x:f>H267*'封面与口径'!$O$24</x:f>
        <x:v>4.2</x:v>
      </x:c>
      <x:c r="P267" s="19" t="str">
        <x:f>IF(N267&lt;0,"缺货",IF(N267&lt;O267,"预警","正常"))</x:f>
        <x:v>正常</x:v>
      </x:c>
      <x:c r="Q267" s="19" t="str">
        <x:v>肥肉0710-04</x:v>
      </x:c>
    </x:row>
    <x:row r="268">
      <x:c r="A268" s="19" t="str">
        <x:v>2026-07-11|S04|肥肉片</x:v>
      </x:c>
      <x:c r="B268" s="34" t="n">
        <x:v>46214.5</x:v>
      </x:c>
      <x:c r="C268" s="19" t="str">
        <x:v>S04</x:v>
      </x:c>
      <x:c r="D268" s="19" t="str">
        <x:v>金街美地店</x:v>
      </x:c>
      <x:c r="E268" s="19" t="str">
        <x:v>肥肉片</x:v>
      </x:c>
      <x:c r="F268" s="32" t="n">
        <x:v>7.282707929266957</x:v>
      </x:c>
      <x:c r="G268" s="32" t="n">
        <x:v>3.012298237601831</x:v>
      </x:c>
      <x:c r="H268" s="24" t="n">
        <x:f>'菜品日销量'!G505*50/1000+'菜品日销量'!G514*50/1000</x:f>
        <x:v>2.6500000000000004</x:v>
      </x:c>
      <x:c r="I268" s="36" t="n">
        <x:v>0.03478801536485274</x:v>
      </x:c>
      <x:c r="J268" s="24" t="n">
        <x:f>H268*I268</x:f>
        <x:v>0.09218824071685977</x:v>
      </x:c>
      <x:c r="K268" s="32" t="n">
        <x:v>0</x:v>
      </x:c>
      <x:c r="L268" s="32" t="n">
        <x:v>0</x:v>
      </x:c>
      <x:c r="M268" s="32" t="n">
        <x:v>0</x:v>
      </x:c>
      <x:c r="N268" s="24" t="n">
        <x:f>F268+G268+K268-L268+M268-H268-J268</x:f>
        <x:v>7.552817926151928</x:v>
      </x:c>
      <x:c r="O268" s="24" t="n">
        <x:f>H268*'封面与口径'!$O$24</x:f>
        <x:v>3.18</x:v>
      </x:c>
      <x:c r="P268" s="19" t="str">
        <x:f>IF(N268&lt;0,"缺货",IF(N268&lt;O268,"预警","正常"))</x:f>
        <x:v>正常</x:v>
      </x:c>
      <x:c r="Q268" s="19" t="str">
        <x:v>肥肉0711-04</x:v>
      </x:c>
    </x:row>
    <x:row r="269">
      <x:c r="A269" s="19" t="str">
        <x:v>2026-07-12|S04|肥肉片</x:v>
      </x:c>
      <x:c r="B269" s="34" t="n">
        <x:v>46215.5</x:v>
      </x:c>
      <x:c r="C269" s="19" t="str">
        <x:v>S04</x:v>
      </x:c>
      <x:c r="D269" s="19" t="str">
        <x:v>金街美地店</x:v>
      </x:c>
      <x:c r="E269" s="19" t="str">
        <x:v>肥肉片</x:v>
      </x:c>
      <x:c r="F269" s="32" t="n">
        <x:v>7.552817926151928</x:v>
      </x:c>
      <x:c r="G269" s="32" t="n">
        <x:v>2.918108496694385</x:v>
      </x:c>
      <x:c r="H269" s="24" t="n">
        <x:f>'菜品日销量'!G525*50/1000+'菜品日销量'!G534*50/1000</x:f>
        <x:v>2.55</x:v>
      </x:c>
      <x:c r="I269" s="36" t="n">
        <x:v>0.02833033513820971</x:v>
      </x:c>
      <x:c r="J269" s="24" t="n">
        <x:f>H269*I269</x:f>
        <x:v>0.07224235460243475</x:v>
      </x:c>
      <x:c r="K269" s="32" t="n">
        <x:v>0</x:v>
      </x:c>
      <x:c r="L269" s="32" t="n">
        <x:v>0</x:v>
      </x:c>
      <x:c r="M269" s="32" t="n">
        <x:v>0</x:v>
      </x:c>
      <x:c r="N269" s="24" t="n">
        <x:f>F269+G269+K269-L269+M269-H269-J269</x:f>
        <x:v>7.8486840682438785</x:v>
      </x:c>
      <x:c r="O269" s="24" t="n">
        <x:f>H269*'封面与口径'!$O$24</x:f>
        <x:v>3.0599999999999996</x:v>
      </x:c>
      <x:c r="P269" s="19" t="str">
        <x:f>IF(N269&lt;0,"缺货",IF(N269&lt;O269,"预警","正常"))</x:f>
        <x:v>正常</x:v>
      </x:c>
      <x:c r="Q269" s="19" t="str">
        <x:v>肥肉0712-04</x:v>
      </x:c>
    </x:row>
    <x:row r="270">
      <x:c r="A270" s="19" t="str">
        <x:v>2026-07-13|S04|肥肉片</x:v>
      </x:c>
      <x:c r="B270" s="34" t="n">
        <x:v>46216.5</x:v>
      </x:c>
      <x:c r="C270" s="19" t="str">
        <x:v>S04</x:v>
      </x:c>
      <x:c r="D270" s="19" t="str">
        <x:v>金街美地店</x:v>
      </x:c>
      <x:c r="E270" s="19" t="str">
        <x:v>肥肉片</x:v>
      </x:c>
      <x:c r="F270" s="32" t="n">
        <x:v>7.8486840682438785</x:v>
      </x:c>
      <x:c r="G270" s="32" t="n">
        <x:v>3.9814998733958937</x:v>
      </x:c>
      <x:c r="H270" s="24" t="n">
        <x:f>'菜品日销量'!G545*50/1000+'菜品日销量'!G554*50/1000</x:f>
        <x:v>3.6500000000000004</x:v>
      </x:c>
      <x:c r="I270" s="36" t="n">
        <x:v>0.018544986755248388</x:v>
      </x:c>
      <x:c r="J270" s="24" t="n">
        <x:f>H270*I270</x:f>
        <x:v>0.06768920165665662</x:v>
      </x:c>
      <x:c r="K270" s="32" t="n">
        <x:v>0</x:v>
      </x:c>
      <x:c r="L270" s="32" t="n">
        <x:v>0</x:v>
      </x:c>
      <x:c r="M270" s="32" t="n">
        <x:v>0</x:v>
      </x:c>
      <x:c r="N270" s="24" t="n">
        <x:f>F270+G270+K270-L270+M270-H270-J270</x:f>
        <x:v>8.112494739983115</x:v>
      </x:c>
      <x:c r="O270" s="24" t="n">
        <x:f>H270*'封面与口径'!$O$24</x:f>
        <x:v>4.38</x:v>
      </x:c>
      <x:c r="P270" s="19" t="str">
        <x:f>IF(N270&lt;0,"缺货",IF(N270&lt;O270,"预警","正常"))</x:f>
        <x:v>正常</x:v>
      </x:c>
      <x:c r="Q270" s="19" t="str">
        <x:v>肥肉0713-04</x:v>
      </x:c>
    </x:row>
    <x:row r="271">
      <x:c r="A271" s="19" t="str">
        <x:v>2026-07-07|S04|牛肉片</x:v>
      </x:c>
      <x:c r="B271" s="34" t="n">
        <x:v>46210.5</x:v>
      </x:c>
      <x:c r="C271" s="19" t="str">
        <x:v>S04</x:v>
      </x:c>
      <x:c r="D271" s="19" t="str">
        <x:v>金街美地店</x:v>
      </x:c>
      <x:c r="E271" s="19" t="str">
        <x:v>牛肉片</x:v>
      </x:c>
      <x:c r="F271" s="32" t="n">
        <x:v>15.75</x:v>
      </x:c>
      <x:c r="G271" s="32" t="n">
        <x:v>9.617877306211245</x:v>
      </x:c>
      <x:c r="H271" s="24" t="n">
        <x:f>'菜品日销量'!G426*250/1000</x:f>
        <x:v>8.75</x:v>
      </x:c>
      <x:c r="I271" s="36" t="n">
        <x:v>0.03885927815312969</x:v>
      </x:c>
      <x:c r="J271" s="24" t="n">
        <x:f>H271*I271</x:f>
        <x:v>0.34001868383988476</x:v>
      </x:c>
      <x:c r="K271" s="32" t="n">
        <x:v>0</x:v>
      </x:c>
      <x:c r="L271" s="32" t="n">
        <x:v>0</x:v>
      </x:c>
      <x:c r="M271" s="32" t="n">
        <x:v>0</x:v>
      </x:c>
      <x:c r="N271" s="24" t="n">
        <x:f>F271+G271+K271-L271+M271-H271-J271</x:f>
        <x:v>16.27785862237136</x:v>
      </x:c>
      <x:c r="O271" s="24" t="n">
        <x:f>H271*'封面与口径'!$O$24</x:f>
        <x:v>10.5</x:v>
      </x:c>
      <x:c r="P271" s="19" t="str">
        <x:f>IF(N271&lt;0,"缺货",IF(N271&lt;O271,"预警","正常"))</x:f>
        <x:v>正常</x:v>
      </x:c>
      <x:c r="Q271" s="19" t="str">
        <x:v>牛肉0707-04</x:v>
      </x:c>
    </x:row>
    <x:row r="272">
      <x:c r="A272" s="19" t="str">
        <x:v>2026-07-08|S04|牛肉片</x:v>
      </x:c>
      <x:c r="B272" s="34" t="n">
        <x:v>46211.5</x:v>
      </x:c>
      <x:c r="C272" s="19" t="str">
        <x:v>S04</x:v>
      </x:c>
      <x:c r="D272" s="19" t="str">
        <x:v>金街美地店</x:v>
      </x:c>
      <x:c r="E272" s="19" t="str">
        <x:v>牛肉片</x:v>
      </x:c>
      <x:c r="F272" s="32" t="n">
        <x:v>16.27785862237136</x:v>
      </x:c>
      <x:c r="G272" s="32" t="n">
        <x:v>9.882669537778169</x:v>
      </x:c>
      <x:c r="H272" s="24" t="n">
        <x:f>'菜品日销量'!G446*250/1000</x:f>
        <x:v>8.75</x:v>
      </x:c>
      <x:c r="I272" s="36" t="n">
        <x:v>0.03081317066233912</x:v>
      </x:c>
      <x:c r="J272" s="24" t="n">
        <x:f>H272*I272</x:f>
        <x:v>0.26961524329546727</x:v>
      </x:c>
      <x:c r="K272" s="32" t="n">
        <x:v>0</x:v>
      </x:c>
      <x:c r="L272" s="32" t="n">
        <x:v>0</x:v>
      </x:c>
      <x:c r="M272" s="32" t="n">
        <x:v>0</x:v>
      </x:c>
      <x:c r="N272" s="24" t="n">
        <x:f>F272+G272+K272-L272+M272-H272-J272</x:f>
        <x:v>17.140912916854063</x:v>
      </x:c>
      <x:c r="O272" s="24" t="n">
        <x:f>H272*'封面与口径'!$O$24</x:f>
        <x:v>10.5</x:v>
      </x:c>
      <x:c r="P272" s="19" t="str">
        <x:f>IF(N272&lt;0,"缺货",IF(N272&lt;O272,"预警","正常"))</x:f>
        <x:v>正常</x:v>
      </x:c>
      <x:c r="Q272" s="19" t="str">
        <x:v>牛肉0708-04</x:v>
      </x:c>
    </x:row>
    <x:row r="273">
      <x:c r="A273" s="19" t="str">
        <x:v>2026-07-09|S04|牛肉片</x:v>
      </x:c>
      <x:c r="B273" s="34" t="n">
        <x:v>46212.5</x:v>
      </x:c>
      <x:c r="C273" s="19" t="str">
        <x:v>S04</x:v>
      </x:c>
      <x:c r="D273" s="19" t="str">
        <x:v>金街美地店</x:v>
      </x:c>
      <x:c r="E273" s="19" t="str">
        <x:v>牛肉片</x:v>
      </x:c>
      <x:c r="F273" s="32" t="n">
        <x:v>17.140912916854063</x:v>
      </x:c>
      <x:c r="G273" s="32" t="n">
        <x:v>9.721858962290423</x:v>
      </x:c>
      <x:c r="H273" s="24" t="n">
        <x:f>'菜品日销量'!G466*250/1000</x:f>
        <x:v>8.25</x:v>
      </x:c>
      <x:c r="I273" s="36" t="n">
        <x:v>0.023414073499947338</x:v>
      </x:c>
      <x:c r="J273" s="24" t="n">
        <x:f>H273*I273</x:f>
        <x:v>0.19316610637456552</x:v>
      </x:c>
      <x:c r="K273" s="32" t="n">
        <x:v>0</x:v>
      </x:c>
      <x:c r="L273" s="32" t="n">
        <x:v>0</x:v>
      </x:c>
      <x:c r="M273" s="32" t="n">
        <x:v>0</x:v>
      </x:c>
      <x:c r="N273" s="24" t="n">
        <x:f>F273+G273+K273-L273+M273-H273-J273</x:f>
        <x:v>18.41960577276992</x:v>
      </x:c>
      <x:c r="O273" s="24" t="n">
        <x:f>H273*'封面与口径'!$O$24</x:f>
        <x:v>9.9</x:v>
      </x:c>
      <x:c r="P273" s="19" t="str">
        <x:f>IF(N273&lt;0,"缺货",IF(N273&lt;O273,"预警","正常"))</x:f>
        <x:v>正常</x:v>
      </x:c>
      <x:c r="Q273" s="19" t="str">
        <x:v>牛肉0709-04</x:v>
      </x:c>
    </x:row>
    <x:row r="274">
      <x:c r="A274" s="19" t="str">
        <x:v>2026-07-10|S04|牛肉片</x:v>
      </x:c>
      <x:c r="B274" s="34" t="n">
        <x:v>46213.5</x:v>
      </x:c>
      <x:c r="C274" s="19" t="str">
        <x:v>S04</x:v>
      </x:c>
      <x:c r="D274" s="19" t="str">
        <x:v>金街美地店</x:v>
      </x:c>
      <x:c r="E274" s="19" t="str">
        <x:v>牛肉片</x:v>
      </x:c>
      <x:c r="F274" s="32" t="n">
        <x:v>18.41960577276992</x:v>
      </x:c>
      <x:c r="G274" s="32" t="n">
        <x:v>9.093341287764101</x:v>
      </x:c>
      <x:c r="H274" s="24" t="n">
        <x:f>'菜品日销量'!G486*250/1000</x:f>
        <x:v>8.25</x:v>
      </x:c>
      <x:c r="I274" s="36" t="n">
        <x:v>0.027193306433547594</x:v>
      </x:c>
      <x:c r="J274" s="24" t="n">
        <x:f>H274*I274</x:f>
        <x:v>0.22434477807676764</x:v>
      </x:c>
      <x:c r="K274" s="32" t="n">
        <x:v>0</x:v>
      </x:c>
      <x:c r="L274" s="32" t="n">
        <x:v>0</x:v>
      </x:c>
      <x:c r="M274" s="32" t="n">
        <x:v>0</x:v>
      </x:c>
      <x:c r="N274" s="24" t="n">
        <x:f>F274+G274+K274-L274+M274-H274-J274</x:f>
        <x:v>19.038602282457255</x:v>
      </x:c>
      <x:c r="O274" s="24" t="n">
        <x:f>H274*'封面与口径'!$O$24</x:f>
        <x:v>9.9</x:v>
      </x:c>
      <x:c r="P274" s="19" t="str">
        <x:f>IF(N274&lt;0,"缺货",IF(N274&lt;O274,"预警","正常"))</x:f>
        <x:v>正常</x:v>
      </x:c>
      <x:c r="Q274" s="19" t="str">
        <x:v>牛肉0710-04</x:v>
      </x:c>
    </x:row>
    <x:row r="275">
      <x:c r="A275" s="19" t="str">
        <x:v>2026-07-11|S04|牛肉片</x:v>
      </x:c>
      <x:c r="B275" s="34" t="n">
        <x:v>46214.5</x:v>
      </x:c>
      <x:c r="C275" s="19" t="str">
        <x:v>S04</x:v>
      </x:c>
      <x:c r="D275" s="19" t="str">
        <x:v>金街美地店</x:v>
      </x:c>
      <x:c r="E275" s="19" t="str">
        <x:v>牛肉片</x:v>
      </x:c>
      <x:c r="F275" s="32" t="n">
        <x:v>19.038602282457255</x:v>
      </x:c>
      <x:c r="G275" s="32" t="n">
        <x:v>7.935912061570193</x:v>
      </x:c>
      <x:c r="H275" s="24" t="n">
        <x:f>'菜品日销量'!G506*250/1000</x:f>
        <x:v>7</x:v>
      </x:c>
      <x:c r="I275" s="36" t="n">
        <x:v>0.03513420050384808</x:v>
      </x:c>
      <x:c r="J275" s="24" t="n">
        <x:f>H275*I275</x:f>
        <x:v>0.24593940352693655</x:v>
      </x:c>
      <x:c r="K275" s="32" t="n">
        <x:v>0</x:v>
      </x:c>
      <x:c r="L275" s="32" t="n">
        <x:v>0</x:v>
      </x:c>
      <x:c r="M275" s="32" t="n">
        <x:v>0</x:v>
      </x:c>
      <x:c r="N275" s="24" t="n">
        <x:f>F275+G275+K275-L275+M275-H275-J275</x:f>
        <x:v>19.72857494050051</x:v>
      </x:c>
      <x:c r="O275" s="24" t="n">
        <x:f>H275*'封面与口径'!$O$24</x:f>
        <x:v>8.4</x:v>
      </x:c>
      <x:c r="P275" s="19" t="str">
        <x:f>IF(N275&lt;0,"缺货",IF(N275&lt;O275,"预警","正常"))</x:f>
        <x:v>正常</x:v>
      </x:c>
      <x:c r="Q275" s="19" t="str">
        <x:v>牛肉0711-04</x:v>
      </x:c>
    </x:row>
    <x:row r="276">
      <x:c r="A276" s="19" t="str">
        <x:v>2026-07-12|S04|牛肉片</x:v>
      </x:c>
      <x:c r="B276" s="34" t="n">
        <x:v>46215.5</x:v>
      </x:c>
      <x:c r="C276" s="19" t="str">
        <x:v>S04</x:v>
      </x:c>
      <x:c r="D276" s="19" t="str">
        <x:v>金街美地店</x:v>
      </x:c>
      <x:c r="E276" s="19" t="str">
        <x:v>牛肉片</x:v>
      </x:c>
      <x:c r="F276" s="32" t="n">
        <x:v>19.72857494050051</x:v>
      </x:c>
      <x:c r="G276" s="32" t="n">
        <x:v>8.412448230444559</x:v>
      </x:c>
      <x:c r="H276" s="24" t="n">
        <x:f>'菜品日销量'!G526*250/1000</x:f>
        <x:v>7.25</x:v>
      </x:c>
      <x:c r="I276" s="36" t="n">
        <x:v>0.03648356684983791</x:v>
      </x:c>
      <x:c r="J276" s="24" t="n">
        <x:f>H276*I276</x:f>
        <x:v>0.26450585966132484</x:v>
      </x:c>
      <x:c r="K276" s="32" t="n">
        <x:v>0</x:v>
      </x:c>
      <x:c r="L276" s="32" t="n">
        <x:v>0</x:v>
      </x:c>
      <x:c r="M276" s="32" t="n">
        <x:v>0</x:v>
      </x:c>
      <x:c r="N276" s="24" t="n">
        <x:f>F276+G276+K276-L276+M276-H276-J276</x:f>
        <x:v>20.626517311283745</x:v>
      </x:c>
      <x:c r="O276" s="24" t="n">
        <x:f>H276*'封面与口径'!$O$24</x:f>
        <x:v>8.7</x:v>
      </x:c>
      <x:c r="P276" s="19" t="str">
        <x:f>IF(N276&lt;0,"缺货",IF(N276&lt;O276,"预警","正常"))</x:f>
        <x:v>正常</x:v>
      </x:c>
      <x:c r="Q276" s="19" t="str">
        <x:v>牛肉0712-04</x:v>
      </x:c>
    </x:row>
    <x:row r="277">
      <x:c r="A277" s="19" t="str">
        <x:v>2026-07-13|S04|牛肉片</x:v>
      </x:c>
      <x:c r="B277" s="34" t="n">
        <x:v>46216.5</x:v>
      </x:c>
      <x:c r="C277" s="19" t="str">
        <x:v>S04</x:v>
      </x:c>
      <x:c r="D277" s="19" t="str">
        <x:v>金街美地店</x:v>
      </x:c>
      <x:c r="E277" s="19" t="str">
        <x:v>牛肉片</x:v>
      </x:c>
      <x:c r="F277" s="32" t="n">
        <x:v>20.62651731128374</x:v>
      </x:c>
      <x:c r="G277" s="32" t="n">
        <x:v>9.467484487494799</x:v>
      </x:c>
      <x:c r="H277" s="24" t="n">
        <x:f>'菜品日销量'!G546*250/1000</x:f>
        <x:v>8.25</x:v>
      </x:c>
      <x:c r="I277" s="36" t="n">
        <x:v>0.027449763281608412</x:v>
      </x:c>
      <x:c r="J277" s="24" t="n">
        <x:f>H277*I277</x:f>
        <x:v>0.2264605470732694</x:v>
      </x:c>
      <x:c r="K277" s="32" t="n">
        <x:v>0</x:v>
      </x:c>
      <x:c r="L277" s="32" t="n">
        <x:v>0</x:v>
      </x:c>
      <x:c r="M277" s="32" t="n">
        <x:v>0</x:v>
      </x:c>
      <x:c r="N277" s="24" t="n">
        <x:f>F277+G277+K277-L277+M277-H277-J277</x:f>
        <x:v>21.617541251705273</x:v>
      </x:c>
      <x:c r="O277" s="24" t="n">
        <x:f>H277*'封面与口径'!$O$24</x:f>
        <x:v>9.9</x:v>
      </x:c>
      <x:c r="P277" s="19" t="str">
        <x:f>IF(N277&lt;0,"缺货",IF(N277&lt;O277,"预警","正常"))</x:f>
        <x:v>正常</x:v>
      </x:c>
      <x:c r="Q277" s="19" t="str">
        <x:v>牛肉0713-04</x:v>
      </x:c>
    </x:row>
    <x:row r="278">
      <x:c r="A278" s="19" t="str">
        <x:v>2026-07-07|S04|螺丝椒</x:v>
      </x:c>
      <x:c r="B278" s="34" t="n">
        <x:v>46210.5</x:v>
      </x:c>
      <x:c r="C278" s="19" t="str">
        <x:v>S04</x:v>
      </x:c>
      <x:c r="D278" s="19" t="str">
        <x:v>金街美地店</x:v>
      </x:c>
      <x:c r="E278" s="19" t="str">
        <x:v>螺丝椒</x:v>
      </x:c>
      <x:c r="F278" s="32" t="n">
        <x:v>22.05</x:v>
      </x:c>
      <x:c r="G278" s="32" t="n">
        <x:v>14.622797694067193</x:v>
      </x:c>
      <x:c r="H278" s="24" t="n">
        <x:f>'菜品日销量'!G425*250/1000</x:f>
        <x:v>12.25</x:v>
      </x:c>
      <x:c r="I278" s="36" t="n">
        <x:v>0.036437047950792376</x:v>
      </x:c>
      <x:c r="J278" s="24" t="n">
        <x:f>H278*I278</x:f>
        <x:v>0.4463538373972066</x:v>
      </x:c>
      <x:c r="K278" s="32" t="n">
        <x:v>0</x:v>
      </x:c>
      <x:c r="L278" s="32" t="n">
        <x:v>0</x:v>
      </x:c>
      <x:c r="M278" s="32" t="n">
        <x:v>0</x:v>
      </x:c>
      <x:c r="N278" s="24" t="n">
        <x:f>F278+G278+K278-L278+M278-H278-J278</x:f>
        <x:v>23.976443856669984</x:v>
      </x:c>
      <x:c r="O278" s="24" t="n">
        <x:f>H278*'封面与口径'!$O$24</x:f>
        <x:v>14.7</x:v>
      </x:c>
      <x:c r="P278" s="19" t="str">
        <x:f>IF(N278&lt;0,"缺货",IF(N278&lt;O278,"预警","正常"))</x:f>
        <x:v>正常</x:v>
      </x:c>
      <x:c r="Q278" s="19" t="str">
        <x:v>螺丝0707-04</x:v>
      </x:c>
    </x:row>
    <x:row r="279">
      <x:c r="A279" s="19" t="str">
        <x:v>2026-07-08|S04|螺丝椒</x:v>
      </x:c>
      <x:c r="B279" s="34" t="n">
        <x:v>46211.5</x:v>
      </x:c>
      <x:c r="C279" s="19" t="str">
        <x:v>S04</x:v>
      </x:c>
      <x:c r="D279" s="19" t="str">
        <x:v>金街美地店</x:v>
      </x:c>
      <x:c r="E279" s="19" t="str">
        <x:v>螺丝椒</x:v>
      </x:c>
      <x:c r="F279" s="32" t="n">
        <x:v>23.976443856669988</x:v>
      </x:c>
      <x:c r="G279" s="32" t="n">
        <x:v>12.947812034012241</x:v>
      </x:c>
      <x:c r="H279" s="24" t="n">
        <x:f>'菜品日销量'!G445*250/1000</x:f>
        <x:v>11.75</x:v>
      </x:c>
      <x:c r="I279" s="36" t="n">
        <x:v>0.03481077984553081</x:v>
      </x:c>
      <x:c r="J279" s="24" t="n">
        <x:f>H279*I279</x:f>
        <x:v>0.40902666318498704</x:v>
      </x:c>
      <x:c r="K279" s="32" t="n">
        <x:v>0</x:v>
      </x:c>
      <x:c r="L279" s="32" t="n">
        <x:v>0</x:v>
      </x:c>
      <x:c r="M279" s="32" t="n">
        <x:v>0</x:v>
      </x:c>
      <x:c r="N279" s="24" t="n">
        <x:f>F279+G279+K279-L279+M279-H279-J279</x:f>
        <x:v>24.765229227497244</x:v>
      </x:c>
      <x:c r="O279" s="24" t="n">
        <x:f>H279*'封面与口径'!$O$24</x:f>
        <x:v>14.1</x:v>
      </x:c>
      <x:c r="P279" s="19" t="str">
        <x:f>IF(N279&lt;0,"缺货",IF(N279&lt;O279,"预警","正常"))</x:f>
        <x:v>正常</x:v>
      </x:c>
      <x:c r="Q279" s="19" t="str">
        <x:v>螺丝0708-04</x:v>
      </x:c>
    </x:row>
    <x:row r="280">
      <x:c r="A280" s="19" t="str">
        <x:v>2026-07-09|S04|螺丝椒</x:v>
      </x:c>
      <x:c r="B280" s="34" t="n">
        <x:v>46212.5</x:v>
      </x:c>
      <x:c r="C280" s="19" t="str">
        <x:v>S04</x:v>
      </x:c>
      <x:c r="D280" s="19" t="str">
        <x:v>金街美地店</x:v>
      </x:c>
      <x:c r="E280" s="19" t="str">
        <x:v>螺丝椒</x:v>
      </x:c>
      <x:c r="F280" s="32" t="n">
        <x:v>24.765229227497244</x:v>
      </x:c>
      <x:c r="G280" s="32" t="n">
        <x:v>13.685434400049374</x:v>
      </x:c>
      <x:c r="H280" s="24" t="n">
        <x:f>'菜品日销量'!G465*250/1000</x:f>
        <x:v>12</x:v>
      </x:c>
      <x:c r="I280" s="36" t="n">
        <x:v>0.029375395750248667</x:v>
      </x:c>
      <x:c r="J280" s="24" t="n">
        <x:f>H280*I280</x:f>
        <x:v>0.352504749002984</x:v>
      </x:c>
      <x:c r="K280" s="32" t="n">
        <x:v>0</x:v>
      </x:c>
      <x:c r="L280" s="32" t="n">
        <x:v>0</x:v>
      </x:c>
      <x:c r="M280" s="32" t="n">
        <x:v>0</x:v>
      </x:c>
      <x:c r="N280" s="24" t="n">
        <x:f>F280+G280+K280-L280+M280-H280-J280</x:f>
        <x:v>26.098158878543632</x:v>
      </x:c>
      <x:c r="O280" s="24" t="n">
        <x:f>H280*'封面与口径'!$O$24</x:f>
        <x:v>14.399999999999999</x:v>
      </x:c>
      <x:c r="P280" s="19" t="str">
        <x:f>IF(N280&lt;0,"缺货",IF(N280&lt;O280,"预警","正常"))</x:f>
        <x:v>正常</x:v>
      </x:c>
      <x:c r="Q280" s="19" t="str">
        <x:v>螺丝0709-04</x:v>
      </x:c>
    </x:row>
    <x:row r="281">
      <x:c r="A281" s="19" t="str">
        <x:v>2026-07-10|S04|螺丝椒</x:v>
      </x:c>
      <x:c r="B281" s="34" t="n">
        <x:v>46213.5</x:v>
      </x:c>
      <x:c r="C281" s="19" t="str">
        <x:v>S04</x:v>
      </x:c>
      <x:c r="D281" s="19" t="str">
        <x:v>金街美地店</x:v>
      </x:c>
      <x:c r="E281" s="19" t="str">
        <x:v>螺丝椒</x:v>
      </x:c>
      <x:c r="F281" s="32" t="n">
        <x:v>26.098158878543632</x:v>
      </x:c>
      <x:c r="G281" s="32" t="n">
        <x:v>14.375528512037251</x:v>
      </x:c>
      <x:c r="H281" s="24" t="n">
        <x:f>'菜品日销量'!G485*250/1000</x:f>
        <x:v>12.75</x:v>
      </x:c>
      <x:c r="I281" s="36" t="n">
        <x:v>0.035679486000602945</x:v>
      </x:c>
      <x:c r="J281" s="24" t="n">
        <x:f>H281*I281</x:f>
        <x:v>0.45491344650768756</x:v>
      </x:c>
      <x:c r="K281" s="32" t="n">
        <x:v>0</x:v>
      </x:c>
      <x:c r="L281" s="32" t="n">
        <x:v>0</x:v>
      </x:c>
      <x:c r="M281" s="32" t="n">
        <x:v>0</x:v>
      </x:c>
      <x:c r="N281" s="24" t="n">
        <x:f>F281+G281+K281-L281+M281-H281-J281</x:f>
        <x:v>27.268773944073196</x:v>
      </x:c>
      <x:c r="O281" s="24" t="n">
        <x:f>H281*'封面与口径'!$O$24</x:f>
        <x:v>15.299999999999999</x:v>
      </x:c>
      <x:c r="P281" s="19" t="str">
        <x:f>IF(N281&lt;0,"缺货",IF(N281&lt;O281,"预警","正常"))</x:f>
        <x:v>正常</x:v>
      </x:c>
      <x:c r="Q281" s="19" t="str">
        <x:v>螺丝0710-04</x:v>
      </x:c>
    </x:row>
    <x:row r="282">
      <x:c r="A282" s="19" t="str">
        <x:v>2026-07-11|S04|螺丝椒</x:v>
      </x:c>
      <x:c r="B282" s="34" t="n">
        <x:v>46214.5</x:v>
      </x:c>
      <x:c r="C282" s="19" t="str">
        <x:v>S04</x:v>
      </x:c>
      <x:c r="D282" s="19" t="str">
        <x:v>金街美地店</x:v>
      </x:c>
      <x:c r="E282" s="19" t="str">
        <x:v>螺丝椒</x:v>
      </x:c>
      <x:c r="F282" s="32" t="n">
        <x:v>27.268773944073196</x:v>
      </x:c>
      <x:c r="G282" s="32" t="n">
        <x:v>10.421237442249256</x:v>
      </x:c>
      <x:c r="H282" s="24" t="n">
        <x:f>'菜品日销量'!G505*250/1000</x:f>
        <x:v>9.25</x:v>
      </x:c>
      <x:c r="I282" s="36" t="n">
        <x:v>0.03939080495373132</x:v>
      </x:c>
      <x:c r="J282" s="24" t="n">
        <x:f>H282*I282</x:f>
        <x:v>0.3643649458220147</x:v>
      </x:c>
      <x:c r="K282" s="32" t="n">
        <x:v>0</x:v>
      </x:c>
      <x:c r="L282" s="32" t="n">
        <x:v>0</x:v>
      </x:c>
      <x:c r="M282" s="32" t="n">
        <x:v>0</x:v>
      </x:c>
      <x:c r="N282" s="24" t="n">
        <x:f>F282+G282+K282-L282+M282-H282-J282</x:f>
        <x:v>28.07564644050044</x:v>
      </x:c>
      <x:c r="O282" s="24" t="n">
        <x:f>H282*'封面与口径'!$O$24</x:f>
        <x:v>11.1</x:v>
      </x:c>
      <x:c r="P282" s="19" t="str">
        <x:f>IF(N282&lt;0,"缺货",IF(N282&lt;O282,"预警","正常"))</x:f>
        <x:v>正常</x:v>
      </x:c>
      <x:c r="Q282" s="19" t="str">
        <x:v>螺丝0711-04</x:v>
      </x:c>
    </x:row>
    <x:row r="283">
      <x:c r="A283" s="19" t="str">
        <x:v>2026-07-12|S04|螺丝椒</x:v>
      </x:c>
      <x:c r="B283" s="34" t="n">
        <x:v>46215.5</x:v>
      </x:c>
      <x:c r="C283" s="19" t="str">
        <x:v>S04</x:v>
      </x:c>
      <x:c r="D283" s="19" t="str">
        <x:v>金街美地店</x:v>
      </x:c>
      <x:c r="E283" s="19" t="str">
        <x:v>螺丝椒</x:v>
      </x:c>
      <x:c r="F283" s="32" t="n">
        <x:v>28.07564644050044</x:v>
      </x:c>
      <x:c r="G283" s="32" t="n">
        <x:v>10.28364443361844</x:v>
      </x:c>
      <x:c r="H283" s="24" t="n">
        <x:f>'菜品日销量'!G525*250/1000</x:f>
        <x:v>9.25</x:v>
      </x:c>
      <x:c r="I283" s="36" t="n">
        <x:v>0.03204325413262547</x:v>
      </x:c>
      <x:c r="J283" s="24" t="n">
        <x:f>H283*I283</x:f>
        <x:v>0.29640010072678563</x:v>
      </x:c>
      <x:c r="K283" s="32" t="n">
        <x:v>0</x:v>
      </x:c>
      <x:c r="L283" s="32" t="n">
        <x:v>0</x:v>
      </x:c>
      <x:c r="M283" s="32" t="n">
        <x:v>0</x:v>
      </x:c>
      <x:c r="N283" s="24" t="n">
        <x:f>F283+G283+K283-L283+M283-H283-J283</x:f>
        <x:v>28.81289077339209</x:v>
      </x:c>
      <x:c r="O283" s="24" t="n">
        <x:f>H283*'封面与口径'!$O$24</x:f>
        <x:v>11.1</x:v>
      </x:c>
      <x:c r="P283" s="19" t="str">
        <x:f>IF(N283&lt;0,"缺货",IF(N283&lt;O283,"预警","正常"))</x:f>
        <x:v>正常</x:v>
      </x:c>
      <x:c r="Q283" s="19" t="str">
        <x:v>螺丝0712-04</x:v>
      </x:c>
    </x:row>
    <x:row r="284">
      <x:c r="A284" s="19" t="str">
        <x:v>2026-07-13|S04|螺丝椒</x:v>
      </x:c>
      <x:c r="B284" s="34" t="n">
        <x:v>46216.5</x:v>
      </x:c>
      <x:c r="C284" s="19" t="str">
        <x:v>S04</x:v>
      </x:c>
      <x:c r="D284" s="19" t="str">
        <x:v>金街美地店</x:v>
      </x:c>
      <x:c r="E284" s="19" t="str">
        <x:v>螺丝椒</x:v>
      </x:c>
      <x:c r="F284" s="32" t="n">
        <x:v>28.81289077339209</x:v>
      </x:c>
      <x:c r="G284" s="32" t="n">
        <x:v>15.18870313144026</x:v>
      </x:c>
      <x:c r="H284" s="24" t="n">
        <x:f>'菜品日销量'!G545*250/1000</x:f>
        <x:v>13</x:v>
      </x:c>
      <x:c r="I284" s="36" t="n">
        <x:v>0.023234166734207924</x:v>
      </x:c>
      <x:c r="J284" s="24" t="n">
        <x:f>H284*I284</x:f>
        <x:v>0.30204416754470303</x:v>
      </x:c>
      <x:c r="K284" s="32" t="n">
        <x:v>0</x:v>
      </x:c>
      <x:c r="L284" s="32" t="n">
        <x:v>0</x:v>
      </x:c>
      <x:c r="M284" s="32" t="n">
        <x:v>0</x:v>
      </x:c>
      <x:c r="N284" s="24" t="n">
        <x:f>F284+G284+K284-L284+M284-H284-J284</x:f>
        <x:v>30.699549737287644</x:v>
      </x:c>
      <x:c r="O284" s="24" t="n">
        <x:f>H284*'封面与口径'!$O$24</x:f>
        <x:v>15.6</x:v>
      </x:c>
      <x:c r="P284" s="19" t="str">
        <x:f>IF(N284&lt;0,"缺货",IF(N284&lt;O284,"预警","正常"))</x:f>
        <x:v>正常</x:v>
      </x:c>
      <x:c r="Q284" s="19" t="str">
        <x:v>螺丝0713-04</x:v>
      </x:c>
    </x:row>
    <x:row r="285">
      <x:c r="A285" s="19" t="str">
        <x:v>2026-07-07|S04|青湖南椒圈</x:v>
      </x:c>
      <x:c r="B285" s="34" t="n">
        <x:v>46210.5</x:v>
      </x:c>
      <x:c r="C285" s="19" t="str">
        <x:v>S04</x:v>
      </x:c>
      <x:c r="D285" s="19" t="str">
        <x:v>金街美地店</x:v>
      </x:c>
      <x:c r="E285" s="19" t="str">
        <x:v>青湖南椒圈</x:v>
      </x:c>
      <x:c r="F285" s="32" t="n">
        <x:v>3.42</x:v>
      </x:c>
      <x:c r="G285" s="32" t="n">
        <x:v>2.2130308906149656</x:v>
      </x:c>
      <x:c r="H285" s="24" t="n">
        <x:f>'菜品日销量'!G434*100/1000</x:f>
        <x:v>1.9</x:v>
      </x:c>
      <x:c r="I285" s="36" t="n">
        <x:v>0.026409589930300043</x:v>
      </x:c>
      <x:c r="J285" s="24" t="n">
        <x:f>H285*I285</x:f>
        <x:v>0.05017822086757008</x:v>
      </x:c>
      <x:c r="K285" s="32" t="n">
        <x:v>0</x:v>
      </x:c>
      <x:c r="L285" s="32" t="n">
        <x:v>0</x:v>
      </x:c>
      <x:c r="M285" s="32" t="n">
        <x:v>0</x:v>
      </x:c>
      <x:c r="N285" s="24" t="n">
        <x:f>F285+G285+K285-L285+M285-H285-J285</x:f>
        <x:v>3.6828526697473953</x:v>
      </x:c>
      <x:c r="O285" s="24" t="n">
        <x:f>H285*'封面与口径'!$O$24</x:f>
        <x:v>2.28</x:v>
      </x:c>
      <x:c r="P285" s="19" t="str">
        <x:f>IF(N285&lt;0,"缺货",IF(N285&lt;O285,"预警","正常"))</x:f>
        <x:v>正常</x:v>
      </x:c>
      <x:c r="Q285" s="19" t="str">
        <x:v>青湖0707-04</x:v>
      </x:c>
    </x:row>
    <x:row r="286">
      <x:c r="A286" s="19" t="str">
        <x:v>2026-07-08|S04|青湖南椒圈</x:v>
      </x:c>
      <x:c r="B286" s="34" t="n">
        <x:v>46211.5</x:v>
      </x:c>
      <x:c r="C286" s="19" t="str">
        <x:v>S04</x:v>
      </x:c>
      <x:c r="D286" s="19" t="str">
        <x:v>金街美地店</x:v>
      </x:c>
      <x:c r="E286" s="19" t="str">
        <x:v>青湖南椒圈</x:v>
      </x:c>
      <x:c r="F286" s="32" t="n">
        <x:v>3.682852669747396</x:v>
      </x:c>
      <x:c r="G286" s="32" t="n">
        <x:v>2.019577540473914</x:v>
      </x:c>
      <x:c r="H286" s="24" t="n">
        <x:f>'菜品日销量'!G454*100/1000</x:f>
        <x:v>1.7</x:v>
      </x:c>
      <x:c r="I286" s="36" t="n">
        <x:v>0.0189731654755243</x:v>
      </x:c>
      <x:c r="J286" s="24" t="n">
        <x:f>H286*I286</x:f>
        <x:v>0.03225438130839131</x:v>
      </x:c>
      <x:c r="K286" s="32" t="n">
        <x:v>0</x:v>
      </x:c>
      <x:c r="L286" s="32" t="n">
        <x:v>0</x:v>
      </x:c>
      <x:c r="M286" s="32" t="n">
        <x:v>0</x:v>
      </x:c>
      <x:c r="N286" s="24" t="n">
        <x:f>F286+G286+K286-L286+M286-H286-J286</x:f>
        <x:v>3.970175828912919</x:v>
      </x:c>
      <x:c r="O286" s="24" t="n">
        <x:f>H286*'封面与口径'!$O$24</x:f>
        <x:v>2.04</x:v>
      </x:c>
      <x:c r="P286" s="19" t="str">
        <x:f>IF(N286&lt;0,"缺货",IF(N286&lt;O286,"预警","正常"))</x:f>
        <x:v>正常</x:v>
      </x:c>
      <x:c r="Q286" s="19" t="str">
        <x:v>青湖0708-04</x:v>
      </x:c>
    </x:row>
    <x:row r="287">
      <x:c r="A287" s="19" t="str">
        <x:v>2026-07-09|S04|青湖南椒圈</x:v>
      </x:c>
      <x:c r="B287" s="34" t="n">
        <x:v>46212.5</x:v>
      </x:c>
      <x:c r="C287" s="19" t="str">
        <x:v>S04</x:v>
      </x:c>
      <x:c r="D287" s="19" t="str">
        <x:v>金街美地店</x:v>
      </x:c>
      <x:c r="E287" s="19" t="str">
        <x:v>青湖南椒圈</x:v>
      </x:c>
      <x:c r="F287" s="32" t="n">
        <x:v>3.970175828912919</x:v>
      </x:c>
      <x:c r="G287" s="32" t="n">
        <x:v>1.9498863048045634</x:v>
      </x:c>
      <x:c r="H287" s="24" t="n">
        <x:f>'菜品日销量'!G474*100/1000</x:f>
        <x:v>1.7</x:v>
      </x:c>
      <x:c r="I287" s="36" t="n">
        <x:v>0.021977614796948063</x:v>
      </x:c>
      <x:c r="J287" s="24" t="n">
        <x:f>H287*I287</x:f>
        <x:v>0.037361945154811706</x:v>
      </x:c>
      <x:c r="K287" s="32" t="n">
        <x:v>0</x:v>
      </x:c>
      <x:c r="L287" s="32" t="n">
        <x:v>0</x:v>
      </x:c>
      <x:c r="M287" s="32" t="n">
        <x:v>0</x:v>
      </x:c>
      <x:c r="N287" s="24" t="n">
        <x:f>F287+G287+K287-L287+M287-H287-J287</x:f>
        <x:v>4.18270018856267</x:v>
      </x:c>
      <x:c r="O287" s="24" t="n">
        <x:f>H287*'封面与口径'!$O$24</x:f>
        <x:v>2.04</x:v>
      </x:c>
      <x:c r="P287" s="19" t="str">
        <x:f>IF(N287&lt;0,"缺货",IF(N287&lt;O287,"预警","正常"))</x:f>
        <x:v>正常</x:v>
      </x:c>
      <x:c r="Q287" s="19" t="str">
        <x:v>青湖0709-04</x:v>
      </x:c>
    </x:row>
    <x:row r="288">
      <x:c r="A288" s="19" t="str">
        <x:v>2026-07-10|S04|青湖南椒圈</x:v>
      </x:c>
      <x:c r="B288" s="34" t="n">
        <x:v>46213.5</x:v>
      </x:c>
      <x:c r="C288" s="19" t="str">
        <x:v>S04</x:v>
      </x:c>
      <x:c r="D288" s="19" t="str">
        <x:v>金街美地店</x:v>
      </x:c>
      <x:c r="E288" s="19" t="str">
        <x:v>青湖南椒圈</x:v>
      </x:c>
      <x:c r="F288" s="32" t="n">
        <x:v>4.18270018856267</x:v>
      </x:c>
      <x:c r="G288" s="32" t="n">
        <x:v>2.2180819791802393</x:v>
      </x:c>
      <x:c r="H288" s="24" t="n">
        <x:f>'菜品日销量'!G494*100/1000</x:f>
        <x:v>1.9</x:v>
      </x:c>
      <x:c r="I288" s="36" t="n">
        <x:v>0.021602306525828854</x:v>
      </x:c>
      <x:c r="J288" s="24" t="n">
        <x:f>H288*I288</x:f>
        <x:v>0.04104438239907482</x:v>
      </x:c>
      <x:c r="K288" s="32" t="n">
        <x:v>0</x:v>
      </x:c>
      <x:c r="L288" s="32" t="n">
        <x:v>0</x:v>
      </x:c>
      <x:c r="M288" s="32" t="n">
        <x:v>0</x:v>
      </x:c>
      <x:c r="N288" s="24" t="n">
        <x:f>F288+G288+K288-L288+M288-H288-J288</x:f>
        <x:v>4.459737785343834</x:v>
      </x:c>
      <x:c r="O288" s="24" t="n">
        <x:f>H288*'封面与口径'!$O$24</x:f>
        <x:v>2.28</x:v>
      </x:c>
      <x:c r="P288" s="19" t="str">
        <x:f>IF(N288&lt;0,"缺货",IF(N288&lt;O288,"预警","正常"))</x:f>
        <x:v>正常</x:v>
      </x:c>
      <x:c r="Q288" s="19" t="str">
        <x:v>青湖0710-04</x:v>
      </x:c>
    </x:row>
    <x:row r="289">
      <x:c r="A289" s="19" t="str">
        <x:v>2026-07-11|S04|青湖南椒圈</x:v>
      </x:c>
      <x:c r="B289" s="34" t="n">
        <x:v>46214.5</x:v>
      </x:c>
      <x:c r="C289" s="19" t="str">
        <x:v>S04</x:v>
      </x:c>
      <x:c r="D289" s="19" t="str">
        <x:v>金街美地店</x:v>
      </x:c>
      <x:c r="E289" s="19" t="str">
        <x:v>青湖南椒圈</x:v>
      </x:c>
      <x:c r="F289" s="32" t="n">
        <x:v>4.459737785343834</x:v>
      </x:c>
      <x:c r="G289" s="32" t="n">
        <x:v>1.867277952018026</x:v>
      </x:c>
      <x:c r="H289" s="24" t="n">
        <x:f>'菜品日销量'!G514*100/1000</x:f>
        <x:v>1.6</x:v>
      </x:c>
      <x:c r="I289" s="36" t="n">
        <x:v>0.021050847105460905</x:v>
      </x:c>
      <x:c r="J289" s="24" t="n">
        <x:f>H289*I289</x:f>
        <x:v>0.033681355368737446</x:v>
      </x:c>
      <x:c r="K289" s="32" t="n">
        <x:v>0</x:v>
      </x:c>
      <x:c r="L289" s="32" t="n">
        <x:v>0</x:v>
      </x:c>
      <x:c r="M289" s="32" t="n">
        <x:v>0</x:v>
      </x:c>
      <x:c r="N289" s="24" t="n">
        <x:f>F289+G289+K289-L289+M289-H289-J289</x:f>
        <x:v>4.693334381993123</x:v>
      </x:c>
      <x:c r="O289" s="24" t="n">
        <x:f>H289*'封面与口径'!$O$24</x:f>
        <x:v>1.92</x:v>
      </x:c>
      <x:c r="P289" s="19" t="str">
        <x:f>IF(N289&lt;0,"缺货",IF(N289&lt;O289,"预警","正常"))</x:f>
        <x:v>正常</x:v>
      </x:c>
      <x:c r="Q289" s="19" t="str">
        <x:v>青湖0711-04</x:v>
      </x:c>
    </x:row>
    <x:row r="290">
      <x:c r="A290" s="19" t="str">
        <x:v>2026-07-12|S04|青湖南椒圈</x:v>
      </x:c>
      <x:c r="B290" s="34" t="n">
        <x:v>46215.5</x:v>
      </x:c>
      <x:c r="C290" s="19" t="str">
        <x:v>S04</x:v>
      </x:c>
      <x:c r="D290" s="19" t="str">
        <x:v>金街美地店</x:v>
      </x:c>
      <x:c r="E290" s="19" t="str">
        <x:v>青湖南椒圈</x:v>
      </x:c>
      <x:c r="F290" s="32" t="n">
        <x:v>4.693334381993123</x:v>
      </x:c>
      <x:c r="G290" s="32" t="n">
        <x:v>1.5799803541293322</x:v>
      </x:c>
      <x:c r="H290" s="24" t="n">
        <x:f>'菜品日销量'!G534*100/1000</x:f>
        <x:v>1.4</x:v>
      </x:c>
      <x:c r="I290" s="36" t="n">
        <x:v>0.030537047122031695</x:v>
      </x:c>
      <x:c r="J290" s="24" t="n">
        <x:f>H290*I290</x:f>
        <x:v>0.04275186597084437</x:v>
      </x:c>
      <x:c r="K290" s="32" t="n">
        <x:v>0</x:v>
      </x:c>
      <x:c r="L290" s="32" t="n">
        <x:v>0</x:v>
      </x:c>
      <x:c r="M290" s="32" t="n">
        <x:v>0</x:v>
      </x:c>
      <x:c r="N290" s="24" t="n">
        <x:f>F290+G290+K290-L290+M290-H290-J290</x:f>
        <x:v>4.83056287015161</x:v>
      </x:c>
      <x:c r="O290" s="24" t="n">
        <x:f>H290*'封面与口径'!$O$24</x:f>
        <x:v>1.68</x:v>
      </x:c>
      <x:c r="P290" s="19" t="str">
        <x:f>IF(N290&lt;0,"缺货",IF(N290&lt;O290,"预警","正常"))</x:f>
        <x:v>正常</x:v>
      </x:c>
      <x:c r="Q290" s="19" t="str">
        <x:v>青湖0712-04</x:v>
      </x:c>
    </x:row>
    <x:row r="291">
      <x:c r="A291" s="19" t="str">
        <x:v>2026-07-13|S04|青湖南椒圈</x:v>
      </x:c>
      <x:c r="B291" s="34" t="n">
        <x:v>46216.5</x:v>
      </x:c>
      <x:c r="C291" s="19" t="str">
        <x:v>S04</x:v>
      </x:c>
      <x:c r="D291" s="19" t="str">
        <x:v>金街美地店</x:v>
      </x:c>
      <x:c r="E291" s="19" t="str">
        <x:v>青湖南椒圈</x:v>
      </x:c>
      <x:c r="F291" s="32" t="n">
        <x:v>4.83056287015161</x:v>
      </x:c>
      <x:c r="G291" s="32" t="n">
        <x:v>2.312295242953183</x:v>
      </x:c>
      <x:c r="H291" s="24" t="n">
        <x:f>'菜品日销量'!G554*100/1000</x:f>
        <x:v>2.1</x:v>
      </x:c>
      <x:c r="I291" s="36" t="n">
        <x:v>0.03493934532975297</x:v>
      </x:c>
      <x:c r="J291" s="24" t="n">
        <x:f>H291*I291</x:f>
        <x:v>0.07337262519248125</x:v>
      </x:c>
      <x:c r="K291" s="32" t="n">
        <x:v>0</x:v>
      </x:c>
      <x:c r="L291" s="32" t="n">
        <x:v>0</x:v>
      </x:c>
      <x:c r="M291" s="32" t="n">
        <x:v>0</x:v>
      </x:c>
      <x:c r="N291" s="24" t="n">
        <x:f>F291+G291+K291-L291+M291-H291-J291</x:f>
        <x:v>4.969485487912313</x:v>
      </x:c>
      <x:c r="O291" s="24" t="n">
        <x:f>H291*'封面与口径'!$O$24</x:f>
        <x:v>2.52</x:v>
      </x:c>
      <x:c r="P291" s="19" t="str">
        <x:f>IF(N291&lt;0,"缺货",IF(N291&lt;O291,"预警","正常"))</x:f>
        <x:v>正常</x:v>
      </x:c>
      <x:c r="Q291" s="19" t="str">
        <x:v>青湖0713-04</x:v>
      </x:c>
    </x:row>
    <x:row r="292">
      <x:c r="A292" s="19" t="str">
        <x:v>2026-07-07|S04|鸡蛋</x:v>
      </x:c>
      <x:c r="B292" s="34" t="n">
        <x:v>46210.5</x:v>
      </x:c>
      <x:c r="C292" s="19" t="str">
        <x:v>S04</x:v>
      </x:c>
      <x:c r="D292" s="19" t="str">
        <x:v>金街美地店</x:v>
      </x:c>
      <x:c r="E292" s="19" t="str">
        <x:v>鸡蛋</x:v>
      </x:c>
      <x:c r="F292" s="32" t="n">
        <x:v>29.7</x:v>
      </x:c>
      <x:c r="G292" s="32" t="n">
        <x:v>19.40900532967155</x:v>
      </x:c>
      <x:c r="H292" s="24" t="n">
        <x:f>'菜品日销量'!G427*300/1000+'菜品日销量'!G437*250/1000</x:f>
        <x:v>16.5</x:v>
      </x:c>
      <x:c r="I292" s="36" t="n">
        <x:v>0.03977912021562902</x:v>
      </x:c>
      <x:c r="J292" s="24" t="n">
        <x:f>H292*I292</x:f>
        <x:v>0.6563554835578789</x:v>
      </x:c>
      <x:c r="K292" s="32" t="n">
        <x:v>0</x:v>
      </x:c>
      <x:c r="L292" s="32" t="n">
        <x:v>0</x:v>
      </x:c>
      <x:c r="M292" s="32" t="n">
        <x:v>0</x:v>
      </x:c>
      <x:c r="N292" s="24" t="n">
        <x:f>F292+G292+K292-L292+M292-H292-J292</x:f>
        <x:v>31.95264984611367</x:v>
      </x:c>
      <x:c r="O292" s="24" t="n">
        <x:f>H292*'封面与口径'!$O$24</x:f>
        <x:v>19.8</x:v>
      </x:c>
      <x:c r="P292" s="19" t="str">
        <x:f>IF(N292&lt;0,"缺货",IF(N292&lt;O292,"预警","正常"))</x:f>
        <x:v>正常</x:v>
      </x:c>
      <x:c r="Q292" s="19" t="str">
        <x:v>鸡蛋0707-04</x:v>
      </x:c>
    </x:row>
    <x:row r="293">
      <x:c r="A293" s="19" t="str">
        <x:v>2026-07-08|S04|鸡蛋</x:v>
      </x:c>
      <x:c r="B293" s="34" t="n">
        <x:v>46211.5</x:v>
      </x:c>
      <x:c r="C293" s="19" t="str">
        <x:v>S04</x:v>
      </x:c>
      <x:c r="D293" s="19" t="str">
        <x:v>金街美地店</x:v>
      </x:c>
      <x:c r="E293" s="19" t="str">
        <x:v>鸡蛋</x:v>
      </x:c>
      <x:c r="F293" s="32" t="n">
        <x:v>31.95264984611367</x:v>
      </x:c>
      <x:c r="G293" s="32" t="n">
        <x:v>18.598633312510014</x:v>
      </x:c>
      <x:c r="H293" s="24" t="n">
        <x:f>'菜品日销量'!G447*300/1000+'菜品日销量'!G457*250/1000</x:f>
        <x:v>16.85</x:v>
      </x:c>
      <x:c r="I293" s="36" t="n">
        <x:v>0.02578666248609933</x:v>
      </x:c>
      <x:c r="J293" s="24" t="n">
        <x:f>H293*I293</x:f>
        <x:v>0.43450526289077374</x:v>
      </x:c>
      <x:c r="K293" s="32" t="n">
        <x:v>0</x:v>
      </x:c>
      <x:c r="L293" s="32" t="n">
        <x:v>0</x:v>
      </x:c>
      <x:c r="M293" s="32" t="n">
        <x:v>0</x:v>
      </x:c>
      <x:c r="N293" s="24" t="n">
        <x:f>F293+G293+K293-L293+M293-H293-J293</x:f>
        <x:v>33.26677789573291</x:v>
      </x:c>
      <x:c r="O293" s="24" t="n">
        <x:f>H293*'封面与口径'!$O$24</x:f>
        <x:v>20.220000000000002</x:v>
      </x:c>
      <x:c r="P293" s="19" t="str">
        <x:f>IF(N293&lt;0,"缺货",IF(N293&lt;O293,"预警","正常"))</x:f>
        <x:v>正常</x:v>
      </x:c>
      <x:c r="Q293" s="19" t="str">
        <x:v>鸡蛋0708-04</x:v>
      </x:c>
    </x:row>
    <x:row r="294">
      <x:c r="A294" s="19" t="str">
        <x:v>2026-07-09|S04|鸡蛋</x:v>
      </x:c>
      <x:c r="B294" s="34" t="n">
        <x:v>46212.5</x:v>
      </x:c>
      <x:c r="C294" s="19" t="str">
        <x:v>S04</x:v>
      </x:c>
      <x:c r="D294" s="19" t="str">
        <x:v>金街美地店</x:v>
      </x:c>
      <x:c r="E294" s="19" t="str">
        <x:v>鸡蛋</x:v>
      </x:c>
      <x:c r="F294" s="32" t="n">
        <x:v>33.26677789573291</x:v>
      </x:c>
      <x:c r="G294" s="32" t="n">
        <x:v>17.745669438531547</x:v>
      </x:c>
      <x:c r="H294" s="24" t="n">
        <x:f>'菜品日销量'!G467*300/1000+'菜品日销量'!G477*250/1000</x:f>
        <x:v>16.35</x:v>
      </x:c>
      <x:c r="I294" s="36" t="n">
        <x:v>0.032473524690715946</x:v>
      </x:c>
      <x:c r="J294" s="24" t="n">
        <x:f>H294*I294</x:f>
        <x:v>0.5309421286932058</x:v>
      </x:c>
      <x:c r="K294" s="32" t="n">
        <x:v>0</x:v>
      </x:c>
      <x:c r="L294" s="32" t="n">
        <x:v>0</x:v>
      </x:c>
      <x:c r="M294" s="32" t="n">
        <x:v>0</x:v>
      </x:c>
      <x:c r="N294" s="24" t="n">
        <x:f>F294+G294+K294-L294+M294-H294-J294</x:f>
        <x:v>34.131505205571244</x:v>
      </x:c>
      <x:c r="O294" s="24" t="n">
        <x:f>H294*'封面与口径'!$O$24</x:f>
        <x:v>19.62</x:v>
      </x:c>
      <x:c r="P294" s="19" t="str">
        <x:f>IF(N294&lt;0,"缺货",IF(N294&lt;O294,"预警","正常"))</x:f>
        <x:v>正常</x:v>
      </x:c>
      <x:c r="Q294" s="19" t="str">
        <x:v>鸡蛋0709-04</x:v>
      </x:c>
    </x:row>
    <x:row r="295">
      <x:c r="A295" s="19" t="str">
        <x:v>2026-07-10|S04|鸡蛋</x:v>
      </x:c>
      <x:c r="B295" s="34" t="n">
        <x:v>46213.5</x:v>
      </x:c>
      <x:c r="C295" s="19" t="str">
        <x:v>S04</x:v>
      </x:c>
      <x:c r="D295" s="19" t="str">
        <x:v>金街美地店</x:v>
      </x:c>
      <x:c r="E295" s="19" t="str">
        <x:v>鸡蛋</x:v>
      </x:c>
      <x:c r="F295" s="32" t="n">
        <x:v>34.131505205571244</x:v>
      </x:c>
      <x:c r="G295" s="32" t="n">
        <x:v>20.404768888727943</x:v>
      </x:c>
      <x:c r="H295" s="24" t="n">
        <x:f>'菜品日销量'!G487*300/1000+'菜品日销量'!G497*250/1000</x:f>
        <x:v>17.2</x:v>
      </x:c>
      <x:c r="I295" s="36" t="n">
        <x:v>0.037650223399431026</x:v>
      </x:c>
      <x:c r="J295" s="24" t="n">
        <x:f>H295*I295</x:f>
        <x:v>0.6475838424702136</x:v>
      </x:c>
      <x:c r="K295" s="32" t="n">
        <x:v>0</x:v>
      </x:c>
      <x:c r="L295" s="32" t="n">
        <x:v>0</x:v>
      </x:c>
      <x:c r="M295" s="32" t="n">
        <x:v>0</x:v>
      </x:c>
      <x:c r="N295" s="24" t="n">
        <x:f>F295+G295+K295-L295+M295-H295-J295</x:f>
        <x:v>36.68869025182897</x:v>
      </x:c>
      <x:c r="O295" s="24" t="n">
        <x:f>H295*'封面与口径'!$O$24</x:f>
        <x:v>20.639999999999997</x:v>
      </x:c>
      <x:c r="P295" s="19" t="str">
        <x:f>IF(N295&lt;0,"缺货",IF(N295&lt;O295,"预警","正常"))</x:f>
        <x:v>正常</x:v>
      </x:c>
      <x:c r="Q295" s="19" t="str">
        <x:v>鸡蛋0710-04</x:v>
      </x:c>
    </x:row>
    <x:row r="296">
      <x:c r="A296" s="19" t="str">
        <x:v>2026-07-11|S04|鸡蛋</x:v>
      </x:c>
      <x:c r="B296" s="34" t="n">
        <x:v>46214.5</x:v>
      </x:c>
      <x:c r="C296" s="19" t="str">
        <x:v>S04</x:v>
      </x:c>
      <x:c r="D296" s="19" t="str">
        <x:v>金街美地店</x:v>
      </x:c>
      <x:c r="E296" s="19" t="str">
        <x:v>鸡蛋</x:v>
      </x:c>
      <x:c r="F296" s="32" t="n">
        <x:v>36.68869025182897</x:v>
      </x:c>
      <x:c r="G296" s="32" t="n">
        <x:v>13.702072263191008</x:v>
      </x:c>
      <x:c r="H296" s="24" t="n">
        <x:f>'菜品日销量'!G507*300/1000+'菜品日销量'!G517*250/1000</x:f>
        <x:v>12.55</x:v>
      </x:c>
      <x:c r="I296" s="36" t="n">
        <x:v>0.019253980250622606</x:v>
      </x:c>
      <x:c r="J296" s="24" t="n">
        <x:f>H296*I296</x:f>
        <x:v>0.24163745214531374</x:v>
      </x:c>
      <x:c r="K296" s="32" t="n">
        <x:v>0</x:v>
      </x:c>
      <x:c r="L296" s="32" t="n">
        <x:v>0</x:v>
      </x:c>
      <x:c r="M296" s="32" t="n">
        <x:v>0</x:v>
      </x:c>
      <x:c r="N296" s="24" t="n">
        <x:f>F296+G296+K296-L296+M296-H296-J296</x:f>
        <x:v>37.59912506287466</x:v>
      </x:c>
      <x:c r="O296" s="24" t="n">
        <x:f>H296*'封面与口径'!$O$24</x:f>
        <x:v>15.06</x:v>
      </x:c>
      <x:c r="P296" s="19" t="str">
        <x:f>IF(N296&lt;0,"缺货",IF(N296&lt;O296,"预警","正常"))</x:f>
        <x:v>正常</x:v>
      </x:c>
      <x:c r="Q296" s="19" t="str">
        <x:v>鸡蛋0711-04</x:v>
      </x:c>
    </x:row>
    <x:row r="297">
      <x:c r="A297" s="19" t="str">
        <x:v>2026-07-12|S04|鸡蛋</x:v>
      </x:c>
      <x:c r="B297" s="34" t="n">
        <x:v>46215.5</x:v>
      </x:c>
      <x:c r="C297" s="19" t="str">
        <x:v>S04</x:v>
      </x:c>
      <x:c r="D297" s="19" t="str">
        <x:v>金街美地店</x:v>
      </x:c>
      <x:c r="E297" s="19" t="str">
        <x:v>鸡蛋</x:v>
      </x:c>
      <x:c r="F297" s="32" t="n">
        <x:v>37.59912506287466</x:v>
      </x:c>
      <x:c r="G297" s="32" t="n">
        <x:v>14.517636729285968</x:v>
      </x:c>
      <x:c r="H297" s="24" t="n">
        <x:f>'菜品日销量'!G527*300/1000+'菜品日销量'!G537*250/1000</x:f>
        <x:v>13.15</x:v>
      </x:c>
      <x:c r="I297" s="36" t="n">
        <x:v>0.03669507145804704</x:v>
      </x:c>
      <x:c r="J297" s="24" t="n">
        <x:f>H297*I297</x:f>
        <x:v>0.4825401896733186</x:v>
      </x:c>
      <x:c r="K297" s="32" t="n">
        <x:v>0</x:v>
      </x:c>
      <x:c r="L297" s="32" t="n">
        <x:v>0</x:v>
      </x:c>
      <x:c r="M297" s="32" t="n">
        <x:v>0</x:v>
      </x:c>
      <x:c r="N297" s="24" t="n">
        <x:f>F297+G297+K297-L297+M297-H297-J297</x:f>
        <x:v>38.48422160248732</x:v>
      </x:c>
      <x:c r="O297" s="24" t="n">
        <x:f>H297*'封面与口径'!$O$24</x:f>
        <x:v>15.78</x:v>
      </x:c>
      <x:c r="P297" s="19" t="str">
        <x:f>IF(N297&lt;0,"缺货",IF(N297&lt;O297,"预警","正常"))</x:f>
        <x:v>正常</x:v>
      </x:c>
      <x:c r="Q297" s="19" t="str">
        <x:v>鸡蛋0712-04</x:v>
      </x:c>
    </x:row>
    <x:row r="298">
      <x:c r="A298" s="19" t="str">
        <x:v>2026-07-13|S04|鸡蛋</x:v>
      </x:c>
      <x:c r="B298" s="34" t="n">
        <x:v>46216.5</x:v>
      </x:c>
      <x:c r="C298" s="19" t="str">
        <x:v>S04</x:v>
      </x:c>
      <x:c r="D298" s="19" t="str">
        <x:v>金街美地店</x:v>
      </x:c>
      <x:c r="E298" s="19" t="str">
        <x:v>鸡蛋</x:v>
      </x:c>
      <x:c r="F298" s="32" t="n">
        <x:v>38.48422160248731</x:v>
      </x:c>
      <x:c r="G298" s="32" t="n">
        <x:v>21.513393602837205</x:v>
      </x:c>
      <x:c r="H298" s="24" t="n">
        <x:f>'菜品日销量'!G547*300/1000+'菜品日销量'!G557*250/1000</x:f>
        <x:v>18.55</x:v>
      </x:c>
      <x:c r="I298" s="36" t="n">
        <x:v>0.036929383259715835</x:v>
      </x:c>
      <x:c r="J298" s="24" t="n">
        <x:f>H298*I298</x:f>
        <x:v>0.6850400594677287</x:v>
      </x:c>
      <x:c r="K298" s="32" t="n">
        <x:v>0</x:v>
      </x:c>
      <x:c r="L298" s="32" t="n">
        <x:v>0</x:v>
      </x:c>
      <x:c r="M298" s="32" t="n">
        <x:v>0</x:v>
      </x:c>
      <x:c r="N298" s="24" t="n">
        <x:f>F298+G298+K298-L298+M298-H298-J298</x:f>
        <x:v>40.76257514585678</x:v>
      </x:c>
      <x:c r="O298" s="24" t="n">
        <x:f>H298*'封面与口径'!$O$24</x:f>
        <x:v>22.26</x:v>
      </x:c>
      <x:c r="P298" s="19" t="str">
        <x:f>IF(N298&lt;0,"缺货",IF(N298&lt;O298,"预警","正常"))</x:f>
        <x:v>正常</x:v>
      </x:c>
      <x:c r="Q298" s="19" t="str">
        <x:v>鸡蛋0713-04</x:v>
      </x:c>
    </x:row>
    <x:row r="299">
      <x:c r="A299" s="19" t="str">
        <x:v>2026-07-07|S04|鸡肉</x:v>
      </x:c>
      <x:c r="B299" s="34" t="n">
        <x:v>46210.5</x:v>
      </x:c>
      <x:c r="C299" s="19" t="str">
        <x:v>S04</x:v>
      </x:c>
      <x:c r="D299" s="19" t="str">
        <x:v>金街美地店</x:v>
      </x:c>
      <x:c r="E299" s="19" t="str">
        <x:v>鸡肉</x:v>
      </x:c>
      <x:c r="F299" s="32" t="n">
        <x:v>9.72</x:v>
      </x:c>
      <x:c r="G299" s="32" t="n">
        <x:v>6.020553929037544</x:v>
      </x:c>
      <x:c r="H299" s="24" t="n">
        <x:f>'菜品日销量'!G432*450/1000</x:f>
        <x:v>5.4</x:v>
      </x:c>
      <x:c r="I299" s="36" t="n">
        <x:v>0.026541695098053125</x:v>
      </x:c>
      <x:c r="J299" s="24" t="n">
        <x:f>H299*I299</x:f>
        <x:v>0.14332515352948688</x:v>
      </x:c>
      <x:c r="K299" s="32" t="n">
        <x:v>0</x:v>
      </x:c>
      <x:c r="L299" s="32" t="n">
        <x:v>0</x:v>
      </x:c>
      <x:c r="M299" s="32" t="n">
        <x:v>0</x:v>
      </x:c>
      <x:c r="N299" s="24" t="n">
        <x:f>F299+G299+K299-L299+M299-H299-J299</x:f>
        <x:v>10.197228775508059</x:v>
      </x:c>
      <x:c r="O299" s="24" t="n">
        <x:f>H299*'封面与口径'!$O$24</x:f>
        <x:v>6.48</x:v>
      </x:c>
      <x:c r="P299" s="19" t="str">
        <x:f>IF(N299&lt;0,"缺货",IF(N299&lt;O299,"预警","正常"))</x:f>
        <x:v>正常</x:v>
      </x:c>
      <x:c r="Q299" s="19" t="str">
        <x:v>鸡肉0707-04</x:v>
      </x:c>
    </x:row>
    <x:row r="300">
      <x:c r="A300" s="19" t="str">
        <x:v>2026-07-08|S04|鸡肉</x:v>
      </x:c>
      <x:c r="B300" s="34" t="n">
        <x:v>46211.5</x:v>
      </x:c>
      <x:c r="C300" s="19" t="str">
        <x:v>S04</x:v>
      </x:c>
      <x:c r="D300" s="19" t="str">
        <x:v>金街美地店</x:v>
      </x:c>
      <x:c r="E300" s="19" t="str">
        <x:v>鸡肉</x:v>
      </x:c>
      <x:c r="F300" s="32" t="n">
        <x:v>10.197228775508059</x:v>
      </x:c>
      <x:c r="G300" s="32" t="n">
        <x:v>6.215155039971498</x:v>
      </x:c>
      <x:c r="H300" s="24" t="n">
        <x:f>'菜品日销量'!G452*450/1000</x:f>
        <x:v>5.4</x:v>
      </x:c>
      <x:c r="I300" s="36" t="n">
        <x:v>0.03725269094860477</x:v>
      </x:c>
      <x:c r="J300" s="24" t="n">
        <x:f>H300*I300</x:f>
        <x:v>0.20116453112246577</x:v>
      </x:c>
      <x:c r="K300" s="32" t="n">
        <x:v>0</x:v>
      </x:c>
      <x:c r="L300" s="32" t="n">
        <x:v>0</x:v>
      </x:c>
      <x:c r="M300" s="32" t="n">
        <x:v>0</x:v>
      </x:c>
      <x:c r="N300" s="24" t="n">
        <x:f>F300+G300+K300-L300+M300-H300-J300</x:f>
        <x:v>10.811219284357092</x:v>
      </x:c>
      <x:c r="O300" s="24" t="n">
        <x:f>H300*'封面与口径'!$O$24</x:f>
        <x:v>6.48</x:v>
      </x:c>
      <x:c r="P300" s="19" t="str">
        <x:f>IF(N300&lt;0,"缺货",IF(N300&lt;O300,"预警","正常"))</x:f>
        <x:v>正常</x:v>
      </x:c>
      <x:c r="Q300" s="19" t="str">
        <x:v>鸡肉0708-04</x:v>
      </x:c>
    </x:row>
    <x:row r="301">
      <x:c r="A301" s="19" t="str">
        <x:v>2026-07-09|S04|鸡肉</x:v>
      </x:c>
      <x:c r="B301" s="34" t="n">
        <x:v>46212.5</x:v>
      </x:c>
      <x:c r="C301" s="19" t="str">
        <x:v>S04</x:v>
      </x:c>
      <x:c r="D301" s="19" t="str">
        <x:v>金街美地店</x:v>
      </x:c>
      <x:c r="E301" s="19" t="str">
        <x:v>鸡肉</x:v>
      </x:c>
      <x:c r="F301" s="32" t="n">
        <x:v>10.81121928435709</x:v>
      </x:c>
      <x:c r="G301" s="32" t="n">
        <x:v>6.307167940276481</x:v>
      </x:c>
      <x:c r="H301" s="24" t="n">
        <x:f>'菜品日销量'!G472*450/1000</x:f>
        <x:v>5.4</x:v>
      </x:c>
      <x:c r="I301" s="36" t="n">
        <x:v>0.03980886249100064</x:v>
      </x:c>
      <x:c r="J301" s="24" t="n">
        <x:f>H301*I301</x:f>
        <x:v>0.21496785745140348</x:v>
      </x:c>
      <x:c r="K301" s="32" t="n">
        <x:v>0</x:v>
      </x:c>
      <x:c r="L301" s="32" t="n">
        <x:v>0</x:v>
      </x:c>
      <x:c r="M301" s="32" t="n">
        <x:v>0</x:v>
      </x:c>
      <x:c r="N301" s="24" t="n">
        <x:f>F301+G301+K301-L301+M301-H301-J301</x:f>
        <x:v>11.503419367182168</x:v>
      </x:c>
      <x:c r="O301" s="24" t="n">
        <x:f>H301*'封面与口径'!$O$24</x:f>
        <x:v>6.48</x:v>
      </x:c>
      <x:c r="P301" s="19" t="str">
        <x:f>IF(N301&lt;0,"缺货",IF(N301&lt;O301,"预警","正常"))</x:f>
        <x:v>正常</x:v>
      </x:c>
      <x:c r="Q301" s="19" t="str">
        <x:v>鸡肉0709-04</x:v>
      </x:c>
    </x:row>
    <x:row r="302">
      <x:c r="A302" s="19" t="str">
        <x:v>2026-07-10|S04|鸡肉</x:v>
      </x:c>
      <x:c r="B302" s="34" t="n">
        <x:v>46213.5</x:v>
      </x:c>
      <x:c r="C302" s="19" t="str">
        <x:v>S04</x:v>
      </x:c>
      <x:c r="D302" s="19" t="str">
        <x:v>金街美地店</x:v>
      </x:c>
      <x:c r="E302" s="19" t="str">
        <x:v>鸡肉</x:v>
      </x:c>
      <x:c r="F302" s="32" t="n">
        <x:v>11.503419367182168</x:v>
      </x:c>
      <x:c r="G302" s="32" t="n">
        <x:v>5.9891610818051655</x:v>
      </x:c>
      <x:c r="H302" s="24" t="n">
        <x:f>'菜品日销量'!G492*450/1000</x:f>
        <x:v>5.4</x:v>
      </x:c>
      <x:c r="I302" s="36" t="n">
        <x:v>0.025252805050754175</x:v>
      </x:c>
      <x:c r="J302" s="24" t="n">
        <x:f>H302*I302</x:f>
        <x:v>0.13636514727407256</x:v>
      </x:c>
      <x:c r="K302" s="32" t="n">
        <x:v>0</x:v>
      </x:c>
      <x:c r="L302" s="32" t="n">
        <x:v>0</x:v>
      </x:c>
      <x:c r="M302" s="32" t="n">
        <x:v>0</x:v>
      </x:c>
      <x:c r="N302" s="24" t="n">
        <x:f>F302+G302+K302-L302+M302-H302-J302</x:f>
        <x:v>11.95621530171326</x:v>
      </x:c>
      <x:c r="O302" s="24" t="n">
        <x:f>H302*'封面与口径'!$O$24</x:f>
        <x:v>6.48</x:v>
      </x:c>
      <x:c r="P302" s="19" t="str">
        <x:f>IF(N302&lt;0,"缺货",IF(N302&lt;O302,"预警","正常"))</x:f>
        <x:v>正常</x:v>
      </x:c>
      <x:c r="Q302" s="19" t="str">
        <x:v>鸡肉0710-04</x:v>
      </x:c>
    </x:row>
    <x:row r="303">
      <x:c r="A303" s="19" t="str">
        <x:v>2026-07-11|S04|鸡肉</x:v>
      </x:c>
      <x:c r="B303" s="34" t="n">
        <x:v>46214.5</x:v>
      </x:c>
      <x:c r="C303" s="19" t="str">
        <x:v>S04</x:v>
      </x:c>
      <x:c r="D303" s="19" t="str">
        <x:v>金街美地店</x:v>
      </x:c>
      <x:c r="E303" s="19" t="str">
        <x:v>鸡肉</x:v>
      </x:c>
      <x:c r="F303" s="32" t="n">
        <x:v>11.95621530171326</x:v>
      </x:c>
      <x:c r="G303" s="32" t="n">
        <x:v>3.894040314955181</x:v>
      </x:c>
      <x:c r="H303" s="24" t="n">
        <x:f>'菜品日销量'!G512*450/1000</x:f>
        <x:v>3.6</x:v>
      </x:c>
      <x:c r="I303" s="36" t="n">
        <x:v>0.017251654863881798</x:v>
      </x:c>
      <x:c r="J303" s="24" t="n">
        <x:f>H303*I303</x:f>
        <x:v>0.062105957509974476</x:v>
      </x:c>
      <x:c r="K303" s="32" t="n">
        <x:v>0</x:v>
      </x:c>
      <x:c r="L303" s="32" t="n">
        <x:v>0</x:v>
      </x:c>
      <x:c r="M303" s="32" t="n">
        <x:v>0</x:v>
      </x:c>
      <x:c r="N303" s="24" t="n">
        <x:f>F303+G303+K303-L303+M303-H303-J303</x:f>
        <x:v>12.188149659158467</x:v>
      </x:c>
      <x:c r="O303" s="24" t="n">
        <x:f>H303*'封面与口径'!$O$24</x:f>
        <x:v>4.32</x:v>
      </x:c>
      <x:c r="P303" s="19" t="str">
        <x:f>IF(N303&lt;0,"缺货",IF(N303&lt;O303,"预警","正常"))</x:f>
        <x:v>正常</x:v>
      </x:c>
      <x:c r="Q303" s="19" t="str">
        <x:v>鸡肉0711-04</x:v>
      </x:c>
    </x:row>
    <x:row r="304">
      <x:c r="A304" s="19" t="str">
        <x:v>2026-07-12|S04|鸡肉</x:v>
      </x:c>
      <x:c r="B304" s="34" t="n">
        <x:v>46215.5</x:v>
      </x:c>
      <x:c r="C304" s="19" t="str">
        <x:v>S04</x:v>
      </x:c>
      <x:c r="D304" s="19" t="str">
        <x:v>金街美地店</x:v>
      </x:c>
      <x:c r="E304" s="19" t="str">
        <x:v>鸡肉</x:v>
      </x:c>
      <x:c r="F304" s="32" t="n">
        <x:v>12.188149659158467</x:v>
      </x:c>
      <x:c r="G304" s="32" t="n">
        <x:v>3.772552971454001</x:v>
      </x:c>
      <x:c r="H304" s="24" t="n">
        <x:f>'菜品日销量'!G532*450/1000</x:f>
        <x:v>3.15</x:v>
      </x:c>
      <x:c r="I304" s="36" t="n">
        <x:v>0.032673991048399825</x:v>
      </x:c>
      <x:c r="J304" s="24" t="n">
        <x:f>H304*I304</x:f>
        <x:v>0.10292307180245945</x:v>
      </x:c>
      <x:c r="K304" s="32" t="n">
        <x:v>0</x:v>
      </x:c>
      <x:c r="L304" s="32" t="n">
        <x:v>0</x:v>
      </x:c>
      <x:c r="M304" s="32" t="n">
        <x:v>0</x:v>
      </x:c>
      <x:c r="N304" s="24" t="n">
        <x:f>F304+G304+K304-L304+M304-H304-J304</x:f>
        <x:v>12.707779558810008</x:v>
      </x:c>
      <x:c r="O304" s="24" t="n">
        <x:f>H304*'封面与口径'!$O$24</x:f>
        <x:v>3.78</x:v>
      </x:c>
      <x:c r="P304" s="19" t="str">
        <x:f>IF(N304&lt;0,"缺货",IF(N304&lt;O304,"预警","正常"))</x:f>
        <x:v>正常</x:v>
      </x:c>
      <x:c r="Q304" s="19" t="str">
        <x:v>鸡肉0712-04</x:v>
      </x:c>
    </x:row>
    <x:row r="305">
      <x:c r="A305" s="19" t="str">
        <x:v>2026-07-13|S04|鸡肉</x:v>
      </x:c>
      <x:c r="B305" s="34" t="n">
        <x:v>46216.5</x:v>
      </x:c>
      <x:c r="C305" s="19" t="str">
        <x:v>S04</x:v>
      </x:c>
      <x:c r="D305" s="19" t="str">
        <x:v>金街美地店</x:v>
      </x:c>
      <x:c r="E305" s="19" t="str">
        <x:v>鸡肉</x:v>
      </x:c>
      <x:c r="F305" s="32" t="n">
        <x:v>12.70777955881001</x:v>
      </x:c>
      <x:c r="G305" s="32" t="n">
        <x:v>5.950647777568235</x:v>
      </x:c>
      <x:c r="H305" s="24" t="n">
        <x:f>'菜品日销量'!G552*450/1000</x:f>
        <x:v>5.4</x:v>
      </x:c>
      <x:c r="I305" s="36" t="n">
        <x:v>0.02169447340925561</x:v>
      </x:c>
      <x:c r="J305" s="24" t="n">
        <x:f>H305*I305</x:f>
        <x:v>0.1171501564099803</x:v>
      </x:c>
      <x:c r="K305" s="32" t="n">
        <x:v>0</x:v>
      </x:c>
      <x:c r="L305" s="32" t="n">
        <x:v>0</x:v>
      </x:c>
      <x:c r="M305" s="32" t="n">
        <x:v>0</x:v>
      </x:c>
      <x:c r="N305" s="24" t="n">
        <x:f>F305+G305+K305-L305+M305-H305-J305</x:f>
        <x:v>13.141277179968265</x:v>
      </x:c>
      <x:c r="O305" s="24" t="n">
        <x:f>H305*'封面与口径'!$O$24</x:f>
        <x:v>6.48</x:v>
      </x:c>
      <x:c r="P305" s="19" t="str">
        <x:f>IF(N305&lt;0,"缺货",IF(N305&lt;O305,"预警","正常"))</x:f>
        <x:v>正常</x:v>
      </x:c>
      <x:c r="Q305" s="19" t="str">
        <x:v>鸡肉0713-04</x:v>
      </x:c>
    </x:row>
    <x:row r="306">
      <x:c r="A306" s="19" t="str">
        <x:v>2026-07-07|S04|鲈鱼</x:v>
      </x:c>
      <x:c r="B306" s="34" t="n">
        <x:v>46210.5</x:v>
      </x:c>
      <x:c r="C306" s="19" t="str">
        <x:v>S04</x:v>
      </x:c>
      <x:c r="D306" s="19" t="str">
        <x:v>金街美地店</x:v>
      </x:c>
      <x:c r="E306" s="19" t="str">
        <x:v>鲈鱼</x:v>
      </x:c>
      <x:c r="F306" s="32" t="n">
        <x:v>6.3</x:v>
      </x:c>
      <x:c r="G306" s="32" t="n">
        <x:v>4.093765961051399</x:v>
      </x:c>
      <x:c r="H306" s="24" t="n">
        <x:f>'菜品日销量'!G436*500/1000</x:f>
        <x:v>3.5</x:v>
      </x:c>
      <x:c r="I306" s="36" t="n">
        <x:v>0.019872887099597808</x:v>
      </x:c>
      <x:c r="J306" s="24" t="n">
        <x:f>H306*I306</x:f>
        <x:v>0.06955510484859233</x:v>
      </x:c>
      <x:c r="K306" s="32" t="n">
        <x:v>0</x:v>
      </x:c>
      <x:c r="L306" s="32" t="n">
        <x:v>0</x:v>
      </x:c>
      <x:c r="M306" s="32" t="n">
        <x:v>0</x:v>
      </x:c>
      <x:c r="N306" s="24" t="n">
        <x:f>F306+G306+K306-L306+M306-H306-J306</x:f>
        <x:v>6.824210856202806</x:v>
      </x:c>
      <x:c r="O306" s="24" t="n">
        <x:f>H306*'封面与口径'!$O$24</x:f>
        <x:v>4.2</x:v>
      </x:c>
      <x:c r="P306" s="19" t="str">
        <x:f>IF(N306&lt;0,"缺货",IF(N306&lt;O306,"预警","正常"))</x:f>
        <x:v>正常</x:v>
      </x:c>
      <x:c r="Q306" s="19" t="str">
        <x:v>鲈鱼0707-04</x:v>
      </x:c>
    </x:row>
    <x:row r="307">
      <x:c r="A307" s="19" t="str">
        <x:v>2026-07-08|S04|鲈鱼</x:v>
      </x:c>
      <x:c r="B307" s="34" t="n">
        <x:v>46211.5</x:v>
      </x:c>
      <x:c r="C307" s="19" t="str">
        <x:v>S04</x:v>
      </x:c>
      <x:c r="D307" s="19" t="str">
        <x:v>金街美地店</x:v>
      </x:c>
      <x:c r="E307" s="19" t="str">
        <x:v>鲈鱼</x:v>
      </x:c>
      <x:c r="F307" s="32" t="n">
        <x:v>6.824210856202805</x:v>
      </x:c>
      <x:c r="G307" s="32" t="n">
        <x:v>3.88983346264107</x:v>
      </x:c>
      <x:c r="H307" s="24" t="n">
        <x:f>'菜品日销量'!G456*500/1000</x:f>
        <x:v>3.5</x:v>
      </x:c>
      <x:c r="I307" s="36" t="n">
        <x:v>0.03723328461922549</x:v>
      </x:c>
      <x:c r="J307" s="24" t="n">
        <x:f>H307*I307</x:f>
        <x:v>0.13031649616728921</x:v>
      </x:c>
      <x:c r="K307" s="32" t="n">
        <x:v>0</x:v>
      </x:c>
      <x:c r="L307" s="32" t="n">
        <x:v>0</x:v>
      </x:c>
      <x:c r="M307" s="32" t="n">
        <x:v>0</x:v>
      </x:c>
      <x:c r="N307" s="24" t="n">
        <x:f>F307+G307+K307-L307+M307-H307-J307</x:f>
        <x:v>7.083727822676586</x:v>
      </x:c>
      <x:c r="O307" s="24" t="n">
        <x:f>H307*'封面与口径'!$O$24</x:f>
        <x:v>4.2</x:v>
      </x:c>
      <x:c r="P307" s="19" t="str">
        <x:f>IF(N307&lt;0,"缺货",IF(N307&lt;O307,"预警","正常"))</x:f>
        <x:v>正常</x:v>
      </x:c>
      <x:c r="Q307" s="19" t="str">
        <x:v>鲈鱼0708-04</x:v>
      </x:c>
    </x:row>
    <x:row r="308">
      <x:c r="A308" s="19" t="str">
        <x:v>2026-07-09|S04|鲈鱼</x:v>
      </x:c>
      <x:c r="B308" s="34" t="n">
        <x:v>46212.5</x:v>
      </x:c>
      <x:c r="C308" s="19" t="str">
        <x:v>S04</x:v>
      </x:c>
      <x:c r="D308" s="19" t="str">
        <x:v>金街美地店</x:v>
      </x:c>
      <x:c r="E308" s="19" t="str">
        <x:v>鲈鱼</x:v>
      </x:c>
      <x:c r="F308" s="32" t="n">
        <x:v>7.083727822676586</x:v>
      </x:c>
      <x:c r="G308" s="32" t="n">
        <x:v>3.478533741775559</x:v>
      </x:c>
      <x:c r="H308" s="24" t="n">
        <x:f>'菜品日销量'!G476*500/1000</x:f>
        <x:v>3</x:v>
      </x:c>
      <x:c r="I308" s="36" t="n">
        <x:v>0.027394957055196855</x:v>
      </x:c>
      <x:c r="J308" s="24" t="n">
        <x:f>H308*I308</x:f>
        <x:v>0.08218487116559056</x:v>
      </x:c>
      <x:c r="K308" s="32" t="n">
        <x:v>0</x:v>
      </x:c>
      <x:c r="L308" s="32" t="n">
        <x:v>0</x:v>
      </x:c>
      <x:c r="M308" s="32" t="n">
        <x:v>0</x:v>
      </x:c>
      <x:c r="N308" s="24" t="n">
        <x:f>F308+G308+K308-L308+M308-H308-J308</x:f>
        <x:v>7.480076693286555</x:v>
      </x:c>
      <x:c r="O308" s="24" t="n">
        <x:f>H308*'封面与口径'!$O$24</x:f>
        <x:v>3.5999999999999996</x:v>
      </x:c>
      <x:c r="P308" s="19" t="str">
        <x:f>IF(N308&lt;0,"缺货",IF(N308&lt;O308,"预警","正常"))</x:f>
        <x:v>正常</x:v>
      </x:c>
      <x:c r="Q308" s="19" t="str">
        <x:v>鲈鱼0709-04</x:v>
      </x:c>
    </x:row>
    <x:row r="309">
      <x:c r="A309" s="19" t="str">
        <x:v>2026-07-10|S04|鲈鱼</x:v>
      </x:c>
      <x:c r="B309" s="34" t="n">
        <x:v>46213.5</x:v>
      </x:c>
      <x:c r="C309" s="19" t="str">
        <x:v>S04</x:v>
      </x:c>
      <x:c r="D309" s="19" t="str">
        <x:v>金街美地店</x:v>
      </x:c>
      <x:c r="E309" s="19" t="str">
        <x:v>鲈鱼</x:v>
      </x:c>
      <x:c r="F309" s="32" t="n">
        <x:v>7.480076693286555</x:v>
      </x:c>
      <x:c r="G309" s="32" t="n">
        <x:v>4.140314808134063</x:v>
      </x:c>
      <x:c r="H309" s="24" t="n">
        <x:f>'菜品日销量'!G496*500/1000</x:f>
        <x:v>3.5</x:v>
      </x:c>
      <x:c r="I309" s="36" t="n">
        <x:v>0.0306581521361736</x:v>
      </x:c>
      <x:c r="J309" s="24" t="n">
        <x:f>H309*I309</x:f>
        <x:v>0.10730353247660761</x:v>
      </x:c>
      <x:c r="K309" s="32" t="n">
        <x:v>0</x:v>
      </x:c>
      <x:c r="L309" s="32" t="n">
        <x:v>0</x:v>
      </x:c>
      <x:c r="M309" s="32" t="n">
        <x:v>0</x:v>
      </x:c>
      <x:c r="N309" s="24" t="n">
        <x:f>F309+G309+K309-L309+M309-H309-J309</x:f>
        <x:v>8.01308796894401</x:v>
      </x:c>
      <x:c r="O309" s="24" t="n">
        <x:f>H309*'封面与口径'!$O$24</x:f>
        <x:v>4.2</x:v>
      </x:c>
      <x:c r="P309" s="19" t="str">
        <x:f>IF(N309&lt;0,"缺货",IF(N309&lt;O309,"预警","正常"))</x:f>
        <x:v>正常</x:v>
      </x:c>
      <x:c r="Q309" s="19" t="str">
        <x:v>鲈鱼0710-04</x:v>
      </x:c>
    </x:row>
    <x:row r="310">
      <x:c r="A310" s="19" t="str">
        <x:v>2026-07-11|S04|鲈鱼</x:v>
      </x:c>
      <x:c r="B310" s="34" t="n">
        <x:v>46214.5</x:v>
      </x:c>
      <x:c r="C310" s="19" t="str">
        <x:v>S04</x:v>
      </x:c>
      <x:c r="D310" s="19" t="str">
        <x:v>金街美地店</x:v>
      </x:c>
      <x:c r="E310" s="19" t="str">
        <x:v>鲈鱼</x:v>
      </x:c>
      <x:c r="F310" s="32" t="n">
        <x:v>8.01308796894401</x:v>
      </x:c>
      <x:c r="G310" s="32" t="n">
        <x:v>2.7012994075429857</x:v>
      </x:c>
      <x:c r="H310" s="24" t="n">
        <x:f>'菜品日销量'!G516*500/1000</x:f>
        <x:v>2.5</x:v>
      </x:c>
      <x:c r="I310" s="36" t="n">
        <x:v>0.023054088768096198</x:v>
      </x:c>
      <x:c r="J310" s="24" t="n">
        <x:f>H310*I310</x:f>
        <x:v>0.057635221920240495</x:v>
      </x:c>
      <x:c r="K310" s="32" t="n">
        <x:v>0</x:v>
      </x:c>
      <x:c r="L310" s="32" t="n">
        <x:v>0</x:v>
      </x:c>
      <x:c r="M310" s="32" t="n">
        <x:v>0</x:v>
      </x:c>
      <x:c r="N310" s="24" t="n">
        <x:f>F310+G310+K310-L310+M310-H310-J310</x:f>
        <x:v>8.156752154566757</x:v>
      </x:c>
      <x:c r="O310" s="24" t="n">
        <x:f>H310*'封面与口径'!$O$24</x:f>
        <x:v>3</x:v>
      </x:c>
      <x:c r="P310" s="19" t="str">
        <x:f>IF(N310&lt;0,"缺货",IF(N310&lt;O310,"预警","正常"))</x:f>
        <x:v>正常</x:v>
      </x:c>
      <x:c r="Q310" s="19" t="str">
        <x:v>鲈鱼0711-04</x:v>
      </x:c>
    </x:row>
    <x:row r="311">
      <x:c r="A311" s="19" t="str">
        <x:v>2026-07-12|S04|鲈鱼</x:v>
      </x:c>
      <x:c r="B311" s="34" t="n">
        <x:v>46215.5</x:v>
      </x:c>
      <x:c r="C311" s="19" t="str">
        <x:v>S04</x:v>
      </x:c>
      <x:c r="D311" s="19" t="str">
        <x:v>金街美地店</x:v>
      </x:c>
      <x:c r="E311" s="19" t="str">
        <x:v>鲈鱼</x:v>
      </x:c>
      <x:c r="F311" s="32" t="n">
        <x:v>8.156752154566757</x:v>
      </x:c>
      <x:c r="G311" s="32" t="n">
        <x:v>2.9177269343793686</x:v>
      </x:c>
      <x:c r="H311" s="24" t="n">
        <x:f>'菜品日销量'!G536*500/1000</x:f>
        <x:v>2.5</x:v>
      </x:c>
      <x:c r="I311" s="36" t="n">
        <x:v>0.027088181610938206</x:v>
      </x:c>
      <x:c r="J311" s="24" t="n">
        <x:f>H311*I311</x:f>
        <x:v>0.06772045402734551</x:v>
      </x:c>
      <x:c r="K311" s="32" t="n">
        <x:v>0</x:v>
      </x:c>
      <x:c r="L311" s="32" t="n">
        <x:v>0</x:v>
      </x:c>
      <x:c r="M311" s="32" t="n">
        <x:v>0</x:v>
      </x:c>
      <x:c r="N311" s="24" t="n">
        <x:f>F311+G311+K311-L311+M311-H311-J311</x:f>
        <x:v>8.50675863491878</x:v>
      </x:c>
      <x:c r="O311" s="24" t="n">
        <x:f>H311*'封面与口径'!$O$24</x:f>
        <x:v>3</x:v>
      </x:c>
      <x:c r="P311" s="19" t="str">
        <x:f>IF(N311&lt;0,"缺货",IF(N311&lt;O311,"预警","正常"))</x:f>
        <x:v>正常</x:v>
      </x:c>
      <x:c r="Q311" s="19" t="str">
        <x:v>鲈鱼0712-04</x:v>
      </x:c>
    </x:row>
    <x:row r="312">
      <x:c r="A312" s="19" t="str">
        <x:v>2026-07-13|S04|鲈鱼</x:v>
      </x:c>
      <x:c r="B312" s="34" t="n">
        <x:v>46216.5</x:v>
      </x:c>
      <x:c r="C312" s="19" t="str">
        <x:v>S04</x:v>
      </x:c>
      <x:c r="D312" s="19" t="str">
        <x:v>金街美地店</x:v>
      </x:c>
      <x:c r="E312" s="19" t="str">
        <x:v>鲈鱼</x:v>
      </x:c>
      <x:c r="F312" s="32" t="n">
        <x:v>8.506758634918778</x:v>
      </x:c>
      <x:c r="G312" s="32" t="n">
        <x:v>4.775443197408562</x:v>
      </x:c>
      <x:c r="H312" s="24" t="n">
        <x:f>'菜品日销量'!G556*500/1000</x:f>
        <x:v>4</x:v>
      </x:c>
      <x:c r="I312" s="36" t="n">
        <x:v>0.022991871193049445</x:v>
      </x:c>
      <x:c r="J312" s="24" t="n">
        <x:f>H312*I312</x:f>
        <x:v>0.09196748477219778</x:v>
      </x:c>
      <x:c r="K312" s="32" t="n">
        <x:v>0</x:v>
      </x:c>
      <x:c r="L312" s="32" t="n">
        <x:v>0</x:v>
      </x:c>
      <x:c r="M312" s="32" t="n">
        <x:v>0</x:v>
      </x:c>
      <x:c r="N312" s="24" t="n">
        <x:f>F312+G312+K312-L312+M312-H312-J312</x:f>
        <x:v>9.190234347555142</x:v>
      </x:c>
      <x:c r="O312" s="24" t="n">
        <x:f>H312*'封面与口径'!$O$24</x:f>
        <x:v>4.8</x:v>
      </x:c>
      <x:c r="P312" s="19" t="str">
        <x:f>IF(N312&lt;0,"缺货",IF(N312&lt;O312,"预警","正常"))</x:f>
        <x:v>正常</x:v>
      </x:c>
      <x:c r="Q312" s="19" t="str">
        <x:v>鲈鱼0713-04</x:v>
      </x:c>
    </x:row>
    <x:row r="313">
      <x:c r="A313" s="19" t="str">
        <x:v>2026-07-07|S04|酸包菜</x:v>
      </x:c>
      <x:c r="B313" s="34" t="n">
        <x:v>46210.5</x:v>
      </x:c>
      <x:c r="C313" s="19" t="str">
        <x:v>S04</x:v>
      </x:c>
      <x:c r="D313" s="19" t="str">
        <x:v>金街美地店</x:v>
      </x:c>
      <x:c r="E313" s="19" t="str">
        <x:v>酸包菜</x:v>
      </x:c>
      <x:c r="F313" s="32" t="n">
        <x:v>14.04</x:v>
      </x:c>
      <x:c r="G313" s="32" t="n">
        <x:v>9.355409326783246</x:v>
      </x:c>
      <x:c r="H313" s="24" t="n">
        <x:f>'菜品日销量'!G428*200/1000</x:f>
        <x:v>7.8</x:v>
      </x:c>
      <x:c r="I313" s="36" t="n">
        <x:v>0.03295649511459202</x:v>
      </x:c>
      <x:c r="J313" s="24" t="n">
        <x:f>H313*I313</x:f>
        <x:v>0.25706066189381777</x:v>
      </x:c>
      <x:c r="K313" s="32" t="n">
        <x:v>0</x:v>
      </x:c>
      <x:c r="L313" s="32" t="n">
        <x:v>0</x:v>
      </x:c>
      <x:c r="M313" s="32" t="n">
        <x:v>0</x:v>
      </x:c>
      <x:c r="N313" s="24" t="n">
        <x:f>F313+G313+K313-L313+M313-H313-J313</x:f>
        <x:v>15.338348664889427</x:v>
      </x:c>
      <x:c r="O313" s="24" t="n">
        <x:f>H313*'封面与口径'!$O$24</x:f>
        <x:v>9.36</x:v>
      </x:c>
      <x:c r="P313" s="19" t="str">
        <x:f>IF(N313&lt;0,"缺货",IF(N313&lt;O313,"预警","正常"))</x:f>
        <x:v>正常</x:v>
      </x:c>
      <x:c r="Q313" s="19" t="str">
        <x:v>酸包0707-04</x:v>
      </x:c>
    </x:row>
    <x:row r="314">
      <x:c r="A314" s="19" t="str">
        <x:v>2026-07-08|S04|酸包菜</x:v>
      </x:c>
      <x:c r="B314" s="34" t="n">
        <x:v>46211.5</x:v>
      </x:c>
      <x:c r="C314" s="19" t="str">
        <x:v>S04</x:v>
      </x:c>
      <x:c r="D314" s="19" t="str">
        <x:v>金街美地店</x:v>
      </x:c>
      <x:c r="E314" s="19" t="str">
        <x:v>酸包菜</x:v>
      </x:c>
      <x:c r="F314" s="32" t="n">
        <x:v>15.338348664889427</x:v>
      </x:c>
      <x:c r="G314" s="32" t="n">
        <x:v>8.536788514957015</x:v>
      </x:c>
      <x:c r="H314" s="24" t="n">
        <x:f>'菜品日销量'!G448*200/1000</x:f>
        <x:v>7.8</x:v>
      </x:c>
      <x:c r="I314" s="36" t="n">
        <x:v>0.01679270215490663</x:v>
      </x:c>
      <x:c r="J314" s="24" t="n">
        <x:f>H314*I314</x:f>
        <x:v>0.1309830768082717</x:v>
      </x:c>
      <x:c r="K314" s="32" t="n">
        <x:v>0</x:v>
      </x:c>
      <x:c r="L314" s="32" t="n">
        <x:v>0</x:v>
      </x:c>
      <x:c r="M314" s="32" t="n">
        <x:v>0</x:v>
      </x:c>
      <x:c r="N314" s="24" t="n">
        <x:f>F314+G314+K314-L314+M314-H314-J314</x:f>
        <x:v>15.944154103038167</x:v>
      </x:c>
      <x:c r="O314" s="24" t="n">
        <x:f>H314*'封面与口径'!$O$24</x:f>
        <x:v>9.36</x:v>
      </x:c>
      <x:c r="P314" s="19" t="str">
        <x:f>IF(N314&lt;0,"缺货",IF(N314&lt;O314,"预警","正常"))</x:f>
        <x:v>正常</x:v>
      </x:c>
      <x:c r="Q314" s="19" t="str">
        <x:v>酸包0708-04</x:v>
      </x:c>
    </x:row>
    <x:row r="315">
      <x:c r="A315" s="19" t="str">
        <x:v>2026-07-09|S04|酸包菜</x:v>
      </x:c>
      <x:c r="B315" s="34" t="n">
        <x:v>46212.5</x:v>
      </x:c>
      <x:c r="C315" s="19" t="str">
        <x:v>S04</x:v>
      </x:c>
      <x:c r="D315" s="19" t="str">
        <x:v>金街美地店</x:v>
      </x:c>
      <x:c r="E315" s="19" t="str">
        <x:v>酸包菜</x:v>
      </x:c>
      <x:c r="F315" s="32" t="n">
        <x:v>15.94415410303817</x:v>
      </x:c>
      <x:c r="G315" s="32" t="n">
        <x:v>8.575018884867202</x:v>
      </x:c>
      <x:c r="H315" s="24" t="n">
        <x:f>'菜品日销量'!G468*200/1000</x:f>
        <x:v>7.8</x:v>
      </x:c>
      <x:c r="I315" s="36" t="n">
        <x:v>0.016033187983798138</x:v>
      </x:c>
      <x:c r="J315" s="24" t="n">
        <x:f>H315*I315</x:f>
        <x:v>0.12505886627362547</x:v>
      </x:c>
      <x:c r="K315" s="32" t="n">
        <x:v>0</x:v>
      </x:c>
      <x:c r="L315" s="32" t="n">
        <x:v>0</x:v>
      </x:c>
      <x:c r="M315" s="32" t="n">
        <x:v>0</x:v>
      </x:c>
      <x:c r="N315" s="24" t="n">
        <x:f>F315+G315+K315-L315+M315-H315-J315</x:f>
        <x:v>16.594114121631744</x:v>
      </x:c>
      <x:c r="O315" s="24" t="n">
        <x:f>H315*'封面与口径'!$O$24</x:f>
        <x:v>9.36</x:v>
      </x:c>
      <x:c r="P315" s="19" t="str">
        <x:f>IF(N315&lt;0,"缺货",IF(N315&lt;O315,"预警","正常"))</x:f>
        <x:v>正常</x:v>
      </x:c>
      <x:c r="Q315" s="19" t="str">
        <x:v>酸包0709-04</x:v>
      </x:c>
    </x:row>
    <x:row r="316">
      <x:c r="A316" s="19" t="str">
        <x:v>2026-07-10|S04|酸包菜</x:v>
      </x:c>
      <x:c r="B316" s="34" t="n">
        <x:v>46213.5</x:v>
      </x:c>
      <x:c r="C316" s="19" t="str">
        <x:v>S04</x:v>
      </x:c>
      <x:c r="D316" s="19" t="str">
        <x:v>金街美地店</x:v>
      </x:c>
      <x:c r="E316" s="19" t="str">
        <x:v>酸包菜</x:v>
      </x:c>
      <x:c r="F316" s="32" t="n">
        <x:v>16.594114121631748</x:v>
      </x:c>
      <x:c r="G316" s="32" t="n">
        <x:v>7.9490788188458135</x:v>
      </x:c>
      <x:c r="H316" s="24" t="n">
        <x:f>'菜品日销量'!G488*200/1000</x:f>
        <x:v>7.2</x:v>
      </x:c>
      <x:c r="I316" s="36" t="n">
        <x:v>0.025123093673056714</x:v>
      </x:c>
      <x:c r="J316" s="24" t="n">
        <x:f>H316*I316</x:f>
        <x:v>0.18088627444600835</x:v>
      </x:c>
      <x:c r="K316" s="32" t="n">
        <x:v>0</x:v>
      </x:c>
      <x:c r="L316" s="32" t="n">
        <x:v>0</x:v>
      </x:c>
      <x:c r="M316" s="32" t="n">
        <x:v>0</x:v>
      </x:c>
      <x:c r="N316" s="24" t="n">
        <x:f>F316+G316+K316-L316+M316-H316-J316</x:f>
        <x:v>17.16230666603155</x:v>
      </x:c>
      <x:c r="O316" s="24" t="n">
        <x:f>H316*'封面与口径'!$O$24</x:f>
        <x:v>8.64</x:v>
      </x:c>
      <x:c r="P316" s="19" t="str">
        <x:f>IF(N316&lt;0,"缺货",IF(N316&lt;O316,"预警","正常"))</x:f>
        <x:v>正常</x:v>
      </x:c>
      <x:c r="Q316" s="19" t="str">
        <x:v>酸包0710-04</x:v>
      </x:c>
    </x:row>
    <x:row r="317">
      <x:c r="A317" s="19" t="str">
        <x:v>2026-07-11|S04|酸包菜</x:v>
      </x:c>
      <x:c r="B317" s="34" t="n">
        <x:v>46214.5</x:v>
      </x:c>
      <x:c r="C317" s="19" t="str">
        <x:v>S04</x:v>
      </x:c>
      <x:c r="D317" s="19" t="str">
        <x:v>金街美地店</x:v>
      </x:c>
      <x:c r="E317" s="19" t="str">
        <x:v>酸包菜</x:v>
      </x:c>
      <x:c r="F317" s="32" t="n">
        <x:v>17.16230666603155</x:v>
      </x:c>
      <x:c r="G317" s="32" t="n">
        <x:v>7.172699427393428</x:v>
      </x:c>
      <x:c r="H317" s="24" t="n">
        <x:f>'菜品日销量'!G508*200/1000</x:f>
        <x:v>6</x:v>
      </x:c>
      <x:c r="I317" s="36" t="n">
        <x:v>0.030080719392299816</x:v>
      </x:c>
      <x:c r="J317" s="24" t="n">
        <x:f>H317*I317</x:f>
        <x:v>0.1804843163537989</x:v>
      </x:c>
      <x:c r="K317" s="32" t="n">
        <x:v>0</x:v>
      </x:c>
      <x:c r="L317" s="32" t="n">
        <x:v>0</x:v>
      </x:c>
      <x:c r="M317" s="32" t="n">
        <x:v>0</x:v>
      </x:c>
      <x:c r="N317" s="24" t="n">
        <x:f>F317+G317+K317-L317+M317-H317-J317</x:f>
        <x:v>18.15452177707118</x:v>
      </x:c>
      <x:c r="O317" s="24" t="n">
        <x:f>H317*'封面与口径'!$O$24</x:f>
        <x:v>7.199999999999999</x:v>
      </x:c>
      <x:c r="P317" s="19" t="str">
        <x:f>IF(N317&lt;0,"缺货",IF(N317&lt;O317,"预警","正常"))</x:f>
        <x:v>正常</x:v>
      </x:c>
      <x:c r="Q317" s="19" t="str">
        <x:v>酸包0711-04</x:v>
      </x:c>
    </x:row>
    <x:row r="318">
      <x:c r="A318" s="19" t="str">
        <x:v>2026-07-12|S04|酸包菜</x:v>
      </x:c>
      <x:c r="B318" s="34" t="n">
        <x:v>46215.5</x:v>
      </x:c>
      <x:c r="C318" s="19" t="str">
        <x:v>S04</x:v>
      </x:c>
      <x:c r="D318" s="19" t="str">
        <x:v>金街美地店</x:v>
      </x:c>
      <x:c r="E318" s="19" t="str">
        <x:v>酸包菜</x:v>
      </x:c>
      <x:c r="F318" s="32" t="n">
        <x:v>18.15452177707118</x:v>
      </x:c>
      <x:c r="G318" s="32" t="n">
        <x:v>6.051649620362476</x:v>
      </x:c>
      <x:c r="H318" s="24" t="n">
        <x:f>'菜品日销量'!G528*200/1000</x:f>
        <x:v>5.6</x:v>
      </x:c>
      <x:c r="I318" s="36" t="n">
        <x:v>0.03667120774315466</x:v>
      </x:c>
      <x:c r="J318" s="24" t="n">
        <x:f>H318*I318</x:f>
        <x:v>0.20535876336166609</x:v>
      </x:c>
      <x:c r="K318" s="32" t="n">
        <x:v>0</x:v>
      </x:c>
      <x:c r="L318" s="32" t="n">
        <x:v>0</x:v>
      </x:c>
      <x:c r="M318" s="32" t="n">
        <x:v>0</x:v>
      </x:c>
      <x:c r="N318" s="24" t="n">
        <x:f>F318+G318+K318-L318+M318-H318-J318</x:f>
        <x:v>18.40081263407199</x:v>
      </x:c>
      <x:c r="O318" s="24" t="n">
        <x:f>H318*'封面与口径'!$O$24</x:f>
        <x:v>6.72</x:v>
      </x:c>
      <x:c r="P318" s="19" t="str">
        <x:f>IF(N318&lt;0,"缺货",IF(N318&lt;O318,"预警","正常"))</x:f>
        <x:v>正常</x:v>
      </x:c>
      <x:c r="Q318" s="19" t="str">
        <x:v>酸包0712-04</x:v>
      </x:c>
    </x:row>
    <x:row r="319">
      <x:c r="A319" s="19" t="str">
        <x:v>2026-07-13|S04|酸包菜</x:v>
      </x:c>
      <x:c r="B319" s="34" t="n">
        <x:v>46216.5</x:v>
      </x:c>
      <x:c r="C319" s="19" t="str">
        <x:v>S04</x:v>
      </x:c>
      <x:c r="D319" s="19" t="str">
        <x:v>金街美地店</x:v>
      </x:c>
      <x:c r="E319" s="19" t="str">
        <x:v>酸包菜</x:v>
      </x:c>
      <x:c r="F319" s="32" t="n">
        <x:v>18.40081263407199</x:v>
      </x:c>
      <x:c r="G319" s="32" t="n">
        <x:v>10.149205601557439</x:v>
      </x:c>
      <x:c r="H319" s="24" t="n">
        <x:f>'菜品日销量'!G548*200/1000</x:f>
        <x:v>9</x:v>
      </x:c>
      <x:c r="I319" s="36" t="n">
        <x:v>0.03760899400515691</x:v>
      </x:c>
      <x:c r="J319" s="24" t="n">
        <x:f>H319*I319</x:f>
        <x:v>0.3384809460464122</x:v>
      </x:c>
      <x:c r="K319" s="32" t="n">
        <x:v>0</x:v>
      </x:c>
      <x:c r="L319" s="32" t="n">
        <x:v>0</x:v>
      </x:c>
      <x:c r="M319" s="32" t="n">
        <x:v>0</x:v>
      </x:c>
      <x:c r="N319" s="24" t="n">
        <x:f>F319+G319+K319-L319+M319-H319-J319</x:f>
        <x:v>19.211537289583017</x:v>
      </x:c>
      <x:c r="O319" s="24" t="n">
        <x:f>H319*'封面与口径'!$O$24</x:f>
        <x:v>10.799999999999999</x:v>
      </x:c>
      <x:c r="P319" s="19" t="str">
        <x:f>IF(N319&lt;0,"缺货",IF(N319&lt;O319,"预警","正常"))</x:f>
        <x:v>正常</x:v>
      </x:c>
      <x:c r="Q319" s="19" t="str">
        <x:v>酸包0713-04</x:v>
      </x:c>
    </x:row>
    <x:row r="320">
      <x:c r="A320" s="19" t="str">
        <x:v>2026-07-07|S04|粉皮</x:v>
      </x:c>
      <x:c r="B320" s="34" t="n">
        <x:v>46210.5</x:v>
      </x:c>
      <x:c r="C320" s="19" t="str">
        <x:v>S04</x:v>
      </x:c>
      <x:c r="D320" s="19" t="str">
        <x:v>金街美地店</x:v>
      </x:c>
      <x:c r="E320" s="19" t="str">
        <x:v>粉皮</x:v>
      </x:c>
      <x:c r="F320" s="32" t="n">
        <x:v>10.53</x:v>
      </x:c>
      <x:c r="G320" s="32" t="n">
        <x:v>6.529635473493867</x:v>
      </x:c>
      <x:c r="H320" s="24" t="n">
        <x:f>'菜品日销量'!G428*150/1000</x:f>
        <x:v>5.85</x:v>
      </x:c>
      <x:c r="I320" s="36" t="n">
        <x:v>0.024202973081079073</x:v>
      </x:c>
      <x:c r="J320" s="24" t="n">
        <x:f>H320*I320</x:f>
        <x:v>0.14158739252431257</x:v>
      </x:c>
      <x:c r="K320" s="32" t="n">
        <x:v>0</x:v>
      </x:c>
      <x:c r="L320" s="32" t="n">
        <x:v>0</x:v>
      </x:c>
      <x:c r="M320" s="32" t="n">
        <x:v>0</x:v>
      </x:c>
      <x:c r="N320" s="24" t="n">
        <x:f>F320+G320+K320-L320+M320-H320-J320</x:f>
        <x:v>11.068048080969554</x:v>
      </x:c>
      <x:c r="O320" s="24" t="n">
        <x:f>H320*'封面与口径'!$O$24</x:f>
        <x:v>7.02</x:v>
      </x:c>
      <x:c r="P320" s="19" t="str">
        <x:f>IF(N320&lt;0,"缺货",IF(N320&lt;O320,"预警","正常"))</x:f>
        <x:v>正常</x:v>
      </x:c>
      <x:c r="Q320" s="19" t="str">
        <x:v>粉皮0707-04</x:v>
      </x:c>
    </x:row>
    <x:row r="321">
      <x:c r="A321" s="19" t="str">
        <x:v>2026-07-08|S04|粉皮</x:v>
      </x:c>
      <x:c r="B321" s="34" t="n">
        <x:v>46211.5</x:v>
      </x:c>
      <x:c r="C321" s="19" t="str">
        <x:v>S04</x:v>
      </x:c>
      <x:c r="D321" s="19" t="str">
        <x:v>金街美地店</x:v>
      </x:c>
      <x:c r="E321" s="19" t="str">
        <x:v>粉皮</x:v>
      </x:c>
      <x:c r="F321" s="32" t="n">
        <x:v>11.068048080969554</x:v>
      </x:c>
      <x:c r="G321" s="32" t="n">
        <x:v>6.352032155110974</x:v>
      </x:c>
      <x:c r="H321" s="24" t="n">
        <x:f>'菜品日销量'!G448*150/1000</x:f>
        <x:v>5.85</x:v>
      </x:c>
      <x:c r="I321" s="36" t="n">
        <x:v>0.022279717161385278</x:v>
      </x:c>
      <x:c r="J321" s="24" t="n">
        <x:f>H321*I321</x:f>
        <x:v>0.13033634539410385</x:v>
      </x:c>
      <x:c r="K321" s="32" t="n">
        <x:v>0</x:v>
      </x:c>
      <x:c r="L321" s="32" t="n">
        <x:v>0</x:v>
      </x:c>
      <x:c r="M321" s="32" t="n">
        <x:v>0</x:v>
      </x:c>
      <x:c r="N321" s="24" t="n">
        <x:f>F321+G321+K321-L321+M321-H321-J321</x:f>
        <x:v>11.439743890686426</x:v>
      </x:c>
      <x:c r="O321" s="24" t="n">
        <x:f>H321*'封面与口径'!$O$24</x:f>
        <x:v>7.02</x:v>
      </x:c>
      <x:c r="P321" s="19" t="str">
        <x:f>IF(N321&lt;0,"缺货",IF(N321&lt;O321,"预警","正常"))</x:f>
        <x:v>正常</x:v>
      </x:c>
      <x:c r="Q321" s="19" t="str">
        <x:v>粉皮0708-04</x:v>
      </x:c>
    </x:row>
    <x:row r="322">
      <x:c r="A322" s="19" t="str">
        <x:v>2026-07-09|S04|粉皮</x:v>
      </x:c>
      <x:c r="B322" s="34" t="n">
        <x:v>46212.5</x:v>
      </x:c>
      <x:c r="C322" s="19" t="str">
        <x:v>S04</x:v>
      </x:c>
      <x:c r="D322" s="19" t="str">
        <x:v>金街美地店</x:v>
      </x:c>
      <x:c r="E322" s="19" t="str">
        <x:v>粉皮</x:v>
      </x:c>
      <x:c r="F322" s="32" t="n">
        <x:v>11.439743890686426</x:v>
      </x:c>
      <x:c r="G322" s="32" t="n">
        <x:v>6.997524056828004</x:v>
      </x:c>
      <x:c r="H322" s="24" t="n">
        <x:f>'菜品日销量'!G468*150/1000</x:f>
        <x:v>5.85</x:v>
      </x:c>
      <x:c r="I322" s="36" t="n">
        <x:v>0.019473925278166757</x:v>
      </x:c>
      <x:c r="J322" s="24" t="n">
        <x:f>H322*I322</x:f>
        <x:v>0.11392246287727552</x:v>
      </x:c>
      <x:c r="K322" s="32" t="n">
        <x:v>0</x:v>
      </x:c>
      <x:c r="L322" s="32" t="n">
        <x:v>0</x:v>
      </x:c>
      <x:c r="M322" s="32" t="n">
        <x:v>0</x:v>
      </x:c>
      <x:c r="N322" s="24" t="n">
        <x:f>F322+G322+K322-L322+M322-H322-J322</x:f>
        <x:v>12.473345484637154</x:v>
      </x:c>
      <x:c r="O322" s="24" t="n">
        <x:f>H322*'封面与口径'!$O$24</x:f>
        <x:v>7.02</x:v>
      </x:c>
      <x:c r="P322" s="19" t="str">
        <x:f>IF(N322&lt;0,"缺货",IF(N322&lt;O322,"预警","正常"))</x:f>
        <x:v>正常</x:v>
      </x:c>
      <x:c r="Q322" s="19" t="str">
        <x:v>粉皮0709-04</x:v>
      </x:c>
    </x:row>
    <x:row r="323">
      <x:c r="A323" s="19" t="str">
        <x:v>2026-07-10|S04|粉皮</x:v>
      </x:c>
      <x:c r="B323" s="34" t="n">
        <x:v>46213.5</x:v>
      </x:c>
      <x:c r="C323" s="19" t="str">
        <x:v>S04</x:v>
      </x:c>
      <x:c r="D323" s="19" t="str">
        <x:v>金街美地店</x:v>
      </x:c>
      <x:c r="E323" s="19" t="str">
        <x:v>粉皮</x:v>
      </x:c>
      <x:c r="F323" s="32" t="n">
        <x:v>12.473345484637154</x:v>
      </x:c>
      <x:c r="G323" s="32" t="n">
        <x:v>5.989646598332945</x:v>
      </x:c>
      <x:c r="H323" s="24" t="n">
        <x:f>'菜品日销量'!G488*150/1000</x:f>
        <x:v>5.4</x:v>
      </x:c>
      <x:c r="I323" s="36" t="n">
        <x:v>0.022596967417652943</x:v>
      </x:c>
      <x:c r="J323" s="24" t="n">
        <x:f>H323*I323</x:f>
        <x:v>0.1220236240553259</x:v>
      </x:c>
      <x:c r="K323" s="32" t="n">
        <x:v>0</x:v>
      </x:c>
      <x:c r="L323" s="32" t="n">
        <x:v>0</x:v>
      </x:c>
      <x:c r="M323" s="32" t="n">
        <x:v>0</x:v>
      </x:c>
      <x:c r="N323" s="24" t="n">
        <x:f>F323+G323+K323-L323+M323-H323-J323</x:f>
        <x:v>12.940968458914774</x:v>
      </x:c>
      <x:c r="O323" s="24" t="n">
        <x:f>H323*'封面与口径'!$O$24</x:f>
        <x:v>6.48</x:v>
      </x:c>
      <x:c r="P323" s="19" t="str">
        <x:f>IF(N323&lt;0,"缺货",IF(N323&lt;O323,"预警","正常"))</x:f>
        <x:v>正常</x:v>
      </x:c>
      <x:c r="Q323" s="19" t="str">
        <x:v>粉皮0710-04</x:v>
      </x:c>
    </x:row>
    <x:row r="324">
      <x:c r="A324" s="19" t="str">
        <x:v>2026-07-11|S04|粉皮</x:v>
      </x:c>
      <x:c r="B324" s="34" t="n">
        <x:v>46214.5</x:v>
      </x:c>
      <x:c r="C324" s="19" t="str">
        <x:v>S04</x:v>
      </x:c>
      <x:c r="D324" s="19" t="str">
        <x:v>金街美地店</x:v>
      </x:c>
      <x:c r="E324" s="19" t="str">
        <x:v>粉皮</x:v>
      </x:c>
      <x:c r="F324" s="32" t="n">
        <x:v>12.940968458914774</x:v>
      </x:c>
      <x:c r="G324" s="32" t="n">
        <x:v>4.861352569107281</x:v>
      </x:c>
      <x:c r="H324" s="24" t="n">
        <x:f>'菜品日销量'!G508*150/1000</x:f>
        <x:v>4.5</x:v>
      </x:c>
      <x:c r="I324" s="36" t="n">
        <x:v>0.03814850506329641</x:v>
      </x:c>
      <x:c r="J324" s="24" t="n">
        <x:f>H324*I324</x:f>
        <x:v>0.17166827278483385</x:v>
      </x:c>
      <x:c r="K324" s="32" t="n">
        <x:v>0</x:v>
      </x:c>
      <x:c r="L324" s="32" t="n">
        <x:v>0</x:v>
      </x:c>
      <x:c r="M324" s="32" t="n">
        <x:v>0</x:v>
      </x:c>
      <x:c r="N324" s="24" t="n">
        <x:f>F324+G324+K324-L324+M324-H324-J324</x:f>
        <x:v>13.130652755237223</x:v>
      </x:c>
      <x:c r="O324" s="24" t="n">
        <x:f>H324*'封面与口径'!$O$24</x:f>
        <x:v>5.3999999999999995</x:v>
      </x:c>
      <x:c r="P324" s="19" t="str">
        <x:f>IF(N324&lt;0,"缺货",IF(N324&lt;O324,"预警","正常"))</x:f>
        <x:v>正常</x:v>
      </x:c>
      <x:c r="Q324" s="19" t="str">
        <x:v>粉皮0711-04</x:v>
      </x:c>
    </x:row>
    <x:row r="325">
      <x:c r="A325" s="19" t="str">
        <x:v>2026-07-12|S04|粉皮</x:v>
      </x:c>
      <x:c r="B325" s="34" t="n">
        <x:v>46215.5</x:v>
      </x:c>
      <x:c r="C325" s="19" t="str">
        <x:v>S04</x:v>
      </x:c>
      <x:c r="D325" s="19" t="str">
        <x:v>金街美地店</x:v>
      </x:c>
      <x:c r="E325" s="19" t="str">
        <x:v>粉皮</x:v>
      </x:c>
      <x:c r="F325" s="32" t="n">
        <x:v>13.130652755237223</x:v>
      </x:c>
      <x:c r="G325" s="32" t="n">
        <x:v>4.799830034818462</x:v>
      </x:c>
      <x:c r="H325" s="24" t="n">
        <x:f>'菜品日销量'!G528*150/1000</x:f>
        <x:v>4.2</x:v>
      </x:c>
      <x:c r="I325" s="36" t="n">
        <x:v>0.026973916055162882</x:v>
      </x:c>
      <x:c r="J325" s="24" t="n">
        <x:f>H325*I325</x:f>
        <x:v>0.11329044743168411</x:v>
      </x:c>
      <x:c r="K325" s="32" t="n">
        <x:v>0</x:v>
      </x:c>
      <x:c r="L325" s="32" t="n">
        <x:v>0</x:v>
      </x:c>
      <x:c r="M325" s="32" t="n">
        <x:v>0</x:v>
      </x:c>
      <x:c r="N325" s="24" t="n">
        <x:f>F325+G325+K325-L325+M325-H325-J325</x:f>
        <x:v>13.617192342624001</x:v>
      </x:c>
      <x:c r="O325" s="24" t="n">
        <x:f>H325*'封面与口径'!$O$24</x:f>
        <x:v>5.04</x:v>
      </x:c>
      <x:c r="P325" s="19" t="str">
        <x:f>IF(N325&lt;0,"缺货",IF(N325&lt;O325,"预警","正常"))</x:f>
        <x:v>正常</x:v>
      </x:c>
      <x:c r="Q325" s="19" t="str">
        <x:v>粉皮0712-04</x:v>
      </x:c>
    </x:row>
    <x:row r="326">
      <x:c r="A326" s="19" t="str">
        <x:v>2026-07-13|S04|粉皮</x:v>
      </x:c>
      <x:c r="B326" s="34" t="n">
        <x:v>46216.5</x:v>
      </x:c>
      <x:c r="C326" s="19" t="str">
        <x:v>S04</x:v>
      </x:c>
      <x:c r="D326" s="19" t="str">
        <x:v>金街美地店</x:v>
      </x:c>
      <x:c r="E326" s="19" t="str">
        <x:v>粉皮</x:v>
      </x:c>
      <x:c r="F326" s="32" t="n">
        <x:v>13.617192342624</x:v>
      </x:c>
      <x:c r="G326" s="32" t="n">
        <x:v>7.495812528474678</x:v>
      </x:c>
      <x:c r="H326" s="24" t="n">
        <x:f>'菜品日销量'!G548*150/1000</x:f>
        <x:v>6.75</x:v>
      </x:c>
      <x:c r="I326" s="36" t="n">
        <x:v>0.031961749233762216</x:v>
      </x:c>
      <x:c r="J326" s="24" t="n">
        <x:f>H326*I326</x:f>
        <x:v>0.21574180732789494</x:v>
      </x:c>
      <x:c r="K326" s="32" t="n">
        <x:v>0</x:v>
      </x:c>
      <x:c r="L326" s="32" t="n">
        <x:v>0</x:v>
      </x:c>
      <x:c r="M326" s="32" t="n">
        <x:v>0</x:v>
      </x:c>
      <x:c r="N326" s="24" t="n">
        <x:f>F326+G326+K326-L326+M326-H326-J326</x:f>
        <x:v>14.147263063770783</x:v>
      </x:c>
      <x:c r="O326" s="24" t="n">
        <x:f>H326*'封面与口径'!$O$24</x:f>
        <x:v>8.1</x:v>
      </x:c>
      <x:c r="P326" s="19" t="str">
        <x:f>IF(N326&lt;0,"缺货",IF(N326&lt;O326,"预警","正常"))</x:f>
        <x:v>正常</x:v>
      </x:c>
      <x:c r="Q326" s="19" t="str">
        <x:v>粉皮0713-04</x:v>
      </x:c>
    </x:row>
    <x:row r="327">
      <x:c r="A327" s="19" t="str">
        <x:v>2026-07-07|S04|鸡杂</x:v>
      </x:c>
      <x:c r="B327" s="34" t="n">
        <x:v>46210.5</x:v>
      </x:c>
      <x:c r="C327" s="19" t="str">
        <x:v>S04</x:v>
      </x:c>
      <x:c r="D327" s="19" t="str">
        <x:v>金街美地店</x:v>
      </x:c>
      <x:c r="E327" s="19" t="str">
        <x:v>鸡杂</x:v>
      </x:c>
      <x:c r="F327" s="32" t="n">
        <x:v>6.75</x:v>
      </x:c>
      <x:c r="G327" s="32" t="n">
        <x:v>4.2527036159422025</x:v>
      </x:c>
      <x:c r="H327" s="24" t="n">
        <x:f>'菜品日销量'!G438*250/1000+'菜品日销量'!G443*250/1000</x:f>
        <x:v>3.75</x:v>
      </x:c>
      <x:c r="I327" s="36" t="n">
        <x:v>0.019898539163381454</x:v>
      </x:c>
      <x:c r="J327" s="24" t="n">
        <x:f>H327*I327</x:f>
        <x:v>0.07461952186268045</x:v>
      </x:c>
      <x:c r="K327" s="32" t="n">
        <x:v>0</x:v>
      </x:c>
      <x:c r="L327" s="32" t="n">
        <x:v>0</x:v>
      </x:c>
      <x:c r="M327" s="32" t="n">
        <x:v>0</x:v>
      </x:c>
      <x:c r="N327" s="24" t="n">
        <x:f>F327+G327+K327-L327+M327-H327-J327</x:f>
        <x:v>7.178084094079522</x:v>
      </x:c>
      <x:c r="O327" s="24" t="n">
        <x:f>H327*'封面与口径'!$O$24</x:f>
        <x:v>4.5</x:v>
      </x:c>
      <x:c r="P327" s="19" t="str">
        <x:f>IF(N327&lt;0,"缺货",IF(N327&lt;O327,"预警","正常"))</x:f>
        <x:v>正常</x:v>
      </x:c>
      <x:c r="Q327" s="19" t="str">
        <x:v>鸡杂0707-04</x:v>
      </x:c>
    </x:row>
    <x:row r="328">
      <x:c r="A328" s="19" t="str">
        <x:v>2026-07-08|S04|鸡杂</x:v>
      </x:c>
      <x:c r="B328" s="34" t="n">
        <x:v>46211.5</x:v>
      </x:c>
      <x:c r="C328" s="19" t="str">
        <x:v>S04</x:v>
      </x:c>
      <x:c r="D328" s="19" t="str">
        <x:v>金街美地店</x:v>
      </x:c>
      <x:c r="E328" s="19" t="str">
        <x:v>鸡杂</x:v>
      </x:c>
      <x:c r="F328" s="32" t="n">
        <x:v>7.178084094079522</x:v>
      </x:c>
      <x:c r="G328" s="32" t="n">
        <x:v>3.8296620412030404</x:v>
      </x:c>
      <x:c r="H328" s="24" t="n">
        <x:f>'菜品日销量'!G458*250/1000+'菜品日销量'!G463*250/1000</x:f>
        <x:v>3.25</x:v>
      </x:c>
      <x:c r="I328" s="36" t="n">
        <x:v>0.021978887978936285</x:v>
      </x:c>
      <x:c r="J328" s="24" t="n">
        <x:f>H328*I328</x:f>
        <x:v>0.07143138593154293</x:v>
      </x:c>
      <x:c r="K328" s="32" t="n">
        <x:v>0</x:v>
      </x:c>
      <x:c r="L328" s="32" t="n">
        <x:v>0</x:v>
      </x:c>
      <x:c r="M328" s="32" t="n">
        <x:v>0</x:v>
      </x:c>
      <x:c r="N328" s="24" t="n">
        <x:f>F328+G328+K328-L328+M328-H328-J328</x:f>
        <x:v>7.68631474935102</x:v>
      </x:c>
      <x:c r="O328" s="24" t="n">
        <x:f>H328*'封面与口径'!$O$24</x:f>
        <x:v>3.9</x:v>
      </x:c>
      <x:c r="P328" s="19" t="str">
        <x:f>IF(N328&lt;0,"缺货",IF(N328&lt;O328,"预警","正常"))</x:f>
        <x:v>正常</x:v>
      </x:c>
      <x:c r="Q328" s="19" t="str">
        <x:v>鸡杂0708-04</x:v>
      </x:c>
    </x:row>
    <x:row r="329">
      <x:c r="A329" s="19" t="str">
        <x:v>2026-07-09|S04|鸡杂</x:v>
      </x:c>
      <x:c r="B329" s="34" t="n">
        <x:v>46212.5</x:v>
      </x:c>
      <x:c r="C329" s="19" t="str">
        <x:v>S04</x:v>
      </x:c>
      <x:c r="D329" s="19" t="str">
        <x:v>金街美地店</x:v>
      </x:c>
      <x:c r="E329" s="19" t="str">
        <x:v>鸡杂</x:v>
      </x:c>
      <x:c r="F329" s="32" t="n">
        <x:v>7.68631474935102</x:v>
      </x:c>
      <x:c r="G329" s="32" t="n">
        <x:v>3.7858206794005405</x:v>
      </x:c>
      <x:c r="H329" s="24" t="n">
        <x:f>'菜品日销量'!G478*250/1000+'菜品日销量'!G483*250/1000</x:f>
        <x:v>3.5</x:v>
      </x:c>
      <x:c r="I329" s="36" t="n">
        <x:v>0.027792877495007792</x:v>
      </x:c>
      <x:c r="J329" s="24" t="n">
        <x:f>H329*I329</x:f>
        <x:v>0.09727507123252727</x:v>
      </x:c>
      <x:c r="K329" s="32" t="n">
        <x:v>0</x:v>
      </x:c>
      <x:c r="L329" s="32" t="n">
        <x:v>0</x:v>
      </x:c>
      <x:c r="M329" s="32" t="n">
        <x:v>0</x:v>
      </x:c>
      <x:c r="N329" s="24" t="n">
        <x:f>F329+G329+K329-L329+M329-H329-J329</x:f>
        <x:v>7.874860357519033</x:v>
      </x:c>
      <x:c r="O329" s="24" t="n">
        <x:f>H329*'封面与口径'!$O$24</x:f>
        <x:v>4.2</x:v>
      </x:c>
      <x:c r="P329" s="19" t="str">
        <x:f>IF(N329&lt;0,"缺货",IF(N329&lt;O329,"预警","正常"))</x:f>
        <x:v>正常</x:v>
      </x:c>
      <x:c r="Q329" s="19" t="str">
        <x:v>鸡杂0709-04</x:v>
      </x:c>
    </x:row>
    <x:row r="330">
      <x:c r="A330" s="19" t="str">
        <x:v>2026-07-10|S04|鸡杂</x:v>
      </x:c>
      <x:c r="B330" s="34" t="n">
        <x:v>46213.5</x:v>
      </x:c>
      <x:c r="C330" s="19" t="str">
        <x:v>S04</x:v>
      </x:c>
      <x:c r="D330" s="19" t="str">
        <x:v>金街美地店</x:v>
      </x:c>
      <x:c r="E330" s="19" t="str">
        <x:v>鸡杂</x:v>
      </x:c>
      <x:c r="F330" s="32" t="n">
        <x:v>7.874860357519033</x:v>
      </x:c>
      <x:c r="G330" s="32" t="n">
        <x:v>4.385394952675653</x:v>
      </x:c>
      <x:c r="H330" s="24" t="n">
        <x:f>'菜品日销量'!G498*250/1000+'菜品日销量'!G503*250/1000</x:f>
        <x:v>3.75</x:v>
      </x:c>
      <x:c r="I330" s="36" t="n">
        <x:v>0.018257341986349165</x:v>
      </x:c>
      <x:c r="J330" s="24" t="n">
        <x:f>H330*I330</x:f>
        <x:v>0.06846503244880937</x:v>
      </x:c>
      <x:c r="K330" s="32" t="n">
        <x:v>0</x:v>
      </x:c>
      <x:c r="L330" s="32" t="n">
        <x:v>0</x:v>
      </x:c>
      <x:c r="M330" s="32" t="n">
        <x:v>0</x:v>
      </x:c>
      <x:c r="N330" s="24" t="n">
        <x:f>F330+G330+K330-L330+M330-H330-J330</x:f>
        <x:v>8.441790277745877</x:v>
      </x:c>
      <x:c r="O330" s="24" t="n">
        <x:f>H330*'封面与口径'!$O$24</x:f>
        <x:v>4.5</x:v>
      </x:c>
      <x:c r="P330" s="19" t="str">
        <x:f>IF(N330&lt;0,"缺货",IF(N330&lt;O330,"预警","正常"))</x:f>
        <x:v>正常</x:v>
      </x:c>
      <x:c r="Q330" s="19" t="str">
        <x:v>鸡杂0710-04</x:v>
      </x:c>
    </x:row>
    <x:row r="331">
      <x:c r="A331" s="19" t="str">
        <x:v>2026-07-11|S04|鸡杂</x:v>
      </x:c>
      <x:c r="B331" s="34" t="n">
        <x:v>46214.5</x:v>
      </x:c>
      <x:c r="C331" s="19" t="str">
        <x:v>S04</x:v>
      </x:c>
      <x:c r="D331" s="19" t="str">
        <x:v>金街美地店</x:v>
      </x:c>
      <x:c r="E331" s="19" t="str">
        <x:v>鸡杂</x:v>
      </x:c>
      <x:c r="F331" s="32" t="n">
        <x:v>8.441790277745877</x:v>
      </x:c>
      <x:c r="G331" s="32" t="n">
        <x:v>3.0426070130412954</x:v>
      </x:c>
      <x:c r="H331" s="24" t="n">
        <x:f>'菜品日销量'!G518*250/1000+'菜品日销量'!G523*250/1000</x:f>
        <x:v>2.75</x:v>
      </x:c>
      <x:c r="I331" s="36" t="n">
        <x:v>0.023185103880983104</x:v>
      </x:c>
      <x:c r="J331" s="24" t="n">
        <x:f>H331*I331</x:f>
        <x:v>0.06375903567270354</x:v>
      </x:c>
      <x:c r="K331" s="32" t="n">
        <x:v>0</x:v>
      </x:c>
      <x:c r="L331" s="32" t="n">
        <x:v>0</x:v>
      </x:c>
      <x:c r="M331" s="32" t="n">
        <x:v>0</x:v>
      </x:c>
      <x:c r="N331" s="24" t="n">
        <x:f>F331+G331+K331-L331+M331-H331-J331</x:f>
        <x:v>8.670638255114469</x:v>
      </x:c>
      <x:c r="O331" s="24" t="n">
        <x:f>H331*'封面与口径'!$O$24</x:f>
        <x:v>3.3</x:v>
      </x:c>
      <x:c r="P331" s="19" t="str">
        <x:f>IF(N331&lt;0,"缺货",IF(N331&lt;O331,"预警","正常"))</x:f>
        <x:v>正常</x:v>
      </x:c>
      <x:c r="Q331" s="19" t="str">
        <x:v>鸡杂0711-04</x:v>
      </x:c>
    </x:row>
    <x:row r="332">
      <x:c r="A332" s="19" t="str">
        <x:v>2026-07-12|S04|鸡杂</x:v>
      </x:c>
      <x:c r="B332" s="34" t="n">
        <x:v>46215.5</x:v>
      </x:c>
      <x:c r="C332" s="19" t="str">
        <x:v>S04</x:v>
      </x:c>
      <x:c r="D332" s="19" t="str">
        <x:v>金街美地店</x:v>
      </x:c>
      <x:c r="E332" s="19" t="str">
        <x:v>鸡杂</x:v>
      </x:c>
      <x:c r="F332" s="32" t="n">
        <x:v>8.670638255114469</x:v>
      </x:c>
      <x:c r="G332" s="32" t="n">
        <x:v>2.9368572726698727</x:v>
      </x:c>
      <x:c r="H332" s="24" t="n">
        <x:f>'菜品日销量'!G538*250/1000+'菜品日销量'!G543*250/1000</x:f>
        <x:v>2.5</x:v>
      </x:c>
      <x:c r="I332" s="36" t="n">
        <x:v>0.031109747664562835</x:v>
      </x:c>
      <x:c r="J332" s="24" t="n">
        <x:f>H332*I332</x:f>
        <x:v>0.07777436916140709</x:v>
      </x:c>
      <x:c r="K332" s="32" t="n">
        <x:v>0</x:v>
      </x:c>
      <x:c r="L332" s="32" t="n">
        <x:v>0</x:v>
      </x:c>
      <x:c r="M332" s="32" t="n">
        <x:v>0</x:v>
      </x:c>
      <x:c r="N332" s="24" t="n">
        <x:f>F332+G332+K332-L332+M332-H332-J332</x:f>
        <x:v>9.029721158622934</x:v>
      </x:c>
      <x:c r="O332" s="24" t="n">
        <x:f>H332*'封面与口径'!$O$24</x:f>
        <x:v>3</x:v>
      </x:c>
      <x:c r="P332" s="19" t="str">
        <x:f>IF(N332&lt;0,"缺货",IF(N332&lt;O332,"预警","正常"))</x:f>
        <x:v>正常</x:v>
      </x:c>
      <x:c r="Q332" s="19" t="str">
        <x:v>鸡杂0712-04</x:v>
      </x:c>
    </x:row>
    <x:row r="333">
      <x:c r="A333" s="19" t="str">
        <x:v>2026-07-13|S04|鸡杂</x:v>
      </x:c>
      <x:c r="B333" s="34" t="n">
        <x:v>46216.5</x:v>
      </x:c>
      <x:c r="C333" s="19" t="str">
        <x:v>S04</x:v>
      </x:c>
      <x:c r="D333" s="19" t="str">
        <x:v>金街美地店</x:v>
      </x:c>
      <x:c r="E333" s="19" t="str">
        <x:v>鸡杂</x:v>
      </x:c>
      <x:c r="F333" s="32" t="n">
        <x:v>9.029721158622934</x:v>
      </x:c>
      <x:c r="G333" s="32" t="n">
        <x:v>4.446223144486133</x:v>
      </x:c>
      <x:c r="H333" s="24" t="n">
        <x:f>'菜品日销量'!G558*250/1000+'菜品日销量'!G563*250/1000</x:f>
        <x:v>4</x:v>
      </x:c>
      <x:c r="I333" s="36" t="n">
        <x:v>0.03259388459441109</x:v>
      </x:c>
      <x:c r="J333" s="24" t="n">
        <x:f>H333*I333</x:f>
        <x:v>0.13037553837764437</x:v>
      </x:c>
      <x:c r="K333" s="32" t="n">
        <x:v>0</x:v>
      </x:c>
      <x:c r="L333" s="32" t="n">
        <x:v>0</x:v>
      </x:c>
      <x:c r="M333" s="32" t="n">
        <x:v>0</x:v>
      </x:c>
      <x:c r="N333" s="24" t="n">
        <x:f>F333+G333+K333-L333+M333-H333-J333</x:f>
        <x:v>9.345568764731423</x:v>
      </x:c>
      <x:c r="O333" s="24" t="n">
        <x:f>H333*'封面与口径'!$O$24</x:f>
        <x:v>4.8</x:v>
      </x:c>
      <x:c r="P333" s="19" t="str">
        <x:f>IF(N333&lt;0,"缺货",IF(N333&lt;O333,"预警","正常"))</x:f>
        <x:v>正常</x:v>
      </x:c>
      <x:c r="Q333" s="19" t="str">
        <x:v>鸡杂0713-04</x:v>
      </x:c>
    </x:row>
    <x:row r="334">
      <x:c r="A334" s="19" t="str">
        <x:v>2026-07-07|S04|豆腐</x:v>
      </x:c>
      <x:c r="B334" s="34" t="n">
        <x:v>46210.5</x:v>
      </x:c>
      <x:c r="C334" s="19" t="str">
        <x:v>S04</x:v>
      </x:c>
      <x:c r="D334" s="19" t="str">
        <x:v>金街美地店</x:v>
      </x:c>
      <x:c r="E334" s="19" t="str">
        <x:v>豆腐</x:v>
      </x:c>
      <x:c r="F334" s="32" t="n">
        <x:v>38.16</x:v>
      </x:c>
      <x:c r="G334" s="32" t="n">
        <x:v>23.97035435698609</x:v>
      </x:c>
      <x:c r="H334" s="24" t="n">
        <x:f>'菜品日销量'!G429*400/1000</x:f>
        <x:v>21.2</x:v>
      </x:c>
      <x:c r="I334" s="36" t="n">
        <x:v>0.024930197262421763</x:v>
      </x:c>
      <x:c r="J334" s="24" t="n">
        <x:f>H334*I334</x:f>
        <x:v>0.5285201819633414</x:v>
      </x:c>
      <x:c r="K334" s="32" t="n">
        <x:v>0</x:v>
      </x:c>
      <x:c r="L334" s="32" t="n">
        <x:v>0</x:v>
      </x:c>
      <x:c r="M334" s="32" t="n">
        <x:v>0</x:v>
      </x:c>
      <x:c r="N334" s="24" t="n">
        <x:f>F334+G334+K334-L334+M334-H334-J334</x:f>
        <x:v>40.40183417502274</x:v>
      </x:c>
      <x:c r="O334" s="24" t="n">
        <x:f>H334*'封面与口径'!$O$24</x:f>
        <x:v>25.439999999999998</x:v>
      </x:c>
      <x:c r="P334" s="19" t="str">
        <x:f>IF(N334&lt;0,"缺货",IF(N334&lt;O334,"预警","正常"))</x:f>
        <x:v>正常</x:v>
      </x:c>
      <x:c r="Q334" s="19" t="str">
        <x:v>豆腐0707-04</x:v>
      </x:c>
    </x:row>
    <x:row r="335">
      <x:c r="A335" s="19" t="str">
        <x:v>2026-07-08|S04|豆腐</x:v>
      </x:c>
      <x:c r="B335" s="34" t="n">
        <x:v>46211.5</x:v>
      </x:c>
      <x:c r="C335" s="19" t="str">
        <x:v>S04</x:v>
      </x:c>
      <x:c r="D335" s="19" t="str">
        <x:v>金街美地店</x:v>
      </x:c>
      <x:c r="E335" s="19" t="str">
        <x:v>豆腐</x:v>
      </x:c>
      <x:c r="F335" s="32" t="n">
        <x:v>40.40183417502274</x:v>
      </x:c>
      <x:c r="G335" s="32" t="n">
        <x:v>21.090513019584705</x:v>
      </x:c>
      <x:c r="H335" s="24" t="n">
        <x:f>'菜品日销量'!G449*400/1000</x:f>
        <x:v>19.2</x:v>
      </x:c>
      <x:c r="I335" s="36" t="n">
        <x:v>0.030219712714948624</x:v>
      </x:c>
      <x:c r="J335" s="24" t="n">
        <x:f>H335*I335</x:f>
        <x:v>0.5802184841270136</x:v>
      </x:c>
      <x:c r="K335" s="32" t="n">
        <x:v>0</x:v>
      </x:c>
      <x:c r="L335" s="32" t="n">
        <x:v>0</x:v>
      </x:c>
      <x:c r="M335" s="32" t="n">
        <x:v>0</x:v>
      </x:c>
      <x:c r="N335" s="24" t="n">
        <x:f>F335+G335+K335-L335+M335-H335-J335</x:f>
        <x:v>41.71212871048043</x:v>
      </x:c>
      <x:c r="O335" s="24" t="n">
        <x:f>H335*'封面与口径'!$O$24</x:f>
        <x:v>23.04</x:v>
      </x:c>
      <x:c r="P335" s="19" t="str">
        <x:f>IF(N335&lt;0,"缺货",IF(N335&lt;O335,"预警","正常"))</x:f>
        <x:v>正常</x:v>
      </x:c>
      <x:c r="Q335" s="19" t="str">
        <x:v>豆腐0708-04</x:v>
      </x:c>
    </x:row>
    <x:row r="336">
      <x:c r="A336" s="19" t="str">
        <x:v>2026-07-09|S04|豆腐</x:v>
      </x:c>
      <x:c r="B336" s="34" t="n">
        <x:v>46212.5</x:v>
      </x:c>
      <x:c r="C336" s="19" t="str">
        <x:v>S04</x:v>
      </x:c>
      <x:c r="D336" s="19" t="str">
        <x:v>金街美地店</x:v>
      </x:c>
      <x:c r="E336" s="19" t="str">
        <x:v>豆腐</x:v>
      </x:c>
      <x:c r="F336" s="32" t="n">
        <x:v>41.712128710480435</x:v>
      </x:c>
      <x:c r="G336" s="32" t="n">
        <x:v>23.830892805156974</x:v>
      </x:c>
      <x:c r="H336" s="24" t="n">
        <x:f>'菜品日销量'!G469*400/1000</x:f>
        <x:v>20</x:v>
      </x:c>
      <x:c r="I336" s="36" t="n">
        <x:v>0.03804943074659664</x:v>
      </x:c>
      <x:c r="J336" s="24" t="n">
        <x:f>H336*I336</x:f>
        <x:v>0.7609886149319328</x:v>
      </x:c>
      <x:c r="K336" s="32" t="n">
        <x:v>0</x:v>
      </x:c>
      <x:c r="L336" s="32" t="n">
        <x:v>0</x:v>
      </x:c>
      <x:c r="M336" s="32" t="n">
        <x:v>0</x:v>
      </x:c>
      <x:c r="N336" s="24" t="n">
        <x:f>F336+G336+K336-L336+M336-H336-J336</x:f>
        <x:v>44.782032900705474</x:v>
      </x:c>
      <x:c r="O336" s="24" t="n">
        <x:f>H336*'封面与口径'!$O$24</x:f>
        <x:v>24</x:v>
      </x:c>
      <x:c r="P336" s="19" t="str">
        <x:f>IF(N336&lt;0,"缺货",IF(N336&lt;O336,"预警","正常"))</x:f>
        <x:v>正常</x:v>
      </x:c>
      <x:c r="Q336" s="19" t="str">
        <x:v>豆腐0709-04</x:v>
      </x:c>
    </x:row>
    <x:row r="337">
      <x:c r="A337" s="19" t="str">
        <x:v>2026-07-10|S04|豆腐</x:v>
      </x:c>
      <x:c r="B337" s="34" t="n">
        <x:v>46213.5</x:v>
      </x:c>
      <x:c r="C337" s="19" t="str">
        <x:v>S04</x:v>
      </x:c>
      <x:c r="D337" s="19" t="str">
        <x:v>金街美地店</x:v>
      </x:c>
      <x:c r="E337" s="19" t="str">
        <x:v>豆腐</x:v>
      </x:c>
      <x:c r="F337" s="32" t="n">
        <x:v>44.782032900705474</x:v>
      </x:c>
      <x:c r="G337" s="32" t="n">
        <x:v>25.250238187283802</x:v>
      </x:c>
      <x:c r="H337" s="24" t="n">
        <x:f>'菜品日销量'!G489*400/1000</x:f>
        <x:v>21.6</x:v>
      </x:c>
      <x:c r="I337" s="36" t="n">
        <x:v>0.023116555466110945</x:v>
      </x:c>
      <x:c r="J337" s="24" t="n">
        <x:f>H337*I337</x:f>
        <x:v>0.49931759806799647</x:v>
      </x:c>
      <x:c r="K337" s="32" t="n">
        <x:v>0</x:v>
      </x:c>
      <x:c r="L337" s="32" t="n">
        <x:v>0</x:v>
      </x:c>
      <x:c r="M337" s="32" t="n">
        <x:v>0</x:v>
      </x:c>
      <x:c r="N337" s="24" t="n">
        <x:f>F337+G337+K337-L337+M337-H337-J337</x:f>
        <x:v>47.932953489921275</x:v>
      </x:c>
      <x:c r="O337" s="24" t="n">
        <x:f>H337*'封面与口径'!$O$24</x:f>
        <x:v>25.92</x:v>
      </x:c>
      <x:c r="P337" s="19" t="str">
        <x:f>IF(N337&lt;0,"缺货",IF(N337&lt;O337,"预警","正常"))</x:f>
        <x:v>正常</x:v>
      </x:c>
      <x:c r="Q337" s="19" t="str">
        <x:v>豆腐0710-04</x:v>
      </x:c>
    </x:row>
    <x:row r="338">
      <x:c r="A338" s="19" t="str">
        <x:v>2026-07-11|S04|豆腐</x:v>
      </x:c>
      <x:c r="B338" s="34" t="n">
        <x:v>46214.5</x:v>
      </x:c>
      <x:c r="C338" s="19" t="str">
        <x:v>S04</x:v>
      </x:c>
      <x:c r="D338" s="19" t="str">
        <x:v>金街美地店</x:v>
      </x:c>
      <x:c r="E338" s="19" t="str">
        <x:v>豆腐</x:v>
      </x:c>
      <x:c r="F338" s="32" t="n">
        <x:v>47.932953489921275</x:v>
      </x:c>
      <x:c r="G338" s="32" t="n">
        <x:v>19.209580279829346</x:v>
      </x:c>
      <x:c r="H338" s="24" t="n">
        <x:f>'菜品日销量'!G509*400/1000</x:f>
        <x:v>17.2</x:v>
      </x:c>
      <x:c r="I338" s="36" t="n">
        <x:v>0.03797927034622507</x:v>
      </x:c>
      <x:c r="J338" s="24" t="n">
        <x:f>H338*I338</x:f>
        <x:v>0.6532434499550712</x:v>
      </x:c>
      <x:c r="K338" s="32" t="n">
        <x:v>0</x:v>
      </x:c>
      <x:c r="L338" s="32" t="n">
        <x:v>0</x:v>
      </x:c>
      <x:c r="M338" s="32" t="n">
        <x:v>0</x:v>
      </x:c>
      <x:c r="N338" s="24" t="n">
        <x:f>F338+G338+K338-L338+M338-H338-J338</x:f>
        <x:v>49.289290319795555</x:v>
      </x:c>
      <x:c r="O338" s="24" t="n">
        <x:f>H338*'封面与口径'!$O$24</x:f>
        <x:v>20.639999999999997</x:v>
      </x:c>
      <x:c r="P338" s="19" t="str">
        <x:f>IF(N338&lt;0,"缺货",IF(N338&lt;O338,"预警","正常"))</x:f>
        <x:v>正常</x:v>
      </x:c>
      <x:c r="Q338" s="19" t="str">
        <x:v>豆腐0711-04</x:v>
      </x:c>
    </x:row>
    <x:row r="339">
      <x:c r="A339" s="19" t="str">
        <x:v>2026-07-12|S04|豆腐</x:v>
      </x:c>
      <x:c r="B339" s="34" t="n">
        <x:v>46215.5</x:v>
      </x:c>
      <x:c r="C339" s="19" t="str">
        <x:v>S04</x:v>
      </x:c>
      <x:c r="D339" s="19" t="str">
        <x:v>金街美地店</x:v>
      </x:c>
      <x:c r="E339" s="19" t="str">
        <x:v>豆腐</x:v>
      </x:c>
      <x:c r="F339" s="32" t="n">
        <x:v>49.289290319795555</x:v>
      </x:c>
      <x:c r="G339" s="32" t="n">
        <x:v>18.713383529717426</x:v>
      </x:c>
      <x:c r="H339" s="24" t="n">
        <x:f>'菜品日销量'!G529*400/1000</x:f>
        <x:v>15.6</x:v>
      </x:c>
      <x:c r="I339" s="36" t="n">
        <x:v>0.017798538265702907</x:v>
      </x:c>
      <x:c r="J339" s="24" t="n">
        <x:f>H339*I339</x:f>
        <x:v>0.2776571969449653</x:v>
      </x:c>
      <x:c r="K339" s="32" t="n">
        <x:v>0</x:v>
      </x:c>
      <x:c r="L339" s="32" t="n">
        <x:v>0</x:v>
      </x:c>
      <x:c r="M339" s="32" t="n">
        <x:v>0</x:v>
      </x:c>
      <x:c r="N339" s="24" t="n">
        <x:f>F339+G339+K339-L339+M339-H339-J339</x:f>
        <x:v>52.12501665256801</x:v>
      </x:c>
      <x:c r="O339" s="24" t="n">
        <x:f>H339*'封面与口径'!$O$24</x:f>
        <x:v>18.72</x:v>
      </x:c>
      <x:c r="P339" s="19" t="str">
        <x:f>IF(N339&lt;0,"缺货",IF(N339&lt;O339,"预警","正常"))</x:f>
        <x:v>正常</x:v>
      </x:c>
      <x:c r="Q339" s="19" t="str">
        <x:v>豆腐0712-04</x:v>
      </x:c>
    </x:row>
    <x:row r="340">
      <x:c r="A340" s="19" t="str">
        <x:v>2026-07-13|S04|豆腐</x:v>
      </x:c>
      <x:c r="B340" s="34" t="n">
        <x:v>46216.5</x:v>
      </x:c>
      <x:c r="C340" s="19" t="str">
        <x:v>S04</x:v>
      </x:c>
      <x:c r="D340" s="19" t="str">
        <x:v>金街美地店</x:v>
      </x:c>
      <x:c r="E340" s="19" t="str">
        <x:v>豆腐</x:v>
      </x:c>
      <x:c r="F340" s="32" t="n">
        <x:v>52.12501665256801</x:v>
      </x:c>
      <x:c r="G340" s="32" t="n">
        <x:v>25.497769030353467</x:v>
      </x:c>
      <x:c r="H340" s="24" t="n">
        <x:f>'菜品日销量'!G549*400/1000</x:f>
        <x:v>23.2</x:v>
      </x:c>
      <x:c r="I340" s="36" t="n">
        <x:v>0.018329957335565694</x:v>
      </x:c>
      <x:c r="J340" s="24" t="n">
        <x:f>H340*I340</x:f>
        <x:v>0.42525501018512407</x:v>
      </x:c>
      <x:c r="K340" s="32" t="n">
        <x:v>0</x:v>
      </x:c>
      <x:c r="L340" s="32" t="n">
        <x:v>0</x:v>
      </x:c>
      <x:c r="M340" s="32" t="n">
        <x:v>0</x:v>
      </x:c>
      <x:c r="N340" s="24" t="n">
        <x:f>F340+G340+K340-L340+M340-H340-J340</x:f>
        <x:v>53.997530672736346</x:v>
      </x:c>
      <x:c r="O340" s="24" t="n">
        <x:f>H340*'封面与口径'!$O$24</x:f>
        <x:v>27.84</x:v>
      </x:c>
      <x:c r="P340" s="19" t="str">
        <x:f>IF(N340&lt;0,"缺货",IF(N340&lt;O340,"预警","正常"))</x:f>
        <x:v>正常</x:v>
      </x:c>
      <x:c r="Q340" s="19" t="str">
        <x:v>豆腐0713-04</x:v>
      </x:c>
    </x:row>
    <x:row r="341">
      <x:c r="A341" s="19" t="str">
        <x:v>2026-07-07|S05|瘦肉片</x:v>
      </x:c>
      <x:c r="B341" s="34" t="n">
        <x:v>46210.5</x:v>
      </x:c>
      <x:c r="C341" s="19" t="str">
        <x:v>S05</x:v>
      </x:c>
      <x:c r="D341" s="19" t="str">
        <x:v>同顺街店</x:v>
      </x:c>
      <x:c r="E341" s="19" t="str">
        <x:v>瘦肉片</x:v>
      </x:c>
      <x:c r="F341" s="32" t="n">
        <x:v>20.52</x:v>
      </x:c>
      <x:c r="G341" s="32" t="n">
        <x:v>13.656571101324767</x:v>
      </x:c>
      <x:c r="H341" s="24" t="n">
        <x:f>'菜品日销量'!G565*150/1000+'菜品日销量'!G573*50/1000+'菜品日销量'!G574*200/1000</x:f>
        <x:v>11.4</x:v>
      </x:c>
      <x:c r="I341" s="36" t="n">
        <x:v>0.020002734403825072</x:v>
      </x:c>
      <x:c r="J341" s="24" t="n">
        <x:f>H341*I341</x:f>
        <x:v>0.22803117220360583</x:v>
      </x:c>
      <x:c r="K341" s="32" t="n">
        <x:v>0</x:v>
      </x:c>
      <x:c r="L341" s="32" t="n">
        <x:v>0</x:v>
      </x:c>
      <x:c r="M341" s="32" t="n">
        <x:v>0</x:v>
      </x:c>
      <x:c r="N341" s="24" t="n">
        <x:f>F341+G341+K341-L341+M341-H341-J341</x:f>
        <x:v>22.548539929121162</x:v>
      </x:c>
      <x:c r="O341" s="24" t="n">
        <x:f>H341*'封面与口径'!$O$24</x:f>
        <x:v>13.68</x:v>
      </x:c>
      <x:c r="P341" s="19" t="str">
        <x:f>IF(N341&lt;0,"缺货",IF(N341&lt;O341,"预警","正常"))</x:f>
        <x:v>正常</x:v>
      </x:c>
      <x:c r="Q341" s="19" t="str">
        <x:v>瘦肉0707-05</x:v>
      </x:c>
    </x:row>
    <x:row r="342">
      <x:c r="A342" s="19" t="str">
        <x:v>2026-07-08|S05|瘦肉片</x:v>
      </x:c>
      <x:c r="B342" s="34" t="n">
        <x:v>46211.5</x:v>
      </x:c>
      <x:c r="C342" s="19" t="str">
        <x:v>S05</x:v>
      </x:c>
      <x:c r="D342" s="19" t="str">
        <x:v>同顺街店</x:v>
      </x:c>
      <x:c r="E342" s="19" t="str">
        <x:v>瘦肉片</x:v>
      </x:c>
      <x:c r="F342" s="32" t="n">
        <x:v>22.548539929121162</x:v>
      </x:c>
      <x:c r="G342" s="32" t="n">
        <x:v>13.642243795697635</x:v>
      </x:c>
      <x:c r="H342" s="24" t="n">
        <x:f>'菜品日销量'!G585*150/1000+'菜品日销量'!G593*50/1000+'菜品日销量'!G594*200/1000</x:f>
        <x:v>11.55</x:v>
      </x:c>
      <x:c r="I342" s="36" t="n">
        <x:v>0.0348988763952858</x:v>
      </x:c>
      <x:c r="J342" s="24" t="n">
        <x:f>H342*I342</x:f>
        <x:v>0.403082022365551</x:v>
      </x:c>
      <x:c r="K342" s="32" t="n">
        <x:v>0</x:v>
      </x:c>
      <x:c r="L342" s="32" t="n">
        <x:v>0</x:v>
      </x:c>
      <x:c r="M342" s="32" t="n">
        <x:v>0</x:v>
      </x:c>
      <x:c r="N342" s="24" t="n">
        <x:f>F342+G342+K342-L342+M342-H342-J342</x:f>
        <x:v>24.237701702453247</x:v>
      </x:c>
      <x:c r="O342" s="24" t="n">
        <x:f>H342*'封面与口径'!$O$24</x:f>
        <x:v>13.860000000000001</x:v>
      </x:c>
      <x:c r="P342" s="19" t="str">
        <x:f>IF(N342&lt;0,"缺货",IF(N342&lt;O342,"预警","正常"))</x:f>
        <x:v>正常</x:v>
      </x:c>
      <x:c r="Q342" s="19" t="str">
        <x:v>瘦肉0708-05</x:v>
      </x:c>
    </x:row>
    <x:row r="343">
      <x:c r="A343" s="19" t="str">
        <x:v>2026-07-09|S05|瘦肉片</x:v>
      </x:c>
      <x:c r="B343" s="34" t="n">
        <x:v>46212.5</x:v>
      </x:c>
      <x:c r="C343" s="19" t="str">
        <x:v>S05</x:v>
      </x:c>
      <x:c r="D343" s="19" t="str">
        <x:v>同顺街店</x:v>
      </x:c>
      <x:c r="E343" s="19" t="str">
        <x:v>瘦肉片</x:v>
      </x:c>
      <x:c r="F343" s="32" t="n">
        <x:v>24.23770170245325</x:v>
      </x:c>
      <x:c r="G343" s="32" t="n">
        <x:v>12.035989499785936</x:v>
      </x:c>
      <x:c r="H343" s="24" t="n">
        <x:f>'菜品日销量'!G605*150/1000+'菜品日销量'!G613*50/1000+'菜品日销量'!G614*200/1000</x:f>
        <x:v>11.05</x:v>
      </x:c>
      <x:c r="I343" s="36" t="n">
        <x:v>0.016161027187751843</x:v>
      </x:c>
      <x:c r="J343" s="24" t="n">
        <x:f>H343*I343</x:f>
        <x:v>0.1785793504246579</x:v>
      </x:c>
      <x:c r="K343" s="32" t="n">
        <x:v>0</x:v>
      </x:c>
      <x:c r="L343" s="32" t="n">
        <x:v>0</x:v>
      </x:c>
      <x:c r="M343" s="32" t="n">
        <x:v>0</x:v>
      </x:c>
      <x:c r="N343" s="24" t="n">
        <x:f>F343+G343+K343-L343+M343-H343-J343</x:f>
        <x:v>25.045111851814525</x:v>
      </x:c>
      <x:c r="O343" s="24" t="n">
        <x:f>H343*'封面与口径'!$O$24</x:f>
        <x:v>13.26</x:v>
      </x:c>
      <x:c r="P343" s="19" t="str">
        <x:f>IF(N343&lt;0,"缺货",IF(N343&lt;O343,"预警","正常"))</x:f>
        <x:v>正常</x:v>
      </x:c>
      <x:c r="Q343" s="19" t="str">
        <x:v>瘦肉0709-05</x:v>
      </x:c>
    </x:row>
    <x:row r="344">
      <x:c r="A344" s="19" t="str">
        <x:v>2026-07-10|S05|瘦肉片</x:v>
      </x:c>
      <x:c r="B344" s="34" t="n">
        <x:v>46213.5</x:v>
      </x:c>
      <x:c r="C344" s="19" t="str">
        <x:v>S05</x:v>
      </x:c>
      <x:c r="D344" s="19" t="str">
        <x:v>同顺街店</x:v>
      </x:c>
      <x:c r="E344" s="19" t="str">
        <x:v>瘦肉片</x:v>
      </x:c>
      <x:c r="F344" s="32" t="n">
        <x:v>25.045111851814525</x:v>
      </x:c>
      <x:c r="G344" s="32" t="n">
        <x:v>14.14809914160336</x:v>
      </x:c>
      <x:c r="H344" s="24" t="n">
        <x:f>'菜品日销量'!G625*150/1000+'菜品日销量'!G633*50/1000+'菜品日销量'!G634*200/1000</x:f>
        <x:v>11.95</x:v>
      </x:c>
      <x:c r="I344" s="36" t="n">
        <x:v>0.0360064581760686</x:v>
      </x:c>
      <x:c r="J344" s="24" t="n">
        <x:f>H344*I344</x:f>
        <x:v>0.43027717520401976</x:v>
      </x:c>
      <x:c r="K344" s="32" t="n">
        <x:v>0</x:v>
      </x:c>
      <x:c r="L344" s="32" t="n">
        <x:v>0</x:v>
      </x:c>
      <x:c r="M344" s="32" t="n">
        <x:v>0</x:v>
      </x:c>
      <x:c r="N344" s="24" t="n">
        <x:f>F344+G344+K344-L344+M344-H344-J344</x:f>
        <x:v>26.812933818213867</x:v>
      </x:c>
      <x:c r="O344" s="24" t="n">
        <x:f>H344*'封面与口径'!$O$24</x:f>
        <x:v>14.339999999999998</x:v>
      </x:c>
      <x:c r="P344" s="19" t="str">
        <x:f>IF(N344&lt;0,"缺货",IF(N344&lt;O344,"预警","正常"))</x:f>
        <x:v>正常</x:v>
      </x:c>
      <x:c r="Q344" s="19" t="str">
        <x:v>瘦肉0710-05</x:v>
      </x:c>
    </x:row>
    <x:row r="345">
      <x:c r="A345" s="19" t="str">
        <x:v>2026-07-11|S05|瘦肉片</x:v>
      </x:c>
      <x:c r="B345" s="34" t="n">
        <x:v>46214.5</x:v>
      </x:c>
      <x:c r="C345" s="19" t="str">
        <x:v>S05</x:v>
      </x:c>
      <x:c r="D345" s="19" t="str">
        <x:v>同顺街店</x:v>
      </x:c>
      <x:c r="E345" s="19" t="str">
        <x:v>瘦肉片</x:v>
      </x:c>
      <x:c r="F345" s="32" t="n">
        <x:v>26.812933818213864</x:v>
      </x:c>
      <x:c r="G345" s="32" t="n">
        <x:v>10.38495269369729</x:v>
      </x:c>
      <x:c r="H345" s="24" t="n">
        <x:f>'菜品日销量'!G645*150/1000+'菜品日销量'!G653*50/1000+'菜品日销量'!G654*200/1000</x:f>
        <x:v>8.8</x:v>
      </x:c>
      <x:c r="I345" s="36" t="n">
        <x:v>0.034770029279117015</x:v>
      </x:c>
      <x:c r="J345" s="24" t="n">
        <x:f>H345*I345</x:f>
        <x:v>0.30597625765622977</x:v>
      </x:c>
      <x:c r="K345" s="32" t="n">
        <x:v>0</x:v>
      </x:c>
      <x:c r="L345" s="32" t="n">
        <x:v>0</x:v>
      </x:c>
      <x:c r="M345" s="32" t="n">
        <x:v>0</x:v>
      </x:c>
      <x:c r="N345" s="24" t="n">
        <x:f>F345+G345+K345-L345+M345-H345-J345</x:f>
        <x:v>28.09191025425492</x:v>
      </x:c>
      <x:c r="O345" s="24" t="n">
        <x:f>H345*'封面与口径'!$O$24</x:f>
        <x:v>10.56</x:v>
      </x:c>
      <x:c r="P345" s="19" t="str">
        <x:f>IF(N345&lt;0,"缺货",IF(N345&lt;O345,"预警","正常"))</x:f>
        <x:v>正常</x:v>
      </x:c>
      <x:c r="Q345" s="19" t="str">
        <x:v>瘦肉0711-05</x:v>
      </x:c>
    </x:row>
    <x:row r="346">
      <x:c r="A346" s="19" t="str">
        <x:v>2026-07-12|S05|瘦肉片</x:v>
      </x:c>
      <x:c r="B346" s="34" t="n">
        <x:v>46215.5</x:v>
      </x:c>
      <x:c r="C346" s="19" t="str">
        <x:v>S05</x:v>
      </x:c>
      <x:c r="D346" s="19" t="str">
        <x:v>同顺街店</x:v>
      </x:c>
      <x:c r="E346" s="19" t="str">
        <x:v>瘦肉片</x:v>
      </x:c>
      <x:c r="F346" s="32" t="n">
        <x:v>28.09191025425492</x:v>
      </x:c>
      <x:c r="G346" s="32" t="n">
        <x:v>9.616984048938608</x:v>
      </x:c>
      <x:c r="H346" s="24" t="n">
        <x:f>'菜品日销量'!G665*150/1000+'菜品日销量'!G673*50/1000+'菜品日销量'!G674*200/1000</x:f>
        <x:v>8.45</x:v>
      </x:c>
      <x:c r="I346" s="36" t="n">
        <x:v>0.03352999425458955</x:v>
      </x:c>
      <x:c r="J346" s="24" t="n">
        <x:f>H346*I346</x:f>
        <x:v>0.28332845145128166</x:v>
      </x:c>
      <x:c r="K346" s="32" t="n">
        <x:v>0</x:v>
      </x:c>
      <x:c r="L346" s="32" t="n">
        <x:v>0</x:v>
      </x:c>
      <x:c r="M346" s="32" t="n">
        <x:v>0</x:v>
      </x:c>
      <x:c r="N346" s="24" t="n">
        <x:f>F346+G346+K346-L346+M346-H346-J346</x:f>
        <x:v>28.97556585174225</x:v>
      </x:c>
      <x:c r="O346" s="24" t="n">
        <x:f>H346*'封面与口径'!$O$24</x:f>
        <x:v>10.139999999999999</x:v>
      </x:c>
      <x:c r="P346" s="19" t="str">
        <x:f>IF(N346&lt;0,"缺货",IF(N346&lt;O346,"预警","正常"))</x:f>
        <x:v>正常</x:v>
      </x:c>
      <x:c r="Q346" s="19" t="str">
        <x:v>瘦肉0712-05</x:v>
      </x:c>
    </x:row>
    <x:row r="347">
      <x:c r="A347" s="19" t="str">
        <x:v>2026-07-13|S05|瘦肉片</x:v>
      </x:c>
      <x:c r="B347" s="34" t="n">
        <x:v>46216.5</x:v>
      </x:c>
      <x:c r="C347" s="19" t="str">
        <x:v>S05</x:v>
      </x:c>
      <x:c r="D347" s="19" t="str">
        <x:v>同顺街店</x:v>
      </x:c>
      <x:c r="E347" s="19" t="str">
        <x:v>瘦肉片</x:v>
      </x:c>
      <x:c r="F347" s="32" t="n">
        <x:v>28.975565851742253</x:v>
      </x:c>
      <x:c r="G347" s="32" t="n">
        <x:v>14.161895991936305</x:v>
      </x:c>
      <x:c r="H347" s="24" t="n">
        <x:f>'菜品日销量'!G685*150/1000+'菜品日销量'!G693*50/1000+'菜品日销量'!G694*200/1000</x:f>
        <x:v>12.850000000000001</x:v>
      </x:c>
      <x:c r="I347" s="36" t="n">
        <x:v>0.03713819121176801</x:v>
      </x:c>
      <x:c r="J347" s="24" t="n">
        <x:f>H347*I347</x:f>
        <x:v>0.47722575707121895</x:v>
      </x:c>
      <x:c r="K347" s="32" t="n">
        <x:v>0</x:v>
      </x:c>
      <x:c r="L347" s="32" t="n">
        <x:v>0</x:v>
      </x:c>
      <x:c r="M347" s="32" t="n">
        <x:v>0</x:v>
      </x:c>
      <x:c r="N347" s="24" t="n">
        <x:f>F347+G347+K347-L347+M347-H347-J347</x:f>
        <x:v>29.810236086607336</x:v>
      </x:c>
      <x:c r="O347" s="24" t="n">
        <x:f>H347*'封面与口径'!$O$24</x:f>
        <x:v>15.420000000000002</x:v>
      </x:c>
      <x:c r="P347" s="19" t="str">
        <x:f>IF(N347&lt;0,"缺货",IF(N347&lt;O347,"预警","正常"))</x:f>
        <x:v>正常</x:v>
      </x:c>
      <x:c r="Q347" s="19" t="str">
        <x:v>瘦肉0713-05</x:v>
      </x:c>
    </x:row>
    <x:row r="348">
      <x:c r="A348" s="19" t="str">
        <x:v>2026-07-07|S05|肥肉片</x:v>
      </x:c>
      <x:c r="B348" s="34" t="n">
        <x:v>46210.5</x:v>
      </x:c>
      <x:c r="C348" s="19" t="str">
        <x:v>S05</x:v>
      </x:c>
      <x:c r="D348" s="19" t="str">
        <x:v>同顺街店</x:v>
      </x:c>
      <x:c r="E348" s="19" t="str">
        <x:v>肥肉片</x:v>
      </x:c>
      <x:c r="F348" s="32" t="n">
        <x:v>5.8500000000000005</x:v>
      </x:c>
      <x:c r="G348" s="32" t="n">
        <x:v>3.5514443614104403</x:v>
      </x:c>
      <x:c r="H348" s="24" t="n">
        <x:f>'菜品日销量'!G565*50/1000+'菜品日销量'!G574*50/1000</x:f>
        <x:v>3.25</x:v>
      </x:c>
      <x:c r="I348" s="36" t="n">
        <x:v>0.02567341189730759</x:v>
      </x:c>
      <x:c r="J348" s="24" t="n">
        <x:f>H348*I348</x:f>
        <x:v>0.08343858866624966</x:v>
      </x:c>
      <x:c r="K348" s="32" t="n">
        <x:v>0</x:v>
      </x:c>
      <x:c r="L348" s="32" t="n">
        <x:v>0</x:v>
      </x:c>
      <x:c r="M348" s="32" t="n">
        <x:v>0</x:v>
      </x:c>
      <x:c r="N348" s="24" t="n">
        <x:f>F348+G348+K348-L348+M348-H348-J348</x:f>
        <x:v>6.068005772744191</x:v>
      </x:c>
      <x:c r="O348" s="24" t="n">
        <x:f>H348*'封面与口径'!$O$24</x:f>
        <x:v>3.9</x:v>
      </x:c>
      <x:c r="P348" s="19" t="str">
        <x:f>IF(N348&lt;0,"缺货",IF(N348&lt;O348,"预警","正常"))</x:f>
        <x:v>正常</x:v>
      </x:c>
      <x:c r="Q348" s="19" t="str">
        <x:v>肥肉0707-05</x:v>
      </x:c>
    </x:row>
    <x:row r="349">
      <x:c r="A349" s="19" t="str">
        <x:v>2026-07-08|S05|肥肉片</x:v>
      </x:c>
      <x:c r="B349" s="34" t="n">
        <x:v>46211.5</x:v>
      </x:c>
      <x:c r="C349" s="19" t="str">
        <x:v>S05</x:v>
      </x:c>
      <x:c r="D349" s="19" t="str">
        <x:v>同顺街店</x:v>
      </x:c>
      <x:c r="E349" s="19" t="str">
        <x:v>肥肉片</x:v>
      </x:c>
      <x:c r="F349" s="32" t="n">
        <x:v>6.068005772744191</x:v>
      </x:c>
      <x:c r="G349" s="32" t="n">
        <x:v>3.6625865163557676</x:v>
      </x:c>
      <x:c r="H349" s="24" t="n">
        <x:f>'菜品日销量'!G585*50/1000+'菜品日销量'!G594*50/1000</x:f>
        <x:v>3.3000000000000003</x:v>
      </x:c>
      <x:c r="I349" s="36" t="n">
        <x:v>0.031051403751143115</x:v>
      </x:c>
      <x:c r="J349" s="24" t="n">
        <x:f>H349*I349</x:f>
        <x:v>0.10246963237877228</x:v>
      </x:c>
      <x:c r="K349" s="32" t="n">
        <x:v>0</x:v>
      </x:c>
      <x:c r="L349" s="32" t="n">
        <x:v>0</x:v>
      </x:c>
      <x:c r="M349" s="32" t="n">
        <x:v>0</x:v>
      </x:c>
      <x:c r="N349" s="24" t="n">
        <x:f>F349+G349+K349-L349+M349-H349-J349</x:f>
        <x:v>6.328122656721185</x:v>
      </x:c>
      <x:c r="O349" s="24" t="n">
        <x:f>H349*'封面与口径'!$O$24</x:f>
        <x:v>3.96</x:v>
      </x:c>
      <x:c r="P349" s="19" t="str">
        <x:f>IF(N349&lt;0,"缺货",IF(N349&lt;O349,"预警","正常"))</x:f>
        <x:v>正常</x:v>
      </x:c>
      <x:c r="Q349" s="19" t="str">
        <x:v>肥肉0708-05</x:v>
      </x:c>
    </x:row>
    <x:row r="350">
      <x:c r="A350" s="19" t="str">
        <x:v>2026-07-09|S05|肥肉片</x:v>
      </x:c>
      <x:c r="B350" s="34" t="n">
        <x:v>46212.5</x:v>
      </x:c>
      <x:c r="C350" s="19" t="str">
        <x:v>S05</x:v>
      </x:c>
      <x:c r="D350" s="19" t="str">
        <x:v>同顺街店</x:v>
      </x:c>
      <x:c r="E350" s="19" t="str">
        <x:v>肥肉片</x:v>
      </x:c>
      <x:c r="F350" s="32" t="n">
        <x:v>6.3281226567211855</x:v>
      </x:c>
      <x:c r="G350" s="32" t="n">
        <x:v>3.5953488176356423</x:v>
      </x:c>
      <x:c r="H350" s="24" t="n">
        <x:f>'菜品日销量'!G605*50/1000+'菜品日销量'!G614*50/1000</x:f>
        <x:v>3.1500000000000004</x:v>
      </x:c>
      <x:c r="I350" s="36" t="n">
        <x:v>0.02562401935589128</x:v>
      </x:c>
      <x:c r="J350" s="24" t="n">
        <x:f>H350*I350</x:f>
        <x:v>0.08071566097105753</x:v>
      </x:c>
      <x:c r="K350" s="32" t="n">
        <x:v>0</x:v>
      </x:c>
      <x:c r="L350" s="32" t="n">
        <x:v>0</x:v>
      </x:c>
      <x:c r="M350" s="32" t="n">
        <x:v>0</x:v>
      </x:c>
      <x:c r="N350" s="24" t="n">
        <x:f>F350+G350+K350-L350+M350-H350-J350</x:f>
        <x:v>6.692755813385769</x:v>
      </x:c>
      <x:c r="O350" s="24" t="n">
        <x:f>H350*'封面与口径'!$O$24</x:f>
        <x:v>3.7800000000000002</x:v>
      </x:c>
      <x:c r="P350" s="19" t="str">
        <x:f>IF(N350&lt;0,"缺货",IF(N350&lt;O350,"预警","正常"))</x:f>
        <x:v>正常</x:v>
      </x:c>
      <x:c r="Q350" s="19" t="str">
        <x:v>肥肉0709-05</x:v>
      </x:c>
    </x:row>
    <x:row r="351">
      <x:c r="A351" s="19" t="str">
        <x:v>2026-07-10|S05|肥肉片</x:v>
      </x:c>
      <x:c r="B351" s="34" t="n">
        <x:v>46213.5</x:v>
      </x:c>
      <x:c r="C351" s="19" t="str">
        <x:v>S05</x:v>
      </x:c>
      <x:c r="D351" s="19" t="str">
        <x:v>同顺街店</x:v>
      </x:c>
      <x:c r="E351" s="19" t="str">
        <x:v>肥肉片</x:v>
      </x:c>
      <x:c r="F351" s="32" t="n">
        <x:v>6.692755813385769</x:v>
      </x:c>
      <x:c r="G351" s="32" t="n">
        <x:v>3.7269226501749184</x:v>
      </x:c>
      <x:c r="H351" s="24" t="n">
        <x:f>'菜品日销量'!G625*50/1000+'菜品日销量'!G634*50/1000</x:f>
        <x:v>3.4</x:v>
      </x:c>
      <x:c r="I351" s="36" t="n">
        <x:v>0.02434020719359168</x:v>
      </x:c>
      <x:c r="J351" s="24" t="n">
        <x:f>H351*I351</x:f>
        <x:v>0.0827567044582117</x:v>
      </x:c>
      <x:c r="K351" s="32" t="n">
        <x:v>0</x:v>
      </x:c>
      <x:c r="L351" s="32" t="n">
        <x:v>0</x:v>
      </x:c>
      <x:c r="M351" s="32" t="n">
        <x:v>0</x:v>
      </x:c>
      <x:c r="N351" s="24" t="n">
        <x:f>F351+G351+K351-L351+M351-H351-J351</x:f>
        <x:v>6.936921759102476</x:v>
      </x:c>
      <x:c r="O351" s="24" t="n">
        <x:f>H351*'封面与口径'!$O$24</x:f>
        <x:v>4.08</x:v>
      </x:c>
      <x:c r="P351" s="19" t="str">
        <x:f>IF(N351&lt;0,"缺货",IF(N351&lt;O351,"预警","正常"))</x:f>
        <x:v>正常</x:v>
      </x:c>
      <x:c r="Q351" s="19" t="str">
        <x:v>肥肉0710-05</x:v>
      </x:c>
    </x:row>
    <x:row r="352">
      <x:c r="A352" s="19" t="str">
        <x:v>2026-07-11|S05|肥肉片</x:v>
      </x:c>
      <x:c r="B352" s="34" t="n">
        <x:v>46214.5</x:v>
      </x:c>
      <x:c r="C352" s="19" t="str">
        <x:v>S05</x:v>
      </x:c>
      <x:c r="D352" s="19" t="str">
        <x:v>同顺街店</x:v>
      </x:c>
      <x:c r="E352" s="19" t="str">
        <x:v>肥肉片</x:v>
      </x:c>
      <x:c r="F352" s="32" t="n">
        <x:v>6.936921759102477</x:v>
      </x:c>
      <x:c r="G352" s="32" t="n">
        <x:v>2.954390595144218</x:v>
      </x:c>
      <x:c r="H352" s="24" t="n">
        <x:f>'菜品日销量'!G645*50/1000+'菜品日销量'!G654*50/1000</x:f>
        <x:v>2.5</x:v>
      </x:c>
      <x:c r="I352" s="36" t="n">
        <x:v>0.03867097067732154</x:v>
      </x:c>
      <x:c r="J352" s="24" t="n">
        <x:f>H352*I352</x:f>
        <x:v>0.09667742669330384</x:v>
      </x:c>
      <x:c r="K352" s="32" t="n">
        <x:v>0</x:v>
      </x:c>
      <x:c r="L352" s="32" t="n">
        <x:v>0</x:v>
      </x:c>
      <x:c r="M352" s="32" t="n">
        <x:v>0</x:v>
      </x:c>
      <x:c r="N352" s="24" t="n">
        <x:f>F352+G352+K352-L352+M352-H352-J352</x:f>
        <x:v>7.294634927553392</x:v>
      </x:c>
      <x:c r="O352" s="24" t="n">
        <x:f>H352*'封面与口径'!$O$24</x:f>
        <x:v>3</x:v>
      </x:c>
      <x:c r="P352" s="19" t="str">
        <x:f>IF(N352&lt;0,"缺货",IF(N352&lt;O352,"预警","正常"))</x:f>
        <x:v>正常</x:v>
      </x:c>
      <x:c r="Q352" s="19" t="str">
        <x:v>肥肉0711-05</x:v>
      </x:c>
    </x:row>
    <x:row r="353">
      <x:c r="A353" s="19" t="str">
        <x:v>2026-07-12|S05|肥肉片</x:v>
      </x:c>
      <x:c r="B353" s="34" t="n">
        <x:v>46215.5</x:v>
      </x:c>
      <x:c r="C353" s="19" t="str">
        <x:v>S05</x:v>
      </x:c>
      <x:c r="D353" s="19" t="str">
        <x:v>同顺街店</x:v>
      </x:c>
      <x:c r="E353" s="19" t="str">
        <x:v>肥肉片</x:v>
      </x:c>
      <x:c r="F353" s="32" t="n">
        <x:v>7.294634927553391</x:v>
      </x:c>
      <x:c r="G353" s="32" t="n">
        <x:v>2.8389089508929546</x:v>
      </x:c>
      <x:c r="H353" s="24" t="n">
        <x:f>'菜品日销量'!G665*50/1000+'菜品日销量'!G674*50/1000</x:f>
        <x:v>2.4</x:v>
      </x:c>
      <x:c r="I353" s="36" t="n">
        <x:v>0.023404848255078506</x:v>
      </x:c>
      <x:c r="J353" s="24" t="n">
        <x:f>H353*I353</x:f>
        <x:v>0.05617163581218841</x:v>
      </x:c>
      <x:c r="K353" s="32" t="n">
        <x:v>0</x:v>
      </x:c>
      <x:c r="L353" s="32" t="n">
        <x:v>0</x:v>
      </x:c>
      <x:c r="M353" s="32" t="n">
        <x:v>0</x:v>
      </x:c>
      <x:c r="N353" s="24" t="n">
        <x:f>F353+G353+K353-L353+M353-H353-J353</x:f>
        <x:v>7.677372242634157</x:v>
      </x:c>
      <x:c r="O353" s="24" t="n">
        <x:f>H353*'封面与口径'!$O$24</x:f>
        <x:v>2.88</x:v>
      </x:c>
      <x:c r="P353" s="19" t="str">
        <x:f>IF(N353&lt;0,"缺货",IF(N353&lt;O353,"预警","正常"))</x:f>
        <x:v>正常</x:v>
      </x:c>
      <x:c r="Q353" s="19" t="str">
        <x:v>肥肉0712-05</x:v>
      </x:c>
    </x:row>
    <x:row r="354">
      <x:c r="A354" s="19" t="str">
        <x:v>2026-07-13|S05|肥肉片</x:v>
      </x:c>
      <x:c r="B354" s="34" t="n">
        <x:v>46216.5</x:v>
      </x:c>
      <x:c r="C354" s="19" t="str">
        <x:v>S05</x:v>
      </x:c>
      <x:c r="D354" s="19" t="str">
        <x:v>同顺街店</x:v>
      </x:c>
      <x:c r="E354" s="19" t="str">
        <x:v>肥肉片</x:v>
      </x:c>
      <x:c r="F354" s="32" t="n">
        <x:v>7.677372242634158</x:v>
      </x:c>
      <x:c r="G354" s="32" t="n">
        <x:v>4.294008464231624</x:v>
      </x:c>
      <x:c r="H354" s="24" t="n">
        <x:f>'菜品日销量'!G685*50/1000+'菜品日销量'!G694*50/1000</x:f>
        <x:v>3.7</x:v>
      </x:c>
      <x:c r="I354" s="36" t="n">
        <x:v>0.028046725667791143</x:v>
      </x:c>
      <x:c r="J354" s="24" t="n">
        <x:f>H354*I354</x:f>
        <x:v>0.10377288497082723</x:v>
      </x:c>
      <x:c r="K354" s="32" t="n">
        <x:v>0</x:v>
      </x:c>
      <x:c r="L354" s="32" t="n">
        <x:v>0</x:v>
      </x:c>
      <x:c r="M354" s="32" t="n">
        <x:v>0</x:v>
      </x:c>
      <x:c r="N354" s="24" t="n">
        <x:f>F354+G354+K354-L354+M354-H354-J354</x:f>
        <x:v>8.167607821894954</x:v>
      </x:c>
      <x:c r="O354" s="24" t="n">
        <x:f>H354*'封面与口径'!$O$24</x:f>
        <x:v>4.44</x:v>
      </x:c>
      <x:c r="P354" s="19" t="str">
        <x:f>IF(N354&lt;0,"缺货",IF(N354&lt;O354,"预警","正常"))</x:f>
        <x:v>正常</x:v>
      </x:c>
      <x:c r="Q354" s="19" t="str">
        <x:v>肥肉0713-05</x:v>
      </x:c>
    </x:row>
    <x:row r="355">
      <x:c r="A355" s="19" t="str">
        <x:v>2026-07-07|S05|牛肉片</x:v>
      </x:c>
      <x:c r="B355" s="34" t="n">
        <x:v>46210.5</x:v>
      </x:c>
      <x:c r="C355" s="19" t="str">
        <x:v>S05</x:v>
      </x:c>
      <x:c r="D355" s="19" t="str">
        <x:v>同顺街店</x:v>
      </x:c>
      <x:c r="E355" s="19" t="str">
        <x:v>牛肉片</x:v>
      </x:c>
      <x:c r="F355" s="32" t="n">
        <x:v>16.2</x:v>
      </x:c>
      <x:c r="G355" s="32" t="n">
        <x:v>10.69936066881273</x:v>
      </x:c>
      <x:c r="H355" s="24" t="n">
        <x:f>'菜品日销量'!G566*250/1000</x:f>
        <x:v>9</x:v>
      </x:c>
      <x:c r="I355" s="36" t="n">
        <x:v>0.03916616000681328</x:v>
      </x:c>
      <x:c r="J355" s="24" t="n">
        <x:f>H355*I355</x:f>
        <x:v>0.3524954400613195</x:v>
      </x:c>
      <x:c r="K355" s="32" t="n">
        <x:v>0</x:v>
      </x:c>
      <x:c r="L355" s="32" t="n">
        <x:v>0</x:v>
      </x:c>
      <x:c r="M355" s="32" t="n">
        <x:v>0</x:v>
      </x:c>
      <x:c r="N355" s="24" t="n">
        <x:f>F355+G355+K355-L355+M355-H355-J355</x:f>
        <x:v>17.54686522875141</x:v>
      </x:c>
      <x:c r="O355" s="24" t="n">
        <x:f>H355*'封面与口径'!$O$24</x:f>
        <x:v>10.799999999999999</x:v>
      </x:c>
      <x:c r="P355" s="19" t="str">
        <x:f>IF(N355&lt;0,"缺货",IF(N355&lt;O355,"预警","正常"))</x:f>
        <x:v>正常</x:v>
      </x:c>
      <x:c r="Q355" s="19" t="str">
        <x:v>牛肉0707-05</x:v>
      </x:c>
    </x:row>
    <x:row r="356">
      <x:c r="A356" s="19" t="str">
        <x:v>2026-07-08|S05|牛肉片</x:v>
      </x:c>
      <x:c r="B356" s="34" t="n">
        <x:v>46211.5</x:v>
      </x:c>
      <x:c r="C356" s="19" t="str">
        <x:v>S05</x:v>
      </x:c>
      <x:c r="D356" s="19" t="str">
        <x:v>同顺街店</x:v>
      </x:c>
      <x:c r="E356" s="19" t="str">
        <x:v>牛肉片</x:v>
      </x:c>
      <x:c r="F356" s="32" t="n">
        <x:v>17.546865228751408</x:v>
      </x:c>
      <x:c r="G356" s="32" t="n">
        <x:v>9.768739315040582</x:v>
      </x:c>
      <x:c r="H356" s="24" t="n">
        <x:f>'菜品日销量'!G586*250/1000</x:f>
        <x:v>8.25</x:v>
      </x:c>
      <x:c r="I356" s="36" t="n">
        <x:v>0.02739241396831172</x:v>
      </x:c>
      <x:c r="J356" s="24" t="n">
        <x:f>H356*I356</x:f>
        <x:v>0.2259874152385717</x:v>
      </x:c>
      <x:c r="K356" s="32" t="n">
        <x:v>0</x:v>
      </x:c>
      <x:c r="L356" s="32" t="n">
        <x:v>0</x:v>
      </x:c>
      <x:c r="M356" s="32" t="n">
        <x:v>0</x:v>
      </x:c>
      <x:c r="N356" s="24" t="n">
        <x:f>F356+G356+K356-L356+M356-H356-J356</x:f>
        <x:v>18.83961712855342</x:v>
      </x:c>
      <x:c r="O356" s="24" t="n">
        <x:f>H356*'封面与口径'!$O$24</x:f>
        <x:v>9.9</x:v>
      </x:c>
      <x:c r="P356" s="19" t="str">
        <x:f>IF(N356&lt;0,"缺货",IF(N356&lt;O356,"预警","正常"))</x:f>
        <x:v>正常</x:v>
      </x:c>
      <x:c r="Q356" s="19" t="str">
        <x:v>牛肉0708-05</x:v>
      </x:c>
    </x:row>
    <x:row r="357">
      <x:c r="A357" s="19" t="str">
        <x:v>2026-07-09|S05|牛肉片</x:v>
      </x:c>
      <x:c r="B357" s="34" t="n">
        <x:v>46212.5</x:v>
      </x:c>
      <x:c r="C357" s="19" t="str">
        <x:v>S05</x:v>
      </x:c>
      <x:c r="D357" s="19" t="str">
        <x:v>同顺街店</x:v>
      </x:c>
      <x:c r="E357" s="19" t="str">
        <x:v>牛肉片</x:v>
      </x:c>
      <x:c r="F357" s="32" t="n">
        <x:v>18.83961712855342</x:v>
      </x:c>
      <x:c r="G357" s="32" t="n">
        <x:v>9.874701833858785</x:v>
      </x:c>
      <x:c r="H357" s="24" t="n">
        <x:f>'菜品日销量'!G606*250/1000</x:f>
        <x:v>8.5</x:v>
      </x:c>
      <x:c r="I357" s="36" t="n">
        <x:v>0.023404967522575745</x:v>
      </x:c>
      <x:c r="J357" s="24" t="n">
        <x:f>H357*I357</x:f>
        <x:v>0.19894222394189384</x:v>
      </x:c>
      <x:c r="K357" s="32" t="n">
        <x:v>0</x:v>
      </x:c>
      <x:c r="L357" s="32" t="n">
        <x:v>0</x:v>
      </x:c>
      <x:c r="M357" s="32" t="n">
        <x:v>0</x:v>
      </x:c>
      <x:c r="N357" s="24" t="n">
        <x:f>F357+G357+K357-L357+M357-H357-J357</x:f>
        <x:v>20.015376738470312</x:v>
      </x:c>
      <x:c r="O357" s="24" t="n">
        <x:f>H357*'封面与口径'!$O$24</x:f>
        <x:v>10.2</x:v>
      </x:c>
      <x:c r="P357" s="19" t="str">
        <x:f>IF(N357&lt;0,"缺货",IF(N357&lt;O357,"预警","正常"))</x:f>
        <x:v>正常</x:v>
      </x:c>
      <x:c r="Q357" s="19" t="str">
        <x:v>牛肉0709-05</x:v>
      </x:c>
    </x:row>
    <x:row r="358">
      <x:c r="A358" s="19" t="str">
        <x:v>2026-07-10|S05|牛肉片</x:v>
      </x:c>
      <x:c r="B358" s="34" t="n">
        <x:v>46213.5</x:v>
      </x:c>
      <x:c r="C358" s="19" t="str">
        <x:v>S05</x:v>
      </x:c>
      <x:c r="D358" s="19" t="str">
        <x:v>同顺街店</x:v>
      </x:c>
      <x:c r="E358" s="19" t="str">
        <x:v>牛肉片</x:v>
      </x:c>
      <x:c r="F358" s="32" t="n">
        <x:v>20.015376738470312</x:v>
      </x:c>
      <x:c r="G358" s="32" t="n">
        <x:v>9.318720307754987</x:v>
      </x:c>
      <x:c r="H358" s="24" t="n">
        <x:f>'菜品日销量'!G626*250/1000</x:f>
        <x:v>8.5</x:v>
      </x:c>
      <x:c r="I358" s="36" t="n">
        <x:v>0.034616398377021865</x:v>
      </x:c>
      <x:c r="J358" s="24" t="n">
        <x:f>H358*I358</x:f>
        <x:v>0.29423938620468587</x:v>
      </x:c>
      <x:c r="K358" s="32" t="n">
        <x:v>0</x:v>
      </x:c>
      <x:c r="L358" s="32" t="n">
        <x:v>0</x:v>
      </x:c>
      <x:c r="M358" s="32" t="n">
        <x:v>0</x:v>
      </x:c>
      <x:c r="N358" s="24" t="n">
        <x:f>F358+G358+K358-L358+M358-H358-J358</x:f>
        <x:v>20.539857660020612</x:v>
      </x:c>
      <x:c r="O358" s="24" t="n">
        <x:f>H358*'封面与口径'!$O$24</x:f>
        <x:v>10.2</x:v>
      </x:c>
      <x:c r="P358" s="19" t="str">
        <x:f>IF(N358&lt;0,"缺货",IF(N358&lt;O358,"预警","正常"))</x:f>
        <x:v>正常</x:v>
      </x:c>
      <x:c r="Q358" s="19" t="str">
        <x:v>牛肉0710-05</x:v>
      </x:c>
    </x:row>
    <x:row r="359">
      <x:c r="A359" s="19" t="str">
        <x:v>2026-07-11|S05|牛肉片</x:v>
      </x:c>
      <x:c r="B359" s="34" t="n">
        <x:v>46214.5</x:v>
      </x:c>
      <x:c r="C359" s="19" t="str">
        <x:v>S05</x:v>
      </x:c>
      <x:c r="D359" s="19" t="str">
        <x:v>同顺街店</x:v>
      </x:c>
      <x:c r="E359" s="19" t="str">
        <x:v>牛肉片</x:v>
      </x:c>
      <x:c r="F359" s="32" t="n">
        <x:v>20.539857660020616</x:v>
      </x:c>
      <x:c r="G359" s="32" t="n">
        <x:v>7.09901758786268</x:v>
      </x:c>
      <x:c r="H359" s="24" t="n">
        <x:f>'菜品日销量'!G646*250/1000</x:f>
        <x:v>6.25</x:v>
      </x:c>
      <x:c r="I359" s="36" t="n">
        <x:v>0.02257464402298784</x:v>
      </x:c>
      <x:c r="J359" s="24" t="n">
        <x:f>H359*I359</x:f>
        <x:v>0.14109152514367398</x:v>
      </x:c>
      <x:c r="K359" s="32" t="n">
        <x:v>0</x:v>
      </x:c>
      <x:c r="L359" s="32" t="n">
        <x:v>0</x:v>
      </x:c>
      <x:c r="M359" s="32" t="n">
        <x:v>0</x:v>
      </x:c>
      <x:c r="N359" s="24" t="n">
        <x:f>F359+G359+K359-L359+M359-H359-J359</x:f>
        <x:v>21.24778372273962</x:v>
      </x:c>
      <x:c r="O359" s="24" t="n">
        <x:f>H359*'封面与口径'!$O$24</x:f>
        <x:v>7.5</x:v>
      </x:c>
      <x:c r="P359" s="19" t="str">
        <x:f>IF(N359&lt;0,"缺货",IF(N359&lt;O359,"预警","正常"))</x:f>
        <x:v>正常</x:v>
      </x:c>
      <x:c r="Q359" s="19" t="str">
        <x:v>牛肉0711-05</x:v>
      </x:c>
    </x:row>
    <x:row r="360">
      <x:c r="A360" s="19" t="str">
        <x:v>2026-07-12|S05|牛肉片</x:v>
      </x:c>
      <x:c r="B360" s="34" t="n">
        <x:v>46215.5</x:v>
      </x:c>
      <x:c r="C360" s="19" t="str">
        <x:v>S05</x:v>
      </x:c>
      <x:c r="D360" s="19" t="str">
        <x:v>同顺街店</x:v>
      </x:c>
      <x:c r="E360" s="19" t="str">
        <x:v>牛肉片</x:v>
      </x:c>
      <x:c r="F360" s="32" t="n">
        <x:v>21.24778372273962</x:v>
      </x:c>
      <x:c r="G360" s="32" t="n">
        <x:v>8.011436355994418</x:v>
      </x:c>
      <x:c r="H360" s="24" t="n">
        <x:f>'菜品日销量'!G666*250/1000</x:f>
        <x:v>6.75</x:v>
      </x:c>
      <x:c r="I360" s="36" t="n">
        <x:v>0.02429181183089777</x:v>
      </x:c>
      <x:c r="J360" s="24" t="n">
        <x:f>H360*I360</x:f>
        <x:v>0.16396972985855995</x:v>
      </x:c>
      <x:c r="K360" s="32" t="n">
        <x:v>0</x:v>
      </x:c>
      <x:c r="L360" s="32" t="n">
        <x:v>0</x:v>
      </x:c>
      <x:c r="M360" s="32" t="n">
        <x:v>0</x:v>
      </x:c>
      <x:c r="N360" s="24" t="n">
        <x:f>F360+G360+K360-L360+M360-H360-J360</x:f>
        <x:v>22.345250348875478</x:v>
      </x:c>
      <x:c r="O360" s="24" t="n">
        <x:f>H360*'封面与口径'!$O$24</x:f>
        <x:v>8.1</x:v>
      </x:c>
      <x:c r="P360" s="19" t="str">
        <x:f>IF(N360&lt;0,"缺货",IF(N360&lt;O360,"预警","正常"))</x:f>
        <x:v>正常</x:v>
      </x:c>
      <x:c r="Q360" s="19" t="str">
        <x:v>牛肉0712-05</x:v>
      </x:c>
    </x:row>
    <x:row r="361">
      <x:c r="A361" s="19" t="str">
        <x:v>2026-07-13|S05|牛肉片</x:v>
      </x:c>
      <x:c r="B361" s="34" t="n">
        <x:v>46216.5</x:v>
      </x:c>
      <x:c r="C361" s="19" t="str">
        <x:v>S05</x:v>
      </x:c>
      <x:c r="D361" s="19" t="str">
        <x:v>同顺街店</x:v>
      </x:c>
      <x:c r="E361" s="19" t="str">
        <x:v>牛肉片</x:v>
      </x:c>
      <x:c r="F361" s="32" t="n">
        <x:v>22.34525034887548</x:v>
      </x:c>
      <x:c r="G361" s="32" t="n">
        <x:v>10.717528078127078</x:v>
      </x:c>
      <x:c r="H361" s="24" t="n">
        <x:f>'菜品日销量'!G686*250/1000</x:f>
        <x:v>9.25</x:v>
      </x:c>
      <x:c r="I361" s="36" t="n">
        <x:v>0.02862574603725824</x:v>
      </x:c>
      <x:c r="J361" s="24" t="n">
        <x:f>H361*I361</x:f>
        <x:v>0.2647881508446387</x:v>
      </x:c>
      <x:c r="K361" s="32" t="n">
        <x:v>0</x:v>
      </x:c>
      <x:c r="L361" s="32" t="n">
        <x:v>0</x:v>
      </x:c>
      <x:c r="M361" s="32" t="n">
        <x:v>0</x:v>
      </x:c>
      <x:c r="N361" s="24" t="n">
        <x:f>F361+G361+K361-L361+M361-H361-J361</x:f>
        <x:v>23.54799027615792</x:v>
      </x:c>
      <x:c r="O361" s="24" t="n">
        <x:f>H361*'封面与口径'!$O$24</x:f>
        <x:v>11.1</x:v>
      </x:c>
      <x:c r="P361" s="19" t="str">
        <x:f>IF(N361&lt;0,"缺货",IF(N361&lt;O361,"预警","正常"))</x:f>
        <x:v>正常</x:v>
      </x:c>
      <x:c r="Q361" s="19" t="str">
        <x:v>牛肉0713-05</x:v>
      </x:c>
    </x:row>
    <x:row r="362">
      <x:c r="A362" s="19" t="str">
        <x:v>2026-07-07|S05|螺丝椒</x:v>
      </x:c>
      <x:c r="B362" s="34" t="n">
        <x:v>46210.5</x:v>
      </x:c>
      <x:c r="C362" s="19" t="str">
        <x:v>S05</x:v>
      </x:c>
      <x:c r="D362" s="19" t="str">
        <x:v>同顺街店</x:v>
      </x:c>
      <x:c r="E362" s="19" t="str">
        <x:v>螺丝椒</x:v>
      </x:c>
      <x:c r="F362" s="32" t="n">
        <x:v>21.150000000000002</x:v>
      </x:c>
      <x:c r="G362" s="32" t="n">
        <x:v>14.084938245284125</x:v>
      </x:c>
      <x:c r="H362" s="24" t="n">
        <x:f>'菜品日销量'!G565*250/1000</x:f>
        <x:v>11.75</x:v>
      </x:c>
      <x:c r="I362" s="36" t="n">
        <x:v>0.024075629102083766</x:v>
      </x:c>
      <x:c r="J362" s="24" t="n">
        <x:f>H362*I362</x:f>
        <x:v>0.28288864194948427</x:v>
      </x:c>
      <x:c r="K362" s="32" t="n">
        <x:v>0</x:v>
      </x:c>
      <x:c r="L362" s="32" t="n">
        <x:v>0</x:v>
      </x:c>
      <x:c r="M362" s="32" t="n">
        <x:v>0</x:v>
      </x:c>
      <x:c r="N362" s="24" t="n">
        <x:f>F362+G362+K362-L362+M362-H362-J362</x:f>
        <x:v>23.202049603334643</x:v>
      </x:c>
      <x:c r="O362" s="24" t="n">
        <x:f>H362*'封面与口径'!$O$24</x:f>
        <x:v>14.1</x:v>
      </x:c>
      <x:c r="P362" s="19" t="str">
        <x:f>IF(N362&lt;0,"缺货",IF(N362&lt;O362,"预警","正常"))</x:f>
        <x:v>正常</x:v>
      </x:c>
      <x:c r="Q362" s="19" t="str">
        <x:v>螺丝0707-05</x:v>
      </x:c>
    </x:row>
    <x:row r="363">
      <x:c r="A363" s="19" t="str">
        <x:v>2026-07-08|S05|螺丝椒</x:v>
      </x:c>
      <x:c r="B363" s="34" t="n">
        <x:v>46211.5</x:v>
      </x:c>
      <x:c r="C363" s="19" t="str">
        <x:v>S05</x:v>
      </x:c>
      <x:c r="D363" s="19" t="str">
        <x:v>同顺街店</x:v>
      </x:c>
      <x:c r="E363" s="19" t="str">
        <x:v>螺丝椒</x:v>
      </x:c>
      <x:c r="F363" s="32" t="n">
        <x:v>23.202049603334643</x:v>
      </x:c>
      <x:c r="G363" s="32" t="n">
        <x:v>13.428380663448102</x:v>
      </x:c>
      <x:c r="H363" s="24" t="n">
        <x:f>'菜品日销量'!G585*250/1000</x:f>
        <x:v>12.25</x:v>
      </x:c>
      <x:c r="I363" s="36" t="n">
        <x:v>0.027960146743096444</x:v>
      </x:c>
      <x:c r="J363" s="24" t="n">
        <x:f>H363*I363</x:f>
        <x:v>0.34251179760293143</x:v>
      </x:c>
      <x:c r="K363" s="32" t="n">
        <x:v>0</x:v>
      </x:c>
      <x:c r="L363" s="32" t="n">
        <x:v>0</x:v>
      </x:c>
      <x:c r="M363" s="32" t="n">
        <x:v>0</x:v>
      </x:c>
      <x:c r="N363" s="24" t="n">
        <x:f>F363+G363+K363-L363+M363-H363-J363</x:f>
        <x:v>24.037918469179814</x:v>
      </x:c>
      <x:c r="O363" s="24" t="n">
        <x:f>H363*'封面与口径'!$O$24</x:f>
        <x:v>14.7</x:v>
      </x:c>
      <x:c r="P363" s="19" t="str">
        <x:f>IF(N363&lt;0,"缺货",IF(N363&lt;O363,"预警","正常"))</x:f>
        <x:v>正常</x:v>
      </x:c>
      <x:c r="Q363" s="19" t="str">
        <x:v>螺丝0708-05</x:v>
      </x:c>
    </x:row>
    <x:row r="364">
      <x:c r="A364" s="19" t="str">
        <x:v>2026-07-09|S05|螺丝椒</x:v>
      </x:c>
      <x:c r="B364" s="34" t="n">
        <x:v>46212.5</x:v>
      </x:c>
      <x:c r="C364" s="19" t="str">
        <x:v>S05</x:v>
      </x:c>
      <x:c r="D364" s="19" t="str">
        <x:v>同顺街店</x:v>
      </x:c>
      <x:c r="E364" s="19" t="str">
        <x:v>螺丝椒</x:v>
      </x:c>
      <x:c r="F364" s="32" t="n">
        <x:v>24.037918469179814</x:v>
      </x:c>
      <x:c r="G364" s="32" t="n">
        <x:v>13.68659923212058</x:v>
      </x:c>
      <x:c r="H364" s="24" t="n">
        <x:f>'菜品日销量'!G605*250/1000</x:f>
        <x:v>11.75</x:v>
      </x:c>
      <x:c r="I364" s="36" t="n">
        <x:v>0.01779427667329886</x:v>
      </x:c>
      <x:c r="J364" s="24" t="n">
        <x:f>H364*I364</x:f>
        <x:v>0.2090827509112616</x:v>
      </x:c>
      <x:c r="K364" s="32" t="n">
        <x:v>0</x:v>
      </x:c>
      <x:c r="L364" s="32" t="n">
        <x:v>0</x:v>
      </x:c>
      <x:c r="M364" s="32" t="n">
        <x:v>0</x:v>
      </x:c>
      <x:c r="N364" s="24" t="n">
        <x:f>F364+G364+K364-L364+M364-H364-J364</x:f>
        <x:v>25.765434950389132</x:v>
      </x:c>
      <x:c r="O364" s="24" t="n">
        <x:f>H364*'封面与口径'!$O$24</x:f>
        <x:v>14.1</x:v>
      </x:c>
      <x:c r="P364" s="19" t="str">
        <x:f>IF(N364&lt;0,"缺货",IF(N364&lt;O364,"预警","正常"))</x:f>
        <x:v>正常</x:v>
      </x:c>
      <x:c r="Q364" s="19" t="str">
        <x:v>螺丝0709-05</x:v>
      </x:c>
    </x:row>
    <x:row r="365">
      <x:c r="A365" s="19" t="str">
        <x:v>2026-07-10|S05|螺丝椒</x:v>
      </x:c>
      <x:c r="B365" s="34" t="n">
        <x:v>46213.5</x:v>
      </x:c>
      <x:c r="C365" s="19" t="str">
        <x:v>S05</x:v>
      </x:c>
      <x:c r="D365" s="19" t="str">
        <x:v>同顺街店</x:v>
      </x:c>
      <x:c r="E365" s="19" t="str">
        <x:v>螺丝椒</x:v>
      </x:c>
      <x:c r="F365" s="32" t="n">
        <x:v>25.765434950389132</x:v>
      </x:c>
      <x:c r="G365" s="32" t="n">
        <x:v>14.881211932604485</x:v>
      </x:c>
      <x:c r="H365" s="24" t="n">
        <x:f>'菜品日销量'!G625*250/1000</x:f>
        <x:v>12.5</x:v>
      </x:c>
      <x:c r="I365" s="36" t="n">
        <x:v>0.0348708329337814</x:v>
      </x:c>
      <x:c r="J365" s="24" t="n">
        <x:f>H365*I365</x:f>
        <x:v>0.43588541167226746</x:v>
      </x:c>
      <x:c r="K365" s="32" t="n">
        <x:v>0</x:v>
      </x:c>
      <x:c r="L365" s="32" t="n">
        <x:v>0</x:v>
      </x:c>
      <x:c r="M365" s="32" t="n">
        <x:v>0</x:v>
      </x:c>
      <x:c r="N365" s="24" t="n">
        <x:f>F365+G365+K365-L365+M365-H365-J365</x:f>
        <x:v>27.710761471321348</x:v>
      </x:c>
      <x:c r="O365" s="24" t="n">
        <x:f>H365*'封面与口径'!$O$24</x:f>
        <x:v>15</x:v>
      </x:c>
      <x:c r="P365" s="19" t="str">
        <x:f>IF(N365&lt;0,"缺货",IF(N365&lt;O365,"预警","正常"))</x:f>
        <x:v>正常</x:v>
      </x:c>
      <x:c r="Q365" s="19" t="str">
        <x:v>螺丝0710-05</x:v>
      </x:c>
    </x:row>
    <x:row r="366">
      <x:c r="A366" s="19" t="str">
        <x:v>2026-07-11|S05|螺丝椒</x:v>
      </x:c>
      <x:c r="B366" s="34" t="n">
        <x:v>46214.5</x:v>
      </x:c>
      <x:c r="C366" s="19" t="str">
        <x:v>S05</x:v>
      </x:c>
      <x:c r="D366" s="19" t="str">
        <x:v>同顺街店</x:v>
      </x:c>
      <x:c r="E366" s="19" t="str">
        <x:v>螺丝椒</x:v>
      </x:c>
      <x:c r="F366" s="32" t="n">
        <x:v>27.710761471321348</x:v>
      </x:c>
      <x:c r="G366" s="32" t="n">
        <x:v>10.26090029975886</x:v>
      </x:c>
      <x:c r="H366" s="24" t="n">
        <x:f>'菜品日销量'!G645*250/1000</x:f>
        <x:v>9</x:v>
      </x:c>
      <x:c r="I366" s="36" t="n">
        <x:v>0.024933705641872646</x:v>
      </x:c>
      <x:c r="J366" s="24" t="n">
        <x:f>H366*I366</x:f>
        <x:v>0.2244033507768538</x:v>
      </x:c>
      <x:c r="K366" s="32" t="n">
        <x:v>0</x:v>
      </x:c>
      <x:c r="L366" s="32" t="n">
        <x:v>0</x:v>
      </x:c>
      <x:c r="M366" s="32" t="n">
        <x:v>0</x:v>
      </x:c>
      <x:c r="N366" s="24" t="n">
        <x:f>F366+G366+K366-L366+M366-H366-J366</x:f>
        <x:v>28.747258420303353</x:v>
      </x:c>
      <x:c r="O366" s="24" t="n">
        <x:f>H366*'封面与口径'!$O$24</x:f>
        <x:v>10.799999999999999</x:v>
      </x:c>
      <x:c r="P366" s="19" t="str">
        <x:f>IF(N366&lt;0,"缺货",IF(N366&lt;O366,"预警","正常"))</x:f>
        <x:v>正常</x:v>
      </x:c>
      <x:c r="Q366" s="19" t="str">
        <x:v>螺丝0711-05</x:v>
      </x:c>
    </x:row>
    <x:row r="367">
      <x:c r="A367" s="19" t="str">
        <x:v>2026-07-12|S05|螺丝椒</x:v>
      </x:c>
      <x:c r="B367" s="34" t="n">
        <x:v>46215.5</x:v>
      </x:c>
      <x:c r="C367" s="19" t="str">
        <x:v>S05</x:v>
      </x:c>
      <x:c r="D367" s="19" t="str">
        <x:v>同顺街店</x:v>
      </x:c>
      <x:c r="E367" s="19" t="str">
        <x:v>螺丝椒</x:v>
      </x:c>
      <x:c r="F367" s="32" t="n">
        <x:v>28.747258420303353</x:v>
      </x:c>
      <x:c r="G367" s="32" t="n">
        <x:v>10.473191521252318</x:v>
      </x:c>
      <x:c r="H367" s="24" t="n">
        <x:f>'菜品日销量'!G665*250/1000</x:f>
        <x:v>8.75</x:v>
      </x:c>
      <x:c r="I367" s="36" t="n">
        <x:v>0.023967279883559626</x:v>
      </x:c>
      <x:c r="J367" s="24" t="n">
        <x:f>H367*I367</x:f>
        <x:v>0.20971369898114672</x:v>
      </x:c>
      <x:c r="K367" s="32" t="n">
        <x:v>0</x:v>
      </x:c>
      <x:c r="L367" s="32" t="n">
        <x:v>0</x:v>
      </x:c>
      <x:c r="M367" s="32" t="n">
        <x:v>0</x:v>
      </x:c>
      <x:c r="N367" s="24" t="n">
        <x:f>F367+G367+K367-L367+M367-H367-J367</x:f>
        <x:v>30.260736242574524</x:v>
      </x:c>
      <x:c r="O367" s="24" t="n">
        <x:f>H367*'封面与口径'!$O$24</x:f>
        <x:v>10.5</x:v>
      </x:c>
      <x:c r="P367" s="19" t="str">
        <x:f>IF(N367&lt;0,"缺货",IF(N367&lt;O367,"预警","正常"))</x:f>
        <x:v>正常</x:v>
      </x:c>
      <x:c r="Q367" s="19" t="str">
        <x:v>螺丝0712-05</x:v>
      </x:c>
    </x:row>
    <x:row r="368">
      <x:c r="A368" s="19" t="str">
        <x:v>2026-07-13|S05|螺丝椒</x:v>
      </x:c>
      <x:c r="B368" s="34" t="n">
        <x:v>46216.5</x:v>
      </x:c>
      <x:c r="C368" s="19" t="str">
        <x:v>S05</x:v>
      </x:c>
      <x:c r="D368" s="19" t="str">
        <x:v>同顺街店</x:v>
      </x:c>
      <x:c r="E368" s="19" t="str">
        <x:v>螺丝椒</x:v>
      </x:c>
      <x:c r="F368" s="32" t="n">
        <x:v>30.260736242574524</x:v>
      </x:c>
      <x:c r="G368" s="32" t="n">
        <x:v>16.21141464114455</x:v>
      </x:c>
      <x:c r="H368" s="24" t="n">
        <x:f>'菜品日销量'!G685*250/1000</x:f>
        <x:v>13.75</x:v>
      </x:c>
      <x:c r="I368" s="36" t="n">
        <x:v>0.031293488190577715</x:v>
      </x:c>
      <x:c r="J368" s="24" t="n">
        <x:f>H368*I368</x:f>
        <x:v>0.4302854626204436</x:v>
      </x:c>
      <x:c r="K368" s="32" t="n">
        <x:v>0</x:v>
      </x:c>
      <x:c r="L368" s="32" t="n">
        <x:v>0</x:v>
      </x:c>
      <x:c r="M368" s="32" t="n">
        <x:v>0</x:v>
      </x:c>
      <x:c r="N368" s="24" t="n">
        <x:f>F368+G368+K368-L368+M368-H368-J368</x:f>
        <x:v>32.29186542109863</x:v>
      </x:c>
      <x:c r="O368" s="24" t="n">
        <x:f>H368*'封面与口径'!$O$24</x:f>
        <x:v>16.5</x:v>
      </x:c>
      <x:c r="P368" s="19" t="str">
        <x:f>IF(N368&lt;0,"缺货",IF(N368&lt;O368,"预警","正常"))</x:f>
        <x:v>正常</x:v>
      </x:c>
      <x:c r="Q368" s="19" t="str">
        <x:v>螺丝0713-05</x:v>
      </x:c>
    </x:row>
    <x:row r="369">
      <x:c r="A369" s="19" t="str">
        <x:v>2026-07-07|S05|青湖南椒圈</x:v>
      </x:c>
      <x:c r="B369" s="34" t="n">
        <x:v>46210.5</x:v>
      </x:c>
      <x:c r="C369" s="19" t="str">
        <x:v>S05</x:v>
      </x:c>
      <x:c r="D369" s="19" t="str">
        <x:v>同顺街店</x:v>
      </x:c>
      <x:c r="E369" s="19" t="str">
        <x:v>青湖南椒圈</x:v>
      </x:c>
      <x:c r="F369" s="32" t="n">
        <x:v>3.24</x:v>
      </x:c>
      <x:c r="G369" s="32" t="n">
        <x:v>2.0828676683518266</x:v>
      </x:c>
      <x:c r="H369" s="24" t="n">
        <x:f>'菜品日销量'!G574*100/1000</x:f>
        <x:v>1.8</x:v>
      </x:c>
      <x:c r="I369" s="36" t="n">
        <x:v>0.0337770020784291</x:v>
      </x:c>
      <x:c r="J369" s="24" t="n">
        <x:f>H369*I369</x:f>
        <x:v>0.06079860374117237</x:v>
      </x:c>
      <x:c r="K369" s="32" t="n">
        <x:v>0</x:v>
      </x:c>
      <x:c r="L369" s="32" t="n">
        <x:v>0</x:v>
      </x:c>
      <x:c r="M369" s="32" t="n">
        <x:v>0</x:v>
      </x:c>
      <x:c r="N369" s="24" t="n">
        <x:f>F369+G369+K369-L369+M369-H369-J369</x:f>
        <x:v>3.4620690646106547</x:v>
      </x:c>
      <x:c r="O369" s="24" t="n">
        <x:f>H369*'封面与口径'!$O$24</x:f>
        <x:v>2.16</x:v>
      </x:c>
      <x:c r="P369" s="19" t="str">
        <x:f>IF(N369&lt;0,"缺货",IF(N369&lt;O369,"预警","正常"))</x:f>
        <x:v>正常</x:v>
      </x:c>
      <x:c r="Q369" s="19" t="str">
        <x:v>青湖0707-05</x:v>
      </x:c>
    </x:row>
    <x:row r="370">
      <x:c r="A370" s="19" t="str">
        <x:v>2026-07-08|S05|青湖南椒圈</x:v>
      </x:c>
      <x:c r="B370" s="34" t="n">
        <x:v>46211.5</x:v>
      </x:c>
      <x:c r="C370" s="19" t="str">
        <x:v>S05</x:v>
      </x:c>
      <x:c r="D370" s="19" t="str">
        <x:v>同顺街店</x:v>
      </x:c>
      <x:c r="E370" s="19" t="str">
        <x:v>青湖南椒圈</x:v>
      </x:c>
      <x:c r="F370" s="32" t="n">
        <x:v>3.4620690646106542</x:v>
      </x:c>
      <x:c r="G370" s="32" t="n">
        <x:v>1.9793712228022915</x:v>
      </x:c>
      <x:c r="H370" s="24" t="n">
        <x:f>'菜品日销量'!G594*100/1000</x:f>
        <x:v>1.7</x:v>
      </x:c>
      <x:c r="I370" s="36" t="n">
        <x:v>0.03957579904575269</x:v>
      </x:c>
      <x:c r="J370" s="24" t="n">
        <x:f>H370*I370</x:f>
        <x:v>0.06727885837777957</x:v>
      </x:c>
      <x:c r="K370" s="32" t="n">
        <x:v>0</x:v>
      </x:c>
      <x:c r="L370" s="32" t="n">
        <x:v>0</x:v>
      </x:c>
      <x:c r="M370" s="32" t="n">
        <x:v>0</x:v>
      </x:c>
      <x:c r="N370" s="24" t="n">
        <x:f>F370+G370+K370-L370+M370-H370-J370</x:f>
        <x:v>3.6741614290351663</x:v>
      </x:c>
      <x:c r="O370" s="24" t="n">
        <x:f>H370*'封面与口径'!$O$24</x:f>
        <x:v>2.04</x:v>
      </x:c>
      <x:c r="P370" s="19" t="str">
        <x:f>IF(N370&lt;0,"缺货",IF(N370&lt;O370,"预警","正常"))</x:f>
        <x:v>正常</x:v>
      </x:c>
      <x:c r="Q370" s="19" t="str">
        <x:v>青湖0708-05</x:v>
      </x:c>
    </x:row>
    <x:row r="371">
      <x:c r="A371" s="19" t="str">
        <x:v>2026-07-09|S05|青湖南椒圈</x:v>
      </x:c>
      <x:c r="B371" s="34" t="n">
        <x:v>46212.5</x:v>
      </x:c>
      <x:c r="C371" s="19" t="str">
        <x:v>S05</x:v>
      </x:c>
      <x:c r="D371" s="19" t="str">
        <x:v>同顺街店</x:v>
      </x:c>
      <x:c r="E371" s="19" t="str">
        <x:v>青湖南椒圈</x:v>
      </x:c>
      <x:c r="F371" s="32" t="n">
        <x:v>3.6741614290351663</x:v>
      </x:c>
      <x:c r="G371" s="32" t="n">
        <x:v>1.8696210996838336</x:v>
      </x:c>
      <x:c r="H371" s="24" t="n">
        <x:f>'菜品日销量'!G614*100/1000</x:f>
        <x:v>1.6</x:v>
      </x:c>
      <x:c r="I371" s="36" t="n">
        <x:v>0.035570743548583875</x:v>
      </x:c>
      <x:c r="J371" s="24" t="n">
        <x:f>H371*I371</x:f>
        <x:v>0.056913189677734205</x:v>
      </x:c>
      <x:c r="K371" s="32" t="n">
        <x:v>0</x:v>
      </x:c>
      <x:c r="L371" s="32" t="n">
        <x:v>0</x:v>
      </x:c>
      <x:c r="M371" s="32" t="n">
        <x:v>0</x:v>
      </x:c>
      <x:c r="N371" s="24" t="n">
        <x:f>F371+G371+K371-L371+M371-H371-J371</x:f>
        <x:v>3.886869339041265</x:v>
      </x:c>
      <x:c r="O371" s="24" t="n">
        <x:f>H371*'封面与口径'!$O$24</x:f>
        <x:v>1.92</x:v>
      </x:c>
      <x:c r="P371" s="19" t="str">
        <x:f>IF(N371&lt;0,"缺货",IF(N371&lt;O371,"预警","正常"))</x:f>
        <x:v>正常</x:v>
      </x:c>
      <x:c r="Q371" s="19" t="str">
        <x:v>青湖0709-05</x:v>
      </x:c>
    </x:row>
    <x:row r="372">
      <x:c r="A372" s="19" t="str">
        <x:v>2026-07-10|S05|青湖南椒圈</x:v>
      </x:c>
      <x:c r="B372" s="34" t="n">
        <x:v>46213.5</x:v>
      </x:c>
      <x:c r="C372" s="19" t="str">
        <x:v>S05</x:v>
      </x:c>
      <x:c r="D372" s="19" t="str">
        <x:v>同顺街店</x:v>
      </x:c>
      <x:c r="E372" s="19" t="str">
        <x:v>青湖南椒圈</x:v>
      </x:c>
      <x:c r="F372" s="32" t="n">
        <x:v>3.886869339041265</x:v>
      </x:c>
      <x:c r="G372" s="32" t="n">
        <x:v>2.0575980709496884</x:v>
      </x:c>
      <x:c r="H372" s="24" t="n">
        <x:f>'菜品日销量'!G634*100/1000</x:f>
        <x:v>1.8</x:v>
      </x:c>
      <x:c r="I372" s="36" t="n">
        <x:v>0.01638071049619017</x:v>
      </x:c>
      <x:c r="J372" s="24" t="n">
        <x:f>H372*I372</x:f>
        <x:v>0.029485278893142303</x:v>
      </x:c>
      <x:c r="K372" s="32" t="n">
        <x:v>0</x:v>
      </x:c>
      <x:c r="L372" s="32" t="n">
        <x:v>0</x:v>
      </x:c>
      <x:c r="M372" s="32" t="n">
        <x:v>0</x:v>
      </x:c>
      <x:c r="N372" s="24" t="n">
        <x:f>F372+G372+K372-L372+M372-H372-J372</x:f>
        <x:v>4.114982131097811</x:v>
      </x:c>
      <x:c r="O372" s="24" t="n">
        <x:f>H372*'封面与口径'!$O$24</x:f>
        <x:v>2.16</x:v>
      </x:c>
      <x:c r="P372" s="19" t="str">
        <x:f>IF(N372&lt;0,"缺货",IF(N372&lt;O372,"预警","正常"))</x:f>
        <x:v>正常</x:v>
      </x:c>
      <x:c r="Q372" s="19" t="str">
        <x:v>青湖0710-05</x:v>
      </x:c>
    </x:row>
    <x:row r="373">
      <x:c r="A373" s="19" t="str">
        <x:v>2026-07-11|S05|青湖南椒圈</x:v>
      </x:c>
      <x:c r="B373" s="34" t="n">
        <x:v>46214.5</x:v>
      </x:c>
      <x:c r="C373" s="19" t="str">
        <x:v>S05</x:v>
      </x:c>
      <x:c r="D373" s="19" t="str">
        <x:v>同顺街店</x:v>
      </x:c>
      <x:c r="E373" s="19" t="str">
        <x:v>青湖南椒圈</x:v>
      </x:c>
      <x:c r="F373" s="32" t="n">
        <x:v>4.114982131097811</x:v>
      </x:c>
      <x:c r="G373" s="32" t="n">
        <x:v>1.5216384325292052</x:v>
      </x:c>
      <x:c r="H373" s="24" t="n">
        <x:f>'菜品日销量'!G654*100/1000</x:f>
        <x:v>1.4</x:v>
      </x:c>
      <x:c r="I373" s="36" t="n">
        <x:v>0.038384072683608175</x:v>
      </x:c>
      <x:c r="J373" s="24" t="n">
        <x:f>H373*I373</x:f>
        <x:v>0.05373770175705144</x:v>
      </x:c>
      <x:c r="K373" s="32" t="n">
        <x:v>0</x:v>
      </x:c>
      <x:c r="L373" s="32" t="n">
        <x:v>0</x:v>
      </x:c>
      <x:c r="M373" s="32" t="n">
        <x:v>0</x:v>
      </x:c>
      <x:c r="N373" s="24" t="n">
        <x:f>F373+G373+K373-L373+M373-H373-J373</x:f>
        <x:v>4.182882861869964</x:v>
      </x:c>
      <x:c r="O373" s="24" t="n">
        <x:f>H373*'封面与口径'!$O$24</x:f>
        <x:v>1.68</x:v>
      </x:c>
      <x:c r="P373" s="19" t="str">
        <x:f>IF(N373&lt;0,"缺货",IF(N373&lt;O373,"预警","正常"))</x:f>
        <x:v>正常</x:v>
      </x:c>
      <x:c r="Q373" s="19" t="str">
        <x:v>青湖0711-05</x:v>
      </x:c>
    </x:row>
    <x:row r="374">
      <x:c r="A374" s="19" t="str">
        <x:v>2026-07-12|S05|青湖南椒圈</x:v>
      </x:c>
      <x:c r="B374" s="34" t="n">
        <x:v>46215.5</x:v>
      </x:c>
      <x:c r="C374" s="19" t="str">
        <x:v>S05</x:v>
      </x:c>
      <x:c r="D374" s="19" t="str">
        <x:v>同顺街店</x:v>
      </x:c>
      <x:c r="E374" s="19" t="str">
        <x:v>青湖南椒圈</x:v>
      </x:c>
      <x:c r="F374" s="32" t="n">
        <x:v>4.182882861869965</x:v>
      </x:c>
      <x:c r="G374" s="32" t="n">
        <x:v>1.4968098826773488</x:v>
      </x:c>
      <x:c r="H374" s="24" t="n">
        <x:f>'菜品日销量'!G674*100/1000</x:f>
        <x:v>1.3</x:v>
      </x:c>
      <x:c r="I374" s="36" t="n">
        <x:v>0.023238162259393874</x:v>
      </x:c>
      <x:c r="J374" s="24" t="n">
        <x:f>H374*I374</x:f>
        <x:v>0.03020961093721204</x:v>
      </x:c>
      <x:c r="K374" s="32" t="n">
        <x:v>0</x:v>
      </x:c>
      <x:c r="L374" s="32" t="n">
        <x:v>0</x:v>
      </x:c>
      <x:c r="M374" s="32" t="n">
        <x:v>0</x:v>
      </x:c>
      <x:c r="N374" s="24" t="n">
        <x:f>F374+G374+K374-L374+M374-H374-J374</x:f>
        <x:v>4.349483133610102</x:v>
      </x:c>
      <x:c r="O374" s="24" t="n">
        <x:f>H374*'封面与口径'!$O$24</x:f>
        <x:v>1.56</x:v>
      </x:c>
      <x:c r="P374" s="19" t="str">
        <x:f>IF(N374&lt;0,"缺货",IF(N374&lt;O374,"预警","正常"))</x:f>
        <x:v>正常</x:v>
      </x:c>
      <x:c r="Q374" s="19" t="str">
        <x:v>青湖0712-05</x:v>
      </x:c>
    </x:row>
    <x:row r="375">
      <x:c r="A375" s="19" t="str">
        <x:v>2026-07-13|S05|青湖南椒圈</x:v>
      </x:c>
      <x:c r="B375" s="34" t="n">
        <x:v>46216.5</x:v>
      </x:c>
      <x:c r="C375" s="19" t="str">
        <x:v>S05</x:v>
      </x:c>
      <x:c r="D375" s="19" t="str">
        <x:v>同顺街店</x:v>
      </x:c>
      <x:c r="E375" s="19" t="str">
        <x:v>青湖南椒圈</x:v>
      </x:c>
      <x:c r="F375" s="32" t="n">
        <x:v>4.349483133610102</x:v>
      </x:c>
      <x:c r="G375" s="32" t="n">
        <x:v>2.058641072076429</x:v>
      </x:c>
      <x:c r="H375" s="24" t="n">
        <x:f>'菜品日销量'!G694*100/1000</x:f>
        <x:v>1.9</x:v>
      </x:c>
      <x:c r="I375" s="36" t="n">
        <x:v>0.02737676941379364</x:v>
      </x:c>
      <x:c r="J375" s="24" t="n">
        <x:f>H375*I375</x:f>
        <x:v>0.052015861886207916</x:v>
      </x:c>
      <x:c r="K375" s="32" t="n">
        <x:v>0</x:v>
      </x:c>
      <x:c r="L375" s="32" t="n">
        <x:v>0</x:v>
      </x:c>
      <x:c r="M375" s="32" t="n">
        <x:v>0</x:v>
      </x:c>
      <x:c r="N375" s="24" t="n">
        <x:f>F375+G375+K375-L375+M375-H375-J375</x:f>
        <x:v>4.456108343800324</x:v>
      </x:c>
      <x:c r="O375" s="24" t="n">
        <x:f>H375*'封面与口径'!$O$24</x:f>
        <x:v>2.28</x:v>
      </x:c>
      <x:c r="P375" s="19" t="str">
        <x:f>IF(N375&lt;0,"缺货",IF(N375&lt;O375,"预警","正常"))</x:f>
        <x:v>正常</x:v>
      </x:c>
      <x:c r="Q375" s="19" t="str">
        <x:v>青湖0713-05</x:v>
      </x:c>
    </x:row>
    <x:row r="376">
      <x:c r="A376" s="19" t="str">
        <x:v>2026-07-07|S05|鸡蛋</x:v>
      </x:c>
      <x:c r="B376" s="34" t="n">
        <x:v>46210.5</x:v>
      </x:c>
      <x:c r="C376" s="19" t="str">
        <x:v>S05</x:v>
      </x:c>
      <x:c r="D376" s="19" t="str">
        <x:v>同顺街店</x:v>
      </x:c>
      <x:c r="E376" s="19" t="str">
        <x:v>鸡蛋</x:v>
      </x:c>
      <x:c r="F376" s="32" t="n">
        <x:v>28.259999999999998</x:v>
      </x:c>
      <x:c r="G376" s="32" t="n">
        <x:v>18.071274584512988</x:v>
      </x:c>
      <x:c r="H376" s="24" t="n">
        <x:f>'菜品日销量'!G567*300/1000+'菜品日销量'!G577*250/1000</x:f>
        <x:v>15.7</x:v>
      </x:c>
      <x:c r="I376" s="36" t="n">
        <x:v>0.03533085307812571</x:v>
      </x:c>
      <x:c r="J376" s="24" t="n">
        <x:f>H376*I376</x:f>
        <x:v>0.5546943933265737</x:v>
      </x:c>
      <x:c r="K376" s="32" t="n">
        <x:v>0</x:v>
      </x:c>
      <x:c r="L376" s="32" t="n">
        <x:v>0</x:v>
      </x:c>
      <x:c r="M376" s="32" t="n">
        <x:v>0</x:v>
      </x:c>
      <x:c r="N376" s="24" t="n">
        <x:f>F376+G376+K376-L376+M376-H376-J376</x:f>
        <x:v>30.07658019118641</x:v>
      </x:c>
      <x:c r="O376" s="24" t="n">
        <x:f>H376*'封面与口径'!$O$24</x:f>
        <x:v>18.84</x:v>
      </x:c>
      <x:c r="P376" s="19" t="str">
        <x:f>IF(N376&lt;0,"缺货",IF(N376&lt;O376,"预警","正常"))</x:f>
        <x:v>正常</x:v>
      </x:c>
      <x:c r="Q376" s="19" t="str">
        <x:v>鸡蛋0707-05</x:v>
      </x:c>
    </x:row>
    <x:row r="377">
      <x:c r="A377" s="19" t="str">
        <x:v>2026-07-08|S05|鸡蛋</x:v>
      </x:c>
      <x:c r="B377" s="34" t="n">
        <x:v>46211.5</x:v>
      </x:c>
      <x:c r="C377" s="19" t="str">
        <x:v>S05</x:v>
      </x:c>
      <x:c r="D377" s="19" t="str">
        <x:v>同顺街店</x:v>
      </x:c>
      <x:c r="E377" s="19" t="str">
        <x:v>鸡蛋</x:v>
      </x:c>
      <x:c r="F377" s="32" t="n">
        <x:v>30.07658019118641</x:v>
      </x:c>
      <x:c r="G377" s="32" t="n">
        <x:v>17.06987253986436</x:v>
      </x:c>
      <x:c r="H377" s="24" t="n">
        <x:f>'菜品日销量'!G587*300/1000+'菜品日销量'!G597*250/1000</x:f>
        <x:v>15.8</x:v>
      </x:c>
      <x:c r="I377" s="36" t="n">
        <x:v>0.021437944453544435</x:v>
      </x:c>
      <x:c r="J377" s="24" t="n">
        <x:f>H377*I377</x:f>
        <x:v>0.3387195223660021</x:v>
      </x:c>
      <x:c r="K377" s="32" t="n">
        <x:v>0</x:v>
      </x:c>
      <x:c r="L377" s="32" t="n">
        <x:v>0</x:v>
      </x:c>
      <x:c r="M377" s="32" t="n">
        <x:v>0</x:v>
      </x:c>
      <x:c r="N377" s="24" t="n">
        <x:f>F377+G377+K377-L377+M377-H377-J377</x:f>
        <x:v>31.00773320868477</x:v>
      </x:c>
      <x:c r="O377" s="24" t="n">
        <x:f>H377*'封面与口径'!$O$24</x:f>
        <x:v>18.96</x:v>
      </x:c>
      <x:c r="P377" s="19" t="str">
        <x:f>IF(N377&lt;0,"缺货",IF(N377&lt;O377,"预警","正常"))</x:f>
        <x:v>正常</x:v>
      </x:c>
      <x:c r="Q377" s="19" t="str">
        <x:v>鸡蛋0708-05</x:v>
      </x:c>
    </x:row>
    <x:row r="378">
      <x:c r="A378" s="19" t="str">
        <x:v>2026-07-09|S05|鸡蛋</x:v>
      </x:c>
      <x:c r="B378" s="34" t="n">
        <x:v>46212.5</x:v>
      </x:c>
      <x:c r="C378" s="19" t="str">
        <x:v>S05</x:v>
      </x:c>
      <x:c r="D378" s="19" t="str">
        <x:v>同顺街店</x:v>
      </x:c>
      <x:c r="E378" s="19" t="str">
        <x:v>鸡蛋</x:v>
      </x:c>
      <x:c r="F378" s="32" t="n">
        <x:v>31.00773320868477</x:v>
      </x:c>
      <x:c r="G378" s="32" t="n">
        <x:v>18.58314751700106</x:v>
      </x:c>
      <x:c r="H378" s="24" t="n">
        <x:f>'菜品日销量'!G607*300/1000+'菜品日销量'!G617*250/1000</x:f>
        <x:v>16</x:v>
      </x:c>
      <x:c r="I378" s="36" t="n">
        <x:v>0.022358482016101126</x:v>
      </x:c>
      <x:c r="J378" s="24" t="n">
        <x:f>H378*I378</x:f>
        <x:v>0.357735712257618</x:v>
      </x:c>
      <x:c r="K378" s="32" t="n">
        <x:v>0</x:v>
      </x:c>
      <x:c r="L378" s="32" t="n">
        <x:v>0</x:v>
      </x:c>
      <x:c r="M378" s="32" t="n">
        <x:v>0</x:v>
      </x:c>
      <x:c r="N378" s="24" t="n">
        <x:f>F378+G378+K378-L378+M378-H378-J378</x:f>
        <x:v>33.233145013428214</x:v>
      </x:c>
      <x:c r="O378" s="24" t="n">
        <x:f>H378*'封面与口径'!$O$24</x:f>
        <x:v>19.2</x:v>
      </x:c>
      <x:c r="P378" s="19" t="str">
        <x:f>IF(N378&lt;0,"缺货",IF(N378&lt;O378,"预警","正常"))</x:f>
        <x:v>正常</x:v>
      </x:c>
      <x:c r="Q378" s="19" t="str">
        <x:v>鸡蛋0709-05</x:v>
      </x:c>
    </x:row>
    <x:row r="379">
      <x:c r="A379" s="19" t="str">
        <x:v>2026-07-10|S05|鸡蛋</x:v>
      </x:c>
      <x:c r="B379" s="34" t="n">
        <x:v>46213.5</x:v>
      </x:c>
      <x:c r="C379" s="19" t="str">
        <x:v>S05</x:v>
      </x:c>
      <x:c r="D379" s="19" t="str">
        <x:v>同顺街店</x:v>
      </x:c>
      <x:c r="E379" s="19" t="str">
        <x:v>鸡蛋</x:v>
      </x:c>
      <x:c r="F379" s="32" t="n">
        <x:v>33.233145013428214</x:v>
      </x:c>
      <x:c r="G379" s="32" t="n">
        <x:v>17.479944011993698</x:v>
      </x:c>
      <x:c r="H379" s="24" t="n">
        <x:f>'菜品日销量'!G627*300/1000+'菜品日销量'!G637*250/1000</x:f>
        <x:v>16.1</x:v>
      </x:c>
      <x:c r="I379" s="36" t="n">
        <x:v>0.029025792773819017</x:v>
      </x:c>
      <x:c r="J379" s="24" t="n">
        <x:f>H379*I379</x:f>
        <x:v>0.46731526365848625</x:v>
      </x:c>
      <x:c r="K379" s="32" t="n">
        <x:v>0</x:v>
      </x:c>
      <x:c r="L379" s="32" t="n">
        <x:v>0</x:v>
      </x:c>
      <x:c r="M379" s="32" t="n">
        <x:v>0</x:v>
      </x:c>
      <x:c r="N379" s="24" t="n">
        <x:f>F379+G379+K379-L379+M379-H379-J379</x:f>
        <x:v>34.14577376176342</x:v>
      </x:c>
      <x:c r="O379" s="24" t="n">
        <x:f>H379*'封面与口径'!$O$24</x:f>
        <x:v>19.32</x:v>
      </x:c>
      <x:c r="P379" s="19" t="str">
        <x:f>IF(N379&lt;0,"缺货",IF(N379&lt;O379,"预警","正常"))</x:f>
        <x:v>正常</x:v>
      </x:c>
      <x:c r="Q379" s="19" t="str">
        <x:v>鸡蛋0710-05</x:v>
      </x:c>
    </x:row>
    <x:row r="380">
      <x:c r="A380" s="19" t="str">
        <x:v>2026-07-11|S05|鸡蛋</x:v>
      </x:c>
      <x:c r="B380" s="34" t="n">
        <x:v>46214.5</x:v>
      </x:c>
      <x:c r="C380" s="19" t="str">
        <x:v>S05</x:v>
      </x:c>
      <x:c r="D380" s="19" t="str">
        <x:v>同顺街店</x:v>
      </x:c>
      <x:c r="E380" s="19" t="str">
        <x:v>鸡蛋</x:v>
      </x:c>
      <x:c r="F380" s="32" t="n">
        <x:v>34.14577376176342</x:v>
      </x:c>
      <x:c r="G380" s="32" t="n">
        <x:v>13.687290981495122</x:v>
      </x:c>
      <x:c r="H380" s="24" t="n">
        <x:f>'菜品日销量'!G647*300/1000+'菜品日销量'!G657*250/1000</x:f>
        <x:v>12.25</x:v>
      </x:c>
      <x:c r="I380" s="36" t="n">
        <x:v>0.029512536288125564</x:v>
      </x:c>
      <x:c r="J380" s="24" t="n">
        <x:f>H380*I380</x:f>
        <x:v>0.36152856952953816</x:v>
      </x:c>
      <x:c r="K380" s="32" t="n">
        <x:v>0</x:v>
      </x:c>
      <x:c r="L380" s="32" t="n">
        <x:v>0</x:v>
      </x:c>
      <x:c r="M380" s="32" t="n">
        <x:v>0</x:v>
      </x:c>
      <x:c r="N380" s="24" t="n">
        <x:f>F380+G380+K380-L380+M380-H380-J380</x:f>
        <x:v>35.22153617372901</x:v>
      </x:c>
      <x:c r="O380" s="24" t="n">
        <x:f>H380*'封面与口径'!$O$24</x:f>
        <x:v>14.7</x:v>
      </x:c>
      <x:c r="P380" s="19" t="str">
        <x:f>IF(N380&lt;0,"缺货",IF(N380&lt;O380,"预警","正常"))</x:f>
        <x:v>正常</x:v>
      </x:c>
      <x:c r="Q380" s="19" t="str">
        <x:v>鸡蛋0711-05</x:v>
      </x:c>
    </x:row>
    <x:row r="381">
      <x:c r="A381" s="19" t="str">
        <x:v>2026-07-12|S05|鸡蛋</x:v>
      </x:c>
      <x:c r="B381" s="34" t="n">
        <x:v>46215.5</x:v>
      </x:c>
      <x:c r="C381" s="19" t="str">
        <x:v>S05</x:v>
      </x:c>
      <x:c r="D381" s="19" t="str">
        <x:v>同顺街店</x:v>
      </x:c>
      <x:c r="E381" s="19" t="str">
        <x:v>鸡蛋</x:v>
      </x:c>
      <x:c r="F381" s="32" t="n">
        <x:v>35.22153617372901</x:v>
      </x:c>
      <x:c r="G381" s="32" t="n">
        <x:v>13.978159849290309</x:v>
      </x:c>
      <x:c r="H381" s="24" t="n">
        <x:f>'菜品日销量'!G667*300/1000+'菜品日销量'!G677*250/1000</x:f>
        <x:v>12.35</x:v>
      </x:c>
      <x:c r="I381" s="36" t="n">
        <x:v>0.020661898689731464</x:v>
      </x:c>
      <x:c r="J381" s="24" t="n">
        <x:f>H381*I381</x:f>
        <x:v>0.2551744488181836</x:v>
      </x:c>
      <x:c r="K381" s="32" t="n">
        <x:v>0</x:v>
      </x:c>
      <x:c r="L381" s="32" t="n">
        <x:v>0</x:v>
      </x:c>
      <x:c r="M381" s="32" t="n">
        <x:v>0</x:v>
      </x:c>
      <x:c r="N381" s="24" t="n">
        <x:f>F381+G381+K381-L381+M381-H381-J381</x:f>
        <x:v>36.59452157420113</x:v>
      </x:c>
      <x:c r="O381" s="24" t="n">
        <x:f>H381*'封面与口径'!$O$24</x:f>
        <x:v>14.819999999999999</x:v>
      </x:c>
      <x:c r="P381" s="19" t="str">
        <x:f>IF(N381&lt;0,"缺货",IF(N381&lt;O381,"预警","正常"))</x:f>
        <x:v>正常</x:v>
      </x:c>
      <x:c r="Q381" s="19" t="str">
        <x:v>鸡蛋0712-05</x:v>
      </x:c>
    </x:row>
    <x:row r="382">
      <x:c r="A382" s="19" t="str">
        <x:v>2026-07-13|S05|鸡蛋</x:v>
      </x:c>
      <x:c r="B382" s="34" t="n">
        <x:v>46216.5</x:v>
      </x:c>
      <x:c r="C382" s="19" t="str">
        <x:v>S05</x:v>
      </x:c>
      <x:c r="D382" s="19" t="str">
        <x:v>同顺街店</x:v>
      </x:c>
      <x:c r="E382" s="19" t="str">
        <x:v>鸡蛋</x:v>
      </x:c>
      <x:c r="F382" s="32" t="n">
        <x:v>36.59452157420113</x:v>
      </x:c>
      <x:c r="G382" s="32" t="n">
        <x:v>19.428065157583465</x:v>
      </x:c>
      <x:c r="H382" s="24" t="n">
        <x:f>'菜品日销量'!G687*300/1000+'菜品日销量'!G697*250/1000</x:f>
        <x:v>17.75</x:v>
      </x:c>
      <x:c r="I382" s="36" t="n">
        <x:v>0.021507785567433522</x:v>
      </x:c>
      <x:c r="J382" s="24" t="n">
        <x:f>H382*I382</x:f>
        <x:v>0.381763193821945</x:v>
      </x:c>
      <x:c r="K382" s="32" t="n">
        <x:v>0</x:v>
      </x:c>
      <x:c r="L382" s="32" t="n">
        <x:v>0</x:v>
      </x:c>
      <x:c r="M382" s="32" t="n">
        <x:v>0</x:v>
      </x:c>
      <x:c r="N382" s="24" t="n">
        <x:f>F382+G382+K382-L382+M382-H382-J382</x:f>
        <x:v>37.89082353796265</x:v>
      </x:c>
      <x:c r="O382" s="24" t="n">
        <x:f>H382*'封面与口径'!$O$24</x:f>
        <x:v>21.3</x:v>
      </x:c>
      <x:c r="P382" s="19" t="str">
        <x:f>IF(N382&lt;0,"缺货",IF(N382&lt;O382,"预警","正常"))</x:f>
        <x:v>正常</x:v>
      </x:c>
      <x:c r="Q382" s="19" t="str">
        <x:v>鸡蛋0713-05</x:v>
      </x:c>
    </x:row>
    <x:row r="383">
      <x:c r="A383" s="19" t="str">
        <x:v>2026-07-07|S05|鸡肉</x:v>
      </x:c>
      <x:c r="B383" s="34" t="n">
        <x:v>46210.5</x:v>
      </x:c>
      <x:c r="C383" s="19" t="str">
        <x:v>S05</x:v>
      </x:c>
      <x:c r="D383" s="19" t="str">
        <x:v>同顺街店</x:v>
      </x:c>
      <x:c r="E383" s="19" t="str">
        <x:v>鸡肉</x:v>
      </x:c>
      <x:c r="F383" s="32" t="n">
        <x:v>9.72</x:v>
      </x:c>
      <x:c r="G383" s="32" t="n">
        <x:v>6.340508736358144</x:v>
      </x:c>
      <x:c r="H383" s="24" t="n">
        <x:f>'菜品日销量'!G572*450/1000</x:f>
        <x:v>5.4</x:v>
      </x:c>
      <x:c r="I383" s="36" t="n">
        <x:v>0.03638055167658733</x:v>
      </x:c>
      <x:c r="J383" s="24" t="n">
        <x:f>H383*I383</x:f>
        <x:v>0.1964549790535716</x:v>
      </x:c>
      <x:c r="K383" s="32" t="n">
        <x:v>0</x:v>
      </x:c>
      <x:c r="L383" s="32" t="n">
        <x:v>0</x:v>
      </x:c>
      <x:c r="M383" s="32" t="n">
        <x:v>0</x:v>
      </x:c>
      <x:c r="N383" s="24" t="n">
        <x:f>F383+G383+K383-L383+M383-H383-J383</x:f>
        <x:v>10.464053757304573</x:v>
      </x:c>
      <x:c r="O383" s="24" t="n">
        <x:f>H383*'封面与口径'!$O$24</x:f>
        <x:v>6.48</x:v>
      </x:c>
      <x:c r="P383" s="19" t="str">
        <x:f>IF(N383&lt;0,"缺货",IF(N383&lt;O383,"预警","正常"))</x:f>
        <x:v>正常</x:v>
      </x:c>
      <x:c r="Q383" s="19" t="str">
        <x:v>鸡肉0707-05</x:v>
      </x:c>
    </x:row>
    <x:row r="384">
      <x:c r="A384" s="19" t="str">
        <x:v>2026-07-08|S05|鸡肉</x:v>
      </x:c>
      <x:c r="B384" s="34" t="n">
        <x:v>46211.5</x:v>
      </x:c>
      <x:c r="C384" s="19" t="str">
        <x:v>S05</x:v>
      </x:c>
      <x:c r="D384" s="19" t="str">
        <x:v>同顺街店</x:v>
      </x:c>
      <x:c r="E384" s="19" t="str">
        <x:v>鸡肉</x:v>
      </x:c>
      <x:c r="F384" s="32" t="n">
        <x:v>10.464053757304573</x:v>
      </x:c>
      <x:c r="G384" s="32" t="n">
        <x:v>5.5536585828353795</x:v>
      </x:c>
      <x:c r="H384" s="24" t="n">
        <x:f>'菜品日销量'!G592*450/1000</x:f>
        <x:v>4.95</x:v>
      </x:c>
      <x:c r="I384" s="36" t="n">
        <x:v>0.03062418715111543</x:v>
      </x:c>
      <x:c r="J384" s="24" t="n">
        <x:f>H384*I384</x:f>
        <x:v>0.15158972639802137</x:v>
      </x:c>
      <x:c r="K384" s="32" t="n">
        <x:v>0</x:v>
      </x:c>
      <x:c r="L384" s="32" t="n">
        <x:v>0</x:v>
      </x:c>
      <x:c r="M384" s="32" t="n">
        <x:v>0</x:v>
      </x:c>
      <x:c r="N384" s="24" t="n">
        <x:f>F384+G384+K384-L384+M384-H384-J384</x:f>
        <x:v>10.91612261374193</x:v>
      </x:c>
      <x:c r="O384" s="24" t="n">
        <x:f>H384*'封面与口径'!$O$24</x:f>
        <x:v>5.94</x:v>
      </x:c>
      <x:c r="P384" s="19" t="str">
        <x:f>IF(N384&lt;0,"缺货",IF(N384&lt;O384,"预警","正常"))</x:f>
        <x:v>正常</x:v>
      </x:c>
      <x:c r="Q384" s="19" t="str">
        <x:v>鸡肉0708-05</x:v>
      </x:c>
    </x:row>
    <x:row r="385">
      <x:c r="A385" s="19" t="str">
        <x:v>2026-07-09|S05|鸡肉</x:v>
      </x:c>
      <x:c r="B385" s="34" t="n">
        <x:v>46212.5</x:v>
      </x:c>
      <x:c r="C385" s="19" t="str">
        <x:v>S05</x:v>
      </x:c>
      <x:c r="D385" s="19" t="str">
        <x:v>同顺街店</x:v>
      </x:c>
      <x:c r="E385" s="19" t="str">
        <x:v>鸡肉</x:v>
      </x:c>
      <x:c r="F385" s="32" t="n">
        <x:v>10.91612261374193</x:v>
      </x:c>
      <x:c r="G385" s="32" t="n">
        <x:v>5.314454076437851</x:v>
      </x:c>
      <x:c r="H385" s="24" t="n">
        <x:f>'菜品日销量'!G612*450/1000</x:f>
        <x:v>4.5</x:v>
      </x:c>
      <x:c r="I385" s="36" t="n">
        <x:v>0.03183255137569098</x:v>
      </x:c>
      <x:c r="J385" s="24" t="n">
        <x:f>H385*I385</x:f>
        <x:v>0.1432464811906094</x:v>
      </x:c>
      <x:c r="K385" s="32" t="n">
        <x:v>0</x:v>
      </x:c>
      <x:c r="L385" s="32" t="n">
        <x:v>0</x:v>
      </x:c>
      <x:c r="M385" s="32" t="n">
        <x:v>0</x:v>
      </x:c>
      <x:c r="N385" s="24" t="n">
        <x:f>F385+G385+K385-L385+M385-H385-J385</x:f>
        <x:v>11.587330208989172</x:v>
      </x:c>
      <x:c r="O385" s="24" t="n">
        <x:f>H385*'封面与口径'!$O$24</x:f>
        <x:v>5.3999999999999995</x:v>
      </x:c>
      <x:c r="P385" s="19" t="str">
        <x:f>IF(N385&lt;0,"缺货",IF(N385&lt;O385,"预警","正常"))</x:f>
        <x:v>正常</x:v>
      </x:c>
      <x:c r="Q385" s="19" t="str">
        <x:v>鸡肉0709-05</x:v>
      </x:c>
    </x:row>
    <x:row r="386">
      <x:c r="A386" s="19" t="str">
        <x:v>2026-07-10|S05|鸡肉</x:v>
      </x:c>
      <x:c r="B386" s="34" t="n">
        <x:v>46213.5</x:v>
      </x:c>
      <x:c r="C386" s="19" t="str">
        <x:v>S05</x:v>
      </x:c>
      <x:c r="D386" s="19" t="str">
        <x:v>同顺街店</x:v>
      </x:c>
      <x:c r="E386" s="19" t="str">
        <x:v>鸡肉</x:v>
      </x:c>
      <x:c r="F386" s="32" t="n">
        <x:v>11.587330208989172</x:v>
      </x:c>
      <x:c r="G386" s="32" t="n">
        <x:v>5.734028449756567</x:v>
      </x:c>
      <x:c r="H386" s="24" t="n">
        <x:f>'菜品日销量'!G632*450/1000</x:f>
        <x:v>4.95</x:v>
      </x:c>
      <x:c r="I386" s="36" t="n">
        <x:v>0.024712277913864766</x:v>
      </x:c>
      <x:c r="J386" s="24" t="n">
        <x:f>H386*I386</x:f>
        <x:v>0.1223257756736306</x:v>
      </x:c>
      <x:c r="K386" s="32" t="n">
        <x:v>0</x:v>
      </x:c>
      <x:c r="L386" s="32" t="n">
        <x:v>0</x:v>
      </x:c>
      <x:c r="M386" s="32" t="n">
        <x:v>0</x:v>
      </x:c>
      <x:c r="N386" s="24" t="n">
        <x:f>F386+G386+K386-L386+M386-H386-J386</x:f>
        <x:v>12.249032883072108</x:v>
      </x:c>
      <x:c r="O386" s="24" t="n">
        <x:f>H386*'封面与口径'!$O$24</x:f>
        <x:v>5.94</x:v>
      </x:c>
      <x:c r="P386" s="19" t="str">
        <x:f>IF(N386&lt;0,"缺货",IF(N386&lt;O386,"预警","正常"))</x:f>
        <x:v>正常</x:v>
      </x:c>
      <x:c r="Q386" s="19" t="str">
        <x:v>鸡肉0710-05</x:v>
      </x:c>
    </x:row>
    <x:row r="387">
      <x:c r="A387" s="19" t="str">
        <x:v>2026-07-11|S05|鸡肉</x:v>
      </x:c>
      <x:c r="B387" s="34" t="n">
        <x:v>46214.5</x:v>
      </x:c>
      <x:c r="C387" s="19" t="str">
        <x:v>S05</x:v>
      </x:c>
      <x:c r="D387" s="19" t="str">
        <x:v>同顺街店</x:v>
      </x:c>
      <x:c r="E387" s="19" t="str">
        <x:v>鸡肉</x:v>
      </x:c>
      <x:c r="F387" s="32" t="n">
        <x:v>12.249032883072106</x:v>
      </x:c>
      <x:c r="G387" s="32" t="n">
        <x:v>4.824102186216531</x:v>
      </x:c>
      <x:c r="H387" s="24" t="n">
        <x:f>'菜品日销量'!G652*450/1000</x:f>
        <x:v>4.05</x:v>
      </x:c>
      <x:c r="I387" s="36" t="n">
        <x:v>0.021193442079516463</x:v>
      </x:c>
      <x:c r="J387" s="24" t="n">
        <x:f>H387*I387</x:f>
        <x:v>0.08583344042204168</x:v>
      </x:c>
      <x:c r="K387" s="32" t="n">
        <x:v>0</x:v>
      </x:c>
      <x:c r="L387" s="32" t="n">
        <x:v>0</x:v>
      </x:c>
      <x:c r="M387" s="32" t="n">
        <x:v>0</x:v>
      </x:c>
      <x:c r="N387" s="24" t="n">
        <x:f>F387+G387+K387-L387+M387-H387-J387</x:f>
        <x:v>12.937301628866594</x:v>
      </x:c>
      <x:c r="O387" s="24" t="n">
        <x:f>H387*'封面与口径'!$O$24</x:f>
        <x:v>4.859999999999999</x:v>
      </x:c>
      <x:c r="P387" s="19" t="str">
        <x:f>IF(N387&lt;0,"缺货",IF(N387&lt;O387,"预警","正常"))</x:f>
        <x:v>正常</x:v>
      </x:c>
      <x:c r="Q387" s="19" t="str">
        <x:v>鸡肉0711-05</x:v>
      </x:c>
    </x:row>
    <x:row r="388">
      <x:c r="A388" s="19" t="str">
        <x:v>2026-07-12|S05|鸡肉</x:v>
      </x:c>
      <x:c r="B388" s="34" t="n">
        <x:v>46215.5</x:v>
      </x:c>
      <x:c r="C388" s="19" t="str">
        <x:v>S05</x:v>
      </x:c>
      <x:c r="D388" s="19" t="str">
        <x:v>同顺街店</x:v>
      </x:c>
      <x:c r="E388" s="19" t="str">
        <x:v>鸡肉</x:v>
      </x:c>
      <x:c r="F388" s="32" t="n">
        <x:v>12.937301628866594</x:v>
      </x:c>
      <x:c r="G388" s="32" t="n">
        <x:v>3.960241579508465</x:v>
      </x:c>
      <x:c r="H388" s="24" t="n">
        <x:f>'菜品日销量'!G672*450/1000</x:f>
        <x:v>3.6</x:v>
      </x:c>
      <x:c r="I388" s="36" t="n">
        <x:v>0.03889009571026314</x:v>
      </x:c>
      <x:c r="J388" s="24" t="n">
        <x:f>H388*I388</x:f>
        <x:v>0.1400043445569473</x:v>
      </x:c>
      <x:c r="K388" s="32" t="n">
        <x:v>0</x:v>
      </x:c>
      <x:c r="L388" s="32" t="n">
        <x:v>0</x:v>
      </x:c>
      <x:c r="M388" s="32" t="n">
        <x:v>0</x:v>
      </x:c>
      <x:c r="N388" s="24" t="n">
        <x:f>F388+G388+K388-L388+M388-H388-J388</x:f>
        <x:v>13.157538863818111</x:v>
      </x:c>
      <x:c r="O388" s="24" t="n">
        <x:f>H388*'封面与口径'!$O$24</x:f>
        <x:v>4.32</x:v>
      </x:c>
      <x:c r="P388" s="19" t="str">
        <x:f>IF(N388&lt;0,"缺货",IF(N388&lt;O388,"预警","正常"))</x:f>
        <x:v>正常</x:v>
      </x:c>
      <x:c r="Q388" s="19" t="str">
        <x:v>鸡肉0712-05</x:v>
      </x:c>
    </x:row>
    <x:row r="389">
      <x:c r="A389" s="19" t="str">
        <x:v>2026-07-13|S05|鸡肉</x:v>
      </x:c>
      <x:c r="B389" s="34" t="n">
        <x:v>46216.5</x:v>
      </x:c>
      <x:c r="C389" s="19" t="str">
        <x:v>S05</x:v>
      </x:c>
      <x:c r="D389" s="19" t="str">
        <x:v>同顺街店</x:v>
      </x:c>
      <x:c r="E389" s="19" t="str">
        <x:v>鸡肉</x:v>
      </x:c>
      <x:c r="F389" s="32" t="n">
        <x:v>13.157538863818111</x:v>
      </x:c>
      <x:c r="G389" s="32" t="n">
        <x:v>6.858177554206963</x:v>
      </x:c>
      <x:c r="H389" s="24" t="n">
        <x:f>'菜品日销量'!G692*450/1000</x:f>
        <x:v>5.85</x:v>
      </x:c>
      <x:c r="I389" s="36" t="n">
        <x:v>0.018326711926685346</x:v>
      </x:c>
      <x:c r="J389" s="24" t="n">
        <x:f>H389*I389</x:f>
        <x:v>0.10721126477110926</x:v>
      </x:c>
      <x:c r="K389" s="32" t="n">
        <x:v>0</x:v>
      </x:c>
      <x:c r="L389" s="32" t="n">
        <x:v>0</x:v>
      </x:c>
      <x:c r="M389" s="32" t="n">
        <x:v>0</x:v>
      </x:c>
      <x:c r="N389" s="24" t="n">
        <x:f>F389+G389+K389-L389+M389-H389-J389</x:f>
        <x:v>14.058505153253966</x:v>
      </x:c>
      <x:c r="O389" s="24" t="n">
        <x:f>H389*'封面与口径'!$O$24</x:f>
        <x:v>7.02</x:v>
      </x:c>
      <x:c r="P389" s="19" t="str">
        <x:f>IF(N389&lt;0,"缺货",IF(N389&lt;O389,"预警","正常"))</x:f>
        <x:v>正常</x:v>
      </x:c>
      <x:c r="Q389" s="19" t="str">
        <x:v>鸡肉0713-05</x:v>
      </x:c>
    </x:row>
    <x:row r="390">
      <x:c r="A390" s="19" t="str">
        <x:v>2026-07-07|S05|鲈鱼</x:v>
      </x:c>
      <x:c r="B390" s="34" t="n">
        <x:v>46210.5</x:v>
      </x:c>
      <x:c r="C390" s="19" t="str">
        <x:v>S05</x:v>
      </x:c>
      <x:c r="D390" s="19" t="str">
        <x:v>同顺街店</x:v>
      </x:c>
      <x:c r="E390" s="19" t="str">
        <x:v>鲈鱼</x:v>
      </x:c>
      <x:c r="F390" s="32" t="n">
        <x:v>6.3</x:v>
      </x:c>
      <x:c r="G390" s="32" t="n">
        <x:v>4.171961951230644</x:v>
      </x:c>
      <x:c r="H390" s="24" t="n">
        <x:f>'菜品日销量'!G576*500/1000</x:f>
        <x:v>3.5</x:v>
      </x:c>
      <x:c r="I390" s="36" t="n">
        <x:v>0.019730087345170344</x:v>
      </x:c>
      <x:c r="J390" s="24" t="n">
        <x:f>H390*I390</x:f>
        <x:v>0.0690553057080962</x:v>
      </x:c>
      <x:c r="K390" s="32" t="n">
        <x:v>0</x:v>
      </x:c>
      <x:c r="L390" s="32" t="n">
        <x:v>0</x:v>
      </x:c>
      <x:c r="M390" s="32" t="n">
        <x:v>0</x:v>
      </x:c>
      <x:c r="N390" s="24" t="n">
        <x:f>F390+G390+K390-L390+M390-H390-J390</x:f>
        <x:v>6.902906645522547</x:v>
      </x:c>
      <x:c r="O390" s="24" t="n">
        <x:f>H390*'封面与口径'!$O$24</x:f>
        <x:v>4.2</x:v>
      </x:c>
      <x:c r="P390" s="19" t="str">
        <x:f>IF(N390&lt;0,"缺货",IF(N390&lt;O390,"预警","正常"))</x:f>
        <x:v>正常</x:v>
      </x:c>
      <x:c r="Q390" s="19" t="str">
        <x:v>鲈鱼0707-05</x:v>
      </x:c>
    </x:row>
    <x:row r="391">
      <x:c r="A391" s="19" t="str">
        <x:v>2026-07-08|S05|鲈鱼</x:v>
      </x:c>
      <x:c r="B391" s="34" t="n">
        <x:v>46211.5</x:v>
      </x:c>
      <x:c r="C391" s="19" t="str">
        <x:v>S05</x:v>
      </x:c>
      <x:c r="D391" s="19" t="str">
        <x:v>同顺街店</x:v>
      </x:c>
      <x:c r="E391" s="19" t="str">
        <x:v>鲈鱼</x:v>
      </x:c>
      <x:c r="F391" s="32" t="n">
        <x:v>6.902906645522547</x:v>
      </x:c>
      <x:c r="G391" s="32" t="n">
        <x:v>3.4889478346912535</x:v>
      </x:c>
      <x:c r="H391" s="24" t="n">
        <x:f>'菜品日销量'!G596*500/1000</x:f>
        <x:v>3</x:v>
      </x:c>
      <x:c r="I391" s="36" t="n">
        <x:v>0.020066984002494015</x:v>
      </x:c>
      <x:c r="J391" s="24" t="n">
        <x:f>H391*I391</x:f>
        <x:v>0.060200952007482045</x:v>
      </x:c>
      <x:c r="K391" s="32" t="n">
        <x:v>0</x:v>
      </x:c>
      <x:c r="L391" s="32" t="n">
        <x:v>0</x:v>
      </x:c>
      <x:c r="M391" s="32" t="n">
        <x:v>0</x:v>
      </x:c>
      <x:c r="N391" s="24" t="n">
        <x:f>F391+G391+K391-L391+M391-H391-J391</x:f>
        <x:v>7.33165352820632</x:v>
      </x:c>
      <x:c r="O391" s="24" t="n">
        <x:f>H391*'封面与口径'!$O$24</x:f>
        <x:v>3.5999999999999996</x:v>
      </x:c>
      <x:c r="P391" s="19" t="str">
        <x:f>IF(N391&lt;0,"缺货",IF(N391&lt;O391,"预警","正常"))</x:f>
        <x:v>正常</x:v>
      </x:c>
      <x:c r="Q391" s="19" t="str">
        <x:v>鲈鱼0708-05</x:v>
      </x:c>
    </x:row>
    <x:row r="392">
      <x:c r="A392" s="19" t="str">
        <x:v>2026-07-09|S05|鲈鱼</x:v>
      </x:c>
      <x:c r="B392" s="34" t="n">
        <x:v>46212.5</x:v>
      </x:c>
      <x:c r="C392" s="19" t="str">
        <x:v>S05</x:v>
      </x:c>
      <x:c r="D392" s="19" t="str">
        <x:v>同顺街店</x:v>
      </x:c>
      <x:c r="E392" s="19" t="str">
        <x:v>鲈鱼</x:v>
      </x:c>
      <x:c r="F392" s="32" t="n">
        <x:v>7.331653528206319</x:v>
      </x:c>
      <x:c r="G392" s="32" t="n">
        <x:v>3.521841357835066</x:v>
      </x:c>
      <x:c r="H392" s="24" t="n">
        <x:f>'菜品日销量'!G616*500/1000</x:f>
        <x:v>3</x:v>
      </x:c>
      <x:c r="I392" s="36" t="n">
        <x:v>0.02972850565675844</x:v>
      </x:c>
      <x:c r="J392" s="24" t="n">
        <x:f>H392*I392</x:f>
        <x:v>0.08918551697027532</x:v>
      </x:c>
      <x:c r="K392" s="32" t="n">
        <x:v>0</x:v>
      </x:c>
      <x:c r="L392" s="32" t="n">
        <x:v>0</x:v>
      </x:c>
      <x:c r="M392" s="32" t="n">
        <x:v>0</x:v>
      </x:c>
      <x:c r="N392" s="24" t="n">
        <x:f>F392+G392+K392-L392+M392-H392-J392</x:f>
        <x:v>7.7643093690711105</x:v>
      </x:c>
      <x:c r="O392" s="24" t="n">
        <x:f>H392*'封面与口径'!$O$24</x:f>
        <x:v>3.5999999999999996</x:v>
      </x:c>
      <x:c r="P392" s="19" t="str">
        <x:f>IF(N392&lt;0,"缺货",IF(N392&lt;O392,"预警","正常"))</x:f>
        <x:v>正常</x:v>
      </x:c>
      <x:c r="Q392" s="19" t="str">
        <x:v>鲈鱼0709-05</x:v>
      </x:c>
    </x:row>
    <x:row r="393">
      <x:c r="A393" s="19" t="str">
        <x:v>2026-07-10|S05|鲈鱼</x:v>
      </x:c>
      <x:c r="B393" s="34" t="n">
        <x:v>46213.5</x:v>
      </x:c>
      <x:c r="C393" s="19" t="str">
        <x:v>S05</x:v>
      </x:c>
      <x:c r="D393" s="19" t="str">
        <x:v>同顺街店</x:v>
      </x:c>
      <x:c r="E393" s="19" t="str">
        <x:v>鲈鱼</x:v>
      </x:c>
      <x:c r="F393" s="32" t="n">
        <x:v>7.7643093690711105</x:v>
      </x:c>
      <x:c r="G393" s="32" t="n">
        <x:v>4.064248482944501</x:v>
      </x:c>
      <x:c r="H393" s="24" t="n">
        <x:f>'菜品日销量'!G636*500/1000</x:f>
        <x:v>3.5</x:v>
      </x:c>
      <x:c r="I393" s="36" t="n">
        <x:v>0.0334827452219284</x:v>
      </x:c>
      <x:c r="J393" s="24" t="n">
        <x:f>H393*I393</x:f>
        <x:v>0.1171896082767494</x:v>
      </x:c>
      <x:c r="K393" s="32" t="n">
        <x:v>0</x:v>
      </x:c>
      <x:c r="L393" s="32" t="n">
        <x:v>0</x:v>
      </x:c>
      <x:c r="M393" s="32" t="n">
        <x:v>0</x:v>
      </x:c>
      <x:c r="N393" s="24" t="n">
        <x:f>F393+G393+K393-L393+M393-H393-J393</x:f>
        <x:v>8.211368243738862</x:v>
      </x:c>
      <x:c r="O393" s="24" t="n">
        <x:f>H393*'封面与口径'!$O$24</x:f>
        <x:v>4.2</x:v>
      </x:c>
      <x:c r="P393" s="19" t="str">
        <x:f>IF(N393&lt;0,"缺货",IF(N393&lt;O393,"预警","正常"))</x:f>
        <x:v>正常</x:v>
      </x:c>
      <x:c r="Q393" s="19" t="str">
        <x:v>鲈鱼0710-05</x:v>
      </x:c>
    </x:row>
    <x:row r="394">
      <x:c r="A394" s="19" t="str">
        <x:v>2026-07-11|S05|鲈鱼</x:v>
      </x:c>
      <x:c r="B394" s="34" t="n">
        <x:v>46214.5</x:v>
      </x:c>
      <x:c r="C394" s="19" t="str">
        <x:v>S05</x:v>
      </x:c>
      <x:c r="D394" s="19" t="str">
        <x:v>同顺街店</x:v>
      </x:c>
      <x:c r="E394" s="19" t="str">
        <x:v>鲈鱼</x:v>
      </x:c>
      <x:c r="F394" s="32" t="n">
        <x:v>8.211368243738862</x:v>
      </x:c>
      <x:c r="G394" s="32" t="n">
        <x:v>2.859204120551982</x:v>
      </x:c>
      <x:c r="H394" s="24" t="n">
        <x:f>'菜品日销量'!G656*500/1000</x:f>
        <x:v>2.5</x:v>
      </x:c>
      <x:c r="I394" s="36" t="n">
        <x:v>0.024318940559010706</x:v>
      </x:c>
      <x:c r="J394" s="24" t="n">
        <x:f>H394*I394</x:f>
        <x:v>0.06079735139752677</x:v>
      </x:c>
      <x:c r="K394" s="32" t="n">
        <x:v>0</x:v>
      </x:c>
      <x:c r="L394" s="32" t="n">
        <x:v>0</x:v>
      </x:c>
      <x:c r="M394" s="32" t="n">
        <x:v>0</x:v>
      </x:c>
      <x:c r="N394" s="24" t="n">
        <x:f>F394+G394+K394-L394+M394-H394-J394</x:f>
        <x:v>8.509775012893316</x:v>
      </x:c>
      <x:c r="O394" s="24" t="n">
        <x:f>H394*'封面与口径'!$O$24</x:f>
        <x:v>3</x:v>
      </x:c>
      <x:c r="P394" s="19" t="str">
        <x:f>IF(N394&lt;0,"缺货",IF(N394&lt;O394,"预警","正常"))</x:f>
        <x:v>正常</x:v>
      </x:c>
      <x:c r="Q394" s="19" t="str">
        <x:v>鲈鱼0711-05</x:v>
      </x:c>
    </x:row>
    <x:row r="395">
      <x:c r="A395" s="19" t="str">
        <x:v>2026-07-12|S05|鲈鱼</x:v>
      </x:c>
      <x:c r="B395" s="34" t="n">
        <x:v>46215.5</x:v>
      </x:c>
      <x:c r="C395" s="19" t="str">
        <x:v>S05</x:v>
      </x:c>
      <x:c r="D395" s="19" t="str">
        <x:v>同顺街店</x:v>
      </x:c>
      <x:c r="E395" s="19" t="str">
        <x:v>鲈鱼</x:v>
      </x:c>
      <x:c r="F395" s="32" t="n">
        <x:v>8.509775012893316</x:v>
      </x:c>
      <x:c r="G395" s="32" t="n">
        <x:v>2.709180761200651</x:v>
      </x:c>
      <x:c r="H395" s="24" t="n">
        <x:f>'菜品日销量'!G676*500/1000</x:f>
        <x:v>2.5</x:v>
      </x:c>
      <x:c r="I395" s="36" t="n">
        <x:v>0.024583401402827214</x:v>
      </x:c>
      <x:c r="J395" s="24" t="n">
        <x:f>H395*I395</x:f>
        <x:v>0.06145850350706804</x:v>
      </x:c>
      <x:c r="K395" s="32" t="n">
        <x:v>0</x:v>
      </x:c>
      <x:c r="L395" s="32" t="n">
        <x:v>0</x:v>
      </x:c>
      <x:c r="M395" s="32" t="n">
        <x:v>0</x:v>
      </x:c>
      <x:c r="N395" s="24" t="n">
        <x:f>F395+G395+K395-L395+M395-H395-J395</x:f>
        <x:v>8.6574972705869</x:v>
      </x:c>
      <x:c r="O395" s="24" t="n">
        <x:f>H395*'封面与口径'!$O$24</x:f>
        <x:v>3</x:v>
      </x:c>
      <x:c r="P395" s="19" t="str">
        <x:f>IF(N395&lt;0,"缺货",IF(N395&lt;O395,"预警","正常"))</x:f>
        <x:v>正常</x:v>
      </x:c>
      <x:c r="Q395" s="19" t="str">
        <x:v>鲈鱼0712-05</x:v>
      </x:c>
    </x:row>
    <x:row r="396">
      <x:c r="A396" s="19" t="str">
        <x:v>2026-07-13|S05|鲈鱼</x:v>
      </x:c>
      <x:c r="B396" s="34" t="n">
        <x:v>46216.5</x:v>
      </x:c>
      <x:c r="C396" s="19" t="str">
        <x:v>S05</x:v>
      </x:c>
      <x:c r="D396" s="19" t="str">
        <x:v>同顺街店</x:v>
      </x:c>
      <x:c r="E396" s="19" t="str">
        <x:v>鲈鱼</x:v>
      </x:c>
      <x:c r="F396" s="32" t="n">
        <x:v>8.657497270586898</x:v>
      </x:c>
      <x:c r="G396" s="32" t="n">
        <x:v>3.9291646949921657</x:v>
      </x:c>
      <x:c r="H396" s="24" t="n">
        <x:f>'菜品日销量'!G696*500/1000</x:f>
        <x:v>3.5</x:v>
      </x:c>
      <x:c r="I396" s="36" t="n">
        <x:v>0.022012400422713813</x:v>
      </x:c>
      <x:c r="J396" s="24" t="n">
        <x:f>H396*I396</x:f>
        <x:v>0.07704340147949834</x:v>
      </x:c>
      <x:c r="K396" s="32" t="n">
        <x:v>0</x:v>
      </x:c>
      <x:c r="L396" s="32" t="n">
        <x:v>0</x:v>
      </x:c>
      <x:c r="M396" s="32" t="n">
        <x:v>0</x:v>
      </x:c>
      <x:c r="N396" s="24" t="n">
        <x:f>F396+G396+K396-L396+M396-H396-J396</x:f>
        <x:v>9.009618564099565</x:v>
      </x:c>
      <x:c r="O396" s="24" t="n">
        <x:f>H396*'封面与口径'!$O$24</x:f>
        <x:v>4.2</x:v>
      </x:c>
      <x:c r="P396" s="19" t="str">
        <x:f>IF(N396&lt;0,"缺货",IF(N396&lt;O396,"预警","正常"))</x:f>
        <x:v>正常</x:v>
      </x:c>
      <x:c r="Q396" s="19" t="str">
        <x:v>鲈鱼0713-05</x:v>
      </x:c>
    </x:row>
    <x:row r="397">
      <x:c r="A397" s="19" t="str">
        <x:v>2026-07-07|S05|酸包菜</x:v>
      </x:c>
      <x:c r="B397" s="34" t="n">
        <x:v>46210.5</x:v>
      </x:c>
      <x:c r="C397" s="19" t="str">
        <x:v>S05</x:v>
      </x:c>
      <x:c r="D397" s="19" t="str">
        <x:v>同顺街店</x:v>
      </x:c>
      <x:c r="E397" s="19" t="str">
        <x:v>酸包菜</x:v>
      </x:c>
      <x:c r="F397" s="32" t="n">
        <x:v>14.04</x:v>
      </x:c>
      <x:c r="G397" s="32" t="n">
        <x:v>8.834836219026435</x:v>
      </x:c>
      <x:c r="H397" s="24" t="n">
        <x:f>'菜品日销量'!G568*200/1000</x:f>
        <x:v>7.8</x:v>
      </x:c>
      <x:c r="I397" s="36" t="n">
        <x:v>0.03869622020020527</x:v>
      </x:c>
      <x:c r="J397" s="24" t="n">
        <x:f>H397*I397</x:f>
        <x:v>0.3018305175616011</x:v>
      </x:c>
      <x:c r="K397" s="32" t="n">
        <x:v>0</x:v>
      </x:c>
      <x:c r="L397" s="32" t="n">
        <x:v>0</x:v>
      </x:c>
      <x:c r="M397" s="32" t="n">
        <x:v>0</x:v>
      </x:c>
      <x:c r="N397" s="24" t="n">
        <x:f>F397+G397+K397-L397+M397-H397-J397</x:f>
        <x:v>14.773005701464832</x:v>
      </x:c>
      <x:c r="O397" s="24" t="n">
        <x:f>H397*'封面与口径'!$O$24</x:f>
        <x:v>9.36</x:v>
      </x:c>
      <x:c r="P397" s="19" t="str">
        <x:f>IF(N397&lt;0,"缺货",IF(N397&lt;O397,"预警","正常"))</x:f>
        <x:v>正常</x:v>
      </x:c>
      <x:c r="Q397" s="19" t="str">
        <x:v>酸包0707-05</x:v>
      </x:c>
    </x:row>
    <x:row r="398">
      <x:c r="A398" s="19" t="str">
        <x:v>2026-07-08|S05|酸包菜</x:v>
      </x:c>
      <x:c r="B398" s="34" t="n">
        <x:v>46211.5</x:v>
      </x:c>
      <x:c r="C398" s="19" t="str">
        <x:v>S05</x:v>
      </x:c>
      <x:c r="D398" s="19" t="str">
        <x:v>同顺街店</x:v>
      </x:c>
      <x:c r="E398" s="19" t="str">
        <x:v>酸包菜</x:v>
      </x:c>
      <x:c r="F398" s="32" t="n">
        <x:v>14.773005701464834</x:v>
      </x:c>
      <x:c r="G398" s="32" t="n">
        <x:v>8.018564523239286</x:v>
      </x:c>
      <x:c r="H398" s="24" t="n">
        <x:f>'菜品日销量'!G588*200/1000</x:f>
        <x:v>7.2</x:v>
      </x:c>
      <x:c r="I398" s="36" t="n">
        <x:v>0.02753355043300743</x:v>
      </x:c>
      <x:c r="J398" s="24" t="n">
        <x:f>H398*I398</x:f>
        <x:v>0.19824156311765348</x:v>
      </x:c>
      <x:c r="K398" s="32" t="n">
        <x:v>0</x:v>
      </x:c>
      <x:c r="L398" s="32" t="n">
        <x:v>0</x:v>
      </x:c>
      <x:c r="M398" s="32" t="n">
        <x:v>0</x:v>
      </x:c>
      <x:c r="N398" s="24" t="n">
        <x:f>F398+G398+K398-L398+M398-H398-J398</x:f>
        <x:v>15.393328661586468</x:v>
      </x:c>
      <x:c r="O398" s="24" t="n">
        <x:f>H398*'封面与口径'!$O$24</x:f>
        <x:v>8.64</x:v>
      </x:c>
      <x:c r="P398" s="19" t="str">
        <x:f>IF(N398&lt;0,"缺货",IF(N398&lt;O398,"预警","正常"))</x:f>
        <x:v>正常</x:v>
      </x:c>
      <x:c r="Q398" s="19" t="str">
        <x:v>酸包0708-05</x:v>
      </x:c>
    </x:row>
    <x:row r="399">
      <x:c r="A399" s="19" t="str">
        <x:v>2026-07-09|S05|酸包菜</x:v>
      </x:c>
      <x:c r="B399" s="34" t="n">
        <x:v>46212.5</x:v>
      </x:c>
      <x:c r="C399" s="19" t="str">
        <x:v>S05</x:v>
      </x:c>
      <x:c r="D399" s="19" t="str">
        <x:v>同顺街店</x:v>
      </x:c>
      <x:c r="E399" s="19" t="str">
        <x:v>酸包菜</x:v>
      </x:c>
      <x:c r="F399" s="32" t="n">
        <x:v>15.393328661586466</x:v>
      </x:c>
      <x:c r="G399" s="32" t="n">
        <x:v>8.252345892519772</x:v>
      </x:c>
      <x:c r="H399" s="24" t="n">
        <x:f>'菜品日销量'!G608*200/1000</x:f>
        <x:v>7</x:v>
      </x:c>
      <x:c r="I399" s="36" t="n">
        <x:v>0.018203780513304235</x:v>
      </x:c>
      <x:c r="J399" s="24" t="n">
        <x:f>H399*I399</x:f>
        <x:v>0.12742646359312965</x:v>
      </x:c>
      <x:c r="K399" s="32" t="n">
        <x:v>0</x:v>
      </x:c>
      <x:c r="L399" s="32" t="n">
        <x:v>0</x:v>
      </x:c>
      <x:c r="M399" s="32" t="n">
        <x:v>0</x:v>
      </x:c>
      <x:c r="N399" s="24" t="n">
        <x:f>F399+G399+K399-L399+M399-H399-J399</x:f>
        <x:v>16.518248090513108</x:v>
      </x:c>
      <x:c r="O399" s="24" t="n">
        <x:f>H399*'封面与口径'!$O$24</x:f>
        <x:v>8.4</x:v>
      </x:c>
      <x:c r="P399" s="19" t="str">
        <x:f>IF(N399&lt;0,"缺货",IF(N399&lt;O399,"预警","正常"))</x:f>
        <x:v>正常</x:v>
      </x:c>
      <x:c r="Q399" s="19" t="str">
        <x:v>酸包0709-05</x:v>
      </x:c>
    </x:row>
    <x:row r="400">
      <x:c r="A400" s="19" t="str">
        <x:v>2026-07-10|S05|酸包菜</x:v>
      </x:c>
      <x:c r="B400" s="34" t="n">
        <x:v>46213.5</x:v>
      </x:c>
      <x:c r="C400" s="19" t="str">
        <x:v>S05</x:v>
      </x:c>
      <x:c r="D400" s="19" t="str">
        <x:v>同顺街店</x:v>
      </x:c>
      <x:c r="E400" s="19" t="str">
        <x:v>酸包菜</x:v>
      </x:c>
      <x:c r="F400" s="32" t="n">
        <x:v>16.518248090513108</x:v>
      </x:c>
      <x:c r="G400" s="32" t="n">
        <x:v>8.145584572950748</x:v>
      </x:c>
      <x:c r="H400" s="24" t="n">
        <x:f>'菜品日销量'!G628*200/1000</x:f>
        <x:v>7</x:v>
      </x:c>
      <x:c r="I400" s="36" t="n">
        <x:v>0.020269491062562327</x:v>
      </x:c>
      <x:c r="J400" s="24" t="n">
        <x:f>H400*I400</x:f>
        <x:v>0.1418864374379363</x:v>
      </x:c>
      <x:c r="K400" s="32" t="n">
        <x:v>0</x:v>
      </x:c>
      <x:c r="L400" s="32" t="n">
        <x:v>0</x:v>
      </x:c>
      <x:c r="M400" s="32" t="n">
        <x:v>0</x:v>
      </x:c>
      <x:c r="N400" s="24" t="n">
        <x:f>F400+G400+K400-L400+M400-H400-J400</x:f>
        <x:v>17.52194622602592</x:v>
      </x:c>
      <x:c r="O400" s="24" t="n">
        <x:f>H400*'封面与口径'!$O$24</x:f>
        <x:v>8.4</x:v>
      </x:c>
      <x:c r="P400" s="19" t="str">
        <x:f>IF(N400&lt;0,"缺货",IF(N400&lt;O400,"预警","正常"))</x:f>
        <x:v>正常</x:v>
      </x:c>
      <x:c r="Q400" s="19" t="str">
        <x:v>酸包0710-05</x:v>
      </x:c>
    </x:row>
    <x:row r="401">
      <x:c r="A401" s="19" t="str">
        <x:v>2026-07-11|S05|酸包菜</x:v>
      </x:c>
      <x:c r="B401" s="34" t="n">
        <x:v>46214.5</x:v>
      </x:c>
      <x:c r="C401" s="19" t="str">
        <x:v>S05</x:v>
      </x:c>
      <x:c r="D401" s="19" t="str">
        <x:v>同顺街店</x:v>
      </x:c>
      <x:c r="E401" s="19" t="str">
        <x:v>酸包菜</x:v>
      </x:c>
      <x:c r="F401" s="32" t="n">
        <x:v>17.52194622602592</x:v>
      </x:c>
      <x:c r="G401" s="32" t="n">
        <x:v>6.550187289705077</x:v>
      </x:c>
      <x:c r="H401" s="24" t="n">
        <x:f>'菜品日销量'!G648*200/1000</x:f>
        <x:v>5.6</x:v>
      </x:c>
      <x:c r="I401" s="36" t="n">
        <x:v>0.02569248771776736</x:v>
      </x:c>
      <x:c r="J401" s="24" t="n">
        <x:f>H401*I401</x:f>
        <x:v>0.1438779312194972</x:v>
      </x:c>
      <x:c r="K401" s="32" t="n">
        <x:v>0</x:v>
      </x:c>
      <x:c r="L401" s="32" t="n">
        <x:v>0</x:v>
      </x:c>
      <x:c r="M401" s="32" t="n">
        <x:v>0</x:v>
      </x:c>
      <x:c r="N401" s="24" t="n">
        <x:f>F401+G401+K401-L401+M401-H401-J401</x:f>
        <x:v>18.3282555845115</x:v>
      </x:c>
      <x:c r="O401" s="24" t="n">
        <x:f>H401*'封面与口径'!$O$24</x:f>
        <x:v>6.72</x:v>
      </x:c>
      <x:c r="P401" s="19" t="str">
        <x:f>IF(N401&lt;0,"缺货",IF(N401&lt;O401,"预警","正常"))</x:f>
        <x:v>正常</x:v>
      </x:c>
      <x:c r="Q401" s="19" t="str">
        <x:v>酸包0711-05</x:v>
      </x:c>
    </x:row>
    <x:row r="402">
      <x:c r="A402" s="19" t="str">
        <x:v>2026-07-12|S05|酸包菜</x:v>
      </x:c>
      <x:c r="B402" s="34" t="n">
        <x:v>46215.5</x:v>
      </x:c>
      <x:c r="C402" s="19" t="str">
        <x:v>S05</x:v>
      </x:c>
      <x:c r="D402" s="19" t="str">
        <x:v>同顺街店</x:v>
      </x:c>
      <x:c r="E402" s="19" t="str">
        <x:v>酸包菜</x:v>
      </x:c>
      <x:c r="F402" s="32" t="n">
        <x:v>18.3282555845115</x:v>
      </x:c>
      <x:c r="G402" s="32" t="n">
        <x:v>6.610423832413374</x:v>
      </x:c>
      <x:c r="H402" s="24" t="n">
        <x:f>'菜品日销量'!G668*200/1000</x:f>
        <x:v>5.6</x:v>
      </x:c>
      <x:c r="I402" s="36" t="n">
        <x:v>0.029854823900352892</x:v>
      </x:c>
      <x:c r="J402" s="24" t="n">
        <x:f>H402*I402</x:f>
        <x:v>0.16718701384197618</x:v>
      </x:c>
      <x:c r="K402" s="32" t="n">
        <x:v>0</x:v>
      </x:c>
      <x:c r="L402" s="32" t="n">
        <x:v>0</x:v>
      </x:c>
      <x:c r="M402" s="32" t="n">
        <x:v>0</x:v>
      </x:c>
      <x:c r="N402" s="24" t="n">
        <x:f>F402+G402+K402-L402+M402-H402-J402</x:f>
        <x:v>19.1714924030829</x:v>
      </x:c>
      <x:c r="O402" s="24" t="n">
        <x:f>H402*'封面与口径'!$O$24</x:f>
        <x:v>6.72</x:v>
      </x:c>
      <x:c r="P402" s="19" t="str">
        <x:f>IF(N402&lt;0,"缺货",IF(N402&lt;O402,"预警","正常"))</x:f>
        <x:v>正常</x:v>
      </x:c>
      <x:c r="Q402" s="19" t="str">
        <x:v>酸包0712-05</x:v>
      </x:c>
    </x:row>
    <x:row r="403">
      <x:c r="A403" s="19" t="str">
        <x:v>2026-07-13|S05|酸包菜</x:v>
      </x:c>
      <x:c r="B403" s="34" t="n">
        <x:v>46216.5</x:v>
      </x:c>
      <x:c r="C403" s="19" t="str">
        <x:v>S05</x:v>
      </x:c>
      <x:c r="D403" s="19" t="str">
        <x:v>同顺街店</x:v>
      </x:c>
      <x:c r="E403" s="19" t="str">
        <x:v>酸包菜</x:v>
      </x:c>
      <x:c r="F403" s="32" t="n">
        <x:v>19.171492403082897</x:v>
      </x:c>
      <x:c r="G403" s="32" t="n">
        <x:v>9.04712298086824</x:v>
      </x:c>
      <x:c r="H403" s="24" t="n">
        <x:f>'菜品日销量'!G688*200/1000</x:f>
        <x:v>7.6</x:v>
      </x:c>
      <x:c r="I403" s="36" t="n">
        <x:v>0.030851962826180263</x:v>
      </x:c>
      <x:c r="J403" s="24" t="n">
        <x:f>H403*I403</x:f>
        <x:v>0.23447491747896998</x:v>
      </x:c>
      <x:c r="K403" s="32" t="n">
        <x:v>0</x:v>
      </x:c>
      <x:c r="L403" s="32" t="n">
        <x:v>0</x:v>
      </x:c>
      <x:c r="M403" s="32" t="n">
        <x:v>0</x:v>
      </x:c>
      <x:c r="N403" s="24" t="n">
        <x:f>F403+G403+K403-L403+M403-H403-J403</x:f>
        <x:v>20.384140466472168</x:v>
      </x:c>
      <x:c r="O403" s="24" t="n">
        <x:f>H403*'封面与口径'!$O$24</x:f>
        <x:v>9.12</x:v>
      </x:c>
      <x:c r="P403" s="19" t="str">
        <x:f>IF(N403&lt;0,"缺货",IF(N403&lt;O403,"预警","正常"))</x:f>
        <x:v>正常</x:v>
      </x:c>
      <x:c r="Q403" s="19" t="str">
        <x:v>酸包0713-05</x:v>
      </x:c>
    </x:row>
    <x:row r="404">
      <x:c r="A404" s="19" t="str">
        <x:v>2026-07-07|S05|粉皮</x:v>
      </x:c>
      <x:c r="B404" s="34" t="n">
        <x:v>46210.5</x:v>
      </x:c>
      <x:c r="C404" s="19" t="str">
        <x:v>S05</x:v>
      </x:c>
      <x:c r="D404" s="19" t="str">
        <x:v>同顺街店</x:v>
      </x:c>
      <x:c r="E404" s="19" t="str">
        <x:v>粉皮</x:v>
      </x:c>
      <x:c r="F404" s="32" t="n">
        <x:v>10.53</x:v>
      </x:c>
      <x:c r="G404" s="32" t="n">
        <x:v>6.646348720654927</x:v>
      </x:c>
      <x:c r="H404" s="24" t="n">
        <x:f>'菜品日销量'!G568*150/1000</x:f>
        <x:v>5.85</x:v>
      </x:c>
      <x:c r="I404" s="36" t="n">
        <x:v>0.024179559439462508</x:v>
      </x:c>
      <x:c r="J404" s="24" t="n">
        <x:f>H404*I404</x:f>
        <x:v>0.14145042272085567</x:v>
      </x:c>
      <x:c r="K404" s="32" t="n">
        <x:v>0</x:v>
      </x:c>
      <x:c r="L404" s="32" t="n">
        <x:v>0</x:v>
      </x:c>
      <x:c r="M404" s="32" t="n">
        <x:v>0</x:v>
      </x:c>
      <x:c r="N404" s="24" t="n">
        <x:f>F404+G404+K404-L404+M404-H404-J404</x:f>
        <x:v>11.184898297934073</x:v>
      </x:c>
      <x:c r="O404" s="24" t="n">
        <x:f>H404*'封面与口径'!$O$24</x:f>
        <x:v>7.02</x:v>
      </x:c>
      <x:c r="P404" s="19" t="str">
        <x:f>IF(N404&lt;0,"缺货",IF(N404&lt;O404,"预警","正常"))</x:f>
        <x:v>正常</x:v>
      </x:c>
      <x:c r="Q404" s="19" t="str">
        <x:v>粉皮0707-05</x:v>
      </x:c>
    </x:row>
    <x:row r="405">
      <x:c r="A405" s="19" t="str">
        <x:v>2026-07-08|S05|粉皮</x:v>
      </x:c>
      <x:c r="B405" s="34" t="n">
        <x:v>46211.5</x:v>
      </x:c>
      <x:c r="C405" s="19" t="str">
        <x:v>S05</x:v>
      </x:c>
      <x:c r="D405" s="19" t="str">
        <x:v>同顺街店</x:v>
      </x:c>
      <x:c r="E405" s="19" t="str">
        <x:v>粉皮</x:v>
      </x:c>
      <x:c r="F405" s="32" t="n">
        <x:v>11.184898297934073</x:v>
      </x:c>
      <x:c r="G405" s="32" t="n">
        <x:v>5.941216018223487</x:v>
      </x:c>
      <x:c r="H405" s="24" t="n">
        <x:f>'菜品日销量'!G588*150/1000</x:f>
        <x:v>5.4</x:v>
      </x:c>
      <x:c r="I405" s="36" t="n">
        <x:v>0.03459971929192537</x:v>
      </x:c>
      <x:c r="J405" s="24" t="n">
        <x:f>H405*I405</x:f>
        <x:v>0.18683848417639698</x:v>
      </x:c>
      <x:c r="K405" s="32" t="n">
        <x:v>0</x:v>
      </x:c>
      <x:c r="L405" s="32" t="n">
        <x:v>0</x:v>
      </x:c>
      <x:c r="M405" s="32" t="n">
        <x:v>0</x:v>
      </x:c>
      <x:c r="N405" s="24" t="n">
        <x:f>F405+G405+K405-L405+M405-H405-J405</x:f>
        <x:v>11.539275831981165</x:v>
      </x:c>
      <x:c r="O405" s="24" t="n">
        <x:f>H405*'封面与口径'!$O$24</x:f>
        <x:v>6.48</x:v>
      </x:c>
      <x:c r="P405" s="19" t="str">
        <x:f>IF(N405&lt;0,"缺货",IF(N405&lt;O405,"预警","正常"))</x:f>
        <x:v>正常</x:v>
      </x:c>
      <x:c r="Q405" s="19" t="str">
        <x:v>粉皮0708-05</x:v>
      </x:c>
    </x:row>
    <x:row r="406">
      <x:c r="A406" s="19" t="str">
        <x:v>2026-07-09|S05|粉皮</x:v>
      </x:c>
      <x:c r="B406" s="34" t="n">
        <x:v>46212.5</x:v>
      </x:c>
      <x:c r="C406" s="19" t="str">
        <x:v>S05</x:v>
      </x:c>
      <x:c r="D406" s="19" t="str">
        <x:v>同顺街店</x:v>
      </x:c>
      <x:c r="E406" s="19" t="str">
        <x:v>粉皮</x:v>
      </x:c>
      <x:c r="F406" s="32" t="n">
        <x:v>11.539275831981165</x:v>
      </x:c>
      <x:c r="G406" s="32" t="n">
        <x:v>6.093006214500174</x:v>
      </x:c>
      <x:c r="H406" s="24" t="n">
        <x:f>'菜品日销量'!G608*150/1000</x:f>
        <x:v>5.25</x:v>
      </x:c>
      <x:c r="I406" s="36" t="n">
        <x:v>0.03148630363435631</x:v>
      </x:c>
      <x:c r="J406" s="24" t="n">
        <x:f>H406*I406</x:f>
        <x:v>0.16530309408037064</x:v>
      </x:c>
      <x:c r="K406" s="32" t="n">
        <x:v>0</x:v>
      </x:c>
      <x:c r="L406" s="32" t="n">
        <x:v>0</x:v>
      </x:c>
      <x:c r="M406" s="32" t="n">
        <x:v>0</x:v>
      </x:c>
      <x:c r="N406" s="24" t="n">
        <x:f>F406+G406+K406-L406+M406-H406-J406</x:f>
        <x:v>12.21697895240097</x:v>
      </x:c>
      <x:c r="O406" s="24" t="n">
        <x:f>H406*'封面与口径'!$O$24</x:f>
        <x:v>6.3</x:v>
      </x:c>
      <x:c r="P406" s="19" t="str">
        <x:f>IF(N406&lt;0,"缺货",IF(N406&lt;O406,"预警","正常"))</x:f>
        <x:v>正常</x:v>
      </x:c>
      <x:c r="Q406" s="19" t="str">
        <x:v>粉皮0709-05</x:v>
      </x:c>
    </x:row>
    <x:row r="407">
      <x:c r="A407" s="19" t="str">
        <x:v>2026-07-10|S05|粉皮</x:v>
      </x:c>
      <x:c r="B407" s="34" t="n">
        <x:v>46213.5</x:v>
      </x:c>
      <x:c r="C407" s="19" t="str">
        <x:v>S05</x:v>
      </x:c>
      <x:c r="D407" s="19" t="str">
        <x:v>同顺街店</x:v>
      </x:c>
      <x:c r="E407" s="19" t="str">
        <x:v>粉皮</x:v>
      </x:c>
      <x:c r="F407" s="32" t="n">
        <x:v>12.21697895240097</x:v>
      </x:c>
      <x:c r="G407" s="32" t="n">
        <x:v>5.682764826578267</x:v>
      </x:c>
      <x:c r="H407" s="24" t="n">
        <x:f>'菜品日销量'!G628*150/1000</x:f>
        <x:v>5.25</x:v>
      </x:c>
      <x:c r="I407" s="36" t="n">
        <x:v>0.023617590596810352</x:v>
      </x:c>
      <x:c r="J407" s="24" t="n">
        <x:f>H407*I407</x:f>
        <x:v>0.12399235063325435</x:v>
      </x:c>
      <x:c r="K407" s="32" t="n">
        <x:v>0</x:v>
      </x:c>
      <x:c r="L407" s="32" t="n">
        <x:v>0</x:v>
      </x:c>
      <x:c r="M407" s="32" t="n">
        <x:v>0</x:v>
      </x:c>
      <x:c r="N407" s="24" t="n">
        <x:f>F407+G407+K407-L407+M407-H407-J407</x:f>
        <x:v>12.52575142834598</x:v>
      </x:c>
      <x:c r="O407" s="24" t="n">
        <x:f>H407*'封面与口径'!$O$24</x:f>
        <x:v>6.3</x:v>
      </x:c>
      <x:c r="P407" s="19" t="str">
        <x:f>IF(N407&lt;0,"缺货",IF(N407&lt;O407,"预警","正常"))</x:f>
        <x:v>正常</x:v>
      </x:c>
      <x:c r="Q407" s="19" t="str">
        <x:v>粉皮0710-05</x:v>
      </x:c>
    </x:row>
    <x:row r="408">
      <x:c r="A408" s="19" t="str">
        <x:v>2026-07-11|S05|粉皮</x:v>
      </x:c>
      <x:c r="B408" s="34" t="n">
        <x:v>46214.5</x:v>
      </x:c>
      <x:c r="C408" s="19" t="str">
        <x:v>S05</x:v>
      </x:c>
      <x:c r="D408" s="19" t="str">
        <x:v>同顺街店</x:v>
      </x:c>
      <x:c r="E408" s="19" t="str">
        <x:v>粉皮</x:v>
      </x:c>
      <x:c r="F408" s="32" t="n">
        <x:v>12.52575142834598</x:v>
      </x:c>
      <x:c r="G408" s="32" t="n">
        <x:v>5.0349698048930085</x:v>
      </x:c>
      <x:c r="H408" s="24" t="n">
        <x:f>'菜品日销量'!G648*150/1000</x:f>
        <x:v>4.2</x:v>
      </x:c>
      <x:c r="I408" s="36" t="n">
        <x:v>0.036308392524092556</x:v>
      </x:c>
      <x:c r="J408" s="24" t="n">
        <x:f>H408*I408</x:f>
        <x:v>0.15249524860118874</x:v>
      </x:c>
      <x:c r="K408" s="32" t="n">
        <x:v>0</x:v>
      </x:c>
      <x:c r="L408" s="32" t="n">
        <x:v>0</x:v>
      </x:c>
      <x:c r="M408" s="32" t="n">
        <x:v>0</x:v>
      </x:c>
      <x:c r="N408" s="24" t="n">
        <x:f>F408+G408+K408-L408+M408-H408-J408</x:f>
        <x:v>13.208225984637801</x:v>
      </x:c>
      <x:c r="O408" s="24" t="n">
        <x:f>H408*'封面与口径'!$O$24</x:f>
        <x:v>5.04</x:v>
      </x:c>
      <x:c r="P408" s="19" t="str">
        <x:f>IF(N408&lt;0,"缺货",IF(N408&lt;O408,"预警","正常"))</x:f>
        <x:v>正常</x:v>
      </x:c>
      <x:c r="Q408" s="19" t="str">
        <x:v>粉皮0711-05</x:v>
      </x:c>
    </x:row>
    <x:row r="409">
      <x:c r="A409" s="19" t="str">
        <x:v>2026-07-12|S05|粉皮</x:v>
      </x:c>
      <x:c r="B409" s="34" t="n">
        <x:v>46215.5</x:v>
      </x:c>
      <x:c r="C409" s="19" t="str">
        <x:v>S05</x:v>
      </x:c>
      <x:c r="D409" s="19" t="str">
        <x:v>同顺街店</x:v>
      </x:c>
      <x:c r="E409" s="19" t="str">
        <x:v>粉皮</x:v>
      </x:c>
      <x:c r="F409" s="32" t="n">
        <x:v>13.208225984637801</x:v>
      </x:c>
      <x:c r="G409" s="32" t="n">
        <x:v>4.91273567424918</x:v>
      </x:c>
      <x:c r="H409" s="24" t="n">
        <x:f>'菜品日销量'!G668*150/1000</x:f>
        <x:v>4.2</x:v>
      </x:c>
      <x:c r="I409" s="36" t="n">
        <x:v>0.036568080141807</x:v>
      </x:c>
      <x:c r="J409" s="24" t="n">
        <x:f>H409*I409</x:f>
        <x:v>0.15358593659558942</x:v>
      </x:c>
      <x:c r="K409" s="32" t="n">
        <x:v>0</x:v>
      </x:c>
      <x:c r="L409" s="32" t="n">
        <x:v>0</x:v>
      </x:c>
      <x:c r="M409" s="32" t="n">
        <x:v>0</x:v>
      </x:c>
      <x:c r="N409" s="24" t="n">
        <x:f>F409+G409+K409-L409+M409-H409-J409</x:f>
        <x:v>13.76737572229139</x:v>
      </x:c>
      <x:c r="O409" s="24" t="n">
        <x:f>H409*'封面与口径'!$O$24</x:f>
        <x:v>5.04</x:v>
      </x:c>
      <x:c r="P409" s="19" t="str">
        <x:f>IF(N409&lt;0,"缺货",IF(N409&lt;O409,"预警","正常"))</x:f>
        <x:v>正常</x:v>
      </x:c>
      <x:c r="Q409" s="19" t="str">
        <x:v>粉皮0712-05</x:v>
      </x:c>
    </x:row>
    <x:row r="410">
      <x:c r="A410" s="19" t="str">
        <x:v>2026-07-13|S05|粉皮</x:v>
      </x:c>
      <x:c r="B410" s="34" t="n">
        <x:v>46216.5</x:v>
      </x:c>
      <x:c r="C410" s="19" t="str">
        <x:v>S05</x:v>
      </x:c>
      <x:c r="D410" s="19" t="str">
        <x:v>同顺街店</x:v>
      </x:c>
      <x:c r="E410" s="19" t="str">
        <x:v>粉皮</x:v>
      </x:c>
      <x:c r="F410" s="32" t="n">
        <x:v>13.76737572229139</x:v>
      </x:c>
      <x:c r="G410" s="32" t="n">
        <x:v>6.634238364756629</x:v>
      </x:c>
      <x:c r="H410" s="24" t="n">
        <x:f>'菜品日销量'!G688*150/1000</x:f>
        <x:v>5.7</x:v>
      </x:c>
      <x:c r="I410" s="36" t="n">
        <x:v>0.02377105250460353</x:v>
      </x:c>
      <x:c r="J410" s="24" t="n">
        <x:f>H410*I410</x:f>
        <x:v>0.13549499927624012</x:v>
      </x:c>
      <x:c r="K410" s="32" t="n">
        <x:v>0</x:v>
      </x:c>
      <x:c r="L410" s="32" t="n">
        <x:v>0</x:v>
      </x:c>
      <x:c r="M410" s="32" t="n">
        <x:v>0</x:v>
      </x:c>
      <x:c r="N410" s="24" t="n">
        <x:f>F410+G410+K410-L410+M410-H410-J410</x:f>
        <x:v>14.566119087771781</x:v>
      </x:c>
      <x:c r="O410" s="24" t="n">
        <x:f>H410*'封面与口径'!$O$24</x:f>
        <x:v>6.84</x:v>
      </x:c>
      <x:c r="P410" s="19" t="str">
        <x:f>IF(N410&lt;0,"缺货",IF(N410&lt;O410,"预警","正常"))</x:f>
        <x:v>正常</x:v>
      </x:c>
      <x:c r="Q410" s="19" t="str">
        <x:v>粉皮0713-05</x:v>
      </x:c>
    </x:row>
    <x:row r="411">
      <x:c r="A411" s="19" t="str">
        <x:v>2026-07-07|S05|鸡杂</x:v>
      </x:c>
      <x:c r="B411" s="34" t="n">
        <x:v>46210.5</x:v>
      </x:c>
      <x:c r="C411" s="19" t="str">
        <x:v>S05</x:v>
      </x:c>
      <x:c r="D411" s="19" t="str">
        <x:v>同顺街店</x:v>
      </x:c>
      <x:c r="E411" s="19" t="str">
        <x:v>鸡杂</x:v>
      </x:c>
      <x:c r="F411" s="32" t="n">
        <x:v>6.3</x:v>
      </x:c>
      <x:c r="G411" s="32" t="n">
        <x:v>3.9425387202209183</x:v>
      </x:c>
      <x:c r="H411" s="24" t="n">
        <x:f>'菜品日销量'!G578*250/1000+'菜品日销量'!G583*250/1000</x:f>
        <x:v>3.5</x:v>
      </x:c>
      <x:c r="I411" s="36" t="n">
        <x:v>0.03211367482601518</x:v>
      </x:c>
      <x:c r="J411" s="24" t="n">
        <x:f>H411*I411</x:f>
        <x:v>0.11239786189105314</x:v>
      </x:c>
      <x:c r="K411" s="32" t="n">
        <x:v>0</x:v>
      </x:c>
      <x:c r="L411" s="32" t="n">
        <x:v>0</x:v>
      </x:c>
      <x:c r="M411" s="32" t="n">
        <x:v>0</x:v>
      </x:c>
      <x:c r="N411" s="24" t="n">
        <x:f>F411+G411+K411-L411+M411-H411-J411</x:f>
        <x:v>6.630140858329864</x:v>
      </x:c>
      <x:c r="O411" s="24" t="n">
        <x:f>H411*'封面与口径'!$O$24</x:f>
        <x:v>4.2</x:v>
      </x:c>
      <x:c r="P411" s="19" t="str">
        <x:f>IF(N411&lt;0,"缺货",IF(N411&lt;O411,"预警","正常"))</x:f>
        <x:v>正常</x:v>
      </x:c>
      <x:c r="Q411" s="19" t="str">
        <x:v>鸡杂0707-05</x:v>
      </x:c>
    </x:row>
    <x:row r="412">
      <x:c r="A412" s="19" t="str">
        <x:v>2026-07-08|S05|鸡杂</x:v>
      </x:c>
      <x:c r="B412" s="34" t="n">
        <x:v>46211.5</x:v>
      </x:c>
      <x:c r="C412" s="19" t="str">
        <x:v>S05</x:v>
      </x:c>
      <x:c r="D412" s="19" t="str">
        <x:v>同顺街店</x:v>
      </x:c>
      <x:c r="E412" s="19" t="str">
        <x:v>鸡杂</x:v>
      </x:c>
      <x:c r="F412" s="32" t="n">
        <x:v>6.630140858329865</x:v>
      </x:c>
      <x:c r="G412" s="32" t="n">
        <x:v>3.849060624108897</x:v>
      </x:c>
      <x:c r="H412" s="24" t="n">
        <x:f>'菜品日销量'!G598*250/1000+'菜品日销量'!G603*250/1000</x:f>
        <x:v>3.25</x:v>
      </x:c>
      <x:c r="I412" s="36" t="n">
        <x:v>0.03679334486643629</x:v>
      </x:c>
      <x:c r="J412" s="24" t="n">
        <x:f>H412*I412</x:f>
        <x:v>0.11957837081591793</x:v>
      </x:c>
      <x:c r="K412" s="32" t="n">
        <x:v>0</x:v>
      </x:c>
      <x:c r="L412" s="32" t="n">
        <x:v>0</x:v>
      </x:c>
      <x:c r="M412" s="32" t="n">
        <x:v>0</x:v>
      </x:c>
      <x:c r="N412" s="24" t="n">
        <x:f>F412+G412+K412-L412+M412-H412-J412</x:f>
        <x:v>7.109623111622844</x:v>
      </x:c>
      <x:c r="O412" s="24" t="n">
        <x:f>H412*'封面与口径'!$O$24</x:f>
        <x:v>3.9</x:v>
      </x:c>
      <x:c r="P412" s="19" t="str">
        <x:f>IF(N412&lt;0,"缺货",IF(N412&lt;O412,"预警","正常"))</x:f>
        <x:v>正常</x:v>
      </x:c>
      <x:c r="Q412" s="19" t="str">
        <x:v>鸡杂0708-05</x:v>
      </x:c>
    </x:row>
    <x:row r="413">
      <x:c r="A413" s="19" t="str">
        <x:v>2026-07-09|S05|鸡杂</x:v>
      </x:c>
      <x:c r="B413" s="34" t="n">
        <x:v>46212.5</x:v>
      </x:c>
      <x:c r="C413" s="19" t="str">
        <x:v>S05</x:v>
      </x:c>
      <x:c r="D413" s="19" t="str">
        <x:v>同顺街店</x:v>
      </x:c>
      <x:c r="E413" s="19" t="str">
        <x:v>鸡杂</x:v>
      </x:c>
      <x:c r="F413" s="32" t="n">
        <x:v>7.109623111622844</x:v>
      </x:c>
      <x:c r="G413" s="32" t="n">
        <x:v>3.888352277818684</x:v>
      </x:c>
      <x:c r="H413" s="24" t="n">
        <x:f>'菜品日销量'!G618*250/1000+'菜品日销量'!G623*250/1000</x:f>
        <x:v>3.25</x:v>
      </x:c>
      <x:c r="I413" s="36" t="n">
        <x:v>0.02163549532919086</x:v>
      </x:c>
      <x:c r="J413" s="24" t="n">
        <x:f>H413*I413</x:f>
        <x:v>0.07031535981987029</x:v>
      </x:c>
      <x:c r="K413" s="32" t="n">
        <x:v>0</x:v>
      </x:c>
      <x:c r="L413" s="32" t="n">
        <x:v>0</x:v>
      </x:c>
      <x:c r="M413" s="32" t="n">
        <x:v>0</x:v>
      </x:c>
      <x:c r="N413" s="24" t="n">
        <x:f>F413+G413+K413-L413+M413-H413-J413</x:f>
        <x:v>7.6776600296216575</x:v>
      </x:c>
      <x:c r="O413" s="24" t="n">
        <x:f>H413*'封面与口径'!$O$24</x:f>
        <x:v>3.9</x:v>
      </x:c>
      <x:c r="P413" s="19" t="str">
        <x:f>IF(N413&lt;0,"缺货",IF(N413&lt;O413,"预警","正常"))</x:f>
        <x:v>正常</x:v>
      </x:c>
      <x:c r="Q413" s="19" t="str">
        <x:v>鸡杂0709-05</x:v>
      </x:c>
    </x:row>
    <x:row r="414">
      <x:c r="A414" s="19" t="str">
        <x:v>2026-07-10|S05|鸡杂</x:v>
      </x:c>
      <x:c r="B414" s="34" t="n">
        <x:v>46213.5</x:v>
      </x:c>
      <x:c r="C414" s="19" t="str">
        <x:v>S05</x:v>
      </x:c>
      <x:c r="D414" s="19" t="str">
        <x:v>同顺街店</x:v>
      </x:c>
      <x:c r="E414" s="19" t="str">
        <x:v>鸡杂</x:v>
      </x:c>
      <x:c r="F414" s="32" t="n">
        <x:v>7.6776600296216575</x:v>
      </x:c>
      <x:c r="G414" s="32" t="n">
        <x:v>3.726485497741142</x:v>
      </x:c>
      <x:c r="H414" s="24" t="n">
        <x:f>'菜品日销量'!G638*250/1000+'菜品日销量'!G643*250/1000</x:f>
        <x:v>3.25</x:v>
      </x:c>
      <x:c r="I414" s="36" t="n">
        <x:v>0.030466160487957805</x:v>
      </x:c>
      <x:c r="J414" s="24" t="n">
        <x:f>H414*I414</x:f>
        <x:v>0.09901502158586287</x:v>
      </x:c>
      <x:c r="K414" s="32" t="n">
        <x:v>0</x:v>
      </x:c>
      <x:c r="L414" s="32" t="n">
        <x:v>0</x:v>
      </x:c>
      <x:c r="M414" s="32" t="n">
        <x:v>0</x:v>
      </x:c>
      <x:c r="N414" s="24" t="n">
        <x:f>F414+G414+K414-L414+M414-H414-J414</x:f>
        <x:v>8.055130505776937</x:v>
      </x:c>
      <x:c r="O414" s="24" t="n">
        <x:f>H414*'封面与口径'!$O$24</x:f>
        <x:v>3.9</x:v>
      </x:c>
      <x:c r="P414" s="19" t="str">
        <x:f>IF(N414&lt;0,"缺货",IF(N414&lt;O414,"预警","正常"))</x:f>
        <x:v>正常</x:v>
      </x:c>
      <x:c r="Q414" s="19" t="str">
        <x:v>鸡杂0710-05</x:v>
      </x:c>
    </x:row>
    <x:row r="415">
      <x:c r="A415" s="19" t="str">
        <x:v>2026-07-11|S05|鸡杂</x:v>
      </x:c>
      <x:c r="B415" s="34" t="n">
        <x:v>46214.5</x:v>
      </x:c>
      <x:c r="C415" s="19" t="str">
        <x:v>S05</x:v>
      </x:c>
      <x:c r="D415" s="19" t="str">
        <x:v>同顺街店</x:v>
      </x:c>
      <x:c r="E415" s="19" t="str">
        <x:v>鸡杂</x:v>
      </x:c>
      <x:c r="F415" s="32" t="n">
        <x:v>8.055130505776937</x:v>
      </x:c>
      <x:c r="G415" s="32" t="n">
        <x:v>3.1412461834916026</x:v>
      </x:c>
      <x:c r="H415" s="24" t="n">
        <x:f>'菜品日销量'!G658*250/1000+'菜品日销量'!G663*250/1000</x:f>
        <x:v>2.75</x:v>
      </x:c>
      <x:c r="I415" s="36" t="n">
        <x:v>0.03902769898158212</x:v>
      </x:c>
      <x:c r="J415" s="24" t="n">
        <x:f>H415*I415</x:f>
        <x:v>0.10732617219935084</x:v>
      </x:c>
      <x:c r="K415" s="32" t="n">
        <x:v>0</x:v>
      </x:c>
      <x:c r="L415" s="32" t="n">
        <x:v>0</x:v>
      </x:c>
      <x:c r="M415" s="32" t="n">
        <x:v>0</x:v>
      </x:c>
      <x:c r="N415" s="24" t="n">
        <x:f>F415+G415+K415-L415+M415-H415-J415</x:f>
        <x:v>8.33905051706919</x:v>
      </x:c>
      <x:c r="O415" s="24" t="n">
        <x:f>H415*'封面与口径'!$O$24</x:f>
        <x:v>3.3</x:v>
      </x:c>
      <x:c r="P415" s="19" t="str">
        <x:f>IF(N415&lt;0,"缺货",IF(N415&lt;O415,"预警","正常"))</x:f>
        <x:v>正常</x:v>
      </x:c>
      <x:c r="Q415" s="19" t="str">
        <x:v>鸡杂0711-05</x:v>
      </x:c>
    </x:row>
    <x:row r="416">
      <x:c r="A416" s="19" t="str">
        <x:v>2026-07-12|S05|鸡杂</x:v>
      </x:c>
      <x:c r="B416" s="34" t="n">
        <x:v>46215.5</x:v>
      </x:c>
      <x:c r="C416" s="19" t="str">
        <x:v>S05</x:v>
      </x:c>
      <x:c r="D416" s="19" t="str">
        <x:v>同顺街店</x:v>
      </x:c>
      <x:c r="E416" s="19" t="str">
        <x:v>鸡杂</x:v>
      </x:c>
      <x:c r="F416" s="32" t="n">
        <x:v>8.33905051706919</x:v>
      </x:c>
      <x:c r="G416" s="32" t="n">
        <x:v>2.771636045135473</x:v>
      </x:c>
      <x:c r="H416" s="24" t="n">
        <x:f>'菜品日销量'!G678*250/1000+'菜品日销量'!G683*250/1000</x:f>
        <x:v>2.5</x:v>
      </x:c>
      <x:c r="I416" s="36" t="n">
        <x:v>0.03873434946609995</x:v>
      </x:c>
      <x:c r="J416" s="24" t="n">
        <x:f>H416*I416</x:f>
        <x:v>0.09683587366524987</x:v>
      </x:c>
      <x:c r="K416" s="32" t="n">
        <x:v>0</x:v>
      </x:c>
      <x:c r="L416" s="32" t="n">
        <x:v>0</x:v>
      </x:c>
      <x:c r="M416" s="32" t="n">
        <x:v>0</x:v>
      </x:c>
      <x:c r="N416" s="24" t="n">
        <x:f>F416+G416+K416-L416+M416-H416-J416</x:f>
        <x:v>8.513850688539414</x:v>
      </x:c>
      <x:c r="O416" s="24" t="n">
        <x:f>H416*'封面与口径'!$O$24</x:f>
        <x:v>3</x:v>
      </x:c>
      <x:c r="P416" s="19" t="str">
        <x:f>IF(N416&lt;0,"缺货",IF(N416&lt;O416,"预警","正常"))</x:f>
        <x:v>正常</x:v>
      </x:c>
      <x:c r="Q416" s="19" t="str">
        <x:v>鸡杂0712-05</x:v>
      </x:c>
    </x:row>
    <x:row r="417">
      <x:c r="A417" s="19" t="str">
        <x:v>2026-07-13|S05|鸡杂</x:v>
      </x:c>
      <x:c r="B417" s="34" t="n">
        <x:v>46216.5</x:v>
      </x:c>
      <x:c r="C417" s="19" t="str">
        <x:v>S05</x:v>
      </x:c>
      <x:c r="D417" s="19" t="str">
        <x:v>同顺街店</x:v>
      </x:c>
      <x:c r="E417" s="19" t="str">
        <x:v>鸡杂</x:v>
      </x:c>
      <x:c r="F417" s="32" t="n">
        <x:v>8.513850688539414</x:v>
      </x:c>
      <x:c r="G417" s="32" t="n">
        <x:v>4.051881040621521</x:v>
      </x:c>
      <x:c r="H417" s="24" t="n">
        <x:f>'菜品日销量'!G698*250/1000+'菜品日销量'!G703*250/1000</x:f>
        <x:v>3.75</x:v>
      </x:c>
      <x:c r="I417" s="36" t="n">
        <x:v>0.037080449101533845</x:v>
      </x:c>
      <x:c r="J417" s="24" t="n">
        <x:f>H417*I417</x:f>
        <x:v>0.13905168413075192</x:v>
      </x:c>
      <x:c r="K417" s="32" t="n">
        <x:v>0</x:v>
      </x:c>
      <x:c r="L417" s="32" t="n">
        <x:v>0</x:v>
      </x:c>
      <x:c r="M417" s="32" t="n">
        <x:v>0</x:v>
      </x:c>
      <x:c r="N417" s="24" t="n">
        <x:f>F417+G417+K417-L417+M417-H417-J417</x:f>
        <x:v>8.676680045030182</x:v>
      </x:c>
      <x:c r="O417" s="24" t="n">
        <x:f>H417*'封面与口径'!$O$24</x:f>
        <x:v>4.5</x:v>
      </x:c>
      <x:c r="P417" s="19" t="str">
        <x:f>IF(N417&lt;0,"缺货",IF(N417&lt;O417,"预警","正常"))</x:f>
        <x:v>正常</x:v>
      </x:c>
      <x:c r="Q417" s="19" t="str">
        <x:v>鸡杂0713-05</x:v>
      </x:c>
    </x:row>
    <x:row r="418">
      <x:c r="A418" s="19" t="str">
        <x:v>2026-07-07|S05|豆腐</x:v>
      </x:c>
      <x:c r="B418" s="34" t="n">
        <x:v>46210.5</x:v>
      </x:c>
      <x:c r="C418" s="19" t="str">
        <x:v>S05</x:v>
      </x:c>
      <x:c r="D418" s="19" t="str">
        <x:v>同顺街店</x:v>
      </x:c>
      <x:c r="E418" s="19" t="str">
        <x:v>豆腐</x:v>
      </x:c>
      <x:c r="F418" s="32" t="n">
        <x:v>37.440000000000005</x:v>
      </x:c>
      <x:c r="G418" s="32" t="n">
        <x:v>23.242500106620255</x:v>
      </x:c>
      <x:c r="H418" s="24" t="n">
        <x:f>'菜品日销量'!G569*400/1000</x:f>
        <x:v>20.8</x:v>
      </x:c>
      <x:c r="I418" s="36" t="n">
        <x:v>0.028818332835523958</x:v>
      </x:c>
      <x:c r="J418" s="24" t="n">
        <x:f>H418*I418</x:f>
        <x:v>0.5994213229788984</x:v>
      </x:c>
      <x:c r="K418" s="32" t="n">
        <x:v>0</x:v>
      </x:c>
      <x:c r="L418" s="32" t="n">
        <x:v>0</x:v>
      </x:c>
      <x:c r="M418" s="32" t="n">
        <x:v>0</x:v>
      </x:c>
      <x:c r="N418" s="24" t="n">
        <x:f>F418+G418+K418-L418+M418-H418-J418</x:f>
        <x:v>39.28307878364136</x:v>
      </x:c>
      <x:c r="O418" s="24" t="n">
        <x:f>H418*'封面与口径'!$O$24</x:f>
        <x:v>24.96</x:v>
      </x:c>
      <x:c r="P418" s="19" t="str">
        <x:f>IF(N418&lt;0,"缺货",IF(N418&lt;O418,"预警","正常"))</x:f>
        <x:v>正常</x:v>
      </x:c>
      <x:c r="Q418" s="19" t="str">
        <x:v>豆腐0707-05</x:v>
      </x:c>
    </x:row>
    <x:row r="419">
      <x:c r="A419" s="19" t="str">
        <x:v>2026-07-08|S05|豆腐</x:v>
      </x:c>
      <x:c r="B419" s="34" t="n">
        <x:v>46211.5</x:v>
      </x:c>
      <x:c r="C419" s="19" t="str">
        <x:v>S05</x:v>
      </x:c>
      <x:c r="D419" s="19" t="str">
        <x:v>同顺街店</x:v>
      </x:c>
      <x:c r="E419" s="19" t="str">
        <x:v>豆腐</x:v>
      </x:c>
      <x:c r="F419" s="32" t="n">
        <x:v>39.28307878364136</x:v>
      </x:c>
      <x:c r="G419" s="32" t="n">
        <x:v>22.85920922429003</x:v>
      </x:c>
      <x:c r="H419" s="24" t="n">
        <x:f>'菜品日销量'!G589*400/1000</x:f>
        <x:v>20.4</x:v>
      </x:c>
      <x:c r="I419" s="36" t="n">
        <x:v>0.02479999104393646</x:v>
      </x:c>
      <x:c r="J419" s="24" t="n">
        <x:f>H419*I419</x:f>
        <x:v>0.5059198172963038</x:v>
      </x:c>
      <x:c r="K419" s="32" t="n">
        <x:v>0</x:v>
      </x:c>
      <x:c r="L419" s="32" t="n">
        <x:v>0</x:v>
      </x:c>
      <x:c r="M419" s="32" t="n">
        <x:v>0</x:v>
      </x:c>
      <x:c r="N419" s="24" t="n">
        <x:f>F419+G419+K419-L419+M419-H419-J419</x:f>
        <x:v>41.23636819063508</x:v>
      </x:c>
      <x:c r="O419" s="24" t="n">
        <x:f>H419*'封面与口径'!$O$24</x:f>
        <x:v>24.479999999999997</x:v>
      </x:c>
      <x:c r="P419" s="19" t="str">
        <x:f>IF(N419&lt;0,"缺货",IF(N419&lt;O419,"预警","正常"))</x:f>
        <x:v>正常</x:v>
      </x:c>
      <x:c r="Q419" s="19" t="str">
        <x:v>豆腐0708-05</x:v>
      </x:c>
    </x:row>
    <x:row r="420">
      <x:c r="A420" s="19" t="str">
        <x:v>2026-07-09|S05|豆腐</x:v>
      </x:c>
      <x:c r="B420" s="34" t="n">
        <x:v>46212.5</x:v>
      </x:c>
      <x:c r="C420" s="19" t="str">
        <x:v>S05</x:v>
      </x:c>
      <x:c r="D420" s="19" t="str">
        <x:v>同顺街店</x:v>
      </x:c>
      <x:c r="E420" s="19" t="str">
        <x:v>豆腐</x:v>
      </x:c>
      <x:c r="F420" s="32" t="n">
        <x:v>41.236368190635076</x:v>
      </x:c>
      <x:c r="G420" s="32" t="n">
        <x:v>24.670326950959478</x:v>
      </x:c>
      <x:c r="H420" s="24" t="n">
        <x:f>'菜品日销量'!G609*400/1000</x:f>
        <x:v>20.8</x:v>
      </x:c>
      <x:c r="I420" s="36" t="n">
        <x:v>0.03241075761788775</x:v>
      </x:c>
      <x:c r="J420" s="24" t="n">
        <x:f>H420*I420</x:f>
        <x:v>0.6741437584520653</x:v>
      </x:c>
      <x:c r="K420" s="32" t="n">
        <x:v>0</x:v>
      </x:c>
      <x:c r="L420" s="32" t="n">
        <x:v>0</x:v>
      </x:c>
      <x:c r="M420" s="32" t="n">
        <x:v>0</x:v>
      </x:c>
      <x:c r="N420" s="24" t="n">
        <x:f>F420+G420+K420-L420+M420-H420-J420</x:f>
        <x:v>44.43255138314249</x:v>
      </x:c>
      <x:c r="O420" s="24" t="n">
        <x:f>H420*'封面与口径'!$O$24</x:f>
        <x:v>24.96</x:v>
      </x:c>
      <x:c r="P420" s="19" t="str">
        <x:f>IF(N420&lt;0,"缺货",IF(N420&lt;O420,"预警","正常"))</x:f>
        <x:v>正常</x:v>
      </x:c>
      <x:c r="Q420" s="19" t="str">
        <x:v>豆腐0709-05</x:v>
      </x:c>
    </x:row>
    <x:row r="421">
      <x:c r="A421" s="19" t="str">
        <x:v>2026-07-10|S05|豆腐</x:v>
      </x:c>
      <x:c r="B421" s="34" t="n">
        <x:v>46213.5</x:v>
      </x:c>
      <x:c r="C421" s="19" t="str">
        <x:v>S05</x:v>
      </x:c>
      <x:c r="D421" s="19" t="str">
        <x:v>同顺街店</x:v>
      </x:c>
      <x:c r="E421" s="19" t="str">
        <x:v>豆腐</x:v>
      </x:c>
      <x:c r="F421" s="32" t="n">
        <x:v>44.43255138314248</x:v>
      </x:c>
      <x:c r="G421" s="32" t="n">
        <x:v>24.098750974484428</x:v>
      </x:c>
      <x:c r="H421" s="24" t="n">
        <x:f>'菜品日销量'!G629*400/1000</x:f>
        <x:v>20.4</x:v>
      </x:c>
      <x:c r="I421" s="36" t="n">
        <x:v>0.03339574636388471</x:v>
      </x:c>
      <x:c r="J421" s="24" t="n">
        <x:f>H421*I421</x:f>
        <x:v>0.681273225823248</x:v>
      </x:c>
      <x:c r="K421" s="32" t="n">
        <x:v>0</x:v>
      </x:c>
      <x:c r="L421" s="32" t="n">
        <x:v>0</x:v>
      </x:c>
      <x:c r="M421" s="32" t="n">
        <x:v>0</x:v>
      </x:c>
      <x:c r="N421" s="24" t="n">
        <x:f>F421+G421+K421-L421+M421-H421-J421</x:f>
        <x:v>47.45002913180367</x:v>
      </x:c>
      <x:c r="O421" s="24" t="n">
        <x:f>H421*'封面与口径'!$O$24</x:f>
        <x:v>24.479999999999997</x:v>
      </x:c>
      <x:c r="P421" s="19" t="str">
        <x:f>IF(N421&lt;0,"缺货",IF(N421&lt;O421,"预警","正常"))</x:f>
        <x:v>正常</x:v>
      </x:c>
      <x:c r="Q421" s="19" t="str">
        <x:v>豆腐0710-05</x:v>
      </x:c>
    </x:row>
    <x:row r="422">
      <x:c r="A422" s="19" t="str">
        <x:v>2026-07-11|S05|豆腐</x:v>
      </x:c>
      <x:c r="B422" s="34" t="n">
        <x:v>46214.5</x:v>
      </x:c>
      <x:c r="C422" s="19" t="str">
        <x:v>S05</x:v>
      </x:c>
      <x:c r="D422" s="19" t="str">
        <x:v>同顺街店</x:v>
      </x:c>
      <x:c r="E422" s="19" t="str">
        <x:v>豆腐</x:v>
      </x:c>
      <x:c r="F422" s="32" t="n">
        <x:v>47.45002913180366</x:v>
      </x:c>
      <x:c r="G422" s="32" t="n">
        <x:v>18.004020754964095</x:v>
      </x:c>
      <x:c r="H422" s="24" t="n">
        <x:f>'菜品日销量'!G649*400/1000</x:f>
        <x:v>15.6</x:v>
      </x:c>
      <x:c r="I422" s="36" t="n">
        <x:v>0.01883476099903573</x:v>
      </x:c>
      <x:c r="J422" s="24" t="n">
        <x:f>H422*I422</x:f>
        <x:v>0.2938222715849574</x:v>
      </x:c>
      <x:c r="K422" s="32" t="n">
        <x:v>0</x:v>
      </x:c>
      <x:c r="L422" s="32" t="n">
        <x:v>0</x:v>
      </x:c>
      <x:c r="M422" s="32" t="n">
        <x:v>0</x:v>
      </x:c>
      <x:c r="N422" s="24" t="n">
        <x:f>F422+G422+K422-L422+M422-H422-J422</x:f>
        <x:v>49.560227615182804</x:v>
      </x:c>
      <x:c r="O422" s="24" t="n">
        <x:f>H422*'封面与口径'!$O$24</x:f>
        <x:v>18.72</x:v>
      </x:c>
      <x:c r="P422" s="19" t="str">
        <x:f>IF(N422&lt;0,"缺货",IF(N422&lt;O422,"预警","正常"))</x:f>
        <x:v>正常</x:v>
      </x:c>
      <x:c r="Q422" s="19" t="str">
        <x:v>豆腐0711-05</x:v>
      </x:c>
    </x:row>
    <x:row r="423">
      <x:c r="A423" s="19" t="str">
        <x:v>2026-07-12|S05|豆腐</x:v>
      </x:c>
      <x:c r="B423" s="34" t="n">
        <x:v>46215.5</x:v>
      </x:c>
      <x:c r="C423" s="19" t="str">
        <x:v>S05</x:v>
      </x:c>
      <x:c r="D423" s="19" t="str">
        <x:v>同顺街店</x:v>
      </x:c>
      <x:c r="E423" s="19" t="str">
        <x:v>豆腐</x:v>
      </x:c>
      <x:c r="F423" s="32" t="n">
        <x:v>49.560227615182804</x:v>
      </x:c>
      <x:c r="G423" s="32" t="n">
        <x:v>18.16096561152883</x:v>
      </x:c>
      <x:c r="H423" s="24" t="n">
        <x:f>'菜品日销量'!G669*400/1000</x:f>
        <x:v>15.2</x:v>
      </x:c>
      <x:c r="I423" s="36" t="n">
        <x:v>0.03009809681798753</x:v>
      </x:c>
      <x:c r="J423" s="24" t="n">
        <x:f>H423*I423</x:f>
        <x:v>0.4574910716334104</x:v>
      </x:c>
      <x:c r="K423" s="32" t="n">
        <x:v>0</x:v>
      </x:c>
      <x:c r="L423" s="32" t="n">
        <x:v>0</x:v>
      </x:c>
      <x:c r="M423" s="32" t="n">
        <x:v>0</x:v>
      </x:c>
      <x:c r="N423" s="24" t="n">
        <x:f>F423+G423+K423-L423+M423-H423-J423</x:f>
        <x:v>52.06370215507822</x:v>
      </x:c>
      <x:c r="O423" s="24" t="n">
        <x:f>H423*'封面与口径'!$O$24</x:f>
        <x:v>18.24</x:v>
      </x:c>
      <x:c r="P423" s="19" t="str">
        <x:f>IF(N423&lt;0,"缺货",IF(N423&lt;O423,"预警","正常"))</x:f>
        <x:v>正常</x:v>
      </x:c>
      <x:c r="Q423" s="19" t="str">
        <x:v>豆腐0712-05</x:v>
      </x:c>
    </x:row>
    <x:row r="424">
      <x:c r="A424" s="19" t="str">
        <x:v>2026-07-13|S05|豆腐</x:v>
      </x:c>
      <x:c r="B424" s="34" t="n">
        <x:v>46216.5</x:v>
      </x:c>
      <x:c r="C424" s="19" t="str">
        <x:v>S05</x:v>
      </x:c>
      <x:c r="D424" s="19" t="str">
        <x:v>同顺街店</x:v>
      </x:c>
      <x:c r="E424" s="19" t="str">
        <x:v>豆腐</x:v>
      </x:c>
      <x:c r="F424" s="32" t="n">
        <x:v>52.063702155078225</x:v>
      </x:c>
      <x:c r="G424" s="32" t="n">
        <x:v>26.035379809559178</x:v>
      </x:c>
      <x:c r="H424" s="24" t="n">
        <x:f>'菜品日销量'!G689*400/1000</x:f>
        <x:v>22</x:v>
      </x:c>
      <x:c r="I424" s="36" t="n">
        <x:v>0.023368313157318233</x:v>
      </x:c>
      <x:c r="J424" s="24" t="n">
        <x:f>H424*I424</x:f>
        <x:v>0.5141028894610011</x:v>
      </x:c>
      <x:c r="K424" s="32" t="n">
        <x:v>0</x:v>
      </x:c>
      <x:c r="L424" s="32" t="n">
        <x:v>0</x:v>
      </x:c>
      <x:c r="M424" s="32" t="n">
        <x:v>0</x:v>
      </x:c>
      <x:c r="N424" s="24" t="n">
        <x:f>F424+G424+K424-L424+M424-H424-J424</x:f>
        <x:v>55.584979075176406</x:v>
      </x:c>
      <x:c r="O424" s="24" t="n">
        <x:f>H424*'封面与口径'!$O$24</x:f>
        <x:v>26.4</x:v>
      </x:c>
      <x:c r="P424" s="19" t="str">
        <x:f>IF(N424&lt;0,"缺货",IF(N424&lt;O424,"预警","正常"))</x:f>
        <x:v>正常</x:v>
      </x:c>
      <x:c r="Q424" s="19" t="str">
        <x:v>豆腐0713-05</x:v>
      </x:c>
    </x:row>
    <x:row r="425">
      <x:c r="A425" s="19" t="str">
        <x:v>2026-07-07|S06|瘦肉片</x:v>
      </x:c>
      <x:c r="B425" s="34" t="n">
        <x:v>46210.5</x:v>
      </x:c>
      <x:c r="C425" s="19" t="str">
        <x:v>S06</x:v>
      </x:c>
      <x:c r="D425" s="19" t="str">
        <x:v>蓝钻天城店</x:v>
      </x:c>
      <x:c r="E425" s="19" t="str">
        <x:v>瘦肉片</x:v>
      </x:c>
      <x:c r="F425" s="32" t="n">
        <x:v>21.06</x:v>
      </x:c>
      <x:c r="G425" s="32" t="n">
        <x:v>13.9114057092153</x:v>
      </x:c>
      <x:c r="H425" s="24" t="n">
        <x:f>'菜品日销量'!G705*150/1000+'菜品日销量'!G713*50/1000+'菜品日销量'!G714*200/1000</x:f>
        <x:v>11.7</x:v>
      </x:c>
      <x:c r="I425" s="36" t="n">
        <x:v>0.03748610901820616</x:v>
      </x:c>
      <x:c r="J425" s="24" t="n">
        <x:f>H425*I425</x:f>
        <x:v>0.4385874755130121</x:v>
      </x:c>
      <x:c r="K425" s="32" t="n">
        <x:v>0</x:v>
      </x:c>
      <x:c r="L425" s="32" t="n">
        <x:v>0</x:v>
      </x:c>
      <x:c r="M425" s="32" t="n">
        <x:v>0</x:v>
      </x:c>
      <x:c r="N425" s="24" t="n">
        <x:f>F425+G425+K425-L425+M425-H425-J425</x:f>
        <x:v>22.832818233702287</x:v>
      </x:c>
      <x:c r="O425" s="24" t="n">
        <x:f>H425*'封面与口径'!$O$24</x:f>
        <x:v>14.04</x:v>
      </x:c>
      <x:c r="P425" s="19" t="str">
        <x:f>IF(N425&lt;0,"缺货",IF(N425&lt;O425,"预警","正常"))</x:f>
        <x:v>正常</x:v>
      </x:c>
      <x:c r="Q425" s="19" t="str">
        <x:v>瘦肉0707-06</x:v>
      </x:c>
    </x:row>
    <x:row r="426">
      <x:c r="A426" s="19" t="str">
        <x:v>2026-07-08|S06|瘦肉片</x:v>
      </x:c>
      <x:c r="B426" s="34" t="n">
        <x:v>46211.5</x:v>
      </x:c>
      <x:c r="C426" s="19" t="str">
        <x:v>S06</x:v>
      </x:c>
      <x:c r="D426" s="19" t="str">
        <x:v>蓝钻天城店</x:v>
      </x:c>
      <x:c r="E426" s="19" t="str">
        <x:v>瘦肉片</x:v>
      </x:c>
      <x:c r="F426" s="32" t="n">
        <x:v>22.832818233702284</x:v>
      </x:c>
      <x:c r="G426" s="32" t="n">
        <x:v>12.850414587241229</x:v>
      </x:c>
      <x:c r="H426" s="24" t="n">
        <x:f>'菜品日销量'!G725*150/1000+'菜品日销量'!G733*50/1000+'菜品日销量'!G734*200/1000</x:f>
        <x:v>11.2</x:v>
      </x:c>
      <x:c r="I426" s="36" t="n">
        <x:v>0.030140630296697057</x:v>
      </x:c>
      <x:c r="J426" s="24" t="n">
        <x:f>H426*I426</x:f>
        <x:v>0.337575059323007</x:v>
      </x:c>
      <x:c r="K426" s="32" t="n">
        <x:v>0</x:v>
      </x:c>
      <x:c r="L426" s="32" t="n">
        <x:v>0</x:v>
      </x:c>
      <x:c r="M426" s="32" t="n">
        <x:v>0</x:v>
      </x:c>
      <x:c r="N426" s="24" t="n">
        <x:f>F426+G426+K426-L426+M426-H426-J426</x:f>
        <x:v>24.14565776162051</x:v>
      </x:c>
      <x:c r="O426" s="24" t="n">
        <x:f>H426*'封面与口径'!$O$24</x:f>
        <x:v>13.44</x:v>
      </x:c>
      <x:c r="P426" s="19" t="str">
        <x:f>IF(N426&lt;0,"缺货",IF(N426&lt;O426,"预警","正常"))</x:f>
        <x:v>正常</x:v>
      </x:c>
      <x:c r="Q426" s="19" t="str">
        <x:v>瘦肉0708-06</x:v>
      </x:c>
    </x:row>
    <x:row r="427">
      <x:c r="A427" s="19" t="str">
        <x:v>2026-07-09|S06|瘦肉片</x:v>
      </x:c>
      <x:c r="B427" s="34" t="n">
        <x:v>46212.5</x:v>
      </x:c>
      <x:c r="C427" s="19" t="str">
        <x:v>S06</x:v>
      </x:c>
      <x:c r="D427" s="19" t="str">
        <x:v>蓝钻天城店</x:v>
      </x:c>
      <x:c r="E427" s="19" t="str">
        <x:v>瘦肉片</x:v>
      </x:c>
      <x:c r="F427" s="32" t="n">
        <x:v>24.14565776162051</x:v>
      </x:c>
      <x:c r="G427" s="32" t="n">
        <x:v>13.544805304703956</x:v>
      </x:c>
      <x:c r="H427" s="24" t="n">
        <x:f>'菜品日销量'!G745*150/1000+'菜品日销量'!G753*50/1000+'菜品日销量'!G754*200/1000</x:f>
        <x:v>11.35</x:v>
      </x:c>
      <x:c r="I427" s="36" t="n">
        <x:v>0.02258293347493348</x:v>
      </x:c>
      <x:c r="J427" s="24" t="n">
        <x:f>H427*I427</x:f>
        <x:v>0.256316294940495</x:v>
      </x:c>
      <x:c r="K427" s="32" t="n">
        <x:v>0</x:v>
      </x:c>
      <x:c r="L427" s="32" t="n">
        <x:v>0</x:v>
      </x:c>
      <x:c r="M427" s="32" t="n">
        <x:v>0</x:v>
      </x:c>
      <x:c r="N427" s="24" t="n">
        <x:f>F427+G427+K427-L427+M427-H427-J427</x:f>
        <x:v>26.084146771383974</x:v>
      </x:c>
      <x:c r="O427" s="24" t="n">
        <x:f>H427*'封面与口径'!$O$24</x:f>
        <x:v>13.62</x:v>
      </x:c>
      <x:c r="P427" s="19" t="str">
        <x:f>IF(N427&lt;0,"缺货",IF(N427&lt;O427,"预警","正常"))</x:f>
        <x:v>正常</x:v>
      </x:c>
      <x:c r="Q427" s="19" t="str">
        <x:v>瘦肉0709-06</x:v>
      </x:c>
    </x:row>
    <x:row r="428">
      <x:c r="A428" s="19" t="str">
        <x:v>2026-07-10|S06|瘦肉片</x:v>
      </x:c>
      <x:c r="B428" s="34" t="n">
        <x:v>46213.5</x:v>
      </x:c>
      <x:c r="C428" s="19" t="str">
        <x:v>S06</x:v>
      </x:c>
      <x:c r="D428" s="19" t="str">
        <x:v>蓝钻天城店</x:v>
      </x:c>
      <x:c r="E428" s="19" t="str">
        <x:v>瘦肉片</x:v>
      </x:c>
      <x:c r="F428" s="32" t="n">
        <x:v>26.084146771383974</x:v>
      </x:c>
      <x:c r="G428" s="32" t="n">
        <x:v>12.410391932732516</x:v>
      </x:c>
      <x:c r="H428" s="24" t="n">
        <x:f>'菜品日销量'!G765*150/1000+'菜品日销量'!G773*50/1000+'菜品日销量'!G774*200/1000</x:f>
        <x:v>11.149999999999999</x:v>
      </x:c>
      <x:c r="I428" s="36" t="n">
        <x:v>0.017814475313717146</x:v>
      </x:c>
      <x:c r="J428" s="24" t="n">
        <x:f>H428*I428</x:f>
        <x:v>0.19863139974794616</x:v>
      </x:c>
      <x:c r="K428" s="32" t="n">
        <x:v>0</x:v>
      </x:c>
      <x:c r="L428" s="32" t="n">
        <x:v>0</x:v>
      </x:c>
      <x:c r="M428" s="32" t="n">
        <x:v>0</x:v>
      </x:c>
      <x:c r="N428" s="24" t="n">
        <x:f>F428+G428+K428-L428+M428-H428-J428</x:f>
        <x:v>27.14590730436855</x:v>
      </x:c>
      <x:c r="O428" s="24" t="n">
        <x:f>H428*'封面与口径'!$O$24</x:f>
        <x:v>13.379999999999997</x:v>
      </x:c>
      <x:c r="P428" s="19" t="str">
        <x:f>IF(N428&lt;0,"缺货",IF(N428&lt;O428,"预警","正常"))</x:f>
        <x:v>正常</x:v>
      </x:c>
      <x:c r="Q428" s="19" t="str">
        <x:v>瘦肉0710-06</x:v>
      </x:c>
    </x:row>
    <x:row r="429">
      <x:c r="A429" s="19" t="str">
        <x:v>2026-07-11|S06|瘦肉片</x:v>
      </x:c>
      <x:c r="B429" s="34" t="n">
        <x:v>46214.5</x:v>
      </x:c>
      <x:c r="C429" s="19" t="str">
        <x:v>S06</x:v>
      </x:c>
      <x:c r="D429" s="19" t="str">
        <x:v>蓝钻天城店</x:v>
      </x:c>
      <x:c r="E429" s="19" t="str">
        <x:v>瘦肉片</x:v>
      </x:c>
      <x:c r="F429" s="32" t="n">
        <x:v>27.14590730436855</x:v>
      </x:c>
      <x:c r="G429" s="32" t="n">
        <x:v>10.482491168683977</x:v>
      </x:c>
      <x:c r="H429" s="24" t="n">
        <x:f>'菜品日销量'!G785*150/1000+'菜品日销量'!G793*50/1000+'菜品日销量'!G794*200/1000</x:f>
        <x:v>8.850000000000001</x:v>
      </x:c>
      <x:c r="I429" s="36" t="n">
        <x:v>0.036561530540129526</x:v>
      </x:c>
      <x:c r="J429" s="24" t="n">
        <x:f>H429*I429</x:f>
        <x:v>0.32356954528014636</x:v>
      </x:c>
      <x:c r="K429" s="32" t="n">
        <x:v>0</x:v>
      </x:c>
      <x:c r="L429" s="32" t="n">
        <x:v>0</x:v>
      </x:c>
      <x:c r="M429" s="32" t="n">
        <x:v>0</x:v>
      </x:c>
      <x:c r="N429" s="24" t="n">
        <x:f>F429+G429+K429-L429+M429-H429-J429</x:f>
        <x:v>28.45482892777238</x:v>
      </x:c>
      <x:c r="O429" s="24" t="n">
        <x:f>H429*'封面与口径'!$O$24</x:f>
        <x:v>10.620000000000001</x:v>
      </x:c>
      <x:c r="P429" s="19" t="str">
        <x:f>IF(N429&lt;0,"缺货",IF(N429&lt;O429,"预警","正常"))</x:f>
        <x:v>正常</x:v>
      </x:c>
      <x:c r="Q429" s="19" t="str">
        <x:v>瘦肉0711-06</x:v>
      </x:c>
    </x:row>
    <x:row r="430">
      <x:c r="A430" s="19" t="str">
        <x:v>2026-07-12|S06|瘦肉片</x:v>
      </x:c>
      <x:c r="B430" s="34" t="n">
        <x:v>46215.5</x:v>
      </x:c>
      <x:c r="C430" s="19" t="str">
        <x:v>S06</x:v>
      </x:c>
      <x:c r="D430" s="19" t="str">
        <x:v>蓝钻天城店</x:v>
      </x:c>
      <x:c r="E430" s="19" t="str">
        <x:v>瘦肉片</x:v>
      </x:c>
      <x:c r="F430" s="32" t="n">
        <x:v>28.454828927772382</x:v>
      </x:c>
      <x:c r="G430" s="32" t="n">
        <x:v>10.34622740648832</x:v>
      </x:c>
      <x:c r="H430" s="24" t="n">
        <x:f>'菜品日销量'!G805*150/1000+'菜品日销量'!G813*50/1000+'菜品日销量'!G814*200/1000</x:f>
        <x:v>8.7</x:v>
      </x:c>
      <x:c r="I430" s="36" t="n">
        <x:v>0.01603851779737475</x:v>
      </x:c>
      <x:c r="J430" s="24" t="n">
        <x:f>H430*I430</x:f>
        <x:v>0.13953510483716033</x:v>
      </x:c>
      <x:c r="K430" s="32" t="n">
        <x:v>0</x:v>
      </x:c>
      <x:c r="L430" s="32" t="n">
        <x:v>0</x:v>
      </x:c>
      <x:c r="M430" s="32" t="n">
        <x:v>0</x:v>
      </x:c>
      <x:c r="N430" s="24" t="n">
        <x:f>F430+G430+K430-L430+M430-H430-J430</x:f>
        <x:v>29.96152122942354</x:v>
      </x:c>
      <x:c r="O430" s="24" t="n">
        <x:f>H430*'封面与口径'!$O$24</x:f>
        <x:v>10.44</x:v>
      </x:c>
      <x:c r="P430" s="19" t="str">
        <x:f>IF(N430&lt;0,"缺货",IF(N430&lt;O430,"预警","正常"))</x:f>
        <x:v>正常</x:v>
      </x:c>
      <x:c r="Q430" s="19" t="str">
        <x:v>瘦肉0712-06</x:v>
      </x:c>
    </x:row>
    <x:row r="431">
      <x:c r="A431" s="19" t="str">
        <x:v>2026-07-13|S06|瘦肉片</x:v>
      </x:c>
      <x:c r="B431" s="34" t="n">
        <x:v>46216.5</x:v>
      </x:c>
      <x:c r="C431" s="19" t="str">
        <x:v>S06</x:v>
      </x:c>
      <x:c r="D431" s="19" t="str">
        <x:v>蓝钻天城店</x:v>
      </x:c>
      <x:c r="E431" s="19" t="str">
        <x:v>瘦肉片</x:v>
      </x:c>
      <x:c r="F431" s="32" t="n">
        <x:v>29.96152122942354</x:v>
      </x:c>
      <x:c r="G431" s="32" t="n">
        <x:v>13.609815254772506</x:v>
      </x:c>
      <x:c r="H431" s="24" t="n">
        <x:f>'菜品日销量'!G825*150/1000+'菜品日销量'!G833*50/1000+'菜品日销量'!G834*200/1000</x:f>
        <x:v>12</x:v>
      </x:c>
      <x:c r="I431" s="36" t="n">
        <x:v>0.0321995591994374</x:v>
      </x:c>
      <x:c r="J431" s="24" t="n">
        <x:f>H431*I431</x:f>
        <x:v>0.3863947103932488</x:v>
      </x:c>
      <x:c r="K431" s="32" t="n">
        <x:v>0</x:v>
      </x:c>
      <x:c r="L431" s="32" t="n">
        <x:v>0</x:v>
      </x:c>
      <x:c r="M431" s="32" t="n">
        <x:v>0</x:v>
      </x:c>
      <x:c r="N431" s="24" t="n">
        <x:f>F431+G431+K431-L431+M431-H431-J431</x:f>
        <x:v>31.184941773802798</x:v>
      </x:c>
      <x:c r="O431" s="24" t="n">
        <x:f>H431*'封面与口径'!$O$24</x:f>
        <x:v>14.399999999999999</x:v>
      </x:c>
      <x:c r="P431" s="19" t="str">
        <x:f>IF(N431&lt;0,"缺货",IF(N431&lt;O431,"预警","正常"))</x:f>
        <x:v>正常</x:v>
      </x:c>
      <x:c r="Q431" s="19" t="str">
        <x:v>瘦肉0713-06</x:v>
      </x:c>
    </x:row>
    <x:row r="432">
      <x:c r="A432" s="19" t="str">
        <x:v>2026-07-07|S06|肥肉片</x:v>
      </x:c>
      <x:c r="B432" s="34" t="n">
        <x:v>46210.5</x:v>
      </x:c>
      <x:c r="C432" s="19" t="str">
        <x:v>S06</x:v>
      </x:c>
      <x:c r="D432" s="19" t="str">
        <x:v>蓝钻天城店</x:v>
      </x:c>
      <x:c r="E432" s="19" t="str">
        <x:v>肥肉片</x:v>
      </x:c>
      <x:c r="F432" s="32" t="n">
        <x:v>6.03</x:v>
      </x:c>
      <x:c r="G432" s="32" t="n">
        <x:v>3.7327840782759676</x:v>
      </x:c>
      <x:c r="H432" s="24" t="n">
        <x:f>'菜品日销量'!G705*50/1000+'菜品日销量'!G714*50/1000</x:f>
        <x:v>3.35</x:v>
      </x:c>
      <x:c r="I432" s="36" t="n">
        <x:v>0.019723493488208274</x:v>
      </x:c>
      <x:c r="J432" s="24" t="n">
        <x:f>H432*I432</x:f>
        <x:v>0.06607370318549773</x:v>
      </x:c>
      <x:c r="K432" s="32" t="n">
        <x:v>0</x:v>
      </x:c>
      <x:c r="L432" s="32" t="n">
        <x:v>0</x:v>
      </x:c>
      <x:c r="M432" s="32" t="n">
        <x:v>0</x:v>
      </x:c>
      <x:c r="N432" s="24" t="n">
        <x:f>F432+G432+K432-L432+M432-H432-J432</x:f>
        <x:v>6.34671037509047</x:v>
      </x:c>
      <x:c r="O432" s="24" t="n">
        <x:f>H432*'封面与口径'!$O$24</x:f>
        <x:v>4.02</x:v>
      </x:c>
      <x:c r="P432" s="19" t="str">
        <x:f>IF(N432&lt;0,"缺货",IF(N432&lt;O432,"预警","正常"))</x:f>
        <x:v>正常</x:v>
      </x:c>
      <x:c r="Q432" s="19" t="str">
        <x:v>肥肉0707-06</x:v>
      </x:c>
    </x:row>
    <x:row r="433">
      <x:c r="A433" s="19" t="str">
        <x:v>2026-07-08|S06|肥肉片</x:v>
      </x:c>
      <x:c r="B433" s="34" t="n">
        <x:v>46211.5</x:v>
      </x:c>
      <x:c r="C433" s="19" t="str">
        <x:v>S06</x:v>
      </x:c>
      <x:c r="D433" s="19" t="str">
        <x:v>蓝钻天城店</x:v>
      </x:c>
      <x:c r="E433" s="19" t="str">
        <x:v>肥肉片</x:v>
      </x:c>
      <x:c r="F433" s="32" t="n">
        <x:v>6.346710375090469</x:v>
      </x:c>
      <x:c r="G433" s="32" t="n">
        <x:v>3.797611373206045</x:v>
      </x:c>
      <x:c r="H433" s="24" t="n">
        <x:f>'菜品日销量'!G725*50/1000+'菜品日销量'!G734*50/1000</x:f>
        <x:v>3.2</x:v>
      </x:c>
      <x:c r="I433" s="36" t="n">
        <x:v>0.032249842626566494</x:v>
      </x:c>
      <x:c r="J433" s="24" t="n">
        <x:f>H433*I433</x:f>
        <x:v>0.10319949640501279</x:v>
      </x:c>
      <x:c r="K433" s="32" t="n">
        <x:v>0</x:v>
      </x:c>
      <x:c r="L433" s="32" t="n">
        <x:v>0</x:v>
      </x:c>
      <x:c r="M433" s="32" t="n">
        <x:v>0</x:v>
      </x:c>
      <x:c r="N433" s="24" t="n">
        <x:f>F433+G433+K433-L433+M433-H433-J433</x:f>
        <x:v>6.841122251891501</x:v>
      </x:c>
      <x:c r="O433" s="24" t="n">
        <x:f>H433*'封面与口径'!$O$24</x:f>
        <x:v>3.84</x:v>
      </x:c>
      <x:c r="P433" s="19" t="str">
        <x:f>IF(N433&lt;0,"缺货",IF(N433&lt;O433,"预警","正常"))</x:f>
        <x:v>正常</x:v>
      </x:c>
      <x:c r="Q433" s="19" t="str">
        <x:v>肥肉0708-06</x:v>
      </x:c>
    </x:row>
    <x:row r="434">
      <x:c r="A434" s="19" t="str">
        <x:v>2026-07-09|S06|肥肉片</x:v>
      </x:c>
      <x:c r="B434" s="34" t="n">
        <x:v>46212.5</x:v>
      </x:c>
      <x:c r="C434" s="19" t="str">
        <x:v>S06</x:v>
      </x:c>
      <x:c r="D434" s="19" t="str">
        <x:v>蓝钻天城店</x:v>
      </x:c>
      <x:c r="E434" s="19" t="str">
        <x:v>肥肉片</x:v>
      </x:c>
      <x:c r="F434" s="32" t="n">
        <x:v>6.841122251891502</x:v>
      </x:c>
      <x:c r="G434" s="32" t="n">
        <x:v>3.6660889648986257</x:v>
      </x:c>
      <x:c r="H434" s="24" t="n">
        <x:f>'菜品日销量'!G745*50/1000+'菜品日销量'!G754*50/1000</x:f>
        <x:v>3.25</x:v>
      </x:c>
      <x:c r="I434" s="36" t="n">
        <x:v>0.024616556719321885</x:v>
      </x:c>
      <x:c r="J434" s="24" t="n">
        <x:f>H434*I434</x:f>
        <x:v>0.08000380933779612</x:v>
      </x:c>
      <x:c r="K434" s="32" t="n">
        <x:v>0</x:v>
      </x:c>
      <x:c r="L434" s="32" t="n">
        <x:v>0</x:v>
      </x:c>
      <x:c r="M434" s="32" t="n">
        <x:v>0</x:v>
      </x:c>
      <x:c r="N434" s="24" t="n">
        <x:f>F434+G434+K434-L434+M434-H434-J434</x:f>
        <x:v>7.177207407452331</x:v>
      </x:c>
      <x:c r="O434" s="24" t="n">
        <x:f>H434*'封面与口径'!$O$24</x:f>
        <x:v>3.9</x:v>
      </x:c>
      <x:c r="P434" s="19" t="str">
        <x:f>IF(N434&lt;0,"缺货",IF(N434&lt;O434,"预警","正常"))</x:f>
        <x:v>正常</x:v>
      </x:c>
      <x:c r="Q434" s="19" t="str">
        <x:v>肥肉0709-06</x:v>
      </x:c>
    </x:row>
    <x:row r="435">
      <x:c r="A435" s="19" t="str">
        <x:v>2026-07-10|S06|肥肉片</x:v>
      </x:c>
      <x:c r="B435" s="34" t="n">
        <x:v>46213.5</x:v>
      </x:c>
      <x:c r="C435" s="19" t="str">
        <x:v>S06</x:v>
      </x:c>
      <x:c r="D435" s="19" t="str">
        <x:v>蓝钻天城店</x:v>
      </x:c>
      <x:c r="E435" s="19" t="str">
        <x:v>肥肉片</x:v>
      </x:c>
      <x:c r="F435" s="32" t="n">
        <x:v>7.177207407452331</x:v>
      </x:c>
      <x:c r="G435" s="32" t="n">
        <x:v>3.650810471119083</x:v>
      </x:c>
      <x:c r="H435" s="24" t="n">
        <x:f>'菜品日销量'!G765*50/1000+'菜品日销量'!G774*50/1000</x:f>
        <x:v>3.1500000000000004</x:v>
      </x:c>
      <x:c r="I435" s="36" t="n">
        <x:v>0.03994173931771464</x:v>
      </x:c>
      <x:c r="J435" s="24" t="n">
        <x:f>H435*I435</x:f>
        <x:v>0.12581647885080113</x:v>
      </x:c>
      <x:c r="K435" s="32" t="n">
        <x:v>0</x:v>
      </x:c>
      <x:c r="L435" s="32" t="n">
        <x:v>0</x:v>
      </x:c>
      <x:c r="M435" s="32" t="n">
        <x:v>0</x:v>
      </x:c>
      <x:c r="N435" s="24" t="n">
        <x:f>F435+G435+K435-L435+M435-H435-J435</x:f>
        <x:v>7.552201399720612</x:v>
      </x:c>
      <x:c r="O435" s="24" t="n">
        <x:f>H435*'封面与口径'!$O$24</x:f>
        <x:v>3.7800000000000002</x:v>
      </x:c>
      <x:c r="P435" s="19" t="str">
        <x:f>IF(N435&lt;0,"缺货",IF(N435&lt;O435,"预警","正常"))</x:f>
        <x:v>正常</x:v>
      </x:c>
      <x:c r="Q435" s="19" t="str">
        <x:v>肥肉0710-06</x:v>
      </x:c>
    </x:row>
    <x:row r="436">
      <x:c r="A436" s="19" t="str">
        <x:v>2026-07-11|S06|肥肉片</x:v>
      </x:c>
      <x:c r="B436" s="34" t="n">
        <x:v>46214.5</x:v>
      </x:c>
      <x:c r="C436" s="19" t="str">
        <x:v>S06</x:v>
      </x:c>
      <x:c r="D436" s="19" t="str">
        <x:v>蓝钻天城店</x:v>
      </x:c>
      <x:c r="E436" s="19" t="str">
        <x:v>肥肉片</x:v>
      </x:c>
      <x:c r="F436" s="32" t="n">
        <x:v>7.552201399720612</x:v>
      </x:c>
      <x:c r="G436" s="32" t="n">
        <x:v>2.7994530058697458</x:v>
      </x:c>
      <x:c r="H436" s="24" t="n">
        <x:f>'菜品日销量'!G785*50/1000+'菜品日销量'!G794*50/1000</x:f>
        <x:v>2.5</x:v>
      </x:c>
      <x:c r="I436" s="36" t="n">
        <x:v>0.03003438427812289</x:v>
      </x:c>
      <x:c r="J436" s="24" t="n">
        <x:f>H436*I436</x:f>
        <x:v>0.07508596069530722</x:v>
      </x:c>
      <x:c r="K436" s="32" t="n">
        <x:v>0</x:v>
      </x:c>
      <x:c r="L436" s="32" t="n">
        <x:v>0</x:v>
      </x:c>
      <x:c r="M436" s="32" t="n">
        <x:v>0</x:v>
      </x:c>
      <x:c r="N436" s="24" t="n">
        <x:f>F436+G436+K436-L436+M436-H436-J436</x:f>
        <x:v>7.776568444895051</x:v>
      </x:c>
      <x:c r="O436" s="24" t="n">
        <x:f>H436*'封面与口径'!$O$24</x:f>
        <x:v>3</x:v>
      </x:c>
      <x:c r="P436" s="19" t="str">
        <x:f>IF(N436&lt;0,"缺货",IF(N436&lt;O436,"预警","正常"))</x:f>
        <x:v>正常</x:v>
      </x:c>
      <x:c r="Q436" s="19" t="str">
        <x:v>肥肉0711-06</x:v>
      </x:c>
    </x:row>
    <x:row r="437">
      <x:c r="A437" s="19" t="str">
        <x:v>2026-07-12|S06|肥肉片</x:v>
      </x:c>
      <x:c r="B437" s="34" t="n">
        <x:v>46215.5</x:v>
      </x:c>
      <x:c r="C437" s="19" t="str">
        <x:v>S06</x:v>
      </x:c>
      <x:c r="D437" s="19" t="str">
        <x:v>蓝钻天城店</x:v>
      </x:c>
      <x:c r="E437" s="19" t="str">
        <x:v>肥肉片</x:v>
      </x:c>
      <x:c r="F437" s="32" t="n">
        <x:v>7.77656844489505</x:v>
      </x:c>
      <x:c r="G437" s="32" t="n">
        <x:v>2.7828669574071814</x:v>
      </x:c>
      <x:c r="H437" s="24" t="n">
        <x:f>'菜品日销量'!G805*50/1000+'菜品日销量'!G814*50/1000</x:f>
        <x:v>2.5</x:v>
      </x:c>
      <x:c r="I437" s="36" t="n">
        <x:v>0.037045545587792425</x:v>
      </x:c>
      <x:c r="J437" s="24" t="n">
        <x:f>H437*I437</x:f>
        <x:v>0.09261386396948107</x:v>
      </x:c>
      <x:c r="K437" s="32" t="n">
        <x:v>0</x:v>
      </x:c>
      <x:c r="L437" s="32" t="n">
        <x:v>0</x:v>
      </x:c>
      <x:c r="M437" s="32" t="n">
        <x:v>0</x:v>
      </x:c>
      <x:c r="N437" s="24" t="n">
        <x:f>F437+G437+K437-L437+M437-H437-J437</x:f>
        <x:v>7.96682153833275</x:v>
      </x:c>
      <x:c r="O437" s="24" t="n">
        <x:f>H437*'封面与口径'!$O$24</x:f>
        <x:v>3</x:v>
      </x:c>
      <x:c r="P437" s="19" t="str">
        <x:f>IF(N437&lt;0,"缺货",IF(N437&lt;O437,"预警","正常"))</x:f>
        <x:v>正常</x:v>
      </x:c>
      <x:c r="Q437" s="19" t="str">
        <x:v>肥肉0712-06</x:v>
      </x:c>
    </x:row>
    <x:row r="438">
      <x:c r="A438" s="19" t="str">
        <x:v>2026-07-13|S06|肥肉片</x:v>
      </x:c>
      <x:c r="B438" s="34" t="n">
        <x:v>46216.5</x:v>
      </x:c>
      <x:c r="C438" s="19" t="str">
        <x:v>S06</x:v>
      </x:c>
      <x:c r="D438" s="19" t="str">
        <x:v>蓝钻天城店</x:v>
      </x:c>
      <x:c r="E438" s="19" t="str">
        <x:v>肥肉片</x:v>
      </x:c>
      <x:c r="F438" s="32" t="n">
        <x:v>7.96682153833275</x:v>
      </x:c>
      <x:c r="G438" s="32" t="n">
        <x:v>3.8479460793733473</x:v>
      </x:c>
      <x:c r="H438" s="24" t="n">
        <x:f>'菜品日销量'!G825*50/1000+'菜品日销量'!G834*50/1000</x:f>
        <x:v>3.4000000000000004</x:v>
      </x:c>
      <x:c r="I438" s="36" t="n">
        <x:v>0.020431592890627587</x:v>
      </x:c>
      <x:c r="J438" s="24" t="n">
        <x:f>H438*I438</x:f>
        <x:v>0.0694674158281338</x:v>
      </x:c>
      <x:c r="K438" s="32" t="n">
        <x:v>0</x:v>
      </x:c>
      <x:c r="L438" s="32" t="n">
        <x:v>0</x:v>
      </x:c>
      <x:c r="M438" s="32" t="n">
        <x:v>0</x:v>
      </x:c>
      <x:c r="N438" s="24" t="n">
        <x:f>F438+G438+K438-L438+M438-H438-J438</x:f>
        <x:v>8.345300201877963</x:v>
      </x:c>
      <x:c r="O438" s="24" t="n">
        <x:f>H438*'封面与口径'!$O$24</x:f>
        <x:v>4.08</x:v>
      </x:c>
      <x:c r="P438" s="19" t="str">
        <x:f>IF(N438&lt;0,"缺货",IF(N438&lt;O438,"预警","正常"))</x:f>
        <x:v>正常</x:v>
      </x:c>
      <x:c r="Q438" s="19" t="str">
        <x:v>肥肉0713-06</x:v>
      </x:c>
    </x:row>
    <x:row r="439">
      <x:c r="A439" s="19" t="str">
        <x:v>2026-07-07|S06|牛肉片</x:v>
      </x:c>
      <x:c r="B439" s="34" t="n">
        <x:v>46210.5</x:v>
      </x:c>
      <x:c r="C439" s="19" t="str">
        <x:v>S06</x:v>
      </x:c>
      <x:c r="D439" s="19" t="str">
        <x:v>蓝钻天城店</x:v>
      </x:c>
      <x:c r="E439" s="19" t="str">
        <x:v>牛肉片</x:v>
      </x:c>
      <x:c r="F439" s="32" t="n">
        <x:v>14.85</x:v>
      </x:c>
      <x:c r="G439" s="32" t="n">
        <x:v>9.424222847871533</x:v>
      </x:c>
      <x:c r="H439" s="24" t="n">
        <x:f>'菜品日销量'!G706*250/1000</x:f>
        <x:v>8.25</x:v>
      </x:c>
      <x:c r="I439" s="36" t="n">
        <x:v>0.03714062130594175</x:v>
      </x:c>
      <x:c r="J439" s="24" t="n">
        <x:f>H439*I439</x:f>
        <x:v>0.30641012577401944</x:v>
      </x:c>
      <x:c r="K439" s="32" t="n">
        <x:v>0</x:v>
      </x:c>
      <x:c r="L439" s="32" t="n">
        <x:v>0</x:v>
      </x:c>
      <x:c r="M439" s="32" t="n">
        <x:v>0</x:v>
      </x:c>
      <x:c r="N439" s="24" t="n">
        <x:f>F439+G439+K439-L439+M439-H439-J439</x:f>
        <x:v>15.717812722097515</x:v>
      </x:c>
      <x:c r="O439" s="24" t="n">
        <x:f>H439*'封面与口径'!$O$24</x:f>
        <x:v>9.9</x:v>
      </x:c>
      <x:c r="P439" s="19" t="str">
        <x:f>IF(N439&lt;0,"缺货",IF(N439&lt;O439,"预警","正常"))</x:f>
        <x:v>正常</x:v>
      </x:c>
      <x:c r="Q439" s="19" t="str">
        <x:v>牛肉0707-06</x:v>
      </x:c>
    </x:row>
    <x:row r="440">
      <x:c r="A440" s="19" t="str">
        <x:v>2026-07-08|S06|牛肉片</x:v>
      </x:c>
      <x:c r="B440" s="34" t="n">
        <x:v>46211.5</x:v>
      </x:c>
      <x:c r="C440" s="19" t="str">
        <x:v>S06</x:v>
      </x:c>
      <x:c r="D440" s="19" t="str">
        <x:v>蓝钻天城店</x:v>
      </x:c>
      <x:c r="E440" s="19" t="str">
        <x:v>牛肉片</x:v>
      </x:c>
      <x:c r="F440" s="32" t="n">
        <x:v>15.717812722097515</x:v>
      </x:c>
      <x:c r="G440" s="32" t="n">
        <x:v>9.181125188672713</x:v>
      </x:c>
      <x:c r="H440" s="24" t="n">
        <x:f>'菜品日销量'!G726*250/1000</x:f>
        <x:v>8.25</x:v>
      </x:c>
      <x:c r="I440" s="36" t="n">
        <x:v>0.028763109405702703</x:v>
      </x:c>
      <x:c r="J440" s="24" t="n">
        <x:f>H440*I440</x:f>
        <x:v>0.2372956525970473</x:v>
      </x:c>
      <x:c r="K440" s="32" t="n">
        <x:v>0</x:v>
      </x:c>
      <x:c r="L440" s="32" t="n">
        <x:v>0</x:v>
      </x:c>
      <x:c r="M440" s="32" t="n">
        <x:v>0</x:v>
      </x:c>
      <x:c r="N440" s="24" t="n">
        <x:f>F440+G440+K440-L440+M440-H440-J440</x:f>
        <x:v>16.41164225817318</x:v>
      </x:c>
      <x:c r="O440" s="24" t="n">
        <x:f>H440*'封面与口径'!$O$24</x:f>
        <x:v>9.9</x:v>
      </x:c>
      <x:c r="P440" s="19" t="str">
        <x:f>IF(N440&lt;0,"缺货",IF(N440&lt;O440,"预警","正常"))</x:f>
        <x:v>正常</x:v>
      </x:c>
      <x:c r="Q440" s="19" t="str">
        <x:v>牛肉0708-06</x:v>
      </x:c>
    </x:row>
    <x:row r="441">
      <x:c r="A441" s="19" t="str">
        <x:v>2026-07-09|S06|牛肉片</x:v>
      </x:c>
      <x:c r="B441" s="34" t="n">
        <x:v>46212.5</x:v>
      </x:c>
      <x:c r="C441" s="19" t="str">
        <x:v>S06</x:v>
      </x:c>
      <x:c r="D441" s="19" t="str">
        <x:v>蓝钻天城店</x:v>
      </x:c>
      <x:c r="E441" s="19" t="str">
        <x:v>牛肉片</x:v>
      </x:c>
      <x:c r="F441" s="32" t="n">
        <x:v>16.41164225817318</x:v>
      </x:c>
      <x:c r="G441" s="32" t="n">
        <x:v>8.5606861930249</x:v>
      </x:c>
      <x:c r="H441" s="24" t="n">
        <x:f>'菜品日销量'!G746*250/1000</x:f>
        <x:v>7.5</x:v>
      </x:c>
      <x:c r="I441" s="36" t="n">
        <x:v>0.024130589538051417</x:v>
      </x:c>
      <x:c r="J441" s="24" t="n">
        <x:f>H441*I441</x:f>
        <x:v>0.18097942153538563</x:v>
      </x:c>
      <x:c r="K441" s="32" t="n">
        <x:v>0</x:v>
      </x:c>
      <x:c r="L441" s="32" t="n">
        <x:v>0</x:v>
      </x:c>
      <x:c r="M441" s="32" t="n">
        <x:v>0</x:v>
      </x:c>
      <x:c r="N441" s="24" t="n">
        <x:f>F441+G441+K441-L441+M441-H441-J441</x:f>
        <x:v>17.291349029662694</x:v>
      </x:c>
      <x:c r="O441" s="24" t="n">
        <x:f>H441*'封面与口径'!$O$24</x:f>
        <x:v>9</x:v>
      </x:c>
      <x:c r="P441" s="19" t="str">
        <x:f>IF(N441&lt;0,"缺货",IF(N441&lt;O441,"预警","正常"))</x:f>
        <x:v>正常</x:v>
      </x:c>
      <x:c r="Q441" s="19" t="str">
        <x:v>牛肉0709-06</x:v>
      </x:c>
    </x:row>
    <x:row r="442">
      <x:c r="A442" s="19" t="str">
        <x:v>2026-07-10|S06|牛肉片</x:v>
      </x:c>
      <x:c r="B442" s="34" t="n">
        <x:v>46213.5</x:v>
      </x:c>
      <x:c r="C442" s="19" t="str">
        <x:v>S06</x:v>
      </x:c>
      <x:c r="D442" s="19" t="str">
        <x:v>蓝钻天城店</x:v>
      </x:c>
      <x:c r="E442" s="19" t="str">
        <x:v>牛肉片</x:v>
      </x:c>
      <x:c r="F442" s="32" t="n">
        <x:v>17.291349029662694</x:v>
      </x:c>
      <x:c r="G442" s="32" t="n">
        <x:v>9.035770942884444</x:v>
      </x:c>
      <x:c r="H442" s="24" t="n">
        <x:f>'菜品日销量'!G766*250/1000</x:f>
        <x:v>8</x:v>
      </x:c>
      <x:c r="I442" s="36" t="n">
        <x:v>0.03228208209790338</x:v>
      </x:c>
      <x:c r="J442" s="24" t="n">
        <x:f>H442*I442</x:f>
        <x:v>0.25825665678322707</x:v>
      </x:c>
      <x:c r="K442" s="32" t="n">
        <x:v>0</x:v>
      </x:c>
      <x:c r="L442" s="32" t="n">
        <x:v>0</x:v>
      </x:c>
      <x:c r="M442" s="32" t="n">
        <x:v>0</x:v>
      </x:c>
      <x:c r="N442" s="24" t="n">
        <x:f>F442+G442+K442-L442+M442-H442-J442</x:f>
        <x:v>18.06886331576391</x:v>
      </x:c>
      <x:c r="O442" s="24" t="n">
        <x:f>H442*'封面与口径'!$O$24</x:f>
        <x:v>9.6</x:v>
      </x:c>
      <x:c r="P442" s="19" t="str">
        <x:f>IF(N442&lt;0,"缺货",IF(N442&lt;O442,"预警","正常"))</x:f>
        <x:v>正常</x:v>
      </x:c>
      <x:c r="Q442" s="19" t="str">
        <x:v>牛肉0710-06</x:v>
      </x:c>
    </x:row>
    <x:row r="443">
      <x:c r="A443" s="19" t="str">
        <x:v>2026-07-11|S06|牛肉片</x:v>
      </x:c>
      <x:c r="B443" s="34" t="n">
        <x:v>46214.5</x:v>
      </x:c>
      <x:c r="C443" s="19" t="str">
        <x:v>S06</x:v>
      </x:c>
      <x:c r="D443" s="19" t="str">
        <x:v>蓝钻天城店</x:v>
      </x:c>
      <x:c r="E443" s="19" t="str">
        <x:v>牛肉片</x:v>
      </x:c>
      <x:c r="F443" s="32" t="n">
        <x:v>18.068863315763913</x:v>
      </x:c>
      <x:c r="G443" s="32" t="n">
        <x:v>7.309094556155404</x:v>
      </x:c>
      <x:c r="H443" s="24" t="n">
        <x:f>'菜品日销量'!G786*250/1000</x:f>
        <x:v>6.25</x:v>
      </x:c>
      <x:c r="I443" s="36" t="n">
        <x:v>0.021609867217859687</x:v>
      </x:c>
      <x:c r="J443" s="24" t="n">
        <x:f>H443*I443</x:f>
        <x:v>0.13506167011162304</x:v>
      </x:c>
      <x:c r="K443" s="32" t="n">
        <x:v>0</x:v>
      </x:c>
      <x:c r="L443" s="32" t="n">
        <x:v>0</x:v>
      </x:c>
      <x:c r="M443" s="32" t="n">
        <x:v>0</x:v>
      </x:c>
      <x:c r="N443" s="24" t="n">
        <x:f>F443+G443+K443-L443+M443-H443-J443</x:f>
        <x:v>18.992896201807696</x:v>
      </x:c>
      <x:c r="O443" s="24" t="n">
        <x:f>H443*'封面与口径'!$O$24</x:f>
        <x:v>7.5</x:v>
      </x:c>
      <x:c r="P443" s="19" t="str">
        <x:f>IF(N443&lt;0,"缺货",IF(N443&lt;O443,"预警","正常"))</x:f>
        <x:v>正常</x:v>
      </x:c>
      <x:c r="Q443" s="19" t="str">
        <x:v>牛肉0711-06</x:v>
      </x:c>
    </x:row>
    <x:row r="444">
      <x:c r="A444" s="19" t="str">
        <x:v>2026-07-12|S06|牛肉片</x:v>
      </x:c>
      <x:c r="B444" s="34" t="n">
        <x:v>46215.5</x:v>
      </x:c>
      <x:c r="C444" s="19" t="str">
        <x:v>S06</x:v>
      </x:c>
      <x:c r="D444" s="19" t="str">
        <x:v>蓝钻天城店</x:v>
      </x:c>
      <x:c r="E444" s="19" t="str">
        <x:v>牛肉片</x:v>
      </x:c>
      <x:c r="F444" s="32" t="n">
        <x:v>18.992896201807696</x:v>
      </x:c>
      <x:c r="G444" s="32" t="n">
        <x:v>7.618649200941123</x:v>
      </x:c>
      <x:c r="H444" s="24" t="n">
        <x:f>'菜品日销量'!G806*250/1000</x:f>
        <x:v>6.5</x:v>
      </x:c>
      <x:c r="I444" s="36" t="n">
        <x:v>0.026325771166320372</x:v>
      </x:c>
      <x:c r="J444" s="24" t="n">
        <x:f>H444*I444</x:f>
        <x:v>0.17111751258108243</x:v>
      </x:c>
      <x:c r="K444" s="32" t="n">
        <x:v>0</x:v>
      </x:c>
      <x:c r="L444" s="32" t="n">
        <x:v>0</x:v>
      </x:c>
      <x:c r="M444" s="32" t="n">
        <x:v>0</x:v>
      </x:c>
      <x:c r="N444" s="24" t="n">
        <x:f>F444+G444+K444-L444+M444-H444-J444</x:f>
        <x:v>19.940427890167733</x:v>
      </x:c>
      <x:c r="O444" s="24" t="n">
        <x:f>H444*'封面与口径'!$O$24</x:f>
        <x:v>7.8</x:v>
      </x:c>
      <x:c r="P444" s="19" t="str">
        <x:f>IF(N444&lt;0,"缺货",IF(N444&lt;O444,"预警","正常"))</x:f>
        <x:v>正常</x:v>
      </x:c>
      <x:c r="Q444" s="19" t="str">
        <x:v>牛肉0712-06</x:v>
      </x:c>
    </x:row>
    <x:row r="445">
      <x:c r="A445" s="19" t="str">
        <x:v>2026-07-13|S06|牛肉片</x:v>
      </x:c>
      <x:c r="B445" s="34" t="n">
        <x:v>46216.5</x:v>
      </x:c>
      <x:c r="C445" s="19" t="str">
        <x:v>S06</x:v>
      </x:c>
      <x:c r="D445" s="19" t="str">
        <x:v>蓝钻天城店</x:v>
      </x:c>
      <x:c r="E445" s="19" t="str">
        <x:v>牛肉片</x:v>
      </x:c>
      <x:c r="F445" s="32" t="n">
        <x:v>19.940427890167733</x:v>
      </x:c>
      <x:c r="G445" s="32" t="n">
        <x:v>9.521267142070288</x:v>
      </x:c>
      <x:c r="H445" s="24" t="n">
        <x:f>'菜品日销量'!G826*250/1000</x:f>
        <x:v>8.75</x:v>
      </x:c>
      <x:c r="I445" s="36" t="n">
        <x:v>0.029281549511775737</x:v>
      </x:c>
      <x:c r="J445" s="24" t="n">
        <x:f>H445*I445</x:f>
        <x:v>0.2562135582280377</x:v>
      </x:c>
      <x:c r="K445" s="32" t="n">
        <x:v>0</x:v>
      </x:c>
      <x:c r="L445" s="32" t="n">
        <x:v>0</x:v>
      </x:c>
      <x:c r="M445" s="32" t="n">
        <x:v>0</x:v>
      </x:c>
      <x:c r="N445" s="24" t="n">
        <x:f>F445+G445+K445-L445+M445-H445-J445</x:f>
        <x:v>20.455481474009982</x:v>
      </x:c>
      <x:c r="O445" s="24" t="n">
        <x:f>H445*'封面与口径'!$O$24</x:f>
        <x:v>10.5</x:v>
      </x:c>
      <x:c r="P445" s="19" t="str">
        <x:f>IF(N445&lt;0,"缺货",IF(N445&lt;O445,"预警","正常"))</x:f>
        <x:v>正常</x:v>
      </x:c>
      <x:c r="Q445" s="19" t="str">
        <x:v>牛肉0713-06</x:v>
      </x:c>
    </x:row>
    <x:row r="446">
      <x:c r="A446" s="19" t="str">
        <x:v>2026-07-07|S06|螺丝椒</x:v>
      </x:c>
      <x:c r="B446" s="34" t="n">
        <x:v>46210.5</x:v>
      </x:c>
      <x:c r="C446" s="19" t="str">
        <x:v>S06</x:v>
      </x:c>
      <x:c r="D446" s="19" t="str">
        <x:v>蓝钻天城店</x:v>
      </x:c>
      <x:c r="E446" s="19" t="str">
        <x:v>螺丝椒</x:v>
      </x:c>
      <x:c r="F446" s="32" t="n">
        <x:v>22.05</x:v>
      </x:c>
      <x:c r="G446" s="32" t="n">
        <x:v>14.080860332930662</x:v>
      </x:c>
      <x:c r="H446" s="24" t="n">
        <x:f>'菜品日销量'!G705*250/1000</x:f>
        <x:v>12.25</x:v>
      </x:c>
      <x:c r="I446" s="36" t="n">
        <x:v>0.024648488673765324</x:v>
      </x:c>
      <x:c r="J446" s="24" t="n">
        <x:f>H446*I446</x:f>
        <x:v>0.30194398625362523</x:v>
      </x:c>
      <x:c r="K446" s="32" t="n">
        <x:v>0</x:v>
      </x:c>
      <x:c r="L446" s="32" t="n">
        <x:v>0</x:v>
      </x:c>
      <x:c r="M446" s="32" t="n">
        <x:v>0</x:v>
      </x:c>
      <x:c r="N446" s="24" t="n">
        <x:f>F446+G446+K446-L446+M446-H446-J446</x:f>
        <x:v>23.57891634667704</x:v>
      </x:c>
      <x:c r="O446" s="24" t="n">
        <x:f>H446*'封面与口径'!$O$24</x:f>
        <x:v>14.7</x:v>
      </x:c>
      <x:c r="P446" s="19" t="str">
        <x:f>IF(N446&lt;0,"缺货",IF(N446&lt;O446,"预警","正常"))</x:f>
        <x:v>正常</x:v>
      </x:c>
      <x:c r="Q446" s="19" t="str">
        <x:v>螺丝0707-06</x:v>
      </x:c>
    </x:row>
    <x:row r="447">
      <x:c r="A447" s="19" t="str">
        <x:v>2026-07-08|S06|螺丝椒</x:v>
      </x:c>
      <x:c r="B447" s="34" t="n">
        <x:v>46211.5</x:v>
      </x:c>
      <x:c r="C447" s="19" t="str">
        <x:v>S06</x:v>
      </x:c>
      <x:c r="D447" s="19" t="str">
        <x:v>蓝钻天城店</x:v>
      </x:c>
      <x:c r="E447" s="19" t="str">
        <x:v>螺丝椒</x:v>
      </x:c>
      <x:c r="F447" s="32" t="n">
        <x:v>23.57891634667704</x:v>
      </x:c>
      <x:c r="G447" s="32" t="n">
        <x:v>12.760045517345436</x:v>
      </x:c>
      <x:c r="H447" s="24" t="n">
        <x:f>'菜品日销量'!G725*250/1000</x:f>
        <x:v>11.75</x:v>
      </x:c>
      <x:c r="I447" s="36" t="n">
        <x:v>0.02366807784970572</x:v>
      </x:c>
      <x:c r="J447" s="24" t="n">
        <x:f>H447*I447</x:f>
        <x:v>0.2780999147340422</x:v>
      </x:c>
      <x:c r="K447" s="32" t="n">
        <x:v>0</x:v>
      </x:c>
      <x:c r="L447" s="32" t="n">
        <x:v>0</x:v>
      </x:c>
      <x:c r="M447" s="32" t="n">
        <x:v>0</x:v>
      </x:c>
      <x:c r="N447" s="24" t="n">
        <x:f>F447+G447+K447-L447+M447-H447-J447</x:f>
        <x:v>24.310861949288437</x:v>
      </x:c>
      <x:c r="O447" s="24" t="n">
        <x:f>H447*'封面与口径'!$O$24</x:f>
        <x:v>14.1</x:v>
      </x:c>
      <x:c r="P447" s="19" t="str">
        <x:f>IF(N447&lt;0,"缺货",IF(N447&lt;O447,"预警","正常"))</x:f>
        <x:v>正常</x:v>
      </x:c>
      <x:c r="Q447" s="19" t="str">
        <x:v>螺丝0708-06</x:v>
      </x:c>
    </x:row>
    <x:row r="448">
      <x:c r="A448" s="19" t="str">
        <x:v>2026-07-09|S06|螺丝椒</x:v>
      </x:c>
      <x:c r="B448" s="34" t="n">
        <x:v>46212.5</x:v>
      </x:c>
      <x:c r="C448" s="19" t="str">
        <x:v>S06</x:v>
      </x:c>
      <x:c r="D448" s="19" t="str">
        <x:v>蓝钻天城店</x:v>
      </x:c>
      <x:c r="E448" s="19" t="str">
        <x:v>螺丝椒</x:v>
      </x:c>
      <x:c r="F448" s="32" t="n">
        <x:v>24.310861949288437</x:v>
      </x:c>
      <x:c r="G448" s="32" t="n">
        <x:v>13.495496480678092</x:v>
      </x:c>
      <x:c r="H448" s="24" t="n">
        <x:f>'菜品日销量'!G745*250/1000</x:f>
        <x:v>11.75</x:v>
      </x:c>
      <x:c r="I448" s="36" t="n">
        <x:v>0.03694629422667117</x:v>
      </x:c>
      <x:c r="J448" s="24" t="n">
        <x:f>H448*I448</x:f>
        <x:v>0.4341189571633863</x:v>
      </x:c>
      <x:c r="K448" s="32" t="n">
        <x:v>0</x:v>
      </x:c>
      <x:c r="L448" s="32" t="n">
        <x:v>0</x:v>
      </x:c>
      <x:c r="M448" s="32" t="n">
        <x:v>0</x:v>
      </x:c>
      <x:c r="N448" s="24" t="n">
        <x:f>F448+G448+K448-L448+M448-H448-J448</x:f>
        <x:v>25.622239472803145</x:v>
      </x:c>
      <x:c r="O448" s="24" t="n">
        <x:f>H448*'封面与口径'!$O$24</x:f>
        <x:v>14.1</x:v>
      </x:c>
      <x:c r="P448" s="19" t="str">
        <x:f>IF(N448&lt;0,"缺货",IF(N448&lt;O448,"预警","正常"))</x:f>
        <x:v>正常</x:v>
      </x:c>
      <x:c r="Q448" s="19" t="str">
        <x:v>螺丝0709-06</x:v>
      </x:c>
    </x:row>
    <x:row r="449">
      <x:c r="A449" s="19" t="str">
        <x:v>2026-07-10|S06|螺丝椒</x:v>
      </x:c>
      <x:c r="B449" s="34" t="n">
        <x:v>46213.5</x:v>
      </x:c>
      <x:c r="C449" s="19" t="str">
        <x:v>S06</x:v>
      </x:c>
      <x:c r="D449" s="19" t="str">
        <x:v>蓝钻天城店</x:v>
      </x:c>
      <x:c r="E449" s="19" t="str">
        <x:v>螺丝椒</x:v>
      </x:c>
      <x:c r="F449" s="32" t="n">
        <x:v>25.622239472803145</x:v>
      </x:c>
      <x:c r="G449" s="32" t="n">
        <x:v>12.934240486839377</x:v>
      </x:c>
      <x:c r="H449" s="24" t="n">
        <x:f>'菜品日销量'!G765*250/1000</x:f>
        <x:v>11</x:v>
      </x:c>
      <x:c r="I449" s="36" t="n">
        <x:v>0.022391886112138604</x:v>
      </x:c>
      <x:c r="J449" s="24" t="n">
        <x:f>H449*I449</x:f>
        <x:v>0.24631074723352464</x:v>
      </x:c>
      <x:c r="K449" s="32" t="n">
        <x:v>0</x:v>
      </x:c>
      <x:c r="L449" s="32" t="n">
        <x:v>0</x:v>
      </x:c>
      <x:c r="M449" s="32" t="n">
        <x:v>0</x:v>
      </x:c>
      <x:c r="N449" s="24" t="n">
        <x:f>F449+G449+K449-L449+M449-H449-J449</x:f>
        <x:v>27.310169212408997</x:v>
      </x:c>
      <x:c r="O449" s="24" t="n">
        <x:f>H449*'封面与口径'!$O$24</x:f>
        <x:v>13.2</x:v>
      </x:c>
      <x:c r="P449" s="19" t="str">
        <x:f>IF(N449&lt;0,"缺货",IF(N449&lt;O449,"预警","正常"))</x:f>
        <x:v>正常</x:v>
      </x:c>
      <x:c r="Q449" s="19" t="str">
        <x:v>螺丝0710-06</x:v>
      </x:c>
    </x:row>
    <x:row r="450">
      <x:c r="A450" s="19" t="str">
        <x:v>2026-07-11|S06|螺丝椒</x:v>
      </x:c>
      <x:c r="B450" s="34" t="n">
        <x:v>46214.5</x:v>
      </x:c>
      <x:c r="C450" s="19" t="str">
        <x:v>S06</x:v>
      </x:c>
      <x:c r="D450" s="19" t="str">
        <x:v>蓝钻天城店</x:v>
      </x:c>
      <x:c r="E450" s="19" t="str">
        <x:v>螺丝椒</x:v>
      </x:c>
      <x:c r="F450" s="32" t="n">
        <x:v>27.310169212409</x:v>
      </x:c>
      <x:c r="G450" s="32" t="n">
        <x:v>9.923077039262996</x:v>
      </x:c>
      <x:c r="H450" s="24" t="n">
        <x:f>'菜品日销量'!G785*250/1000</x:f>
        <x:v>9</x:v>
      </x:c>
      <x:c r="I450" s="36" t="n">
        <x:v>0.028655502497836834</x:v>
      </x:c>
      <x:c r="J450" s="24" t="n">
        <x:f>H450*I450</x:f>
        <x:v>0.2578995224805315</x:v>
      </x:c>
      <x:c r="K450" s="32" t="n">
        <x:v>0</x:v>
      </x:c>
      <x:c r="L450" s="32" t="n">
        <x:v>0</x:v>
      </x:c>
      <x:c r="M450" s="32" t="n">
        <x:v>0</x:v>
      </x:c>
      <x:c r="N450" s="24" t="n">
        <x:f>F450+G450+K450-L450+M450-H450-J450</x:f>
        <x:v>27.975346729191468</x:v>
      </x:c>
      <x:c r="O450" s="24" t="n">
        <x:f>H450*'封面与口径'!$O$24</x:f>
        <x:v>10.799999999999999</x:v>
      </x:c>
      <x:c r="P450" s="19" t="str">
        <x:f>IF(N450&lt;0,"缺货",IF(N450&lt;O450,"预警","正常"))</x:f>
        <x:v>正常</x:v>
      </x:c>
      <x:c r="Q450" s="19" t="str">
        <x:v>螺丝0711-06</x:v>
      </x:c>
    </x:row>
    <x:row r="451">
      <x:c r="A451" s="19" t="str">
        <x:v>2026-07-12|S06|螺丝椒</x:v>
      </x:c>
      <x:c r="B451" s="34" t="n">
        <x:v>46215.5</x:v>
      </x:c>
      <x:c r="C451" s="19" t="str">
        <x:v>S06</x:v>
      </x:c>
      <x:c r="D451" s="19" t="str">
        <x:v>蓝钻天城店</x:v>
      </x:c>
      <x:c r="E451" s="19" t="str">
        <x:v>螺丝椒</x:v>
      </x:c>
      <x:c r="F451" s="32" t="n">
        <x:v>27.975346729191468</x:v>
      </x:c>
      <x:c r="G451" s="32" t="n">
        <x:v>11.354545640767213</x:v>
      </x:c>
      <x:c r="H451" s="24" t="n">
        <x:f>'菜品日销量'!G805*250/1000</x:f>
        <x:v>9.5</x:v>
      </x:c>
      <x:c r="I451" s="36" t="n">
        <x:v>0.021506095187856372</x:v>
      </x:c>
      <x:c r="J451" s="24" t="n">
        <x:f>H451*I451</x:f>
        <x:v>0.20430790428463552</x:v>
      </x:c>
      <x:c r="K451" s="32" t="n">
        <x:v>0</x:v>
      </x:c>
      <x:c r="L451" s="32" t="n">
        <x:v>0</x:v>
      </x:c>
      <x:c r="M451" s="32" t="n">
        <x:v>0</x:v>
      </x:c>
      <x:c r="N451" s="24" t="n">
        <x:f>F451+G451+K451-L451+M451-H451-J451</x:f>
        <x:v>29.62558446567405</x:v>
      </x:c>
      <x:c r="O451" s="24" t="n">
        <x:f>H451*'封面与口径'!$O$24</x:f>
        <x:v>11.4</x:v>
      </x:c>
      <x:c r="P451" s="19" t="str">
        <x:f>IF(N451&lt;0,"缺货",IF(N451&lt;O451,"预警","正常"))</x:f>
        <x:v>正常</x:v>
      </x:c>
      <x:c r="Q451" s="19" t="str">
        <x:v>螺丝0712-06</x:v>
      </x:c>
    </x:row>
    <x:row r="452">
      <x:c r="A452" s="19" t="str">
        <x:v>2026-07-13|S06|螺丝椒</x:v>
      </x:c>
      <x:c r="B452" s="34" t="n">
        <x:v>46216.5</x:v>
      </x:c>
      <x:c r="C452" s="19" t="str">
        <x:v>S06</x:v>
      </x:c>
      <x:c r="D452" s="19" t="str">
        <x:v>蓝钻天城店</x:v>
      </x:c>
      <x:c r="E452" s="19" t="str">
        <x:v>螺丝椒</x:v>
      </x:c>
      <x:c r="F452" s="32" t="n">
        <x:v>29.625584465674052</x:v>
      </x:c>
      <x:c r="G452" s="32" t="n">
        <x:v>14.128708692448845</x:v>
      </x:c>
      <x:c r="H452" s="24" t="n">
        <x:f>'菜品日销量'!G825*250/1000</x:f>
        <x:v>12.25</x:v>
      </x:c>
      <x:c r="I452" s="36" t="n">
        <x:v>0.033100458428519886</x:v>
      </x:c>
      <x:c r="J452" s="24" t="n">
        <x:f>H452*I452</x:f>
        <x:v>0.4054806157493686</x:v>
      </x:c>
      <x:c r="K452" s="32" t="n">
        <x:v>0</x:v>
      </x:c>
      <x:c r="L452" s="32" t="n">
        <x:v>0</x:v>
      </x:c>
      <x:c r="M452" s="32" t="n">
        <x:v>0</x:v>
      </x:c>
      <x:c r="N452" s="24" t="n">
        <x:f>F452+G452+K452-L452+M452-H452-J452</x:f>
        <x:v>31.09881254237353</x:v>
      </x:c>
      <x:c r="O452" s="24" t="n">
        <x:f>H452*'封面与口径'!$O$24</x:f>
        <x:v>14.7</x:v>
      </x:c>
      <x:c r="P452" s="19" t="str">
        <x:f>IF(N452&lt;0,"缺货",IF(N452&lt;O452,"预警","正常"))</x:f>
        <x:v>正常</x:v>
      </x:c>
      <x:c r="Q452" s="19" t="str">
        <x:v>螺丝0713-06</x:v>
      </x:c>
    </x:row>
    <x:row r="453">
      <x:c r="A453" s="19" t="str">
        <x:v>2026-07-07|S06|青湖南椒圈</x:v>
      </x:c>
      <x:c r="B453" s="34" t="n">
        <x:v>46210.5</x:v>
      </x:c>
      <x:c r="C453" s="19" t="str">
        <x:v>S06</x:v>
      </x:c>
      <x:c r="D453" s="19" t="str">
        <x:v>蓝钻天城店</x:v>
      </x:c>
      <x:c r="E453" s="19" t="str">
        <x:v>青湖南椒圈</x:v>
      </x:c>
      <x:c r="F453" s="32" t="n">
        <x:v>3.24</x:v>
      </x:c>
      <x:c r="G453" s="32" t="n">
        <x:v>2.1290253357740645</x:v>
      </x:c>
      <x:c r="H453" s="24" t="n">
        <x:f>'菜品日销量'!G714*100/1000</x:f>
        <x:v>1.8</x:v>
      </x:c>
      <x:c r="I453" s="36" t="n">
        <x:v>0.03668611890442812</x:v>
      </x:c>
      <x:c r="J453" s="24" t="n">
        <x:f>H453*I453</x:f>
        <x:v>0.06603501402797061</x:v>
      </x:c>
      <x:c r="K453" s="32" t="n">
        <x:v>0</x:v>
      </x:c>
      <x:c r="L453" s="32" t="n">
        <x:v>0</x:v>
      </x:c>
      <x:c r="M453" s="32" t="n">
        <x:v>0</x:v>
      </x:c>
      <x:c r="N453" s="24" t="n">
        <x:f>F453+G453+K453-L453+M453-H453-J453</x:f>
        <x:v>3.5029903217460947</x:v>
      </x:c>
      <x:c r="O453" s="24" t="n">
        <x:f>H453*'封面与口径'!$O$24</x:f>
        <x:v>2.16</x:v>
      </x:c>
      <x:c r="P453" s="19" t="str">
        <x:f>IF(N453&lt;0,"缺货",IF(N453&lt;O453,"预警","正常"))</x:f>
        <x:v>正常</x:v>
      </x:c>
      <x:c r="Q453" s="19" t="str">
        <x:v>青湖0707-06</x:v>
      </x:c>
    </x:row>
    <x:row r="454">
      <x:c r="A454" s="19" t="str">
        <x:v>2026-07-08|S06|青湖南椒圈</x:v>
      </x:c>
      <x:c r="B454" s="34" t="n">
        <x:v>46211.5</x:v>
      </x:c>
      <x:c r="C454" s="19" t="str">
        <x:v>S06</x:v>
      </x:c>
      <x:c r="D454" s="19" t="str">
        <x:v>蓝钻天城店</x:v>
      </x:c>
      <x:c r="E454" s="19" t="str">
        <x:v>青湖南椒圈</x:v>
      </x:c>
      <x:c r="F454" s="32" t="n">
        <x:v>3.5029903217460943</x:v>
      </x:c>
      <x:c r="G454" s="32" t="n">
        <x:v>1.970922071940946</x:v>
      </x:c>
      <x:c r="H454" s="24" t="n">
        <x:f>'菜品日销量'!G734*100/1000</x:f>
        <x:v>1.7</x:v>
      </x:c>
      <x:c r="I454" s="36" t="n">
        <x:v>0.02615201682228409</x:v>
      </x:c>
      <x:c r="J454" s="24" t="n">
        <x:f>H454*I454</x:f>
        <x:v>0.04445842859788295</x:v>
      </x:c>
      <x:c r="K454" s="32" t="n">
        <x:v>0</x:v>
      </x:c>
      <x:c r="L454" s="32" t="n">
        <x:v>0</x:v>
      </x:c>
      <x:c r="M454" s="32" t="n">
        <x:v>0</x:v>
      </x:c>
      <x:c r="N454" s="24" t="n">
        <x:f>F454+G454+K454-L454+M454-H454-J454</x:f>
        <x:v>3.7294539650891574</x:v>
      </x:c>
      <x:c r="O454" s="24" t="n">
        <x:f>H454*'封面与口径'!$O$24</x:f>
        <x:v>2.04</x:v>
      </x:c>
      <x:c r="P454" s="19" t="str">
        <x:f>IF(N454&lt;0,"缺货",IF(N454&lt;O454,"预警","正常"))</x:f>
        <x:v>正常</x:v>
      </x:c>
      <x:c r="Q454" s="19" t="str">
        <x:v>青湖0708-06</x:v>
      </x:c>
    </x:row>
    <x:row r="455">
      <x:c r="A455" s="19" t="str">
        <x:v>2026-07-09|S06|青湖南椒圈</x:v>
      </x:c>
      <x:c r="B455" s="34" t="n">
        <x:v>46212.5</x:v>
      </x:c>
      <x:c r="C455" s="19" t="str">
        <x:v>S06</x:v>
      </x:c>
      <x:c r="D455" s="19" t="str">
        <x:v>蓝钻天城店</x:v>
      </x:c>
      <x:c r="E455" s="19" t="str">
        <x:v>青湖南椒圈</x:v>
      </x:c>
      <x:c r="F455" s="32" t="n">
        <x:v>3.7294539650891574</x:v>
      </x:c>
      <x:c r="G455" s="32" t="n">
        <x:v>2.069998234180268</x:v>
      </x:c>
      <x:c r="H455" s="24" t="n">
        <x:f>'菜品日销量'!G754*100/1000</x:f>
        <x:v>1.8</x:v>
      </x:c>
      <x:c r="I455" s="36" t="n">
        <x:v>0.03888916032479358</x:v>
      </x:c>
      <x:c r="J455" s="24" t="n">
        <x:f>H455*I455</x:f>
        <x:v>0.07000048858462844</x:v>
      </x:c>
      <x:c r="K455" s="32" t="n">
        <x:v>0</x:v>
      </x:c>
      <x:c r="L455" s="32" t="n">
        <x:v>0</x:v>
      </x:c>
      <x:c r="M455" s="32" t="n">
        <x:v>0</x:v>
      </x:c>
      <x:c r="N455" s="24" t="n">
        <x:f>F455+G455+K455-L455+M455-H455-J455</x:f>
        <x:v>3.929451710684797</x:v>
      </x:c>
      <x:c r="O455" s="24" t="n">
        <x:f>H455*'封面与口径'!$O$24</x:f>
        <x:v>2.16</x:v>
      </x:c>
      <x:c r="P455" s="19" t="str">
        <x:f>IF(N455&lt;0,"缺货",IF(N455&lt;O455,"预警","正常"))</x:f>
        <x:v>正常</x:v>
      </x:c>
      <x:c r="Q455" s="19" t="str">
        <x:v>青湖0709-06</x:v>
      </x:c>
    </x:row>
    <x:row r="456">
      <x:c r="A456" s="19" t="str">
        <x:v>2026-07-10|S06|青湖南椒圈</x:v>
      </x:c>
      <x:c r="B456" s="34" t="n">
        <x:v>46213.5</x:v>
      </x:c>
      <x:c r="C456" s="19" t="str">
        <x:v>S06</x:v>
      </x:c>
      <x:c r="D456" s="19" t="str">
        <x:v>蓝钻天城店</x:v>
      </x:c>
      <x:c r="E456" s="19" t="str">
        <x:v>青湖南椒圈</x:v>
      </x:c>
      <x:c r="F456" s="32" t="n">
        <x:v>3.9294517106847966</x:v>
      </x:c>
      <x:c r="G456" s="32" t="n">
        <x:v>2.125863960718239</x:v>
      </x:c>
      <x:c r="H456" s="24" t="n">
        <x:f>'菜品日销量'!G774*100/1000</x:f>
        <x:v>1.9</x:v>
      </x:c>
      <x:c r="I456" s="36" t="n">
        <x:v>0.028609772562889796</x:v>
      </x:c>
      <x:c r="J456" s="24" t="n">
        <x:f>H456*I456</x:f>
        <x:v>0.05435856786949061</x:v>
      </x:c>
      <x:c r="K456" s="32" t="n">
        <x:v>0</x:v>
      </x:c>
      <x:c r="L456" s="32" t="n">
        <x:v>0</x:v>
      </x:c>
      <x:c r="M456" s="32" t="n">
        <x:v>0</x:v>
      </x:c>
      <x:c r="N456" s="24" t="n">
        <x:f>F456+G456+K456-L456+M456-H456-J456</x:f>
        <x:v>4.1009571035335455</x:v>
      </x:c>
      <x:c r="O456" s="24" t="n">
        <x:f>H456*'封面与口径'!$O$24</x:f>
        <x:v>2.28</x:v>
      </x:c>
      <x:c r="P456" s="19" t="str">
        <x:f>IF(N456&lt;0,"缺货",IF(N456&lt;O456,"预警","正常"))</x:f>
        <x:v>正常</x:v>
      </x:c>
      <x:c r="Q456" s="19" t="str">
        <x:v>青湖0710-06</x:v>
      </x:c>
    </x:row>
    <x:row r="457">
      <x:c r="A457" s="19" t="str">
        <x:v>2026-07-11|S06|青湖南椒圈</x:v>
      </x:c>
      <x:c r="B457" s="34" t="n">
        <x:v>46214.5</x:v>
      </x:c>
      <x:c r="C457" s="19" t="str">
        <x:v>S06</x:v>
      </x:c>
      <x:c r="D457" s="19" t="str">
        <x:v>蓝钻天城店</x:v>
      </x:c>
      <x:c r="E457" s="19" t="str">
        <x:v>青湖南椒圈</x:v>
      </x:c>
      <x:c r="F457" s="32" t="n">
        <x:v>4.1009571035335455</x:v>
      </x:c>
      <x:c r="G457" s="32" t="n">
        <x:v>1.5683080519568893</x:v>
      </x:c>
      <x:c r="H457" s="24" t="n">
        <x:f>'菜品日销量'!G794*100/1000</x:f>
        <x:v>1.4</x:v>
      </x:c>
      <x:c r="I457" s="36" t="n">
        <x:v>0.03986222002186399</x:v>
      </x:c>
      <x:c r="J457" s="24" t="n">
        <x:f>H457*I457</x:f>
        <x:v>0.05580710803060958</x:v>
      </x:c>
      <x:c r="K457" s="32" t="n">
        <x:v>0</x:v>
      </x:c>
      <x:c r="L457" s="32" t="n">
        <x:v>0</x:v>
      </x:c>
      <x:c r="M457" s="32" t="n">
        <x:v>0</x:v>
      </x:c>
      <x:c r="N457" s="24" t="n">
        <x:f>F457+G457+K457-L457+M457-H457-J457</x:f>
        <x:v>4.2134580474598256</x:v>
      </x:c>
      <x:c r="O457" s="24" t="n">
        <x:f>H457*'封面与口径'!$O$24</x:f>
        <x:v>1.68</x:v>
      </x:c>
      <x:c r="P457" s="19" t="str">
        <x:f>IF(N457&lt;0,"缺货",IF(N457&lt;O457,"预警","正常"))</x:f>
        <x:v>正常</x:v>
      </x:c>
      <x:c r="Q457" s="19" t="str">
        <x:v>青湖0711-06</x:v>
      </x:c>
    </x:row>
    <x:row r="458">
      <x:c r="A458" s="19" t="str">
        <x:v>2026-07-12|S06|青湖南椒圈</x:v>
      </x:c>
      <x:c r="B458" s="34" t="n">
        <x:v>46215.5</x:v>
      </x:c>
      <x:c r="C458" s="19" t="str">
        <x:v>S06</x:v>
      </x:c>
      <x:c r="D458" s="19" t="str">
        <x:v>蓝钻天城店</x:v>
      </x:c>
      <x:c r="E458" s="19" t="str">
        <x:v>青湖南椒圈</x:v>
      </x:c>
      <x:c r="F458" s="32" t="n">
        <x:v>4.2134580474598256</x:v>
      </x:c>
      <x:c r="G458" s="32" t="n">
        <x:v>1.3342418013341357</x:v>
      </x:c>
      <x:c r="H458" s="24" t="n">
        <x:f>'菜品日销量'!G814*100/1000</x:f>
        <x:v>1.2</x:v>
      </x:c>
      <x:c r="I458" s="36" t="n">
        <x:v>0.020557097821858966</x:v>
      </x:c>
      <x:c r="J458" s="24" t="n">
        <x:f>H458*I458</x:f>
        <x:v>0.02466851738623076</x:v>
      </x:c>
      <x:c r="K458" s="32" t="n">
        <x:v>0</x:v>
      </x:c>
      <x:c r="L458" s="32" t="n">
        <x:v>0</x:v>
      </x:c>
      <x:c r="M458" s="32" t="n">
        <x:v>0</x:v>
      </x:c>
      <x:c r="N458" s="24" t="n">
        <x:f>F458+G458+K458-L458+M458-H458-J458</x:f>
        <x:v>4.32303133140773</x:v>
      </x:c>
      <x:c r="O458" s="24" t="n">
        <x:f>H458*'封面与口径'!$O$24</x:f>
        <x:v>1.44</x:v>
      </x:c>
      <x:c r="P458" s="19" t="str">
        <x:f>IF(N458&lt;0,"缺货",IF(N458&lt;O458,"预警","正常"))</x:f>
        <x:v>正常</x:v>
      </x:c>
      <x:c r="Q458" s="19" t="str">
        <x:v>青湖0712-06</x:v>
      </x:c>
    </x:row>
    <x:row r="459">
      <x:c r="A459" s="19" t="str">
        <x:v>2026-07-13|S06|青湖南椒圈</x:v>
      </x:c>
      <x:c r="B459" s="34" t="n">
        <x:v>46216.5</x:v>
      </x:c>
      <x:c r="C459" s="19" t="str">
        <x:v>S06</x:v>
      </x:c>
      <x:c r="D459" s="19" t="str">
        <x:v>蓝钻天城店</x:v>
      </x:c>
      <x:c r="E459" s="19" t="str">
        <x:v>青湖南椒圈</x:v>
      </x:c>
      <x:c r="F459" s="32" t="n">
        <x:v>4.32303133140773</x:v>
      </x:c>
      <x:c r="G459" s="32" t="n">
        <x:v>2.175034147483072</x:v>
      </x:c>
      <x:c r="H459" s="24" t="n">
        <x:f>'菜品日销量'!G834*100/1000</x:f>
        <x:v>1.9</x:v>
      </x:c>
      <x:c r="I459" s="36" t="n">
        <x:v>0.015073255371552253</x:v>
      </x:c>
      <x:c r="J459" s="24" t="n">
        <x:f>H459*I459</x:f>
        <x:v>0.02863918520594928</x:v>
      </x:c>
      <x:c r="K459" s="32" t="n">
        <x:v>0</x:v>
      </x:c>
      <x:c r="L459" s="32" t="n">
        <x:v>0</x:v>
      </x:c>
      <x:c r="M459" s="32" t="n">
        <x:v>0</x:v>
      </x:c>
      <x:c r="N459" s="24" t="n">
        <x:f>F459+G459+K459-L459+M459-H459-J459</x:f>
        <x:v>4.569426293684853</x:v>
      </x:c>
      <x:c r="O459" s="24" t="n">
        <x:f>H459*'封面与口径'!$O$24</x:f>
        <x:v>2.28</x:v>
      </x:c>
      <x:c r="P459" s="19" t="str">
        <x:f>IF(N459&lt;0,"缺货",IF(N459&lt;O459,"预警","正常"))</x:f>
        <x:v>正常</x:v>
      </x:c>
      <x:c r="Q459" s="19" t="str">
        <x:v>青湖0713-06</x:v>
      </x:c>
    </x:row>
    <x:row r="460">
      <x:c r="A460" s="19" t="str">
        <x:v>2026-07-07|S06|鸡蛋</x:v>
      </x:c>
      <x:c r="B460" s="34" t="n">
        <x:v>46210.5</x:v>
      </x:c>
      <x:c r="C460" s="19" t="str">
        <x:v>S06</x:v>
      </x:c>
      <x:c r="D460" s="19" t="str">
        <x:v>蓝钻天城店</x:v>
      </x:c>
      <x:c r="E460" s="19" t="str">
        <x:v>鸡蛋</x:v>
      </x:c>
      <x:c r="F460" s="32" t="n">
        <x:v>26.73</x:v>
      </x:c>
      <x:c r="G460" s="32" t="n">
        <x:v>16.679933958972324</x:v>
      </x:c>
      <x:c r="H460" s="24" t="n">
        <x:f>'菜品日销量'!G707*300/1000+'菜品日销量'!G717*250/1000</x:f>
        <x:v>14.85</x:v>
      </x:c>
      <x:c r="I460" s="36" t="n">
        <x:v>0.016392662566246618</x:v>
      </x:c>
      <x:c r="J460" s="24" t="n">
        <x:f>H460*I460</x:f>
        <x:v>0.24343103910876226</x:v>
      </x:c>
      <x:c r="K460" s="32" t="n">
        <x:v>0</x:v>
      </x:c>
      <x:c r="L460" s="32" t="n">
        <x:v>0</x:v>
      </x:c>
      <x:c r="M460" s="32" t="n">
        <x:v>0</x:v>
      </x:c>
      <x:c r="N460" s="24" t="n">
        <x:f>F460+G460+K460-L460+M460-H460-J460</x:f>
        <x:v>28.31650291986356</x:v>
      </x:c>
      <x:c r="O460" s="24" t="n">
        <x:f>H460*'封面与口径'!$O$24</x:f>
        <x:v>17.82</x:v>
      </x:c>
      <x:c r="P460" s="19" t="str">
        <x:f>IF(N460&lt;0,"缺货",IF(N460&lt;O460,"预警","正常"))</x:f>
        <x:v>正常</x:v>
      </x:c>
      <x:c r="Q460" s="19" t="str">
        <x:v>鸡蛋0707-06</x:v>
      </x:c>
    </x:row>
    <x:row r="461">
      <x:c r="A461" s="19" t="str">
        <x:v>2026-07-08|S06|鸡蛋</x:v>
      </x:c>
      <x:c r="B461" s="34" t="n">
        <x:v>46211.5</x:v>
      </x:c>
      <x:c r="C461" s="19" t="str">
        <x:v>S06</x:v>
      </x:c>
      <x:c r="D461" s="19" t="str">
        <x:v>蓝钻天城店</x:v>
      </x:c>
      <x:c r="E461" s="19" t="str">
        <x:v>鸡蛋</x:v>
      </x:c>
      <x:c r="F461" s="32" t="n">
        <x:v>28.31650291986356</x:v>
      </x:c>
      <x:c r="G461" s="32" t="n">
        <x:v>18.743756226830126</x:v>
      </x:c>
      <x:c r="H461" s="24" t="n">
        <x:f>'菜品日销量'!G727*300/1000+'菜品日销量'!G737*250/1000</x:f>
        <x:v>15.7</x:v>
      </x:c>
      <x:c r="I461" s="36" t="n">
        <x:v>0.016031403744367744</x:v>
      </x:c>
      <x:c r="J461" s="24" t="n">
        <x:f>H461*I461</x:f>
        <x:v>0.25169303878657356</x:v>
      </x:c>
      <x:c r="K461" s="32" t="n">
        <x:v>0</x:v>
      </x:c>
      <x:c r="L461" s="32" t="n">
        <x:v>0</x:v>
      </x:c>
      <x:c r="M461" s="32" t="n">
        <x:v>0</x:v>
      </x:c>
      <x:c r="N461" s="24" t="n">
        <x:f>F461+G461+K461-L461+M461-H461-J461</x:f>
        <x:v>31.10856610790711</x:v>
      </x:c>
      <x:c r="O461" s="24" t="n">
        <x:f>H461*'封面与口径'!$O$24</x:f>
        <x:v>18.84</x:v>
      </x:c>
      <x:c r="P461" s="19" t="str">
        <x:f>IF(N461&lt;0,"缺货",IF(N461&lt;O461,"预警","正常"))</x:f>
        <x:v>正常</x:v>
      </x:c>
      <x:c r="Q461" s="19" t="str">
        <x:v>鸡蛋0708-06</x:v>
      </x:c>
    </x:row>
    <x:row r="462">
      <x:c r="A462" s="19" t="str">
        <x:v>2026-07-09|S06|鸡蛋</x:v>
      </x:c>
      <x:c r="B462" s="34" t="n">
        <x:v>46212.5</x:v>
      </x:c>
      <x:c r="C462" s="19" t="str">
        <x:v>S06</x:v>
      </x:c>
      <x:c r="D462" s="19" t="str">
        <x:v>蓝钻天城店</x:v>
      </x:c>
      <x:c r="E462" s="19" t="str">
        <x:v>鸡蛋</x:v>
      </x:c>
      <x:c r="F462" s="32" t="n">
        <x:v>31.10856610790711</x:v>
      </x:c>
      <x:c r="G462" s="32" t="n">
        <x:v>16.717542305492692</x:v>
      </x:c>
      <x:c r="H462" s="24" t="n">
        <x:f>'菜品日销量'!G747*300/1000+'菜品日销量'!G757*250/1000</x:f>
        <x:v>15.45</x:v>
      </x:c>
      <x:c r="I462" s="36" t="n">
        <x:v>0.020754908507399937</x:v>
      </x:c>
      <x:c r="J462" s="24" t="n">
        <x:f>H462*I462</x:f>
        <x:v>0.32066333643932904</x:v>
      </x:c>
      <x:c r="K462" s="32" t="n">
        <x:v>0</x:v>
      </x:c>
      <x:c r="L462" s="32" t="n">
        <x:v>0</x:v>
      </x:c>
      <x:c r="M462" s="32" t="n">
        <x:v>0</x:v>
      </x:c>
      <x:c r="N462" s="24" t="n">
        <x:f>F462+G462+K462-L462+M462-H462-J462</x:f>
        <x:v>32.055445076960474</x:v>
      </x:c>
      <x:c r="O462" s="24" t="n">
        <x:f>H462*'封面与口径'!$O$24</x:f>
        <x:v>18.54</x:v>
      </x:c>
      <x:c r="P462" s="19" t="str">
        <x:f>IF(N462&lt;0,"缺货",IF(N462&lt;O462,"预警","正常"))</x:f>
        <x:v>正常</x:v>
      </x:c>
      <x:c r="Q462" s="19" t="str">
        <x:v>鸡蛋0709-06</x:v>
      </x:c>
    </x:row>
    <x:row r="463">
      <x:c r="A463" s="19" t="str">
        <x:v>2026-07-10|S06|鸡蛋</x:v>
      </x:c>
      <x:c r="B463" s="34" t="n">
        <x:v>46213.5</x:v>
      </x:c>
      <x:c r="C463" s="19" t="str">
        <x:v>S06</x:v>
      </x:c>
      <x:c r="D463" s="19" t="str">
        <x:v>蓝钻天城店</x:v>
      </x:c>
      <x:c r="E463" s="19" t="str">
        <x:v>鸡蛋</x:v>
      </x:c>
      <x:c r="F463" s="32" t="n">
        <x:v>32.055445076960474</x:v>
      </x:c>
      <x:c r="G463" s="32" t="n">
        <x:v>18.100724088740705</x:v>
      </x:c>
      <x:c r="H463" s="24" t="n">
        <x:f>'菜品日销量'!G767*300/1000+'菜品日销量'!G777*250/1000</x:f>
        <x:v>16</x:v>
      </x:c>
      <x:c r="I463" s="36" t="n">
        <x:v>0.03210190223346043</x:v>
      </x:c>
      <x:c r="J463" s="24" t="n">
        <x:f>H463*I463</x:f>
        <x:v>0.5136304357353669</x:v>
      </x:c>
      <x:c r="K463" s="32" t="n">
        <x:v>0</x:v>
      </x:c>
      <x:c r="L463" s="32" t="n">
        <x:v>0</x:v>
      </x:c>
      <x:c r="M463" s="32" t="n">
        <x:v>0</x:v>
      </x:c>
      <x:c r="N463" s="24" t="n">
        <x:f>F463+G463+K463-L463+M463-H463-J463</x:f>
        <x:v>33.642538729965814</x:v>
      </x:c>
      <x:c r="O463" s="24" t="n">
        <x:f>H463*'封面与口径'!$O$24</x:f>
        <x:v>19.2</x:v>
      </x:c>
      <x:c r="P463" s="19" t="str">
        <x:f>IF(N463&lt;0,"缺货",IF(N463&lt;O463,"预警","正常"))</x:f>
        <x:v>正常</x:v>
      </x:c>
      <x:c r="Q463" s="19" t="str">
        <x:v>鸡蛋0710-06</x:v>
      </x:c>
    </x:row>
    <x:row r="464">
      <x:c r="A464" s="19" t="str">
        <x:v>2026-07-11|S06|鸡蛋</x:v>
      </x:c>
      <x:c r="B464" s="34" t="n">
        <x:v>46214.5</x:v>
      </x:c>
      <x:c r="C464" s="19" t="str">
        <x:v>S06</x:v>
      </x:c>
      <x:c r="D464" s="19" t="str">
        <x:v>蓝钻天城店</x:v>
      </x:c>
      <x:c r="E464" s="19" t="str">
        <x:v>鸡蛋</x:v>
      </x:c>
      <x:c r="F464" s="32" t="n">
        <x:v>33.642538729965814</x:v>
      </x:c>
      <x:c r="G464" s="32" t="n">
        <x:v>13.882679672377808</x:v>
      </x:c>
      <x:c r="H464" s="24" t="n">
        <x:f>'菜品日销量'!G787*300/1000+'菜品日销量'!G797*250/1000</x:f>
        <x:v>11.7</x:v>
      </x:c>
      <x:c r="I464" s="36" t="n">
        <x:v>0.024435592710374758</x:v>
      </x:c>
      <x:c r="J464" s="24" t="n">
        <x:f>H464*I464</x:f>
        <x:v>0.28589643471138465</x:v>
      </x:c>
      <x:c r="K464" s="32" t="n">
        <x:v>0</x:v>
      </x:c>
      <x:c r="L464" s="32" t="n">
        <x:v>0</x:v>
      </x:c>
      <x:c r="M464" s="32" t="n">
        <x:v>0</x:v>
      </x:c>
      <x:c r="N464" s="24" t="n">
        <x:f>F464+G464+K464-L464+M464-H464-J464</x:f>
        <x:v>35.53932196763224</x:v>
      </x:c>
      <x:c r="O464" s="24" t="n">
        <x:f>H464*'封面与口径'!$O$24</x:f>
        <x:v>14.04</x:v>
      </x:c>
      <x:c r="P464" s="19" t="str">
        <x:f>IF(N464&lt;0,"缺货",IF(N464&lt;O464,"预警","正常"))</x:f>
        <x:v>正常</x:v>
      </x:c>
      <x:c r="Q464" s="19" t="str">
        <x:v>鸡蛋0711-06</x:v>
      </x:c>
    </x:row>
    <x:row r="465">
      <x:c r="A465" s="19" t="str">
        <x:v>2026-07-12|S06|鸡蛋</x:v>
      </x:c>
      <x:c r="B465" s="34" t="n">
        <x:v>46215.5</x:v>
      </x:c>
      <x:c r="C465" s="19" t="str">
        <x:v>S06</x:v>
      </x:c>
      <x:c r="D465" s="19" t="str">
        <x:v>蓝钻天城店</x:v>
      </x:c>
      <x:c r="E465" s="19" t="str">
        <x:v>鸡蛋</x:v>
      </x:c>
      <x:c r="F465" s="32" t="n">
        <x:v>35.53932196763224</x:v>
      </x:c>
      <x:c r="G465" s="32" t="n">
        <x:v>13.23987553926275</x:v>
      </x:c>
      <x:c r="H465" s="24" t="n">
        <x:f>'菜品日销量'!G807*300/1000+'菜品日销量'!G817*250/1000</x:f>
        <x:v>11.7</x:v>
      </x:c>
      <x:c r="I465" s="36" t="n">
        <x:v>0.016256297232177176</x:v>
      </x:c>
      <x:c r="J465" s="24" t="n">
        <x:f>H465*I465</x:f>
        <x:v>0.19019867761647294</x:v>
      </x:c>
      <x:c r="K465" s="32" t="n">
        <x:v>0</x:v>
      </x:c>
      <x:c r="L465" s="32" t="n">
        <x:v>0</x:v>
      </x:c>
      <x:c r="M465" s="32" t="n">
        <x:v>0</x:v>
      </x:c>
      <x:c r="N465" s="24" t="n">
        <x:f>F465+G465+K465-L465+M465-H465-J465</x:f>
        <x:v>36.88899882927851</x:v>
      </x:c>
      <x:c r="O465" s="24" t="n">
        <x:f>H465*'封面与口径'!$O$24</x:f>
        <x:v>14.04</x:v>
      </x:c>
      <x:c r="P465" s="19" t="str">
        <x:f>IF(N465&lt;0,"缺货",IF(N465&lt;O465,"预警","正常"))</x:f>
        <x:v>正常</x:v>
      </x:c>
      <x:c r="Q465" s="19" t="str">
        <x:v>鸡蛋0712-06</x:v>
      </x:c>
    </x:row>
    <x:row r="466">
      <x:c r="A466" s="19" t="str">
        <x:v>2026-07-13|S06|鸡蛋</x:v>
      </x:c>
      <x:c r="B466" s="34" t="n">
        <x:v>46216.5</x:v>
      </x:c>
      <x:c r="C466" s="19" t="str">
        <x:v>S06</x:v>
      </x:c>
      <x:c r="D466" s="19" t="str">
        <x:v>蓝钻天城店</x:v>
      </x:c>
      <x:c r="E466" s="19" t="str">
        <x:v>鸡蛋</x:v>
      </x:c>
      <x:c r="F466" s="32" t="n">
        <x:v>36.88899882927852</x:v>
      </x:c>
      <x:c r="G466" s="32" t="n">
        <x:v>17.693662239889072</x:v>
      </x:c>
      <x:c r="H466" s="24" t="n">
        <x:f>'菜品日销量'!G827*300/1000+'菜品日销量'!G837*250/1000</x:f>
        <x:v>16.25</x:v>
      </x:c>
      <x:c r="I466" s="36" t="n">
        <x:v>0.03484338496575211</x:v>
      </x:c>
      <x:c r="J466" s="24" t="n">
        <x:f>H466*I466</x:f>
        <x:v>0.5662050056934718</x:v>
      </x:c>
      <x:c r="K466" s="32" t="n">
        <x:v>0</x:v>
      </x:c>
      <x:c r="L466" s="32" t="n">
        <x:v>0</x:v>
      </x:c>
      <x:c r="M466" s="32" t="n">
        <x:v>0</x:v>
      </x:c>
      <x:c r="N466" s="24" t="n">
        <x:f>F466+G466+K466-L466+M466-H466-J466</x:f>
        <x:v>37.76645606347412</x:v>
      </x:c>
      <x:c r="O466" s="24" t="n">
        <x:f>H466*'封面与口径'!$O$24</x:f>
        <x:v>19.5</x:v>
      </x:c>
      <x:c r="P466" s="19" t="str">
        <x:f>IF(N466&lt;0,"缺货",IF(N466&lt;O466,"预警","正常"))</x:f>
        <x:v>正常</x:v>
      </x:c>
      <x:c r="Q466" s="19" t="str">
        <x:v>鸡蛋0713-06</x:v>
      </x:c>
    </x:row>
    <x:row r="467">
      <x:c r="A467" s="19" t="str">
        <x:v>2026-07-07|S06|鸡肉</x:v>
      </x:c>
      <x:c r="B467" s="34" t="n">
        <x:v>46210.5</x:v>
      </x:c>
      <x:c r="C467" s="19" t="str">
        <x:v>S06</x:v>
      </x:c>
      <x:c r="D467" s="19" t="str">
        <x:v>蓝钻天城店</x:v>
      </x:c>
      <x:c r="E467" s="19" t="str">
        <x:v>鸡肉</x:v>
      </x:c>
      <x:c r="F467" s="32" t="n">
        <x:v>9.72</x:v>
      </x:c>
      <x:c r="G467" s="32" t="n">
        <x:v>6.244599243427767</x:v>
      </x:c>
      <x:c r="H467" s="24" t="n">
        <x:f>'菜品日销量'!G712*450/1000</x:f>
        <x:v>5.4</x:v>
      </x:c>
      <x:c r="I467" s="36" t="n">
        <x:v>0.03469552434624534</x:v>
      </x:c>
      <x:c r="J467" s="24" t="n">
        <x:f>H467*I467</x:f>
        <x:v>0.18735583146972487</x:v>
      </x:c>
      <x:c r="K467" s="32" t="n">
        <x:v>0</x:v>
      </x:c>
      <x:c r="L467" s="32" t="n">
        <x:v>0</x:v>
      </x:c>
      <x:c r="M467" s="32" t="n">
        <x:v>0</x:v>
      </x:c>
      <x:c r="N467" s="24" t="n">
        <x:f>F467+G467+K467-L467+M467-H467-J467</x:f>
        <x:v>10.377243411958041</x:v>
      </x:c>
      <x:c r="O467" s="24" t="n">
        <x:f>H467*'封面与口径'!$O$24</x:f>
        <x:v>6.48</x:v>
      </x:c>
      <x:c r="P467" s="19" t="str">
        <x:f>IF(N467&lt;0,"缺货",IF(N467&lt;O467,"预警","正常"))</x:f>
        <x:v>正常</x:v>
      </x:c>
      <x:c r="Q467" s="19" t="str">
        <x:v>鸡肉0707-06</x:v>
      </x:c>
    </x:row>
    <x:row r="468">
      <x:c r="A468" s="19" t="str">
        <x:v>2026-07-08|S06|鸡肉</x:v>
      </x:c>
      <x:c r="B468" s="34" t="n">
        <x:v>46211.5</x:v>
      </x:c>
      <x:c r="C468" s="19" t="str">
        <x:v>S06</x:v>
      </x:c>
      <x:c r="D468" s="19" t="str">
        <x:v>蓝钻天城店</x:v>
      </x:c>
      <x:c r="E468" s="19" t="str">
        <x:v>鸡肉</x:v>
      </x:c>
      <x:c r="F468" s="32" t="n">
        <x:v>10.377243411958041</x:v>
      </x:c>
      <x:c r="G468" s="32" t="n">
        <x:v>5.635396444133343</x:v>
      </x:c>
      <x:c r="H468" s="24" t="n">
        <x:f>'菜品日销量'!G732*450/1000</x:f>
        <x:v>4.95</x:v>
      </x:c>
      <x:c r="I468" s="36" t="n">
        <x:v>0.03996620922465022</x:v>
      </x:c>
      <x:c r="J468" s="24" t="n">
        <x:f>H468*I468</x:f>
        <x:v>0.1978327356620186</x:v>
      </x:c>
      <x:c r="K468" s="32" t="n">
        <x:v>0</x:v>
      </x:c>
      <x:c r="L468" s="32" t="n">
        <x:v>0</x:v>
      </x:c>
      <x:c r="M468" s="32" t="n">
        <x:v>0</x:v>
      </x:c>
      <x:c r="N468" s="24" t="n">
        <x:f>F468+G468+K468-L468+M468-H468-J468</x:f>
        <x:v>10.864807120429365</x:v>
      </x:c>
      <x:c r="O468" s="24" t="n">
        <x:f>H468*'封面与口径'!$O$24</x:f>
        <x:v>5.94</x:v>
      </x:c>
      <x:c r="P468" s="19" t="str">
        <x:f>IF(N468&lt;0,"缺货",IF(N468&lt;O468,"预警","正常"))</x:f>
        <x:v>正常</x:v>
      </x:c>
      <x:c r="Q468" s="19" t="str">
        <x:v>鸡肉0708-06</x:v>
      </x:c>
    </x:row>
    <x:row r="469">
      <x:c r="A469" s="19" t="str">
        <x:v>2026-07-09|S06|鸡肉</x:v>
      </x:c>
      <x:c r="B469" s="34" t="n">
        <x:v>46212.5</x:v>
      </x:c>
      <x:c r="C469" s="19" t="str">
        <x:v>S06</x:v>
      </x:c>
      <x:c r="D469" s="19" t="str">
        <x:v>蓝钻天城店</x:v>
      </x:c>
      <x:c r="E469" s="19" t="str">
        <x:v>鸡肉</x:v>
      </x:c>
      <x:c r="F469" s="32" t="n">
        <x:v>10.864807120429365</x:v>
      </x:c>
      <x:c r="G469" s="32" t="n">
        <x:v>5.922645575054141</x:v>
      </x:c>
      <x:c r="H469" s="24" t="n">
        <x:f>'菜品日销量'!G752*450/1000</x:f>
        <x:v>4.95</x:v>
      </x:c>
      <x:c r="I469" s="36" t="n">
        <x:v>0.025071544508699223</x:v>
      </x:c>
      <x:c r="J469" s="24" t="n">
        <x:f>H469*I469</x:f>
        <x:v>0.12410414531806116</x:v>
      </x:c>
      <x:c r="K469" s="32" t="n">
        <x:v>0</x:v>
      </x:c>
      <x:c r="L469" s="32" t="n">
        <x:v>0</x:v>
      </x:c>
      <x:c r="M469" s="32" t="n">
        <x:v>0</x:v>
      </x:c>
      <x:c r="N469" s="24" t="n">
        <x:f>F469+G469+K469-L469+M469-H469-J469</x:f>
        <x:v>11.713348550165446</x:v>
      </x:c>
      <x:c r="O469" s="24" t="n">
        <x:f>H469*'封面与口径'!$O$24</x:f>
        <x:v>5.94</x:v>
      </x:c>
      <x:c r="P469" s="19" t="str">
        <x:f>IF(N469&lt;0,"缺货",IF(N469&lt;O469,"预警","正常"))</x:f>
        <x:v>正常</x:v>
      </x:c>
      <x:c r="Q469" s="19" t="str">
        <x:v>鸡肉0709-06</x:v>
      </x:c>
    </x:row>
    <x:row r="470">
      <x:c r="A470" s="19" t="str">
        <x:v>2026-07-10|S06|鸡肉</x:v>
      </x:c>
      <x:c r="B470" s="34" t="n">
        <x:v>46213.5</x:v>
      </x:c>
      <x:c r="C470" s="19" t="str">
        <x:v>S06</x:v>
      </x:c>
      <x:c r="D470" s="19" t="str">
        <x:v>蓝钻天城店</x:v>
      </x:c>
      <x:c r="E470" s="19" t="str">
        <x:v>鸡肉</x:v>
      </x:c>
      <x:c r="F470" s="32" t="n">
        <x:v>11.713348550165444</x:v>
      </x:c>
      <x:c r="G470" s="32" t="n">
        <x:v>5.629279505461287</x:v>
      </x:c>
      <x:c r="H470" s="24" t="n">
        <x:f>'菜品日销量'!G772*450/1000</x:f>
        <x:v>4.95</x:v>
      </x:c>
      <x:c r="I470" s="36" t="n">
        <x:v>0.017615259105250067</x:v>
      </x:c>
      <x:c r="J470" s="24" t="n">
        <x:f>H470*I470</x:f>
        <x:v>0.08719553257098783</x:v>
      </x:c>
      <x:c r="K470" s="32" t="n">
        <x:v>0</x:v>
      </x:c>
      <x:c r="L470" s="32" t="n">
        <x:v>0</x:v>
      </x:c>
      <x:c r="M470" s="32" t="n">
        <x:v>0</x:v>
      </x:c>
      <x:c r="N470" s="24" t="n">
        <x:f>F470+G470+K470-L470+M470-H470-J470</x:f>
        <x:v>12.305432523055746</x:v>
      </x:c>
      <x:c r="O470" s="24" t="n">
        <x:f>H470*'封面与口径'!$O$24</x:f>
        <x:v>5.94</x:v>
      </x:c>
      <x:c r="P470" s="19" t="str">
        <x:f>IF(N470&lt;0,"缺货",IF(N470&lt;O470,"预警","正常"))</x:f>
        <x:v>正常</x:v>
      </x:c>
      <x:c r="Q470" s="19" t="str">
        <x:v>鸡肉0710-06</x:v>
      </x:c>
    </x:row>
    <x:row r="471">
      <x:c r="A471" s="19" t="str">
        <x:v>2026-07-11|S06|鸡肉</x:v>
      </x:c>
      <x:c r="B471" s="34" t="n">
        <x:v>46214.5</x:v>
      </x:c>
      <x:c r="C471" s="19" t="str">
        <x:v>S06</x:v>
      </x:c>
      <x:c r="D471" s="19" t="str">
        <x:v>蓝钻天城店</x:v>
      </x:c>
      <x:c r="E471" s="19" t="str">
        <x:v>鸡肉</x:v>
      </x:c>
      <x:c r="F471" s="32" t="n">
        <x:v>12.305432523055746</x:v>
      </x:c>
      <x:c r="G471" s="32" t="n">
        <x:v>3.954906702791087</x:v>
      </x:c>
      <x:c r="H471" s="24" t="n">
        <x:f>'菜品日销量'!G792*450/1000</x:f>
        <x:v>3.6</x:v>
      </x:c>
      <x:c r="I471" s="36" t="n">
        <x:v>0.021984722650839183</x:v>
      </x:c>
      <x:c r="J471" s="24" t="n">
        <x:f>H471*I471</x:f>
        <x:v>0.07914500154302107</x:v>
      </x:c>
      <x:c r="K471" s="32" t="n">
        <x:v>0</x:v>
      </x:c>
      <x:c r="L471" s="32" t="n">
        <x:v>0</x:v>
      </x:c>
      <x:c r="M471" s="32" t="n">
        <x:v>0</x:v>
      </x:c>
      <x:c r="N471" s="24" t="n">
        <x:f>F471+G471+K471-L471+M471-H471-J471</x:f>
        <x:v>12.581194224303815</x:v>
      </x:c>
      <x:c r="O471" s="24" t="n">
        <x:f>H471*'封面与口径'!$O$24</x:f>
        <x:v>4.32</x:v>
      </x:c>
      <x:c r="P471" s="19" t="str">
        <x:f>IF(N471&lt;0,"缺货",IF(N471&lt;O471,"预警","正常"))</x:f>
        <x:v>正常</x:v>
      </x:c>
      <x:c r="Q471" s="19" t="str">
        <x:v>鸡肉0711-06</x:v>
      </x:c>
    </x:row>
    <x:row r="472">
      <x:c r="A472" s="19" t="str">
        <x:v>2026-07-12|S06|鸡肉</x:v>
      </x:c>
      <x:c r="B472" s="34" t="n">
        <x:v>46215.5</x:v>
      </x:c>
      <x:c r="C472" s="19" t="str">
        <x:v>S06</x:v>
      </x:c>
      <x:c r="D472" s="19" t="str">
        <x:v>蓝钻天城店</x:v>
      </x:c>
      <x:c r="E472" s="19" t="str">
        <x:v>鸡肉</x:v>
      </x:c>
      <x:c r="F472" s="32" t="n">
        <x:v>12.581194224303815</x:v>
      </x:c>
      <x:c r="G472" s="32" t="n">
        <x:v>3.564106506752341</x:v>
      </x:c>
      <x:c r="H472" s="24" t="n">
        <x:f>'菜品日销量'!G812*450/1000</x:f>
        <x:v>3.15</x:v>
      </x:c>
      <x:c r="I472" s="36" t="n">
        <x:v>0.036666791941194515</x:v>
      </x:c>
      <x:c r="J472" s="24" t="n">
        <x:f>H472*I472</x:f>
        <x:v>0.11550039461476272</x:v>
      </x:c>
      <x:c r="K472" s="32" t="n">
        <x:v>0</x:v>
      </x:c>
      <x:c r="L472" s="32" t="n">
        <x:v>0</x:v>
      </x:c>
      <x:c r="M472" s="32" t="n">
        <x:v>0</x:v>
      </x:c>
      <x:c r="N472" s="24" t="n">
        <x:f>F472+G472+K472-L472+M472-H472-J472</x:f>
        <x:v>12.879800336441393</x:v>
      </x:c>
      <x:c r="O472" s="24" t="n">
        <x:f>H472*'封面与口径'!$O$24</x:f>
        <x:v>3.78</x:v>
      </x:c>
      <x:c r="P472" s="19" t="str">
        <x:f>IF(N472&lt;0,"缺货",IF(N472&lt;O472,"预警","正常"))</x:f>
        <x:v>正常</x:v>
      </x:c>
      <x:c r="Q472" s="19" t="str">
        <x:v>鸡肉0712-06</x:v>
      </x:c>
    </x:row>
    <x:row r="473">
      <x:c r="A473" s="19" t="str">
        <x:v>2026-07-13|S06|鸡肉</x:v>
      </x:c>
      <x:c r="B473" s="34" t="n">
        <x:v>46216.5</x:v>
      </x:c>
      <x:c r="C473" s="19" t="str">
        <x:v>S06</x:v>
      </x:c>
      <x:c r="D473" s="19" t="str">
        <x:v>蓝钻天城店</x:v>
      </x:c>
      <x:c r="E473" s="19" t="str">
        <x:v>鸡肉</x:v>
      </x:c>
      <x:c r="F473" s="32" t="n">
        <x:v>12.879800336441395</x:v>
      </x:c>
      <x:c r="G473" s="32" t="n">
        <x:v>6.940586329965989</x:v>
      </x:c>
      <x:c r="H473" s="24" t="n">
        <x:f>'菜品日销量'!G832*450/1000</x:f>
        <x:v>5.85</x:v>
      </x:c>
      <x:c r="I473" s="36" t="n">
        <x:v>0.01887477991261398</x:v>
      </x:c>
      <x:c r="J473" s="24" t="n">
        <x:f>H473*I473</x:f>
        <x:v>0.11041746248879176</x:v>
      </x:c>
      <x:c r="K473" s="32" t="n">
        <x:v>0</x:v>
      </x:c>
      <x:c r="L473" s="32" t="n">
        <x:v>0</x:v>
      </x:c>
      <x:c r="M473" s="32" t="n">
        <x:v>0</x:v>
      </x:c>
      <x:c r="N473" s="24" t="n">
        <x:f>F473+G473+K473-L473+M473-H473-J473</x:f>
        <x:v>13.859969203918592</x:v>
      </x:c>
      <x:c r="O473" s="24" t="n">
        <x:f>H473*'封面与口径'!$O$24</x:f>
        <x:v>7.02</x:v>
      </x:c>
      <x:c r="P473" s="19" t="str">
        <x:f>IF(N473&lt;0,"缺货",IF(N473&lt;O473,"预警","正常"))</x:f>
        <x:v>正常</x:v>
      </x:c>
      <x:c r="Q473" s="19" t="str">
        <x:v>鸡肉0713-06</x:v>
      </x:c>
    </x:row>
    <x:row r="474">
      <x:c r="A474" s="19" t="str">
        <x:v>2026-07-07|S06|鲈鱼</x:v>
      </x:c>
      <x:c r="B474" s="34" t="n">
        <x:v>46210.5</x:v>
      </x:c>
      <x:c r="C474" s="19" t="str">
        <x:v>S06</x:v>
      </x:c>
      <x:c r="D474" s="19" t="str">
        <x:v>蓝钻天城店</x:v>
      </x:c>
      <x:c r="E474" s="19" t="str">
        <x:v>鲈鱼</x:v>
      </x:c>
      <x:c r="F474" s="32" t="n">
        <x:v>6.3</x:v>
      </x:c>
      <x:c r="G474" s="32" t="n">
        <x:v>4.133517278254386</x:v>
      </x:c>
      <x:c r="H474" s="24" t="n">
        <x:f>'菜品日销量'!G716*500/1000</x:f>
        <x:v>3.5</x:v>
      </x:c>
      <x:c r="I474" s="36" t="n">
        <x:v>0.023919679672438576</x:v>
      </x:c>
      <x:c r="J474" s="24" t="n">
        <x:f>H474*I474</x:f>
        <x:v>0.08371887885353502</x:v>
      </x:c>
      <x:c r="K474" s="32" t="n">
        <x:v>0</x:v>
      </x:c>
      <x:c r="L474" s="32" t="n">
        <x:v>0</x:v>
      </x:c>
      <x:c r="M474" s="32" t="n">
        <x:v>0</x:v>
      </x:c>
      <x:c r="N474" s="24" t="n">
        <x:f>F474+G474+K474-L474+M474-H474-J474</x:f>
        <x:v>6.84979839940085</x:v>
      </x:c>
      <x:c r="O474" s="24" t="n">
        <x:f>H474*'封面与口径'!$O$24</x:f>
        <x:v>4.2</x:v>
      </x:c>
      <x:c r="P474" s="19" t="str">
        <x:f>IF(N474&lt;0,"缺货",IF(N474&lt;O474,"预警","正常"))</x:f>
        <x:v>正常</x:v>
      </x:c>
      <x:c r="Q474" s="19" t="str">
        <x:v>鲈鱼0707-06</x:v>
      </x:c>
    </x:row>
    <x:row r="475">
      <x:c r="A475" s="19" t="str">
        <x:v>2026-07-08|S06|鲈鱼</x:v>
      </x:c>
      <x:c r="B475" s="34" t="n">
        <x:v>46211.5</x:v>
      </x:c>
      <x:c r="C475" s="19" t="str">
        <x:v>S06</x:v>
      </x:c>
      <x:c r="D475" s="19" t="str">
        <x:v>蓝钻天城店</x:v>
      </x:c>
      <x:c r="E475" s="19" t="str">
        <x:v>鲈鱼</x:v>
      </x:c>
      <x:c r="F475" s="32" t="n">
        <x:v>6.84979839940085</x:v>
      </x:c>
      <x:c r="G475" s="32" t="n">
        <x:v>3.3089353720166104</x:v>
      </x:c>
      <x:c r="H475" s="24" t="n">
        <x:f>'菜品日销量'!G736*500/1000</x:f>
        <x:v>3</x:v>
      </x:c>
      <x:c r="I475" s="36" t="n">
        <x:v>0.02080219229585542</x:v>
      </x:c>
      <x:c r="J475" s="24" t="n">
        <x:f>H475*I475</x:f>
        <x:v>0.06240657688756626</x:v>
      </x:c>
      <x:c r="K475" s="32" t="n">
        <x:v>0</x:v>
      </x:c>
      <x:c r="L475" s="32" t="n">
        <x:v>0</x:v>
      </x:c>
      <x:c r="M475" s="32" t="n">
        <x:v>0</x:v>
      </x:c>
      <x:c r="N475" s="24" t="n">
        <x:f>F475+G475+K475-L475+M475-H475-J475</x:f>
        <x:v>7.096327194529893</x:v>
      </x:c>
      <x:c r="O475" s="24" t="n">
        <x:f>H475*'封面与口径'!$O$24</x:f>
        <x:v>3.5999999999999996</x:v>
      </x:c>
      <x:c r="P475" s="19" t="str">
        <x:f>IF(N475&lt;0,"缺货",IF(N475&lt;O475,"预警","正常"))</x:f>
        <x:v>正常</x:v>
      </x:c>
      <x:c r="Q475" s="19" t="str">
        <x:v>鲈鱼0708-06</x:v>
      </x:c>
    </x:row>
    <x:row r="476">
      <x:c r="A476" s="19" t="str">
        <x:v>2026-07-09|S06|鲈鱼</x:v>
      </x:c>
      <x:c r="B476" s="34" t="n">
        <x:v>46212.5</x:v>
      </x:c>
      <x:c r="C476" s="19" t="str">
        <x:v>S06</x:v>
      </x:c>
      <x:c r="D476" s="19" t="str">
        <x:v>蓝钻天城店</x:v>
      </x:c>
      <x:c r="E476" s="19" t="str">
        <x:v>鲈鱼</x:v>
      </x:c>
      <x:c r="F476" s="32" t="n">
        <x:v>7.096327194529893</x:v>
      </x:c>
      <x:c r="G476" s="32" t="n">
        <x:v>3.2736559535455094</x:v>
      </x:c>
      <x:c r="H476" s="24" t="n">
        <x:f>'菜品日销量'!G756*500/1000</x:f>
        <x:v>3</x:v>
      </x:c>
      <x:c r="I476" s="36" t="n">
        <x:v>0.03982302073618002</x:v>
      </x:c>
      <x:c r="J476" s="24" t="n">
        <x:f>H476*I476</x:f>
        <x:v>0.11946906220854006</x:v>
      </x:c>
      <x:c r="K476" s="32" t="n">
        <x:v>0</x:v>
      </x:c>
      <x:c r="L476" s="32" t="n">
        <x:v>0</x:v>
      </x:c>
      <x:c r="M476" s="32" t="n">
        <x:v>0</x:v>
      </x:c>
      <x:c r="N476" s="24" t="n">
        <x:f>F476+G476+K476-L476+M476-H476-J476</x:f>
        <x:v>7.250514085866862</x:v>
      </x:c>
      <x:c r="O476" s="24" t="n">
        <x:f>H476*'封面与口径'!$O$24</x:f>
        <x:v>3.5999999999999996</x:v>
      </x:c>
      <x:c r="P476" s="19" t="str">
        <x:f>IF(N476&lt;0,"缺货",IF(N476&lt;O476,"预警","正常"))</x:f>
        <x:v>正常</x:v>
      </x:c>
      <x:c r="Q476" s="19" t="str">
        <x:v>鲈鱼0709-06</x:v>
      </x:c>
    </x:row>
    <x:row r="477">
      <x:c r="A477" s="19" t="str">
        <x:v>2026-07-10|S06|鲈鱼</x:v>
      </x:c>
      <x:c r="B477" s="34" t="n">
        <x:v>46213.5</x:v>
      </x:c>
      <x:c r="C477" s="19" t="str">
        <x:v>S06</x:v>
      </x:c>
      <x:c r="D477" s="19" t="str">
        <x:v>蓝钻天城店</x:v>
      </x:c>
      <x:c r="E477" s="19" t="str">
        <x:v>鲈鱼</x:v>
      </x:c>
      <x:c r="F477" s="32" t="n">
        <x:v>7.250514085866862</x:v>
      </x:c>
      <x:c r="G477" s="32" t="n">
        <x:v>3.5232295266453253</x:v>
      </x:c>
      <x:c r="H477" s="24" t="n">
        <x:f>'菜品日销量'!G776*500/1000</x:f>
        <x:v>3</x:v>
      </x:c>
      <x:c r="I477" s="36" t="n">
        <x:v>0.032611391537965134</x:v>
      </x:c>
      <x:c r="J477" s="24" t="n">
        <x:f>H477*I477</x:f>
        <x:v>0.0978341746138954</x:v>
      </x:c>
      <x:c r="K477" s="32" t="n">
        <x:v>0</x:v>
      </x:c>
      <x:c r="L477" s="32" t="n">
        <x:v>0</x:v>
      </x:c>
      <x:c r="M477" s="32" t="n">
        <x:v>0</x:v>
      </x:c>
      <x:c r="N477" s="24" t="n">
        <x:f>F477+G477+K477-L477+M477-H477-J477</x:f>
        <x:v>7.675909437898293</x:v>
      </x:c>
      <x:c r="O477" s="24" t="n">
        <x:f>H477*'封面与口径'!$O$24</x:f>
        <x:v>3.5999999999999996</x:v>
      </x:c>
      <x:c r="P477" s="19" t="str">
        <x:f>IF(N477&lt;0,"缺货",IF(N477&lt;O477,"预警","正常"))</x:f>
        <x:v>正常</x:v>
      </x:c>
      <x:c r="Q477" s="19" t="str">
        <x:v>鲈鱼0710-06</x:v>
      </x:c>
    </x:row>
    <x:row r="478">
      <x:c r="A478" s="19" t="str">
        <x:v>2026-07-11|S06|鲈鱼</x:v>
      </x:c>
      <x:c r="B478" s="34" t="n">
        <x:v>46214.5</x:v>
      </x:c>
      <x:c r="C478" s="19" t="str">
        <x:v>S06</x:v>
      </x:c>
      <x:c r="D478" s="19" t="str">
        <x:v>蓝钻天城店</x:v>
      </x:c>
      <x:c r="E478" s="19" t="str">
        <x:v>鲈鱼</x:v>
      </x:c>
      <x:c r="F478" s="32" t="n">
        <x:v>7.675909437898293</x:v>
      </x:c>
      <x:c r="G478" s="32" t="n">
        <x:v>2.3264350132100367</x:v>
      </x:c>
      <x:c r="H478" s="24" t="n">
        <x:f>'菜品日销量'!G796*500/1000</x:f>
        <x:v>2</x:v>
      </x:c>
      <x:c r="I478" s="36" t="n">
        <x:v>0.030494770746560484</x:v>
      </x:c>
      <x:c r="J478" s="24" t="n">
        <x:f>H478*I478</x:f>
        <x:v>0.06098954149312097</x:v>
      </x:c>
      <x:c r="K478" s="32" t="n">
        <x:v>0</x:v>
      </x:c>
      <x:c r="L478" s="32" t="n">
        <x:v>0</x:v>
      </x:c>
      <x:c r="M478" s="32" t="n">
        <x:v>0</x:v>
      </x:c>
      <x:c r="N478" s="24" t="n">
        <x:f>F478+G478+K478-L478+M478-H478-J478</x:f>
        <x:v>7.941354909615208</x:v>
      </x:c>
      <x:c r="O478" s="24" t="n">
        <x:f>H478*'封面与口径'!$O$24</x:f>
        <x:v>2.4</x:v>
      </x:c>
      <x:c r="P478" s="19" t="str">
        <x:f>IF(N478&lt;0,"缺货",IF(N478&lt;O478,"预警","正常"))</x:f>
        <x:v>正常</x:v>
      </x:c>
      <x:c r="Q478" s="19" t="str">
        <x:v>鲈鱼0711-06</x:v>
      </x:c>
    </x:row>
    <x:row r="479">
      <x:c r="A479" s="19" t="str">
        <x:v>2026-07-12|S06|鲈鱼</x:v>
      </x:c>
      <x:c r="B479" s="34" t="n">
        <x:v>46215.5</x:v>
      </x:c>
      <x:c r="C479" s="19" t="str">
        <x:v>S06</x:v>
      </x:c>
      <x:c r="D479" s="19" t="str">
        <x:v>蓝钻天城店</x:v>
      </x:c>
      <x:c r="E479" s="19" t="str">
        <x:v>鲈鱼</x:v>
      </x:c>
      <x:c r="F479" s="32" t="n">
        <x:v>7.941354909615208</x:v>
      </x:c>
      <x:c r="G479" s="32" t="n">
        <x:v>2.2415381693657346</x:v>
      </x:c>
      <x:c r="H479" s="24" t="n">
        <x:f>'菜品日销量'!G816*500/1000</x:f>
        <x:v>2</x:v>
      </x:c>
      <x:c r="I479" s="36" t="n">
        <x:v>0.017100207779347013</x:v>
      </x:c>
      <x:c r="J479" s="24" t="n">
        <x:f>H479*I479</x:f>
        <x:v>0.034200415558694026</x:v>
      </x:c>
      <x:c r="K479" s="32" t="n">
        <x:v>0</x:v>
      </x:c>
      <x:c r="L479" s="32" t="n">
        <x:v>0</x:v>
      </x:c>
      <x:c r="M479" s="32" t="n">
        <x:v>0</x:v>
      </x:c>
      <x:c r="N479" s="24" t="n">
        <x:f>F479+G479+K479-L479+M479-H479-J479</x:f>
        <x:v>8.14869266342225</x:v>
      </x:c>
      <x:c r="O479" s="24" t="n">
        <x:f>H479*'封面与口径'!$O$24</x:f>
        <x:v>2.4</x:v>
      </x:c>
      <x:c r="P479" s="19" t="str">
        <x:f>IF(N479&lt;0,"缺货",IF(N479&lt;O479,"预警","正常"))</x:f>
        <x:v>正常</x:v>
      </x:c>
      <x:c r="Q479" s="19" t="str">
        <x:v>鲈鱼0712-06</x:v>
      </x:c>
    </x:row>
    <x:row r="480">
      <x:c r="A480" s="19" t="str">
        <x:v>2026-07-13|S06|鲈鱼</x:v>
      </x:c>
      <x:c r="B480" s="34" t="n">
        <x:v>46216.5</x:v>
      </x:c>
      <x:c r="C480" s="19" t="str">
        <x:v>S06</x:v>
      </x:c>
      <x:c r="D480" s="19" t="str">
        <x:v>蓝钻天城店</x:v>
      </x:c>
      <x:c r="E480" s="19" t="str">
        <x:v>鲈鱼</x:v>
      </x:c>
      <x:c r="F480" s="32" t="n">
        <x:v>8.14869266342225</x:v>
      </x:c>
      <x:c r="G480" s="32" t="n">
        <x:v>3.8863394942708176</x:v>
      </x:c>
      <x:c r="H480" s="24" t="n">
        <x:f>'菜品日销量'!G836*500/1000</x:f>
        <x:v>3.5</x:v>
      </x:c>
      <x:c r="I480" s="36" t="n">
        <x:v>0.015382832356352086</x:v>
      </x:c>
      <x:c r="J480" s="24" t="n">
        <x:f>H480*I480</x:f>
        <x:v>0.0538399132472323</x:v>
      </x:c>
      <x:c r="K480" s="32" t="n">
        <x:v>0</x:v>
      </x:c>
      <x:c r="L480" s="32" t="n">
        <x:v>0</x:v>
      </x:c>
      <x:c r="M480" s="32" t="n">
        <x:v>0</x:v>
      </x:c>
      <x:c r="N480" s="24" t="n">
        <x:f>F480+G480+K480-L480+M480-H480-J480</x:f>
        <x:v>8.481192244445834</x:v>
      </x:c>
      <x:c r="O480" s="24" t="n">
        <x:f>H480*'封面与口径'!$O$24</x:f>
        <x:v>4.2</x:v>
      </x:c>
      <x:c r="P480" s="19" t="str">
        <x:f>IF(N480&lt;0,"缺货",IF(N480&lt;O480,"预警","正常"))</x:f>
        <x:v>正常</x:v>
      </x:c>
      <x:c r="Q480" s="19" t="str">
        <x:v>鲈鱼0713-06</x:v>
      </x:c>
    </x:row>
    <x:row r="481">
      <x:c r="A481" s="19" t="str">
        <x:v>2026-07-07|S06|酸包菜</x:v>
      </x:c>
      <x:c r="B481" s="34" t="n">
        <x:v>46210.5</x:v>
      </x:c>
      <x:c r="C481" s="19" t="str">
        <x:v>S06</x:v>
      </x:c>
      <x:c r="D481" s="19" t="str">
        <x:v>蓝钻天城店</x:v>
      </x:c>
      <x:c r="E481" s="19" t="str">
        <x:v>酸包菜</x:v>
      </x:c>
      <x:c r="F481" s="32" t="n">
        <x:v>11.879999999999999</x:v>
      </x:c>
      <x:c r="G481" s="32" t="n">
        <x:v>7.7681184499096405</x:v>
      </x:c>
      <x:c r="H481" s="24" t="n">
        <x:f>'菜品日销量'!G708*200/1000</x:f>
        <x:v>6.6</x:v>
      </x:c>
      <x:c r="I481" s="36" t="n">
        <x:v>0.024893897713602963</x:v>
      </x:c>
      <x:c r="J481" s="24" t="n">
        <x:f>H481*I481</x:f>
        <x:v>0.16429972490977954</x:v>
      </x:c>
      <x:c r="K481" s="32" t="n">
        <x:v>0</x:v>
      </x:c>
      <x:c r="L481" s="32" t="n">
        <x:v>0</x:v>
      </x:c>
      <x:c r="M481" s="32" t="n">
        <x:v>0</x:v>
      </x:c>
      <x:c r="N481" s="24" t="n">
        <x:f>F481+G481+K481-L481+M481-H481-J481</x:f>
        <x:v>12.883818724999859</x:v>
      </x:c>
      <x:c r="O481" s="24" t="n">
        <x:f>H481*'封面与口径'!$O$24</x:f>
        <x:v>7.919999999999999</x:v>
      </x:c>
      <x:c r="P481" s="19" t="str">
        <x:f>IF(N481&lt;0,"缺货",IF(N481&lt;O481,"预警","正常"))</x:f>
        <x:v>正常</x:v>
      </x:c>
      <x:c r="Q481" s="19" t="str">
        <x:v>酸包0707-06</x:v>
      </x:c>
    </x:row>
    <x:row r="482">
      <x:c r="A482" s="19" t="str">
        <x:v>2026-07-08|S06|酸包菜</x:v>
      </x:c>
      <x:c r="B482" s="34" t="n">
        <x:v>46211.5</x:v>
      </x:c>
      <x:c r="C482" s="19" t="str">
        <x:v>S06</x:v>
      </x:c>
      <x:c r="D482" s="19" t="str">
        <x:v>蓝钻天城店</x:v>
      </x:c>
      <x:c r="E482" s="19" t="str">
        <x:v>酸包菜</x:v>
      </x:c>
      <x:c r="F482" s="32" t="n">
        <x:v>12.883818724999859</x:v>
      </x:c>
      <x:c r="G482" s="32" t="n">
        <x:v>8.333793305348092</x:v>
      </x:c>
      <x:c r="H482" s="24" t="n">
        <x:f>'菜品日销量'!G728*200/1000</x:f>
        <x:v>7.2</x:v>
      </x:c>
      <x:c r="I482" s="36" t="n">
        <x:v>0.028550861200445997</x:v>
      </x:c>
      <x:c r="J482" s="24" t="n">
        <x:f>H482*I482</x:f>
        <x:v>0.20556620064321118</x:v>
      </x:c>
      <x:c r="K482" s="32" t="n">
        <x:v>0</x:v>
      </x:c>
      <x:c r="L482" s="32" t="n">
        <x:v>0</x:v>
      </x:c>
      <x:c r="M482" s="32" t="n">
        <x:v>0</x:v>
      </x:c>
      <x:c r="N482" s="24" t="n">
        <x:f>F482+G482+K482-L482+M482-H482-J482</x:f>
        <x:v>13.81204582970474</x:v>
      </x:c>
      <x:c r="O482" s="24" t="n">
        <x:f>H482*'封面与口径'!$O$24</x:f>
        <x:v>8.64</x:v>
      </x:c>
      <x:c r="P482" s="19" t="str">
        <x:f>IF(N482&lt;0,"缺货",IF(N482&lt;O482,"预警","正常"))</x:f>
        <x:v>正常</x:v>
      </x:c>
      <x:c r="Q482" s="19" t="str">
        <x:v>酸包0708-06</x:v>
      </x:c>
    </x:row>
    <x:row r="483">
      <x:c r="A483" s="19" t="str">
        <x:v>2026-07-09|S06|酸包菜</x:v>
      </x:c>
      <x:c r="B483" s="34" t="n">
        <x:v>46212.5</x:v>
      </x:c>
      <x:c r="C483" s="19" t="str">
        <x:v>S06</x:v>
      </x:c>
      <x:c r="D483" s="19" t="str">
        <x:v>蓝钻天城店</x:v>
      </x:c>
      <x:c r="E483" s="19" t="str">
        <x:v>酸包菜</x:v>
      </x:c>
      <x:c r="F483" s="32" t="n">
        <x:v>13.81204582970474</x:v>
      </x:c>
      <x:c r="G483" s="32" t="n">
        <x:v>7.732490412511977</x:v>
      </x:c>
      <x:c r="H483" s="24" t="n">
        <x:f>'菜品日销量'!G748*200/1000</x:f>
        <x:v>7</x:v>
      </x:c>
      <x:c r="I483" s="36" t="n">
        <x:v>0.028127437877265606</x:v>
      </x:c>
      <x:c r="J483" s="24" t="n">
        <x:f>H483*I483</x:f>
        <x:v>0.19689206514085925</x:v>
      </x:c>
      <x:c r="K483" s="32" t="n">
        <x:v>0</x:v>
      </x:c>
      <x:c r="L483" s="32" t="n">
        <x:v>0</x:v>
      </x:c>
      <x:c r="M483" s="32" t="n">
        <x:v>0</x:v>
      </x:c>
      <x:c r="N483" s="24" t="n">
        <x:f>F483+G483+K483-L483+M483-H483-J483</x:f>
        <x:v>14.347644177075855</x:v>
      </x:c>
      <x:c r="O483" s="24" t="n">
        <x:f>H483*'封面与口径'!$O$24</x:f>
        <x:v>8.4</x:v>
      </x:c>
      <x:c r="P483" s="19" t="str">
        <x:f>IF(N483&lt;0,"缺货",IF(N483&lt;O483,"预警","正常"))</x:f>
        <x:v>正常</x:v>
      </x:c>
      <x:c r="Q483" s="19" t="str">
        <x:v>酸包0709-06</x:v>
      </x:c>
    </x:row>
    <x:row r="484">
      <x:c r="A484" s="19" t="str">
        <x:v>2026-07-10|S06|酸包菜</x:v>
      </x:c>
      <x:c r="B484" s="34" t="n">
        <x:v>46213.5</x:v>
      </x:c>
      <x:c r="C484" s="19" t="str">
        <x:v>S06</x:v>
      </x:c>
      <x:c r="D484" s="19" t="str">
        <x:v>蓝钻天城店</x:v>
      </x:c>
      <x:c r="E484" s="19" t="str">
        <x:v>酸包菜</x:v>
      </x:c>
      <x:c r="F484" s="32" t="n">
        <x:v>14.347644177075857</x:v>
      </x:c>
      <x:c r="G484" s="32" t="n">
        <x:v>8.363303058232018</x:v>
      </x:c>
      <x:c r="H484" s="24" t="n">
        <x:f>'菜品日销量'!G768*200/1000</x:f>
        <x:v>7.6</x:v>
      </x:c>
      <x:c r="I484" s="36" t="n">
        <x:v>0.03032709340456107</x:v>
      </x:c>
      <x:c r="J484" s="24" t="n">
        <x:f>H484*I484</x:f>
        <x:v>0.23048590987466414</x:v>
      </x:c>
      <x:c r="K484" s="32" t="n">
        <x:v>0</x:v>
      </x:c>
      <x:c r="L484" s="32" t="n">
        <x:v>0</x:v>
      </x:c>
      <x:c r="M484" s="32" t="n">
        <x:v>0</x:v>
      </x:c>
      <x:c r="N484" s="24" t="n">
        <x:f>F484+G484+K484-L484+M484-H484-J484</x:f>
        <x:v>14.880461325433213</x:v>
      </x:c>
      <x:c r="O484" s="24" t="n">
        <x:f>H484*'封面与口径'!$O$24</x:f>
        <x:v>9.12</x:v>
      </x:c>
      <x:c r="P484" s="19" t="str">
        <x:f>IF(N484&lt;0,"缺货",IF(N484&lt;O484,"预警","正常"))</x:f>
        <x:v>正常</x:v>
      </x:c>
      <x:c r="Q484" s="19" t="str">
        <x:v>酸包0710-06</x:v>
      </x:c>
    </x:row>
    <x:row r="485">
      <x:c r="A485" s="19" t="str">
        <x:v>2026-07-11|S06|酸包菜</x:v>
      </x:c>
      <x:c r="B485" s="34" t="n">
        <x:v>46214.5</x:v>
      </x:c>
      <x:c r="C485" s="19" t="str">
        <x:v>S06</x:v>
      </x:c>
      <x:c r="D485" s="19" t="str">
        <x:v>蓝钻天城店</x:v>
      </x:c>
      <x:c r="E485" s="19" t="str">
        <x:v>酸包菜</x:v>
      </x:c>
      <x:c r="F485" s="32" t="n">
        <x:v>14.880461325433213</x:v>
      </x:c>
      <x:c r="G485" s="32" t="n">
        <x:v>6.561999819111545</x:v>
      </x:c>
      <x:c r="H485" s="24" t="n">
        <x:f>'菜品日销量'!G788*200/1000</x:f>
        <x:v>6</x:v>
      </x:c>
      <x:c r="I485" s="36" t="n">
        <x:v>0.039732894275740935</x:v>
      </x:c>
      <x:c r="J485" s="24" t="n">
        <x:f>H485*I485</x:f>
        <x:v>0.2383973656544456</x:v>
      </x:c>
      <x:c r="K485" s="32" t="n">
        <x:v>0</x:v>
      </x:c>
      <x:c r="L485" s="32" t="n">
        <x:v>0</x:v>
      </x:c>
      <x:c r="M485" s="32" t="n">
        <x:v>0</x:v>
      </x:c>
      <x:c r="N485" s="24" t="n">
        <x:f>F485+G485+K485-L485+M485-H485-J485</x:f>
        <x:v>15.204063778890312</x:v>
      </x:c>
      <x:c r="O485" s="24" t="n">
        <x:f>H485*'封面与口径'!$O$24</x:f>
        <x:v>7.199999999999999</x:v>
      </x:c>
      <x:c r="P485" s="19" t="str">
        <x:f>IF(N485&lt;0,"缺货",IF(N485&lt;O485,"预警","正常"))</x:f>
        <x:v>正常</x:v>
      </x:c>
      <x:c r="Q485" s="19" t="str">
        <x:v>酸包0711-06</x:v>
      </x:c>
    </x:row>
    <x:row r="486">
      <x:c r="A486" s="19" t="str">
        <x:v>2026-07-12|S06|酸包菜</x:v>
      </x:c>
      <x:c r="B486" s="34" t="n">
        <x:v>46215.5</x:v>
      </x:c>
      <x:c r="C486" s="19" t="str">
        <x:v>S06</x:v>
      </x:c>
      <x:c r="D486" s="19" t="str">
        <x:v>蓝钻天城店</x:v>
      </x:c>
      <x:c r="E486" s="19" t="str">
        <x:v>酸包菜</x:v>
      </x:c>
      <x:c r="F486" s="32" t="n">
        <x:v>15.204063778890312</x:v>
      </x:c>
      <x:c r="G486" s="32" t="n">
        <x:v>5.7886650105446265</x:v>
      </x:c>
      <x:c r="H486" s="24" t="n">
        <x:f>'菜品日销量'!G808*200/1000</x:f>
        <x:v>5</x:v>
      </x:c>
      <x:c r="I486" s="36" t="n">
        <x:v>0.0174323429568746</x:v>
      </x:c>
      <x:c r="J486" s="24" t="n">
        <x:f>H486*I486</x:f>
        <x:v>0.087161714784373</x:v>
      </x:c>
      <x:c r="K486" s="32" t="n">
        <x:v>0</x:v>
      </x:c>
      <x:c r="L486" s="32" t="n">
        <x:v>0</x:v>
      </x:c>
      <x:c r="M486" s="32" t="n">
        <x:v>0</x:v>
      </x:c>
      <x:c r="N486" s="24" t="n">
        <x:f>F486+G486+K486-L486+M486-H486-J486</x:f>
        <x:v>15.905567074650566</x:v>
      </x:c>
      <x:c r="O486" s="24" t="n">
        <x:f>H486*'封面与口径'!$O$24</x:f>
        <x:v>6</x:v>
      </x:c>
      <x:c r="P486" s="19" t="str">
        <x:f>IF(N486&lt;0,"缺货",IF(N486&lt;O486,"预警","正常"))</x:f>
        <x:v>正常</x:v>
      </x:c>
      <x:c r="Q486" s="19" t="str">
        <x:v>酸包0712-06</x:v>
      </x:c>
    </x:row>
    <x:row r="487">
      <x:c r="A487" s="19" t="str">
        <x:v>2026-07-13|S06|酸包菜</x:v>
      </x:c>
      <x:c r="B487" s="34" t="n">
        <x:v>46216.5</x:v>
      </x:c>
      <x:c r="C487" s="19" t="str">
        <x:v>S06</x:v>
      </x:c>
      <x:c r="D487" s="19" t="str">
        <x:v>蓝钻天城店</x:v>
      </x:c>
      <x:c r="E487" s="19" t="str">
        <x:v>酸包菜</x:v>
      </x:c>
      <x:c r="F487" s="32" t="n">
        <x:v>15.905567074650566</x:v>
      </x:c>
      <x:c r="G487" s="32" t="n">
        <x:v>8.75653872915463</x:v>
      </x:c>
      <x:c r="H487" s="24" t="n">
        <x:f>'菜品日销量'!G828*200/1000</x:f>
        <x:v>7.6</x:v>
      </x:c>
      <x:c r="I487" s="36" t="n">
        <x:v>0.02456173427043523</x:v>
      </x:c>
      <x:c r="J487" s="24" t="n">
        <x:f>H487*I487</x:f>
        <x:v>0.18666918045530775</x:v>
      </x:c>
      <x:c r="K487" s="32" t="n">
        <x:v>0</x:v>
      </x:c>
      <x:c r="L487" s="32" t="n">
        <x:v>0</x:v>
      </x:c>
      <x:c r="M487" s="32" t="n">
        <x:v>0</x:v>
      </x:c>
      <x:c r="N487" s="24" t="n">
        <x:f>F487+G487+K487-L487+M487-H487-J487</x:f>
        <x:v>16.875436623349888</x:v>
      </x:c>
      <x:c r="O487" s="24" t="n">
        <x:f>H487*'封面与口径'!$O$24</x:f>
        <x:v>9.12</x:v>
      </x:c>
      <x:c r="P487" s="19" t="str">
        <x:f>IF(N487&lt;0,"缺货",IF(N487&lt;O487,"预警","正常"))</x:f>
        <x:v>正常</x:v>
      </x:c>
      <x:c r="Q487" s="19" t="str">
        <x:v>酸包0713-06</x:v>
      </x:c>
    </x:row>
    <x:row r="488">
      <x:c r="A488" s="19" t="str">
        <x:v>2026-07-07|S06|粉皮</x:v>
      </x:c>
      <x:c r="B488" s="34" t="n">
        <x:v>46210.5</x:v>
      </x:c>
      <x:c r="C488" s="19" t="str">
        <x:v>S06</x:v>
      </x:c>
      <x:c r="D488" s="19" t="str">
        <x:v>蓝钻天城店</x:v>
      </x:c>
      <x:c r="E488" s="19" t="str">
        <x:v>粉皮</x:v>
      </x:c>
      <x:c r="F488" s="32" t="n">
        <x:v>8.91</x:v>
      </x:c>
      <x:c r="G488" s="32" t="n">
        <x:v>5.49253424074327</x:v>
      </x:c>
      <x:c r="H488" s="24" t="n">
        <x:f>'菜品日销量'!G708*150/1000</x:f>
        <x:v>4.95</x:v>
      </x:c>
      <x:c r="I488" s="36" t="n">
        <x:v>0.01574453727592354</x:v>
      </x:c>
      <x:c r="J488" s="24" t="n">
        <x:f>H488*I488</x:f>
        <x:v>0.07793545951582152</x:v>
      </x:c>
      <x:c r="K488" s="32" t="n">
        <x:v>0</x:v>
      </x:c>
      <x:c r="L488" s="32" t="n">
        <x:v>0</x:v>
      </x:c>
      <x:c r="M488" s="32" t="n">
        <x:v>0</x:v>
      </x:c>
      <x:c r="N488" s="24" t="n">
        <x:f>F488+G488+K488-L488+M488-H488-J488</x:f>
        <x:v>9.374598781227448</x:v>
      </x:c>
      <x:c r="O488" s="24" t="n">
        <x:f>H488*'封面与口径'!$O$24</x:f>
        <x:v>5.94</x:v>
      </x:c>
      <x:c r="P488" s="19" t="str">
        <x:f>IF(N488&lt;0,"缺货",IF(N488&lt;O488,"预警","正常"))</x:f>
        <x:v>正常</x:v>
      </x:c>
      <x:c r="Q488" s="19" t="str">
        <x:v>粉皮0707-06</x:v>
      </x:c>
    </x:row>
    <x:row r="489">
      <x:c r="A489" s="19" t="str">
        <x:v>2026-07-08|S06|粉皮</x:v>
      </x:c>
      <x:c r="B489" s="34" t="n">
        <x:v>46211.5</x:v>
      </x:c>
      <x:c r="C489" s="19" t="str">
        <x:v>S06</x:v>
      </x:c>
      <x:c r="D489" s="19" t="str">
        <x:v>蓝钻天城店</x:v>
      </x:c>
      <x:c r="E489" s="19" t="str">
        <x:v>粉皮</x:v>
      </x:c>
      <x:c r="F489" s="32" t="n">
        <x:v>9.374598781227448</x:v>
      </x:c>
      <x:c r="G489" s="32" t="n">
        <x:v>6.037987352285066</x:v>
      </x:c>
      <x:c r="H489" s="24" t="n">
        <x:f>'菜品日销量'!G728*150/1000</x:f>
        <x:v>5.4</x:v>
      </x:c>
      <x:c r="I489" s="36" t="n">
        <x:v>0.03370225148594525</x:v>
      </x:c>
      <x:c r="J489" s="24" t="n">
        <x:f>H489*I489</x:f>
        <x:v>0.18199215802410437</x:v>
      </x:c>
      <x:c r="K489" s="32" t="n">
        <x:v>0</x:v>
      </x:c>
      <x:c r="L489" s="32" t="n">
        <x:v>0</x:v>
      </x:c>
      <x:c r="M489" s="32" t="n">
        <x:v>0</x:v>
      </x:c>
      <x:c r="N489" s="24" t="n">
        <x:f>F489+G489+K489-L489+M489-H489-J489</x:f>
        <x:v>9.830593975488409</x:v>
      </x:c>
      <x:c r="O489" s="24" t="n">
        <x:f>H489*'封面与口径'!$O$24</x:f>
        <x:v>6.48</x:v>
      </x:c>
      <x:c r="P489" s="19" t="str">
        <x:f>IF(N489&lt;0,"缺货",IF(N489&lt;O489,"预警","正常"))</x:f>
        <x:v>正常</x:v>
      </x:c>
      <x:c r="Q489" s="19" t="str">
        <x:v>粉皮0708-06</x:v>
      </x:c>
    </x:row>
    <x:row r="490">
      <x:c r="A490" s="19" t="str">
        <x:v>2026-07-09|S06|粉皮</x:v>
      </x:c>
      <x:c r="B490" s="34" t="n">
        <x:v>46212.5</x:v>
      </x:c>
      <x:c r="C490" s="19" t="str">
        <x:v>S06</x:v>
      </x:c>
      <x:c r="D490" s="19" t="str">
        <x:v>蓝钻天城店</x:v>
      </x:c>
      <x:c r="E490" s="19" t="str">
        <x:v>粉皮</x:v>
      </x:c>
      <x:c r="F490" s="32" t="n">
        <x:v>9.830593975488409</x:v>
      </x:c>
      <x:c r="G490" s="32" t="n">
        <x:v>6.287984757089985</x:v>
      </x:c>
      <x:c r="H490" s="24" t="n">
        <x:f>'菜品日销量'!G748*150/1000</x:f>
        <x:v>5.25</x:v>
      </x:c>
      <x:c r="I490" s="36" t="n">
        <x:v>0.038891661298436034</x:v>
      </x:c>
      <x:c r="J490" s="24" t="n">
        <x:f>H490*I490</x:f>
        <x:v>0.2041812218167892</x:v>
      </x:c>
      <x:c r="K490" s="32" t="n">
        <x:v>0</x:v>
      </x:c>
      <x:c r="L490" s="32" t="n">
        <x:v>0</x:v>
      </x:c>
      <x:c r="M490" s="32" t="n">
        <x:v>0</x:v>
      </x:c>
      <x:c r="N490" s="24" t="n">
        <x:f>F490+G490+K490-L490+M490-H490-J490</x:f>
        <x:v>10.664397510761603</x:v>
      </x:c>
      <x:c r="O490" s="24" t="n">
        <x:f>H490*'封面与口径'!$O$24</x:f>
        <x:v>6.3</x:v>
      </x:c>
      <x:c r="P490" s="19" t="str">
        <x:f>IF(N490&lt;0,"缺货",IF(N490&lt;O490,"预警","正常"))</x:f>
        <x:v>正常</x:v>
      </x:c>
      <x:c r="Q490" s="19" t="str">
        <x:v>粉皮0709-06</x:v>
      </x:c>
    </x:row>
    <x:row r="491">
      <x:c r="A491" s="19" t="str">
        <x:v>2026-07-10|S06|粉皮</x:v>
      </x:c>
      <x:c r="B491" s="34" t="n">
        <x:v>46213.5</x:v>
      </x:c>
      <x:c r="C491" s="19" t="str">
        <x:v>S06</x:v>
      </x:c>
      <x:c r="D491" s="19" t="str">
        <x:v>蓝钻天城店</x:v>
      </x:c>
      <x:c r="E491" s="19" t="str">
        <x:v>粉皮</x:v>
      </x:c>
      <x:c r="F491" s="32" t="n">
        <x:v>10.664397510761603</x:v>
      </x:c>
      <x:c r="G491" s="32" t="n">
        <x:v>6.52607407399781</x:v>
      </x:c>
      <x:c r="H491" s="24" t="n">
        <x:f>'菜品日销量'!G768*150/1000</x:f>
        <x:v>5.7</x:v>
      </x:c>
      <x:c r="I491" s="36" t="n">
        <x:v>0.023162576485928746</x:v>
      </x:c>
      <x:c r="J491" s="24" t="n">
        <x:f>H491*I491</x:f>
        <x:v>0.13202668596979386</x:v>
      </x:c>
      <x:c r="K491" s="32" t="n">
        <x:v>0</x:v>
      </x:c>
      <x:c r="L491" s="32" t="n">
        <x:v>0</x:v>
      </x:c>
      <x:c r="M491" s="32" t="n">
        <x:v>0</x:v>
      </x:c>
      <x:c r="N491" s="24" t="n">
        <x:f>F491+G491+K491-L491+M491-H491-J491</x:f>
        <x:v>11.358444898789621</x:v>
      </x:c>
      <x:c r="O491" s="24" t="n">
        <x:f>H491*'封面与口径'!$O$24</x:f>
        <x:v>6.84</x:v>
      </x:c>
      <x:c r="P491" s="19" t="str">
        <x:f>IF(N491&lt;0,"缺货",IF(N491&lt;O491,"预警","正常"))</x:f>
        <x:v>正常</x:v>
      </x:c>
      <x:c r="Q491" s="19" t="str">
        <x:v>粉皮0710-06</x:v>
      </x:c>
    </x:row>
    <x:row r="492">
      <x:c r="A492" s="19" t="str">
        <x:v>2026-07-11|S06|粉皮</x:v>
      </x:c>
      <x:c r="B492" s="34" t="n">
        <x:v>46214.5</x:v>
      </x:c>
      <x:c r="C492" s="19" t="str">
        <x:v>S06</x:v>
      </x:c>
      <x:c r="D492" s="19" t="str">
        <x:v>蓝钻天城店</x:v>
      </x:c>
      <x:c r="E492" s="19" t="str">
        <x:v>粉皮</x:v>
      </x:c>
      <x:c r="F492" s="32" t="n">
        <x:v>11.358444898789621</x:v>
      </x:c>
      <x:c r="G492" s="32" t="n">
        <x:v>5.019025366352644</x:v>
      </x:c>
      <x:c r="H492" s="24" t="n">
        <x:f>'菜品日销量'!G788*150/1000</x:f>
        <x:v>4.5</x:v>
      </x:c>
      <x:c r="I492" s="36" t="n">
        <x:v>0.028910886281847695</x:v>
      </x:c>
      <x:c r="J492" s="24" t="n">
        <x:f>H492*I492</x:f>
        <x:v>0.13009898826831462</x:v>
      </x:c>
      <x:c r="K492" s="32" t="n">
        <x:v>0</x:v>
      </x:c>
      <x:c r="L492" s="32" t="n">
        <x:v>0</x:v>
      </x:c>
      <x:c r="M492" s="32" t="n">
        <x:v>0</x:v>
      </x:c>
      <x:c r="N492" s="24" t="n">
        <x:f>F492+G492+K492-L492+M492-H492-J492</x:f>
        <x:v>11.747371276873949</x:v>
      </x:c>
      <x:c r="O492" s="24" t="n">
        <x:f>H492*'封面与口径'!$O$24</x:f>
        <x:v>5.3999999999999995</x:v>
      </x:c>
      <x:c r="P492" s="19" t="str">
        <x:f>IF(N492&lt;0,"缺货",IF(N492&lt;O492,"预警","正常"))</x:f>
        <x:v>正常</x:v>
      </x:c>
      <x:c r="Q492" s="19" t="str">
        <x:v>粉皮0711-06</x:v>
      </x:c>
    </x:row>
    <x:row r="493">
      <x:c r="A493" s="19" t="str">
        <x:v>2026-07-12|S06|粉皮</x:v>
      </x:c>
      <x:c r="B493" s="34" t="n">
        <x:v>46215.5</x:v>
      </x:c>
      <x:c r="C493" s="19" t="str">
        <x:v>S06</x:v>
      </x:c>
      <x:c r="D493" s="19" t="str">
        <x:v>蓝钻天城店</x:v>
      </x:c>
      <x:c r="E493" s="19" t="str">
        <x:v>粉皮</x:v>
      </x:c>
      <x:c r="F493" s="32" t="n">
        <x:v>11.747371276873949</x:v>
      </x:c>
      <x:c r="G493" s="32" t="n">
        <x:v>4.457249384666153</x:v>
      </x:c>
      <x:c r="H493" s="24" t="n">
        <x:f>'菜品日销量'!G808*150/1000</x:f>
        <x:v>3.75</x:v>
      </x:c>
      <x:c r="I493" s="36" t="n">
        <x:v>0.029950808839628196</x:v>
      </x:c>
      <x:c r="J493" s="24" t="n">
        <x:f>H493*I493</x:f>
        <x:v>0.11231553314860573</x:v>
      </x:c>
      <x:c r="K493" s="32" t="n">
        <x:v>0</x:v>
      </x:c>
      <x:c r="L493" s="32" t="n">
        <x:v>0</x:v>
      </x:c>
      <x:c r="M493" s="32" t="n">
        <x:v>0</x:v>
      </x:c>
      <x:c r="N493" s="24" t="n">
        <x:f>F493+G493+K493-L493+M493-H493-J493</x:f>
        <x:v>12.342305128391496</x:v>
      </x:c>
      <x:c r="O493" s="24" t="n">
        <x:f>H493*'封面与口径'!$O$24</x:f>
        <x:v>4.5</x:v>
      </x:c>
      <x:c r="P493" s="19" t="str">
        <x:f>IF(N493&lt;0,"缺货",IF(N493&lt;O493,"预警","正常"))</x:f>
        <x:v>正常</x:v>
      </x:c>
      <x:c r="Q493" s="19" t="str">
        <x:v>粉皮0712-06</x:v>
      </x:c>
    </x:row>
    <x:row r="494">
      <x:c r="A494" s="19" t="str">
        <x:v>2026-07-13|S06|粉皮</x:v>
      </x:c>
      <x:c r="B494" s="34" t="n">
        <x:v>46216.5</x:v>
      </x:c>
      <x:c r="C494" s="19" t="str">
        <x:v>S06</x:v>
      </x:c>
      <x:c r="D494" s="19" t="str">
        <x:v>蓝钻天城店</x:v>
      </x:c>
      <x:c r="E494" s="19" t="str">
        <x:v>粉皮</x:v>
      </x:c>
      <x:c r="F494" s="32" t="n">
        <x:v>12.342305128391496</x:v>
      </x:c>
      <x:c r="G494" s="32" t="n">
        <x:v>6.1778708682669965</x:v>
      </x:c>
      <x:c r="H494" s="24" t="n">
        <x:f>'菜品日销量'!G828*150/1000</x:f>
        <x:v>5.7</x:v>
      </x:c>
      <x:c r="I494" s="36" t="n">
        <x:v>0.015910209113711073</x:v>
      </x:c>
      <x:c r="J494" s="24" t="n">
        <x:f>H494*I494</x:f>
        <x:v>0.09068819194815313</x:v>
      </x:c>
      <x:c r="K494" s="32" t="n">
        <x:v>0</x:v>
      </x:c>
      <x:c r="L494" s="32" t="n">
        <x:v>0</x:v>
      </x:c>
      <x:c r="M494" s="32" t="n">
        <x:v>0</x:v>
      </x:c>
      <x:c r="N494" s="24" t="n">
        <x:f>F494+G494+K494-L494+M494-H494-J494</x:f>
        <x:v>12.729487804710342</x:v>
      </x:c>
      <x:c r="O494" s="24" t="n">
        <x:f>H494*'封面与口径'!$O$24</x:f>
        <x:v>6.84</x:v>
      </x:c>
      <x:c r="P494" s="19" t="str">
        <x:f>IF(N494&lt;0,"缺货",IF(N494&lt;O494,"预警","正常"))</x:f>
        <x:v>正常</x:v>
      </x:c>
      <x:c r="Q494" s="19" t="str">
        <x:v>粉皮0713-06</x:v>
      </x:c>
    </x:row>
    <x:row r="495">
      <x:c r="A495" s="19" t="str">
        <x:v>2026-07-07|S06|鸡杂</x:v>
      </x:c>
      <x:c r="B495" s="34" t="n">
        <x:v>46210.5</x:v>
      </x:c>
      <x:c r="C495" s="19" t="str">
        <x:v>S06</x:v>
      </x:c>
      <x:c r="D495" s="19" t="str">
        <x:v>蓝钻天城店</x:v>
      </x:c>
      <x:c r="E495" s="19" t="str">
        <x:v>鸡杂</x:v>
      </x:c>
      <x:c r="F495" s="32" t="n">
        <x:v>6.3</x:v>
      </x:c>
      <x:c r="G495" s="32" t="n">
        <x:v>3.877284175641203</x:v>
      </x:c>
      <x:c r="H495" s="24" t="n">
        <x:f>'菜品日销量'!G718*250/1000+'菜品日销量'!G723*250/1000</x:f>
        <x:v>3.5</x:v>
      </x:c>
      <x:c r="I495" s="36" t="n">
        <x:v>0.025845972402218257</x:v>
      </x:c>
      <x:c r="J495" s="24" t="n">
        <x:f>H495*I495</x:f>
        <x:v>0.0904609034077639</x:v>
      </x:c>
      <x:c r="K495" s="32" t="n">
        <x:v>0</x:v>
      </x:c>
      <x:c r="L495" s="32" t="n">
        <x:v>0</x:v>
      </x:c>
      <x:c r="M495" s="32" t="n">
        <x:v>0</x:v>
      </x:c>
      <x:c r="N495" s="24" t="n">
        <x:f>F495+G495+K495-L495+M495-H495-J495</x:f>
        <x:v>6.586823272233439</x:v>
      </x:c>
      <x:c r="O495" s="24" t="n">
        <x:f>H495*'封面与口径'!$O$24</x:f>
        <x:v>4.2</x:v>
      </x:c>
      <x:c r="P495" s="19" t="str">
        <x:f>IF(N495&lt;0,"缺货",IF(N495&lt;O495,"预警","正常"))</x:f>
        <x:v>正常</x:v>
      </x:c>
      <x:c r="Q495" s="19" t="str">
        <x:v>鸡杂0707-06</x:v>
      </x:c>
    </x:row>
    <x:row r="496">
      <x:c r="A496" s="19" t="str">
        <x:v>2026-07-08|S06|鸡杂</x:v>
      </x:c>
      <x:c r="B496" s="34" t="n">
        <x:v>46211.5</x:v>
      </x:c>
      <x:c r="C496" s="19" t="str">
        <x:v>S06</x:v>
      </x:c>
      <x:c r="D496" s="19" t="str">
        <x:v>蓝钻天城店</x:v>
      </x:c>
      <x:c r="E496" s="19" t="str">
        <x:v>鸡杂</x:v>
      </x:c>
      <x:c r="F496" s="32" t="n">
        <x:v>6.586823272233439</x:v>
      </x:c>
      <x:c r="G496" s="32" t="n">
        <x:v>3.545332718490468</x:v>
      </x:c>
      <x:c r="H496" s="24" t="n">
        <x:f>'菜品日销量'!G738*250/1000+'菜品日销量'!G743*250/1000</x:f>
        <x:v>3.25</x:v>
      </x:c>
      <x:c r="I496" s="36" t="n">
        <x:v>0.02003407110926557</x:v>
      </x:c>
      <x:c r="J496" s="24" t="n">
        <x:f>H496*I496</x:f>
        <x:v>0.0651107311051131</x:v>
      </x:c>
      <x:c r="K496" s="32" t="n">
        <x:v>0</x:v>
      </x:c>
      <x:c r="L496" s="32" t="n">
        <x:v>0</x:v>
      </x:c>
      <x:c r="M496" s="32" t="n">
        <x:v>0</x:v>
      </x:c>
      <x:c r="N496" s="24" t="n">
        <x:f>F496+G496+K496-L496+M496-H496-J496</x:f>
        <x:v>6.817045259618794</x:v>
      </x:c>
      <x:c r="O496" s="24" t="n">
        <x:f>H496*'封面与口径'!$O$24</x:f>
        <x:v>3.9</x:v>
      </x:c>
      <x:c r="P496" s="19" t="str">
        <x:f>IF(N496&lt;0,"缺货",IF(N496&lt;O496,"预警","正常"))</x:f>
        <x:v>正常</x:v>
      </x:c>
      <x:c r="Q496" s="19" t="str">
        <x:v>鸡杂0708-06</x:v>
      </x:c>
    </x:row>
    <x:row r="497">
      <x:c r="A497" s="19" t="str">
        <x:v>2026-07-09|S06|鸡杂</x:v>
      </x:c>
      <x:c r="B497" s="34" t="n">
        <x:v>46212.5</x:v>
      </x:c>
      <x:c r="C497" s="19" t="str">
        <x:v>S06</x:v>
      </x:c>
      <x:c r="D497" s="19" t="str">
        <x:v>蓝钻天城店</x:v>
      </x:c>
      <x:c r="E497" s="19" t="str">
        <x:v>鸡杂</x:v>
      </x:c>
      <x:c r="F497" s="32" t="n">
        <x:v>6.817045259618794</x:v>
      </x:c>
      <x:c r="G497" s="32" t="n">
        <x:v>3.494100099795987</x:v>
      </x:c>
      <x:c r="H497" s="24" t="n">
        <x:f>'菜品日销量'!G758*250/1000+'菜品日销量'!G763*250/1000</x:f>
        <x:v>3</x:v>
      </x:c>
      <x:c r="I497" s="36" t="n">
        <x:v>0.015820685737026084</x:v>
      </x:c>
      <x:c r="J497" s="24" t="n">
        <x:f>H497*I497</x:f>
        <x:v>0.047462057211078254</x:v>
      </x:c>
      <x:c r="K497" s="32" t="n">
        <x:v>0</x:v>
      </x:c>
      <x:c r="L497" s="32" t="n">
        <x:v>0</x:v>
      </x:c>
      <x:c r="M497" s="32" t="n">
        <x:v>0</x:v>
      </x:c>
      <x:c r="N497" s="24" t="n">
        <x:f>F497+G497+K497-L497+M497-H497-J497</x:f>
        <x:v>7.263683302203702</x:v>
      </x:c>
      <x:c r="O497" s="24" t="n">
        <x:f>H497*'封面与口径'!$O$24</x:f>
        <x:v>3.5999999999999996</x:v>
      </x:c>
      <x:c r="P497" s="19" t="str">
        <x:f>IF(N497&lt;0,"缺货",IF(N497&lt;O497,"预警","正常"))</x:f>
        <x:v>正常</x:v>
      </x:c>
      <x:c r="Q497" s="19" t="str">
        <x:v>鸡杂0709-06</x:v>
      </x:c>
    </x:row>
    <x:row r="498">
      <x:c r="A498" s="19" t="str">
        <x:v>2026-07-10|S06|鸡杂</x:v>
      </x:c>
      <x:c r="B498" s="34" t="n">
        <x:v>46213.5</x:v>
      </x:c>
      <x:c r="C498" s="19" t="str">
        <x:v>S06</x:v>
      </x:c>
      <x:c r="D498" s="19" t="str">
        <x:v>蓝钻天城店</x:v>
      </x:c>
      <x:c r="E498" s="19" t="str">
        <x:v>鸡杂</x:v>
      </x:c>
      <x:c r="F498" s="32" t="n">
        <x:v>7.263683302203702</x:v>
      </x:c>
      <x:c r="G498" s="32" t="n">
        <x:v>4.067172437055775</x:v>
      </x:c>
      <x:c r="H498" s="24" t="n">
        <x:f>'菜品日销量'!G778*250/1000+'菜品日销量'!G783*250/1000</x:f>
        <x:v>3.5</x:v>
      </x:c>
      <x:c r="I498" s="36" t="n">
        <x:v>0.036859922579457034</x:v>
      </x:c>
      <x:c r="J498" s="24" t="n">
        <x:f>H498*I498</x:f>
        <x:v>0.12900972902809962</x:v>
      </x:c>
      <x:c r="K498" s="32" t="n">
        <x:v>0</x:v>
      </x:c>
      <x:c r="L498" s="32" t="n">
        <x:v>0</x:v>
      </x:c>
      <x:c r="M498" s="32" t="n">
        <x:v>0</x:v>
      </x:c>
      <x:c r="N498" s="24" t="n">
        <x:f>F498+G498+K498-L498+M498-H498-J498</x:f>
        <x:v>7.701846010231376</x:v>
      </x:c>
      <x:c r="O498" s="24" t="n">
        <x:f>H498*'封面与口径'!$O$24</x:f>
        <x:v>4.2</x:v>
      </x:c>
      <x:c r="P498" s="19" t="str">
        <x:f>IF(N498&lt;0,"缺货",IF(N498&lt;O498,"预警","正常"))</x:f>
        <x:v>正常</x:v>
      </x:c>
      <x:c r="Q498" s="19" t="str">
        <x:v>鸡杂0710-06</x:v>
      </x:c>
    </x:row>
    <x:row r="499">
      <x:c r="A499" s="19" t="str">
        <x:v>2026-07-11|S06|鸡杂</x:v>
      </x:c>
      <x:c r="B499" s="34" t="n">
        <x:v>46214.5</x:v>
      </x:c>
      <x:c r="C499" s="19" t="str">
        <x:v>S06</x:v>
      </x:c>
      <x:c r="D499" s="19" t="str">
        <x:v>蓝钻天城店</x:v>
      </x:c>
      <x:c r="E499" s="19" t="str">
        <x:v>鸡杂</x:v>
      </x:c>
      <x:c r="F499" s="32" t="n">
        <x:v>7.701846010231376</x:v>
      </x:c>
      <x:c r="G499" s="32" t="n">
        <x:v>2.9753677582543734</x:v>
      </x:c>
      <x:c r="H499" s="24" t="n">
        <x:f>'菜品日销量'!G798*250/1000+'菜品日销量'!G803*250/1000</x:f>
        <x:v>2.5</x:v>
      </x:c>
      <x:c r="I499" s="36" t="n">
        <x:v>0.03667240156481797</x:v>
      </x:c>
      <x:c r="J499" s="24" t="n">
        <x:f>H499*I499</x:f>
        <x:v>0.09168100391204492</x:v>
      </x:c>
      <x:c r="K499" s="32" t="n">
        <x:v>0</x:v>
      </x:c>
      <x:c r="L499" s="32" t="n">
        <x:v>0</x:v>
      </x:c>
      <x:c r="M499" s="32" t="n">
        <x:v>0</x:v>
      </x:c>
      <x:c r="N499" s="24" t="n">
        <x:f>F499+G499+K499-L499+M499-H499-J499</x:f>
        <x:v>8.085532764573705</x:v>
      </x:c>
      <x:c r="O499" s="24" t="n">
        <x:f>H499*'封面与口径'!$O$24</x:f>
        <x:v>3</x:v>
      </x:c>
      <x:c r="P499" s="19" t="str">
        <x:f>IF(N499&lt;0,"缺货",IF(N499&lt;O499,"预警","正常"))</x:f>
        <x:v>正常</x:v>
      </x:c>
      <x:c r="Q499" s="19" t="str">
        <x:v>鸡杂0711-06</x:v>
      </x:c>
    </x:row>
    <x:row r="500">
      <x:c r="A500" s="19" t="str">
        <x:v>2026-07-12|S06|鸡杂</x:v>
      </x:c>
      <x:c r="B500" s="34" t="n">
        <x:v>46215.5</x:v>
      </x:c>
      <x:c r="C500" s="19" t="str">
        <x:v>S06</x:v>
      </x:c>
      <x:c r="D500" s="19" t="str">
        <x:v>蓝钻天城店</x:v>
      </x:c>
      <x:c r="E500" s="19" t="str">
        <x:v>鸡杂</x:v>
      </x:c>
      <x:c r="F500" s="32" t="n">
        <x:v>8.085532764573705</x:v>
      </x:c>
      <x:c r="G500" s="32" t="n">
        <x:v>2.8582540437714785</x:v>
      </x:c>
      <x:c r="H500" s="24" t="n">
        <x:f>'菜品日销量'!G818*250/1000+'菜品日销量'!G823*250/1000</x:f>
        <x:v>2.5</x:v>
      </x:c>
      <x:c r="I500" s="36" t="n">
        <x:v>0.027092491079143362</x:v>
      </x:c>
      <x:c r="J500" s="24" t="n">
        <x:f>H500*I500</x:f>
        <x:v>0.0677312276978584</x:v>
      </x:c>
      <x:c r="K500" s="32" t="n">
        <x:v>0</x:v>
      </x:c>
      <x:c r="L500" s="32" t="n">
        <x:v>0</x:v>
      </x:c>
      <x:c r="M500" s="32" t="n">
        <x:v>0</x:v>
      </x:c>
      <x:c r="N500" s="24" t="n">
        <x:f>F500+G500+K500-L500+M500-H500-J500</x:f>
        <x:v>8.376055580647325</x:v>
      </x:c>
      <x:c r="O500" s="24" t="n">
        <x:f>H500*'封面与口径'!$O$24</x:f>
        <x:v>3</x:v>
      </x:c>
      <x:c r="P500" s="19" t="str">
        <x:f>IF(N500&lt;0,"缺货",IF(N500&lt;O500,"预警","正常"))</x:f>
        <x:v>正常</x:v>
      </x:c>
      <x:c r="Q500" s="19" t="str">
        <x:v>鸡杂0712-06</x:v>
      </x:c>
    </x:row>
    <x:row r="501">
      <x:c r="A501" s="19" t="str">
        <x:v>2026-07-13|S06|鸡杂</x:v>
      </x:c>
      <x:c r="B501" s="34" t="n">
        <x:v>46216.5</x:v>
      </x:c>
      <x:c r="C501" s="19" t="str">
        <x:v>S06</x:v>
      </x:c>
      <x:c r="D501" s="19" t="str">
        <x:v>蓝钻天城店</x:v>
      </x:c>
      <x:c r="E501" s="19" t="str">
        <x:v>鸡杂</x:v>
      </x:c>
      <x:c r="F501" s="32" t="n">
        <x:v>8.376055580647325</x:v>
      </x:c>
      <x:c r="G501" s="32" t="n">
        <x:v>4.346812851516719</x:v>
      </x:c>
      <x:c r="H501" s="24" t="n">
        <x:f>'菜品日销量'!G838*250/1000+'菜品日销量'!G843*250/1000</x:f>
        <x:v>3.75</x:v>
      </x:c>
      <x:c r="I501" s="36" t="n">
        <x:v>0.03160508841546371</x:v>
      </x:c>
      <x:c r="J501" s="24" t="n">
        <x:f>H501*I501</x:f>
        <x:v>0.1185190815579889</x:v>
      </x:c>
      <x:c r="K501" s="32" t="n">
        <x:v>0</x:v>
      </x:c>
      <x:c r="L501" s="32" t="n">
        <x:v>0</x:v>
      </x:c>
      <x:c r="M501" s="32" t="n">
        <x:v>0</x:v>
      </x:c>
      <x:c r="N501" s="24" t="n">
        <x:f>F501+G501+K501-L501+M501-H501-J501</x:f>
        <x:v>8.854349350606055</x:v>
      </x:c>
      <x:c r="O501" s="24" t="n">
        <x:f>H501*'封面与口径'!$O$24</x:f>
        <x:v>4.5</x:v>
      </x:c>
      <x:c r="P501" s="19" t="str">
        <x:f>IF(N501&lt;0,"缺货",IF(N501&lt;O501,"预警","正常"))</x:f>
        <x:v>正常</x:v>
      </x:c>
      <x:c r="Q501" s="19" t="str">
        <x:v>鸡杂0713-06</x:v>
      </x:c>
    </x:row>
    <x:row r="502">
      <x:c r="A502" s="19" t="str">
        <x:v>2026-07-07|S06|豆腐</x:v>
      </x:c>
      <x:c r="B502" s="34" t="n">
        <x:v>46210.5</x:v>
      </x:c>
      <x:c r="C502" s="19" t="str">
        <x:v>S06</x:v>
      </x:c>
      <x:c r="D502" s="19" t="str">
        <x:v>蓝钻天城店</x:v>
      </x:c>
      <x:c r="E502" s="19" t="str">
        <x:v>豆腐</x:v>
      </x:c>
      <x:c r="F502" s="32" t="n">
        <x:v>38.16</x:v>
      </x:c>
      <x:c r="G502" s="32" t="n">
        <x:v>24.43645926924899</x:v>
      </x:c>
      <x:c r="H502" s="24" t="n">
        <x:f>'菜品日销量'!G709*400/1000</x:f>
        <x:v>21.2</x:v>
      </x:c>
      <x:c r="I502" s="36" t="n">
        <x:v>0.023047493298781918</x:v>
      </x:c>
      <x:c r="J502" s="24" t="n">
        <x:f>H502*I502</x:f>
        <x:v>0.48860685793417663</x:v>
      </x:c>
      <x:c r="K502" s="32" t="n">
        <x:v>0</x:v>
      </x:c>
      <x:c r="L502" s="32" t="n">
        <x:v>0</x:v>
      </x:c>
      <x:c r="M502" s="32" t="n">
        <x:v>0</x:v>
      </x:c>
      <x:c r="N502" s="24" t="n">
        <x:f>F502+G502+K502-L502+M502-H502-J502</x:f>
        <x:v>40.9078524113148</x:v>
      </x:c>
      <x:c r="O502" s="24" t="n">
        <x:f>H502*'封面与口径'!$O$24</x:f>
        <x:v>25.439999999999998</x:v>
      </x:c>
      <x:c r="P502" s="19" t="str">
        <x:f>IF(N502&lt;0,"缺货",IF(N502&lt;O502,"预警","正常"))</x:f>
        <x:v>正常</x:v>
      </x:c>
      <x:c r="Q502" s="19" t="str">
        <x:v>豆腐0707-06</x:v>
      </x:c>
    </x:row>
    <x:row r="503">
      <x:c r="A503" s="19" t="str">
        <x:v>2026-07-08|S06|豆腐</x:v>
      </x:c>
      <x:c r="B503" s="34" t="n">
        <x:v>46211.5</x:v>
      </x:c>
      <x:c r="C503" s="19" t="str">
        <x:v>S06</x:v>
      </x:c>
      <x:c r="D503" s="19" t="str">
        <x:v>蓝钻天城店</x:v>
      </x:c>
      <x:c r="E503" s="19" t="str">
        <x:v>豆腐</x:v>
      </x:c>
      <x:c r="F503" s="32" t="n">
        <x:v>40.907852411314806</x:v>
      </x:c>
      <x:c r="G503" s="32" t="n">
        <x:v>21.641704231324074</x:v>
      </x:c>
      <x:c r="H503" s="24" t="n">
        <x:f>'菜品日销量'!G729*400/1000</x:f>
        <x:v>20</x:v>
      </x:c>
      <x:c r="I503" s="36" t="n">
        <x:v>0.02135593685003834</x:v>
      </x:c>
      <x:c r="J503" s="24" t="n">
        <x:f>H503*I503</x:f>
        <x:v>0.4271187370007668</x:v>
      </x:c>
      <x:c r="K503" s="32" t="n">
        <x:v>0</x:v>
      </x:c>
      <x:c r="L503" s="32" t="n">
        <x:v>0</x:v>
      </x:c>
      <x:c r="M503" s="32" t="n">
        <x:v>0</x:v>
      </x:c>
      <x:c r="N503" s="24" t="n">
        <x:f>F503+G503+K503-L503+M503-H503-J503</x:f>
        <x:v>42.12243790563811</x:v>
      </x:c>
      <x:c r="O503" s="24" t="n">
        <x:f>H503*'封面与口径'!$O$24</x:f>
        <x:v>24</x:v>
      </x:c>
      <x:c r="P503" s="19" t="str">
        <x:f>IF(N503&lt;0,"缺货",IF(N503&lt;O503,"预警","正常"))</x:f>
        <x:v>正常</x:v>
      </x:c>
      <x:c r="Q503" s="19" t="str">
        <x:v>豆腐0708-06</x:v>
      </x:c>
    </x:row>
    <x:row r="504">
      <x:c r="A504" s="19" t="str">
        <x:v>2026-07-09|S06|豆腐</x:v>
      </x:c>
      <x:c r="B504" s="34" t="n">
        <x:v>46212.5</x:v>
      </x:c>
      <x:c r="C504" s="19" t="str">
        <x:v>S06</x:v>
      </x:c>
      <x:c r="D504" s="19" t="str">
        <x:v>蓝钻天城店</x:v>
      </x:c>
      <x:c r="E504" s="19" t="str">
        <x:v>豆腐</x:v>
      </x:c>
      <x:c r="F504" s="32" t="n">
        <x:v>42.12243790563811</x:v>
      </x:c>
      <x:c r="G504" s="32" t="n">
        <x:v>22.8050026375216</x:v>
      </x:c>
      <x:c r="H504" s="24" t="n">
        <x:f>'菜品日销量'!G749*400/1000</x:f>
        <x:v>20.4</x:v>
      </x:c>
      <x:c r="I504" s="36" t="n">
        <x:v>0.020578972953506507</x:v>
      </x:c>
      <x:c r="J504" s="24" t="n">
        <x:f>H504*I504</x:f>
        <x:v>0.4198110482515327</x:v>
      </x:c>
      <x:c r="K504" s="32" t="n">
        <x:v>0</x:v>
      </x:c>
      <x:c r="L504" s="32" t="n">
        <x:v>0</x:v>
      </x:c>
      <x:c r="M504" s="32" t="n">
        <x:v>0</x:v>
      </x:c>
      <x:c r="N504" s="24" t="n">
        <x:f>F504+G504+K504-L504+M504-H504-J504</x:f>
        <x:v>44.107629494908174</x:v>
      </x:c>
      <x:c r="O504" s="24" t="n">
        <x:f>H504*'封面与口径'!$O$24</x:f>
        <x:v>24.479999999999997</x:v>
      </x:c>
      <x:c r="P504" s="19" t="str">
        <x:f>IF(N504&lt;0,"缺货",IF(N504&lt;O504,"预警","正常"))</x:f>
        <x:v>正常</x:v>
      </x:c>
      <x:c r="Q504" s="19" t="str">
        <x:v>豆腐0709-06</x:v>
      </x:c>
    </x:row>
    <x:row r="505">
      <x:c r="A505" s="19" t="str">
        <x:v>2026-07-10|S06|豆腐</x:v>
      </x:c>
      <x:c r="B505" s="34" t="n">
        <x:v>46213.5</x:v>
      </x:c>
      <x:c r="C505" s="19" t="str">
        <x:v>S06</x:v>
      </x:c>
      <x:c r="D505" s="19" t="str">
        <x:v>蓝钻天城店</x:v>
      </x:c>
      <x:c r="E505" s="19" t="str">
        <x:v>豆腐</x:v>
      </x:c>
      <x:c r="F505" s="32" t="n">
        <x:v>44.107629494908174</x:v>
      </x:c>
      <x:c r="G505" s="32" t="n">
        <x:v>23.63764448861909</x:v>
      </x:c>
      <x:c r="H505" s="24" t="n">
        <x:f>'菜品日销量'!G769*400/1000</x:f>
        <x:v>21.2</x:v>
      </x:c>
      <x:c r="I505" s="36" t="n">
        <x:v>0.024248348962107754</x:v>
      </x:c>
      <x:c r="J505" s="24" t="n">
        <x:f>H505*I505</x:f>
        <x:v>0.5140649979966844</x:v>
      </x:c>
      <x:c r="K505" s="32" t="n">
        <x:v>0</x:v>
      </x:c>
      <x:c r="L505" s="32" t="n">
        <x:v>0</x:v>
      </x:c>
      <x:c r="M505" s="32" t="n">
        <x:v>0</x:v>
      </x:c>
      <x:c r="N505" s="24" t="n">
        <x:f>F505+G505+K505-L505+M505-H505-J505</x:f>
        <x:v>46.03120898553058</x:v>
      </x:c>
      <x:c r="O505" s="24" t="n">
        <x:f>H505*'封面与口径'!$O$24</x:f>
        <x:v>25.439999999999998</x:v>
      </x:c>
      <x:c r="P505" s="19" t="str">
        <x:f>IF(N505&lt;0,"缺货",IF(N505&lt;O505,"预警","正常"))</x:f>
        <x:v>正常</x:v>
      </x:c>
      <x:c r="Q505" s="19" t="str">
        <x:v>豆腐0710-06</x:v>
      </x:c>
    </x:row>
    <x:row r="506">
      <x:c r="A506" s="19" t="str">
        <x:v>2026-07-11|S06|豆腐</x:v>
      </x:c>
      <x:c r="B506" s="34" t="n">
        <x:v>46214.5</x:v>
      </x:c>
      <x:c r="C506" s="19" t="str">
        <x:v>S06</x:v>
      </x:c>
      <x:c r="D506" s="19" t="str">
        <x:v>蓝钻天城店</x:v>
      </x:c>
      <x:c r="E506" s="19" t="str">
        <x:v>豆腐</x:v>
      </x:c>
      <x:c r="F506" s="32" t="n">
        <x:v>46.03120898553058</x:v>
      </x:c>
      <x:c r="G506" s="32" t="n">
        <x:v>19.009338591814352</x:v>
      </x:c>
      <x:c r="H506" s="24" t="n">
        <x:f>'菜品日销量'!G789*400/1000</x:f>
        <x:v>16.8</x:v>
      </x:c>
      <x:c r="I506" s="36" t="n">
        <x:v>0.019265916453270686</x:v>
      </x:c>
      <x:c r="J506" s="24" t="n">
        <x:f>H506*I506</x:f>
        <x:v>0.3236673964149475</x:v>
      </x:c>
      <x:c r="K506" s="32" t="n">
        <x:v>0</x:v>
      </x:c>
      <x:c r="L506" s="32" t="n">
        <x:v>0</x:v>
      </x:c>
      <x:c r="M506" s="32" t="n">
        <x:v>0</x:v>
      </x:c>
      <x:c r="N506" s="24" t="n">
        <x:f>F506+G506+K506-L506+M506-H506-J506</x:f>
        <x:v>47.916880180929994</x:v>
      </x:c>
      <x:c r="O506" s="24" t="n">
        <x:f>H506*'封面与口径'!$O$24</x:f>
        <x:v>20.16</x:v>
      </x:c>
      <x:c r="P506" s="19" t="str">
        <x:f>IF(N506&lt;0,"缺货",IF(N506&lt;O506,"预警","正常"))</x:f>
        <x:v>正常</x:v>
      </x:c>
      <x:c r="Q506" s="19" t="str">
        <x:v>豆腐0711-06</x:v>
      </x:c>
    </x:row>
    <x:row r="507">
      <x:c r="A507" s="19" t="str">
        <x:v>2026-07-12|S06|豆腐</x:v>
      </x:c>
      <x:c r="B507" s="34" t="n">
        <x:v>46215.5</x:v>
      </x:c>
      <x:c r="C507" s="19" t="str">
        <x:v>S06</x:v>
      </x:c>
      <x:c r="D507" s="19" t="str">
        <x:v>蓝钻天城店</x:v>
      </x:c>
      <x:c r="E507" s="19" t="str">
        <x:v>豆腐</x:v>
      </x:c>
      <x:c r="F507" s="32" t="n">
        <x:v>47.916880180929994</x:v>
      </x:c>
      <x:c r="G507" s="32" t="n">
        <x:v>17.183222771387367</x:v>
      </x:c>
      <x:c r="H507" s="24" t="n">
        <x:f>'菜品日销量'!G809*400/1000</x:f>
        <x:v>14.8</x:v>
      </x:c>
      <x:c r="I507" s="36" t="n">
        <x:v>0.038830970725703746</x:v>
      </x:c>
      <x:c r="J507" s="24" t="n">
        <x:f>H507*I507</x:f>
        <x:v>0.5746983667404155</x:v>
      </x:c>
      <x:c r="K507" s="32" t="n">
        <x:v>0</x:v>
      </x:c>
      <x:c r="L507" s="32" t="n">
        <x:v>0</x:v>
      </x:c>
      <x:c r="M507" s="32" t="n">
        <x:v>0</x:v>
      </x:c>
      <x:c r="N507" s="24" t="n">
        <x:f>F507+G507+K507-L507+M507-H507-J507</x:f>
        <x:v>49.725404585576946</x:v>
      </x:c>
      <x:c r="O507" s="24" t="n">
        <x:f>H507*'封面与口径'!$O$24</x:f>
        <x:v>17.76</x:v>
      </x:c>
      <x:c r="P507" s="19" t="str">
        <x:f>IF(N507&lt;0,"缺货",IF(N507&lt;O507,"预警","正常"))</x:f>
        <x:v>正常</x:v>
      </x:c>
      <x:c r="Q507" s="19" t="str">
        <x:v>豆腐0712-06</x:v>
      </x:c>
    </x:row>
    <x:row r="508">
      <x:c r="A508" s="19" t="str">
        <x:v>2026-07-13|S06|豆腐</x:v>
      </x:c>
      <x:c r="B508" s="34" t="n">
        <x:v>46216.5</x:v>
      </x:c>
      <x:c r="C508" s="19" t="str">
        <x:v>S06</x:v>
      </x:c>
      <x:c r="D508" s="19" t="str">
        <x:v>蓝钻天城店</x:v>
      </x:c>
      <x:c r="E508" s="19" t="str">
        <x:v>豆腐</x:v>
      </x:c>
      <x:c r="F508" s="32" t="n">
        <x:v>49.72540458557694</x:v>
      </x:c>
      <x:c r="G508" s="32" t="n">
        <x:v>24.000342952475034</x:v>
      </x:c>
      <x:c r="H508" s="24" t="n">
        <x:f>'菜品日销量'!G829*400/1000</x:f>
        <x:v>20.8</x:v>
      </x:c>
      <x:c r="I508" s="36" t="n">
        <x:v>0.031000315923243836</x:v>
      </x:c>
      <x:c r="J508" s="24" t="n">
        <x:f>H508*I508</x:f>
        <x:v>0.6448065712034718</x:v>
      </x:c>
      <x:c r="K508" s="32" t="n">
        <x:v>0</x:v>
      </x:c>
      <x:c r="L508" s="32" t="n">
        <x:v>0</x:v>
      </x:c>
      <x:c r="M508" s="32" t="n">
        <x:v>0</x:v>
      </x:c>
      <x:c r="N508" s="24" t="n">
        <x:f>F508+G508+K508-L508+M508-H508-J508</x:f>
        <x:v>52.280940966848505</x:v>
      </x:c>
      <x:c r="O508" s="24" t="n">
        <x:f>H508*'封面与口径'!$O$24</x:f>
        <x:v>24.96</x:v>
      </x:c>
      <x:c r="P508" s="19" t="str">
        <x:f>IF(N508&lt;0,"缺货",IF(N508&lt;O508,"预警","正常"))</x:f>
        <x:v>正常</x:v>
      </x:c>
      <x:c r="Q508" s="19" t="str">
        <x:v>豆腐0713-06</x:v>
      </x:c>
    </x:row>
    <x:row r="509">
      <x:c r="A509" s="19" t="str">
        <x:v>2026-07-07|S07|瘦肉片</x:v>
      </x:c>
      <x:c r="B509" s="34" t="n">
        <x:v>46210.5</x:v>
      </x:c>
      <x:c r="C509" s="19" t="str">
        <x:v>S07</x:v>
      </x:c>
      <x:c r="D509" s="19" t="str">
        <x:v>小和山店</x:v>
      </x:c>
      <x:c r="E509" s="19" t="str">
        <x:v>瘦肉片</x:v>
      </x:c>
      <x:c r="F509" s="32" t="n">
        <x:v>19.17</x:v>
      </x:c>
      <x:c r="G509" s="32" t="n">
        <x:v>12.687627005683172</x:v>
      </x:c>
      <x:c r="H509" s="24" t="n">
        <x:f>'菜品日销量'!G845*150/1000+'菜品日销量'!G853*50/1000+'菜品日销量'!G854*200/1000</x:f>
        <x:v>10.65</x:v>
      </x:c>
      <x:c r="I509" s="36" t="n">
        <x:v>0.019708841234610613</x:v>
      </x:c>
      <x:c r="J509" s="24" t="n">
        <x:f>H509*I509</x:f>
        <x:v>0.20989915914860305</x:v>
      </x:c>
      <x:c r="K509" s="32" t="n">
        <x:v>0</x:v>
      </x:c>
      <x:c r="L509" s="32" t="n">
        <x:v>0</x:v>
      </x:c>
      <x:c r="M509" s="32" t="n">
        <x:v>0</x:v>
      </x:c>
      <x:c r="N509" s="24" t="n">
        <x:f>F509+G509+K509-L509+M509-H509-J509</x:f>
        <x:v>20.99772784653457</x:v>
      </x:c>
      <x:c r="O509" s="24" t="n">
        <x:f>H509*'封面与口径'!$O$24</x:f>
        <x:v>12.78</x:v>
      </x:c>
      <x:c r="P509" s="19" t="str">
        <x:f>IF(N509&lt;0,"缺货",IF(N509&lt;O509,"预警","正常"))</x:f>
        <x:v>正常</x:v>
      </x:c>
      <x:c r="Q509" s="19" t="str">
        <x:v>瘦肉0707-07</x:v>
      </x:c>
    </x:row>
    <x:row r="510">
      <x:c r="A510" s="19" t="str">
        <x:v>2026-07-08|S07|瘦肉片</x:v>
      </x:c>
      <x:c r="B510" s="34" t="n">
        <x:v>46211.5</x:v>
      </x:c>
      <x:c r="C510" s="19" t="str">
        <x:v>S07</x:v>
      </x:c>
      <x:c r="D510" s="19" t="str">
        <x:v>小和山店</x:v>
      </x:c>
      <x:c r="E510" s="19" t="str">
        <x:v>瘦肉片</x:v>
      </x:c>
      <x:c r="F510" s="32" t="n">
        <x:v>20.99772784653457</x:v>
      </x:c>
      <x:c r="G510" s="32" t="n">
        <x:v>11.769450559932613</x:v>
      </x:c>
      <x:c r="H510" s="24" t="n">
        <x:f>'菜品日销量'!G865*150/1000+'菜品日销量'!G873*50/1000+'菜品日销量'!G874*200/1000</x:f>
        <x:v>10.350000000000001</x:v>
      </x:c>
      <x:c r="I510" s="36" t="n">
        <x:v>0.038892383533272054</x:v>
      </x:c>
      <x:c r="J510" s="24" t="n">
        <x:f>H510*I510</x:f>
        <x:v>0.40253616956936583</x:v>
      </x:c>
      <x:c r="K510" s="32" t="n">
        <x:v>0</x:v>
      </x:c>
      <x:c r="L510" s="32" t="n">
        <x:v>0</x:v>
      </x:c>
      <x:c r="M510" s="32" t="n">
        <x:v>0</x:v>
      </x:c>
      <x:c r="N510" s="24" t="n">
        <x:f>F510+G510+K510-L510+M510-H510-J510</x:f>
        <x:v>22.014642236897814</x:v>
      </x:c>
      <x:c r="O510" s="24" t="n">
        <x:f>H510*'封面与口径'!$O$24</x:f>
        <x:v>12.420000000000002</x:v>
      </x:c>
      <x:c r="P510" s="19" t="str">
        <x:f>IF(N510&lt;0,"缺货",IF(N510&lt;O510,"预警","正常"))</x:f>
        <x:v>正常</x:v>
      </x:c>
      <x:c r="Q510" s="19" t="str">
        <x:v>瘦肉0708-07</x:v>
      </x:c>
    </x:row>
    <x:row r="511">
      <x:c r="A511" s="19" t="str">
        <x:v>2026-07-09|S07|瘦肉片</x:v>
      </x:c>
      <x:c r="B511" s="34" t="n">
        <x:v>46212.5</x:v>
      </x:c>
      <x:c r="C511" s="19" t="str">
        <x:v>S07</x:v>
      </x:c>
      <x:c r="D511" s="19" t="str">
        <x:v>小和山店</x:v>
      </x:c>
      <x:c r="E511" s="19" t="str">
        <x:v>瘦肉片</x:v>
      </x:c>
      <x:c r="F511" s="32" t="n">
        <x:v>22.014642236897814</x:v>
      </x:c>
      <x:c r="G511" s="32" t="n">
        <x:v>12.38018950756085</x:v>
      </x:c>
      <x:c r="H511" s="24" t="n">
        <x:f>'菜品日销量'!G885*150/1000+'菜品日销量'!G893*50/1000+'菜品日销量'!G894*200/1000</x:f>
        <x:v>10.55</x:v>
      </x:c>
      <x:c r="I511" s="36" t="n">
        <x:v>0.029406808969659456</x:v>
      </x:c>
      <x:c r="J511" s="24" t="n">
        <x:f>H511*I511</x:f>
        <x:v>0.3102418346299073</x:v>
      </x:c>
      <x:c r="K511" s="32" t="n">
        <x:v>0</x:v>
      </x:c>
      <x:c r="L511" s="32" t="n">
        <x:v>0</x:v>
      </x:c>
      <x:c r="M511" s="32" t="n">
        <x:v>0</x:v>
      </x:c>
      <x:c r="N511" s="24" t="n">
        <x:f>F511+G511+K511-L511+M511-H511-J511</x:f>
        <x:v>23.534589909828757</x:v>
      </x:c>
      <x:c r="O511" s="24" t="n">
        <x:f>H511*'封面与口径'!$O$24</x:f>
        <x:v>12.66</x:v>
      </x:c>
      <x:c r="P511" s="19" t="str">
        <x:f>IF(N511&lt;0,"缺货",IF(N511&lt;O511,"预警","正常"))</x:f>
        <x:v>正常</x:v>
      </x:c>
      <x:c r="Q511" s="19" t="str">
        <x:v>瘦肉0709-07</x:v>
      </x:c>
    </x:row>
    <x:row r="512">
      <x:c r="A512" s="19" t="str">
        <x:v>2026-07-10|S07|瘦肉片</x:v>
      </x:c>
      <x:c r="B512" s="34" t="n">
        <x:v>46213.5</x:v>
      </x:c>
      <x:c r="C512" s="19" t="str">
        <x:v>S07</x:v>
      </x:c>
      <x:c r="D512" s="19" t="str">
        <x:v>小和山店</x:v>
      </x:c>
      <x:c r="E512" s="19" t="str">
        <x:v>瘦肉片</x:v>
      </x:c>
      <x:c r="F512" s="32" t="n">
        <x:v>23.534589909828753</x:v>
      </x:c>
      <x:c r="G512" s="32" t="n">
        <x:v>12.402956210748052</x:v>
      </x:c>
      <x:c r="H512" s="24" t="n">
        <x:f>'菜品日销量'!G905*150/1000+'菜品日销量'!G913*50/1000+'菜品日销量'!G914*200/1000</x:f>
        <x:v>11.3</x:v>
      </x:c>
      <x:c r="I512" s="36" t="n">
        <x:v>0.032312459395572646</x:v>
      </x:c>
      <x:c r="J512" s="24" t="n">
        <x:f>H512*I512</x:f>
        <x:v>0.36513079116997094</x:v>
      </x:c>
      <x:c r="K512" s="32" t="n">
        <x:v>0</x:v>
      </x:c>
      <x:c r="L512" s="32" t="n">
        <x:v>0</x:v>
      </x:c>
      <x:c r="M512" s="32" t="n">
        <x:v>0</x:v>
      </x:c>
      <x:c r="N512" s="24" t="n">
        <x:f>F512+G512+K512-L512+M512-H512-J512</x:f>
        <x:v>24.272415329406833</x:v>
      </x:c>
      <x:c r="O512" s="24" t="n">
        <x:f>H512*'封面与口径'!$O$24</x:f>
        <x:v>13.56</x:v>
      </x:c>
      <x:c r="P512" s="19" t="str">
        <x:f>IF(N512&lt;0,"缺货",IF(N512&lt;O512,"预警","正常"))</x:f>
        <x:v>正常</x:v>
      </x:c>
      <x:c r="Q512" s="19" t="str">
        <x:v>瘦肉0710-07</x:v>
      </x:c>
    </x:row>
    <x:row r="513">
      <x:c r="A513" s="19" t="str">
        <x:v>2026-07-11|S07|瘦肉片</x:v>
      </x:c>
      <x:c r="B513" s="34" t="n">
        <x:v>46214.5</x:v>
      </x:c>
      <x:c r="C513" s="19" t="str">
        <x:v>S07</x:v>
      </x:c>
      <x:c r="D513" s="19" t="str">
        <x:v>小和山店</x:v>
      </x:c>
      <x:c r="E513" s="19" t="str">
        <x:v>瘦肉片</x:v>
      </x:c>
      <x:c r="F513" s="32" t="n">
        <x:v>24.272415329406833</x:v>
      </x:c>
      <x:c r="G513" s="32" t="n">
        <x:v>9.274229527992716</x:v>
      </x:c>
      <x:c r="H513" s="24" t="n">
        <x:f>'菜品日销量'!G925*150/1000+'菜品日销量'!G933*50/1000+'菜品日销量'!G934*200/1000</x:f>
        <x:v>8.1</x:v>
      </x:c>
      <x:c r="I513" s="36" t="n">
        <x:v>0.034300823343056445</x:v>
      </x:c>
      <x:c r="J513" s="24" t="n">
        <x:f>H513*I513</x:f>
        <x:v>0.2778366690787572</x:v>
      </x:c>
      <x:c r="K513" s="32" t="n">
        <x:v>0</x:v>
      </x:c>
      <x:c r="L513" s="32" t="n">
        <x:v>0</x:v>
      </x:c>
      <x:c r="M513" s="32" t="n">
        <x:v>0</x:v>
      </x:c>
      <x:c r="N513" s="24" t="n">
        <x:f>F513+G513+K513-L513+M513-H513-J513</x:f>
        <x:v>25.168808188320792</x:v>
      </x:c>
      <x:c r="O513" s="24" t="n">
        <x:f>H513*'封面与口径'!$O$24</x:f>
        <x:v>9.719999999999999</x:v>
      </x:c>
      <x:c r="P513" s="19" t="str">
        <x:f>IF(N513&lt;0,"缺货",IF(N513&lt;O513,"预警","正常"))</x:f>
        <x:v>正常</x:v>
      </x:c>
      <x:c r="Q513" s="19" t="str">
        <x:v>瘦肉0711-07</x:v>
      </x:c>
    </x:row>
    <x:row r="514">
      <x:c r="A514" s="19" t="str">
        <x:v>2026-07-12|S07|瘦肉片</x:v>
      </x:c>
      <x:c r="B514" s="34" t="n">
        <x:v>46215.5</x:v>
      </x:c>
      <x:c r="C514" s="19" t="str">
        <x:v>S07</x:v>
      </x:c>
      <x:c r="D514" s="19" t="str">
        <x:v>小和山店</x:v>
      </x:c>
      <x:c r="E514" s="19" t="str">
        <x:v>瘦肉片</x:v>
      </x:c>
      <x:c r="F514" s="32" t="n">
        <x:v>25.168808188320792</x:v>
      </x:c>
      <x:c r="G514" s="32" t="n">
        <x:v>8.859051323855075</x:v>
      </x:c>
      <x:c r="H514" s="24" t="n">
        <x:f>'菜品日销量'!G945*150/1000+'菜品日销量'!G953*50/1000+'菜品日销量'!G954*200/1000</x:f>
        <x:v>8.05</x:v>
      </x:c>
      <x:c r="I514" s="36" t="n">
        <x:v>0.030149931997328516</x:v>
      </x:c>
      <x:c r="J514" s="24" t="n">
        <x:f>H514*I514</x:f>
        <x:v>0.2427069525784946</x:v>
      </x:c>
      <x:c r="K514" s="32" t="n">
        <x:v>0</x:v>
      </x:c>
      <x:c r="L514" s="32" t="n">
        <x:v>0</x:v>
      </x:c>
      <x:c r="M514" s="32" t="n">
        <x:v>0</x:v>
      </x:c>
      <x:c r="N514" s="24" t="n">
        <x:f>F514+G514+K514-L514+M514-H514-J514</x:f>
        <x:v>25.73515255959737</x:v>
      </x:c>
      <x:c r="O514" s="24" t="n">
        <x:f>H514*'封面与口径'!$O$24</x:f>
        <x:v>9.66</x:v>
      </x:c>
      <x:c r="P514" s="19" t="str">
        <x:f>IF(N514&lt;0,"缺货",IF(N514&lt;O514,"预警","正常"))</x:f>
        <x:v>正常</x:v>
      </x:c>
      <x:c r="Q514" s="19" t="str">
        <x:v>瘦肉0712-07</x:v>
      </x:c>
    </x:row>
    <x:row r="515">
      <x:c r="A515" s="19" t="str">
        <x:v>2026-07-13|S07|瘦肉片</x:v>
      </x:c>
      <x:c r="B515" s="34" t="n">
        <x:v>46216.5</x:v>
      </x:c>
      <x:c r="C515" s="19" t="str">
        <x:v>S07</x:v>
      </x:c>
      <x:c r="D515" s="19" t="str">
        <x:v>小和山店</x:v>
      </x:c>
      <x:c r="E515" s="19" t="str">
        <x:v>瘦肉片</x:v>
      </x:c>
      <x:c r="F515" s="32" t="n">
        <x:v>25.73515255959737</x:v>
      </x:c>
      <x:c r="G515" s="32" t="n">
        <x:v>13.337297950818508</x:v>
      </x:c>
      <x:c r="H515" s="24" t="n">
        <x:f>'菜品日销量'!G965*150/1000+'菜品日销量'!G973*50/1000+'菜品日销量'!G974*200/1000</x:f>
        <x:v>11.3</x:v>
      </x:c>
      <x:c r="I515" s="36" t="n">
        <x:v>0.02480608746986978</x:v>
      </x:c>
      <x:c r="J515" s="24" t="n">
        <x:f>H515*I515</x:f>
        <x:v>0.28030878840952855</x:v>
      </x:c>
      <x:c r="K515" s="32" t="n">
        <x:v>0</x:v>
      </x:c>
      <x:c r="L515" s="32" t="n">
        <x:v>0</x:v>
      </x:c>
      <x:c r="M515" s="32" t="n">
        <x:v>0</x:v>
      </x:c>
      <x:c r="N515" s="24" t="n">
        <x:f>F515+G515+K515-L515+M515-H515-J515</x:f>
        <x:v>27.492141722006348</x:v>
      </x:c>
      <x:c r="O515" s="24" t="n">
        <x:f>H515*'封面与口径'!$O$24</x:f>
        <x:v>13.56</x:v>
      </x:c>
      <x:c r="P515" s="19" t="str">
        <x:f>IF(N515&lt;0,"缺货",IF(N515&lt;O515,"预警","正常"))</x:f>
        <x:v>正常</x:v>
      </x:c>
      <x:c r="Q515" s="19" t="str">
        <x:v>瘦肉0713-07</x:v>
      </x:c>
    </x:row>
    <x:row r="516">
      <x:c r="A516" s="19" t="str">
        <x:v>2026-07-07|S07|肥肉片</x:v>
      </x:c>
      <x:c r="B516" s="34" t="n">
        <x:v>46210.5</x:v>
      </x:c>
      <x:c r="C516" s="19" t="str">
        <x:v>S07</x:v>
      </x:c>
      <x:c r="D516" s="19" t="str">
        <x:v>小和山店</x:v>
      </x:c>
      <x:c r="E516" s="19" t="str">
        <x:v>肥肉片</x:v>
      </x:c>
      <x:c r="F516" s="32" t="n">
        <x:v>5.4</x:v>
      </x:c>
      <x:c r="G516" s="32" t="n">
        <x:v>3.424075506335142</x:v>
      </x:c>
      <x:c r="H516" s="24" t="n">
        <x:f>'菜品日销量'!G845*50/1000+'菜品日销量'!G854*50/1000</x:f>
        <x:v>3</x:v>
      </x:c>
      <x:c r="I516" s="36" t="n">
        <x:v>0.029898221611487266</x:v>
      </x:c>
      <x:c r="J516" s="24" t="n">
        <x:f>H516*I516</x:f>
        <x:v>0.0896946648344618</x:v>
      </x:c>
      <x:c r="K516" s="32" t="n">
        <x:v>0</x:v>
      </x:c>
      <x:c r="L516" s="32" t="n">
        <x:v>0</x:v>
      </x:c>
      <x:c r="M516" s="32" t="n">
        <x:v>0</x:v>
      </x:c>
      <x:c r="N516" s="24" t="n">
        <x:f>F516+G516+K516-L516+M516-H516-J516</x:f>
        <x:v>5.73438084150068</x:v>
      </x:c>
      <x:c r="O516" s="24" t="n">
        <x:f>H516*'封面与口径'!$O$24</x:f>
        <x:v>3.5999999999999996</x:v>
      </x:c>
      <x:c r="P516" s="19" t="str">
        <x:f>IF(N516&lt;0,"缺货",IF(N516&lt;O516,"预警","正常"))</x:f>
        <x:v>正常</x:v>
      </x:c>
      <x:c r="Q516" s="19" t="str">
        <x:v>肥肉0707-07</x:v>
      </x:c>
    </x:row>
    <x:row r="517">
      <x:c r="A517" s="19" t="str">
        <x:v>2026-07-08|S07|肥肉片</x:v>
      </x:c>
      <x:c r="B517" s="34" t="n">
        <x:v>46211.5</x:v>
      </x:c>
      <x:c r="C517" s="19" t="str">
        <x:v>S07</x:v>
      </x:c>
      <x:c r="D517" s="19" t="str">
        <x:v>小和山店</x:v>
      </x:c>
      <x:c r="E517" s="19" t="str">
        <x:v>肥肉片</x:v>
      </x:c>
      <x:c r="F517" s="32" t="n">
        <x:v>5.73438084150068</x:v>
      </x:c>
      <x:c r="G517" s="32" t="n">
        <x:v>3.4505511667603983</x:v>
      </x:c>
      <x:c r="H517" s="24" t="n">
        <x:f>'菜品日销量'!G865*50/1000+'菜品日销量'!G874*50/1000</x:f>
        <x:v>2.95</x:v>
      </x:c>
      <x:c r="I517" s="36" t="n">
        <x:v>0.03853246752720617</x:v>
      </x:c>
      <x:c r="J517" s="24" t="n">
        <x:f>H517*I517</x:f>
        <x:v>0.1136707792052582</x:v>
      </x:c>
      <x:c r="K517" s="32" t="n">
        <x:v>0</x:v>
      </x:c>
      <x:c r="L517" s="32" t="n">
        <x:v>0</x:v>
      </x:c>
      <x:c r="M517" s="32" t="n">
        <x:v>0</x:v>
      </x:c>
      <x:c r="N517" s="24" t="n">
        <x:f>F517+G517+K517-L517+M517-H517-J517</x:f>
        <x:v>6.12126122905582</x:v>
      </x:c>
      <x:c r="O517" s="24" t="n">
        <x:f>H517*'封面与口径'!$O$24</x:f>
        <x:v>3.54</x:v>
      </x:c>
      <x:c r="P517" s="19" t="str">
        <x:f>IF(N517&lt;0,"缺货",IF(N517&lt;O517,"预警","正常"))</x:f>
        <x:v>正常</x:v>
      </x:c>
      <x:c r="Q517" s="19" t="str">
        <x:v>肥肉0708-07</x:v>
      </x:c>
    </x:row>
    <x:row r="518">
      <x:c r="A518" s="19" t="str">
        <x:v>2026-07-09|S07|肥肉片</x:v>
      </x:c>
      <x:c r="B518" s="34" t="n">
        <x:v>46212.5</x:v>
      </x:c>
      <x:c r="C518" s="19" t="str">
        <x:v>S07</x:v>
      </x:c>
      <x:c r="D518" s="19" t="str">
        <x:v>小和山店</x:v>
      </x:c>
      <x:c r="E518" s="19" t="str">
        <x:v>肥肉片</x:v>
      </x:c>
      <x:c r="F518" s="32" t="n">
        <x:v>6.12126122905582</x:v>
      </x:c>
      <x:c r="G518" s="32" t="n">
        <x:v>3.4162309728414355</x:v>
      </x:c>
      <x:c r="H518" s="24" t="n">
        <x:f>'菜品日销量'!G885*50/1000+'菜品日销量'!G894*50/1000</x:f>
        <x:v>3</x:v>
      </x:c>
      <x:c r="I518" s="36" t="n">
        <x:v>0.016892926573495597</x:v>
      </x:c>
      <x:c r="J518" s="24" t="n">
        <x:f>H518*I518</x:f>
        <x:v>0.05067877972048679</x:v>
      </x:c>
      <x:c r="K518" s="32" t="n">
        <x:v>0</x:v>
      </x:c>
      <x:c r="L518" s="32" t="n">
        <x:v>0</x:v>
      </x:c>
      <x:c r="M518" s="32" t="n">
        <x:v>0</x:v>
      </x:c>
      <x:c r="N518" s="24" t="n">
        <x:f>F518+G518+K518-L518+M518-H518-J518</x:f>
        <x:v>6.486813422176768</x:v>
      </x:c>
      <x:c r="O518" s="24" t="n">
        <x:f>H518*'封面与口径'!$O$24</x:f>
        <x:v>3.5999999999999996</x:v>
      </x:c>
      <x:c r="P518" s="19" t="str">
        <x:f>IF(N518&lt;0,"缺货",IF(N518&lt;O518,"预警","正常"))</x:f>
        <x:v>正常</x:v>
      </x:c>
      <x:c r="Q518" s="19" t="str">
        <x:v>肥肉0709-07</x:v>
      </x:c>
    </x:row>
    <x:row r="519">
      <x:c r="A519" s="19" t="str">
        <x:v>2026-07-10|S07|肥肉片</x:v>
      </x:c>
      <x:c r="B519" s="34" t="n">
        <x:v>46213.5</x:v>
      </x:c>
      <x:c r="C519" s="19" t="str">
        <x:v>S07</x:v>
      </x:c>
      <x:c r="D519" s="19" t="str">
        <x:v>小和山店</x:v>
      </x:c>
      <x:c r="E519" s="19" t="str">
        <x:v>肥肉片</x:v>
      </x:c>
      <x:c r="F519" s="32" t="n">
        <x:v>6.486813422176768</x:v>
      </x:c>
      <x:c r="G519" s="32" t="n">
        <x:v>3.767941854535123</x:v>
      </x:c>
      <x:c r="H519" s="24" t="n">
        <x:f>'菜品日销量'!G905*50/1000+'菜品日销量'!G914*50/1000</x:f>
        <x:v>3.25</x:v>
      </x:c>
      <x:c r="I519" s="36" t="n">
        <x:v>0.01853487301118087</x:v>
      </x:c>
      <x:c r="J519" s="24" t="n">
        <x:f>H519*I519</x:f>
        <x:v>0.060238337286337824</x:v>
      </x:c>
      <x:c r="K519" s="32" t="n">
        <x:v>0</x:v>
      </x:c>
      <x:c r="L519" s="32" t="n">
        <x:v>0</x:v>
      </x:c>
      <x:c r="M519" s="32" t="n">
        <x:v>0</x:v>
      </x:c>
      <x:c r="N519" s="24" t="n">
        <x:f>F519+G519+K519-L519+M519-H519-J519</x:f>
        <x:v>6.944516939425553</x:v>
      </x:c>
      <x:c r="O519" s="24" t="n">
        <x:f>H519*'封面与口径'!$O$24</x:f>
        <x:v>3.9</x:v>
      </x:c>
      <x:c r="P519" s="19" t="str">
        <x:f>IF(N519&lt;0,"缺货",IF(N519&lt;O519,"预警","正常"))</x:f>
        <x:v>正常</x:v>
      </x:c>
      <x:c r="Q519" s="19" t="str">
        <x:v>肥肉0710-07</x:v>
      </x:c>
    </x:row>
    <x:row r="520">
      <x:c r="A520" s="19" t="str">
        <x:v>2026-07-11|S07|肥肉片</x:v>
      </x:c>
      <x:c r="B520" s="34" t="n">
        <x:v>46214.5</x:v>
      </x:c>
      <x:c r="C520" s="19" t="str">
        <x:v>S07</x:v>
      </x:c>
      <x:c r="D520" s="19" t="str">
        <x:v>小和山店</x:v>
      </x:c>
      <x:c r="E520" s="19" t="str">
        <x:v>肥肉片</x:v>
      </x:c>
      <x:c r="F520" s="32" t="n">
        <x:v>6.944516939425553</x:v>
      </x:c>
      <x:c r="G520" s="32" t="n">
        <x:v>2.683191579864172</x:v>
      </x:c>
      <x:c r="H520" s="24" t="n">
        <x:f>'菜品日销量'!G925*50/1000+'菜品日销量'!G934*50/1000</x:f>
        <x:v>2.3</x:v>
      </x:c>
      <x:c r="I520" s="36" t="n">
        <x:v>0.020365651532859925</x:v>
      </x:c>
      <x:c r="J520" s="24" t="n">
        <x:f>H520*I520</x:f>
        <x:v>0.046840998525577826</x:v>
      </x:c>
      <x:c r="K520" s="32" t="n">
        <x:v>0</x:v>
      </x:c>
      <x:c r="L520" s="32" t="n">
        <x:v>0</x:v>
      </x:c>
      <x:c r="M520" s="32" t="n">
        <x:v>0</x:v>
      </x:c>
      <x:c r="N520" s="24" t="n">
        <x:f>F520+G520+K520-L520+M520-H520-J520</x:f>
        <x:v>7.280867520764146</x:v>
      </x:c>
      <x:c r="O520" s="24" t="n">
        <x:f>H520*'封面与口径'!$O$24</x:f>
        <x:v>2.76</x:v>
      </x:c>
      <x:c r="P520" s="19" t="str">
        <x:f>IF(N520&lt;0,"缺货",IF(N520&lt;O520,"预警","正常"))</x:f>
        <x:v>正常</x:v>
      </x:c>
      <x:c r="Q520" s="19" t="str">
        <x:v>肥肉0711-07</x:v>
      </x:c>
    </x:row>
    <x:row r="521">
      <x:c r="A521" s="19" t="str">
        <x:v>2026-07-12|S07|肥肉片</x:v>
      </x:c>
      <x:c r="B521" s="34" t="n">
        <x:v>46215.5</x:v>
      </x:c>
      <x:c r="C521" s="19" t="str">
        <x:v>S07</x:v>
      </x:c>
      <x:c r="D521" s="19" t="str">
        <x:v>小和山店</x:v>
      </x:c>
      <x:c r="E521" s="19" t="str">
        <x:v>肥肉片</x:v>
      </x:c>
      <x:c r="F521" s="32" t="n">
        <x:v>7.280867520764147</x:v>
      </x:c>
      <x:c r="G521" s="32" t="n">
        <x:v>2.7598768717674256</x:v>
      </x:c>
      <x:c r="H521" s="24" t="n">
        <x:f>'菜品日销量'!G945*50/1000+'菜品日销量'!G954*50/1000</x:f>
        <x:v>2.3</x:v>
      </x:c>
      <x:c r="I521" s="36" t="n">
        <x:v>0.03774053693929234</x:v>
      </x:c>
      <x:c r="J521" s="24" t="n">
        <x:f>H521*I521</x:f>
        <x:v>0.08680323496037239</x:v>
      </x:c>
      <x:c r="K521" s="32" t="n">
        <x:v>0</x:v>
      </x:c>
      <x:c r="L521" s="32" t="n">
        <x:v>0</x:v>
      </x:c>
      <x:c r="M521" s="32" t="n">
        <x:v>0</x:v>
      </x:c>
      <x:c r="N521" s="24" t="n">
        <x:f>F521+G521+K521-L521+M521-H521-J521</x:f>
        <x:v>7.653941157571199</x:v>
      </x:c>
      <x:c r="O521" s="24" t="n">
        <x:f>H521*'封面与口径'!$O$24</x:f>
        <x:v>2.76</x:v>
      </x:c>
      <x:c r="P521" s="19" t="str">
        <x:f>IF(N521&lt;0,"缺货",IF(N521&lt;O521,"预警","正常"))</x:f>
        <x:v>正常</x:v>
      </x:c>
      <x:c r="Q521" s="19" t="str">
        <x:v>肥肉0712-07</x:v>
      </x:c>
    </x:row>
    <x:row r="522">
      <x:c r="A522" s="19" t="str">
        <x:v>2026-07-13|S07|肥肉片</x:v>
      </x:c>
      <x:c r="B522" s="34" t="n">
        <x:v>46216.5</x:v>
      </x:c>
      <x:c r="C522" s="19" t="str">
        <x:v>S07</x:v>
      </x:c>
      <x:c r="D522" s="19" t="str">
        <x:v>小和山店</x:v>
      </x:c>
      <x:c r="E522" s="19" t="str">
        <x:v>肥肉片</x:v>
      </x:c>
      <x:c r="F522" s="32" t="n">
        <x:v>7.6539411575712</x:v>
      </x:c>
      <x:c r="G522" s="32" t="n">
        <x:v>3.744029710091657</x:v>
      </x:c>
      <x:c r="H522" s="24" t="n">
        <x:f>'菜品日销量'!G965*50/1000+'菜品日销量'!G974*50/1000</x:f>
        <x:v>3.1999999999999997</x:v>
      </x:c>
      <x:c r="I522" s="36" t="n">
        <x:v>0.03556109977899145</x:v>
      </x:c>
      <x:c r="J522" s="24" t="n">
        <x:f>H522*I522</x:f>
        <x:v>0.11379551929277264</x:v>
      </x:c>
      <x:c r="K522" s="32" t="n">
        <x:v>0</x:v>
      </x:c>
      <x:c r="L522" s="32" t="n">
        <x:v>0</x:v>
      </x:c>
      <x:c r="M522" s="32" t="n">
        <x:v>0</x:v>
      </x:c>
      <x:c r="N522" s="24" t="n">
        <x:f>F522+G522+K522-L522+M522-H522-J522</x:f>
        <x:v>8.084175348370085</x:v>
      </x:c>
      <x:c r="O522" s="24" t="n">
        <x:f>H522*'封面与口径'!$O$24</x:f>
        <x:v>3.8399999999999994</x:v>
      </x:c>
      <x:c r="P522" s="19" t="str">
        <x:f>IF(N522&lt;0,"缺货",IF(N522&lt;O522,"预警","正常"))</x:f>
        <x:v>正常</x:v>
      </x:c>
      <x:c r="Q522" s="19" t="str">
        <x:v>肥肉0713-07</x:v>
      </x:c>
    </x:row>
    <x:row r="523">
      <x:c r="A523" s="19" t="str">
        <x:v>2026-07-07|S07|牛肉片</x:v>
      </x:c>
      <x:c r="B523" s="34" t="n">
        <x:v>46210.5</x:v>
      </x:c>
      <x:c r="C523" s="19" t="str">
        <x:v>S07</x:v>
      </x:c>
      <x:c r="D523" s="19" t="str">
        <x:v>小和山店</x:v>
      </x:c>
      <x:c r="E523" s="19" t="str">
        <x:v>牛肉片</x:v>
      </x:c>
      <x:c r="F523" s="32" t="n">
        <x:v>14.4</x:v>
      </x:c>
      <x:c r="G523" s="32" t="n">
        <x:v>8.897840958744716</x:v>
      </x:c>
      <x:c r="H523" s="24" t="n">
        <x:f>'菜品日销量'!G846*250/1000</x:f>
        <x:v>8</x:v>
      </x:c>
      <x:c r="I523" s="36" t="n">
        <x:v>0.032985876310380614</x:v>
      </x:c>
      <x:c r="J523" s="24" t="n">
        <x:f>H523*I523</x:f>
        <x:v>0.2638870104830449</x:v>
      </x:c>
      <x:c r="K523" s="32" t="n">
        <x:v>0</x:v>
      </x:c>
      <x:c r="L523" s="32" t="n">
        <x:v>0</x:v>
      </x:c>
      <x:c r="M523" s="32" t="n">
        <x:v>0</x:v>
      </x:c>
      <x:c r="N523" s="24" t="n">
        <x:f>F523+G523+K523-L523+M523-H523-J523</x:f>
        <x:v>15.03395394826167</x:v>
      </x:c>
      <x:c r="O523" s="24" t="n">
        <x:f>H523*'封面与口径'!$O$24</x:f>
        <x:v>9.6</x:v>
      </x:c>
      <x:c r="P523" s="19" t="str">
        <x:f>IF(N523&lt;0,"缺货",IF(N523&lt;O523,"预警","正常"))</x:f>
        <x:v>正常</x:v>
      </x:c>
      <x:c r="Q523" s="19" t="str">
        <x:v>牛肉0707-07</x:v>
      </x:c>
    </x:row>
    <x:row r="524">
      <x:c r="A524" s="19" t="str">
        <x:v>2026-07-08|S07|牛肉片</x:v>
      </x:c>
      <x:c r="B524" s="34" t="n">
        <x:v>46211.5</x:v>
      </x:c>
      <x:c r="C524" s="19" t="str">
        <x:v>S07</x:v>
      </x:c>
      <x:c r="D524" s="19" t="str">
        <x:v>小和山店</x:v>
      </x:c>
      <x:c r="E524" s="19" t="str">
        <x:v>牛肉片</x:v>
      </x:c>
      <x:c r="F524" s="32" t="n">
        <x:v>15.03395394826167</x:v>
      </x:c>
      <x:c r="G524" s="32" t="n">
        <x:v>9.290799748066533</x:v>
      </x:c>
      <x:c r="H524" s="24" t="n">
        <x:f>'菜品日销量'!G866*250/1000</x:f>
        <x:v>7.75</x:v>
      </x:c>
      <x:c r="I524" s="36" t="n">
        <x:v>0.029032912455506835</x:v>
      </x:c>
      <x:c r="J524" s="24" t="n">
        <x:f>H524*I524</x:f>
        <x:v>0.22500507153017796</x:v>
      </x:c>
      <x:c r="K524" s="32" t="n">
        <x:v>0</x:v>
      </x:c>
      <x:c r="L524" s="32" t="n">
        <x:v>0</x:v>
      </x:c>
      <x:c r="M524" s="32" t="n">
        <x:v>0</x:v>
      </x:c>
      <x:c r="N524" s="24" t="n">
        <x:f>F524+G524+K524-L524+M524-H524-J524</x:f>
        <x:v>16.349748624798025</x:v>
      </x:c>
      <x:c r="O524" s="24" t="n">
        <x:f>H524*'封面与口径'!$O$24</x:f>
        <x:v>9.299999999999999</x:v>
      </x:c>
      <x:c r="P524" s="19" t="str">
        <x:f>IF(N524&lt;0,"缺货",IF(N524&lt;O524,"预警","正常"))</x:f>
        <x:v>正常</x:v>
      </x:c>
      <x:c r="Q524" s="19" t="str">
        <x:v>牛肉0708-07</x:v>
      </x:c>
    </x:row>
    <x:row r="525">
      <x:c r="A525" s="19" t="str">
        <x:v>2026-07-09|S07|牛肉片</x:v>
      </x:c>
      <x:c r="B525" s="34" t="n">
        <x:v>46212.5</x:v>
      </x:c>
      <x:c r="C525" s="19" t="str">
        <x:v>S07</x:v>
      </x:c>
      <x:c r="D525" s="19" t="str">
        <x:v>小和山店</x:v>
      </x:c>
      <x:c r="E525" s="19" t="str">
        <x:v>牛肉片</x:v>
      </x:c>
      <x:c r="F525" s="32" t="n">
        <x:v>16.349748624798025</x:v>
      </x:c>
      <x:c r="G525" s="32" t="n">
        <x:v>7.72344101265153</x:v>
      </x:c>
      <x:c r="H525" s="24" t="n">
        <x:f>'菜品日销量'!G886*250/1000</x:f>
        <x:v>7</x:v>
      </x:c>
      <x:c r="I525" s="36" t="n">
        <x:v>0.030246683403441377</x:v>
      </x:c>
      <x:c r="J525" s="24" t="n">
        <x:f>H525*I525</x:f>
        <x:v>0.21172678382408963</x:v>
      </x:c>
      <x:c r="K525" s="32" t="n">
        <x:v>0</x:v>
      </x:c>
      <x:c r="L525" s="32" t="n">
        <x:v>0</x:v>
      </x:c>
      <x:c r="M525" s="32" t="n">
        <x:v>0</x:v>
      </x:c>
      <x:c r="N525" s="24" t="n">
        <x:f>F525+G525+K525-L525+M525-H525-J525</x:f>
        <x:v>16.861462853625465</x:v>
      </x:c>
      <x:c r="O525" s="24" t="n">
        <x:f>H525*'封面与口径'!$O$24</x:f>
        <x:v>8.4</x:v>
      </x:c>
      <x:c r="P525" s="19" t="str">
        <x:f>IF(N525&lt;0,"缺货",IF(N525&lt;O525,"预警","正常"))</x:f>
        <x:v>正常</x:v>
      </x:c>
      <x:c r="Q525" s="19" t="str">
        <x:v>牛肉0709-07</x:v>
      </x:c>
    </x:row>
    <x:row r="526">
      <x:c r="A526" s="19" t="str">
        <x:v>2026-07-10|S07|牛肉片</x:v>
      </x:c>
      <x:c r="B526" s="34" t="n">
        <x:v>46213.5</x:v>
      </x:c>
      <x:c r="C526" s="19" t="str">
        <x:v>S07</x:v>
      </x:c>
      <x:c r="D526" s="19" t="str">
        <x:v>小和山店</x:v>
      </x:c>
      <x:c r="E526" s="19" t="str">
        <x:v>牛肉片</x:v>
      </x:c>
      <x:c r="F526" s="32" t="n">
        <x:v>16.861462853625465</x:v>
      </x:c>
      <x:c r="G526" s="32" t="n">
        <x:v>9.337721608294576</x:v>
      </x:c>
      <x:c r="H526" s="24" t="n">
        <x:f>'菜品日销量'!G906*250/1000</x:f>
        <x:v>8</x:v>
      </x:c>
      <x:c r="I526" s="36" t="n">
        <x:v>0.0370672036397893</x:v>
      </x:c>
      <x:c r="J526" s="24" t="n">
        <x:f>H526*I526</x:f>
        <x:v>0.2965376291183144</x:v>
      </x:c>
      <x:c r="K526" s="32" t="n">
        <x:v>0</x:v>
      </x:c>
      <x:c r="L526" s="32" t="n">
        <x:v>0</x:v>
      </x:c>
      <x:c r="M526" s="32" t="n">
        <x:v>0</x:v>
      </x:c>
      <x:c r="N526" s="24" t="n">
        <x:f>F526+G526+K526-L526+M526-H526-J526</x:f>
        <x:v>17.902646832801725</x:v>
      </x:c>
      <x:c r="O526" s="24" t="n">
        <x:f>H526*'封面与口径'!$O$24</x:f>
        <x:v>9.6</x:v>
      </x:c>
      <x:c r="P526" s="19" t="str">
        <x:f>IF(N526&lt;0,"缺货",IF(N526&lt;O526,"预警","正常"))</x:f>
        <x:v>正常</x:v>
      </x:c>
      <x:c r="Q526" s="19" t="str">
        <x:v>牛肉0710-07</x:v>
      </x:c>
    </x:row>
    <x:row r="527">
      <x:c r="A527" s="19" t="str">
        <x:v>2026-07-11|S07|牛肉片</x:v>
      </x:c>
      <x:c r="B527" s="34" t="n">
        <x:v>46214.5</x:v>
      </x:c>
      <x:c r="C527" s="19" t="str">
        <x:v>S07</x:v>
      </x:c>
      <x:c r="D527" s="19" t="str">
        <x:v>小和山店</x:v>
      </x:c>
      <x:c r="E527" s="19" t="str">
        <x:v>牛肉片</x:v>
      </x:c>
      <x:c r="F527" s="32" t="n">
        <x:v>17.90264683280173</x:v>
      </x:c>
      <x:c r="G527" s="32" t="n">
        <x:v>6.826973661507241</x:v>
      </x:c>
      <x:c r="H527" s="24" t="n">
        <x:f>'菜品日销量'!G926*250/1000</x:f>
        <x:v>6.25</x:v>
      </x:c>
      <x:c r="I527" s="36" t="n">
        <x:v>0.03591843723806516</x:v>
      </x:c>
      <x:c r="J527" s="24" t="n">
        <x:f>H527*I527</x:f>
        <x:v>0.22449023273790727</x:v>
      </x:c>
      <x:c r="K527" s="32" t="n">
        <x:v>0</x:v>
      </x:c>
      <x:c r="L527" s="32" t="n">
        <x:v>0</x:v>
      </x:c>
      <x:c r="M527" s="32" t="n">
        <x:v>0</x:v>
      </x:c>
      <x:c r="N527" s="24" t="n">
        <x:f>F527+G527+K527-L527+M527-H527-J527</x:f>
        <x:v>18.25513026157106</x:v>
      </x:c>
      <x:c r="O527" s="24" t="n">
        <x:f>H527*'封面与口径'!$O$24</x:f>
        <x:v>7.5</x:v>
      </x:c>
      <x:c r="P527" s="19" t="str">
        <x:f>IF(N527&lt;0,"缺货",IF(N527&lt;O527,"预警","正常"))</x:f>
        <x:v>正常</x:v>
      </x:c>
      <x:c r="Q527" s="19" t="str">
        <x:v>牛肉0711-07</x:v>
      </x:c>
    </x:row>
    <x:row r="528">
      <x:c r="A528" s="19" t="str">
        <x:v>2026-07-12|S07|牛肉片</x:v>
      </x:c>
      <x:c r="B528" s="34" t="n">
        <x:v>46215.5</x:v>
      </x:c>
      <x:c r="C528" s="19" t="str">
        <x:v>S07</x:v>
      </x:c>
      <x:c r="D528" s="19" t="str">
        <x:v>小和山店</x:v>
      </x:c>
      <x:c r="E528" s="19" t="str">
        <x:v>牛肉片</x:v>
      </x:c>
      <x:c r="F528" s="32" t="n">
        <x:v>18.25513026157106</x:v>
      </x:c>
      <x:c r="G528" s="32" t="n">
        <x:v>7.208452547075798</x:v>
      </x:c>
      <x:c r="H528" s="24" t="n">
        <x:f>'菜品日销量'!G946*250/1000</x:f>
        <x:v>6.25</x:v>
      </x:c>
      <x:c r="I528" s="36" t="n">
        <x:v>0.02112823373664362</x:v>
      </x:c>
      <x:c r="J528" s="24" t="n">
        <x:f>H528*I528</x:f>
        <x:v>0.13205146085402264</x:v>
      </x:c>
      <x:c r="K528" s="32" t="n">
        <x:v>0</x:v>
      </x:c>
      <x:c r="L528" s="32" t="n">
        <x:v>0</x:v>
      </x:c>
      <x:c r="M528" s="32" t="n">
        <x:v>0</x:v>
      </x:c>
      <x:c r="N528" s="24" t="n">
        <x:f>F528+G528+K528-L528+M528-H528-J528</x:f>
        <x:v>19.081531347792836</x:v>
      </x:c>
      <x:c r="O528" s="24" t="n">
        <x:f>H528*'封面与口径'!$O$24</x:f>
        <x:v>7.5</x:v>
      </x:c>
      <x:c r="P528" s="19" t="str">
        <x:f>IF(N528&lt;0,"缺货",IF(N528&lt;O528,"预警","正常"))</x:f>
        <x:v>正常</x:v>
      </x:c>
      <x:c r="Q528" s="19" t="str">
        <x:v>牛肉0712-07</x:v>
      </x:c>
    </x:row>
    <x:row r="529">
      <x:c r="A529" s="19" t="str">
        <x:v>2026-07-13|S07|牛肉片</x:v>
      </x:c>
      <x:c r="B529" s="34" t="n">
        <x:v>46216.5</x:v>
      </x:c>
      <x:c r="C529" s="19" t="str">
        <x:v>S07</x:v>
      </x:c>
      <x:c r="D529" s="19" t="str">
        <x:v>小和山店</x:v>
      </x:c>
      <x:c r="E529" s="19" t="str">
        <x:v>牛肉片</x:v>
      </x:c>
      <x:c r="F529" s="32" t="n">
        <x:v>19.081531347792836</x:v>
      </x:c>
      <x:c r="G529" s="32" t="n">
        <x:v>10.179683907548823</x:v>
      </x:c>
      <x:c r="H529" s="24" t="n">
        <x:f>'菜品日销量'!G966*250/1000</x:f>
        <x:v>8.5</x:v>
      </x:c>
      <x:c r="I529" s="36" t="n">
        <x:v>0.017922674210956942</x:v>
      </x:c>
      <x:c r="J529" s="24" t="n">
        <x:f>H529*I529</x:f>
        <x:v>0.152342730793134</x:v>
      </x:c>
      <x:c r="K529" s="32" t="n">
        <x:v>0</x:v>
      </x:c>
      <x:c r="L529" s="32" t="n">
        <x:v>0</x:v>
      </x:c>
      <x:c r="M529" s="32" t="n">
        <x:v>0</x:v>
      </x:c>
      <x:c r="N529" s="24" t="n">
        <x:f>F529+G529+K529-L529+M529-H529-J529</x:f>
        <x:v>20.608872524548527</x:v>
      </x:c>
      <x:c r="O529" s="24" t="n">
        <x:f>H529*'封面与口径'!$O$24</x:f>
        <x:v>10.2</x:v>
      </x:c>
      <x:c r="P529" s="19" t="str">
        <x:f>IF(N529&lt;0,"缺货",IF(N529&lt;O529,"预警","正常"))</x:f>
        <x:v>正常</x:v>
      </x:c>
      <x:c r="Q529" s="19" t="str">
        <x:v>牛肉0713-07</x:v>
      </x:c>
    </x:row>
    <x:row r="530">
      <x:c r="A530" s="19" t="str">
        <x:v>2026-07-07|S07|螺丝椒</x:v>
      </x:c>
      <x:c r="B530" s="34" t="n">
        <x:v>46210.5</x:v>
      </x:c>
      <x:c r="C530" s="19" t="str">
        <x:v>S07</x:v>
      </x:c>
      <x:c r="D530" s="19" t="str">
        <x:v>小和山店</x:v>
      </x:c>
      <x:c r="E530" s="19" t="str">
        <x:v>螺丝椒</x:v>
      </x:c>
      <x:c r="F530" s="32" t="n">
        <x:v>19.35</x:v>
      </x:c>
      <x:c r="G530" s="32" t="n">
        <x:v>11.901741001650633</x:v>
      </x:c>
      <x:c r="H530" s="24" t="n">
        <x:f>'菜品日销量'!G845*250/1000</x:f>
        <x:v>10.75</x:v>
      </x:c>
      <x:c r="I530" s="36" t="n">
        <x:v>0.02092066879172825</x:v>
      </x:c>
      <x:c r="J530" s="24" t="n">
        <x:f>H530*I530</x:f>
        <x:v>0.22489718951107868</x:v>
      </x:c>
      <x:c r="K530" s="32" t="n">
        <x:v>0</x:v>
      </x:c>
      <x:c r="L530" s="32" t="n">
        <x:v>0</x:v>
      </x:c>
      <x:c r="M530" s="32" t="n">
        <x:v>0</x:v>
      </x:c>
      <x:c r="N530" s="24" t="n">
        <x:f>F530+G530+K530-L530+M530-H530-J530</x:f>
        <x:v>20.276843812139557</x:v>
      </x:c>
      <x:c r="O530" s="24" t="n">
        <x:f>H530*'封面与口径'!$O$24</x:f>
        <x:v>12.9</x:v>
      </x:c>
      <x:c r="P530" s="19" t="str">
        <x:f>IF(N530&lt;0,"缺货",IF(N530&lt;O530,"预警","正常"))</x:f>
        <x:v>正常</x:v>
      </x:c>
      <x:c r="Q530" s="19" t="str">
        <x:v>螺丝0707-07</x:v>
      </x:c>
    </x:row>
    <x:row r="531">
      <x:c r="A531" s="19" t="str">
        <x:v>2026-07-08|S07|螺丝椒</x:v>
      </x:c>
      <x:c r="B531" s="34" t="n">
        <x:v>46211.5</x:v>
      </x:c>
      <x:c r="C531" s="19" t="str">
        <x:v>S07</x:v>
      </x:c>
      <x:c r="D531" s="19" t="str">
        <x:v>小和山店</x:v>
      </x:c>
      <x:c r="E531" s="19" t="str">
        <x:v>螺丝椒</x:v>
      </x:c>
      <x:c r="F531" s="32" t="n">
        <x:v>20.276843812139557</x:v>
      </x:c>
      <x:c r="G531" s="32" t="n">
        <x:v>12.141172118494561</x:v>
      </x:c>
      <x:c r="H531" s="24" t="n">
        <x:f>'菜品日销量'!G865*250/1000</x:f>
        <x:v>10.75</x:v>
      </x:c>
      <x:c r="I531" s="36" t="n">
        <x:v>0.016768893690725997</x:v>
      </x:c>
      <x:c r="J531" s="24" t="n">
        <x:f>H531*I531</x:f>
        <x:v>0.18026560717530446</x:v>
      </x:c>
      <x:c r="K531" s="32" t="n">
        <x:v>0</x:v>
      </x:c>
      <x:c r="L531" s="32" t="n">
        <x:v>0</x:v>
      </x:c>
      <x:c r="M531" s="32" t="n">
        <x:v>0</x:v>
      </x:c>
      <x:c r="N531" s="24" t="n">
        <x:f>F531+G531+K531-L531+M531-H531-J531</x:f>
        <x:v>21.487750323458815</x:v>
      </x:c>
      <x:c r="O531" s="24" t="n">
        <x:f>H531*'封面与口径'!$O$24</x:f>
        <x:v>12.9</x:v>
      </x:c>
      <x:c r="P531" s="19" t="str">
        <x:f>IF(N531&lt;0,"缺货",IF(N531&lt;O531,"预警","正常"))</x:f>
        <x:v>正常</x:v>
      </x:c>
      <x:c r="Q531" s="19" t="str">
        <x:v>螺丝0708-07</x:v>
      </x:c>
    </x:row>
    <x:row r="532">
      <x:c r="A532" s="19" t="str">
        <x:v>2026-07-09|S07|螺丝椒</x:v>
      </x:c>
      <x:c r="B532" s="34" t="n">
        <x:v>46212.5</x:v>
      </x:c>
      <x:c r="C532" s="19" t="str">
        <x:v>S07</x:v>
      </x:c>
      <x:c r="D532" s="19" t="str">
        <x:v>小和山店</x:v>
      </x:c>
      <x:c r="E532" s="19" t="str">
        <x:v>螺丝椒</x:v>
      </x:c>
      <x:c r="F532" s="32" t="n">
        <x:v>21.487750323458815</x:v>
      </x:c>
      <x:c r="G532" s="32" t="n">
        <x:v>11.951668775943496</x:v>
      </x:c>
      <x:c r="H532" s="24" t="n">
        <x:f>'菜品日销量'!G885*250/1000</x:f>
        <x:v>10.75</x:v>
      </x:c>
      <x:c r="I532" s="36" t="n">
        <x:v>0.015962880969970224</x:v>
      </x:c>
      <x:c r="J532" s="24" t="n">
        <x:f>H532*I532</x:f>
        <x:v>0.17160097042717992</x:v>
      </x:c>
      <x:c r="K532" s="32" t="n">
        <x:v>0</x:v>
      </x:c>
      <x:c r="L532" s="32" t="n">
        <x:v>0</x:v>
      </x:c>
      <x:c r="M532" s="32" t="n">
        <x:v>0</x:v>
      </x:c>
      <x:c r="N532" s="24" t="n">
        <x:f>F532+G532+K532-L532+M532-H532-J532</x:f>
        <x:v>22.517818128975136</x:v>
      </x:c>
      <x:c r="O532" s="24" t="n">
        <x:f>H532*'封面与口径'!$O$24</x:f>
        <x:v>12.9</x:v>
      </x:c>
      <x:c r="P532" s="19" t="str">
        <x:f>IF(N532&lt;0,"缺货",IF(N532&lt;O532,"预警","正常"))</x:f>
        <x:v>正常</x:v>
      </x:c>
      <x:c r="Q532" s="19" t="str">
        <x:v>螺丝0709-07</x:v>
      </x:c>
    </x:row>
    <x:row r="533">
      <x:c r="A533" s="19" t="str">
        <x:v>2026-07-10|S07|螺丝椒</x:v>
      </x:c>
      <x:c r="B533" s="34" t="n">
        <x:v>46213.5</x:v>
      </x:c>
      <x:c r="C533" s="19" t="str">
        <x:v>S07</x:v>
      </x:c>
      <x:c r="D533" s="19" t="str">
        <x:v>小和山店</x:v>
      </x:c>
      <x:c r="E533" s="19" t="str">
        <x:v>螺丝椒</x:v>
      </x:c>
      <x:c r="F533" s="32" t="n">
        <x:v>22.517818128975136</x:v>
      </x:c>
      <x:c r="G533" s="32" t="n">
        <x:v>13.405750704436972</x:v>
      </x:c>
      <x:c r="H533" s="24" t="n">
        <x:f>'菜品日销量'!G905*250/1000</x:f>
        <x:v>12</x:v>
      </x:c>
      <x:c r="I533" s="36" t="n">
        <x:v>0.02650488886900826</x:v>
      </x:c>
      <x:c r="J533" s="24" t="n">
        <x:f>H533*I533</x:f>
        <x:v>0.3180586664280991</x:v>
      </x:c>
      <x:c r="K533" s="32" t="n">
        <x:v>0</x:v>
      </x:c>
      <x:c r="L533" s="32" t="n">
        <x:v>0</x:v>
      </x:c>
      <x:c r="M533" s="32" t="n">
        <x:v>0</x:v>
      </x:c>
      <x:c r="N533" s="24" t="n">
        <x:f>F533+G533+K533-L533+M533-H533-J533</x:f>
        <x:v>23.605510166984004</x:v>
      </x:c>
      <x:c r="O533" s="24" t="n">
        <x:f>H533*'封面与口径'!$O$24</x:f>
        <x:v>14.399999999999999</x:v>
      </x:c>
      <x:c r="P533" s="19" t="str">
        <x:f>IF(N533&lt;0,"缺货",IF(N533&lt;O533,"预警","正常"))</x:f>
        <x:v>正常</x:v>
      </x:c>
      <x:c r="Q533" s="19" t="str">
        <x:v>螺丝0710-07</x:v>
      </x:c>
    </x:row>
    <x:row r="534">
      <x:c r="A534" s="19" t="str">
        <x:v>2026-07-11|S07|螺丝椒</x:v>
      </x:c>
      <x:c r="B534" s="34" t="n">
        <x:v>46214.5</x:v>
      </x:c>
      <x:c r="C534" s="19" t="str">
        <x:v>S07</x:v>
      </x:c>
      <x:c r="D534" s="19" t="str">
        <x:v>小和山店</x:v>
      </x:c>
      <x:c r="E534" s="19" t="str">
        <x:v>螺丝椒</x:v>
      </x:c>
      <x:c r="F534" s="32" t="n">
        <x:v>23.605510166984004</x:v>
      </x:c>
      <x:c r="G534" s="32" t="n">
        <x:v>9.865246003015258</x:v>
      </x:c>
      <x:c r="H534" s="24" t="n">
        <x:f>'菜品日销量'!G925*250/1000</x:f>
        <x:v>8.5</x:v>
      </x:c>
      <x:c r="I534" s="36" t="n">
        <x:v>0.030756522378827568</x:v>
      </x:c>
      <x:c r="J534" s="24" t="n">
        <x:f>H534*I534</x:f>
        <x:v>0.2614304402200343</x:v>
      </x:c>
      <x:c r="K534" s="32" t="n">
        <x:v>0</x:v>
      </x:c>
      <x:c r="L534" s="32" t="n">
        <x:v>0</x:v>
      </x:c>
      <x:c r="M534" s="32" t="n">
        <x:v>0</x:v>
      </x:c>
      <x:c r="N534" s="24" t="n">
        <x:f>F534+G534+K534-L534+M534-H534-J534</x:f>
        <x:v>24.709325729779227</x:v>
      </x:c>
      <x:c r="O534" s="24" t="n">
        <x:f>H534*'封面与口径'!$O$24</x:f>
        <x:v>10.2</x:v>
      </x:c>
      <x:c r="P534" s="19" t="str">
        <x:f>IF(N534&lt;0,"缺货",IF(N534&lt;O534,"预警","正常"))</x:f>
        <x:v>正常</x:v>
      </x:c>
      <x:c r="Q534" s="19" t="str">
        <x:v>螺丝0711-07</x:v>
      </x:c>
    </x:row>
    <x:row r="535">
      <x:c r="A535" s="19" t="str">
        <x:v>2026-07-12|S07|螺丝椒</x:v>
      </x:c>
      <x:c r="B535" s="34" t="n">
        <x:v>46215.5</x:v>
      </x:c>
      <x:c r="C535" s="19" t="str">
        <x:v>S07</x:v>
      </x:c>
      <x:c r="D535" s="19" t="str">
        <x:v>小和山店</x:v>
      </x:c>
      <x:c r="E535" s="19" t="str">
        <x:v>螺丝椒</x:v>
      </x:c>
      <x:c r="F535" s="32" t="n">
        <x:v>24.70932572977923</x:v>
      </x:c>
      <x:c r="G535" s="32" t="n">
        <x:v>10.045678847282119</x:v>
      </x:c>
      <x:c r="H535" s="24" t="n">
        <x:f>'菜品日销量'!G945*250/1000</x:f>
        <x:v>8.75</x:v>
      </x:c>
      <x:c r="I535" s="36" t="n">
        <x:v>0.02695763824203928</x:v>
      </x:c>
      <x:c r="J535" s="24" t="n">
        <x:f>H535*I535</x:f>
        <x:v>0.2358793346178437</x:v>
      </x:c>
      <x:c r="K535" s="32" t="n">
        <x:v>0</x:v>
      </x:c>
      <x:c r="L535" s="32" t="n">
        <x:v>0</x:v>
      </x:c>
      <x:c r="M535" s="32" t="n">
        <x:v>0</x:v>
      </x:c>
      <x:c r="N535" s="24" t="n">
        <x:f>F535+G535+K535-L535+M535-H535-J535</x:f>
        <x:v>25.769125242443504</x:v>
      </x:c>
      <x:c r="O535" s="24" t="n">
        <x:f>H535*'封面与口径'!$O$24</x:f>
        <x:v>10.5</x:v>
      </x:c>
      <x:c r="P535" s="19" t="str">
        <x:f>IF(N535&lt;0,"缺货",IF(N535&lt;O535,"预警","正常"))</x:f>
        <x:v>正常</x:v>
      </x:c>
      <x:c r="Q535" s="19" t="str">
        <x:v>螺丝0712-07</x:v>
      </x:c>
    </x:row>
    <x:row r="536">
      <x:c r="A536" s="19" t="str">
        <x:v>2026-07-13|S07|螺丝椒</x:v>
      </x:c>
      <x:c r="B536" s="34" t="n">
        <x:v>46216.5</x:v>
      </x:c>
      <x:c r="C536" s="19" t="str">
        <x:v>S07</x:v>
      </x:c>
      <x:c r="D536" s="19" t="str">
        <x:v>小和山店</x:v>
      </x:c>
      <x:c r="E536" s="19" t="str">
        <x:v>螺丝椒</x:v>
      </x:c>
      <x:c r="F536" s="32" t="n">
        <x:v>25.769125242443508</x:v>
      </x:c>
      <x:c r="G536" s="32" t="n">
        <x:v>12.767778282539869</x:v>
      </x:c>
      <x:c r="H536" s="24" t="n">
        <x:f>'菜品日销量'!G965*250/1000</x:f>
        <x:v>11.5</x:v>
      </x:c>
      <x:c r="I536" s="36" t="n">
        <x:v>0.037185996238185554</x:v>
      </x:c>
      <x:c r="J536" s="24" t="n">
        <x:f>H536*I536</x:f>
        <x:v>0.4276389567391339</x:v>
      </x:c>
      <x:c r="K536" s="32" t="n">
        <x:v>0</x:v>
      </x:c>
      <x:c r="L536" s="32" t="n">
        <x:v>0</x:v>
      </x:c>
      <x:c r="M536" s="32" t="n">
        <x:v>0</x:v>
      </x:c>
      <x:c r="N536" s="24" t="n">
        <x:f>F536+G536+K536-L536+M536-H536-J536</x:f>
        <x:v>26.60926456824424</x:v>
      </x:c>
      <x:c r="O536" s="24" t="n">
        <x:f>H536*'封面与口径'!$O$24</x:f>
        <x:v>13.799999999999999</x:v>
      </x:c>
      <x:c r="P536" s="19" t="str">
        <x:f>IF(N536&lt;0,"缺货",IF(N536&lt;O536,"预警","正常"))</x:f>
        <x:v>正常</x:v>
      </x:c>
      <x:c r="Q536" s="19" t="str">
        <x:v>螺丝0713-07</x:v>
      </x:c>
    </x:row>
    <x:row r="537">
      <x:c r="A537" s="19" t="str">
        <x:v>2026-07-07|S07|青湖南椒圈</x:v>
      </x:c>
      <x:c r="B537" s="34" t="n">
        <x:v>46210.5</x:v>
      </x:c>
      <x:c r="C537" s="19" t="str">
        <x:v>S07</x:v>
      </x:c>
      <x:c r="D537" s="19" t="str">
        <x:v>小和山店</x:v>
      </x:c>
      <x:c r="E537" s="19" t="str">
        <x:v>青湖南椒圈</x:v>
      </x:c>
      <x:c r="F537" s="32" t="n">
        <x:v>3.06</x:v>
      </x:c>
      <x:c r="G537" s="32" t="n">
        <x:v>1.8465732431063833</x:v>
      </x:c>
      <x:c r="H537" s="24" t="n">
        <x:f>'菜品日销量'!G854*100/1000</x:f>
        <x:v>1.7</x:v>
      </x:c>
      <x:c r="I537" s="36" t="n">
        <x:v>0.037101849805820236</x:v>
      </x:c>
      <x:c r="J537" s="24" t="n">
        <x:f>H537*I537</x:f>
        <x:v>0.0630731446698944</x:v>
      </x:c>
      <x:c r="K537" s="32" t="n">
        <x:v>0</x:v>
      </x:c>
      <x:c r="L537" s="32" t="n">
        <x:v>0</x:v>
      </x:c>
      <x:c r="M537" s="32" t="n">
        <x:v>0</x:v>
      </x:c>
      <x:c r="N537" s="24" t="n">
        <x:f>F537+G537+K537-L537+M537-H537-J537</x:f>
        <x:v>3.1435000984364883</x:v>
      </x:c>
      <x:c r="O537" s="24" t="n">
        <x:f>H537*'封面与口径'!$O$24</x:f>
        <x:v>2.04</x:v>
      </x:c>
      <x:c r="P537" s="19" t="str">
        <x:f>IF(N537&lt;0,"缺货",IF(N537&lt;O537,"预警","正常"))</x:f>
        <x:v>正常</x:v>
      </x:c>
      <x:c r="Q537" s="19" t="str">
        <x:v>青湖0707-07</x:v>
      </x:c>
    </x:row>
    <x:row r="538">
      <x:c r="A538" s="19" t="str">
        <x:v>2026-07-08|S07|青湖南椒圈</x:v>
      </x:c>
      <x:c r="B538" s="34" t="n">
        <x:v>46211.5</x:v>
      </x:c>
      <x:c r="C538" s="19" t="str">
        <x:v>S07</x:v>
      </x:c>
      <x:c r="D538" s="19" t="str">
        <x:v>小和山店</x:v>
      </x:c>
      <x:c r="E538" s="19" t="str">
        <x:v>青湖南椒圈</x:v>
      </x:c>
      <x:c r="F538" s="32" t="n">
        <x:v>3.1435000984364887</x:v>
      </x:c>
      <x:c r="G538" s="32" t="n">
        <x:v>1.7924309115410857</x:v>
      </x:c>
      <x:c r="H538" s="24" t="n">
        <x:f>'菜品日销量'!G874*100/1000</x:f>
        <x:v>1.6</x:v>
      </x:c>
      <x:c r="I538" s="36" t="n">
        <x:v>0.02417973111131688</x:v>
      </x:c>
      <x:c r="J538" s="24" t="n">
        <x:f>H538*I538</x:f>
        <x:v>0.03868756977810701</x:v>
      </x:c>
      <x:c r="K538" s="32" t="n">
        <x:v>0</x:v>
      </x:c>
      <x:c r="L538" s="32" t="n">
        <x:v>0</x:v>
      </x:c>
      <x:c r="M538" s="32" t="n">
        <x:v>0</x:v>
      </x:c>
      <x:c r="N538" s="24" t="n">
        <x:f>F538+G538+K538-L538+M538-H538-J538</x:f>
        <x:v>3.2972434401994675</x:v>
      </x:c>
      <x:c r="O538" s="24" t="n">
        <x:f>H538*'封面与口径'!$O$24</x:f>
        <x:v>1.92</x:v>
      </x:c>
      <x:c r="P538" s="19" t="str">
        <x:f>IF(N538&lt;0,"缺货",IF(N538&lt;O538,"预警","正常"))</x:f>
        <x:v>正常</x:v>
      </x:c>
      <x:c r="Q538" s="19" t="str">
        <x:v>青湖0708-07</x:v>
      </x:c>
    </x:row>
    <x:row r="539">
      <x:c r="A539" s="19" t="str">
        <x:v>2026-07-09|S07|青湖南椒圈</x:v>
      </x:c>
      <x:c r="B539" s="34" t="n">
        <x:v>46212.5</x:v>
      </x:c>
      <x:c r="C539" s="19" t="str">
        <x:v>S07</x:v>
      </x:c>
      <x:c r="D539" s="19" t="str">
        <x:v>小和山店</x:v>
      </x:c>
      <x:c r="E539" s="19" t="str">
        <x:v>青湖南椒圈</x:v>
      </x:c>
      <x:c r="F539" s="32" t="n">
        <x:v>3.2972434401994675</x:v>
      </x:c>
      <x:c r="G539" s="32" t="n">
        <x:v>1.9011446525736582</x:v>
      </x:c>
      <x:c r="H539" s="24" t="n">
        <x:f>'菜品日销量'!G894*100/1000</x:f>
        <x:v>1.7</x:v>
      </x:c>
      <x:c r="I539" s="36" t="n">
        <x:v>0.03804858028610437</x:v>
      </x:c>
      <x:c r="J539" s="24" t="n">
        <x:f>H539*I539</x:f>
        <x:v>0.06468258648637742</x:v>
      </x:c>
      <x:c r="K539" s="32" t="n">
        <x:v>0</x:v>
      </x:c>
      <x:c r="L539" s="32" t="n">
        <x:v>0</x:v>
      </x:c>
      <x:c r="M539" s="32" t="n">
        <x:v>0</x:v>
      </x:c>
      <x:c r="N539" s="24" t="n">
        <x:f>F539+G539+K539-L539+M539-H539-J539</x:f>
        <x:v>3.433705506286748</x:v>
      </x:c>
      <x:c r="O539" s="24" t="n">
        <x:f>H539*'封面与口径'!$O$24</x:f>
        <x:v>2.04</x:v>
      </x:c>
      <x:c r="P539" s="19" t="str">
        <x:f>IF(N539&lt;0,"缺货",IF(N539&lt;O539,"预警","正常"))</x:f>
        <x:v>正常</x:v>
      </x:c>
      <x:c r="Q539" s="19" t="str">
        <x:v>青湖0709-07</x:v>
      </x:c>
    </x:row>
    <x:row r="540">
      <x:c r="A540" s="19" t="str">
        <x:v>2026-07-10|S07|青湖南椒圈</x:v>
      </x:c>
      <x:c r="B540" s="34" t="n">
        <x:v>46213.5</x:v>
      </x:c>
      <x:c r="C540" s="19" t="str">
        <x:v>S07</x:v>
      </x:c>
      <x:c r="D540" s="19" t="str">
        <x:v>小和山店</x:v>
      </x:c>
      <x:c r="E540" s="19" t="str">
        <x:v>青湖南椒圈</x:v>
      </x:c>
      <x:c r="F540" s="32" t="n">
        <x:v>3.4337055062867483</x:v>
      </x:c>
      <x:c r="G540" s="32" t="n">
        <x:v>1.9212944441934336</x:v>
      </x:c>
      <x:c r="H540" s="24" t="n">
        <x:f>'菜品日销量'!G914*100/1000</x:f>
        <x:v>1.7</x:v>
      </x:c>
      <x:c r="I540" s="36" t="n">
        <x:v>0.033300231241923814</x:v>
      </x:c>
      <x:c r="J540" s="24" t="n">
        <x:f>H540*I540</x:f>
        <x:v>0.05661039311127048</x:v>
      </x:c>
      <x:c r="K540" s="32" t="n">
        <x:v>0</x:v>
      </x:c>
      <x:c r="L540" s="32" t="n">
        <x:v>0</x:v>
      </x:c>
      <x:c r="M540" s="32" t="n">
        <x:v>0</x:v>
      </x:c>
      <x:c r="N540" s="24" t="n">
        <x:f>F540+G540+K540-L540+M540-H540-J540</x:f>
        <x:v>3.598389557368911</x:v>
      </x:c>
      <x:c r="O540" s="24" t="n">
        <x:f>H540*'封面与口径'!$O$24</x:f>
        <x:v>2.04</x:v>
      </x:c>
      <x:c r="P540" s="19" t="str">
        <x:f>IF(N540&lt;0,"缺货",IF(N540&lt;O540,"预警","正常"))</x:f>
        <x:v>正常</x:v>
      </x:c>
      <x:c r="Q540" s="19" t="str">
        <x:v>青湖0710-07</x:v>
      </x:c>
    </x:row>
    <x:row r="541">
      <x:c r="A541" s="19" t="str">
        <x:v>2026-07-11|S07|青湖南椒圈</x:v>
      </x:c>
      <x:c r="B541" s="34" t="n">
        <x:v>46214.5</x:v>
      </x:c>
      <x:c r="C541" s="19" t="str">
        <x:v>S07</x:v>
      </x:c>
      <x:c r="D541" s="19" t="str">
        <x:v>小和山店</x:v>
      </x:c>
      <x:c r="E541" s="19" t="str">
        <x:v>青湖南椒圈</x:v>
      </x:c>
      <x:c r="F541" s="32" t="n">
        <x:v>3.598389557368912</x:v>
      </x:c>
      <x:c r="G541" s="32" t="n">
        <x:v>1.3594803647062463</x:v>
      </x:c>
      <x:c r="H541" s="24" t="n">
        <x:f>'菜品日销量'!G934*100/1000</x:f>
        <x:v>1.2</x:v>
      </x:c>
      <x:c r="I541" s="36" t="n">
        <x:v>0.015269058917246073</x:v>
      </x:c>
      <x:c r="J541" s="24" t="n">
        <x:f>H541*I541</x:f>
        <x:v>0.018322870700695288</x:v>
      </x:c>
      <x:c r="K541" s="32" t="n">
        <x:v>0</x:v>
      </x:c>
      <x:c r="L541" s="32" t="n">
        <x:v>0</x:v>
      </x:c>
      <x:c r="M541" s="32" t="n">
        <x:v>0</x:v>
      </x:c>
      <x:c r="N541" s="24" t="n">
        <x:f>F541+G541+K541-L541+M541-H541-J541</x:f>
        <x:v>3.7395470513744624</x:v>
      </x:c>
      <x:c r="O541" s="24" t="n">
        <x:f>H541*'封面与口径'!$O$24</x:f>
        <x:v>1.44</x:v>
      </x:c>
      <x:c r="P541" s="19" t="str">
        <x:f>IF(N541&lt;0,"缺货",IF(N541&lt;O541,"预警","正常"))</x:f>
        <x:v>正常</x:v>
      </x:c>
      <x:c r="Q541" s="19" t="str">
        <x:v>青湖0711-07</x:v>
      </x:c>
    </x:row>
    <x:row r="542">
      <x:c r="A542" s="19" t="str">
        <x:v>2026-07-12|S07|青湖南椒圈</x:v>
      </x:c>
      <x:c r="B542" s="34" t="n">
        <x:v>46215.5</x:v>
      </x:c>
      <x:c r="C542" s="19" t="str">
        <x:v>S07</x:v>
      </x:c>
      <x:c r="D542" s="19" t="str">
        <x:v>小和山店</x:v>
      </x:c>
      <x:c r="E542" s="19" t="str">
        <x:v>青湖南椒圈</x:v>
      </x:c>
      <x:c r="F542" s="32" t="n">
        <x:v>3.739547051374463</x:v>
      </x:c>
      <x:c r="G542" s="32" t="n">
        <x:v>1.2265129065212128</x:v>
      </x:c>
      <x:c r="H542" s="24" t="n">
        <x:f>'菜品日销量'!G954*100/1000</x:f>
        <x:v>1.1</x:v>
      </x:c>
      <x:c r="I542" s="36" t="n">
        <x:v>0.015140995072466553</x:v>
      </x:c>
      <x:c r="J542" s="24" t="n">
        <x:f>H542*I542</x:f>
        <x:v>0.01665509457971321</x:v>
      </x:c>
      <x:c r="K542" s="32" t="n">
        <x:v>0</x:v>
      </x:c>
      <x:c r="L542" s="32" t="n">
        <x:v>0</x:v>
      </x:c>
      <x:c r="M542" s="32" t="n">
        <x:v>0</x:v>
      </x:c>
      <x:c r="N542" s="24" t="n">
        <x:f>F542+G542+K542-L542+M542-H542-J542</x:f>
        <x:v>3.849404863315962</x:v>
      </x:c>
      <x:c r="O542" s="24" t="n">
        <x:f>H542*'封面与口径'!$O$24</x:f>
        <x:v>1.32</x:v>
      </x:c>
      <x:c r="P542" s="19" t="str">
        <x:f>IF(N542&lt;0,"缺货",IF(N542&lt;O542,"预警","正常"))</x:f>
        <x:v>正常</x:v>
      </x:c>
      <x:c r="Q542" s="19" t="str">
        <x:v>青湖0712-07</x:v>
      </x:c>
    </x:row>
    <x:row r="543">
      <x:c r="A543" s="19" t="str">
        <x:v>2026-07-13|S07|青湖南椒圈</x:v>
      </x:c>
      <x:c r="B543" s="34" t="n">
        <x:v>46216.5</x:v>
      </x:c>
      <x:c r="C543" s="19" t="str">
        <x:v>S07</x:v>
      </x:c>
      <x:c r="D543" s="19" t="str">
        <x:v>小和山店</x:v>
      </x:c>
      <x:c r="E543" s="19" t="str">
        <x:v>青湖南椒圈</x:v>
      </x:c>
      <x:c r="F543" s="32" t="n">
        <x:v>3.8494048633159617</x:v>
      </x:c>
      <x:c r="G543" s="32" t="n">
        <x:v>1.954375611447351</x:v>
      </x:c>
      <x:c r="H543" s="24" t="n">
        <x:f>'菜品日销量'!G974*100/1000</x:f>
        <x:v>1.8</x:v>
      </x:c>
      <x:c r="I543" s="36" t="n">
        <x:v>0.02866683990081466</x:v>
      </x:c>
      <x:c r="J543" s="24" t="n">
        <x:f>H543*I543</x:f>
        <x:v>0.051600311821466384</x:v>
      </x:c>
      <x:c r="K543" s="32" t="n">
        <x:v>0</x:v>
      </x:c>
      <x:c r="L543" s="32" t="n">
        <x:v>0</x:v>
      </x:c>
      <x:c r="M543" s="32" t="n">
        <x:v>0</x:v>
      </x:c>
      <x:c r="N543" s="24" t="n">
        <x:f>F543+G543+K543-L543+M543-H543-J543</x:f>
        <x:v>3.9521801629418465</x:v>
      </x:c>
      <x:c r="O543" s="24" t="n">
        <x:f>H543*'封面与口径'!$O$24</x:f>
        <x:v>2.16</x:v>
      </x:c>
      <x:c r="P543" s="19" t="str">
        <x:f>IF(N543&lt;0,"缺货",IF(N543&lt;O543,"预警","正常"))</x:f>
        <x:v>正常</x:v>
      </x:c>
      <x:c r="Q543" s="19" t="str">
        <x:v>青湖0713-07</x:v>
      </x:c>
    </x:row>
    <x:row r="544">
      <x:c r="A544" s="19" t="str">
        <x:v>2026-07-07|S07|鸡蛋</x:v>
      </x:c>
      <x:c r="B544" s="34" t="n">
        <x:v>46210.5</x:v>
      </x:c>
      <x:c r="C544" s="19" t="str">
        <x:v>S07</x:v>
      </x:c>
      <x:c r="D544" s="19" t="str">
        <x:v>小和山店</x:v>
      </x:c>
      <x:c r="E544" s="19" t="str">
        <x:v>鸡蛋</x:v>
      </x:c>
      <x:c r="F544" s="32" t="n">
        <x:v>28.89</x:v>
      </x:c>
      <x:c r="G544" s="32" t="n">
        <x:v>18.003704508858664</x:v>
      </x:c>
      <x:c r="H544" s="24" t="n">
        <x:f>'菜品日销量'!G847*300/1000+'菜品日销量'!G857*250/1000</x:f>
        <x:v>16.05</x:v>
      </x:c>
      <x:c r="I544" s="36" t="n">
        <x:v>0.02913840249044318</x:v>
      </x:c>
      <x:c r="J544" s="24" t="n">
        <x:f>H544*I544</x:f>
        <x:v>0.4676713599716131</x:v>
      </x:c>
      <x:c r="K544" s="32" t="n">
        <x:v>0</x:v>
      </x:c>
      <x:c r="L544" s="32" t="n">
        <x:v>0</x:v>
      </x:c>
      <x:c r="M544" s="32" t="n">
        <x:v>0</x:v>
      </x:c>
      <x:c r="N544" s="24" t="n">
        <x:f>F544+G544+K544-L544+M544-H544-J544</x:f>
        <x:v>30.376033148887046</x:v>
      </x:c>
      <x:c r="O544" s="24" t="n">
        <x:f>H544*'封面与口径'!$O$24</x:f>
        <x:v>19.26</x:v>
      </x:c>
      <x:c r="P544" s="19" t="str">
        <x:f>IF(N544&lt;0,"缺货",IF(N544&lt;O544,"预警","正常"))</x:f>
        <x:v>正常</x:v>
      </x:c>
      <x:c r="Q544" s="19" t="str">
        <x:v>鸡蛋0707-07</x:v>
      </x:c>
    </x:row>
    <x:row r="545">
      <x:c r="A545" s="19" t="str">
        <x:v>2026-07-08|S07|鸡蛋</x:v>
      </x:c>
      <x:c r="B545" s="34" t="n">
        <x:v>46211.5</x:v>
      </x:c>
      <x:c r="C545" s="19" t="str">
        <x:v>S07</x:v>
      </x:c>
      <x:c r="D545" s="19" t="str">
        <x:v>小和山店</x:v>
      </x:c>
      <x:c r="E545" s="19" t="str">
        <x:v>鸡蛋</x:v>
      </x:c>
      <x:c r="F545" s="32" t="n">
        <x:v>30.37603314888705</x:v>
      </x:c>
      <x:c r="G545" s="32" t="n">
        <x:v>15.802007061235143</x:v>
      </x:c>
      <x:c r="H545" s="24" t="n">
        <x:f>'菜品日销量'!G867*300/1000+'菜品日销量'!G877*250/1000</x:f>
        <x:v>14.3</x:v>
      </x:c>
      <x:c r="I545" s="36" t="n">
        <x:v>0.029549830471991986</x:v>
      </x:c>
      <x:c r="J545" s="24" t="n">
        <x:f>H545*I545</x:f>
        <x:v>0.4225625757494854</x:v>
      </x:c>
      <x:c r="K545" s="32" t="n">
        <x:v>0</x:v>
      </x:c>
      <x:c r="L545" s="32" t="n">
        <x:v>0</x:v>
      </x:c>
      <x:c r="M545" s="32" t="n">
        <x:v>0</x:v>
      </x:c>
      <x:c r="N545" s="24" t="n">
        <x:f>F545+G545+K545-L545+M545-H545-J545</x:f>
        <x:v>31.455477634372706</x:v>
      </x:c>
      <x:c r="O545" s="24" t="n">
        <x:f>H545*'封面与口径'!$O$24</x:f>
        <x:v>17.16</x:v>
      </x:c>
      <x:c r="P545" s="19" t="str">
        <x:f>IF(N545&lt;0,"缺货",IF(N545&lt;O545,"预警","正常"))</x:f>
        <x:v>正常</x:v>
      </x:c>
      <x:c r="Q545" s="19" t="str">
        <x:v>鸡蛋0708-07</x:v>
      </x:c>
    </x:row>
    <x:row r="546">
      <x:c r="A546" s="19" t="str">
        <x:v>2026-07-09|S07|鸡蛋</x:v>
      </x:c>
      <x:c r="B546" s="34" t="n">
        <x:v>46212.5</x:v>
      </x:c>
      <x:c r="C546" s="19" t="str">
        <x:v>S07</x:v>
      </x:c>
      <x:c r="D546" s="19" t="str">
        <x:v>小和山店</x:v>
      </x:c>
      <x:c r="E546" s="19" t="str">
        <x:v>鸡蛋</x:v>
      </x:c>
      <x:c r="F546" s="32" t="n">
        <x:v>31.455477634372706</x:v>
      </x:c>
      <x:c r="G546" s="32" t="n">
        <x:v>17.27274809638894</x:v>
      </x:c>
      <x:c r="H546" s="24" t="n">
        <x:f>'菜品日销量'!G887*300/1000+'菜品日销量'!G897*250/1000</x:f>
        <x:v>14.55</x:v>
      </x:c>
      <x:c r="I546" s="36" t="n">
        <x:v>0.025920570409139754</x:v>
      </x:c>
      <x:c r="J546" s="24" t="n">
        <x:f>H546*I546</x:f>
        <x:v>0.37714429945298344</x:v>
      </x:c>
      <x:c r="K546" s="32" t="n">
        <x:v>0</x:v>
      </x:c>
      <x:c r="L546" s="32" t="n">
        <x:v>0</x:v>
      </x:c>
      <x:c r="M546" s="32" t="n">
        <x:v>0</x:v>
      </x:c>
      <x:c r="N546" s="24" t="n">
        <x:f>F546+G546+K546-L546+M546-H546-J546</x:f>
        <x:v>33.80108143130867</x:v>
      </x:c>
      <x:c r="O546" s="24" t="n">
        <x:f>H546*'封面与口径'!$O$24</x:f>
        <x:v>17.46</x:v>
      </x:c>
      <x:c r="P546" s="19" t="str">
        <x:f>IF(N546&lt;0,"缺货",IF(N546&lt;O546,"预警","正常"))</x:f>
        <x:v>正常</x:v>
      </x:c>
      <x:c r="Q546" s="19" t="str">
        <x:v>鸡蛋0709-07</x:v>
      </x:c>
    </x:row>
    <x:row r="547">
      <x:c r="A547" s="19" t="str">
        <x:v>2026-07-10|S07|鸡蛋</x:v>
      </x:c>
      <x:c r="B547" s="34" t="n">
        <x:v>46213.5</x:v>
      </x:c>
      <x:c r="C547" s="19" t="str">
        <x:v>S07</x:v>
      </x:c>
      <x:c r="D547" s="19" t="str">
        <x:v>小和山店</x:v>
      </x:c>
      <x:c r="E547" s="19" t="str">
        <x:v>鸡蛋</x:v>
      </x:c>
      <x:c r="F547" s="32" t="n">
        <x:v>33.80108143130867</x:v>
      </x:c>
      <x:c r="G547" s="32" t="n">
        <x:v>16.574025846728595</x:v>
      </x:c>
      <x:c r="H547" s="24" t="n">
        <x:f>'菜品日销量'!G907*300/1000+'菜品日销量'!G917*250/1000</x:f>
        <x:v>14.85</x:v>
      </x:c>
      <x:c r="I547" s="36" t="n">
        <x:v>0.024334009818112012</x:v>
      </x:c>
      <x:c r="J547" s="24" t="n">
        <x:f>H547*I547</x:f>
        <x:v>0.36136004579896336</x:v>
      </x:c>
      <x:c r="K547" s="32" t="n">
        <x:v>0</x:v>
      </x:c>
      <x:c r="L547" s="32" t="n">
        <x:v>0</x:v>
      </x:c>
      <x:c r="M547" s="32" t="n">
        <x:v>0</x:v>
      </x:c>
      <x:c r="N547" s="24" t="n">
        <x:f>F547+G547+K547-L547+M547-H547-J547</x:f>
        <x:v>35.1637472322383</x:v>
      </x:c>
      <x:c r="O547" s="24" t="n">
        <x:f>H547*'封面与口径'!$O$24</x:f>
        <x:v>17.82</x:v>
      </x:c>
      <x:c r="P547" s="19" t="str">
        <x:f>IF(N547&lt;0,"缺货",IF(N547&lt;O547,"预警","正常"))</x:f>
        <x:v>正常</x:v>
      </x:c>
      <x:c r="Q547" s="19" t="str">
        <x:v>鸡蛋0710-07</x:v>
      </x:c>
    </x:row>
    <x:row r="548">
      <x:c r="A548" s="19" t="str">
        <x:v>2026-07-11|S07|鸡蛋</x:v>
      </x:c>
      <x:c r="B548" s="34" t="n">
        <x:v>46214.5</x:v>
      </x:c>
      <x:c r="C548" s="19" t="str">
        <x:v>S07</x:v>
      </x:c>
      <x:c r="D548" s="19" t="str">
        <x:v>小和山店</x:v>
      </x:c>
      <x:c r="E548" s="19" t="str">
        <x:v>鸡蛋</x:v>
      </x:c>
      <x:c r="F548" s="32" t="n">
        <x:v>35.1637472322383</x:v>
      </x:c>
      <x:c r="G548" s="32" t="n">
        <x:v>13.233230753267007</x:v>
      </x:c>
      <x:c r="H548" s="24" t="n">
        <x:f>'菜品日销量'!G927*300/1000+'菜品日销量'!G937*250/1000</x:f>
        <x:v>11.75</x:v>
      </x:c>
      <x:c r="I548" s="36" t="n">
        <x:v>0.023479270242033355</x:v>
      </x:c>
      <x:c r="J548" s="24" t="n">
        <x:f>H548*I548</x:f>
        <x:v>0.27588142534389193</x:v>
      </x:c>
      <x:c r="K548" s="32" t="n">
        <x:v>0</x:v>
      </x:c>
      <x:c r="L548" s="32" t="n">
        <x:v>0</x:v>
      </x:c>
      <x:c r="M548" s="32" t="n">
        <x:v>0</x:v>
      </x:c>
      <x:c r="N548" s="24" t="n">
        <x:f>F548+G548+K548-L548+M548-H548-J548</x:f>
        <x:v>36.37109656016142</x:v>
      </x:c>
      <x:c r="O548" s="24" t="n">
        <x:f>H548*'封面与口径'!$O$24</x:f>
        <x:v>14.1</x:v>
      </x:c>
      <x:c r="P548" s="19" t="str">
        <x:f>IF(N548&lt;0,"缺货",IF(N548&lt;O548,"预警","正常"))</x:f>
        <x:v>正常</x:v>
      </x:c>
      <x:c r="Q548" s="19" t="str">
        <x:v>鸡蛋0711-07</x:v>
      </x:c>
    </x:row>
    <x:row r="549">
      <x:c r="A549" s="19" t="str">
        <x:v>2026-07-12|S07|鸡蛋</x:v>
      </x:c>
      <x:c r="B549" s="34" t="n">
        <x:v>46215.5</x:v>
      </x:c>
      <x:c r="C549" s="19" t="str">
        <x:v>S07</x:v>
      </x:c>
      <x:c r="D549" s="19" t="str">
        <x:v>小和山店</x:v>
      </x:c>
      <x:c r="E549" s="19" t="str">
        <x:v>鸡蛋</x:v>
      </x:c>
      <x:c r="F549" s="32" t="n">
        <x:v>36.37109656016142</x:v>
      </x:c>
      <x:c r="G549" s="32" t="n">
        <x:v>13.375102553737142</x:v>
      </x:c>
      <x:c r="H549" s="24" t="n">
        <x:f>'菜品日销量'!G947*300/1000+'菜品日销量'!G957*250/1000</x:f>
        <x:v>11.15</x:v>
      </x:c>
      <x:c r="I549" s="36" t="n">
        <x:v>0.03266361390884584</x:v>
      </x:c>
      <x:c r="J549" s="24" t="n">
        <x:f>H549*I549</x:f>
        <x:v>0.36419929508363114</x:v>
      </x:c>
      <x:c r="K549" s="32" t="n">
        <x:v>0</x:v>
      </x:c>
      <x:c r="L549" s="32" t="n">
        <x:v>0</x:v>
      </x:c>
      <x:c r="M549" s="32" t="n">
        <x:v>0</x:v>
      </x:c>
      <x:c r="N549" s="24" t="n">
        <x:f>F549+G549+K549-L549+M549-H549-J549</x:f>
        <x:v>38.231999818814934</x:v>
      </x:c>
      <x:c r="O549" s="24" t="n">
        <x:f>H549*'封面与口径'!$O$24</x:f>
        <x:v>13.38</x:v>
      </x:c>
      <x:c r="P549" s="19" t="str">
        <x:f>IF(N549&lt;0,"缺货",IF(N549&lt;O549,"预警","正常"))</x:f>
        <x:v>正常</x:v>
      </x:c>
      <x:c r="Q549" s="19" t="str">
        <x:v>鸡蛋0712-07</x:v>
      </x:c>
    </x:row>
    <x:row r="550">
      <x:c r="A550" s="19" t="str">
        <x:v>2026-07-13|S07|鸡蛋</x:v>
      </x:c>
      <x:c r="B550" s="34" t="n">
        <x:v>46216.5</x:v>
      </x:c>
      <x:c r="C550" s="19" t="str">
        <x:v>S07</x:v>
      </x:c>
      <x:c r="D550" s="19" t="str">
        <x:v>小和山店</x:v>
      </x:c>
      <x:c r="E550" s="19" t="str">
        <x:v>鸡蛋</x:v>
      </x:c>
      <x:c r="F550" s="32" t="n">
        <x:v>38.23199981881493</x:v>
      </x:c>
      <x:c r="G550" s="32" t="n">
        <x:v>18.252018262599602</x:v>
      </x:c>
      <x:c r="H550" s="24" t="n">
        <x:f>'菜品日销量'!G967*300/1000+'菜品日销量'!G977*250/1000</x:f>
        <x:v>16.6</x:v>
      </x:c>
      <x:c r="I550" s="36" t="n">
        <x:v>0.03637646082471509</x:v>
      </x:c>
      <x:c r="J550" s="24" t="n">
        <x:f>H550*I550</x:f>
        <x:v>0.6038492496902705</x:v>
      </x:c>
      <x:c r="K550" s="32" t="n">
        <x:v>0</x:v>
      </x:c>
      <x:c r="L550" s="32" t="n">
        <x:v>0</x:v>
      </x:c>
      <x:c r="M550" s="32" t="n">
        <x:v>0</x:v>
      </x:c>
      <x:c r="N550" s="24" t="n">
        <x:f>F550+G550+K550-L550+M550-H550-J550</x:f>
        <x:v>39.28016883172426</x:v>
      </x:c>
      <x:c r="O550" s="24" t="n">
        <x:f>H550*'封面与口径'!$O$24</x:f>
        <x:v>19.92</x:v>
      </x:c>
      <x:c r="P550" s="19" t="str">
        <x:f>IF(N550&lt;0,"缺货",IF(N550&lt;O550,"预警","正常"))</x:f>
        <x:v>正常</x:v>
      </x:c>
      <x:c r="Q550" s="19" t="str">
        <x:v>鸡蛋0713-07</x:v>
      </x:c>
    </x:row>
    <x:row r="551">
      <x:c r="A551" s="19" t="str">
        <x:v>2026-07-07|S07|鸡肉</x:v>
      </x:c>
      <x:c r="B551" s="34" t="n">
        <x:v>46210.5</x:v>
      </x:c>
      <x:c r="C551" s="19" t="str">
        <x:v>S07</x:v>
      </x:c>
      <x:c r="D551" s="19" t="str">
        <x:v>小和山店</x:v>
      </x:c>
      <x:c r="E551" s="19" t="str">
        <x:v>鸡肉</x:v>
      </x:c>
      <x:c r="F551" s="32" t="n">
        <x:v>8.1</x:v>
      </x:c>
      <x:c r="G551" s="32" t="n">
        <x:v>5.358046603528328</x:v>
      </x:c>
      <x:c r="H551" s="24" t="n">
        <x:f>'菜品日销量'!G852*450/1000</x:f>
        <x:v>4.5</x:v>
      </x:c>
      <x:c r="I551" s="36" t="n">
        <x:v>0.03613790902568444</x:v>
      </x:c>
      <x:c r="J551" s="24" t="n">
        <x:f>H551*I551</x:f>
        <x:v>0.16262059061557999</x:v>
      </x:c>
      <x:c r="K551" s="32" t="n">
        <x:v>0</x:v>
      </x:c>
      <x:c r="L551" s="32" t="n">
        <x:v>0</x:v>
      </x:c>
      <x:c r="M551" s="32" t="n">
        <x:v>0</x:v>
      </x:c>
      <x:c r="N551" s="24" t="n">
        <x:f>F551+G551+K551-L551+M551-H551-J551</x:f>
        <x:v>8.795426012912747</x:v>
      </x:c>
      <x:c r="O551" s="24" t="n">
        <x:f>H551*'封面与口径'!$O$24</x:f>
        <x:v>5.3999999999999995</x:v>
      </x:c>
      <x:c r="P551" s="19" t="str">
        <x:f>IF(N551&lt;0,"缺货",IF(N551&lt;O551,"预警","正常"))</x:f>
        <x:v>正常</x:v>
      </x:c>
      <x:c r="Q551" s="19" t="str">
        <x:v>鸡肉0707-07</x:v>
      </x:c>
    </x:row>
    <x:row r="552">
      <x:c r="A552" s="19" t="str">
        <x:v>2026-07-08|S07|鸡肉</x:v>
      </x:c>
      <x:c r="B552" s="34" t="n">
        <x:v>46211.5</x:v>
      </x:c>
      <x:c r="C552" s="19" t="str">
        <x:v>S07</x:v>
      </x:c>
      <x:c r="D552" s="19" t="str">
        <x:v>小和山店</x:v>
      </x:c>
      <x:c r="E552" s="19" t="str">
        <x:v>鸡肉</x:v>
      </x:c>
      <x:c r="F552" s="32" t="n">
        <x:v>8.795426012912747</x:v>
      </x:c>
      <x:c r="G552" s="32" t="n">
        <x:v>5.559821563565597</x:v>
      </x:c>
      <x:c r="H552" s="24" t="n">
        <x:f>'菜品日销量'!G872*450/1000</x:f>
        <x:v>4.95</x:v>
      </x:c>
      <x:c r="I552" s="36" t="n">
        <x:v>0.03709800567876036</x:v>
      </x:c>
      <x:c r="J552" s="24" t="n">
        <x:f>H552*I552</x:f>
        <x:v>0.18363512810986377</x:v>
      </x:c>
      <x:c r="K552" s="32" t="n">
        <x:v>0</x:v>
      </x:c>
      <x:c r="L552" s="32" t="n">
        <x:v>0</x:v>
      </x:c>
      <x:c r="M552" s="32" t="n">
        <x:v>0</x:v>
      </x:c>
      <x:c r="N552" s="24" t="n">
        <x:f>F552+G552+K552-L552+M552-H552-J552</x:f>
        <x:v>9.221612448368482</x:v>
      </x:c>
      <x:c r="O552" s="24" t="n">
        <x:f>H552*'封面与口径'!$O$24</x:f>
        <x:v>5.94</x:v>
      </x:c>
      <x:c r="P552" s="19" t="str">
        <x:f>IF(N552&lt;0,"缺货",IF(N552&lt;O552,"预警","正常"))</x:f>
        <x:v>正常</x:v>
      </x:c>
      <x:c r="Q552" s="19" t="str">
        <x:v>鸡肉0708-07</x:v>
      </x:c>
    </x:row>
    <x:row r="553">
      <x:c r="A553" s="19" t="str">
        <x:v>2026-07-09|S07|鸡肉</x:v>
      </x:c>
      <x:c r="B553" s="34" t="n">
        <x:v>46212.5</x:v>
      </x:c>
      <x:c r="C553" s="19" t="str">
        <x:v>S07</x:v>
      </x:c>
      <x:c r="D553" s="19" t="str">
        <x:v>小和山店</x:v>
      </x:c>
      <x:c r="E553" s="19" t="str">
        <x:v>鸡肉</x:v>
      </x:c>
      <x:c r="F553" s="32" t="n">
        <x:v>9.22161244836848</x:v>
      </x:c>
      <x:c r="G553" s="32" t="n">
        <x:v>5.925285527128095</x:v>
      </x:c>
      <x:c r="H553" s="24" t="n">
        <x:f>'菜品日销量'!G892*450/1000</x:f>
        <x:v>4.95</x:v>
      </x:c>
      <x:c r="I553" s="36" t="n">
        <x:v>0.02276226732594945</x:v>
      </x:c>
      <x:c r="J553" s="24" t="n">
        <x:f>H553*I553</x:f>
        <x:v>0.11267322326344978</x:v>
      </x:c>
      <x:c r="K553" s="32" t="n">
        <x:v>0</x:v>
      </x:c>
      <x:c r="L553" s="32" t="n">
        <x:v>0</x:v>
      </x:c>
      <x:c r="M553" s="32" t="n">
        <x:v>0</x:v>
      </x:c>
      <x:c r="N553" s="24" t="n">
        <x:f>F553+G553+K553-L553+M553-H553-J553</x:f>
        <x:v>10.084224752233126</x:v>
      </x:c>
      <x:c r="O553" s="24" t="n">
        <x:f>H553*'封面与口径'!$O$24</x:f>
        <x:v>5.94</x:v>
      </x:c>
      <x:c r="P553" s="19" t="str">
        <x:f>IF(N553&lt;0,"缺货",IF(N553&lt;O553,"预警","正常"))</x:f>
        <x:v>正常</x:v>
      </x:c>
      <x:c r="Q553" s="19" t="str">
        <x:v>鸡肉0709-07</x:v>
      </x:c>
    </x:row>
    <x:row r="554">
      <x:c r="A554" s="19" t="str">
        <x:v>2026-07-10|S07|鸡肉</x:v>
      </x:c>
      <x:c r="B554" s="34" t="n">
        <x:v>46213.5</x:v>
      </x:c>
      <x:c r="C554" s="19" t="str">
        <x:v>S07</x:v>
      </x:c>
      <x:c r="D554" s="19" t="str">
        <x:v>小和山店</x:v>
      </x:c>
      <x:c r="E554" s="19" t="str">
        <x:v>鸡肉</x:v>
      </x:c>
      <x:c r="F554" s="32" t="n">
        <x:v>10.084224752233125</x:v>
      </x:c>
      <x:c r="G554" s="32" t="n">
        <x:v>5.397041577100065</x:v>
      </x:c>
      <x:c r="H554" s="24" t="n">
        <x:f>'菜品日销量'!G912*450/1000</x:f>
        <x:v>4.5</x:v>
      </x:c>
      <x:c r="I554" s="36" t="n">
        <x:v>0.03926450535987143</x:v>
      </x:c>
      <x:c r="J554" s="24" t="n">
        <x:f>H554*I554</x:f>
        <x:v>0.17669027411942143</x:v>
      </x:c>
      <x:c r="K554" s="32" t="n">
        <x:v>0</x:v>
      </x:c>
      <x:c r="L554" s="32" t="n">
        <x:v>0</x:v>
      </x:c>
      <x:c r="M554" s="32" t="n">
        <x:v>0</x:v>
      </x:c>
      <x:c r="N554" s="24" t="n">
        <x:f>F554+G554+K554-L554+M554-H554-J554</x:f>
        <x:v>10.804576055213769</x:v>
      </x:c>
      <x:c r="O554" s="24" t="n">
        <x:f>H554*'封面与口径'!$O$24</x:f>
        <x:v>5.3999999999999995</x:v>
      </x:c>
      <x:c r="P554" s="19" t="str">
        <x:f>IF(N554&lt;0,"缺货",IF(N554&lt;O554,"预警","正常"))</x:f>
        <x:v>正常</x:v>
      </x:c>
      <x:c r="Q554" s="19" t="str">
        <x:v>鸡肉0710-07</x:v>
      </x:c>
    </x:row>
    <x:row r="555">
      <x:c r="A555" s="19" t="str">
        <x:v>2026-07-11|S07|鸡肉</x:v>
      </x:c>
      <x:c r="B555" s="34" t="n">
        <x:v>46214.5</x:v>
      </x:c>
      <x:c r="C555" s="19" t="str">
        <x:v>S07</x:v>
      </x:c>
      <x:c r="D555" s="19" t="str">
        <x:v>小和山店</x:v>
      </x:c>
      <x:c r="E555" s="19" t="str">
        <x:v>鸡肉</x:v>
      </x:c>
      <x:c r="F555" s="32" t="n">
        <x:v>10.804576055213769</x:v>
      </x:c>
      <x:c r="G555" s="32" t="n">
        <x:v>3.444704269058701</x:v>
      </x:c>
      <x:c r="H555" s="24" t="n">
        <x:f>'菜品日销量'!G932*450/1000</x:f>
        <x:v>3.15</x:v>
      </x:c>
      <x:c r="I555" s="36" t="n">
        <x:v>0.035905773049664164</x:v>
      </x:c>
      <x:c r="J555" s="24" t="n">
        <x:f>H555*I555</x:f>
        <x:v>0.11310318510644211</x:v>
      </x:c>
      <x:c r="K555" s="32" t="n">
        <x:v>0</x:v>
      </x:c>
      <x:c r="L555" s="32" t="n">
        <x:v>0</x:v>
      </x:c>
      <x:c r="M555" s="32" t="n">
        <x:v>0</x:v>
      </x:c>
      <x:c r="N555" s="24" t="n">
        <x:f>F555+G555+K555-L555+M555-H555-J555</x:f>
        <x:v>10.986177139166026</x:v>
      </x:c>
      <x:c r="O555" s="24" t="n">
        <x:f>H555*'封面与口径'!$O$24</x:f>
        <x:v>3.78</x:v>
      </x:c>
      <x:c r="P555" s="19" t="str">
        <x:f>IF(N555&lt;0,"缺货",IF(N555&lt;O555,"预警","正常"))</x:f>
        <x:v>正常</x:v>
      </x:c>
      <x:c r="Q555" s="19" t="str">
        <x:v>鸡肉0711-07</x:v>
      </x:c>
    </x:row>
    <x:row r="556">
      <x:c r="A556" s="19" t="str">
        <x:v>2026-07-12|S07|鸡肉</x:v>
      </x:c>
      <x:c r="B556" s="34" t="n">
        <x:v>46215.5</x:v>
      </x:c>
      <x:c r="C556" s="19" t="str">
        <x:v>S07</x:v>
      </x:c>
      <x:c r="D556" s="19" t="str">
        <x:v>小和山店</x:v>
      </x:c>
      <x:c r="E556" s="19" t="str">
        <x:v>鸡肉</x:v>
      </x:c>
      <x:c r="F556" s="32" t="n">
        <x:v>10.986177139166028</x:v>
      </x:c>
      <x:c r="G556" s="32" t="n">
        <x:v>3.6407183886861243</x:v>
      </x:c>
      <x:c r="H556" s="24" t="n">
        <x:f>'菜品日销量'!G952*450/1000</x:f>
        <x:v>3.15</x:v>
      </x:c>
      <x:c r="I556" s="36" t="n">
        <x:v>0.038658364737326825</x:v>
      </x:c>
      <x:c r="J556" s="24" t="n">
        <x:f>H556*I556</x:f>
        <x:v>0.1217738489225795</x:v>
      </x:c>
      <x:c r="K556" s="32" t="n">
        <x:v>0</x:v>
      </x:c>
      <x:c r="L556" s="32" t="n">
        <x:v>0</x:v>
      </x:c>
      <x:c r="M556" s="32" t="n">
        <x:v>0</x:v>
      </x:c>
      <x:c r="N556" s="24" t="n">
        <x:f>F556+G556+K556-L556+M556-H556-J556</x:f>
        <x:v>11.355121678929573</x:v>
      </x:c>
      <x:c r="O556" s="24" t="n">
        <x:f>H556*'封面与口径'!$O$24</x:f>
        <x:v>3.78</x:v>
      </x:c>
      <x:c r="P556" s="19" t="str">
        <x:f>IF(N556&lt;0,"缺货",IF(N556&lt;O556,"预警","正常"))</x:f>
        <x:v>正常</x:v>
      </x:c>
      <x:c r="Q556" s="19" t="str">
        <x:v>鸡肉0712-07</x:v>
      </x:c>
    </x:row>
    <x:row r="557">
      <x:c r="A557" s="19" t="str">
        <x:v>2026-07-13|S07|鸡肉</x:v>
      </x:c>
      <x:c r="B557" s="34" t="n">
        <x:v>46216.5</x:v>
      </x:c>
      <x:c r="C557" s="19" t="str">
        <x:v>S07</x:v>
      </x:c>
      <x:c r="D557" s="19" t="str">
        <x:v>小和山店</x:v>
      </x:c>
      <x:c r="E557" s="19" t="str">
        <x:v>鸡肉</x:v>
      </x:c>
      <x:c r="F557" s="32" t="n">
        <x:v>11.355121678929573</x:v>
      </x:c>
      <x:c r="G557" s="32" t="n">
        <x:v>6.538024540835066</x:v>
      </x:c>
      <x:c r="H557" s="24" t="n">
        <x:f>'菜品日销量'!G972*450/1000</x:f>
        <x:v>5.85</x:v>
      </x:c>
      <x:c r="I557" s="36" t="n">
        <x:v>0.0181149147493101</x:v>
      </x:c>
      <x:c r="J557" s="24" t="n">
        <x:f>H557*I557</x:f>
        <x:v>0.10597225128346408</x:v>
      </x:c>
      <x:c r="K557" s="32" t="n">
        <x:v>0</x:v>
      </x:c>
      <x:c r="L557" s="32" t="n">
        <x:v>0</x:v>
      </x:c>
      <x:c r="M557" s="32" t="n">
        <x:v>0</x:v>
      </x:c>
      <x:c r="N557" s="24" t="n">
        <x:f>F557+G557+K557-L557+M557-H557-J557</x:f>
        <x:v>11.937173968481174</x:v>
      </x:c>
      <x:c r="O557" s="24" t="n">
        <x:f>H557*'封面与口径'!$O$24</x:f>
        <x:v>7.02</x:v>
      </x:c>
      <x:c r="P557" s="19" t="str">
        <x:f>IF(N557&lt;0,"缺货",IF(N557&lt;O557,"预警","正常"))</x:f>
        <x:v>正常</x:v>
      </x:c>
      <x:c r="Q557" s="19" t="str">
        <x:v>鸡肉0713-07</x:v>
      </x:c>
    </x:row>
    <x:row r="558">
      <x:c r="A558" s="19" t="str">
        <x:v>2026-07-07|S07|鲈鱼</x:v>
      </x:c>
      <x:c r="B558" s="34" t="n">
        <x:v>46210.5</x:v>
      </x:c>
      <x:c r="C558" s="19" t="str">
        <x:v>S07</x:v>
      </x:c>
      <x:c r="D558" s="19" t="str">
        <x:v>小和山店</x:v>
      </x:c>
      <x:c r="E558" s="19" t="str">
        <x:v>鲈鱼</x:v>
      </x:c>
      <x:c r="F558" s="32" t="n">
        <x:v>5.4</x:v>
      </x:c>
      <x:c r="G558" s="32" t="n">
        <x:v>3.5364467413016705</x:v>
      </x:c>
      <x:c r="H558" s="24" t="n">
        <x:f>'菜品日销量'!G856*500/1000</x:f>
        <x:v>3</x:v>
      </x:c>
      <x:c r="I558" s="36" t="n">
        <x:v>0.028260487330439614</x:v>
      </x:c>
      <x:c r="J558" s="24" t="n">
        <x:f>H558*I558</x:f>
        <x:v>0.08478146199131883</x:v>
      </x:c>
      <x:c r="K558" s="32" t="n">
        <x:v>0</x:v>
      </x:c>
      <x:c r="L558" s="32" t="n">
        <x:v>0</x:v>
      </x:c>
      <x:c r="M558" s="32" t="n">
        <x:v>0</x:v>
      </x:c>
      <x:c r="N558" s="24" t="n">
        <x:f>F558+G558+K558-L558+M558-H558-J558</x:f>
        <x:v>5.851665279310352</x:v>
      </x:c>
      <x:c r="O558" s="24" t="n">
        <x:f>H558*'封面与口径'!$O$24</x:f>
        <x:v>3.5999999999999996</x:v>
      </x:c>
      <x:c r="P558" s="19" t="str">
        <x:f>IF(N558&lt;0,"缺货",IF(N558&lt;O558,"预警","正常"))</x:f>
        <x:v>正常</x:v>
      </x:c>
      <x:c r="Q558" s="19" t="str">
        <x:v>鲈鱼0707-07</x:v>
      </x:c>
    </x:row>
    <x:row r="559">
      <x:c r="A559" s="19" t="str">
        <x:v>2026-07-08|S07|鲈鱼</x:v>
      </x:c>
      <x:c r="B559" s="34" t="n">
        <x:v>46211.5</x:v>
      </x:c>
      <x:c r="C559" s="19" t="str">
        <x:v>S07</x:v>
      </x:c>
      <x:c r="D559" s="19" t="str">
        <x:v>小和山店</x:v>
      </x:c>
      <x:c r="E559" s="19" t="str">
        <x:v>鲈鱼</x:v>
      </x:c>
      <x:c r="F559" s="32" t="n">
        <x:v>5.851665279310352</x:v>
      </x:c>
      <x:c r="G559" s="32" t="n">
        <x:v>3.3903970845952625</x:v>
      </x:c>
      <x:c r="H559" s="24" t="n">
        <x:f>'菜品日销量'!G876*500/1000</x:f>
        <x:v>3</x:v>
      </x:c>
      <x:c r="I559" s="36" t="n">
        <x:v>0.02339683377030232</x:v>
      </x:c>
      <x:c r="J559" s="24" t="n">
        <x:f>H559*I559</x:f>
        <x:v>0.07019050131090696</x:v>
      </x:c>
      <x:c r="K559" s="32" t="n">
        <x:v>0</x:v>
      </x:c>
      <x:c r="L559" s="32" t="n">
        <x:v>0</x:v>
      </x:c>
      <x:c r="M559" s="32" t="n">
        <x:v>0</x:v>
      </x:c>
      <x:c r="N559" s="24" t="n">
        <x:f>F559+G559+K559-L559+M559-H559-J559</x:f>
        <x:v>6.171871862594707</x:v>
      </x:c>
      <x:c r="O559" s="24" t="n">
        <x:f>H559*'封面与口径'!$O$24</x:f>
        <x:v>3.5999999999999996</x:v>
      </x:c>
      <x:c r="P559" s="19" t="str">
        <x:f>IF(N559&lt;0,"缺货",IF(N559&lt;O559,"预警","正常"))</x:f>
        <x:v>正常</x:v>
      </x:c>
      <x:c r="Q559" s="19" t="str">
        <x:v>鲈鱼0708-07</x:v>
      </x:c>
    </x:row>
    <x:row r="560">
      <x:c r="A560" s="19" t="str">
        <x:v>2026-07-09|S07|鲈鱼</x:v>
      </x:c>
      <x:c r="B560" s="34" t="n">
        <x:v>46212.5</x:v>
      </x:c>
      <x:c r="C560" s="19" t="str">
        <x:v>S07</x:v>
      </x:c>
      <x:c r="D560" s="19" t="str">
        <x:v>小和山店</x:v>
      </x:c>
      <x:c r="E560" s="19" t="str">
        <x:v>鲈鱼</x:v>
      </x:c>
      <x:c r="F560" s="32" t="n">
        <x:v>6.171871862594707</x:v>
      </x:c>
      <x:c r="G560" s="32" t="n">
        <x:v>3.538017025650017</x:v>
      </x:c>
      <x:c r="H560" s="24" t="n">
        <x:f>'菜品日销量'!G896*500/1000</x:f>
        <x:v>3</x:v>
      </x:c>
      <x:c r="I560" s="36" t="n">
        <x:v>0.0379511042062545</x:v>
      </x:c>
      <x:c r="J560" s="24" t="n">
        <x:f>H560*I560</x:f>
        <x:v>0.1138533126187635</x:v>
      </x:c>
      <x:c r="K560" s="32" t="n">
        <x:v>0</x:v>
      </x:c>
      <x:c r="L560" s="32" t="n">
        <x:v>0</x:v>
      </x:c>
      <x:c r="M560" s="32" t="n">
        <x:v>0</x:v>
      </x:c>
      <x:c r="N560" s="24" t="n">
        <x:f>F560+G560+K560-L560+M560-H560-J560</x:f>
        <x:v>6.59603557562596</x:v>
      </x:c>
      <x:c r="O560" s="24" t="n">
        <x:f>H560*'封面与口径'!$O$24</x:f>
        <x:v>3.5999999999999996</x:v>
      </x:c>
      <x:c r="P560" s="19" t="str">
        <x:f>IF(N560&lt;0,"缺货",IF(N560&lt;O560,"预警","正常"))</x:f>
        <x:v>正常</x:v>
      </x:c>
      <x:c r="Q560" s="19" t="str">
        <x:v>鲈鱼0709-07</x:v>
      </x:c>
    </x:row>
    <x:row r="561">
      <x:c r="A561" s="19" t="str">
        <x:v>2026-07-10|S07|鲈鱼</x:v>
      </x:c>
      <x:c r="B561" s="34" t="n">
        <x:v>46213.5</x:v>
      </x:c>
      <x:c r="C561" s="19" t="str">
        <x:v>S07</x:v>
      </x:c>
      <x:c r="D561" s="19" t="str">
        <x:v>小和山店</x:v>
      </x:c>
      <x:c r="E561" s="19" t="str">
        <x:v>鲈鱼</x:v>
      </x:c>
      <x:c r="F561" s="32" t="n">
        <x:v>6.59603557562596</x:v>
      </x:c>
      <x:c r="G561" s="32" t="n">
        <x:v>3.4506372013526594</x:v>
      </x:c>
      <x:c r="H561" s="24" t="n">
        <x:f>'菜品日销量'!G916*500/1000</x:f>
        <x:v>3</x:v>
      </x:c>
      <x:c r="I561" s="36" t="n">
        <x:v>0.02270873949111177</x:v>
      </x:c>
      <x:c r="J561" s="24" t="n">
        <x:f>H561*I561</x:f>
        <x:v>0.06812621847333532</x:v>
      </x:c>
      <x:c r="K561" s="32" t="n">
        <x:v>0</x:v>
      </x:c>
      <x:c r="L561" s="32" t="n">
        <x:v>0</x:v>
      </x:c>
      <x:c r="M561" s="32" t="n">
        <x:v>0</x:v>
      </x:c>
      <x:c r="N561" s="24" t="n">
        <x:f>F561+G561+K561-L561+M561-H561-J561</x:f>
        <x:v>6.978546558505284</x:v>
      </x:c>
      <x:c r="O561" s="24" t="n">
        <x:f>H561*'封面与口径'!$O$24</x:f>
        <x:v>3.5999999999999996</x:v>
      </x:c>
      <x:c r="P561" s="19" t="str">
        <x:f>IF(N561&lt;0,"缺货",IF(N561&lt;O561,"预警","正常"))</x:f>
        <x:v>正常</x:v>
      </x:c>
      <x:c r="Q561" s="19" t="str">
        <x:v>鲈鱼0710-07</x:v>
      </x:c>
    </x:row>
    <x:row r="562">
      <x:c r="A562" s="19" t="str">
        <x:v>2026-07-11|S07|鲈鱼</x:v>
      </x:c>
      <x:c r="B562" s="34" t="n">
        <x:v>46214.5</x:v>
      </x:c>
      <x:c r="C562" s="19" t="str">
        <x:v>S07</x:v>
      </x:c>
      <x:c r="D562" s="19" t="str">
        <x:v>小和山店</x:v>
      </x:c>
      <x:c r="E562" s="19" t="str">
        <x:v>鲈鱼</x:v>
      </x:c>
      <x:c r="F562" s="32" t="n">
        <x:v>6.9785465585052835</x:v>
      </x:c>
      <x:c r="G562" s="32" t="n">
        <x:v>2.8354317650514265</x:v>
      </x:c>
      <x:c r="H562" s="24" t="n">
        <x:f>'菜品日销量'!G936*500/1000</x:f>
        <x:v>2.5</x:v>
      </x:c>
      <x:c r="I562" s="36" t="n">
        <x:v>0.03875318843376664</x:v>
      </x:c>
      <x:c r="J562" s="24" t="n">
        <x:f>H562*I562</x:f>
        <x:v>0.0968829710844166</x:v>
      </x:c>
      <x:c r="K562" s="32" t="n">
        <x:v>0</x:v>
      </x:c>
      <x:c r="L562" s="32" t="n">
        <x:v>0</x:v>
      </x:c>
      <x:c r="M562" s="32" t="n">
        <x:v>0</x:v>
      </x:c>
      <x:c r="N562" s="24" t="n">
        <x:f>F562+G562+K562-L562+M562-H562-J562</x:f>
        <x:v>7.2170953524722945</x:v>
      </x:c>
      <x:c r="O562" s="24" t="n">
        <x:f>H562*'封面与口径'!$O$24</x:f>
        <x:v>3</x:v>
      </x:c>
      <x:c r="P562" s="19" t="str">
        <x:f>IF(N562&lt;0,"缺货",IF(N562&lt;O562,"预警","正常"))</x:f>
        <x:v>正常</x:v>
      </x:c>
      <x:c r="Q562" s="19" t="str">
        <x:v>鲈鱼0711-07</x:v>
      </x:c>
    </x:row>
    <x:row r="563">
      <x:c r="A563" s="19" t="str">
        <x:v>2026-07-12|S07|鲈鱼</x:v>
      </x:c>
      <x:c r="B563" s="34" t="n">
        <x:v>46215.5</x:v>
      </x:c>
      <x:c r="C563" s="19" t="str">
        <x:v>S07</x:v>
      </x:c>
      <x:c r="D563" s="19" t="str">
        <x:v>小和山店</x:v>
      </x:c>
      <x:c r="E563" s="19" t="str">
        <x:v>鲈鱼</x:v>
      </x:c>
      <x:c r="F563" s="32" t="n">
        <x:v>7.2170953524722945</x:v>
      </x:c>
      <x:c r="G563" s="32" t="n">
        <x:v>2.2020983587489695</x:v>
      </x:c>
      <x:c r="H563" s="24" t="n">
        <x:f>'菜品日销量'!G956*500/1000</x:f>
        <x:v>2</x:v>
      </x:c>
      <x:c r="I563" s="36" t="n">
        <x:v>0.01883382650414338</x:v>
      </x:c>
      <x:c r="J563" s="24" t="n">
        <x:f>H563*I563</x:f>
        <x:v>0.03766765300828676</x:v>
      </x:c>
      <x:c r="K563" s="32" t="n">
        <x:v>0</x:v>
      </x:c>
      <x:c r="L563" s="32" t="n">
        <x:v>0</x:v>
      </x:c>
      <x:c r="M563" s="32" t="n">
        <x:v>0</x:v>
      </x:c>
      <x:c r="N563" s="24" t="n">
        <x:f>F563+G563+K563-L563+M563-H563-J563</x:f>
        <x:v>7.3815260582129785</x:v>
      </x:c>
      <x:c r="O563" s="24" t="n">
        <x:f>H563*'封面与口径'!$O$24</x:f>
        <x:v>2.4</x:v>
      </x:c>
      <x:c r="P563" s="19" t="str">
        <x:f>IF(N563&lt;0,"缺货",IF(N563&lt;O563,"预警","正常"))</x:f>
        <x:v>正常</x:v>
      </x:c>
      <x:c r="Q563" s="19" t="str">
        <x:v>鲈鱼0712-07</x:v>
      </x:c>
    </x:row>
    <x:row r="564">
      <x:c r="A564" s="19" t="str">
        <x:v>2026-07-13|S07|鲈鱼</x:v>
      </x:c>
      <x:c r="B564" s="34" t="n">
        <x:v>46216.5</x:v>
      </x:c>
      <x:c r="C564" s="19" t="str">
        <x:v>S07</x:v>
      </x:c>
      <x:c r="D564" s="19" t="str">
        <x:v>小和山店</x:v>
      </x:c>
      <x:c r="E564" s="19" t="str">
        <x:v>鲈鱼</x:v>
      </x:c>
      <x:c r="F564" s="32" t="n">
        <x:v>7.3815260582129785</x:v>
      </x:c>
      <x:c r="G564" s="32" t="n">
        <x:v>4.148125809935882</x:v>
      </x:c>
      <x:c r="H564" s="24" t="n">
        <x:f>'菜品日销量'!G976*500/1000</x:f>
        <x:v>3.5</x:v>
      </x:c>
      <x:c r="I564" s="36" t="n">
        <x:v>0.037881407651091326</x:v>
      </x:c>
      <x:c r="J564" s="24" t="n">
        <x:f>H564*I564</x:f>
        <x:v>0.13258492677881964</x:v>
      </x:c>
      <x:c r="K564" s="32" t="n">
        <x:v>0</x:v>
      </x:c>
      <x:c r="L564" s="32" t="n">
        <x:v>0</x:v>
      </x:c>
      <x:c r="M564" s="32" t="n">
        <x:v>0</x:v>
      </x:c>
      <x:c r="N564" s="24" t="n">
        <x:f>F564+G564+K564-L564+M564-H564-J564</x:f>
        <x:v>7.897066941370041</x:v>
      </x:c>
      <x:c r="O564" s="24" t="n">
        <x:f>H564*'封面与口径'!$O$24</x:f>
        <x:v>4.2</x:v>
      </x:c>
      <x:c r="P564" s="19" t="str">
        <x:f>IF(N564&lt;0,"缺货",IF(N564&lt;O564,"预警","正常"))</x:f>
        <x:v>正常</x:v>
      </x:c>
      <x:c r="Q564" s="19" t="str">
        <x:v>鲈鱼0713-07</x:v>
      </x:c>
    </x:row>
    <x:row r="565">
      <x:c r="A565" s="19" t="str">
        <x:v>2026-07-07|S07|酸包菜</x:v>
      </x:c>
      <x:c r="B565" s="34" t="n">
        <x:v>46210.5</x:v>
      </x:c>
      <x:c r="C565" s="19" t="str">
        <x:v>S07</x:v>
      </x:c>
      <x:c r="D565" s="19" t="str">
        <x:v>小和山店</x:v>
      </x:c>
      <x:c r="E565" s="19" t="str">
        <x:v>酸包菜</x:v>
      </x:c>
      <x:c r="F565" s="32" t="n">
        <x:v>12.24</x:v>
      </x:c>
      <x:c r="G565" s="32" t="n">
        <x:v>7.56446630361594</x:v>
      </x:c>
      <x:c r="H565" s="24" t="n">
        <x:f>'菜品日销量'!G848*200/1000</x:f>
        <x:v>6.8</x:v>
      </x:c>
      <x:c r="I565" s="36" t="n">
        <x:v>0.025130809954165202</x:v>
      </x:c>
      <x:c r="J565" s="24" t="n">
        <x:f>H565*I565</x:f>
        <x:v>0.17088950768832337</x:v>
      </x:c>
      <x:c r="K565" s="32" t="n">
        <x:v>0</x:v>
      </x:c>
      <x:c r="L565" s="32" t="n">
        <x:v>0</x:v>
      </x:c>
      <x:c r="M565" s="32" t="n">
        <x:v>0</x:v>
      </x:c>
      <x:c r="N565" s="24" t="n">
        <x:f>F565+G565+K565-L565+M565-H565-J565</x:f>
        <x:v>12.833576795927614</x:v>
      </x:c>
      <x:c r="O565" s="24" t="n">
        <x:f>H565*'封面与口径'!$O$24</x:f>
        <x:v>8.16</x:v>
      </x:c>
      <x:c r="P565" s="19" t="str">
        <x:f>IF(N565&lt;0,"缺货",IF(N565&lt;O565,"预警","正常"))</x:f>
        <x:v>正常</x:v>
      </x:c>
      <x:c r="Q565" s="19" t="str">
        <x:v>酸包0707-07</x:v>
      </x:c>
    </x:row>
    <x:row r="566">
      <x:c r="A566" s="19" t="str">
        <x:v>2026-07-08|S07|酸包菜</x:v>
      </x:c>
      <x:c r="B566" s="34" t="n">
        <x:v>46211.5</x:v>
      </x:c>
      <x:c r="C566" s="19" t="str">
        <x:v>S07</x:v>
      </x:c>
      <x:c r="D566" s="19" t="str">
        <x:v>小和山店</x:v>
      </x:c>
      <x:c r="E566" s="19" t="str">
        <x:v>酸包菜</x:v>
      </x:c>
      <x:c r="F566" s="32" t="n">
        <x:v>12.833576795927616</x:v>
      </x:c>
      <x:c r="G566" s="32" t="n">
        <x:v>8.087174624131801</x:v>
      </x:c>
      <x:c r="H566" s="24" t="n">
        <x:f>'菜品日销量'!G868*200/1000</x:f>
        <x:v>7</x:v>
      </x:c>
      <x:c r="I566" s="36" t="n">
        <x:v>0.026073588431131466</x:v>
      </x:c>
      <x:c r="J566" s="24" t="n">
        <x:f>H566*I566</x:f>
        <x:v>0.18251511901792025</x:v>
      </x:c>
      <x:c r="K566" s="32" t="n">
        <x:v>0</x:v>
      </x:c>
      <x:c r="L566" s="32" t="n">
        <x:v>0</x:v>
      </x:c>
      <x:c r="M566" s="32" t="n">
        <x:v>0</x:v>
      </x:c>
      <x:c r="N566" s="24" t="n">
        <x:f>F566+G566+K566-L566+M566-H566-J566</x:f>
        <x:v>13.738236301041498</x:v>
      </x:c>
      <x:c r="O566" s="24" t="n">
        <x:f>H566*'封面与口径'!$O$24</x:f>
        <x:v>8.4</x:v>
      </x:c>
      <x:c r="P566" s="19" t="str">
        <x:f>IF(N566&lt;0,"缺货",IF(N566&lt;O566,"预警","正常"))</x:f>
        <x:v>正常</x:v>
      </x:c>
      <x:c r="Q566" s="19" t="str">
        <x:v>酸包0708-07</x:v>
      </x:c>
    </x:row>
    <x:row r="567">
      <x:c r="A567" s="19" t="str">
        <x:v>2026-07-09|S07|酸包菜</x:v>
      </x:c>
      <x:c r="B567" s="34" t="n">
        <x:v>46212.5</x:v>
      </x:c>
      <x:c r="C567" s="19" t="str">
        <x:v>S07</x:v>
      </x:c>
      <x:c r="D567" s="19" t="str">
        <x:v>小和山店</x:v>
      </x:c>
      <x:c r="E567" s="19" t="str">
        <x:v>酸包菜</x:v>
      </x:c>
      <x:c r="F567" s="32" t="n">
        <x:v>13.738236301041498</x:v>
      </x:c>
      <x:c r="G567" s="32" t="n">
        <x:v>8.236930340388076</x:v>
      </x:c>
      <x:c r="H567" s="24" t="n">
        <x:f>'菜品日销量'!G888*200/1000</x:f>
        <x:v>7</x:v>
      </x:c>
      <x:c r="I567" s="36" t="n">
        <x:v>0.018823125427314808</x:v>
      </x:c>
      <x:c r="J567" s="24" t="n">
        <x:f>H567*I567</x:f>
        <x:v>0.13176187799120365</x:v>
      </x:c>
      <x:c r="K567" s="32" t="n">
        <x:v>0</x:v>
      </x:c>
      <x:c r="L567" s="32" t="n">
        <x:v>0</x:v>
      </x:c>
      <x:c r="M567" s="32" t="n">
        <x:v>0</x:v>
      </x:c>
      <x:c r="N567" s="24" t="n">
        <x:f>F567+G567+K567-L567+M567-H567-J567</x:f>
        <x:v>14.84340476343837</x:v>
      </x:c>
      <x:c r="O567" s="24" t="n">
        <x:f>H567*'封面与口径'!$O$24</x:f>
        <x:v>8.4</x:v>
      </x:c>
      <x:c r="P567" s="19" t="str">
        <x:f>IF(N567&lt;0,"缺货",IF(N567&lt;O567,"预警","正常"))</x:f>
        <x:v>正常</x:v>
      </x:c>
      <x:c r="Q567" s="19" t="str">
        <x:v>酸包0709-07</x:v>
      </x:c>
    </x:row>
    <x:row r="568">
      <x:c r="A568" s="19" t="str">
        <x:v>2026-07-10|S07|酸包菜</x:v>
      </x:c>
      <x:c r="B568" s="34" t="n">
        <x:v>46213.5</x:v>
      </x:c>
      <x:c r="C568" s="19" t="str">
        <x:v>S07</x:v>
      </x:c>
      <x:c r="D568" s="19" t="str">
        <x:v>小和山店</x:v>
      </x:c>
      <x:c r="E568" s="19" t="str">
        <x:v>酸包菜</x:v>
      </x:c>
      <x:c r="F568" s="32" t="n">
        <x:v>14.843404763438372</x:v>
      </x:c>
      <x:c r="G568" s="32" t="n">
        <x:v>7.667419071773864</x:v>
      </x:c>
      <x:c r="H568" s="24" t="n">
        <x:f>'菜品日销量'!G908*200/1000</x:f>
        <x:v>6.6</x:v>
      </x:c>
      <x:c r="I568" s="36" t="n">
        <x:v>0.031953057805530975</x:v>
      </x:c>
      <x:c r="J568" s="24" t="n">
        <x:f>H568*I568</x:f>
        <x:v>0.21089018151650443</x:v>
      </x:c>
      <x:c r="K568" s="32" t="n">
        <x:v>0</x:v>
      </x:c>
      <x:c r="L568" s="32" t="n">
        <x:v>0</x:v>
      </x:c>
      <x:c r="M568" s="32" t="n">
        <x:v>0</x:v>
      </x:c>
      <x:c r="N568" s="24" t="n">
        <x:f>F568+G568+K568-L568+M568-H568-J568</x:f>
        <x:v>15.699933653695732</x:v>
      </x:c>
      <x:c r="O568" s="24" t="n">
        <x:f>H568*'封面与口径'!$O$24</x:f>
        <x:v>7.919999999999999</x:v>
      </x:c>
      <x:c r="P568" s="19" t="str">
        <x:f>IF(N568&lt;0,"缺货",IF(N568&lt;O568,"预警","正常"))</x:f>
        <x:v>正常</x:v>
      </x:c>
      <x:c r="Q568" s="19" t="str">
        <x:v>酸包0710-07</x:v>
      </x:c>
    </x:row>
    <x:row r="569">
      <x:c r="A569" s="19" t="str">
        <x:v>2026-07-11|S07|酸包菜</x:v>
      </x:c>
      <x:c r="B569" s="34" t="n">
        <x:v>46214.5</x:v>
      </x:c>
      <x:c r="C569" s="19" t="str">
        <x:v>S07</x:v>
      </x:c>
      <x:c r="D569" s="19" t="str">
        <x:v>小和山店</x:v>
      </x:c>
      <x:c r="E569" s="19" t="str">
        <x:v>酸包菜</x:v>
      </x:c>
      <x:c r="F569" s="32" t="n">
        <x:v>15.699933653695732</x:v>
      </x:c>
      <x:c r="G569" s="32" t="n">
        <x:v>5.65837432743478</x:v>
      </x:c>
      <x:c r="H569" s="24" t="n">
        <x:f>'菜品日销量'!G928*200/1000</x:f>
        <x:v>5</x:v>
      </x:c>
      <x:c r="I569" s="36" t="n">
        <x:v>0.03932036644879737</x:v>
      </x:c>
      <x:c r="J569" s="24" t="n">
        <x:f>H569*I569</x:f>
        <x:v>0.19660183224398686</x:v>
      </x:c>
      <x:c r="K569" s="32" t="n">
        <x:v>0</x:v>
      </x:c>
      <x:c r="L569" s="32" t="n">
        <x:v>0</x:v>
      </x:c>
      <x:c r="M569" s="32" t="n">
        <x:v>0</x:v>
      </x:c>
      <x:c r="N569" s="24" t="n">
        <x:f>F569+G569+K569-L569+M569-H569-J569</x:f>
        <x:v>16.161706148886523</x:v>
      </x:c>
      <x:c r="O569" s="24" t="n">
        <x:f>H569*'封面与口径'!$O$24</x:f>
        <x:v>6</x:v>
      </x:c>
      <x:c r="P569" s="19" t="str">
        <x:f>IF(N569&lt;0,"缺货",IF(N569&lt;O569,"预警","正常"))</x:f>
        <x:v>正常</x:v>
      </x:c>
      <x:c r="Q569" s="19" t="str">
        <x:v>酸包0711-07</x:v>
      </x:c>
    </x:row>
    <x:row r="570">
      <x:c r="A570" s="19" t="str">
        <x:v>2026-07-12|S07|酸包菜</x:v>
      </x:c>
      <x:c r="B570" s="34" t="n">
        <x:v>46215.5</x:v>
      </x:c>
      <x:c r="C570" s="19" t="str">
        <x:v>S07</x:v>
      </x:c>
      <x:c r="D570" s="19" t="str">
        <x:v>小和山店</x:v>
      </x:c>
      <x:c r="E570" s="19" t="str">
        <x:v>酸包菜</x:v>
      </x:c>
      <x:c r="F570" s="32" t="n">
        <x:v>16.161706148886523</x:v>
      </x:c>
      <x:c r="G570" s="32" t="n">
        <x:v>5.934986621111396</x:v>
      </x:c>
      <x:c r="H570" s="24" t="n">
        <x:f>'菜品日销量'!G948*200/1000</x:f>
        <x:v>5.2</x:v>
      </x:c>
      <x:c r="I570" s="36" t="n">
        <x:v>0.025894168397852725</x:v>
      </x:c>
      <x:c r="J570" s="24" t="n">
        <x:f>H570*I570</x:f>
        <x:v>0.13464967566883418</x:v>
      </x:c>
      <x:c r="K570" s="32" t="n">
        <x:v>0</x:v>
      </x:c>
      <x:c r="L570" s="32" t="n">
        <x:v>0</x:v>
      </x:c>
      <x:c r="M570" s="32" t="n">
        <x:v>0</x:v>
      </x:c>
      <x:c r="N570" s="24" t="n">
        <x:f>F570+G570+K570-L570+M570-H570-J570</x:f>
        <x:v>16.762043094329087</x:v>
      </x:c>
      <x:c r="O570" s="24" t="n">
        <x:f>H570*'封面与口径'!$O$24</x:f>
        <x:v>6.24</x:v>
      </x:c>
      <x:c r="P570" s="19" t="str">
        <x:f>IF(N570&lt;0,"缺货",IF(N570&lt;O570,"预警","正常"))</x:f>
        <x:v>正常</x:v>
      </x:c>
      <x:c r="Q570" s="19" t="str">
        <x:v>酸包0712-07</x:v>
      </x:c>
    </x:row>
    <x:row r="571">
      <x:c r="A571" s="19" t="str">
        <x:v>2026-07-13|S07|酸包菜</x:v>
      </x:c>
      <x:c r="B571" s="34" t="n">
        <x:v>46216.5</x:v>
      </x:c>
      <x:c r="C571" s="19" t="str">
        <x:v>S07</x:v>
      </x:c>
      <x:c r="D571" s="19" t="str">
        <x:v>小和山店</x:v>
      </x:c>
      <x:c r="E571" s="19" t="str">
        <x:v>酸包菜</x:v>
      </x:c>
      <x:c r="F571" s="32" t="n">
        <x:v>16.762043094329087</x:v>
      </x:c>
      <x:c r="G571" s="32" t="n">
        <x:v>7.698235249247923</x:v>
      </x:c>
      <x:c r="H571" s="24" t="n">
        <x:f>'菜品日销量'!G968*200/1000</x:f>
        <x:v>6.8</x:v>
      </x:c>
      <x:c r="I571" s="36" t="n">
        <x:v>0.038603694437445074</x:v>
      </x:c>
      <x:c r="J571" s="24" t="n">
        <x:f>H571*I571</x:f>
        <x:v>0.2625051221746265</x:v>
      </x:c>
      <x:c r="K571" s="32" t="n">
        <x:v>0</x:v>
      </x:c>
      <x:c r="L571" s="32" t="n">
        <x:v>0</x:v>
      </x:c>
      <x:c r="M571" s="32" t="n">
        <x:v>0</x:v>
      </x:c>
      <x:c r="N571" s="24" t="n">
        <x:f>F571+G571+K571-L571+M571-H571-J571</x:f>
        <x:v>17.39777322140238</x:v>
      </x:c>
      <x:c r="O571" s="24" t="n">
        <x:f>H571*'封面与口径'!$O$24</x:f>
        <x:v>8.16</x:v>
      </x:c>
      <x:c r="P571" s="19" t="str">
        <x:f>IF(N571&lt;0,"缺货",IF(N571&lt;O571,"预警","正常"))</x:f>
        <x:v>正常</x:v>
      </x:c>
      <x:c r="Q571" s="19" t="str">
        <x:v>酸包0713-07</x:v>
      </x:c>
    </x:row>
    <x:row r="572">
      <x:c r="A572" s="19" t="str">
        <x:v>2026-07-07|S07|粉皮</x:v>
      </x:c>
      <x:c r="B572" s="34" t="n">
        <x:v>46210.5</x:v>
      </x:c>
      <x:c r="C572" s="19" t="str">
        <x:v>S07</x:v>
      </x:c>
      <x:c r="D572" s="19" t="str">
        <x:v>小和山店</x:v>
      </x:c>
      <x:c r="E572" s="19" t="str">
        <x:v>粉皮</x:v>
      </x:c>
      <x:c r="F572" s="32" t="n">
        <x:v>9.18</x:v>
      </x:c>
      <x:c r="G572" s="32" t="n">
        <x:v>5.715860347138686</x:v>
      </x:c>
      <x:c r="H572" s="24" t="n">
        <x:f>'菜品日销量'!G848*150/1000</x:f>
        <x:v>5.1</x:v>
      </x:c>
      <x:c r="I572" s="36" t="n">
        <x:v>0.036565592346378975</x:v>
      </x:c>
      <x:c r="J572" s="24" t="n">
        <x:f>H572*I572</x:f>
        <x:v>0.18648452096653276</x:v>
      </x:c>
      <x:c r="K572" s="32" t="n">
        <x:v>0</x:v>
      </x:c>
      <x:c r="L572" s="32" t="n">
        <x:v>0</x:v>
      </x:c>
      <x:c r="M572" s="32" t="n">
        <x:v>0</x:v>
      </x:c>
      <x:c r="N572" s="24" t="n">
        <x:f>F572+G572+K572-L572+M572-H572-J572</x:f>
        <x:v>9.609375826172155</x:v>
      </x:c>
      <x:c r="O572" s="24" t="n">
        <x:f>H572*'封面与口径'!$O$24</x:f>
        <x:v>6.119999999999999</x:v>
      </x:c>
      <x:c r="P572" s="19" t="str">
        <x:f>IF(N572&lt;0,"缺货",IF(N572&lt;O572,"预警","正常"))</x:f>
        <x:v>正常</x:v>
      </x:c>
      <x:c r="Q572" s="19" t="str">
        <x:v>粉皮0707-07</x:v>
      </x:c>
    </x:row>
    <x:row r="573">
      <x:c r="A573" s="19" t="str">
        <x:v>2026-07-08|S07|粉皮</x:v>
      </x:c>
      <x:c r="B573" s="34" t="n">
        <x:v>46211.5</x:v>
      </x:c>
      <x:c r="C573" s="19" t="str">
        <x:v>S07</x:v>
      </x:c>
      <x:c r="D573" s="19" t="str">
        <x:v>小和山店</x:v>
      </x:c>
      <x:c r="E573" s="19" t="str">
        <x:v>粉皮</x:v>
      </x:c>
      <x:c r="F573" s="32" t="n">
        <x:v>9.609375826172155</x:v>
      </x:c>
      <x:c r="G573" s="32" t="n">
        <x:v>5.9293589604760895</x:v>
      </x:c>
      <x:c r="H573" s="24" t="n">
        <x:f>'菜品日销量'!G868*150/1000</x:f>
        <x:v>5.25</x:v>
      </x:c>
      <x:c r="I573" s="36" t="n">
        <x:v>0.02610577213370841</x:v>
      </x:c>
      <x:c r="J573" s="24" t="n">
        <x:f>H573*I573</x:f>
        <x:v>0.13705530370196917</x:v>
      </x:c>
      <x:c r="K573" s="32" t="n">
        <x:v>0</x:v>
      </x:c>
      <x:c r="L573" s="32" t="n">
        <x:v>0</x:v>
      </x:c>
      <x:c r="M573" s="32" t="n">
        <x:v>0</x:v>
      </x:c>
      <x:c r="N573" s="24" t="n">
        <x:f>F573+G573+K573-L573+M573-H573-J573</x:f>
        <x:v>10.151679482946276</x:v>
      </x:c>
      <x:c r="O573" s="24" t="n">
        <x:f>H573*'封面与口径'!$O$24</x:f>
        <x:v>6.3</x:v>
      </x:c>
      <x:c r="P573" s="19" t="str">
        <x:f>IF(N573&lt;0,"缺货",IF(N573&lt;O573,"预警","正常"))</x:f>
        <x:v>正常</x:v>
      </x:c>
      <x:c r="Q573" s="19" t="str">
        <x:v>粉皮0708-07</x:v>
      </x:c>
    </x:row>
    <x:row r="574">
      <x:c r="A574" s="19" t="str">
        <x:v>2026-07-09|S07|粉皮</x:v>
      </x:c>
      <x:c r="B574" s="34" t="n">
        <x:v>46212.5</x:v>
      </x:c>
      <x:c r="C574" s="19" t="str">
        <x:v>S07</x:v>
      </x:c>
      <x:c r="D574" s="19" t="str">
        <x:v>小和山店</x:v>
      </x:c>
      <x:c r="E574" s="19" t="str">
        <x:v>粉皮</x:v>
      </x:c>
      <x:c r="F574" s="32" t="n">
        <x:v>10.151679482946276</x:v>
      </x:c>
      <x:c r="G574" s="32" t="n">
        <x:v>5.690388005492368</x:v>
      </x:c>
      <x:c r="H574" s="24" t="n">
        <x:f>'菜品日销量'!G888*150/1000</x:f>
        <x:v>5.25</x:v>
      </x:c>
      <x:c r="I574" s="36" t="n">
        <x:v>0.01871010151661702</x:v>
      </x:c>
      <x:c r="J574" s="24" t="n">
        <x:f>H574*I574</x:f>
        <x:v>0.09822803296223935</x:v>
      </x:c>
      <x:c r="K574" s="32" t="n">
        <x:v>0</x:v>
      </x:c>
      <x:c r="L574" s="32" t="n">
        <x:v>0</x:v>
      </x:c>
      <x:c r="M574" s="32" t="n">
        <x:v>0</x:v>
      </x:c>
      <x:c r="N574" s="24" t="n">
        <x:f>F574+G574+K574-L574+M574-H574-J574</x:f>
        <x:v>10.493839455476405</x:v>
      </x:c>
      <x:c r="O574" s="24" t="n">
        <x:f>H574*'封面与口径'!$O$24</x:f>
        <x:v>6.3</x:v>
      </x:c>
      <x:c r="P574" s="19" t="str">
        <x:f>IF(N574&lt;0,"缺货",IF(N574&lt;O574,"预警","正常"))</x:f>
        <x:v>正常</x:v>
      </x:c>
      <x:c r="Q574" s="19" t="str">
        <x:v>粉皮0709-07</x:v>
      </x:c>
    </x:row>
    <x:row r="575">
      <x:c r="A575" s="19" t="str">
        <x:v>2026-07-10|S07|粉皮</x:v>
      </x:c>
      <x:c r="B575" s="34" t="n">
        <x:v>46213.5</x:v>
      </x:c>
      <x:c r="C575" s="19" t="str">
        <x:v>S07</x:v>
      </x:c>
      <x:c r="D575" s="19" t="str">
        <x:v>小和山店</x:v>
      </x:c>
      <x:c r="E575" s="19" t="str">
        <x:v>粉皮</x:v>
      </x:c>
      <x:c r="F575" s="32" t="n">
        <x:v>10.493839455476405</x:v>
      </x:c>
      <x:c r="G575" s="32" t="n">
        <x:v>5.423536980403945</x:v>
      </x:c>
      <x:c r="H575" s="24" t="n">
        <x:f>'菜品日销量'!G908*150/1000</x:f>
        <x:v>4.95</x:v>
      </x:c>
      <x:c r="I575" s="36" t="n">
        <x:v>0.02117481936495165</x:v>
      </x:c>
      <x:c r="J575" s="24" t="n">
        <x:f>H575*I575</x:f>
        <x:v>0.10481535585651067</x:v>
      </x:c>
      <x:c r="K575" s="32" t="n">
        <x:v>0</x:v>
      </x:c>
      <x:c r="L575" s="32" t="n">
        <x:v>0</x:v>
      </x:c>
      <x:c r="M575" s="32" t="n">
        <x:v>0</x:v>
      </x:c>
      <x:c r="N575" s="24" t="n">
        <x:f>F575+G575+K575-L575+M575-H575-J575</x:f>
        <x:v>10.86256108002384</x:v>
      </x:c>
      <x:c r="O575" s="24" t="n">
        <x:f>H575*'封面与口径'!$O$24</x:f>
        <x:v>5.94</x:v>
      </x:c>
      <x:c r="P575" s="19" t="str">
        <x:f>IF(N575&lt;0,"缺货",IF(N575&lt;O575,"预警","正常"))</x:f>
        <x:v>正常</x:v>
      </x:c>
      <x:c r="Q575" s="19" t="str">
        <x:v>粉皮0710-07</x:v>
      </x:c>
    </x:row>
    <x:row r="576">
      <x:c r="A576" s="19" t="str">
        <x:v>2026-07-11|S07|粉皮</x:v>
      </x:c>
      <x:c r="B576" s="34" t="n">
        <x:v>46214.5</x:v>
      </x:c>
      <x:c r="C576" s="19" t="str">
        <x:v>S07</x:v>
      </x:c>
      <x:c r="D576" s="19" t="str">
        <x:v>小和山店</x:v>
      </x:c>
      <x:c r="E576" s="19" t="str">
        <x:v>粉皮</x:v>
      </x:c>
      <x:c r="F576" s="32" t="n">
        <x:v>10.862561080023838</x:v>
      </x:c>
      <x:c r="G576" s="32" t="n">
        <x:v>4.398339480929622</x:v>
      </x:c>
      <x:c r="H576" s="24" t="n">
        <x:f>'菜品日销量'!G928*150/1000</x:f>
        <x:v>3.75</x:v>
      </x:c>
      <x:c r="I576" s="36" t="n">
        <x:v>0.039943522334784154</x:v>
      </x:c>
      <x:c r="J576" s="24" t="n">
        <x:f>H576*I576</x:f>
        <x:v>0.14978820875544058</x:v>
      </x:c>
      <x:c r="K576" s="32" t="n">
        <x:v>0</x:v>
      </x:c>
      <x:c r="L576" s="32" t="n">
        <x:v>0</x:v>
      </x:c>
      <x:c r="M576" s="32" t="n">
        <x:v>0</x:v>
      </x:c>
      <x:c r="N576" s="24" t="n">
        <x:f>F576+G576+K576-L576+M576-H576-J576</x:f>
        <x:v>11.361112352198019</x:v>
      </x:c>
      <x:c r="O576" s="24" t="n">
        <x:f>H576*'封面与口径'!$O$24</x:f>
        <x:v>4.5</x:v>
      </x:c>
      <x:c r="P576" s="19" t="str">
        <x:f>IF(N576&lt;0,"缺货",IF(N576&lt;O576,"预警","正常"))</x:f>
        <x:v>正常</x:v>
      </x:c>
      <x:c r="Q576" s="19" t="str">
        <x:v>粉皮0711-07</x:v>
      </x:c>
    </x:row>
    <x:row r="577">
      <x:c r="A577" s="19" t="str">
        <x:v>2026-07-12|S07|粉皮</x:v>
      </x:c>
      <x:c r="B577" s="34" t="n">
        <x:v>46215.5</x:v>
      </x:c>
      <x:c r="C577" s="19" t="str">
        <x:v>S07</x:v>
      </x:c>
      <x:c r="D577" s="19" t="str">
        <x:v>小和山店</x:v>
      </x:c>
      <x:c r="E577" s="19" t="str">
        <x:v>粉皮</x:v>
      </x:c>
      <x:c r="F577" s="32" t="n">
        <x:v>11.361112352198019</x:v>
      </x:c>
      <x:c r="G577" s="32" t="n">
        <x:v>4.667362724019067</x:v>
      </x:c>
      <x:c r="H577" s="24" t="n">
        <x:f>'菜品日销量'!G948*150/1000</x:f>
        <x:v>3.9</x:v>
      </x:c>
      <x:c r="I577" s="36" t="n">
        <x:v>0.02309769904778751</x:v>
      </x:c>
      <x:c r="J577" s="24" t="n">
        <x:f>H577*I577</x:f>
        <x:v>0.09008102628637128</x:v>
      </x:c>
      <x:c r="K577" s="32" t="n">
        <x:v>0</x:v>
      </x:c>
      <x:c r="L577" s="32" t="n">
        <x:v>0</x:v>
      </x:c>
      <x:c r="M577" s="32" t="n">
        <x:v>0</x:v>
      </x:c>
      <x:c r="N577" s="24" t="n">
        <x:f>F577+G577+K577-L577+M577-H577-J577</x:f>
        <x:v>12.038394049930712</x:v>
      </x:c>
      <x:c r="O577" s="24" t="n">
        <x:f>H577*'封面与口径'!$O$24</x:f>
        <x:v>4.68</x:v>
      </x:c>
      <x:c r="P577" s="19" t="str">
        <x:f>IF(N577&lt;0,"缺货",IF(N577&lt;O577,"预警","正常"))</x:f>
        <x:v>正常</x:v>
      </x:c>
      <x:c r="Q577" s="19" t="str">
        <x:v>粉皮0712-07</x:v>
      </x:c>
    </x:row>
    <x:row r="578">
      <x:c r="A578" s="19" t="str">
        <x:v>2026-07-13|S07|粉皮</x:v>
      </x:c>
      <x:c r="B578" s="34" t="n">
        <x:v>46216.5</x:v>
      </x:c>
      <x:c r="C578" s="19" t="str">
        <x:v>S07</x:v>
      </x:c>
      <x:c r="D578" s="19" t="str">
        <x:v>小和山店</x:v>
      </x:c>
      <x:c r="E578" s="19" t="str">
        <x:v>粉皮</x:v>
      </x:c>
      <x:c r="F578" s="32" t="n">
        <x:v>12.038394049930712</x:v>
      </x:c>
      <x:c r="G578" s="32" t="n">
        <x:v>5.781552414250921</x:v>
      </x:c>
      <x:c r="H578" s="24" t="n">
        <x:f>'菜品日销量'!G968*150/1000</x:f>
        <x:v>5.1</x:v>
      </x:c>
      <x:c r="I578" s="36" t="n">
        <x:v>0.021700715237925924</x:v>
      </x:c>
      <x:c r="J578" s="24" t="n">
        <x:f>H578*I578</x:f>
        <x:v>0.11067364771342221</x:v>
      </x:c>
      <x:c r="K578" s="32" t="n">
        <x:v>0</x:v>
      </x:c>
      <x:c r="L578" s="32" t="n">
        <x:v>0</x:v>
      </x:c>
      <x:c r="M578" s="32" t="n">
        <x:v>0</x:v>
      </x:c>
      <x:c r="N578" s="24" t="n">
        <x:f>F578+G578+K578-L578+M578-H578-J578</x:f>
        <x:v>12.609272816468211</x:v>
      </x:c>
      <x:c r="O578" s="24" t="n">
        <x:f>H578*'封面与口径'!$O$24</x:f>
        <x:v>6.119999999999999</x:v>
      </x:c>
      <x:c r="P578" s="19" t="str">
        <x:f>IF(N578&lt;0,"缺货",IF(N578&lt;O578,"预警","正常"))</x:f>
        <x:v>正常</x:v>
      </x:c>
      <x:c r="Q578" s="19" t="str">
        <x:v>粉皮0713-07</x:v>
      </x:c>
    </x:row>
    <x:row r="579">
      <x:c r="A579" s="19" t="str">
        <x:v>2026-07-07|S07|鸡杂</x:v>
      </x:c>
      <x:c r="B579" s="34" t="n">
        <x:v>46210.5</x:v>
      </x:c>
      <x:c r="C579" s="19" t="str">
        <x:v>S07</x:v>
      </x:c>
      <x:c r="D579" s="19" t="str">
        <x:v>小和山店</x:v>
      </x:c>
      <x:c r="E579" s="19" t="str">
        <x:v>鸡杂</x:v>
      </x:c>
      <x:c r="F579" s="32" t="n">
        <x:v>5.4</x:v>
      </x:c>
      <x:c r="G579" s="32" t="n">
        <x:v>3.5957715828986307</x:v>
      </x:c>
      <x:c r="H579" s="24" t="n">
        <x:f>'菜品日销量'!G858*250/1000+'菜品日销量'!G863*250/1000</x:f>
        <x:v>3</x:v>
      </x:c>
      <x:c r="I579" s="36" t="n">
        <x:v>0.026015085721391974</x:v>
      </x:c>
      <x:c r="J579" s="24" t="n">
        <x:f>H579*I579</x:f>
        <x:v>0.07804525716417593</x:v>
      </x:c>
      <x:c r="K579" s="32" t="n">
        <x:v>0</x:v>
      </x:c>
      <x:c r="L579" s="32" t="n">
        <x:v>0</x:v>
      </x:c>
      <x:c r="M579" s="32" t="n">
        <x:v>0</x:v>
      </x:c>
      <x:c r="N579" s="24" t="n">
        <x:f>F579+G579+K579-L579+M579-H579-J579</x:f>
        <x:v>5.917726325734455</x:v>
      </x:c>
      <x:c r="O579" s="24" t="n">
        <x:f>H579*'封面与口径'!$O$24</x:f>
        <x:v>3.5999999999999996</x:v>
      </x:c>
      <x:c r="P579" s="19" t="str">
        <x:f>IF(N579&lt;0,"缺货",IF(N579&lt;O579,"预警","正常"))</x:f>
        <x:v>正常</x:v>
      </x:c>
      <x:c r="Q579" s="19" t="str">
        <x:v>鸡杂0707-07</x:v>
      </x:c>
    </x:row>
    <x:row r="580">
      <x:c r="A580" s="19" t="str">
        <x:v>2026-07-08|S07|鸡杂</x:v>
      </x:c>
      <x:c r="B580" s="34" t="n">
        <x:v>46211.5</x:v>
      </x:c>
      <x:c r="C580" s="19" t="str">
        <x:v>S07</x:v>
      </x:c>
      <x:c r="D580" s="19" t="str">
        <x:v>小和山店</x:v>
      </x:c>
      <x:c r="E580" s="19" t="str">
        <x:v>鸡杂</x:v>
      </x:c>
      <x:c r="F580" s="32" t="n">
        <x:v>5.917726325734455</x:v>
      </x:c>
      <x:c r="G580" s="32" t="n">
        <x:v>3.6293528579057552</x:v>
      </x:c>
      <x:c r="H580" s="24" t="n">
        <x:f>'菜品日销量'!G878*250/1000+'菜品日销量'!G883*250/1000</x:f>
        <x:v>3.25</x:v>
      </x:c>
      <x:c r="I580" s="36" t="n">
        <x:v>0.029840920505775352</x:v>
      </x:c>
      <x:c r="J580" s="24" t="n">
        <x:f>H580*I580</x:f>
        <x:v>0.09698299164376989</x:v>
      </x:c>
      <x:c r="K580" s="32" t="n">
        <x:v>0</x:v>
      </x:c>
      <x:c r="L580" s="32" t="n">
        <x:v>0</x:v>
      </x:c>
      <x:c r="M580" s="32" t="n">
        <x:v>0</x:v>
      </x:c>
      <x:c r="N580" s="24" t="n">
        <x:f>F580+G580+K580-L580+M580-H580-J580</x:f>
        <x:v>6.20009619199644</x:v>
      </x:c>
      <x:c r="O580" s="24" t="n">
        <x:f>H580*'封面与口径'!$O$24</x:f>
        <x:v>3.9</x:v>
      </x:c>
      <x:c r="P580" s="19" t="str">
        <x:f>IF(N580&lt;0,"缺货",IF(N580&lt;O580,"预警","正常"))</x:f>
        <x:v>正常</x:v>
      </x:c>
      <x:c r="Q580" s="19" t="str">
        <x:v>鸡杂0708-07</x:v>
      </x:c>
    </x:row>
    <x:row r="581">
      <x:c r="A581" s="19" t="str">
        <x:v>2026-07-09|S07|鸡杂</x:v>
      </x:c>
      <x:c r="B581" s="34" t="n">
        <x:v>46212.5</x:v>
      </x:c>
      <x:c r="C581" s="19" t="str">
        <x:v>S07</x:v>
      </x:c>
      <x:c r="D581" s="19" t="str">
        <x:v>小和山店</x:v>
      </x:c>
      <x:c r="E581" s="19" t="str">
        <x:v>鸡杂</x:v>
      </x:c>
      <x:c r="F581" s="32" t="n">
        <x:v>6.200096191996441</x:v>
      </x:c>
      <x:c r="G581" s="32" t="n">
        <x:v>3.5879863748392062</x:v>
      </x:c>
      <x:c r="H581" s="24" t="n">
        <x:f>'菜品日销量'!G898*250/1000+'菜品日销量'!G903*250/1000</x:f>
        <x:v>3</x:v>
      </x:c>
      <x:c r="I581" s="36" t="n">
        <x:v>0.017513877902532435</x:v>
      </x:c>
      <x:c r="J581" s="24" t="n">
        <x:f>H581*I581</x:f>
        <x:v>0.052541633707597304</x:v>
      </x:c>
      <x:c r="K581" s="32" t="n">
        <x:v>0</x:v>
      </x:c>
      <x:c r="L581" s="32" t="n">
        <x:v>0</x:v>
      </x:c>
      <x:c r="M581" s="32" t="n">
        <x:v>0</x:v>
      </x:c>
      <x:c r="N581" s="24" t="n">
        <x:f>F581+G581+K581-L581+M581-H581-J581</x:f>
        <x:v>6.735540933128051</x:v>
      </x:c>
      <x:c r="O581" s="24" t="n">
        <x:f>H581*'封面与口径'!$O$24</x:f>
        <x:v>3.5999999999999996</x:v>
      </x:c>
      <x:c r="P581" s="19" t="str">
        <x:f>IF(N581&lt;0,"缺货",IF(N581&lt;O581,"预警","正常"))</x:f>
        <x:v>正常</x:v>
      </x:c>
      <x:c r="Q581" s="19" t="str">
        <x:v>鸡杂0709-07</x:v>
      </x:c>
    </x:row>
    <x:row r="582">
      <x:c r="A582" s="19" t="str">
        <x:v>2026-07-10|S07|鸡杂</x:v>
      </x:c>
      <x:c r="B582" s="34" t="n">
        <x:v>46213.5</x:v>
      </x:c>
      <x:c r="C582" s="19" t="str">
        <x:v>S07</x:v>
      </x:c>
      <x:c r="D582" s="19" t="str">
        <x:v>小和山店</x:v>
      </x:c>
      <x:c r="E582" s="19" t="str">
        <x:v>鸡杂</x:v>
      </x:c>
      <x:c r="F582" s="32" t="n">
        <x:v>6.735540933128051</x:v>
      </x:c>
      <x:c r="G582" s="32" t="n">
        <x:v>3.6678865178250444</x:v>
      </x:c>
      <x:c r="H582" s="24" t="n">
        <x:f>'菜品日销量'!G918*250/1000+'菜品日销量'!G923*250/1000</x:f>
        <x:v>3.25</x:v>
      </x:c>
      <x:c r="I582" s="36" t="n">
        <x:v>0.018315203433929755</x:v>
      </x:c>
      <x:c r="J582" s="24" t="n">
        <x:f>H582*I582</x:f>
        <x:v>0.059524411160271705</x:v>
      </x:c>
      <x:c r="K582" s="32" t="n">
        <x:v>0</x:v>
      </x:c>
      <x:c r="L582" s="32" t="n">
        <x:v>0</x:v>
      </x:c>
      <x:c r="M582" s="32" t="n">
        <x:v>0</x:v>
      </x:c>
      <x:c r="N582" s="24" t="n">
        <x:f>F582+G582+K582-L582+M582-H582-J582</x:f>
        <x:v>7.093903039792824</x:v>
      </x:c>
      <x:c r="O582" s="24" t="n">
        <x:f>H582*'封面与口径'!$O$24</x:f>
        <x:v>3.9</x:v>
      </x:c>
      <x:c r="P582" s="19" t="str">
        <x:f>IF(N582&lt;0,"缺货",IF(N582&lt;O582,"预警","正常"))</x:f>
        <x:v>正常</x:v>
      </x:c>
      <x:c r="Q582" s="19" t="str">
        <x:v>鸡杂0710-07</x:v>
      </x:c>
    </x:row>
    <x:row r="583">
      <x:c r="A583" s="19" t="str">
        <x:v>2026-07-11|S07|鸡杂</x:v>
      </x:c>
      <x:c r="B583" s="34" t="n">
        <x:v>46214.5</x:v>
      </x:c>
      <x:c r="C583" s="19" t="str">
        <x:v>S07</x:v>
      </x:c>
      <x:c r="D583" s="19" t="str">
        <x:v>小和山店</x:v>
      </x:c>
      <x:c r="E583" s="19" t="str">
        <x:v>鸡杂</x:v>
      </x:c>
      <x:c r="F583" s="32" t="n">
        <x:v>7.093903039792824</x:v>
      </x:c>
      <x:c r="G583" s="32" t="n">
        <x:v>2.546644182206747</x:v>
      </x:c>
      <x:c r="H583" s="24" t="n">
        <x:f>'菜品日销量'!G938*250/1000+'菜品日销量'!G943*250/1000</x:f>
        <x:v>2.25</x:v>
      </x:c>
      <x:c r="I583" s="36" t="n">
        <x:v>0.0317806228079788</x:v>
      </x:c>
      <x:c r="J583" s="24" t="n">
        <x:f>H583*I583</x:f>
        <x:v>0.0715064013179523</x:v>
      </x:c>
      <x:c r="K583" s="32" t="n">
        <x:v>0</x:v>
      </x:c>
      <x:c r="L583" s="32" t="n">
        <x:v>0</x:v>
      </x:c>
      <x:c r="M583" s="32" t="n">
        <x:v>0</x:v>
      </x:c>
      <x:c r="N583" s="24" t="n">
        <x:f>F583+G583+K583-L583+M583-H583-J583</x:f>
        <x:v>7.31904082068162</x:v>
      </x:c>
      <x:c r="O583" s="24" t="n">
        <x:f>H583*'封面与口径'!$O$24</x:f>
        <x:v>2.6999999999999997</x:v>
      </x:c>
      <x:c r="P583" s="19" t="str">
        <x:f>IF(N583&lt;0,"缺货",IF(N583&lt;O583,"预警","正常"))</x:f>
        <x:v>正常</x:v>
      </x:c>
      <x:c r="Q583" s="19" t="str">
        <x:v>鸡杂0711-07</x:v>
      </x:c>
    </x:row>
    <x:row r="584">
      <x:c r="A584" s="19" t="str">
        <x:v>2026-07-12|S07|鸡杂</x:v>
      </x:c>
      <x:c r="B584" s="34" t="n">
        <x:v>46215.5</x:v>
      </x:c>
      <x:c r="C584" s="19" t="str">
        <x:v>S07</x:v>
      </x:c>
      <x:c r="D584" s="19" t="str">
        <x:v>小和山店</x:v>
      </x:c>
      <x:c r="E584" s="19" t="str">
        <x:v>鸡杂</x:v>
      </x:c>
      <x:c r="F584" s="32" t="n">
        <x:v>7.31904082068162</x:v>
      </x:c>
      <x:c r="G584" s="32" t="n">
        <x:v>2.6067914712095615</x:v>
      </x:c>
      <x:c r="H584" s="24" t="n">
        <x:f>'菜品日销量'!G958*250/1000+'菜品日销量'!G963*250/1000</x:f>
        <x:v>2.25</x:v>
      </x:c>
      <x:c r="I584" s="36" t="n">
        <x:v>0.031214319758865593</x:v>
      </x:c>
      <x:c r="J584" s="24" t="n">
        <x:f>H584*I584</x:f>
        <x:v>0.07023221945744758</x:v>
      </x:c>
      <x:c r="K584" s="32" t="n">
        <x:v>0</x:v>
      </x:c>
      <x:c r="L584" s="32" t="n">
        <x:v>0</x:v>
      </x:c>
      <x:c r="M584" s="32" t="n">
        <x:v>0</x:v>
      </x:c>
      <x:c r="N584" s="24" t="n">
        <x:f>F584+G584+K584-L584+M584-H584-J584</x:f>
        <x:v>7.605600072433734</x:v>
      </x:c>
      <x:c r="O584" s="24" t="n">
        <x:f>H584*'封面与口径'!$O$24</x:f>
        <x:v>2.6999999999999997</x:v>
      </x:c>
      <x:c r="P584" s="19" t="str">
        <x:f>IF(N584&lt;0,"缺货",IF(N584&lt;O584,"预警","正常"))</x:f>
        <x:v>正常</x:v>
      </x:c>
      <x:c r="Q584" s="19" t="str">
        <x:v>鸡杂0712-07</x:v>
      </x:c>
    </x:row>
    <x:row r="585">
      <x:c r="A585" s="19" t="str">
        <x:v>2026-07-13|S07|鸡杂</x:v>
      </x:c>
      <x:c r="B585" s="34" t="n">
        <x:v>46216.5</x:v>
      </x:c>
      <x:c r="C585" s="19" t="str">
        <x:v>S07</x:v>
      </x:c>
      <x:c r="D585" s="19" t="str">
        <x:v>小和山店</x:v>
      </x:c>
      <x:c r="E585" s="19" t="str">
        <x:v>鸡杂</x:v>
      </x:c>
      <x:c r="F585" s="32" t="n">
        <x:v>7.605600072433734</x:v>
      </x:c>
      <x:c r="G585" s="32" t="n">
        <x:v>4.1079769615149075</x:v>
      </x:c>
      <x:c r="H585" s="24" t="n">
        <x:f>'菜品日销量'!G978*250/1000+'菜品日销量'!G983*250/1000</x:f>
        <x:v>3.5</x:v>
      </x:c>
      <x:c r="I585" s="36" t="n">
        <x:v>0.02295163575279332</x:v>
      </x:c>
      <x:c r="J585" s="24" t="n">
        <x:f>H585*I585</x:f>
        <x:v>0.08033072513477661</x:v>
      </x:c>
      <x:c r="K585" s="32" t="n">
        <x:v>0</x:v>
      </x:c>
      <x:c r="L585" s="32" t="n">
        <x:v>0</x:v>
      </x:c>
      <x:c r="M585" s="32" t="n">
        <x:v>0</x:v>
      </x:c>
      <x:c r="N585" s="24" t="n">
        <x:f>F585+G585+K585-L585+M585-H585-J585</x:f>
        <x:v>8.133246308813865</x:v>
      </x:c>
      <x:c r="O585" s="24" t="n">
        <x:f>H585*'封面与口径'!$O$24</x:f>
        <x:v>4.2</x:v>
      </x:c>
      <x:c r="P585" s="19" t="str">
        <x:f>IF(N585&lt;0,"缺货",IF(N585&lt;O585,"预警","正常"))</x:f>
        <x:v>正常</x:v>
      </x:c>
      <x:c r="Q585" s="19" t="str">
        <x:v>鸡杂0713-07</x:v>
      </x:c>
    </x:row>
    <x:row r="586">
      <x:c r="A586" s="19" t="str">
        <x:v>2026-07-07|S07|豆腐</x:v>
      </x:c>
      <x:c r="B586" s="34" t="n">
        <x:v>46210.5</x:v>
      </x:c>
      <x:c r="C586" s="19" t="str">
        <x:v>S07</x:v>
      </x:c>
      <x:c r="D586" s="19" t="str">
        <x:v>小和山店</x:v>
      </x:c>
      <x:c r="E586" s="19" t="str">
        <x:v>豆腐</x:v>
      </x:c>
      <x:c r="F586" s="32" t="n">
        <x:v>35.28</x:v>
      </x:c>
      <x:c r="G586" s="32" t="n">
        <x:v>23.37390231836911</x:v>
      </x:c>
      <x:c r="H586" s="24" t="n">
        <x:f>'菜品日销量'!G849*400/1000</x:f>
        <x:v>19.6</x:v>
      </x:c>
      <x:c r="I586" s="36" t="n">
        <x:v>0.03360868145446495</x:v>
      </x:c>
      <x:c r="J586" s="24" t="n">
        <x:f>H586*I586</x:f>
        <x:v>0.6587301565075131</x:v>
      </x:c>
      <x:c r="K586" s="32" t="n">
        <x:v>0</x:v>
      </x:c>
      <x:c r="L586" s="32" t="n">
        <x:v>0</x:v>
      </x:c>
      <x:c r="M586" s="32" t="n">
        <x:v>0</x:v>
      </x:c>
      <x:c r="N586" s="24" t="n">
        <x:f>F586+G586+K586-L586+M586-H586-J586</x:f>
        <x:v>38.395172161861595</x:v>
      </x:c>
      <x:c r="O586" s="24" t="n">
        <x:f>H586*'封面与口径'!$O$24</x:f>
        <x:v>23.52</x:v>
      </x:c>
      <x:c r="P586" s="19" t="str">
        <x:f>IF(N586&lt;0,"缺货",IF(N586&lt;O586,"预警","正常"))</x:f>
        <x:v>正常</x:v>
      </x:c>
      <x:c r="Q586" s="19" t="str">
        <x:v>豆腐0707-07</x:v>
      </x:c>
    </x:row>
    <x:row r="587">
      <x:c r="A587" s="19" t="str">
        <x:v>2026-07-08|S07|豆腐</x:v>
      </x:c>
      <x:c r="B587" s="34" t="n">
        <x:v>46211.5</x:v>
      </x:c>
      <x:c r="C587" s="19" t="str">
        <x:v>S07</x:v>
      </x:c>
      <x:c r="D587" s="19" t="str">
        <x:v>小和山店</x:v>
      </x:c>
      <x:c r="E587" s="19" t="str">
        <x:v>豆腐</x:v>
      </x:c>
      <x:c r="F587" s="32" t="n">
        <x:v>38.395172161861595</x:v>
      </x:c>
      <x:c r="G587" s="32" t="n">
        <x:v>21.30760441960292</x:v>
      </x:c>
      <x:c r="H587" s="24" t="n">
        <x:f>'菜品日销量'!G869*400/1000</x:f>
        <x:v>19.2</x:v>
      </x:c>
      <x:c r="I587" s="36" t="n">
        <x:v>0.02322236430440619</x:v>
      </x:c>
      <x:c r="J587" s="24" t="n">
        <x:f>H587*I587</x:f>
        <x:v>0.44586939464459885</x:v>
      </x:c>
      <x:c r="K587" s="32" t="n">
        <x:v>0</x:v>
      </x:c>
      <x:c r="L587" s="32" t="n">
        <x:v>0</x:v>
      </x:c>
      <x:c r="M587" s="32" t="n">
        <x:v>0</x:v>
      </x:c>
      <x:c r="N587" s="24" t="n">
        <x:f>F587+G587+K587-L587+M587-H587-J587</x:f>
        <x:v>40.05690718681992</x:v>
      </x:c>
      <x:c r="O587" s="24" t="n">
        <x:f>H587*'封面与口径'!$O$24</x:f>
        <x:v>23.04</x:v>
      </x:c>
      <x:c r="P587" s="19" t="str">
        <x:f>IF(N587&lt;0,"缺货",IF(N587&lt;O587,"预警","正常"))</x:f>
        <x:v>正常</x:v>
      </x:c>
      <x:c r="Q587" s="19" t="str">
        <x:v>豆腐0708-07</x:v>
      </x:c>
    </x:row>
    <x:row r="588">
      <x:c r="A588" s="19" t="str">
        <x:v>2026-07-09|S07|豆腐</x:v>
      </x:c>
      <x:c r="B588" s="34" t="n">
        <x:v>46212.5</x:v>
      </x:c>
      <x:c r="C588" s="19" t="str">
        <x:v>S07</x:v>
      </x:c>
      <x:c r="D588" s="19" t="str">
        <x:v>小和山店</x:v>
      </x:c>
      <x:c r="E588" s="19" t="str">
        <x:v>豆腐</x:v>
      </x:c>
      <x:c r="F588" s="32" t="n">
        <x:v>40.05690718681992</x:v>
      </x:c>
      <x:c r="G588" s="32" t="n">
        <x:v>22.36444579511053</x:v>
      </x:c>
      <x:c r="H588" s="24" t="n">
        <x:f>'菜品日销量'!G889*400/1000</x:f>
        <x:v>20</x:v>
      </x:c>
      <x:c r="I588" s="36" t="n">
        <x:v>0.03409259909742805</x:v>
      </x:c>
      <x:c r="J588" s="24" t="n">
        <x:f>H588*I588</x:f>
        <x:v>0.6818519819485611</x:v>
      </x:c>
      <x:c r="K588" s="32" t="n">
        <x:v>0</x:v>
      </x:c>
      <x:c r="L588" s="32" t="n">
        <x:v>0</x:v>
      </x:c>
      <x:c r="M588" s="32" t="n">
        <x:v>0</x:v>
      </x:c>
      <x:c r="N588" s="24" t="n">
        <x:f>F588+G588+K588-L588+M588-H588-J588</x:f>
        <x:v>41.73950099998189</x:v>
      </x:c>
      <x:c r="O588" s="24" t="n">
        <x:f>H588*'封面与口径'!$O$24</x:f>
        <x:v>24</x:v>
      </x:c>
      <x:c r="P588" s="19" t="str">
        <x:f>IF(N588&lt;0,"缺货",IF(N588&lt;O588,"预警","正常"))</x:f>
        <x:v>正常</x:v>
      </x:c>
      <x:c r="Q588" s="19" t="str">
        <x:v>豆腐0709-07</x:v>
      </x:c>
    </x:row>
    <x:row r="589">
      <x:c r="A589" s="19" t="str">
        <x:v>2026-07-10|S07|豆腐</x:v>
      </x:c>
      <x:c r="B589" s="34" t="n">
        <x:v>46213.5</x:v>
      </x:c>
      <x:c r="C589" s="19" t="str">
        <x:v>S07</x:v>
      </x:c>
      <x:c r="D589" s="19" t="str">
        <x:v>小和山店</x:v>
      </x:c>
      <x:c r="E589" s="19" t="str">
        <x:v>豆腐</x:v>
      </x:c>
      <x:c r="F589" s="32" t="n">
        <x:v>41.73950099998189</x:v>
      </x:c>
      <x:c r="G589" s="32" t="n">
        <x:v>21.056434161439643</x:v>
      </x:c>
      <x:c r="H589" s="24" t="n">
        <x:f>'菜品日销量'!G909*400/1000</x:f>
        <x:v>19.2</x:v>
      </x:c>
      <x:c r="I589" s="36" t="n">
        <x:v>0.03321135088526908</x:v>
      </x:c>
      <x:c r="J589" s="24" t="n">
        <x:f>H589*I589</x:f>
        <x:v>0.6376579369971663</x:v>
      </x:c>
      <x:c r="K589" s="32" t="n">
        <x:v>0</x:v>
      </x:c>
      <x:c r="L589" s="32" t="n">
        <x:v>0</x:v>
      </x:c>
      <x:c r="M589" s="32" t="n">
        <x:v>0</x:v>
      </x:c>
      <x:c r="N589" s="24" t="n">
        <x:f>F589+G589+K589-L589+M589-H589-J589</x:f>
        <x:v>42.95827722442437</x:v>
      </x:c>
      <x:c r="O589" s="24" t="n">
        <x:f>H589*'封面与口径'!$O$24</x:f>
        <x:v>23.04</x:v>
      </x:c>
      <x:c r="P589" s="19" t="str">
        <x:f>IF(N589&lt;0,"缺货",IF(N589&lt;O589,"预警","正常"))</x:f>
        <x:v>正常</x:v>
      </x:c>
      <x:c r="Q589" s="19" t="str">
        <x:v>豆腐0710-07</x:v>
      </x:c>
    </x:row>
    <x:row r="590">
      <x:c r="A590" s="19" t="str">
        <x:v>2026-07-11|S07|豆腐</x:v>
      </x:c>
      <x:c r="B590" s="34" t="n">
        <x:v>46214.5</x:v>
      </x:c>
      <x:c r="C590" s="19" t="str">
        <x:v>S07</x:v>
      </x:c>
      <x:c r="D590" s="19" t="str">
        <x:v>小和山店</x:v>
      </x:c>
      <x:c r="E590" s="19" t="str">
        <x:v>豆腐</x:v>
      </x:c>
      <x:c r="F590" s="32" t="n">
        <x:v>42.95827722442437</x:v>
      </x:c>
      <x:c r="G590" s="32" t="n">
        <x:v>15.817237738123454</x:v>
      </x:c>
      <x:c r="H590" s="24" t="n">
        <x:f>'菜品日销量'!G929*400/1000</x:f>
        <x:v>14</x:v>
      </x:c>
      <x:c r="I590" s="36" t="n">
        <x:v>0.028000230197329126</x:v>
      </x:c>
      <x:c r="J590" s="24" t="n">
        <x:f>H590*I590</x:f>
        <x:v>0.3920032227626078</x:v>
      </x:c>
      <x:c r="K590" s="32" t="n">
        <x:v>0</x:v>
      </x:c>
      <x:c r="L590" s="32" t="n">
        <x:v>0</x:v>
      </x:c>
      <x:c r="M590" s="32" t="n">
        <x:v>0</x:v>
      </x:c>
      <x:c r="N590" s="24" t="n">
        <x:f>F590+G590+K590-L590+M590-H590-J590</x:f>
        <x:v>44.38351173978521</x:v>
      </x:c>
      <x:c r="O590" s="24" t="n">
        <x:f>H590*'封面与口径'!$O$24</x:f>
        <x:v>16.8</x:v>
      </x:c>
      <x:c r="P590" s="19" t="str">
        <x:f>IF(N590&lt;0,"缺货",IF(N590&lt;O590,"预警","正常"))</x:f>
        <x:v>正常</x:v>
      </x:c>
      <x:c r="Q590" s="19" t="str">
        <x:v>豆腐0711-07</x:v>
      </x:c>
    </x:row>
    <x:row r="591">
      <x:c r="A591" s="19" t="str">
        <x:v>2026-07-12|S07|豆腐</x:v>
      </x:c>
      <x:c r="B591" s="34" t="n">
        <x:v>46215.5</x:v>
      </x:c>
      <x:c r="C591" s="19" t="str">
        <x:v>S07</x:v>
      </x:c>
      <x:c r="D591" s="19" t="str">
        <x:v>小和山店</x:v>
      </x:c>
      <x:c r="E591" s="19" t="str">
        <x:v>豆腐</x:v>
      </x:c>
      <x:c r="F591" s="32" t="n">
        <x:v>44.38351173978521</x:v>
      </x:c>
      <x:c r="G591" s="32" t="n">
        <x:v>16.70682892330057</x:v>
      </x:c>
      <x:c r="H591" s="24" t="n">
        <x:f>'菜品日销量'!G949*400/1000</x:f>
        <x:v>14.4</x:v>
      </x:c>
      <x:c r="I591" s="36" t="n">
        <x:v>0.02988901558678807</x:v>
      </x:c>
      <x:c r="J591" s="24" t="n">
        <x:f>H591*I591</x:f>
        <x:v>0.4304018244497482</x:v>
      </x:c>
      <x:c r="K591" s="32" t="n">
        <x:v>0</x:v>
      </x:c>
      <x:c r="L591" s="32" t="n">
        <x:v>0</x:v>
      </x:c>
      <x:c r="M591" s="32" t="n">
        <x:v>0</x:v>
      </x:c>
      <x:c r="N591" s="24" t="n">
        <x:f>F591+G591+K591-L591+M591-H591-J591</x:f>
        <x:v>46.25993883863604</x:v>
      </x:c>
      <x:c r="O591" s="24" t="n">
        <x:f>H591*'封面与口径'!$O$24</x:f>
        <x:v>17.28</x:v>
      </x:c>
      <x:c r="P591" s="19" t="str">
        <x:f>IF(N591&lt;0,"缺货",IF(N591&lt;O591,"预警","正常"))</x:f>
        <x:v>正常</x:v>
      </x:c>
      <x:c r="Q591" s="19" t="str">
        <x:v>豆腐0712-07</x:v>
      </x:c>
    </x:row>
    <x:row r="592">
      <x:c r="A592" s="19" t="str">
        <x:v>2026-07-13|S07|豆腐</x:v>
      </x:c>
      <x:c r="B592" s="34" t="n">
        <x:v>46216.5</x:v>
      </x:c>
      <x:c r="C592" s="19" t="str">
        <x:v>S07</x:v>
      </x:c>
      <x:c r="D592" s="19" t="str">
        <x:v>小和山店</x:v>
      </x:c>
      <x:c r="E592" s="19" t="str">
        <x:v>豆腐</x:v>
      </x:c>
      <x:c r="F592" s="32" t="n">
        <x:v>46.25993883863603</x:v>
      </x:c>
      <x:c r="G592" s="32" t="n">
        <x:v>26.067236799985928</x:v>
      </x:c>
      <x:c r="H592" s="24" t="n">
        <x:f>'菜品日销量'!G969*400/1000</x:f>
        <x:v>22</x:v>
      </x:c>
      <x:c r="I592" s="36" t="n">
        <x:v>0.023694448527808873</x:v>
      </x:c>
      <x:c r="J592" s="24" t="n">
        <x:f>H592*I592</x:f>
        <x:v>0.5212778676117952</x:v>
      </x:c>
      <x:c r="K592" s="32" t="n">
        <x:v>0</x:v>
      </x:c>
      <x:c r="L592" s="32" t="n">
        <x:v>0</x:v>
      </x:c>
      <x:c r="M592" s="32" t="n">
        <x:v>0</x:v>
      </x:c>
      <x:c r="N592" s="24" t="n">
        <x:f>F592+G592+K592-L592+M592-H592-J592</x:f>
        <x:v>49.80589777101016</x:v>
      </x:c>
      <x:c r="O592" s="24" t="n">
        <x:f>H592*'封面与口径'!$O$24</x:f>
        <x:v>26.4</x:v>
      </x:c>
      <x:c r="P592" s="19" t="str">
        <x:f>IF(N592&lt;0,"缺货",IF(N592&lt;O592,"预警","正常"))</x:f>
        <x:v>正常</x:v>
      </x:c>
      <x:c r="Q592" s="19" t="str">
        <x:v>豆腐0713-07</x:v>
      </x:c>
    </x:row>
    <x:row r="593">
      <x:c r="A593" s="19" t="str">
        <x:v>2026-07-07|S08|瘦肉片</x:v>
      </x:c>
      <x:c r="B593" s="34" t="n">
        <x:v>46210.5</x:v>
      </x:c>
      <x:c r="C593" s="19" t="str">
        <x:v>S08</x:v>
      </x:c>
      <x:c r="D593" s="19" t="str">
        <x:v>四季青店</x:v>
      </x:c>
      <x:c r="E593" s="19" t="str">
        <x:v>瘦肉片</x:v>
      </x:c>
      <x:c r="F593" s="32" t="n">
        <x:v>19.17</x:v>
      </x:c>
      <x:c r="G593" s="32" t="n">
        <x:v>11.948110354970702</x:v>
      </x:c>
      <x:c r="H593" s="24" t="n">
        <x:f>'菜品日销量'!G985*150/1000+'菜品日销量'!G993*50/1000+'菜品日销量'!G994*200/1000</x:f>
        <x:v>10.65</x:v>
      </x:c>
      <x:c r="I593" s="36" t="n">
        <x:v>0.030225468317564917</x:v>
      </x:c>
      <x:c r="J593" s="24" t="n">
        <x:f>H593*I593</x:f>
        <x:v>0.3219012375820664</x:v>
      </x:c>
      <x:c r="K593" s="32" t="n">
        <x:v>0</x:v>
      </x:c>
      <x:c r="L593" s="32" t="n">
        <x:v>0</x:v>
      </x:c>
      <x:c r="M593" s="32" t="n">
        <x:v>0</x:v>
      </x:c>
      <x:c r="N593" s="24" t="n">
        <x:f>F593+G593+K593-L593+M593-H593-J593</x:f>
        <x:v>20.14620911738864</x:v>
      </x:c>
      <x:c r="O593" s="24" t="n">
        <x:f>H593*'封面与口径'!$O$24</x:f>
        <x:v>12.78</x:v>
      </x:c>
      <x:c r="P593" s="19" t="str">
        <x:f>IF(N593&lt;0,"缺货",IF(N593&lt;O593,"预警","正常"))</x:f>
        <x:v>正常</x:v>
      </x:c>
      <x:c r="Q593" s="19" t="str">
        <x:v>瘦肉0707-08</x:v>
      </x:c>
    </x:row>
    <x:row r="594">
      <x:c r="A594" s="19" t="str">
        <x:v>2026-07-08|S08|瘦肉片</x:v>
      </x:c>
      <x:c r="B594" s="34" t="n">
        <x:v>46211.5</x:v>
      </x:c>
      <x:c r="C594" s="19" t="str">
        <x:v>S08</x:v>
      </x:c>
      <x:c r="D594" s="19" t="str">
        <x:v>四季青店</x:v>
      </x:c>
      <x:c r="E594" s="19" t="str">
        <x:v>瘦肉片</x:v>
      </x:c>
      <x:c r="F594" s="32" t="n">
        <x:v>20.146209117388636</x:v>
      </x:c>
      <x:c r="G594" s="32" t="n">
        <x:v>11.50128616005678</x:v>
      </x:c>
      <x:c r="H594" s="24" t="n">
        <x:f>'菜品日销量'!G1005*150/1000+'菜品日销量'!G1013*50/1000+'菜品日销量'!G1014*200/1000</x:f>
        <x:v>10.25</x:v>
      </x:c>
      <x:c r="I594" s="36" t="n">
        <x:v>0.026319873694172102</x:v>
      </x:c>
      <x:c r="J594" s="24" t="n">
        <x:f>H594*I594</x:f>
        <x:v>0.26977870536526405</x:v>
      </x:c>
      <x:c r="K594" s="32" t="n">
        <x:v>0</x:v>
      </x:c>
      <x:c r="L594" s="32" t="n">
        <x:v>0</x:v>
      </x:c>
      <x:c r="M594" s="32" t="n">
        <x:v>0</x:v>
      </x:c>
      <x:c r="N594" s="24" t="n">
        <x:f>F594+G594+K594-L594+M594-H594-J594</x:f>
        <x:v>21.12771657208015</x:v>
      </x:c>
      <x:c r="O594" s="24" t="n">
        <x:f>H594*'封面与口径'!$O$24</x:f>
        <x:v>12.299999999999999</x:v>
      </x:c>
      <x:c r="P594" s="19" t="str">
        <x:f>IF(N594&lt;0,"缺货",IF(N594&lt;O594,"预警","正常"))</x:f>
        <x:v>正常</x:v>
      </x:c>
      <x:c r="Q594" s="19" t="str">
        <x:v>瘦肉0708-08</x:v>
      </x:c>
    </x:row>
    <x:row r="595">
      <x:c r="A595" s="19" t="str">
        <x:v>2026-07-09|S08|瘦肉片</x:v>
      </x:c>
      <x:c r="B595" s="34" t="n">
        <x:v>46212.5</x:v>
      </x:c>
      <x:c r="C595" s="19" t="str">
        <x:v>S08</x:v>
      </x:c>
      <x:c r="D595" s="19" t="str">
        <x:v>四季青店</x:v>
      </x:c>
      <x:c r="E595" s="19" t="str">
        <x:v>瘦肉片</x:v>
      </x:c>
      <x:c r="F595" s="32" t="n">
        <x:v>21.127716572080153</x:v>
      </x:c>
      <x:c r="G595" s="32" t="n">
        <x:v>11.515379388463542</x:v>
      </x:c>
      <x:c r="H595" s="24" t="n">
        <x:f>'菜品日销量'!G1025*150/1000+'菜品日销量'!G1033*50/1000+'菜品日销量'!G1034*200/1000</x:f>
        <x:v>9.8</x:v>
      </x:c>
      <x:c r="I595" s="36" t="n">
        <x:v>0.038803133901395635</x:v>
      </x:c>
      <x:c r="J595" s="24" t="n">
        <x:f>H595*I595</x:f>
        <x:v>0.38027071223367725</x:v>
      </x:c>
      <x:c r="K595" s="32" t="n">
        <x:v>0</x:v>
      </x:c>
      <x:c r="L595" s="32" t="n">
        <x:v>0</x:v>
      </x:c>
      <x:c r="M595" s="32" t="n">
        <x:v>0</x:v>
      </x:c>
      <x:c r="N595" s="24" t="n">
        <x:f>F595+G595+K595-L595+M595-H595-J595</x:f>
        <x:v>22.46282524831002</x:v>
      </x:c>
      <x:c r="O595" s="24" t="n">
        <x:f>H595*'封面与口径'!$O$24</x:f>
        <x:v>11.76</x:v>
      </x:c>
      <x:c r="P595" s="19" t="str">
        <x:f>IF(N595&lt;0,"缺货",IF(N595&lt;O595,"预警","正常"))</x:f>
        <x:v>正常</x:v>
      </x:c>
      <x:c r="Q595" s="19" t="str">
        <x:v>瘦肉0709-08</x:v>
      </x:c>
    </x:row>
    <x:row r="596">
      <x:c r="A596" s="19" t="str">
        <x:v>2026-07-10|S08|瘦肉片</x:v>
      </x:c>
      <x:c r="B596" s="34" t="n">
        <x:v>46213.5</x:v>
      </x:c>
      <x:c r="C596" s="19" t="str">
        <x:v>S08</x:v>
      </x:c>
      <x:c r="D596" s="19" t="str">
        <x:v>四季青店</x:v>
      </x:c>
      <x:c r="E596" s="19" t="str">
        <x:v>瘦肉片</x:v>
      </x:c>
      <x:c r="F596" s="32" t="n">
        <x:v>22.46282524831002</x:v>
      </x:c>
      <x:c r="G596" s="32" t="n">
        <x:v>11.216282378332755</x:v>
      </x:c>
      <x:c r="H596" s="24" t="n">
        <x:f>'菜品日销量'!G1045*150/1000+'菜品日销量'!G1053*50/1000+'菜品日销量'!G1054*200/1000</x:f>
        <x:v>10.2</x:v>
      </x:c>
      <x:c r="I596" s="36" t="n">
        <x:v>0.03825215989217445</x:v>
      </x:c>
      <x:c r="J596" s="24" t="n">
        <x:f>H596*I596</x:f>
        <x:v>0.3901720309001794</x:v>
      </x:c>
      <x:c r="K596" s="32" t="n">
        <x:v>0</x:v>
      </x:c>
      <x:c r="L596" s="32" t="n">
        <x:v>0</x:v>
      </x:c>
      <x:c r="M596" s="32" t="n">
        <x:v>0</x:v>
      </x:c>
      <x:c r="N596" s="24" t="n">
        <x:f>F596+G596+K596-L596+M596-H596-J596</x:f>
        <x:v>23.088935595742598</x:v>
      </x:c>
      <x:c r="O596" s="24" t="n">
        <x:f>H596*'封面与口径'!$O$24</x:f>
        <x:v>12.239999999999998</x:v>
      </x:c>
      <x:c r="P596" s="19" t="str">
        <x:f>IF(N596&lt;0,"缺货",IF(N596&lt;O596,"预警","正常"))</x:f>
        <x:v>正常</x:v>
      </x:c>
      <x:c r="Q596" s="19" t="str">
        <x:v>瘦肉0710-08</x:v>
      </x:c>
    </x:row>
    <x:row r="597">
      <x:c r="A597" s="19" t="str">
        <x:v>2026-07-11|S08|瘦肉片</x:v>
      </x:c>
      <x:c r="B597" s="34" t="n">
        <x:v>46214.5</x:v>
      </x:c>
      <x:c r="C597" s="19" t="str">
        <x:v>S08</x:v>
      </x:c>
      <x:c r="D597" s="19" t="str">
        <x:v>四季青店</x:v>
      </x:c>
      <x:c r="E597" s="19" t="str">
        <x:v>瘦肉片</x:v>
      </x:c>
      <x:c r="F597" s="32" t="n">
        <x:v>23.088935595742598</x:v>
      </x:c>
      <x:c r="G597" s="32" t="n">
        <x:v>9.125148905481481</x:v>
      </x:c>
      <x:c r="H597" s="24" t="n">
        <x:f>'菜品日销量'!G1065*150/1000+'菜品日销量'!G1073*50/1000+'菜品日销量'!G1074*200/1000</x:f>
        <x:v>7.7</x:v>
      </x:c>
      <x:c r="I597" s="36" t="n">
        <x:v>0.024844324821570035</x:v>
      </x:c>
      <x:c r="J597" s="24" t="n">
        <x:f>H597*I597</x:f>
        <x:v>0.19130130112608928</x:v>
      </x:c>
      <x:c r="K597" s="32" t="n">
        <x:v>0</x:v>
      </x:c>
      <x:c r="L597" s="32" t="n">
        <x:v>0</x:v>
      </x:c>
      <x:c r="M597" s="32" t="n">
        <x:v>0</x:v>
      </x:c>
      <x:c r="N597" s="24" t="n">
        <x:f>F597+G597+K597-L597+M597-H597-J597</x:f>
        <x:v>24.32278320009799</x:v>
      </x:c>
      <x:c r="O597" s="24" t="n">
        <x:f>H597*'封面与口径'!$O$24</x:f>
        <x:v>9.24</x:v>
      </x:c>
      <x:c r="P597" s="19" t="str">
        <x:f>IF(N597&lt;0,"缺货",IF(N597&lt;O597,"预警","正常"))</x:f>
        <x:v>正常</x:v>
      </x:c>
      <x:c r="Q597" s="19" t="str">
        <x:v>瘦肉0711-08</x:v>
      </x:c>
    </x:row>
    <x:row r="598">
      <x:c r="A598" s="19" t="str">
        <x:v>2026-07-12|S08|瘦肉片</x:v>
      </x:c>
      <x:c r="B598" s="34" t="n">
        <x:v>46215.5</x:v>
      </x:c>
      <x:c r="C598" s="19" t="str">
        <x:v>S08</x:v>
      </x:c>
      <x:c r="D598" s="19" t="str">
        <x:v>四季青店</x:v>
      </x:c>
      <x:c r="E598" s="19" t="str">
        <x:v>瘦肉片</x:v>
      </x:c>
      <x:c r="F598" s="32" t="n">
        <x:v>24.32278320009799</x:v>
      </x:c>
      <x:c r="G598" s="32" t="n">
        <x:v>8.208523918946396</x:v>
      </x:c>
      <x:c r="H598" s="24" t="n">
        <x:f>'菜品日销量'!G1085*150/1000+'菜品日销量'!G1093*50/1000+'菜品日销量'!G1094*200/1000</x:f>
        <x:v>7.5</x:v>
      </x:c>
      <x:c r="I598" s="36" t="n">
        <x:v>0.024111100280217616</x:v>
      </x:c>
      <x:c r="J598" s="24" t="n">
        <x:f>H598*I598</x:f>
        <x:v>0.18083325210163212</x:v>
      </x:c>
      <x:c r="K598" s="32" t="n">
        <x:v>0</x:v>
      </x:c>
      <x:c r="L598" s="32" t="n">
        <x:v>0</x:v>
      </x:c>
      <x:c r="M598" s="32" t="n">
        <x:v>0</x:v>
      </x:c>
      <x:c r="N598" s="24" t="n">
        <x:f>F598+G598+K598-L598+M598-H598-J598</x:f>
        <x:v>24.850473866942753</x:v>
      </x:c>
      <x:c r="O598" s="24" t="n">
        <x:f>H598*'封面与口径'!$O$24</x:f>
        <x:v>9</x:v>
      </x:c>
      <x:c r="P598" s="19" t="str">
        <x:f>IF(N598&lt;0,"缺货",IF(N598&lt;O598,"预警","正常"))</x:f>
        <x:v>正常</x:v>
      </x:c>
      <x:c r="Q598" s="19" t="str">
        <x:v>瘦肉0712-08</x:v>
      </x:c>
    </x:row>
    <x:row r="599">
      <x:c r="A599" s="19" t="str">
        <x:v>2026-07-13|S08|瘦肉片</x:v>
      </x:c>
      <x:c r="B599" s="34" t="n">
        <x:v>46216.5</x:v>
      </x:c>
      <x:c r="C599" s="19" t="str">
        <x:v>S08</x:v>
      </x:c>
      <x:c r="D599" s="19" t="str">
        <x:v>四季青店</x:v>
      </x:c>
      <x:c r="E599" s="19" t="str">
        <x:v>瘦肉片</x:v>
      </x:c>
      <x:c r="F599" s="32" t="n">
        <x:v>24.850473866942753</x:v>
      </x:c>
      <x:c r="G599" s="32" t="n">
        <x:v>12.098274316393368</x:v>
      </x:c>
      <x:c r="H599" s="24" t="n">
        <x:f>'菜品日销量'!G1105*150/1000+'菜品日销量'!G1113*50/1000+'菜品日销量'!G1114*200/1000</x:f>
        <x:v>10.55</x:v>
      </x:c>
      <x:c r="I599" s="36" t="n">
        <x:v>0.021006082940382437</x:v>
      </x:c>
      <x:c r="J599" s="24" t="n">
        <x:f>H599*I599</x:f>
        <x:v>0.22161417502103473</x:v>
      </x:c>
      <x:c r="K599" s="32" t="n">
        <x:v>0</x:v>
      </x:c>
      <x:c r="L599" s="32" t="n">
        <x:v>0</x:v>
      </x:c>
      <x:c r="M599" s="32" t="n">
        <x:v>0</x:v>
      </x:c>
      <x:c r="N599" s="24" t="n">
        <x:f>F599+G599+K599-L599+M599-H599-J599</x:f>
        <x:v>26.177134008315086</x:v>
      </x:c>
      <x:c r="O599" s="24" t="n">
        <x:f>H599*'封面与口径'!$O$24</x:f>
        <x:v>12.66</x:v>
      </x:c>
      <x:c r="P599" s="19" t="str">
        <x:f>IF(N599&lt;0,"缺货",IF(N599&lt;O599,"预警","正常"))</x:f>
        <x:v>正常</x:v>
      </x:c>
      <x:c r="Q599" s="19" t="str">
        <x:v>瘦肉0713-08</x:v>
      </x:c>
    </x:row>
    <x:row r="600">
      <x:c r="A600" s="19" t="str">
        <x:v>2026-07-07|S08|肥肉片</x:v>
      </x:c>
      <x:c r="B600" s="34" t="n">
        <x:v>46210.5</x:v>
      </x:c>
      <x:c r="C600" s="19" t="str">
        <x:v>S08</x:v>
      </x:c>
      <x:c r="D600" s="19" t="str">
        <x:v>四季青店</x:v>
      </x:c>
      <x:c r="E600" s="19" t="str">
        <x:v>肥肉片</x:v>
      </x:c>
      <x:c r="F600" s="32" t="n">
        <x:v>5.49</x:v>
      </x:c>
      <x:c r="G600" s="32" t="n">
        <x:v>3.561012385862184</x:v>
      </x:c>
      <x:c r="H600" s="24" t="n">
        <x:f>'菜品日销量'!G985*50/1000+'菜品日销量'!G994*50/1000</x:f>
        <x:v>3.05</x:v>
      </x:c>
      <x:c r="I600" s="36" t="n">
        <x:v>0.03364640680575892</x:v>
      </x:c>
      <x:c r="J600" s="24" t="n">
        <x:f>H600*I600</x:f>
        <x:v>0.1026215407575647</x:v>
      </x:c>
      <x:c r="K600" s="32" t="n">
        <x:v>0</x:v>
      </x:c>
      <x:c r="L600" s="32" t="n">
        <x:v>0</x:v>
      </x:c>
      <x:c r="M600" s="32" t="n">
        <x:v>0</x:v>
      </x:c>
      <x:c r="N600" s="24" t="n">
        <x:f>F600+G600+K600-L600+M600-H600-J600</x:f>
        <x:v>5.898390845104618</x:v>
      </x:c>
      <x:c r="O600" s="24" t="n">
        <x:f>H600*'封面与口径'!$O$24</x:f>
        <x:v>3.6599999999999997</x:v>
      </x:c>
      <x:c r="P600" s="19" t="str">
        <x:f>IF(N600&lt;0,"缺货",IF(N600&lt;O600,"预警","正常"))</x:f>
        <x:v>正常</x:v>
      </x:c>
      <x:c r="Q600" s="19" t="str">
        <x:v>肥肉0707-08</x:v>
      </x:c>
    </x:row>
    <x:row r="601">
      <x:c r="A601" s="19" t="str">
        <x:v>2026-07-08|S08|肥肉片</x:v>
      </x:c>
      <x:c r="B601" s="34" t="n">
        <x:v>46211.5</x:v>
      </x:c>
      <x:c r="C601" s="19" t="str">
        <x:v>S08</x:v>
      </x:c>
      <x:c r="D601" s="19" t="str">
        <x:v>四季青店</x:v>
      </x:c>
      <x:c r="E601" s="19" t="str">
        <x:v>肥肉片</x:v>
      </x:c>
      <x:c r="F601" s="32" t="n">
        <x:v>5.898390845104618</x:v>
      </x:c>
      <x:c r="G601" s="32" t="n">
        <x:v>3.280288092524812</x:v>
      </x:c>
      <x:c r="H601" s="24" t="n">
        <x:f>'菜品日销量'!G1005*50/1000+'菜品日销量'!G1014*50/1000</x:f>
        <x:v>2.9</x:v>
      </x:c>
      <x:c r="I601" s="36" t="n">
        <x:v>0.018151971376070747</x:v>
      </x:c>
      <x:c r="J601" s="24" t="n">
        <x:f>H601*I601</x:f>
        <x:v>0.052640716990605164</x:v>
      </x:c>
      <x:c r="K601" s="32" t="n">
        <x:v>0</x:v>
      </x:c>
      <x:c r="L601" s="32" t="n">
        <x:v>0</x:v>
      </x:c>
      <x:c r="M601" s="32" t="n">
        <x:v>0</x:v>
      </x:c>
      <x:c r="N601" s="24" t="n">
        <x:f>F601+G601+K601-L601+M601-H601-J601</x:f>
        <x:v>6.2260382206388245</x:v>
      </x:c>
      <x:c r="O601" s="24" t="n">
        <x:f>H601*'封面与口径'!$O$24</x:f>
        <x:v>3.48</x:v>
      </x:c>
      <x:c r="P601" s="19" t="str">
        <x:f>IF(N601&lt;0,"缺货",IF(N601&lt;O601,"预警","正常"))</x:f>
        <x:v>正常</x:v>
      </x:c>
      <x:c r="Q601" s="19" t="str">
        <x:v>肥肉0708-08</x:v>
      </x:c>
    </x:row>
    <x:row r="602">
      <x:c r="A602" s="19" t="str">
        <x:v>2026-07-09|S08|肥肉片</x:v>
      </x:c>
      <x:c r="B602" s="34" t="n">
        <x:v>46212.5</x:v>
      </x:c>
      <x:c r="C602" s="19" t="str">
        <x:v>S08</x:v>
      </x:c>
      <x:c r="D602" s="19" t="str">
        <x:v>四季青店</x:v>
      </x:c>
      <x:c r="E602" s="19" t="str">
        <x:v>肥肉片</x:v>
      </x:c>
      <x:c r="F602" s="32" t="n">
        <x:v>6.226038220638825</x:v>
      </x:c>
      <x:c r="G602" s="32" t="n">
        <x:v>3.1308893156561277</x:v>
      </x:c>
      <x:c r="H602" s="24" t="n">
        <x:f>'菜品日销量'!G1025*50/1000+'菜品日销量'!G1034*50/1000</x:f>
        <x:v>2.8</x:v>
      </x:c>
      <x:c r="I602" s="36" t="n">
        <x:v>0.030952391937829647</x:v>
      </x:c>
      <x:c r="J602" s="24" t="n">
        <x:f>H602*I602</x:f>
        <x:v>0.086666697425923</x:v>
      </x:c>
      <x:c r="K602" s="32" t="n">
        <x:v>0</x:v>
      </x:c>
      <x:c r="L602" s="32" t="n">
        <x:v>0</x:v>
      </x:c>
      <x:c r="M602" s="32" t="n">
        <x:v>0</x:v>
      </x:c>
      <x:c r="N602" s="24" t="n">
        <x:f>F602+G602+K602-L602+M602-H602-J602</x:f>
        <x:v>6.470260838869031</x:v>
      </x:c>
      <x:c r="O602" s="24" t="n">
        <x:f>H602*'封面与口径'!$O$24</x:f>
        <x:v>3.36</x:v>
      </x:c>
      <x:c r="P602" s="19" t="str">
        <x:f>IF(N602&lt;0,"缺货",IF(N602&lt;O602,"预警","正常"))</x:f>
        <x:v>正常</x:v>
      </x:c>
      <x:c r="Q602" s="19" t="str">
        <x:v>肥肉0709-08</x:v>
      </x:c>
    </x:row>
    <x:row r="603">
      <x:c r="A603" s="19" t="str">
        <x:v>2026-07-10|S08|肥肉片</x:v>
      </x:c>
      <x:c r="B603" s="34" t="n">
        <x:v>46213.5</x:v>
      </x:c>
      <x:c r="C603" s="19" t="str">
        <x:v>S08</x:v>
      </x:c>
      <x:c r="D603" s="19" t="str">
        <x:v>四季青店</x:v>
      </x:c>
      <x:c r="E603" s="19" t="str">
        <x:v>肥肉片</x:v>
      </x:c>
      <x:c r="F603" s="32" t="n">
        <x:v>6.470260838869031</x:v>
      </x:c>
      <x:c r="G603" s="32" t="n">
        <x:v>3.1782321108007414</x:v>
      </x:c>
      <x:c r="H603" s="24" t="n">
        <x:f>'菜品日销量'!G1045*50/1000+'菜品日销量'!G1054*50/1000</x:f>
        <x:v>2.9000000000000004</x:v>
      </x:c>
      <x:c r="I603" s="36" t="n">
        <x:v>0.029473750538768655</x:v>
      </x:c>
      <x:c r="J603" s="24" t="n">
        <x:f>H603*I603</x:f>
        <x:v>0.08547387656242911</x:v>
      </x:c>
      <x:c r="K603" s="32" t="n">
        <x:v>0</x:v>
      </x:c>
      <x:c r="L603" s="32" t="n">
        <x:v>0</x:v>
      </x:c>
      <x:c r="M603" s="32" t="n">
        <x:v>0</x:v>
      </x:c>
      <x:c r="N603" s="24" t="n">
        <x:f>F603+G603+K603-L603+M603-H603-J603</x:f>
        <x:v>6.6630190731073435</x:v>
      </x:c>
      <x:c r="O603" s="24" t="n">
        <x:f>H603*'封面与口径'!$O$24</x:f>
        <x:v>3.4800000000000004</x:v>
      </x:c>
      <x:c r="P603" s="19" t="str">
        <x:f>IF(N603&lt;0,"缺货",IF(N603&lt;O603,"预警","正常"))</x:f>
        <x:v>正常</x:v>
      </x:c>
      <x:c r="Q603" s="19" t="str">
        <x:v>肥肉0710-08</x:v>
      </x:c>
    </x:row>
    <x:row r="604">
      <x:c r="A604" s="19" t="str">
        <x:v>2026-07-11|S08|肥肉片</x:v>
      </x:c>
      <x:c r="B604" s="34" t="n">
        <x:v>46214.5</x:v>
      </x:c>
      <x:c r="C604" s="19" t="str">
        <x:v>S08</x:v>
      </x:c>
      <x:c r="D604" s="19" t="str">
        <x:v>四季青店</x:v>
      </x:c>
      <x:c r="E604" s="19" t="str">
        <x:v>肥肉片</x:v>
      </x:c>
      <x:c r="F604" s="32" t="n">
        <x:v>6.663019073107344</x:v>
      </x:c>
      <x:c r="G604" s="32" t="n">
        <x:v>2.452364580146122</x:v>
      </x:c>
      <x:c r="H604" s="24" t="n">
        <x:f>'菜品日销量'!G1065*50/1000+'菜品日销量'!G1074*50/1000</x:f>
        <x:v>2.2</x:v>
      </x:c>
      <x:c r="I604" s="36" t="n">
        <x:v>0.02573088048392229</x:v>
      </x:c>
      <x:c r="J604" s="24" t="n">
        <x:f>H604*I604</x:f>
        <x:v>0.05660793706462904</x:v>
      </x:c>
      <x:c r="K604" s="32" t="n">
        <x:v>0</x:v>
      </x:c>
      <x:c r="L604" s="32" t="n">
        <x:v>0</x:v>
      </x:c>
      <x:c r="M604" s="32" t="n">
        <x:v>0</x:v>
      </x:c>
      <x:c r="N604" s="24" t="n">
        <x:f>F604+G604+K604-L604+M604-H604-J604</x:f>
        <x:v>6.858775716188838</x:v>
      </x:c>
      <x:c r="O604" s="24" t="n">
        <x:f>H604*'封面与口径'!$O$24</x:f>
        <x:v>2.64</x:v>
      </x:c>
      <x:c r="P604" s="19" t="str">
        <x:f>IF(N604&lt;0,"缺货",IF(N604&lt;O604,"预警","正常"))</x:f>
        <x:v>正常</x:v>
      </x:c>
      <x:c r="Q604" s="19" t="str">
        <x:v>肥肉0711-08</x:v>
      </x:c>
    </x:row>
    <x:row r="605">
      <x:c r="A605" s="19" t="str">
        <x:v>2026-07-12|S08|肥肉片</x:v>
      </x:c>
      <x:c r="B605" s="34" t="n">
        <x:v>46215.5</x:v>
      </x:c>
      <x:c r="C605" s="19" t="str">
        <x:v>S08</x:v>
      </x:c>
      <x:c r="D605" s="19" t="str">
        <x:v>四季青店</x:v>
      </x:c>
      <x:c r="E605" s="19" t="str">
        <x:v>肥肉片</x:v>
      </x:c>
      <x:c r="F605" s="32" t="n">
        <x:v>6.858775716188838</x:v>
      </x:c>
      <x:c r="G605" s="32" t="n">
        <x:v>2.3714347295350016</x:v>
      </x:c>
      <x:c r="H605" s="24" t="n">
        <x:f>'菜品日销量'!G1085*50/1000+'菜品日销量'!G1094*50/1000</x:f>
        <x:v>2.1500000000000004</x:v>
      </x:c>
      <x:c r="I605" s="36" t="n">
        <x:v>0.018144032823188237</x:v>
      </x:c>
      <x:c r="J605" s="24" t="n">
        <x:f>H605*I605</x:f>
        <x:v>0.039009670569854715</x:v>
      </x:c>
      <x:c r="K605" s="32" t="n">
        <x:v>0</x:v>
      </x:c>
      <x:c r="L605" s="32" t="n">
        <x:v>0</x:v>
      </x:c>
      <x:c r="M605" s="32" t="n">
        <x:v>0</x:v>
      </x:c>
      <x:c r="N605" s="24" t="n">
        <x:f>F605+G605+K605-L605+M605-H605-J605</x:f>
        <x:v>7.0412007751539845</x:v>
      </x:c>
      <x:c r="O605" s="24" t="n">
        <x:f>H605*'封面与口径'!$O$24</x:f>
        <x:v>2.5800000000000005</x:v>
      </x:c>
      <x:c r="P605" s="19" t="str">
        <x:f>IF(N605&lt;0,"缺货",IF(N605&lt;O605,"预警","正常"))</x:f>
        <x:v>正常</x:v>
      </x:c>
      <x:c r="Q605" s="19" t="str">
        <x:v>肥肉0712-08</x:v>
      </x:c>
    </x:row>
    <x:row r="606">
      <x:c r="A606" s="19" t="str">
        <x:v>2026-07-13|S08|肥肉片</x:v>
      </x:c>
      <x:c r="B606" s="34" t="n">
        <x:v>46216.5</x:v>
      </x:c>
      <x:c r="C606" s="19" t="str">
        <x:v>S08</x:v>
      </x:c>
      <x:c r="D606" s="19" t="str">
        <x:v>四季青店</x:v>
      </x:c>
      <x:c r="E606" s="19" t="str">
        <x:v>肥肉片</x:v>
      </x:c>
      <x:c r="F606" s="32" t="n">
        <x:v>7.0412007751539845</x:v>
      </x:c>
      <x:c r="G606" s="32" t="n">
        <x:v>3.252210456806284</x:v>
      </x:c>
      <x:c r="H606" s="24" t="n">
        <x:f>'菜品日销量'!G1105*50/1000+'菜品日销量'!G1114*50/1000</x:f>
        <x:v>3</x:v>
      </x:c>
      <x:c r="I606" s="36" t="n">
        <x:v>0.020188624672635602</x:v>
      </x:c>
      <x:c r="J606" s="24" t="n">
        <x:f>H606*I606</x:f>
        <x:v>0.06056587401790681</x:v>
      </x:c>
      <x:c r="K606" s="32" t="n">
        <x:v>0</x:v>
      </x:c>
      <x:c r="L606" s="32" t="n">
        <x:v>0</x:v>
      </x:c>
      <x:c r="M606" s="32" t="n">
        <x:v>0</x:v>
      </x:c>
      <x:c r="N606" s="24" t="n">
        <x:f>F606+G606+K606-L606+M606-H606-J606</x:f>
        <x:v>7.232845357942362</x:v>
      </x:c>
      <x:c r="O606" s="24" t="n">
        <x:f>H606*'封面与口径'!$O$24</x:f>
        <x:v>3.5999999999999996</x:v>
      </x:c>
      <x:c r="P606" s="19" t="str">
        <x:f>IF(N606&lt;0,"缺货",IF(N606&lt;O606,"预警","正常"))</x:f>
        <x:v>正常</x:v>
      </x:c>
      <x:c r="Q606" s="19" t="str">
        <x:v>肥肉0713-08</x:v>
      </x:c>
    </x:row>
    <x:row r="607">
      <x:c r="A607" s="19" t="str">
        <x:v>2026-07-07|S08|牛肉片</x:v>
      </x:c>
      <x:c r="B607" s="34" t="n">
        <x:v>46210.5</x:v>
      </x:c>
      <x:c r="C607" s="19" t="str">
        <x:v>S08</x:v>
      </x:c>
      <x:c r="D607" s="19" t="str">
        <x:v>四季青店</x:v>
      </x:c>
      <x:c r="E607" s="19" t="str">
        <x:v>牛肉片</x:v>
      </x:c>
      <x:c r="F607" s="32" t="n">
        <x:v>13.05</x:v>
      </x:c>
      <x:c r="G607" s="32" t="n">
        <x:v>7.963224677784188</x:v>
      </x:c>
      <x:c r="H607" s="24" t="n">
        <x:f>'菜品日销量'!G986*250/1000</x:f>
        <x:v>7.25</x:v>
      </x:c>
      <x:c r="I607" s="36" t="n">
        <x:v>0.023033302952077544</x:v>
      </x:c>
      <x:c r="J607" s="24" t="n">
        <x:f>H607*I607</x:f>
        <x:v>0.1669914464025622</x:v>
      </x:c>
      <x:c r="K607" s="32" t="n">
        <x:v>0</x:v>
      </x:c>
      <x:c r="L607" s="32" t="n">
        <x:v>0</x:v>
      </x:c>
      <x:c r="M607" s="32" t="n">
        <x:v>0</x:v>
      </x:c>
      <x:c r="N607" s="24" t="n">
        <x:f>F607+G607+K607-L607+M607-H607-J607</x:f>
        <x:v>13.596233231381625</x:v>
      </x:c>
      <x:c r="O607" s="24" t="n">
        <x:f>H607*'封面与口径'!$O$24</x:f>
        <x:v>8.7</x:v>
      </x:c>
      <x:c r="P607" s="19" t="str">
        <x:f>IF(N607&lt;0,"缺货",IF(N607&lt;O607,"预警","正常"))</x:f>
        <x:v>正常</x:v>
      </x:c>
      <x:c r="Q607" s="19" t="str">
        <x:v>牛肉0707-08</x:v>
      </x:c>
    </x:row>
    <x:row r="608">
      <x:c r="A608" s="19" t="str">
        <x:v>2026-07-08|S08|牛肉片</x:v>
      </x:c>
      <x:c r="B608" s="34" t="n">
        <x:v>46211.5</x:v>
      </x:c>
      <x:c r="C608" s="19" t="str">
        <x:v>S08</x:v>
      </x:c>
      <x:c r="D608" s="19" t="str">
        <x:v>四季青店</x:v>
      </x:c>
      <x:c r="E608" s="19" t="str">
        <x:v>牛肉片</x:v>
      </x:c>
      <x:c r="F608" s="32" t="n">
        <x:v>13.596233231381625</x:v>
      </x:c>
      <x:c r="G608" s="32" t="n">
        <x:v>8.13189868219474</x:v>
      </x:c>
      <x:c r="H608" s="24" t="n">
        <x:f>'菜品日销量'!G1006*250/1000</x:f>
        <x:v>7</x:v>
      </x:c>
      <x:c r="I608" s="36" t="n">
        <x:v>0.033027054318931666</x:v>
      </x:c>
      <x:c r="J608" s="24" t="n">
        <x:f>H608*I608</x:f>
        <x:v>0.23118938023252167</x:v>
      </x:c>
      <x:c r="K608" s="32" t="n">
        <x:v>0</x:v>
      </x:c>
      <x:c r="L608" s="32" t="n">
        <x:v>0</x:v>
      </x:c>
      <x:c r="M608" s="32" t="n">
        <x:v>0</x:v>
      </x:c>
      <x:c r="N608" s="24" t="n">
        <x:f>F608+G608+K608-L608+M608-H608-J608</x:f>
        <x:v>14.49694253334384</x:v>
      </x:c>
      <x:c r="O608" s="24" t="n">
        <x:f>H608*'封面与口径'!$O$24</x:f>
        <x:v>8.4</x:v>
      </x:c>
      <x:c r="P608" s="19" t="str">
        <x:f>IF(N608&lt;0,"缺货",IF(N608&lt;O608,"预警","正常"))</x:f>
        <x:v>正常</x:v>
      </x:c>
      <x:c r="Q608" s="19" t="str">
        <x:v>牛肉0708-08</x:v>
      </x:c>
    </x:row>
    <x:row r="609">
      <x:c r="A609" s="19" t="str">
        <x:v>2026-07-09|S08|牛肉片</x:v>
      </x:c>
      <x:c r="B609" s="34" t="n">
        <x:v>46212.5</x:v>
      </x:c>
      <x:c r="C609" s="19" t="str">
        <x:v>S08</x:v>
      </x:c>
      <x:c r="D609" s="19" t="str">
        <x:v>四季青店</x:v>
      </x:c>
      <x:c r="E609" s="19" t="str">
        <x:v>牛肉片</x:v>
      </x:c>
      <x:c r="F609" s="32" t="n">
        <x:v>14.49694253334384</x:v>
      </x:c>
      <x:c r="G609" s="32" t="n">
        <x:v>8.558201876468537</x:v>
      </x:c>
      <x:c r="H609" s="24" t="n">
        <x:f>'菜品日销量'!G1026*250/1000</x:f>
        <x:v>7.25</x:v>
      </x:c>
      <x:c r="I609" s="36" t="n">
        <x:v>0.01624274082510796</x:v>
      </x:c>
      <x:c r="J609" s="24" t="n">
        <x:f>H609*I609</x:f>
        <x:v>0.11775987098203271</x:v>
      </x:c>
      <x:c r="K609" s="32" t="n">
        <x:v>0</x:v>
      </x:c>
      <x:c r="L609" s="32" t="n">
        <x:v>0</x:v>
      </x:c>
      <x:c r="M609" s="32" t="n">
        <x:v>0</x:v>
      </x:c>
      <x:c r="N609" s="24" t="n">
        <x:f>F609+G609+K609-L609+M609-H609-J609</x:f>
        <x:v>15.687384538830345</x:v>
      </x:c>
      <x:c r="O609" s="24" t="n">
        <x:f>H609*'封面与口径'!$O$24</x:f>
        <x:v>8.7</x:v>
      </x:c>
      <x:c r="P609" s="19" t="str">
        <x:f>IF(N609&lt;0,"缺货",IF(N609&lt;O609,"预警","正常"))</x:f>
        <x:v>正常</x:v>
      </x:c>
      <x:c r="Q609" s="19" t="str">
        <x:v>牛肉0709-08</x:v>
      </x:c>
    </x:row>
    <x:row r="610">
      <x:c r="A610" s="19" t="str">
        <x:v>2026-07-10|S08|牛肉片</x:v>
      </x:c>
      <x:c r="B610" s="34" t="n">
        <x:v>46213.5</x:v>
      </x:c>
      <x:c r="C610" s="19" t="str">
        <x:v>S08</x:v>
      </x:c>
      <x:c r="D610" s="19" t="str">
        <x:v>四季青店</x:v>
      </x:c>
      <x:c r="E610" s="19" t="str">
        <x:v>牛肉片</x:v>
      </x:c>
      <x:c r="F610" s="32" t="n">
        <x:v>15.687384538830345</x:v>
      </x:c>
      <x:c r="G610" s="32" t="n">
        <x:v>8.247621738986956</x:v>
      </x:c>
      <x:c r="H610" s="24" t="n">
        <x:f>'菜品日销量'!G1046*250/1000</x:f>
        <x:v>7</x:v>
      </x:c>
      <x:c r="I610" s="36" t="n">
        <x:v>0.029630924459693703</x:v>
      </x:c>
      <x:c r="J610" s="24" t="n">
        <x:f>H610*I610</x:f>
        <x:v>0.20741647121785592</x:v>
      </x:c>
      <x:c r="K610" s="32" t="n">
        <x:v>0</x:v>
      </x:c>
      <x:c r="L610" s="32" t="n">
        <x:v>0</x:v>
      </x:c>
      <x:c r="M610" s="32" t="n">
        <x:v>0</x:v>
      </x:c>
      <x:c r="N610" s="24" t="n">
        <x:f>F610+G610+K610-L610+M610-H610-J610</x:f>
        <x:v>16.727589806599447</x:v>
      </x:c>
      <x:c r="O610" s="24" t="n">
        <x:f>H610*'封面与口径'!$O$24</x:f>
        <x:v>8.4</x:v>
      </x:c>
      <x:c r="P610" s="19" t="str">
        <x:f>IF(N610&lt;0,"缺货",IF(N610&lt;O610,"预警","正常"))</x:f>
        <x:v>正常</x:v>
      </x:c>
      <x:c r="Q610" s="19" t="str">
        <x:v>牛肉0710-08</x:v>
      </x:c>
    </x:row>
    <x:row r="611">
      <x:c r="A611" s="19" t="str">
        <x:v>2026-07-11|S08|牛肉片</x:v>
      </x:c>
      <x:c r="B611" s="34" t="n">
        <x:v>46214.5</x:v>
      </x:c>
      <x:c r="C611" s="19" t="str">
        <x:v>S08</x:v>
      </x:c>
      <x:c r="D611" s="19" t="str">
        <x:v>四季青店</x:v>
      </x:c>
      <x:c r="E611" s="19" t="str">
        <x:v>牛肉片</x:v>
      </x:c>
      <x:c r="F611" s="32" t="n">
        <x:v>16.727589806599447</x:v>
      </x:c>
      <x:c r="G611" s="32" t="n">
        <x:v>6.349000421990407</x:v>
      </x:c>
      <x:c r="H611" s="24" t="n">
        <x:f>'菜品日销量'!G1066*250/1000</x:f>
        <x:v>5.75</x:v>
      </x:c>
      <x:c r="I611" s="36" t="n">
        <x:v>0.02777860859124423</x:v>
      </x:c>
      <x:c r="J611" s="24" t="n">
        <x:f>H611*I611</x:f>
        <x:v>0.15972699939965432</x:v>
      </x:c>
      <x:c r="K611" s="32" t="n">
        <x:v>0</x:v>
      </x:c>
      <x:c r="L611" s="32" t="n">
        <x:v>0</x:v>
      </x:c>
      <x:c r="M611" s="32" t="n">
        <x:v>0</x:v>
      </x:c>
      <x:c r="N611" s="24" t="n">
        <x:f>F611+G611+K611-L611+M611-H611-J611</x:f>
        <x:v>17.1668632291902</x:v>
      </x:c>
      <x:c r="O611" s="24" t="n">
        <x:f>H611*'封面与口径'!$O$24</x:f>
        <x:v>6.8999999999999995</x:v>
      </x:c>
      <x:c r="P611" s="19" t="str">
        <x:f>IF(N611&lt;0,"缺货",IF(N611&lt;O611,"预警","正常"))</x:f>
        <x:v>正常</x:v>
      </x:c>
      <x:c r="Q611" s="19" t="str">
        <x:v>牛肉0711-08</x:v>
      </x:c>
    </x:row>
    <x:row r="612">
      <x:c r="A612" s="19" t="str">
        <x:v>2026-07-12|S08|牛肉片</x:v>
      </x:c>
      <x:c r="B612" s="34" t="n">
        <x:v>46215.5</x:v>
      </x:c>
      <x:c r="C612" s="19" t="str">
        <x:v>S08</x:v>
      </x:c>
      <x:c r="D612" s="19" t="str">
        <x:v>四季青店</x:v>
      </x:c>
      <x:c r="E612" s="19" t="str">
        <x:v>牛肉片</x:v>
      </x:c>
      <x:c r="F612" s="32" t="n">
        <x:v>17.1668632291902</x:v>
      </x:c>
      <x:c r="G612" s="32" t="n">
        <x:v>7.078285251790259</x:v>
      </x:c>
      <x:c r="H612" s="24" t="n">
        <x:f>'菜品日销量'!G1086*250/1000</x:f>
        <x:v>6</x:v>
      </x:c>
      <x:c r="I612" s="36" t="n">
        <x:v>0.017873251192009366</x:v>
      </x:c>
      <x:c r="J612" s="24" t="n">
        <x:f>H612*I612</x:f>
        <x:v>0.1072395071520562</x:v>
      </x:c>
      <x:c r="K612" s="32" t="n">
        <x:v>0</x:v>
      </x:c>
      <x:c r="L612" s="32" t="n">
        <x:v>0</x:v>
      </x:c>
      <x:c r="M612" s="32" t="n">
        <x:v>0</x:v>
      </x:c>
      <x:c r="N612" s="24" t="n">
        <x:f>F612+G612+K612-L612+M612-H612-J612</x:f>
        <x:v>18.137908973828402</x:v>
      </x:c>
      <x:c r="O612" s="24" t="n">
        <x:f>H612*'封面与口径'!$O$24</x:f>
        <x:v>7.199999999999999</x:v>
      </x:c>
      <x:c r="P612" s="19" t="str">
        <x:f>IF(N612&lt;0,"缺货",IF(N612&lt;O612,"预警","正常"))</x:f>
        <x:v>正常</x:v>
      </x:c>
      <x:c r="Q612" s="19" t="str">
        <x:v>牛肉0712-08</x:v>
      </x:c>
    </x:row>
    <x:row r="613">
      <x:c r="A613" s="19" t="str">
        <x:v>2026-07-13|S08|牛肉片</x:v>
      </x:c>
      <x:c r="B613" s="34" t="n">
        <x:v>46216.5</x:v>
      </x:c>
      <x:c r="C613" s="19" t="str">
        <x:v>S08</x:v>
      </x:c>
      <x:c r="D613" s="19" t="str">
        <x:v>四季青店</x:v>
      </x:c>
      <x:c r="E613" s="19" t="str">
        <x:v>牛肉片</x:v>
      </x:c>
      <x:c r="F613" s="32" t="n">
        <x:v>18.137908973828402</x:v>
      </x:c>
      <x:c r="G613" s="32" t="n">
        <x:v>8.968911280261565</x:v>
      </x:c>
      <x:c r="H613" s="24" t="n">
        <x:f>'菜品日销量'!G1106*250/1000</x:f>
        <x:v>8</x:v>
      </x:c>
      <x:c r="I613" s="36" t="n">
        <x:v>0.018072558117116</x:v>
      </x:c>
      <x:c r="J613" s="24" t="n">
        <x:f>H613*I613</x:f>
        <x:v>0.144580464936928</x:v>
      </x:c>
      <x:c r="K613" s="32" t="n">
        <x:v>0</x:v>
      </x:c>
      <x:c r="L613" s="32" t="n">
        <x:v>0</x:v>
      </x:c>
      <x:c r="M613" s="32" t="n">
        <x:v>0</x:v>
      </x:c>
      <x:c r="N613" s="24" t="n">
        <x:f>F613+G613+K613-L613+M613-H613-J613</x:f>
        <x:v>18.96223978915304</x:v>
      </x:c>
      <x:c r="O613" s="24" t="n">
        <x:f>H613*'封面与口径'!$O$24</x:f>
        <x:v>9.6</x:v>
      </x:c>
      <x:c r="P613" s="19" t="str">
        <x:f>IF(N613&lt;0,"缺货",IF(N613&lt;O613,"预警","正常"))</x:f>
        <x:v>正常</x:v>
      </x:c>
      <x:c r="Q613" s="19" t="str">
        <x:v>牛肉0713-08</x:v>
      </x:c>
    </x:row>
    <x:row r="614">
      <x:c r="A614" s="19" t="str">
        <x:v>2026-07-07|S08|螺丝椒</x:v>
      </x:c>
      <x:c r="B614" s="34" t="n">
        <x:v>46210.5</x:v>
      </x:c>
      <x:c r="C614" s="19" t="str">
        <x:v>S08</x:v>
      </x:c>
      <x:c r="D614" s="19" t="str">
        <x:v>四季青店</x:v>
      </x:c>
      <x:c r="E614" s="19" t="str">
        <x:v>螺丝椒</x:v>
      </x:c>
      <x:c r="F614" s="32" t="n">
        <x:v>20.25</x:v>
      </x:c>
      <x:c r="G614" s="32" t="n">
        <x:v>12.801604162645901</x:v>
      </x:c>
      <x:c r="H614" s="24" t="n">
        <x:f>'菜品日销量'!G985*250/1000</x:f>
        <x:v>11.25</x:v>
      </x:c>
      <x:c r="I614" s="36" t="n">
        <x:v>0.022642664657356835</x:v>
      </x:c>
      <x:c r="J614" s="24" t="n">
        <x:f>H614*I614</x:f>
        <x:v>0.2547299773952644</x:v>
      </x:c>
      <x:c r="K614" s="32" t="n">
        <x:v>0</x:v>
      </x:c>
      <x:c r="L614" s="32" t="n">
        <x:v>0</x:v>
      </x:c>
      <x:c r="M614" s="32" t="n">
        <x:v>0</x:v>
      </x:c>
      <x:c r="N614" s="24" t="n">
        <x:f>F614+G614+K614-L614+M614-H614-J614</x:f>
        <x:v>21.546874185250637</x:v>
      </x:c>
      <x:c r="O614" s="24" t="n">
        <x:f>H614*'封面与口径'!$O$24</x:f>
        <x:v>13.5</x:v>
      </x:c>
      <x:c r="P614" s="19" t="str">
        <x:f>IF(N614&lt;0,"缺货",IF(N614&lt;O614,"预警","正常"))</x:f>
        <x:v>正常</x:v>
      </x:c>
      <x:c r="Q614" s="19" t="str">
        <x:v>螺丝0707-08</x:v>
      </x:c>
    </x:row>
    <x:row r="615">
      <x:c r="A615" s="19" t="str">
        <x:v>2026-07-08|S08|螺丝椒</x:v>
      </x:c>
      <x:c r="B615" s="34" t="n">
        <x:v>46211.5</x:v>
      </x:c>
      <x:c r="C615" s="19" t="str">
        <x:v>S08</x:v>
      </x:c>
      <x:c r="D615" s="19" t="str">
        <x:v>四季青店</x:v>
      </x:c>
      <x:c r="E615" s="19" t="str">
        <x:v>螺丝椒</x:v>
      </x:c>
      <x:c r="F615" s="32" t="n">
        <x:v>21.546874185250637</x:v>
      </x:c>
      <x:c r="G615" s="32" t="n">
        <x:v>11.173445946435315</x:v>
      </x:c>
      <x:c r="H615" s="24" t="n">
        <x:f>'菜品日销量'!G1005*250/1000</x:f>
        <x:v>10.25</x:v>
      </x:c>
      <x:c r="I615" s="36" t="n">
        <x:v>0.02212028989384889</x:v>
      </x:c>
      <x:c r="J615" s="24" t="n">
        <x:f>H615*I615</x:f>
        <x:v>0.22673297141195112</x:v>
      </x:c>
      <x:c r="K615" s="32" t="n">
        <x:v>0</x:v>
      </x:c>
      <x:c r="L615" s="32" t="n">
        <x:v>0</x:v>
      </x:c>
      <x:c r="M615" s="32" t="n">
        <x:v>0</x:v>
      </x:c>
      <x:c r="N615" s="24" t="n">
        <x:f>F615+G615+K615-L615+M615-H615-J615</x:f>
        <x:v>22.243587160274</x:v>
      </x:c>
      <x:c r="O615" s="24" t="n">
        <x:f>H615*'封面与口径'!$O$24</x:f>
        <x:v>12.299999999999999</x:v>
      </x:c>
      <x:c r="P615" s="19" t="str">
        <x:f>IF(N615&lt;0,"缺货",IF(N615&lt;O615,"预警","正常"))</x:f>
        <x:v>正常</x:v>
      </x:c>
      <x:c r="Q615" s="19" t="str">
        <x:v>螺丝0708-08</x:v>
      </x:c>
    </x:row>
    <x:row r="616">
      <x:c r="A616" s="19" t="str">
        <x:v>2026-07-09|S08|螺丝椒</x:v>
      </x:c>
      <x:c r="B616" s="34" t="n">
        <x:v>46212.5</x:v>
      </x:c>
      <x:c r="C616" s="19" t="str">
        <x:v>S08</x:v>
      </x:c>
      <x:c r="D616" s="19" t="str">
        <x:v>四季青店</x:v>
      </x:c>
      <x:c r="E616" s="19" t="str">
        <x:v>螺丝椒</x:v>
      </x:c>
      <x:c r="F616" s="32" t="n">
        <x:v>22.243587160274004</x:v>
      </x:c>
      <x:c r="G616" s="32" t="n">
        <x:v>11.415636081540873</x:v>
      </x:c>
      <x:c r="H616" s="24" t="n">
        <x:f>'菜品日销量'!G1025*250/1000</x:f>
        <x:v>10.5</x:v>
      </x:c>
      <x:c r="I616" s="36" t="n">
        <x:v>0.022006313583582245</x:v>
      </x:c>
      <x:c r="J616" s="24" t="n">
        <x:f>H616*I616</x:f>
        <x:v>0.23106629262761358</x:v>
      </x:c>
      <x:c r="K616" s="32" t="n">
        <x:v>0</x:v>
      </x:c>
      <x:c r="L616" s="32" t="n">
        <x:v>0</x:v>
      </x:c>
      <x:c r="M616" s="32" t="n">
        <x:v>0</x:v>
      </x:c>
      <x:c r="N616" s="24" t="n">
        <x:f>F616+G616+K616-L616+M616-H616-J616</x:f>
        <x:v>22.928156949187265</x:v>
      </x:c>
      <x:c r="O616" s="24" t="n">
        <x:f>H616*'封面与口径'!$O$24</x:f>
        <x:v>12.6</x:v>
      </x:c>
      <x:c r="P616" s="19" t="str">
        <x:f>IF(N616&lt;0,"缺货",IF(N616&lt;O616,"预警","正常"))</x:f>
        <x:v>正常</x:v>
      </x:c>
      <x:c r="Q616" s="19" t="str">
        <x:v>螺丝0709-08</x:v>
      </x:c>
    </x:row>
    <x:row r="617">
      <x:c r="A617" s="19" t="str">
        <x:v>2026-07-10|S08|螺丝椒</x:v>
      </x:c>
      <x:c r="B617" s="34" t="n">
        <x:v>46213.5</x:v>
      </x:c>
      <x:c r="C617" s="19" t="str">
        <x:v>S08</x:v>
      </x:c>
      <x:c r="D617" s="19" t="str">
        <x:v>四季青店</x:v>
      </x:c>
      <x:c r="E617" s="19" t="str">
        <x:v>螺丝椒</x:v>
      </x:c>
      <x:c r="F617" s="32" t="n">
        <x:v>22.928156949187265</x:v>
      </x:c>
      <x:c r="G617" s="32" t="n">
        <x:v>11.996674197026687</x:v>
      </x:c>
      <x:c r="H617" s="24" t="n">
        <x:f>'菜品日销量'!G1045*250/1000</x:f>
        <x:v>10.5</x:v>
      </x:c>
      <x:c r="I617" s="36" t="n">
        <x:v>0.02284258399108485</x:v>
      </x:c>
      <x:c r="J617" s="24" t="n">
        <x:f>H617*I617</x:f>
        <x:v>0.23984713190639093</x:v>
      </x:c>
      <x:c r="K617" s="32" t="n">
        <x:v>0</x:v>
      </x:c>
      <x:c r="L617" s="32" t="n">
        <x:v>0</x:v>
      </x:c>
      <x:c r="M617" s="32" t="n">
        <x:v>0</x:v>
      </x:c>
      <x:c r="N617" s="24" t="n">
        <x:f>F617+G617+K617-L617+M617-H617-J617</x:f>
        <x:v>24.184984014307563</x:v>
      </x:c>
      <x:c r="O617" s="24" t="n">
        <x:f>H617*'封面与口径'!$O$24</x:f>
        <x:v>12.6</x:v>
      </x:c>
      <x:c r="P617" s="19" t="str">
        <x:f>IF(N617&lt;0,"缺货",IF(N617&lt;O617,"预警","正常"))</x:f>
        <x:v>正常</x:v>
      </x:c>
      <x:c r="Q617" s="19" t="str">
        <x:v>螺丝0710-08</x:v>
      </x:c>
    </x:row>
    <x:row r="618">
      <x:c r="A618" s="19" t="str">
        <x:v>2026-07-11|S08|螺丝椒</x:v>
      </x:c>
      <x:c r="B618" s="34" t="n">
        <x:v>46214.5</x:v>
      </x:c>
      <x:c r="C618" s="19" t="str">
        <x:v>S08</x:v>
      </x:c>
      <x:c r="D618" s="19" t="str">
        <x:v>四季青店</x:v>
      </x:c>
      <x:c r="E618" s="19" t="str">
        <x:v>螺丝椒</x:v>
      </x:c>
      <x:c r="F618" s="32" t="n">
        <x:v>24.184984014307563</x:v>
      </x:c>
      <x:c r="G618" s="32" t="n">
        <x:v>9.102325852353204</x:v>
      </x:c>
      <x:c r="H618" s="24" t="n">
        <x:f>'菜品日销量'!G1065*250/1000</x:f>
        <x:v>8.25</x:v>
      </x:c>
      <x:c r="I618" s="36" t="n">
        <x:v>0.031224142185231705</x:v>
      </x:c>
      <x:c r="J618" s="24" t="n">
        <x:f>H618*I618</x:f>
        <x:v>0.25759917302816154</x:v>
      </x:c>
      <x:c r="K618" s="32" t="n">
        <x:v>0</x:v>
      </x:c>
      <x:c r="L618" s="32" t="n">
        <x:v>0</x:v>
      </x:c>
      <x:c r="M618" s="32" t="n">
        <x:v>0</x:v>
      </x:c>
      <x:c r="N618" s="24" t="n">
        <x:f>F618+G618+K618-L618+M618-H618-J618</x:f>
        <x:v>24.7797106936326</x:v>
      </x:c>
      <x:c r="O618" s="24" t="n">
        <x:f>H618*'封面与口径'!$O$24</x:f>
        <x:v>9.9</x:v>
      </x:c>
      <x:c r="P618" s="19" t="str">
        <x:f>IF(N618&lt;0,"缺货",IF(N618&lt;O618,"预警","正常"))</x:f>
        <x:v>正常</x:v>
      </x:c>
      <x:c r="Q618" s="19" t="str">
        <x:v>螺丝0711-08</x:v>
      </x:c>
    </x:row>
    <x:row r="619">
      <x:c r="A619" s="19" t="str">
        <x:v>2026-07-12|S08|螺丝椒</x:v>
      </x:c>
      <x:c r="B619" s="34" t="n">
        <x:v>46215.5</x:v>
      </x:c>
      <x:c r="C619" s="19" t="str">
        <x:v>S08</x:v>
      </x:c>
      <x:c r="D619" s="19" t="str">
        <x:v>四季青店</x:v>
      </x:c>
      <x:c r="E619" s="19" t="str">
        <x:v>螺丝椒</x:v>
      </x:c>
      <x:c r="F619" s="32" t="n">
        <x:v>24.7797106936326</x:v>
      </x:c>
      <x:c r="G619" s="32" t="n">
        <x:v>8.843693322214227</x:v>
      </x:c>
      <x:c r="H619" s="24" t="n">
        <x:f>'菜品日销量'!G1085*250/1000</x:f>
        <x:v>8</x:v>
      </x:c>
      <x:c r="I619" s="36" t="n">
        <x:v>0.039910195550161925</x:v>
      </x:c>
      <x:c r="J619" s="24" t="n">
        <x:f>H619*I619</x:f>
        <x:v>0.3192815644012954</x:v>
      </x:c>
      <x:c r="K619" s="32" t="n">
        <x:v>0</x:v>
      </x:c>
      <x:c r="L619" s="32" t="n">
        <x:v>0</x:v>
      </x:c>
      <x:c r="M619" s="32" t="n">
        <x:v>0</x:v>
      </x:c>
      <x:c r="N619" s="24" t="n">
        <x:f>F619+G619+K619-L619+M619-H619-J619</x:f>
        <x:v>25.304122451445537</x:v>
      </x:c>
      <x:c r="O619" s="24" t="n">
        <x:f>H619*'封面与口径'!$O$24</x:f>
        <x:v>9.6</x:v>
      </x:c>
      <x:c r="P619" s="19" t="str">
        <x:f>IF(N619&lt;0,"缺货",IF(N619&lt;O619,"预警","正常"))</x:f>
        <x:v>正常</x:v>
      </x:c>
      <x:c r="Q619" s="19" t="str">
        <x:v>螺丝0712-08</x:v>
      </x:c>
    </x:row>
    <x:row r="620">
      <x:c r="A620" s="19" t="str">
        <x:v>2026-07-13|S08|螺丝椒</x:v>
      </x:c>
      <x:c r="B620" s="34" t="n">
        <x:v>46216.5</x:v>
      </x:c>
      <x:c r="C620" s="19" t="str">
        <x:v>S08</x:v>
      </x:c>
      <x:c r="D620" s="19" t="str">
        <x:v>四季青店</x:v>
      </x:c>
      <x:c r="E620" s="19" t="str">
        <x:v>螺丝椒</x:v>
      </x:c>
      <x:c r="F620" s="32" t="n">
        <x:v>25.304122451445537</x:v>
      </x:c>
      <x:c r="G620" s="32" t="n">
        <x:v>11.640550453544257</x:v>
      </x:c>
      <x:c r="H620" s="24" t="n">
        <x:f>'菜品日销量'!G1105*250/1000</x:f>
        <x:v>10.75</x:v>
      </x:c>
      <x:c r="I620" s="36" t="n">
        <x:v>0.0180440102629466</x:v>
      </x:c>
      <x:c r="J620" s="24" t="n">
        <x:f>H620*I620</x:f>
        <x:v>0.19397311032667597</x:v>
      </x:c>
      <x:c r="K620" s="32" t="n">
        <x:v>0</x:v>
      </x:c>
      <x:c r="L620" s="32" t="n">
        <x:v>0</x:v>
      </x:c>
      <x:c r="M620" s="32" t="n">
        <x:v>0</x:v>
      </x:c>
      <x:c r="N620" s="24" t="n">
        <x:f>F620+G620+K620-L620+M620-H620-J620</x:f>
        <x:v>26.000699794663117</x:v>
      </x:c>
      <x:c r="O620" s="24" t="n">
        <x:f>H620*'封面与口径'!$O$24</x:f>
        <x:v>12.9</x:v>
      </x:c>
      <x:c r="P620" s="19" t="str">
        <x:f>IF(N620&lt;0,"缺货",IF(N620&lt;O620,"预警","正常"))</x:f>
        <x:v>正常</x:v>
      </x:c>
      <x:c r="Q620" s="19" t="str">
        <x:v>螺丝0713-08</x:v>
      </x:c>
    </x:row>
    <x:row r="621">
      <x:c r="A621" s="19" t="str">
        <x:v>2026-07-07|S08|青湖南椒圈</x:v>
      </x:c>
      <x:c r="B621" s="34" t="n">
        <x:v>46210.5</x:v>
      </x:c>
      <x:c r="C621" s="19" t="str">
        <x:v>S08</x:v>
      </x:c>
      <x:c r="D621" s="19" t="str">
        <x:v>四季青店</x:v>
      </x:c>
      <x:c r="E621" s="19" t="str">
        <x:v>青湖南椒圈</x:v>
      </x:c>
      <x:c r="F621" s="32" t="n">
        <x:v>2.8800000000000003</x:v>
      </x:c>
      <x:c r="G621" s="32" t="n">
        <x:v>1.8021276253485419</x:v>
      </x:c>
      <x:c r="H621" s="24" t="n">
        <x:f>'菜品日销量'!G994*100/1000</x:f>
        <x:v>1.6</x:v>
      </x:c>
      <x:c r="I621" s="36" t="n">
        <x:v>0.037433270030290185</x:v>
      </x:c>
      <x:c r="J621" s="24" t="n">
        <x:f>H621*I621</x:f>
        <x:v>0.0598932320484643</x:v>
      </x:c>
      <x:c r="K621" s="32" t="n">
        <x:v>0</x:v>
      </x:c>
      <x:c r="L621" s="32" t="n">
        <x:v>0</x:v>
      </x:c>
      <x:c r="M621" s="32" t="n">
        <x:v>0</x:v>
      </x:c>
      <x:c r="N621" s="24" t="n">
        <x:f>F621+G621+K621-L621+M621-H621-J621</x:f>
        <x:v>3.022234393300078</x:v>
      </x:c>
      <x:c r="O621" s="24" t="n">
        <x:f>H621*'封面与口径'!$O$24</x:f>
        <x:v>1.92</x:v>
      </x:c>
      <x:c r="P621" s="19" t="str">
        <x:f>IF(N621&lt;0,"缺货",IF(N621&lt;O621,"预警","正常"))</x:f>
        <x:v>正常</x:v>
      </x:c>
      <x:c r="Q621" s="19" t="str">
        <x:v>青湖0707-08</x:v>
      </x:c>
    </x:row>
    <x:row r="622">
      <x:c r="A622" s="19" t="str">
        <x:v>2026-07-08|S08|青湖南椒圈</x:v>
      </x:c>
      <x:c r="B622" s="34" t="n">
        <x:v>46211.5</x:v>
      </x:c>
      <x:c r="C622" s="19" t="str">
        <x:v>S08</x:v>
      </x:c>
      <x:c r="D622" s="19" t="str">
        <x:v>四季青店</x:v>
      </x:c>
      <x:c r="E622" s="19" t="str">
        <x:v>青湖南椒圈</x:v>
      </x:c>
      <x:c r="F622" s="32" t="n">
        <x:v>3.022234393300078</x:v>
      </x:c>
      <x:c r="G622" s="32" t="n">
        <x:v>2.009357975359391</x:v>
      </x:c>
      <x:c r="H622" s="24" t="n">
        <x:f>'菜品日销量'!G1014*100/1000</x:f>
        <x:v>1.7</x:v>
      </x:c>
      <x:c r="I622" s="36" t="n">
        <x:v>0.02858809934197648</x:v>
      </x:c>
      <x:c r="J622" s="24" t="n">
        <x:f>H622*I622</x:f>
        <x:v>0.048599768881360014</x:v>
      </x:c>
      <x:c r="K622" s="32" t="n">
        <x:v>0</x:v>
      </x:c>
      <x:c r="L622" s="32" t="n">
        <x:v>0</x:v>
      </x:c>
      <x:c r="M622" s="32" t="n">
        <x:v>0</x:v>
      </x:c>
      <x:c r="N622" s="24" t="n">
        <x:f>F622+G622+K622-L622+M622-H622-J622</x:f>
        <x:v>3.2829925997781086</x:v>
      </x:c>
      <x:c r="O622" s="24" t="n">
        <x:f>H622*'封面与口径'!$O$24</x:f>
        <x:v>2.04</x:v>
      </x:c>
      <x:c r="P622" s="19" t="str">
        <x:f>IF(N622&lt;0,"缺货",IF(N622&lt;O622,"预警","正常"))</x:f>
        <x:v>正常</x:v>
      </x:c>
      <x:c r="Q622" s="19" t="str">
        <x:v>青湖0708-08</x:v>
      </x:c>
    </x:row>
    <x:row r="623">
      <x:c r="A623" s="19" t="str">
        <x:v>2026-07-09|S08|青湖南椒圈</x:v>
      </x:c>
      <x:c r="B623" s="34" t="n">
        <x:v>46212.5</x:v>
      </x:c>
      <x:c r="C623" s="19" t="str">
        <x:v>S08</x:v>
      </x:c>
      <x:c r="D623" s="19" t="str">
        <x:v>四季青店</x:v>
      </x:c>
      <x:c r="E623" s="19" t="str">
        <x:v>青湖南椒圈</x:v>
      </x:c>
      <x:c r="F623" s="32" t="n">
        <x:v>3.282992599778109</x:v>
      </x:c>
      <x:c r="G623" s="32" t="n">
        <x:v>1.6775541318425804</x:v>
      </x:c>
      <x:c r="H623" s="24" t="n">
        <x:f>'菜品日销量'!G1034*100/1000</x:f>
        <x:v>1.4</x:v>
      </x:c>
      <x:c r="I623" s="36" t="n">
        <x:v>0.020298400264069996</x:v>
      </x:c>
      <x:c r="J623" s="24" t="n">
        <x:f>H623*I623</x:f>
        <x:v>0.02841776036969799</x:v>
      </x:c>
      <x:c r="K623" s="32" t="n">
        <x:v>0</x:v>
      </x:c>
      <x:c r="L623" s="32" t="n">
        <x:v>0</x:v>
      </x:c>
      <x:c r="M623" s="32" t="n">
        <x:v>0</x:v>
      </x:c>
      <x:c r="N623" s="24" t="n">
        <x:f>F623+G623+K623-L623+M623-H623-J623</x:f>
        <x:v>3.5321289712509913</x:v>
      </x:c>
      <x:c r="O623" s="24" t="n">
        <x:f>H623*'封面与口径'!$O$24</x:f>
        <x:v>1.68</x:v>
      </x:c>
      <x:c r="P623" s="19" t="str">
        <x:f>IF(N623&lt;0,"缺货",IF(N623&lt;O623,"预警","正常"))</x:f>
        <x:v>正常</x:v>
      </x:c>
      <x:c r="Q623" s="19" t="str">
        <x:v>青湖0709-08</x:v>
      </x:c>
    </x:row>
    <x:row r="624">
      <x:c r="A624" s="19" t="str">
        <x:v>2026-07-10|S08|青湖南椒圈</x:v>
      </x:c>
      <x:c r="B624" s="34" t="n">
        <x:v>46213.5</x:v>
      </x:c>
      <x:c r="C624" s="19" t="str">
        <x:v>S08</x:v>
      </x:c>
      <x:c r="D624" s="19" t="str">
        <x:v>四季青店</x:v>
      </x:c>
      <x:c r="E624" s="19" t="str">
        <x:v>青湖南椒圈</x:v>
      </x:c>
      <x:c r="F624" s="32" t="n">
        <x:v>3.5321289712509913</x:v>
      </x:c>
      <x:c r="G624" s="32" t="n">
        <x:v>1.9036180274746426</x:v>
      </x:c>
      <x:c r="H624" s="24" t="n">
        <x:f>'菜品日销量'!G1054*100/1000</x:f>
        <x:v>1.6</x:v>
      </x:c>
      <x:c r="I624" s="36" t="n">
        <x:v>0.02119712092592314</x:v>
      </x:c>
      <x:c r="J624" s="24" t="n">
        <x:f>H624*I624</x:f>
        <x:v>0.03391539348147703</x:v>
      </x:c>
      <x:c r="K624" s="32" t="n">
        <x:v>0</x:v>
      </x:c>
      <x:c r="L624" s="32" t="n">
        <x:v>0</x:v>
      </x:c>
      <x:c r="M624" s="32" t="n">
        <x:v>0</x:v>
      </x:c>
      <x:c r="N624" s="24" t="n">
        <x:f>F624+G624+K624-L624+M624-H624-J624</x:f>
        <x:v>3.8018316052441565</x:v>
      </x:c>
      <x:c r="O624" s="24" t="n">
        <x:f>H624*'封面与口径'!$O$24</x:f>
        <x:v>1.92</x:v>
      </x:c>
      <x:c r="P624" s="19" t="str">
        <x:f>IF(N624&lt;0,"缺货",IF(N624&lt;O624,"预警","正常"))</x:f>
        <x:v>正常</x:v>
      </x:c>
      <x:c r="Q624" s="19" t="str">
        <x:v>青湖0710-08</x:v>
      </x:c>
    </x:row>
    <x:row r="625">
      <x:c r="A625" s="19" t="str">
        <x:v>2026-07-11|S08|青湖南椒圈</x:v>
      </x:c>
      <x:c r="B625" s="34" t="n">
        <x:v>46214.5</x:v>
      </x:c>
      <x:c r="C625" s="19" t="str">
        <x:v>S08</x:v>
      </x:c>
      <x:c r="D625" s="19" t="str">
        <x:v>四季青店</x:v>
      </x:c>
      <x:c r="E625" s="19" t="str">
        <x:v>青湖南椒圈</x:v>
      </x:c>
      <x:c r="F625" s="32" t="n">
        <x:v>3.8018316052441565</x:v>
      </x:c>
      <x:c r="G625" s="32" t="n">
        <x:v>1.2791461174271879</x:v>
      </x:c>
      <x:c r="H625" s="24" t="n">
        <x:f>'菜品日销量'!G1074*100/1000</x:f>
        <x:v>1.1</x:v>
      </x:c>
      <x:c r="I625" s="36" t="n">
        <x:v>0.017836892550773194</x:v>
      </x:c>
      <x:c r="J625" s="24" t="n">
        <x:f>H625*I625</x:f>
        <x:v>0.019620581805850516</x:v>
      </x:c>
      <x:c r="K625" s="32" t="n">
        <x:v>0</x:v>
      </x:c>
      <x:c r="L625" s="32" t="n">
        <x:v>0</x:v>
      </x:c>
      <x:c r="M625" s="32" t="n">
        <x:v>0</x:v>
      </x:c>
      <x:c r="N625" s="24" t="n">
        <x:f>F625+G625+K625-L625+M625-H625-J625</x:f>
        <x:v>3.9613571408654935</x:v>
      </x:c>
      <x:c r="O625" s="24" t="n">
        <x:f>H625*'封面与口径'!$O$24</x:f>
        <x:v>1.32</x:v>
      </x:c>
      <x:c r="P625" s="19" t="str">
        <x:f>IF(N625&lt;0,"缺货",IF(N625&lt;O625,"预警","正常"))</x:f>
        <x:v>正常</x:v>
      </x:c>
      <x:c r="Q625" s="19" t="str">
        <x:v>青湖0711-08</x:v>
      </x:c>
    </x:row>
    <x:row r="626">
      <x:c r="A626" s="19" t="str">
        <x:v>2026-07-12|S08|青湖南椒圈</x:v>
      </x:c>
      <x:c r="B626" s="34" t="n">
        <x:v>46215.5</x:v>
      </x:c>
      <x:c r="C626" s="19" t="str">
        <x:v>S08</x:v>
      </x:c>
      <x:c r="D626" s="19" t="str">
        <x:v>四季青店</x:v>
      </x:c>
      <x:c r="E626" s="19" t="str">
        <x:v>青湖南椒圈</x:v>
      </x:c>
      <x:c r="F626" s="32" t="n">
        <x:v>3.961357140865493</x:v>
      </x:c>
      <x:c r="G626" s="32" t="n">
        <x:v>1.2441062508123246</x:v>
      </x:c>
      <x:c r="H626" s="24" t="n">
        <x:f>'菜品日销量'!G1094*100/1000</x:f>
        <x:v>1.1</x:v>
      </x:c>
      <x:c r="I626" s="36" t="n">
        <x:v>0.016699187688459453</x:v>
      </x:c>
      <x:c r="J626" s="24" t="n">
        <x:f>H626*I626</x:f>
        <x:v>0.0183691064573054</x:v>
      </x:c>
      <x:c r="K626" s="32" t="n">
        <x:v>0</x:v>
      </x:c>
      <x:c r="L626" s="32" t="n">
        <x:v>0</x:v>
      </x:c>
      <x:c r="M626" s="32" t="n">
        <x:v>0</x:v>
      </x:c>
      <x:c r="N626" s="24" t="n">
        <x:f>F626+G626+K626-L626+M626-H626-J626</x:f>
        <x:v>4.0870942852205125</x:v>
      </x:c>
      <x:c r="O626" s="24" t="n">
        <x:f>H626*'封面与口径'!$O$24</x:f>
        <x:v>1.32</x:v>
      </x:c>
      <x:c r="P626" s="19" t="str">
        <x:f>IF(N626&lt;0,"缺货",IF(N626&lt;O626,"预警","正常"))</x:f>
        <x:v>正常</x:v>
      </x:c>
      <x:c r="Q626" s="19" t="str">
        <x:v>青湖0712-08</x:v>
      </x:c>
    </x:row>
    <x:row r="627">
      <x:c r="A627" s="19" t="str">
        <x:v>2026-07-13|S08|青湖南椒圈</x:v>
      </x:c>
      <x:c r="B627" s="34" t="n">
        <x:v>46216.5</x:v>
      </x:c>
      <x:c r="C627" s="19" t="str">
        <x:v>S08</x:v>
      </x:c>
      <x:c r="D627" s="19" t="str">
        <x:v>四季青店</x:v>
      </x:c>
      <x:c r="E627" s="19" t="str">
        <x:v>青湖南椒圈</x:v>
      </x:c>
      <x:c r="F627" s="32" t="n">
        <x:v>4.087094285220512</x:v>
      </x:c>
      <x:c r="G627" s="32" t="n">
        <x:v>1.8362476450615208</x:v>
      </x:c>
      <x:c r="H627" s="24" t="n">
        <x:f>'菜品日销量'!G1114*100/1000</x:f>
        <x:v>1.7</x:v>
      </x:c>
      <x:c r="I627" s="36" t="n">
        <x:v>0.023233413003206582</x:v>
      </x:c>
      <x:c r="J627" s="24" t="n">
        <x:f>H627*I627</x:f>
        <x:v>0.03949680210545119</x:v>
      </x:c>
      <x:c r="K627" s="32" t="n">
        <x:v>0</x:v>
      </x:c>
      <x:c r="L627" s="32" t="n">
        <x:v>0</x:v>
      </x:c>
      <x:c r="M627" s="32" t="n">
        <x:v>0</x:v>
      </x:c>
      <x:c r="N627" s="24" t="n">
        <x:f>F627+G627+K627-L627+M627-H627-J627</x:f>
        <x:v>4.183845128176581</x:v>
      </x:c>
      <x:c r="O627" s="24" t="n">
        <x:f>H627*'封面与口径'!$O$24</x:f>
        <x:v>2.04</x:v>
      </x:c>
      <x:c r="P627" s="19" t="str">
        <x:f>IF(N627&lt;0,"缺货",IF(N627&lt;O627,"预警","正常"))</x:f>
        <x:v>正常</x:v>
      </x:c>
      <x:c r="Q627" s="19" t="str">
        <x:v>青湖0713-08</x:v>
      </x:c>
    </x:row>
    <x:row r="628">
      <x:c r="A628" s="19" t="str">
        <x:v>2026-07-07|S08|鸡蛋</x:v>
      </x:c>
      <x:c r="B628" s="34" t="n">
        <x:v>46210.5</x:v>
      </x:c>
      <x:c r="C628" s="19" t="str">
        <x:v>S08</x:v>
      </x:c>
      <x:c r="D628" s="19" t="str">
        <x:v>四季青店</x:v>
      </x:c>
      <x:c r="E628" s="19" t="str">
        <x:v>鸡蛋</x:v>
      </x:c>
      <x:c r="F628" s="32" t="n">
        <x:v>25.290000000000003</x:v>
      </x:c>
      <x:c r="G628" s="32" t="n">
        <x:v>16.017949015408742</x:v>
      </x:c>
      <x:c r="H628" s="24" t="n">
        <x:f>'菜品日销量'!G987*300/1000+'菜品日销量'!G997*250/1000</x:f>
        <x:v>14.05</x:v>
      </x:c>
      <x:c r="I628" s="36" t="n">
        <x:v>0.0162209656243727</x:v>
      </x:c>
      <x:c r="J628" s="24" t="n">
        <x:f>H628*I628</x:f>
        <x:v>0.22790456702243644</x:v>
      </x:c>
      <x:c r="K628" s="32" t="n">
        <x:v>0</x:v>
      </x:c>
      <x:c r="L628" s="32" t="n">
        <x:v>0</x:v>
      </x:c>
      <x:c r="M628" s="32" t="n">
        <x:v>0</x:v>
      </x:c>
      <x:c r="N628" s="24" t="n">
        <x:f>F628+G628+K628-L628+M628-H628-J628</x:f>
        <x:v>27.03004444838631</x:v>
      </x:c>
      <x:c r="O628" s="24" t="n">
        <x:f>H628*'封面与口径'!$O$24</x:f>
        <x:v>16.86</x:v>
      </x:c>
      <x:c r="P628" s="19" t="str">
        <x:f>IF(N628&lt;0,"缺货",IF(N628&lt;O628,"预警","正常"))</x:f>
        <x:v>正常</x:v>
      </x:c>
      <x:c r="Q628" s="19" t="str">
        <x:v>鸡蛋0707-08</x:v>
      </x:c>
    </x:row>
    <x:row r="629">
      <x:c r="A629" s="19" t="str">
        <x:v>2026-07-08|S08|鸡蛋</x:v>
      </x:c>
      <x:c r="B629" s="34" t="n">
        <x:v>46211.5</x:v>
      </x:c>
      <x:c r="C629" s="19" t="str">
        <x:v>S08</x:v>
      </x:c>
      <x:c r="D629" s="19" t="str">
        <x:v>四季青店</x:v>
      </x:c>
      <x:c r="E629" s="19" t="str">
        <x:v>鸡蛋</x:v>
      </x:c>
      <x:c r="F629" s="32" t="n">
        <x:v>27.030044448386306</x:v>
      </x:c>
      <x:c r="G629" s="32" t="n">
        <x:v>15.94316710611227</x:v>
      </x:c>
      <x:c r="H629" s="24" t="n">
        <x:f>'菜品日销量'!G1007*300/1000+'菜品日销量'!G1017*250/1000</x:f>
        <x:v>13.7</x:v>
      </x:c>
      <x:c r="I629" s="36" t="n">
        <x:v>0.02764002605170012</x:v>
      </x:c>
      <x:c r="J629" s="24" t="n">
        <x:f>H629*I629</x:f>
        <x:v>0.37866835690829165</x:v>
      </x:c>
      <x:c r="K629" s="32" t="n">
        <x:v>0</x:v>
      </x:c>
      <x:c r="L629" s="32" t="n">
        <x:v>0</x:v>
      </x:c>
      <x:c r="M629" s="32" t="n">
        <x:v>0</x:v>
      </x:c>
      <x:c r="N629" s="24" t="n">
        <x:f>F629+G629+K629-L629+M629-H629-J629</x:f>
        <x:v>28.894543197590284</x:v>
      </x:c>
      <x:c r="O629" s="24" t="n">
        <x:f>H629*'封面与口径'!$O$24</x:f>
        <x:v>16.439999999999998</x:v>
      </x:c>
      <x:c r="P629" s="19" t="str">
        <x:f>IF(N629&lt;0,"缺货",IF(N629&lt;O629,"预警","正常"))</x:f>
        <x:v>正常</x:v>
      </x:c>
      <x:c r="Q629" s="19" t="str">
        <x:v>鸡蛋0708-08</x:v>
      </x:c>
    </x:row>
    <x:row r="630">
      <x:c r="A630" s="19" t="str">
        <x:v>2026-07-09|S08|鸡蛋</x:v>
      </x:c>
      <x:c r="B630" s="34" t="n">
        <x:v>46212.5</x:v>
      </x:c>
      <x:c r="C630" s="19" t="str">
        <x:v>S08</x:v>
      </x:c>
      <x:c r="D630" s="19" t="str">
        <x:v>四季青店</x:v>
      </x:c>
      <x:c r="E630" s="19" t="str">
        <x:v>鸡蛋</x:v>
      </x:c>
      <x:c r="F630" s="32" t="n">
        <x:v>28.894543197590288</x:v>
      </x:c>
      <x:c r="G630" s="32" t="n">
        <x:v>15.016133408118536</x:v>
      </x:c>
      <x:c r="H630" s="24" t="n">
        <x:f>'菜品日销量'!G1027*300/1000+'菜品日销量'!G1037*250/1000</x:f>
        <x:v>13.45</x:v>
      </x:c>
      <x:c r="I630" s="36" t="n">
        <x:v>0.018993895412188464</x:v>
      </x:c>
      <x:c r="J630" s="24" t="n">
        <x:f>H630*I630</x:f>
        <x:v>0.2554678932939348</x:v>
      </x:c>
      <x:c r="K630" s="32" t="n">
        <x:v>0</x:v>
      </x:c>
      <x:c r="L630" s="32" t="n">
        <x:v>0</x:v>
      </x:c>
      <x:c r="M630" s="32" t="n">
        <x:v>0</x:v>
      </x:c>
      <x:c r="N630" s="24" t="n">
        <x:f>F630+G630+K630-L630+M630-H630-J630</x:f>
        <x:v>30.205208712414887</x:v>
      </x:c>
      <x:c r="O630" s="24" t="n">
        <x:f>H630*'封面与口径'!$O$24</x:f>
        <x:v>16.139999999999997</x:v>
      </x:c>
      <x:c r="P630" s="19" t="str">
        <x:f>IF(N630&lt;0,"缺货",IF(N630&lt;O630,"预警","正常"))</x:f>
        <x:v>正常</x:v>
      </x:c>
      <x:c r="Q630" s="19" t="str">
        <x:v>鸡蛋0709-08</x:v>
      </x:c>
    </x:row>
    <x:row r="631">
      <x:c r="A631" s="19" t="str">
        <x:v>2026-07-10|S08|鸡蛋</x:v>
      </x:c>
      <x:c r="B631" s="34" t="n">
        <x:v>46213.5</x:v>
      </x:c>
      <x:c r="C631" s="19" t="str">
        <x:v>S08</x:v>
      </x:c>
      <x:c r="D631" s="19" t="str">
        <x:v>四季青店</x:v>
      </x:c>
      <x:c r="E631" s="19" t="str">
        <x:v>鸡蛋</x:v>
      </x:c>
      <x:c r="F631" s="32" t="n">
        <x:v>30.205208712414887</x:v>
      </x:c>
      <x:c r="G631" s="32" t="n">
        <x:v>15.934009362851272</x:v>
      </x:c>
      <x:c r="H631" s="24" t="n">
        <x:f>'菜品日销量'!G1047*300/1000+'菜品日销量'!G1057*250/1000</x:f>
        <x:v>13.45</x:v>
      </x:c>
      <x:c r="I631" s="36" t="n">
        <x:v>0.026375653752213263</x:v>
      </x:c>
      <x:c r="J631" s="24" t="n">
        <x:f>H631*I631</x:f>
        <x:v>0.3547525429672684</x:v>
      </x:c>
      <x:c r="K631" s="32" t="n">
        <x:v>0</x:v>
      </x:c>
      <x:c r="L631" s="32" t="n">
        <x:v>0</x:v>
      </x:c>
      <x:c r="M631" s="32" t="n">
        <x:v>0</x:v>
      </x:c>
      <x:c r="N631" s="24" t="n">
        <x:f>F631+G631+K631-L631+M631-H631-J631</x:f>
        <x:v>32.334465532298886</x:v>
      </x:c>
      <x:c r="O631" s="24" t="n">
        <x:f>H631*'封面与口径'!$O$24</x:f>
        <x:v>16.139999999999997</x:v>
      </x:c>
      <x:c r="P631" s="19" t="str">
        <x:f>IF(N631&lt;0,"缺货",IF(N631&lt;O631,"预警","正常"))</x:f>
        <x:v>正常</x:v>
      </x:c>
      <x:c r="Q631" s="19" t="str">
        <x:v>鸡蛋0710-08</x:v>
      </x:c>
    </x:row>
    <x:row r="632">
      <x:c r="A632" s="19" t="str">
        <x:v>2026-07-11|S08|鸡蛋</x:v>
      </x:c>
      <x:c r="B632" s="34" t="n">
        <x:v>46214.5</x:v>
      </x:c>
      <x:c r="C632" s="19" t="str">
        <x:v>S08</x:v>
      </x:c>
      <x:c r="D632" s="19" t="str">
        <x:v>四季青店</x:v>
      </x:c>
      <x:c r="E632" s="19" t="str">
        <x:v>鸡蛋</x:v>
      </x:c>
      <x:c r="F632" s="32" t="n">
        <x:v>32.33446553229889</x:v>
      </x:c>
      <x:c r="G632" s="32" t="n">
        <x:v>12.63772641630511</x:v>
      </x:c>
      <x:c r="H632" s="24" t="n">
        <x:f>'菜品日销量'!G1067*300/1000+'菜品日销量'!G1077*250/1000</x:f>
        <x:v>10.85</x:v>
      </x:c>
      <x:c r="I632" s="36" t="n">
        <x:v>0.019634156114103775</x:v>
      </x:c>
      <x:c r="J632" s="24" t="n">
        <x:f>H632*I632</x:f>
        <x:v>0.21303059383802594</x:v>
      </x:c>
      <x:c r="K632" s="32" t="n">
        <x:v>0</x:v>
      </x:c>
      <x:c r="L632" s="32" t="n">
        <x:v>0</x:v>
      </x:c>
      <x:c r="M632" s="32" t="n">
        <x:v>0</x:v>
      </x:c>
      <x:c r="N632" s="24" t="n">
        <x:f>F632+G632+K632-L632+M632-H632-J632</x:f>
        <x:v>33.90916135476598</x:v>
      </x:c>
      <x:c r="O632" s="24" t="n">
        <x:f>H632*'封面与口径'!$O$24</x:f>
        <x:v>13.02</x:v>
      </x:c>
      <x:c r="P632" s="19" t="str">
        <x:f>IF(N632&lt;0,"缺货",IF(N632&lt;O632,"预警","正常"))</x:f>
        <x:v>正常</x:v>
      </x:c>
      <x:c r="Q632" s="19" t="str">
        <x:v>鸡蛋0711-08</x:v>
      </x:c>
    </x:row>
    <x:row r="633">
      <x:c r="A633" s="19" t="str">
        <x:v>2026-07-12|S08|鸡蛋</x:v>
      </x:c>
      <x:c r="B633" s="34" t="n">
        <x:v>46215.5</x:v>
      </x:c>
      <x:c r="C633" s="19" t="str">
        <x:v>S08</x:v>
      </x:c>
      <x:c r="D633" s="19" t="str">
        <x:v>四季青店</x:v>
      </x:c>
      <x:c r="E633" s="19" t="str">
        <x:v>鸡蛋</x:v>
      </x:c>
      <x:c r="F633" s="32" t="n">
        <x:v>33.909161354765985</x:v>
      </x:c>
      <x:c r="G633" s="32" t="n">
        <x:v>12.687116194253582</x:v>
      </x:c>
      <x:c r="H633" s="24" t="n">
        <x:f>'菜品日销量'!G1087*300/1000+'菜品日销量'!G1097*250/1000</x:f>
        <x:v>10.6</x:v>
      </x:c>
      <x:c r="I633" s="36" t="n">
        <x:v>0.03152193276479885</x:v>
      </x:c>
      <x:c r="J633" s="24" t="n">
        <x:f>H633*I633</x:f>
        <x:v>0.33413248730686784</x:v>
      </x:c>
      <x:c r="K633" s="32" t="n">
        <x:v>0</x:v>
      </x:c>
      <x:c r="L633" s="32" t="n">
        <x:v>0</x:v>
      </x:c>
      <x:c r="M633" s="32" t="n">
        <x:v>0</x:v>
      </x:c>
      <x:c r="N633" s="24" t="n">
        <x:f>F633+G633+K633-L633+M633-H633-J633</x:f>
        <x:v>35.6621450617127</x:v>
      </x:c>
      <x:c r="O633" s="24" t="n">
        <x:f>H633*'封面与口径'!$O$24</x:f>
        <x:v>12.719999999999999</x:v>
      </x:c>
      <x:c r="P633" s="19" t="str">
        <x:f>IF(N633&lt;0,"缺货",IF(N633&lt;O633,"预警","正常"))</x:f>
        <x:v>正常</x:v>
      </x:c>
      <x:c r="Q633" s="19" t="str">
        <x:v>鸡蛋0712-08</x:v>
      </x:c>
    </x:row>
    <x:row r="634">
      <x:c r="A634" s="19" t="str">
        <x:v>2026-07-13|S08|鸡蛋</x:v>
      </x:c>
      <x:c r="B634" s="34" t="n">
        <x:v>46216.5</x:v>
      </x:c>
      <x:c r="C634" s="19" t="str">
        <x:v>S08</x:v>
      </x:c>
      <x:c r="D634" s="19" t="str">
        <x:v>四季青店</x:v>
      </x:c>
      <x:c r="E634" s="19" t="str">
        <x:v>鸡蛋</x:v>
      </x:c>
      <x:c r="F634" s="32" t="n">
        <x:v>35.6621450617127</x:v>
      </x:c>
      <x:c r="G634" s="32" t="n">
        <x:v>16.263035379754154</x:v>
      </x:c>
      <x:c r="H634" s="24" t="n">
        <x:f>'菜品日销量'!G1107*300/1000+'菜品日销量'!G1117*250/1000</x:f>
        <x:v>14.6</x:v>
      </x:c>
      <x:c r="I634" s="36" t="n">
        <x:v>0.03979377138074343</x:v>
      </x:c>
      <x:c r="J634" s="24" t="n">
        <x:f>H634*I634</x:f>
        <x:v>0.580989062158854</x:v>
      </x:c>
      <x:c r="K634" s="32" t="n">
        <x:v>0</x:v>
      </x:c>
      <x:c r="L634" s="32" t="n">
        <x:v>0</x:v>
      </x:c>
      <x:c r="M634" s="32" t="n">
        <x:v>0</x:v>
      </x:c>
      <x:c r="N634" s="24" t="n">
        <x:f>F634+G634+K634-L634+M634-H634-J634</x:f>
        <x:v>36.74419137930799</x:v>
      </x:c>
      <x:c r="O634" s="24" t="n">
        <x:f>H634*'封面与口径'!$O$24</x:f>
        <x:v>17.52</x:v>
      </x:c>
      <x:c r="P634" s="19" t="str">
        <x:f>IF(N634&lt;0,"缺货",IF(N634&lt;O634,"预警","正常"))</x:f>
        <x:v>正常</x:v>
      </x:c>
      <x:c r="Q634" s="19" t="str">
        <x:v>鸡蛋0713-08</x:v>
      </x:c>
    </x:row>
    <x:row r="635">
      <x:c r="A635" s="19" t="str">
        <x:v>2026-07-07|S08|鸡肉</x:v>
      </x:c>
      <x:c r="B635" s="34" t="n">
        <x:v>46210.5</x:v>
      </x:c>
      <x:c r="C635" s="19" t="str">
        <x:v>S08</x:v>
      </x:c>
      <x:c r="D635" s="19" t="str">
        <x:v>四季青店</x:v>
      </x:c>
      <x:c r="E635" s="19" t="str">
        <x:v>鸡肉</x:v>
      </x:c>
      <x:c r="F635" s="32" t="n">
        <x:v>7.29</x:v>
      </x:c>
      <x:c r="G635" s="32" t="n">
        <x:v>4.560364945738196</x:v>
      </x:c>
      <x:c r="H635" s="24" t="n">
        <x:f>'菜品日销量'!G992*450/1000</x:f>
        <x:v>4.05</x:v>
      </x:c>
      <x:c r="I635" s="36" t="n">
        <x:v>0.03820656075566228</x:v>
      </x:c>
      <x:c r="J635" s="24" t="n">
        <x:f>H635*I635</x:f>
        <x:v>0.15473657106043223</x:v>
      </x:c>
      <x:c r="K635" s="32" t="n">
        <x:v>0</x:v>
      </x:c>
      <x:c r="L635" s="32" t="n">
        <x:v>0</x:v>
      </x:c>
      <x:c r="M635" s="32" t="n">
        <x:v>0</x:v>
      </x:c>
      <x:c r="N635" s="24" t="n">
        <x:f>F635+G635+K635-L635+M635-H635-J635</x:f>
        <x:v>7.645628374677764</x:v>
      </x:c>
      <x:c r="O635" s="24" t="n">
        <x:f>H635*'封面与口径'!$O$24</x:f>
        <x:v>4.859999999999999</x:v>
      </x:c>
      <x:c r="P635" s="19" t="str">
        <x:f>IF(N635&lt;0,"缺货",IF(N635&lt;O635,"预警","正常"))</x:f>
        <x:v>正常</x:v>
      </x:c>
      <x:c r="Q635" s="19" t="str">
        <x:v>鸡肉0707-08</x:v>
      </x:c>
    </x:row>
    <x:row r="636">
      <x:c r="A636" s="19" t="str">
        <x:v>2026-07-08|S08|鸡肉</x:v>
      </x:c>
      <x:c r="B636" s="34" t="n">
        <x:v>46211.5</x:v>
      </x:c>
      <x:c r="C636" s="19" t="str">
        <x:v>S08</x:v>
      </x:c>
      <x:c r="D636" s="19" t="str">
        <x:v>四季青店</x:v>
      </x:c>
      <x:c r="E636" s="19" t="str">
        <x:v>鸡肉</x:v>
      </x:c>
      <x:c r="F636" s="32" t="n">
        <x:v>7.645628374677764</x:v>
      </x:c>
      <x:c r="G636" s="32" t="n">
        <x:v>4.872273831915174</x:v>
      </x:c>
      <x:c r="H636" s="24" t="n">
        <x:f>'菜品日销量'!G1012*450/1000</x:f>
        <x:v>4.5</x:v>
      </x:c>
      <x:c r="I636" s="36" t="n">
        <x:v>0.02012371932974172</x:v>
      </x:c>
      <x:c r="J636" s="24" t="n">
        <x:f>H636*I636</x:f>
        <x:v>0.09055673698383773</x:v>
      </x:c>
      <x:c r="K636" s="32" t="n">
        <x:v>0</x:v>
      </x:c>
      <x:c r="L636" s="32" t="n">
        <x:v>0</x:v>
      </x:c>
      <x:c r="M636" s="32" t="n">
        <x:v>0</x:v>
      </x:c>
      <x:c r="N636" s="24" t="n">
        <x:f>F636+G636+K636-L636+M636-H636-J636</x:f>
        <x:v>7.9273454696091</x:v>
      </x:c>
      <x:c r="O636" s="24" t="n">
        <x:f>H636*'封面与口径'!$O$24</x:f>
        <x:v>5.3999999999999995</x:v>
      </x:c>
      <x:c r="P636" s="19" t="str">
        <x:f>IF(N636&lt;0,"缺货",IF(N636&lt;O636,"预警","正常"))</x:f>
        <x:v>正常</x:v>
      </x:c>
      <x:c r="Q636" s="19" t="str">
        <x:v>鸡肉0708-08</x:v>
      </x:c>
    </x:row>
    <x:row r="637">
      <x:c r="A637" s="19" t="str">
        <x:v>2026-07-09|S08|鸡肉</x:v>
      </x:c>
      <x:c r="B637" s="34" t="n">
        <x:v>46212.5</x:v>
      </x:c>
      <x:c r="C637" s="19" t="str">
        <x:v>S08</x:v>
      </x:c>
      <x:c r="D637" s="19" t="str">
        <x:v>四季青店</x:v>
      </x:c>
      <x:c r="E637" s="19" t="str">
        <x:v>鸡肉</x:v>
      </x:c>
      <x:c r="F637" s="32" t="n">
        <x:v>7.9273454696091</x:v>
      </x:c>
      <x:c r="G637" s="32" t="n">
        <x:v>4.278990565920014</x:v>
      </x:c>
      <x:c r="H637" s="24" t="n">
        <x:f>'菜品日销量'!G1032*450/1000</x:f>
        <x:v>3.6</x:v>
      </x:c>
      <x:c r="I637" s="36" t="n">
        <x:v>0.028797786025981834</x:v>
      </x:c>
      <x:c r="J637" s="24" t="n">
        <x:f>H637*I637</x:f>
        <x:v>0.1036720296935346</x:v>
      </x:c>
      <x:c r="K637" s="32" t="n">
        <x:v>0</x:v>
      </x:c>
      <x:c r="L637" s="32" t="n">
        <x:v>0</x:v>
      </x:c>
      <x:c r="M637" s="32" t="n">
        <x:v>0</x:v>
      </x:c>
      <x:c r="N637" s="24" t="n">
        <x:f>F637+G637+K637-L637+M637-H637-J637</x:f>
        <x:v>8.50266400583558</x:v>
      </x:c>
      <x:c r="O637" s="24" t="n">
        <x:f>H637*'封面与口径'!$O$24</x:f>
        <x:v>4.32</x:v>
      </x:c>
      <x:c r="P637" s="19" t="str">
        <x:f>IF(N637&lt;0,"缺货",IF(N637&lt;O637,"预警","正常"))</x:f>
        <x:v>正常</x:v>
      </x:c>
      <x:c r="Q637" s="19" t="str">
        <x:v>鸡肉0709-08</x:v>
      </x:c>
    </x:row>
    <x:row r="638">
      <x:c r="A638" s="19" t="str">
        <x:v>2026-07-10|S08|鸡肉</x:v>
      </x:c>
      <x:c r="B638" s="34" t="n">
        <x:v>46213.5</x:v>
      </x:c>
      <x:c r="C638" s="19" t="str">
        <x:v>S08</x:v>
      </x:c>
      <x:c r="D638" s="19" t="str">
        <x:v>四季青店</x:v>
      </x:c>
      <x:c r="E638" s="19" t="str">
        <x:v>鸡肉</x:v>
      </x:c>
      <x:c r="F638" s="32" t="n">
        <x:v>8.50266400583558</x:v>
      </x:c>
      <x:c r="G638" s="32" t="n">
        <x:v>5.217832638741897</x:v>
      </x:c>
      <x:c r="H638" s="24" t="n">
        <x:f>'菜品日销量'!G1052*450/1000</x:f>
        <x:v>4.5</x:v>
      </x:c>
      <x:c r="I638" s="36" t="n">
        <x:v>0.02577091230213896</x:v>
      </x:c>
      <x:c r="J638" s="24" t="n">
        <x:f>H638*I638</x:f>
        <x:v>0.11596910535962532</x:v>
      </x:c>
      <x:c r="K638" s="32" t="n">
        <x:v>0</x:v>
      </x:c>
      <x:c r="L638" s="32" t="n">
        <x:v>0</x:v>
      </x:c>
      <x:c r="M638" s="32" t="n">
        <x:v>0</x:v>
      </x:c>
      <x:c r="N638" s="24" t="n">
        <x:f>F638+G638+K638-L638+M638-H638-J638</x:f>
        <x:v>9.104527539217852</x:v>
      </x:c>
      <x:c r="O638" s="24" t="n">
        <x:f>H638*'封面与口径'!$O$24</x:f>
        <x:v>5.3999999999999995</x:v>
      </x:c>
      <x:c r="P638" s="19" t="str">
        <x:f>IF(N638&lt;0,"缺货",IF(N638&lt;O638,"预警","正常"))</x:f>
        <x:v>正常</x:v>
      </x:c>
      <x:c r="Q638" s="19" t="str">
        <x:v>鸡肉0710-08</x:v>
      </x:c>
    </x:row>
    <x:row r="639">
      <x:c r="A639" s="19" t="str">
        <x:v>2026-07-11|S08|鸡肉</x:v>
      </x:c>
      <x:c r="B639" s="34" t="n">
        <x:v>46214.5</x:v>
      </x:c>
      <x:c r="C639" s="19" t="str">
        <x:v>S08</x:v>
      </x:c>
      <x:c r="D639" s="19" t="str">
        <x:v>四季青店</x:v>
      </x:c>
      <x:c r="E639" s="19" t="str">
        <x:v>鸡肉</x:v>
      </x:c>
      <x:c r="F639" s="32" t="n">
        <x:v>9.104527539217852</x:v>
      </x:c>
      <x:c r="G639" s="32" t="n">
        <x:v>4.136937252605553</x:v>
      </x:c>
      <x:c r="H639" s="24" t="n">
        <x:f>'菜品日销量'!G1072*450/1000</x:f>
        <x:v>3.6</x:v>
      </x:c>
      <x:c r="I639" s="36" t="n">
        <x:v>0.030666527421136045</x:v>
      </x:c>
      <x:c r="J639" s="24" t="n">
        <x:f>H639*I639</x:f>
        <x:v>0.11039949871608977</x:v>
      </x:c>
      <x:c r="K639" s="32" t="n">
        <x:v>0</x:v>
      </x:c>
      <x:c r="L639" s="32" t="n">
        <x:v>0</x:v>
      </x:c>
      <x:c r="M639" s="32" t="n">
        <x:v>0</x:v>
      </x:c>
      <x:c r="N639" s="24" t="n">
        <x:f>F639+G639+K639-L639+M639-H639-J639</x:f>
        <x:v>9.531065293107314</x:v>
      </x:c>
      <x:c r="O639" s="24" t="n">
        <x:f>H639*'封面与口径'!$O$24</x:f>
        <x:v>4.32</x:v>
      </x:c>
      <x:c r="P639" s="19" t="str">
        <x:f>IF(N639&lt;0,"缺货",IF(N639&lt;O639,"预警","正常"))</x:f>
        <x:v>正常</x:v>
      </x:c>
      <x:c r="Q639" s="19" t="str">
        <x:v>鸡肉0711-08</x:v>
      </x:c>
    </x:row>
    <x:row r="640">
      <x:c r="A640" s="19" t="str">
        <x:v>2026-07-12|S08|鸡肉</x:v>
      </x:c>
      <x:c r="B640" s="34" t="n">
        <x:v>46215.5</x:v>
      </x:c>
      <x:c r="C640" s="19" t="str">
        <x:v>S08</x:v>
      </x:c>
      <x:c r="D640" s="19" t="str">
        <x:v>四季青店</x:v>
      </x:c>
      <x:c r="E640" s="19" t="str">
        <x:v>鸡肉</x:v>
      </x:c>
      <x:c r="F640" s="32" t="n">
        <x:v>9.531065293107314</x:v>
      </x:c>
      <x:c r="G640" s="32" t="n">
        <x:v>2.9755730726317444</x:v>
      </x:c>
      <x:c r="H640" s="24" t="n">
        <x:f>'菜品日销量'!G1092*450/1000</x:f>
        <x:v>2.7</x:v>
      </x:c>
      <x:c r="I640" s="36" t="n">
        <x:v>0.032126674214873155</x:v>
      </x:c>
      <x:c r="J640" s="24" t="n">
        <x:f>H640*I640</x:f>
        <x:v>0.08674202038015752</x:v>
      </x:c>
      <x:c r="K640" s="32" t="n">
        <x:v>0</x:v>
      </x:c>
      <x:c r="L640" s="32" t="n">
        <x:v>0</x:v>
      </x:c>
      <x:c r="M640" s="32" t="n">
        <x:v>0</x:v>
      </x:c>
      <x:c r="N640" s="24" t="n">
        <x:f>F640+G640+K640-L640+M640-H640-J640</x:f>
        <x:v>9.719896345358901</x:v>
      </x:c>
      <x:c r="O640" s="24" t="n">
        <x:f>H640*'封面与口径'!$O$24</x:f>
        <x:v>3.24</x:v>
      </x:c>
      <x:c r="P640" s="19" t="str">
        <x:f>IF(N640&lt;0,"缺货",IF(N640&lt;O640,"预警","正常"))</x:f>
        <x:v>正常</x:v>
      </x:c>
      <x:c r="Q640" s="19" t="str">
        <x:v>鸡肉0712-08</x:v>
      </x:c>
    </x:row>
    <x:row r="641">
      <x:c r="A641" s="19" t="str">
        <x:v>2026-07-13|S08|鸡肉</x:v>
      </x:c>
      <x:c r="B641" s="34" t="n">
        <x:v>46216.5</x:v>
      </x:c>
      <x:c r="C641" s="19" t="str">
        <x:v>S08</x:v>
      </x:c>
      <x:c r="D641" s="19" t="str">
        <x:v>四季青店</x:v>
      </x:c>
      <x:c r="E641" s="19" t="str">
        <x:v>鸡肉</x:v>
      </x:c>
      <x:c r="F641" s="32" t="n">
        <x:v>9.719896345358901</x:v>
      </x:c>
      <x:c r="G641" s="32" t="n">
        <x:v>5.649288887215147</x:v>
      </x:c>
      <x:c r="H641" s="24" t="n">
        <x:f>'菜品日销量'!G1112*450/1000</x:f>
        <x:v>4.95</x:v>
      </x:c>
      <x:c r="I641" s="36" t="n">
        <x:v>0.02521751930476574</x:v>
      </x:c>
      <x:c r="J641" s="24" t="n">
        <x:f>H641*I641</x:f>
        <x:v>0.12482672055859043</x:v>
      </x:c>
      <x:c r="K641" s="32" t="n">
        <x:v>0</x:v>
      </x:c>
      <x:c r="L641" s="32" t="n">
        <x:v>0</x:v>
      </x:c>
      <x:c r="M641" s="32" t="n">
        <x:v>0</x:v>
      </x:c>
      <x:c r="N641" s="24" t="n">
        <x:f>F641+G641+K641-L641+M641-H641-J641</x:f>
        <x:v>10.294358512015457</x:v>
      </x:c>
      <x:c r="O641" s="24" t="n">
        <x:f>H641*'封面与口径'!$O$24</x:f>
        <x:v>5.94</x:v>
      </x:c>
      <x:c r="P641" s="19" t="str">
        <x:f>IF(N641&lt;0,"缺货",IF(N641&lt;O641,"预警","正常"))</x:f>
        <x:v>正常</x:v>
      </x:c>
      <x:c r="Q641" s="19" t="str">
        <x:v>鸡肉0713-08</x:v>
      </x:c>
    </x:row>
    <x:row r="642">
      <x:c r="A642" s="19" t="str">
        <x:v>2026-07-07|S08|鲈鱼</x:v>
      </x:c>
      <x:c r="B642" s="34" t="n">
        <x:v>46210.5</x:v>
      </x:c>
      <x:c r="C642" s="19" t="str">
        <x:v>S08</x:v>
      </x:c>
      <x:c r="D642" s="19" t="str">
        <x:v>四季青店</x:v>
      </x:c>
      <x:c r="E642" s="19" t="str">
        <x:v>鲈鱼</x:v>
      </x:c>
      <x:c r="F642" s="32" t="n">
        <x:v>5.4</x:v>
      </x:c>
      <x:c r="G642" s="32" t="n">
        <x:v>3.3341302517089364</x:v>
      </x:c>
      <x:c r="H642" s="24" t="n">
        <x:f>'菜品日销量'!G996*500/1000</x:f>
        <x:v>3</x:v>
      </x:c>
      <x:c r="I642" s="36" t="n">
        <x:v>0.03728217689489996</x:v>
      </x:c>
      <x:c r="J642" s="24" t="n">
        <x:f>H642*I642</x:f>
        <x:v>0.11184653068469988</x:v>
      </x:c>
      <x:c r="K642" s="32" t="n">
        <x:v>0</x:v>
      </x:c>
      <x:c r="L642" s="32" t="n">
        <x:v>0</x:v>
      </x:c>
      <x:c r="M642" s="32" t="n">
        <x:v>0</x:v>
      </x:c>
      <x:c r="N642" s="24" t="n">
        <x:f>F642+G642+K642-L642+M642-H642-J642</x:f>
        <x:v>5.622283721024237</x:v>
      </x:c>
      <x:c r="O642" s="24" t="n">
        <x:f>H642*'封面与口径'!$O$24</x:f>
        <x:v>3.5999999999999996</x:v>
      </x:c>
      <x:c r="P642" s="19" t="str">
        <x:f>IF(N642&lt;0,"缺货",IF(N642&lt;O642,"预警","正常"))</x:f>
        <x:v>正常</x:v>
      </x:c>
      <x:c r="Q642" s="19" t="str">
        <x:v>鲈鱼0707-08</x:v>
      </x:c>
    </x:row>
    <x:row r="643">
      <x:c r="A643" s="19" t="str">
        <x:v>2026-07-08|S08|鲈鱼</x:v>
      </x:c>
      <x:c r="B643" s="34" t="n">
        <x:v>46211.5</x:v>
      </x:c>
      <x:c r="C643" s="19" t="str">
        <x:v>S08</x:v>
      </x:c>
      <x:c r="D643" s="19" t="str">
        <x:v>四季青店</x:v>
      </x:c>
      <x:c r="E643" s="19" t="str">
        <x:v>鲈鱼</x:v>
      </x:c>
      <x:c r="F643" s="32" t="n">
        <x:v>5.622283721024237</x:v>
      </x:c>
      <x:c r="G643" s="32" t="n">
        <x:v>2.875728524587054</x:v>
      </x:c>
      <x:c r="H643" s="24" t="n">
        <x:f>'菜品日销量'!G1016*500/1000</x:f>
        <x:v>2.5</x:v>
      </x:c>
      <x:c r="I643" s="36" t="n">
        <x:v>0.02396103056356335</x:v>
      </x:c>
      <x:c r="J643" s="24" t="n">
        <x:f>H643*I643</x:f>
        <x:v>0.05990257640890838</x:v>
      </x:c>
      <x:c r="K643" s="32" t="n">
        <x:v>0</x:v>
      </x:c>
      <x:c r="L643" s="32" t="n">
        <x:v>0</x:v>
      </x:c>
      <x:c r="M643" s="32" t="n">
        <x:v>0</x:v>
      </x:c>
      <x:c r="N643" s="24" t="n">
        <x:f>F643+G643+K643-L643+M643-H643-J643</x:f>
        <x:v>5.938109669202382</x:v>
      </x:c>
      <x:c r="O643" s="24" t="n">
        <x:f>H643*'封面与口径'!$O$24</x:f>
        <x:v>3</x:v>
      </x:c>
      <x:c r="P643" s="19" t="str">
        <x:f>IF(N643&lt;0,"缺货",IF(N643&lt;O643,"预警","正常"))</x:f>
        <x:v>正常</x:v>
      </x:c>
      <x:c r="Q643" s="19" t="str">
        <x:v>鲈鱼0708-08</x:v>
      </x:c>
    </x:row>
    <x:row r="644">
      <x:c r="A644" s="19" t="str">
        <x:v>2026-07-09|S08|鲈鱼</x:v>
      </x:c>
      <x:c r="B644" s="34" t="n">
        <x:v>46212.5</x:v>
      </x:c>
      <x:c r="C644" s="19" t="str">
        <x:v>S08</x:v>
      </x:c>
      <x:c r="D644" s="19" t="str">
        <x:v>四季青店</x:v>
      </x:c>
      <x:c r="E644" s="19" t="str">
        <x:v>鲈鱼</x:v>
      </x:c>
      <x:c r="F644" s="32" t="n">
        <x:v>5.938109669202382</x:v>
      </x:c>
      <x:c r="G644" s="32" t="n">
        <x:v>2.7170203926081355</x:v>
      </x:c>
      <x:c r="H644" s="24" t="n">
        <x:f>'菜品日销量'!G1036*500/1000</x:f>
        <x:v>2.5</x:v>
      </x:c>
      <x:c r="I644" s="36" t="n">
        <x:v>0.02325721940101525</x:v>
      </x:c>
      <x:c r="J644" s="24" t="n">
        <x:f>H644*I644</x:f>
        <x:v>0.058143048502538125</x:v>
      </x:c>
      <x:c r="K644" s="32" t="n">
        <x:v>0</x:v>
      </x:c>
      <x:c r="L644" s="32" t="n">
        <x:v>0</x:v>
      </x:c>
      <x:c r="M644" s="32" t="n">
        <x:v>0</x:v>
      </x:c>
      <x:c r="N644" s="24" t="n">
        <x:f>F644+G644+K644-L644+M644-H644-J644</x:f>
        <x:v>6.096987013307979</x:v>
      </x:c>
      <x:c r="O644" s="24" t="n">
        <x:f>H644*'封面与口径'!$O$24</x:f>
        <x:v>3</x:v>
      </x:c>
      <x:c r="P644" s="19" t="str">
        <x:f>IF(N644&lt;0,"缺货",IF(N644&lt;O644,"预警","正常"))</x:f>
        <x:v>正常</x:v>
      </x:c>
      <x:c r="Q644" s="19" t="str">
        <x:v>鲈鱼0709-08</x:v>
      </x:c>
    </x:row>
    <x:row r="645">
      <x:c r="A645" s="19" t="str">
        <x:v>2026-07-10|S08|鲈鱼</x:v>
      </x:c>
      <x:c r="B645" s="34" t="n">
        <x:v>46213.5</x:v>
      </x:c>
      <x:c r="C645" s="19" t="str">
        <x:v>S08</x:v>
      </x:c>
      <x:c r="D645" s="19" t="str">
        <x:v>四季青店</x:v>
      </x:c>
      <x:c r="E645" s="19" t="str">
        <x:v>鲈鱼</x:v>
      </x:c>
      <x:c r="F645" s="32" t="n">
        <x:v>6.096987013307979</x:v>
      </x:c>
      <x:c r="G645" s="32" t="n">
        <x:v>3.4514266295292013</x:v>
      </x:c>
      <x:c r="H645" s="24" t="n">
        <x:f>'菜品日销量'!G1056*500/1000</x:f>
        <x:v>3</x:v>
      </x:c>
      <x:c r="I645" s="36" t="n">
        <x:v>0.034283491662769464</x:v>
      </x:c>
      <x:c r="J645" s="24" t="n">
        <x:f>H645*I645</x:f>
        <x:v>0.10285047498830839</x:v>
      </x:c>
      <x:c r="K645" s="32" t="n">
        <x:v>0</x:v>
      </x:c>
      <x:c r="L645" s="32" t="n">
        <x:v>0</x:v>
      </x:c>
      <x:c r="M645" s="32" t="n">
        <x:v>0</x:v>
      </x:c>
      <x:c r="N645" s="24" t="n">
        <x:f>F645+G645+K645-L645+M645-H645-J645</x:f>
        <x:v>6.4455631678488725</x:v>
      </x:c>
      <x:c r="O645" s="24" t="n">
        <x:f>H645*'封面与口径'!$O$24</x:f>
        <x:v>3.5999999999999996</x:v>
      </x:c>
      <x:c r="P645" s="19" t="str">
        <x:f>IF(N645&lt;0,"缺货",IF(N645&lt;O645,"预警","正常"))</x:f>
        <x:v>正常</x:v>
      </x:c>
      <x:c r="Q645" s="19" t="str">
        <x:v>鲈鱼0710-08</x:v>
      </x:c>
    </x:row>
    <x:row r="646">
      <x:c r="A646" s="19" t="str">
        <x:v>2026-07-11|S08|鲈鱼</x:v>
      </x:c>
      <x:c r="B646" s="34" t="n">
        <x:v>46214.5</x:v>
      </x:c>
      <x:c r="C646" s="19" t="str">
        <x:v>S08</x:v>
      </x:c>
      <x:c r="D646" s="19" t="str">
        <x:v>四季青店</x:v>
      </x:c>
      <x:c r="E646" s="19" t="str">
        <x:v>鲈鱼</x:v>
      </x:c>
      <x:c r="F646" s="32" t="n">
        <x:v>6.4455631678488725</x:v>
      </x:c>
      <x:c r="G646" s="32" t="n">
        <x:v>2.1712384306851864</x:v>
      </x:c>
      <x:c r="H646" s="24" t="n">
        <x:f>'菜品日销量'!G1076*500/1000</x:f>
        <x:v>2</x:v>
      </x:c>
      <x:c r="I646" s="36" t="n">
        <x:v>0.017222123963810065</x:v>
      </x:c>
      <x:c r="J646" s="24" t="n">
        <x:f>H646*I646</x:f>
        <x:v>0.03444424792762013</x:v>
      </x:c>
      <x:c r="K646" s="32" t="n">
        <x:v>0</x:v>
      </x:c>
      <x:c r="L646" s="32" t="n">
        <x:v>0</x:v>
      </x:c>
      <x:c r="M646" s="32" t="n">
        <x:v>0</x:v>
      </x:c>
      <x:c r="N646" s="24" t="n">
        <x:f>F646+G646+K646-L646+M646-H646-J646</x:f>
        <x:v>6.582357350606438</x:v>
      </x:c>
      <x:c r="O646" s="24" t="n">
        <x:f>H646*'封面与口径'!$O$24</x:f>
        <x:v>2.4</x:v>
      </x:c>
      <x:c r="P646" s="19" t="str">
        <x:f>IF(N646&lt;0,"缺货",IF(N646&lt;O646,"预警","正常"))</x:f>
        <x:v>正常</x:v>
      </x:c>
      <x:c r="Q646" s="19" t="str">
        <x:v>鲈鱼0711-08</x:v>
      </x:c>
    </x:row>
    <x:row r="647">
      <x:c r="A647" s="19" t="str">
        <x:v>2026-07-12|S08|鲈鱼</x:v>
      </x:c>
      <x:c r="B647" s="34" t="n">
        <x:v>46215.5</x:v>
      </x:c>
      <x:c r="C647" s="19" t="str">
        <x:v>S08</x:v>
      </x:c>
      <x:c r="D647" s="19" t="str">
        <x:v>四季青店</x:v>
      </x:c>
      <x:c r="E647" s="19" t="str">
        <x:v>鲈鱼</x:v>
      </x:c>
      <x:c r="F647" s="32" t="n">
        <x:v>6.582357350606438</x:v>
      </x:c>
      <x:c r="G647" s="32" t="n">
        <x:v>2.177383689660901</x:v>
      </x:c>
      <x:c r="H647" s="24" t="n">
        <x:f>'菜品日销量'!G1096*500/1000</x:f>
        <x:v>2</x:v>
      </x:c>
      <x:c r="I647" s="36" t="n">
        <x:v>0.029209385819083403</x:v>
      </x:c>
      <x:c r="J647" s="24" t="n">
        <x:f>H647*I647</x:f>
        <x:v>0.058418771638166805</x:v>
      </x:c>
      <x:c r="K647" s="32" t="n">
        <x:v>0</x:v>
      </x:c>
      <x:c r="L647" s="32" t="n">
        <x:v>0</x:v>
      </x:c>
      <x:c r="M647" s="32" t="n">
        <x:v>0</x:v>
      </x:c>
      <x:c r="N647" s="24" t="n">
        <x:f>F647+G647+K647-L647+M647-H647-J647</x:f>
        <x:v>6.7013222686291725</x:v>
      </x:c>
      <x:c r="O647" s="24" t="n">
        <x:f>H647*'封面与口径'!$O$24</x:f>
        <x:v>2.4</x:v>
      </x:c>
      <x:c r="P647" s="19" t="str">
        <x:f>IF(N647&lt;0,"缺货",IF(N647&lt;O647,"预警","正常"))</x:f>
        <x:v>正常</x:v>
      </x:c>
      <x:c r="Q647" s="19" t="str">
        <x:v>鲈鱼0712-08</x:v>
      </x:c>
    </x:row>
    <x:row r="648">
      <x:c r="A648" s="19" t="str">
        <x:v>2026-07-13|S08|鲈鱼</x:v>
      </x:c>
      <x:c r="B648" s="34" t="n">
        <x:v>46216.5</x:v>
      </x:c>
      <x:c r="C648" s="19" t="str">
        <x:v>S08</x:v>
      </x:c>
      <x:c r="D648" s="19" t="str">
        <x:v>四季青店</x:v>
      </x:c>
      <x:c r="E648" s="19" t="str">
        <x:v>鲈鱼</x:v>
      </x:c>
      <x:c r="F648" s="32" t="n">
        <x:v>6.701322268629173</x:v>
      </x:c>
      <x:c r="G648" s="32" t="n">
        <x:v>3.585161824427816</x:v>
      </x:c>
      <x:c r="H648" s="24" t="n">
        <x:f>'菜品日销量'!G1116*500/1000</x:f>
        <x:v>3</x:v>
      </x:c>
      <x:c r="I648" s="36" t="n">
        <x:v>0.01664888792243993</x:v>
      </x:c>
      <x:c r="J648" s="24" t="n">
        <x:f>H648*I648</x:f>
        <x:v>0.04994666376731979</x:v>
      </x:c>
      <x:c r="K648" s="32" t="n">
        <x:v>0</x:v>
      </x:c>
      <x:c r="L648" s="32" t="n">
        <x:v>0</x:v>
      </x:c>
      <x:c r="M648" s="32" t="n">
        <x:v>0</x:v>
      </x:c>
      <x:c r="N648" s="24" t="n">
        <x:f>F648+G648+K648-L648+M648-H648-J648</x:f>
        <x:v>7.23653742928967</x:v>
      </x:c>
      <x:c r="O648" s="24" t="n">
        <x:f>H648*'封面与口径'!$O$24</x:f>
        <x:v>3.5999999999999996</x:v>
      </x:c>
      <x:c r="P648" s="19" t="str">
        <x:f>IF(N648&lt;0,"缺货",IF(N648&lt;O648,"预警","正常"))</x:f>
        <x:v>正常</x:v>
      </x:c>
      <x:c r="Q648" s="19" t="str">
        <x:v>鲈鱼0713-08</x:v>
      </x:c>
    </x:row>
    <x:row r="649">
      <x:c r="A649" s="19" t="str">
        <x:v>2026-07-07|S08|酸包菜</x:v>
      </x:c>
      <x:c r="B649" s="34" t="n">
        <x:v>46210.5</x:v>
      </x:c>
      <x:c r="C649" s="19" t="str">
        <x:v>S08</x:v>
      </x:c>
      <x:c r="D649" s="19" t="str">
        <x:v>四季青店</x:v>
      </x:c>
      <x:c r="E649" s="19" t="str">
        <x:v>酸包菜</x:v>
      </x:c>
      <x:c r="F649" s="32" t="n">
        <x:v>11.879999999999999</x:v>
      </x:c>
      <x:c r="G649" s="32" t="n">
        <x:v>7.480836967202098</x:v>
      </x:c>
      <x:c r="H649" s="24" t="n">
        <x:f>'菜品日销量'!G988*200/1000</x:f>
        <x:v>6.6</x:v>
      </x:c>
      <x:c r="I649" s="36" t="n">
        <x:v>0.03561697243960038</x:v>
      </x:c>
      <x:c r="J649" s="24" t="n">
        <x:f>H649*I649</x:f>
        <x:v>0.2350720181013625</x:v>
      </x:c>
      <x:c r="K649" s="32" t="n">
        <x:v>0</x:v>
      </x:c>
      <x:c r="L649" s="32" t="n">
        <x:v>0</x:v>
      </x:c>
      <x:c r="M649" s="32" t="n">
        <x:v>0</x:v>
      </x:c>
      <x:c r="N649" s="24" t="n">
        <x:f>F649+G649+K649-L649+M649-H649-J649</x:f>
        <x:v>12.525764949100735</x:v>
      </x:c>
      <x:c r="O649" s="24" t="n">
        <x:f>H649*'封面与口径'!$O$24</x:f>
        <x:v>7.919999999999999</x:v>
      </x:c>
      <x:c r="P649" s="19" t="str">
        <x:f>IF(N649&lt;0,"缺货",IF(N649&lt;O649,"预警","正常"))</x:f>
        <x:v>正常</x:v>
      </x:c>
      <x:c r="Q649" s="19" t="str">
        <x:v>酸包0707-08</x:v>
      </x:c>
    </x:row>
    <x:row r="650">
      <x:c r="A650" s="19" t="str">
        <x:v>2026-07-08|S08|酸包菜</x:v>
      </x:c>
      <x:c r="B650" s="34" t="n">
        <x:v>46211.5</x:v>
      </x:c>
      <x:c r="C650" s="19" t="str">
        <x:v>S08</x:v>
      </x:c>
      <x:c r="D650" s="19" t="str">
        <x:v>四季青店</x:v>
      </x:c>
      <x:c r="E650" s="19" t="str">
        <x:v>酸包菜</x:v>
      </x:c>
      <x:c r="F650" s="32" t="n">
        <x:v>12.525764949100735</x:v>
      </x:c>
      <x:c r="G650" s="32" t="n">
        <x:v>6.380191921071194</x:v>
      </x:c>
      <x:c r="H650" s="24" t="n">
        <x:f>'菜品日销量'!G1008*200/1000</x:f>
        <x:v>5.8</x:v>
      </x:c>
      <x:c r="I650" s="36" t="n">
        <x:v>0.01970136637559658</x:v>
      </x:c>
      <x:c r="J650" s="24" t="n">
        <x:f>H650*I650</x:f>
        <x:v>0.11426792497846015</x:v>
      </x:c>
      <x:c r="K650" s="32" t="n">
        <x:v>0</x:v>
      </x:c>
      <x:c r="L650" s="32" t="n">
        <x:v>0</x:v>
      </x:c>
      <x:c r="M650" s="32" t="n">
        <x:v>0</x:v>
      </x:c>
      <x:c r="N650" s="24" t="n">
        <x:f>F650+G650+K650-L650+M650-H650-J650</x:f>
        <x:v>12.991688945193467</x:v>
      </x:c>
      <x:c r="O650" s="24" t="n">
        <x:f>H650*'封面与口径'!$O$24</x:f>
        <x:v>6.96</x:v>
      </x:c>
      <x:c r="P650" s="19" t="str">
        <x:f>IF(N650&lt;0,"缺货",IF(N650&lt;O650,"预警","正常"))</x:f>
        <x:v>正常</x:v>
      </x:c>
      <x:c r="Q650" s="19" t="str">
        <x:v>酸包0708-08</x:v>
      </x:c>
    </x:row>
    <x:row r="651">
      <x:c r="A651" s="19" t="str">
        <x:v>2026-07-09|S08|酸包菜</x:v>
      </x:c>
      <x:c r="B651" s="34" t="n">
        <x:v>46212.5</x:v>
      </x:c>
      <x:c r="C651" s="19" t="str">
        <x:v>S08</x:v>
      </x:c>
      <x:c r="D651" s="19" t="str">
        <x:v>四季青店</x:v>
      </x:c>
      <x:c r="E651" s="19" t="str">
        <x:v>酸包菜</x:v>
      </x:c>
      <x:c r="F651" s="32" t="n">
        <x:v>12.991688945193467</x:v>
      </x:c>
      <x:c r="G651" s="32" t="n">
        <x:v>6.89074425596994</x:v>
      </x:c>
      <x:c r="H651" s="24" t="n">
        <x:f>'菜品日销量'!G1028*200/1000</x:f>
        <x:v>6</x:v>
      </x:c>
      <x:c r="I651" s="36" t="n">
        <x:v>0.022058023360338533</x:v>
      </x:c>
      <x:c r="J651" s="24" t="n">
        <x:f>H651*I651</x:f>
        <x:v>0.1323481401620312</x:v>
      </x:c>
      <x:c r="K651" s="32" t="n">
        <x:v>0</x:v>
      </x:c>
      <x:c r="L651" s="32" t="n">
        <x:v>0</x:v>
      </x:c>
      <x:c r="M651" s="32" t="n">
        <x:v>0</x:v>
      </x:c>
      <x:c r="N651" s="24" t="n">
        <x:f>F651+G651+K651-L651+M651-H651-J651</x:f>
        <x:v>13.750085061001377</x:v>
      </x:c>
      <x:c r="O651" s="24" t="n">
        <x:f>H651*'封面与口径'!$O$24</x:f>
        <x:v>7.199999999999999</x:v>
      </x:c>
      <x:c r="P651" s="19" t="str">
        <x:f>IF(N651&lt;0,"缺货",IF(N651&lt;O651,"预警","正常"))</x:f>
        <x:v>正常</x:v>
      </x:c>
      <x:c r="Q651" s="19" t="str">
        <x:v>酸包0709-08</x:v>
      </x:c>
    </x:row>
    <x:row r="652">
      <x:c r="A652" s="19" t="str">
        <x:v>2026-07-10|S08|酸包菜</x:v>
      </x:c>
      <x:c r="B652" s="34" t="n">
        <x:v>46213.5</x:v>
      </x:c>
      <x:c r="C652" s="19" t="str">
        <x:v>S08</x:v>
      </x:c>
      <x:c r="D652" s="19" t="str">
        <x:v>四季青店</x:v>
      </x:c>
      <x:c r="E652" s="19" t="str">
        <x:v>酸包菜</x:v>
      </x:c>
      <x:c r="F652" s="32" t="n">
        <x:v>13.750085061001379</x:v>
      </x:c>
      <x:c r="G652" s="32" t="n">
        <x:v>7.130536888948303</x:v>
      </x:c>
      <x:c r="H652" s="24" t="n">
        <x:f>'菜品日销量'!G1048*200/1000</x:f>
        <x:v>6.4</x:v>
      </x:c>
      <x:c r="I652" s="36" t="n">
        <x:v>0.029474826065002666</x:v>
      </x:c>
      <x:c r="J652" s="24" t="n">
        <x:f>H652*I652</x:f>
        <x:v>0.18863888681601707</x:v>
      </x:c>
      <x:c r="K652" s="32" t="n">
        <x:v>0</x:v>
      </x:c>
      <x:c r="L652" s="32" t="n">
        <x:v>0</x:v>
      </x:c>
      <x:c r="M652" s="32" t="n">
        <x:v>0</x:v>
      </x:c>
      <x:c r="N652" s="24" t="n">
        <x:f>F652+G652+K652-L652+M652-H652-J652</x:f>
        <x:v>14.291983063133664</x:v>
      </x:c>
      <x:c r="O652" s="24" t="n">
        <x:f>H652*'封面与口径'!$O$24</x:f>
        <x:v>7.68</x:v>
      </x:c>
      <x:c r="P652" s="19" t="str">
        <x:f>IF(N652&lt;0,"缺货",IF(N652&lt;O652,"预警","正常"))</x:f>
        <x:v>正常</x:v>
      </x:c>
      <x:c r="Q652" s="19" t="str">
        <x:v>酸包0710-08</x:v>
      </x:c>
    </x:row>
    <x:row r="653">
      <x:c r="A653" s="19" t="str">
        <x:v>2026-07-11|S08|酸包菜</x:v>
      </x:c>
      <x:c r="B653" s="34" t="n">
        <x:v>46214.5</x:v>
      </x:c>
      <x:c r="C653" s="19" t="str">
        <x:v>S08</x:v>
      </x:c>
      <x:c r="D653" s="19" t="str">
        <x:v>四季青店</x:v>
      </x:c>
      <x:c r="E653" s="19" t="str">
        <x:v>酸包菜</x:v>
      </x:c>
      <x:c r="F653" s="32" t="n">
        <x:v>14.291983063133664</x:v>
      </x:c>
      <x:c r="G653" s="32" t="n">
        <x:v>5.7390315210919445</x:v>
      </x:c>
      <x:c r="H653" s="24" t="n">
        <x:f>'菜品日销量'!G1068*200/1000</x:f>
        <x:v>4.8</x:v>
      </x:c>
      <x:c r="I653" s="36" t="n">
        <x:v>0.020473256595542947</x:v>
      </x:c>
      <x:c r="J653" s="24" t="n">
        <x:f>H653*I653</x:f>
        <x:v>0.09827163165860614</x:v>
      </x:c>
      <x:c r="K653" s="32" t="n">
        <x:v>0</x:v>
      </x:c>
      <x:c r="L653" s="32" t="n">
        <x:v>0</x:v>
      </x:c>
      <x:c r="M653" s="32" t="n">
        <x:v>0</x:v>
      </x:c>
      <x:c r="N653" s="24" t="n">
        <x:f>F653+G653+K653-L653+M653-H653-J653</x:f>
        <x:v>15.132742952567002</x:v>
      </x:c>
      <x:c r="O653" s="24" t="n">
        <x:f>H653*'封面与口径'!$O$24</x:f>
        <x:v>5.76</x:v>
      </x:c>
      <x:c r="P653" s="19" t="str">
        <x:f>IF(N653&lt;0,"缺货",IF(N653&lt;O653,"预警","正常"))</x:f>
        <x:v>正常</x:v>
      </x:c>
      <x:c r="Q653" s="19" t="str">
        <x:v>酸包0711-08</x:v>
      </x:c>
    </x:row>
    <x:row r="654">
      <x:c r="A654" s="19" t="str">
        <x:v>2026-07-12|S08|酸包菜</x:v>
      </x:c>
      <x:c r="B654" s="34" t="n">
        <x:v>46215.5</x:v>
      </x:c>
      <x:c r="C654" s="19" t="str">
        <x:v>S08</x:v>
      </x:c>
      <x:c r="D654" s="19" t="str">
        <x:v>四季青店</x:v>
      </x:c>
      <x:c r="E654" s="19" t="str">
        <x:v>酸包菜</x:v>
      </x:c>
      <x:c r="F654" s="32" t="n">
        <x:v>15.132742952567003</x:v>
      </x:c>
      <x:c r="G654" s="32" t="n">
        <x:v>5.583107252601327</x:v>
      </x:c>
      <x:c r="H654" s="24" t="n">
        <x:f>'菜品日销量'!G1088*200/1000</x:f>
        <x:v>5</x:v>
      </x:c>
      <x:c r="I654" s="36" t="n">
        <x:v>0.039083473259602555</x:v>
      </x:c>
      <x:c r="J654" s="24" t="n">
        <x:f>H654*I654</x:f>
        <x:v>0.19541736629801276</x:v>
      </x:c>
      <x:c r="K654" s="32" t="n">
        <x:v>0</x:v>
      </x:c>
      <x:c r="L654" s="32" t="n">
        <x:v>0</x:v>
      </x:c>
      <x:c r="M654" s="32" t="n">
        <x:v>0</x:v>
      </x:c>
      <x:c r="N654" s="24" t="n">
        <x:f>F654+G654+K654-L654+M654-H654-J654</x:f>
        <x:v>15.520432838870317</x:v>
      </x:c>
      <x:c r="O654" s="24" t="n">
        <x:f>H654*'封面与口径'!$O$24</x:f>
        <x:v>6</x:v>
      </x:c>
      <x:c r="P654" s="19" t="str">
        <x:f>IF(N654&lt;0,"缺货",IF(N654&lt;O654,"预警","正常"))</x:f>
        <x:v>正常</x:v>
      </x:c>
      <x:c r="Q654" s="19" t="str">
        <x:v>酸包0712-08</x:v>
      </x:c>
    </x:row>
    <x:row r="655">
      <x:c r="A655" s="19" t="str">
        <x:v>2026-07-13|S08|酸包菜</x:v>
      </x:c>
      <x:c r="B655" s="34" t="n">
        <x:v>46216.5</x:v>
      </x:c>
      <x:c r="C655" s="19" t="str">
        <x:v>S08</x:v>
      </x:c>
      <x:c r="D655" s="19" t="str">
        <x:v>四季青店</x:v>
      </x:c>
      <x:c r="E655" s="19" t="str">
        <x:v>酸包菜</x:v>
      </x:c>
      <x:c r="F655" s="32" t="n">
        <x:v>15.520432838870317</x:v>
      </x:c>
      <x:c r="G655" s="32" t="n">
        <x:v>7.014034843349373</x:v>
      </x:c>
      <x:c r="H655" s="24" t="n">
        <x:f>'菜品日销量'!G1108*200/1000</x:f>
        <x:v>6.4</x:v>
      </x:c>
      <x:c r="I655" s="36" t="n">
        <x:v>0.02315340814486924</x:v>
      </x:c>
      <x:c r="J655" s="24" t="n">
        <x:f>H655*I655</x:f>
        <x:v>0.14818181212716314</x:v>
      </x:c>
      <x:c r="K655" s="32" t="n">
        <x:v>0</x:v>
      </x:c>
      <x:c r="L655" s="32" t="n">
        <x:v>0</x:v>
      </x:c>
      <x:c r="M655" s="32" t="n">
        <x:v>0</x:v>
      </x:c>
      <x:c r="N655" s="24" t="n">
        <x:f>F655+G655+K655-L655+M655-H655-J655</x:f>
        <x:v>15.98628587009253</x:v>
      </x:c>
      <x:c r="O655" s="24" t="n">
        <x:f>H655*'封面与口径'!$O$24</x:f>
        <x:v>7.68</x:v>
      </x:c>
      <x:c r="P655" s="19" t="str">
        <x:f>IF(N655&lt;0,"缺货",IF(N655&lt;O655,"预警","正常"))</x:f>
        <x:v>正常</x:v>
      </x:c>
      <x:c r="Q655" s="19" t="str">
        <x:v>酸包0713-08</x:v>
      </x:c>
    </x:row>
    <x:row r="656">
      <x:c r="A656" s="19" t="str">
        <x:v>2026-07-07|S08|粉皮</x:v>
      </x:c>
      <x:c r="B656" s="34" t="n">
        <x:v>46210.5</x:v>
      </x:c>
      <x:c r="C656" s="19" t="str">
        <x:v>S08</x:v>
      </x:c>
      <x:c r="D656" s="19" t="str">
        <x:v>四季青店</x:v>
      </x:c>
      <x:c r="E656" s="19" t="str">
        <x:v>粉皮</x:v>
      </x:c>
      <x:c r="F656" s="32" t="n">
        <x:v>8.91</x:v>
      </x:c>
      <x:c r="G656" s="32" t="n">
        <x:v>5.758045815417089</x:v>
      </x:c>
      <x:c r="H656" s="24" t="n">
        <x:f>'菜品日销量'!G988*150/1000</x:f>
        <x:v>4.95</x:v>
      </x:c>
      <x:c r="I656" s="36" t="n">
        <x:v>0.02550523694383568</x:v>
      </x:c>
      <x:c r="J656" s="24" t="n">
        <x:f>H656*I656</x:f>
        <x:v>0.1262509228719866</x:v>
      </x:c>
      <x:c r="K656" s="32" t="n">
        <x:v>0</x:v>
      </x:c>
      <x:c r="L656" s="32" t="n">
        <x:v>0</x:v>
      </x:c>
      <x:c r="M656" s="32" t="n">
        <x:v>0</x:v>
      </x:c>
      <x:c r="N656" s="24" t="n">
        <x:f>F656+G656+K656-L656+M656-H656-J656</x:f>
        <x:v>9.591794892545101</x:v>
      </x:c>
      <x:c r="O656" s="24" t="n">
        <x:f>H656*'封面与口径'!$O$24</x:f>
        <x:v>5.94</x:v>
      </x:c>
      <x:c r="P656" s="19" t="str">
        <x:f>IF(N656&lt;0,"缺货",IF(N656&lt;O656,"预警","正常"))</x:f>
        <x:v>正常</x:v>
      </x:c>
      <x:c r="Q656" s="19" t="str">
        <x:v>粉皮0707-08</x:v>
      </x:c>
    </x:row>
    <x:row r="657">
      <x:c r="A657" s="19" t="str">
        <x:v>2026-07-08|S08|粉皮</x:v>
      </x:c>
      <x:c r="B657" s="34" t="n">
        <x:v>46211.5</x:v>
      </x:c>
      <x:c r="C657" s="19" t="str">
        <x:v>S08</x:v>
      </x:c>
      <x:c r="D657" s="19" t="str">
        <x:v>四季青店</x:v>
      </x:c>
      <x:c r="E657" s="19" t="str">
        <x:v>粉皮</x:v>
      </x:c>
      <x:c r="F657" s="32" t="n">
        <x:v>9.5917948925451</x:v>
      </x:c>
      <x:c r="G657" s="32" t="n">
        <x:v>4.7308422652326625</x:v>
      </x:c>
      <x:c r="H657" s="24" t="n">
        <x:f>'菜品日销量'!G1008*150/1000</x:f>
        <x:v>4.35</x:v>
      </x:c>
      <x:c r="I657" s="36" t="n">
        <x:v>0.021262099098242376</x:v>
      </x:c>
      <x:c r="J657" s="24" t="n">
        <x:f>H657*I657</x:f>
        <x:v>0.09249013107735432</x:v>
      </x:c>
      <x:c r="K657" s="32" t="n">
        <x:v>0</x:v>
      </x:c>
      <x:c r="L657" s="32" t="n">
        <x:v>0</x:v>
      </x:c>
      <x:c r="M657" s="32" t="n">
        <x:v>0</x:v>
      </x:c>
      <x:c r="N657" s="24" t="n">
        <x:f>F657+G657+K657-L657+M657-H657-J657</x:f>
        <x:v>9.880147026700408</x:v>
      </x:c>
      <x:c r="O657" s="24" t="n">
        <x:f>H657*'封面与口径'!$O$24</x:f>
        <x:v>5.22</x:v>
      </x:c>
      <x:c r="P657" s="19" t="str">
        <x:f>IF(N657&lt;0,"缺货",IF(N657&lt;O657,"预警","正常"))</x:f>
        <x:v>正常</x:v>
      </x:c>
      <x:c r="Q657" s="19" t="str">
        <x:v>粉皮0708-08</x:v>
      </x:c>
    </x:row>
    <x:row r="658">
      <x:c r="A658" s="19" t="str">
        <x:v>2026-07-09|S08|粉皮</x:v>
      </x:c>
      <x:c r="B658" s="34" t="n">
        <x:v>46212.5</x:v>
      </x:c>
      <x:c r="C658" s="19" t="str">
        <x:v>S08</x:v>
      </x:c>
      <x:c r="D658" s="19" t="str">
        <x:v>四季青店</x:v>
      </x:c>
      <x:c r="E658" s="19" t="str">
        <x:v>粉皮</x:v>
      </x:c>
      <x:c r="F658" s="32" t="n">
        <x:v>9.88014702670041</x:v>
      </x:c>
      <x:c r="G658" s="32" t="n">
        <x:v>5.029930544204529</x:v>
      </x:c>
      <x:c r="H658" s="24" t="n">
        <x:f>'菜品日销量'!G1028*150/1000</x:f>
        <x:v>4.5</x:v>
      </x:c>
      <x:c r="I658" s="36" t="n">
        <x:v>0.03794852297588916</x:v>
      </x:c>
      <x:c r="J658" s="24" t="n">
        <x:f>H658*I658</x:f>
        <x:v>0.1707683533915012</x:v>
      </x:c>
      <x:c r="K658" s="32" t="n">
        <x:v>0</x:v>
      </x:c>
      <x:c r="L658" s="32" t="n">
        <x:v>0</x:v>
      </x:c>
      <x:c r="M658" s="32" t="n">
        <x:v>0</x:v>
      </x:c>
      <x:c r="N658" s="24" t="n">
        <x:f>F658+G658+K658-L658+M658-H658-J658</x:f>
        <x:v>10.239309217513437</x:v>
      </x:c>
      <x:c r="O658" s="24" t="n">
        <x:f>H658*'封面与口径'!$O$24</x:f>
        <x:v>5.3999999999999995</x:v>
      </x:c>
      <x:c r="P658" s="19" t="str">
        <x:f>IF(N658&lt;0,"缺货",IF(N658&lt;O658,"预警","正常"))</x:f>
        <x:v>正常</x:v>
      </x:c>
      <x:c r="Q658" s="19" t="str">
        <x:v>粉皮0709-08</x:v>
      </x:c>
    </x:row>
    <x:row r="659">
      <x:c r="A659" s="19" t="str">
        <x:v>2026-07-10|S08|粉皮</x:v>
      </x:c>
      <x:c r="B659" s="34" t="n">
        <x:v>46213.5</x:v>
      </x:c>
      <x:c r="C659" s="19" t="str">
        <x:v>S08</x:v>
      </x:c>
      <x:c r="D659" s="19" t="str">
        <x:v>四季青店</x:v>
      </x:c>
      <x:c r="E659" s="19" t="str">
        <x:v>粉皮</x:v>
      </x:c>
      <x:c r="F659" s="32" t="n">
        <x:v>10.239309217513437</x:v>
      </x:c>
      <x:c r="G659" s="32" t="n">
        <x:v>5.2849134156491875</x:v>
      </x:c>
      <x:c r="H659" s="24" t="n">
        <x:f>'菜品日销量'!G1048*150/1000</x:f>
        <x:v>4.8</x:v>
      </x:c>
      <x:c r="I659" s="36" t="n">
        <x:v>0.017737015230287104</x:v>
      </x:c>
      <x:c r="J659" s="24" t="n">
        <x:f>H659*I659</x:f>
        <x:v>0.08513767310537809</x:v>
      </x:c>
      <x:c r="K659" s="32" t="n">
        <x:v>0</x:v>
      </x:c>
      <x:c r="L659" s="32" t="n">
        <x:v>0</x:v>
      </x:c>
      <x:c r="M659" s="32" t="n">
        <x:v>0</x:v>
      </x:c>
      <x:c r="N659" s="24" t="n">
        <x:f>F659+G659+K659-L659+M659-H659-J659</x:f>
        <x:v>10.639084960057248</x:v>
      </x:c>
      <x:c r="O659" s="24" t="n">
        <x:f>H659*'封面与口径'!$O$24</x:f>
        <x:v>5.76</x:v>
      </x:c>
      <x:c r="P659" s="19" t="str">
        <x:f>IF(N659&lt;0,"缺货",IF(N659&lt;O659,"预警","正常"))</x:f>
        <x:v>正常</x:v>
      </x:c>
      <x:c r="Q659" s="19" t="str">
        <x:v>粉皮0710-08</x:v>
      </x:c>
    </x:row>
    <x:row r="660">
      <x:c r="A660" s="19" t="str">
        <x:v>2026-07-11|S08|粉皮</x:v>
      </x:c>
      <x:c r="B660" s="34" t="n">
        <x:v>46214.5</x:v>
      </x:c>
      <x:c r="C660" s="19" t="str">
        <x:v>S08</x:v>
      </x:c>
      <x:c r="D660" s="19" t="str">
        <x:v>四季青店</x:v>
      </x:c>
      <x:c r="E660" s="19" t="str">
        <x:v>粉皮</x:v>
      </x:c>
      <x:c r="F660" s="32" t="n">
        <x:v>10.639084960057247</x:v>
      </x:c>
      <x:c r="G660" s="32" t="n">
        <x:v>4.069533983004637</x:v>
      </x:c>
      <x:c r="H660" s="24" t="n">
        <x:f>'菜品日销量'!G1068*150/1000</x:f>
        <x:v>3.6</x:v>
      </x:c>
      <x:c r="I660" s="36" t="n">
        <x:v>0.031690320822338185</x:v>
      </x:c>
      <x:c r="J660" s="24" t="n">
        <x:f>H660*I660</x:f>
        <x:v>0.11408515496041746</x:v>
      </x:c>
      <x:c r="K660" s="32" t="n">
        <x:v>0</x:v>
      </x:c>
      <x:c r="L660" s="32" t="n">
        <x:v>0</x:v>
      </x:c>
      <x:c r="M660" s="32" t="n">
        <x:v>0</x:v>
      </x:c>
      <x:c r="N660" s="24" t="n">
        <x:f>F660+G660+K660-L660+M660-H660-J660</x:f>
        <x:v>10.994533788101466</x:v>
      </x:c>
      <x:c r="O660" s="24" t="n">
        <x:f>H660*'封面与口径'!$O$24</x:f>
        <x:v>4.32</x:v>
      </x:c>
      <x:c r="P660" s="19" t="str">
        <x:f>IF(N660&lt;0,"缺货",IF(N660&lt;O660,"预警","正常"))</x:f>
        <x:v>正常</x:v>
      </x:c>
      <x:c r="Q660" s="19" t="str">
        <x:v>粉皮0711-08</x:v>
      </x:c>
    </x:row>
    <x:row r="661">
      <x:c r="A661" s="19" t="str">
        <x:v>2026-07-12|S08|粉皮</x:v>
      </x:c>
      <x:c r="B661" s="34" t="n">
        <x:v>46215.5</x:v>
      </x:c>
      <x:c r="C661" s="19" t="str">
        <x:v>S08</x:v>
      </x:c>
      <x:c r="D661" s="19" t="str">
        <x:v>四季青店</x:v>
      </x:c>
      <x:c r="E661" s="19" t="str">
        <x:v>粉皮</x:v>
      </x:c>
      <x:c r="F661" s="32" t="n">
        <x:v>10.994533788101464</x:v>
      </x:c>
      <x:c r="G661" s="32" t="n">
        <x:v>4.391507228624892</x:v>
      </x:c>
      <x:c r="H661" s="24" t="n">
        <x:f>'菜品日销量'!G1088*150/1000</x:f>
        <x:v>3.75</x:v>
      </x:c>
      <x:c r="I661" s="36" t="n">
        <x:v>0.031253690367157964</x:v>
      </x:c>
      <x:c r="J661" s="24" t="n">
        <x:f>H661*I661</x:f>
        <x:v>0.11720133887684236</x:v>
      </x:c>
      <x:c r="K661" s="32" t="n">
        <x:v>0</x:v>
      </x:c>
      <x:c r="L661" s="32" t="n">
        <x:v>0</x:v>
      </x:c>
      <x:c r="M661" s="32" t="n">
        <x:v>0</x:v>
      </x:c>
      <x:c r="N661" s="24" t="n">
        <x:f>F661+G661+K661-L661+M661-H661-J661</x:f>
        <x:v>11.518839677849513</x:v>
      </x:c>
      <x:c r="O661" s="24" t="n">
        <x:f>H661*'封面与口径'!$O$24</x:f>
        <x:v>4.5</x:v>
      </x:c>
      <x:c r="P661" s="19" t="str">
        <x:f>IF(N661&lt;0,"缺货",IF(N661&lt;O661,"预警","正常"))</x:f>
        <x:v>正常</x:v>
      </x:c>
      <x:c r="Q661" s="19" t="str">
        <x:v>粉皮0712-08</x:v>
      </x:c>
    </x:row>
    <x:row r="662">
      <x:c r="A662" s="19" t="str">
        <x:v>2026-07-13|S08|粉皮</x:v>
      </x:c>
      <x:c r="B662" s="34" t="n">
        <x:v>46216.5</x:v>
      </x:c>
      <x:c r="C662" s="19" t="str">
        <x:v>S08</x:v>
      </x:c>
      <x:c r="D662" s="19" t="str">
        <x:v>四季青店</x:v>
      </x:c>
      <x:c r="E662" s="19" t="str">
        <x:v>粉皮</x:v>
      </x:c>
      <x:c r="F662" s="32" t="n">
        <x:v>11.518839677849513</x:v>
      </x:c>
      <x:c r="G662" s="32" t="n">
        <x:v>5.629248714938119</x:v>
      </x:c>
      <x:c r="H662" s="24" t="n">
        <x:f>'菜品日销量'!G1108*150/1000</x:f>
        <x:v>4.8</x:v>
      </x:c>
      <x:c r="I662" s="36" t="n">
        <x:v>0.02561534689171597</x:v>
      </x:c>
      <x:c r="J662" s="24" t="n">
        <x:f>H662*I662</x:f>
        <x:v>0.12295366508023664</x:v>
      </x:c>
      <x:c r="K662" s="32" t="n">
        <x:v>0</x:v>
      </x:c>
      <x:c r="L662" s="32" t="n">
        <x:v>0</x:v>
      </x:c>
      <x:c r="M662" s="32" t="n">
        <x:v>0</x:v>
      </x:c>
      <x:c r="N662" s="24" t="n">
        <x:f>F662+G662+K662-L662+M662-H662-J662</x:f>
        <x:v>12.225134727707394</x:v>
      </x:c>
      <x:c r="O662" s="24" t="n">
        <x:f>H662*'封面与口径'!$O$24</x:f>
        <x:v>5.76</x:v>
      </x:c>
      <x:c r="P662" s="19" t="str">
        <x:f>IF(N662&lt;0,"缺货",IF(N662&lt;O662,"预警","正常"))</x:f>
        <x:v>正常</x:v>
      </x:c>
      <x:c r="Q662" s="19" t="str">
        <x:v>粉皮0713-08</x:v>
      </x:c>
    </x:row>
    <x:row r="663">
      <x:c r="A663" s="19" t="str">
        <x:v>2026-07-07|S08|鸡杂</x:v>
      </x:c>
      <x:c r="B663" s="34" t="n">
        <x:v>46210.5</x:v>
      </x:c>
      <x:c r="C663" s="19" t="str">
        <x:v>S08</x:v>
      </x:c>
      <x:c r="D663" s="19" t="str">
        <x:v>四季青店</x:v>
      </x:c>
      <x:c r="E663" s="19" t="str">
        <x:v>鸡杂</x:v>
      </x:c>
      <x:c r="F663" s="32" t="n">
        <x:v>5.4</x:v>
      </x:c>
      <x:c r="G663" s="32" t="n">
        <x:v>3.5518720053210555</x:v>
      </x:c>
      <x:c r="H663" s="24" t="n">
        <x:f>'菜品日销量'!G998*250/1000+'菜品日销量'!G1003*250/1000</x:f>
        <x:v>3</x:v>
      </x:c>
      <x:c r="I663" s="36" t="n">
        <x:v>0.01748646484745817</x:v>
      </x:c>
      <x:c r="J663" s="24" t="n">
        <x:f>H663*I663</x:f>
        <x:v>0.05245939454237451</x:v>
      </x:c>
      <x:c r="K663" s="32" t="n">
        <x:v>0</x:v>
      </x:c>
      <x:c r="L663" s="32" t="n">
        <x:v>0</x:v>
      </x:c>
      <x:c r="M663" s="32" t="n">
        <x:v>0</x:v>
      </x:c>
      <x:c r="N663" s="24" t="n">
        <x:f>F663+G663+K663-L663+M663-H663-J663</x:f>
        <x:v>5.899412610778681</x:v>
      </x:c>
      <x:c r="O663" s="24" t="n">
        <x:f>H663*'封面与口径'!$O$24</x:f>
        <x:v>3.5999999999999996</x:v>
      </x:c>
      <x:c r="P663" s="19" t="str">
        <x:f>IF(N663&lt;0,"缺货",IF(N663&lt;O663,"预警","正常"))</x:f>
        <x:v>正常</x:v>
      </x:c>
      <x:c r="Q663" s="19" t="str">
        <x:v>鸡杂0707-08</x:v>
      </x:c>
    </x:row>
    <x:row r="664">
      <x:c r="A664" s="19" t="str">
        <x:v>2026-07-08|S08|鸡杂</x:v>
      </x:c>
      <x:c r="B664" s="34" t="n">
        <x:v>46211.5</x:v>
      </x:c>
      <x:c r="C664" s="19" t="str">
        <x:v>S08</x:v>
      </x:c>
      <x:c r="D664" s="19" t="str">
        <x:v>四季青店</x:v>
      </x:c>
      <x:c r="E664" s="19" t="str">
        <x:v>鸡杂</x:v>
      </x:c>
      <x:c r="F664" s="32" t="n">
        <x:v>5.899412610778681</x:v>
      </x:c>
      <x:c r="G664" s="32" t="n">
        <x:v>3.0121629025186794</x:v>
      </x:c>
      <x:c r="H664" s="24" t="n">
        <x:f>'菜品日销量'!G1018*250/1000+'菜品日销量'!G1023*250/1000</x:f>
        <x:v>2.75</x:v>
      </x:c>
      <x:c r="I664" s="36" t="n">
        <x:v>0.02110443696638207</x:v>
      </x:c>
      <x:c r="J664" s="24" t="n">
        <x:f>H664*I664</x:f>
        <x:v>0.05803720165755069</x:v>
      </x:c>
      <x:c r="K664" s="32" t="n">
        <x:v>0</x:v>
      </x:c>
      <x:c r="L664" s="32" t="n">
        <x:v>0</x:v>
      </x:c>
      <x:c r="M664" s="32" t="n">
        <x:v>0</x:v>
      </x:c>
      <x:c r="N664" s="24" t="n">
        <x:f>F664+G664+K664-L664+M664-H664-J664</x:f>
        <x:v>6.10353831163981</x:v>
      </x:c>
      <x:c r="O664" s="24" t="n">
        <x:f>H664*'封面与口径'!$O$24</x:f>
        <x:v>3.3</x:v>
      </x:c>
      <x:c r="P664" s="19" t="str">
        <x:f>IF(N664&lt;0,"缺货",IF(N664&lt;O664,"预警","正常"))</x:f>
        <x:v>正常</x:v>
      </x:c>
      <x:c r="Q664" s="19" t="str">
        <x:v>鸡杂0708-08</x:v>
      </x:c>
    </x:row>
    <x:row r="665">
      <x:c r="A665" s="19" t="str">
        <x:v>2026-07-09|S08|鸡杂</x:v>
      </x:c>
      <x:c r="B665" s="34" t="n">
        <x:v>46212.5</x:v>
      </x:c>
      <x:c r="C665" s="19" t="str">
        <x:v>S08</x:v>
      </x:c>
      <x:c r="D665" s="19" t="str">
        <x:v>四季青店</x:v>
      </x:c>
      <x:c r="E665" s="19" t="str">
        <x:v>鸡杂</x:v>
      </x:c>
      <x:c r="F665" s="32" t="n">
        <x:v>6.103538311639811</x:v>
      </x:c>
      <x:c r="G665" s="32" t="n">
        <x:v>3.023625886171038</x:v>
      </x:c>
      <x:c r="H665" s="24" t="n">
        <x:f>'菜品日销量'!G1038*250/1000+'菜品日销量'!G1043*250/1000</x:f>
        <x:v>2.75</x:v>
      </x:c>
      <x:c r="I665" s="36" t="n">
        <x:v>0.023484794841726497</x:v>
      </x:c>
      <x:c r="J665" s="24" t="n">
        <x:f>H665*I665</x:f>
        <x:v>0.06458318581474787</x:v>
      </x:c>
      <x:c r="K665" s="32" t="n">
        <x:v>0</x:v>
      </x:c>
      <x:c r="L665" s="32" t="n">
        <x:v>0</x:v>
      </x:c>
      <x:c r="M665" s="32" t="n">
        <x:v>0</x:v>
      </x:c>
      <x:c r="N665" s="24" t="n">
        <x:f>F665+G665+K665-L665+M665-H665-J665</x:f>
        <x:v>6.312581011996102</x:v>
      </x:c>
      <x:c r="O665" s="24" t="n">
        <x:f>H665*'封面与口径'!$O$24</x:f>
        <x:v>3.3</x:v>
      </x:c>
      <x:c r="P665" s="19" t="str">
        <x:f>IF(N665&lt;0,"缺货",IF(N665&lt;O665,"预警","正常"))</x:f>
        <x:v>正常</x:v>
      </x:c>
      <x:c r="Q665" s="19" t="str">
        <x:v>鸡杂0709-08</x:v>
      </x:c>
    </x:row>
    <x:row r="666">
      <x:c r="A666" s="19" t="str">
        <x:v>2026-07-10|S08|鸡杂</x:v>
      </x:c>
      <x:c r="B666" s="34" t="n">
        <x:v>46213.5</x:v>
      </x:c>
      <x:c r="C666" s="19" t="str">
        <x:v>S08</x:v>
      </x:c>
      <x:c r="D666" s="19" t="str">
        <x:v>四季青店</x:v>
      </x:c>
      <x:c r="E666" s="19" t="str">
        <x:v>鸡杂</x:v>
      </x:c>
      <x:c r="F666" s="32" t="n">
        <x:v>6.312581011996102</x:v>
      </x:c>
      <x:c r="G666" s="32" t="n">
        <x:v>3.021614477443885</x:v>
      </x:c>
      <x:c r="H666" s="24" t="n">
        <x:f>'菜品日销量'!G1058*250/1000+'菜品日销量'!G1063*250/1000</x:f>
        <x:v>2.75</x:v>
      </x:c>
      <x:c r="I666" s="36" t="n">
        <x:v>0.025633666769283282</x:v>
      </x:c>
      <x:c r="J666" s="24" t="n">
        <x:f>H666*I666</x:f>
        <x:v>0.07049258361552903</x:v>
      </x:c>
      <x:c r="K666" s="32" t="n">
        <x:v>0</x:v>
      </x:c>
      <x:c r="L666" s="32" t="n">
        <x:v>0</x:v>
      </x:c>
      <x:c r="M666" s="32" t="n">
        <x:v>0</x:v>
      </x:c>
      <x:c r="N666" s="24" t="n">
        <x:f>F666+G666+K666-L666+M666-H666-J666</x:f>
        <x:v>6.5137029058244575</x:v>
      </x:c>
      <x:c r="O666" s="24" t="n">
        <x:f>H666*'封面与口径'!$O$24</x:f>
        <x:v>3.3</x:v>
      </x:c>
      <x:c r="P666" s="19" t="str">
        <x:f>IF(N666&lt;0,"缺货",IF(N666&lt;O666,"预警","正常"))</x:f>
        <x:v>正常</x:v>
      </x:c>
      <x:c r="Q666" s="19" t="str">
        <x:v>鸡杂0710-08</x:v>
      </x:c>
    </x:row>
    <x:row r="667">
      <x:c r="A667" s="19" t="str">
        <x:v>2026-07-11|S08|鸡杂</x:v>
      </x:c>
      <x:c r="B667" s="34" t="n">
        <x:v>46214.5</x:v>
      </x:c>
      <x:c r="C667" s="19" t="str">
        <x:v>S08</x:v>
      </x:c>
      <x:c r="D667" s="19" t="str">
        <x:v>四季青店</x:v>
      </x:c>
      <x:c r="E667" s="19" t="str">
        <x:v>鸡杂</x:v>
      </x:c>
      <x:c r="F667" s="32" t="n">
        <x:v>6.5137029058244575</x:v>
      </x:c>
      <x:c r="G667" s="32" t="n">
        <x:v>2.4430507451978167</x:v>
      </x:c>
      <x:c r="H667" s="24" t="n">
        <x:f>'菜品日销量'!G1078*250/1000+'菜品日销量'!G1083*250/1000</x:f>
        <x:v>2.25</x:v>
      </x:c>
      <x:c r="I667" s="36" t="n">
        <x:v>0.027539595176358612</x:v>
      </x:c>
      <x:c r="J667" s="24" t="n">
        <x:f>H667*I667</x:f>
        <x:v>0.06196408914680688</x:v>
      </x:c>
      <x:c r="K667" s="32" t="n">
        <x:v>0</x:v>
      </x:c>
      <x:c r="L667" s="32" t="n">
        <x:v>0</x:v>
      </x:c>
      <x:c r="M667" s="32" t="n">
        <x:v>0</x:v>
      </x:c>
      <x:c r="N667" s="24" t="n">
        <x:f>F667+G667+K667-L667+M667-H667-J667</x:f>
        <x:v>6.644789561875468</x:v>
      </x:c>
      <x:c r="O667" s="24" t="n">
        <x:f>H667*'封面与口径'!$O$24</x:f>
        <x:v>2.6999999999999997</x:v>
      </x:c>
      <x:c r="P667" s="19" t="str">
        <x:f>IF(N667&lt;0,"缺货",IF(N667&lt;O667,"预警","正常"))</x:f>
        <x:v>正常</x:v>
      </x:c>
      <x:c r="Q667" s="19" t="str">
        <x:v>鸡杂0711-08</x:v>
      </x:c>
    </x:row>
    <x:row r="668">
      <x:c r="A668" s="19" t="str">
        <x:v>2026-07-12|S08|鸡杂</x:v>
      </x:c>
      <x:c r="B668" s="34" t="n">
        <x:v>46215.5</x:v>
      </x:c>
      <x:c r="C668" s="19" t="str">
        <x:v>S08</x:v>
      </x:c>
      <x:c r="D668" s="19" t="str">
        <x:v>四季青店</x:v>
      </x:c>
      <x:c r="E668" s="19" t="str">
        <x:v>鸡杂</x:v>
      </x:c>
      <x:c r="F668" s="32" t="n">
        <x:v>6.644789561875468</x:v>
      </x:c>
      <x:c r="G668" s="32" t="n">
        <x:v>2.6725415342144068</x:v>
      </x:c>
      <x:c r="H668" s="24" t="n">
        <x:f>'菜品日销量'!G1098*250/1000+'菜品日销量'!G1103*250/1000</x:f>
        <x:v>2.25</x:v>
      </x:c>
      <x:c r="I668" s="36" t="n">
        <x:v>0.0353572335351159</x:v>
      </x:c>
      <x:c r="J668" s="24" t="n">
        <x:f>H668*I668</x:f>
        <x:v>0.07955377545401077</x:v>
      </x:c>
      <x:c r="K668" s="32" t="n">
        <x:v>0</x:v>
      </x:c>
      <x:c r="L668" s="32" t="n">
        <x:v>0</x:v>
      </x:c>
      <x:c r="M668" s="32" t="n">
        <x:v>0</x:v>
      </x:c>
      <x:c r="N668" s="24" t="n">
        <x:f>F668+G668+K668-L668+M668-H668-J668</x:f>
        <x:v>6.987777320635864</x:v>
      </x:c>
      <x:c r="O668" s="24" t="n">
        <x:f>H668*'封面与口径'!$O$24</x:f>
        <x:v>2.6999999999999997</x:v>
      </x:c>
      <x:c r="P668" s="19" t="str">
        <x:f>IF(N668&lt;0,"缺货",IF(N668&lt;O668,"预警","正常"))</x:f>
        <x:v>正常</x:v>
      </x:c>
      <x:c r="Q668" s="19" t="str">
        <x:v>鸡杂0712-08</x:v>
      </x:c>
    </x:row>
    <x:row r="669">
      <x:c r="A669" s="19" t="str">
        <x:v>2026-07-13|S08|鸡杂</x:v>
      </x:c>
      <x:c r="B669" s="34" t="n">
        <x:v>46216.5</x:v>
      </x:c>
      <x:c r="C669" s="19" t="str">
        <x:v>S08</x:v>
      </x:c>
      <x:c r="D669" s="19" t="str">
        <x:v>四季青店</x:v>
      </x:c>
      <x:c r="E669" s="19" t="str">
        <x:v>鸡杂</x:v>
      </x:c>
      <x:c r="F669" s="32" t="n">
        <x:v>6.987777320635864</x:v>
      </x:c>
      <x:c r="G669" s="32" t="n">
        <x:v>3.366549100886693</x:v>
      </x:c>
      <x:c r="H669" s="24" t="n">
        <x:f>'菜品日销量'!G1118*250/1000+'菜品日销量'!G1123*250/1000</x:f>
        <x:v>3</x:v>
      </x:c>
      <x:c r="I669" s="36" t="n">
        <x:v>0.026616212370948918</x:v>
      </x:c>
      <x:c r="J669" s="24" t="n">
        <x:f>H669*I669</x:f>
        <x:v>0.07984863711284676</x:v>
      </x:c>
      <x:c r="K669" s="32" t="n">
        <x:v>0</x:v>
      </x:c>
      <x:c r="L669" s="32" t="n">
        <x:v>0</x:v>
      </x:c>
      <x:c r="M669" s="32" t="n">
        <x:v>0</x:v>
      </x:c>
      <x:c r="N669" s="24" t="n">
        <x:f>F669+G669+K669-L669+M669-H669-J669</x:f>
        <x:v>7.274477784409711</x:v>
      </x:c>
      <x:c r="O669" s="24" t="n">
        <x:f>H669*'封面与口径'!$O$24</x:f>
        <x:v>3.5999999999999996</x:v>
      </x:c>
      <x:c r="P669" s="19" t="str">
        <x:f>IF(N669&lt;0,"缺货",IF(N669&lt;O669,"预警","正常"))</x:f>
        <x:v>正常</x:v>
      </x:c>
      <x:c r="Q669" s="19" t="str">
        <x:v>鸡杂0713-08</x:v>
      </x:c>
    </x:row>
    <x:row r="670">
      <x:c r="A670" s="19" t="str">
        <x:v>2026-07-07|S08|豆腐</x:v>
      </x:c>
      <x:c r="B670" s="34" t="n">
        <x:v>46210.5</x:v>
      </x:c>
      <x:c r="C670" s="19" t="str">
        <x:v>S08</x:v>
      </x:c>
      <x:c r="D670" s="19" t="str">
        <x:v>四季青店</x:v>
      </x:c>
      <x:c r="E670" s="19" t="str">
        <x:v>豆腐</x:v>
      </x:c>
      <x:c r="F670" s="32" t="n">
        <x:v>29.52</x:v>
      </x:c>
      <x:c r="G670" s="32" t="n">
        <x:v>19.321937132539677</x:v>
      </x:c>
      <x:c r="H670" s="24" t="n">
        <x:f>'菜品日销量'!G989*400/1000</x:f>
        <x:v>16.4</x:v>
      </x:c>
      <x:c r="I670" s="36" t="n">
        <x:v>0.030815567129947145</x:v>
      </x:c>
      <x:c r="J670" s="24" t="n">
        <x:f>H670*I670</x:f>
        <x:v>0.5053753009311331</x:v>
      </x:c>
      <x:c r="K670" s="32" t="n">
        <x:v>0</x:v>
      </x:c>
      <x:c r="L670" s="32" t="n">
        <x:v>0</x:v>
      </x:c>
      <x:c r="M670" s="32" t="n">
        <x:v>0</x:v>
      </x:c>
      <x:c r="N670" s="24" t="n">
        <x:f>F670+G670+K670-L670+M670-H670-J670</x:f>
        <x:v>31.936561831608547</x:v>
      </x:c>
      <x:c r="O670" s="24" t="n">
        <x:f>H670*'封面与口径'!$O$24</x:f>
        <x:v>19.679999999999996</x:v>
      </x:c>
      <x:c r="P670" s="19" t="str">
        <x:f>IF(N670&lt;0,"缺货",IF(N670&lt;O670,"预警","正常"))</x:f>
        <x:v>正常</x:v>
      </x:c>
      <x:c r="Q670" s="19" t="str">
        <x:v>豆腐0707-08</x:v>
      </x:c>
    </x:row>
    <x:row r="671">
      <x:c r="A671" s="19" t="str">
        <x:v>2026-07-08|S08|豆腐</x:v>
      </x:c>
      <x:c r="B671" s="34" t="n">
        <x:v>46211.5</x:v>
      </x:c>
      <x:c r="C671" s="19" t="str">
        <x:v>S08</x:v>
      </x:c>
      <x:c r="D671" s="19" t="str">
        <x:v>四季青店</x:v>
      </x:c>
      <x:c r="E671" s="19" t="str">
        <x:v>豆腐</x:v>
      </x:c>
      <x:c r="F671" s="32" t="n">
        <x:v>31.936561831608547</x:v>
      </x:c>
      <x:c r="G671" s="32" t="n">
        <x:v>20.924867094933255</x:v>
      </x:c>
      <x:c r="H671" s="24" t="n">
        <x:f>'菜品日销量'!G1009*400/1000</x:f>
        <x:v>18.4</x:v>
      </x:c>
      <x:c r="I671" s="36" t="n">
        <x:v>0.0354427827313642</x:v>
      </x:c>
      <x:c r="J671" s="24" t="n">
        <x:f>H671*I671</x:f>
        <x:v>0.6521472022571012</x:v>
      </x:c>
      <x:c r="K671" s="32" t="n">
        <x:v>0</x:v>
      </x:c>
      <x:c r="L671" s="32" t="n">
        <x:v>0</x:v>
      </x:c>
      <x:c r="M671" s="32" t="n">
        <x:v>0</x:v>
      </x:c>
      <x:c r="N671" s="24" t="n">
        <x:f>F671+G671+K671-L671+M671-H671-J671</x:f>
        <x:v>33.8092817242847</x:v>
      </x:c>
      <x:c r="O671" s="24" t="n">
        <x:f>H671*'封面与口径'!$O$24</x:f>
        <x:v>22.08</x:v>
      </x:c>
      <x:c r="P671" s="19" t="str">
        <x:f>IF(N671&lt;0,"缺货",IF(N671&lt;O671,"预警","正常"))</x:f>
        <x:v>正常</x:v>
      </x:c>
      <x:c r="Q671" s="19" t="str">
        <x:v>豆腐0708-08</x:v>
      </x:c>
    </x:row>
    <x:row r="672">
      <x:c r="A672" s="19" t="str">
        <x:v>2026-07-09|S08|豆腐</x:v>
      </x:c>
      <x:c r="B672" s="34" t="n">
        <x:v>46212.5</x:v>
      </x:c>
      <x:c r="C672" s="19" t="str">
        <x:v>S08</x:v>
      </x:c>
      <x:c r="D672" s="19" t="str">
        <x:v>四季青店</x:v>
      </x:c>
      <x:c r="E672" s="19" t="str">
        <x:v>豆腐</x:v>
      </x:c>
      <x:c r="F672" s="32" t="n">
        <x:v>33.8092817242847</x:v>
      </x:c>
      <x:c r="G672" s="32" t="n">
        <x:v>19.38737629919019</x:v>
      </x:c>
      <x:c r="H672" s="24" t="n">
        <x:f>'菜品日销量'!G1029*400/1000</x:f>
        <x:v>17.2</x:v>
      </x:c>
      <x:c r="I672" s="36" t="n">
        <x:v>0.026254246564641186</x:v>
      </x:c>
      <x:c r="J672" s="24" t="n">
        <x:f>H672*I672</x:f>
        <x:v>0.45157304091182837</x:v>
      </x:c>
      <x:c r="K672" s="32" t="n">
        <x:v>0</x:v>
      </x:c>
      <x:c r="L672" s="32" t="n">
        <x:v>0</x:v>
      </x:c>
      <x:c r="M672" s="32" t="n">
        <x:v>0</x:v>
      </x:c>
      <x:c r="N672" s="24" t="n">
        <x:f>F672+G672+K672-L672+M672-H672-J672</x:f>
        <x:v>35.54508498256307</x:v>
      </x:c>
      <x:c r="O672" s="24" t="n">
        <x:f>H672*'封面与口径'!$O$24</x:f>
        <x:v>20.639999999999997</x:v>
      </x:c>
      <x:c r="P672" s="19" t="str">
        <x:f>IF(N672&lt;0,"缺货",IF(N672&lt;O672,"预警","正常"))</x:f>
        <x:v>正常</x:v>
      </x:c>
      <x:c r="Q672" s="19" t="str">
        <x:v>豆腐0709-08</x:v>
      </x:c>
    </x:row>
    <x:row r="673">
      <x:c r="A673" s="19" t="str">
        <x:v>2026-07-10|S08|豆腐</x:v>
      </x:c>
      <x:c r="B673" s="34" t="n">
        <x:v>46213.5</x:v>
      </x:c>
      <x:c r="C673" s="19" t="str">
        <x:v>S08</x:v>
      </x:c>
      <x:c r="D673" s="19" t="str">
        <x:v>四季青店</x:v>
      </x:c>
      <x:c r="E673" s="19" t="str">
        <x:v>豆腐</x:v>
      </x:c>
      <x:c r="F673" s="32" t="n">
        <x:v>35.54508498256307</x:v>
      </x:c>
      <x:c r="G673" s="32" t="n">
        <x:v>21.250239301495775</x:v>
      </x:c>
      <x:c r="H673" s="24" t="n">
        <x:f>'菜品日销量'!G1049*400/1000</x:f>
        <x:v>18.4</x:v>
      </x:c>
      <x:c r="I673" s="36" t="n">
        <x:v>0.02545395801436481</x:v>
      </x:c>
      <x:c r="J673" s="24" t="n">
        <x:f>H673*I673</x:f>
        <x:v>0.46835282746431245</x:v>
      </x:c>
      <x:c r="K673" s="32" t="n">
        <x:v>0</x:v>
      </x:c>
      <x:c r="L673" s="32" t="n">
        <x:v>0</x:v>
      </x:c>
      <x:c r="M673" s="32" t="n">
        <x:v>0</x:v>
      </x:c>
      <x:c r="N673" s="24" t="n">
        <x:f>F673+G673+K673-L673+M673-H673-J673</x:f>
        <x:v>37.92697145659453</x:v>
      </x:c>
      <x:c r="O673" s="24" t="n">
        <x:f>H673*'封面与口径'!$O$24</x:f>
        <x:v>22.08</x:v>
      </x:c>
      <x:c r="P673" s="19" t="str">
        <x:f>IF(N673&lt;0,"缺货",IF(N673&lt;O673,"预警","正常"))</x:f>
        <x:v>正常</x:v>
      </x:c>
      <x:c r="Q673" s="19" t="str">
        <x:v>豆腐0710-08</x:v>
      </x:c>
    </x:row>
    <x:row r="674">
      <x:c r="A674" s="19" t="str">
        <x:v>2026-07-11|S08|豆腐</x:v>
      </x:c>
      <x:c r="B674" s="34" t="n">
        <x:v>46214.5</x:v>
      </x:c>
      <x:c r="C674" s="19" t="str">
        <x:v>S08</x:v>
      </x:c>
      <x:c r="D674" s="19" t="str">
        <x:v>四季青店</x:v>
      </x:c>
      <x:c r="E674" s="19" t="str">
        <x:v>豆腐</x:v>
      </x:c>
      <x:c r="F674" s="32" t="n">
        <x:v>37.92697145659453</x:v>
      </x:c>
      <x:c r="G674" s="32" t="n">
        <x:v>15.792292653244058</x:v>
      </x:c>
      <x:c r="H674" s="24" t="n">
        <x:f>'菜品日销量'!G1069*400/1000</x:f>
        <x:v>14.4</x:v>
      </x:c>
      <x:c r="I674" s="36" t="n">
        <x:v>0.02333931837890747</x:v>
      </x:c>
      <x:c r="J674" s="24" t="n">
        <x:f>H674*I674</x:f>
        <x:v>0.33608618465626755</x:v>
      </x:c>
      <x:c r="K674" s="32" t="n">
        <x:v>0</x:v>
      </x:c>
      <x:c r="L674" s="32" t="n">
        <x:v>0</x:v>
      </x:c>
      <x:c r="M674" s="32" t="n">
        <x:v>0</x:v>
      </x:c>
      <x:c r="N674" s="24" t="n">
        <x:f>F674+G674+K674-L674+M674-H674-J674</x:f>
        <x:v>38.983177925182325</x:v>
      </x:c>
      <x:c r="O674" s="24" t="n">
        <x:f>H674*'封面与口径'!$O$24</x:f>
        <x:v>17.28</x:v>
      </x:c>
      <x:c r="P674" s="19" t="str">
        <x:f>IF(N674&lt;0,"缺货",IF(N674&lt;O674,"预警","正常"))</x:f>
        <x:v>正常</x:v>
      </x:c>
      <x:c r="Q674" s="19" t="str">
        <x:v>豆腐0711-08</x:v>
      </x:c>
    </x:row>
    <x:row r="675">
      <x:c r="A675" s="19" t="str">
        <x:v>2026-07-12|S08|豆腐</x:v>
      </x:c>
      <x:c r="B675" s="34" t="n">
        <x:v>46215.5</x:v>
      </x:c>
      <x:c r="C675" s="19" t="str">
        <x:v>S08</x:v>
      </x:c>
      <x:c r="D675" s="19" t="str">
        <x:v>四季青店</x:v>
      </x:c>
      <x:c r="E675" s="19" t="str">
        <x:v>豆腐</x:v>
      </x:c>
      <x:c r="F675" s="32" t="n">
        <x:v>38.983177925182325</x:v>
      </x:c>
      <x:c r="G675" s="32" t="n">
        <x:v>15.218654262263946</x:v>
      </x:c>
      <x:c r="H675" s="24" t="n">
        <x:f>'菜品日销量'!G1089*400/1000</x:f>
        <x:v>13.6</x:v>
      </x:c>
      <x:c r="I675" s="36" t="n">
        <x:v>0.01788746455402287</x:v>
      </x:c>
      <x:c r="J675" s="24" t="n">
        <x:f>H675*I675</x:f>
        <x:v>0.24326951793471105</x:v>
      </x:c>
      <x:c r="K675" s="32" t="n">
        <x:v>0</x:v>
      </x:c>
      <x:c r="L675" s="32" t="n">
        <x:v>0</x:v>
      </x:c>
      <x:c r="M675" s="32" t="n">
        <x:v>0</x:v>
      </x:c>
      <x:c r="N675" s="24" t="n">
        <x:f>F675+G675+K675-L675+M675-H675-J675</x:f>
        <x:v>40.35856266951156</x:v>
      </x:c>
      <x:c r="O675" s="24" t="n">
        <x:f>H675*'封面与口径'!$O$24</x:f>
        <x:v>16.32</x:v>
      </x:c>
      <x:c r="P675" s="19" t="str">
        <x:f>IF(N675&lt;0,"缺货",IF(N675&lt;O675,"预警","正常"))</x:f>
        <x:v>正常</x:v>
      </x:c>
      <x:c r="Q675" s="19" t="str">
        <x:v>豆腐0712-08</x:v>
      </x:c>
    </x:row>
    <x:row r="676">
      <x:c r="A676" s="19" t="str">
        <x:v>2026-07-13|S08|豆腐</x:v>
      </x:c>
      <x:c r="B676" s="34" t="n">
        <x:v>46216.5</x:v>
      </x:c>
      <x:c r="C676" s="19" t="str">
        <x:v>S08</x:v>
      </x:c>
      <x:c r="D676" s="19" t="str">
        <x:v>四季青店</x:v>
      </x:c>
      <x:c r="E676" s="19" t="str">
        <x:v>豆腐</x:v>
      </x:c>
      <x:c r="F676" s="32" t="n">
        <x:v>40.358562669511564</x:v>
      </x:c>
      <x:c r="G676" s="32" t="n">
        <x:v>22.30036162694459</x:v>
      </x:c>
      <x:c r="H676" s="24" t="n">
        <x:f>'菜品日销量'!G1109*400/1000</x:f>
        <x:v>20</x:v>
      </x:c>
      <x:c r="I676" s="36" t="n">
        <x:v>0.024185093678344295</x:v>
      </x:c>
      <x:c r="J676" s="24" t="n">
        <x:f>H676*I676</x:f>
        <x:v>0.4837018735668859</x:v>
      </x:c>
      <x:c r="K676" s="32" t="n">
        <x:v>0</x:v>
      </x:c>
      <x:c r="L676" s="32" t="n">
        <x:v>0</x:v>
      </x:c>
      <x:c r="M676" s="32" t="n">
        <x:v>0</x:v>
      </x:c>
      <x:c r="N676" s="24" t="n">
        <x:f>F676+G676+K676-L676+M676-H676-J676</x:f>
        <x:v>42.17522242288926</x:v>
      </x:c>
      <x:c r="O676" s="24" t="n">
        <x:f>H676*'封面与口径'!$O$24</x:f>
        <x:v>24</x:v>
      </x:c>
      <x:c r="P676" s="19" t="str">
        <x:f>IF(N676&lt;0,"缺货",IF(N676&lt;O676,"预警","正常"))</x:f>
        <x:v>正常</x:v>
      </x:c>
      <x:c r="Q676" s="19" t="str">
        <x:v>豆腐0713-08</x:v>
      </x:c>
    </x:row>
  </x:sheetData>
  <x:mergeCells>
    <x:mergeCell ref="A1:Q1"/>
    <x:mergeCell ref="A2:Q2"/>
  </x:mergeCells>
  <x:conditionalFormatting sqref="P5:P676">
    <x:cfRule type="containsText" dxfId="2" priority="1" operator="containsText" text="预警"/>
    <x:cfRule type="containsText" dxfId="3" priority="2" operator="containsText" text="缺货"/>
  </x:conditionalFormatting>
  <x:pageMargins left="0.7" right="0.7" top="0.75" bottom="0.75" header="0.3" footer="0.3"/>
  <x:tableParts count="1">
    <x:tablePart xmlns:r="http://schemas.openxmlformats.org/officeDocument/2006/relationships" r:id="R08193af5c10041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</x:cols>
  <x:sheetData>
    <x:row r="1" ht="34" customHeight="1">
      <x:c r="A1" s="3" t="str">
        <x:v>精准备货预测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8" customHeight="1">
      <x:c r="A2" s="7" t="str">
        <x:v>预测 → 店长修正 → 总部批准 → 实际耗用 → 准确率/缺货/余量复盘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28" customHeight="1">
      <x:c r="A4" s="12" t="str">
        <x:v>预测键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食材</x:v>
      </x:c>
      <x:c r="F4" s="12" t="str">
        <x:v>AI预测(kg)</x:v>
      </x:c>
      <x:c r="G4" s="12" t="str">
        <x:v>店长修正(kg)</x:v>
      </x:c>
      <x:c r="H4" s="12" t="str">
        <x:v>总部批准(kg)</x:v>
      </x:c>
      <x:c r="I4" s="12" t="str">
        <x:v>实际耗用(kg)</x:v>
      </x:c>
      <x:c r="J4" s="12" t="str">
        <x:v>AI准确率</x:v>
      </x:c>
      <x:c r="K4" s="12" t="str">
        <x:v>最终准确率</x:v>
      </x:c>
      <x:c r="L4" s="12" t="str">
        <x:v>缺货量(kg)</x:v>
      </x:c>
      <x:c r="M4" s="12" t="str">
        <x:v>余量(kg)</x:v>
      </x:c>
      <x:c r="N4" s="12" t="str">
        <x:v>负责人</x:v>
      </x:c>
      <x:c r="O4" s="12" t="str">
        <x:v>来源</x:v>
      </x:c>
    </x:row>
    <x:row r="5">
      <x:c r="A5" s="19" t="str">
        <x:v>2026-07-07|S01|瘦肉片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瘦肉片</x:v>
      </x:c>
      <x:c r="F5" s="32" t="n">
        <x:v>14.534985732622516</x:v>
      </x:c>
      <x:c r="G5" s="32" t="n">
        <x:v>14.49738589615869</x:v>
      </x:c>
      <x:c r="H5" s="24" t="n">
        <x:f>G5</x:f>
        <x:v>14.49738589615869</x:v>
      </x:c>
      <x:c r="I5" s="24" t="n">
        <x:f>XLOOKUP(A5,'库存与收货'!$A$5:$A$676,'库存与收货'!$H$5:$H$676,0)+XLOOKUP(A5,'库存与收货'!$A$5:$A$676,'库存与收货'!$J$5:$J$676,0)</x:f>
        <x:v>14.389457985861101</x:v>
      </x:c>
      <x:c r="J5" s="21" t="n">
        <x:f>MAX(0,1-ABS(F5-I5)/MAX(I5,0.01))</x:f>
        <x:v>0.9898865025420409</x:v>
      </x:c>
      <x:c r="K5" s="21" t="n">
        <x:f>MAX(0,1-ABS(H5-I5)/MAX(I5,0.01))</x:f>
        <x:v>0.9924995152420865</x:v>
      </x:c>
      <x:c r="L5" s="24" t="n">
        <x:f>MAX(I5-H5,0)</x:f>
        <x:v>0</x:v>
      </x:c>
      <x:c r="M5" s="24" t="n">
        <x:f>MAX(H5-I5,0)</x:f>
        <x:v>0.10792791029758853</x:v>
      </x:c>
      <x:c r="N5" s="19" t="str">
        <x:v>周敏</x:v>
      </x:c>
      <x:c r="O5" s="19" t="str">
        <x:v>S-按销量/BOM/日型生成</x:v>
      </x:c>
    </x:row>
    <x:row r="6">
      <x:c r="A6" s="19" t="str">
        <x:v>2026-07-07|S01|肥肉片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肥肉片</x:v>
      </x:c>
      <x:c r="F6" s="32" t="n">
        <x:v>4.5057743034542</x:v>
      </x:c>
      <x:c r="G6" s="32" t="n">
        <x:v>4.344605944731091</x:v>
      </x:c>
      <x:c r="H6" s="24" t="n">
        <x:f>G6</x:f>
        <x:v>4.344605944731091</x:v>
      </x:c>
      <x:c r="I6" s="24" t="n">
        <x:f>XLOOKUP(A6,'库存与收货'!$A$5:$A$676,'库存与收货'!$H$5:$H$676,0)+XLOOKUP(A6,'库存与收货'!$A$5:$A$676,'库存与收货'!$J$5:$J$676,0)</x:f>
        <x:v>4.142165006124919</x:v>
      </x:c>
      <x:c r="J6" s="21" t="n">
        <x:f>MAX(0,1-ABS(F6-I6)/MAX(I6,0.01))</x:f>
        <x:v>0.912217572986199</x:v>
      </x:c>
      <x:c r="K6" s="21" t="n">
        <x:f>MAX(0,1-ABS(H6-I6)/MAX(I6,0.01))</x:f>
        <x:v>0.9511267807277528</x:v>
      </x:c>
      <x:c r="L6" s="24" t="n">
        <x:f>MAX(I6-H6,0)</x:f>
        <x:v>0</x:v>
      </x:c>
      <x:c r="M6" s="24" t="n">
        <x:f>MAX(H6-I6,0)</x:f>
        <x:v>0.20244093860617252</x:v>
      </x:c>
      <x:c r="N6" s="19" t="str">
        <x:v>周敏</x:v>
      </x:c>
      <x:c r="O6" s="19" t="str">
        <x:v>S-按销量/BOM/日型生成</x:v>
      </x:c>
    </x:row>
    <x:row r="7">
      <x:c r="A7" s="19" t="str">
        <x:v>2026-07-07|S01|牛肉片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牛肉片</x:v>
      </x:c>
      <x:c r="F7" s="32" t="n">
        <x:v>10.186983833818594</x:v>
      </x:c>
      <x:c r="G7" s="32" t="n">
        <x:v>9.888807886302617</x:v>
      </x:c>
      <x:c r="H7" s="24" t="n">
        <x:f>G7</x:f>
        <x:v>9.888807886302617</x:v>
      </x:c>
      <x:c r="I7" s="24" t="n">
        <x:f>XLOOKUP(A7,'库存与收货'!$A$5:$A$676,'库存与收货'!$H$5:$H$676,0)+XLOOKUP(A7,'库存与收货'!$A$5:$A$676,'库存与收货'!$J$5:$J$676,0)</x:f>
        <x:v>9.051872317574889</x:v>
      </x:c>
      <x:c r="J7" s="21" t="n">
        <x:f>MAX(0,1-ABS(F7-I7)/MAX(I7,0.01))</x:f>
        <x:v>0.8745992567703588</x:v>
      </x:c>
      <x:c r="K7" s="21" t="n">
        <x:f>MAX(0,1-ABS(H7-I7)/MAX(I7,0.01))</x:f>
        <x:v>0.9075400602919734</x:v>
      </x:c>
      <x:c r="L7" s="24" t="n">
        <x:f>MAX(I7-H7,0)</x:f>
        <x:v>0</x:v>
      </x:c>
      <x:c r="M7" s="24" t="n">
        <x:f>MAX(H7-I7,0)</x:f>
        <x:v>0.8369355687277285</x:v>
      </x:c>
      <x:c r="N7" s="19" t="str">
        <x:v>周敏</x:v>
      </x:c>
      <x:c r="O7" s="19" t="str">
        <x:v>S-按销量/BOM/日型生成</x:v>
      </x:c>
    </x:row>
    <x:row r="8">
      <x:c r="A8" s="19" t="str">
        <x:v>2026-07-07|S01|螺丝椒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螺丝椒</x:v>
      </x:c>
      <x:c r="F8" s="32" t="n">
        <x:v>16.37871481344629</x:v>
      </x:c>
      <x:c r="G8" s="32" t="n">
        <x:v>15.872458250273286</x:v>
      </x:c>
      <x:c r="H8" s="24" t="n">
        <x:f>G8</x:f>
        <x:v>15.872458250273286</x:v>
      </x:c>
      <x:c r="I8" s="24" t="n">
        <x:f>XLOOKUP(A8,'库存与收货'!$A$5:$A$676,'库存与收货'!$H$5:$H$676,0)+XLOOKUP(A8,'库存与收货'!$A$5:$A$676,'库存与收货'!$J$5:$J$676,0)</x:f>
        <x:v>14.891275906735396</x:v>
      </x:c>
      <x:c r="J8" s="21" t="n">
        <x:f>MAX(0,1-ABS(F8-I8)/MAX(I8,0.01))</x:f>
        <x:v>0.9001134008914495</x:v>
      </x:c>
      <x:c r="K8" s="21" t="n">
        <x:f>MAX(0,1-ABS(H8-I8)/MAX(I8,0.01))</x:f>
        <x:v>0.9341102569260639</x:v>
      </x:c>
      <x:c r="L8" s="24" t="n">
        <x:f>MAX(I8-H8,0)</x:f>
        <x:v>0</x:v>
      </x:c>
      <x:c r="M8" s="24" t="n">
        <x:f>MAX(H8-I8,0)</x:f>
        <x:v>0.9811823435378901</x:v>
      </x:c>
      <x:c r="N8" s="19" t="str">
        <x:v>周敏</x:v>
      </x:c>
      <x:c r="O8" s="19" t="str">
        <x:v>S-按销量/BOM/日型生成</x:v>
      </x:c>
    </x:row>
    <x:row r="9">
      <x:c r="A9" s="19" t="str">
        <x:v>2026-07-07|S01|青湖南椒圈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青湖南椒圈</x:v>
      </x:c>
      <x:c r="F9" s="32" t="n">
        <x:v>2.0634854560423874</x:v>
      </x:c>
      <x:c r="G9" s="32" t="n">
        <x:v>2.1461966436932394</x:v>
      </x:c>
      <x:c r="H9" s="24" t="n">
        <x:f>G9</x:f>
        <x:v>2.1461966436932394</x:v>
      </x:c>
      <x:c r="I9" s="24" t="n">
        <x:f>XLOOKUP(A9,'库存与收货'!$A$5:$A$676,'库存与收货'!$H$5:$H$676,0)+XLOOKUP(A9,'库存与收货'!$A$5:$A$676,'库存与收货'!$J$5:$J$676,0)</x:f>
        <x:v>2.2801815432520076</x:v>
      </x:c>
      <x:c r="J9" s="21" t="n">
        <x:f>MAX(0,1-ABS(F9-I9)/MAX(I9,0.01))</x:f>
        <x:v>0.9049654235422996</x:v>
      </x:c>
      <x:c r="K9" s="21" t="n">
        <x:f>MAX(0,1-ABS(H9-I9)/MAX(I9,0.01))</x:f>
        <x:v>0.941239371945938</x:v>
      </x:c>
      <x:c r="L9" s="24" t="n">
        <x:f>MAX(I9-H9,0)</x:f>
        <x:v>0.13398489955876824</x:v>
      </x:c>
      <x:c r="M9" s="24" t="n">
        <x:f>MAX(H9-I9,0)</x:f>
        <x:v>0</x:v>
      </x:c>
      <x:c r="N9" s="19" t="str">
        <x:v>周敏</x:v>
      </x:c>
      <x:c r="O9" s="19" t="str">
        <x:v>S-按销量/BOM/日型生成</x:v>
      </x:c>
    </x:row>
    <x:row r="10">
      <x:c r="A10" s="19" t="str">
        <x:v>2026-07-07|S01|鸡蛋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鸡蛋</x:v>
      </x:c>
      <x:c r="F10" s="32" t="n">
        <x:v>18.98540472888809</x:v>
      </x:c>
      <x:c r="G10" s="32" t="n">
        <x:v>18.80393108467321</x:v>
      </x:c>
      <x:c r="H10" s="24" t="n">
        <x:f>G10</x:f>
        <x:v>18.80393108467321</x:v>
      </x:c>
      <x:c r="I10" s="24" t="n">
        <x:f>XLOOKUP(A10,'库存与收货'!$A$5:$A$676,'库存与收货'!$H$5:$H$676,0)+XLOOKUP(A10,'库存与收货'!$A$5:$A$676,'库存与收货'!$J$5:$J$676,0)</x:f>
        <x:v>18.40155368719257</x:v>
      </x:c>
      <x:c r="J10" s="21" t="n">
        <x:f>MAX(0,1-ABS(F10-I10)/MAX(I10,0.01))</x:f>
        <x:v>0.9682716442524157</x:v>
      </x:c>
      <x:c r="K10" s="21" t="n">
        <x:f>MAX(0,1-ABS(H10-I10)/MAX(I10,0.01))</x:f>
        <x:v>0.9781335095763848</x:v>
      </x:c>
      <x:c r="L10" s="24" t="n">
        <x:f>MAX(I10-H10,0)</x:f>
        <x:v>0</x:v>
      </x:c>
      <x:c r="M10" s="24" t="n">
        <x:f>MAX(H10-I10,0)</x:f>
        <x:v>0.40237739748063817</x:v>
      </x:c>
      <x:c r="N10" s="19" t="str">
        <x:v>周敏</x:v>
      </x:c>
      <x:c r="O10" s="19" t="str">
        <x:v>S-按销量/BOM/日型生成</x:v>
      </x:c>
    </x:row>
    <x:row r="11">
      <x:c r="A11" s="19" t="str">
        <x:v>2026-07-07|S01|鸡肉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鸡肉</x:v>
      </x:c>
      <x:c r="F11" s="32" t="n">
        <x:v>5.444551415249051</x:v>
      </x:c>
      <x:c r="G11" s="32" t="n">
        <x:v>5.487618319494415</x:v>
      </x:c>
      <x:c r="H11" s="24" t="n">
        <x:f>G11</x:f>
        <x:v>5.487618319494415</x:v>
      </x:c>
      <x:c r="I11" s="24" t="n">
        <x:f>XLOOKUP(A11,'库存与收货'!$A$5:$A$676,'库存与收货'!$H$5:$H$676,0)+XLOOKUP(A11,'库存与收货'!$A$5:$A$676,'库存与收货'!$J$5:$J$676,0)</x:f>
        <x:v>5.54378964347271</x:v>
      </x:c>
      <x:c r="J11" s="21" t="n">
        <x:f>MAX(0,1-ABS(F11-I11)/MAX(I11,0.01))</x:f>
        <x:v>0.9820992074725449</x:v>
      </x:c>
      <x:c r="K11" s="21" t="n">
        <x:f>MAX(0,1-ABS(H11-I11)/MAX(I11,0.01))</x:f>
        <x:v>0.9898677028547735</x:v>
      </x:c>
      <x:c r="L11" s="24" t="n">
        <x:f>MAX(I11-H11,0)</x:f>
        <x:v>0.05617132397829483</x:v>
      </x:c>
      <x:c r="M11" s="24" t="n">
        <x:f>MAX(H11-I11,0)</x:f>
        <x:v>0</x:v>
      </x:c>
      <x:c r="N11" s="19" t="str">
        <x:v>周敏</x:v>
      </x:c>
      <x:c r="O11" s="19" t="str">
        <x:v>S-按销量/BOM/日型生成</x:v>
      </x:c>
    </x:row>
    <x:row r="12">
      <x:c r="A12" s="19" t="str">
        <x:v>2026-07-07|S01|鲈鱼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鲈鱼</x:v>
      </x:c>
      <x:c r="F12" s="32" t="n">
        <x:v>4.586034856122334</x:v>
      </x:c>
      <x:c r="G12" s="32" t="n">
        <x:v>4.421501238387168</x:v>
      </x:c>
      <x:c r="H12" s="24" t="n">
        <x:f>G12</x:f>
        <x:v>4.421501238387168</x:v>
      </x:c>
      <x:c r="I12" s="24" t="n">
        <x:f>XLOOKUP(A12,'库存与收货'!$A$5:$A$676,'库存与收货'!$H$5:$H$676,0)+XLOOKUP(A12,'库存与收货'!$A$5:$A$676,'库存与收货'!$J$5:$J$676,0)</x:f>
        <x:v>4.104183029011866</x:v>
      </x:c>
      <x:c r="J12" s="21" t="n">
        <x:f>MAX(0,1-ABS(F12-I12)/MAX(I12,0.01))</x:f>
        <x:v>0.882594946739868</x:v>
      </x:c>
      <x:c r="K12" s="21" t="n">
        <x:f>MAX(0,1-ABS(H12-I12)/MAX(I12,0.01))</x:f>
        <x:v>0.9226841963108793</x:v>
      </x:c>
      <x:c r="L12" s="24" t="n">
        <x:f>MAX(I12-H12,0)</x:f>
        <x:v>0</x:v>
      </x:c>
      <x:c r="M12" s="24" t="n">
        <x:f>MAX(H12-I12,0)</x:f>
        <x:v>0.3173182093753022</x:v>
      </x:c>
      <x:c r="N12" s="19" t="str">
        <x:v>周敏</x:v>
      </x:c>
      <x:c r="O12" s="19" t="str">
        <x:v>S-按销量/BOM/日型生成</x:v>
      </x:c>
    </x:row>
    <x:row r="13">
      <x:c r="A13" s="19" t="str">
        <x:v>2026-07-07|S01|酸包菜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酸包菜</x:v>
      </x:c>
      <x:c r="F13" s="32" t="n">
        <x:v>9.337724522874536</x:v>
      </x:c>
      <x:c r="G13" s="32" t="n">
        <x:v>9.261680181009522</x:v>
      </x:c>
      <x:c r="H13" s="24" t="n">
        <x:f>G13</x:f>
        <x:v>9.261680181009522</x:v>
      </x:c>
      <x:c r="I13" s="24" t="n">
        <x:f>XLOOKUP(A13,'库存与收货'!$A$5:$A$676,'库存与收货'!$H$5:$H$676,0)+XLOOKUP(A13,'库存与收货'!$A$5:$A$676,'库存与收货'!$J$5:$J$676,0)</x:f>
        <x:v>9.158304146877095</x:v>
      </x:c>
      <x:c r="J13" s="21" t="n">
        <x:f>MAX(0,1-ABS(F13-I13)/MAX(I13,0.01))</x:f>
        <x:v>0.9804089956917819</x:v>
      </x:c>
      <x:c r="K13" s="21" t="n">
        <x:f>MAX(0,1-ABS(H13-I13)/MAX(I13,0.01))</x:f>
        <x:v>0.9887123169885467</x:v>
      </x:c>
      <x:c r="L13" s="24" t="n">
        <x:f>MAX(I13-H13,0)</x:f>
        <x:v>0</x:v>
      </x:c>
      <x:c r="M13" s="24" t="n">
        <x:f>MAX(H13-I13,0)</x:f>
        <x:v>0.10337603413242746</x:v>
      </x:c>
      <x:c r="N13" s="19" t="str">
        <x:v>周敏</x:v>
      </x:c>
      <x:c r="O13" s="19" t="str">
        <x:v>S-按销量/BOM/日型生成</x:v>
      </x:c>
    </x:row>
    <x:row r="14">
      <x:c r="A14" s="19" t="str">
        <x:v>2026-07-07|S01|粉皮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粉皮</x:v>
      </x:c>
      <x:c r="F14" s="32" t="n">
        <x:v>7.229090480787336</x:v>
      </x:c>
      <x:c r="G14" s="32" t="n">
        <x:v>7.133678536034463</x:v>
      </x:c>
      <x:c r="H14" s="24" t="n">
        <x:f>G14</x:f>
        <x:v>7.133678536034463</x:v>
      </x:c>
      <x:c r="I14" s="24" t="n">
        <x:f>XLOOKUP(A14,'库存与收货'!$A$5:$A$676,'库存与收货'!$H$5:$H$676,0)+XLOOKUP(A14,'库存与收货'!$A$5:$A$676,'库存与收货'!$J$5:$J$676,0)</x:f>
        <x:v>6.99836027016243</x:v>
      </x:c>
      <x:c r="J14" s="21" t="n">
        <x:f>MAX(0,1-ABS(F14-I14)/MAX(I14,0.01))</x:f>
        <x:v>0.9670308184034728</x:v>
      </x:c>
      <x:c r="K14" s="21" t="n">
        <x:f>MAX(0,1-ABS(H14-I14)/MAX(I14,0.01))</x:f>
        <x:v>0.9806642898267237</x:v>
      </x:c>
      <x:c r="L14" s="24" t="n">
        <x:f>MAX(I14-H14,0)</x:f>
        <x:v>0</x:v>
      </x:c>
      <x:c r="M14" s="24" t="n">
        <x:f>MAX(H14-I14,0)</x:f>
        <x:v>0.13531826587203266</x:v>
      </x:c>
      <x:c r="N14" s="19" t="str">
        <x:v>周敏</x:v>
      </x:c>
      <x:c r="O14" s="19" t="str">
        <x:v>S-按销量/BOM/日型生成</x:v>
      </x:c>
    </x:row>
    <x:row r="15">
      <x:c r="A15" s="19" t="str">
        <x:v>2026-07-07|S01|鸡杂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鸡杂</x:v>
      </x:c>
      <x:c r="F15" s="32" t="n">
        <x:v>3.598823787626295</x:v>
      </x:c>
      <x:c r="G15" s="32" t="n">
        <x:v>3.866903805944691</x:v>
      </x:c>
      <x:c r="H15" s="24" t="n">
        <x:f>G15</x:f>
        <x:v>3.866903805944691</x:v>
      </x:c>
      <x:c r="I15" s="24" t="n">
        <x:f>XLOOKUP(A15,'库存与收货'!$A$5:$A$676,'库存与收货'!$H$5:$H$676,0)+XLOOKUP(A15,'库存与收货'!$A$5:$A$676,'库存与收货'!$J$5:$J$676,0)</x:f>
        <x:v>4.334954479135329</x:v>
      </x:c>
      <x:c r="J15" s="21" t="n">
        <x:f>MAX(0,1-ABS(F15-I15)/MAX(I15,0.01))</x:f>
        <x:v>0.8301872153324511</x:v>
      </x:c>
      <x:c r="K15" s="21" t="n">
        <x:f>MAX(0,1-ABS(H15-I15)/MAX(I15,0.01))</x:f>
        <x:v>0.8920286993915567</x:v>
      </x:c>
      <x:c r="L15" s="24" t="n">
        <x:f>MAX(I15-H15,0)</x:f>
        <x:v>0.4680506731906382</x:v>
      </x:c>
      <x:c r="M15" s="24" t="n">
        <x:f>MAX(H15-I15,0)</x:f>
        <x:v>0</x:v>
      </x:c>
      <x:c r="N15" s="19" t="str">
        <x:v>周敏</x:v>
      </x:c>
      <x:c r="O15" s="19" t="str">
        <x:v>S-按销量/BOM/日型生成</x:v>
      </x:c>
    </x:row>
    <x:row r="16">
      <x:c r="A16" s="19" t="str">
        <x:v>2026-07-07|S01|豆腐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豆腐</x:v>
      </x:c>
      <x:c r="F16" s="32" t="n">
        <x:v>22.98516377518427</x:v>
      </x:c>
      <x:c r="G16" s="32" t="n">
        <x:v>23.914227965032453</x:v>
      </x:c>
      <x:c r="H16" s="24" t="n">
        <x:f>G16</x:f>
        <x:v>23.914227965032453</x:v>
      </x:c>
      <x:c r="I16" s="24" t="n">
        <x:f>XLOOKUP(A16,'库存与收货'!$A$5:$A$676,'库存与收货'!$H$5:$H$676,0)+XLOOKUP(A16,'库存与收货'!$A$5:$A$676,'库存与收货'!$J$5:$J$676,0)</x:f>
        <x:v>25.083353736878685</x:v>
      </x:c>
      <x:c r="J16" s="21" t="n">
        <x:f>MAX(0,1-ABS(F16-I16)/MAX(I16,0.01))</x:f>
        <x:v>0.9163512988054081</x:v>
      </x:c>
      <x:c r="K16" s="21" t="n">
        <x:f>MAX(0,1-ABS(H16-I16)/MAX(I16,0.01))</x:f>
        <x:v>0.9533903725909135</x:v>
      </x:c>
      <x:c r="L16" s="24" t="n">
        <x:f>MAX(I16-H16,0)</x:f>
        <x:v>1.1691257718462325</x:v>
      </x:c>
      <x:c r="M16" s="24" t="n">
        <x:f>MAX(H16-I16,0)</x:f>
        <x:v>0</x:v>
      </x:c>
      <x:c r="N16" s="19" t="str">
        <x:v>周敏</x:v>
      </x:c>
      <x:c r="O16" s="19" t="str">
        <x:v>S-按销量/BOM/日型生成</x:v>
      </x:c>
    </x:row>
    <x:row r="17">
      <x:c r="A17" s="19" t="str">
        <x:v>2026-07-08|S01|瘦肉片</x:v>
      </x:c>
      <x:c r="B17" s="34" t="n">
        <x:v>46211.5</x:v>
      </x:c>
      <x:c r="C17" s="19" t="str">
        <x:v>S01</x:v>
      </x:c>
      <x:c r="D17" s="19" t="str">
        <x:v>近江天阳店</x:v>
      </x:c>
      <x:c r="E17" s="19" t="str">
        <x:v>瘦肉片</x:v>
      </x:c>
      <x:c r="F17" s="32" t="n">
        <x:v>12.879899024116726</x:v>
      </x:c>
      <x:c r="G17" s="32" t="n">
        <x:v>13.315673741681405</x:v>
      </x:c>
      <x:c r="H17" s="24" t="n">
        <x:f>G17</x:f>
        <x:v>13.315673741681405</x:v>
      </x:c>
      <x:c r="I17" s="24" t="n">
        <x:f>XLOOKUP(A17,'库存与收货'!$A$5:$A$676,'库存与收货'!$H$5:$H$676,0)+XLOOKUP(A17,'库存与收货'!$A$5:$A$676,'库存与收货'!$J$5:$J$676,0)</x:f>
        <x:v>14.06501970172511</x:v>
      </x:c>
      <x:c r="J17" s="21" t="n">
        <x:f>MAX(0,1-ABS(F17-I17)/MAX(I17,0.01))</x:f>
        <x:v>0.915739849446281</x:v>
      </x:c>
      <x:c r="K17" s="21" t="n">
        <x:f>MAX(0,1-ABS(H17-I17)/MAX(I17,0.01))</x:f>
        <x:v>0.9467227223327817</x:v>
      </x:c>
      <x:c r="L17" s="24" t="n">
        <x:f>MAX(I17-H17,0)</x:f>
        <x:v>0.7493459600437049</x:v>
      </x:c>
      <x:c r="M17" s="24" t="n">
        <x:f>MAX(H17-I17,0)</x:f>
        <x:v>0</x:v>
      </x:c>
      <x:c r="N17" s="19" t="str">
        <x:v>周敏</x:v>
      </x:c>
      <x:c r="O17" s="19" t="str">
        <x:v>S-按销量/BOM/日型生成</x:v>
      </x:c>
    </x:row>
    <x:row r="18">
      <x:c r="A18" s="19" t="str">
        <x:v>2026-07-08|S01|肥肉片</x:v>
      </x:c>
      <x:c r="B18" s="34" t="n">
        <x:v>46211.5</x:v>
      </x:c>
      <x:c r="C18" s="19" t="str">
        <x:v>S01</x:v>
      </x:c>
      <x:c r="D18" s="19" t="str">
        <x:v>近江天阳店</x:v>
      </x:c>
      <x:c r="E18" s="19" t="str">
        <x:v>肥肉片</x:v>
      </x:c>
      <x:c r="F18" s="32" t="n">
        <x:v>4.5160556270024195</x:v>
      </x:c>
      <x:c r="G18" s="32" t="n">
        <x:v>4.3609887033644075</x:v>
      </x:c>
      <x:c r="H18" s="24" t="n">
        <x:f>G18</x:f>
        <x:v>4.3609887033644075</x:v>
      </x:c>
      <x:c r="I18" s="24" t="n">
        <x:f>XLOOKUP(A18,'库存与收货'!$A$5:$A$676,'库存与收货'!$H$5:$H$676,0)+XLOOKUP(A18,'库存与收货'!$A$5:$A$676,'库存与收货'!$J$5:$J$676,0)</x:f>
        <x:v>3.9276008476541264</x:v>
      </x:c>
      <x:c r="J18" s="21" t="n">
        <x:f>MAX(0,1-ABS(F18-I18)/MAX(I18,0.01))</x:f>
        <x:v>0.8501744952775013</x:v>
      </x:c>
      <x:c r="K18" s="21" t="n">
        <x:f>MAX(0,1-ABS(H18-I18)/MAX(I18,0.01))</x:f>
        <x:v>0.8896558299784627</x:v>
      </x:c>
      <x:c r="L18" s="24" t="n">
        <x:f>MAX(I18-H18,0)</x:f>
        <x:v>0</x:v>
      </x:c>
      <x:c r="M18" s="24" t="n">
        <x:f>MAX(H18-I18,0)</x:f>
        <x:v>0.43338785571028104</x:v>
      </x:c>
      <x:c r="N18" s="19" t="str">
        <x:v>周敏</x:v>
      </x:c>
      <x:c r="O18" s="19" t="str">
        <x:v>S-按销量/BOM/日型生成</x:v>
      </x:c>
    </x:row>
    <x:row r="19">
      <x:c r="A19" s="19" t="str">
        <x:v>2026-07-08|S01|牛肉片</x:v>
      </x:c>
      <x:c r="B19" s="34" t="n">
        <x:v>46211.5</x:v>
      </x:c>
      <x:c r="C19" s="19" t="str">
        <x:v>S01</x:v>
      </x:c>
      <x:c r="D19" s="19" t="str">
        <x:v>近江天阳店</x:v>
      </x:c>
      <x:c r="E19" s="19" t="str">
        <x:v>牛肉片</x:v>
      </x:c>
      <x:c r="F19" s="32" t="n">
        <x:v>8.69923208129365</x:v>
      </x:c>
      <x:c r="G19" s="32" t="n">
        <x:v>8.742376634424886</x:v>
      </x:c>
      <x:c r="H19" s="24" t="n">
        <x:f>G19</x:f>
        <x:v>8.742376634424886</x:v>
      </x:c>
      <x:c r="I19" s="24" t="n">
        <x:f>XLOOKUP(A19,'库存与收货'!$A$5:$A$676,'库存与收货'!$H$5:$H$676,0)+XLOOKUP(A19,'库存与收货'!$A$5:$A$676,'库存与收货'!$J$5:$J$676,0)</x:f>
        <x:v>8.812314464762997</x:v>
      </x:c>
      <x:c r="J19" s="21" t="n">
        <x:f>MAX(0,1-ABS(F19-I19)/MAX(I19,0.01))</x:f>
        <x:v>0.9871676863187849</x:v>
      </x:c>
      <x:c r="K19" s="21" t="n">
        <x:f>MAX(0,1-ABS(H19-I19)/MAX(I19,0.01))</x:f>
        <x:v>0.9920636252124496</x:v>
      </x:c>
      <x:c r="L19" s="24" t="n">
        <x:f>MAX(I19-H19,0)</x:f>
        <x:v>0.06993783033811063</x:v>
      </x:c>
      <x:c r="M19" s="24" t="n">
        <x:f>MAX(H19-I19,0)</x:f>
        <x:v>0</x:v>
      </x:c>
      <x:c r="N19" s="19" t="str">
        <x:v>周敏</x:v>
      </x:c>
      <x:c r="O19" s="19" t="str">
        <x:v>S-按销量/BOM/日型生成</x:v>
      </x:c>
    </x:row>
    <x:row r="20">
      <x:c r="A20" s="19" t="str">
        <x:v>2026-07-08|S01|螺丝椒</x:v>
      </x:c>
      <x:c r="B20" s="34" t="n">
        <x:v>46211.5</x:v>
      </x:c>
      <x:c r="C20" s="19" t="str">
        <x:v>S01</x:v>
      </x:c>
      <x:c r="D20" s="19" t="str">
        <x:v>近江天阳店</x:v>
      </x:c>
      <x:c r="E20" s="19" t="str">
        <x:v>螺丝椒</x:v>
      </x:c>
      <x:c r="F20" s="32" t="n">
        <x:v>13.4167761077295</x:v>
      </x:c>
      <x:c r="G20" s="32" t="n">
        <x:v>13.666418821947474</x:v>
      </x:c>
      <x:c r="H20" s="24" t="n">
        <x:f>G20</x:f>
        <x:v>13.666418821947474</x:v>
      </x:c>
      <x:c r="I20" s="24" t="n">
        <x:f>XLOOKUP(A20,'库存与收货'!$A$5:$A$676,'库存与收货'!$H$5:$H$676,0)+XLOOKUP(A20,'库存与收货'!$A$5:$A$676,'库存与收货'!$J$5:$J$676,0)</x:f>
        <x:v>14.251906712183416</x:v>
      </x:c>
      <x:c r="J20" s="21" t="n">
        <x:f>MAX(0,1-ABS(F20-I20)/MAX(I20,0.01))</x:f>
        <x:v>0.9414021841905551</x:v>
      </x:c>
      <x:c r="K20" s="21" t="n">
        <x:f>MAX(0,1-ABS(H20-I20)/MAX(I20,0.01))</x:f>
        <x:v>0.9589186273766842</x:v>
      </x:c>
      <x:c r="L20" s="24" t="n">
        <x:f>MAX(I20-H20,0)</x:f>
        <x:v>0.5854878902359424</x:v>
      </x:c>
      <x:c r="M20" s="24" t="n">
        <x:f>MAX(H20-I20,0)</x:f>
        <x:v>0</x:v>
      </x:c>
      <x:c r="N20" s="19" t="str">
        <x:v>周敏</x:v>
      </x:c>
      <x:c r="O20" s="19" t="str">
        <x:v>S-按销量/BOM/日型生成</x:v>
      </x:c>
    </x:row>
    <x:row r="21">
      <x:c r="A21" s="19" t="str">
        <x:v>2026-07-08|S01|青湖南椒圈</x:v>
      </x:c>
      <x:c r="B21" s="34" t="n">
        <x:v>46211.5</x:v>
      </x:c>
      <x:c r="C21" s="19" t="str">
        <x:v>S01</x:v>
      </x:c>
      <x:c r="D21" s="19" t="str">
        <x:v>近江天阳店</x:v>
      </x:c>
      <x:c r="E21" s="19" t="str">
        <x:v>青湖南椒圈</x:v>
      </x:c>
      <x:c r="F21" s="32" t="n">
        <x:v>1.8675485209267249</x:v>
      </x:c>
      <x:c r="G21" s="32" t="n">
        <x:v>2.0322272785143345</x:v>
      </x:c>
      <x:c r="H21" s="24" t="n">
        <x:f>G21</x:f>
        <x:v>2.0322272785143345</x:v>
      </x:c>
      <x:c r="I21" s="24" t="n">
        <x:f>XLOOKUP(A21,'库存与收货'!$A$5:$A$676,'库存与收货'!$H$5:$H$676,0)+XLOOKUP(A21,'库存与收货'!$A$5:$A$676,'库存与收货'!$J$5:$J$676,0)</x:f>
        <x:v>2.274127985518223</x:v>
      </x:c>
      <x:c r="J21" s="21" t="n">
        <x:f>MAX(0,1-ABS(F21-I21)/MAX(I21,0.01))</x:f>
        <x:v>0.8212152230742423</x:v>
      </x:c>
      <x:c r="K21" s="21" t="n">
        <x:f>MAX(0,1-ABS(H21-I21)/MAX(I21,0.01))</x:f>
        <x:v>0.8936292466631931</x:v>
      </x:c>
      <x:c r="L21" s="24" t="n">
        <x:f>MAX(I21-H21,0)</x:f>
        <x:v>0.24190070700388855</x:v>
      </x:c>
      <x:c r="M21" s="24" t="n">
        <x:f>MAX(H21-I21,0)</x:f>
        <x:v>0</x:v>
      </x:c>
      <x:c r="N21" s="19" t="str">
        <x:v>周敏</x:v>
      </x:c>
      <x:c r="O21" s="19" t="str">
        <x:v>S-按销量/BOM/日型生成</x:v>
      </x:c>
    </x:row>
    <x:row r="22">
      <x:c r="A22" s="19" t="str">
        <x:v>2026-07-08|S01|鸡蛋</x:v>
      </x:c>
      <x:c r="B22" s="34" t="n">
        <x:v>46211.5</x:v>
      </x:c>
      <x:c r="C22" s="19" t="str">
        <x:v>S01</x:v>
      </x:c>
      <x:c r="D22" s="19" t="str">
        <x:v>近江天阳店</x:v>
      </x:c>
      <x:c r="E22" s="19" t="str">
        <x:v>鸡蛋</x:v>
      </x:c>
      <x:c r="F22" s="32" t="n">
        <x:v>16.540838050330045</x:v>
      </x:c>
      <x:c r="G22" s="32" t="n">
        <x:v>17.138803132072738</x:v>
      </x:c>
      <x:c r="H22" s="24" t="n">
        <x:f>G22</x:f>
        <x:v>17.138803132072738</x:v>
      </x:c>
      <x:c r="I22" s="24" t="n">
        <x:f>XLOOKUP(A22,'库存与收货'!$A$5:$A$676,'库存与收货'!$H$5:$H$676,0)+XLOOKUP(A22,'库存与收货'!$A$5:$A$676,'库存与收货'!$J$5:$J$676,0)</x:f>
        <x:v>18.860896927167406</x:v>
      </x:c>
      <x:c r="J22" s="21" t="n">
        <x:f>MAX(0,1-ABS(F22-I22)/MAX(I22,0.01))</x:f>
        <x:v>0.8769910632672231</x:v>
      </x:c>
      <x:c r="K22" s="21" t="n">
        <x:f>MAX(0,1-ABS(H22-I22)/MAX(I22,0.01))</x:f>
        <x:v>0.9086950211464149</x:v>
      </x:c>
      <x:c r="L22" s="24" t="n">
        <x:f>MAX(I22-H22,0)</x:f>
        <x:v>1.7220937950946684</x:v>
      </x:c>
      <x:c r="M22" s="24" t="n">
        <x:f>MAX(H22-I22,0)</x:f>
        <x:v>0</x:v>
      </x:c>
      <x:c r="N22" s="19" t="str">
        <x:v>周敏</x:v>
      </x:c>
      <x:c r="O22" s="19" t="str">
        <x:v>S-按销量/BOM/日型生成</x:v>
      </x:c>
    </x:row>
    <x:row r="23">
      <x:c r="A23" s="19" t="str">
        <x:v>2026-07-08|S01|鸡肉</x:v>
      </x:c>
      <x:c r="B23" s="34" t="n">
        <x:v>46211.5</x:v>
      </x:c>
      <x:c r="C23" s="19" t="str">
        <x:v>S01</x:v>
      </x:c>
      <x:c r="D23" s="19" t="str">
        <x:v>近江天阳店</x:v>
      </x:c>
      <x:c r="E23" s="19" t="str">
        <x:v>鸡肉</x:v>
      </x:c>
      <x:c r="F23" s="32" t="n">
        <x:v>6.049901290803157</x:v>
      </x:c>
      <x:c r="G23" s="32" t="n">
        <x:v>6.035713744635626</x:v>
      </x:c>
      <x:c r="H23" s="24" t="n">
        <x:f>G23</x:f>
        <x:v>6.035713744635626</x:v>
      </x:c>
      <x:c r="I23" s="24" t="n">
        <x:f>XLOOKUP(A23,'库存与收货'!$A$5:$A$676,'库存与收货'!$H$5:$H$676,0)+XLOOKUP(A23,'库存与收货'!$A$5:$A$676,'库存与收货'!$J$5:$J$676,0)</x:f>
        <x:v>6.003703897628282</x:v>
      </x:c>
      <x:c r="J23" s="21" t="n">
        <x:f>MAX(0,1-ABS(F23-I23)/MAX(I23,0.01))</x:f>
        <x:v>0.9923051846056024</x:v>
      </x:c>
      <x:c r="K23" s="21" t="n">
        <x:f>MAX(0,1-ABS(H23-I23)/MAX(I23,0.01))</x:f>
        <x:v>0.9946683168335484</x:v>
      </x:c>
      <x:c r="L23" s="24" t="n">
        <x:f>MAX(I23-H23,0)</x:f>
        <x:v>0</x:v>
      </x:c>
      <x:c r="M23" s="24" t="n">
        <x:f>MAX(H23-I23,0)</x:f>
        <x:v>0.03200984700734466</x:v>
      </x:c>
      <x:c r="N23" s="19" t="str">
        <x:v>周敏</x:v>
      </x:c>
      <x:c r="O23" s="19" t="str">
        <x:v>S-按销量/BOM/日型生成</x:v>
      </x:c>
    </x:row>
    <x:row r="24">
      <x:c r="A24" s="19" t="str">
        <x:v>2026-07-08|S01|鲈鱼</x:v>
      </x:c>
      <x:c r="B24" s="34" t="n">
        <x:v>46211.5</x:v>
      </x:c>
      <x:c r="C24" s="19" t="str">
        <x:v>S01</x:v>
      </x:c>
      <x:c r="D24" s="19" t="str">
        <x:v>近江天阳店</x:v>
      </x:c>
      <x:c r="E24" s="19" t="str">
        <x:v>鲈鱼</x:v>
      </x:c>
      <x:c r="F24" s="32" t="n">
        <x:v>3.0809318696491026</x:v>
      </x:c>
      <x:c r="G24" s="32" t="n">
        <x:v>3.251436698278501</x:v>
      </x:c>
      <x:c r="H24" s="24" t="n">
        <x:f>G24</x:f>
        <x:v>3.251436698278501</x:v>
      </x:c>
      <x:c r="I24" s="24" t="n">
        <x:f>XLOOKUP(A24,'库存与收货'!$A$5:$A$676,'库存与收货'!$H$5:$H$676,0)+XLOOKUP(A24,'库存与收货'!$A$5:$A$676,'库存与收货'!$J$5:$J$676,0)</x:f>
        <x:v>3.6334534175655464</x:v>
      </x:c>
      <x:c r="J24" s="21" t="n">
        <x:f>MAX(0,1-ABS(F24-I24)/MAX(I24,0.01))</x:f>
        <x:v>0.8479348750570637</x:v>
      </x:c>
      <x:c r="K24" s="21" t="n">
        <x:f>MAX(0,1-ABS(H24-I24)/MAX(I24,0.01))</x:f>
        <x:v>0.894861258592108</x:v>
      </x:c>
      <x:c r="L24" s="24" t="n">
        <x:f>MAX(I24-H24,0)</x:f>
        <x:v>0.3820167192870456</x:v>
      </x:c>
      <x:c r="M24" s="24" t="n">
        <x:f>MAX(H24-I24,0)</x:f>
        <x:v>0</x:v>
      </x:c>
      <x:c r="N24" s="19" t="str">
        <x:v>周敏</x:v>
      </x:c>
      <x:c r="O24" s="19" t="str">
        <x:v>S-按销量/BOM/日型生成</x:v>
      </x:c>
    </x:row>
    <x:row r="25">
      <x:c r="A25" s="19" t="str">
        <x:v>2026-07-08|S01|酸包菜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酸包菜</x:v>
      </x:c>
      <x:c r="F25" s="32" t="n">
        <x:v>9.09283601968908</x:v>
      </x:c>
      <x:c r="G25" s="32" t="n">
        <x:v>9.038040028231617</x:v>
      </x:c>
      <x:c r="H25" s="24" t="n">
        <x:f>G25</x:f>
        <x:v>9.038040028231617</x:v>
      </x:c>
      <x:c r="I25" s="24" t="n">
        <x:f>XLOOKUP(A25,'库存与收货'!$A$5:$A$676,'库存与收货'!$H$5:$H$676,0)+XLOOKUP(A25,'库存与收货'!$A$5:$A$676,'库存与收货'!$J$5:$J$676,0)</x:f>
        <x:v>8.917184567160946</x:v>
      </x:c>
      <x:c r="J25" s="21" t="n">
        <x:f>MAX(0,1-ABS(F25-I25)/MAX(I25,0.01))</x:f>
        <x:v>0.9803019157890933</x:v>
      </x:c>
      <x:c r="K25" s="21" t="n">
        <x:f>MAX(0,1-ABS(H25-I25)/MAX(I25,0.01))</x:f>
        <x:v>0.9864469037104221</x:v>
      </x:c>
      <x:c r="L25" s="24" t="n">
        <x:f>MAX(I25-H25,0)</x:f>
        <x:v>0</x:v>
      </x:c>
      <x:c r="M25" s="24" t="n">
        <x:f>MAX(H25-I25,0)</x:f>
        <x:v>0.12085546107067024</x:v>
      </x:c>
      <x:c r="N25" s="19" t="str">
        <x:v>周敏</x:v>
      </x:c>
      <x:c r="O25" s="19" t="str">
        <x:v>S-按销量/BOM/日型生成</x:v>
      </x:c>
    </x:row>
    <x:row r="26">
      <x:c r="A26" s="19" t="str">
        <x:v>2026-07-08|S01|粉皮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粉皮</x:v>
      </x:c>
      <x:c r="F26" s="32" t="n">
        <x:v>7.4913948920931395</x:v>
      </x:c>
      <x:c r="G26" s="32" t="n">
        <x:v>7.251952214067958</x:v>
      </x:c>
      <x:c r="H26" s="24" t="n">
        <x:f>G26</x:f>
        <x:v>7.251952214067958</x:v>
      </x:c>
      <x:c r="I26" s="24" t="n">
        <x:f>XLOOKUP(A26,'库存与收货'!$A$5:$A$676,'库存与收货'!$H$5:$H$676,0)+XLOOKUP(A26,'库存与收货'!$A$5:$A$676,'库存与收货'!$J$5:$J$676,0)</x:f>
        <x:v>6.597472358546504</x:v>
      </x:c>
      <x:c r="J26" s="21" t="n">
        <x:f>MAX(0,1-ABS(F26-I26)/MAX(I26,0.01))</x:f>
        <x:v>0.8645053006719112</x:v>
      </x:c>
      <x:c r="K26" s="21" t="n">
        <x:f>MAX(0,1-ABS(H26-I26)/MAX(I26,0.01))</x:f>
        <x:v>0.9007983936948781</x:v>
      </x:c>
      <x:c r="L26" s="24" t="n">
        <x:f>MAX(I26-H26,0)</x:f>
        <x:v>0</x:v>
      </x:c>
      <x:c r="M26" s="24" t="n">
        <x:f>MAX(H26-I26,0)</x:f>
        <x:v>0.6544798555214539</x:v>
      </x:c>
      <x:c r="N26" s="19" t="str">
        <x:v>周敏</x:v>
      </x:c>
      <x:c r="O26" s="19" t="str">
        <x:v>S-按销量/BOM/日型生成</x:v>
      </x:c>
    </x:row>
    <x:row r="27">
      <x:c r="A27" s="19" t="str">
        <x:v>2026-07-08|S01|鸡杂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鸡杂</x:v>
      </x:c>
      <x:c r="F27" s="32" t="n">
        <x:v>4.904236775100654</x:v>
      </x:c>
      <x:c r="G27" s="32" t="n">
        <x:v>4.816616858374536</x:v>
      </x:c>
      <x:c r="H27" s="24" t="n">
        <x:f>G27</x:f>
        <x:v>4.816616858374536</x:v>
      </x:c>
      <x:c r="I27" s="24" t="n">
        <x:f>XLOOKUP(A27,'库存与收货'!$A$5:$A$676,'库存与收货'!$H$5:$H$676,0)+XLOOKUP(A27,'库存与收货'!$A$5:$A$676,'库存与收货'!$J$5:$J$676,0)</x:f>
        <x:v>4.636040102952053</x:v>
      </x:c>
      <x:c r="J27" s="21" t="n">
        <x:f>MAX(0,1-ABS(F27-I27)/MAX(I27,0.01))</x:f>
        <x:v>0.9421496220496833</x:v>
      </x:c>
      <x:c r="K27" s="21" t="n">
        <x:f>MAX(0,1-ABS(H27-I27)/MAX(I27,0.01))</x:f>
        <x:v>0.9610493543169528</x:v>
      </x:c>
      <x:c r="L27" s="24" t="n">
        <x:f>MAX(I27-H27,0)</x:f>
        <x:v>0</x:v>
      </x:c>
      <x:c r="M27" s="24" t="n">
        <x:f>MAX(H27-I27,0)</x:f>
        <x:v>0.18057675542248308</x:v>
      </x:c>
      <x:c r="N27" s="19" t="str">
        <x:v>周敏</x:v>
      </x:c>
      <x:c r="O27" s="19" t="str">
        <x:v>S-按销量/BOM/日型生成</x:v>
      </x:c>
    </x:row>
    <x:row r="28">
      <x:c r="A28" s="19" t="str">
        <x:v>2026-07-08|S01|豆腐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豆腐</x:v>
      </x:c>
      <x:c r="F28" s="32" t="n">
        <x:v>19.876541086833928</x:v>
      </x:c>
      <x:c r="G28" s="32" t="n">
        <x:v>20.988417429480904</x:v>
      </x:c>
      <x:c r="H28" s="24" t="n">
        <x:f>G28</x:f>
        <x:v>20.988417429480904</x:v>
      </x:c>
      <x:c r="I28" s="24" t="n">
        <x:f>XLOOKUP(A28,'库存与收货'!$A$5:$A$676,'库存与收货'!$H$5:$H$676,0)+XLOOKUP(A28,'库存与收货'!$A$5:$A$676,'库存与收货'!$J$5:$J$676,0)</x:f>
        <x:v>22.949757936762122</x:v>
      </x:c>
      <x:c r="J28" s="21" t="n">
        <x:f>MAX(0,1-ABS(F28-I28)/MAX(I28,0.01))</x:f>
        <x:v>0.8660893566548101</x:v>
      </x:c>
      <x:c r="K28" s="21" t="n">
        <x:f>MAX(0,1-ABS(H28-I28)/MAX(I28,0.01))</x:f>
        <x:v>0.9145376385805168</x:v>
      </x:c>
      <x:c r="L28" s="24" t="n">
        <x:f>MAX(I28-H28,0)</x:f>
        <x:v>1.9613405072812178</x:v>
      </x:c>
      <x:c r="M28" s="24" t="n">
        <x:f>MAX(H28-I28,0)</x:f>
        <x:v>0</x:v>
      </x:c>
      <x:c r="N28" s="19" t="str">
        <x:v>周敏</x:v>
      </x:c>
      <x:c r="O28" s="19" t="str">
        <x:v>S-按销量/BOM/日型生成</x:v>
      </x:c>
    </x:row>
    <x:row r="29">
      <x:c r="A29" s="19" t="str">
        <x:v>2026-07-09|S01|瘦肉片</x:v>
      </x:c>
      <x:c r="B29" s="34" t="n">
        <x:v>46212.5</x:v>
      </x:c>
      <x:c r="C29" s="19" t="str">
        <x:v>S01</x:v>
      </x:c>
      <x:c r="D29" s="19" t="str">
        <x:v>近江天阳店</x:v>
      </x:c>
      <x:c r="E29" s="19" t="str">
        <x:v>瘦肉片</x:v>
      </x:c>
      <x:c r="F29" s="32" t="n">
        <x:v>16.044227486682285</x:v>
      </x:c>
      <x:c r="G29" s="32" t="n">
        <x:v>15.343195357220816</x:v>
      </x:c>
      <x:c r="H29" s="24" t="n">
        <x:f>G29</x:f>
        <x:v>15.343195357220816</x:v>
      </x:c>
      <x:c r="I29" s="24" t="n">
        <x:f>XLOOKUP(A29,'库存与收货'!$A$5:$A$676,'库存与收货'!$H$5:$H$676,0)+XLOOKUP(A29,'库存与收货'!$A$5:$A$676,'库存与收货'!$J$5:$J$676,0)</x:f>
        <x:v>13.85581008956088</x:v>
      </x:c>
      <x:c r="J29" s="21" t="n">
        <x:f>MAX(0,1-ABS(F29-I29)/MAX(I29,0.01))</x:f>
        <x:v>0.8420577806006317</x:v>
      </x:c>
      <x:c r="K29" s="21" t="n">
        <x:f>MAX(0,1-ABS(H29-I29)/MAX(I29,0.01))</x:f>
        <x:v>0.8926525942513784</x:v>
      </x:c>
      <x:c r="L29" s="24" t="n">
        <x:f>MAX(I29-H29,0)</x:f>
        <x:v>0</x:v>
      </x:c>
      <x:c r="M29" s="24" t="n">
        <x:f>MAX(H29-I29,0)</x:f>
        <x:v>1.4873852676599366</x:v>
      </x:c>
      <x:c r="N29" s="19" t="str">
        <x:v>周敏</x:v>
      </x:c>
      <x:c r="O29" s="19" t="str">
        <x:v>S-按销量/BOM/日型生成</x:v>
      </x:c>
    </x:row>
    <x:row r="30">
      <x:c r="A30" s="19" t="str">
        <x:v>2026-07-09|S01|肥肉片</x:v>
      </x:c>
      <x:c r="B30" s="34" t="n">
        <x:v>46212.5</x:v>
      </x:c>
      <x:c r="C30" s="19" t="str">
        <x:v>S01</x:v>
      </x:c>
      <x:c r="D30" s="19" t="str">
        <x:v>近江天阳店</x:v>
      </x:c>
      <x:c r="E30" s="19" t="str">
        <x:v>肥肉片</x:v>
      </x:c>
      <x:c r="F30" s="32" t="n">
        <x:v>4.414313272305422</x:v>
      </x:c>
      <x:c r="G30" s="32" t="n">
        <x:v>4.2755116980898045</x:v>
      </x:c>
      <x:c r="H30" s="24" t="n">
        <x:f>G30</x:f>
        <x:v>4.2755116980898045</x:v>
      </x:c>
      <x:c r="I30" s="24" t="n">
        <x:f>XLOOKUP(A30,'库存与收货'!$A$5:$A$676,'库存与收货'!$H$5:$H$676,0)+XLOOKUP(A30,'库存与收货'!$A$5:$A$676,'库存与收货'!$J$5:$J$676,0)</x:f>
        <x:v>3.931112988291102</x:v>
      </x:c>
      <x:c r="J30" s="21" t="n">
        <x:f>MAX(0,1-ABS(F30-I30)/MAX(I30,0.01))</x:f>
        <x:v>0.8770830842426709</x:v>
      </x:c>
      <x:c r="K30" s="21" t="n">
        <x:f>MAX(0,1-ABS(H30-I30)/MAX(I30,0.01))</x:f>
        <x:v>0.9123915514958484</x:v>
      </x:c>
      <x:c r="L30" s="24" t="n">
        <x:f>MAX(I30-H30,0)</x:f>
        <x:v>0</x:v>
      </x:c>
      <x:c r="M30" s="24" t="n">
        <x:f>MAX(H30-I30,0)</x:f>
        <x:v>0.34439870979870246</x:v>
      </x:c>
      <x:c r="N30" s="19" t="str">
        <x:v>周敏</x:v>
      </x:c>
      <x:c r="O30" s="19" t="str">
        <x:v>S-按销量/BOM/日型生成</x:v>
      </x:c>
    </x:row>
    <x:row r="31">
      <x:c r="A31" s="19" t="str">
        <x:v>2026-07-09|S01|牛肉片</x:v>
      </x:c>
      <x:c r="B31" s="34" t="n">
        <x:v>46212.5</x:v>
      </x:c>
      <x:c r="C31" s="19" t="str">
        <x:v>S01</x:v>
      </x:c>
      <x:c r="D31" s="19" t="str">
        <x:v>近江天阳店</x:v>
      </x:c>
      <x:c r="E31" s="19" t="str">
        <x:v>牛肉片</x:v>
      </x:c>
      <x:c r="F31" s="32" t="n">
        <x:v>9.013231992922861</x:v>
      </x:c>
      <x:c r="G31" s="32" t="n">
        <x:v>8.987551177915241</x:v>
      </x:c>
      <x:c r="H31" s="24" t="n">
        <x:f>G31</x:f>
        <x:v>8.987551177915241</x:v>
      </x:c>
      <x:c r="I31" s="24" t="n">
        <x:f>XLOOKUP(A31,'库存与收货'!$A$5:$A$676,'库存与收货'!$H$5:$H$676,0)+XLOOKUP(A31,'库存与收货'!$A$5:$A$676,'库存与收货'!$J$5:$J$676,0)</x:f>
        <x:v>8.952090504233396</x:v>
      </x:c>
      <x:c r="J31" s="21" t="n">
        <x:f>MAX(0,1-ABS(F31-I31)/MAX(I31,0.01))</x:f>
        <x:v>0.9931701440394787</x:v>
      </x:c>
      <x:c r="K31" s="21" t="n">
        <x:f>MAX(0,1-ABS(H31-I31)/MAX(I31,0.01))</x:f>
        <x:v>0.9960388387868648</x:v>
      </x:c>
      <x:c r="L31" s="24" t="n">
        <x:f>MAX(I31-H31,0)</x:f>
        <x:v>0</x:v>
      </x:c>
      <x:c r="M31" s="24" t="n">
        <x:f>MAX(H31-I31,0)</x:f>
        <x:v>0.03546067368184502</x:v>
      </x:c>
      <x:c r="N31" s="19" t="str">
        <x:v>周敏</x:v>
      </x:c>
      <x:c r="O31" s="19" t="str">
        <x:v>S-按销量/BOM/日型生成</x:v>
      </x:c>
    </x:row>
    <x:row r="32">
      <x:c r="A32" s="19" t="str">
        <x:v>2026-07-09|S01|螺丝椒</x:v>
      </x:c>
      <x:c r="B32" s="34" t="n">
        <x:v>46212.5</x:v>
      </x:c>
      <x:c r="C32" s="19" t="str">
        <x:v>S01</x:v>
      </x:c>
      <x:c r="D32" s="19" t="str">
        <x:v>近江天阳店</x:v>
      </x:c>
      <x:c r="E32" s="19" t="str">
        <x:v>螺丝椒</x:v>
      </x:c>
      <x:c r="F32" s="32" t="n">
        <x:v>15.292436347019418</x:v>
      </x:c>
      <x:c r="G32" s="32" t="n">
        <x:v>15.068138929936643</x:v>
      </x:c>
      <x:c r="H32" s="24" t="n">
        <x:f>G32</x:f>
        <x:v>15.068138929936643</x:v>
      </x:c>
      <x:c r="I32" s="24" t="n">
        <x:f>XLOOKUP(A32,'库存与收货'!$A$5:$A$676,'库存与收货'!$H$5:$H$676,0)+XLOOKUP(A32,'库存与收货'!$A$5:$A$676,'库存与收货'!$J$5:$J$676,0)</x:f>
        <x:v>14.670719902551086</x:v>
      </x:c>
      <x:c r="J32" s="21" t="n">
        <x:f>MAX(0,1-ABS(F32-I32)/MAX(I32,0.01))</x:f>
        <x:v>0.957621953891968</x:v>
      </x:c>
      <x:c r="K32" s="21" t="n">
        <x:f>MAX(0,1-ABS(H32-I32)/MAX(I32,0.01))</x:f>
        <x:v>0.9729107344407517</x:v>
      </x:c>
      <x:c r="L32" s="24" t="n">
        <x:f>MAX(I32-H32,0)</x:f>
        <x:v>0</x:v>
      </x:c>
      <x:c r="M32" s="24" t="n">
        <x:f>MAX(H32-I32,0)</x:f>
        <x:v>0.39741902738555623</x:v>
      </x:c>
      <x:c r="N32" s="19" t="str">
        <x:v>周敏</x:v>
      </x:c>
      <x:c r="O32" s="19" t="str">
        <x:v>S-按销量/BOM/日型生成</x:v>
      </x:c>
    </x:row>
    <x:row r="33">
      <x:c r="A33" s="19" t="str">
        <x:v>2026-07-09|S01|青湖南椒圈</x:v>
      </x:c>
      <x:c r="B33" s="34" t="n">
        <x:v>46212.5</x:v>
      </x:c>
      <x:c r="C33" s="19" t="str">
        <x:v>S01</x:v>
      </x:c>
      <x:c r="D33" s="19" t="str">
        <x:v>近江天阳店</x:v>
      </x:c>
      <x:c r="E33" s="19" t="str">
        <x:v>青湖南椒圈</x:v>
      </x:c>
      <x:c r="F33" s="32" t="n">
        <x:v>1.7022403228906295</x:v>
      </x:c>
      <x:c r="G33" s="32" t="n">
        <x:v>1.848283240149371</x:v>
      </x:c>
      <x:c r="H33" s="24" t="n">
        <x:f>G33</x:f>
        <x:v>1.848283240149371</x:v>
      </x:c>
      <x:c r="I33" s="24" t="n">
        <x:f>XLOOKUP(A33,'库存与收货'!$A$5:$A$676,'库存与收货'!$H$5:$H$676,0)+XLOOKUP(A33,'库存与收货'!$A$5:$A$676,'库存与收货'!$J$5:$J$676,0)</x:f>
        <x:v>2.069399897816917</x:v>
      </x:c>
      <x:c r="J33" s="21" t="n">
        <x:f>MAX(0,1-ABS(F33-I33)/MAX(I33,0.01))</x:f>
        <x:v>0.8225767888972948</x:v>
      </x:c>
      <x:c r="K33" s="21" t="n">
        <x:f>MAX(0,1-ABS(H33-I33)/MAX(I33,0.01))</x:f>
        <x:v>0.8931493821465779</x:v>
      </x:c>
      <x:c r="L33" s="24" t="n">
        <x:f>MAX(I33-H33,0)</x:f>
        <x:v>0.22111665766754607</x:v>
      </x:c>
      <x:c r="M33" s="24" t="n">
        <x:f>MAX(H33-I33,0)</x:f>
        <x:v>0</x:v>
      </x:c>
      <x:c r="N33" s="19" t="str">
        <x:v>周敏</x:v>
      </x:c>
      <x:c r="O33" s="19" t="str">
        <x:v>S-按销量/BOM/日型生成</x:v>
      </x:c>
    </x:row>
    <x:row r="34">
      <x:c r="A34" s="19" t="str">
        <x:v>2026-07-09|S01|鸡蛋</x:v>
      </x:c>
      <x:c r="B34" s="34" t="n">
        <x:v>46212.5</x:v>
      </x:c>
      <x:c r="C34" s="19" t="str">
        <x:v>S01</x:v>
      </x:c>
      <x:c r="D34" s="19" t="str">
        <x:v>近江天阳店</x:v>
      </x:c>
      <x:c r="E34" s="19" t="str">
        <x:v>鸡蛋</x:v>
      </x:c>
      <x:c r="F34" s="32" t="n">
        <x:v>17.851486176571957</x:v>
      </x:c>
      <x:c r="G34" s="32" t="n">
        <x:v>17.956949124448386</x:v>
      </x:c>
      <x:c r="H34" s="24" t="n">
        <x:f>G34</x:f>
        <x:v>17.956949124448386</x:v>
      </x:c>
      <x:c r="I34" s="24" t="n">
        <x:f>XLOOKUP(A34,'库存与收货'!$A$5:$A$676,'库存与收货'!$H$5:$H$676,0)+XLOOKUP(A34,'库存与收货'!$A$5:$A$676,'库存与收货'!$J$5:$J$676,0)</x:f>
        <x:v>18.25908410563869</x:v>
      </x:c>
      <x:c r="J34" s="21" t="n">
        <x:f>MAX(0,1-ABS(F34-I34)/MAX(I34,0.01))</x:f>
        <x:v>0.9776769783901231</x:v>
      </x:c>
      <x:c r="K34" s="21" t="n">
        <x:f>MAX(0,1-ABS(H34-I34)/MAX(I34,0.01))</x:f>
        <x:v>0.9834528950388591</x:v>
      </x:c>
      <x:c r="L34" s="24" t="n">
        <x:f>MAX(I34-H34,0)</x:f>
        <x:v>0.3021349811903029</x:v>
      </x:c>
      <x:c r="M34" s="24" t="n">
        <x:f>MAX(H34-I34,0)</x:f>
        <x:v>0</x:v>
      </x:c>
      <x:c r="N34" s="19" t="str">
        <x:v>周敏</x:v>
      </x:c>
      <x:c r="O34" s="19" t="str">
        <x:v>S-按销量/BOM/日型生成</x:v>
      </x:c>
    </x:row>
    <x:row r="35">
      <x:c r="A35" s="19" t="str">
        <x:v>2026-07-09|S01|鸡肉</x:v>
      </x:c>
      <x:c r="B35" s="34" t="n">
        <x:v>46212.5</x:v>
      </x:c>
      <x:c r="C35" s="19" t="str">
        <x:v>S01</x:v>
      </x:c>
      <x:c r="D35" s="19" t="str">
        <x:v>近江天阳店</x:v>
      </x:c>
      <x:c r="E35" s="19" t="str">
        <x:v>鸡肉</x:v>
      </x:c>
      <x:c r="F35" s="32" t="n">
        <x:v>6.736191151978794</x:v>
      </x:c>
      <x:c r="G35" s="32" t="n">
        <x:v>6.498227429424895</x:v>
      </x:c>
      <x:c r="H35" s="24" t="n">
        <x:f>G35</x:f>
        <x:v>6.498227429424895</x:v>
      </x:c>
      <x:c r="I35" s="24" t="n">
        <x:f>XLOOKUP(A35,'库存与收货'!$A$5:$A$676,'库存与收货'!$H$5:$H$676,0)+XLOOKUP(A35,'库存与收货'!$A$5:$A$676,'库存与收货'!$J$5:$J$676,0)</x:f>
        <x:v>6.066290880504539</x:v>
      </x:c>
      <x:c r="J35" s="21" t="n">
        <x:f>MAX(0,1-ABS(F35-I35)/MAX(I35,0.01))</x:f>
        <x:v>0.8895700379902425</x:v>
      </x:c>
      <x:c r="K35" s="21" t="n">
        <x:f>MAX(0,1-ABS(H35-I35)/MAX(I35,0.01))</x:f>
        <x:v>0.9287972572649812</x:v>
      </x:c>
      <x:c r="L35" s="24" t="n">
        <x:f>MAX(I35-H35,0)</x:f>
        <x:v>0</x:v>
      </x:c>
      <x:c r="M35" s="24" t="n">
        <x:f>MAX(H35-I35,0)</x:f>
        <x:v>0.4319365489203557</x:v>
      </x:c>
      <x:c r="N35" s="19" t="str">
        <x:v>周敏</x:v>
      </x:c>
      <x:c r="O35" s="19" t="str">
        <x:v>S-按销量/BOM/日型生成</x:v>
      </x:c>
    </x:row>
    <x:row r="36">
      <x:c r="A36" s="19" t="str">
        <x:v>2026-07-09|S01|鲈鱼</x:v>
      </x:c>
      <x:c r="B36" s="34" t="n">
        <x:v>46212.5</x:v>
      </x:c>
      <x:c r="C36" s="19" t="str">
        <x:v>S01</x:v>
      </x:c>
      <x:c r="D36" s="19" t="str">
        <x:v>近江天阳店</x:v>
      </x:c>
      <x:c r="E36" s="19" t="str">
        <x:v>鲈鱼</x:v>
      </x:c>
      <x:c r="F36" s="32" t="n">
        <x:v>3.9538738543375533</x:v>
      </x:c>
      <x:c r="G36" s="32" t="n">
        <x:v>3.848712063019534</x:v>
      </x:c>
      <x:c r="H36" s="24" t="n">
        <x:f>G36</x:f>
        <x:v>3.848712063019534</x:v>
      </x:c>
      <x:c r="I36" s="24" t="n">
        <x:f>XLOOKUP(A36,'库存与收货'!$A$5:$A$676,'库存与收货'!$H$5:$H$676,0)+XLOOKUP(A36,'库存与收货'!$A$5:$A$676,'库存与收货'!$J$5:$J$676,0)</x:f>
        <x:v>3.621268446070321</x:v>
      </x:c>
      <x:c r="J36" s="21" t="n">
        <x:f>MAX(0,1-ABS(F36-I36)/MAX(I36,0.01))</x:f>
        <x:v>0.9081522363722676</x:v>
      </x:c>
      <x:c r="K36" s="21" t="n">
        <x:f>MAX(0,1-ABS(H36-I36)/MAX(I36,0.01))</x:f>
        <x:v>0.9371922793528253</x:v>
      </x:c>
      <x:c r="L36" s="24" t="n">
        <x:f>MAX(I36-H36,0)</x:f>
        <x:v>0</x:v>
      </x:c>
      <x:c r="M36" s="24" t="n">
        <x:f>MAX(H36-I36,0)</x:f>
        <x:v>0.2274436169492131</x:v>
      </x:c>
      <x:c r="N36" s="19" t="str">
        <x:v>周敏</x:v>
      </x:c>
      <x:c r="O36" s="19" t="str">
        <x:v>S-按销量/BOM/日型生成</x:v>
      </x:c>
    </x:row>
    <x:row r="37">
      <x:c r="A37" s="19" t="str">
        <x:v>2026-07-09|S01|酸包菜</x:v>
      </x:c>
      <x:c r="B37" s="34" t="n">
        <x:v>46212.5</x:v>
      </x:c>
      <x:c r="C37" s="19" t="str">
        <x:v>S01</x:v>
      </x:c>
      <x:c r="D37" s="19" t="str">
        <x:v>近江天阳店</x:v>
      </x:c>
      <x:c r="E37" s="19" t="str">
        <x:v>酸包菜</x:v>
      </x:c>
      <x:c r="F37" s="32" t="n">
        <x:v>7.94726903513859</x:v>
      </x:c>
      <x:c r="G37" s="32" t="n">
        <x:v>8.217571904468537</x:v>
      </x:c>
      <x:c r="H37" s="24" t="n">
        <x:f>G37</x:f>
        <x:v>8.217571904468537</x:v>
      </x:c>
      <x:c r="I37" s="24" t="n">
        <x:f>XLOOKUP(A37,'库存与收货'!$A$5:$A$676,'库存与收货'!$H$5:$H$676,0)+XLOOKUP(A37,'库存与收货'!$A$5:$A$676,'库存与收货'!$J$5:$J$676,0)</x:f>
        <x:v>8.730233390806298</x:v>
      </x:c>
      <x:c r="J37" s="21" t="n">
        <x:f>MAX(0,1-ABS(F37-I37)/MAX(I37,0.01))</x:f>
        <x:v>0.9103157589701739</x:v>
      </x:c>
      <x:c r="K37" s="21" t="n">
        <x:f>MAX(0,1-ABS(H37-I37)/MAX(I37,0.01))</x:f>
        <x:v>0.9412774592168821</x:v>
      </x:c>
      <x:c r="L37" s="24" t="n">
        <x:f>MAX(I37-H37,0)</x:f>
        <x:v>0.5126614863377608</x:v>
      </x:c>
      <x:c r="M37" s="24" t="n">
        <x:f>MAX(H37-I37,0)</x:f>
        <x:v>0</x:v>
      </x:c>
      <x:c r="N37" s="19" t="str">
        <x:v>周敏</x:v>
      </x:c>
      <x:c r="O37" s="19" t="str">
        <x:v>S-按销量/BOM/日型生成</x:v>
      </x:c>
    </x:row>
    <x:row r="38">
      <x:c r="A38" s="19" t="str">
        <x:v>2026-07-09|S01|粉皮</x:v>
      </x:c>
      <x:c r="B38" s="34" t="n">
        <x:v>46212.5</x:v>
      </x:c>
      <x:c r="C38" s="19" t="str">
        <x:v>S01</x:v>
      </x:c>
      <x:c r="D38" s="19" t="str">
        <x:v>近江天阳店</x:v>
      </x:c>
      <x:c r="E38" s="19" t="str">
        <x:v>粉皮</x:v>
      </x:c>
      <x:c r="F38" s="32" t="n">
        <x:v>6.690094749274558</x:v>
      </x:c>
      <x:c r="G38" s="32" t="n">
        <x:v>6.6938367434984904</x:v>
      </x:c>
      <x:c r="H38" s="24" t="n">
        <x:f>G38</x:f>
        <x:v>6.6938367434984904</x:v>
      </x:c>
      <x:c r="I38" s="24" t="n">
        <x:f>XLOOKUP(A38,'库存与收货'!$A$5:$A$676,'库存与收货'!$H$5:$H$676,0)+XLOOKUP(A38,'库存与收货'!$A$5:$A$676,'库存与收货'!$J$5:$J$676,0)</x:f>
        <x:v>6.699253544854408</x:v>
      </x:c>
      <x:c r="J38" s="21" t="n">
        <x:f>MAX(0,1-ABS(F38-I38)/MAX(I38,0.01))</x:f>
        <x:v>0.9986328632707319</x:v>
      </x:c>
      <x:c r="K38" s="21" t="n">
        <x:f>MAX(0,1-ABS(H38-I38)/MAX(I38,0.01))</x:f>
        <x:v>0.9991914321021513</x:v>
      </x:c>
      <x:c r="L38" s="24" t="n">
        <x:f>MAX(I38-H38,0)</x:f>
        <x:v>0.005416801355917933</x:v>
      </x:c>
      <x:c r="M38" s="24" t="n">
        <x:f>MAX(H38-I38,0)</x:f>
        <x:v>0</x:v>
      </x:c>
      <x:c r="N38" s="19" t="str">
        <x:v>周敏</x:v>
      </x:c>
      <x:c r="O38" s="19" t="str">
        <x:v>S-按销量/BOM/日型生成</x:v>
      </x:c>
    </x:row>
    <x:row r="39">
      <x:c r="A39" s="19" t="str">
        <x:v>2026-07-09|S01|鸡杂</x:v>
      </x:c>
      <x:c r="B39" s="34" t="n">
        <x:v>46212.5</x:v>
      </x:c>
      <x:c r="C39" s="19" t="str">
        <x:v>S01</x:v>
      </x:c>
      <x:c r="D39" s="19" t="str">
        <x:v>近江天阳店</x:v>
      </x:c>
      <x:c r="E39" s="19" t="str">
        <x:v>鸡杂</x:v>
      </x:c>
      <x:c r="F39" s="32" t="n">
        <x:v>4.788130984828454</x:v>
      </x:c>
      <x:c r="G39" s="32" t="n">
        <x:v>4.6141040962546525</x:v>
      </x:c>
      <x:c r="H39" s="24" t="n">
        <x:f>G39</x:f>
        <x:v>4.6141040962546525</x:v>
      </x:c>
      <x:c r="I39" s="24" t="n">
        <x:f>XLOOKUP(A39,'库存与收货'!$A$5:$A$676,'库存与收货'!$H$5:$H$676,0)+XLOOKUP(A39,'库存与收货'!$A$5:$A$676,'库存与收货'!$J$5:$J$676,0)</x:f>
        <x:v>4.137008902974662</x:v>
      </x:c>
      <x:c r="J39" s="21" t="n">
        <x:f>MAX(0,1-ABS(F39-I39)/MAX(I39,0.01))</x:f>
        <x:v>0.8426104228623701</x:v>
      </x:c>
      <x:c r="K39" s="21" t="n">
        <x:f>MAX(0,1-ABS(H39-I39)/MAX(I39,0.01))</x:f>
        <x:v>0.8846762952487384</x:v>
      </x:c>
      <x:c r="L39" s="24" t="n">
        <x:f>MAX(I39-H39,0)</x:f>
        <x:v>0</x:v>
      </x:c>
      <x:c r="M39" s="24" t="n">
        <x:f>MAX(H39-I39,0)</x:f>
        <x:v>0.4770951932799905</x:v>
      </x:c>
      <x:c r="N39" s="19" t="str">
        <x:v>周敏</x:v>
      </x:c>
      <x:c r="O39" s="19" t="str">
        <x:v>S-按销量/BOM/日型生成</x:v>
      </x:c>
    </x:row>
    <x:row r="40">
      <x:c r="A40" s="19" t="str">
        <x:v>2026-07-09|S01|豆腐</x:v>
      </x:c>
      <x:c r="B40" s="34" t="n">
        <x:v>46212.5</x:v>
      </x:c>
      <x:c r="C40" s="19" t="str">
        <x:v>S01</x:v>
      </x:c>
      <x:c r="D40" s="19" t="str">
        <x:v>近江天阳店</x:v>
      </x:c>
      <x:c r="E40" s="19" t="str">
        <x:v>豆腐</x:v>
      </x:c>
      <x:c r="F40" s="32" t="n">
        <x:v>21.554200341121245</x:v>
      </x:c>
      <x:c r="G40" s="32" t="n">
        <x:v>22.585976791565738</x:v>
      </x:c>
      <x:c r="H40" s="24" t="n">
        <x:f>G40</x:f>
        <x:v>22.585976791565738</x:v>
      </x:c>
      <x:c r="I40" s="24" t="n">
        <x:f>XLOOKUP(A40,'库存与收货'!$A$5:$A$676,'库存与收货'!$H$5:$H$676,0)+XLOOKUP(A40,'库存与收货'!$A$5:$A$676,'库存与收货'!$J$5:$J$676,0)</x:f>
        <x:v>24.628803247406335</x:v>
      </x:c>
      <x:c r="J40" s="21" t="n">
        <x:f>MAX(0,1-ABS(F40-I40)/MAX(I40,0.01))</x:f>
        <x:v>0.8751623099425719</x:v>
      </x:c>
      <x:c r="K40" s="21" t="n">
        <x:f>MAX(0,1-ABS(H40-I40)/MAX(I40,0.01))</x:f>
        <x:v>0.9170553909859291</x:v>
      </x:c>
      <x:c r="L40" s="24" t="n">
        <x:f>MAX(I40-H40,0)</x:f>
        <x:v>2.042826455840597</x:v>
      </x:c>
      <x:c r="M40" s="24" t="n">
        <x:f>MAX(H40-I40,0)</x:f>
        <x:v>0</x:v>
      </x:c>
      <x:c r="N40" s="19" t="str">
        <x:v>周敏</x:v>
      </x:c>
      <x:c r="O40" s="19" t="str">
        <x:v>S-按销量/BOM/日型生成</x:v>
      </x:c>
    </x:row>
    <x:row r="41">
      <x:c r="A41" s="19" t="str">
        <x:v>2026-07-10|S01|瘦肉片</x:v>
      </x:c>
      <x:c r="B41" s="34" t="n">
        <x:v>46213.5</x:v>
      </x:c>
      <x:c r="C41" s="19" t="str">
        <x:v>S01</x:v>
      </x:c>
      <x:c r="D41" s="19" t="str">
        <x:v>近江天阳店</x:v>
      </x:c>
      <x:c r="E41" s="19" t="str">
        <x:v>瘦肉片</x:v>
      </x:c>
      <x:c r="F41" s="32" t="n">
        <x:v>16.04115982146255</x:v>
      </x:c>
      <x:c r="G41" s="32" t="n">
        <x:v>15.423931002775106</x:v>
      </x:c>
      <x:c r="H41" s="24" t="n">
        <x:f>G41</x:f>
        <x:v>15.423931002775106</x:v>
      </x:c>
      <x:c r="I41" s="24" t="n">
        <x:f>XLOOKUP(A41,'库存与收货'!$A$5:$A$676,'库存与收货'!$H$5:$H$676,0)+XLOOKUP(A41,'库存与收货'!$A$5:$A$676,'库存与收货'!$J$5:$J$676,0)</x:f>
        <x:v>13.689855552450139</x:v>
      </x:c>
      <x:c r="J41" s="21" t="n">
        <x:f>MAX(0,1-ABS(F41-I41)/MAX(I41,0.01))</x:f>
        <x:v>0.828244771465716</x:v>
      </x:c>
      <x:c r="K41" s="21" t="n">
        <x:f>MAX(0,1-ABS(H41-I41)/MAX(I41,0.01))</x:f>
        <x:v>0.8733313552008508</x:v>
      </x:c>
      <x:c r="L41" s="24" t="n">
        <x:f>MAX(I41-H41,0)</x:f>
        <x:v>0</x:v>
      </x:c>
      <x:c r="M41" s="24" t="n">
        <x:f>MAX(H41-I41,0)</x:f>
        <x:v>1.7340754503249673</x:v>
      </x:c>
      <x:c r="N41" s="19" t="str">
        <x:v>周敏</x:v>
      </x:c>
      <x:c r="O41" s="19" t="str">
        <x:v>S-按销量/BOM/日型生成</x:v>
      </x:c>
    </x:row>
    <x:row r="42">
      <x:c r="A42" s="19" t="str">
        <x:v>2026-07-10|S01|肥肉片</x:v>
      </x:c>
      <x:c r="B42" s="34" t="n">
        <x:v>46213.5</x:v>
      </x:c>
      <x:c r="C42" s="19" t="str">
        <x:v>S01</x:v>
      </x:c>
      <x:c r="D42" s="19" t="str">
        <x:v>近江天阳店</x:v>
      </x:c>
      <x:c r="E42" s="19" t="str">
        <x:v>肥肉片</x:v>
      </x:c>
      <x:c r="F42" s="32" t="n">
        <x:v>4.384763799441989</x:v>
      </x:c>
      <x:c r="G42" s="32" t="n">
        <x:v>4.207742654606304</x:v>
      </x:c>
      <x:c r="H42" s="24" t="n">
        <x:f>G42</x:f>
        <x:v>4.207742654606304</x:v>
      </x:c>
      <x:c r="I42" s="24" t="n">
        <x:f>XLOOKUP(A42,'库存与收货'!$A$5:$A$676,'库存与收货'!$H$5:$H$676,0)+XLOOKUP(A42,'库存与收货'!$A$5:$A$676,'库存与收货'!$J$5:$J$676,0)</x:f>
        <x:v>3.9466360608387356</x:v>
      </x:c>
      <x:c r="J42" s="21" t="n">
        <x:f>MAX(0,1-ABS(F42-I42)/MAX(I42,0.01))</x:f>
        <x:v>0.888987043180733</x:v>
      </x:c>
      <x:c r="K42" s="21" t="n">
        <x:f>MAX(0,1-ABS(H42-I42)/MAX(I42,0.01))</x:f>
        <x:v>0.9338407216316575</x:v>
      </x:c>
      <x:c r="L42" s="24" t="n">
        <x:f>MAX(I42-H42,0)</x:f>
        <x:v>0</x:v>
      </x:c>
      <x:c r="M42" s="24" t="n">
        <x:f>MAX(H42-I42,0)</x:f>
        <x:v>0.2611065937675683</x:v>
      </x:c>
      <x:c r="N42" s="19" t="str">
        <x:v>周敏</x:v>
      </x:c>
      <x:c r="O42" s="19" t="str">
        <x:v>S-按销量/BOM/日型生成</x:v>
      </x:c>
    </x:row>
    <x:row r="43">
      <x:c r="A43" s="19" t="str">
        <x:v>2026-07-10|S01|牛肉片</x:v>
      </x:c>
      <x:c r="B43" s="34" t="n">
        <x:v>46213.5</x:v>
      </x:c>
      <x:c r="C43" s="19" t="str">
        <x:v>S01</x:v>
      </x:c>
      <x:c r="D43" s="19" t="str">
        <x:v>近江天阳店</x:v>
      </x:c>
      <x:c r="E43" s="19" t="str">
        <x:v>牛肉片</x:v>
      </x:c>
      <x:c r="F43" s="32" t="n">
        <x:v>10.836468414878695</x:v>
      </x:c>
      <x:c r="G43" s="32" t="n">
        <x:v>10.204067971936615</x:v>
      </x:c>
      <x:c r="H43" s="24" t="n">
        <x:f>G43</x:f>
        <x:v>10.204067971936615</x:v>
      </x:c>
      <x:c r="I43" s="24" t="n">
        <x:f>XLOOKUP(A43,'库存与收货'!$A$5:$A$676,'库存与收货'!$H$5:$H$676,0)+XLOOKUP(A43,'库存与收货'!$A$5:$A$676,'库存与收货'!$J$5:$J$676,0)</x:f>
        <x:v>9.274444498185638</x:v>
      </x:c>
      <x:c r="J43" s="21" t="n">
        <x:f>MAX(0,1-ABS(F43-I43)/MAX(I43,0.01))</x:f>
        <x:v>0.8315776306603984</x:v>
      </x:c>
      <x:c r="K43" s="21" t="n">
        <x:f>MAX(0,1-ABS(H43-I43)/MAX(I43,0.01))</x:f>
        <x:v>0.8997650507334601</x:v>
      </x:c>
      <x:c r="L43" s="24" t="n">
        <x:f>MAX(I43-H43,0)</x:f>
        <x:v>0</x:v>
      </x:c>
      <x:c r="M43" s="24" t="n">
        <x:f>MAX(H43-I43,0)</x:f>
        <x:v>0.9296234737509774</x:v>
      </x:c>
      <x:c r="N43" s="19" t="str">
        <x:v>周敏</x:v>
      </x:c>
      <x:c r="O43" s="19" t="str">
        <x:v>S-按销量/BOM/日型生成</x:v>
      </x:c>
    </x:row>
    <x:row r="44">
      <x:c r="A44" s="19" t="str">
        <x:v>2026-07-10|S01|螺丝椒</x:v>
      </x:c>
      <x:c r="B44" s="34" t="n">
        <x:v>46213.5</x:v>
      </x:c>
      <x:c r="C44" s="19" t="str">
        <x:v>S01</x:v>
      </x:c>
      <x:c r="D44" s="19" t="str">
        <x:v>近江天阳店</x:v>
      </x:c>
      <x:c r="E44" s="19" t="str">
        <x:v>螺丝椒</x:v>
      </x:c>
      <x:c r="F44" s="32" t="n">
        <x:v>15.318924657847878</x:v>
      </x:c>
      <x:c r="G44" s="32" t="n">
        <x:v>14.764920233317518</x:v>
      </x:c>
      <x:c r="H44" s="24" t="n">
        <x:f>G44</x:f>
        <x:v>14.764920233317518</x:v>
      </x:c>
      <x:c r="I44" s="24" t="n">
        <x:f>XLOOKUP(A44,'库存与收货'!$A$5:$A$676,'库存与收货'!$H$5:$H$676,0)+XLOOKUP(A44,'库存与收货'!$A$5:$A$676,'库存与收货'!$J$5:$J$676,0)</x:f>
        <x:v>13.995544903474055</x:v>
      </x:c>
      <x:c r="J44" s="21" t="n">
        <x:f>MAX(0,1-ABS(F44-I44)/MAX(I44,0.01))</x:f>
        <x:v>0.9054427845788751</x:v>
      </x:c>
      <x:c r="K44" s="21" t="n">
        <x:f>MAX(0,1-ABS(H44-I44)/MAX(I44,0.01))</x:f>
        <x:v>0.9450271257639647</x:v>
      </x:c>
      <x:c r="L44" s="24" t="n">
        <x:f>MAX(I44-H44,0)</x:f>
        <x:v>0</x:v>
      </x:c>
      <x:c r="M44" s="24" t="n">
        <x:f>MAX(H44-I44,0)</x:f>
        <x:v>0.7693753298434629</x:v>
      </x:c>
      <x:c r="N44" s="19" t="str">
        <x:v>周敏</x:v>
      </x:c>
      <x:c r="O44" s="19" t="str">
        <x:v>S-按销量/BOM/日型生成</x:v>
      </x:c>
    </x:row>
    <x:row r="45">
      <x:c r="A45" s="19" t="str">
        <x:v>2026-07-10|S01|青湖南椒圈</x:v>
      </x:c>
      <x:c r="B45" s="34" t="n">
        <x:v>46213.5</x:v>
      </x:c>
      <x:c r="C45" s="19" t="str">
        <x:v>S01</x:v>
      </x:c>
      <x:c r="D45" s="19" t="str">
        <x:v>近江天阳店</x:v>
      </x:c>
      <x:c r="E45" s="19" t="str">
        <x:v>青湖南椒圈</x:v>
      </x:c>
      <x:c r="F45" s="32" t="n">
        <x:v>2.313535241158787</x:v>
      </x:c>
      <x:c r="G45" s="32" t="n">
        <x:v>2.2646777255799986</x:v>
      </x:c>
      <x:c r="H45" s="24" t="n">
        <x:f>G45</x:f>
        <x:v>2.2646777255799986</x:v>
      </x:c>
      <x:c r="I45" s="24" t="n">
        <x:f>XLOOKUP(A45,'库存与收货'!$A$5:$A$676,'库存与收货'!$H$5:$H$676,0)+XLOOKUP(A45,'库存与收货'!$A$5:$A$676,'库存与收货'!$J$5:$J$676,0)</x:f>
        <x:v>2.1522794098098017</x:v>
      </x:c>
      <x:c r="J45" s="21" t="n">
        <x:f>MAX(0,1-ABS(F45-I45)/MAX(I45,0.01))</x:f>
        <x:v>0.9250767207017812</x:v>
      </x:c>
      <x:c r="K45" s="21" t="n">
        <x:f>MAX(0,1-ABS(H45-I45)/MAX(I45,0.01))</x:f>
        <x:v>0.9477770798447913</x:v>
      </x:c>
      <x:c r="L45" s="24" t="n">
        <x:f>MAX(I45-H45,0)</x:f>
        <x:v>0</x:v>
      </x:c>
      <x:c r="M45" s="24" t="n">
        <x:f>MAX(H45-I45,0)</x:f>
        <x:v>0.11239831577019688</x:v>
      </x:c>
      <x:c r="N45" s="19" t="str">
        <x:v>周敏</x:v>
      </x:c>
      <x:c r="O45" s="19" t="str">
        <x:v>S-按销量/BOM/日型生成</x:v>
      </x:c>
    </x:row>
    <x:row r="46">
      <x:c r="A46" s="19" t="str">
        <x:v>2026-07-10|S01|鸡蛋</x:v>
      </x:c>
      <x:c r="B46" s="34" t="n">
        <x:v>46213.5</x:v>
      </x:c>
      <x:c r="C46" s="19" t="str">
        <x:v>S01</x:v>
      </x:c>
      <x:c r="D46" s="19" t="str">
        <x:v>近江天阳店</x:v>
      </x:c>
      <x:c r="E46" s="19" t="str">
        <x:v>鸡蛋</x:v>
      </x:c>
      <x:c r="F46" s="32" t="n">
        <x:v>18.38455391956155</x:v>
      </x:c>
      <x:c r="G46" s="32" t="n">
        <x:v>18.895009973205926</x:v>
      </x:c>
      <x:c r="H46" s="24" t="n">
        <x:f>G46</x:f>
        <x:v>18.895009973205926</x:v>
      </x:c>
      <x:c r="I46" s="24" t="n">
        <x:f>XLOOKUP(A46,'库存与收货'!$A$5:$A$676,'库存与收货'!$H$5:$H$676,0)+XLOOKUP(A46,'库存与收货'!$A$5:$A$676,'库存与收货'!$J$5:$J$676,0)</x:f>
        <x:v>19.840664071686195</x:v>
      </x:c>
      <x:c r="J46" s="21" t="n">
        <x:f>MAX(0,1-ABS(F46-I46)/MAX(I46,0.01))</x:f>
        <x:v>0.9266098076725869</x:v>
      </x:c>
      <x:c r="K46" s="21" t="n">
        <x:f>MAX(0,1-ABS(H46-I46)/MAX(I46,0.01))</x:f>
        <x:v>0.9523375782653478</x:v>
      </x:c>
      <x:c r="L46" s="24" t="n">
        <x:f>MAX(I46-H46,0)</x:f>
        <x:v>0.9456540984802686</x:v>
      </x:c>
      <x:c r="M46" s="24" t="n">
        <x:f>MAX(H46-I46,0)</x:f>
        <x:v>0</x:v>
      </x:c>
      <x:c r="N46" s="19" t="str">
        <x:v>周敏</x:v>
      </x:c>
      <x:c r="O46" s="19" t="str">
        <x:v>S-按销量/BOM/日型生成</x:v>
      </x:c>
    </x:row>
    <x:row r="47">
      <x:c r="A47" s="19" t="str">
        <x:v>2026-07-10|S01|鸡肉</x:v>
      </x:c>
      <x:c r="B47" s="34" t="n">
        <x:v>46213.5</x:v>
      </x:c>
      <x:c r="C47" s="19" t="str">
        <x:v>S01</x:v>
      </x:c>
      <x:c r="D47" s="19" t="str">
        <x:v>近江天阳店</x:v>
      </x:c>
      <x:c r="E47" s="19" t="str">
        <x:v>鸡肉</x:v>
      </x:c>
      <x:c r="F47" s="32" t="n">
        <x:v>6.172802797282212</x:v>
      </x:c>
      <x:c r="G47" s="32" t="n">
        <x:v>5.950533676855415</x:v>
      </x:c>
      <x:c r="H47" s="24" t="n">
        <x:f>G47</x:f>
        <x:v>5.950533676855415</x:v>
      </x:c>
      <x:c r="I47" s="24" t="n">
        <x:f>XLOOKUP(A47,'库存与收货'!$A$5:$A$676,'库存与收货'!$H$5:$H$676,0)+XLOOKUP(A47,'库存与收货'!$A$5:$A$676,'库存与收货'!$J$5:$J$676,0)</x:f>
        <x:v>5.601644349041545</x:v>
      </x:c>
      <x:c r="J47" s="21" t="n">
        <x:f>MAX(0,1-ABS(F47-I47)/MAX(I47,0.01))</x:f>
        <x:v>0.898037359630232</x:v>
      </x:c>
      <x:c r="K47" s="21" t="n">
        <x:f>MAX(0,1-ABS(H47-I47)/MAX(I47,0.01))</x:f>
        <x:v>0.9377166228210175</x:v>
      </x:c>
      <x:c r="L47" s="24" t="n">
        <x:f>MAX(I47-H47,0)</x:f>
        <x:v>0</x:v>
      </x:c>
      <x:c r="M47" s="24" t="n">
        <x:f>MAX(H47-I47,0)</x:f>
        <x:v>0.34888932781387005</x:v>
      </x:c>
      <x:c r="N47" s="19" t="str">
        <x:v>周敏</x:v>
      </x:c>
      <x:c r="O47" s="19" t="str">
        <x:v>S-按销量/BOM/日型生成</x:v>
      </x:c>
    </x:row>
    <x:row r="48">
      <x:c r="A48" s="19" t="str">
        <x:v>2026-07-10|S01|鲈鱼</x:v>
      </x:c>
      <x:c r="B48" s="34" t="n">
        <x:v>46213.5</x:v>
      </x:c>
      <x:c r="C48" s="19" t="str">
        <x:v>S01</x:v>
      </x:c>
      <x:c r="D48" s="19" t="str">
        <x:v>近江天阳店</x:v>
      </x:c>
      <x:c r="E48" s="19" t="str">
        <x:v>鲈鱼</x:v>
      </x:c>
      <x:c r="F48" s="32" t="n">
        <x:v>3.650369195522772</x:v>
      </x:c>
      <x:c r="G48" s="32" t="n">
        <x:v>3.646011855960506</x:v>
      </x:c>
      <x:c r="H48" s="24" t="n">
        <x:f>G48</x:f>
        <x:v>3.646011855960506</x:v>
      </x:c>
      <x:c r="I48" s="24" t="n">
        <x:f>XLOOKUP(A48,'库存与收货'!$A$5:$A$676,'库存与收货'!$H$5:$H$676,0)+XLOOKUP(A48,'库存与收货'!$A$5:$A$676,'库存与收货'!$J$5:$J$676,0)</x:f>
        <x:v>3.633095733808725</x:v>
      </x:c>
      <x:c r="J48" s="21" t="n">
        <x:f>MAX(0,1-ABS(F48-I48)/MAX(I48,0.01))</x:f>
        <x:v>0.9952455253096403</x:v>
      </x:c>
      <x:c r="K48" s="21" t="n">
        <x:f>MAX(0,1-ABS(H48-I48)/MAX(I48,0.01))</x:f>
        <x:v>0.996444871509554</x:v>
      </x:c>
      <x:c r="L48" s="24" t="n">
        <x:f>MAX(I48-H48,0)</x:f>
        <x:v>0</x:v>
      </x:c>
      <x:c r="M48" s="24" t="n">
        <x:f>MAX(H48-I48,0)</x:f>
        <x:v>0.012916122151781284</x:v>
      </x:c>
      <x:c r="N48" s="19" t="str">
        <x:v>周敏</x:v>
      </x:c>
      <x:c r="O48" s="19" t="str">
        <x:v>S-按销量/BOM/日型生成</x:v>
      </x:c>
    </x:row>
    <x:row r="49">
      <x:c r="A49" s="19" t="str">
        <x:v>2026-07-10|S01|酸包菜</x:v>
      </x:c>
      <x:c r="B49" s="34" t="n">
        <x:v>46213.5</x:v>
      </x:c>
      <x:c r="C49" s="19" t="str">
        <x:v>S01</x:v>
      </x:c>
      <x:c r="D49" s="19" t="str">
        <x:v>近江天阳店</x:v>
      </x:c>
      <x:c r="E49" s="19" t="str">
        <x:v>酸包菜</x:v>
      </x:c>
      <x:c r="F49" s="32" t="n">
        <x:v>7.6058687388747375</x:v>
      </x:c>
      <x:c r="G49" s="32" t="n">
        <x:v>8.177288959000576</x:v>
      </x:c>
      <x:c r="H49" s="24" t="n">
        <x:f>G49</x:f>
        <x:v>8.177288959000576</x:v>
      </x:c>
      <x:c r="I49" s="24" t="n">
        <x:f>XLOOKUP(A49,'库存与收货'!$A$5:$A$676,'库存与收货'!$H$5:$H$676,0)+XLOOKUP(A49,'库存与收货'!$A$5:$A$676,'库存与收货'!$J$5:$J$676,0)</x:f>
        <x:v>9.143100072313821</x:v>
      </x:c>
      <x:c r="J49" s="21" t="n">
        <x:f>MAX(0,1-ABS(F49-I49)/MAX(I49,0.01))</x:f>
        <x:v>0.8318697901935945</x:v>
      </x:c>
      <x:c r="K49" s="21" t="n">
        <x:f>MAX(0,1-ABS(H49-I49)/MAX(I49,0.01))</x:f>
        <x:v>0.8943672161876677</x:v>
      </x:c>
      <x:c r="L49" s="24" t="n">
        <x:f>MAX(I49-H49,0)</x:f>
        <x:v>0.9658111133132454</x:v>
      </x:c>
      <x:c r="M49" s="24" t="n">
        <x:f>MAX(H49-I49,0)</x:f>
        <x:v>0</x:v>
      </x:c>
      <x:c r="N49" s="19" t="str">
        <x:v>周敏</x:v>
      </x:c>
      <x:c r="O49" s="19" t="str">
        <x:v>S-按销量/BOM/日型生成</x:v>
      </x:c>
    </x:row>
    <x:row r="50">
      <x:c r="A50" s="19" t="str">
        <x:v>2026-07-10|S01|粉皮</x:v>
      </x:c>
      <x:c r="B50" s="34" t="n">
        <x:v>46213.5</x:v>
      </x:c>
      <x:c r="C50" s="19" t="str">
        <x:v>S01</x:v>
      </x:c>
      <x:c r="D50" s="19" t="str">
        <x:v>近江天阳店</x:v>
      </x:c>
      <x:c r="E50" s="19" t="str">
        <x:v>粉皮</x:v>
      </x:c>
      <x:c r="F50" s="32" t="n">
        <x:v>5.664275396700662</x:v>
      </x:c>
      <x:c r="G50" s="32" t="n">
        <x:v>6.141695361556014</x:v>
      </x:c>
      <x:c r="H50" s="24" t="n">
        <x:f>G50</x:f>
        <x:v>6.141695361556014</x:v>
      </x:c>
      <x:c r="I50" s="24" t="n">
        <x:f>XLOOKUP(A50,'库存与收货'!$A$5:$A$676,'库存与收货'!$H$5:$H$676,0)+XLOOKUP(A50,'库存与收货'!$A$5:$A$676,'库存与收货'!$J$5:$J$676,0)</x:f>
        <x:v>6.883367381176996</x:v>
      </x:c>
      <x:c r="J50" s="21" t="n">
        <x:f>MAX(0,1-ABS(F50-I50)/MAX(I50,0.01))</x:f>
        <x:v>0.8228930816899271</x:v>
      </x:c>
      <x:c r="K50" s="21" t="n">
        <x:f>MAX(0,1-ABS(H50-I50)/MAX(I50,0.01))</x:f>
        <x:v>0.8922515712804853</x:v>
      </x:c>
      <x:c r="L50" s="24" t="n">
        <x:f>MAX(I50-H50,0)</x:f>
        <x:v>0.7416720196209825</x:v>
      </x:c>
      <x:c r="M50" s="24" t="n">
        <x:f>MAX(H50-I50,0)</x:f>
        <x:v>0</x:v>
      </x:c>
      <x:c r="N50" s="19" t="str">
        <x:v>周敏</x:v>
      </x:c>
      <x:c r="O50" s="19" t="str">
        <x:v>S-按销量/BOM/日型生成</x:v>
      </x:c>
    </x:row>
    <x:row r="51">
      <x:c r="A51" s="19" t="str">
        <x:v>2026-07-10|S01|鸡杂</x:v>
      </x:c>
      <x:c r="B51" s="34" t="n">
        <x:v>46213.5</x:v>
      </x:c>
      <x:c r="C51" s="19" t="str">
        <x:v>S01</x:v>
      </x:c>
      <x:c r="D51" s="19" t="str">
        <x:v>近江天阳店</x:v>
      </x:c>
      <x:c r="E51" s="19" t="str">
        <x:v>鸡杂</x:v>
      </x:c>
      <x:c r="F51" s="32" t="n">
        <x:v>4.430257114280451</x:v>
      </x:c>
      <x:c r="G51" s="32" t="n">
        <x:v>4.404592538217513</x:v>
      </x:c>
      <x:c r="H51" s="24" t="n">
        <x:f>G51</x:f>
        <x:v>4.404592538217513</x:v>
      </x:c>
      <x:c r="I51" s="24" t="n">
        <x:f>XLOOKUP(A51,'库存与收货'!$A$5:$A$676,'库存与收货'!$H$5:$H$676,0)+XLOOKUP(A51,'库存与收货'!$A$5:$A$676,'库存与收货'!$J$5:$J$676,0)</x:f>
        <x:v>4.3727480869560384</x:v>
      </x:c>
      <x:c r="J51" s="21" t="n">
        <x:f>MAX(0,1-ABS(F51-I51)/MAX(I51,0.01))</x:f>
        <x:v>0.9868483099916131</x:v>
      </x:c>
      <x:c r="K51" s="21" t="n">
        <x:f>MAX(0,1-ABS(H51-I51)/MAX(I51,0.01))</x:f>
        <x:v>0.9927175198231823</x:v>
      </x:c>
      <x:c r="L51" s="24" t="n">
        <x:f>MAX(I51-H51,0)</x:f>
        <x:v>0</x:v>
      </x:c>
      <x:c r="M51" s="24" t="n">
        <x:f>MAX(H51-I51,0)</x:f>
        <x:v>0.03184445126147484</x:v>
      </x:c>
      <x:c r="N51" s="19" t="str">
        <x:v>周敏</x:v>
      </x:c>
      <x:c r="O51" s="19" t="str">
        <x:v>S-按销量/BOM/日型生成</x:v>
      </x:c>
    </x:row>
    <x:row r="52">
      <x:c r="A52" s="19" t="str">
        <x:v>2026-07-10|S01|豆腐</x:v>
      </x:c>
      <x:c r="B52" s="34" t="n">
        <x:v>46213.5</x:v>
      </x:c>
      <x:c r="C52" s="19" t="str">
        <x:v>S01</x:v>
      </x:c>
      <x:c r="D52" s="19" t="str">
        <x:v>近江天阳店</x:v>
      </x:c>
      <x:c r="E52" s="19" t="str">
        <x:v>豆腐</x:v>
      </x:c>
      <x:c r="F52" s="32" t="n">
        <x:v>27.509035327341316</x:v>
      </x:c>
      <x:c r="G52" s="32" t="n">
        <x:v>26.616203104097746</x:v>
      </x:c>
      <x:c r="H52" s="24" t="n">
        <x:f>G52</x:f>
        <x:v>26.616203104097746</x:v>
      </x:c>
      <x:c r="I52" s="24" t="n">
        <x:f>XLOOKUP(A52,'库存与收货'!$A$5:$A$676,'库存与收货'!$H$5:$H$676,0)+XLOOKUP(A52,'库存与收货'!$A$5:$A$676,'库存与收货'!$J$5:$J$676,0)</x:f>
        <x:v>24.00340962141599</x:v>
      </x:c>
      <x:c r="J52" s="21" t="n">
        <x:f>MAX(0,1-ABS(F52-I52)/MAX(I52,0.01))</x:f>
        <x:v>0.8539530107923674</x:v>
      </x:c>
      <x:c r="K52" s="21" t="n">
        <x:f>MAX(0,1-ABS(H52-I52)/MAX(I52,0.01))</x:f>
        <x:v>0.8911490690743116</x:v>
      </x:c>
      <x:c r="L52" s="24" t="n">
        <x:f>MAX(I52-H52,0)</x:f>
        <x:v>0</x:v>
      </x:c>
      <x:c r="M52" s="24" t="n">
        <x:f>MAX(H52-I52,0)</x:f>
        <x:v>2.612793482681756</x:v>
      </x:c>
      <x:c r="N52" s="19" t="str">
        <x:v>周敏</x:v>
      </x:c>
      <x:c r="O52" s="19" t="str">
        <x:v>S-按销量/BOM/日型生成</x:v>
      </x:c>
    </x:row>
    <x:row r="53">
      <x:c r="A53" s="19" t="str">
        <x:v>2026-07-11|S01|瘦肉片</x:v>
      </x:c>
      <x:c r="B53" s="34" t="n">
        <x:v>46214.5</x:v>
      </x:c>
      <x:c r="C53" s="19" t="str">
        <x:v>S01</x:v>
      </x:c>
      <x:c r="D53" s="19" t="str">
        <x:v>近江天阳店</x:v>
      </x:c>
      <x:c r="E53" s="19" t="str">
        <x:v>瘦肉片</x:v>
      </x:c>
      <x:c r="F53" s="32" t="n">
        <x:v>10.927666007333912</x:v>
      </x:c>
      <x:c r="G53" s="32" t="n">
        <x:v>10.691476658587</x:v>
      </x:c>
      <x:c r="H53" s="24" t="n">
        <x:f>G53</x:f>
        <x:v>10.691476658587</x:v>
      </x:c>
      <x:c r="I53" s="24" t="n">
        <x:f>XLOOKUP(A53,'库存与收货'!$A$5:$A$676,'库存与收货'!$H$5:$H$676,0)+XLOOKUP(A53,'库存与收货'!$A$5:$A$676,'库存与收货'!$J$5:$J$676,0)</x:f>
        <x:v>10.26590772625895</x:v>
      </x:c>
      <x:c r="J53" s="21" t="n">
        <x:f>MAX(0,1-ABS(F53-I53)/MAX(I53,0.01))</x:f>
        <x:v>0.9355382593803894</x:v>
      </x:c>
      <x:c r="K53" s="21" t="n">
        <x:f>MAX(0,1-ABS(H53-I53)/MAX(I53,0.01))</x:f>
        <x:v>0.9585454161798576</x:v>
      </x:c>
      <x:c r="L53" s="24" t="n">
        <x:f>MAX(I53-H53,0)</x:f>
        <x:v>0</x:v>
      </x:c>
      <x:c r="M53" s="24" t="n">
        <x:f>MAX(H53-I53,0)</x:f>
        <x:v>0.4255689323280496</x:v>
      </x:c>
      <x:c r="N53" s="19" t="str">
        <x:v>周敏</x:v>
      </x:c>
      <x:c r="O53" s="19" t="str">
        <x:v>S-按销量/BOM/日型生成</x:v>
      </x:c>
    </x:row>
    <x:row r="54">
      <x:c r="A54" s="19" t="str">
        <x:v>2026-07-11|S01|肥肉片</x:v>
      </x:c>
      <x:c r="B54" s="34" t="n">
        <x:v>46214.5</x:v>
      </x:c>
      <x:c r="C54" s="19" t="str">
        <x:v>S01</x:v>
      </x:c>
      <x:c r="D54" s="19" t="str">
        <x:v>近江天阳店</x:v>
      </x:c>
      <x:c r="E54" s="19" t="str">
        <x:v>肥肉片</x:v>
      </x:c>
      <x:c r="F54" s="32" t="n">
        <x:v>3.1610506762817514</x:v>
      </x:c>
      <x:c r="G54" s="32" t="n">
        <x:v>3.1055351185778934</x:v>
      </x:c>
      <x:c r="H54" s="24" t="n">
        <x:f>G54</x:f>
        <x:v>3.1055351185778934</x:v>
      </x:c>
      <x:c r="I54" s="24" t="n">
        <x:f>XLOOKUP(A54,'库存与收货'!$A$5:$A$676,'库存与收货'!$H$5:$H$676,0)+XLOOKUP(A54,'库存与收货'!$A$5:$A$676,'库存与收货'!$J$5:$J$676,0)</x:f>
        <x:v>2.947160662561576</x:v>
      </x:c>
      <x:c r="J54" s="21" t="n">
        <x:f>MAX(0,1-ABS(F54-I54)/MAX(I54,0.01))</x:f>
        <x:v>0.9274250581458735</x:v>
      </x:c>
      <x:c r="K54" s="21" t="n">
        <x:f>MAX(0,1-ABS(H54-I54)/MAX(I54,0.01))</x:f>
        <x:v>0.946262021603307</x:v>
      </x:c>
      <x:c r="L54" s="24" t="n">
        <x:f>MAX(I54-H54,0)</x:f>
        <x:v>0</x:v>
      </x:c>
      <x:c r="M54" s="24" t="n">
        <x:f>MAX(H54-I54,0)</x:f>
        <x:v>0.1583744560163174</x:v>
      </x:c>
      <x:c r="N54" s="19" t="str">
        <x:v>周敏</x:v>
      </x:c>
      <x:c r="O54" s="19" t="str">
        <x:v>S-按销量/BOM/日型生成</x:v>
      </x:c>
    </x:row>
    <x:row r="55">
      <x:c r="A55" s="19" t="str">
        <x:v>2026-07-11|S01|牛肉片</x:v>
      </x:c>
      <x:c r="B55" s="34" t="n">
        <x:v>46214.5</x:v>
      </x:c>
      <x:c r="C55" s="19" t="str">
        <x:v>S01</x:v>
      </x:c>
      <x:c r="D55" s="19" t="str">
        <x:v>近江天阳店</x:v>
      </x:c>
      <x:c r="E55" s="19" t="str">
        <x:v>牛肉片</x:v>
      </x:c>
      <x:c r="F55" s="32" t="n">
        <x:v>8.222735404683343</x:v>
      </x:c>
      <x:c r="G55" s="32" t="n">
        <x:v>7.9745599698642575</x:v>
      </x:c>
      <x:c r="H55" s="24" t="n">
        <x:f>G55</x:f>
        <x:v>7.9745599698642575</x:v>
      </x:c>
      <x:c r="I55" s="24" t="n">
        <x:f>XLOOKUP(A55,'库存与收货'!$A$5:$A$676,'库存与收货'!$H$5:$H$676,0)+XLOOKUP(A55,'库存与收货'!$A$5:$A$676,'库存与收货'!$J$5:$J$676,0)</x:f>
        <x:v>7.269152511841187</x:v>
      </x:c>
      <x:c r="J55" s="21" t="n">
        <x:f>MAX(0,1-ABS(F55-I55)/MAX(I55,0.01))</x:f>
        <x:v>0.8688178723325994</x:v>
      </x:c>
      <x:c r="K55" s="21" t="n">
        <x:f>MAX(0,1-ABS(H55-I55)/MAX(I55,0.01))</x:f>
        <x:v>0.9029587758856363</x:v>
      </x:c>
      <x:c r="L55" s="24" t="n">
        <x:f>MAX(I55-H55,0)</x:f>
        <x:v>0</x:v>
      </x:c>
      <x:c r="M55" s="24" t="n">
        <x:f>MAX(H55-I55,0)</x:f>
        <x:v>0.7054074580230703</x:v>
      </x:c>
      <x:c r="N55" s="19" t="str">
        <x:v>周敏</x:v>
      </x:c>
      <x:c r="O55" s="19" t="str">
        <x:v>S-按销量/BOM/日型生成</x:v>
      </x:c>
    </x:row>
    <x:row r="56">
      <x:c r="A56" s="19" t="str">
        <x:v>2026-07-11|S01|螺丝椒</x:v>
      </x:c>
      <x:c r="B56" s="34" t="n">
        <x:v>46214.5</x:v>
      </x:c>
      <x:c r="C56" s="19" t="str">
        <x:v>S01</x:v>
      </x:c>
      <x:c r="D56" s="19" t="str">
        <x:v>近江天阳店</x:v>
      </x:c>
      <x:c r="E56" s="19" t="str">
        <x:v>螺丝椒</x:v>
      </x:c>
      <x:c r="F56" s="32" t="n">
        <x:v>10.765224541407463</x:v>
      </x:c>
      <x:c r="G56" s="32" t="n">
        <x:v>10.861754412575326</x:v>
      </x:c>
      <x:c r="H56" s="24" t="n">
        <x:f>G56</x:f>
        <x:v>10.861754412575326</x:v>
      </x:c>
      <x:c r="I56" s="24" t="n">
        <x:f>XLOOKUP(A56,'库存与收货'!$A$5:$A$676,'库存与收货'!$H$5:$H$676,0)+XLOOKUP(A56,'库存与收货'!$A$5:$A$676,'库存与收货'!$J$5:$J$676,0)</x:f>
        <x:v>11.042515108099618</x:v>
      </x:c>
      <x:c r="J56" s="21" t="n">
        <x:f>MAX(0,1-ABS(F56-I56)/MAX(I56,0.01))</x:f>
        <x:v>0.9748888216155789</x:v>
      </x:c>
      <x:c r="K56" s="21" t="n">
        <x:f>MAX(0,1-ABS(H56-I56)/MAX(I56,0.01))</x:f>
        <x:v>0.9836304778617233</x:v>
      </x:c>
      <x:c r="L56" s="24" t="n">
        <x:f>MAX(I56-H56,0)</x:f>
        <x:v>0.18076069552429175</x:v>
      </x:c>
      <x:c r="M56" s="24" t="n">
        <x:f>MAX(H56-I56,0)</x:f>
        <x:v>0</x:v>
      </x:c>
      <x:c r="N56" s="19" t="str">
        <x:v>周敏</x:v>
      </x:c>
      <x:c r="O56" s="19" t="str">
        <x:v>S-按销量/BOM/日型生成</x:v>
      </x:c>
    </x:row>
    <x:row r="57">
      <x:c r="A57" s="19" t="str">
        <x:v>2026-07-11|S01|青湖南椒圈</x:v>
      </x:c>
      <x:c r="B57" s="34" t="n">
        <x:v>46214.5</x:v>
      </x:c>
      <x:c r="C57" s="19" t="str">
        <x:v>S01</x:v>
      </x:c>
      <x:c r="D57" s="19" t="str">
        <x:v>近江天阳店</x:v>
      </x:c>
      <x:c r="E57" s="19" t="str">
        <x:v>青湖南椒圈</x:v>
      </x:c>
      <x:c r="F57" s="32" t="n">
        <x:v>1.2934865570403757</x:v>
      </x:c>
      <x:c r="G57" s="32" t="n">
        <x:v>1.3748757306637591</x:v>
      </x:c>
      <x:c r="H57" s="24" t="n">
        <x:f>G57</x:f>
        <x:v>1.3748757306637591</x:v>
      </x:c>
      <x:c r="I57" s="24" t="n">
        <x:f>XLOOKUP(A57,'库存与收货'!$A$5:$A$676,'库存与收货'!$H$5:$H$676,0)+XLOOKUP(A57,'库存与收货'!$A$5:$A$676,'库存与收货'!$J$5:$J$676,0)</x:f>
        <x:v>1.5447128159069021</x:v>
      </x:c>
      <x:c r="J57" s="21" t="n">
        <x:f>MAX(0,1-ABS(F57-I57)/MAX(I57,0.01))</x:f>
        <x:v>0.8373637764382558</x:v>
      </x:c>
      <x:c r="K57" s="21" t="n">
        <x:f>MAX(0,1-ABS(H57-I57)/MAX(I57,0.01))</x:f>
        <x:v>0.8900526470071193</x:v>
      </x:c>
      <x:c r="L57" s="24" t="n">
        <x:f>MAX(I57-H57,0)</x:f>
        <x:v>0.169837085243143</x:v>
      </x:c>
      <x:c r="M57" s="24" t="n">
        <x:f>MAX(H57-I57,0)</x:f>
        <x:v>0</x:v>
      </x:c>
      <x:c r="N57" s="19" t="str">
        <x:v>周敏</x:v>
      </x:c>
      <x:c r="O57" s="19" t="str">
        <x:v>S-按销量/BOM/日型生成</x:v>
      </x:c>
    </x:row>
    <x:row r="58">
      <x:c r="A58" s="19" t="str">
        <x:v>2026-07-11|S01|鸡蛋</x:v>
      </x:c>
      <x:c r="B58" s="34" t="n">
        <x:v>46214.5</x:v>
      </x:c>
      <x:c r="C58" s="19" t="str">
        <x:v>S01</x:v>
      </x:c>
      <x:c r="D58" s="19" t="str">
        <x:v>近江天阳店</x:v>
      </x:c>
      <x:c r="E58" s="19" t="str">
        <x:v>鸡蛋</x:v>
      </x:c>
      <x:c r="F58" s="32" t="n">
        <x:v>13.607740780508582</x:v>
      </x:c>
      <x:c r="G58" s="32" t="n">
        <x:v>13.800625141179239</x:v>
      </x:c>
      <x:c r="H58" s="24" t="n">
        <x:f>G58</x:f>
        <x:v>13.800625141179239</x:v>
      </x:c>
      <x:c r="I58" s="24" t="n">
        <x:f>XLOOKUP(A58,'库存与收货'!$A$5:$A$676,'库存与收货'!$H$5:$H$676,0)+XLOOKUP(A58,'库存与收货'!$A$5:$A$676,'库存与收货'!$J$5:$J$676,0)</x:f>
        <x:v>14.284463486962942</x:v>
      </x:c>
      <x:c r="J58" s="21" t="n">
        <x:f>MAX(0,1-ABS(F58-I58)/MAX(I58,0.01))</x:f>
        <x:v>0.9526252626098287</x:v>
      </x:c>
      <x:c r="K58" s="21" t="n">
        <x:f>MAX(0,1-ABS(H58-I58)/MAX(I58,0.01))</x:f>
        <x:v>0.9661283501319256</x:v>
      </x:c>
      <x:c r="L58" s="24" t="n">
        <x:f>MAX(I58-H58,0)</x:f>
        <x:v>0.48383834578370255</x:v>
      </x:c>
      <x:c r="M58" s="24" t="n">
        <x:f>MAX(H58-I58,0)</x:f>
        <x:v>0</x:v>
      </x:c>
      <x:c r="N58" s="19" t="str">
        <x:v>周敏</x:v>
      </x:c>
      <x:c r="O58" s="19" t="str">
        <x:v>S-按销量/BOM/日型生成</x:v>
      </x:c>
    </x:row>
    <x:row r="59">
      <x:c r="A59" s="19" t="str">
        <x:v>2026-07-11|S01|鸡肉</x:v>
      </x:c>
      <x:c r="B59" s="34" t="n">
        <x:v>46214.5</x:v>
      </x:c>
      <x:c r="C59" s="19" t="str">
        <x:v>S01</x:v>
      </x:c>
      <x:c r="D59" s="19" t="str">
        <x:v>近江天阳店</x:v>
      </x:c>
      <x:c r="E59" s="19" t="str">
        <x:v>鸡肉</x:v>
      </x:c>
      <x:c r="F59" s="32" t="n">
        <x:v>3.9393028758420607</x:v>
      </x:c>
      <x:c r="G59" s="32" t="n">
        <x:v>4.243483573911068</x:v>
      </x:c>
      <x:c r="H59" s="24" t="n">
        <x:f>G59</x:f>
        <x:v>4.243483573911068</x:v>
      </x:c>
      <x:c r="I59" s="24" t="n">
        <x:f>XLOOKUP(A59,'库存与收货'!$A$5:$A$676,'库存与收货'!$H$5:$H$676,0)+XLOOKUP(A59,'库存与收货'!$A$5:$A$676,'库存与收货'!$J$5:$J$676,0)</x:f>
        <x:v>4.6273163094132475</x:v>
      </x:c>
      <x:c r="J59" s="21" t="n">
        <x:f>MAX(0,1-ABS(F59-I59)/MAX(I59,0.01))</x:f>
        <x:v>0.8513148037510261</x:v>
      </x:c>
      <x:c r="K59" s="21" t="n">
        <x:f>MAX(0,1-ABS(H59-I59)/MAX(I59,0.01))</x:f>
        <x:v>0.9170506812509539</x:v>
      </x:c>
      <x:c r="L59" s="24" t="n">
        <x:f>MAX(I59-H59,0)</x:f>
        <x:v>0.3838327355021791</x:v>
      </x:c>
      <x:c r="M59" s="24" t="n">
        <x:f>MAX(H59-I59,0)</x:f>
        <x:v>0</x:v>
      </x:c>
      <x:c r="N59" s="19" t="str">
        <x:v>周敏</x:v>
      </x:c>
      <x:c r="O59" s="19" t="str">
        <x:v>S-按销量/BOM/日型生成</x:v>
      </x:c>
    </x:row>
    <x:row r="60">
      <x:c r="A60" s="19" t="str">
        <x:v>2026-07-11|S01|鲈鱼</x:v>
      </x:c>
      <x:c r="B60" s="34" t="n">
        <x:v>46214.5</x:v>
      </x:c>
      <x:c r="C60" s="19" t="str">
        <x:v>S01</x:v>
      </x:c>
      <x:c r="D60" s="19" t="str">
        <x:v>近江天阳店</x:v>
      </x:c>
      <x:c r="E60" s="19" t="str">
        <x:v>鲈鱼</x:v>
      </x:c>
      <x:c r="F60" s="32" t="n">
        <x:v>3.011537690967308</x:v>
      </x:c>
      <x:c r="G60" s="32" t="n">
        <x:v>3.038679227587705</x:v>
      </x:c>
      <x:c r="H60" s="24" t="n">
        <x:f>G60</x:f>
        <x:v>3.038679227587705</x:v>
      </x:c>
      <x:c r="I60" s="24" t="n">
        <x:f>XLOOKUP(A60,'库存与收货'!$A$5:$A$676,'库存与收货'!$H$5:$H$676,0)+XLOOKUP(A60,'库存与收货'!$A$5:$A$676,'库存与收货'!$J$5:$J$676,0)</x:f>
        <x:v>3.1075063541199794</x:v>
      </x:c>
      <x:c r="J60" s="21" t="n">
        <x:f>MAX(0,1-ABS(F60-I60)/MAX(I60,0.01))</x:f>
        <x:v>0.9691171466068171</x:v>
      </x:c>
      <x:c r="K60" s="21" t="n">
        <x:f>MAX(0,1-ABS(H60-I60)/MAX(I60,0.01))</x:f>
        <x:v>0.9778513320041896</x:v>
      </x:c>
      <x:c r="L60" s="24" t="n">
        <x:f>MAX(I60-H60,0)</x:f>
        <x:v>0.06882712653227463</x:v>
      </x:c>
      <x:c r="M60" s="24" t="n">
        <x:f>MAX(H60-I60,0)</x:f>
        <x:v>0</x:v>
      </x:c>
      <x:c r="N60" s="19" t="str">
        <x:v>周敏</x:v>
      </x:c>
      <x:c r="O60" s="19" t="str">
        <x:v>S-按销量/BOM/日型生成</x:v>
      </x:c>
    </x:row>
    <x:row r="61">
      <x:c r="A61" s="19" t="str">
        <x:v>2026-07-11|S01|酸包菜</x:v>
      </x:c>
      <x:c r="B61" s="34" t="n">
        <x:v>46214.5</x:v>
      </x:c>
      <x:c r="C61" s="19" t="str">
        <x:v>S01</x:v>
      </x:c>
      <x:c r="D61" s="19" t="str">
        <x:v>近江天阳店</x:v>
      </x:c>
      <x:c r="E61" s="19" t="str">
        <x:v>酸包菜</x:v>
      </x:c>
      <x:c r="F61" s="32" t="n">
        <x:v>8.799365524521583</x:v>
      </x:c>
      <x:c r="G61" s="32" t="n">
        <x:v>8.46871672270995</x:v>
      </x:c>
      <x:c r="H61" s="24" t="n">
        <x:f>G61</x:f>
        <x:v>8.46871672270995</x:v>
      </x:c>
      <x:c r="I61" s="24" t="n">
        <x:f>XLOOKUP(A61,'库存与收货'!$A$5:$A$676,'库存与收货'!$H$5:$H$676,0)+XLOOKUP(A61,'库存与收货'!$A$5:$A$676,'库存与收货'!$J$5:$J$676,0)</x:f>
        <x:v>7.480362344742837</x:v>
      </x:c>
      <x:c r="J61" s="21" t="n">
        <x:f>MAX(0,1-ABS(F61-I61)/MAX(I61,0.01))</x:f>
        <x:v>0.823671218185609</x:v>
      </x:c>
      <x:c r="K61" s="21" t="n">
        <x:f>MAX(0,1-ABS(H61-I61)/MAX(I61,0.01))</x:f>
        <x:v>0.8678734622178133</x:v>
      </x:c>
      <x:c r="L61" s="24" t="n">
        <x:f>MAX(I61-H61,0)</x:f>
        <x:v>0</x:v>
      </x:c>
      <x:c r="M61" s="24" t="n">
        <x:f>MAX(H61-I61,0)</x:f>
        <x:v>0.988354377967112</x:v>
      </x:c>
      <x:c r="N61" s="19" t="str">
        <x:v>周敏</x:v>
      </x:c>
      <x:c r="O61" s="19" t="str">
        <x:v>S-按销量/BOM/日型生成</x:v>
      </x:c>
    </x:row>
    <x:row r="62">
      <x:c r="A62" s="19" t="str">
        <x:v>2026-07-11|S01|粉皮</x:v>
      </x:c>
      <x:c r="B62" s="34" t="n">
        <x:v>46214.5</x:v>
      </x:c>
      <x:c r="C62" s="19" t="str">
        <x:v>S01</x:v>
      </x:c>
      <x:c r="D62" s="19" t="str">
        <x:v>近江天阳店</x:v>
      </x:c>
      <x:c r="E62" s="19" t="str">
        <x:v>粉皮</x:v>
      </x:c>
      <x:c r="F62" s="32" t="n">
        <x:v>4.752483211668394</x:v>
      </x:c>
      <x:c r="G62" s="32" t="n">
        <x:v>4.999301179653985</x:v>
      </x:c>
      <x:c r="H62" s="24" t="n">
        <x:f>G62</x:f>
        <x:v>4.999301179653985</x:v>
      </x:c>
      <x:c r="I62" s="24" t="n">
        <x:f>XLOOKUP(A62,'库存与收货'!$A$5:$A$676,'库存与收货'!$H$5:$H$676,0)+XLOOKUP(A62,'库存与收货'!$A$5:$A$676,'库存与收货'!$J$5:$J$676,0)</x:f>
        <x:v>5.552853265355307</x:v>
      </x:c>
      <x:c r="J62" s="21" t="n">
        <x:f>MAX(0,1-ABS(F62-I62)/MAX(I62,0.01))</x:f>
        <x:v>0.855863280472314</x:v>
      </x:c>
      <x:c r="K62" s="21" t="n">
        <x:f>MAX(0,1-ABS(H62-I62)/MAX(I62,0.01))</x:f>
        <x:v>0.9003121351765266</x:v>
      </x:c>
      <x:c r="L62" s="24" t="n">
        <x:f>MAX(I62-H62,0)</x:f>
        <x:v>0.5535520857013223</x:v>
      </x:c>
      <x:c r="M62" s="24" t="n">
        <x:f>MAX(H62-I62,0)</x:f>
        <x:v>0</x:v>
      </x:c>
      <x:c r="N62" s="19" t="str">
        <x:v>周敏</x:v>
      </x:c>
      <x:c r="O62" s="19" t="str">
        <x:v>S-按销量/BOM/日型生成</x:v>
      </x:c>
    </x:row>
    <x:row r="63">
      <x:c r="A63" s="19" t="str">
        <x:v>2026-07-11|S01|鸡杂</x:v>
      </x:c>
      <x:c r="B63" s="34" t="n">
        <x:v>46214.5</x:v>
      </x:c>
      <x:c r="C63" s="19" t="str">
        <x:v>S01</x:v>
      </x:c>
      <x:c r="D63" s="19" t="str">
        <x:v>近江天阳店</x:v>
      </x:c>
      <x:c r="E63" s="19" t="str">
        <x:v>鸡杂</x:v>
      </x:c>
      <x:c r="F63" s="32" t="n">
        <x:v>2.6522334170104553</x:v>
      </x:c>
      <x:c r="G63" s="32" t="n">
        <x:v>2.8207748866744358</x:v>
      </x:c>
      <x:c r="H63" s="24" t="n">
        <x:f>G63</x:f>
        <x:v>2.8207748866744358</x:v>
      </x:c>
      <x:c r="I63" s="24" t="n">
        <x:f>XLOOKUP(A63,'库存与收货'!$A$5:$A$676,'库存与收货'!$H$5:$H$676,0)+XLOOKUP(A63,'库存与收货'!$A$5:$A$676,'库存与收货'!$J$5:$J$676,0)</x:f>
        <x:v>3.0823110892338006</x:v>
      </x:c>
      <x:c r="J63" s="21" t="n">
        <x:f>MAX(0,1-ABS(F63-I63)/MAX(I63,0.01))</x:f>
        <x:v>0.8604690896627654</x:v>
      </x:c>
      <x:c r="K63" s="21" t="n">
        <x:f>MAX(0,1-ABS(H63-I63)/MAX(I63,0.01))</x:f>
        <x:v>0.9151493165395004</x:v>
      </x:c>
      <x:c r="L63" s="24" t="n">
        <x:f>MAX(I63-H63,0)</x:f>
        <x:v>0.2615362025593648</x:v>
      </x:c>
      <x:c r="M63" s="24" t="n">
        <x:f>MAX(H63-I63,0)</x:f>
        <x:v>0</x:v>
      </x:c>
      <x:c r="N63" s="19" t="str">
        <x:v>周敏</x:v>
      </x:c>
      <x:c r="O63" s="19" t="str">
        <x:v>S-按销量/BOM/日型生成</x:v>
      </x:c>
    </x:row>
    <x:row r="64">
      <x:c r="A64" s="19" t="str">
        <x:v>2026-07-11|S01|豆腐</x:v>
      </x:c>
      <x:c r="B64" s="34" t="n">
        <x:v>46214.5</x:v>
      </x:c>
      <x:c r="C64" s="19" t="str">
        <x:v>S01</x:v>
      </x:c>
      <x:c r="D64" s="19" t="str">
        <x:v>近江天阳店</x:v>
      </x:c>
      <x:c r="E64" s="19" t="str">
        <x:v>豆腐</x:v>
      </x:c>
      <x:c r="F64" s="32" t="n">
        <x:v>17.635242830274887</x:v>
      </x:c>
      <x:c r="G64" s="32" t="n">
        <x:v>18.686095055512975</x:v>
      </x:c>
      <x:c r="H64" s="24" t="n">
        <x:f>G64</x:f>
        <x:v>18.686095055512975</x:v>
      </x:c>
      <x:c r="I64" s="24" t="n">
        <x:f>XLOOKUP(A64,'库存与收货'!$A$5:$A$676,'库存与收货'!$H$5:$H$676,0)+XLOOKUP(A64,'库存与收货'!$A$5:$A$676,'库存与收货'!$J$5:$J$676,0)</x:f>
        <x:v>20.22836746228588</x:v>
      </x:c>
      <x:c r="J64" s="21" t="n">
        <x:f>MAX(0,1-ABS(F64-I64)/MAX(I64,0.01))</x:f>
        <x:v>0.8718075179894937</x:v>
      </x:c>
      <x:c r="K64" s="21" t="n">
        <x:f>MAX(0,1-ABS(H64-I64)/MAX(I64,0.01))</x:f>
        <x:v>0.9237569512394738</x:v>
      </x:c>
      <x:c r="L64" s="24" t="n">
        <x:f>MAX(I64-H64,0)</x:f>
        <x:v>1.5422724067729057</x:v>
      </x:c>
      <x:c r="M64" s="24" t="n">
        <x:f>MAX(H64-I64,0)</x:f>
        <x:v>0</x:v>
      </x:c>
      <x:c r="N64" s="19" t="str">
        <x:v>周敏</x:v>
      </x:c>
      <x:c r="O64" s="19" t="str">
        <x:v>S-按销量/BOM/日型生成</x:v>
      </x:c>
    </x:row>
    <x:row r="65">
      <x:c r="A65" s="19" t="str">
        <x:v>2026-07-12|S01|瘦肉片</x:v>
      </x:c>
      <x:c r="B65" s="34" t="n">
        <x:v>46215.5</x:v>
      </x:c>
      <x:c r="C65" s="19" t="str">
        <x:v>S01</x:v>
      </x:c>
      <x:c r="D65" s="19" t="str">
        <x:v>近江天阳店</x:v>
      </x:c>
      <x:c r="E65" s="19" t="str">
        <x:v>瘦肉片</x:v>
      </x:c>
      <x:c r="F65" s="32" t="n">
        <x:v>11.767859537919186</x:v>
      </x:c>
      <x:c r="G65" s="32" t="n">
        <x:v>11.396622539683452</x:v>
      </x:c>
      <x:c r="H65" s="24" t="n">
        <x:f>G65</x:f>
        <x:v>11.396622539683452</x:v>
      </x:c>
      <x:c r="I65" s="24" t="n">
        <x:f>XLOOKUP(A65,'库存与收货'!$A$5:$A$676,'库存与收货'!$H$5:$H$676,0)+XLOOKUP(A65,'库存与收货'!$A$5:$A$676,'库存与收货'!$J$5:$J$676,0)</x:f>
        <x:v>10.438479247221485</x:v>
      </x:c>
      <x:c r="J65" s="21" t="n">
        <x:f>MAX(0,1-ABS(F65-I65)/MAX(I65,0.01))</x:f>
        <x:v>0.8726461719937264</x:v>
      </x:c>
      <x:c r="K65" s="21" t="n">
        <x:f>MAX(0,1-ABS(H65-I65)/MAX(I65,0.01))</x:f>
        <x:v>0.9082104519471066</x:v>
      </x:c>
      <x:c r="L65" s="24" t="n">
        <x:f>MAX(I65-H65,0)</x:f>
        <x:v>0</x:v>
      </x:c>
      <x:c r="M65" s="24" t="n">
        <x:f>MAX(H65-I65,0)</x:f>
        <x:v>0.9581432924619673</x:v>
      </x:c>
      <x:c r="N65" s="19" t="str">
        <x:v>周敏</x:v>
      </x:c>
      <x:c r="O65" s="19" t="str">
        <x:v>S-按销量/BOM/日型生成</x:v>
      </x:c>
    </x:row>
    <x:row r="66">
      <x:c r="A66" s="19" t="str">
        <x:v>2026-07-12|S01|肥肉片</x:v>
      </x:c>
      <x:c r="B66" s="34" t="n">
        <x:v>46215.5</x:v>
      </x:c>
      <x:c r="C66" s="19" t="str">
        <x:v>S01</x:v>
      </x:c>
      <x:c r="D66" s="19" t="str">
        <x:v>近江天阳店</x:v>
      </x:c>
      <x:c r="E66" s="19" t="str">
        <x:v>肥肉片</x:v>
      </x:c>
      <x:c r="F66" s="32" t="n">
        <x:v>2.6944819677824277</x:v>
      </x:c>
      <x:c r="G66" s="32" t="n">
        <x:v>2.7621325881214287</x:v>
      </x:c>
      <x:c r="H66" s="24" t="n">
        <x:f>G66</x:f>
        <x:v>2.7621325881214287</x:v>
      </x:c>
      <x:c r="I66" s="24" t="n">
        <x:f>XLOOKUP(A66,'库存与收货'!$A$5:$A$676,'库存与收货'!$H$5:$H$676,0)+XLOOKUP(A66,'库存与收货'!$A$5:$A$676,'库存与收货'!$J$5:$J$676,0)</x:f>
        <x:v>2.919330926058891</x:v>
      </x:c>
      <x:c r="J66" s="21" t="n">
        <x:f>MAX(0,1-ABS(F66-I66)/MAX(I66,0.01))</x:f>
        <x:v>0.9229792839621611</x:v>
      </x:c>
      <x:c r="K66" s="21" t="n">
        <x:f>MAX(0,1-ABS(H66-I66)/MAX(I66,0.01))</x:f>
        <x:v>0.9461526144452281</x:v>
      </x:c>
      <x:c r="L66" s="24" t="n">
        <x:f>MAX(I66-H66,0)</x:f>
        <x:v>0.15719833793746218</x:v>
      </x:c>
      <x:c r="M66" s="24" t="n">
        <x:f>MAX(H66-I66,0)</x:f>
        <x:v>0</x:v>
      </x:c>
      <x:c r="N66" s="19" t="str">
        <x:v>周敏</x:v>
      </x:c>
      <x:c r="O66" s="19" t="str">
        <x:v>S-按销量/BOM/日型生成</x:v>
      </x:c>
    </x:row>
    <x:row r="67">
      <x:c r="A67" s="19" t="str">
        <x:v>2026-07-12|S01|牛肉片</x:v>
      </x:c>
      <x:c r="B67" s="34" t="n">
        <x:v>46215.5</x:v>
      </x:c>
      <x:c r="C67" s="19" t="str">
        <x:v>S01</x:v>
      </x:c>
      <x:c r="D67" s="19" t="str">
        <x:v>近江天阳店</x:v>
      </x:c>
      <x:c r="E67" s="19" t="str">
        <x:v>牛肉片</x:v>
      </x:c>
      <x:c r="F67" s="32" t="n">
        <x:v>6.014709675974804</x:v>
      </x:c>
      <x:c r="G67" s="32" t="n">
        <x:v>6.387774345808127</x:v>
      </x:c>
      <x:c r="H67" s="24" t="n">
        <x:f>G67</x:f>
        <x:v>6.387774345808127</x:v>
      </x:c>
      <x:c r="I67" s="24" t="n">
        <x:f>XLOOKUP(A67,'库存与收货'!$A$5:$A$676,'库存与收货'!$H$5:$H$676,0)+XLOOKUP(A67,'库存与收货'!$A$5:$A$676,'库存与收货'!$J$5:$J$676,0)</x:f>
        <x:v>6.904001647953759</x:v>
      </x:c>
      <x:c r="J67" s="21" t="n">
        <x:f>MAX(0,1-ABS(F67-I67)/MAX(I67,0.01))</x:f>
        <x:v>0.8711918076898884</x:v>
      </x:c>
      <x:c r="K67" s="21" t="n">
        <x:f>MAX(0,1-ABS(H67-I67)/MAX(I67,0.01))</x:f>
        <x:v>0.9252278130178845</x:v>
      </x:c>
      <x:c r="L67" s="24" t="n">
        <x:f>MAX(I67-H67,0)</x:f>
        <x:v>0.5162273021456318</x:v>
      </x:c>
      <x:c r="M67" s="24" t="n">
        <x:f>MAX(H67-I67,0)</x:f>
        <x:v>0</x:v>
      </x:c>
      <x:c r="N67" s="19" t="str">
        <x:v>周敏</x:v>
      </x:c>
      <x:c r="O67" s="19" t="str">
        <x:v>S-按销量/BOM/日型生成</x:v>
      </x:c>
    </x:row>
    <x:row r="68">
      <x:c r="A68" s="19" t="str">
        <x:v>2026-07-12|S01|螺丝椒</x:v>
      </x:c>
      <x:c r="B68" s="34" t="n">
        <x:v>46215.5</x:v>
      </x:c>
      <x:c r="C68" s="19" t="str">
        <x:v>S01</x:v>
      </x:c>
      <x:c r="D68" s="19" t="str">
        <x:v>近江天阳店</x:v>
      </x:c>
      <x:c r="E68" s="19" t="str">
        <x:v>螺丝椒</x:v>
      </x:c>
      <x:c r="F68" s="32" t="n">
        <x:v>11.349276726488455</x:v>
      </x:c>
      <x:c r="G68" s="32" t="n">
        <x:v>10.94628093750421</x:v>
      </x:c>
      <x:c r="H68" s="24" t="n">
        <x:f>G68</x:f>
        <x:v>10.94628093750421</x:v>
      </x:c>
      <x:c r="I68" s="24" t="n">
        <x:f>XLOOKUP(A68,'库存与收货'!$A$5:$A$676,'库存与收货'!$H$5:$H$676,0)+XLOOKUP(A68,'库存与收货'!$A$5:$A$676,'库存与收货'!$J$5:$J$676,0)</x:f>
        <x:v>10.226469188864918</x:v>
      </x:c>
      <x:c r="J68" s="21" t="n">
        <x:f>MAX(0,1-ABS(F68-I68)/MAX(I68,0.01))</x:f>
        <x:v>0.8902057477622771</x:v>
      </x:c>
      <x:c r="K68" s="21" t="n">
        <x:f>MAX(0,1-ABS(H68-I68)/MAX(I68,0.01))</x:f>
        <x:v>0.9296128766101347</x:v>
      </x:c>
      <x:c r="L68" s="24" t="n">
        <x:f>MAX(I68-H68,0)</x:f>
        <x:v>0</x:v>
      </x:c>
      <x:c r="M68" s="24" t="n">
        <x:f>MAX(H68-I68,0)</x:f>
        <x:v>0.719811748639291</x:v>
      </x:c>
      <x:c r="N68" s="19" t="str">
        <x:v>周敏</x:v>
      </x:c>
      <x:c r="O68" s="19" t="str">
        <x:v>S-按销量/BOM/日型生成</x:v>
      </x:c>
    </x:row>
    <x:row r="69">
      <x:c r="A69" s="19" t="str">
        <x:v>2026-07-12|S01|青湖南椒圈</x:v>
      </x:c>
      <x:c r="B69" s="34" t="n">
        <x:v>46215.5</x:v>
      </x:c>
      <x:c r="C69" s="19" t="str">
        <x:v>S01</x:v>
      </x:c>
      <x:c r="D69" s="19" t="str">
        <x:v>近江天阳店</x:v>
      </x:c>
      <x:c r="E69" s="19" t="str">
        <x:v>青湖南椒圈</x:v>
      </x:c>
      <x:c r="F69" s="32" t="n">
        <x:v>1.6019647640791184</x:v>
      </x:c>
      <x:c r="G69" s="32" t="n">
        <x:v>1.6631443954539418</x:v>
      </x:c>
      <x:c r="H69" s="24" t="n">
        <x:f>G69</x:f>
        <x:v>1.6631443954539418</x:v>
      </x:c>
      <x:c r="I69" s="24" t="n">
        <x:f>XLOOKUP(A69,'库存与收货'!$A$5:$A$676,'库存与收货'!$H$5:$H$676,0)+XLOOKUP(A69,'库存与收货'!$A$5:$A$676,'库存与收货'!$J$5:$J$676,0)</x:f>
        <x:v>1.7484217981874062</x:v>
      </x:c>
      <x:c r="J69" s="21" t="n">
        <x:f>MAX(0,1-ABS(F69-I69)/MAX(I69,0.01))</x:f>
        <x:v>0.9162347242180804</x:v>
      </x:c>
      <x:c r="K69" s="21" t="n">
        <x:f>MAX(0,1-ABS(H69-I69)/MAX(I69,0.01))</x:f>
        <x:v>0.9512260698065698</x:v>
      </x:c>
      <x:c r="L69" s="24" t="n">
        <x:f>MAX(I69-H69,0)</x:f>
        <x:v>0.0852774027334644</x:v>
      </x:c>
      <x:c r="M69" s="24" t="n">
        <x:f>MAX(H69-I69,0)</x:f>
        <x:v>0</x:v>
      </x:c>
      <x:c r="N69" s="19" t="str">
        <x:v>周敏</x:v>
      </x:c>
      <x:c r="O69" s="19" t="str">
        <x:v>S-按销量/BOM/日型生成</x:v>
      </x:c>
    </x:row>
    <x:row r="70">
      <x:c r="A70" s="19" t="str">
        <x:v>2026-07-12|S01|鸡蛋</x:v>
      </x:c>
      <x:c r="B70" s="34" t="n">
        <x:v>46215.5</x:v>
      </x:c>
      <x:c r="C70" s="19" t="str">
        <x:v>S01</x:v>
      </x:c>
      <x:c r="D70" s="19" t="str">
        <x:v>近江天阳店</x:v>
      </x:c>
      <x:c r="E70" s="19" t="str">
        <x:v>鸡蛋</x:v>
      </x:c>
      <x:c r="F70" s="32" t="n">
        <x:v>14.825422419906207</x:v>
      </x:c>
      <x:c r="G70" s="32" t="n">
        <x:v>14.731362278263866</x:v>
      </x:c>
      <x:c r="H70" s="24" t="n">
        <x:f>G70</x:f>
        <x:v>14.731362278263866</x:v>
      </x:c>
      <x:c r="I70" s="24" t="n">
        <x:f>XLOOKUP(A70,'库存与收货'!$A$5:$A$676,'库存与收货'!$H$5:$H$676,0)+XLOOKUP(A70,'库存与收货'!$A$5:$A$676,'库存与收货'!$J$5:$J$676,0)</x:f>
        <x:v>14.591605939252851</x:v>
      </x:c>
      <x:c r="J70" s="21" t="n">
        <x:f>MAX(0,1-ABS(F70-I70)/MAX(I70,0.01))</x:f>
        <x:v>0.9839759597657194</x:v>
      </x:c>
      <x:c r="K70" s="21" t="n">
        <x:f>MAX(0,1-ABS(H70-I70)/MAX(I70,0.01))</x:f>
        <x:v>0.9904221413603929</x:v>
      </x:c>
      <x:c r="L70" s="24" t="n">
        <x:f>MAX(I70-H70,0)</x:f>
        <x:v>0</x:v>
      </x:c>
      <x:c r="M70" s="24" t="n">
        <x:f>MAX(H70-I70,0)</x:f>
        <x:v>0.13975633901101503</x:v>
      </x:c>
      <x:c r="N70" s="19" t="str">
        <x:v>周敏</x:v>
      </x:c>
      <x:c r="O70" s="19" t="str">
        <x:v>S-按销量/BOM/日型生成</x:v>
      </x:c>
    </x:row>
    <x:row r="71">
      <x:c r="A71" s="19" t="str">
        <x:v>2026-07-12|S01|鸡肉</x:v>
      </x:c>
      <x:c r="B71" s="34" t="n">
        <x:v>46215.5</x:v>
      </x:c>
      <x:c r="C71" s="19" t="str">
        <x:v>S01</x:v>
      </x:c>
      <x:c r="D71" s="19" t="str">
        <x:v>近江天阳店</x:v>
      </x:c>
      <x:c r="E71" s="19" t="str">
        <x:v>鸡肉</x:v>
      </x:c>
      <x:c r="F71" s="32" t="n">
        <x:v>4.701598518754292</x:v>
      </x:c>
      <x:c r="G71" s="32" t="n">
        <x:v>4.679759651055333</x:v>
      </x:c>
      <x:c r="H71" s="24" t="n">
        <x:f>G71</x:f>
        <x:v>4.679759651055333</x:v>
      </x:c>
      <x:c r="I71" s="24" t="n">
        <x:f>XLOOKUP(A71,'库存与收货'!$A$5:$A$676,'库存与收货'!$H$5:$H$676,0)+XLOOKUP(A71,'库存与收货'!$A$5:$A$676,'库存与收货'!$J$5:$J$676,0)</x:f>
        <x:v>4.62004188172462</x:v>
      </x:c>
      <x:c r="J71" s="21" t="n">
        <x:f>MAX(0,1-ABS(F71-I71)/MAX(I71,0.01))</x:f>
        <x:v>0.9823472082899761</x:v>
      </x:c>
      <x:c r="K71" s="21" t="n">
        <x:f>MAX(0,1-ABS(H71-I71)/MAX(I71,0.01))</x:f>
        <x:v>0.9870741930788686</x:v>
      </x:c>
      <x:c r="L71" s="24" t="n">
        <x:f>MAX(I71-H71,0)</x:f>
        <x:v>0</x:v>
      </x:c>
      <x:c r="M71" s="24" t="n">
        <x:f>MAX(H71-I71,0)</x:f>
        <x:v>0.05971776933071293</x:v>
      </x:c>
      <x:c r="N71" s="19" t="str">
        <x:v>周敏</x:v>
      </x:c>
      <x:c r="O71" s="19" t="str">
        <x:v>S-按销量/BOM/日型生成</x:v>
      </x:c>
    </x:row>
    <x:row r="72">
      <x:c r="A72" s="19" t="str">
        <x:v>2026-07-12|S01|鲈鱼</x:v>
      </x:c>
      <x:c r="B72" s="34" t="n">
        <x:v>46215.5</x:v>
      </x:c>
      <x:c r="C72" s="19" t="str">
        <x:v>S01</x:v>
      </x:c>
      <x:c r="D72" s="19" t="str">
        <x:v>近江天阳店</x:v>
      </x:c>
      <x:c r="E72" s="19" t="str">
        <x:v>鲈鱼</x:v>
      </x:c>
      <x:c r="F72" s="32" t="n">
        <x:v>3.105885732188814</x:v>
      </x:c>
      <x:c r="G72" s="32" t="n">
        <x:v>3.1048179310531587</x:v>
      </x:c>
      <x:c r="H72" s="24" t="n">
        <x:f>G72</x:f>
        <x:v>3.1048179310531587</x:v>
      </x:c>
      <x:c r="I72" s="24" t="n">
        <x:f>XLOOKUP(A72,'库存与收货'!$A$5:$A$676,'库存与收货'!$H$5:$H$676,0)+XLOOKUP(A72,'库存与收货'!$A$5:$A$676,'库存与收货'!$J$5:$J$676,0)</x:f>
        <x:v>3.1033968781769268</x:v>
      </x:c>
      <x:c r="J72" s="21" t="n">
        <x:f>MAX(0,1-ABS(F72-I72)/MAX(I72,0.01))</x:f>
        <x:v>0.9991980226475742</x:v>
      </x:c>
      <x:c r="K72" s="21" t="n">
        <x:f>MAX(0,1-ABS(H72-I72)/MAX(I72,0.01))</x:f>
        <x:v>0.9995420976007855</x:v>
      </x:c>
      <x:c r="L72" s="24" t="n">
        <x:f>MAX(I72-H72,0)</x:f>
        <x:v>0</x:v>
      </x:c>
      <x:c r="M72" s="24" t="n">
        <x:f>MAX(H72-I72,0)</x:f>
        <x:v>0.001421052876231954</x:v>
      </x:c>
      <x:c r="N72" s="19" t="str">
        <x:v>周敏</x:v>
      </x:c>
      <x:c r="O72" s="19" t="str">
        <x:v>S-按销量/BOM/日型生成</x:v>
      </x:c>
    </x:row>
    <x:row r="73">
      <x:c r="A73" s="19" t="str">
        <x:v>2026-07-12|S01|酸包菜</x:v>
      </x:c>
      <x:c r="B73" s="34" t="n">
        <x:v>46215.5</x:v>
      </x:c>
      <x:c r="C73" s="19" t="str">
        <x:v>S01</x:v>
      </x:c>
      <x:c r="D73" s="19" t="str">
        <x:v>近江天阳店</x:v>
      </x:c>
      <x:c r="E73" s="19" t="str">
        <x:v>酸包菜</x:v>
      </x:c>
      <x:c r="F73" s="32" t="n">
        <x:v>6.161684110642237</x:v>
      </x:c>
      <x:c r="G73" s="32" t="n">
        <x:v>6.22425192967897</x:v>
      </x:c>
      <x:c r="H73" s="24" t="n">
        <x:f>G73</x:f>
        <x:v>6.22425192967897</x:v>
      </x:c>
      <x:c r="I73" s="24" t="n">
        <x:f>XLOOKUP(A73,'库存与收货'!$A$5:$A$676,'库存与收货'!$H$5:$H$676,0)+XLOOKUP(A73,'库存与收货'!$A$5:$A$676,'库存与收货'!$J$5:$J$676,0)</x:f>
        <x:v>6.391824262710713</x:v>
      </x:c>
      <x:c r="J73" s="21" t="n">
        <x:f>MAX(0,1-ABS(F73-I73)/MAX(I73,0.01))</x:f>
        <x:v>0.9639946058262128</x:v>
      </x:c>
      <x:c r="K73" s="21" t="n">
        <x:f>MAX(0,1-ABS(H73-I73)/MAX(I73,0.01))</x:f>
        <x:v>0.9737833322468916</x:v>
      </x:c>
      <x:c r="L73" s="24" t="n">
        <x:f>MAX(I73-H73,0)</x:f>
        <x:v>0.16757233303174335</x:v>
      </x:c>
      <x:c r="M73" s="24" t="n">
        <x:f>MAX(H73-I73,0)</x:f>
        <x:v>0</x:v>
      </x:c>
      <x:c r="N73" s="19" t="str">
        <x:v>周敏</x:v>
      </x:c>
      <x:c r="O73" s="19" t="str">
        <x:v>S-按销量/BOM/日型生成</x:v>
      </x:c>
    </x:row>
    <x:row r="74">
      <x:c r="A74" s="19" t="str">
        <x:v>2026-07-12|S01|粉皮</x:v>
      </x:c>
      <x:c r="B74" s="34" t="n">
        <x:v>46215.5</x:v>
      </x:c>
      <x:c r="C74" s="19" t="str">
        <x:v>S01</x:v>
      </x:c>
      <x:c r="D74" s="19" t="str">
        <x:v>近江天阳店</x:v>
      </x:c>
      <x:c r="E74" s="19" t="str">
        <x:v>粉皮</x:v>
      </x:c>
      <x:c r="F74" s="32" t="n">
        <x:v>4.2697893210188855</x:v>
      </x:c>
      <x:c r="G74" s="32" t="n">
        <x:v>4.414985615779609</x:v>
      </x:c>
      <x:c r="H74" s="24" t="n">
        <x:f>G74</x:f>
        <x:v>4.414985615779609</x:v>
      </x:c>
      <x:c r="I74" s="24" t="n">
        <x:f>XLOOKUP(A74,'库存与收货'!$A$5:$A$676,'库存与收货'!$H$5:$H$676,0)+XLOOKUP(A74,'库存与收货'!$A$5:$A$676,'库存与收货'!$J$5:$J$676,0)</x:f>
        <x:v>4.810482707938176</x:v>
      </x:c>
      <x:c r="J74" s="21" t="n">
        <x:f>MAX(0,1-ABS(F74-I74)/MAX(I74,0.01))</x:f>
        <x:v>0.8876010122586976</x:v>
      </x:c>
      <x:c r="K74" s="21" t="n">
        <x:f>MAX(0,1-ABS(H74-I74)/MAX(I74,0.01))</x:f>
        <x:v>0.9177843230771988</x:v>
      </x:c>
      <x:c r="L74" s="24" t="n">
        <x:f>MAX(I74-H74,0)</x:f>
        <x:v>0.39549709215856677</x:v>
      </x:c>
      <x:c r="M74" s="24" t="n">
        <x:f>MAX(H74-I74,0)</x:f>
        <x:v>0</x:v>
      </x:c>
      <x:c r="N74" s="19" t="str">
        <x:v>周敏</x:v>
      </x:c>
      <x:c r="O74" s="19" t="str">
        <x:v>S-按销量/BOM/日型生成</x:v>
      </x:c>
    </x:row>
    <x:row r="75">
      <x:c r="A75" s="19" t="str">
        <x:v>2026-07-12|S01|鸡杂</x:v>
      </x:c>
      <x:c r="B75" s="34" t="n">
        <x:v>46215.5</x:v>
      </x:c>
      <x:c r="C75" s="19" t="str">
        <x:v>S01</x:v>
      </x:c>
      <x:c r="D75" s="19" t="str">
        <x:v>近江天阳店</x:v>
      </x:c>
      <x:c r="E75" s="19" t="str">
        <x:v>鸡杂</x:v>
      </x:c>
      <x:c r="F75" s="32" t="n">
        <x:v>3.251678050444016</x:v>
      </x:c>
      <x:c r="G75" s="32" t="n">
        <x:v>3.200484899045907</x:v>
      </x:c>
      <x:c r="H75" s="24" t="n">
        <x:f>G75</x:f>
        <x:v>3.200484899045907</x:v>
      </x:c>
      <x:c r="I75" s="24" t="n">
        <x:f>XLOOKUP(A75,'库存与收货'!$A$5:$A$676,'库存与收货'!$H$5:$H$676,0)+XLOOKUP(A75,'库存与收货'!$A$5:$A$676,'库存与收货'!$J$5:$J$676,0)</x:f>
        <x:v>3.0793921170358995</x:v>
      </x:c>
      <x:c r="J75" s="21" t="n">
        <x:f>MAX(0,1-ABS(F75-I75)/MAX(I75,0.01))</x:f>
        <x:v>0.9440519664725413</x:v>
      </x:c>
      <x:c r="K75" s="21" t="n">
        <x:f>MAX(0,1-ABS(H75-I75)/MAX(I75,0.01))</x:f>
        <x:v>0.9606764005986459</x:v>
      </x:c>
      <x:c r="L75" s="24" t="n">
        <x:f>MAX(I75-H75,0)</x:f>
        <x:v>0</x:v>
      </x:c>
      <x:c r="M75" s="24" t="n">
        <x:f>MAX(H75-I75,0)</x:f>
        <x:v>0.1210927820100074</x:v>
      </x:c>
      <x:c r="N75" s="19" t="str">
        <x:v>周敏</x:v>
      </x:c>
      <x:c r="O75" s="19" t="str">
        <x:v>S-按销量/BOM/日型生成</x:v>
      </x:c>
    </x:row>
    <x:row r="76">
      <x:c r="A76" s="19" t="str">
        <x:v>2026-07-12|S01|豆腐</x:v>
      </x:c>
      <x:c r="B76" s="34" t="n">
        <x:v>46215.5</x:v>
      </x:c>
      <x:c r="C76" s="19" t="str">
        <x:v>S01</x:v>
      </x:c>
      <x:c r="D76" s="19" t="str">
        <x:v>近江天阳店</x:v>
      </x:c>
      <x:c r="E76" s="19" t="str">
        <x:v>豆腐</x:v>
      </x:c>
      <x:c r="F76" s="32" t="n">
        <x:v>14.525461855889958</x:v>
      </x:c>
      <x:c r="G76" s="32" t="n">
        <x:v>15.531333350382132</x:v>
      </x:c>
      <x:c r="H76" s="24" t="n">
        <x:f>G76</x:f>
        <x:v>15.531333350382132</x:v>
      </x:c>
      <x:c r="I76" s="24" t="n">
        <x:f>XLOOKUP(A76,'库存与收货'!$A$5:$A$676,'库存与收货'!$H$5:$H$676,0)+XLOOKUP(A76,'库存与收货'!$A$5:$A$676,'库存与收货'!$J$5:$J$676,0)</x:f>
        <x:v>17.63084404546787</x:v>
      </x:c>
      <x:c r="J76" s="21" t="n">
        <x:f>MAX(0,1-ABS(F76-I76)/MAX(I76,0.01))</x:f>
        <x:v>0.8238665045434298</x:v>
      </x:c>
      <x:c r="K76" s="21" t="n">
        <x:f>MAX(0,1-ABS(H76-I76)/MAX(I76,0.01))</x:f>
        <x:v>0.8809183105657705</x:v>
      </x:c>
      <x:c r="L76" s="24" t="n">
        <x:f>MAX(I76-H76,0)</x:f>
        <x:v>2.0995106950857387</x:v>
      </x:c>
      <x:c r="M76" s="24" t="n">
        <x:f>MAX(H76-I76,0)</x:f>
        <x:v>0</x:v>
      </x:c>
      <x:c r="N76" s="19" t="str">
        <x:v>周敏</x:v>
      </x:c>
      <x:c r="O76" s="19" t="str">
        <x:v>S-按销量/BOM/日型生成</x:v>
      </x:c>
    </x:row>
    <x:row r="77">
      <x:c r="A77" s="19" t="str">
        <x:v>2026-07-13|S01|瘦肉片</x:v>
      </x:c>
      <x:c r="B77" s="34" t="n">
        <x:v>46216.5</x:v>
      </x:c>
      <x:c r="C77" s="19" t="str">
        <x:v>S01</x:v>
      </x:c>
      <x:c r="D77" s="19" t="str">
        <x:v>近江天阳店</x:v>
      </x:c>
      <x:c r="E77" s="19" t="str">
        <x:v>瘦肉片</x:v>
      </x:c>
      <x:c r="F77" s="32" t="n">
        <x:v>17.48639571135133</x:v>
      </x:c>
      <x:c r="G77" s="32" t="n">
        <x:v>16.52758728209302</x:v>
      </x:c>
      <x:c r="H77" s="24" t="n">
        <x:f>G77</x:f>
        <x:v>16.52758728209302</x:v>
      </x:c>
      <x:c r="I77" s="24" t="n">
        <x:f>XLOOKUP(A77,'库存与收货'!$A$5:$A$676,'库存与收货'!$H$5:$H$676,0)+XLOOKUP(A77,'库存与收货'!$A$5:$A$676,'库存与收货'!$J$5:$J$676,0)</x:f>
        <x:v>14.865593810902931</x:v>
      </x:c>
      <x:c r="J77" s="21" t="n">
        <x:f>MAX(0,1-ABS(F77-I77)/MAX(I77,0.01))</x:f>
        <x:v>0.8237001539402876</x:v>
      </x:c>
      <x:c r="K77" s="21" t="n">
        <x:f>MAX(0,1-ABS(H77-I77)/MAX(I77,0.01))</x:f>
        <x:v>0.8881986490192456</x:v>
      </x:c>
      <x:c r="L77" s="24" t="n">
        <x:f>MAX(I77-H77,0)</x:f>
        <x:v>0</x:v>
      </x:c>
      <x:c r="M77" s="24" t="n">
        <x:f>MAX(H77-I77,0)</x:f>
        <x:v>1.6619934711900886</x:v>
      </x:c>
      <x:c r="N77" s="19" t="str">
        <x:v>周敏</x:v>
      </x:c>
      <x:c r="O77" s="19" t="str">
        <x:v>S-按销量/BOM/日型生成</x:v>
      </x:c>
    </x:row>
    <x:row r="78">
      <x:c r="A78" s="19" t="str">
        <x:v>2026-07-13|S01|肥肉片</x:v>
      </x:c>
      <x:c r="B78" s="34" t="n">
        <x:v>46216.5</x:v>
      </x:c>
      <x:c r="C78" s="19" t="str">
        <x:v>S01</x:v>
      </x:c>
      <x:c r="D78" s="19" t="str">
        <x:v>近江天阳店</x:v>
      </x:c>
      <x:c r="E78" s="19" t="str">
        <x:v>肥肉片</x:v>
      </x:c>
      <x:c r="F78" s="32" t="n">
        <x:v>4.13570893224354</x:v>
      </x:c>
      <x:c r="G78" s="32" t="n">
        <x:v>4.201754969142589</x:v>
      </x:c>
      <x:c r="H78" s="24" t="n">
        <x:f>G78</x:f>
        <x:v>4.201754969142589</x:v>
      </x:c>
      <x:c r="I78" s="24" t="n">
        <x:f>XLOOKUP(A78,'库存与收货'!$A$5:$A$676,'库存与收货'!$H$5:$H$676,0)+XLOOKUP(A78,'库存与收货'!$A$5:$A$676,'库存与收货'!$J$5:$J$676,0)</x:f>
        <x:v>4.291254375324935</x:v>
      </x:c>
      <x:c r="J78" s="21" t="n">
        <x:f>MAX(0,1-ABS(F78-I78)/MAX(I78,0.01))</x:f>
        <x:v>0.9637529194317181</x:v>
      </x:c>
      <x:c r="K78" s="21" t="n">
        <x:f>MAX(0,1-ABS(H78-I78)/MAX(I78,0.01))</x:f>
        <x:v>0.9791437658189234</x:v>
      </x:c>
      <x:c r="L78" s="24" t="n">
        <x:f>MAX(I78-H78,0)</x:f>
        <x:v>0.08949940618234642</x:v>
      </x:c>
      <x:c r="M78" s="24" t="n">
        <x:f>MAX(H78-I78,0)</x:f>
        <x:v>0</x:v>
      </x:c>
      <x:c r="N78" s="19" t="str">
        <x:v>周敏</x:v>
      </x:c>
      <x:c r="O78" s="19" t="str">
        <x:v>S-按销量/BOM/日型生成</x:v>
      </x:c>
    </x:row>
    <x:row r="79">
      <x:c r="A79" s="19" t="str">
        <x:v>2026-07-13|S01|牛肉片</x:v>
      </x:c>
      <x:c r="B79" s="34" t="n">
        <x:v>46216.5</x:v>
      </x:c>
      <x:c r="C79" s="19" t="str">
        <x:v>S01</x:v>
      </x:c>
      <x:c r="D79" s="19" t="str">
        <x:v>近江天阳店</x:v>
      </x:c>
      <x:c r="E79" s="19" t="str">
        <x:v>牛肉片</x:v>
      </x:c>
      <x:c r="F79" s="32" t="n">
        <x:v>8.441715536905694</x:v>
      </x:c>
      <x:c r="G79" s="32" t="n">
        <x:v>8.752577070379042</x:v>
      </x:c>
      <x:c r="H79" s="24" t="n">
        <x:f>G79</x:f>
        <x:v>8.752577070379042</x:v>
      </x:c>
      <x:c r="I79" s="24" t="n">
        <x:f>XLOOKUP(A79,'库存与收货'!$A$5:$A$676,'库存与收货'!$H$5:$H$676,0)+XLOOKUP(A79,'库存与收货'!$A$5:$A$676,'库存与收货'!$J$5:$J$676,0)</x:f>
        <x:v>9.551264207730423</x:v>
      </x:c>
      <x:c r="J79" s="21" t="n">
        <x:f>MAX(0,1-ABS(F79-I79)/MAX(I79,0.01))</x:f>
        <x:v>0.8838322711325791</x:v>
      </x:c>
      <x:c r="K79" s="21" t="n">
        <x:f>MAX(0,1-ABS(H79-I79)/MAX(I79,0.01))</x:f>
        <x:v>0.9163789085946388</x:v>
      </x:c>
      <x:c r="L79" s="24" t="n">
        <x:f>MAX(I79-H79,0)</x:f>
        <x:v>0.7986871373513811</x:v>
      </x:c>
      <x:c r="M79" s="24" t="n">
        <x:f>MAX(H79-I79,0)</x:f>
        <x:v>0</x:v>
      </x:c>
      <x:c r="N79" s="19" t="str">
        <x:v>周敏</x:v>
      </x:c>
      <x:c r="O79" s="19" t="str">
        <x:v>S-按销量/BOM/日型生成</x:v>
      </x:c>
    </x:row>
    <x:row r="80">
      <x:c r="A80" s="19" t="str">
        <x:v>2026-07-13|S01|螺丝椒</x:v>
      </x:c>
      <x:c r="B80" s="34" t="n">
        <x:v>46216.5</x:v>
      </x:c>
      <x:c r="C80" s="19" t="str">
        <x:v>S01</x:v>
      </x:c>
      <x:c r="D80" s="19" t="str">
        <x:v>近江天阳店</x:v>
      </x:c>
      <x:c r="E80" s="19" t="str">
        <x:v>螺丝椒</x:v>
      </x:c>
      <x:c r="F80" s="32" t="n">
        <x:v>15.52138304665251</x:v>
      </x:c>
      <x:c r="G80" s="32" t="n">
        <x:v>15.58601452179879</x:v>
      </x:c>
      <x:c r="H80" s="24" t="n">
        <x:f>G80</x:f>
        <x:v>15.58601452179879</x:v>
      </x:c>
      <x:c r="I80" s="24" t="n">
        <x:f>XLOOKUP(A80,'库存与收货'!$A$5:$A$676,'库存与收货'!$H$5:$H$676,0)+XLOOKUP(A80,'库存与收货'!$A$5:$A$676,'库存与收货'!$J$5:$J$676,0)</x:f>
        <x:v>15.745618926019668</x:v>
      </x:c>
      <x:c r="J80" s="21" t="n">
        <x:f>MAX(0,1-ABS(F80-I80)/MAX(I80,0.01))</x:f>
        <x:v>0.9857588399401304</x:v>
      </x:c>
      <x:c r="K80" s="21" t="n">
        <x:f>MAX(0,1-ABS(H80-I80)/MAX(I80,0.01))</x:f>
        <x:v>0.9898635674487757</x:v>
      </x:c>
      <x:c r="L80" s="24" t="n">
        <x:f>MAX(I80-H80,0)</x:f>
        <x:v>0.15960440422087885</x:v>
      </x:c>
      <x:c r="M80" s="24" t="n">
        <x:f>MAX(H80-I80,0)</x:f>
        <x:v>0</x:v>
      </x:c>
      <x:c r="N80" s="19" t="str">
        <x:v>周敏</x:v>
      </x:c>
      <x:c r="O80" s="19" t="str">
        <x:v>S-按销量/BOM/日型生成</x:v>
      </x:c>
    </x:row>
    <x:row r="81">
      <x:c r="A81" s="19" t="str">
        <x:v>2026-07-13|S01|青湖南椒圈</x:v>
      </x:c>
      <x:c r="B81" s="34" t="n">
        <x:v>46216.5</x:v>
      </x:c>
      <x:c r="C81" s="19" t="str">
        <x:v>S01</x:v>
      </x:c>
      <x:c r="D81" s="19" t="str">
        <x:v>近江天阳店</x:v>
      </x:c>
      <x:c r="E81" s="19" t="str">
        <x:v>青湖南椒圈</x:v>
      </x:c>
      <x:c r="F81" s="32" t="n">
        <x:v>2.31739194473631</x:v>
      </x:c>
      <x:c r="G81" s="32" t="n">
        <x:v>2.2787987549572324</x:v>
      </x:c>
      <x:c r="H81" s="24" t="n">
        <x:f>G81</x:f>
        <x:v>2.2787987549572324</x:v>
      </x:c>
      <x:c r="I81" s="24" t="n">
        <x:f>XLOOKUP(A81,'库存与收货'!$A$5:$A$676,'库存与收货'!$H$5:$H$676,0)+XLOOKUP(A81,'库存与收货'!$A$5:$A$676,'库存与收货'!$J$5:$J$676,0)</x:f>
        <x:v>2.1734386197107236</x:v>
      </x:c>
      <x:c r="J81" s="21" t="n">
        <x:f>MAX(0,1-ABS(F81-I81)/MAX(I81,0.01))</x:f>
        <x:v>0.9337670161374303</x:v>
      </x:c>
      <x:c r="K81" s="21" t="n">
        <x:f>MAX(0,1-ABS(H81-I81)/MAX(I81,0.01))</x:f>
        <x:v>0.9515237585773038</x:v>
      </x:c>
      <x:c r="L81" s="24" t="n">
        <x:f>MAX(I81-H81,0)</x:f>
        <x:v>0</x:v>
      </x:c>
      <x:c r="M81" s="24" t="n">
        <x:f>MAX(H81-I81,0)</x:f>
        <x:v>0.10536013524650878</x:v>
      </x:c>
      <x:c r="N81" s="19" t="str">
        <x:v>周敏</x:v>
      </x:c>
      <x:c r="O81" s="19" t="str">
        <x:v>S-按销量/BOM/日型生成</x:v>
      </x:c>
    </x:row>
    <x:row r="82">
      <x:c r="A82" s="19" t="str">
        <x:v>2026-07-13|S01|鸡蛋</x:v>
      </x:c>
      <x:c r="B82" s="34" t="n">
        <x:v>46216.5</x:v>
      </x:c>
      <x:c r="C82" s="19" t="str">
        <x:v>S01</x:v>
      </x:c>
      <x:c r="D82" s="19" t="str">
        <x:v>近江天阳店</x:v>
      </x:c>
      <x:c r="E82" s="19" t="str">
        <x:v>鸡蛋</x:v>
      </x:c>
      <x:c r="F82" s="32" t="n">
        <x:v>18.091624088894793</x:v>
      </x:c>
      <x:c r="G82" s="32" t="n">
        <x:v>18.785547899401735</x:v>
      </x:c>
      <x:c r="H82" s="24" t="n">
        <x:f>G82</x:f>
        <x:v>18.785547899401735</x:v>
      </x:c>
      <x:c r="I82" s="24" t="n">
        <x:f>XLOOKUP(A82,'库存与收货'!$A$5:$A$676,'库存与收货'!$H$5:$H$676,0)+XLOOKUP(A82,'库存与收货'!$A$5:$A$676,'库存与收货'!$J$5:$J$676,0)</x:f>
        <x:v>20.354581759859478</x:v>
      </x:c>
      <x:c r="J82" s="21" t="n">
        <x:f>MAX(0,1-ABS(F82-I82)/MAX(I82,0.01))</x:f>
        <x:v>0.8888231800749952</x:v>
      </x:c>
      <x:c r="K82" s="21" t="n">
        <x:f>MAX(0,1-ABS(H82-I82)/MAX(I82,0.01))</x:f>
        <x:v>0.9229149545311721</x:v>
      </x:c>
      <x:c r="L82" s="24" t="n">
        <x:f>MAX(I82-H82,0)</x:f>
        <x:v>1.5690338604577434</x:v>
      </x:c>
      <x:c r="M82" s="24" t="n">
        <x:f>MAX(H82-I82,0)</x:f>
        <x:v>0</x:v>
      </x:c>
      <x:c r="N82" s="19" t="str">
        <x:v>周敏</x:v>
      </x:c>
      <x:c r="O82" s="19" t="str">
        <x:v>S-按销量/BOM/日型生成</x:v>
      </x:c>
    </x:row>
    <x:row r="83">
      <x:c r="A83" s="19" t="str">
        <x:v>2026-07-13|S01|鸡肉</x:v>
      </x:c>
      <x:c r="B83" s="34" t="n">
        <x:v>46216.5</x:v>
      </x:c>
      <x:c r="C83" s="19" t="str">
        <x:v>S01</x:v>
      </x:c>
      <x:c r="D83" s="19" t="str">
        <x:v>近江天阳店</x:v>
      </x:c>
      <x:c r="E83" s="19" t="str">
        <x:v>鸡肉</x:v>
      </x:c>
      <x:c r="F83" s="32" t="n">
        <x:v>7.3194761311640875</x:v>
      </x:c>
      <x:c r="G83" s="32" t="n">
        <x:v>6.951562185022859</x:v>
      </x:c>
      <x:c r="H83" s="24" t="n">
        <x:f>G83</x:f>
        <x:v>6.951562185022859</x:v>
      </x:c>
      <x:c r="I83" s="24" t="n">
        <x:f>XLOOKUP(A83,'库存与收货'!$A$5:$A$676,'库存与收货'!$H$5:$H$676,0)+XLOOKUP(A83,'库存与收货'!$A$5:$A$676,'库存与收货'!$J$5:$J$676,0)</x:f>
        <x:v>6.478703847879941</x:v>
      </x:c>
      <x:c r="J83" s="21" t="n">
        <x:f>MAX(0,1-ABS(F83-I83)/MAX(I83,0.01))</x:f>
        <x:v>0.8702252328512783</x:v>
      </x:c>
      <x:c r="K83" s="21" t="n">
        <x:f>MAX(0,1-ABS(H83-I83)/MAX(I83,0.01))</x:f>
        <x:v>0.9270134353652152</x:v>
      </x:c>
      <x:c r="L83" s="24" t="n">
        <x:f>MAX(I83-H83,0)</x:f>
        <x:v>0</x:v>
      </x:c>
      <x:c r="M83" s="24" t="n">
        <x:f>MAX(H83-I83,0)</x:f>
        <x:v>0.4728583371429185</x:v>
      </x:c>
      <x:c r="N83" s="19" t="str">
        <x:v>周敏</x:v>
      </x:c>
      <x:c r="O83" s="19" t="str">
        <x:v>S-按销量/BOM/日型生成</x:v>
      </x:c>
    </x:row>
    <x:row r="84">
      <x:c r="A84" s="19" t="str">
        <x:v>2026-07-13|S01|鲈鱼</x:v>
      </x:c>
      <x:c r="B84" s="34" t="n">
        <x:v>46216.5</x:v>
      </x:c>
      <x:c r="C84" s="19" t="str">
        <x:v>S01</x:v>
      </x:c>
      <x:c r="D84" s="19" t="str">
        <x:v>近江天阳店</x:v>
      </x:c>
      <x:c r="E84" s="19" t="str">
        <x:v>鲈鱼</x:v>
      </x:c>
      <x:c r="F84" s="32" t="n">
        <x:v>4.316090251556638</x:v>
      </x:c>
      <x:c r="G84" s="32" t="n">
        <x:v>4.233108839100221</x:v>
      </x:c>
      <x:c r="H84" s="24" t="n">
        <x:f>G84</x:f>
        <x:v>4.233108839100221</x:v>
      </x:c>
      <x:c r="I84" s="24" t="n">
        <x:f>XLOOKUP(A84,'库存与收货'!$A$5:$A$676,'库存与收货'!$H$5:$H$676,0)+XLOOKUP(A84,'库存与收货'!$A$5:$A$676,'库存与收货'!$J$5:$J$676,0)</x:f>
        <x:v>4.117473075938754</x:v>
      </x:c>
      <x:c r="J84" s="21" t="n">
        <x:f>MAX(0,1-ABS(F84-I84)/MAX(I84,0.01))</x:f>
        <x:v>0.9517623620228287</x:v>
      </x:c>
      <x:c r="K84" s="21" t="n">
        <x:f>MAX(0,1-ABS(H84-I84)/MAX(I84,0.01))</x:f>
        <x:v>0.9719158423069706</x:v>
      </x:c>
      <x:c r="L84" s="24" t="n">
        <x:f>MAX(I84-H84,0)</x:f>
        <x:v>0</x:v>
      </x:c>
      <x:c r="M84" s="24" t="n">
        <x:f>MAX(H84-I84,0)</x:f>
        <x:v>0.11563576316146662</x:v>
      </x:c>
      <x:c r="N84" s="19" t="str">
        <x:v>周敏</x:v>
      </x:c>
      <x:c r="O84" s="19" t="str">
        <x:v>S-按销量/BOM/日型生成</x:v>
      </x:c>
    </x:row>
    <x:row r="85">
      <x:c r="A85" s="19" t="str">
        <x:v>2026-07-13|S01|酸包菜</x:v>
      </x:c>
      <x:c r="B85" s="34" t="n">
        <x:v>46216.5</x:v>
      </x:c>
      <x:c r="C85" s="19" t="str">
        <x:v>S01</x:v>
      </x:c>
      <x:c r="D85" s="19" t="str">
        <x:v>近江天阳店</x:v>
      </x:c>
      <x:c r="E85" s="19" t="str">
        <x:v>酸包菜</x:v>
      </x:c>
      <x:c r="F85" s="32" t="n">
        <x:v>8.073020643168057</x:v>
      </x:c>
      <x:c r="G85" s="32" t="n">
        <x:v>8.584058988668826</x:v>
      </x:c>
      <x:c r="H85" s="24" t="n">
        <x:f>G85</x:f>
        <x:v>8.584058988668826</x:v>
      </x:c>
      <x:c r="I85" s="24" t="n">
        <x:f>XLOOKUP(A85,'库存与收货'!$A$5:$A$676,'库存与收货'!$H$5:$H$676,0)+XLOOKUP(A85,'库存与收货'!$A$5:$A$676,'库存与收货'!$J$5:$J$676,0)</x:f>
        <x:v>9.844464166426208</x:v>
      </x:c>
      <x:c r="J85" s="21" t="n">
        <x:f>MAX(0,1-ABS(F85-I85)/MAX(I85,0.01))</x:f>
        <x:v>0.8200568874739242</x:v>
      </x:c>
      <x:c r="K85" s="21" t="n">
        <x:f>MAX(0,1-ABS(H85-I85)/MAX(I85,0.01))</x:f>
        <x:v>0.8719681278280338</x:v>
      </x:c>
      <x:c r="L85" s="24" t="n">
        <x:f>MAX(I85-H85,0)</x:f>
        <x:v>1.2604051777573826</x:v>
      </x:c>
      <x:c r="M85" s="24" t="n">
        <x:f>MAX(H85-I85,0)</x:f>
        <x:v>0</x:v>
      </x:c>
      <x:c r="N85" s="19" t="str">
        <x:v>周敏</x:v>
      </x:c>
      <x:c r="O85" s="19" t="str">
        <x:v>S-按销量/BOM/日型生成</x:v>
      </x:c>
    </x:row>
    <x:row r="86">
      <x:c r="A86" s="19" t="str">
        <x:v>2026-07-13|S01|粉皮</x:v>
      </x:c>
      <x:c r="B86" s="34" t="n">
        <x:v>46216.5</x:v>
      </x:c>
      <x:c r="C86" s="19" t="str">
        <x:v>S01</x:v>
      </x:c>
      <x:c r="D86" s="19" t="str">
        <x:v>近江天阳店</x:v>
      </x:c>
      <x:c r="E86" s="19" t="str">
        <x:v>粉皮</x:v>
      </x:c>
      <x:c r="F86" s="32" t="n">
        <x:v>8.029617224523756</x:v>
      </x:c>
      <x:c r="G86" s="32" t="n">
        <x:v>7.735306625680127</x:v>
      </x:c>
      <x:c r="H86" s="24" t="n">
        <x:f>G86</x:f>
        <x:v>7.735306625680127</x:v>
      </x:c>
      <x:c r="I86" s="24" t="n">
        <x:f>XLOOKUP(A86,'库存与收货'!$A$5:$A$676,'库存与收货'!$H$5:$H$676,0)+XLOOKUP(A86,'库存与收货'!$A$5:$A$676,'库存与收货'!$J$5:$J$676,0)</x:f>
        <x:v>7.308811974657889</x:v>
      </x:c>
      <x:c r="J86" s="21" t="n">
        <x:f>MAX(0,1-ABS(F86-I86)/MAX(I86,0.01))</x:f>
        <x:v>0.9013786026559253</x:v>
      </x:c>
      <x:c r="K86" s="21" t="n">
        <x:f>MAX(0,1-ABS(H86-I86)/MAX(I86,0.01))</x:f>
        <x:v>0.9416465148506983</x:v>
      </x:c>
      <x:c r="L86" s="24" t="n">
        <x:f>MAX(I86-H86,0)</x:f>
        <x:v>0</x:v>
      </x:c>
      <x:c r="M86" s="24" t="n">
        <x:f>MAX(H86-I86,0)</x:f>
        <x:v>0.4264946510222378</x:v>
      </x:c>
      <x:c r="N86" s="19" t="str">
        <x:v>周敏</x:v>
      </x:c>
      <x:c r="O86" s="19" t="str">
        <x:v>S-按销量/BOM/日型生成</x:v>
      </x:c>
    </x:row>
    <x:row r="87">
      <x:c r="A87" s="19" t="str">
        <x:v>2026-07-13|S01|鸡杂</x:v>
      </x:c>
      <x:c r="B87" s="34" t="n">
        <x:v>46216.5</x:v>
      </x:c>
      <x:c r="C87" s="19" t="str">
        <x:v>S01</x:v>
      </x:c>
      <x:c r="D87" s="19" t="str">
        <x:v>近江天阳店</x:v>
      </x:c>
      <x:c r="E87" s="19" t="str">
        <x:v>鸡杂</x:v>
      </x:c>
      <x:c r="F87" s="32" t="n">
        <x:v>5.695221713641266</x:v>
      </x:c>
      <x:c r="G87" s="32" t="n">
        <x:v>5.403533990276698</x:v>
      </x:c>
      <x:c r="H87" s="24" t="n">
        <x:f>G87</x:f>
        <x:v>5.403533990276698</x:v>
      </x:c>
      <x:c r="I87" s="24" t="n">
        <x:f>XLOOKUP(A87,'库存与收货'!$A$5:$A$676,'库存与收货'!$H$5:$H$676,0)+XLOOKUP(A87,'库存与收货'!$A$5:$A$676,'库存与收货'!$J$5:$J$676,0)</x:f>
        <x:v>4.844427504378994</x:v>
      </x:c>
      <x:c r="J87" s="21" t="n">
        <x:f>MAX(0,1-ABS(F87-I87)/MAX(I87,0.01))</x:f>
        <x:v>0.8243767280048636</x:v>
      </x:c>
      <x:c r="K87" s="21" t="n">
        <x:f>MAX(0,1-ABS(H87-I87)/MAX(I87,0.01))</x:f>
        <x:v>0.8845877071351952</x:v>
      </x:c>
      <x:c r="L87" s="24" t="n">
        <x:f>MAX(I87-H87,0)</x:f>
        <x:v>0</x:v>
      </x:c>
      <x:c r="M87" s="24" t="n">
        <x:f>MAX(H87-I87,0)</x:f>
        <x:v>0.5591064858977042</x:v>
      </x:c>
      <x:c r="N87" s="19" t="str">
        <x:v>周敏</x:v>
      </x:c>
      <x:c r="O87" s="19" t="str">
        <x:v>S-按销量/BOM/日型生成</x:v>
      </x:c>
    </x:row>
    <x:row r="88">
      <x:c r="A88" s="19" t="str">
        <x:v>2026-07-13|S01|豆腐</x:v>
      </x:c>
      <x:c r="B88" s="34" t="n">
        <x:v>46216.5</x:v>
      </x:c>
      <x:c r="C88" s="19" t="str">
        <x:v>S01</x:v>
      </x:c>
      <x:c r="D88" s="19" t="str">
        <x:v>近江天阳店</x:v>
      </x:c>
      <x:c r="E88" s="19" t="str">
        <x:v>豆腐</x:v>
      </x:c>
      <x:c r="F88" s="32" t="n">
        <x:v>22.4603412059533</x:v>
      </x:c>
      <x:c r="G88" s="32" t="n">
        <x:v>23.74073154766597</x:v>
      </x:c>
      <x:c r="H88" s="24" t="n">
        <x:f>G88</x:f>
        <x:v>23.74073154766597</x:v>
      </x:c>
      <x:c r="I88" s="24" t="n">
        <x:f>XLOOKUP(A88,'库存与收货'!$A$5:$A$676,'库存与收货'!$H$5:$H$676,0)+XLOOKUP(A88,'库存与收货'!$A$5:$A$676,'库存与收货'!$J$5:$J$676,0)</x:f>
        <x:v>26.90381188964094</x:v>
      </x:c>
      <x:c r="J88" s="21" t="n">
        <x:f>MAX(0,1-ABS(F88-I88)/MAX(I88,0.01))</x:f>
        <x:v>0.8348386205674238</x:v>
      </x:c>
      <x:c r="K88" s="21" t="n">
        <x:f>MAX(0,1-ABS(H88-I88)/MAX(I88,0.01))</x:f>
        <x:v>0.8824300305492068</x:v>
      </x:c>
      <x:c r="L88" s="24" t="n">
        <x:f>MAX(I88-H88,0)</x:f>
        <x:v>3.163080341974972</x:v>
      </x:c>
      <x:c r="M88" s="24" t="n">
        <x:f>MAX(H88-I88,0)</x:f>
        <x:v>0</x:v>
      </x:c>
      <x:c r="N88" s="19" t="str">
        <x:v>周敏</x:v>
      </x:c>
      <x:c r="O88" s="19" t="str">
        <x:v>S-按销量/BOM/日型生成</x:v>
      </x:c>
    </x:row>
    <x:row r="89">
      <x:c r="A89" s="19" t="str">
        <x:v>2026-07-07|S02|瘦肉片</x:v>
      </x:c>
      <x:c r="B89" s="34" t="n">
        <x:v>46210.5</x:v>
      </x:c>
      <x:c r="C89" s="19" t="str">
        <x:v>S02</x:v>
      </x:c>
      <x:c r="D89" s="19" t="str">
        <x:v>尊宝大厦店</x:v>
      </x:c>
      <x:c r="E89" s="19" t="str">
        <x:v>瘦肉片</x:v>
      </x:c>
      <x:c r="F89" s="32" t="n">
        <x:v>10.983005281147387</x:v>
      </x:c>
      <x:c r="G89" s="32" t="n">
        <x:v>11.791924208712054</x:v>
      </x:c>
      <x:c r="H89" s="24" t="n">
        <x:f>G89</x:f>
        <x:v>11.791924208712054</x:v>
      </x:c>
      <x:c r="I89" s="24" t="n">
        <x:f>XLOOKUP(A89,'库存与收货'!$A$5:$A$676,'库存与收货'!$H$5:$H$676,0)+XLOOKUP(A89,'库存与收货'!$A$5:$A$676,'库存与收货'!$J$5:$J$676,0)</x:f>
        <x:v>12.901238409682698</x:v>
      </x:c>
      <x:c r="J89" s="21" t="n">
        <x:f>MAX(0,1-ABS(F89-I89)/MAX(I89,0.01))</x:f>
        <x:v>0.8513140314424676</x:v>
      </x:c>
      <x:c r="K89" s="21" t="n">
        <x:f>MAX(0,1-ABS(H89-I89)/MAX(I89,0.01))</x:f>
        <x:v>0.9140149057211379</x:v>
      </x:c>
      <x:c r="L89" s="24" t="n">
        <x:f>MAX(I89-H89,0)</x:f>
        <x:v>1.109314200970644</x:v>
      </x:c>
      <x:c r="M89" s="24" t="n">
        <x:f>MAX(H89-I89,0)</x:f>
        <x:v>0</x:v>
      </x:c>
      <x:c r="N89" s="19" t="str">
        <x:v>周浩</x:v>
      </x:c>
      <x:c r="O89" s="19" t="str">
        <x:v>S-按销量/BOM/日型生成</x:v>
      </x:c>
    </x:row>
    <x:row r="90">
      <x:c r="A90" s="19" t="str">
        <x:v>2026-07-07|S02|肥肉片</x:v>
      </x:c>
      <x:c r="B90" s="34" t="n">
        <x:v>46210.5</x:v>
      </x:c>
      <x:c r="C90" s="19" t="str">
        <x:v>S02</x:v>
      </x:c>
      <x:c r="D90" s="19" t="str">
        <x:v>尊宝大厦店</x:v>
      </x:c>
      <x:c r="E90" s="19" t="str">
        <x:v>肥肉片</x:v>
      </x:c>
      <x:c r="F90" s="32" t="n">
        <x:v>3.0845332293243772</x:v>
      </x:c>
      <x:c r="G90" s="32" t="n">
        <x:v>3.256344694618003</x:v>
      </x:c>
      <x:c r="H90" s="24" t="n">
        <x:f>G90</x:f>
        <x:v>3.256344694618003</x:v>
      </x:c>
      <x:c r="I90" s="24" t="n">
        <x:f>XLOOKUP(A90,'库存与收货'!$A$5:$A$676,'库存与收货'!$H$5:$H$676,0)+XLOOKUP(A90,'库存与收货'!$A$5:$A$676,'库存与收货'!$J$5:$J$676,0)</x:f>
        <x:v>3.7064050989842867</x:v>
      </x:c>
      <x:c r="J90" s="21" t="n">
        <x:f>MAX(0,1-ABS(F90-I90)/MAX(I90,0.01))</x:f>
        <x:v>0.832216972227259</x:v>
      </x:c>
      <x:c r="K90" s="21" t="n">
        <x:f>MAX(0,1-ABS(H90-I90)/MAX(I90,0.01))</x:f>
        <x:v>0.8785722573904241</x:v>
      </x:c>
      <x:c r="L90" s="24" t="n">
        <x:f>MAX(I90-H90,0)</x:f>
        <x:v>0.4500604043662837</x:v>
      </x:c>
      <x:c r="M90" s="24" t="n">
        <x:f>MAX(H90-I90,0)</x:f>
        <x:v>0</x:v>
      </x:c>
      <x:c r="N90" s="19" t="str">
        <x:v>周浩</x:v>
      </x:c>
      <x:c r="O90" s="19" t="str">
        <x:v>S-按销量/BOM/日型生成</x:v>
      </x:c>
    </x:row>
    <x:row r="91">
      <x:c r="A91" s="19" t="str">
        <x:v>2026-07-07|S02|牛肉片</x:v>
      </x:c>
      <x:c r="B91" s="34" t="n">
        <x:v>46210.5</x:v>
      </x:c>
      <x:c r="C91" s="19" t="str">
        <x:v>S02</x:v>
      </x:c>
      <x:c r="D91" s="19" t="str">
        <x:v>尊宝大厦店</x:v>
      </x:c>
      <x:c r="E91" s="19" t="str">
        <x:v>牛肉片</x:v>
      </x:c>
      <x:c r="F91" s="32" t="n">
        <x:v>8.949090365996994</x:v>
      </x:c>
      <x:c r="G91" s="32" t="n">
        <x:v>8.970690032258938</x:v>
      </x:c>
      <x:c r="H91" s="24" t="n">
        <x:f>G91</x:f>
        <x:v>8.970690032258938</x:v>
      </x:c>
      <x:c r="I91" s="24" t="n">
        <x:f>XLOOKUP(A91,'库存与收货'!$A$5:$A$676,'库存与收货'!$H$5:$H$676,0)+XLOOKUP(A91,'库存与收货'!$A$5:$A$676,'库存与收货'!$J$5:$J$676,0)</x:f>
        <x:v>9.032036019460248</x:v>
      </x:c>
      <x:c r="J91" s="21" t="n">
        <x:f>MAX(0,1-ABS(F91-I91)/MAX(I91,0.01))</x:f>
        <x:v>0.9908165054607244</x:v>
      </x:c>
      <x:c r="K91" s="21" t="n">
        <x:f>MAX(0,1-ABS(H91-I91)/MAX(I91,0.01))</x:f>
        <x:v>0.9932079558729465</x:v>
      </x:c>
      <x:c r="L91" s="24" t="n">
        <x:f>MAX(I91-H91,0)</x:f>
        <x:v>0.06134598720131024</x:v>
      </x:c>
      <x:c r="M91" s="24" t="n">
        <x:f>MAX(H91-I91,0)</x:f>
        <x:v>0</x:v>
      </x:c>
      <x:c r="N91" s="19" t="str">
        <x:v>周浩</x:v>
      </x:c>
      <x:c r="O91" s="19" t="str">
        <x:v>S-按销量/BOM/日型生成</x:v>
      </x:c>
    </x:row>
    <x:row r="92">
      <x:c r="A92" s="19" t="str">
        <x:v>2026-07-07|S02|螺丝椒</x:v>
      </x:c>
      <x:c r="B92" s="34" t="n">
        <x:v>46210.5</x:v>
      </x:c>
      <x:c r="C92" s="19" t="str">
        <x:v>S02</x:v>
      </x:c>
      <x:c r="D92" s="19" t="str">
        <x:v>尊宝大厦店</x:v>
      </x:c>
      <x:c r="E92" s="19" t="str">
        <x:v>螺丝椒</x:v>
      </x:c>
      <x:c r="F92" s="32" t="n">
        <x:v>12.28666113859568</x:v>
      </x:c>
      <x:c r="G92" s="32" t="n">
        <x:v>12.878340370034483</x:v>
      </x:c>
      <x:c r="H92" s="24" t="n">
        <x:f>G92</x:f>
        <x:v>12.878340370034483</x:v>
      </x:c>
      <x:c r="I92" s="24" t="n">
        <x:f>XLOOKUP(A92,'库存与收货'!$A$5:$A$676,'库存与收货'!$H$5:$H$676,0)+XLOOKUP(A92,'库存与收货'!$A$5:$A$676,'库存与收货'!$J$5:$J$676,0)</x:f>
        <x:v>14.064291554947394</x:v>
      </x:c>
      <x:c r="J92" s="21" t="n">
        <x:f>MAX(0,1-ABS(F92-I92)/MAX(I92,0.01))</x:f>
        <x:v>0.8736068283705056</x:v>
      </x:c>
      <x:c r="K92" s="21" t="n">
        <x:f>MAX(0,1-ABS(H92-I92)/MAX(I92,0.01))</x:f>
        <x:v>0.9156764362940323</x:v>
      </x:c>
      <x:c r="L92" s="24" t="n">
        <x:f>MAX(I92-H92,0)</x:f>
        <x:v>1.185951184912911</x:v>
      </x:c>
      <x:c r="M92" s="24" t="n">
        <x:f>MAX(H92-I92,0)</x:f>
        <x:v>0</x:v>
      </x:c>
      <x:c r="N92" s="19" t="str">
        <x:v>周浩</x:v>
      </x:c>
      <x:c r="O92" s="19" t="str">
        <x:v>S-按销量/BOM/日型生成</x:v>
      </x:c>
    </x:row>
    <x:row r="93">
      <x:c r="A93" s="19" t="str">
        <x:v>2026-07-07|S02|青湖南椒圈</x:v>
      </x:c>
      <x:c r="B93" s="34" t="n">
        <x:v>46210.5</x:v>
      </x:c>
      <x:c r="C93" s="19" t="str">
        <x:v>S02</x:v>
      </x:c>
      <x:c r="D93" s="19" t="str">
        <x:v>尊宝大厦店</x:v>
      </x:c>
      <x:c r="E93" s="19" t="str">
        <x:v>青湖南椒圈</x:v>
      </x:c>
      <x:c r="F93" s="32" t="n">
        <x:v>1.8176791850326586</x:v>
      </x:c>
      <x:c r="G93" s="32" t="n">
        <x:v>1.8268631696112312</x:v>
      </x:c>
      <x:c r="H93" s="24" t="n">
        <x:f>G93</x:f>
        <x:v>1.8268631696112312</x:v>
      </x:c>
      <x:c r="I93" s="24" t="n">
        <x:f>XLOOKUP(A93,'库存与收货'!$A$5:$A$676,'库存与收货'!$H$5:$H$676,0)+XLOOKUP(A93,'库存与收货'!$A$5:$A$676,'库存与收货'!$J$5:$J$676,0)</x:f>
        <x:v>1.8470725872465579</x:v>
      </x:c>
      <x:c r="J93" s="21" t="n">
        <x:f>MAX(0,1-ABS(F93-I93)/MAX(I93,0.01))</x:f>
        <x:v>0.9840864931801536</x:v>
      </x:c>
      <x:c r="K93" s="21" t="n">
        <x:f>MAX(0,1-ABS(H93-I93)/MAX(I93,0.01))</x:f>
        <x:v>0.9890586770791434</x:v>
      </x:c>
      <x:c r="L93" s="24" t="n">
        <x:f>MAX(I93-H93,0)</x:f>
        <x:v>0.020209417635326687</x:v>
      </x:c>
      <x:c r="M93" s="24" t="n">
        <x:f>MAX(H93-I93,0)</x:f>
        <x:v>0</x:v>
      </x:c>
      <x:c r="N93" s="19" t="str">
        <x:v>周浩</x:v>
      </x:c>
      <x:c r="O93" s="19" t="str">
        <x:v>S-按销量/BOM/日型生成</x:v>
      </x:c>
    </x:row>
    <x:row r="94">
      <x:c r="A94" s="19" t="str">
        <x:v>2026-07-07|S02|鸡蛋</x:v>
      </x:c>
      <x:c r="B94" s="34" t="n">
        <x:v>46210.5</x:v>
      </x:c>
      <x:c r="C94" s="19" t="str">
        <x:v>S02</x:v>
      </x:c>
      <x:c r="D94" s="19" t="str">
        <x:v>尊宝大厦店</x:v>
      </x:c>
      <x:c r="E94" s="19" t="str">
        <x:v>鸡蛋</x:v>
      </x:c>
      <x:c r="F94" s="32" t="n">
        <x:v>16.31431168621953</x:v>
      </x:c>
      <x:c r="G94" s="32" t="n">
        <x:v>16.895424926590046</x:v>
      </x:c>
      <x:c r="H94" s="24" t="n">
        <x:f>G94</x:f>
        <x:v>16.895424926590046</x:v>
      </x:c>
      <x:c r="I94" s="24" t="n">
        <x:f>XLOOKUP(A94,'库存与收货'!$A$5:$A$676,'库存与收货'!$H$5:$H$676,0)+XLOOKUP(A94,'库存与收货'!$A$5:$A$676,'库存与收货'!$J$5:$J$676,0)</x:f>
        <x:v>18.144150533900632</x:v>
      </x:c>
      <x:c r="J94" s="21" t="n">
        <x:f>MAX(0,1-ABS(F94-I94)/MAX(I94,0.01))</x:f>
        <x:v>0.8991499302068608</x:v>
      </x:c>
      <x:c r="K94" s="21" t="n">
        <x:f>MAX(0,1-ABS(H94-I94)/MAX(I94,0.01))</x:f>
        <x:v>0.9311775106264986</x:v>
      </x:c>
      <x:c r="L94" s="24" t="n">
        <x:f>MAX(I94-H94,0)</x:f>
        <x:v>1.2487256073105861</x:v>
      </x:c>
      <x:c r="M94" s="24" t="n">
        <x:f>MAX(H94-I94,0)</x:f>
        <x:v>0</x:v>
      </x:c>
      <x:c r="N94" s="19" t="str">
        <x:v>周浩</x:v>
      </x:c>
      <x:c r="O94" s="19" t="str">
        <x:v>S-按销量/BOM/日型生成</x:v>
      </x:c>
    </x:row>
    <x:row r="95">
      <x:c r="A95" s="19" t="str">
        <x:v>2026-07-07|S02|鸡肉</x:v>
      </x:c>
      <x:c r="B95" s="34" t="n">
        <x:v>46210.5</x:v>
      </x:c>
      <x:c r="C95" s="19" t="str">
        <x:v>S02</x:v>
      </x:c>
      <x:c r="D95" s="19" t="str">
        <x:v>尊宝大厦店</x:v>
      </x:c>
      <x:c r="E95" s="19" t="str">
        <x:v>鸡肉</x:v>
      </x:c>
      <x:c r="F95" s="32" t="n">
        <x:v>6.521543596028152</x:v>
      </x:c>
      <x:c r="G95" s="32" t="n">
        <x:v>6.505648399918455</x:v>
      </x:c>
      <x:c r="H95" s="24" t="n">
        <x:f>G95</x:f>
        <x:v>6.505648399918455</x:v>
      </x:c>
      <x:c r="I95" s="24" t="n">
        <x:f>XLOOKUP(A95,'库存与收货'!$A$5:$A$676,'库存与收货'!$H$5:$H$676,0)+XLOOKUP(A95,'库存与收货'!$A$5:$A$676,'库存与收货'!$J$5:$J$676,0)</x:f>
        <x:v>6.47790204231462</x:v>
      </x:c>
      <x:c r="J95" s="21" t="n">
        <x:f>MAX(0,1-ABS(F95-I95)/MAX(I95,0.01))</x:f>
        <x:v>0.9932630111680512</x:v>
      </x:c>
      <x:c r="K95" s="21" t="n">
        <x:f>MAX(0,1-ABS(H95-I95)/MAX(I95,0.01))</x:f>
        <x:v>0.9957167679562624</x:v>
      </x:c>
      <x:c r="L95" s="24" t="n">
        <x:f>MAX(I95-H95,0)</x:f>
        <x:v>0</x:v>
      </x:c>
      <x:c r="M95" s="24" t="n">
        <x:f>MAX(H95-I95,0)</x:f>
        <x:v>0.027746357603835037</x:v>
      </x:c>
      <x:c r="N95" s="19" t="str">
        <x:v>周浩</x:v>
      </x:c>
      <x:c r="O95" s="19" t="str">
        <x:v>S-按销量/BOM/日型生成</x:v>
      </x:c>
    </x:row>
    <x:row r="96">
      <x:c r="A96" s="19" t="str">
        <x:v>2026-07-07|S02|鲈鱼</x:v>
      </x:c>
      <x:c r="B96" s="34" t="n">
        <x:v>46210.5</x:v>
      </x:c>
      <x:c r="C96" s="19" t="str">
        <x:v>S02</x:v>
      </x:c>
      <x:c r="D96" s="19" t="str">
        <x:v>尊宝大厦店</x:v>
      </x:c>
      <x:c r="E96" s="19" t="str">
        <x:v>鲈鱼</x:v>
      </x:c>
      <x:c r="F96" s="32" t="n">
        <x:v>4.061059479266281</x:v>
      </x:c>
      <x:c r="G96" s="32" t="n">
        <x:v>3.9113666703069505</x:v>
      </x:c>
      <x:c r="H96" s="24" t="n">
        <x:f>G96</x:f>
        <x:v>3.9113666703069505</x:v>
      </x:c>
      <x:c r="I96" s="24" t="n">
        <x:f>XLOOKUP(A96,'库存与收货'!$A$5:$A$676,'库存与收货'!$H$5:$H$676,0)+XLOOKUP(A96,'库存与收货'!$A$5:$A$676,'库存与收货'!$J$5:$J$676,0)</x:f>
        <x:v>3.569468185414902</x:v>
      </x:c>
      <x:c r="J96" s="21" t="n">
        <x:f>MAX(0,1-ABS(F96-I96)/MAX(I96,0.01))</x:f>
        <x:v>0.8622788414643796</x:v>
      </x:c>
      <x:c r="K96" s="21" t="n">
        <x:f>MAX(0,1-ABS(H96-I96)/MAX(I96,0.01))</x:f>
        <x:v>0.9042158475346357</x:v>
      </x:c>
      <x:c r="L96" s="24" t="n">
        <x:f>MAX(I96-H96,0)</x:f>
        <x:v>0</x:v>
      </x:c>
      <x:c r="M96" s="24" t="n">
        <x:f>MAX(H96-I96,0)</x:f>
        <x:v>0.3418984848920483</x:v>
      </x:c>
      <x:c r="N96" s="19" t="str">
        <x:v>周浩</x:v>
      </x:c>
      <x:c r="O96" s="19" t="str">
        <x:v>S-按销量/BOM/日型生成</x:v>
      </x:c>
    </x:row>
    <x:row r="97">
      <x:c r="A97" s="19" t="str">
        <x:v>2026-07-07|S02|酸包菜</x:v>
      </x:c>
      <x:c r="B97" s="34" t="n">
        <x:v>46210.5</x:v>
      </x:c>
      <x:c r="C97" s="19" t="str">
        <x:v>S02</x:v>
      </x:c>
      <x:c r="D97" s="19" t="str">
        <x:v>尊宝大厦店</x:v>
      </x:c>
      <x:c r="E97" s="19" t="str">
        <x:v>酸包菜</x:v>
      </x:c>
      <x:c r="F97" s="32" t="n">
        <x:v>8.059260899808452</x:v>
      </x:c>
      <x:c r="G97" s="32" t="n">
        <x:v>8.102667701018312</x:v>
      </x:c>
      <x:c r="H97" s="24" t="n">
        <x:f>G97</x:f>
        <x:v>8.102667701018312</x:v>
      </x:c>
      <x:c r="I97" s="24" t="n">
        <x:f>XLOOKUP(A97,'库存与收货'!$A$5:$A$676,'库存与收货'!$H$5:$H$676,0)+XLOOKUP(A97,'库存与收货'!$A$5:$A$676,'库存与收货'!$J$5:$J$676,0)</x:f>
        <x:v>8.159295326927513</x:v>
      </x:c>
      <x:c r="J97" s="21" t="n">
        <x:f>MAX(0,1-ABS(F97-I97)/MAX(I97,0.01))</x:f>
        <x:v>0.9877398202772579</x:v>
      </x:c>
      <x:c r="K97" s="21" t="n">
        <x:f>MAX(0,1-ABS(H97-I97)/MAX(I97,0.01))</x:f>
        <x:v>0.9930597406221691</x:v>
      </x:c>
      <x:c r="L97" s="24" t="n">
        <x:f>MAX(I97-H97,0)</x:f>
        <x:v>0.056627625909200674</x:v>
      </x:c>
      <x:c r="M97" s="24" t="n">
        <x:f>MAX(H97-I97,0)</x:f>
        <x:v>0</x:v>
      </x:c>
      <x:c r="N97" s="19" t="str">
        <x:v>周浩</x:v>
      </x:c>
      <x:c r="O97" s="19" t="str">
        <x:v>S-按销量/BOM/日型生成</x:v>
      </x:c>
    </x:row>
    <x:row r="98">
      <x:c r="A98" s="19" t="str">
        <x:v>2026-07-07|S02|粉皮</x:v>
      </x:c>
      <x:c r="B98" s="34" t="n">
        <x:v>46210.5</x:v>
      </x:c>
      <x:c r="C98" s="19" t="str">
        <x:v>S02</x:v>
      </x:c>
      <x:c r="D98" s="19" t="str">
        <x:v>尊宝大厦店</x:v>
      </x:c>
      <x:c r="E98" s="19" t="str">
        <x:v>粉皮</x:v>
      </x:c>
      <x:c r="F98" s="32" t="n">
        <x:v>7.147485701380124</x:v>
      </x:c>
      <x:c r="G98" s="32" t="n">
        <x:v>6.768068492691227</x:v>
      </x:c>
      <x:c r="H98" s="24" t="n">
        <x:f>G98</x:f>
        <x:v>6.768068492691227</x:v>
      </x:c>
      <x:c r="I98" s="24" t="n">
        <x:f>XLOOKUP(A98,'库存与收货'!$A$5:$A$676,'库存与收货'!$H$5:$H$676,0)+XLOOKUP(A98,'库存与收货'!$A$5:$A$676,'库存与收货'!$J$5:$J$676,0)</x:f>
        <x:v>6.148267690278186</x:v>
      </x:c>
      <x:c r="J98" s="21" t="n">
        <x:f>MAX(0,1-ABS(F98-I98)/MAX(I98,0.01))</x:f>
        <x:v>0.8374797485343832</x:v>
      </x:c>
      <x:c r="K98" s="21" t="n">
        <x:f>MAX(0,1-ABS(H98-I98)/MAX(I98,0.01))</x:f>
        <x:v>0.8991909862036283</x:v>
      </x:c>
      <x:c r="L98" s="24" t="n">
        <x:f>MAX(I98-H98,0)</x:f>
        <x:v>0</x:v>
      </x:c>
      <x:c r="M98" s="24" t="n">
        <x:f>MAX(H98-I98,0)</x:f>
        <x:v>0.6198008024130406</x:v>
      </x:c>
      <x:c r="N98" s="19" t="str">
        <x:v>周浩</x:v>
      </x:c>
      <x:c r="O98" s="19" t="str">
        <x:v>S-按销量/BOM/日型生成</x:v>
      </x:c>
    </x:row>
    <x:row r="99">
      <x:c r="A99" s="19" t="str">
        <x:v>2026-07-07|S02|鸡杂</x:v>
      </x:c>
      <x:c r="B99" s="34" t="n">
        <x:v>46210.5</x:v>
      </x:c>
      <x:c r="C99" s="19" t="str">
        <x:v>S02</x:v>
      </x:c>
      <x:c r="D99" s="19" t="str">
        <x:v>尊宝大厦店</x:v>
      </x:c>
      <x:c r="E99" s="19" t="str">
        <x:v>鸡杂</x:v>
      </x:c>
      <x:c r="F99" s="32" t="n">
        <x:v>4.660927546382248</x:v>
      </x:c>
      <x:c r="G99" s="32" t="n">
        <x:v>4.567450846226146</x:v>
      </x:c>
      <x:c r="H99" s="24" t="n">
        <x:f>G99</x:f>
        <x:v>4.567450846226146</x:v>
      </x:c>
      <x:c r="I99" s="24" t="n">
        <x:f>XLOOKUP(A99,'库存与收货'!$A$5:$A$676,'库存与收货'!$H$5:$H$676,0)+XLOOKUP(A99,'库存与收货'!$A$5:$A$676,'库存与收货'!$J$5:$J$676,0)</x:f>
        <x:v>4.418079266670818</x:v>
      </x:c>
      <x:c r="J99" s="21" t="n">
        <x:f>MAX(0,1-ABS(F99-I99)/MAX(I99,0.01))</x:f>
        <x:v>0.9450330641318655</x:v>
      </x:c>
      <x:c r="K99" s="21" t="n">
        <x:f>MAX(0,1-ABS(H99-I99)/MAX(I99,0.01))</x:f>
        <x:v>0.9661908330431824</x:v>
      </x:c>
      <x:c r="L99" s="24" t="n">
        <x:f>MAX(I99-H99,0)</x:f>
        <x:v>0</x:v>
      </x:c>
      <x:c r="M99" s="24" t="n">
        <x:f>MAX(H99-I99,0)</x:f>
        <x:v>0.14937157955532765</x:v>
      </x:c>
      <x:c r="N99" s="19" t="str">
        <x:v>周浩</x:v>
      </x:c>
      <x:c r="O99" s="19" t="str">
        <x:v>S-按销量/BOM/日型生成</x:v>
      </x:c>
    </x:row>
    <x:row r="100">
      <x:c r="A100" s="19" t="str">
        <x:v>2026-07-07|S02|豆腐</x:v>
      </x:c>
      <x:c r="B100" s="34" t="n">
        <x:v>46210.5</x:v>
      </x:c>
      <x:c r="C100" s="19" t="str">
        <x:v>S02</x:v>
      </x:c>
      <x:c r="D100" s="19" t="str">
        <x:v>尊宝大厦店</x:v>
      </x:c>
      <x:c r="E100" s="19" t="str">
        <x:v>豆腐</x:v>
      </x:c>
      <x:c r="F100" s="32" t="n">
        <x:v>25.075713191104253</x:v>
      </x:c>
      <x:c r="G100" s="32" t="n">
        <x:v>24.36566192116925</x:v>
      </x:c>
      <x:c r="H100" s="24" t="n">
        <x:f>G100</x:f>
        <x:v>24.36566192116925</x:v>
      </x:c>
      <x:c r="I100" s="24" t="n">
        <x:f>XLOOKUP(A100,'库存与收货'!$A$5:$A$676,'库存与收货'!$H$5:$H$676,0)+XLOOKUP(A100,'库存与收货'!$A$5:$A$676,'库存与收货'!$J$5:$J$676,0)</x:f>
        <x:v>23.494512424821618</x:v>
      </x:c>
      <x:c r="J100" s="21" t="n">
        <x:f>MAX(0,1-ABS(F100-I100)/MAX(I100,0.01))</x:f>
        <x:v>0.9326991453284164</x:v>
      </x:c>
      <x:c r="K100" s="21" t="n">
        <x:f>MAX(0,1-ABS(H100-I100)/MAX(I100,0.01))</x:f>
        <x:v>0.9629211502415657</x:v>
      </x:c>
      <x:c r="L100" s="24" t="n">
        <x:f>MAX(I100-H100,0)</x:f>
        <x:v>0</x:v>
      </x:c>
      <x:c r="M100" s="24" t="n">
        <x:f>MAX(H100-I100,0)</x:f>
        <x:v>0.8711494963476305</x:v>
      </x:c>
      <x:c r="N100" s="19" t="str">
        <x:v>周浩</x:v>
      </x:c>
      <x:c r="O100" s="19" t="str">
        <x:v>S-按销量/BOM/日型生成</x:v>
      </x:c>
    </x:row>
    <x:row r="101">
      <x:c r="A101" s="19" t="str">
        <x:v>2026-07-08|S02|瘦肉片</x:v>
      </x:c>
      <x:c r="B101" s="34" t="n">
        <x:v>46211.5</x:v>
      </x:c>
      <x:c r="C101" s="19" t="str">
        <x:v>S02</x:v>
      </x:c>
      <x:c r="D101" s="19" t="str">
        <x:v>尊宝大厦店</x:v>
      </x:c>
      <x:c r="E101" s="19" t="str">
        <x:v>瘦肉片</x:v>
      </x:c>
      <x:c r="F101" s="32" t="n">
        <x:v>13.19862406487716</x:v>
      </x:c>
      <x:c r="G101" s="32" t="n">
        <x:v>13.044049410672235</x:v>
      </x:c>
      <x:c r="H101" s="24" t="n">
        <x:f>G101</x:f>
        <x:v>13.044049410672235</x:v>
      </x:c>
      <x:c r="I101" s="24" t="n">
        <x:f>XLOOKUP(A101,'库存与收货'!$A$5:$A$676,'库存与收货'!$H$5:$H$676,0)+XLOOKUP(A101,'库存与收货'!$A$5:$A$676,'库存与收货'!$J$5:$J$676,0)</x:f>
        <x:v>12.83019381108087</x:v>
      </x:c>
      <x:c r="J101" s="21" t="n">
        <x:f>MAX(0,1-ABS(F101-I101)/MAX(I101,0.01))</x:f>
        <x:v>0.9712841240575731</x:v>
      </x:c>
      <x:c r="K101" s="21" t="n">
        <x:f>MAX(0,1-ABS(H101-I101)/MAX(I101,0.01))</x:f>
        <x:v>0.9833318496399744</x:v>
      </x:c>
      <x:c r="L101" s="24" t="n">
        <x:f>MAX(I101-H101,0)</x:f>
        <x:v>0</x:v>
      </x:c>
      <x:c r="M101" s="24" t="n">
        <x:f>MAX(H101-I101,0)</x:f>
        <x:v>0.21385559959136557</x:v>
      </x:c>
      <x:c r="N101" s="19" t="str">
        <x:v>周浩</x:v>
      </x:c>
      <x:c r="O101" s="19" t="str">
        <x:v>S-按销量/BOM/日型生成</x:v>
      </x:c>
    </x:row>
    <x:row r="102">
      <x:c r="A102" s="19" t="str">
        <x:v>2026-07-08|S02|肥肉片</x:v>
      </x:c>
      <x:c r="B102" s="34" t="n">
        <x:v>46211.5</x:v>
      </x:c>
      <x:c r="C102" s="19" t="str">
        <x:v>S02</x:v>
      </x:c>
      <x:c r="D102" s="19" t="str">
        <x:v>尊宝大厦店</x:v>
      </x:c>
      <x:c r="E102" s="19" t="str">
        <x:v>肥肉片</x:v>
      </x:c>
      <x:c r="F102" s="32" t="n">
        <x:v>3.5035659270687836</x:v>
      </x:c>
      <x:c r="G102" s="32" t="n">
        <x:v>3.556799095163961</x:v>
      </x:c>
      <x:c r="H102" s="24" t="n">
        <x:f>G102</x:f>
        <x:v>3.556799095163961</x:v>
      </x:c>
      <x:c r="I102" s="24" t="n">
        <x:f>XLOOKUP(A102,'库存与收货'!$A$5:$A$676,'库存与收货'!$H$5:$H$676,0)+XLOOKUP(A102,'库存与收货'!$A$5:$A$676,'库存与收货'!$J$5:$J$676,0)</x:f>
        <x:v>3.690783520419682</x:v>
      </x:c>
      <x:c r="J102" s="21" t="n">
        <x:f>MAX(0,1-ABS(F102-I102)/MAX(I102,0.01))</x:f>
        <x:v>0.9492742957382637</x:v>
      </x:c>
      <x:c r="K102" s="21" t="n">
        <x:f>MAX(0,1-ABS(H102-I102)/MAX(I102,0.01))</x:f>
        <x:v>0.9636975659736104</x:v>
      </x:c>
      <x:c r="L102" s="24" t="n">
        <x:f>MAX(I102-H102,0)</x:f>
        <x:v>0.13398442525572118</x:v>
      </x:c>
      <x:c r="M102" s="24" t="n">
        <x:f>MAX(H102-I102,0)</x:f>
        <x:v>0</x:v>
      </x:c>
      <x:c r="N102" s="19" t="str">
        <x:v>周浩</x:v>
      </x:c>
      <x:c r="O102" s="19" t="str">
        <x:v>S-按销量/BOM/日型生成</x:v>
      </x:c>
    </x:row>
    <x:row r="103">
      <x:c r="A103" s="19" t="str">
        <x:v>2026-07-08|S02|牛肉片</x:v>
      </x:c>
      <x:c r="B103" s="34" t="n">
        <x:v>46211.5</x:v>
      </x:c>
      <x:c r="C103" s="19" t="str">
        <x:v>S02</x:v>
      </x:c>
      <x:c r="D103" s="19" t="str">
        <x:v>尊宝大厦店</x:v>
      </x:c>
      <x:c r="E103" s="19" t="str">
        <x:v>牛肉片</x:v>
      </x:c>
      <x:c r="F103" s="32" t="n">
        <x:v>8.130815661397975</x:v>
      </x:c>
      <x:c r="G103" s="32" t="n">
        <x:v>8.431687700854535</x:v>
      </x:c>
      <x:c r="H103" s="24" t="n">
        <x:f>G103</x:f>
        <x:v>8.431687700854535</x:v>
      </x:c>
      <x:c r="I103" s="24" t="n">
        <x:f>XLOOKUP(A103,'库存与收货'!$A$5:$A$676,'库存与收货'!$H$5:$H$676,0)+XLOOKUP(A103,'库存与收货'!$A$5:$A$676,'库存与收货'!$J$5:$J$676,0)</x:f>
        <x:v>9.305219395599613</x:v>
      </x:c>
      <x:c r="J103" s="21" t="n">
        <x:f>MAX(0,1-ABS(F103-I103)/MAX(I103,0.01))</x:f>
        <x:v>0.8737908603469353</x:v>
      </x:c>
      <x:c r="K103" s="21" t="n">
        <x:f>MAX(0,1-ABS(H103-I103)/MAX(I103,0.01))</x:f>
        <x:v>0.906124546063023</x:v>
      </x:c>
      <x:c r="L103" s="24" t="n">
        <x:f>MAX(I103-H103,0)</x:f>
        <x:v>0.8735316947450773</x:v>
      </x:c>
      <x:c r="M103" s="24" t="n">
        <x:f>MAX(H103-I103,0)</x:f>
        <x:v>0</x:v>
      </x:c>
      <x:c r="N103" s="19" t="str">
        <x:v>周浩</x:v>
      </x:c>
      <x:c r="O103" s="19" t="str">
        <x:v>S-按销量/BOM/日型生成</x:v>
      </x:c>
    </x:row>
    <x:row r="104">
      <x:c r="A104" s="19" t="str">
        <x:v>2026-07-08|S02|螺丝椒</x:v>
      </x:c>
      <x:c r="B104" s="34" t="n">
        <x:v>46211.5</x:v>
      </x:c>
      <x:c r="C104" s="19" t="str">
        <x:v>S02</x:v>
      </x:c>
      <x:c r="D104" s="19" t="str">
        <x:v>尊宝大厦店</x:v>
      </x:c>
      <x:c r="E104" s="19" t="str">
        <x:v>螺丝椒</x:v>
      </x:c>
      <x:c r="F104" s="32" t="n">
        <x:v>11.400405762734882</x:v>
      </x:c>
      <x:c r="G104" s="32" t="n">
        <x:v>12.282013866561007</x:v>
      </x:c>
      <x:c r="H104" s="24" t="n">
        <x:f>G104</x:f>
        <x:v>12.282013866561007</x:v>
      </x:c>
      <x:c r="I104" s="24" t="n">
        <x:f>XLOOKUP(A104,'库存与收货'!$A$5:$A$676,'库存与收货'!$H$5:$H$676,0)+XLOOKUP(A104,'库存与收货'!$A$5:$A$676,'库存与收货'!$J$5:$J$676,0)</x:f>
        <x:v>13.753450516472443</x:v>
      </x:c>
      <x:c r="J104" s="21" t="n">
        <x:f>MAX(0,1-ABS(F104-I104)/MAX(I104,0.01))</x:f>
        <x:v>0.8289124063143769</x:v>
      </x:c>
      <x:c r="K104" s="21" t="n">
        <x:f>MAX(0,1-ABS(H104-I104)/MAX(I104,0.01))</x:f>
        <x:v>0.8930132734218876</x:v>
      </x:c>
      <x:c r="L104" s="24" t="n">
        <x:f>MAX(I104-H104,0)</x:f>
        <x:v>1.4714366499114355</x:v>
      </x:c>
      <x:c r="M104" s="24" t="n">
        <x:f>MAX(H104-I104,0)</x:f>
        <x:v>0</x:v>
      </x:c>
      <x:c r="N104" s="19" t="str">
        <x:v>周浩</x:v>
      </x:c>
      <x:c r="O104" s="19" t="str">
        <x:v>S-按销量/BOM/日型生成</x:v>
      </x:c>
    </x:row>
    <x:row r="105">
      <x:c r="A105" s="19" t="str">
        <x:v>2026-07-08|S02|青湖南椒圈</x:v>
      </x:c>
      <x:c r="B105" s="34" t="n">
        <x:v>46211.5</x:v>
      </x:c>
      <x:c r="C105" s="19" t="str">
        <x:v>S02</x:v>
      </x:c>
      <x:c r="D105" s="19" t="str">
        <x:v>尊宝大厦店</x:v>
      </x:c>
      <x:c r="E105" s="19" t="str">
        <x:v>青湖南椒圈</x:v>
      </x:c>
      <x:c r="F105" s="32" t="n">
        <x:v>1.9778233054274208</x:v>
      </x:c>
      <x:c r="G105" s="32" t="n">
        <x:v>1.926841346996148</x:v>
      </x:c>
      <x:c r="H105" s="24" t="n">
        <x:f>G105</x:f>
        <x:v>1.926841346996148</x:v>
      </x:c>
      <x:c r="I105" s="24" t="n">
        <x:f>XLOOKUP(A105,'库存与收货'!$A$5:$A$676,'库存与收货'!$H$5:$H$676,0)+XLOOKUP(A105,'库存与收货'!$A$5:$A$676,'库存与收货'!$J$5:$J$676,0)</x:f>
        <x:v>1.857808981721245</x:v>
      </x:c>
      <x:c r="J105" s="21" t="n">
        <x:f>MAX(0,1-ABS(F105-I105)/MAX(I105,0.01))</x:f>
        <x:v>0.9354000734806528</x:v>
      </x:c>
      <x:c r="K105" s="21" t="n">
        <x:f>MAX(0,1-ABS(H105-I105)/MAX(I105,0.01))</x:f>
        <x:v>0.9628420542940076</x:v>
      </x:c>
      <x:c r="L105" s="24" t="n">
        <x:f>MAX(I105-H105,0)</x:f>
        <x:v>0</x:v>
      </x:c>
      <x:c r="M105" s="24" t="n">
        <x:f>MAX(H105-I105,0)</x:f>
        <x:v>0.06903236527490297</x:v>
      </x:c>
      <x:c r="N105" s="19" t="str">
        <x:v>周浩</x:v>
      </x:c>
      <x:c r="O105" s="19" t="str">
        <x:v>S-按销量/BOM/日型生成</x:v>
      </x:c>
    </x:row>
    <x:row r="106">
      <x:c r="A106" s="19" t="str">
        <x:v>2026-07-08|S02|鸡蛋</x:v>
      </x:c>
      <x:c r="B106" s="34" t="n">
        <x:v>46211.5</x:v>
      </x:c>
      <x:c r="C106" s="19" t="str">
        <x:v>S02</x:v>
      </x:c>
      <x:c r="D106" s="19" t="str">
        <x:v>尊宝大厦店</x:v>
      </x:c>
      <x:c r="E106" s="19" t="str">
        <x:v>鸡蛋</x:v>
      </x:c>
      <x:c r="F106" s="32" t="n">
        <x:v>19.609533844625112</x:v>
      </x:c>
      <x:c r="G106" s="32" t="n">
        <x:v>18.805547050733608</x:v>
      </x:c>
      <x:c r="H106" s="24" t="n">
        <x:f>G106</x:f>
        <x:v>18.805547050733608</x:v>
      </x:c>
      <x:c r="I106" s="24" t="n">
        <x:f>XLOOKUP(A106,'库存与收货'!$A$5:$A$676,'库存与收货'!$H$5:$H$676,0)+XLOOKUP(A106,'库存与收货'!$A$5:$A$676,'库存与收货'!$J$5:$J$676,0)</x:f>
        <x:v>17.483447656848803</x:v>
      </x:c>
      <x:c r="J106" s="21" t="n">
        <x:f>MAX(0,1-ABS(F106-I106)/MAX(I106,0.01))</x:f>
        <x:v>0.8783943402064949</x:v>
      </x:c>
      <x:c r="K106" s="21" t="n">
        <x:f>MAX(0,1-ABS(H106-I106)/MAX(I106,0.01))</x:f>
        <x:v>0.9243799381086659</x:v>
      </x:c>
      <x:c r="L106" s="24" t="n">
        <x:f>MAX(I106-H106,0)</x:f>
        <x:v>0</x:v>
      </x:c>
      <x:c r="M106" s="24" t="n">
        <x:f>MAX(H106-I106,0)</x:f>
        <x:v>1.3220993938848054</x:v>
      </x:c>
      <x:c r="N106" s="19" t="str">
        <x:v>周浩</x:v>
      </x:c>
      <x:c r="O106" s="19" t="str">
        <x:v>S-按销量/BOM/日型生成</x:v>
      </x:c>
    </x:row>
    <x:row r="107">
      <x:c r="A107" s="19" t="str">
        <x:v>2026-07-08|S02|鸡肉</x:v>
      </x:c>
      <x:c r="B107" s="34" t="n">
        <x:v>46211.5</x:v>
      </x:c>
      <x:c r="C107" s="19" t="str">
        <x:v>S02</x:v>
      </x:c>
      <x:c r="D107" s="19" t="str">
        <x:v>尊宝大厦店</x:v>
      </x:c>
      <x:c r="E107" s="19" t="str">
        <x:v>鸡肉</x:v>
      </x:c>
      <x:c r="F107" s="32" t="n">
        <x:v>6.166163336209717</x:v>
      </x:c>
      <x:c r="G107" s="32" t="n">
        <x:v>6.007433947643291</x:v>
      </x:c>
      <x:c r="H107" s="24" t="n">
        <x:f>G107</x:f>
        <x:v>6.007433947643291</x:v>
      </x:c>
      <x:c r="I107" s="24" t="n">
        <x:f>XLOOKUP(A107,'库存与收货'!$A$5:$A$676,'库存与收货'!$H$5:$H$676,0)+XLOOKUP(A107,'库存与收货'!$A$5:$A$676,'库存与收货'!$J$5:$J$676,0)</x:f>
        <x:v>5.537313852429463</x:v>
      </x:c>
      <x:c r="J107" s="21" t="n">
        <x:f>MAX(0,1-ABS(F107-I107)/MAX(I107,0.01))</x:f>
        <x:v>0.8864341988662336</x:v>
      </x:c>
      <x:c r="K107" s="21" t="n">
        <x:f>MAX(0,1-ABS(H107-I107)/MAX(I107,0.01))</x:f>
        <x:v>0.9150996118799434</x:v>
      </x:c>
      <x:c r="L107" s="24" t="n">
        <x:f>MAX(I107-H107,0)</x:f>
        <x:v>0</x:v>
      </x:c>
      <x:c r="M107" s="24" t="n">
        <x:f>MAX(H107-I107,0)</x:f>
        <x:v>0.4701200952138276</x:v>
      </x:c>
      <x:c r="N107" s="19" t="str">
        <x:v>周浩</x:v>
      </x:c>
      <x:c r="O107" s="19" t="str">
        <x:v>S-按销量/BOM/日型生成</x:v>
      </x:c>
    </x:row>
    <x:row r="108">
      <x:c r="A108" s="19" t="str">
        <x:v>2026-07-08|S02|鲈鱼</x:v>
      </x:c>
      <x:c r="B108" s="34" t="n">
        <x:v>46211.5</x:v>
      </x:c>
      <x:c r="C108" s="19" t="str">
        <x:v>S02</x:v>
      </x:c>
      <x:c r="D108" s="19" t="str">
        <x:v>尊宝大厦店</x:v>
      </x:c>
      <x:c r="E108" s="19" t="str">
        <x:v>鲈鱼</x:v>
      </x:c>
      <x:c r="F108" s="32" t="n">
        <x:v>4.137428937639568</x:v>
      </x:c>
      <x:c r="G108" s="32" t="n">
        <x:v>3.9918230723686374</x:v>
      </x:c>
      <x:c r="H108" s="24" t="n">
        <x:f>G108</x:f>
        <x:v>3.9918230723686374</x:v>
      </x:c>
      <x:c r="I108" s="24" t="n">
        <x:f>XLOOKUP(A108,'库存与收货'!$A$5:$A$676,'库存与收货'!$H$5:$H$676,0)+XLOOKUP(A108,'库存与收货'!$A$5:$A$676,'库存与收货'!$J$5:$J$676,0)</x:f>
        <x:v>3.6081392230630476</x:v>
      </x:c>
      <x:c r="J108" s="21" t="n">
        <x:f>MAX(0,1-ABS(F108-I108)/MAX(I108,0.01))</x:f>
        <x:v>0.8533067373915822</x:v>
      </x:c>
      <x:c r="K108" s="21" t="n">
        <x:f>MAX(0,1-ABS(H108-I108)/MAX(I108,0.01))</x:f>
        <x:v>0.8936615730199373</x:v>
      </x:c>
      <x:c r="L108" s="24" t="n">
        <x:f>MAX(I108-H108,0)</x:f>
        <x:v>0</x:v>
      </x:c>
      <x:c r="M108" s="24" t="n">
        <x:f>MAX(H108-I108,0)</x:f>
        <x:v>0.38368384930558985</x:v>
      </x:c>
      <x:c r="N108" s="19" t="str">
        <x:v>周浩</x:v>
      </x:c>
      <x:c r="O108" s="19" t="str">
        <x:v>S-按销量/BOM/日型生成</x:v>
      </x:c>
    </x:row>
    <x:row r="109">
      <x:c r="A109" s="19" t="str">
        <x:v>2026-07-08|S02|酸包菜</x:v>
      </x:c>
      <x:c r="B109" s="34" t="n">
        <x:v>46211.5</x:v>
      </x:c>
      <x:c r="C109" s="19" t="str">
        <x:v>S02</x:v>
      </x:c>
      <x:c r="D109" s="19" t="str">
        <x:v>尊宝大厦店</x:v>
      </x:c>
      <x:c r="E109" s="19" t="str">
        <x:v>酸包菜</x:v>
      </x:c>
      <x:c r="F109" s="32" t="n">
        <x:v>8.12505247643057</x:v>
      </x:c>
      <x:c r="G109" s="32" t="n">
        <x:v>8.171683765647543</x:v>
      </x:c>
      <x:c r="H109" s="24" t="n">
        <x:f>G109</x:f>
        <x:v>8.171683765647543</x:v>
      </x:c>
      <x:c r="I109" s="24" t="n">
        <x:f>XLOOKUP(A109,'库存与收货'!$A$5:$A$676,'库存与收货'!$H$5:$H$676,0)+XLOOKUP(A109,'库存与收货'!$A$5:$A$676,'库存与收货'!$J$5:$J$676,0)</x:f>
        <x:v>8.279093857547057</x:v>
      </x:c>
      <x:c r="J109" s="21" t="n">
        <x:f>MAX(0,1-ABS(F109-I109)/MAX(I109,0.01))</x:f>
        <x:v>0.9813939322627602</x:v>
      </x:c>
      <x:c r="K109" s="21" t="n">
        <x:f>MAX(0,1-ABS(H109-I109)/MAX(I109,0.01))</x:f>
        <x:v>0.9870263468747126</x:v>
      </x:c>
      <x:c r="L109" s="24" t="n">
        <x:f>MAX(I109-H109,0)</x:f>
        <x:v>0.10741009189951356</x:v>
      </x:c>
      <x:c r="M109" s="24" t="n">
        <x:f>MAX(H109-I109,0)</x:f>
        <x:v>0</x:v>
      </x:c>
      <x:c r="N109" s="19" t="str">
        <x:v>周浩</x:v>
      </x:c>
      <x:c r="O109" s="19" t="str">
        <x:v>S-按销量/BOM/日型生成</x:v>
      </x:c>
    </x:row>
    <x:row r="110">
      <x:c r="A110" s="19" t="str">
        <x:v>2026-07-08|S02|粉皮</x:v>
      </x:c>
      <x:c r="B110" s="34" t="n">
        <x:v>46211.5</x:v>
      </x:c>
      <x:c r="C110" s="19" t="str">
        <x:v>S02</x:v>
      </x:c>
      <x:c r="D110" s="19" t="str">
        <x:v>尊宝大厦店</x:v>
      </x:c>
      <x:c r="E110" s="19" t="str">
        <x:v>粉皮</x:v>
      </x:c>
      <x:c r="F110" s="32" t="n">
        <x:v>5.234893547326107</x:v>
      </x:c>
      <x:c r="G110" s="32" t="n">
        <x:v>5.4921058560728575</x:v>
      </x:c>
      <x:c r="H110" s="24" t="n">
        <x:f>G110</x:f>
        <x:v>5.4921058560728575</x:v>
      </x:c>
      <x:c r="I110" s="24" t="n">
        <x:f>XLOOKUP(A110,'库存与收货'!$A$5:$A$676,'库存与收货'!$H$5:$H$676,0)+XLOOKUP(A110,'库存与收货'!$A$5:$A$676,'库存与收货'!$J$5:$J$676,0)</x:f>
        <x:v>6.228648334329168</x:v>
      </x:c>
      <x:c r="J110" s="21" t="n">
        <x:f>MAX(0,1-ABS(F110-I110)/MAX(I110,0.01))</x:f>
        <x:v>0.8404541830486743</x:v>
      </x:c>
      <x:c r="K110" s="21" t="n">
        <x:f>MAX(0,1-ABS(H110-I110)/MAX(I110,0.01))</x:f>
        <x:v>0.881749227324834</x:v>
      </x:c>
      <x:c r="L110" s="24" t="n">
        <x:f>MAX(I110-H110,0)</x:f>
        <x:v>0.7365424782563101</x:v>
      </x:c>
      <x:c r="M110" s="24" t="n">
        <x:f>MAX(H110-I110,0)</x:f>
        <x:v>0</x:v>
      </x:c>
      <x:c r="N110" s="19" t="str">
        <x:v>周浩</x:v>
      </x:c>
      <x:c r="O110" s="19" t="str">
        <x:v>S-按销量/BOM/日型生成</x:v>
      </x:c>
    </x:row>
    <x:row r="111">
      <x:c r="A111" s="19" t="str">
        <x:v>2026-07-08|S02|鸡杂</x:v>
      </x:c>
      <x:c r="B111" s="34" t="n">
        <x:v>46211.5</x:v>
      </x:c>
      <x:c r="C111" s="19" t="str">
        <x:v>S02</x:v>
      </x:c>
      <x:c r="D111" s="19" t="str">
        <x:v>尊宝大厦店</x:v>
      </x:c>
      <x:c r="E111" s="19" t="str">
        <x:v>鸡杂</x:v>
      </x:c>
      <x:c r="F111" s="32" t="n">
        <x:v>3.5335570971872925</x:v>
      </x:c>
      <x:c r="G111" s="32" t="n">
        <x:v>3.5513378086793486</x:v>
      </x:c>
      <x:c r="H111" s="24" t="n">
        <x:f>G111</x:f>
        <x:v>3.5513378086793486</x:v>
      </x:c>
      <x:c r="I111" s="24" t="n">
        <x:f>XLOOKUP(A111,'库存与收货'!$A$5:$A$676,'库存与收货'!$H$5:$H$676,0)+XLOOKUP(A111,'库存与收货'!$A$5:$A$676,'库存与收货'!$J$5:$J$676,0)</x:f>
        <x:v>3.5880392390624714</x:v>
      </x:c>
      <x:c r="J111" s="21" t="n">
        <x:f>MAX(0,1-ABS(F111-I111)/MAX(I111,0.01))</x:f>
        <x:v>0.9848156226158177</x:v>
      </x:c>
      <x:c r="K111" s="21" t="n">
        <x:f>MAX(0,1-ABS(H111-I111)/MAX(I111,0.01))</x:f>
        <x:v>0.9897711736305558</x:v>
      </x:c>
      <x:c r="L111" s="24" t="n">
        <x:f>MAX(I111-H111,0)</x:f>
        <x:v>0.03670143038312279</x:v>
      </x:c>
      <x:c r="M111" s="24" t="n">
        <x:f>MAX(H111-I111,0)</x:f>
        <x:v>0</x:v>
      </x:c>
      <x:c r="N111" s="19" t="str">
        <x:v>周浩</x:v>
      </x:c>
      <x:c r="O111" s="19" t="str">
        <x:v>S-按销量/BOM/日型生成</x:v>
      </x:c>
    </x:row>
    <x:row r="112">
      <x:c r="A112" s="19" t="str">
        <x:v>2026-07-08|S02|豆腐</x:v>
      </x:c>
      <x:c r="B112" s="34" t="n">
        <x:v>46211.5</x:v>
      </x:c>
      <x:c r="C112" s="19" t="str">
        <x:v>S02</x:v>
      </x:c>
      <x:c r="D112" s="19" t="str">
        <x:v>尊宝大厦店</x:v>
      </x:c>
      <x:c r="E112" s="19" t="str">
        <x:v>豆腐</x:v>
      </x:c>
      <x:c r="F112" s="32" t="n">
        <x:v>23.041072754213584</x:v>
      </x:c>
      <x:c r="G112" s="32" t="n">
        <x:v>22.844277114358402</x:v>
      </x:c>
      <x:c r="H112" s="24" t="n">
        <x:f>G112</x:f>
        <x:v>22.844277114358402</x:v>
      </x:c>
      <x:c r="I112" s="24" t="n">
        <x:f>XLOOKUP(A112,'库存与收货'!$A$5:$A$676,'库存与收货'!$H$5:$H$676,0)+XLOOKUP(A112,'库存与收货'!$A$5:$A$676,'库存与收货'!$J$5:$J$676,0)</x:f>
        <x:v>22.448240431537442</x:v>
      </x:c>
      <x:c r="J112" s="21" t="n">
        <x:f>MAX(0,1-ABS(F112-I112)/MAX(I112,0.01))</x:f>
        <x:v>0.9735911451730856</x:v>
      </x:c>
      <x:c r="K112" s="21" t="n">
        <x:f>MAX(0,1-ABS(H112-I112)/MAX(I112,0.01))</x:f>
        <x:v>0.9823577850554127</x:v>
      </x:c>
      <x:c r="L112" s="24" t="n">
        <x:f>MAX(I112-H112,0)</x:f>
        <x:v>0</x:v>
      </x:c>
      <x:c r="M112" s="24" t="n">
        <x:f>MAX(H112-I112,0)</x:f>
        <x:v>0.3960366828209594</x:v>
      </x:c>
      <x:c r="N112" s="19" t="str">
        <x:v>周浩</x:v>
      </x:c>
      <x:c r="O112" s="19" t="str">
        <x:v>S-按销量/BOM/日型生成</x:v>
      </x:c>
    </x:row>
    <x:row r="113">
      <x:c r="A113" s="19" t="str">
        <x:v>2026-07-09|S02|瘦肉片</x:v>
      </x:c>
      <x:c r="B113" s="34" t="n">
        <x:v>46212.5</x:v>
      </x:c>
      <x:c r="C113" s="19" t="str">
        <x:v>S02</x:v>
      </x:c>
      <x:c r="D113" s="19" t="str">
        <x:v>尊宝大厦店</x:v>
      </x:c>
      <x:c r="E113" s="19" t="str">
        <x:v>瘦肉片</x:v>
      </x:c>
      <x:c r="F113" s="32" t="n">
        <x:v>12.138899546169709</x:v>
      </x:c>
      <x:c r="G113" s="32" t="n">
        <x:v>12.486173079161828</x:v>
      </x:c>
      <x:c r="H113" s="24" t="n">
        <x:f>G113</x:f>
        <x:v>12.486173079161828</x:v>
      </x:c>
      <x:c r="I113" s="24" t="n">
        <x:f>XLOOKUP(A113,'库存与收货'!$A$5:$A$676,'库存与收货'!$H$5:$H$676,0)+XLOOKUP(A113,'库存与收货'!$A$5:$A$676,'库存与收货'!$J$5:$J$676,0)</x:f>
        <x:v>12.941962929028543</x:v>
      </x:c>
      <x:c r="J113" s="21" t="n">
        <x:f>MAX(0,1-ABS(F113-I113)/MAX(I113,0.01))</x:f>
        <x:v>0.9379488731915944</x:v>
      </x:c>
      <x:c r="K113" s="21" t="n">
        <x:f>MAX(0,1-ABS(H113-I113)/MAX(I113,0.01))</x:f>
        <x:v>0.96478201549748</x:v>
      </x:c>
      <x:c r="L113" s="24" t="n">
        <x:f>MAX(I113-H113,0)</x:f>
        <x:v>0.455789849866715</x:v>
      </x:c>
      <x:c r="M113" s="24" t="n">
        <x:f>MAX(H113-I113,0)</x:f>
        <x:v>0</x:v>
      </x:c>
      <x:c r="N113" s="19" t="str">
        <x:v>周浩</x:v>
      </x:c>
      <x:c r="O113" s="19" t="str">
        <x:v>S-按销量/BOM/日型生成</x:v>
      </x:c>
    </x:row>
    <x:row r="114">
      <x:c r="A114" s="19" t="str">
        <x:v>2026-07-09|S02|肥肉片</x:v>
      </x:c>
      <x:c r="B114" s="34" t="n">
        <x:v>46212.5</x:v>
      </x:c>
      <x:c r="C114" s="19" t="str">
        <x:v>S02</x:v>
      </x:c>
      <x:c r="D114" s="19" t="str">
        <x:v>尊宝大厦店</x:v>
      </x:c>
      <x:c r="E114" s="19" t="str">
        <x:v>肥肉片</x:v>
      </x:c>
      <x:c r="F114" s="32" t="n">
        <x:v>4.143081632047581</x:v>
      </x:c>
      <x:c r="G114" s="32" t="n">
        <x:v>3.974949986477696</x:v>
      </x:c>
      <x:c r="H114" s="24" t="n">
        <x:f>G114</x:f>
        <x:v>3.974949986477696</x:v>
      </x:c>
      <x:c r="I114" s="24" t="n">
        <x:f>XLOOKUP(A114,'库存与收货'!$A$5:$A$676,'库存与收货'!$H$5:$H$676,0)+XLOOKUP(A114,'库存与收货'!$A$5:$A$676,'库存与收货'!$J$5:$J$676,0)</x:f>
        <x:v>3.636968419016506</x:v>
      </x:c>
      <x:c r="J114" s="21" t="n">
        <x:f>MAX(0,1-ABS(F114-I114)/MAX(I114,0.01))</x:f>
        <x:v>0.8608420105094187</x:v>
      </x:c>
      <x:c r="K114" s="21" t="n">
        <x:f>MAX(0,1-ABS(H114-I114)/MAX(I114,0.01))</x:f>
        <x:v>0.9070705245352156</x:v>
      </x:c>
      <x:c r="L114" s="24" t="n">
        <x:f>MAX(I114-H114,0)</x:f>
        <x:v>0</x:v>
      </x:c>
      <x:c r="M114" s="24" t="n">
        <x:f>MAX(H114-I114,0)</x:f>
        <x:v>0.3379815674611901</x:v>
      </x:c>
      <x:c r="N114" s="19" t="str">
        <x:v>周浩</x:v>
      </x:c>
      <x:c r="O114" s="19" t="str">
        <x:v>S-按销量/BOM/日型生成</x:v>
      </x:c>
    </x:row>
    <x:row r="115">
      <x:c r="A115" s="19" t="str">
        <x:v>2026-07-09|S02|牛肉片</x:v>
      </x:c>
      <x:c r="B115" s="34" t="n">
        <x:v>46212.5</x:v>
      </x:c>
      <x:c r="C115" s="19" t="str">
        <x:v>S02</x:v>
      </x:c>
      <x:c r="D115" s="19" t="str">
        <x:v>尊宝大厦店</x:v>
      </x:c>
      <x:c r="E115" s="19" t="str">
        <x:v>牛肉片</x:v>
      </x:c>
      <x:c r="F115" s="32" t="n">
        <x:v>7.375095302756067</x:v>
      </x:c>
      <x:c r="G115" s="32" t="n">
        <x:v>7.788026270300961</x:v>
      </x:c>
      <x:c r="H115" s="24" t="n">
        <x:f>G115</x:f>
        <x:v>7.788026270300961</x:v>
      </x:c>
      <x:c r="I115" s="24" t="n">
        <x:f>XLOOKUP(A115,'库存与收货'!$A$5:$A$676,'库存与收货'!$H$5:$H$676,0)+XLOOKUP(A115,'库存与收货'!$A$5:$A$676,'库存与收货'!$J$5:$J$676,0)</x:f>
        <x:v>8.983172276235283</x:v>
      </x:c>
      <x:c r="J115" s="21" t="n">
        <x:f>MAX(0,1-ABS(F115-I115)/MAX(I115,0.01))</x:f>
        <x:v>0.8209900774436514</x:v>
      </x:c>
      <x:c r="K115" s="21" t="n">
        <x:f>MAX(0,1-ABS(H115-I115)/MAX(I115,0.01))</x:f>
        <x:v>0.8669572430336168</x:v>
      </x:c>
      <x:c r="L115" s="24" t="n">
        <x:f>MAX(I115-H115,0)</x:f>
        <x:v>1.1951460059343226</x:v>
      </x:c>
      <x:c r="M115" s="24" t="n">
        <x:f>MAX(H115-I115,0)</x:f>
        <x:v>0</x:v>
      </x:c>
      <x:c r="N115" s="19" t="str">
        <x:v>周浩</x:v>
      </x:c>
      <x:c r="O115" s="19" t="str">
        <x:v>S-按销量/BOM/日型生成</x:v>
      </x:c>
    </x:row>
    <x:row r="116">
      <x:c r="A116" s="19" t="str">
        <x:v>2026-07-09|S02|螺丝椒</x:v>
      </x:c>
      <x:c r="B116" s="34" t="n">
        <x:v>46212.5</x:v>
      </x:c>
      <x:c r="C116" s="19" t="str">
        <x:v>S02</x:v>
      </x:c>
      <x:c r="D116" s="19" t="str">
        <x:v>尊宝大厦店</x:v>
      </x:c>
      <x:c r="E116" s="19" t="str">
        <x:v>螺丝椒</x:v>
      </x:c>
      <x:c r="F116" s="32" t="n">
        <x:v>15.278066601648325</x:v>
      </x:c>
      <x:c r="G116" s="32" t="n">
        <x:v>14.72123467226545</x:v>
      </x:c>
      <x:c r="H116" s="24" t="n">
        <x:f>G116</x:f>
        <x:v>14.72123467226545</x:v>
      </x:c>
      <x:c r="I116" s="24" t="n">
        <x:f>XLOOKUP(A116,'库存与收货'!$A$5:$A$676,'库存与收货'!$H$5:$H$676,0)+XLOOKUP(A116,'库存与收货'!$A$5:$A$676,'库存与收货'!$J$5:$J$676,0)</x:f>
        <x:v>13.502099843993108</x:v>
      </x:c>
      <x:c r="J116" s="21" t="n">
        <x:f>MAX(0,1-ABS(F116-I116)/MAX(I116,0.01))</x:f>
        <x:v>0.8684673659523174</x:v>
      </x:c>
      <x:c r="K116" s="21" t="n">
        <x:f>MAX(0,1-ABS(H116-I116)/MAX(I116,0.01))</x:f>
        <x:v>0.9097077608402727</x:v>
      </x:c>
      <x:c r="L116" s="24" t="n">
        <x:f>MAX(I116-H116,0)</x:f>
        <x:v>0</x:v>
      </x:c>
      <x:c r="M116" s="24" t="n">
        <x:f>MAX(H116-I116,0)</x:f>
        <x:v>1.2191348282723418</x:v>
      </x:c>
      <x:c r="N116" s="19" t="str">
        <x:v>周浩</x:v>
      </x:c>
      <x:c r="O116" s="19" t="str">
        <x:v>S-按销量/BOM/日型生成</x:v>
      </x:c>
    </x:row>
    <x:row r="117">
      <x:c r="A117" s="19" t="str">
        <x:v>2026-07-09|S02|青湖南椒圈</x:v>
      </x:c>
      <x:c r="B117" s="34" t="n">
        <x:v>46212.5</x:v>
      </x:c>
      <x:c r="C117" s="19" t="str">
        <x:v>S02</x:v>
      </x:c>
      <x:c r="D117" s="19" t="str">
        <x:v>尊宝大厦店</x:v>
      </x:c>
      <x:c r="E117" s="19" t="str">
        <x:v>青湖南椒圈</x:v>
      </x:c>
      <x:c r="F117" s="32" t="n">
        <x:v>1.659430280484901</x:v>
      </x:c>
      <x:c r="G117" s="32" t="n">
        <x:v>1.7622443928717266</x:v>
      </x:c>
      <x:c r="H117" s="24" t="n">
        <x:f>G117</x:f>
        <x:v>1.7622443928717266</x:v>
      </x:c>
      <x:c r="I117" s="24" t="n">
        <x:f>XLOOKUP(A117,'库存与收货'!$A$5:$A$676,'库存与收货'!$H$5:$H$676,0)+XLOOKUP(A117,'库存与收货'!$A$5:$A$676,'库存与收货'!$J$5:$J$676,0)</x:f>
        <x:v>1.968900708713662</x:v>
      </x:c>
      <x:c r="J117" s="21" t="n">
        <x:f>MAX(0,1-ABS(F117-I117)/MAX(I117,0.01))</x:f>
        <x:v>0.8428207035229589</x:v>
      </x:c>
      <x:c r="K117" s="21" t="n">
        <x:f>MAX(0,1-ABS(H117-I117)/MAX(I117,0.01))</x:f>
        <x:v>0.8950397473436079</x:v>
      </x:c>
      <x:c r="L117" s="24" t="n">
        <x:f>MAX(I117-H117,0)</x:f>
        <x:v>0.20665631584193545</x:v>
      </x:c>
      <x:c r="M117" s="24" t="n">
        <x:f>MAX(H117-I117,0)</x:f>
        <x:v>0</x:v>
      </x:c>
      <x:c r="N117" s="19" t="str">
        <x:v>周浩</x:v>
      </x:c>
      <x:c r="O117" s="19" t="str">
        <x:v>S-按销量/BOM/日型生成</x:v>
      </x:c>
    </x:row>
    <x:row r="118">
      <x:c r="A118" s="19" t="str">
        <x:v>2026-07-09|S02|鸡蛋</x:v>
      </x:c>
      <x:c r="B118" s="34" t="n">
        <x:v>46212.5</x:v>
      </x:c>
      <x:c r="C118" s="19" t="str">
        <x:v>S02</x:v>
      </x:c>
      <x:c r="D118" s="19" t="str">
        <x:v>尊宝大厦店</x:v>
      </x:c>
      <x:c r="E118" s="19" t="str">
        <x:v>鸡蛋</x:v>
      </x:c>
      <x:c r="F118" s="32" t="n">
        <x:v>16.002031078641313</x:v>
      </x:c>
      <x:c r="G118" s="32" t="n">
        <x:v>16.42162952121975</x:v>
      </x:c>
      <x:c r="H118" s="24" t="n">
        <x:f>G118</x:f>
        <x:v>16.42162952121975</x:v>
      </x:c>
      <x:c r="I118" s="24" t="n">
        <x:f>XLOOKUP(A118,'库存与收货'!$A$5:$A$676,'库存与收货'!$H$5:$H$676,0)+XLOOKUP(A118,'库存与收货'!$A$5:$A$676,'库存与收货'!$J$5:$J$676,0)</x:f>
        <x:v>17.18114643524195</x:v>
      </x:c>
      <x:c r="J118" s="21" t="n">
        <x:f>MAX(0,1-ABS(F118-I118)/MAX(I118,0.01))</x:f>
        <x:v>0.9313715553822395</x:v>
      </x:c>
      <x:c r="K118" s="21" t="n">
        <x:f>MAX(0,1-ABS(H118-I118)/MAX(I118,0.01))</x:f>
        <x:v>0.9557935835722651</x:v>
      </x:c>
      <x:c r="L118" s="24" t="n">
        <x:f>MAX(I118-H118,0)</x:f>
        <x:v>0.7595169140221998</x:v>
      </x:c>
      <x:c r="M118" s="24" t="n">
        <x:f>MAX(H118-I118,0)</x:f>
        <x:v>0</x:v>
      </x:c>
      <x:c r="N118" s="19" t="str">
        <x:v>周浩</x:v>
      </x:c>
      <x:c r="O118" s="19" t="str">
        <x:v>S-按销量/BOM/日型生成</x:v>
      </x:c>
    </x:row>
    <x:row r="119">
      <x:c r="A119" s="19" t="str">
        <x:v>2026-07-09|S02|鸡肉</x:v>
      </x:c>
      <x:c r="B119" s="34" t="n">
        <x:v>46212.5</x:v>
      </x:c>
      <x:c r="C119" s="19" t="str">
        <x:v>S02</x:v>
      </x:c>
      <x:c r="D119" s="19" t="str">
        <x:v>尊宝大厦店</x:v>
      </x:c>
      <x:c r="E119" s="19" t="str">
        <x:v>鸡肉</x:v>
      </x:c>
      <x:c r="F119" s="32" t="n">
        <x:v>6.119911741574683</x:v>
      </x:c>
      <x:c r="G119" s="32" t="n">
        <x:v>5.896020163243037</x:v>
      </x:c>
      <x:c r="H119" s="24" t="n">
        <x:f>G119</x:f>
        <x:v>5.896020163243037</x:v>
      </x:c>
      <x:c r="I119" s="24" t="n">
        <x:f>XLOOKUP(A119,'库存与收货'!$A$5:$A$676,'库存与收货'!$H$5:$H$676,0)+XLOOKUP(A119,'库存与收货'!$A$5:$A$676,'库存与收货'!$J$5:$J$676,0)</x:f>
        <x:v>5.497784420097663</x:v>
      </x:c>
      <x:c r="J119" s="21" t="n">
        <x:f>MAX(0,1-ABS(F119-I119)/MAX(I119,0.01))</x:f>
        <x:v>0.8868403571440933</x:v>
      </x:c>
      <x:c r="K119" s="21" t="n">
        <x:f>MAX(0,1-ABS(H119-I119)/MAX(I119,0.01))</x:f>
        <x:v>0.927564321785775</x:v>
      </x:c>
      <x:c r="L119" s="24" t="n">
        <x:f>MAX(I119-H119,0)</x:f>
        <x:v>0</x:v>
      </x:c>
      <x:c r="M119" s="24" t="n">
        <x:f>MAX(H119-I119,0)</x:f>
        <x:v>0.39823574314537424</x:v>
      </x:c>
      <x:c r="N119" s="19" t="str">
        <x:v>周浩</x:v>
      </x:c>
      <x:c r="O119" s="19" t="str">
        <x:v>S-按销量/BOM/日型生成</x:v>
      </x:c>
    </x:row>
    <x:row r="120">
      <x:c r="A120" s="19" t="str">
        <x:v>2026-07-09|S02|鲈鱼</x:v>
      </x:c>
      <x:c r="B120" s="34" t="n">
        <x:v>46212.5</x:v>
      </x:c>
      <x:c r="C120" s="19" t="str">
        <x:v>S02</x:v>
      </x:c>
      <x:c r="D120" s="19" t="str">
        <x:v>尊宝大厦店</x:v>
      </x:c>
      <x:c r="E120" s="19" t="str">
        <x:v>鲈鱼</x:v>
      </x:c>
      <x:c r="F120" s="32" t="n">
        <x:v>3.2419299733784537</x:v>
      </x:c>
      <x:c r="G120" s="32" t="n">
        <x:v>3.322995933079589</x:v>
      </x:c>
      <x:c r="H120" s="24" t="n">
        <x:f>G120</x:f>
        <x:v>3.322995933079589</x:v>
      </x:c>
      <x:c r="I120" s="24" t="n">
        <x:f>XLOOKUP(A120,'库存与收货'!$A$5:$A$676,'库存与收货'!$H$5:$H$676,0)+XLOOKUP(A120,'库存与收货'!$A$5:$A$676,'库存与收货'!$J$5:$J$676,0)</x:f>
        <x:v>3.5536098887861263</x:v>
      </x:c>
      <x:c r="J120" s="21" t="n">
        <x:f>MAX(0,1-ABS(F120-I120)/MAX(I120,0.01))</x:f>
        <x:v>0.9122920283424416</x:v>
      </x:c>
      <x:c r="K120" s="21" t="n">
        <x:f>MAX(0,1-ABS(H120-I120)/MAX(I120,0.01))</x:f>
        <x:v>0.9351043128188411</x:v>
      </x:c>
      <x:c r="L120" s="24" t="n">
        <x:f>MAX(I120-H120,0)</x:f>
        <x:v>0.23061395570653742</x:v>
      </x:c>
      <x:c r="M120" s="24" t="n">
        <x:f>MAX(H120-I120,0)</x:f>
        <x:v>0</x:v>
      </x:c>
      <x:c r="N120" s="19" t="str">
        <x:v>周浩</x:v>
      </x:c>
      <x:c r="O120" s="19" t="str">
        <x:v>S-按销量/BOM/日型生成</x:v>
      </x:c>
    </x:row>
    <x:row r="121">
      <x:c r="A121" s="19" t="str">
        <x:v>2026-07-09|S02|酸包菜</x:v>
      </x:c>
      <x:c r="B121" s="34" t="n">
        <x:v>46212.5</x:v>
      </x:c>
      <x:c r="C121" s="19" t="str">
        <x:v>S02</x:v>
      </x:c>
      <x:c r="D121" s="19" t="str">
        <x:v>尊宝大厦店</x:v>
      </x:c>
      <x:c r="E121" s="19" t="str">
        <x:v>酸包菜</x:v>
      </x:c>
      <x:c r="F121" s="32" t="n">
        <x:v>7.634096713983039</x:v>
      </x:c>
      <x:c r="G121" s="32" t="n">
        <x:v>7.767007761049599</x:v>
      </x:c>
      <x:c r="H121" s="24" t="n">
        <x:f>G121</x:f>
        <x:v>7.767007761049599</x:v>
      </x:c>
      <x:c r="I121" s="24" t="n">
        <x:f>XLOOKUP(A121,'库存与收货'!$A$5:$A$676,'库存与收货'!$H$5:$H$676,0)+XLOOKUP(A121,'库存与收货'!$A$5:$A$676,'库存与收货'!$J$5:$J$676,0)</x:f>
        <x:v>8.021773062796978</x:v>
      </x:c>
      <x:c r="J121" s="21" t="n">
        <x:f>MAX(0,1-ABS(F121-I121)/MAX(I121,0.01))</x:f>
        <x:v>0.951671987504622</x:v>
      </x:c>
      <x:c r="K121" s="21" t="n">
        <x:f>MAX(0,1-ABS(H121-I121)/MAX(I121,0.01))</x:f>
        <x:v>0.9682407742337018</x:v>
      </x:c>
      <x:c r="L121" s="24" t="n">
        <x:f>MAX(I121-H121,0)</x:f>
        <x:v>0.254765301747379</x:v>
      </x:c>
      <x:c r="M121" s="24" t="n">
        <x:f>MAX(H121-I121,0)</x:f>
        <x:v>0</x:v>
      </x:c>
      <x:c r="N121" s="19" t="str">
        <x:v>周浩</x:v>
      </x:c>
      <x:c r="O121" s="19" t="str">
        <x:v>S-按销量/BOM/日型生成</x:v>
      </x:c>
    </x:row>
    <x:row r="122">
      <x:c r="A122" s="19" t="str">
        <x:v>2026-07-09|S02|粉皮</x:v>
      </x:c>
      <x:c r="B122" s="34" t="n">
        <x:v>46212.5</x:v>
      </x:c>
      <x:c r="C122" s="19" t="str">
        <x:v>S02</x:v>
      </x:c>
      <x:c r="D122" s="19" t="str">
        <x:v>尊宝大厦店</x:v>
      </x:c>
      <x:c r="E122" s="19" t="str">
        <x:v>粉皮</x:v>
      </x:c>
      <x:c r="F122" s="32" t="n">
        <x:v>5.310190436746239</x:v>
      </x:c>
      <x:c r="G122" s="32" t="n">
        <x:v>5.55844809493747</x:v>
      </x:c>
      <x:c r="H122" s="24" t="n">
        <x:f>G122</x:f>
        <x:v>5.55844809493747</x:v>
      </x:c>
      <x:c r="I122" s="24" t="n">
        <x:f>XLOOKUP(A122,'库存与收货'!$A$5:$A$676,'库存与收货'!$H$5:$H$676,0)+XLOOKUP(A122,'库存与收货'!$A$5:$A$676,'库存与收货'!$J$5:$J$676,0)</x:f>
        <x:v>6.066223855270648</x:v>
      </x:c>
      <x:c r="J122" s="21" t="n">
        <x:f>MAX(0,1-ABS(F122-I122)/MAX(I122,0.01))</x:f>
        <x:v>0.8753700099828119</x:v>
      </x:c>
      <x:c r="K122" s="21" t="n">
        <x:f>MAX(0,1-ABS(H122-I122)/MAX(I122,0.01))</x:f>
        <x:v>0.9162945891137867</x:v>
      </x:c>
      <x:c r="L122" s="24" t="n">
        <x:f>MAX(I122-H122,0)</x:f>
        <x:v>0.5077757603331783</x:v>
      </x:c>
      <x:c r="M122" s="24" t="n">
        <x:f>MAX(H122-I122,0)</x:f>
        <x:v>0</x:v>
      </x:c>
      <x:c r="N122" s="19" t="str">
        <x:v>周浩</x:v>
      </x:c>
      <x:c r="O122" s="19" t="str">
        <x:v>S-按销量/BOM/日型生成</x:v>
      </x:c>
    </x:row>
    <x:row r="123">
      <x:c r="A123" s="19" t="str">
        <x:v>2026-07-09|S02|鸡杂</x:v>
      </x:c>
      <x:c r="B123" s="34" t="n">
        <x:v>46212.5</x:v>
      </x:c>
      <x:c r="C123" s="19" t="str">
        <x:v>S02</x:v>
      </x:c>
      <x:c r="D123" s="19" t="str">
        <x:v>尊宝大厦店</x:v>
      </x:c>
      <x:c r="E123" s="19" t="str">
        <x:v>鸡杂</x:v>
      </x:c>
      <x:c r="F123" s="32" t="n">
        <x:v>3.494746820017466</x:v>
      </x:c>
      <x:c r="G123" s="32" t="n">
        <x:v>3.5332659856666475</x:v>
      </x:c>
      <x:c r="H123" s="24" t="n">
        <x:f>G123</x:f>
        <x:v>3.5332659856666475</x:v>
      </x:c>
      <x:c r="I123" s="24" t="n">
        <x:f>XLOOKUP(A123,'库存与收货'!$A$5:$A$676,'库存与收货'!$H$5:$H$676,0)+XLOOKUP(A123,'库存与收货'!$A$5:$A$676,'库存与收货'!$J$5:$J$676,0)</x:f>
        <x:v>3.627821991235326</x:v>
      </x:c>
      <x:c r="J123" s="21" t="n">
        <x:f>MAX(0,1-ABS(F123-I123)/MAX(I123,0.01))</x:f>
        <x:v>0.9633181640280686</x:v>
      </x:c>
      <x:c r="K123" s="21" t="n">
        <x:f>MAX(0,1-ABS(H123-I123)/MAX(I123,0.01))</x:f>
        <x:v>0.9739358750795596</x:v>
      </x:c>
      <x:c r="L123" s="24" t="n">
        <x:f>MAX(I123-H123,0)</x:f>
        <x:v>0.09455600556867827</x:v>
      </x:c>
      <x:c r="M123" s="24" t="n">
        <x:f>MAX(H123-I123,0)</x:f>
        <x:v>0</x:v>
      </x:c>
      <x:c r="N123" s="19" t="str">
        <x:v>周浩</x:v>
      </x:c>
      <x:c r="O123" s="19" t="str">
        <x:v>S-按销量/BOM/日型生成</x:v>
      </x:c>
    </x:row>
    <x:row r="124">
      <x:c r="A124" s="19" t="str">
        <x:v>2026-07-09|S02|豆腐</x:v>
      </x:c>
      <x:c r="B124" s="34" t="n">
        <x:v>46212.5</x:v>
      </x:c>
      <x:c r="C124" s="19" t="str">
        <x:v>S02</x:v>
      </x:c>
      <x:c r="D124" s="19" t="str">
        <x:v>尊宝大厦店</x:v>
      </x:c>
      <x:c r="E124" s="19" t="str">
        <x:v>豆腐</x:v>
      </x:c>
      <x:c r="F124" s="32" t="n">
        <x:v>22.29156449051526</x:v>
      </x:c>
      <x:c r="G124" s="32" t="n">
        <x:v>22.68484377668759</x:v>
      </x:c>
      <x:c r="H124" s="24" t="n">
        <x:f>G124</x:f>
        <x:v>22.68484377668759</x:v>
      </x:c>
      <x:c r="I124" s="24" t="n">
        <x:f>XLOOKUP(A124,'库存与收货'!$A$5:$A$676,'库存与收货'!$H$5:$H$676,0)+XLOOKUP(A124,'库存与收货'!$A$5:$A$676,'库存与收货'!$J$5:$J$676,0)</x:f>
        <x:v>23.561071319161233</x:v>
      </x:c>
      <x:c r="J124" s="21" t="n">
        <x:f>MAX(0,1-ABS(F124-I124)/MAX(I124,0.01))</x:f>
        <x:v>0.9461184590696631</x:v>
      </x:c>
      <x:c r="K124" s="21" t="n">
        <x:f>MAX(0,1-ABS(H124-I124)/MAX(I124,0.01))</x:f>
        <x:v>0.9628103692483183</x:v>
      </x:c>
      <x:c r="L124" s="24" t="n">
        <x:f>MAX(I124-H124,0)</x:f>
        <x:v>0.876227542473643</x:v>
      </x:c>
      <x:c r="M124" s="24" t="n">
        <x:f>MAX(H124-I124,0)</x:f>
        <x:v>0</x:v>
      </x:c>
      <x:c r="N124" s="19" t="str">
        <x:v>周浩</x:v>
      </x:c>
      <x:c r="O124" s="19" t="str">
        <x:v>S-按销量/BOM/日型生成</x:v>
      </x:c>
    </x:row>
    <x:row r="125">
      <x:c r="A125" s="19" t="str">
        <x:v>2026-07-10|S02|瘦肉片</x:v>
      </x:c>
      <x:c r="B125" s="34" t="n">
        <x:v>46213.5</x:v>
      </x:c>
      <x:c r="C125" s="19" t="str">
        <x:v>S02</x:v>
      </x:c>
      <x:c r="D125" s="19" t="str">
        <x:v>尊宝大厦店</x:v>
      </x:c>
      <x:c r="E125" s="19" t="str">
        <x:v>瘦肉片</x:v>
      </x:c>
      <x:c r="F125" s="32" t="n">
        <x:v>11.05127722650137</x:v>
      </x:c>
      <x:c r="G125" s="32" t="n">
        <x:v>12.07305232147524</x:v>
      </x:c>
      <x:c r="H125" s="24" t="n">
        <x:f>G125</x:f>
        <x:v>12.07305232147524</x:v>
      </x:c>
      <x:c r="I125" s="24" t="n">
        <x:f>XLOOKUP(A125,'库存与收货'!$A$5:$A$676,'库存与收货'!$H$5:$H$676,0)+XLOOKUP(A125,'库存与收货'!$A$5:$A$676,'库存与收货'!$J$5:$J$676,0)</x:f>
        <x:v>13.456169957549701</x:v>
      </x:c>
      <x:c r="J125" s="21" t="n">
        <x:f>MAX(0,1-ABS(F125-I125)/MAX(I125,0.01))</x:f>
        <x:v>0.8212795514150707</x:v>
      </x:c>
      <x:c r="K125" s="21" t="n">
        <x:f>MAX(0,1-ABS(H125-I125)/MAX(I125,0.01))</x:f>
        <x:v>0.8972131267338481</x:v>
      </x:c>
      <x:c r="L125" s="24" t="n">
        <x:f>MAX(I125-H125,0)</x:f>
        <x:v>1.383117636074461</x:v>
      </x:c>
      <x:c r="M125" s="24" t="n">
        <x:f>MAX(H125-I125,0)</x:f>
        <x:v>0</x:v>
      </x:c>
      <x:c r="N125" s="19" t="str">
        <x:v>周浩</x:v>
      </x:c>
      <x:c r="O125" s="19" t="str">
        <x:v>S-按销量/BOM/日型生成</x:v>
      </x:c>
    </x:row>
    <x:row r="126">
      <x:c r="A126" s="19" t="str">
        <x:v>2026-07-10|S02|肥肉片</x:v>
      </x:c>
      <x:c r="B126" s="34" t="n">
        <x:v>46213.5</x:v>
      </x:c>
      <x:c r="C126" s="19" t="str">
        <x:v>S02</x:v>
      </x:c>
      <x:c r="D126" s="19" t="str">
        <x:v>尊宝大厦店</x:v>
      </x:c>
      <x:c r="E126" s="19" t="str">
        <x:v>肥肉片</x:v>
      </x:c>
      <x:c r="F126" s="32" t="n">
        <x:v>4.439736125067491</x:v>
      </x:c>
      <x:c r="G126" s="32" t="n">
        <x:v>4.235046532074681</x:v>
      </x:c>
      <x:c r="H126" s="24" t="n">
        <x:f>G126</x:f>
        <x:v>4.235046532074681</x:v>
      </x:c>
      <x:c r="I126" s="24" t="n">
        <x:f>XLOOKUP(A126,'库存与收货'!$A$5:$A$676,'库存与收货'!$H$5:$H$676,0)+XLOOKUP(A126,'库存与收货'!$A$5:$A$676,'库存与收货'!$J$5:$J$676,0)</x:f>
        <x:v>3.9198124588990613</x:v>
      </x:c>
      <x:c r="J126" s="21" t="n">
        <x:f>MAX(0,1-ABS(F126-I126)/MAX(I126,0.01))</x:f>
        <x:v>0.8673600659164039</x:v>
      </x:c>
      <x:c r="K126" s="21" t="n">
        <x:f>MAX(0,1-ABS(H126-I126)/MAX(I126,0.01))</x:f>
        <x:v>0.9195792971013318</x:v>
      </x:c>
      <x:c r="L126" s="24" t="n">
        <x:f>MAX(I126-H126,0)</x:f>
        <x:v>0</x:v>
      </x:c>
      <x:c r="M126" s="24" t="n">
        <x:f>MAX(H126-I126,0)</x:f>
        <x:v>0.3152340731756196</x:v>
      </x:c>
      <x:c r="N126" s="19" t="str">
        <x:v>周浩</x:v>
      </x:c>
      <x:c r="O126" s="19" t="str">
        <x:v>S-按销量/BOM/日型生成</x:v>
      </x:c>
    </x:row>
    <x:row r="127">
      <x:c r="A127" s="19" t="str">
        <x:v>2026-07-10|S02|牛肉片</x:v>
      </x:c>
      <x:c r="B127" s="34" t="n">
        <x:v>46213.5</x:v>
      </x:c>
      <x:c r="C127" s="19" t="str">
        <x:v>S02</x:v>
      </x:c>
      <x:c r="D127" s="19" t="str">
        <x:v>尊宝大厦店</x:v>
      </x:c>
      <x:c r="E127" s="19" t="str">
        <x:v>牛肉片</x:v>
      </x:c>
      <x:c r="F127" s="32" t="n">
        <x:v>7.134875649991505</x:v>
      </x:c>
      <x:c r="G127" s="32" t="n">
        <x:v>7.692601396566534</x:v>
      </x:c>
      <x:c r="H127" s="24" t="n">
        <x:f>G127</x:f>
        <x:v>7.692601396566534</x:v>
      </x:c>
      <x:c r="I127" s="24" t="n">
        <x:f>XLOOKUP(A127,'库存与收货'!$A$5:$A$676,'库存与收货'!$H$5:$H$676,0)+XLOOKUP(A127,'库存与收货'!$A$5:$A$676,'库存与收货'!$J$5:$J$676,0)</x:f>
        <x:v>8.487964510689306</x:v>
      </x:c>
      <x:c r="J127" s="21" t="n">
        <x:f>MAX(0,1-ABS(F127-I127)/MAX(I127,0.01))</x:f>
        <x:v>0.8405873564864945</x:v>
      </x:c>
      <x:c r="K127" s="21" t="n">
        <x:f>MAX(0,1-ABS(H127-I127)/MAX(I127,0.01))</x:f>
        <x:v>0.9062951885435981</x:v>
      </x:c>
      <x:c r="L127" s="24" t="n">
        <x:f>MAX(I127-H127,0)</x:f>
        <x:v>0.7953631141227717</x:v>
      </x:c>
      <x:c r="M127" s="24" t="n">
        <x:f>MAX(H127-I127,0)</x:f>
        <x:v>0</x:v>
      </x:c>
      <x:c r="N127" s="19" t="str">
        <x:v>周浩</x:v>
      </x:c>
      <x:c r="O127" s="19" t="str">
        <x:v>S-按销量/BOM/日型生成</x:v>
      </x:c>
    </x:row>
    <x:row r="128">
      <x:c r="A128" s="19" t="str">
        <x:v>2026-07-10|S02|螺丝椒</x:v>
      </x:c>
      <x:c r="B128" s="34" t="n">
        <x:v>46213.5</x:v>
      </x:c>
      <x:c r="C128" s="19" t="str">
        <x:v>S02</x:v>
      </x:c>
      <x:c r="D128" s="19" t="str">
        <x:v>尊宝大厦店</x:v>
      </x:c>
      <x:c r="E128" s="19" t="str">
        <x:v>螺丝椒</x:v>
      </x:c>
      <x:c r="F128" s="32" t="n">
        <x:v>14.226234846302882</x:v>
      </x:c>
      <x:c r="G128" s="32" t="n">
        <x:v>14.351283776624891</x:v>
      </x:c>
      <x:c r="H128" s="24" t="n">
        <x:f>G128</x:f>
        <x:v>14.351283776624891</x:v>
      </x:c>
      <x:c r="I128" s="24" t="n">
        <x:f>XLOOKUP(A128,'库存与收货'!$A$5:$A$676,'库存与收货'!$H$5:$H$676,0)+XLOOKUP(A128,'库存与收货'!$A$5:$A$676,'库存与收货'!$J$5:$J$676,0)</x:f>
        <x:v>14.604350668729888</x:v>
      </x:c>
      <x:c r="J128" s="21" t="n">
        <x:f>MAX(0,1-ABS(F128-I128)/MAX(I128,0.01))</x:f>
        <x:v>0.9741093711727555</x:v>
      </x:c>
      <x:c r="K128" s="21" t="n">
        <x:f>MAX(0,1-ABS(H128-I128)/MAX(I128,0.01))</x:f>
        <x:v>0.9826718148690546</x:v>
      </x:c>
      <x:c r="L128" s="24" t="n">
        <x:f>MAX(I128-H128,0)</x:f>
        <x:v>0.25306689210499655</x:v>
      </x:c>
      <x:c r="M128" s="24" t="n">
        <x:f>MAX(H128-I128,0)</x:f>
        <x:v>0</x:v>
      </x:c>
      <x:c r="N128" s="19" t="str">
        <x:v>周浩</x:v>
      </x:c>
      <x:c r="O128" s="19" t="str">
        <x:v>S-按销量/BOM/日型生成</x:v>
      </x:c>
    </x:row>
    <x:row r="129">
      <x:c r="A129" s="19" t="str">
        <x:v>2026-07-10|S02|青湖南椒圈</x:v>
      </x:c>
      <x:c r="B129" s="34" t="n">
        <x:v>46213.5</x:v>
      </x:c>
      <x:c r="C129" s="19" t="str">
        <x:v>S02</x:v>
      </x:c>
      <x:c r="D129" s="19" t="str">
        <x:v>尊宝大厦店</x:v>
      </x:c>
      <x:c r="E129" s="19" t="str">
        <x:v>青湖南椒圈</x:v>
      </x:c>
      <x:c r="F129" s="32" t="n">
        <x:v>1.9314576513107362</x:v>
      </x:c>
      <x:c r="G129" s="32" t="n">
        <x:v>1.9344749090759144</x:v>
      </x:c>
      <x:c r="H129" s="24" t="n">
        <x:f>G129</x:f>
        <x:v>1.9344749090759144</x:v>
      </x:c>
      <x:c r="I129" s="24" t="n">
        <x:f>XLOOKUP(A129,'库存与收货'!$A$5:$A$676,'库存与收货'!$H$5:$H$676,0)+XLOOKUP(A129,'库存与收货'!$A$5:$A$676,'库存与收货'!$J$5:$J$676,0)</x:f>
        <x:v>1.9404958503677034</x:v>
      </x:c>
      <x:c r="J129" s="21" t="n">
        <x:f>MAX(0,1-ABS(F129-I129)/MAX(I129,0.01))</x:f>
        <x:v>0.9953423249757248</x:v>
      </x:c>
      <x:c r="K129" s="21" t="n">
        <x:f>MAX(0,1-ABS(H129-I129)/MAX(I129,0.01))</x:f>
        <x:v>0.9968972150645681</x:v>
      </x:c>
      <x:c r="L129" s="24" t="n">
        <x:f>MAX(I129-H129,0)</x:f>
        <x:v>0.006020941291789095</x:v>
      </x:c>
      <x:c r="M129" s="24" t="n">
        <x:f>MAX(H129-I129,0)</x:f>
        <x:v>0</x:v>
      </x:c>
      <x:c r="N129" s="19" t="str">
        <x:v>周浩</x:v>
      </x:c>
      <x:c r="O129" s="19" t="str">
        <x:v>S-按销量/BOM/日型生成</x:v>
      </x:c>
    </x:row>
    <x:row r="130">
      <x:c r="A130" s="19" t="str">
        <x:v>2026-07-10|S02|鸡蛋</x:v>
      </x:c>
      <x:c r="B130" s="34" t="n">
        <x:v>46213.5</x:v>
      </x:c>
      <x:c r="C130" s="19" t="str">
        <x:v>S02</x:v>
      </x:c>
      <x:c r="D130" s="19" t="str">
        <x:v>尊宝大厦店</x:v>
      </x:c>
      <x:c r="E130" s="19" t="str">
        <x:v>鸡蛋</x:v>
      </x:c>
      <x:c r="F130" s="32" t="n">
        <x:v>15.14118497272567</x:v>
      </x:c>
      <x:c r="G130" s="32" t="n">
        <x:v>16.007532848572726</x:v>
      </x:c>
      <x:c r="H130" s="24" t="n">
        <x:f>G130</x:f>
        <x:v>16.007532848572726</x:v>
      </x:c>
      <x:c r="I130" s="24" t="n">
        <x:f>XLOOKUP(A130,'库存与收货'!$A$5:$A$676,'库存与收货'!$H$5:$H$676,0)+XLOOKUP(A130,'库存与收货'!$A$5:$A$676,'库存与收货'!$J$5:$J$676,0)</x:f>
        <x:v>17.729550123216946</x:v>
      </x:c>
      <x:c r="J130" s="21" t="n">
        <x:f>MAX(0,1-ABS(F130-I130)/MAX(I130,0.01))</x:f>
        <x:v>0.8540084134959636</x:v>
      </x:c>
      <x:c r="K130" s="21" t="n">
        <x:f>MAX(0,1-ABS(H130-I130)/MAX(I130,0.01))</x:f>
        <x:v>0.9028730417480121</x:v>
      </x:c>
      <x:c r="L130" s="24" t="n">
        <x:f>MAX(I130-H130,0)</x:f>
        <x:v>1.7220172746442195</x:v>
      </x:c>
      <x:c r="M130" s="24" t="n">
        <x:f>MAX(H130-I130,0)</x:f>
        <x:v>0</x:v>
      </x:c>
      <x:c r="N130" s="19" t="str">
        <x:v>周浩</x:v>
      </x:c>
      <x:c r="O130" s="19" t="str">
        <x:v>S-按销量/BOM/日型生成</x:v>
      </x:c>
    </x:row>
    <x:row r="131">
      <x:c r="A131" s="19" t="str">
        <x:v>2026-07-10|S02|鸡肉</x:v>
      </x:c>
      <x:c r="B131" s="34" t="n">
        <x:v>46213.5</x:v>
      </x:c>
      <x:c r="C131" s="19" t="str">
        <x:v>S02</x:v>
      </x:c>
      <x:c r="D131" s="19" t="str">
        <x:v>尊宝大厦店</x:v>
      </x:c>
      <x:c r="E131" s="19" t="str">
        <x:v>鸡肉</x:v>
      </x:c>
      <x:c r="F131" s="32" t="n">
        <x:v>6.329858566270565</x:v>
      </x:c>
      <x:c r="G131" s="32" t="n">
        <x:v>6.1978847360855776</x:v>
      </x:c>
      <x:c r="H131" s="24" t="n">
        <x:f>G131</x:f>
        <x:v>6.1978847360855776</x:v>
      </x:c>
      <x:c r="I131" s="24" t="n">
        <x:f>XLOOKUP(A131,'库存与收货'!$A$5:$A$676,'库存与收货'!$H$5:$H$676,0)+XLOOKUP(A131,'库存与收货'!$A$5:$A$676,'库存与收货'!$J$5:$J$676,0)</x:f>
        <x:v>5.94733932140978</x:v>
      </x:c>
      <x:c r="J131" s="21" t="n">
        <x:f>MAX(0,1-ABS(F131-I131)/MAX(I131,0.01))</x:f>
        <x:v>0.9356822901488474</x:v>
      </x:c>
      <x:c r="K131" s="21" t="n">
        <x:f>MAX(0,1-ABS(H131-I131)/MAX(I131,0.01))</x:f>
        <x:v>0.957872688754472</x:v>
      </x:c>
      <x:c r="L131" s="24" t="n">
        <x:f>MAX(I131-H131,0)</x:f>
        <x:v>0</x:v>
      </x:c>
      <x:c r="M131" s="24" t="n">
        <x:f>MAX(H131-I131,0)</x:f>
        <x:v>0.2505454146757975</x:v>
      </x:c>
      <x:c r="N131" s="19" t="str">
        <x:v>周浩</x:v>
      </x:c>
      <x:c r="O131" s="19" t="str">
        <x:v>S-按销量/BOM/日型生成</x:v>
      </x:c>
    </x:row>
    <x:row r="132">
      <x:c r="A132" s="19" t="str">
        <x:v>2026-07-10|S02|鲈鱼</x:v>
      </x:c>
      <x:c r="B132" s="34" t="n">
        <x:v>46213.5</x:v>
      </x:c>
      <x:c r="C132" s="19" t="str">
        <x:v>S02</x:v>
      </x:c>
      <x:c r="D132" s="19" t="str">
        <x:v>尊宝大厦店</x:v>
      </x:c>
      <x:c r="E132" s="19" t="str">
        <x:v>鲈鱼</x:v>
      </x:c>
      <x:c r="F132" s="32" t="n">
        <x:v>3.318733003449402</x:v>
      </x:c>
      <x:c r="G132" s="32" t="n">
        <x:v>3.4093599159653976</x:v>
      </x:c>
      <x:c r="H132" s="24" t="n">
        <x:f>G132</x:f>
        <x:v>3.4093599159653976</x:v>
      </x:c>
      <x:c r="I132" s="24" t="n">
        <x:f>XLOOKUP(A132,'库存与收货'!$A$5:$A$676,'库存与收货'!$H$5:$H$676,0)+XLOOKUP(A132,'库存与收货'!$A$5:$A$676,'库存与收货'!$J$5:$J$676,0)</x:f>
        <x:v>3.5747586257231325</x:v>
      </x:c>
      <x:c r="J132" s="21" t="n">
        <x:f>MAX(0,1-ABS(F132-I132)/MAX(I132,0.01))</x:f>
        <x:v>0.9283796057078009</x:v>
      </x:c>
      <x:c r="K132" s="21" t="n">
        <x:f>MAX(0,1-ABS(H132-I132)/MAX(I132,0.01))</x:f>
        <x:v>0.9537315027180956</x:v>
      </x:c>
      <x:c r="L132" s="24" t="n">
        <x:f>MAX(I132-H132,0)</x:f>
        <x:v>0.16539870975773496</x:v>
      </x:c>
      <x:c r="M132" s="24" t="n">
        <x:f>MAX(H132-I132,0)</x:f>
        <x:v>0</x:v>
      </x:c>
      <x:c r="N132" s="19" t="str">
        <x:v>周浩</x:v>
      </x:c>
      <x:c r="O132" s="19" t="str">
        <x:v>S-按销量/BOM/日型生成</x:v>
      </x:c>
    </x:row>
    <x:row r="133">
      <x:c r="A133" s="19" t="str">
        <x:v>2026-07-10|S02|酸包菜</x:v>
      </x:c>
      <x:c r="B133" s="34" t="n">
        <x:v>46213.5</x:v>
      </x:c>
      <x:c r="C133" s="19" t="str">
        <x:v>S02</x:v>
      </x:c>
      <x:c r="D133" s="19" t="str">
        <x:v>尊宝大厦店</x:v>
      </x:c>
      <x:c r="E133" s="19" t="str">
        <x:v>酸包菜</x:v>
      </x:c>
      <x:c r="F133" s="32" t="n">
        <x:v>8.761241524631378</x:v>
      </x:c>
      <x:c r="G133" s="32" t="n">
        <x:v>8.735524845635798</x:v>
      </x:c>
      <x:c r="H133" s="24" t="n">
        <x:f>G133</x:f>
        <x:v>8.735524845635798</x:v>
      </x:c>
      <x:c r="I133" s="24" t="n">
        <x:f>XLOOKUP(A133,'库存与收货'!$A$5:$A$676,'库存与收货'!$H$5:$H$676,0)+XLOOKUP(A133,'库存与收货'!$A$5:$A$676,'库存与收货'!$J$5:$J$676,0)</x:f>
        <x:v>8.689900966514811</x:v>
      </x:c>
      <x:c r="J133" s="21" t="n">
        <x:f>MAX(0,1-ABS(F133-I133)/MAX(I133,0.01))</x:f>
        <x:v>0.9917904060827083</x:v>
      </x:c>
      <x:c r="K133" s="21" t="n">
        <x:f>MAX(0,1-ABS(H133-I133)/MAX(I133,0.01))</x:f>
        <x:v>0.9947497814650833</x:v>
      </x:c>
      <x:c r="L133" s="24" t="n">
        <x:f>MAX(I133-H133,0)</x:f>
        <x:v>0</x:v>
      </x:c>
      <x:c r="M133" s="24" t="n">
        <x:f>MAX(H133-I133,0)</x:f>
        <x:v>0.04562387912098664</x:v>
      </x:c>
      <x:c r="N133" s="19" t="str">
        <x:v>周浩</x:v>
      </x:c>
      <x:c r="O133" s="19" t="str">
        <x:v>S-按销量/BOM/日型生成</x:v>
      </x:c>
    </x:row>
    <x:row r="134">
      <x:c r="A134" s="19" t="str">
        <x:v>2026-07-10|S02|粉皮</x:v>
      </x:c>
      <x:c r="B134" s="34" t="n">
        <x:v>46213.5</x:v>
      </x:c>
      <x:c r="C134" s="19" t="str">
        <x:v>S02</x:v>
      </x:c>
      <x:c r="D134" s="19" t="str">
        <x:v>尊宝大厦店</x:v>
      </x:c>
      <x:c r="E134" s="19" t="str">
        <x:v>粉皮</x:v>
      </x:c>
      <x:c r="F134" s="32" t="n">
        <x:v>5.460444651223343</x:v>
      </x:c>
      <x:c r="G134" s="32" t="n">
        <x:v>5.8864262695527625</x:v>
      </x:c>
      <x:c r="H134" s="24" t="n">
        <x:f>G134</x:f>
        <x:v>5.8864262695527625</x:v>
      </x:c>
      <x:c r="I134" s="24" t="n">
        <x:f>XLOOKUP(A134,'库存与收货'!$A$5:$A$676,'库存与收货'!$H$5:$H$676,0)+XLOOKUP(A134,'库存与收货'!$A$5:$A$676,'库存与收货'!$J$5:$J$676,0)</x:f>
        <x:v>6.465380492822239</x:v>
      </x:c>
      <x:c r="J134" s="21" t="n">
        <x:f>MAX(0,1-ABS(F134-I134)/MAX(I134,0.01))</x:f>
        <x:v>0.8445666356814483</x:v>
      </x:c>
      <x:c r="K134" s="21" t="n">
        <x:f>MAX(0,1-ABS(H134-I134)/MAX(I134,0.01))</x:f>
        <x:v>0.9104531861794952</x:v>
      </x:c>
      <x:c r="L134" s="24" t="n">
        <x:f>MAX(I134-H134,0)</x:f>
        <x:v>0.5789542232694762</x:v>
      </x:c>
      <x:c r="M134" s="24" t="n">
        <x:f>MAX(H134-I134,0)</x:f>
        <x:v>0</x:v>
      </x:c>
      <x:c r="N134" s="19" t="str">
        <x:v>周浩</x:v>
      </x:c>
      <x:c r="O134" s="19" t="str">
        <x:v>S-按销量/BOM/日型生成</x:v>
      </x:c>
    </x:row>
    <x:row r="135">
      <x:c r="A135" s="19" t="str">
        <x:v>2026-07-10|S02|鸡杂</x:v>
      </x:c>
      <x:c r="B135" s="34" t="n">
        <x:v>46213.5</x:v>
      </x:c>
      <x:c r="C135" s="19" t="str">
        <x:v>S02</x:v>
      </x:c>
      <x:c r="D135" s="19" t="str">
        <x:v>尊宝大厦店</x:v>
      </x:c>
      <x:c r="E135" s="19" t="str">
        <x:v>鸡杂</x:v>
      </x:c>
      <x:c r="F135" s="32" t="n">
        <x:v>4.085855565503071</x:v>
      </x:c>
      <x:c r="G135" s="32" t="n">
        <x:v>4.00499769250651</x:v>
      </x:c>
      <x:c r="H135" s="24" t="n">
        <x:f>G135</x:f>
        <x:v>4.00499769250651</x:v>
      </x:c>
      <x:c r="I135" s="24" t="n">
        <x:f>XLOOKUP(A135,'库存与收货'!$A$5:$A$676,'库存与收货'!$H$5:$H$676,0)+XLOOKUP(A135,'库存与收货'!$A$5:$A$676,'库存与收货'!$J$5:$J$676,0)</x:f>
        <x:v>3.8218093192211957</x:v>
      </x:c>
      <x:c r="J135" s="21" t="n">
        <x:f>MAX(0,1-ABS(F135-I135)/MAX(I135,0.01))</x:f>
        <x:v>0.9309106697307228</x:v>
      </x:c>
      <x:c r="K135" s="21" t="n">
        <x:f>MAX(0,1-ABS(H135-I135)/MAX(I135,0.01))</x:f>
        <x:v>0.9520676313273932</x:v>
      </x:c>
      <x:c r="L135" s="24" t="n">
        <x:f>MAX(I135-H135,0)</x:f>
        <x:v>0</x:v>
      </x:c>
      <x:c r="M135" s="24" t="n">
        <x:f>MAX(H135-I135,0)</x:f>
        <x:v>0.18318837328531457</x:v>
      </x:c>
      <x:c r="N135" s="19" t="str">
        <x:v>周浩</x:v>
      </x:c>
      <x:c r="O135" s="19" t="str">
        <x:v>S-按销量/BOM/日型生成</x:v>
      </x:c>
    </x:row>
    <x:row r="136">
      <x:c r="A136" s="19" t="str">
        <x:v>2026-07-10|S02|豆腐</x:v>
      </x:c>
      <x:c r="B136" s="34" t="n">
        <x:v>46213.5</x:v>
      </x:c>
      <x:c r="C136" s="19" t="str">
        <x:v>S02</x:v>
      </x:c>
      <x:c r="D136" s="19" t="str">
        <x:v>尊宝大厦店</x:v>
      </x:c>
      <x:c r="E136" s="19" t="str">
        <x:v>豆腐</x:v>
      </x:c>
      <x:c r="F136" s="32" t="n">
        <x:v>25.014364690886904</x:v>
      </x:c>
      <x:c r="G136" s="32" t="n">
        <x:v>24.461394136022573</x:v>
      </x:c>
      <x:c r="H136" s="24" t="n">
        <x:f>G136</x:f>
        <x:v>24.461394136022573</x:v>
      </x:c>
      <x:c r="I136" s="24" t="n">
        <x:f>XLOOKUP(A136,'库存与收货'!$A$5:$A$676,'库存与收货'!$H$5:$H$676,0)+XLOOKUP(A136,'库存与收货'!$A$5:$A$676,'库存与收货'!$J$5:$J$676,0)</x:f>
        <x:v>23.422503616978066</x:v>
      </x:c>
      <x:c r="J136" s="21" t="n">
        <x:f>MAX(0,1-ABS(F136-I136)/MAX(I136,0.01))</x:f>
        <x:v>0.9320371084176091</x:v>
      </x:c>
      <x:c r="K136" s="21" t="n">
        <x:f>MAX(0,1-ABS(H136-I136)/MAX(I136,0.01))</x:f>
        <x:v>0.9556456245654519</x:v>
      </x:c>
      <x:c r="L136" s="24" t="n">
        <x:f>MAX(I136-H136,0)</x:f>
        <x:v>0</x:v>
      </x:c>
      <x:c r="M136" s="24" t="n">
        <x:f>MAX(H136-I136,0)</x:f>
        <x:v>1.0388905190445072</x:v>
      </x:c>
      <x:c r="N136" s="19" t="str">
        <x:v>周浩</x:v>
      </x:c>
      <x:c r="O136" s="19" t="str">
        <x:v>S-按销量/BOM/日型生成</x:v>
      </x:c>
    </x:row>
    <x:row r="137">
      <x:c r="A137" s="19" t="str">
        <x:v>2026-07-11|S02|瘦肉片</x:v>
      </x:c>
      <x:c r="B137" s="34" t="n">
        <x:v>46214.5</x:v>
      </x:c>
      <x:c r="C137" s="19" t="str">
        <x:v>S02</x:v>
      </x:c>
      <x:c r="D137" s="19" t="str">
        <x:v>尊宝大厦店</x:v>
      </x:c>
      <x:c r="E137" s="19" t="str">
        <x:v>瘦肉片</x:v>
      </x:c>
      <x:c r="F137" s="32" t="n">
        <x:v>11.508247299772327</x:v>
      </x:c>
      <x:c r="G137" s="32" t="n">
        <x:v>11.024047896867943</x:v>
      </x:c>
      <x:c r="H137" s="24" t="n">
        <x:f>G137</x:f>
        <x:v>11.024047896867943</x:v>
      </x:c>
      <x:c r="I137" s="24" t="n">
        <x:f>XLOOKUP(A137,'库存与收货'!$A$5:$A$676,'库存与收货'!$H$5:$H$676,0)+XLOOKUP(A137,'库存与收货'!$A$5:$A$676,'库存与收货'!$J$5:$J$676,0)</x:f>
        <x:v>9.989545120758015</x:v>
      </x:c>
      <x:c r="J137" s="21" t="n">
        <x:f>MAX(0,1-ABS(F137-I137)/MAX(I137,0.01))</x:f>
        <x:v>0.8479708374449915</x:v>
      </x:c>
      <x:c r="K137" s="21" t="n">
        <x:f>MAX(0,1-ABS(H137-I137)/MAX(I137,0.01))</x:f>
        <x:v>0.8964414531788581</x:v>
      </x:c>
      <x:c r="L137" s="24" t="n">
        <x:f>MAX(I137-H137,0)</x:f>
        <x:v>0</x:v>
      </x:c>
      <x:c r="M137" s="24" t="n">
        <x:f>MAX(H137-I137,0)</x:f>
        <x:v>1.0345027761099281</x:v>
      </x:c>
      <x:c r="N137" s="19" t="str">
        <x:v>周浩</x:v>
      </x:c>
      <x:c r="O137" s="19" t="str">
        <x:v>S-按销量/BOM/日型生成</x:v>
      </x:c>
    </x:row>
    <x:row r="138">
      <x:c r="A138" s="19" t="str">
        <x:v>2026-07-11|S02|肥肉片</x:v>
      </x:c>
      <x:c r="B138" s="34" t="n">
        <x:v>46214.5</x:v>
      </x:c>
      <x:c r="C138" s="19" t="str">
        <x:v>S02</x:v>
      </x:c>
      <x:c r="D138" s="19" t="str">
        <x:v>尊宝大厦店</x:v>
      </x:c>
      <x:c r="E138" s="19" t="str">
        <x:v>肥肉片</x:v>
      </x:c>
      <x:c r="F138" s="32" t="n">
        <x:v>2.386189590933472</x:v>
      </x:c>
      <x:c r="G138" s="32" t="n">
        <x:v>2.5626926482431</x:v>
      </x:c>
      <x:c r="H138" s="24" t="n">
        <x:f>G138</x:f>
        <x:v>2.5626926482431</x:v>
      </x:c>
      <x:c r="I138" s="24" t="n">
        <x:f>XLOOKUP(A138,'库存与收货'!$A$5:$A$676,'库存与收货'!$H$5:$H$676,0)+XLOOKUP(A138,'库存与收货'!$A$5:$A$676,'库存与收货'!$J$5:$J$676,0)</x:f>
        <x:v>2.818800074535841</x:v>
      </x:c>
      <x:c r="J138" s="21" t="n">
        <x:f>MAX(0,1-ABS(F138-I138)/MAX(I138,0.01))</x:f>
        <x:v>0.8465267233705445</x:v>
      </x:c>
      <x:c r="K138" s="21" t="n">
        <x:f>MAX(0,1-ABS(H138-I138)/MAX(I138,0.01))</x:f>
        <x:v>0.909143103618332</x:v>
      </x:c>
      <x:c r="L138" s="24" t="n">
        <x:f>MAX(I138-H138,0)</x:f>
        <x:v>0.2561074262927412</x:v>
      </x:c>
      <x:c r="M138" s="24" t="n">
        <x:f>MAX(H138-I138,0)</x:f>
        <x:v>0</x:v>
      </x:c>
      <x:c r="N138" s="19" t="str">
        <x:v>周浩</x:v>
      </x:c>
      <x:c r="O138" s="19" t="str">
        <x:v>S-按销量/BOM/日型生成</x:v>
      </x:c>
    </x:row>
    <x:row r="139">
      <x:c r="A139" s="19" t="str">
        <x:v>2026-07-11|S02|牛肉片</x:v>
      </x:c>
      <x:c r="B139" s="34" t="n">
        <x:v>46214.5</x:v>
      </x:c>
      <x:c r="C139" s="19" t="str">
        <x:v>S02</x:v>
      </x:c>
      <x:c r="D139" s="19" t="str">
        <x:v>尊宝大厦店</x:v>
      </x:c>
      <x:c r="E139" s="19" t="str">
        <x:v>牛肉片</x:v>
      </x:c>
      <x:c r="F139" s="32" t="n">
        <x:v>8.24494657031102</x:v>
      </x:c>
      <x:c r="G139" s="32" t="n">
        <x:v>7.912932870306312</x:v>
      </x:c>
      <x:c r="H139" s="24" t="n">
        <x:f>G139</x:f>
        <x:v>7.912932870306312</x:v>
      </x:c>
      <x:c r="I139" s="24" t="n">
        <x:f>XLOOKUP(A139,'库存与收货'!$A$5:$A$676,'库存与收货'!$H$5:$H$676,0)+XLOOKUP(A139,'库存与收货'!$A$5:$A$676,'库存与收货'!$J$5:$J$676,0)</x:f>
        <x:v>7.426355873569579</x:v>
      </x:c>
      <x:c r="J139" s="21" t="n">
        <x:f>MAX(0,1-ABS(F139-I139)/MAX(I139,0.01))</x:f>
        <x:v>0.8897722233249274</x:v>
      </x:c>
      <x:c r="K139" s="21" t="n">
        <x:f>MAX(0,1-ABS(H139-I139)/MAX(I139,0.01))</x:f>
        <x:v>0.9344797091574265</x:v>
      </x:c>
      <x:c r="L139" s="24" t="n">
        <x:f>MAX(I139-H139,0)</x:f>
        <x:v>0</x:v>
      </x:c>
      <x:c r="M139" s="24" t="n">
        <x:f>MAX(H139-I139,0)</x:f>
        <x:v>0.4865769967367326</x:v>
      </x:c>
      <x:c r="N139" s="19" t="str">
        <x:v>周浩</x:v>
      </x:c>
      <x:c r="O139" s="19" t="str">
        <x:v>S-按销量/BOM/日型生成</x:v>
      </x:c>
    </x:row>
    <x:row r="140">
      <x:c r="A140" s="19" t="str">
        <x:v>2026-07-11|S02|螺丝椒</x:v>
      </x:c>
      <x:c r="B140" s="34" t="n">
        <x:v>46214.5</x:v>
      </x:c>
      <x:c r="C140" s="19" t="str">
        <x:v>S02</x:v>
      </x:c>
      <x:c r="D140" s="19" t="str">
        <x:v>尊宝大厦店</x:v>
      </x:c>
      <x:c r="E140" s="19" t="str">
        <x:v>螺丝椒</x:v>
      </x:c>
      <x:c r="F140" s="32" t="n">
        <x:v>9.380238643721862</x:v>
      </x:c>
      <x:c r="G140" s="32" t="n">
        <x:v>9.605047567594509</x:v>
      </x:c>
      <x:c r="H140" s="24" t="n">
        <x:f>G140</x:f>
        <x:v>9.605047567594509</x:v>
      </x:c>
      <x:c r="I140" s="24" t="n">
        <x:f>XLOOKUP(A140,'库存与收货'!$A$5:$A$676,'库存与收货'!$H$5:$H$676,0)+XLOOKUP(A140,'库存与收货'!$A$5:$A$676,'库存与收货'!$J$5:$J$676,0)</x:f>
        <x:v>10.177094957716086</x:v>
      </x:c>
      <x:c r="J140" s="21" t="n">
        <x:f>MAX(0,1-ABS(F140-I140)/MAX(I140,0.01))</x:f>
        <x:v>0.921701004333259</x:v>
      </x:c>
      <x:c r="K140" s="21" t="n">
        <x:f>MAX(0,1-ABS(H140-I140)/MAX(I140,0.01))</x:f>
        <x:v>0.943790699359854</x:v>
      </x:c>
      <x:c r="L140" s="24" t="n">
        <x:f>MAX(I140-H140,0)</x:f>
        <x:v>0.5720473901215772</x:v>
      </x:c>
      <x:c r="M140" s="24" t="n">
        <x:f>MAX(H140-I140,0)</x:f>
        <x:v>0</x:v>
      </x:c>
      <x:c r="N140" s="19" t="str">
        <x:v>周浩</x:v>
      </x:c>
      <x:c r="O140" s="19" t="str">
        <x:v>S-按销量/BOM/日型生成</x:v>
      </x:c>
    </x:row>
    <x:row r="141">
      <x:c r="A141" s="19" t="str">
        <x:v>2026-07-11|S02|青湖南椒圈</x:v>
      </x:c>
      <x:c r="B141" s="34" t="n">
        <x:v>46214.5</x:v>
      </x:c>
      <x:c r="C141" s="19" t="str">
        <x:v>S02</x:v>
      </x:c>
      <x:c r="D141" s="19" t="str">
        <x:v>尊宝大厦店</x:v>
      </x:c>
      <x:c r="E141" s="19" t="str">
        <x:v>青湖南椒圈</x:v>
      </x:c>
      <x:c r="F141" s="32" t="n">
        <x:v>1.4187605671384462</x:v>
      </x:c>
      <x:c r="G141" s="32" t="n">
        <x:v>1.4557793819713827</x:v>
      </x:c>
      <x:c r="H141" s="24" t="n">
        <x:f>G141</x:f>
        <x:v>1.4557793819713827</x:v>
      </x:c>
      <x:c r="I141" s="24" t="n">
        <x:f>XLOOKUP(A141,'库存与收货'!$A$5:$A$676,'库存与收货'!$H$5:$H$676,0)+XLOOKUP(A141,'库存与收货'!$A$5:$A$676,'库存与收货'!$J$5:$J$676,0)</x:f>
        <x:v>1.5523093463741964</x:v>
      </x:c>
      <x:c r="J141" s="21" t="n">
        <x:f>MAX(0,1-ABS(F141-I141)/MAX(I141,0.01))</x:f>
        <x:v>0.9139676769017165</x:v>
      </x:c>
      <x:c r="K141" s="21" t="n">
        <x:f>MAX(0,1-ABS(H141-I141)/MAX(I141,0.01))</x:f>
        <x:v>0.9378152527211903</x:v>
      </x:c>
      <x:c r="L141" s="24" t="n">
        <x:f>MAX(I141-H141,0)</x:f>
        <x:v>0.0965299644028137</x:v>
      </x:c>
      <x:c r="M141" s="24" t="n">
        <x:f>MAX(H141-I141,0)</x:f>
        <x:v>0</x:v>
      </x:c>
      <x:c r="N141" s="19" t="str">
        <x:v>周浩</x:v>
      </x:c>
      <x:c r="O141" s="19" t="str">
        <x:v>S-按销量/BOM/日型生成</x:v>
      </x:c>
    </x:row>
    <x:row r="142">
      <x:c r="A142" s="19" t="str">
        <x:v>2026-07-11|S02|鸡蛋</x:v>
      </x:c>
      <x:c r="B142" s="34" t="n">
        <x:v>46214.5</x:v>
      </x:c>
      <x:c r="C142" s="19" t="str">
        <x:v>S02</x:v>
      </x:c>
      <x:c r="D142" s="19" t="str">
        <x:v>尊宝大厦店</x:v>
      </x:c>
      <x:c r="E142" s="19" t="str">
        <x:v>鸡蛋</x:v>
      </x:c>
      <x:c r="F142" s="32" t="n">
        <x:v>12.288425717061186</x:v>
      </x:c>
      <x:c r="G142" s="32" t="n">
        <x:v>12.527617787679077</x:v>
      </x:c>
      <x:c r="H142" s="24" t="n">
        <x:f>G142</x:f>
        <x:v>12.527617787679077</x:v>
      </x:c>
      <x:c r="I142" s="24" t="n">
        <x:f>XLOOKUP(A142,'库存与收货'!$A$5:$A$676,'库存与收货'!$H$5:$H$676,0)+XLOOKUP(A142,'库存与收货'!$A$5:$A$676,'库存与收货'!$J$5:$J$676,0)</x:f>
        <x:v>13.065561868284552</x:v>
      </x:c>
      <x:c r="J142" s="21" t="n">
        <x:f>MAX(0,1-ABS(F142-I142)/MAX(I142,0.01))</x:f>
        <x:v>0.9405202654843499</x:v>
      </x:c>
      <x:c r="K142" s="21" t="n">
        <x:f>MAX(0,1-ABS(H142-I142)/MAX(I142,0.01))</x:f>
        <x:v>0.9588273289714937</x:v>
      </x:c>
      <x:c r="L142" s="24" t="n">
        <x:f>MAX(I142-H142,0)</x:f>
        <x:v>0.5379440806054756</x:v>
      </x:c>
      <x:c r="M142" s="24" t="n">
        <x:f>MAX(H142-I142,0)</x:f>
        <x:v>0</x:v>
      </x:c>
      <x:c r="N142" s="19" t="str">
        <x:v>周浩</x:v>
      </x:c>
      <x:c r="O142" s="19" t="str">
        <x:v>S-按销量/BOM/日型生成</x:v>
      </x:c>
    </x:row>
    <x:row r="143">
      <x:c r="A143" s="19" t="str">
        <x:v>2026-07-11|S02|鸡肉</x:v>
      </x:c>
      <x:c r="B143" s="34" t="n">
        <x:v>46214.5</x:v>
      </x:c>
      <x:c r="C143" s="19" t="str">
        <x:v>S02</x:v>
      </x:c>
      <x:c r="D143" s="19" t="str">
        <x:v>尊宝大厦店</x:v>
      </x:c>
      <x:c r="E143" s="19" t="str">
        <x:v>鸡肉</x:v>
      </x:c>
      <x:c r="F143" s="32" t="n">
        <x:v>5.773207389365058</x:v>
      </x:c>
      <x:c r="G143" s="32" t="n">
        <x:v>5.5614655126896615</x:v>
      </x:c>
      <x:c r="H143" s="24" t="n">
        <x:f>G143</x:f>
        <x:v>5.5614655126896615</x:v>
      </x:c>
      <x:c r="I143" s="24" t="n">
        <x:f>XLOOKUP(A143,'库存与收货'!$A$5:$A$676,'库存与收货'!$H$5:$H$676,0)+XLOOKUP(A143,'库存与收货'!$A$5:$A$676,'库存与收货'!$J$5:$J$676,0)</x:f>
        <x:v>5.041140956858264</x:v>
      </x:c>
      <x:c r="J143" s="21" t="n">
        <x:f>MAX(0,1-ABS(F143-I143)/MAX(I143,0.01))</x:f>
        <x:v>0.8547815982985265</x:v>
      </x:c>
      <x:c r="K143" s="21" t="n">
        <x:f>MAX(0,1-ABS(H143-I143)/MAX(I143,0.01))</x:f>
        <x:v>0.896784366816104</x:v>
      </x:c>
      <x:c r="L143" s="24" t="n">
        <x:f>MAX(I143-H143,0)</x:f>
        <x:v>0</x:v>
      </x:c>
      <x:c r="M143" s="24" t="n">
        <x:f>MAX(H143-I143,0)</x:f>
        <x:v>0.5203245558313974</x:v>
      </x:c>
      <x:c r="N143" s="19" t="str">
        <x:v>周浩</x:v>
      </x:c>
      <x:c r="O143" s="19" t="str">
        <x:v>S-按销量/BOM/日型生成</x:v>
      </x:c>
    </x:row>
    <x:row r="144">
      <x:c r="A144" s="19" t="str">
        <x:v>2026-07-11|S02|鲈鱼</x:v>
      </x:c>
      <x:c r="B144" s="34" t="n">
        <x:v>46214.5</x:v>
      </x:c>
      <x:c r="C144" s="19" t="str">
        <x:v>S02</x:v>
      </x:c>
      <x:c r="D144" s="19" t="str">
        <x:v>尊宝大厦店</x:v>
      </x:c>
      <x:c r="E144" s="19" t="str">
        <x:v>鲈鱼</x:v>
      </x:c>
      <x:c r="F144" s="32" t="n">
        <x:v>2.5665385783798738</x:v>
      </x:c>
      <x:c r="G144" s="32" t="n">
        <x:v>2.728450891404026</x:v>
      </x:c>
      <x:c r="H144" s="24" t="n">
        <x:f>G144</x:f>
        <x:v>2.728450891404026</x:v>
      </x:c>
      <x:c r="I144" s="24" t="n">
        <x:f>XLOOKUP(A144,'库存与收货'!$A$5:$A$676,'库存与收货'!$H$5:$H$676,0)+XLOOKUP(A144,'库存与收货'!$A$5:$A$676,'库存与收货'!$J$5:$J$676,0)</x:f>
        <x:v>3.0485109326018742</x:v>
      </x:c>
      <x:c r="J144" s="21" t="n">
        <x:f>MAX(0,1-ABS(F144-I144)/MAX(I144,0.01))</x:f>
        <x:v>0.8418990894644285</x:v>
      </x:c>
      <x:c r="K144" s="21" t="n">
        <x:f>MAX(0,1-ABS(H144-I144)/MAX(I144,0.01))</x:f>
        <x:v>0.8950110239805897</x:v>
      </x:c>
      <x:c r="L144" s="24" t="n">
        <x:f>MAX(I144-H144,0)</x:f>
        <x:v>0.32006004119784803</x:v>
      </x:c>
      <x:c r="M144" s="24" t="n">
        <x:f>MAX(H144-I144,0)</x:f>
        <x:v>0</x:v>
      </x:c>
      <x:c r="N144" s="19" t="str">
        <x:v>周浩</x:v>
      </x:c>
      <x:c r="O144" s="19" t="str">
        <x:v>S-按销量/BOM/日型生成</x:v>
      </x:c>
    </x:row>
    <x:row r="145">
      <x:c r="A145" s="19" t="str">
        <x:v>2026-07-11|S02|酸包菜</x:v>
      </x:c>
      <x:c r="B145" s="34" t="n">
        <x:v>46214.5</x:v>
      </x:c>
      <x:c r="C145" s="19" t="str">
        <x:v>S02</x:v>
      </x:c>
      <x:c r="D145" s="19" t="str">
        <x:v>尊宝大厦店</x:v>
      </x:c>
      <x:c r="E145" s="19" t="str">
        <x:v>酸包菜</x:v>
      </x:c>
      <x:c r="F145" s="32" t="n">
        <x:v>6.369337496298713</x:v>
      </x:c>
      <x:c r="G145" s="32" t="n">
        <x:v>6.266227108318225</x:v>
      </x:c>
      <x:c r="H145" s="24" t="n">
        <x:f>G145</x:f>
        <x:v>6.266227108318225</x:v>
      </x:c>
      <x:c r="I145" s="24" t="n">
        <x:f>XLOOKUP(A145,'库存与收货'!$A$5:$A$676,'库存与收货'!$H$5:$H$676,0)+XLOOKUP(A145,'库存与收货'!$A$5:$A$676,'库存与收货'!$J$5:$J$676,0)</x:f>
        <x:v>6.125622214150061</x:v>
      </x:c>
      <x:c r="J145" s="21" t="n">
        <x:f>MAX(0,1-ABS(F145-I145)/MAX(I145,0.01))</x:f>
        <x:v>0.9602137915744012</x:v>
      </x:c>
      <x:c r="K145" s="21" t="n">
        <x:f>MAX(0,1-ABS(H145-I145)/MAX(I145,0.01))</x:f>
        <x:v>0.9770464306722394</x:v>
      </x:c>
      <x:c r="L145" s="24" t="n">
        <x:f>MAX(I145-H145,0)</x:f>
        <x:v>0</x:v>
      </x:c>
      <x:c r="M145" s="24" t="n">
        <x:f>MAX(H145-I145,0)</x:f>
        <x:v>0.14060489416816413</x:v>
      </x:c>
      <x:c r="N145" s="19" t="str">
        <x:v>周浩</x:v>
      </x:c>
      <x:c r="O145" s="19" t="str">
        <x:v>S-按销量/BOM/日型生成</x:v>
      </x:c>
    </x:row>
    <x:row r="146">
      <x:c r="A146" s="19" t="str">
        <x:v>2026-07-11|S02|粉皮</x:v>
      </x:c>
      <x:c r="B146" s="34" t="n">
        <x:v>46214.5</x:v>
      </x:c>
      <x:c r="C146" s="19" t="str">
        <x:v>S02</x:v>
      </x:c>
      <x:c r="D146" s="19" t="str">
        <x:v>尊宝大厦店</x:v>
      </x:c>
      <x:c r="E146" s="19" t="str">
        <x:v>粉皮</x:v>
      </x:c>
      <x:c r="F146" s="32" t="n">
        <x:v>4.033558649947247</x:v>
      </x:c>
      <x:c r="G146" s="32" t="n">
        <x:v>4.205991589272702</x:v>
      </x:c>
      <x:c r="H146" s="24" t="n">
        <x:f>G146</x:f>
        <x:v>4.205991589272702</x:v>
      </x:c>
      <x:c r="I146" s="24" t="n">
        <x:f>XLOOKUP(A146,'库存与收货'!$A$5:$A$676,'库存与收货'!$H$5:$H$676,0)+XLOOKUP(A146,'库存与收货'!$A$5:$A$676,'库存与收货'!$J$5:$J$676,0)</x:f>
        <x:v>4.640033929542414</x:v>
      </x:c>
      <x:c r="J146" s="21" t="n">
        <x:f>MAX(0,1-ABS(F146-I146)/MAX(I146,0.01))</x:f>
        <x:v>0.8692950765437668</x:v>
      </x:c>
      <x:c r="K146" s="21" t="n">
        <x:f>MAX(0,1-ABS(H146-I146)/MAX(I146,0.01))</x:f>
        <x:v>0.906457076206657</x:v>
      </x:c>
      <x:c r="L146" s="24" t="n">
        <x:f>MAX(I146-H146,0)</x:f>
        <x:v>0.4340423402697118</x:v>
      </x:c>
      <x:c r="M146" s="24" t="n">
        <x:f>MAX(H146-I146,0)</x:f>
        <x:v>0</x:v>
      </x:c>
      <x:c r="N146" s="19" t="str">
        <x:v>周浩</x:v>
      </x:c>
      <x:c r="O146" s="19" t="str">
        <x:v>S-按销量/BOM/日型生成</x:v>
      </x:c>
    </x:row>
    <x:row r="147">
      <x:c r="A147" s="19" t="str">
        <x:v>2026-07-11|S02|鸡杂</x:v>
      </x:c>
      <x:c r="B147" s="34" t="n">
        <x:v>46214.5</x:v>
      </x:c>
      <x:c r="C147" s="19" t="str">
        <x:v>S02</x:v>
      </x:c>
      <x:c r="D147" s="19" t="str">
        <x:v>尊宝大厦店</x:v>
      </x:c>
      <x:c r="E147" s="19" t="str">
        <x:v>鸡杂</x:v>
      </x:c>
      <x:c r="F147" s="32" t="n">
        <x:v>2.5702948199562266</x:v>
      </x:c>
      <x:c r="G147" s="32" t="n">
        <x:v>2.6512115124565208</x:v>
      </x:c>
      <x:c r="H147" s="24" t="n">
        <x:f>G147</x:f>
        <x:v>2.6512115124565208</x:v>
      </x:c>
      <x:c r="I147" s="24" t="n">
        <x:f>XLOOKUP(A147,'库存与收货'!$A$5:$A$676,'库存与收货'!$H$5:$H$676,0)+XLOOKUP(A147,'库存与收货'!$A$5:$A$676,'库存与收货'!$J$5:$J$676,0)</x:f>
        <x:v>2.816153095663444</x:v>
      </x:c>
      <x:c r="J147" s="21" t="n">
        <x:f>MAX(0,1-ABS(F147-I147)/MAX(I147,0.01))</x:f>
        <x:v>0.9126971200231225</x:v>
      </x:c>
      <x:c r="K147" s="21" t="n">
        <x:f>MAX(0,1-ABS(H147-I147)/MAX(I147,0.01))</x:f>
        <x:v>0.9414301788276658</x:v>
      </x:c>
      <x:c r="L147" s="24" t="n">
        <x:f>MAX(I147-H147,0)</x:f>
        <x:v>0.16494158320692343</x:v>
      </x:c>
      <x:c r="M147" s="24" t="n">
        <x:f>MAX(H147-I147,0)</x:f>
        <x:v>0</x:v>
      </x:c>
      <x:c r="N147" s="19" t="str">
        <x:v>周浩</x:v>
      </x:c>
      <x:c r="O147" s="19" t="str">
        <x:v>S-按销量/BOM/日型生成</x:v>
      </x:c>
    </x:row>
    <x:row r="148">
      <x:c r="A148" s="19" t="str">
        <x:v>2026-07-11|S02|豆腐</x:v>
      </x:c>
      <x:c r="B148" s="34" t="n">
        <x:v>46214.5</x:v>
      </x:c>
      <x:c r="C148" s="19" t="str">
        <x:v>S02</x:v>
      </x:c>
      <x:c r="D148" s="19" t="str">
        <x:v>尊宝大厦店</x:v>
      </x:c>
      <x:c r="E148" s="19" t="str">
        <x:v>豆腐</x:v>
      </x:c>
      <x:c r="F148" s="32" t="n">
        <x:v>16.917217135280683</x:v>
      </x:c>
      <x:c r="G148" s="32" t="n">
        <x:v>17.636845764026905</x:v>
      </x:c>
      <x:c r="H148" s="24" t="n">
        <x:f>G148</x:f>
        <x:v>17.636845764026905</x:v>
      </x:c>
      <x:c r="I148" s="24" t="n">
        <x:f>XLOOKUP(A148,'库存与收货'!$A$5:$A$676,'库存与收货'!$H$5:$H$676,0)+XLOOKUP(A148,'库存与收货'!$A$5:$A$676,'库存与收货'!$J$5:$J$676,0)</x:f>
        <x:v>18.626602052938335</x:v>
      </x:c>
      <x:c r="J148" s="21" t="n">
        <x:f>MAX(0,1-ABS(F148-I148)/MAX(I148,0.01))</x:f>
        <x:v>0.908228837830999</x:v>
      </x:c>
      <x:c r="K148" s="21" t="n">
        <x:f>MAX(0,1-ABS(H148-I148)/MAX(I148,0.01))</x:f>
        <x:v>0.9468632933640574</x:v>
      </x:c>
      <x:c r="L148" s="24" t="n">
        <x:f>MAX(I148-H148,0)</x:f>
        <x:v>0.9897562889114297</x:v>
      </x:c>
      <x:c r="M148" s="24" t="n">
        <x:f>MAX(H148-I148,0)</x:f>
        <x:v>0</x:v>
      </x:c>
      <x:c r="N148" s="19" t="str">
        <x:v>周浩</x:v>
      </x:c>
      <x:c r="O148" s="19" t="str">
        <x:v>S-按销量/BOM/日型生成</x:v>
      </x:c>
    </x:row>
    <x:row r="149">
      <x:c r="A149" s="19" t="str">
        <x:v>2026-07-12|S02|瘦肉片</x:v>
      </x:c>
      <x:c r="B149" s="34" t="n">
        <x:v>46215.5</x:v>
      </x:c>
      <x:c r="C149" s="19" t="str">
        <x:v>S02</x:v>
      </x:c>
      <x:c r="D149" s="19" t="str">
        <x:v>尊宝大厦店</x:v>
      </x:c>
      <x:c r="E149" s="19" t="str">
        <x:v>瘦肉片</x:v>
      </x:c>
      <x:c r="F149" s="32" t="n">
        <x:v>8.776702630938344</x:v>
      </x:c>
      <x:c r="G149" s="32" t="n">
        <x:v>9.194275698579029</x:v>
      </x:c>
      <x:c r="H149" s="24" t="n">
        <x:f>G149</x:f>
        <x:v>9.194275698579029</x:v>
      </x:c>
      <x:c r="I149" s="24" t="n">
        <x:f>XLOOKUP(A149,'库存与收货'!$A$5:$A$676,'库存与收货'!$H$5:$H$676,0)+XLOOKUP(A149,'库存与收货'!$A$5:$A$676,'库存与收货'!$J$5:$J$676,0)</x:f>
        <x:v>10.120446827047376</x:v>
      </x:c>
      <x:c r="J149" s="21" t="n">
        <x:f>MAX(0,1-ABS(F149-I149)/MAX(I149,0.01))</x:f>
        <x:v>0.8672248153591586</x:v>
      </x:c>
      <x:c r="K149" s="21" t="n">
        <x:f>MAX(0,1-ABS(H149-I149)/MAX(I149,0.01))</x:f>
        <x:v>0.9084851544308191</x:v>
      </x:c>
      <x:c r="L149" s="24" t="n">
        <x:f>MAX(I149-H149,0)</x:f>
        <x:v>0.9261711284683471</x:v>
      </x:c>
      <x:c r="M149" s="24" t="n">
        <x:f>MAX(H149-I149,0)</x:f>
        <x:v>0</x:v>
      </x:c>
      <x:c r="N149" s="19" t="str">
        <x:v>周浩</x:v>
      </x:c>
      <x:c r="O149" s="19" t="str">
        <x:v>S-按销量/BOM/日型生成</x:v>
      </x:c>
    </x:row>
    <x:row r="150">
      <x:c r="A150" s="19" t="str">
        <x:v>2026-07-12|S02|肥肉片</x:v>
      </x:c>
      <x:c r="B150" s="34" t="n">
        <x:v>46215.5</x:v>
      </x:c>
      <x:c r="C150" s="19" t="str">
        <x:v>S02</x:v>
      </x:c>
      <x:c r="D150" s="19" t="str">
        <x:v>尊宝大厦店</x:v>
      </x:c>
      <x:c r="E150" s="19" t="str">
        <x:v>肥肉片</x:v>
      </x:c>
      <x:c r="F150" s="32" t="n">
        <x:v>2.7697061046530544</x:v>
      </x:c>
      <x:c r="G150" s="32" t="n">
        <x:v>2.826672190988979</x:v>
      </x:c>
      <x:c r="H150" s="24" t="n">
        <x:f>G150</x:f>
        <x:v>2.826672190988979</x:v>
      </x:c>
      <x:c r="I150" s="24" t="n">
        <x:f>XLOOKUP(A150,'库存与收货'!$A$5:$A$676,'库存与收货'!$H$5:$H$676,0)+XLOOKUP(A150,'库存与收货'!$A$5:$A$676,'库存与收货'!$J$5:$J$676,0)</x:f>
        <x:v>2.9349018001361173</x:v>
      </x:c>
      <x:c r="J150" s="21" t="n">
        <x:f>MAX(0,1-ABS(F150-I150)/MAX(I150,0.01))</x:f>
        <x:v>0.943713382343695</x:v>
      </x:c>
      <x:c r="K150" s="21" t="n">
        <x:f>MAX(0,1-ABS(H150-I150)/MAX(I150,0.01))</x:f>
        <x:v>0.9631232604981473</x:v>
      </x:c>
      <x:c r="L150" s="24" t="n">
        <x:f>MAX(I150-H150,0)</x:f>
        <x:v>0.1082296091471382</x:v>
      </x:c>
      <x:c r="M150" s="24" t="n">
        <x:f>MAX(H150-I150,0)</x:f>
        <x:v>0</x:v>
      </x:c>
      <x:c r="N150" s="19" t="str">
        <x:v>周浩</x:v>
      </x:c>
      <x:c r="O150" s="19" t="str">
        <x:v>S-按销量/BOM/日型生成</x:v>
      </x:c>
    </x:row>
    <x:row r="151">
      <x:c r="A151" s="19" t="str">
        <x:v>2026-07-12|S02|牛肉片</x:v>
      </x:c>
      <x:c r="B151" s="34" t="n">
        <x:v>46215.5</x:v>
      </x:c>
      <x:c r="C151" s="19" t="str">
        <x:v>S02</x:v>
      </x:c>
      <x:c r="D151" s="19" t="str">
        <x:v>尊宝大厦店</x:v>
      </x:c>
      <x:c r="E151" s="19" t="str">
        <x:v>牛肉片</x:v>
      </x:c>
      <x:c r="F151" s="32" t="n">
        <x:v>7.930805840641699</x:v>
      </x:c>
      <x:c r="G151" s="32" t="n">
        <x:v>7.560514102574756</x:v>
      </x:c>
      <x:c r="H151" s="24" t="n">
        <x:f>G151</x:f>
        <x:v>7.560514102574756</x:v>
      </x:c>
      <x:c r="I151" s="24" t="n">
        <x:f>XLOOKUP(A151,'库存与收货'!$A$5:$A$676,'库存与收货'!$H$5:$H$676,0)+XLOOKUP(A151,'库存与收货'!$A$5:$A$676,'库存与收货'!$J$5:$J$676,0)</x:f>
        <x:v>7.016645345900416</x:v>
      </x:c>
      <x:c r="J151" s="21" t="n">
        <x:f>MAX(0,1-ABS(F151-I151)/MAX(I151,0.01))</x:f>
        <x:v>0.8697154480986566</x:v>
      </x:c>
      <x:c r="K151" s="21" t="n">
        <x:f>MAX(0,1-ABS(H151-I151)/MAX(I151,0.01))</x:f>
        <x:v>0.9224887777758208</x:v>
      </x:c>
      <x:c r="L151" s="24" t="n">
        <x:f>MAX(I151-H151,0)</x:f>
        <x:v>0</x:v>
      </x:c>
      <x:c r="M151" s="24" t="n">
        <x:f>MAX(H151-I151,0)</x:f>
        <x:v>0.5438687566743399</x:v>
      </x:c>
      <x:c r="N151" s="19" t="str">
        <x:v>周浩</x:v>
      </x:c>
      <x:c r="O151" s="19" t="str">
        <x:v>S-按销量/BOM/日型生成</x:v>
      </x:c>
    </x:row>
    <x:row r="152">
      <x:c r="A152" s="19" t="str">
        <x:v>2026-07-12|S02|螺丝椒</x:v>
      </x:c>
      <x:c r="B152" s="34" t="n">
        <x:v>46215.5</x:v>
      </x:c>
      <x:c r="C152" s="19" t="str">
        <x:v>S02</x:v>
      </x:c>
      <x:c r="D152" s="19" t="str">
        <x:v>尊宝大厦店</x:v>
      </x:c>
      <x:c r="E152" s="19" t="str">
        <x:v>螺丝椒</x:v>
      </x:c>
      <x:c r="F152" s="32" t="n">
        <x:v>9.173434187673989</x:v>
      </x:c>
      <x:c r="G152" s="32" t="n">
        <x:v>9.886209958985924</x:v>
      </x:c>
      <x:c r="H152" s="24" t="n">
        <x:f>G152</x:f>
        <x:v>9.886209958985924</x:v>
      </x:c>
      <x:c r="I152" s="24" t="n">
        <x:f>XLOOKUP(A152,'库存与收货'!$A$5:$A$676,'库存与收货'!$H$5:$H$676,0)+XLOOKUP(A152,'库存与收货'!$A$5:$A$676,'库存与收货'!$J$5:$J$676,0)</x:f>
        <x:v>10.82781697142993</x:v>
      </x:c>
      <x:c r="J152" s="21" t="n">
        <x:f>MAX(0,1-ABS(F152-I152)/MAX(I152,0.01))</x:f>
        <x:v>0.847209941937404</x:v>
      </x:c>
      <x:c r="K152" s="21" t="n">
        <x:f>MAX(0,1-ABS(H152-I152)/MAX(I152,0.01))</x:f>
        <x:v>0.9130381484163879</x:v>
      </x:c>
      <x:c r="L152" s="24" t="n">
        <x:f>MAX(I152-H152,0)</x:f>
        <x:v>0.9416070124440061</x:v>
      </x:c>
      <x:c r="M152" s="24" t="n">
        <x:f>MAX(H152-I152,0)</x:f>
        <x:v>0</x:v>
      </x:c>
      <x:c r="N152" s="19" t="str">
        <x:v>周浩</x:v>
      </x:c>
      <x:c r="O152" s="19" t="str">
        <x:v>S-按销量/BOM/日型生成</x:v>
      </x:c>
    </x:row>
    <x:row r="153">
      <x:c r="A153" s="19" t="str">
        <x:v>2026-07-12|S02|青湖南椒圈</x:v>
      </x:c>
      <x:c r="B153" s="34" t="n">
        <x:v>46215.5</x:v>
      </x:c>
      <x:c r="C153" s="19" t="str">
        <x:v>S02</x:v>
      </x:c>
      <x:c r="D153" s="19" t="str">
        <x:v>尊宝大厦店</x:v>
      </x:c>
      <x:c r="E153" s="19" t="str">
        <x:v>青湖南椒圈</x:v>
      </x:c>
      <x:c r="F153" s="32" t="n">
        <x:v>1.5333929237882558</x:v>
      </x:c>
      <x:c r="G153" s="32" t="n">
        <x:v>1.5348732259196962</x:v>
      </x:c>
      <x:c r="H153" s="24" t="n">
        <x:f>G153</x:f>
        <x:v>1.5348732259196962</x:v>
      </x:c>
      <x:c r="I153" s="24" t="n">
        <x:f>XLOOKUP(A153,'库存与收货'!$A$5:$A$676,'库存与收货'!$H$5:$H$676,0)+XLOOKUP(A153,'库存与收货'!$A$5:$A$676,'库存与收货'!$J$5:$J$676,0)</x:f>
        <x:v>1.5373760738933635</x:v>
      </x:c>
      <x:c r="J153" s="21" t="n">
        <x:f>MAX(0,1-ABS(F153-I153)/MAX(I153,0.01))</x:f>
        <x:v>0.9974091244343224</x:v>
      </x:c>
      <x:c r="K153" s="21" t="n">
        <x:f>MAX(0,1-ABS(H153-I153)/MAX(I153,0.01))</x:f>
        <x:v>0.9983720001786363</x:v>
      </x:c>
      <x:c r="L153" s="24" t="n">
        <x:f>MAX(I153-H153,0)</x:f>
        <x:v>0.002502847973667288</x:v>
      </x:c>
      <x:c r="M153" s="24" t="n">
        <x:f>MAX(H153-I153,0)</x:f>
        <x:v>0</x:v>
      </x:c>
      <x:c r="N153" s="19" t="str">
        <x:v>周浩</x:v>
      </x:c>
      <x:c r="O153" s="19" t="str">
        <x:v>S-按销量/BOM/日型生成</x:v>
      </x:c>
    </x:row>
    <x:row r="154">
      <x:c r="A154" s="19" t="str">
        <x:v>2026-07-12|S02|鸡蛋</x:v>
      </x:c>
      <x:c r="B154" s="34" t="n">
        <x:v>46215.5</x:v>
      </x:c>
      <x:c r="C154" s="19" t="str">
        <x:v>S02</x:v>
      </x:c>
      <x:c r="D154" s="19" t="str">
        <x:v>尊宝大厦店</x:v>
      </x:c>
      <x:c r="E154" s="19" t="str">
        <x:v>鸡蛋</x:v>
      </x:c>
      <x:c r="F154" s="32" t="n">
        <x:v>13.302666318243213</x:v>
      </x:c>
      <x:c r="G154" s="32" t="n">
        <x:v>13.315406487006806</x:v>
      </x:c>
      <x:c r="H154" s="24" t="n">
        <x:f>G154</x:f>
        <x:v>13.315406487006806</x:v>
      </x:c>
      <x:c r="I154" s="24" t="n">
        <x:f>XLOOKUP(A154,'库存与收货'!$A$5:$A$676,'库存与收货'!$H$5:$H$676,0)+XLOOKUP(A154,'库存与收货'!$A$5:$A$676,'库存与收货'!$J$5:$J$676,0)</x:f>
        <x:v>13.332476646908903</x:v>
      </x:c>
      <x:c r="J154" s="21" t="n">
        <x:f>MAX(0,1-ABS(F154-I154)/MAX(I154,0.01))</x:f>
        <x:v>0.9977640816890085</x:v>
      </x:c>
      <x:c r="K154" s="21" t="n">
        <x:f>MAX(0,1-ABS(H154-I154)/MAX(I154,0.01))</x:f>
        <x:v>0.998719655743327</x:v>
      </x:c>
      <x:c r="L154" s="24" t="n">
        <x:f>MAX(I154-H154,0)</x:f>
        <x:v>0.01707015990209726</x:v>
      </x:c>
      <x:c r="M154" s="24" t="n">
        <x:f>MAX(H154-I154,0)</x:f>
        <x:v>0</x:v>
      </x:c>
      <x:c r="N154" s="19" t="str">
        <x:v>周浩</x:v>
      </x:c>
      <x:c r="O154" s="19" t="str">
        <x:v>S-按销量/BOM/日型生成</x:v>
      </x:c>
    </x:row>
    <x:row r="155">
      <x:c r="A155" s="19" t="str">
        <x:v>2026-07-12|S02|鸡肉</x:v>
      </x:c>
      <x:c r="B155" s="34" t="n">
        <x:v>46215.5</x:v>
      </x:c>
      <x:c r="C155" s="19" t="str">
        <x:v>S02</x:v>
      </x:c>
      <x:c r="D155" s="19" t="str">
        <x:v>尊宝大厦店</x:v>
      </x:c>
      <x:c r="E155" s="19" t="str">
        <x:v>鸡肉</x:v>
      </x:c>
      <x:c r="F155" s="32" t="n">
        <x:v>4.384039333472102</x:v>
      </x:c>
      <x:c r="G155" s="32" t="n">
        <x:v>4.299065881059242</x:v>
      </x:c>
      <x:c r="H155" s="24" t="n">
        <x:f>G155</x:f>
        <x:v>4.299065881059242</x:v>
      </x:c>
      <x:c r="I155" s="24" t="n">
        <x:f>XLOOKUP(A155,'库存与收货'!$A$5:$A$676,'库存与收货'!$H$5:$H$676,0)+XLOOKUP(A155,'库存与收货'!$A$5:$A$676,'库存与收货'!$J$5:$J$676,0)</x:f>
        <x:v>4.159084673978874</x:v>
      </x:c>
      <x:c r="J155" s="21" t="n">
        <x:f>MAX(0,1-ABS(F155-I155)/MAX(I155,0.01))</x:f>
        <x:v>0.9459124598013964</x:v>
      </x:c>
      <x:c r="K155" s="21" t="n">
        <x:f>MAX(0,1-ABS(H155-I155)/MAX(I155,0.01))</x:f>
        <x:v>0.966343265873822</x:v>
      </x:c>
      <x:c r="L155" s="24" t="n">
        <x:f>MAX(I155-H155,0)</x:f>
        <x:v>0</x:v>
      </x:c>
      <x:c r="M155" s="24" t="n">
        <x:f>MAX(H155-I155,0)</x:f>
        <x:v>0.13998120708036854</x:v>
      </x:c>
      <x:c r="N155" s="19" t="str">
        <x:v>周浩</x:v>
      </x:c>
      <x:c r="O155" s="19" t="str">
        <x:v>S-按销量/BOM/日型生成</x:v>
      </x:c>
    </x:row>
    <x:row r="156">
      <x:c r="A156" s="19" t="str">
        <x:v>2026-07-12|S02|鲈鱼</x:v>
      </x:c>
      <x:c r="B156" s="34" t="n">
        <x:v>46215.5</x:v>
      </x:c>
      <x:c r="C156" s="19" t="str">
        <x:v>S02</x:v>
      </x:c>
      <x:c r="D156" s="19" t="str">
        <x:v>尊宝大厦店</x:v>
      </x:c>
      <x:c r="E156" s="19" t="str">
        <x:v>鲈鱼</x:v>
      </x:c>
      <x:c r="F156" s="32" t="n">
        <x:v>2.936259840660034</x:v>
      </x:c>
      <x:c r="G156" s="32" t="n">
        <x:v>2.771305767573123</x:v>
      </x:c>
      <x:c r="H156" s="24" t="n">
        <x:f>G156</x:f>
        <x:v>2.771305767573123</x:v>
      </x:c>
      <x:c r="I156" s="24" t="n">
        <x:f>XLOOKUP(A156,'库存与收货'!$A$5:$A$676,'库存与收货'!$H$5:$H$676,0)+XLOOKUP(A156,'库存与收货'!$A$5:$A$676,'库存与收货'!$J$5:$J$676,0)</x:f>
        <x:v>2.551205707754988</x:v>
      </x:c>
      <x:c r="J156" s="21" t="n">
        <x:f>MAX(0,1-ABS(F156-I156)/MAX(I156,0.01))</x:f>
        <x:v>0.8490697430886956</x:v>
      </x:c>
      <x:c r="K156" s="21" t="n">
        <x:f>MAX(0,1-ABS(H156-I156)/MAX(I156,0.01))</x:f>
        <x:v>0.9137270431980105</x:v>
      </x:c>
      <x:c r="L156" s="24" t="n">
        <x:f>MAX(I156-H156,0)</x:f>
        <x:v>0</x:v>
      </x:c>
      <x:c r="M156" s="24" t="n">
        <x:f>MAX(H156-I156,0)</x:f>
        <x:v>0.2201000598181353</x:v>
      </x:c>
      <x:c r="N156" s="19" t="str">
        <x:v>周浩</x:v>
      </x:c>
      <x:c r="O156" s="19" t="str">
        <x:v>S-按销量/BOM/日型生成</x:v>
      </x:c>
    </x:row>
    <x:row r="157">
      <x:c r="A157" s="19" t="str">
        <x:v>2026-07-12|S02|酸包菜</x:v>
      </x:c>
      <x:c r="B157" s="34" t="n">
        <x:v>46215.5</x:v>
      </x:c>
      <x:c r="C157" s="19" t="str">
        <x:v>S02</x:v>
      </x:c>
      <x:c r="D157" s="19" t="str">
        <x:v>尊宝大厦店</x:v>
      </x:c>
      <x:c r="E157" s="19" t="str">
        <x:v>酸包菜</x:v>
      </x:c>
      <x:c r="F157" s="32" t="n">
        <x:v>6.458819095815572</x:v>
      </x:c>
      <x:c r="G157" s="32" t="n">
        <x:v>6.409290838562193</x:v>
      </x:c>
      <x:c r="H157" s="24" t="n">
        <x:f>G157</x:f>
        <x:v>6.409290838562193</x:v>
      </x:c>
      <x:c r="I157" s="24" t="n">
        <x:f>XLOOKUP(A157,'库存与收货'!$A$5:$A$676,'库存与收货'!$H$5:$H$676,0)+XLOOKUP(A157,'库存与收货'!$A$5:$A$676,'库存与收货'!$J$5:$J$676,0)</x:f>
        <x:v>6.3193632450709964</x:v>
      </x:c>
      <x:c r="J157" s="21" t="n">
        <x:f>MAX(0,1-ABS(F157-I157)/MAX(I157,0.01))</x:f>
        <x:v>0.9779319774261516</x:v>
      </x:c>
      <x:c r="K157" s="21" t="n">
        <x:f>MAX(0,1-ABS(H157-I157)/MAX(I157,0.01))</x:f>
        <x:v>0.9857695166421492</x:v>
      </x:c>
      <x:c r="L157" s="24" t="n">
        <x:f>MAX(I157-H157,0)</x:f>
        <x:v>0</x:v>
      </x:c>
      <x:c r="M157" s="24" t="n">
        <x:f>MAX(H157-I157,0)</x:f>
        <x:v>0.08992759349119694</x:v>
      </x:c>
      <x:c r="N157" s="19" t="str">
        <x:v>周浩</x:v>
      </x:c>
      <x:c r="O157" s="19" t="str">
        <x:v>S-按销量/BOM/日型生成</x:v>
      </x:c>
    </x:row>
    <x:row r="158">
      <x:c r="A158" s="19" t="str">
        <x:v>2026-07-12|S02|粉皮</x:v>
      </x:c>
      <x:c r="B158" s="34" t="n">
        <x:v>46215.5</x:v>
      </x:c>
      <x:c r="C158" s="19" t="str">
        <x:v>S02</x:v>
      </x:c>
      <x:c r="D158" s="19" t="str">
        <x:v>尊宝大厦店</x:v>
      </x:c>
      <x:c r="E158" s="19" t="str">
        <x:v>粉皮</x:v>
      </x:c>
      <x:c r="F158" s="32" t="n">
        <x:v>4.766931490496484</x:v>
      </x:c>
      <x:c r="G158" s="32" t="n">
        <x:v>4.783424669212332</x:v>
      </x:c>
      <x:c r="H158" s="24" t="n">
        <x:f>G158</x:f>
        <x:v>4.783424669212332</x:v>
      </x:c>
      <x:c r="I158" s="24" t="n">
        <x:f>XLOOKUP(A158,'库存与收货'!$A$5:$A$676,'库存与收货'!$H$5:$H$676,0)+XLOOKUP(A158,'库存与收货'!$A$5:$A$676,'库存与收货'!$J$5:$J$676,0)</x:f>
        <x:v>4.8120347013471845</x:v>
      </x:c>
      <x:c r="J158" s="21" t="n">
        <x:f>MAX(0,1-ABS(F158-I158)/MAX(I158,0.01))</x:f>
        <x:v>0.9906269980060465</x:v>
      </x:c>
      <x:c r="K158" s="21" t="n">
        <x:f>MAX(0,1-ABS(H158-I158)/MAX(I158,0.01))</x:f>
        <x:v>0.9940544834128393</x:v>
      </x:c>
      <x:c r="L158" s="24" t="n">
        <x:f>MAX(I158-H158,0)</x:f>
        <x:v>0.02861003213485258</x:v>
      </x:c>
      <x:c r="M158" s="24" t="n">
        <x:f>MAX(H158-I158,0)</x:f>
        <x:v>0</x:v>
      </x:c>
      <x:c r="N158" s="19" t="str">
        <x:v>周浩</x:v>
      </x:c>
      <x:c r="O158" s="19" t="str">
        <x:v>S-按销量/BOM/日型生成</x:v>
      </x:c>
    </x:row>
    <x:row r="159">
      <x:c r="A159" s="19" t="str">
        <x:v>2026-07-12|S02|鸡杂</x:v>
      </x:c>
      <x:c r="B159" s="34" t="n">
        <x:v>46215.5</x:v>
      </x:c>
      <x:c r="C159" s="19" t="str">
        <x:v>S02</x:v>
      </x:c>
      <x:c r="D159" s="19" t="str">
        <x:v>尊宝大厦店</x:v>
      </x:c>
      <x:c r="E159" s="19" t="str">
        <x:v>鸡杂</x:v>
      </x:c>
      <x:c r="F159" s="32" t="n">
        <x:v>2.6315124375247616</x:v>
      </x:c>
      <x:c r="G159" s="32" t="n">
        <x:v>2.6903965991262204</x:v>
      </x:c>
      <x:c r="H159" s="24" t="n">
        <x:f>G159</x:f>
        <x:v>2.6903965991262204</x:v>
      </x:c>
      <x:c r="I159" s="24" t="n">
        <x:f>XLOOKUP(A159,'库存与收货'!$A$5:$A$676,'库存与收货'!$H$5:$H$676,0)+XLOOKUP(A159,'库存与收货'!$A$5:$A$676,'库存与收货'!$J$5:$J$676,0)</x:f>
        <x:v>2.845618854443163</x:v>
      </x:c>
      <x:c r="J159" s="21" t="n">
        <x:f>MAX(0,1-ABS(F159-I159)/MAX(I159,0.01))</x:f>
        <x:v>0.9247592780796716</x:v>
      </x:c>
      <x:c r="K159" s="21" t="n">
        <x:f>MAX(0,1-ABS(H159-I159)/MAX(I159,0.01))</x:f>
        <x:v>0.9454521974808475</x:v>
      </x:c>
      <x:c r="L159" s="24" t="n">
        <x:f>MAX(I159-H159,0)</x:f>
        <x:v>0.15522225531694245</x:v>
      </x:c>
      <x:c r="M159" s="24" t="n">
        <x:f>MAX(H159-I159,0)</x:f>
        <x:v>0</x:v>
      </x:c>
      <x:c r="N159" s="19" t="str">
        <x:v>周浩</x:v>
      </x:c>
      <x:c r="O159" s="19" t="str">
        <x:v>S-按销量/BOM/日型生成</x:v>
      </x:c>
    </x:row>
    <x:row r="160">
      <x:c r="A160" s="19" t="str">
        <x:v>2026-07-12|S02|豆腐</x:v>
      </x:c>
      <x:c r="B160" s="34" t="n">
        <x:v>46215.5</x:v>
      </x:c>
      <x:c r="C160" s="19" t="str">
        <x:v>S02</x:v>
      </x:c>
      <x:c r="D160" s="19" t="str">
        <x:v>尊宝大厦店</x:v>
      </x:c>
      <x:c r="E160" s="19" t="str">
        <x:v>豆腐</x:v>
      </x:c>
      <x:c r="F160" s="32" t="n">
        <x:v>15.745266928622726</x:v>
      </x:c>
      <x:c r="G160" s="32" t="n">
        <x:v>16.254787555891284</x:v>
      </x:c>
      <x:c r="H160" s="24" t="n">
        <x:f>G160</x:f>
        <x:v>16.254787555891284</x:v>
      </x:c>
      <x:c r="I160" s="24" t="n">
        <x:f>XLOOKUP(A160,'库存与收货'!$A$5:$A$676,'库存与收货'!$H$5:$H$676,0)+XLOOKUP(A160,'库存与收货'!$A$5:$A$676,'库存与收货'!$J$5:$J$676,0)</x:f>
        <x:v>17.48834477131449</x:v>
      </x:c>
      <x:c r="J160" s="21" t="n">
        <x:f>MAX(0,1-ABS(F160-I160)/MAX(I160,0.01))</x:f>
        <x:v>0.9003291697707794</x:v>
      </x:c>
      <x:c r="K160" s="21" t="n">
        <x:f>MAX(0,1-ABS(H160-I160)/MAX(I160,0.01))</x:f>
        <x:v>0.9294640383893524</x:v>
      </x:c>
      <x:c r="L160" s="24" t="n">
        <x:f>MAX(I160-H160,0)</x:f>
        <x:v>1.2335572154232075</x:v>
      </x:c>
      <x:c r="M160" s="24" t="n">
        <x:f>MAX(H160-I160,0)</x:f>
        <x:v>0</x:v>
      </x:c>
      <x:c r="N160" s="19" t="str">
        <x:v>周浩</x:v>
      </x:c>
      <x:c r="O160" s="19" t="str">
        <x:v>S-按销量/BOM/日型生成</x:v>
      </x:c>
    </x:row>
    <x:row r="161">
      <x:c r="A161" s="19" t="str">
        <x:v>2026-07-13|S02|瘦肉片</x:v>
      </x:c>
      <x:c r="B161" s="34" t="n">
        <x:v>46216.5</x:v>
      </x:c>
      <x:c r="C161" s="19" t="str">
        <x:v>S02</x:v>
      </x:c>
      <x:c r="D161" s="19" t="str">
        <x:v>尊宝大厦店</x:v>
      </x:c>
      <x:c r="E161" s="19" t="str">
        <x:v>瘦肉片</x:v>
      </x:c>
      <x:c r="F161" s="32" t="n">
        <x:v>14.363332434670449</x:v>
      </x:c>
      <x:c r="G161" s="32" t="n">
        <x:v>14.289924323365579</x:v>
      </x:c>
      <x:c r="H161" s="24" t="n">
        <x:f>G161</x:f>
        <x:v>14.289924323365579</x:v>
      </x:c>
      <x:c r="I161" s="24" t="n">
        <x:f>XLOOKUP(A161,'库存与收货'!$A$5:$A$676,'库存与收货'!$H$5:$H$676,0)+XLOOKUP(A161,'库存与收货'!$A$5:$A$676,'库存与收货'!$J$5:$J$676,0)</x:f>
        <x:v>14.074255841581152</x:v>
      </x:c>
      <x:c r="J161" s="21" t="n">
        <x:f>MAX(0,1-ABS(F161-I161)/MAX(I161,0.01))</x:f>
        <x:v>0.9794606126005436</x:v>
      </x:c>
      <x:c r="K161" s="21" t="n">
        <x:f>MAX(0,1-ABS(H161-I161)/MAX(I161,0.01))</x:f>
        <x:v>0.9846763847259865</x:v>
      </x:c>
      <x:c r="L161" s="24" t="n">
        <x:f>MAX(I161-H161,0)</x:f>
        <x:v>0</x:v>
      </x:c>
      <x:c r="M161" s="24" t="n">
        <x:f>MAX(H161-I161,0)</x:f>
        <x:v>0.21566848178442655</x:v>
      </x:c>
      <x:c r="N161" s="19" t="str">
        <x:v>周浩</x:v>
      </x:c>
      <x:c r="O161" s="19" t="str">
        <x:v>S-按销量/BOM/日型生成</x:v>
      </x:c>
    </x:row>
    <x:row r="162">
      <x:c r="A162" s="19" t="str">
        <x:v>2026-07-13|S02|肥肉片</x:v>
      </x:c>
      <x:c r="B162" s="34" t="n">
        <x:v>46216.5</x:v>
      </x:c>
      <x:c r="C162" s="19" t="str">
        <x:v>S02</x:v>
      </x:c>
      <x:c r="D162" s="19" t="str">
        <x:v>尊宝大厦店</x:v>
      </x:c>
      <x:c r="E162" s="19" t="str">
        <x:v>肥肉片</x:v>
      </x:c>
      <x:c r="F162" s="32" t="n">
        <x:v>4.27213804895342</x:v>
      </x:c>
      <x:c r="G162" s="32" t="n">
        <x:v>4.146232481029707</x:v>
      </x:c>
      <x:c r="H162" s="24" t="n">
        <x:f>G162</x:f>
        <x:v>4.146232481029707</x:v>
      </x:c>
      <x:c r="I162" s="24" t="n">
        <x:f>XLOOKUP(A162,'库存与收货'!$A$5:$A$676,'库存与收货'!$H$5:$H$676,0)+XLOOKUP(A162,'库存与收货'!$A$5:$A$676,'库存与收货'!$J$5:$J$676,0)</x:f>
        <x:v>3.964354099419283</x:v>
      </x:c>
      <x:c r="J162" s="21" t="n">
        <x:f>MAX(0,1-ABS(F162-I162)/MAX(I162,0.01))</x:f>
        <x:v>0.9223621447995217</x:v>
      </x:c>
      <x:c r="K162" s="21" t="n">
        <x:f>MAX(0,1-ABS(H162-I162)/MAX(I162,0.01))</x:f>
        <x:v>0.954121560019811</x:v>
      </x:c>
      <x:c r="L162" s="24" t="n">
        <x:f>MAX(I162-H162,0)</x:f>
        <x:v>0</x:v>
      </x:c>
      <x:c r="M162" s="24" t="n">
        <x:f>MAX(H162-I162,0)</x:f>
        <x:v>0.1818783816104239</x:v>
      </x:c>
      <x:c r="N162" s="19" t="str">
        <x:v>周浩</x:v>
      </x:c>
      <x:c r="O162" s="19" t="str">
        <x:v>S-按销量/BOM/日型生成</x:v>
      </x:c>
    </x:row>
    <x:row r="163">
      <x:c r="A163" s="19" t="str">
        <x:v>2026-07-13|S02|牛肉片</x:v>
      </x:c>
      <x:c r="B163" s="34" t="n">
        <x:v>46216.5</x:v>
      </x:c>
      <x:c r="C163" s="19" t="str">
        <x:v>S02</x:v>
      </x:c>
      <x:c r="D163" s="19" t="str">
        <x:v>尊宝大厦店</x:v>
      </x:c>
      <x:c r="E163" s="19" t="str">
        <x:v>牛肉片</x:v>
      </x:c>
      <x:c r="F163" s="32" t="n">
        <x:v>10.638384365053817</x:v>
      </x:c>
      <x:c r="G163" s="32" t="n">
        <x:v>10.341688086481653</x:v>
      </x:c>
      <x:c r="H163" s="24" t="n">
        <x:f>G163</x:f>
        <x:v>10.341688086481653</x:v>
      </x:c>
      <x:c r="I163" s="24" t="n">
        <x:f>XLOOKUP(A163,'库存与收货'!$A$5:$A$676,'库存与收货'!$H$5:$H$676,0)+XLOOKUP(A163,'库存与收货'!$A$5:$A$676,'库存与收货'!$J$5:$J$676,0)</x:f>
        <x:v>9.574212664778859</x:v>
      </x:c>
      <x:c r="J163" s="21" t="n">
        <x:f>MAX(0,1-ABS(F163-I163)/MAX(I163,0.01))</x:f>
        <x:v>0.888850212802377</x:v>
      </x:c>
      <x:c r="K163" s="21" t="n">
        <x:f>MAX(0,1-ABS(H163-I163)/MAX(I163,0.01))</x:f>
        <x:v>0.9198393174901843</x:v>
      </x:c>
      <x:c r="L163" s="24" t="n">
        <x:f>MAX(I163-H163,0)</x:f>
        <x:v>0</x:v>
      </x:c>
      <x:c r="M163" s="24" t="n">
        <x:f>MAX(H163-I163,0)</x:f>
        <x:v>0.7674754217027946</x:v>
      </x:c>
      <x:c r="N163" s="19" t="str">
        <x:v>周浩</x:v>
      </x:c>
      <x:c r="O163" s="19" t="str">
        <x:v>S-按销量/BOM/日型生成</x:v>
      </x:c>
    </x:row>
    <x:row r="164">
      <x:c r="A164" s="19" t="str">
        <x:v>2026-07-13|S02|螺丝椒</x:v>
      </x:c>
      <x:c r="B164" s="34" t="n">
        <x:v>46216.5</x:v>
      </x:c>
      <x:c r="C164" s="19" t="str">
        <x:v>S02</x:v>
      </x:c>
      <x:c r="D164" s="19" t="str">
        <x:v>尊宝大厦店</x:v>
      </x:c>
      <x:c r="E164" s="19" t="str">
        <x:v>螺丝椒</x:v>
      </x:c>
      <x:c r="F164" s="32" t="n">
        <x:v>12.65187566836013</x:v>
      </x:c>
      <x:c r="G164" s="32" t="n">
        <x:v>13.070885474983537</x:v>
      </x:c>
      <x:c r="H164" s="24" t="n">
        <x:f>G164</x:f>
        <x:v>13.070885474983537</x:v>
      </x:c>
      <x:c r="I164" s="24" t="n">
        <x:f>XLOOKUP(A164,'库存与收货'!$A$5:$A$676,'库存与收货'!$H$5:$H$676,0)+XLOOKUP(A164,'库存与收货'!$A$5:$A$676,'库存与收货'!$J$5:$J$676,0)</x:f>
        <x:v>14.283895772685971</x:v>
      </x:c>
      <x:c r="J164" s="21" t="n">
        <x:f>MAX(0,1-ABS(F164-I164)/MAX(I164,0.01))</x:f>
        <x:v>0.8857440483816305</x:v>
      </x:c>
      <x:c r="K164" s="21" t="n">
        <x:f>MAX(0,1-ABS(H164-I164)/MAX(I164,0.01))</x:f>
        <x:v>0.9150784689970937</x:v>
      </x:c>
      <x:c r="L164" s="24" t="n">
        <x:f>MAX(I164-H164,0)</x:f>
        <x:v>1.213010297702434</x:v>
      </x:c>
      <x:c r="M164" s="24" t="n">
        <x:f>MAX(H164-I164,0)</x:f>
        <x:v>0</x:v>
      </x:c>
      <x:c r="N164" s="19" t="str">
        <x:v>周浩</x:v>
      </x:c>
      <x:c r="O164" s="19" t="str">
        <x:v>S-按销量/BOM/日型生成</x:v>
      </x:c>
    </x:row>
    <x:row r="165">
      <x:c r="A165" s="19" t="str">
        <x:v>2026-07-13|S02|青湖南椒圈</x:v>
      </x:c>
      <x:c r="B165" s="34" t="n">
        <x:v>46216.5</x:v>
      </x:c>
      <x:c r="C165" s="19" t="str">
        <x:v>S02</x:v>
      </x:c>
      <x:c r="D165" s="19" t="str">
        <x:v>尊宝大厦店</x:v>
      </x:c>
      <x:c r="E165" s="19" t="str">
        <x:v>青湖南椒圈</x:v>
      </x:c>
      <x:c r="F165" s="32" t="n">
        <x:v>2.0881306313073495</x:v>
      </x:c>
      <x:c r="G165" s="32" t="n">
        <x:v>2.1794486687151755</x:v>
      </x:c>
      <x:c r="H165" s="24" t="n">
        <x:f>G165</x:f>
        <x:v>2.1794486687151755</x:v>
      </x:c>
      <x:c r="I165" s="24" t="n">
        <x:f>XLOOKUP(A165,'库存与收货'!$A$5:$A$676,'库存与收货'!$H$5:$H$676,0)+XLOOKUP(A165,'库存与收货'!$A$5:$A$676,'库存与收货'!$J$5:$J$676,0)</x:f>
        <x:v>2.3418213810089092</x:v>
      </x:c>
      <x:c r="J165" s="21" t="n">
        <x:f>MAX(0,1-ABS(F165-I165)/MAX(I165,0.01))</x:f>
        <x:v>0.8916694707124657</x:v>
      </x:c>
      <x:c r="K165" s="21" t="n">
        <x:f>MAX(0,1-ABS(H165-I165)/MAX(I165,0.01))</x:f>
        <x:v>0.9306639209930776</x:v>
      </x:c>
      <x:c r="L165" s="24" t="n">
        <x:f>MAX(I165-H165,0)</x:f>
        <x:v>0.16237271229373373</x:v>
      </x:c>
      <x:c r="M165" s="24" t="n">
        <x:f>MAX(H165-I165,0)</x:f>
        <x:v>0</x:v>
      </x:c>
      <x:c r="N165" s="19" t="str">
        <x:v>周浩</x:v>
      </x:c>
      <x:c r="O165" s="19" t="str">
        <x:v>S-按销量/BOM/日型生成</x:v>
      </x:c>
    </x:row>
    <x:row r="166">
      <x:c r="A166" s="19" t="str">
        <x:v>2026-07-13|S02|鸡蛋</x:v>
      </x:c>
      <x:c r="B166" s="34" t="n">
        <x:v>46216.5</x:v>
      </x:c>
      <x:c r="C166" s="19" t="str">
        <x:v>S02</x:v>
      </x:c>
      <x:c r="D166" s="19" t="str">
        <x:v>尊宝大厦店</x:v>
      </x:c>
      <x:c r="E166" s="19" t="str">
        <x:v>鸡蛋</x:v>
      </x:c>
      <x:c r="F166" s="32" t="n">
        <x:v>22.61814498573218</x:v>
      </x:c>
      <x:c r="G166" s="32" t="n">
        <x:v>21.869584652695803</x:v>
      </x:c>
      <x:c r="H166" s="24" t="n">
        <x:f>G166</x:f>
        <x:v>21.869584652695803</x:v>
      </x:c>
      <x:c r="I166" s="24" t="n">
        <x:f>XLOOKUP(A166,'库存与收货'!$A$5:$A$676,'库存与收货'!$H$5:$H$676,0)+XLOOKUP(A166,'库存与收货'!$A$5:$A$676,'库存与收货'!$J$5:$J$676,0)</x:f>
        <x:v>19.733833794115363</x:v>
      </x:c>
      <x:c r="J166" s="21" t="n">
        <x:f>MAX(0,1-ABS(F166-I166)/MAX(I166,0.01))</x:f>
        <x:v>0.8538392883152325</x:v>
      </x:c>
      <x:c r="K166" s="21" t="n">
        <x:f>MAX(0,1-ABS(H166-I166)/MAX(I166,0.01))</x:f>
        <x:v>0.8917721269539971</x:v>
      </x:c>
      <x:c r="L166" s="24" t="n">
        <x:f>MAX(I166-H166,0)</x:f>
        <x:v>0</x:v>
      </x:c>
      <x:c r="M166" s="24" t="n">
        <x:f>MAX(H166-I166,0)</x:f>
        <x:v>2.1357508585804403</x:v>
      </x:c>
      <x:c r="N166" s="19" t="str">
        <x:v>周浩</x:v>
      </x:c>
      <x:c r="O166" s="19" t="str">
        <x:v>S-按销量/BOM/日型生成</x:v>
      </x:c>
    </x:row>
    <x:row r="167">
      <x:c r="A167" s="19" t="str">
        <x:v>2026-07-13|S02|鸡肉</x:v>
      </x:c>
      <x:c r="B167" s="34" t="n">
        <x:v>46216.5</x:v>
      </x:c>
      <x:c r="C167" s="19" t="str">
        <x:v>S02</x:v>
      </x:c>
      <x:c r="D167" s="19" t="str">
        <x:v>尊宝大厦店</x:v>
      </x:c>
      <x:c r="E167" s="19" t="str">
        <x:v>鸡肉</x:v>
      </x:c>
      <x:c r="F167" s="32" t="n">
        <x:v>6.538397157709144</x:v>
      </x:c>
      <x:c r="G167" s="32" t="n">
        <x:v>6.379867148219038</x:v>
      </x:c>
      <x:c r="H167" s="24" t="n">
        <x:f>G167</x:f>
        <x:v>6.379867148219038</x:v>
      </x:c>
      <x:c r="I167" s="24" t="n">
        <x:f>XLOOKUP(A167,'库存与收货'!$A$5:$A$676,'库存与收货'!$H$5:$H$676,0)+XLOOKUP(A167,'库存与收货'!$A$5:$A$676,'库存与收货'!$J$5:$J$676,0)</x:f>
        <x:v>6.070188489845357</x:v>
      </x:c>
      <x:c r="J167" s="21" t="n">
        <x:f>MAX(0,1-ABS(F167-I167)/MAX(I167,0.01))</x:f>
        <x:v>0.9228675240238355</x:v>
      </x:c>
      <x:c r="K167" s="21" t="n">
        <x:f>MAX(0,1-ABS(H167-I167)/MAX(I167,0.01))</x:f>
        <x:v>0.9489836833087254</x:v>
      </x:c>
      <x:c r="L167" s="24" t="n">
        <x:f>MAX(I167-H167,0)</x:f>
        <x:v>0</x:v>
      </x:c>
      <x:c r="M167" s="24" t="n">
        <x:f>MAX(H167-I167,0)</x:f>
        <x:v>0.3096786583736808</x:v>
      </x:c>
      <x:c r="N167" s="19" t="str">
        <x:v>周浩</x:v>
      </x:c>
      <x:c r="O167" s="19" t="str">
        <x:v>S-按销量/BOM/日型生成</x:v>
      </x:c>
    </x:row>
    <x:row r="168">
      <x:c r="A168" s="19" t="str">
        <x:v>2026-07-13|S02|鲈鱼</x:v>
      </x:c>
      <x:c r="B168" s="34" t="n">
        <x:v>46216.5</x:v>
      </x:c>
      <x:c r="C168" s="19" t="str">
        <x:v>S02</x:v>
      </x:c>
      <x:c r="D168" s="19" t="str">
        <x:v>尊宝大厦店</x:v>
      </x:c>
      <x:c r="E168" s="19" t="str">
        <x:v>鲈鱼</x:v>
      </x:c>
      <x:c r="F168" s="32" t="n">
        <x:v>4.666509111154971</x:v>
      </x:c>
      <x:c r="G168" s="32" t="n">
        <x:v>4.5046384329832065</x:v>
      </x:c>
      <x:c r="H168" s="24" t="n">
        <x:f>G168</x:f>
        <x:v>4.5046384329832065</x:v>
      </x:c>
      <x:c r="I168" s="24" t="n">
        <x:f>XLOOKUP(A168,'库存与收货'!$A$5:$A$676,'库存与收货'!$H$5:$H$676,0)+XLOOKUP(A168,'库存与收货'!$A$5:$A$676,'库存与收货'!$J$5:$J$676,0)</x:f>
        <x:v>4.094833692162026</x:v>
      </x:c>
      <x:c r="J168" s="21" t="n">
        <x:f>MAX(0,1-ABS(F168-I168)/MAX(I168,0.01))</x:f>
        <x:v>0.8603910532222111</x:v>
      </x:c>
      <x:c r="K168" s="21" t="n">
        <x:f>MAX(0,1-ABS(H168-I168)/MAX(I168,0.01))</x:f>
        <x:v>0.8999215177882331</x:v>
      </x:c>
      <x:c r="L168" s="24" t="n">
        <x:f>MAX(I168-H168,0)</x:f>
        <x:v>0</x:v>
      </x:c>
      <x:c r="M168" s="24" t="n">
        <x:f>MAX(H168-I168,0)</x:f>
        <x:v>0.4098047408211807</x:v>
      </x:c>
      <x:c r="N168" s="19" t="str">
        <x:v>周浩</x:v>
      </x:c>
      <x:c r="O168" s="19" t="str">
        <x:v>S-按销量/BOM/日型生成</x:v>
      </x:c>
    </x:row>
    <x:row r="169">
      <x:c r="A169" s="19" t="str">
        <x:v>2026-07-13|S02|酸包菜</x:v>
      </x:c>
      <x:c r="B169" s="34" t="n">
        <x:v>46216.5</x:v>
      </x:c>
      <x:c r="C169" s="19" t="str">
        <x:v>S02</x:v>
      </x:c>
      <x:c r="D169" s="19" t="str">
        <x:v>尊宝大厦店</x:v>
      </x:c>
      <x:c r="E169" s="19" t="str">
        <x:v>酸包菜</x:v>
      </x:c>
      <x:c r="F169" s="32" t="n">
        <x:v>9.07500388634259</x:v>
      </x:c>
      <x:c r="G169" s="32" t="n">
        <x:v>9.391357372110548</x:v>
      </x:c>
      <x:c r="H169" s="24" t="n">
        <x:f>G169</x:f>
        <x:v>9.391357372110548</x:v>
      </x:c>
      <x:c r="I169" s="24" t="n">
        <x:f>XLOOKUP(A169,'库存与收货'!$A$5:$A$676,'库存与收货'!$H$5:$H$676,0)+XLOOKUP(A169,'库存与收货'!$A$5:$A$676,'库存与收货'!$J$5:$J$676,0)</x:f>
        <x:v>9.915081600694704</x:v>
      </x:c>
      <x:c r="J169" s="21" t="n">
        <x:f>MAX(0,1-ABS(F169-I169)/MAX(I169,0.01))</x:f>
        <x:v>0.9152727382200008</x:v>
      </x:c>
      <x:c r="K169" s="21" t="n">
        <x:f>MAX(0,1-ABS(H169-I169)/MAX(I169,0.01))</x:f>
        <x:v>0.9471790299186785</x:v>
      </x:c>
      <x:c r="L169" s="24" t="n">
        <x:f>MAX(I169-H169,0)</x:f>
        <x:v>0.5237242285841557</x:v>
      </x:c>
      <x:c r="M169" s="24" t="n">
        <x:f>MAX(H169-I169,0)</x:f>
        <x:v>0</x:v>
      </x:c>
      <x:c r="N169" s="19" t="str">
        <x:v>周浩</x:v>
      </x:c>
      <x:c r="O169" s="19" t="str">
        <x:v>S-按销量/BOM/日型生成</x:v>
      </x:c>
    </x:row>
    <x:row r="170">
      <x:c r="A170" s="19" t="str">
        <x:v>2026-07-13|S02|粉皮</x:v>
      </x:c>
      <x:c r="B170" s="34" t="n">
        <x:v>46216.5</x:v>
      </x:c>
      <x:c r="C170" s="19" t="str">
        <x:v>S02</x:v>
      </x:c>
      <x:c r="D170" s="19" t="str">
        <x:v>尊宝大厦店</x:v>
      </x:c>
      <x:c r="E170" s="19" t="str">
        <x:v>粉皮</x:v>
      </x:c>
      <x:c r="F170" s="32" t="n">
        <x:v>7.41473323650134</x:v>
      </x:c>
      <x:c r="G170" s="32" t="n">
        <x:v>7.387550404727625</x:v>
      </x:c>
      <x:c r="H170" s="24" t="n">
        <x:f>G170</x:f>
        <x:v>7.387550404727625</x:v>
      </x:c>
      <x:c r="I170" s="24" t="n">
        <x:f>XLOOKUP(A170,'库存与收货'!$A$5:$A$676,'库存与收货'!$H$5:$H$676,0)+XLOOKUP(A170,'库存与收货'!$A$5:$A$676,'库存与收货'!$J$5:$J$676,0)</x:f>
        <x:v>7.33515189268979</x:v>
      </x:c>
      <x:c r="J170" s="21" t="n">
        <x:f>MAX(0,1-ABS(F170-I170)/MAX(I170,0.01))</x:f>
        <x:v>0.9891506890415097</x:v>
      </x:c>
      <x:c r="K170" s="21" t="n">
        <x:f>MAX(0,1-ABS(H170-I170)/MAX(I170,0.01))</x:f>
        <x:v>0.9928565198370255</x:v>
      </x:c>
      <x:c r="L170" s="24" t="n">
        <x:f>MAX(I170-H170,0)</x:f>
        <x:v>0</x:v>
      </x:c>
      <x:c r="M170" s="24" t="n">
        <x:f>MAX(H170-I170,0)</x:f>
        <x:v>0.05239851203783452</x:v>
      </x:c>
      <x:c r="N170" s="19" t="str">
        <x:v>周浩</x:v>
      </x:c>
      <x:c r="O170" s="19" t="str">
        <x:v>S-按销量/BOM/日型生成</x:v>
      </x:c>
    </x:row>
    <x:row r="171">
      <x:c r="A171" s="19" t="str">
        <x:v>2026-07-13|S02|鸡杂</x:v>
      </x:c>
      <x:c r="B171" s="34" t="n">
        <x:v>46216.5</x:v>
      </x:c>
      <x:c r="C171" s="19" t="str">
        <x:v>S02</x:v>
      </x:c>
      <x:c r="D171" s="19" t="str">
        <x:v>尊宝大厦店</x:v>
      </x:c>
      <x:c r="E171" s="19" t="str">
        <x:v>鸡杂</x:v>
      </x:c>
      <x:c r="F171" s="32" t="n">
        <x:v>4.302042130899347</x:v>
      </x:c>
      <x:c r="G171" s="32" t="n">
        <x:v>4.3284736491536435</x:v>
      </x:c>
      <x:c r="H171" s="24" t="n">
        <x:f>G171</x:f>
        <x:v>4.3284736491536435</x:v>
      </x:c>
      <x:c r="I171" s="24" t="n">
        <x:f>XLOOKUP(A171,'库存与收货'!$A$5:$A$676,'库存与收货'!$H$5:$H$676,0)+XLOOKUP(A171,'库存与收货'!$A$5:$A$676,'库存与收货'!$J$5:$J$676,0)</x:f>
        <x:v>4.369294580321129</x:v>
      </x:c>
      <x:c r="J171" s="21" t="n">
        <x:f>MAX(0,1-ABS(F171-I171)/MAX(I171,0.01))</x:f>
        <x:v>0.9846079388364701</x:v>
      </x:c>
      <x:c r="K171" s="21" t="n">
        <x:f>MAX(0,1-ABS(H171-I171)/MAX(I171,0.01))</x:f>
        <x:v>0.9906573176934925</x:v>
      </x:c>
      <x:c r="L171" s="24" t="n">
        <x:f>MAX(I171-H171,0)</x:f>
        <x:v>0.04082093116748542</x:v>
      </x:c>
      <x:c r="M171" s="24" t="n">
        <x:f>MAX(H171-I171,0)</x:f>
        <x:v>0</x:v>
      </x:c>
      <x:c r="N171" s="19" t="str">
        <x:v>周浩</x:v>
      </x:c>
      <x:c r="O171" s="19" t="str">
        <x:v>S-按销量/BOM/日型生成</x:v>
      </x:c>
    </x:row>
    <x:row r="172">
      <x:c r="A172" s="19" t="str">
        <x:v>2026-07-13|S02|豆腐</x:v>
      </x:c>
      <x:c r="B172" s="34" t="n">
        <x:v>46216.5</x:v>
      </x:c>
      <x:c r="C172" s="19" t="str">
        <x:v>S02</x:v>
      </x:c>
      <x:c r="D172" s="19" t="str">
        <x:v>尊宝大厦店</x:v>
      </x:c>
      <x:c r="E172" s="19" t="str">
        <x:v>豆腐</x:v>
      </x:c>
      <x:c r="F172" s="32" t="n">
        <x:v>20.51420537731513</x:v>
      </x:c>
      <x:c r="G172" s="32" t="n">
        <x:v>21.752645932321926</x:v>
      </x:c>
      <x:c r="H172" s="24" t="n">
        <x:f>G172</x:f>
        <x:v>21.752645932321926</x:v>
      </x:c>
      <x:c r="I172" s="24" t="n">
        <x:f>XLOOKUP(A172,'库存与收货'!$A$5:$A$676,'库存与收货'!$H$5:$H$676,0)+XLOOKUP(A172,'库存与收货'!$A$5:$A$676,'库存与收货'!$J$5:$J$676,0)</x:f>
        <x:v>23.493183826455656</x:v>
      </x:c>
      <x:c r="J172" s="21" t="n">
        <x:f>MAX(0,1-ABS(F172-I172)/MAX(I172,0.01))</x:f>
        <x:v>0.8731981807512228</x:v>
      </x:c>
      <x:c r="K172" s="21" t="n">
        <x:f>MAX(0,1-ABS(H172-I172)/MAX(I172,0.01))</x:f>
        <x:v>0.9259130687866277</x:v>
      </x:c>
      <x:c r="L172" s="24" t="n">
        <x:f>MAX(I172-H172,0)</x:f>
        <x:v>1.7405378941337304</x:v>
      </x:c>
      <x:c r="M172" s="24" t="n">
        <x:f>MAX(H172-I172,0)</x:f>
        <x:v>0</x:v>
      </x:c>
      <x:c r="N172" s="19" t="str">
        <x:v>周浩</x:v>
      </x:c>
      <x:c r="O172" s="19" t="str">
        <x:v>S-按销量/BOM/日型生成</x:v>
      </x:c>
    </x:row>
    <x:row r="173">
      <x:c r="A173" s="19" t="str">
        <x:v>2026-07-07|S03|瘦肉片</x:v>
      </x:c>
      <x:c r="B173" s="34" t="n">
        <x:v>46210.5</x:v>
      </x:c>
      <x:c r="C173" s="19" t="str">
        <x:v>S03</x:v>
      </x:c>
      <x:c r="D173" s="19" t="str">
        <x:v>铂悦城店</x:v>
      </x:c>
      <x:c r="E173" s="19" t="str">
        <x:v>瘦肉片</x:v>
      </x:c>
      <x:c r="F173" s="32" t="n">
        <x:v>14.04528215946581</x:v>
      </x:c>
      <x:c r="G173" s="32" t="n">
        <x:v>13.67913807620842</x:v>
      </x:c>
      <x:c r="H173" s="24" t="n">
        <x:f>G173</x:f>
        <x:v>13.67913807620842</x:v>
      </x:c>
      <x:c r="I173" s="24" t="n">
        <x:f>XLOOKUP(A173,'库存与收货'!$A$5:$A$676,'库存与收货'!$H$5:$H$676,0)+XLOOKUP(A173,'库存与收货'!$A$5:$A$676,'库存与收货'!$J$5:$J$676,0)</x:f>
        <x:v>13.071394594830377</x:v>
      </x:c>
      <x:c r="J173" s="21" t="n">
        <x:f>MAX(0,1-ABS(F173-I173)/MAX(I173,0.01))</x:f>
        <x:v>0.925494746748706</x:v>
      </x:c>
      <x:c r="K173" s="21" t="n">
        <x:f>MAX(0,1-ABS(H173-I173)/MAX(I173,0.01))</x:f>
        <x:v>0.9535058423208799</x:v>
      </x:c>
      <x:c r="L173" s="24" t="n">
        <x:f>MAX(I173-H173,0)</x:f>
        <x:v>0</x:v>
      </x:c>
      <x:c r="M173" s="24" t="n">
        <x:f>MAX(H173-I173,0)</x:f>
        <x:v>0.6077434813780425</x:v>
      </x:c>
      <x:c r="N173" s="19" t="str">
        <x:v>李倩</x:v>
      </x:c>
      <x:c r="O173" s="19" t="str">
        <x:v>S-按销量/BOM/日型生成</x:v>
      </x:c>
    </x:row>
    <x:row r="174">
      <x:c r="A174" s="19" t="str">
        <x:v>2026-07-07|S03|肥肉片</x:v>
      </x:c>
      <x:c r="B174" s="34" t="n">
        <x:v>46210.5</x:v>
      </x:c>
      <x:c r="C174" s="19" t="str">
        <x:v>S03</x:v>
      </x:c>
      <x:c r="D174" s="19" t="str">
        <x:v>铂悦城店</x:v>
      </x:c>
      <x:c r="E174" s="19" t="str">
        <x:v>肥肉片</x:v>
      </x:c>
      <x:c r="F174" s="32" t="n">
        <x:v>4.214991912719819</x:v>
      </x:c>
      <x:c r="G174" s="32" t="n">
        <x:v>3.9777951592260585</x:v>
      </x:c>
      <x:c r="H174" s="24" t="n">
        <x:f>G174</x:f>
        <x:v>3.9777951592260585</x:v>
      </x:c>
      <x:c r="I174" s="24" t="n">
        <x:f>XLOOKUP(A174,'库存与收货'!$A$5:$A$676,'库存与收货'!$H$5:$H$676,0)+XLOOKUP(A174,'库存与收货'!$A$5:$A$676,'库存与收货'!$J$5:$J$676,0)</x:f>
        <x:v>3.6559235031753596</x:v>
      </x:c>
      <x:c r="J174" s="21" t="n">
        <x:f>MAX(0,1-ABS(F174-I174)/MAX(I174,0.01))</x:f>
        <x:v>0.8470787452038098</x:v>
      </x:c>
      <x:c r="K174" s="21" t="n">
        <x:f>MAX(0,1-ABS(H174-I174)/MAX(I174,0.01))</x:f>
        <x:v>0.9119588646285578</x:v>
      </x:c>
      <x:c r="L174" s="24" t="n">
        <x:f>MAX(I174-H174,0)</x:f>
        <x:v>0</x:v>
      </x:c>
      <x:c r="M174" s="24" t="n">
        <x:f>MAX(H174-I174,0)</x:f>
        <x:v>0.3218716560506989</x:v>
      </x:c>
      <x:c r="N174" s="19" t="str">
        <x:v>李倩</x:v>
      </x:c>
      <x:c r="O174" s="19" t="str">
        <x:v>S-按销量/BOM/日型生成</x:v>
      </x:c>
    </x:row>
    <x:row r="175">
      <x:c r="A175" s="19" t="str">
        <x:v>2026-07-07|S03|牛肉片</x:v>
      </x:c>
      <x:c r="B175" s="34" t="n">
        <x:v>46210.5</x:v>
      </x:c>
      <x:c r="C175" s="19" t="str">
        <x:v>S03</x:v>
      </x:c>
      <x:c r="D175" s="19" t="str">
        <x:v>铂悦城店</x:v>
      </x:c>
      <x:c r="E175" s="19" t="str">
        <x:v>牛肉片</x:v>
      </x:c>
      <x:c r="F175" s="32" t="n">
        <x:v>8.966553440292458</x:v>
      </x:c>
      <x:c r="G175" s="32" t="n">
        <x:v>8.842429664309046</x:v>
      </x:c>
      <x:c r="H175" s="24" t="n">
        <x:f>G175</x:f>
        <x:v>8.842429664309046</x:v>
      </x:c>
      <x:c r="I175" s="24" t="n">
        <x:f>XLOOKUP(A175,'库存与收货'!$A$5:$A$676,'库存与收货'!$H$5:$H$676,0)+XLOOKUP(A175,'库存与收货'!$A$5:$A$676,'库存与收货'!$J$5:$J$676,0)</x:f>
        <x:v>8.56628083982011</x:v>
      </x:c>
      <x:c r="J175" s="21" t="n">
        <x:f>MAX(0,1-ABS(F175-I175)/MAX(I175,0.01))</x:f>
        <x:v>0.953273467452562</x:v>
      </x:c>
      <x:c r="K175" s="21" t="n">
        <x:f>MAX(0,1-ABS(H175-I175)/MAX(I175,0.01))</x:f>
        <x:v>0.9677632767763967</x:v>
      </x:c>
      <x:c r="L175" s="24" t="n">
        <x:f>MAX(I175-H175,0)</x:f>
        <x:v>0</x:v>
      </x:c>
      <x:c r="M175" s="24" t="n">
        <x:f>MAX(H175-I175,0)</x:f>
        <x:v>0.27614882448893674</x:v>
      </x:c>
      <x:c r="N175" s="19" t="str">
        <x:v>李倩</x:v>
      </x:c>
      <x:c r="O175" s="19" t="str">
        <x:v>S-按销量/BOM/日型生成</x:v>
      </x:c>
    </x:row>
    <x:row r="176">
      <x:c r="A176" s="19" t="str">
        <x:v>2026-07-07|S03|螺丝椒</x:v>
      </x:c>
      <x:c r="B176" s="34" t="n">
        <x:v>46210.5</x:v>
      </x:c>
      <x:c r="C176" s="19" t="str">
        <x:v>S03</x:v>
      </x:c>
      <x:c r="D176" s="19" t="str">
        <x:v>铂悦城店</x:v>
      </x:c>
      <x:c r="E176" s="19" t="str">
        <x:v>螺丝椒</x:v>
      </x:c>
      <x:c r="F176" s="32" t="n">
        <x:v>13.0687775410811</x:v>
      </x:c>
      <x:c r="G176" s="32" t="n">
        <x:v>13.194421309910577</x:v>
      </x:c>
      <x:c r="H176" s="24" t="n">
        <x:f>G176</x:f>
        <x:v>13.194421309910577</x:v>
      </x:c>
      <x:c r="I176" s="24" t="n">
        <x:f>XLOOKUP(A176,'库存与收货'!$A$5:$A$676,'库存与收货'!$H$5:$H$676,0)+XLOOKUP(A176,'库存与收货'!$A$5:$A$676,'库存与收货'!$J$5:$J$676,0)</x:f>
        <x:v>13.510207376034863</x:v>
      </x:c>
      <x:c r="J176" s="21" t="n">
        <x:f>MAX(0,1-ABS(F176-I176)/MAX(I176,0.01))</x:f>
        <x:v>0.9673261984315064</x:v>
      </x:c>
      <x:c r="K176" s="21" t="n">
        <x:f>MAX(0,1-ABS(H176-I176)/MAX(I176,0.01))</x:f>
        <x:v>0.9766261125876984</x:v>
      </x:c>
      <x:c r="L176" s="24" t="n">
        <x:f>MAX(I176-H176,0)</x:f>
        <x:v>0.3157860661242857</x:v>
      </x:c>
      <x:c r="M176" s="24" t="n">
        <x:f>MAX(H176-I176,0)</x:f>
        <x:v>0</x:v>
      </x:c>
      <x:c r="N176" s="19" t="str">
        <x:v>李倩</x:v>
      </x:c>
      <x:c r="O176" s="19" t="str">
        <x:v>S-按销量/BOM/日型生成</x:v>
      </x:c>
    </x:row>
    <x:row r="177">
      <x:c r="A177" s="19" t="str">
        <x:v>2026-07-07|S03|青湖南椒圈</x:v>
      </x:c>
      <x:c r="B177" s="34" t="n">
        <x:v>46210.5</x:v>
      </x:c>
      <x:c r="C177" s="19" t="str">
        <x:v>S03</x:v>
      </x:c>
      <x:c r="D177" s="19" t="str">
        <x:v>铂悦城店</x:v>
      </x:c>
      <x:c r="E177" s="19" t="str">
        <x:v>青湖南椒圈</x:v>
      </x:c>
      <x:c r="F177" s="32" t="n">
        <x:v>2.2874758957278147</x:v>
      </x:c>
      <x:c r="G177" s="32" t="n">
        <x:v>2.1726572180109143</x:v>
      </x:c>
      <x:c r="H177" s="24" t="n">
        <x:f>G177</x:f>
        <x:v>2.1726572180109143</x:v>
      </x:c>
      <x:c r="I177" s="24" t="n">
        <x:f>XLOOKUP(A177,'库存与收货'!$A$5:$A$676,'库存与收货'!$H$5:$H$676,0)+XLOOKUP(A177,'库存与收货'!$A$5:$A$676,'库存与收货'!$J$5:$J$676,0)</x:f>
        <x:v>1.9388977358673927</x:v>
      </x:c>
      <x:c r="J177" s="21" t="n">
        <x:f>MAX(0,1-ABS(F177-I177)/MAX(I177,0.01))</x:f>
        <x:v>0.8202183883078904</x:v>
      </x:c>
      <x:c r="K177" s="21" t="n">
        <x:f>MAX(0,1-ABS(H177-I177)/MAX(I177,0.01))</x:f>
        <x:v>0.8794369203598321</x:v>
      </x:c>
      <x:c r="L177" s="24" t="n">
        <x:f>MAX(I177-H177,0)</x:f>
        <x:v>0</x:v>
      </x:c>
      <x:c r="M177" s="24" t="n">
        <x:f>MAX(H177-I177,0)</x:f>
        <x:v>0.2337594821435216</x:v>
      </x:c>
      <x:c r="N177" s="19" t="str">
        <x:v>李倩</x:v>
      </x:c>
      <x:c r="O177" s="19" t="str">
        <x:v>S-按销量/BOM/日型生成</x:v>
      </x:c>
    </x:row>
    <x:row r="178">
      <x:c r="A178" s="19" t="str">
        <x:v>2026-07-07|S03|鸡蛋</x:v>
      </x:c>
      <x:c r="B178" s="34" t="n">
        <x:v>46210.5</x:v>
      </x:c>
      <x:c r="C178" s="19" t="str">
        <x:v>S03</x:v>
      </x:c>
      <x:c r="D178" s="19" t="str">
        <x:v>铂悦城店</x:v>
      </x:c>
      <x:c r="E178" s="19" t="str">
        <x:v>鸡蛋</x:v>
      </x:c>
      <x:c r="F178" s="32" t="n">
        <x:v>19.775347834009217</x:v>
      </x:c>
      <x:c r="G178" s="32" t="n">
        <x:v>19.33823672592108</x:v>
      </x:c>
      <x:c r="H178" s="24" t="n">
        <x:f>G178</x:f>
        <x:v>19.33823672592108</x:v>
      </x:c>
      <x:c r="I178" s="24" t="n">
        <x:f>XLOOKUP(A178,'库存与收货'!$A$5:$A$676,'库存与收货'!$H$5:$H$676,0)+XLOOKUP(A178,'库存与收货'!$A$5:$A$676,'库存与收货'!$J$5:$J$676,0)</x:f>
        <x:v>18.245168219155207</x:v>
      </x:c>
      <x:c r="J178" s="21" t="n">
        <x:f>MAX(0,1-ABS(F178-I178)/MAX(I178,0.01))</x:f>
        <x:v>0.9161323372591595</x:v>
      </x:c>
      <x:c r="K178" s="21" t="n">
        <x:f>MAX(0,1-ABS(H178-I178)/MAX(I178,0.01))</x:f>
        <x:v>0.9400899737598316</x:v>
      </x:c>
      <x:c r="L178" s="24" t="n">
        <x:f>MAX(I178-H178,0)</x:f>
        <x:v>0</x:v>
      </x:c>
      <x:c r="M178" s="24" t="n">
        <x:f>MAX(H178-I178,0)</x:f>
        <x:v>1.0930685067658743</x:v>
      </x:c>
      <x:c r="N178" s="19" t="str">
        <x:v>李倩</x:v>
      </x:c>
      <x:c r="O178" s="19" t="str">
        <x:v>S-按销量/BOM/日型生成</x:v>
      </x:c>
    </x:row>
    <x:row r="179">
      <x:c r="A179" s="19" t="str">
        <x:v>2026-07-07|S03|鸡肉</x:v>
      </x:c>
      <x:c r="B179" s="34" t="n">
        <x:v>46210.5</x:v>
      </x:c>
      <x:c r="C179" s="19" t="str">
        <x:v>S03</x:v>
      </x:c>
      <x:c r="D179" s="19" t="str">
        <x:v>铂悦城店</x:v>
      </x:c>
      <x:c r="E179" s="19" t="str">
        <x:v>鸡肉</x:v>
      </x:c>
      <x:c r="F179" s="32" t="n">
        <x:v>5.565213096116151</x:v>
      </x:c>
      <x:c r="G179" s="32" t="n">
        <x:v>5.391100669286399</x:v>
      </x:c>
      <x:c r="H179" s="24" t="n">
        <x:f>G179</x:f>
        <x:v>5.391100669286399</x:v>
      </x:c>
      <x:c r="I179" s="24" t="n">
        <x:f>XLOOKUP(A179,'库存与收货'!$A$5:$A$676,'库存与收货'!$H$5:$H$676,0)+XLOOKUP(A179,'库存与收货'!$A$5:$A$676,'库存与收货'!$J$5:$J$676,0)</x:f>
        <x:v>5.122281489512774</x:v>
      </x:c>
      <x:c r="J179" s="21" t="n">
        <x:f>MAX(0,1-ABS(F179-I179)/MAX(I179,0.01))</x:f>
        <x:v>0.9135284526025712</x:v>
      </x:c>
      <x:c r="K179" s="21" t="n">
        <x:f>MAX(0,1-ABS(H179-I179)/MAX(I179,0.01))</x:f>
        <x:v>0.9475196393786639</x:v>
      </x:c>
      <x:c r="L179" s="24" t="n">
        <x:f>MAX(I179-H179,0)</x:f>
        <x:v>0</x:v>
      </x:c>
      <x:c r="M179" s="24" t="n">
        <x:f>MAX(H179-I179,0)</x:f>
        <x:v>0.268819179773625</x:v>
      </x:c>
      <x:c r="N179" s="19" t="str">
        <x:v>李倩</x:v>
      </x:c>
      <x:c r="O179" s="19" t="str">
        <x:v>S-按销量/BOM/日型生成</x:v>
      </x:c>
    </x:row>
    <x:row r="180">
      <x:c r="A180" s="19" t="str">
        <x:v>2026-07-07|S03|鲈鱼</x:v>
      </x:c>
      <x:c r="B180" s="34" t="n">
        <x:v>46210.5</x:v>
      </x:c>
      <x:c r="C180" s="19" t="str">
        <x:v>S03</x:v>
      </x:c>
      <x:c r="D180" s="19" t="str">
        <x:v>铂悦城店</x:v>
      </x:c>
      <x:c r="E180" s="19" t="str">
        <x:v>鲈鱼</x:v>
      </x:c>
      <x:c r="F180" s="32" t="n">
        <x:v>3.343612972026557</x:v>
      </x:c>
      <x:c r="G180" s="32" t="n">
        <x:v>3.4066829707379327</x:v>
      </x:c>
      <x:c r="H180" s="24" t="n">
        <x:f>G180</x:f>
        <x:v>3.4066829707379327</x:v>
      </x:c>
      <x:c r="I180" s="24" t="n">
        <x:f>XLOOKUP(A180,'库存与收货'!$A$5:$A$676,'库存与收货'!$H$5:$H$676,0)+XLOOKUP(A180,'库存与收货'!$A$5:$A$676,'库存与收货'!$J$5:$J$676,0)</x:f>
        <x:v>3.5575339186692223</x:v>
      </x:c>
      <x:c r="J180" s="21" t="n">
        <x:f>MAX(0,1-ABS(F180-I180)/MAX(I180,0.01))</x:f>
        <x:v>0.9398681919742068</x:v>
      </x:c>
      <x:c r="K180" s="21" t="n">
        <x:f>MAX(0,1-ABS(H180-I180)/MAX(I180,0.01))</x:f>
        <x:v>0.9575967646746376</x:v>
      </x:c>
      <x:c r="L180" s="24" t="n">
        <x:f>MAX(I180-H180,0)</x:f>
        <x:v>0.15085094793128961</x:v>
      </x:c>
      <x:c r="M180" s="24" t="n">
        <x:f>MAX(H180-I180,0)</x:f>
        <x:v>0</x:v>
      </x:c>
      <x:c r="N180" s="19" t="str">
        <x:v>李倩</x:v>
      </x:c>
      <x:c r="O180" s="19" t="str">
        <x:v>S-按销量/BOM/日型生成</x:v>
      </x:c>
    </x:row>
    <x:row r="181">
      <x:c r="A181" s="19" t="str">
        <x:v>2026-07-07|S03|酸包菜</x:v>
      </x:c>
      <x:c r="B181" s="34" t="n">
        <x:v>46210.5</x:v>
      </x:c>
      <x:c r="C181" s="19" t="str">
        <x:v>S03</x:v>
      </x:c>
      <x:c r="D181" s="19" t="str">
        <x:v>铂悦城店</x:v>
      </x:c>
      <x:c r="E181" s="19" t="str">
        <x:v>酸包菜</x:v>
      </x:c>
      <x:c r="F181" s="32" t="n">
        <x:v>7.942671336504735</x:v>
      </x:c>
      <x:c r="G181" s="32" t="n">
        <x:v>8.120163477182171</x:v>
      </x:c>
      <x:c r="H181" s="24" t="n">
        <x:f>G181</x:f>
        <x:v>8.120163477182171</x:v>
      </x:c>
      <x:c r="I181" s="24" t="n">
        <x:f>XLOOKUP(A181,'库存与收货'!$A$5:$A$676,'库存与收货'!$H$5:$H$676,0)+XLOOKUP(A181,'库存与收货'!$A$5:$A$676,'库存与收货'!$J$5:$J$676,0)</x:f>
        <x:v>8.520279805499658</x:v>
      </x:c>
      <x:c r="J181" s="21" t="n">
        <x:f>MAX(0,1-ABS(F181-I181)/MAX(I181,0.01))</x:f>
        <x:v>0.9322078051213659</x:v>
      </x:c>
      <x:c r="K181" s="21" t="n">
        <x:f>MAX(0,1-ABS(H181-I181)/MAX(I181,0.01))</x:f>
        <x:v>0.953039531863822</x:v>
      </x:c>
      <x:c r="L181" s="24" t="n">
        <x:f>MAX(I181-H181,0)</x:f>
        <x:v>0.40011632831748756</x:v>
      </x:c>
      <x:c r="M181" s="24" t="n">
        <x:f>MAX(H181-I181,0)</x:f>
        <x:v>0</x:v>
      </x:c>
      <x:c r="N181" s="19" t="str">
        <x:v>李倩</x:v>
      </x:c>
      <x:c r="O181" s="19" t="str">
        <x:v>S-按销量/BOM/日型生成</x:v>
      </x:c>
    </x:row>
    <x:row r="182">
      <x:c r="A182" s="19" t="str">
        <x:v>2026-07-07|S03|粉皮</x:v>
      </x:c>
      <x:c r="B182" s="34" t="n">
        <x:v>46210.5</x:v>
      </x:c>
      <x:c r="C182" s="19" t="str">
        <x:v>S03</x:v>
      </x:c>
      <x:c r="D182" s="19" t="str">
        <x:v>铂悦城店</x:v>
      </x:c>
      <x:c r="E182" s="19" t="str">
        <x:v>粉皮</x:v>
      </x:c>
      <x:c r="F182" s="32" t="n">
        <x:v>6.194512213324936</x:v>
      </x:c>
      <x:c r="G182" s="32" t="n">
        <x:v>6.244576891378145</x:v>
      </x:c>
      <x:c r="H182" s="24" t="n">
        <x:f>G182</x:f>
        <x:v>6.244576891378145</x:v>
      </x:c>
      <x:c r="I182" s="24" t="n">
        <x:f>XLOOKUP(A182,'库存与收货'!$A$5:$A$676,'库存与收货'!$H$5:$H$676,0)+XLOOKUP(A182,'库存与收货'!$A$5:$A$676,'库存与收货'!$J$5:$J$676,0)</x:f>
        <x:v>6.379960062646415</x:v>
      </x:c>
      <x:c r="J182" s="21" t="n">
        <x:f>MAX(0,1-ABS(F182-I182)/MAX(I182,0.01))</x:f>
        <x:v>0.9709327570234735</x:v>
      </x:c>
      <x:c r="K182" s="21" t="n">
        <x:f>MAX(0,1-ABS(H182-I182)/MAX(I182,0.01))</x:f>
        <x:v>0.9787799343665307</x:v>
      </x:c>
      <x:c r="L182" s="24" t="n">
        <x:f>MAX(I182-H182,0)</x:f>
        <x:v>0.13538317126826982</x:v>
      </x:c>
      <x:c r="M182" s="24" t="n">
        <x:f>MAX(H182-I182,0)</x:f>
        <x:v>0</x:v>
      </x:c>
      <x:c r="N182" s="19" t="str">
        <x:v>李倩</x:v>
      </x:c>
      <x:c r="O182" s="19" t="str">
        <x:v>S-按销量/BOM/日型生成</x:v>
      </x:c>
    </x:row>
    <x:row r="183">
      <x:c r="A183" s="19" t="str">
        <x:v>2026-07-07|S03|鸡杂</x:v>
      </x:c>
      <x:c r="B183" s="34" t="n">
        <x:v>46210.5</x:v>
      </x:c>
      <x:c r="C183" s="19" t="str">
        <x:v>S03</x:v>
      </x:c>
      <x:c r="D183" s="19" t="str">
        <x:v>铂悦城店</x:v>
      </x:c>
      <x:c r="E183" s="19" t="str">
        <x:v>鸡杂</x:v>
      </x:c>
      <x:c r="F183" s="32" t="n">
        <x:v>3.871948184155654</x:v>
      </x:c>
      <x:c r="G183" s="32" t="n">
        <x:v>3.870538349119521</x:v>
      </x:c>
      <x:c r="H183" s="24" t="n">
        <x:f>G183</x:f>
        <x:v>3.870538349119521</x:v>
      </x:c>
      <x:c r="I183" s="24" t="n">
        <x:f>XLOOKUP(A183,'库存与收货'!$A$5:$A$676,'库存与收货'!$H$5:$H$676,0)+XLOOKUP(A183,'库存与收货'!$A$5:$A$676,'库存与收货'!$J$5:$J$676,0)</x:f>
        <x:v>3.8682195241692754</x:v>
      </x:c>
      <x:c r="J183" s="21" t="n">
        <x:f>MAX(0,1-ABS(F183-I183)/MAX(I183,0.01))</x:f>
        <x:v>0.999036078494749</x:v>
      </x:c>
      <x:c r="K183" s="21" t="n">
        <x:f>MAX(0,1-ABS(H183-I183)/MAX(I183,0.01))</x:f>
        <x:v>0.9994005446340991</x:v>
      </x:c>
      <x:c r="L183" s="24" t="n">
        <x:f>MAX(I183-H183,0)</x:f>
        <x:v>0</x:v>
      </x:c>
      <x:c r="M183" s="24" t="n">
        <x:f>MAX(H183-I183,0)</x:f>
        <x:v>0.0023188249502457126</x:v>
      </x:c>
      <x:c r="N183" s="19" t="str">
        <x:v>李倩</x:v>
      </x:c>
      <x:c r="O183" s="19" t="str">
        <x:v>S-按销量/BOM/日型生成</x:v>
      </x:c>
    </x:row>
    <x:row r="184">
      <x:c r="A184" s="19" t="str">
        <x:v>2026-07-07|S03|豆腐</x:v>
      </x:c>
      <x:c r="B184" s="34" t="n">
        <x:v>46210.5</x:v>
      </x:c>
      <x:c r="C184" s="19" t="str">
        <x:v>S03</x:v>
      </x:c>
      <x:c r="D184" s="19" t="str">
        <x:v>铂悦城店</x:v>
      </x:c>
      <x:c r="E184" s="19" t="str">
        <x:v>豆腐</x:v>
      </x:c>
      <x:c r="F184" s="32" t="n">
        <x:v>23.86293077778577</x:v>
      </x:c>
      <x:c r="G184" s="32" t="n">
        <x:v>23.3757970841796</x:v>
      </x:c>
      <x:c r="H184" s="24" t="n">
        <x:f>G184</x:f>
        <x:v>23.3757970841796</x:v>
      </x:c>
      <x:c r="I184" s="24" t="n">
        <x:f>XLOOKUP(A184,'库存与收货'!$A$5:$A$676,'库存与收货'!$H$5:$H$676,0)+XLOOKUP(A184,'库存与收货'!$A$5:$A$676,'库存与收货'!$J$5:$J$676,0)</x:f>
        <x:v>22.64249483153515</x:v>
      </x:c>
      <x:c r="J184" s="21" t="n">
        <x:f>MAX(0,1-ABS(F184-I184)/MAX(I184,0.01))</x:f>
        <x:v>0.946099758205493</x:v>
      </x:c>
      <x:c r="K184" s="21" t="n">
        <x:f>MAX(0,1-ABS(H184-I184)/MAX(I184,0.01))</x:f>
        <x:v>0.9676138933408014</x:v>
      </x:c>
      <x:c r="L184" s="24" t="n">
        <x:f>MAX(I184-H184,0)</x:f>
        <x:v>0</x:v>
      </x:c>
      <x:c r="M184" s="24" t="n">
        <x:f>MAX(H184-I184,0)</x:f>
        <x:v>0.7333022526444495</x:v>
      </x:c>
      <x:c r="N184" s="19" t="str">
        <x:v>李倩</x:v>
      </x:c>
      <x:c r="O184" s="19" t="str">
        <x:v>S-按销量/BOM/日型生成</x:v>
      </x:c>
    </x:row>
    <x:row r="185">
      <x:c r="A185" s="19" t="str">
        <x:v>2026-07-08|S03|瘦肉片</x:v>
      </x:c>
      <x:c r="B185" s="34" t="n">
        <x:v>46211.5</x:v>
      </x:c>
      <x:c r="C185" s="19" t="str">
        <x:v>S03</x:v>
      </x:c>
      <x:c r="D185" s="19" t="str">
        <x:v>铂悦城店</x:v>
      </x:c>
      <x:c r="E185" s="19" t="str">
        <x:v>瘦肉片</x:v>
      </x:c>
      <x:c r="F185" s="32" t="n">
        <x:v>11.428418283294382</x:v>
      </x:c>
      <x:c r="G185" s="32" t="n">
        <x:v>11.781584005852036</x:v>
      </x:c>
      <x:c r="H185" s="24" t="n">
        <x:f>G185</x:f>
        <x:v>11.781584005852036</x:v>
      </x:c>
      <x:c r="I185" s="24" t="n">
        <x:f>XLOOKUP(A185,'库存与收货'!$A$5:$A$676,'库存与收货'!$H$5:$H$676,0)+XLOOKUP(A185,'库存与收货'!$A$5:$A$676,'库存与收货'!$J$5:$J$676,0)</x:f>
        <x:v>12.230934693748349</x:v>
      </x:c>
      <x:c r="J185" s="21" t="n">
        <x:f>MAX(0,1-ABS(F185-I185)/MAX(I185,0.01))</x:f>
        <x:v>0.9343863383667513</x:v>
      </x:c>
      <x:c r="K185" s="21" t="n">
        <x:f>MAX(0,1-ABS(H185-I185)/MAX(I185,0.01))</x:f>
        <x:v>0.9632611325996212</x:v>
      </x:c>
      <x:c r="L185" s="24" t="n">
        <x:f>MAX(I185-H185,0)</x:f>
        <x:v>0.44935068789631316</x:v>
      </x:c>
      <x:c r="M185" s="24" t="n">
        <x:f>MAX(H185-I185,0)</x:f>
        <x:v>0</x:v>
      </x:c>
      <x:c r="N185" s="19" t="str">
        <x:v>李倩</x:v>
      </x:c>
      <x:c r="O185" s="19" t="str">
        <x:v>S-按销量/BOM/日型生成</x:v>
      </x:c>
    </x:row>
    <x:row r="186">
      <x:c r="A186" s="19" t="str">
        <x:v>2026-07-08|S03|肥肉片</x:v>
      </x:c>
      <x:c r="B186" s="34" t="n">
        <x:v>46211.5</x:v>
      </x:c>
      <x:c r="C186" s="19" t="str">
        <x:v>S03</x:v>
      </x:c>
      <x:c r="D186" s="19" t="str">
        <x:v>铂悦城店</x:v>
      </x:c>
      <x:c r="E186" s="19" t="str">
        <x:v>肥肉片</x:v>
      </x:c>
      <x:c r="F186" s="32" t="n">
        <x:v>3.0556464908140697</x:v>
      </x:c>
      <x:c r="G186" s="32" t="n">
        <x:v>3.1861570435511526</x:v>
      </x:c>
      <x:c r="H186" s="24" t="n">
        <x:f>G186</x:f>
        <x:v>3.1861570435511526</x:v>
      </x:c>
      <x:c r="I186" s="24" t="n">
        <x:f>XLOOKUP(A186,'库存与收货'!$A$5:$A$676,'库存与收货'!$H$5:$H$676,0)+XLOOKUP(A186,'库存与收货'!$A$5:$A$676,'库存与收货'!$J$5:$J$676,0)</x:f>
        <x:v>3.542581988927869</x:v>
      </x:c>
      <x:c r="J186" s="21" t="n">
        <x:f>MAX(0,1-ABS(F186-I186)/MAX(I186,0.01))</x:f>
        <x:v>0.8625478536175909</x:v>
      </x:c>
      <x:c r="K186" s="21" t="n">
        <x:f>MAX(0,1-ABS(H186-I186)/MAX(I186,0.01))</x:f>
        <x:v>0.8993883708293269</x:v>
      </x:c>
      <x:c r="L186" s="24" t="n">
        <x:f>MAX(I186-H186,0)</x:f>
        <x:v>0.35642494537671654</x:v>
      </x:c>
      <x:c r="M186" s="24" t="n">
        <x:f>MAX(H186-I186,0)</x:f>
        <x:v>0</x:v>
      </x:c>
      <x:c r="N186" s="19" t="str">
        <x:v>李倩</x:v>
      </x:c>
      <x:c r="O186" s="19" t="str">
        <x:v>S-按销量/BOM/日型生成</x:v>
      </x:c>
    </x:row>
    <x:row r="187">
      <x:c r="A187" s="19" t="str">
        <x:v>2026-07-08|S03|牛肉片</x:v>
      </x:c>
      <x:c r="B187" s="34" t="n">
        <x:v>46211.5</x:v>
      </x:c>
      <x:c r="C187" s="19" t="str">
        <x:v>S03</x:v>
      </x:c>
      <x:c r="D187" s="19" t="str">
        <x:v>铂悦城店</x:v>
      </x:c>
      <x:c r="E187" s="19" t="str">
        <x:v>牛肉片</x:v>
      </x:c>
      <x:c r="F187" s="32" t="n">
        <x:v>8.289856700727176</x:v>
      </x:c>
      <x:c r="G187" s="32" t="n">
        <x:v>8.366147744683884</x:v>
      </x:c>
      <x:c r="H187" s="24" t="n">
        <x:f>G187</x:f>
        <x:v>8.366147744683884</x:v>
      </x:c>
      <x:c r="I187" s="24" t="n">
        <x:f>XLOOKUP(A187,'库存与收货'!$A$5:$A$676,'库存与收货'!$H$5:$H$676,0)+XLOOKUP(A187,'库存与收货'!$A$5:$A$676,'库存与收货'!$J$5:$J$676,0)</x:f>
        <x:v>8.555379666131719</x:v>
      </x:c>
      <x:c r="J187" s="21" t="n">
        <x:f>MAX(0,1-ABS(F187-I187)/MAX(I187,0.01))</x:f>
        <x:v>0.9689642101500566</x:v>
      </x:c>
      <x:c r="K187" s="21" t="n">
        <x:f>MAX(0,1-ABS(H187-I187)/MAX(I187,0.01))</x:f>
        <x:v>0.9778815284847089</x:v>
      </x:c>
      <x:c r="L187" s="24" t="n">
        <x:f>MAX(I187-H187,0)</x:f>
        <x:v>0.18923192144783485</x:v>
      </x:c>
      <x:c r="M187" s="24" t="n">
        <x:f>MAX(H187-I187,0)</x:f>
        <x:v>0</x:v>
      </x:c>
      <x:c r="N187" s="19" t="str">
        <x:v>李倩</x:v>
      </x:c>
      <x:c r="O187" s="19" t="str">
        <x:v>S-按销量/BOM/日型生成</x:v>
      </x:c>
    </x:row>
    <x:row r="188">
      <x:c r="A188" s="19" t="str">
        <x:v>2026-07-08|S03|螺丝椒</x:v>
      </x:c>
      <x:c r="B188" s="34" t="n">
        <x:v>46211.5</x:v>
      </x:c>
      <x:c r="C188" s="19" t="str">
        <x:v>S03</x:v>
      </x:c>
      <x:c r="D188" s="19" t="str">
        <x:v>铂悦城店</x:v>
      </x:c>
      <x:c r="E188" s="19" t="str">
        <x:v>螺丝椒</x:v>
      </x:c>
      <x:c r="F188" s="32" t="n">
        <x:v>15.389821225548529</x:v>
      </x:c>
      <x:c r="G188" s="32" t="n">
        <x:v>14.703772901959212</x:v>
      </x:c>
      <x:c r="H188" s="24" t="n">
        <x:f>G188</x:f>
        <x:v>14.703772901959212</x:v>
      </x:c>
      <x:c r="I188" s="24" t="n">
        <x:f>XLOOKUP(A188,'库存与收货'!$A$5:$A$676,'库存与收货'!$H$5:$H$676,0)+XLOOKUP(A188,'库存与收货'!$A$5:$A$676,'库存与收货'!$J$5:$J$676,0)</x:f>
        <x:v>13.219892713798883</x:v>
      </x:c>
      <x:c r="J188" s="21" t="n">
        <x:f>MAX(0,1-ABS(F188-I188)/MAX(I188,0.01))</x:f>
        <x:v>0.8358588410112677</x:v>
      </x:c>
      <x:c r="K188" s="21" t="n">
        <x:f>MAX(0,1-ABS(H188-I188)/MAX(I188,0.01))</x:f>
        <x:v>0.887753991633271</x:v>
      </x:c>
      <x:c r="L188" s="24" t="n">
        <x:f>MAX(I188-H188,0)</x:f>
        <x:v>0</x:v>
      </x:c>
      <x:c r="M188" s="24" t="n">
        <x:f>MAX(H188-I188,0)</x:f>
        <x:v>1.4838801881603292</x:v>
      </x:c>
      <x:c r="N188" s="19" t="str">
        <x:v>李倩</x:v>
      </x:c>
      <x:c r="O188" s="19" t="str">
        <x:v>S-按销量/BOM/日型生成</x:v>
      </x:c>
    </x:row>
    <x:row r="189">
      <x:c r="A189" s="19" t="str">
        <x:v>2026-07-08|S03|青湖南椒圈</x:v>
      </x:c>
      <x:c r="B189" s="34" t="n">
        <x:v>46211.5</x:v>
      </x:c>
      <x:c r="C189" s="19" t="str">
        <x:v>S03</x:v>
      </x:c>
      <x:c r="D189" s="19" t="str">
        <x:v>铂悦城店</x:v>
      </x:c>
      <x:c r="E189" s="19" t="str">
        <x:v>青湖南椒圈</x:v>
      </x:c>
      <x:c r="F189" s="32" t="n">
        <x:v>1.9444511359605767</x:v>
      </x:c>
      <x:c r="G189" s="32" t="n">
        <x:v>1.8886201578296986</x:v>
      </x:c>
      <x:c r="H189" s="24" t="n">
        <x:f>G189</x:f>
        <x:v>1.8886201578296986</x:v>
      </x:c>
      <x:c r="I189" s="24" t="n">
        <x:f>XLOOKUP(A189,'库存与收货'!$A$5:$A$676,'库存与收货'!$H$5:$H$676,0)+XLOOKUP(A189,'库存与收货'!$A$5:$A$676,'库存与收货'!$J$5:$J$676,0)</x:f>
        <x:v>1.7393842011741092</x:v>
      </x:c>
      <x:c r="J189" s="21" t="n">
        <x:f>MAX(0,1-ABS(F189-I189)/MAX(I189,0.01))</x:f>
        <x:v>0.8821037154137399</x:v>
      </x:c>
      <x:c r="K189" s="21" t="n">
        <x:f>MAX(0,1-ABS(H189-I189)/MAX(I189,0.01))</x:f>
        <x:v>0.9142018442188603</x:v>
      </x:c>
      <x:c r="L189" s="24" t="n">
        <x:f>MAX(I189-H189,0)</x:f>
        <x:v>0</x:v>
      </x:c>
      <x:c r="M189" s="24" t="n">
        <x:f>MAX(H189-I189,0)</x:f>
        <x:v>0.14923595665558942</x:v>
      </x:c>
      <x:c r="N189" s="19" t="str">
        <x:v>李倩</x:v>
      </x:c>
      <x:c r="O189" s="19" t="str">
        <x:v>S-按销量/BOM/日型生成</x:v>
      </x:c>
    </x:row>
    <x:row r="190">
      <x:c r="A190" s="19" t="str">
        <x:v>2026-07-08|S03|鸡蛋</x:v>
      </x:c>
      <x:c r="B190" s="34" t="n">
        <x:v>46211.5</x:v>
      </x:c>
      <x:c r="C190" s="19" t="str">
        <x:v>S03</x:v>
      </x:c>
      <x:c r="D190" s="19" t="str">
        <x:v>铂悦城店</x:v>
      </x:c>
      <x:c r="E190" s="19" t="str">
        <x:v>鸡蛋</x:v>
      </x:c>
      <x:c r="F190" s="32" t="n">
        <x:v>14.681798611477847</x:v>
      </x:c>
      <x:c r="G190" s="32" t="n">
        <x:v>15.854946341191955</x:v>
      </x:c>
      <x:c r="H190" s="24" t="n">
        <x:f>G190</x:f>
        <x:v>15.854946341191955</x:v>
      </x:c>
      <x:c r="I190" s="24" t="n">
        <x:f>XLOOKUP(A190,'库存与收货'!$A$5:$A$676,'库存与收货'!$H$5:$H$676,0)+XLOOKUP(A190,'库存与收货'!$A$5:$A$676,'库存与收货'!$J$5:$J$676,0)</x:f>
        <x:v>17.766178071084124</x:v>
      </x:c>
      <x:c r="J190" s="21" t="n">
        <x:f>MAX(0,1-ABS(F190-I190)/MAX(I190,0.01))</x:f>
        <x:v>0.8263903779830761</x:v>
      </x:c>
      <x:c r="K190" s="21" t="n">
        <x:f>MAX(0,1-ABS(H190-I190)/MAX(I190,0.01))</x:f>
        <x:v>0.8924230229909239</x:v>
      </x:c>
      <x:c r="L190" s="24" t="n">
        <x:f>MAX(I190-H190,0)</x:f>
        <x:v>1.9112317298921688</x:v>
      </x:c>
      <x:c r="M190" s="24" t="n">
        <x:f>MAX(H190-I190,0)</x:f>
        <x:v>0</x:v>
      </x:c>
      <x:c r="N190" s="19" t="str">
        <x:v>李倩</x:v>
      </x:c>
      <x:c r="O190" s="19" t="str">
        <x:v>S-按销量/BOM/日型生成</x:v>
      </x:c>
    </x:row>
    <x:row r="191">
      <x:c r="A191" s="19" t="str">
        <x:v>2026-07-08|S03|鸡肉</x:v>
      </x:c>
      <x:c r="B191" s="34" t="n">
        <x:v>46211.5</x:v>
      </x:c>
      <x:c r="C191" s="19" t="str">
        <x:v>S03</x:v>
      </x:c>
      <x:c r="D191" s="19" t="str">
        <x:v>铂悦城店</x:v>
      </x:c>
      <x:c r="E191" s="19" t="str">
        <x:v>鸡肉</x:v>
      </x:c>
      <x:c r="F191" s="32" t="n">
        <x:v>6.43794080795095</x:v>
      </x:c>
      <x:c r="G191" s="32" t="n">
        <x:v>6.253305854148672</x:v>
      </x:c>
      <x:c r="H191" s="24" t="n">
        <x:f>G191</x:f>
        <x:v>6.253305854148672</x:v>
      </x:c>
      <x:c r="I191" s="24" t="n">
        <x:f>XLOOKUP(A191,'库存与收货'!$A$5:$A$676,'库存与收货'!$H$5:$H$676,0)+XLOOKUP(A191,'库存与收货'!$A$5:$A$676,'库存与收货'!$J$5:$J$676,0)</x:f>
        <x:v>6.004037729160403</x:v>
      </x:c>
      <x:c r="J191" s="21" t="n">
        <x:f>MAX(0,1-ABS(F191-I191)/MAX(I191,0.01))</x:f>
        <x:v>0.9277314536710575</x:v>
      </x:c>
      <x:c r="K191" s="21" t="n">
        <x:f>MAX(0,1-ABS(H191-I191)/MAX(I191,0.01))</x:f>
        <x:v>0.9584832513996999</x:v>
      </x:c>
      <x:c r="L191" s="24" t="n">
        <x:f>MAX(I191-H191,0)</x:f>
        <x:v>0</x:v>
      </x:c>
      <x:c r="M191" s="24" t="n">
        <x:f>MAX(H191-I191,0)</x:f>
        <x:v>0.24926812498826934</x:v>
      </x:c>
      <x:c r="N191" s="19" t="str">
        <x:v>李倩</x:v>
      </x:c>
      <x:c r="O191" s="19" t="str">
        <x:v>S-按销量/BOM/日型生成</x:v>
      </x:c>
    </x:row>
    <x:row r="192">
      <x:c r="A192" s="19" t="str">
        <x:v>2026-07-08|S03|鲈鱼</x:v>
      </x:c>
      <x:c r="B192" s="34" t="n">
        <x:v>46211.5</x:v>
      </x:c>
      <x:c r="C192" s="19" t="str">
        <x:v>S03</x:v>
      </x:c>
      <x:c r="D192" s="19" t="str">
        <x:v>铂悦城店</x:v>
      </x:c>
      <x:c r="E192" s="19" t="str">
        <x:v>鲈鱼</x:v>
      </x:c>
      <x:c r="F192" s="32" t="n">
        <x:v>3.1325685291671643</x:v>
      </x:c>
      <x:c r="G192" s="32" t="n">
        <x:v>3.1171891428965974</x:v>
      </x:c>
      <x:c r="H192" s="24" t="n">
        <x:f>G192</x:f>
        <x:v>3.1171891428965974</x:v>
      </x:c>
      <x:c r="I192" s="24" t="n">
        <x:f>XLOOKUP(A192,'库存与收货'!$A$5:$A$676,'库存与收货'!$H$5:$H$676,0)+XLOOKUP(A192,'库存与收货'!$A$5:$A$676,'库存与收货'!$J$5:$J$676,0)</x:f>
        <x:v>3.090021921261219</x:v>
      </x:c>
      <x:c r="J192" s="21" t="n">
        <x:f>MAX(0,1-ABS(F192-I192)/MAX(I192,0.01))</x:f>
        <x:v>0.9862309689089261</x:v>
      </x:c>
      <x:c r="K192" s="21" t="n">
        <x:f>MAX(0,1-ABS(H192-I192)/MAX(I192,0.01))</x:f>
        <x:v>0.9912080812603783</x:v>
      </x:c>
      <x:c r="L192" s="24" t="n">
        <x:f>MAX(I192-H192,0)</x:f>
        <x:v>0</x:v>
      </x:c>
      <x:c r="M192" s="24" t="n">
        <x:f>MAX(H192-I192,0)</x:f>
        <x:v>0.027167221635378436</x:v>
      </x:c>
      <x:c r="N192" s="19" t="str">
        <x:v>李倩</x:v>
      </x:c>
      <x:c r="O192" s="19" t="str">
        <x:v>S-按销量/BOM/日型生成</x:v>
      </x:c>
    </x:row>
    <x:row r="193">
      <x:c r="A193" s="19" t="str">
        <x:v>2026-07-08|S03|酸包菜</x:v>
      </x:c>
      <x:c r="B193" s="34" t="n">
        <x:v>46211.5</x:v>
      </x:c>
      <x:c r="C193" s="19" t="str">
        <x:v>S03</x:v>
      </x:c>
      <x:c r="D193" s="19" t="str">
        <x:v>铂悦城店</x:v>
      </x:c>
      <x:c r="E193" s="19" t="str">
        <x:v>酸包菜</x:v>
      </x:c>
      <x:c r="F193" s="32" t="n">
        <x:v>7.599110809368668</x:v>
      </x:c>
      <x:c r="G193" s="32" t="n">
        <x:v>7.916519876634882</x:v>
      </x:c>
      <x:c r="H193" s="24" t="n">
        <x:f>G193</x:f>
        <x:v>7.916519876634882</x:v>
      </x:c>
      <x:c r="I193" s="24" t="n">
        <x:f>XLOOKUP(A193,'库存与收货'!$A$5:$A$676,'库存与收货'!$H$5:$H$676,0)+XLOOKUP(A193,'库存与收货'!$A$5:$A$676,'库存与收货'!$J$5:$J$676,0)</x:f>
        <x:v>8.50372001046285</x:v>
      </x:c>
      <x:c r="J193" s="21" t="n">
        <x:f>MAX(0,1-ABS(F193-I193)/MAX(I193,0.01))</x:f>
        <x:v>0.893621944280719</x:v>
      </x:c>
      <x:c r="K193" s="21" t="n">
        <x:f>MAX(0,1-ABS(H193-I193)/MAX(I193,0.01))</x:f>
        <x:v>0.9309478518688897</x:v>
      </x:c>
      <x:c r="L193" s="24" t="n">
        <x:f>MAX(I193-H193,0)</x:f>
        <x:v>0.5872001338279675</x:v>
      </x:c>
      <x:c r="M193" s="24" t="n">
        <x:f>MAX(H193-I193,0)</x:f>
        <x:v>0</x:v>
      </x:c>
      <x:c r="N193" s="19" t="str">
        <x:v>李倩</x:v>
      </x:c>
      <x:c r="O193" s="19" t="str">
        <x:v>S-按销量/BOM/日型生成</x:v>
      </x:c>
    </x:row>
    <x:row r="194">
      <x:c r="A194" s="19" t="str">
        <x:v>2026-07-08|S03|粉皮</x:v>
      </x:c>
      <x:c r="B194" s="34" t="n">
        <x:v>46211.5</x:v>
      </x:c>
      <x:c r="C194" s="19" t="str">
        <x:v>S03</x:v>
      </x:c>
      <x:c r="D194" s="19" t="str">
        <x:v>铂悦城店</x:v>
      </x:c>
      <x:c r="E194" s="19" t="str">
        <x:v>粉皮</x:v>
      </x:c>
      <x:c r="F194" s="32" t="n">
        <x:v>5.244707429481175</x:v>
      </x:c>
      <x:c r="G194" s="32" t="n">
        <x:v>5.616767495558056</x:v>
      </x:c>
      <x:c r="H194" s="24" t="n">
        <x:f>G194</x:f>
        <x:v>5.616767495558056</x:v>
      </x:c>
      <x:c r="I194" s="24" t="n">
        <x:f>XLOOKUP(A194,'库存与收货'!$A$5:$A$676,'库存与收货'!$H$5:$H$676,0)+XLOOKUP(A194,'库存与收货'!$A$5:$A$676,'库存与收货'!$J$5:$J$676,0)</x:f>
        <x:v>6.361524925798941</x:v>
      </x:c>
      <x:c r="J194" s="21" t="n">
        <x:f>MAX(0,1-ABS(F194-I194)/MAX(I194,0.01))</x:f>
        <x:v>0.8244418579909116</x:v>
      </x:c>
      <x:c r="K194" s="21" t="n">
        <x:f>MAX(0,1-ABS(H194-I194)/MAX(I194,0.01))</x:f>
        <x:v>0.8829278453000243</x:v>
      </x:c>
      <x:c r="L194" s="24" t="n">
        <x:f>MAX(I194-H194,0)</x:f>
        <x:v>0.7447574302408846</x:v>
      </x:c>
      <x:c r="M194" s="24" t="n">
        <x:f>MAX(H194-I194,0)</x:f>
        <x:v>0</x:v>
      </x:c>
      <x:c r="N194" s="19" t="str">
        <x:v>李倩</x:v>
      </x:c>
      <x:c r="O194" s="19" t="str">
        <x:v>S-按销量/BOM/日型生成</x:v>
      </x:c>
    </x:row>
    <x:row r="195">
      <x:c r="A195" s="19" t="str">
        <x:v>2026-07-08|S03|鸡杂</x:v>
      </x:c>
      <x:c r="B195" s="34" t="n">
        <x:v>46211.5</x:v>
      </x:c>
      <x:c r="C195" s="19" t="str">
        <x:v>S03</x:v>
      </x:c>
      <x:c r="D195" s="19" t="str">
        <x:v>铂悦城店</x:v>
      </x:c>
      <x:c r="E195" s="19" t="str">
        <x:v>鸡杂</x:v>
      </x:c>
      <x:c r="F195" s="32" t="n">
        <x:v>3.21846198256245</x:v>
      </x:c>
      <x:c r="G195" s="32" t="n">
        <x:v>3.3454637130853997</x:v>
      </x:c>
      <x:c r="H195" s="24" t="n">
        <x:f>G195</x:f>
        <x:v>3.3454637130853997</x:v>
      </x:c>
      <x:c r="I195" s="24" t="n">
        <x:f>XLOOKUP(A195,'库存与收货'!$A$5:$A$676,'库存与收货'!$H$5:$H$676,0)+XLOOKUP(A195,'库存与收货'!$A$5:$A$676,'库存与收货'!$J$5:$J$676,0)</x:f>
        <x:v>3.5915292728527053</x:v>
      </x:c>
      <x:c r="J195" s="21" t="n">
        <x:f>MAX(0,1-ABS(F195-I195)/MAX(I195,0.01))</x:f>
        <x:v>0.8961257832115809</x:v>
      </x:c>
      <x:c r="K195" s="21" t="n">
        <x:f>MAX(0,1-ABS(H195-I195)/MAX(I195,0.01))</x:f>
        <x:v>0.9314872464976851</x:v>
      </x:c>
      <x:c r="L195" s="24" t="n">
        <x:f>MAX(I195-H195,0)</x:f>
        <x:v>0.2460655597673056</x:v>
      </x:c>
      <x:c r="M195" s="24" t="n">
        <x:f>MAX(H195-I195,0)</x:f>
        <x:v>0</x:v>
      </x:c>
      <x:c r="N195" s="19" t="str">
        <x:v>李倩</x:v>
      </x:c>
      <x:c r="O195" s="19" t="str">
        <x:v>S-按销量/BOM/日型生成</x:v>
      </x:c>
    </x:row>
    <x:row r="196">
      <x:c r="A196" s="19" t="str">
        <x:v>2026-07-08|S03|豆腐</x:v>
      </x:c>
      <x:c r="B196" s="34" t="n">
        <x:v>46211.5</x:v>
      </x:c>
      <x:c r="C196" s="19" t="str">
        <x:v>S03</x:v>
      </x:c>
      <x:c r="D196" s="19" t="str">
        <x:v>铂悦城店</x:v>
      </x:c>
      <x:c r="E196" s="19" t="str">
        <x:v>豆腐</x:v>
      </x:c>
      <x:c r="F196" s="32" t="n">
        <x:v>19.69347797362286</x:v>
      </x:c>
      <x:c r="G196" s="32" t="n">
        <x:v>20.192082374873795</x:v>
      </x:c>
      <x:c r="H196" s="24" t="n">
        <x:f>G196</x:f>
        <x:v>20.192082374873795</x:v>
      </x:c>
      <x:c r="I196" s="24" t="n">
        <x:f>XLOOKUP(A196,'库存与收货'!$A$5:$A$676,'库存与收货'!$H$5:$H$676,0)+XLOOKUP(A196,'库存与收货'!$A$5:$A$676,'库存与收货'!$J$5:$J$676,0)</x:f>
        <x:v>21.158025868283126</x:v>
      </x:c>
      <x:c r="J196" s="21" t="n">
        <x:f>MAX(0,1-ABS(F196-I196)/MAX(I196,0.01))</x:f>
        <x:v>0.9307805036359421</x:v>
      </x:c>
      <x:c r="K196" s="21" t="n">
        <x:f>MAX(0,1-ABS(H196-I196)/MAX(I196,0.01))</x:f>
        <x:v>0.9543462372424204</x:v>
      </x:c>
      <x:c r="L196" s="24" t="n">
        <x:f>MAX(I196-H196,0)</x:f>
        <x:v>0.9659434934093305</x:v>
      </x:c>
      <x:c r="M196" s="24" t="n">
        <x:f>MAX(H196-I196,0)</x:f>
        <x:v>0</x:v>
      </x:c>
      <x:c r="N196" s="19" t="str">
        <x:v>李倩</x:v>
      </x:c>
      <x:c r="O196" s="19" t="str">
        <x:v>S-按销量/BOM/日型生成</x:v>
      </x:c>
    </x:row>
    <x:row r="197">
      <x:c r="A197" s="19" t="str">
        <x:v>2026-07-09|S03|瘦肉片</x:v>
      </x:c>
      <x:c r="B197" s="34" t="n">
        <x:v>46212.5</x:v>
      </x:c>
      <x:c r="C197" s="19" t="str">
        <x:v>S03</x:v>
      </x:c>
      <x:c r="D197" s="19" t="str">
        <x:v>铂悦城店</x:v>
      </x:c>
      <x:c r="E197" s="19" t="str">
        <x:v>瘦肉片</x:v>
      </x:c>
      <x:c r="F197" s="32" t="n">
        <x:v>14.209151951869359</x:v>
      </x:c>
      <x:c r="G197" s="32" t="n">
        <x:v>13.513439907005532</x:v>
      </x:c>
      <x:c r="H197" s="24" t="n">
        <x:f>G197</x:f>
        <x:v>13.513439907005532</x:v>
      </x:c>
      <x:c r="I197" s="24" t="n">
        <x:f>XLOOKUP(A197,'库存与收货'!$A$5:$A$676,'库存与收货'!$H$5:$H$676,0)+XLOOKUP(A197,'库存与收货'!$A$5:$A$676,'库存与收货'!$J$5:$J$676,0)</x:f>
        <x:v>12.256595169090804</x:v>
      </x:c>
      <x:c r="J197" s="21" t="n">
        <x:f>MAX(0,1-ABS(F197-I197)/MAX(I197,0.01))</x:f>
        <x:v>0.8406933772518983</x:v>
      </x:c>
      <x:c r="K197" s="21" t="n">
        <x:f>MAX(0,1-ABS(H197-I197)/MAX(I197,0.01))</x:f>
        <x:v>0.8974556375098126</x:v>
      </x:c>
      <x:c r="L197" s="24" t="n">
        <x:f>MAX(I197-H197,0)</x:f>
        <x:v>0</x:v>
      </x:c>
      <x:c r="M197" s="24" t="n">
        <x:f>MAX(H197-I197,0)</x:f>
        <x:v>1.2568447379147276</x:v>
      </x:c>
      <x:c r="N197" s="19" t="str">
        <x:v>李倩</x:v>
      </x:c>
      <x:c r="O197" s="19" t="str">
        <x:v>S-按销量/BOM/日型生成</x:v>
      </x:c>
    </x:row>
    <x:row r="198">
      <x:c r="A198" s="19" t="str">
        <x:v>2026-07-09|S03|肥肉片</x:v>
      </x:c>
      <x:c r="B198" s="34" t="n">
        <x:v>46212.5</x:v>
      </x:c>
      <x:c r="C198" s="19" t="str">
        <x:v>S03</x:v>
      </x:c>
      <x:c r="D198" s="19" t="str">
        <x:v>铂悦城店</x:v>
      </x:c>
      <x:c r="E198" s="19" t="str">
        <x:v>肥肉片</x:v>
      </x:c>
      <x:c r="F198" s="32" t="n">
        <x:v>3.4513418215399865</x:v>
      </x:c>
      <x:c r="G198" s="32" t="n">
        <x:v>3.4733030206129523</x:v>
      </x:c>
      <x:c r="H198" s="24" t="n">
        <x:f>G198</x:f>
        <x:v>3.4733030206129523</x:v>
      </x:c>
      <x:c r="I198" s="24" t="n">
        <x:f>XLOOKUP(A198,'库存与收货'!$A$5:$A$676,'库存与收货'!$H$5:$H$676,0)+XLOOKUP(A198,'库存与收货'!$A$5:$A$676,'库存与收货'!$J$5:$J$676,0)</x:f>
        <x:v>3.5062216109593214</x:v>
      </x:c>
      <x:c r="J198" s="21" t="n">
        <x:f>MAX(0,1-ABS(F198-I198)/MAX(I198,0.01))</x:f>
        <x:v>0.984347883417352</x:v>
      </x:c>
      <x:c r="K198" s="21" t="n">
        <x:f>MAX(0,1-ABS(H198-I198)/MAX(I198,0.01))</x:f>
        <x:v>0.9906113777168345</x:v>
      </x:c>
      <x:c r="L198" s="24" t="n">
        <x:f>MAX(I198-H198,0)</x:f>
        <x:v>0.032918590346369125</x:v>
      </x:c>
      <x:c r="M198" s="24" t="n">
        <x:f>MAX(H198-I198,0)</x:f>
        <x:v>0</x:v>
      </x:c>
      <x:c r="N198" s="19" t="str">
        <x:v>李倩</x:v>
      </x:c>
      <x:c r="O198" s="19" t="str">
        <x:v>S-按销量/BOM/日型生成</x:v>
      </x:c>
    </x:row>
    <x:row r="199">
      <x:c r="A199" s="19" t="str">
        <x:v>2026-07-09|S03|牛肉片</x:v>
      </x:c>
      <x:c r="B199" s="34" t="n">
        <x:v>46212.5</x:v>
      </x:c>
      <x:c r="C199" s="19" t="str">
        <x:v>S03</x:v>
      </x:c>
      <x:c r="D199" s="19" t="str">
        <x:v>铂悦城店</x:v>
      </x:c>
      <x:c r="E199" s="19" t="str">
        <x:v>牛肉片</x:v>
      </x:c>
      <x:c r="F199" s="32" t="n">
        <x:v>9.920882801938777</x:v>
      </x:c>
      <x:c r="G199" s="32" t="n">
        <x:v>9.4918423179842</x:v>
      </x:c>
      <x:c r="H199" s="24" t="n">
        <x:f>G199</x:f>
        <x:v>9.4918423179842</x:v>
      </x:c>
      <x:c r="I199" s="24" t="n">
        <x:f>XLOOKUP(A199,'库存与收货'!$A$5:$A$676,'库存与收货'!$H$5:$H$676,0)+XLOOKUP(A199,'库存与收货'!$A$5:$A$676,'库存与收货'!$J$5:$J$676,0)</x:f>
        <x:v>8.566919597620592</x:v>
      </x:c>
      <x:c r="J199" s="21" t="n">
        <x:f>MAX(0,1-ABS(F199-I199)/MAX(I199,0.01))</x:f>
        <x:v>0.8419544868036066</x:v>
      </x:c>
      <x:c r="K199" s="21" t="n">
        <x:f>MAX(0,1-ABS(H199-I199)/MAX(I199,0.01))</x:f>
        <x:v>0.892035554924491</x:v>
      </x:c>
      <x:c r="L199" s="24" t="n">
        <x:f>MAX(I199-H199,0)</x:f>
        <x:v>0</x:v>
      </x:c>
      <x:c r="M199" s="24" t="n">
        <x:f>MAX(H199-I199,0)</x:f>
        <x:v>0.9249227203636092</x:v>
      </x:c>
      <x:c r="N199" s="19" t="str">
        <x:v>李倩</x:v>
      </x:c>
      <x:c r="O199" s="19" t="str">
        <x:v>S-按销量/BOM/日型生成</x:v>
      </x:c>
    </x:row>
    <x:row r="200">
      <x:c r="A200" s="19" t="str">
        <x:v>2026-07-09|S03|螺丝椒</x:v>
      </x:c>
      <x:c r="B200" s="34" t="n">
        <x:v>46212.5</x:v>
      </x:c>
      <x:c r="C200" s="19" t="str">
        <x:v>S03</x:v>
      </x:c>
      <x:c r="D200" s="19" t="str">
        <x:v>铂悦城店</x:v>
      </x:c>
      <x:c r="E200" s="19" t="str">
        <x:v>螺丝椒</x:v>
      </x:c>
      <x:c r="F200" s="32" t="n">
        <x:v>11.361116114659488</x:v>
      </x:c>
      <x:c r="G200" s="32" t="n">
        <x:v>11.932644037692034</x:v>
      </x:c>
      <x:c r="H200" s="24" t="n">
        <x:f>G200</x:f>
        <x:v>11.932644037692034</x:v>
      </x:c>
      <x:c r="I200" s="24" t="n">
        <x:f>XLOOKUP(A200,'库存与收货'!$A$5:$A$676,'库存与收货'!$H$5:$H$676,0)+XLOOKUP(A200,'库存与收货'!$A$5:$A$676,'库存与收货'!$J$5:$J$676,0)</x:f>
        <x:v>13.171957729168227</x:v>
      </x:c>
      <x:c r="J200" s="21" t="n">
        <x:f>MAX(0,1-ABS(F200-I200)/MAX(I200,0.01))</x:f>
        <x:v>0.8625229710160109</x:v>
      </x:c>
      <x:c r="K200" s="21" t="n">
        <x:f>MAX(0,1-ABS(H200-I200)/MAX(I200,0.01))</x:f>
        <x:v>0.9059127187500888</x:v>
      </x:c>
      <x:c r="L200" s="24" t="n">
        <x:f>MAX(I200-H200,0)</x:f>
        <x:v>1.2393136914761929</x:v>
      </x:c>
      <x:c r="M200" s="24" t="n">
        <x:f>MAX(H200-I200,0)</x:f>
        <x:v>0</x:v>
      </x:c>
      <x:c r="N200" s="19" t="str">
        <x:v>李倩</x:v>
      </x:c>
      <x:c r="O200" s="19" t="str">
        <x:v>S-按销量/BOM/日型生成</x:v>
      </x:c>
    </x:row>
    <x:row r="201">
      <x:c r="A201" s="19" t="str">
        <x:v>2026-07-09|S03|青湖南椒圈</x:v>
      </x:c>
      <x:c r="B201" s="34" t="n">
        <x:v>46212.5</x:v>
      </x:c>
      <x:c r="C201" s="19" t="str">
        <x:v>S03</x:v>
      </x:c>
      <x:c r="D201" s="19" t="str">
        <x:v>铂悦城店</x:v>
      </x:c>
      <x:c r="E201" s="19" t="str">
        <x:v>青湖南椒圈</x:v>
      </x:c>
      <x:c r="F201" s="32" t="n">
        <x:v>1.828995269069911</x:v>
      </x:c>
      <x:c r="G201" s="32" t="n">
        <x:v>1.8327489766197367</x:v>
      </x:c>
      <x:c r="H201" s="24" t="n">
        <x:f>G201</x:f>
        <x:v>1.8327489766197367</x:v>
      </x:c>
      <x:c r="I201" s="24" t="n">
        <x:f>XLOOKUP(A201,'库存与收货'!$A$5:$A$676,'库存与收货'!$H$5:$H$676,0)+XLOOKUP(A201,'库存与收货'!$A$5:$A$676,'库存与收货'!$J$5:$J$676,0)</x:f>
        <x:v>1.8411702584315022</x:v>
      </x:c>
      <x:c r="J201" s="21" t="n">
        <x:f>MAX(0,1-ABS(F201-I201)/MAX(I201,0.01))</x:f>
        <x:v>0.9933873636586097</x:v>
      </x:c>
      <x:c r="K201" s="21" t="n">
        <x:f>MAX(0,1-ABS(H201-I201)/MAX(I201,0.01))</x:f>
        <x:v>0.9954261254366885</x:v>
      </x:c>
      <x:c r="L201" s="24" t="n">
        <x:f>MAX(I201-H201,0)</x:f>
        <x:v>0.00842128181176549</x:v>
      </x:c>
      <x:c r="M201" s="24" t="n">
        <x:f>MAX(H201-I201,0)</x:f>
        <x:v>0</x:v>
      </x:c>
      <x:c r="N201" s="19" t="str">
        <x:v>李倩</x:v>
      </x:c>
      <x:c r="O201" s="19" t="str">
        <x:v>S-按销量/BOM/日型生成</x:v>
      </x:c>
    </x:row>
    <x:row r="202">
      <x:c r="A202" s="19" t="str">
        <x:v>2026-07-09|S03|鸡蛋</x:v>
      </x:c>
      <x:c r="B202" s="34" t="n">
        <x:v>46212.5</x:v>
      </x:c>
      <x:c r="C202" s="19" t="str">
        <x:v>S03</x:v>
      </x:c>
      <x:c r="D202" s="19" t="str">
        <x:v>铂悦城店</x:v>
      </x:c>
      <x:c r="E202" s="19" t="str">
        <x:v>鸡蛋</x:v>
      </x:c>
      <x:c r="F202" s="32" t="n">
        <x:v>19.23404538121632</x:v>
      </x:c>
      <x:c r="G202" s="32" t="n">
        <x:v>17.962373836480463</x:v>
      </x:c>
      <x:c r="H202" s="24" t="n">
        <x:f>G202</x:f>
        <x:v>17.962373836480463</x:v>
      </x:c>
      <x:c r="I202" s="24" t="n">
        <x:f>XLOOKUP(A202,'库存与收货'!$A$5:$A$676,'库存与收货'!$H$5:$H$676,0)+XLOOKUP(A202,'库存与收货'!$A$5:$A$676,'库存与收货'!$J$5:$J$676,0)</x:f>
        <x:v>16.361399457967234</x:v>
      </x:c>
      <x:c r="J202" s="21" t="n">
        <x:f>MAX(0,1-ABS(F202-I202)/MAX(I202,0.01))</x:f>
        <x:v>0.8244254147923611</x:v>
      </x:c>
      <x:c r="K202" s="21" t="n">
        <x:f>MAX(0,1-ABS(H202-I202)/MAX(I202,0.01))</x:f>
        <x:v>0.902149300698503</x:v>
      </x:c>
      <x:c r="L202" s="24" t="n">
        <x:f>MAX(I202-H202,0)</x:f>
        <x:v>0</x:v>
      </x:c>
      <x:c r="M202" s="24" t="n">
        <x:f>MAX(H202-I202,0)</x:f>
        <x:v>1.6009743785132287</x:v>
      </x:c>
      <x:c r="N202" s="19" t="str">
        <x:v>李倩</x:v>
      </x:c>
      <x:c r="O202" s="19" t="str">
        <x:v>S-按销量/BOM/日型生成</x:v>
      </x:c>
    </x:row>
    <x:row r="203">
      <x:c r="A203" s="19" t="str">
        <x:v>2026-07-09|S03|鸡肉</x:v>
      </x:c>
      <x:c r="B203" s="34" t="n">
        <x:v>46212.5</x:v>
      </x:c>
      <x:c r="C203" s="19" t="str">
        <x:v>S03</x:v>
      </x:c>
      <x:c r="D203" s="19" t="str">
        <x:v>铂悦城店</x:v>
      </x:c>
      <x:c r="E203" s="19" t="str">
        <x:v>鸡肉</x:v>
      </x:c>
      <x:c r="F203" s="32" t="n">
        <x:v>5.758601228541531</x:v>
      </x:c>
      <x:c r="G203" s="32" t="n">
        <x:v>5.526232196026396</x:v>
      </x:c>
      <x:c r="H203" s="24" t="n">
        <x:f>G203</x:f>
        <x:v>5.526232196026396</x:v>
      </x:c>
      <x:c r="I203" s="24" t="n">
        <x:f>XLOOKUP(A203,'库存与收货'!$A$5:$A$676,'库存与收货'!$H$5:$H$676,0)+XLOOKUP(A203,'库存与收货'!$A$5:$A$676,'库存与收货'!$J$5:$J$676,0)</x:f>
        <x:v>5.094374877819355</x:v>
      </x:c>
      <x:c r="J203" s="21" t="n">
        <x:f>MAX(0,1-ABS(F203-I203)/MAX(I203,0.01))</x:f>
        <x:v>0.869615729770068</x:v>
      </x:c>
      <x:c r="K203" s="21" t="n">
        <x:f>MAX(0,1-ABS(H203-I203)/MAX(I203,0.01))</x:f>
        <x:v>0.9152285945646981</x:v>
      </x:c>
      <x:c r="L203" s="24" t="n">
        <x:f>MAX(I203-H203,0)</x:f>
        <x:v>0</x:v>
      </x:c>
      <x:c r="M203" s="24" t="n">
        <x:f>MAX(H203-I203,0)</x:f>
        <x:v>0.4318573182070411</x:v>
      </x:c>
      <x:c r="N203" s="19" t="str">
        <x:v>李倩</x:v>
      </x:c>
      <x:c r="O203" s="19" t="str">
        <x:v>S-按销量/BOM/日型生成</x:v>
      </x:c>
    </x:row>
    <x:row r="204">
      <x:c r="A204" s="19" t="str">
        <x:v>2026-07-09|S03|鲈鱼</x:v>
      </x:c>
      <x:c r="B204" s="34" t="n">
        <x:v>46212.5</x:v>
      </x:c>
      <x:c r="C204" s="19" t="str">
        <x:v>S03</x:v>
      </x:c>
      <x:c r="D204" s="19" t="str">
        <x:v>铂悦城店</x:v>
      </x:c>
      <x:c r="E204" s="19" t="str">
        <x:v>鲈鱼</x:v>
      </x:c>
      <x:c r="F204" s="32" t="n">
        <x:v>3.419861583785386</x:v>
      </x:c>
      <x:c r="G204" s="32" t="n">
        <x:v>3.4742112748062195</x:v>
      </x:c>
      <x:c r="H204" s="24" t="n">
        <x:f>G204</x:f>
        <x:v>3.4742112748062195</x:v>
      </x:c>
      <x:c r="I204" s="24" t="n">
        <x:f>XLOOKUP(A204,'库存与收货'!$A$5:$A$676,'库存与收货'!$H$5:$H$676,0)+XLOOKUP(A204,'库存与收货'!$A$5:$A$676,'库存与收货'!$J$5:$J$676,0)</x:f>
        <x:v>3.59962968755563</x:v>
      </x:c>
      <x:c r="J204" s="21" t="n">
        <x:f>MAX(0,1-ABS(F204-I204)/MAX(I204,0.01))</x:f>
        <x:v>0.9500592784886387</x:v>
      </x:c>
      <x:c r="K204" s="21" t="n">
        <x:f>MAX(0,1-ABS(H204-I204)/MAX(I204,0.01))</x:f>
        <x:v>0.9651579680034873</x:v>
      </x:c>
      <x:c r="L204" s="24" t="n">
        <x:f>MAX(I204-H204,0)</x:f>
        <x:v>0.12541841274941046</x:v>
      </x:c>
      <x:c r="M204" s="24" t="n">
        <x:f>MAX(H204-I204,0)</x:f>
        <x:v>0</x:v>
      </x:c>
      <x:c r="N204" s="19" t="str">
        <x:v>李倩</x:v>
      </x:c>
      <x:c r="O204" s="19" t="str">
        <x:v>S-按销量/BOM/日型生成</x:v>
      </x:c>
    </x:row>
    <x:row r="205">
      <x:c r="A205" s="19" t="str">
        <x:v>2026-07-09|S03|酸包菜</x:v>
      </x:c>
      <x:c r="B205" s="34" t="n">
        <x:v>46212.5</x:v>
      </x:c>
      <x:c r="C205" s="19" t="str">
        <x:v>S03</x:v>
      </x:c>
      <x:c r="D205" s="19" t="str">
        <x:v>铂悦城店</x:v>
      </x:c>
      <x:c r="E205" s="19" t="str">
        <x:v>酸包菜</x:v>
      </x:c>
      <x:c r="F205" s="32" t="n">
        <x:v>8.340871436129538</x:v>
      </x:c>
      <x:c r="G205" s="32" t="n">
        <x:v>8.137761619980175</x:v>
      </x:c>
      <x:c r="H205" s="24" t="n">
        <x:f>G205</x:f>
        <x:v>8.137761619980175</x:v>
      </x:c>
      <x:c r="I205" s="24" t="n">
        <x:f>XLOOKUP(A205,'库存与收货'!$A$5:$A$676,'库存与收货'!$H$5:$H$676,0)+XLOOKUP(A205,'库存与收货'!$A$5:$A$676,'库存与收货'!$J$5:$J$676,0)</x:f>
        <x:v>7.538741956627635</x:v>
      </x:c>
      <x:c r="J205" s="21" t="n">
        <x:f>MAX(0,1-ABS(F205-I205)/MAX(I205,0.01))</x:f>
        <x:v>0.8935990269839763</x:v>
      </x:c>
      <x:c r="K205" s="21" t="n">
        <x:f>MAX(0,1-ABS(H205-I205)/MAX(I205,0.01))</x:f>
        <x:v>0.9205411636584913</x:v>
      </x:c>
      <x:c r="L205" s="24" t="n">
        <x:f>MAX(I205-H205,0)</x:f>
        <x:v>0</x:v>
      </x:c>
      <x:c r="M205" s="24" t="n">
        <x:f>MAX(H205-I205,0)</x:f>
        <x:v>0.5990196633525402</x:v>
      </x:c>
      <x:c r="N205" s="19" t="str">
        <x:v>李倩</x:v>
      </x:c>
      <x:c r="O205" s="19" t="str">
        <x:v>S-按销量/BOM/日型生成</x:v>
      </x:c>
    </x:row>
    <x:row r="206">
      <x:c r="A206" s="19" t="str">
        <x:v>2026-07-09|S03|粉皮</x:v>
      </x:c>
      <x:c r="B206" s="34" t="n">
        <x:v>46212.5</x:v>
      </x:c>
      <x:c r="C206" s="19" t="str">
        <x:v>S03</x:v>
      </x:c>
      <x:c r="D206" s="19" t="str">
        <x:v>铂悦城店</x:v>
      </x:c>
      <x:c r="E206" s="19" t="str">
        <x:v>粉皮</x:v>
      </x:c>
      <x:c r="F206" s="32" t="n">
        <x:v>6.1653194672824</x:v>
      </x:c>
      <x:c r="G206" s="32" t="n">
        <x:v>6.000082844126751</x:v>
      </x:c>
      <x:c r="H206" s="24" t="n">
        <x:f>G206</x:f>
        <x:v>6.000082844126751</x:v>
      </x:c>
      <x:c r="I206" s="24" t="n">
        <x:f>XLOOKUP(A206,'库存与收货'!$A$5:$A$676,'库存与收货'!$H$5:$H$676,0)+XLOOKUP(A206,'库存与收货'!$A$5:$A$676,'库存与收货'!$J$5:$J$676,0)</x:f>
        <x:v>5.743007555360209</x:v>
      </x:c>
      <x:c r="J206" s="21" t="n">
        <x:f>MAX(0,1-ABS(F206-I206)/MAX(I206,0.01))</x:f>
        <x:v>0.9264650258856045</x:v>
      </x:c>
      <x:c r="K206" s="21" t="n">
        <x:f>MAX(0,1-ABS(H206-I206)/MAX(I206,0.01))</x:f>
        <x:v>0.9552368186375444</x:v>
      </x:c>
      <x:c r="L206" s="24" t="n">
        <x:f>MAX(I206-H206,0)</x:f>
        <x:v>0</x:v>
      </x:c>
      <x:c r="M206" s="24" t="n">
        <x:f>MAX(H206-I206,0)</x:f>
        <x:v>0.25707528876654173</x:v>
      </x:c>
      <x:c r="N206" s="19" t="str">
        <x:v>李倩</x:v>
      </x:c>
      <x:c r="O206" s="19" t="str">
        <x:v>S-按销量/BOM/日型生成</x:v>
      </x:c>
    </x:row>
    <x:row r="207">
      <x:c r="A207" s="19" t="str">
        <x:v>2026-07-09|S03|鸡杂</x:v>
      </x:c>
      <x:c r="B207" s="34" t="n">
        <x:v>46212.5</x:v>
      </x:c>
      <x:c r="C207" s="19" t="str">
        <x:v>S03</x:v>
      </x:c>
      <x:c r="D207" s="19" t="str">
        <x:v>铂悦城店</x:v>
      </x:c>
      <x:c r="E207" s="19" t="str">
        <x:v>鸡杂</x:v>
      </x:c>
      <x:c r="F207" s="32" t="n">
        <x:v>3.843188772532587</x:v>
      </x:c>
      <x:c r="G207" s="32" t="n">
        <x:v>3.7697969548201695</x:v>
      </x:c>
      <x:c r="H207" s="24" t="n">
        <x:f>G207</x:f>
        <x:v>3.7697969548201695</x:v>
      </x:c>
      <x:c r="I207" s="24" t="n">
        <x:f>XLOOKUP(A207,'库存与收货'!$A$5:$A$676,'库存与收货'!$H$5:$H$676,0)+XLOOKUP(A207,'库存与收货'!$A$5:$A$676,'库存与收货'!$J$5:$J$676,0)</x:f>
        <x:v>3.554518016661638</x:v>
      </x:c>
      <x:c r="J207" s="21" t="n">
        <x:f>MAX(0,1-ABS(F207-I207)/MAX(I207,0.01))</x:f>
        <x:v>0.918787651513421</x:v>
      </x:c>
      <x:c r="K207" s="21" t="n">
        <x:f>MAX(0,1-ABS(H207-I207)/MAX(I207,0.01))</x:f>
        <x:v>0.9394351253392383</x:v>
      </x:c>
      <x:c r="L207" s="24" t="n">
        <x:f>MAX(I207-H207,0)</x:f>
        <x:v>0</x:v>
      </x:c>
      <x:c r="M207" s="24" t="n">
        <x:f>MAX(H207-I207,0)</x:f>
        <x:v>0.21527893815853139</x:v>
      </x:c>
      <x:c r="N207" s="19" t="str">
        <x:v>李倩</x:v>
      </x:c>
      <x:c r="O207" s="19" t="str">
        <x:v>S-按销量/BOM/日型生成</x:v>
      </x:c>
    </x:row>
    <x:row r="208">
      <x:c r="A208" s="19" t="str">
        <x:v>2026-07-09|S03|豆腐</x:v>
      </x:c>
      <x:c r="B208" s="34" t="n">
        <x:v>46212.5</x:v>
      </x:c>
      <x:c r="C208" s="19" t="str">
        <x:v>S03</x:v>
      </x:c>
      <x:c r="D208" s="19" t="str">
        <x:v>铂悦城店</x:v>
      </x:c>
      <x:c r="E208" s="19" t="str">
        <x:v>豆腐</x:v>
      </x:c>
      <x:c r="F208" s="32" t="n">
        <x:v>18.879310461874418</x:v>
      </x:c>
      <x:c r="G208" s="32" t="n">
        <x:v>19.8614240798342</x:v>
      </x:c>
      <x:c r="H208" s="24" t="n">
        <x:f>G208</x:f>
        <x:v>19.8614240798342</x:v>
      </x:c>
      <x:c r="I208" s="24" t="n">
        <x:f>XLOOKUP(A208,'库存与收货'!$A$5:$A$676,'库存与收货'!$H$5:$H$676,0)+XLOOKUP(A208,'库存与收货'!$A$5:$A$676,'库存与收货'!$J$5:$J$676,0)</x:f>
        <x:v>22.402670884726724</x:v>
      </x:c>
      <x:c r="J208" s="21" t="n">
        <x:f>MAX(0,1-ABS(F208-I208)/MAX(I208,0.01))</x:f>
        <x:v>0.8427258767054245</x:v>
      </x:c>
      <x:c r="K208" s="21" t="n">
        <x:f>MAX(0,1-ABS(H208-I208)/MAX(I208,0.01))</x:f>
        <x:v>0.886565007450739</x:v>
      </x:c>
      <x:c r="L208" s="24" t="n">
        <x:f>MAX(I208-H208,0)</x:f>
        <x:v>2.5412468048925234</x:v>
      </x:c>
      <x:c r="M208" s="24" t="n">
        <x:f>MAX(H208-I208,0)</x:f>
        <x:v>0</x:v>
      </x:c>
      <x:c r="N208" s="19" t="str">
        <x:v>李倩</x:v>
      </x:c>
      <x:c r="O208" s="19" t="str">
        <x:v>S-按销量/BOM/日型生成</x:v>
      </x:c>
    </x:row>
    <x:row r="209">
      <x:c r="A209" s="19" t="str">
        <x:v>2026-07-10|S03|瘦肉片</x:v>
      </x:c>
      <x:c r="B209" s="34" t="n">
        <x:v>46213.5</x:v>
      </x:c>
      <x:c r="C209" s="19" t="str">
        <x:v>S03</x:v>
      </x:c>
      <x:c r="D209" s="19" t="str">
        <x:v>铂悦城店</x:v>
      </x:c>
      <x:c r="E209" s="19" t="str">
        <x:v>瘦肉片</x:v>
      </x:c>
      <x:c r="F209" s="32" t="n">
        <x:v>13.751631796475987</x:v>
      </x:c>
      <x:c r="G209" s="32" t="n">
        <x:v>13.66131896067527</x:v>
      </x:c>
      <x:c r="H209" s="24" t="n">
        <x:f>G209</x:f>
        <x:v>13.66131896067527</x:v>
      </x:c>
      <x:c r="I209" s="24" t="n">
        <x:f>XLOOKUP(A209,'库存与收货'!$A$5:$A$676,'库存与收货'!$H$5:$H$676,0)+XLOOKUP(A209,'库存与收货'!$A$5:$A$676,'库存与收货'!$J$5:$J$676,0)</x:f>
        <x:v>13.450423142581519</x:v>
      </x:c>
      <x:c r="J209" s="21" t="n">
        <x:f>MAX(0,1-ABS(F209-I209)/MAX(I209,0.01))</x:f>
        <x:v>0.97760600906741</x:v>
      </x:c>
      <x:c r="K209" s="21" t="n">
        <x:f>MAX(0,1-ABS(H209-I209)/MAX(I209,0.01))</x:f>
        <x:v>0.9843205068079907</x:v>
      </x:c>
      <x:c r="L209" s="24" t="n">
        <x:f>MAX(I209-H209,0)</x:f>
        <x:v>0</x:v>
      </x:c>
      <x:c r="M209" s="24" t="n">
        <x:f>MAX(H209-I209,0)</x:f>
        <x:v>0.21089581809375169</x:v>
      </x:c>
      <x:c r="N209" s="19" t="str">
        <x:v>李倩</x:v>
      </x:c>
      <x:c r="O209" s="19" t="str">
        <x:v>S-按销量/BOM/日型生成</x:v>
      </x:c>
    </x:row>
    <x:row r="210">
      <x:c r="A210" s="19" t="str">
        <x:v>2026-07-10|S03|肥肉片</x:v>
      </x:c>
      <x:c r="B210" s="34" t="n">
        <x:v>46213.5</x:v>
      </x:c>
      <x:c r="C210" s="19" t="str">
        <x:v>S03</x:v>
      </x:c>
      <x:c r="D210" s="19" t="str">
        <x:v>铂悦城店</x:v>
      </x:c>
      <x:c r="E210" s="19" t="str">
        <x:v>肥肉片</x:v>
      </x:c>
      <x:c r="F210" s="32" t="n">
        <x:v>3.3615597584291135</x:v>
      </x:c>
      <x:c r="G210" s="32" t="n">
        <x:v>3.5919249812929746</x:v>
      </x:c>
      <x:c r="H210" s="24" t="n">
        <x:f>G210</x:f>
        <x:v>3.5919249812929746</x:v>
      </x:c>
      <x:c r="I210" s="24" t="n">
        <x:f>XLOOKUP(A210,'库存与收货'!$A$5:$A$676,'库存与收货'!$H$5:$H$676,0)+XLOOKUP(A210,'库存与收货'!$A$5:$A$676,'库存与收货'!$J$5:$J$676,0)</x:f>
        <x:v>3.878545987013156</x:v>
      </x:c>
      <x:c r="J210" s="21" t="n">
        <x:f>MAX(0,1-ABS(F210-I210)/MAX(I210,0.01))</x:f>
        <x:v>0.8667061753772912</x:v>
      </x:c>
      <x:c r="K210" s="21" t="n">
        <x:f>MAX(0,1-ABS(H210-I210)/MAX(I210,0.01))</x:f>
        <x:v>0.9261009134144864</x:v>
      </x:c>
      <x:c r="L210" s="24" t="n">
        <x:f>MAX(I210-H210,0)</x:f>
        <x:v>0.28662100572018145</x:v>
      </x:c>
      <x:c r="M210" s="24" t="n">
        <x:f>MAX(H210-I210,0)</x:f>
        <x:v>0</x:v>
      </x:c>
      <x:c r="N210" s="19" t="str">
        <x:v>李倩</x:v>
      </x:c>
      <x:c r="O210" s="19" t="str">
        <x:v>S-按销量/BOM/日型生成</x:v>
      </x:c>
    </x:row>
    <x:row r="211">
      <x:c r="A211" s="19" t="str">
        <x:v>2026-07-10|S03|牛肉片</x:v>
      </x:c>
      <x:c r="B211" s="34" t="n">
        <x:v>46213.5</x:v>
      </x:c>
      <x:c r="C211" s="19" t="str">
        <x:v>S03</x:v>
      </x:c>
      <x:c r="D211" s="19" t="str">
        <x:v>铂悦城店</x:v>
      </x:c>
      <x:c r="E211" s="19" t="str">
        <x:v>牛肉片</x:v>
      </x:c>
      <x:c r="F211" s="32" t="n">
        <x:v>7.2692511657082814</x:v>
      </x:c>
      <x:c r="G211" s="32" t="n">
        <x:v>7.692909879501713</x:v>
      </x:c>
      <x:c r="H211" s="24" t="n">
        <x:f>G211</x:f>
        <x:v>7.692909879501713</x:v>
      </x:c>
      <x:c r="I211" s="24" t="n">
        <x:f>XLOOKUP(A211,'库存与收货'!$A$5:$A$676,'库存与收货'!$H$5:$H$676,0)+XLOOKUP(A211,'库存与收货'!$A$5:$A$676,'库存与收货'!$J$5:$J$676,0)</x:f>
        <x:v>8.303390773549534</x:v>
      </x:c>
      <x:c r="J211" s="21" t="n">
        <x:f>MAX(0,1-ABS(F211-I211)/MAX(I211,0.01))</x:f>
        <x:v>0.8754557462072595</x:v>
      </x:c>
      <x:c r="K211" s="21" t="n">
        <x:f>MAX(0,1-ABS(H211-I211)/MAX(I211,0.01))</x:f>
        <x:v>0.9264781207223789</x:v>
      </x:c>
      <x:c r="L211" s="24" t="n">
        <x:f>MAX(I211-H211,0)</x:f>
        <x:v>0.6104808940478215</x:v>
      </x:c>
      <x:c r="M211" s="24" t="n">
        <x:f>MAX(H211-I211,0)</x:f>
        <x:v>0</x:v>
      </x:c>
      <x:c r="N211" s="19" t="str">
        <x:v>李倩</x:v>
      </x:c>
      <x:c r="O211" s="19" t="str">
        <x:v>S-按销量/BOM/日型生成</x:v>
      </x:c>
    </x:row>
    <x:row r="212">
      <x:c r="A212" s="19" t="str">
        <x:v>2026-07-10|S03|螺丝椒</x:v>
      </x:c>
      <x:c r="B212" s="34" t="n">
        <x:v>46213.5</x:v>
      </x:c>
      <x:c r="C212" s="19" t="str">
        <x:v>S03</x:v>
      </x:c>
      <x:c r="D212" s="19" t="str">
        <x:v>铂悦城店</x:v>
      </x:c>
      <x:c r="E212" s="19" t="str">
        <x:v>螺丝椒</x:v>
      </x:c>
      <x:c r="F212" s="32" t="n">
        <x:v>13.478250032546745</x:v>
      </x:c>
      <x:c r="G212" s="32" t="n">
        <x:v>13.560142153638678</x:v>
      </x:c>
      <x:c r="H212" s="24" t="n">
        <x:f>G212</x:f>
        <x:v>13.560142153638678</x:v>
      </x:c>
      <x:c r="I212" s="24" t="n">
        <x:f>XLOOKUP(A212,'库存与收货'!$A$5:$A$676,'库存与收货'!$H$5:$H$676,0)+XLOOKUP(A212,'库存与收货'!$A$5:$A$676,'库存与收货'!$J$5:$J$676,0)</x:f>
        <x:v>13.787152627904934</x:v>
      </x:c>
      <x:c r="J212" s="21" t="n">
        <x:f>MAX(0,1-ABS(F212-I212)/MAX(I212,0.01))</x:f>
        <x:v>0.9775948955019924</x:v>
      </x:c>
      <x:c r="K212" s="21" t="n">
        <x:f>MAX(0,1-ABS(H212-I212)/MAX(I212,0.01))</x:f>
        <x:v>0.9835346368903763</x:v>
      </x:c>
      <x:c r="L212" s="24" t="n">
        <x:f>MAX(I212-H212,0)</x:f>
        <x:v>0.22701047426625642</x:v>
      </x:c>
      <x:c r="M212" s="24" t="n">
        <x:f>MAX(H212-I212,0)</x:f>
        <x:v>0</x:v>
      </x:c>
      <x:c r="N212" s="19" t="str">
        <x:v>李倩</x:v>
      </x:c>
      <x:c r="O212" s="19" t="str">
        <x:v>S-按销量/BOM/日型生成</x:v>
      </x:c>
    </x:row>
    <x:row r="213">
      <x:c r="A213" s="19" t="str">
        <x:v>2026-07-10|S03|青湖南椒圈</x:v>
      </x:c>
      <x:c r="B213" s="34" t="n">
        <x:v>46213.5</x:v>
      </x:c>
      <x:c r="C213" s="19" t="str">
        <x:v>S03</x:v>
      </x:c>
      <x:c r="D213" s="19" t="str">
        <x:v>铂悦城店</x:v>
      </x:c>
      <x:c r="E213" s="19" t="str">
        <x:v>青湖南椒圈</x:v>
      </x:c>
      <x:c r="F213" s="32" t="n">
        <x:v>1.8537269302262316</x:v>
      </x:c>
      <x:c r="G213" s="32" t="n">
        <x:v>1.9395191282546844</x:v>
      </x:c>
      <x:c r="H213" s="24" t="n">
        <x:f>G213</x:f>
        <x:v>1.9395191282546844</x:v>
      </x:c>
      <x:c r="I213" s="24" t="n">
        <x:f>XLOOKUP(A213,'库存与收货'!$A$5:$A$676,'库存与收货'!$H$5:$H$676,0)+XLOOKUP(A213,'库存与收货'!$A$5:$A$676,'库存与收货'!$J$5:$J$676,0)</x:f>
        <x:v>2.1615529941026015</x:v>
      </x:c>
      <x:c r="J213" s="21" t="n">
        <x:f>MAX(0,1-ABS(F213-I213)/MAX(I213,0.01))</x:f>
        <x:v>0.8575903229223543</x:v>
      </x:c>
      <x:c r="K213" s="21" t="n">
        <x:f>MAX(0,1-ABS(H213-I213)/MAX(I213,0.01))</x:f>
        <x:v>0.8972803968009595</x:v>
      </x:c>
      <x:c r="L213" s="24" t="n">
        <x:f>MAX(I213-H213,0)</x:f>
        <x:v>0.22203386584791707</x:v>
      </x:c>
      <x:c r="M213" s="24" t="n">
        <x:f>MAX(H213-I213,0)</x:f>
        <x:v>0</x:v>
      </x:c>
      <x:c r="N213" s="19" t="str">
        <x:v>李倩</x:v>
      </x:c>
      <x:c r="O213" s="19" t="str">
        <x:v>S-按销量/BOM/日型生成</x:v>
      </x:c>
    </x:row>
    <x:row r="214">
      <x:c r="A214" s="19" t="str">
        <x:v>2026-07-10|S03|鸡蛋</x:v>
      </x:c>
      <x:c r="B214" s="34" t="n">
        <x:v>46213.5</x:v>
      </x:c>
      <x:c r="C214" s="19" t="str">
        <x:v>S03</x:v>
      </x:c>
      <x:c r="D214" s="19" t="str">
        <x:v>铂悦城店</x:v>
      </x:c>
      <x:c r="E214" s="19" t="str">
        <x:v>鸡蛋</x:v>
      </x:c>
      <x:c r="F214" s="32" t="n">
        <x:v>19.476989395355407</x:v>
      </x:c>
      <x:c r="G214" s="32" t="n">
        <x:v>18.475173391073852</x:v>
      </x:c>
      <x:c r="H214" s="24" t="n">
        <x:f>G214</x:f>
        <x:v>18.475173391073852</x:v>
      </x:c>
      <x:c r="I214" s="24" t="n">
        <x:f>XLOOKUP(A214,'库存与收货'!$A$5:$A$676,'库存与收货'!$H$5:$H$676,0)+XLOOKUP(A214,'库存与收货'!$A$5:$A$676,'库存与收货'!$J$5:$J$676,0)</x:f>
        <x:v>17.229502399277585</x:v>
      </x:c>
      <x:c r="J214" s="21" t="n">
        <x:f>MAX(0,1-ABS(F214-I214)/MAX(I214,0.01))</x:f>
        <x:v>0.8695558963924543</x:v>
      </x:c>
      <x:c r="K214" s="21" t="n">
        <x:f>MAX(0,1-ABS(H214-I214)/MAX(I214,0.01))</x:f>
        <x:v>0.9277012787178057</x:v>
      </x:c>
      <x:c r="L214" s="24" t="n">
        <x:f>MAX(I214-H214,0)</x:f>
        <x:v>0</x:v>
      </x:c>
      <x:c r="M214" s="24" t="n">
        <x:f>MAX(H214-I214,0)</x:f>
        <x:v>1.245670991796267</x:v>
      </x:c>
      <x:c r="N214" s="19" t="str">
        <x:v>李倩</x:v>
      </x:c>
      <x:c r="O214" s="19" t="str">
        <x:v>S-按销量/BOM/日型生成</x:v>
      </x:c>
    </x:row>
    <x:row r="215">
      <x:c r="A215" s="19" t="str">
        <x:v>2026-07-10|S03|鸡肉</x:v>
      </x:c>
      <x:c r="B215" s="34" t="n">
        <x:v>46213.5</x:v>
      </x:c>
      <x:c r="C215" s="19" t="str">
        <x:v>S03</x:v>
      </x:c>
      <x:c r="D215" s="19" t="str">
        <x:v>铂悦城店</x:v>
      </x:c>
      <x:c r="E215" s="19" t="str">
        <x:v>鸡肉</x:v>
      </x:c>
      <x:c r="F215" s="32" t="n">
        <x:v>4.70746383265446</x:v>
      </x:c>
      <x:c r="G215" s="32" t="n">
        <x:v>5.0284609754036325</x:v>
      </x:c>
      <x:c r="H215" s="24" t="n">
        <x:f>G215</x:f>
        <x:v>5.0284609754036325</x:v>
      </x:c>
      <x:c r="I215" s="24" t="n">
        <x:f>XLOOKUP(A215,'库存与收货'!$A$5:$A$676,'库存与收货'!$H$5:$H$676,0)+XLOOKUP(A215,'库存与收货'!$A$5:$A$676,'库存与收货'!$J$5:$J$676,0)</x:f>
        <x:v>5.568888285191238</x:v>
      </x:c>
      <x:c r="J215" s="21" t="n">
        <x:f>MAX(0,1-ABS(F215-I215)/MAX(I215,0.01))</x:f>
        <x:v>0.8453148261516622</x:v>
      </x:c>
      <x:c r="K215" s="21" t="n">
        <x:f>MAX(0,1-ABS(H215-I215)/MAX(I215,0.01))</x:f>
        <x:v>0.9029559793424646</x:v>
      </x:c>
      <x:c r="L215" s="24" t="n">
        <x:f>MAX(I215-H215,0)</x:f>
        <x:v>0.5404273097876056</x:v>
      </x:c>
      <x:c r="M215" s="24" t="n">
        <x:f>MAX(H215-I215,0)</x:f>
        <x:v>0</x:v>
      </x:c>
      <x:c r="N215" s="19" t="str">
        <x:v>李倩</x:v>
      </x:c>
      <x:c r="O215" s="19" t="str">
        <x:v>S-按销量/BOM/日型生成</x:v>
      </x:c>
    </x:row>
    <x:row r="216">
      <x:c r="A216" s="19" t="str">
        <x:v>2026-07-10|S03|鲈鱼</x:v>
      </x:c>
      <x:c r="B216" s="34" t="n">
        <x:v>46213.5</x:v>
      </x:c>
      <x:c r="C216" s="19" t="str">
        <x:v>S03</x:v>
      </x:c>
      <x:c r="D216" s="19" t="str">
        <x:v>铂悦城店</x:v>
      </x:c>
      <x:c r="E216" s="19" t="str">
        <x:v>鲈鱼</x:v>
      </x:c>
      <x:c r="F216" s="32" t="n">
        <x:v>3.860723057651541</x:v>
      </x:c>
      <x:c r="G216" s="32" t="n">
        <x:v>3.7541483501241504</x:v>
      </x:c>
      <x:c r="H216" s="24" t="n">
        <x:f>G216</x:f>
        <x:v>3.7541483501241504</x:v>
      </x:c>
      <x:c r="I216" s="24" t="n">
        <x:f>XLOOKUP(A216,'库存与收货'!$A$5:$A$676,'库存与收货'!$H$5:$H$676,0)+XLOOKUP(A216,'库存与收货'!$A$5:$A$676,'库存与收货'!$J$5:$J$676,0)</x:f>
        <x:v>3.6196298857352533</x:v>
      </x:c>
      <x:c r="J216" s="21" t="n">
        <x:f>MAX(0,1-ABS(F216-I216)/MAX(I216,0.01))</x:f>
        <x:v>0.9333928662523145</x:v>
      </x:c>
      <x:c r="K216" s="21" t="n">
        <x:f>MAX(0,1-ABS(H216-I216)/MAX(I216,0.01))</x:f>
        <x:v>0.9628364035452833</x:v>
      </x:c>
      <x:c r="L216" s="24" t="n">
        <x:f>MAX(I216-H216,0)</x:f>
        <x:v>0</x:v>
      </x:c>
      <x:c r="M216" s="24" t="n">
        <x:f>MAX(H216-I216,0)</x:f>
        <x:v>0.13451846438889703</x:v>
      </x:c>
      <x:c r="N216" s="19" t="str">
        <x:v>李倩</x:v>
      </x:c>
      <x:c r="O216" s="19" t="str">
        <x:v>S-按销量/BOM/日型生成</x:v>
      </x:c>
    </x:row>
    <x:row r="217">
      <x:c r="A217" s="19" t="str">
        <x:v>2026-07-10|S03|酸包菜</x:v>
      </x:c>
      <x:c r="B217" s="34" t="n">
        <x:v>46213.5</x:v>
      </x:c>
      <x:c r="C217" s="19" t="str">
        <x:v>S03</x:v>
      </x:c>
      <x:c r="D217" s="19" t="str">
        <x:v>铂悦城店</x:v>
      </x:c>
      <x:c r="E217" s="19" t="str">
        <x:v>酸包菜</x:v>
      </x:c>
      <x:c r="F217" s="32" t="n">
        <x:v>6.517143839133997</x:v>
      </x:c>
      <x:c r="G217" s="32" t="n">
        <x:v>6.872585802566349</x:v>
      </x:c>
      <x:c r="H217" s="24" t="n">
        <x:f>G217</x:f>
        <x:v>6.872585802566349</x:v>
      </x:c>
      <x:c r="I217" s="24" t="n">
        <x:f>XLOOKUP(A217,'库存与收货'!$A$5:$A$676,'库存与收货'!$H$5:$H$676,0)+XLOOKUP(A217,'库存与收货'!$A$5:$A$676,'库存与收货'!$J$5:$J$676,0)</x:f>
        <x:v>7.724408708937561</x:v>
      </x:c>
      <x:c r="J217" s="21" t="n">
        <x:f>MAX(0,1-ABS(F217-I217)/MAX(I217,0.01))</x:f>
        <x:v>0.8437077949530697</x:v>
      </x:c>
      <x:c r="K217" s="21" t="n">
        <x:f>MAX(0,1-ABS(H217-I217)/MAX(I217,0.01))</x:f>
        <x:v>0.8897232217418006</x:v>
      </x:c>
      <x:c r="L217" s="24" t="n">
        <x:f>MAX(I217-H217,0)</x:f>
        <x:v>0.8518229063712113</x:v>
      </x:c>
      <x:c r="M217" s="24" t="n">
        <x:f>MAX(H217-I217,0)</x:f>
        <x:v>0</x:v>
      </x:c>
      <x:c r="N217" s="19" t="str">
        <x:v>李倩</x:v>
      </x:c>
      <x:c r="O217" s="19" t="str">
        <x:v>S-按销量/BOM/日型生成</x:v>
      </x:c>
    </x:row>
    <x:row r="218">
      <x:c r="A218" s="19" t="str">
        <x:v>2026-07-10|S03|粉皮</x:v>
      </x:c>
      <x:c r="B218" s="34" t="n">
        <x:v>46213.5</x:v>
      </x:c>
      <x:c r="C218" s="19" t="str">
        <x:v>S03</x:v>
      </x:c>
      <x:c r="D218" s="19" t="str">
        <x:v>铂悦城店</x:v>
      </x:c>
      <x:c r="E218" s="19" t="str">
        <x:v>粉皮</x:v>
      </x:c>
      <x:c r="F218" s="32" t="n">
        <x:v>6.84032402964476</x:v>
      </x:c>
      <x:c r="G218" s="32" t="n">
        <x:v>6.556347276845884</x:v>
      </x:c>
      <x:c r="H218" s="24" t="n">
        <x:f>G218</x:f>
        <x:v>6.556347276845884</x:v>
      </x:c>
      <x:c r="I218" s="24" t="n">
        <x:f>XLOOKUP(A218,'库存与收货'!$A$5:$A$676,'库存与收货'!$H$5:$H$676,0)+XLOOKUP(A218,'库存与收货'!$A$5:$A$676,'库存与收货'!$J$5:$J$676,0)</x:f>
        <x:v>5.859191872234035</x:v>
      </x:c>
      <x:c r="J218" s="21" t="n">
        <x:f>MAX(0,1-ABS(F218-I218)/MAX(I218,0.01))</x:f>
        <x:v>0.8325482116296301</x:v>
      </x:c>
      <x:c r="K218" s="21" t="n">
        <x:f>MAX(0,1-ABS(H218-I218)/MAX(I218,0.01))</x:f>
        <x:v>0.8810150922150921</x:v>
      </x:c>
      <x:c r="L218" s="24" t="n">
        <x:f>MAX(I218-H218,0)</x:f>
        <x:v>0</x:v>
      </x:c>
      <x:c r="M218" s="24" t="n">
        <x:f>MAX(H218-I218,0)</x:f>
        <x:v>0.6971554046118484</x:v>
      </x:c>
      <x:c r="N218" s="19" t="str">
        <x:v>李倩</x:v>
      </x:c>
      <x:c r="O218" s="19" t="str">
        <x:v>S-按销量/BOM/日型生成</x:v>
      </x:c>
    </x:row>
    <x:row r="219">
      <x:c r="A219" s="19" t="str">
        <x:v>2026-07-10|S03|鸡杂</x:v>
      </x:c>
      <x:c r="B219" s="34" t="n">
        <x:v>46213.5</x:v>
      </x:c>
      <x:c r="C219" s="19" t="str">
        <x:v>S03</x:v>
      </x:c>
      <x:c r="D219" s="19" t="str">
        <x:v>铂悦城店</x:v>
      </x:c>
      <x:c r="E219" s="19" t="str">
        <x:v>鸡杂</x:v>
      </x:c>
      <x:c r="F219" s="32" t="n">
        <x:v>3.484008548130793</x:v>
      </x:c>
      <x:c r="G219" s="32" t="n">
        <x:v>3.609156729242256</x:v>
      </x:c>
      <x:c r="H219" s="24" t="n">
        <x:f>G219</x:f>
        <x:v>3.609156729242256</x:v>
      </x:c>
      <x:c r="I219" s="24" t="n">
        <x:f>XLOOKUP(A219,'库存与收货'!$A$5:$A$676,'库存与收货'!$H$5:$H$676,0)+XLOOKUP(A219,'库存与收货'!$A$5:$A$676,'库存与收货'!$J$5:$J$676,0)</x:f>
        <x:v>3.892056942062815</x:v>
      </x:c>
      <x:c r="J219" s="21" t="n">
        <x:f>MAX(0,1-ABS(F219-I219)/MAX(I219,0.01))</x:f>
        <x:v>0.895158678301414</x:v>
      </x:c>
      <x:c r="K219" s="21" t="n">
        <x:f>MAX(0,1-ABS(H219-I219)/MAX(I219,0.01))</x:f>
        <x:v>0.9273134445277103</x:v>
      </x:c>
      <x:c r="L219" s="24" t="n">
        <x:f>MAX(I219-H219,0)</x:f>
        <x:v>0.2829002128205591</x:v>
      </x:c>
      <x:c r="M219" s="24" t="n">
        <x:f>MAX(H219-I219,0)</x:f>
        <x:v>0</x:v>
      </x:c>
      <x:c r="N219" s="19" t="str">
        <x:v>李倩</x:v>
      </x:c>
      <x:c r="O219" s="19" t="str">
        <x:v>S-按销量/BOM/日型生成</x:v>
      </x:c>
    </x:row>
    <x:row r="220">
      <x:c r="A220" s="19" t="str">
        <x:v>2026-07-10|S03|豆腐</x:v>
      </x:c>
      <x:c r="B220" s="34" t="n">
        <x:v>46213.5</x:v>
      </x:c>
      <x:c r="C220" s="19" t="str">
        <x:v>S03</x:v>
      </x:c>
      <x:c r="D220" s="19" t="str">
        <x:v>铂悦城店</x:v>
      </x:c>
      <x:c r="E220" s="19" t="str">
        <x:v>豆腐</x:v>
      </x:c>
      <x:c r="F220" s="32" t="n">
        <x:v>22.79169999873229</x:v>
      </x:c>
      <x:c r="G220" s="32" t="n">
        <x:v>23.42542827373794</x:v>
      </x:c>
      <x:c r="H220" s="24" t="n">
        <x:f>G220</x:f>
        <x:v>23.42542827373794</x:v>
      </x:c>
      <x:c r="I220" s="24" t="n">
        <x:f>XLOOKUP(A220,'库存与收货'!$A$5:$A$676,'库存与收货'!$H$5:$H$676,0)+XLOOKUP(A220,'库存与收货'!$A$5:$A$676,'库存与收货'!$J$5:$J$676,0)</x:f>
        <x:v>24.23623316415731</x:v>
      </x:c>
      <x:c r="J220" s="21" t="n">
        <x:f>MAX(0,1-ABS(F220-I220)/MAX(I220,0.01))</x:f>
        <x:v>0.9403977855947796</x:v>
      </x:c>
      <x:c r="K220" s="21" t="n">
        <x:f>MAX(0,1-ABS(H220-I220)/MAX(I220,0.01))</x:f>
        <x:v>0.9665457546588362</x:v>
      </x:c>
      <x:c r="L220" s="24" t="n">
        <x:f>MAX(I220-H220,0)</x:f>
        <x:v>0.8108048904193694</x:v>
      </x:c>
      <x:c r="M220" s="24" t="n">
        <x:f>MAX(H220-I220,0)</x:f>
        <x:v>0</x:v>
      </x:c>
      <x:c r="N220" s="19" t="str">
        <x:v>李倩</x:v>
      </x:c>
      <x:c r="O220" s="19" t="str">
        <x:v>S-按销量/BOM/日型生成</x:v>
      </x:c>
    </x:row>
    <x:row r="221">
      <x:c r="A221" s="19" t="str">
        <x:v>2026-07-11|S03|瘦肉片</x:v>
      </x:c>
      <x:c r="B221" s="34" t="n">
        <x:v>46214.5</x:v>
      </x:c>
      <x:c r="C221" s="19" t="str">
        <x:v>S03</x:v>
      </x:c>
      <x:c r="D221" s="19" t="str">
        <x:v>铂悦城店</x:v>
      </x:c>
      <x:c r="E221" s="19" t="str">
        <x:v>瘦肉片</x:v>
      </x:c>
      <x:c r="F221" s="32" t="n">
        <x:v>11.348438803897892</x:v>
      </x:c>
      <x:c r="G221" s="32" t="n">
        <x:v>10.870611881568042</x:v>
      </x:c>
      <x:c r="H221" s="24" t="n">
        <x:f>G221</x:f>
        <x:v>10.870611881568042</x:v>
      </x:c>
      <x:c r="I221" s="24" t="n">
        <x:f>XLOOKUP(A221,'库存与收货'!$A$5:$A$676,'库存与收货'!$H$5:$H$676,0)+XLOOKUP(A221,'库存与收货'!$A$5:$A$676,'库存与收货'!$J$5:$J$676,0)</x:f>
        <x:v>9.85217772490512</x:v>
      </x:c>
      <x:c r="J221" s="21" t="n">
        <x:f>MAX(0,1-ABS(F221-I221)/MAX(I221,0.01))</x:f>
        <x:v>0.8481288989326284</x:v>
      </x:c>
      <x:c r="K221" s="21" t="n">
        <x:f>MAX(0,1-ABS(H221-I221)/MAX(I221,0.01))</x:f>
        <x:v>0.8966285236523451</x:v>
      </x:c>
      <x:c r="L221" s="24" t="n">
        <x:f>MAX(I221-H221,0)</x:f>
        <x:v>0</x:v>
      </x:c>
      <x:c r="M221" s="24" t="n">
        <x:f>MAX(H221-I221,0)</x:f>
        <x:v>1.0184341566629218</x:v>
      </x:c>
      <x:c r="N221" s="19" t="str">
        <x:v>李倩</x:v>
      </x:c>
      <x:c r="O221" s="19" t="str">
        <x:v>S-按销量/BOM/日型生成</x:v>
      </x:c>
    </x:row>
    <x:row r="222">
      <x:c r="A222" s="19" t="str">
        <x:v>2026-07-11|S03|肥肉片</x:v>
      </x:c>
      <x:c r="B222" s="34" t="n">
        <x:v>46214.5</x:v>
      </x:c>
      <x:c r="C222" s="19" t="str">
        <x:v>S03</x:v>
      </x:c>
      <x:c r="D222" s="19" t="str">
        <x:v>铂悦城店</x:v>
      </x:c>
      <x:c r="E222" s="19" t="str">
        <x:v>肥肉片</x:v>
      </x:c>
      <x:c r="F222" s="32" t="n">
        <x:v>2.5634588661259694</x:v>
      </x:c>
      <x:c r="G222" s="32" t="n">
        <x:v>2.6644004707768048</x:v>
      </x:c>
      <x:c r="H222" s="24" t="n">
        <x:f>G222</x:f>
        <x:v>2.6644004707768048</x:v>
      </x:c>
      <x:c r="I222" s="24" t="n">
        <x:f>XLOOKUP(A222,'库存与收货'!$A$5:$A$676,'库存与收货'!$H$5:$H$676,0)+XLOOKUP(A222,'库存与收货'!$A$5:$A$676,'库存与收货'!$J$5:$J$676,0)</x:f>
        <x:v>2.8367085150834077</x:v>
      </x:c>
      <x:c r="J222" s="21" t="n">
        <x:f>MAX(0,1-ABS(F222-I222)/MAX(I222,0.01))</x:f>
        <x:v>0.9036736952335747</x:v>
      </x:c>
      <x:c r="K222" s="21" t="n">
        <x:f>MAX(0,1-ABS(H222-I222)/MAX(I222,0.01))</x:f>
        <x:v>0.9392577547568236</x:v>
      </x:c>
      <x:c r="L222" s="24" t="n">
        <x:f>MAX(I222-H222,0)</x:f>
        <x:v>0.17230804430660296</x:v>
      </x:c>
      <x:c r="M222" s="24" t="n">
        <x:f>MAX(H222-I222,0)</x:f>
        <x:v>0</x:v>
      </x:c>
      <x:c r="N222" s="19" t="str">
        <x:v>李倩</x:v>
      </x:c>
      <x:c r="O222" s="19" t="str">
        <x:v>S-按销量/BOM/日型生成</x:v>
      </x:c>
    </x:row>
    <x:row r="223">
      <x:c r="A223" s="19" t="str">
        <x:v>2026-07-11|S03|牛肉片</x:v>
      </x:c>
      <x:c r="B223" s="34" t="n">
        <x:v>46214.5</x:v>
      </x:c>
      <x:c r="C223" s="19" t="str">
        <x:v>S03</x:v>
      </x:c>
      <x:c r="D223" s="19" t="str">
        <x:v>铂悦城店</x:v>
      </x:c>
      <x:c r="E223" s="19" t="str">
        <x:v>牛肉片</x:v>
      </x:c>
      <x:c r="F223" s="32" t="n">
        <x:v>7.088875906040904</x:v>
      </x:c>
      <x:c r="G223" s="32" t="n">
        <x:v>7.011255610874203</x:v>
      </x:c>
      <x:c r="H223" s="24" t="n">
        <x:f>G223</x:f>
        <x:v>7.011255610874203</x:v>
      </x:c>
      <x:c r="I223" s="24" t="n">
        <x:f>XLOOKUP(A223,'库存与收货'!$A$5:$A$676,'库存与收货'!$H$5:$H$676,0)+XLOOKUP(A223,'库存与收货'!$A$5:$A$676,'库存与收货'!$J$5:$J$676,0)</x:f>
        <x:v>6.8733078731263655</x:v>
      </x:c>
      <x:c r="J223" s="21" t="n">
        <x:f>MAX(0,1-ABS(F223-I223)/MAX(I223,0.01))</x:f>
        <x:v>0.9686369304425634</x:v>
      </x:c>
      <x:c r="K223" s="21" t="n">
        <x:f>MAX(0,1-ABS(H223-I223)/MAX(I223,0.01))</x:f>
        <x:v>0.9799299347135033</x:v>
      </x:c>
      <x:c r="L223" s="24" t="n">
        <x:f>MAX(I223-H223,0)</x:f>
        <x:v>0</x:v>
      </x:c>
      <x:c r="M223" s="24" t="n">
        <x:f>MAX(H223-I223,0)</x:f>
        <x:v>0.13794773774783753</x:v>
      </x:c>
      <x:c r="N223" s="19" t="str">
        <x:v>李倩</x:v>
      </x:c>
      <x:c r="O223" s="19" t="str">
        <x:v>S-按销量/BOM/日型生成</x:v>
      </x:c>
    </x:row>
    <x:row r="224">
      <x:c r="A224" s="19" t="str">
        <x:v>2026-07-11|S03|螺丝椒</x:v>
      </x:c>
      <x:c r="B224" s="34" t="n">
        <x:v>46214.5</x:v>
      </x:c>
      <x:c r="C224" s="19" t="str">
        <x:v>S03</x:v>
      </x:c>
      <x:c r="D224" s="19" t="str">
        <x:v>铂悦城店</x:v>
      </x:c>
      <x:c r="E224" s="19" t="str">
        <x:v>螺丝椒</x:v>
      </x:c>
      <x:c r="F224" s="32" t="n">
        <x:v>11.268141658973068</x:v>
      </x:c>
      <x:c r="G224" s="32" t="n">
        <x:v>10.871152706247509</x:v>
      </x:c>
      <x:c r="H224" s="24" t="n">
        <x:f>G224</x:f>
        <x:v>10.871152706247509</x:v>
      </x:c>
      <x:c r="I224" s="24" t="n">
        <x:f>XLOOKUP(A224,'库存与收货'!$A$5:$A$676,'库存与收货'!$H$5:$H$676,0)+XLOOKUP(A224,'库存与收货'!$A$5:$A$676,'库存与收货'!$J$5:$J$676,0)</x:f>
        <x:v>9.975769668228347</x:v>
      </x:c>
      <x:c r="J224" s="21" t="n">
        <x:f>MAX(0,1-ABS(F224-I224)/MAX(I224,0.01))</x:f>
        <x:v>0.8704488942982742</x:v>
      </x:c>
      <x:c r="K224" s="21" t="n">
        <x:f>MAX(0,1-ABS(H224-I224)/MAX(I224,0.01))</x:f>
        <x:v>0.9102442149530726</x:v>
      </x:c>
      <x:c r="L224" s="24" t="n">
        <x:f>MAX(I224-H224,0)</x:f>
        <x:v>0</x:v>
      </x:c>
      <x:c r="M224" s="24" t="n">
        <x:f>MAX(H224-I224,0)</x:f>
        <x:v>0.8953830380191619</x:v>
      </x:c>
      <x:c r="N224" s="19" t="str">
        <x:v>李倩</x:v>
      </x:c>
      <x:c r="O224" s="19" t="str">
        <x:v>S-按销量/BOM/日型生成</x:v>
      </x:c>
    </x:row>
    <x:row r="225">
      <x:c r="A225" s="19" t="str">
        <x:v>2026-07-11|S03|青湖南椒圈</x:v>
      </x:c>
      <x:c r="B225" s="34" t="n">
        <x:v>46214.5</x:v>
      </x:c>
      <x:c r="C225" s="19" t="str">
        <x:v>S03</x:v>
      </x:c>
      <x:c r="D225" s="19" t="str">
        <x:v>铂悦城店</x:v>
      </x:c>
      <x:c r="E225" s="19" t="str">
        <x:v>青湖南椒圈</x:v>
      </x:c>
      <x:c r="F225" s="32" t="n">
        <x:v>1.379074034904138</x:v>
      </x:c>
      <x:c r="G225" s="32" t="n">
        <x:v>1.4757415830420764</x:v>
      </x:c>
      <x:c r="H225" s="24" t="n">
        <x:f>G225</x:f>
        <x:v>1.4757415830420764</x:v>
      </x:c>
      <x:c r="I225" s="24" t="n">
        <x:f>XLOOKUP(A225,'库存与收货'!$A$5:$A$676,'库存与收货'!$H$5:$H$676,0)+XLOOKUP(A225,'库存与收货'!$A$5:$A$676,'库存与收货'!$J$5:$J$676,0)</x:f>
        <x:v>1.6601506450819203</x:v>
      </x:c>
      <x:c r="J225" s="21" t="n">
        <x:f>MAX(0,1-ABS(F225-I225)/MAX(I225,0.01))</x:f>
        <x:v>0.8306921055565336</x:v>
      </x:c>
      <x:c r="K225" s="21" t="n">
        <x:f>MAX(0,1-ABS(H225-I225)/MAX(I225,0.01))</x:f>
        <x:v>0.8889202840801569</x:v>
      </x:c>
      <x:c r="L225" s="24" t="n">
        <x:f>MAX(I225-H225,0)</x:f>
        <x:v>0.18440906203984397</x:v>
      </x:c>
      <x:c r="M225" s="24" t="n">
        <x:f>MAX(H225-I225,0)</x:f>
        <x:v>0</x:v>
      </x:c>
      <x:c r="N225" s="19" t="str">
        <x:v>李倩</x:v>
      </x:c>
      <x:c r="O225" s="19" t="str">
        <x:v>S-按销量/BOM/日型生成</x:v>
      </x:c>
    </x:row>
    <x:row r="226">
      <x:c r="A226" s="19" t="str">
        <x:v>2026-07-11|S03|鸡蛋</x:v>
      </x:c>
      <x:c r="B226" s="34" t="n">
        <x:v>46214.5</x:v>
      </x:c>
      <x:c r="C226" s="19" t="str">
        <x:v>S03</x:v>
      </x:c>
      <x:c r="D226" s="19" t="str">
        <x:v>铂悦城店</x:v>
      </x:c>
      <x:c r="E226" s="19" t="str">
        <x:v>鸡蛋</x:v>
      </x:c>
      <x:c r="F226" s="32" t="n">
        <x:v>14.603454091046165</x:v>
      </x:c>
      <x:c r="G226" s="32" t="n">
        <x:v>14.081857481734366</x:v>
      </x:c>
      <x:c r="H226" s="24" t="n">
        <x:f>G226</x:f>
        <x:v>14.081857481734366</x:v>
      </x:c>
      <x:c r="I226" s="24" t="n">
        <x:f>XLOOKUP(A226,'库存与收货'!$A$5:$A$676,'库存与收货'!$H$5:$H$676,0)+XLOOKUP(A226,'库存与收货'!$A$5:$A$676,'库存与收货'!$J$5:$J$676,0)</x:f>
        <x:v>13.407397629314195</x:v>
      </x:c>
      <x:c r="J226" s="21" t="n">
        <x:f>MAX(0,1-ABS(F226-I226)/MAX(I226,0.01))</x:f>
        <x:v>0.9107913038159703</x:v>
      </x:c>
      <x:c r="K226" s="21" t="n">
        <x:f>MAX(0,1-ABS(H226-I226)/MAX(I226,0.01))</x:f>
        <x:v>0.9496949466952842</x:v>
      </x:c>
      <x:c r="L226" s="24" t="n">
        <x:f>MAX(I226-H226,0)</x:f>
        <x:v>0</x:v>
      </x:c>
      <x:c r="M226" s="24" t="n">
        <x:f>MAX(H226-I226,0)</x:f>
        <x:v>0.6744598524201706</x:v>
      </x:c>
      <x:c r="N226" s="19" t="str">
        <x:v>李倩</x:v>
      </x:c>
      <x:c r="O226" s="19" t="str">
        <x:v>S-按销量/BOM/日型生成</x:v>
      </x:c>
    </x:row>
    <x:row r="227">
      <x:c r="A227" s="19" t="str">
        <x:v>2026-07-11|S03|鸡肉</x:v>
      </x:c>
      <x:c r="B227" s="34" t="n">
        <x:v>46214.5</x:v>
      </x:c>
      <x:c r="C227" s="19" t="str">
        <x:v>S03</x:v>
      </x:c>
      <x:c r="D227" s="19" t="str">
        <x:v>铂悦城店</x:v>
      </x:c>
      <x:c r="E227" s="19" t="str">
        <x:v>鸡肉</x:v>
      </x:c>
      <x:c r="F227" s="32" t="n">
        <x:v>4.292637409794777</x:v>
      </x:c>
      <x:c r="G227" s="32" t="n">
        <x:v>4.25358596131256</x:v>
      </x:c>
      <x:c r="H227" s="24" t="n">
        <x:f>G227</x:f>
        <x:v>4.25358596131256</x:v>
      </x:c>
      <x:c r="I227" s="24" t="n">
        <x:f>XLOOKUP(A227,'库存与收货'!$A$5:$A$676,'库存与收货'!$H$5:$H$676,0)+XLOOKUP(A227,'库存与收货'!$A$5:$A$676,'库存与收货'!$J$5:$J$676,0)</x:f>
        <x:v>4.155967432993573</x:v>
      </x:c>
      <x:c r="J227" s="21" t="n">
        <x:f>MAX(0,1-ABS(F227-I227)/MAX(I227,0.01))</x:f>
        <x:v>0.9671147623255654</x:v>
      </x:c>
      <x:c r="K227" s="21" t="n">
        <x:f>MAX(0,1-ABS(H227-I227)/MAX(I227,0.01))</x:f>
        <x:v>0.976511238383629</x:v>
      </x:c>
      <x:c r="L227" s="24" t="n">
        <x:f>MAX(I227-H227,0)</x:f>
        <x:v>0</x:v>
      </x:c>
      <x:c r="M227" s="24" t="n">
        <x:f>MAX(H227-I227,0)</x:f>
        <x:v>0.09761852831898743</x:v>
      </x:c>
      <x:c r="N227" s="19" t="str">
        <x:v>李倩</x:v>
      </x:c>
      <x:c r="O227" s="19" t="str">
        <x:v>S-按销量/BOM/日型生成</x:v>
      </x:c>
    </x:row>
    <x:row r="228">
      <x:c r="A228" s="19" t="str">
        <x:v>2026-07-11|S03|鲈鱼</x:v>
      </x:c>
      <x:c r="B228" s="34" t="n">
        <x:v>46214.5</x:v>
      </x:c>
      <x:c r="C228" s="19" t="str">
        <x:v>S03</x:v>
      </x:c>
      <x:c r="D228" s="19" t="str">
        <x:v>铂悦城店</x:v>
      </x:c>
      <x:c r="E228" s="19" t="str">
        <x:v>鲈鱼</x:v>
      </x:c>
      <x:c r="F228" s="32" t="n">
        <x:v>2.448577470888663</x:v>
      </x:c>
      <x:c r="G228" s="32" t="n">
        <x:v>2.4947992221393687</x:v>
      </x:c>
      <x:c r="H228" s="24" t="n">
        <x:f>G228</x:f>
        <x:v>2.4947992221393687</x:v>
      </x:c>
      <x:c r="I228" s="24" t="n">
        <x:f>XLOOKUP(A228,'库存与收货'!$A$5:$A$676,'库存与收货'!$H$5:$H$676,0)+XLOOKUP(A228,'库存与收货'!$A$5:$A$676,'库存与收货'!$J$5:$J$676,0)</x:f>
        <x:v>2.598492137994266</x:v>
      </x:c>
      <x:c r="J228" s="21" t="n">
        <x:f>MAX(0,1-ABS(F228-I228)/MAX(I228,0.01))</x:f>
        <x:v>0.9423070538049348</x:v>
      </x:c>
      <x:c r="K228" s="21" t="n">
        <x:f>MAX(0,1-ABS(H228-I228)/MAX(I228,0.01))</x:f>
        <x:v>0.9600949664850876</x:v>
      </x:c>
      <x:c r="L228" s="24" t="n">
        <x:f>MAX(I228-H228,0)</x:f>
        <x:v>0.10369291585489737</x:v>
      </x:c>
      <x:c r="M228" s="24" t="n">
        <x:f>MAX(H228-I228,0)</x:f>
        <x:v>0</x:v>
      </x:c>
      <x:c r="N228" s="19" t="str">
        <x:v>李倩</x:v>
      </x:c>
      <x:c r="O228" s="19" t="str">
        <x:v>S-按销量/BOM/日型生成</x:v>
      </x:c>
    </x:row>
    <x:row r="229">
      <x:c r="A229" s="19" t="str">
        <x:v>2026-07-11|S03|酸包菜</x:v>
      </x:c>
      <x:c r="B229" s="34" t="n">
        <x:v>46214.5</x:v>
      </x:c>
      <x:c r="C229" s="19" t="str">
        <x:v>S03</x:v>
      </x:c>
      <x:c r="D229" s="19" t="str">
        <x:v>铂悦城店</x:v>
      </x:c>
      <x:c r="E229" s="19" t="str">
        <x:v>酸包菜</x:v>
      </x:c>
      <x:c r="F229" s="32" t="n">
        <x:v>5.658832814872246</x:v>
      </x:c>
      <x:c r="G229" s="32" t="n">
        <x:v>5.727687073037551</x:v>
      </x:c>
      <x:c r="H229" s="24" t="n">
        <x:f>G229</x:f>
        <x:v>5.727687073037551</x:v>
      </x:c>
      <x:c r="I229" s="24" t="n">
        <x:f>XLOOKUP(A229,'库存与收货'!$A$5:$A$676,'库存与收货'!$H$5:$H$676,0)+XLOOKUP(A229,'库存与收货'!$A$5:$A$676,'库存与收货'!$J$5:$J$676,0)</x:f>
        <x:v>5.898276210353541</x:v>
      </x:c>
      <x:c r="J229" s="21" t="n">
        <x:f>MAX(0,1-ABS(F229-I229)/MAX(I229,0.01))</x:f>
        <x:v>0.9594045129556688</x:v>
      </x:c>
      <x:c r="K229" s="21" t="n">
        <x:f>MAX(0,1-ABS(H229-I229)/MAX(I229,0.01))</x:f>
        <x:v>0.9710781368603005</x:v>
      </x:c>
      <x:c r="L229" s="24" t="n">
        <x:f>MAX(I229-H229,0)</x:f>
        <x:v>0.17058913731599024</x:v>
      </x:c>
      <x:c r="M229" s="24" t="n">
        <x:f>MAX(H229-I229,0)</x:f>
        <x:v>0</x:v>
      </x:c>
      <x:c r="N229" s="19" t="str">
        <x:v>李倩</x:v>
      </x:c>
      <x:c r="O229" s="19" t="str">
        <x:v>S-按销量/BOM/日型生成</x:v>
      </x:c>
    </x:row>
    <x:row r="230">
      <x:c r="A230" s="19" t="str">
        <x:v>2026-07-11|S03|粉皮</x:v>
      </x:c>
      <x:c r="B230" s="34" t="n">
        <x:v>46214.5</x:v>
      </x:c>
      <x:c r="C230" s="19" t="str">
        <x:v>S03</x:v>
      </x:c>
      <x:c r="D230" s="19" t="str">
        <x:v>铂悦城店</x:v>
      </x:c>
      <x:c r="E230" s="19" t="str">
        <x:v>粉皮</x:v>
      </x:c>
      <x:c r="F230" s="32" t="n">
        <x:v>5.14617220561316</x:v>
      </x:c>
      <x:c r="G230" s="32" t="n">
        <x:v>4.973404009886393</x:v>
      </x:c>
      <x:c r="H230" s="24" t="n">
        <x:f>G230</x:f>
        <x:v>4.973404009886393</x:v>
      </x:c>
      <x:c r="I230" s="24" t="n">
        <x:f>XLOOKUP(A230,'库存与收货'!$A$5:$A$676,'库存与收货'!$H$5:$H$676,0)+XLOOKUP(A230,'库存与收货'!$A$5:$A$676,'库存与收货'!$J$5:$J$676,0)</x:f>
        <x:v>4.509768893448872</x:v>
      </x:c>
      <x:c r="J230" s="21" t="n">
        <x:f>MAX(0,1-ABS(F230-I230)/MAX(I230,0.01))</x:f>
        <x:v>0.8588833868873501</x:v>
      </x:c>
      <x:c r="K230" s="21" t="n">
        <x:f>MAX(0,1-ABS(H230-I230)/MAX(I230,0.01))</x:f>
        <x:v>0.8971931539305658</x:v>
      </x:c>
      <x:c r="L230" s="24" t="n">
        <x:f>MAX(I230-H230,0)</x:f>
        <x:v>0</x:v>
      </x:c>
      <x:c r="M230" s="24" t="n">
        <x:f>MAX(H230-I230,0)</x:f>
        <x:v>0.463635116437521</x:v>
      </x:c>
      <x:c r="N230" s="19" t="str">
        <x:v>李倩</x:v>
      </x:c>
      <x:c r="O230" s="19" t="str">
        <x:v>S-按销量/BOM/日型生成</x:v>
      </x:c>
    </x:row>
    <x:row r="231">
      <x:c r="A231" s="19" t="str">
        <x:v>2026-07-11|S03|鸡杂</x:v>
      </x:c>
      <x:c r="B231" s="34" t="n">
        <x:v>46214.5</x:v>
      </x:c>
      <x:c r="C231" s="19" t="str">
        <x:v>S03</x:v>
      </x:c>
      <x:c r="D231" s="19" t="str">
        <x:v>铂悦城店</x:v>
      </x:c>
      <x:c r="E231" s="19" t="str">
        <x:v>鸡杂</x:v>
      </x:c>
      <x:c r="F231" s="32" t="n">
        <x:v>2.5710024173814063</x:v>
      </x:c>
      <x:c r="G231" s="32" t="n">
        <x:v>2.5799069529266743</x:v>
      </x:c>
      <x:c r="H231" s="24" t="n">
        <x:f>G231</x:f>
        <x:v>2.5799069529266743</x:v>
      </x:c>
      <x:c r="I231" s="24" t="n">
        <x:f>XLOOKUP(A231,'库存与收货'!$A$5:$A$676,'库存与收货'!$H$5:$H$676,0)+XLOOKUP(A231,'库存与收货'!$A$5:$A$676,'库存与收货'!$J$5:$J$676,0)</x:f>
        <x:v>2.59926797770587</x:v>
      </x:c>
      <x:c r="J231" s="21" t="n">
        <x:f>MAX(0,1-ABS(F231-I231)/MAX(I231,0.01))</x:f>
        <x:v>0.9891255689806132</x:v>
      </x:c>
      <x:c r="K231" s="21" t="n">
        <x:f>MAX(0,1-ABS(H231-I231)/MAX(I231,0.01))</x:f>
        <x:v>0.99255135486404</x:v>
      </x:c>
      <x:c r="L231" s="24" t="n">
        <x:f>MAX(I231-H231,0)</x:f>
        <x:v>0.019361024779195546</x:v>
      </x:c>
      <x:c r="M231" s="24" t="n">
        <x:f>MAX(H231-I231,0)</x:f>
        <x:v>0</x:v>
      </x:c>
      <x:c r="N231" s="19" t="str">
        <x:v>李倩</x:v>
      </x:c>
      <x:c r="O231" s="19" t="str">
        <x:v>S-按销量/BOM/日型生成</x:v>
      </x:c>
    </x:row>
    <x:row r="232">
      <x:c r="A232" s="19" t="str">
        <x:v>2026-07-11|S03|豆腐</x:v>
      </x:c>
      <x:c r="B232" s="34" t="n">
        <x:v>46214.5</x:v>
      </x:c>
      <x:c r="C232" s="19" t="str">
        <x:v>S03</x:v>
      </x:c>
      <x:c r="D232" s="19" t="str">
        <x:v>铂悦城店</x:v>
      </x:c>
      <x:c r="E232" s="19" t="str">
        <x:v>豆腐</x:v>
      </x:c>
      <x:c r="F232" s="32" t="n">
        <x:v>14.99874633325314</x:v>
      </x:c>
      <x:c r="G232" s="32" t="n">
        <x:v>15.71922586845543</x:v>
      </x:c>
      <x:c r="H232" s="24" t="n">
        <x:f>G232</x:f>
        <x:v>15.71922586845543</x:v>
      </x:c>
      <x:c r="I232" s="24" t="n">
        <x:f>XLOOKUP(A232,'库存与收货'!$A$5:$A$676,'库存与收货'!$H$5:$H$676,0)+XLOOKUP(A232,'库存与收货'!$A$5:$A$676,'库存与收货'!$J$5:$J$676,0)</x:f>
        <x:v>17.3373662517819</x:v>
      </x:c>
      <x:c r="J232" s="21" t="n">
        <x:f>MAX(0,1-ABS(F232-I232)/MAX(I232,0.01))</x:f>
        <x:v>0.86511100448787</x:v>
      </x:c>
      <x:c r="K232" s="21" t="n">
        <x:f>MAX(0,1-ABS(H232-I232)/MAX(I232,0.01))</x:f>
        <x:v>0.9066674626453045</x:v>
      </x:c>
      <x:c r="L232" s="24" t="n">
        <x:f>MAX(I232-H232,0)</x:f>
        <x:v>1.6181403833264714</x:v>
      </x:c>
      <x:c r="M232" s="24" t="n">
        <x:f>MAX(H232-I232,0)</x:f>
        <x:v>0</x:v>
      </x:c>
      <x:c r="N232" s="19" t="str">
        <x:v>李倩</x:v>
      </x:c>
      <x:c r="O232" s="19" t="str">
        <x:v>S-按销量/BOM/日型生成</x:v>
      </x:c>
    </x:row>
    <x:row r="233">
      <x:c r="A233" s="19" t="str">
        <x:v>2026-07-12|S03|瘦肉片</x:v>
      </x:c>
      <x:c r="B233" s="34" t="n">
        <x:v>46215.5</x:v>
      </x:c>
      <x:c r="C233" s="19" t="str">
        <x:v>S03</x:v>
      </x:c>
      <x:c r="D233" s="19" t="str">
        <x:v>铂悦城店</x:v>
      </x:c>
      <x:c r="E233" s="19" t="str">
        <x:v>瘦肉片</x:v>
      </x:c>
      <x:c r="F233" s="32" t="n">
        <x:v>8.086544541682168</x:v>
      </x:c>
      <x:c r="G233" s="32" t="n">
        <x:v>8.421264785590587</x:v>
      </x:c>
      <x:c r="H233" s="24" t="n">
        <x:f>G233</x:f>
        <x:v>8.421264785590587</x:v>
      </x:c>
      <x:c r="I233" s="24" t="n">
        <x:f>XLOOKUP(A233,'库存与收货'!$A$5:$A$676,'库存与收货'!$H$5:$H$676,0)+XLOOKUP(A233,'库存与收货'!$A$5:$A$676,'库存与收货'!$J$5:$J$676,0)</x:f>
        <x:v>9.296773430535517</x:v>
      </x:c>
      <x:c r="J233" s="21" t="n">
        <x:f>MAX(0,1-ABS(F233-I233)/MAX(I233,0.01))</x:f>
        <x:v>0.8698226973157894</x:v>
      </x:c>
      <x:c r="K233" s="21" t="n">
        <x:f>MAX(0,1-ABS(H233-I233)/MAX(I233,0.01))</x:f>
        <x:v>0.9058266126966915</x:v>
      </x:c>
      <x:c r="L233" s="24" t="n">
        <x:f>MAX(I233-H233,0)</x:f>
        <x:v>0.8755086449449294</x:v>
      </x:c>
      <x:c r="M233" s="24" t="n">
        <x:f>MAX(H233-I233,0)</x:f>
        <x:v>0</x:v>
      </x:c>
      <x:c r="N233" s="19" t="str">
        <x:v>李倩</x:v>
      </x:c>
      <x:c r="O233" s="19" t="str">
        <x:v>S-按销量/BOM/日型生成</x:v>
      </x:c>
    </x:row>
    <x:row r="234">
      <x:c r="A234" s="19" t="str">
        <x:v>2026-07-12|S03|肥肉片</x:v>
      </x:c>
      <x:c r="B234" s="34" t="n">
        <x:v>46215.5</x:v>
      </x:c>
      <x:c r="C234" s="19" t="str">
        <x:v>S03</x:v>
      </x:c>
      <x:c r="D234" s="19" t="str">
        <x:v>铂悦城店</x:v>
      </x:c>
      <x:c r="E234" s="19" t="str">
        <x:v>肥肉片</x:v>
      </x:c>
      <x:c r="F234" s="32" t="n">
        <x:v>2.4149423473845544</x:v>
      </x:c>
      <x:c r="G234" s="32" t="n">
        <x:v>2.5018453699997574</x:v>
      </x:c>
      <x:c r="H234" s="24" t="n">
        <x:f>G234</x:f>
        <x:v>2.5018453699997574</x:v>
      </x:c>
      <x:c r="I234" s="24" t="n">
        <x:f>XLOOKUP(A234,'库存与收货'!$A$5:$A$676,'库存与收货'!$H$5:$H$676,0)+XLOOKUP(A234,'库存与收货'!$A$5:$A$676,'库存与收货'!$J$5:$J$676,0)</x:f>
        <x:v>2.6395415238156077</x:v>
      </x:c>
      <x:c r="J234" s="21" t="n">
        <x:f>MAX(0,1-ABS(F234-I234)/MAX(I234,0.01))</x:f>
        <x:v>0.9149097771697934</x:v>
      </x:c>
      <x:c r="K234" s="21" t="n">
        <x:f>MAX(0,1-ABS(H234-I234)/MAX(I234,0.01))</x:f>
        <x:v>0.9478333064384595</x:v>
      </x:c>
      <x:c r="L234" s="24" t="n">
        <x:f>MAX(I234-H234,0)</x:f>
        <x:v>0.13769615381585032</x:v>
      </x:c>
      <x:c r="M234" s="24" t="n">
        <x:f>MAX(H234-I234,0)</x:f>
        <x:v>0</x:v>
      </x:c>
      <x:c r="N234" s="19" t="str">
        <x:v>李倩</x:v>
      </x:c>
      <x:c r="O234" s="19" t="str">
        <x:v>S-按销量/BOM/日型生成</x:v>
      </x:c>
    </x:row>
    <x:row r="235">
      <x:c r="A235" s="19" t="str">
        <x:v>2026-07-12|S03|牛肉片</x:v>
      </x:c>
      <x:c r="B235" s="34" t="n">
        <x:v>46215.5</x:v>
      </x:c>
      <x:c r="C235" s="19" t="str">
        <x:v>S03</x:v>
      </x:c>
      <x:c r="D235" s="19" t="str">
        <x:v>铂悦城店</x:v>
      </x:c>
      <x:c r="E235" s="19" t="str">
        <x:v>牛肉片</x:v>
      </x:c>
      <x:c r="F235" s="32" t="n">
        <x:v>6.493198240013727</x:v>
      </x:c>
      <x:c r="G235" s="32" t="n">
        <x:v>6.559137609828316</x:v>
      </x:c>
      <x:c r="H235" s="24" t="n">
        <x:f>G235</x:f>
        <x:v>6.559137609828316</x:v>
      </x:c>
      <x:c r="I235" s="24" t="n">
        <x:f>XLOOKUP(A235,'库存与收货'!$A$5:$A$676,'库存与收货'!$H$5:$H$676,0)+XLOOKUP(A235,'库存与收货'!$A$5:$A$676,'库存与收货'!$J$5:$J$676,0)</x:f>
        <x:v>6.73725164254132</x:v>
      </x:c>
      <x:c r="J235" s="21" t="n">
        <x:f>MAX(0,1-ABS(F235-I235)/MAX(I235,0.01))</x:f>
        <x:v>0.96377552517312</x:v>
      </x:c>
      <x:c r="K235" s="21" t="n">
        <x:f>MAX(0,1-ABS(H235-I235)/MAX(I235,0.01))</x:f>
        <x:v>0.9735628054044573</x:v>
      </x:c>
      <x:c r="L235" s="24" t="n">
        <x:f>MAX(I235-H235,0)</x:f>
        <x:v>0.17811403271300463</x:v>
      </x:c>
      <x:c r="M235" s="24" t="n">
        <x:f>MAX(H235-I235,0)</x:f>
        <x:v>0</x:v>
      </x:c>
      <x:c r="N235" s="19" t="str">
        <x:v>李倩</x:v>
      </x:c>
      <x:c r="O235" s="19" t="str">
        <x:v>S-按销量/BOM/日型生成</x:v>
      </x:c>
    </x:row>
    <x:row r="236">
      <x:c r="A236" s="19" t="str">
        <x:v>2026-07-12|S03|螺丝椒</x:v>
      </x:c>
      <x:c r="B236" s="34" t="n">
        <x:v>46215.5</x:v>
      </x:c>
      <x:c r="C236" s="19" t="str">
        <x:v>S03</x:v>
      </x:c>
      <x:c r="D236" s="19" t="str">
        <x:v>铂悦城店</x:v>
      </x:c>
      <x:c r="E236" s="19" t="str">
        <x:v>螺丝椒</x:v>
      </x:c>
      <x:c r="F236" s="32" t="n">
        <x:v>8.671337413712799</x:v>
      </x:c>
      <x:c r="G236" s="32" t="n">
        <x:v>8.796681472059557</x:v>
      </x:c>
      <x:c r="H236" s="24" t="n">
        <x:f>G236</x:f>
        <x:v>8.796681472059557</x:v>
      </x:c>
      <x:c r="I236" s="24" t="n">
        <x:f>XLOOKUP(A236,'库存与收货'!$A$5:$A$676,'库存与收货'!$H$5:$H$676,0)+XLOOKUP(A236,'库存与收货'!$A$5:$A$676,'库存与收货'!$J$5:$J$676,0)</x:f>
        <x:v>9.157300630644267</x:v>
      </x:c>
      <x:c r="J236" s="21" t="n">
        <x:f>MAX(0,1-ABS(F236-I236)/MAX(I236,0.01))</x:f>
        <x:v>0.9469316082836435</x:v>
      </x:c>
      <x:c r="K236" s="21" t="n">
        <x:f>MAX(0,1-ABS(H236-I236)/MAX(I236,0.01))</x:f>
        <x:v>0.9606194911437195</x:v>
      </x:c>
      <x:c r="L236" s="24" t="n">
        <x:f>MAX(I236-H236,0)</x:f>
        <x:v>0.3606191585847096</x:v>
      </x:c>
      <x:c r="M236" s="24" t="n">
        <x:f>MAX(H236-I236,0)</x:f>
        <x:v>0</x:v>
      </x:c>
      <x:c r="N236" s="19" t="str">
        <x:v>李倩</x:v>
      </x:c>
      <x:c r="O236" s="19" t="str">
        <x:v>S-按销量/BOM/日型生成</x:v>
      </x:c>
    </x:row>
    <x:row r="237">
      <x:c r="A237" s="19" t="str">
        <x:v>2026-07-12|S03|青湖南椒圈</x:v>
      </x:c>
      <x:c r="B237" s="34" t="n">
        <x:v>46215.5</x:v>
      </x:c>
      <x:c r="C237" s="19" t="str">
        <x:v>S03</x:v>
      </x:c>
      <x:c r="D237" s="19" t="str">
        <x:v>铂悦城店</x:v>
      </x:c>
      <x:c r="E237" s="19" t="str">
        <x:v>青湖南椒圈</x:v>
      </x:c>
      <x:c r="F237" s="32" t="n">
        <x:v>1.3754259850960917</x:v>
      </x:c>
      <x:c r="G237" s="32" t="n">
        <x:v>1.4213000750489302</x:v>
      </x:c>
      <x:c r="H237" s="24" t="n">
        <x:f>G237</x:f>
        <x:v>1.4213000750489302</x:v>
      </x:c>
      <x:c r="I237" s="24" t="n">
        <x:f>XLOOKUP(A237,'库存与收货'!$A$5:$A$676,'库存与收货'!$H$5:$H$676,0)+XLOOKUP(A237,'库存与收货'!$A$5:$A$676,'库存与收货'!$J$5:$J$676,0)</x:f>
        <x:v>1.5570498686707694</x:v>
      </x:c>
      <x:c r="J237" s="21" t="n">
        <x:f>MAX(0,1-ABS(F237-I237)/MAX(I237,0.01))</x:f>
        <x:v>0.8833538429120916</x:v>
      </x:c>
      <x:c r="K237" s="21" t="n">
        <x:f>MAX(0,1-ABS(H237-I237)/MAX(I237,0.01))</x:f>
        <x:v>0.9128160270565214</x:v>
      </x:c>
      <x:c r="L237" s="24" t="n">
        <x:f>MAX(I237-H237,0)</x:f>
        <x:v>0.13574979362183925</x:v>
      </x:c>
      <x:c r="M237" s="24" t="n">
        <x:f>MAX(H237-I237,0)</x:f>
        <x:v>0</x:v>
      </x:c>
      <x:c r="N237" s="19" t="str">
        <x:v>李倩</x:v>
      </x:c>
      <x:c r="O237" s="19" t="str">
        <x:v>S-按销量/BOM/日型生成</x:v>
      </x:c>
    </x:row>
    <x:row r="238">
      <x:c r="A238" s="19" t="str">
        <x:v>2026-07-12|S03|鸡蛋</x:v>
      </x:c>
      <x:c r="B238" s="34" t="n">
        <x:v>46215.5</x:v>
      </x:c>
      <x:c r="C238" s="19" t="str">
        <x:v>S03</x:v>
      </x:c>
      <x:c r="D238" s="19" t="str">
        <x:v>铂悦城店</x:v>
      </x:c>
      <x:c r="E238" s="19" t="str">
        <x:v>鸡蛋</x:v>
      </x:c>
      <x:c r="F238" s="32" t="n">
        <x:v>13.095437403424825</x:v>
      </x:c>
      <x:c r="G238" s="32" t="n">
        <x:v>13.155379098716695</x:v>
      </x:c>
      <x:c r="H238" s="24" t="n">
        <x:f>G238</x:f>
        <x:v>13.155379098716695</x:v>
      </x:c>
      <x:c r="I238" s="24" t="n">
        <x:f>XLOOKUP(A238,'库存与收货'!$A$5:$A$676,'库存与收货'!$H$5:$H$676,0)+XLOOKUP(A238,'库存与收货'!$A$5:$A$676,'库存与收货'!$J$5:$J$676,0)</x:f>
        <x:v>13.299676677700697</x:v>
      </x:c>
      <x:c r="J238" s="21" t="n">
        <x:f>MAX(0,1-ABS(F238-I238)/MAX(I238,0.01))</x:f>
        <x:v>0.9846432902674758</x:v>
      </x:c>
      <x:c r="K238" s="21" t="n">
        <x:f>MAX(0,1-ABS(H238-I238)/MAX(I238,0.01))</x:f>
        <x:v>0.9891502942153516</x:v>
      </x:c>
      <x:c r="L238" s="24" t="n">
        <x:f>MAX(I238-H238,0)</x:f>
        <x:v>0.14429757898400197</x:v>
      </x:c>
      <x:c r="M238" s="24" t="n">
        <x:f>MAX(H238-I238,0)</x:f>
        <x:v>0</x:v>
      </x:c>
      <x:c r="N238" s="19" t="str">
        <x:v>李倩</x:v>
      </x:c>
      <x:c r="O238" s="19" t="str">
        <x:v>S-按销量/BOM/日型生成</x:v>
      </x:c>
    </x:row>
    <x:row r="239">
      <x:c r="A239" s="19" t="str">
        <x:v>2026-07-12|S03|鸡肉</x:v>
      </x:c>
      <x:c r="B239" s="34" t="n">
        <x:v>46215.5</x:v>
      </x:c>
      <x:c r="C239" s="19" t="str">
        <x:v>S03</x:v>
      </x:c>
      <x:c r="D239" s="19" t="str">
        <x:v>铂悦城店</x:v>
      </x:c>
      <x:c r="E239" s="19" t="str">
        <x:v>鸡肉</x:v>
      </x:c>
      <x:c r="F239" s="32" t="n">
        <x:v>3.5123258765122056</x:v>
      </x:c>
      <x:c r="G239" s="32" t="n">
        <x:v>3.5775342360928724</x:v>
      </x:c>
      <x:c r="H239" s="24" t="n">
        <x:f>G239</x:f>
        <x:v>3.5775342360928724</x:v>
      </x:c>
      <x:c r="I239" s="24" t="n">
        <x:f>XLOOKUP(A239,'库存与收货'!$A$5:$A$676,'库存与收货'!$H$5:$H$676,0)+XLOOKUP(A239,'库存与收货'!$A$5:$A$676,'库存与收货'!$J$5:$J$676,0)</x:f>
        <x:v>3.659931729293878</x:v>
      </x:c>
      <x:c r="J239" s="21" t="n">
        <x:f>MAX(0,1-ABS(F239-I239)/MAX(I239,0.01))</x:f>
        <x:v>0.9596697797392657</x:v>
      </x:c>
      <x:c r="K239" s="21" t="n">
        <x:f>MAX(0,1-ABS(H239-I239)/MAX(I239,0.01))</x:f>
        <x:v>0.9774866037687258</x:v>
      </x:c>
      <x:c r="L239" s="24" t="n">
        <x:f>MAX(I239-H239,0)</x:f>
        <x:v>0.08239749320100564</x:v>
      </x:c>
      <x:c r="M239" s="24" t="n">
        <x:f>MAX(H239-I239,0)</x:f>
        <x:v>0</x:v>
      </x:c>
      <x:c r="N239" s="19" t="str">
        <x:v>李倩</x:v>
      </x:c>
      <x:c r="O239" s="19" t="str">
        <x:v>S-按销量/BOM/日型生成</x:v>
      </x:c>
    </x:row>
    <x:row r="240">
      <x:c r="A240" s="19" t="str">
        <x:v>2026-07-12|S03|鲈鱼</x:v>
      </x:c>
      <x:c r="B240" s="34" t="n">
        <x:v>46215.5</x:v>
      </x:c>
      <x:c r="C240" s="19" t="str">
        <x:v>S03</x:v>
      </x:c>
      <x:c r="D240" s="19" t="str">
        <x:v>铂悦城店</x:v>
      </x:c>
      <x:c r="E240" s="19" t="str">
        <x:v>鲈鱼</x:v>
      </x:c>
      <x:c r="F240" s="32" t="n">
        <x:v>2.69998145120562</x:v>
      </x:c>
      <x:c r="G240" s="32" t="n">
        <x:v>2.814049190992104</x:v>
      </x:c>
      <x:c r="H240" s="24" t="n">
        <x:f>G240</x:f>
        <x:v>2.814049190992104</x:v>
      </x:c>
      <x:c r="I240" s="24" t="n">
        <x:f>XLOOKUP(A240,'库存与收货'!$A$5:$A$676,'库存与收货'!$H$5:$H$676,0)+XLOOKUP(A240,'库存与收货'!$A$5:$A$676,'库存与收货'!$J$5:$J$676,0)</x:f>
        <x:v>3.072019411296821</x:v>
      </x:c>
      <x:c r="J240" s="21" t="n">
        <x:f>MAX(0,1-ABS(F240-I240)/MAX(I240,0.01))</x:f>
        <x:v>0.8788946584376728</x:v>
      </x:c>
      <x:c r="K240" s="21" t="n">
        <x:f>MAX(0,1-ABS(H240-I240)/MAX(I240,0.01))</x:f>
        <x:v>0.9160258495255349</x:v>
      </x:c>
      <x:c r="L240" s="24" t="n">
        <x:f>MAX(I240-H240,0)</x:f>
        <x:v>0.25797022030471695</x:v>
      </x:c>
      <x:c r="M240" s="24" t="n">
        <x:f>MAX(H240-I240,0)</x:f>
        <x:v>0</x:v>
      </x:c>
      <x:c r="N240" s="19" t="str">
        <x:v>李倩</x:v>
      </x:c>
      <x:c r="O240" s="19" t="str">
        <x:v>S-按销量/BOM/日型生成</x:v>
      </x:c>
    </x:row>
    <x:row r="241">
      <x:c r="A241" s="19" t="str">
        <x:v>2026-07-12|S03|酸包菜</x:v>
      </x:c>
      <x:c r="B241" s="34" t="n">
        <x:v>46215.5</x:v>
      </x:c>
      <x:c r="C241" s="19" t="str">
        <x:v>S03</x:v>
      </x:c>
      <x:c r="D241" s="19" t="str">
        <x:v>铂悦城店</x:v>
      </x:c>
      <x:c r="E241" s="19" t="str">
        <x:v>酸包菜</x:v>
      </x:c>
      <x:c r="F241" s="32" t="n">
        <x:v>5.4617070981198985</x:v>
      </x:c>
      <x:c r="G241" s="32" t="n">
        <x:v>5.635451480761996</x:v>
      </x:c>
      <x:c r="H241" s="24" t="n">
        <x:f>G241</x:f>
        <x:v>5.635451480761996</x:v>
      </x:c>
      <x:c r="I241" s="24" t="n">
        <x:f>XLOOKUP(A241,'库存与收货'!$A$5:$A$676,'库存与收货'!$H$5:$H$676,0)+XLOOKUP(A241,'库存与收货'!$A$5:$A$676,'库存与收货'!$J$5:$J$676,0)</x:f>
        <x:v>6.1379889167700865</x:v>
      </x:c>
      <x:c r="J241" s="21" t="n">
        <x:f>MAX(0,1-ABS(F241-I241)/MAX(I241,0.01))</x:f>
        <x:v>0.8898202932881705</x:v>
      </x:c>
      <x:c r="K241" s="21" t="n">
        <x:f>MAX(0,1-ABS(H241-I241)/MAX(I241,0.01))</x:f>
        <x:v>0.9181266954335698</x:v>
      </x:c>
      <x:c r="L241" s="24" t="n">
        <x:f>MAX(I241-H241,0)</x:f>
        <x:v>0.5025374360080903</x:v>
      </x:c>
      <x:c r="M241" s="24" t="n">
        <x:f>MAX(H241-I241,0)</x:f>
        <x:v>0</x:v>
      </x:c>
      <x:c r="N241" s="19" t="str">
        <x:v>李倩</x:v>
      </x:c>
      <x:c r="O241" s="19" t="str">
        <x:v>S-按销量/BOM/日型生成</x:v>
      </x:c>
    </x:row>
    <x:row r="242">
      <x:c r="A242" s="19" t="str">
        <x:v>2026-07-12|S03|粉皮</x:v>
      </x:c>
      <x:c r="B242" s="34" t="n">
        <x:v>46215.5</x:v>
      </x:c>
      <x:c r="C242" s="19" t="str">
        <x:v>S03</x:v>
      </x:c>
      <x:c r="D242" s="19" t="str">
        <x:v>铂悦城店</x:v>
      </x:c>
      <x:c r="E242" s="19" t="str">
        <x:v>粉皮</x:v>
      </x:c>
      <x:c r="F242" s="32" t="n">
        <x:v>4.075505791153586</x:v>
      </x:c>
      <x:c r="G242" s="32" t="n">
        <x:v>4.296915991275552</x:v>
      </x:c>
      <x:c r="H242" s="24" t="n">
        <x:f>G242</x:f>
        <x:v>4.296915991275552</x:v>
      </x:c>
      <x:c r="I242" s="24" t="n">
        <x:f>XLOOKUP(A242,'库存与收货'!$A$5:$A$676,'库存与收货'!$H$5:$H$676,0)+XLOOKUP(A242,'库存与收货'!$A$5:$A$676,'库存与收货'!$J$5:$J$676,0)</x:f>
        <x:v>4.627995137539226</x:v>
      </x:c>
      <x:c r="J242" s="21" t="n">
        <x:f>MAX(0,1-ABS(F242-I242)/MAX(I242,0.01))</x:f>
        <x:v>0.8806201540913012</x:v>
      </x:c>
      <x:c r="K242" s="21" t="n">
        <x:f>MAX(0,1-ABS(H242-I242)/MAX(I242,0.01))</x:f>
        <x:v>0.9284616477709365</x:v>
      </x:c>
      <x:c r="L242" s="24" t="n">
        <x:f>MAX(I242-H242,0)</x:f>
        <x:v>0.33107914626367396</x:v>
      </x:c>
      <x:c r="M242" s="24" t="n">
        <x:f>MAX(H242-I242,0)</x:f>
        <x:v>0</x:v>
      </x:c>
      <x:c r="N242" s="19" t="str">
        <x:v>李倩</x:v>
      </x:c>
      <x:c r="O242" s="19" t="str">
        <x:v>S-按销量/BOM/日型生成</x:v>
      </x:c>
    </x:row>
    <x:row r="243">
      <x:c r="A243" s="19" t="str">
        <x:v>2026-07-12|S03|鸡杂</x:v>
      </x:c>
      <x:c r="B243" s="34" t="n">
        <x:v>46215.5</x:v>
      </x:c>
      <x:c r="C243" s="19" t="str">
        <x:v>S03</x:v>
      </x:c>
      <x:c r="D243" s="19" t="str">
        <x:v>铂悦城店</x:v>
      </x:c>
      <x:c r="E243" s="19" t="str">
        <x:v>鸡杂</x:v>
      </x:c>
      <x:c r="F243" s="32" t="n">
        <x:v>3.168308239554981</x:v>
      </x:c>
      <x:c r="G243" s="32" t="n">
        <x:v>3.1329558877397896</x:v>
      </x:c>
      <x:c r="H243" s="24" t="n">
        <x:f>G243</x:f>
        <x:v>3.1329558877397896</x:v>
      </x:c>
      <x:c r="I243" s="24" t="n">
        <x:f>XLOOKUP(A243,'库存与收货'!$A$5:$A$676,'库存与收货'!$H$5:$H$676,0)+XLOOKUP(A243,'库存与收货'!$A$5:$A$676,'库存与收货'!$J$5:$J$676,0)</x:f>
        <x:v>3.06937332257381</x:v>
      </x:c>
      <x:c r="J243" s="21" t="n">
        <x:f>MAX(0,1-ABS(F243-I243)/MAX(I243,0.01))</x:f>
        <x:v>0.9677670629852841</x:v>
      </x:c>
      <x:c r="K243" s="21" t="n">
        <x:f>MAX(0,1-ABS(H243-I243)/MAX(I243,0.01))</x:f>
        <x:v>0.9792848381464844</x:v>
      </x:c>
      <x:c r="L243" s="24" t="n">
        <x:f>MAX(I243-H243,0)</x:f>
        <x:v>0</x:v>
      </x:c>
      <x:c r="M243" s="24" t="n">
        <x:f>MAX(H243-I243,0)</x:f>
        <x:v>0.0635825651659796</x:v>
      </x:c>
      <x:c r="N243" s="19" t="str">
        <x:v>李倩</x:v>
      </x:c>
      <x:c r="O243" s="19" t="str">
        <x:v>S-按销量/BOM/日型生成</x:v>
      </x:c>
    </x:row>
    <x:row r="244">
      <x:c r="A244" s="19" t="str">
        <x:v>2026-07-12|S03|豆腐</x:v>
      </x:c>
      <x:c r="B244" s="34" t="n">
        <x:v>46215.5</x:v>
      </x:c>
      <x:c r="C244" s="19" t="str">
        <x:v>S03</x:v>
      </x:c>
      <x:c r="D244" s="19" t="str">
        <x:v>铂悦城店</x:v>
      </x:c>
      <x:c r="E244" s="19" t="str">
        <x:v>豆腐</x:v>
      </x:c>
      <x:c r="F244" s="32" t="n">
        <x:v>16.098178267408432</x:v>
      </x:c>
      <x:c r="G244" s="32" t="n">
        <x:v>16.10082008061045</x:v>
      </x:c>
      <x:c r="H244" s="24" t="n">
        <x:f>G244</x:f>
        <x:v>16.10082008061045</x:v>
      </x:c>
      <x:c r="I244" s="24" t="n">
        <x:f>XLOOKUP(A244,'库存与收货'!$A$5:$A$676,'库存与收货'!$H$5:$H$676,0)+XLOOKUP(A244,'库存与收货'!$A$5:$A$676,'库存与收货'!$J$5:$J$676,0)</x:f>
        <x:v>16.105320097258154</x:v>
      </x:c>
      <x:c r="J244" s="21" t="n">
        <x:f>MAX(0,1-ABS(F244-I244)/MAX(I244,0.01))</x:f>
        <x:v>0.999556554616326</x:v>
      </x:c>
      <x:c r="K244" s="21" t="n">
        <x:f>MAX(0,1-ABS(H244-I244)/MAX(I244,0.01))</x:f>
        <x:v>0.9997205881894599</x:v>
      </x:c>
      <x:c r="L244" s="24" t="n">
        <x:f>MAX(I244-H244,0)</x:f>
        <x:v>0.004500016647703831</x:v>
      </x:c>
      <x:c r="M244" s="24" t="n">
        <x:f>MAX(H244-I244,0)</x:f>
        <x:v>0</x:v>
      </x:c>
      <x:c r="N244" s="19" t="str">
        <x:v>李倩</x:v>
      </x:c>
      <x:c r="O244" s="19" t="str">
        <x:v>S-按销量/BOM/日型生成</x:v>
      </x:c>
    </x:row>
    <x:row r="245">
      <x:c r="A245" s="19" t="str">
        <x:v>2026-07-13|S03|瘦肉片</x:v>
      </x:c>
      <x:c r="B245" s="34" t="n">
        <x:v>46216.5</x:v>
      </x:c>
      <x:c r="C245" s="19" t="str">
        <x:v>S03</x:v>
      </x:c>
      <x:c r="D245" s="19" t="str">
        <x:v>铂悦城店</x:v>
      </x:c>
      <x:c r="E245" s="19" t="str">
        <x:v>瘦肉片</x:v>
      </x:c>
      <x:c r="F245" s="32" t="n">
        <x:v>14.100805004870574</x:v>
      </x:c>
      <x:c r="G245" s="32" t="n">
        <x:v>13.70929236143432</x:v>
      </x:c>
      <x:c r="H245" s="24" t="n">
        <x:f>G245</x:f>
        <x:v>13.70929236143432</x:v>
      </x:c>
      <x:c r="I245" s="24" t="n">
        <x:f>XLOOKUP(A245,'库存与收货'!$A$5:$A$676,'库存与收货'!$H$5:$H$676,0)+XLOOKUP(A245,'库存与收货'!$A$5:$A$676,'库存与收货'!$J$5:$J$676,0)</x:f>
        <x:v>13.200712359796908</x:v>
      </x:c>
      <x:c r="J245" s="21" t="n">
        <x:f>MAX(0,1-ABS(F245-I245)/MAX(I245,0.01))</x:f>
        <x:v>0.9318148429765866</x:v>
      </x:c>
      <x:c r="K245" s="21" t="n">
        <x:f>MAX(0,1-ABS(H245-I245)/MAX(I245,0.01))</x:f>
        <x:v>0.961473291154627</x:v>
      </x:c>
      <x:c r="L245" s="24" t="n">
        <x:f>MAX(I245-H245,0)</x:f>
        <x:v>0</x:v>
      </x:c>
      <x:c r="M245" s="24" t="n">
        <x:f>MAX(H245-I245,0)</x:f>
        <x:v>0.5085800016374122</x:v>
      </x:c>
      <x:c r="N245" s="19" t="str">
        <x:v>李倩</x:v>
      </x:c>
      <x:c r="O245" s="19" t="str">
        <x:v>S-按销量/BOM/日型生成</x:v>
      </x:c>
    </x:row>
    <x:row r="246">
      <x:c r="A246" s="19" t="str">
        <x:v>2026-07-13|S03|肥肉片</x:v>
      </x:c>
      <x:c r="B246" s="34" t="n">
        <x:v>46216.5</x:v>
      </x:c>
      <x:c r="C246" s="19" t="str">
        <x:v>S03</x:v>
      </x:c>
      <x:c r="D246" s="19" t="str">
        <x:v>铂悦城店</x:v>
      </x:c>
      <x:c r="E246" s="19" t="str">
        <x:v>肥肉片</x:v>
      </x:c>
      <x:c r="F246" s="32" t="n">
        <x:v>3.6107856016108517</x:v>
      </x:c>
      <x:c r="G246" s="32" t="n">
        <x:v>3.6595027757126295</x:v>
      </x:c>
      <x:c r="H246" s="24" t="n">
        <x:f>G246</x:f>
        <x:v>3.6595027757126295</x:v>
      </x:c>
      <x:c r="I246" s="24" t="n">
        <x:f>XLOOKUP(A246,'库存与收货'!$A$5:$A$676,'库存与收货'!$H$5:$H$676,0)+XLOOKUP(A246,'库存与收货'!$A$5:$A$676,'库存与收货'!$J$5:$J$676,0)</x:f>
        <x:v>3.7400905759798695</x:v>
      </x:c>
      <x:c r="J246" s="21" t="n">
        <x:f>MAX(0,1-ABS(F246-I246)/MAX(I246,0.01))</x:f>
        <x:v>0.9654273147288308</x:v>
      </x:c>
      <x:c r="K246" s="21" t="n">
        <x:f>MAX(0,1-ABS(H246-I246)/MAX(I246,0.01))</x:f>
        <x:v>0.9784529816510856</x:v>
      </x:c>
      <x:c r="L246" s="24" t="n">
        <x:f>MAX(I246-H246,0)</x:f>
        <x:v>0.08058780026724</x:v>
      </x:c>
      <x:c r="M246" s="24" t="n">
        <x:f>MAX(H246-I246,0)</x:f>
        <x:v>0</x:v>
      </x:c>
      <x:c r="N246" s="19" t="str">
        <x:v>李倩</x:v>
      </x:c>
      <x:c r="O246" s="19" t="str">
        <x:v>S-按销量/BOM/日型生成</x:v>
      </x:c>
    </x:row>
    <x:row r="247">
      <x:c r="A247" s="19" t="str">
        <x:v>2026-07-13|S03|牛肉片</x:v>
      </x:c>
      <x:c r="B247" s="34" t="n">
        <x:v>46216.5</x:v>
      </x:c>
      <x:c r="C247" s="19" t="str">
        <x:v>S03</x:v>
      </x:c>
      <x:c r="D247" s="19" t="str">
        <x:v>铂悦城店</x:v>
      </x:c>
      <x:c r="E247" s="19" t="str">
        <x:v>牛肉片</x:v>
      </x:c>
      <x:c r="F247" s="32" t="n">
        <x:v>10.93900716563731</x:v>
      </x:c>
      <x:c r="G247" s="32" t="n">
        <x:v>10.433637788010984</x:v>
      </x:c>
      <x:c r="H247" s="24" t="n">
        <x:f>G247</x:f>
        <x:v>10.433637788010984</x:v>
      </x:c>
      <x:c r="I247" s="24" t="n">
        <x:f>XLOOKUP(A247,'库存与收货'!$A$5:$A$676,'库存与收货'!$H$5:$H$676,0)+XLOOKUP(A247,'库存与收货'!$A$5:$A$676,'库存与收货'!$J$5:$J$676,0)</x:f>
        <x:v>9.313100729786814</x:v>
      </x:c>
      <x:c r="J247" s="21" t="n">
        <x:f>MAX(0,1-ABS(F247-I247)/MAX(I247,0.01))</x:f>
        <x:v>0.8254172822752541</x:v>
      </x:c>
      <x:c r="K247" s="21" t="n">
        <x:f>MAX(0,1-ABS(H247-I247)/MAX(I247,0.01))</x:f>
        <x:v>0.879681634427053</x:v>
      </x:c>
      <x:c r="L247" s="24" t="n">
        <x:f>MAX(I247-H247,0)</x:f>
        <x:v>0</x:v>
      </x:c>
      <x:c r="M247" s="24" t="n">
        <x:f>MAX(H247-I247,0)</x:f>
        <x:v>1.1205370582241692</x:v>
      </x:c>
      <x:c r="N247" s="19" t="str">
        <x:v>李倩</x:v>
      </x:c>
      <x:c r="O247" s="19" t="str">
        <x:v>S-按销量/BOM/日型生成</x:v>
      </x:c>
    </x:row>
    <x:row r="248">
      <x:c r="A248" s="19" t="str">
        <x:v>2026-07-13|S03|螺丝椒</x:v>
      </x:c>
      <x:c r="B248" s="34" t="n">
        <x:v>46216.5</x:v>
      </x:c>
      <x:c r="C248" s="19" t="str">
        <x:v>S03</x:v>
      </x:c>
      <x:c r="D248" s="19" t="str">
        <x:v>铂悦城店</x:v>
      </x:c>
      <x:c r="E248" s="19" t="str">
        <x:v>螺丝椒</x:v>
      </x:c>
      <x:c r="F248" s="32" t="n">
        <x:v>14.061182519770615</x:v>
      </x:c>
      <x:c r="G248" s="32" t="n">
        <x:v>13.783219548683991</x:v>
      </x:c>
      <x:c r="H248" s="24" t="n">
        <x:f>G248</x:f>
        <x:v>13.783219548683991</x:v>
      </x:c>
      <x:c r="I248" s="24" t="n">
        <x:f>XLOOKUP(A248,'库存与收货'!$A$5:$A$676,'库存与收货'!$H$5:$H$676,0)+XLOOKUP(A248,'库存与收货'!$A$5:$A$676,'库存与收货'!$J$5:$J$676,0)</x:f>
        <x:v>13.337837448532888</x:v>
      </x:c>
      <x:c r="J248" s="21" t="n">
        <x:f>MAX(0,1-ABS(F248-I248)/MAX(I248,0.01))</x:f>
        <x:v>0.945767439884545</x:v>
      </x:c>
      <x:c r="K248" s="21" t="n">
        <x:f>MAX(0,1-ABS(H248-I248)/MAX(I248,0.01))</x:f>
        <x:v>0.9666076227222207</x:v>
      </x:c>
      <x:c r="L248" s="24" t="n">
        <x:f>MAX(I248-H248,0)</x:f>
        <x:v>0</x:v>
      </x:c>
      <x:c r="M248" s="24" t="n">
        <x:f>MAX(H248-I248,0)</x:f>
        <x:v>0.4453821001511038</x:v>
      </x:c>
      <x:c r="N248" s="19" t="str">
        <x:v>李倩</x:v>
      </x:c>
      <x:c r="O248" s="19" t="str">
        <x:v>S-按销量/BOM/日型生成</x:v>
      </x:c>
    </x:row>
    <x:row r="249">
      <x:c r="A249" s="19" t="str">
        <x:v>2026-07-13|S03|青湖南椒圈</x:v>
      </x:c>
      <x:c r="B249" s="34" t="n">
        <x:v>46216.5</x:v>
      </x:c>
      <x:c r="C249" s="19" t="str">
        <x:v>S03</x:v>
      </x:c>
      <x:c r="D249" s="19" t="str">
        <x:v>铂悦城店</x:v>
      </x:c>
      <x:c r="E249" s="19" t="str">
        <x:v>青湖南椒圈</x:v>
      </x:c>
      <x:c r="F249" s="32" t="n">
        <x:v>1.8124031435821948</x:v>
      </x:c>
      <x:c r="G249" s="32" t="n">
        <x:v>1.909947077333836</x:v>
      </x:c>
      <x:c r="H249" s="24" t="n">
        <x:f>G249</x:f>
        <x:v>1.909947077333836</x:v>
      </x:c>
      <x:c r="I249" s="24" t="n">
        <x:f>XLOOKUP(A249,'库存与收货'!$A$5:$A$676,'库存与收货'!$H$5:$H$676,0)+XLOOKUP(A249,'库存与收货'!$A$5:$A$676,'库存与收货'!$J$5:$J$676,0)</x:f>
        <x:v>2.1773490885551667</x:v>
      </x:c>
      <x:c r="J249" s="21" t="n">
        <x:f>MAX(0,1-ABS(F249-I249)/MAX(I249,0.01))</x:f>
        <x:v>0.8323897867864906</x:v>
      </x:c>
      <x:c r="K249" s="21" t="n">
        <x:f>MAX(0,1-ABS(H249-I249)/MAX(I249,0.01))</x:f>
        <x:v>0.8771891872429277</x:v>
      </x:c>
      <x:c r="L249" s="24" t="n">
        <x:f>MAX(I249-H249,0)</x:f>
        <x:v>0.26740201122133067</x:v>
      </x:c>
      <x:c r="M249" s="24" t="n">
        <x:f>MAX(H249-I249,0)</x:f>
        <x:v>0</x:v>
      </x:c>
      <x:c r="N249" s="19" t="str">
        <x:v>李倩</x:v>
      </x:c>
      <x:c r="O249" s="19" t="str">
        <x:v>S-按销量/BOM/日型生成</x:v>
      </x:c>
    </x:row>
    <x:row r="250">
      <x:c r="A250" s="19" t="str">
        <x:v>2026-07-13|S03|鸡蛋</x:v>
      </x:c>
      <x:c r="B250" s="34" t="n">
        <x:v>46216.5</x:v>
      </x:c>
      <x:c r="C250" s="19" t="str">
        <x:v>S03</x:v>
      </x:c>
      <x:c r="D250" s="19" t="str">
        <x:v>铂悦城店</x:v>
      </x:c>
      <x:c r="E250" s="19" t="str">
        <x:v>鸡蛋</x:v>
      </x:c>
      <x:c r="F250" s="32" t="n">
        <x:v>19.45046445720812</x:v>
      </x:c>
      <x:c r="G250" s="32" t="n">
        <x:v>19.205019535878552</x:v>
      </x:c>
      <x:c r="H250" s="24" t="n">
        <x:f>G250</x:f>
        <x:v>19.205019535878552</x:v>
      </x:c>
      <x:c r="I250" s="24" t="n">
        <x:f>XLOOKUP(A250,'库存与收货'!$A$5:$A$676,'库存与收货'!$H$5:$H$676,0)+XLOOKUP(A250,'库存与收货'!$A$5:$A$676,'库存与收货'!$J$5:$J$676,0)</x:f>
        <x:v>18.860885825039794</x:v>
      </x:c>
      <x:c r="J250" s="21" t="n">
        <x:f>MAX(0,1-ABS(F250-I250)/MAX(I250,0.01))</x:f>
        <x:v>0.9687406711626663</x:v>
      </x:c>
      <x:c r="K250" s="21" t="n">
        <x:f>MAX(0,1-ABS(H250-I250)/MAX(I250,0.01))</x:f>
        <x:v>0.9817541066718147</x:v>
      </x:c>
      <x:c r="L250" s="24" t="n">
        <x:f>MAX(I250-H250,0)</x:f>
        <x:v>0</x:v>
      </x:c>
      <x:c r="M250" s="24" t="n">
        <x:f>MAX(H250-I250,0)</x:f>
        <x:v>0.3441337108387579</x:v>
      </x:c>
      <x:c r="N250" s="19" t="str">
        <x:v>李倩</x:v>
      </x:c>
      <x:c r="O250" s="19" t="str">
        <x:v>S-按销量/BOM/日型生成</x:v>
      </x:c>
    </x:row>
    <x:row r="251">
      <x:c r="A251" s="19" t="str">
        <x:v>2026-07-13|S03|鸡肉</x:v>
      </x:c>
      <x:c r="B251" s="34" t="n">
        <x:v>46216.5</x:v>
      </x:c>
      <x:c r="C251" s="19" t="str">
        <x:v>S03</x:v>
      </x:c>
      <x:c r="D251" s="19" t="str">
        <x:v>铂悦城店</x:v>
      </x:c>
      <x:c r="E251" s="19" t="str">
        <x:v>鸡肉</x:v>
      </x:c>
      <x:c r="F251" s="32" t="n">
        <x:v>5.2467227487432</x:v>
      </x:c>
      <x:c r="G251" s="32" t="n">
        <x:v>5.434142025017829</x:v>
      </x:c>
      <x:c r="H251" s="24" t="n">
        <x:f>G251</x:f>
        <x:v>5.434142025017829</x:v>
      </x:c>
      <x:c r="I251" s="24" t="n">
        <x:f>XLOOKUP(A251,'库存与收货'!$A$5:$A$676,'库存与收货'!$H$5:$H$676,0)+XLOOKUP(A251,'库存与收货'!$A$5:$A$676,'库存与收货'!$J$5:$J$676,0)</x:f>
        <x:v>5.992146673229789</x:v>
      </x:c>
      <x:c r="J251" s="21" t="n">
        <x:f>MAX(0,1-ABS(F251-I251)/MAX(I251,0.01))</x:f>
        <x:v>0.8755998534186742</x:v>
      </x:c>
      <x:c r="K251" s="21" t="n">
        <x:f>MAX(0,1-ABS(H251-I251)/MAX(I251,0.01))</x:f>
        <x:v>0.9068773381825126</x:v>
      </x:c>
      <x:c r="L251" s="24" t="n">
        <x:f>MAX(I251-H251,0)</x:f>
        <x:v>0.55800464821196</x:v>
      </x:c>
      <x:c r="M251" s="24" t="n">
        <x:f>MAX(H251-I251,0)</x:f>
        <x:v>0</x:v>
      </x:c>
      <x:c r="N251" s="19" t="str">
        <x:v>李倩</x:v>
      </x:c>
      <x:c r="O251" s="19" t="str">
        <x:v>S-按销量/BOM/日型生成</x:v>
      </x:c>
    </x:row>
    <x:row r="252">
      <x:c r="A252" s="19" t="str">
        <x:v>2026-07-13|S03|鲈鱼</x:v>
      </x:c>
      <x:c r="B252" s="34" t="n">
        <x:v>46216.5</x:v>
      </x:c>
      <x:c r="C252" s="19" t="str">
        <x:v>S03</x:v>
      </x:c>
      <x:c r="D252" s="19" t="str">
        <x:v>铂悦城店</x:v>
      </x:c>
      <x:c r="E252" s="19" t="str">
        <x:v>鲈鱼</x:v>
      </x:c>
      <x:c r="F252" s="32" t="n">
        <x:v>4.478007081240598</x:v>
      </x:c>
      <x:c r="G252" s="32" t="n">
        <x:v>4.379589355123264</x:v>
      </x:c>
      <x:c r="H252" s="24" t="n">
        <x:f>G252</x:f>
        <x:v>4.379589355123264</x:v>
      </x:c>
      <x:c r="I252" s="24" t="n">
        <x:f>XLOOKUP(A252,'库存与收货'!$A$5:$A$676,'库存与收货'!$H$5:$H$676,0)+XLOOKUP(A252,'库存与收货'!$A$5:$A$676,'库存与收货'!$J$5:$J$676,0)</x:f>
        <x:v>4.1332630607144125</x:v>
      </x:c>
      <x:c r="J252" s="21" t="n">
        <x:f>MAX(0,1-ABS(F252-I252)/MAX(I252,0.01))</x:f>
        <x:v>0.9165927705393621</x:v>
      </x:c>
      <x:c r="K252" s="21" t="n">
        <x:f>MAX(0,1-ABS(H252-I252)/MAX(I252,0.01))</x:f>
        <x:v>0.9404039155527943</x:v>
      </x:c>
      <x:c r="L252" s="24" t="n">
        <x:f>MAX(I252-H252,0)</x:f>
        <x:v>0</x:v>
      </x:c>
      <x:c r="M252" s="24" t="n">
        <x:f>MAX(H252-I252,0)</x:f>
        <x:v>0.2463262944088518</x:v>
      </x:c>
      <x:c r="N252" s="19" t="str">
        <x:v>李倩</x:v>
      </x:c>
      <x:c r="O252" s="19" t="str">
        <x:v>S-按销量/BOM/日型生成</x:v>
      </x:c>
    </x:row>
    <x:row r="253">
      <x:c r="A253" s="19" t="str">
        <x:v>2026-07-13|S03|酸包菜</x:v>
      </x:c>
      <x:c r="B253" s="34" t="n">
        <x:v>46216.5</x:v>
      </x:c>
      <x:c r="C253" s="19" t="str">
        <x:v>S03</x:v>
      </x:c>
      <x:c r="D253" s="19" t="str">
        <x:v>铂悦城店</x:v>
      </x:c>
      <x:c r="E253" s="19" t="str">
        <x:v>酸包菜</x:v>
      </x:c>
      <x:c r="F253" s="32" t="n">
        <x:v>9.071067087826545</x:v>
      </x:c>
      <x:c r="G253" s="32" t="n">
        <x:v>9.00285163540671</x:v>
      </x:c>
      <x:c r="H253" s="24" t="n">
        <x:f>G253</x:f>
        <x:v>9.00285163540671</x:v>
      </x:c>
      <x:c r="I253" s="24" t="n">
        <x:f>XLOOKUP(A253,'库存与收货'!$A$5:$A$676,'库存与收货'!$H$5:$H$676,0)+XLOOKUP(A253,'库存与收货'!$A$5:$A$676,'库存与收货'!$J$5:$J$676,0)</x:f>
        <x:v>8.90027686614666</x:v>
      </x:c>
      <x:c r="J253" s="21" t="n">
        <x:f>MAX(0,1-ABS(F253-I253)/MAX(I253,0.01))</x:f>
        <x:v>0.9808106844035933</x:v>
      </x:c>
      <x:c r="K253" s="21" t="n">
        <x:f>MAX(0,1-ABS(H253-I253)/MAX(I253,0.01))</x:f>
        <x:v>0.988475103549845</x:v>
      </x:c>
      <x:c r="L253" s="24" t="n">
        <x:f>MAX(I253-H253,0)</x:f>
        <x:v>0</x:v>
      </x:c>
      <x:c r="M253" s="24" t="n">
        <x:f>MAX(H253-I253,0)</x:f>
        <x:v>0.10257476926005005</x:v>
      </x:c>
      <x:c r="N253" s="19" t="str">
        <x:v>李倩</x:v>
      </x:c>
      <x:c r="O253" s="19" t="str">
        <x:v>S-按销量/BOM/日型生成</x:v>
      </x:c>
    </x:row>
    <x:row r="254">
      <x:c r="A254" s="19" t="str">
        <x:v>2026-07-13|S03|粉皮</x:v>
      </x:c>
      <x:c r="B254" s="34" t="n">
        <x:v>46216.5</x:v>
      </x:c>
      <x:c r="C254" s="19" t="str">
        <x:v>S03</x:v>
      </x:c>
      <x:c r="D254" s="19" t="str">
        <x:v>铂悦城店</x:v>
      </x:c>
      <x:c r="E254" s="19" t="str">
        <x:v>粉皮</x:v>
      </x:c>
      <x:c r="F254" s="32" t="n">
        <x:v>6.23289396976963</x:v>
      </x:c>
      <x:c r="G254" s="32" t="n">
        <x:v>6.3283606543799555</x:v>
      </x:c>
      <x:c r="H254" s="24" t="n">
        <x:f>G254</x:f>
        <x:v>6.3283606543799555</x:v>
      </x:c>
      <x:c r="I254" s="24" t="n">
        <x:f>XLOOKUP(A254,'库存与收货'!$A$5:$A$676,'库存与收货'!$H$5:$H$676,0)+XLOOKUP(A254,'库存与收货'!$A$5:$A$676,'库存与收货'!$J$5:$J$676,0)</x:f>
        <x:v>6.553079940490269</x:v>
      </x:c>
      <x:c r="J254" s="21" t="n">
        <x:f>MAX(0,1-ABS(F254-I254)/MAX(I254,0.01))</x:f>
        <x:v>0.9511396208152033</x:v>
      </x:c>
      <x:c r="K254" s="21" t="n">
        <x:f>MAX(0,1-ABS(H254-I254)/MAX(I254,0.01))</x:f>
        <x:v>0.96570783690249</x:v>
      </x:c>
      <x:c r="L254" s="24" t="n">
        <x:f>MAX(I254-H254,0)</x:f>
        <x:v>0.22471928611031355</x:v>
      </x:c>
      <x:c r="M254" s="24" t="n">
        <x:f>MAX(H254-I254,0)</x:f>
        <x:v>0</x:v>
      </x:c>
      <x:c r="N254" s="19" t="str">
        <x:v>李倩</x:v>
      </x:c>
      <x:c r="O254" s="19" t="str">
        <x:v>S-按销量/BOM/日型生成</x:v>
      </x:c>
    </x:row>
    <x:row r="255">
      <x:c r="A255" s="19" t="str">
        <x:v>2026-07-13|S03|鸡杂</x:v>
      </x:c>
      <x:c r="B255" s="34" t="n">
        <x:v>46216.5</x:v>
      </x:c>
      <x:c r="C255" s="19" t="str">
        <x:v>S03</x:v>
      </x:c>
      <x:c r="D255" s="19" t="str">
        <x:v>铂悦城店</x:v>
      </x:c>
      <x:c r="E255" s="19" t="str">
        <x:v>鸡杂</x:v>
      </x:c>
      <x:c r="F255" s="32" t="n">
        <x:v>3.7487782341059632</x:v>
      </x:c>
      <x:c r="G255" s="32" t="n">
        <x:v>3.880670042385054</x:v>
      </x:c>
      <x:c r="H255" s="24" t="n">
        <x:f>G255</x:f>
        <x:v>3.880670042385054</x:v>
      </x:c>
      <x:c r="I255" s="24" t="n">
        <x:f>XLOOKUP(A255,'库存与收货'!$A$5:$A$676,'库存与收货'!$H$5:$H$676,0)+XLOOKUP(A255,'库存与收货'!$A$5:$A$676,'库存与收货'!$J$5:$J$676,0)</x:f>
        <x:v>4.069814159388145</x:v>
      </x:c>
      <x:c r="J255" s="21" t="n">
        <x:f>MAX(0,1-ABS(F255-I255)/MAX(I255,0.01))</x:f>
        <x:v>0.9211177924324567</x:v>
      </x:c>
      <x:c r="K255" s="21" t="n">
        <x:f>MAX(0,1-ABS(H255-I255)/MAX(I255,0.01))</x:f>
        <x:v>0.9535251218862713</x:v>
      </x:c>
      <x:c r="L255" s="24" t="n">
        <x:f>MAX(I255-H255,0)</x:f>
        <x:v>0.18914411700309142</x:v>
      </x:c>
      <x:c r="M255" s="24" t="n">
        <x:f>MAX(H255-I255,0)</x:f>
        <x:v>0</x:v>
      </x:c>
      <x:c r="N255" s="19" t="str">
        <x:v>李倩</x:v>
      </x:c>
      <x:c r="O255" s="19" t="str">
        <x:v>S-按销量/BOM/日型生成</x:v>
      </x:c>
    </x:row>
    <x:row r="256">
      <x:c r="A256" s="19" t="str">
        <x:v>2026-07-13|S03|豆腐</x:v>
      </x:c>
      <x:c r="B256" s="34" t="n">
        <x:v>46216.5</x:v>
      </x:c>
      <x:c r="C256" s="19" t="str">
        <x:v>S03</x:v>
      </x:c>
      <x:c r="D256" s="19" t="str">
        <x:v>铂悦城店</x:v>
      </x:c>
      <x:c r="E256" s="19" t="str">
        <x:v>豆腐</x:v>
      </x:c>
      <x:c r="F256" s="32" t="n">
        <x:v>20.83397220639657</x:v>
      </x:c>
      <x:c r="G256" s="32" t="n">
        <x:v>21.67763295922707</x:v>
      </x:c>
      <x:c r="H256" s="24" t="n">
        <x:f>G256</x:f>
        <x:v>21.67763295922707</x:v>
      </x:c>
      <x:c r="I256" s="24" t="n">
        <x:f>XLOOKUP(A256,'库存与收货'!$A$5:$A$676,'库存与收货'!$H$5:$H$676,0)+XLOOKUP(A256,'库存与收货'!$A$5:$A$676,'库存与收货'!$J$5:$J$676,0)</x:f>
        <x:v>23.610911981037564</x:v>
      </x:c>
      <x:c r="J256" s="21" t="n">
        <x:f>MAX(0,1-ABS(F256-I256)/MAX(I256,0.01))</x:f>
        <x:v>0.8823874411597818</x:v>
      </x:c>
      <x:c r="K256" s="21" t="n">
        <x:f>MAX(0,1-ABS(H256-I256)/MAX(I256,0.01))</x:f>
        <x:v>0.9181192567503045</x:v>
      </x:c>
      <x:c r="L256" s="24" t="n">
        <x:f>MAX(I256-H256,0)</x:f>
        <x:v>1.9332790218104954</x:v>
      </x:c>
      <x:c r="M256" s="24" t="n">
        <x:f>MAX(H256-I256,0)</x:f>
        <x:v>0</x:v>
      </x:c>
      <x:c r="N256" s="19" t="str">
        <x:v>李倩</x:v>
      </x:c>
      <x:c r="O256" s="19" t="str">
        <x:v>S-按销量/BOM/日型生成</x:v>
      </x:c>
    </x:row>
    <x:row r="257">
      <x:c r="A257" s="19" t="str">
        <x:v>2026-07-07|S04|瘦肉片</x:v>
      </x:c>
      <x:c r="B257" s="34" t="n">
        <x:v>46210.5</x:v>
      </x:c>
      <x:c r="C257" s="19" t="str">
        <x:v>S04</x:v>
      </x:c>
      <x:c r="D257" s="19" t="str">
        <x:v>金街美地店</x:v>
      </x:c>
      <x:c r="E257" s="19" t="str">
        <x:v>瘦肉片</x:v>
      </x:c>
      <x:c r="F257" s="32" t="n">
        <x:v>10.437882508145291</x:v>
      </x:c>
      <x:c r="G257" s="32" t="n">
        <x:v>11.276371775266323</x:v>
      </x:c>
      <x:c r="H257" s="24" t="n">
        <x:f>G257</x:f>
        <x:v>11.276371775266323</x:v>
      </x:c>
      <x:c r="I257" s="24" t="n">
        <x:f>XLOOKUP(A257,'库存与收货'!$A$5:$A$676,'库存与收货'!$H$5:$H$676,0)+XLOOKUP(A257,'库存与收货'!$A$5:$A$676,'库存与收货'!$J$5:$J$676,0)</x:f>
        <x:v>12.463065778238947</x:v>
      </x:c>
      <x:c r="J257" s="21" t="n">
        <x:f>MAX(0,1-ABS(F257-I257)/MAX(I257,0.01))</x:f>
        <x:v>0.8375052089005488</x:v>
      </x:c>
      <x:c r="K257" s="21" t="n">
        <x:f>MAX(0,1-ABS(H257-I257)/MAX(I257,0.01))</x:f>
        <x:v>0.9047831389091564</x:v>
      </x:c>
      <x:c r="L257" s="24" t="n">
        <x:f>MAX(I257-H257,0)</x:f>
        <x:v>1.186694002972624</x:v>
      </x:c>
      <x:c r="M257" s="24" t="n">
        <x:f>MAX(H257-I257,0)</x:f>
        <x:v>0</x:v>
      </x:c>
      <x:c r="N257" s="19" t="str">
        <x:v>张洁</x:v>
      </x:c>
      <x:c r="O257" s="19" t="str">
        <x:v>S-按销量/BOM/日型生成</x:v>
      </x:c>
    </x:row>
    <x:row r="258">
      <x:c r="A258" s="19" t="str">
        <x:v>2026-07-07|S04|肥肉片</x:v>
      </x:c>
      <x:c r="B258" s="34" t="n">
        <x:v>46210.5</x:v>
      </x:c>
      <x:c r="C258" s="19" t="str">
        <x:v>S04</x:v>
      </x:c>
      <x:c r="D258" s="19" t="str">
        <x:v>金街美地店</x:v>
      </x:c>
      <x:c r="E258" s="19" t="str">
        <x:v>肥肉片</x:v>
      </x:c>
      <x:c r="F258" s="32" t="n">
        <x:v>3.0356529841414</x:v>
      </x:c>
      <x:c r="G258" s="32" t="n">
        <x:v>3.219326576917741</x:v>
      </x:c>
      <x:c r="H258" s="24" t="n">
        <x:f>G258</x:f>
        <x:v>3.219326576917741</x:v>
      </x:c>
      <x:c r="I258" s="24" t="n">
        <x:f>XLOOKUP(A258,'库存与收货'!$A$5:$A$676,'库存与收货'!$H$5:$H$676,0)+XLOOKUP(A258,'库存与收货'!$A$5:$A$676,'库存与收货'!$J$5:$J$676,0)</x:f>
        <x:v>3.5049470766377517</x:v>
      </x:c>
      <x:c r="J258" s="21" t="n">
        <x:f>MAX(0,1-ABS(F258-I258)/MAX(I258,0.01))</x:f>
        <x:v>0.866105227201736</x:v>
      </x:c>
      <x:c r="K258" s="21" t="n">
        <x:f>MAX(0,1-ABS(H258-I258)/MAX(I258,0.01))</x:f>
        <x:v>0.9185093259684814</x:v>
      </x:c>
      <x:c r="L258" s="24" t="n">
        <x:f>MAX(I258-H258,0)</x:f>
        <x:v>0.2856204997200109</x:v>
      </x:c>
      <x:c r="M258" s="24" t="n">
        <x:f>MAX(H258-I258,0)</x:f>
        <x:v>0</x:v>
      </x:c>
      <x:c r="N258" s="19" t="str">
        <x:v>张洁</x:v>
      </x:c>
      <x:c r="O258" s="19" t="str">
        <x:v>S-按销量/BOM/日型生成</x:v>
      </x:c>
    </x:row>
    <x:row r="259">
      <x:c r="A259" s="19" t="str">
        <x:v>2026-07-07|S04|牛肉片</x:v>
      </x:c>
      <x:c r="B259" s="34" t="n">
        <x:v>46210.5</x:v>
      </x:c>
      <x:c r="C259" s="19" t="str">
        <x:v>S04</x:v>
      </x:c>
      <x:c r="D259" s="19" t="str">
        <x:v>金街美地店</x:v>
      </x:c>
      <x:c r="E259" s="19" t="str">
        <x:v>牛肉片</x:v>
      </x:c>
      <x:c r="F259" s="32" t="n">
        <x:v>10.114397191807152</x:v>
      </x:c>
      <x:c r="G259" s="32" t="n">
        <x:v>9.754070224779491</x:v>
      </x:c>
      <x:c r="H259" s="24" t="n">
        <x:f>G259</x:f>
        <x:v>9.754070224779491</x:v>
      </x:c>
      <x:c r="I259" s="24" t="n">
        <x:f>XLOOKUP(A259,'库存与收货'!$A$5:$A$676,'库存与收货'!$H$5:$H$676,0)+XLOOKUP(A259,'库存与收货'!$A$5:$A$676,'库存与收货'!$J$5:$J$676,0)</x:f>
        <x:v>9.090018683839885</x:v>
      </x:c>
      <x:c r="J259" s="21" t="n">
        <x:f>MAX(0,1-ABS(F259-I259)/MAX(I259,0.01))</x:f>
        <x:v>0.8873073264647526</x:v>
      </x:c>
      <x:c r="K259" s="21" t="n">
        <x:f>MAX(0,1-ABS(H259-I259)/MAX(I259,0.01))</x:f>
        <x:v>0.9269471753539793</x:v>
      </x:c>
      <x:c r="L259" s="24" t="n">
        <x:f>MAX(I259-H259,0)</x:f>
        <x:v>0</x:v>
      </x:c>
      <x:c r="M259" s="24" t="n">
        <x:f>MAX(H259-I259,0)</x:f>
        <x:v>0.6640515409396066</x:v>
      </x:c>
      <x:c r="N259" s="19" t="str">
        <x:v>张洁</x:v>
      </x:c>
      <x:c r="O259" s="19" t="str">
        <x:v>S-按销量/BOM/日型生成</x:v>
      </x:c>
    </x:row>
    <x:row r="260">
      <x:c r="A260" s="19" t="str">
        <x:v>2026-07-07|S04|螺丝椒</x:v>
      </x:c>
      <x:c r="B260" s="34" t="n">
        <x:v>46210.5</x:v>
      </x:c>
      <x:c r="C260" s="19" t="str">
        <x:v>S04</x:v>
      </x:c>
      <x:c r="D260" s="19" t="str">
        <x:v>金街美地店</x:v>
      </x:c>
      <x:c r="E260" s="19" t="str">
        <x:v>螺丝椒</x:v>
      </x:c>
      <x:c r="F260" s="32" t="n">
        <x:v>12.50530910130455</x:v>
      </x:c>
      <x:c r="G260" s="32" t="n">
        <x:v>12.576577866511762</x:v>
      </x:c>
      <x:c r="H260" s="24" t="n">
        <x:f>G260</x:f>
        <x:v>12.576577866511762</x:v>
      </x:c>
      <x:c r="I260" s="24" t="n">
        <x:f>XLOOKUP(A260,'库存与收货'!$A$5:$A$676,'库存与收货'!$H$5:$H$676,0)+XLOOKUP(A260,'库存与收货'!$A$5:$A$676,'库存与收货'!$J$5:$J$676,0)</x:f>
        <x:v>12.696353837397206</x:v>
      </x:c>
      <x:c r="J260" s="21" t="n">
        <x:f>MAX(0,1-ABS(F260-I260)/MAX(I260,0.01))</x:f>
        <x:v>0.9849527873482911</x:v>
      </x:c>
      <x:c r="K260" s="21" t="n">
        <x:f>MAX(0,1-ABS(H260-I260)/MAX(I260,0.01))</x:f>
        <x:v>0.9905661127265811</x:v>
      </x:c>
      <x:c r="L260" s="24" t="n">
        <x:f>MAX(I260-H260,0)</x:f>
        <x:v>0.11977597088544378</x:v>
      </x:c>
      <x:c r="M260" s="24" t="n">
        <x:f>MAX(H260-I260,0)</x:f>
        <x:v>0</x:v>
      </x:c>
      <x:c r="N260" s="19" t="str">
        <x:v>张洁</x:v>
      </x:c>
      <x:c r="O260" s="19" t="str">
        <x:v>S-按销量/BOM/日型生成</x:v>
      </x:c>
    </x:row>
    <x:row r="261">
      <x:c r="A261" s="19" t="str">
        <x:v>2026-07-07|S04|青湖南椒圈</x:v>
      </x:c>
      <x:c r="B261" s="34" t="n">
        <x:v>46210.5</x:v>
      </x:c>
      <x:c r="C261" s="19" t="str">
        <x:v>S04</x:v>
      </x:c>
      <x:c r="D261" s="19" t="str">
        <x:v>金街美地店</x:v>
      </x:c>
      <x:c r="E261" s="19" t="str">
        <x:v>青湖南椒圈</x:v>
      </x:c>
      <x:c r="F261" s="32" t="n">
        <x:v>1.7259487727433342</x:v>
      </x:c>
      <x:c r="G261" s="32" t="n">
        <x:v>1.7873793817160712</x:v>
      </x:c>
      <x:c r="H261" s="24" t="n">
        <x:f>G261</x:f>
        <x:v>1.7873793817160712</x:v>
      </x:c>
      <x:c r="I261" s="24" t="n">
        <x:f>XLOOKUP(A261,'库存与收货'!$A$5:$A$676,'库存与收货'!$H$5:$H$676,0)+XLOOKUP(A261,'库存与收货'!$A$5:$A$676,'库存与收货'!$J$5:$J$676,0)</x:f>
        <x:v>1.95017822086757</x:v>
      </x:c>
      <x:c r="J261" s="21" t="n">
        <x:f>MAX(0,1-ABS(F261-I261)/MAX(I261,0.01))</x:f>
        <x:v>0.8850210479612046</x:v>
      </x:c>
      <x:c r="K261" s="21" t="n">
        <x:f>MAX(0,1-ABS(H261-I261)/MAX(I261,0.01))</x:f>
        <x:v>0.9165210454052375</x:v>
      </x:c>
      <x:c r="L261" s="24" t="n">
        <x:f>MAX(I261-H261,0)</x:f>
        <x:v>0.16279883915149873</x:v>
      </x:c>
      <x:c r="M261" s="24" t="n">
        <x:f>MAX(H261-I261,0)</x:f>
        <x:v>0</x:v>
      </x:c>
      <x:c r="N261" s="19" t="str">
        <x:v>张洁</x:v>
      </x:c>
      <x:c r="O261" s="19" t="str">
        <x:v>S-按销量/BOM/日型生成</x:v>
      </x:c>
    </x:row>
    <x:row r="262">
      <x:c r="A262" s="19" t="str">
        <x:v>2026-07-07|S04|鸡蛋</x:v>
      </x:c>
      <x:c r="B262" s="34" t="n">
        <x:v>46210.5</x:v>
      </x:c>
      <x:c r="C262" s="19" t="str">
        <x:v>S04</x:v>
      </x:c>
      <x:c r="D262" s="19" t="str">
        <x:v>金街美地店</x:v>
      </x:c>
      <x:c r="E262" s="19" t="str">
        <x:v>鸡蛋</x:v>
      </x:c>
      <x:c r="F262" s="32" t="n">
        <x:v>18.29977372995905</x:v>
      </x:c>
      <x:c r="G262" s="32" t="n">
        <x:v>17.891234290671644</x:v>
      </x:c>
      <x:c r="H262" s="24" t="n">
        <x:f>G262</x:f>
        <x:v>17.891234290671644</x:v>
      </x:c>
      <x:c r="I262" s="24" t="n">
        <x:f>XLOOKUP(A262,'库存与收货'!$A$5:$A$676,'库存与收货'!$H$5:$H$676,0)+XLOOKUP(A262,'库存与收货'!$A$5:$A$676,'库存与收货'!$J$5:$J$676,0)</x:f>
        <x:v>17.156355483557878</x:v>
      </x:c>
      <x:c r="J262" s="21" t="n">
        <x:f>MAX(0,1-ABS(F262-I262)/MAX(I262,0.01))</x:f>
        <x:v>0.9333530802916162</x:v>
      </x:c>
      <x:c r="K262" s="21" t="n">
        <x:f>MAX(0,1-ABS(H262-I262)/MAX(I262,0.01))</x:f>
        <x:v>0.9571657973735709</x:v>
      </x:c>
      <x:c r="L262" s="24" t="n">
        <x:f>MAX(I262-H262,0)</x:f>
        <x:v>0</x:v>
      </x:c>
      <x:c r="M262" s="24" t="n">
        <x:f>MAX(H262-I262,0)</x:f>
        <x:v>0.7348788071137662</x:v>
      </x:c>
      <x:c r="N262" s="19" t="str">
        <x:v>张洁</x:v>
      </x:c>
      <x:c r="O262" s="19" t="str">
        <x:v>S-按销量/BOM/日型生成</x:v>
      </x:c>
    </x:row>
    <x:row r="263">
      <x:c r="A263" s="19" t="str">
        <x:v>2026-07-07|S04|鸡肉</x:v>
      </x:c>
      <x:c r="B263" s="34" t="n">
        <x:v>46210.5</x:v>
      </x:c>
      <x:c r="C263" s="19" t="str">
        <x:v>S04</x:v>
      </x:c>
      <x:c r="D263" s="19" t="str">
        <x:v>金街美地店</x:v>
      </x:c>
      <x:c r="E263" s="19" t="str">
        <x:v>鸡肉</x:v>
      </x:c>
      <x:c r="F263" s="32" t="n">
        <x:v>4.62188054272655</x:v>
      </x:c>
      <x:c r="G263" s="32" t="n">
        <x:v>4.977181998669805</x:v>
      </x:c>
      <x:c r="H263" s="24" t="n">
        <x:f>G263</x:f>
        <x:v>4.977181998669805</x:v>
      </x:c>
      <x:c r="I263" s="24" t="n">
        <x:f>XLOOKUP(A263,'库存与收货'!$A$5:$A$676,'库存与收货'!$H$5:$H$676,0)+XLOOKUP(A263,'库存与收货'!$A$5:$A$676,'库存与收货'!$J$5:$J$676,0)</x:f>
        <x:v>5.543325153529487</x:v>
      </x:c>
      <x:c r="J263" s="21" t="n">
        <x:f>MAX(0,1-ABS(F263-I263)/MAX(I263,0.01))</x:f>
        <x:v>0.8337740281721983</x:v>
      </x:c>
      <x:c r="K263" s="21" t="n">
        <x:f>MAX(0,1-ABS(H263-I263)/MAX(I263,0.01))</x:f>
        <x:v>0.8978693944194824</x:v>
      </x:c>
      <x:c r="L263" s="24" t="n">
        <x:f>MAX(I263-H263,0)</x:f>
        <x:v>0.5661431548596818</x:v>
      </x:c>
      <x:c r="M263" s="24" t="n">
        <x:f>MAX(H263-I263,0)</x:f>
        <x:v>0</x:v>
      </x:c>
      <x:c r="N263" s="19" t="str">
        <x:v>张洁</x:v>
      </x:c>
      <x:c r="O263" s="19" t="str">
        <x:v>S-按销量/BOM/日型生成</x:v>
      </x:c>
    </x:row>
    <x:row r="264">
      <x:c r="A264" s="19" t="str">
        <x:v>2026-07-07|S04|鲈鱼</x:v>
      </x:c>
      <x:c r="B264" s="34" t="n">
        <x:v>46210.5</x:v>
      </x:c>
      <x:c r="C264" s="19" t="str">
        <x:v>S04</x:v>
      </x:c>
      <x:c r="D264" s="19" t="str">
        <x:v>金街美地店</x:v>
      </x:c>
      <x:c r="E264" s="19" t="str">
        <x:v>鲈鱼</x:v>
      </x:c>
      <x:c r="F264" s="32" t="n">
        <x:v>3.820791844379309</x:v>
      </x:c>
      <x:c r="G264" s="32" t="n">
        <x:v>3.7136803204685163</x:v>
      </x:c>
      <x:c r="H264" s="24" t="n">
        <x:f>G264</x:f>
        <x:v>3.7136803204685163</x:v>
      </x:c>
      <x:c r="I264" s="24" t="n">
        <x:f>XLOOKUP(A264,'库存与收货'!$A$5:$A$676,'库存与收货'!$H$5:$H$676,0)+XLOOKUP(A264,'库存与收货'!$A$5:$A$676,'库存与收货'!$J$5:$J$676,0)</x:f>
        <x:v>3.5695551048485923</x:v>
      </x:c>
      <x:c r="J264" s="21" t="n">
        <x:f>MAX(0,1-ABS(F264-I264)/MAX(I264,0.01))</x:f>
        <x:v>0.9296167919667475</x:v>
      </x:c>
      <x:c r="K264" s="21" t="n">
        <x:f>MAX(0,1-ABS(H264-I264)/MAX(I264,0.01))</x:f>
        <x:v>0.9596237594359711</x:v>
      </x:c>
      <x:c r="L264" s="24" t="n">
        <x:f>MAX(I264-H264,0)</x:f>
        <x:v>0</x:v>
      </x:c>
      <x:c r="M264" s="24" t="n">
        <x:f>MAX(H264-I264,0)</x:f>
        <x:v>0.14412521561992397</x:v>
      </x:c>
      <x:c r="N264" s="19" t="str">
        <x:v>张洁</x:v>
      </x:c>
      <x:c r="O264" s="19" t="str">
        <x:v>S-按销量/BOM/日型生成</x:v>
      </x:c>
    </x:row>
    <x:row r="265">
      <x:c r="A265" s="19" t="str">
        <x:v>2026-07-07|S04|酸包菜</x:v>
      </x:c>
      <x:c r="B265" s="34" t="n">
        <x:v>46210.5</x:v>
      </x:c>
      <x:c r="C265" s="19" t="str">
        <x:v>S04</x:v>
      </x:c>
      <x:c r="D265" s="19" t="str">
        <x:v>金街美地店</x:v>
      </x:c>
      <x:c r="E265" s="19" t="str">
        <x:v>酸包菜</x:v>
      </x:c>
      <x:c r="F265" s="32" t="n">
        <x:v>8.671915128267386</x:v>
      </x:c>
      <x:c r="G265" s="32" t="n">
        <x:v>8.43009217977177</x:v>
      </x:c>
      <x:c r="H265" s="24" t="n">
        <x:f>G265</x:f>
        <x:v>8.43009217977177</x:v>
      </x:c>
      <x:c r="I265" s="24" t="n">
        <x:f>XLOOKUP(A265,'库存与收货'!$A$5:$A$676,'库存与收货'!$H$5:$H$676,0)+XLOOKUP(A265,'库存与收货'!$A$5:$A$676,'库存与收货'!$J$5:$J$676,0)</x:f>
        <x:v>8.057060661893818</x:v>
      </x:c>
      <x:c r="J265" s="21" t="n">
        <x:f>MAX(0,1-ABS(F265-I265)/MAX(I265,0.01))</x:f>
        <x:v>0.9236874969451891</x:v>
      </x:c>
      <x:c r="K265" s="21" t="n">
        <x:f>MAX(0,1-ABS(H265-I265)/MAX(I265,0.01))</x:f>
        <x:v>0.9537012896474494</x:v>
      </x:c>
      <x:c r="L265" s="24" t="n">
        <x:f>MAX(I265-H265,0)</x:f>
        <x:v>0</x:v>
      </x:c>
      <x:c r="M265" s="24" t="n">
        <x:f>MAX(H265-I265,0)</x:f>
        <x:v>0.3730315178779513</x:v>
      </x:c>
      <x:c r="N265" s="19" t="str">
        <x:v>张洁</x:v>
      </x:c>
      <x:c r="O265" s="19" t="str">
        <x:v>S-按销量/BOM/日型生成</x:v>
      </x:c>
    </x:row>
    <x:row r="266">
      <x:c r="A266" s="19" t="str">
        <x:v>2026-07-07|S04|粉皮</x:v>
      </x:c>
      <x:c r="B266" s="34" t="n">
        <x:v>46210.5</x:v>
      </x:c>
      <x:c r="C266" s="19" t="str">
        <x:v>S04</x:v>
      </x:c>
      <x:c r="D266" s="19" t="str">
        <x:v>金街美地店</x:v>
      </x:c>
      <x:c r="E266" s="19" t="str">
        <x:v>粉皮</x:v>
      </x:c>
      <x:c r="F266" s="32" t="n">
        <x:v>6.0905721654997125</x:v>
      </x:c>
      <x:c r="G266" s="32" t="n">
        <x:v>6.051670852459238</x:v>
      </x:c>
      <x:c r="H266" s="24" t="n">
        <x:f>G266</x:f>
        <x:v>6.051670852459238</x:v>
      </x:c>
      <x:c r="I266" s="24" t="n">
        <x:f>XLOOKUP(A266,'库存与收货'!$A$5:$A$676,'库存与收货'!$H$5:$H$676,0)+XLOOKUP(A266,'库存与收货'!$A$5:$A$676,'库存与收货'!$J$5:$J$676,0)</x:f>
        <x:v>5.991587392524313</x:v>
      </x:c>
      <x:c r="J266" s="21" t="n">
        <x:f>MAX(0,1-ABS(F266-I266)/MAX(I266,0.01))</x:f>
        <x:v>0.9834793742474819</x:v>
      </x:c>
      <x:c r="K266" s="21" t="n">
        <x:f>MAX(0,1-ABS(H266-I266)/MAX(I266,0.01))</x:f>
        <x:v>0.9899720297813078</x:v>
      </x:c>
      <x:c r="L266" s="24" t="n">
        <x:f>MAX(I266-H266,0)</x:f>
        <x:v>0</x:v>
      </x:c>
      <x:c r="M266" s="24" t="n">
        <x:f>MAX(H266-I266,0)</x:f>
        <x:v>0.060083459934925365</x:v>
      </x:c>
      <x:c r="N266" s="19" t="str">
        <x:v>张洁</x:v>
      </x:c>
      <x:c r="O266" s="19" t="str">
        <x:v>S-按销量/BOM/日型生成</x:v>
      </x:c>
    </x:row>
    <x:row r="267">
      <x:c r="A267" s="19" t="str">
        <x:v>2026-07-07|S04|鸡杂</x:v>
      </x:c>
      <x:c r="B267" s="34" t="n">
        <x:v>46210.5</x:v>
      </x:c>
      <x:c r="C267" s="19" t="str">
        <x:v>S04</x:v>
      </x:c>
      <x:c r="D267" s="19" t="str">
        <x:v>金街美地店</x:v>
      </x:c>
      <x:c r="E267" s="19" t="str">
        <x:v>鸡杂</x:v>
      </x:c>
      <x:c r="F267" s="32" t="n">
        <x:v>3.400956172538783</x:v>
      </x:c>
      <x:c r="G267" s="32" t="n">
        <x:v>3.520901890247383</x:v>
      </x:c>
      <x:c r="H267" s="24" t="n">
        <x:f>G267</x:f>
        <x:v>3.520901890247383</x:v>
      </x:c>
      <x:c r="I267" s="24" t="n">
        <x:f>XLOOKUP(A267,'库存与收货'!$A$5:$A$676,'库存与收货'!$H$5:$H$676,0)+XLOOKUP(A267,'库存与收货'!$A$5:$A$676,'库存与收货'!$J$5:$J$676,0)</x:f>
        <x:v>3.8246195218626804</x:v>
      </x:c>
      <x:c r="J267" s="21" t="n">
        <x:f>MAX(0,1-ABS(F267-I267)/MAX(I267,0.01))</x:f>
        <x:v>0.889227321331675</x:v>
      </x:c>
      <x:c r="K267" s="21" t="n">
        <x:f>MAX(0,1-ABS(H267-I267)/MAX(I267,0.01))</x:f>
        <x:v>0.9205887984728531</x:v>
      </x:c>
      <x:c r="L267" s="24" t="n">
        <x:f>MAX(I267-H267,0)</x:f>
        <x:v>0.3037176316152972</x:v>
      </x:c>
      <x:c r="M267" s="24" t="n">
        <x:f>MAX(H267-I267,0)</x:f>
        <x:v>0</x:v>
      </x:c>
      <x:c r="N267" s="19" t="str">
        <x:v>张洁</x:v>
      </x:c>
      <x:c r="O267" s="19" t="str">
        <x:v>S-按销量/BOM/日型生成</x:v>
      </x:c>
    </x:row>
    <x:row r="268">
      <x:c r="A268" s="19" t="str">
        <x:v>2026-07-07|S04|豆腐</x:v>
      </x:c>
      <x:c r="B268" s="34" t="n">
        <x:v>46210.5</x:v>
      </x:c>
      <x:c r="C268" s="19" t="str">
        <x:v>S04</x:v>
      </x:c>
      <x:c r="D268" s="19" t="str">
        <x:v>金街美地店</x:v>
      </x:c>
      <x:c r="E268" s="19" t="str">
        <x:v>豆腐</x:v>
      </x:c>
      <x:c r="F268" s="32" t="n">
        <x:v>21.97846038088415</x:v>
      </x:c>
      <x:c r="G268" s="32" t="n">
        <x:v>21.868175596904326</x:v>
      </x:c>
      <x:c r="H268" s="24" t="n">
        <x:f>G268</x:f>
        <x:v>21.868175596904326</x:v>
      </x:c>
      <x:c r="I268" s="24" t="n">
        <x:f>XLOOKUP(A268,'库存与收货'!$A$5:$A$676,'库存与收货'!$H$5:$H$676,0)+XLOOKUP(A268,'库存与收货'!$A$5:$A$676,'库存与收货'!$J$5:$J$676,0)</x:f>
        <x:v>21.72852018196334</x:v>
      </x:c>
      <x:c r="J268" s="21" t="n">
        <x:f>MAX(0,1-ABS(F268-I268)/MAX(I268,0.01))</x:f>
        <x:v>0.9884971366283708</x:v>
      </x:c>
      <x:c r="K268" s="21" t="n">
        <x:f>MAX(0,1-ABS(H268-I268)/MAX(I268,0.01))</x:f>
        <x:v>0.9935727139367313</x:v>
      </x:c>
      <x:c r="L268" s="24" t="n">
        <x:f>MAX(I268-H268,0)</x:f>
        <x:v>0</x:v>
      </x:c>
      <x:c r="M268" s="24" t="n">
        <x:f>MAX(H268-I268,0)</x:f>
        <x:v>0.13965541494098588</x:v>
      </x:c>
      <x:c r="N268" s="19" t="str">
        <x:v>张洁</x:v>
      </x:c>
      <x:c r="O268" s="19" t="str">
        <x:v>S-按销量/BOM/日型生成</x:v>
      </x:c>
    </x:row>
    <x:row r="269">
      <x:c r="A269" s="19" t="str">
        <x:v>2026-07-08|S04|瘦肉片</x:v>
      </x:c>
      <x:c r="B269" s="34" t="n">
        <x:v>46211.5</x:v>
      </x:c>
      <x:c r="C269" s="19" t="str">
        <x:v>S04</x:v>
      </x:c>
      <x:c r="D269" s="19" t="str">
        <x:v>金街美地店</x:v>
      </x:c>
      <x:c r="E269" s="19" t="str">
        <x:v>瘦肉片</x:v>
      </x:c>
      <x:c r="F269" s="32" t="n">
        <x:v>11.185545006800583</x:v>
      </x:c>
      <x:c r="G269" s="32" t="n">
        <x:v>11.313278145331376</x:v>
      </x:c>
      <x:c r="H269" s="24" t="n">
        <x:f>G269</x:f>
        <x:v>11.313278145331376</x:v>
      </x:c>
      <x:c r="I269" s="24" t="n">
        <x:f>XLOOKUP(A269,'库存与收货'!$A$5:$A$676,'库存与收货'!$H$5:$H$676,0)+XLOOKUP(A269,'库存与收货'!$A$5:$A$676,'库存与收货'!$J$5:$J$676,0)</x:f>
        <x:v>11.549987789837756</x:v>
      </x:c>
      <x:c r="J269" s="21" t="n">
        <x:f>MAX(0,1-ABS(F269-I269)/MAX(I269,0.01))</x:f>
        <x:v>0.9684464789341312</x:v>
      </x:c>
      <x:c r="K269" s="21" t="n">
        <x:f>MAX(0,1-ABS(H269-I269)/MAX(I269,0.01))</x:f>
        <x:v>0.9795056368185385</x:v>
      </x:c>
      <x:c r="L269" s="24" t="n">
        <x:f>MAX(I269-H269,0)</x:f>
        <x:v>0.2367096445063801</x:v>
      </x:c>
      <x:c r="M269" s="24" t="n">
        <x:f>MAX(H269-I269,0)</x:f>
        <x:v>0</x:v>
      </x:c>
      <x:c r="N269" s="19" t="str">
        <x:v>张洁</x:v>
      </x:c>
      <x:c r="O269" s="19" t="str">
        <x:v>S-按销量/BOM/日型生成</x:v>
      </x:c>
    </x:row>
    <x:row r="270">
      <x:c r="A270" s="19" t="str">
        <x:v>2026-07-08|S04|肥肉片</x:v>
      </x:c>
      <x:c r="B270" s="34" t="n">
        <x:v>46211.5</x:v>
      </x:c>
      <x:c r="C270" s="19" t="str">
        <x:v>S04</x:v>
      </x:c>
      <x:c r="D270" s="19" t="str">
        <x:v>金街美地店</x:v>
      </x:c>
      <x:c r="E270" s="19" t="str">
        <x:v>肥肉片</x:v>
      </x:c>
      <x:c r="F270" s="32" t="n">
        <x:v>2.9030512105602426</x:v>
      </x:c>
      <x:c r="G270" s="32" t="n">
        <x:v>3.04136992609671</x:v>
      </x:c>
      <x:c r="H270" s="24" t="n">
        <x:f>G270</x:f>
        <x:v>3.04136992609671</x:v>
      </x:c>
      <x:c r="I270" s="24" t="n">
        <x:f>XLOOKUP(A270,'库存与收货'!$A$5:$A$676,'库存与收货'!$H$5:$H$676,0)+XLOOKUP(A270,'库存与收货'!$A$5:$A$676,'库存与收货'!$J$5:$J$676,0)</x:f>
        <x:v>3.3002069399739167</x:v>
      </x:c>
      <x:c r="J270" s="21" t="n">
        <x:f>MAX(0,1-ABS(F270-I270)/MAX(I270,0.01))</x:f>
        <x:v>0.8796573255443147</x:v>
      </x:c>
      <x:c r="K270" s="21" t="n">
        <x:f>MAX(0,1-ABS(H270-I270)/MAX(I270,0.01))</x:f>
        <x:v>0.9215694595566021</x:v>
      </x:c>
      <x:c r="L270" s="24" t="n">
        <x:f>MAX(I270-H270,0)</x:f>
        <x:v>0.2588370138772067</x:v>
      </x:c>
      <x:c r="M270" s="24" t="n">
        <x:f>MAX(H270-I270,0)</x:f>
        <x:v>0</x:v>
      </x:c>
      <x:c r="N270" s="19" t="str">
        <x:v>张洁</x:v>
      </x:c>
      <x:c r="O270" s="19" t="str">
        <x:v>S-按销量/BOM/日型生成</x:v>
      </x:c>
    </x:row>
    <x:row r="271">
      <x:c r="A271" s="19" t="str">
        <x:v>2026-07-08|S04|牛肉片</x:v>
      </x:c>
      <x:c r="B271" s="34" t="n">
        <x:v>46211.5</x:v>
      </x:c>
      <x:c r="C271" s="19" t="str">
        <x:v>S04</x:v>
      </x:c>
      <x:c r="D271" s="19" t="str">
        <x:v>金街美地店</x:v>
      </x:c>
      <x:c r="E271" s="19" t="str">
        <x:v>牛肉片</x:v>
      </x:c>
      <x:c r="F271" s="32" t="n">
        <x:v>7.985227619990554</x:v>
      </x:c>
      <x:c r="G271" s="32" t="n">
        <x:v>8.349363342336106</x:v>
      </x:c>
      <x:c r="H271" s="24" t="n">
        <x:f>G271</x:f>
        <x:v>8.349363342336106</x:v>
      </x:c>
      <x:c r="I271" s="24" t="n">
        <x:f>XLOOKUP(A271,'库存与收货'!$A$5:$A$676,'库存与收货'!$H$5:$H$676,0)+XLOOKUP(A271,'库存与收货'!$A$5:$A$676,'库存与收货'!$J$5:$J$676,0)</x:f>
        <x:v>9.019615243295467</x:v>
      </x:c>
      <x:c r="J271" s="21" t="n">
        <x:f>MAX(0,1-ABS(F271-I271)/MAX(I271,0.01))</x:f>
        <x:v>0.8853179880290567</x:v>
      </x:c>
      <x:c r="K271" s="21" t="n">
        <x:f>MAX(0,1-ABS(H271-I271)/MAX(I271,0.01))</x:f>
        <x:v>0.9256895241227082</x:v>
      </x:c>
      <x:c r="L271" s="24" t="n">
        <x:f>MAX(I271-H271,0)</x:f>
        <x:v>0.6702519009593608</x:v>
      </x:c>
      <x:c r="M271" s="24" t="n">
        <x:f>MAX(H271-I271,0)</x:f>
        <x:v>0</x:v>
      </x:c>
      <x:c r="N271" s="19" t="str">
        <x:v>张洁</x:v>
      </x:c>
      <x:c r="O271" s="19" t="str">
        <x:v>S-按销量/BOM/日型生成</x:v>
      </x:c>
    </x:row>
    <x:row r="272">
      <x:c r="A272" s="19" t="str">
        <x:v>2026-07-08|S04|螺丝椒</x:v>
      </x:c>
      <x:c r="B272" s="34" t="n">
        <x:v>46211.5</x:v>
      </x:c>
      <x:c r="C272" s="19" t="str">
        <x:v>S04</x:v>
      </x:c>
      <x:c r="D272" s="19" t="str">
        <x:v>金街美地店</x:v>
      </x:c>
      <x:c r="E272" s="19" t="str">
        <x:v>螺丝椒</x:v>
      </x:c>
      <x:c r="F272" s="32" t="n">
        <x:v>11.320582004397208</x:v>
      </x:c>
      <x:c r="G272" s="32" t="n">
        <x:v>11.552822970796088</x:v>
      </x:c>
      <x:c r="H272" s="24" t="n">
        <x:f>G272</x:f>
        <x:v>11.552822970796088</x:v>
      </x:c>
      <x:c r="I272" s="24" t="n">
        <x:f>XLOOKUP(A272,'库存与收货'!$A$5:$A$676,'库存与收货'!$H$5:$H$676,0)+XLOOKUP(A272,'库存与收货'!$A$5:$A$676,'库存与收货'!$J$5:$J$676,0)</x:f>
        <x:v>12.159026663184987</x:v>
      </x:c>
      <x:c r="J272" s="21" t="n">
        <x:f>MAX(0,1-ABS(F272-I272)/MAX(I272,0.01))</x:f>
        <x:v>0.9310434394122669</x:v>
      </x:c>
      <x:c r="K272" s="21" t="n">
        <x:f>MAX(0,1-ABS(H272-I272)/MAX(I272,0.01))</x:f>
        <x:v>0.9501437319629903</x:v>
      </x:c>
      <x:c r="L272" s="24" t="n">
        <x:f>MAX(I272-H272,0)</x:f>
        <x:v>0.6062036923888989</x:v>
      </x:c>
      <x:c r="M272" s="24" t="n">
        <x:f>MAX(H272-I272,0)</x:f>
        <x:v>0</x:v>
      </x:c>
      <x:c r="N272" s="19" t="str">
        <x:v>张洁</x:v>
      </x:c>
      <x:c r="O272" s="19" t="str">
        <x:v>S-按销量/BOM/日型生成</x:v>
      </x:c>
    </x:row>
    <x:row r="273">
      <x:c r="A273" s="19" t="str">
        <x:v>2026-07-08|S04|青湖南椒圈</x:v>
      </x:c>
      <x:c r="B273" s="34" t="n">
        <x:v>46211.5</x:v>
      </x:c>
      <x:c r="C273" s="19" t="str">
        <x:v>S04</x:v>
      </x:c>
      <x:c r="D273" s="19" t="str">
        <x:v>金街美地店</x:v>
      </x:c>
      <x:c r="E273" s="19" t="str">
        <x:v>青湖南椒圈</x:v>
      </x:c>
      <x:c r="F273" s="32" t="n">
        <x:v>1.9126056046612117</x:v>
      </x:c>
      <x:c r="G273" s="32" t="n">
        <x:v>1.8654106791281246</x:v>
      </x:c>
      <x:c r="H273" s="24" t="n">
        <x:f>G273</x:f>
        <x:v>1.8654106791281246</x:v>
      </x:c>
      <x:c r="I273" s="24" t="n">
        <x:f>XLOOKUP(A273,'库存与收货'!$A$5:$A$676,'库存与收货'!$H$5:$H$676,0)+XLOOKUP(A273,'库存与收货'!$A$5:$A$676,'库存与收货'!$J$5:$J$676,0)</x:f>
        <x:v>1.7322543813083913</x:v>
      </x:c>
      <x:c r="J273" s="21" t="n">
        <x:f>MAX(0,1-ABS(F273-I273)/MAX(I273,0.01))</x:f>
        <x:v>0.895886409467991</x:v>
      </x:c>
      <x:c r="K273" s="21" t="n">
        <x:f>MAX(0,1-ABS(H273-I273)/MAX(I273,0.01))</x:f>
        <x:v>0.9231312102561063</x:v>
      </x:c>
      <x:c r="L273" s="24" t="n">
        <x:f>MAX(I273-H273,0)</x:f>
        <x:v>0</x:v>
      </x:c>
      <x:c r="M273" s="24" t="n">
        <x:f>MAX(H273-I273,0)</x:f>
        <x:v>0.13315629781973337</x:v>
      </x:c>
      <x:c r="N273" s="19" t="str">
        <x:v>张洁</x:v>
      </x:c>
      <x:c r="O273" s="19" t="str">
        <x:v>S-按销量/BOM/日型生成</x:v>
      </x:c>
    </x:row>
    <x:row r="274">
      <x:c r="A274" s="19" t="str">
        <x:v>2026-07-08|S04|鸡蛋</x:v>
      </x:c>
      <x:c r="B274" s="34" t="n">
        <x:v>46211.5</x:v>
      </x:c>
      <x:c r="C274" s="19" t="str">
        <x:v>S04</x:v>
      </x:c>
      <x:c r="D274" s="19" t="str">
        <x:v>金街美地店</x:v>
      </x:c>
      <x:c r="E274" s="19" t="str">
        <x:v>鸡蛋</x:v>
      </x:c>
      <x:c r="F274" s="32" t="n">
        <x:v>16.496731830175193</x:v>
      </x:c>
      <x:c r="G274" s="32" t="n">
        <x:v>16.80827662909403</x:v>
      </x:c>
      <x:c r="H274" s="24" t="n">
        <x:f>G274</x:f>
        <x:v>16.80827662909403</x:v>
      </x:c>
      <x:c r="I274" s="24" t="n">
        <x:f>XLOOKUP(A274,'库存与收货'!$A$5:$A$676,'库存与收货'!$H$5:$H$676,0)+XLOOKUP(A274,'库存与收货'!$A$5:$A$676,'库存与收货'!$J$5:$J$676,0)</x:f>
        <x:v>17.284505262890775</x:v>
      </x:c>
      <x:c r="J274" s="21" t="n">
        <x:f>MAX(0,1-ABS(F274-I274)/MAX(I274,0.01))</x:f>
        <x:v>0.954423142535245</x:v>
      </x:c>
      <x:c r="K274" s="21" t="n">
        <x:f>MAX(0,1-ABS(H274-I274)/MAX(I274,0.01))</x:f>
        <x:v>0.9724476560622658</x:v>
      </x:c>
      <x:c r="L274" s="24" t="n">
        <x:f>MAX(I274-H274,0)</x:f>
        <x:v>0.47622863379674385</x:v>
      </x:c>
      <x:c r="M274" s="24" t="n">
        <x:f>MAX(H274-I274,0)</x:f>
        <x:v>0</x:v>
      </x:c>
      <x:c r="N274" s="19" t="str">
        <x:v>张洁</x:v>
      </x:c>
      <x:c r="O274" s="19" t="str">
        <x:v>S-按销量/BOM/日型生成</x:v>
      </x:c>
    </x:row>
    <x:row r="275">
      <x:c r="A275" s="19" t="str">
        <x:v>2026-07-08|S04|鸡肉</x:v>
      </x:c>
      <x:c r="B275" s="34" t="n">
        <x:v>46211.5</x:v>
      </x:c>
      <x:c r="C275" s="19" t="str">
        <x:v>S04</x:v>
      </x:c>
      <x:c r="D275" s="19" t="str">
        <x:v>金街美地店</x:v>
      </x:c>
      <x:c r="E275" s="19" t="str">
        <x:v>鸡肉</x:v>
      </x:c>
      <x:c r="F275" s="32" t="n">
        <x:v>6.4070315778438784</x:v>
      </x:c>
      <x:c r="G275" s="32" t="n">
        <x:v>6.083200315693841</x:v>
      </x:c>
      <x:c r="H275" s="24" t="n">
        <x:f>G275</x:f>
        <x:v>6.083200315693841</x:v>
      </x:c>
      <x:c r="I275" s="24" t="n">
        <x:f>XLOOKUP(A275,'库存与收货'!$A$5:$A$676,'库存与收货'!$H$5:$H$676,0)+XLOOKUP(A275,'库存与收货'!$A$5:$A$676,'库存与收货'!$J$5:$J$676,0)</x:f>
        <x:v>5.601164531122466</x:v>
      </x:c>
      <x:c r="J275" s="21" t="n">
        <x:f>MAX(0,1-ABS(F275-I275)/MAX(I275,0.01))</x:f>
        <x:v>0.8561250893017567</x:v>
      </x:c>
      <x:c r="K275" s="21" t="n">
        <x:f>MAX(0,1-ABS(H275-I275)/MAX(I275,0.01))</x:f>
        <x:v>0.9139400776583195</x:v>
      </x:c>
      <x:c r="L275" s="24" t="n">
        <x:f>MAX(I275-H275,0)</x:f>
        <x:v>0</x:v>
      </x:c>
      <x:c r="M275" s="24" t="n">
        <x:f>MAX(H275-I275,0)</x:f>
        <x:v>0.48203578457137475</x:v>
      </x:c>
      <x:c r="N275" s="19" t="str">
        <x:v>张洁</x:v>
      </x:c>
      <x:c r="O275" s="19" t="str">
        <x:v>S-按销量/BOM/日型生成</x:v>
      </x:c>
    </x:row>
    <x:row r="276">
      <x:c r="A276" s="19" t="str">
        <x:v>2026-07-08|S04|鲈鱼</x:v>
      </x:c>
      <x:c r="B276" s="34" t="n">
        <x:v>46211.5</x:v>
      </x:c>
      <x:c r="C276" s="19" t="str">
        <x:v>S04</x:v>
      </x:c>
      <x:c r="D276" s="19" t="str">
        <x:v>金街美地店</x:v>
      </x:c>
      <x:c r="E276" s="19" t="str">
        <x:v>鲈鱼</x:v>
      </x:c>
      <x:c r="F276" s="32" t="n">
        <x:v>3.3660365954832376</x:v>
      </x:c>
      <x:c r="G276" s="32" t="n">
        <x:v>3.443397783537275</x:v>
      </x:c>
      <x:c r="H276" s="24" t="n">
        <x:f>G276</x:f>
        <x:v>3.443397783537275</x:v>
      </x:c>
      <x:c r="I276" s="24" t="n">
        <x:f>XLOOKUP(A276,'库存与收货'!$A$5:$A$676,'库存与收货'!$H$5:$H$676,0)+XLOOKUP(A276,'库存与收货'!$A$5:$A$676,'库存与收货'!$J$5:$J$676,0)</x:f>
        <x:v>3.630316496167289</x:v>
      </x:c>
      <x:c r="J276" s="21" t="n">
        <x:f>MAX(0,1-ABS(F276-I276)/MAX(I276,0.01))</x:f>
        <x:v>0.9272019668359315</x:v>
      </x:c>
      <x:c r="K276" s="21" t="n">
        <x:f>MAX(0,1-ABS(H276-I276)/MAX(I276,0.01))</x:f>
        <x:v>0.9485117309117942</x:v>
      </x:c>
      <x:c r="L276" s="24" t="n">
        <x:f>MAX(I276-H276,0)</x:f>
        <x:v>0.18691871263001403</x:v>
      </x:c>
      <x:c r="M276" s="24" t="n">
        <x:f>MAX(H276-I276,0)</x:f>
        <x:v>0</x:v>
      </x:c>
      <x:c r="N276" s="19" t="str">
        <x:v>张洁</x:v>
      </x:c>
      <x:c r="O276" s="19" t="str">
        <x:v>S-按销量/BOM/日型生成</x:v>
      </x:c>
    </x:row>
    <x:row r="277">
      <x:c r="A277" s="19" t="str">
        <x:v>2026-07-08|S04|酸包菜</x:v>
      </x:c>
      <x:c r="B277" s="34" t="n">
        <x:v>46211.5</x:v>
      </x:c>
      <x:c r="C277" s="19" t="str">
        <x:v>S04</x:v>
      </x:c>
      <x:c r="D277" s="19" t="str">
        <x:v>金街美地店</x:v>
      </x:c>
      <x:c r="E277" s="19" t="str">
        <x:v>酸包菜</x:v>
      </x:c>
      <x:c r="F277" s="32" t="n">
        <x:v>7.219958858807764</x:v>
      </x:c>
      <x:c r="G277" s="32" t="n">
        <x:v>7.3989138710416</x:v>
      </x:c>
      <x:c r="H277" s="24" t="n">
        <x:f>G277</x:f>
        <x:v>7.3989138710416</x:v>
      </x:c>
      <x:c r="I277" s="24" t="n">
        <x:f>XLOOKUP(A277,'库存与收货'!$A$5:$A$676,'库存与收货'!$H$5:$H$676,0)+XLOOKUP(A277,'库存与收货'!$A$5:$A$676,'库存与收货'!$J$5:$J$676,0)</x:f>
        <x:v>7.930983076808271</x:v>
      </x:c>
      <x:c r="J277" s="21" t="n">
        <x:f>MAX(0,1-ABS(F277-I277)/MAX(I277,0.01))</x:f>
        <x:v>0.910348539252381</x:v>
      </x:c>
      <x:c r="K277" s="21" t="n">
        <x:f>MAX(0,1-ABS(H277-I277)/MAX(I277,0.01))</x:f>
        <x:v>0.9329125783507792</x:v>
      </x:c>
      <x:c r="L277" s="24" t="n">
        <x:f>MAX(I277-H277,0)</x:f>
        <x:v>0.5320692057666712</x:v>
      </x:c>
      <x:c r="M277" s="24" t="n">
        <x:f>MAX(H277-I277,0)</x:f>
        <x:v>0</x:v>
      </x:c>
      <x:c r="N277" s="19" t="str">
        <x:v>张洁</x:v>
      </x:c>
      <x:c r="O277" s="19" t="str">
        <x:v>S-按销量/BOM/日型生成</x:v>
      </x:c>
    </x:row>
    <x:row r="278">
      <x:c r="A278" s="19" t="str">
        <x:v>2026-07-08|S04|粉皮</x:v>
      </x:c>
      <x:c r="B278" s="34" t="n">
        <x:v>46211.5</x:v>
      </x:c>
      <x:c r="C278" s="19" t="str">
        <x:v>S04</x:v>
      </x:c>
      <x:c r="D278" s="19" t="str">
        <x:v>金街美地店</x:v>
      </x:c>
      <x:c r="E278" s="19" t="str">
        <x:v>粉皮</x:v>
      </x:c>
      <x:c r="F278" s="32" t="n">
        <x:v>6.462515603412163</x:v>
      </x:c>
      <x:c r="G278" s="32" t="n">
        <x:v>6.334770301439929</x:v>
      </x:c>
      <x:c r="H278" s="24" t="n">
        <x:f>G278</x:f>
        <x:v>6.334770301439929</x:v>
      </x:c>
      <x:c r="I278" s="24" t="n">
        <x:f>XLOOKUP(A278,'库存与收货'!$A$5:$A$676,'库存与收货'!$H$5:$H$676,0)+XLOOKUP(A278,'库存与收货'!$A$5:$A$676,'库存与收货'!$J$5:$J$676,0)</x:f>
        <x:v>5.980336345394104</x:v>
      </x:c>
      <x:c r="J278" s="21" t="n">
        <x:f>MAX(0,1-ABS(F278-I278)/MAX(I278,0.01))</x:f>
        <x:v>0.9193725519486173</x:v>
      </x:c>
      <x:c r="K278" s="21" t="n">
        <x:f>MAX(0,1-ABS(H278-I278)/MAX(I278,0.01))</x:f>
        <x:v>0.9407334411351628</x:v>
      </x:c>
      <x:c r="L278" s="24" t="n">
        <x:f>MAX(I278-H278,0)</x:f>
        <x:v>0</x:v>
      </x:c>
      <x:c r="M278" s="24" t="n">
        <x:f>MAX(H278-I278,0)</x:f>
        <x:v>0.35443395604582495</x:v>
      </x:c>
      <x:c r="N278" s="19" t="str">
        <x:v>张洁</x:v>
      </x:c>
      <x:c r="O278" s="19" t="str">
        <x:v>S-按销量/BOM/日型生成</x:v>
      </x:c>
    </x:row>
    <x:row r="279">
      <x:c r="A279" s="19" t="str">
        <x:v>2026-07-08|S04|鸡杂</x:v>
      </x:c>
      <x:c r="B279" s="34" t="n">
        <x:v>46211.5</x:v>
      </x:c>
      <x:c r="C279" s="19" t="str">
        <x:v>S04</x:v>
      </x:c>
      <x:c r="D279" s="19" t="str">
        <x:v>金街美地店</x:v>
      </x:c>
      <x:c r="E279" s="19" t="str">
        <x:v>鸡杂</x:v>
      </x:c>
      <x:c r="F279" s="32" t="n">
        <x:v>3.7621486190999054</x:v>
      </x:c>
      <x:c r="G279" s="32" t="n">
        <x:v>3.638599003961177</x:v>
      </x:c>
      <x:c r="H279" s="24" t="n">
        <x:f>G279</x:f>
        <x:v>3.638599003961177</x:v>
      </x:c>
      <x:c r="I279" s="24" t="n">
        <x:f>XLOOKUP(A279,'库存与收货'!$A$5:$A$676,'库存与收货'!$H$5:$H$676,0)+XLOOKUP(A279,'库存与收货'!$A$5:$A$676,'库存与收货'!$J$5:$J$676,0)</x:f>
        <x:v>3.3214313859315427</x:v>
      </x:c>
      <x:c r="J279" s="21" t="n">
        <x:f>MAX(0,1-ABS(F279-I279)/MAX(I279,0.01))</x:f>
        <x:v>0.8673110529890542</x:v>
      </x:c>
      <x:c r="K279" s="21" t="n">
        <x:f>MAX(0,1-ABS(H279-I279)/MAX(I279,0.01))</x:f>
        <x:v>0.904508755058723</x:v>
      </x:c>
      <x:c r="L279" s="24" t="n">
        <x:f>MAX(I279-H279,0)</x:f>
        <x:v>0</x:v>
      </x:c>
      <x:c r="M279" s="24" t="n">
        <x:f>MAX(H279-I279,0)</x:f>
        <x:v>0.3171676180296341</x:v>
      </x:c>
      <x:c r="N279" s="19" t="str">
        <x:v>张洁</x:v>
      </x:c>
      <x:c r="O279" s="19" t="str">
        <x:v>S-按销量/BOM/日型生成</x:v>
      </x:c>
    </x:row>
    <x:row r="280">
      <x:c r="A280" s="19" t="str">
        <x:v>2026-07-08|S04|豆腐</x:v>
      </x:c>
      <x:c r="B280" s="34" t="n">
        <x:v>46211.5</x:v>
      </x:c>
      <x:c r="C280" s="19" t="str">
        <x:v>S04</x:v>
      </x:c>
      <x:c r="D280" s="19" t="str">
        <x:v>金街美地店</x:v>
      </x:c>
      <x:c r="E280" s="19" t="str">
        <x:v>豆腐</x:v>
      </x:c>
      <x:c r="F280" s="32" t="n">
        <x:v>20.372344456587815</x:v>
      </x:c>
      <x:c r="G280" s="32" t="n">
        <x:v>20.168508546811573</x:v>
      </x:c>
      <x:c r="H280" s="24" t="n">
        <x:f>G280</x:f>
        <x:v>20.168508546811573</x:v>
      </x:c>
      <x:c r="I280" s="24" t="n">
        <x:f>XLOOKUP(A280,'库存与收货'!$A$5:$A$676,'库存与收货'!$H$5:$H$676,0)+XLOOKUP(A280,'库存与收货'!$A$5:$A$676,'库存与收货'!$J$5:$J$676,0)</x:f>
        <x:v>19.780218484127012</x:v>
      </x:c>
      <x:c r="J280" s="21" t="n">
        <x:f>MAX(0,1-ABS(F280-I280)/MAX(I280,0.01))</x:f>
        <x:v>0.970064740541872</x:v>
      </x:c>
      <x:c r="K280" s="21" t="n">
        <x:f>MAX(0,1-ABS(H280-I280)/MAX(I280,0.01))</x:f>
        <x:v>0.9803697788780164</x:v>
      </x:c>
      <x:c r="L280" s="24" t="n">
        <x:f>MAX(I280-H280,0)</x:f>
        <x:v>0</x:v>
      </x:c>
      <x:c r="M280" s="24" t="n">
        <x:f>MAX(H280-I280,0)</x:f>
        <x:v>0.3882900626845611</x:v>
      </x:c>
      <x:c r="N280" s="19" t="str">
        <x:v>张洁</x:v>
      </x:c>
      <x:c r="O280" s="19" t="str">
        <x:v>S-按销量/BOM/日型生成</x:v>
      </x:c>
    </x:row>
    <x:row r="281">
      <x:c r="A281" s="19" t="str">
        <x:v>2026-07-09|S04|瘦肉片</x:v>
      </x:c>
      <x:c r="B281" s="34" t="n">
        <x:v>46212.5</x:v>
      </x:c>
      <x:c r="C281" s="19" t="str">
        <x:v>S04</x:v>
      </x:c>
      <x:c r="D281" s="19" t="str">
        <x:v>金街美地店</x:v>
      </x:c>
      <x:c r="E281" s="19" t="str">
        <x:v>瘦肉片</x:v>
      </x:c>
      <x:c r="F281" s="32" t="n">
        <x:v>12.632758657312985</x:v>
      </x:c>
      <x:c r="G281" s="32" t="n">
        <x:v>12.209724042464527</x:v>
      </x:c>
      <x:c r="H281" s="24" t="n">
        <x:f>G281</x:f>
        <x:v>12.209724042464527</x:v>
      </x:c>
      <x:c r="I281" s="24" t="n">
        <x:f>XLOOKUP(A281,'库存与收货'!$A$5:$A$676,'库存与收货'!$H$5:$H$676,0)+XLOOKUP(A281,'库存与收货'!$A$5:$A$676,'库存与收货'!$J$5:$J$676,0)</x:f>
        <x:v>11.606752334664751</x:v>
      </x:c>
      <x:c r="J281" s="21" t="n">
        <x:f>MAX(0,1-ABS(F281-I281)/MAX(I281,0.01))</x:f>
        <x:v>0.9116026349951518</x:v>
      </x:c>
      <x:c r="K281" s="21" t="n">
        <x:f>MAX(0,1-ABS(H281-I281)/MAX(I281,0.01))</x:f>
        <x:v>0.9480499203899665</x:v>
      </x:c>
      <x:c r="L281" s="24" t="n">
        <x:f>MAX(I281-H281,0)</x:f>
        <x:v>0</x:v>
      </x:c>
      <x:c r="M281" s="24" t="n">
        <x:f>MAX(H281-I281,0)</x:f>
        <x:v>0.6029717077997763</x:v>
      </x:c>
      <x:c r="N281" s="19" t="str">
        <x:v>张洁</x:v>
      </x:c>
      <x:c r="O281" s="19" t="str">
        <x:v>S-按销量/BOM/日型生成</x:v>
      </x:c>
    </x:row>
    <x:row r="282">
      <x:c r="A282" s="19" t="str">
        <x:v>2026-07-09|S04|肥肉片</x:v>
      </x:c>
      <x:c r="B282" s="34" t="n">
        <x:v>46212.5</x:v>
      </x:c>
      <x:c r="C282" s="19" t="str">
        <x:v>S04</x:v>
      </x:c>
      <x:c r="D282" s="19" t="str">
        <x:v>金街美地店</x:v>
      </x:c>
      <x:c r="E282" s="19" t="str">
        <x:v>肥肉片</x:v>
      </x:c>
      <x:c r="F282" s="32" t="n">
        <x:v>3.0263272092931883</x:v>
      </x:c>
      <x:c r="G282" s="32" t="n">
        <x:v>3.1522255861935875</x:v>
      </x:c>
      <x:c r="H282" s="24" t="n">
        <x:f>G282</x:f>
        <x:v>3.1522255861935875</x:v>
      </x:c>
      <x:c r="I282" s="24" t="n">
        <x:f>XLOOKUP(A282,'库存与收货'!$A$5:$A$676,'库存与收货'!$H$5:$H$676,0)+XLOOKUP(A282,'库存与收货'!$A$5:$A$676,'库存与收货'!$J$5:$J$676,0)</x:f>
        <x:v>3.37439167403922</x:v>
      </x:c>
      <x:c r="J282" s="21" t="n">
        <x:f>MAX(0,1-ABS(F282-I282)/MAX(I282,0.01))</x:f>
        <x:v>0.8968511961951972</x:v>
      </x:c>
      <x:c r="K282" s="21" t="n">
        <x:f>MAX(0,1-ABS(H282-I282)/MAX(I282,0.01))</x:f>
        <x:v>0.9341611439019185</x:v>
      </x:c>
      <x:c r="L282" s="24" t="n">
        <x:f>MAX(I282-H282,0)</x:f>
        <x:v>0.22216608784563263</x:v>
      </x:c>
      <x:c r="M282" s="24" t="n">
        <x:f>MAX(H282-I282,0)</x:f>
        <x:v>0</x:v>
      </x:c>
      <x:c r="N282" s="19" t="str">
        <x:v>张洁</x:v>
      </x:c>
      <x:c r="O282" s="19" t="str">
        <x:v>S-按销量/BOM/日型生成</x:v>
      </x:c>
    </x:row>
    <x:row r="283">
      <x:c r="A283" s="19" t="str">
        <x:v>2026-07-09|S04|牛肉片</x:v>
      </x:c>
      <x:c r="B283" s="34" t="n">
        <x:v>46212.5</x:v>
      </x:c>
      <x:c r="C283" s="19" t="str">
        <x:v>S04</x:v>
      </x:c>
      <x:c r="D283" s="19" t="str">
        <x:v>金街美地店</x:v>
      </x:c>
      <x:c r="E283" s="19" t="str">
        <x:v>牛肉片</x:v>
      </x:c>
      <x:c r="F283" s="32" t="n">
        <x:v>9.03058824086217</x:v>
      </x:c>
      <x:c r="G283" s="32" t="n">
        <x:v>8.793533860517522</x:v>
      </x:c>
      <x:c r="H283" s="24" t="n">
        <x:f>G283</x:f>
        <x:v>8.793533860517522</x:v>
      </x:c>
      <x:c r="I283" s="24" t="n">
        <x:f>XLOOKUP(A283,'库存与收货'!$A$5:$A$676,'库存与收货'!$H$5:$H$676,0)+XLOOKUP(A283,'库存与收货'!$A$5:$A$676,'库存与收货'!$J$5:$J$676,0)</x:f>
        <x:v>8.443166106374566</x:v>
      </x:c>
      <x:c r="J283" s="21" t="n">
        <x:f>MAX(0,1-ABS(F283-I283)/MAX(I283,0.01))</x:f>
        <x:v>0.9304263202823759</x:v>
      </x:c>
      <x:c r="K283" s="21" t="n">
        <x:f>MAX(0,1-ABS(H283-I283)/MAX(I283,0.01))</x:f>
        <x:v>0.9585027998112663</x:v>
      </x:c>
      <x:c r="L283" s="24" t="n">
        <x:f>MAX(I283-H283,0)</x:f>
        <x:v>0</x:v>
      </x:c>
      <x:c r="M283" s="24" t="n">
        <x:f>MAX(H283-I283,0)</x:f>
        <x:v>0.3503677541429564</x:v>
      </x:c>
      <x:c r="N283" s="19" t="str">
        <x:v>张洁</x:v>
      </x:c>
      <x:c r="O283" s="19" t="str">
        <x:v>S-按销量/BOM/日型生成</x:v>
      </x:c>
    </x:row>
    <x:row r="284">
      <x:c r="A284" s="19" t="str">
        <x:v>2026-07-09|S04|螺丝椒</x:v>
      </x:c>
      <x:c r="B284" s="34" t="n">
        <x:v>46212.5</x:v>
      </x:c>
      <x:c r="C284" s="19" t="str">
        <x:v>S04</x:v>
      </x:c>
      <x:c r="D284" s="19" t="str">
        <x:v>金街美地店</x:v>
      </x:c>
      <x:c r="E284" s="19" t="str">
        <x:v>螺丝椒</x:v>
      </x:c>
      <x:c r="F284" s="32" t="n">
        <x:v>10.981357518893182</x:v>
      </x:c>
      <x:c r="G284" s="32" t="n">
        <x:v>11.37793315579374</x:v>
      </x:c>
      <x:c r="H284" s="24" t="n">
        <x:f>G284</x:f>
        <x:v>11.37793315579374</x:v>
      </x:c>
      <x:c r="I284" s="24" t="n">
        <x:f>XLOOKUP(A284,'库存与收货'!$A$5:$A$676,'库存与收货'!$H$5:$H$676,0)+XLOOKUP(A284,'库存与收货'!$A$5:$A$676,'库存与收货'!$J$5:$J$676,0)</x:f>
        <x:v>12.352504749002984</x:v>
      </x:c>
      <x:c r="J284" s="21" t="n">
        <x:f>MAX(0,1-ABS(F284-I284)/MAX(I284,0.01))</x:f>
        <x:v>0.8889984454188959</x:v>
      </x:c>
      <x:c r="K284" s="21" t="n">
        <x:f>MAX(0,1-ABS(H284-I284)/MAX(I284,0.01))</x:f>
        <x:v>0.9211033217139296</x:v>
      </x:c>
      <x:c r="L284" s="24" t="n">
        <x:f>MAX(I284-H284,0)</x:f>
        <x:v>0.9745715932092445</x:v>
      </x:c>
      <x:c r="M284" s="24" t="n">
        <x:f>MAX(H284-I284,0)</x:f>
        <x:v>0</x:v>
      </x:c>
      <x:c r="N284" s="19" t="str">
        <x:v>张洁</x:v>
      </x:c>
      <x:c r="O284" s="19" t="str">
        <x:v>S-按销量/BOM/日型生成</x:v>
      </x:c>
    </x:row>
    <x:row r="285">
      <x:c r="A285" s="19" t="str">
        <x:v>2026-07-09|S04|青湖南椒圈</x:v>
      </x:c>
      <x:c r="B285" s="34" t="n">
        <x:v>46212.5</x:v>
      </x:c>
      <x:c r="C285" s="19" t="str">
        <x:v>S04</x:v>
      </x:c>
      <x:c r="D285" s="19" t="str">
        <x:v>金街美地店</x:v>
      </x:c>
      <x:c r="E285" s="19" t="str">
        <x:v>青湖南椒圈</x:v>
      </x:c>
      <x:c r="F285" s="32" t="n">
        <x:v>1.9634026986791164</x:v>
      </x:c>
      <x:c r="G285" s="32" t="n">
        <x:v>1.865882299492539</x:v>
      </x:c>
      <x:c r="H285" s="24" t="n">
        <x:f>G285</x:f>
        <x:v>1.865882299492539</x:v>
      </x:c>
      <x:c r="I285" s="24" t="n">
        <x:f>XLOOKUP(A285,'库存与收货'!$A$5:$A$676,'库存与收货'!$H$5:$H$676,0)+XLOOKUP(A285,'库存与收货'!$A$5:$A$676,'库存与收货'!$J$5:$J$676,0)</x:f>
        <x:v>1.7373619451548117</x:v>
      </x:c>
      <x:c r="J285" s="21" t="n">
        <x:f>MAX(0,1-ABS(F285-I285)/MAX(I285,0.01))</x:f>
        <x:v>0.8698942646034745</x:v>
      </x:c>
      <x:c r="K285" s="21" t="n">
        <x:f>MAX(0,1-ABS(H285-I285)/MAX(I285,0.01))</x:f>
        <x:v>0.9260255730268828</x:v>
      </x:c>
      <x:c r="L285" s="24" t="n">
        <x:f>MAX(I285-H285,0)</x:f>
        <x:v>0</x:v>
      </x:c>
      <x:c r="M285" s="24" t="n">
        <x:f>MAX(H285-I285,0)</x:f>
        <x:v>0.12852035433772735</x:v>
      </x:c>
      <x:c r="N285" s="19" t="str">
        <x:v>张洁</x:v>
      </x:c>
      <x:c r="O285" s="19" t="str">
        <x:v>S-按销量/BOM/日型生成</x:v>
      </x:c>
    </x:row>
    <x:row r="286">
      <x:c r="A286" s="19" t="str">
        <x:v>2026-07-09|S04|鸡蛋</x:v>
      </x:c>
      <x:c r="B286" s="34" t="n">
        <x:v>46212.5</x:v>
      </x:c>
      <x:c r="C286" s="19" t="str">
        <x:v>S04</x:v>
      </x:c>
      <x:c r="D286" s="19" t="str">
        <x:v>金街美地店</x:v>
      </x:c>
      <x:c r="E286" s="19" t="str">
        <x:v>鸡蛋</x:v>
      </x:c>
      <x:c r="F286" s="32" t="n">
        <x:v>19.50868655317595</x:v>
      </x:c>
      <x:c r="G286" s="32" t="n">
        <x:v>18.59527475577183</x:v>
      </x:c>
      <x:c r="H286" s="24" t="n">
        <x:f>G286</x:f>
        <x:v>18.59527475577183</x:v>
      </x:c>
      <x:c r="I286" s="24" t="n">
        <x:f>XLOOKUP(A286,'库存与收货'!$A$5:$A$676,'库存与收货'!$H$5:$H$676,0)+XLOOKUP(A286,'库存与收货'!$A$5:$A$676,'库存与收货'!$J$5:$J$676,0)</x:f>
        <x:v>16.880942128693206</x:v>
      </x:c>
      <x:c r="J286" s="21" t="n">
        <x:f>MAX(0,1-ABS(F286-I286)/MAX(I286,0.01))</x:f>
        <x:v>0.8443366250266173</x:v>
      </x:c>
      <x:c r="K286" s="21" t="n">
        <x:f>MAX(0,1-ABS(H286-I286)/MAX(I286,0.01))</x:f>
        <x:v>0.8984456783271175</x:v>
      </x:c>
      <x:c r="L286" s="24" t="n">
        <x:f>MAX(I286-H286,0)</x:f>
        <x:v>0</x:v>
      </x:c>
      <x:c r="M286" s="24" t="n">
        <x:f>MAX(H286-I286,0)</x:f>
        <x:v>1.7143326270786226</x:v>
      </x:c>
      <x:c r="N286" s="19" t="str">
        <x:v>张洁</x:v>
      </x:c>
      <x:c r="O286" s="19" t="str">
        <x:v>S-按销量/BOM/日型生成</x:v>
      </x:c>
    </x:row>
    <x:row r="287">
      <x:c r="A287" s="19" t="str">
        <x:v>2026-07-09|S04|鸡肉</x:v>
      </x:c>
      <x:c r="B287" s="34" t="n">
        <x:v>46212.5</x:v>
      </x:c>
      <x:c r="C287" s="19" t="str">
        <x:v>S04</x:v>
      </x:c>
      <x:c r="D287" s="19" t="str">
        <x:v>金街美地店</x:v>
      </x:c>
      <x:c r="E287" s="19" t="str">
        <x:v>鸡肉</x:v>
      </x:c>
      <x:c r="F287" s="32" t="n">
        <x:v>4.885160202855897</x:v>
      </x:c>
      <x:c r="G287" s="32" t="n">
        <x:v>5.089000881275854</x:v>
      </x:c>
      <x:c r="H287" s="24" t="n">
        <x:f>G287</x:f>
        <x:v>5.089000881275854</x:v>
      </x:c>
      <x:c r="I287" s="24" t="n">
        <x:f>XLOOKUP(A287,'库存与收货'!$A$5:$A$676,'库存与收货'!$H$5:$H$676,0)+XLOOKUP(A287,'库存与收货'!$A$5:$A$676,'库存与收货'!$J$5:$J$676,0)</x:f>
        <x:v>5.614967857451404</x:v>
      </x:c>
      <x:c r="J287" s="21" t="n">
        <x:f>MAX(0,1-ABS(F287-I287)/MAX(I287,0.01))</x:f>
        <x:v>0.8700246068858599</x:v>
      </x:c>
      <x:c r="K287" s="21" t="n">
        <x:f>MAX(0,1-ABS(H287-I287)/MAX(I287,0.01))</x:f>
        <x:v>0.9063276959853723</x:v>
      </x:c>
      <x:c r="L287" s="24" t="n">
        <x:f>MAX(I287-H287,0)</x:f>
        <x:v>0.5259669761755505</x:v>
      </x:c>
      <x:c r="M287" s="24" t="n">
        <x:f>MAX(H287-I287,0)</x:f>
        <x:v>0</x:v>
      </x:c>
      <x:c r="N287" s="19" t="str">
        <x:v>张洁</x:v>
      </x:c>
      <x:c r="O287" s="19" t="str">
        <x:v>S-按销量/BOM/日型生成</x:v>
      </x:c>
    </x:row>
    <x:row r="288">
      <x:c r="A288" s="19" t="str">
        <x:v>2026-07-09|S04|鲈鱼</x:v>
      </x:c>
      <x:c r="B288" s="34" t="n">
        <x:v>46212.5</x:v>
      </x:c>
      <x:c r="C288" s="19" t="str">
        <x:v>S04</x:v>
      </x:c>
      <x:c r="D288" s="19" t="str">
        <x:v>金街美地店</x:v>
      </x:c>
      <x:c r="E288" s="19" t="str">
        <x:v>鲈鱼</x:v>
      </x:c>
      <x:c r="F288" s="32" t="n">
        <x:v>2.8115685700350332</x:v>
      </x:c>
      <x:c r="G288" s="32" t="n">
        <x:v>2.9029847697243554</x:v>
      </x:c>
      <x:c r="H288" s="24" t="n">
        <x:f>G288</x:f>
        <x:v>2.9029847697243554</x:v>
      </x:c>
      <x:c r="I288" s="24" t="n">
        <x:f>XLOOKUP(A288,'库存与收货'!$A$5:$A$676,'库存与收货'!$H$5:$H$676,0)+XLOOKUP(A288,'库存与收货'!$A$5:$A$676,'库存与收货'!$J$5:$J$676,0)</x:f>
        <x:v>3.0821848711655906</x:v>
      </x:c>
      <x:c r="J288" s="21" t="n">
        <x:f>MAX(0,1-ABS(F288-I288)/MAX(I288,0.01))</x:f>
        <x:v>0.9121998476917388</x:v>
      </x:c>
      <x:c r="K288" s="21" t="n">
        <x:f>MAX(0,1-ABS(H288-I288)/MAX(I288,0.01))</x:f>
        <x:v>0.9418593923039188</x:v>
      </x:c>
      <x:c r="L288" s="24" t="n">
        <x:f>MAX(I288-H288,0)</x:f>
        <x:v>0.17920010144123522</x:v>
      </x:c>
      <x:c r="M288" s="24" t="n">
        <x:f>MAX(H288-I288,0)</x:f>
        <x:v>0</x:v>
      </x:c>
      <x:c r="N288" s="19" t="str">
        <x:v>张洁</x:v>
      </x:c>
      <x:c r="O288" s="19" t="str">
        <x:v>S-按销量/BOM/日型生成</x:v>
      </x:c>
    </x:row>
    <x:row r="289">
      <x:c r="A289" s="19" t="str">
        <x:v>2026-07-09|S04|酸包菜</x:v>
      </x:c>
      <x:c r="B289" s="34" t="n">
        <x:v>46212.5</x:v>
      </x:c>
      <x:c r="C289" s="19" t="str">
        <x:v>S04</x:v>
      </x:c>
      <x:c r="D289" s="19" t="str">
        <x:v>金街美地店</x:v>
      </x:c>
      <x:c r="E289" s="19" t="str">
        <x:v>酸包菜</x:v>
      </x:c>
      <x:c r="F289" s="32" t="n">
        <x:v>8.956139844246051</x:v>
      </x:c>
      <x:c r="G289" s="32" t="n">
        <x:v>8.566014185039478</x:v>
      </x:c>
      <x:c r="H289" s="24" t="n">
        <x:f>G289</x:f>
        <x:v>8.566014185039478</x:v>
      </x:c>
      <x:c r="I289" s="24" t="n">
        <x:f>XLOOKUP(A289,'库存与收货'!$A$5:$A$676,'库存与收货'!$H$5:$H$676,0)+XLOOKUP(A289,'库存与收货'!$A$5:$A$676,'库存与收货'!$J$5:$J$676,0)</x:f>
        <x:v>7.925058866273625</x:v>
      </x:c>
      <x:c r="J289" s="21" t="n">
        <x:f>MAX(0,1-ABS(F289-I289)/MAX(I289,0.01))</x:f>
        <x:v>0.8698961111367439</x:v>
      </x:c>
      <x:c r="K289" s="21" t="n">
        <x:f>MAX(0,1-ABS(H289-I289)/MAX(I289,0.01))</x:f>
        <x:v>0.9191229580017958</x:v>
      </x:c>
      <x:c r="L289" s="24" t="n">
        <x:f>MAX(I289-H289,0)</x:f>
        <x:v>0</x:v>
      </x:c>
      <x:c r="M289" s="24" t="n">
        <x:f>MAX(H289-I289,0)</x:f>
        <x:v>0.6409553187658528</x:v>
      </x:c>
      <x:c r="N289" s="19" t="str">
        <x:v>张洁</x:v>
      </x:c>
      <x:c r="O289" s="19" t="str">
        <x:v>S-按销量/BOM/日型生成</x:v>
      </x:c>
    </x:row>
    <x:row r="290">
      <x:c r="A290" s="19" t="str">
        <x:v>2026-07-09|S04|粉皮</x:v>
      </x:c>
      <x:c r="B290" s="34" t="n">
        <x:v>46212.5</x:v>
      </x:c>
      <x:c r="C290" s="19" t="str">
        <x:v>S04</x:v>
      </x:c>
      <x:c r="D290" s="19" t="str">
        <x:v>金街美地店</x:v>
      </x:c>
      <x:c r="E290" s="19" t="str">
        <x:v>粉皮</x:v>
      </x:c>
      <x:c r="F290" s="32" t="n">
        <x:v>5.832541185168301</x:v>
      </x:c>
      <x:c r="G290" s="32" t="n">
        <x:v>5.873166418912201</x:v>
      </x:c>
      <x:c r="H290" s="24" t="n">
        <x:f>G290</x:f>
        <x:v>5.873166418912201</x:v>
      </x:c>
      <x:c r="I290" s="24" t="n">
        <x:f>XLOOKUP(A290,'库存与收货'!$A$5:$A$676,'库存与收货'!$H$5:$H$676,0)+XLOOKUP(A290,'库存与收货'!$A$5:$A$676,'库存与收货'!$J$5:$J$676,0)</x:f>
        <x:v>5.963922462877275</x:v>
      </x:c>
      <x:c r="J290" s="21" t="n">
        <x:f>MAX(0,1-ABS(F290-I290)/MAX(I290,0.01))</x:f>
        <x:v>0.9779706596578404</x:v>
      </x:c>
      <x:c r="K290" s="21" t="n">
        <x:f>MAX(0,1-ABS(H290-I290)/MAX(I290,0.01))</x:f>
        <x:v>0.9847824909646312</x:v>
      </x:c>
      <x:c r="L290" s="24" t="n">
        <x:f>MAX(I290-H290,0)</x:f>
        <x:v>0.09075604396507408</x:v>
      </x:c>
      <x:c r="M290" s="24" t="n">
        <x:f>MAX(H290-I290,0)</x:f>
        <x:v>0</x:v>
      </x:c>
      <x:c r="N290" s="19" t="str">
        <x:v>张洁</x:v>
      </x:c>
      <x:c r="O290" s="19" t="str">
        <x:v>S-按销量/BOM/日型生成</x:v>
      </x:c>
    </x:row>
    <x:row r="291">
      <x:c r="A291" s="19" t="str">
        <x:v>2026-07-09|S04|鸡杂</x:v>
      </x:c>
      <x:c r="B291" s="34" t="n">
        <x:v>46212.5</x:v>
      </x:c>
      <x:c r="C291" s="19" t="str">
        <x:v>S04</x:v>
      </x:c>
      <x:c r="D291" s="19" t="str">
        <x:v>金街美地店</x:v>
      </x:c>
      <x:c r="E291" s="19" t="str">
        <x:v>鸡杂</x:v>
      </x:c>
      <x:c r="F291" s="32" t="n">
        <x:v>3.2672301928528826</x:v>
      </x:c>
      <x:c r="G291" s="32" t="n">
        <x:v>3.3982757601588203</x:v>
      </x:c>
      <x:c r="H291" s="24" t="n">
        <x:f>G291</x:f>
        <x:v>3.3982757601588203</x:v>
      </x:c>
      <x:c r="I291" s="24" t="n">
        <x:f>XLOOKUP(A291,'库存与收货'!$A$5:$A$676,'库存与收货'!$H$5:$H$676,0)+XLOOKUP(A291,'库存与收货'!$A$5:$A$676,'库存与收货'!$J$5:$J$676,0)</x:f>
        <x:v>3.597275071232527</x:v>
      </x:c>
      <x:c r="J291" s="21" t="n">
        <x:f>MAX(0,1-ABS(F291-I291)/MAX(I291,0.01))</x:f>
        <x:v>0.9082514203545291</x:v>
      </x:c>
      <x:c r="K291" s="21" t="n">
        <x:f>MAX(0,1-ABS(H291-I291)/MAX(I291,0.01))</x:f>
        <x:v>0.9446805409280186</x:v>
      </x:c>
      <x:c r="L291" s="24" t="n">
        <x:f>MAX(I291-H291,0)</x:f>
        <x:v>0.19899931107370694</x:v>
      </x:c>
      <x:c r="M291" s="24" t="n">
        <x:f>MAX(H291-I291,0)</x:f>
        <x:v>0</x:v>
      </x:c>
      <x:c r="N291" s="19" t="str">
        <x:v>张洁</x:v>
      </x:c>
      <x:c r="O291" s="19" t="str">
        <x:v>S-按销量/BOM/日型生成</x:v>
      </x:c>
    </x:row>
    <x:row r="292">
      <x:c r="A292" s="19" t="str">
        <x:v>2026-07-09|S04|豆腐</x:v>
      </x:c>
      <x:c r="B292" s="34" t="n">
        <x:v>46212.5</x:v>
      </x:c>
      <x:c r="C292" s="19" t="str">
        <x:v>S04</x:v>
      </x:c>
      <x:c r="D292" s="19" t="str">
        <x:v>金街美地店</x:v>
      </x:c>
      <x:c r="E292" s="19" t="str">
        <x:v>豆腐</x:v>
      </x:c>
      <x:c r="F292" s="32" t="n">
        <x:v>19.571799260144</x:v>
      </x:c>
      <x:c r="G292" s="32" t="n">
        <x:v>20.06429163607042</x:v>
      </x:c>
      <x:c r="H292" s="24" t="n">
        <x:f>G292</x:f>
        <x:v>20.06429163607042</x:v>
      </x:c>
      <x:c r="I292" s="24" t="n">
        <x:f>XLOOKUP(A292,'库存与收货'!$A$5:$A$676,'库存与收货'!$H$5:$H$676,0)+XLOOKUP(A292,'库存与收货'!$A$5:$A$676,'库存与收货'!$J$5:$J$676,0)</x:f>
        <x:v>20.760988614931932</x:v>
      </x:c>
      <x:c r="J292" s="21" t="n">
        <x:f>MAX(0,1-ABS(F292-I292)/MAX(I292,0.01))</x:f>
        <x:v>0.9427200035198405</x:v>
      </x:c>
      <x:c r="K292" s="21" t="n">
        <x:f>MAX(0,1-ABS(H292-I292)/MAX(I292,0.01))</x:f>
        <x:v>0.9664420133461068</x:v>
      </x:c>
      <x:c r="L292" s="24" t="n">
        <x:f>MAX(I292-H292,0)</x:f>
        <x:v>0.6966969788615138</x:v>
      </x:c>
      <x:c r="M292" s="24" t="n">
        <x:f>MAX(H292-I292,0)</x:f>
        <x:v>0</x:v>
      </x:c>
      <x:c r="N292" s="19" t="str">
        <x:v>张洁</x:v>
      </x:c>
      <x:c r="O292" s="19" t="str">
        <x:v>S-按销量/BOM/日型生成</x:v>
      </x:c>
    </x:row>
    <x:row r="293">
      <x:c r="A293" s="19" t="str">
        <x:v>2026-07-10|S04|瘦肉片</x:v>
      </x:c>
      <x:c r="B293" s="34" t="n">
        <x:v>46213.5</x:v>
      </x:c>
      <x:c r="C293" s="19" t="str">
        <x:v>S04</x:v>
      </x:c>
      <x:c r="D293" s="19" t="str">
        <x:v>金街美地店</x:v>
      </x:c>
      <x:c r="E293" s="19" t="str">
        <x:v>瘦肉片</x:v>
      </x:c>
      <x:c r="F293" s="32" t="n">
        <x:v>13.341605489571378</x:v>
      </x:c>
      <x:c r="G293" s="32" t="n">
        <x:v>13.067019753395893</x:v>
      </x:c>
      <x:c r="H293" s="24" t="n">
        <x:f>G293</x:f>
        <x:v>13.067019753395893</x:v>
      </x:c>
      <x:c r="I293" s="24" t="n">
        <x:f>XLOOKUP(A293,'库存与收货'!$A$5:$A$676,'库存与收货'!$H$5:$H$676,0)+XLOOKUP(A293,'库存与收货'!$A$5:$A$676,'库存与收货'!$J$5:$J$676,0)</x:f>
        <x:v>12.56139558515544</x:v>
      </x:c>
      <x:c r="J293" s="21" t="n">
        <x:f>MAX(0,1-ABS(F293-I293)/MAX(I293,0.01))</x:f>
        <x:v>0.9378882784857154</x:v>
      </x:c>
      <x:c r="K293" s="21" t="n">
        <x:f>MAX(0,1-ABS(H293-I293)/MAX(I293,0.01))</x:f>
        <x:v>0.9597477712716905</x:v>
      </x:c>
      <x:c r="L293" s="24" t="n">
        <x:f>MAX(I293-H293,0)</x:f>
        <x:v>0</x:v>
      </x:c>
      <x:c r="M293" s="24" t="n">
        <x:f>MAX(H293-I293,0)</x:f>
        <x:v>0.5056241682404536</x:v>
      </x:c>
      <x:c r="N293" s="19" t="str">
        <x:v>张洁</x:v>
      </x:c>
      <x:c r="O293" s="19" t="str">
        <x:v>S-按销量/BOM/日型生成</x:v>
      </x:c>
    </x:row>
    <x:row r="294">
      <x:c r="A294" s="19" t="str">
        <x:v>2026-07-10|S04|肥肉片</x:v>
      </x:c>
      <x:c r="B294" s="34" t="n">
        <x:v>46213.5</x:v>
      </x:c>
      <x:c r="C294" s="19" t="str">
        <x:v>S04</x:v>
      </x:c>
      <x:c r="D294" s="19" t="str">
        <x:v>金街美地店</x:v>
      </x:c>
      <x:c r="E294" s="19" t="str">
        <x:v>肥肉片</x:v>
      </x:c>
      <x:c r="F294" s="32" t="n">
        <x:v>3.0512930544994203</x:v>
      </x:c>
      <x:c r="G294" s="32" t="n">
        <x:v>3.2205025033354513</x:v>
      </x:c>
      <x:c r="H294" s="24" t="n">
        <x:f>G294</x:f>
        <x:v>3.2205025033354513</x:v>
      </x:c>
      <x:c r="I294" s="24" t="n">
        <x:f>XLOOKUP(A294,'库存与收货'!$A$5:$A$676,'库存与收货'!$H$5:$H$676,0)+XLOOKUP(A294,'库存与收货'!$A$5:$A$676,'库存与收货'!$J$5:$J$676,0)</x:f>
        <x:v>3.573788950734606</x:v>
      </x:c>
      <x:c r="J294" s="21" t="n">
        <x:f>MAX(0,1-ABS(F294-I294)/MAX(I294,0.01))</x:f>
        <x:v>0.8537977750119282</x:v>
      </x:c>
      <x:c r="K294" s="21" t="n">
        <x:f>MAX(0,1-ABS(H294-I294)/MAX(I294,0.01))</x:f>
        <x:v>0.9011451285262563</x:v>
      </x:c>
      <x:c r="L294" s="24" t="n">
        <x:f>MAX(I294-H294,0)</x:f>
        <x:v>0.3532864473991548</x:v>
      </x:c>
      <x:c r="M294" s="24" t="n">
        <x:f>MAX(H294-I294,0)</x:f>
        <x:v>0</x:v>
      </x:c>
      <x:c r="N294" s="19" t="str">
        <x:v>张洁</x:v>
      </x:c>
      <x:c r="O294" s="19" t="str">
        <x:v>S-按销量/BOM/日型生成</x:v>
      </x:c>
    </x:row>
    <x:row r="295">
      <x:c r="A295" s="19" t="str">
        <x:v>2026-07-10|S04|牛肉片</x:v>
      </x:c>
      <x:c r="B295" s="34" t="n">
        <x:v>46213.5</x:v>
      </x:c>
      <x:c r="C295" s="19" t="str">
        <x:v>S04</x:v>
      </x:c>
      <x:c r="D295" s="19" t="str">
        <x:v>金街美地店</x:v>
      </x:c>
      <x:c r="E295" s="19" t="str">
        <x:v>牛肉片</x:v>
      </x:c>
      <x:c r="F295" s="32" t="n">
        <x:v>9.922028062569275</x:v>
      </x:c>
      <x:c r="G295" s="32" t="n">
        <x:v>9.411490456185753</x:v>
      </x:c>
      <x:c r="H295" s="24" t="n">
        <x:f>G295</x:f>
        <x:v>9.411490456185753</x:v>
      </x:c>
      <x:c r="I295" s="24" t="n">
        <x:f>XLOOKUP(A295,'库存与收货'!$A$5:$A$676,'库存与收货'!$H$5:$H$676,0)+XLOOKUP(A295,'库存与收货'!$A$5:$A$676,'库存与收货'!$J$5:$J$676,0)</x:f>
        <x:v>8.474344778076768</x:v>
      </x:c>
      <x:c r="J295" s="21" t="n">
        <x:f>MAX(0,1-ABS(F295-I295)/MAX(I295,0.01))</x:f>
        <x:v>0.829168705970321</x:v>
      </x:c>
      <x:c r="K295" s="21" t="n">
        <x:f>MAX(0,1-ABS(H295-I295)/MAX(I295,0.01))</x:f>
        <x:v>0.8894137891895322</x:v>
      </x:c>
      <x:c r="L295" s="24" t="n">
        <x:f>MAX(I295-H295,0)</x:f>
        <x:v>0</x:v>
      </x:c>
      <x:c r="M295" s="24" t="n">
        <x:f>MAX(H295-I295,0)</x:f>
        <x:v>0.9371456781089851</x:v>
      </x:c>
      <x:c r="N295" s="19" t="str">
        <x:v>张洁</x:v>
      </x:c>
      <x:c r="O295" s="19" t="str">
        <x:v>S-按销量/BOM/日型生成</x:v>
      </x:c>
    </x:row>
    <x:row r="296">
      <x:c r="A296" s="19" t="str">
        <x:v>2026-07-10|S04|螺丝椒</x:v>
      </x:c>
      <x:c r="B296" s="34" t="n">
        <x:v>46213.5</x:v>
      </x:c>
      <x:c r="C296" s="19" t="str">
        <x:v>S04</x:v>
      </x:c>
      <x:c r="D296" s="19" t="str">
        <x:v>金街美地店</x:v>
      </x:c>
      <x:c r="E296" s="19" t="str">
        <x:v>螺丝椒</x:v>
      </x:c>
      <x:c r="F296" s="32" t="n">
        <x:v>12.115380672951517</x:v>
      </x:c>
      <x:c r="G296" s="32" t="n">
        <x:v>12.508004293269476</x:v>
      </x:c>
      <x:c r="H296" s="24" t="n">
        <x:f>G296</x:f>
        <x:v>12.508004293269476</x:v>
      </x:c>
      <x:c r="I296" s="24" t="n">
        <x:f>XLOOKUP(A296,'库存与收货'!$A$5:$A$676,'库存与收货'!$H$5:$H$676,0)+XLOOKUP(A296,'库存与收货'!$A$5:$A$676,'库存与收货'!$J$5:$J$676,0)</x:f>
        <x:v>13.204913446507687</x:v>
      </x:c>
      <x:c r="J296" s="21" t="n">
        <x:f>MAX(0,1-ABS(F296-I296)/MAX(I296,0.01))</x:f>
        <x:v>0.9174903509992851</x:v>
      </x:c>
      <x:c r="K296" s="21" t="n">
        <x:f>MAX(0,1-ABS(H296-I296)/MAX(I296,0.01))</x:f>
        <x:v>0.947223497067107</x:v>
      </x:c>
      <x:c r="L296" s="24" t="n">
        <x:f>MAX(I296-H296,0)</x:f>
        <x:v>0.6969091532382112</x:v>
      </x:c>
      <x:c r="M296" s="24" t="n">
        <x:f>MAX(H296-I296,0)</x:f>
        <x:v>0</x:v>
      </x:c>
      <x:c r="N296" s="19" t="str">
        <x:v>张洁</x:v>
      </x:c>
      <x:c r="O296" s="19" t="str">
        <x:v>S-按销量/BOM/日型生成</x:v>
      </x:c>
    </x:row>
    <x:row r="297">
      <x:c r="A297" s="19" t="str">
        <x:v>2026-07-10|S04|青湖南椒圈</x:v>
      </x:c>
      <x:c r="B297" s="34" t="n">
        <x:v>46213.5</x:v>
      </x:c>
      <x:c r="C297" s="19" t="str">
        <x:v>S04</x:v>
      </x:c>
      <x:c r="D297" s="19" t="str">
        <x:v>金街美地店</x:v>
      </x:c>
      <x:c r="E297" s="19" t="str">
        <x:v>青湖南椒圈</x:v>
      </x:c>
      <x:c r="F297" s="32" t="n">
        <x:v>2.0069454243716787</x:v>
      </x:c>
      <x:c r="G297" s="32" t="n">
        <x:v>1.9876801181570065</x:v>
      </x:c>
      <x:c r="H297" s="24" t="n">
        <x:f>G297</x:f>
        <x:v>1.9876801181570065</x:v>
      </x:c>
      <x:c r="I297" s="24" t="n">
        <x:f>XLOOKUP(A297,'库存与收货'!$A$5:$A$676,'库存与收货'!$H$5:$H$676,0)+XLOOKUP(A297,'库存与收货'!$A$5:$A$676,'库存与收货'!$J$5:$J$676,0)</x:f>
        <x:v>1.9410443823990748</x:v>
      </x:c>
      <x:c r="J297" s="21" t="n">
        <x:f>MAX(0,1-ABS(F297-I297)/MAX(I297,0.01))</x:f>
        <x:v>0.9660486681447479</x:v>
      </x:c>
      <x:c r="K297" s="21" t="n">
        <x:f>MAX(0,1-ABS(H297-I297)/MAX(I297,0.01))</x:f>
        <x:v>0.9759738951974446</x:v>
      </x:c>
      <x:c r="L297" s="24" t="n">
        <x:f>MAX(I297-H297,0)</x:f>
        <x:v>0</x:v>
      </x:c>
      <x:c r="M297" s="24" t="n">
        <x:f>MAX(H297-I297,0)</x:f>
        <x:v>0.04663573575793167</x:v>
      </x:c>
      <x:c r="N297" s="19" t="str">
        <x:v>张洁</x:v>
      </x:c>
      <x:c r="O297" s="19" t="str">
        <x:v>S-按销量/BOM/日型生成</x:v>
      </x:c>
    </x:row>
    <x:row r="298">
      <x:c r="A298" s="19" t="str">
        <x:v>2026-07-10|S04|鸡蛋</x:v>
      </x:c>
      <x:c r="B298" s="34" t="n">
        <x:v>46213.5</x:v>
      </x:c>
      <x:c r="C298" s="19" t="str">
        <x:v>S04</x:v>
      </x:c>
      <x:c r="D298" s="19" t="str">
        <x:v>金街美地店</x:v>
      </x:c>
      <x:c r="E298" s="19" t="str">
        <x:v>鸡蛋</x:v>
      </x:c>
      <x:c r="F298" s="32" t="n">
        <x:v>18.784123663229668</x:v>
      </x:c>
      <x:c r="G298" s="32" t="n">
        <x:v>18.377110029715343</x:v>
      </x:c>
      <x:c r="H298" s="24" t="n">
        <x:f>G298</x:f>
        <x:v>18.377110029715343</x:v>
      </x:c>
      <x:c r="I298" s="24" t="n">
        <x:f>XLOOKUP(A298,'库存与收货'!$A$5:$A$676,'库存与收货'!$H$5:$H$676,0)+XLOOKUP(A298,'库存与收货'!$A$5:$A$676,'库存与收货'!$J$5:$J$676,0)</x:f>
        <x:v>17.847583842470215</x:v>
      </x:c>
      <x:c r="J298" s="21" t="n">
        <x:f>MAX(0,1-ABS(F298-I298)/MAX(I298,0.01))</x:f>
        <x:v>0.9475256802811114</x:v>
      </x:c>
      <x:c r="K298" s="21" t="n">
        <x:f>MAX(0,1-ABS(H298-I298)/MAX(I298,0.01))</x:f>
        <x:v>0.9703306513688948</x:v>
      </x:c>
      <x:c r="L298" s="24" t="n">
        <x:f>MAX(I298-H298,0)</x:f>
        <x:v>0</x:v>
      </x:c>
      <x:c r="M298" s="24" t="n">
        <x:f>MAX(H298-I298,0)</x:f>
        <x:v>0.5295261872451285</x:v>
      </x:c>
      <x:c r="N298" s="19" t="str">
        <x:v>张洁</x:v>
      </x:c>
      <x:c r="O298" s="19" t="str">
        <x:v>S-按销量/BOM/日型生成</x:v>
      </x:c>
    </x:row>
    <x:row r="299">
      <x:c r="A299" s="19" t="str">
        <x:v>2026-07-10|S04|鸡肉</x:v>
      </x:c>
      <x:c r="B299" s="34" t="n">
        <x:v>46213.5</x:v>
      </x:c>
      <x:c r="C299" s="19" t="str">
        <x:v>S04</x:v>
      </x:c>
      <x:c r="D299" s="19" t="str">
        <x:v>金街美地店</x:v>
      </x:c>
      <x:c r="E299" s="19" t="str">
        <x:v>鸡肉</x:v>
      </x:c>
      <x:c r="F299" s="32" t="n">
        <x:v>4.667801337296541</x:v>
      </x:c>
      <x:c r="G299" s="32" t="n">
        <x:v>4.918258538611629</x:v>
      </x:c>
      <x:c r="H299" s="24" t="n">
        <x:f>G299</x:f>
        <x:v>4.918258538611629</x:v>
      </x:c>
      <x:c r="I299" s="24" t="n">
        <x:f>XLOOKUP(A299,'库存与收货'!$A$5:$A$676,'库存与收货'!$H$5:$H$676,0)+XLOOKUP(A299,'库存与收货'!$A$5:$A$676,'库存与收货'!$J$5:$J$676,0)</x:f>
        <x:v>5.536365147274073</x:v>
      </x:c>
      <x:c r="J299" s="21" t="n">
        <x:f>MAX(0,1-ABS(F299-I299)/MAX(I299,0.01))</x:f>
        <x:v>0.8431165960205524</x:v>
      </x:c>
      <x:c r="K299" s="21" t="n">
        <x:f>MAX(0,1-ABS(H299-I299)/MAX(I299,0.01))</x:f>
        <x:v>0.8883551586248282</x:v>
      </x:c>
      <x:c r="L299" s="24" t="n">
        <x:f>MAX(I299-H299,0)</x:f>
        <x:v>0.618106608662444</x:v>
      </x:c>
      <x:c r="M299" s="24" t="n">
        <x:f>MAX(H299-I299,0)</x:f>
        <x:v>0</x:v>
      </x:c>
      <x:c r="N299" s="19" t="str">
        <x:v>张洁</x:v>
      </x:c>
      <x:c r="O299" s="19" t="str">
        <x:v>S-按销量/BOM/日型生成</x:v>
      </x:c>
    </x:row>
    <x:row r="300">
      <x:c r="A300" s="19" t="str">
        <x:v>2026-07-10|S04|鲈鱼</x:v>
      </x:c>
      <x:c r="B300" s="34" t="n">
        <x:v>46213.5</x:v>
      </x:c>
      <x:c r="C300" s="19" t="str">
        <x:v>S04</x:v>
      </x:c>
      <x:c r="D300" s="19" t="str">
        <x:v>金街美地店</x:v>
      </x:c>
      <x:c r="E300" s="19" t="str">
        <x:v>鲈鱼</x:v>
      </x:c>
      <x:c r="F300" s="32" t="n">
        <x:v>3.027654706426596</x:v>
      </x:c>
      <x:c r="G300" s="32" t="n">
        <x:v>3.261727022608729</x:v>
      </x:c>
      <x:c r="H300" s="24" t="n">
        <x:f>G300</x:f>
        <x:v>3.261727022608729</x:v>
      </x:c>
      <x:c r="I300" s="24" t="n">
        <x:f>XLOOKUP(A300,'库存与收货'!$A$5:$A$676,'库存与收货'!$H$5:$H$676,0)+XLOOKUP(A300,'库存与收货'!$A$5:$A$676,'库存与收货'!$J$5:$J$676,0)</x:f>
        <x:v>3.6073035324766076</x:v>
      </x:c>
      <x:c r="J300" s="21" t="n">
        <x:f>MAX(0,1-ABS(F300-I300)/MAX(I300,0.01))</x:f>
        <x:v>0.839312433558356</x:v>
      </x:c>
      <x:c r="K300" s="21" t="n">
        <x:f>MAX(0,1-ABS(H300-I300)/MAX(I300,0.01))</x:f>
        <x:v>0.9042008783689401</x:v>
      </x:c>
      <x:c r="L300" s="24" t="n">
        <x:f>MAX(I300-H300,0)</x:f>
        <x:v>0.34557650986787847</x:v>
      </x:c>
      <x:c r="M300" s="24" t="n">
        <x:f>MAX(H300-I300,0)</x:f>
        <x:v>0</x:v>
      </x:c>
      <x:c r="N300" s="19" t="str">
        <x:v>张洁</x:v>
      </x:c>
      <x:c r="O300" s="19" t="str">
        <x:v>S-按销量/BOM/日型生成</x:v>
      </x:c>
    </x:row>
    <x:row r="301">
      <x:c r="A301" s="19" t="str">
        <x:v>2026-07-10|S04|酸包菜</x:v>
      </x:c>
      <x:c r="B301" s="34" t="n">
        <x:v>46213.5</x:v>
      </x:c>
      <x:c r="C301" s="19" t="str">
        <x:v>S04</x:v>
      </x:c>
      <x:c r="D301" s="19" t="str">
        <x:v>金街美地店</x:v>
      </x:c>
      <x:c r="E301" s="19" t="str">
        <x:v>酸包菜</x:v>
      </x:c>
      <x:c r="F301" s="32" t="n">
        <x:v>6.783047726672922</x:v>
      </x:c>
      <x:c r="G301" s="32" t="n">
        <x:v>6.957182335815342</x:v>
      </x:c>
      <x:c r="H301" s="24" t="n">
        <x:f>G301</x:f>
        <x:v>6.957182335815342</x:v>
      </x:c>
      <x:c r="I301" s="24" t="n">
        <x:f>XLOOKUP(A301,'库存与收货'!$A$5:$A$676,'库存与收货'!$H$5:$H$676,0)+XLOOKUP(A301,'库存与收货'!$A$5:$A$676,'库存与收货'!$J$5:$J$676,0)</x:f>
        <x:v>7.380886274446008</x:v>
      </x:c>
      <x:c r="J301" s="21" t="n">
        <x:f>MAX(0,1-ABS(F301-I301)/MAX(I301,0.01))</x:f>
        <x:v>0.9190017938844398</x:v>
      </x:c>
      <x:c r="K301" s="21" t="n">
        <x:f>MAX(0,1-ABS(H301-I301)/MAX(I301,0.01))</x:f>
        <x:v>0.9425944361048337</x:v>
      </x:c>
      <x:c r="L301" s="24" t="n">
        <x:f>MAX(I301-H301,0)</x:f>
        <x:v>0.42370393863066624</x:v>
      </x:c>
      <x:c r="M301" s="24" t="n">
        <x:f>MAX(H301-I301,0)</x:f>
        <x:v>0</x:v>
      </x:c>
      <x:c r="N301" s="19" t="str">
        <x:v>张洁</x:v>
      </x:c>
      <x:c r="O301" s="19" t="str">
        <x:v>S-按销量/BOM/日型生成</x:v>
      </x:c>
    </x:row>
    <x:row r="302">
      <x:c r="A302" s="19" t="str">
        <x:v>2026-07-10|S04|粉皮</x:v>
      </x:c>
      <x:c r="B302" s="34" t="n">
        <x:v>46213.5</x:v>
      </x:c>
      <x:c r="C302" s="19" t="str">
        <x:v>S04</x:v>
      </x:c>
      <x:c r="D302" s="19" t="str">
        <x:v>金街美地店</x:v>
      </x:c>
      <x:c r="E302" s="19" t="str">
        <x:v>粉皮</x:v>
      </x:c>
      <x:c r="F302" s="32" t="n">
        <x:v>6.208121869252315</x:v>
      </x:c>
      <x:c r="G302" s="32" t="n">
        <x:v>5.950463183963355</x:v>
      </x:c>
      <x:c r="H302" s="24" t="n">
        <x:f>G302</x:f>
        <x:v>5.950463183963355</x:v>
      </x:c>
      <x:c r="I302" s="24" t="n">
        <x:f>XLOOKUP(A302,'库存与收货'!$A$5:$A$676,'库存与收货'!$H$5:$H$676,0)+XLOOKUP(A302,'库存与收货'!$A$5:$A$676,'库存与收货'!$J$5:$J$676,0)</x:f>
        <x:v>5.522023624055326</x:v>
      </x:c>
      <x:c r="J302" s="21" t="n">
        <x:f>MAX(0,1-ABS(F302-I302)/MAX(I302,0.01))</x:f>
        <x:v>0.87575238863373</x:v>
      </x:c>
      <x:c r="K302" s="21" t="n">
        <x:f>MAX(0,1-ABS(H302-I302)/MAX(I302,0.01))</x:f>
        <x:v>0.9224125811339093</x:v>
      </x:c>
      <x:c r="L302" s="24" t="n">
        <x:f>MAX(I302-H302,0)</x:f>
        <x:v>0</x:v>
      </x:c>
      <x:c r="M302" s="24" t="n">
        <x:f>MAX(H302-I302,0)</x:f>
        <x:v>0.4284395599080284</x:v>
      </x:c>
      <x:c r="N302" s="19" t="str">
        <x:v>张洁</x:v>
      </x:c>
      <x:c r="O302" s="19" t="str">
        <x:v>S-按销量/BOM/日型生成</x:v>
      </x:c>
    </x:row>
    <x:row r="303">
      <x:c r="A303" s="19" t="str">
        <x:v>2026-07-10|S04|鸡杂</x:v>
      </x:c>
      <x:c r="B303" s="34" t="n">
        <x:v>46213.5</x:v>
      </x:c>
      <x:c r="C303" s="19" t="str">
        <x:v>S04</x:v>
      </x:c>
      <x:c r="D303" s="19" t="str">
        <x:v>金街美地店</x:v>
      </x:c>
      <x:c r="E303" s="19" t="str">
        <x:v>鸡杂</x:v>
      </x:c>
      <x:c r="F303" s="32" t="n">
        <x:v>4.154133960254669</x:v>
      </x:c>
      <x:c r="G303" s="32" t="n">
        <x:v>4.067545454431662</x:v>
      </x:c>
      <x:c r="H303" s="24" t="n">
        <x:f>G303</x:f>
        <x:v>4.067545454431662</x:v>
      </x:c>
      <x:c r="I303" s="24" t="n">
        <x:f>XLOOKUP(A303,'库存与收货'!$A$5:$A$676,'库存与收货'!$H$5:$H$676,0)+XLOOKUP(A303,'库存与收货'!$A$5:$A$676,'库存与收货'!$J$5:$J$676,0)</x:f>
        <x:v>3.818465032448809</x:v>
      </x:c>
      <x:c r="J303" s="21" t="n">
        <x:f>MAX(0,1-ABS(F303-I303)/MAX(I303,0.01))</x:f>
        <x:v>0.9120932298833719</x:v>
      </x:c>
      <x:c r="K303" s="21" t="n">
        <x:f>MAX(0,1-ABS(H303-I303)/MAX(I303,0.01))</x:f>
        <x:v>0.934769489869306</x:v>
      </x:c>
      <x:c r="L303" s="24" t="n">
        <x:f>MAX(I303-H303,0)</x:f>
        <x:v>0</x:v>
      </x:c>
      <x:c r="M303" s="24" t="n">
        <x:f>MAX(H303-I303,0)</x:f>
        <x:v>0.24908042198285285</x:v>
      </x:c>
      <x:c r="N303" s="19" t="str">
        <x:v>张洁</x:v>
      </x:c>
      <x:c r="O303" s="19" t="str">
        <x:v>S-按销量/BOM/日型生成</x:v>
      </x:c>
    </x:row>
    <x:row r="304">
      <x:c r="A304" s="19" t="str">
        <x:v>2026-07-10|S04|豆腐</x:v>
      </x:c>
      <x:c r="B304" s="34" t="n">
        <x:v>46213.5</x:v>
      </x:c>
      <x:c r="C304" s="19" t="str">
        <x:v>S04</x:v>
      </x:c>
      <x:c r="D304" s="19" t="str">
        <x:v>金街美地店</x:v>
      </x:c>
      <x:c r="E304" s="19" t="str">
        <x:v>豆腐</x:v>
      </x:c>
      <x:c r="F304" s="32" t="n">
        <x:v>20.567251336976618</x:v>
      </x:c>
      <x:c r="G304" s="32" t="n">
        <x:v>21.104266053001627</x:v>
      </x:c>
      <x:c r="H304" s="24" t="n">
        <x:f>G304</x:f>
        <x:v>21.104266053001627</x:v>
      </x:c>
      <x:c r="I304" s="24" t="n">
        <x:f>XLOOKUP(A304,'库存与收货'!$A$5:$A$676,'库存与收货'!$H$5:$H$676,0)+XLOOKUP(A304,'库存与收货'!$A$5:$A$676,'库存与收货'!$J$5:$J$676,0)</x:f>
        <x:v>22.099317598067998</x:v>
      </x:c>
      <x:c r="J304" s="21" t="n">
        <x:f>MAX(0,1-ABS(F304-I304)/MAX(I304,0.01))</x:f>
        <x:v>0.9306735941373449</x:v>
      </x:c>
      <x:c r="K304" s="21" t="n">
        <x:f>MAX(0,1-ABS(H304-I304)/MAX(I304,0.01))</x:f>
        <x:v>0.9549736528899263</x:v>
      </x:c>
      <x:c r="L304" s="24" t="n">
        <x:f>MAX(I304-H304,0)</x:f>
        <x:v>0.9950515450663708</x:v>
      </x:c>
      <x:c r="M304" s="24" t="n">
        <x:f>MAX(H304-I304,0)</x:f>
        <x:v>0</x:v>
      </x:c>
      <x:c r="N304" s="19" t="str">
        <x:v>张洁</x:v>
      </x:c>
      <x:c r="O304" s="19" t="str">
        <x:v>S-按销量/BOM/日型生成</x:v>
      </x:c>
    </x:row>
    <x:row r="305">
      <x:c r="A305" s="19" t="str">
        <x:v>2026-07-11|S04|瘦肉片</x:v>
      </x:c>
      <x:c r="B305" s="34" t="n">
        <x:v>46214.5</x:v>
      </x:c>
      <x:c r="C305" s="19" t="str">
        <x:v>S04</x:v>
      </x:c>
      <x:c r="D305" s="19" t="str">
        <x:v>金街美地店</x:v>
      </x:c>
      <x:c r="E305" s="19" t="str">
        <x:v>瘦肉片</x:v>
      </x:c>
      <x:c r="F305" s="32" t="n">
        <x:v>8.953114756511994</x:v>
      </x:c>
      <x:c r="G305" s="32" t="n">
        <x:v>9.203444393358948</x:v>
      </x:c>
      <x:c r="H305" s="24" t="n">
        <x:f>G305</x:f>
        <x:v>9.203444393358948</x:v>
      </x:c>
      <x:c r="I305" s="24" t="n">
        <x:f>XLOOKUP(A305,'库存与收货'!$A$5:$A$676,'库存与收货'!$H$5:$H$676,0)+XLOOKUP(A305,'库存与收货'!$A$5:$A$676,'库存与收货'!$J$5:$J$676,0)</x:f>
        <x:v>9.572911051446086</x:v>
      </x:c>
      <x:c r="J305" s="21" t="n">
        <x:f>MAX(0,1-ABS(F305-I305)/MAX(I305,0.01))</x:f>
        <x:v>0.9352551912784706</x:v>
      </x:c>
      <x:c r="K305" s="21" t="n">
        <x:f>MAX(0,1-ABS(H305-I305)/MAX(I305,0.01))</x:f>
        <x:v>0.9614049836981066</x:v>
      </x:c>
      <x:c r="L305" s="24" t="n">
        <x:f>MAX(I305-H305,0)</x:f>
        <x:v>0.36946665808713774</x:v>
      </x:c>
      <x:c r="M305" s="24" t="n">
        <x:f>MAX(H305-I305,0)</x:f>
        <x:v>0</x:v>
      </x:c>
      <x:c r="N305" s="19" t="str">
        <x:v>张洁</x:v>
      </x:c>
      <x:c r="O305" s="19" t="str">
        <x:v>S-按销量/BOM/日型生成</x:v>
      </x:c>
    </x:row>
    <x:row r="306">
      <x:c r="A306" s="19" t="str">
        <x:v>2026-07-11|S04|肥肉片</x:v>
      </x:c>
      <x:c r="B306" s="34" t="n">
        <x:v>46214.5</x:v>
      </x:c>
      <x:c r="C306" s="19" t="str">
        <x:v>S04</x:v>
      </x:c>
      <x:c r="D306" s="19" t="str">
        <x:v>金街美地店</x:v>
      </x:c>
      <x:c r="E306" s="19" t="str">
        <x:v>肥肉片</x:v>
      </x:c>
      <x:c r="F306" s="32" t="n">
        <x:v>3.204614058967605</x:v>
      </x:c>
      <x:c r="G306" s="32" t="n">
        <x:v>3.0590353529034684</x:v>
      </x:c>
      <x:c r="H306" s="24" t="n">
        <x:f>G306</x:f>
        <x:v>3.0590353529034684</x:v>
      </x:c>
      <x:c r="I306" s="24" t="n">
        <x:f>XLOOKUP(A306,'库存与收货'!$A$5:$A$676,'库存与收货'!$H$5:$H$676,0)+XLOOKUP(A306,'库存与收货'!$A$5:$A$676,'库存与收货'!$J$5:$J$676,0)</x:f>
        <x:v>2.7421882407168603</x:v>
      </x:c>
      <x:c r="J306" s="21" t="n">
        <x:f>MAX(0,1-ABS(F306-I306)/MAX(I306,0.01))</x:f>
        <x:v>0.8313661289241552</x:v>
      </x:c>
      <x:c r="K306" s="21" t="n">
        <x:f>MAX(0,1-ABS(H306-I306)/MAX(I306,0.01))</x:f>
        <x:v>0.8844546455702916</x:v>
      </x:c>
      <x:c r="L306" s="24" t="n">
        <x:f>MAX(I306-H306,0)</x:f>
        <x:v>0</x:v>
      </x:c>
      <x:c r="M306" s="24" t="n">
        <x:f>MAX(H306-I306,0)</x:f>
        <x:v>0.3168471121866081</x:v>
      </x:c>
      <x:c r="N306" s="19" t="str">
        <x:v>张洁</x:v>
      </x:c>
      <x:c r="O306" s="19" t="str">
        <x:v>S-按销量/BOM/日型生成</x:v>
      </x:c>
    </x:row>
    <x:row r="307">
      <x:c r="A307" s="19" t="str">
        <x:v>2026-07-11|S04|牛肉片</x:v>
      </x:c>
      <x:c r="B307" s="34" t="n">
        <x:v>46214.5</x:v>
      </x:c>
      <x:c r="C307" s="19" t="str">
        <x:v>S04</x:v>
      </x:c>
      <x:c r="D307" s="19" t="str">
        <x:v>金街美地店</x:v>
      </x:c>
      <x:c r="E307" s="19" t="str">
        <x:v>牛肉片</x:v>
      </x:c>
      <x:c r="F307" s="32" t="n">
        <x:v>6.309296604386205</x:v>
      </x:c>
      <x:c r="G307" s="32" t="n">
        <x:v>6.717984347153082</x:v>
      </x:c>
      <x:c r="H307" s="24" t="n">
        <x:f>G307</x:f>
        <x:v>6.717984347153082</x:v>
      </x:c>
      <x:c r="I307" s="24" t="n">
        <x:f>XLOOKUP(A307,'库存与收货'!$A$5:$A$676,'库存与收货'!$H$5:$H$676,0)+XLOOKUP(A307,'库存与收货'!$A$5:$A$676,'库存与收货'!$J$5:$J$676,0)</x:f>
        <x:v>7.245939403526936</x:v>
      </x:c>
      <x:c r="J307" s="21" t="n">
        <x:f>MAX(0,1-ABS(F307-I307)/MAX(I307,0.01))</x:f>
        <x:v>0.8707354910137913</x:v>
      </x:c>
      <x:c r="K307" s="21" t="n">
        <x:f>MAX(0,1-ABS(H307-I307)/MAX(I307,0.01))</x:f>
        <x:v>0.927137804089712</x:v>
      </x:c>
      <x:c r="L307" s="24" t="n">
        <x:f>MAX(I307-H307,0)</x:f>
        <x:v>0.5279550563738544</x:v>
      </x:c>
      <x:c r="M307" s="24" t="n">
        <x:f>MAX(H307-I307,0)</x:f>
        <x:v>0</x:v>
      </x:c>
      <x:c r="N307" s="19" t="str">
        <x:v>张洁</x:v>
      </x:c>
      <x:c r="O307" s="19" t="str">
        <x:v>S-按销量/BOM/日型生成</x:v>
      </x:c>
    </x:row>
    <x:row r="308">
      <x:c r="A308" s="19" t="str">
        <x:v>2026-07-11|S04|螺丝椒</x:v>
      </x:c>
      <x:c r="B308" s="34" t="n">
        <x:v>46214.5</x:v>
      </x:c>
      <x:c r="C308" s="19" t="str">
        <x:v>S04</x:v>
      </x:c>
      <x:c r="D308" s="19" t="str">
        <x:v>金街美地店</x:v>
      </x:c>
      <x:c r="E308" s="19" t="str">
        <x:v>螺丝椒</x:v>
      </x:c>
      <x:c r="F308" s="32" t="n">
        <x:v>8.838123257297221</x:v>
      </x:c>
      <x:c r="G308" s="32" t="n">
        <x:v>9.096082387025794</x:v>
      </x:c>
      <x:c r="H308" s="24" t="n">
        <x:f>G308</x:f>
        <x:v>9.096082387025794</x:v>
      </x:c>
      <x:c r="I308" s="24" t="n">
        <x:f>XLOOKUP(A308,'库存与收货'!$A$5:$A$676,'库存与收货'!$H$5:$H$676,0)+XLOOKUP(A308,'库存与收货'!$A$5:$A$676,'库存与收货'!$J$5:$J$676,0)</x:f>
        <x:v>9.614364945822015</x:v>
      </x:c>
      <x:c r="J308" s="21" t="n">
        <x:f>MAX(0,1-ABS(F308-I308)/MAX(I308,0.01))</x:f>
        <x:v>0.9192623025130626</x:v>
      </x:c>
      <x:c r="K308" s="21" t="n">
        <x:f>MAX(0,1-ABS(H308-I308)/MAX(I308,0.01))</x:f>
        <x:v>0.9460928972722796</x:v>
      </x:c>
      <x:c r="L308" s="24" t="n">
        <x:f>MAX(I308-H308,0)</x:f>
        <x:v>0.518282558796221</x:v>
      </x:c>
      <x:c r="M308" s="24" t="n">
        <x:f>MAX(H308-I308,0)</x:f>
        <x:v>0</x:v>
      </x:c>
      <x:c r="N308" s="19" t="str">
        <x:v>张洁</x:v>
      </x:c>
      <x:c r="O308" s="19" t="str">
        <x:v>S-按销量/BOM/日型生成</x:v>
      </x:c>
    </x:row>
    <x:row r="309">
      <x:c r="A309" s="19" t="str">
        <x:v>2026-07-11|S04|青湖南椒圈</x:v>
      </x:c>
      <x:c r="B309" s="34" t="n">
        <x:v>46214.5</x:v>
      </x:c>
      <x:c r="C309" s="19" t="str">
        <x:v>S04</x:v>
      </x:c>
      <x:c r="D309" s="19" t="str">
        <x:v>金街美地店</x:v>
      </x:c>
      <x:c r="E309" s="19" t="str">
        <x:v>青湖南椒圈</x:v>
      </x:c>
      <x:c r="F309" s="32" t="n">
        <x:v>1.3742736734517307</x:v>
      </x:c>
      <x:c r="G309" s="32" t="n">
        <x:v>1.470612150380647</x:v>
      </x:c>
      <x:c r="H309" s="24" t="n">
        <x:f>G309</x:f>
        <x:v>1.470612150380647</x:v>
      </x:c>
      <x:c r="I309" s="24" t="n">
        <x:f>XLOOKUP(A309,'库存与收货'!$A$5:$A$676,'库存与收货'!$H$5:$H$676,0)+XLOOKUP(A309,'库存与收货'!$A$5:$A$676,'库存与收货'!$J$5:$J$676,0)</x:f>
        <x:v>1.6336813553687375</x:v>
      </x:c>
      <x:c r="J309" s="21" t="n">
        <x:f>MAX(0,1-ABS(F309-I309)/MAX(I309,0.01))</x:f>
        <x:v>0.8412128037915595</x:v>
      </x:c>
      <x:c r="K309" s="21" t="n">
        <x:f>MAX(0,1-ABS(H309-I309)/MAX(I309,0.01))</x:f>
        <x:v>0.9001829797149861</x:v>
      </x:c>
      <x:c r="L309" s="24" t="n">
        <x:f>MAX(I309-H309,0)</x:f>
        <x:v>0.1630692049880904</x:v>
      </x:c>
      <x:c r="M309" s="24" t="n">
        <x:f>MAX(H309-I309,0)</x:f>
        <x:v>0</x:v>
      </x:c>
      <x:c r="N309" s="19" t="str">
        <x:v>张洁</x:v>
      </x:c>
      <x:c r="O309" s="19" t="str">
        <x:v>S-按销量/BOM/日型生成</x:v>
      </x:c>
    </x:row>
    <x:row r="310">
      <x:c r="A310" s="19" t="str">
        <x:v>2026-07-11|S04|鸡蛋</x:v>
      </x:c>
      <x:c r="B310" s="34" t="n">
        <x:v>46214.5</x:v>
      </x:c>
      <x:c r="C310" s="19" t="str">
        <x:v>S04</x:v>
      </x:c>
      <x:c r="D310" s="19" t="str">
        <x:v>金街美地店</x:v>
      </x:c>
      <x:c r="E310" s="19" t="str">
        <x:v>鸡蛋</x:v>
      </x:c>
      <x:c r="F310" s="32" t="n">
        <x:v>13.996274296712617</x:v>
      </x:c>
      <x:c r="G310" s="32" t="n">
        <x:v>13.651754046483216</x:v>
      </x:c>
      <x:c r="H310" s="24" t="n">
        <x:f>G310</x:f>
        <x:v>13.651754046483216</x:v>
      </x:c>
      <x:c r="I310" s="24" t="n">
        <x:f>XLOOKUP(A310,'库存与收货'!$A$5:$A$676,'库存与收货'!$H$5:$H$676,0)+XLOOKUP(A310,'库存与收货'!$A$5:$A$676,'库存与收货'!$J$5:$J$676,0)</x:f>
        <x:v>12.791637452145315</x:v>
      </x:c>
      <x:c r="J310" s="21" t="n">
        <x:f>MAX(0,1-ABS(F310-I310)/MAX(I310,0.01))</x:f>
        <x:v>0.9058262205230598</x:v>
      </x:c>
      <x:c r="K310" s="21" t="n">
        <x:f>MAX(0,1-ABS(H310-I310)/MAX(I310,0.01))</x:f>
        <x:v>0.9327594612061454</x:v>
      </x:c>
      <x:c r="L310" s="24" t="n">
        <x:f>MAX(I310-H310,0)</x:f>
        <x:v>0</x:v>
      </x:c>
      <x:c r="M310" s="24" t="n">
        <x:f>MAX(H310-I310,0)</x:f>
        <x:v>0.8601165943379012</x:v>
      </x:c>
      <x:c r="N310" s="19" t="str">
        <x:v>张洁</x:v>
      </x:c>
      <x:c r="O310" s="19" t="str">
        <x:v>S-按销量/BOM/日型生成</x:v>
      </x:c>
    </x:row>
    <x:row r="311">
      <x:c r="A311" s="19" t="str">
        <x:v>2026-07-11|S04|鸡肉</x:v>
      </x:c>
      <x:c r="B311" s="34" t="n">
        <x:v>46214.5</x:v>
      </x:c>
      <x:c r="C311" s="19" t="str">
        <x:v>S04</x:v>
      </x:c>
      <x:c r="D311" s="19" t="str">
        <x:v>金街美地店</x:v>
      </x:c>
      <x:c r="E311" s="19" t="str">
        <x:v>鸡肉</x:v>
      </x:c>
      <x:c r="F311" s="32" t="n">
        <x:v>3.6819615334531037</x:v>
      </x:c>
      <x:c r="G311" s="32" t="n">
        <x:v>3.6746985449986216</x:v>
      </x:c>
      <x:c r="H311" s="24" t="n">
        <x:f>G311</x:f>
        <x:v>3.6746985449986216</x:v>
      </x:c>
      <x:c r="I311" s="24" t="n">
        <x:f>XLOOKUP(A311,'库存与收货'!$A$5:$A$676,'库存与收货'!$H$5:$H$676,0)+XLOOKUP(A311,'库存与收货'!$A$5:$A$676,'库存与收货'!$J$5:$J$676,0)</x:f>
        <x:v>3.6621059575099744</x:v>
      </x:c>
      <x:c r="J311" s="21" t="n">
        <x:f>MAX(0,1-ABS(F311-I311)/MAX(I311,0.01))</x:f>
        <x:v>0.9945780990027306</x:v>
      </x:c>
      <x:c r="K311" s="21" t="n">
        <x:f>MAX(0,1-ABS(H311-I311)/MAX(I311,0.01))</x:f>
        <x:v>0.9965613809008385</x:v>
      </x:c>
      <x:c r="L311" s="24" t="n">
        <x:f>MAX(I311-H311,0)</x:f>
        <x:v>0</x:v>
      </x:c>
      <x:c r="M311" s="24" t="n">
        <x:f>MAX(H311-I311,0)</x:f>
        <x:v>0.012592587488647222</x:v>
      </x:c>
      <x:c r="N311" s="19" t="str">
        <x:v>张洁</x:v>
      </x:c>
      <x:c r="O311" s="19" t="str">
        <x:v>S-按销量/BOM/日型生成</x:v>
      </x:c>
    </x:row>
    <x:row r="312">
      <x:c r="A312" s="19" t="str">
        <x:v>2026-07-11|S04|鲈鱼</x:v>
      </x:c>
      <x:c r="B312" s="34" t="n">
        <x:v>46214.5</x:v>
      </x:c>
      <x:c r="C312" s="19" t="str">
        <x:v>S04</x:v>
      </x:c>
      <x:c r="D312" s="19" t="str">
        <x:v>金街美地店</x:v>
      </x:c>
      <x:c r="E312" s="19" t="str">
        <x:v>鲈鱼</x:v>
      </x:c>
      <x:c r="F312" s="32" t="n">
        <x:v>2.8501849387696687</x:v>
      </x:c>
      <x:c r="G312" s="32" t="n">
        <x:v>2.727044608452827</x:v>
      </x:c>
      <x:c r="H312" s="24" t="n">
        <x:f>G312</x:f>
        <x:v>2.727044608452827</x:v>
      </x:c>
      <x:c r="I312" s="24" t="n">
        <x:f>XLOOKUP(A312,'库存与收货'!$A$5:$A$676,'库存与收货'!$H$5:$H$676,0)+XLOOKUP(A312,'库存与收货'!$A$5:$A$676,'库存与收货'!$J$5:$J$676,0)</x:f>
        <x:v>2.5576352219202403</x:v>
      </x:c>
      <x:c r="J312" s="21" t="n">
        <x:f>MAX(0,1-ABS(F312-I312)/MAX(I312,0.01))</x:f>
        <x:v>0.8856171066373626</x:v>
      </x:c>
      <x:c r="K312" s="21" t="n">
        <x:f>MAX(0,1-ABS(H312-I312)/MAX(I312,0.01))</x:f>
        <x:v>0.9337632727760934</x:v>
      </x:c>
      <x:c r="L312" s="24" t="n">
        <x:f>MAX(I312-H312,0)</x:f>
        <x:v>0</x:v>
      </x:c>
      <x:c r="M312" s="24" t="n">
        <x:f>MAX(H312-I312,0)</x:f>
        <x:v>0.16940938653258675</x:v>
      </x:c>
      <x:c r="N312" s="19" t="str">
        <x:v>张洁</x:v>
      </x:c>
      <x:c r="O312" s="19" t="str">
        <x:v>S-按销量/BOM/日型生成</x:v>
      </x:c>
    </x:row>
    <x:row r="313">
      <x:c r="A313" s="19" t="str">
        <x:v>2026-07-11|S04|酸包菜</x:v>
      </x:c>
      <x:c r="B313" s="34" t="n">
        <x:v>46214.5</x:v>
      </x:c>
      <x:c r="C313" s="19" t="str">
        <x:v>S04</x:v>
      </x:c>
      <x:c r="D313" s="19" t="str">
        <x:v>金街美地店</x:v>
      </x:c>
      <x:c r="E313" s="19" t="str">
        <x:v>酸包菜</x:v>
      </x:c>
      <x:c r="F313" s="32" t="n">
        <x:v>6.165521100947984</x:v>
      </x:c>
      <x:c r="G313" s="32" t="n">
        <x:v>6.170306526036824</x:v>
      </x:c>
      <x:c r="H313" s="24" t="n">
        <x:f>G313</x:f>
        <x:v>6.170306526036824</x:v>
      </x:c>
      <x:c r="I313" s="24" t="n">
        <x:f>XLOOKUP(A313,'库存与收货'!$A$5:$A$676,'库存与收货'!$H$5:$H$676,0)+XLOOKUP(A313,'库存与收货'!$A$5:$A$676,'库存与收货'!$J$5:$J$676,0)</x:f>
        <x:v>6.180484316353799</x:v>
      </x:c>
      <x:c r="J313" s="21" t="n">
        <x:f>MAX(0,1-ABS(F313-I313)/MAX(I313,0.01))</x:f>
        <x:v>0.9975789574667763</x:v>
      </x:c>
      <x:c r="K313" s="21" t="n">
        <x:f>MAX(0,1-ABS(H313-I313)/MAX(I313,0.01))</x:f>
        <x:v>0.9983532374170023</x:v>
      </x:c>
      <x:c r="L313" s="24" t="n">
        <x:f>MAX(I313-H313,0)</x:f>
        <x:v>0.010177790316975077</x:v>
      </x:c>
      <x:c r="M313" s="24" t="n">
        <x:f>MAX(H313-I313,0)</x:f>
        <x:v>0</x:v>
      </x:c>
      <x:c r="N313" s="19" t="str">
        <x:v>张洁</x:v>
      </x:c>
      <x:c r="O313" s="19" t="str">
        <x:v>S-按销量/BOM/日型生成</x:v>
      </x:c>
    </x:row>
    <x:row r="314">
      <x:c r="A314" s="19" t="str">
        <x:v>2026-07-11|S04|粉皮</x:v>
      </x:c>
      <x:c r="B314" s="34" t="n">
        <x:v>46214.5</x:v>
      </x:c>
      <x:c r="C314" s="19" t="str">
        <x:v>S04</x:v>
      </x:c>
      <x:c r="D314" s="19" t="str">
        <x:v>金街美地店</x:v>
      </x:c>
      <x:c r="E314" s="19" t="str">
        <x:v>粉皮</x:v>
      </x:c>
      <x:c r="F314" s="32" t="n">
        <x:v>5.423982576594399</x:v>
      </x:c>
      <x:c r="G314" s="32" t="n">
        <x:v>5.129722908482077</x:v>
      </x:c>
      <x:c r="H314" s="24" t="n">
        <x:f>G314</x:f>
        <x:v>5.129722908482077</x:v>
      </x:c>
      <x:c r="I314" s="24" t="n">
        <x:f>XLOOKUP(A314,'库存与收货'!$A$5:$A$676,'库存与收货'!$H$5:$H$676,0)+XLOOKUP(A314,'库存与收货'!$A$5:$A$676,'库存与收货'!$J$5:$J$676,0)</x:f>
        <x:v>4.671668272784834</x:v>
      </x:c>
      <x:c r="J314" s="21" t="n">
        <x:f>MAX(0,1-ABS(F314-I314)/MAX(I314,0.01))</x:f>
        <x:v>0.8389623877636538</x:v>
      </x:c>
      <x:c r="K314" s="21" t="n">
        <x:f>MAX(0,1-ABS(H314-I314)/MAX(I314,0.01))</x:f>
        <x:v>0.9019505219654238</x:v>
      </x:c>
      <x:c r="L314" s="24" t="n">
        <x:f>MAX(I314-H314,0)</x:f>
        <x:v>0</x:v>
      </x:c>
      <x:c r="M314" s="24" t="n">
        <x:f>MAX(H314-I314,0)</x:f>
        <x:v>0.45805463569724303</x:v>
      </x:c>
      <x:c r="N314" s="19" t="str">
        <x:v>张洁</x:v>
      </x:c>
      <x:c r="O314" s="19" t="str">
        <x:v>S-按销量/BOM/日型生成</x:v>
      </x:c>
    </x:row>
    <x:row r="315">
      <x:c r="A315" s="19" t="str">
        <x:v>2026-07-11|S04|鸡杂</x:v>
      </x:c>
      <x:c r="B315" s="34" t="n">
        <x:v>46214.5</x:v>
      </x:c>
      <x:c r="C315" s="19" t="str">
        <x:v>S04</x:v>
      </x:c>
      <x:c r="D315" s="19" t="str">
        <x:v>金街美地店</x:v>
      </x:c>
      <x:c r="E315" s="19" t="str">
        <x:v>鸡杂</x:v>
      </x:c>
      <x:c r="F315" s="32" t="n">
        <x:v>2.7744662447704425</x:v>
      </x:c>
      <x:c r="G315" s="32" t="n">
        <x:v>2.7898232006761257</x:v>
      </x:c>
      <x:c r="H315" s="24" t="n">
        <x:f>G315</x:f>
        <x:v>2.7898232006761257</x:v>
      </x:c>
      <x:c r="I315" s="24" t="n">
        <x:f>XLOOKUP(A315,'库存与收货'!$A$5:$A$676,'库存与收货'!$H$5:$H$676,0)+XLOOKUP(A315,'库存与收货'!$A$5:$A$676,'库存与收货'!$J$5:$J$676,0)</x:f>
        <x:v>2.8137590356727036</x:v>
      </x:c>
      <x:c r="J315" s="21" t="n">
        <x:f>MAX(0,1-ABS(F315-I315)/MAX(I315,0.01))</x:f>
        <x:v>0.9860354812177913</x:v>
      </x:c>
      <x:c r="K315" s="21" t="n">
        <x:f>MAX(0,1-ABS(H315-I315)/MAX(I315,0.01))</x:f>
        <x:v>0.9914932889799302</x:v>
      </x:c>
      <x:c r="L315" s="24" t="n">
        <x:f>MAX(I315-H315,0)</x:f>
        <x:v>0.02393583499657792</x:v>
      </x:c>
      <x:c r="M315" s="24" t="n">
        <x:f>MAX(H315-I315,0)</x:f>
        <x:v>0</x:v>
      </x:c>
      <x:c r="N315" s="19" t="str">
        <x:v>张洁</x:v>
      </x:c>
      <x:c r="O315" s="19" t="str">
        <x:v>S-按销量/BOM/日型生成</x:v>
      </x:c>
    </x:row>
    <x:row r="316">
      <x:c r="A316" s="19" t="str">
        <x:v>2026-07-11|S04|豆腐</x:v>
      </x:c>
      <x:c r="B316" s="34" t="n">
        <x:v>46214.5</x:v>
      </x:c>
      <x:c r="C316" s="19" t="str">
        <x:v>S04</x:v>
      </x:c>
      <x:c r="D316" s="19" t="str">
        <x:v>金街美地店</x:v>
      </x:c>
      <x:c r="E316" s="19" t="str">
        <x:v>豆腐</x:v>
      </x:c>
      <x:c r="F316" s="32" t="n">
        <x:v>17.072745155428454</x:v>
      </x:c>
      <x:c r="G316" s="32" t="n">
        <x:v>17.42386615089705</x:v>
      </x:c>
      <x:c r="H316" s="24" t="n">
        <x:f>G316</x:f>
        <x:v>17.42386615089705</x:v>
      </x:c>
      <x:c r="I316" s="24" t="n">
        <x:f>XLOOKUP(A316,'库存与收货'!$A$5:$A$676,'库存与收货'!$H$5:$H$676,0)+XLOOKUP(A316,'库存与收货'!$A$5:$A$676,'库存与收货'!$J$5:$J$676,0)</x:f>
        <x:v>17.85324344995507</x:v>
      </x:c>
      <x:c r="J316" s="21" t="n">
        <x:f>MAX(0,1-ABS(F316-I316)/MAX(I316,0.01))</x:f>
        <x:v>0.956282549066535</x:v>
      </x:c>
      <x:c r="K316" s="21" t="n">
        <x:f>MAX(0,1-ABS(H316-I316)/MAX(I316,0.01))</x:f>
        <x:v>0.9759496194480506</x:v>
      </x:c>
      <x:c r="L316" s="24" t="n">
        <x:f>MAX(I316-H316,0)</x:f>
        <x:v>0.429377299058018</x:v>
      </x:c>
      <x:c r="M316" s="24" t="n">
        <x:f>MAX(H316-I316,0)</x:f>
        <x:v>0</x:v>
      </x:c>
      <x:c r="N316" s="19" t="str">
        <x:v>张洁</x:v>
      </x:c>
      <x:c r="O316" s="19" t="str">
        <x:v>S-按销量/BOM/日型生成</x:v>
      </x:c>
    </x:row>
    <x:row r="317">
      <x:c r="A317" s="19" t="str">
        <x:v>2026-07-12|S04|瘦肉片</x:v>
      </x:c>
      <x:c r="B317" s="34" t="n">
        <x:v>46215.5</x:v>
      </x:c>
      <x:c r="C317" s="19" t="str">
        <x:v>S04</x:v>
      </x:c>
      <x:c r="D317" s="19" t="str">
        <x:v>金街美地店</x:v>
      </x:c>
      <x:c r="E317" s="19" t="str">
        <x:v>瘦肉片</x:v>
      </x:c>
      <x:c r="F317" s="32" t="n">
        <x:v>10.94864149320754</x:v>
      </x:c>
      <x:c r="G317" s="32" t="n">
        <x:v>10.5269340095547</x:v>
      </x:c>
      <x:c r="H317" s="24" t="n">
        <x:f>G317</x:f>
        <x:v>10.5269340095547</x:v>
      </x:c>
      <x:c r="I317" s="24" t="n">
        <x:f>XLOOKUP(A317,'库存与收货'!$A$5:$A$676,'库存与收货'!$H$5:$H$676,0)+XLOOKUP(A317,'库存与收货'!$A$5:$A$676,'库存与收货'!$J$5:$J$676,0)</x:f>
        <x:v>9.35865709474512</x:v>
      </x:c>
      <x:c r="J317" s="21" t="n">
        <x:f>MAX(0,1-ABS(F317-I317)/MAX(I317,0.01))</x:f>
        <x:v>0.8301054967218323</x:v>
      </x:c>
      <x:c r="K317" s="21" t="n">
        <x:f>MAX(0,1-ABS(H317-I317)/MAX(I317,0.01))</x:f>
        <x:v>0.8751661800424798</x:v>
      </x:c>
      <x:c r="L317" s="24" t="n">
        <x:f>MAX(I317-H317,0)</x:f>
        <x:v>0</x:v>
      </x:c>
      <x:c r="M317" s="24" t="n">
        <x:f>MAX(H317-I317,0)</x:f>
        <x:v>1.1682769148095815</x:v>
      </x:c>
      <x:c r="N317" s="19" t="str">
        <x:v>张洁</x:v>
      </x:c>
      <x:c r="O317" s="19" t="str">
        <x:v>S-按销量/BOM/日型生成</x:v>
      </x:c>
    </x:row>
    <x:row r="318">
      <x:c r="A318" s="19" t="str">
        <x:v>2026-07-12|S04|肥肉片</x:v>
      </x:c>
      <x:c r="B318" s="34" t="n">
        <x:v>46215.5</x:v>
      </x:c>
      <x:c r="C318" s="19" t="str">
        <x:v>S04</x:v>
      </x:c>
      <x:c r="D318" s="19" t="str">
        <x:v>金街美地店</x:v>
      </x:c>
      <x:c r="E318" s="19" t="str">
        <x:v>肥肉片</x:v>
      </x:c>
      <x:c r="F318" s="32" t="n">
        <x:v>2.340937904062791</x:v>
      </x:c>
      <x:c r="G318" s="32" t="n">
        <x:v>2.433013132472512</x:v>
      </x:c>
      <x:c r="H318" s="24" t="n">
        <x:f>G318</x:f>
        <x:v>2.433013132472512</x:v>
      </x:c>
      <x:c r="I318" s="24" t="n">
        <x:f>XLOOKUP(A318,'库存与收货'!$A$5:$A$676,'库存与收货'!$H$5:$H$676,0)+XLOOKUP(A318,'库存与收货'!$A$5:$A$676,'库存与收货'!$J$5:$J$676,0)</x:f>
        <x:v>2.6222423546024345</x:v>
      </x:c>
      <x:c r="J318" s="21" t="n">
        <x:f>MAX(0,1-ABS(F318-I318)/MAX(I318,0.01))</x:f>
        <x:v>0.8927237026562739</x:v>
      </x:c>
      <x:c r="K318" s="21" t="n">
        <x:f>MAX(0,1-ABS(H318-I318)/MAX(I318,0.01))</x:f>
        <x:v>0.9278368676343755</x:v>
      </x:c>
      <x:c r="L318" s="24" t="n">
        <x:f>MAX(I318-H318,0)</x:f>
        <x:v>0.18922922212992255</x:v>
      </x:c>
      <x:c r="M318" s="24" t="n">
        <x:f>MAX(H318-I318,0)</x:f>
        <x:v>0</x:v>
      </x:c>
      <x:c r="N318" s="19" t="str">
        <x:v>张洁</x:v>
      </x:c>
      <x:c r="O318" s="19" t="str">
        <x:v>S-按销量/BOM/日型生成</x:v>
      </x:c>
    </x:row>
    <x:row r="319">
      <x:c r="A319" s="19" t="str">
        <x:v>2026-07-12|S04|牛肉片</x:v>
      </x:c>
      <x:c r="B319" s="34" t="n">
        <x:v>46215.5</x:v>
      </x:c>
      <x:c r="C319" s="19" t="str">
        <x:v>S04</x:v>
      </x:c>
      <x:c r="D319" s="19" t="str">
        <x:v>金街美地店</x:v>
      </x:c>
      <x:c r="E319" s="19" t="str">
        <x:v>牛肉片</x:v>
      </x:c>
      <x:c r="F319" s="32" t="n">
        <x:v>7.040710857470707</x:v>
      </x:c>
      <x:c r="G319" s="32" t="n">
        <x:v>7.177990042236829</x:v>
      </x:c>
      <x:c r="H319" s="24" t="n">
        <x:f>G319</x:f>
        <x:v>7.177990042236829</x:v>
      </x:c>
      <x:c r="I319" s="24" t="n">
        <x:f>XLOOKUP(A319,'库存与收货'!$A$5:$A$676,'库存与收货'!$H$5:$H$676,0)+XLOOKUP(A319,'库存与收货'!$A$5:$A$676,'库存与收货'!$J$5:$J$676,0)</x:f>
        <x:v>7.514505859661325</x:v>
      </x:c>
      <x:c r="J319" s="21" t="n">
        <x:f>MAX(0,1-ABS(F319-I319)/MAX(I319,0.01))</x:f>
        <x:v>0.9369492803600034</x:v>
      </x:c>
      <x:c r="K319" s="21" t="n">
        <x:f>MAX(0,1-ABS(H319-I319)/MAX(I319,0.01))</x:f>
        <x:v>0.9552178381773645</x:v>
      </x:c>
      <x:c r="L319" s="24" t="n">
        <x:f>MAX(I319-H319,0)</x:f>
        <x:v>0.33651581742449643</x:v>
      </x:c>
      <x:c r="M319" s="24" t="n">
        <x:f>MAX(H319-I319,0)</x:f>
        <x:v>0</x:v>
      </x:c>
      <x:c r="N319" s="19" t="str">
        <x:v>张洁</x:v>
      </x:c>
      <x:c r="O319" s="19" t="str">
        <x:v>S-按销量/BOM/日型生成</x:v>
      </x:c>
    </x:row>
    <x:row r="320">
      <x:c r="A320" s="19" t="str">
        <x:v>2026-07-12|S04|螺丝椒</x:v>
      </x:c>
      <x:c r="B320" s="34" t="n">
        <x:v>46215.5</x:v>
      </x:c>
      <x:c r="C320" s="19" t="str">
        <x:v>S04</x:v>
      </x:c>
      <x:c r="D320" s="19" t="str">
        <x:v>金街美地店</x:v>
      </x:c>
      <x:c r="E320" s="19" t="str">
        <x:v>螺丝椒</x:v>
      </x:c>
      <x:c r="F320" s="32" t="n">
        <x:v>7.901621988524146</x:v>
      </x:c>
      <x:c r="G320" s="32" t="n">
        <x:v>8.384087558356972</x:v>
      </x:c>
      <x:c r="H320" s="24" t="n">
        <x:f>G320</x:f>
        <x:v>8.384087558356972</x:v>
      </x:c>
      <x:c r="I320" s="24" t="n">
        <x:f>XLOOKUP(A320,'库存与收货'!$A$5:$A$676,'库存与收货'!$H$5:$H$676,0)+XLOOKUP(A320,'库存与收货'!$A$5:$A$676,'库存与收货'!$J$5:$J$676,0)</x:f>
        <x:v>9.546400100726785</x:v>
      </x:c>
      <x:c r="J320" s="21" t="n">
        <x:f>MAX(0,1-ABS(F320-I320)/MAX(I320,0.01))</x:f>
        <x:v>0.8277069790865543</x:v>
      </x:c>
      <x:c r="K320" s="21" t="n">
        <x:f>MAX(0,1-ABS(H320-I320)/MAX(I320,0.01))</x:f>
        <x:v>0.8782459848627836</x:v>
      </x:c>
      <x:c r="L320" s="24" t="n">
        <x:f>MAX(I320-H320,0)</x:f>
        <x:v>1.162312542369813</x:v>
      </x:c>
      <x:c r="M320" s="24" t="n">
        <x:f>MAX(H320-I320,0)</x:f>
        <x:v>0</x:v>
      </x:c>
      <x:c r="N320" s="19" t="str">
        <x:v>张洁</x:v>
      </x:c>
      <x:c r="O320" s="19" t="str">
        <x:v>S-按销量/BOM/日型生成</x:v>
      </x:c>
    </x:row>
    <x:row r="321">
      <x:c r="A321" s="19" t="str">
        <x:v>2026-07-12|S04|青湖南椒圈</x:v>
      </x:c>
      <x:c r="B321" s="34" t="n">
        <x:v>46215.5</x:v>
      </x:c>
      <x:c r="C321" s="19" t="str">
        <x:v>S04</x:v>
      </x:c>
      <x:c r="D321" s="19" t="str">
        <x:v>金街美地店</x:v>
      </x:c>
      <x:c r="E321" s="19" t="str">
        <x:v>青湖南椒圈</x:v>
      </x:c>
      <x:c r="F321" s="32" t="n">
        <x:v>1.292091014645002</x:v>
      </x:c>
      <x:c r="G321" s="32" t="n">
        <x:v>1.3444094709332914</x:v>
      </x:c>
      <x:c r="H321" s="24" t="n">
        <x:f>G321</x:f>
        <x:v>1.3444094709332914</x:v>
      </x:c>
      <x:c r="I321" s="24" t="n">
        <x:f>XLOOKUP(A321,'库存与收货'!$A$5:$A$676,'库存与收货'!$H$5:$H$676,0)+XLOOKUP(A321,'库存与收货'!$A$5:$A$676,'库存与收货'!$J$5:$J$676,0)</x:f>
        <x:v>1.4427518659708443</x:v>
      </x:c>
      <x:c r="J321" s="21" t="n">
        <x:f>MAX(0,1-ABS(F321-I321)/MAX(I321,0.01))</x:f>
        <x:v>0.8955739688304192</x:v>
      </x:c>
      <x:c r="K321" s="21" t="n">
        <x:f>MAX(0,1-ABS(H321-I321)/MAX(I321,0.01))</x:f>
        <x:v>0.9318369309670744</x:v>
      </x:c>
      <x:c r="L321" s="24" t="n">
        <x:f>MAX(I321-H321,0)</x:f>
        <x:v>0.09834239503755282</x:v>
      </x:c>
      <x:c r="M321" s="24" t="n">
        <x:f>MAX(H321-I321,0)</x:f>
        <x:v>0</x:v>
      </x:c>
      <x:c r="N321" s="19" t="str">
        <x:v>张洁</x:v>
      </x:c>
      <x:c r="O321" s="19" t="str">
        <x:v>S-按销量/BOM/日型生成</x:v>
      </x:c>
    </x:row>
    <x:row r="322">
      <x:c r="A322" s="19" t="str">
        <x:v>2026-07-12|S04|鸡蛋</x:v>
      </x:c>
      <x:c r="B322" s="34" t="n">
        <x:v>46215.5</x:v>
      </x:c>
      <x:c r="C322" s="19" t="str">
        <x:v>S04</x:v>
      </x:c>
      <x:c r="D322" s="19" t="str">
        <x:v>金街美地店</x:v>
      </x:c>
      <x:c r="E322" s="19" t="str">
        <x:v>鸡蛋</x:v>
      </x:c>
      <x:c r="F322" s="32" t="n">
        <x:v>15.757491607882148</x:v>
      </x:c>
      <x:c r="G322" s="32" t="n">
        <x:v>15.162811186352537</x:v>
      </x:c>
      <x:c r="H322" s="24" t="n">
        <x:f>G322</x:f>
        <x:v>15.162811186352537</x:v>
      </x:c>
      <x:c r="I322" s="24" t="n">
        <x:f>XLOOKUP(A322,'库存与收货'!$A$5:$A$676,'库存与收货'!$H$5:$H$676,0)+XLOOKUP(A322,'库存与收货'!$A$5:$A$676,'库存与收货'!$J$5:$J$676,0)</x:f>
        <x:v>13.63254018967332</x:v>
      </x:c>
      <x:c r="J322" s="21" t="n">
        <x:f>MAX(0,1-ABS(F322-I322)/MAX(I322,0.01))</x:f>
        <x:v>0.8441265245769468</x:v>
      </x:c>
      <x:c r="K322" s="21" t="n">
        <x:f>MAX(0,1-ABS(H322-I322)/MAX(I322,0.01))</x:f>
        <x:v>0.8877486531938926</x:v>
      </x:c>
      <x:c r="L322" s="24" t="n">
        <x:f>MAX(I322-H322,0)</x:f>
        <x:v>0</x:v>
      </x:c>
      <x:c r="M322" s="24" t="n">
        <x:f>MAX(H322-I322,0)</x:f>
        <x:v>1.5302709966792172</x:v>
      </x:c>
      <x:c r="N322" s="19" t="str">
        <x:v>张洁</x:v>
      </x:c>
      <x:c r="O322" s="19" t="str">
        <x:v>S-按销量/BOM/日型生成</x:v>
      </x:c>
    </x:row>
    <x:row r="323">
      <x:c r="A323" s="19" t="str">
        <x:v>2026-07-12|S04|鸡肉</x:v>
      </x:c>
      <x:c r="B323" s="34" t="n">
        <x:v>46215.5</x:v>
      </x:c>
      <x:c r="C323" s="19" t="str">
        <x:v>S04</x:v>
      </x:c>
      <x:c r="D323" s="19" t="str">
        <x:v>金街美地店</x:v>
      </x:c>
      <x:c r="E323" s="19" t="str">
        <x:v>鸡肉</x:v>
      </x:c>
      <x:c r="F323" s="32" t="n">
        <x:v>3.4116421748042884</x:v>
      </x:c>
      <x:c r="G323" s="32" t="n">
        <x:v>3.371415378808768</x:v>
      </x:c>
      <x:c r="H323" s="24" t="n">
        <x:f>G323</x:f>
        <x:v>3.371415378808768</x:v>
      </x:c>
      <x:c r="I323" s="24" t="n">
        <x:f>XLOOKUP(A323,'库存与收货'!$A$5:$A$676,'库存与收货'!$H$5:$H$676,0)+XLOOKUP(A323,'库存与收货'!$A$5:$A$676,'库存与收货'!$J$5:$J$676,0)</x:f>
        <x:v>3.2529230718024595</x:v>
      </x:c>
      <x:c r="J323" s="21" t="n">
        <x:f>MAX(0,1-ABS(F323-I323)/MAX(I323,0.01))</x:f>
        <x:v>0.951207237460466</x:v>
      </x:c>
      <x:c r="K323" s="21" t="n">
        <x:f>MAX(0,1-ABS(H323-I323)/MAX(I323,0.01))</x:f>
        <x:v>0.9635735907702694</x:v>
      </x:c>
      <x:c r="L323" s="24" t="n">
        <x:f>MAX(I323-H323,0)</x:f>
        <x:v>0</x:v>
      </x:c>
      <x:c r="M323" s="24" t="n">
        <x:f>MAX(H323-I323,0)</x:f>
        <x:v>0.11849230700630864</x:v>
      </x:c>
      <x:c r="N323" s="19" t="str">
        <x:v>张洁</x:v>
      </x:c>
      <x:c r="O323" s="19" t="str">
        <x:v>S-按销量/BOM/日型生成</x:v>
      </x:c>
    </x:row>
    <x:row r="324">
      <x:c r="A324" s="19" t="str">
        <x:v>2026-07-12|S04|鲈鱼</x:v>
      </x:c>
      <x:c r="B324" s="34" t="n">
        <x:v>46215.5</x:v>
      </x:c>
      <x:c r="C324" s="19" t="str">
        <x:v>S04</x:v>
      </x:c>
      <x:c r="D324" s="19" t="str">
        <x:v>金街美地店</x:v>
      </x:c>
      <x:c r="E324" s="19" t="str">
        <x:v>鲈鱼</x:v>
      </x:c>
      <x:c r="F324" s="32" t="n">
        <x:v>2.543468239784812</x:v>
      </x:c>
      <x:c r="G324" s="32" t="n">
        <x:v>2.553765846003975</x:v>
      </x:c>
      <x:c r="H324" s="24" t="n">
        <x:f>G324</x:f>
        <x:v>2.553765846003975</x:v>
      </x:c>
      <x:c r="I324" s="24" t="n">
        <x:f>XLOOKUP(A324,'库存与收货'!$A$5:$A$676,'库存与收货'!$H$5:$H$676,0)+XLOOKUP(A324,'库存与收货'!$A$5:$A$676,'库存与收货'!$J$5:$J$676,0)</x:f>
        <x:v>2.5677204540273455</x:v>
      </x:c>
      <x:c r="J324" s="21" t="n">
        <x:f>MAX(0,1-ABS(F324-I324)/MAX(I324,0.01))</x:f>
        <x:v>0.9905549631758024</x:v>
      </x:c>
      <x:c r="K324" s="21" t="n">
        <x:f>MAX(0,1-ABS(H324-I324)/MAX(I324,0.01))</x:f>
        <x:v>0.9945653710077812</x:v>
      </x:c>
      <x:c r="L324" s="24" t="n">
        <x:f>MAX(I324-H324,0)</x:f>
        <x:v>0.01395460802337034</x:v>
      </x:c>
      <x:c r="M324" s="24" t="n">
        <x:f>MAX(H324-I324,0)</x:f>
        <x:v>0</x:v>
      </x:c>
      <x:c r="N324" s="19" t="str">
        <x:v>张洁</x:v>
      </x:c>
      <x:c r="O324" s="19" t="str">
        <x:v>S-按销量/BOM/日型生成</x:v>
      </x:c>
    </x:row>
    <x:row r="325">
      <x:c r="A325" s="19" t="str">
        <x:v>2026-07-12|S04|酸包菜</x:v>
      </x:c>
      <x:c r="B325" s="34" t="n">
        <x:v>46215.5</x:v>
      </x:c>
      <x:c r="C325" s="19" t="str">
        <x:v>S04</x:v>
      </x:c>
      <x:c r="D325" s="19" t="str">
        <x:v>金街美地店</x:v>
      </x:c>
      <x:c r="E325" s="19" t="str">
        <x:v>酸包菜</x:v>
      </x:c>
      <x:c r="F325" s="32" t="n">
        <x:v>6.57477695348423</x:v>
      </x:c>
      <x:c r="G325" s="32" t="n">
        <x:v>6.288881682675329</x:v>
      </x:c>
      <x:c r="H325" s="24" t="n">
        <x:f>G325</x:f>
        <x:v>6.288881682675329</x:v>
      </x:c>
      <x:c r="I325" s="24" t="n">
        <x:f>XLOOKUP(A325,'库存与收货'!$A$5:$A$676,'库存与收货'!$H$5:$H$676,0)+XLOOKUP(A325,'库存与收货'!$A$5:$A$676,'库存与收货'!$J$5:$J$676,0)</x:f>
        <x:v>5.8053587633616655</x:v>
      </x:c>
      <x:c r="J325" s="21" t="n">
        <x:f>MAX(0,1-ABS(F325-I325)/MAX(I325,0.01))</x:f>
        <x:v>0.8674641445110236</x:v>
      </x:c>
      <x:c r="K325" s="21" t="n">
        <x:f>MAX(0,1-ABS(H325-I325)/MAX(I325,0.01))</x:f>
        <x:v>0.9167109322570663</x:v>
      </x:c>
      <x:c r="L325" s="24" t="n">
        <x:f>MAX(I325-H325,0)</x:f>
        <x:v>0</x:v>
      </x:c>
      <x:c r="M325" s="24" t="n">
        <x:f>MAX(H325-I325,0)</x:f>
        <x:v>0.4835229193136632</x:v>
      </x:c>
      <x:c r="N325" s="19" t="str">
        <x:v>张洁</x:v>
      </x:c>
      <x:c r="O325" s="19" t="str">
        <x:v>S-按销量/BOM/日型生成</x:v>
      </x:c>
    </x:row>
    <x:row r="326">
      <x:c r="A326" s="19" t="str">
        <x:v>2026-07-12|S04|粉皮</x:v>
      </x:c>
      <x:c r="B326" s="34" t="n">
        <x:v>46215.5</x:v>
      </x:c>
      <x:c r="C326" s="19" t="str">
        <x:v>S04</x:v>
      </x:c>
      <x:c r="D326" s="19" t="str">
        <x:v>金街美地店</x:v>
      </x:c>
      <x:c r="E326" s="19" t="str">
        <x:v>粉皮</x:v>
      </x:c>
      <x:c r="F326" s="32" t="n">
        <x:v>4.997493648744041</x:v>
      </x:c>
      <x:c r="G326" s="32" t="n">
        <x:v>4.731656790230932</x:v>
      </x:c>
      <x:c r="H326" s="24" t="n">
        <x:f>G326</x:f>
        <x:v>4.731656790230932</x:v>
      </x:c>
      <x:c r="I326" s="24" t="n">
        <x:f>XLOOKUP(A326,'库存与收货'!$A$5:$A$676,'库存与收货'!$H$5:$H$676,0)+XLOOKUP(A326,'库存与收货'!$A$5:$A$676,'库存与收货'!$J$5:$J$676,0)</x:f>
        <x:v>4.313290447431684</x:v>
      </x:c>
      <x:c r="J326" s="21" t="n">
        <x:f>MAX(0,1-ABS(F326-I326)/MAX(I326,0.01))</x:f>
        <x:v>0.84137326024039</x:v>
      </x:c>
      <x:c r="K326" s="21" t="n">
        <x:f>MAX(0,1-ABS(H326-I326)/MAX(I326,0.01))</x:f>
        <x:v>0.9030052930823702</x:v>
      </x:c>
      <x:c r="L326" s="24" t="n">
        <x:f>MAX(I326-H326,0)</x:f>
        <x:v>0</x:v>
      </x:c>
      <x:c r="M326" s="24" t="n">
        <x:f>MAX(H326-I326,0)</x:f>
        <x:v>0.41836634279924834</x:v>
      </x:c>
      <x:c r="N326" s="19" t="str">
        <x:v>张洁</x:v>
      </x:c>
      <x:c r="O326" s="19" t="str">
        <x:v>S-按销量/BOM/日型生成</x:v>
      </x:c>
    </x:row>
    <x:row r="327">
      <x:c r="A327" s="19" t="str">
        <x:v>2026-07-12|S04|鸡杂</x:v>
      </x:c>
      <x:c r="B327" s="34" t="n">
        <x:v>46215.5</x:v>
      </x:c>
      <x:c r="C327" s="19" t="str">
        <x:v>S04</x:v>
      </x:c>
      <x:c r="D327" s="19" t="str">
        <x:v>金街美地店</x:v>
      </x:c>
      <x:c r="E327" s="19" t="str">
        <x:v>鸡杂</x:v>
      </x:c>
      <x:c r="F327" s="32" t="n">
        <x:v>3.022610131454281</x:v>
      </x:c>
      <x:c r="G327" s="32" t="n">
        <x:v>2.838379062819093</x:v>
      </x:c>
      <x:c r="H327" s="24" t="n">
        <x:f>G327</x:f>
        <x:v>2.838379062819093</x:v>
      </x:c>
      <x:c r="I327" s="24" t="n">
        <x:f>XLOOKUP(A327,'库存与收货'!$A$5:$A$676,'库存与收货'!$H$5:$H$676,0)+XLOOKUP(A327,'库存与收货'!$A$5:$A$676,'库存与收货'!$J$5:$J$676,0)</x:f>
        <x:v>2.577774369161407</x:v>
      </x:c>
      <x:c r="J327" s="21" t="n">
        <x:f>MAX(0,1-ABS(F327-I327)/MAX(I327,0.01))</x:f>
        <x:v>0.8274341743736142</x:v>
      </x:c>
      <x:c r="K327" s="21" t="n">
        <x:f>MAX(0,1-ABS(H327-I327)/MAX(I327,0.01))</x:f>
        <x:v>0.8989032179172203</x:v>
      </x:c>
      <x:c r="L327" s="24" t="n">
        <x:f>MAX(I327-H327,0)</x:f>
        <x:v>0</x:v>
      </x:c>
      <x:c r="M327" s="24" t="n">
        <x:f>MAX(H327-I327,0)</x:f>
        <x:v>0.2606046936576858</x:v>
      </x:c>
      <x:c r="N327" s="19" t="str">
        <x:v>张洁</x:v>
      </x:c>
      <x:c r="O327" s="19" t="str">
        <x:v>S-按销量/BOM/日型生成</x:v>
      </x:c>
    </x:row>
    <x:row r="328">
      <x:c r="A328" s="19" t="str">
        <x:v>2026-07-12|S04|豆腐</x:v>
      </x:c>
      <x:c r="B328" s="34" t="n">
        <x:v>46215.5</x:v>
      </x:c>
      <x:c r="C328" s="19" t="str">
        <x:v>S04</x:v>
      </x:c>
      <x:c r="D328" s="19" t="str">
        <x:v>金街美地店</x:v>
      </x:c>
      <x:c r="E328" s="19" t="str">
        <x:v>豆腐</x:v>
      </x:c>
      <x:c r="F328" s="32" t="n">
        <x:v>13.166620795219167</x:v>
      </x:c>
      <x:c r="G328" s="32" t="n">
        <x:v>14.103403744370974</x:v>
      </x:c>
      <x:c r="H328" s="24" t="n">
        <x:f>G328</x:f>
        <x:v>14.103403744370974</x:v>
      </x:c>
      <x:c r="I328" s="24" t="n">
        <x:f>XLOOKUP(A328,'库存与收货'!$A$5:$A$676,'库存与收货'!$H$5:$H$676,0)+XLOOKUP(A328,'库存与收货'!$A$5:$A$676,'库存与收货'!$J$5:$J$676,0)</x:f>
        <x:v>15.877657196944964</x:v>
      </x:c>
      <x:c r="J328" s="21" t="n">
        <x:f>MAX(0,1-ABS(F328-I328)/MAX(I328,0.01))</x:f>
        <x:v>0.8292546332183421</x:v>
      </x:c>
      <x:c r="K328" s="21" t="n">
        <x:f>MAX(0,1-ABS(H328-I328)/MAX(I328,0.01))</x:f>
        <x:v>0.8882547071922313</x:v>
      </x:c>
      <x:c r="L328" s="24" t="n">
        <x:f>MAX(I328-H328,0)</x:f>
        <x:v>1.7742534525739906</x:v>
      </x:c>
      <x:c r="M328" s="24" t="n">
        <x:f>MAX(H328-I328,0)</x:f>
        <x:v>0</x:v>
      </x:c>
      <x:c r="N328" s="19" t="str">
        <x:v>张洁</x:v>
      </x:c>
      <x:c r="O328" s="19" t="str">
        <x:v>S-按销量/BOM/日型生成</x:v>
      </x:c>
    </x:row>
    <x:row r="329">
      <x:c r="A329" s="19" t="str">
        <x:v>2026-07-13|S04|瘦肉片</x:v>
      </x:c>
      <x:c r="B329" s="34" t="n">
        <x:v>46216.5</x:v>
      </x:c>
      <x:c r="C329" s="19" t="str">
        <x:v>S04</x:v>
      </x:c>
      <x:c r="D329" s="19" t="str">
        <x:v>金街美地店</x:v>
      </x:c>
      <x:c r="E329" s="19" t="str">
        <x:v>瘦肉片</x:v>
      </x:c>
      <x:c r="F329" s="32" t="n">
        <x:v>15.24574774534288</x:v>
      </x:c>
      <x:c r="G329" s="32" t="n">
        <x:v>14.705456236263858</x:v>
      </x:c>
      <x:c r="H329" s="24" t="n">
        <x:f>G329</x:f>
        <x:v>14.705456236263858</x:v>
      </x:c>
      <x:c r="I329" s="24" t="n">
        <x:f>XLOOKUP(A329,'库存与收货'!$A$5:$A$676,'库存与收货'!$H$5:$H$676,0)+XLOOKUP(A329,'库存与收货'!$A$5:$A$676,'库存与收货'!$J$5:$J$676,0)</x:f>
        <x:v>13.124685926885505</x:v>
      </x:c>
      <x:c r="J329" s="21" t="n">
        <x:f>MAX(0,1-ABS(F329-I329)/MAX(I329,0.01))</x:f>
        <x:v>0.8383914228292162</x:v>
      </x:c>
      <x:c r="K329" s="21" t="n">
        <x:f>MAX(0,1-ABS(H329-I329)/MAX(I329,0.01))</x:f>
        <x:v>0.879557475265736</x:v>
      </x:c>
      <x:c r="L329" s="24" t="n">
        <x:f>MAX(I329-H329,0)</x:f>
        <x:v>0</x:v>
      </x:c>
      <x:c r="M329" s="24" t="n">
        <x:f>MAX(H329-I329,0)</x:f>
        <x:v>1.5807703093783534</x:v>
      </x:c>
      <x:c r="N329" s="19" t="str">
        <x:v>张洁</x:v>
      </x:c>
      <x:c r="O329" s="19" t="str">
        <x:v>S-按销量/BOM/日型生成</x:v>
      </x:c>
    </x:row>
    <x:row r="330">
      <x:c r="A330" s="19" t="str">
        <x:v>2026-07-13|S04|肥肉片</x:v>
      </x:c>
      <x:c r="B330" s="34" t="n">
        <x:v>46216.5</x:v>
      </x:c>
      <x:c r="C330" s="19" t="str">
        <x:v>S04</x:v>
      </x:c>
      <x:c r="D330" s="19" t="str">
        <x:v>金街美地店</x:v>
      </x:c>
      <x:c r="E330" s="19" t="str">
        <x:v>肥肉片</x:v>
      </x:c>
      <x:c r="F330" s="32" t="n">
        <x:v>3.2967830038317767</x:v>
      </x:c>
      <x:c r="G330" s="32" t="n">
        <x:v>3.4787663972182012</x:v>
      </x:c>
      <x:c r="H330" s="24" t="n">
        <x:f>G330</x:f>
        <x:v>3.4787663972182012</x:v>
      </x:c>
      <x:c r="I330" s="24" t="n">
        <x:f>XLOOKUP(A330,'库存与收货'!$A$5:$A$676,'库存与收货'!$H$5:$H$676,0)+XLOOKUP(A330,'库存与收货'!$A$5:$A$676,'库存与收货'!$J$5:$J$676,0)</x:f>
        <x:v>3.717689201656657</x:v>
      </x:c>
      <x:c r="J330" s="21" t="n">
        <x:f>MAX(0,1-ABS(F330-I330)/MAX(I330,0.01))</x:f>
        <x:v>0.886782844128735</x:v>
      </x:c>
      <x:c r="K330" s="21" t="n">
        <x:f>MAX(0,1-ABS(H330-I330)/MAX(I330,0.01))</x:f>
        <x:v>0.9357335184630312</x:v>
      </x:c>
      <x:c r="L330" s="24" t="n">
        <x:f>MAX(I330-H330,0)</x:f>
        <x:v>0.23892280443845593</x:v>
      </x:c>
      <x:c r="M330" s="24" t="n">
        <x:f>MAX(H330-I330,0)</x:f>
        <x:v>0</x:v>
      </x:c>
      <x:c r="N330" s="19" t="str">
        <x:v>张洁</x:v>
      </x:c>
      <x:c r="O330" s="19" t="str">
        <x:v>S-按销量/BOM/日型生成</x:v>
      </x:c>
    </x:row>
    <x:row r="331">
      <x:c r="A331" s="19" t="str">
        <x:v>2026-07-13|S04|牛肉片</x:v>
      </x:c>
      <x:c r="B331" s="34" t="n">
        <x:v>46216.5</x:v>
      </x:c>
      <x:c r="C331" s="19" t="str">
        <x:v>S04</x:v>
      </x:c>
      <x:c r="D331" s="19" t="str">
        <x:v>金街美地店</x:v>
      </x:c>
      <x:c r="E331" s="19" t="str">
        <x:v>牛肉片</x:v>
      </x:c>
      <x:c r="F331" s="32" t="n">
        <x:v>8.210386856708924</x:v>
      </x:c>
      <x:c r="G331" s="32" t="n">
        <x:v>8.310584123788534</x:v>
      </x:c>
      <x:c r="H331" s="24" t="n">
        <x:f>G331</x:f>
        <x:v>8.310584123788534</x:v>
      </x:c>
      <x:c r="I331" s="24" t="n">
        <x:f>XLOOKUP(A331,'库存与收货'!$A$5:$A$676,'库存与收货'!$H$5:$H$676,0)+XLOOKUP(A331,'库存与收货'!$A$5:$A$676,'库存与收货'!$J$5:$J$676,0)</x:f>
        <x:v>8.47646054707327</x:v>
      </x:c>
      <x:c r="J331" s="21" t="n">
        <x:f>MAX(0,1-ABS(F331-I331)/MAX(I331,0.01))</x:f>
        <x:v>0.9686102838694607</x:v>
      </x:c>
      <x:c r="K331" s="21" t="n">
        <x:f>MAX(0,1-ABS(H331-I331)/MAX(I331,0.01))</x:f>
        <x:v>0.9804309331278597</x:v>
      </x:c>
      <x:c r="L331" s="24" t="n">
        <x:f>MAX(I331-H331,0)</x:f>
        <x:v>0.16587642328473606</x:v>
      </x:c>
      <x:c r="M331" s="24" t="n">
        <x:f>MAX(H331-I331,0)</x:f>
        <x:v>0</x:v>
      </x:c>
      <x:c r="N331" s="19" t="str">
        <x:v>张洁</x:v>
      </x:c>
      <x:c r="O331" s="19" t="str">
        <x:v>S-按销量/BOM/日型生成</x:v>
      </x:c>
    </x:row>
    <x:row r="332">
      <x:c r="A332" s="19" t="str">
        <x:v>2026-07-13|S04|螺丝椒</x:v>
      </x:c>
      <x:c r="B332" s="34" t="n">
        <x:v>46216.5</x:v>
      </x:c>
      <x:c r="C332" s="19" t="str">
        <x:v>S04</x:v>
      </x:c>
      <x:c r="D332" s="19" t="str">
        <x:v>金街美地店</x:v>
      </x:c>
      <x:c r="E332" s="19" t="str">
        <x:v>螺丝椒</x:v>
      </x:c>
      <x:c r="F332" s="32" t="n">
        <x:v>13.1517514708563</x:v>
      </x:c>
      <x:c r="G332" s="32" t="n">
        <x:v>13.207895876322326</x:v>
      </x:c>
      <x:c r="H332" s="24" t="n">
        <x:f>G332</x:f>
        <x:v>13.207895876322326</x:v>
      </x:c>
      <x:c r="I332" s="24" t="n">
        <x:f>XLOOKUP(A332,'库存与收货'!$A$5:$A$676,'库存与收货'!$H$5:$H$676,0)+XLOOKUP(A332,'库存与收货'!$A$5:$A$676,'库存与收货'!$J$5:$J$676,0)</x:f>
        <x:v>13.302044167544704</x:v>
      </x:c>
      <x:c r="J332" s="21" t="n">
        <x:f>MAX(0,1-ABS(F332-I332)/MAX(I332,0.01))</x:f>
        <x:v>0.9887015337796654</x:v>
      </x:c>
      <x:c r="K332" s="21" t="n">
        <x:f>MAX(0,1-ABS(H332-I332)/MAX(I332,0.01))</x:f>
        <x:v>0.992922268935771</x:v>
      </x:c>
      <x:c r="L332" s="24" t="n">
        <x:f>MAX(I332-H332,0)</x:f>
        <x:v>0.09414829122237833</x:v>
      </x:c>
      <x:c r="M332" s="24" t="n">
        <x:f>MAX(H332-I332,0)</x:f>
        <x:v>0</x:v>
      </x:c>
      <x:c r="N332" s="19" t="str">
        <x:v>张洁</x:v>
      </x:c>
      <x:c r="O332" s="19" t="str">
        <x:v>S-按销量/BOM/日型生成</x:v>
      </x:c>
    </x:row>
    <x:row r="333">
      <x:c r="A333" s="19" t="str">
        <x:v>2026-07-13|S04|青湖南椒圈</x:v>
      </x:c>
      <x:c r="B333" s="34" t="n">
        <x:v>46216.5</x:v>
      </x:c>
      <x:c r="C333" s="19" t="str">
        <x:v>S04</x:v>
      </x:c>
      <x:c r="D333" s="19" t="str">
        <x:v>金街美地店</x:v>
      </x:c>
      <x:c r="E333" s="19" t="str">
        <x:v>青湖南椒圈</x:v>
      </x:c>
      <x:c r="F333" s="32" t="n">
        <x:v>2.5477577059556817</x:v>
      </x:c>
      <x:c r="G333" s="32" t="n">
        <x:v>2.4183582728191073</x:v>
      </x:c>
      <x:c r="H333" s="24" t="n">
        <x:f>G333</x:f>
        <x:v>2.4183582728191073</x:v>
      </x:c>
      <x:c r="I333" s="24" t="n">
        <x:f>XLOOKUP(A333,'库存与收货'!$A$5:$A$676,'库存与收货'!$H$5:$H$676,0)+XLOOKUP(A333,'库存与收货'!$A$5:$A$676,'库存与收货'!$J$5:$J$676,0)</x:f>
        <x:v>2.1733726251924814</x:v>
      </x:c>
      <x:c r="J333" s="21" t="n">
        <x:f>MAX(0,1-ABS(F333-I333)/MAX(I333,0.01))</x:f>
        <x:v>0.8277400403301558</x:v>
      </x:c>
      <x:c r="K333" s="21" t="n">
        <x:f>MAX(0,1-ABS(H333-I333)/MAX(I333,0.01))</x:f>
        <x:v>0.8872785804022313</x:v>
      </x:c>
      <x:c r="L333" s="24" t="n">
        <x:f>MAX(I333-H333,0)</x:f>
        <x:v>0</x:v>
      </x:c>
      <x:c r="M333" s="24" t="n">
        <x:f>MAX(H333-I333,0)</x:f>
        <x:v>0.2449856476266259</x:v>
      </x:c>
      <x:c r="N333" s="19" t="str">
        <x:v>张洁</x:v>
      </x:c>
      <x:c r="O333" s="19" t="str">
        <x:v>S-按销量/BOM/日型生成</x:v>
      </x:c>
    </x:row>
    <x:row r="334">
      <x:c r="A334" s="19" t="str">
        <x:v>2026-07-13|S04|鸡蛋</x:v>
      </x:c>
      <x:c r="B334" s="34" t="n">
        <x:v>46216.5</x:v>
      </x:c>
      <x:c r="C334" s="19" t="str">
        <x:v>S04</x:v>
      </x:c>
      <x:c r="D334" s="19" t="str">
        <x:v>金街美地店</x:v>
      </x:c>
      <x:c r="E334" s="19" t="str">
        <x:v>鸡蛋</x:v>
      </x:c>
      <x:c r="F334" s="32" t="n">
        <x:v>19.184233933780455</x:v>
      </x:c>
      <x:c r="G334" s="32" t="n">
        <x:v>19.200793916049815</x:v>
      </x:c>
      <x:c r="H334" s="24" t="n">
        <x:f>G334</x:f>
        <x:v>19.200793916049815</x:v>
      </x:c>
      <x:c r="I334" s="24" t="n">
        <x:f>XLOOKUP(A334,'库存与收货'!$A$5:$A$676,'库存与收货'!$H$5:$H$676,0)+XLOOKUP(A334,'库存与收货'!$A$5:$A$676,'库存与收货'!$J$5:$J$676,0)</x:f>
        <x:v>19.235040059467728</x:v>
      </x:c>
      <x:c r="J334" s="21" t="n">
        <x:f>MAX(0,1-ABS(F334-I334)/MAX(I334,0.01))</x:f>
        <x:v>0.997358668059427</x:v>
      </x:c>
      <x:c r="K334" s="21" t="n">
        <x:f>MAX(0,1-ABS(H334-I334)/MAX(I334,0.01))</x:f>
        <x:v>0.9982195959399077</x:v>
      </x:c>
      <x:c r="L334" s="24" t="n">
        <x:f>MAX(I334-H334,0)</x:f>
        <x:v>0.034246143417913544</x:v>
      </x:c>
      <x:c r="M334" s="24" t="n">
        <x:f>MAX(H334-I334,0)</x:f>
        <x:v>0</x:v>
      </x:c>
      <x:c r="N334" s="19" t="str">
        <x:v>张洁</x:v>
      </x:c>
      <x:c r="O334" s="19" t="str">
        <x:v>S-按销量/BOM/日型生成</x:v>
      </x:c>
    </x:row>
    <x:row r="335">
      <x:c r="A335" s="19" t="str">
        <x:v>2026-07-13|S04|鸡肉</x:v>
      </x:c>
      <x:c r="B335" s="34" t="n">
        <x:v>46216.5</x:v>
      </x:c>
      <x:c r="C335" s="19" t="str">
        <x:v>S04</x:v>
      </x:c>
      <x:c r="D335" s="19" t="str">
        <x:v>金街美地店</x:v>
      </x:c>
      <x:c r="E335" s="19" t="str">
        <x:v>鸡肉</x:v>
      </x:c>
      <x:c r="F335" s="32" t="n">
        <x:v>5.400024452109415</x:v>
      </x:c>
      <x:c r="G335" s="32" t="n">
        <x:v>5.441053976329148</x:v>
      </x:c>
      <x:c r="H335" s="24" t="n">
        <x:f>G335</x:f>
        <x:v>5.441053976329148</x:v>
      </x:c>
      <x:c r="I335" s="24" t="n">
        <x:f>XLOOKUP(A335,'库存与收货'!$A$5:$A$676,'库存与收货'!$H$5:$H$676,0)+XLOOKUP(A335,'库存与收货'!$A$5:$A$676,'库存与收货'!$J$5:$J$676,0)</x:f>
        <x:v>5.517150156409981</x:v>
      </x:c>
      <x:c r="J335" s="21" t="n">
        <x:f>MAX(0,1-ABS(F335-I335)/MAX(I335,0.01))</x:f>
        <x:v>0.9787706150856732</x:v>
      </x:c>
      <x:c r="K335" s="21" t="n">
        <x:f>MAX(0,1-ABS(H335-I335)/MAX(I335,0.01))</x:f>
        <x:v>0.9862073393104188</x:v>
      </x:c>
      <x:c r="L335" s="24" t="n">
        <x:f>MAX(I335-H335,0)</x:f>
        <x:v>0.07609618008083263</x:v>
      </x:c>
      <x:c r="M335" s="24" t="n">
        <x:f>MAX(H335-I335,0)</x:f>
        <x:v>0</x:v>
      </x:c>
      <x:c r="N335" s="19" t="str">
        <x:v>张洁</x:v>
      </x:c>
      <x:c r="O335" s="19" t="str">
        <x:v>S-按销量/BOM/日型生成</x:v>
      </x:c>
    </x:row>
    <x:row r="336">
      <x:c r="A336" s="19" t="str">
        <x:v>2026-07-13|S04|鲈鱼</x:v>
      </x:c>
      <x:c r="B336" s="34" t="n">
        <x:v>46216.5</x:v>
      </x:c>
      <x:c r="C336" s="19" t="str">
        <x:v>S04</x:v>
      </x:c>
      <x:c r="D336" s="19" t="str">
        <x:v>金街美地店</x:v>
      </x:c>
      <x:c r="E336" s="19" t="str">
        <x:v>鲈鱼</x:v>
      </x:c>
      <x:c r="F336" s="32" t="n">
        <x:v>3.8102598004787676</x:v>
      </x:c>
      <x:c r="G336" s="32" t="n">
        <x:v>3.895136191134843</x:v>
      </x:c>
      <x:c r="H336" s="24" t="n">
        <x:f>G336</x:f>
        <x:v>3.895136191134843</x:v>
      </x:c>
      <x:c r="I336" s="24" t="n">
        <x:f>XLOOKUP(A336,'库存与收货'!$A$5:$A$676,'库存与收货'!$H$5:$H$676,0)+XLOOKUP(A336,'库存与收货'!$A$5:$A$676,'库存与收货'!$J$5:$J$676,0)</x:f>
        <x:v>4.091967484772198</x:v>
      </x:c>
      <x:c r="J336" s="21" t="n">
        <x:f>MAX(0,1-ABS(F336-I336)/MAX(I336,0.01))</x:f>
        <x:v>0.9311559328509393</x:v>
      </x:c>
      <x:c r="K336" s="21" t="n">
        <x:f>MAX(0,1-ABS(H336-I336)/MAX(I336,0.01))</x:f>
        <x:v>0.9518981286215394</x:v>
      </x:c>
      <x:c r="L336" s="24" t="n">
        <x:f>MAX(I336-H336,0)</x:f>
        <x:v>0.19683129363735485</x:v>
      </x:c>
      <x:c r="M336" s="24" t="n">
        <x:f>MAX(H336-I336,0)</x:f>
        <x:v>0</x:v>
      </x:c>
      <x:c r="N336" s="19" t="str">
        <x:v>张洁</x:v>
      </x:c>
      <x:c r="O336" s="19" t="str">
        <x:v>S-按销量/BOM/日型生成</x:v>
      </x:c>
    </x:row>
    <x:row r="337">
      <x:c r="A337" s="19" t="str">
        <x:v>2026-07-13|S04|酸包菜</x:v>
      </x:c>
      <x:c r="B337" s="34" t="n">
        <x:v>46216.5</x:v>
      </x:c>
      <x:c r="C337" s="19" t="str">
        <x:v>S04</x:v>
      </x:c>
      <x:c r="D337" s="19" t="str">
        <x:v>金街美地店</x:v>
      </x:c>
      <x:c r="E337" s="19" t="str">
        <x:v>酸包菜</x:v>
      </x:c>
      <x:c r="F337" s="32" t="n">
        <x:v>10.314307905975458</x:v>
      </x:c>
      <x:c r="G337" s="32" t="n">
        <x:v>9.88198601852769</x:v>
      </x:c>
      <x:c r="H337" s="24" t="n">
        <x:f>G337</x:f>
        <x:v>9.88198601852769</x:v>
      </x:c>
      <x:c r="I337" s="24" t="n">
        <x:f>XLOOKUP(A337,'库存与收货'!$A$5:$A$676,'库存与收货'!$H$5:$H$676,0)+XLOOKUP(A337,'库存与收货'!$A$5:$A$676,'库存与收货'!$J$5:$J$676,0)</x:f>
        <x:v>9.338480946046412</x:v>
      </x:c>
      <x:c r="J337" s="21" t="n">
        <x:f>MAX(0,1-ABS(F337-I337)/MAX(I337,0.01))</x:f>
        <x:v>0.8955047436979375</x:v>
      </x:c>
      <x:c r="K337" s="21" t="n">
        <x:f>MAX(0,1-ABS(H337-I337)/MAX(I337,0.01))</x:f>
        <x:v>0.9417994130285846</x:v>
      </x:c>
      <x:c r="L337" s="24" t="n">
        <x:f>MAX(I337-H337,0)</x:f>
        <x:v>0</x:v>
      </x:c>
      <x:c r="M337" s="24" t="n">
        <x:f>MAX(H337-I337,0)</x:f>
        <x:v>0.5435050724812793</x:v>
      </x:c>
      <x:c r="N337" s="19" t="str">
        <x:v>张洁</x:v>
      </x:c>
      <x:c r="O337" s="19" t="str">
        <x:v>S-按销量/BOM/日型生成</x:v>
      </x:c>
    </x:row>
    <x:row r="338">
      <x:c r="A338" s="19" t="str">
        <x:v>2026-07-13|S04|粉皮</x:v>
      </x:c>
      <x:c r="B338" s="34" t="n">
        <x:v>46216.5</x:v>
      </x:c>
      <x:c r="C338" s="19" t="str">
        <x:v>S04</x:v>
      </x:c>
      <x:c r="D338" s="19" t="str">
        <x:v>金街美地店</x:v>
      </x:c>
      <x:c r="E338" s="19" t="str">
        <x:v>粉皮</x:v>
      </x:c>
      <x:c r="F338" s="32" t="n">
        <x:v>8.111897734757658</x:v>
      </x:c>
      <x:c r="G338" s="32" t="n">
        <x:v>7.751317413898976</x:v>
      </x:c>
      <x:c r="H338" s="24" t="n">
        <x:f>G338</x:f>
        <x:v>7.751317413898976</x:v>
      </x:c>
      <x:c r="I338" s="24" t="n">
        <x:f>XLOOKUP(A338,'库存与收货'!$A$5:$A$676,'库存与收货'!$H$5:$H$676,0)+XLOOKUP(A338,'库存与收货'!$A$5:$A$676,'库存与收货'!$J$5:$J$676,0)</x:f>
        <x:v>6.965741807327895</x:v>
      </x:c>
      <x:c r="J338" s="21" t="n">
        <x:f>MAX(0,1-ABS(F338-I338)/MAX(I338,0.01))</x:f>
        <x:v>0.8354581666773784</x:v>
      </x:c>
      <x:c r="K338" s="21" t="n">
        <x:f>MAX(0,1-ABS(H338-I338)/MAX(I338,0.01))</x:f>
        <x:v>0.8872229795045428</x:v>
      </x:c>
      <x:c r="L338" s="24" t="n">
        <x:f>MAX(I338-H338,0)</x:f>
        <x:v>0</x:v>
      </x:c>
      <x:c r="M338" s="24" t="n">
        <x:f>MAX(H338-I338,0)</x:f>
        <x:v>0.785575606571081</x:v>
      </x:c>
      <x:c r="N338" s="19" t="str">
        <x:v>张洁</x:v>
      </x:c>
      <x:c r="O338" s="19" t="str">
        <x:v>S-按销量/BOM/日型生成</x:v>
      </x:c>
    </x:row>
    <x:row r="339">
      <x:c r="A339" s="19" t="str">
        <x:v>2026-07-13|S04|鸡杂</x:v>
      </x:c>
      <x:c r="B339" s="34" t="n">
        <x:v>46216.5</x:v>
      </x:c>
      <x:c r="C339" s="19" t="str">
        <x:v>S04</x:v>
      </x:c>
      <x:c r="D339" s="19" t="str">
        <x:v>金街美地店</x:v>
      </x:c>
      <x:c r="E339" s="19" t="str">
        <x:v>鸡杂</x:v>
      </x:c>
      <x:c r="F339" s="32" t="n">
        <x:v>3.7455823305128915</x:v>
      </x:c>
      <x:c r="G339" s="32" t="n">
        <x:v>3.9185022326249803</x:v>
      </x:c>
      <x:c r="H339" s="24" t="n">
        <x:f>G339</x:f>
        <x:v>3.9185022326249803</x:v>
      </x:c>
      <x:c r="I339" s="24" t="n">
        <x:f>XLOOKUP(A339,'库存与收货'!$A$5:$A$676,'库存与收货'!$H$5:$H$676,0)+XLOOKUP(A339,'库存与收货'!$A$5:$A$676,'库存与收货'!$J$5:$J$676,0)</x:f>
        <x:v>4.130375538377645</x:v>
      </x:c>
      <x:c r="J339" s="21" t="n">
        <x:f>MAX(0,1-ABS(F339-I339)/MAX(I339,0.01))</x:f>
        <x:v>0.9068382028971886</x:v>
      </x:c>
      <x:c r="K339" s="21" t="n">
        <x:f>MAX(0,1-ABS(H339-I339)/MAX(I339,0.01))</x:f>
        <x:v>0.9487036217932171</x:v>
      </x:c>
      <x:c r="L339" s="24" t="n">
        <x:f>MAX(I339-H339,0)</x:f>
        <x:v>0.21187330575266428</x:v>
      </x:c>
      <x:c r="M339" s="24" t="n">
        <x:f>MAX(H339-I339,0)</x:f>
        <x:v>0</x:v>
      </x:c>
      <x:c r="N339" s="19" t="str">
        <x:v>张洁</x:v>
      </x:c>
      <x:c r="O339" s="19" t="str">
        <x:v>S-按销量/BOM/日型生成</x:v>
      </x:c>
    </x:row>
    <x:row r="340">
      <x:c r="A340" s="19" t="str">
        <x:v>2026-07-13|S04|豆腐</x:v>
      </x:c>
      <x:c r="B340" s="34" t="n">
        <x:v>46216.5</x:v>
      </x:c>
      <x:c r="C340" s="19" t="str">
        <x:v>S04</x:v>
      </x:c>
      <x:c r="D340" s="19" t="str">
        <x:v>金街美地店</x:v>
      </x:c>
      <x:c r="E340" s="19" t="str">
        <x:v>豆腐</x:v>
      </x:c>
      <x:c r="F340" s="32" t="n">
        <x:v>23.029069477008235</x:v>
      </x:c>
      <x:c r="G340" s="32" t="n">
        <x:v>23.217211785128516</x:v>
      </x:c>
      <x:c r="H340" s="24" t="n">
        <x:f>G340</x:f>
        <x:v>23.217211785128516</x:v>
      </x:c>
      <x:c r="I340" s="24" t="n">
        <x:f>XLOOKUP(A340,'库存与收货'!$A$5:$A$676,'库存与收货'!$H$5:$H$676,0)+XLOOKUP(A340,'库存与收货'!$A$5:$A$676,'库存与收货'!$J$5:$J$676,0)</x:f>
        <x:v>23.625255010185125</x:v>
      </x:c>
      <x:c r="J340" s="21" t="n">
        <x:f>MAX(0,1-ABS(F340-I340)/MAX(I340,0.01))</x:f>
        <x:v>0.9747649059059948</x:v>
      </x:c>
      <x:c r="K340" s="21" t="n">
        <x:f>MAX(0,1-ABS(H340-I340)/MAX(I340,0.01))</x:f>
        <x:v>0.982728515527951</x:v>
      </x:c>
      <x:c r="L340" s="24" t="n">
        <x:f>MAX(I340-H340,0)</x:f>
        <x:v>0.40804322505660906</x:v>
      </x:c>
      <x:c r="M340" s="24" t="n">
        <x:f>MAX(H340-I340,0)</x:f>
        <x:v>0</x:v>
      </x:c>
      <x:c r="N340" s="19" t="str">
        <x:v>张洁</x:v>
      </x:c>
      <x:c r="O340" s="19" t="str">
        <x:v>S-按销量/BOM/日型生成</x:v>
      </x:c>
    </x:row>
    <x:row r="341">
      <x:c r="A341" s="19" t="str">
        <x:v>2026-07-07|S05|瘦肉片</x:v>
      </x:c>
      <x:c r="B341" s="34" t="n">
        <x:v>46210.5</x:v>
      </x:c>
      <x:c r="C341" s="19" t="str">
        <x:v>S05</x:v>
      </x:c>
      <x:c r="D341" s="19" t="str">
        <x:v>同顺街店</x:v>
      </x:c>
      <x:c r="E341" s="19" t="str">
        <x:v>瘦肉片</x:v>
      </x:c>
      <x:c r="F341" s="32" t="n">
        <x:v>9.843538688960278</x:v>
      </x:c>
      <x:c r="G341" s="32" t="n">
        <x:v>10.308200712457756</x:v>
      </x:c>
      <x:c r="H341" s="24" t="n">
        <x:f>G341</x:f>
        <x:v>10.308200712457756</x:v>
      </x:c>
      <x:c r="I341" s="24" t="n">
        <x:f>XLOOKUP(A341,'库存与收货'!$A$5:$A$676,'库存与收货'!$H$5:$H$676,0)+XLOOKUP(A341,'库存与收货'!$A$5:$A$676,'库存与收货'!$J$5:$J$676,0)</x:f>
        <x:v>11.628031172203606</x:v>
      </x:c>
      <x:c r="J341" s="21" t="n">
        <x:f>MAX(0,1-ABS(F341-I341)/MAX(I341,0.01))</x:f>
        <x:v>0.8465352855684551</x:v>
      </x:c>
      <x:c r="K341" s="21" t="n">
        <x:f>MAX(0,1-ABS(H341-I341)/MAX(I341,0.01))</x:f>
        <x:v>0.8864957927786729</x:v>
      </x:c>
      <x:c r="L341" s="24" t="n">
        <x:f>MAX(I341-H341,0)</x:f>
        <x:v>1.31983045974585</x:v>
      </x:c>
      <x:c r="M341" s="24" t="n">
        <x:f>MAX(H341-I341,0)</x:f>
        <x:v>0</x:v>
      </x:c>
      <x:c r="N341" s="19" t="str">
        <x:v>王芳</x:v>
      </x:c>
      <x:c r="O341" s="19" t="str">
        <x:v>S-按销量/BOM/日型生成</x:v>
      </x:c>
    </x:row>
    <x:row r="342">
      <x:c r="A342" s="19" t="str">
        <x:v>2026-07-07|S05|肥肉片</x:v>
      </x:c>
      <x:c r="B342" s="34" t="n">
        <x:v>46210.5</x:v>
      </x:c>
      <x:c r="C342" s="19" t="str">
        <x:v>S05</x:v>
      </x:c>
      <x:c r="D342" s="19" t="str">
        <x:v>同顺街店</x:v>
      </x:c>
      <x:c r="E342" s="19" t="str">
        <x:v>肥肉片</x:v>
      </x:c>
      <x:c r="F342" s="32" t="n">
        <x:v>2.8951890957506694</x:v>
      </x:c>
      <x:c r="G342" s="32" t="n">
        <x:v>3.0807622648809385</x:v>
      </x:c>
      <x:c r="H342" s="24" t="n">
        <x:f>G342</x:f>
        <x:v>3.0807622648809385</x:v>
      </x:c>
      <x:c r="I342" s="24" t="n">
        <x:f>XLOOKUP(A342,'库存与收货'!$A$5:$A$676,'库存与收货'!$H$5:$H$676,0)+XLOOKUP(A342,'库存与收货'!$A$5:$A$676,'库存与收货'!$J$5:$J$676,0)</x:f>
        <x:v>3.3334385886662496</x:v>
      </x:c>
      <x:c r="J342" s="21" t="n">
        <x:f>MAX(0,1-ABS(F342-I342)/MAX(I342,0.01))</x:f>
        <x:v>0.8685293035229038</x:v>
      </x:c>
      <x:c r="K342" s="21" t="n">
        <x:f>MAX(0,1-ABS(H342-I342)/MAX(I342,0.01))</x:f>
        <x:v>0.9241994963865796</x:v>
      </x:c>
      <x:c r="L342" s="24" t="n">
        <x:f>MAX(I342-H342,0)</x:f>
        <x:v>0.25267632378531113</x:v>
      </x:c>
      <x:c r="M342" s="24" t="n">
        <x:f>MAX(H342-I342,0)</x:f>
        <x:v>0</x:v>
      </x:c>
      <x:c r="N342" s="19" t="str">
        <x:v>王芳</x:v>
      </x:c>
      <x:c r="O342" s="19" t="str">
        <x:v>S-按销量/BOM/日型生成</x:v>
      </x:c>
    </x:row>
    <x:row r="343">
      <x:c r="A343" s="19" t="str">
        <x:v>2026-07-07|S05|牛肉片</x:v>
      </x:c>
      <x:c r="B343" s="34" t="n">
        <x:v>46210.5</x:v>
      </x:c>
      <x:c r="C343" s="19" t="str">
        <x:v>S05</x:v>
      </x:c>
      <x:c r="D343" s="19" t="str">
        <x:v>同顺街店</x:v>
      </x:c>
      <x:c r="E343" s="19" t="str">
        <x:v>牛肉片</x:v>
      </x:c>
      <x:c r="F343" s="32" t="n">
        <x:v>8.22910055911966</x:v>
      </x:c>
      <x:c r="G343" s="32" t="n">
        <x:v>8.608971988141965</x:v>
      </x:c>
      <x:c r="H343" s="24" t="n">
        <x:f>G343</x:f>
        <x:v>8.608971988141965</x:v>
      </x:c>
      <x:c r="I343" s="24" t="n">
        <x:f>XLOOKUP(A343,'库存与收货'!$A$5:$A$676,'库存与收货'!$H$5:$H$676,0)+XLOOKUP(A343,'库存与收货'!$A$5:$A$676,'库存与收货'!$J$5:$J$676,0)</x:f>
        <x:v>9.35249544006132</x:v>
      </x:c>
      <x:c r="J343" s="21" t="n">
        <x:f>MAX(0,1-ABS(F343-I343)/MAX(I343,0.01))</x:f>
        <x:v>0.8798828731709818</x:v>
      </x:c>
      <x:c r="K343" s="21" t="n">
        <x:f>MAX(0,1-ABS(H343-I343)/MAX(I343,0.01))</x:f>
        <x:v>0.9204999931104505</x:v>
      </x:c>
      <x:c r="L343" s="24" t="n">
        <x:f>MAX(I343-H343,0)</x:f>
        <x:v>0.743523451919355</x:v>
      </x:c>
      <x:c r="M343" s="24" t="n">
        <x:f>MAX(H343-I343,0)</x:f>
        <x:v>0</x:v>
      </x:c>
      <x:c r="N343" s="19" t="str">
        <x:v>王芳</x:v>
      </x:c>
      <x:c r="O343" s="19" t="str">
        <x:v>S-按销量/BOM/日型生成</x:v>
      </x:c>
    </x:row>
    <x:row r="344">
      <x:c r="A344" s="19" t="str">
        <x:v>2026-07-07|S05|螺丝椒</x:v>
      </x:c>
      <x:c r="B344" s="34" t="n">
        <x:v>46210.5</x:v>
      </x:c>
      <x:c r="C344" s="19" t="str">
        <x:v>S05</x:v>
      </x:c>
      <x:c r="D344" s="19" t="str">
        <x:v>同顺街店</x:v>
      </x:c>
      <x:c r="E344" s="19" t="str">
        <x:v>螺丝椒</x:v>
      </x:c>
      <x:c r="F344" s="32" t="n">
        <x:v>13.24567623800525</x:v>
      </x:c>
      <x:c r="G344" s="32" t="n">
        <x:v>12.930589554941953</x:v>
      </x:c>
      <x:c r="H344" s="24" t="n">
        <x:f>G344</x:f>
        <x:v>12.930589554941953</x:v>
      </x:c>
      <x:c r="I344" s="24" t="n">
        <x:f>XLOOKUP(A344,'库存与收货'!$A$5:$A$676,'库存与收货'!$H$5:$H$676,0)+XLOOKUP(A344,'库存与收货'!$A$5:$A$676,'库存与收货'!$J$5:$J$676,0)</x:f>
        <x:v>12.032888641949484</x:v>
      </x:c>
      <x:c r="J344" s="21" t="n">
        <x:f>MAX(0,1-ABS(F344-I344)/MAX(I344,0.01))</x:f>
        <x:v>0.899210602529163</x:v>
      </x:c>
      <x:c r="K344" s="21" t="n">
        <x:f>MAX(0,1-ABS(H344-I344)/MAX(I344,0.01))</x:f>
        <x:v>0.9253960591089597</x:v>
      </x:c>
      <x:c r="L344" s="24" t="n">
        <x:f>MAX(I344-H344,0)</x:f>
        <x:v>0</x:v>
      </x:c>
      <x:c r="M344" s="24" t="n">
        <x:f>MAX(H344-I344,0)</x:f>
        <x:v>0.8977009129924696</x:v>
      </x:c>
      <x:c r="N344" s="19" t="str">
        <x:v>王芳</x:v>
      </x:c>
      <x:c r="O344" s="19" t="str">
        <x:v>S-按销量/BOM/日型生成</x:v>
      </x:c>
    </x:row>
    <x:row r="345">
      <x:c r="A345" s="19" t="str">
        <x:v>2026-07-07|S05|青湖南椒圈</x:v>
      </x:c>
      <x:c r="B345" s="34" t="n">
        <x:v>46210.5</x:v>
      </x:c>
      <x:c r="C345" s="19" t="str">
        <x:v>S05</x:v>
      </x:c>
      <x:c r="D345" s="19" t="str">
        <x:v>同顺街店</x:v>
      </x:c>
      <x:c r="E345" s="19" t="str">
        <x:v>青湖南椒圈</x:v>
      </x:c>
      <x:c r="F345" s="32" t="n">
        <x:v>2.005915467963722</x:v>
      </x:c>
      <x:c r="G345" s="32" t="n">
        <x:v>1.9680063279362499</x:v>
      </x:c>
      <x:c r="H345" s="24" t="n">
        <x:f>G345</x:f>
        <x:v>1.9680063279362499</x:v>
      </x:c>
      <x:c r="I345" s="24" t="n">
        <x:f>XLOOKUP(A345,'库存与收货'!$A$5:$A$676,'库存与收货'!$H$5:$H$676,0)+XLOOKUP(A345,'库存与收货'!$A$5:$A$676,'库存与收货'!$J$5:$J$676,0)</x:f>
        <x:v>1.8607986037411723</x:v>
      </x:c>
      <x:c r="J345" s="21" t="n">
        <x:f>MAX(0,1-ABS(F345-I345)/MAX(I345,0.01))</x:f>
        <x:v>0.9220136644928746</x:v>
      </x:c>
      <x:c r="K345" s="21" t="n">
        <x:f>MAX(0,1-ABS(H345-I345)/MAX(I345,0.01))</x:f>
        <x:v>0.9423861754950082</x:v>
      </x:c>
      <x:c r="L345" s="24" t="n">
        <x:f>MAX(I345-H345,0)</x:f>
        <x:v>0</x:v>
      </x:c>
      <x:c r="M345" s="24" t="n">
        <x:f>MAX(H345-I345,0)</x:f>
        <x:v>0.10720772419507751</x:v>
      </x:c>
      <x:c r="N345" s="19" t="str">
        <x:v>王芳</x:v>
      </x:c>
      <x:c r="O345" s="19" t="str">
        <x:v>S-按销量/BOM/日型生成</x:v>
      </x:c>
    </x:row>
    <x:row r="346">
      <x:c r="A346" s="19" t="str">
        <x:v>2026-07-07|S05|鸡蛋</x:v>
      </x:c>
      <x:c r="B346" s="34" t="n">
        <x:v>46210.5</x:v>
      </x:c>
      <x:c r="C346" s="19" t="str">
        <x:v>S05</x:v>
      </x:c>
      <x:c r="D346" s="19" t="str">
        <x:v>同顺街店</x:v>
      </x:c>
      <x:c r="E346" s="19" t="str">
        <x:v>鸡蛋</x:v>
      </x:c>
      <x:c r="F346" s="32" t="n">
        <x:v>13.597269378749122</x:v>
      </x:c>
      <x:c r="G346" s="32" t="n">
        <x:v>14.666178262003573</x:v>
      </x:c>
      <x:c r="H346" s="24" t="n">
        <x:f>G346</x:f>
        <x:v>14.666178262003573</x:v>
      </x:c>
      <x:c r="I346" s="24" t="n">
        <x:f>XLOOKUP(A346,'库存与收货'!$A$5:$A$676,'库存与收货'!$H$5:$H$676,0)+XLOOKUP(A346,'库存与收货'!$A$5:$A$676,'库存与收货'!$J$5:$J$676,0)</x:f>
        <x:v>16.254694393326574</x:v>
      </x:c>
      <x:c r="J346" s="21" t="n">
        <x:f>MAX(0,1-ABS(F346-I346)/MAX(I346,0.01))</x:f>
        <x:v>0.836513381902248</x:v>
      </x:c>
      <x:c r="K346" s="21" t="n">
        <x:f>MAX(0,1-ABS(H346-I346)/MAX(I346,0.01))</x:f>
        <x:v>0.9022733929728527</x:v>
      </x:c>
      <x:c r="L346" s="24" t="n">
        <x:f>MAX(I346-H346,0)</x:f>
        <x:v>1.5885161313230007</x:v>
      </x:c>
      <x:c r="M346" s="24" t="n">
        <x:f>MAX(H346-I346,0)</x:f>
        <x:v>0</x:v>
      </x:c>
      <x:c r="N346" s="19" t="str">
        <x:v>王芳</x:v>
      </x:c>
      <x:c r="O346" s="19" t="str">
        <x:v>S-按销量/BOM/日型生成</x:v>
      </x:c>
    </x:row>
    <x:row r="347">
      <x:c r="A347" s="19" t="str">
        <x:v>2026-07-07|S05|鸡肉</x:v>
      </x:c>
      <x:c r="B347" s="34" t="n">
        <x:v>46210.5</x:v>
      </x:c>
      <x:c r="C347" s="19" t="str">
        <x:v>S05</x:v>
      </x:c>
      <x:c r="D347" s="19" t="str">
        <x:v>同顺街店</x:v>
      </x:c>
      <x:c r="E347" s="19" t="str">
        <x:v>鸡肉</x:v>
      </x:c>
      <x:c r="F347" s="32" t="n">
        <x:v>6.528995210660065</x:v>
      </x:c>
      <x:c r="G347" s="32" t="n">
        <x:v>6.248398905688473</x:v>
      </x:c>
      <x:c r="H347" s="24" t="n">
        <x:f>G347</x:f>
        <x:v>6.248398905688473</x:v>
      </x:c>
      <x:c r="I347" s="24" t="n">
        <x:f>XLOOKUP(A347,'库存与收货'!$A$5:$A$676,'库存与收货'!$H$5:$H$676,0)+XLOOKUP(A347,'库存与收货'!$A$5:$A$676,'库存与收货'!$J$5:$J$676,0)</x:f>
        <x:v>5.596454979053572</x:v>
      </x:c>
      <x:c r="J347" s="21" t="n">
        <x:f>MAX(0,1-ABS(F347-I347)/MAX(I347,0.01))</x:f>
        <x:v>0.8333694749449774</x:v>
      </x:c>
      <x:c r="K347" s="21" t="n">
        <x:f>MAX(0,1-ABS(H347-I347)/MAX(I347,0.01))</x:f>
        <x:v>0.8835076974486531</x:v>
      </x:c>
      <x:c r="L347" s="24" t="n">
        <x:f>MAX(I347-H347,0)</x:f>
        <x:v>0</x:v>
      </x:c>
      <x:c r="M347" s="24" t="n">
        <x:f>MAX(H347-I347,0)</x:f>
        <x:v>0.6519439266349005</x:v>
      </x:c>
      <x:c r="N347" s="19" t="str">
        <x:v>王芳</x:v>
      </x:c>
      <x:c r="O347" s="19" t="str">
        <x:v>S-按销量/BOM/日型生成</x:v>
      </x:c>
    </x:row>
    <x:row r="348">
      <x:c r="A348" s="19" t="str">
        <x:v>2026-07-07|S05|鲈鱼</x:v>
      </x:c>
      <x:c r="B348" s="34" t="n">
        <x:v>46210.5</x:v>
      </x:c>
      <x:c r="C348" s="19" t="str">
        <x:v>S05</x:v>
      </x:c>
      <x:c r="D348" s="19" t="str">
        <x:v>同顺街店</x:v>
      </x:c>
      <x:c r="E348" s="19" t="str">
        <x:v>鲈鱼</x:v>
      </x:c>
      <x:c r="F348" s="32" t="n">
        <x:v>3.935681949678369</x:v>
      </x:c>
      <x:c r="G348" s="32" t="n">
        <x:v>3.7960226501290935</x:v>
      </x:c>
      <x:c r="H348" s="24" t="n">
        <x:f>G348</x:f>
        <x:v>3.7960226501290935</x:v>
      </x:c>
      <x:c r="I348" s="24" t="n">
        <x:f>XLOOKUP(A348,'库存与收货'!$A$5:$A$676,'库存与收货'!$H$5:$H$676,0)+XLOOKUP(A348,'库存与收货'!$A$5:$A$676,'库存与收货'!$J$5:$J$676,0)</x:f>
        <x:v>3.5690553057080963</x:v>
      </x:c>
      <x:c r="J348" s="21" t="n">
        <x:f>MAX(0,1-ABS(F348-I348)/MAX(I348,0.01))</x:f>
        <x:v>0.8972762782958517</x:v>
      </x:c>
      <x:c r="K348" s="21" t="n">
        <x:f>MAX(0,1-ABS(H348-I348)/MAX(I348,0.01))</x:f>
        <x:v>0.9364068850213664</x:v>
      </x:c>
      <x:c r="L348" s="24" t="n">
        <x:f>MAX(I348-H348,0)</x:f>
        <x:v>0</x:v>
      </x:c>
      <x:c r="M348" s="24" t="n">
        <x:f>MAX(H348-I348,0)</x:f>
        <x:v>0.2269673444209972</x:v>
      </x:c>
      <x:c r="N348" s="19" t="str">
        <x:v>王芳</x:v>
      </x:c>
      <x:c r="O348" s="19" t="str">
        <x:v>S-按销量/BOM/日型生成</x:v>
      </x:c>
    </x:row>
    <x:row r="349">
      <x:c r="A349" s="19" t="str">
        <x:v>2026-07-07|S05|酸包菜</x:v>
      </x:c>
      <x:c r="B349" s="34" t="n">
        <x:v>46210.5</x:v>
      </x:c>
      <x:c r="C349" s="19" t="str">
        <x:v>S05</x:v>
      </x:c>
      <x:c r="D349" s="19" t="str">
        <x:v>同顺街店</x:v>
      </x:c>
      <x:c r="E349" s="19" t="str">
        <x:v>酸包菜</x:v>
      </x:c>
      <x:c r="F349" s="32" t="n">
        <x:v>8.861984522921867</x:v>
      </x:c>
      <x:c r="G349" s="32" t="n">
        <x:v>8.579899958493185</x:v>
      </x:c>
      <x:c r="H349" s="24" t="n">
        <x:f>G349</x:f>
        <x:v>8.579899958493185</x:v>
      </x:c>
      <x:c r="I349" s="24" t="n">
        <x:f>XLOOKUP(A349,'库存与收货'!$A$5:$A$676,'库存与收货'!$H$5:$H$676,0)+XLOOKUP(A349,'库存与收货'!$A$5:$A$676,'库存与收货'!$J$5:$J$676,0)</x:f>
        <x:v>8.1018305175616</x:v>
      </x:c>
      <x:c r="J349" s="21" t="n">
        <x:f>MAX(0,1-ABS(F349-I349)/MAX(I349,0.01))</x:f>
        <x:v>0.9061750299870442</x:v>
      </x:c>
      <x:c r="K349" s="21" t="n">
        <x:f>MAX(0,1-ABS(H349-I349)/MAX(I349,0.01))</x:f>
        <x:v>0.9409924164797923</x:v>
      </x:c>
      <x:c r="L349" s="24" t="n">
        <x:f>MAX(I349-H349,0)</x:f>
        <x:v>0</x:v>
      </x:c>
      <x:c r="M349" s="24" t="n">
        <x:f>MAX(H349-I349,0)</x:f>
        <x:v>0.4780694409315842</x:v>
      </x:c>
      <x:c r="N349" s="19" t="str">
        <x:v>王芳</x:v>
      </x:c>
      <x:c r="O349" s="19" t="str">
        <x:v>S-按销量/BOM/日型生成</x:v>
      </x:c>
    </x:row>
    <x:row r="350">
      <x:c r="A350" s="19" t="str">
        <x:v>2026-07-07|S05|粉皮</x:v>
      </x:c>
      <x:c r="B350" s="34" t="n">
        <x:v>46210.5</x:v>
      </x:c>
      <x:c r="C350" s="19" t="str">
        <x:v>S05</x:v>
      </x:c>
      <x:c r="D350" s="19" t="str">
        <x:v>同顺街店</x:v>
      </x:c>
      <x:c r="E350" s="19" t="str">
        <x:v>粉皮</x:v>
      </x:c>
      <x:c r="F350" s="32" t="n">
        <x:v>5.937319457049531</x:v>
      </x:c>
      <x:c r="G350" s="32" t="n">
        <x:v>5.959589872480523</x:v>
      </x:c>
      <x:c r="H350" s="24" t="n">
        <x:f>G350</x:f>
        <x:v>5.959589872480523</x:v>
      </x:c>
      <x:c r="I350" s="24" t="n">
        <x:f>XLOOKUP(A350,'库存与收货'!$A$5:$A$676,'库存与收货'!$H$5:$H$676,0)+XLOOKUP(A350,'库存与收货'!$A$5:$A$676,'库存与收货'!$J$5:$J$676,0)</x:f>
        <x:v>5.991450422720855</x:v>
      </x:c>
      <x:c r="J350" s="21" t="n">
        <x:f>MAX(0,1-ABS(F350-I350)/MAX(I350,0.01))</x:f>
        <x:v>0.9909652985751083</x:v>
      </x:c>
      <x:c r="K350" s="21" t="n">
        <x:f>MAX(0,1-ABS(H350-I350)/MAX(I350,0.01))</x:f>
        <x:v>0.9946823309895864</x:v>
      </x:c>
      <x:c r="L350" s="24" t="n">
        <x:f>MAX(I350-H350,0)</x:f>
        <x:v>0.03186055024033241</x:v>
      </x:c>
      <x:c r="M350" s="24" t="n">
        <x:f>MAX(H350-I350,0)</x:f>
        <x:v>0</x:v>
      </x:c>
      <x:c r="N350" s="19" t="str">
        <x:v>王芳</x:v>
      </x:c>
      <x:c r="O350" s="19" t="str">
        <x:v>S-按销量/BOM/日型生成</x:v>
      </x:c>
    </x:row>
    <x:row r="351">
      <x:c r="A351" s="19" t="str">
        <x:v>2026-07-07|S05|鸡杂</x:v>
      </x:c>
      <x:c r="B351" s="34" t="n">
        <x:v>46210.5</x:v>
      </x:c>
      <x:c r="C351" s="19" t="str">
        <x:v>S05</x:v>
      </x:c>
      <x:c r="D351" s="19" t="str">
        <x:v>同顺街店</x:v>
      </x:c>
      <x:c r="E351" s="19" t="str">
        <x:v>鸡杂</x:v>
      </x:c>
      <x:c r="F351" s="32" t="n">
        <x:v>3.236115883678146</x:v>
      </x:c>
      <x:c r="G351" s="32" t="n">
        <x:v>3.3876383445111915</x:v>
      </x:c>
      <x:c r="H351" s="24" t="n">
        <x:f>G351</x:f>
        <x:v>3.3876383445111915</x:v>
      </x:c>
      <x:c r="I351" s="24" t="n">
        <x:f>XLOOKUP(A351,'库存与收货'!$A$5:$A$676,'库存与收货'!$H$5:$H$676,0)+XLOOKUP(A351,'库存与收货'!$A$5:$A$676,'库存与收货'!$J$5:$J$676,0)</x:f>
        <x:v>3.6123978618910533</x:v>
      </x:c>
      <x:c r="J351" s="21" t="n">
        <x:f>MAX(0,1-ABS(F351-I351)/MAX(I351,0.01))</x:f>
        <x:v>0.8958359536798288</x:v>
      </x:c>
      <x:c r="K351" s="21" t="n">
        <x:f>MAX(0,1-ABS(H351-I351)/MAX(I351,0.01))</x:f>
        <x:v>0.9377810734108334</x:v>
      </x:c>
      <x:c r="L351" s="24" t="n">
        <x:f>MAX(I351-H351,0)</x:f>
        <x:v>0.22475951737986177</x:v>
      </x:c>
      <x:c r="M351" s="24" t="n">
        <x:f>MAX(H351-I351,0)</x:f>
        <x:v>0</x:v>
      </x:c>
      <x:c r="N351" s="19" t="str">
        <x:v>王芳</x:v>
      </x:c>
      <x:c r="O351" s="19" t="str">
        <x:v>S-按销量/BOM/日型生成</x:v>
      </x:c>
    </x:row>
    <x:row r="352">
      <x:c r="A352" s="19" t="str">
        <x:v>2026-07-07|S05|豆腐</x:v>
      </x:c>
      <x:c r="B352" s="34" t="n">
        <x:v>46210.5</x:v>
      </x:c>
      <x:c r="C352" s="19" t="str">
        <x:v>S05</x:v>
      </x:c>
      <x:c r="D352" s="19" t="str">
        <x:v>同顺街店</x:v>
      </x:c>
      <x:c r="E352" s="19" t="str">
        <x:v>豆腐</x:v>
      </x:c>
      <x:c r="F352" s="32" t="n">
        <x:v>19.448681474082132</x:v>
      </x:c>
      <x:c r="G352" s="32" t="n">
        <x:v>20.219395014016126</x:v>
      </x:c>
      <x:c r="H352" s="24" t="n">
        <x:f>G352</x:f>
        <x:v>20.219395014016126</x:v>
      </x:c>
      <x:c r="I352" s="24" t="n">
        <x:f>XLOOKUP(A352,'库存与收货'!$A$5:$A$676,'库存与收货'!$H$5:$H$676,0)+XLOOKUP(A352,'库存与收货'!$A$5:$A$676,'库存与收货'!$J$5:$J$676,0)</x:f>
        <x:v>21.3994213229789</x:v>
      </x:c>
      <x:c r="J352" s="21" t="n">
        <x:f>MAX(0,1-ABS(F352-I352)/MAX(I352,0.01))</x:f>
        <x:v>0.9088414672782743</x:v>
      </x:c>
      <x:c r="K352" s="21" t="n">
        <x:f>MAX(0,1-ABS(H352-I352)/MAX(I352,0.01))</x:f>
        <x:v>0.944857092574945</x:v>
      </x:c>
      <x:c r="L352" s="24" t="n">
        <x:f>MAX(I352-H352,0)</x:f>
        <x:v>1.1800263089627734</x:v>
      </x:c>
      <x:c r="M352" s="24" t="n">
        <x:f>MAX(H352-I352,0)</x:f>
        <x:v>0</x:v>
      </x:c>
      <x:c r="N352" s="19" t="str">
        <x:v>王芳</x:v>
      </x:c>
      <x:c r="O352" s="19" t="str">
        <x:v>S-按销量/BOM/日型生成</x:v>
      </x:c>
    </x:row>
    <x:row r="353">
      <x:c r="A353" s="19" t="str">
        <x:v>2026-07-08|S05|瘦肉片</x:v>
      </x:c>
      <x:c r="B353" s="34" t="n">
        <x:v>46211.5</x:v>
      </x:c>
      <x:c r="C353" s="19" t="str">
        <x:v>S05</x:v>
      </x:c>
      <x:c r="D353" s="19" t="str">
        <x:v>同顺街店</x:v>
      </x:c>
      <x:c r="E353" s="19" t="str">
        <x:v>瘦肉片</x:v>
      </x:c>
      <x:c r="F353" s="32" t="n">
        <x:v>10.078879323776652</x:v>
      </x:c>
      <x:c r="G353" s="32" t="n">
        <x:v>10.581127656768858</x:v>
      </x:c>
      <x:c r="H353" s="24" t="n">
        <x:f>G353</x:f>
        <x:v>10.581127656768858</x:v>
      </x:c>
      <x:c r="I353" s="24" t="n">
        <x:f>XLOOKUP(A353,'库存与收货'!$A$5:$A$676,'库存与收货'!$H$5:$H$676,0)+XLOOKUP(A353,'库存与收货'!$A$5:$A$676,'库存与收货'!$J$5:$J$676,0)</x:f>
        <x:v>11.953082022365551</x:v>
      </x:c>
      <x:c r="J353" s="21" t="n">
        <x:f>MAX(0,1-ABS(F353-I353)/MAX(I353,0.01))</x:f>
        <x:v>0.8432033934777611</x:v>
      </x:c>
      <x:c r="K353" s="21" t="n">
        <x:f>MAX(0,1-ABS(H353-I353)/MAX(I353,0.01))</x:f>
        <x:v>0.8852217057467175</x:v>
      </x:c>
      <x:c r="L353" s="24" t="n">
        <x:f>MAX(I353-H353,0)</x:f>
        <x:v>1.371954365596693</x:v>
      </x:c>
      <x:c r="M353" s="24" t="n">
        <x:f>MAX(H353-I353,0)</x:f>
        <x:v>0</x:v>
      </x:c>
      <x:c r="N353" s="19" t="str">
        <x:v>王芳</x:v>
      </x:c>
      <x:c r="O353" s="19" t="str">
        <x:v>S-按销量/BOM/日型生成</x:v>
      </x:c>
    </x:row>
    <x:row r="354">
      <x:c r="A354" s="19" t="str">
        <x:v>2026-07-08|S05|肥肉片</x:v>
      </x:c>
      <x:c r="B354" s="34" t="n">
        <x:v>46211.5</x:v>
      </x:c>
      <x:c r="C354" s="19" t="str">
        <x:v>S05</x:v>
      </x:c>
      <x:c r="D354" s="19" t="str">
        <x:v>同顺街店</x:v>
      </x:c>
      <x:c r="E354" s="19" t="str">
        <x:v>肥肉片</x:v>
      </x:c>
      <x:c r="F354" s="32" t="n">
        <x:v>3.4742118967144164</x:v>
      </x:c>
      <x:c r="G354" s="32" t="n">
        <x:v>3.4552250694690474</x:v>
      </x:c>
      <x:c r="H354" s="24" t="n">
        <x:f>G354</x:f>
        <x:v>3.4552250694690474</x:v>
      </x:c>
      <x:c r="I354" s="24" t="n">
        <x:f>XLOOKUP(A354,'库存与收货'!$A$5:$A$676,'库存与收货'!$H$5:$H$676,0)+XLOOKUP(A354,'库存与收货'!$A$5:$A$676,'库存与收货'!$J$5:$J$676,0)</x:f>
        <x:v>3.4024696323787724</x:v>
      </x:c>
      <x:c r="J354" s="21" t="n">
        <x:f>MAX(0,1-ABS(F354-I354)/MAX(I354,0.01))</x:f>
        <x:v>0.9789146496259875</x:v>
      </x:c>
      <x:c r="K354" s="21" t="n">
        <x:f>MAX(0,1-ABS(H354-I354)/MAX(I354,0.01))</x:f>
        <x:v>0.984494957254507</x:v>
      </x:c>
      <x:c r="L354" s="24" t="n">
        <x:f>MAX(I354-H354,0)</x:f>
        <x:v>0</x:v>
      </x:c>
      <x:c r="M354" s="24" t="n">
        <x:f>MAX(H354-I354,0)</x:f>
        <x:v>0.05275543709027497</x:v>
      </x:c>
      <x:c r="N354" s="19" t="str">
        <x:v>王芳</x:v>
      </x:c>
      <x:c r="O354" s="19" t="str">
        <x:v>S-按销量/BOM/日型生成</x:v>
      </x:c>
    </x:row>
    <x:row r="355">
      <x:c r="A355" s="19" t="str">
        <x:v>2026-07-08|S05|牛肉片</x:v>
      </x:c>
      <x:c r="B355" s="34" t="n">
        <x:v>46211.5</x:v>
      </x:c>
      <x:c r="C355" s="19" t="str">
        <x:v>S05</x:v>
      </x:c>
      <x:c r="D355" s="19" t="str">
        <x:v>同顺街店</x:v>
      </x:c>
      <x:c r="E355" s="19" t="str">
        <x:v>牛肉片</x:v>
      </x:c>
      <x:c r="F355" s="32" t="n">
        <x:v>9.933256387421416</x:v>
      </x:c>
      <x:c r="G355" s="32" t="n">
        <x:v>9.330084760792575</x:v>
      </x:c>
      <x:c r="H355" s="24" t="n">
        <x:f>G355</x:f>
        <x:v>9.330084760792575</x:v>
      </x:c>
      <x:c r="I355" s="24" t="n">
        <x:f>XLOOKUP(A355,'库存与收货'!$A$5:$A$676,'库存与收货'!$H$5:$H$676,0)+XLOOKUP(A355,'库存与收货'!$A$5:$A$676,'库存与收货'!$J$5:$J$676,0)</x:f>
        <x:v>8.475987415238572</x:v>
      </x:c>
      <x:c r="J355" s="21" t="n">
        <x:f>MAX(0,1-ABS(F355-I355)/MAX(I355,0.01))</x:f>
        <x:v>0.8280708900578486</x:v>
      </x:c>
      <x:c r="K355" s="21" t="n">
        <x:f>MAX(0,1-ABS(H355-I355)/MAX(I355,0.01))</x:f>
        <x:v>0.8992332923927586</x:v>
      </x:c>
      <x:c r="L355" s="24" t="n">
        <x:f>MAX(I355-H355,0)</x:f>
        <x:v>0</x:v>
      </x:c>
      <x:c r="M355" s="24" t="n">
        <x:f>MAX(H355-I355,0)</x:f>
        <x:v>0.8540973455540026</x:v>
      </x:c>
      <x:c r="N355" s="19" t="str">
        <x:v>王芳</x:v>
      </x:c>
      <x:c r="O355" s="19" t="str">
        <x:v>S-按销量/BOM/日型生成</x:v>
      </x:c>
    </x:row>
    <x:row r="356">
      <x:c r="A356" s="19" t="str">
        <x:v>2026-07-08|S05|螺丝椒</x:v>
      </x:c>
      <x:c r="B356" s="34" t="n">
        <x:v>46211.5</x:v>
      </x:c>
      <x:c r="C356" s="19" t="str">
        <x:v>S05</x:v>
      </x:c>
      <x:c r="D356" s="19" t="str">
        <x:v>同顺街店</x:v>
      </x:c>
      <x:c r="E356" s="19" t="str">
        <x:v>螺丝椒</x:v>
      </x:c>
      <x:c r="F356" s="32" t="n">
        <x:v>14.696435107296091</x:v>
      </x:c>
      <x:c r="G356" s="32" t="n">
        <x:v>13.952737208058402</x:v>
      </x:c>
      <x:c r="H356" s="24" t="n">
        <x:f>G356</x:f>
        <x:v>13.952737208058402</x:v>
      </x:c>
      <x:c r="I356" s="24" t="n">
        <x:f>XLOOKUP(A356,'库存与收货'!$A$5:$A$676,'库存与收货'!$H$5:$H$676,0)+XLOOKUP(A356,'库存与收货'!$A$5:$A$676,'库存与收货'!$J$5:$J$676,0)</x:f>
        <x:v>12.592511797602931</x:v>
      </x:c>
      <x:c r="J356" s="21" t="n">
        <x:f>MAX(0,1-ABS(F356-I356)/MAX(I356,0.01))</x:f>
        <x:v>0.8329226651910975</x:v>
      </x:c>
      <x:c r="K356" s="21" t="n">
        <x:f>MAX(0,1-ABS(H356-I356)/MAX(I356,0.01))</x:f>
        <x:v>0.8919814067027995</x:v>
      </x:c>
      <x:c r="L356" s="24" t="n">
        <x:f>MAX(I356-H356,0)</x:f>
        <x:v>0</x:v>
      </x:c>
      <x:c r="M356" s="24" t="n">
        <x:f>MAX(H356-I356,0)</x:f>
        <x:v>1.3602254104554703</x:v>
      </x:c>
      <x:c r="N356" s="19" t="str">
        <x:v>王芳</x:v>
      </x:c>
      <x:c r="O356" s="19" t="str">
        <x:v>S-按销量/BOM/日型生成</x:v>
      </x:c>
    </x:row>
    <x:row r="357">
      <x:c r="A357" s="19" t="str">
        <x:v>2026-07-08|S05|青湖南椒圈</x:v>
      </x:c>
      <x:c r="B357" s="34" t="n">
        <x:v>46211.5</x:v>
      </x:c>
      <x:c r="C357" s="19" t="str">
        <x:v>S05</x:v>
      </x:c>
      <x:c r="D357" s="19" t="str">
        <x:v>同顺街店</x:v>
      </x:c>
      <x:c r="E357" s="19" t="str">
        <x:v>青湖南椒圈</x:v>
      </x:c>
      <x:c r="F357" s="32" t="n">
        <x:v>1.6914479712812405</x:v>
      </x:c>
      <x:c r="G357" s="32" t="n">
        <x:v>1.7107274941383896</x:v>
      </x:c>
      <x:c r="H357" s="24" t="n">
        <x:f>G357</x:f>
        <x:v>1.7107274941383896</x:v>
      </x:c>
      <x:c r="I357" s="24" t="n">
        <x:f>XLOOKUP(A357,'库存与收货'!$A$5:$A$676,'库存与收货'!$H$5:$H$676,0)+XLOOKUP(A357,'库存与收货'!$A$5:$A$676,'库存与收货'!$J$5:$J$676,0)</x:f>
        <x:v>1.7672788583777794</x:v>
      </x:c>
      <x:c r="J357" s="21" t="n">
        <x:f>MAX(0,1-ABS(F357-I357)/MAX(I357,0.01))</x:f>
        <x:v>0.9570917250907728</x:v>
      </x:c>
      <x:c r="K357" s="21" t="n">
        <x:f>MAX(0,1-ABS(H357-I357)/MAX(I357,0.01))</x:f>
        <x:v>0.9680008822765529</x:v>
      </x:c>
      <x:c r="L357" s="24" t="n">
        <x:f>MAX(I357-H357,0)</x:f>
        <x:v>0.05655136423938978</x:v>
      </x:c>
      <x:c r="M357" s="24" t="n">
        <x:f>MAX(H357-I357,0)</x:f>
        <x:v>0</x:v>
      </x:c>
      <x:c r="N357" s="19" t="str">
        <x:v>王芳</x:v>
      </x:c>
      <x:c r="O357" s="19" t="str">
        <x:v>S-按销量/BOM/日型生成</x:v>
      </x:c>
    </x:row>
    <x:row r="358">
      <x:c r="A358" s="19" t="str">
        <x:v>2026-07-08|S05|鸡蛋</x:v>
      </x:c>
      <x:c r="B358" s="34" t="n">
        <x:v>46211.5</x:v>
      </x:c>
      <x:c r="C358" s="19" t="str">
        <x:v>S05</x:v>
      </x:c>
      <x:c r="D358" s="19" t="str">
        <x:v>同顺街店</x:v>
      </x:c>
      <x:c r="E358" s="19" t="str">
        <x:v>鸡蛋</x:v>
      </x:c>
      <x:c r="F358" s="32" t="n">
        <x:v>15.40725918283637</x:v>
      </x:c>
      <x:c r="G358" s="32" t="n">
        <x:v>15.694771633933467</x:v>
      </x:c>
      <x:c r="H358" s="24" t="n">
        <x:f>G358</x:f>
        <x:v>15.694771633933467</x:v>
      </x:c>
      <x:c r="I358" s="24" t="n">
        <x:f>XLOOKUP(A358,'库存与收货'!$A$5:$A$676,'库存与收货'!$H$5:$H$676,0)+XLOOKUP(A358,'库存与收货'!$A$5:$A$676,'库存与收货'!$J$5:$J$676,0)</x:f>
        <x:v>16.138719522366003</x:v>
      </x:c>
      <x:c r="J358" s="21" t="n">
        <x:f>MAX(0,1-ABS(F358-I358)/MAX(I358,0.01))</x:f>
        <x:v>0.9546766806055504</x:v>
      </x:c>
      <x:c r="K358" s="21" t="n">
        <x:f>MAX(0,1-ABS(H358-I358)/MAX(I358,0.01))</x:f>
        <x:v>0.9724917526562571</x:v>
      </x:c>
      <x:c r="L358" s="24" t="n">
        <x:f>MAX(I358-H358,0)</x:f>
        <x:v>0.4439478884325361</x:v>
      </x:c>
      <x:c r="M358" s="24" t="n">
        <x:f>MAX(H358-I358,0)</x:f>
        <x:v>0</x:v>
      </x:c>
      <x:c r="N358" s="19" t="str">
        <x:v>王芳</x:v>
      </x:c>
      <x:c r="O358" s="19" t="str">
        <x:v>S-按销量/BOM/日型生成</x:v>
      </x:c>
    </x:row>
    <x:row r="359">
      <x:c r="A359" s="19" t="str">
        <x:v>2026-07-08|S05|鸡肉</x:v>
      </x:c>
      <x:c r="B359" s="34" t="n">
        <x:v>46211.5</x:v>
      </x:c>
      <x:c r="C359" s="19" t="str">
        <x:v>S05</x:v>
      </x:c>
      <x:c r="D359" s="19" t="str">
        <x:v>同顺街店</x:v>
      </x:c>
      <x:c r="E359" s="19" t="str">
        <x:v>鸡肉</x:v>
      </x:c>
      <x:c r="F359" s="32" t="n">
        <x:v>5.12180917370079</x:v>
      </x:c>
      <x:c r="G359" s="32" t="n">
        <x:v>5.115117326000306</x:v>
      </x:c>
      <x:c r="H359" s="24" t="n">
        <x:f>G359</x:f>
        <x:v>5.115117326000306</x:v>
      </x:c>
      <x:c r="I359" s="24" t="n">
        <x:f>XLOOKUP(A359,'库存与收货'!$A$5:$A$676,'库存与收货'!$H$5:$H$676,0)+XLOOKUP(A359,'库存与收货'!$A$5:$A$676,'库存与收货'!$J$5:$J$676,0)</x:f>
        <x:v>5.101589726398021</x:v>
      </x:c>
      <x:c r="J359" s="21" t="n">
        <x:f>MAX(0,1-ABS(F359-I359)/MAX(I359,0.01))</x:f>
        <x:v>0.9960366379134443</x:v>
      </x:c>
      <x:c r="K359" s="21" t="n">
        <x:f>MAX(0,1-ABS(H359-I359)/MAX(I359,0.01))</x:f>
        <x:v>0.9973483560364945</x:v>
      </x:c>
      <x:c r="L359" s="24" t="n">
        <x:f>MAX(I359-H359,0)</x:f>
        <x:v>0</x:v>
      </x:c>
      <x:c r="M359" s="24" t="n">
        <x:f>MAX(H359-I359,0)</x:f>
        <x:v>0.013527599602285001</x:v>
      </x:c>
      <x:c r="N359" s="19" t="str">
        <x:v>王芳</x:v>
      </x:c>
      <x:c r="O359" s="19" t="str">
        <x:v>S-按销量/BOM/日型生成</x:v>
      </x:c>
    </x:row>
    <x:row r="360">
      <x:c r="A360" s="19" t="str">
        <x:v>2026-07-08|S05|鲈鱼</x:v>
      </x:c>
      <x:c r="B360" s="34" t="n">
        <x:v>46211.5</x:v>
      </x:c>
      <x:c r="C360" s="19" t="str">
        <x:v>S05</x:v>
      </x:c>
      <x:c r="D360" s="19" t="str">
        <x:v>同顺街店</x:v>
      </x:c>
      <x:c r="E360" s="19" t="str">
        <x:v>鲈鱼</x:v>
      </x:c>
      <x:c r="F360" s="32" t="n">
        <x:v>3.0559857521078815</x:v>
      </x:c>
      <x:c r="G360" s="32" t="n">
        <x:v>3.057747811331564</x:v>
      </x:c>
      <x:c r="H360" s="24" t="n">
        <x:f>G360</x:f>
        <x:v>3.057747811331564</x:v>
      </x:c>
      <x:c r="I360" s="24" t="n">
        <x:f>XLOOKUP(A360,'库存与收货'!$A$5:$A$676,'库存与收货'!$H$5:$H$676,0)+XLOOKUP(A360,'库存与收货'!$A$5:$A$676,'库存与收货'!$J$5:$J$676,0)</x:f>
        <x:v>3.060200952007482</x:v>
      </x:c>
      <x:c r="J360" s="21" t="n">
        <x:f>MAX(0,1-ABS(F360-I360)/MAX(I360,0.01))</x:f>
        <x:v>0.9986225741493102</x:v>
      </x:c>
      <x:c r="K360" s="21" t="n">
        <x:f>MAX(0,1-ABS(H360-I360)/MAX(I360,0.01))</x:f>
        <x:v>0.999198372683889</x:v>
      </x:c>
      <x:c r="L360" s="24" t="n">
        <x:f>MAX(I360-H360,0)</x:f>
        <x:v>0.002453140675918064</x:v>
      </x:c>
      <x:c r="M360" s="24" t="n">
        <x:f>MAX(H360-I360,0)</x:f>
        <x:v>0</x:v>
      </x:c>
      <x:c r="N360" s="19" t="str">
        <x:v>王芳</x:v>
      </x:c>
      <x:c r="O360" s="19" t="str">
        <x:v>S-按销量/BOM/日型生成</x:v>
      </x:c>
    </x:row>
    <x:row r="361">
      <x:c r="A361" s="19" t="str">
        <x:v>2026-07-08|S05|酸包菜</x:v>
      </x:c>
      <x:c r="B361" s="34" t="n">
        <x:v>46211.5</x:v>
      </x:c>
      <x:c r="C361" s="19" t="str">
        <x:v>S05</x:v>
      </x:c>
      <x:c r="D361" s="19" t="str">
        <x:v>同顺街店</x:v>
      </x:c>
      <x:c r="E361" s="19" t="str">
        <x:v>酸包菜</x:v>
      </x:c>
      <x:c r="F361" s="32" t="n">
        <x:v>8.185027942232981</x:v>
      </x:c>
      <x:c r="G361" s="32" t="n">
        <x:v>7.945256663400531</x:v>
      </x:c>
      <x:c r="H361" s="24" t="n">
        <x:f>G361</x:f>
        <x:v>7.945256663400531</x:v>
      </x:c>
      <x:c r="I361" s="24" t="n">
        <x:f>XLOOKUP(A361,'库存与收货'!$A$5:$A$676,'库存与收货'!$H$5:$H$676,0)+XLOOKUP(A361,'库存与收货'!$A$5:$A$676,'库存与收货'!$J$5:$J$676,0)</x:f>
        <x:v>7.3982415631176535</x:v>
      </x:c>
      <x:c r="J361" s="21" t="n">
        <x:f>MAX(0,1-ABS(F361-I361)/MAX(I361,0.01))</x:f>
        <x:v>0.8936522452797862</x:v>
      </x:c>
      <x:c r="K361" s="21" t="n">
        <x:f>MAX(0,1-ABS(H361-I361)/MAX(I361,0.01))</x:f>
        <x:v>0.9260614707405739</x:v>
      </x:c>
      <x:c r="L361" s="24" t="n">
        <x:f>MAX(I361-H361,0)</x:f>
        <x:v>0</x:v>
      </x:c>
      <x:c r="M361" s="24" t="n">
        <x:f>MAX(H361-I361,0)</x:f>
        <x:v>0.5470151002828771</x:v>
      </x:c>
      <x:c r="N361" s="19" t="str">
        <x:v>王芳</x:v>
      </x:c>
      <x:c r="O361" s="19" t="str">
        <x:v>S-按销量/BOM/日型生成</x:v>
      </x:c>
    </x:row>
    <x:row r="362">
      <x:c r="A362" s="19" t="str">
        <x:v>2026-07-08|S05|粉皮</x:v>
      </x:c>
      <x:c r="B362" s="34" t="n">
        <x:v>46211.5</x:v>
      </x:c>
      <x:c r="C362" s="19" t="str">
        <x:v>S05</x:v>
      </x:c>
      <x:c r="D362" s="19" t="str">
        <x:v>同顺街店</x:v>
      </x:c>
      <x:c r="E362" s="19" t="str">
        <x:v>粉皮</x:v>
      </x:c>
      <x:c r="F362" s="32" t="n">
        <x:v>4.952660049275662</x:v>
      </x:c>
      <x:c r="G362" s="32" t="n">
        <x:v>5.158856132922576</x:v>
      </x:c>
      <x:c r="H362" s="24" t="n">
        <x:f>G362</x:f>
        <x:v>5.158856132922576</x:v>
      </x:c>
      <x:c r="I362" s="24" t="n">
        <x:f>XLOOKUP(A362,'库存与收货'!$A$5:$A$676,'库存与收货'!$H$5:$H$676,0)+XLOOKUP(A362,'库存与收货'!$A$5:$A$676,'库存与收货'!$J$5:$J$676,0)</x:f>
        <x:v>5.586838484176397</x:v>
      </x:c>
      <x:c r="J362" s="21" t="n">
        <x:f>MAX(0,1-ABS(F362-I362)/MAX(I362,0.01))</x:f>
        <x:v>0.8864870647868345</x:v>
      </x:c>
      <x:c r="K362" s="21" t="n">
        <x:f>MAX(0,1-ABS(H362-I362)/MAX(I362,0.01))</x:f>
        <x:v>0.9233945365583782</x:v>
      </x:c>
      <x:c r="L362" s="24" t="n">
        <x:f>MAX(I362-H362,0)</x:f>
        <x:v>0.4279823512538208</x:v>
      </x:c>
      <x:c r="M362" s="24" t="n">
        <x:f>MAX(H362-I362,0)</x:f>
        <x:v>0</x:v>
      </x:c>
      <x:c r="N362" s="19" t="str">
        <x:v>王芳</x:v>
      </x:c>
      <x:c r="O362" s="19" t="str">
        <x:v>S-按销量/BOM/日型生成</x:v>
      </x:c>
    </x:row>
    <x:row r="363">
      <x:c r="A363" s="19" t="str">
        <x:v>2026-07-08|S05|鸡杂</x:v>
      </x:c>
      <x:c r="B363" s="34" t="n">
        <x:v>46211.5</x:v>
      </x:c>
      <x:c r="C363" s="19" t="str">
        <x:v>S05</x:v>
      </x:c>
      <x:c r="D363" s="19" t="str">
        <x:v>同顺街店</x:v>
      </x:c>
      <x:c r="E363" s="19" t="str">
        <x:v>鸡杂</x:v>
      </x:c>
      <x:c r="F363" s="32" t="n">
        <x:v>3.8640155039642794</x:v>
      </x:c>
      <x:c r="G363" s="32" t="n">
        <x:v>3.65383703247859</x:v>
      </x:c>
      <x:c r="H363" s="24" t="n">
        <x:f>G363</x:f>
        <x:v>3.65383703247859</x:v>
      </x:c>
      <x:c r="I363" s="24" t="n">
        <x:f>XLOOKUP(A363,'库存与收货'!$A$5:$A$676,'库存与收货'!$H$5:$H$676,0)+XLOOKUP(A363,'库存与收货'!$A$5:$A$676,'库存与收货'!$J$5:$J$676,0)</x:f>
        <x:v>3.369578370815918</x:v>
      </x:c>
      <x:c r="J363" s="21" t="n">
        <x:f>MAX(0,1-ABS(F363-I363)/MAX(I363,0.01))</x:f>
        <x:v>0.8532643913461977</x:v>
      </x:c>
      <x:c r="K363" s="21" t="n">
        <x:f>MAX(0,1-ABS(H363-I363)/MAX(I363,0.01))</x:f>
        <x:v>0.9156396942345518</x:v>
      </x:c>
      <x:c r="L363" s="24" t="n">
        <x:f>MAX(I363-H363,0)</x:f>
        <x:v>0</x:v>
      </x:c>
      <x:c r="M363" s="24" t="n">
        <x:f>MAX(H363-I363,0)</x:f>
        <x:v>0.28425866166267166</x:v>
      </x:c>
      <x:c r="N363" s="19" t="str">
        <x:v>王芳</x:v>
      </x:c>
      <x:c r="O363" s="19" t="str">
        <x:v>S-按销量/BOM/日型生成</x:v>
      </x:c>
    </x:row>
    <x:row r="364">
      <x:c r="A364" s="19" t="str">
        <x:v>2026-07-08|S05|豆腐</x:v>
      </x:c>
      <x:c r="B364" s="34" t="n">
        <x:v>46211.5</x:v>
      </x:c>
      <x:c r="C364" s="19" t="str">
        <x:v>S05</x:v>
      </x:c>
      <x:c r="D364" s="19" t="str">
        <x:v>同顺街店</x:v>
      </x:c>
      <x:c r="E364" s="19" t="str">
        <x:v>豆腐</x:v>
      </x:c>
      <x:c r="F364" s="32" t="n">
        <x:v>24.28221466192444</x:v>
      </x:c>
      <x:c r="G364" s="32" t="n">
        <x:v>22.93090977320437</x:v>
      </x:c>
      <x:c r="H364" s="24" t="n">
        <x:f>G364</x:f>
        <x:v>22.93090977320437</x:v>
      </x:c>
      <x:c r="I364" s="24" t="n">
        <x:f>XLOOKUP(A364,'库存与收货'!$A$5:$A$676,'库存与收货'!$H$5:$H$676,0)+XLOOKUP(A364,'库存与收货'!$A$5:$A$676,'库存与收货'!$J$5:$J$676,0)</x:f>
        <x:v>20.9059198172963</x:v>
      </x:c>
      <x:c r="J364" s="21" t="n">
        <x:f>MAX(0,1-ABS(F364-I364)/MAX(I364,0.01))</x:f>
        <x:v>0.8385005360139766</x:v>
      </x:c>
      <x:c r="K364" s="21" t="n">
        <x:f>MAX(0,1-ABS(H364-I364)/MAX(I364,0.01))</x:f>
        <x:v>0.9031379640979627</x:v>
      </x:c>
      <x:c r="L364" s="24" t="n">
        <x:f>MAX(I364-H364,0)</x:f>
        <x:v>0</x:v>
      </x:c>
      <x:c r="M364" s="24" t="n">
        <x:f>MAX(H364-I364,0)</x:f>
        <x:v>2.024989955908069</x:v>
      </x:c>
      <x:c r="N364" s="19" t="str">
        <x:v>王芳</x:v>
      </x:c>
      <x:c r="O364" s="19" t="str">
        <x:v>S-按销量/BOM/日型生成</x:v>
      </x:c>
    </x:row>
    <x:row r="365">
      <x:c r="A365" s="19" t="str">
        <x:v>2026-07-09|S05|瘦肉片</x:v>
      </x:c>
      <x:c r="B365" s="34" t="n">
        <x:v>46212.5</x:v>
      </x:c>
      <x:c r="C365" s="19" t="str">
        <x:v>S05</x:v>
      </x:c>
      <x:c r="D365" s="19" t="str">
        <x:v>同顺街店</x:v>
      </x:c>
      <x:c r="E365" s="19" t="str">
        <x:v>瘦肉片</x:v>
      </x:c>
      <x:c r="F365" s="32" t="n">
        <x:v>9.292063986619281</x:v>
      </x:c>
      <x:c r="G365" s="32" t="n">
        <x:v>10.010957998465813</x:v>
      </x:c>
      <x:c r="H365" s="24" t="n">
        <x:f>G365</x:f>
        <x:v>10.010957998465813</x:v>
      </x:c>
      <x:c r="I365" s="24" t="n">
        <x:f>XLOOKUP(A365,'库存与收货'!$A$5:$A$676,'库存与收货'!$H$5:$H$676,0)+XLOOKUP(A365,'库存与收货'!$A$5:$A$676,'库存与收货'!$J$5:$J$676,0)</x:f>
        <x:v>11.228579350424658</x:v>
      </x:c>
      <x:c r="J365" s="21" t="n">
        <x:f>MAX(0,1-ABS(F365-I365)/MAX(I365,0.01))</x:f>
        <x:v>0.8275369213352766</x:v>
      </x:c>
      <x:c r="K365" s="21" t="n">
        <x:f>MAX(0,1-ABS(H365-I365)/MAX(I365,0.01))</x:f>
        <x:v>0.8915605158979621</x:v>
      </x:c>
      <x:c r="L365" s="24" t="n">
        <x:f>MAX(I365-H365,0)</x:f>
        <x:v>1.2176213519588455</x:v>
      </x:c>
      <x:c r="M365" s="24" t="n">
        <x:f>MAX(H365-I365,0)</x:f>
        <x:v>0</x:v>
      </x:c>
      <x:c r="N365" s="19" t="str">
        <x:v>王芳</x:v>
      </x:c>
      <x:c r="O365" s="19" t="str">
        <x:v>S-按销量/BOM/日型生成</x:v>
      </x:c>
    </x:row>
    <x:row r="366">
      <x:c r="A366" s="19" t="str">
        <x:v>2026-07-09|S05|肥肉片</x:v>
      </x:c>
      <x:c r="B366" s="34" t="n">
        <x:v>46212.5</x:v>
      </x:c>
      <x:c r="C366" s="19" t="str">
        <x:v>S05</x:v>
      </x:c>
      <x:c r="D366" s="19" t="str">
        <x:v>同顺街店</x:v>
      </x:c>
      <x:c r="E366" s="19" t="str">
        <x:v>肥肉片</x:v>
      </x:c>
      <x:c r="F366" s="32" t="n">
        <x:v>3.250488662658801</x:v>
      </x:c>
      <x:c r="G366" s="32" t="n">
        <x:v>3.245365797755741</x:v>
      </x:c>
      <x:c r="H366" s="24" t="n">
        <x:f>G366</x:f>
        <x:v>3.245365797755741</x:v>
      </x:c>
      <x:c r="I366" s="24" t="n">
        <x:f>XLOOKUP(A366,'库存与收货'!$A$5:$A$676,'库存与收货'!$H$5:$H$676,0)+XLOOKUP(A366,'库存与收货'!$A$5:$A$676,'库存与收货'!$J$5:$J$676,0)</x:f>
        <x:v>3.230715660971058</x:v>
      </x:c>
      <x:c r="J366" s="21" t="n">
        <x:f>MAX(0,1-ABS(F366-I366)/MAX(I366,0.01))</x:f>
        <x:v>0.9938796837101412</x:v>
      </x:c>
      <x:c r="K366" s="21" t="n">
        <x:f>MAX(0,1-ABS(H366-I366)/MAX(I366,0.01))</x:f>
        <x:v>0.9954653586628915</x:v>
      </x:c>
      <x:c r="L366" s="24" t="n">
        <x:f>MAX(I366-H366,0)</x:f>
        <x:v>0</x:v>
      </x:c>
      <x:c r="M366" s="24" t="n">
        <x:f>MAX(H366-I366,0)</x:f>
        <x:v>0.014650136784683188</x:v>
      </x:c>
      <x:c r="N366" s="19" t="str">
        <x:v>王芳</x:v>
      </x:c>
      <x:c r="O366" s="19" t="str">
        <x:v>S-按销量/BOM/日型生成</x:v>
      </x:c>
    </x:row>
    <x:row r="367">
      <x:c r="A367" s="19" t="str">
        <x:v>2026-07-09|S05|牛肉片</x:v>
      </x:c>
      <x:c r="B367" s="34" t="n">
        <x:v>46212.5</x:v>
      </x:c>
      <x:c r="C367" s="19" t="str">
        <x:v>S05</x:v>
      </x:c>
      <x:c r="D367" s="19" t="str">
        <x:v>同顺街店</x:v>
      </x:c>
      <x:c r="E367" s="19" t="str">
        <x:v>牛肉片</x:v>
      </x:c>
      <x:c r="F367" s="32" t="n">
        <x:v>7.240571746363613</x:v>
      </x:c>
      <x:c r="G367" s="32" t="n">
        <x:v>7.82391679644167</x:v>
      </x:c>
      <x:c r="H367" s="24" t="n">
        <x:f>G367</x:f>
        <x:v>7.82391679644167</x:v>
      </x:c>
      <x:c r="I367" s="24" t="n">
        <x:f>XLOOKUP(A367,'库存与收货'!$A$5:$A$676,'库存与收货'!$H$5:$H$676,0)+XLOOKUP(A367,'库存与收货'!$A$5:$A$676,'库存与收货'!$J$5:$J$676,0)</x:f>
        <x:v>8.698942223941893</x:v>
      </x:c>
      <x:c r="J367" s="21" t="n">
        <x:f>MAX(0,1-ABS(F367-I367)/MAX(I367,0.01))</x:f>
        <x:v>0.8323508261079787</x:v>
      </x:c>
      <x:c r="K367" s="21" t="n">
        <x:f>MAX(0,1-ABS(H367-I367)/MAX(I367,0.01))</x:f>
        <x:v>0.899410134591777</x:v>
      </x:c>
      <x:c r="L367" s="24" t="n">
        <x:f>MAX(I367-H367,0)</x:f>
        <x:v>0.8750254275002236</x:v>
      </x:c>
      <x:c r="M367" s="24" t="n">
        <x:f>MAX(H367-I367,0)</x:f>
        <x:v>0</x:v>
      </x:c>
      <x:c r="N367" s="19" t="str">
        <x:v>王芳</x:v>
      </x:c>
      <x:c r="O367" s="19" t="str">
        <x:v>S-按销量/BOM/日型生成</x:v>
      </x:c>
    </x:row>
    <x:row r="368">
      <x:c r="A368" s="19" t="str">
        <x:v>2026-07-09|S05|螺丝椒</x:v>
      </x:c>
      <x:c r="B368" s="34" t="n">
        <x:v>46212.5</x:v>
      </x:c>
      <x:c r="C368" s="19" t="str">
        <x:v>S05</x:v>
      </x:c>
      <x:c r="D368" s="19" t="str">
        <x:v>同顺街店</x:v>
      </x:c>
      <x:c r="E368" s="19" t="str">
        <x:v>螺丝椒</x:v>
      </x:c>
      <x:c r="F368" s="32" t="n">
        <x:v>13.88815182586099</x:v>
      </x:c>
      <x:c r="G368" s="32" t="n">
        <x:v>13.071876140920331</x:v>
      </x:c>
      <x:c r="H368" s="24" t="n">
        <x:f>G368</x:f>
        <x:v>13.071876140920331</x:v>
      </x:c>
      <x:c r="I368" s="24" t="n">
        <x:f>XLOOKUP(A368,'库存与收货'!$A$5:$A$676,'库存与收货'!$H$5:$H$676,0)+XLOOKUP(A368,'库存与收货'!$A$5:$A$676,'库存与收货'!$J$5:$J$676,0)</x:f>
        <x:v>11.95908275091126</x:v>
      </x:c>
      <x:c r="J368" s="21" t="n">
        <x:f>MAX(0,1-ABS(F368-I368)/MAX(I368,0.01))</x:f>
        <x:v>0.838694228049995</x:v>
      </x:c>
      <x:c r="K368" s="21" t="n">
        <x:f>MAX(0,1-ABS(H368-I368)/MAX(I368,0.01))</x:f>
        <x:v>0.9069499381192694</x:v>
      </x:c>
      <x:c r="L368" s="24" t="n">
        <x:f>MAX(I368-H368,0)</x:f>
        <x:v>0</x:v>
      </x:c>
      <x:c r="M368" s="24" t="n">
        <x:f>MAX(H368-I368,0)</x:f>
        <x:v>1.1127933900090703</x:v>
      </x:c>
      <x:c r="N368" s="19" t="str">
        <x:v>王芳</x:v>
      </x:c>
      <x:c r="O368" s="19" t="str">
        <x:v>S-按销量/BOM/日型生成</x:v>
      </x:c>
    </x:row>
    <x:row r="369">
      <x:c r="A369" s="19" t="str">
        <x:v>2026-07-09|S05|青湖南椒圈</x:v>
      </x:c>
      <x:c r="B369" s="34" t="n">
        <x:v>46212.5</x:v>
      </x:c>
      <x:c r="C369" s="19" t="str">
        <x:v>S05</x:v>
      </x:c>
      <x:c r="D369" s="19" t="str">
        <x:v>同顺街店</x:v>
      </x:c>
      <x:c r="E369" s="19" t="str">
        <x:v>青湖南椒圈</x:v>
      </x:c>
      <x:c r="F369" s="32" t="n">
        <x:v>1.8527902076611056</x:v>
      </x:c>
      <x:c r="G369" s="32" t="n">
        <x:v>1.7858506530429037</x:v>
      </x:c>
      <x:c r="H369" s="24" t="n">
        <x:f>G369</x:f>
        <x:v>1.7858506530429037</x:v>
      </x:c>
      <x:c r="I369" s="24" t="n">
        <x:f>XLOOKUP(A369,'库存与收货'!$A$5:$A$676,'库存与收货'!$H$5:$H$676,0)+XLOOKUP(A369,'库存与收货'!$A$5:$A$676,'库存与收货'!$J$5:$J$676,0)</x:f>
        <x:v>1.6569131896777343</x:v>
      </x:c>
      <x:c r="J369" s="21" t="n">
        <x:f>MAX(0,1-ABS(F369-I369)/MAX(I369,0.01))</x:f>
        <x:v>0.8817819670917889</x:v>
      </x:c>
      <x:c r="K369" s="21" t="n">
        <x:f>MAX(0,1-ABS(H369-I369)/MAX(I369,0.01))</x:f>
        <x:v>0.9221821250694205</x:v>
      </x:c>
      <x:c r="L369" s="24" t="n">
        <x:f>MAX(I369-H369,0)</x:f>
        <x:v>0</x:v>
      </x:c>
      <x:c r="M369" s="24" t="n">
        <x:f>MAX(H369-I369,0)</x:f>
        <x:v>0.12893746336516942</x:v>
      </x:c>
      <x:c r="N369" s="19" t="str">
        <x:v>王芳</x:v>
      </x:c>
      <x:c r="O369" s="19" t="str">
        <x:v>S-按销量/BOM/日型生成</x:v>
      </x:c>
    </x:row>
    <x:row r="370">
      <x:c r="A370" s="19" t="str">
        <x:v>2026-07-09|S05|鸡蛋</x:v>
      </x:c>
      <x:c r="B370" s="34" t="n">
        <x:v>46212.5</x:v>
      </x:c>
      <x:c r="C370" s="19" t="str">
        <x:v>S05</x:v>
      </x:c>
      <x:c r="D370" s="19" t="str">
        <x:v>同顺街店</x:v>
      </x:c>
      <x:c r="E370" s="19" t="str">
        <x:v>鸡蛋</x:v>
      </x:c>
      <x:c r="F370" s="32" t="n">
        <x:v>16.809323902085918</x:v>
      </x:c>
      <x:c r="G370" s="32" t="n">
        <x:v>16.688093910288075</x:v>
      </x:c>
      <x:c r="H370" s="24" t="n">
        <x:f>G370</x:f>
        <x:v>16.688093910288075</x:v>
      </x:c>
      <x:c r="I370" s="24" t="n">
        <x:f>XLOOKUP(A370,'库存与收货'!$A$5:$A$676,'库存与收货'!$H$5:$H$676,0)+XLOOKUP(A370,'库存与收货'!$A$5:$A$676,'库存与收货'!$J$5:$J$676,0)</x:f>
        <x:v>16.357735712257618</x:v>
      </x:c>
      <x:c r="J370" s="21" t="n">
        <x:f>MAX(0,1-ABS(F370-I370)/MAX(I370,0.01))</x:f>
        <x:v>0.9723929889948091</x:v>
      </x:c>
      <x:c r="K370" s="21" t="n">
        <x:f>MAX(0,1-ABS(H370-I370)/MAX(I370,0.01))</x:f>
        <x:v>0.9798041609277925</x:v>
      </x:c>
      <x:c r="L370" s="24" t="n">
        <x:f>MAX(I370-H370,0)</x:f>
        <x:v>0</x:v>
      </x:c>
      <x:c r="M370" s="24" t="n">
        <x:f>MAX(H370-I370,0)</x:f>
        <x:v>0.3303581980304564</x:v>
      </x:c>
      <x:c r="N370" s="19" t="str">
        <x:v>王芳</x:v>
      </x:c>
      <x:c r="O370" s="19" t="str">
        <x:v>S-按销量/BOM/日型生成</x:v>
      </x:c>
    </x:row>
    <x:row r="371">
      <x:c r="A371" s="19" t="str">
        <x:v>2026-07-09|S05|鸡肉</x:v>
      </x:c>
      <x:c r="B371" s="34" t="n">
        <x:v>46212.5</x:v>
      </x:c>
      <x:c r="C371" s="19" t="str">
        <x:v>S05</x:v>
      </x:c>
      <x:c r="D371" s="19" t="str">
        <x:v>同顺街店</x:v>
      </x:c>
      <x:c r="E371" s="19" t="str">
        <x:v>鸡肉</x:v>
      </x:c>
      <x:c r="F371" s="32" t="n">
        <x:v>5.317362385701778</x:v>
      </x:c>
      <x:c r="G371" s="32" t="n">
        <x:v>5.050955896447761</x:v>
      </x:c>
      <x:c r="H371" s="24" t="n">
        <x:f>G371</x:f>
        <x:v>5.050955896447761</x:v>
      </x:c>
      <x:c r="I371" s="24" t="n">
        <x:f>XLOOKUP(A371,'库存与收货'!$A$5:$A$676,'库存与收货'!$H$5:$H$676,0)+XLOOKUP(A371,'库存与收货'!$A$5:$A$676,'库存与收货'!$J$5:$J$676,0)</x:f>
        <x:v>4.64324648119061</x:v>
      </x:c>
      <x:c r="J371" s="21" t="n">
        <x:f>MAX(0,1-ABS(F371-I371)/MAX(I371,0.01))</x:f>
        <x:v>0.8548179797816131</x:v>
      </x:c>
      <x:c r="K371" s="21" t="n">
        <x:f>MAX(0,1-ABS(H371-I371)/MAX(I371,0.01))</x:f>
        <x:v>0.9121930276782102</x:v>
      </x:c>
      <x:c r="L371" s="24" t="n">
        <x:f>MAX(I371-H371,0)</x:f>
        <x:v>0</x:v>
      </x:c>
      <x:c r="M371" s="24" t="n">
        <x:f>MAX(H371-I371,0)</x:f>
        <x:v>0.4077094152571519</x:v>
      </x:c>
      <x:c r="N371" s="19" t="str">
        <x:v>王芳</x:v>
      </x:c>
      <x:c r="O371" s="19" t="str">
        <x:v>S-按销量/BOM/日型生成</x:v>
      </x:c>
    </x:row>
    <x:row r="372">
      <x:c r="A372" s="19" t="str">
        <x:v>2026-07-09|S05|鲈鱼</x:v>
      </x:c>
      <x:c r="B372" s="34" t="n">
        <x:v>46212.5</x:v>
      </x:c>
      <x:c r="C372" s="19" t="str">
        <x:v>S05</x:v>
      </x:c>
      <x:c r="D372" s="19" t="str">
        <x:v>同顺街店</x:v>
      </x:c>
      <x:c r="E372" s="19" t="str">
        <x:v>鲈鱼</x:v>
      </x:c>
      <x:c r="F372" s="32" t="n">
        <x:v>3.295160264276345</x:v>
      </x:c>
      <x:c r="G372" s="32" t="n">
        <x:v>3.227792998673244</x:v>
      </x:c>
      <x:c r="H372" s="24" t="n">
        <x:f>G372</x:f>
        <x:v>3.227792998673244</x:v>
      </x:c>
      <x:c r="I372" s="24" t="n">
        <x:f>XLOOKUP(A372,'库存与收货'!$A$5:$A$676,'库存与收货'!$H$5:$H$676,0)+XLOOKUP(A372,'库存与收货'!$A$5:$A$676,'库存与收货'!$J$5:$J$676,0)</x:f>
        <x:v>3.089185516970275</x:v>
      </x:c>
      <x:c r="J372" s="21" t="n">
        <x:f>MAX(0,1-ABS(F372-I372)/MAX(I372,0.01))</x:f>
        <x:v>0.9333239307984067</x:v>
      </x:c>
      <x:c r="K372" s="21" t="n">
        <x:f>MAX(0,1-ABS(H372-I372)/MAX(I372,0.01))</x:f>
        <x:v>0.9551313830323442</x:v>
      </x:c>
      <x:c r="L372" s="24" t="n">
        <x:f>MAX(I372-H372,0)</x:f>
        <x:v>0</x:v>
      </x:c>
      <x:c r="M372" s="24" t="n">
        <x:f>MAX(H372-I372,0)</x:f>
        <x:v>0.138607481702969</x:v>
      </x:c>
      <x:c r="N372" s="19" t="str">
        <x:v>王芳</x:v>
      </x:c>
      <x:c r="O372" s="19" t="str">
        <x:v>S-按销量/BOM/日型生成</x:v>
      </x:c>
    </x:row>
    <x:row r="373">
      <x:c r="A373" s="19" t="str">
        <x:v>2026-07-09|S05|酸包菜</x:v>
      </x:c>
      <x:c r="B373" s="34" t="n">
        <x:v>46212.5</x:v>
      </x:c>
      <x:c r="C373" s="19" t="str">
        <x:v>S05</x:v>
      </x:c>
      <x:c r="D373" s="19" t="str">
        <x:v>同顺街店</x:v>
      </x:c>
      <x:c r="E373" s="19" t="str">
        <x:v>酸包菜</x:v>
      </x:c>
      <x:c r="F373" s="32" t="n">
        <x:v>7.482507343939228</x:v>
      </x:c>
      <x:c r="G373" s="32" t="n">
        <x:v>7.330249279287441</x:v>
      </x:c>
      <x:c r="H373" s="24" t="n">
        <x:f>G373</x:f>
        <x:v>7.330249279287441</x:v>
      </x:c>
      <x:c r="I373" s="24" t="n">
        <x:f>XLOOKUP(A373,'库存与收货'!$A$5:$A$676,'库存与收货'!$H$5:$H$676,0)+XLOOKUP(A373,'库存与收货'!$A$5:$A$676,'库存与收货'!$J$5:$J$676,0)</x:f>
        <x:v>7.12742646359313</x:v>
      </x:c>
      <x:c r="J373" s="21" t="n">
        <x:f>MAX(0,1-ABS(F373-I373)/MAX(I373,0.01))</x:f>
        <x:v>0.9501810531248761</x:v>
      </x:c>
      <x:c r="K373" s="21" t="n">
        <x:f>MAX(0,1-ABS(H373-I373)/MAX(I373,0.01))</x:f>
        <x:v>0.9715433310002805</x:v>
      </x:c>
      <x:c r="L373" s="24" t="n">
        <x:f>MAX(I373-H373,0)</x:f>
        <x:v>0</x:v>
      </x:c>
      <x:c r="M373" s="24" t="n">
        <x:f>MAX(H373-I373,0)</x:f>
        <x:v>0.2028228156943115</x:v>
      </x:c>
      <x:c r="N373" s="19" t="str">
        <x:v>王芳</x:v>
      </x:c>
      <x:c r="O373" s="19" t="str">
        <x:v>S-按销量/BOM/日型生成</x:v>
      </x:c>
    </x:row>
    <x:row r="374">
      <x:c r="A374" s="19" t="str">
        <x:v>2026-07-09|S05|粉皮</x:v>
      </x:c>
      <x:c r="B374" s="34" t="n">
        <x:v>46212.5</x:v>
      </x:c>
      <x:c r="C374" s="19" t="str">
        <x:v>S05</x:v>
      </x:c>
      <x:c r="D374" s="19" t="str">
        <x:v>同顺街店</x:v>
      </x:c>
      <x:c r="E374" s="19" t="str">
        <x:v>粉皮</x:v>
      </x:c>
      <x:c r="F374" s="32" t="n">
        <x:v>6.109442177417618</x:v>
      </x:c>
      <x:c r="G374" s="32" t="n">
        <x:v>5.8796275208825</x:v>
      </x:c>
      <x:c r="H374" s="24" t="n">
        <x:f>G374</x:f>
        <x:v>5.8796275208825</x:v>
      </x:c>
      <x:c r="I374" s="24" t="n">
        <x:f>XLOOKUP(A374,'库存与收货'!$A$5:$A$676,'库存与收货'!$H$5:$H$676,0)+XLOOKUP(A374,'库存与收货'!$A$5:$A$676,'库存与收货'!$J$5:$J$676,0)</x:f>
        <x:v>5.415303094080371</x:v>
      </x:c>
      <x:c r="J374" s="21" t="n">
        <x:f>MAX(0,1-ABS(F374-I374)/MAX(I374,0.01))</x:f>
        <x:v>0.8718189783142459</x:v>
      </x:c>
      <x:c r="K374" s="21" t="n">
        <x:f>MAX(0,1-ABS(H374-I374)/MAX(I374,0.01))</x:f>
        <x:v>0.9142569827144678</x:v>
      </x:c>
      <x:c r="L374" s="24" t="n">
        <x:f>MAX(I374-H374,0)</x:f>
        <x:v>0</x:v>
      </x:c>
      <x:c r="M374" s="24" t="n">
        <x:f>MAX(H374-I374,0)</x:f>
        <x:v>0.46432442680212915</x:v>
      </x:c>
      <x:c r="N374" s="19" t="str">
        <x:v>王芳</x:v>
      </x:c>
      <x:c r="O374" s="19" t="str">
        <x:v>S-按销量/BOM/日型生成</x:v>
      </x:c>
    </x:row>
    <x:row r="375">
      <x:c r="A375" s="19" t="str">
        <x:v>2026-07-09|S05|鸡杂</x:v>
      </x:c>
      <x:c r="B375" s="34" t="n">
        <x:v>46212.5</x:v>
      </x:c>
      <x:c r="C375" s="19" t="str">
        <x:v>S05</x:v>
      </x:c>
      <x:c r="D375" s="19" t="str">
        <x:v>同顺街店</x:v>
      </x:c>
      <x:c r="E375" s="19" t="str">
        <x:v>鸡杂</x:v>
      </x:c>
      <x:c r="F375" s="32" t="n">
        <x:v>2.838615438927632</x:v>
      </x:c>
      <x:c r="G375" s="32" t="n">
        <x:v>3.010859572883054</x:v>
      </x:c>
      <x:c r="H375" s="24" t="n">
        <x:f>G375</x:f>
        <x:v>3.010859572883054</x:v>
      </x:c>
      <x:c r="I375" s="24" t="n">
        <x:f>XLOOKUP(A375,'库存与收货'!$A$5:$A$676,'库存与收货'!$H$5:$H$676,0)+XLOOKUP(A375,'库存与收货'!$A$5:$A$676,'库存与收货'!$J$5:$J$676,0)</x:f>
        <x:v>3.3203153598198702</x:v>
      </x:c>
      <x:c r="J375" s="21" t="n">
        <x:f>MAX(0,1-ABS(F375-I375)/MAX(I375,0.01))</x:f>
        <x:v>0.8549234428989989</x:v>
      </x:c>
      <x:c r="K375" s="21" t="n">
        <x:f>MAX(0,1-ABS(H375-I375)/MAX(I375,0.01))</x:f>
        <x:v>0.9067992785620205</x:v>
      </x:c>
      <x:c r="L375" s="24" t="n">
        <x:f>MAX(I375-H375,0)</x:f>
        <x:v>0.3094557869368164</x:v>
      </x:c>
      <x:c r="M375" s="24" t="n">
        <x:f>MAX(H375-I375,0)</x:f>
        <x:v>0</x:v>
      </x:c>
      <x:c r="N375" s="19" t="str">
        <x:v>王芳</x:v>
      </x:c>
      <x:c r="O375" s="19" t="str">
        <x:v>S-按销量/BOM/日型生成</x:v>
      </x:c>
    </x:row>
    <x:row r="376">
      <x:c r="A376" s="19" t="str">
        <x:v>2026-07-09|S05|豆腐</x:v>
      </x:c>
      <x:c r="B376" s="34" t="n">
        <x:v>46212.5</x:v>
      </x:c>
      <x:c r="C376" s="19" t="str">
        <x:v>S05</x:v>
      </x:c>
      <x:c r="D376" s="19" t="str">
        <x:v>同顺街店</x:v>
      </x:c>
      <x:c r="E376" s="19" t="str">
        <x:v>豆腐</x:v>
      </x:c>
      <x:c r="F376" s="32" t="n">
        <x:v>17.84807962154002</x:v>
      </x:c>
      <x:c r="G376" s="32" t="n">
        <x:v>19.418308351186184</x:v>
      </x:c>
      <x:c r="H376" s="24" t="n">
        <x:f>G376</x:f>
        <x:v>19.418308351186184</x:v>
      </x:c>
      <x:c r="I376" s="24" t="n">
        <x:f>XLOOKUP(A376,'库存与收货'!$A$5:$A$676,'库存与收货'!$H$5:$H$676,0)+XLOOKUP(A376,'库存与收货'!$A$5:$A$676,'库存与收货'!$J$5:$J$676,0)</x:f>
        <x:v>21.474143758452065</x:v>
      </x:c>
      <x:c r="J376" s="21" t="n">
        <x:f>MAX(0,1-ABS(F376-I376)/MAX(I376,0.01))</x:f>
        <x:v>0.8311427837263661</x:v>
      </x:c>
      <x:c r="K376" s="21" t="n">
        <x:f>MAX(0,1-ABS(H376-I376)/MAX(I376,0.01))</x:f>
        <x:v>0.9042646156051405</x:v>
      </x:c>
      <x:c r="L376" s="24" t="n">
        <x:f>MAX(I376-H376,0)</x:f>
        <x:v>2.0558354072658815</x:v>
      </x:c>
      <x:c r="M376" s="24" t="n">
        <x:f>MAX(H376-I376,0)</x:f>
        <x:v>0</x:v>
      </x:c>
      <x:c r="N376" s="19" t="str">
        <x:v>王芳</x:v>
      </x:c>
      <x:c r="O376" s="19" t="str">
        <x:v>S-按销量/BOM/日型生成</x:v>
      </x:c>
    </x:row>
    <x:row r="377">
      <x:c r="A377" s="19" t="str">
        <x:v>2026-07-10|S05|瘦肉片</x:v>
      </x:c>
      <x:c r="B377" s="34" t="n">
        <x:v>46213.5</x:v>
      </x:c>
      <x:c r="C377" s="19" t="str">
        <x:v>S05</x:v>
      </x:c>
      <x:c r="D377" s="19" t="str">
        <x:v>同顺街店</x:v>
      </x:c>
      <x:c r="E377" s="19" t="str">
        <x:v>瘦肉片</x:v>
      </x:c>
      <x:c r="F377" s="32" t="n">
        <x:v>12.017123244143027</x:v>
      </x:c>
      <x:c r="G377" s="32" t="n">
        <x:v>12.12133711066355</x:v>
      </x:c>
      <x:c r="H377" s="24" t="n">
        <x:f>G377</x:f>
        <x:v>12.12133711066355</x:v>
      </x:c>
      <x:c r="I377" s="24" t="n">
        <x:f>XLOOKUP(A377,'库存与收货'!$A$5:$A$676,'库存与收货'!$H$5:$H$676,0)+XLOOKUP(A377,'库存与收货'!$A$5:$A$676,'库存与收货'!$J$5:$J$676,0)</x:f>
        <x:v>12.38027717520402</x:v>
      </x:c>
      <x:c r="J377" s="21" t="n">
        <x:f>MAX(0,1-ABS(F377-I377)/MAX(I377,0.01))</x:f>
        <x:v>0.970666736622962</x:v>
      </x:c>
      <x:c r="K377" s="21" t="n">
        <x:f>MAX(0,1-ABS(H377-I377)/MAX(I377,0.01))</x:f>
        <x:v>0.9790844695255215</x:v>
      </x:c>
      <x:c r="L377" s="24" t="n">
        <x:f>MAX(I377-H377,0)</x:f>
        <x:v>0.2589400645404698</x:v>
      </x:c>
      <x:c r="M377" s="24" t="n">
        <x:f>MAX(H377-I377,0)</x:f>
        <x:v>0</x:v>
      </x:c>
      <x:c r="N377" s="19" t="str">
        <x:v>王芳</x:v>
      </x:c>
      <x:c r="O377" s="19" t="str">
        <x:v>S-按销量/BOM/日型生成</x:v>
      </x:c>
    </x:row>
    <x:row r="378">
      <x:c r="A378" s="19" t="str">
        <x:v>2026-07-10|S05|肥肉片</x:v>
      </x:c>
      <x:c r="B378" s="34" t="n">
        <x:v>46213.5</x:v>
      </x:c>
      <x:c r="C378" s="19" t="str">
        <x:v>S05</x:v>
      </x:c>
      <x:c r="D378" s="19" t="str">
        <x:v>同顺街店</x:v>
      </x:c>
      <x:c r="E378" s="19" t="str">
        <x:v>肥肉片</x:v>
      </x:c>
      <x:c r="F378" s="32" t="n">
        <x:v>3.232896410577408</x:v>
      </x:c>
      <x:c r="G378" s="32" t="n">
        <x:v>3.31868125118116</x:v>
      </x:c>
      <x:c r="H378" s="24" t="n">
        <x:f>G378</x:f>
        <x:v>3.31868125118116</x:v>
      </x:c>
      <x:c r="I378" s="24" t="n">
        <x:f>XLOOKUP(A378,'库存与收货'!$A$5:$A$676,'库存与收货'!$H$5:$H$676,0)+XLOOKUP(A378,'库存与收货'!$A$5:$A$676,'库存与收货'!$J$5:$J$676,0)</x:f>
        <x:v>3.4827567044582115</x:v>
      </x:c>
      <x:c r="J378" s="21" t="n">
        <x:f>MAX(0,1-ABS(F378-I378)/MAX(I378,0.01))</x:f>
        <x:v>0.9282578959474941</x:v>
      </x:c>
      <x:c r="K378" s="21" t="n">
        <x:f>MAX(0,1-ABS(H378-I378)/MAX(I378,0.01))</x:f>
        <x:v>0.9528892003661865</x:v>
      </x:c>
      <x:c r="L378" s="24" t="n">
        <x:f>MAX(I378-H378,0)</x:f>
        <x:v>0.16407545327705142</x:v>
      </x:c>
      <x:c r="M378" s="24" t="n">
        <x:f>MAX(H378-I378,0)</x:f>
        <x:v>0</x:v>
      </x:c>
      <x:c r="N378" s="19" t="str">
        <x:v>王芳</x:v>
      </x:c>
      <x:c r="O378" s="19" t="str">
        <x:v>S-按销量/BOM/日型生成</x:v>
      </x:c>
    </x:row>
    <x:row r="379">
      <x:c r="A379" s="19" t="str">
        <x:v>2026-07-10|S05|牛肉片</x:v>
      </x:c>
      <x:c r="B379" s="34" t="n">
        <x:v>46213.5</x:v>
      </x:c>
      <x:c r="C379" s="19" t="str">
        <x:v>S05</x:v>
      </x:c>
      <x:c r="D379" s="19" t="str">
        <x:v>同顺街店</x:v>
      </x:c>
      <x:c r="E379" s="19" t="str">
        <x:v>牛肉片</x:v>
      </x:c>
      <x:c r="F379" s="32" t="n">
        <x:v>7.895409309218667</x:v>
      </x:c>
      <x:c r="G379" s="32" t="n">
        <x:v>8.126691792459978</x:v>
      </x:c>
      <x:c r="H379" s="24" t="n">
        <x:f>G379</x:f>
        <x:v>8.126691792459978</x:v>
      </x:c>
      <x:c r="I379" s="24" t="n">
        <x:f>XLOOKUP(A379,'库存与收货'!$A$5:$A$676,'库存与收货'!$H$5:$H$676,0)+XLOOKUP(A379,'库存与收货'!$A$5:$A$676,'库存与收货'!$J$5:$J$676,0)</x:f>
        <x:v>8.794239386204685</x:v>
      </x:c>
      <x:c r="J379" s="21" t="n">
        <x:f>MAX(0,1-ABS(F379-I379)/MAX(I379,0.01))</x:f>
        <x:v>0.8977933124727089</x:v>
      </x:c>
      <x:c r="K379" s="21" t="n">
        <x:f>MAX(0,1-ABS(H379-I379)/MAX(I379,0.01))</x:f>
        <x:v>0.9240926287733453</x:v>
      </x:c>
      <x:c r="L379" s="24" t="n">
        <x:f>MAX(I379-H379,0)</x:f>
        <x:v>0.6675475937447075</x:v>
      </x:c>
      <x:c r="M379" s="24" t="n">
        <x:f>MAX(H379-I379,0)</x:f>
        <x:v>0</x:v>
      </x:c>
      <x:c r="N379" s="19" t="str">
        <x:v>王芳</x:v>
      </x:c>
      <x:c r="O379" s="19" t="str">
        <x:v>S-按销量/BOM/日型生成</x:v>
      </x:c>
    </x:row>
    <x:row r="380">
      <x:c r="A380" s="19" t="str">
        <x:v>2026-07-10|S05|螺丝椒</x:v>
      </x:c>
      <x:c r="B380" s="34" t="n">
        <x:v>46213.5</x:v>
      </x:c>
      <x:c r="C380" s="19" t="str">
        <x:v>S05</x:v>
      </x:c>
      <x:c r="D380" s="19" t="str">
        <x:v>同顺街店</x:v>
      </x:c>
      <x:c r="E380" s="19" t="str">
        <x:v>螺丝椒</x:v>
      </x:c>
      <x:c r="F380" s="32" t="n">
        <x:v>10.639022203281923</x:v>
      </x:c>
      <x:c r="G380" s="32" t="n">
        <x:v>11.232863666195202</x:v>
      </x:c>
      <x:c r="H380" s="24" t="n">
        <x:f>G380</x:f>
        <x:v>11.232863666195202</x:v>
      </x:c>
      <x:c r="I380" s="24" t="n">
        <x:f>XLOOKUP(A380,'库存与收货'!$A$5:$A$676,'库存与收货'!$H$5:$H$676,0)+XLOOKUP(A380,'库存与收货'!$A$5:$A$676,'库存与收货'!$J$5:$J$676,0)</x:f>
        <x:v>12.935885411672267</x:v>
      </x:c>
      <x:c r="J380" s="21" t="n">
        <x:f>MAX(0,1-ABS(F380-I380)/MAX(I380,0.01))</x:f>
        <x:v>0.8224425205314632</x:v>
      </x:c>
      <x:c r="K380" s="21" t="n">
        <x:f>MAX(0,1-ABS(H380-I380)/MAX(I380,0.01))</x:f>
        <x:v>0.8683490390274794</x:v>
      </x:c>
      <x:c r="L380" s="24" t="n">
        <x:f>MAX(I380-H380,0)</x:f>
        <x:v>1.7030217454770646</x:v>
      </x:c>
      <x:c r="M380" s="24" t="n">
        <x:f>MAX(H380-I380,0)</x:f>
        <x:v>0</x:v>
      </x:c>
      <x:c r="N380" s="19" t="str">
        <x:v>王芳</x:v>
      </x:c>
      <x:c r="O380" s="19" t="str">
        <x:v>S-按销量/BOM/日型生成</x:v>
      </x:c>
    </x:row>
    <x:row r="381">
      <x:c r="A381" s="19" t="str">
        <x:v>2026-07-10|S05|青湖南椒圈</x:v>
      </x:c>
      <x:c r="B381" s="34" t="n">
        <x:v>46213.5</x:v>
      </x:c>
      <x:c r="C381" s="19" t="str">
        <x:v>S05</x:v>
      </x:c>
      <x:c r="D381" s="19" t="str">
        <x:v>同顺街店</x:v>
      </x:c>
      <x:c r="E381" s="19" t="str">
        <x:v>青湖南椒圈</x:v>
      </x:c>
      <x:c r="F381" s="32" t="n">
        <x:v>1.948927981957997</x:v>
      </x:c>
      <x:c r="G381" s="32" t="n">
        <x:v>1.9091037633420602</x:v>
      </x:c>
      <x:c r="H381" s="24" t="n">
        <x:f>G381</x:f>
        <x:v>1.9091037633420602</x:v>
      </x:c>
      <x:c r="I381" s="24" t="n">
        <x:f>XLOOKUP(A381,'库存与收货'!$A$5:$A$676,'库存与收货'!$H$5:$H$676,0)+XLOOKUP(A381,'库存与收货'!$A$5:$A$676,'库存与收货'!$J$5:$J$676,0)</x:f>
        <x:v>1.8294852788931424</x:v>
      </x:c>
      <x:c r="J381" s="21" t="n">
        <x:f>MAX(0,1-ABS(F381-I381)/MAX(I381,0.01))</x:f>
        <x:v>0.9347124000160751</x:v>
      </x:c>
      <x:c r="K381" s="21" t="n">
        <x:f>MAX(0,1-ABS(H381-I381)/MAX(I381,0.01))</x:f>
        <x:v>0.9564803907593682</x:v>
      </x:c>
      <x:c r="L381" s="24" t="n">
        <x:f>MAX(I381-H381,0)</x:f>
        <x:v>0</x:v>
      </x:c>
      <x:c r="M381" s="24" t="n">
        <x:f>MAX(H381-I381,0)</x:f>
        <x:v>0.07961848444891784</x:v>
      </x:c>
      <x:c r="N381" s="19" t="str">
        <x:v>王芳</x:v>
      </x:c>
      <x:c r="O381" s="19" t="str">
        <x:v>S-按销量/BOM/日型生成</x:v>
      </x:c>
    </x:row>
    <x:row r="382">
      <x:c r="A382" s="19" t="str">
        <x:v>2026-07-10|S05|鸡蛋</x:v>
      </x:c>
      <x:c r="B382" s="34" t="n">
        <x:v>46213.5</x:v>
      </x:c>
      <x:c r="C382" s="19" t="str">
        <x:v>S05</x:v>
      </x:c>
      <x:c r="D382" s="19" t="str">
        <x:v>同顺街店</x:v>
      </x:c>
      <x:c r="E382" s="19" t="str">
        <x:v>鸡蛋</x:v>
      </x:c>
      <x:c r="F382" s="32" t="n">
        <x:v>15.183985192936982</x:v>
      </x:c>
      <x:c r="G382" s="32" t="n">
        <x:v>15.681939740981418</x:v>
      </x:c>
      <x:c r="H382" s="24" t="n">
        <x:f>G382</x:f>
        <x:v>15.681939740981418</x:v>
      </x:c>
      <x:c r="I382" s="24" t="n">
        <x:f>XLOOKUP(A382,'库存与收货'!$A$5:$A$676,'库存与收货'!$H$5:$H$676,0)+XLOOKUP(A382,'库存与收货'!$A$5:$A$676,'库存与收货'!$J$5:$J$676,0)</x:f>
        <x:v>16.567315263658486</x:v>
      </x:c>
      <x:c r="J382" s="21" t="n">
        <x:f>MAX(0,1-ABS(F382-I382)/MAX(I382,0.01))</x:f>
        <x:v>0.9165024598912577</x:v>
      </x:c>
      <x:c r="K382" s="21" t="n">
        <x:f>MAX(0,1-ABS(H382-I382)/MAX(I382,0.01))</x:f>
        <x:v>0.9465589017540339</x:v>
      </x:c>
      <x:c r="L382" s="24" t="n">
        <x:f>MAX(I382-H382,0)</x:f>
        <x:v>0.8853755226770677</x:v>
      </x:c>
      <x:c r="M382" s="24" t="n">
        <x:f>MAX(H382-I382,0)</x:f>
        <x:v>0</x:v>
      </x:c>
      <x:c r="N382" s="19" t="str">
        <x:v>王芳</x:v>
      </x:c>
      <x:c r="O382" s="19" t="str">
        <x:v>S-按销量/BOM/日型生成</x:v>
      </x:c>
    </x:row>
    <x:row r="383">
      <x:c r="A383" s="19" t="str">
        <x:v>2026-07-10|S05|鸡肉</x:v>
      </x:c>
      <x:c r="B383" s="34" t="n">
        <x:v>46213.5</x:v>
      </x:c>
      <x:c r="C383" s="19" t="str">
        <x:v>S05</x:v>
      </x:c>
      <x:c r="D383" s="19" t="str">
        <x:v>同顺街店</x:v>
      </x:c>
      <x:c r="E383" s="19" t="str">
        <x:v>鸡肉</x:v>
      </x:c>
      <x:c r="F383" s="32" t="n">
        <x:v>4.956248710472872</x:v>
      </x:c>
      <x:c r="G383" s="32" t="n">
        <x:v>4.991848051312271</x:v>
      </x:c>
      <x:c r="H383" s="24" t="n">
        <x:f>G383</x:f>
        <x:v>4.991848051312271</x:v>
      </x:c>
      <x:c r="I383" s="24" t="n">
        <x:f>XLOOKUP(A383,'库存与收货'!$A$5:$A$676,'库存与收货'!$H$5:$H$676,0)+XLOOKUP(A383,'库存与收货'!$A$5:$A$676,'库存与收货'!$J$5:$J$676,0)</x:f>
        <x:v>5.07232577567363</x:v>
      </x:c>
      <x:c r="J383" s="21" t="n">
        <x:f>MAX(0,1-ABS(F383-I383)/MAX(I383,0.01))</x:f>
        <x:v>0.9771156131655714</x:v>
      </x:c>
      <x:c r="K383" s="21" t="n">
        <x:f>MAX(0,1-ABS(H383-I383)/MAX(I383,0.01))</x:f>
        <x:v>0.9841339598597308</x:v>
      </x:c>
      <x:c r="L383" s="24" t="n">
        <x:f>MAX(I383-H383,0)</x:f>
        <x:v>0.08047772436135947</x:v>
      </x:c>
      <x:c r="M383" s="24" t="n">
        <x:f>MAX(H383-I383,0)</x:f>
        <x:v>0</x:v>
      </x:c>
      <x:c r="N383" s="19" t="str">
        <x:v>王芳</x:v>
      </x:c>
      <x:c r="O383" s="19" t="str">
        <x:v>S-按销量/BOM/日型生成</x:v>
      </x:c>
    </x:row>
    <x:row r="384">
      <x:c r="A384" s="19" t="str">
        <x:v>2026-07-10|S05|鲈鱼</x:v>
      </x:c>
      <x:c r="B384" s="34" t="n">
        <x:v>46213.5</x:v>
      </x:c>
      <x:c r="C384" s="19" t="str">
        <x:v>S05</x:v>
      </x:c>
      <x:c r="D384" s="19" t="str">
        <x:v>同顺街店</x:v>
      </x:c>
      <x:c r="E384" s="19" t="str">
        <x:v>鲈鱼</x:v>
      </x:c>
      <x:c r="F384" s="32" t="n">
        <x:v>3.443185133091887</x:v>
      </x:c>
      <x:c r="G384" s="32" t="n">
        <x:v>3.4986764925080838</x:v>
      </x:c>
      <x:c r="H384" s="24" t="n">
        <x:f>G384</x:f>
        <x:v>3.4986764925080838</x:v>
      </x:c>
      <x:c r="I384" s="24" t="n">
        <x:f>XLOOKUP(A384,'库存与收货'!$A$5:$A$676,'库存与收货'!$H$5:$H$676,0)+XLOOKUP(A384,'库存与收货'!$A$5:$A$676,'库存与收货'!$J$5:$J$676,0)</x:f>
        <x:v>3.6171896082767496</x:v>
      </x:c>
      <x:c r="J384" s="21" t="n">
        <x:f>MAX(0,1-ABS(F384-I384)/MAX(I384,0.01))</x:f>
        <x:v>0.9518951191315184</x:v>
      </x:c>
      <x:c r="K384" s="21" t="n">
        <x:f>MAX(0,1-ABS(H384-I384)/MAX(I384,0.01))</x:f>
        <x:v>0.9672361339595006</x:v>
      </x:c>
      <x:c r="L384" s="24" t="n">
        <x:f>MAX(I384-H384,0)</x:f>
        <x:v>0.11851311576866586</x:v>
      </x:c>
      <x:c r="M384" s="24" t="n">
        <x:f>MAX(H384-I384,0)</x:f>
        <x:v>0</x:v>
      </x:c>
      <x:c r="N384" s="19" t="str">
        <x:v>王芳</x:v>
      </x:c>
      <x:c r="O384" s="19" t="str">
        <x:v>S-按销量/BOM/日型生成</x:v>
      </x:c>
    </x:row>
    <x:row r="385">
      <x:c r="A385" s="19" t="str">
        <x:v>2026-07-10|S05|酸包菜</x:v>
      </x:c>
      <x:c r="B385" s="34" t="n">
        <x:v>46213.5</x:v>
      </x:c>
      <x:c r="C385" s="19" t="str">
        <x:v>S05</x:v>
      </x:c>
      <x:c r="D385" s="19" t="str">
        <x:v>同顺街店</x:v>
      </x:c>
      <x:c r="E385" s="19" t="str">
        <x:v>酸包菜</x:v>
      </x:c>
      <x:c r="F385" s="32" t="n">
        <x:v>5.923259721053315</x:v>
      </x:c>
      <x:c r="G385" s="32" t="n">
        <x:v>6.41237383256213</x:v>
      </x:c>
      <x:c r="H385" s="24" t="n">
        <x:f>G385</x:f>
        <x:v>6.41237383256213</x:v>
      </x:c>
      <x:c r="I385" s="24" t="n">
        <x:f>XLOOKUP(A385,'库存与收货'!$A$5:$A$676,'库存与收货'!$H$5:$H$676,0)+XLOOKUP(A385,'库存与收货'!$A$5:$A$676,'库存与收货'!$J$5:$J$676,0)</x:f>
        <x:v>7.141886437437936</x:v>
      </x:c>
      <x:c r="J385" s="21" t="n">
        <x:f>MAX(0,1-ABS(F385-I385)/MAX(I385,0.01))</x:f>
        <x:v>0.8293690711747317</x:v>
      </x:c>
      <x:c r="K385" s="21" t="n">
        <x:f>MAX(0,1-ABS(H385-I385)/MAX(I385,0.01))</x:f>
        <x:v>0.89785435385087</x:v>
      </x:c>
      <x:c r="L385" s="24" t="n">
        <x:f>MAX(I385-H385,0)</x:f>
        <x:v>0.729512604875806</x:v>
      </x:c>
      <x:c r="M385" s="24" t="n">
        <x:f>MAX(H385-I385,0)</x:f>
        <x:v>0</x:v>
      </x:c>
      <x:c r="N385" s="19" t="str">
        <x:v>王芳</x:v>
      </x:c>
      <x:c r="O385" s="19" t="str">
        <x:v>S-按销量/BOM/日型生成</x:v>
      </x:c>
    </x:row>
    <x:row r="386">
      <x:c r="A386" s="19" t="str">
        <x:v>2026-07-10|S05|粉皮</x:v>
      </x:c>
      <x:c r="B386" s="34" t="n">
        <x:v>46213.5</x:v>
      </x:c>
      <x:c r="C386" s="19" t="str">
        <x:v>S05</x:v>
      </x:c>
      <x:c r="D386" s="19" t="str">
        <x:v>同顺街店</x:v>
      </x:c>
      <x:c r="E386" s="19" t="str">
        <x:v>粉皮</x:v>
      </x:c>
      <x:c r="F386" s="32" t="n">
        <x:v>4.829724224636558</x:v>
      </x:c>
      <x:c r="G386" s="32" t="n">
        <x:v>5.04348802327273</x:v>
      </x:c>
      <x:c r="H386" s="24" t="n">
        <x:f>G386</x:f>
        <x:v>5.04348802327273</x:v>
      </x:c>
      <x:c r="I386" s="24" t="n">
        <x:f>XLOOKUP(A386,'库存与收货'!$A$5:$A$676,'库存与收货'!$H$5:$H$676,0)+XLOOKUP(A386,'库存与收货'!$A$5:$A$676,'库存与收货'!$J$5:$J$676,0)</x:f>
        <x:v>5.373992350633254</x:v>
      </x:c>
      <x:c r="J386" s="21" t="n">
        <x:f>MAX(0,1-ABS(F386-I386)/MAX(I386,0.01))</x:f>
        <x:v>0.8987218271844839</x:v>
      </x:c>
      <x:c r="K386" s="21" t="n">
        <x:f>MAX(0,1-ABS(H386-I386)/MAX(I386,0.01))</x:f>
        <x:v>0.93849929330071</x:v>
      </x:c>
      <x:c r="L386" s="24" t="n">
        <x:f>MAX(I386-H386,0)</x:f>
        <x:v>0.33050432736052393</x:v>
      </x:c>
      <x:c r="M386" s="24" t="n">
        <x:f>MAX(H386-I386,0)</x:f>
        <x:v>0</x:v>
      </x:c>
      <x:c r="N386" s="19" t="str">
        <x:v>王芳</x:v>
      </x:c>
      <x:c r="O386" s="19" t="str">
        <x:v>S-按销量/BOM/日型生成</x:v>
      </x:c>
    </x:row>
    <x:row r="387">
      <x:c r="A387" s="19" t="str">
        <x:v>2026-07-10|S05|鸡杂</x:v>
      </x:c>
      <x:c r="B387" s="34" t="n">
        <x:v>46213.5</x:v>
      </x:c>
      <x:c r="C387" s="19" t="str">
        <x:v>S05</x:v>
      </x:c>
      <x:c r="D387" s="19" t="str">
        <x:v>同顺街店</x:v>
      </x:c>
      <x:c r="E387" s="19" t="str">
        <x:v>鸡杂</x:v>
      </x:c>
      <x:c r="F387" s="32" t="n">
        <x:v>3.4812163327242</x:v>
      </x:c>
      <x:c r="G387" s="32" t="n">
        <x:v>3.436118080631044</x:v>
      </x:c>
      <x:c r="H387" s="24" t="n">
        <x:f>G387</x:f>
        <x:v>3.436118080631044</x:v>
      </x:c>
      <x:c r="I387" s="24" t="n">
        <x:f>XLOOKUP(A387,'库存与收货'!$A$5:$A$676,'库存与收货'!$H$5:$H$676,0)+XLOOKUP(A387,'库存与收货'!$A$5:$A$676,'库存与收货'!$J$5:$J$676,0)</x:f>
        <x:v>3.349015021585863</x:v>
      </x:c>
      <x:c r="J387" s="21" t="n">
        <x:f>MAX(0,1-ABS(F387-I387)/MAX(I387,0.01))</x:f>
        <x:v>0.9605253155670422</x:v>
      </x:c>
      <x:c r="K387" s="21" t="n">
        <x:f>MAX(0,1-ABS(H387-I387)/MAX(I387,0.01))</x:f>
        <x:v>0.9739914397266767</x:v>
      </x:c>
      <x:c r="L387" s="24" t="n">
        <x:f>MAX(I387-H387,0)</x:f>
        <x:v>0</x:v>
      </x:c>
      <x:c r="M387" s="24" t="n">
        <x:f>MAX(H387-I387,0)</x:f>
        <x:v>0.08710305904518112</x:v>
      </x:c>
      <x:c r="N387" s="19" t="str">
        <x:v>王芳</x:v>
      </x:c>
      <x:c r="O387" s="19" t="str">
        <x:v>S-按销量/BOM/日型生成</x:v>
      </x:c>
    </x:row>
    <x:row r="388">
      <x:c r="A388" s="19" t="str">
        <x:v>2026-07-10|S05|豆腐</x:v>
      </x:c>
      <x:c r="B388" s="34" t="n">
        <x:v>46213.5</x:v>
      </x:c>
      <x:c r="C388" s="19" t="str">
        <x:v>S05</x:v>
      </x:c>
      <x:c r="D388" s="19" t="str">
        <x:v>同顺街店</x:v>
      </x:c>
      <x:c r="E388" s="19" t="str">
        <x:v>豆腐</x:v>
      </x:c>
      <x:c r="F388" s="32" t="n">
        <x:v>23.163138835142597</x:v>
      </x:c>
      <x:c r="G388" s="32" t="n">
        <x:v>22.50630366587755</x:v>
      </x:c>
      <x:c r="H388" s="24" t="n">
        <x:f>G388</x:f>
        <x:v>22.50630366587755</x:v>
      </x:c>
      <x:c r="I388" s="24" t="n">
        <x:f>XLOOKUP(A388,'库存与收货'!$A$5:$A$676,'库存与收货'!$H$5:$H$676,0)+XLOOKUP(A388,'库存与收货'!$A$5:$A$676,'库存与收货'!$J$5:$J$676,0)</x:f>
        <x:v>21.081273225823246</x:v>
      </x:c>
      <x:c r="J388" s="21" t="n">
        <x:f>MAX(0,1-ABS(F388-I388)/MAX(I388,0.01))</x:f>
        <x:v>0.9012457365824946</x:v>
      </x:c>
      <x:c r="K388" s="21" t="n">
        <x:f>MAX(0,1-ABS(H388-I388)/MAX(I388,0.01))</x:f>
        <x:v>0.9324030183191815</x:v>
      </x:c>
      <x:c r="L388" s="24" t="n">
        <x:f>MAX(I388-H388,0)</x:f>
        <x:v>0</x:v>
      </x:c>
      <x:c r="M388" s="24" t="n">
        <x:f>MAX(H388-I388,0)</x:f>
        <x:v>1.4250304400543037</x:v>
      </x:c>
      <x:c r="N388" s="19" t="str">
        <x:v>王芳</x:v>
      </x:c>
      <x:c r="O388" s="19" t="str">
        <x:v>S-按销量/BOM/日型生成</x:v>
      </x:c>
    </x:row>
    <x:row r="389">
      <x:c r="A389" s="19" t="str">
        <x:v>2026-07-11|S05|瘦肉片</x:v>
      </x:c>
      <x:c r="B389" s="34" t="n">
        <x:v>46214.5</x:v>
      </x:c>
      <x:c r="C389" s="19" t="str">
        <x:v>S05</x:v>
      </x:c>
      <x:c r="D389" s="19" t="str">
        <x:v>同顺街店</x:v>
      </x:c>
      <x:c r="E389" s="19" t="str">
        <x:v>瘦肉片</x:v>
      </x:c>
      <x:c r="F389" s="32" t="n">
        <x:v>8.04164067619827</x:v>
      </x:c>
      <x:c r="G389" s="32" t="n">
        <x:v>8.344675909483051</x:v>
      </x:c>
      <x:c r="H389" s="24" t="n">
        <x:f>G389</x:f>
        <x:v>8.344675909483051</x:v>
      </x:c>
      <x:c r="I389" s="24" t="n">
        <x:f>XLOOKUP(A389,'库存与收货'!$A$5:$A$676,'库存与收货'!$H$5:$H$676,0)+XLOOKUP(A389,'库存与收货'!$A$5:$A$676,'库存与收货'!$J$5:$J$676,0)</x:f>
        <x:v>9.10597625765623</x:v>
      </x:c>
      <x:c r="J389" s="21" t="n">
        <x:f>MAX(0,1-ABS(F389-I389)/MAX(I389,0.01))</x:f>
        <x:v>0.8831168068812967</x:v>
      </x:c>
      <x:c r="K389" s="21" t="n">
        <x:f>MAX(0,1-ABS(H389-I389)/MAX(I389,0.01))</x:f>
        <x:v>0.9163955267802193</x:v>
      </x:c>
      <x:c r="L389" s="24" t="n">
        <x:f>MAX(I389-H389,0)</x:f>
        <x:v>0.7613003481731795</x:v>
      </x:c>
      <x:c r="M389" s="24" t="n">
        <x:f>MAX(H389-I389,0)</x:f>
        <x:v>0</x:v>
      </x:c>
      <x:c r="N389" s="19" t="str">
        <x:v>王芳</x:v>
      </x:c>
      <x:c r="O389" s="19" t="str">
        <x:v>S-按销量/BOM/日型生成</x:v>
      </x:c>
    </x:row>
    <x:row r="390">
      <x:c r="A390" s="19" t="str">
        <x:v>2026-07-11|S05|肥肉片</x:v>
      </x:c>
      <x:c r="B390" s="34" t="n">
        <x:v>46214.5</x:v>
      </x:c>
      <x:c r="C390" s="19" t="str">
        <x:v>S05</x:v>
      </x:c>
      <x:c r="D390" s="19" t="str">
        <x:v>同顺街店</x:v>
      </x:c>
      <x:c r="E390" s="19" t="str">
        <x:v>肥肉片</x:v>
      </x:c>
      <x:c r="F390" s="32" t="n">
        <x:v>2.9630332442183973</x:v>
      </x:c>
      <x:c r="G390" s="32" t="n">
        <x:v>2.855600685100447</x:v>
      </x:c>
      <x:c r="H390" s="24" t="n">
        <x:f>G390</x:f>
        <x:v>2.855600685100447</x:v>
      </x:c>
      <x:c r="I390" s="24" t="n">
        <x:f>XLOOKUP(A390,'库存与收货'!$A$5:$A$676,'库存与收货'!$H$5:$H$676,0)+XLOOKUP(A390,'库存与收货'!$A$5:$A$676,'库存与收货'!$J$5:$J$676,0)</x:f>
        <x:v>2.596677426693304</x:v>
      </x:c>
      <x:c r="J390" s="21" t="n">
        <x:f>MAX(0,1-ABS(F390-I390)/MAX(I390,0.01))</x:f>
        <x:v>0.8589136202444586</x:v>
      </x:c>
      <x:c r="K390" s="21" t="n">
        <x:f>MAX(0,1-ABS(H390-I390)/MAX(I390,0.01))</x:f>
        <x:v>0.9002867064867335</x:v>
      </x:c>
      <x:c r="L390" s="24" t="n">
        <x:f>MAX(I390-H390,0)</x:f>
        <x:v>0</x:v>
      </x:c>
      <x:c r="M390" s="24" t="n">
        <x:f>MAX(H390-I390,0)</x:f>
        <x:v>0.25892325840714303</x:v>
      </x:c>
      <x:c r="N390" s="19" t="str">
        <x:v>王芳</x:v>
      </x:c>
      <x:c r="O390" s="19" t="str">
        <x:v>S-按销量/BOM/日型生成</x:v>
      </x:c>
    </x:row>
    <x:row r="391">
      <x:c r="A391" s="19" t="str">
        <x:v>2026-07-11|S05|牛肉片</x:v>
      </x:c>
      <x:c r="B391" s="34" t="n">
        <x:v>46214.5</x:v>
      </x:c>
      <x:c r="C391" s="19" t="str">
        <x:v>S05</x:v>
      </x:c>
      <x:c r="D391" s="19" t="str">
        <x:v>同顺街店</x:v>
      </x:c>
      <x:c r="E391" s="19" t="str">
        <x:v>牛肉片</x:v>
      </x:c>
      <x:c r="F391" s="32" t="n">
        <x:v>6.830886262096031</x:v>
      </x:c>
      <x:c r="G391" s="32" t="n">
        <x:v>6.651997552937995</x:v>
      </x:c>
      <x:c r="H391" s="24" t="n">
        <x:f>G391</x:f>
        <x:v>6.651997552937995</x:v>
      </x:c>
      <x:c r="I391" s="24" t="n">
        <x:f>XLOOKUP(A391,'库存与收货'!$A$5:$A$676,'库存与收货'!$H$5:$H$676,0)+XLOOKUP(A391,'库存与收货'!$A$5:$A$676,'库存与收货'!$J$5:$J$676,0)</x:f>
        <x:v>6.391091525143674</x:v>
      </x:c>
      <x:c r="J391" s="21" t="n">
        <x:f>MAX(0,1-ABS(F391-I391)/MAX(I391,0.01))</x:f>
        <x:v>0.9311862871589106</x:v>
      </x:c>
      <x:c r="K391" s="21" t="n">
        <x:f>MAX(0,1-ABS(H391-I391)/MAX(I391,0.01))</x:f>
        <x:v>0.9591766090709434</x:v>
      </x:c>
      <x:c r="L391" s="24" t="n">
        <x:f>MAX(I391-H391,0)</x:f>
        <x:v>0</x:v>
      </x:c>
      <x:c r="M391" s="24" t="n">
        <x:f>MAX(H391-I391,0)</x:f>
        <x:v>0.2609060277943209</x:v>
      </x:c>
      <x:c r="N391" s="19" t="str">
        <x:v>王芳</x:v>
      </x:c>
      <x:c r="O391" s="19" t="str">
        <x:v>S-按销量/BOM/日型生成</x:v>
      </x:c>
    </x:row>
    <x:row r="392">
      <x:c r="A392" s="19" t="str">
        <x:v>2026-07-11|S05|螺丝椒</x:v>
      </x:c>
      <x:c r="B392" s="34" t="n">
        <x:v>46214.5</x:v>
      </x:c>
      <x:c r="C392" s="19" t="str">
        <x:v>S05</x:v>
      </x:c>
      <x:c r="D392" s="19" t="str">
        <x:v>同顺街店</x:v>
      </x:c>
      <x:c r="E392" s="19" t="str">
        <x:v>螺丝椒</x:v>
      </x:c>
      <x:c r="F392" s="32" t="n">
        <x:v>9.496158236963113</x:v>
      </x:c>
      <x:c r="G392" s="32" t="n">
        <x:v>9.407282352752395</x:v>
      </x:c>
      <x:c r="H392" s="24" t="n">
        <x:f>G392</x:f>
        <x:v>9.407282352752395</x:v>
      </x:c>
      <x:c r="I392" s="24" t="n">
        <x:f>XLOOKUP(A392,'库存与收货'!$A$5:$A$676,'库存与收货'!$H$5:$H$676,0)+XLOOKUP(A392,'库存与收货'!$A$5:$A$676,'库存与收货'!$J$5:$J$676,0)</x:f>
        <x:v>9.224403350776853</x:v>
      </x:c>
      <x:c r="J392" s="21" t="n">
        <x:f>MAX(0,1-ABS(F392-I392)/MAX(I392,0.01))</x:f>
        <x:v>0.9705395703275081</x:v>
      </x:c>
      <x:c r="K392" s="21" t="n">
        <x:f>MAX(0,1-ABS(H392-I392)/MAX(I392,0.01))</x:f>
        <x:v>0.9801744356766294</x:v>
      </x:c>
      <x:c r="L392" s="24" t="n">
        <x:f>MAX(I392-H392,0)</x:f>
        <x:v>0</x:v>
      </x:c>
      <x:c r="M392" s="24" t="n">
        <x:f>MAX(H392-I392,0)</x:f>
        <x:v>0.1828790019755413</x:v>
      </x:c>
      <x:c r="N392" s="19" t="str">
        <x:v>王芳</x:v>
      </x:c>
      <x:c r="O392" s="19" t="str">
        <x:v>S-按销量/BOM/日型生成</x:v>
      </x:c>
    </x:row>
    <x:row r="393">
      <x:c r="A393" s="19" t="str">
        <x:v>2026-07-11|S05|青湖南椒圈</x:v>
      </x:c>
      <x:c r="B393" s="34" t="n">
        <x:v>46214.5</x:v>
      </x:c>
      <x:c r="C393" s="19" t="str">
        <x:v>S05</x:v>
      </x:c>
      <x:c r="D393" s="19" t="str">
        <x:v>同顺街店</x:v>
      </x:c>
      <x:c r="E393" s="19" t="str">
        <x:v>青湖南椒圈</x:v>
      </x:c>
      <x:c r="F393" s="32" t="n">
        <x:v>1.6752885315073436</x:v>
      </x:c>
      <x:c r="G393" s="32" t="n">
        <x:v>1.600324607154526</x:v>
      </x:c>
      <x:c r="H393" s="24" t="n">
        <x:f>G393</x:f>
        <x:v>1.600324607154526</x:v>
      </x:c>
      <x:c r="I393" s="24" t="n">
        <x:f>XLOOKUP(A393,'库存与收货'!$A$5:$A$676,'库存与收货'!$H$5:$H$676,0)+XLOOKUP(A393,'库存与收货'!$A$5:$A$676,'库存与收货'!$J$5:$J$676,0)</x:f>
        <x:v>1.4537377017570514</x:v>
      </x:c>
      <x:c r="J393" s="21" t="n">
        <x:f>MAX(0,1-ABS(F393-I393)/MAX(I393,0.01))</x:f>
        <x:v>0.8475991717883384</x:v>
      </x:c>
      <x:c r="K393" s="21" t="n">
        <x:f>MAX(0,1-ABS(H393-I393)/MAX(I393,0.01))</x:f>
        <x:v>0.8991655061155095</x:v>
      </x:c>
      <x:c r="L393" s="24" t="n">
        <x:f>MAX(I393-H393,0)</x:f>
        <x:v>0</x:v>
      </x:c>
      <x:c r="M393" s="24" t="n">
        <x:f>MAX(H393-I393,0)</x:f>
        <x:v>0.14658690539747465</x:v>
      </x:c>
      <x:c r="N393" s="19" t="str">
        <x:v>王芳</x:v>
      </x:c>
      <x:c r="O393" s="19" t="str">
        <x:v>S-按销量/BOM/日型生成</x:v>
      </x:c>
    </x:row>
    <x:row r="394">
      <x:c r="A394" s="19" t="str">
        <x:v>2026-07-11|S05|鸡蛋</x:v>
      </x:c>
      <x:c r="B394" s="34" t="n">
        <x:v>46214.5</x:v>
      </x:c>
      <x:c r="C394" s="19" t="str">
        <x:v>S05</x:v>
      </x:c>
      <x:c r="D394" s="19" t="str">
        <x:v>同顺街店</x:v>
      </x:c>
      <x:c r="E394" s="19" t="str">
        <x:v>鸡蛋</x:v>
      </x:c>
      <x:c r="F394" s="32" t="n">
        <x:v>14.047366687558773</x:v>
      </x:c>
      <x:c r="G394" s="32" t="n">
        <x:v>13.460873388620143</x:v>
      </x:c>
      <x:c r="H394" s="24" t="n">
        <x:f>G394</x:f>
        <x:v>13.460873388620143</x:v>
      </x:c>
      <x:c r="I394" s="24" t="n">
        <x:f>XLOOKUP(A394,'库存与收货'!$A$5:$A$676,'库存与收货'!$H$5:$H$676,0)+XLOOKUP(A394,'库存与收货'!$A$5:$A$676,'库存与收货'!$J$5:$J$676,0)</x:f>
        <x:v>12.611528569529538</x:v>
      </x:c>
      <x:c r="J394" s="21" t="n">
        <x:f>MAX(0,1-ABS(F394-I394)/MAX(I394,0.01))</x:f>
        <x:v>0.8861487637986775</x:v>
      </x:c>
      <x:c r="K394" s="21" t="n">
        <x:f>MAX(0,1-ABS(H394-I394)/MAX(I394,0.01))</x:f>
        <x:v>0.9326533009533284</x:v>
      </x:c>
      <x:c r="L394" s="24" t="n">
        <x:f>MAX(I394-H394,0)</x:f>
        <x:v>0</x:v>
      </x:c>
      <x:c r="M394" s="24" t="n">
        <x:f>MAX(H394-I394,0)</x:f>
        <x:v>0.8493448190906054</x:v>
      </x:c>
      <x:c r="N394" s="19" t="str">
        <x:v>王芳</x:v>
      </x:c>
      <x:c r="O394" s="19" t="str">
        <x:v>S-按销量/BOM/日型生成</x:v>
      </x:c>
    </x:row>
    <x:row r="395">
      <x:c r="A395" s="19" t="str">
        <x:v>2026-07-11|S05|鸡肉</x:v>
      </x:c>
      <x:c r="B395" s="34" t="n">
        <x:v>46214.5</x:v>
      </x:c>
      <x:c r="C395" s="19" t="str">
        <x:v>S05</x:v>
      </x:c>
      <x:c r="D395" s="19" t="str">
        <x:v>同顺街店</x:v>
      </x:c>
      <x:c r="E395" s="19" t="str">
        <x:v>鸡肉</x:v>
      </x:c>
      <x:c r="F395" s="32" t="n">
        <x:v>4.049811773730713</x:v>
      </x:c>
      <x:c r="G395" s="32" t="n">
        <x:v>4.087647961168332</x:v>
      </x:c>
      <x:c r="H395" s="24" t="n">
        <x:f>G395</x:f>
        <x:v>4.087647961168332</x:v>
      </x:c>
      <x:c r="I395" s="24" t="n">
        <x:f>XLOOKUP(A395,'库存与收货'!$A$5:$A$676,'库存与收货'!$H$5:$H$676,0)+XLOOKUP(A395,'库存与收货'!$A$5:$A$676,'库存与收货'!$J$5:$J$676,0)</x:f>
        <x:v>4.135833440422042</x:v>
      </x:c>
      <x:c r="J395" s="21" t="n">
        <x:f>MAX(0,1-ABS(F395-I395)/MAX(I395,0.01))</x:f>
        <x:v>0.9792008870931344</x:v>
      </x:c>
      <x:c r="K395" s="21" t="n">
        <x:f>MAX(0,1-ABS(H395-I395)/MAX(I395,0.01))</x:f>
        <x:v>0.9883492698756281</x:v>
      </x:c>
      <x:c r="L395" s="24" t="n">
        <x:f>MAX(I395-H395,0)</x:f>
        <x:v>0.04818547925370975</x:v>
      </x:c>
      <x:c r="M395" s="24" t="n">
        <x:f>MAX(H395-I395,0)</x:f>
        <x:v>0</x:v>
      </x:c>
      <x:c r="N395" s="19" t="str">
        <x:v>王芳</x:v>
      </x:c>
      <x:c r="O395" s="19" t="str">
        <x:v>S-按销量/BOM/日型生成</x:v>
      </x:c>
    </x:row>
    <x:row r="396">
      <x:c r="A396" s="19" t="str">
        <x:v>2026-07-11|S05|鲈鱼</x:v>
      </x:c>
      <x:c r="B396" s="34" t="n">
        <x:v>46214.5</x:v>
      </x:c>
      <x:c r="C396" s="19" t="str">
        <x:v>S05</x:v>
      </x:c>
      <x:c r="D396" s="19" t="str">
        <x:v>同顺街店</x:v>
      </x:c>
      <x:c r="E396" s="19" t="str">
        <x:v>鲈鱼</x:v>
      </x:c>
      <x:c r="F396" s="32" t="n">
        <x:v>2.925545931658375</x:v>
      </x:c>
      <x:c r="G396" s="32" t="n">
        <x:v>2.768925254231198</x:v>
      </x:c>
      <x:c r="H396" s="24" t="n">
        <x:f>G396</x:f>
        <x:v>2.768925254231198</x:v>
      </x:c>
      <x:c r="I396" s="24" t="n">
        <x:f>XLOOKUP(A396,'库存与收货'!$A$5:$A$676,'库存与收货'!$H$5:$H$676,0)+XLOOKUP(A396,'库存与收货'!$A$5:$A$676,'库存与收货'!$J$5:$J$676,0)</x:f>
        <x:v>2.5607973513975266</x:v>
      </x:c>
      <x:c r="J396" s="21" t="n">
        <x:f>MAX(0,1-ABS(F396-I396)/MAX(I396,0.01))</x:f>
        <x:v>0.857564449579819</x:v>
      </x:c>
      <x:c r="K396" s="21" t="n">
        <x:f>MAX(0,1-ABS(H396-I396)/MAX(I396,0.01))</x:f>
        <x:v>0.9187253521954448</x:v>
      </x:c>
      <x:c r="L396" s="24" t="n">
        <x:f>MAX(I396-H396,0)</x:f>
        <x:v>0</x:v>
      </x:c>
      <x:c r="M396" s="24" t="n">
        <x:f>MAX(H396-I396,0)</x:f>
        <x:v>0.20812790283367155</x:v>
      </x:c>
      <x:c r="N396" s="19" t="str">
        <x:v>王芳</x:v>
      </x:c>
      <x:c r="O396" s="19" t="str">
        <x:v>S-按销量/BOM/日型生成</x:v>
      </x:c>
    </x:row>
    <x:row r="397">
      <x:c r="A397" s="19" t="str">
        <x:v>2026-07-11|S05|酸包菜</x:v>
      </x:c>
      <x:c r="B397" s="34" t="n">
        <x:v>46214.5</x:v>
      </x:c>
      <x:c r="C397" s="19" t="str">
        <x:v>S05</x:v>
      </x:c>
      <x:c r="D397" s="19" t="str">
        <x:v>同顺街店</x:v>
      </x:c>
      <x:c r="E397" s="19" t="str">
        <x:v>酸包菜</x:v>
      </x:c>
      <x:c r="F397" s="32" t="n">
        <x:v>5.008176225026958</x:v>
      </x:c>
      <x:c r="G397" s="32" t="n">
        <x:v>5.326956508113541</x:v>
      </x:c>
      <x:c r="H397" s="24" t="n">
        <x:f>G397</x:f>
        <x:v>5.326956508113541</x:v>
      </x:c>
      <x:c r="I397" s="24" t="n">
        <x:f>XLOOKUP(A397,'库存与收货'!$A$5:$A$676,'库存与收货'!$H$5:$H$676,0)+XLOOKUP(A397,'库存与收货'!$A$5:$A$676,'库存与收货'!$J$5:$J$676,0)</x:f>
        <x:v>5.7438779312194965</x:v>
      </x:c>
      <x:c r="J397" s="21" t="n">
        <x:f>MAX(0,1-ABS(F397-I397)/MAX(I397,0.01))</x:f>
        <x:v>0.8719155046464679</x:v>
      </x:c>
      <x:c r="K397" s="21" t="n">
        <x:f>MAX(0,1-ABS(H397-I397)/MAX(I397,0.01))</x:f>
        <x:v>0.927414644235408</x:v>
      </x:c>
      <x:c r="L397" s="24" t="n">
        <x:f>MAX(I397-H397,0)</x:f>
        <x:v>0.4169214231059559</x:v>
      </x:c>
      <x:c r="M397" s="24" t="n">
        <x:f>MAX(H397-I397,0)</x:f>
        <x:v>0</x:v>
      </x:c>
      <x:c r="N397" s="19" t="str">
        <x:v>王芳</x:v>
      </x:c>
      <x:c r="O397" s="19" t="str">
        <x:v>S-按销量/BOM/日型生成</x:v>
      </x:c>
    </x:row>
    <x:row r="398">
      <x:c r="A398" s="19" t="str">
        <x:v>2026-07-11|S05|粉皮</x:v>
      </x:c>
      <x:c r="B398" s="34" t="n">
        <x:v>46214.5</x:v>
      </x:c>
      <x:c r="C398" s="19" t="str">
        <x:v>S05</x:v>
      </x:c>
      <x:c r="D398" s="19" t="str">
        <x:v>同顺街店</x:v>
      </x:c>
      <x:c r="E398" s="19" t="str">
        <x:v>粉皮</x:v>
      </x:c>
      <x:c r="F398" s="32" t="n">
        <x:v>3.5721283056390525</x:v>
      </x:c>
      <x:c r="G398" s="32" t="n">
        <x:v>3.8482623883931457</x:v>
      </x:c>
      <x:c r="H398" s="24" t="n">
        <x:f>G398</x:f>
        <x:v>3.8482623883931457</x:v>
      </x:c>
      <x:c r="I398" s="24" t="n">
        <x:f>XLOOKUP(A398,'库存与收货'!$A$5:$A$676,'库存与收货'!$H$5:$H$676,0)+XLOOKUP(A398,'库存与收货'!$A$5:$A$676,'库存与收货'!$J$5:$J$676,0)</x:f>
        <x:v>4.352495248601189</x:v>
      </x:c>
      <x:c r="J398" s="21" t="n">
        <x:f>MAX(0,1-ABS(F398-I398)/MAX(I398,0.01))</x:f>
        <x:v>0.8207081459278027</x:v>
      </x:c>
      <x:c r="K398" s="21" t="n">
        <x:f>MAX(0,1-ABS(H398-I398)/MAX(I398,0.01))</x:f>
        <x:v>0.8841508533822997</x:v>
      </x:c>
      <x:c r="L398" s="24" t="n">
        <x:f>MAX(I398-H398,0)</x:f>
        <x:v>0.504232860208043</x:v>
      </x:c>
      <x:c r="M398" s="24" t="n">
        <x:f>MAX(H398-I398,0)</x:f>
        <x:v>0</x:v>
      </x:c>
      <x:c r="N398" s="19" t="str">
        <x:v>王芳</x:v>
      </x:c>
      <x:c r="O398" s="19" t="str">
        <x:v>S-按销量/BOM/日型生成</x:v>
      </x:c>
    </x:row>
    <x:row r="399">
      <x:c r="A399" s="19" t="str">
        <x:v>2026-07-11|S05|鸡杂</x:v>
      </x:c>
      <x:c r="B399" s="34" t="n">
        <x:v>46214.5</x:v>
      </x:c>
      <x:c r="C399" s="19" t="str">
        <x:v>S05</x:v>
      </x:c>
      <x:c r="D399" s="19" t="str">
        <x:v>同顺街店</x:v>
      </x:c>
      <x:c r="E399" s="19" t="str">
        <x:v>鸡杂</x:v>
      </x:c>
      <x:c r="F399" s="32" t="n">
        <x:v>2.659194224839429</x:v>
      </x:c>
      <x:c r="G399" s="32" t="n">
        <x:v>2.713536406707156</x:v>
      </x:c>
      <x:c r="H399" s="24" t="n">
        <x:f>G399</x:f>
        <x:v>2.713536406707156</x:v>
      </x:c>
      <x:c r="I399" s="24" t="n">
        <x:f>XLOOKUP(A399,'库存与收货'!$A$5:$A$676,'库存与收货'!$H$5:$H$676,0)+XLOOKUP(A399,'库存与收货'!$A$5:$A$676,'库存与收货'!$J$5:$J$676,0)</x:f>
        <x:v>2.857326172199351</x:v>
      </x:c>
      <x:c r="J399" s="21" t="n">
        <x:f>MAX(0,1-ABS(F399-I399)/MAX(I399,0.01))</x:f>
        <x:v>0.930658267408297</x:v>
      </x:c>
      <x:c r="K399" s="21" t="n">
        <x:f>MAX(0,1-ABS(H399-I399)/MAX(I399,0.01))</x:f>
        <x:v>0.949676810827125</x:v>
      </x:c>
      <x:c r="L399" s="24" t="n">
        <x:f>MAX(I399-H399,0)</x:f>
        <x:v>0.1437897654921949</x:v>
      </x:c>
      <x:c r="M399" s="24" t="n">
        <x:f>MAX(H399-I399,0)</x:f>
        <x:v>0</x:v>
      </x:c>
      <x:c r="N399" s="19" t="str">
        <x:v>王芳</x:v>
      </x:c>
      <x:c r="O399" s="19" t="str">
        <x:v>S-按销量/BOM/日型生成</x:v>
      </x:c>
    </x:row>
    <x:row r="400">
      <x:c r="A400" s="19" t="str">
        <x:v>2026-07-11|S05|豆腐</x:v>
      </x:c>
      <x:c r="B400" s="34" t="n">
        <x:v>46214.5</x:v>
      </x:c>
      <x:c r="C400" s="19" t="str">
        <x:v>S05</x:v>
      </x:c>
      <x:c r="D400" s="19" t="str">
        <x:v>同顺街店</x:v>
      </x:c>
      <x:c r="E400" s="19" t="str">
        <x:v>豆腐</x:v>
      </x:c>
      <x:c r="F400" s="32" t="n">
        <x:v>16.28847980118372</x:v>
      </x:c>
      <x:c r="G400" s="32" t="n">
        <x:v>16.146296633559608</x:v>
      </x:c>
      <x:c r="H400" s="24" t="n">
        <x:f>G400</x:f>
        <x:v>16.146296633559608</x:v>
      </x:c>
      <x:c r="I400" s="24" t="n">
        <x:f>XLOOKUP(A400,'库存与收货'!$A$5:$A$676,'库存与收货'!$H$5:$H$676,0)+XLOOKUP(A400,'库存与收货'!$A$5:$A$676,'库存与收货'!$J$5:$J$676,0)</x:f>
        <x:v>15.893822271584957</x:v>
      </x:c>
      <x:c r="J400" s="21" t="n">
        <x:f>MAX(0,1-ABS(F400-I400)/MAX(I400,0.01))</x:f>
        <x:v>0.9751691240247268</x:v>
      </x:c>
      <x:c r="K400" s="21" t="n">
        <x:f>MAX(0,1-ABS(H400-I400)/MAX(I400,0.01))</x:f>
        <x:v>0.9841149373850728</x:v>
      </x:c>
      <x:c r="L400" s="24" t="n">
        <x:f>MAX(I400-H400,0)</x:f>
        <x:v>0</x:v>
      </x:c>
      <x:c r="M400" s="24" t="n">
        <x:f>MAX(H400-I400,0)</x:f>
        <x:v>0.25247436197465056</x:v>
      </x:c>
      <x:c r="N400" s="19" t="str">
        <x:v>王芳</x:v>
      </x:c>
      <x:c r="O400" s="19" t="str">
        <x:v>S-按销量/BOM/日型生成</x:v>
      </x:c>
    </x:row>
    <x:row r="401">
      <x:c r="A401" s="19" t="str">
        <x:v>2026-07-12|S05|瘦肉片</x:v>
      </x:c>
      <x:c r="B401" s="34" t="n">
        <x:v>46215.5</x:v>
      </x:c>
      <x:c r="C401" s="19" t="str">
        <x:v>S05</x:v>
      </x:c>
      <x:c r="D401" s="19" t="str">
        <x:v>同顺街店</x:v>
      </x:c>
      <x:c r="E401" s="19" t="str">
        <x:v>瘦肉片</x:v>
      </x:c>
      <x:c r="F401" s="32" t="n">
        <x:v>9.814689507020487</x:v>
      </x:c>
      <x:c r="G401" s="32" t="n">
        <x:v>9.450941895101815</x:v>
      </x:c>
      <x:c r="H401" s="24" t="n">
        <x:f>G401</x:f>
        <x:v>9.450941895101815</x:v>
      </x:c>
      <x:c r="I401" s="24" t="n">
        <x:f>XLOOKUP(A401,'库存与收货'!$A$5:$A$676,'库存与收货'!$H$5:$H$676,0)+XLOOKUP(A401,'库存与收货'!$A$5:$A$676,'库存与收货'!$J$5:$J$676,0)</x:f>
        <x:v>8.73332845145128</x:v>
      </x:c>
      <x:c r="J401" s="21" t="n">
        <x:f>MAX(0,1-ABS(F401-I401)/MAX(I401,0.01))</x:f>
        <x:v>0.8761799625903788</x:v>
      </x:c>
      <x:c r="K401" s="21" t="n">
        <x:f>MAX(0,1-ABS(H401-I401)/MAX(I401,0.01))</x:f>
        <x:v>0.9178304757871228</x:v>
      </x:c>
      <x:c r="L401" s="24" t="n">
        <x:f>MAX(I401-H401,0)</x:f>
        <x:v>0</x:v>
      </x:c>
      <x:c r="M401" s="24" t="n">
        <x:f>MAX(H401-I401,0)</x:f>
        <x:v>0.717613443650535</x:v>
      </x:c>
      <x:c r="N401" s="19" t="str">
        <x:v>王芳</x:v>
      </x:c>
      <x:c r="O401" s="19" t="str">
        <x:v>S-按销量/BOM/日型生成</x:v>
      </x:c>
    </x:row>
    <x:row r="402">
      <x:c r="A402" s="19" t="str">
        <x:v>2026-07-12|S05|肥肉片</x:v>
      </x:c>
      <x:c r="B402" s="34" t="n">
        <x:v>46215.5</x:v>
      </x:c>
      <x:c r="C402" s="19" t="str">
        <x:v>S05</x:v>
      </x:c>
      <x:c r="D402" s="19" t="str">
        <x:v>同顺街店</x:v>
      </x:c>
      <x:c r="E402" s="19" t="str">
        <x:v>肥肉片</x:v>
      </x:c>
      <x:c r="F402" s="32" t="n">
        <x:v>2.344649209541311</x:v>
      </x:c>
      <x:c r="G402" s="32" t="n">
        <x:v>2.3730615255906047</x:v>
      </x:c>
      <x:c r="H402" s="24" t="n">
        <x:f>G402</x:f>
        <x:v>2.3730615255906047</x:v>
      </x:c>
      <x:c r="I402" s="24" t="n">
        <x:f>XLOOKUP(A402,'库存与收货'!$A$5:$A$676,'库存与收货'!$H$5:$H$676,0)+XLOOKUP(A402,'库存与收货'!$A$5:$A$676,'库存与收货'!$J$5:$J$676,0)</x:f>
        <x:v>2.456171635812188</x:v>
      </x:c>
      <x:c r="J402" s="21" t="n">
        <x:f>MAX(0,1-ABS(F402-I402)/MAX(I402,0.01))</x:f>
        <x:v>0.9545950190756927</x:v>
      </x:c>
      <x:c r="K402" s="21" t="n">
        <x:f>MAX(0,1-ABS(H402-I402)/MAX(I402,0.01))</x:f>
        <x:v>0.9661627432668803</x:v>
      </x:c>
      <x:c r="L402" s="24" t="n">
        <x:f>MAX(I402-H402,0)</x:f>
        <x:v>0.08311011022158343</x:v>
      </x:c>
      <x:c r="M402" s="24" t="n">
        <x:f>MAX(H402-I402,0)</x:f>
        <x:v>0</x:v>
      </x:c>
      <x:c r="N402" s="19" t="str">
        <x:v>王芳</x:v>
      </x:c>
      <x:c r="O402" s="19" t="str">
        <x:v>S-按销量/BOM/日型生成</x:v>
      </x:c>
    </x:row>
    <x:row r="403">
      <x:c r="A403" s="19" t="str">
        <x:v>2026-07-12|S05|牛肉片</x:v>
      </x:c>
      <x:c r="B403" s="34" t="n">
        <x:v>46215.5</x:v>
      </x:c>
      <x:c r="C403" s="19" t="str">
        <x:v>S05</x:v>
      </x:c>
      <x:c r="D403" s="19" t="str">
        <x:v>同顺街店</x:v>
      </x:c>
      <x:c r="E403" s="19" t="str">
        <x:v>牛肉片</x:v>
      </x:c>
      <x:c r="F403" s="32" t="n">
        <x:v>6.925277745524206</x:v>
      </x:c>
      <x:c r="G403" s="32" t="n">
        <x:v>6.922415288478709</x:v>
      </x:c>
      <x:c r="H403" s="24" t="n">
        <x:f>G403</x:f>
        <x:v>6.922415288478709</x:v>
      </x:c>
      <x:c r="I403" s="24" t="n">
        <x:f>XLOOKUP(A403,'库存与收货'!$A$5:$A$676,'库存与收货'!$H$5:$H$676,0)+XLOOKUP(A403,'库存与收货'!$A$5:$A$676,'库存与收货'!$J$5:$J$676,0)</x:f>
        <x:v>6.91396972985856</x:v>
      </x:c>
      <x:c r="J403" s="21" t="n">
        <x:f>MAX(0,1-ABS(F403-I403)/MAX(I403,0.01))</x:f>
        <x:v>0.9983644684446894</x:v>
      </x:c>
      <x:c r="K403" s="21" t="n">
        <x:f>MAX(0,1-ABS(H403-I403)/MAX(I403,0.01))</x:f>
        <x:v>0.9987784790865258</x:v>
      </x:c>
      <x:c r="L403" s="24" t="n">
        <x:f>MAX(I403-H403,0)</x:f>
        <x:v>0</x:v>
      </x:c>
      <x:c r="M403" s="24" t="n">
        <x:f>MAX(H403-I403,0)</x:f>
        <x:v>0.008445558620149285</x:v>
      </x:c>
      <x:c r="N403" s="19" t="str">
        <x:v>王芳</x:v>
      </x:c>
      <x:c r="O403" s="19" t="str">
        <x:v>S-按销量/BOM/日型生成</x:v>
      </x:c>
    </x:row>
    <x:row r="404">
      <x:c r="A404" s="19" t="str">
        <x:v>2026-07-12|S05|螺丝椒</x:v>
      </x:c>
      <x:c r="B404" s="34" t="n">
        <x:v>46215.5</x:v>
      </x:c>
      <x:c r="C404" s="19" t="str">
        <x:v>S05</x:v>
      </x:c>
      <x:c r="D404" s="19" t="str">
        <x:v>同顺街店</x:v>
      </x:c>
      <x:c r="E404" s="19" t="str">
        <x:v>螺丝椒</x:v>
      </x:c>
      <x:c r="F404" s="32" t="n">
        <x:v>8.897195104495282</x:v>
      </x:c>
      <x:c r="G404" s="32" t="n">
        <x:v>8.917672710717774</x:v>
      </x:c>
      <x:c r="H404" s="24" t="n">
        <x:f>G404</x:f>
        <x:v>8.917672710717774</x:v>
      </x:c>
      <x:c r="I404" s="24" t="n">
        <x:f>XLOOKUP(A404,'库存与收货'!$A$5:$A$676,'库存与收货'!$H$5:$H$676,0)+XLOOKUP(A404,'库存与收货'!$A$5:$A$676,'库存与收货'!$J$5:$J$676,0)</x:f>
        <x:v>8.959713698981147</x:v>
      </x:c>
      <x:c r="J404" s="21" t="n">
        <x:f>MAX(0,1-ABS(F404-I404)/MAX(I404,0.01))</x:f>
        <x:v>0.9930222553324471</x:v>
      </x:c>
      <x:c r="K404" s="21" t="n">
        <x:f>MAX(0,1-ABS(H404-I404)/MAX(I404,0.01))</x:f>
        <x:v>0.9953077754852642</x:v>
      </x:c>
      <x:c r="L404" s="24" t="n">
        <x:f>MAX(I404-H404,0)</x:f>
        <x:v>0.042040988263373436</x:v>
      </x:c>
      <x:c r="M404" s="24" t="n">
        <x:f>MAX(H404-I404,0)</x:f>
        <x:v>0</x:v>
      </x:c>
      <x:c r="N404" s="19" t="str">
        <x:v>王芳</x:v>
      </x:c>
      <x:c r="O404" s="19" t="str">
        <x:v>S-按销量/BOM/日型生成</x:v>
      </x:c>
    </x:row>
    <x:row r="405">
      <x:c r="A405" s="19" t="str">
        <x:v>2026-07-12|S05|青湖南椒圈</x:v>
      </x:c>
      <x:c r="B405" s="34" t="n">
        <x:v>46215.5</x:v>
      </x:c>
      <x:c r="C405" s="19" t="str">
        <x:v>S05</x:v>
      </x:c>
      <x:c r="D405" s="19" t="str">
        <x:v>同顺街店</x:v>
      </x:c>
      <x:c r="E405" s="19" t="str">
        <x:v>青湖南椒圈</x:v>
      </x:c>
      <x:c r="F405" s="32" t="n">
        <x:v>1.1706648199498784</x:v>
      </x:c>
      <x:c r="G405" s="32" t="n">
        <x:v>1.226362224485882</x:v>
      </x:c>
      <x:c r="H405" s="24" t="n">
        <x:f>G405</x:f>
        <x:v>1.226362224485882</x:v>
      </x:c>
      <x:c r="I405" s="24" t="n">
        <x:f>XLOOKUP(A405,'库存与收货'!$A$5:$A$676,'库存与收货'!$H$5:$H$676,0)+XLOOKUP(A405,'库存与收货'!$A$5:$A$676,'库存与收货'!$J$5:$J$676,0)</x:f>
        <x:v>1.3302096109372121</x:v>
      </x:c>
      <x:c r="J405" s="21" t="n">
        <x:f>MAX(0,1-ABS(F405-I405)/MAX(I405,0.01))</x:f>
        <x:v>0.8800604132795846</x:v>
      </x:c>
      <x:c r="K405" s="21" t="n">
        <x:f>MAX(0,1-ABS(H405-I405)/MAX(I405,0.01))</x:f>
        <x:v>0.9219315620654978</x:v>
      </x:c>
      <x:c r="L405" s="24" t="n">
        <x:f>MAX(I405-H405,0)</x:f>
        <x:v>0.10384738645133007</x:v>
      </x:c>
      <x:c r="M405" s="24" t="n">
        <x:f>MAX(H405-I405,0)</x:f>
        <x:v>0</x:v>
      </x:c>
      <x:c r="N405" s="19" t="str">
        <x:v>王芳</x:v>
      </x:c>
      <x:c r="O405" s="19" t="str">
        <x:v>S-按销量/BOM/日型生成</x:v>
      </x:c>
    </x:row>
    <x:row r="406">
      <x:c r="A406" s="19" t="str">
        <x:v>2026-07-12|S05|鸡蛋</x:v>
      </x:c>
      <x:c r="B406" s="34" t="n">
        <x:v>46215.5</x:v>
      </x:c>
      <x:c r="C406" s="19" t="str">
        <x:v>S05</x:v>
      </x:c>
      <x:c r="D406" s="19" t="str">
        <x:v>同顺街店</x:v>
      </x:c>
      <x:c r="E406" s="19" t="str">
        <x:v>鸡蛋</x:v>
      </x:c>
      <x:c r="F406" s="32" t="n">
        <x:v>14.636446893806385</x:v>
      </x:c>
      <x:c r="G406" s="32" t="n">
        <x:v>13.878117242770038</x:v>
      </x:c>
      <x:c r="H406" s="24" t="n">
        <x:f>G406</x:f>
        <x:v>13.878117242770038</x:v>
      </x:c>
      <x:c r="I406" s="24" t="n">
        <x:f>XLOOKUP(A406,'库存与收货'!$A$5:$A$676,'库存与收货'!$H$5:$H$676,0)+XLOOKUP(A406,'库存与收货'!$A$5:$A$676,'库存与收货'!$J$5:$J$676,0)</x:f>
        <x:v>12.605174448818182</x:v>
      </x:c>
      <x:c r="J406" s="21" t="n">
        <x:f>MAX(0,1-ABS(F406-I406)/MAX(I406,0.01))</x:f>
        <x:v>0.8388540790739594</x:v>
      </x:c>
      <x:c r="K406" s="21" t="n">
        <x:f>MAX(0,1-ABS(H406-I406)/MAX(I406,0.01))</x:f>
        <x:v>0.8990142659968341</x:v>
      </x:c>
      <x:c r="L406" s="24" t="n">
        <x:f>MAX(I406-H406,0)</x:f>
        <x:v>0</x:v>
      </x:c>
      <x:c r="M406" s="24" t="n">
        <x:f>MAX(H406-I406,0)</x:f>
        <x:v>1.2729427939518558</x:v>
      </x:c>
      <x:c r="N406" s="19" t="str">
        <x:v>王芳</x:v>
      </x:c>
      <x:c r="O406" s="19" t="str">
        <x:v>S-按销量/BOM/日型生成</x:v>
      </x:c>
    </x:row>
    <x:row r="407">
      <x:c r="A407" s="19" t="str">
        <x:v>2026-07-12|S05|鸡肉</x:v>
      </x:c>
      <x:c r="B407" s="34" t="n">
        <x:v>46215.5</x:v>
      </x:c>
      <x:c r="C407" s="19" t="str">
        <x:v>S05</x:v>
      </x:c>
      <x:c r="D407" s="19" t="str">
        <x:v>同顺街店</x:v>
      </x:c>
      <x:c r="E407" s="19" t="str">
        <x:v>鸡肉</x:v>
      </x:c>
      <x:c r="F407" s="32" t="n">
        <x:v>3.977506111338849</x:v>
      </x:c>
      <x:c r="G407" s="32" t="n">
        <x:v>3.883937611440231</x:v>
      </x:c>
      <x:c r="H407" s="24" t="n">
        <x:f>G407</x:f>
        <x:v>3.883937611440231</x:v>
      </x:c>
      <x:c r="I407" s="24" t="n">
        <x:f>XLOOKUP(A407,'库存与收货'!$A$5:$A$676,'库存与收货'!$H$5:$H$676,0)+XLOOKUP(A407,'库存与收货'!$A$5:$A$676,'库存与收货'!$J$5:$J$676,0)</x:f>
        <x:v>3.7400043445569473</x:v>
      </x:c>
      <x:c r="J407" s="21" t="n">
        <x:f>MAX(0,1-ABS(F407-I407)/MAX(I407,0.01))</x:f>
        <x:v>0.9364969275697361</x:v>
      </x:c>
      <x:c r="K407" s="21" t="n">
        <x:f>MAX(0,1-ABS(H407-I407)/MAX(I407,0.01))</x:f>
        <x:v>0.9615152139882516</x:v>
      </x:c>
      <x:c r="L407" s="24" t="n">
        <x:f>MAX(I407-H407,0)</x:f>
        <x:v>0</x:v>
      </x:c>
      <x:c r="M407" s="24" t="n">
        <x:f>MAX(H407-I407,0)</x:f>
        <x:v>0.14393326688328356</x:v>
      </x:c>
      <x:c r="N407" s="19" t="str">
        <x:v>王芳</x:v>
      </x:c>
      <x:c r="O407" s="19" t="str">
        <x:v>S-按销量/BOM/日型生成</x:v>
      </x:c>
    </x:row>
    <x:row r="408">
      <x:c r="A408" s="19" t="str">
        <x:v>2026-07-12|S05|鲈鱼</x:v>
      </x:c>
      <x:c r="B408" s="34" t="n">
        <x:v>46215.5</x:v>
      </x:c>
      <x:c r="C408" s="19" t="str">
        <x:v>S05</x:v>
      </x:c>
      <x:c r="D408" s="19" t="str">
        <x:v>同顺街店</x:v>
      </x:c>
      <x:c r="E408" s="19" t="str">
        <x:v>鲈鱼</x:v>
      </x:c>
      <x:c r="F408" s="32" t="n">
        <x:v>2.550028470978811</x:v>
      </x:c>
      <x:c r="G408" s="32" t="n">
        <x:v>2.552939916694372</x:v>
      </x:c>
      <x:c r="H408" s="24" t="n">
        <x:f>G408</x:f>
        <x:v>2.552939916694372</x:v>
      </x:c>
      <x:c r="I408" s="24" t="n">
        <x:f>XLOOKUP(A408,'库存与收货'!$A$5:$A$676,'库存与收货'!$H$5:$H$676,0)+XLOOKUP(A408,'库存与收货'!$A$5:$A$676,'库存与收货'!$J$5:$J$676,0)</x:f>
        <x:v>2.561458503507068</x:v>
      </x:c>
      <x:c r="J408" s="21" t="n">
        <x:f>MAX(0,1-ABS(F408-I408)/MAX(I408,0.01))</x:f>
        <x:v>0.9955376858486649</x:v>
      </x:c>
      <x:c r="K408" s="21" t="n">
        <x:f>MAX(0,1-ABS(H408-I408)/MAX(I408,0.01))</x:f>
        <x:v>0.9966743217580792</x:v>
      </x:c>
      <x:c r="L408" s="24" t="n">
        <x:f>MAX(I408-H408,0)</x:f>
        <x:v>0.008518586812696238</x:v>
      </x:c>
      <x:c r="M408" s="24" t="n">
        <x:f>MAX(H408-I408,0)</x:f>
        <x:v>0</x:v>
      </x:c>
      <x:c r="N408" s="19" t="str">
        <x:v>王芳</x:v>
      </x:c>
      <x:c r="O408" s="19" t="str">
        <x:v>S-按销量/BOM/日型生成</x:v>
      </x:c>
    </x:row>
    <x:row r="409">
      <x:c r="A409" s="19" t="str">
        <x:v>2026-07-12|S05|酸包菜</x:v>
      </x:c>
      <x:c r="B409" s="34" t="n">
        <x:v>46215.5</x:v>
      </x:c>
      <x:c r="C409" s="19" t="str">
        <x:v>S05</x:v>
      </x:c>
      <x:c r="D409" s="19" t="str">
        <x:v>同顺街店</x:v>
      </x:c>
      <x:c r="E409" s="19" t="str">
        <x:v>酸包菜</x:v>
      </x:c>
      <x:c r="F409" s="32" t="n">
        <x:v>6.5079740645114805</x:v>
      </x:c>
      <x:c r="G409" s="32" t="n">
        <x:v>6.2465572285313895</x:v>
      </x:c>
      <x:c r="H409" s="24" t="n">
        <x:f>G409</x:f>
        <x:v>6.2465572285313895</x:v>
      </x:c>
      <x:c r="I409" s="24" t="n">
        <x:f>XLOOKUP(A409,'库存与收货'!$A$5:$A$676,'库存与收货'!$H$5:$H$676,0)+XLOOKUP(A409,'库存与收货'!$A$5:$A$676,'库存与收货'!$J$5:$J$676,0)</x:f>
        <x:v>5.767187013841975</x:v>
      </x:c>
      <x:c r="J409" s="21" t="n">
        <x:f>MAX(0,1-ABS(F409-I409)/MAX(I409,0.01))</x:f>
        <x:v>0.8715514081836564</x:v>
      </x:c>
      <x:c r="K409" s="21" t="n">
        <x:f>MAX(0,1-ABS(H409-I409)/MAX(I409,0.01))</x:f>
        <x:v>0.9168797173494001</x:v>
      </x:c>
      <x:c r="L409" s="24" t="n">
        <x:f>MAX(I409-H409,0)</x:f>
        <x:v>0</x:v>
      </x:c>
      <x:c r="M409" s="24" t="n">
        <x:f>MAX(H409-I409,0)</x:f>
        <x:v>0.4793702146894141</x:v>
      </x:c>
      <x:c r="N409" s="19" t="str">
        <x:v>王芳</x:v>
      </x:c>
      <x:c r="O409" s="19" t="str">
        <x:v>S-按销量/BOM/日型生成</x:v>
      </x:c>
    </x:row>
    <x:row r="410">
      <x:c r="A410" s="19" t="str">
        <x:v>2026-07-12|S05|粉皮</x:v>
      </x:c>
      <x:c r="B410" s="34" t="n">
        <x:v>46215.5</x:v>
      </x:c>
      <x:c r="C410" s="19" t="str">
        <x:v>S05</x:v>
      </x:c>
      <x:c r="D410" s="19" t="str">
        <x:v>同顺街店</x:v>
      </x:c>
      <x:c r="E410" s="19" t="str">
        <x:v>粉皮</x:v>
      </x:c>
      <x:c r="F410" s="32" t="n">
        <x:v>4.837771266054031</x:v>
      </x:c>
      <x:c r="G410" s="32" t="n">
        <x:v>4.675568742748043</x:v>
      </x:c>
      <x:c r="H410" s="24" t="n">
        <x:f>G410</x:f>
        <x:v>4.675568742748043</x:v>
      </x:c>
      <x:c r="I410" s="24" t="n">
        <x:f>XLOOKUP(A410,'库存与收货'!$A$5:$A$676,'库存与收货'!$H$5:$H$676,0)+XLOOKUP(A410,'库存与收货'!$A$5:$A$676,'库存与收货'!$J$5:$J$676,0)</x:f>
        <x:v>4.353585936595589</x:v>
      </x:c>
      <x:c r="J410" s="21" t="n">
        <x:f>MAX(0,1-ABS(F410-I410)/MAX(I410,0.01))</x:f>
        <x:v>0.8887847083967143</x:v>
      </x:c>
      <x:c r="K410" s="21" t="n">
        <x:f>MAX(0,1-ABS(H410-I410)/MAX(I410,0.01))</x:f>
        <x:v>0.9260419316761582</x:v>
      </x:c>
      <x:c r="L410" s="24" t="n">
        <x:f>MAX(I410-H410,0)</x:f>
        <x:v>0</x:v>
      </x:c>
      <x:c r="M410" s="24" t="n">
        <x:f>MAX(H410-I410,0)</x:f>
        <x:v>0.32198280615245345</x:v>
      </x:c>
      <x:c r="N410" s="19" t="str">
        <x:v>王芳</x:v>
      </x:c>
      <x:c r="O410" s="19" t="str">
        <x:v>S-按销量/BOM/日型生成</x:v>
      </x:c>
    </x:row>
    <x:row r="411">
      <x:c r="A411" s="19" t="str">
        <x:v>2026-07-12|S05|鸡杂</x:v>
      </x:c>
      <x:c r="B411" s="34" t="n">
        <x:v>46215.5</x:v>
      </x:c>
      <x:c r="C411" s="19" t="str">
        <x:v>S05</x:v>
      </x:c>
      <x:c r="D411" s="19" t="str">
        <x:v>同顺街店</x:v>
      </x:c>
      <x:c r="E411" s="19" t="str">
        <x:v>鸡杂</x:v>
      </x:c>
      <x:c r="F411" s="32" t="n">
        <x:v>2.92669161173255</x:v>
      </x:c>
      <x:c r="G411" s="32" t="n">
        <x:v>2.831634281338594</x:v>
      </x:c>
      <x:c r="H411" s="24" t="n">
        <x:f>G411</x:f>
        <x:v>2.831634281338594</x:v>
      </x:c>
      <x:c r="I411" s="24" t="n">
        <x:f>XLOOKUP(A411,'库存与收货'!$A$5:$A$676,'库存与收货'!$H$5:$H$676,0)+XLOOKUP(A411,'库存与收货'!$A$5:$A$676,'库存与收货'!$J$5:$J$676,0)</x:f>
        <x:v>2.59683587366525</x:v>
      </x:c>
      <x:c r="J411" s="21" t="n">
        <x:f>MAX(0,1-ABS(F411-I411)/MAX(I411,0.01))</x:f>
        <x:v>0.8729778260488477</x:v>
      </x:c>
      <x:c r="K411" s="21" t="n">
        <x:f>MAX(0,1-ABS(H411-I411)/MAX(I411,0.01))</x:f>
        <x:v>0.9095828850585221</x:v>
      </x:c>
      <x:c r="L411" s="24" t="n">
        <x:f>MAX(I411-H411,0)</x:f>
        <x:v>0</x:v>
      </x:c>
      <x:c r="M411" s="24" t="n">
        <x:f>MAX(H411-I411,0)</x:f>
        <x:v>0.23479840767334403</x:v>
      </x:c>
      <x:c r="N411" s="19" t="str">
        <x:v>王芳</x:v>
      </x:c>
      <x:c r="O411" s="19" t="str">
        <x:v>S-按销量/BOM/日型生成</x:v>
      </x:c>
    </x:row>
    <x:row r="412">
      <x:c r="A412" s="19" t="str">
        <x:v>2026-07-12|S05|豆腐</x:v>
      </x:c>
      <x:c r="B412" s="34" t="n">
        <x:v>46215.5</x:v>
      </x:c>
      <x:c r="C412" s="19" t="str">
        <x:v>S05</x:v>
      </x:c>
      <x:c r="D412" s="19" t="str">
        <x:v>同顺街店</x:v>
      </x:c>
      <x:c r="E412" s="19" t="str">
        <x:v>豆腐</x:v>
      </x:c>
      <x:c r="F412" s="32" t="n">
        <x:v>16.773380990572857</x:v>
      </x:c>
      <x:c r="G412" s="32" t="n">
        <x:v>16.34307600720261</x:v>
      </x:c>
      <x:c r="H412" s="24" t="n">
        <x:f>G412</x:f>
        <x:v>16.34307600720261</x:v>
      </x:c>
      <x:c r="I412" s="24" t="n">
        <x:f>XLOOKUP(A412,'库存与收货'!$A$5:$A$676,'库存与收货'!$H$5:$H$676,0)+XLOOKUP(A412,'库存与收货'!$A$5:$A$676,'库存与收货'!$J$5:$J$676,0)</x:f>
        <x:v>15.657491071633409</x:v>
      </x:c>
      <x:c r="J412" s="21" t="n">
        <x:f>MAX(0,1-ABS(F412-I412)/MAX(I412,0.01))</x:f>
        <x:v>0.9287312434773729</x:v>
      </x:c>
      <x:c r="K412" s="21" t="n">
        <x:f>MAX(0,1-ABS(H412-I412)/MAX(I412,0.01))</x:f>
        <x:v>0.9562136147846018</x:v>
      </x:c>
      <x:c r="L412" s="24" t="n">
        <x:f>MAX(I412-H412,0)</x:f>
        <x:v>0</x:v>
      </x:c>
      <x:c r="M412" s="24" t="n">
        <x:f>MAX(H412-I412,0)</x:f>
        <x:v>0.6855849355691994</x:v>
      </x:c>
      <x:c r="N412" s="19" t="str">
        <x:v>王芳</x:v>
      </x:c>
      <x:c r="O412" s="19" t="str">
        <x:v>S-按销量/BOM/日型生成</x:v>
      </x:c>
    </x:row>
    <x:row r="413">
      <x:c r="A413" s="19" t="str">
        <x:v>2026-07-13|S05|瘦肉片</x:v>
      </x:c>
      <x:c r="B413" s="34" t="n">
        <x:v>46216.5</x:v>
      </x:c>
      <x:c r="C413" s="19" t="str">
        <x:v>S05</x:v>
      </x:c>
      <x:c r="D413" s="19" t="str">
        <x:v>同顺街店</x:v>
      </x:c>
      <x:c r="E413" s="19" t="str">
        <x:v>瘦肉片</x:v>
      </x:c>
      <x:c r="F413" s="32" t="n">
        <x:v>13.00438143774722</x:v>
      </x:c>
      <x:c r="G413" s="32" t="n">
        <x:v>13.08995304002497</x:v>
      </x:c>
      <x:c r="H413" s="24" t="n">
        <x:f>G413</x:f>
        <x:v>13.08995304002497</x:v>
      </x:c>
      <x:c r="I413" s="24" t="n">
        <x:f>XLOOKUP(A413,'库存与收货'!$A$5:$A$676,'库存与收货'!$H$5:$H$676,0)+XLOOKUP(A413,'库存与收货'!$A$5:$A$676,'库存与收货'!$J$5:$J$676,0)</x:f>
        <x:v>13.32722575707122</x:v>
      </x:c>
      <x:c r="J413" s="21" t="n">
        <x:f>MAX(0,1-ABS(F413-I413)/MAX(I413,0.01))</x:f>
        <x:v>0.9757755796135813</x:v>
      </x:c>
      <x:c r="K413" s="21" t="n">
        <x:f>MAX(0,1-ABS(H413-I413)/MAX(I413,0.01))</x:f>
        <x:v>0.982196390954032</x:v>
      </x:c>
      <x:c r="L413" s="24" t="n">
        <x:f>MAX(I413-H413,0)</x:f>
        <x:v>0.23727271704625075</x:v>
      </x:c>
      <x:c r="M413" s="24" t="n">
        <x:f>MAX(H413-I413,0)</x:f>
        <x:v>0</x:v>
      </x:c>
      <x:c r="N413" s="19" t="str">
        <x:v>王芳</x:v>
      </x:c>
      <x:c r="O413" s="19" t="str">
        <x:v>S-按销量/BOM/日型生成</x:v>
      </x:c>
    </x:row>
    <x:row r="414">
      <x:c r="A414" s="19" t="str">
        <x:v>2026-07-13|S05|肥肉片</x:v>
      </x:c>
      <x:c r="B414" s="34" t="n">
        <x:v>46216.5</x:v>
      </x:c>
      <x:c r="C414" s="19" t="str">
        <x:v>S05</x:v>
      </x:c>
      <x:c r="D414" s="19" t="str">
        <x:v>同顺街店</x:v>
      </x:c>
      <x:c r="E414" s="19" t="str">
        <x:v>肥肉片</x:v>
      </x:c>
      <x:c r="F414" s="32" t="n">
        <x:v>4.047770160621565</x:v>
      </x:c>
      <x:c r="G414" s="32" t="n">
        <x:v>3.9676121567981295</x:v>
      </x:c>
      <x:c r="H414" s="24" t="n">
        <x:f>G414</x:f>
        <x:v>3.9676121567981295</x:v>
      </x:c>
      <x:c r="I414" s="24" t="n">
        <x:f>XLOOKUP(A414,'库存与收货'!$A$5:$A$676,'库存与收货'!$H$5:$H$676,0)+XLOOKUP(A414,'库存与收货'!$A$5:$A$676,'库存与收货'!$J$5:$J$676,0)</x:f>
        <x:v>3.803772884970827</x:v>
      </x:c>
      <x:c r="J414" s="21" t="n">
        <x:f>MAX(0,1-ABS(F414-I414)/MAX(I414,0.01))</x:f>
        <x:v>0.9358538790223778</x:v>
      </x:c>
      <x:c r="K414" s="21" t="n">
        <x:f>MAX(0,1-ABS(H414-I414)/MAX(I414,0.01))</x:f>
        <x:v>0.956927167635415</x:v>
      </x:c>
      <x:c r="L414" s="24" t="n">
        <x:f>MAX(I414-H414,0)</x:f>
        <x:v>0</x:v>
      </x:c>
      <x:c r="M414" s="24" t="n">
        <x:f>MAX(H414-I414,0)</x:f>
        <x:v>0.1638392718273023</x:v>
      </x:c>
      <x:c r="N414" s="19" t="str">
        <x:v>王芳</x:v>
      </x:c>
      <x:c r="O414" s="19" t="str">
        <x:v>S-按销量/BOM/日型生成</x:v>
      </x:c>
    </x:row>
    <x:row r="415">
      <x:c r="A415" s="19" t="str">
        <x:v>2026-07-13|S05|牛肉片</x:v>
      </x:c>
      <x:c r="B415" s="34" t="n">
        <x:v>46216.5</x:v>
      </x:c>
      <x:c r="C415" s="19" t="str">
        <x:v>S05</x:v>
      </x:c>
      <x:c r="D415" s="19" t="str">
        <x:v>同顺街店</x:v>
      </x:c>
      <x:c r="E415" s="19" t="str">
        <x:v>牛肉片</x:v>
      </x:c>
      <x:c r="F415" s="32" t="n">
        <x:v>8.88674051337008</x:v>
      </x:c>
      <x:c r="G415" s="32" t="n">
        <x:v>9.079628984987234</x:v>
      </x:c>
      <x:c r="H415" s="24" t="n">
        <x:f>G415</x:f>
        <x:v>9.079628984987234</x:v>
      </x:c>
      <x:c r="I415" s="24" t="n">
        <x:f>XLOOKUP(A415,'库存与收货'!$A$5:$A$676,'库存与收货'!$H$5:$H$676,0)+XLOOKUP(A415,'库存与收货'!$A$5:$A$676,'库存与收货'!$J$5:$J$676,0)</x:f>
        <x:v>9.51478815084464</x:v>
      </x:c>
      <x:c r="J415" s="21" t="n">
        <x:f>MAX(0,1-ABS(F415-I415)/MAX(I415,0.01))</x:f>
        <x:v>0.9339924728204478</x:v>
      </x:c>
      <x:c r="K415" s="21" t="n">
        <x:f>MAX(0,1-ABS(H415-I415)/MAX(I415,0.01))</x:f>
        <x:v>0.9542649653404238</x:v>
      </x:c>
      <x:c r="L415" s="24" t="n">
        <x:f>MAX(I415-H415,0)</x:f>
        <x:v>0.4351591658574048</x:v>
      </x:c>
      <x:c r="M415" s="24" t="n">
        <x:f>MAX(H415-I415,0)</x:f>
        <x:v>0</x:v>
      </x:c>
      <x:c r="N415" s="19" t="str">
        <x:v>王芳</x:v>
      </x:c>
      <x:c r="O415" s="19" t="str">
        <x:v>S-按销量/BOM/日型生成</x:v>
      </x:c>
    </x:row>
    <x:row r="416">
      <x:c r="A416" s="19" t="str">
        <x:v>2026-07-13|S05|螺丝椒</x:v>
      </x:c>
      <x:c r="B416" s="34" t="n">
        <x:v>46216.5</x:v>
      </x:c>
      <x:c r="C416" s="19" t="str">
        <x:v>S05</x:v>
      </x:c>
      <x:c r="D416" s="19" t="str">
        <x:v>同顺街店</x:v>
      </x:c>
      <x:c r="E416" s="19" t="str">
        <x:v>螺丝椒</x:v>
      </x:c>
      <x:c r="F416" s="32" t="n">
        <x:v>15.174115123523663</x:v>
      </x:c>
      <x:c r="G416" s="32" t="n">
        <x:v>14.840678236784418</x:v>
      </x:c>
      <x:c r="H416" s="24" t="n">
        <x:f>G416</x:f>
        <x:v>14.840678236784418</x:v>
      </x:c>
      <x:c r="I416" s="24" t="n">
        <x:f>XLOOKUP(A416,'库存与收货'!$A$5:$A$676,'库存与收货'!$H$5:$H$676,0)+XLOOKUP(A416,'库存与收货'!$A$5:$A$676,'库存与收货'!$J$5:$J$676,0)</x:f>
        <x:v>14.180285462620443</x:v>
      </x:c>
      <x:c r="J416" s="21" t="n">
        <x:f>MAX(0,1-ABS(F416-I416)/MAX(I416,0.01))</x:f>
        <x:v>0.9299146929359795</x:v>
      </x:c>
      <x:c r="K416" s="21" t="n">
        <x:f>MAX(0,1-ABS(H416-I416)/MAX(I416,0.01))</x:f>
        <x:v>0.953428809602967</x:v>
      </x:c>
      <x:c r="L416" s="24" t="n">
        <x:f>MAX(I416-H416,0)</x:f>
        <x:v>0</x:v>
      </x:c>
      <x:c r="M416" s="24" t="n">
        <x:f>MAX(H416-I416,0)</x:f>
        <x:v>0.6603927741639755</x:v>
      </x:c>
      <x:c r="N416" s="19" t="str">
        <x:v>王芳</x:v>
      </x:c>
      <x:c r="O416" s="19" t="str">
        <x:v>S-按销量/BOM/日型生成</x:v>
      </x:c>
    </x:row>
    <x:row r="417">
      <x:c r="A417" s="19" t="str">
        <x:v>2026-07-13|S05|青湖南椒圈</x:v>
      </x:c>
      <x:c r="B417" s="34" t="n">
        <x:v>46216.5</x:v>
      </x:c>
      <x:c r="C417" s="19" t="str">
        <x:v>S05</x:v>
      </x:c>
      <x:c r="D417" s="19" t="str">
        <x:v>同顺街店</x:v>
      </x:c>
      <x:c r="E417" s="19" t="str">
        <x:v>青湖南椒圈</x:v>
      </x:c>
      <x:c r="F417" s="32" t="n">
        <x:v>1.8547406026023068</x:v>
      </x:c>
      <x:c r="G417" s="32" t="n">
        <x:v>1.8926173257505172</x:v>
      </x:c>
      <x:c r="H417" s="24" t="n">
        <x:f>G417</x:f>
        <x:v>1.8926173257505172</x:v>
      </x:c>
      <x:c r="I417" s="24" t="n">
        <x:f>XLOOKUP(A417,'库存与收货'!$A$5:$A$676,'库存与收货'!$H$5:$H$676,0)+XLOOKUP(A417,'库存与收货'!$A$5:$A$676,'库存与收货'!$J$5:$J$676,0)</x:f>
        <x:v>1.9520158618862078</x:v>
      </x:c>
      <x:c r="J417" s="21" t="n">
        <x:f>MAX(0,1-ABS(F417-I417)/MAX(I417,0.01))</x:f>
        <x:v>0.9501667680149355</x:v>
      </x:c>
      <x:c r="K417" s="21" t="n">
        <x:f>MAX(0,1-ABS(H417-I417)/MAX(I417,0.01))</x:f>
        <x:v>0.9695706693293493</x:v>
      </x:c>
      <x:c r="L417" s="24" t="n">
        <x:f>MAX(I417-H417,0)</x:f>
        <x:v>0.05939853613569057</x:v>
      </x:c>
      <x:c r="M417" s="24" t="n">
        <x:f>MAX(H417-I417,0)</x:f>
        <x:v>0</x:v>
      </x:c>
      <x:c r="N417" s="19" t="str">
        <x:v>王芳</x:v>
      </x:c>
      <x:c r="O417" s="19" t="str">
        <x:v>S-按销量/BOM/日型生成</x:v>
      </x:c>
    </x:row>
    <x:row r="418">
      <x:c r="A418" s="19" t="str">
        <x:v>2026-07-13|S05|鸡蛋</x:v>
      </x:c>
      <x:c r="B418" s="34" t="n">
        <x:v>46216.5</x:v>
      </x:c>
      <x:c r="C418" s="19" t="str">
        <x:v>S05</x:v>
      </x:c>
      <x:c r="D418" s="19" t="str">
        <x:v>同顺街店</x:v>
      </x:c>
      <x:c r="E418" s="19" t="str">
        <x:v>鸡蛋</x:v>
      </x:c>
      <x:c r="F418" s="32" t="n">
        <x:v>15.523560660919381</x:v>
      </x:c>
      <x:c r="G418" s="32" t="n">
        <x:v>16.44067660670363</x:v>
      </x:c>
      <x:c r="H418" s="24" t="n">
        <x:f>G418</x:f>
        <x:v>16.44067660670363</x:v>
      </x:c>
      <x:c r="I418" s="24" t="n">
        <x:f>XLOOKUP(A418,'库存与收货'!$A$5:$A$676,'库存与收货'!$H$5:$H$676,0)+XLOOKUP(A418,'库存与收货'!$A$5:$A$676,'库存与收货'!$J$5:$J$676,0)</x:f>
        <x:v>18.131763193821946</x:v>
      </x:c>
      <x:c r="J418" s="21" t="n">
        <x:f>MAX(0,1-ABS(F418-I418)/MAX(I418,0.01))</x:f>
        <x:v>0.8561528459741157</x:v>
      </x:c>
      <x:c r="K418" s="21" t="n">
        <x:f>MAX(0,1-ABS(H418-I418)/MAX(I418,0.01))</x:f>
        <x:v>0.9067334726887166</x:v>
      </x:c>
      <x:c r="L418" s="24" t="n">
        <x:f>MAX(I418-H418,0)</x:f>
        <x:v>1.691086587118317</x:v>
      </x:c>
      <x:c r="M418" s="24" t="n">
        <x:f>MAX(H418-I418,0)</x:f>
        <x:v>0</x:v>
      </x:c>
      <x:c r="N418" s="19" t="str">
        <x:v>王芳</x:v>
      </x:c>
      <x:c r="O418" s="19" t="str">
        <x:v>S-按销量/BOM/日型生成</x:v>
      </x:c>
    </x:row>
    <x:row r="419">
      <x:c r="A419" s="19" t="str">
        <x:v>2026-07-13|S05|鸡肉</x:v>
      </x:c>
      <x:c r="B419" s="34" t="n">
        <x:v>46216.5</x:v>
      </x:c>
      <x:c r="C419" s="19" t="str">
        <x:v>S05</x:v>
      </x:c>
      <x:c r="D419" s="19" t="str">
        <x:v>同顺街店</x:v>
      </x:c>
      <x:c r="E419" s="19" t="str">
        <x:v>鸡肉</x:v>
      </x:c>
      <x:c r="F419" s="32" t="n">
        <x:v>6.747061827926974</x:v>
      </x:c>
      <x:c r="G419" s="32" t="n">
        <x:v>6.470070919567583</x:v>
      </x:c>
      <x:c r="H419" s="24" t="n">
        <x:f>G419</x:f>
        <x:v>6.470070919567583</x:v>
      </x:c>
      <x:c r="I419" s="24" t="n">
        <x:f>XLOOKUP(A419,'库存与收货'!$A$5:$A$676,'库存与收货'!$H$5:$H$676,0)+XLOOKUP(A419,'库存与收货'!$A$5:$A$676,'库存与收货'!$J$5:$J$676,0)</x:f>
        <x:v>5.957211264771109</x:v>
      </x:c>
      <x:c r="J419" s="21" t="n">
        <x:f>MAX(0,1-ABS(F419-I419)/MAX(I419,0.01))</x:f>
        <x:v>0.8674126989877348</x:v>
      </x:c>
      <x:c r="K419" s="21" t="n">
        <x:f>MAX(0,1-ABS(H419-I419)/MAX(I419,0.01))</x:f>
        <x:v>0.9139094398364972</x:v>
      </x:c>
      <x:c r="L419" s="24" t="n">
        <x:f>MAX(I419-H419,0)</x:f>
        <x:v>0</x:v>
      </x:c>
      <x:c r="M419" s="24" t="n">
        <x:f>MAX(H419-I419,0)</x:f>
        <x:v>0.5128596547964737</x:v>
      </x:c>
      <x:c r="N419" s="19" t="str">
        <x:v>王芳</x:v>
      </x:c>
      <x:c r="O419" s="19" t="str">
        <x:v>S-按销量/BOM/日型生成</x:v>
      </x:c>
    </x:row>
    <x:row r="420">
      <x:c r="A420" s="19" t="str">
        <x:v>2026-07-13|S05|鲈鱼</x:v>
      </x:c>
      <x:c r="B420" s="34" t="n">
        <x:v>46216.5</x:v>
      </x:c>
      <x:c r="C420" s="19" t="str">
        <x:v>S05</x:v>
      </x:c>
      <x:c r="D420" s="19" t="str">
        <x:v>同顺街店</x:v>
      </x:c>
      <x:c r="E420" s="19" t="str">
        <x:v>鲈鱼</x:v>
      </x:c>
      <x:c r="F420" s="32" t="n">
        <x:v>4.063755692687925</x:v>
      </x:c>
      <x:c r="G420" s="32" t="n">
        <x:v>3.870864459150599</x:v>
      </x:c>
      <x:c r="H420" s="24" t="n">
        <x:f>G420</x:f>
        <x:v>3.870864459150599</x:v>
      </x:c>
      <x:c r="I420" s="24" t="n">
        <x:f>XLOOKUP(A420,'库存与收货'!$A$5:$A$676,'库存与收货'!$H$5:$H$676,0)+XLOOKUP(A420,'库存与收货'!$A$5:$A$676,'库存与收货'!$J$5:$J$676,0)</x:f>
        <x:v>3.5770434014794983</x:v>
      </x:c>
      <x:c r="J420" s="21" t="n">
        <x:f>MAX(0,1-ABS(F420-I420)/MAX(I420,0.01))</x:f>
        <x:v>0.8639344742065141</x:v>
      </x:c>
      <x:c r="K420" s="21" t="n">
        <x:f>MAX(0,1-ABS(H420-I420)/MAX(I420,0.01))</x:f>
        <x:v>0.9178592416436508</x:v>
      </x:c>
      <x:c r="L420" s="24" t="n">
        <x:f>MAX(I420-H420,0)</x:f>
        <x:v>0</x:v>
      </x:c>
      <x:c r="M420" s="24" t="n">
        <x:f>MAX(H420-I420,0)</x:f>
        <x:v>0.29382105767110067</x:v>
      </x:c>
      <x:c r="N420" s="19" t="str">
        <x:v>王芳</x:v>
      </x:c>
      <x:c r="O420" s="19" t="str">
        <x:v>S-按销量/BOM/日型生成</x:v>
      </x:c>
    </x:row>
    <x:row r="421">
      <x:c r="A421" s="19" t="str">
        <x:v>2026-07-13|S05|酸包菜</x:v>
      </x:c>
      <x:c r="B421" s="34" t="n">
        <x:v>46216.5</x:v>
      </x:c>
      <x:c r="C421" s="19" t="str">
        <x:v>S05</x:v>
      </x:c>
      <x:c r="D421" s="19" t="str">
        <x:v>同顺街店</x:v>
      </x:c>
      <x:c r="E421" s="19" t="str">
        <x:v>酸包菜</x:v>
      </x:c>
      <x:c r="F421" s="32" t="n">
        <x:v>8.274521082613697</x:v>
      </x:c>
      <x:c r="G421" s="32" t="n">
        <x:v>8.130678593741777</x:v>
      </x:c>
      <x:c r="H421" s="24" t="n">
        <x:f>G421</x:f>
        <x:v>8.130678593741777</x:v>
      </x:c>
      <x:c r="I421" s="24" t="n">
        <x:f>XLOOKUP(A421,'库存与收货'!$A$5:$A$676,'库存与收货'!$H$5:$H$676,0)+XLOOKUP(A421,'库存与收货'!$A$5:$A$676,'库存与收货'!$J$5:$J$676,0)</x:f>
        <x:v>7.834474917478969</x:v>
      </x:c>
      <x:c r="J421" s="21" t="n">
        <x:f>MAX(0,1-ABS(F421-I421)/MAX(I421,0.01))</x:f>
        <x:v>0.9438320793965438</x:v>
      </x:c>
      <x:c r="K421" s="21" t="n">
        <x:f>MAX(0,1-ABS(H421-I421)/MAX(I421,0.01))</x:f>
        <x:v>0.962192274608989</x:v>
      </x:c>
      <x:c r="L421" s="24" t="n">
        <x:f>MAX(I421-H421,0)</x:f>
        <x:v>0</x:v>
      </x:c>
      <x:c r="M421" s="24" t="n">
        <x:f>MAX(H421-I421,0)</x:f>
        <x:v>0.29620367626280775</x:v>
      </x:c>
      <x:c r="N421" s="19" t="str">
        <x:v>王芳</x:v>
      </x:c>
      <x:c r="O421" s="19" t="str">
        <x:v>S-按销量/BOM/日型生成</x:v>
      </x:c>
    </x:row>
    <x:row r="422">
      <x:c r="A422" s="19" t="str">
        <x:v>2026-07-13|S05|粉皮</x:v>
      </x:c>
      <x:c r="B422" s="34" t="n">
        <x:v>46216.5</x:v>
      </x:c>
      <x:c r="C422" s="19" t="str">
        <x:v>S05</x:v>
      </x:c>
      <x:c r="D422" s="19" t="str">
        <x:v>同顺街店</x:v>
      </x:c>
      <x:c r="E422" s="19" t="str">
        <x:v>粉皮</x:v>
      </x:c>
      <x:c r="F422" s="32" t="n">
        <x:v>5.537940395583845</x:v>
      </x:c>
      <x:c r="G422" s="32" t="n">
        <x:v>5.62431625914778</x:v>
      </x:c>
      <x:c r="H422" s="24" t="n">
        <x:f>G422</x:f>
        <x:v>5.62431625914778</x:v>
      </x:c>
      <x:c r="I422" s="24" t="n">
        <x:f>XLOOKUP(A422,'库存与收货'!$A$5:$A$676,'库存与收货'!$H$5:$H$676,0)+XLOOKUP(A422,'库存与收货'!$A$5:$A$676,'库存与收货'!$J$5:$J$676,0)</x:f>
        <x:v>5.83549499927624</x:v>
      </x:c>
      <x:c r="J422" s="21" t="n">
        <x:f>MAX(0,1-ABS(F422-I422)/MAX(I422,0.01))</x:f>
        <x:v>0.949009534970161</x:v>
      </x:c>
      <x:c r="K422" s="21" t="n">
        <x:f>MAX(0,1-ABS(H422-I422)/MAX(I422,0.01))</x:f>
        <x:v>0.9638113407423616</x:v>
      </x:c>
      <x:c r="L422" s="24" t="n">
        <x:f>MAX(I422-H422,0)</x:f>
        <x:v>0.21117874012846016</x:v>
      </x:c>
      <x:c r="M422" s="24" t="n">
        <x:f>MAX(H422-I422,0)</x:f>
        <x:v>0</x:v>
      </x:c>
      <x:c r="N422" s="19" t="str">
        <x:v>王芳</x:v>
      </x:c>
      <x:c r="O422" s="19" t="str">
        <x:v>S-按销量/BOM/日型生成</x:v>
      </x:c>
    </x:row>
    <x:row r="423">
      <x:c r="A423" s="19" t="str">
        <x:v>2026-07-13|S05|鸡杂</x:v>
      </x:c>
      <x:c r="B423" s="34" t="n">
        <x:v>46216.5</x:v>
      </x:c>
      <x:c r="C423" s="19" t="str">
        <x:v>S05</x:v>
      </x:c>
      <x:c r="D423" s="19" t="str">
        <x:v>同顺街店</x:v>
      </x:c>
      <x:c r="E423" s="19" t="str">
        <x:v>鸡杂</x:v>
      </x:c>
      <x:c r="F423" s="32" t="n">
        <x:v>4.360789875797214</x:v>
      </x:c>
      <x:c r="G423" s="32" t="n">
        <x:v>4.212418938539971</x:v>
      </x:c>
      <x:c r="H423" s="24" t="n">
        <x:f>G423</x:f>
        <x:v>4.212418938539971</x:v>
      </x:c>
      <x:c r="I423" s="24" t="n">
        <x:f>XLOOKUP(A423,'库存与收货'!$A$5:$A$676,'库存与收货'!$H$5:$H$676,0)+XLOOKUP(A423,'库存与收货'!$A$5:$A$676,'库存与收货'!$J$5:$J$676,0)</x:f>
        <x:v>3.889051684130752</x:v>
      </x:c>
      <x:c r="J423" s="21" t="n">
        <x:f>MAX(0,1-ABS(F423-I423)/MAX(I423,0.01))</x:f>
        <x:v>0.8787009713469773</x:v>
      </x:c>
      <x:c r="K423" s="21" t="n">
        <x:f>MAX(0,1-ABS(H423-I423)/MAX(I423,0.01))</x:f>
        <x:v>0.9168519010100286</x:v>
      </x:c>
      <x:c r="L423" s="24" t="n">
        <x:f>MAX(I423-H423,0)</x:f>
        <x:v>0</x:v>
      </x:c>
      <x:c r="M423" s="24" t="n">
        <x:f>MAX(H423-I423,0)</x:f>
        <x:v>0.32336725440921876</x:v>
      </x:c>
      <x:c r="N423" s="19" t="str">
        <x:v>王芳</x:v>
      </x:c>
      <x:c r="O423" s="19" t="str">
        <x:v>S-按销量/BOM/日型生成</x:v>
      </x:c>
    </x:row>
    <x:row r="424">
      <x:c r="A424" s="19" t="str">
        <x:v>2026-07-13|S05|豆腐</x:v>
      </x:c>
      <x:c r="B424" s="34" t="n">
        <x:v>46216.5</x:v>
      </x:c>
      <x:c r="C424" s="19" t="str">
        <x:v>S05</x:v>
      </x:c>
      <x:c r="D424" s="19" t="str">
        <x:v>同顺街店</x:v>
      </x:c>
      <x:c r="E424" s="19" t="str">
        <x:v>豆腐</x:v>
      </x:c>
      <x:c r="F424" s="32" t="n">
        <x:v>24.301001061226955</x:v>
      </x:c>
      <x:c r="G424" s="32" t="n">
        <x:v>23.81535923427597</x:v>
      </x:c>
      <x:c r="H424" s="24" t="n">
        <x:f>G424</x:f>
        <x:v>23.81535923427597</x:v>
      </x:c>
      <x:c r="I424" s="24" t="n">
        <x:f>XLOOKUP(A424,'库存与收货'!$A$5:$A$676,'库存与收货'!$H$5:$H$676,0)+XLOOKUP(A424,'库存与收货'!$A$5:$A$676,'库存与收货'!$J$5:$J$676,0)</x:f>
        <x:v>22.514102889461</x:v>
      </x:c>
      <x:c r="J424" s="21" t="n">
        <x:f>MAX(0,1-ABS(F424-I424)/MAX(I424,0.01))</x:f>
        <x:v>0.9206320509176311</x:v>
      </x:c>
      <x:c r="K424" s="21" t="n">
        <x:f>MAX(0,1-ABS(H424-I424)/MAX(I424,0.01))</x:f>
        <x:v>0.9422026117938682</x:v>
      </x:c>
      <x:c r="L424" s="24" t="n">
        <x:f>MAX(I424-H424,0)</x:f>
        <x:v>0</x:v>
      </x:c>
      <x:c r="M424" s="24" t="n">
        <x:f>MAX(H424-I424,0)</x:f>
        <x:v>1.3012563448149699</x:v>
      </x:c>
      <x:c r="N424" s="19" t="str">
        <x:v>王芳</x:v>
      </x:c>
      <x:c r="O424" s="19" t="str">
        <x:v>S-按销量/BOM/日型生成</x:v>
      </x:c>
    </x:row>
    <x:row r="425">
      <x:c r="A425" s="19" t="str">
        <x:v>2026-07-07|S06|瘦肉片</x:v>
      </x:c>
      <x:c r="B425" s="34" t="n">
        <x:v>46210.5</x:v>
      </x:c>
      <x:c r="C425" s="19" t="str">
        <x:v>S06</x:v>
      </x:c>
      <x:c r="D425" s="19" t="str">
        <x:v>蓝钻天城店</x:v>
      </x:c>
      <x:c r="E425" s="19" t="str">
        <x:v>瘦肉片</x:v>
      </x:c>
      <x:c r="F425" s="32" t="n">
        <x:v>12.50919076043</x:v>
      </x:c>
      <x:c r="G425" s="32" t="n">
        <x:v>12.36021943377169</x:v>
      </x:c>
      <x:c r="H425" s="24" t="n">
        <x:f>G425</x:f>
        <x:v>12.36021943377169</x:v>
      </x:c>
      <x:c r="I425" s="24" t="n">
        <x:f>XLOOKUP(A425,'库存与收货'!$A$5:$A$676,'库存与收货'!$H$5:$H$676,0)+XLOOKUP(A425,'库存与收货'!$A$5:$A$676,'库存与收货'!$J$5:$J$676,0)</x:f>
        <x:v>12.138587475513011</x:v>
      </x:c>
      <x:c r="J425" s="21" t="n">
        <x:f>MAX(0,1-ABS(F425-I425)/MAX(I425,0.01))</x:f>
        <x:v>0.969468994175426</x:v>
      </x:c>
      <x:c r="K425" s="21" t="n">
        <x:f>MAX(0,1-ABS(H425-I425)/MAX(I425,0.01))</x:f>
        <x:v>0.9817415363438479</x:v>
      </x:c>
      <x:c r="L425" s="24" t="n">
        <x:f>MAX(I425-H425,0)</x:f>
        <x:v>0</x:v>
      </x:c>
      <x:c r="M425" s="24" t="n">
        <x:f>MAX(H425-I425,0)</x:f>
        <x:v>0.2216319582586781</x:v>
      </x:c>
      <x:c r="N425" s="19" t="str">
        <x:v>陈颖</x:v>
      </x:c>
      <x:c r="O425" s="19" t="str">
        <x:v>S-按销量/BOM/日型生成</x:v>
      </x:c>
    </x:row>
    <x:row r="426">
      <x:c r="A426" s="19" t="str">
        <x:v>2026-07-07|S06|肥肉片</x:v>
      </x:c>
      <x:c r="B426" s="34" t="n">
        <x:v>46210.5</x:v>
      </x:c>
      <x:c r="C426" s="19" t="str">
        <x:v>S06</x:v>
      </x:c>
      <x:c r="D426" s="19" t="str">
        <x:v>蓝钻天城店</x:v>
      </x:c>
      <x:c r="E426" s="19" t="str">
        <x:v>肥肉片</x:v>
      </x:c>
      <x:c r="F426" s="32" t="n">
        <x:v>3.0565057577299872</x:v>
      </x:c>
      <x:c r="G426" s="32" t="n">
        <x:v>3.1728034461271544</x:v>
      </x:c>
      <x:c r="H426" s="24" t="n">
        <x:f>G426</x:f>
        <x:v>3.1728034461271544</x:v>
      </x:c>
      <x:c r="I426" s="24" t="n">
        <x:f>XLOOKUP(A426,'库存与收货'!$A$5:$A$676,'库存与收货'!$H$5:$H$676,0)+XLOOKUP(A426,'库存与收货'!$A$5:$A$676,'库存与收货'!$J$5:$J$676,0)</x:f>
        <x:v>3.4160737031854977</x:v>
      </x:c>
      <x:c r="J426" s="21" t="n">
        <x:f>MAX(0,1-ABS(F426-I426)/MAX(I426,0.01))</x:f>
        <x:v>0.894742333831904</x:v>
      </x:c>
      <x:c r="K426" s="21" t="n">
        <x:f>MAX(0,1-ABS(H426-I426)/MAX(I426,0.01))</x:f>
        <x:v>0.9287865900459076</x:v>
      </x:c>
      <x:c r="L426" s="24" t="n">
        <x:f>MAX(I426-H426,0)</x:f>
        <x:v>0.24327025705834338</x:v>
      </x:c>
      <x:c r="M426" s="24" t="n">
        <x:f>MAX(H426-I426,0)</x:f>
        <x:v>0</x:v>
      </x:c>
      <x:c r="N426" s="19" t="str">
        <x:v>陈颖</x:v>
      </x:c>
      <x:c r="O426" s="19" t="str">
        <x:v>S-按销量/BOM/日型生成</x:v>
      </x:c>
    </x:row>
    <x:row r="427">
      <x:c r="A427" s="19" t="str">
        <x:v>2026-07-07|S06|牛肉片</x:v>
      </x:c>
      <x:c r="B427" s="34" t="n">
        <x:v>46210.5</x:v>
      </x:c>
      <x:c r="C427" s="19" t="str">
        <x:v>S06</x:v>
      </x:c>
      <x:c r="D427" s="19" t="str">
        <x:v>蓝钻天城店</x:v>
      </x:c>
      <x:c r="E427" s="19" t="str">
        <x:v>牛肉片</x:v>
      </x:c>
      <x:c r="F427" s="32" t="n">
        <x:v>8.67146580282899</x:v>
      </x:c>
      <x:c r="G427" s="32" t="n">
        <x:v>8.63863825179399</x:v>
      </x:c>
      <x:c r="H427" s="24" t="n">
        <x:f>G427</x:f>
        <x:v>8.63863825179399</x:v>
      </x:c>
      <x:c r="I427" s="24" t="n">
        <x:f>XLOOKUP(A427,'库存与收货'!$A$5:$A$676,'库存与收货'!$H$5:$H$676,0)+XLOOKUP(A427,'库存与收货'!$A$5:$A$676,'库存与收货'!$J$5:$J$676,0)</x:f>
        <x:v>8.55641012577402</x:v>
      </x:c>
      <x:c r="J427" s="21" t="n">
        <x:f>MAX(0,1-ABS(F427-I427)/MAX(I427,0.01))</x:f>
        <x:v>0.986553276974371</x:v>
      </x:c>
      <x:c r="K427" s="21" t="n">
        <x:f>MAX(0,1-ABS(H427-I427)/MAX(I427,0.01))</x:f>
        <x:v>0.9903898802405137</x:v>
      </x:c>
      <x:c r="L427" s="24" t="n">
        <x:f>MAX(I427-H427,0)</x:f>
        <x:v>0</x:v>
      </x:c>
      <x:c r="M427" s="24" t="n">
        <x:f>MAX(H427-I427,0)</x:f>
        <x:v>0.0822281260199702</x:v>
      </x:c>
      <x:c r="N427" s="19" t="str">
        <x:v>陈颖</x:v>
      </x:c>
      <x:c r="O427" s="19" t="str">
        <x:v>S-按销量/BOM/日型生成</x:v>
      </x:c>
    </x:row>
    <x:row r="428">
      <x:c r="A428" s="19" t="str">
        <x:v>2026-07-07|S06|螺丝椒</x:v>
      </x:c>
      <x:c r="B428" s="34" t="n">
        <x:v>46210.5</x:v>
      </x:c>
      <x:c r="C428" s="19" t="str">
        <x:v>S06</x:v>
      </x:c>
      <x:c r="D428" s="19" t="str">
        <x:v>蓝钻天城店</x:v>
      </x:c>
      <x:c r="E428" s="19" t="str">
        <x:v>螺丝椒</x:v>
      </x:c>
      <x:c r="F428" s="32" t="n">
        <x:v>12.42690834194622</x:v>
      </x:c>
      <x:c r="G428" s="32" t="n">
        <x:v>12.47133371917937</x:v>
      </x:c>
      <x:c r="H428" s="24" t="n">
        <x:f>G428</x:f>
        <x:v>12.47133371917937</x:v>
      </x:c>
      <x:c r="I428" s="24" t="n">
        <x:f>XLOOKUP(A428,'库存与收货'!$A$5:$A$676,'库存与收货'!$H$5:$H$676,0)+XLOOKUP(A428,'库存与收货'!$A$5:$A$676,'库存与收货'!$J$5:$J$676,0)</x:f>
        <x:v>12.551943986253626</x:v>
      </x:c>
      <x:c r="J428" s="21" t="n">
        <x:f>MAX(0,1-ABS(F428-I428)/MAX(I428,0.01))</x:f>
        <x:v>0.9900385434762663</x:v>
      </x:c>
      <x:c r="K428" s="21" t="n">
        <x:f>MAX(0,1-ABS(H428-I428)/MAX(I428,0.01))</x:f>
        <x:v>0.9935778659335528</x:v>
      </x:c>
      <x:c r="L428" s="24" t="n">
        <x:f>MAX(I428-H428,0)</x:f>
        <x:v>0.08061026707425611</x:v>
      </x:c>
      <x:c r="M428" s="24" t="n">
        <x:f>MAX(H428-I428,0)</x:f>
        <x:v>0</x:v>
      </x:c>
      <x:c r="N428" s="19" t="str">
        <x:v>陈颖</x:v>
      </x:c>
      <x:c r="O428" s="19" t="str">
        <x:v>S-按销量/BOM/日型生成</x:v>
      </x:c>
    </x:row>
    <x:row r="429">
      <x:c r="A429" s="19" t="str">
        <x:v>2026-07-07|S06|青湖南椒圈</x:v>
      </x:c>
      <x:c r="B429" s="34" t="n">
        <x:v>46210.5</x:v>
      </x:c>
      <x:c r="C429" s="19" t="str">
        <x:v>S06</x:v>
      </x:c>
      <x:c r="D429" s="19" t="str">
        <x:v>蓝钻天城店</x:v>
      </x:c>
      <x:c r="E429" s="19" t="str">
        <x:v>青湖南椒圈</x:v>
      </x:c>
      <x:c r="F429" s="32" t="n">
        <x:v>1.6581908726156425</x:v>
      </x:c>
      <x:c r="G429" s="32" t="n">
        <x:v>1.7112244356615067</x:v>
      </x:c>
      <x:c r="H429" s="24" t="n">
        <x:f>G429</x:f>
        <x:v>1.7112244356615067</x:v>
      </x:c>
      <x:c r="I429" s="24" t="n">
        <x:f>XLOOKUP(A429,'库存与收货'!$A$5:$A$676,'库存与收货'!$H$5:$H$676,0)+XLOOKUP(A429,'库存与收货'!$A$5:$A$676,'库存与收货'!$J$5:$J$676,0)</x:f>
        <x:v>1.8660350140279707</x:v>
      </x:c>
      <x:c r="J429" s="21" t="n">
        <x:f>MAX(0,1-ABS(F429-I429)/MAX(I429,0.01))</x:f>
        <x:v>0.8886172339479945</x:v>
      </x:c>
      <x:c r="K429" s="21" t="n">
        <x:f>MAX(0,1-ABS(H429-I429)/MAX(I429,0.01))</x:f>
        <x:v>0.9170376883591834</x:v>
      </x:c>
      <x:c r="L429" s="24" t="n">
        <x:f>MAX(I429-H429,0)</x:f>
        <x:v>0.15481057836646395</x:v>
      </x:c>
      <x:c r="M429" s="24" t="n">
        <x:f>MAX(H429-I429,0)</x:f>
        <x:v>0</x:v>
      </x:c>
      <x:c r="N429" s="19" t="str">
        <x:v>陈颖</x:v>
      </x:c>
      <x:c r="O429" s="19" t="str">
        <x:v>S-按销量/BOM/日型生成</x:v>
      </x:c>
    </x:row>
    <x:row r="430">
      <x:c r="A430" s="19" t="str">
        <x:v>2026-07-07|S06|鸡蛋</x:v>
      </x:c>
      <x:c r="B430" s="34" t="n">
        <x:v>46210.5</x:v>
      </x:c>
      <x:c r="C430" s="19" t="str">
        <x:v>S06</x:v>
      </x:c>
      <x:c r="D430" s="19" t="str">
        <x:v>蓝钻天城店</x:v>
      </x:c>
      <x:c r="E430" s="19" t="str">
        <x:v>鸡蛋</x:v>
      </x:c>
      <x:c r="F430" s="32" t="n">
        <x:v>16.468310860763</x:v>
      </x:c>
      <x:c r="G430" s="32" t="n">
        <x:v>15.897340982062207</x:v>
      </x:c>
      <x:c r="H430" s="24" t="n">
        <x:f>G430</x:f>
        <x:v>15.897340982062207</x:v>
      </x:c>
      <x:c r="I430" s="24" t="n">
        <x:f>XLOOKUP(A430,'库存与收货'!$A$5:$A$676,'库存与收货'!$H$5:$H$676,0)+XLOOKUP(A430,'库存与收货'!$A$5:$A$676,'库存与收货'!$J$5:$J$676,0)</x:f>
        <x:v>15.093431039108761</x:v>
      </x:c>
      <x:c r="J430" s="21" t="n">
        <x:f>MAX(0,1-ABS(F430-I430)/MAX(I430,0.01))</x:f>
        <x:v>0.9089087286984799</x:v>
      </x:c>
      <x:c r="K430" s="21" t="n">
        <x:f>MAX(0,1-ABS(H430-I430)/MAX(I430,0.01))</x:f>
        <x:v>0.9467377602302336</x:v>
      </x:c>
      <x:c r="L430" s="24" t="n">
        <x:f>MAX(I430-H430,0)</x:f>
        <x:v>0</x:v>
      </x:c>
      <x:c r="M430" s="24" t="n">
        <x:f>MAX(H430-I430,0)</x:f>
        <x:v>0.803909942953446</x:v>
      </x:c>
      <x:c r="N430" s="19" t="str">
        <x:v>陈颖</x:v>
      </x:c>
      <x:c r="O430" s="19" t="str">
        <x:v>S-按销量/BOM/日型生成</x:v>
      </x:c>
    </x:row>
    <x:row r="431">
      <x:c r="A431" s="19" t="str">
        <x:v>2026-07-07|S06|鸡肉</x:v>
      </x:c>
      <x:c r="B431" s="34" t="n">
        <x:v>46210.5</x:v>
      </x:c>
      <x:c r="C431" s="19" t="str">
        <x:v>S06</x:v>
      </x:c>
      <x:c r="D431" s="19" t="str">
        <x:v>蓝钻天城店</x:v>
      </x:c>
      <x:c r="E431" s="19" t="str">
        <x:v>鸡肉</x:v>
      </x:c>
      <x:c r="F431" s="32" t="n">
        <x:v>4.848199026512007</x:v>
      </x:c>
      <x:c r="G431" s="32" t="n">
        <x:v>5.03343385565145</x:v>
      </x:c>
      <x:c r="H431" s="24" t="n">
        <x:f>G431</x:f>
        <x:v>5.03343385565145</x:v>
      </x:c>
      <x:c r="I431" s="24" t="n">
        <x:f>XLOOKUP(A431,'库存与收货'!$A$5:$A$676,'库存与收货'!$H$5:$H$676,0)+XLOOKUP(A431,'库存与收货'!$A$5:$A$676,'库存与收货'!$J$5:$J$676,0)</x:f>
        <x:v>5.587355831469726</x:v>
      </x:c>
      <x:c r="J431" s="21" t="n">
        <x:f>MAX(0,1-ABS(F431-I431)/MAX(I431,0.01))</x:f>
        <x:v>0.8677090152743525</x:v>
      </x:c>
      <x:c r="K431" s="21" t="n">
        <x:f>MAX(0,1-ABS(H431-I431)/MAX(I431,0.01))</x:f>
        <x:v>0.9008615179476462</x:v>
      </x:c>
      <x:c r="L431" s="24" t="n">
        <x:f>MAX(I431-H431,0)</x:f>
        <x:v>0.5539219758182758</x:v>
      </x:c>
      <x:c r="M431" s="24" t="n">
        <x:f>MAX(H431-I431,0)</x:f>
        <x:v>0</x:v>
      </x:c>
      <x:c r="N431" s="19" t="str">
        <x:v>陈颖</x:v>
      </x:c>
      <x:c r="O431" s="19" t="str">
        <x:v>S-按销量/BOM/日型生成</x:v>
      </x:c>
    </x:row>
    <x:row r="432">
      <x:c r="A432" s="19" t="str">
        <x:v>2026-07-07|S06|鲈鱼</x:v>
      </x:c>
      <x:c r="B432" s="34" t="n">
        <x:v>46210.5</x:v>
      </x:c>
      <x:c r="C432" s="19" t="str">
        <x:v>S06</x:v>
      </x:c>
      <x:c r="D432" s="19" t="str">
        <x:v>蓝钻天城店</x:v>
      </x:c>
      <x:c r="E432" s="19" t="str">
        <x:v>鲈鱼</x:v>
      </x:c>
      <x:c r="F432" s="32" t="n">
        <x:v>3.6982942489978443</x:v>
      </x:c>
      <x:c r="G432" s="32" t="n">
        <x:v>3.6610429977680385</x:v>
      </x:c>
      <x:c r="H432" s="24" t="n">
        <x:f>G432</x:f>
        <x:v>3.6610429977680385</x:v>
      </x:c>
      <x:c r="I432" s="24" t="n">
        <x:f>XLOOKUP(A432,'库存与收货'!$A$5:$A$676,'库存与收货'!$H$5:$H$676,0)+XLOOKUP(A432,'库存与收货'!$A$5:$A$676,'库存与收货'!$J$5:$J$676,0)</x:f>
        <x:v>3.583718878853535</x:v>
      </x:c>
      <x:c r="J432" s="21" t="n">
        <x:f>MAX(0,1-ABS(F432-I432)/MAX(I432,0.01))</x:f>
        <x:v>0.9680289179990136</x:v>
      </x:c>
      <x:c r="K432" s="21" t="n">
        <x:f>MAX(0,1-ABS(H432-I432)/MAX(I432,0.01))</x:f>
        <x:v>0.9784234976212084</x:v>
      </x:c>
      <x:c r="L432" s="24" t="n">
        <x:f>MAX(I432-H432,0)</x:f>
        <x:v>0</x:v>
      </x:c>
      <x:c r="M432" s="24" t="n">
        <x:f>MAX(H432-I432,0)</x:f>
        <x:v>0.07732411891450353</x:v>
      </x:c>
      <x:c r="N432" s="19" t="str">
        <x:v>陈颖</x:v>
      </x:c>
      <x:c r="O432" s="19" t="str">
        <x:v>S-按销量/BOM/日型生成</x:v>
      </x:c>
    </x:row>
    <x:row r="433">
      <x:c r="A433" s="19" t="str">
        <x:v>2026-07-07|S06|酸包菜</x:v>
      </x:c>
      <x:c r="B433" s="34" t="n">
        <x:v>46210.5</x:v>
      </x:c>
      <x:c r="C433" s="19" t="str">
        <x:v>S06</x:v>
      </x:c>
      <x:c r="D433" s="19" t="str">
        <x:v>蓝钻天城店</x:v>
      </x:c>
      <x:c r="E433" s="19" t="str">
        <x:v>酸包菜</x:v>
      </x:c>
      <x:c r="F433" s="32" t="n">
        <x:v>6.745090997342836</x:v>
      </x:c>
      <x:c r="G433" s="32" t="n">
        <x:v>6.752567777000824</x:v>
      </x:c>
      <x:c r="H433" s="24" t="n">
        <x:f>G433</x:f>
        <x:v>6.752567777000824</x:v>
      </x:c>
      <x:c r="I433" s="24" t="n">
        <x:f>XLOOKUP(A433,'库存与收货'!$A$5:$A$676,'库存与收货'!$H$5:$H$676,0)+XLOOKUP(A433,'库存与收货'!$A$5:$A$676,'库存与收货'!$J$5:$J$676,0)</x:f>
        <x:v>6.76429972490978</x:v>
      </x:c>
      <x:c r="J433" s="21" t="n">
        <x:f>MAX(0,1-ABS(F433-I433)/MAX(I433,0.01))</x:f>
        <x:v>0.9971602784695943</x:v>
      </x:c>
      <x:c r="K433" s="21" t="n">
        <x:f>MAX(0,1-ABS(H433-I433)/MAX(I433,0.01))</x:f>
        <x:v>0.9982656079141862</x:v>
      </x:c>
      <x:c r="L433" s="24" t="n">
        <x:f>MAX(I433-H433,0)</x:f>
        <x:v>0.011731947908955931</x:v>
      </x:c>
      <x:c r="M433" s="24" t="n">
        <x:f>MAX(H433-I433,0)</x:f>
        <x:v>0</x:v>
      </x:c>
      <x:c r="N433" s="19" t="str">
        <x:v>陈颖</x:v>
      </x:c>
      <x:c r="O433" s="19" t="str">
        <x:v>S-按销量/BOM/日型生成</x:v>
      </x:c>
    </x:row>
    <x:row r="434">
      <x:c r="A434" s="19" t="str">
        <x:v>2026-07-07|S06|粉皮</x:v>
      </x:c>
      <x:c r="B434" s="34" t="n">
        <x:v>46210.5</x:v>
      </x:c>
      <x:c r="C434" s="19" t="str">
        <x:v>S06</x:v>
      </x:c>
      <x:c r="D434" s="19" t="str">
        <x:v>蓝钻天城店</x:v>
      </x:c>
      <x:c r="E434" s="19" t="str">
        <x:v>粉皮</x:v>
      </x:c>
      <x:c r="F434" s="32" t="n">
        <x:v>5.321558666239465</x:v>
      </x:c>
      <x:c r="G434" s="32" t="n">
        <x:v>5.2404553273906105</x:v>
      </x:c>
      <x:c r="H434" s="24" t="n">
        <x:f>G434</x:f>
        <x:v>5.2404553273906105</x:v>
      </x:c>
      <x:c r="I434" s="24" t="n">
        <x:f>XLOOKUP(A434,'库存与收货'!$A$5:$A$676,'库存与收货'!$H$5:$H$676,0)+XLOOKUP(A434,'库存与收货'!$A$5:$A$676,'库存与收货'!$J$5:$J$676,0)</x:f>
        <x:v>5.027935459515822</x:v>
      </x:c>
      <x:c r="J434" s="21" t="n">
        <x:f>MAX(0,1-ABS(F434-I434)/MAX(I434,0.01))</x:f>
        <x:v>0.941601635683701</x:v>
      </x:c>
      <x:c r="K434" s="21" t="n">
        <x:f>MAX(0,1-ABS(H434-I434)/MAX(I434,0.01))</x:f>
        <x:v>0.9577321806164844</x:v>
      </x:c>
      <x:c r="L434" s="24" t="n">
        <x:f>MAX(I434-H434,0)</x:f>
        <x:v>0</x:v>
      </x:c>
      <x:c r="M434" s="24" t="n">
        <x:f>MAX(H434-I434,0)</x:f>
        <x:v>0.21251986787478838</x:v>
      </x:c>
      <x:c r="N434" s="19" t="str">
        <x:v>陈颖</x:v>
      </x:c>
      <x:c r="O434" s="19" t="str">
        <x:v>S-按销量/BOM/日型生成</x:v>
      </x:c>
    </x:row>
    <x:row r="435">
      <x:c r="A435" s="19" t="str">
        <x:v>2026-07-07|S06|鸡杂</x:v>
      </x:c>
      <x:c r="B435" s="34" t="n">
        <x:v>46210.5</x:v>
      </x:c>
      <x:c r="C435" s="19" t="str">
        <x:v>S06</x:v>
      </x:c>
      <x:c r="D435" s="19" t="str">
        <x:v>蓝钻天城店</x:v>
      </x:c>
      <x:c r="E435" s="19" t="str">
        <x:v>鸡杂</x:v>
      </x:c>
      <x:c r="F435" s="32" t="n">
        <x:v>3.036713043357753</x:v>
      </x:c>
      <x:c r="G435" s="32" t="n">
        <x:v>3.181441830618725</x:v>
      </x:c>
      <x:c r="H435" s="24" t="n">
        <x:f>G435</x:f>
        <x:v>3.181441830618725</x:v>
      </x:c>
      <x:c r="I435" s="24" t="n">
        <x:f>XLOOKUP(A435,'库存与收货'!$A$5:$A$676,'库存与收货'!$H$5:$H$676,0)+XLOOKUP(A435,'库存与收货'!$A$5:$A$676,'库存与收货'!$J$5:$J$676,0)</x:f>
        <x:v>3.590460903407764</x:v>
      </x:c>
      <x:c r="J435" s="21" t="n">
        <x:f>MAX(0,1-ABS(F435-I435)/MAX(I435,0.01))</x:f>
        <x:v>0.8457724857762858</x:v>
      </x:c>
      <x:c r="K435" s="21" t="n">
        <x:f>MAX(0,1-ABS(H435-I435)/MAX(I435,0.01))</x:f>
        <x:v>0.8860817360799466</x:v>
      </x:c>
      <x:c r="L435" s="24" t="n">
        <x:f>MAX(I435-H435,0)</x:f>
        <x:v>0.40901907278903904</x:v>
      </x:c>
      <x:c r="M435" s="24" t="n">
        <x:f>MAX(H435-I435,0)</x:f>
        <x:v>0</x:v>
      </x:c>
      <x:c r="N435" s="19" t="str">
        <x:v>陈颖</x:v>
      </x:c>
      <x:c r="O435" s="19" t="str">
        <x:v>S-按销量/BOM/日型生成</x:v>
      </x:c>
    </x:row>
    <x:row r="436">
      <x:c r="A436" s="19" t="str">
        <x:v>2026-07-07|S06|豆腐</x:v>
      </x:c>
      <x:c r="B436" s="34" t="n">
        <x:v>46210.5</x:v>
      </x:c>
      <x:c r="C436" s="19" t="str">
        <x:v>S06</x:v>
      </x:c>
      <x:c r="D436" s="19" t="str">
        <x:v>蓝钻天城店</x:v>
      </x:c>
      <x:c r="E436" s="19" t="str">
        <x:v>豆腐</x:v>
      </x:c>
      <x:c r="F436" s="32" t="n">
        <x:v>18.812313978463685</x:v>
      </x:c>
      <x:c r="G436" s="32" t="n">
        <x:v>19.971139492907042</x:v>
      </x:c>
      <x:c r="H436" s="24" t="n">
        <x:f>G436</x:f>
        <x:v>19.971139492907042</x:v>
      </x:c>
      <x:c r="I436" s="24" t="n">
        <x:f>XLOOKUP(A436,'库存与收货'!$A$5:$A$676,'库存与收货'!$H$5:$H$676,0)+XLOOKUP(A436,'库存与收货'!$A$5:$A$676,'库存与收货'!$J$5:$J$676,0)</x:f>
        <x:v>21.688606857934175</x:v>
      </x:c>
      <x:c r="J436" s="21" t="n">
        <x:f>MAX(0,1-ABS(F436-I436)/MAX(I436,0.01))</x:f>
        <x:v>0.8673823128285311</x:v>
      </x:c>
      <x:c r="K436" s="21" t="n">
        <x:f>MAX(0,1-ABS(H436-I436)/MAX(I436,0.01))</x:f>
        <x:v>0.9208124626778946</x:v>
      </x:c>
      <x:c r="L436" s="24" t="n">
        <x:f>MAX(I436-H436,0)</x:f>
        <x:v>1.717467365027133</x:v>
      </x:c>
      <x:c r="M436" s="24" t="n">
        <x:f>MAX(H436-I436,0)</x:f>
        <x:v>0</x:v>
      </x:c>
      <x:c r="N436" s="19" t="str">
        <x:v>陈颖</x:v>
      </x:c>
      <x:c r="O436" s="19" t="str">
        <x:v>S-按销量/BOM/日型生成</x:v>
      </x:c>
    </x:row>
    <x:row r="437">
      <x:c r="A437" s="19" t="str">
        <x:v>2026-07-08|S06|瘦肉片</x:v>
      </x:c>
      <x:c r="B437" s="34" t="n">
        <x:v>46211.5</x:v>
      </x:c>
      <x:c r="C437" s="19" t="str">
        <x:v>S06</x:v>
      </x:c>
      <x:c r="D437" s="19" t="str">
        <x:v>蓝钻天城店</x:v>
      </x:c>
      <x:c r="E437" s="19" t="str">
        <x:v>瘦肉片</x:v>
      </x:c>
      <x:c r="F437" s="32" t="n">
        <x:v>10.347219055300277</x:v>
      </x:c>
      <x:c r="G437" s="32" t="n">
        <x:v>10.816776806655685</x:v>
      </x:c>
      <x:c r="H437" s="24" t="n">
        <x:f>G437</x:f>
        <x:v>10.816776806655685</x:v>
      </x:c>
      <x:c r="I437" s="24" t="n">
        <x:f>XLOOKUP(A437,'库存与收货'!$A$5:$A$676,'库存与收货'!$H$5:$H$676,0)+XLOOKUP(A437,'库存与收货'!$A$5:$A$676,'库存与收货'!$J$5:$J$676,0)</x:f>
        <x:v>11.537575059323006</x:v>
      </x:c>
      <x:c r="J437" s="21" t="n">
        <x:f>MAX(0,1-ABS(F437-I437)/MAX(I437,0.01))</x:f>
        <x:v>0.8968278864577479</x:v>
      </x:c>
      <x:c r="K437" s="21" t="n">
        <x:f>MAX(0,1-ABS(H437-I437)/MAX(I437,0.01))</x:f>
        <x:v>0.9375260183391072</x:v>
      </x:c>
      <x:c r="L437" s="24" t="n">
        <x:f>MAX(I437-H437,0)</x:f>
        <x:v>0.7207982526673202</x:v>
      </x:c>
      <x:c r="M437" s="24" t="n">
        <x:f>MAX(H437-I437,0)</x:f>
        <x:v>0</x:v>
      </x:c>
      <x:c r="N437" s="19" t="str">
        <x:v>陈颖</x:v>
      </x:c>
      <x:c r="O437" s="19" t="str">
        <x:v>S-按销量/BOM/日型生成</x:v>
      </x:c>
    </x:row>
    <x:row r="438">
      <x:c r="A438" s="19" t="str">
        <x:v>2026-07-08|S06|肥肉片</x:v>
      </x:c>
      <x:c r="B438" s="34" t="n">
        <x:v>46211.5</x:v>
      </x:c>
      <x:c r="C438" s="19" t="str">
        <x:v>S06</x:v>
      </x:c>
      <x:c r="D438" s="19" t="str">
        <x:v>蓝钻天城店</x:v>
      </x:c>
      <x:c r="E438" s="19" t="str">
        <x:v>肥肉片</x:v>
      </x:c>
      <x:c r="F438" s="32" t="n">
        <x:v>3.3160296167917434</x:v>
      </x:c>
      <x:c r="G438" s="32" t="n">
        <x:v>3.311523925876897</x:v>
      </x:c>
      <x:c r="H438" s="24" t="n">
        <x:f>G438</x:f>
        <x:v>3.311523925876897</x:v>
      </x:c>
      <x:c r="I438" s="24" t="n">
        <x:f>XLOOKUP(A438,'库存与收货'!$A$5:$A$676,'库存与收货'!$H$5:$H$676,0)+XLOOKUP(A438,'库存与收货'!$A$5:$A$676,'库存与收货'!$J$5:$J$676,0)</x:f>
        <x:v>3.303199496405013</x:v>
      </x:c>
      <x:c r="J438" s="21" t="n">
        <x:f>MAX(0,1-ABS(F438-I438)/MAX(I438,0.01))</x:f>
        <x:v>0.9961158505864711</x:v>
      </x:c>
      <x:c r="K438" s="21" t="n">
        <x:f>MAX(0,1-ABS(H438-I438)/MAX(I438,0.01))</x:f>
        <x:v>0.9974798889740253</x:v>
      </x:c>
      <x:c r="L438" s="24" t="n">
        <x:f>MAX(I438-H438,0)</x:f>
        <x:v>0</x:v>
      </x:c>
      <x:c r="M438" s="24" t="n">
        <x:f>MAX(H438-I438,0)</x:f>
        <x:v>0.008324429471884276</x:v>
      </x:c>
      <x:c r="N438" s="19" t="str">
        <x:v>陈颖</x:v>
      </x:c>
      <x:c r="O438" s="19" t="str">
        <x:v>S-按销量/BOM/日型生成</x:v>
      </x:c>
    </x:row>
    <x:row r="439">
      <x:c r="A439" s="19" t="str">
        <x:v>2026-07-08|S06|牛肉片</x:v>
      </x:c>
      <x:c r="B439" s="34" t="n">
        <x:v>46211.5</x:v>
      </x:c>
      <x:c r="C439" s="19" t="str">
        <x:v>S06</x:v>
      </x:c>
      <x:c r="D439" s="19" t="str">
        <x:v>蓝钻天城店</x:v>
      </x:c>
      <x:c r="E439" s="19" t="str">
        <x:v>牛肉片</x:v>
      </x:c>
      <x:c r="F439" s="32" t="n">
        <x:v>7.258894877604291</x:v>
      </x:c>
      <x:c r="G439" s="32" t="n">
        <x:v>7.5783545755729795</x:v>
      </x:c>
      <x:c r="H439" s="24" t="n">
        <x:f>G439</x:f>
        <x:v>7.5783545755729795</x:v>
      </x:c>
      <x:c r="I439" s="24" t="n">
        <x:f>XLOOKUP(A439,'库存与收货'!$A$5:$A$676,'库存与收货'!$H$5:$H$676,0)+XLOOKUP(A439,'库存与收货'!$A$5:$A$676,'库存与收货'!$J$5:$J$676,0)</x:f>
        <x:v>8.487295652597048</x:v>
      </x:c>
      <x:c r="J439" s="21" t="n">
        <x:f>MAX(0,1-ABS(F439-I439)/MAX(I439,0.01))</x:f>
        <x:v>0.8552659380238656</x:v>
      </x:c>
      <x:c r="K439" s="21" t="n">
        <x:f>MAX(0,1-ABS(H439-I439)/MAX(I439,0.01))</x:f>
        <x:v>0.8929056893704487</x:v>
      </x:c>
      <x:c r="L439" s="24" t="n">
        <x:f>MAX(I439-H439,0)</x:f>
        <x:v>0.9089410770240685</x:v>
      </x:c>
      <x:c r="M439" s="24" t="n">
        <x:f>MAX(H439-I439,0)</x:f>
        <x:v>0</x:v>
      </x:c>
      <x:c r="N439" s="19" t="str">
        <x:v>陈颖</x:v>
      </x:c>
      <x:c r="O439" s="19" t="str">
        <x:v>S-按销量/BOM/日型生成</x:v>
      </x:c>
    </x:row>
    <x:row r="440">
      <x:c r="A440" s="19" t="str">
        <x:v>2026-07-08|S06|螺丝椒</x:v>
      </x:c>
      <x:c r="B440" s="34" t="n">
        <x:v>46211.5</x:v>
      </x:c>
      <x:c r="C440" s="19" t="str">
        <x:v>S06</x:v>
      </x:c>
      <x:c r="D440" s="19" t="str">
        <x:v>蓝钻天城店</x:v>
      </x:c>
      <x:c r="E440" s="19" t="str">
        <x:v>螺丝椒</x:v>
      </x:c>
      <x:c r="F440" s="32" t="n">
        <x:v>11.428317607699032</x:v>
      </x:c>
      <x:c r="G440" s="32" t="n">
        <x:v>11.648268814129677</x:v>
      </x:c>
      <x:c r="H440" s="24" t="n">
        <x:f>G440</x:f>
        <x:v>11.648268814129677</x:v>
      </x:c>
      <x:c r="I440" s="24" t="n">
        <x:f>XLOOKUP(A440,'库存与收货'!$A$5:$A$676,'库存与收货'!$H$5:$H$676,0)+XLOOKUP(A440,'库存与收货'!$A$5:$A$676,'库存与收货'!$J$5:$J$676,0)</x:f>
        <x:v>12.028099914734042</x:v>
      </x:c>
      <x:c r="J440" s="21" t="n">
        <x:f>MAX(0,1-ABS(F440-I440)/MAX(I440,0.01))</x:f>
        <x:v>0.9501349081495162</x:v>
      </x:c>
      <x:c r="K440" s="21" t="n">
        <x:f>MAX(0,1-ABS(H440-I440)/MAX(I440,0.01))</x:f>
        <x:v>0.9684213547196192</x:v>
      </x:c>
      <x:c r="L440" s="24" t="n">
        <x:f>MAX(I440-H440,0)</x:f>
        <x:v>0.3798311006043651</x:v>
      </x:c>
      <x:c r="M440" s="24" t="n">
        <x:f>MAX(H440-I440,0)</x:f>
        <x:v>0</x:v>
      </x:c>
      <x:c r="N440" s="19" t="str">
        <x:v>陈颖</x:v>
      </x:c>
      <x:c r="O440" s="19" t="str">
        <x:v>S-按销量/BOM/日型生成</x:v>
      </x:c>
    </x:row>
    <x:row r="441">
      <x:c r="A441" s="19" t="str">
        <x:v>2026-07-08|S06|青湖南椒圈</x:v>
      </x:c>
      <x:c r="B441" s="34" t="n">
        <x:v>46211.5</x:v>
      </x:c>
      <x:c r="C441" s="19" t="str">
        <x:v>S06</x:v>
      </x:c>
      <x:c r="D441" s="19" t="str">
        <x:v>蓝钻天城店</x:v>
      </x:c>
      <x:c r="E441" s="19" t="str">
        <x:v>青湖南椒圈</x:v>
      </x:c>
      <x:c r="F441" s="32" t="n">
        <x:v>1.8443001684154603</x:v>
      </x:c>
      <x:c r="G441" s="32" t="n">
        <x:v>1.807089384277836</x:v>
      </x:c>
      <x:c r="H441" s="24" t="n">
        <x:f>G441</x:f>
        <x:v>1.807089384277836</x:v>
      </x:c>
      <x:c r="I441" s="24" t="n">
        <x:f>XLOOKUP(A441,'库存与收货'!$A$5:$A$676,'库存与收货'!$H$5:$H$676,0)+XLOOKUP(A441,'库存与收货'!$A$5:$A$676,'库存与收货'!$J$5:$J$676,0)</x:f>
        <x:v>1.7444584285978828</x:v>
      </x:c>
      <x:c r="J441" s="21" t="n">
        <x:f>MAX(0,1-ABS(F441-I441)/MAX(I441,0.01))</x:f>
        <x:v>0.9427663404407832</x:v>
      </x:c>
      <x:c r="K441" s="21" t="n">
        <x:f>MAX(0,1-ABS(H441-I441)/MAX(I441,0.01))</x:f>
        <x:v>0.9640971921983299</x:v>
      </x:c>
      <x:c r="L441" s="24" t="n">
        <x:f>MAX(I441-H441,0)</x:f>
        <x:v>0</x:v>
      </x:c>
      <x:c r="M441" s="24" t="n">
        <x:f>MAX(H441-I441,0)</x:f>
        <x:v>0.06263095567995314</x:v>
      </x:c>
      <x:c r="N441" s="19" t="str">
        <x:v>陈颖</x:v>
      </x:c>
      <x:c r="O441" s="19" t="str">
        <x:v>S-按销量/BOM/日型生成</x:v>
      </x:c>
    </x:row>
    <x:row r="442">
      <x:c r="A442" s="19" t="str">
        <x:v>2026-07-08|S06|鸡蛋</x:v>
      </x:c>
      <x:c r="B442" s="34" t="n">
        <x:v>46211.5</x:v>
      </x:c>
      <x:c r="C442" s="19" t="str">
        <x:v>S06</x:v>
      </x:c>
      <x:c r="D442" s="19" t="str">
        <x:v>蓝钻天城店</x:v>
      </x:c>
      <x:c r="E442" s="19" t="str">
        <x:v>鸡蛋</x:v>
      </x:c>
      <x:c r="F442" s="32" t="n">
        <x:v>14.21278370925614</x:v>
      </x:c>
      <x:c r="G442" s="32" t="n">
        <x:v>14.8219367997635</x:v>
      </x:c>
      <x:c r="H442" s="24" t="n">
        <x:f>G442</x:f>
        <x:v>14.8219367997635</x:v>
      </x:c>
      <x:c r="I442" s="24" t="n">
        <x:f>XLOOKUP(A442,'库存与收货'!$A$5:$A$676,'库存与收货'!$H$5:$H$676,0)+XLOOKUP(A442,'库存与收货'!$A$5:$A$676,'库存与收货'!$J$5:$J$676,0)</x:f>
        <x:v>15.951693038786573</x:v>
      </x:c>
      <x:c r="J442" s="21" t="n">
        <x:f>MAX(0,1-ABS(F442-I442)/MAX(I442,0.01))</x:f>
        <x:v>0.8909890426488103</x:v>
      </x:c>
      <x:c r="K442" s="21" t="n">
        <x:f>MAX(0,1-ABS(H442-I442)/MAX(I442,0.01))</x:f>
        <x:v>0.9291764055215915</x:v>
      </x:c>
      <x:c r="L442" s="24" t="n">
        <x:f>MAX(I442-H442,0)</x:f>
        <x:v>1.129756239023072</x:v>
      </x:c>
      <x:c r="M442" s="24" t="n">
        <x:f>MAX(H442-I442,0)</x:f>
        <x:v>0</x:v>
      </x:c>
      <x:c r="N442" s="19" t="str">
        <x:v>陈颖</x:v>
      </x:c>
      <x:c r="O442" s="19" t="str">
        <x:v>S-按销量/BOM/日型生成</x:v>
      </x:c>
    </x:row>
    <x:row r="443">
      <x:c r="A443" s="19" t="str">
        <x:v>2026-07-08|S06|鸡肉</x:v>
      </x:c>
      <x:c r="B443" s="34" t="n">
        <x:v>46211.5</x:v>
      </x:c>
      <x:c r="C443" s="19" t="str">
        <x:v>S06</x:v>
      </x:c>
      <x:c r="D443" s="19" t="str">
        <x:v>蓝钻天城店</x:v>
      </x:c>
      <x:c r="E443" s="19" t="str">
        <x:v>鸡肉</x:v>
      </x:c>
      <x:c r="F443" s="32" t="n">
        <x:v>5.53780689797761</x:v>
      </x:c>
      <x:c r="G443" s="32" t="n">
        <x:v>5.387910215570666</x:v>
      </x:c>
      <x:c r="H443" s="24" t="n">
        <x:f>G443</x:f>
        <x:v>5.387910215570666</x:v>
      </x:c>
      <x:c r="I443" s="24" t="n">
        <x:f>XLOOKUP(A443,'库存与收货'!$A$5:$A$676,'库存与收货'!$H$5:$H$676,0)+XLOOKUP(A443,'库存与收货'!$A$5:$A$676,'库存与收货'!$J$5:$J$676,0)</x:f>
        <x:v>5.147832735662019</x:v>
      </x:c>
      <x:c r="J443" s="21" t="n">
        <x:f>MAX(0,1-ABS(F443-I443)/MAX(I443,0.01))</x:f>
        <x:v>0.9242449818514858</x:v>
      </x:c>
      <x:c r="K443" s="21" t="n">
        <x:f>MAX(0,1-ABS(H443-I443)/MAX(I443,0.01))</x:f>
        <x:v>0.9533633876164057</x:v>
      </x:c>
      <x:c r="L443" s="24" t="n">
        <x:f>MAX(I443-H443,0)</x:f>
        <x:v>0</x:v>
      </x:c>
      <x:c r="M443" s="24" t="n">
        <x:f>MAX(H443-I443,0)</x:f>
        <x:v>0.24007747990864736</x:v>
      </x:c>
      <x:c r="N443" s="19" t="str">
        <x:v>陈颖</x:v>
      </x:c>
      <x:c r="O443" s="19" t="str">
        <x:v>S-按销量/BOM/日型生成</x:v>
      </x:c>
    </x:row>
    <x:row r="444">
      <x:c r="A444" s="19" t="str">
        <x:v>2026-07-08|S06|鲈鱼</x:v>
      </x:c>
      <x:c r="B444" s="34" t="n">
        <x:v>46211.5</x:v>
      </x:c>
      <x:c r="C444" s="19" t="str">
        <x:v>S06</x:v>
      </x:c>
      <x:c r="D444" s="19" t="str">
        <x:v>蓝钻天城店</x:v>
      </x:c>
      <x:c r="E444" s="19" t="str">
        <x:v>鲈鱼</x:v>
      </x:c>
      <x:c r="F444" s="32" t="n">
        <x:v>3.5625819179464435</x:v>
      </x:c>
      <x:c r="G444" s="32" t="n">
        <x:v>3.3631010112932778</x:v>
      </x:c>
      <x:c r="H444" s="24" t="n">
        <x:f>G444</x:f>
        <x:v>3.3631010112932778</x:v>
      </x:c>
      <x:c r="I444" s="24" t="n">
        <x:f>XLOOKUP(A444,'库存与收货'!$A$5:$A$676,'库存与收货'!$H$5:$H$676,0)+XLOOKUP(A444,'库存与收货'!$A$5:$A$676,'库存与收货'!$J$5:$J$676,0)</x:f>
        <x:v>3.0624065768875663</x:v>
      </x:c>
      <x:c r="J444" s="21" t="n">
        <x:f>MAX(0,1-ABS(F444-I444)/MAX(I444,0.01))</x:f>
        <x:v>0.8366724572648929</x:v>
      </x:c>
      <x:c r="K444" s="21" t="n">
        <x:f>MAX(0,1-ABS(H444-I444)/MAX(I444,0.01))</x:f>
        <x:v>0.901811066931773</x:v>
      </x:c>
      <x:c r="L444" s="24" t="n">
        <x:f>MAX(I444-H444,0)</x:f>
        <x:v>0</x:v>
      </x:c>
      <x:c r="M444" s="24" t="n">
        <x:f>MAX(H444-I444,0)</x:f>
        <x:v>0.3006944344057114</x:v>
      </x:c>
      <x:c r="N444" s="19" t="str">
        <x:v>陈颖</x:v>
      </x:c>
      <x:c r="O444" s="19" t="str">
        <x:v>S-按销量/BOM/日型生成</x:v>
      </x:c>
    </x:row>
    <x:row r="445">
      <x:c r="A445" s="19" t="str">
        <x:v>2026-07-08|S06|酸包菜</x:v>
      </x:c>
      <x:c r="B445" s="34" t="n">
        <x:v>46211.5</x:v>
      </x:c>
      <x:c r="C445" s="19" t="str">
        <x:v>S06</x:v>
      </x:c>
      <x:c r="D445" s="19" t="str">
        <x:v>蓝钻天城店</x:v>
      </x:c>
      <x:c r="E445" s="19" t="str">
        <x:v>酸包菜</x:v>
      </x:c>
      <x:c r="F445" s="32" t="n">
        <x:v>6.803437965874998</x:v>
      </x:c>
      <x:c r="G445" s="32" t="n">
        <x:v>7.00896013752102</x:v>
      </x:c>
      <x:c r="H445" s="24" t="n">
        <x:f>G445</x:f>
        <x:v>7.00896013752102</x:v>
      </x:c>
      <x:c r="I445" s="24" t="n">
        <x:f>XLOOKUP(A445,'库存与收货'!$A$5:$A$676,'库存与收货'!$H$5:$H$676,0)+XLOOKUP(A445,'库存与收货'!$A$5:$A$676,'库存与收货'!$J$5:$J$676,0)</x:f>
        <x:v>7.405566200643212</x:v>
      </x:c>
      <x:c r="J445" s="21" t="n">
        <x:f>MAX(0,1-ABS(F445-I445)/MAX(I445,0.01))</x:f>
        <x:v>0.9186924782718281</x:v>
      </x:c>
      <x:c r="K445" s="21" t="n">
        <x:f>MAX(0,1-ABS(H445-I445)/MAX(I445,0.01))</x:f>
        <x:v>0.9464448696592916</x:v>
      </x:c>
      <x:c r="L445" s="24" t="n">
        <x:f>MAX(I445-H445,0)</x:f>
        <x:v>0.39660606312219127</x:v>
      </x:c>
      <x:c r="M445" s="24" t="n">
        <x:f>MAX(H445-I445,0)</x:f>
        <x:v>0</x:v>
      </x:c>
      <x:c r="N445" s="19" t="str">
        <x:v>陈颖</x:v>
      </x:c>
      <x:c r="O445" s="19" t="str">
        <x:v>S-按销量/BOM/日型生成</x:v>
      </x:c>
    </x:row>
    <x:row r="446">
      <x:c r="A446" s="19" t="str">
        <x:v>2026-07-08|S06|粉皮</x:v>
      </x:c>
      <x:c r="B446" s="34" t="n">
        <x:v>46211.5</x:v>
      </x:c>
      <x:c r="C446" s="19" t="str">
        <x:v>S06</x:v>
      </x:c>
      <x:c r="D446" s="19" t="str">
        <x:v>蓝钻天城店</x:v>
      </x:c>
      <x:c r="E446" s="19" t="str">
        <x:v>粉皮</x:v>
      </x:c>
      <x:c r="F446" s="32" t="n">
        <x:v>5.996060957033395</x:v>
      </x:c>
      <x:c r="G446" s="32" t="n">
        <x:v>5.881867502033644</x:v>
      </x:c>
      <x:c r="H446" s="24" t="n">
        <x:f>G446</x:f>
        <x:v>5.881867502033644</x:v>
      </x:c>
      <x:c r="I446" s="24" t="n">
        <x:f>XLOOKUP(A446,'库存与收货'!$A$5:$A$676,'库存与收货'!$H$5:$H$676,0)+XLOOKUP(A446,'库存与收货'!$A$5:$A$676,'库存与收货'!$J$5:$J$676,0)</x:f>
        <x:v>5.5819921580241045</x:v>
      </x:c>
      <x:c r="J446" s="21" t="n">
        <x:f>MAX(0,1-ABS(F446-I446)/MAX(I446,0.01))</x:f>
        <x:v>0.9258206053883349</x:v>
      </x:c>
      <x:c r="K446" s="21" t="n">
        <x:f>MAX(0,1-ABS(H446-I446)/MAX(I446,0.01))</x:f>
        <x:v>0.9462780785926994</x:v>
      </x:c>
      <x:c r="L446" s="24" t="n">
        <x:f>MAX(I446-H446,0)</x:f>
        <x:v>0</x:v>
      </x:c>
      <x:c r="M446" s="24" t="n">
        <x:f>MAX(H446-I446,0)</x:f>
        <x:v>0.2998753440095392</x:v>
      </x:c>
      <x:c r="N446" s="19" t="str">
        <x:v>陈颖</x:v>
      </x:c>
      <x:c r="O446" s="19" t="str">
        <x:v>S-按销量/BOM/日型生成</x:v>
      </x:c>
    </x:row>
    <x:row r="447">
      <x:c r="A447" s="19" t="str">
        <x:v>2026-07-08|S06|鸡杂</x:v>
      </x:c>
      <x:c r="B447" s="34" t="n">
        <x:v>46211.5</x:v>
      </x:c>
      <x:c r="C447" s="19" t="str">
        <x:v>S06</x:v>
      </x:c>
      <x:c r="D447" s="19" t="str">
        <x:v>蓝钻天城店</x:v>
      </x:c>
      <x:c r="E447" s="19" t="str">
        <x:v>鸡杂</x:v>
      </x:c>
      <x:c r="F447" s="32" t="n">
        <x:v>3.8532565655397</x:v>
      </x:c>
      <x:c r="G447" s="32" t="n">
        <x:v>3.6312427172919173</x:v>
      </x:c>
      <x:c r="H447" s="24" t="n">
        <x:f>G447</x:f>
        <x:v>3.6312427172919173</x:v>
      </x:c>
      <x:c r="I447" s="24" t="n">
        <x:f>XLOOKUP(A447,'库存与收货'!$A$5:$A$676,'库存与收货'!$H$5:$H$676,0)+XLOOKUP(A447,'库存与收货'!$A$5:$A$676,'库存与收货'!$J$5:$J$676,0)</x:f>
        <x:v>3.315110731105113</x:v>
      </x:c>
      <x:c r="J447" s="21" t="n">
        <x:f>MAX(0,1-ABS(F447-I447)/MAX(I447,0.01))</x:f>
        <x:v>0.8376688207168295</x:v>
      </x:c>
      <x:c r="K447" s="21" t="n">
        <x:f>MAX(0,1-ABS(H447-I447)/MAX(I447,0.01))</x:f>
        <x:v>0.9046390869479586</x:v>
      </x:c>
      <x:c r="L447" s="24" t="n">
        <x:f>MAX(I447-H447,0)</x:f>
        <x:v>0</x:v>
      </x:c>
      <x:c r="M447" s="24" t="n">
        <x:f>MAX(H447-I447,0)</x:f>
        <x:v>0.31613198618680416</x:v>
      </x:c>
      <x:c r="N447" s="19" t="str">
        <x:v>陈颖</x:v>
      </x:c>
      <x:c r="O447" s="19" t="str">
        <x:v>S-按销量/BOM/日型生成</x:v>
      </x:c>
    </x:row>
    <x:row r="448">
      <x:c r="A448" s="19" t="str">
        <x:v>2026-07-08|S06|豆腐</x:v>
      </x:c>
      <x:c r="B448" s="34" t="n">
        <x:v>46211.5</x:v>
      </x:c>
      <x:c r="C448" s="19" t="str">
        <x:v>S06</x:v>
      </x:c>
      <x:c r="D448" s="19" t="str">
        <x:v>蓝钻天城店</x:v>
      </x:c>
      <x:c r="E448" s="19" t="str">
        <x:v>豆腐</x:v>
      </x:c>
      <x:c r="F448" s="32" t="n">
        <x:v>21.62854747943767</x:v>
      </x:c>
      <x:c r="G448" s="32" t="n">
        <x:v>21.23552635750551</x:v>
      </x:c>
      <x:c r="H448" s="24" t="n">
        <x:f>G448</x:f>
        <x:v>21.23552635750551</x:v>
      </x:c>
      <x:c r="I448" s="24" t="n">
        <x:f>XLOOKUP(A448,'库存与收货'!$A$5:$A$676,'库存与收货'!$H$5:$H$676,0)+XLOOKUP(A448,'库存与收货'!$A$5:$A$676,'库存与收货'!$J$5:$J$676,0)</x:f>
        <x:v>20.427118737000768</x:v>
      </x:c>
      <x:c r="J448" s="21" t="n">
        <x:f>MAX(0,1-ABS(F448-I448)/MAX(I448,0.01))</x:f>
        <x:v>0.9411846204104797</x:v>
      </x:c>
      <x:c r="K448" s="21" t="n">
        <x:f>MAX(0,1-ABS(H448-I448)/MAX(I448,0.01))</x:f>
        <x:v>0.9604247847719988</x:v>
      </x:c>
      <x:c r="L448" s="24" t="n">
        <x:f>MAX(I448-H448,0)</x:f>
        <x:v>0</x:v>
      </x:c>
      <x:c r="M448" s="24" t="n">
        <x:f>MAX(H448-I448,0)</x:f>
        <x:v>0.8084076205047417</x:v>
      </x:c>
      <x:c r="N448" s="19" t="str">
        <x:v>陈颖</x:v>
      </x:c>
      <x:c r="O448" s="19" t="str">
        <x:v>S-按销量/BOM/日型生成</x:v>
      </x:c>
    </x:row>
    <x:row r="449">
      <x:c r="A449" s="19" t="str">
        <x:v>2026-07-09|S06|瘦肉片</x:v>
      </x:c>
      <x:c r="B449" s="34" t="n">
        <x:v>46212.5</x:v>
      </x:c>
      <x:c r="C449" s="19" t="str">
        <x:v>S06</x:v>
      </x:c>
      <x:c r="D449" s="19" t="str">
        <x:v>蓝钻天城店</x:v>
      </x:c>
      <x:c r="E449" s="19" t="str">
        <x:v>瘦肉片</x:v>
      </x:c>
      <x:c r="F449" s="32" t="n">
        <x:v>10.98159764313446</x:v>
      </x:c>
      <x:c r="G449" s="32" t="n">
        <x:v>11.232213290036743</x:v>
      </x:c>
      <x:c r="H449" s="24" t="n">
        <x:f>G449</x:f>
        <x:v>11.232213290036743</x:v>
      </x:c>
      <x:c r="I449" s="24" t="n">
        <x:f>XLOOKUP(A449,'库存与收货'!$A$5:$A$676,'库存与收货'!$H$5:$H$676,0)+XLOOKUP(A449,'库存与收货'!$A$5:$A$676,'库存与收货'!$J$5:$J$676,0)</x:f>
        <x:v>11.606316294940495</x:v>
      </x:c>
      <x:c r="J449" s="21" t="n">
        <x:f>MAX(0,1-ABS(F449-I449)/MAX(I449,0.01))</x:f>
        <x:v>0.9461742523699473</x:v>
      </x:c>
      <x:c r="K449" s="21" t="n">
        <x:f>MAX(0,1-ABS(H449-I449)/MAX(I449,0.01))</x:f>
        <x:v>0.9677672919299267</x:v>
      </x:c>
      <x:c r="L449" s="24" t="n">
        <x:f>MAX(I449-H449,0)</x:f>
        <x:v>0.3741030049037519</x:v>
      </x:c>
      <x:c r="M449" s="24" t="n">
        <x:f>MAX(H449-I449,0)</x:f>
        <x:v>0</x:v>
      </x:c>
      <x:c r="N449" s="19" t="str">
        <x:v>陈颖</x:v>
      </x:c>
      <x:c r="O449" s="19" t="str">
        <x:v>S-按销量/BOM/日型生成</x:v>
      </x:c>
    </x:row>
    <x:row r="450">
      <x:c r="A450" s="19" t="str">
        <x:v>2026-07-09|S06|肥肉片</x:v>
      </x:c>
      <x:c r="B450" s="34" t="n">
        <x:v>46212.5</x:v>
      </x:c>
      <x:c r="C450" s="19" t="str">
        <x:v>S06</x:v>
      </x:c>
      <x:c r="D450" s="19" t="str">
        <x:v>蓝钻天城店</x:v>
      </x:c>
      <x:c r="E450" s="19" t="str">
        <x:v>肥肉片</x:v>
      </x:c>
      <x:c r="F450" s="32" t="n">
        <x:v>2.992156531022977</x:v>
      </x:c>
      <x:c r="G450" s="32" t="n">
        <x:v>3.124447405575833</x:v>
      </x:c>
      <x:c r="H450" s="24" t="n">
        <x:f>G450</x:f>
        <x:v>3.124447405575833</x:v>
      </x:c>
      <x:c r="I450" s="24" t="n">
        <x:f>XLOOKUP(A450,'库存与收货'!$A$5:$A$676,'库存与收货'!$H$5:$H$676,0)+XLOOKUP(A450,'库存与收货'!$A$5:$A$676,'库存与收货'!$J$5:$J$676,0)</x:f>
        <x:v>3.330003809337796</x:v>
      </x:c>
      <x:c r="J450" s="21" t="n">
        <x:f>MAX(0,1-ABS(F450-I450)/MAX(I450,0.01))</x:f>
        <x:v>0.8985444769259879</x:v>
      </x:c>
      <x:c r="K450" s="21" t="n">
        <x:f>MAX(0,1-ABS(H450-I450)/MAX(I450,0.01))</x:f>
        <x:v>0.9382714208357498</x:v>
      </x:c>
      <x:c r="L450" s="24" t="n">
        <x:f>MAX(I450-H450,0)</x:f>
        <x:v>0.20555640376196305</x:v>
      </x:c>
      <x:c r="M450" s="24" t="n">
        <x:f>MAX(H450-I450,0)</x:f>
        <x:v>0</x:v>
      </x:c>
      <x:c r="N450" s="19" t="str">
        <x:v>陈颖</x:v>
      </x:c>
      <x:c r="O450" s="19" t="str">
        <x:v>S-按销量/BOM/日型生成</x:v>
      </x:c>
    </x:row>
    <x:row r="451">
      <x:c r="A451" s="19" t="str">
        <x:v>2026-07-09|S06|牛肉片</x:v>
      </x:c>
      <x:c r="B451" s="34" t="n">
        <x:v>46212.5</x:v>
      </x:c>
      <x:c r="C451" s="19" t="str">
        <x:v>S06</x:v>
      </x:c>
      <x:c r="D451" s="19" t="str">
        <x:v>蓝钻天城店</x:v>
      </x:c>
      <x:c r="E451" s="19" t="str">
        <x:v>牛肉片</x:v>
      </x:c>
      <x:c r="F451" s="32" t="n">
        <x:v>8.656242752905117</x:v>
      </x:c>
      <x:c r="G451" s="32" t="n">
        <x:v>8.24779199229858</x:v>
      </x:c>
      <x:c r="H451" s="24" t="n">
        <x:f>G451</x:f>
        <x:v>8.24779199229858</x:v>
      </x:c>
      <x:c r="I451" s="24" t="n">
        <x:f>XLOOKUP(A451,'库存与收货'!$A$5:$A$676,'库存与收货'!$H$5:$H$676,0)+XLOOKUP(A451,'库存与收货'!$A$5:$A$676,'库存与收货'!$J$5:$J$676,0)</x:f>
        <x:v>7.680979421535386</x:v>
      </x:c>
      <x:c r="J451" s="21" t="n">
        <x:f>MAX(0,1-ABS(F451-I451)/MAX(I451,0.01))</x:f>
        <x:v>0.8730287795544203</x:v>
      </x:c>
      <x:c r="K451" s="21" t="n">
        <x:f>MAX(0,1-ABS(H451-I451)/MAX(I451,0.01))</x:f>
        <x:v>0.926205690751624</x:v>
      </x:c>
      <x:c r="L451" s="24" t="n">
        <x:f>MAX(I451-H451,0)</x:f>
        <x:v>0</x:v>
      </x:c>
      <x:c r="M451" s="24" t="n">
        <x:f>MAX(H451-I451,0)</x:f>
        <x:v>0.5668125707631946</x:v>
      </x:c>
      <x:c r="N451" s="19" t="str">
        <x:v>陈颖</x:v>
      </x:c>
      <x:c r="O451" s="19" t="str">
        <x:v>S-按销量/BOM/日型生成</x:v>
      </x:c>
    </x:row>
    <x:row r="452">
      <x:c r="A452" s="19" t="str">
        <x:v>2026-07-09|S06|螺丝椒</x:v>
      </x:c>
      <x:c r="B452" s="34" t="n">
        <x:v>46212.5</x:v>
      </x:c>
      <x:c r="C452" s="19" t="str">
        <x:v>S06</x:v>
      </x:c>
      <x:c r="D452" s="19" t="str">
        <x:v>蓝钻天城店</x:v>
      </x:c>
      <x:c r="E452" s="19" t="str">
        <x:v>螺丝椒</x:v>
      </x:c>
      <x:c r="F452" s="32" t="n">
        <x:v>14.069418697620824</x:v>
      </x:c>
      <x:c r="G452" s="32" t="n">
        <x:v>13.414983360779313</x:v>
      </x:c>
      <x:c r="H452" s="24" t="n">
        <x:f>G452</x:f>
        <x:v>13.414983360779313</x:v>
      </x:c>
      <x:c r="I452" s="24" t="n">
        <x:f>XLOOKUP(A452,'库存与收货'!$A$5:$A$676,'库存与收货'!$H$5:$H$676,0)+XLOOKUP(A452,'库存与收货'!$A$5:$A$676,'库存与收货'!$J$5:$J$676,0)</x:f>
        <x:v>12.184118957163387</x:v>
      </x:c>
      <x:c r="J452" s="21" t="n">
        <x:f>MAX(0,1-ABS(F452-I452)/MAX(I452,0.01))</x:f>
        <x:v>0.8452658130566744</x:v>
      </x:c>
      <x:c r="K452" s="21" t="n">
        <x:f>MAX(0,1-ABS(H452-I452)/MAX(I452,0.01))</x:f>
        <x:v>0.8989779722322666</x:v>
      </x:c>
      <x:c r="L452" s="24" t="n">
        <x:f>MAX(I452-H452,0)</x:f>
        <x:v>0</x:v>
      </x:c>
      <x:c r="M452" s="24" t="n">
        <x:f>MAX(H452-I452,0)</x:f>
        <x:v>1.2308644036159269</x:v>
      </x:c>
      <x:c r="N452" s="19" t="str">
        <x:v>陈颖</x:v>
      </x:c>
      <x:c r="O452" s="19" t="str">
        <x:v>S-按销量/BOM/日型生成</x:v>
      </x:c>
    </x:row>
    <x:row r="453">
      <x:c r="A453" s="19" t="str">
        <x:v>2026-07-09|S06|青湖南椒圈</x:v>
      </x:c>
      <x:c r="B453" s="34" t="n">
        <x:v>46212.5</x:v>
      </x:c>
      <x:c r="C453" s="19" t="str">
        <x:v>S06</x:v>
      </x:c>
      <x:c r="D453" s="19" t="str">
        <x:v>蓝钻天城店</x:v>
      </x:c>
      <x:c r="E453" s="19" t="str">
        <x:v>青湖南椒圈</x:v>
      </x:c>
      <x:c r="F453" s="32" t="n">
        <x:v>1.6108059534925392</x:v>
      </x:c>
      <x:c r="G453" s="32" t="n">
        <x:v>1.7249495034728581</x:v>
      </x:c>
      <x:c r="H453" s="24" t="n">
        <x:f>G453</x:f>
        <x:v>1.7249495034728581</x:v>
      </x:c>
      <x:c r="I453" s="24" t="n">
        <x:f>XLOOKUP(A453,'库存与收货'!$A$5:$A$676,'库存与收货'!$H$5:$H$676,0)+XLOOKUP(A453,'库存与收货'!$A$5:$A$676,'库存与收货'!$J$5:$J$676,0)</x:f>
        <x:v>1.8700004885846284</x:v>
      </x:c>
      <x:c r="J453" s="21" t="n">
        <x:f>MAX(0,1-ABS(F453-I453)/MAX(I453,0.01))</x:f>
        <x:v>0.8613933329566832</x:v>
      </x:c>
      <x:c r="K453" s="21" t="n">
        <x:f>MAX(0,1-ABS(H453-I453)/MAX(I453,0.01))</x:f>
        <x:v>0.9224326485489013</x:v>
      </x:c>
      <x:c r="L453" s="24" t="n">
        <x:f>MAX(I453-H453,0)</x:f>
        <x:v>0.14505098511177028</x:v>
      </x:c>
      <x:c r="M453" s="24" t="n">
        <x:f>MAX(H453-I453,0)</x:f>
        <x:v>0</x:v>
      </x:c>
      <x:c r="N453" s="19" t="str">
        <x:v>陈颖</x:v>
      </x:c>
      <x:c r="O453" s="19" t="str">
        <x:v>S-按销量/BOM/日型生成</x:v>
      </x:c>
    </x:row>
    <x:row r="454">
      <x:c r="A454" s="19" t="str">
        <x:v>2026-07-09|S06|鸡蛋</x:v>
      </x:c>
      <x:c r="B454" s="34" t="n">
        <x:v>46212.5</x:v>
      </x:c>
      <x:c r="C454" s="19" t="str">
        <x:v>S06</x:v>
      </x:c>
      <x:c r="D454" s="19" t="str">
        <x:v>蓝钻天城店</x:v>
      </x:c>
      <x:c r="E454" s="19" t="str">
        <x:v>鸡蛋</x:v>
      </x:c>
      <x:c r="F454" s="32" t="n">
        <x:v>18.128269467319914</x:v>
      </x:c>
      <x:c r="G454" s="32" t="n">
        <x:v>17.498353835098985</x:v>
      </x:c>
      <x:c r="H454" s="24" t="n">
        <x:f>G454</x:f>
        <x:v>17.498353835098985</x:v>
      </x:c>
      <x:c r="I454" s="24" t="n">
        <x:f>XLOOKUP(A454,'库存与收货'!$A$5:$A$676,'库存与收货'!$H$5:$H$676,0)+XLOOKUP(A454,'库存与收货'!$A$5:$A$676,'库存与收货'!$J$5:$J$676,0)</x:f>
        <x:v>15.770663336439329</x:v>
      </x:c>
      <x:c r="J454" s="21" t="n">
        <x:f>MAX(0,1-ABS(F454-I454)/MAX(I454,0.01))</x:f>
        <x:v>0.8505068505626421</x:v>
      </x:c>
      <x:c r="K454" s="21" t="n">
        <x:f>MAX(0,1-ABS(H454-I454)/MAX(I454,0.01))</x:f>
        <x:v>0.8904490913411552</x:v>
      </x:c>
      <x:c r="L454" s="24" t="n">
        <x:f>MAX(I454-H454,0)</x:f>
        <x:v>0</x:v>
      </x:c>
      <x:c r="M454" s="24" t="n">
        <x:f>MAX(H454-I454,0)</x:f>
        <x:v>1.7276904986596566</x:v>
      </x:c>
      <x:c r="N454" s="19" t="str">
        <x:v>陈颖</x:v>
      </x:c>
      <x:c r="O454" s="19" t="str">
        <x:v>S-按销量/BOM/日型生成</x:v>
      </x:c>
    </x:row>
    <x:row r="455">
      <x:c r="A455" s="19" t="str">
        <x:v>2026-07-09|S06|鸡肉</x:v>
      </x:c>
      <x:c r="B455" s="34" t="n">
        <x:v>46212.5</x:v>
      </x:c>
      <x:c r="C455" s="19" t="str">
        <x:v>S06</x:v>
      </x:c>
      <x:c r="D455" s="19" t="str">
        <x:v>蓝钻天城店</x:v>
      </x:c>
      <x:c r="E455" s="19" t="str">
        <x:v>鸡肉</x:v>
      </x:c>
      <x:c r="F455" s="32" t="n">
        <x:v>5.318588135315287</x:v>
      </x:c>
      <x:c r="G455" s="32" t="n">
        <x:v>5.214860491538091</x:v>
      </x:c>
      <x:c r="H455" s="24" t="n">
        <x:f>G455</x:f>
        <x:v>5.214860491538091</x:v>
      </x:c>
      <x:c r="I455" s="24" t="n">
        <x:f>XLOOKUP(A455,'库存与收货'!$A$5:$A$676,'库存与收货'!$H$5:$H$676,0)+XLOOKUP(A455,'库存与收货'!$A$5:$A$676,'库存与收货'!$J$5:$J$676,0)</x:f>
        <x:v>5.074104145318062</x:v>
      </x:c>
      <x:c r="J455" s="21" t="n">
        <x:f>MAX(0,1-ABS(F455-I455)/MAX(I455,0.01))</x:f>
        <x:v>0.9518173094214446</x:v>
      </x:c>
      <x:c r="K455" s="21" t="n">
        <x:f>MAX(0,1-ABS(H455-I455)/MAX(I455,0.01))</x:f>
        <x:v>0.9722598625907379</x:v>
      </x:c>
      <x:c r="L455" s="24" t="n">
        <x:f>MAX(I455-H455,0)</x:f>
        <x:v>0</x:v>
      </x:c>
      <x:c r="M455" s="24" t="n">
        <x:f>MAX(H455-I455,0)</x:f>
        <x:v>0.1407563462200292</x:v>
      </x:c>
      <x:c r="N455" s="19" t="str">
        <x:v>陈颖</x:v>
      </x:c>
      <x:c r="O455" s="19" t="str">
        <x:v>S-按销量/BOM/日型生成</x:v>
      </x:c>
    </x:row>
    <x:row r="456">
      <x:c r="A456" s="19" t="str">
        <x:v>2026-07-09|S06|鲈鱼</x:v>
      </x:c>
      <x:c r="B456" s="34" t="n">
        <x:v>46212.5</x:v>
      </x:c>
      <x:c r="C456" s="19" t="str">
        <x:v>S06</x:v>
      </x:c>
      <x:c r="D456" s="19" t="str">
        <x:v>蓝钻天城店</x:v>
      </x:c>
      <x:c r="E456" s="19" t="str">
        <x:v>鲈鱼</x:v>
      </x:c>
      <x:c r="F456" s="32" t="n">
        <x:v>2.821810764989068</x:v>
      </x:c>
      <x:c r="G456" s="32" t="n">
        <x:v>2.9058931475478533</x:v>
      </x:c>
      <x:c r="H456" s="24" t="n">
        <x:f>G456</x:f>
        <x:v>2.9058931475478533</x:v>
      </x:c>
      <x:c r="I456" s="24" t="n">
        <x:f>XLOOKUP(A456,'库存与收货'!$A$5:$A$676,'库存与收货'!$H$5:$H$676,0)+XLOOKUP(A456,'库存与收货'!$A$5:$A$676,'库存与收货'!$J$5:$J$676,0)</x:f>
        <x:v>3.11946906220854</x:v>
      </x:c>
      <x:c r="J456" s="21" t="n">
        <x:f>MAX(0,1-ABS(F456-I456)/MAX(I456,0.01))</x:f>
        <x:v>0.9045804618402804</x:v>
      </x:c>
      <x:c r="K456" s="21" t="n">
        <x:f>MAX(0,1-ABS(H456-I456)/MAX(I456,0.01))</x:f>
        <x:v>0.9315345302673148</x:v>
      </x:c>
      <x:c r="L456" s="24" t="n">
        <x:f>MAX(I456-H456,0)</x:f>
        <x:v>0.21357591466068682</x:v>
      </x:c>
      <x:c r="M456" s="24" t="n">
        <x:f>MAX(H456-I456,0)</x:f>
        <x:v>0</x:v>
      </x:c>
      <x:c r="N456" s="19" t="str">
        <x:v>陈颖</x:v>
      </x:c>
      <x:c r="O456" s="19" t="str">
        <x:v>S-按销量/BOM/日型生成</x:v>
      </x:c>
    </x:row>
    <x:row r="457">
      <x:c r="A457" s="19" t="str">
        <x:v>2026-07-09|S06|酸包菜</x:v>
      </x:c>
      <x:c r="B457" s="34" t="n">
        <x:v>46212.5</x:v>
      </x:c>
      <x:c r="C457" s="19" t="str">
        <x:v>S06</x:v>
      </x:c>
      <x:c r="D457" s="19" t="str">
        <x:v>蓝钻天城店</x:v>
      </x:c>
      <x:c r="E457" s="19" t="str">
        <x:v>酸包菜</x:v>
      </x:c>
      <x:c r="F457" s="32" t="n">
        <x:v>6.1501568711169075</x:v>
      </x:c>
      <x:c r="G457" s="32" t="n">
        <x:v>6.523515651406921</x:v>
      </x:c>
      <x:c r="H457" s="24" t="n">
        <x:f>G457</x:f>
        <x:v>6.523515651406921</x:v>
      </x:c>
      <x:c r="I457" s="24" t="n">
        <x:f>XLOOKUP(A457,'库存与收货'!$A$5:$A$676,'库存与收货'!$H$5:$H$676,0)+XLOOKUP(A457,'库存与收货'!$A$5:$A$676,'库存与收货'!$J$5:$J$676,0)</x:f>
        <x:v>7.196892065140859</x:v>
      </x:c>
      <x:c r="J457" s="21" t="n">
        <x:f>MAX(0,1-ABS(F457-I457)/MAX(I457,0.01))</x:f>
        <x:v>0.8545573305046552</x:v>
      </x:c>
      <x:c r="K457" s="21" t="n">
        <x:f>MAX(0,1-ABS(H457-I457)/MAX(I457,0.01))</x:f>
        <x:v>0.9064351100948798</x:v>
      </x:c>
      <x:c r="L457" s="24" t="n">
        <x:f>MAX(I457-H457,0)</x:f>
        <x:v>0.673376413733938</x:v>
      </x:c>
      <x:c r="M457" s="24" t="n">
        <x:f>MAX(H457-I457,0)</x:f>
        <x:v>0</x:v>
      </x:c>
      <x:c r="N457" s="19" t="str">
        <x:v>陈颖</x:v>
      </x:c>
      <x:c r="O457" s="19" t="str">
        <x:v>S-按销量/BOM/日型生成</x:v>
      </x:c>
    </x:row>
    <x:row r="458">
      <x:c r="A458" s="19" t="str">
        <x:v>2026-07-09|S06|粉皮</x:v>
      </x:c>
      <x:c r="B458" s="34" t="n">
        <x:v>46212.5</x:v>
      </x:c>
      <x:c r="C458" s="19" t="str">
        <x:v>S06</x:v>
      </x:c>
      <x:c r="D458" s="19" t="str">
        <x:v>蓝钻天城店</x:v>
      </x:c>
      <x:c r="E458" s="19" t="str">
        <x:v>粉皮</x:v>
      </x:c>
      <x:c r="F458" s="32" t="n">
        <x:v>5.403144963609666</x:v>
      </x:c>
      <x:c r="G458" s="32" t="n">
        <x:v>5.423008825225067</x:v>
      </x:c>
      <x:c r="H458" s="24" t="n">
        <x:f>G458</x:f>
        <x:v>5.423008825225067</x:v>
      </x:c>
      <x:c r="I458" s="24" t="n">
        <x:f>XLOOKUP(A458,'库存与收货'!$A$5:$A$676,'库存与收货'!$H$5:$H$676,0)+XLOOKUP(A458,'库存与收货'!$A$5:$A$676,'库存与收货'!$J$5:$J$676,0)</x:f>
        <x:v>5.454181221816789</x:v>
      </x:c>
      <x:c r="J458" s="21" t="n">
        <x:f>MAX(0,1-ABS(F458-I458)/MAX(I458,0.01))</x:f>
        <x:v>0.990642727820818</x:v>
      </x:c>
      <x:c r="K458" s="21" t="n">
        <x:f>MAX(0,1-ABS(H458-I458)/MAX(I458,0.01))</x:f>
        <x:v>0.994284678978573</x:v>
      </x:c>
      <x:c r="L458" s="24" t="n">
        <x:f>MAX(I458-H458,0)</x:f>
        <x:v>0.031172396591721885</x:v>
      </x:c>
      <x:c r="M458" s="24" t="n">
        <x:f>MAX(H458-I458,0)</x:f>
        <x:v>0</x:v>
      </x:c>
      <x:c r="N458" s="19" t="str">
        <x:v>陈颖</x:v>
      </x:c>
      <x:c r="O458" s="19" t="str">
        <x:v>S-按销量/BOM/日型生成</x:v>
      </x:c>
    </x:row>
    <x:row r="459">
      <x:c r="A459" s="19" t="str">
        <x:v>2026-07-09|S06|鸡杂</x:v>
      </x:c>
      <x:c r="B459" s="34" t="n">
        <x:v>46212.5</x:v>
      </x:c>
      <x:c r="C459" s="19" t="str">
        <x:v>S06</x:v>
      </x:c>
      <x:c r="D459" s="19" t="str">
        <x:v>蓝钻天城店</x:v>
      </x:c>
      <x:c r="E459" s="19" t="str">
        <x:v>鸡杂</x:v>
      </x:c>
      <x:c r="F459" s="32" t="n">
        <x:v>2.640463094133487</x:v>
      </x:c>
      <x:c r="G459" s="32" t="n">
        <x:v>2.7695650099669322</x:v>
      </x:c>
      <x:c r="H459" s="24" t="n">
        <x:f>G459</x:f>
        <x:v>2.7695650099669322</x:v>
      </x:c>
      <x:c r="I459" s="24" t="n">
        <x:f>XLOOKUP(A459,'库存与收货'!$A$5:$A$676,'库存与收货'!$H$5:$H$676,0)+XLOOKUP(A459,'库存与收货'!$A$5:$A$676,'库存与收货'!$J$5:$J$676,0)</x:f>
        <x:v>3.0474620572110784</x:v>
      </x:c>
      <x:c r="J459" s="21" t="n">
        <x:f>MAX(0,1-ABS(F459-I459)/MAX(I459,0.01))</x:f>
        <x:v>0.8664465855728942</x:v>
      </x:c>
      <x:c r="K459" s="21" t="n">
        <x:f>MAX(0,1-ABS(H459-I459)/MAX(I459,0.01))</x:f>
        <x:v>0.9088103339673843</x:v>
      </x:c>
      <x:c r="L459" s="24" t="n">
        <x:f>MAX(I459-H459,0)</x:f>
        <x:v>0.2778970472441462</x:v>
      </x:c>
      <x:c r="M459" s="24" t="n">
        <x:f>MAX(H459-I459,0)</x:f>
        <x:v>0</x:v>
      </x:c>
      <x:c r="N459" s="19" t="str">
        <x:v>陈颖</x:v>
      </x:c>
      <x:c r="O459" s="19" t="str">
        <x:v>S-按销量/BOM/日型生成</x:v>
      </x:c>
    </x:row>
    <x:row r="460">
      <x:c r="A460" s="19" t="str">
        <x:v>2026-07-09|S06|豆腐</x:v>
      </x:c>
      <x:c r="B460" s="34" t="n">
        <x:v>46212.5</x:v>
      </x:c>
      <x:c r="C460" s="19" t="str">
        <x:v>S06</x:v>
      </x:c>
      <x:c r="D460" s="19" t="str">
        <x:v>蓝钻天城店</x:v>
      </x:c>
      <x:c r="E460" s="19" t="str">
        <x:v>豆腐</x:v>
      </x:c>
      <x:c r="F460" s="32" t="n">
        <x:v>24.460693887514704</x:v>
      </x:c>
      <x:c r="G460" s="32" t="n">
        <x:v>23.483326181302676</x:v>
      </x:c>
      <x:c r="H460" s="24" t="n">
        <x:f>G460</x:f>
        <x:v>23.483326181302676</x:v>
      </x:c>
      <x:c r="I460" s="24" t="n">
        <x:f>XLOOKUP(A460,'库存与收货'!$A$5:$A$676,'库存与收货'!$H$5:$H$676,0)+XLOOKUP(A460,'库存与收货'!$A$5:$A$676,'库存与收货'!$J$5:$J$676,0)</x:f>
        <x:v>20.81981104825153</x:v>
      </x:c>
      <x:c r="J460" s="21" t="n">
        <x:f>MAX(0,1-ABS(F460-I460)/MAX(I460,0.01))</x:f>
        <x:v>0.8251241170813153</x:v>
      </x:c>
      <x:c r="K460" s="21" t="n">
        <x:f>MAX(0,1-ABS(H460-I460)/MAX(I460,0.01))</x:f>
        <x:v>0.8720682369845605</x:v>
      </x:c>
      <x:c r="L460" s="24" t="n">
        <x:f>MAX(I460-H460,0)</x:f>
        <x:v>0</x:v>
      </x:c>
      <x:c r="M460" s="24" t="n">
        <x:f>MAX(H460-I460,0)</x:f>
        <x:v>2.6635151330511455</x:v>
      </x:c>
      <x:c r="N460" s="19" t="str">
        <x:v>陈颖</x:v>
      </x:c>
      <x:c r="O460" s="19" t="str">
        <x:v>S-按销量/BOM/日型生成</x:v>
      </x:c>
    </x:row>
    <x:row r="461">
      <x:c r="A461" s="19" t="str">
        <x:v>2026-07-10|S06|瘦肉片</x:v>
      </x:c>
      <x:c r="B461" s="34" t="n">
        <x:v>46213.5</x:v>
      </x:c>
      <x:c r="C461" s="19" t="str">
        <x:v>S06</x:v>
      </x:c>
      <x:c r="D461" s="19" t="str">
        <x:v>蓝钻天城店</x:v>
      </x:c>
      <x:c r="E461" s="19" t="str">
        <x:v>瘦肉片</x:v>
      </x:c>
      <x:c r="F461" s="32" t="n">
        <x:v>9.857090081836647</x:v>
      </x:c>
      <x:c r="G461" s="32" t="n">
        <x:v>10.335216312348505</x:v>
      </x:c>
      <x:c r="H461" s="24" t="n">
        <x:f>G461</x:f>
        <x:v>10.335216312348505</x:v>
      </x:c>
      <x:c r="I461" s="24" t="n">
        <x:f>XLOOKUP(A461,'库存与收货'!$A$5:$A$676,'库存与收货'!$H$5:$H$676,0)+XLOOKUP(A461,'库存与收货'!$A$5:$A$676,'库存与收货'!$J$5:$J$676,0)</x:f>
        <x:v>11.348631399747944</x:v>
      </x:c>
      <x:c r="J461" s="21" t="n">
        <x:f>MAX(0,1-ABS(F461-I461)/MAX(I461,0.01))</x:f>
        <x:v>0.8685708200951505</x:v>
      </x:c>
      <x:c r="K461" s="21" t="n">
        <x:f>MAX(0,1-ABS(H461-I461)/MAX(I461,0.01))</x:f>
        <x:v>0.9107015593596646</x:v>
      </x:c>
      <x:c r="L461" s="24" t="n">
        <x:f>MAX(I461-H461,0)</x:f>
        <x:v>1.013415087399439</x:v>
      </x:c>
      <x:c r="M461" s="24" t="n">
        <x:f>MAX(H461-I461,0)</x:f>
        <x:v>0</x:v>
      </x:c>
      <x:c r="N461" s="19" t="str">
        <x:v>陈颖</x:v>
      </x:c>
      <x:c r="O461" s="19" t="str">
        <x:v>S-按销量/BOM/日型生成</x:v>
      </x:c>
    </x:row>
    <x:row r="462">
      <x:c r="A462" s="19" t="str">
        <x:v>2026-07-10|S06|肥肉片</x:v>
      </x:c>
      <x:c r="B462" s="34" t="n">
        <x:v>46213.5</x:v>
      </x:c>
      <x:c r="C462" s="19" t="str">
        <x:v>S06</x:v>
      </x:c>
      <x:c r="D462" s="19" t="str">
        <x:v>蓝钻天城店</x:v>
      </x:c>
      <x:c r="E462" s="19" t="str">
        <x:v>肥肉片</x:v>
      </x:c>
      <x:c r="F462" s="32" t="n">
        <x:v>3.669521592616544</x:v>
      </x:c>
      <x:c r="G462" s="32" t="n">
        <x:v>3.493109502266866</x:v>
      </x:c>
      <x:c r="H462" s="24" t="n">
        <x:f>G462</x:f>
        <x:v>3.493109502266866</x:v>
      </x:c>
      <x:c r="I462" s="24" t="n">
        <x:f>XLOOKUP(A462,'库存与收货'!$A$5:$A$676,'库存与收货'!$H$5:$H$676,0)+XLOOKUP(A462,'库存与收货'!$A$5:$A$676,'库存与收货'!$J$5:$J$676,0)</x:f>
        <x:v>3.2758164788508015</x:v>
      </x:c>
      <x:c r="J462" s="21" t="n">
        <x:f>MAX(0,1-ABS(F462-I462)/MAX(I462,0.01))</x:f>
        <x:v>0.8798146610753179</x:v>
      </x:c>
      <x:c r="K462" s="21" t="n">
        <x:f>MAX(0,1-ABS(H462-I462)/MAX(I462,0.01))</x:f>
        <x:v>0.9336675223355939</x:v>
      </x:c>
      <x:c r="L462" s="24" t="n">
        <x:f>MAX(I462-H462,0)</x:f>
        <x:v>0</x:v>
      </x:c>
      <x:c r="M462" s="24" t="n">
        <x:f>MAX(H462-I462,0)</x:f>
        <x:v>0.21729302341606438</x:v>
      </x:c>
      <x:c r="N462" s="19" t="str">
        <x:v>陈颖</x:v>
      </x:c>
      <x:c r="O462" s="19" t="str">
        <x:v>S-按销量/BOM/日型生成</x:v>
      </x:c>
    </x:row>
    <x:row r="463">
      <x:c r="A463" s="19" t="str">
        <x:v>2026-07-10|S06|牛肉片</x:v>
      </x:c>
      <x:c r="B463" s="34" t="n">
        <x:v>46213.5</x:v>
      </x:c>
      <x:c r="C463" s="19" t="str">
        <x:v>S06</x:v>
      </x:c>
      <x:c r="D463" s="19" t="str">
        <x:v>蓝钻天城店</x:v>
      </x:c>
      <x:c r="E463" s="19" t="str">
        <x:v>牛肉片</x:v>
      </x:c>
      <x:c r="F463" s="32" t="n">
        <x:v>6.972720910529614</x:v>
      </x:c>
      <x:c r="G463" s="32" t="n">
        <x:v>7.479192046017821</x:v>
      </x:c>
      <x:c r="H463" s="24" t="n">
        <x:f>G463</x:f>
        <x:v>7.479192046017821</x:v>
      </x:c>
      <x:c r="I463" s="24" t="n">
        <x:f>XLOOKUP(A463,'库存与收货'!$A$5:$A$676,'库存与收货'!$H$5:$H$676,0)+XLOOKUP(A463,'库存与收货'!$A$5:$A$676,'库存与收货'!$J$5:$J$676,0)</x:f>
        <x:v>8.258256656783226</x:v>
      </x:c>
      <x:c r="J463" s="21" t="n">
        <x:f>MAX(0,1-ABS(F463-I463)/MAX(I463,0.01))</x:f>
        <x:v>0.8443332776297658</x:v>
      </x:c>
      <x:c r="K463" s="21" t="n">
        <x:f>MAX(0,1-ABS(H463-I463)/MAX(I463,0.01))</x:f>
        <x:v>0.905662339747519</x:v>
      </x:c>
      <x:c r="L463" s="24" t="n">
        <x:f>MAX(I463-H463,0)</x:f>
        <x:v>0.7790646107654053</x:v>
      </x:c>
      <x:c r="M463" s="24" t="n">
        <x:f>MAX(H463-I463,0)</x:f>
        <x:v>0</x:v>
      </x:c>
      <x:c r="N463" s="19" t="str">
        <x:v>陈颖</x:v>
      </x:c>
      <x:c r="O463" s="19" t="str">
        <x:v>S-按销量/BOM/日型生成</x:v>
      </x:c>
    </x:row>
    <x:row r="464">
      <x:c r="A464" s="19" t="str">
        <x:v>2026-07-10|S06|螺丝椒</x:v>
      </x:c>
      <x:c r="B464" s="34" t="n">
        <x:v>46213.5</x:v>
      </x:c>
      <x:c r="C464" s="19" t="str">
        <x:v>S06</x:v>
      </x:c>
      <x:c r="D464" s="19" t="str">
        <x:v>蓝钻天城店</x:v>
      </x:c>
      <x:c r="E464" s="19" t="str">
        <x:v>螺丝椒</x:v>
      </x:c>
      <x:c r="F464" s="32" t="n">
        <x:v>10.3441634113226</x:v>
      </x:c>
      <x:c r="G464" s="32" t="n">
        <x:v>10.61890023119392</x:v>
      </x:c>
      <x:c r="H464" s="24" t="n">
        <x:f>G464</x:f>
        <x:v>10.61890023119392</x:v>
      </x:c>
      <x:c r="I464" s="24" t="n">
        <x:f>XLOOKUP(A464,'库存与收货'!$A$5:$A$676,'库存与收货'!$H$5:$H$676,0)+XLOOKUP(A464,'库存与收货'!$A$5:$A$676,'库存与收货'!$J$5:$J$676,0)</x:f>
        <x:v>11.246310747233524</x:v>
      </x:c>
      <x:c r="J464" s="21" t="n">
        <x:f>MAX(0,1-ABS(F464-I464)/MAX(I464,0.01))</x:f>
        <x:v>0.9197828197897837</x:v>
      </x:c>
      <x:c r="K464" s="21" t="n">
        <x:f>MAX(0,1-ABS(H464-I464)/MAX(I464,0.01))</x:f>
        <x:v>0.9442118815546742</x:v>
      </x:c>
      <x:c r="L464" s="24" t="n">
        <x:f>MAX(I464-H464,0)</x:f>
        <x:v>0.6274105160396051</x:v>
      </x:c>
      <x:c r="M464" s="24" t="n">
        <x:f>MAX(H464-I464,0)</x:f>
        <x:v>0</x:v>
      </x:c>
      <x:c r="N464" s="19" t="str">
        <x:v>陈颖</x:v>
      </x:c>
      <x:c r="O464" s="19" t="str">
        <x:v>S-按销量/BOM/日型生成</x:v>
      </x:c>
    </x:row>
    <x:row r="465">
      <x:c r="A465" s="19" t="str">
        <x:v>2026-07-10|S06|青湖南椒圈</x:v>
      </x:c>
      <x:c r="B465" s="34" t="n">
        <x:v>46213.5</x:v>
      </x:c>
      <x:c r="C465" s="19" t="str">
        <x:v>S06</x:v>
      </x:c>
      <x:c r="D465" s="19" t="str">
        <x:v>蓝钻天城店</x:v>
      </x:c>
      <x:c r="E465" s="19" t="str">
        <x:v>青湖南椒圈</x:v>
      </x:c>
      <x:c r="F465" s="32" t="n">
        <x:v>1.7558483445714335</x:v>
      </x:c>
      <x:c r="G465" s="32" t="n">
        <x:v>1.8072773763461563</x:v>
      </x:c>
      <x:c r="H465" s="24" t="n">
        <x:f>G465</x:f>
        <x:v>1.8072773763461563</x:v>
      </x:c>
      <x:c r="I465" s="24" t="n">
        <x:f>XLOOKUP(A465,'库存与收货'!$A$5:$A$676,'库存与收货'!$H$5:$H$676,0)+XLOOKUP(A465,'库存与收货'!$A$5:$A$676,'库存与收货'!$J$5:$J$676,0)</x:f>
        <x:v>1.9543585678694906</x:v>
      </x:c>
      <x:c r="J465" s="21" t="n">
        <x:f>MAX(0,1-ABS(F465-I465)/MAX(I465,0.01))</x:f>
        <x:v>0.8984269178841324</x:v>
      </x:c>
      <x:c r="K465" s="21" t="n">
        <x:f>MAX(0,1-ABS(H465-I465)/MAX(I465,0.01))</x:f>
        <x:v>0.9247419619196736</x:v>
      </x:c>
      <x:c r="L465" s="24" t="n">
        <x:f>MAX(I465-H465,0)</x:f>
        <x:v>0.14708119152333432</x:v>
      </x:c>
      <x:c r="M465" s="24" t="n">
        <x:f>MAX(H465-I465,0)</x:f>
        <x:v>0</x:v>
      </x:c>
      <x:c r="N465" s="19" t="str">
        <x:v>陈颖</x:v>
      </x:c>
      <x:c r="O465" s="19" t="str">
        <x:v>S-按销量/BOM/日型生成</x:v>
      </x:c>
    </x:row>
    <x:row r="466">
      <x:c r="A466" s="19" t="str">
        <x:v>2026-07-10|S06|鸡蛋</x:v>
      </x:c>
      <x:c r="B466" s="34" t="n">
        <x:v>46213.5</x:v>
      </x:c>
      <x:c r="C466" s="19" t="str">
        <x:v>S06</x:v>
      </x:c>
      <x:c r="D466" s="19" t="str">
        <x:v>蓝钻天城店</x:v>
      </x:c>
      <x:c r="E466" s="19" t="str">
        <x:v>鸡蛋</x:v>
      </x:c>
      <x:c r="F466" s="32" t="n">
        <x:v>18.523975864482694</x:v>
      </x:c>
      <x:c r="G466" s="32" t="n">
        <x:v>17.961656348185194</x:v>
      </x:c>
      <x:c r="H466" s="24" t="n">
        <x:f>G466</x:f>
        <x:v>17.961656348185194</x:v>
      </x:c>
      <x:c r="I466" s="24" t="n">
        <x:f>XLOOKUP(A466,'库存与收货'!$A$5:$A$676,'库存与收货'!$H$5:$H$676,0)+XLOOKUP(A466,'库存与收货'!$A$5:$A$676,'库存与收货'!$J$5:$J$676,0)</x:f>
        <x:v>16.513630435735365</x:v>
      </x:c>
      <x:c r="J466" s="21" t="n">
        <x:f>MAX(0,1-ABS(F466-I466)/MAX(I466,0.01))</x:f>
        <x:v>0.8782614497417263</x:v>
      </x:c>
      <x:c r="K466" s="21" t="n">
        <x:f>MAX(0,1-ABS(H466-I466)/MAX(I466,0.01))</x:f>
        <x:v>0.9123132906428431</x:v>
      </x:c>
      <x:c r="L466" s="24" t="n">
        <x:f>MAX(I466-H466,0)</x:f>
        <x:v>0</x:v>
      </x:c>
      <x:c r="M466" s="24" t="n">
        <x:f>MAX(H466-I466,0)</x:f>
        <x:v>1.448025912449829</x:v>
      </x:c>
      <x:c r="N466" s="19" t="str">
        <x:v>陈颖</x:v>
      </x:c>
      <x:c r="O466" s="19" t="str">
        <x:v>S-按销量/BOM/日型生成</x:v>
      </x:c>
    </x:row>
    <x:row r="467">
      <x:c r="A467" s="19" t="str">
        <x:v>2026-07-10|S06|鸡肉</x:v>
      </x:c>
      <x:c r="B467" s="34" t="n">
        <x:v>46213.5</x:v>
      </x:c>
      <x:c r="C467" s="19" t="str">
        <x:v>S06</x:v>
      </x:c>
      <x:c r="D467" s="19" t="str">
        <x:v>蓝钻天城店</x:v>
      </x:c>
      <x:c r="E467" s="19" t="str">
        <x:v>鸡肉</x:v>
      </x:c>
      <x:c r="F467" s="32" t="n">
        <x:v>4.712440888948748</x:v>
      </x:c>
      <x:c r="G467" s="32" t="n">
        <x:v>4.833348655728759</x:v>
      </x:c>
      <x:c r="H467" s="24" t="n">
        <x:f>G467</x:f>
        <x:v>4.833348655728759</x:v>
      </x:c>
      <x:c r="I467" s="24" t="n">
        <x:f>XLOOKUP(A467,'库存与收货'!$A$5:$A$676,'库存与收货'!$H$5:$H$676,0)+XLOOKUP(A467,'库存与收货'!$A$5:$A$676,'库存与收货'!$J$5:$J$676,0)</x:f>
        <x:v>5.037195532570988</x:v>
      </x:c>
      <x:c r="J467" s="21" t="n">
        <x:f>MAX(0,1-ABS(F467-I467)/MAX(I467,0.01))</x:f>
        <x:v>0.9355286802899858</x:v>
      </x:c>
      <x:c r="K467" s="21" t="n">
        <x:f>MAX(0,1-ABS(H467-I467)/MAX(I467,0.01))</x:f>
        <x:v>0.9595316728278394</x:v>
      </x:c>
      <x:c r="L467" s="24" t="n">
        <x:f>MAX(I467-H467,0)</x:f>
        <x:v>0.20384687684222857</x:v>
      </x:c>
      <x:c r="M467" s="24" t="n">
        <x:f>MAX(H467-I467,0)</x:f>
        <x:v>0</x:v>
      </x:c>
      <x:c r="N467" s="19" t="str">
        <x:v>陈颖</x:v>
      </x:c>
      <x:c r="O467" s="19" t="str">
        <x:v>S-按销量/BOM/日型生成</x:v>
      </x:c>
    </x:row>
    <x:row r="468">
      <x:c r="A468" s="19" t="str">
        <x:v>2026-07-10|S06|鲈鱼</x:v>
      </x:c>
      <x:c r="B468" s="34" t="n">
        <x:v>46213.5</x:v>
      </x:c>
      <x:c r="C468" s="19" t="str">
        <x:v>S06</x:v>
      </x:c>
      <x:c r="D468" s="19" t="str">
        <x:v>蓝钻天城店</x:v>
      </x:c>
      <x:c r="E468" s="19" t="str">
        <x:v>鲈鱼</x:v>
      </x:c>
      <x:c r="F468" s="32" t="n">
        <x:v>2.7556163725402025</x:v>
      </x:c>
      <x:c r="G468" s="32" t="n">
        <x:v>2.9090685918334493</x:v>
      </x:c>
      <x:c r="H468" s="24" t="n">
        <x:f>G468</x:f>
        <x:v>2.9090685918334493</x:v>
      </x:c>
      <x:c r="I468" s="24" t="n">
        <x:f>XLOOKUP(A468,'库存与收货'!$A$5:$A$676,'库存与收货'!$H$5:$H$676,0)+XLOOKUP(A468,'库存与收货'!$A$5:$A$676,'库存与收货'!$J$5:$J$676,0)</x:f>
        <x:v>3.0978341746138955</x:v>
      </x:c>
      <x:c r="J468" s="21" t="n">
        <x:f>MAX(0,1-ABS(F468-I468)/MAX(I468,0.01))</x:f>
        <x:v>0.8895299803720623</x:v>
      </x:c>
      <x:c r="K468" s="21" t="n">
        <x:f>MAX(0,1-ABS(H468-I468)/MAX(I468,0.01))</x:f>
        <x:v>0.9390653042931282</x:v>
      </x:c>
      <x:c r="L468" s="24" t="n">
        <x:f>MAX(I468-H468,0)</x:f>
        <x:v>0.1887655827804462</x:v>
      </x:c>
      <x:c r="M468" s="24" t="n">
        <x:f>MAX(H468-I468,0)</x:f>
        <x:v>0</x:v>
      </x:c>
      <x:c r="N468" s="19" t="str">
        <x:v>陈颖</x:v>
      </x:c>
      <x:c r="O468" s="19" t="str">
        <x:v>S-按销量/BOM/日型生成</x:v>
      </x:c>
    </x:row>
    <x:row r="469">
      <x:c r="A469" s="19" t="str">
        <x:v>2026-07-10|S06|酸包菜</x:v>
      </x:c>
      <x:c r="B469" s="34" t="n">
        <x:v>46213.5</x:v>
      </x:c>
      <x:c r="C469" s="19" t="str">
        <x:v>S06</x:v>
      </x:c>
      <x:c r="D469" s="19" t="str">
        <x:v>蓝钻天城店</x:v>
      </x:c>
      <x:c r="E469" s="19" t="str">
        <x:v>酸包菜</x:v>
      </x:c>
      <x:c r="F469" s="32" t="n">
        <x:v>8.16966446486289</x:v>
      </x:c>
      <x:c r="G469" s="32" t="n">
        <x:v>8.054086291792654</x:v>
      </x:c>
      <x:c r="H469" s="24" t="n">
        <x:f>G469</x:f>
        <x:v>8.054086291792654</x:v>
      </x:c>
      <x:c r="I469" s="24" t="n">
        <x:f>XLOOKUP(A469,'库存与收货'!$A$5:$A$676,'库存与收货'!$H$5:$H$676,0)+XLOOKUP(A469,'库存与收货'!$A$5:$A$676,'库存与收货'!$J$5:$J$676,0)</x:f>
        <x:v>7.830485909874664</x:v>
      </x:c>
      <x:c r="J469" s="21" t="n">
        <x:f>MAX(0,1-ABS(F469-I469)/MAX(I469,0.01))</x:f>
        <x:v>0.9566848649123416</x:v>
      </x:c>
      <x:c r="K469" s="21" t="n">
        <x:f>MAX(0,1-ABS(H469-I469)/MAX(I469,0.01))</x:f>
        <x:v>0.9714448905864171</x:v>
      </x:c>
      <x:c r="L469" s="24" t="n">
        <x:f>MAX(I469-H469,0)</x:f>
        <x:v>0</x:v>
      </x:c>
      <x:c r="M469" s="24" t="n">
        <x:f>MAX(H469-I469,0)</x:f>
        <x:v>0.22360038191798992</x:v>
      </x:c>
      <x:c r="N469" s="19" t="str">
        <x:v>陈颖</x:v>
      </x:c>
      <x:c r="O469" s="19" t="str">
        <x:v>S-按销量/BOM/日型生成</x:v>
      </x:c>
    </x:row>
    <x:row r="470">
      <x:c r="A470" s="19" t="str">
        <x:v>2026-07-10|S06|粉皮</x:v>
      </x:c>
      <x:c r="B470" s="34" t="n">
        <x:v>46213.5</x:v>
      </x:c>
      <x:c r="C470" s="19" t="str">
        <x:v>S06</x:v>
      </x:c>
      <x:c r="D470" s="19" t="str">
        <x:v>蓝钻天城店</x:v>
      </x:c>
      <x:c r="E470" s="19" t="str">
        <x:v>粉皮</x:v>
      </x:c>
      <x:c r="F470" s="32" t="n">
        <x:v>6.176154650942799</x:v>
      </x:c>
      <x:c r="G470" s="32" t="n">
        <x:v>6.075751865661652</x:v>
      </x:c>
      <x:c r="H470" s="24" t="n">
        <x:f>G470</x:f>
        <x:v>6.075751865661652</x:v>
      </x:c>
      <x:c r="I470" s="24" t="n">
        <x:f>XLOOKUP(A470,'库存与收货'!$A$5:$A$676,'库存与收货'!$H$5:$H$676,0)+XLOOKUP(A470,'库存与收货'!$A$5:$A$676,'库存与收货'!$J$5:$J$676,0)</x:f>
        <x:v>5.832026685969794</x:v>
      </x:c>
      <x:c r="J470" s="21" t="n">
        <x:f>MAX(0,1-ABS(F470-I470)/MAX(I470,0.01))</x:f>
        <x:v>0.9409934172967899</x:v>
      </x:c>
      <x:c r="K470" s="21" t="n">
        <x:f>MAX(0,1-ABS(H470-I470)/MAX(I470,0.01))</x:f>
        <x:v>0.9582091796187778</x:v>
      </x:c>
      <x:c r="L470" s="24" t="n">
        <x:f>MAX(I470-H470,0)</x:f>
        <x:v>0</x:v>
      </x:c>
      <x:c r="M470" s="24" t="n">
        <x:f>MAX(H470-I470,0)</x:f>
        <x:v>0.24372517969185825</x:v>
      </x:c>
      <x:c r="N470" s="19" t="str">
        <x:v>陈颖</x:v>
      </x:c>
      <x:c r="O470" s="19" t="str">
        <x:v>S-按销量/BOM/日型生成</x:v>
      </x:c>
    </x:row>
    <x:row r="471">
      <x:c r="A471" s="19" t="str">
        <x:v>2026-07-10|S06|鸡杂</x:v>
      </x:c>
      <x:c r="B471" s="34" t="n">
        <x:v>46213.5</x:v>
      </x:c>
      <x:c r="C471" s="19" t="str">
        <x:v>S06</x:v>
      </x:c>
      <x:c r="D471" s="19" t="str">
        <x:v>蓝钻天城店</x:v>
      </x:c>
      <x:c r="E471" s="19" t="str">
        <x:v>鸡杂</x:v>
      </x:c>
      <x:c r="F471" s="32" t="n">
        <x:v>3.992402044523755</x:v>
      </x:c>
      <x:c r="G471" s="32" t="n">
        <x:v>3.8646293406909207</x:v>
      </x:c>
      <x:c r="H471" s="24" t="n">
        <x:f>G471</x:f>
        <x:v>3.8646293406909207</x:v>
      </x:c>
      <x:c r="I471" s="24" t="n">
        <x:f>XLOOKUP(A471,'库存与收货'!$A$5:$A$676,'库存与收货'!$H$5:$H$676,0)+XLOOKUP(A471,'库存与收货'!$A$5:$A$676,'库存与收货'!$J$5:$J$676,0)</x:f>
        <x:v>3.6290097290280996</x:v>
      </x:c>
      <x:c r="J471" s="21" t="n">
        <x:f>MAX(0,1-ABS(F471-I471)/MAX(I471,0.01))</x:f>
        <x:v>0.8998646069783403</x:v>
      </x:c>
      <x:c r="K471" s="21" t="n">
        <x:f>MAX(0,1-ABS(H471-I471)/MAX(I471,0.01))</x:f>
        <x:v>0.9350733039434636</x:v>
      </x:c>
      <x:c r="L471" s="24" t="n">
        <x:f>MAX(I471-H471,0)</x:f>
        <x:v>0</x:v>
      </x:c>
      <x:c r="M471" s="24" t="n">
        <x:f>MAX(H471-I471,0)</x:f>
        <x:v>0.23561961166282108</x:v>
      </x:c>
      <x:c r="N471" s="19" t="str">
        <x:v>陈颖</x:v>
      </x:c>
      <x:c r="O471" s="19" t="str">
        <x:v>S-按销量/BOM/日型生成</x:v>
      </x:c>
    </x:row>
    <x:row r="472">
      <x:c r="A472" s="19" t="str">
        <x:v>2026-07-10|S06|豆腐</x:v>
      </x:c>
      <x:c r="B472" s="34" t="n">
        <x:v>46213.5</x:v>
      </x:c>
      <x:c r="C472" s="19" t="str">
        <x:v>S06</x:v>
      </x:c>
      <x:c r="D472" s="19" t="str">
        <x:v>蓝钻天城店</x:v>
      </x:c>
      <x:c r="E472" s="19" t="str">
        <x:v>豆腐</x:v>
      </x:c>
      <x:c r="F472" s="32" t="n">
        <x:v>25.482823693192426</x:v>
      </x:c>
      <x:c r="G472" s="32" t="n">
        <x:v>23.85636494674506</x:v>
      </x:c>
      <x:c r="H472" s="24" t="n">
        <x:f>G472</x:f>
        <x:v>23.85636494674506</x:v>
      </x:c>
      <x:c r="I472" s="24" t="n">
        <x:f>XLOOKUP(A472,'库存与收货'!$A$5:$A$676,'库存与收货'!$H$5:$H$676,0)+XLOOKUP(A472,'库存与收货'!$A$5:$A$676,'库存与收货'!$J$5:$J$676,0)</x:f>
        <x:v>21.714064997996683</x:v>
      </x:c>
      <x:c r="J472" s="21" t="n">
        <x:f>MAX(0,1-ABS(F472-I472)/MAX(I472,0.01))</x:f>
        <x:v>0.8264369801074352</x:v>
      </x:c>
      <x:c r="K472" s="21" t="n">
        <x:f>MAX(0,1-ABS(H472-I472)/MAX(I472,0.01))</x:f>
        <x:v>0.9013404468971598</x:v>
      </x:c>
      <x:c r="L472" s="24" t="n">
        <x:f>MAX(I472-H472,0)</x:f>
        <x:v>0</x:v>
      </x:c>
      <x:c r="M472" s="24" t="n">
        <x:f>MAX(H472-I472,0)</x:f>
        <x:v>2.142299948748377</x:v>
      </x:c>
      <x:c r="N472" s="19" t="str">
        <x:v>陈颖</x:v>
      </x:c>
      <x:c r="O472" s="19" t="str">
        <x:v>S-按销量/BOM/日型生成</x:v>
      </x:c>
    </x:row>
    <x:row r="473">
      <x:c r="A473" s="19" t="str">
        <x:v>2026-07-11|S06|瘦肉片</x:v>
      </x:c>
      <x:c r="B473" s="34" t="n">
        <x:v>46214.5</x:v>
      </x:c>
      <x:c r="C473" s="19" t="str">
        <x:v>S06</x:v>
      </x:c>
      <x:c r="D473" s="19" t="str">
        <x:v>蓝钻天城店</x:v>
      </x:c>
      <x:c r="E473" s="19" t="str">
        <x:v>瘦肉片</x:v>
      </x:c>
      <x:c r="F473" s="32" t="n">
        <x:v>8.177955350849748</x:v>
      </x:c>
      <x:c r="G473" s="32" t="n">
        <x:v>8.459711615156111</x:v>
      </x:c>
      <x:c r="H473" s="24" t="n">
        <x:f>G473</x:f>
        <x:v>8.459711615156111</x:v>
      </x:c>
      <x:c r="I473" s="24" t="n">
        <x:f>XLOOKUP(A473,'库存与收货'!$A$5:$A$676,'库存与收货'!$H$5:$H$676,0)+XLOOKUP(A473,'库存与收货'!$A$5:$A$676,'库存与收货'!$J$5:$J$676,0)</x:f>
        <x:v>9.173569545280149</x:v>
      </x:c>
      <x:c r="J473" s="21" t="n">
        <x:f>MAX(0,1-ABS(F473-I473)/MAX(I473,0.01))</x:f>
        <x:v>0.8914692705477282</x:v>
      </x:c>
      <x:c r="K473" s="21" t="n">
        <x:f>MAX(0,1-ABS(H473-I473)/MAX(I473,0.01))</x:f>
        <x:v>0.9221831887140027</x:v>
      </x:c>
      <x:c r="L473" s="24" t="n">
        <x:f>MAX(I473-H473,0)</x:f>
        <x:v>0.7138579301240373</x:v>
      </x:c>
      <x:c r="M473" s="24" t="n">
        <x:f>MAX(H473-I473,0)</x:f>
        <x:v>0</x:v>
      </x:c>
      <x:c r="N473" s="19" t="str">
        <x:v>陈颖</x:v>
      </x:c>
      <x:c r="O473" s="19" t="str">
        <x:v>S-按销量/BOM/日型生成</x:v>
      </x:c>
    </x:row>
    <x:row r="474">
      <x:c r="A474" s="19" t="str">
        <x:v>2026-07-11|S06|肥肉片</x:v>
      </x:c>
      <x:c r="B474" s="34" t="n">
        <x:v>46214.5</x:v>
      </x:c>
      <x:c r="C474" s="19" t="str">
        <x:v>S06</x:v>
      </x:c>
      <x:c r="D474" s="19" t="str">
        <x:v>蓝钻天城店</x:v>
      </x:c>
      <x:c r="E474" s="19" t="str">
        <x:v>肥肉片</x:v>
      </x:c>
      <x:c r="F474" s="32" t="n">
        <x:v>2.5029069442672545</x:v>
      </x:c>
      <x:c r="G474" s="32" t="n">
        <x:v>2.525004792447973</x:v>
      </x:c>
      <x:c r="H474" s="24" t="n">
        <x:f>G474</x:f>
        <x:v>2.525004792447973</x:v>
      </x:c>
      <x:c r="I474" s="24" t="n">
        <x:f>XLOOKUP(A474,'库存与收货'!$A$5:$A$676,'库存与收货'!$H$5:$H$676,0)+XLOOKUP(A474,'库存与收货'!$A$5:$A$676,'库存与收货'!$J$5:$J$676,0)</x:f>
        <x:v>2.5750859606953074</x:v>
      </x:c>
      <x:c r="J474" s="21" t="n">
        <x:f>MAX(0,1-ABS(F474-I474)/MAX(I474,0.01))</x:f>
        <x:v>0.9719702497199109</x:v>
      </x:c>
      <x:c r="K474" s="21" t="n">
        <x:f>MAX(0,1-ABS(H474-I474)/MAX(I474,0.01))</x:f>
        <x:v>0.9805516518625996</x:v>
      </x:c>
      <x:c r="L474" s="24" t="n">
        <x:f>MAX(I474-H474,0)</x:f>
        <x:v>0.05008116824733433</x:v>
      </x:c>
      <x:c r="M474" s="24" t="n">
        <x:f>MAX(H474-I474,0)</x:f>
        <x:v>0</x:v>
      </x:c>
      <x:c r="N474" s="19" t="str">
        <x:v>陈颖</x:v>
      </x:c>
      <x:c r="O474" s="19" t="str">
        <x:v>S-按销量/BOM/日型生成</x:v>
      </x:c>
    </x:row>
    <x:row r="475">
      <x:c r="A475" s="19" t="str">
        <x:v>2026-07-11|S06|牛肉片</x:v>
      </x:c>
      <x:c r="B475" s="34" t="n">
        <x:v>46214.5</x:v>
      </x:c>
      <x:c r="C475" s="19" t="str">
        <x:v>S06</x:v>
      </x:c>
      <x:c r="D475" s="19" t="str">
        <x:v>蓝钻天城店</x:v>
      </x:c>
      <x:c r="E475" s="19" t="str">
        <x:v>牛肉片</x:v>
      </x:c>
      <x:c r="F475" s="32" t="n">
        <x:v>6.48135907589933</x:v>
      </x:c>
      <x:c r="G475" s="32" t="n">
        <x:v>6.4438499831385805</x:v>
      </x:c>
      <x:c r="H475" s="24" t="n">
        <x:f>G475</x:f>
        <x:v>6.4438499831385805</x:v>
      </x:c>
      <x:c r="I475" s="24" t="n">
        <x:f>XLOOKUP(A475,'库存与收货'!$A$5:$A$676,'库存与收货'!$H$5:$H$676,0)+XLOOKUP(A475,'库存与收货'!$A$5:$A$676,'库存与收货'!$J$5:$J$676,0)</x:f>
        <x:v>6.385061670111623</x:v>
      </x:c>
      <x:c r="J475" s="21" t="n">
        <x:f>MAX(0,1-ABS(F475-I475)/MAX(I475,0.01))</x:f>
        <x:v>0.9849183280032403</x:v>
      </x:c>
      <x:c r="K475" s="21" t="n">
        <x:f>MAX(0,1-ABS(H475-I475)/MAX(I475,0.01))</x:f>
        <x:v>0.9907928355176044</x:v>
      </x:c>
      <x:c r="L475" s="24" t="n">
        <x:f>MAX(I475-H475,0)</x:f>
        <x:v>0</x:v>
      </x:c>
      <x:c r="M475" s="24" t="n">
        <x:f>MAX(H475-I475,0)</x:f>
        <x:v>0.058788313026957084</x:v>
      </x:c>
      <x:c r="N475" s="19" t="str">
        <x:v>陈颖</x:v>
      </x:c>
      <x:c r="O475" s="19" t="str">
        <x:v>S-按销量/BOM/日型生成</x:v>
      </x:c>
    </x:row>
    <x:row r="476">
      <x:c r="A476" s="19" t="str">
        <x:v>2026-07-11|S06|螺丝椒</x:v>
      </x:c>
      <x:c r="B476" s="34" t="n">
        <x:v>46214.5</x:v>
      </x:c>
      <x:c r="C476" s="19" t="str">
        <x:v>S06</x:v>
      </x:c>
      <x:c r="D476" s="19" t="str">
        <x:v>蓝钻天城店</x:v>
      </x:c>
      <x:c r="E476" s="19" t="str">
        <x:v>螺丝椒</x:v>
      </x:c>
      <x:c r="F476" s="32" t="n">
        <x:v>9.91255653789523</x:v>
      </x:c>
      <x:c r="G476" s="32" t="n">
        <x:v>9.670014147514387</x:v>
      </x:c>
      <x:c r="H476" s="24" t="n">
        <x:f>G476</x:f>
        <x:v>9.670014147514387</x:v>
      </x:c>
      <x:c r="I476" s="24" t="n">
        <x:f>XLOOKUP(A476,'库存与收货'!$A$5:$A$676,'库存与收货'!$H$5:$H$676,0)+XLOOKUP(A476,'库存与收货'!$A$5:$A$676,'库存与收货'!$J$5:$J$676,0)</x:f>
        <x:v>9.257899522480532</x:v>
      </x:c>
      <x:c r="J476" s="21" t="n">
        <x:f>MAX(0,1-ABS(F476-I476)/MAX(I476,0.01))</x:f>
        <x:v>0.929286657969767</x:v>
      </x:c>
      <x:c r="K476" s="21" t="n">
        <x:f>MAX(0,1-ABS(H476-I476)/MAX(I476,0.01))</x:f>
        <x:v>0.9554850834108606</x:v>
      </x:c>
      <x:c r="L476" s="24" t="n">
        <x:f>MAX(I476-H476,0)</x:f>
        <x:v>0</x:v>
      </x:c>
      <x:c r="M476" s="24" t="n">
        <x:f>MAX(H476-I476,0)</x:f>
        <x:v>0.41211462503385476</x:v>
      </x:c>
      <x:c r="N476" s="19" t="str">
        <x:v>陈颖</x:v>
      </x:c>
      <x:c r="O476" s="19" t="str">
        <x:v>S-按销量/BOM/日型生成</x:v>
      </x:c>
    </x:row>
    <x:row r="477">
      <x:c r="A477" s="19" t="str">
        <x:v>2026-07-11|S06|青湖南椒圈</x:v>
      </x:c>
      <x:c r="B477" s="34" t="n">
        <x:v>46214.5</x:v>
      </x:c>
      <x:c r="C477" s="19" t="str">
        <x:v>S06</x:v>
      </x:c>
      <x:c r="D477" s="19" t="str">
        <x:v>蓝钻天城店</x:v>
      </x:c>
      <x:c r="E477" s="19" t="str">
        <x:v>青湖南椒圈</x:v>
      </x:c>
      <x:c r="F477" s="32" t="n">
        <x:v>1.454315812608562</x:v>
      </x:c>
      <x:c r="G477" s="32" t="n">
        <x:v>1.4549208306170442</x:v>
      </x:c>
      <x:c r="H477" s="24" t="n">
        <x:f>G477</x:f>
        <x:v>1.4549208306170442</x:v>
      </x:c>
      <x:c r="I477" s="24" t="n">
        <x:f>XLOOKUP(A477,'库存与收货'!$A$5:$A$676,'库存与收货'!$H$5:$H$676,0)+XLOOKUP(A477,'库存与收货'!$A$5:$A$676,'库存与收货'!$J$5:$J$676,0)</x:f>
        <x:v>1.4558071080306094</x:v>
      </x:c>
      <x:c r="J477" s="21" t="n">
        <x:f>MAX(0,1-ABS(F477-I477)/MAX(I477,0.01))</x:f>
        <x:v>0.9989756229284629</x:v>
      </x:c>
      <x:c r="K477" s="21" t="n">
        <x:f>MAX(0,1-ABS(H477-I477)/MAX(I477,0.01))</x:f>
        <x:v>0.999391212332543</x:v>
      </x:c>
      <x:c r="L477" s="24" t="n">
        <x:f>MAX(I477-H477,0)</x:f>
        <x:v>0.000886277413565173</x:v>
      </x:c>
      <x:c r="M477" s="24" t="n">
        <x:f>MAX(H477-I477,0)</x:f>
        <x:v>0</x:v>
      </x:c>
      <x:c r="N477" s="19" t="str">
        <x:v>陈颖</x:v>
      </x:c>
      <x:c r="O477" s="19" t="str">
        <x:v>S-按销量/BOM/日型生成</x:v>
      </x:c>
    </x:row>
    <x:row r="478">
      <x:c r="A478" s="19" t="str">
        <x:v>2026-07-11|S06|鸡蛋</x:v>
      </x:c>
      <x:c r="B478" s="34" t="n">
        <x:v>46214.5</x:v>
      </x:c>
      <x:c r="C478" s="19" t="str">
        <x:v>S06</x:v>
      </x:c>
      <x:c r="D478" s="19" t="str">
        <x:v>蓝钻天城店</x:v>
      </x:c>
      <x:c r="E478" s="19" t="str">
        <x:v>鸡蛋</x:v>
      </x:c>
      <x:c r="F478" s="32" t="n">
        <x:v>12.782603284011579</x:v>
      </x:c>
      <x:c r="G478" s="32" t="n">
        <x:v>12.464271258550687</x:v>
      </x:c>
      <x:c r="H478" s="24" t="n">
        <x:f>G478</x:f>
        <x:v>12.464271258550687</x:v>
      </x:c>
      <x:c r="I478" s="24" t="n">
        <x:f>XLOOKUP(A478,'库存与收货'!$A$5:$A$676,'库存与收货'!$H$5:$H$676,0)+XLOOKUP(A478,'库存与收货'!$A$5:$A$676,'库存与收货'!$J$5:$J$676,0)</x:f>
        <x:v>11.985896434711384</x:v>
      </x:c>
      <x:c r="J478" s="21" t="n">
        <x:f>MAX(0,1-ABS(F478-I478)/MAX(I478,0.01))</x:f>
        <x:v>0.9335296401366429</x:v>
      </x:c>
      <x:c r="K478" s="21" t="n">
        <x:f>MAX(0,1-ABS(H478-I478)/MAX(I478,0.01))</x:f>
        <x:v>0.9600885235038473</x:v>
      </x:c>
      <x:c r="L478" s="24" t="n">
        <x:f>MAX(I478-H478,0)</x:f>
        <x:v>0</x:v>
      </x:c>
      <x:c r="M478" s="24" t="n">
        <x:f>MAX(H478-I478,0)</x:f>
        <x:v>0.4783748238393031</x:v>
      </x:c>
      <x:c r="N478" s="19" t="str">
        <x:v>陈颖</x:v>
      </x:c>
      <x:c r="O478" s="19" t="str">
        <x:v>S-按销量/BOM/日型生成</x:v>
      </x:c>
    </x:row>
    <x:row r="479">
      <x:c r="A479" s="19" t="str">
        <x:v>2026-07-11|S06|鸡肉</x:v>
      </x:c>
      <x:c r="B479" s="34" t="n">
        <x:v>46214.5</x:v>
      </x:c>
      <x:c r="C479" s="19" t="str">
        <x:v>S06</x:v>
      </x:c>
      <x:c r="D479" s="19" t="str">
        <x:v>蓝钻天城店</x:v>
      </x:c>
      <x:c r="E479" s="19" t="str">
        <x:v>鸡肉</x:v>
      </x:c>
      <x:c r="F479" s="32" t="n">
        <x:v>3.4081629862805856</x:v>
      </x:c>
      <x:c r="G479" s="32" t="n">
        <x:v>3.5032100579304477</x:v>
      </x:c>
      <x:c r="H479" s="24" t="n">
        <x:f>G479</x:f>
        <x:v>3.5032100579304477</x:v>
      </x:c>
      <x:c r="I479" s="24" t="n">
        <x:f>XLOOKUP(A479,'库存与收货'!$A$5:$A$676,'库存与收货'!$H$5:$H$676,0)+XLOOKUP(A479,'库存与收货'!$A$5:$A$676,'库存与收货'!$J$5:$J$676,0)</x:f>
        <x:v>3.679145001543021</x:v>
      </x:c>
      <x:c r="J479" s="21" t="n">
        <x:f>MAX(0,1-ABS(F479-I479)/MAX(I479,0.01))</x:f>
        <x:v>0.9263464704031</x:v>
      </x:c>
      <x:c r="K479" s="21" t="n">
        <x:f>MAX(0,1-ABS(H479-I479)/MAX(I479,0.01))</x:f>
        <x:v>0.9521804811882144</x:v>
      </x:c>
      <x:c r="L479" s="24" t="n">
        <x:f>MAX(I479-H479,0)</x:f>
        <x:v>0.17593494361257322</x:v>
      </x:c>
      <x:c r="M479" s="24" t="n">
        <x:f>MAX(H479-I479,0)</x:f>
        <x:v>0</x:v>
      </x:c>
      <x:c r="N479" s="19" t="str">
        <x:v>陈颖</x:v>
      </x:c>
      <x:c r="O479" s="19" t="str">
        <x:v>S-按销量/BOM/日型生成</x:v>
      </x:c>
    </x:row>
    <x:row r="480">
      <x:c r="A480" s="19" t="str">
        <x:v>2026-07-11|S06|鲈鱼</x:v>
      </x:c>
      <x:c r="B480" s="34" t="n">
        <x:v>46214.5</x:v>
      </x:c>
      <x:c r="C480" s="19" t="str">
        <x:v>S06</x:v>
      </x:c>
      <x:c r="D480" s="19" t="str">
        <x:v>蓝钻天城店</x:v>
      </x:c>
      <x:c r="E480" s="19" t="str">
        <x:v>鲈鱼</x:v>
      </x:c>
      <x:c r="F480" s="32" t="n">
        <x:v>1.9869330965744325</x:v>
      </x:c>
      <x:c r="G480" s="32" t="n">
        <x:v>2.0142490590032742</x:v>
      </x:c>
      <x:c r="H480" s="24" t="n">
        <x:f>G480</x:f>
        <x:v>2.0142490590032742</x:v>
      </x:c>
      <x:c r="I480" s="24" t="n">
        <x:f>XLOOKUP(A480,'库存与收货'!$A$5:$A$676,'库存与收货'!$H$5:$H$676,0)+XLOOKUP(A480,'库存与收货'!$A$5:$A$676,'库存与收货'!$J$5:$J$676,0)</x:f>
        <x:v>2.0609895414931207</x:v>
      </x:c>
      <x:c r="J480" s="21" t="n">
        <x:f>MAX(0,1-ABS(F480-I480)/MAX(I480,0.01))</x:f>
        <x:v>0.9640675299763837</x:v>
      </x:c>
      <x:c r="K480" s="21" t="n">
        <x:f>MAX(0,1-ABS(H480-I480)/MAX(I480,0.01))</x:f>
        <x:v>0.9773213393135491</x:v>
      </x:c>
      <x:c r="L480" s="24" t="n">
        <x:f>MAX(I480-H480,0)</x:f>
        <x:v>0.046740482489846524</x:v>
      </x:c>
      <x:c r="M480" s="24" t="n">
        <x:f>MAX(H480-I480,0)</x:f>
        <x:v>0</x:v>
      </x:c>
      <x:c r="N480" s="19" t="str">
        <x:v>陈颖</x:v>
      </x:c>
      <x:c r="O480" s="19" t="str">
        <x:v>S-按销量/BOM/日型生成</x:v>
      </x:c>
    </x:row>
    <x:row r="481">
      <x:c r="A481" s="19" t="str">
        <x:v>2026-07-11|S06|酸包菜</x:v>
      </x:c>
      <x:c r="B481" s="34" t="n">
        <x:v>46214.5</x:v>
      </x:c>
      <x:c r="C481" s="19" t="str">
        <x:v>S06</x:v>
      </x:c>
      <x:c r="D481" s="19" t="str">
        <x:v>蓝钻天城店</x:v>
      </x:c>
      <x:c r="E481" s="19" t="str">
        <x:v>酸包菜</x:v>
      </x:c>
      <x:c r="F481" s="32" t="n">
        <x:v>5.120291190544993</x:v>
      </x:c>
      <x:c r="G481" s="32" t="n">
        <x:v>5.508654095559992</x:v>
      </x:c>
      <x:c r="H481" s="24" t="n">
        <x:f>G481</x:f>
        <x:v>5.508654095559992</x:v>
      </x:c>
      <x:c r="I481" s="24" t="n">
        <x:f>XLOOKUP(A481,'库存与收货'!$A$5:$A$676,'库存与收货'!$H$5:$H$676,0)+XLOOKUP(A481,'库存与收货'!$A$5:$A$676,'库存与收货'!$J$5:$J$676,0)</x:f>
        <x:v>6.238397365654445</x:v>
      </x:c>
      <x:c r="J481" s="21" t="n">
        <x:f>MAX(0,1-ABS(F481-I481)/MAX(I481,0.01))</x:f>
        <x:v>0.8207702860889887</x:v>
      </x:c>
      <x:c r="K481" s="21" t="n">
        <x:f>MAX(0,1-ABS(H481-I481)/MAX(I481,0.01))</x:f>
        <x:v>0.8830239198753094</x:v>
      </x:c>
      <x:c r="L481" s="24" t="n">
        <x:f>MAX(I481-H481,0)</x:f>
        <x:v>0.7297432700944535</x:v>
      </x:c>
      <x:c r="M481" s="24" t="n">
        <x:f>MAX(H481-I481,0)</x:f>
        <x:v>0</x:v>
      </x:c>
      <x:c r="N481" s="19" t="str">
        <x:v>陈颖</x:v>
      </x:c>
      <x:c r="O481" s="19" t="str">
        <x:v>S-按销量/BOM/日型生成</x:v>
      </x:c>
    </x:row>
    <x:row r="482">
      <x:c r="A482" s="19" t="str">
        <x:v>2026-07-11|S06|粉皮</x:v>
      </x:c>
      <x:c r="B482" s="34" t="n">
        <x:v>46214.5</x:v>
      </x:c>
      <x:c r="C482" s="19" t="str">
        <x:v>S06</x:v>
      </x:c>
      <x:c r="D482" s="19" t="str">
        <x:v>蓝钻天城店</x:v>
      </x:c>
      <x:c r="E482" s="19" t="str">
        <x:v>粉皮</x:v>
      </x:c>
      <x:c r="F482" s="32" t="n">
        <x:v>4.463996123212902</x:v>
      </x:c>
      <x:c r="G482" s="32" t="n">
        <x:v>4.511367953122072</x:v>
      </x:c>
      <x:c r="H482" s="24" t="n">
        <x:f>G482</x:f>
        <x:v>4.511367953122072</x:v>
      </x:c>
      <x:c r="I482" s="24" t="n">
        <x:f>XLOOKUP(A482,'库存与收货'!$A$5:$A$676,'库存与收货'!$H$5:$H$676,0)+XLOOKUP(A482,'库存与收货'!$A$5:$A$676,'库存与收货'!$J$5:$J$676,0)</x:f>
        <x:v>4.630098988268315</x:v>
      </x:c>
      <x:c r="J482" s="21" t="n">
        <x:f>MAX(0,1-ABS(F482-I482)/MAX(I482,0.01))</x:f>
        <x:v>0.9641254181657278</x:v>
      </x:c>
      <x:c r="K482" s="21" t="n">
        <x:f>MAX(0,1-ABS(H482-I482)/MAX(I482,0.01))</x:f>
        <x:v>0.9743566961641464</x:v>
      </x:c>
      <x:c r="L482" s="24" t="n">
        <x:f>MAX(I482-H482,0)</x:f>
        <x:v>0.11873103514624272</x:v>
      </x:c>
      <x:c r="M482" s="24" t="n">
        <x:f>MAX(H482-I482,0)</x:f>
        <x:v>0</x:v>
      </x:c>
      <x:c r="N482" s="19" t="str">
        <x:v>陈颖</x:v>
      </x:c>
      <x:c r="O482" s="19" t="str">
        <x:v>S-按销量/BOM/日型生成</x:v>
      </x:c>
    </x:row>
    <x:row r="483">
      <x:c r="A483" s="19" t="str">
        <x:v>2026-07-11|S06|鸡杂</x:v>
      </x:c>
      <x:c r="B483" s="34" t="n">
        <x:v>46214.5</x:v>
      </x:c>
      <x:c r="C483" s="19" t="str">
        <x:v>S06</x:v>
      </x:c>
      <x:c r="D483" s="19" t="str">
        <x:v>蓝钻天城店</x:v>
      </x:c>
      <x:c r="E483" s="19" t="str">
        <x:v>鸡杂</x:v>
      </x:c>
      <x:c r="F483" s="32" t="n">
        <x:v>2.21631036109656</x:v>
      </x:c>
      <x:c r="G483" s="32" t="n">
        <x:v>2.3810289869878423</x:v>
      </x:c>
      <x:c r="H483" s="24" t="n">
        <x:f>G483</x:f>
        <x:v>2.3810289869878423</x:v>
      </x:c>
      <x:c r="I483" s="24" t="n">
        <x:f>XLOOKUP(A483,'库存与收货'!$A$5:$A$676,'库存与收货'!$H$5:$H$676,0)+XLOOKUP(A483,'库存与收货'!$A$5:$A$676,'库存与收货'!$J$5:$J$676,0)</x:f>
        <x:v>2.591681003912045</x:v>
      </x:c>
      <x:c r="J483" s="21" t="n">
        <x:f>MAX(0,1-ABS(F483-I483)/MAX(I483,0.01))</x:f>
        <x:v>0.8551632541779344</x:v>
      </x:c>
      <x:c r="K483" s="21" t="n">
        <x:f>MAX(0,1-ABS(H483-I483)/MAX(I483,0.01))</x:f>
        <x:v>0.9187199286462218</x:v>
      </x:c>
      <x:c r="L483" s="24" t="n">
        <x:f>MAX(I483-H483,0)</x:f>
        <x:v>0.21065201692420255</x:v>
      </x:c>
      <x:c r="M483" s="24" t="n">
        <x:f>MAX(H483-I483,0)</x:f>
        <x:v>0</x:v>
      </x:c>
      <x:c r="N483" s="19" t="str">
        <x:v>陈颖</x:v>
      </x:c>
      <x:c r="O483" s="19" t="str">
        <x:v>S-按销量/BOM/日型生成</x:v>
      </x:c>
    </x:row>
    <x:row r="484">
      <x:c r="A484" s="19" t="str">
        <x:v>2026-07-11|S06|豆腐</x:v>
      </x:c>
      <x:c r="B484" s="34" t="n">
        <x:v>46214.5</x:v>
      </x:c>
      <x:c r="C484" s="19" t="str">
        <x:v>S06</x:v>
      </x:c>
      <x:c r="D484" s="19" t="str">
        <x:v>蓝钻天城店</x:v>
      </x:c>
      <x:c r="E484" s="19" t="str">
        <x:v>豆腐</x:v>
      </x:c>
      <x:c r="F484" s="32" t="n">
        <x:v>19.793708595417502</x:v>
      </x:c>
      <x:c r="G484" s="32" t="n">
        <x:v>18.813844032290955</x:v>
      </x:c>
      <x:c r="H484" s="24" t="n">
        <x:f>G484</x:f>
        <x:v>18.813844032290955</x:v>
      </x:c>
      <x:c r="I484" s="24" t="n">
        <x:f>XLOOKUP(A484,'库存与收货'!$A$5:$A$676,'库存与收货'!$H$5:$H$676,0)+XLOOKUP(A484,'库存与收货'!$A$5:$A$676,'库存与收货'!$J$5:$J$676,0)</x:f>
        <x:v>17.123667396414948</x:v>
      </x:c>
      <x:c r="J484" s="21" t="n">
        <x:f>MAX(0,1-ABS(F484-I484)/MAX(I484,0.01))</x:f>
        <x:v>0.8440730518065563</x:v>
      </x:c>
      <x:c r="K484" s="21" t="n">
        <x:f>MAX(0,1-ABS(H484-I484)/MAX(I484,0.01))</x:f>
        <x:v>0.9012958733226817</x:v>
      </x:c>
      <x:c r="L484" s="24" t="n">
        <x:f>MAX(I484-H484,0)</x:f>
        <x:v>0</x:v>
      </x:c>
      <x:c r="M484" s="24" t="n">
        <x:f>MAX(H484-I484,0)</x:f>
        <x:v>1.690176635876007</x:v>
      </x:c>
      <x:c r="N484" s="19" t="str">
        <x:v>陈颖</x:v>
      </x:c>
      <x:c r="O484" s="19" t="str">
        <x:v>S-按销量/BOM/日型生成</x:v>
      </x:c>
    </x:row>
    <x:row r="485">
      <x:c r="A485" s="19" t="str">
        <x:v>2026-07-12|S06|瘦肉片</x:v>
      </x:c>
      <x:c r="B485" s="34" t="n">
        <x:v>46215.5</x:v>
      </x:c>
      <x:c r="C485" s="19" t="str">
        <x:v>S06</x:v>
      </x:c>
      <x:c r="D485" s="19" t="str">
        <x:v>蓝钻天城店</x:v>
      </x:c>
      <x:c r="E485" s="19" t="str">
        <x:v>瘦肉片</x:v>
      </x:c>
      <x:c r="F485" s="32" t="n">
        <x:v>9.240316366158408</x:v>
      </x:c>
      <x:c r="G485" s="32" t="n">
        <x:v>9.07123186009967</x:v>
      </x:c>
      <x:c r="H485" s="24" t="n">
        <x:f>G485</x:f>
        <x:v>9.07123186009967</x:v>
      </x:c>
      <x:c r="I485" s="24" t="n">
        <x:f>XLOOKUP(A485,'库存与收货'!$A$5:$A$676,'库存与收货'!$H$5:$H$676,0)+XLOOKUP(A485,'库存与收货'!$A$5:$A$676,'库存与收货'!$J$5:$J$676,0)</x:f>
        <x:v>8.839535104837159</x:v>
      </x:c>
      <x:c r="J485" s="21" t="n">
        <x:f>MAX(0,1-ABS(F485-I485)/MAX(I485,0.01))</x:f>
        <x:v>0.9546603688352417</x:v>
      </x:c>
      <x:c r="K485" s="21" t="n">
        <x:f>MAX(0,1-ABS(H485-I485)/MAX(I485,0.01))</x:f>
        <x:v>0.9737885813547228</x:v>
      </x:c>
      <x:c r="L485" s="24" t="n">
        <x:f>MAX(I485-H485,0)</x:f>
        <x:v>0</x:v>
      </x:c>
      <x:c r="M485" s="24" t="n">
        <x:f>MAX(H485-I485,0)</x:f>
        <x:v>0.23169675526251154</x:v>
      </x:c>
      <x:c r="N485" s="19" t="str">
        <x:v>陈颖</x:v>
      </x:c>
      <x:c r="O485" s="19" t="str">
        <x:v>S-按销量/BOM/日型生成</x:v>
      </x:c>
    </x:row>
    <x:row r="486">
      <x:c r="A486" s="19" t="str">
        <x:v>2026-07-12|S06|肥肉片</x:v>
      </x:c>
      <x:c r="B486" s="34" t="n">
        <x:v>46215.5</x:v>
      </x:c>
      <x:c r="C486" s="19" t="str">
        <x:v>S06</x:v>
      </x:c>
      <x:c r="D486" s="19" t="str">
        <x:v>蓝钻天城店</x:v>
      </x:c>
      <x:c r="E486" s="19" t="str">
        <x:v>肥肉片</x:v>
      </x:c>
      <x:c r="F486" s="32" t="n">
        <x:v>2.776779270561361</x:v>
      </x:c>
      <x:c r="G486" s="32" t="n">
        <x:v>2.7097175968859024</x:v>
      </x:c>
      <x:c r="H486" s="24" t="n">
        <x:f>G486</x:f>
        <x:v>2.7097175968859024</x:v>
      </x:c>
      <x:c r="I486" s="24" t="n">
        <x:f>XLOOKUP(A486,'库存与收货'!$A$5:$A$676,'库存与收货'!$H$5:$H$676,0)+XLOOKUP(A486,'库存与收货'!$A$5:$A$676,'库存与收货'!$J$5:$J$676,0)</x:f>
        <x:v>2.592613863969481</x:v>
      </x:c>
      <x:c r="J486" s="21" t="n">
        <x:f>MAX(0,1-ABS(F486-I486)/MAX(I486,0.01))</x:f>
        <x:v>0.9289653545592363</x:v>
      </x:c>
      <x:c r="K486" s="21" t="n">
        <x:f>MAX(0,1-ABS(H486-I486)/MAX(I486,0.01))</x:f>
        <x:v>0.9548317878941189</x:v>
      </x:c>
      <x:c r="L486" s="24" t="n">
        <x:f>MAX(I486-H486,0)</x:f>
        <x:v>0</x:v>
      </x:c>
      <x:c r="M486" s="24" t="n">
        <x:f>MAX(H486-I486,0)</x:f>
        <x:v>0.11710373291642151</x:v>
      </x:c>
      <x:c r="N486" s="19" t="str">
        <x:v>陈颖</x:v>
      </x:c>
      <x:c r="O486" s="19" t="str">
        <x:v>S-按销量/BOM/日型生成</x:v>
      </x:c>
    </x:row>
    <x:row r="487">
      <x:c r="A487" s="19" t="str">
        <x:v>2026-07-12|S06|牛肉片</x:v>
      </x:c>
      <x:c r="B487" s="34" t="n">
        <x:v>46215.5</x:v>
      </x:c>
      <x:c r="C487" s="19" t="str">
        <x:v>S06</x:v>
      </x:c>
      <x:c r="D487" s="19" t="str">
        <x:v>蓝钻天城店</x:v>
      </x:c>
      <x:c r="E487" s="19" t="str">
        <x:v>牛肉片</x:v>
      </x:c>
      <x:c r="F487" s="32" t="n">
        <x:v>6.736427942589761</x:v>
      </x:c>
      <x:c r="G487" s="32" t="n">
        <x:v>6.712358681738293</x:v>
      </x:c>
      <x:c r="H487" s="24" t="n">
        <x:f>G487</x:f>
        <x:v>6.712358681738293</x:v>
      </x:c>
      <x:c r="I487" s="24" t="n">
        <x:f>XLOOKUP(A487,'库存与收货'!$A$5:$A$676,'库存与收货'!$H$5:$H$676,0)+XLOOKUP(A487,'库存与收货'!$A$5:$A$676,'库存与收货'!$J$5:$J$676,0)</x:f>
        <x:v>6.671117512581082</x:v>
      </x:c>
      <x:c r="J487" s="21" t="n">
        <x:f>MAX(0,1-ABS(F487-I487)/MAX(I487,0.01))</x:f>
        <x:v>0.9902099715848942</x:v>
      </x:c>
      <x:c r="K487" s="21" t="n">
        <x:f>MAX(0,1-ABS(H487-I487)/MAX(I487,0.01))</x:f>
        <x:v>0.993817951927929</x:v>
      </x:c>
      <x:c r="L487" s="24" t="n">
        <x:f>MAX(I487-H487,0)</x:f>
        <x:v>0</x:v>
      </x:c>
      <x:c r="M487" s="24" t="n">
        <x:f>MAX(H487-I487,0)</x:f>
        <x:v>0.04124116915721121</x:v>
      </x:c>
      <x:c r="N487" s="19" t="str">
        <x:v>陈颖</x:v>
      </x:c>
      <x:c r="O487" s="19" t="str">
        <x:v>S-按销量/BOM/日型生成</x:v>
      </x:c>
    </x:row>
    <x:row r="488">
      <x:c r="A488" s="19" t="str">
        <x:v>2026-07-12|S06|螺丝椒</x:v>
      </x:c>
      <x:c r="B488" s="34" t="n">
        <x:v>46215.5</x:v>
      </x:c>
      <x:c r="C488" s="19" t="str">
        <x:v>S06</x:v>
      </x:c>
      <x:c r="D488" s="19" t="str">
        <x:v>蓝钻天城店</x:v>
      </x:c>
      <x:c r="E488" s="19" t="str">
        <x:v>螺丝椒</x:v>
      </x:c>
      <x:c r="F488" s="32" t="n">
        <x:v>9.29466939936398</x:v>
      </x:c>
      <x:c r="G488" s="32" t="n">
        <x:v>9.406567596501235</x:v>
      </x:c>
      <x:c r="H488" s="24" t="n">
        <x:f>G488</x:f>
        <x:v>9.406567596501235</x:v>
      </x:c>
      <x:c r="I488" s="24" t="n">
        <x:f>XLOOKUP(A488,'库存与收货'!$A$5:$A$676,'库存与收货'!$H$5:$H$676,0)+XLOOKUP(A488,'库存与收货'!$A$5:$A$676,'库存与收货'!$J$5:$J$676,0)</x:f>
        <x:v>9.704307904284635</x:v>
      </x:c>
      <x:c r="J488" s="21" t="n">
        <x:f>MAX(0,1-ABS(F488-I488)/MAX(I488,0.01))</x:f>
        <x:v>0.9577879732422968</x:v>
      </x:c>
      <x:c r="K488" s="21" t="n">
        <x:f>MAX(0,1-ABS(H488-I488)/MAX(I488,0.01))</x:f>
        <x:v>0.9693187488772959</x:v>
      </x:c>
      <x:c r="L488" s="24" t="n">
        <x:f>MAX(I488-H488,0)</x:f>
        <x:v>0.29774030778339977</x:v>
      </x:c>
      <x:c r="M488" s="24" t="n">
        <x:f>MAX(H488-I488,0)</x:f>
        <x:v>0</x:v>
      </x:c>
      <x:c r="N488" s="19" t="str">
        <x:v>陈颖</x:v>
      </x:c>
      <x:c r="O488" s="19" t="str">
        <x:v>S-按销量/BOM/日型生成</x:v>
      </x:c>
    </x:row>
    <x:row r="489">
      <x:c r="A489" s="19" t="str">
        <x:v>2026-07-12|S06|青湖南椒圈</x:v>
      </x:c>
      <x:c r="B489" s="34" t="n">
        <x:v>46215.5</x:v>
      </x:c>
      <x:c r="C489" s="19" t="str">
        <x:v>S06</x:v>
      </x:c>
      <x:c r="D489" s="19" t="str">
        <x:v>蓝钻天城店</x:v>
      </x:c>
      <x:c r="E489" s="19" t="str">
        <x:v>青湖南椒圈</x:v>
      </x:c>
      <x:c r="F489" s="32" t="n">
        <x:v>1.1644045085309216</x:v>
      </x:c>
      <x:c r="G489" s="32" t="n">
        <x:v>1.1884625218381366</x:v>
      </x:c>
      <x:c r="H489" s="24" t="n">
        <x:f>G489</x:f>
        <x:v>1.1884625218381366</x:v>
      </x:c>
      <x:c r="I489" s="24" t="n">
        <x:f>XLOOKUP(A489,'库存与收货'!$A$5:$A$676,'库存与收货'!$H$5:$H$676,0)+XLOOKUP(A489,'库存与收货'!$A$5:$A$676,'库存与收货'!$J$5:$J$676,0)</x:f>
        <x:v>1.2246685173862306</x:v>
      </x:c>
      <x:c r="J489" s="21" t="n">
        <x:f>MAX(0,1-ABS(F489-I489)/MAX(I489,0.01))</x:f>
        <x:v>0.9507915750264173</x:v>
      </x:c>
      <x:c r="K489" s="21" t="n">
        <x:f>MAX(0,1-ABS(H489-I489)/MAX(I489,0.01))</x:f>
        <x:v>0.9704360853291409</x:v>
      </x:c>
      <x:c r="L489" s="24" t="n">
        <x:f>MAX(I489-H489,0)</x:f>
        <x:v>0.036205995548094005</x:v>
      </x:c>
      <x:c r="M489" s="24" t="n">
        <x:f>MAX(H489-I489,0)</x:f>
        <x:v>0</x:v>
      </x:c>
      <x:c r="N489" s="19" t="str">
        <x:v>陈颖</x:v>
      </x:c>
      <x:c r="O489" s="19" t="str">
        <x:v>S-按销量/BOM/日型生成</x:v>
      </x:c>
    </x:row>
    <x:row r="490">
      <x:c r="A490" s="19" t="str">
        <x:v>2026-07-12|S06|鸡蛋</x:v>
      </x:c>
      <x:c r="B490" s="34" t="n">
        <x:v>46215.5</x:v>
      </x:c>
      <x:c r="C490" s="19" t="str">
        <x:v>S06</x:v>
      </x:c>
      <x:c r="D490" s="19" t="str">
        <x:v>蓝钻天城店</x:v>
      </x:c>
      <x:c r="E490" s="19" t="str">
        <x:v>鸡蛋</x:v>
      </x:c>
      <x:c r="F490" s="32" t="n">
        <x:v>11.70355977974895</x:v>
      </x:c>
      <x:c r="G490" s="32" t="n">
        <x:v>11.764486795399074</x:v>
      </x:c>
      <x:c r="H490" s="24" t="n">
        <x:f>G490</x:f>
        <x:v>11.764486795399074</x:v>
      </x:c>
      <x:c r="I490" s="24" t="n">
        <x:f>XLOOKUP(A490,'库存与收货'!$A$5:$A$676,'库存与收货'!$H$5:$H$676,0)+XLOOKUP(A490,'库存与收货'!$A$5:$A$676,'库存与收货'!$J$5:$J$676,0)</x:f>
        <x:v>11.890198677616473</x:v>
      </x:c>
      <x:c r="J490" s="21" t="n">
        <x:f>MAX(0,1-ABS(F490-I490)/MAX(I490,0.01))</x:f>
        <x:v>0.9843031304246519</x:v>
      </x:c>
      <x:c r="K490" s="21" t="n">
        <x:f>MAX(0,1-ABS(H490-I490)/MAX(I490,0.01))</x:f>
        <x:v>0.9894272681537228</x:v>
      </x:c>
      <x:c r="L490" s="24" t="n">
        <x:f>MAX(I490-H490,0)</x:f>
        <x:v>0.1257118822173986</x:v>
      </x:c>
      <x:c r="M490" s="24" t="n">
        <x:f>MAX(H490-I490,0)</x:f>
        <x:v>0</x:v>
      </x:c>
      <x:c r="N490" s="19" t="str">
        <x:v>陈颖</x:v>
      </x:c>
      <x:c r="O490" s="19" t="str">
        <x:v>S-按销量/BOM/日型生成</x:v>
      </x:c>
    </x:row>
    <x:row r="491">
      <x:c r="A491" s="19" t="str">
        <x:v>2026-07-12|S06|鸡肉</x:v>
      </x:c>
      <x:c r="B491" s="34" t="n">
        <x:v>46215.5</x:v>
      </x:c>
      <x:c r="C491" s="19" t="str">
        <x:v>S06</x:v>
      </x:c>
      <x:c r="D491" s="19" t="str">
        <x:v>蓝钻天城店</x:v>
      </x:c>
      <x:c r="E491" s="19" t="str">
        <x:v>鸡肉</x:v>
      </x:c>
      <x:c r="F491" s="32" t="n">
        <x:v>2.9930957882670395</x:v>
      </x:c>
      <x:c r="G491" s="32" t="n">
        <x:v>3.0694248150738477</x:v>
      </x:c>
      <x:c r="H491" s="24" t="n">
        <x:f>G491</x:f>
        <x:v>3.0694248150738477</x:v>
      </x:c>
      <x:c r="I491" s="24" t="n">
        <x:f>XLOOKUP(A491,'库存与收货'!$A$5:$A$676,'库存与收货'!$H$5:$H$676,0)+XLOOKUP(A491,'库存与收货'!$A$5:$A$676,'库存与收货'!$J$5:$J$676,0)</x:f>
        <x:v>3.2655003946147625</x:v>
      </x:c>
      <x:c r="J491" s="21" t="n">
        <x:f>MAX(0,1-ABS(F491-I491)/MAX(I491,0.01))</x:f>
        <x:v>0.9165810523872685</x:v>
      </x:c>
      <x:c r="K491" s="21" t="n">
        <x:f>MAX(0,1-ABS(H491-I491)/MAX(I491,0.01))</x:f>
        <x:v>0.9399554261685992</x:v>
      </x:c>
      <x:c r="L491" s="24" t="n">
        <x:f>MAX(I491-H491,0)</x:f>
        <x:v>0.1960755795409148</x:v>
      </x:c>
      <x:c r="M491" s="24" t="n">
        <x:f>MAX(H491-I491,0)</x:f>
        <x:v>0</x:v>
      </x:c>
      <x:c r="N491" s="19" t="str">
        <x:v>陈颖</x:v>
      </x:c>
      <x:c r="O491" s="19" t="str">
        <x:v>S-按销量/BOM/日型生成</x:v>
      </x:c>
    </x:row>
    <x:row r="492">
      <x:c r="A492" s="19" t="str">
        <x:v>2026-07-12|S06|鲈鱼</x:v>
      </x:c>
      <x:c r="B492" s="34" t="n">
        <x:v>46215.5</x:v>
      </x:c>
      <x:c r="C492" s="19" t="str">
        <x:v>S06</x:v>
      </x:c>
      <x:c r="D492" s="19" t="str">
        <x:v>蓝钻天城店</x:v>
      </x:c>
      <x:c r="E492" s="19" t="str">
        <x:v>鲈鱼</x:v>
      </x:c>
      <x:c r="F492" s="32" t="n">
        <x:v>2.167880257560576</x:v>
      </x:c>
      <x:c r="G492" s="32" t="n">
        <x:v>2.1324899264166826</x:v>
      </x:c>
      <x:c r="H492" s="24" t="n">
        <x:f>G492</x:f>
        <x:v>2.1324899264166826</x:v>
      </x:c>
      <x:c r="I492" s="24" t="n">
        <x:f>XLOOKUP(A492,'库存与收货'!$A$5:$A$676,'库存与收货'!$H$5:$H$676,0)+XLOOKUP(A492,'库存与收货'!$A$5:$A$676,'库存与收货'!$J$5:$J$676,0)</x:f>
        <x:v>2.034200415558694</x:v>
      </x:c>
      <x:c r="J492" s="21" t="n">
        <x:f>MAX(0,1-ABS(F492-I492)/MAX(I492,0.01))</x:f>
        <x:v>0.9342838390065088</x:v>
      </x:c>
      <x:c r="K492" s="21" t="n">
        <x:f>MAX(0,1-ABS(H492-I492)/MAX(I492,0.01))</x:f>
        <x:v>0.9516815009444419</x:v>
      </x:c>
      <x:c r="L492" s="24" t="n">
        <x:f>MAX(I492-H492,0)</x:f>
        <x:v>0</x:v>
      </x:c>
      <x:c r="M492" s="24" t="n">
        <x:f>MAX(H492-I492,0)</x:f>
        <x:v>0.09828951085798865</x:v>
      </x:c>
      <x:c r="N492" s="19" t="str">
        <x:v>陈颖</x:v>
      </x:c>
      <x:c r="O492" s="19" t="str">
        <x:v>S-按销量/BOM/日型生成</x:v>
      </x:c>
    </x:row>
    <x:row r="493">
      <x:c r="A493" s="19" t="str">
        <x:v>2026-07-12|S06|酸包菜</x:v>
      </x:c>
      <x:c r="B493" s="34" t="n">
        <x:v>46215.5</x:v>
      </x:c>
      <x:c r="C493" s="19" t="str">
        <x:v>S06</x:v>
      </x:c>
      <x:c r="D493" s="19" t="str">
        <x:v>蓝钻天城店</x:v>
      </x:c>
      <x:c r="E493" s="19" t="str">
        <x:v>酸包菜</x:v>
      </x:c>
      <x:c r="F493" s="32" t="n">
        <x:v>5.140226947205585</x:v>
      </x:c>
      <x:c r="G493" s="32" t="n">
        <x:v>5.119352720515965</x:v>
      </x:c>
      <x:c r="H493" s="24" t="n">
        <x:f>G493</x:f>
        <x:v>5.119352720515965</x:v>
      </x:c>
      <x:c r="I493" s="24" t="n">
        <x:f>XLOOKUP(A493,'库存与收货'!$A$5:$A$676,'库存与收货'!$H$5:$H$676,0)+XLOOKUP(A493,'库存与收货'!$A$5:$A$676,'库存与收货'!$J$5:$J$676,0)</x:f>
        <x:v>5.087161714784373</x:v>
      </x:c>
      <x:c r="J493" s="21" t="n">
        <x:f>MAX(0,1-ABS(F493-I493)/MAX(I493,0.01))</x:f>
        <x:v>0.9895687938783244</x:v>
      </x:c>
      <x:c r="K493" s="21" t="n">
        <x:f>MAX(0,1-ABS(H493-I493)/MAX(I493,0.01))</x:f>
        <x:v>0.993672108822875</x:v>
      </x:c>
      <x:c r="L493" s="24" t="n">
        <x:f>MAX(I493-H493,0)</x:f>
        <x:v>0</x:v>
      </x:c>
      <x:c r="M493" s="24" t="n">
        <x:f>MAX(H493-I493,0)</x:f>
        <x:v>0.03219100573159217</x:v>
      </x:c>
      <x:c r="N493" s="19" t="str">
        <x:v>陈颖</x:v>
      </x:c>
      <x:c r="O493" s="19" t="str">
        <x:v>S-按销量/BOM/日型生成</x:v>
      </x:c>
    </x:row>
    <x:row r="494">
      <x:c r="A494" s="19" t="str">
        <x:v>2026-07-12|S06|粉皮</x:v>
      </x:c>
      <x:c r="B494" s="34" t="n">
        <x:v>46215.5</x:v>
      </x:c>
      <x:c r="C494" s="19" t="str">
        <x:v>S06</x:v>
      </x:c>
      <x:c r="D494" s="19" t="str">
        <x:v>蓝钻天城店</x:v>
      </x:c>
      <x:c r="E494" s="19" t="str">
        <x:v>粉皮</x:v>
      </x:c>
      <x:c r="F494" s="32" t="n">
        <x:v>4.057946194728234</x:v>
      </x:c>
      <x:c r="G494" s="32" t="n">
        <x:v>4.000719501703725</x:v>
      </x:c>
      <x:c r="H494" s="24" t="n">
        <x:f>G494</x:f>
        <x:v>4.000719501703725</x:v>
      </x:c>
      <x:c r="I494" s="24" t="n">
        <x:f>XLOOKUP(A494,'库存与收货'!$A$5:$A$676,'库存与收货'!$H$5:$H$676,0)+XLOOKUP(A494,'库存与收货'!$A$5:$A$676,'库存与收货'!$J$5:$J$676,0)</x:f>
        <x:v>3.862315533148606</x:v>
      </x:c>
      <x:c r="J494" s="21" t="n">
        <x:f>MAX(0,1-ABS(F494-I494)/MAX(I494,0.01))</x:f>
        <x:v>0.9493488660103988</x:v>
      </x:c>
      <x:c r="K494" s="21" t="n">
        <x:f>MAX(0,1-ABS(H494-I494)/MAX(I494,0.01))</x:f>
        <x:v>0.9641655459355257</x:v>
      </x:c>
      <x:c r="L494" s="24" t="n">
        <x:f>MAX(I494-H494,0)</x:f>
        <x:v>0</x:v>
      </x:c>
      <x:c r="M494" s="24" t="n">
        <x:f>MAX(H494-I494,0)</x:f>
        <x:v>0.13840396855511905</x:v>
      </x:c>
      <x:c r="N494" s="19" t="str">
        <x:v>陈颖</x:v>
      </x:c>
      <x:c r="O494" s="19" t="str">
        <x:v>S-按销量/BOM/日型生成</x:v>
      </x:c>
    </x:row>
    <x:row r="495">
      <x:c r="A495" s="19" t="str">
        <x:v>2026-07-12|S06|鸡杂</x:v>
      </x:c>
      <x:c r="B495" s="34" t="n">
        <x:v>46215.5</x:v>
      </x:c>
      <x:c r="C495" s="19" t="str">
        <x:v>S06</x:v>
      </x:c>
      <x:c r="D495" s="19" t="str">
        <x:v>蓝钻天城店</x:v>
      </x:c>
      <x:c r="E495" s="19" t="str">
        <x:v>鸡杂</x:v>
      </x:c>
      <x:c r="F495" s="32" t="n">
        <x:v>2.9901782271144732</x:v>
      </x:c>
      <x:c r="G495" s="32" t="n">
        <x:v>2.8243936553704163</x:v>
      </x:c>
      <x:c r="H495" s="24" t="n">
        <x:f>G495</x:f>
        <x:v>2.8243936553704163</x:v>
      </x:c>
      <x:c r="I495" s="24" t="n">
        <x:f>XLOOKUP(A495,'库存与收货'!$A$5:$A$676,'库存与收货'!$H$5:$H$676,0)+XLOOKUP(A495,'库存与收货'!$A$5:$A$676,'库存与收货'!$J$5:$J$676,0)</x:f>
        <x:v>2.5677312276978586</x:v>
      </x:c>
      <x:c r="J495" s="21" t="n">
        <x:f>MAX(0,1-ABS(F495-I495)/MAX(I495,0.01))</x:f>
        <x:v>0.8354784975702592</x:v>
      </x:c>
      <x:c r="K495" s="21" t="n">
        <x:f>MAX(0,1-ABS(H495-I495)/MAX(I495,0.01))</x:f>
        <x:v>0.9000431100794484</x:v>
      </x:c>
      <x:c r="L495" s="24" t="n">
        <x:f>MAX(I495-H495,0)</x:f>
        <x:v>0</x:v>
      </x:c>
      <x:c r="M495" s="24" t="n">
        <x:f>MAX(H495-I495,0)</x:f>
        <x:v>0.25666242767255776</x:v>
      </x:c>
      <x:c r="N495" s="19" t="str">
        <x:v>陈颖</x:v>
      </x:c>
      <x:c r="O495" s="19" t="str">
        <x:v>S-按销量/BOM/日型生成</x:v>
      </x:c>
    </x:row>
    <x:row r="496">
      <x:c r="A496" s="19" t="str">
        <x:v>2026-07-12|S06|豆腐</x:v>
      </x:c>
      <x:c r="B496" s="34" t="n">
        <x:v>46215.5</x:v>
      </x:c>
      <x:c r="C496" s="19" t="str">
        <x:v>S06</x:v>
      </x:c>
      <x:c r="D496" s="19" t="str">
        <x:v>蓝钻天城店</x:v>
      </x:c>
      <x:c r="E496" s="19" t="str">
        <x:v>豆腐</x:v>
      </x:c>
      <x:c r="F496" s="32" t="n">
        <x:v>14.896362745413072</x:v>
      </x:c>
      <x:c r="G496" s="32" t="n">
        <x:v>15.031194693795639</x:v>
      </x:c>
      <x:c r="H496" s="24" t="n">
        <x:f>G496</x:f>
        <x:v>15.031194693795639</x:v>
      </x:c>
      <x:c r="I496" s="24" t="n">
        <x:f>XLOOKUP(A496,'库存与收货'!$A$5:$A$676,'库存与收货'!$H$5:$H$676,0)+XLOOKUP(A496,'库存与收货'!$A$5:$A$676,'库存与收货'!$J$5:$J$676,0)</x:f>
        <x:v>15.374698366740416</x:v>
      </x:c>
      <x:c r="J496" s="21" t="n">
        <x:f>MAX(0,1-ABS(F496-I496)/MAX(I496,0.01))</x:f>
        <x:v>0.9688881297104266</x:v>
      </x:c>
      <x:c r="K496" s="21" t="n">
        <x:f>MAX(0,1-ABS(H496-I496)/MAX(I496,0.01))</x:f>
        <x:v>0.9776578593770745</x:v>
      </x:c>
      <x:c r="L496" s="24" t="n">
        <x:f>MAX(I496-H496,0)</x:f>
        <x:v>0.34350367294477735</x:v>
      </x:c>
      <x:c r="M496" s="24" t="n">
        <x:f>MAX(H496-I496,0)</x:f>
        <x:v>0</x:v>
      </x:c>
      <x:c r="N496" s="19" t="str">
        <x:v>陈颖</x:v>
      </x:c>
      <x:c r="O496" s="19" t="str">
        <x:v>S-按销量/BOM/日型生成</x:v>
      </x:c>
    </x:row>
    <x:row r="497">
      <x:c r="A497" s="19" t="str">
        <x:v>2026-07-13|S06|瘦肉片</x:v>
      </x:c>
      <x:c r="B497" s="34" t="n">
        <x:v>46216.5</x:v>
      </x:c>
      <x:c r="C497" s="19" t="str">
        <x:v>S06</x:v>
      </x:c>
      <x:c r="D497" s="19" t="str">
        <x:v>蓝钻天城店</x:v>
      </x:c>
      <x:c r="E497" s="19" t="str">
        <x:v>瘦肉片</x:v>
      </x:c>
      <x:c r="F497" s="32" t="n">
        <x:v>11.8371135024225</x:v>
      </x:c>
      <x:c r="G497" s="32" t="n">
        <x:v>12.023608286857595</x:v>
      </x:c>
      <x:c r="H497" s="24" t="n">
        <x:f>G497</x:f>
        <x:v>12.023608286857595</x:v>
      </x:c>
      <x:c r="I497" s="24" t="n">
        <x:f>XLOOKUP(A497,'库存与收货'!$A$5:$A$676,'库存与收货'!$H$5:$H$676,0)+XLOOKUP(A497,'库存与收货'!$A$5:$A$676,'库存与收货'!$J$5:$J$676,0)</x:f>
        <x:v>12.38639471039325</x:v>
      </x:c>
      <x:c r="J497" s="21" t="n">
        <x:f>MAX(0,1-ABS(F497-I497)/MAX(I497,0.01))</x:f>
        <x:v>0.9556544724422632</x:v>
      </x:c>
      <x:c r="K497" s="21" t="n">
        <x:f>MAX(0,1-ABS(H497-I497)/MAX(I497,0.01))</x:f>
        <x:v>0.970710894330596</x:v>
      </x:c>
      <x:c r="L497" s="24" t="n">
        <x:f>MAX(I497-H497,0)</x:f>
        <x:v>0.3627864235356544</x:v>
      </x:c>
      <x:c r="M497" s="24" t="n">
        <x:f>MAX(H497-I497,0)</x:f>
        <x:v>0</x:v>
      </x:c>
      <x:c r="N497" s="19" t="str">
        <x:v>陈颖</x:v>
      </x:c>
      <x:c r="O497" s="19" t="str">
        <x:v>S-按销量/BOM/日型生成</x:v>
      </x:c>
    </x:row>
    <x:row r="498">
      <x:c r="A498" s="19" t="str">
        <x:v>2026-07-13|S06|肥肉片</x:v>
      </x:c>
      <x:c r="B498" s="34" t="n">
        <x:v>46216.5</x:v>
      </x:c>
      <x:c r="C498" s="19" t="str">
        <x:v>S06</x:v>
      </x:c>
      <x:c r="D498" s="19" t="str">
        <x:v>蓝钻天城店</x:v>
      </x:c>
      <x:c r="E498" s="19" t="str">
        <x:v>肥肉片</x:v>
      </x:c>
      <x:c r="F498" s="32" t="n">
        <x:v>3.9883550794247573</x:v>
      </x:c>
      <x:c r="G498" s="32" t="n">
        <x:v>3.7709937083960368</x:v>
      </x:c>
      <x:c r="H498" s="24" t="n">
        <x:f>G498</x:f>
        <x:v>3.7709937083960368</x:v>
      </x:c>
      <x:c r="I498" s="24" t="n">
        <x:f>XLOOKUP(A498,'库存与收货'!$A$5:$A$676,'库存与收货'!$H$5:$H$676,0)+XLOOKUP(A498,'库存与收货'!$A$5:$A$676,'库存与收货'!$J$5:$J$676,0)</x:f>
        <x:v>3.469467415828134</x:v>
      </x:c>
      <x:c r="J498" s="21" t="n">
        <x:f>MAX(0,1-ABS(F498-I498)/MAX(I498,0.01))</x:f>
        <x:v>0.8504416956823417</x:v>
      </x:c>
      <x:c r="K498" s="21" t="n">
        <x:f>MAX(0,1-ABS(H498-I498)/MAX(I498,0.01))</x:f>
        <x:v>0.9130914758869609</x:v>
      </x:c>
      <x:c r="L498" s="24" t="n">
        <x:f>MAX(I498-H498,0)</x:f>
        <x:v>0</x:v>
      </x:c>
      <x:c r="M498" s="24" t="n">
        <x:f>MAX(H498-I498,0)</x:f>
        <x:v>0.30152629256790275</x:v>
      </x:c>
      <x:c r="N498" s="19" t="str">
        <x:v>陈颖</x:v>
      </x:c>
      <x:c r="O498" s="19" t="str">
        <x:v>S-按销量/BOM/日型生成</x:v>
      </x:c>
    </x:row>
    <x:row r="499">
      <x:c r="A499" s="19" t="str">
        <x:v>2026-07-13|S06|牛肉片</x:v>
      </x:c>
      <x:c r="B499" s="34" t="n">
        <x:v>46216.5</x:v>
      </x:c>
      <x:c r="C499" s="19" t="str">
        <x:v>S06</x:v>
      </x:c>
      <x:c r="D499" s="19" t="str">
        <x:v>蓝钻天城店</x:v>
      </x:c>
      <x:c r="E499" s="19" t="str">
        <x:v>牛肉片</x:v>
      </x:c>
      <x:c r="F499" s="32" t="n">
        <x:v>10.608766914645829</x:v>
      </x:c>
      <x:c r="G499" s="32" t="n">
        <x:v>10.089456845767517</x:v>
      </x:c>
      <x:c r="H499" s="24" t="n">
        <x:f>G499</x:f>
        <x:v>10.089456845767517</x:v>
      </x:c>
      <x:c r="I499" s="24" t="n">
        <x:f>XLOOKUP(A499,'库存与收货'!$A$5:$A$676,'库存与收货'!$H$5:$H$676,0)+XLOOKUP(A499,'库存与收货'!$A$5:$A$676,'库存与收货'!$J$5:$J$676,0)</x:f>
        <x:v>9.006213558228037</x:v>
      </x:c>
      <x:c r="J499" s="21" t="n">
        <x:f>MAX(0,1-ABS(F499-I499)/MAX(I499,0.01))</x:f>
        <x:v>0.8220613639620276</x:v>
      </x:c>
      <x:c r="K499" s="21" t="n">
        <x:f>MAX(0,1-ABS(H499-I499)/MAX(I499,0.01))</x:f>
        <x:v>0.8797226736257178</x:v>
      </x:c>
      <x:c r="L499" s="24" t="n">
        <x:f>MAX(I499-H499,0)</x:f>
        <x:v>0</x:v>
      </x:c>
      <x:c r="M499" s="24" t="n">
        <x:f>MAX(H499-I499,0)</x:f>
        <x:v>1.0832432875394797</x:v>
      </x:c>
      <x:c r="N499" s="19" t="str">
        <x:v>陈颖</x:v>
      </x:c>
      <x:c r="O499" s="19" t="str">
        <x:v>S-按销量/BOM/日型生成</x:v>
      </x:c>
    </x:row>
    <x:row r="500">
      <x:c r="A500" s="19" t="str">
        <x:v>2026-07-13|S06|螺丝椒</x:v>
      </x:c>
      <x:c r="B500" s="34" t="n">
        <x:v>46216.5</x:v>
      </x:c>
      <x:c r="C500" s="19" t="str">
        <x:v>S06</x:v>
      </x:c>
      <x:c r="D500" s="19" t="str">
        <x:v>蓝钻天城店</x:v>
      </x:c>
      <x:c r="E500" s="19" t="str">
        <x:v>螺丝椒</x:v>
      </x:c>
      <x:c r="F500" s="32" t="n">
        <x:v>14.751668554523777</x:v>
      </x:c>
      <x:c r="G500" s="32" t="n">
        <x:v>14.195101416258714</x:v>
      </x:c>
      <x:c r="H500" s="24" t="n">
        <x:f>G500</x:f>
        <x:v>14.195101416258714</x:v>
      </x:c>
      <x:c r="I500" s="24" t="n">
        <x:f>XLOOKUP(A500,'库存与收货'!$A$5:$A$676,'库存与收货'!$H$5:$H$676,0)+XLOOKUP(A500,'库存与收货'!$A$5:$A$676,'库存与收货'!$J$5:$J$676,0)</x:f>
        <x:v>12.655480615749369</x:v>
      </x:c>
      <x:c r="J500" s="21" t="n">
        <x:f>MAX(0,1-ABS(F500-I500)/MAX(I500,0.01))</x:f>
        <x:v>0.834365204892672</x:v>
      </x:c>
      <x:c r="K500" s="21" t="n">
        <x:f>MAX(0,1-ABS(H500-I500)/MAX(I500,0.01))</x:f>
        <x:v>0.8783435534962352</x:v>
      </x:c>
      <x:c r="L500" s="24" t="n">
        <x:f>MAX(I500-H500,0)</x:f>
        <x:v>0</x:v>
      </x:c>
      <x:c r="M500" s="24" t="n">
        <x:f>MAX(H500-I500,0)</x:f>
        <x:v>1.5396208005093452</x:v>
      </x:c>
      <x:c r="N500" s="19" t="str">
        <x:v>陈颖</x:v>
      </x:c>
      <x:c r="O500" s="19" t="str">
        <x:v>S-按销量/BOM/日型生成</x:v>
      </x:c>
    </x:row>
    <x:row r="501">
      <x:c r="A501" s="19" t="str">
        <x:v>2026-07-13|S06|青湖南椒圈</x:v>
      </x:c>
      <x:c r="B501" s="34" t="n">
        <x:v>46216.5</x:v>
      </x:c>
      <x:c r="C501" s="19" t="str">
        <x:v>S06</x:v>
      </x:c>
      <x:c r="D501" s="19" t="str">
        <x:v>蓝钻天城店</x:v>
      </x:c>
      <x:c r="E501" s="19" t="str">
        <x:v>青湖南椒圈</x:v>
      </x:c>
      <x:c r="F501" s="32" t="n">
        <x:v>1.7408459627939243</x:v>
      </x:c>
      <x:c r="G501" s="32" t="n">
        <x:v>1.8015001438500606</x:v>
      </x:c>
      <x:c r="H501" s="24" t="n">
        <x:f>G501</x:f>
        <x:v>1.8015001438500606</x:v>
      </x:c>
      <x:c r="I501" s="24" t="n">
        <x:f>XLOOKUP(A501,'库存与收货'!$A$5:$A$676,'库存与收货'!$H$5:$H$676,0)+XLOOKUP(A501,'库存与收货'!$A$5:$A$676,'库存与收货'!$J$5:$J$676,0)</x:f>
        <x:v>1.9286391852059492</x:v>
      </x:c>
      <x:c r="J501" s="21" t="n">
        <x:f>MAX(0,1-ABS(F501-I501)/MAX(I501,0.01))</x:f>
        <x:v>0.9026291574637008</x:v>
      </x:c>
      <x:c r="K501" s="21" t="n">
        <x:f>MAX(0,1-ABS(H501-I501)/MAX(I501,0.01))</x:f>
        <x:v>0.934078368659552</x:v>
      </x:c>
      <x:c r="L501" s="24" t="n">
        <x:f>MAX(I501-H501,0)</x:f>
        <x:v>0.1271390413558886</x:v>
      </x:c>
      <x:c r="M501" s="24" t="n">
        <x:f>MAX(H501-I501,0)</x:f>
        <x:v>0</x:v>
      </x:c>
      <x:c r="N501" s="19" t="str">
        <x:v>陈颖</x:v>
      </x:c>
      <x:c r="O501" s="19" t="str">
        <x:v>S-按销量/BOM/日型生成</x:v>
      </x:c>
    </x:row>
    <x:row r="502">
      <x:c r="A502" s="19" t="str">
        <x:v>2026-07-13|S06|鸡蛋</x:v>
      </x:c>
      <x:c r="B502" s="34" t="n">
        <x:v>46216.5</x:v>
      </x:c>
      <x:c r="C502" s="19" t="str">
        <x:v>S06</x:v>
      </x:c>
      <x:c r="D502" s="19" t="str">
        <x:v>蓝钻天城店</x:v>
      </x:c>
      <x:c r="E502" s="19" t="str">
        <x:v>鸡蛋</x:v>
      </x:c>
      <x:c r="F502" s="32" t="n">
        <x:v>17.82017151836386</x:v>
      </x:c>
      <x:c r="G502" s="32" t="n">
        <x:v>17.540517891157617</x:v>
      </x:c>
      <x:c r="H502" s="24" t="n">
        <x:f>G502</x:f>
        <x:v>17.540517891157617</x:v>
      </x:c>
      <x:c r="I502" s="24" t="n">
        <x:f>XLOOKUP(A502,'库存与收货'!$A$5:$A$676,'库存与收货'!$H$5:$H$676,0)+XLOOKUP(A502,'库存与收货'!$A$5:$A$676,'库存与收货'!$J$5:$J$676,0)</x:f>
        <x:v>16.816205005693472</x:v>
      </x:c>
      <x:c r="J502" s="21" t="n">
        <x:f>MAX(0,1-ABS(F502-I502)/MAX(I502,0.01))</x:f>
        <x:v>0.9402976764180458</x:v>
      </x:c>
      <x:c r="K502" s="21" t="n">
        <x:f>MAX(0,1-ABS(H502-I502)/MAX(I502,0.01))</x:f>
        <x:v>0.9569276846221301</x:v>
      </x:c>
      <x:c r="L502" s="24" t="n">
        <x:f>MAX(I502-H502,0)</x:f>
        <x:v>0</x:v>
      </x:c>
      <x:c r="M502" s="24" t="n">
        <x:f>MAX(H502-I502,0)</x:f>
        <x:v>0.7243128854641441</x:v>
      </x:c>
      <x:c r="N502" s="19" t="str">
        <x:v>陈颖</x:v>
      </x:c>
      <x:c r="O502" s="19" t="str">
        <x:v>S-按销量/BOM/日型生成</x:v>
      </x:c>
    </x:row>
    <x:row r="503">
      <x:c r="A503" s="19" t="str">
        <x:v>2026-07-13|S06|鸡肉</x:v>
      </x:c>
      <x:c r="B503" s="34" t="n">
        <x:v>46216.5</x:v>
      </x:c>
      <x:c r="C503" s="19" t="str">
        <x:v>S06</x:v>
      </x:c>
      <x:c r="D503" s="19" t="str">
        <x:v>蓝钻天城店</x:v>
      </x:c>
      <x:c r="E503" s="19" t="str">
        <x:v>鸡肉</x:v>
      </x:c>
      <x:c r="F503" s="32" t="n">
        <x:v>6.135201661114502</x:v>
      </x:c>
      <x:c r="G503" s="32" t="n">
        <x:v>6.071256981940219</x:v>
      </x:c>
      <x:c r="H503" s="24" t="n">
        <x:f>G503</x:f>
        <x:v>6.071256981940219</x:v>
      </x:c>
      <x:c r="I503" s="24" t="n">
        <x:f>XLOOKUP(A503,'库存与收货'!$A$5:$A$676,'库存与收货'!$H$5:$H$676,0)+XLOOKUP(A503,'库存与收货'!$A$5:$A$676,'库存与收货'!$J$5:$J$676,0)</x:f>
        <x:v>5.960417462488792</x:v>
      </x:c>
      <x:c r="J503" s="21" t="n">
        <x:f>MAX(0,1-ABS(F503-I503)/MAX(I503,0.01))</x:f>
        <x:v>0.9706758461591499</x:v>
      </x:c>
      <x:c r="K503" s="21" t="n">
        <x:f>MAX(0,1-ABS(H503-I503)/MAX(I503,0.01))</x:f>
        <x:v>0.98140406772697</x:v>
      </x:c>
      <x:c r="L503" s="24" t="n">
        <x:f>MAX(I503-H503,0)</x:f>
        <x:v>0</x:v>
      </x:c>
      <x:c r="M503" s="24" t="n">
        <x:f>MAX(H503-I503,0)</x:f>
        <x:v>0.11083951945142712</x:v>
      </x:c>
      <x:c r="N503" s="19" t="str">
        <x:v>陈颖</x:v>
      </x:c>
      <x:c r="O503" s="19" t="str">
        <x:v>S-按销量/BOM/日型生成</x:v>
      </x:c>
    </x:row>
    <x:row r="504">
      <x:c r="A504" s="19" t="str">
        <x:v>2026-07-13|S06|鲈鱼</x:v>
      </x:c>
      <x:c r="B504" s="34" t="n">
        <x:v>46216.5</x:v>
      </x:c>
      <x:c r="C504" s="19" t="str">
        <x:v>S06</x:v>
      </x:c>
      <x:c r="D504" s="19" t="str">
        <x:v>蓝钻天城店</x:v>
      </x:c>
      <x:c r="E504" s="19" t="str">
        <x:v>鲈鱼</x:v>
      </x:c>
      <x:c r="F504" s="32" t="n">
        <x:v>3.40554982575081</x:v>
      </x:c>
      <x:c r="G504" s="32" t="n">
        <x:v>3.459582451220744</x:v>
      </x:c>
      <x:c r="H504" s="24" t="n">
        <x:f>G504</x:f>
        <x:v>3.459582451220744</x:v>
      </x:c>
      <x:c r="I504" s="24" t="n">
        <x:f>XLOOKUP(A504,'库存与收货'!$A$5:$A$676,'库存与收货'!$H$5:$H$676,0)+XLOOKUP(A504,'库存与收货'!$A$5:$A$676,'库存与收货'!$J$5:$J$676,0)</x:f>
        <x:v>3.5538399132472325</x:v>
      </x:c>
      <x:c r="J504" s="21" t="n">
        <x:f>MAX(0,1-ABS(F504-I504)/MAX(I504,0.01))</x:f>
        <x:v>0.9582732787305194</x:v>
      </x:c>
      <x:c r="K504" s="21" t="n">
        <x:f>MAX(0,1-ABS(H504-I504)/MAX(I504,0.01))</x:f>
        <x:v>0.9734772909508006</x:v>
      </x:c>
      <x:c r="L504" s="24" t="n">
        <x:f>MAX(I504-H504,0)</x:f>
        <x:v>0.09425746202648844</x:v>
      </x:c>
      <x:c r="M504" s="24" t="n">
        <x:f>MAX(H504-I504,0)</x:f>
        <x:v>0</x:v>
      </x:c>
      <x:c r="N504" s="19" t="str">
        <x:v>陈颖</x:v>
      </x:c>
      <x:c r="O504" s="19" t="str">
        <x:v>S-按销量/BOM/日型生成</x:v>
      </x:c>
    </x:row>
    <x:row r="505">
      <x:c r="A505" s="19" t="str">
        <x:v>2026-07-13|S06|酸包菜</x:v>
      </x:c>
      <x:c r="B505" s="34" t="n">
        <x:v>46216.5</x:v>
      </x:c>
      <x:c r="C505" s="19" t="str">
        <x:v>S06</x:v>
      </x:c>
      <x:c r="D505" s="19" t="str">
        <x:v>蓝钻天城店</x:v>
      </x:c>
      <x:c r="E505" s="19" t="str">
        <x:v>酸包菜</x:v>
      </x:c>
      <x:c r="F505" s="32" t="n">
        <x:v>7.26175450683586</x:v>
      </x:c>
      <x:c r="G505" s="32" t="n">
        <x:v>7.46892601361755</x:v>
      </x:c>
      <x:c r="H505" s="24" t="n">
        <x:f>G505</x:f>
        <x:v>7.46892601361755</x:v>
      </x:c>
      <x:c r="I505" s="24" t="n">
        <x:f>XLOOKUP(A505,'库存与收货'!$A$5:$A$676,'库存与收货'!$H$5:$H$676,0)+XLOOKUP(A505,'库存与收货'!$A$5:$A$676,'库存与收货'!$J$5:$J$676,0)</x:f>
        <x:v>7.786669180455307</x:v>
      </x:c>
      <x:c r="J505" s="21" t="n">
        <x:f>MAX(0,1-ABS(F505-I505)/MAX(I505,0.01))</x:f>
        <x:v>0.9325880345684914</x:v>
      </x:c>
      <x:c r="K505" s="21" t="n">
        <x:f>MAX(0,1-ABS(H505-I505)/MAX(I505,0.01))</x:f>
        <x:v>0.9591939557885291</x:v>
      </x:c>
      <x:c r="L505" s="24" t="n">
        <x:f>MAX(I505-H505,0)</x:f>
        <x:v>0.31774316683775705</x:v>
      </x:c>
      <x:c r="M505" s="24" t="n">
        <x:f>MAX(H505-I505,0)</x:f>
        <x:v>0</x:v>
      </x:c>
      <x:c r="N505" s="19" t="str">
        <x:v>陈颖</x:v>
      </x:c>
      <x:c r="O505" s="19" t="str">
        <x:v>S-按销量/BOM/日型生成</x:v>
      </x:c>
    </x:row>
    <x:row r="506">
      <x:c r="A506" s="19" t="str">
        <x:v>2026-07-13|S06|粉皮</x:v>
      </x:c>
      <x:c r="B506" s="34" t="n">
        <x:v>46216.5</x:v>
      </x:c>
      <x:c r="C506" s="19" t="str">
        <x:v>S06</x:v>
      </x:c>
      <x:c r="D506" s="19" t="str">
        <x:v>蓝钻天城店</x:v>
      </x:c>
      <x:c r="E506" s="19" t="str">
        <x:v>粉皮</x:v>
      </x:c>
      <x:c r="F506" s="32" t="n">
        <x:v>5.185114758667611</x:v>
      </x:c>
      <x:c r="G506" s="32" t="n">
        <x:v>5.455349689173676</x:v>
      </x:c>
      <x:c r="H506" s="24" t="n">
        <x:f>G506</x:f>
        <x:v>5.455349689173676</x:v>
      </x:c>
      <x:c r="I506" s="24" t="n">
        <x:f>XLOOKUP(A506,'库存与收货'!$A$5:$A$676,'库存与收货'!$H$5:$H$676,0)+XLOOKUP(A506,'库存与收货'!$A$5:$A$676,'库存与收货'!$J$5:$J$676,0)</x:f>
        <x:v>5.790688191948154</x:v>
      </x:c>
      <x:c r="J506" s="21" t="n">
        <x:f>MAX(0,1-ABS(F506-I506)/MAX(I506,0.01))</x:f>
        <x:v>0.8954228904739541</x:v>
      </x:c>
      <x:c r="K506" s="21" t="n">
        <x:f>MAX(0,1-ABS(H506-I506)/MAX(I506,0.01))</x:f>
        <x:v>0.9420900432455059</x:v>
      </x:c>
      <x:c r="L506" s="24" t="n">
        <x:f>MAX(I506-H506,0)</x:f>
        <x:v>0.3353385027744773</x:v>
      </x:c>
      <x:c r="M506" s="24" t="n">
        <x:f>MAX(H506-I506,0)</x:f>
        <x:v>0</x:v>
      </x:c>
      <x:c r="N506" s="19" t="str">
        <x:v>陈颖</x:v>
      </x:c>
      <x:c r="O506" s="19" t="str">
        <x:v>S-按销量/BOM/日型生成</x:v>
      </x:c>
    </x:row>
    <x:row r="507">
      <x:c r="A507" s="19" t="str">
        <x:v>2026-07-13|S06|鸡杂</x:v>
      </x:c>
      <x:c r="B507" s="34" t="n">
        <x:v>46216.5</x:v>
      </x:c>
      <x:c r="C507" s="19" t="str">
        <x:v>S06</x:v>
      </x:c>
      <x:c r="D507" s="19" t="str">
        <x:v>蓝钻天城店</x:v>
      </x:c>
      <x:c r="E507" s="19" t="str">
        <x:v>鸡杂</x:v>
      </x:c>
      <x:c r="F507" s="32" t="n">
        <x:v>4.137249683872441</x:v>
      </x:c>
      <x:c r="G507" s="32" t="n">
        <x:v>4.05966724339675</x:v>
      </x:c>
      <x:c r="H507" s="24" t="n">
        <x:f>G507</x:f>
        <x:v>4.05966724339675</x:v>
      </x:c>
      <x:c r="I507" s="24" t="n">
        <x:f>XLOOKUP(A507,'库存与收货'!$A$5:$A$676,'库存与收货'!$H$5:$H$676,0)+XLOOKUP(A507,'库存与收货'!$A$5:$A$676,'库存与收货'!$J$5:$J$676,0)</x:f>
        <x:v>3.868519081557989</x:v>
      </x:c>
      <x:c r="J507" s="21" t="n">
        <x:f>MAX(0,1-ABS(F507-I507)/MAX(I507,0.01))</x:f>
        <x:v>0.9305339855771825</x:v>
      </x:c>
      <x:c r="K507" s="21" t="n">
        <x:f>MAX(0,1-ABS(H507-I507)/MAX(I507,0.01))</x:f>
        <x:v>0.9505888021206867</x:v>
      </x:c>
      <x:c r="L507" s="24" t="n">
        <x:f>MAX(I507-H507,0)</x:f>
        <x:v>0</x:v>
      </x:c>
      <x:c r="M507" s="24" t="n">
        <x:f>MAX(H507-I507,0)</x:f>
        <x:v>0.19114816183876115</x:v>
      </x:c>
      <x:c r="N507" s="19" t="str">
        <x:v>陈颖</x:v>
      </x:c>
      <x:c r="O507" s="19" t="str">
        <x:v>S-按销量/BOM/日型生成</x:v>
      </x:c>
    </x:row>
    <x:row r="508">
      <x:c r="A508" s="19" t="str">
        <x:v>2026-07-13|S06|豆腐</x:v>
      </x:c>
      <x:c r="B508" s="34" t="n">
        <x:v>46216.5</x:v>
      </x:c>
      <x:c r="C508" s="19" t="str">
        <x:v>S06</x:v>
      </x:c>
      <x:c r="D508" s="19" t="str">
        <x:v>蓝钻天城店</x:v>
      </x:c>
      <x:c r="E508" s="19" t="str">
        <x:v>豆腐</x:v>
      </x:c>
      <x:c r="F508" s="32" t="n">
        <x:v>22.4753265501611</x:v>
      </x:c>
      <x:c r="G508" s="32" t="n">
        <x:v>22.01200960653942</x:v>
      </x:c>
      <x:c r="H508" s="24" t="n">
        <x:f>G508</x:f>
        <x:v>22.01200960653942</x:v>
      </x:c>
      <x:c r="I508" s="24" t="n">
        <x:f>XLOOKUP(A508,'库存与收货'!$A$5:$A$676,'库存与收货'!$H$5:$H$676,0)+XLOOKUP(A508,'库存与收货'!$A$5:$A$676,'库存与收货'!$J$5:$J$676,0)</x:f>
        <x:v>21.444806571203472</x:v>
      </x:c>
      <x:c r="J508" s="21" t="n">
        <x:f>MAX(0,1-ABS(F508-I508)/MAX(I508,0.01))</x:f>
        <x:v>0.9519454756779466</x:v>
      </x:c>
      <x:c r="K508" s="21" t="n">
        <x:f>MAX(0,1-ABS(H508-I508)/MAX(I508,0.01))</x:f>
        <x:v>0.9735505641679418</x:v>
      </x:c>
      <x:c r="L508" s="24" t="n">
        <x:f>MAX(I508-H508,0)</x:f>
        <x:v>0</x:v>
      </x:c>
      <x:c r="M508" s="24" t="n">
        <x:f>MAX(H508-I508,0)</x:f>
        <x:v>0.5672030353359467</x:v>
      </x:c>
      <x:c r="N508" s="19" t="str">
        <x:v>陈颖</x:v>
      </x:c>
      <x:c r="O508" s="19" t="str">
        <x:v>S-按销量/BOM/日型生成</x:v>
      </x:c>
    </x:row>
    <x:row r="509">
      <x:c r="A509" s="19" t="str">
        <x:v>2026-07-07|S07|瘦肉片</x:v>
      </x:c>
      <x:c r="B509" s="34" t="n">
        <x:v>46210.5</x:v>
      </x:c>
      <x:c r="C509" s="19" t="str">
        <x:v>S07</x:v>
      </x:c>
      <x:c r="D509" s="19" t="str">
        <x:v>小和山店</x:v>
      </x:c>
      <x:c r="E509" s="19" t="str">
        <x:v>瘦肉片</x:v>
      </x:c>
      <x:c r="F509" s="32" t="n">
        <x:v>9.478654335393026</x:v>
      </x:c>
      <x:c r="G509" s="32" t="n">
        <x:v>10.04929731030187</x:v>
      </x:c>
      <x:c r="H509" s="24" t="n">
        <x:f>G509</x:f>
        <x:v>10.04929731030187</x:v>
      </x:c>
      <x:c r="I509" s="24" t="n">
        <x:f>XLOOKUP(A509,'库存与收货'!$A$5:$A$676,'库存与收货'!$H$5:$H$676,0)+XLOOKUP(A509,'库存与收货'!$A$5:$A$676,'库存与收货'!$J$5:$J$676,0)</x:f>
        <x:v>10.859899159148604</x:v>
      </x:c>
      <x:c r="J509" s="21" t="n">
        <x:f>MAX(0,1-ABS(F509-I509)/MAX(I509,0.01))</x:f>
        <x:v>0.8728123711358785</x:v>
      </x:c>
      <x:c r="K509" s="21" t="n">
        <x:f>MAX(0,1-ABS(H509-I509)/MAX(I509,0.01))</x:f>
        <x:v>0.9253582526902319</x:v>
      </x:c>
      <x:c r="L509" s="24" t="n">
        <x:f>MAX(I509-H509,0)</x:f>
        <x:v>0.8106018488467335</x:v>
      </x:c>
      <x:c r="M509" s="24" t="n">
        <x:f>MAX(H509-I509,0)</x:f>
        <x:v>0</x:v>
      </x:c>
      <x:c r="N509" s="19" t="str">
        <x:v>刘敏</x:v>
      </x:c>
      <x:c r="O509" s="19" t="str">
        <x:v>S-按销量/BOM/日型生成</x:v>
      </x:c>
    </x:row>
    <x:row r="510">
      <x:c r="A510" s="19" t="str">
        <x:v>2026-07-07|S07|肥肉片</x:v>
      </x:c>
      <x:c r="B510" s="34" t="n">
        <x:v>46210.5</x:v>
      </x:c>
      <x:c r="C510" s="19" t="str">
        <x:v>S07</x:v>
      </x:c>
      <x:c r="D510" s="19" t="str">
        <x:v>小和山店</x:v>
      </x:c>
      <x:c r="E510" s="19" t="str">
        <x:v>肥肉片</x:v>
      </x:c>
      <x:c r="F510" s="32" t="n">
        <x:v>3.0899307625675805</x:v>
      </x:c>
      <x:c r="G510" s="32" t="n">
        <x:v>3.089861608953833</x:v>
      </x:c>
      <x:c r="H510" s="24" t="n">
        <x:f>G510</x:f>
        <x:v>3.089861608953833</x:v>
      </x:c>
      <x:c r="I510" s="24" t="n">
        <x:f>XLOOKUP(A510,'库存与收货'!$A$5:$A$676,'库存与收货'!$H$5:$H$676,0)+XLOOKUP(A510,'库存与收货'!$A$5:$A$676,'库存与收货'!$J$5:$J$676,0)</x:f>
        <x:v>3.089694664834462</x:v>
      </x:c>
      <x:c r="J510" s="21" t="n">
        <x:f>MAX(0,1-ABS(F510-I510)/MAX(I510,0.01))</x:f>
        <x:v>0.9999235854157998</x:v>
      </x:c>
      <x:c r="K510" s="21" t="n">
        <x:f>MAX(0,1-ABS(H510-I510)/MAX(I510,0.01))</x:f>
        <x:v>0.9999459674377306</x:v>
      </x:c>
      <x:c r="L510" s="24" t="n">
        <x:f>MAX(I510-H510,0)</x:f>
        <x:v>0</x:v>
      </x:c>
      <x:c r="M510" s="24" t="n">
        <x:f>MAX(H510-I510,0)</x:f>
        <x:v>0.00016694411937123732</x:v>
      </x:c>
      <x:c r="N510" s="19" t="str">
        <x:v>刘敏</x:v>
      </x:c>
      <x:c r="O510" s="19" t="str">
        <x:v>S-按销量/BOM/日型生成</x:v>
      </x:c>
    </x:row>
    <x:row r="511">
      <x:c r="A511" s="19" t="str">
        <x:v>2026-07-07|S07|牛肉片</x:v>
      </x:c>
      <x:c r="B511" s="34" t="n">
        <x:v>46210.5</x:v>
      </x:c>
      <x:c r="C511" s="19" t="str">
        <x:v>S07</x:v>
      </x:c>
      <x:c r="D511" s="19" t="str">
        <x:v>小和山店</x:v>
      </x:c>
      <x:c r="E511" s="19" t="str">
        <x:v>牛肉片</x:v>
      </x:c>
      <x:c r="F511" s="32" t="n">
        <x:v>8.669307663963725</x:v>
      </x:c>
      <x:c r="G511" s="32" t="n">
        <x:v>8.525361068614776</x:v>
      </x:c>
      <x:c r="H511" s="24" t="n">
        <x:f>G511</x:f>
        <x:v>8.525361068614776</x:v>
      </x:c>
      <x:c r="I511" s="24" t="n">
        <x:f>XLOOKUP(A511,'库存与收货'!$A$5:$A$676,'库存与收货'!$H$5:$H$676,0)+XLOOKUP(A511,'库存与收货'!$A$5:$A$676,'库存与收货'!$J$5:$J$676,0)</x:f>
        <x:v>8.263887010483044</x:v>
      </x:c>
      <x:c r="J511" s="21" t="n">
        <x:f>MAX(0,1-ABS(F511-I511)/MAX(I511,0.01))</x:f>
        <x:v>0.9509406828812652</x:v>
      </x:c>
      <x:c r="K511" s="21" t="n">
        <x:f>MAX(0,1-ABS(H511-I511)/MAX(I511,0.01))</x:f>
        <x:v>0.9683594345130757</x:v>
      </x:c>
      <x:c r="L511" s="24" t="n">
        <x:f>MAX(I511-H511,0)</x:f>
        <x:v>0</x:v>
      </x:c>
      <x:c r="M511" s="24" t="n">
        <x:f>MAX(H511-I511,0)</x:f>
        <x:v>0.2614740581317321</x:v>
      </x:c>
      <x:c r="N511" s="19" t="str">
        <x:v>刘敏</x:v>
      </x:c>
      <x:c r="O511" s="19" t="str">
        <x:v>S-按销量/BOM/日型生成</x:v>
      </x:c>
    </x:row>
    <x:row r="512">
      <x:c r="A512" s="19" t="str">
        <x:v>2026-07-07|S07|螺丝椒</x:v>
      </x:c>
      <x:c r="B512" s="34" t="n">
        <x:v>46210.5</x:v>
      </x:c>
      <x:c r="C512" s="19" t="str">
        <x:v>S07</x:v>
      </x:c>
      <x:c r="D512" s="19" t="str">
        <x:v>小和山店</x:v>
      </x:c>
      <x:c r="E512" s="19" t="str">
        <x:v>螺丝椒</x:v>
      </x:c>
      <x:c r="F512" s="32" t="n">
        <x:v>11.807301233554803</x:v>
      </x:c>
      <x:c r="G512" s="32" t="n">
        <x:v>11.448756689727094</x:v>
      </x:c>
      <x:c r="H512" s="24" t="n">
        <x:f>G512</x:f>
        <x:v>11.448756689727094</x:v>
      </x:c>
      <x:c r="I512" s="24" t="n">
        <x:f>XLOOKUP(A512,'库存与收货'!$A$5:$A$676,'库存与收货'!$H$5:$H$676,0)+XLOOKUP(A512,'库存与收货'!$A$5:$A$676,'库存与收货'!$J$5:$J$676,0)</x:f>
        <x:v>10.97489718951108</x:v>
      </x:c>
      <x:c r="J512" s="21" t="n">
        <x:f>MAX(0,1-ABS(F512-I512)/MAX(I512,0.01))</x:f>
        <x:v>0.9241538185123712</x:v>
      </x:c>
      <x:c r="K512" s="21" t="n">
        <x:f>MAX(0,1-ABS(H512-I512)/MAX(I512,0.01))</x:f>
        <x:v>0.9568233312774089</x:v>
      </x:c>
      <x:c r="L512" s="24" t="n">
        <x:f>MAX(I512-H512,0)</x:f>
        <x:v>0</x:v>
      </x:c>
      <x:c r="M512" s="24" t="n">
        <x:f>MAX(H512-I512,0)</x:f>
        <x:v>0.4738595002160153</x:v>
      </x:c>
      <x:c r="N512" s="19" t="str">
        <x:v>刘敏</x:v>
      </x:c>
      <x:c r="O512" s="19" t="str">
        <x:v>S-按销量/BOM/日型生成</x:v>
      </x:c>
    </x:row>
    <x:row r="513">
      <x:c r="A513" s="19" t="str">
        <x:v>2026-07-07|S07|青湖南椒圈</x:v>
      </x:c>
      <x:c r="B513" s="34" t="n">
        <x:v>46210.5</x:v>
      </x:c>
      <x:c r="C513" s="19" t="str">
        <x:v>S07</x:v>
      </x:c>
      <x:c r="D513" s="19" t="str">
        <x:v>小和山店</x:v>
      </x:c>
      <x:c r="E513" s="19" t="str">
        <x:v>青湖南椒圈</x:v>
      </x:c>
      <x:c r="F513" s="32" t="n">
        <x:v>1.5991576266165404</x:v>
      </x:c>
      <x:c r="G513" s="32" t="n">
        <x:v>1.6483307394689157</x:v>
      </x:c>
      <x:c r="H513" s="24" t="n">
        <x:f>G513</x:f>
        <x:v>1.6483307394689157</x:v>
      </x:c>
      <x:c r="I513" s="24" t="n">
        <x:f>XLOOKUP(A513,'库存与收货'!$A$5:$A$676,'库存与收货'!$H$5:$H$676,0)+XLOOKUP(A513,'库存与收货'!$A$5:$A$676,'库存与收货'!$J$5:$J$676,0)</x:f>
        <x:v>1.7630731446698944</x:v>
      </x:c>
      <x:c r="J513" s="21" t="n">
        <x:f>MAX(0,1-ABS(F513-I513)/MAX(I513,0.01))</x:f>
        <x:v>0.9070285208819033</x:v>
      </x:c>
      <x:c r="K513" s="21" t="n">
        <x:f>MAX(0,1-ABS(H513-I513)/MAX(I513,0.01))</x:f>
        <x:v>0.9349190896884416</x:v>
      </x:c>
      <x:c r="L513" s="24" t="n">
        <x:f>MAX(I513-H513,0)</x:f>
        <x:v>0.11474240520097867</x:v>
      </x:c>
      <x:c r="M513" s="24" t="n">
        <x:f>MAX(H513-I513,0)</x:f>
        <x:v>0</x:v>
      </x:c>
      <x:c r="N513" s="19" t="str">
        <x:v>刘敏</x:v>
      </x:c>
      <x:c r="O513" s="19" t="str">
        <x:v>S-按销量/BOM/日型生成</x:v>
      </x:c>
    </x:row>
    <x:row r="514">
      <x:c r="A514" s="19" t="str">
        <x:v>2026-07-07|S07|鸡蛋</x:v>
      </x:c>
      <x:c r="B514" s="34" t="n">
        <x:v>46210.5</x:v>
      </x:c>
      <x:c r="C514" s="19" t="str">
        <x:v>S07</x:v>
      </x:c>
      <x:c r="D514" s="19" t="str">
        <x:v>小和山店</x:v>
      </x:c>
      <x:c r="E514" s="19" t="str">
        <x:v>鸡蛋</x:v>
      </x:c>
      <x:c r="F514" s="32" t="n">
        <x:v>13.809924767454575</x:v>
      </x:c>
      <x:c r="G514" s="32" t="n">
        <x:v>14.931870595593182</x:v>
      </x:c>
      <x:c r="H514" s="24" t="n">
        <x:f>G514</x:f>
        <x:v>14.931870595593182</x:v>
      </x:c>
      <x:c r="I514" s="24" t="n">
        <x:f>XLOOKUP(A514,'库存与收货'!$A$5:$A$676,'库存与收货'!$H$5:$H$676,0)+XLOOKUP(A514,'库存与收货'!$A$5:$A$676,'库存与收货'!$J$5:$J$676,0)</x:f>
        <x:v>16.517671359971615</x:v>
      </x:c>
      <x:c r="J514" s="21" t="n">
        <x:f>MAX(0,1-ABS(F514-I514)/MAX(I514,0.01))</x:f>
        <x:v>0.8360697138533156</x:v>
      </x:c>
      <x:c r="K514" s="21" t="n">
        <x:f>MAX(0,1-ABS(H514-I514)/MAX(I514,0.01))</x:f>
        <x:v>0.9039936847138507</x:v>
      </x:c>
      <x:c r="L514" s="24" t="n">
        <x:f>MAX(I514-H514,0)</x:f>
        <x:v>1.5858007643784333</x:v>
      </x:c>
      <x:c r="M514" s="24" t="n">
        <x:f>MAX(H514-I514,0)</x:f>
        <x:v>0</x:v>
      </x:c>
      <x:c r="N514" s="19" t="str">
        <x:v>刘敏</x:v>
      </x:c>
      <x:c r="O514" s="19" t="str">
        <x:v>S-按销量/BOM/日型生成</x:v>
      </x:c>
    </x:row>
    <x:row r="515">
      <x:c r="A515" s="19" t="str">
        <x:v>2026-07-07|S07|鸡肉</x:v>
      </x:c>
      <x:c r="B515" s="34" t="n">
        <x:v>46210.5</x:v>
      </x:c>
      <x:c r="C515" s="19" t="str">
        <x:v>S07</x:v>
      </x:c>
      <x:c r="D515" s="19" t="str">
        <x:v>小和山店</x:v>
      </x:c>
      <x:c r="E515" s="19" t="str">
        <x:v>鸡肉</x:v>
      </x:c>
      <x:c r="F515" s="32" t="n">
        <x:v>4.149882418827333</x:v>
      </x:c>
      <x:c r="G515" s="32" t="n">
        <x:v>4.300467047687136</x:v>
      </x:c>
      <x:c r="H515" s="24" t="n">
        <x:f>G515</x:f>
        <x:v>4.300467047687136</x:v>
      </x:c>
      <x:c r="I515" s="24" t="n">
        <x:f>XLOOKUP(A515,'库存与收货'!$A$5:$A$676,'库存与收货'!$H$5:$H$676,0)+XLOOKUP(A515,'库存与收货'!$A$5:$A$676,'库存与收货'!$J$5:$J$676,0)</x:f>
        <x:v>4.66262059061558</x:v>
      </x:c>
      <x:c r="J515" s="21" t="n">
        <x:f>MAX(0,1-ABS(F515-I515)/MAX(I515,0.01))</x:f>
        <x:v>0.8900321907340625</x:v>
      </x:c>
      <x:c r="K515" s="21" t="n">
        <x:f>MAX(0,1-ABS(H515-I515)/MAX(I515,0.01))</x:f>
        <x:v>0.9223283267659935</x:v>
      </x:c>
      <x:c r="L515" s="24" t="n">
        <x:f>MAX(I515-H515,0)</x:f>
        <x:v>0.3621535429284437</x:v>
      </x:c>
      <x:c r="M515" s="24" t="n">
        <x:f>MAX(H515-I515,0)</x:f>
        <x:v>0</x:v>
      </x:c>
      <x:c r="N515" s="19" t="str">
        <x:v>刘敏</x:v>
      </x:c>
      <x:c r="O515" s="19" t="str">
        <x:v>S-按销量/BOM/日型生成</x:v>
      </x:c>
    </x:row>
    <x:row r="516">
      <x:c r="A516" s="19" t="str">
        <x:v>2026-07-07|S07|鲈鱼</x:v>
      </x:c>
      <x:c r="B516" s="34" t="n">
        <x:v>46210.5</x:v>
      </x:c>
      <x:c r="C516" s="19" t="str">
        <x:v>S07</x:v>
      </x:c>
      <x:c r="D516" s="19" t="str">
        <x:v>小和山店</x:v>
      </x:c>
      <x:c r="E516" s="19" t="str">
        <x:v>鲈鱼</x:v>
      </x:c>
      <x:c r="F516" s="32" t="n">
        <x:v>2.965716220136293</x:v>
      </x:c>
      <x:c r="G516" s="32" t="n">
        <x:v>3.002786419485984</x:v>
      </x:c>
      <x:c r="H516" s="24" t="n">
        <x:f>G516</x:f>
        <x:v>3.002786419485984</x:v>
      </x:c>
      <x:c r="I516" s="24" t="n">
        <x:f>XLOOKUP(A516,'库存与收货'!$A$5:$A$676,'库存与收货'!$H$5:$H$676,0)+XLOOKUP(A516,'库存与收货'!$A$5:$A$676,'库存与收货'!$J$5:$J$676,0)</x:f>
        <x:v>3.084781461991319</x:v>
      </x:c>
      <x:c r="J516" s="21" t="n">
        <x:f>MAX(0,1-ABS(F516-I516)/MAX(I516,0.01))</x:f>
        <x:v>0.9614023737752347</x:v>
      </x:c>
      <x:c r="K516" s="21" t="n">
        <x:f>MAX(0,1-ABS(H516-I516)/MAX(I516,0.01))</x:f>
        <x:v>0.9734194971294969</x:v>
      </x:c>
      <x:c r="L516" s="24" t="n">
        <x:f>MAX(I516-H516,0)</x:f>
        <x:v>0.08199504250533485</x:v>
      </x:c>
      <x:c r="M516" s="24" t="n">
        <x:f>MAX(H516-I516,0)</x:f>
        <x:v>0</x:v>
      </x:c>
      <x:c r="N516" s="19" t="str">
        <x:v>刘敏</x:v>
      </x:c>
      <x:c r="O516" s="19" t="str">
        <x:v>S-按销量/BOM/日型生成</x:v>
      </x:c>
    </x:row>
    <x:row r="517">
      <x:c r="A517" s="19" t="str">
        <x:v>2026-07-07|S07|酸包菜</x:v>
      </x:c>
      <x:c r="B517" s="34" t="n">
        <x:v>46210.5</x:v>
      </x:c>
      <x:c r="C517" s="19" t="str">
        <x:v>S07</x:v>
      </x:c>
      <x:c r="D517" s="19" t="str">
        <x:v>小和山店</x:v>
      </x:c>
      <x:c r="E517" s="19" t="str">
        <x:v>酸包菜</x:v>
      </x:c>
      <x:c r="F517" s="32" t="n">
        <x:v>6.195996894937982</x:v>
      </x:c>
      <x:c r="G517" s="32" t="n">
        <x:v>6.394543114764762</x:v>
      </x:c>
      <x:c r="H517" s="24" t="n">
        <x:f>G517</x:f>
        <x:v>6.394543114764762</x:v>
      </x:c>
      <x:c r="I517" s="24" t="n">
        <x:f>XLOOKUP(A517,'库存与收货'!$A$5:$A$676,'库存与收货'!$H$5:$H$676,0)+XLOOKUP(A517,'库存与收货'!$A$5:$A$676,'库存与收货'!$J$5:$J$676,0)</x:f>
        <x:v>6.970889507688323</x:v>
      </x:c>
      <x:c r="J517" s="21" t="n">
        <x:f>MAX(0,1-ABS(F517-I517)/MAX(I517,0.01))</x:f>
        <x:v>0.888838775611678</x:v>
      </x:c>
      <x:c r="K517" s="21" t="n">
        <x:f>MAX(0,1-ABS(H517-I517)/MAX(I517,0.01))</x:f>
        <x:v>0.9173209685381043</x:v>
      </x:c>
      <x:c r="L517" s="24" t="n">
        <x:f>MAX(I517-H517,0)</x:f>
        <x:v>0.5763463929235613</x:v>
      </x:c>
      <x:c r="M517" s="24" t="n">
        <x:f>MAX(H517-I517,0)</x:f>
        <x:v>0</x:v>
      </x:c>
      <x:c r="N517" s="19" t="str">
        <x:v>刘敏</x:v>
      </x:c>
      <x:c r="O517" s="19" t="str">
        <x:v>S-按销量/BOM/日型生成</x:v>
      </x:c>
    </x:row>
    <x:row r="518">
      <x:c r="A518" s="19" t="str">
        <x:v>2026-07-07|S07|粉皮</x:v>
      </x:c>
      <x:c r="B518" s="34" t="n">
        <x:v>46210.5</x:v>
      </x:c>
      <x:c r="C518" s="19" t="str">
        <x:v>S07</x:v>
      </x:c>
      <x:c r="D518" s="19" t="str">
        <x:v>小和山店</x:v>
      </x:c>
      <x:c r="E518" s="19" t="str">
        <x:v>粉皮</x:v>
      </x:c>
      <x:c r="F518" s="32" t="n">
        <x:v>5.3023728746433685</x:v>
      </x:c>
      <x:c r="G518" s="32" t="n">
        <x:v>5.295517415463189</x:v>
      </x:c>
      <x:c r="H518" s="24" t="n">
        <x:f>G518</x:f>
        <x:v>5.295517415463189</x:v>
      </x:c>
      <x:c r="I518" s="24" t="n">
        <x:f>XLOOKUP(A518,'库存与收货'!$A$5:$A$676,'库存与收货'!$H$5:$H$676,0)+XLOOKUP(A518,'库存与收货'!$A$5:$A$676,'库存与收货'!$J$5:$J$676,0)</x:f>
        <x:v>5.286484520966533</x:v>
      </x:c>
      <x:c r="J518" s="21" t="n">
        <x:f>MAX(0,1-ABS(F518-I518)/MAX(I518,0.01))</x:f>
        <x:v>0.996994533207499</x:v>
      </x:c>
      <x:c r="K518" s="21" t="n">
        <x:f>MAX(0,1-ABS(H518-I518)/MAX(I518,0.01))</x:f>
        <x:v>0.9982913230028705</x:v>
      </x:c>
      <x:c r="L518" s="24" t="n">
        <x:f>MAX(I518-H518,0)</x:f>
        <x:v>0</x:v>
      </x:c>
      <x:c r="M518" s="24" t="n">
        <x:f>MAX(H518-I518,0)</x:f>
        <x:v>0.009032894496656674</x:v>
      </x:c>
      <x:c r="N518" s="19" t="str">
        <x:v>刘敏</x:v>
      </x:c>
      <x:c r="O518" s="19" t="str">
        <x:v>S-按销量/BOM/日型生成</x:v>
      </x:c>
    </x:row>
    <x:row r="519">
      <x:c r="A519" s="19" t="str">
        <x:v>2026-07-07|S07|鸡杂</x:v>
      </x:c>
      <x:c r="B519" s="34" t="n">
        <x:v>46210.5</x:v>
      </x:c>
      <x:c r="C519" s="19" t="str">
        <x:v>S07</x:v>
      </x:c>
      <x:c r="D519" s="19" t="str">
        <x:v>小和山店</x:v>
      </x:c>
      <x:c r="E519" s="19" t="str">
        <x:v>鸡杂</x:v>
      </x:c>
      <x:c r="F519" s="32" t="n">
        <x:v>3.2407282048795043</x:v>
      </x:c>
      <x:c r="G519" s="32" t="n">
        <x:v>3.192402769822146</x:v>
      </x:c>
      <x:c r="H519" s="24" t="n">
        <x:f>G519</x:f>
        <x:v>3.192402769822146</x:v>
      </x:c>
      <x:c r="I519" s="24" t="n">
        <x:f>XLOOKUP(A519,'库存与收货'!$A$5:$A$676,'库存与收货'!$H$5:$H$676,0)+XLOOKUP(A519,'库存与收货'!$A$5:$A$676,'库存与收货'!$J$5:$J$676,0)</x:f>
        <x:v>3.078045257164176</x:v>
      </x:c>
      <x:c r="J519" s="21" t="n">
        <x:f>MAX(0,1-ABS(F519-I519)/MAX(I519,0.01))</x:f>
        <x:v>0.9471473178190989</x:v>
      </x:c>
      <x:c r="K519" s="21" t="n">
        <x:f>MAX(0,1-ABS(H519-I519)/MAX(I519,0.01))</x:f>
        <x:v>0.9628473582733061</x:v>
      </x:c>
      <x:c r="L519" s="24" t="n">
        <x:f>MAX(I519-H519,0)</x:f>
        <x:v>0</x:v>
      </x:c>
      <x:c r="M519" s="24" t="n">
        <x:f>MAX(H519-I519,0)</x:f>
        <x:v>0.1143575126579699</x:v>
      </x:c>
      <x:c r="N519" s="19" t="str">
        <x:v>刘敏</x:v>
      </x:c>
      <x:c r="O519" s="19" t="str">
        <x:v>S-按销量/BOM/日型生成</x:v>
      </x:c>
    </x:row>
    <x:row r="520">
      <x:c r="A520" s="19" t="str">
        <x:v>2026-07-07|S07|豆腐</x:v>
      </x:c>
      <x:c r="B520" s="34" t="n">
        <x:v>46210.5</x:v>
      </x:c>
      <x:c r="C520" s="19" t="str">
        <x:v>S07</x:v>
      </x:c>
      <x:c r="D520" s="19" t="str">
        <x:v>小和山店</x:v>
      </x:c>
      <x:c r="E520" s="19" t="str">
        <x:v>豆腐</x:v>
      </x:c>
      <x:c r="F520" s="32" t="n">
        <x:v>19.84119688258006</x:v>
      </x:c>
      <x:c r="G520" s="32" t="n">
        <x:v>19.946160947683296</x:v>
      </x:c>
      <x:c r="H520" s="24" t="n">
        <x:f>G520</x:f>
        <x:v>19.946160947683296</x:v>
      </x:c>
      <x:c r="I520" s="24" t="n">
        <x:f>XLOOKUP(A520,'库存与收货'!$A$5:$A$676,'库存与收货'!$H$5:$H$676,0)+XLOOKUP(A520,'库存与收货'!$A$5:$A$676,'库存与收货'!$J$5:$J$676,0)</x:f>
        <x:v>20.258730156507514</x:v>
      </x:c>
      <x:c r="J520" s="21" t="n">
        <x:f>MAX(0,1-ABS(F520-I520)/MAX(I520,0.01))</x:f>
        <x:v>0.979389958269752</x:v>
      </x:c>
      <x:c r="K520" s="21" t="n">
        <x:f>MAX(0,1-ABS(H520-I520)/MAX(I520,0.01))</x:f>
        <x:v>0.9845711351891513</x:v>
      </x:c>
      <x:c r="L520" s="24" t="n">
        <x:f>MAX(I520-H520,0)</x:f>
        <x:v>0.31256920882421824</x:v>
      </x:c>
      <x:c r="M520" s="24" t="n">
        <x:f>MAX(H520-I520,0)</x:f>
        <x:v>0</x:v>
      </x:c>
      <x:c r="N520" s="19" t="str">
        <x:v>刘敏</x:v>
      </x:c>
      <x:c r="O520" s="19" t="str">
        <x:v>S-按销量/BOM/日型生成</x:v>
      </x:c>
    </x:row>
    <x:row r="521">
      <x:c r="A521" s="19" t="str">
        <x:v>2026-07-08|S07|瘦肉片</x:v>
      </x:c>
      <x:c r="B521" s="34" t="n">
        <x:v>46211.5</x:v>
      </x:c>
      <x:c r="C521" s="19" t="str">
        <x:v>S07</x:v>
      </x:c>
      <x:c r="D521" s="19" t="str">
        <x:v>小和山店</x:v>
      </x:c>
      <x:c r="E521" s="19" t="str">
        <x:v>瘦肉片</x:v>
      </x:c>
      <x:c r="F521" s="32" t="n">
        <x:v>10.182796033777255</x:v>
      </x:c>
      <x:c r="G521" s="32" t="n">
        <x:v>10.352258073782918</x:v>
      </x:c>
      <x:c r="H521" s="24" t="n">
        <x:f>G521</x:f>
        <x:v>10.352258073782918</x:v>
      </x:c>
      <x:c r="I521" s="24" t="n">
        <x:f>XLOOKUP(A521,'库存与收货'!$A$5:$A$676,'库存与收货'!$H$5:$H$676,0)+XLOOKUP(A521,'库存与收货'!$A$5:$A$676,'库存与收货'!$J$5:$J$676,0)</x:f>
        <x:v>10.752536169569368</x:v>
      </x:c>
      <x:c r="J521" s="21" t="n">
        <x:f>MAX(0,1-ABS(F521-I521)/MAX(I521,0.01))</x:f>
        <x:v>0.9470134183408256</x:v>
      </x:c>
      <x:c r="K521" s="21" t="n">
        <x:f>MAX(0,1-ABS(H521-I521)/MAX(I521,0.01))</x:f>
        <x:v>0.9627736108510594</x:v>
      </x:c>
      <x:c r="L521" s="24" t="n">
        <x:f>MAX(I521-H521,0)</x:f>
        <x:v>0.40027809578644913</x:v>
      </x:c>
      <x:c r="M521" s="24" t="n">
        <x:f>MAX(H521-I521,0)</x:f>
        <x:v>0</x:v>
      </x:c>
      <x:c r="N521" s="19" t="str">
        <x:v>刘敏</x:v>
      </x:c>
      <x:c r="O521" s="19" t="str">
        <x:v>S-按销量/BOM/日型生成</x:v>
      </x:c>
    </x:row>
    <x:row r="522">
      <x:c r="A522" s="19" t="str">
        <x:v>2026-07-08|S07|肥肉片</x:v>
      </x:c>
      <x:c r="B522" s="34" t="n">
        <x:v>46211.5</x:v>
      </x:c>
      <x:c r="C522" s="19" t="str">
        <x:v>S07</x:v>
      </x:c>
      <x:c r="D522" s="19" t="str">
        <x:v>小和山店</x:v>
      </x:c>
      <x:c r="E522" s="19" t="str">
        <x:v>肥肉片</x:v>
      </x:c>
      <x:c r="F522" s="32" t="n">
        <x:v>2.6201775766177917</x:v>
      </x:c>
      <x:c r="G522" s="32" t="n">
        <x:v>2.7885370734100734</x:v>
      </x:c>
      <x:c r="H522" s="24" t="n">
        <x:f>G522</x:f>
        <x:v>2.7885370734100734</x:v>
      </x:c>
      <x:c r="I522" s="24" t="n">
        <x:f>XLOOKUP(A522,'库存与收货'!$A$5:$A$676,'库存与收货'!$H$5:$H$676,0)+XLOOKUP(A522,'库存与收货'!$A$5:$A$676,'库存与收货'!$J$5:$J$676,0)</x:f>
        <x:v>3.063670779205258</x:v>
      </x:c>
      <x:c r="J522" s="21" t="n">
        <x:f>MAX(0,1-ABS(F522-I522)/MAX(I522,0.01))</x:f>
        <x:v>0.8552412336215471</x:v>
      </x:c>
      <x:c r="K522" s="21" t="n">
        <x:f>MAX(0,1-ABS(H522-I522)/MAX(I522,0.01))</x:f>
        <x:v>0.9101947547162503</x:v>
      </x:c>
      <x:c r="L522" s="24" t="n">
        <x:f>MAX(I522-H522,0)</x:f>
        <x:v>0.2751337057951848</x:v>
      </x:c>
      <x:c r="M522" s="24" t="n">
        <x:f>MAX(H522-I522,0)</x:f>
        <x:v>0</x:v>
      </x:c>
      <x:c r="N522" s="19" t="str">
        <x:v>刘敏</x:v>
      </x:c>
      <x:c r="O522" s="19" t="str">
        <x:v>S-按销量/BOM/日型生成</x:v>
      </x:c>
    </x:row>
    <x:row r="523">
      <x:c r="A523" s="19" t="str">
        <x:v>2026-07-08|S07|牛肉片</x:v>
      </x:c>
      <x:c r="B523" s="34" t="n">
        <x:v>46211.5</x:v>
      </x:c>
      <x:c r="C523" s="19" t="str">
        <x:v>S07</x:v>
      </x:c>
      <x:c r="D523" s="19" t="str">
        <x:v>小和山店</x:v>
      </x:c>
      <x:c r="E523" s="19" t="str">
        <x:v>牛肉片</x:v>
      </x:c>
      <x:c r="F523" s="32" t="n">
        <x:v>8.803610957656945</x:v>
      </x:c>
      <x:c r="G523" s="32" t="n">
        <x:v>8.572241804476286</x:v>
      </x:c>
      <x:c r="H523" s="24" t="n">
        <x:f>G523</x:f>
        <x:v>8.572241804476286</x:v>
      </x:c>
      <x:c r="I523" s="24" t="n">
        <x:f>XLOOKUP(A523,'库存与收货'!$A$5:$A$676,'库存与收货'!$H$5:$H$676,0)+XLOOKUP(A523,'库存与收货'!$A$5:$A$676,'库存与收货'!$J$5:$J$676,0)</x:f>
        <x:v>7.975005071530178</x:v>
      </x:c>
      <x:c r="J523" s="21" t="n">
        <x:f>MAX(0,1-ABS(F523-I523)/MAX(I523,0.01))</x:f>
        <x:v>0.8960996414805061</x:v>
      </x:c>
      <x:c r="K523" s="21" t="n">
        <x:f>MAX(0,1-ABS(H523-I523)/MAX(I523,0.01))</x:f>
        <x:v>0.9251114290725441</x:v>
      </x:c>
      <x:c r="L523" s="24" t="n">
        <x:f>MAX(I523-H523,0)</x:f>
        <x:v>0</x:v>
      </x:c>
      <x:c r="M523" s="24" t="n">
        <x:f>MAX(H523-I523,0)</x:f>
        <x:v>0.5972367329461088</x:v>
      </x:c>
      <x:c r="N523" s="19" t="str">
        <x:v>刘敏</x:v>
      </x:c>
      <x:c r="O523" s="19" t="str">
        <x:v>S-按销量/BOM/日型生成</x:v>
      </x:c>
    </x:row>
    <x:row r="524">
      <x:c r="A524" s="19" t="str">
        <x:v>2026-07-08|S07|螺丝椒</x:v>
      </x:c>
      <x:c r="B524" s="34" t="n">
        <x:v>46211.5</x:v>
      </x:c>
      <x:c r="C524" s="19" t="str">
        <x:v>S07</x:v>
      </x:c>
      <x:c r="D524" s="19" t="str">
        <x:v>小和山店</x:v>
      </x:c>
      <x:c r="E524" s="19" t="str">
        <x:v>螺丝椒</x:v>
      </x:c>
      <x:c r="F524" s="32" t="n">
        <x:v>11.723454852891047</x:v>
      </x:c>
      <x:c r="G524" s="32" t="n">
        <x:v>11.426974572562758</x:v>
      </x:c>
      <x:c r="H524" s="24" t="n">
        <x:f>G524</x:f>
        <x:v>11.426974572562758</x:v>
      </x:c>
      <x:c r="I524" s="24" t="n">
        <x:f>XLOOKUP(A524,'库存与收货'!$A$5:$A$676,'库存与收货'!$H$5:$H$676,0)+XLOOKUP(A524,'库存与收货'!$A$5:$A$676,'库存与收货'!$J$5:$J$676,0)</x:f>
        <x:v>10.930265607175304</x:v>
      </x:c>
      <x:c r="J524" s="21" t="n">
        <x:f>MAX(0,1-ABS(F524-I524)/MAX(I524,0.01))</x:f>
        <x:v>0.9274318416201117</x:v>
      </x:c>
      <x:c r="K524" s="21" t="n">
        <x:f>MAX(0,1-ABS(H524-I524)/MAX(I524,0.01))</x:f>
        <x:v>0.9545565512093884</x:v>
      </x:c>
      <x:c r="L524" s="24" t="n">
        <x:f>MAX(I524-H524,0)</x:f>
        <x:v>0</x:v>
      </x:c>
      <x:c r="M524" s="24" t="n">
        <x:f>MAX(H524-I524,0)</x:f>
        <x:v>0.49670896538745346</x:v>
      </x:c>
      <x:c r="N524" s="19" t="str">
        <x:v>刘敏</x:v>
      </x:c>
      <x:c r="O524" s="19" t="str">
        <x:v>S-按销量/BOM/日型生成</x:v>
      </x:c>
    </x:row>
    <x:row r="525">
      <x:c r="A525" s="19" t="str">
        <x:v>2026-07-08|S07|青湖南椒圈</x:v>
      </x:c>
      <x:c r="B525" s="34" t="n">
        <x:v>46211.5</x:v>
      </x:c>
      <x:c r="C525" s="19" t="str">
        <x:v>S07</x:v>
      </x:c>
      <x:c r="D525" s="19" t="str">
        <x:v>小和山店</x:v>
      </x:c>
      <x:c r="E525" s="19" t="str">
        <x:v>青湖南椒圈</x:v>
      </x:c>
      <x:c r="F525" s="32" t="n">
        <x:v>1.4805142944062113</x:v>
      </x:c>
      <x:c r="G525" s="32" t="n">
        <x:v>1.5396421421012372</x:v>
      </x:c>
      <x:c r="H525" s="24" t="n">
        <x:f>G525</x:f>
        <x:v>1.5396421421012372</x:v>
      </x:c>
      <x:c r="I525" s="24" t="n">
        <x:f>XLOOKUP(A525,'库存与收货'!$A$5:$A$676,'库存与收货'!$H$5:$H$676,0)+XLOOKUP(A525,'库存与收货'!$A$5:$A$676,'库存与收货'!$J$5:$J$676,0)</x:f>
        <x:v>1.6386875697781071</x:v>
      </x:c>
      <x:c r="J525" s="21" t="n">
        <x:f>MAX(0,1-ABS(F525-I525)/MAX(I525,0.01))</x:f>
        <x:v>0.9034756360583647</x:v>
      </x:c>
      <x:c r="K525" s="21" t="n">
        <x:f>MAX(0,1-ABS(H525-I525)/MAX(I525,0.01))</x:f>
        <x:v>0.9395580771444543</x:v>
      </x:c>
      <x:c r="L525" s="24" t="n">
        <x:f>MAX(I525-H525,0)</x:f>
        <x:v>0.09904542767686997</x:v>
      </x:c>
      <x:c r="M525" s="24" t="n">
        <x:f>MAX(H525-I525,0)</x:f>
        <x:v>0</x:v>
      </x:c>
      <x:c r="N525" s="19" t="str">
        <x:v>刘敏</x:v>
      </x:c>
      <x:c r="O525" s="19" t="str">
        <x:v>S-按销量/BOM/日型生成</x:v>
      </x:c>
    </x:row>
    <x:row r="526">
      <x:c r="A526" s="19" t="str">
        <x:v>2026-07-08|S07|鸡蛋</x:v>
      </x:c>
      <x:c r="B526" s="34" t="n">
        <x:v>46211.5</x:v>
      </x:c>
      <x:c r="C526" s="19" t="str">
        <x:v>S07</x:v>
      </x:c>
      <x:c r="D526" s="19" t="str">
        <x:v>小和山店</x:v>
      </x:c>
      <x:c r="E526" s="19" t="str">
        <x:v>鸡蛋</x:v>
      </x:c>
      <x:c r="F526" s="32" t="n">
        <x:v>12.75385212491715</x:v>
      </x:c>
      <x:c r="G526" s="32" t="n">
        <x:v>13.45891451229396</x:v>
      </x:c>
      <x:c r="H526" s="24" t="n">
        <x:f>G526</x:f>
        <x:v>13.45891451229396</x:v>
      </x:c>
      <x:c r="I526" s="24" t="n">
        <x:f>XLOOKUP(A526,'库存与收货'!$A$5:$A$676,'库存与收货'!$H$5:$H$676,0)+XLOOKUP(A526,'库存与收货'!$A$5:$A$676,'库存与收货'!$J$5:$J$676,0)</x:f>
        <x:v>14.722562575749485</x:v>
      </x:c>
      <x:c r="J526" s="21" t="n">
        <x:f>MAX(0,1-ABS(F526-I526)/MAX(I526,0.01))</x:f>
        <x:v>0.8662793626650886</x:v>
      </x:c>
      <x:c r="K526" s="21" t="n">
        <x:f>MAX(0,1-ABS(H526-I526)/MAX(I526,0.01))</x:f>
        <x:v>0.9141692856149266</x:v>
      </x:c>
      <x:c r="L526" s="24" t="n">
        <x:f>MAX(I526-H526,0)</x:f>
        <x:v>1.2636480634555252</x:v>
      </x:c>
      <x:c r="M526" s="24" t="n">
        <x:f>MAX(H526-I526,0)</x:f>
        <x:v>0</x:v>
      </x:c>
      <x:c r="N526" s="19" t="str">
        <x:v>刘敏</x:v>
      </x:c>
      <x:c r="O526" s="19" t="str">
        <x:v>S-按销量/BOM/日型生成</x:v>
      </x:c>
    </x:row>
    <x:row r="527">
      <x:c r="A527" s="19" t="str">
        <x:v>2026-07-08|S07|鸡肉</x:v>
      </x:c>
      <x:c r="B527" s="34" t="n">
        <x:v>46211.5</x:v>
      </x:c>
      <x:c r="C527" s="19" t="str">
        <x:v>S07</x:v>
      </x:c>
      <x:c r="D527" s="19" t="str">
        <x:v>小和山店</x:v>
      </x:c>
      <x:c r="E527" s="19" t="str">
        <x:v>鸡肉</x:v>
      </x:c>
      <x:c r="F527" s="32" t="n">
        <x:v>4.965227780351896</x:v>
      </x:c>
      <x:c r="G527" s="32" t="n">
        <x:v>5.037436919681968</x:v>
      </x:c>
      <x:c r="H527" s="24" t="n">
        <x:f>G527</x:f>
        <x:v>5.037436919681968</x:v>
      </x:c>
      <x:c r="I527" s="24" t="n">
        <x:f>XLOOKUP(A527,'库存与收货'!$A$5:$A$676,'库存与收货'!$H$5:$H$676,0)+XLOOKUP(A527,'库存与收货'!$A$5:$A$676,'库存与收货'!$J$5:$J$676,0)</x:f>
        <x:v>5.133635128109864</x:v>
      </x:c>
      <x:c r="J527" s="21" t="n">
        <x:f>MAX(0,1-ABS(F527-I527)/MAX(I527,0.01))</x:f>
        <x:v>0.9671953024405975</x:v>
      </x:c>
      <x:c r="K527" s="21" t="n">
        <x:f>MAX(0,1-ABS(H527-I527)/MAX(I527,0.01))</x:f>
        <x:v>0.981261190944181</x:v>
      </x:c>
      <x:c r="L527" s="24" t="n">
        <x:f>MAX(I527-H527,0)</x:f>
        <x:v>0.09619820842789562</x:v>
      </x:c>
      <x:c r="M527" s="24" t="n">
        <x:f>MAX(H527-I527,0)</x:f>
        <x:v>0</x:v>
      </x:c>
      <x:c r="N527" s="19" t="str">
        <x:v>刘敏</x:v>
      </x:c>
      <x:c r="O527" s="19" t="str">
        <x:v>S-按销量/BOM/日型生成</x:v>
      </x:c>
    </x:row>
    <x:row r="528">
      <x:c r="A528" s="19" t="str">
        <x:v>2026-07-08|S07|鲈鱼</x:v>
      </x:c>
      <x:c r="B528" s="34" t="n">
        <x:v>46211.5</x:v>
      </x:c>
      <x:c r="C528" s="19" t="str">
        <x:v>S07</x:v>
      </x:c>
      <x:c r="D528" s="19" t="str">
        <x:v>小和山店</x:v>
      </x:c>
      <x:c r="E528" s="19" t="str">
        <x:v>鲈鱼</x:v>
      </x:c>
      <x:c r="F528" s="32" t="n">
        <x:v>2.607621515746636</x:v>
      </x:c>
      <x:c r="G528" s="32" t="n">
        <x:v>2.7509491609398116</x:v>
      </x:c>
      <x:c r="H528" s="24" t="n">
        <x:f>G528</x:f>
        <x:v>2.7509491609398116</x:v>
      </x:c>
      <x:c r="I528" s="24" t="n">
        <x:f>XLOOKUP(A528,'库存与收货'!$A$5:$A$676,'库存与收货'!$H$5:$H$676,0)+XLOOKUP(A528,'库存与收货'!$A$5:$A$676,'库存与收货'!$J$5:$J$676,0)</x:f>
        <x:v>3.0701905013109068</x:v>
      </x:c>
      <x:c r="J528" s="21" t="n">
        <x:f>MAX(0,1-ABS(F528-I528)/MAX(I528,0.01))</x:f>
        <x:v>0.8493354124551022</x:v>
      </x:c>
      <x:c r="K528" s="21" t="n">
        <x:f>MAX(0,1-ABS(H528-I528)/MAX(I528,0.01))</x:f>
        <x:v>0.8960190449958119</x:v>
      </x:c>
      <x:c r="L528" s="24" t="n">
        <x:f>MAX(I528-H528,0)</x:f>
        <x:v>0.3192413403710952</x:v>
      </x:c>
      <x:c r="M528" s="24" t="n">
        <x:f>MAX(H528-I528,0)</x:f>
        <x:v>0</x:v>
      </x:c>
      <x:c r="N528" s="19" t="str">
        <x:v>刘敏</x:v>
      </x:c>
      <x:c r="O528" s="19" t="str">
        <x:v>S-按销量/BOM/日型生成</x:v>
      </x:c>
    </x:row>
    <x:row r="529">
      <x:c r="A529" s="19" t="str">
        <x:v>2026-07-08|S07|酸包菜</x:v>
      </x:c>
      <x:c r="B529" s="34" t="n">
        <x:v>46211.5</x:v>
      </x:c>
      <x:c r="C529" s="19" t="str">
        <x:v>S07</x:v>
      </x:c>
      <x:c r="D529" s="19" t="str">
        <x:v>小和山店</x:v>
      </x:c>
      <x:c r="E529" s="19" t="str">
        <x:v>酸包菜</x:v>
      </x:c>
      <x:c r="F529" s="32" t="n">
        <x:v>8.252360300351596</x:v>
      </x:c>
      <x:c r="G529" s="32" t="n">
        <x:v>7.8129527880846785</x:v>
      </x:c>
      <x:c r="H529" s="24" t="n">
        <x:f>G529</x:f>
        <x:v>7.8129527880846785</x:v>
      </x:c>
      <x:c r="I529" s="24" t="n">
        <x:f>XLOOKUP(A529,'库存与收货'!$A$5:$A$676,'库存与收货'!$H$5:$H$676,0)+XLOOKUP(A529,'库存与收货'!$A$5:$A$676,'库存与收货'!$J$5:$J$676,0)</x:f>
        <x:v>7.18251511901792</x:v>
      </x:c>
      <x:c r="J529" s="21" t="n">
        <x:f>MAX(0,1-ABS(F529-I529)/MAX(I529,0.01))</x:f>
        <x:v>0.8510486697757265</x:v>
      </x:c>
      <x:c r="K529" s="21" t="n">
        <x:f>MAX(0,1-ABS(H529-I529)/MAX(I529,0.01))</x:f>
        <x:v>0.9122260574993458</x:v>
      </x:c>
      <x:c r="L529" s="24" t="n">
        <x:f>MAX(I529-H529,0)</x:f>
        <x:v>0</x:v>
      </x:c>
      <x:c r="M529" s="24" t="n">
        <x:f>MAX(H529-I529,0)</x:f>
        <x:v>0.6304376690667581</x:v>
      </x:c>
      <x:c r="N529" s="19" t="str">
        <x:v>刘敏</x:v>
      </x:c>
      <x:c r="O529" s="19" t="str">
        <x:v>S-按销量/BOM/日型生成</x:v>
      </x:c>
    </x:row>
    <x:row r="530">
      <x:c r="A530" s="19" t="str">
        <x:v>2026-07-08|S07|粉皮</x:v>
      </x:c>
      <x:c r="B530" s="34" t="n">
        <x:v>46211.5</x:v>
      </x:c>
      <x:c r="C530" s="19" t="str">
        <x:v>S07</x:v>
      </x:c>
      <x:c r="D530" s="19" t="str">
        <x:v>小和山店</x:v>
      </x:c>
      <x:c r="E530" s="19" t="str">
        <x:v>粉皮</x:v>
      </x:c>
      <x:c r="F530" s="32" t="n">
        <x:v>4.549142229486983</x:v>
      </x:c>
      <x:c r="G530" s="32" t="n">
        <x:v>4.889325672039551</x:v>
      </x:c>
      <x:c r="H530" s="24" t="n">
        <x:f>G530</x:f>
        <x:v>4.889325672039551</x:v>
      </x:c>
      <x:c r="I530" s="24" t="n">
        <x:f>XLOOKUP(A530,'库存与收货'!$A$5:$A$676,'库存与收货'!$H$5:$H$676,0)+XLOOKUP(A530,'库存与收货'!$A$5:$A$676,'库存与收货'!$J$5:$J$676,0)</x:f>
        <x:v>5.3870553037019695</x:v>
      </x:c>
      <x:c r="J530" s="21" t="n">
        <x:f>MAX(0,1-ABS(F530-I530)/MAX(I530,0.01))</x:f>
        <x:v>0.8444580523167871</x:v>
      </x:c>
      <x:c r="K530" s="21" t="n">
        <x:f>MAX(0,1-ABS(H530-I530)/MAX(I530,0.01))</x:f>
        <x:v>0.9076063631052051</x:v>
      </x:c>
      <x:c r="L530" s="24" t="n">
        <x:f>MAX(I530-H530,0)</x:f>
        <x:v>0.4977296316624189</x:v>
      </x:c>
      <x:c r="M530" s="24" t="n">
        <x:f>MAX(H530-I530,0)</x:f>
        <x:v>0</x:v>
      </x:c>
      <x:c r="N530" s="19" t="str">
        <x:v>刘敏</x:v>
      </x:c>
      <x:c r="O530" s="19" t="str">
        <x:v>S-按销量/BOM/日型生成</x:v>
      </x:c>
    </x:row>
    <x:row r="531">
      <x:c r="A531" s="19" t="str">
        <x:v>2026-07-08|S07|鸡杂</x:v>
      </x:c>
      <x:c r="B531" s="34" t="n">
        <x:v>46211.5</x:v>
      </x:c>
      <x:c r="C531" s="19" t="str">
        <x:v>S07</x:v>
      </x:c>
      <x:c r="D531" s="19" t="str">
        <x:v>小和山店</x:v>
      </x:c>
      <x:c r="E531" s="19" t="str">
        <x:v>鸡杂</x:v>
      </x:c>
      <x:c r="F531" s="32" t="n">
        <x:v>3.1727688503195797</x:v>
      </x:c>
      <x:c r="G531" s="32" t="n">
        <x:v>3.2454256056847357</x:v>
      </x:c>
      <x:c r="H531" s="24" t="n">
        <x:f>G531</x:f>
        <x:v>3.2454256056847357</x:v>
      </x:c>
      <x:c r="I531" s="24" t="n">
        <x:f>XLOOKUP(A531,'库存与收货'!$A$5:$A$676,'库存与收货'!$H$5:$H$676,0)+XLOOKUP(A531,'库存与收货'!$A$5:$A$676,'库存与收货'!$J$5:$J$676,0)</x:f>
        <x:v>3.34698299164377</x:v>
      </x:c>
      <x:c r="J531" s="21" t="n">
        <x:f>MAX(0,1-ABS(F531-I531)/MAX(I531,0.01))</x:f>
        <x:v>0.9479489015154421</x:v>
      </x:c>
      <x:c r="K531" s="21" t="n">
        <x:f>MAX(0,1-ABS(H531-I531)/MAX(I531,0.01))</x:f>
        <x:v>0.9696570355413855</x:v>
      </x:c>
      <x:c r="L531" s="24" t="n">
        <x:f>MAX(I531-H531,0)</x:f>
        <x:v>0.10155738595903419</x:v>
      </x:c>
      <x:c r="M531" s="24" t="n">
        <x:f>MAX(H531-I531,0)</x:f>
        <x:v>0</x:v>
      </x:c>
      <x:c r="N531" s="19" t="str">
        <x:v>刘敏</x:v>
      </x:c>
      <x:c r="O531" s="19" t="str">
        <x:v>S-按销量/BOM/日型生成</x:v>
      </x:c>
    </x:row>
    <x:row r="532">
      <x:c r="A532" s="19" t="str">
        <x:v>2026-07-08|S07|豆腐</x:v>
      </x:c>
      <x:c r="B532" s="34" t="n">
        <x:v>46211.5</x:v>
      </x:c>
      <x:c r="C532" s="19" t="str">
        <x:v>S07</x:v>
      </x:c>
      <x:c r="D532" s="19" t="str">
        <x:v>小和山店</x:v>
      </x:c>
      <x:c r="E532" s="19" t="str">
        <x:v>豆腐</x:v>
      </x:c>
      <x:c r="F532" s="32" t="n">
        <x:v>19.073450984418585</x:v>
      </x:c>
      <x:c r="G532" s="32" t="n">
        <x:v>19.325462058129087</x:v>
      </x:c>
      <x:c r="H532" s="24" t="n">
        <x:f>G532</x:f>
        <x:v>19.325462058129087</x:v>
      </x:c>
      <x:c r="I532" s="24" t="n">
        <x:f>XLOOKUP(A532,'库存与收货'!$A$5:$A$676,'库存与收货'!$H$5:$H$676,0)+XLOOKUP(A532,'库存与收货'!$A$5:$A$676,'库存与收货'!$J$5:$J$676,0)</x:f>
        <x:v>19.6458693946446</x:v>
      </x:c>
      <x:c r="J532" s="21" t="n">
        <x:f>MAX(0,1-ABS(F532-I532)/MAX(I532,0.01))</x:f>
        <x:v>0.9708631672782039</x:v>
      </x:c>
      <x:c r="K532" s="21" t="n">
        <x:f>MAX(0,1-ABS(H532-I532)/MAX(I532,0.01))</x:f>
        <x:v>0.983690854801119</x:v>
      </x:c>
      <x:c r="L532" s="24" t="n">
        <x:f>MAX(I532-H532,0)</x:f>
        <x:v>0.3204073365155118</x:v>
      </x:c>
      <x:c r="M532" s="24" t="n">
        <x:f>MAX(H532-I532,0)</x:f>
        <x:v>0</x:v>
      </x:c>
      <x:c r="N532" s="19" t="str">
        <x:v>刘敏</x:v>
      </x:c>
      <x:c r="O532" s="19" t="str">
        <x:v>S-按销量/BOM/日型生成</x:v>
      </x:c>
    </x:row>
    <x:row r="533">
      <x:c r="A533" s="19" t="str">
        <x:v>2026-07-09|S07|瘦肉片</x:v>
      </x:c>
      <x:c r="B533" s="34" t="n">
        <x:v>46212.5</x:v>
      </x:c>
      <x:c r="C533" s="19" t="str">
        <x:v>S07</x:v>
      </x:c>
      <x:c r="D533" s="19" t="str">
        <x:v>小和山店</x:v>
      </x:c>
      <x:c r="E533" s="19" t="str">
        <x:v>瘦肉片</x:v>
      </x:c>
      <x:c r="F533" s="32" t="n">
        <x:v>9.740397079773592</x:v>
      </x:c>
      <x:c r="G533" s="32" t="n">
        <x:v>10.09462710654315</x:v>
      </x:c>
      <x:c r="H533" s="24" t="n">
        <x:f>G533</x:f>
        <x:v>10.09462710654315</x:v>
      </x:c>
      <x:c r="I533" s="24" t="n">
        <x:f>XLOOKUP(A533,'库存与收货'!$A$5:$A$676,'库存与收货'!$H$5:$H$676,0)+XLOOKUP(A533,'库存与收货'!$A$5:$A$676,'库存与收货'!$J$5:$J$676,0)</x:f>
        <x:v>10.860241834629909</x:v>
      </x:c>
      <x:c r="J533" s="21" t="n">
        <x:f>MAX(0,1-ABS(F533-I533)/MAX(I533,0.01))</x:f>
        <x:v>0.8968858362540802</x:v>
      </x:c>
      <x:c r="K533" s="21" t="n">
        <x:f>MAX(0,1-ABS(H533-I533)/MAX(I533,0.01))</x:f>
        <x:v>0.9295029761081882</x:v>
      </x:c>
      <x:c r="L533" s="24" t="n">
        <x:f>MAX(I533-H533,0)</x:f>
        <x:v>0.7656147280867582</x:v>
      </x:c>
      <x:c r="M533" s="24" t="n">
        <x:f>MAX(H533-I533,0)</x:f>
        <x:v>0</x:v>
      </x:c>
      <x:c r="N533" s="19" t="str">
        <x:v>刘敏</x:v>
      </x:c>
      <x:c r="O533" s="19" t="str">
        <x:v>S-按销量/BOM/日型生成</x:v>
      </x:c>
    </x:row>
    <x:row r="534">
      <x:c r="A534" s="19" t="str">
        <x:v>2026-07-09|S07|肥肉片</x:v>
      </x:c>
      <x:c r="B534" s="34" t="n">
        <x:v>46212.5</x:v>
      </x:c>
      <x:c r="C534" s="19" t="str">
        <x:v>S07</x:v>
      </x:c>
      <x:c r="D534" s="19" t="str">
        <x:v>小和山店</x:v>
      </x:c>
      <x:c r="E534" s="19" t="str">
        <x:v>肥肉片</x:v>
      </x:c>
      <x:c r="F534" s="32" t="n">
        <x:v>2.6155454035423253</x:v>
      </x:c>
      <x:c r="G534" s="32" t="n">
        <x:v>2.759202544738711</x:v>
      </x:c>
      <x:c r="H534" s="24" t="n">
        <x:f>G534</x:f>
        <x:v>2.759202544738711</x:v>
      </x:c>
      <x:c r="I534" s="24" t="n">
        <x:f>XLOOKUP(A534,'库存与收货'!$A$5:$A$676,'库存与收货'!$H$5:$H$676,0)+XLOOKUP(A534,'库存与收货'!$A$5:$A$676,'库存与收货'!$J$5:$J$676,0)</x:f>
        <x:v>3.050678779720487</x:v>
      </x:c>
      <x:c r="J534" s="21" t="n">
        <x:f>MAX(0,1-ABS(F534-I534)/MAX(I534,0.01))</x:f>
        <x:v>0.8573650627949659</x:v>
      </x:c>
      <x:c r="K534" s="21" t="n">
        <x:f>MAX(0,1-ABS(H534-I534)/MAX(I534,0.01))</x:f>
        <x:v>0.9044552848633636</x:v>
      </x:c>
      <x:c r="L534" s="24" t="n">
        <x:f>MAX(I534-H534,0)</x:f>
        <x:v>0.29147623498177566</x:v>
      </x:c>
      <x:c r="M534" s="24" t="n">
        <x:f>MAX(H534-I534,0)</x:f>
        <x:v>0</x:v>
      </x:c>
      <x:c r="N534" s="19" t="str">
        <x:v>刘敏</x:v>
      </x:c>
      <x:c r="O534" s="19" t="str">
        <x:v>S-按销量/BOM/日型生成</x:v>
      </x:c>
    </x:row>
    <x:row r="535">
      <x:c r="A535" s="19" t="str">
        <x:v>2026-07-09|S07|牛肉片</x:v>
      </x:c>
      <x:c r="B535" s="34" t="n">
        <x:v>46212.5</x:v>
      </x:c>
      <x:c r="C535" s="19" t="str">
        <x:v>S07</x:v>
      </x:c>
      <x:c r="D535" s="19" t="str">
        <x:v>小和山店</x:v>
      </x:c>
      <x:c r="E535" s="19" t="str">
        <x:v>牛肉片</x:v>
      </x:c>
      <x:c r="F535" s="32" t="n">
        <x:v>8.489550434282101</x:v>
      </x:c>
      <x:c r="G535" s="32" t="n">
        <x:v>8.001223501053264</x:v>
      </x:c>
      <x:c r="H535" s="24" t="n">
        <x:f>G535</x:f>
        <x:v>8.001223501053264</x:v>
      </x:c>
      <x:c r="I535" s="24" t="n">
        <x:f>XLOOKUP(A535,'库存与收货'!$A$5:$A$676,'库存与收货'!$H$5:$H$676,0)+XLOOKUP(A535,'库存与收货'!$A$5:$A$676,'库存与收货'!$J$5:$J$676,0)</x:f>
        <x:v>7.21172678382409</x:v>
      </x:c>
      <x:c r="J535" s="21" t="n">
        <x:f>MAX(0,1-ABS(F535-I535)/MAX(I535,0.01))</x:f>
        <x:v>0.8228130808665448</x:v>
      </x:c>
      <x:c r="K535" s="21" t="n">
        <x:f>MAX(0,1-ABS(H535-I535)/MAX(I535,0.01))</x:f>
        <x:v>0.8905259806846793</x:v>
      </x:c>
      <x:c r="L535" s="24" t="n">
        <x:f>MAX(I535-H535,0)</x:f>
        <x:v>0</x:v>
      </x:c>
      <x:c r="M535" s="24" t="n">
        <x:f>MAX(H535-I535,0)</x:f>
        <x:v>0.7894967172291745</x:v>
      </x:c>
      <x:c r="N535" s="19" t="str">
        <x:v>刘敏</x:v>
      </x:c>
      <x:c r="O535" s="19" t="str">
        <x:v>S-按销量/BOM/日型生成</x:v>
      </x:c>
    </x:row>
    <x:row r="536">
      <x:c r="A536" s="19" t="str">
        <x:v>2026-07-09|S07|螺丝椒</x:v>
      </x:c>
      <x:c r="B536" s="34" t="n">
        <x:v>46212.5</x:v>
      </x:c>
      <x:c r="C536" s="19" t="str">
        <x:v>S07</x:v>
      </x:c>
      <x:c r="D536" s="19" t="str">
        <x:v>小和山店</x:v>
      </x:c>
      <x:c r="E536" s="19" t="str">
        <x:v>螺丝椒</x:v>
      </x:c>
      <x:c r="F536" s="32" t="n">
        <x:v>12.591727967270042</x:v>
      </x:c>
      <x:c r="G536" s="32" t="n">
        <x:v>11.949034150120314</x:v>
      </x:c>
      <x:c r="H536" s="24" t="n">
        <x:f>G536</x:f>
        <x:v>11.949034150120314</x:v>
      </x:c>
      <x:c r="I536" s="24" t="n">
        <x:f>XLOOKUP(A536,'库存与收货'!$A$5:$A$676,'库存与收货'!$H$5:$H$676,0)+XLOOKUP(A536,'库存与收货'!$A$5:$A$676,'库存与收货'!$J$5:$J$676,0)</x:f>
        <x:v>10.92160097042718</x:v>
      </x:c>
      <x:c r="J536" s="21" t="n">
        <x:f>MAX(0,1-ABS(F536-I536)/MAX(I536,0.01))</x:f>
        <x:v>0.8470803867157273</x:v>
      </x:c>
      <x:c r="K536" s="21" t="n">
        <x:f>MAX(0,1-ABS(H536-I536)/MAX(I536,0.01))</x:f>
        <x:v>0.9059265045046828</x:v>
      </x:c>
      <x:c r="L536" s="24" t="n">
        <x:f>MAX(I536-H536,0)</x:f>
        <x:v>0</x:v>
      </x:c>
      <x:c r="M536" s="24" t="n">
        <x:f>MAX(H536-I536,0)</x:f>
        <x:v>1.0274331796931335</x:v>
      </x:c>
      <x:c r="N536" s="19" t="str">
        <x:v>刘敏</x:v>
      </x:c>
      <x:c r="O536" s="19" t="str">
        <x:v>S-按销量/BOM/日型生成</x:v>
      </x:c>
    </x:row>
    <x:row r="537">
      <x:c r="A537" s="19" t="str">
        <x:v>2026-07-09|S07|青湖南椒圈</x:v>
      </x:c>
      <x:c r="B537" s="34" t="n">
        <x:v>46212.5</x:v>
      </x:c>
      <x:c r="C537" s="19" t="str">
        <x:v>S07</x:v>
      </x:c>
      <x:c r="D537" s="19" t="str">
        <x:v>小和山店</x:v>
      </x:c>
      <x:c r="E537" s="19" t="str">
        <x:v>青湖南椒圈</x:v>
      </x:c>
      <x:c r="F537" s="32" t="n">
        <x:v>1.8110035485011449</x:v>
      </x:c>
      <x:c r="G537" s="32" t="n">
        <x:v>1.7941765656050426</x:v>
      </x:c>
      <x:c r="H537" s="24" t="n">
        <x:f>G537</x:f>
        <x:v>1.7941765656050426</x:v>
      </x:c>
      <x:c r="I537" s="24" t="n">
        <x:f>XLOOKUP(A537,'库存与收货'!$A$5:$A$676,'库存与收货'!$H$5:$H$676,0)+XLOOKUP(A537,'库存与收货'!$A$5:$A$676,'库存与收货'!$J$5:$J$676,0)</x:f>
        <x:v>1.7646825864863773</x:v>
      </x:c>
      <x:c r="J537" s="21" t="n">
        <x:f>MAX(0,1-ABS(F537-I537)/MAX(I537,0.01))</x:f>
        <x:v>0.9737511083469146</x:v>
      </x:c>
      <x:c r="K537" s="21" t="n">
        <x:f>MAX(0,1-ABS(H537-I537)/MAX(I537,0.01))</x:f>
        <x:v>0.9832865245316496</x:v>
      </x:c>
      <x:c r="L537" s="24" t="n">
        <x:f>MAX(I537-H537,0)</x:f>
        <x:v>0</x:v>
      </x:c>
      <x:c r="M537" s="24" t="n">
        <x:f>MAX(H537-I537,0)</x:f>
        <x:v>0.029493979118665248</x:v>
      </x:c>
      <x:c r="N537" s="19" t="str">
        <x:v>刘敏</x:v>
      </x:c>
      <x:c r="O537" s="19" t="str">
        <x:v>S-按销量/BOM/日型生成</x:v>
      </x:c>
    </x:row>
    <x:row r="538">
      <x:c r="A538" s="19" t="str">
        <x:v>2026-07-09|S07|鸡蛋</x:v>
      </x:c>
      <x:c r="B538" s="34" t="n">
        <x:v>46212.5</x:v>
      </x:c>
      <x:c r="C538" s="19" t="str">
        <x:v>S07</x:v>
      </x:c>
      <x:c r="D538" s="19" t="str">
        <x:v>小和山店</x:v>
      </x:c>
      <x:c r="E538" s="19" t="str">
        <x:v>鸡蛋</x:v>
      </x:c>
      <x:c r="F538" s="32" t="n">
        <x:v>14.85259655089035</x:v>
      </x:c>
      <x:c r="G538" s="32" t="n">
        <x:v>14.883267081627098</x:v>
      </x:c>
      <x:c r="H538" s="24" t="n">
        <x:f>G538</x:f>
        <x:v>14.883267081627098</x:v>
      </x:c>
      <x:c r="I538" s="24" t="n">
        <x:f>XLOOKUP(A538,'库存与收货'!$A$5:$A$676,'库存与收货'!$H$5:$H$676,0)+XLOOKUP(A538,'库存与收货'!$A$5:$A$676,'库存与收货'!$J$5:$J$676,0)</x:f>
        <x:v>14.927144299452983</x:v>
      </x:c>
      <x:c r="J538" s="21" t="n">
        <x:f>MAX(0,1-ABS(F538-I538)/MAX(I538,0.01))</x:f>
        <x:v>0.9950058934872517</x:v>
      </x:c>
      <x:c r="K538" s="21" t="n">
        <x:f>MAX(0,1-ABS(H538-I538)/MAX(I538,0.01))</x:f>
        <x:v>0.9970605752215115</x:v>
      </x:c>
      <x:c r="L538" s="24" t="n">
        <x:f>MAX(I538-H538,0)</x:f>
        <x:v>0.043877217825885495</x:v>
      </x:c>
      <x:c r="M538" s="24" t="n">
        <x:f>MAX(H538-I538,0)</x:f>
        <x:v>0</x:v>
      </x:c>
      <x:c r="N538" s="19" t="str">
        <x:v>刘敏</x:v>
      </x:c>
      <x:c r="O538" s="19" t="str">
        <x:v>S-按销量/BOM/日型生成</x:v>
      </x:c>
    </x:row>
    <x:row r="539">
      <x:c r="A539" s="19" t="str">
        <x:v>2026-07-09|S07|鸡肉</x:v>
      </x:c>
      <x:c r="B539" s="34" t="n">
        <x:v>46212.5</x:v>
      </x:c>
      <x:c r="C539" s="19" t="str">
        <x:v>S07</x:v>
      </x:c>
      <x:c r="D539" s="19" t="str">
        <x:v>小和山店</x:v>
      </x:c>
      <x:c r="E539" s="19" t="str">
        <x:v>鸡肉</x:v>
      </x:c>
      <x:c r="F539" s="32" t="n">
        <x:v>5.9225760221414365</x:v>
      </x:c>
      <x:c r="G539" s="32" t="n">
        <x:v>5.575714018299839</x:v>
      </x:c>
      <x:c r="H539" s="24" t="n">
        <x:f>G539</x:f>
        <x:v>5.575714018299839</x:v>
      </x:c>
      <x:c r="I539" s="24" t="n">
        <x:f>XLOOKUP(A539,'库存与收货'!$A$5:$A$676,'库存与收货'!$H$5:$H$676,0)+XLOOKUP(A539,'库存与收货'!$A$5:$A$676,'库存与收货'!$J$5:$J$676,0)</x:f>
        <x:v>5.06267322326345</x:v>
      </x:c>
      <x:c r="J539" s="21" t="n">
        <x:f>MAX(0,1-ABS(F539-I539)/MAX(I539,0.01))</x:f>
        <x:v>0.830148468811565</x:v>
      </x:c>
      <x:c r="K539" s="21" t="n">
        <x:f>MAX(0,1-ABS(H539-I539)/MAX(I539,0.01))</x:f>
        <x:v>0.8986620758616378</x:v>
      </x:c>
      <x:c r="L539" s="24" t="n">
        <x:f>MAX(I539-H539,0)</x:f>
        <x:v>0</x:v>
      </x:c>
      <x:c r="M539" s="24" t="n">
        <x:f>MAX(H539-I539,0)</x:f>
        <x:v>0.5130407950363889</x:v>
      </x:c>
      <x:c r="N539" s="19" t="str">
        <x:v>刘敏</x:v>
      </x:c>
      <x:c r="O539" s="19" t="str">
        <x:v>S-按销量/BOM/日型生成</x:v>
      </x:c>
    </x:row>
    <x:row r="540">
      <x:c r="A540" s="19" t="str">
        <x:v>2026-07-09|S07|鲈鱼</x:v>
      </x:c>
      <x:c r="B540" s="34" t="n">
        <x:v>46212.5</x:v>
      </x:c>
      <x:c r="C540" s="19" t="str">
        <x:v>S07</x:v>
      </x:c>
      <x:c r="D540" s="19" t="str">
        <x:v>小和山店</x:v>
      </x:c>
      <x:c r="E540" s="19" t="str">
        <x:v>鲈鱼</x:v>
      </x:c>
      <x:c r="F540" s="32" t="n">
        <x:v>2.763715677193136</x:v>
      </x:c>
      <x:c r="G540" s="32" t="n">
        <x:v>2.861416499512792</x:v>
      </x:c>
      <x:c r="H540" s="24" t="n">
        <x:f>G540</x:f>
        <x:v>2.861416499512792</x:v>
      </x:c>
      <x:c r="I540" s="24" t="n">
        <x:f>XLOOKUP(A540,'库存与收货'!$A$5:$A$676,'库存与收货'!$H$5:$H$676,0)+XLOOKUP(A540,'库存与收货'!$A$5:$A$676,'库存与收货'!$J$5:$J$676,0)</x:f>
        <x:v>3.1138533126187635</x:v>
      </x:c>
      <x:c r="J540" s="21" t="n">
        <x:f>MAX(0,1-ABS(F540-I540)/MAX(I540,0.01))</x:f>
        <x:v>0.8875548716419271</x:v>
      </x:c>
      <x:c r="K540" s="21" t="n">
        <x:f>MAX(0,1-ABS(H540-I540)/MAX(I540,0.01))</x:f>
        <x:v>0.9189310517348452</x:v>
      </x:c>
      <x:c r="L540" s="24" t="n">
        <x:f>MAX(I540-H540,0)</x:f>
        <x:v>0.2524368131059713</x:v>
      </x:c>
      <x:c r="M540" s="24" t="n">
        <x:f>MAX(H540-I540,0)</x:f>
        <x:v>0</x:v>
      </x:c>
      <x:c r="N540" s="19" t="str">
        <x:v>刘敏</x:v>
      </x:c>
      <x:c r="O540" s="19" t="str">
        <x:v>S-按销量/BOM/日型生成</x:v>
      </x:c>
    </x:row>
    <x:row r="541">
      <x:c r="A541" s="19" t="str">
        <x:v>2026-07-09|S07|酸包菜</x:v>
      </x:c>
      <x:c r="B541" s="34" t="n">
        <x:v>46212.5</x:v>
      </x:c>
      <x:c r="C541" s="19" t="str">
        <x:v>S07</x:v>
      </x:c>
      <x:c r="D541" s="19" t="str">
        <x:v>小和山店</x:v>
      </x:c>
      <x:c r="E541" s="19" t="str">
        <x:v>酸包菜</x:v>
      </x:c>
      <x:c r="F541" s="32" t="n">
        <x:v>8.335336400943122</x:v>
      </x:c>
      <x:c r="G541" s="32" t="n">
        <x:v>7.856389391678445</x:v>
      </x:c>
      <x:c r="H541" s="24" t="n">
        <x:f>G541</x:f>
        <x:v>7.856389391678445</x:v>
      </x:c>
      <x:c r="I541" s="24" t="n">
        <x:f>XLOOKUP(A541,'库存与收货'!$A$5:$A$676,'库存与收货'!$H$5:$H$676,0)+XLOOKUP(A541,'库存与收货'!$A$5:$A$676,'库存与收货'!$J$5:$J$676,0)</x:f>
        <x:v>7.131761877991203</x:v>
      </x:c>
      <x:c r="J541" s="21" t="n">
        <x:f>MAX(0,1-ABS(F541-I541)/MAX(I541,0.01))</x:f>
        <x:v>0.8312374216158029</x:v>
      </x:c>
      <x:c r="K541" s="21" t="n">
        <x:f>MAX(0,1-ABS(H541-I541)/MAX(I541,0.01))</x:f>
        <x:v>0.8983943202137104</x:v>
      </x:c>
      <x:c r="L541" s="24" t="n">
        <x:f>MAX(I541-H541,0)</x:f>
        <x:v>0</x:v>
      </x:c>
      <x:c r="M541" s="24" t="n">
        <x:f>MAX(H541-I541,0)</x:f>
        <x:v>0.724627513687242</x:v>
      </x:c>
      <x:c r="N541" s="19" t="str">
        <x:v>刘敏</x:v>
      </x:c>
      <x:c r="O541" s="19" t="str">
        <x:v>S-按销量/BOM/日型生成</x:v>
      </x:c>
    </x:row>
    <x:row r="542">
      <x:c r="A542" s="19" t="str">
        <x:v>2026-07-09|S07|粉皮</x:v>
      </x:c>
      <x:c r="B542" s="34" t="n">
        <x:v>46212.5</x:v>
      </x:c>
      <x:c r="C542" s="19" t="str">
        <x:v>S07</x:v>
      </x:c>
      <x:c r="D542" s="19" t="str">
        <x:v>小和山店</x:v>
      </x:c>
      <x:c r="E542" s="19" t="str">
        <x:v>粉皮</x:v>
      </x:c>
      <x:c r="F542" s="32" t="n">
        <x:v>5.7876780965948535</x:v>
      </x:c>
      <x:c r="G542" s="32" t="n">
        <x:v>5.639004312266833</x:v>
      </x:c>
      <x:c r="H542" s="24" t="n">
        <x:f>G542</x:f>
        <x:v>5.639004312266833</x:v>
      </x:c>
      <x:c r="I542" s="24" t="n">
        <x:f>XLOOKUP(A542,'库存与收货'!$A$5:$A$676,'库存与收货'!$H$5:$H$676,0)+XLOOKUP(A542,'库存与收货'!$A$5:$A$676,'库存与收货'!$J$5:$J$676,0)</x:f>
        <x:v>5.348228032962239</x:v>
      </x:c>
      <x:c r="J542" s="21" t="n">
        <x:f>MAX(0,1-ABS(F542-I542)/MAX(I542,0.01))</x:f>
        <x:v>0.9178325866204297</x:v>
      </x:c>
      <x:c r="K542" s="21" t="n">
        <x:f>MAX(0,1-ABS(H542-I542)/MAX(I542,0.01))</x:f>
        <x:v>0.9456312861918977</x:v>
      </x:c>
      <x:c r="L542" s="24" t="n">
        <x:f>MAX(I542-H542,0)</x:f>
        <x:v>0</x:v>
      </x:c>
      <x:c r="M542" s="24" t="n">
        <x:f>MAX(H542-I542,0)</x:f>
        <x:v>0.2907762793045938</x:v>
      </x:c>
      <x:c r="N542" s="19" t="str">
        <x:v>刘敏</x:v>
      </x:c>
      <x:c r="O542" s="19" t="str">
        <x:v>S-按销量/BOM/日型生成</x:v>
      </x:c>
    </x:row>
    <x:row r="543">
      <x:c r="A543" s="19" t="str">
        <x:v>2026-07-09|S07|鸡杂</x:v>
      </x:c>
      <x:c r="B543" s="34" t="n">
        <x:v>46212.5</x:v>
      </x:c>
      <x:c r="C543" s="19" t="str">
        <x:v>S07</x:v>
      </x:c>
      <x:c r="D543" s="19" t="str">
        <x:v>小和山店</x:v>
      </x:c>
      <x:c r="E543" s="19" t="str">
        <x:v>鸡杂</x:v>
      </x:c>
      <x:c r="F543" s="32" t="n">
        <x:v>3.4528954255183173</x:v>
      </x:c>
      <x:c r="G543" s="32" t="n">
        <x:v>3.3435802323445816</x:v>
      </x:c>
      <x:c r="H543" s="24" t="n">
        <x:f>G543</x:f>
        <x:v>3.3435802323445816</x:v>
      </x:c>
      <x:c r="I543" s="24" t="n">
        <x:f>XLOOKUP(A543,'库存与收货'!$A$5:$A$676,'库存与收货'!$H$5:$H$676,0)+XLOOKUP(A543,'库存与收货'!$A$5:$A$676,'库存与收货'!$J$5:$J$676,0)</x:f>
        <x:v>3.0525416337075972</x:v>
      </x:c>
      <x:c r="J543" s="21" t="n">
        <x:f>MAX(0,1-ABS(F543-I543)/MAX(I543,0.01))</x:f>
        <x:v>0.8688457554878775</x:v>
      </x:c>
      <x:c r="K543" s="21" t="n">
        <x:f>MAX(0,1-ABS(H543-I543)/MAX(I543,0.01))</x:f>
        <x:v>0.904656960146522</x:v>
      </x:c>
      <x:c r="L543" s="24" t="n">
        <x:f>MAX(I543-H543,0)</x:f>
        <x:v>0</x:v>
      </x:c>
      <x:c r="M543" s="24" t="n">
        <x:f>MAX(H543-I543,0)</x:f>
        <x:v>0.29103859863698434</x:v>
      </x:c>
      <x:c r="N543" s="19" t="str">
        <x:v>刘敏</x:v>
      </x:c>
      <x:c r="O543" s="19" t="str">
        <x:v>S-按销量/BOM/日型生成</x:v>
      </x:c>
    </x:row>
    <x:row r="544">
      <x:c r="A544" s="19" t="str">
        <x:v>2026-07-09|S07|豆腐</x:v>
      </x:c>
      <x:c r="B544" s="34" t="n">
        <x:v>46212.5</x:v>
      </x:c>
      <x:c r="C544" s="19" t="str">
        <x:v>S07</x:v>
      </x:c>
      <x:c r="D544" s="19" t="str">
        <x:v>小和山店</x:v>
      </x:c>
      <x:c r="E544" s="19" t="str">
        <x:v>豆腐</x:v>
      </x:c>
      <x:c r="F544" s="32" t="n">
        <x:v>17.99004903610613</x:v>
      </x:c>
      <x:c r="G544" s="32" t="n">
        <x:v>18.774161591119753</x:v>
      </x:c>
      <x:c r="H544" s="24" t="n">
        <x:f>G544</x:f>
        <x:v>18.774161591119753</x:v>
      </x:c>
      <x:c r="I544" s="24" t="n">
        <x:f>XLOOKUP(A544,'库存与收货'!$A$5:$A$676,'库存与收货'!$H$5:$H$676,0)+XLOOKUP(A544,'库存与收货'!$A$5:$A$676,'库存与收货'!$J$5:$J$676,0)</x:f>
        <x:v>20.68185198194856</x:v>
      </x:c>
      <x:c r="J544" s="21" t="n">
        <x:f>MAX(0,1-ABS(F544-I544)/MAX(I544,0.01))</x:f>
        <x:v>0.8698471032385359</x:v>
      </x:c>
      <x:c r="K544" s="21" t="n">
        <x:f>MAX(0,1-ABS(H544-I544)/MAX(I544,0.01))</x:f>
        <x:v>0.9077601758056353</x:v>
      </x:c>
      <x:c r="L544" s="24" t="n">
        <x:f>MAX(I544-H544,0)</x:f>
        <x:v>1.907690390828808</x:v>
      </x:c>
      <x:c r="M544" s="24" t="n">
        <x:f>MAX(H544-I544,0)</x:f>
        <x:v>0</x:v>
      </x:c>
      <x:c r="N544" s="19" t="str">
        <x:v>刘敏</x:v>
      </x:c>
      <x:c r="O544" s="19" t="str">
        <x:v>S-按销量/BOM/日型生成</x:v>
      </x:c>
    </x:row>
    <x:row r="545">
      <x:c r="A545" s="19" t="str">
        <x:v>2026-07-10|S07|瘦肉片</x:v>
      </x:c>
      <x:c r="B545" s="34" t="n">
        <x:v>46213.5</x:v>
      </x:c>
      <x:c r="C545" s="19" t="str">
        <x:v>S07</x:v>
      </x:c>
      <x:c r="D545" s="19" t="str">
        <x:v>小和山店</x:v>
      </x:c>
      <x:c r="E545" s="19" t="str">
        <x:v>瘦肉片</x:v>
      </x:c>
      <x:c r="F545" s="32" t="n">
        <x:v>10.86213536854084</x:v>
      </x:c>
      <x:c r="G545" s="32" t="n">
        <x:v>11.183198390723078</x:v>
      </x:c>
      <x:c r="H545" s="24" t="n">
        <x:f>G545</x:f>
        <x:v>11.183198390723078</x:v>
      </x:c>
      <x:c r="I545" s="24" t="n">
        <x:f>XLOOKUP(A545,'库存与收货'!$A$5:$A$676,'库存与收货'!$H$5:$H$676,0)+XLOOKUP(A545,'库存与收货'!$A$5:$A$676,'库存与收货'!$J$5:$J$676,0)</x:f>
        <x:v>11.665130791169972</x:v>
      </x:c>
      <x:c r="J545" s="21" t="n">
        <x:f>MAX(0,1-ABS(F545-I545)/MAX(I545,0.01))</x:f>
        <x:v>0.9311627587376075</x:v>
      </x:c>
      <x:c r="K545" s="21" t="n">
        <x:f>MAX(0,1-ABS(H545-I545)/MAX(I545,0.01))</x:f>
        <x:v>0.9586860696999903</x:v>
      </x:c>
      <x:c r="L545" s="24" t="n">
        <x:f>MAX(I545-H545,0)</x:f>
        <x:v>0.4819324004468939</x:v>
      </x:c>
      <x:c r="M545" s="24" t="n">
        <x:f>MAX(H545-I545,0)</x:f>
        <x:v>0</x:v>
      </x:c>
      <x:c r="N545" s="19" t="str">
        <x:v>刘敏</x:v>
      </x:c>
      <x:c r="O545" s="19" t="str">
        <x:v>S-按销量/BOM/日型生成</x:v>
      </x:c>
    </x:row>
    <x:row r="546">
      <x:c r="A546" s="19" t="str">
        <x:v>2026-07-10|S07|肥肉片</x:v>
      </x:c>
      <x:c r="B546" s="34" t="n">
        <x:v>46213.5</x:v>
      </x:c>
      <x:c r="C546" s="19" t="str">
        <x:v>S07</x:v>
      </x:c>
      <x:c r="D546" s="19" t="str">
        <x:v>小和山店</x:v>
      </x:c>
      <x:c r="E546" s="19" t="str">
        <x:v>肥肉片</x:v>
      </x:c>
      <x:c r="F546" s="32" t="n">
        <x:v>3.0114329598809286</x:v>
      </x:c>
      <x:c r="G546" s="32" t="n">
        <x:v>3.127039413121953</x:v>
      </x:c>
      <x:c r="H546" s="24" t="n">
        <x:f>G546</x:f>
        <x:v>3.127039413121953</x:v>
      </x:c>
      <x:c r="I546" s="24" t="n">
        <x:f>XLOOKUP(A546,'库存与收货'!$A$5:$A$676,'库存与收货'!$H$5:$H$676,0)+XLOOKUP(A546,'库存与收货'!$A$5:$A$676,'库存与收货'!$J$5:$J$676,0)</x:f>
        <x:v>3.310238337286338</x:v>
      </x:c>
      <x:c r="J546" s="21" t="n">
        <x:f>MAX(0,1-ABS(F546-I546)/MAX(I546,0.01))</x:f>
        <x:v>0.9097329717804056</x:v>
      </x:c>
      <x:c r="K546" s="21" t="n">
        <x:f>MAX(0,1-ABS(H546-I546)/MAX(I546,0.01))</x:f>
        <x:v>0.9446568779955079</x:v>
      </x:c>
      <x:c r="L546" s="24" t="n">
        <x:f>MAX(I546-H546,0)</x:f>
        <x:v>0.183198924164385</x:v>
      </x:c>
      <x:c r="M546" s="24" t="n">
        <x:f>MAX(H546-I546,0)</x:f>
        <x:v>0</x:v>
      </x:c>
      <x:c r="N546" s="19" t="str">
        <x:v>刘敏</x:v>
      </x:c>
      <x:c r="O546" s="19" t="str">
        <x:v>S-按销量/BOM/日型生成</x:v>
      </x:c>
    </x:row>
    <x:row r="547">
      <x:c r="A547" s="19" t="str">
        <x:v>2026-07-10|S07|牛肉片</x:v>
      </x:c>
      <x:c r="B547" s="34" t="n">
        <x:v>46213.5</x:v>
      </x:c>
      <x:c r="C547" s="19" t="str">
        <x:v>S07</x:v>
      </x:c>
      <x:c r="D547" s="19" t="str">
        <x:v>小和山店</x:v>
      </x:c>
      <x:c r="E547" s="19" t="str">
        <x:v>牛肉片</x:v>
      </x:c>
      <x:c r="F547" s="32" t="n">
        <x:v>6.884745466641415</x:v>
      </x:c>
      <x:c r="G547" s="32" t="n">
        <x:v>7.480921762600982</x:v>
      </x:c>
      <x:c r="H547" s="24" t="n">
        <x:f>G547</x:f>
        <x:v>7.480921762600982</x:v>
      </x:c>
      <x:c r="I547" s="24" t="n">
        <x:f>XLOOKUP(A547,'库存与收货'!$A$5:$A$676,'库存与收货'!$H$5:$H$676,0)+XLOOKUP(A547,'库存与收货'!$A$5:$A$676,'库存与收货'!$J$5:$J$676,0)</x:f>
        <x:v>8.296537629118314</x:v>
      </x:c>
      <x:c r="J547" s="21" t="n">
        <x:f>MAX(0,1-ABS(F547-I547)/MAX(I547,0.01))</x:f>
        <x:v>0.829833573282192</x:v>
      </x:c>
      <x:c r="K547" s="21" t="n">
        <x:f>MAX(0,1-ABS(H547-I547)/MAX(I547,0.01))</x:f>
        <x:v>0.9016920186494702</x:v>
      </x:c>
      <x:c r="L547" s="24" t="n">
        <x:f>MAX(I547-H547,0)</x:f>
        <x:v>0.8156158665173319</x:v>
      </x:c>
      <x:c r="M547" s="24" t="n">
        <x:f>MAX(H547-I547,0)</x:f>
        <x:v>0</x:v>
      </x:c>
      <x:c r="N547" s="19" t="str">
        <x:v>刘敏</x:v>
      </x:c>
      <x:c r="O547" s="19" t="str">
        <x:v>S-按销量/BOM/日型生成</x:v>
      </x:c>
    </x:row>
    <x:row r="548">
      <x:c r="A548" s="19" t="str">
        <x:v>2026-07-10|S07|螺丝椒</x:v>
      </x:c>
      <x:c r="B548" s="34" t="n">
        <x:v>46213.5</x:v>
      </x:c>
      <x:c r="C548" s="19" t="str">
        <x:v>S07</x:v>
      </x:c>
      <x:c r="D548" s="19" t="str">
        <x:v>小和山店</x:v>
      </x:c>
      <x:c r="E548" s="19" t="str">
        <x:v>螺丝椒</x:v>
      </x:c>
      <x:c r="F548" s="32" t="n">
        <x:v>11.463365826609026</x:v>
      </x:c>
      <x:c r="G548" s="32" t="n">
        <x:v>11.74173212260899</x:v>
      </x:c>
      <x:c r="H548" s="24" t="n">
        <x:f>G548</x:f>
        <x:v>11.74173212260899</x:v>
      </x:c>
      <x:c r="I548" s="24" t="n">
        <x:f>XLOOKUP(A548,'库存与收货'!$A$5:$A$676,'库存与收货'!$H$5:$H$676,0)+XLOOKUP(A548,'库存与收货'!$A$5:$A$676,'库存与收货'!$J$5:$J$676,0)</x:f>
        <x:v>12.318058666428099</x:v>
      </x:c>
      <x:c r="J548" s="21" t="n">
        <x:f>MAX(0,1-ABS(F548-I548)/MAX(I548,0.01))</x:f>
        <x:v>0.9306146477327251</x:v>
      </x:c>
      <x:c r="K548" s="21" t="n">
        <x:f>MAX(0,1-ABS(H548-I548)/MAX(I548,0.01))</x:f>
        <x:v>0.9532128755491447</x:v>
      </x:c>
      <x:c r="L548" s="24" t="n">
        <x:f>MAX(I548-H548,0)</x:f>
        <x:v>0.5763265438191087</x:v>
      </x:c>
      <x:c r="M548" s="24" t="n">
        <x:f>MAX(H548-I548,0)</x:f>
        <x:v>0</x:v>
      </x:c>
      <x:c r="N548" s="19" t="str">
        <x:v>刘敏</x:v>
      </x:c>
      <x:c r="O548" s="19" t="str">
        <x:v>S-按销量/BOM/日型生成</x:v>
      </x:c>
    </x:row>
    <x:row r="549">
      <x:c r="A549" s="19" t="str">
        <x:v>2026-07-10|S07|青湖南椒圈</x:v>
      </x:c>
      <x:c r="B549" s="34" t="n">
        <x:v>46213.5</x:v>
      </x:c>
      <x:c r="C549" s="19" t="str">
        <x:v>S07</x:v>
      </x:c>
      <x:c r="D549" s="19" t="str">
        <x:v>小和山店</x:v>
      </x:c>
      <x:c r="E549" s="19" t="str">
        <x:v>青湖南椒圈</x:v>
      </x:c>
      <x:c r="F549" s="32" t="n">
        <x:v>1.5237410098604798</x:v>
      </x:c>
      <x:c r="G549" s="32" t="n">
        <x:v>1.6109919050994448</x:v>
      </x:c>
      <x:c r="H549" s="24" t="n">
        <x:f>G549</x:f>
        <x:v>1.6109919050994448</x:v>
      </x:c>
      <x:c r="I549" s="24" t="n">
        <x:f>XLOOKUP(A549,'库存与收货'!$A$5:$A$676,'库存与收货'!$H$5:$H$676,0)+XLOOKUP(A549,'库存与收货'!$A$5:$A$676,'库存与收货'!$J$5:$J$676,0)</x:f>
        <x:v>1.7566103931112704</x:v>
      </x:c>
      <x:c r="J549" s="21" t="n">
        <x:f>MAX(0,1-ABS(F549-I549)/MAX(I549,0.01))</x:f>
        <x:v>0.8674325370247085</x:v>
      </x:c>
      <x:c r="K549" s="21" t="n">
        <x:f>MAX(0,1-ABS(H549-I549)/MAX(I549,0.01))</x:f>
        <x:v>0.9171025694810394</x:v>
      </x:c>
      <x:c r="L549" s="24" t="n">
        <x:f>MAX(I549-H549,0)</x:f>
        <x:v>0.14561848801182564</x:v>
      </x:c>
      <x:c r="M549" s="24" t="n">
        <x:f>MAX(H549-I549,0)</x:f>
        <x:v>0</x:v>
      </x:c>
      <x:c r="N549" s="19" t="str">
        <x:v>刘敏</x:v>
      </x:c>
      <x:c r="O549" s="19" t="str">
        <x:v>S-按销量/BOM/日型生成</x:v>
      </x:c>
    </x:row>
    <x:row r="550">
      <x:c r="A550" s="19" t="str">
        <x:v>2026-07-10|S07|鸡蛋</x:v>
      </x:c>
      <x:c r="B550" s="34" t="n">
        <x:v>46213.5</x:v>
      </x:c>
      <x:c r="C550" s="19" t="str">
        <x:v>S07</x:v>
      </x:c>
      <x:c r="D550" s="19" t="str">
        <x:v>小和山店</x:v>
      </x:c>
      <x:c r="E550" s="19" t="str">
        <x:v>鸡蛋</x:v>
      </x:c>
      <x:c r="F550" s="32" t="n">
        <x:v>13.149635149478778</x:v>
      </x:c>
      <x:c r="G550" s="32" t="n">
        <x:v>14.04150273681907</x:v>
      </x:c>
      <x:c r="H550" s="24" t="n">
        <x:f>G550</x:f>
        <x:v>14.04150273681907</x:v>
      </x:c>
      <x:c r="I550" s="24" t="n">
        <x:f>XLOOKUP(A550,'库存与收货'!$A$5:$A$676,'库存与收货'!$H$5:$H$676,0)+XLOOKUP(A550,'库存与收货'!$A$5:$A$676,'库存与收货'!$J$5:$J$676,0)</x:f>
        <x:v>15.211360045798964</x:v>
      </x:c>
      <x:c r="J550" s="21" t="n">
        <x:f>MAX(0,1-ABS(F550-I550)/MAX(I550,0.01))</x:f>
        <x:v>0.8644615017912493</x:v>
      </x:c>
      <x:c r="K550" s="21" t="n">
        <x:f>MAX(0,1-ABS(H550-I550)/MAX(I550,0.01))</x:f>
        <x:v>0.9230931813159611</x:v>
      </x:c>
      <x:c r="L550" s="24" t="n">
        <x:f>MAX(I550-H550,0)</x:f>
        <x:v>1.1698573089798945</x:v>
      </x:c>
      <x:c r="M550" s="24" t="n">
        <x:f>MAX(H550-I550,0)</x:f>
        <x:v>0</x:v>
      </x:c>
      <x:c r="N550" s="19" t="str">
        <x:v>刘敏</x:v>
      </x:c>
      <x:c r="O550" s="19" t="str">
        <x:v>S-按销量/BOM/日型生成</x:v>
      </x:c>
    </x:row>
    <x:row r="551">
      <x:c r="A551" s="19" t="str">
        <x:v>2026-07-10|S07|鸡肉</x:v>
      </x:c>
      <x:c r="B551" s="34" t="n">
        <x:v>46213.5</x:v>
      </x:c>
      <x:c r="C551" s="19" t="str">
        <x:v>S07</x:v>
      </x:c>
      <x:c r="D551" s="19" t="str">
        <x:v>小和山店</x:v>
      </x:c>
      <x:c r="E551" s="19" t="str">
        <x:v>鸡肉</x:v>
      </x:c>
      <x:c r="F551" s="32" t="n">
        <x:v>4.3190780095680275</x:v>
      </x:c>
      <x:c r="G551" s="32" t="n">
        <x:v>4.420678219382937</x:v>
      </x:c>
      <x:c r="H551" s="24" t="n">
        <x:f>G551</x:f>
        <x:v>4.420678219382937</x:v>
      </x:c>
      <x:c r="I551" s="24" t="n">
        <x:f>XLOOKUP(A551,'库存与收货'!$A$5:$A$676,'库存与收货'!$H$5:$H$676,0)+XLOOKUP(A551,'库存与收货'!$A$5:$A$676,'库存与收货'!$J$5:$J$676,0)</x:f>
        <x:v>4.676690274119421</x:v>
      </x:c>
      <x:c r="J551" s="21" t="n">
        <x:f>MAX(0,1-ABS(F551-I551)/MAX(I551,0.01))</x:f>
        <x:v>0.9235330450403348</x:v>
      </x:c>
      <x:c r="K551" s="21" t="n">
        <x:f>MAX(0,1-ABS(H551-I551)/MAX(I551,0.01))</x:f>
        <x:v>0.9452578555066513</x:v>
      </x:c>
      <x:c r="L551" s="24" t="n">
        <x:f>MAX(I551-H551,0)</x:f>
        <x:v>0.2560120547364839</x:v>
      </x:c>
      <x:c r="M551" s="24" t="n">
        <x:f>MAX(H551-I551,0)</x:f>
        <x:v>0</x:v>
      </x:c>
      <x:c r="N551" s="19" t="str">
        <x:v>刘敏</x:v>
      </x:c>
      <x:c r="O551" s="19" t="str">
        <x:v>S-按销量/BOM/日型生成</x:v>
      </x:c>
    </x:row>
    <x:row r="552">
      <x:c r="A552" s="19" t="str">
        <x:v>2026-07-10|S07|鲈鱼</x:v>
      </x:c>
      <x:c r="B552" s="34" t="n">
        <x:v>46213.5</x:v>
      </x:c>
      <x:c r="C552" s="19" t="str">
        <x:v>S07</x:v>
      </x:c>
      <x:c r="D552" s="19" t="str">
        <x:v>小和山店</x:v>
      </x:c>
      <x:c r="E552" s="19" t="str">
        <x:v>鲈鱼</x:v>
      </x:c>
      <x:c r="F552" s="32" t="n">
        <x:v>2.7112261937798094</x:v>
      </x:c>
      <x:c r="G552" s="32" t="n">
        <x:v>2.811163589198306</x:v>
      </x:c>
      <x:c r="H552" s="24" t="n">
        <x:f>G552</x:f>
        <x:v>2.811163589198306</x:v>
      </x:c>
      <x:c r="I552" s="24" t="n">
        <x:f>XLOOKUP(A552,'库存与收货'!$A$5:$A$676,'库存与收货'!$H$5:$H$676,0)+XLOOKUP(A552,'库存与收货'!$A$5:$A$676,'库存与收货'!$J$5:$J$676,0)</x:f>
        <x:v>3.0681262184733353</x:v>
      </x:c>
      <x:c r="J552" s="21" t="n">
        <x:f>MAX(0,1-ABS(F552-I552)/MAX(I552,0.01))</x:f>
        <x:v>0.8836749210170645</x:v>
      </x:c>
      <x:c r="K552" s="21" t="n">
        <x:f>MAX(0,1-ABS(H552-I552)/MAX(I552,0.01))</x:f>
        <x:v>0.916247699417369</x:v>
      </x:c>
      <x:c r="L552" s="24" t="n">
        <x:f>MAX(I552-H552,0)</x:f>
        <x:v>0.25696262927502955</x:v>
      </x:c>
      <x:c r="M552" s="24" t="n">
        <x:f>MAX(H552-I552,0)</x:f>
        <x:v>0</x:v>
      </x:c>
      <x:c r="N552" s="19" t="str">
        <x:v>刘敏</x:v>
      </x:c>
      <x:c r="O552" s="19" t="str">
        <x:v>S-按销量/BOM/日型生成</x:v>
      </x:c>
    </x:row>
    <x:row r="553">
      <x:c r="A553" s="19" t="str">
        <x:v>2026-07-10|S07|酸包菜</x:v>
      </x:c>
      <x:c r="B553" s="34" t="n">
        <x:v>46213.5</x:v>
      </x:c>
      <x:c r="C553" s="19" t="str">
        <x:v>S07</x:v>
      </x:c>
      <x:c r="D553" s="19" t="str">
        <x:v>小和山店</x:v>
      </x:c>
      <x:c r="E553" s="19" t="str">
        <x:v>酸包菜</x:v>
      </x:c>
      <x:c r="F553" s="32" t="n">
        <x:v>5.834848711485368</x:v>
      </x:c>
      <x:c r="G553" s="32" t="n">
        <x:v>6.222590148518273</x:v>
      </x:c>
      <x:c r="H553" s="24" t="n">
        <x:f>G553</x:f>
        <x:v>6.222590148518273</x:v>
      </x:c>
      <x:c r="I553" s="24" t="n">
        <x:f>XLOOKUP(A553,'库存与收货'!$A$5:$A$676,'库存与收货'!$H$5:$H$676,0)+XLOOKUP(A553,'库存与收货'!$A$5:$A$676,'库存与收货'!$J$5:$J$676,0)</x:f>
        <x:v>6.810890181516504</x:v>
      </x:c>
      <x:c r="J553" s="21" t="n">
        <x:f>MAX(0,1-ABS(F553-I553)/MAX(I553,0.01))</x:f>
        <x:v>0.8566939938805751</x:v>
      </x:c>
      <x:c r="K553" s="21" t="n">
        <x:f>MAX(0,1-ABS(H553-I553)/MAX(I553,0.01))</x:f>
        <x:v>0.9136236208014675</x:v>
      </x:c>
      <x:c r="L553" s="24" t="n">
        <x:f>MAX(I553-H553,0)</x:f>
        <x:v>0.5883000329982311</x:v>
      </x:c>
      <x:c r="M553" s="24" t="n">
        <x:f>MAX(H553-I553,0)</x:f>
        <x:v>0</x:v>
      </x:c>
      <x:c r="N553" s="19" t="str">
        <x:v>刘敏</x:v>
      </x:c>
      <x:c r="O553" s="19" t="str">
        <x:v>S-按销量/BOM/日型生成</x:v>
      </x:c>
    </x:row>
    <x:row r="554">
      <x:c r="A554" s="19" t="str">
        <x:v>2026-07-10|S07|粉皮</x:v>
      </x:c>
      <x:c r="B554" s="34" t="n">
        <x:v>46213.5</x:v>
      </x:c>
      <x:c r="C554" s="19" t="str">
        <x:v>S07</x:v>
      </x:c>
      <x:c r="D554" s="19" t="str">
        <x:v>小和山店</x:v>
      </x:c>
      <x:c r="E554" s="19" t="str">
        <x:v>粉皮</x:v>
      </x:c>
      <x:c r="F554" s="32" t="n">
        <x:v>4.767044824140071</x:v>
      </x:c>
      <x:c r="G554" s="32" t="n">
        <x:v>4.840236453722337</x:v>
      </x:c>
      <x:c r="H554" s="24" t="n">
        <x:f>G554</x:f>
        <x:v>4.840236453722337</x:v>
      </x:c>
      <x:c r="I554" s="24" t="n">
        <x:f>XLOOKUP(A554,'库存与收货'!$A$5:$A$676,'库存与收货'!$H$5:$H$676,0)+XLOOKUP(A554,'库存与收货'!$A$5:$A$676,'库存与收货'!$J$5:$J$676,0)</x:f>
        <x:v>5.054815355856511</x:v>
      </x:c>
      <x:c r="J554" s="21" t="n">
        <x:f>MAX(0,1-ABS(F554-I554)/MAX(I554,0.01))</x:f>
        <x:v>0.9430700210675295</x:v>
      </x:c>
      <x:c r="K554" s="21" t="n">
        <x:f>MAX(0,1-ABS(H554-I554)/MAX(I554,0.01))</x:f>
        <x:v>0.957549606260976</x:v>
      </x:c>
      <x:c r="L554" s="24" t="n">
        <x:f>MAX(I554-H554,0)</x:f>
        <x:v>0.21457890213417397</x:v>
      </x:c>
      <x:c r="M554" s="24" t="n">
        <x:f>MAX(H554-I554,0)</x:f>
        <x:v>0</x:v>
      </x:c>
      <x:c r="N554" s="19" t="str">
        <x:v>刘敏</x:v>
      </x:c>
      <x:c r="O554" s="19" t="str">
        <x:v>S-按销量/BOM/日型生成</x:v>
      </x:c>
    </x:row>
    <x:row r="555">
      <x:c r="A555" s="19" t="str">
        <x:v>2026-07-10|S07|鸡杂</x:v>
      </x:c>
      <x:c r="B555" s="34" t="n">
        <x:v>46213.5</x:v>
      </x:c>
      <x:c r="C555" s="19" t="str">
        <x:v>S07</x:v>
      </x:c>
      <x:c r="D555" s="19" t="str">
        <x:v>小和山店</x:v>
      </x:c>
      <x:c r="E555" s="19" t="str">
        <x:v>鸡杂</x:v>
      </x:c>
      <x:c r="F555" s="32" t="n">
        <x:v>3.568173211743907</x:v>
      </x:c>
      <x:c r="G555" s="32" t="n">
        <x:v>3.4761019380420852</x:v>
      </x:c>
      <x:c r="H555" s="24" t="n">
        <x:f>G555</x:f>
        <x:v>3.4761019380420852</x:v>
      </x:c>
      <x:c r="I555" s="24" t="n">
        <x:f>XLOOKUP(A555,'库存与收货'!$A$5:$A$676,'库存与收货'!$H$5:$H$676,0)+XLOOKUP(A555,'库存与收货'!$A$5:$A$676,'库存与收货'!$J$5:$J$676,0)</x:f>
        <x:v>3.3095244111602717</x:v>
      </x:c>
      <x:c r="J555" s="21" t="n">
        <x:f>MAX(0,1-ABS(F555-I555)/MAX(I555,0.01))</x:f>
        <x:v>0.9218471392108702</x:v>
      </x:c>
      <x:c r="K555" s="21" t="n">
        <x:f>MAX(0,1-ABS(H555-I555)/MAX(I555,0.01))</x:f>
        <x:v>0.9496672312432306</x:v>
      </x:c>
      <x:c r="L555" s="24" t="n">
        <x:f>MAX(I555-H555,0)</x:f>
        <x:v>0</x:v>
      </x:c>
      <x:c r="M555" s="24" t="n">
        <x:f>MAX(H555-I555,0)</x:f>
        <x:v>0.1665775268818135</x:v>
      </x:c>
      <x:c r="N555" s="19" t="str">
        <x:v>刘敏</x:v>
      </x:c>
      <x:c r="O555" s="19" t="str">
        <x:v>S-按销量/BOM/日型生成</x:v>
      </x:c>
    </x:row>
    <x:row r="556">
      <x:c r="A556" s="19" t="str">
        <x:v>2026-07-10|S07|豆腐</x:v>
      </x:c>
      <x:c r="B556" s="34" t="n">
        <x:v>46213.5</x:v>
      </x:c>
      <x:c r="C556" s="19" t="str">
        <x:v>S07</x:v>
      </x:c>
      <x:c r="D556" s="19" t="str">
        <x:v>小和山店</x:v>
      </x:c>
      <x:c r="E556" s="19" t="str">
        <x:v>豆腐</x:v>
      </x:c>
      <x:c r="F556" s="32" t="n">
        <x:v>20.819105197380008</x:v>
      </x:c>
      <x:c r="G556" s="32" t="n">
        <x:v>20.447857613773518</x:v>
      </x:c>
      <x:c r="H556" s="24" t="n">
        <x:f>G556</x:f>
        <x:v>20.447857613773518</x:v>
      </x:c>
      <x:c r="I556" s="24" t="n">
        <x:f>XLOOKUP(A556,'库存与收货'!$A$5:$A$676,'库存与收货'!$H$5:$H$676,0)+XLOOKUP(A556,'库存与收货'!$A$5:$A$676,'库存与收货'!$J$5:$J$676,0)</x:f>
        <x:v>19.837657936997164</x:v>
      </x:c>
      <x:c r="J556" s="21" t="n">
        <x:f>MAX(0,1-ABS(F556-I556)/MAX(I556,0.01))</x:f>
        <x:v>0.9505260518404016</x:v>
      </x:c>
      <x:c r="K556" s="21" t="n">
        <x:f>MAX(0,1-ABS(H556-I556)/MAX(I556,0.01))</x:f>
        <x:v>0.9692403368021417</x:v>
      </x:c>
      <x:c r="L556" s="24" t="n">
        <x:f>MAX(I556-H556,0)</x:f>
        <x:v>0</x:v>
      </x:c>
      <x:c r="M556" s="24" t="n">
        <x:f>MAX(H556-I556,0)</x:f>
        <x:v>0.6101996767763538</x:v>
      </x:c>
      <x:c r="N556" s="19" t="str">
        <x:v>刘敏</x:v>
      </x:c>
      <x:c r="O556" s="19" t="str">
        <x:v>S-按销量/BOM/日型生成</x:v>
      </x:c>
    </x:row>
    <x:row r="557">
      <x:c r="A557" s="19" t="str">
        <x:v>2026-07-11|S07|瘦肉片</x:v>
      </x:c>
      <x:c r="B557" s="34" t="n">
        <x:v>46214.5</x:v>
      </x:c>
      <x:c r="C557" s="19" t="str">
        <x:v>S07</x:v>
      </x:c>
      <x:c r="D557" s="19" t="str">
        <x:v>小和山店</x:v>
      </x:c>
      <x:c r="E557" s="19" t="str">
        <x:v>瘦肉片</x:v>
      </x:c>
      <x:c r="F557" s="32" t="n">
        <x:v>7.789980439702344</x:v>
      </x:c>
      <x:c r="G557" s="32" t="n">
        <x:v>8.049182892795542</x:v>
      </x:c>
      <x:c r="H557" s="24" t="n">
        <x:f>G557</x:f>
        <x:v>8.049182892795542</x:v>
      </x:c>
      <x:c r="I557" s="24" t="n">
        <x:f>XLOOKUP(A557,'库存与收货'!$A$5:$A$676,'库存与收货'!$H$5:$H$676,0)+XLOOKUP(A557,'库存与收货'!$A$5:$A$676,'库存与收货'!$J$5:$J$676,0)</x:f>
        <x:v>8.377836669078757</x:v>
      </x:c>
      <x:c r="J557" s="21" t="n">
        <x:f>MAX(0,1-ABS(F557-I557)/MAX(I557,0.01))</x:f>
        <x:v>0.9298319778008927</x:v>
      </x:c>
      <x:c r="K557" s="21" t="n">
        <x:f>MAX(0,1-ABS(H557-I557)/MAX(I557,0.01))</x:f>
        <x:v>0.9607710451677552</x:v>
      </x:c>
      <x:c r="L557" s="24" t="n">
        <x:f>MAX(I557-H557,0)</x:f>
        <x:v>0.3286537762832147</x:v>
      </x:c>
      <x:c r="M557" s="24" t="n">
        <x:f>MAX(H557-I557,0)</x:f>
        <x:v>0</x:v>
      </x:c>
      <x:c r="N557" s="19" t="str">
        <x:v>刘敏</x:v>
      </x:c>
      <x:c r="O557" s="19" t="str">
        <x:v>S-按销量/BOM/日型生成</x:v>
      </x:c>
    </x:row>
    <x:row r="558">
      <x:c r="A558" s="19" t="str">
        <x:v>2026-07-11|S07|肥肉片</x:v>
      </x:c>
      <x:c r="B558" s="34" t="n">
        <x:v>46214.5</x:v>
      </x:c>
      <x:c r="C558" s="19" t="str">
        <x:v>S07</x:v>
      </x:c>
      <x:c r="D558" s="19" t="str">
        <x:v>小和山店</x:v>
      </x:c>
      <x:c r="E558" s="19" t="str">
        <x:v>肥肉片</x:v>
      </x:c>
      <x:c r="F558" s="32" t="n">
        <x:v>2.2347899620660097</x:v>
      </x:c>
      <x:c r="G558" s="32" t="n">
        <x:v>2.2788949034024717</x:v>
      </x:c>
      <x:c r="H558" s="24" t="n">
        <x:f>G558</x:f>
        <x:v>2.2788949034024717</x:v>
      </x:c>
      <x:c r="I558" s="24" t="n">
        <x:f>XLOOKUP(A558,'库存与收货'!$A$5:$A$676,'库存与收货'!$H$5:$H$676,0)+XLOOKUP(A558,'库存与收货'!$A$5:$A$676,'库存与收货'!$J$5:$J$676,0)</x:f>
        <x:v>2.3468409985255776</x:v>
      </x:c>
      <x:c r="J558" s="21" t="n">
        <x:f>MAX(0,1-ABS(F558-I558)/MAX(I558,0.01))</x:f>
        <x:v>0.9522545257518661</x:v>
      </x:c>
      <x:c r="K558" s="21" t="n">
        <x:f>MAX(0,1-ABS(H558-I558)/MAX(I558,0.01))</x:f>
        <x:v>0.9710478489314812</x:v>
      </x:c>
      <x:c r="L558" s="24" t="n">
        <x:f>MAX(I558-H558,0)</x:f>
        <x:v>0.0679460951231059</x:v>
      </x:c>
      <x:c r="M558" s="24" t="n">
        <x:f>MAX(H558-I558,0)</x:f>
        <x:v>0</x:v>
      </x:c>
      <x:c r="N558" s="19" t="str">
        <x:v>刘敏</x:v>
      </x:c>
      <x:c r="O558" s="19" t="str">
        <x:v>S-按销量/BOM/日型生成</x:v>
      </x:c>
    </x:row>
    <x:row r="559">
      <x:c r="A559" s="19" t="str">
        <x:v>2026-07-11|S07|牛肉片</x:v>
      </x:c>
      <x:c r="B559" s="34" t="n">
        <x:v>46214.5</x:v>
      </x:c>
      <x:c r="C559" s="19" t="str">
        <x:v>S07</x:v>
      </x:c>
      <x:c r="D559" s="19" t="str">
        <x:v>小和山店</x:v>
      </x:c>
      <x:c r="E559" s="19" t="str">
        <x:v>牛肉片</x:v>
      </x:c>
      <x:c r="F559" s="32" t="n">
        <x:v>5.478379661206079</x:v>
      </x:c>
      <x:c r="G559" s="32" t="n">
        <x:v>5.8288321579121165</x:v>
      </x:c>
      <x:c r="H559" s="24" t="n">
        <x:f>G559</x:f>
        <x:v>5.8288321579121165</x:v>
      </x:c>
      <x:c r="I559" s="24" t="n">
        <x:f>XLOOKUP(A559,'库存与收货'!$A$5:$A$676,'库存与收货'!$H$5:$H$676,0)+XLOOKUP(A559,'库存与收货'!$A$5:$A$676,'库存与收货'!$J$5:$J$676,0)</x:f>
        <x:v>6.4744902327379075</x:v>
      </x:c>
      <x:c r="J559" s="21" t="n">
        <x:f>MAX(0,1-ABS(F559-I559)/MAX(I559,0.01))</x:f>
        <x:v>0.8461484169834639</x:v>
      </x:c>
      <x:c r="K559" s="21" t="n">
        <x:f>MAX(0,1-ABS(H559-I559)/MAX(I559,0.01))</x:f>
        <x:v>0.9002766161324862</x:v>
      </x:c>
      <x:c r="L559" s="24" t="n">
        <x:f>MAX(I559-H559,0)</x:f>
        <x:v>0.645658074825791</x:v>
      </x:c>
      <x:c r="M559" s="24" t="n">
        <x:f>MAX(H559-I559,0)</x:f>
        <x:v>0</x:v>
      </x:c>
      <x:c r="N559" s="19" t="str">
        <x:v>刘敏</x:v>
      </x:c>
      <x:c r="O559" s="19" t="str">
        <x:v>S-按销量/BOM/日型生成</x:v>
      </x:c>
    </x:row>
    <x:row r="560">
      <x:c r="A560" s="19" t="str">
        <x:v>2026-07-11|S07|螺丝椒</x:v>
      </x:c>
      <x:c r="B560" s="34" t="n">
        <x:v>46214.5</x:v>
      </x:c>
      <x:c r="C560" s="19" t="str">
        <x:v>S07</x:v>
      </x:c>
      <x:c r="D560" s="19" t="str">
        <x:v>小和山店</x:v>
      </x:c>
      <x:c r="E560" s="19" t="str">
        <x:v>螺丝椒</x:v>
      </x:c>
      <x:c r="F560" s="32" t="n">
        <x:v>9.07276087606067</x:v>
      </x:c>
      <x:c r="G560" s="32" t="n">
        <x:v>8.986452540470262</x:v>
      </x:c>
      <x:c r="H560" s="24" t="n">
        <x:f>G560</x:f>
        <x:v>8.986452540470262</x:v>
      </x:c>
      <x:c r="I560" s="24" t="n">
        <x:f>XLOOKUP(A560,'库存与收货'!$A$5:$A$676,'库存与收货'!$H$5:$H$676,0)+XLOOKUP(A560,'库存与收货'!$A$5:$A$676,'库存与收货'!$J$5:$J$676,0)</x:f>
        <x:v>8.761430440220034</x:v>
      </x:c>
      <x:c r="J560" s="21" t="n">
        <x:f>MAX(0,1-ABS(F560-I560)/MAX(I560,0.01))</x:f>
        <x:v>0.9644657983687858</x:v>
      </x:c>
      <x:c r="K560" s="21" t="n">
        <x:f>MAX(0,1-ABS(H560-I560)/MAX(I560,0.01))</x:f>
        <x:v>0.9743167395112506</x:v>
      </x:c>
      <x:c r="L560" s="24" t="n">
        <x:f>MAX(I560-H560,0)</x:f>
        <x:v>0</x:v>
      </x:c>
      <x:c r="M560" s="24" t="n">
        <x:f>MAX(H560-I560,0)</x:f>
        <x:v>0.22502210025022862</x:v>
      </x:c>
      <x:c r="N560" s="19" t="str">
        <x:v>刘敏</x:v>
      </x:c>
      <x:c r="O560" s="19" t="str">
        <x:v>S-按销量/BOM/日型生成</x:v>
      </x:c>
    </x:row>
    <x:row r="561">
      <x:c r="A561" s="19" t="str">
        <x:v>2026-07-11|S07|青湖南椒圈</x:v>
      </x:c>
      <x:c r="B561" s="34" t="n">
        <x:v>46214.5</x:v>
      </x:c>
      <x:c r="C561" s="19" t="str">
        <x:v>S07</x:v>
      </x:c>
      <x:c r="D561" s="19" t="str">
        <x:v>小和山店</x:v>
      </x:c>
      <x:c r="E561" s="19" t="str">
        <x:v>青湖南椒圈</x:v>
      </x:c>
      <x:c r="F561" s="32" t="n">
        <x:v>1.369802206536238</x:v>
      </x:c>
      <x:c r="G561" s="32" t="n">
        <x:v>1.3270169887962282</x:v>
      </x:c>
      <x:c r="H561" s="24" t="n">
        <x:f>G561</x:f>
        <x:v>1.3270169887962282</x:v>
      </x:c>
      <x:c r="I561" s="24" t="n">
        <x:f>XLOOKUP(A561,'库存与收货'!$A$5:$A$676,'库存与收货'!$H$5:$H$676,0)+XLOOKUP(A561,'库存与收货'!$A$5:$A$676,'库存与收货'!$J$5:$J$676,0)</x:f>
        <x:v>1.2183228707006952</x:v>
      </x:c>
      <x:c r="J561" s="21" t="n">
        <x:f>MAX(0,1-ABS(F561-I561)/MAX(I561,0.01))</x:f>
        <x:v>0.8756656880713218</x:v>
      </x:c>
      <x:c r="K561" s="21" t="n">
        <x:f>MAX(0,1-ABS(H561-I561)/MAX(I561,0.01))</x:f>
        <x:v>0.9107838154322593</x:v>
      </x:c>
      <x:c r="L561" s="24" t="n">
        <x:f>MAX(I561-H561,0)</x:f>
        <x:v>0</x:v>
      </x:c>
      <x:c r="M561" s="24" t="n">
        <x:f>MAX(H561-I561,0)</x:f>
        <x:v>0.10869411809553298</x:v>
      </x:c>
      <x:c r="N561" s="19" t="str">
        <x:v>刘敏</x:v>
      </x:c>
      <x:c r="O561" s="19" t="str">
        <x:v>S-按销量/BOM/日型生成</x:v>
      </x:c>
    </x:row>
    <x:row r="562">
      <x:c r="A562" s="19" t="str">
        <x:v>2026-07-11|S07|鸡蛋</x:v>
      </x:c>
      <x:c r="B562" s="34" t="n">
        <x:v>46214.5</x:v>
      </x:c>
      <x:c r="C562" s="19" t="str">
        <x:v>S07</x:v>
      </x:c>
      <x:c r="D562" s="19" t="str">
        <x:v>小和山店</x:v>
      </x:c>
      <x:c r="E562" s="19" t="str">
        <x:v>鸡蛋</x:v>
      </x:c>
      <x:c r="F562" s="32" t="n">
        <x:v>12.91022832726141</x:v>
      </x:c>
      <x:c r="G562" s="32" t="n">
        <x:v>12.670138773021405</x:v>
      </x:c>
      <x:c r="H562" s="24" t="n">
        <x:f>G562</x:f>
        <x:v>12.670138773021405</x:v>
      </x:c>
      <x:c r="I562" s="24" t="n">
        <x:f>XLOOKUP(A562,'库存与收货'!$A$5:$A$676,'库存与收货'!$H$5:$H$676,0)+XLOOKUP(A562,'库存与收货'!$A$5:$A$676,'库存与收货'!$J$5:$J$676,0)</x:f>
        <x:v>12.025881425343892</x:v>
      </x:c>
      <x:c r="J562" s="21" t="n">
        <x:f>MAX(0,1-ABS(F562-I562)/MAX(I562,0.01))</x:f>
        <x:v>0.9264630283104401</x:v>
      </x:c>
      <x:c r="K562" s="21" t="n">
        <x:f>MAX(0,1-ABS(H562-I562)/MAX(I562,0.01))</x:f>
        <x:v>0.9464274322279799</x:v>
      </x:c>
      <x:c r="L562" s="24" t="n">
        <x:f>MAX(I562-H562,0)</x:f>
        <x:v>0</x:v>
      </x:c>
      <x:c r="M562" s="24" t="n">
        <x:f>MAX(H562-I562,0)</x:f>
        <x:v>0.6442573476775131</x:v>
      </x:c>
      <x:c r="N562" s="19" t="str">
        <x:v>刘敏</x:v>
      </x:c>
      <x:c r="O562" s="19" t="str">
        <x:v>S-按销量/BOM/日型生成</x:v>
      </x:c>
    </x:row>
    <x:row r="563">
      <x:c r="A563" s="19" t="str">
        <x:v>2026-07-11|S07|鸡肉</x:v>
      </x:c>
      <x:c r="B563" s="34" t="n">
        <x:v>46214.5</x:v>
      </x:c>
      <x:c r="C563" s="19" t="str">
        <x:v>S07</x:v>
      </x:c>
      <x:c r="D563" s="19" t="str">
        <x:v>小和山店</x:v>
      </x:c>
      <x:c r="E563" s="19" t="str">
        <x:v>鸡肉</x:v>
      </x:c>
      <x:c r="F563" s="32" t="n">
        <x:v>3.439754286972591</x:v>
      </x:c>
      <x:c r="G563" s="32" t="n">
        <x:v>3.39329222365607</x:v>
      </x:c>
      <x:c r="H563" s="24" t="n">
        <x:f>G563</x:f>
        <x:v>3.39329222365607</x:v>
      </x:c>
      <x:c r="I563" s="24" t="n">
        <x:f>XLOOKUP(A563,'库存与收货'!$A$5:$A$676,'库存与收货'!$H$5:$H$676,0)+XLOOKUP(A563,'库存与收货'!$A$5:$A$676,'库存与收货'!$J$5:$J$676,0)</x:f>
        <x:v>3.263103185106442</x:v>
      </x:c>
      <x:c r="J563" s="21" t="n">
        <x:f>MAX(0,1-ABS(F563-I563)/MAX(I563,0.01))</x:f>
        <x:v>0.9458640772769842</x:v>
      </x:c>
      <x:c r="K563" s="21" t="n">
        <x:f>MAX(0,1-ABS(H563-I563)/MAX(I563,0.01))</x:f>
        <x:v>0.9601026902416568</x:v>
      </x:c>
      <x:c r="L563" s="24" t="n">
        <x:f>MAX(I563-H563,0)</x:f>
        <x:v>0</x:v>
      </x:c>
      <x:c r="M563" s="24" t="n">
        <x:f>MAX(H563-I563,0)</x:f>
        <x:v>0.13018903854962804</x:v>
      </x:c>
      <x:c r="N563" s="19" t="str">
        <x:v>刘敏</x:v>
      </x:c>
      <x:c r="O563" s="19" t="str">
        <x:v>S-按销量/BOM/日型生成</x:v>
      </x:c>
    </x:row>
    <x:row r="564">
      <x:c r="A564" s="19" t="str">
        <x:v>2026-07-11|S07|鲈鱼</x:v>
      </x:c>
      <x:c r="B564" s="34" t="n">
        <x:v>46214.5</x:v>
      </x:c>
      <x:c r="C564" s="19" t="str">
        <x:v>S07</x:v>
      </x:c>
      <x:c r="D564" s="19" t="str">
        <x:v>小和山店</x:v>
      </x:c>
      <x:c r="E564" s="19" t="str">
        <x:v>鲈鱼</x:v>
      </x:c>
      <x:c r="F564" s="32" t="n">
        <x:v>2.9286408198601133</x:v>
      </x:c>
      <x:c r="G564" s="32" t="n">
        <x:v>2.786331935982598</x:v>
      </x:c>
      <x:c r="H564" s="24" t="n">
        <x:f>G564</x:f>
        <x:v>2.786331935982598</x:v>
      </x:c>
      <x:c r="I564" s="24" t="n">
        <x:f>XLOOKUP(A564,'库存与收货'!$A$5:$A$676,'库存与收货'!$H$5:$H$676,0)+XLOOKUP(A564,'库存与收货'!$A$5:$A$676,'库存与收货'!$J$5:$J$676,0)</x:f>
        <x:v>2.596882971084417</x:v>
      </x:c>
      <x:c r="J564" s="21" t="n">
        <x:f>MAX(0,1-ABS(F564-I564)/MAX(I564,0.01))</x:f>
        <x:v>0.8722476705844162</x:v>
      </x:c>
      <x:c r="K564" s="21" t="n">
        <x:f>MAX(0,1-ABS(H564-I564)/MAX(I564,0.01))</x:f>
        <x:v>0.927047553929983</x:v>
      </x:c>
      <x:c r="L564" s="24" t="n">
        <x:f>MAX(I564-H564,0)</x:f>
        <x:v>0</x:v>
      </x:c>
      <x:c r="M564" s="24" t="n">
        <x:f>MAX(H564-I564,0)</x:f>
        <x:v>0.18944896489818142</x:v>
      </x:c>
      <x:c r="N564" s="19" t="str">
        <x:v>刘敏</x:v>
      </x:c>
      <x:c r="O564" s="19" t="str">
        <x:v>S-按销量/BOM/日型生成</x:v>
      </x:c>
    </x:row>
    <x:row r="565">
      <x:c r="A565" s="19" t="str">
        <x:v>2026-07-11|S07|酸包菜</x:v>
      </x:c>
      <x:c r="B565" s="34" t="n">
        <x:v>46214.5</x:v>
      </x:c>
      <x:c r="C565" s="19" t="str">
        <x:v>S07</x:v>
      </x:c>
      <x:c r="D565" s="19" t="str">
        <x:v>小和山店</x:v>
      </x:c>
      <x:c r="E565" s="19" t="str">
        <x:v>酸包菜</x:v>
      </x:c>
      <x:c r="F565" s="32" t="n">
        <x:v>4.73018297014802</x:v>
      </x:c>
      <x:c r="G565" s="32" t="n">
        <x:v>4.882078414024344</x:v>
      </x:c>
      <x:c r="H565" s="24" t="n">
        <x:f>G565</x:f>
        <x:v>4.882078414024344</x:v>
      </x:c>
      <x:c r="I565" s="24" t="n">
        <x:f>XLOOKUP(A565,'库存与收货'!$A$5:$A$676,'库存与收货'!$H$5:$H$676,0)+XLOOKUP(A565,'库存与收货'!$A$5:$A$676,'库存与收货'!$J$5:$J$676,0)</x:f>
        <x:v>5.196601832243987</x:v>
      </x:c>
      <x:c r="J565" s="21" t="n">
        <x:f>MAX(0,1-ABS(F565-I565)/MAX(I565,0.01))</x:f>
        <x:v>0.9102454109141245</x:v>
      </x:c>
      <x:c r="K565" s="21" t="n">
        <x:f>MAX(0,1-ABS(H565-I565)/MAX(I565,0.01))</x:f>
        <x:v>0.9394751746673987</x:v>
      </x:c>
      <x:c r="L565" s="24" t="n">
        <x:f>MAX(I565-H565,0)</x:f>
        <x:v>0.31452341821964325</x:v>
      </x:c>
      <x:c r="M565" s="24" t="n">
        <x:f>MAX(H565-I565,0)</x:f>
        <x:v>0</x:v>
      </x:c>
      <x:c r="N565" s="19" t="str">
        <x:v>刘敏</x:v>
      </x:c>
      <x:c r="O565" s="19" t="str">
        <x:v>S-按销量/BOM/日型生成</x:v>
      </x:c>
    </x:row>
    <x:row r="566">
      <x:c r="A566" s="19" t="str">
        <x:v>2026-07-11|S07|粉皮</x:v>
      </x:c>
      <x:c r="B566" s="34" t="n">
        <x:v>46214.5</x:v>
      </x:c>
      <x:c r="C566" s="19" t="str">
        <x:v>S07</x:v>
      </x:c>
      <x:c r="D566" s="19" t="str">
        <x:v>小和山店</x:v>
      </x:c>
      <x:c r="E566" s="19" t="str">
        <x:v>粉皮</x:v>
      </x:c>
      <x:c r="F566" s="32" t="n">
        <x:v>3.2393123998837052</x:v>
      </x:c>
      <x:c r="G566" s="32" t="n">
        <x:v>3.486906493884372</x:v>
      </x:c>
      <x:c r="H566" s="24" t="n">
        <x:f>G566</x:f>
        <x:v>3.486906493884372</x:v>
      </x:c>
      <x:c r="I566" s="24" t="n">
        <x:f>XLOOKUP(A566,'库存与收货'!$A$5:$A$676,'库存与收货'!$H$5:$H$676,0)+XLOOKUP(A566,'库存与收货'!$A$5:$A$676,'库存与收货'!$J$5:$J$676,0)</x:f>
        <x:v>3.8997882087554405</x:v>
      </x:c>
      <x:c r="J566" s="21" t="n">
        <x:f>MAX(0,1-ABS(F566-I566)/MAX(I566,0.01))</x:f>
        <x:v>0.8306380312169526</x:v>
      </x:c>
      <x:c r="K566" s="21" t="n">
        <x:f>MAX(0,1-ABS(H566-I566)/MAX(I566,0.01))</x:f>
        <x:v>0.8941271441500066</x:v>
      </x:c>
      <x:c r="L566" s="24" t="n">
        <x:f>MAX(I566-H566,0)</x:f>
        <x:v>0.4128817148710686</x:v>
      </x:c>
      <x:c r="M566" s="24" t="n">
        <x:f>MAX(H566-I566,0)</x:f>
        <x:v>0</x:v>
      </x:c>
      <x:c r="N566" s="19" t="str">
        <x:v>刘敏</x:v>
      </x:c>
      <x:c r="O566" s="19" t="str">
        <x:v>S-按销量/BOM/日型生成</x:v>
      </x:c>
    </x:row>
    <x:row r="567">
      <x:c r="A567" s="19" t="str">
        <x:v>2026-07-11|S07|鸡杂</x:v>
      </x:c>
      <x:c r="B567" s="34" t="n">
        <x:v>46214.5</x:v>
      </x:c>
      <x:c r="C567" s="19" t="str">
        <x:v>S07</x:v>
      </x:c>
      <x:c r="D567" s="19" t="str">
        <x:v>小和山店</x:v>
      </x:c>
      <x:c r="E567" s="19" t="str">
        <x:v>鸡杂</x:v>
      </x:c>
      <x:c r="F567" s="32" t="n">
        <x:v>2.6446133163554317</x:v>
      </x:c>
      <x:c r="G567" s="32" t="n">
        <x:v>2.5002079109682818</x:v>
      </x:c>
      <x:c r="H567" s="24" t="n">
        <x:f>G567</x:f>
        <x:v>2.5002079109682818</x:v>
      </x:c>
      <x:c r="I567" s="24" t="n">
        <x:f>XLOOKUP(A567,'库存与收货'!$A$5:$A$676,'库存与收货'!$H$5:$H$676,0)+XLOOKUP(A567,'库存与收货'!$A$5:$A$676,'库存与收货'!$J$5:$J$676,0)</x:f>
        <x:v>2.3215064013179525</x:v>
      </x:c>
      <x:c r="J567" s="21" t="n">
        <x:f>MAX(0,1-ABS(F567-I567)/MAX(I567,0.01))</x:f>
        <x:v>0.8608201489971999</x:v>
      </x:c>
      <x:c r="K567" s="21" t="n">
        <x:f>MAX(0,1-ABS(H567-I567)/MAX(I567,0.01))</x:f>
        <x:v>0.923023468921353</x:v>
      </x:c>
      <x:c r="L567" s="24" t="n">
        <x:f>MAX(I567-H567,0)</x:f>
        <x:v>0</x:v>
      </x:c>
      <x:c r="M567" s="24" t="n">
        <x:f>MAX(H567-I567,0)</x:f>
        <x:v>0.17870150965032927</x:v>
      </x:c>
      <x:c r="N567" s="19" t="str">
        <x:v>刘敏</x:v>
      </x:c>
      <x:c r="O567" s="19" t="str">
        <x:v>S-按销量/BOM/日型生成</x:v>
      </x:c>
    </x:row>
    <x:row r="568">
      <x:c r="A568" s="19" t="str">
        <x:v>2026-07-11|S07|豆腐</x:v>
      </x:c>
      <x:c r="B568" s="34" t="n">
        <x:v>46214.5</x:v>
      </x:c>
      <x:c r="C568" s="19" t="str">
        <x:v>S07</x:v>
      </x:c>
      <x:c r="D568" s="19" t="str">
        <x:v>小和山店</x:v>
      </x:c>
      <x:c r="E568" s="19" t="str">
        <x:v>豆腐</x:v>
      </x:c>
      <x:c r="F568" s="32" t="n">
        <x:v>13.748532397341478</x:v>
      </x:c>
      <x:c r="G568" s="32" t="n">
        <x:v>13.956647351164154</x:v>
      </x:c>
      <x:c r="H568" s="24" t="n">
        <x:f>G568</x:f>
        <x:v>13.956647351164154</x:v>
      </x:c>
      <x:c r="I568" s="24" t="n">
        <x:f>XLOOKUP(A568,'库存与收货'!$A$5:$A$676,'库存与收货'!$H$5:$H$676,0)+XLOOKUP(A568,'库存与收货'!$A$5:$A$676,'库存与收货'!$J$5:$J$676,0)</x:f>
        <x:v>14.392003222762607</x:v>
      </x:c>
      <x:c r="J568" s="21" t="n">
        <x:f>MAX(0,1-ABS(F568-I568)/MAX(I568,0.01))</x:f>
        <x:v>0.955289696961476</x:v>
      </x:c>
      <x:c r="K568" s="21" t="n">
        <x:f>MAX(0,1-ABS(H568-I568)/MAX(I568,0.01))</x:f>
        <x:v>0.969750154661591</x:v>
      </x:c>
      <x:c r="L568" s="24" t="n">
        <x:f>MAX(I568-H568,0)</x:f>
        <x:v>0.43535587159845335</x:v>
      </x:c>
      <x:c r="M568" s="24" t="n">
        <x:f>MAX(H568-I568,0)</x:f>
        <x:v>0</x:v>
      </x:c>
      <x:c r="N568" s="19" t="str">
        <x:v>刘敏</x:v>
      </x:c>
      <x:c r="O568" s="19" t="str">
        <x:v>S-按销量/BOM/日型生成</x:v>
      </x:c>
    </x:row>
    <x:row r="569">
      <x:c r="A569" s="19" t="str">
        <x:v>2026-07-12|S07|瘦肉片</x:v>
      </x:c>
      <x:c r="B569" s="34" t="n">
        <x:v>46215.5</x:v>
      </x:c>
      <x:c r="C569" s="19" t="str">
        <x:v>S07</x:v>
      </x:c>
      <x:c r="D569" s="19" t="str">
        <x:v>小和山店</x:v>
      </x:c>
      <x:c r="E569" s="19" t="str">
        <x:v>瘦肉片</x:v>
      </x:c>
      <x:c r="F569" s="32" t="n">
        <x:v>6.850405593864439</x:v>
      </x:c>
      <x:c r="G569" s="32" t="n">
        <x:v>7.468365592221782</x:v>
      </x:c>
      <x:c r="H569" s="24" t="n">
        <x:f>G569</x:f>
        <x:v>7.468365592221782</x:v>
      </x:c>
      <x:c r="I569" s="24" t="n">
        <x:f>XLOOKUP(A569,'库存与收货'!$A$5:$A$676,'库存与收货'!$H$5:$H$676,0)+XLOOKUP(A569,'库存与收货'!$A$5:$A$676,'库存与收货'!$J$5:$J$676,0)</x:f>
        <x:v>8.292706952578495</x:v>
      </x:c>
      <x:c r="J569" s="21" t="n">
        <x:f>MAX(0,1-ABS(F569-I569)/MAX(I569,0.01))</x:f>
        <x:v>0.8260759282871326</x:v>
      </x:c>
      <x:c r="K569" s="21" t="n">
        <x:f>MAX(0,1-ABS(H569-I569)/MAX(I569,0.01))</x:f>
        <x:v>0.9005944180747403</x:v>
      </x:c>
      <x:c r="L569" s="24" t="n">
        <x:f>MAX(I569-H569,0)</x:f>
        <x:v>0.8243413603567129</x:v>
      </x:c>
      <x:c r="M569" s="24" t="n">
        <x:f>MAX(H569-I569,0)</x:f>
        <x:v>0</x:v>
      </x:c>
      <x:c r="N569" s="19" t="str">
        <x:v>刘敏</x:v>
      </x:c>
      <x:c r="O569" s="19" t="str">
        <x:v>S-按销量/BOM/日型生成</x:v>
      </x:c>
    </x:row>
    <x:row r="570">
      <x:c r="A570" s="19" t="str">
        <x:v>2026-07-12|S07|肥肉片</x:v>
      </x:c>
      <x:c r="B570" s="34" t="n">
        <x:v>46215.5</x:v>
      </x:c>
      <x:c r="C570" s="19" t="str">
        <x:v>S07</x:v>
      </x:c>
      <x:c r="D570" s="19" t="str">
        <x:v>小和山店</x:v>
      </x:c>
      <x:c r="E570" s="19" t="str">
        <x:v>肥肉片</x:v>
      </x:c>
      <x:c r="F570" s="32" t="n">
        <x:v>2.7691811202192147</x:v>
      </x:c>
      <x:c r="G570" s="32" t="n">
        <x:v>2.6693984553788614</x:v>
      </x:c>
      <x:c r="H570" s="24" t="n">
        <x:f>G570</x:f>
        <x:v>2.6693984553788614</x:v>
      </x:c>
      <x:c r="I570" s="24" t="n">
        <x:f>XLOOKUP(A570,'库存与收货'!$A$5:$A$676,'库存与收货'!$H$5:$H$676,0)+XLOOKUP(A570,'库存与收货'!$A$5:$A$676,'库存与收货'!$J$5:$J$676,0)</x:f>
        <x:v>2.386803234960372</x:v>
      </x:c>
      <x:c r="J570" s="21" t="n">
        <x:f>MAX(0,1-ABS(F570-I570)/MAX(I570,0.01))</x:f>
        <x:v>0.8397949694143132</x:v>
      </x:c>
      <x:c r="K570" s="21" t="n">
        <x:f>MAX(0,1-ABS(H570-I570)/MAX(I570,0.01))</x:f>
        <x:v>0.8816009563422679</x:v>
      </x:c>
      <x:c r="L570" s="24" t="n">
        <x:f>MAX(I570-H570,0)</x:f>
        <x:v>0</x:v>
      </x:c>
      <x:c r="M570" s="24" t="n">
        <x:f>MAX(H570-I570,0)</x:f>
        <x:v>0.2825952204184894</x:v>
      </x:c>
      <x:c r="N570" s="19" t="str">
        <x:v>刘敏</x:v>
      </x:c>
      <x:c r="O570" s="19" t="str">
        <x:v>S-按销量/BOM/日型生成</x:v>
      </x:c>
    </x:row>
    <x:row r="571">
      <x:c r="A571" s="19" t="str">
        <x:v>2026-07-12|S07|牛肉片</x:v>
      </x:c>
      <x:c r="B571" s="34" t="n">
        <x:v>46215.5</x:v>
      </x:c>
      <x:c r="C571" s="19" t="str">
        <x:v>S07</x:v>
      </x:c>
      <x:c r="D571" s="19" t="str">
        <x:v>小和山店</x:v>
      </x:c>
      <x:c r="E571" s="19" t="str">
        <x:v>牛肉片</x:v>
      </x:c>
      <x:c r="F571" s="32" t="n">
        <x:v>6.48597086946671</x:v>
      </x:c>
      <x:c r="G571" s="32" t="n">
        <x:v>6.448662007416601</x:v>
      </x:c>
      <x:c r="H571" s="24" t="n">
        <x:f>G571</x:f>
        <x:v>6.448662007416601</x:v>
      </x:c>
      <x:c r="I571" s="24" t="n">
        <x:f>XLOOKUP(A571,'库存与收货'!$A$5:$A$676,'库存与收货'!$H$5:$H$676,0)+XLOOKUP(A571,'库存与收货'!$A$5:$A$676,'库存与收货'!$J$5:$J$676,0)</x:f>
        <x:v>6.382051460854022</x:v>
      </x:c>
      <x:c r="J571" s="21" t="n">
        <x:f>MAX(0,1-ABS(F571-I571)/MAX(I571,0.01))</x:f>
        <x:v>0.9837169271902452</x:v>
      </x:c>
      <x:c r="K571" s="21" t="n">
        <x:f>MAX(0,1-ABS(H571-I571)/MAX(I571,0.01))</x:f>
        <x:v>0.989562831485902</x:v>
      </x:c>
      <x:c r="L571" s="24" t="n">
        <x:f>MAX(I571-H571,0)</x:f>
        <x:v>0</x:v>
      </x:c>
      <x:c r="M571" s="24" t="n">
        <x:f>MAX(H571-I571,0)</x:f>
        <x:v>0.06661054656257903</x:v>
      </x:c>
      <x:c r="N571" s="19" t="str">
        <x:v>刘敏</x:v>
      </x:c>
      <x:c r="O571" s="19" t="str">
        <x:v>S-按销量/BOM/日型生成</x:v>
      </x:c>
    </x:row>
    <x:row r="572">
      <x:c r="A572" s="19" t="str">
        <x:v>2026-07-12|S07|螺丝椒</x:v>
      </x:c>
      <x:c r="B572" s="34" t="n">
        <x:v>46215.5</x:v>
      </x:c>
      <x:c r="C572" s="19" t="str">
        <x:v>S07</x:v>
      </x:c>
      <x:c r="D572" s="19" t="str">
        <x:v>小和山店</x:v>
      </x:c>
      <x:c r="E572" s="19" t="str">
        <x:v>螺丝椒</x:v>
      </x:c>
      <x:c r="F572" s="32" t="n">
        <x:v>8.985954054980724</x:v>
      </x:c>
      <x:c r="G572" s="32" t="n">
        <x:v>8.98592440849435</x:v>
      </x:c>
      <x:c r="H572" s="24" t="n">
        <x:f>G572</x:f>
        <x:v>8.98592440849435</x:v>
      </x:c>
      <x:c r="I572" s="24" t="n">
        <x:f>XLOOKUP(A572,'库存与收货'!$A$5:$A$676,'库存与收货'!$H$5:$H$676,0)+XLOOKUP(A572,'库存与收货'!$A$5:$A$676,'库存与收货'!$J$5:$J$676,0)</x:f>
        <x:v>8.985879334617843</x:v>
      </x:c>
      <x:c r="J572" s="21" t="n">
        <x:f>MAX(0,1-ABS(F572-I572)/MAX(I572,0.01))</x:f>
        <x:v>0.9999916846910472</x:v>
      </x:c>
      <x:c r="K572" s="21" t="n">
        <x:f>MAX(0,1-ABS(H572-I572)/MAX(I572,0.01))</x:f>
        <x:v>0.9999949839214585</x:v>
      </x:c>
      <x:c r="L572" s="24" t="n">
        <x:f>MAX(I572-H572,0)</x:f>
        <x:v>0</x:v>
      </x:c>
      <x:c r="M572" s="24" t="n">
        <x:f>MAX(H572-I572,0)</x:f>
        <x:v>0.000045073876506762645</x:v>
      </x:c>
      <x:c r="N572" s="19" t="str">
        <x:v>刘敏</x:v>
      </x:c>
      <x:c r="O572" s="19" t="str">
        <x:v>S-按销量/BOM/日型生成</x:v>
      </x:c>
    </x:row>
    <x:row r="573">
      <x:c r="A573" s="19" t="str">
        <x:v>2026-07-12|S07|青湖南椒圈</x:v>
      </x:c>
      <x:c r="B573" s="34" t="n">
        <x:v>46215.5</x:v>
      </x:c>
      <x:c r="C573" s="19" t="str">
        <x:v>S07</x:v>
      </x:c>
      <x:c r="D573" s="19" t="str">
        <x:v>小和山店</x:v>
      </x:c>
      <x:c r="E573" s="19" t="str">
        <x:v>青湖南椒圈</x:v>
      </x:c>
      <x:c r="F573" s="32" t="n">
        <x:v>1.1969820117051384</x:v>
      </x:c>
      <x:c r="G573" s="32" t="n">
        <x:v>1.1706372021364035</x:v>
      </x:c>
      <x:c r="H573" s="24" t="n">
        <x:f>G573</x:f>
        <x:v>1.1706372021364035</x:v>
      </x:c>
      <x:c r="I573" s="24" t="n">
        <x:f>XLOOKUP(A573,'库存与收货'!$A$5:$A$676,'库存与收货'!$H$5:$H$676,0)+XLOOKUP(A573,'库存与收货'!$A$5:$A$676,'库存与收货'!$J$5:$J$676,0)</x:f>
        <x:v>1.1166550945797133</x:v>
      </x:c>
      <x:c r="J573" s="21" t="n">
        <x:f>MAX(0,1-ABS(F573-I573)/MAX(I573,0.01))</x:f>
        <x:v>0.9280647018803434</x:v>
      </x:c>
      <x:c r="K573" s="21" t="n">
        <x:f>MAX(0,1-ABS(H573-I573)/MAX(I573,0.01))</x:f>
        <x:v>0.9516573131500304</x:v>
      </x:c>
      <x:c r="L573" s="24" t="n">
        <x:f>MAX(I573-H573,0)</x:f>
        <x:v>0</x:v>
      </x:c>
      <x:c r="M573" s="24" t="n">
        <x:f>MAX(H573-I573,0)</x:f>
        <x:v>0.053982107556690195</x:v>
      </x:c>
      <x:c r="N573" s="19" t="str">
        <x:v>刘敏</x:v>
      </x:c>
      <x:c r="O573" s="19" t="str">
        <x:v>S-按销量/BOM/日型生成</x:v>
      </x:c>
    </x:row>
    <x:row r="574">
      <x:c r="A574" s="19" t="str">
        <x:v>2026-07-12|S07|鸡蛋</x:v>
      </x:c>
      <x:c r="B574" s="34" t="n">
        <x:v>46215.5</x:v>
      </x:c>
      <x:c r="C574" s="19" t="str">
        <x:v>S07</x:v>
      </x:c>
      <x:c r="D574" s="19" t="str">
        <x:v>小和山店</x:v>
      </x:c>
      <x:c r="E574" s="19" t="str">
        <x:v>鸡蛋</x:v>
      </x:c>
      <x:c r="F574" s="32" t="n">
        <x:v>12.758966517833532</x:v>
      </x:c>
      <x:c r="G574" s="32" t="n">
        <x:v>12.409842279421856</x:v>
      </x:c>
      <x:c r="H574" s="24" t="n">
        <x:f>G574</x:f>
        <x:v>12.409842279421856</x:v>
      </x:c>
      <x:c r="I574" s="24" t="n">
        <x:f>XLOOKUP(A574,'库存与收货'!$A$5:$A$676,'库存与收货'!$H$5:$H$676,0)+XLOOKUP(A574,'库存与收货'!$A$5:$A$676,'库存与收货'!$J$5:$J$676,0)</x:f>
        <x:v>11.514199295083632</x:v>
      </x:c>
      <x:c r="J574" s="21" t="n">
        <x:f>MAX(0,1-ABS(F574-I574)/MAX(I574,0.01))</x:f>
        <x:v>0.8918928541317332</x:v>
      </x:c>
      <x:c r="K574" s="21" t="n">
        <x:f>MAX(0,1-ABS(H574-I574)/MAX(I574,0.01))</x:f>
        <x:v>0.9222140453378597</x:v>
      </x:c>
      <x:c r="L574" s="24" t="n">
        <x:f>MAX(I574-H574,0)</x:f>
        <x:v>0</x:v>
      </x:c>
      <x:c r="M574" s="24" t="n">
        <x:f>MAX(H574-I574,0)</x:f>
        <x:v>0.8956429843382239</x:v>
      </x:c>
      <x:c r="N574" s="19" t="str">
        <x:v>刘敏</x:v>
      </x:c>
      <x:c r="O574" s="19" t="str">
        <x:v>S-按销量/BOM/日型生成</x:v>
      </x:c>
    </x:row>
    <x:row r="575">
      <x:c r="A575" s="19" t="str">
        <x:v>2026-07-12|S07|鸡肉</x:v>
      </x:c>
      <x:c r="B575" s="34" t="n">
        <x:v>46215.5</x:v>
      </x:c>
      <x:c r="C575" s="19" t="str">
        <x:v>S07</x:v>
      </x:c>
      <x:c r="D575" s="19" t="str">
        <x:v>小和山店</x:v>
      </x:c>
      <x:c r="E575" s="19" t="str">
        <x:v>鸡肉</x:v>
      </x:c>
      <x:c r="F575" s="32" t="n">
        <x:v>3.461905248825566</x:v>
      </x:c>
      <x:c r="G575" s="32" t="n">
        <x:v>3.390624140242112</x:v>
      </x:c>
      <x:c r="H575" s="24" t="n">
        <x:f>G575</x:f>
        <x:v>3.390624140242112</x:v>
      </x:c>
      <x:c r="I575" s="24" t="n">
        <x:f>XLOOKUP(A575,'库存与收货'!$A$5:$A$676,'库存与收货'!$H$5:$H$676,0)+XLOOKUP(A575,'库存与收货'!$A$5:$A$676,'库存与收货'!$J$5:$J$676,0)</x:f>
        <x:v>3.2717738489225794</x:v>
      </x:c>
      <x:c r="J575" s="21" t="n">
        <x:f>MAX(0,1-ABS(F575-I575)/MAX(I575,0.01))</x:f>
        <x:v>0.9418873648722395</x:v>
      </x:c>
      <x:c r="K575" s="21" t="n">
        <x:f>MAX(0,1-ABS(H575-I575)/MAX(I575,0.01))</x:f>
        <x:v>0.9636740505892023</x:v>
      </x:c>
      <x:c r="L575" s="24" t="n">
        <x:f>MAX(I575-H575,0)</x:f>
        <x:v>0</x:v>
      </x:c>
      <x:c r="M575" s="24" t="n">
        <x:f>MAX(H575-I575,0)</x:f>
        <x:v>0.11885029131953262</x:v>
      </x:c>
      <x:c r="N575" s="19" t="str">
        <x:v>刘敏</x:v>
      </x:c>
      <x:c r="O575" s="19" t="str">
        <x:v>S-按销量/BOM/日型生成</x:v>
      </x:c>
    </x:row>
    <x:row r="576">
      <x:c r="A576" s="19" t="str">
        <x:v>2026-07-12|S07|鲈鱼</x:v>
      </x:c>
      <x:c r="B576" s="34" t="n">
        <x:v>46215.5</x:v>
      </x:c>
      <x:c r="C576" s="19" t="str">
        <x:v>S07</x:v>
      </x:c>
      <x:c r="D576" s="19" t="str">
        <x:v>小和山店</x:v>
      </x:c>
      <x:c r="E576" s="19" t="str">
        <x:v>鲈鱼</x:v>
      </x:c>
      <x:c r="F576" s="32" t="n">
        <x:v>2.2267933278155163</x:v>
      </x:c>
      <x:c r="G576" s="32" t="n">
        <x:v>2.1603122490019078</x:v>
      </x:c>
      <x:c r="H576" s="24" t="n">
        <x:f>G576</x:f>
        <x:v>2.1603122490019078</x:v>
      </x:c>
      <x:c r="I576" s="24" t="n">
        <x:f>XLOOKUP(A576,'库存与收货'!$A$5:$A$676,'库存与收货'!$H$5:$H$676,0)+XLOOKUP(A576,'库存与收货'!$A$5:$A$676,'库存与收货'!$J$5:$J$676,0)</x:f>
        <x:v>2.037667653008287</x:v>
      </x:c>
      <x:c r="J576" s="21" t="n">
        <x:f>MAX(0,1-ABS(F576-I576)/MAX(I576,0.01))</x:f>
        <x:v>0.9071852200588177</x:v>
      </x:c>
      <x:c r="K576" s="21" t="n">
        <x:f>MAX(0,1-ABS(H576-I576)/MAX(I576,0.01))</x:f>
        <x:v>0.939811285803867</x:v>
      </x:c>
      <x:c r="L576" s="24" t="n">
        <x:f>MAX(I576-H576,0)</x:f>
        <x:v>0</x:v>
      </x:c>
      <x:c r="M576" s="24" t="n">
        <x:f>MAX(H576-I576,0)</x:f>
        <x:v>0.12264459599362088</x:v>
      </x:c>
      <x:c r="N576" s="19" t="str">
        <x:v>刘敏</x:v>
      </x:c>
      <x:c r="O576" s="19" t="str">
        <x:v>S-按销量/BOM/日型生成</x:v>
      </x:c>
    </x:row>
    <x:row r="577">
      <x:c r="A577" s="19" t="str">
        <x:v>2026-07-12|S07|酸包菜</x:v>
      </x:c>
      <x:c r="B577" s="34" t="n">
        <x:v>46215.5</x:v>
      </x:c>
      <x:c r="C577" s="19" t="str">
        <x:v>S07</x:v>
      </x:c>
      <x:c r="D577" s="19" t="str">
        <x:v>小和山店</x:v>
      </x:c>
      <x:c r="E577" s="19" t="str">
        <x:v>酸包菜</x:v>
      </x:c>
      <x:c r="F577" s="32" t="n">
        <x:v>5.460302081988251</x:v>
      </x:c>
      <x:c r="G577" s="32" t="n">
        <x:v>5.423744575554843</x:v>
      </x:c>
      <x:c r="H577" s="24" t="n">
        <x:f>G577</x:f>
        <x:v>5.423744575554843</x:v>
      </x:c>
      <x:c r="I577" s="24" t="n">
        <x:f>XLOOKUP(A577,'库存与收货'!$A$5:$A$676,'库存与收货'!$H$5:$H$676,0)+XLOOKUP(A577,'库存与收货'!$A$5:$A$676,'库存与收货'!$J$5:$J$676,0)</x:f>
        <x:v>5.334649675668834</x:v>
      </x:c>
      <x:c r="J577" s="21" t="n">
        <x:f>MAX(0,1-ABS(F577-I577)/MAX(I577,0.01))</x:f>
        <x:v>0.9764459872796308</x:v>
      </x:c>
      <x:c r="K577" s="21" t="n">
        <x:f>MAX(0,1-ABS(H577-I577)/MAX(I577,0.01))</x:f>
        <x:v>0.9832988283574894</x:v>
      </x:c>
      <x:c r="L577" s="24" t="n">
        <x:f>MAX(I577-H577,0)</x:f>
        <x:v>0</x:v>
      </x:c>
      <x:c r="M577" s="24" t="n">
        <x:f>MAX(H577-I577,0)</x:f>
        <x:v>0.0890948998860086</x:v>
      </x:c>
      <x:c r="N577" s="19" t="str">
        <x:v>刘敏</x:v>
      </x:c>
      <x:c r="O577" s="19" t="str">
        <x:v>S-按销量/BOM/日型生成</x:v>
      </x:c>
    </x:row>
    <x:row r="578">
      <x:c r="A578" s="19" t="str">
        <x:v>2026-07-12|S07|粉皮</x:v>
      </x:c>
      <x:c r="B578" s="34" t="n">
        <x:v>46215.5</x:v>
      </x:c>
      <x:c r="C578" s="19" t="str">
        <x:v>S07</x:v>
      </x:c>
      <x:c r="D578" s="19" t="str">
        <x:v>小和山店</x:v>
      </x:c>
      <x:c r="E578" s="19" t="str">
        <x:v>粉皮</x:v>
      </x:c>
      <x:c r="F578" s="32" t="n">
        <x:v>3.932506413656325</x:v>
      </x:c>
      <x:c r="G578" s="32" t="n">
        <x:v>3.9560500492914055</x:v>
      </x:c>
      <x:c r="H578" s="24" t="n">
        <x:f>G578</x:f>
        <x:v>3.9560500492914055</x:v>
      </x:c>
      <x:c r="I578" s="24" t="n">
        <x:f>XLOOKUP(A578,'库存与收货'!$A$5:$A$676,'库存与收货'!$H$5:$H$676,0)+XLOOKUP(A578,'库存与收货'!$A$5:$A$676,'库存与收货'!$J$5:$J$676,0)</x:f>
        <x:v>3.9900810262863713</x:v>
      </x:c>
      <x:c r="J578" s="21" t="n">
        <x:f>MAX(0,1-ABS(F578-I578)/MAX(I578,0.01))</x:f>
        <x:v>0.9855705655472284</x:v>
      </x:c>
      <x:c r="K578" s="21" t="n">
        <x:f>MAX(0,1-ABS(H578-I578)/MAX(I578,0.01))</x:f>
        <x:v>0.9914711062831125</x:v>
      </x:c>
      <x:c r="L578" s="24" t="n">
        <x:f>MAX(I578-H578,0)</x:f>
        <x:v>0.03403097699496582</x:v>
      </x:c>
      <x:c r="M578" s="24" t="n">
        <x:f>MAX(H578-I578,0)</x:f>
        <x:v>0</x:v>
      </x:c>
      <x:c r="N578" s="19" t="str">
        <x:v>刘敏</x:v>
      </x:c>
      <x:c r="O578" s="19" t="str">
        <x:v>S-按销量/BOM/日型生成</x:v>
      </x:c>
    </x:row>
    <x:row r="579">
      <x:c r="A579" s="19" t="str">
        <x:v>2026-07-12|S07|鸡杂</x:v>
      </x:c>
      <x:c r="B579" s="34" t="n">
        <x:v>46215.5</x:v>
      </x:c>
      <x:c r="C579" s="19" t="str">
        <x:v>S07</x:v>
      </x:c>
      <x:c r="D579" s="19" t="str">
        <x:v>小和山店</x:v>
      </x:c>
      <x:c r="E579" s="19" t="str">
        <x:v>鸡杂</x:v>
      </x:c>
      <x:c r="F579" s="32" t="n">
        <x:v>1.9118279063972325</x:v>
      </x:c>
      <x:c r="G579" s="32" t="n">
        <x:v>2.0841794445194513</x:v>
      </x:c>
      <x:c r="H579" s="24" t="n">
        <x:f>G579</x:f>
        <x:v>2.0841794445194513</x:v>
      </x:c>
      <x:c r="I579" s="24" t="n">
        <x:f>XLOOKUP(A579,'库存与收货'!$A$5:$A$676,'库存与收货'!$H$5:$H$676,0)+XLOOKUP(A579,'库存与收货'!$A$5:$A$676,'库存与收货'!$J$5:$J$676,0)</x:f>
        <x:v>2.3202322194574476</x:v>
      </x:c>
      <x:c r="J579" s="21" t="n">
        <x:f>MAX(0,1-ABS(F579-I579)/MAX(I579,0.01))</x:f>
        <x:v>0.8239812766862988</x:v>
      </x:c>
      <x:c r="K579" s="21" t="n">
        <x:f>MAX(0,1-ABS(H579-I579)/MAX(I579,0.01))</x:f>
        <x:v>0.8982632975447631</x:v>
      </x:c>
      <x:c r="L579" s="24" t="n">
        <x:f>MAX(I579-H579,0)</x:f>
        <x:v>0.23605277493799637</x:v>
      </x:c>
      <x:c r="M579" s="24" t="n">
        <x:f>MAX(H579-I579,0)</x:f>
        <x:v>0</x:v>
      </x:c>
      <x:c r="N579" s="19" t="str">
        <x:v>刘敏</x:v>
      </x:c>
      <x:c r="O579" s="19" t="str">
        <x:v>S-按销量/BOM/日型生成</x:v>
      </x:c>
    </x:row>
    <x:row r="580">
      <x:c r="A580" s="19" t="str">
        <x:v>2026-07-12|S07|豆腐</x:v>
      </x:c>
      <x:c r="B580" s="34" t="n">
        <x:v>46215.5</x:v>
      </x:c>
      <x:c r="C580" s="19" t="str">
        <x:v>S07</x:v>
      </x:c>
      <x:c r="D580" s="19" t="str">
        <x:v>小和山店</x:v>
      </x:c>
      <x:c r="E580" s="19" t="str">
        <x:v>豆腐</x:v>
      </x:c>
      <x:c r="F580" s="32" t="n">
        <x:v>15.715604821484803</x:v>
      </x:c>
      <x:c r="G580" s="32" t="n">
        <x:v>15.467962691668106</x:v>
      </x:c>
      <x:c r="H580" s="24" t="n">
        <x:f>G580</x:f>
        <x:v>15.467962691668106</x:v>
      </x:c>
      <x:c r="I580" s="24" t="n">
        <x:f>XLOOKUP(A580,'库存与收货'!$A$5:$A$676,'库存与收货'!$H$5:$H$676,0)+XLOOKUP(A580,'库存与收货'!$A$5:$A$676,'库存与收货'!$J$5:$J$676,0)</x:f>
        <x:v>14.830401824449748</x:v>
      </x:c>
      <x:c r="J580" s="21" t="n">
        <x:f>MAX(0,1-ABS(F580-I580)/MAX(I580,0.01))</x:f>
        <x:v>0.9403115972504744</x:v>
      </x:c>
      <x:c r="K580" s="21" t="n">
        <x:f>MAX(0,1-ABS(H580-I580)/MAX(I580,0.01))</x:f>
        <x:v>0.9570098723712759</x:v>
      </x:c>
      <x:c r="L580" s="24" t="n">
        <x:f>MAX(I580-H580,0)</x:f>
        <x:v>0</x:v>
      </x:c>
      <x:c r="M580" s="24" t="n">
        <x:f>MAX(H580-I580,0)</x:f>
        <x:v>0.6375608672183581</x:v>
      </x:c>
      <x:c r="N580" s="19" t="str">
        <x:v>刘敏</x:v>
      </x:c>
      <x:c r="O580" s="19" t="str">
        <x:v>S-按销量/BOM/日型生成</x:v>
      </x:c>
    </x:row>
    <x:row r="581">
      <x:c r="A581" s="19" t="str">
        <x:v>2026-07-13|S07|瘦肉片</x:v>
      </x:c>
      <x:c r="B581" s="34" t="n">
        <x:v>46216.5</x:v>
      </x:c>
      <x:c r="C581" s="19" t="str">
        <x:v>S07</x:v>
      </x:c>
      <x:c r="D581" s="19" t="str">
        <x:v>小和山店</x:v>
      </x:c>
      <x:c r="E581" s="19" t="str">
        <x:v>瘦肉片</x:v>
      </x:c>
      <x:c r="F581" s="32" t="n">
        <x:v>10.022719514351564</x:v>
      </x:c>
      <x:c r="G581" s="32" t="n">
        <x:v>10.718765360269714</x:v>
      </x:c>
      <x:c r="H581" s="24" t="n">
        <x:f>G581</x:f>
        <x:v>10.718765360269714</x:v>
      </x:c>
      <x:c r="I581" s="24" t="n">
        <x:f>XLOOKUP(A581,'库存与收货'!$A$5:$A$676,'库存与收货'!$H$5:$H$676,0)+XLOOKUP(A581,'库存与收货'!$A$5:$A$676,'库存与收货'!$J$5:$J$676,0)</x:f>
        <x:v>11.580308788409528</x:v>
      </x:c>
      <x:c r="J581" s="21" t="n">
        <x:f>MAX(0,1-ABS(F581-I581)/MAX(I581,0.01))</x:f>
        <x:v>0.8654967408453805</x:v>
      </x:c>
      <x:c r="K581" s="21" t="n">
        <x:f>MAX(0,1-ABS(H581-I581)/MAX(I581,0.01))</x:f>
        <x:v>0.9256027240826157</x:v>
      </x:c>
      <x:c r="L581" s="24" t="n">
        <x:f>MAX(I581-H581,0)</x:f>
        <x:v>0.8615434281398144</x:v>
      </x:c>
      <x:c r="M581" s="24" t="n">
        <x:f>MAX(H581-I581,0)</x:f>
        <x:v>0</x:v>
      </x:c>
      <x:c r="N581" s="19" t="str">
        <x:v>刘敏</x:v>
      </x:c>
      <x:c r="O581" s="19" t="str">
        <x:v>S-按销量/BOM/日型生成</x:v>
      </x:c>
    </x:row>
    <x:row r="582">
      <x:c r="A582" s="19" t="str">
        <x:v>2026-07-13|S07|肥肉片</x:v>
      </x:c>
      <x:c r="B582" s="34" t="n">
        <x:v>46216.5</x:v>
      </x:c>
      <x:c r="C582" s="19" t="str">
        <x:v>S07</x:v>
      </x:c>
      <x:c r="D582" s="19" t="str">
        <x:v>小和山店</x:v>
      </x:c>
      <x:c r="E582" s="19" t="str">
        <x:v>肥肉片</x:v>
      </x:c>
      <x:c r="F582" s="32" t="n">
        <x:v>3.2435641812868052</x:v>
      </x:c>
      <x:c r="G582" s="32" t="n">
        <x:v>3.2676563824539158</x:v>
      </x:c>
      <x:c r="H582" s="24" t="n">
        <x:f>G582</x:f>
        <x:v>3.2676563824539158</x:v>
      </x:c>
      <x:c r="I582" s="24" t="n">
        <x:f>XLOOKUP(A582,'库存与收货'!$A$5:$A$676,'库存与收货'!$H$5:$H$676,0)+XLOOKUP(A582,'库存与收货'!$A$5:$A$676,'库存与收货'!$J$5:$J$676,0)</x:f>
        <x:v>3.313795519292772</x:v>
      </x:c>
      <x:c r="J582" s="21" t="n">
        <x:f>MAX(0,1-ABS(F582-I582)/MAX(I582,0.01))</x:f>
        <x:v>0.9788063754697346</x:v>
      </x:c>
      <x:c r="K582" s="21" t="n">
        <x:f>MAX(0,1-ABS(H582-I582)/MAX(I582,0.01))</x:f>
        <x:v>0.9860766493978773</x:v>
      </x:c>
      <x:c r="L582" s="24" t="n">
        <x:f>MAX(I582-H582,0)</x:f>
        <x:v>0.0461391368388564</x:v>
      </x:c>
      <x:c r="M582" s="24" t="n">
        <x:f>MAX(H582-I582,0)</x:f>
        <x:v>0</x:v>
      </x:c>
      <x:c r="N582" s="19" t="str">
        <x:v>刘敏</x:v>
      </x:c>
      <x:c r="O582" s="19" t="str">
        <x:v>S-按销量/BOM/日型生成</x:v>
      </x:c>
    </x:row>
    <x:row r="583">
      <x:c r="A583" s="19" t="str">
        <x:v>2026-07-13|S07|牛肉片</x:v>
      </x:c>
      <x:c r="B583" s="34" t="n">
        <x:v>46216.5</x:v>
      </x:c>
      <x:c r="C583" s="19" t="str">
        <x:v>S07</x:v>
      </x:c>
      <x:c r="D583" s="19" t="str">
        <x:v>小和山店</x:v>
      </x:c>
      <x:c r="E583" s="19" t="str">
        <x:v>牛肉片</x:v>
      </x:c>
      <x:c r="F583" s="32" t="n">
        <x:v>9.384059963692225</x:v>
      </x:c>
      <x:c r="G583" s="32" t="n">
        <x:v>9.173730250563443</x:v>
      </x:c>
      <x:c r="H583" s="24" t="n">
        <x:f>G583</x:f>
        <x:v>9.173730250563443</x:v>
      </x:c>
      <x:c r="I583" s="24" t="n">
        <x:f>XLOOKUP(A583,'库存与收货'!$A$5:$A$676,'库存与收货'!$H$5:$H$676,0)+XLOOKUP(A583,'库存与收货'!$A$5:$A$676,'库存与收货'!$J$5:$J$676,0)</x:f>
        <x:v>8.652342730793134</x:v>
      </x:c>
      <x:c r="J583" s="21" t="n">
        <x:f>MAX(0,1-ABS(F583-I583)/MAX(I583,0.01))</x:f>
        <x:v>0.9154313166196067</x:v>
      </x:c>
      <x:c r="K583" s="21" t="n">
        <x:f>MAX(0,1-ABS(H583-I583)/MAX(I583,0.01))</x:f>
        <x:v>0.9397403066438036</x:v>
      </x:c>
      <x:c r="L583" s="24" t="n">
        <x:f>MAX(I583-H583,0)</x:f>
        <x:v>0</x:v>
      </x:c>
      <x:c r="M583" s="24" t="n">
        <x:f>MAX(H583-I583,0)</x:f>
        <x:v>0.5213875197703093</x:v>
      </x:c>
      <x:c r="N583" s="19" t="str">
        <x:v>刘敏</x:v>
      </x:c>
      <x:c r="O583" s="19" t="str">
        <x:v>S-按销量/BOM/日型生成</x:v>
      </x:c>
    </x:row>
    <x:row r="584">
      <x:c r="A584" s="19" t="str">
        <x:v>2026-07-13|S07|螺丝椒</x:v>
      </x:c>
      <x:c r="B584" s="34" t="n">
        <x:v>46216.5</x:v>
      </x:c>
      <x:c r="C584" s="19" t="str">
        <x:v>S07</x:v>
      </x:c>
      <x:c r="D584" s="19" t="str">
        <x:v>小和山店</x:v>
      </x:c>
      <x:c r="E584" s="19" t="str">
        <x:v>螺丝椒</x:v>
      </x:c>
      <x:c r="F584" s="32" t="n">
        <x:v>12.110713633406592</x:v>
      </x:c>
      <x:c r="G584" s="32" t="n">
        <x:v>12.049522177860979</x:v>
      </x:c>
      <x:c r="H584" s="24" t="n">
        <x:f>G584</x:f>
        <x:v>12.049522177860979</x:v>
      </x:c>
      <x:c r="I584" s="24" t="n">
        <x:f>XLOOKUP(A584,'库存与收货'!$A$5:$A$676,'库存与收货'!$H$5:$H$676,0)+XLOOKUP(A584,'库存与收货'!$A$5:$A$676,'库存与收货'!$J$5:$J$676,0)</x:f>
        <x:v>11.927638956739134</x:v>
      </x:c>
      <x:c r="J584" s="21" t="n">
        <x:f>MAX(0,1-ABS(F584-I584)/MAX(I584,0.01))</x:f>
        <x:v>0.984651222481544</x:v>
      </x:c>
      <x:c r="K584" s="21" t="n">
        <x:f>MAX(0,1-ABS(H584-I584)/MAX(I584,0.01))</x:f>
        <x:v>0.9897814461383424</x:v>
      </x:c>
      <x:c r="L584" s="24" t="n">
        <x:f>MAX(I584-H584,0)</x:f>
        <x:v>0</x:v>
      </x:c>
      <x:c r="M584" s="24" t="n">
        <x:f>MAX(H584-I584,0)</x:f>
        <x:v>0.1218832211218448</x:v>
      </x:c>
      <x:c r="N584" s="19" t="str">
        <x:v>刘敏</x:v>
      </x:c>
      <x:c r="O584" s="19" t="str">
        <x:v>S-按销量/BOM/日型生成</x:v>
      </x:c>
    </x:row>
    <x:row r="585">
      <x:c r="A585" s="19" t="str">
        <x:v>2026-07-13|S07|青湖南椒圈</x:v>
      </x:c>
      <x:c r="B585" s="34" t="n">
        <x:v>46216.5</x:v>
      </x:c>
      <x:c r="C585" s="19" t="str">
        <x:v>S07</x:v>
      </x:c>
      <x:c r="D585" s="19" t="str">
        <x:v>小和山店</x:v>
      </x:c>
      <x:c r="E585" s="19" t="str">
        <x:v>青湖南椒圈</x:v>
      </x:c>
      <x:c r="F585" s="32" t="n">
        <x:v>1.6772446452972147</x:v>
      </x:c>
      <x:c r="G585" s="32" t="n">
        <x:v>1.7422098244015556</x:v>
      </x:c>
      <x:c r="H585" s="24" t="n">
        <x:f>G585</x:f>
        <x:v>1.7422098244015556</x:v>
      </x:c>
      <x:c r="I585" s="24" t="n">
        <x:f>XLOOKUP(A585,'库存与收货'!$A$5:$A$676,'库存与收货'!$H$5:$H$676,0)+XLOOKUP(A585,'库存与收货'!$A$5:$A$676,'库存与收货'!$J$5:$J$676,0)</x:f>
        <x:v>1.8516003118214663</x:v>
      </x:c>
      <x:c r="J585" s="21" t="n">
        <x:f>MAX(0,1-ABS(F585-I585)/MAX(I585,0.01))</x:f>
        <x:v>0.9058351495130537</x:v>
      </x:c>
      <x:c r="K585" s="21" t="n">
        <x:f>MAX(0,1-ABS(H585-I585)/MAX(I585,0.01))</x:f>
        <x:v>0.9409211120123973</x:v>
      </x:c>
      <x:c r="L585" s="24" t="n">
        <x:f>MAX(I585-H585,0)</x:f>
        <x:v>0.10939048741991075</x:v>
      </x:c>
      <x:c r="M585" s="24" t="n">
        <x:f>MAX(H585-I585,0)</x:f>
        <x:v>0</x:v>
      </x:c>
      <x:c r="N585" s="19" t="str">
        <x:v>刘敏</x:v>
      </x:c>
      <x:c r="O585" s="19" t="str">
        <x:v>S-按销量/BOM/日型生成</x:v>
      </x:c>
    </x:row>
    <x:row r="586">
      <x:c r="A586" s="19" t="str">
        <x:v>2026-07-13|S07|鸡蛋</x:v>
      </x:c>
      <x:c r="B586" s="34" t="n">
        <x:v>46216.5</x:v>
      </x:c>
      <x:c r="C586" s="19" t="str">
        <x:v>S07</x:v>
      </x:c>
      <x:c r="D586" s="19" t="str">
        <x:v>小和山店</x:v>
      </x:c>
      <x:c r="E586" s="19" t="str">
        <x:v>鸡蛋</x:v>
      </x:c>
      <x:c r="F586" s="32" t="n">
        <x:v>19.52572385254313</x:v>
      </x:c>
      <x:c r="G586" s="32" t="n">
        <x:v>18.910958947070025</x:v>
      </x:c>
      <x:c r="H586" s="24" t="n">
        <x:f>G586</x:f>
        <x:v>18.910958947070025</x:v>
      </x:c>
      <x:c r="I586" s="24" t="n">
        <x:f>XLOOKUP(A586,'库存与收货'!$A$5:$A$676,'库存与收货'!$H$5:$H$676,0)+XLOOKUP(A586,'库存与收货'!$A$5:$A$676,'库存与收货'!$J$5:$J$676,0)</x:f>
        <x:v>17.203849249690272</x:v>
      </x:c>
      <x:c r="J586" s="21" t="n">
        <x:f>MAX(0,1-ABS(F586-I586)/MAX(I586,0.01))</x:f>
        <x:v>0.8650374942750292</x:v>
      </x:c>
      <x:c r="K586" s="21" t="n">
        <x:f>MAX(0,1-ABS(H586-I586)/MAX(I586,0.01))</x:f>
        <x:v>0.9007716428687907</x:v>
      </x:c>
      <x:c r="L586" s="24" t="n">
        <x:f>MAX(I586-H586,0)</x:f>
        <x:v>0</x:v>
      </x:c>
      <x:c r="M586" s="24" t="n">
        <x:f>MAX(H586-I586,0)</x:f>
        <x:v>1.707109697379753</x:v>
      </x:c>
      <x:c r="N586" s="19" t="str">
        <x:v>刘敏</x:v>
      </x:c>
      <x:c r="O586" s="19" t="str">
        <x:v>S-按销量/BOM/日型生成</x:v>
      </x:c>
    </x:row>
    <x:row r="587">
      <x:c r="A587" s="19" t="str">
        <x:v>2026-07-13|S07|鸡肉</x:v>
      </x:c>
      <x:c r="B587" s="34" t="n">
        <x:v>46216.5</x:v>
      </x:c>
      <x:c r="C587" s="19" t="str">
        <x:v>S07</x:v>
      </x:c>
      <x:c r="D587" s="19" t="str">
        <x:v>小和山店</x:v>
      </x:c>
      <x:c r="E587" s="19" t="str">
        <x:v>鸡肉</x:v>
      </x:c>
      <x:c r="F587" s="32" t="n">
        <x:v>6.220320012908843</x:v>
      </x:c>
      <x:c r="G587" s="32" t="n">
        <x:v>6.129805814166012</x:v>
      </x:c>
      <x:c r="H587" s="24" t="n">
        <x:f>G587</x:f>
        <x:v>6.129805814166012</x:v>
      </x:c>
      <x:c r="I587" s="24" t="n">
        <x:f>XLOOKUP(A587,'库存与收货'!$A$5:$A$676,'库存与收货'!$H$5:$H$676,0)+XLOOKUP(A587,'库存与收货'!$A$5:$A$676,'库存与收货'!$J$5:$J$676,0)</x:f>
        <x:v>5.955972251283463</x:v>
      </x:c>
      <x:c r="J587" s="21" t="n">
        <x:f>MAX(0,1-ABS(F587-I587)/MAX(I587,0.01))</x:f>
        <x:v>0.9556163543964774</x:v>
      </x:c>
      <x:c r="K587" s="21" t="n">
        <x:f>MAX(0,1-ABS(H587-I587)/MAX(I587,0.01))</x:f>
        <x:v>0.9708135707238916</x:v>
      </x:c>
      <x:c r="L587" s="24" t="n">
        <x:f>MAX(I587-H587,0)</x:f>
        <x:v>0</x:v>
      </x:c>
      <x:c r="M587" s="24" t="n">
        <x:f>MAX(H587-I587,0)</x:f>
        <x:v>0.1738335628825487</x:v>
      </x:c>
      <x:c r="N587" s="19" t="str">
        <x:v>刘敏</x:v>
      </x:c>
      <x:c r="O587" s="19" t="str">
        <x:v>S-按销量/BOM/日型生成</x:v>
      </x:c>
    </x:row>
    <x:row r="588">
      <x:c r="A588" s="19" t="str">
        <x:v>2026-07-13|S07|鲈鱼</x:v>
      </x:c>
      <x:c r="B588" s="34" t="n">
        <x:v>46216.5</x:v>
      </x:c>
      <x:c r="C588" s="19" t="str">
        <x:v>S07</x:v>
      </x:c>
      <x:c r="D588" s="19" t="str">
        <x:v>小和山店</x:v>
      </x:c>
      <x:c r="E588" s="19" t="str">
        <x:v>鲈鱼</x:v>
      </x:c>
      <x:c r="F588" s="32" t="n">
        <x:v>3.2083125071817262</x:v>
      </x:c>
      <x:c r="G588" s="32" t="n">
        <x:v>3.3447369256822355</x:v>
      </x:c>
      <x:c r="H588" s="24" t="n">
        <x:f>G588</x:f>
        <x:v>3.3447369256822355</x:v>
      </x:c>
      <x:c r="I588" s="24" t="n">
        <x:f>XLOOKUP(A588,'库存与收货'!$A$5:$A$676,'库存与收货'!$H$5:$H$676,0)+XLOOKUP(A588,'库存与收货'!$A$5:$A$676,'库存与收货'!$J$5:$J$676,0)</x:f>
        <x:v>3.6325849267788195</x:v>
      </x:c>
      <x:c r="J588" s="21" t="n">
        <x:f>MAX(0,1-ABS(F588-I588)/MAX(I588,0.01))</x:f>
        <x:v>0.8832037163207317</x:v>
      </x:c>
      <x:c r="K588" s="21" t="n">
        <x:f>MAX(0,1-ABS(H588-I588)/MAX(I588,0.01))</x:f>
        <x:v>0.9207594572739055</x:v>
      </x:c>
      <x:c r="L588" s="24" t="n">
        <x:f>MAX(I588-H588,0)</x:f>
        <x:v>0.28784800109658404</x:v>
      </x:c>
      <x:c r="M588" s="24" t="n">
        <x:f>MAX(H588-I588,0)</x:f>
        <x:v>0</x:v>
      </x:c>
      <x:c r="N588" s="19" t="str">
        <x:v>刘敏</x:v>
      </x:c>
      <x:c r="O588" s="19" t="str">
        <x:v>S-按销量/BOM/日型生成</x:v>
      </x:c>
    </x:row>
    <x:row r="589">
      <x:c r="A589" s="19" t="str">
        <x:v>2026-07-13|S07|酸包菜</x:v>
      </x:c>
      <x:c r="B589" s="34" t="n">
        <x:v>46216.5</x:v>
      </x:c>
      <x:c r="C589" s="19" t="str">
        <x:v>S07</x:v>
      </x:c>
      <x:c r="D589" s="19" t="str">
        <x:v>小和山店</x:v>
      </x:c>
      <x:c r="E589" s="19" t="str">
        <x:v>酸包菜</x:v>
      </x:c>
      <x:c r="F589" s="32" t="n">
        <x:v>5.883624100911512</x:v>
      </x:c>
      <x:c r="G589" s="32" t="n">
        <x:v>6.399116167789513</x:v>
      </x:c>
      <x:c r="H589" s="24" t="n">
        <x:f>G589</x:f>
        <x:v>6.399116167789513</x:v>
      </x:c>
      <x:c r="I589" s="24" t="n">
        <x:f>XLOOKUP(A589,'库存与收货'!$A$5:$A$676,'库存与收货'!$H$5:$H$676,0)+XLOOKUP(A589,'库存与收货'!$A$5:$A$676,'库存与收货'!$J$5:$J$676,0)</x:f>
        <x:v>7.062505122174627</x:v>
      </x:c>
      <x:c r="J589" s="21" t="n">
        <x:f>MAX(0,1-ABS(F589-I589)/MAX(I589,0.01))</x:f>
        <x:v>0.8330789145112686</x:v>
      </x:c>
      <x:c r="K589" s="21" t="n">
        <x:f>MAX(0,1-ABS(H589-I589)/MAX(I589,0.01))</x:f>
        <x:v>0.906068888742859</x:v>
      </x:c>
      <x:c r="L589" s="24" t="n">
        <x:f>MAX(I589-H589,0)</x:f>
        <x:v>0.6633889543851135</x:v>
      </x:c>
      <x:c r="M589" s="24" t="n">
        <x:f>MAX(H589-I589,0)</x:f>
        <x:v>0</x:v>
      </x:c>
      <x:c r="N589" s="19" t="str">
        <x:v>刘敏</x:v>
      </x:c>
      <x:c r="O589" s="19" t="str">
        <x:v>S-按销量/BOM/日型生成</x:v>
      </x:c>
    </x:row>
    <x:row r="590">
      <x:c r="A590" s="19" t="str">
        <x:v>2026-07-13|S07|粉皮</x:v>
      </x:c>
      <x:c r="B590" s="34" t="n">
        <x:v>46216.5</x:v>
      </x:c>
      <x:c r="C590" s="19" t="str">
        <x:v>S07</x:v>
      </x:c>
      <x:c r="D590" s="19" t="str">
        <x:v>小和山店</x:v>
      </x:c>
      <x:c r="E590" s="19" t="str">
        <x:v>粉皮</x:v>
      </x:c>
      <x:c r="F590" s="32" t="n">
        <x:v>5.794893712968223</x:v>
      </x:c>
      <x:c r="G590" s="32" t="n">
        <x:v>5.6398218299978655</x:v>
      </x:c>
      <x:c r="H590" s="24" t="n">
        <x:f>G590</x:f>
        <x:v>5.6398218299978655</x:v>
      </x:c>
      <x:c r="I590" s="24" t="n">
        <x:f>XLOOKUP(A590,'库存与收货'!$A$5:$A$676,'库存与收货'!$H$5:$H$676,0)+XLOOKUP(A590,'库存与收货'!$A$5:$A$676,'库存与收货'!$J$5:$J$676,0)</x:f>
        <x:v>5.2106736477134215</x:v>
      </x:c>
      <x:c r="J590" s="21" t="n">
        <x:f>MAX(0,1-ABS(F590-I590)/MAX(I590,0.01))</x:f>
        <x:v>0.88788012745508</x:v>
      </x:c>
      <x:c r="K590" s="21" t="n">
        <x:f>MAX(0,1-ABS(H590-I590)/MAX(I590,0.01))</x:f>
        <x:v>0.9176405564234933</x:v>
      </x:c>
      <x:c r="L590" s="24" t="n">
        <x:f>MAX(I590-H590,0)</x:f>
        <x:v>0</x:v>
      </x:c>
      <x:c r="M590" s="24" t="n">
        <x:f>MAX(H590-I590,0)</x:f>
        <x:v>0.42914818228444407</x:v>
      </x:c>
      <x:c r="N590" s="19" t="str">
        <x:v>刘敏</x:v>
      </x:c>
      <x:c r="O590" s="19" t="str">
        <x:v>S-按销量/BOM/日型生成</x:v>
      </x:c>
    </x:row>
    <x:row r="591">
      <x:c r="A591" s="19" t="str">
        <x:v>2026-07-13|S07|鸡杂</x:v>
      </x:c>
      <x:c r="B591" s="34" t="n">
        <x:v>46216.5</x:v>
      </x:c>
      <x:c r="C591" s="19" t="str">
        <x:v>S07</x:v>
      </x:c>
      <x:c r="D591" s="19" t="str">
        <x:v>小和山店</x:v>
      </x:c>
      <x:c r="E591" s="19" t="str">
        <x:v>鸡杂</x:v>
      </x:c>
      <x:c r="F591" s="32" t="n">
        <x:v>3.7821301266450336</x:v>
      </x:c>
      <x:c r="G591" s="32" t="n">
        <x:v>3.7085727563201045</x:v>
      </x:c>
      <x:c r="H591" s="24" t="n">
        <x:f>G591</x:f>
        <x:v>3.7085727563201045</x:v>
      </x:c>
      <x:c r="I591" s="24" t="n">
        <x:f>XLOOKUP(A591,'库存与收货'!$A$5:$A$676,'库存与收货'!$H$5:$H$676,0)+XLOOKUP(A591,'库存与收货'!$A$5:$A$676,'库存与收货'!$J$5:$J$676,0)</x:f>
        <x:v>3.5803307251347767</x:v>
      </x:c>
      <x:c r="J591" s="21" t="n">
        <x:f>MAX(0,1-ABS(F591-I591)/MAX(I591,0.01))</x:f>
        <x:v>0.9436366590120916</x:v>
      </x:c>
      <x:c r="K591" s="21" t="n">
        <x:f>MAX(0,1-ABS(H591-I591)/MAX(I591,0.01))</x:f>
        <x:v>0.9641815125387613</x:v>
      </x:c>
      <x:c r="L591" s="24" t="n">
        <x:f>MAX(I591-H591,0)</x:f>
        <x:v>0</x:v>
      </x:c>
      <x:c r="M591" s="24" t="n">
        <x:f>MAX(H591-I591,0)</x:f>
        <x:v>0.12824203118532784</x:v>
      </x:c>
      <x:c r="N591" s="19" t="str">
        <x:v>刘敏</x:v>
      </x:c>
      <x:c r="O591" s="19" t="str">
        <x:v>S-按销量/BOM/日型生成</x:v>
      </x:c>
    </x:row>
    <x:row r="592">
      <x:c r="A592" s="19" t="str">
        <x:v>2026-07-13|S07|豆腐</x:v>
      </x:c>
      <x:c r="B592" s="34" t="n">
        <x:v>46216.5</x:v>
      </x:c>
      <x:c r="C592" s="19" t="str">
        <x:v>S07</x:v>
      </x:c>
      <x:c r="D592" s="19" t="str">
        <x:v>小和山店</x:v>
      </x:c>
      <x:c r="E592" s="19" t="str">
        <x:v>豆腐</x:v>
      </x:c>
      <x:c r="F592" s="32" t="n">
        <x:v>25.31403744192479</x:v>
      </x:c>
      <x:c r="G592" s="32" t="n">
        <x:v>24.51735354026632</x:v>
      </x:c>
      <x:c r="H592" s="24" t="n">
        <x:f>G592</x:f>
        <x:v>24.51735354026632</x:v>
      </x:c>
      <x:c r="I592" s="24" t="n">
        <x:f>XLOOKUP(A592,'库存与收货'!$A$5:$A$676,'库存与收货'!$H$5:$H$676,0)+XLOOKUP(A592,'库存与收货'!$A$5:$A$676,'库存与收货'!$J$5:$J$676,0)</x:f>
        <x:v>22.521277867611794</x:v>
      </x:c>
      <x:c r="J592" s="21" t="n">
        <x:f>MAX(0,1-ABS(F592-I592)/MAX(I592,0.01))</x:f>
        <x:v>0.8759946220312256</x:v>
      </x:c>
      <x:c r="K592" s="21" t="n">
        <x:f>MAX(0,1-ABS(H592-I592)/MAX(I592,0.01))</x:f>
        <x:v>0.911369342166631</x:v>
      </x:c>
      <x:c r="L592" s="24" t="n">
        <x:f>MAX(I592-H592,0)</x:f>
        <x:v>0</x:v>
      </x:c>
      <x:c r="M592" s="24" t="n">
        <x:f>MAX(H592-I592,0)</x:f>
        <x:v>1.996075672654527</x:v>
      </x:c>
      <x:c r="N592" s="19" t="str">
        <x:v>刘敏</x:v>
      </x:c>
      <x:c r="O592" s="19" t="str">
        <x:v>S-按销量/BOM/日型生成</x:v>
      </x:c>
    </x:row>
    <x:row r="593">
      <x:c r="A593" s="19" t="str">
        <x:v>2026-07-07|S08|瘦肉片</x:v>
      </x:c>
      <x:c r="B593" s="34" t="n">
        <x:v>46210.5</x:v>
      </x:c>
      <x:c r="C593" s="19" t="str">
        <x:v>S08</x:v>
      </x:c>
      <x:c r="D593" s="19" t="str">
        <x:v>四季青店</x:v>
      </x:c>
      <x:c r="E593" s="19" t="str">
        <x:v>瘦肉片</x:v>
      </x:c>
      <x:c r="F593" s="32" t="n">
        <x:v>11.087511630160906</x:v>
      </x:c>
      <x:c r="G593" s="32" t="n">
        <x:v>11.045956805023906</x:v>
      </x:c>
      <x:c r="H593" s="24" t="n">
        <x:f>G593</x:f>
        <x:v>11.045956805023906</x:v>
      </x:c>
      <x:c r="I593" s="24" t="n">
        <x:f>XLOOKUP(A593,'库存与收货'!$A$5:$A$676,'库存与收货'!$H$5:$H$676,0)+XLOOKUP(A593,'库存与收货'!$A$5:$A$676,'库存与收货'!$J$5:$J$676,0)</x:f>
        <x:v>10.971901237582067</x:v>
      </x:c>
      <x:c r="J593" s="21" t="n">
        <x:f>MAX(0,1-ABS(F593-I593)/MAX(I593,0.01))</x:f>
        <x:v>0.989463048374621</x:v>
      </x:c>
      <x:c r="K593" s="21" t="n">
        <x:f>MAX(0,1-ABS(H593-I593)/MAX(I593,0.01))</x:f>
        <x:v>0.9932504343742927</x:v>
      </x:c>
      <x:c r="L593" s="24" t="n">
        <x:f>MAX(I593-H593,0)</x:f>
        <x:v>0</x:v>
      </x:c>
      <x:c r="M593" s="24" t="n">
        <x:f>MAX(H593-I593,0)</x:f>
        <x:v>0.07405556744183883</x:v>
      </x:c>
      <x:c r="N593" s="19" t="str">
        <x:v>杨丽</x:v>
      </x:c>
      <x:c r="O593" s="19" t="str">
        <x:v>S-按销量/BOM/日型生成</x:v>
      </x:c>
    </x:row>
    <x:row r="594">
      <x:c r="A594" s="19" t="str">
        <x:v>2026-07-07|S08|肥肉片</x:v>
      </x:c>
      <x:c r="B594" s="34" t="n">
        <x:v>46210.5</x:v>
      </x:c>
      <x:c r="C594" s="19" t="str">
        <x:v>S08</x:v>
      </x:c>
      <x:c r="D594" s="19" t="str">
        <x:v>四季青店</x:v>
      </x:c>
      <x:c r="E594" s="19" t="str">
        <x:v>肥肉片</x:v>
      </x:c>
      <x:c r="F594" s="32" t="n">
        <x:v>2.7851566641089773</x:v>
      </x:c>
      <x:c r="G594" s="32" t="n">
        <x:v>2.9080305612932107</x:v>
      </x:c>
      <x:c r="H594" s="24" t="n">
        <x:f>G594</x:f>
        <x:v>2.9080305612932107</x:v>
      </x:c>
      <x:c r="I594" s="24" t="n">
        <x:f>XLOOKUP(A594,'库存与收货'!$A$5:$A$676,'库存与收货'!$H$5:$H$676,0)+XLOOKUP(A594,'库存与收货'!$A$5:$A$676,'库存与收货'!$J$5:$J$676,0)</x:f>
        <x:v>3.1526215407575644</x:v>
      </x:c>
      <x:c r="J594" s="21" t="n">
        <x:f>MAX(0,1-ABS(F594-I594)/MAX(I594,0.01))</x:f>
        <x:v>0.8834414876958918</x:v>
      </x:c>
      <x:c r="K594" s="21" t="n">
        <x:f>MAX(0,1-ABS(H594-I594)/MAX(I594,0.01))</x:f>
        <x:v>0.9224166376134132</x:v>
      </x:c>
      <x:c r="L594" s="24" t="n">
        <x:f>MAX(I594-H594,0)</x:f>
        <x:v>0.2445909794643537</x:v>
      </x:c>
      <x:c r="M594" s="24" t="n">
        <x:f>MAX(H594-I594,0)</x:f>
        <x:v>0</x:v>
      </x:c>
      <x:c r="N594" s="19" t="str">
        <x:v>杨丽</x:v>
      </x:c>
      <x:c r="O594" s="19" t="str">
        <x:v>S-按销量/BOM/日型生成</x:v>
      </x:c>
    </x:row>
    <x:row r="595">
      <x:c r="A595" s="19" t="str">
        <x:v>2026-07-07|S08|牛肉片</x:v>
      </x:c>
      <x:c r="B595" s="34" t="n">
        <x:v>46210.5</x:v>
      </x:c>
      <x:c r="C595" s="19" t="str">
        <x:v>S08</x:v>
      </x:c>
      <x:c r="D595" s="19" t="str">
        <x:v>四季青店</x:v>
      </x:c>
      <x:c r="E595" s="19" t="str">
        <x:v>牛肉片</x:v>
      </x:c>
      <x:c r="F595" s="32" t="n">
        <x:v>6.977247307203566</x:v>
      </x:c>
      <x:c r="G595" s="32" t="n">
        <x:v>7.159379478902529</x:v>
      </x:c>
      <x:c r="H595" s="24" t="n">
        <x:f>G595</x:f>
        <x:v>7.159379478902529</x:v>
      </x:c>
      <x:c r="I595" s="24" t="n">
        <x:f>XLOOKUP(A595,'库存与收货'!$A$5:$A$676,'库存与收货'!$H$5:$H$676,0)+XLOOKUP(A595,'库存与收货'!$A$5:$A$676,'库存与收货'!$J$5:$J$676,0)</x:f>
        <x:v>7.416991446402562</x:v>
      </x:c>
      <x:c r="J595" s="21" t="n">
        <x:f>MAX(0,1-ABS(F595-I595)/MAX(I595,0.01))</x:f>
        <x:v>0.9407112516743856</x:v>
      </x:c>
      <x:c r="K595" s="21" t="n">
        <x:f>MAX(0,1-ABS(H595-I595)/MAX(I595,0.01))</x:f>
        <x:v>0.9652673230970245</x:v>
      </x:c>
      <x:c r="L595" s="24" t="n">
        <x:f>MAX(I595-H595,0)</x:f>
        <x:v>0.2576119675000337</x:v>
      </x:c>
      <x:c r="M595" s="24" t="n">
        <x:f>MAX(H595-I595,0)</x:f>
        <x:v>0</x:v>
      </x:c>
      <x:c r="N595" s="19" t="str">
        <x:v>杨丽</x:v>
      </x:c>
      <x:c r="O595" s="19" t="str">
        <x:v>S-按销量/BOM/日型生成</x:v>
      </x:c>
    </x:row>
    <x:row r="596">
      <x:c r="A596" s="19" t="str">
        <x:v>2026-07-07|S08|螺丝椒</x:v>
      </x:c>
      <x:c r="B596" s="34" t="n">
        <x:v>46210.5</x:v>
      </x:c>
      <x:c r="C596" s="19" t="str">
        <x:v>S08</x:v>
      </x:c>
      <x:c r="D596" s="19" t="str">
        <x:v>四季青店</x:v>
      </x:c>
      <x:c r="E596" s="19" t="str">
        <x:v>螺丝椒</x:v>
      </x:c>
      <x:c r="F596" s="32" t="n">
        <x:v>12.985691038859391</x:v>
      </x:c>
      <x:c r="G596" s="32" t="n">
        <x:v>12.375307514805957</x:v>
      </x:c>
      <x:c r="H596" s="24" t="n">
        <x:f>G596</x:f>
        <x:v>12.375307514805957</x:v>
      </x:c>
      <x:c r="I596" s="24" t="n">
        <x:f>XLOOKUP(A596,'库存与收货'!$A$5:$A$676,'库存与收货'!$H$5:$H$676,0)+XLOOKUP(A596,'库存与收货'!$A$5:$A$676,'库存与收货'!$J$5:$J$676,0)</x:f>
        <x:v>11.504729977395264</x:v>
      </x:c>
      <x:c r="J596" s="21" t="n">
        <x:f>MAX(0,1-ABS(F596-I596)/MAX(I596,0.01))</x:f>
        <x:v>0.8712737226884986</x:v>
      </x:c>
      <x:c r="K596" s="21" t="n">
        <x:f>MAX(0,1-ABS(H596-I596)/MAX(I596,0.01))</x:f>
        <x:v>0.9243287292164856</x:v>
      </x:c>
      <x:c r="L596" s="24" t="n">
        <x:f>MAX(I596-H596,0)</x:f>
        <x:v>0</x:v>
      </x:c>
      <x:c r="M596" s="24" t="n">
        <x:f>MAX(H596-I596,0)</x:f>
        <x:v>0.8705775374106928</x:v>
      </x:c>
      <x:c r="N596" s="19" t="str">
        <x:v>杨丽</x:v>
      </x:c>
      <x:c r="O596" s="19" t="str">
        <x:v>S-按销量/BOM/日型生成</x:v>
      </x:c>
    </x:row>
    <x:row r="597">
      <x:c r="A597" s="19" t="str">
        <x:v>2026-07-07|S08|青湖南椒圈</x:v>
      </x:c>
      <x:c r="B597" s="34" t="n">
        <x:v>46210.5</x:v>
      </x:c>
      <x:c r="C597" s="19" t="str">
        <x:v>S08</x:v>
      </x:c>
      <x:c r="D597" s="19" t="str">
        <x:v>四季青店</x:v>
      </x:c>
      <x:c r="E597" s="19" t="str">
        <x:v>青湖南椒圈</x:v>
      </x:c>
      <x:c r="F597" s="32" t="n">
        <x:v>1.9288861234277808</x:v>
      </x:c>
      <x:c r="G597" s="32" t="n">
        <x:v>1.8158879850950584</x:v>
      </x:c>
      <x:c r="H597" s="24" t="n">
        <x:f>G597</x:f>
        <x:v>1.8158879850950584</x:v>
      </x:c>
      <x:c r="I597" s="24" t="n">
        <x:f>XLOOKUP(A597,'库存与收货'!$A$5:$A$676,'库存与收货'!$H$5:$H$676,0)+XLOOKUP(A597,'库存与收货'!$A$5:$A$676,'库存与收货'!$J$5:$J$676,0)</x:f>
        <x:v>1.6598932320484643</x:v>
      </x:c>
      <x:c r="J597" s="21" t="n">
        <x:f>MAX(0,1-ABS(F597-I597)/MAX(I597,0.01))</x:f>
        <x:v>0.8379456665129275</x:v>
      </x:c>
      <x:c r="K597" s="21" t="n">
        <x:f>MAX(0,1-ABS(H597-I597)/MAX(I597,0.01))</x:f>
        <x:v>0.9060212126691535</x:v>
      </x:c>
      <x:c r="L597" s="24" t="n">
        <x:f>MAX(I597-H597,0)</x:f>
        <x:v>0</x:v>
      </x:c>
      <x:c r="M597" s="24" t="n">
        <x:f>MAX(H597-I597,0)</x:f>
        <x:v>0.15599475304659416</x:v>
      </x:c>
      <x:c r="N597" s="19" t="str">
        <x:v>杨丽</x:v>
      </x:c>
      <x:c r="O597" s="19" t="str">
        <x:v>S-按销量/BOM/日型生成</x:v>
      </x:c>
    </x:row>
    <x:row r="598">
      <x:c r="A598" s="19" t="str">
        <x:v>2026-07-07|S08|鸡蛋</x:v>
      </x:c>
      <x:c r="B598" s="34" t="n">
        <x:v>46210.5</x:v>
      </x:c>
      <x:c r="C598" s="19" t="str">
        <x:v>S08</x:v>
      </x:c>
      <x:c r="D598" s="19" t="str">
        <x:v>四季青店</x:v>
      </x:c>
      <x:c r="E598" s="19" t="str">
        <x:v>鸡蛋</x:v>
      </x:c>
      <x:c r="F598" s="32" t="n">
        <x:v>16.831517576860872</x:v>
      </x:c>
      <x:c r="G598" s="32" t="n">
        <x:v>15.726407828417601</x:v>
      </x:c>
      <x:c r="H598" s="24" t="n">
        <x:f>G598</x:f>
        <x:v>15.726407828417601</x:v>
      </x:c>
      <x:c r="I598" s="24" t="n">
        <x:f>XLOOKUP(A598,'库存与收货'!$A$5:$A$676,'库存与收货'!$H$5:$H$676,0)+XLOOKUP(A598,'库存与收货'!$A$5:$A$676,'库存与收货'!$J$5:$J$676,0)</x:f>
        <x:v>14.277904567022437</x:v>
      </x:c>
      <x:c r="J598" s="21" t="n">
        <x:f>MAX(0,1-ABS(F598-I598)/MAX(I598,0.01))</x:f>
        <x:v>0.8211493151637606</x:v>
      </x:c>
      <x:c r="K598" s="21" t="n">
        <x:f>MAX(0,1-ABS(H598-I598)/MAX(I598,0.01))</x:f>
        <x:v>0.8985493106081714</x:v>
      </x:c>
      <x:c r="L598" s="24" t="n">
        <x:f>MAX(I598-H598,0)</x:f>
        <x:v>0</x:v>
      </x:c>
      <x:c r="M598" s="24" t="n">
        <x:f>MAX(H598-I598,0)</x:f>
        <x:v>1.4485032613951638</x:v>
      </x:c>
      <x:c r="N598" s="19" t="str">
        <x:v>杨丽</x:v>
      </x:c>
      <x:c r="O598" s="19" t="str">
        <x:v>S-按销量/BOM/日型生成</x:v>
      </x:c>
    </x:row>
    <x:row r="599">
      <x:c r="A599" s="19" t="str">
        <x:v>2026-07-07|S08|鸡肉</x:v>
      </x:c>
      <x:c r="B599" s="34" t="n">
        <x:v>46210.5</x:v>
      </x:c>
      <x:c r="C599" s="19" t="str">
        <x:v>S08</x:v>
      </x:c>
      <x:c r="D599" s="19" t="str">
        <x:v>四季青店</x:v>
      </x:c>
      <x:c r="E599" s="19" t="str">
        <x:v>鸡肉</x:v>
      </x:c>
      <x:c r="F599" s="32" t="n">
        <x:v>3.7061315984333643</x:v>
      </x:c>
      <x:c r="G599" s="32" t="n">
        <x:v>3.8894929737961492</x:v>
      </x:c>
      <x:c r="H599" s="24" t="n">
        <x:f>G599</x:f>
        <x:v>3.8894929737961492</x:v>
      </x:c>
      <x:c r="I599" s="24" t="n">
        <x:f>XLOOKUP(A599,'库存与收货'!$A$5:$A$676,'库存与收货'!$H$5:$H$676,0)+XLOOKUP(A599,'库存与收货'!$A$5:$A$676,'库存与收货'!$J$5:$J$676,0)</x:f>
        <x:v>4.204736571060432</x:v>
      </x:c>
      <x:c r="J599" s="21" t="n">
        <x:f>MAX(0,1-ABS(F599-I599)/MAX(I599,0.01))</x:f>
        <x:v>0.8814182614771227</x:v>
      </x:c>
      <x:c r="K599" s="21" t="n">
        <x:f>MAX(0,1-ABS(H599-I599)/MAX(I599,0.01))</x:f>
        <x:v>0.9250265523329138</x:v>
      </x:c>
      <x:c r="L599" s="24" t="n">
        <x:f>MAX(I599-H599,0)</x:f>
        <x:v>0.3152435972642831</x:v>
      </x:c>
      <x:c r="M599" s="24" t="n">
        <x:f>MAX(H599-I599,0)</x:f>
        <x:v>0</x:v>
      </x:c>
      <x:c r="N599" s="19" t="str">
        <x:v>杨丽</x:v>
      </x:c>
      <x:c r="O599" s="19" t="str">
        <x:v>S-按销量/BOM/日型生成</x:v>
      </x:c>
    </x:row>
    <x:row r="600">
      <x:c r="A600" s="19" t="str">
        <x:v>2026-07-07|S08|鲈鱼</x:v>
      </x:c>
      <x:c r="B600" s="34" t="n">
        <x:v>46210.5</x:v>
      </x:c>
      <x:c r="C600" s="19" t="str">
        <x:v>S08</x:v>
      </x:c>
      <x:c r="D600" s="19" t="str">
        <x:v>四季青店</x:v>
      </x:c>
      <x:c r="E600" s="19" t="str">
        <x:v>鲈鱼</x:v>
      </x:c>
      <x:c r="F600" s="32" t="n">
        <x:v>3.671026299885588</x:v>
      </x:c>
      <x:c r="G600" s="32" t="n">
        <x:v>3.4557727247923946</x:v>
      </x:c>
      <x:c r="H600" s="24" t="n">
        <x:f>G600</x:f>
        <x:v>3.4557727247923946</x:v>
      </x:c>
      <x:c r="I600" s="24" t="n">
        <x:f>XLOOKUP(A600,'库存与收货'!$A$5:$A$676,'库存与收货'!$H$5:$H$676,0)+XLOOKUP(A600,'库存与收货'!$A$5:$A$676,'库存与收货'!$J$5:$J$676,0)</x:f>
        <x:v>3.1118465306847</x:v>
      </x:c>
      <x:c r="J600" s="21" t="n">
        <x:f>MAX(0,1-ABS(F600-I600)/MAX(I600,0.01))</x:f>
        <x:v>0.820306122526598</x:v>
      </x:c>
      <x:c r="K600" s="21" t="n">
        <x:f>MAX(0,1-ABS(H600-I600)/MAX(I600,0.01))</x:f>
        <x:v>0.8894784203795486</x:v>
      </x:c>
      <x:c r="L600" s="24" t="n">
        <x:f>MAX(I600-H600,0)</x:f>
        <x:v>0</x:v>
      </x:c>
      <x:c r="M600" s="24" t="n">
        <x:f>MAX(H600-I600,0)</x:f>
        <x:v>0.34392619410769454</x:v>
      </x:c>
      <x:c r="N600" s="19" t="str">
        <x:v>杨丽</x:v>
      </x:c>
      <x:c r="O600" s="19" t="str">
        <x:v>S-按销量/BOM/日型生成</x:v>
      </x:c>
    </x:row>
    <x:row r="601">
      <x:c r="A601" s="19" t="str">
        <x:v>2026-07-07|S08|酸包菜</x:v>
      </x:c>
      <x:c r="B601" s="34" t="n">
        <x:v>46210.5</x:v>
      </x:c>
      <x:c r="C601" s="19" t="str">
        <x:v>S08</x:v>
      </x:c>
      <x:c r="D601" s="19" t="str">
        <x:v>四季青店</x:v>
      </x:c>
      <x:c r="E601" s="19" t="str">
        <x:v>酸包菜</x:v>
      </x:c>
      <x:c r="F601" s="32" t="n">
        <x:v>6.929291499306015</x:v>
      </x:c>
      <x:c r="G601" s="32" t="n">
        <x:v>6.894307381561765</x:v>
      </x:c>
      <x:c r="H601" s="24" t="n">
        <x:f>G601</x:f>
        <x:v>6.894307381561765</x:v>
      </x:c>
      <x:c r="I601" s="24" t="n">
        <x:f>XLOOKUP(A601,'库存与收货'!$A$5:$A$676,'库存与收货'!$H$5:$H$676,0)+XLOOKUP(A601,'库存与收货'!$A$5:$A$676,'库存与收货'!$J$5:$J$676,0)</x:f>
        <x:v>6.8350720181013624</x:v>
      </x:c>
      <x:c r="J601" s="21" t="n">
        <x:f>MAX(0,1-ABS(F601-I601)/MAX(I601,0.01))</x:f>
        <x:v>0.9862152906428593</x:v>
      </x:c>
      <x:c r="K601" s="21" t="n">
        <x:f>MAX(0,1-ABS(H601-I601)/MAX(I601,0.01))</x:f>
        <x:v>0.9913336153147284</x:v>
      </x:c>
      <x:c r="L601" s="24" t="n">
        <x:f>MAX(I601-H601,0)</x:f>
        <x:v>0</x:v>
      </x:c>
      <x:c r="M601" s="24" t="n">
        <x:f>MAX(H601-I601,0)</x:f>
        <x:v>0.05923536346040237</x:v>
      </x:c>
      <x:c r="N601" s="19" t="str">
        <x:v>杨丽</x:v>
      </x:c>
      <x:c r="O601" s="19" t="str">
        <x:v>S-按销量/BOM/日型生成</x:v>
      </x:c>
    </x:row>
    <x:row r="602">
      <x:c r="A602" s="19" t="str">
        <x:v>2026-07-07|S08|粉皮</x:v>
      </x:c>
      <x:c r="B602" s="34" t="n">
        <x:v>46210.5</x:v>
      </x:c>
      <x:c r="C602" s="19" t="str">
        <x:v>S08</x:v>
      </x:c>
      <x:c r="D602" s="19" t="str">
        <x:v>四季青店</x:v>
      </x:c>
      <x:c r="E602" s="19" t="str">
        <x:v>粉皮</x:v>
      </x:c>
      <x:c r="F602" s="32" t="n">
        <x:v>4.916025537126537</x:v>
      </x:c>
      <x:c r="G602" s="32" t="n">
        <x:v>4.961144720249834</x:v>
      </x:c>
      <x:c r="H602" s="24" t="n">
        <x:f>G602</x:f>
        <x:v>4.961144720249834</x:v>
      </x:c>
      <x:c r="I602" s="24" t="n">
        <x:f>XLOOKUP(A602,'库存与收货'!$A$5:$A$676,'库存与收货'!$H$5:$H$676,0)+XLOOKUP(A602,'库存与收货'!$A$5:$A$676,'库存与收货'!$J$5:$J$676,0)</x:f>
        <x:v>5.076250922871987</x:v>
      </x:c>
      <x:c r="J602" s="21" t="n">
        <x:f>MAX(0,1-ABS(F602-I602)/MAX(I602,0.01))</x:f>
        <x:v>0.9684362754757602</x:v>
      </x:c>
      <x:c r="K602" s="21" t="n">
        <x:f>MAX(0,1-ABS(H602-I602)/MAX(I602,0.01))</x:f>
        <x:v>0.977324564058975</x:v>
      </x:c>
      <x:c r="L602" s="24" t="n">
        <x:f>MAX(I602-H602,0)</x:f>
        <x:v>0.11510620262215276</x:v>
      </x:c>
      <x:c r="M602" s="24" t="n">
        <x:f>MAX(H602-I602,0)</x:f>
        <x:v>0</x:v>
      </x:c>
      <x:c r="N602" s="19" t="str">
        <x:v>杨丽</x:v>
      </x:c>
      <x:c r="O602" s="19" t="str">
        <x:v>S-按销量/BOM/日型生成</x:v>
      </x:c>
    </x:row>
    <x:row r="603">
      <x:c r="A603" s="19" t="str">
        <x:v>2026-07-07|S08|鸡杂</x:v>
      </x:c>
      <x:c r="B603" s="34" t="n">
        <x:v>46210.5</x:v>
      </x:c>
      <x:c r="C603" s="19" t="str">
        <x:v>S08</x:v>
      </x:c>
      <x:c r="D603" s="19" t="str">
        <x:v>四季青店</x:v>
      </x:c>
      <x:c r="E603" s="19" t="str">
        <x:v>鸡杂</x:v>
      </x:c>
      <x:c r="F603" s="32" t="n">
        <x:v>3.3581317179906467</x:v>
      </x:c>
      <x:c r="G603" s="32" t="n">
        <x:v>3.2291805920261503</x:v>
      </x:c>
      <x:c r="H603" s="24" t="n">
        <x:f>G603</x:f>
        <x:v>3.2291805920261503</x:v>
      </x:c>
      <x:c r="I603" s="24" t="n">
        <x:f>XLOOKUP(A603,'库存与收货'!$A$5:$A$676,'库存与收货'!$H$5:$H$676,0)+XLOOKUP(A603,'库存与收货'!$A$5:$A$676,'库存与收货'!$J$5:$J$676,0)</x:f>
        <x:v>3.0524593945423746</x:v>
      </x:c>
      <x:c r="J603" s="21" t="n">
        <x:f>MAX(0,1-ABS(F603-I603)/MAX(I603,0.01))</x:f>
        <x:v>0.8998603146057251</x:v>
      </x:c>
      <x:c r="K603" s="21" t="n">
        <x:f>MAX(0,1-ABS(H603-I603)/MAX(I603,0.01))</x:f>
        <x:v>0.9421053076742828</x:v>
      </x:c>
      <x:c r="L603" s="24" t="n">
        <x:f>MAX(I603-H603,0)</x:f>
        <x:v>0</x:v>
      </x:c>
      <x:c r="M603" s="24" t="n">
        <x:f>MAX(H603-I603,0)</x:f>
        <x:v>0.17672119748377568</x:v>
      </x:c>
      <x:c r="N603" s="19" t="str">
        <x:v>杨丽</x:v>
      </x:c>
      <x:c r="O603" s="19" t="str">
        <x:v>S-按销量/BOM/日型生成</x:v>
      </x:c>
    </x:row>
    <x:row r="604">
      <x:c r="A604" s="19" t="str">
        <x:v>2026-07-07|S08|豆腐</x:v>
      </x:c>
      <x:c r="B604" s="34" t="n">
        <x:v>46210.5</x:v>
      </x:c>
      <x:c r="C604" s="19" t="str">
        <x:v>S08</x:v>
      </x:c>
      <x:c r="D604" s="19" t="str">
        <x:v>四季青店</x:v>
      </x:c>
      <x:c r="E604" s="19" t="str">
        <x:v>豆腐</x:v>
      </x:c>
      <x:c r="F604" s="32" t="n">
        <x:v>17.62114807746361</x:v>
      </x:c>
      <x:c r="G604" s="32" t="n">
        <x:v>17.364868877347313</x:v>
      </x:c>
      <x:c r="H604" s="24" t="n">
        <x:f>G604</x:f>
        <x:v>17.364868877347313</x:v>
      </x:c>
      <x:c r="I604" s="24" t="n">
        <x:f>XLOOKUP(A604,'库存与收货'!$A$5:$A$676,'库存与收货'!$H$5:$H$676,0)+XLOOKUP(A604,'库存与收货'!$A$5:$A$676,'库存与收货'!$J$5:$J$676,0)</x:f>
        <x:v>16.90537530093113</x:v>
      </x:c>
      <x:c r="J604" s="21" t="n">
        <x:f>MAX(0,1-ABS(F604-I604)/MAX(I604,0.01))</x:f>
        <x:v>0.9576600481331489</x:v>
      </x:c>
      <x:c r="K604" s="21" t="n">
        <x:f>MAX(0,1-ABS(H604-I604)/MAX(I604,0.01))</x:f>
        <x:v>0.9728196760949238</x:v>
      </x:c>
      <x:c r="L604" s="24" t="n">
        <x:f>MAX(I604-H604,0)</x:f>
        <x:v>0</x:v>
      </x:c>
      <x:c r="M604" s="24" t="n">
        <x:f>MAX(H604-I604,0)</x:f>
        <x:v>0.4594935764161825</x:v>
      </x:c>
      <x:c r="N604" s="19" t="str">
        <x:v>杨丽</x:v>
      </x:c>
      <x:c r="O604" s="19" t="str">
        <x:v>S-按销量/BOM/日型生成</x:v>
      </x:c>
    </x:row>
    <x:row r="605">
      <x:c r="A605" s="19" t="str">
        <x:v>2026-07-08|S08|瘦肉片</x:v>
      </x:c>
      <x:c r="B605" s="34" t="n">
        <x:v>46211.5</x:v>
      </x:c>
      <x:c r="C605" s="19" t="str">
        <x:v>S08</x:v>
      </x:c>
      <x:c r="D605" s="19" t="str">
        <x:v>四季青店</x:v>
      </x:c>
      <x:c r="E605" s="19" t="str">
        <x:v>瘦肉片</x:v>
      </x:c>
      <x:c r="F605" s="32" t="n">
        <x:v>8.68998499015294</x:v>
      </x:c>
      <x:c r="G605" s="32" t="n">
        <x:v>9.25661029753328</x:v>
      </x:c>
      <x:c r="H605" s="24" t="n">
        <x:f>G605</x:f>
        <x:v>9.25661029753328</x:v>
      </x:c>
      <x:c r="I605" s="24" t="n">
        <x:f>XLOOKUP(A605,'库存与收货'!$A$5:$A$676,'库存与收货'!$H$5:$H$676,0)+XLOOKUP(A605,'库存与收货'!$A$5:$A$676,'库存与收货'!$J$5:$J$676,0)</x:f>
        <x:v>10.519778705365264</x:v>
      </x:c>
      <x:c r="J605" s="21" t="n">
        <x:f>MAX(0,1-ABS(F605-I605)/MAX(I605,0.01))</x:f>
        <x:v>0.8260615772954332</x:v>
      </x:c>
      <x:c r="K605" s="21" t="n">
        <x:f>MAX(0,1-ABS(H605-I605)/MAX(I605,0.01))</x:f>
        <x:v>0.8799244315673915</x:v>
      </x:c>
      <x:c r="L605" s="24" t="n">
        <x:f>MAX(I605-H605,0)</x:f>
        <x:v>1.2631684078319836</x:v>
      </x:c>
      <x:c r="M605" s="24" t="n">
        <x:f>MAX(H605-I605,0)</x:f>
        <x:v>0</x:v>
      </x:c>
      <x:c r="N605" s="19" t="str">
        <x:v>杨丽</x:v>
      </x:c>
      <x:c r="O605" s="19" t="str">
        <x:v>S-按销量/BOM/日型生成</x:v>
      </x:c>
    </x:row>
    <x:row r="606">
      <x:c r="A606" s="19" t="str">
        <x:v>2026-07-08|S08|肥肉片</x:v>
      </x:c>
      <x:c r="B606" s="34" t="n">
        <x:v>46211.5</x:v>
      </x:c>
      <x:c r="C606" s="19" t="str">
        <x:v>S08</x:v>
      </x:c>
      <x:c r="D606" s="19" t="str">
        <x:v>四季青店</x:v>
      </x:c>
      <x:c r="E606" s="19" t="str">
        <x:v>肥肉片</x:v>
      </x:c>
      <x:c r="F606" s="32" t="n">
        <x:v>3.0559992536959157</x:v>
      </x:c>
      <x:c r="G606" s="32" t="n">
        <x:v>3.017908921985615</x:v>
      </x:c>
      <x:c r="H606" s="24" t="n">
        <x:f>G606</x:f>
        <x:v>3.017908921985615</x:v>
      </x:c>
      <x:c r="I606" s="24" t="n">
        <x:f>XLOOKUP(A606,'库存与收货'!$A$5:$A$676,'库存与收货'!$H$5:$H$676,0)+XLOOKUP(A606,'库存与收货'!$A$5:$A$676,'库存与收货'!$J$5:$J$676,0)</x:f>
        <x:v>2.9526407169906053</x:v>
      </x:c>
      <x:c r="J606" s="21" t="n">
        <x:f>MAX(0,1-ABS(F606-I606)/MAX(I606,0.01))</x:f>
        <x:v>0.9649945433216623</x:v>
      </x:c>
      <x:c r="K606" s="21" t="n">
        <x:f>MAX(0,1-ABS(H606-I606)/MAX(I606,0.01))</x:f>
        <x:v>0.9778949722465616</x:v>
      </x:c>
      <x:c r="L606" s="24" t="n">
        <x:f>MAX(I606-H606,0)</x:f>
        <x:v>0</x:v>
      </x:c>
      <x:c r="M606" s="24" t="n">
        <x:f>MAX(H606-I606,0)</x:f>
        <x:v>0.06526820499500952</x:v>
      </x:c>
      <x:c r="N606" s="19" t="str">
        <x:v>杨丽</x:v>
      </x:c>
      <x:c r="O606" s="19" t="str">
        <x:v>S-按销量/BOM/日型生成</x:v>
      </x:c>
    </x:row>
    <x:row r="607">
      <x:c r="A607" s="19" t="str">
        <x:v>2026-07-08|S08|牛肉片</x:v>
      </x:c>
      <x:c r="B607" s="34" t="n">
        <x:v>46211.5</x:v>
      </x:c>
      <x:c r="C607" s="19" t="str">
        <x:v>S08</x:v>
      </x:c>
      <x:c r="D607" s="19" t="str">
        <x:v>四季青店</x:v>
      </x:c>
      <x:c r="E607" s="19" t="str">
        <x:v>牛肉片</x:v>
      </x:c>
      <x:c r="F607" s="32" t="n">
        <x:v>8.384134675028148</x:v>
      </x:c>
      <x:c r="G607" s="32" t="n">
        <x:v>7.910079149180088</x:v>
      </x:c>
      <x:c r="H607" s="24" t="n">
        <x:f>G607</x:f>
        <x:v>7.910079149180088</x:v>
      </x:c>
      <x:c r="I607" s="24" t="n">
        <x:f>XLOOKUP(A607,'库存与收货'!$A$5:$A$676,'库存与收货'!$H$5:$H$676,0)+XLOOKUP(A607,'库存与收货'!$A$5:$A$676,'库存与收货'!$J$5:$J$676,0)</x:f>
        <x:v>7.231189380232522</x:v>
      </x:c>
      <x:c r="J607" s="21" t="n">
        <x:f>MAX(0,1-ABS(F607-I607)/MAX(I607,0.01))</x:f>
        <x:v>0.8405593832257573</x:v>
      </x:c>
      <x:c r="K607" s="21" t="n">
        <x:f>MAX(0,1-ABS(H607-I607)/MAX(I607,0.01))</x:f>
        <x:v>0.9061164445777885</x:v>
      </x:c>
      <x:c r="L607" s="24" t="n">
        <x:f>MAX(I607-H607,0)</x:f>
        <x:v>0</x:v>
      </x:c>
      <x:c r="M607" s="24" t="n">
        <x:f>MAX(H607-I607,0)</x:f>
        <x:v>0.6788897689475668</x:v>
      </x:c>
      <x:c r="N607" s="19" t="str">
        <x:v>杨丽</x:v>
      </x:c>
      <x:c r="O607" s="19" t="str">
        <x:v>S-按销量/BOM/日型生成</x:v>
      </x:c>
    </x:row>
    <x:row r="608">
      <x:c r="A608" s="19" t="str">
        <x:v>2026-07-08|S08|螺丝椒</x:v>
      </x:c>
      <x:c r="B608" s="34" t="n">
        <x:v>46211.5</x:v>
      </x:c>
      <x:c r="C608" s="19" t="str">
        <x:v>S08</x:v>
      </x:c>
      <x:c r="D608" s="19" t="str">
        <x:v>四季青店</x:v>
      </x:c>
      <x:c r="E608" s="19" t="str">
        <x:v>螺丝椒</x:v>
      </x:c>
      <x:c r="F608" s="32" t="n">
        <x:v>11.092383804702228</x:v>
      </x:c>
      <x:c r="G608" s="32" t="n">
        <x:v>10.87723162626074</x:v>
      </x:c>
      <x:c r="H608" s="24" t="n">
        <x:f>G608</x:f>
        <x:v>10.87723162626074</x:v>
      </x:c>
      <x:c r="I608" s="24" t="n">
        <x:f>XLOOKUP(A608,'库存与收货'!$A$5:$A$676,'库存与收货'!$H$5:$H$676,0)+XLOOKUP(A608,'库存与收货'!$A$5:$A$676,'库存与收货'!$J$5:$J$676,0)</x:f>
        <x:v>10.476732971411952</x:v>
      </x:c>
      <x:c r="J608" s="21" t="n">
        <x:f>MAX(0,1-ABS(F608-I608)/MAX(I608,0.01))</x:f>
        <x:v>0.9412363725437869</x:v>
      </x:c>
      <x:c r="K608" s="21" t="n">
        <x:f>MAX(0,1-ABS(H608-I608)/MAX(I608,0.01))</x:f>
        <x:v>0.961772562501914</x:v>
      </x:c>
      <x:c r="L608" s="24" t="n">
        <x:f>MAX(I608-H608,0)</x:f>
        <x:v>0</x:v>
      </x:c>
      <x:c r="M608" s="24" t="n">
        <x:f>MAX(H608-I608,0)</x:f>
        <x:v>0.40049865484878744</x:v>
      </x:c>
      <x:c r="N608" s="19" t="str">
        <x:v>杨丽</x:v>
      </x:c>
      <x:c r="O608" s="19" t="str">
        <x:v>S-按销量/BOM/日型生成</x:v>
      </x:c>
    </x:row>
    <x:row r="609">
      <x:c r="A609" s="19" t="str">
        <x:v>2026-07-08|S08|青湖南椒圈</x:v>
      </x:c>
      <x:c r="B609" s="34" t="n">
        <x:v>46211.5</x:v>
      </x:c>
      <x:c r="C609" s="19" t="str">
        <x:v>S08</x:v>
      </x:c>
      <x:c r="D609" s="19" t="str">
        <x:v>四季青店</x:v>
      </x:c>
      <x:c r="E609" s="19" t="str">
        <x:v>青湖南椒圈</x:v>
      </x:c>
      <x:c r="F609" s="32" t="n">
        <x:v>1.984630275690285</x:v>
      </x:c>
      <x:c r="G609" s="32" t="n">
        <x:v>1.8902006625342764</x:v>
      </x:c>
      <x:c r="H609" s="24" t="n">
        <x:f>G609</x:f>
        <x:v>1.8902006625342764</x:v>
      </x:c>
      <x:c r="I609" s="24" t="n">
        <x:f>XLOOKUP(A609,'库存与收货'!$A$5:$A$676,'库存与收货'!$H$5:$H$676,0)+XLOOKUP(A609,'库存与收货'!$A$5:$A$676,'库存与收货'!$J$5:$J$676,0)</x:f>
        <x:v>1.74859976888136</x:v>
      </x:c>
      <x:c r="J609" s="21" t="n">
        <x:f>MAX(0,1-ABS(F609-I609)/MAX(I609,0.01))</x:f>
        <x:v>0.8650174207903951</x:v>
      </x:c>
      <x:c r="K609" s="21" t="n">
        <x:f>MAX(0,1-ABS(H609-I609)/MAX(I609,0.01))</x:f>
        <x:v>0.9190204092595166</x:v>
      </x:c>
      <x:c r="L609" s="24" t="n">
        <x:f>MAX(I609-H609,0)</x:f>
        <x:v>0</x:v>
      </x:c>
      <x:c r="M609" s="24" t="n">
        <x:f>MAX(H609-I609,0)</x:f>
        <x:v>0.1416008936529165</x:v>
      </x:c>
      <x:c r="N609" s="19" t="str">
        <x:v>杨丽</x:v>
      </x:c>
      <x:c r="O609" s="19" t="str">
        <x:v>S-按销量/BOM/日型生成</x:v>
      </x:c>
    </x:row>
    <x:row r="610">
      <x:c r="A610" s="19" t="str">
        <x:v>2026-07-08|S08|鸡蛋</x:v>
      </x:c>
      <x:c r="B610" s="34" t="n">
        <x:v>46211.5</x:v>
      </x:c>
      <x:c r="C610" s="19" t="str">
        <x:v>S08</x:v>
      </x:c>
      <x:c r="D610" s="19" t="str">
        <x:v>四季青店</x:v>
      </x:c>
      <x:c r="E610" s="19" t="str">
        <x:v>鸡蛋</x:v>
      </x:c>
      <x:c r="F610" s="32" t="n">
        <x:v>11.942507396259382</x:v>
      </x:c>
      <x:c r="G610" s="32" t="n">
        <x:v>12.853567431355982</x:v>
      </x:c>
      <x:c r="H610" s="24" t="n">
        <x:f>G610</x:f>
        <x:v>12.853567431355982</x:v>
      </x:c>
      <x:c r="I610" s="24" t="n">
        <x:f>XLOOKUP(A610,'库存与收货'!$A$5:$A$676,'库存与收货'!$H$5:$H$676,0)+XLOOKUP(A610,'库存与收货'!$A$5:$A$676,'库存与收货'!$J$5:$J$676,0)</x:f>
        <x:v>14.078668356908292</x:v>
      </x:c>
      <x:c r="J610" s="21" t="n">
        <x:f>MAX(0,1-ABS(F610-I610)/MAX(I610,0.01))</x:f>
        <x:v>0.848269672493513</x:v>
      </x:c>
      <x:c r="K610" s="21" t="n">
        <x:f>MAX(0,1-ABS(H610-I610)/MAX(I610,0.01))</x:f>
        <x:v>0.9129817611655606</x:v>
      </x:c>
      <x:c r="L610" s="24" t="n">
        <x:f>MAX(I610-H610,0)</x:f>
        <x:v>1.2251009255523098</x:v>
      </x:c>
      <x:c r="M610" s="24" t="n">
        <x:f>MAX(H610-I610,0)</x:f>
        <x:v>0</x:v>
      </x:c>
      <x:c r="N610" s="19" t="str">
        <x:v>杨丽</x:v>
      </x:c>
      <x:c r="O610" s="19" t="str">
        <x:v>S-按销量/BOM/日型生成</x:v>
      </x:c>
    </x:row>
    <x:row r="611">
      <x:c r="A611" s="19" t="str">
        <x:v>2026-07-08|S08|鸡肉</x:v>
      </x:c>
      <x:c r="B611" s="34" t="n">
        <x:v>46211.5</x:v>
      </x:c>
      <x:c r="C611" s="19" t="str">
        <x:v>S08</x:v>
      </x:c>
      <x:c r="D611" s="19" t="str">
        <x:v>四季青店</x:v>
      </x:c>
      <x:c r="E611" s="19" t="str">
        <x:v>鸡肉</x:v>
      </x:c>
      <x:c r="F611" s="32" t="n">
        <x:v>4.498479963140082</x:v>
      </x:c>
      <x:c r="G611" s="32" t="n">
        <x:v>4.532094466725533</x:v>
      </x:c>
      <x:c r="H611" s="24" t="n">
        <x:f>G611</x:f>
        <x:v>4.532094466725533</x:v>
      </x:c>
      <x:c r="I611" s="24" t="n">
        <x:f>XLOOKUP(A611,'库存与收货'!$A$5:$A$676,'库存与收货'!$H$5:$H$676,0)+XLOOKUP(A611,'库存与收货'!$A$5:$A$676,'库存与收货'!$J$5:$J$676,0)</x:f>
        <x:v>4.590556736983838</x:v>
      </x:c>
      <x:c r="J611" s="21" t="n">
        <x:f>MAX(0,1-ABS(F611-I611)/MAX(I611,0.01))</x:f>
        <x:v>0.9799421335756644</x:v>
      </x:c>
      <x:c r="K611" s="21" t="n">
        <x:f>MAX(0,1-ABS(H611-I611)/MAX(I611,0.01))</x:f>
        <x:v>0.9872646666607334</x:v>
      </x:c>
      <x:c r="L611" s="24" t="n">
        <x:f>MAX(I611-H611,0)</x:f>
        <x:v>0.05846227025830508</x:v>
      </x:c>
      <x:c r="M611" s="24" t="n">
        <x:f>MAX(H611-I611,0)</x:f>
        <x:v>0</x:v>
      </x:c>
      <x:c r="N611" s="19" t="str">
        <x:v>杨丽</x:v>
      </x:c>
      <x:c r="O611" s="19" t="str">
        <x:v>S-按销量/BOM/日型生成</x:v>
      </x:c>
    </x:row>
    <x:row r="612">
      <x:c r="A612" s="19" t="str">
        <x:v>2026-07-08|S08|鲈鱼</x:v>
      </x:c>
      <x:c r="B612" s="34" t="n">
        <x:v>46211.5</x:v>
      </x:c>
      <x:c r="C612" s="19" t="str">
        <x:v>S08</x:v>
      </x:c>
      <x:c r="D612" s="19" t="str">
        <x:v>四季青店</x:v>
      </x:c>
      <x:c r="E612" s="19" t="str">
        <x:v>鲈鱼</x:v>
      </x:c>
      <x:c r="F612" s="32" t="n">
        <x:v>2.2988847743926666</x:v>
      </x:c>
      <x:c r="G612" s="32" t="n">
        <x:v>2.3943522384255003</x:v>
      </x:c>
      <x:c r="H612" s="24" t="n">
        <x:f>G612</x:f>
        <x:v>2.3943522384255003</x:v>
      </x:c>
      <x:c r="I612" s="24" t="n">
        <x:f>XLOOKUP(A612,'库存与收货'!$A$5:$A$676,'库存与收货'!$H$5:$H$676,0)+XLOOKUP(A612,'库存与收货'!$A$5:$A$676,'库存与收货'!$J$5:$J$676,0)</x:f>
        <x:v>2.5599025764089083</x:v>
      </x:c>
      <x:c r="J612" s="21" t="n">
        <x:f>MAX(0,1-ABS(F612-I612)/MAX(I612,0.01))</x:f>
        <x:v>0.8980360407377675</x:v>
      </x:c>
      <x:c r="K612" s="21" t="n">
        <x:f>MAX(0,1-ABS(H612-I612)/MAX(I612,0.01))</x:f>
        <x:v>0.9353294381164904</x:v>
      </x:c>
      <x:c r="L612" s="24" t="n">
        <x:f>MAX(I612-H612,0)</x:f>
        <x:v>0.165550337983408</x:v>
      </x:c>
      <x:c r="M612" s="24" t="n">
        <x:f>MAX(H612-I612,0)</x:f>
        <x:v>0</x:v>
      </x:c>
      <x:c r="N612" s="19" t="str">
        <x:v>杨丽</x:v>
      </x:c>
      <x:c r="O612" s="19" t="str">
        <x:v>S-按销量/BOM/日型生成</x:v>
      </x:c>
    </x:row>
    <x:row r="613">
      <x:c r="A613" s="19" t="str">
        <x:v>2026-07-08|S08|酸包菜</x:v>
      </x:c>
      <x:c r="B613" s="34" t="n">
        <x:v>46211.5</x:v>
      </x:c>
      <x:c r="C613" s="19" t="str">
        <x:v>S08</x:v>
      </x:c>
      <x:c r="D613" s="19" t="str">
        <x:v>四季青店</x:v>
      </x:c>
      <x:c r="E613" s="19" t="str">
        <x:v>酸包菜</x:v>
      </x:c>
      <x:c r="F613" s="32" t="n">
        <x:v>6.654533928569244</x:v>
      </x:c>
      <x:c r="G613" s="32" t="n">
        <x:v>6.34444308495017</x:v>
      </x:c>
      <x:c r="H613" s="24" t="n">
        <x:f>G613</x:f>
        <x:v>6.34444308495017</x:v>
      </x:c>
      <x:c r="I613" s="24" t="n">
        <x:f>XLOOKUP(A613,'库存与收货'!$A$5:$A$676,'库存与收货'!$H$5:$H$676,0)+XLOOKUP(A613,'库存与收货'!$A$5:$A$676,'库存与收货'!$J$5:$J$676,0)</x:f>
        <x:v>5.91426792497846</x:v>
      </x:c>
      <x:c r="J613" s="21" t="n">
        <x:f>MAX(0,1-ABS(F613-I613)/MAX(I613,0.01))</x:f>
        <x:v>0.8748338741191741</x:v>
      </x:c>
      <x:c r="K613" s="21" t="n">
        <x:f>MAX(0,1-ABS(H613-I613)/MAX(I613,0.01))</x:f>
        <x:v>0.9272648507932997</x:v>
      </x:c>
      <x:c r="L613" s="24" t="n">
        <x:f>MAX(I613-H613,0)</x:f>
        <x:v>0</x:v>
      </x:c>
      <x:c r="M613" s="24" t="n">
        <x:f>MAX(H613-I613,0)</x:f>
        <x:v>0.43017515997170985</x:v>
      </x:c>
      <x:c r="N613" s="19" t="str">
        <x:v>杨丽</x:v>
      </x:c>
      <x:c r="O613" s="19" t="str">
        <x:v>S-按销量/BOM/日型生成</x:v>
      </x:c>
    </x:row>
    <x:row r="614">
      <x:c r="A614" s="19" t="str">
        <x:v>2026-07-08|S08|粉皮</x:v>
      </x:c>
      <x:c r="B614" s="34" t="n">
        <x:v>46211.5</x:v>
      </x:c>
      <x:c r="C614" s="19" t="str">
        <x:v>S08</x:v>
      </x:c>
      <x:c r="D614" s="19" t="str">
        <x:v>四季青店</x:v>
      </x:c>
      <x:c r="E614" s="19" t="str">
        <x:v>粉皮</x:v>
      </x:c>
      <x:c r="F614" s="32" t="n">
        <x:v>5.122392205473164</x:v>
      </x:c>
      <x:c r="G614" s="32" t="n">
        <x:v>4.851732800424518</x:v>
      </x:c>
      <x:c r="H614" s="24" t="n">
        <x:f>G614</x:f>
        <x:v>4.851732800424518</x:v>
      </x:c>
      <x:c r="I614" s="24" t="n">
        <x:f>XLOOKUP(A614,'库存与收货'!$A$5:$A$676,'库存与收货'!$H$5:$H$676,0)+XLOOKUP(A614,'库存与收货'!$A$5:$A$676,'库存与收货'!$J$5:$J$676,0)</x:f>
        <x:v>4.442490131077354</x:v>
      </x:c>
      <x:c r="J614" s="21" t="n">
        <x:f>MAX(0,1-ABS(F614-I614)/MAX(I614,0.01))</x:f>
        <x:v>0.8469547361198242</x:v>
      </x:c>
      <x:c r="K614" s="21" t="n">
        <x:f>MAX(0,1-ABS(H614-I614)/MAX(I614,0.01))</x:f>
        <x:v>0.9078798922963689</x:v>
      </x:c>
      <x:c r="L614" s="24" t="n">
        <x:f>MAX(I614-H614,0)</x:f>
        <x:v>0</x:v>
      </x:c>
      <x:c r="M614" s="24" t="n">
        <x:f>MAX(H614-I614,0)</x:f>
        <x:v>0.40924266934716425</x:v>
      </x:c>
      <x:c r="N614" s="19" t="str">
        <x:v>杨丽</x:v>
      </x:c>
      <x:c r="O614" s="19" t="str">
        <x:v>S-按销量/BOM/日型生成</x:v>
      </x:c>
    </x:row>
    <x:row r="615">
      <x:c r="A615" s="19" t="str">
        <x:v>2026-07-08|S08|鸡杂</x:v>
      </x:c>
      <x:c r="B615" s="34" t="n">
        <x:v>46211.5</x:v>
      </x:c>
      <x:c r="C615" s="19" t="str">
        <x:v>S08</x:v>
      </x:c>
      <x:c r="D615" s="19" t="str">
        <x:v>四季青店</x:v>
      </x:c>
      <x:c r="E615" s="19" t="str">
        <x:v>鸡杂</x:v>
      </x:c>
      <x:c r="F615" s="32" t="n">
        <x:v>2.4154059097343326</x:v>
      </x:c>
      <x:c r="G615" s="32" t="n">
        <x:v>2.519835784588408</x:v>
      </x:c>
      <x:c r="H615" s="24" t="n">
        <x:f>G615</x:f>
        <x:v>2.519835784588408</x:v>
      </x:c>
      <x:c r="I615" s="24" t="n">
        <x:f>XLOOKUP(A615,'库存与收货'!$A$5:$A$676,'库存与收货'!$H$5:$H$676,0)+XLOOKUP(A615,'库存与收货'!$A$5:$A$676,'库存与收货'!$J$5:$J$676,0)</x:f>
        <x:v>2.8080372016575508</x:v>
      </x:c>
      <x:c r="J615" s="21" t="n">
        <x:f>MAX(0,1-ABS(F615-I615)/MAX(I615,0.01))</x:f>
        <x:v>0.8601758937910606</x:v>
      </x:c>
      <x:c r="K615" s="21" t="n">
        <x:f>MAX(0,1-ABS(H615-I615)/MAX(I615,0.01))</x:f>
        <x:v>0.8973655274584607</x:v>
      </x:c>
      <x:c r="L615" s="24" t="n">
        <x:f>MAX(I615-H615,0)</x:f>
        <x:v>0.2882014170691427</x:v>
      </x:c>
      <x:c r="M615" s="24" t="n">
        <x:f>MAX(H615-I615,0)</x:f>
        <x:v>0</x:v>
      </x:c>
      <x:c r="N615" s="19" t="str">
        <x:v>杨丽</x:v>
      </x:c>
      <x:c r="O615" s="19" t="str">
        <x:v>S-按销量/BOM/日型生成</x:v>
      </x:c>
    </x:row>
    <x:row r="616">
      <x:c r="A616" s="19" t="str">
        <x:v>2026-07-08|S08|豆腐</x:v>
      </x:c>
      <x:c r="B616" s="34" t="n">
        <x:v>46211.5</x:v>
      </x:c>
      <x:c r="C616" s="19" t="str">
        <x:v>S08</x:v>
      </x:c>
      <x:c r="D616" s="19" t="str">
        <x:v>四季青店</x:v>
      </x:c>
      <x:c r="E616" s="19" t="str">
        <x:v>豆腐</x:v>
      </x:c>
      <x:c r="F616" s="32" t="n">
        <x:v>17.868191453335047</x:v>
      </x:c>
      <x:c r="G616" s="32" t="n">
        <x:v>18.21112474095358</x:v>
      </x:c>
      <x:c r="H616" s="24" t="n">
        <x:f>G616</x:f>
        <x:v>18.21112474095358</x:v>
      </x:c>
      <x:c r="I616" s="24" t="n">
        <x:f>XLOOKUP(A616,'库存与收货'!$A$5:$A$676,'库存与收货'!$H$5:$H$676,0)+XLOOKUP(A616,'库存与收货'!$A$5:$A$676,'库存与收货'!$J$5:$J$676,0)</x:f>
        <x:v>19.0521472022571</x:v>
      </x:c>
      <x:c r="J616" s="21" t="n">
        <x:f>MAX(0,1-ABS(F616-I616)/MAX(I616,0.01))</x:f>
        <x:v>0.9378570962971675</x:v>
      </x:c>
      <x:c r="K616" s="21" t="n">
        <x:f>MAX(0,1-ABS(H616-I616)/MAX(I616,0.01))</x:f>
        <x:v>0.9558568148579135</x:v>
      </x:c>
      <x:c r="L616" s="24" t="n">
        <x:f>MAX(I616-H616,0)</x:f>
        <x:v>0.8410224613035204</x:v>
      </x:c>
      <x:c r="M616" s="24" t="n">
        <x:f>MAX(H616-I616,0)</x:f>
        <x:v>0</x:v>
      </x:c>
      <x:c r="N616" s="19" t="str">
        <x:v>杨丽</x:v>
      </x:c>
      <x:c r="O616" s="19" t="str">
        <x:v>S-按销量/BOM/日型生成</x:v>
      </x:c>
    </x:row>
    <x:row r="617">
      <x:c r="A617" s="19" t="str">
        <x:v>2026-07-09|S08|瘦肉片</x:v>
      </x:c>
      <x:c r="B617" s="34" t="n">
        <x:v>46212.5</x:v>
      </x:c>
      <x:c r="C617" s="19" t="str">
        <x:v>S08</x:v>
      </x:c>
      <x:c r="D617" s="19" t="str">
        <x:v>四季青店</x:v>
      </x:c>
      <x:c r="E617" s="19" t="str">
        <x:v>瘦肉片</x:v>
      </x:c>
      <x:c r="F617" s="32" t="n">
        <x:v>11.616854077733935</x:v>
      </x:c>
      <x:c r="G617" s="32" t="n">
        <x:v>11.064207189263621</x:v>
      </x:c>
      <x:c r="H617" s="24" t="n">
        <x:f>G617</x:f>
        <x:v>11.064207189263621</x:v>
      </x:c>
      <x:c r="I617" s="24" t="n">
        <x:f>XLOOKUP(A617,'库存与收货'!$A$5:$A$676,'库存与收货'!$H$5:$H$676,0)+XLOOKUP(A617,'库存与收货'!$A$5:$A$676,'库存与收货'!$J$5:$J$676,0)</x:f>
        <x:v>10.180270712233678</x:v>
      </x:c>
      <x:c r="J617" s="21" t="n">
        <x:f>MAX(0,1-ABS(F617-I617)/MAX(I617,0.01))</x:f>
        <x:v>0.8588855438024936</x:v>
      </x:c>
      <x:c r="K617" s="21" t="n">
        <x:f>MAX(0,1-ABS(H617-I617)/MAX(I617,0.01))</x:f>
        <x:v>0.9131716137992566</x:v>
      </x:c>
      <x:c r="L617" s="24" t="n">
        <x:f>MAX(I617-H617,0)</x:f>
        <x:v>0</x:v>
      </x:c>
      <x:c r="M617" s="24" t="n">
        <x:f>MAX(H617-I617,0)</x:f>
        <x:v>0.8839364770299429</x:v>
      </x:c>
      <x:c r="N617" s="19" t="str">
        <x:v>杨丽</x:v>
      </x:c>
      <x:c r="O617" s="19" t="str">
        <x:v>S-按销量/BOM/日型生成</x:v>
      </x:c>
    </x:row>
    <x:row r="618">
      <x:c r="A618" s="19" t="str">
        <x:v>2026-07-09|S08|肥肉片</x:v>
      </x:c>
      <x:c r="B618" s="34" t="n">
        <x:v>46212.5</x:v>
      </x:c>
      <x:c r="C618" s="19" t="str">
        <x:v>S08</x:v>
      </x:c>
      <x:c r="D618" s="19" t="str">
        <x:v>四季青店</x:v>
      </x:c>
      <x:c r="E618" s="19" t="str">
        <x:v>肥肉片</x:v>
      </x:c>
      <x:c r="F618" s="32" t="n">
        <x:v>3.3537284406034935</x:v>
      </x:c>
      <x:c r="G618" s="32" t="n">
        <x:v>3.2180459944410584</x:v>
      </x:c>
      <x:c r="H618" s="24" t="n">
        <x:f>G618</x:f>
        <x:v>3.2180459944410584</x:v>
      </x:c>
      <x:c r="I618" s="24" t="n">
        <x:f>XLOOKUP(A618,'库存与收货'!$A$5:$A$676,'库存与收货'!$H$5:$H$676,0)+XLOOKUP(A618,'库存与收货'!$A$5:$A$676,'库存与收货'!$J$5:$J$676,0)</x:f>
        <x:v>2.8866666974259227</x:v>
      </x:c>
      <x:c r="J618" s="21" t="n">
        <x:f>MAX(0,1-ABS(F618-I618)/MAX(I618,0.01))</x:f>
        <x:v>0.8382003216394689</x:v>
      </x:c>
      <x:c r="K618" s="21" t="n">
        <x:f>MAX(0,1-ABS(H618-I618)/MAX(I618,0.01))</x:f>
        <x:v>0.8852034780078244</x:v>
      </x:c>
      <x:c r="L618" s="24" t="n">
        <x:f>MAX(I618-H618,0)</x:f>
        <x:v>0</x:v>
      </x:c>
      <x:c r="M618" s="24" t="n">
        <x:f>MAX(H618-I618,0)</x:f>
        <x:v>0.3313792970151357</x:v>
      </x:c>
      <x:c r="N618" s="19" t="str">
        <x:v>杨丽</x:v>
      </x:c>
      <x:c r="O618" s="19" t="str">
        <x:v>S-按销量/BOM/日型生成</x:v>
      </x:c>
    </x:row>
    <x:row r="619">
      <x:c r="A619" s="19" t="str">
        <x:v>2026-07-09|S08|牛肉片</x:v>
      </x:c>
      <x:c r="B619" s="34" t="n">
        <x:v>46212.5</x:v>
      </x:c>
      <x:c r="C619" s="19" t="str">
        <x:v>S08</x:v>
      </x:c>
      <x:c r="D619" s="19" t="str">
        <x:v>四季青店</x:v>
      </x:c>
      <x:c r="E619" s="19" t="str">
        <x:v>牛肉片</x:v>
      </x:c>
      <x:c r="F619" s="32" t="n">
        <x:v>8.414430526433378</x:v>
      </x:c>
      <x:c r="G619" s="32" t="n">
        <x:v>8.106820686701383</x:v>
      </x:c>
      <x:c r="H619" s="24" t="n">
        <x:f>G619</x:f>
        <x:v>8.106820686701383</x:v>
      </x:c>
      <x:c r="I619" s="24" t="n">
        <x:f>XLOOKUP(A619,'库存与收货'!$A$5:$A$676,'库存与收货'!$H$5:$H$676,0)+XLOOKUP(A619,'库存与收货'!$A$5:$A$676,'库存与收货'!$J$5:$J$676,0)</x:f>
        <x:v>7.367759870982033</x:v>
      </x:c>
      <x:c r="J619" s="21" t="n">
        <x:f>MAX(0,1-ABS(F619-I619)/MAX(I619,0.01))</x:f>
        <x:v>0.8579390922370225</x:v>
      </x:c>
      <x:c r="K619" s="21" t="n">
        <x:f>MAX(0,1-ABS(H619-I619)/MAX(I619,0.01))</x:f>
        <x:v>0.8996898882888209</x:v>
      </x:c>
      <x:c r="L619" s="24" t="n">
        <x:f>MAX(I619-H619,0)</x:f>
        <x:v>0</x:v>
      </x:c>
      <x:c r="M619" s="24" t="n">
        <x:f>MAX(H619-I619,0)</x:f>
        <x:v>0.7390608157193501</x:v>
      </x:c>
      <x:c r="N619" s="19" t="str">
        <x:v>杨丽</x:v>
      </x:c>
      <x:c r="O619" s="19" t="str">
        <x:v>S-按销量/BOM/日型生成</x:v>
      </x:c>
    </x:row>
    <x:row r="620">
      <x:c r="A620" s="19" t="str">
        <x:v>2026-07-09|S08|螺丝椒</x:v>
      </x:c>
      <x:c r="B620" s="34" t="n">
        <x:v>46212.5</x:v>
      </x:c>
      <x:c r="C620" s="19" t="str">
        <x:v>S08</x:v>
      </x:c>
      <x:c r="D620" s="19" t="str">
        <x:v>四季青店</x:v>
      </x:c>
      <x:c r="E620" s="19" t="str">
        <x:v>螺丝椒</x:v>
      </x:c>
      <x:c r="F620" s="32" t="n">
        <x:v>11.088753705740311</x:v>
      </x:c>
      <x:c r="G620" s="32" t="n">
        <x:v>10.95124832121077</x:v>
      </x:c>
      <x:c r="H620" s="24" t="n">
        <x:f>G620</x:f>
        <x:v>10.95124832121077</x:v>
      </x:c>
      <x:c r="I620" s="24" t="n">
        <x:f>XLOOKUP(A620,'库存与收货'!$A$5:$A$676,'库存与收货'!$H$5:$H$676,0)+XLOOKUP(A620,'库存与收货'!$A$5:$A$676,'库存与收货'!$J$5:$J$676,0)</x:f>
        <x:v>10.731066292627613</x:v>
      </x:c>
      <x:c r="J620" s="21" t="n">
        <x:f>MAX(0,1-ABS(F620-I620)/MAX(I620,0.01))</x:f>
        <x:v>0.9666680455269916</x:v>
      </x:c>
      <x:c r="K620" s="21" t="n">
        <x:f>MAX(0,1-ABS(H620-I620)/MAX(I620,0.01))</x:f>
        <x:v>0.9794818126569188</x:v>
      </x:c>
      <x:c r="L620" s="24" t="n">
        <x:f>MAX(I620-H620,0)</x:f>
        <x:v>0</x:v>
      </x:c>
      <x:c r="M620" s="24" t="n">
        <x:f>MAX(H620-I620,0)</x:f>
        <x:v>0.2201820285831566</x:v>
      </x:c>
      <x:c r="N620" s="19" t="str">
        <x:v>杨丽</x:v>
      </x:c>
      <x:c r="O620" s="19" t="str">
        <x:v>S-按销量/BOM/日型生成</x:v>
      </x:c>
    </x:row>
    <x:row r="621">
      <x:c r="A621" s="19" t="str">
        <x:v>2026-07-09|S08|青湖南椒圈</x:v>
      </x:c>
      <x:c r="B621" s="34" t="n">
        <x:v>46212.5</x:v>
      </x:c>
      <x:c r="C621" s="19" t="str">
        <x:v>S08</x:v>
      </x:c>
      <x:c r="D621" s="19" t="str">
        <x:v>四季青店</x:v>
      </x:c>
      <x:c r="E621" s="19" t="str">
        <x:v>青湖南椒圈</x:v>
      </x:c>
      <x:c r="F621" s="32" t="n">
        <x:v>1.2270819716346588</x:v>
      </x:c>
      <x:c r="G621" s="32" t="n">
        <x:v>1.2796109668450044</x:v>
      </x:c>
      <x:c r="H621" s="24" t="n">
        <x:f>G621</x:f>
        <x:v>1.2796109668450044</x:v>
      </x:c>
      <x:c r="I621" s="24" t="n">
        <x:f>XLOOKUP(A621,'库存与收货'!$A$5:$A$676,'库存与收货'!$H$5:$H$676,0)+XLOOKUP(A621,'库存与收货'!$A$5:$A$676,'库存与收货'!$J$5:$J$676,0)</x:f>
        <x:v>1.428417760369698</x:v>
      </x:c>
      <x:c r="J621" s="21" t="n">
        <x:f>MAX(0,1-ABS(F621-I621)/MAX(I621,0.01))</x:f>
        <x:v>0.8590497861893498</x:v>
      </x:c>
      <x:c r="K621" s="21" t="n">
        <x:f>MAX(0,1-ABS(H621-I621)/MAX(I621,0.01))</x:f>
        <x:v>0.8958240385598539</x:v>
      </x:c>
      <x:c r="L621" s="24" t="n">
        <x:f>MAX(I621-H621,0)</x:f>
        <x:v>0.1488067935246935</x:v>
      </x:c>
      <x:c r="M621" s="24" t="n">
        <x:f>MAX(H621-I621,0)</x:f>
        <x:v>0</x:v>
      </x:c>
      <x:c r="N621" s="19" t="str">
        <x:v>杨丽</x:v>
      </x:c>
      <x:c r="O621" s="19" t="str">
        <x:v>S-按销量/BOM/日型生成</x:v>
      </x:c>
    </x:row>
    <x:row r="622">
      <x:c r="A622" s="19" t="str">
        <x:v>2026-07-09|S08|鸡蛋</x:v>
      </x:c>
      <x:c r="B622" s="34" t="n">
        <x:v>46212.5</x:v>
      </x:c>
      <x:c r="C622" s="19" t="str">
        <x:v>S08</x:v>
      </x:c>
      <x:c r="D622" s="19" t="str">
        <x:v>四季青店</x:v>
      </x:c>
      <x:c r="E622" s="19" t="str">
        <x:v>鸡蛋</x:v>
      </x:c>
      <x:c r="F622" s="32" t="n">
        <x:v>14.808362718432875</x:v>
      </x:c>
      <x:c r="G622" s="32" t="n">
        <x:v>14.505000802479165</x:v>
      </x:c>
      <x:c r="H622" s="24" t="n">
        <x:f>G622</x:f>
        <x:v>14.505000802479165</x:v>
      </x:c>
      <x:c r="I622" s="24" t="n">
        <x:f>XLOOKUP(A622,'库存与收货'!$A$5:$A$676,'库存与收货'!$H$5:$H$676,0)+XLOOKUP(A622,'库存与收货'!$A$5:$A$676,'库存与收货'!$J$5:$J$676,0)</x:f>
        <x:v>13.705467893293934</x:v>
      </x:c>
      <x:c r="J622" s="21" t="n">
        <x:f>MAX(0,1-ABS(F622-I622)/MAX(I622,0.01))</x:f>
        <x:v>0.9195288454414179</x:v>
      </x:c>
      <x:c r="K622" s="21" t="n">
        <x:f>MAX(0,1-ABS(H622-I622)/MAX(I622,0.01))</x:f>
        <x:v>0.941663216797112</x:v>
      </x:c>
      <x:c r="L622" s="24" t="n">
        <x:f>MAX(I622-H622,0)</x:f>
        <x:v>0</x:v>
      </x:c>
      <x:c r="M622" s="24" t="n">
        <x:f>MAX(H622-I622,0)</x:f>
        <x:v>0.7995329091852312</x:v>
      </x:c>
      <x:c r="N622" s="19" t="str">
        <x:v>杨丽</x:v>
      </x:c>
      <x:c r="O622" s="19" t="str">
        <x:v>S-按销量/BOM/日型生成</x:v>
      </x:c>
    </x:row>
    <x:row r="623">
      <x:c r="A623" s="19" t="str">
        <x:v>2026-07-09|S08|鸡肉</x:v>
      </x:c>
      <x:c r="B623" s="34" t="n">
        <x:v>46212.5</x:v>
      </x:c>
      <x:c r="C623" s="19" t="str">
        <x:v>S08</x:v>
      </x:c>
      <x:c r="D623" s="19" t="str">
        <x:v>四季青店</x:v>
      </x:c>
      <x:c r="E623" s="19" t="str">
        <x:v>鸡肉</x:v>
      </x:c>
      <x:c r="F623" s="32" t="n">
        <x:v>3.674364513663936</x:v>
      </x:c>
      <x:c r="G623" s="32" t="n">
        <x:v>3.682505604666416</x:v>
      </x:c>
      <x:c r="H623" s="24" t="n">
        <x:f>G623</x:f>
        <x:v>3.682505604666416</x:v>
      </x:c>
      <x:c r="I623" s="24" t="n">
        <x:f>XLOOKUP(A623,'库存与收货'!$A$5:$A$676,'库存与收货'!$H$5:$H$676,0)+XLOOKUP(A623,'库存与收货'!$A$5:$A$676,'库存与收货'!$J$5:$J$676,0)</x:f>
        <x:v>3.703672029693535</x:v>
      </x:c>
      <x:c r="J623" s="21" t="n">
        <x:f>MAX(0,1-ABS(F623-I623)/MAX(I623,0.01))</x:f>
        <x:v>0.9920869029993393</x:v>
      </x:c>
      <x:c r="K623" s="21" t="n">
        <x:f>MAX(0,1-ABS(H623-I623)/MAX(I623,0.01))</x:f>
        <x:v>0.9942850163682365</x:v>
      </x:c>
      <x:c r="L623" s="24" t="n">
        <x:f>MAX(I623-H623,0)</x:f>
        <x:v>0.02116642502711885</x:v>
      </x:c>
      <x:c r="M623" s="24" t="n">
        <x:f>MAX(H623-I623,0)</x:f>
        <x:v>0</x:v>
      </x:c>
      <x:c r="N623" s="19" t="str">
        <x:v>杨丽</x:v>
      </x:c>
      <x:c r="O623" s="19" t="str">
        <x:v>S-按销量/BOM/日型生成</x:v>
      </x:c>
    </x:row>
    <x:row r="624">
      <x:c r="A624" s="19" t="str">
        <x:v>2026-07-09|S08|鲈鱼</x:v>
      </x:c>
      <x:c r="B624" s="34" t="n">
        <x:v>46212.5</x:v>
      </x:c>
      <x:c r="C624" s="19" t="str">
        <x:v>S08</x:v>
      </x:c>
      <x:c r="D624" s="19" t="str">
        <x:v>四季青店</x:v>
      </x:c>
      <x:c r="E624" s="19" t="str">
        <x:v>鲈鱼</x:v>
      </x:c>
      <x:c r="F624" s="32" t="n">
        <x:v>2.102582977970748</x:v>
      </x:c>
      <x:c r="G624" s="32" t="n">
        <x:v>2.249193092279078</x:v>
      </x:c>
      <x:c r="H624" s="24" t="n">
        <x:f>G624</x:f>
        <x:v>2.249193092279078</x:v>
      </x:c>
      <x:c r="I624" s="24" t="n">
        <x:f>XLOOKUP(A624,'库存与收货'!$A$5:$A$676,'库存与收货'!$H$5:$H$676,0)+XLOOKUP(A624,'库存与收货'!$A$5:$A$676,'库存与收货'!$J$5:$J$676,0)</x:f>
        <x:v>2.5581430485025383</x:v>
      </x:c>
      <x:c r="J624" s="21" t="n">
        <x:f>MAX(0,1-ABS(F624-I624)/MAX(I624,0.01))</x:f>
        <x:v>0.8219176715710008</x:v>
      </x:c>
      <x:c r="K624" s="21" t="n">
        <x:f>MAX(0,1-ABS(H624-I624)/MAX(I624,0.01))</x:f>
        <x:v>0.8792288193561691</x:v>
      </x:c>
      <x:c r="L624" s="24" t="n">
        <x:f>MAX(I624-H624,0)</x:f>
        <x:v>0.3089499562234601</x:v>
      </x:c>
      <x:c r="M624" s="24" t="n">
        <x:f>MAX(H624-I624,0)</x:f>
        <x:v>0</x:v>
      </x:c>
      <x:c r="N624" s="19" t="str">
        <x:v>杨丽</x:v>
      </x:c>
      <x:c r="O624" s="19" t="str">
        <x:v>S-按销量/BOM/日型生成</x:v>
      </x:c>
    </x:row>
    <x:row r="625">
      <x:c r="A625" s="19" t="str">
        <x:v>2026-07-09|S08|酸包菜</x:v>
      </x:c>
      <x:c r="B625" s="34" t="n">
        <x:v>46212.5</x:v>
      </x:c>
      <x:c r="C625" s="19" t="str">
        <x:v>S08</x:v>
      </x:c>
      <x:c r="D625" s="19" t="str">
        <x:v>四季青店</x:v>
      </x:c>
      <x:c r="E625" s="19" t="str">
        <x:v>酸包菜</x:v>
      </x:c>
      <x:c r="F625" s="32" t="n">
        <x:v>6.8322753307342134</x:v>
      </x:c>
      <x:c r="G625" s="32" t="n">
        <x:v>6.651065055811176</x:v>
      </x:c>
      <x:c r="H625" s="24" t="n">
        <x:f>G625</x:f>
        <x:v>6.651065055811176</x:v>
      </x:c>
      <x:c r="I625" s="24" t="n">
        <x:f>XLOOKUP(A625,'库存与收货'!$A$5:$A$676,'库存与收货'!$H$5:$H$676,0)+XLOOKUP(A625,'库存与收货'!$A$5:$A$676,'库存与收货'!$J$5:$J$676,0)</x:f>
        <x:v>6.132348140162031</x:v>
      </x:c>
      <x:c r="J625" s="21" t="n">
        <x:f>MAX(0,1-ABS(F625-I625)/MAX(I625,0.01))</x:f>
        <x:v>0.8858631025873738</x:v>
      </x:c>
      <x:c r="K625" s="21" t="n">
        <x:f>MAX(0,1-ABS(H625-I625)/MAX(I625,0.01))</x:f>
        <x:v>0.9154130026878351</x:v>
      </x:c>
      <x:c r="L625" s="24" t="n">
        <x:f>MAX(I625-H625,0)</x:f>
        <x:v>0</x:v>
      </x:c>
      <x:c r="M625" s="24" t="n">
        <x:f>MAX(H625-I625,0)</x:f>
        <x:v>0.5187169156491453</x:v>
      </x:c>
      <x:c r="N625" s="19" t="str">
        <x:v>杨丽</x:v>
      </x:c>
      <x:c r="O625" s="19" t="str">
        <x:v>S-按销量/BOM/日型生成</x:v>
      </x:c>
    </x:row>
    <x:row r="626">
      <x:c r="A626" s="19" t="str">
        <x:v>2026-07-09|S08|粉皮</x:v>
      </x:c>
      <x:c r="B626" s="34" t="n">
        <x:v>46212.5</x:v>
      </x:c>
      <x:c r="C626" s="19" t="str">
        <x:v>S08</x:v>
      </x:c>
      <x:c r="D626" s="19" t="str">
        <x:v>四季青店</x:v>
      </x:c>
      <x:c r="E626" s="19" t="str">
        <x:v>粉皮</x:v>
      </x:c>
      <x:c r="F626" s="32" t="n">
        <x:v>5.124422182400408</x:v>
      </x:c>
      <x:c r="G626" s="32" t="n">
        <x:v>4.968331256402244</x:v>
      </x:c>
      <x:c r="H626" s="24" t="n">
        <x:f>G626</x:f>
        <x:v>4.968331256402244</x:v>
      </x:c>
      <x:c r="I626" s="24" t="n">
        <x:f>XLOOKUP(A626,'库存与收货'!$A$5:$A$676,'库存与收货'!$H$5:$H$676,0)+XLOOKUP(A626,'库存与收货'!$A$5:$A$676,'库存与收货'!$J$5:$J$676,0)</x:f>
        <x:v>4.670768353391502</x:v>
      </x:c>
      <x:c r="J626" s="21" t="n">
        <x:f>MAX(0,1-ABS(F626-I626)/MAX(I626,0.01))</x:f>
        <x:v>0.9028738325934099</x:v>
      </x:c>
      <x:c r="K626" s="21" t="n">
        <x:f>MAX(0,1-ABS(H626-I626)/MAX(I626,0.01))</x:f>
        <x:v>0.9362925153856798</x:v>
      </x:c>
      <x:c r="L626" s="24" t="n">
        <x:f>MAX(I626-H626,0)</x:f>
        <x:v>0</x:v>
      </x:c>
      <x:c r="M626" s="24" t="n">
        <x:f>MAX(H626-I626,0)</x:f>
        <x:v>0.29756290301074273</x:v>
      </x:c>
      <x:c r="N626" s="19" t="str">
        <x:v>杨丽</x:v>
      </x:c>
      <x:c r="O626" s="19" t="str">
        <x:v>S-按销量/BOM/日型生成</x:v>
      </x:c>
    </x:row>
    <x:row r="627">
      <x:c r="A627" s="19" t="str">
        <x:v>2026-07-09|S08|鸡杂</x:v>
      </x:c>
      <x:c r="B627" s="34" t="n">
        <x:v>46212.5</x:v>
      </x:c>
      <x:c r="C627" s="19" t="str">
        <x:v>S08</x:v>
      </x:c>
      <x:c r="D627" s="19" t="str">
        <x:v>四季青店</x:v>
      </x:c>
      <x:c r="E627" s="19" t="str">
        <x:v>鸡杂</x:v>
      </x:c>
      <x:c r="F627" s="32" t="n">
        <x:v>3.149204858699299</x:v>
      </x:c>
      <x:c r="G627" s="32" t="n">
        <x:v>3.0327162787566837</x:v>
      </x:c>
      <x:c r="H627" s="24" t="n">
        <x:f>G627</x:f>
        <x:v>3.0327162787566837</x:v>
      </x:c>
      <x:c r="I627" s="24" t="n">
        <x:f>XLOOKUP(A627,'库存与收货'!$A$5:$A$676,'库存与收货'!$H$5:$H$676,0)+XLOOKUP(A627,'库存与收货'!$A$5:$A$676,'库存与收货'!$J$5:$J$676,0)</x:f>
        <x:v>2.814583185814748</x:v>
      </x:c>
      <x:c r="J627" s="21" t="n">
        <x:f>MAX(0,1-ABS(F627-I627)/MAX(I627,0.01))</x:f>
        <x:v>0.8811114645425956</x:v>
      </x:c>
      <x:c r="K627" s="21" t="n">
        <x:f>MAX(0,1-ABS(H627-I627)/MAX(I627,0.01))</x:f>
        <x:v>0.922498971058554</x:v>
      </x:c>
      <x:c r="L627" s="24" t="n">
        <x:f>MAX(I627-H627,0)</x:f>
        <x:v>0</x:v>
      </x:c>
      <x:c r="M627" s="24" t="n">
        <x:f>MAX(H627-I627,0)</x:f>
        <x:v>0.21813309294193584</x:v>
      </x:c>
      <x:c r="N627" s="19" t="str">
        <x:v>杨丽</x:v>
      </x:c>
      <x:c r="O627" s="19" t="str">
        <x:v>S-按销量/BOM/日型生成</x:v>
      </x:c>
    </x:row>
    <x:row r="628">
      <x:c r="A628" s="19" t="str">
        <x:v>2026-07-09|S08|豆腐</x:v>
      </x:c>
      <x:c r="B628" s="34" t="n">
        <x:v>46212.5</x:v>
      </x:c>
      <x:c r="C628" s="19" t="str">
        <x:v>S08</x:v>
      </x:c>
      <x:c r="D628" s="19" t="str">
        <x:v>四季青店</x:v>
      </x:c>
      <x:c r="E628" s="19" t="str">
        <x:v>豆腐</x:v>
      </x:c>
      <x:c r="F628" s="32" t="n">
        <x:v>19.213545869148053</x:v>
      </x:c>
      <x:c r="G628" s="32" t="n">
        <x:v>18.72798988116141</x:v>
      </x:c>
      <x:c r="H628" s="24" t="n">
        <x:f>G628</x:f>
        <x:v>18.72798988116141</x:v>
      </x:c>
      <x:c r="I628" s="24" t="n">
        <x:f>XLOOKUP(A628,'库存与收货'!$A$5:$A$676,'库存与收货'!$H$5:$H$676,0)+XLOOKUP(A628,'库存与收货'!$A$5:$A$676,'库存与收货'!$J$5:$J$676,0)</x:f>
        <x:v>17.651573040911828</x:v>
      </x:c>
      <x:c r="J628" s="21" t="n">
        <x:f>MAX(0,1-ABS(F628-I628)/MAX(I628,0.01))</x:f>
        <x:v>0.9115108424265661</x:v>
      </x:c>
      <x:c r="K628" s="21" t="n">
        <x:f>MAX(0,1-ABS(H628-I628)/MAX(I628,0.01))</x:f>
        <x:v>0.9390186450944217</x:v>
      </x:c>
      <x:c r="L628" s="24" t="n">
        <x:f>MAX(I628-H628,0)</x:f>
        <x:v>0</x:v>
      </x:c>
      <x:c r="M628" s="24" t="n">
        <x:f>MAX(H628-I628,0)</x:f>
        <x:v>1.076416840249582</x:v>
      </x:c>
      <x:c r="N628" s="19" t="str">
        <x:v>杨丽</x:v>
      </x:c>
      <x:c r="O628" s="19" t="str">
        <x:v>S-按销量/BOM/日型生成</x:v>
      </x:c>
    </x:row>
    <x:row r="629">
      <x:c r="A629" s="19" t="str">
        <x:v>2026-07-10|S08|瘦肉片</x:v>
      </x:c>
      <x:c r="B629" s="34" t="n">
        <x:v>46213.5</x:v>
      </x:c>
      <x:c r="C629" s="19" t="str">
        <x:v>S08</x:v>
      </x:c>
      <x:c r="D629" s="19" t="str">
        <x:v>四季青店</x:v>
      </x:c>
      <x:c r="E629" s="19" t="str">
        <x:v>瘦肉片</x:v>
      </x:c>
      <x:c r="F629" s="32" t="n">
        <x:v>12.25454472130404</x:v>
      </x:c>
      <x:c r="G629" s="32" t="n">
        <x:v>11.734961895995545</x:v>
      </x:c>
      <x:c r="H629" s="24" t="n">
        <x:f>G629</x:f>
        <x:v>11.734961895995545</x:v>
      </x:c>
      <x:c r="I629" s="24" t="n">
        <x:f>XLOOKUP(A629,'库存与收货'!$A$5:$A$676,'库存与收货'!$H$5:$H$676,0)+XLOOKUP(A629,'库存与收货'!$A$5:$A$676,'库存与收货'!$J$5:$J$676,0)</x:f>
        <x:v>10.59017203090018</x:v>
      </x:c>
      <x:c r="J629" s="21" t="n">
        <x:f>MAX(0,1-ABS(F629-I629)/MAX(I629,0.01))</x:f>
        <x:v>0.8428379930422729</x:v>
      </x:c>
      <x:c r="K629" s="21" t="n">
        <x:f>MAX(0,1-ABS(H629-I629)/MAX(I629,0.01))</x:f>
        <x:v>0.8919007300584846</x:v>
      </x:c>
      <x:c r="L629" s="24" t="n">
        <x:f>MAX(I629-H629,0)</x:f>
        <x:v>0</x:v>
      </x:c>
      <x:c r="M629" s="24" t="n">
        <x:f>MAX(H629-I629,0)</x:f>
        <x:v>1.1447898650953654</x:v>
      </x:c>
      <x:c r="N629" s="19" t="str">
        <x:v>杨丽</x:v>
      </x:c>
      <x:c r="O629" s="19" t="str">
        <x:v>S-按销量/BOM/日型生成</x:v>
      </x:c>
    </x:row>
    <x:row r="630">
      <x:c r="A630" s="19" t="str">
        <x:v>2026-07-10|S08|肥肉片</x:v>
      </x:c>
      <x:c r="B630" s="34" t="n">
        <x:v>46213.5</x:v>
      </x:c>
      <x:c r="C630" s="19" t="str">
        <x:v>S08</x:v>
      </x:c>
      <x:c r="D630" s="19" t="str">
        <x:v>四季青店</x:v>
      </x:c>
      <x:c r="E630" s="19" t="str">
        <x:v>肥肉片</x:v>
      </x:c>
      <x:c r="F630" s="32" t="n">
        <x:v>2.9342421070710136</x:v>
      </x:c>
      <x:c r="G630" s="32" t="n">
        <x:v>2.9569156623166974</x:v>
      </x:c>
      <x:c r="H630" s="24" t="n">
        <x:f>G630</x:f>
        <x:v>2.9569156623166974</x:v>
      </x:c>
      <x:c r="I630" s="24" t="n">
        <x:f>XLOOKUP(A630,'库存与收货'!$A$5:$A$676,'库存与收货'!$H$5:$H$676,0)+XLOOKUP(A630,'库存与收货'!$A$5:$A$676,'库存与收货'!$J$5:$J$676,0)</x:f>
        <x:v>2.9854738765624296</x:v>
      </x:c>
      <x:c r="J630" s="21" t="n">
        <x:f>MAX(0,1-ABS(F630-I630)/MAX(I630,0.01))</x:f>
        <x:v>0.9828396523936743</x:v>
      </x:c>
      <x:c r="K630" s="21" t="n">
        <x:f>MAX(0,1-ABS(H630-I630)/MAX(I630,0.01))</x:f>
        <x:v>0.9904342776301178</x:v>
      </x:c>
      <x:c r="L630" s="24" t="n">
        <x:f>MAX(I630-H630,0)</x:f>
        <x:v>0.028558214245732128</x:v>
      </x:c>
      <x:c r="M630" s="24" t="n">
        <x:f>MAX(H630-I630,0)</x:f>
        <x:v>0</x:v>
      </x:c>
      <x:c r="N630" s="19" t="str">
        <x:v>杨丽</x:v>
      </x:c>
      <x:c r="O630" s="19" t="str">
        <x:v>S-按销量/BOM/日型生成</x:v>
      </x:c>
    </x:row>
    <x:row r="631">
      <x:c r="A631" s="19" t="str">
        <x:v>2026-07-10|S08|牛肉片</x:v>
      </x:c>
      <x:c r="B631" s="34" t="n">
        <x:v>46213.5</x:v>
      </x:c>
      <x:c r="C631" s="19" t="str">
        <x:v>S08</x:v>
      </x:c>
      <x:c r="D631" s="19" t="str">
        <x:v>四季青店</x:v>
      </x:c>
      <x:c r="E631" s="19" t="str">
        <x:v>牛肉片</x:v>
      </x:c>
      <x:c r="F631" s="32" t="n">
        <x:v>8.463184916234232</x:v>
      </x:c>
      <x:c r="G631" s="32" t="n">
        <x:v>8.068660846958823</x:v>
      </x:c>
      <x:c r="H631" s="24" t="n">
        <x:f>G631</x:f>
        <x:v>8.068660846958823</x:v>
      </x:c>
      <x:c r="I631" s="24" t="n">
        <x:f>XLOOKUP(A631,'库存与收货'!$A$5:$A$676,'库存与收货'!$H$5:$H$676,0)+XLOOKUP(A631,'库存与收货'!$A$5:$A$676,'库存与收货'!$J$5:$J$676,0)</x:f>
        <x:v>7.207416471217856</x:v>
      </x:c>
      <x:c r="J631" s="21" t="n">
        <x:f>MAX(0,1-ABS(F631-I631)/MAX(I631,0.01))</x:f>
        <x:v>0.8257671871701643</x:v>
      </x:c>
      <x:c r="K631" s="21" t="n">
        <x:f>MAX(0,1-ABS(H631-I631)/MAX(I631,0.01))</x:f>
        <x:v>0.8805058124252615</x:v>
      </x:c>
      <x:c r="L631" s="24" t="n">
        <x:f>MAX(I631-H631,0)</x:f>
        <x:v>0</x:v>
      </x:c>
      <x:c r="M631" s="24" t="n">
        <x:f>MAX(H631-I631,0)</x:f>
        <x:v>0.8612443757409665</x:v>
      </x:c>
      <x:c r="N631" s="19" t="str">
        <x:v>杨丽</x:v>
      </x:c>
      <x:c r="O631" s="19" t="str">
        <x:v>S-按销量/BOM/日型生成</x:v>
      </x:c>
    </x:row>
    <x:row r="632">
      <x:c r="A632" s="19" t="str">
        <x:v>2026-07-10|S08|螺丝椒</x:v>
      </x:c>
      <x:c r="B632" s="34" t="n">
        <x:v>46213.5</x:v>
      </x:c>
      <x:c r="C632" s="19" t="str">
        <x:v>S08</x:v>
      </x:c>
      <x:c r="D632" s="19" t="str">
        <x:v>四季青店</x:v>
      </x:c>
      <x:c r="E632" s="19" t="str">
        <x:v>螺丝椒</x:v>
      </x:c>
      <x:c r="F632" s="32" t="n">
        <x:v>12.331371063448893</x:v>
      </x:c>
      <x:c r="G632" s="32" t="n">
        <x:v>11.656550349021265</x:v>
      </x:c>
      <x:c r="H632" s="24" t="n">
        <x:f>G632</x:f>
        <x:v>11.656550349021265</x:v>
      </x:c>
      <x:c r="I632" s="24" t="n">
        <x:f>XLOOKUP(A632,'库存与收货'!$A$5:$A$676,'库存与收货'!$H$5:$H$676,0)+XLOOKUP(A632,'库存与收货'!$A$5:$A$676,'库存与收货'!$J$5:$J$676,0)</x:f>
        <x:v>10.73984713190639</x:v>
      </x:c>
      <x:c r="J632" s="21" t="n">
        <x:f>MAX(0,1-ABS(F632-I632)/MAX(I632,0.01))</x:f>
        <x:v>0.8518113049473175</x:v>
      </x:c>
      <x:c r="K632" s="21" t="n">
        <x:f>MAX(0,1-ABS(H632-I632)/MAX(I632,0.01))</x:f>
        <x:v>0.9146446680426676</x:v>
      </x:c>
      <x:c r="L632" s="24" t="n">
        <x:f>MAX(I632-H632,0)</x:f>
        <x:v>0</x:v>
      </x:c>
      <x:c r="M632" s="24" t="n">
        <x:f>MAX(H632-I632,0)</x:f>
        <x:v>0.9167032171148737</x:v>
      </x:c>
      <x:c r="N632" s="19" t="str">
        <x:v>杨丽</x:v>
      </x:c>
      <x:c r="O632" s="19" t="str">
        <x:v>S-按销量/BOM/日型生成</x:v>
      </x:c>
    </x:row>
    <x:row r="633">
      <x:c r="A633" s="19" t="str">
        <x:v>2026-07-10|S08|青湖南椒圈</x:v>
      </x:c>
      <x:c r="B633" s="34" t="n">
        <x:v>46213.5</x:v>
      </x:c>
      <x:c r="C633" s="19" t="str">
        <x:v>S08</x:v>
      </x:c>
      <x:c r="D633" s="19" t="str">
        <x:v>四季青店</x:v>
      </x:c>
      <x:c r="E633" s="19" t="str">
        <x:v>青湖南椒圈</x:v>
      </x:c>
      <x:c r="F633" s="32" t="n">
        <x:v>1.3492046629678602</x:v>
      </x:c>
      <x:c r="G633" s="32" t="n">
        <x:v>1.450379079283065</x:v>
      </x:c>
      <x:c r="H633" s="24" t="n">
        <x:f>G633</x:f>
        <x:v>1.450379079283065</x:v>
      </x:c>
      <x:c r="I633" s="24" t="n">
        <x:f>XLOOKUP(A633,'库存与收货'!$A$5:$A$676,'库存与收货'!$H$5:$H$676,0)+XLOOKUP(A633,'库存与收货'!$A$5:$A$676,'库存与收货'!$J$5:$J$676,0)</x:f>
        <x:v>1.6339153934814772</x:v>
      </x:c>
      <x:c r="J633" s="21" t="n">
        <x:f>MAX(0,1-ABS(F633-I633)/MAX(I633,0.01))</x:f>
        <x:v>0.8257494043758487</x:v>
      </x:c>
      <x:c r="K633" s="21" t="n">
        <x:f>MAX(0,1-ABS(H633-I633)/MAX(I633,0.01))</x:f>
        <x:v>0.8876708580317976</x:v>
      </x:c>
      <x:c r="L633" s="24" t="n">
        <x:f>MAX(I633-H633,0)</x:f>
        <x:v>0.1835363141984121</x:v>
      </x:c>
      <x:c r="M633" s="24" t="n">
        <x:f>MAX(H633-I633,0)</x:f>
        <x:v>0</x:v>
      </x:c>
      <x:c r="N633" s="19" t="str">
        <x:v>杨丽</x:v>
      </x:c>
      <x:c r="O633" s="19" t="str">
        <x:v>S-按销量/BOM/日型生成</x:v>
      </x:c>
    </x:row>
    <x:row r="634">
      <x:c r="A634" s="19" t="str">
        <x:v>2026-07-10|S08|鸡蛋</x:v>
      </x:c>
      <x:c r="B634" s="34" t="n">
        <x:v>46213.5</x:v>
      </x:c>
      <x:c r="C634" s="19" t="str">
        <x:v>S08</x:v>
      </x:c>
      <x:c r="D634" s="19" t="str">
        <x:v>四季青店</x:v>
      </x:c>
      <x:c r="E634" s="19" t="str">
        <x:v>鸡蛋</x:v>
      </x:c>
      <x:c r="F634" s="32" t="n">
        <x:v>14.753736072111089</x:v>
      </x:c>
      <x:c r="G634" s="32" t="n">
        <x:v>14.340437836332674</x:v>
      </x:c>
      <x:c r="H634" s="24" t="n">
        <x:f>G634</x:f>
        <x:v>14.340437836332674</x:v>
      </x:c>
      <x:c r="I634" s="24" t="n">
        <x:f>XLOOKUP(A634,'库存与收货'!$A$5:$A$676,'库存与收货'!$H$5:$H$676,0)+XLOOKUP(A634,'库存与收货'!$A$5:$A$676,'库存与收货'!$J$5:$J$676,0)</x:f>
        <x:v>13.804752542967268</x:v>
      </x:c>
      <x:c r="J634" s="21" t="n">
        <x:f>MAX(0,1-ABS(F634-I634)/MAX(I634,0.01))</x:f>
        <x:v>0.9312567518910526</x:v>
      </x:c>
      <x:c r="K634" s="21" t="n">
        <x:f>MAX(0,1-ABS(H634-I634)/MAX(I634,0.01))</x:f>
        <x:v>0.9611955888598447</x:v>
      </x:c>
      <x:c r="L634" s="24" t="n">
        <x:f>MAX(I634-H634,0)</x:f>
        <x:v>0</x:v>
      </x:c>
      <x:c r="M634" s="24" t="n">
        <x:f>MAX(H634-I634,0)</x:f>
        <x:v>0.5356852933654057</x:v>
      </x:c>
      <x:c r="N634" s="19" t="str">
        <x:v>杨丽</x:v>
      </x:c>
      <x:c r="O634" s="19" t="str">
        <x:v>S-按销量/BOM/日型生成</x:v>
      </x:c>
    </x:row>
    <x:row r="635">
      <x:c r="A635" s="19" t="str">
        <x:v>2026-07-10|S08|鸡肉</x:v>
      </x:c>
      <x:c r="B635" s="34" t="n">
        <x:v>46213.5</x:v>
      </x:c>
      <x:c r="C635" s="19" t="str">
        <x:v>S08</x:v>
      </x:c>
      <x:c r="D635" s="19" t="str">
        <x:v>四季青店</x:v>
      </x:c>
      <x:c r="E635" s="19" t="str">
        <x:v>鸡肉</x:v>
      </x:c>
      <x:c r="F635" s="32" t="n">
        <x:v>4.906858847116804</x:v>
      </x:c>
      <x:c r="G635" s="32" t="n">
        <x:v>4.812326226685358</x:v>
      </x:c>
      <x:c r="H635" s="24" t="n">
        <x:f>G635</x:f>
        <x:v>4.812326226685358</x:v>
      </x:c>
      <x:c r="I635" s="24" t="n">
        <x:f>XLOOKUP(A635,'库存与收货'!$A$5:$A$676,'库存与收货'!$H$5:$H$676,0)+XLOOKUP(A635,'库存与收货'!$A$5:$A$676,'库存与收货'!$J$5:$J$676,0)</x:f>
        <x:v>4.615969105359626</x:v>
      </x:c>
      <x:c r="J635" s="21" t="n">
        <x:f>MAX(0,1-ABS(F635-I635)/MAX(I635,0.01))</x:f>
        <x:v>0.936981869870094</x:v>
      </x:c>
      <x:c r="K635" s="21" t="n">
        <x:f>MAX(0,1-ABS(H635-I635)/MAX(I635,0.01))</x:f>
        <x:v>0.9574613441199723</x:v>
      </x:c>
      <x:c r="L635" s="24" t="n">
        <x:f>MAX(I635-H635,0)</x:f>
        <x:v>0</x:v>
      </x:c>
      <x:c r="M635" s="24" t="n">
        <x:f>MAX(H635-I635,0)</x:f>
        <x:v>0.19635712132573246</x:v>
      </x:c>
      <x:c r="N635" s="19" t="str">
        <x:v>杨丽</x:v>
      </x:c>
      <x:c r="O635" s="19" t="str">
        <x:v>S-按销量/BOM/日型生成</x:v>
      </x:c>
    </x:row>
    <x:row r="636">
      <x:c r="A636" s="19" t="str">
        <x:v>2026-07-10|S08|鲈鱼</x:v>
      </x:c>
      <x:c r="B636" s="34" t="n">
        <x:v>46213.5</x:v>
      </x:c>
      <x:c r="C636" s="19" t="str">
        <x:v>S08</x:v>
      </x:c>
      <x:c r="D636" s="19" t="str">
        <x:v>四季青店</x:v>
      </x:c>
      <x:c r="E636" s="19" t="str">
        <x:v>鲈鱼</x:v>
      </x:c>
      <x:c r="F636" s="32" t="n">
        <x:v>3.436970218218143</x:v>
      </x:c>
      <x:c r="G636" s="32" t="n">
        <x:v>3.3076404068289342</x:v>
      </x:c>
      <x:c r="H636" s="24" t="n">
        <x:f>G636</x:f>
        <x:v>3.3076404068289342</x:v>
      </x:c>
      <x:c r="I636" s="24" t="n">
        <x:f>XLOOKUP(A636,'库存与收货'!$A$5:$A$676,'库存与收货'!$H$5:$H$676,0)+XLOOKUP(A636,'库存与收货'!$A$5:$A$676,'库存与收货'!$J$5:$J$676,0)</x:f>
        <x:v>3.1028504749883083</x:v>
      </x:c>
      <x:c r="J636" s="21" t="n">
        <x:f>MAX(0,1-ABS(F636-I636)/MAX(I636,0.01))</x:f>
        <x:v>0.8923184517194327</x:v>
      </x:c>
      <x:c r="K636" s="21" t="n">
        <x:f>MAX(0,1-ABS(H636-I636)/MAX(I636,0.01))</x:f>
        <x:v>0.9339994197298864</x:v>
      </x:c>
      <x:c r="L636" s="24" t="n">
        <x:f>MAX(I636-H636,0)</x:f>
        <x:v>0</x:v>
      </x:c>
      <x:c r="M636" s="24" t="n">
        <x:f>MAX(H636-I636,0)</x:f>
        <x:v>0.20478993184062588</x:v>
      </x:c>
      <x:c r="N636" s="19" t="str">
        <x:v>杨丽</x:v>
      </x:c>
      <x:c r="O636" s="19" t="str">
        <x:v>S-按销量/BOM/日型生成</x:v>
      </x:c>
    </x:row>
    <x:row r="637">
      <x:c r="A637" s="19" t="str">
        <x:v>2026-07-10|S08|酸包菜</x:v>
      </x:c>
      <x:c r="B637" s="34" t="n">
        <x:v>46213.5</x:v>
      </x:c>
      <x:c r="C637" s="19" t="str">
        <x:v>S08</x:v>
      </x:c>
      <x:c r="D637" s="19" t="str">
        <x:v>四季青店</x:v>
      </x:c>
      <x:c r="E637" s="19" t="str">
        <x:v>酸包菜</x:v>
      </x:c>
      <x:c r="F637" s="32" t="n">
        <x:v>6.492160095251735</x:v>
      </x:c>
      <x:c r="G637" s="32" t="n">
        <x:v>6.532433736284204</x:v>
      </x:c>
      <x:c r="H637" s="24" t="n">
        <x:f>G637</x:f>
        <x:v>6.532433736284204</x:v>
      </x:c>
      <x:c r="I637" s="24" t="n">
        <x:f>XLOOKUP(A637,'库存与收货'!$A$5:$A$676,'库存与收货'!$H$5:$H$676,0)+XLOOKUP(A637,'库存与收货'!$A$5:$A$676,'库存与收货'!$J$5:$J$676,0)</x:f>
        <x:v>6.5886388868160175</x:v>
      </x:c>
      <x:c r="J637" s="21" t="n">
        <x:f>MAX(0,1-ABS(F637-I637)/MAX(I637,0.01))</x:f>
        <x:v>0.9853567947459773</x:v>
      </x:c>
      <x:c r="K637" s="21" t="n">
        <x:f>MAX(0,1-ABS(H637-I637)/MAX(I637,0.01))</x:f>
        <x:v>0.9914693836621885</x:v>
      </x:c>
      <x:c r="L637" s="24" t="n">
        <x:f>MAX(I637-H637,0)</x:f>
        <x:v>0.056205150531813075</x:v>
      </x:c>
      <x:c r="M637" s="24" t="n">
        <x:f>MAX(H637-I637,0)</x:f>
        <x:v>0</x:v>
      </x:c>
      <x:c r="N637" s="19" t="str">
        <x:v>杨丽</x:v>
      </x:c>
      <x:c r="O637" s="19" t="str">
        <x:v>S-按销量/BOM/日型生成</x:v>
      </x:c>
    </x:row>
    <x:row r="638">
      <x:c r="A638" s="19" t="str">
        <x:v>2026-07-10|S08|粉皮</x:v>
      </x:c>
      <x:c r="B638" s="34" t="n">
        <x:v>46213.5</x:v>
      </x:c>
      <x:c r="C638" s="19" t="str">
        <x:v>S08</x:v>
      </x:c>
      <x:c r="D638" s="19" t="str">
        <x:v>四季青店</x:v>
      </x:c>
      <x:c r="E638" s="19" t="str">
        <x:v>粉皮</x:v>
      </x:c>
      <x:c r="F638" s="32" t="n">
        <x:v>5.38427880752315</x:v>
      </x:c>
      <x:c r="G638" s="32" t="n">
        <x:v>5.181863848696828</x:v>
      </x:c>
      <x:c r="H638" s="24" t="n">
        <x:f>G638</x:f>
        <x:v>5.181863848696828</x:v>
      </x:c>
      <x:c r="I638" s="24" t="n">
        <x:f>XLOOKUP(A638,'库存与收货'!$A$5:$A$676,'库存与收货'!$H$5:$H$676,0)+XLOOKUP(A638,'库存与收货'!$A$5:$A$676,'库存与收货'!$J$5:$J$676,0)</x:f>
        <x:v>4.885137673105378</x:v>
      </x:c>
      <x:c r="J638" s="21" t="n">
        <x:f>MAX(0,1-ABS(F638-I638)/MAX(I638,0.01))</x:f>
        <x:v>0.8978245511552844</x:v>
      </x:c>
      <x:c r="K638" s="21" t="n">
        <x:f>MAX(0,1-ABS(H638-I638)/MAX(I638,0.01))</x:f>
        <x:v>0.9392594036346108</x:v>
      </x:c>
      <x:c r="L638" s="24" t="n">
        <x:f>MAX(I638-H638,0)</x:f>
        <x:v>0</x:v>
      </x:c>
      <x:c r="M638" s="24" t="n">
        <x:f>MAX(H638-I638,0)</x:f>
        <x:v>0.2967261755914503</x:v>
      </x:c>
      <x:c r="N638" s="19" t="str">
        <x:v>杨丽</x:v>
      </x:c>
      <x:c r="O638" s="19" t="str">
        <x:v>S-按销量/BOM/日型生成</x:v>
      </x:c>
    </x:row>
    <x:row r="639">
      <x:c r="A639" s="19" t="str">
        <x:v>2026-07-10|S08|鸡杂</x:v>
      </x:c>
      <x:c r="B639" s="34" t="n">
        <x:v>46213.5</x:v>
      </x:c>
      <x:c r="C639" s="19" t="str">
        <x:v>S08</x:v>
      </x:c>
      <x:c r="D639" s="19" t="str">
        <x:v>四季青店</x:v>
      </x:c>
      <x:c r="E639" s="19" t="str">
        <x:v>鸡杂</x:v>
      </x:c>
      <x:c r="F639" s="32" t="n">
        <x:v>3.286016907838347</x:v>
      </x:c>
      <x:c r="G639" s="32" t="n">
        <x:v>3.126432411182636</x:v>
      </x:c>
      <x:c r="H639" s="24" t="n">
        <x:f>G639</x:f>
        <x:v>3.126432411182636</x:v>
      </x:c>
      <x:c r="I639" s="24" t="n">
        <x:f>XLOOKUP(A639,'库存与收货'!$A$5:$A$676,'库存与收货'!$H$5:$H$676,0)+XLOOKUP(A639,'库存与收货'!$A$5:$A$676,'库存与收货'!$J$5:$J$676,0)</x:f>
        <x:v>2.820492583615529</x:v>
      </x:c>
      <x:c r="J639" s="21" t="n">
        <x:f>MAX(0,1-ABS(F639-I639)/MAX(I639,0.01))</x:f>
        <x:v>0.8349492826440719</x:v>
      </x:c>
      <x:c r="K639" s="21" t="n">
        <x:f>MAX(0,1-ABS(H639-I639)/MAX(I639,0.01))</x:f>
        <x:v>0.8915296465077284</x:v>
      </x:c>
      <x:c r="L639" s="24" t="n">
        <x:f>MAX(I639-H639,0)</x:f>
        <x:v>0</x:v>
      </x:c>
      <x:c r="M639" s="24" t="n">
        <x:f>MAX(H639-I639,0)</x:f>
        <x:v>0.3059398275671068</x:v>
      </x:c>
      <x:c r="N639" s="19" t="str">
        <x:v>杨丽</x:v>
      </x:c>
      <x:c r="O639" s="19" t="str">
        <x:v>S-按销量/BOM/日型生成</x:v>
      </x:c>
    </x:row>
    <x:row r="640">
      <x:c r="A640" s="19" t="str">
        <x:v>2026-07-10|S08|豆腐</x:v>
      </x:c>
      <x:c r="B640" s="34" t="n">
        <x:v>46213.5</x:v>
      </x:c>
      <x:c r="C640" s="19" t="str">
        <x:v>S08</x:v>
      </x:c>
      <x:c r="D640" s="19" t="str">
        <x:v>四季青店</x:v>
      </x:c>
      <x:c r="E640" s="19" t="str">
        <x:v>豆腐</x:v>
      </x:c>
      <x:c r="F640" s="32" t="n">
        <x:v>17.697665396019662</x:v>
      </x:c>
      <x:c r="G640" s="32" t="n">
        <x:v>17.99295564450353</x:v>
      </x:c>
      <x:c r="H640" s="24" t="n">
        <x:f>G640</x:f>
        <x:v>17.99295564450353</x:v>
      </x:c>
      <x:c r="I640" s="24" t="n">
        <x:f>XLOOKUP(A640,'库存与收货'!$A$5:$A$676,'库存与收货'!$H$5:$H$676,0)+XLOOKUP(A640,'库存与收货'!$A$5:$A$676,'库存与收货'!$J$5:$J$676,0)</x:f>
        <x:v>18.86835282746431</x:v>
      </x:c>
      <x:c r="J640" s="21" t="n">
        <x:f>MAX(0,1-ABS(F640-I640)/MAX(I640,0.01))</x:f>
        <x:v>0.9379549745465526</x:v>
      </x:c>
      <x:c r="K640" s="21" t="n">
        <x:f>MAX(0,1-ABS(H640-I640)/MAX(I640,0.01))</x:f>
        <x:v>0.9536050024628238</x:v>
      </x:c>
      <x:c r="L640" s="24" t="n">
        <x:f>MAX(I640-H640,0)</x:f>
        <x:v>0.8753971829607785</x:v>
      </x:c>
      <x:c r="M640" s="24" t="n">
        <x:f>MAX(H640-I640,0)</x:f>
        <x:v>0</x:v>
      </x:c>
      <x:c r="N640" s="19" t="str">
        <x:v>杨丽</x:v>
      </x:c>
      <x:c r="O640" s="19" t="str">
        <x:v>S-按销量/BOM/日型生成</x:v>
      </x:c>
    </x:row>
    <x:row r="641">
      <x:c r="A641" s="19" t="str">
        <x:v>2026-07-11|S08|瘦肉片</x:v>
      </x:c>
      <x:c r="B641" s="34" t="n">
        <x:v>46214.5</x:v>
      </x:c>
      <x:c r="C641" s="19" t="str">
        <x:v>S08</x:v>
      </x:c>
      <x:c r="D641" s="19" t="str">
        <x:v>四季青店</x:v>
      </x:c>
      <x:c r="E641" s="19" t="str">
        <x:v>瘦肉片</x:v>
      </x:c>
      <x:c r="F641" s="32" t="n">
        <x:v>6.642408890399298</x:v>
      </x:c>
      <x:c r="G641" s="32" t="n">
        <x:v>7.003119118215996</x:v>
      </x:c>
      <x:c r="H641" s="24" t="n">
        <x:f>G641</x:f>
        <x:v>7.003119118215996</x:v>
      </x:c>
      <x:c r="I641" s="24" t="n">
        <x:f>XLOOKUP(A641,'库存与收货'!$A$5:$A$676,'库存与收货'!$H$5:$H$676,0)+XLOOKUP(A641,'库存与收货'!$A$5:$A$676,'库存与收货'!$J$5:$J$676,0)</x:f>
        <x:v>7.89130130112609</x:v>
      </x:c>
      <x:c r="J641" s="21" t="n">
        <x:f>MAX(0,1-ABS(F641-I641)/MAX(I641,0.01))</x:f>
        <x:v>0.8417380907064624</x:v>
      </x:c>
      <x:c r="K641" s="21" t="n">
        <x:f>MAX(0,1-ABS(H641-I641)/MAX(I641,0.01))</x:f>
        <x:v>0.8874479443861369</x:v>
      </x:c>
      <x:c r="L641" s="24" t="n">
        <x:f>MAX(I641-H641,0)</x:f>
        <x:v>0.8881821829100938</x:v>
      </x:c>
      <x:c r="M641" s="24" t="n">
        <x:f>MAX(H641-I641,0)</x:f>
        <x:v>0</x:v>
      </x:c>
      <x:c r="N641" s="19" t="str">
        <x:v>杨丽</x:v>
      </x:c>
      <x:c r="O641" s="19" t="str">
        <x:v>S-按销量/BOM/日型生成</x:v>
      </x:c>
    </x:row>
    <x:row r="642">
      <x:c r="A642" s="19" t="str">
        <x:v>2026-07-11|S08|肥肉片</x:v>
      </x:c>
      <x:c r="B642" s="34" t="n">
        <x:v>46214.5</x:v>
      </x:c>
      <x:c r="C642" s="19" t="str">
        <x:v>S08</x:v>
      </x:c>
      <x:c r="D642" s="19" t="str">
        <x:v>四季青店</x:v>
      </x:c>
      <x:c r="E642" s="19" t="str">
        <x:v>肥肉片</x:v>
      </x:c>
      <x:c r="F642" s="32" t="n">
        <x:v>2.06056126640542</x:v>
      </x:c>
      <x:c r="G642" s="32" t="n">
        <x:v>2.1219414010738995</x:v>
      </x:c>
      <x:c r="H642" s="24" t="n">
        <x:f>G642</x:f>
        <x:v>2.1219414010738995</x:v>
      </x:c>
      <x:c r="I642" s="24" t="n">
        <x:f>XLOOKUP(A642,'库存与收货'!$A$5:$A$676,'库存与收货'!$H$5:$H$676,0)+XLOOKUP(A642,'库存与收货'!$A$5:$A$676,'库存与收货'!$J$5:$J$676,0)</x:f>
        <x:v>2.2566079370646293</x:v>
      </x:c>
      <x:c r="J642" s="21" t="n">
        <x:f>MAX(0,1-ABS(F642-I642)/MAX(I642,0.01))</x:f>
        <x:v>0.9131232911844559</x:v>
      </x:c>
      <x:c r="K642" s="21" t="n">
        <x:f>MAX(0,1-ABS(H642-I642)/MAX(I642,0.01))</x:f>
        <x:v>0.9403234679011621</x:v>
      </x:c>
      <x:c r="L642" s="24" t="n">
        <x:f>MAX(I642-H642,0)</x:f>
        <x:v>0.13466653599072975</x:v>
      </x:c>
      <x:c r="M642" s="24" t="n">
        <x:f>MAX(H642-I642,0)</x:f>
        <x:v>0</x:v>
      </x:c>
      <x:c r="N642" s="19" t="str">
        <x:v>杨丽</x:v>
      </x:c>
      <x:c r="O642" s="19" t="str">
        <x:v>S-按销量/BOM/日型生成</x:v>
      </x:c>
    </x:row>
    <x:row r="643">
      <x:c r="A643" s="19" t="str">
        <x:v>2026-07-11|S08|牛肉片</x:v>
      </x:c>
      <x:c r="B643" s="34" t="n">
        <x:v>46214.5</x:v>
      </x:c>
      <x:c r="C643" s="19" t="str">
        <x:v>S08</x:v>
      </x:c>
      <x:c r="D643" s="19" t="str">
        <x:v>四季青店</x:v>
      </x:c>
      <x:c r="E643" s="19" t="str">
        <x:v>牛肉片</x:v>
      </x:c>
      <x:c r="F643" s="32" t="n">
        <x:v>5.192163829003766</x:v>
      </x:c>
      <x:c r="G643" s="32" t="n">
        <x:v>5.449166704430564</x:v>
      </x:c>
      <x:c r="H643" s="24" t="n">
        <x:f>G643</x:f>
        <x:v>5.449166704430564</x:v>
      </x:c>
      <x:c r="I643" s="24" t="n">
        <x:f>XLOOKUP(A643,'库存与收货'!$A$5:$A$676,'库存与收货'!$H$5:$H$676,0)+XLOOKUP(A643,'库存与收货'!$A$5:$A$676,'库存与收货'!$J$5:$J$676,0)</x:f>
        <x:v>5.909726999399655</x:v>
      </x:c>
      <x:c r="J643" s="21" t="n">
        <x:f>MAX(0,1-ABS(F643-I643)/MAX(I643,0.01))</x:f>
        <x:v>0.8785793031609103</x:v>
      </x:c>
      <x:c r="K643" s="21" t="n">
        <x:f>MAX(0,1-ABS(H643-I643)/MAX(I643,0.01))</x:f>
        <x:v>0.9220674161402248</x:v>
      </x:c>
      <x:c r="L643" s="24" t="n">
        <x:f>MAX(I643-H643,0)</x:f>
        <x:v>0.460560294969091</x:v>
      </x:c>
      <x:c r="M643" s="24" t="n">
        <x:f>MAX(H643-I643,0)</x:f>
        <x:v>0</x:v>
      </x:c>
      <x:c r="N643" s="19" t="str">
        <x:v>杨丽</x:v>
      </x:c>
      <x:c r="O643" s="19" t="str">
        <x:v>S-按销量/BOM/日型生成</x:v>
      </x:c>
    </x:row>
    <x:row r="644">
      <x:c r="A644" s="19" t="str">
        <x:v>2026-07-11|S08|螺丝椒</x:v>
      </x:c>
      <x:c r="B644" s="34" t="n">
        <x:v>46214.5</x:v>
      </x:c>
      <x:c r="C644" s="19" t="str">
        <x:v>S08</x:v>
      </x:c>
      <x:c r="D644" s="19" t="str">
        <x:v>四季青店</x:v>
      </x:c>
      <x:c r="E644" s="19" t="str">
        <x:v>螺丝椒</x:v>
      </x:c>
      <x:c r="F644" s="32" t="n">
        <x:v>9.701891048619574</x:v>
      </x:c>
      <x:c r="G644" s="32" t="n">
        <x:v>9.402050774067256</x:v>
      </x:c>
      <x:c r="H644" s="24" t="n">
        <x:f>G644</x:f>
        <x:v>9.402050774067256</x:v>
      </x:c>
      <x:c r="I644" s="24" t="n">
        <x:f>XLOOKUP(A644,'库存与收货'!$A$5:$A$676,'库存与收货'!$H$5:$H$676,0)+XLOOKUP(A644,'库存与收货'!$A$5:$A$676,'库存与收货'!$J$5:$J$676,0)</x:f>
        <x:v>8.507599173028161</x:v>
      </x:c>
      <x:c r="J644" s="21" t="n">
        <x:f>MAX(0,1-ABS(F644-I644)/MAX(I644,0.01))</x:f>
        <x:v>0.8596205755229156</x:v>
      </x:c>
      <x:c r="K644" s="21" t="n">
        <x:f>MAX(0,1-ABS(H644-I644)/MAX(I644,0.01))</x:f>
        <x:v>0.8948643932503549</x:v>
      </x:c>
      <x:c r="L644" s="24" t="n">
        <x:f>MAX(I644-H644,0)</x:f>
        <x:v>0</x:v>
      </x:c>
      <x:c r="M644" s="24" t="n">
        <x:f>MAX(H644-I644,0)</x:f>
        <x:v>0.8944516010390942</x:v>
      </x:c>
      <x:c r="N644" s="19" t="str">
        <x:v>杨丽</x:v>
      </x:c>
      <x:c r="O644" s="19" t="str">
        <x:v>S-按销量/BOM/日型生成</x:v>
      </x:c>
    </x:row>
    <x:row r="645">
      <x:c r="A645" s="19" t="str">
        <x:v>2026-07-11|S08|青湖南椒圈</x:v>
      </x:c>
      <x:c r="B645" s="34" t="n">
        <x:v>46214.5</x:v>
      </x:c>
      <x:c r="C645" s="19" t="str">
        <x:v>S08</x:v>
      </x:c>
      <x:c r="D645" s="19" t="str">
        <x:v>四季青店</x:v>
      </x:c>
      <x:c r="E645" s="19" t="str">
        <x:v>青湖南椒圈</x:v>
      </x:c>
      <x:c r="F645" s="32" t="n">
        <x:v>1.2564799601508014</x:v>
      </x:c>
      <x:c r="G645" s="32" t="n">
        <x:v>1.1999429451044774</x:v>
      </x:c>
      <x:c r="H645" s="24" t="n">
        <x:f>G645</x:f>
        <x:v>1.1999429451044774</x:v>
      </x:c>
      <x:c r="I645" s="24" t="n">
        <x:f>XLOOKUP(A645,'库存与收货'!$A$5:$A$676,'库存与收货'!$H$5:$H$676,0)+XLOOKUP(A645,'库存与收货'!$A$5:$A$676,'库存与收货'!$J$5:$J$676,0)</x:f>
        <x:v>1.1196205818058507</x:v>
      </x:c>
      <x:c r="J645" s="21" t="n">
        <x:f>MAX(0,1-ABS(F645-I645)/MAX(I645,0.01))</x:f>
        <x:v>0.8777627166122576</x:v>
      </x:c>
      <x:c r="K645" s="21" t="n">
        <x:f>MAX(0,1-ABS(H645-I645)/MAX(I645,0.01))</x:f>
        <x:v>0.928259300870413</x:v>
      </x:c>
      <x:c r="L645" s="24" t="n">
        <x:f>MAX(I645-H645,0)</x:f>
        <x:v>0</x:v>
      </x:c>
      <x:c r="M645" s="24" t="n">
        <x:f>MAX(H645-I645,0)</x:f>
        <x:v>0.08032236329862674</x:v>
      </x:c>
      <x:c r="N645" s="19" t="str">
        <x:v>杨丽</x:v>
      </x:c>
      <x:c r="O645" s="19" t="str">
        <x:v>S-按销量/BOM/日型生成</x:v>
      </x:c>
    </x:row>
    <x:row r="646">
      <x:c r="A646" s="19" t="str">
        <x:v>2026-07-11|S08|鸡蛋</x:v>
      </x:c>
      <x:c r="B646" s="34" t="n">
        <x:v>46214.5</x:v>
      </x:c>
      <x:c r="C646" s="19" t="str">
        <x:v>S08</x:v>
      </x:c>
      <x:c r="D646" s="19" t="str">
        <x:v>四季青店</x:v>
      </x:c>
      <x:c r="E646" s="19" t="str">
        <x:v>鸡蛋</x:v>
      </x:c>
      <x:c r="F646" s="32" t="n">
        <x:v>9.300093579070897</x:v>
      </x:c>
      <x:c r="G646" s="32" t="n">
        <x:v>9.760315643467576</x:v>
      </x:c>
      <x:c r="H646" s="24" t="n">
        <x:f>G646</x:f>
        <x:v>9.760315643467576</x:v>
      </x:c>
      <x:c r="I646" s="24" t="n">
        <x:f>XLOOKUP(A646,'库存与收货'!$A$5:$A$676,'库存与收货'!$H$5:$H$676,0)+XLOOKUP(A646,'库存与收货'!$A$5:$A$676,'库存与收货'!$J$5:$J$676,0)</x:f>
        <x:v>11.063030593838025</x:v>
      </x:c>
      <x:c r="J646" s="21" t="n">
        <x:f>MAX(0,1-ABS(F646-I646)/MAX(I646,0.01))</x:f>
        <x:v>0.8406461050781995</x:v>
      </x:c>
      <x:c r="K646" s="21" t="n">
        <x:f>MAX(0,1-ABS(H646-I646)/MAX(I646,0.01))</x:f>
        <x:v>0.8822461043273219</x:v>
      </x:c>
      <x:c r="L646" s="24" t="n">
        <x:f>MAX(I646-H646,0)</x:f>
        <x:v>1.302714950370449</x:v>
      </x:c>
      <x:c r="M646" s="24" t="n">
        <x:f>MAX(H646-I646,0)</x:f>
        <x:v>0</x:v>
      </x:c>
      <x:c r="N646" s="19" t="str">
        <x:v>杨丽</x:v>
      </x:c>
      <x:c r="O646" s="19" t="str">
        <x:v>S-按销量/BOM/日型生成</x:v>
      </x:c>
    </x:row>
    <x:row r="647">
      <x:c r="A647" s="19" t="str">
        <x:v>2026-07-11|S08|鸡肉</x:v>
      </x:c>
      <x:c r="B647" s="34" t="n">
        <x:v>46214.5</x:v>
      </x:c>
      <x:c r="C647" s="19" t="str">
        <x:v>S08</x:v>
      </x:c>
      <x:c r="D647" s="19" t="str">
        <x:v>四季青店</x:v>
      </x:c>
      <x:c r="E647" s="19" t="str">
        <x:v>鸡肉</x:v>
      </x:c>
      <x:c r="F647" s="32" t="n">
        <x:v>3.8006792994722467</x:v>
      </x:c>
      <x:c r="G647" s="32" t="n">
        <x:v>3.7702352510282653</x:v>
      </x:c>
      <x:c r="H647" s="24" t="n">
        <x:f>G647</x:f>
        <x:v>3.7702352510282653</x:v>
      </x:c>
      <x:c r="I647" s="24" t="n">
        <x:f>XLOOKUP(A647,'库存与收货'!$A$5:$A$676,'库存与收货'!$H$5:$H$676,0)+XLOOKUP(A647,'库存与收货'!$A$5:$A$676,'库存与收货'!$J$5:$J$676,0)</x:f>
        <x:v>3.71039949871609</x:v>
      </x:c>
      <x:c r="J647" s="21" t="n">
        <x:f>MAX(0,1-ABS(F647-I647)/MAX(I647,0.01))</x:f>
        <x:v>0.9756684419595798</x:v>
      </x:c>
      <x:c r="K647" s="21" t="n">
        <x:f>MAX(0,1-ABS(H647-I647)/MAX(I647,0.01))</x:f>
        <x:v>0.9838735014025093</x:v>
      </x:c>
      <x:c r="L647" s="24" t="n">
        <x:f>MAX(I647-H647,0)</x:f>
        <x:v>0</x:v>
      </x:c>
      <x:c r="M647" s="24" t="n">
        <x:f>MAX(H647-I647,0)</x:f>
        <x:v>0.059835752312175305</x:v>
      </x:c>
      <x:c r="N647" s="19" t="str">
        <x:v>杨丽</x:v>
      </x:c>
      <x:c r="O647" s="19" t="str">
        <x:v>S-按销量/BOM/日型生成</x:v>
      </x:c>
    </x:row>
    <x:row r="648">
      <x:c r="A648" s="19" t="str">
        <x:v>2026-07-11|S08|鲈鱼</x:v>
      </x:c>
      <x:c r="B648" s="34" t="n">
        <x:v>46214.5</x:v>
      </x:c>
      <x:c r="C648" s="19" t="str">
        <x:v>S08</x:v>
      </x:c>
      <x:c r="D648" s="19" t="str">
        <x:v>四季青店</x:v>
      </x:c>
      <x:c r="E648" s="19" t="str">
        <x:v>鲈鱼</x:v>
      </x:c>
      <x:c r="F648" s="32" t="n">
        <x:v>1.7944207936476821</x:v>
      </x:c>
      <x:c r="G648" s="32" t="n">
        <x:v>1.8581748072216477</x:v>
      </x:c>
      <x:c r="H648" s="24" t="n">
        <x:f>G648</x:f>
        <x:v>1.8581748072216477</x:v>
      </x:c>
      <x:c r="I648" s="24" t="n">
        <x:f>XLOOKUP(A648,'库存与收货'!$A$5:$A$676,'库存与收货'!$H$5:$H$676,0)+XLOOKUP(A648,'库存与收货'!$A$5:$A$676,'库存与收货'!$J$5:$J$676,0)</x:f>
        <x:v>2.0344442479276204</x:v>
      </x:c>
      <x:c r="J648" s="21" t="n">
        <x:f>MAX(0,1-ABS(F648-I648)/MAX(I648,0.01))</x:f>
        <x:v>0.882020136691169</x:v>
      </x:c>
      <x:c r="K648" s="21" t="n">
        <x:f>MAX(0,1-ABS(H648-I648)/MAX(I648,0.01))</x:f>
        <x:v>0.91335744841102</x:v>
      </x:c>
      <x:c r="L648" s="24" t="n">
        <x:f>MAX(I648-H648,0)</x:f>
        <x:v>0.1762694407059726</x:v>
      </x:c>
      <x:c r="M648" s="24" t="n">
        <x:f>MAX(H648-I648,0)</x:f>
        <x:v>0</x:v>
      </x:c>
      <x:c r="N648" s="19" t="str">
        <x:v>杨丽</x:v>
      </x:c>
      <x:c r="O648" s="19" t="str">
        <x:v>S-按销量/BOM/日型生成</x:v>
      </x:c>
    </x:row>
    <x:row r="649">
      <x:c r="A649" s="19" t="str">
        <x:v>2026-07-11|S08|酸包菜</x:v>
      </x:c>
      <x:c r="B649" s="34" t="n">
        <x:v>46214.5</x:v>
      </x:c>
      <x:c r="C649" s="19" t="str">
        <x:v>S08</x:v>
      </x:c>
      <x:c r="D649" s="19" t="str">
        <x:v>四季青店</x:v>
      </x:c>
      <x:c r="E649" s="19" t="str">
        <x:v>酸包菜</x:v>
      </x:c>
      <x:c r="F649" s="32" t="n">
        <x:v>5.2222979335196005</x:v>
      </x:c>
      <x:c r="G649" s="32" t="n">
        <x:v>5.130811069890118</x:v>
      </x:c>
      <x:c r="H649" s="24" t="n">
        <x:f>G649</x:f>
        <x:v>5.130811069890118</x:v>
      </x:c>
      <x:c r="I649" s="24" t="n">
        <x:f>XLOOKUP(A649,'库存与收货'!$A$5:$A$676,'库存与收货'!$H$5:$H$676,0)+XLOOKUP(A649,'库存与收货'!$A$5:$A$676,'库存与收货'!$J$5:$J$676,0)</x:f>
        <x:v>4.898271631658606</x:v>
      </x:c>
      <x:c r="J649" s="21" t="n">
        <x:f>MAX(0,1-ABS(F649-I649)/MAX(I649,0.01))</x:f>
        <x:v>0.9338488499153984</x:v>
      </x:c>
      <x:c r="K649" s="21" t="n">
        <x:f>MAX(0,1-ABS(H649-I649)/MAX(I649,0.01))</x:f>
        <x:v>0.9525262264492318</x:v>
      </x:c>
      <x:c r="L649" s="24" t="n">
        <x:f>MAX(I649-H649,0)</x:f>
        <x:v>0</x:v>
      </x:c>
      <x:c r="M649" s="24" t="n">
        <x:f>MAX(H649-I649,0)</x:f>
        <x:v>0.23253943823151246</x:v>
      </x:c>
      <x:c r="N649" s="19" t="str">
        <x:v>杨丽</x:v>
      </x:c>
      <x:c r="O649" s="19" t="str">
        <x:v>S-按销量/BOM/日型生成</x:v>
      </x:c>
    </x:row>
    <x:row r="650">
      <x:c r="A650" s="19" t="str">
        <x:v>2026-07-11|S08|粉皮</x:v>
      </x:c>
      <x:c r="B650" s="34" t="n">
        <x:v>46214.5</x:v>
      </x:c>
      <x:c r="C650" s="19" t="str">
        <x:v>S08</x:v>
      </x:c>
      <x:c r="D650" s="19" t="str">
        <x:v>四季青店</x:v>
      </x:c>
      <x:c r="E650" s="19" t="str">
        <x:v>粉皮</x:v>
      </x:c>
      <x:c r="F650" s="32" t="n">
        <x:v>4.0192541474204155</x:v>
      </x:c>
      <x:c r="G650" s="32" t="n">
        <x:v>3.8847276071132066</x:v>
      </x:c>
      <x:c r="H650" s="24" t="n">
        <x:f>G650</x:f>
        <x:v>3.8847276071132066</x:v>
      </x:c>
      <x:c r="I650" s="24" t="n">
        <x:f>XLOOKUP(A650,'库存与收货'!$A$5:$A$676,'库存与收货'!$H$5:$H$676,0)+XLOOKUP(A650,'库存与收货'!$A$5:$A$676,'库存与收货'!$J$5:$J$676,0)</x:f>
        <x:v>3.7140851549604177</x:v>
      </x:c>
      <x:c r="J650" s="21" t="n">
        <x:f>MAX(0,1-ABS(F650-I650)/MAX(I650,0.01))</x:f>
        <x:v>0.9178346807551185</x:v>
      </x:c>
      <x:c r="K650" s="21" t="n">
        <x:f>MAX(0,1-ABS(H650-I650)/MAX(I650,0.01))</x:f>
        <x:v>0.9540553204805</x:v>
      </x:c>
      <x:c r="L650" s="24" t="n">
        <x:f>MAX(I650-H650,0)</x:f>
        <x:v>0</x:v>
      </x:c>
      <x:c r="M650" s="24" t="n">
        <x:f>MAX(H650-I650,0)</x:f>
        <x:v>0.17064245215278895</x:v>
      </x:c>
      <x:c r="N650" s="19" t="str">
        <x:v>杨丽</x:v>
      </x:c>
      <x:c r="O650" s="19" t="str">
        <x:v>S-按销量/BOM/日型生成</x:v>
      </x:c>
    </x:row>
    <x:row r="651">
      <x:c r="A651" s="19" t="str">
        <x:v>2026-07-11|S08|鸡杂</x:v>
      </x:c>
      <x:c r="B651" s="34" t="n">
        <x:v>46214.5</x:v>
      </x:c>
      <x:c r="C651" s="19" t="str">
        <x:v>S08</x:v>
      </x:c>
      <x:c r="D651" s="19" t="str">
        <x:v>四季青店</x:v>
      </x:c>
      <x:c r="E651" s="19" t="str">
        <x:v>鸡杂</x:v>
      </x:c>
      <x:c r="F651" s="32" t="n">
        <x:v>2.486985209718821</x:v>
      </x:c>
      <x:c r="G651" s="32" t="n">
        <x:v>2.414359160929342</x:v>
      </x:c>
      <x:c r="H651" s="24" t="n">
        <x:f>G651</x:f>
        <x:v>2.414359160929342</x:v>
      </x:c>
      <x:c r="I651" s="24" t="n">
        <x:f>XLOOKUP(A651,'库存与收货'!$A$5:$A$676,'库存与收货'!$H$5:$H$676,0)+XLOOKUP(A651,'库存与收货'!$A$5:$A$676,'库存与收货'!$J$5:$J$676,0)</x:f>
        <x:v>2.311964089146807</x:v>
      </x:c>
      <x:c r="J651" s="21" t="n">
        <x:f>MAX(0,1-ABS(F651-I651)/MAX(I651,0.01))</x:f>
        <x:v>0.9242976474446006</x:v>
      </x:c>
      <x:c r="K651" s="21" t="n">
        <x:f>MAX(0,1-ABS(H651-I651)/MAX(I651,0.01))</x:f>
        <x:v>0.9557107862257833</x:v>
      </x:c>
      <x:c r="L651" s="24" t="n">
        <x:f>MAX(I651-H651,0)</x:f>
        <x:v>0</x:v>
      </x:c>
      <x:c r="M651" s="24" t="n">
        <x:f>MAX(H651-I651,0)</x:f>
        <x:v>0.10239507178253504</x:v>
      </x:c>
      <x:c r="N651" s="19" t="str">
        <x:v>杨丽</x:v>
      </x:c>
      <x:c r="O651" s="19" t="str">
        <x:v>S-按销量/BOM/日型生成</x:v>
      </x:c>
    </x:row>
    <x:row r="652">
      <x:c r="A652" s="19" t="str">
        <x:v>2026-07-11|S08|豆腐</x:v>
      </x:c>
      <x:c r="B652" s="34" t="n">
        <x:v>46214.5</x:v>
      </x:c>
      <x:c r="C652" s="19" t="str">
        <x:v>S08</x:v>
      </x:c>
      <x:c r="D652" s="19" t="str">
        <x:v>四季青店</x:v>
      </x:c>
      <x:c r="E652" s="19" t="str">
        <x:v>豆腐</x:v>
      </x:c>
      <x:c r="F652" s="32" t="n">
        <x:v>13.250387521036535</x:v>
      </x:c>
      <x:c r="G652" s="32" t="n">
        <x:v>13.84213947493105</x:v>
      </x:c>
      <x:c r="H652" s="24" t="n">
        <x:f>G652</x:f>
        <x:v>13.84213947493105</x:v>
      </x:c>
      <x:c r="I652" s="24" t="n">
        <x:f>XLOOKUP(A652,'库存与收货'!$A$5:$A$676,'库存与收货'!$H$5:$H$676,0)+XLOOKUP(A652,'库存与收货'!$A$5:$A$676,'库存与收货'!$J$5:$J$676,0)</x:f>
        <x:v>14.736086184656267</x:v>
      </x:c>
      <x:c r="J652" s="21" t="n">
        <x:f>MAX(0,1-ABS(F652-I652)/MAX(I652,0.01))</x:f>
        <x:v>0.8991795619947789</x:v>
      </x:c>
      <x:c r="K652" s="21" t="n">
        <x:f>MAX(0,1-ABS(H652-I652)/MAX(I652,0.01))</x:f>
        <x:v>0.9393362186863412</x:v>
      </x:c>
      <x:c r="L652" s="24" t="n">
        <x:f>MAX(I652-H652,0)</x:f>
        <x:v>0.893946709725217</x:v>
      </x:c>
      <x:c r="M652" s="24" t="n">
        <x:f>MAX(H652-I652,0)</x:f>
        <x:v>0</x:v>
      </x:c>
      <x:c r="N652" s="19" t="str">
        <x:v>杨丽</x:v>
      </x:c>
      <x:c r="O652" s="19" t="str">
        <x:v>S-按销量/BOM/日型生成</x:v>
      </x:c>
    </x:row>
    <x:row r="653">
      <x:c r="A653" s="19" t="str">
        <x:v>2026-07-12|S08|瘦肉片</x:v>
      </x:c>
      <x:c r="B653" s="34" t="n">
        <x:v>46215.5</x:v>
      </x:c>
      <x:c r="C653" s="19" t="str">
        <x:v>S08</x:v>
      </x:c>
      <x:c r="D653" s="19" t="str">
        <x:v>四季青店</x:v>
      </x:c>
      <x:c r="E653" s="19" t="str">
        <x:v>瘦肉片</x:v>
      </x:c>
      <x:c r="F653" s="32" t="n">
        <x:v>8.99395263354676</x:v>
      </x:c>
      <x:c r="G653" s="32" t="n">
        <x:v>8.569134341607192</x:v>
      </x:c>
      <x:c r="H653" s="24" t="n">
        <x:f>G653</x:f>
        <x:v>8.569134341607192</x:v>
      </x:c>
      <x:c r="I653" s="24" t="n">
        <x:f>XLOOKUP(A653,'库存与收货'!$A$5:$A$676,'库存与收货'!$H$5:$H$676,0)+XLOOKUP(A653,'库存与收货'!$A$5:$A$676,'库存与收货'!$J$5:$J$676,0)</x:f>
        <x:v>7.680833252101632</x:v>
      </x:c>
      <x:c r="J653" s="21" t="n">
        <x:f>MAX(0,1-ABS(F653-I653)/MAX(I653,0.01))</x:f>
        <x:v>0.8290394624716229</x:v>
      </x:c>
      <x:c r="K653" s="21" t="n">
        <x:f>MAX(0,1-ABS(H653-I653)/MAX(I653,0.01))</x:f>
        <x:v>0.8843483434219193</x:v>
      </x:c>
      <x:c r="L653" s="24" t="n">
        <x:f>MAX(I653-H653,0)</x:f>
        <x:v>0</x:v>
      </x:c>
      <x:c r="M653" s="24" t="n">
        <x:f>MAX(H653-I653,0)</x:f>
        <x:v>0.8883010895055605</x:v>
      </x:c>
      <x:c r="N653" s="19" t="str">
        <x:v>杨丽</x:v>
      </x:c>
      <x:c r="O653" s="19" t="str">
        <x:v>S-按销量/BOM/日型生成</x:v>
      </x:c>
    </x:row>
    <x:row r="654">
      <x:c r="A654" s="19" t="str">
        <x:v>2026-07-12|S08|肥肉片</x:v>
      </x:c>
      <x:c r="B654" s="34" t="n">
        <x:v>46215.5</x:v>
      </x:c>
      <x:c r="C654" s="19" t="str">
        <x:v>S08</x:v>
      </x:c>
      <x:c r="D654" s="19" t="str">
        <x:v>四季青店</x:v>
      </x:c>
      <x:c r="E654" s="19" t="str">
        <x:v>肥肉片</x:v>
      </x:c>
      <x:c r="F654" s="32" t="n">
        <x:v>2.147382916891533</x:v>
      </x:c>
      <x:c r="G654" s="32" t="n">
        <x:v>2.157922129460658</x:v>
      </x:c>
      <x:c r="H654" s="24" t="n">
        <x:f>G654</x:f>
        <x:v>2.157922129460658</x:v>
      </x:c>
      <x:c r="I654" s="24" t="n">
        <x:f>XLOOKUP(A654,'库存与收货'!$A$5:$A$676,'库存与收货'!$H$5:$H$676,0)+XLOOKUP(A654,'库存与收货'!$A$5:$A$676,'库存与收货'!$J$5:$J$676,0)</x:f>
        <x:v>2.189009670569855</x:v>
      </x:c>
      <x:c r="J654" s="21" t="n">
        <x:f>MAX(0,1-ABS(F654-I654)/MAX(I654,0.01))</x:f>
        <x:v>0.9809837506713774</x:v>
      </x:c>
      <x:c r="K654" s="21" t="n">
        <x:f>MAX(0,1-ABS(H654-I654)/MAX(I654,0.01))</x:f>
        <x:v>0.9857983536906421</x:v>
      </x:c>
      <x:c r="L654" s="24" t="n">
        <x:f>MAX(I654-H654,0)</x:f>
        <x:v>0.031087541109197314</x:v>
      </x:c>
      <x:c r="M654" s="24" t="n">
        <x:f>MAX(H654-I654,0)</x:f>
        <x:v>0</x:v>
      </x:c>
      <x:c r="N654" s="19" t="str">
        <x:v>杨丽</x:v>
      </x:c>
      <x:c r="O654" s="19" t="str">
        <x:v>S-按销量/BOM/日型生成</x:v>
      </x:c>
    </x:row>
    <x:row r="655">
      <x:c r="A655" s="19" t="str">
        <x:v>2026-07-12|S08|牛肉片</x:v>
      </x:c>
      <x:c r="B655" s="34" t="n">
        <x:v>46215.5</x:v>
      </x:c>
      <x:c r="C655" s="19" t="str">
        <x:v>S08</x:v>
      </x:c>
      <x:c r="D655" s="19" t="str">
        <x:v>四季青店</x:v>
      </x:c>
      <x:c r="E655" s="19" t="str">
        <x:v>牛肉片</x:v>
      </x:c>
      <x:c r="F655" s="32" t="n">
        <x:v>5.631266227448944</x:v>
      </x:c>
      <x:c r="G655" s="32" t="n">
        <x:v>5.824803220537978</x:v>
      </x:c>
      <x:c r="H655" s="24" t="n">
        <x:f>G655</x:f>
        <x:v>5.824803220537978</x:v>
      </x:c>
      <x:c r="I655" s="24" t="n">
        <x:f>XLOOKUP(A655,'库存与收货'!$A$5:$A$676,'库存与收货'!$H$5:$H$676,0)+XLOOKUP(A655,'库存与收货'!$A$5:$A$676,'库存与收货'!$J$5:$J$676,0)</x:f>
        <x:v>6.107239507152056</x:v>
      </x:c>
      <x:c r="J655" s="21" t="n">
        <x:f>MAX(0,1-ABS(F655-I655)/MAX(I655,0.01))</x:f>
        <x:v>0.9220640881783481</x:v>
      </x:c>
      <x:c r="K655" s="21" t="n">
        <x:f>MAX(0,1-ABS(H655-I655)/MAX(I655,0.01))</x:f>
        <x:v>0.9537538545388103</x:v>
      </x:c>
      <x:c r="L655" s="24" t="n">
        <x:f>MAX(I655-H655,0)</x:f>
        <x:v>0.28243628661407794</x:v>
      </x:c>
      <x:c r="M655" s="24" t="n">
        <x:f>MAX(H655-I655,0)</x:f>
        <x:v>0</x:v>
      </x:c>
      <x:c r="N655" s="19" t="str">
        <x:v>杨丽</x:v>
      </x:c>
      <x:c r="O655" s="19" t="str">
        <x:v>S-按销量/BOM/日型生成</x:v>
      </x:c>
    </x:row>
    <x:row r="656">
      <x:c r="A656" s="19" t="str">
        <x:v>2026-07-12|S08|螺丝椒</x:v>
      </x:c>
      <x:c r="B656" s="34" t="n">
        <x:v>46215.5</x:v>
      </x:c>
      <x:c r="C656" s="19" t="str">
        <x:v>S08</x:v>
      </x:c>
      <x:c r="D656" s="19" t="str">
        <x:v>四季青店</x:v>
      </x:c>
      <x:c r="E656" s="19" t="str">
        <x:v>螺丝椒</x:v>
      </x:c>
      <x:c r="F656" s="32" t="n">
        <x:v>7.081985972326147</x:v>
      </x:c>
      <x:c r="G656" s="32" t="n">
        <x:v>7.5384577355268565</x:v>
      </x:c>
      <x:c r="H656" s="24" t="n">
        <x:f>G656</x:f>
        <x:v>7.5384577355268565</x:v>
      </x:c>
      <x:c r="I656" s="24" t="n">
        <x:f>XLOOKUP(A656,'库存与收货'!$A$5:$A$676,'库存与收货'!$H$5:$H$676,0)+XLOOKUP(A656,'库存与收货'!$A$5:$A$676,'库存与收货'!$J$5:$J$676,0)</x:f>
        <x:v>8.319281564401296</x:v>
      </x:c>
      <x:c r="J656" s="21" t="n">
        <x:f>MAX(0,1-ABS(F656-I656)/MAX(I656,0.01))</x:f>
        <x:v>0.8512737449145116</x:v>
      </x:c>
      <x:c r="K656" s="21" t="n">
        <x:f>MAX(0,1-ABS(H656-I656)/MAX(I656,0.01))</x:f>
        <x:v>0.9061428775033133</x:v>
      </x:c>
      <x:c r="L656" s="24" t="n">
        <x:f>MAX(I656-H656,0)</x:f>
        <x:v>0.7808238288744391</x:v>
      </x:c>
      <x:c r="M656" s="24" t="n">
        <x:f>MAX(H656-I656,0)</x:f>
        <x:v>0</x:v>
      </x:c>
      <x:c r="N656" s="19" t="str">
        <x:v>杨丽</x:v>
      </x:c>
      <x:c r="O656" s="19" t="str">
        <x:v>S-按销量/BOM/日型生成</x:v>
      </x:c>
    </x:row>
    <x:row r="657">
      <x:c r="A657" s="19" t="str">
        <x:v>2026-07-12|S08|青湖南椒圈</x:v>
      </x:c>
      <x:c r="B657" s="34" t="n">
        <x:v>46215.5</x:v>
      </x:c>
      <x:c r="C657" s="19" t="str">
        <x:v>S08</x:v>
      </x:c>
      <x:c r="D657" s="19" t="str">
        <x:v>四季青店</x:v>
      </x:c>
      <x:c r="E657" s="19" t="str">
        <x:v>青湖南椒圈</x:v>
      </x:c>
      <x:c r="F657" s="32" t="n">
        <x:v>1.0968088837734147</x:v>
      </x:c>
      <x:c r="G657" s="32" t="n">
        <x:v>1.1054047961428743</x:v>
      </x:c>
      <x:c r="H657" s="24" t="n">
        <x:f>G657</x:f>
        <x:v>1.1054047961428743</x:v>
      </x:c>
      <x:c r="I657" s="24" t="n">
        <x:f>XLOOKUP(A657,'库存与收货'!$A$5:$A$676,'库存与收货'!$H$5:$H$676,0)+XLOOKUP(A657,'库存与收货'!$A$5:$A$676,'库存与收货'!$J$5:$J$676,0)</x:f>
        <x:v>1.1183691064573056</x:v>
      </x:c>
      <x:c r="J657" s="21" t="n">
        <x:f>MAX(0,1-ABS(F657-I657)/MAX(I657,0.01))</x:f>
        <x:v>0.9807217290254128</x:v>
      </x:c>
      <x:c r="K657" s="21" t="n">
        <x:f>MAX(0,1-ABS(H657-I657)/MAX(I657,0.01))</x:f>
        <x:v>0.9884078429566973</x:v>
      </x:c>
      <x:c r="L657" s="24" t="n">
        <x:f>MAX(I657-H657,0)</x:f>
        <x:v>0.012964310314431238</x:v>
      </x:c>
      <x:c r="M657" s="24" t="n">
        <x:f>MAX(H657-I657,0)</x:f>
        <x:v>0</x:v>
      </x:c>
      <x:c r="N657" s="19" t="str">
        <x:v>杨丽</x:v>
      </x:c>
      <x:c r="O657" s="19" t="str">
        <x:v>S-按销量/BOM/日型生成</x:v>
      </x:c>
    </x:row>
    <x:row r="658">
      <x:c r="A658" s="19" t="str">
        <x:v>2026-07-12|S08|鸡蛋</x:v>
      </x:c>
      <x:c r="B658" s="34" t="n">
        <x:v>46215.5</x:v>
      </x:c>
      <x:c r="C658" s="19" t="str">
        <x:v>S08</x:v>
      </x:c>
      <x:c r="D658" s="19" t="str">
        <x:v>四季青店</x:v>
      </x:c>
      <x:c r="E658" s="19" t="str">
        <x:v>鸡蛋</x:v>
      </x:c>
      <x:c r="F658" s="32" t="n">
        <x:v>11.750919200549111</x:v>
      </x:c>
      <x:c r="G658" s="32" t="n">
        <x:v>11.434596916339798</x:v>
      </x:c>
      <x:c r="H658" s="24" t="n">
        <x:f>G658</x:f>
        <x:v>11.434596916339798</x:v>
      </x:c>
      <x:c r="I658" s="24" t="n">
        <x:f>XLOOKUP(A658,'库存与收货'!$A$5:$A$676,'库存与收货'!$H$5:$H$676,0)+XLOOKUP(A658,'库存与收货'!$A$5:$A$676,'库存与收货'!$J$5:$J$676,0)</x:f>
        <x:v>10.934132487306867</x:v>
      </x:c>
      <x:c r="J658" s="21" t="n">
        <x:f>MAX(0,1-ABS(F658-I658)/MAX(I658,0.01))</x:f>
        <x:v>0.9252993582993045</x:v>
      </x:c>
      <x:c r="K658" s="21" t="n">
        <x:f>MAX(0,1-ABS(H658-I658)/MAX(I658,0.01))</x:f>
        <x:v>0.9542291599618071</x:v>
      </x:c>
      <x:c r="L658" s="24" t="n">
        <x:f>MAX(I658-H658,0)</x:f>
        <x:v>0</x:v>
      </x:c>
      <x:c r="M658" s="24" t="n">
        <x:f>MAX(H658-I658,0)</x:f>
        <x:v>0.500464429032931</x:v>
      </x:c>
      <x:c r="N658" s="19" t="str">
        <x:v>杨丽</x:v>
      </x:c>
      <x:c r="O658" s="19" t="str">
        <x:v>S-按销量/BOM/日型生成</x:v>
      </x:c>
    </x:row>
    <x:row r="659">
      <x:c r="A659" s="19" t="str">
        <x:v>2026-07-12|S08|鸡肉</x:v>
      </x:c>
      <x:c r="B659" s="34" t="n">
        <x:v>46215.5</x:v>
      </x:c>
      <x:c r="C659" s="19" t="str">
        <x:v>S08</x:v>
      </x:c>
      <x:c r="D659" s="19" t="str">
        <x:v>四季青店</x:v>
      </x:c>
      <x:c r="E659" s="19" t="str">
        <x:v>鸡肉</x:v>
      </x:c>
      <x:c r="F659" s="32" t="n">
        <x:v>3.010867864400677</x:v>
      </x:c>
      <x:c r="G659" s="32" t="n">
        <x:v>2.9441196586556497</x:v>
      </x:c>
      <x:c r="H659" s="24" t="n">
        <x:f>G659</x:f>
        <x:v>2.9441196586556497</x:v>
      </x:c>
      <x:c r="I659" s="24" t="n">
        <x:f>XLOOKUP(A659,'库存与收货'!$A$5:$A$676,'库存与收货'!$H$5:$H$676,0)+XLOOKUP(A659,'库存与收货'!$A$5:$A$676,'库存与收货'!$J$5:$J$676,0)</x:f>
        <x:v>2.786742020380158</x:v>
      </x:c>
      <x:c r="J659" s="21" t="n">
        <x:f>MAX(0,1-ABS(F659-I659)/MAX(I659,0.01))</x:f>
        <x:v>0.919574240320263</x:v>
      </x:c>
      <x:c r="K659" s="21" t="n">
        <x:f>MAX(0,1-ABS(H659-I659)/MAX(I659,0.01))</x:f>
        <x:v>0.9435262980482051</x:v>
      </x:c>
      <x:c r="L659" s="24" t="n">
        <x:f>MAX(I659-H659,0)</x:f>
        <x:v>0</x:v>
      </x:c>
      <x:c r="M659" s="24" t="n">
        <x:f>MAX(H659-I659,0)</x:f>
        <x:v>0.1573776382754919</x:v>
      </x:c>
      <x:c r="N659" s="19" t="str">
        <x:v>杨丽</x:v>
      </x:c>
      <x:c r="O659" s="19" t="str">
        <x:v>S-按销量/BOM/日型生成</x:v>
      </x:c>
    </x:row>
    <x:row r="660">
      <x:c r="A660" s="19" t="str">
        <x:v>2026-07-12|S08|鲈鱼</x:v>
      </x:c>
      <x:c r="B660" s="34" t="n">
        <x:v>46215.5</x:v>
      </x:c>
      <x:c r="C660" s="19" t="str">
        <x:v>S08</x:v>
      </x:c>
      <x:c r="D660" s="19" t="str">
        <x:v>四季青店</x:v>
      </x:c>
      <x:c r="E660" s="19" t="str">
        <x:v>鲈鱼</x:v>
      </x:c>
      <x:c r="F660" s="32" t="n">
        <x:v>1.690138041926197</x:v>
      </x:c>
      <x:c r="G660" s="32" t="n">
        <x:v>1.7984888559490368</x:v>
      </x:c>
      <x:c r="H660" s="24" t="n">
        <x:f>G660</x:f>
        <x:v>1.7984888559490368</x:v>
      </x:c>
      <x:c r="I660" s="24" t="n">
        <x:f>XLOOKUP(A660,'库存与收货'!$A$5:$A$676,'库存与收货'!$H$5:$H$676,0)+XLOOKUP(A660,'库存与收货'!$A$5:$A$676,'库存与收货'!$J$5:$J$676,0)</x:f>
        <x:v>2.0584187716381668</x:v>
      </x:c>
      <x:c r="J660" s="21" t="n">
        <x:f>MAX(0,1-ABS(F660-I660)/MAX(I660,0.01))</x:f>
        <x:v>0.8210856144598419</x:v>
      </x:c>
      <x:c r="K660" s="21" t="n">
        <x:f>MAX(0,1-ABS(H660-I660)/MAX(I660,0.01))</x:f>
        <x:v>0.8737235011307889</x:v>
      </x:c>
      <x:c r="L660" s="24" t="n">
        <x:f>MAX(I660-H660,0)</x:f>
        <x:v>0.25992991568912993</x:v>
      </x:c>
      <x:c r="M660" s="24" t="n">
        <x:f>MAX(H660-I660,0)</x:f>
        <x:v>0</x:v>
      </x:c>
      <x:c r="N660" s="19" t="str">
        <x:v>杨丽</x:v>
      </x:c>
      <x:c r="O660" s="19" t="str">
        <x:v>S-按销量/BOM/日型生成</x:v>
      </x:c>
    </x:row>
    <x:row r="661">
      <x:c r="A661" s="19" t="str">
        <x:v>2026-07-12|S08|酸包菜</x:v>
      </x:c>
      <x:c r="B661" s="34" t="n">
        <x:v>46215.5</x:v>
      </x:c>
      <x:c r="C661" s="19" t="str">
        <x:v>S08</x:v>
      </x:c>
      <x:c r="D661" s="19" t="str">
        <x:v>四季青店</x:v>
      </x:c>
      <x:c r="E661" s="19" t="str">
        <x:v>酸包菜</x:v>
      </x:c>
      <x:c r="F661" s="32" t="n">
        <x:v>5.460670641393055</x:v>
      </x:c>
      <x:c r="G661" s="32" t="n">
        <x:v>5.378539161422675</x:v>
      </x:c>
      <x:c r="H661" s="24" t="n">
        <x:f>G661</x:f>
        <x:v>5.378539161422675</x:v>
      </x:c>
      <x:c r="I661" s="24" t="n">
        <x:f>XLOOKUP(A661,'库存与收货'!$A$5:$A$676,'库存与收货'!$H$5:$H$676,0)+XLOOKUP(A661,'库存与收货'!$A$5:$A$676,'库存与收货'!$J$5:$J$676,0)</x:f>
        <x:v>5.195417366298013</x:v>
      </x:c>
      <x:c r="J661" s="21" t="n">
        <x:f>MAX(0,1-ABS(F661-I661)/MAX(I661,0.01))</x:f>
        <x:v>0.9489447610473598</x:v>
      </x:c>
      <x:c r="K661" s="21" t="n">
        <x:f>MAX(0,1-ABS(H661-I661)/MAX(I661,0.01))</x:f>
        <x:v>0.964753208026645</x:v>
      </x:c>
      <x:c r="L661" s="24" t="n">
        <x:f>MAX(I661-H661,0)</x:f>
        <x:v>0</x:v>
      </x:c>
      <x:c r="M661" s="24" t="n">
        <x:f>MAX(H661-I661,0)</x:f>
        <x:v>0.18312179512466198</x:v>
      </x:c>
      <x:c r="N661" s="19" t="str">
        <x:v>杨丽</x:v>
      </x:c>
      <x:c r="O661" s="19" t="str">
        <x:v>S-按销量/BOM/日型生成</x:v>
      </x:c>
    </x:row>
    <x:row r="662">
      <x:c r="A662" s="19" t="str">
        <x:v>2026-07-12|S08|粉皮</x:v>
      </x:c>
      <x:c r="B662" s="34" t="n">
        <x:v>46215.5</x:v>
      </x:c>
      <x:c r="C662" s="19" t="str">
        <x:v>S08</x:v>
      </x:c>
      <x:c r="D662" s="19" t="str">
        <x:v>四季青店</x:v>
      </x:c>
      <x:c r="E662" s="19" t="str">
        <x:v>粉皮</x:v>
      </x:c>
      <x:c r="F662" s="32" t="n">
        <x:v>3.3109608277791827</x:v>
      </x:c>
      <x:c r="G662" s="32" t="n">
        <x:v>3.557492880369142</x:v>
      </x:c>
      <x:c r="H662" s="24" t="n">
        <x:f>G662</x:f>
        <x:v>3.557492880369142</x:v>
      </x:c>
      <x:c r="I662" s="24" t="n">
        <x:f>XLOOKUP(A662,'库存与收货'!$A$5:$A$676,'库存与收货'!$H$5:$H$676,0)+XLOOKUP(A662,'库存与收货'!$A$5:$A$676,'库存与收货'!$J$5:$J$676,0)</x:f>
        <x:v>3.8672013388768423</x:v>
      </x:c>
      <x:c r="J662" s="21" t="n">
        <x:f>MAX(0,1-ABS(F662-I662)/MAX(I662,0.01))</x:f>
        <x:v>0.8561645845780532</x:v>
      </x:c>
      <x:c r="K662" s="21" t="n">
        <x:f>MAX(0,1-ABS(H662-I662)/MAX(I662,0.01))</x:f>
        <x:v>0.9199140589360549</x:v>
      </x:c>
      <x:c r="L662" s="24" t="n">
        <x:f>MAX(I662-H662,0)</x:f>
        <x:v>0.30970845850770035</x:v>
      </x:c>
      <x:c r="M662" s="24" t="n">
        <x:f>MAX(H662-I662,0)</x:f>
        <x:v>0</x:v>
      </x:c>
      <x:c r="N662" s="19" t="str">
        <x:v>杨丽</x:v>
      </x:c>
      <x:c r="O662" s="19" t="str">
        <x:v>S-按销量/BOM/日型生成</x:v>
      </x:c>
    </x:row>
    <x:row r="663">
      <x:c r="A663" s="19" t="str">
        <x:v>2026-07-12|S08|鸡杂</x:v>
      </x:c>
      <x:c r="B663" s="34" t="n">
        <x:v>46215.5</x:v>
      </x:c>
      <x:c r="C663" s="19" t="str">
        <x:v>S08</x:v>
      </x:c>
      <x:c r="D663" s="19" t="str">
        <x:v>四季青店</x:v>
      </x:c>
      <x:c r="E663" s="19" t="str">
        <x:v>鸡杂</x:v>
      </x:c>
      <x:c r="F663" s="32" t="n">
        <x:v>2.3804183948751576</x:v>
      </x:c>
      <x:c r="G663" s="32" t="n">
        <x:v>2.3585023820946938</x:v>
      </x:c>
      <x:c r="H663" s="24" t="n">
        <x:f>G663</x:f>
        <x:v>2.3585023820946938</x:v>
      </x:c>
      <x:c r="I663" s="24" t="n">
        <x:f>XLOOKUP(A663,'库存与收货'!$A$5:$A$676,'库存与收货'!$H$5:$H$676,0)+XLOOKUP(A663,'库存与收货'!$A$5:$A$676,'库存与收货'!$J$5:$J$676,0)</x:f>
        <x:v>2.329553775454011</x:v>
      </x:c>
      <x:c r="J663" s="21" t="n">
        <x:f>MAX(0,1-ABS(F663-I663)/MAX(I663,0.01))</x:f>
        <x:v>0.9781655096537819</x:v>
      </x:c>
      <x:c r="K663" s="21" t="n">
        <x:f>MAX(0,1-ABS(H663-I663)/MAX(I663,0.01))</x:f>
        <x:v>0.9875733254386708</x:v>
      </x:c>
      <x:c r="L663" s="24" t="n">
        <x:f>MAX(I663-H663,0)</x:f>
        <x:v>0</x:v>
      </x:c>
      <x:c r="M663" s="24" t="n">
        <x:f>MAX(H663-I663,0)</x:f>
        <x:v>0.028948606640682772</x:v>
      </x:c>
      <x:c r="N663" s="19" t="str">
        <x:v>杨丽</x:v>
      </x:c>
      <x:c r="O663" s="19" t="str">
        <x:v>S-按销量/BOM/日型生成</x:v>
      </x:c>
    </x:row>
    <x:row r="664">
      <x:c r="A664" s="19" t="str">
        <x:v>2026-07-12|S08|豆腐</x:v>
      </x:c>
      <x:c r="B664" s="34" t="n">
        <x:v>46215.5</x:v>
      </x:c>
      <x:c r="C664" s="19" t="str">
        <x:v>S08</x:v>
      </x:c>
      <x:c r="D664" s="19" t="str">
        <x:v>四季青店</x:v>
      </x:c>
      <x:c r="E664" s="19" t="str">
        <x:v>豆腐</x:v>
      </x:c>
      <x:c r="F664" s="32" t="n">
        <x:v>15.376982667442126</x:v>
      </x:c>
      <x:c r="G664" s="32" t="n">
        <x:v>14.767052880126558</x:v>
      </x:c>
      <x:c r="H664" s="24" t="n">
        <x:f>G664</x:f>
        <x:v>14.767052880126558</x:v>
      </x:c>
      <x:c r="I664" s="24" t="n">
        <x:f>XLOOKUP(A664,'库存与收货'!$A$5:$A$676,'库存与收货'!$H$5:$H$676,0)+XLOOKUP(A664,'库存与收货'!$A$5:$A$676,'库存与收货'!$J$5:$J$676,0)</x:f>
        <x:v>13.843269517934711</x:v>
      </x:c>
      <x:c r="J664" s="21" t="n">
        <x:f>MAX(0,1-ABS(F664-I664)/MAX(I664,0.01))</x:f>
        <x:v>0.8892087488782613</x:v>
      </x:c>
      <x:c r="K664" s="21" t="n">
        <x:f>MAX(0,1-ABS(H664-I664)/MAX(I664,0.01))</x:f>
        <x:v>0.9332684117003548</x:v>
      </x:c>
      <x:c r="L664" s="24" t="n">
        <x:f>MAX(I664-H664,0)</x:f>
        <x:v>0</x:v>
      </x:c>
      <x:c r="M664" s="24" t="n">
        <x:f>MAX(H664-I664,0)</x:f>
        <x:v>0.9237833621918465</x:v>
      </x:c>
      <x:c r="N664" s="19" t="str">
        <x:v>杨丽</x:v>
      </x:c>
      <x:c r="O664" s="19" t="str">
        <x:v>S-按销量/BOM/日型生成</x:v>
      </x:c>
    </x:row>
    <x:row r="665">
      <x:c r="A665" s="19" t="str">
        <x:v>2026-07-13|S08|瘦肉片</x:v>
      </x:c>
      <x:c r="B665" s="34" t="n">
        <x:v>46216.5</x:v>
      </x:c>
      <x:c r="C665" s="19" t="str">
        <x:v>S08</x:v>
      </x:c>
      <x:c r="D665" s="19" t="str">
        <x:v>四季青店</x:v>
      </x:c>
      <x:c r="E665" s="19" t="str">
        <x:v>瘦肉片</x:v>
      </x:c>
      <x:c r="F665" s="32" t="n">
        <x:v>10.736712483959973</x:v>
      </x:c>
      <x:c r="G665" s="32" t="n">
        <x:v>10.752004498519252</x:v>
      </x:c>
      <x:c r="H665" s="24" t="n">
        <x:f>G665</x:f>
        <x:v>10.752004498519252</x:v>
      </x:c>
      <x:c r="I665" s="24" t="n">
        <x:f>XLOOKUP(A665,'库存与收货'!$A$5:$A$676,'库存与收货'!$H$5:$H$676,0)+XLOOKUP(A665,'库存与收货'!$A$5:$A$676,'库存与收货'!$J$5:$J$676,0)</x:f>
        <x:v>10.771614175021035</x:v>
      </x:c>
      <x:c r="J665" s="21" t="n">
        <x:f>MAX(0,1-ABS(F665-I665)/MAX(I665,0.01))</x:f>
        <x:v>0.9967598457859734</x:v>
      </x:c>
      <x:c r="K665" s="21" t="n">
        <x:f>MAX(0,1-ABS(H665-I665)/MAX(I665,0.01))</x:f>
        <x:v>0.9981795043729604</x:v>
      </x:c>
      <x:c r="L665" s="24" t="n">
        <x:f>MAX(I665-H665,0)</x:f>
        <x:v>0.01960967650178347</x:v>
      </x:c>
      <x:c r="M665" s="24" t="n">
        <x:f>MAX(H665-I665,0)</x:f>
        <x:v>0</x:v>
      </x:c>
      <x:c r="N665" s="19" t="str">
        <x:v>杨丽</x:v>
      </x:c>
      <x:c r="O665" s="19" t="str">
        <x:v>S-按销量/BOM/日型生成</x:v>
      </x:c>
    </x:row>
    <x:row r="666">
      <x:c r="A666" s="19" t="str">
        <x:v>2026-07-13|S08|肥肉片</x:v>
      </x:c>
      <x:c r="B666" s="34" t="n">
        <x:v>46216.5</x:v>
      </x:c>
      <x:c r="C666" s="19" t="str">
        <x:v>S08</x:v>
      </x:c>
      <x:c r="D666" s="19" t="str">
        <x:v>四季青店</x:v>
      </x:c>
      <x:c r="E666" s="19" t="str">
        <x:v>肥肉片</x:v>
      </x:c>
      <x:c r="F666" s="32" t="n">
        <x:v>3.0719278141841397</x:v>
      </x:c>
      <x:c r="G666" s="32" t="n">
        <x:v>3.0677969939310947</x:v>
      </x:c>
      <x:c r="H666" s="24" t="n">
        <x:f>G666</x:f>
        <x:v>3.0677969939310947</x:v>
      </x:c>
      <x:c r="I666" s="24" t="n">
        <x:f>XLOOKUP(A666,'库存与收货'!$A$5:$A$676,'库存与收货'!$H$5:$H$676,0)+XLOOKUP(A666,'库存与收货'!$A$5:$A$676,'库存与收货'!$J$5:$J$676,0)</x:f>
        <x:v>3.060565874017907</x:v>
      </x:c>
      <x:c r="J666" s="21" t="n">
        <x:f>MAX(0,1-ABS(F666-I666)/MAX(I666,0.01))</x:f>
        <x:v>0.9962876341716126</x:v>
      </x:c>
      <x:c r="K666" s="21" t="n">
        <x:f>MAX(0,1-ABS(H666-I666)/MAX(I666,0.01))</x:f>
        <x:v>0.9976373258374946</x:v>
      </x:c>
      <x:c r="L666" s="24" t="n">
        <x:f>MAX(I666-H666,0)</x:f>
        <x:v>0</x:v>
      </x:c>
      <x:c r="M666" s="24" t="n">
        <x:f>MAX(H666-I666,0)</x:f>
        <x:v>0.007231119913187811</x:v>
      </x:c>
      <x:c r="N666" s="19" t="str">
        <x:v>杨丽</x:v>
      </x:c>
      <x:c r="O666" s="19" t="str">
        <x:v>S-按销量/BOM/日型生成</x:v>
      </x:c>
    </x:row>
    <x:row r="667">
      <x:c r="A667" s="19" t="str">
        <x:v>2026-07-13|S08|牛肉片</x:v>
      </x:c>
      <x:c r="B667" s="34" t="n">
        <x:v>46216.5</x:v>
      </x:c>
      <x:c r="C667" s="19" t="str">
        <x:v>S08</x:v>
      </x:c>
      <x:c r="D667" s="19" t="str">
        <x:v>四季青店</x:v>
      </x:c>
      <x:c r="E667" s="19" t="str">
        <x:v>牛肉片</x:v>
      </x:c>
      <x:c r="F667" s="32" t="n">
        <x:v>9.128247918917873</x:v>
      </x:c>
      <x:c r="G667" s="32" t="n">
        <x:v>8.849297181845047</x:v>
      </x:c>
      <x:c r="H667" s="24" t="n">
        <x:f>G667</x:f>
        <x:v>8.849297181845047</x:v>
      </x:c>
      <x:c r="I667" s="24" t="n">
        <x:f>XLOOKUP(A667,'库存与收货'!$A$5:$A$676,'库存与收货'!$H$5:$H$676,0)+XLOOKUP(A667,'库存与收货'!$A$5:$A$676,'库存与收货'!$J$5:$J$676,0)</x:f>
        <x:v>8.144580464936928</x:v>
      </x:c>
      <x:c r="J667" s="21" t="n">
        <x:f>MAX(0,1-ABS(F667-I667)/MAX(I667,0.01))</x:f>
        <x:v>0.879224294214329</x:v>
      </x:c>
      <x:c r="K667" s="21" t="n">
        <x:f>MAX(0,1-ABS(H667-I667)/MAX(I667,0.01))</x:f>
        <x:v>0.9134741537710896</x:v>
      </x:c>
      <x:c r="L667" s="24" t="n">
        <x:f>MAX(I667-H667,0)</x:f>
        <x:v>0</x:v>
      </x:c>
      <x:c r="M667" s="24" t="n">
        <x:f>MAX(H667-I667,0)</x:f>
        <x:v>0.7047167169081199</x:v>
      </x:c>
      <x:c r="N667" s="19" t="str">
        <x:v>杨丽</x:v>
      </x:c>
      <x:c r="O667" s="19" t="str">
        <x:v>S-按销量/BOM/日型生成</x:v>
      </x:c>
    </x:row>
    <x:row r="668">
      <x:c r="A668" s="19" t="str">
        <x:v>2026-07-13|S08|螺丝椒</x:v>
      </x:c>
      <x:c r="B668" s="34" t="n">
        <x:v>46216.5</x:v>
      </x:c>
      <x:c r="C668" s="19" t="str">
        <x:v>S08</x:v>
      </x:c>
      <x:c r="D668" s="19" t="str">
        <x:v>四季青店</x:v>
      </x:c>
      <x:c r="E668" s="19" t="str">
        <x:v>螺丝椒</x:v>
      </x:c>
      <x:c r="F668" s="32" t="n">
        <x:v>9.057812070811448</x:v>
      </x:c>
      <x:c r="G668" s="32" t="n">
        <x:v>9.564605637025547</x:v>
      </x:c>
      <x:c r="H668" s="24" t="n">
        <x:f>G668</x:f>
        <x:v>9.564605637025547</x:v>
      </x:c>
      <x:c r="I668" s="24" t="n">
        <x:f>XLOOKUP(A668,'库存与收货'!$A$5:$A$676,'库存与收货'!$H$5:$H$676,0)+XLOOKUP(A668,'库存与收货'!$A$5:$A$676,'库存与收货'!$J$5:$J$676,0)</x:f>
        <x:v>10.943973110326676</x:v>
      </x:c>
      <x:c r="J668" s="21" t="n">
        <x:f>MAX(0,1-ABS(F668-I668)/MAX(I668,0.01))</x:f>
        <x:v>0.8276529903262047</x:v>
      </x:c>
      <x:c r="K668" s="21" t="n">
        <x:f>MAX(0,1-ABS(H668-I668)/MAX(I668,0.01))</x:f>
        <x:v>0.8739609957557768</x:v>
      </x:c>
      <x:c r="L668" s="24" t="n">
        <x:f>MAX(I668-H668,0)</x:f>
        <x:v>1.3793674733011283</x:v>
      </x:c>
      <x:c r="M668" s="24" t="n">
        <x:f>MAX(H668-I668,0)</x:f>
        <x:v>0</x:v>
      </x:c>
      <x:c r="N668" s="19" t="str">
        <x:v>杨丽</x:v>
      </x:c>
      <x:c r="O668" s="19" t="str">
        <x:v>S-按销量/BOM/日型生成</x:v>
      </x:c>
    </x:row>
    <x:row r="669">
      <x:c r="A669" s="19" t="str">
        <x:v>2026-07-13|S08|青湖南椒圈</x:v>
      </x:c>
      <x:c r="B669" s="34" t="n">
        <x:v>46216.5</x:v>
      </x:c>
      <x:c r="C669" s="19" t="str">
        <x:v>S08</x:v>
      </x:c>
      <x:c r="D669" s="19" t="str">
        <x:v>四季青店</x:v>
      </x:c>
      <x:c r="E669" s="19" t="str">
        <x:v>青湖南椒圈</x:v>
      </x:c>
      <x:c r="F669" s="32" t="n">
        <x:v>2.008560853539556</x:v>
      </x:c>
      <x:c r="G669" s="32" t="n">
        <x:v>1.9023675249449639</x:v>
      </x:c>
      <x:c r="H669" s="24" t="n">
        <x:f>G669</x:f>
        <x:v>1.9023675249449639</x:v>
      </x:c>
      <x:c r="I669" s="24" t="n">
        <x:f>XLOOKUP(A669,'库存与收货'!$A$5:$A$676,'库存与收货'!$H$5:$H$676,0)+XLOOKUP(A669,'库存与收货'!$A$5:$A$676,'库存与收货'!$J$5:$J$676,0)</x:f>
        <x:v>1.739496802105451</x:v>
      </x:c>
      <x:c r="J669" s="21" t="n">
        <x:f>MAX(0,1-ABS(F669-I669)/MAX(I669,0.01))</x:f>
        <x:v>0.8453207553423292</x:v>
      </x:c>
      <x:c r="K669" s="21" t="n">
        <x:f>MAX(0,1-ABS(H669-I669)/MAX(I669,0.01))</x:f>
        <x:v>0.9063690587747115</x:v>
      </x:c>
      <x:c r="L669" s="24" t="n">
        <x:f>MAX(I669-H669,0)</x:f>
        <x:v>0</x:v>
      </x:c>
      <x:c r="M669" s="24" t="n">
        <x:f>MAX(H669-I669,0)</x:f>
        <x:v>0.16287072283951276</x:v>
      </x:c>
      <x:c r="N669" s="19" t="str">
        <x:v>杨丽</x:v>
      </x:c>
      <x:c r="O669" s="19" t="str">
        <x:v>S-按销量/BOM/日型生成</x:v>
      </x:c>
    </x:row>
    <x:row r="670">
      <x:c r="A670" s="19" t="str">
        <x:v>2026-07-13|S08|鸡蛋</x:v>
      </x:c>
      <x:c r="B670" s="34" t="n">
        <x:v>46216.5</x:v>
      </x:c>
      <x:c r="C670" s="19" t="str">
        <x:v>S08</x:v>
      </x:c>
      <x:c r="D670" s="19" t="str">
        <x:v>四季青店</x:v>
      </x:c>
      <x:c r="E670" s="19" t="str">
        <x:v>鸡蛋</x:v>
      </x:c>
      <x:c r="F670" s="32" t="n">
        <x:v>15.313364072867149</x:v>
      </x:c>
      <x:c r="G670" s="32" t="n">
        <x:v>15.27297522390893</x:v>
      </x:c>
      <x:c r="H670" s="24" t="n">
        <x:f>G670</x:f>
        <x:v>15.27297522390893</x:v>
      </x:c>
      <x:c r="I670" s="24" t="n">
        <x:f>XLOOKUP(A670,'库存与收货'!$A$5:$A$676,'库存与收货'!$H$5:$H$676,0)+XLOOKUP(A670,'库存与收货'!$A$5:$A$676,'库存与收货'!$J$5:$J$676,0)</x:f>
        <x:v>15.180989062158854</x:v>
      </x:c>
      <x:c r="J670" s="21" t="n">
        <x:f>MAX(0,1-ABS(F670-I670)/MAX(I670,0.01))</x:f>
        <x:v>0.9912802117064783</x:v>
      </x:c>
      <x:c r="K670" s="21" t="n">
        <x:f>MAX(0,1-ABS(H670-I670)/MAX(I670,0.01))</x:f>
        <x:v>0.9939407003474255</x:v>
      </x:c>
      <x:c r="L670" s="24" t="n">
        <x:f>MAX(I670-H670,0)</x:f>
        <x:v>0</x:v>
      </x:c>
      <x:c r="M670" s="24" t="n">
        <x:f>MAX(H670-I670,0)</x:f>
        <x:v>0.09198616175007501</x:v>
      </x:c>
      <x:c r="N670" s="19" t="str">
        <x:v>杨丽</x:v>
      </x:c>
      <x:c r="O670" s="19" t="str">
        <x:v>S-按销量/BOM/日型生成</x:v>
      </x:c>
    </x:row>
    <x:row r="671">
      <x:c r="A671" s="19" t="str">
        <x:v>2026-07-13|S08|鸡肉</x:v>
      </x:c>
      <x:c r="B671" s="34" t="n">
        <x:v>46216.5</x:v>
      </x:c>
      <x:c r="C671" s="19" t="str">
        <x:v>S08</x:v>
      </x:c>
      <x:c r="D671" s="19" t="str">
        <x:v>四季青店</x:v>
      </x:c>
      <x:c r="E671" s="19" t="str">
        <x:v>鸡肉</x:v>
      </x:c>
      <x:c r="F671" s="32" t="n">
        <x:v>5.151724227726268</x:v>
      </x:c>
      <x:c r="G671" s="32" t="n">
        <x:v>5.122247641486519</x:v>
      </x:c>
      <x:c r="H671" s="24" t="n">
        <x:f>G671</x:f>
        <x:v>5.122247641486519</x:v>
      </x:c>
      <x:c r="I671" s="24" t="n">
        <x:f>XLOOKUP(A671,'库存与收货'!$A$5:$A$676,'库存与收货'!$H$5:$H$676,0)+XLOOKUP(A671,'库存与收货'!$A$5:$A$676,'库存与收货'!$J$5:$J$676,0)</x:f>
        <x:v>5.07482672055859</x:v>
      </x:c>
      <x:c r="J671" s="21" t="n">
        <x:f>MAX(0,1-ABS(F671-I671)/MAX(I671,0.01))</x:f>
        <x:v>0.9848472644679357</x:v>
      </x:c>
      <x:c r="K671" s="21" t="n">
        <x:f>MAX(0,1-ABS(H671-I671)/MAX(I671,0.01))</x:f>
        <x:v>0.990655657121095</x:v>
      </x:c>
      <x:c r="L671" s="24" t="n">
        <x:f>MAX(I671-H671,0)</x:f>
        <x:v>0</x:v>
      </x:c>
      <x:c r="M671" s="24" t="n">
        <x:f>MAX(H671-I671,0)</x:f>
        <x:v>0.04742092092792838</x:v>
      </x:c>
      <x:c r="N671" s="19" t="str">
        <x:v>杨丽</x:v>
      </x:c>
      <x:c r="O671" s="19" t="str">
        <x:v>S-按销量/BOM/日型生成</x:v>
      </x:c>
    </x:row>
    <x:row r="672">
      <x:c r="A672" s="19" t="str">
        <x:v>2026-07-13|S08|鲈鱼</x:v>
      </x:c>
      <x:c r="B672" s="34" t="n">
        <x:v>46216.5</x:v>
      </x:c>
      <x:c r="C672" s="19" t="str">
        <x:v>S08</x:v>
      </x:c>
      <x:c r="D672" s="19" t="str">
        <x:v>四季青店</x:v>
      </x:c>
      <x:c r="E672" s="19" t="str">
        <x:v>鲈鱼</x:v>
      </x:c>
      <x:c r="F672" s="32" t="n">
        <x:v>2.819958227927978</x:v>
      </x:c>
      <x:c r="G672" s="32" t="n">
        <x:v>2.903715360826126</x:v>
      </x:c>
      <x:c r="H672" s="24" t="n">
        <x:f>G672</x:f>
        <x:v>2.903715360826126</x:v>
      </x:c>
      <x:c r="I672" s="24" t="n">
        <x:f>XLOOKUP(A672,'库存与收货'!$A$5:$A$676,'库存与收货'!$H$5:$H$676,0)+XLOOKUP(A672,'库存与收货'!$A$5:$A$676,'库存与收货'!$J$5:$J$676,0)</x:f>
        <x:v>3.0499466637673196</x:v>
      </x:c>
      <x:c r="J672" s="21" t="n">
        <x:f>MAX(0,1-ABS(F672-I672)/MAX(I672,0.01))</x:f>
        <x:v>0.9245926367921273</x:v>
      </x:c>
      <x:c r="K672" s="21" t="n">
        <x:f>MAX(0,1-ABS(H672-I672)/MAX(I672,0.01))</x:f>
        <x:v>0.9520544720737616</x:v>
      </x:c>
      <x:c r="L672" s="24" t="n">
        <x:f>MAX(I672-H672,0)</x:f>
        <x:v>0.14623130294119369</x:v>
      </x:c>
      <x:c r="M672" s="24" t="n">
        <x:f>MAX(H672-I672,0)</x:f>
        <x:v>0</x:v>
      </x:c>
      <x:c r="N672" s="19" t="str">
        <x:v>杨丽</x:v>
      </x:c>
      <x:c r="O672" s="19" t="str">
        <x:v>S-按销量/BOM/日型生成</x:v>
      </x:c>
    </x:row>
    <x:row r="673">
      <x:c r="A673" s="19" t="str">
        <x:v>2026-07-13|S08|酸包菜</x:v>
      </x:c>
      <x:c r="B673" s="34" t="n">
        <x:v>46216.5</x:v>
      </x:c>
      <x:c r="C673" s="19" t="str">
        <x:v>S08</x:v>
      </x:c>
      <x:c r="D673" s="19" t="str">
        <x:v>四季青店</x:v>
      </x:c>
      <x:c r="E673" s="19" t="str">
        <x:v>酸包菜</x:v>
      </x:c>
      <x:c r="F673" s="32" t="n">
        <x:v>6.095783730385375</x:v>
      </x:c>
      <x:c r="G673" s="32" t="n">
        <x:v>6.287312146754035</x:v>
      </x:c>
      <x:c r="H673" s="24" t="n">
        <x:f>G673</x:f>
        <x:v>6.287312146754035</x:v>
      </x:c>
      <x:c r="I673" s="24" t="n">
        <x:f>XLOOKUP(A673,'库存与收货'!$A$5:$A$676,'库存与收货'!$H$5:$H$676,0)+XLOOKUP(A673,'库存与收货'!$A$5:$A$676,'库存与收货'!$J$5:$J$676,0)</x:f>
        <x:v>6.548181812127163</x:v>
      </x:c>
      <x:c r="J673" s="21" t="n">
        <x:f>MAX(0,1-ABS(F673-I673)/MAX(I673,0.01))</x:f>
        <x:v>0.9309124128313067</x:v>
      </x:c>
      <x:c r="K673" s="21" t="n">
        <x:f>MAX(0,1-ABS(H673-I673)/MAX(I673,0.01))</x:f>
        <x:v>0.9601615115679897</x:v>
      </x:c>
      <x:c r="L673" s="24" t="n">
        <x:f>MAX(I673-H673,0)</x:f>
        <x:v>0.2608696653731286</x:v>
      </x:c>
      <x:c r="M673" s="24" t="n">
        <x:f>MAX(H673-I673,0)</x:f>
        <x:v>0</x:v>
      </x:c>
      <x:c r="N673" s="19" t="str">
        <x:v>杨丽</x:v>
      </x:c>
      <x:c r="O673" s="19" t="str">
        <x:v>S-按销量/BOM/日型生成</x:v>
      </x:c>
    </x:row>
    <x:row r="674">
      <x:c r="A674" s="19" t="str">
        <x:v>2026-07-13|S08|粉皮</x:v>
      </x:c>
      <x:c r="B674" s="34" t="n">
        <x:v>46216.5</x:v>
      </x:c>
      <x:c r="C674" s="19" t="str">
        <x:v>S08</x:v>
      </x:c>
      <x:c r="D674" s="19" t="str">
        <x:v>四季青店</x:v>
      </x:c>
      <x:c r="E674" s="19" t="str">
        <x:v>粉皮</x:v>
      </x:c>
      <x:c r="F674" s="32" t="n">
        <x:v>5.803240449115713</x:v>
      </x:c>
      <x:c r="G674" s="32" t="n">
        <x:v>5.434792673615569</x:v>
      </x:c>
      <x:c r="H674" s="24" t="n">
        <x:f>G674</x:f>
        <x:v>5.434792673615569</x:v>
      </x:c>
      <x:c r="I674" s="24" t="n">
        <x:f>XLOOKUP(A674,'库存与收货'!$A$5:$A$676,'库存与收货'!$H$5:$H$676,0)+XLOOKUP(A674,'库存与收货'!$A$5:$A$676,'库存与收货'!$J$5:$J$676,0)</x:f>
        <x:v>4.922953665080237</x:v>
      </x:c>
      <x:c r="J674" s="21" t="n">
        <x:f>MAX(0,1-ABS(F674-I674)/MAX(I674,0.01))</x:f>
        <x:v>0.821187270097711</x:v>
      </x:c>
      <x:c r="K674" s="21" t="n">
        <x:f>MAX(0,1-ABS(H674-I674)/MAX(I674,0.01))</x:f>
        <x:v>0.8960300983196456</x:v>
      </x:c>
      <x:c r="L674" s="24" t="n">
        <x:f>MAX(I674-H674,0)</x:f>
        <x:v>0</x:v>
      </x:c>
      <x:c r="M674" s="24" t="n">
        <x:f>MAX(H674-I674,0)</x:f>
        <x:v>0.5118390085353326</x:v>
      </x:c>
      <x:c r="N674" s="19" t="str">
        <x:v>杨丽</x:v>
      </x:c>
      <x:c r="O674" s="19" t="str">
        <x:v>S-按销量/BOM/日型生成</x:v>
      </x:c>
    </x:row>
    <x:row r="675">
      <x:c r="A675" s="19" t="str">
        <x:v>2026-07-13|S08|鸡杂</x:v>
      </x:c>
      <x:c r="B675" s="34" t="n">
        <x:v>46216.5</x:v>
      </x:c>
      <x:c r="C675" s="19" t="str">
        <x:v>S08</x:v>
      </x:c>
      <x:c r="D675" s="19" t="str">
        <x:v>四季青店</x:v>
      </x:c>
      <x:c r="E675" s="19" t="str">
        <x:v>鸡杂</x:v>
      </x:c>
      <x:c r="F675" s="32" t="n">
        <x:v>3.561770232137001</x:v>
      </x:c>
      <x:c r="G675" s="32" t="n">
        <x:v>3.367577186041025</x:v>
      </x:c>
      <x:c r="H675" s="24" t="n">
        <x:f>G675</x:f>
        <x:v>3.367577186041025</x:v>
      </x:c>
      <x:c r="I675" s="24" t="n">
        <x:f>XLOOKUP(A675,'库存与收货'!$A$5:$A$676,'库存与收货'!$H$5:$H$676,0)+XLOOKUP(A675,'库存与收货'!$A$5:$A$676,'库存与收货'!$J$5:$J$676,0)</x:f>
        <x:v>3.0798486371128466</x:v>
      </x:c>
      <x:c r="J675" s="21" t="n">
        <x:f>MAX(0,1-ABS(F675-I675)/MAX(I675,0.01))</x:f>
        <x:v>0.8435242598558598</x:v>
      </x:c>
      <x:c r="K675" s="21" t="n">
        <x:f>MAX(0,1-ABS(H675-I675)/MAX(I675,0.01))</x:f>
        <x:v>0.9065770488000654</x:v>
      </x:c>
      <x:c r="L675" s="24" t="n">
        <x:f>MAX(I675-H675,0)</x:f>
        <x:v>0</x:v>
      </x:c>
      <x:c r="M675" s="24" t="n">
        <x:f>MAX(H675-I675,0)</x:f>
        <x:v>0.28772854892817845</x:v>
      </x:c>
      <x:c r="N675" s="19" t="str">
        <x:v>杨丽</x:v>
      </x:c>
      <x:c r="O675" s="19" t="str">
        <x:v>S-按销量/BOM/日型生成</x:v>
      </x:c>
    </x:row>
    <x:row r="676">
      <x:c r="A676" s="19" t="str">
        <x:v>2026-07-13|S08|豆腐</x:v>
      </x:c>
      <x:c r="B676" s="34" t="n">
        <x:v>46216.5</x:v>
      </x:c>
      <x:c r="C676" s="19" t="str">
        <x:v>S08</x:v>
      </x:c>
      <x:c r="D676" s="19" t="str">
        <x:v>四季青店</x:v>
      </x:c>
      <x:c r="E676" s="19" t="str">
        <x:v>豆腐</x:v>
      </x:c>
      <x:c r="F676" s="32" t="n">
        <x:v>20.35477323270096</x:v>
      </x:c>
      <x:c r="G676" s="32" t="n">
        <x:v>20.403526131362884</x:v>
      </x:c>
      <x:c r="H676" s="24" t="n">
        <x:f>G676</x:f>
        <x:v>20.403526131362884</x:v>
      </x:c>
      <x:c r="I676" s="24" t="n">
        <x:f>XLOOKUP(A676,'库存与收货'!$A$5:$A$676,'库存与收货'!$H$5:$H$676,0)+XLOOKUP(A676,'库存与收货'!$A$5:$A$676,'库存与收货'!$J$5:$J$676,0)</x:f>
        <x:v>20.483701873566886</x:v>
      </x:c>
      <x:c r="J676" s="21" t="n">
        <x:f>MAX(0,1-ABS(F676-I676)/MAX(I676,0.01))</x:f>
        <x:v>0.9937057939203704</x:v>
      </x:c>
      <x:c r="K676" s="21" t="n">
        <x:f>MAX(0,1-ABS(H676-I676)/MAX(I676,0.01))</x:f>
        <x:v>0.9960858763372521</x:v>
      </x:c>
      <x:c r="L676" s="24" t="n">
        <x:f>MAX(I676-H676,0)</x:f>
        <x:v>0.08017574220400192</x:v>
      </x:c>
      <x:c r="M676" s="24" t="n">
        <x:f>MAX(H676-I676,0)</x:f>
        <x:v>0</x:v>
      </x:c>
      <x:c r="N676" s="19" t="str">
        <x:v>杨丽</x:v>
      </x:c>
      <x:c r="O676" s="19" t="str">
        <x:v>S-按销量/BOM/日型生成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0ac605cc96a464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0" hidden="0" customWidth="1"/>
    <x:col min="4" max="4" width="18" hidden="0" customWidth="1"/>
    <x:col min="5" max="5" width="10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16" hidden="0" customWidth="1"/>
    <x:col min="12" max="12" width="18" hidden="0" customWidth="1"/>
    <x:col min="13" max="13" width="20" hidden="0" customWidth="1"/>
    <x:col min="14" max="14" width="16" hidden="0" customWidth="1"/>
    <x:col min="15" max="15" width="18" hidden="0" customWidth="1"/>
    <x:col min="16" max="16" width="18" hidden="0" customWidth="1"/>
    <x:col min="17" max="17" width="16" hidden="0" customWidth="1"/>
  </x:cols>
  <x:sheetData>
    <x:row r="1" ht="34" customHeight="1">
      <x:c r="A1" s="3" t="str">
        <x:v>炒菜机执行日志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机器调料投放偏差与人工食材称重偏差分开记录，便于把质量问题定位到正确环节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执行键</x:v>
      </x:c>
      <x:c r="B4" s="12" t="str">
        <x:v>日期</x:v>
      </x:c>
      <x:c r="C4" s="12" t="str">
        <x:v>门店ID</x:v>
      </x:c>
      <x:c r="D4" s="12" t="str">
        <x:v>门店</x:v>
      </x:c>
      <x:c r="E4" s="12" t="str">
        <x:v>菜品ID</x:v>
      </x:c>
      <x:c r="F4" s="12" t="str">
        <x:v>菜品</x:v>
      </x:c>
      <x:c r="G4" s="12" t="str">
        <x:v>菜谱版本</x:v>
      </x:c>
      <x:c r="H4" s="12" t="str">
        <x:v>销售份数</x:v>
      </x:c>
      <x:c r="I4" s="12" t="str">
        <x:v>机器锅次</x:v>
      </x:c>
      <x:c r="J4" s="12" t="str">
        <x:v>标准食材克重/份</x:v>
      </x:c>
      <x:c r="K4" s="12" t="str">
        <x:v>人工称重偏差</x:v>
      </x:c>
      <x:c r="L4" s="12" t="str">
        <x:v>实际食材投料(g)</x:v>
      </x:c>
      <x:c r="M4" s="12" t="str">
        <x:v>标准调料克重/份</x:v>
      </x:c>
      <x:c r="N4" s="12" t="str">
        <x:v>机器调料偏差</x:v>
      </x:c>
      <x:c r="O4" s="12" t="str">
        <x:v>实际调料投放(g)</x:v>
      </x:c>
      <x:c r="P4" s="12" t="str">
        <x:v>执行状态</x:v>
      </x:c>
      <x:c r="Q4" s="12" t="str">
        <x:v>操作员</x:v>
      </x:c>
    </x:row>
    <x:row r="5">
      <x:c r="A5" s="19" t="str">
        <x:v>2026-07-07|S01|D01</x:v>
      </x:c>
      <x:c r="B5" s="34" t="n">
        <x:v>46210.5</x:v>
      </x:c>
      <x:c r="C5" s="19" t="str">
        <x:v>S01</x:v>
      </x:c>
      <x:c r="D5" s="19" t="str">
        <x:v>近江天阳店</x:v>
      </x:c>
      <x:c r="E5" s="19" t="str">
        <x:v>D01</x:v>
      </x:c>
      <x:c r="F5" s="19" t="str">
        <x:v>辣椒炒肉</x:v>
      </x:c>
      <x:c r="G5" s="19" t="str">
        <x:v>R2.3</x:v>
      </x:c>
      <x:c r="H5" s="20" t="n">
        <x:f>XLOOKUP(A5,'菜品日销量'!$A$5:$A$1124,'菜品日销量'!$G$5:$G$1124,0)</x:f>
        <x:v>58</x:v>
      </x:c>
      <x:c r="I5" s="20" t="n">
        <x:f>ROUNDUP(H5/2,0)</x:f>
        <x:v>29</x:v>
      </x:c>
      <x:c r="J5" s="22" t="n">
        <x:f>SUMIFS('菜谱BOM'!$F$5:$F$160,'菜谱BOM'!$A$5:$A$160,E5,'菜谱BOM'!$C$5:$C$160,"食材")</x:f>
        <x:v>550</x:v>
      </x:c>
      <x:c r="K5" s="38" t="n">
        <x:v>-0.007799521431280189</x:v>
      </x:c>
      <x:c r="L5" s="35" t="n">
        <x:f>H5*J5*(1+K5)</x:f>
        <x:v>31651.19526634216</x:v>
      </x:c>
      <x:c r="M5" s="35" t="n">
        <x:f>SUMIFS('菜谱BOM'!$F$5:$F$160,'菜谱BOM'!$A$5:$A$160,E5,'菜谱BOM'!$C$5:$C$160,"调料")</x:f>
        <x:v>104</x:v>
      </x:c>
      <x:c r="N5" s="38" t="n">
        <x:v>0.0018560875486247443</x:v>
      </x:c>
      <x:c r="O5" s="35" t="n">
        <x:f>H5*M5*(1+N5)</x:f>
        <x:v>6043.195920093304</x:v>
      </x:c>
      <x:c r="P5" s="19" t="str">
        <x:f>IF(ABS(N5)&gt;'封面与口径'!$O$25,"机器调料需复核",IF(ABS(K5)&gt;0.02,"人工称重需复核","正常"))</x:f>
        <x:v>正常</x:v>
      </x:c>
      <x:c r="Q5" s="19" t="str">
        <x:v>陈晨</x:v>
      </x:c>
    </x:row>
    <x:row r="6">
      <x:c r="A6" s="19" t="str">
        <x:v>2026-07-07|S01|D02</x:v>
      </x:c>
      <x:c r="B6" s="34" t="n">
        <x:v>46210.5</x:v>
      </x:c>
      <x:c r="C6" s="19" t="str">
        <x:v>S01</x:v>
      </x:c>
      <x:c r="D6" s="19" t="str">
        <x:v>近江天阳店</x:v>
      </x:c>
      <x:c r="E6" s="19" t="str">
        <x:v>D02</x:v>
      </x:c>
      <x:c r="F6" s="19" t="str">
        <x:v>小炒黄牛肉</x:v>
      </x:c>
      <x:c r="G6" s="19" t="str">
        <x:v>R2.3</x:v>
      </x:c>
      <x:c r="H6" s="20" t="n">
        <x:f>XLOOKUP(A6,'菜品日销量'!$A$5:$A$1124,'菜品日销量'!$G$5:$G$1124,0)</x:f>
        <x:v>35</x:v>
      </x:c>
      <x:c r="I6" s="20" t="n">
        <x:f>ROUNDUP(H6/2,0)</x:f>
        <x:v>18</x:v>
      </x:c>
      <x:c r="J6" s="22" t="n">
        <x:f>SUMIFS('菜谱BOM'!$F$5:$F$160,'菜谱BOM'!$A$5:$A$160,E6,'菜谱BOM'!$C$5:$C$160,"食材")</x:f>
        <x:v>560</x:v>
      </x:c>
      <x:c r="K6" s="38" t="n">
        <x:v>0.0002032855730977108</x:v>
      </x:c>
      <x:c r="L6" s="35" t="n">
        <x:f>H6*J6*(1+K6)</x:f>
        <x:v>19603.984397232718</x:v>
      </x:c>
      <x:c r="M6" s="35" t="n">
        <x:f>SUMIFS('菜谱BOM'!$F$5:$F$160,'菜谱BOM'!$A$5:$A$160,E6,'菜谱BOM'!$C$5:$C$160,"调料")</x:f>
        <x:v>133</x:v>
      </x:c>
      <x:c r="N6" s="38" t="n">
        <x:v>0.000505589569570867</x:v>
      </x:c>
      <x:c r="O6" s="35" t="n">
        <x:f>H6*M6*(1+N6)</x:f>
        <x:v>4657.353519446353</x:v>
      </x:c>
      <x:c r="P6" s="19" t="str">
        <x:f>IF(ABS(N6)&gt;'封面与口径'!$O$25,"机器调料需复核",IF(ABS(K6)&gt;0.02,"人工称重需复核","正常"))</x:f>
        <x:v>正常</x:v>
      </x:c>
      <x:c r="Q6" s="19" t="str">
        <x:v>陈晨</x:v>
      </x:c>
    </x:row>
    <x:row r="7">
      <x:c r="A7" s="19" t="str">
        <x:v>2026-07-07|S01|D03</x:v>
      </x:c>
      <x:c r="B7" s="34" t="n">
        <x:v>46210.5</x:v>
      </x:c>
      <x:c r="C7" s="19" t="str">
        <x:v>S01</x:v>
      </x:c>
      <x:c r="D7" s="19" t="str">
        <x:v>近江天阳店</x:v>
      </x:c>
      <x:c r="E7" s="19" t="str">
        <x:v>D03</x:v>
      </x:c>
      <x:c r="F7" s="19" t="str">
        <x:v>香醋炒蛋</x:v>
      </x:c>
      <x:c r="G7" s="19" t="str">
        <x:v>R1.0</x:v>
      </x:c>
      <x:c r="H7" s="20" t="n">
        <x:f>XLOOKUP(A7,'菜品日销量'!$A$5:$A$1124,'菜品日销量'!$G$5:$G$1124,0)</x:f>
        <x:v>46</x:v>
      </x:c>
      <x:c r="I7" s="20" t="n">
        <x:f>ROUNDUP(H7/2,0)</x:f>
        <x:v>23</x:v>
      </x:c>
      <x:c r="J7" s="22" t="n">
        <x:f>SUMIFS('菜谱BOM'!$F$5:$F$160,'菜谱BOM'!$A$5:$A$160,E7,'菜谱BOM'!$C$5:$C$160,"食材")</x:f>
        <x:v>300</x:v>
      </x:c>
      <x:c r="K7" s="38" t="n">
        <x:v>0.003329069699004542</x:v>
      </x:c>
      <x:c r="L7" s="35" t="n">
        <x:f>H7*J7*(1+K7)</x:f>
        <x:v>13845.941161846262</x:v>
      </x:c>
      <x:c r="M7" s="35" t="n">
        <x:f>SUMIFS('菜谱BOM'!$F$5:$F$160,'菜谱BOM'!$A$5:$A$160,E7,'菜谱BOM'!$C$5:$C$160,"调料")</x:f>
        <x:v>53</x:v>
      </x:c>
      <x:c r="N7" s="38" t="n">
        <x:v>0.0013594975768028519</x:v>
      </x:c>
      <x:c r="O7" s="35" t="n">
        <x:f>H7*M7*(1+N7)</x:f>
        <x:v>2441.314455092245</x:v>
      </x:c>
      <x:c r="P7" s="19" t="str">
        <x:f>IF(ABS(N7)&gt;'封面与口径'!$O$25,"机器调料需复核",IF(ABS(K7)&gt;0.02,"人工称重需复核","正常"))</x:f>
        <x:v>正常</x:v>
      </x:c>
      <x:c r="Q7" s="19" t="str">
        <x:v>陈晨</x:v>
      </x:c>
    </x:row>
    <x:row r="8">
      <x:c r="A8" s="19" t="str">
        <x:v>2026-07-07|S01|D04</x:v>
      </x:c>
      <x:c r="B8" s="34" t="n">
        <x:v>46210.5</x:v>
      </x:c>
      <x:c r="C8" s="19" t="str">
        <x:v>S01</x:v>
      </x:c>
      <x:c r="D8" s="19" t="str">
        <x:v>近江天阳店</x:v>
      </x:c>
      <x:c r="E8" s="19" t="str">
        <x:v>D04</x:v>
      </x:c>
      <x:c r="F8" s="19" t="str">
        <x:v>酸包菜炒粉皮</x:v>
      </x:c>
      <x:c r="G8" s="19" t="str">
        <x:v>R1.0</x:v>
      </x:c>
      <x:c r="H8" s="20" t="n">
        <x:f>XLOOKUP(A8,'菜品日销量'!$A$5:$A$1124,'菜品日销量'!$G$5:$G$1124,0)</x:f>
        <x:v>45</x:v>
      </x:c>
      <x:c r="I8" s="20" t="n">
        <x:f>ROUNDUP(H8/2,0)</x:f>
        <x:v>23</x:v>
      </x:c>
      <x:c r="J8" s="22" t="n">
        <x:f>SUMIFS('菜谱BOM'!$F$5:$F$160,'菜谱BOM'!$A$5:$A$160,E8,'菜谱BOM'!$C$5:$C$160,"食材")</x:f>
        <x:v>380</x:v>
      </x:c>
      <x:c r="K8" s="38" t="n">
        <x:v>-0.0022378857383127055</x:v>
      </x:c>
      <x:c r="L8" s="35" t="n">
        <x:f>H8*J8*(1+K8)</x:f>
        <x:v>17061.73215387485</x:v>
      </x:c>
      <x:c r="M8" s="35" t="n">
        <x:f>SUMIFS('菜谱BOM'!$F$5:$F$160,'菜谱BOM'!$A$5:$A$160,E8,'菜谱BOM'!$C$5:$C$160,"调料")</x:f>
        <x:v>47</x:v>
      </x:c>
      <x:c r="N8" s="38" t="n">
        <x:v>0.0005029553963111142</x:v>
      </x:c>
      <x:c r="O8" s="35" t="n">
        <x:f>H8*M8*(1+N8)</x:f>
        <x:v>2116.0637506631983</x:v>
      </x:c>
      <x:c r="P8" s="19" t="str">
        <x:f>IF(ABS(N8)&gt;'封面与口径'!$O$25,"机器调料需复核",IF(ABS(K8)&gt;0.02,"人工称重需复核","正常"))</x:f>
        <x:v>正常</x:v>
      </x:c>
      <x:c r="Q8" s="19" t="str">
        <x:v>陈晨</x:v>
      </x:c>
    </x:row>
    <x:row r="9">
      <x:c r="A9" s="19" t="str">
        <x:v>2026-07-07|S01|D05</x:v>
      </x:c>
      <x:c r="B9" s="34" t="n">
        <x:v>46210.5</x:v>
      </x:c>
      <x:c r="C9" s="19" t="str">
        <x:v>S01</x:v>
      </x:c>
      <x:c r="D9" s="19" t="str">
        <x:v>近江天阳店</x:v>
      </x:c>
      <x:c r="E9" s="19" t="str">
        <x:v>D05</x:v>
      </x:c>
      <x:c r="F9" s="19" t="str">
        <x:v>麻婆豆腐</x:v>
      </x:c>
      <x:c r="G9" s="19" t="str">
        <x:v>R1.0</x:v>
      </x:c>
      <x:c r="H9" s="20" t="n">
        <x:f>XLOOKUP(A9,'菜品日销量'!$A$5:$A$1124,'菜品日销量'!$G$5:$G$1124,0)</x:f>
        <x:v>61</x:v>
      </x:c>
      <x:c r="I9" s="20" t="n">
        <x:f>ROUNDUP(H9/2,0)</x:f>
        <x:v>31</x:v>
      </x:c>
      <x:c r="J9" s="22" t="n">
        <x:f>SUMIFS('菜谱BOM'!$F$5:$F$160,'菜谱BOM'!$A$5:$A$160,E9,'菜谱BOM'!$C$5:$C$160,"食材")</x:f>
        <x:v>505</x:v>
      </x:c>
      <x:c r="K9" s="38" t="n">
        <x:v>0.00031183496311116876</x:v>
      </x:c>
      <x:c r="L9" s="35" t="n">
        <x:f>H9*J9*(1+K9)</x:f>
        <x:v>30814.606076038643</x:v>
      </x:c>
      <x:c r="M9" s="35" t="n">
        <x:f>SUMIFS('菜谱BOM'!$F$5:$F$160,'菜谱BOM'!$A$5:$A$160,E9,'菜谱BOM'!$C$5:$C$160,"调料")</x:f>
        <x:v>90</x:v>
      </x:c>
      <x:c r="N9" s="38" t="n">
        <x:v>0.0010790132822187184</x:v>
      </x:c>
      <x:c r="O9" s="35" t="n">
        <x:f>H9*M9*(1+N9)</x:f>
        <x:v>5495.923782919381</x:v>
      </x:c>
      <x:c r="P9" s="19" t="str">
        <x:f>IF(ABS(N9)&gt;'封面与口径'!$O$25,"机器调料需复核",IF(ABS(K9)&gt;0.02,"人工称重需复核","正常"))</x:f>
        <x:v>正常</x:v>
      </x:c>
      <x:c r="Q9" s="19" t="str">
        <x:v>陈晨</x:v>
      </x:c>
    </x:row>
    <x:row r="10">
      <x:c r="A10" s="19" t="str">
        <x:v>2026-07-07|S01|D07</x:v>
      </x:c>
      <x:c r="B10" s="34" t="n">
        <x:v>46210.5</x:v>
      </x:c>
      <x:c r="C10" s="19" t="str">
        <x:v>S01</x:v>
      </x:c>
      <x:c r="D10" s="19" t="str">
        <x:v>近江天阳店</x:v>
      </x:c>
      <x:c r="E10" s="19" t="str">
        <x:v>D07</x:v>
      </x:c>
      <x:c r="F10" s="19" t="str">
        <x:v>川味回锅肉</x:v>
      </x:c>
      <x:c r="G10" s="19" t="str">
        <x:v>R1.0</x:v>
      </x:c>
      <x:c r="H10" s="20" t="n">
        <x:f>XLOOKUP(A10,'菜品日销量'!$A$5:$A$1124,'菜品日销量'!$G$5:$G$1124,0)</x:f>
        <x:v>19</x:v>
      </x:c>
      <x:c r="I10" s="20" t="n">
        <x:f>ROUNDUP(H10/2,0)</x:f>
        <x:v>10</x:v>
      </x:c>
      <x:c r="J10" s="22" t="n">
        <x:f>SUMIFS('菜谱BOM'!$F$5:$F$160,'菜谱BOM'!$A$5:$A$160,E10,'菜谱BOM'!$C$5:$C$160,"食材")</x:f>
        <x:v>450</x:v>
      </x:c>
      <x:c r="K10" s="38" t="n">
        <x:v>-0.006598151109786274</x:v>
      </x:c>
      <x:c r="L10" s="35" t="n">
        <x:f>H10*J10*(1+K10)</x:f>
        <x:v>8493.585808011328</x:v>
      </x:c>
      <x:c r="M10" s="35" t="n">
        <x:f>SUMIFS('菜谱BOM'!$F$5:$F$160,'菜谱BOM'!$A$5:$A$160,E10,'菜谱BOM'!$C$5:$C$160,"调料")</x:f>
        <x:v>63</x:v>
      </x:c>
      <x:c r="N10" s="38" t="n">
        <x:v>0.0015413419565980654</x:v>
      </x:c>
      <x:c r="O10" s="35" t="n">
        <x:f>H10*M10*(1+N10)</x:f>
        <x:v>1198.844986322048</x:v>
      </x:c>
      <x:c r="P10" s="19" t="str">
        <x:f>IF(ABS(N10)&gt;'封面与口径'!$O$25,"机器调料需复核",IF(ABS(K10)&gt;0.02,"人工称重需复核","正常"))</x:f>
        <x:v>正常</x:v>
      </x:c>
      <x:c r="Q10" s="19" t="str">
        <x:v>陈晨</x:v>
      </x:c>
    </x:row>
    <x:row r="11">
      <x:c r="A11" s="19" t="str">
        <x:v>2026-07-07|S01|D08</x:v>
      </x:c>
      <x:c r="B11" s="34" t="n">
        <x:v>46210.5</x:v>
      </x:c>
      <x:c r="C11" s="19" t="str">
        <x:v>S01</x:v>
      </x:c>
      <x:c r="D11" s="19" t="str">
        <x:v>近江天阳店</x:v>
      </x:c>
      <x:c r="E11" s="19" t="str">
        <x:v>D08</x:v>
      </x:c>
      <x:c r="F11" s="19" t="str">
        <x:v>生炒清远鸡</x:v>
      </x:c>
      <x:c r="G11" s="19" t="str">
        <x:v>R1.0</x:v>
      </x:c>
      <x:c r="H11" s="20" t="n">
        <x:f>XLOOKUP(A11,'菜品日销量'!$A$5:$A$1124,'菜品日销量'!$G$5:$G$1124,0)</x:f>
        <x:v>12</x:v>
      </x:c>
      <x:c r="I11" s="20" t="n">
        <x:f>ROUNDUP(H11/2,0)</x:f>
        <x:v>6</x:v>
      </x:c>
      <x:c r="J11" s="22" t="n">
        <x:f>SUMIFS('菜谱BOM'!$F$5:$F$160,'菜谱BOM'!$A$5:$A$160,E11,'菜谱BOM'!$C$5:$C$160,"食材")</x:f>
        <x:v>610</x:v>
      </x:c>
      <x:c r="K11" s="38" t="n">
        <x:v>0.00009893708492138842</x:v>
      </x:c>
      <x:c r="L11" s="35" t="n">
        <x:f>H11*J11*(1+K11)</x:f>
        <x:v>7320.724219461625</x:v>
      </x:c>
      <x:c r="M11" s="35" t="n">
        <x:f>SUMIFS('菜谱BOM'!$F$5:$F$160,'菜谱BOM'!$A$5:$A$160,E11,'菜谱BOM'!$C$5:$C$160,"调料")</x:f>
        <x:v>61</x:v>
      </x:c>
      <x:c r="N11" s="38" t="n">
        <x:v>-0.001852549195255281</x:v>
      </x:c>
      <x:c r="O11" s="35" t="n">
        <x:f>H11*M11*(1+N11)</x:f>
        <x:v>730.6439339890732</x:v>
      </x:c>
      <x:c r="P11" s="19" t="str">
        <x:f>IF(ABS(N11)&gt;'封面与口径'!$O$25,"机器调料需复核",IF(ABS(K11)&gt;0.02,"人工称重需复核","正常"))</x:f>
        <x:v>正常</x:v>
      </x:c>
      <x:c r="Q11" s="19" t="str">
        <x:v>陈晨</x:v>
      </x:c>
    </x:row>
    <x:row r="12">
      <x:c r="A12" s="19" t="str">
        <x:v>2026-07-07|S01|D09</x:v>
      </x:c>
      <x:c r="B12" s="34" t="n">
        <x:v>46210.5</x:v>
      </x:c>
      <x:c r="C12" s="19" t="str">
        <x:v>S01</x:v>
      </x:c>
      <x:c r="D12" s="19" t="str">
        <x:v>近江天阳店</x:v>
      </x:c>
      <x:c r="E12" s="19" t="str">
        <x:v>D09</x:v>
      </x:c>
      <x:c r="F12" s="19" t="str">
        <x:v>炒豆干</x:v>
      </x:c>
      <x:c r="G12" s="19" t="str">
        <x:v>R1.0</x:v>
      </x:c>
      <x:c r="H12" s="20" t="n">
        <x:f>XLOOKUP(A12,'菜品日销量'!$A$5:$A$1124,'菜品日销量'!$G$5:$G$1124,0)</x:f>
        <x:v>18</x:v>
      </x:c>
      <x:c r="I12" s="20" t="n">
        <x:f>ROUNDUP(H12/2,0)</x:f>
        <x:v>9</x:v>
      </x:c>
      <x:c r="J12" s="22" t="n">
        <x:f>SUMIFS('菜谱BOM'!$F$5:$F$160,'菜谱BOM'!$A$5:$A$160,E12,'菜谱BOM'!$C$5:$C$160,"食材")</x:f>
        <x:v>520</x:v>
      </x:c>
      <x:c r="K12" s="38" t="n">
        <x:v>-0.003586602463290701</x:v>
      </x:c>
      <x:c r="L12" s="35" t="n">
        <x:f>H12*J12*(1+K12)</x:f>
        <x:v>9326.4294009436</x:v>
      </x:c>
      <x:c r="M12" s="35" t="n">
        <x:f>SUMIFS('菜谱BOM'!$F$5:$F$160,'菜谱BOM'!$A$5:$A$160,E12,'菜谱BOM'!$C$5:$C$160,"调料")</x:f>
        <x:v>42</x:v>
      </x:c>
      <x:c r="N12" s="38" t="n">
        <x:v>-0.0013710290145527173</x:v>
      </x:c>
      <x:c r="O12" s="35" t="n">
        <x:f>H12*M12*(1+N12)</x:f>
        <x:v>754.9635020649981</x:v>
      </x:c>
      <x:c r="P12" s="19" t="str">
        <x:f>IF(ABS(N12)&gt;'封面与口径'!$O$25,"机器调料需复核",IF(ABS(K12)&gt;0.02,"人工称重需复核","正常"))</x:f>
        <x:v>正常</x:v>
      </x:c>
      <x:c r="Q12" s="19" t="str">
        <x:v>陈晨</x:v>
      </x:c>
    </x:row>
    <x:row r="13">
      <x:c r="A13" s="19" t="str">
        <x:v>2026-07-07|S01|D10</x:v>
      </x:c>
      <x:c r="B13" s="34" t="n">
        <x:v>46210.5</x:v>
      </x:c>
      <x:c r="C13" s="19" t="str">
        <x:v>S01</x:v>
      </x:c>
      <x:c r="D13" s="19" t="str">
        <x:v>近江天阳店</x:v>
      </x:c>
      <x:c r="E13" s="19" t="str">
        <x:v>D10</x:v>
      </x:c>
      <x:c r="F13" s="19" t="str">
        <x:v>农家一碗香</x:v>
      </x:c>
      <x:c r="G13" s="19" t="str">
        <x:v>R2.3</x:v>
      </x:c>
      <x:c r="H13" s="20" t="n">
        <x:f>XLOOKUP(A13,'菜品日销量'!$A$5:$A$1124,'菜品日销量'!$G$5:$G$1124,0)</x:f>
        <x:v>22</x:v>
      </x:c>
      <x:c r="I13" s="20" t="n">
        <x:f>ROUNDUP(H13/2,0)</x:f>
        <x:v>11</x:v>
      </x:c>
      <x:c r="J13" s="22" t="n">
        <x:f>SUMIFS('菜谱BOM'!$F$5:$F$160,'菜谱BOM'!$A$5:$A$160,E13,'菜谱BOM'!$C$5:$C$160,"食材")</x:f>
        <x:v>510</x:v>
      </x:c>
      <x:c r="K13" s="38" t="n">
        <x:v>0.0007359725480750132</x:v>
      </x:c>
      <x:c r="L13" s="35" t="n">
        <x:f>H13*J13*(1+K13)</x:f>
        <x:v>11228.257611989402</x:v>
      </x:c>
      <x:c r="M13" s="35" t="n">
        <x:f>SUMIFS('菜谱BOM'!$F$5:$F$160,'菜谱BOM'!$A$5:$A$160,E13,'菜谱BOM'!$C$5:$C$160,"调料")</x:f>
        <x:v>88</x:v>
      </x:c>
      <x:c r="N13" s="38" t="n">
        <x:v>0.001564478710192367</x:v>
      </x:c>
      <x:c r="O13" s="35" t="n">
        <x:f>H13*M13*(1+N13)</x:f>
        <x:v>1939.0288307829323</x:v>
      </x:c>
      <x:c r="P13" s="19" t="str">
        <x:f>IF(ABS(N13)&gt;'封面与口径'!$O$25,"机器调料需复核",IF(ABS(K13)&gt;0.02,"人工称重需复核","正常"))</x:f>
        <x:v>正常</x:v>
      </x:c>
      <x:c r="Q13" s="19" t="str">
        <x:v>陈晨</x:v>
      </x:c>
    </x:row>
    <x:row r="14">
      <x:c r="A14" s="19" t="str">
        <x:v>2026-07-07|S01|D11</x:v>
      </x:c>
      <x:c r="B14" s="34" t="n">
        <x:v>46210.5</x:v>
      </x:c>
      <x:c r="C14" s="19" t="str">
        <x:v>S01</x:v>
      </x:c>
      <x:c r="D14" s="19" t="str">
        <x:v>近江天阳店</x:v>
      </x:c>
      <x:c r="E14" s="19" t="str">
        <x:v>D11</x:v>
      </x:c>
      <x:c r="F14" s="19" t="str">
        <x:v>香辣爆肥肠</x:v>
      </x:c>
      <x:c r="G14" s="19" t="str">
        <x:v>R1.0</x:v>
      </x:c>
      <x:c r="H14" s="20" t="n">
        <x:f>XLOOKUP(A14,'菜品日销量'!$A$5:$A$1124,'菜品日销量'!$G$5:$G$1124,0)</x:f>
        <x:v>8</x:v>
      </x:c>
      <x:c r="I14" s="20" t="n">
        <x:f>ROUNDUP(H14/2,0)</x:f>
        <x:v>4</x:v>
      </x:c>
      <x:c r="J14" s="22" t="n">
        <x:f>SUMIFS('菜谱BOM'!$F$5:$F$160,'菜谱BOM'!$A$5:$A$160,E14,'菜谱BOM'!$C$5:$C$160,"食材")</x:f>
        <x:v>430</x:v>
      </x:c>
      <x:c r="K14" s="38" t="n">
        <x:v>-0.0001624384541442705</x:v>
      </x:c>
      <x:c r="L14" s="35" t="n">
        <x:f>H14*J14*(1+K14)</x:f>
        <x:v>3439.4412117177435</x:v>
      </x:c>
      <x:c r="M14" s="35" t="n">
        <x:f>SUMIFS('菜谱BOM'!$F$5:$F$160,'菜谱BOM'!$A$5:$A$160,E14,'菜谱BOM'!$C$5:$C$160,"调料")</x:f>
        <x:v>67</x:v>
      </x:c>
      <x:c r="N14" s="38" t="n">
        <x:v>0.00005071784044865479</x:v>
      </x:c>
      <x:c r="O14" s="35" t="n">
        <x:f>H14*M14*(1+N14)</x:f>
        <x:v>536.0271847624805</x:v>
      </x:c>
      <x:c r="P14" s="19" t="str">
        <x:f>IF(ABS(N14)&gt;'封面与口径'!$O$25,"机器调料需复核",IF(ABS(K14)&gt;0.02,"人工称重需复核","正常"))</x:f>
        <x:v>正常</x:v>
      </x:c>
      <x:c r="Q14" s="19" t="str">
        <x:v>陈晨</x:v>
      </x:c>
    </x:row>
    <x:row r="15">
      <x:c r="A15" s="19" t="str">
        <x:v>2026-07-07|S01|D13</x:v>
      </x:c>
      <x:c r="B15" s="34" t="n">
        <x:v>46210.5</x:v>
      </x:c>
      <x:c r="C15" s="19" t="str">
        <x:v>S01</x:v>
      </x:c>
      <x:c r="D15" s="19" t="str">
        <x:v>近江天阳店</x:v>
      </x:c>
      <x:c r="E15" s="19" t="str">
        <x:v>D13</x:v>
      </x:c>
      <x:c r="F15" s="19" t="str">
        <x:v>外婆菜炒蛋</x:v>
      </x:c>
      <x:c r="G15" s="19" t="str">
        <x:v>R1.0</x:v>
      </x:c>
      <x:c r="H15" s="20" t="n">
        <x:f>XLOOKUP(A15,'菜品日销量'!$A$5:$A$1124,'菜品日销量'!$G$5:$G$1124,0)</x:f>
        <x:v>17</x:v>
      </x:c>
      <x:c r="I15" s="20" t="n">
        <x:f>ROUNDUP(H15/2,0)</x:f>
        <x:v>9</x:v>
      </x:c>
      <x:c r="J15" s="22" t="n">
        <x:f>SUMIFS('菜谱BOM'!$F$5:$F$160,'菜谱BOM'!$A$5:$A$160,E15,'菜谱BOM'!$C$5:$C$160,"食材")</x:f>
        <x:v>450</x:v>
      </x:c>
      <x:c r="K15" s="38" t="n">
        <x:v>0.007961337588718472</x:v>
      </x:c>
      <x:c r="L15" s="35" t="n">
        <x:f>H15*J15*(1+K15)</x:f>
        <x:v>7710.904232553696</x:v>
      </x:c>
      <x:c r="M15" s="35" t="n">
        <x:f>SUMIFS('菜谱BOM'!$F$5:$F$160,'菜谱BOM'!$A$5:$A$160,E15,'菜谱BOM'!$C$5:$C$160,"调料")</x:f>
        <x:v>37</x:v>
      </x:c>
      <x:c r="N15" s="38" t="n">
        <x:v>0.0004253958692833306</x:v>
      </x:c>
      <x:c r="O15" s="35" t="n">
        <x:f>H15*M15*(1+N15)</x:f>
        <x:v>629.2675740017792</x:v>
      </x:c>
      <x:c r="P15" s="19" t="str">
        <x:f>IF(ABS(N15)&gt;'封面与口径'!$O$25,"机器调料需复核",IF(ABS(K15)&gt;0.02,"人工称重需复核","正常"))</x:f>
        <x:v>正常</x:v>
      </x:c>
      <x:c r="Q15" s="19" t="str">
        <x:v>陈晨</x:v>
      </x:c>
    </x:row>
    <x:row r="16">
      <x:c r="A16" s="19" t="str">
        <x:v>2026-07-07|S01|D14</x:v>
      </x:c>
      <x:c r="B16" s="34" t="n">
        <x:v>46210.5</x:v>
      </x:c>
      <x:c r="C16" s="19" t="str">
        <x:v>S01</x:v>
      </x:c>
      <x:c r="D16" s="19" t="str">
        <x:v>近江天阳店</x:v>
      </x:c>
      <x:c r="E16" s="19" t="str">
        <x:v>D14</x:v>
      </x:c>
      <x:c r="F16" s="19" t="str">
        <x:v>酸辣鸡杂</x:v>
      </x:c>
      <x:c r="G16" s="19" t="str">
        <x:v>R1.0</x:v>
      </x:c>
      <x:c r="H16" s="20" t="n">
        <x:f>XLOOKUP(A16,'菜品日销量'!$A$5:$A$1124,'菜品日销量'!$G$5:$G$1124,0)</x:f>
        <x:v>10</x:v>
      </x:c>
      <x:c r="I16" s="20" t="n">
        <x:f>ROUNDUP(H16/2,0)</x:f>
        <x:v>5</x:v>
      </x:c>
      <x:c r="J16" s="22" t="n">
        <x:f>SUMIFS('菜谱BOM'!$F$5:$F$160,'菜谱BOM'!$A$5:$A$160,E16,'菜谱BOM'!$C$5:$C$160,"食材")</x:f>
        <x:v>470</x:v>
      </x:c>
      <x:c r="K16" s="38" t="n">
        <x:v>-0.007356416068821311</x:v>
      </x:c>
      <x:c r="L16" s="35" t="n">
        <x:f>H16*J16*(1+K16)</x:f>
        <x:v>4665.42484447654</x:v>
      </x:c>
      <x:c r="M16" s="35" t="n">
        <x:f>SUMIFS('菜谱BOM'!$F$5:$F$160,'菜谱BOM'!$A$5:$A$160,E16,'菜谱BOM'!$C$5:$C$160,"调料")</x:f>
        <x:v>60</x:v>
      </x:c>
      <x:c r="N16" s="38" t="n">
        <x:v>0.0000901246476196973</x:v>
      </x:c>
      <x:c r="O16" s="35" t="n">
        <x:f>H16*M16*(1+N16)</x:f>
        <x:v>600.0540747885718</x:v>
      </x:c>
      <x:c r="P16" s="19" t="str">
        <x:f>IF(ABS(N16)&gt;'封面与口径'!$O$25,"机器调料需复核",IF(ABS(K16)&gt;0.02,"人工称重需复核","正常"))</x:f>
        <x:v>正常</x:v>
      </x:c>
      <x:c r="Q16" s="19" t="str">
        <x:v>陈晨</x:v>
      </x:c>
    </x:row>
    <x:row r="17">
      <x:c r="A17" s="19" t="str">
        <x:v>2026-07-07|S01|D15</x:v>
      </x:c>
      <x:c r="B17" s="34" t="n">
        <x:v>46210.5</x:v>
      </x:c>
      <x:c r="C17" s="19" t="str">
        <x:v>S01</x:v>
      </x:c>
      <x:c r="D17" s="19" t="str">
        <x:v>近江天阳店</x:v>
      </x:c>
      <x:c r="E17" s="19" t="str">
        <x:v>D15</x:v>
      </x:c>
      <x:c r="F17" s="19" t="str">
        <x:v>湘西土匪猪肝</x:v>
      </x:c>
      <x:c r="G17" s="19" t="str">
        <x:v>R1.0</x:v>
      </x:c>
      <x:c r="H17" s="20" t="n">
        <x:f>XLOOKUP(A17,'菜品日销量'!$A$5:$A$1124,'菜品日销量'!$G$5:$G$1124,0)</x:f>
        <x:v>10</x:v>
      </x:c>
      <x:c r="I17" s="20" t="n">
        <x:f>ROUNDUP(H17/2,0)</x:f>
        <x:v>5</x:v>
      </x:c>
      <x:c r="J17" s="22" t="n">
        <x:f>SUMIFS('菜谱BOM'!$F$5:$F$160,'菜谱BOM'!$A$5:$A$160,E17,'菜谱BOM'!$C$5:$C$160,"食材")</x:f>
        <x:v>470</x:v>
      </x:c>
      <x:c r="K17" s="38" t="n">
        <x:v>-0.005637450444893318</x:v>
      </x:c>
      <x:c r="L17" s="35" t="n">
        <x:f>H17*J17*(1+K17)</x:f>
        <x:v>4673.503982909002</x:v>
      </x:c>
      <x:c r="M17" s="35" t="n">
        <x:f>SUMIFS('菜谱BOM'!$F$5:$F$160,'菜谱BOM'!$A$5:$A$160,E17,'菜谱BOM'!$C$5:$C$160,"调料")</x:f>
        <x:v>49</x:v>
      </x:c>
      <x:c r="N17" s="38" t="n">
        <x:v>0.0013090883407995775</x:v>
      </x:c>
      <x:c r="O17" s="35" t="n">
        <x:f>H17*M17*(1+N17)</x:f>
        <x:v>490.6414532869918</x:v>
      </x:c>
      <x:c r="P17" s="19" t="str">
        <x:f>IF(ABS(N17)&gt;'封面与口径'!$O$25,"机器调料需复核",IF(ABS(K17)&gt;0.02,"人工称重需复核","正常"))</x:f>
        <x:v>正常</x:v>
      </x:c>
      <x:c r="Q17" s="19" t="str">
        <x:v>陈晨</x:v>
      </x:c>
    </x:row>
    <x:row r="18">
      <x:c r="A18" s="19" t="str">
        <x:v>2026-07-07|S01|D16</x:v>
      </x:c>
      <x:c r="B18" s="34" t="n">
        <x:v>46210.5</x:v>
      </x:c>
      <x:c r="C18" s="19" t="str">
        <x:v>S01</x:v>
      </x:c>
      <x:c r="D18" s="19" t="str">
        <x:v>近江天阳店</x:v>
      </x:c>
      <x:c r="E18" s="19" t="str">
        <x:v>D16</x:v>
      </x:c>
      <x:c r="F18" s="19" t="str">
        <x:v>小豆角炒五花</x:v>
      </x:c>
      <x:c r="G18" s="19" t="str">
        <x:v>R1.0</x:v>
      </x:c>
      <x:c r="H18" s="20" t="n">
        <x:f>XLOOKUP(A18,'菜品日销量'!$A$5:$A$1124,'菜品日销量'!$G$5:$G$1124,0)</x:f>
        <x:v>10</x:v>
      </x:c>
      <x:c r="I18" s="20" t="n">
        <x:f>ROUNDUP(H18/2,0)</x:f>
        <x:v>5</x:v>
      </x:c>
      <x:c r="J18" s="22" t="n">
        <x:f>SUMIFS('菜谱BOM'!$F$5:$F$160,'菜谱BOM'!$A$5:$A$160,E18,'菜谱BOM'!$C$5:$C$160,"食材")</x:f>
        <x:v>450</x:v>
      </x:c>
      <x:c r="K18" s="38" t="n">
        <x:v>-0.00048534348432099076</x:v>
      </x:c>
      <x:c r="L18" s="35" t="n">
        <x:f>H18*J18*(1+K18)</x:f>
        <x:v>4497.815954320556</x:v>
      </x:c>
      <x:c r="M18" s="35" t="n">
        <x:f>SUMIFS('菜谱BOM'!$F$5:$F$160,'菜谱BOM'!$A$5:$A$160,E18,'菜谱BOM'!$C$5:$C$160,"调料")</x:f>
        <x:v>42</x:v>
      </x:c>
      <x:c r="N18" s="38" t="n">
        <x:v>0.0005890986711227097</x:v>
      </x:c>
      <x:c r="O18" s="35" t="n">
        <x:f>H18*M18*(1+N18)</x:f>
        <x:v>420.24742144187155</x:v>
      </x:c>
      <x:c r="P18" s="19" t="str">
        <x:f>IF(ABS(N18)&gt;'封面与口径'!$O$25,"机器调料需复核",IF(ABS(K18)&gt;0.02,"人工称重需复核","正常"))</x:f>
        <x:v>正常</x:v>
      </x:c>
      <x:c r="Q18" s="19" t="str">
        <x:v>陈晨</x:v>
      </x:c>
    </x:row>
    <x:row r="19">
      <x:c r="A19" s="19" t="str">
        <x:v>2026-07-07|S01|D18</x:v>
      </x:c>
      <x:c r="B19" s="34" t="n">
        <x:v>46210.5</x:v>
      </x:c>
      <x:c r="C19" s="19" t="str">
        <x:v>S01</x:v>
      </x:c>
      <x:c r="D19" s="19" t="str">
        <x:v>近江天阳店</x:v>
      </x:c>
      <x:c r="E19" s="19" t="str">
        <x:v>D18</x:v>
      </x:c>
      <x:c r="F19" s="19" t="str">
        <x:v>青椒炒油麦菜</x:v>
      </x:c>
      <x:c r="G19" s="19" t="str">
        <x:v>R1.0</x:v>
      </x:c>
      <x:c r="H19" s="20" t="n">
        <x:f>XLOOKUP(A19,'菜品日销量'!$A$5:$A$1124,'菜品日销量'!$G$5:$G$1124,0)</x:f>
        <x:v>10</x:v>
      </x:c>
      <x:c r="I19" s="20" t="n">
        <x:f>ROUNDUP(H19/2,0)</x:f>
        <x:v>5</x:v>
      </x:c>
      <x:c r="J19" s="22" t="n">
        <x:f>SUMIFS('菜谱BOM'!$F$5:$F$160,'菜谱BOM'!$A$5:$A$160,E19,'菜谱BOM'!$C$5:$C$160,"食材")</x:f>
        <x:v>430</x:v>
      </x:c>
      <x:c r="K19" s="38" t="n">
        <x:v>0.001362111563180134</x:v>
      </x:c>
      <x:c r="L19" s="35" t="n">
        <x:f>H19*J19*(1+K19)</x:f>
        <x:v>4305.857079721674</x:v>
      </x:c>
      <x:c r="M19" s="35" t="n">
        <x:f>SUMIFS('菜谱BOM'!$F$5:$F$160,'菜谱BOM'!$A$5:$A$160,E19,'菜谱BOM'!$C$5:$C$160,"调料")</x:f>
        <x:v>33</x:v>
      </x:c>
      <x:c r="N19" s="38" t="n">
        <x:v>-0.0004706372847945051</x:v>
      </x:c>
      <x:c r="O19" s="35" t="n">
        <x:f>H19*M19*(1+N19)</x:f>
        <x:v>329.84468969601784</x:v>
      </x:c>
      <x:c r="P19" s="19" t="str">
        <x:f>IF(ABS(N19)&gt;'封面与口径'!$O$25,"机器调料需复核",IF(ABS(K19)&gt;0.02,"人工称重需复核","正常"))</x:f>
        <x:v>正常</x:v>
      </x:c>
      <x:c r="Q19" s="19" t="str">
        <x:v>陈晨</x:v>
      </x:c>
    </x:row>
    <x:row r="20">
      <x:c r="A20" s="19" t="str">
        <x:v>2026-07-07|S01|D19</x:v>
      </x:c>
      <x:c r="B20" s="34" t="n">
        <x:v>46210.5</x:v>
      </x:c>
      <x:c r="C20" s="19" t="str">
        <x:v>S01</x:v>
      </x:c>
      <x:c r="D20" s="19" t="str">
        <x:v>近江天阳店</x:v>
      </x:c>
      <x:c r="E20" s="19" t="str">
        <x:v>D19</x:v>
      </x:c>
      <x:c r="F20" s="19" t="str">
        <x:v>酸萝卜炒鸡杂</x:v>
      </x:c>
      <x:c r="G20" s="19" t="str">
        <x:v>R1.0</x:v>
      </x:c>
      <x:c r="H20" s="20" t="n">
        <x:f>XLOOKUP(A20,'菜品日销量'!$A$5:$A$1124,'菜品日销量'!$G$5:$G$1124,0)</x:f>
        <x:v>7</x:v>
      </x:c>
      <x:c r="I20" s="20" t="n">
        <x:f>ROUNDUP(H20/2,0)</x:f>
        <x:v>4</x:v>
      </x:c>
      <x:c r="J20" s="22" t="n">
        <x:f>SUMIFS('菜谱BOM'!$F$5:$F$160,'菜谱BOM'!$A$5:$A$160,E20,'菜谱BOM'!$C$5:$C$160,"食材")</x:f>
        <x:v>500</x:v>
      </x:c>
      <x:c r="K20" s="38" t="n">
        <x:v>0.0004357130807907588</x:v>
      </x:c>
      <x:c r="L20" s="35" t="n">
        <x:f>H20*J20*(1+K20)</x:f>
        <x:v>3501.5249957827677</x:v>
      </x:c>
      <x:c r="M20" s="35" t="n">
        <x:f>SUMIFS('菜谱BOM'!$F$5:$F$160,'菜谱BOM'!$A$5:$A$160,E20,'菜谱BOM'!$C$5:$C$160,"调料")</x:f>
        <x:v>55</x:v>
      </x:c>
      <x:c r="N20" s="38" t="n">
        <x:v>0.0006357336963144445</x:v>
      </x:c>
      <x:c r="O20" s="35" t="n">
        <x:f>H20*M20*(1+N20)</x:f>
        <x:v>385.2447574730811</x:v>
      </x:c>
      <x:c r="P20" s="19" t="str">
        <x:f>IF(ABS(N20)&gt;'封面与口径'!$O$25,"机器调料需复核",IF(ABS(K20)&gt;0.02,"人工称重需复核","正常"))</x:f>
        <x:v>正常</x:v>
      </x:c>
      <x:c r="Q20" s="19" t="str">
        <x:v>陈晨</x:v>
      </x:c>
    </x:row>
    <x:row r="21">
      <x:c r="A21" s="19" t="str">
        <x:v>2026-07-07|S01|D20</x:v>
      </x:c>
      <x:c r="B21" s="34" t="n">
        <x:v>46210.5</x:v>
      </x:c>
      <x:c r="C21" s="19" t="str">
        <x:v>S01</x:v>
      </x:c>
      <x:c r="D21" s="19" t="str">
        <x:v>近江天阳店</x:v>
      </x:c>
      <x:c r="E21" s="19" t="str">
        <x:v>D20</x:v>
      </x:c>
      <x:c r="F21" s="19" t="str">
        <x:v>雪菜肉末青豆</x:v>
      </x:c>
      <x:c r="G21" s="19" t="str">
        <x:v>R1.0</x:v>
      </x:c>
      <x:c r="H21" s="20" t="n">
        <x:f>XLOOKUP(A21,'菜品日销量'!$A$5:$A$1124,'菜品日销量'!$G$5:$G$1124,0)</x:f>
        <x:v>11</x:v>
      </x:c>
      <x:c r="I21" s="20" t="n">
        <x:f>ROUNDUP(H21/2,0)</x:f>
        <x:v>6</x:v>
      </x:c>
      <x:c r="J21" s="22" t="n">
        <x:f>SUMIFS('菜谱BOM'!$F$5:$F$160,'菜谱BOM'!$A$5:$A$160,E21,'菜谱BOM'!$C$5:$C$160,"食材")</x:f>
        <x:v>465</x:v>
      </x:c>
      <x:c r="K21" s="38" t="n">
        <x:v>-0.0010127033910278004</x:v>
      </x:c>
      <x:c r="L21" s="35" t="n">
        <x:f>H21*J21*(1+K21)</x:f>
        <x:v>5109.820022154893</x:v>
      </x:c>
      <x:c r="M21" s="35" t="n">
        <x:f>SUMIFS('菜谱BOM'!$F$5:$F$160,'菜谱BOM'!$A$5:$A$160,E21,'菜谱BOM'!$C$5:$C$160,"调料")</x:f>
        <x:v>32</x:v>
      </x:c>
      <x:c r="N21" s="38" t="n">
        <x:v>0.00016230526803115054</x:v>
      </x:c>
      <x:c r="O21" s="35" t="n">
        <x:f>H21*M21*(1+N21)</x:f>
        <x:v>352.0571314543469</x:v>
      </x:c>
      <x:c r="P21" s="19" t="str">
        <x:f>IF(ABS(N21)&gt;'封面与口径'!$O$25,"机器调料需复核",IF(ABS(K21)&gt;0.02,"人工称重需复核","正常"))</x:f>
        <x:v>正常</x:v>
      </x:c>
      <x:c r="Q21" s="19" t="str">
        <x:v>陈晨</x:v>
      </x:c>
    </x:row>
    <x:row r="22">
      <x:c r="A22" s="19" t="str">
        <x:v>2026-07-08|S01|D01</x:v>
      </x:c>
      <x:c r="B22" s="34" t="n">
        <x:v>46211.5</x:v>
      </x:c>
      <x:c r="C22" s="19" t="str">
        <x:v>S01</x:v>
      </x:c>
      <x:c r="D22" s="19" t="str">
        <x:v>近江天阳店</x:v>
      </x:c>
      <x:c r="E22" s="19" t="str">
        <x:v>D01</x:v>
      </x:c>
      <x:c r="F22" s="19" t="str">
        <x:v>辣椒炒肉</x:v>
      </x:c>
      <x:c r="G22" s="19" t="str">
        <x:v>R2.3</x:v>
      </x:c>
      <x:c r="H22" s="20" t="n">
        <x:f>XLOOKUP(A22,'菜品日销量'!$A$5:$A$1124,'菜品日销量'!$G$5:$G$1124,0)</x:f>
        <x:v>55</x:v>
      </x:c>
      <x:c r="I22" s="20" t="n">
        <x:f>ROUNDUP(H22/2,0)</x:f>
        <x:v>28</x:v>
      </x:c>
      <x:c r="J22" s="22" t="n">
        <x:f>SUMIFS('菜谱BOM'!$F$5:$F$160,'菜谱BOM'!$A$5:$A$160,E22,'菜谱BOM'!$C$5:$C$160,"食材")</x:f>
        <x:v>550</x:v>
      </x:c>
      <x:c r="K22" s="38" t="n">
        <x:v>0.003806223823643807</x:v>
      </x:c>
      <x:c r="L22" s="35" t="n">
        <x:f>H22*J22*(1+K22)</x:f>
        <x:v>30365.138270665226</x:v>
      </x:c>
      <x:c r="M22" s="35" t="n">
        <x:f>SUMIFS('菜谱BOM'!$F$5:$F$160,'菜谱BOM'!$A$5:$A$160,E22,'菜谱BOM'!$C$5:$C$160,"调料")</x:f>
        <x:v>104</x:v>
      </x:c>
      <x:c r="N22" s="38" t="n">
        <x:v>0.001430347568222868</x:v>
      </x:c>
      <x:c r="O22" s="35" t="n">
        <x:f>H22*M22*(1+N22)</x:f>
        <x:v>5728.181588090235</x:v>
      </x:c>
      <x:c r="P22" s="19" t="str">
        <x:f>IF(ABS(N22)&gt;'封面与口径'!$O$25,"机器调料需复核",IF(ABS(K22)&gt;0.02,"人工称重需复核","正常"))</x:f>
        <x:v>正常</x:v>
      </x:c>
      <x:c r="Q22" s="19" t="str">
        <x:v>陈晨</x:v>
      </x:c>
    </x:row>
    <x:row r="23">
      <x:c r="A23" s="19" t="str">
        <x:v>2026-07-08|S01|D02</x:v>
      </x:c>
      <x:c r="B23" s="34" t="n">
        <x:v>46211.5</x:v>
      </x:c>
      <x:c r="C23" s="19" t="str">
        <x:v>S01</x:v>
      </x:c>
      <x:c r="D23" s="19" t="str">
        <x:v>近江天阳店</x:v>
      </x:c>
      <x:c r="E23" s="19" t="str">
        <x:v>D02</x:v>
      </x:c>
      <x:c r="F23" s="19" t="str">
        <x:v>小炒黄牛肉</x:v>
      </x:c>
      <x:c r="G23" s="19" t="str">
        <x:v>R2.3</x:v>
      </x:c>
      <x:c r="H23" s="20" t="n">
        <x:f>XLOOKUP(A23,'菜品日销量'!$A$5:$A$1124,'菜品日销量'!$G$5:$G$1124,0)</x:f>
        <x:v>34</x:v>
      </x:c>
      <x:c r="I23" s="20" t="n">
        <x:f>ROUNDUP(H23/2,0)</x:f>
        <x:v>17</x:v>
      </x:c>
      <x:c r="J23" s="22" t="n">
        <x:f>SUMIFS('菜谱BOM'!$F$5:$F$160,'菜谱BOM'!$A$5:$A$160,E23,'菜谱BOM'!$C$5:$C$160,"食材")</x:f>
        <x:v>560</x:v>
      </x:c>
      <x:c r="K23" s="38" t="n">
        <x:v>0.0009793979248449674</x:v>
      </x:c>
      <x:c r="L23" s="35" t="n">
        <x:f>H23*J23*(1+K23)</x:f>
        <x:v>19058.64773648905</x:v>
      </x:c>
      <x:c r="M23" s="35" t="n">
        <x:f>SUMIFS('菜谱BOM'!$F$5:$F$160,'菜谱BOM'!$A$5:$A$160,E23,'菜谱BOM'!$C$5:$C$160,"调料")</x:f>
        <x:v>133</x:v>
      </x:c>
      <x:c r="N23" s="38" t="n">
        <x:v>0.0003592758715057922</x:v>
      </x:c>
      <x:c r="O23" s="35" t="n">
        <x:f>H23*M23*(1+N23)</x:f>
        <x:v>4523.62464549095</x:v>
      </x:c>
      <x:c r="P23" s="19" t="str">
        <x:f>IF(ABS(N23)&gt;'封面与口径'!$O$25,"机器调料需复核",IF(ABS(K23)&gt;0.02,"人工称重需复核","正常"))</x:f>
        <x:v>正常</x:v>
      </x:c>
      <x:c r="Q23" s="19" t="str">
        <x:v>陈晨</x:v>
      </x:c>
    </x:row>
    <x:row r="24">
      <x:c r="A24" s="19" t="str">
        <x:v>2026-07-08|S01|D03</x:v>
      </x:c>
      <x:c r="B24" s="34" t="n">
        <x:v>46211.5</x:v>
      </x:c>
      <x:c r="C24" s="19" t="str">
        <x:v>S01</x:v>
      </x:c>
      <x:c r="D24" s="19" t="str">
        <x:v>近江天阳店</x:v>
      </x:c>
      <x:c r="E24" s="19" t="str">
        <x:v>D03</x:v>
      </x:c>
      <x:c r="F24" s="19" t="str">
        <x:v>香醋炒蛋</x:v>
      </x:c>
      <x:c r="G24" s="19" t="str">
        <x:v>R1.0</x:v>
      </x:c>
      <x:c r="H24" s="20" t="n">
        <x:f>XLOOKUP(A24,'菜品日销量'!$A$5:$A$1124,'菜品日销量'!$G$5:$G$1124,0)</x:f>
        <x:v>45</x:v>
      </x:c>
      <x:c r="I24" s="20" t="n">
        <x:f>ROUNDUP(H24/2,0)</x:f>
        <x:v>23</x:v>
      </x:c>
      <x:c r="J24" s="22" t="n">
        <x:f>SUMIFS('菜谱BOM'!$F$5:$F$160,'菜谱BOM'!$A$5:$A$160,E24,'菜谱BOM'!$C$5:$C$160,"食材")</x:f>
        <x:v>300</x:v>
      </x:c>
      <x:c r="K24" s="38" t="n">
        <x:v>-0.0015703227765789078</x:v>
      </x:c>
      <x:c r="L24" s="35" t="n">
        <x:f>H24*J24*(1+K24)</x:f>
        <x:v>13478.800642516186</x:v>
      </x:c>
      <x:c r="M24" s="35" t="n">
        <x:f>SUMIFS('菜谱BOM'!$F$5:$F$160,'菜谱BOM'!$A$5:$A$160,E24,'菜谱BOM'!$C$5:$C$160,"调料")</x:f>
        <x:v>53</x:v>
      </x:c>
      <x:c r="N24" s="38" t="n">
        <x:v>-0.00021678201440181156</x:v>
      </x:c>
      <x:c r="O24" s="35" t="n">
        <x:f>H24*M24*(1+N24)</x:f>
        <x:v>2384.4829748956518</x:v>
      </x:c>
      <x:c r="P24" s="19" t="str">
        <x:f>IF(ABS(N24)&gt;'封面与口径'!$O$25,"机器调料需复核",IF(ABS(K24)&gt;0.02,"人工称重需复核","正常"))</x:f>
        <x:v>正常</x:v>
      </x:c>
      <x:c r="Q24" s="19" t="str">
        <x:v>陈晨</x:v>
      </x:c>
    </x:row>
    <x:row r="25">
      <x:c r="A25" s="19" t="str">
        <x:v>2026-07-08|S01|D04</x:v>
      </x:c>
      <x:c r="B25" s="34" t="n">
        <x:v>46211.5</x:v>
      </x:c>
      <x:c r="C25" s="19" t="str">
        <x:v>S01</x:v>
      </x:c>
      <x:c r="D25" s="19" t="str">
        <x:v>近江天阳店</x:v>
      </x:c>
      <x:c r="E25" s="19" t="str">
        <x:v>D04</x:v>
      </x:c>
      <x:c r="F25" s="19" t="str">
        <x:v>酸包菜炒粉皮</x:v>
      </x:c>
      <x:c r="G25" s="19" t="str">
        <x:v>R1.0</x:v>
      </x:c>
      <x:c r="H25" s="20" t="n">
        <x:f>XLOOKUP(A25,'菜品日销量'!$A$5:$A$1124,'菜品日销量'!$G$5:$G$1124,0)</x:f>
        <x:v>43</x:v>
      </x:c>
      <x:c r="I25" s="20" t="n">
        <x:f>ROUNDUP(H25/2,0)</x:f>
        <x:v>22</x:v>
      </x:c>
      <x:c r="J25" s="22" t="n">
        <x:f>SUMIFS('菜谱BOM'!$F$5:$F$160,'菜谱BOM'!$A$5:$A$160,E25,'菜谱BOM'!$C$5:$C$160,"食材")</x:f>
        <x:v>380</x:v>
      </x:c>
      <x:c r="K25" s="38" t="n">
        <x:v>0.003996632660738341</x:v>
      </x:c>
      <x:c r="L25" s="35" t="n">
        <x:f>H25*J25*(1+K25)</x:f>
        <x:v>16405.304977676464</x:v>
      </x:c>
      <x:c r="M25" s="35" t="n">
        <x:f>SUMIFS('菜谱BOM'!$F$5:$F$160,'菜谱BOM'!$A$5:$A$160,E25,'菜谱BOM'!$C$5:$C$160,"调料")</x:f>
        <x:v>47</x:v>
      </x:c>
      <x:c r="N25" s="38" t="n">
        <x:v>0.0006397601660899262</x:v>
      </x:c>
      <x:c r="O25" s="35" t="n">
        <x:f>H25*M25*(1+N25)</x:f>
        <x:v>2022.2929552956678</x:v>
      </x:c>
      <x:c r="P25" s="19" t="str">
        <x:f>IF(ABS(N25)&gt;'封面与口径'!$O$25,"机器调料需复核",IF(ABS(K25)&gt;0.02,"人工称重需复核","正常"))</x:f>
        <x:v>正常</x:v>
      </x:c>
      <x:c r="Q25" s="19" t="str">
        <x:v>陈晨</x:v>
      </x:c>
    </x:row>
    <x:row r="26">
      <x:c r="A26" s="19" t="str">
        <x:v>2026-07-08|S01|D05</x:v>
      </x:c>
      <x:c r="B26" s="34" t="n">
        <x:v>46211.5</x:v>
      </x:c>
      <x:c r="C26" s="19" t="str">
        <x:v>S01</x:v>
      </x:c>
      <x:c r="D26" s="19" t="str">
        <x:v>近江天阳店</x:v>
      </x:c>
      <x:c r="E26" s="19" t="str">
        <x:v>D05</x:v>
      </x:c>
      <x:c r="F26" s="19" t="str">
        <x:v>麻婆豆腐</x:v>
      </x:c>
      <x:c r="G26" s="19" t="str">
        <x:v>R1.0</x:v>
      </x:c>
      <x:c r="H26" s="20" t="n">
        <x:f>XLOOKUP(A26,'菜品日销量'!$A$5:$A$1124,'菜品日销量'!$G$5:$G$1124,0)</x:f>
        <x:v>56</x:v>
      </x:c>
      <x:c r="I26" s="20" t="n">
        <x:f>ROUNDUP(H26/2,0)</x:f>
        <x:v>28</x:v>
      </x:c>
      <x:c r="J26" s="22" t="n">
        <x:f>SUMIFS('菜谱BOM'!$F$5:$F$160,'菜谱BOM'!$A$5:$A$160,E26,'菜谱BOM'!$C$5:$C$160,"食材")</x:f>
        <x:v>505</x:v>
      </x:c>
      <x:c r="K26" s="38" t="n">
        <x:v>0.0008708485348315094</x:v>
      </x:c>
      <x:c r="L26" s="35" t="n">
        <x:f>H26*J26*(1+K26)</x:f>
        <x:v>28304.627596565035</x:v>
      </x:c>
      <x:c r="M26" s="35" t="n">
        <x:f>SUMIFS('菜谱BOM'!$F$5:$F$160,'菜谱BOM'!$A$5:$A$160,E26,'菜谱BOM'!$C$5:$C$160,"调料")</x:f>
        <x:v>90</x:v>
      </x:c>
      <x:c r="N26" s="38" t="n">
        <x:v>-0.0002141478411420592</x:v>
      </x:c>
      <x:c r="O26" s="35" t="n">
        <x:f>H26*M26*(1+N26)</x:f>
        <x:v>5038.920694880644</x:v>
      </x:c>
      <x:c r="P26" s="19" t="str">
        <x:f>IF(ABS(N26)&gt;'封面与口径'!$O$25,"机器调料需复核",IF(ABS(K26)&gt;0.02,"人工称重需复核","正常"))</x:f>
        <x:v>正常</x:v>
      </x:c>
      <x:c r="Q26" s="19" t="str">
        <x:v>陈晨</x:v>
      </x:c>
    </x:row>
    <x:row r="27">
      <x:c r="A27" s="19" t="str">
        <x:v>2026-07-08|S01|D07</x:v>
      </x:c>
      <x:c r="B27" s="34" t="n">
        <x:v>46211.5</x:v>
      </x:c>
      <x:c r="C27" s="19" t="str">
        <x:v>S01</x:v>
      </x:c>
      <x:c r="D27" s="19" t="str">
        <x:v>近江天阳店</x:v>
      </x:c>
      <x:c r="E27" s="19" t="str">
        <x:v>D07</x:v>
      </x:c>
      <x:c r="F27" s="19" t="str">
        <x:v>川味回锅肉</x:v>
      </x:c>
      <x:c r="G27" s="19" t="str">
        <x:v>R1.0</x:v>
      </x:c>
      <x:c r="H27" s="20" t="n">
        <x:f>XLOOKUP(A27,'菜品日销量'!$A$5:$A$1124,'菜品日销量'!$G$5:$G$1124,0)</x:f>
        <x:v>17</x:v>
      </x:c>
      <x:c r="I27" s="20" t="n">
        <x:f>ROUNDUP(H27/2,0)</x:f>
        <x:v>9</x:v>
      </x:c>
      <x:c r="J27" s="22" t="n">
        <x:f>SUMIFS('菜谱BOM'!$F$5:$F$160,'菜谱BOM'!$A$5:$A$160,E27,'菜谱BOM'!$C$5:$C$160,"食材")</x:f>
        <x:v>450</x:v>
      </x:c>
      <x:c r="K27" s="38" t="n">
        <x:v>0.007814405642406643</x:v>
      </x:c>
      <x:c r="L27" s="35" t="n">
        <x:f>H27*J27*(1+K27)</x:f>
        <x:v>7709.78020316441</x:v>
      </x:c>
      <x:c r="M27" s="35" t="n">
        <x:f>SUMIFS('菜谱BOM'!$F$5:$F$160,'菜谱BOM'!$A$5:$A$160,E27,'菜谱BOM'!$C$5:$C$160,"调料")</x:f>
        <x:v>63</x:v>
      </x:c>
      <x:c r="N27" s="38" t="n">
        <x:v>0.0015467752002987023</x:v>
      </x:c>
      <x:c r="O27" s="35" t="n">
        <x:f>H27*M27*(1+N27)</x:f>
        <x:v>1072.6565962395198</x:v>
      </x:c>
      <x:c r="P27" s="19" t="str">
        <x:f>IF(ABS(N27)&gt;'封面与口径'!$O$25,"机器调料需复核",IF(ABS(K27)&gt;0.02,"人工称重需复核","正常"))</x:f>
        <x:v>正常</x:v>
      </x:c>
      <x:c r="Q27" s="19" t="str">
        <x:v>陈晨</x:v>
      </x:c>
    </x:row>
    <x:row r="28">
      <x:c r="A28" s="19" t="str">
        <x:v>2026-07-08|S01|D08</x:v>
      </x:c>
      <x:c r="B28" s="34" t="n">
        <x:v>46211.5</x:v>
      </x:c>
      <x:c r="C28" s="19" t="str">
        <x:v>S01</x:v>
      </x:c>
      <x:c r="D28" s="19" t="str">
        <x:v>近江天阳店</x:v>
      </x:c>
      <x:c r="E28" s="19" t="str">
        <x:v>D08</x:v>
      </x:c>
      <x:c r="F28" s="19" t="str">
        <x:v>生炒清远鸡</x:v>
      </x:c>
      <x:c r="G28" s="19" t="str">
        <x:v>R1.0</x:v>
      </x:c>
      <x:c r="H28" s="20" t="n">
        <x:f>XLOOKUP(A28,'菜品日销量'!$A$5:$A$1124,'菜品日销量'!$G$5:$G$1124,0)</x:f>
        <x:v>13</x:v>
      </x:c>
      <x:c r="I28" s="20" t="n">
        <x:f>ROUNDUP(H28/2,0)</x:f>
        <x:v>7</x:v>
      </x:c>
      <x:c r="J28" s="22" t="n">
        <x:f>SUMIFS('菜谱BOM'!$F$5:$F$160,'菜谱BOM'!$A$5:$A$160,E28,'菜谱BOM'!$C$5:$C$160,"食材")</x:f>
        <x:v>610</x:v>
      </x:c>
      <x:c r="K28" s="38" t="n">
        <x:v>0.001428126523603714</x:v>
      </x:c>
      <x:c r="L28" s="35" t="n">
        <x:f>H28*J28*(1+K28)</x:f>
        <x:v>7941.325043332178</x:v>
      </x:c>
      <x:c r="M28" s="35" t="n">
        <x:f>SUMIFS('菜谱BOM'!$F$5:$F$160,'菜谱BOM'!$A$5:$A$160,E28,'菜谱BOM'!$C$5:$C$160,"调料")</x:f>
        <x:v>61</x:v>
      </x:c>
      <x:c r="N28" s="38" t="n">
        <x:v>0.00005487506418835242</x:v>
      </x:c>
      <x:c r="O28" s="35" t="n">
        <x:f>H28*M28*(1+N28)</x:f>
        <x:v>793.0435159259015</x:v>
      </x:c>
      <x:c r="P28" s="19" t="str">
        <x:f>IF(ABS(N28)&gt;'封面与口径'!$O$25,"机器调料需复核",IF(ABS(K28)&gt;0.02,"人工称重需复核","正常"))</x:f>
        <x:v>正常</x:v>
      </x:c>
      <x:c r="Q28" s="19" t="str">
        <x:v>陈晨</x:v>
      </x:c>
    </x:row>
    <x:row r="29">
      <x:c r="A29" s="19" t="str">
        <x:v>2026-07-08|S01|D09</x:v>
      </x:c>
      <x:c r="B29" s="34" t="n">
        <x:v>46211.5</x:v>
      </x:c>
      <x:c r="C29" s="19" t="str">
        <x:v>S01</x:v>
      </x:c>
      <x:c r="D29" s="19" t="str">
        <x:v>近江天阳店</x:v>
      </x:c>
      <x:c r="E29" s="19" t="str">
        <x:v>D09</x:v>
      </x:c>
      <x:c r="F29" s="19" t="str">
        <x:v>炒豆干</x:v>
      </x:c>
      <x:c r="G29" s="19" t="str">
        <x:v>R1.0</x:v>
      </x:c>
      <x:c r="H29" s="20" t="n">
        <x:f>XLOOKUP(A29,'菜品日销量'!$A$5:$A$1124,'菜品日销量'!$G$5:$G$1124,0)</x:f>
        <x:v>19</x:v>
      </x:c>
      <x:c r="I29" s="20" t="n">
        <x:f>ROUNDUP(H29/2,0)</x:f>
        <x:v>10</x:v>
      </x:c>
      <x:c r="J29" s="22" t="n">
        <x:f>SUMIFS('菜谱BOM'!$F$5:$F$160,'菜谱BOM'!$A$5:$A$160,E29,'菜谱BOM'!$C$5:$C$160,"食材")</x:f>
        <x:v>520</x:v>
      </x:c>
      <x:c r="K29" s="38" t="n">
        <x:v>-0.0053208168329021</x:v>
      </x:c>
      <x:c r="L29" s="35" t="n">
        <x:f>H29*J29*(1+K29)</x:f>
        <x:v>9827.430329690927</x:v>
      </x:c>
      <x:c r="M29" s="35" t="n">
        <x:f>SUMIFS('菜谱BOM'!$F$5:$F$160,'菜谱BOM'!$A$5:$A$160,E29,'菜谱BOM'!$C$5:$C$160,"调料")</x:f>
        <x:v>42</x:v>
      </x:c>
      <x:c r="N29" s="38" t="n">
        <x:v>-0.0013015250878644932</x:v>
      </x:c>
      <x:c r="O29" s="35" t="n">
        <x:f>H29*M29*(1+N29)</x:f>
        <x:v>796.9613829798841</x:v>
      </x:c>
      <x:c r="P29" s="19" t="str">
        <x:f>IF(ABS(N29)&gt;'封面与口径'!$O$25,"机器调料需复核",IF(ABS(K29)&gt;0.02,"人工称重需复核","正常"))</x:f>
        <x:v>正常</x:v>
      </x:c>
      <x:c r="Q29" s="19" t="str">
        <x:v>陈晨</x:v>
      </x:c>
    </x:row>
    <x:row r="30">
      <x:c r="A30" s="19" t="str">
        <x:v>2026-07-08|S01|D10</x:v>
      </x:c>
      <x:c r="B30" s="34" t="n">
        <x:v>46211.5</x:v>
      </x:c>
      <x:c r="C30" s="19" t="str">
        <x:v>S01</x:v>
      </x:c>
      <x:c r="D30" s="19" t="str">
        <x:v>近江天阳店</x:v>
      </x:c>
      <x:c r="E30" s="19" t="str">
        <x:v>D10</x:v>
      </x:c>
      <x:c r="F30" s="19" t="str">
        <x:v>农家一碗香</x:v>
      </x:c>
      <x:c r="G30" s="19" t="str">
        <x:v>R2.3</x:v>
      </x:c>
      <x:c r="H30" s="20" t="n">
        <x:f>XLOOKUP(A30,'菜品日销量'!$A$5:$A$1124,'菜品日销量'!$G$5:$G$1124,0)</x:f>
        <x:v>22</x:v>
      </x:c>
      <x:c r="I30" s="20" t="n">
        <x:f>ROUNDUP(H30/2,0)</x:f>
        <x:v>11</x:v>
      </x:c>
      <x:c r="J30" s="22" t="n">
        <x:f>SUMIFS('菜谱BOM'!$F$5:$F$160,'菜谱BOM'!$A$5:$A$160,E30,'菜谱BOM'!$C$5:$C$160,"食材")</x:f>
        <x:v>510</x:v>
      </x:c>
      <x:c r="K30" s="38" t="n">
        <x:v>-0.000047316158201386574</x:v>
      </x:c>
      <x:c r="L30" s="35" t="n">
        <x:f>H30*J30*(1+K30)</x:f>
        <x:v>11219.469112704981</x:v>
      </x:c>
      <x:c r="M30" s="35" t="n">
        <x:f>SUMIFS('菜谱BOM'!$F$5:$F$160,'菜谱BOM'!$A$5:$A$160,E30,'菜谱BOM'!$C$5:$C$160,"调料")</x:f>
        <x:v>88</x:v>
      </x:c>
      <x:c r="N30" s="38" t="n">
        <x:v>0.0009060412987382249</x:v>
      </x:c>
      <x:c r="O30" s="35" t="n">
        <x:f>H30*M30*(1+N30)</x:f>
        <x:v>1937.7540959543574</x:v>
      </x:c>
      <x:c r="P30" s="19" t="str">
        <x:f>IF(ABS(N30)&gt;'封面与口径'!$O$25,"机器调料需复核",IF(ABS(K30)&gt;0.02,"人工称重需复核","正常"))</x:f>
        <x:v>正常</x:v>
      </x:c>
      <x:c r="Q30" s="19" t="str">
        <x:v>陈晨</x:v>
      </x:c>
    </x:row>
    <x:row r="31">
      <x:c r="A31" s="19" t="str">
        <x:v>2026-07-08|S01|D11</x:v>
      </x:c>
      <x:c r="B31" s="34" t="n">
        <x:v>46211.5</x:v>
      </x:c>
      <x:c r="C31" s="19" t="str">
        <x:v>S01</x:v>
      </x:c>
      <x:c r="D31" s="19" t="str">
        <x:v>近江天阳店</x:v>
      </x:c>
      <x:c r="E31" s="19" t="str">
        <x:v>D11</x:v>
      </x:c>
      <x:c r="F31" s="19" t="str">
        <x:v>香辣爆肥肠</x:v>
      </x:c>
      <x:c r="G31" s="19" t="str">
        <x:v>R1.0</x:v>
      </x:c>
      <x:c r="H31" s="20" t="n">
        <x:f>XLOOKUP(A31,'菜品日销量'!$A$5:$A$1124,'菜品日销量'!$G$5:$G$1124,0)</x:f>
        <x:v>8</x:v>
      </x:c>
      <x:c r="I31" s="20" t="n">
        <x:f>ROUNDUP(H31/2,0)</x:f>
        <x:v>4</x:v>
      </x:c>
      <x:c r="J31" s="22" t="n">
        <x:f>SUMIFS('菜谱BOM'!$F$5:$F$160,'菜谱BOM'!$A$5:$A$160,E31,'菜谱BOM'!$C$5:$C$160,"食材")</x:f>
        <x:v>430</x:v>
      </x:c>
      <x:c r="K31" s="38" t="n">
        <x:v>-0.0003603614848946135</x:v>
      </x:c>
      <x:c r="L31" s="35" t="n">
        <x:f>H31*J31*(1+K31)</x:f>
        <x:v>3438.7603564919627</x:v>
      </x:c>
      <x:c r="M31" s="35" t="n">
        <x:f>SUMIFS('菜谱BOM'!$F$5:$F$160,'菜谱BOM'!$A$5:$A$160,E31,'菜谱BOM'!$C$5:$C$160,"调料")</x:f>
        <x:v>67</x:v>
      </x:c>
      <x:c r="N31" s="38" t="n">
        <x:v>0.0014857776256943533</x:v>
      </x:c>
      <x:c r="O31" s="35" t="n">
        <x:f>H31*M31*(1+N31)</x:f>
        <x:v>536.7963768073722</x:v>
      </x:c>
      <x:c r="P31" s="19" t="str">
        <x:f>IF(ABS(N31)&gt;'封面与口径'!$O$25,"机器调料需复核",IF(ABS(K31)&gt;0.02,"人工称重需复核","正常"))</x:f>
        <x:v>正常</x:v>
      </x:c>
      <x:c r="Q31" s="19" t="str">
        <x:v>陈晨</x:v>
      </x:c>
    </x:row>
    <x:row r="32">
      <x:c r="A32" s="19" t="str">
        <x:v>2026-07-08|S01|D13</x:v>
      </x:c>
      <x:c r="B32" s="34" t="n">
        <x:v>46211.5</x:v>
      </x:c>
      <x:c r="C32" s="19" t="str">
        <x:v>S01</x:v>
      </x:c>
      <x:c r="D32" s="19" t="str">
        <x:v>近江天阳店</x:v>
      </x:c>
      <x:c r="E32" s="19" t="str">
        <x:v>D13</x:v>
      </x:c>
      <x:c r="F32" s="19" t="str">
        <x:v>外婆菜炒蛋</x:v>
      </x:c>
      <x:c r="G32" s="19" t="str">
        <x:v>R1.0</x:v>
      </x:c>
      <x:c r="H32" s="20" t="n">
        <x:f>XLOOKUP(A32,'菜品日销量'!$A$5:$A$1124,'菜品日销量'!$G$5:$G$1124,0)</x:f>
        <x:v>19</x:v>
      </x:c>
      <x:c r="I32" s="20" t="n">
        <x:f>ROUNDUP(H32/2,0)</x:f>
        <x:v>10</x:v>
      </x:c>
      <x:c r="J32" s="22" t="n">
        <x:f>SUMIFS('菜谱BOM'!$F$5:$F$160,'菜谱BOM'!$A$5:$A$160,E32,'菜谱BOM'!$C$5:$C$160,"食材")</x:f>
        <x:v>450</x:v>
      </x:c>
      <x:c r="K32" s="38" t="n">
        <x:v>0.004804813186825442</x:v>
      </x:c>
      <x:c r="L32" s="35" t="n">
        <x:f>H32*J32*(1+K32)</x:f>
        <x:v>8591.081152747358</x:v>
      </x:c>
      <x:c r="M32" s="35" t="n">
        <x:f>SUMIFS('菜谱BOM'!$F$5:$F$160,'菜谱BOM'!$A$5:$A$160,E32,'菜谱BOM'!$C$5:$C$160,"调料")</x:f>
        <x:v>37</x:v>
      </x:c>
      <x:c r="N32" s="38" t="n">
        <x:v>0.0009480822791690198</x:v>
      </x:c>
      <x:c r="O32" s="35" t="n">
        <x:f>H32*M32*(1+N32)</x:f>
        <x:v>703.6665018422558</x:v>
      </x:c>
      <x:c r="P32" s="19" t="str">
        <x:f>IF(ABS(N32)&gt;'封面与口径'!$O$25,"机器调料需复核",IF(ABS(K32)&gt;0.02,"人工称重需复核","正常"))</x:f>
        <x:v>正常</x:v>
      </x:c>
      <x:c r="Q32" s="19" t="str">
        <x:v>陈晨</x:v>
      </x:c>
    </x:row>
    <x:row r="33">
      <x:c r="A33" s="19" t="str">
        <x:v>2026-07-08|S01|D14</x:v>
      </x:c>
      <x:c r="B33" s="34" t="n">
        <x:v>46211.5</x:v>
      </x:c>
      <x:c r="C33" s="19" t="str">
        <x:v>S01</x:v>
      </x:c>
      <x:c r="D33" s="19" t="str">
        <x:v>近江天阳店</x:v>
      </x:c>
      <x:c r="E33" s="19" t="str">
        <x:v>D14</x:v>
      </x:c>
      <x:c r="F33" s="19" t="str">
        <x:v>酸辣鸡杂</x:v>
      </x:c>
      <x:c r="G33" s="19" t="str">
        <x:v>R1.0</x:v>
      </x:c>
      <x:c r="H33" s="20" t="n">
        <x:f>XLOOKUP(A33,'菜品日销量'!$A$5:$A$1124,'菜品日销量'!$G$5:$G$1124,0)</x:f>
        <x:v>11</x:v>
      </x:c>
      <x:c r="I33" s="20" t="n">
        <x:f>ROUNDUP(H33/2,0)</x:f>
        <x:v>6</x:v>
      </x:c>
      <x:c r="J33" s="22" t="n">
        <x:f>SUMIFS('菜谱BOM'!$F$5:$F$160,'菜谱BOM'!$A$5:$A$160,E33,'菜谱BOM'!$C$5:$C$160,"食材")</x:f>
        <x:v>470</x:v>
      </x:c>
      <x:c r="K33" s="38" t="n">
        <x:v>0.0018063684911016297</x:v>
      </x:c>
      <x:c r="L33" s="35" t="n">
        <x:f>H33*J33*(1+K33)</x:f>
        <x:v>5179.338925098995</x:v>
      </x:c>
      <x:c r="M33" s="35" t="n">
        <x:f>SUMIFS('菜谱BOM'!$F$5:$F$160,'菜谱BOM'!$A$5:$A$160,E33,'菜谱BOM'!$C$5:$C$160,"调料")</x:f>
        <x:v>60</x:v>
      </x:c>
      <x:c r="N33" s="38" t="n">
        <x:v>0.001974702768953215</x:v>
      </x:c>
      <x:c r="O33" s="35" t="n">
        <x:f>H33*M33*(1+N33)</x:f>
        <x:v>661.3033038275091</x:v>
      </x:c>
      <x:c r="P33" s="19" t="str">
        <x:f>IF(ABS(N33)&gt;'封面与口径'!$O$25,"机器调料需复核",IF(ABS(K33)&gt;0.02,"人工称重需复核","正常"))</x:f>
        <x:v>正常</x:v>
      </x:c>
      <x:c r="Q33" s="19" t="str">
        <x:v>陈晨</x:v>
      </x:c>
    </x:row>
    <x:row r="34">
      <x:c r="A34" s="19" t="str">
        <x:v>2026-07-08|S01|D15</x:v>
      </x:c>
      <x:c r="B34" s="34" t="n">
        <x:v>46211.5</x:v>
      </x:c>
      <x:c r="C34" s="19" t="str">
        <x:v>S01</x:v>
      </x:c>
      <x:c r="D34" s="19" t="str">
        <x:v>近江天阳店</x:v>
      </x:c>
      <x:c r="E34" s="19" t="str">
        <x:v>D15</x:v>
      </x:c>
      <x:c r="F34" s="19" t="str">
        <x:v>湘西土匪猪肝</x:v>
      </x:c>
      <x:c r="G34" s="19" t="str">
        <x:v>R1.0</x:v>
      </x:c>
      <x:c r="H34" s="20" t="n">
        <x:f>XLOOKUP(A34,'菜品日销量'!$A$5:$A$1124,'菜品日销量'!$G$5:$G$1124,0)</x:f>
        <x:v>8</x:v>
      </x:c>
      <x:c r="I34" s="20" t="n">
        <x:f>ROUNDUP(H34/2,0)</x:f>
        <x:v>4</x:v>
      </x:c>
      <x:c r="J34" s="22" t="n">
        <x:f>SUMIFS('菜谱BOM'!$F$5:$F$160,'菜谱BOM'!$A$5:$A$160,E34,'菜谱BOM'!$C$5:$C$160,"食材")</x:f>
        <x:v>470</x:v>
      </x:c>
      <x:c r="K34" s="38" t="n">
        <x:v>-0.004278207345930441</x:v>
      </x:c>
      <x:c r="L34" s="35" t="n">
        <x:f>H34*J34*(1+K34)</x:f>
        <x:v>3743.9139403793015</x:v>
      </x:c>
      <x:c r="M34" s="35" t="n">
        <x:f>SUMIFS('菜谱BOM'!$F$5:$F$160,'菜谱BOM'!$A$5:$A$160,E34,'菜谱BOM'!$C$5:$C$160,"调料")</x:f>
        <x:v>49</x:v>
      </x:c>
      <x:c r="N34" s="38" t="n">
        <x:v>0.0008674249627784416</x:v>
      </x:c>
      <x:c r="O34" s="35" t="n">
        <x:f>H34*M34*(1+N34)</x:f>
        <x:v>392.3400305854092</x:v>
      </x:c>
      <x:c r="P34" s="19" t="str">
        <x:f>IF(ABS(N34)&gt;'封面与口径'!$O$25,"机器调料需复核",IF(ABS(K34)&gt;0.02,"人工称重需复核","正常"))</x:f>
        <x:v>正常</x:v>
      </x:c>
      <x:c r="Q34" s="19" t="str">
        <x:v>陈晨</x:v>
      </x:c>
    </x:row>
    <x:row r="35">
      <x:c r="A35" s="19" t="str">
        <x:v>2026-07-08|S01|D16</x:v>
      </x:c>
      <x:c r="B35" s="34" t="n">
        <x:v>46211.5</x:v>
      </x:c>
      <x:c r="C35" s="19" t="str">
        <x:v>S01</x:v>
      </x:c>
      <x:c r="D35" s="19" t="str">
        <x:v>近江天阳店</x:v>
      </x:c>
      <x:c r="E35" s="19" t="str">
        <x:v>D16</x:v>
      </x:c>
      <x:c r="F35" s="19" t="str">
        <x:v>小豆角炒五花</x:v>
      </x:c>
      <x:c r="G35" s="19" t="str">
        <x:v>R1.0</x:v>
      </x:c>
      <x:c r="H35" s="20" t="n">
        <x:f>XLOOKUP(A35,'菜品日销量'!$A$5:$A$1124,'菜品日销量'!$G$5:$G$1124,0)</x:f>
        <x:v>8</x:v>
      </x:c>
      <x:c r="I35" s="20" t="n">
        <x:f>ROUNDUP(H35/2,0)</x:f>
        <x:v>4</x:v>
      </x:c>
      <x:c r="J35" s="22" t="n">
        <x:f>SUMIFS('菜谱BOM'!$F$5:$F$160,'菜谱BOM'!$A$5:$A$160,E35,'菜谱BOM'!$C$5:$C$160,"食材")</x:f>
        <x:v>450</x:v>
      </x:c>
      <x:c r="K35" s="38" t="n">
        <x:v>-0.006355631772045892</x:v>
      </x:c>
      <x:c r="L35" s="35" t="n">
        <x:f>H35*J35*(1+K35)</x:f>
        <x:v>3577.1197256206347</x:v>
      </x:c>
      <x:c r="M35" s="35" t="n">
        <x:f>SUMIFS('菜谱BOM'!$F$5:$F$160,'菜谱BOM'!$A$5:$A$160,E35,'菜谱BOM'!$C$5:$C$160,"调料")</x:f>
        <x:v>42</x:v>
      </x:c>
      <x:c r="N35" s="38" t="n">
        <x:v>-0.0004775695406081084</x:v>
      </x:c>
      <x:c r="O35" s="35" t="n">
        <x:f>H35*M35*(1+N35)</x:f>
        <x:v>335.8395366343557</x:v>
      </x:c>
      <x:c r="P35" s="19" t="str">
        <x:f>IF(ABS(N35)&gt;'封面与口径'!$O$25,"机器调料需复核",IF(ABS(K35)&gt;0.02,"人工称重需复核","正常"))</x:f>
        <x:v>正常</x:v>
      </x:c>
      <x:c r="Q35" s="19" t="str">
        <x:v>陈晨</x:v>
      </x:c>
    </x:row>
    <x:row r="36">
      <x:c r="A36" s="19" t="str">
        <x:v>2026-07-08|S01|D18</x:v>
      </x:c>
      <x:c r="B36" s="34" t="n">
        <x:v>46211.5</x:v>
      </x:c>
      <x:c r="C36" s="19" t="str">
        <x:v>S01</x:v>
      </x:c>
      <x:c r="D36" s="19" t="str">
        <x:v>近江天阳店</x:v>
      </x:c>
      <x:c r="E36" s="19" t="str">
        <x:v>D18</x:v>
      </x:c>
      <x:c r="F36" s="19" t="str">
        <x:v>青椒炒油麦菜</x:v>
      </x:c>
      <x:c r="G36" s="19" t="str">
        <x:v>R1.0</x:v>
      </x:c>
      <x:c r="H36" s="20" t="n">
        <x:f>XLOOKUP(A36,'菜品日销量'!$A$5:$A$1124,'菜品日销量'!$G$5:$G$1124,0)</x:f>
        <x:v>11</x:v>
      </x:c>
      <x:c r="I36" s="20" t="n">
        <x:f>ROUNDUP(H36/2,0)</x:f>
        <x:v>6</x:v>
      </x:c>
      <x:c r="J36" s="22" t="n">
        <x:f>SUMIFS('菜谱BOM'!$F$5:$F$160,'菜谱BOM'!$A$5:$A$160,E36,'菜谱BOM'!$C$5:$C$160,"食材")</x:f>
        <x:v>430</x:v>
      </x:c>
      <x:c r="K36" s="38" t="n">
        <x:v>0.006036486275036932</x:v>
      </x:c>
      <x:c r="L36" s="35" t="n">
        <x:f>H36*J36*(1+K36)</x:f>
        <x:v>4758.552580080925</x:v>
      </x:c>
      <x:c r="M36" s="35" t="n">
        <x:f>SUMIFS('菜谱BOM'!$F$5:$F$160,'菜谱BOM'!$A$5:$A$160,E36,'菜谱BOM'!$C$5:$C$160,"调料")</x:f>
        <x:v>33</x:v>
      </x:c>
      <x:c r="N36" s="38" t="n">
        <x:v>0.0011005184322363975</x:v>
      </x:c>
      <x:c r="O36" s="35" t="n">
        <x:f>H36*M36*(1+N36)</x:f>
        <x:v>363.3994881909018</x:v>
      </x:c>
      <x:c r="P36" s="19" t="str">
        <x:f>IF(ABS(N36)&gt;'封面与口径'!$O$25,"机器调料需复核",IF(ABS(K36)&gt;0.02,"人工称重需复核","正常"))</x:f>
        <x:v>正常</x:v>
      </x:c>
      <x:c r="Q36" s="19" t="str">
        <x:v>陈晨</x:v>
      </x:c>
    </x:row>
    <x:row r="37">
      <x:c r="A37" s="19" t="str">
        <x:v>2026-07-08|S01|D19</x:v>
      </x:c>
      <x:c r="B37" s="34" t="n">
        <x:v>46211.5</x:v>
      </x:c>
      <x:c r="C37" s="19" t="str">
        <x:v>S01</x:v>
      </x:c>
      <x:c r="D37" s="19" t="str">
        <x:v>近江天阳店</x:v>
      </x:c>
      <x:c r="E37" s="19" t="str">
        <x:v>D19</x:v>
      </x:c>
      <x:c r="F37" s="19" t="str">
        <x:v>酸萝卜炒鸡杂</x:v>
      </x:c>
      <x:c r="G37" s="19" t="str">
        <x:v>R1.0</x:v>
      </x:c>
      <x:c r="H37" s="20" t="n">
        <x:f>XLOOKUP(A37,'菜品日销量'!$A$5:$A$1124,'菜品日销量'!$G$5:$G$1124,0)</x:f>
        <x:v>7</x:v>
      </x:c>
      <x:c r="I37" s="20" t="n">
        <x:f>ROUNDUP(H37/2,0)</x:f>
        <x:v>4</x:v>
      </x:c>
      <x:c r="J37" s="22" t="n">
        <x:f>SUMIFS('菜谱BOM'!$F$5:$F$160,'菜谱BOM'!$A$5:$A$160,E37,'菜谱BOM'!$C$5:$C$160,"食材")</x:f>
        <x:v>500</x:v>
      </x:c>
      <x:c r="K37" s="38" t="n">
        <x:v>0.002121971907588181</x:v>
      </x:c>
      <x:c r="L37" s="35" t="n">
        <x:f>H37*J37*(1+K37)</x:f>
        <x:v>3507.426901676559</x:v>
      </x:c>
      <x:c r="M37" s="35" t="n">
        <x:f>SUMIFS('菜谱BOM'!$F$5:$F$160,'菜谱BOM'!$A$5:$A$160,E37,'菜谱BOM'!$C$5:$C$160,"调料")</x:f>
        <x:v>55</x:v>
      </x:c>
      <x:c r="N37" s="38" t="n">
        <x:v>0.0011802427487401857</x:v>
      </x:c>
      <x:c r="O37" s="35" t="n">
        <x:f>H37*M37*(1+N37)</x:f>
        <x:v>385.454393458265</x:v>
      </x:c>
      <x:c r="P37" s="19" t="str">
        <x:f>IF(ABS(N37)&gt;'封面与口径'!$O$25,"机器调料需复核",IF(ABS(K37)&gt;0.02,"人工称重需复核","正常"))</x:f>
        <x:v>正常</x:v>
      </x:c>
      <x:c r="Q37" s="19" t="str">
        <x:v>陈晨</x:v>
      </x:c>
    </x:row>
    <x:row r="38">
      <x:c r="A38" s="19" t="str">
        <x:v>2026-07-08|S01|D20</x:v>
      </x:c>
      <x:c r="B38" s="34" t="n">
        <x:v>46211.5</x:v>
      </x:c>
      <x:c r="C38" s="19" t="str">
        <x:v>S01</x:v>
      </x:c>
      <x:c r="D38" s="19" t="str">
        <x:v>近江天阳店</x:v>
      </x:c>
      <x:c r="E38" s="19" t="str">
        <x:v>D20</x:v>
      </x:c>
      <x:c r="F38" s="19" t="str">
        <x:v>雪菜肉末青豆</x:v>
      </x:c>
      <x:c r="G38" s="19" t="str">
        <x:v>R1.0</x:v>
      </x:c>
      <x:c r="H38" s="20" t="n">
        <x:f>XLOOKUP(A38,'菜品日销量'!$A$5:$A$1124,'菜品日销量'!$G$5:$G$1124,0)</x:f>
        <x:v>10</x:v>
      </x:c>
      <x:c r="I38" s="20" t="n">
        <x:f>ROUNDUP(H38/2,0)</x:f>
        <x:v>5</x:v>
      </x:c>
      <x:c r="J38" s="22" t="n">
        <x:f>SUMIFS('菜谱BOM'!$F$5:$F$160,'菜谱BOM'!$A$5:$A$160,E38,'菜谱BOM'!$C$5:$C$160,"食材")</x:f>
        <x:v>465</x:v>
      </x:c>
      <x:c r="K38" s="38" t="n">
        <x:v>-0.0059384268368450985</x:v>
      </x:c>
      <x:c r="L38" s="35" t="n">
        <x:f>H38*J38*(1+K38)</x:f>
        <x:v>4622.386315208671</x:v>
      </x:c>
      <x:c r="M38" s="35" t="n">
        <x:f>SUMIFS('菜谱BOM'!$F$5:$F$160,'菜谱BOM'!$A$5:$A$160,E38,'菜谱BOM'!$C$5:$C$160,"调料")</x:f>
        <x:v>32</x:v>
      </x:c>
      <x:c r="N38" s="38" t="n">
        <x:v>-0.0012860509034446558</x:v>
      </x:c>
      <x:c r="O38" s="35" t="n">
        <x:f>H38*M38*(1+N38)</x:f>
        <x:v>319.5884637108977</x:v>
      </x:c>
      <x:c r="P38" s="19" t="str">
        <x:f>IF(ABS(N38)&gt;'封面与口径'!$O$25,"机器调料需复核",IF(ABS(K38)&gt;0.02,"人工称重需复核","正常"))</x:f>
        <x:v>正常</x:v>
      </x:c>
      <x:c r="Q38" s="19" t="str">
        <x:v>陈晨</x:v>
      </x:c>
    </x:row>
    <x:row r="39">
      <x:c r="A39" s="19" t="str">
        <x:v>2026-07-09|S01|D01</x:v>
      </x:c>
      <x:c r="B39" s="34" t="n">
        <x:v>46212.5</x:v>
      </x:c>
      <x:c r="C39" s="19" t="str">
        <x:v>S01</x:v>
      </x:c>
      <x:c r="D39" s="19" t="str">
        <x:v>近江天阳店</x:v>
      </x:c>
      <x:c r="E39" s="19" t="str">
        <x:v>D01</x:v>
      </x:c>
      <x:c r="F39" s="19" t="str">
        <x:v>辣椒炒肉</x:v>
      </x:c>
      <x:c r="G39" s="19" t="str">
        <x:v>R2.3</x:v>
      </x:c>
      <x:c r="H39" s="20" t="n">
        <x:f>XLOOKUP(A39,'菜品日销量'!$A$5:$A$1124,'菜品日销量'!$G$5:$G$1124,0)</x:f>
        <x:v>57</x:v>
      </x:c>
      <x:c r="I39" s="20" t="n">
        <x:f>ROUNDUP(H39/2,0)</x:f>
        <x:v>29</x:v>
      </x:c>
      <x:c r="J39" s="22" t="n">
        <x:f>SUMIFS('菜谱BOM'!$F$5:$F$160,'菜谱BOM'!$A$5:$A$160,E39,'菜谱BOM'!$C$5:$C$160,"食材")</x:f>
        <x:v>550</x:v>
      </x:c>
      <x:c r="K39" s="38" t="n">
        <x:v>0.006441801439607936</x:v>
      </x:c>
      <x:c r="L39" s="35" t="n">
        <x:f>H39*J39*(1+K39)</x:f>
        <x:v>31551.950475131707</x:v>
      </x:c>
      <x:c r="M39" s="35" t="n">
        <x:f>SUMIFS('菜谱BOM'!$F$5:$F$160,'菜谱BOM'!$A$5:$A$160,E39,'菜谱BOM'!$C$5:$C$160,"调料")</x:f>
        <x:v>104</x:v>
      </x:c>
      <x:c r="N39" s="38" t="n">
        <x:v>-0.0007955720393908145</x:v>
      </x:c>
      <x:c r="O39" s="35" t="n">
        <x:f>H39*M39*(1+N39)</x:f>
        <x:v>5923.283848950491</x:v>
      </x:c>
      <x:c r="P39" s="19" t="str">
        <x:f>IF(ABS(N39)&gt;'封面与口径'!$O$25,"机器调料需复核",IF(ABS(K39)&gt;0.02,"人工称重需复核","正常"))</x:f>
        <x:v>正常</x:v>
      </x:c>
      <x:c r="Q39" s="19" t="str">
        <x:v>陈晨</x:v>
      </x:c>
    </x:row>
    <x:row r="40">
      <x:c r="A40" s="19" t="str">
        <x:v>2026-07-09|S01|D02</x:v>
      </x:c>
      <x:c r="B40" s="34" t="n">
        <x:v>46212.5</x:v>
      </x:c>
      <x:c r="C40" s="19" t="str">
        <x:v>S01</x:v>
      </x:c>
      <x:c r="D40" s="19" t="str">
        <x:v>近江天阳店</x:v>
      </x:c>
      <x:c r="E40" s="19" t="str">
        <x:v>D02</x:v>
      </x:c>
      <x:c r="F40" s="19" t="str">
        <x:v>小炒黄牛肉</x:v>
      </x:c>
      <x:c r="G40" s="19" t="str">
        <x:v>R2.3</x:v>
      </x:c>
      <x:c r="H40" s="20" t="n">
        <x:f>XLOOKUP(A40,'菜品日销量'!$A$5:$A$1124,'菜品日销量'!$G$5:$G$1124,0)</x:f>
        <x:v>35</x:v>
      </x:c>
      <x:c r="I40" s="20" t="n">
        <x:f>ROUNDUP(H40/2,0)</x:f>
        <x:v>18</x:v>
      </x:c>
      <x:c r="J40" s="22" t="n">
        <x:f>SUMIFS('菜谱BOM'!$F$5:$F$160,'菜谱BOM'!$A$5:$A$160,E40,'菜谱BOM'!$C$5:$C$160,"食材")</x:f>
        <x:v>560</x:v>
      </x:c>
      <x:c r="K40" s="38" t="n">
        <x:v>0.0016194180309817697</x:v>
      </x:c>
      <x:c r="L40" s="35" t="n">
        <x:f>H40*J40*(1+K40)</x:f>
        <x:v>19631.740593407245</x:v>
      </x:c>
      <x:c r="M40" s="35" t="n">
        <x:f>SUMIFS('菜谱BOM'!$F$5:$F$160,'菜谱BOM'!$A$5:$A$160,E40,'菜谱BOM'!$C$5:$C$160,"调料")</x:f>
        <x:v>133</x:v>
      </x:c>
      <x:c r="N40" s="38" t="n">
        <x:v>-0.0018339585996777655</x:v>
      </x:c>
      <x:c r="O40" s="35" t="n">
        <x:f>H40*M40*(1+N40)</x:f>
        <x:v>4646.4629227185005</x:v>
      </x:c>
      <x:c r="P40" s="19" t="str">
        <x:f>IF(ABS(N40)&gt;'封面与口径'!$O$25,"机器调料需复核",IF(ABS(K40)&gt;0.02,"人工称重需复核","正常"))</x:f>
        <x:v>正常</x:v>
      </x:c>
      <x:c r="Q40" s="19" t="str">
        <x:v>陈晨</x:v>
      </x:c>
    </x:row>
    <x:row r="41">
      <x:c r="A41" s="19" t="str">
        <x:v>2026-07-09|S01|D03</x:v>
      </x:c>
      <x:c r="B41" s="34" t="n">
        <x:v>46212.5</x:v>
      </x:c>
      <x:c r="C41" s="19" t="str">
        <x:v>S01</x:v>
      </x:c>
      <x:c r="D41" s="19" t="str">
        <x:v>近江天阳店</x:v>
      </x:c>
      <x:c r="E41" s="19" t="str">
        <x:v>D03</x:v>
      </x:c>
      <x:c r="F41" s="19" t="str">
        <x:v>香醋炒蛋</x:v>
      </x:c>
      <x:c r="G41" s="19" t="str">
        <x:v>R1.0</x:v>
      </x:c>
      <x:c r="H41" s="20" t="n">
        <x:f>XLOOKUP(A41,'菜品日销量'!$A$5:$A$1124,'菜品日销量'!$G$5:$G$1124,0)</x:f>
        <x:v>44</x:v>
      </x:c>
      <x:c r="I41" s="20" t="n">
        <x:f>ROUNDUP(H41/2,0)</x:f>
        <x:v>22</x:v>
      </x:c>
      <x:c r="J41" s="22" t="n">
        <x:f>SUMIFS('菜谱BOM'!$F$5:$F$160,'菜谱BOM'!$A$5:$A$160,E41,'菜谱BOM'!$C$5:$C$160,"食材")</x:f>
        <x:v>300</x:v>
      </x:c>
      <x:c r="K41" s="38" t="n">
        <x:v>-0.0015219010695633247</x:v>
      </x:c>
      <x:c r="L41" s="35" t="n">
        <x:f>H41*J41*(1+K41)</x:f>
        <x:v>13179.910905881765</x:v>
      </x:c>
      <x:c r="M41" s="35" t="n">
        <x:f>SUMIFS('菜谱BOM'!$F$5:$F$160,'菜谱BOM'!$A$5:$A$160,E41,'菜谱BOM'!$C$5:$C$160,"调料")</x:f>
        <x:v>53</x:v>
      </x:c>
      <x:c r="N41" s="38" t="n">
        <x:v>-0.0008020174193200696</x:v>
      </x:c>
      <x:c r="O41" s="35" t="n">
        <x:f>H41*M41*(1+N41)</x:f>
        <x:v>2330.1296953781457</x:v>
      </x:c>
      <x:c r="P41" s="19" t="str">
        <x:f>IF(ABS(N41)&gt;'封面与口径'!$O$25,"机器调料需复核",IF(ABS(K41)&gt;0.02,"人工称重需复核","正常"))</x:f>
        <x:v>正常</x:v>
      </x:c>
      <x:c r="Q41" s="19" t="str">
        <x:v>陈晨</x:v>
      </x:c>
    </x:row>
    <x:row r="42">
      <x:c r="A42" s="19" t="str">
        <x:v>2026-07-09|S01|D04</x:v>
      </x:c>
      <x:c r="B42" s="34" t="n">
        <x:v>46212.5</x:v>
      </x:c>
      <x:c r="C42" s="19" t="str">
        <x:v>S01</x:v>
      </x:c>
      <x:c r="D42" s="19" t="str">
        <x:v>近江天阳店</x:v>
      </x:c>
      <x:c r="E42" s="19" t="str">
        <x:v>D04</x:v>
      </x:c>
      <x:c r="F42" s="19" t="str">
        <x:v>酸包菜炒粉皮</x:v>
      </x:c>
      <x:c r="G42" s="19" t="str">
        <x:v>R1.0</x:v>
      </x:c>
      <x:c r="H42" s="20" t="n">
        <x:f>XLOOKUP(A42,'菜品日销量'!$A$5:$A$1124,'菜品日销量'!$G$5:$G$1124,0)</x:f>
        <x:v>43</x:v>
      </x:c>
      <x:c r="I42" s="20" t="n">
        <x:f>ROUNDUP(H42/2,0)</x:f>
        <x:v>22</x:v>
      </x:c>
      <x:c r="J42" s="22" t="n">
        <x:f>SUMIFS('菜谱BOM'!$F$5:$F$160,'菜谱BOM'!$A$5:$A$160,E42,'菜谱BOM'!$C$5:$C$160,"食材")</x:f>
        <x:v>380</x:v>
      </x:c>
      <x:c r="K42" s="38" t="n">
        <x:v>-0.007665240619253656</x:v>
      </x:c>
      <x:c r="L42" s="35" t="n">
        <x:f>H42*J42*(1+K42)</x:f>
        <x:v>16214.749968281396</x:v>
      </x:c>
      <x:c r="M42" s="35" t="n">
        <x:f>SUMIFS('菜谱BOM'!$F$5:$F$160,'菜谱BOM'!$A$5:$A$160,E42,'菜谱BOM'!$C$5:$C$160,"调料")</x:f>
        <x:v>47</x:v>
      </x:c>
      <x:c r="N42" s="38" t="n">
        <x:v>-0.0018361886124676533</x:v>
      </x:c>
      <x:c r="O42" s="35" t="n">
        <x:f>H42*M42*(1+N42)</x:f>
        <x:v>2017.2890628142027</x:v>
      </x:c>
      <x:c r="P42" s="19" t="str">
        <x:f>IF(ABS(N42)&gt;'封面与口径'!$O$25,"机器调料需复核",IF(ABS(K42)&gt;0.02,"人工称重需复核","正常"))</x:f>
        <x:v>正常</x:v>
      </x:c>
      <x:c r="Q42" s="19" t="str">
        <x:v>陈晨</x:v>
      </x:c>
    </x:row>
    <x:row r="43">
      <x:c r="A43" s="19" t="str">
        <x:v>2026-07-09|S01|D05</x:v>
      </x:c>
      <x:c r="B43" s="34" t="n">
        <x:v>46212.5</x:v>
      </x:c>
      <x:c r="C43" s="19" t="str">
        <x:v>S01</x:v>
      </x:c>
      <x:c r="D43" s="19" t="str">
        <x:v>近江天阳店</x:v>
      </x:c>
      <x:c r="E43" s="19" t="str">
        <x:v>D05</x:v>
      </x:c>
      <x:c r="F43" s="19" t="str">
        <x:v>麻婆豆腐</x:v>
      </x:c>
      <x:c r="G43" s="19" t="str">
        <x:v>R1.0</x:v>
      </x:c>
      <x:c r="H43" s="20" t="n">
        <x:f>XLOOKUP(A43,'菜品日销量'!$A$5:$A$1124,'菜品日销量'!$G$5:$G$1124,0)</x:f>
        <x:v>60</x:v>
      </x:c>
      <x:c r="I43" s="20" t="n">
        <x:f>ROUNDUP(H43/2,0)</x:f>
        <x:v>30</x:v>
      </x:c>
      <x:c r="J43" s="22" t="n">
        <x:f>SUMIFS('菜谱BOM'!$F$5:$F$160,'菜谱BOM'!$A$5:$A$160,E43,'菜谱BOM'!$C$5:$C$160,"食材")</x:f>
        <x:v>505</x:v>
      </x:c>
      <x:c r="K43" s="38" t="n">
        <x:v>0.0064961451251283634</x:v>
      </x:c>
      <x:c r="L43" s="35" t="n">
        <x:f>H43*J43*(1+K43)</x:f>
        <x:v>30496.83319729139</x:v>
      </x:c>
      <x:c r="M43" s="35" t="n">
        <x:f>SUMIFS('菜谱BOM'!$F$5:$F$160,'菜谱BOM'!$A$5:$A$160,E43,'菜谱BOM'!$C$5:$C$160,"调料")</x:f>
        <x:v>90</x:v>
      </x:c>
      <x:c r="N43" s="38" t="n">
        <x:v>0.0010574404073547198</x:v>
      </x:c>
      <x:c r="O43" s="35" t="n">
        <x:f>H43*M43*(1+N43)</x:f>
        <x:v>5405.710178199715</x:v>
      </x:c>
      <x:c r="P43" s="19" t="str">
        <x:f>IF(ABS(N43)&gt;'封面与口径'!$O$25,"机器调料需复核",IF(ABS(K43)&gt;0.02,"人工称重需复核","正常"))</x:f>
        <x:v>正常</x:v>
      </x:c>
      <x:c r="Q43" s="19" t="str">
        <x:v>陈晨</x:v>
      </x:c>
    </x:row>
    <x:row r="44">
      <x:c r="A44" s="19" t="str">
        <x:v>2026-07-09|S01|D07</x:v>
      </x:c>
      <x:c r="B44" s="34" t="n">
        <x:v>46212.5</x:v>
      </x:c>
      <x:c r="C44" s="19" t="str">
        <x:v>S01</x:v>
      </x:c>
      <x:c r="D44" s="19" t="str">
        <x:v>近江天阳店</x:v>
      </x:c>
      <x:c r="E44" s="19" t="str">
        <x:v>D07</x:v>
      </x:c>
      <x:c r="F44" s="19" t="str">
        <x:v>川味回锅肉</x:v>
      </x:c>
      <x:c r="G44" s="19" t="str">
        <x:v>R1.0</x:v>
      </x:c>
      <x:c r="H44" s="20" t="n">
        <x:f>XLOOKUP(A44,'菜品日销量'!$A$5:$A$1124,'菜品日销量'!$G$5:$G$1124,0)</x:f>
        <x:v>17</x:v>
      </x:c>
      <x:c r="I44" s="20" t="n">
        <x:f>ROUNDUP(H44/2,0)</x:f>
        <x:v>9</x:v>
      </x:c>
      <x:c r="J44" s="22" t="n">
        <x:f>SUMIFS('菜谱BOM'!$F$5:$F$160,'菜谱BOM'!$A$5:$A$160,E44,'菜谱BOM'!$C$5:$C$160,"食材")</x:f>
        <x:v>450</x:v>
      </x:c>
      <x:c r="K44" s="38" t="n">
        <x:v>0.00640527169741813</x:v>
      </x:c>
      <x:c r="L44" s="35" t="n">
        <x:f>H44*J44*(1+K44)</x:f>
        <x:v>7699.000328485248</x:v>
      </x:c>
      <x:c r="M44" s="35" t="n">
        <x:f>SUMIFS('菜谱BOM'!$F$5:$F$160,'菜谱BOM'!$A$5:$A$160,E44,'菜谱BOM'!$C$5:$C$160,"调料")</x:f>
        <x:v>63</x:v>
      </x:c>
      <x:c r="N44" s="38" t="n">
        <x:v>0.001053379079106585</x:v>
      </x:c>
      <x:c r="O44" s="35" t="n">
        <x:f>H44*M44*(1+N44)</x:f>
        <x:v>1072.1281689937232</x:v>
      </x:c>
      <x:c r="P44" s="19" t="str">
        <x:f>IF(ABS(N44)&gt;'封面与口径'!$O$25,"机器调料需复核",IF(ABS(K44)&gt;0.02,"人工称重需复核","正常"))</x:f>
        <x:v>正常</x:v>
      </x:c>
      <x:c r="Q44" s="19" t="str">
        <x:v>陈晨</x:v>
      </x:c>
    </x:row>
    <x:row r="45">
      <x:c r="A45" s="19" t="str">
        <x:v>2026-07-09|S01|D08</x:v>
      </x:c>
      <x:c r="B45" s="34" t="n">
        <x:v>46212.5</x:v>
      </x:c>
      <x:c r="C45" s="19" t="str">
        <x:v>S01</x:v>
      </x:c>
      <x:c r="D45" s="19" t="str">
        <x:v>近江天阳店</x:v>
      </x:c>
      <x:c r="E45" s="19" t="str">
        <x:v>D08</x:v>
      </x:c>
      <x:c r="F45" s="19" t="str">
        <x:v>生炒清远鸡</x:v>
      </x:c>
      <x:c r="G45" s="19" t="str">
        <x:v>R1.0</x:v>
      </x:c>
      <x:c r="H45" s="20" t="n">
        <x:f>XLOOKUP(A45,'菜品日销量'!$A$5:$A$1124,'菜品日销量'!$G$5:$G$1124,0)</x:f>
        <x:v>13</x:v>
      </x:c>
      <x:c r="I45" s="20" t="n">
        <x:f>ROUNDUP(H45/2,0)</x:f>
        <x:v>7</x:v>
      </x:c>
      <x:c r="J45" s="22" t="n">
        <x:f>SUMIFS('菜谱BOM'!$F$5:$F$160,'菜谱BOM'!$A$5:$A$160,E45,'菜谱BOM'!$C$5:$C$160,"食材")</x:f>
        <x:v>610</x:v>
      </x:c>
      <x:c r="K45" s="38" t="n">
        <x:v>-0.004654447424377885</x:v>
      </x:c>
      <x:c r="L45" s="35" t="n">
        <x:f>H45*J45*(1+K45)</x:f>
        <x:v>7893.090231924683</x:v>
      </x:c>
      <x:c r="M45" s="35" t="n">
        <x:f>SUMIFS('菜谱BOM'!$F$5:$F$160,'菜谱BOM'!$A$5:$A$160,E45,'菜谱BOM'!$C$5:$C$160,"调料")</x:f>
        <x:v>61</x:v>
      </x:c>
      <x:c r="N45" s="38" t="n">
        <x:v>0.0006186217876660223</x:v>
      </x:c>
      <x:c r="O45" s="35" t="n">
        <x:f>H45*M45*(1+N45)</x:f>
        <x:v>793.4905670776192</x:v>
      </x:c>
      <x:c r="P45" s="19" t="str">
        <x:f>IF(ABS(N45)&gt;'封面与口径'!$O$25,"机器调料需复核",IF(ABS(K45)&gt;0.02,"人工称重需复核","正常"))</x:f>
        <x:v>正常</x:v>
      </x:c>
      <x:c r="Q45" s="19" t="str">
        <x:v>陈晨</x:v>
      </x:c>
    </x:row>
    <x:row r="46">
      <x:c r="A46" s="19" t="str">
        <x:v>2026-07-09|S01|D09</x:v>
      </x:c>
      <x:c r="B46" s="34" t="n">
        <x:v>46212.5</x:v>
      </x:c>
      <x:c r="C46" s="19" t="str">
        <x:v>S01</x:v>
      </x:c>
      <x:c r="D46" s="19" t="str">
        <x:v>近江天阳店</x:v>
      </x:c>
      <x:c r="E46" s="19" t="str">
        <x:v>D09</x:v>
      </x:c>
      <x:c r="F46" s="19" t="str">
        <x:v>炒豆干</x:v>
      </x:c>
      <x:c r="G46" s="19" t="str">
        <x:v>R1.0</x:v>
      </x:c>
      <x:c r="H46" s="20" t="n">
        <x:f>XLOOKUP(A46,'菜品日销量'!$A$5:$A$1124,'菜品日销量'!$G$5:$G$1124,0)</x:f>
        <x:v>17</x:v>
      </x:c>
      <x:c r="I46" s="20" t="n">
        <x:f>ROUNDUP(H46/2,0)</x:f>
        <x:v>9</x:v>
      </x:c>
      <x:c r="J46" s="22" t="n">
        <x:f>SUMIFS('菜谱BOM'!$F$5:$F$160,'菜谱BOM'!$A$5:$A$160,E46,'菜谱BOM'!$C$5:$C$160,"食材")</x:f>
        <x:v>520</x:v>
      </x:c>
      <x:c r="K46" s="38" t="n">
        <x:v>0.004253162424139019</x:v>
      </x:c>
      <x:c r="L46" s="35" t="n">
        <x:f>H46*J46*(1+K46)</x:f>
        <x:v>8877.59795582939</x:v>
      </x:c>
      <x:c r="M46" s="35" t="n">
        <x:f>SUMIFS('菜谱BOM'!$F$5:$F$160,'菜谱BOM'!$A$5:$A$160,E46,'菜谱BOM'!$C$5:$C$160,"调料")</x:f>
        <x:v>42</x:v>
      </x:c>
      <x:c r="N46" s="38" t="n">
        <x:v>-0.0016869019166768767</x:v>
      </x:c>
      <x:c r="O46" s="35" t="n">
        <x:f>H46*M46*(1+N46)</x:f>
        <x:v>712.7955520314928</x:v>
      </x:c>
      <x:c r="P46" s="19" t="str">
        <x:f>IF(ABS(N46)&gt;'封面与口径'!$O$25,"机器调料需复核",IF(ABS(K46)&gt;0.02,"人工称重需复核","正常"))</x:f>
        <x:v>正常</x:v>
      </x:c>
      <x:c r="Q46" s="19" t="str">
        <x:v>陈晨</x:v>
      </x:c>
    </x:row>
    <x:row r="47">
      <x:c r="A47" s="19" t="str">
        <x:v>2026-07-09|S01|D10</x:v>
      </x:c>
      <x:c r="B47" s="34" t="n">
        <x:v>46212.5</x:v>
      </x:c>
      <x:c r="C47" s="19" t="str">
        <x:v>S01</x:v>
      </x:c>
      <x:c r="D47" s="19" t="str">
        <x:v>近江天阳店</x:v>
      </x:c>
      <x:c r="E47" s="19" t="str">
        <x:v>D10</x:v>
      </x:c>
      <x:c r="F47" s="19" t="str">
        <x:v>农家一碗香</x:v>
      </x:c>
      <x:c r="G47" s="19" t="str">
        <x:v>R2.3</x:v>
      </x:c>
      <x:c r="H47" s="20" t="n">
        <x:f>XLOOKUP(A47,'菜品日销量'!$A$5:$A$1124,'菜品日销量'!$G$5:$G$1124,0)</x:f>
        <x:v>20</x:v>
      </x:c>
      <x:c r="I47" s="20" t="n">
        <x:f>ROUNDUP(H47/2,0)</x:f>
        <x:v>10</x:v>
      </x:c>
      <x:c r="J47" s="22" t="n">
        <x:f>SUMIFS('菜谱BOM'!$F$5:$F$160,'菜谱BOM'!$A$5:$A$160,E47,'菜谱BOM'!$C$5:$C$160,"食材")</x:f>
        <x:v>510</x:v>
      </x:c>
      <x:c r="K47" s="38" t="n">
        <x:v>-0.0067960552421389275</x:v>
      </x:c>
      <x:c r="L47" s="35" t="n">
        <x:f>H47*J47*(1+K47)</x:f>
        <x:v>10130.680236530183</x:v>
      </x:c>
      <x:c r="M47" s="35" t="n">
        <x:f>SUMIFS('菜谱BOM'!$F$5:$F$160,'菜谱BOM'!$A$5:$A$160,E47,'菜谱BOM'!$C$5:$C$160,"调料")</x:f>
        <x:v>88</x:v>
      </x:c>
      <x:c r="N47" s="38" t="n">
        <x:v>-0.0010830576147611852</x:v>
      </x:c>
      <x:c r="O47" s="35" t="n">
        <x:f>H47*M47*(1+N47)</x:f>
        <x:v>1758.09381859802</x:v>
      </x:c>
      <x:c r="P47" s="19" t="str">
        <x:f>IF(ABS(N47)&gt;'封面与口径'!$O$25,"机器调料需复核",IF(ABS(K47)&gt;0.02,"人工称重需复核","正常"))</x:f>
        <x:v>正常</x:v>
      </x:c>
      <x:c r="Q47" s="19" t="str">
        <x:v>陈晨</x:v>
      </x:c>
    </x:row>
    <x:row r="48">
      <x:c r="A48" s="19" t="str">
        <x:v>2026-07-09|S01|D11</x:v>
      </x:c>
      <x:c r="B48" s="34" t="n">
        <x:v>46212.5</x:v>
      </x:c>
      <x:c r="C48" s="19" t="str">
        <x:v>S01</x:v>
      </x:c>
      <x:c r="D48" s="19" t="str">
        <x:v>近江天阳店</x:v>
      </x:c>
      <x:c r="E48" s="19" t="str">
        <x:v>D11</x:v>
      </x:c>
      <x:c r="F48" s="19" t="str">
        <x:v>香辣爆肥肠</x:v>
      </x:c>
      <x:c r="G48" s="19" t="str">
        <x:v>R1.0</x:v>
      </x:c>
      <x:c r="H48" s="20" t="n">
        <x:f>XLOOKUP(A48,'菜品日销量'!$A$5:$A$1124,'菜品日销量'!$G$5:$G$1124,0)</x:f>
        <x:v>7</x:v>
      </x:c>
      <x:c r="I48" s="20" t="n">
        <x:f>ROUNDUP(H48/2,0)</x:f>
        <x:v>4</x:v>
      </x:c>
      <x:c r="J48" s="22" t="n">
        <x:f>SUMIFS('菜谱BOM'!$F$5:$F$160,'菜谱BOM'!$A$5:$A$160,E48,'菜谱BOM'!$C$5:$C$160,"食材")</x:f>
        <x:v>430</x:v>
      </x:c>
      <x:c r="K48" s="38" t="n">
        <x:v>0.00048687626991581113</x:v>
      </x:c>
      <x:c r="L48" s="35" t="n">
        <x:f>H48*J48*(1+K48)</x:f>
        <x:v>3011.465497572446</x:v>
      </x:c>
      <x:c r="M48" s="35" t="n">
        <x:f>SUMIFS('菜谱BOM'!$F$5:$F$160,'菜谱BOM'!$A$5:$A$160,E48,'菜谱BOM'!$C$5:$C$160,"调料")</x:f>
        <x:v>67</x:v>
      </x:c>
      <x:c r="N48" s="38" t="n">
        <x:v>0.000024220191413587778</x:v>
      </x:c>
      <x:c r="O48" s="35" t="n">
        <x:f>H48*M48*(1+N48)</x:f>
        <x:v>469.011359269773</x:v>
      </x:c>
      <x:c r="P48" s="19" t="str">
        <x:f>IF(ABS(N48)&gt;'封面与口径'!$O$25,"机器调料需复核",IF(ABS(K48)&gt;0.02,"人工称重需复核","正常"))</x:f>
        <x:v>正常</x:v>
      </x:c>
      <x:c r="Q48" s="19" t="str">
        <x:v>陈晨</x:v>
      </x:c>
    </x:row>
    <x:row r="49">
      <x:c r="A49" s="19" t="str">
        <x:v>2026-07-09|S01|D13</x:v>
      </x:c>
      <x:c r="B49" s="34" t="n">
        <x:v>46212.5</x:v>
      </x:c>
      <x:c r="C49" s="19" t="str">
        <x:v>S01</x:v>
      </x:c>
      <x:c r="D49" s="19" t="str">
        <x:v>近江天阳店</x:v>
      </x:c>
      <x:c r="E49" s="19" t="str">
        <x:v>D13</x:v>
      </x:c>
      <x:c r="F49" s="19" t="str">
        <x:v>外婆菜炒蛋</x:v>
      </x:c>
      <x:c r="G49" s="19" t="str">
        <x:v>R1.0</x:v>
      </x:c>
      <x:c r="H49" s="20" t="n">
        <x:f>XLOOKUP(A49,'菜品日销量'!$A$5:$A$1124,'菜品日销量'!$G$5:$G$1124,0)</x:f>
        <x:v>18</x:v>
      </x:c>
      <x:c r="I49" s="20" t="n">
        <x:f>ROUNDUP(H49/2,0)</x:f>
        <x:v>9</x:v>
      </x:c>
      <x:c r="J49" s="22" t="n">
        <x:f>SUMIFS('菜谱BOM'!$F$5:$F$160,'菜谱BOM'!$A$5:$A$160,E49,'菜谱BOM'!$C$5:$C$160,"食材")</x:f>
        <x:v>450</x:v>
      </x:c>
      <x:c r="K49" s="38" t="n">
        <x:v>-0.00767473966248211</x:v>
      </x:c>
      <x:c r="L49" s="35" t="n">
        <x:f>H49*J49*(1+K49)</x:f>
        <x:v>8037.834608733895</x:v>
      </x:c>
      <x:c r="M49" s="35" t="n">
        <x:f>SUMIFS('菜谱BOM'!$F$5:$F$160,'菜谱BOM'!$A$5:$A$160,E49,'菜谱BOM'!$C$5:$C$160,"调料")</x:f>
        <x:v>37</x:v>
      </x:c>
      <x:c r="N49" s="38" t="n">
        <x:v>0.0016106692058059085</x:v>
      </x:c>
      <x:c r="O49" s="35" t="n">
        <x:f>H49*M49*(1+N49)</x:f>
        <x:v>667.0727056910667</x:v>
      </x:c>
      <x:c r="P49" s="19" t="str">
        <x:f>IF(ABS(N49)&gt;'封面与口径'!$O$25,"机器调料需复核",IF(ABS(K49)&gt;0.02,"人工称重需复核","正常"))</x:f>
        <x:v>正常</x:v>
      </x:c>
      <x:c r="Q49" s="19" t="str">
        <x:v>陈晨</x:v>
      </x:c>
    </x:row>
    <x:row r="50">
      <x:c r="A50" s="19" t="str">
        <x:v>2026-07-09|S01|D14</x:v>
      </x:c>
      <x:c r="B50" s="34" t="n">
        <x:v>46212.5</x:v>
      </x:c>
      <x:c r="C50" s="19" t="str">
        <x:v>S01</x:v>
      </x:c>
      <x:c r="D50" s="19" t="str">
        <x:v>近江天阳店</x:v>
      </x:c>
      <x:c r="E50" s="19" t="str">
        <x:v>D14</x:v>
      </x:c>
      <x:c r="F50" s="19" t="str">
        <x:v>酸辣鸡杂</x:v>
      </x:c>
      <x:c r="G50" s="19" t="str">
        <x:v>R1.0</x:v>
      </x:c>
      <x:c r="H50" s="20" t="n">
        <x:f>XLOOKUP(A50,'菜品日销量'!$A$5:$A$1124,'菜品日销量'!$G$5:$G$1124,0)</x:f>
        <x:v>10</x:v>
      </x:c>
      <x:c r="I50" s="20" t="n">
        <x:f>ROUNDUP(H50/2,0)</x:f>
        <x:v>5</x:v>
      </x:c>
      <x:c r="J50" s="22" t="n">
        <x:f>SUMIFS('菜谱BOM'!$F$5:$F$160,'菜谱BOM'!$A$5:$A$160,E50,'菜谱BOM'!$C$5:$C$160,"食材")</x:f>
        <x:v>470</x:v>
      </x:c>
      <x:c r="K50" s="38" t="n">
        <x:v>0.0028220402921601286</x:v>
      </x:c>
      <x:c r="L50" s="35" t="n">
        <x:f>H50*J50*(1+K50)</x:f>
        <x:v>4713.263589373153</x:v>
      </x:c>
      <x:c r="M50" s="35" t="n">
        <x:f>SUMIFS('菜谱BOM'!$F$5:$F$160,'菜谱BOM'!$A$5:$A$160,E50,'菜谱BOM'!$C$5:$C$160,"调料")</x:f>
        <x:v>60</x:v>
      </x:c>
      <x:c r="N50" s="38" t="n">
        <x:v>-0.0008600117775751306</x:v>
      </x:c>
      <x:c r="O50" s="35" t="n">
        <x:f>H50*M50*(1+N50)</x:f>
        <x:v>599.4839929334549</x:v>
      </x:c>
      <x:c r="P50" s="19" t="str">
        <x:f>IF(ABS(N50)&gt;'封面与口径'!$O$25,"机器调料需复核",IF(ABS(K50)&gt;0.02,"人工称重需复核","正常"))</x:f>
        <x:v>正常</x:v>
      </x:c>
      <x:c r="Q50" s="19" t="str">
        <x:v>陈晨</x:v>
      </x:c>
    </x:row>
    <x:row r="51">
      <x:c r="A51" s="19" t="str">
        <x:v>2026-07-09|S01|D15</x:v>
      </x:c>
      <x:c r="B51" s="34" t="n">
        <x:v>46212.5</x:v>
      </x:c>
      <x:c r="C51" s="19" t="str">
        <x:v>S01</x:v>
      </x:c>
      <x:c r="D51" s="19" t="str">
        <x:v>近江天阳店</x:v>
      </x:c>
      <x:c r="E51" s="19" t="str">
        <x:v>D15</x:v>
      </x:c>
      <x:c r="F51" s="19" t="str">
        <x:v>湘西土匪猪肝</x:v>
      </x:c>
      <x:c r="G51" s="19" t="str">
        <x:v>R1.0</x:v>
      </x:c>
      <x:c r="H51" s="20" t="n">
        <x:f>XLOOKUP(A51,'菜品日销量'!$A$5:$A$1124,'菜品日销量'!$G$5:$G$1124,0)</x:f>
        <x:v>7</x:v>
      </x:c>
      <x:c r="I51" s="20" t="n">
        <x:f>ROUNDUP(H51/2,0)</x:f>
        <x:v>4</x:v>
      </x:c>
      <x:c r="J51" s="22" t="n">
        <x:f>SUMIFS('菜谱BOM'!$F$5:$F$160,'菜谱BOM'!$A$5:$A$160,E51,'菜谱BOM'!$C$5:$C$160,"食材")</x:f>
        <x:v>470</x:v>
      </x:c>
      <x:c r="K51" s="38" t="n">
        <x:v>0.0000050235148530966006</x:v>
      </x:c>
      <x:c r="L51" s="35" t="n">
        <x:f>H51*J51*(1+K51)</x:f>
        <x:v>3290.0165273638663</x:v>
      </x:c>
      <x:c r="M51" s="35" t="n">
        <x:f>SUMIFS('菜谱BOM'!$F$5:$F$160,'菜谱BOM'!$A$5:$A$160,E51,'菜谱BOM'!$C$5:$C$160,"调料")</x:f>
        <x:v>49</x:v>
      </x:c>
      <x:c r="N51" s="38" t="n">
        <x:v>0.0015693137095238346</x:v>
      </x:c>
      <x:c r="O51" s="35" t="n">
        <x:f>H51*M51*(1+N51)</x:f>
        <x:v>343.5382746023667</x:v>
      </x:c>
      <x:c r="P51" s="19" t="str">
        <x:f>IF(ABS(N51)&gt;'封面与口径'!$O$25,"机器调料需复核",IF(ABS(K51)&gt;0.02,"人工称重需复核","正常"))</x:f>
        <x:v>正常</x:v>
      </x:c>
      <x:c r="Q51" s="19" t="str">
        <x:v>陈晨</x:v>
      </x:c>
    </x:row>
    <x:row r="52">
      <x:c r="A52" s="19" t="str">
        <x:v>2026-07-09|S01|D16</x:v>
      </x:c>
      <x:c r="B52" s="34" t="n">
        <x:v>46212.5</x:v>
      </x:c>
      <x:c r="C52" s="19" t="str">
        <x:v>S01</x:v>
      </x:c>
      <x:c r="D52" s="19" t="str">
        <x:v>近江天阳店</x:v>
      </x:c>
      <x:c r="E52" s="19" t="str">
        <x:v>D16</x:v>
      </x:c>
      <x:c r="F52" s="19" t="str">
        <x:v>小豆角炒五花</x:v>
      </x:c>
      <x:c r="G52" s="19" t="str">
        <x:v>R1.0</x:v>
      </x:c>
      <x:c r="H52" s="20" t="n">
        <x:f>XLOOKUP(A52,'菜品日销量'!$A$5:$A$1124,'菜品日销量'!$G$5:$G$1124,0)</x:f>
        <x:v>8</x:v>
      </x:c>
      <x:c r="I52" s="20" t="n">
        <x:f>ROUNDUP(H52/2,0)</x:f>
        <x:v>4</x:v>
      </x:c>
      <x:c r="J52" s="22" t="n">
        <x:f>SUMIFS('菜谱BOM'!$F$5:$F$160,'菜谱BOM'!$A$5:$A$160,E52,'菜谱BOM'!$C$5:$C$160,"食材")</x:f>
        <x:v>450</x:v>
      </x:c>
      <x:c r="K52" s="38" t="n">
        <x:v>0.0036402062577289077</x:v>
      </x:c>
      <x:c r="L52" s="35" t="n">
        <x:f>H52*J52*(1+K52)</x:f>
        <x:v>3613.1047425278243</x:v>
      </x:c>
      <x:c r="M52" s="35" t="n">
        <x:f>SUMIFS('菜谱BOM'!$F$5:$F$160,'菜谱BOM'!$A$5:$A$160,E52,'菜谱BOM'!$C$5:$C$160,"调料")</x:f>
        <x:v>42</x:v>
      </x:c>
      <x:c r="N52" s="38" t="n">
        <x:v>-0.0013977071241004643</x:v>
      </x:c>
      <x:c r="O52" s="35" t="n">
        <x:f>H52*M52*(1+N52)</x:f>
        <x:v>335.53037040630227</x:v>
      </x:c>
      <x:c r="P52" s="19" t="str">
        <x:f>IF(ABS(N52)&gt;'封面与口径'!$O$25,"机器调料需复核",IF(ABS(K52)&gt;0.02,"人工称重需复核","正常"))</x:f>
        <x:v>正常</x:v>
      </x:c>
      <x:c r="Q52" s="19" t="str">
        <x:v>陈晨</x:v>
      </x:c>
    </x:row>
    <x:row r="53">
      <x:c r="A53" s="19" t="str">
        <x:v>2026-07-09|S01|D18</x:v>
      </x:c>
      <x:c r="B53" s="34" t="n">
        <x:v>46212.5</x:v>
      </x:c>
      <x:c r="C53" s="19" t="str">
        <x:v>S01</x:v>
      </x:c>
      <x:c r="D53" s="19" t="str">
        <x:v>近江天阳店</x:v>
      </x:c>
      <x:c r="E53" s="19" t="str">
        <x:v>D18</x:v>
      </x:c>
      <x:c r="F53" s="19" t="str">
        <x:v>青椒炒油麦菜</x:v>
      </x:c>
      <x:c r="G53" s="19" t="str">
        <x:v>R1.0</x:v>
      </x:c>
      <x:c r="H53" s="20" t="n">
        <x:f>XLOOKUP(A53,'菜品日销量'!$A$5:$A$1124,'菜品日销量'!$G$5:$G$1124,0)</x:f>
        <x:v>10</x:v>
      </x:c>
      <x:c r="I53" s="20" t="n">
        <x:f>ROUNDUP(H53/2,0)</x:f>
        <x:v>5</x:v>
      </x:c>
      <x:c r="J53" s="22" t="n">
        <x:f>SUMIFS('菜谱BOM'!$F$5:$F$160,'菜谱BOM'!$A$5:$A$160,E53,'菜谱BOM'!$C$5:$C$160,"食材")</x:f>
        <x:v>430</x:v>
      </x:c>
      <x:c r="K53" s="38" t="n">
        <x:v>0.003184672402959473</x:v>
      </x:c>
      <x:c r="L53" s="35" t="n">
        <x:f>H53*J53*(1+K53)</x:f>
        <x:v>4313.694091332725</x:v>
      </x:c>
      <x:c r="M53" s="35" t="n">
        <x:f>SUMIFS('菜谱BOM'!$F$5:$F$160,'菜谱BOM'!$A$5:$A$160,E53,'菜谱BOM'!$C$5:$C$160,"调料")</x:f>
        <x:v>33</x:v>
      </x:c>
      <x:c r="N53" s="38" t="n">
        <x:v>0.0006899459265847563</x:v>
      </x:c>
      <x:c r="O53" s="35" t="n">
        <x:f>H53*M53*(1+N53)</x:f>
        <x:v>330.227682155773</x:v>
      </x:c>
      <x:c r="P53" s="19" t="str">
        <x:f>IF(ABS(N53)&gt;'封面与口径'!$O$25,"机器调料需复核",IF(ABS(K53)&gt;0.02,"人工称重需复核","正常"))</x:f>
        <x:v>正常</x:v>
      </x:c>
      <x:c r="Q53" s="19" t="str">
        <x:v>陈晨</x:v>
      </x:c>
    </x:row>
    <x:row r="54">
      <x:c r="A54" s="19" t="str">
        <x:v>2026-07-09|S01|D19</x:v>
      </x:c>
      <x:c r="B54" s="34" t="n">
        <x:v>46212.5</x:v>
      </x:c>
      <x:c r="C54" s="19" t="str">
        <x:v>S01</x:v>
      </x:c>
      <x:c r="D54" s="19" t="str">
        <x:v>近江天阳店</x:v>
      </x:c>
      <x:c r="E54" s="19" t="str">
        <x:v>D19</x:v>
      </x:c>
      <x:c r="F54" s="19" t="str">
        <x:v>酸萝卜炒鸡杂</x:v>
      </x:c>
      <x:c r="G54" s="19" t="str">
        <x:v>R1.0</x:v>
      </x:c>
      <x:c r="H54" s="20" t="n">
        <x:f>XLOOKUP(A54,'菜品日销量'!$A$5:$A$1124,'菜品日销量'!$G$5:$G$1124,0)</x:f>
        <x:v>6</x:v>
      </x:c>
      <x:c r="I54" s="20" t="n">
        <x:f>ROUNDUP(H54/2,0)</x:f>
        <x:v>3</x:v>
      </x:c>
      <x:c r="J54" s="22" t="n">
        <x:f>SUMIFS('菜谱BOM'!$F$5:$F$160,'菜谱BOM'!$A$5:$A$160,E54,'菜谱BOM'!$C$5:$C$160,"食材")</x:f>
        <x:v>500</x:v>
      </x:c>
      <x:c r="K54" s="38" t="n">
        <x:v>-0.003355833182892724</x:v>
      </x:c>
      <x:c r="L54" s="35" t="n">
        <x:f>H54*J54*(1+K54)</x:f>
        <x:v>2989.932500451322</x:v>
      </x:c>
      <x:c r="M54" s="35" t="n">
        <x:f>SUMIFS('菜谱BOM'!$F$5:$F$160,'菜谱BOM'!$A$5:$A$160,E54,'菜谱BOM'!$C$5:$C$160,"调料")</x:f>
        <x:v>55</x:v>
      </x:c>
      <x:c r="N54" s="38" t="n">
        <x:v>0.00025255446188444133</x:v>
      </x:c>
      <x:c r="O54" s="35" t="n">
        <x:f>H54*M54*(1+N54)</x:f>
        <x:v>330.0833429724219</x:v>
      </x:c>
      <x:c r="P54" s="19" t="str">
        <x:f>IF(ABS(N54)&gt;'封面与口径'!$O$25,"机器调料需复核",IF(ABS(K54)&gt;0.02,"人工称重需复核","正常"))</x:f>
        <x:v>正常</x:v>
      </x:c>
      <x:c r="Q54" s="19" t="str">
        <x:v>陈晨</x:v>
      </x:c>
    </x:row>
    <x:row r="55">
      <x:c r="A55" s="19" t="str">
        <x:v>2026-07-09|S01|D20</x:v>
      </x:c>
      <x:c r="B55" s="34" t="n">
        <x:v>46212.5</x:v>
      </x:c>
      <x:c r="C55" s="19" t="str">
        <x:v>S01</x:v>
      </x:c>
      <x:c r="D55" s="19" t="str">
        <x:v>近江天阳店</x:v>
      </x:c>
      <x:c r="E55" s="19" t="str">
        <x:v>D20</x:v>
      </x:c>
      <x:c r="F55" s="19" t="str">
        <x:v>雪菜肉末青豆</x:v>
      </x:c>
      <x:c r="G55" s="19" t="str">
        <x:v>R1.0</x:v>
      </x:c>
      <x:c r="H55" s="20" t="n">
        <x:f>XLOOKUP(A55,'菜品日销量'!$A$5:$A$1124,'菜品日销量'!$G$5:$G$1124,0)</x:f>
        <x:v>9</x:v>
      </x:c>
      <x:c r="I55" s="20" t="n">
        <x:f>ROUNDUP(H55/2,0)</x:f>
        <x:v>5</x:v>
      </x:c>
      <x:c r="J55" s="22" t="n">
        <x:f>SUMIFS('菜谱BOM'!$F$5:$F$160,'菜谱BOM'!$A$5:$A$160,E55,'菜谱BOM'!$C$5:$C$160,"食材")</x:f>
        <x:v>465</x:v>
      </x:c>
      <x:c r="K55" s="38" t="n">
        <x:v>-0.006265340949936152</x:v>
      </x:c>
      <x:c r="L55" s="35" t="n">
        <x:f>H55*J55*(1+K55)</x:f>
        <x:v>4158.7795481245175</x:v>
      </x:c>
      <x:c r="M55" s="35" t="n">
        <x:f>SUMIFS('菜谱BOM'!$F$5:$F$160,'菜谱BOM'!$A$5:$A$160,E55,'菜谱BOM'!$C$5:$C$160,"调料")</x:f>
        <x:v>32</x:v>
      </x:c>
      <x:c r="N55" s="38" t="n">
        <x:v>-0.0014956345668750894</x:v>
      </x:c>
      <x:c r="O55" s="35" t="n">
        <x:f>H55*M55*(1+N55)</x:f>
        <x:v>287.56925724473996</x:v>
      </x:c>
      <x:c r="P55" s="19" t="str">
        <x:f>IF(ABS(N55)&gt;'封面与口径'!$O$25,"机器调料需复核",IF(ABS(K55)&gt;0.02,"人工称重需复核","正常"))</x:f>
        <x:v>正常</x:v>
      </x:c>
      <x:c r="Q55" s="19" t="str">
        <x:v>陈晨</x:v>
      </x:c>
    </x:row>
    <x:row r="56">
      <x:c r="A56" s="19" t="str">
        <x:v>2026-07-10|S01|D01</x:v>
      </x:c>
      <x:c r="B56" s="34" t="n">
        <x:v>46213.5</x:v>
      </x:c>
      <x:c r="C56" s="19" t="str">
        <x:v>S01</x:v>
      </x:c>
      <x:c r="D56" s="19" t="str">
        <x:v>近江天阳店</x:v>
      </x:c>
      <x:c r="E56" s="19" t="str">
        <x:v>D01</x:v>
      </x:c>
      <x:c r="F56" s="19" t="str">
        <x:v>辣椒炒肉</x:v>
      </x:c>
      <x:c r="G56" s="19" t="str">
        <x:v>R2.3</x:v>
      </x:c>
      <x:c r="H56" s="20" t="n">
        <x:f>XLOOKUP(A56,'菜品日销量'!$A$5:$A$1124,'菜品日销量'!$G$5:$G$1124,0)</x:f>
        <x:v>55</x:v>
      </x:c>
      <x:c r="I56" s="20" t="n">
        <x:f>ROUNDUP(H56/2,0)</x:f>
        <x:v>28</x:v>
      </x:c>
      <x:c r="J56" s="22" t="n">
        <x:f>SUMIFS('菜谱BOM'!$F$5:$F$160,'菜谱BOM'!$A$5:$A$160,E56,'菜谱BOM'!$C$5:$C$160,"食材")</x:f>
        <x:v>550</x:v>
      </x:c>
      <x:c r="K56" s="38" t="n">
        <x:v>0.005098529803822405</x:v>
      </x:c>
      <x:c r="L56" s="35" t="n">
        <x:f>H56*J56*(1+K56)</x:f>
        <x:v>30404.23052656563</x:v>
      </x:c>
      <x:c r="M56" s="35" t="n">
        <x:f>SUMIFS('菜谱BOM'!$F$5:$F$160,'菜谱BOM'!$A$5:$A$160,E56,'菜谱BOM'!$C$5:$C$160,"调料")</x:f>
        <x:v>104</x:v>
      </x:c>
      <x:c r="N56" s="38" t="n">
        <x:v>0.00026739305776250387</x:v>
      </x:c>
      <x:c r="O56" s="35" t="n">
        <x:f>H56*M56*(1+N56)</x:f>
        <x:v>5721.529488290402</x:v>
      </x:c>
      <x:c r="P56" s="19" t="str">
        <x:f>IF(ABS(N56)&gt;'封面与口径'!$O$25,"机器调料需复核",IF(ABS(K56)&gt;0.02,"人工称重需复核","正常"))</x:f>
        <x:v>正常</x:v>
      </x:c>
      <x:c r="Q56" s="19" t="str">
        <x:v>陈晨</x:v>
      </x:c>
    </x:row>
    <x:row r="57">
      <x:c r="A57" s="19" t="str">
        <x:v>2026-07-10|S01|D02</x:v>
      </x:c>
      <x:c r="B57" s="34" t="n">
        <x:v>46213.5</x:v>
      </x:c>
      <x:c r="C57" s="19" t="str">
        <x:v>S01</x:v>
      </x:c>
      <x:c r="D57" s="19" t="str">
        <x:v>近江天阳店</x:v>
      </x:c>
      <x:c r="E57" s="19" t="str">
        <x:v>D02</x:v>
      </x:c>
      <x:c r="F57" s="19" t="str">
        <x:v>小炒黄牛肉</x:v>
      </x:c>
      <x:c r="G57" s="19" t="str">
        <x:v>R2.3</x:v>
      </x:c>
      <x:c r="H57" s="20" t="n">
        <x:f>XLOOKUP(A57,'菜品日销量'!$A$5:$A$1124,'菜品日销量'!$G$5:$G$1124,0)</x:f>
        <x:v>36</x:v>
      </x:c>
      <x:c r="I57" s="20" t="n">
        <x:f>ROUNDUP(H57/2,0)</x:f>
        <x:v>18</x:v>
      </x:c>
      <x:c r="J57" s="22" t="n">
        <x:f>SUMIFS('菜谱BOM'!$F$5:$F$160,'菜谱BOM'!$A$5:$A$160,E57,'菜谱BOM'!$C$5:$C$160,"食材")</x:f>
        <x:v>560</x:v>
      </x:c>
      <x:c r="K57" s="38" t="n">
        <x:v>0.005294830291833456</x:v>
      </x:c>
      <x:c r="L57" s="35" t="n">
        <x:f>H57*J57*(1+K57)</x:f>
        <x:v>20266.74377868336</x:v>
      </x:c>
      <x:c r="M57" s="35" t="n">
        <x:f>SUMIFS('菜谱BOM'!$F$5:$F$160,'菜谱BOM'!$A$5:$A$160,E57,'菜谱BOM'!$C$5:$C$160,"调料")</x:f>
        <x:v>133</x:v>
      </x:c>
      <x:c r="N57" s="38" t="n">
        <x:v>0.0013723218914522609</x:v>
      </x:c>
      <x:c r="O57" s="35" t="n">
        <x:f>H57*M57*(1+N57)</x:f>
        <x:v>4794.570677216274</x:v>
      </x:c>
      <x:c r="P57" s="19" t="str">
        <x:f>IF(ABS(N57)&gt;'封面与口径'!$O$25,"机器调料需复核",IF(ABS(K57)&gt;0.02,"人工称重需复核","正常"))</x:f>
        <x:v>正常</x:v>
      </x:c>
      <x:c r="Q57" s="19" t="str">
        <x:v>陈晨</x:v>
      </x:c>
    </x:row>
    <x:row r="58">
      <x:c r="A58" s="19" t="str">
        <x:v>2026-07-10|S01|D03</x:v>
      </x:c>
      <x:c r="B58" s="34" t="n">
        <x:v>46213.5</x:v>
      </x:c>
      <x:c r="C58" s="19" t="str">
        <x:v>S01</x:v>
      </x:c>
      <x:c r="D58" s="19" t="str">
        <x:v>近江天阳店</x:v>
      </x:c>
      <x:c r="E58" s="19" t="str">
        <x:v>D03</x:v>
      </x:c>
      <x:c r="F58" s="19" t="str">
        <x:v>香醋炒蛋</x:v>
      </x:c>
      <x:c r="G58" s="19" t="str">
        <x:v>R1.0</x:v>
      </x:c>
      <x:c r="H58" s="20" t="n">
        <x:f>XLOOKUP(A58,'菜品日销量'!$A$5:$A$1124,'菜品日销量'!$G$5:$G$1124,0)</x:f>
        <x:v>49</x:v>
      </x:c>
      <x:c r="I58" s="20" t="n">
        <x:f>ROUNDUP(H58/2,0)</x:f>
        <x:v>25</x:v>
      </x:c>
      <x:c r="J58" s="22" t="n">
        <x:f>SUMIFS('菜谱BOM'!$F$5:$F$160,'菜谱BOM'!$A$5:$A$160,E58,'菜谱BOM'!$C$5:$C$160,"食材")</x:f>
        <x:v>300</x:v>
      </x:c>
      <x:c r="K58" s="38" t="n">
        <x:v>0.0006523331945418231</x:v>
      </x:c>
      <x:c r="L58" s="35" t="n">
        <x:f>H58*J58*(1+K58)</x:f>
        <x:v>14709.589297959765</x:v>
      </x:c>
      <x:c r="M58" s="35" t="n">
        <x:f>SUMIFS('菜谱BOM'!$F$5:$F$160,'菜谱BOM'!$A$5:$A$160,E58,'菜谱BOM'!$C$5:$C$160,"调料")</x:f>
        <x:v>53</x:v>
      </x:c>
      <x:c r="N58" s="38" t="n">
        <x:v>0.0002659509103433115</x:v>
      </x:c>
      <x:c r="O58" s="35" t="n">
        <x:f>H58*M58*(1+N58)</x:f>
        <x:v>2597.6906745141614</x:v>
      </x:c>
      <x:c r="P58" s="19" t="str">
        <x:f>IF(ABS(N58)&gt;'封面与口径'!$O$25,"机器调料需复核",IF(ABS(K58)&gt;0.02,"人工称重需复核","正常"))</x:f>
        <x:v>正常</x:v>
      </x:c>
      <x:c r="Q58" s="19" t="str">
        <x:v>陈晨</x:v>
      </x:c>
    </x:row>
    <x:row r="59">
      <x:c r="A59" s="19" t="str">
        <x:v>2026-07-10|S01|D04</x:v>
      </x:c>
      <x:c r="B59" s="34" t="n">
        <x:v>46213.5</x:v>
      </x:c>
      <x:c r="C59" s="19" t="str">
        <x:v>S01</x:v>
      </x:c>
      <x:c r="D59" s="19" t="str">
        <x:v>近江天阳店</x:v>
      </x:c>
      <x:c r="E59" s="19" t="str">
        <x:v>D04</x:v>
      </x:c>
      <x:c r="F59" s="19" t="str">
        <x:v>酸包菜炒粉皮</x:v>
      </x:c>
      <x:c r="G59" s="19" t="str">
        <x:v>R1.0</x:v>
      </x:c>
      <x:c r="H59" s="20" t="n">
        <x:f>XLOOKUP(A59,'菜品日销量'!$A$5:$A$1124,'菜品日销量'!$G$5:$G$1124,0)</x:f>
        <x:v>45</x:v>
      </x:c>
      <x:c r="I59" s="20" t="n">
        <x:f>ROUNDUP(H59/2,0)</x:f>
        <x:v>23</x:v>
      </x:c>
      <x:c r="J59" s="22" t="n">
        <x:f>SUMIFS('菜谱BOM'!$F$5:$F$160,'菜谱BOM'!$A$5:$A$160,E59,'菜谱BOM'!$C$5:$C$160,"食材")</x:f>
        <x:v>380</x:v>
      </x:c>
      <x:c r="K59" s="38" t="n">
        <x:v>0.00013908666934331037</x:v>
      </x:c>
      <x:c r="L59" s="35" t="n">
        <x:f>H59*J59*(1+K59)</x:f>
        <x:v>17102.378382045772</x:v>
      </x:c>
      <x:c r="M59" s="35" t="n">
        <x:f>SUMIFS('菜谱BOM'!$F$5:$F$160,'菜谱BOM'!$A$5:$A$160,E59,'菜谱BOM'!$C$5:$C$160,"调料")</x:f>
        <x:v>47</x:v>
      </x:c>
      <x:c r="N59" s="38" t="n">
        <x:v>0.0013358305812198276</x:v>
      </x:c>
      <x:c r="O59" s="35" t="n">
        <x:f>H59*M59*(1+N59)</x:f>
        <x:v>2117.82528167928</x:v>
      </x:c>
      <x:c r="P59" s="19" t="str">
        <x:f>IF(ABS(N59)&gt;'封面与口径'!$O$25,"机器调料需复核",IF(ABS(K59)&gt;0.02,"人工称重需复核","正常"))</x:f>
        <x:v>正常</x:v>
      </x:c>
      <x:c r="Q59" s="19" t="str">
        <x:v>陈晨</x:v>
      </x:c>
    </x:row>
    <x:row r="60">
      <x:c r="A60" s="19" t="str">
        <x:v>2026-07-10|S01|D05</x:v>
      </x:c>
      <x:c r="B60" s="34" t="n">
        <x:v>46213.5</x:v>
      </x:c>
      <x:c r="C60" s="19" t="str">
        <x:v>S01</x:v>
      </x:c>
      <x:c r="D60" s="19" t="str">
        <x:v>近江天阳店</x:v>
      </x:c>
      <x:c r="E60" s="19" t="str">
        <x:v>D05</x:v>
      </x:c>
      <x:c r="F60" s="19" t="str">
        <x:v>麻婆豆腐</x:v>
      </x:c>
      <x:c r="G60" s="19" t="str">
        <x:v>R1.0</x:v>
      </x:c>
      <x:c r="H60" s="20" t="n">
        <x:f>XLOOKUP(A60,'菜品日销量'!$A$5:$A$1124,'菜品日销量'!$G$5:$G$1124,0)</x:f>
        <x:v>59</x:v>
      </x:c>
      <x:c r="I60" s="20" t="n">
        <x:f>ROUNDUP(H60/2,0)</x:f>
        <x:v>30</x:v>
      </x:c>
      <x:c r="J60" s="22" t="n">
        <x:f>SUMIFS('菜谱BOM'!$F$5:$F$160,'菜谱BOM'!$A$5:$A$160,E60,'菜谱BOM'!$C$5:$C$160,"食材")</x:f>
        <x:v>505</x:v>
      </x:c>
      <x:c r="K60" s="38" t="n">
        <x:v>-0.0020041390643464724</x:v>
      </x:c>
      <x:c r="L60" s="35" t="n">
        <x:f>H60*J60*(1+K60)</x:f>
        <x:v>29735.286676577798</x:v>
      </x:c>
      <x:c r="M60" s="35" t="n">
        <x:f>SUMIFS('菜谱BOM'!$F$5:$F$160,'菜谱BOM'!$A$5:$A$160,E60,'菜谱BOM'!$C$5:$C$160,"调料")</x:f>
        <x:v>90</x:v>
      </x:c>
      <x:c r="N60" s="38" t="n">
        <x:v>0.0010256554649736862</x:v>
      </x:c>
      <x:c r="O60" s="35" t="n">
        <x:f>H60*M60*(1+N60)</x:f>
        <x:v>5315.44623051901</x:v>
      </x:c>
      <x:c r="P60" s="19" t="str">
        <x:f>IF(ABS(N60)&gt;'封面与口径'!$O$25,"机器调料需复核",IF(ABS(K60)&gt;0.02,"人工称重需复核","正常"))</x:f>
        <x:v>正常</x:v>
      </x:c>
      <x:c r="Q60" s="19" t="str">
        <x:v>陈晨</x:v>
      </x:c>
    </x:row>
    <x:row r="61">
      <x:c r="A61" s="19" t="str">
        <x:v>2026-07-10|S01|D07</x:v>
      </x:c>
      <x:c r="B61" s="34" t="n">
        <x:v>46213.5</x:v>
      </x:c>
      <x:c r="C61" s="19" t="str">
        <x:v>S01</x:v>
      </x:c>
      <x:c r="D61" s="19" t="str">
        <x:v>近江天阳店</x:v>
      </x:c>
      <x:c r="E61" s="19" t="str">
        <x:v>D07</x:v>
      </x:c>
      <x:c r="F61" s="19" t="str">
        <x:v>川味回锅肉</x:v>
      </x:c>
      <x:c r="G61" s="19" t="str">
        <x:v>R1.0</x:v>
      </x:c>
      <x:c r="H61" s="20" t="n">
        <x:f>XLOOKUP(A61,'菜品日销量'!$A$5:$A$1124,'菜品日销量'!$G$5:$G$1124,0)</x:f>
        <x:v>19</x:v>
      </x:c>
      <x:c r="I61" s="20" t="n">
        <x:f>ROUNDUP(H61/2,0)</x:f>
        <x:v>10</x:v>
      </x:c>
      <x:c r="J61" s="22" t="n">
        <x:f>SUMIFS('菜谱BOM'!$F$5:$F$160,'菜谱BOM'!$A$5:$A$160,E61,'菜谱BOM'!$C$5:$C$160,"食材")</x:f>
        <x:v>450</x:v>
      </x:c>
      <x:c r="K61" s="38" t="n">
        <x:v>-0.002800331166666078</x:v>
      </x:c>
      <x:c r="L61" s="35" t="n">
        <x:f>H61*J61*(1+K61)</x:f>
        <x:v>8526.057168525005</x:v>
      </x:c>
      <x:c r="M61" s="35" t="n">
        <x:f>SUMIFS('菜谱BOM'!$F$5:$F$160,'菜谱BOM'!$A$5:$A$160,E61,'菜谱BOM'!$C$5:$C$160,"调料")</x:f>
        <x:v>63</x:v>
      </x:c>
      <x:c r="N61" s="38" t="n">
        <x:v>0.001026693451923014</x:v>
      </x:c>
      <x:c r="O61" s="35" t="n">
        <x:f>H61*M61*(1+N61)</x:f>
        <x:v>1198.2289520619518</x:v>
      </x:c>
      <x:c r="P61" s="19" t="str">
        <x:f>IF(ABS(N61)&gt;'封面与口径'!$O$25,"机器调料需复核",IF(ABS(K61)&gt;0.02,"人工称重需复核","正常"))</x:f>
        <x:v>正常</x:v>
      </x:c>
      <x:c r="Q61" s="19" t="str">
        <x:v>陈晨</x:v>
      </x:c>
    </x:row>
    <x:row r="62">
      <x:c r="A62" s="19" t="str">
        <x:v>2026-07-10|S01|D08</x:v>
      </x:c>
      <x:c r="B62" s="34" t="n">
        <x:v>46213.5</x:v>
      </x:c>
      <x:c r="C62" s="19" t="str">
        <x:v>S01</x:v>
      </x:c>
      <x:c r="D62" s="19" t="str">
        <x:v>近江天阳店</x:v>
      </x:c>
      <x:c r="E62" s="19" t="str">
        <x:v>D08</x:v>
      </x:c>
      <x:c r="F62" s="19" t="str">
        <x:v>生炒清远鸡</x:v>
      </x:c>
      <x:c r="G62" s="19" t="str">
        <x:v>R1.0</x:v>
      </x:c>
      <x:c r="H62" s="20" t="n">
        <x:f>XLOOKUP(A62,'菜品日销量'!$A$5:$A$1124,'菜品日销量'!$G$5:$G$1124,0)</x:f>
        <x:v>12</x:v>
      </x:c>
      <x:c r="I62" s="20" t="n">
        <x:f>ROUNDUP(H62/2,0)</x:f>
        <x:v>6</x:v>
      </x:c>
      <x:c r="J62" s="22" t="n">
        <x:f>SUMIFS('菜谱BOM'!$F$5:$F$160,'菜谱BOM'!$A$5:$A$160,E62,'菜谱BOM'!$C$5:$C$160,"食材")</x:f>
        <x:v>610</x:v>
      </x:c>
      <x:c r="K62" s="38" t="n">
        <x:v>-0.006868687670414496</x:v>
      </x:c>
      <x:c r="L62" s="35" t="n">
        <x:f>H62*J62*(1+K62)</x:f>
        <x:v>7269.721206252566</x:v>
      </x:c>
      <x:c r="M62" s="35" t="n">
        <x:f>SUMIFS('菜谱BOM'!$F$5:$F$160,'菜谱BOM'!$A$5:$A$160,E62,'菜谱BOM'!$C$5:$C$160,"调料")</x:f>
        <x:v>61</x:v>
      </x:c>
      <x:c r="N62" s="38" t="n">
        <x:v>-0.0018767132386278158</x:v>
      </x:c>
      <x:c r="O62" s="35" t="n">
        <x:f>H62*M62*(1+N62)</x:f>
        <x:v>730.6262459093244</x:v>
      </x:c>
      <x:c r="P62" s="19" t="str">
        <x:f>IF(ABS(N62)&gt;'封面与口径'!$O$25,"机器调料需复核",IF(ABS(K62)&gt;0.02,"人工称重需复核","正常"))</x:f>
        <x:v>正常</x:v>
      </x:c>
      <x:c r="Q62" s="19" t="str">
        <x:v>陈晨</x:v>
      </x:c>
    </x:row>
    <x:row r="63">
      <x:c r="A63" s="19" t="str">
        <x:v>2026-07-10|S01|D09</x:v>
      </x:c>
      <x:c r="B63" s="34" t="n">
        <x:v>46213.5</x:v>
      </x:c>
      <x:c r="C63" s="19" t="str">
        <x:v>S01</x:v>
      </x:c>
      <x:c r="D63" s="19" t="str">
        <x:v>近江天阳店</x:v>
      </x:c>
      <x:c r="E63" s="19" t="str">
        <x:v>D09</x:v>
      </x:c>
      <x:c r="F63" s="19" t="str">
        <x:v>炒豆干</x:v>
      </x:c>
      <x:c r="G63" s="19" t="str">
        <x:v>R1.0</x:v>
      </x:c>
      <x:c r="H63" s="20" t="n">
        <x:f>XLOOKUP(A63,'菜品日销量'!$A$5:$A$1124,'菜品日销量'!$G$5:$G$1124,0)</x:f>
        <x:v>17</x:v>
      </x:c>
      <x:c r="I63" s="20" t="n">
        <x:f>ROUNDUP(H63/2,0)</x:f>
        <x:v>9</x:v>
      </x:c>
      <x:c r="J63" s="22" t="n">
        <x:f>SUMIFS('菜谱BOM'!$F$5:$F$160,'菜谱BOM'!$A$5:$A$160,E63,'菜谱BOM'!$C$5:$C$160,"食材")</x:f>
        <x:v>520</x:v>
      </x:c>
      <x:c r="K63" s="38" t="n">
        <x:v>0.00496640898589194</x:v>
      </x:c>
      <x:c r="L63" s="35" t="n">
        <x:f>H63*J63*(1+K63)</x:f>
        <x:v>8883.903055435283</x:v>
      </x:c>
      <x:c r="M63" s="35" t="n">
        <x:f>SUMIFS('菜谱BOM'!$F$5:$F$160,'菜谱BOM'!$A$5:$A$160,E63,'菜谱BOM'!$C$5:$C$160,"调料")</x:f>
        <x:v>42</x:v>
      </x:c>
      <x:c r="N63" s="38" t="n">
        <x:v>0.0010602337548183823</x:v>
      </x:c>
      <x:c r="O63" s="35" t="n">
        <x:f>H63*M63*(1+N63)</x:f>
        <x:v>714.7570069009404</x:v>
      </x:c>
      <x:c r="P63" s="19" t="str">
        <x:f>IF(ABS(N63)&gt;'封面与口径'!$O$25,"机器调料需复核",IF(ABS(K63)&gt;0.02,"人工称重需复核","正常"))</x:f>
        <x:v>正常</x:v>
      </x:c>
      <x:c r="Q63" s="19" t="str">
        <x:v>陈晨</x:v>
      </x:c>
    </x:row>
    <x:row r="64">
      <x:c r="A64" s="19" t="str">
        <x:v>2026-07-10|S01|D10</x:v>
      </x:c>
      <x:c r="B64" s="34" t="n">
        <x:v>46213.5</x:v>
      </x:c>
      <x:c r="C64" s="19" t="str">
        <x:v>S01</x:v>
      </x:c>
      <x:c r="D64" s="19" t="str">
        <x:v>近江天阳店</x:v>
      </x:c>
      <x:c r="E64" s="19" t="str">
        <x:v>D10</x:v>
      </x:c>
      <x:c r="F64" s="19" t="str">
        <x:v>农家一碗香</x:v>
      </x:c>
      <x:c r="G64" s="19" t="str">
        <x:v>R2.3</x:v>
      </x:c>
      <x:c r="H64" s="20" t="n">
        <x:f>XLOOKUP(A64,'菜品日销量'!$A$5:$A$1124,'菜品日销量'!$G$5:$G$1124,0)</x:f>
        <x:v>21</x:v>
      </x:c>
      <x:c r="I64" s="20" t="n">
        <x:f>ROUNDUP(H64/2,0)</x:f>
        <x:v>11</x:v>
      </x:c>
      <x:c r="J64" s="22" t="n">
        <x:f>SUMIFS('菜谱BOM'!$F$5:$F$160,'菜谱BOM'!$A$5:$A$160,E64,'菜谱BOM'!$C$5:$C$160,"食材")</x:f>
        <x:v>510</x:v>
      </x:c>
      <x:c r="K64" s="38" t="n">
        <x:v>0.007436732049900277</x:v>
      </x:c>
      <x:c r="L64" s="35" t="n">
        <x:f>H64*J64*(1+K64)</x:f>
        <x:v>10789.647400254431</x:v>
      </x:c>
      <x:c r="M64" s="35" t="n">
        <x:f>SUMIFS('菜谱BOM'!$F$5:$F$160,'菜谱BOM'!$A$5:$A$160,E64,'菜谱BOM'!$C$5:$C$160,"调料")</x:f>
        <x:v>88</x:v>
      </x:c>
      <x:c r="N64" s="38" t="n">
        <x:v>0.0008111992848131804</x:v>
      </x:c>
      <x:c r="O64" s="35" t="n">
        <x:f>H64*M64*(1+N64)</x:f>
        <x:v>1849.4990962783347</x:v>
      </x:c>
      <x:c r="P64" s="19" t="str">
        <x:f>IF(ABS(N64)&gt;'封面与口径'!$O$25,"机器调料需复核",IF(ABS(K64)&gt;0.02,"人工称重需复核","正常"))</x:f>
        <x:v>正常</x:v>
      </x:c>
      <x:c r="Q64" s="19" t="str">
        <x:v>陈晨</x:v>
      </x:c>
    </x:row>
    <x:row r="65">
      <x:c r="A65" s="19" t="str">
        <x:v>2026-07-10|S01|D11</x:v>
      </x:c>
      <x:c r="B65" s="34" t="n">
        <x:v>46213.5</x:v>
      </x:c>
      <x:c r="C65" s="19" t="str">
        <x:v>S01</x:v>
      </x:c>
      <x:c r="D65" s="19" t="str">
        <x:v>近江天阳店</x:v>
      </x:c>
      <x:c r="E65" s="19" t="str">
        <x:v>D11</x:v>
      </x:c>
      <x:c r="F65" s="19" t="str">
        <x:v>香辣爆肥肠</x:v>
      </x:c>
      <x:c r="G65" s="19" t="str">
        <x:v>R1.0</x:v>
      </x:c>
      <x:c r="H65" s="20" t="n">
        <x:f>XLOOKUP(A65,'菜品日销量'!$A$5:$A$1124,'菜品日销量'!$G$5:$G$1124,0)</x:f>
        <x:v>7</x:v>
      </x:c>
      <x:c r="I65" s="20" t="n">
        <x:f>ROUNDUP(H65/2,0)</x:f>
        <x:v>4</x:v>
      </x:c>
      <x:c r="J65" s="22" t="n">
        <x:f>SUMIFS('菜谱BOM'!$F$5:$F$160,'菜谱BOM'!$A$5:$A$160,E65,'菜谱BOM'!$C$5:$C$160,"食材")</x:f>
        <x:v>430</x:v>
      </x:c>
      <x:c r="K65" s="38" t="n">
        <x:v>0.001235628633116285</x:v>
      </x:c>
      <x:c r="L65" s="35" t="n">
        <x:f>H65*J65*(1+K65)</x:f>
        <x:v>3013.7192421856803</x:v>
      </x:c>
      <x:c r="M65" s="35" t="n">
        <x:f>SUMIFS('菜谱BOM'!$F$5:$F$160,'菜谱BOM'!$A$5:$A$160,E65,'菜谱BOM'!$C$5:$C$160,"调料")</x:f>
        <x:v>67</x:v>
      </x:c>
      <x:c r="N65" s="38" t="n">
        <x:v>0.0005312291706286438</x:v>
      </x:c>
      <x:c r="O65" s="35" t="n">
        <x:f>H65*M65*(1+N65)</x:f>
        <x:v>469.2491464810248</x:v>
      </x:c>
      <x:c r="P65" s="19" t="str">
        <x:f>IF(ABS(N65)&gt;'封面与口径'!$O$25,"机器调料需复核",IF(ABS(K65)&gt;0.02,"人工称重需复核","正常"))</x:f>
        <x:v>正常</x:v>
      </x:c>
      <x:c r="Q65" s="19" t="str">
        <x:v>陈晨</x:v>
      </x:c>
    </x:row>
    <x:row r="66">
      <x:c r="A66" s="19" t="str">
        <x:v>2026-07-10|S01|D13</x:v>
      </x:c>
      <x:c r="B66" s="34" t="n">
        <x:v>46213.5</x:v>
      </x:c>
      <x:c r="C66" s="19" t="str">
        <x:v>S01</x:v>
      </x:c>
      <x:c r="D66" s="19" t="str">
        <x:v>近江天阳店</x:v>
      </x:c>
      <x:c r="E66" s="19" t="str">
        <x:v>D13</x:v>
      </x:c>
      <x:c r="F66" s="19" t="str">
        <x:v>外婆菜炒蛋</x:v>
      </x:c>
      <x:c r="G66" s="19" t="str">
        <x:v>R1.0</x:v>
      </x:c>
      <x:c r="H66" s="20" t="n">
        <x:f>XLOOKUP(A66,'菜品日销量'!$A$5:$A$1124,'菜品日销量'!$G$5:$G$1124,0)</x:f>
        <x:v>19</x:v>
      </x:c>
      <x:c r="I66" s="20" t="n">
        <x:f>ROUNDUP(H66/2,0)</x:f>
        <x:v>10</x:v>
      </x:c>
      <x:c r="J66" s="22" t="n">
        <x:f>SUMIFS('菜谱BOM'!$F$5:$F$160,'菜谱BOM'!$A$5:$A$160,E66,'菜谱BOM'!$C$5:$C$160,"食材")</x:f>
        <x:v>450</x:v>
      </x:c>
      <x:c r="K66" s="38" t="n">
        <x:v>0.0007678974775522711</x:v>
      </x:c>
      <x:c r="L66" s="35" t="n">
        <x:f>H66*J66*(1+K66)</x:f>
        <x:v>8556.565523433072</x:v>
      </x:c>
      <x:c r="M66" s="35" t="n">
        <x:f>SUMIFS('菜谱BOM'!$F$5:$F$160,'菜谱BOM'!$A$5:$A$160,E66,'菜谱BOM'!$C$5:$C$160,"调料")</x:f>
        <x:v>37</x:v>
      </x:c>
      <x:c r="N66" s="38" t="n">
        <x:v>-0.0017078477888619174</x:v>
      </x:c>
      <x:c r="O66" s="35" t="n">
        <x:f>H66*M66*(1+N66)</x:f>
        <x:v>701.7993830044301</x:v>
      </x:c>
      <x:c r="P66" s="19" t="str">
        <x:f>IF(ABS(N66)&gt;'封面与口径'!$O$25,"机器调料需复核",IF(ABS(K66)&gt;0.02,"人工称重需复核","正常"))</x:f>
        <x:v>正常</x:v>
      </x:c>
      <x:c r="Q66" s="19" t="str">
        <x:v>陈晨</x:v>
      </x:c>
    </x:row>
    <x:row r="67">
      <x:c r="A67" s="19" t="str">
        <x:v>2026-07-10|S01|D14</x:v>
      </x:c>
      <x:c r="B67" s="34" t="n">
        <x:v>46213.5</x:v>
      </x:c>
      <x:c r="C67" s="19" t="str">
        <x:v>S01</x:v>
      </x:c>
      <x:c r="D67" s="19" t="str">
        <x:v>近江天阳店</x:v>
      </x:c>
      <x:c r="E67" s="19" t="str">
        <x:v>D14</x:v>
      </x:c>
      <x:c r="F67" s="19" t="str">
        <x:v>酸辣鸡杂</x:v>
      </x:c>
      <x:c r="G67" s="19" t="str">
        <x:v>R1.0</x:v>
      </x:c>
      <x:c r="H67" s="20" t="n">
        <x:f>XLOOKUP(A67,'菜品日销量'!$A$5:$A$1124,'菜品日销量'!$G$5:$G$1124,0)</x:f>
        <x:v>11</x:v>
      </x:c>
      <x:c r="I67" s="20" t="n">
        <x:f>ROUNDUP(H67/2,0)</x:f>
        <x:v>6</x:v>
      </x:c>
      <x:c r="J67" s="22" t="n">
        <x:f>SUMIFS('菜谱BOM'!$F$5:$F$160,'菜谱BOM'!$A$5:$A$160,E67,'菜谱BOM'!$C$5:$C$160,"食材")</x:f>
        <x:v>470</x:v>
      </x:c>
      <x:c r="K67" s="38" t="n">
        <x:v>0.0038441803557435466</x:v>
      </x:c>
      <x:c r="L67" s="35" t="n">
        <x:f>H67*J67*(1+K67)</x:f>
        <x:v>5189.874412439194</x:v>
      </x:c>
      <x:c r="M67" s="35" t="n">
        <x:f>SUMIFS('菜谱BOM'!$F$5:$F$160,'菜谱BOM'!$A$5:$A$160,E67,'菜谱BOM'!$C$5:$C$160,"调料")</x:f>
        <x:v>60</x:v>
      </x:c>
      <x:c r="N67" s="38" t="n">
        <x:v>0.0015719418263928828</x:v>
      </x:c>
      <x:c r="O67" s="35" t="n">
        <x:f>H67*M67*(1+N67)</x:f>
        <x:v>661.0374816054193</x:v>
      </x:c>
      <x:c r="P67" s="19" t="str">
        <x:f>IF(ABS(N67)&gt;'封面与口径'!$O$25,"机器调料需复核",IF(ABS(K67)&gt;0.02,"人工称重需复核","正常"))</x:f>
        <x:v>正常</x:v>
      </x:c>
      <x:c r="Q67" s="19" t="str">
        <x:v>陈晨</x:v>
      </x:c>
    </x:row>
    <x:row r="68">
      <x:c r="A68" s="19" t="str">
        <x:v>2026-07-10|S01|D15</x:v>
      </x:c>
      <x:c r="B68" s="34" t="n">
        <x:v>46213.5</x:v>
      </x:c>
      <x:c r="C68" s="19" t="str">
        <x:v>S01</x:v>
      </x:c>
      <x:c r="D68" s="19" t="str">
        <x:v>近江天阳店</x:v>
      </x:c>
      <x:c r="E68" s="19" t="str">
        <x:v>D15</x:v>
      </x:c>
      <x:c r="F68" s="19" t="str">
        <x:v>湘西土匪猪肝</x:v>
      </x:c>
      <x:c r="G68" s="19" t="str">
        <x:v>R1.0</x:v>
      </x:c>
      <x:c r="H68" s="20" t="n">
        <x:f>XLOOKUP(A68,'菜品日销量'!$A$5:$A$1124,'菜品日销量'!$G$5:$G$1124,0)</x:f>
        <x:v>8</x:v>
      </x:c>
      <x:c r="I68" s="20" t="n">
        <x:f>ROUNDUP(H68/2,0)</x:f>
        <x:v>4</x:v>
      </x:c>
      <x:c r="J68" s="22" t="n">
        <x:f>SUMIFS('菜谱BOM'!$F$5:$F$160,'菜谱BOM'!$A$5:$A$160,E68,'菜谱BOM'!$C$5:$C$160,"食材")</x:f>
        <x:v>470</x:v>
      </x:c>
      <x:c r="K68" s="38" t="n">
        <x:v>-0.005515274781155231</x:v>
      </x:c>
      <x:c r="L68" s="35" t="n">
        <x:f>H68*J68*(1+K68)</x:f>
        <x:v>3739.2625668228566</x:v>
      </x:c>
      <x:c r="M68" s="35" t="n">
        <x:f>SUMIFS('菜谱BOM'!$F$5:$F$160,'菜谱BOM'!$A$5:$A$160,E68,'菜谱BOM'!$C$5:$C$160,"调料")</x:f>
        <x:v>49</x:v>
      </x:c>
      <x:c r="N68" s="38" t="n">
        <x:v>0.00025426299736235823</x:v>
      </x:c>
      <x:c r="O68" s="35" t="n">
        <x:f>H68*M68*(1+N68)</x:f>
        <x:v>392.099671094966</x:v>
      </x:c>
      <x:c r="P68" s="19" t="str">
        <x:f>IF(ABS(N68)&gt;'封面与口径'!$O$25,"机器调料需复核",IF(ABS(K68)&gt;0.02,"人工称重需复核","正常"))</x:f>
        <x:v>正常</x:v>
      </x:c>
      <x:c r="Q68" s="19" t="str">
        <x:v>陈晨</x:v>
      </x:c>
    </x:row>
    <x:row r="69">
      <x:c r="A69" s="19" t="str">
        <x:v>2026-07-10|S01|D16</x:v>
      </x:c>
      <x:c r="B69" s="34" t="n">
        <x:v>46213.5</x:v>
      </x:c>
      <x:c r="C69" s="19" t="str">
        <x:v>S01</x:v>
      </x:c>
      <x:c r="D69" s="19" t="str">
        <x:v>近江天阳店</x:v>
      </x:c>
      <x:c r="E69" s="19" t="str">
        <x:v>D16</x:v>
      </x:c>
      <x:c r="F69" s="19" t="str">
        <x:v>小豆角炒五花</x:v>
      </x:c>
      <x:c r="G69" s="19" t="str">
        <x:v>R1.0</x:v>
      </x:c>
      <x:c r="H69" s="20" t="n">
        <x:f>XLOOKUP(A69,'菜品日销量'!$A$5:$A$1124,'菜品日销量'!$G$5:$G$1124,0)</x:f>
        <x:v>9</x:v>
      </x:c>
      <x:c r="I69" s="20" t="n">
        <x:f>ROUNDUP(H69/2,0)</x:f>
        <x:v>5</x:v>
      </x:c>
      <x:c r="J69" s="22" t="n">
        <x:f>SUMIFS('菜谱BOM'!$F$5:$F$160,'菜谱BOM'!$A$5:$A$160,E69,'菜谱BOM'!$C$5:$C$160,"食材")</x:f>
        <x:v>450</x:v>
      </x:c>
      <x:c r="K69" s="38" t="n">
        <x:v>0.006335497799873234</x:v>
      </x:c>
      <x:c r="L69" s="35" t="n">
        <x:f>H69*J69*(1+K69)</x:f>
        <x:v>4075.658766089487</x:v>
      </x:c>
      <x:c r="M69" s="35" t="n">
        <x:f>SUMIFS('菜谱BOM'!$F$5:$F$160,'菜谱BOM'!$A$5:$A$160,E69,'菜谱BOM'!$C$5:$C$160,"调料")</x:f>
        <x:v>42</x:v>
      </x:c>
      <x:c r="N69" s="38" t="n">
        <x:v>0.0019607071895060843</x:v>
      </x:c>
      <x:c r="O69" s="35" t="n">
        <x:f>H69*M69*(1+N69)</x:f>
        <x:v>378.7411473176333</x:v>
      </x:c>
      <x:c r="P69" s="19" t="str">
        <x:f>IF(ABS(N69)&gt;'封面与口径'!$O$25,"机器调料需复核",IF(ABS(K69)&gt;0.02,"人工称重需复核","正常"))</x:f>
        <x:v>正常</x:v>
      </x:c>
      <x:c r="Q69" s="19" t="str">
        <x:v>陈晨</x:v>
      </x:c>
    </x:row>
    <x:row r="70">
      <x:c r="A70" s="19" t="str">
        <x:v>2026-07-10|S01|D18</x:v>
      </x:c>
      <x:c r="B70" s="34" t="n">
        <x:v>46213.5</x:v>
      </x:c>
      <x:c r="C70" s="19" t="str">
        <x:v>S01</x:v>
      </x:c>
      <x:c r="D70" s="19" t="str">
        <x:v>近江天阳店</x:v>
      </x:c>
      <x:c r="E70" s="19" t="str">
        <x:v>D18</x:v>
      </x:c>
      <x:c r="F70" s="19" t="str">
        <x:v>青椒炒油麦菜</x:v>
      </x:c>
      <x:c r="G70" s="19" t="str">
        <x:v>R1.0</x:v>
      </x:c>
      <x:c r="H70" s="20" t="n">
        <x:f>XLOOKUP(A70,'菜品日销量'!$A$5:$A$1124,'菜品日销量'!$G$5:$G$1124,0)</x:f>
        <x:v>11</x:v>
      </x:c>
      <x:c r="I70" s="20" t="n">
        <x:f>ROUNDUP(H70/2,0)</x:f>
        <x:v>6</x:v>
      </x:c>
      <x:c r="J70" s="22" t="n">
        <x:f>SUMIFS('菜谱BOM'!$F$5:$F$160,'菜谱BOM'!$A$5:$A$160,E70,'菜谱BOM'!$C$5:$C$160,"食材")</x:f>
        <x:v>430</x:v>
      </x:c>
      <x:c r="K70" s="38" t="n">
        <x:v>0.0016911577232394262</x:v>
      </x:c>
      <x:c r="L70" s="35" t="n">
        <x:f>H70*J70*(1+K70)</x:f>
        <x:v>4737.999176030923</x:v>
      </x:c>
      <x:c r="M70" s="35" t="n">
        <x:f>SUMIFS('菜谱BOM'!$F$5:$F$160,'菜谱BOM'!$A$5:$A$160,E70,'菜谱BOM'!$C$5:$C$160,"调料")</x:f>
        <x:v>33</x:v>
      </x:c>
      <x:c r="N70" s="38" t="n">
        <x:v>0.0014599741845065669</x:v>
      </x:c>
      <x:c r="O70" s="35" t="n">
        <x:f>H70*M70*(1+N70)</x:f>
        <x:v>363.52997062897583</x:v>
      </x:c>
      <x:c r="P70" s="19" t="str">
        <x:f>IF(ABS(N70)&gt;'封面与口径'!$O$25,"机器调料需复核",IF(ABS(K70)&gt;0.02,"人工称重需复核","正常"))</x:f>
        <x:v>正常</x:v>
      </x:c>
      <x:c r="Q70" s="19" t="str">
        <x:v>陈晨</x:v>
      </x:c>
    </x:row>
    <x:row r="71">
      <x:c r="A71" s="19" t="str">
        <x:v>2026-07-10|S01|D19</x:v>
      </x:c>
      <x:c r="B71" s="34" t="n">
        <x:v>46213.5</x:v>
      </x:c>
      <x:c r="C71" s="19" t="str">
        <x:v>S01</x:v>
      </x:c>
      <x:c r="D71" s="19" t="str">
        <x:v>近江天阳店</x:v>
      </x:c>
      <x:c r="E71" s="19" t="str">
        <x:v>D19</x:v>
      </x:c>
      <x:c r="F71" s="19" t="str">
        <x:v>酸萝卜炒鸡杂</x:v>
      </x:c>
      <x:c r="G71" s="19" t="str">
        <x:v>R1.0</x:v>
      </x:c>
      <x:c r="H71" s="20" t="n">
        <x:f>XLOOKUP(A71,'菜品日销量'!$A$5:$A$1124,'菜品日销量'!$G$5:$G$1124,0)</x:f>
        <x:v>6</x:v>
      </x:c>
      <x:c r="I71" s="20" t="n">
        <x:f>ROUNDUP(H71/2,0)</x:f>
        <x:v>3</x:v>
      </x:c>
      <x:c r="J71" s="22" t="n">
        <x:f>SUMIFS('菜谱BOM'!$F$5:$F$160,'菜谱BOM'!$A$5:$A$160,E71,'菜谱BOM'!$C$5:$C$160,"食材")</x:f>
        <x:v>500</x:v>
      </x:c>
      <x:c r="K71" s="38" t="n">
        <x:v>-0.003551009002037116</x:v>
      </x:c>
      <x:c r="L71" s="35" t="n">
        <x:f>H71*J71*(1+K71)</x:f>
        <x:v>2989.346972993889</x:v>
      </x:c>
      <x:c r="M71" s="35" t="n">
        <x:f>SUMIFS('菜谱BOM'!$F$5:$F$160,'菜谱BOM'!$A$5:$A$160,E71,'菜谱BOM'!$C$5:$C$160,"调料")</x:f>
        <x:v>55</x:v>
      </x:c>
      <x:c r="N71" s="38" t="n">
        <x:v>-0.0003497330449404505</x:v>
      </x:c>
      <x:c r="O71" s="35" t="n">
        <x:f>H71*M71*(1+N71)</x:f>
        <x:v>329.88458809516965</x:v>
      </x:c>
      <x:c r="P71" s="19" t="str">
        <x:f>IF(ABS(N71)&gt;'封面与口径'!$O$25,"机器调料需复核",IF(ABS(K71)&gt;0.02,"人工称重需复核","正常"))</x:f>
        <x:v>正常</x:v>
      </x:c>
      <x:c r="Q71" s="19" t="str">
        <x:v>陈晨</x:v>
      </x:c>
    </x:row>
    <x:row r="72">
      <x:c r="A72" s="19" t="str">
        <x:v>2026-07-10|S01|D20</x:v>
      </x:c>
      <x:c r="B72" s="34" t="n">
        <x:v>46213.5</x:v>
      </x:c>
      <x:c r="C72" s="19" t="str">
        <x:v>S01</x:v>
      </x:c>
      <x:c r="D72" s="19" t="str">
        <x:v>近江天阳店</x:v>
      </x:c>
      <x:c r="E72" s="19" t="str">
        <x:v>D20</x:v>
      </x:c>
      <x:c r="F72" s="19" t="str">
        <x:v>雪菜肉末青豆</x:v>
      </x:c>
      <x:c r="G72" s="19" t="str">
        <x:v>R1.0</x:v>
      </x:c>
      <x:c r="H72" s="20" t="n">
        <x:f>XLOOKUP(A72,'菜品日销量'!$A$5:$A$1124,'菜品日销量'!$G$5:$G$1124,0)</x:f>
        <x:v>10</x:v>
      </x:c>
      <x:c r="I72" s="20" t="n">
        <x:f>ROUNDUP(H72/2,0)</x:f>
        <x:v>5</x:v>
      </x:c>
      <x:c r="J72" s="22" t="n">
        <x:f>SUMIFS('菜谱BOM'!$F$5:$F$160,'菜谱BOM'!$A$5:$A$160,E72,'菜谱BOM'!$C$5:$C$160,"食材")</x:f>
        <x:v>465</x:v>
      </x:c>
      <x:c r="K72" s="38" t="n">
        <x:v>-0.007536733392518184</x:v>
      </x:c>
      <x:c r="L72" s="35" t="n">
        <x:f>H72*J72*(1+K72)</x:f>
        <x:v>4614.954189724791</x:v>
      </x:c>
      <x:c r="M72" s="35" t="n">
        <x:f>SUMIFS('菜谱BOM'!$F$5:$F$160,'菜谱BOM'!$A$5:$A$160,E72,'菜谱BOM'!$C$5:$C$160,"调料")</x:f>
        <x:v>32</x:v>
      </x:c>
      <x:c r="N72" s="38" t="n">
        <x:v>0.0012873347353393526</x:v>
      </x:c>
      <x:c r="O72" s="35" t="n">
        <x:f>H72*M72*(1+N72)</x:f>
        <x:v>320.4119471153086</x:v>
      </x:c>
      <x:c r="P72" s="19" t="str">
        <x:f>IF(ABS(N72)&gt;'封面与口径'!$O$25,"机器调料需复核",IF(ABS(K72)&gt;0.02,"人工称重需复核","正常"))</x:f>
        <x:v>正常</x:v>
      </x:c>
      <x:c r="Q72" s="19" t="str">
        <x:v>陈晨</x:v>
      </x:c>
    </x:row>
    <x:row r="73">
      <x:c r="A73" s="19" t="str">
        <x:v>2026-07-11|S01|D01</x:v>
      </x:c>
      <x:c r="B73" s="34" t="n">
        <x:v>46214.5</x:v>
      </x:c>
      <x:c r="C73" s="19" t="str">
        <x:v>S01</x:v>
      </x:c>
      <x:c r="D73" s="19" t="str">
        <x:v>近江天阳店</x:v>
      </x:c>
      <x:c r="E73" s="19" t="str">
        <x:v>D01</x:v>
      </x:c>
      <x:c r="F73" s="19" t="str">
        <x:v>辣椒炒肉</x:v>
      </x:c>
      <x:c r="G73" s="19" t="str">
        <x:v>R2.3</x:v>
      </x:c>
      <x:c r="H73" s="20" t="n">
        <x:f>XLOOKUP(A73,'菜品日销量'!$A$5:$A$1124,'菜品日销量'!$G$5:$G$1124,0)</x:f>
        <x:v>43</x:v>
      </x:c>
      <x:c r="I73" s="20" t="n">
        <x:f>ROUNDUP(H73/2,0)</x:f>
        <x:v>22</x:v>
      </x:c>
      <x:c r="J73" s="22" t="n">
        <x:f>SUMIFS('菜谱BOM'!$F$5:$F$160,'菜谱BOM'!$A$5:$A$160,E73,'菜谱BOM'!$C$5:$C$160,"食材")</x:f>
        <x:v>550</x:v>
      </x:c>
      <x:c r="K73" s="38" t="n">
        <x:v>-0.00008308414558020516</x:v>
      </x:c>
      <x:c r="L73" s="35" t="n">
        <x:f>H73*J73*(1+K73)</x:f>
        <x:v>23648.035059957027</x:v>
      </x:c>
      <x:c r="M73" s="35" t="n">
        <x:f>SUMIFS('菜谱BOM'!$F$5:$F$160,'菜谱BOM'!$A$5:$A$160,E73,'菜谱BOM'!$C$5:$C$160,"调料")</x:f>
        <x:v>104</x:v>
      </x:c>
      <x:c r="N73" s="38" t="n">
        <x:v>0.0009547412774885866</x:v>
      </x:c>
      <x:c r="O73" s="35" t="n">
        <x:f>H73*M73*(1+N73)</x:f>
        <x:v>4476.269602992929</x:v>
      </x:c>
      <x:c r="P73" s="19" t="str">
        <x:f>IF(ABS(N73)&gt;'封面与口径'!$O$25,"机器调料需复核",IF(ABS(K73)&gt;0.02,"人工称重需复核","正常"))</x:f>
        <x:v>正常</x:v>
      </x:c>
      <x:c r="Q73" s="19" t="str">
        <x:v>陈晨</x:v>
      </x:c>
    </x:row>
    <x:row r="74">
      <x:c r="A74" s="19" t="str">
        <x:v>2026-07-11|S01|D02</x:v>
      </x:c>
      <x:c r="B74" s="34" t="n">
        <x:v>46214.5</x:v>
      </x:c>
      <x:c r="C74" s="19" t="str">
        <x:v>S01</x:v>
      </x:c>
      <x:c r="D74" s="19" t="str">
        <x:v>近江天阳店</x:v>
      </x:c>
      <x:c r="E74" s="19" t="str">
        <x:v>D02</x:v>
      </x:c>
      <x:c r="F74" s="19" t="str">
        <x:v>小炒黄牛肉</x:v>
      </x:c>
      <x:c r="G74" s="19" t="str">
        <x:v>R2.3</x:v>
      </x:c>
      <x:c r="H74" s="20" t="n">
        <x:f>XLOOKUP(A74,'菜品日销量'!$A$5:$A$1124,'菜品日销量'!$G$5:$G$1124,0)</x:f>
        <x:v>28</x:v>
      </x:c>
      <x:c r="I74" s="20" t="n">
        <x:f>ROUNDUP(H74/2,0)</x:f>
        <x:v>14</x:v>
      </x:c>
      <x:c r="J74" s="22" t="n">
        <x:f>SUMIFS('菜谱BOM'!$F$5:$F$160,'菜谱BOM'!$A$5:$A$160,E74,'菜谱BOM'!$C$5:$C$160,"食材")</x:f>
        <x:v>560</x:v>
      </x:c>
      <x:c r="K74" s="38" t="n">
        <x:v>-0.005183746493697108</x:v>
      </x:c>
      <x:c r="L74" s="35" t="n">
        <x:f>H74*J74*(1+K74)</x:f>
        <x:v>15598.71885497883</x:v>
      </x:c>
      <x:c r="M74" s="35" t="n">
        <x:f>SUMIFS('菜谱BOM'!$F$5:$F$160,'菜谱BOM'!$A$5:$A$160,E74,'菜谱BOM'!$C$5:$C$160,"调料")</x:f>
        <x:v>133</x:v>
      </x:c>
      <x:c r="N74" s="38" t="n">
        <x:v>0.0007426219877653342</x:v>
      </x:c>
      <x:c r="O74" s="35" t="n">
        <x:f>H74*M74*(1+N74)</x:f>
        <x:v>3726.765524282438</x:v>
      </x:c>
      <x:c r="P74" s="19" t="str">
        <x:f>IF(ABS(N74)&gt;'封面与口径'!$O$25,"机器调料需复核",IF(ABS(K74)&gt;0.02,"人工称重需复核","正常"))</x:f>
        <x:v>正常</x:v>
      </x:c>
      <x:c r="Q74" s="19" t="str">
        <x:v>陈晨</x:v>
      </x:c>
    </x:row>
    <x:row r="75">
      <x:c r="A75" s="19" t="str">
        <x:v>2026-07-11|S01|D03</x:v>
      </x:c>
      <x:c r="B75" s="34" t="n">
        <x:v>46214.5</x:v>
      </x:c>
      <x:c r="C75" s="19" t="str">
        <x:v>S01</x:v>
      </x:c>
      <x:c r="D75" s="19" t="str">
        <x:v>近江天阳店</x:v>
      </x:c>
      <x:c r="E75" s="19" t="str">
        <x:v>D03</x:v>
      </x:c>
      <x:c r="F75" s="19" t="str">
        <x:v>香醋炒蛋</x:v>
      </x:c>
      <x:c r="G75" s="19" t="str">
        <x:v>R1.0</x:v>
      </x:c>
      <x:c r="H75" s="20" t="n">
        <x:f>XLOOKUP(A75,'菜品日销量'!$A$5:$A$1124,'菜品日销量'!$G$5:$G$1124,0)</x:f>
        <x:v>34</x:v>
      </x:c>
      <x:c r="I75" s="20" t="n">
        <x:f>ROUNDUP(H75/2,0)</x:f>
        <x:v>17</x:v>
      </x:c>
      <x:c r="J75" s="22" t="n">
        <x:f>SUMIFS('菜谱BOM'!$F$5:$F$160,'菜谱BOM'!$A$5:$A$160,E75,'菜谱BOM'!$C$5:$C$160,"食材")</x:f>
        <x:v>300</x:v>
      </x:c>
      <x:c r="K75" s="38" t="n">
        <x:v>-0.0015799964688671749</x:v>
      </x:c>
      <x:c r="L75" s="35" t="n">
        <x:f>H75*J75*(1+K75)</x:f>
        <x:v>10183.884036017555</x:v>
      </x:c>
      <x:c r="M75" s="35" t="n">
        <x:f>SUMIFS('菜谱BOM'!$F$5:$F$160,'菜谱BOM'!$A$5:$A$160,E75,'菜谱BOM'!$C$5:$C$160,"调料")</x:f>
        <x:v>53</x:v>
      </x:c>
      <x:c r="N75" s="38" t="n">
        <x:v>-0.00011128601946665118</x:v>
      </x:c>
      <x:c r="O75" s="35" t="n">
        <x:f>H75*M75*(1+N75)</x:f>
        <x:v>1801.7994625929211</x:v>
      </x:c>
      <x:c r="P75" s="19" t="str">
        <x:f>IF(ABS(N75)&gt;'封面与口径'!$O$25,"机器调料需复核",IF(ABS(K75)&gt;0.02,"人工称重需复核","正常"))</x:f>
        <x:v>正常</x:v>
      </x:c>
      <x:c r="Q75" s="19" t="str">
        <x:v>陈晨</x:v>
      </x:c>
    </x:row>
    <x:row r="76">
      <x:c r="A76" s="19" t="str">
        <x:v>2026-07-11|S01|D04</x:v>
      </x:c>
      <x:c r="B76" s="34" t="n">
        <x:v>46214.5</x:v>
      </x:c>
      <x:c r="C76" s="19" t="str">
        <x:v>S01</x:v>
      </x:c>
      <x:c r="D76" s="19" t="str">
        <x:v>近江天阳店</x:v>
      </x:c>
      <x:c r="E76" s="19" t="str">
        <x:v>D04</x:v>
      </x:c>
      <x:c r="F76" s="19" t="str">
        <x:v>酸包菜炒粉皮</x:v>
      </x:c>
      <x:c r="G76" s="19" t="str">
        <x:v>R1.0</x:v>
      </x:c>
      <x:c r="H76" s="20" t="n">
        <x:f>XLOOKUP(A76,'菜品日销量'!$A$5:$A$1124,'菜品日销量'!$G$5:$G$1124,0)</x:f>
        <x:v>36</x:v>
      </x:c>
      <x:c r="I76" s="20" t="n">
        <x:f>ROUNDUP(H76/2,0)</x:f>
        <x:v>18</x:v>
      </x:c>
      <x:c r="J76" s="22" t="n">
        <x:f>SUMIFS('菜谱BOM'!$F$5:$F$160,'菜谱BOM'!$A$5:$A$160,E76,'菜谱BOM'!$C$5:$C$160,"食材")</x:f>
        <x:v>380</x:v>
      </x:c>
      <x:c r="K76" s="38" t="n">
        <x:v>0.005290095242972042</x:v>
      </x:c>
      <x:c r="L76" s="35" t="n">
        <x:f>H76*J76*(1+K76)</x:f>
        <x:v>13752.368502923857</x:v>
      </x:c>
      <x:c r="M76" s="35" t="n">
        <x:f>SUMIFS('菜谱BOM'!$F$5:$F$160,'菜谱BOM'!$A$5:$A$160,E76,'菜谱BOM'!$C$5:$C$160,"调料")</x:f>
        <x:v>47</x:v>
      </x:c>
      <x:c r="N76" s="38" t="n">
        <x:v>-0.0009240112367374848</x:v>
      </x:c>
      <x:c r="O76" s="35" t="n">
        <x:f>H76*M76*(1+N76)</x:f>
        <x:v>1690.4365729874403</x:v>
      </x:c>
      <x:c r="P76" s="19" t="str">
        <x:f>IF(ABS(N76)&gt;'封面与口径'!$O$25,"机器调料需复核",IF(ABS(K76)&gt;0.02,"人工称重需复核","正常"))</x:f>
        <x:v>正常</x:v>
      </x:c>
      <x:c r="Q76" s="19" t="str">
        <x:v>陈晨</x:v>
      </x:c>
    </x:row>
    <x:row r="77">
      <x:c r="A77" s="19" t="str">
        <x:v>2026-07-11|S01|D05</x:v>
      </x:c>
      <x:c r="B77" s="34" t="n">
        <x:v>46214.5</x:v>
      </x:c>
      <x:c r="C77" s="19" t="str">
        <x:v>S01</x:v>
      </x:c>
      <x:c r="D77" s="19" t="str">
        <x:v>近江天阳店</x:v>
      </x:c>
      <x:c r="E77" s="19" t="str">
        <x:v>D05</x:v>
      </x:c>
      <x:c r="F77" s="19" t="str">
        <x:v>麻婆豆腐</x:v>
      </x:c>
      <x:c r="G77" s="19" t="str">
        <x:v>R1.0</x:v>
      </x:c>
      <x:c r="H77" s="20" t="n">
        <x:f>XLOOKUP(A77,'菜品日销量'!$A$5:$A$1124,'菜品日销量'!$G$5:$G$1124,0)</x:f>
        <x:v>49</x:v>
      </x:c>
      <x:c r="I77" s="20" t="n">
        <x:f>ROUNDUP(H77/2,0)</x:f>
        <x:v>25</x:v>
      </x:c>
      <x:c r="J77" s="22" t="n">
        <x:f>SUMIFS('菜谱BOM'!$F$5:$F$160,'菜谱BOM'!$A$5:$A$160,E77,'菜谱BOM'!$C$5:$C$160,"食材")</x:f>
        <x:v>505</x:v>
      </x:c>
      <x:c r="K77" s="38" t="n">
        <x:v>-0.005205337549840412</x:v>
      </x:c>
      <x:c r="L77" s="35" t="n">
        <x:f>H77*J77*(1+K77)</x:f>
        <x:v>24616.1939223292</x:v>
      </x:c>
      <x:c r="M77" s="35" t="n">
        <x:f>SUMIFS('菜谱BOM'!$F$5:$F$160,'菜谱BOM'!$A$5:$A$160,E77,'菜谱BOM'!$C$5:$C$160,"调料")</x:f>
        <x:v>90</x:v>
      </x:c>
      <x:c r="N77" s="38" t="n">
        <x:v>-0.00011392019272640353</x:v>
      </x:c>
      <x:c r="O77" s="35" t="n">
        <x:f>H77*M77*(1+N77)</x:f>
        <x:v>4409.497611950077</x:v>
      </x:c>
      <x:c r="P77" s="19" t="str">
        <x:f>IF(ABS(N77)&gt;'封面与口径'!$O$25,"机器调料需复核",IF(ABS(K77)&gt;0.02,"人工称重需复核","正常"))</x:f>
        <x:v>正常</x:v>
      </x:c>
      <x:c r="Q77" s="19" t="str">
        <x:v>陈晨</x:v>
      </x:c>
    </x:row>
    <x:row r="78">
      <x:c r="A78" s="19" t="str">
        <x:v>2026-07-11|S01|D07</x:v>
      </x:c>
      <x:c r="B78" s="34" t="n">
        <x:v>46214.5</x:v>
      </x:c>
      <x:c r="C78" s="19" t="str">
        <x:v>S01</x:v>
      </x:c>
      <x:c r="D78" s="19" t="str">
        <x:v>近江天阳店</x:v>
      </x:c>
      <x:c r="E78" s="19" t="str">
        <x:v>D07</x:v>
      </x:c>
      <x:c r="F78" s="19" t="str">
        <x:v>川味回锅肉</x:v>
      </x:c>
      <x:c r="G78" s="19" t="str">
        <x:v>R1.0</x:v>
      </x:c>
      <x:c r="H78" s="20" t="n">
        <x:f>XLOOKUP(A78,'菜品日销量'!$A$5:$A$1124,'菜品日销量'!$G$5:$G$1124,0)</x:f>
        <x:v>14</x:v>
      </x:c>
      <x:c r="I78" s="20" t="n">
        <x:f>ROUNDUP(H78/2,0)</x:f>
        <x:v>7</x:v>
      </x:c>
      <x:c r="J78" s="22" t="n">
        <x:f>SUMIFS('菜谱BOM'!$F$5:$F$160,'菜谱BOM'!$A$5:$A$160,E78,'菜谱BOM'!$C$5:$C$160,"食材")</x:f>
        <x:v>450</x:v>
      </x:c>
      <x:c r="K78" s="38" t="n">
        <x:v>-0.007728193569865123</x:v>
      </x:c>
      <x:c r="L78" s="35" t="n">
        <x:f>H78*J78*(1+K78)</x:f>
        <x:v>6251.31238050985</x:v>
      </x:c>
      <x:c r="M78" s="35" t="n">
        <x:f>SUMIFS('菜谱BOM'!$F$5:$F$160,'菜谱BOM'!$A$5:$A$160,E78,'菜谱BOM'!$C$5:$C$160,"调料")</x:f>
        <x:v>63</x:v>
      </x:c>
      <x:c r="N78" s="38" t="n">
        <x:v>0.0005810886087317693</x:v>
      </x:c>
      <x:c r="O78" s="35" t="n">
        <x:f>H78*M78*(1+N78)</x:f>
        <x:v>882.5125201529015</x:v>
      </x:c>
      <x:c r="P78" s="19" t="str">
        <x:f>IF(ABS(N78)&gt;'封面与口径'!$O$25,"机器调料需复核",IF(ABS(K78)&gt;0.02,"人工称重需复核","正常"))</x:f>
        <x:v>正常</x:v>
      </x:c>
      <x:c r="Q78" s="19" t="str">
        <x:v>陈晨</x:v>
      </x:c>
    </x:row>
    <x:row r="79">
      <x:c r="A79" s="19" t="str">
        <x:v>2026-07-11|S01|D08</x:v>
      </x:c>
      <x:c r="B79" s="34" t="n">
        <x:v>46214.5</x:v>
      </x:c>
      <x:c r="C79" s="19" t="str">
        <x:v>S01</x:v>
      </x:c>
      <x:c r="D79" s="19" t="str">
        <x:v>近江天阳店</x:v>
      </x:c>
      <x:c r="E79" s="19" t="str">
        <x:v>D08</x:v>
      </x:c>
      <x:c r="F79" s="19" t="str">
        <x:v>生炒清远鸡</x:v>
      </x:c>
      <x:c r="G79" s="19" t="str">
        <x:v>R1.0</x:v>
      </x:c>
      <x:c r="H79" s="20" t="n">
        <x:f>XLOOKUP(A79,'菜品日销量'!$A$5:$A$1124,'菜品日销量'!$G$5:$G$1124,0)</x:f>
        <x:v>10</x:v>
      </x:c>
      <x:c r="I79" s="20" t="n">
        <x:f>ROUNDUP(H79/2,0)</x:f>
        <x:v>5</x:v>
      </x:c>
      <x:c r="J79" s="22" t="n">
        <x:f>SUMIFS('菜谱BOM'!$F$5:$F$160,'菜谱BOM'!$A$5:$A$160,E79,'菜谱BOM'!$C$5:$C$160,"食材")</x:f>
        <x:v>610</x:v>
      </x:c>
      <x:c r="K79" s="38" t="n">
        <x:v>-0.004115866675068593</x:v>
      </x:c>
      <x:c r="L79" s="35" t="n">
        <x:f>H79*J79*(1+K79)</x:f>
        <x:v>6074.893213282082</x:v>
      </x:c>
      <x:c r="M79" s="35" t="n">
        <x:f>SUMIFS('菜谱BOM'!$F$5:$F$160,'菜谱BOM'!$A$5:$A$160,E79,'菜谱BOM'!$C$5:$C$160,"调料")</x:f>
        <x:v>61</x:v>
      </x:c>
      <x:c r="N79" s="38" t="n">
        <x:v>-0.0009011524270524161</x:v>
      </x:c>
      <x:c r="O79" s="35" t="n">
        <x:f>H79*M79*(1+N79)</x:f>
        <x:v>609.450297019498</x:v>
      </x:c>
      <x:c r="P79" s="19" t="str">
        <x:f>IF(ABS(N79)&gt;'封面与口径'!$O$25,"机器调料需复核",IF(ABS(K79)&gt;0.02,"人工称重需复核","正常"))</x:f>
        <x:v>正常</x:v>
      </x:c>
      <x:c r="Q79" s="19" t="str">
        <x:v>陈晨</x:v>
      </x:c>
    </x:row>
    <x:row r="80">
      <x:c r="A80" s="19" t="str">
        <x:v>2026-07-11|S01|D09</x:v>
      </x:c>
      <x:c r="B80" s="34" t="n">
        <x:v>46214.5</x:v>
      </x:c>
      <x:c r="C80" s="19" t="str">
        <x:v>S01</x:v>
      </x:c>
      <x:c r="D80" s="19" t="str">
        <x:v>近江天阳店</x:v>
      </x:c>
      <x:c r="E80" s="19" t="str">
        <x:v>D09</x:v>
      </x:c>
      <x:c r="F80" s="19" t="str">
        <x:v>炒豆干</x:v>
      </x:c>
      <x:c r="G80" s="19" t="str">
        <x:v>R1.0</x:v>
      </x:c>
      <x:c r="H80" s="20" t="n">
        <x:f>XLOOKUP(A80,'菜品日销量'!$A$5:$A$1124,'菜品日销量'!$G$5:$G$1124,0)</x:f>
        <x:v>13</x:v>
      </x:c>
      <x:c r="I80" s="20" t="n">
        <x:f>ROUNDUP(H80/2,0)</x:f>
        <x:v>7</x:v>
      </x:c>
      <x:c r="J80" s="22" t="n">
        <x:f>SUMIFS('菜谱BOM'!$F$5:$F$160,'菜谱BOM'!$A$5:$A$160,E80,'菜谱BOM'!$C$5:$C$160,"食材")</x:f>
        <x:v>520</x:v>
      </x:c>
      <x:c r="K80" s="38" t="n">
        <x:v>-0.004814791391793357</x:v>
      </x:c>
      <x:c r="L80" s="35" t="n">
        <x:f>H80*J80*(1+K80)</x:f>
        <x:v>6727.452010191478</x:v>
      </x:c>
      <x:c r="M80" s="35" t="n">
        <x:f>SUMIFS('菜谱BOM'!$F$5:$F$160,'菜谱BOM'!$A$5:$A$160,E80,'菜谱BOM'!$C$5:$C$160,"调料")</x:f>
        <x:v>42</x:v>
      </x:c>
      <x:c r="N80" s="38" t="n">
        <x:v>0.0005784544354720169</x:v>
      </x:c>
      <x:c r="O80" s="35" t="n">
        <x:f>H80*M80*(1+N80)</x:f>
        <x:v>546.3158361217678</x:v>
      </x:c>
      <x:c r="P80" s="19" t="str">
        <x:f>IF(ABS(N80)&gt;'封面与口径'!$O$25,"机器调料需复核",IF(ABS(K80)&gt;0.02,"人工称重需复核","正常"))</x:f>
        <x:v>正常</x:v>
      </x:c>
      <x:c r="Q80" s="19" t="str">
        <x:v>陈晨</x:v>
      </x:c>
    </x:row>
    <x:row r="81">
      <x:c r="A81" s="19" t="str">
        <x:v>2026-07-11|S01|D10</x:v>
      </x:c>
      <x:c r="B81" s="34" t="n">
        <x:v>46214.5</x:v>
      </x:c>
      <x:c r="C81" s="19" t="str">
        <x:v>S01</x:v>
      </x:c>
      <x:c r="D81" s="19" t="str">
        <x:v>近江天阳店</x:v>
      </x:c>
      <x:c r="E81" s="19" t="str">
        <x:v>D10</x:v>
      </x:c>
      <x:c r="F81" s="19" t="str">
        <x:v>农家一碗香</x:v>
      </x:c>
      <x:c r="G81" s="19" t="str">
        <x:v>R2.3</x:v>
      </x:c>
      <x:c r="H81" s="20" t="n">
        <x:f>XLOOKUP(A81,'菜品日销量'!$A$5:$A$1124,'菜品日销量'!$G$5:$G$1124,0)</x:f>
        <x:v>15</x:v>
      </x:c>
      <x:c r="I81" s="20" t="n">
        <x:f>ROUNDUP(H81/2,0)</x:f>
        <x:v>8</x:v>
      </x:c>
      <x:c r="J81" s="22" t="n">
        <x:f>SUMIFS('菜谱BOM'!$F$5:$F$160,'菜谱BOM'!$A$5:$A$160,E81,'菜谱BOM'!$C$5:$C$160,"食材")</x:f>
        <x:v>510</x:v>
      </x:c>
      <x:c r="K81" s="38" t="n">
        <x:v>-0.005945012051133674</x:v>
      </x:c>
      <x:c r="L81" s="35" t="n">
        <x:f>H81*J81*(1+K81)</x:f>
        <x:v>7604.520657808828</x:v>
      </x:c>
      <x:c r="M81" s="35" t="n">
        <x:f>SUMIFS('菜谱BOM'!$F$5:$F$160,'菜谱BOM'!$A$5:$A$160,E81,'菜谱BOM'!$C$5:$C$160,"调料")</x:f>
        <x:v>88</x:v>
      </x:c>
      <x:c r="N81" s="38" t="n">
        <x:v>-0.0017873508948337638</x:v>
      </x:c>
      <x:c r="O81" s="35" t="n">
        <x:f>H81*M81*(1+N81)</x:f>
        <x:v>1317.6406968188194</x:v>
      </x:c>
      <x:c r="P81" s="19" t="str">
        <x:f>IF(ABS(N81)&gt;'封面与口径'!$O$25,"机器调料需复核",IF(ABS(K81)&gt;0.02,"人工称重需复核","正常"))</x:f>
        <x:v>正常</x:v>
      </x:c>
      <x:c r="Q81" s="19" t="str">
        <x:v>陈晨</x:v>
      </x:c>
    </x:row>
    <x:row r="82">
      <x:c r="A82" s="19" t="str">
        <x:v>2026-07-11|S01|D11</x:v>
      </x:c>
      <x:c r="B82" s="34" t="n">
        <x:v>46214.5</x:v>
      </x:c>
      <x:c r="C82" s="19" t="str">
        <x:v>S01</x:v>
      </x:c>
      <x:c r="D82" s="19" t="str">
        <x:v>近江天阳店</x:v>
      </x:c>
      <x:c r="E82" s="19" t="str">
        <x:v>D11</x:v>
      </x:c>
      <x:c r="F82" s="19" t="str">
        <x:v>香辣爆肥肠</x:v>
      </x:c>
      <x:c r="G82" s="19" t="str">
        <x:v>R1.0</x:v>
      </x:c>
      <x:c r="H82" s="20" t="n">
        <x:f>XLOOKUP(A82,'菜品日销量'!$A$5:$A$1124,'菜品日销量'!$G$5:$G$1124,0)</x:f>
        <x:v>6</x:v>
      </x:c>
      <x:c r="I82" s="20" t="n">
        <x:f>ROUNDUP(H82/2,0)</x:f>
        <x:v>3</x:v>
      </x:c>
      <x:c r="J82" s="22" t="n">
        <x:f>SUMIFS('菜谱BOM'!$F$5:$F$160,'菜谱BOM'!$A$5:$A$160,E82,'菜谱BOM'!$C$5:$C$160,"食材")</x:f>
        <x:v>430</x:v>
      </x:c>
      <x:c r="K82" s="38" t="n">
        <x:v>0.0018332157828456755</x:v>
      </x:c>
      <x:c r="L82" s="35" t="n">
        <x:f>H82*J82*(1+K82)</x:f>
        <x:v>2584.7296967197417</x:v>
      </x:c>
      <x:c r="M82" s="35" t="n">
        <x:f>SUMIFS('菜谱BOM'!$F$5:$F$160,'菜谱BOM'!$A$5:$A$160,E82,'菜谱BOM'!$C$5:$C$160,"调料")</x:f>
        <x:v>67</x:v>
      </x:c>
      <x:c r="N82" s="38" t="n">
        <x:v>-0.0004697681484906395</x:v>
      </x:c>
      <x:c r="O82" s="35" t="n">
        <x:f>H82*M82*(1+N82)</x:f>
        <x:v>401.8111532043068</x:v>
      </x:c>
      <x:c r="P82" s="19" t="str">
        <x:f>IF(ABS(N82)&gt;'封面与口径'!$O$25,"机器调料需复核",IF(ABS(K82)&gt;0.02,"人工称重需复核","正常"))</x:f>
        <x:v>正常</x:v>
      </x:c>
      <x:c r="Q82" s="19" t="str">
        <x:v>陈晨</x:v>
      </x:c>
    </x:row>
    <x:row r="83">
      <x:c r="A83" s="19" t="str">
        <x:v>2026-07-11|S01|D13</x:v>
      </x:c>
      <x:c r="B83" s="34" t="n">
        <x:v>46214.5</x:v>
      </x:c>
      <x:c r="C83" s="19" t="str">
        <x:v>S01</x:v>
      </x:c>
      <x:c r="D83" s="19" t="str">
        <x:v>近江天阳店</x:v>
      </x:c>
      <x:c r="E83" s="19" t="str">
        <x:v>D13</x:v>
      </x:c>
      <x:c r="F83" s="19" t="str">
        <x:v>外婆菜炒蛋</x:v>
      </x:c>
      <x:c r="G83" s="19" t="str">
        <x:v>R1.0</x:v>
      </x:c>
      <x:c r="H83" s="20" t="n">
        <x:f>XLOOKUP(A83,'菜品日销量'!$A$5:$A$1124,'菜品日销量'!$G$5:$G$1124,0)</x:f>
        <x:v>15</x:v>
      </x:c>
      <x:c r="I83" s="20" t="n">
        <x:f>ROUNDUP(H83/2,0)</x:f>
        <x:v>8</x:v>
      </x:c>
      <x:c r="J83" s="22" t="n">
        <x:f>SUMIFS('菜谱BOM'!$F$5:$F$160,'菜谱BOM'!$A$5:$A$160,E83,'菜谱BOM'!$C$5:$C$160,"食材")</x:f>
        <x:v>450</x:v>
      </x:c>
      <x:c r="K83" s="38" t="n">
        <x:v>-0.002761071203919377</x:v>
      </x:c>
      <x:c r="L83" s="35" t="n">
        <x:f>H83*J83*(1+K83)</x:f>
        <x:v>6731.362769373544</x:v>
      </x:c>
      <x:c r="M83" s="35" t="n">
        <x:f>SUMIFS('菜谱BOM'!$F$5:$F$160,'菜谱BOM'!$A$5:$A$160,E83,'菜谱BOM'!$C$5:$C$160,"调料")</x:f>
        <x:v>37</x:v>
      </x:c>
      <x:c r="N83" s="38" t="n">
        <x:v>-0.00043198872973024586</x:v>
      </x:c>
      <x:c r="O83" s="35" t="n">
        <x:f>H83*M83*(1+N83)</x:f>
        <x:v>554.7602462549997</x:v>
      </x:c>
      <x:c r="P83" s="19" t="str">
        <x:f>IF(ABS(N83)&gt;'封面与口径'!$O$25,"机器调料需复核",IF(ABS(K83)&gt;0.02,"人工称重需复核","正常"))</x:f>
        <x:v>正常</x:v>
      </x:c>
      <x:c r="Q83" s="19" t="str">
        <x:v>陈晨</x:v>
      </x:c>
    </x:row>
    <x:row r="84">
      <x:c r="A84" s="19" t="str">
        <x:v>2026-07-11|S01|D14</x:v>
      </x:c>
      <x:c r="B84" s="34" t="n">
        <x:v>46214.5</x:v>
      </x:c>
      <x:c r="C84" s="19" t="str">
        <x:v>S01</x:v>
      </x:c>
      <x:c r="D84" s="19" t="str">
        <x:v>近江天阳店</x:v>
      </x:c>
      <x:c r="E84" s="19" t="str">
        <x:v>D14</x:v>
      </x:c>
      <x:c r="F84" s="19" t="str">
        <x:v>酸辣鸡杂</x:v>
      </x:c>
      <x:c r="G84" s="19" t="str">
        <x:v>R1.0</x:v>
      </x:c>
      <x:c r="H84" s="20" t="n">
        <x:f>XLOOKUP(A84,'菜品日销量'!$A$5:$A$1124,'菜品日销量'!$G$5:$G$1124,0)</x:f>
        <x:v>7</x:v>
      </x:c>
      <x:c r="I84" s="20" t="n">
        <x:f>ROUNDUP(H84/2,0)</x:f>
        <x:v>4</x:v>
      </x:c>
      <x:c r="J84" s="22" t="n">
        <x:f>SUMIFS('菜谱BOM'!$F$5:$F$160,'菜谱BOM'!$A$5:$A$160,E84,'菜谱BOM'!$C$5:$C$160,"食材")</x:f>
        <x:v>470</x:v>
      </x:c>
      <x:c r="K84" s="38" t="n">
        <x:v>-0.0060716227623800805</x:v>
      </x:c>
      <x:c r="L84" s="35" t="n">
        <x:f>H84*J84*(1+K84)</x:f>
        <x:v>3270.02436111177</x:v>
      </x:c>
      <x:c r="M84" s="35" t="n">
        <x:f>SUMIFS('菜谱BOM'!$F$5:$F$160,'菜谱BOM'!$A$5:$A$160,E84,'菜谱BOM'!$C$5:$C$160,"调料")</x:f>
        <x:v>60</x:v>
      </x:c>
      <x:c r="N84" s="38" t="n">
        <x:v>-0.0005194465346912496</x:v>
      </x:c>
      <x:c r="O84" s="35" t="n">
        <x:f>H84*M84*(1+N84)</x:f>
        <x:v>419.78183245542965</x:v>
      </x:c>
      <x:c r="P84" s="19" t="str">
        <x:f>IF(ABS(N84)&gt;'封面与口径'!$O$25,"机器调料需复核",IF(ABS(K84)&gt;0.02,"人工称重需复核","正常"))</x:f>
        <x:v>正常</x:v>
      </x:c>
      <x:c r="Q84" s="19" t="str">
        <x:v>陈晨</x:v>
      </x:c>
    </x:row>
    <x:row r="85">
      <x:c r="A85" s="19" t="str">
        <x:v>2026-07-11|S01|D15</x:v>
      </x:c>
      <x:c r="B85" s="34" t="n">
        <x:v>46214.5</x:v>
      </x:c>
      <x:c r="C85" s="19" t="str">
        <x:v>S01</x:v>
      </x:c>
      <x:c r="D85" s="19" t="str">
        <x:v>近江天阳店</x:v>
      </x:c>
      <x:c r="E85" s="19" t="str">
        <x:v>D15</x:v>
      </x:c>
      <x:c r="F85" s="19" t="str">
        <x:v>湘西土匪猪肝</x:v>
      </x:c>
      <x:c r="G85" s="19" t="str">
        <x:v>R1.0</x:v>
      </x:c>
      <x:c r="H85" s="20" t="n">
        <x:f>XLOOKUP(A85,'菜品日销量'!$A$5:$A$1124,'菜品日销量'!$G$5:$G$1124,0)</x:f>
        <x:v>6</x:v>
      </x:c>
      <x:c r="I85" s="20" t="n">
        <x:f>ROUNDUP(H85/2,0)</x:f>
        <x:v>3</x:v>
      </x:c>
      <x:c r="J85" s="22" t="n">
        <x:f>SUMIFS('菜谱BOM'!$F$5:$F$160,'菜谱BOM'!$A$5:$A$160,E85,'菜谱BOM'!$C$5:$C$160,"食材")</x:f>
        <x:v>470</x:v>
      </x:c>
      <x:c r="K85" s="38" t="n">
        <x:v>0.0037046528411341486</x:v>
      </x:c>
      <x:c r="L85" s="35" t="n">
        <x:f>H85*J85*(1+K85)</x:f>
        <x:v>2830.447121011998</x:v>
      </x:c>
      <x:c r="M85" s="35" t="n">
        <x:f>SUMIFS('菜谱BOM'!$F$5:$F$160,'菜谱BOM'!$A$5:$A$160,E85,'菜谱BOM'!$C$5:$C$160,"调料")</x:f>
        <x:v>49</x:v>
      </x:c>
      <x:c r="N85" s="38" t="n">
        <x:v>-0.0016257214331127986</x:v>
      </x:c>
      <x:c r="O85" s="35" t="n">
        <x:f>H85*M85*(1+N85)</x:f>
        <x:v>293.52203789866485</x:v>
      </x:c>
      <x:c r="P85" s="19" t="str">
        <x:f>IF(ABS(N85)&gt;'封面与口径'!$O$25,"机器调料需复核",IF(ABS(K85)&gt;0.02,"人工称重需复核","正常"))</x:f>
        <x:v>正常</x:v>
      </x:c>
      <x:c r="Q85" s="19" t="str">
        <x:v>陈晨</x:v>
      </x:c>
    </x:row>
    <x:row r="86">
      <x:c r="A86" s="19" t="str">
        <x:v>2026-07-11|S01|D16</x:v>
      </x:c>
      <x:c r="B86" s="34" t="n">
        <x:v>46214.5</x:v>
      </x:c>
      <x:c r="C86" s="19" t="str">
        <x:v>S01</x:v>
      </x:c>
      <x:c r="D86" s="19" t="str">
        <x:v>近江天阳店</x:v>
      </x:c>
      <x:c r="E86" s="19" t="str">
        <x:v>D16</x:v>
      </x:c>
      <x:c r="F86" s="19" t="str">
        <x:v>小豆角炒五花</x:v>
      </x:c>
      <x:c r="G86" s="19" t="str">
        <x:v>R1.0</x:v>
      </x:c>
      <x:c r="H86" s="20" t="n">
        <x:f>XLOOKUP(A86,'菜品日销量'!$A$5:$A$1124,'菜品日销量'!$G$5:$G$1124,0)</x:f>
        <x:v>8</x:v>
      </x:c>
      <x:c r="I86" s="20" t="n">
        <x:f>ROUNDUP(H86/2,0)</x:f>
        <x:v>4</x:v>
      </x:c>
      <x:c r="J86" s="22" t="n">
        <x:f>SUMIFS('菜谱BOM'!$F$5:$F$160,'菜谱BOM'!$A$5:$A$160,E86,'菜谱BOM'!$C$5:$C$160,"食材")</x:f>
        <x:v>450</x:v>
      </x:c>
      <x:c r="K86" s="38" t="n">
        <x:v>0.0011715893058971485</x:v>
      </x:c>
      <x:c r="L86" s="35" t="n">
        <x:f>H86*J86*(1+K86)</x:f>
        <x:v>3604.21772150123</x:v>
      </x:c>
      <x:c r="M86" s="35" t="n">
        <x:f>SUMIFS('菜谱BOM'!$F$5:$F$160,'菜谱BOM'!$A$5:$A$160,E86,'菜谱BOM'!$C$5:$C$160,"调料")</x:f>
        <x:v>42</x:v>
      </x:c>
      <x:c r="N86" s="38" t="n">
        <x:v>0.0005465807622639884</x:v>
      </x:c>
      <x:c r="O86" s="35" t="n">
        <x:f>H86*M86*(1+N86)</x:f>
        <x:v>336.1836511361207</x:v>
      </x:c>
      <x:c r="P86" s="19" t="str">
        <x:f>IF(ABS(N86)&gt;'封面与口径'!$O$25,"机器调料需复核",IF(ABS(K86)&gt;0.02,"人工称重需复核","正常"))</x:f>
        <x:v>正常</x:v>
      </x:c>
      <x:c r="Q86" s="19" t="str">
        <x:v>陈晨</x:v>
      </x:c>
    </x:row>
    <x:row r="87">
      <x:c r="A87" s="19" t="str">
        <x:v>2026-07-11|S01|D18</x:v>
      </x:c>
      <x:c r="B87" s="34" t="n">
        <x:v>46214.5</x:v>
      </x:c>
      <x:c r="C87" s="19" t="str">
        <x:v>S01</x:v>
      </x:c>
      <x:c r="D87" s="19" t="str">
        <x:v>近江天阳店</x:v>
      </x:c>
      <x:c r="E87" s="19" t="str">
        <x:v>D18</x:v>
      </x:c>
      <x:c r="F87" s="19" t="str">
        <x:v>青椒炒油麦菜</x:v>
      </x:c>
      <x:c r="G87" s="19" t="str">
        <x:v>R1.0</x:v>
      </x:c>
      <x:c r="H87" s="20" t="n">
        <x:f>XLOOKUP(A87,'菜品日销量'!$A$5:$A$1124,'菜品日销量'!$G$5:$G$1124,0)</x:f>
        <x:v>8</x:v>
      </x:c>
      <x:c r="I87" s="20" t="n">
        <x:f>ROUNDUP(H87/2,0)</x:f>
        <x:v>4</x:v>
      </x:c>
      <x:c r="J87" s="22" t="n">
        <x:f>SUMIFS('菜谱BOM'!$F$5:$F$160,'菜谱BOM'!$A$5:$A$160,E87,'菜谱BOM'!$C$5:$C$160,"食材")</x:f>
        <x:v>430</x:v>
      </x:c>
      <x:c r="K87" s="38" t="n">
        <x:v>-0.006088821578325895</x:v>
      </x:c>
      <x:c r="L87" s="35" t="n">
        <x:f>H87*J87*(1+K87)</x:f>
        <x:v>3419.0544537705587</x:v>
      </x:c>
      <x:c r="M87" s="35" t="n">
        <x:f>SUMIFS('菜谱BOM'!$F$5:$F$160,'菜谱BOM'!$A$5:$A$160,E87,'菜谱BOM'!$C$5:$C$160,"调料")</x:f>
        <x:v>33</x:v>
      </x:c>
      <x:c r="N87" s="38" t="n">
        <x:v>0.0005492149355237408</x:v>
      </x:c>
      <x:c r="O87" s="35" t="n">
        <x:f>H87*M87*(1+N87)</x:f>
        <x:v>264.1449927429783</x:v>
      </x:c>
      <x:c r="P87" s="19" t="str">
        <x:f>IF(ABS(N87)&gt;'封面与口径'!$O$25,"机器调料需复核",IF(ABS(K87)&gt;0.02,"人工称重需复核","正常"))</x:f>
        <x:v>正常</x:v>
      </x:c>
      <x:c r="Q87" s="19" t="str">
        <x:v>陈晨</x:v>
      </x:c>
    </x:row>
    <x:row r="88">
      <x:c r="A88" s="19" t="str">
        <x:v>2026-07-11|S01|D19</x:v>
      </x:c>
      <x:c r="B88" s="34" t="n">
        <x:v>46214.5</x:v>
      </x:c>
      <x:c r="C88" s="19" t="str">
        <x:v>S01</x:v>
      </x:c>
      <x:c r="D88" s="19" t="str">
        <x:v>近江天阳店</x:v>
      </x:c>
      <x:c r="E88" s="19" t="str">
        <x:v>D19</x:v>
      </x:c>
      <x:c r="F88" s="19" t="str">
        <x:v>酸萝卜炒鸡杂</x:v>
      </x:c>
      <x:c r="G88" s="19" t="str">
        <x:v>R1.0</x:v>
      </x:c>
      <x:c r="H88" s="20" t="n">
        <x:f>XLOOKUP(A88,'菜品日销量'!$A$5:$A$1124,'菜品日销量'!$G$5:$G$1124,0)</x:f>
        <x:v>5</x:v>
      </x:c>
      <x:c r="I88" s="20" t="n">
        <x:f>ROUNDUP(H88/2,0)</x:f>
        <x:v>3</x:v>
      </x:c>
      <x:c r="J88" s="22" t="n">
        <x:f>SUMIFS('菜谱BOM'!$F$5:$F$160,'菜谱BOM'!$A$5:$A$160,E88,'菜谱BOM'!$C$5:$C$160,"食材")</x:f>
        <x:v>500</x:v>
      </x:c>
      <x:c r="K88" s="38" t="n">
        <x:v>-0.003789386293801802</x:v>
      </x:c>
      <x:c r="L88" s="35" t="n">
        <x:f>H88*J88*(1+K88)</x:f>
        <x:v>2490.5265342654957</x:v>
      </x:c>
      <x:c r="M88" s="35" t="n">
        <x:f>SUMIFS('菜谱BOM'!$F$5:$F$160,'菜谱BOM'!$A$5:$A$160,E88,'菜谱BOM'!$C$5:$C$160,"调料")</x:f>
        <x:v>55</x:v>
      </x:c>
      <x:c r="N88" s="38" t="n">
        <x:v>-0.000059528086813988246</x:v>
      </x:c>
      <x:c r="O88" s="35" t="n">
        <x:f>H88*M88*(1+N88)</x:f>
        <x:v>274.9836297761262</x:v>
      </x:c>
      <x:c r="P88" s="19" t="str">
        <x:f>IF(ABS(N88)&gt;'封面与口径'!$O$25,"机器调料需复核",IF(ABS(K88)&gt;0.02,"人工称重需复核","正常"))</x:f>
        <x:v>正常</x:v>
      </x:c>
      <x:c r="Q88" s="19" t="str">
        <x:v>陈晨</x:v>
      </x:c>
    </x:row>
    <x:row r="89">
      <x:c r="A89" s="19" t="str">
        <x:v>2026-07-11|S01|D20</x:v>
      </x:c>
      <x:c r="B89" s="34" t="n">
        <x:v>46214.5</x:v>
      </x:c>
      <x:c r="C89" s="19" t="str">
        <x:v>S01</x:v>
      </x:c>
      <x:c r="D89" s="19" t="str">
        <x:v>近江天阳店</x:v>
      </x:c>
      <x:c r="E89" s="19" t="str">
        <x:v>D20</x:v>
      </x:c>
      <x:c r="F89" s="19" t="str">
        <x:v>雪菜肉末青豆</x:v>
      </x:c>
      <x:c r="G89" s="19" t="str">
        <x:v>R1.0</x:v>
      </x:c>
      <x:c r="H89" s="20" t="n">
        <x:f>XLOOKUP(A89,'菜品日销量'!$A$5:$A$1124,'菜品日销量'!$G$5:$G$1124,0)</x:f>
        <x:v>7</x:v>
      </x:c>
      <x:c r="I89" s="20" t="n">
        <x:f>ROUNDUP(H89/2,0)</x:f>
        <x:v>4</x:v>
      </x:c>
      <x:c r="J89" s="22" t="n">
        <x:f>SUMIFS('菜谱BOM'!$F$5:$F$160,'菜谱BOM'!$A$5:$A$160,E89,'菜谱BOM'!$C$5:$C$160,"食材")</x:f>
        <x:v>465</x:v>
      </x:c>
      <x:c r="K89" s="38" t="n">
        <x:v>0.00028334353311996454</x:v>
      </x:c>
      <x:c r="L89" s="35" t="n">
        <x:f>H89*J89*(1+K89)</x:f>
        <x:v>3255.9222832003056</x:v>
      </x:c>
      <x:c r="M89" s="35" t="n">
        <x:f>SUMIFS('菜谱BOM'!$F$5:$F$160,'菜谱BOM'!$A$5:$A$160,E89,'菜谱BOM'!$C$5:$C$160,"调料")</x:f>
        <x:v>32</x:v>
      </x:c>
      <x:c r="N89" s="38" t="n">
        <x:v>0.00045252558180422666</x:v>
      </x:c>
      <x:c r="O89" s="35" t="n">
        <x:f>H89*M89*(1+N89)</x:f>
        <x:v>224.10136573032415</x:v>
      </x:c>
      <x:c r="P89" s="19" t="str">
        <x:f>IF(ABS(N89)&gt;'封面与口径'!$O$25,"机器调料需复核",IF(ABS(K89)&gt;0.02,"人工称重需复核","正常"))</x:f>
        <x:v>正常</x:v>
      </x:c>
      <x:c r="Q89" s="19" t="str">
        <x:v>陈晨</x:v>
      </x:c>
    </x:row>
    <x:row r="90">
      <x:c r="A90" s="19" t="str">
        <x:v>2026-07-12|S01|D01</x:v>
      </x:c>
      <x:c r="B90" s="34" t="n">
        <x:v>46215.5</x:v>
      </x:c>
      <x:c r="C90" s="19" t="str">
        <x:v>S01</x:v>
      </x:c>
      <x:c r="D90" s="19" t="str">
        <x:v>近江天阳店</x:v>
      </x:c>
      <x:c r="E90" s="19" t="str">
        <x:v>D01</x:v>
      </x:c>
      <x:c r="F90" s="19" t="str">
        <x:v>辣椒炒肉</x:v>
      </x:c>
      <x:c r="G90" s="19" t="str">
        <x:v>R2.3</x:v>
      </x:c>
      <x:c r="H90" s="20" t="n">
        <x:f>XLOOKUP(A90,'菜品日销量'!$A$5:$A$1124,'菜品日销量'!$G$5:$G$1124,0)</x:f>
        <x:v>40</x:v>
      </x:c>
      <x:c r="I90" s="20" t="n">
        <x:f>ROUNDUP(H90/2,0)</x:f>
        <x:v>20</x:v>
      </x:c>
      <x:c r="J90" s="22" t="n">
        <x:f>SUMIFS('菜谱BOM'!$F$5:$F$160,'菜谱BOM'!$A$5:$A$160,E90,'菜谱BOM'!$C$5:$C$160,"食材")</x:f>
        <x:v>550</x:v>
      </x:c>
      <x:c r="K90" s="38" t="n">
        <x:v>0.0039740861011608695</x:v>
      </x:c>
      <x:c r="L90" s="35" t="n">
        <x:f>H90*J90*(1+K90)</x:f>
        <x:v>22087.429894225537</x:v>
      </x:c>
      <x:c r="M90" s="35" t="n">
        <x:f>SUMIFS('菜谱BOM'!$F$5:$F$160,'菜谱BOM'!$A$5:$A$160,E90,'菜谱BOM'!$C$5:$C$160,"调料")</x:f>
        <x:v>104</x:v>
      </x:c>
      <x:c r="N90" s="38" t="n">
        <x:v>-0.0000826205392560504</x:v>
      </x:c>
      <x:c r="O90" s="35" t="n">
        <x:f>H90*M90*(1+N90)</x:f>
        <x:v>4159.656298556695</x:v>
      </x:c>
      <x:c r="P90" s="19" t="str">
        <x:f>IF(ABS(N90)&gt;'封面与口径'!$O$25,"机器调料需复核",IF(ABS(K90)&gt;0.02,"人工称重需复核","正常"))</x:f>
        <x:v>正常</x:v>
      </x:c>
      <x:c r="Q90" s="19" t="str">
        <x:v>陈晨</x:v>
      </x:c>
    </x:row>
    <x:row r="91">
      <x:c r="A91" s="19" t="str">
        <x:v>2026-07-12|S01|D02</x:v>
      </x:c>
      <x:c r="B91" s="34" t="n">
        <x:v>46215.5</x:v>
      </x:c>
      <x:c r="C91" s="19" t="str">
        <x:v>S01</x:v>
      </x:c>
      <x:c r="D91" s="19" t="str">
        <x:v>近江天阳店</x:v>
      </x:c>
      <x:c r="E91" s="19" t="str">
        <x:v>D02</x:v>
      </x:c>
      <x:c r="F91" s="19" t="str">
        <x:v>小炒黄牛肉</x:v>
      </x:c>
      <x:c r="G91" s="19" t="str">
        <x:v>R2.3</x:v>
      </x:c>
      <x:c r="H91" s="20" t="n">
        <x:f>XLOOKUP(A91,'菜品日销量'!$A$5:$A$1124,'菜品日销量'!$G$5:$G$1124,0)</x:f>
        <x:v>27</x:v>
      </x:c>
      <x:c r="I91" s="20" t="n">
        <x:f>ROUNDUP(H91/2,0)</x:f>
        <x:v>14</x:v>
      </x:c>
      <x:c r="J91" s="22" t="n">
        <x:f>SUMIFS('菜谱BOM'!$F$5:$F$160,'菜谱BOM'!$A$5:$A$160,E91,'菜谱BOM'!$C$5:$C$160,"食材")</x:f>
        <x:v>560</x:v>
      </x:c>
      <x:c r="K91" s="38" t="n">
        <x:v>0.007914083175341154</x:v>
      </x:c>
      <x:c r="L91" s="35" t="n">
        <x:f>H91*J91*(1+K91)</x:f>
        <x:v>15239.66093761116</x:v>
      </x:c>
      <x:c r="M91" s="35" t="n">
        <x:f>SUMIFS('菜谱BOM'!$F$5:$F$160,'菜谱BOM'!$A$5:$A$160,E91,'菜谱BOM'!$C$5:$C$160,"调料")</x:f>
        <x:v>133</x:v>
      </x:c>
      <x:c r="N91" s="38" t="n">
        <x:v>-0.0005626985725394214</x:v>
      </x:c>
      <x:c r="O91" s="35" t="n">
        <x:f>H91*M91*(1+N91)</x:f>
        <x:v>3588.9793494260107</x:v>
      </x:c>
      <x:c r="P91" s="19" t="str">
        <x:f>IF(ABS(N91)&gt;'封面与口径'!$O$25,"机器调料需复核",IF(ABS(K91)&gt;0.02,"人工称重需复核","正常"))</x:f>
        <x:v>正常</x:v>
      </x:c>
      <x:c r="Q91" s="19" t="str">
        <x:v>陈晨</x:v>
      </x:c>
    </x:row>
    <x:row r="92">
      <x:c r="A92" s="19" t="str">
        <x:v>2026-07-12|S01|D03</x:v>
      </x:c>
      <x:c r="B92" s="34" t="n">
        <x:v>46215.5</x:v>
      </x:c>
      <x:c r="C92" s="19" t="str">
        <x:v>S01</x:v>
      </x:c>
      <x:c r="D92" s="19" t="str">
        <x:v>近江天阳店</x:v>
      </x:c>
      <x:c r="E92" s="19" t="str">
        <x:v>D03</x:v>
      </x:c>
      <x:c r="F92" s="19" t="str">
        <x:v>香醋炒蛋</x:v>
      </x:c>
      <x:c r="G92" s="19" t="str">
        <x:v>R1.0</x:v>
      </x:c>
      <x:c r="H92" s="20" t="n">
        <x:f>XLOOKUP(A92,'菜品日销量'!$A$5:$A$1124,'菜品日销量'!$G$5:$G$1124,0)</x:f>
        <x:v>37</x:v>
      </x:c>
      <x:c r="I92" s="20" t="n">
        <x:f>ROUNDUP(H92/2,0)</x:f>
        <x:v>19</x:v>
      </x:c>
      <x:c r="J92" s="22" t="n">
        <x:f>SUMIFS('菜谱BOM'!$F$5:$F$160,'菜谱BOM'!$A$5:$A$160,E92,'菜谱BOM'!$C$5:$C$160,"食材")</x:f>
        <x:v>300</x:v>
      </x:c>
      <x:c r="K92" s="38" t="n">
        <x:v>0.00580977093004849</x:v>
      </x:c>
      <x:c r="L92" s="35" t="n">
        <x:f>H92*J92*(1+K92)</x:f>
        <x:v>11164.488457323538</x:v>
      </x:c>
      <x:c r="M92" s="35" t="n">
        <x:f>SUMIFS('菜谱BOM'!$F$5:$F$160,'菜谱BOM'!$A$5:$A$160,E92,'菜谱BOM'!$C$5:$C$160,"调料")</x:f>
        <x:v>53</x:v>
      </x:c>
      <x:c r="N92" s="38" t="n">
        <x:v>-0.00008117839183685805</x:v>
      </x:c>
      <x:c r="O92" s="35" t="n">
        <x:f>H92*M92*(1+N92)</x:f>
        <x:v>1960.840809173608</x:v>
      </x:c>
      <x:c r="P92" s="19" t="str">
        <x:f>IF(ABS(N92)&gt;'封面与口径'!$O$25,"机器调料需复核",IF(ABS(K92)&gt;0.02,"人工称重需复核","正常"))</x:f>
        <x:v>正常</x:v>
      </x:c>
      <x:c r="Q92" s="19" t="str">
        <x:v>陈晨</x:v>
      </x:c>
    </x:row>
    <x:row r="93">
      <x:c r="A93" s="19" t="str">
        <x:v>2026-07-12|S01|D04</x:v>
      </x:c>
      <x:c r="B93" s="34" t="n">
        <x:v>46215.5</x:v>
      </x:c>
      <x:c r="C93" s="19" t="str">
        <x:v>S01</x:v>
      </x:c>
      <x:c r="D93" s="19" t="str">
        <x:v>近江天阳店</x:v>
      </x:c>
      <x:c r="E93" s="19" t="str">
        <x:v>D04</x:v>
      </x:c>
      <x:c r="F93" s="19" t="str">
        <x:v>酸包菜炒粉皮</x:v>
      </x:c>
      <x:c r="G93" s="19" t="str">
        <x:v>R1.0</x:v>
      </x:c>
      <x:c r="H93" s="20" t="n">
        <x:f>XLOOKUP(A93,'菜品日销量'!$A$5:$A$1124,'菜品日销量'!$G$5:$G$1124,0)</x:f>
        <x:v>31</x:v>
      </x:c>
      <x:c r="I93" s="20" t="n">
        <x:f>ROUNDUP(H93/2,0)</x:f>
        <x:v>16</x:v>
      </x:c>
      <x:c r="J93" s="22" t="n">
        <x:f>SUMIFS('菜谱BOM'!$F$5:$F$160,'菜谱BOM'!$A$5:$A$160,E93,'菜谱BOM'!$C$5:$C$160,"食材")</x:f>
        <x:v>380</x:v>
      </x:c>
      <x:c r="K93" s="38" t="n">
        <x:v>-0.0016736018233172603</x:v>
      </x:c>
      <x:c r="L93" s="35" t="n">
        <x:f>H93*J93*(1+K93)</x:f>
        <x:v>11760.284970521323</x:v>
      </x:c>
      <x:c r="M93" s="35" t="n">
        <x:f>SUMIFS('菜谱BOM'!$F$5:$F$160,'菜谱BOM'!$A$5:$A$160,E93,'菜谱BOM'!$C$5:$C$160,"调料")</x:f>
        <x:v>47</x:v>
      </x:c>
      <x:c r="N93" s="38" t="n">
        <x:v>0.001399316130997454</x:v>
      </x:c>
      <x:c r="O93" s="35" t="n">
        <x:f>H93*M93*(1+N93)</x:f>
        <x:v>1459.0388036028635</x:v>
      </x:c>
      <x:c r="P93" s="19" t="str">
        <x:f>IF(ABS(N93)&gt;'封面与口径'!$O$25,"机器调料需复核",IF(ABS(K93)&gt;0.02,"人工称重需复核","正常"))</x:f>
        <x:v>正常</x:v>
      </x:c>
      <x:c r="Q93" s="19" t="str">
        <x:v>陈晨</x:v>
      </x:c>
    </x:row>
    <x:row r="94">
      <x:c r="A94" s="19" t="str">
        <x:v>2026-07-12|S01|D05</x:v>
      </x:c>
      <x:c r="B94" s="34" t="n">
        <x:v>46215.5</x:v>
      </x:c>
      <x:c r="C94" s="19" t="str">
        <x:v>S01</x:v>
      </x:c>
      <x:c r="D94" s="19" t="str">
        <x:v>近江天阳店</x:v>
      </x:c>
      <x:c r="E94" s="19" t="str">
        <x:v>D05</x:v>
      </x:c>
      <x:c r="F94" s="19" t="str">
        <x:v>麻婆豆腐</x:v>
      </x:c>
      <x:c r="G94" s="19" t="str">
        <x:v>R1.0</x:v>
      </x:c>
      <x:c r="H94" s="20" t="n">
        <x:f>XLOOKUP(A94,'菜品日销量'!$A$5:$A$1124,'菜品日销量'!$G$5:$G$1124,0)</x:f>
        <x:v>43</x:v>
      </x:c>
      <x:c r="I94" s="20" t="n">
        <x:f>ROUNDUP(H94/2,0)</x:f>
        <x:v>22</x:v>
      </x:c>
      <x:c r="J94" s="22" t="n">
        <x:f>SUMIFS('菜谱BOM'!$F$5:$F$160,'菜谱BOM'!$A$5:$A$160,E94,'菜谱BOM'!$C$5:$C$160,"食材")</x:f>
        <x:v>505</x:v>
      </x:c>
      <x:c r="K94" s="38" t="n">
        <x:v>0.003493729899519526</x:v>
      </x:c>
      <x:c r="L94" s="35" t="n">
        <x:f>H94*J94*(1+K94)</x:f>
        <x:v>21790.866344768066</x:v>
      </x:c>
      <x:c r="M94" s="35" t="n">
        <x:f>SUMIFS('菜谱BOM'!$F$5:$F$160,'菜谱BOM'!$A$5:$A$160,E94,'菜谱BOM'!$C$5:$C$160,"调料")</x:f>
        <x:v>90</x:v>
      </x:c>
      <x:c r="N94" s="38" t="n">
        <x:v>-0.001244283717881023</x:v>
      </x:c>
      <x:c r="O94" s="35" t="n">
        <x:f>H94*M94*(1+N94)</x:f>
        <x:v>3865.1846220118005</x:v>
      </x:c>
      <x:c r="P94" s="19" t="str">
        <x:f>IF(ABS(N94)&gt;'封面与口径'!$O$25,"机器调料需复核",IF(ABS(K94)&gt;0.02,"人工称重需复核","正常"))</x:f>
        <x:v>正常</x:v>
      </x:c>
      <x:c r="Q94" s="19" t="str">
        <x:v>陈晨</x:v>
      </x:c>
    </x:row>
    <x:row r="95">
      <x:c r="A95" s="19" t="str">
        <x:v>2026-07-12|S01|D07</x:v>
      </x:c>
      <x:c r="B95" s="34" t="n">
        <x:v>46215.5</x:v>
      </x:c>
      <x:c r="C95" s="19" t="str">
        <x:v>S01</x:v>
      </x:c>
      <x:c r="D95" s="19" t="str">
        <x:v>近江天阳店</x:v>
      </x:c>
      <x:c r="E95" s="19" t="str">
        <x:v>D07</x:v>
      </x:c>
      <x:c r="F95" s="19" t="str">
        <x:v>川味回锅肉</x:v>
      </x:c>
      <x:c r="G95" s="19" t="str">
        <x:v>R1.0</x:v>
      </x:c>
      <x:c r="H95" s="20" t="n">
        <x:f>XLOOKUP(A95,'菜品日销量'!$A$5:$A$1124,'菜品日销量'!$G$5:$G$1124,0)</x:f>
        <x:v>14</x:v>
      </x:c>
      <x:c r="I95" s="20" t="n">
        <x:f>ROUNDUP(H95/2,0)</x:f>
        <x:v>7</x:v>
      </x:c>
      <x:c r="J95" s="22" t="n">
        <x:f>SUMIFS('菜谱BOM'!$F$5:$F$160,'菜谱BOM'!$A$5:$A$160,E95,'菜谱BOM'!$C$5:$C$160,"食材")</x:f>
        <x:v>450</x:v>
      </x:c>
      <x:c r="K95" s="38" t="n">
        <x:v>0.006845539334892655</x:v>
      </x:c>
      <x:c r="L95" s="35" t="n">
        <x:f>H95*J95*(1+K95)</x:f>
        <x:v>6343.126897809824</x:v>
      </x:c>
      <x:c r="M95" s="35" t="n">
        <x:f>SUMIFS('菜谱BOM'!$F$5:$F$160,'菜谱BOM'!$A$5:$A$160,E95,'菜谱BOM'!$C$5:$C$160,"调料")</x:f>
        <x:v>63</x:v>
      </x:c>
      <x:c r="N95" s="38" t="n">
        <x:v>0.0013684332834948863</x:v>
      </x:c>
      <x:c r="O95" s="35" t="n">
        <x:f>H95*M95*(1+N95)</x:f>
        <x:v>883.2069581560424</x:v>
      </x:c>
      <x:c r="P95" s="19" t="str">
        <x:f>IF(ABS(N95)&gt;'封面与口径'!$O$25,"机器调料需复核",IF(ABS(K95)&gt;0.02,"人工称重需复核","正常"))</x:f>
        <x:v>正常</x:v>
      </x:c>
      <x:c r="Q95" s="19" t="str">
        <x:v>陈晨</x:v>
      </x:c>
    </x:row>
    <x:row r="96">
      <x:c r="A96" s="19" t="str">
        <x:v>2026-07-12|S01|D08</x:v>
      </x:c>
      <x:c r="B96" s="34" t="n">
        <x:v>46215.5</x:v>
      </x:c>
      <x:c r="C96" s="19" t="str">
        <x:v>S01</x:v>
      </x:c>
      <x:c r="D96" s="19" t="str">
        <x:v>近江天阳店</x:v>
      </x:c>
      <x:c r="E96" s="19" t="str">
        <x:v>D08</x:v>
      </x:c>
      <x:c r="F96" s="19" t="str">
        <x:v>生炒清远鸡</x:v>
      </x:c>
      <x:c r="G96" s="19" t="str">
        <x:v>R1.0</x:v>
      </x:c>
      <x:c r="H96" s="20" t="n">
        <x:f>XLOOKUP(A96,'菜品日销量'!$A$5:$A$1124,'菜品日销量'!$G$5:$G$1124,0)</x:f>
        <x:v>10</x:v>
      </x:c>
      <x:c r="I96" s="20" t="n">
        <x:f>ROUNDUP(H96/2,0)</x:f>
        <x:v>5</x:v>
      </x:c>
      <x:c r="J96" s="22" t="n">
        <x:f>SUMIFS('菜谱BOM'!$F$5:$F$160,'菜谱BOM'!$A$5:$A$160,E96,'菜谱BOM'!$C$5:$C$160,"食材")</x:f>
        <x:v>610</x:v>
      </x:c>
      <x:c r="K96" s="38" t="n">
        <x:v>-0.0022813186669445873</x:v>
      </x:c>
      <x:c r="L96" s="35" t="n">
        <x:f>H96*J96*(1+K96)</x:f>
        <x:v>6086.083956131638</x:v>
      </x:c>
      <x:c r="M96" s="35" t="n">
        <x:f>SUMIFS('菜谱BOM'!$F$5:$F$160,'菜谱BOM'!$A$5:$A$160,E96,'菜谱BOM'!$C$5:$C$160,"调料")</x:f>
        <x:v>61</x:v>
      </x:c>
      <x:c r="N96" s="38" t="n">
        <x:v>0.0017953441095993256</x:v>
      </x:c>
      <x:c r="O96" s="35" t="n">
        <x:f>H96*M96*(1+N96)</x:f>
        <x:v>611.0951599068555</x:v>
      </x:c>
      <x:c r="P96" s="19" t="str">
        <x:f>IF(ABS(N96)&gt;'封面与口径'!$O$25,"机器调料需复核",IF(ABS(K96)&gt;0.02,"人工称重需复核","正常"))</x:f>
        <x:v>正常</x:v>
      </x:c>
      <x:c r="Q96" s="19" t="str">
        <x:v>陈晨</x:v>
      </x:c>
    </x:row>
    <x:row r="97">
      <x:c r="A97" s="19" t="str">
        <x:v>2026-07-12|S01|D09</x:v>
      </x:c>
      <x:c r="B97" s="34" t="n">
        <x:v>46215.5</x:v>
      </x:c>
      <x:c r="C97" s="19" t="str">
        <x:v>S01</x:v>
      </x:c>
      <x:c r="D97" s="19" t="str">
        <x:v>近江天阳店</x:v>
      </x:c>
      <x:c r="E97" s="19" t="str">
        <x:v>D09</x:v>
      </x:c>
      <x:c r="F97" s="19" t="str">
        <x:v>炒豆干</x:v>
      </x:c>
      <x:c r="G97" s="19" t="str">
        <x:v>R1.0</x:v>
      </x:c>
      <x:c r="H97" s="20" t="n">
        <x:f>XLOOKUP(A97,'菜品日销量'!$A$5:$A$1124,'菜品日销量'!$G$5:$G$1124,0)</x:f>
        <x:v>14</x:v>
      </x:c>
      <x:c r="I97" s="20" t="n">
        <x:f>ROUNDUP(H97/2,0)</x:f>
        <x:v>7</x:v>
      </x:c>
      <x:c r="J97" s="22" t="n">
        <x:f>SUMIFS('菜谱BOM'!$F$5:$F$160,'菜谱BOM'!$A$5:$A$160,E97,'菜谱BOM'!$C$5:$C$160,"食材")</x:f>
        <x:v>520</x:v>
      </x:c>
      <x:c r="K97" s="38" t="n">
        <x:v>-0.003119671619292272</x:v>
      </x:c>
      <x:c r="L97" s="35" t="n">
        <x:f>H97*J97*(1+K97)</x:f>
        <x:v>7257.288790611552</x:v>
      </x:c>
      <x:c r="M97" s="35" t="n">
        <x:f>SUMIFS('菜谱BOM'!$F$5:$F$160,'菜谱BOM'!$A$5:$A$160,E97,'菜谱BOM'!$C$5:$C$160,"调料")</x:f>
        <x:v>42</x:v>
      </x:c>
      <x:c r="N97" s="38" t="n">
        <x:v>-0.0013507478841000115</x:v>
      </x:c>
      <x:c r="O97" s="35" t="n">
        <x:f>H97*M97*(1+N97)</x:f>
        <x:v>587.2057602441491</x:v>
      </x:c>
      <x:c r="P97" s="19" t="str">
        <x:f>IF(ABS(N97)&gt;'封面与口径'!$O$25,"机器调料需复核",IF(ABS(K97)&gt;0.02,"人工称重需复核","正常"))</x:f>
        <x:v>正常</x:v>
      </x:c>
      <x:c r="Q97" s="19" t="str">
        <x:v>陈晨</x:v>
      </x:c>
    </x:row>
    <x:row r="98">
      <x:c r="A98" s="19" t="str">
        <x:v>2026-07-12|S01|D10</x:v>
      </x:c>
      <x:c r="B98" s="34" t="n">
        <x:v>46215.5</x:v>
      </x:c>
      <x:c r="C98" s="19" t="str">
        <x:v>S01</x:v>
      </x:c>
      <x:c r="D98" s="19" t="str">
        <x:v>近江天阳店</x:v>
      </x:c>
      <x:c r="E98" s="19" t="str">
        <x:v>D10</x:v>
      </x:c>
      <x:c r="F98" s="19" t="str">
        <x:v>农家一碗香</x:v>
      </x:c>
      <x:c r="G98" s="19" t="str">
        <x:v>R2.3</x:v>
      </x:c>
      <x:c r="H98" s="20" t="n">
        <x:f>XLOOKUP(A98,'菜品日销量'!$A$5:$A$1124,'菜品日销量'!$G$5:$G$1124,0)</x:f>
        <x:v>17</x:v>
      </x:c>
      <x:c r="I98" s="20" t="n">
        <x:f>ROUNDUP(H98/2,0)</x:f>
        <x:v>9</x:v>
      </x:c>
      <x:c r="J98" s="22" t="n">
        <x:f>SUMIFS('菜谱BOM'!$F$5:$F$160,'菜谱BOM'!$A$5:$A$160,E98,'菜谱BOM'!$C$5:$C$160,"食材")</x:f>
        <x:v>510</x:v>
      </x:c>
      <x:c r="K98" s="38" t="n">
        <x:v>-0.0006428839547193803</x:v>
      </x:c>
      <x:c r="L98" s="35" t="n">
        <x:f>H98*J98*(1+K98)</x:f>
        <x:v>8664.426196112583</x:v>
      </x:c>
      <x:c r="M98" s="35" t="n">
        <x:f>SUMIFS('菜谱BOM'!$F$5:$F$160,'菜谱BOM'!$A$5:$A$160,E98,'菜谱BOM'!$C$5:$C$160,"调料")</x:f>
        <x:v>88</x:v>
      </x:c>
      <x:c r="N98" s="38" t="n">
        <x:v>0.0016121357399067225</x:v>
      </x:c>
      <x:c r="O98" s="35" t="n">
        <x:f>H98*M98*(1+N98)</x:f>
        <x:v>1498.4117550669007</x:v>
      </x:c>
      <x:c r="P98" s="19" t="str">
        <x:f>IF(ABS(N98)&gt;'封面与口径'!$O$25,"机器调料需复核",IF(ABS(K98)&gt;0.02,"人工称重需复核","正常"))</x:f>
        <x:v>正常</x:v>
      </x:c>
      <x:c r="Q98" s="19" t="str">
        <x:v>陈晨</x:v>
      </x:c>
    </x:row>
    <x:row r="99">
      <x:c r="A99" s="19" t="str">
        <x:v>2026-07-12|S01|D11</x:v>
      </x:c>
      <x:c r="B99" s="34" t="n">
        <x:v>46215.5</x:v>
      </x:c>
      <x:c r="C99" s="19" t="str">
        <x:v>S01</x:v>
      </x:c>
      <x:c r="D99" s="19" t="str">
        <x:v>近江天阳店</x:v>
      </x:c>
      <x:c r="E99" s="19" t="str">
        <x:v>D11</x:v>
      </x:c>
      <x:c r="F99" s="19" t="str">
        <x:v>香辣爆肥肠</x:v>
      </x:c>
      <x:c r="G99" s="19" t="str">
        <x:v>R1.0</x:v>
      </x:c>
      <x:c r="H99" s="20" t="n">
        <x:f>XLOOKUP(A99,'菜品日销量'!$A$5:$A$1124,'菜品日销量'!$G$5:$G$1124,0)</x:f>
        <x:v>6</x:v>
      </x:c>
      <x:c r="I99" s="20" t="n">
        <x:f>ROUNDUP(H99/2,0)</x:f>
        <x:v>3</x:v>
      </x:c>
      <x:c r="J99" s="22" t="n">
        <x:f>SUMIFS('菜谱BOM'!$F$5:$F$160,'菜谱BOM'!$A$5:$A$160,E99,'菜谱BOM'!$C$5:$C$160,"食材")</x:f>
        <x:v>430</x:v>
      </x:c>
      <x:c r="K99" s="38" t="n">
        <x:v>0.003271630412729371</x:v>
      </x:c>
      <x:c r="L99" s="35" t="n">
        <x:f>H99*J99*(1+K99)</x:f>
        <x:v>2588.440806464842</x:v>
      </x:c>
      <x:c r="M99" s="35" t="n">
        <x:f>SUMIFS('菜谱BOM'!$F$5:$F$160,'菜谱BOM'!$A$5:$A$160,E99,'菜谱BOM'!$C$5:$C$160,"调料")</x:f>
        <x:v>67</x:v>
      </x:c>
      <x:c r="N99" s="38" t="n">
        <x:v>0.0015324114234029343</x:v>
      </x:c>
      <x:c r="O99" s="35" t="n">
        <x:f>H99*M99*(1+N99)</x:f>
        <x:v>402.616029392208</x:v>
      </x:c>
      <x:c r="P99" s="19" t="str">
        <x:f>IF(ABS(N99)&gt;'封面与口径'!$O$25,"机器调料需复核",IF(ABS(K99)&gt;0.02,"人工称重需复核","正常"))</x:f>
        <x:v>正常</x:v>
      </x:c>
      <x:c r="Q99" s="19" t="str">
        <x:v>陈晨</x:v>
      </x:c>
    </x:row>
    <x:row r="100">
      <x:c r="A100" s="19" t="str">
        <x:v>2026-07-12|S01|D13</x:v>
      </x:c>
      <x:c r="B100" s="34" t="n">
        <x:v>46215.5</x:v>
      </x:c>
      <x:c r="C100" s="19" t="str">
        <x:v>S01</x:v>
      </x:c>
      <x:c r="D100" s="19" t="str">
        <x:v>近江天阳店</x:v>
      </x:c>
      <x:c r="E100" s="19" t="str">
        <x:v>D13</x:v>
      </x:c>
      <x:c r="F100" s="19" t="str">
        <x:v>外婆菜炒蛋</x:v>
      </x:c>
      <x:c r="G100" s="19" t="str">
        <x:v>R1.0</x:v>
      </x:c>
      <x:c r="H100" s="20" t="n">
        <x:f>XLOOKUP(A100,'菜品日销量'!$A$5:$A$1124,'菜品日销量'!$G$5:$G$1124,0)</x:f>
        <x:v>13</x:v>
      </x:c>
      <x:c r="I100" s="20" t="n">
        <x:f>ROUNDUP(H100/2,0)</x:f>
        <x:v>7</x:v>
      </x:c>
      <x:c r="J100" s="22" t="n">
        <x:f>SUMIFS('菜谱BOM'!$F$5:$F$160,'菜谱BOM'!$A$5:$A$160,E100,'菜谱BOM'!$C$5:$C$160,"食材")</x:f>
        <x:v>450</x:v>
      </x:c>
      <x:c r="K100" s="38" t="n">
        <x:v>0.0031795183259946107</x:v>
      </x:c>
      <x:c r="L100" s="35" t="n">
        <x:f>H100*J100*(1+K100)</x:f>
        <x:v>5868.600182207068</x:v>
      </x:c>
      <x:c r="M100" s="35" t="n">
        <x:f>SUMIFS('菜谱BOM'!$F$5:$F$160,'菜谱BOM'!$A$5:$A$160,E100,'菜谱BOM'!$C$5:$C$160,"调料")</x:f>
        <x:v>37</x:v>
      </x:c>
      <x:c r="N100" s="38" t="n">
        <x:v>0.0005583194928612372</x:v>
      </x:c>
      <x:c r="O100" s="35" t="n">
        <x:f>H100*M100*(1+N100)</x:f>
        <x:v>481.2685516760663</x:v>
      </x:c>
      <x:c r="P100" s="19" t="str">
        <x:f>IF(ABS(N100)&gt;'封面与口径'!$O$25,"机器调料需复核",IF(ABS(K100)&gt;0.02,"人工称重需复核","正常"))</x:f>
        <x:v>正常</x:v>
      </x:c>
      <x:c r="Q100" s="19" t="str">
        <x:v>陈晨</x:v>
      </x:c>
    </x:row>
    <x:row r="101">
      <x:c r="A101" s="19" t="str">
        <x:v>2026-07-12|S01|D14</x:v>
      </x:c>
      <x:c r="B101" s="34" t="n">
        <x:v>46215.5</x:v>
      </x:c>
      <x:c r="C101" s="19" t="str">
        <x:v>S01</x:v>
      </x:c>
      <x:c r="D101" s="19" t="str">
        <x:v>近江天阳店</x:v>
      </x:c>
      <x:c r="E101" s="19" t="str">
        <x:v>D14</x:v>
      </x:c>
      <x:c r="F101" s="19" t="str">
        <x:v>酸辣鸡杂</x:v>
      </x:c>
      <x:c r="G101" s="19" t="str">
        <x:v>R1.0</x:v>
      </x:c>
      <x:c r="H101" s="20" t="n">
        <x:f>XLOOKUP(A101,'菜品日销量'!$A$5:$A$1124,'菜品日销量'!$G$5:$G$1124,0)</x:f>
        <x:v>7</x:v>
      </x:c>
      <x:c r="I101" s="20" t="n">
        <x:f>ROUNDUP(H101/2,0)</x:f>
        <x:v>4</x:v>
      </x:c>
      <x:c r="J101" s="22" t="n">
        <x:f>SUMIFS('菜谱BOM'!$F$5:$F$160,'菜谱BOM'!$A$5:$A$160,E101,'菜谱BOM'!$C$5:$C$160,"食材")</x:f>
        <x:v>470</x:v>
      </x:c>
      <x:c r="K101" s="38" t="n">
        <x:v>0.001739308761837732</x:v>
      </x:c>
      <x:c r="L101" s="35" t="n">
        <x:f>H101*J101*(1+K101)</x:f>
        <x:v>3295.722325826446</x:v>
      </x:c>
      <x:c r="M101" s="35" t="n">
        <x:f>SUMIFS('菜谱BOM'!$F$5:$F$160,'菜谱BOM'!$A$5:$A$160,E101,'菜谱BOM'!$C$5:$C$160,"调料")</x:f>
        <x:v>60</x:v>
      </x:c>
      <x:c r="N101" s="38" t="n">
        <x:v>-0.0005710930029328662</x:v>
      </x:c>
      <x:c r="O101" s="35" t="n">
        <x:f>H101*M101*(1+N101)</x:f>
        <x:v>419.7601409387682</x:v>
      </x:c>
      <x:c r="P101" s="19" t="str">
        <x:f>IF(ABS(N101)&gt;'封面与口径'!$O$25,"机器调料需复核",IF(ABS(K101)&gt;0.02,"人工称重需复核","正常"))</x:f>
        <x:v>正常</x:v>
      </x:c>
      <x:c r="Q101" s="19" t="str">
        <x:v>陈晨</x:v>
      </x:c>
    </x:row>
    <x:row r="102">
      <x:c r="A102" s="19" t="str">
        <x:v>2026-07-12|S01|D15</x:v>
      </x:c>
      <x:c r="B102" s="34" t="n">
        <x:v>46215.5</x:v>
      </x:c>
      <x:c r="C102" s="19" t="str">
        <x:v>S01</x:v>
      </x:c>
      <x:c r="D102" s="19" t="str">
        <x:v>近江天阳店</x:v>
      </x:c>
      <x:c r="E102" s="19" t="str">
        <x:v>D15</x:v>
      </x:c>
      <x:c r="F102" s="19" t="str">
        <x:v>湘西土匪猪肝</x:v>
      </x:c>
      <x:c r="G102" s="19" t="str">
        <x:v>R1.0</x:v>
      </x:c>
      <x:c r="H102" s="20" t="n">
        <x:f>XLOOKUP(A102,'菜品日销量'!$A$5:$A$1124,'菜品日销量'!$G$5:$G$1124,0)</x:f>
        <x:v>7</x:v>
      </x:c>
      <x:c r="I102" s="20" t="n">
        <x:f>ROUNDUP(H102/2,0)</x:f>
        <x:v>4</x:v>
      </x:c>
      <x:c r="J102" s="22" t="n">
        <x:f>SUMIFS('菜谱BOM'!$F$5:$F$160,'菜谱BOM'!$A$5:$A$160,E102,'菜谱BOM'!$C$5:$C$160,"食材")</x:f>
        <x:v>470</x:v>
      </x:c>
      <x:c r="K102" s="38" t="n">
        <x:v>-0.004801196824014466</x:v>
      </x:c>
      <x:c r="L102" s="35" t="n">
        <x:f>H102*J102*(1+K102)</x:f>
        <x:v>3274.2040624489923</x:v>
      </x:c>
      <x:c r="M102" s="35" t="n">
        <x:f>SUMIFS('菜谱BOM'!$F$5:$F$160,'菜谱BOM'!$A$5:$A$160,E102,'菜谱BOM'!$C$5:$C$160,"调料")</x:f>
        <x:v>49</x:v>
      </x:c>
      <x:c r="N102" s="38" t="n">
        <x:v>-0.0014037912933630384</x:v>
      </x:c>
      <x:c r="O102" s="35" t="n">
        <x:f>H102*M102*(1+N102)</x:f>
        <x:v>342.5184995863765</x:v>
      </x:c>
      <x:c r="P102" s="19" t="str">
        <x:f>IF(ABS(N102)&gt;'封面与口径'!$O$25,"机器调料需复核",IF(ABS(K102)&gt;0.02,"人工称重需复核","正常"))</x:f>
        <x:v>正常</x:v>
      </x:c>
      <x:c r="Q102" s="19" t="str">
        <x:v>陈晨</x:v>
      </x:c>
    </x:row>
    <x:row r="103">
      <x:c r="A103" s="19" t="str">
        <x:v>2026-07-12|S01|D16</x:v>
      </x:c>
      <x:c r="B103" s="34" t="n">
        <x:v>46215.5</x:v>
      </x:c>
      <x:c r="C103" s="19" t="str">
        <x:v>S01</x:v>
      </x:c>
      <x:c r="D103" s="19" t="str">
        <x:v>近江天阳店</x:v>
      </x:c>
      <x:c r="E103" s="19" t="str">
        <x:v>D16</x:v>
      </x:c>
      <x:c r="F103" s="19" t="str">
        <x:v>小豆角炒五花</x:v>
      </x:c>
      <x:c r="G103" s="19" t="str">
        <x:v>R1.0</x:v>
      </x:c>
      <x:c r="H103" s="20" t="n">
        <x:f>XLOOKUP(A103,'菜品日销量'!$A$5:$A$1124,'菜品日销量'!$G$5:$G$1124,0)</x:f>
        <x:v>6</x:v>
      </x:c>
      <x:c r="I103" s="20" t="n">
        <x:f>ROUNDUP(H103/2,0)</x:f>
        <x:v>3</x:v>
      </x:c>
      <x:c r="J103" s="22" t="n">
        <x:f>SUMIFS('菜谱BOM'!$F$5:$F$160,'菜谱BOM'!$A$5:$A$160,E103,'菜谱BOM'!$C$5:$C$160,"食材")</x:f>
        <x:v>450</x:v>
      </x:c>
      <x:c r="K103" s="38" t="n">
        <x:v>0.00045835029530766217</x:v>
      </x:c>
      <x:c r="L103" s="35" t="n">
        <x:f>H103*J103*(1+K103)</x:f>
        <x:v>2701.2375457973308</x:v>
      </x:c>
      <x:c r="M103" s="35" t="n">
        <x:f>SUMIFS('菜谱BOM'!$F$5:$F$160,'菜谱BOM'!$A$5:$A$160,E103,'菜谱BOM'!$C$5:$C$160,"调料")</x:f>
        <x:v>42</x:v>
      </x:c>
      <x:c r="N103" s="38" t="n">
        <x:v>0.0004626278352138185</x:v>
      </x:c>
      <x:c r="O103" s="35" t="n">
        <x:f>H103*M103*(1+N103)</x:f>
        <x:v>252.11658221447388</x:v>
      </x:c>
      <x:c r="P103" s="19" t="str">
        <x:f>IF(ABS(N103)&gt;'封面与口径'!$O$25,"机器调料需复核",IF(ABS(K103)&gt;0.02,"人工称重需复核","正常"))</x:f>
        <x:v>正常</x:v>
      </x:c>
      <x:c r="Q103" s="19" t="str">
        <x:v>陈晨</x:v>
      </x:c>
    </x:row>
    <x:row r="104">
      <x:c r="A104" s="19" t="str">
        <x:v>2026-07-12|S01|D18</x:v>
      </x:c>
      <x:c r="B104" s="34" t="n">
        <x:v>46215.5</x:v>
      </x:c>
      <x:c r="C104" s="19" t="str">
        <x:v>S01</x:v>
      </x:c>
      <x:c r="D104" s="19" t="str">
        <x:v>近江天阳店</x:v>
      </x:c>
      <x:c r="E104" s="19" t="str">
        <x:v>D18</x:v>
      </x:c>
      <x:c r="F104" s="19" t="str">
        <x:v>青椒炒油麦菜</x:v>
      </x:c>
      <x:c r="G104" s="19" t="str">
        <x:v>R1.0</x:v>
      </x:c>
      <x:c r="H104" s="20" t="n">
        <x:f>XLOOKUP(A104,'菜品日销量'!$A$5:$A$1124,'菜品日销量'!$G$5:$G$1124,0)</x:f>
        <x:v>8</x:v>
      </x:c>
      <x:c r="I104" s="20" t="n">
        <x:f>ROUNDUP(H104/2,0)</x:f>
        <x:v>4</x:v>
      </x:c>
      <x:c r="J104" s="22" t="n">
        <x:f>SUMIFS('菜谱BOM'!$F$5:$F$160,'菜谱BOM'!$A$5:$A$160,E104,'菜谱BOM'!$C$5:$C$160,"食材")</x:f>
        <x:v>430</x:v>
      </x:c>
      <x:c r="K104" s="38" t="n">
        <x:v>-0.0031252173472021746</x:v>
      </x:c>
      <x:c r="L104" s="35" t="n">
        <x:f>H104*J104*(1+K104)</x:f>
        <x:v>3429.2492523256246</x:v>
      </x:c>
      <x:c r="M104" s="35" t="n">
        <x:f>SUMIFS('菜谱BOM'!$F$5:$F$160,'菜谱BOM'!$A$5:$A$160,E104,'菜谱BOM'!$C$5:$C$160,"调料")</x:f>
        <x:v>33</x:v>
      </x:c>
      <x:c r="N104" s="38" t="n">
        <x:v>0.0019176706168608907</x:v>
      </x:c>
      <x:c r="O104" s="35" t="n">
        <x:f>H104*M104*(1+N104)</x:f>
        <x:v>264.5062650428513</x:v>
      </x:c>
      <x:c r="P104" s="19" t="str">
        <x:f>IF(ABS(N104)&gt;'封面与口径'!$O$25,"机器调料需复核",IF(ABS(K104)&gt;0.02,"人工称重需复核","正常"))</x:f>
        <x:v>正常</x:v>
      </x:c>
      <x:c r="Q104" s="19" t="str">
        <x:v>陈晨</x:v>
      </x:c>
    </x:row>
    <x:row r="105">
      <x:c r="A105" s="19" t="str">
        <x:v>2026-07-12|S01|D19</x:v>
      </x:c>
      <x:c r="B105" s="34" t="n">
        <x:v>46215.5</x:v>
      </x:c>
      <x:c r="C105" s="19" t="str">
        <x:v>S01</x:v>
      </x:c>
      <x:c r="D105" s="19" t="str">
        <x:v>近江天阳店</x:v>
      </x:c>
      <x:c r="E105" s="19" t="str">
        <x:v>D19</x:v>
      </x:c>
      <x:c r="F105" s="19" t="str">
        <x:v>酸萝卜炒鸡杂</x:v>
      </x:c>
      <x:c r="G105" s="19" t="str">
        <x:v>R1.0</x:v>
      </x:c>
      <x:c r="H105" s="20" t="n">
        <x:f>XLOOKUP(A105,'菜品日销量'!$A$5:$A$1124,'菜品日销量'!$G$5:$G$1124,0)</x:f>
        <x:v>5</x:v>
      </x:c>
      <x:c r="I105" s="20" t="n">
        <x:f>ROUNDUP(H105/2,0)</x:f>
        <x:v>3</x:v>
      </x:c>
      <x:c r="J105" s="22" t="n">
        <x:f>SUMIFS('菜谱BOM'!$F$5:$F$160,'菜谱BOM'!$A$5:$A$160,E105,'菜谱BOM'!$C$5:$C$160,"食材")</x:f>
        <x:v>500</x:v>
      </x:c>
      <x:c r="K105" s="38" t="n">
        <x:v>-0.0028121720205089478</x:v>
      </x:c>
      <x:c r="L105" s="35" t="n">
        <x:f>H105*J105*(1+K105)</x:f>
        <x:v>2492.9695699487274</x:v>
      </x:c>
      <x:c r="M105" s="35" t="n">
        <x:f>SUMIFS('菜谱BOM'!$F$5:$F$160,'菜谱BOM'!$A$5:$A$160,E105,'菜谱BOM'!$C$5:$C$160,"调料")</x:f>
        <x:v>55</x:v>
      </x:c>
      <x:c r="N105" s="38" t="n">
        <x:v>0.0013379342899047617</x:v>
      </x:c>
      <x:c r="O105" s="35" t="n">
        <x:f>H105*M105*(1+N105)</x:f>
        <x:v>275.3679319297238</x:v>
      </x:c>
      <x:c r="P105" s="19" t="str">
        <x:f>IF(ABS(N105)&gt;'封面与口径'!$O$25,"机器调料需复核",IF(ABS(K105)&gt;0.02,"人工称重需复核","正常"))</x:f>
        <x:v>正常</x:v>
      </x:c>
      <x:c r="Q105" s="19" t="str">
        <x:v>陈晨</x:v>
      </x:c>
    </x:row>
    <x:row r="106">
      <x:c r="A106" s="19" t="str">
        <x:v>2026-07-12|S01|D20</x:v>
      </x:c>
      <x:c r="B106" s="34" t="n">
        <x:v>46215.5</x:v>
      </x:c>
      <x:c r="C106" s="19" t="str">
        <x:v>S01</x:v>
      </x:c>
      <x:c r="D106" s="19" t="str">
        <x:v>近江天阳店</x:v>
      </x:c>
      <x:c r="E106" s="19" t="str">
        <x:v>D20</x:v>
      </x:c>
      <x:c r="F106" s="19" t="str">
        <x:v>雪菜肉末青豆</x:v>
      </x:c>
      <x:c r="G106" s="19" t="str">
        <x:v>R1.0</x:v>
      </x:c>
      <x:c r="H106" s="20" t="n">
        <x:f>XLOOKUP(A106,'菜品日销量'!$A$5:$A$1124,'菜品日销量'!$G$5:$G$1124,0)</x:f>
        <x:v>7</x:v>
      </x:c>
      <x:c r="I106" s="20" t="n">
        <x:f>ROUNDUP(H106/2,0)</x:f>
        <x:v>4</x:v>
      </x:c>
      <x:c r="J106" s="22" t="n">
        <x:f>SUMIFS('菜谱BOM'!$F$5:$F$160,'菜谱BOM'!$A$5:$A$160,E106,'菜谱BOM'!$C$5:$C$160,"食材")</x:f>
        <x:v>465</x:v>
      </x:c>
      <x:c r="K106" s="38" t="n">
        <x:v>-0.006944868068896437</x:v>
      </x:c>
      <x:c r="L106" s="35" t="n">
        <x:f>H106*J106*(1+K106)</x:f>
        <x:v>3232.3944544357423</x:v>
      </x:c>
      <x:c r="M106" s="35" t="n">
        <x:f>SUMIFS('菜谱BOM'!$F$5:$F$160,'菜谱BOM'!$A$5:$A$160,E106,'菜谱BOM'!$C$5:$C$160,"调料")</x:f>
        <x:v>32</x:v>
      </x:c>
      <x:c r="N106" s="38" t="n">
        <x:v>-0.0019569334760207993</x:v>
      </x:c>
      <x:c r="O106" s="35" t="n">
        <x:f>H106*M106*(1+N106)</x:f>
        <x:v>223.56164690137135</x:v>
      </x:c>
      <x:c r="P106" s="19" t="str">
        <x:f>IF(ABS(N106)&gt;'封面与口径'!$O$25,"机器调料需复核",IF(ABS(K106)&gt;0.02,"人工称重需复核","正常"))</x:f>
        <x:v>正常</x:v>
      </x:c>
      <x:c r="Q106" s="19" t="str">
        <x:v>陈晨</x:v>
      </x:c>
    </x:row>
    <x:row r="107">
      <x:c r="A107" s="19" t="str">
        <x:v>2026-07-13|S01|D01</x:v>
      </x:c>
      <x:c r="B107" s="34" t="n">
        <x:v>46216.5</x:v>
      </x:c>
      <x:c r="C107" s="19" t="str">
        <x:v>S01</x:v>
      </x:c>
      <x:c r="D107" s="19" t="str">
        <x:v>近江天阳店</x:v>
      </x:c>
      <x:c r="E107" s="19" t="str">
        <x:v>D01</x:v>
      </x:c>
      <x:c r="F107" s="19" t="str">
        <x:v>辣椒炒肉</x:v>
      </x:c>
      <x:c r="G107" s="19" t="str">
        <x:v>R2.3</x:v>
      </x:c>
      <x:c r="H107" s="20" t="n">
        <x:f>XLOOKUP(A107,'菜品日销量'!$A$5:$A$1124,'菜品日销量'!$G$5:$G$1124,0)</x:f>
        <x:v>62</x:v>
      </x:c>
      <x:c r="I107" s="20" t="n">
        <x:f>ROUNDUP(H107/2,0)</x:f>
        <x:v>31</x:v>
      </x:c>
      <x:c r="J107" s="22" t="n">
        <x:f>SUMIFS('菜谱BOM'!$F$5:$F$160,'菜谱BOM'!$A$5:$A$160,E107,'菜谱BOM'!$C$5:$C$160,"食材")</x:f>
        <x:v>550</x:v>
      </x:c>
      <x:c r="K107" s="38" t="n">
        <x:v>0.0024246788607967746</x:v>
      </x:c>
      <x:c r="L107" s="35" t="n">
        <x:f>H107*J107*(1+K107)</x:f>
        <x:v>34182.68154915317</x:v>
      </x:c>
      <x:c r="M107" s="35" t="n">
        <x:f>SUMIFS('菜谱BOM'!$F$5:$F$160,'菜谱BOM'!$A$5:$A$160,E107,'菜谱BOM'!$C$5:$C$160,"调料")</x:f>
        <x:v>104</x:v>
      </x:c>
      <x:c r="N107" s="38" t="n">
        <x:v>0.00006637934829722614</x:v>
      </x:c>
      <x:c r="O107" s="35" t="n">
        <x:f>H107*M107*(1+N107)</x:f>
        <x:v>6448.42801403782</x:v>
      </x:c>
      <x:c r="P107" s="19" t="str">
        <x:f>IF(ABS(N107)&gt;'封面与口径'!$O$25,"机器调料需复核",IF(ABS(K107)&gt;0.02,"人工称重需复核","正常"))</x:f>
        <x:v>正常</x:v>
      </x:c>
      <x:c r="Q107" s="19" t="str">
        <x:v>陈晨</x:v>
      </x:c>
    </x:row>
    <x:row r="108">
      <x:c r="A108" s="19" t="str">
        <x:v>2026-07-13|S01|D02</x:v>
      </x:c>
      <x:c r="B108" s="34" t="n">
        <x:v>46216.5</x:v>
      </x:c>
      <x:c r="C108" s="19" t="str">
        <x:v>S01</x:v>
      </x:c>
      <x:c r="D108" s="19" t="str">
        <x:v>近江天阳店</x:v>
      </x:c>
      <x:c r="E108" s="19" t="str">
        <x:v>D02</x:v>
      </x:c>
      <x:c r="F108" s="19" t="str">
        <x:v>小炒黄牛肉</x:v>
      </x:c>
      <x:c r="G108" s="19" t="str">
        <x:v>R2.3</x:v>
      </x:c>
      <x:c r="H108" s="20" t="n">
        <x:f>XLOOKUP(A108,'菜品日销量'!$A$5:$A$1124,'菜品日销量'!$G$5:$G$1124,0)</x:f>
        <x:v>37</x:v>
      </x:c>
      <x:c r="I108" s="20" t="n">
        <x:f>ROUNDUP(H108/2,0)</x:f>
        <x:v>19</x:v>
      </x:c>
      <x:c r="J108" s="22" t="n">
        <x:f>SUMIFS('菜谱BOM'!$F$5:$F$160,'菜谱BOM'!$A$5:$A$160,E108,'菜谱BOM'!$C$5:$C$160,"食材")</x:f>
        <x:v>560</x:v>
      </x:c>
      <x:c r="K108" s="38" t="n">
        <x:v>0.0045021032869122235</x:v>
      </x:c>
      <x:c r="L108" s="35" t="n">
        <x:f>H108*J108*(1+K108)</x:f>
        <x:v>20813.28358010482</x:v>
      </x:c>
      <x:c r="M108" s="35" t="n">
        <x:f>SUMIFS('菜谱BOM'!$F$5:$F$160,'菜谱BOM'!$A$5:$A$160,E108,'菜谱BOM'!$C$5:$C$160,"调料")</x:f>
        <x:v>133</x:v>
      </x:c>
      <x:c r="N108" s="38" t="n">
        <x:v>0.0014113738516837763</x:v>
      </x:c>
      <x:c r="O108" s="35" t="n">
        <x:f>H108*M108*(1+N108)</x:f>
        <x:v>4927.945370724136</x:v>
      </x:c>
      <x:c r="P108" s="19" t="str">
        <x:f>IF(ABS(N108)&gt;'封面与口径'!$O$25,"机器调料需复核",IF(ABS(K108)&gt;0.02,"人工称重需复核","正常"))</x:f>
        <x:v>正常</x:v>
      </x:c>
      <x:c r="Q108" s="19" t="str">
        <x:v>陈晨</x:v>
      </x:c>
    </x:row>
    <x:row r="109">
      <x:c r="A109" s="19" t="str">
        <x:v>2026-07-13|S01|D03</x:v>
      </x:c>
      <x:c r="B109" s="34" t="n">
        <x:v>46216.5</x:v>
      </x:c>
      <x:c r="C109" s="19" t="str">
        <x:v>S01</x:v>
      </x:c>
      <x:c r="D109" s="19" t="str">
        <x:v>近江天阳店</x:v>
      </x:c>
      <x:c r="E109" s="19" t="str">
        <x:v>D03</x:v>
      </x:c>
      <x:c r="F109" s="19" t="str">
        <x:v>香醋炒蛋</x:v>
      </x:c>
      <x:c r="G109" s="19" t="str">
        <x:v>R1.0</x:v>
      </x:c>
      <x:c r="H109" s="20" t="n">
        <x:f>XLOOKUP(A109,'菜品日销量'!$A$5:$A$1124,'菜品日销量'!$G$5:$G$1124,0)</x:f>
        <x:v>50</x:v>
      </x:c>
      <x:c r="I109" s="20" t="n">
        <x:f>ROUNDUP(H109/2,0)</x:f>
        <x:v>25</x:v>
      </x:c>
      <x:c r="J109" s="22" t="n">
        <x:f>SUMIFS('菜谱BOM'!$F$5:$F$160,'菜谱BOM'!$A$5:$A$160,E109,'菜谱BOM'!$C$5:$C$160,"食材")</x:f>
        <x:v>300</x:v>
      </x:c>
      <x:c r="K109" s="38" t="n">
        <x:v>-0.0054133208797809956</x:v>
      </x:c>
      <x:c r="L109" s="35" t="n">
        <x:f>H109*J109*(1+K109)</x:f>
        <x:v>14918.800186803286</x:v>
      </x:c>
      <x:c r="M109" s="35" t="n">
        <x:f>SUMIFS('菜谱BOM'!$F$5:$F$160,'菜谱BOM'!$A$5:$A$160,E109,'菜谱BOM'!$C$5:$C$160,"调料")</x:f>
        <x:v>53</x:v>
      </x:c>
      <x:c r="N109" s="38" t="n">
        <x:v>-0.001481348343072773</x:v>
      </x:c>
      <x:c r="O109" s="35" t="n">
        <x:f>H109*M109*(1+N109)</x:f>
        <x:v>2646.074426890857</x:v>
      </x:c>
      <x:c r="P109" s="19" t="str">
        <x:f>IF(ABS(N109)&gt;'封面与口径'!$O$25,"机器调料需复核",IF(ABS(K109)&gt;0.02,"人工称重需复核","正常"))</x:f>
        <x:v>正常</x:v>
      </x:c>
      <x:c r="Q109" s="19" t="str">
        <x:v>陈晨</x:v>
      </x:c>
    </x:row>
    <x:row r="110">
      <x:c r="A110" s="19" t="str">
        <x:v>2026-07-13|S01|D04</x:v>
      </x:c>
      <x:c r="B110" s="34" t="n">
        <x:v>46216.5</x:v>
      </x:c>
      <x:c r="C110" s="19" t="str">
        <x:v>S01</x:v>
      </x:c>
      <x:c r="D110" s="19" t="str">
        <x:v>近江天阳店</x:v>
      </x:c>
      <x:c r="E110" s="19" t="str">
        <x:v>D04</x:v>
      </x:c>
      <x:c r="F110" s="19" t="str">
        <x:v>酸包菜炒粉皮</x:v>
      </x:c>
      <x:c r="G110" s="19" t="str">
        <x:v>R1.0</x:v>
      </x:c>
      <x:c r="H110" s="20" t="n">
        <x:f>XLOOKUP(A110,'菜品日销量'!$A$5:$A$1124,'菜品日销量'!$G$5:$G$1124,0)</x:f>
        <x:v>48</x:v>
      </x:c>
      <x:c r="I110" s="20" t="n">
        <x:f>ROUNDUP(H110/2,0)</x:f>
        <x:v>24</x:v>
      </x:c>
      <x:c r="J110" s="22" t="n">
        <x:f>SUMIFS('菜谱BOM'!$F$5:$F$160,'菜谱BOM'!$A$5:$A$160,E110,'菜谱BOM'!$C$5:$C$160,"食材")</x:f>
        <x:v>380</x:v>
      </x:c>
      <x:c r="K110" s="38" t="n">
        <x:v>-0.0024148761840571825</x:v>
      </x:c>
      <x:c r="L110" s="35" t="n">
        <x:f>H110*J110*(1+K110)</x:f>
        <x:v>18195.952658402795</x:v>
      </x:c>
      <x:c r="M110" s="35" t="n">
        <x:f>SUMIFS('菜谱BOM'!$F$5:$F$160,'菜谱BOM'!$A$5:$A$160,E110,'菜谱BOM'!$C$5:$C$160,"调料")</x:f>
        <x:v>47</x:v>
      </x:c>
      <x:c r="N110" s="38" t="n">
        <x:v>0.0014920311680743543</x:v>
      </x:c>
      <x:c r="O110" s="35" t="n">
        <x:f>H110*M110*(1+N110)</x:f>
        <x:v>2259.366022315176</x:v>
      </x:c>
      <x:c r="P110" s="19" t="str">
        <x:f>IF(ABS(N110)&gt;'封面与口径'!$O$25,"机器调料需复核",IF(ABS(K110)&gt;0.02,"人工称重需复核","正常"))</x:f>
        <x:v>正常</x:v>
      </x:c>
      <x:c r="Q110" s="19" t="str">
        <x:v>陈晨</x:v>
      </x:c>
    </x:row>
    <x:row r="111">
      <x:c r="A111" s="19" t="str">
        <x:v>2026-07-13|S01|D05</x:v>
      </x:c>
      <x:c r="B111" s="34" t="n">
        <x:v>46216.5</x:v>
      </x:c>
      <x:c r="C111" s="19" t="str">
        <x:v>S01</x:v>
      </x:c>
      <x:c r="D111" s="19" t="str">
        <x:v>近江天阳店</x:v>
      </x:c>
      <x:c r="E111" s="19" t="str">
        <x:v>D05</x:v>
      </x:c>
      <x:c r="F111" s="19" t="str">
        <x:v>麻婆豆腐</x:v>
      </x:c>
      <x:c r="G111" s="19" t="str">
        <x:v>R1.0</x:v>
      </x:c>
      <x:c r="H111" s="20" t="n">
        <x:f>XLOOKUP(A111,'菜品日销量'!$A$5:$A$1124,'菜品日销量'!$G$5:$G$1124,0)</x:f>
        <x:v>66</x:v>
      </x:c>
      <x:c r="I111" s="20" t="n">
        <x:f>ROUNDUP(H111/2,0)</x:f>
        <x:v>33</x:v>
      </x:c>
      <x:c r="J111" s="22" t="n">
        <x:f>SUMIFS('菜谱BOM'!$F$5:$F$160,'菜谱BOM'!$A$5:$A$160,E111,'菜谱BOM'!$C$5:$C$160,"食材")</x:f>
        <x:v>505</x:v>
      </x:c>
      <x:c r="K111" s="38" t="n">
        <x:v>0.004849453821044755</x:v>
      </x:c>
      <x:c r="L111" s="35" t="n">
        <x:f>H111*J111*(1+K111)</x:f>
        <x:v>33491.63229585542</x:v>
      </x:c>
      <x:c r="M111" s="35" t="n">
        <x:f>SUMIFS('菜谱BOM'!$F$5:$F$160,'菜谱BOM'!$A$5:$A$160,E111,'菜谱BOM'!$C$5:$C$160,"调料")</x:f>
        <x:v>90</x:v>
      </x:c>
      <x:c r="N111" s="38" t="n">
        <x:v>-0.0012503798993421672</x:v>
      </x:c>
      <x:c r="O111" s="35" t="n">
        <x:f>H111*M111*(1+N111)</x:f>
        <x:v>5932.572743397907</x:v>
      </x:c>
      <x:c r="P111" s="19" t="str">
        <x:f>IF(ABS(N111)&gt;'封面与口径'!$O$25,"机器调料需复核",IF(ABS(K111)&gt;0.02,"人工称重需复核","正常"))</x:f>
        <x:v>正常</x:v>
      </x:c>
      <x:c r="Q111" s="19" t="str">
        <x:v>陈晨</x:v>
      </x:c>
    </x:row>
    <x:row r="112">
      <x:c r="A112" s="19" t="str">
        <x:v>2026-07-13|S01|D07</x:v>
      </x:c>
      <x:c r="B112" s="34" t="n">
        <x:v>46216.5</x:v>
      </x:c>
      <x:c r="C112" s="19" t="str">
        <x:v>S01</x:v>
      </x:c>
      <x:c r="D112" s="19" t="str">
        <x:v>近江天阳店</x:v>
      </x:c>
      <x:c r="E112" s="19" t="str">
        <x:v>D07</x:v>
      </x:c>
      <x:c r="F112" s="19" t="str">
        <x:v>川味回锅肉</x:v>
      </x:c>
      <x:c r="G112" s="19" t="str">
        <x:v>R1.0</x:v>
      </x:c>
      <x:c r="H112" s="20" t="n">
        <x:f>XLOOKUP(A112,'菜品日销量'!$A$5:$A$1124,'菜品日销量'!$G$5:$G$1124,0)</x:f>
        <x:v>19</x:v>
      </x:c>
      <x:c r="I112" s="20" t="n">
        <x:f>ROUNDUP(H112/2,0)</x:f>
        <x:v>10</x:v>
      </x:c>
      <x:c r="J112" s="22" t="n">
        <x:f>SUMIFS('菜谱BOM'!$F$5:$F$160,'菜谱BOM'!$A$5:$A$160,E112,'菜谱BOM'!$C$5:$C$160,"食材")</x:f>
        <x:v>450</x:v>
      </x:c>
      <x:c r="K112" s="38" t="n">
        <x:v>-0.007267005529084012</x:v>
      </x:c>
      <x:c r="L112" s="35" t="n">
        <x:f>H112*J112*(1+K112)</x:f>
        <x:v>8487.867102726332</x:v>
      </x:c>
      <x:c r="M112" s="35" t="n">
        <x:f>SUMIFS('菜谱BOM'!$F$5:$F$160,'菜谱BOM'!$A$5:$A$160,E112,'菜谱BOM'!$C$5:$C$160,"调料")</x:f>
        <x:v>63</x:v>
      </x:c>
      <x:c r="N112" s="38" t="n">
        <x:v>0.001449990187643559</x:v>
      </x:c>
      <x:c r="O112" s="35" t="n">
        <x:f>H112*M112*(1+N112)</x:f>
        <x:v>1198.7356382546093</x:v>
      </x:c>
      <x:c r="P112" s="19" t="str">
        <x:f>IF(ABS(N112)&gt;'封面与口径'!$O$25,"机器调料需复核",IF(ABS(K112)&gt;0.02,"人工称重需复核","正常"))</x:f>
        <x:v>正常</x:v>
      </x:c>
      <x:c r="Q112" s="19" t="str">
        <x:v>陈晨</x:v>
      </x:c>
    </x:row>
    <x:row r="113">
      <x:c r="A113" s="19" t="str">
        <x:v>2026-07-13|S01|D08</x:v>
      </x:c>
      <x:c r="B113" s="34" t="n">
        <x:v>46216.5</x:v>
      </x:c>
      <x:c r="C113" s="19" t="str">
        <x:v>S01</x:v>
      </x:c>
      <x:c r="D113" s="19" t="str">
        <x:v>近江天阳店</x:v>
      </x:c>
      <x:c r="E113" s="19" t="str">
        <x:v>D08</x:v>
      </x:c>
      <x:c r="F113" s="19" t="str">
        <x:v>生炒清远鸡</x:v>
      </x:c>
      <x:c r="G113" s="19" t="str">
        <x:v>R1.0</x:v>
      </x:c>
      <x:c r="H113" s="20" t="n">
        <x:f>XLOOKUP(A113,'菜品日销量'!$A$5:$A$1124,'菜品日销量'!$G$5:$G$1124,0)</x:f>
        <x:v>14</x:v>
      </x:c>
      <x:c r="I113" s="20" t="n">
        <x:f>ROUNDUP(H113/2,0)</x:f>
        <x:v>7</x:v>
      </x:c>
      <x:c r="J113" s="22" t="n">
        <x:f>SUMIFS('菜谱BOM'!$F$5:$F$160,'菜谱BOM'!$A$5:$A$160,E113,'菜谱BOM'!$C$5:$C$160,"食材")</x:f>
        <x:v>610</x:v>
      </x:c>
      <x:c r="K113" s="38" t="n">
        <x:v>-0.0039964832132674015</x:v>
      </x:c>
      <x:c r="L113" s="35" t="n">
        <x:f>H113*J113*(1+K113)</x:f>
        <x:v>8505.870033358697</x:v>
      </x:c>
      <x:c r="M113" s="35" t="n">
        <x:f>SUMIFS('菜谱BOM'!$F$5:$F$160,'菜谱BOM'!$A$5:$A$160,E113,'菜谱BOM'!$C$5:$C$160,"调料")</x:f>
        <x:v>61</x:v>
      </x:c>
      <x:c r="N113" s="38" t="n">
        <x:v>0.0005746837329526162</x:v>
      </x:c>
      <x:c r="O113" s="35" t="n">
        <x:f>H113*M113*(1+N113)</x:f>
        <x:v>854.4907799079415</x:v>
      </x:c>
      <x:c r="P113" s="19" t="str">
        <x:f>IF(ABS(N113)&gt;'封面与口径'!$O$25,"机器调料需复核",IF(ABS(K113)&gt;0.02,"人工称重需复核","正常"))</x:f>
        <x:v>正常</x:v>
      </x:c>
      <x:c r="Q113" s="19" t="str">
        <x:v>陈晨</x:v>
      </x:c>
    </x:row>
    <x:row r="114">
      <x:c r="A114" s="19" t="str">
        <x:v>2026-07-13|S01|D09</x:v>
      </x:c>
      <x:c r="B114" s="34" t="n">
        <x:v>46216.5</x:v>
      </x:c>
      <x:c r="C114" s="19" t="str">
        <x:v>S01</x:v>
      </x:c>
      <x:c r="D114" s="19" t="str">
        <x:v>近江天阳店</x:v>
      </x:c>
      <x:c r="E114" s="19" t="str">
        <x:v>D09</x:v>
      </x:c>
      <x:c r="F114" s="19" t="str">
        <x:v>炒豆干</x:v>
      </x:c>
      <x:c r="G114" s="19" t="str">
        <x:v>R1.0</x:v>
      </x:c>
      <x:c r="H114" s="20" t="n">
        <x:f>XLOOKUP(A114,'菜品日销量'!$A$5:$A$1124,'菜品日销量'!$G$5:$G$1124,0)</x:f>
        <x:v>21</x:v>
      </x:c>
      <x:c r="I114" s="20" t="n">
        <x:f>ROUNDUP(H114/2,0)</x:f>
        <x:v>11</x:v>
      </x:c>
      <x:c r="J114" s="22" t="n">
        <x:f>SUMIFS('菜谱BOM'!$F$5:$F$160,'菜谱BOM'!$A$5:$A$160,E114,'菜谱BOM'!$C$5:$C$160,"食材")</x:f>
        <x:v>520</x:v>
      </x:c>
      <x:c r="K114" s="38" t="n">
        <x:v>-0.005077766987746061</x:v>
      </x:c>
      <x:c r="L114" s="35" t="n">
        <x:f>H114*J114*(1+K114)</x:f>
        <x:v>10864.550784493813</x:v>
      </x:c>
      <x:c r="M114" s="35" t="n">
        <x:f>SUMIFS('菜谱BOM'!$F$5:$F$160,'菜谱BOM'!$A$5:$A$160,E114,'菜谱BOM'!$C$5:$C$160,"调料")</x:f>
        <x:v>42</x:v>
      </x:c>
      <x:c r="N114" s="38" t="n">
        <x:v>0.001680958631374165</x:v>
      </x:c>
      <x:c r="O114" s="35" t="n">
        <x:f>H114*M114*(1+N114)</x:f>
        <x:v>883.482605512872</x:v>
      </x:c>
      <x:c r="P114" s="19" t="str">
        <x:f>IF(ABS(N114)&gt;'封面与口径'!$O$25,"机器调料需复核",IF(ABS(K114)&gt;0.02,"人工称重需复核","正常"))</x:f>
        <x:v>正常</x:v>
      </x:c>
      <x:c r="Q114" s="19" t="str">
        <x:v>陈晨</x:v>
      </x:c>
    </x:row>
    <x:row r="115">
      <x:c r="A115" s="19" t="str">
        <x:v>2026-07-13|S01|D10</x:v>
      </x:c>
      <x:c r="B115" s="34" t="n">
        <x:v>46216.5</x:v>
      </x:c>
      <x:c r="C115" s="19" t="str">
        <x:v>S01</x:v>
      </x:c>
      <x:c r="D115" s="19" t="str">
        <x:v>近江天阳店</x:v>
      </x:c>
      <x:c r="E115" s="19" t="str">
        <x:v>D10</x:v>
      </x:c>
      <x:c r="F115" s="19" t="str">
        <x:v>农家一碗香</x:v>
      </x:c>
      <x:c r="G115" s="19" t="str">
        <x:v>R2.3</x:v>
      </x:c>
      <x:c r="H115" s="20" t="n">
        <x:f>XLOOKUP(A115,'菜品日销量'!$A$5:$A$1124,'菜品日销量'!$G$5:$G$1124,0)</x:f>
        <x:v>21</x:v>
      </x:c>
      <x:c r="I115" s="20" t="n">
        <x:f>ROUNDUP(H115/2,0)</x:f>
        <x:v>11</x:v>
      </x:c>
      <x:c r="J115" s="22" t="n">
        <x:f>SUMIFS('菜谱BOM'!$F$5:$F$160,'菜谱BOM'!$A$5:$A$160,E115,'菜谱BOM'!$C$5:$C$160,"食材")</x:f>
        <x:v>510</x:v>
      </x:c>
      <x:c r="K115" s="38" t="n">
        <x:v>0.005425559840496993</x:v>
      </x:c>
      <x:c r="L115" s="35" t="n">
        <x:f>H115*J115*(1+K115)</x:f>
        <x:v>10768.107745891724</x:v>
      </x:c>
      <x:c r="M115" s="35" t="n">
        <x:f>SUMIFS('菜谱BOM'!$F$5:$F$160,'菜谱BOM'!$A$5:$A$160,E115,'菜谱BOM'!$C$5:$C$160,"调料")</x:f>
        <x:v>88</x:v>
      </x:c>
      <x:c r="N115" s="38" t="n">
        <x:v>0.00035967231596812434</x:v>
      </x:c>
      <x:c r="O115" s="35" t="n">
        <x:f>H115*M115*(1+N115)</x:f>
        <x:v>1848.6646744399093</x:v>
      </x:c>
      <x:c r="P115" s="19" t="str">
        <x:f>IF(ABS(N115)&gt;'封面与口径'!$O$25,"机器调料需复核",IF(ABS(K115)&gt;0.02,"人工称重需复核","正常"))</x:f>
        <x:v>正常</x:v>
      </x:c>
      <x:c r="Q115" s="19" t="str">
        <x:v>陈晨</x:v>
      </x:c>
    </x:row>
    <x:row r="116">
      <x:c r="A116" s="19" t="str">
        <x:v>2026-07-13|S01|D11</x:v>
      </x:c>
      <x:c r="B116" s="34" t="n">
        <x:v>46216.5</x:v>
      </x:c>
      <x:c r="C116" s="19" t="str">
        <x:v>S01</x:v>
      </x:c>
      <x:c r="D116" s="19" t="str">
        <x:v>近江天阳店</x:v>
      </x:c>
      <x:c r="E116" s="19" t="str">
        <x:v>D11</x:v>
      </x:c>
      <x:c r="F116" s="19" t="str">
        <x:v>香辣爆肥肠</x:v>
      </x:c>
      <x:c r="G116" s="19" t="str">
        <x:v>R1.0</x:v>
      </x:c>
      <x:c r="H116" s="20" t="n">
        <x:f>XLOOKUP(A116,'菜品日销量'!$A$5:$A$1124,'菜品日销量'!$G$5:$G$1124,0)</x:f>
        <x:v>9</x:v>
      </x:c>
      <x:c r="I116" s="20" t="n">
        <x:f>ROUNDUP(H116/2,0)</x:f>
        <x:v>5</x:v>
      </x:c>
      <x:c r="J116" s="22" t="n">
        <x:f>SUMIFS('菜谱BOM'!$F$5:$F$160,'菜谱BOM'!$A$5:$A$160,E116,'菜谱BOM'!$C$5:$C$160,"食材")</x:f>
        <x:v>430</x:v>
      </x:c>
      <x:c r="K116" s="38" t="n">
        <x:v>0.002841883795997566</x:v>
      </x:c>
      <x:c r="L116" s="35" t="n">
        <x:f>H116*J116*(1+K116)</x:f>
        <x:v>3880.998090290511</x:v>
      </x:c>
      <x:c r="M116" s="35" t="n">
        <x:f>SUMIFS('菜谱BOM'!$F$5:$F$160,'菜谱BOM'!$A$5:$A$160,E116,'菜谱BOM'!$C$5:$C$160,"调料")</x:f>
        <x:v>67</x:v>
      </x:c>
      <x:c r="N116" s="38" t="n">
        <x:v>-0.0007421020145393214</x:v>
      </x:c>
      <x:c r="O116" s="35" t="n">
        <x:f>H116*M116*(1+N116)</x:f>
        <x:v>602.5525124852328</x:v>
      </x:c>
      <x:c r="P116" s="19" t="str">
        <x:f>IF(ABS(N116)&gt;'封面与口径'!$O$25,"机器调料需复核",IF(ABS(K116)&gt;0.02,"人工称重需复核","正常"))</x:f>
        <x:v>正常</x:v>
      </x:c>
      <x:c r="Q116" s="19" t="str">
        <x:v>陈晨</x:v>
      </x:c>
    </x:row>
    <x:row r="117">
      <x:c r="A117" s="19" t="str">
        <x:v>2026-07-13|S01|D13</x:v>
      </x:c>
      <x:c r="B117" s="34" t="n">
        <x:v>46216.5</x:v>
      </x:c>
      <x:c r="C117" s="19" t="str">
        <x:v>S01</x:v>
      </x:c>
      <x:c r="D117" s="19" t="str">
        <x:v>近江天阳店</x:v>
      </x:c>
      <x:c r="E117" s="19" t="str">
        <x:v>D13</x:v>
      </x:c>
      <x:c r="F117" s="19" t="str">
        <x:v>外婆菜炒蛋</x:v>
      </x:c>
      <x:c r="G117" s="19" t="str">
        <x:v>R1.0</x:v>
      </x:c>
      <x:c r="H117" s="20" t="n">
        <x:f>XLOOKUP(A117,'菜品日销量'!$A$5:$A$1124,'菜品日销量'!$G$5:$G$1124,0)</x:f>
        <x:v>20</x:v>
      </x:c>
      <x:c r="I117" s="20" t="n">
        <x:f>ROUNDUP(H117/2,0)</x:f>
        <x:v>10</x:v>
      </x:c>
      <x:c r="J117" s="22" t="n">
        <x:f>SUMIFS('菜谱BOM'!$F$5:$F$160,'菜谱BOM'!$A$5:$A$160,E117,'菜谱BOM'!$C$5:$C$160,"食材")</x:f>
        <x:v>450</x:v>
      </x:c>
      <x:c r="K117" s="38" t="n">
        <x:v>-0.007574505127867336</x:v>
      </x:c>
      <x:c r="L117" s="35" t="n">
        <x:f>H117*J117*(1+K117)</x:f>
        <x:v>8931.829453849194</x:v>
      </x:c>
      <x:c r="M117" s="35" t="n">
        <x:f>SUMIFS('菜谱BOM'!$F$5:$F$160,'菜谱BOM'!$A$5:$A$160,E117,'菜谱BOM'!$C$5:$C$160,"调料")</x:f>
        <x:v>37</x:v>
      </x:c>
      <x:c r="N117" s="38" t="n">
        <x:v>-0.0012386919863612137</x:v>
      </x:c>
      <x:c r="O117" s="35" t="n">
        <x:f>H117*M117*(1+N117)</x:f>
        <x:v>739.0833679300928</x:v>
      </x:c>
      <x:c r="P117" s="19" t="str">
        <x:f>IF(ABS(N117)&gt;'封面与口径'!$O$25,"机器调料需复核",IF(ABS(K117)&gt;0.02,"人工称重需复核","正常"))</x:f>
        <x:v>正常</x:v>
      </x:c>
      <x:c r="Q117" s="19" t="str">
        <x:v>陈晨</x:v>
      </x:c>
    </x:row>
    <x:row r="118">
      <x:c r="A118" s="19" t="str">
        <x:v>2026-07-13|S01|D14</x:v>
      </x:c>
      <x:c r="B118" s="34" t="n">
        <x:v>46216.5</x:v>
      </x:c>
      <x:c r="C118" s="19" t="str">
        <x:v>S01</x:v>
      </x:c>
      <x:c r="D118" s="19" t="str">
        <x:v>近江天阳店</x:v>
      </x:c>
      <x:c r="E118" s="19" t="str">
        <x:v>D14</x:v>
      </x:c>
      <x:c r="F118" s="19" t="str">
        <x:v>酸辣鸡杂</x:v>
      </x:c>
      <x:c r="G118" s="19" t="str">
        <x:v>R1.0</x:v>
      </x:c>
      <x:c r="H118" s="20" t="n">
        <x:f>XLOOKUP(A118,'菜品日销量'!$A$5:$A$1124,'菜品日销量'!$G$5:$G$1124,0)</x:f>
        <x:v>12</x:v>
      </x:c>
      <x:c r="I118" s="20" t="n">
        <x:f>ROUNDUP(H118/2,0)</x:f>
        <x:v>6</x:v>
      </x:c>
      <x:c r="J118" s="22" t="n">
        <x:f>SUMIFS('菜谱BOM'!$F$5:$F$160,'菜谱BOM'!$A$5:$A$160,E118,'菜谱BOM'!$C$5:$C$160,"食材")</x:f>
        <x:v>470</x:v>
      </x:c>
      <x:c r="K118" s="38" t="n">
        <x:v>-0.007750981476099925</x:v>
      </x:c>
      <x:c r="L118" s="35" t="n">
        <x:f>H118*J118*(1+K118)</x:f>
        <x:v>5596.284464474797</x:v>
      </x:c>
      <x:c r="M118" s="35" t="n">
        <x:f>SUMIFS('菜谱BOM'!$F$5:$F$160,'菜谱BOM'!$A$5:$A$160,E118,'菜谱BOM'!$C$5:$C$160,"调料")</x:f>
        <x:v>60</x:v>
      </x:c>
      <x:c r="N118" s="38" t="n">
        <x:v>0.0019047658340783711</x:v>
      </x:c>
      <x:c r="O118" s="35" t="n">
        <x:f>H118*M118*(1+N118)</x:f>
        <x:v>721.3714314005364</x:v>
      </x:c>
      <x:c r="P118" s="19" t="str">
        <x:f>IF(ABS(N118)&gt;'封面与口径'!$O$25,"机器调料需复核",IF(ABS(K118)&gt;0.02,"人工称重需复核","正常"))</x:f>
        <x:v>正常</x:v>
      </x:c>
      <x:c r="Q118" s="19" t="str">
        <x:v>陈晨</x:v>
      </x:c>
    </x:row>
    <x:row r="119">
      <x:c r="A119" s="19" t="str">
        <x:v>2026-07-13|S01|D15</x:v>
      </x:c>
      <x:c r="B119" s="34" t="n">
        <x:v>46216.5</x:v>
      </x:c>
      <x:c r="C119" s="19" t="str">
        <x:v>S01</x:v>
      </x:c>
      <x:c r="D119" s="19" t="str">
        <x:v>近江天阳店</x:v>
      </x:c>
      <x:c r="E119" s="19" t="str">
        <x:v>D15</x:v>
      </x:c>
      <x:c r="F119" s="19" t="str">
        <x:v>湘西土匪猪肝</x:v>
      </x:c>
      <x:c r="G119" s="19" t="str">
        <x:v>R1.0</x:v>
      </x:c>
      <x:c r="H119" s="20" t="n">
        <x:f>XLOOKUP(A119,'菜品日销量'!$A$5:$A$1124,'菜品日销量'!$G$5:$G$1124,0)</x:f>
        <x:v>10</x:v>
      </x:c>
      <x:c r="I119" s="20" t="n">
        <x:f>ROUNDUP(H119/2,0)</x:f>
        <x:v>5</x:v>
      </x:c>
      <x:c r="J119" s="22" t="n">
        <x:f>SUMIFS('菜谱BOM'!$F$5:$F$160,'菜谱BOM'!$A$5:$A$160,E119,'菜谱BOM'!$C$5:$C$160,"食材")</x:f>
        <x:v>470</x:v>
      </x:c>
      <x:c r="K119" s="38" t="n">
        <x:v>0.00013355520556996404</x:v>
      </x:c>
      <x:c r="L119" s="35" t="n">
        <x:f>H119*J119*(1+K119)</x:f>
        <x:v>4700.627709466178</x:v>
      </x:c>
      <x:c r="M119" s="35" t="n">
        <x:f>SUMIFS('菜谱BOM'!$F$5:$F$160,'菜谱BOM'!$A$5:$A$160,E119,'菜谱BOM'!$C$5:$C$160,"调料")</x:f>
        <x:v>49</x:v>
      </x:c>
      <x:c r="N119" s="38" t="n">
        <x:v>0.0010946747900672897</x:v>
      </x:c>
      <x:c r="O119" s="35" t="n">
        <x:f>H119*M119*(1+N119)</x:f>
        <x:v>490.536390647133</x:v>
      </x:c>
      <x:c r="P119" s="19" t="str">
        <x:f>IF(ABS(N119)&gt;'封面与口径'!$O$25,"机器调料需复核",IF(ABS(K119)&gt;0.02,"人工称重需复核","正常"))</x:f>
        <x:v>正常</x:v>
      </x:c>
      <x:c r="Q119" s="19" t="str">
        <x:v>陈晨</x:v>
      </x:c>
    </x:row>
    <x:row r="120">
      <x:c r="A120" s="19" t="str">
        <x:v>2026-07-13|S01|D16</x:v>
      </x:c>
      <x:c r="B120" s="34" t="n">
        <x:v>46216.5</x:v>
      </x:c>
      <x:c r="C120" s="19" t="str">
        <x:v>S01</x:v>
      </x:c>
      <x:c r="D120" s="19" t="str">
        <x:v>近江天阳店</x:v>
      </x:c>
      <x:c r="E120" s="19" t="str">
        <x:v>D16</x:v>
      </x:c>
      <x:c r="F120" s="19" t="str">
        <x:v>小豆角炒五花</x:v>
      </x:c>
      <x:c r="G120" s="19" t="str">
        <x:v>R1.0</x:v>
      </x:c>
      <x:c r="H120" s="20" t="n">
        <x:f>XLOOKUP(A120,'菜品日销量'!$A$5:$A$1124,'菜品日销量'!$G$5:$G$1124,0)</x:f>
        <x:v>9</x:v>
      </x:c>
      <x:c r="I120" s="20" t="n">
        <x:f>ROUNDUP(H120/2,0)</x:f>
        <x:v>5</x:v>
      </x:c>
      <x:c r="J120" s="22" t="n">
        <x:f>SUMIFS('菜谱BOM'!$F$5:$F$160,'菜谱BOM'!$A$5:$A$160,E120,'菜谱BOM'!$C$5:$C$160,"食材")</x:f>
        <x:v>450</x:v>
      </x:c>
      <x:c r="K120" s="38" t="n">
        <x:v>0.0031152663964580897</x:v>
      </x:c>
      <x:c r="L120" s="35" t="n">
        <x:f>H120*J120*(1+K120)</x:f>
        <x:v>4062.616828905655</x:v>
      </x:c>
      <x:c r="M120" s="35" t="n">
        <x:f>SUMIFS('菜谱BOM'!$F$5:$F$160,'菜谱BOM'!$A$5:$A$160,E120,'菜谱BOM'!$C$5:$C$160,"调料")</x:f>
        <x:v>42</x:v>
      </x:c>
      <x:c r="N120" s="38" t="n">
        <x:v>-0.0017956282738120363</x:v>
      </x:c>
      <x:c r="O120" s="35" t="n">
        <x:f>H120*M120*(1+N120)</x:f>
        <x:v>377.32125251249903</x:v>
      </x:c>
      <x:c r="P120" s="19" t="str">
        <x:f>IF(ABS(N120)&gt;'封面与口径'!$O$25,"机器调料需复核",IF(ABS(K120)&gt;0.02,"人工称重需复核","正常"))</x:f>
        <x:v>正常</x:v>
      </x:c>
      <x:c r="Q120" s="19" t="str">
        <x:v>陈晨</x:v>
      </x:c>
    </x:row>
    <x:row r="121">
      <x:c r="A121" s="19" t="str">
        <x:v>2026-07-13|S01|D18</x:v>
      </x:c>
      <x:c r="B121" s="34" t="n">
        <x:v>46216.5</x:v>
      </x:c>
      <x:c r="C121" s="19" t="str">
        <x:v>S01</x:v>
      </x:c>
      <x:c r="D121" s="19" t="str">
        <x:v>近江天阳店</x:v>
      </x:c>
      <x:c r="E121" s="19" t="str">
        <x:v>D18</x:v>
      </x:c>
      <x:c r="F121" s="19" t="str">
        <x:v>青椒炒油麦菜</x:v>
      </x:c>
      <x:c r="G121" s="19" t="str">
        <x:v>R1.0</x:v>
      </x:c>
      <x:c r="H121" s="20" t="n">
        <x:f>XLOOKUP(A121,'菜品日销量'!$A$5:$A$1124,'菜品日销量'!$G$5:$G$1124,0)</x:f>
        <x:v>12</x:v>
      </x:c>
      <x:c r="I121" s="20" t="n">
        <x:f>ROUNDUP(H121/2,0)</x:f>
        <x:v>6</x:v>
      </x:c>
      <x:c r="J121" s="22" t="n">
        <x:f>SUMIFS('菜谱BOM'!$F$5:$F$160,'菜谱BOM'!$A$5:$A$160,E121,'菜谱BOM'!$C$5:$C$160,"食材")</x:f>
        <x:v>430</x:v>
      </x:c>
      <x:c r="K121" s="38" t="n">
        <x:v>0.003459249666766089</x:v>
      </x:c>
      <x:c r="L121" s="35" t="n">
        <x:f>H121*J121*(1+K121)</x:f>
        <x:v>5177.849728280513</x:v>
      </x:c>
      <x:c r="M121" s="35" t="n">
        <x:f>SUMIFS('菜谱BOM'!$F$5:$F$160,'菜谱BOM'!$A$5:$A$160,E121,'菜谱BOM'!$C$5:$C$160,"调料")</x:f>
        <x:v>33</x:v>
      </x:c>
      <x:c r="N121" s="38" t="n">
        <x:v>-0.0004506426748006238</x:v>
      </x:c>
      <x:c r="O121" s="35" t="n">
        <x:f>H121*M121*(1+N121)</x:f>
        <x:v>395.82154550077894</x:v>
      </x:c>
      <x:c r="P121" s="19" t="str">
        <x:f>IF(ABS(N121)&gt;'封面与口径'!$O$25,"机器调料需复核",IF(ABS(K121)&gt;0.02,"人工称重需复核","正常"))</x:f>
        <x:v>正常</x:v>
      </x:c>
      <x:c r="Q121" s="19" t="str">
        <x:v>陈晨</x:v>
      </x:c>
    </x:row>
    <x:row r="122">
      <x:c r="A122" s="19" t="str">
        <x:v>2026-07-13|S01|D19</x:v>
      </x:c>
      <x:c r="B122" s="34" t="n">
        <x:v>46216.5</x:v>
      </x:c>
      <x:c r="C122" s="19" t="str">
        <x:v>S01</x:v>
      </x:c>
      <x:c r="D122" s="19" t="str">
        <x:v>近江天阳店</x:v>
      </x:c>
      <x:c r="E122" s="19" t="str">
        <x:v>D19</x:v>
      </x:c>
      <x:c r="F122" s="19" t="str">
        <x:v>酸萝卜炒鸡杂</x:v>
      </x:c>
      <x:c r="G122" s="19" t="str">
        <x:v>R1.0</x:v>
      </x:c>
      <x:c r="H122" s="20" t="n">
        <x:f>XLOOKUP(A122,'菜品日销量'!$A$5:$A$1124,'菜品日销量'!$G$5:$G$1124,0)</x:f>
        <x:v>7</x:v>
      </x:c>
      <x:c r="I122" s="20" t="n">
        <x:f>ROUNDUP(H122/2,0)</x:f>
        <x:v>4</x:v>
      </x:c>
      <x:c r="J122" s="22" t="n">
        <x:f>SUMIFS('菜谱BOM'!$F$5:$F$160,'菜谱BOM'!$A$5:$A$160,E122,'菜谱BOM'!$C$5:$C$160,"食材")</x:f>
        <x:v>500</x:v>
      </x:c>
      <x:c r="K122" s="38" t="n">
        <x:v>0.0013549374214734265</x:v>
      </x:c>
      <x:c r="L122" s="35" t="n">
        <x:f>H122*J122*(1+K122)</x:f>
        <x:v>3504.742280975157</x:v>
      </x:c>
      <x:c r="M122" s="35" t="n">
        <x:f>SUMIFS('菜谱BOM'!$F$5:$F$160,'菜谱BOM'!$A$5:$A$160,E122,'菜谱BOM'!$C$5:$C$160,"调料")</x:f>
        <x:v>55</x:v>
      </x:c>
      <x:c r="N122" s="38" t="n">
        <x:v>0.00003087750590193972</x:v>
      </x:c>
      <x:c r="O122" s="35" t="n">
        <x:f>H122*M122*(1+N122)</x:f>
        <x:v>385.0118878397722</x:v>
      </x:c>
      <x:c r="P122" s="19" t="str">
        <x:f>IF(ABS(N122)&gt;'封面与口径'!$O$25,"机器调料需复核",IF(ABS(K122)&gt;0.02,"人工称重需复核","正常"))</x:f>
        <x:v>正常</x:v>
      </x:c>
      <x:c r="Q122" s="19" t="str">
        <x:v>陈晨</x:v>
      </x:c>
    </x:row>
    <x:row r="123">
      <x:c r="A123" s="19" t="str">
        <x:v>2026-07-13|S01|D20</x:v>
      </x:c>
      <x:c r="B123" s="34" t="n">
        <x:v>46216.5</x:v>
      </x:c>
      <x:c r="C123" s="19" t="str">
        <x:v>S01</x:v>
      </x:c>
      <x:c r="D123" s="19" t="str">
        <x:v>近江天阳店</x:v>
      </x:c>
      <x:c r="E123" s="19" t="str">
        <x:v>D20</x:v>
      </x:c>
      <x:c r="F123" s="19" t="str">
        <x:v>雪菜肉末青豆</x:v>
      </x:c>
      <x:c r="G123" s="19" t="str">
        <x:v>R1.0</x:v>
      </x:c>
      <x:c r="H123" s="20" t="n">
        <x:f>XLOOKUP(A123,'菜品日销量'!$A$5:$A$1124,'菜品日销量'!$G$5:$G$1124,0)</x:f>
        <x:v>11</x:v>
      </x:c>
      <x:c r="I123" s="20" t="n">
        <x:f>ROUNDUP(H123/2,0)</x:f>
        <x:v>6</x:v>
      </x:c>
      <x:c r="J123" s="22" t="n">
        <x:f>SUMIFS('菜谱BOM'!$F$5:$F$160,'菜谱BOM'!$A$5:$A$160,E123,'菜谱BOM'!$C$5:$C$160,"食材")</x:f>
        <x:v>465</x:v>
      </x:c>
      <x:c r="K123" s="38" t="n">
        <x:v>0.005195402506085905</x:v>
      </x:c>
      <x:c r="L123" s="35" t="n">
        <x:f>H123*J123*(1+K123)</x:f>
        <x:v>5141.574483818629</x:v>
      </x:c>
      <x:c r="M123" s="35" t="n">
        <x:f>SUMIFS('菜谱BOM'!$F$5:$F$160,'菜谱BOM'!$A$5:$A$160,E123,'菜谱BOM'!$C$5:$C$160,"调料")</x:f>
        <x:v>32</x:v>
      </x:c>
      <x:c r="N123" s="38" t="n">
        <x:v>0.0004809430405686013</x:v>
      </x:c>
      <x:c r="O123" s="35" t="n">
        <x:f>H123*M123*(1+N123)</x:f>
        <x:v>352.1692919502801</x:v>
      </x:c>
      <x:c r="P123" s="19" t="str">
        <x:f>IF(ABS(N123)&gt;'封面与口径'!$O$25,"机器调料需复核",IF(ABS(K123)&gt;0.02,"人工称重需复核","正常"))</x:f>
        <x:v>正常</x:v>
      </x:c>
      <x:c r="Q123" s="19" t="str">
        <x:v>陈晨</x:v>
      </x:c>
    </x:row>
    <x:row r="124">
      <x:c r="A124" s="19" t="str">
        <x:v>2026-07-07|S02|D01</x:v>
      </x:c>
      <x:c r="B124" s="34" t="n">
        <x:v>46210.5</x:v>
      </x:c>
      <x:c r="C124" s="19" t="str">
        <x:v>S02</x:v>
      </x:c>
      <x:c r="D124" s="19" t="str">
        <x:v>尊宝大厦店</x:v>
      </x:c>
      <x:c r="E124" s="19" t="str">
        <x:v>D01</x:v>
      </x:c>
      <x:c r="F124" s="19" t="str">
        <x:v>辣椒炒肉</x:v>
      </x:c>
      <x:c r="G124" s="19" t="str">
        <x:v>R2.3</x:v>
      </x:c>
      <x:c r="H124" s="20" t="n">
        <x:f>XLOOKUP(A124,'菜品日销量'!$A$5:$A$1124,'菜品日销量'!$G$5:$G$1124,0)</x:f>
        <x:v>55</x:v>
      </x:c>
      <x:c r="I124" s="20" t="n">
        <x:f>ROUNDUP(H124/2,0)</x:f>
        <x:v>28</x:v>
      </x:c>
      <x:c r="J124" s="22" t="n">
        <x:f>SUMIFS('菜谱BOM'!$F$5:$F$160,'菜谱BOM'!$A$5:$A$160,E124,'菜谱BOM'!$C$5:$C$160,"食材")</x:f>
        <x:v>550</x:v>
      </x:c>
      <x:c r="K124" s="38" t="n">
        <x:v>-0.0028962529923059633</x:v>
      </x:c>
      <x:c r="L124" s="35" t="n">
        <x:f>H124*J124*(1+K124)</x:f>
        <x:v>30162.388346982745</x:v>
      </x:c>
      <x:c r="M124" s="35" t="n">
        <x:f>SUMIFS('菜谱BOM'!$F$5:$F$160,'菜谱BOM'!$A$5:$A$160,E124,'菜谱BOM'!$C$5:$C$160,"调料")</x:f>
        <x:v>104</x:v>
      </x:c>
      <x:c r="N124" s="38" t="n">
        <x:v>-0.0015025163645629109</x:v>
      </x:c>
      <x:c r="O124" s="35" t="n">
        <x:f>H124*M124*(1+N124)</x:f>
        <x:v>5711.4056063947</x:v>
      </x:c>
      <x:c r="P124" s="19" t="str">
        <x:f>IF(ABS(N124)&gt;'封面与口径'!$O$25,"机器调料需复核",IF(ABS(K124)&gt;0.02,"人工称重需复核","正常"))</x:f>
        <x:v>正常</x:v>
      </x:c>
      <x:c r="Q124" s="19" t="str">
        <x:v>许哲</x:v>
      </x:c>
    </x:row>
    <x:row r="125">
      <x:c r="A125" s="19" t="str">
        <x:v>2026-07-07|S02|D02</x:v>
      </x:c>
      <x:c r="B125" s="34" t="n">
        <x:v>46210.5</x:v>
      </x:c>
      <x:c r="C125" s="19" t="str">
        <x:v>S02</x:v>
      </x:c>
      <x:c r="D125" s="19" t="str">
        <x:v>尊宝大厦店</x:v>
      </x:c>
      <x:c r="E125" s="19" t="str">
        <x:v>D02</x:v>
      </x:c>
      <x:c r="F125" s="19" t="str">
        <x:v>小炒黄牛肉</x:v>
      </x:c>
      <x:c r="G125" s="19" t="str">
        <x:v>R2.3</x:v>
      </x:c>
      <x:c r="H125" s="20" t="n">
        <x:f>XLOOKUP(A125,'菜品日销量'!$A$5:$A$1124,'菜品日销量'!$G$5:$G$1124,0)</x:f>
        <x:v>35</x:v>
      </x:c>
      <x:c r="I125" s="20" t="n">
        <x:f>ROUNDUP(H125/2,0)</x:f>
        <x:v>18</x:v>
      </x:c>
      <x:c r="J125" s="22" t="n">
        <x:f>SUMIFS('菜谱BOM'!$F$5:$F$160,'菜谱BOM'!$A$5:$A$160,E125,'菜谱BOM'!$C$5:$C$160,"食材")</x:f>
        <x:v>560</x:v>
      </x:c>
      <x:c r="K125" s="38" t="n">
        <x:v>-0.005564244016437848</x:v>
      </x:c>
      <x:c r="L125" s="35" t="n">
        <x:f>H125*J125*(1+K125)</x:f>
        <x:v>19490.940817277817</x:v>
      </x:c>
      <x:c r="M125" s="35" t="n">
        <x:f>SUMIFS('菜谱BOM'!$F$5:$F$160,'菜谱BOM'!$A$5:$A$160,E125,'菜谱BOM'!$C$5:$C$160,"调料")</x:f>
        <x:v>133</x:v>
      </x:c>
      <x:c r="N125" s="38" t="n">
        <x:v>-0.0014995420750927976</x:v>
      </x:c>
      <x:c r="O125" s="35" t="n">
        <x:f>H125*M125*(1+N125)</x:f>
        <x:v>4648.019631640443</x:v>
      </x:c>
      <x:c r="P125" s="19" t="str">
        <x:f>IF(ABS(N125)&gt;'封面与口径'!$O$25,"机器调料需复核",IF(ABS(K125)&gt;0.02,"人工称重需复核","正常"))</x:f>
        <x:v>正常</x:v>
      </x:c>
      <x:c r="Q125" s="19" t="str">
        <x:v>许哲</x:v>
      </x:c>
    </x:row>
    <x:row r="126">
      <x:c r="A126" s="19" t="str">
        <x:v>2026-07-07|S02|D03</x:v>
      </x:c>
      <x:c r="B126" s="34" t="n">
        <x:v>46210.5</x:v>
      </x:c>
      <x:c r="C126" s="19" t="str">
        <x:v>S02</x:v>
      </x:c>
      <x:c r="D126" s="19" t="str">
        <x:v>尊宝大厦店</x:v>
      </x:c>
      <x:c r="E126" s="19" t="str">
        <x:v>D03</x:v>
      </x:c>
      <x:c r="F126" s="19" t="str">
        <x:v>香醋炒蛋</x:v>
      </x:c>
      <x:c r="G126" s="19" t="str">
        <x:v>R1.0</x:v>
      </x:c>
      <x:c r="H126" s="20" t="n">
        <x:f>XLOOKUP(A126,'菜品日销量'!$A$5:$A$1124,'菜品日销量'!$G$5:$G$1124,0)</x:f>
        <x:v>46</x:v>
      </x:c>
      <x:c r="I126" s="20" t="n">
        <x:f>ROUNDUP(H126/2,0)</x:f>
        <x:v>23</x:v>
      </x:c>
      <x:c r="J126" s="22" t="n">
        <x:f>SUMIFS('菜谱BOM'!$F$5:$F$160,'菜谱BOM'!$A$5:$A$160,E126,'菜谱BOM'!$C$5:$C$160,"食材")</x:f>
        <x:v>300</x:v>
      </x:c>
      <x:c r="K126" s="38" t="n">
        <x:v>-0.0013993406690189945</x:v>
      </x:c>
      <x:c r="L126" s="35" t="n">
        <x:f>H126*J126*(1+K126)</x:f>
        <x:v>13780.689098767538</x:v>
      </x:c>
      <x:c r="M126" s="35" t="n">
        <x:f>SUMIFS('菜谱BOM'!$F$5:$F$160,'菜谱BOM'!$A$5:$A$160,E126,'菜谱BOM'!$C$5:$C$160,"调料")</x:f>
        <x:v>53</x:v>
      </x:c>
      <x:c r="N126" s="38" t="n">
        <x:v>-0.0004364890676076732</x:v>
      </x:c>
      <x:c r="O126" s="35" t="n">
        <x:f>H126*M126*(1+N126)</x:f>
        <x:v>2436.9358396531725</x:v>
      </x:c>
      <x:c r="P126" s="19" t="str">
        <x:f>IF(ABS(N126)&gt;'封面与口径'!$O$25,"机器调料需复核",IF(ABS(K126)&gt;0.02,"人工称重需复核","正常"))</x:f>
        <x:v>正常</x:v>
      </x:c>
      <x:c r="Q126" s="19" t="str">
        <x:v>许哲</x:v>
      </x:c>
    </x:row>
    <x:row r="127">
      <x:c r="A127" s="19" t="str">
        <x:v>2026-07-07|S02|D04</x:v>
      </x:c>
      <x:c r="B127" s="34" t="n">
        <x:v>46210.5</x:v>
      </x:c>
      <x:c r="C127" s="19" t="str">
        <x:v>S02</x:v>
      </x:c>
      <x:c r="D127" s="19" t="str">
        <x:v>尊宝大厦店</x:v>
      </x:c>
      <x:c r="E127" s="19" t="str">
        <x:v>D04</x:v>
      </x:c>
      <x:c r="F127" s="19" t="str">
        <x:v>酸包菜炒粉皮</x:v>
      </x:c>
      <x:c r="G127" s="19" t="str">
        <x:v>R1.0</x:v>
      </x:c>
      <x:c r="H127" s="20" t="n">
        <x:f>XLOOKUP(A127,'菜品日销量'!$A$5:$A$1124,'菜品日销量'!$G$5:$G$1124,0)</x:f>
        <x:v>40</x:v>
      </x:c>
      <x:c r="I127" s="20" t="n">
        <x:f>ROUNDUP(H127/2,0)</x:f>
        <x:v>20</x:v>
      </x:c>
      <x:c r="J127" s="22" t="n">
        <x:f>SUMIFS('菜谱BOM'!$F$5:$F$160,'菜谱BOM'!$A$5:$A$160,E127,'菜谱BOM'!$C$5:$C$160,"食材")</x:f>
        <x:v>380</x:v>
      </x:c>
      <x:c r="K127" s="38" t="n">
        <x:v>0.004908360819543796</x:v>
      </x:c>
      <x:c r="L127" s="35" t="n">
        <x:f>H127*J127*(1+K127)</x:f>
        <x:v>15274.607084457064</x:v>
      </x:c>
      <x:c r="M127" s="35" t="n">
        <x:f>SUMIFS('菜谱BOM'!$F$5:$F$160,'菜谱BOM'!$A$5:$A$160,E127,'菜谱BOM'!$C$5:$C$160,"调料")</x:f>
        <x:v>47</x:v>
      </x:c>
      <x:c r="N127" s="38" t="n">
        <x:v>-0.0014188847587022196</x:v>
      </x:c>
      <x:c r="O127" s="35" t="n">
        <x:f>H127*M127*(1+N127)</x:f>
        <x:v>1877.3324966536397</x:v>
      </x:c>
      <x:c r="P127" s="19" t="str">
        <x:f>IF(ABS(N127)&gt;'封面与口径'!$O$25,"机器调料需复核",IF(ABS(K127)&gt;0.02,"人工称重需复核","正常"))</x:f>
        <x:v>正常</x:v>
      </x:c>
      <x:c r="Q127" s="19" t="str">
        <x:v>许哲</x:v>
      </x:c>
    </x:row>
    <x:row r="128">
      <x:c r="A128" s="19" t="str">
        <x:v>2026-07-07|S02|D05</x:v>
      </x:c>
      <x:c r="B128" s="34" t="n">
        <x:v>46210.5</x:v>
      </x:c>
      <x:c r="C128" s="19" t="str">
        <x:v>S02</x:v>
      </x:c>
      <x:c r="D128" s="19" t="str">
        <x:v>尊宝大厦店</x:v>
      </x:c>
      <x:c r="E128" s="19" t="str">
        <x:v>D05</x:v>
      </x:c>
      <x:c r="F128" s="19" t="str">
        <x:v>麻婆豆腐</x:v>
      </x:c>
      <x:c r="G128" s="19" t="str">
        <x:v>R1.0</x:v>
      </x:c>
      <x:c r="H128" s="20" t="n">
        <x:f>XLOOKUP(A128,'菜品日销量'!$A$5:$A$1124,'菜品日销量'!$G$5:$G$1124,0)</x:f>
        <x:v>57</x:v>
      </x:c>
      <x:c r="I128" s="20" t="n">
        <x:f>ROUNDUP(H128/2,0)</x:f>
        <x:v>29</x:v>
      </x:c>
      <x:c r="J128" s="22" t="n">
        <x:f>SUMIFS('菜谱BOM'!$F$5:$F$160,'菜谱BOM'!$A$5:$A$160,E128,'菜谱BOM'!$C$5:$C$160,"食材")</x:f>
        <x:v>505</x:v>
      </x:c>
      <x:c r="K128" s="38" t="n">
        <x:v>0.006955549910421379</x:v>
      </x:c>
      <x:c r="L128" s="35" t="n">
        <x:f>H128*J128*(1+K128)</x:f>
        <x:v>28985.215504171483</x:v>
      </x:c>
      <x:c r="M128" s="35" t="n">
        <x:f>SUMIFS('菜谱BOM'!$F$5:$F$160,'菜谱BOM'!$A$5:$A$160,E128,'菜谱BOM'!$C$5:$C$160,"调料")</x:f>
        <x:v>90</x:v>
      </x:c>
      <x:c r="N128" s="38" t="n">
        <x:v>-0.0008101417363644908</x:v>
      </x:c>
      <x:c r="O128" s="35" t="n">
        <x:f>H128*M128*(1+N128)</x:f>
        <x:v>5125.84397289245</x:v>
      </x:c>
      <x:c r="P128" s="19" t="str">
        <x:f>IF(ABS(N128)&gt;'封面与口径'!$O$25,"机器调料需复核",IF(ABS(K128)&gt;0.02,"人工称重需复核","正常"))</x:f>
        <x:v>正常</x:v>
      </x:c>
      <x:c r="Q128" s="19" t="str">
        <x:v>许哲</x:v>
      </x:c>
    </x:row>
    <x:row r="129">
      <x:c r="A129" s="19" t="str">
        <x:v>2026-07-07|S02|D07</x:v>
      </x:c>
      <x:c r="B129" s="34" t="n">
        <x:v>46210.5</x:v>
      </x:c>
      <x:c r="C129" s="19" t="str">
        <x:v>S02</x:v>
      </x:c>
      <x:c r="D129" s="19" t="str">
        <x:v>尊宝大厦店</x:v>
      </x:c>
      <x:c r="E129" s="19" t="str">
        <x:v>D07</x:v>
      </x:c>
      <x:c r="F129" s="19" t="str">
        <x:v>川味回锅肉</x:v>
      </x:c>
      <x:c r="G129" s="19" t="str">
        <x:v>R1.0</x:v>
      </x:c>
      <x:c r="H129" s="20" t="n">
        <x:f>XLOOKUP(A129,'菜品日销量'!$A$5:$A$1124,'菜品日销量'!$G$5:$G$1124,0)</x:f>
        <x:v>17</x:v>
      </x:c>
      <x:c r="I129" s="20" t="n">
        <x:f>ROUNDUP(H129/2,0)</x:f>
        <x:v>9</x:v>
      </x:c>
      <x:c r="J129" s="22" t="n">
        <x:f>SUMIFS('菜谱BOM'!$F$5:$F$160,'菜谱BOM'!$A$5:$A$160,E129,'菜谱BOM'!$C$5:$C$160,"食材")</x:f>
        <x:v>450</x:v>
      </x:c>
      <x:c r="K129" s="38" t="n">
        <x:v>-0.006521594073279201</x:v>
      </x:c>
      <x:c r="L129" s="35" t="n">
        <x:f>H129*J129*(1+K129)</x:f>
        <x:v>7600.1098053394135</x:v>
      </x:c>
      <x:c r="M129" s="35" t="n">
        <x:f>SUMIFS('菜谱BOM'!$F$5:$F$160,'菜谱BOM'!$A$5:$A$160,E129,'菜谱BOM'!$C$5:$C$160,"调料")</x:f>
        <x:v>63</x:v>
      </x:c>
      <x:c r="N129" s="38" t="n">
        <x:v>-0.0015051505378226636</x:v>
      </x:c>
      <x:c r="O129" s="35" t="n">
        <x:f>H129*M129*(1+N129)</x:f>
        <x:v>1069.387983773992</x:v>
      </x:c>
      <x:c r="P129" s="19" t="str">
        <x:f>IF(ABS(N129)&gt;'封面与口径'!$O$25,"机器调料需复核",IF(ABS(K129)&gt;0.02,"人工称重需复核","正常"))</x:f>
        <x:v>正常</x:v>
      </x:c>
      <x:c r="Q129" s="19" t="str">
        <x:v>许哲</x:v>
      </x:c>
    </x:row>
    <x:row r="130">
      <x:c r="A130" s="19" t="str">
        <x:v>2026-07-07|S02|D08</x:v>
      </x:c>
      <x:c r="B130" s="34" t="n">
        <x:v>46210.5</x:v>
      </x:c>
      <x:c r="C130" s="19" t="str">
        <x:v>S02</x:v>
      </x:c>
      <x:c r="D130" s="19" t="str">
        <x:v>尊宝大厦店</x:v>
      </x:c>
      <x:c r="E130" s="19" t="str">
        <x:v>D08</x:v>
      </x:c>
      <x:c r="F130" s="19" t="str">
        <x:v>生炒清远鸡</x:v>
      </x:c>
      <x:c r="G130" s="19" t="str">
        <x:v>R1.0</x:v>
      </x:c>
      <x:c r="H130" s="20" t="n">
        <x:f>XLOOKUP(A130,'菜品日销量'!$A$5:$A$1124,'菜品日销量'!$G$5:$G$1124,0)</x:f>
        <x:v>14</x:v>
      </x:c>
      <x:c r="I130" s="20" t="n">
        <x:f>ROUNDUP(H130/2,0)</x:f>
        <x:v>7</x:v>
      </x:c>
      <x:c r="J130" s="22" t="n">
        <x:f>SUMIFS('菜谱BOM'!$F$5:$F$160,'菜谱BOM'!$A$5:$A$160,E130,'菜谱BOM'!$C$5:$C$160,"食材")</x:f>
        <x:v>610</x:v>
      </x:c>
      <x:c r="K130" s="38" t="n">
        <x:v>0.0061216801959373245</x:v>
      </x:c>
      <x:c r="L130" s="35" t="n">
        <x:f>H130*J130*(1+K130)</x:f>
        <x:v>8592.279148873306</x:v>
      </x:c>
      <x:c r="M130" s="35" t="n">
        <x:f>SUMIFS('菜谱BOM'!$F$5:$F$160,'菜谱BOM'!$A$5:$A$160,E130,'菜谱BOM'!$C$5:$C$160,"调料")</x:f>
        <x:v>61</x:v>
      </x:c>
      <x:c r="N130" s="38" t="n">
        <x:v>0.0017061750813634543</x:v>
      </x:c>
      <x:c r="O130" s="35" t="n">
        <x:f>H130*M130*(1+N130)</x:f>
        <x:v>855.4570735194843</x:v>
      </x:c>
      <x:c r="P130" s="19" t="str">
        <x:f>IF(ABS(N130)&gt;'封面与口径'!$O$25,"机器调料需复核",IF(ABS(K130)&gt;0.02,"人工称重需复核","正常"))</x:f>
        <x:v>正常</x:v>
      </x:c>
      <x:c r="Q130" s="19" t="str">
        <x:v>许哲</x:v>
      </x:c>
    </x:row>
    <x:row r="131">
      <x:c r="A131" s="19" t="str">
        <x:v>2026-07-07|S02|D09</x:v>
      </x:c>
      <x:c r="B131" s="34" t="n">
        <x:v>46210.5</x:v>
      </x:c>
      <x:c r="C131" s="19" t="str">
        <x:v>S02</x:v>
      </x:c>
      <x:c r="D131" s="19" t="str">
        <x:v>尊宝大厦店</x:v>
      </x:c>
      <x:c r="E131" s="19" t="str">
        <x:v>D09</x:v>
      </x:c>
      <x:c r="F131" s="19" t="str">
        <x:v>炒豆干</x:v>
      </x:c>
      <x:c r="G131" s="19" t="str">
        <x:v>R1.0</x:v>
      </x:c>
      <x:c r="H131" s="20" t="n">
        <x:f>XLOOKUP(A131,'菜品日销量'!$A$5:$A$1124,'菜品日销量'!$G$5:$G$1124,0)</x:f>
        <x:v>17</x:v>
      </x:c>
      <x:c r="I131" s="20" t="n">
        <x:f>ROUNDUP(H131/2,0)</x:f>
        <x:v>9</x:v>
      </x:c>
      <x:c r="J131" s="22" t="n">
        <x:f>SUMIFS('菜谱BOM'!$F$5:$F$160,'菜谱BOM'!$A$5:$A$160,E131,'菜谱BOM'!$C$5:$C$160,"食材")</x:f>
        <x:v>520</x:v>
      </x:c>
      <x:c r="K131" s="38" t="n">
        <x:v>-0.005235822710496333</x:v>
      </x:c>
      <x:c r="L131" s="35" t="n">
        <x:f>H131*J131*(1+K131)</x:f>
        <x:v>8793.715327239212</x:v>
      </x:c>
      <x:c r="M131" s="35" t="n">
        <x:f>SUMIFS('菜谱BOM'!$F$5:$F$160,'菜谱BOM'!$A$5:$A$160,E131,'菜谱BOM'!$C$5:$C$160,"调料")</x:f>
        <x:v>42</x:v>
      </x:c>
      <x:c r="N131" s="38" t="n">
        <x:v>-0.001187453938458919</x:v>
      </x:c>
      <x:c r="O131" s="35" t="n">
        <x:f>H131*M131*(1+N131)</x:f>
        <x:v>713.1521578879403</x:v>
      </x:c>
      <x:c r="P131" s="19" t="str">
        <x:f>IF(ABS(N131)&gt;'封面与口径'!$O$25,"机器调料需复核",IF(ABS(K131)&gt;0.02,"人工称重需复核","正常"))</x:f>
        <x:v>正常</x:v>
      </x:c>
      <x:c r="Q131" s="19" t="str">
        <x:v>许哲</x:v>
      </x:c>
    </x:row>
    <x:row r="132">
      <x:c r="A132" s="19" t="str">
        <x:v>2026-07-07|S02|D10</x:v>
      </x:c>
      <x:c r="B132" s="34" t="n">
        <x:v>46210.5</x:v>
      </x:c>
      <x:c r="C132" s="19" t="str">
        <x:v>S02</x:v>
      </x:c>
      <x:c r="D132" s="19" t="str">
        <x:v>尊宝大厦店</x:v>
      </x:c>
      <x:c r="E132" s="19" t="str">
        <x:v>D10</x:v>
      </x:c>
      <x:c r="F132" s="19" t="str">
        <x:v>农家一碗香</x:v>
      </x:c>
      <x:c r="G132" s="19" t="str">
        <x:v>R2.3</x:v>
      </x:c>
      <x:c r="H132" s="20" t="n">
        <x:f>XLOOKUP(A132,'菜品日销量'!$A$5:$A$1124,'菜品日销量'!$G$5:$G$1124,0)</x:f>
        <x:v>18</x:v>
      </x:c>
      <x:c r="I132" s="20" t="n">
        <x:f>ROUNDUP(H132/2,0)</x:f>
        <x:v>9</x:v>
      </x:c>
      <x:c r="J132" s="22" t="n">
        <x:f>SUMIFS('菜谱BOM'!$F$5:$F$160,'菜谱BOM'!$A$5:$A$160,E132,'菜谱BOM'!$C$5:$C$160,"食材")</x:f>
        <x:v>510</x:v>
      </x:c>
      <x:c r="K132" s="38" t="n">
        <x:v>-0.004726514439267693</x:v>
      </x:c>
      <x:c r="L132" s="35" t="n">
        <x:f>H132*J132*(1+K132)</x:f>
        <x:v>9136.610597447523</x:v>
      </x:c>
      <x:c r="M132" s="35" t="n">
        <x:f>SUMIFS('菜谱BOM'!$F$5:$F$160,'菜谱BOM'!$A$5:$A$160,E132,'菜谱BOM'!$C$5:$C$160,"调料")</x:f>
        <x:v>88</x:v>
      </x:c>
      <x:c r="N132" s="38" t="n">
        <x:v>0.0007250555685546845</x:v>
      </x:c>
      <x:c r="O132" s="35" t="n">
        <x:f>H132*M132*(1+N132)</x:f>
        <x:v>1585.1484880205908</x:v>
      </x:c>
      <x:c r="P132" s="19" t="str">
        <x:f>IF(ABS(N132)&gt;'封面与口径'!$O$25,"机器调料需复核",IF(ABS(K132)&gt;0.02,"人工称重需复核","正常"))</x:f>
        <x:v>正常</x:v>
      </x:c>
      <x:c r="Q132" s="19" t="str">
        <x:v>许哲</x:v>
      </x:c>
    </x:row>
    <x:row r="133">
      <x:c r="A133" s="19" t="str">
        <x:v>2026-07-07|S02|D11</x:v>
      </x:c>
      <x:c r="B133" s="34" t="n">
        <x:v>46210.5</x:v>
      </x:c>
      <x:c r="C133" s="19" t="str">
        <x:v>S02</x:v>
      </x:c>
      <x:c r="D133" s="19" t="str">
        <x:v>尊宝大厦店</x:v>
      </x:c>
      <x:c r="E133" s="19" t="str">
        <x:v>D11</x:v>
      </x:c>
      <x:c r="F133" s="19" t="str">
        <x:v>香辣爆肥肠</x:v>
      </x:c>
      <x:c r="G133" s="19" t="str">
        <x:v>R1.0</x:v>
      </x:c>
      <x:c r="H133" s="20" t="n">
        <x:f>XLOOKUP(A133,'菜品日销量'!$A$5:$A$1124,'菜品日销量'!$G$5:$G$1124,0)</x:f>
        <x:v>8</x:v>
      </x:c>
      <x:c r="I133" s="20" t="n">
        <x:f>ROUNDUP(H133/2,0)</x:f>
        <x:v>4</x:v>
      </x:c>
      <x:c r="J133" s="22" t="n">
        <x:f>SUMIFS('菜谱BOM'!$F$5:$F$160,'菜谱BOM'!$A$5:$A$160,E133,'菜谱BOM'!$C$5:$C$160,"食材")</x:f>
        <x:v>430</x:v>
      </x:c>
      <x:c r="K133" s="38" t="n">
        <x:v>0.0038360530910631764</x:v>
      </x:c>
      <x:c r="L133" s="35" t="n">
        <x:f>H133*J133*(1+K133)</x:f>
        <x:v>3453.1960226332576</x:v>
      </x:c>
      <x:c r="M133" s="35" t="n">
        <x:f>SUMIFS('菜谱BOM'!$F$5:$F$160,'菜谱BOM'!$A$5:$A$160,E133,'菜谱BOM'!$C$5:$C$160,"调料")</x:f>
        <x:v>67</x:v>
      </x:c>
      <x:c r="N133" s="38" t="n">
        <x:v>-0.000025540652225152673</x:v>
      </x:c>
      <x:c r="O133" s="35" t="n">
        <x:f>H133*M133*(1+N133)</x:f>
        <x:v>535.9863102104073</x:v>
      </x:c>
      <x:c r="P133" s="19" t="str">
        <x:f>IF(ABS(N133)&gt;'封面与口径'!$O$25,"机器调料需复核",IF(ABS(K133)&gt;0.02,"人工称重需复核","正常"))</x:f>
        <x:v>正常</x:v>
      </x:c>
      <x:c r="Q133" s="19" t="str">
        <x:v>许哲</x:v>
      </x:c>
    </x:row>
    <x:row r="134">
      <x:c r="A134" s="19" t="str">
        <x:v>2026-07-07|S02|D13</x:v>
      </x:c>
      <x:c r="B134" s="34" t="n">
        <x:v>46210.5</x:v>
      </x:c>
      <x:c r="C134" s="19" t="str">
        <x:v>S02</x:v>
      </x:c>
      <x:c r="D134" s="19" t="str">
        <x:v>尊宝大厦店</x:v>
      </x:c>
      <x:c r="E134" s="19" t="str">
        <x:v>D13</x:v>
      </x:c>
      <x:c r="F134" s="19" t="str">
        <x:v>外婆菜炒蛋</x:v>
      </x:c>
      <x:c r="G134" s="19" t="str">
        <x:v>R1.0</x:v>
      </x:c>
      <x:c r="H134" s="20" t="n">
        <x:f>XLOOKUP(A134,'菜品日销量'!$A$5:$A$1124,'菜品日销量'!$G$5:$G$1124,0)</x:f>
        <x:v>16</x:v>
      </x:c>
      <x:c r="I134" s="20" t="n">
        <x:f>ROUNDUP(H134/2,0)</x:f>
        <x:v>8</x:v>
      </x:c>
      <x:c r="J134" s="22" t="n">
        <x:f>SUMIFS('菜谱BOM'!$F$5:$F$160,'菜谱BOM'!$A$5:$A$160,E134,'菜谱BOM'!$C$5:$C$160,"食材")</x:f>
        <x:v>450</x:v>
      </x:c>
      <x:c r="K134" s="38" t="n">
        <x:v>-0.005035451865996107</x:v>
      </x:c>
      <x:c r="L134" s="35" t="n">
        <x:f>H134*J134*(1+K134)</x:f>
        <x:v>7163.744746564828</x:v>
      </x:c>
      <x:c r="M134" s="35" t="n">
        <x:f>SUMIFS('菜谱BOM'!$F$5:$F$160,'菜谱BOM'!$A$5:$A$160,E134,'菜谱BOM'!$C$5:$C$160,"调料")</x:f>
        <x:v>37</x:v>
      </x:c>
      <x:c r="N134" s="38" t="n">
        <x:v>0.0004778933968576356</x:v>
      </x:c>
      <x:c r="O134" s="35" t="n">
        <x:f>H134*M134*(1+N134)</x:f>
        <x:v>592.2829128909398</x:v>
      </x:c>
      <x:c r="P134" s="19" t="str">
        <x:f>IF(ABS(N134)&gt;'封面与口径'!$O$25,"机器调料需复核",IF(ABS(K134)&gt;0.02,"人工称重需复核","正常"))</x:f>
        <x:v>正常</x:v>
      </x:c>
      <x:c r="Q134" s="19" t="str">
        <x:v>许哲</x:v>
      </x:c>
    </x:row>
    <x:row r="135">
      <x:c r="A135" s="19" t="str">
        <x:v>2026-07-07|S02|D14</x:v>
      </x:c>
      <x:c r="B135" s="34" t="n">
        <x:v>46210.5</x:v>
      </x:c>
      <x:c r="C135" s="19" t="str">
        <x:v>S02</x:v>
      </x:c>
      <x:c r="D135" s="19" t="str">
        <x:v>尊宝大厦店</x:v>
      </x:c>
      <x:c r="E135" s="19" t="str">
        <x:v>D14</x:v>
      </x:c>
      <x:c r="F135" s="19" t="str">
        <x:v>酸辣鸡杂</x:v>
      </x:c>
      <x:c r="G135" s="19" t="str">
        <x:v>R1.0</x:v>
      </x:c>
      <x:c r="H135" s="20" t="n">
        <x:f>XLOOKUP(A135,'菜品日销量'!$A$5:$A$1124,'菜品日销量'!$G$5:$G$1124,0)</x:f>
        <x:v>10</x:v>
      </x:c>
      <x:c r="I135" s="20" t="n">
        <x:f>ROUNDUP(H135/2,0)</x:f>
        <x:v>5</x:v>
      </x:c>
      <x:c r="J135" s="22" t="n">
        <x:f>SUMIFS('菜谱BOM'!$F$5:$F$160,'菜谱BOM'!$A$5:$A$160,E135,'菜谱BOM'!$C$5:$C$160,"食材")</x:f>
        <x:v>470</x:v>
      </x:c>
      <x:c r="K135" s="38" t="n">
        <x:v>-0.0025978554139374417</x:v>
      </x:c>
      <x:c r="L135" s="35" t="n">
        <x:f>H135*J135*(1+K135)</x:f>
        <x:v>4687.790079554494</x:v>
      </x:c>
      <x:c r="M135" s="35" t="n">
        <x:f>SUMIFS('菜谱BOM'!$F$5:$F$160,'菜谱BOM'!$A$5:$A$160,E135,'菜谱BOM'!$C$5:$C$160,"调料")</x:f>
        <x:v>60</x:v>
      </x:c>
      <x:c r="N135" s="38" t="n">
        <x:v>-0.0013345440885365344</x:v>
      </x:c>
      <x:c r="O135" s="35" t="n">
        <x:f>H135*M135*(1+N135)</x:f>
        <x:v>599.1992735468781</x:v>
      </x:c>
      <x:c r="P135" s="19" t="str">
        <x:f>IF(ABS(N135)&gt;'封面与口径'!$O$25,"机器调料需复核",IF(ABS(K135)&gt;0.02,"人工称重需复核","正常"))</x:f>
        <x:v>正常</x:v>
      </x:c>
      <x:c r="Q135" s="19" t="str">
        <x:v>许哲</x:v>
      </x:c>
    </x:row>
    <x:row r="136">
      <x:c r="A136" s="19" t="str">
        <x:v>2026-07-07|S02|D15</x:v>
      </x:c>
      <x:c r="B136" s="34" t="n">
        <x:v>46210.5</x:v>
      </x:c>
      <x:c r="C136" s="19" t="str">
        <x:v>S02</x:v>
      </x:c>
      <x:c r="D136" s="19" t="str">
        <x:v>尊宝大厦店</x:v>
      </x:c>
      <x:c r="E136" s="19" t="str">
        <x:v>D15</x:v>
      </x:c>
      <x:c r="F136" s="19" t="str">
        <x:v>湘西土匪猪肝</x:v>
      </x:c>
      <x:c r="G136" s="19" t="str">
        <x:v>R1.0</x:v>
      </x:c>
      <x:c r="H136" s="20" t="n">
        <x:f>XLOOKUP(A136,'菜品日销量'!$A$5:$A$1124,'菜品日销量'!$G$5:$G$1124,0)</x:f>
        <x:v>8</x:v>
      </x:c>
      <x:c r="I136" s="20" t="n">
        <x:f>ROUNDUP(H136/2,0)</x:f>
        <x:v>4</x:v>
      </x:c>
      <x:c r="J136" s="22" t="n">
        <x:f>SUMIFS('菜谱BOM'!$F$5:$F$160,'菜谱BOM'!$A$5:$A$160,E136,'菜谱BOM'!$C$5:$C$160,"食材")</x:f>
        <x:v>470</x:v>
      </x:c>
      <x:c r="K136" s="38" t="n">
        <x:v>-0.0027560154485413843</x:v>
      </x:c>
      <x:c r="L136" s="35" t="n">
        <x:f>H136*J136*(1+K136)</x:f>
        <x:v>3749.637381913484</x:v>
      </x:c>
      <x:c r="M136" s="35" t="n">
        <x:f>SUMIFS('菜谱BOM'!$F$5:$F$160,'菜谱BOM'!$A$5:$A$160,E136,'菜谱BOM'!$C$5:$C$160,"调料")</x:f>
        <x:v>49</x:v>
      </x:c>
      <x:c r="N136" s="38" t="n">
        <x:v>-0.001188835910332584</x:v>
      </x:c>
      <x:c r="O136" s="35" t="n">
        <x:f>H136*M136*(1+N136)</x:f>
        <x:v>391.5339763231496</x:v>
      </x:c>
      <x:c r="P136" s="19" t="str">
        <x:f>IF(ABS(N136)&gt;'封面与口径'!$O$25,"机器调料需复核",IF(ABS(K136)&gt;0.02,"人工称重需复核","正常"))</x:f>
        <x:v>正常</x:v>
      </x:c>
      <x:c r="Q136" s="19" t="str">
        <x:v>许哲</x:v>
      </x:c>
    </x:row>
    <x:row r="137">
      <x:c r="A137" s="19" t="str">
        <x:v>2026-07-07|S02|D16</x:v>
      </x:c>
      <x:c r="B137" s="34" t="n">
        <x:v>46210.5</x:v>
      </x:c>
      <x:c r="C137" s="19" t="str">
        <x:v>S02</x:v>
      </x:c>
      <x:c r="D137" s="19" t="str">
        <x:v>尊宝大厦店</x:v>
      </x:c>
      <x:c r="E137" s="19" t="str">
        <x:v>D16</x:v>
      </x:c>
      <x:c r="F137" s="19" t="str">
        <x:v>小豆角炒五花</x:v>
      </x:c>
      <x:c r="G137" s="19" t="str">
        <x:v>R1.0</x:v>
      </x:c>
      <x:c r="H137" s="20" t="n">
        <x:f>XLOOKUP(A137,'菜品日销量'!$A$5:$A$1124,'菜品日销量'!$G$5:$G$1124,0)</x:f>
        <x:v>8</x:v>
      </x:c>
      <x:c r="I137" s="20" t="n">
        <x:f>ROUNDUP(H137/2,0)</x:f>
        <x:v>4</x:v>
      </x:c>
      <x:c r="J137" s="22" t="n">
        <x:f>SUMIFS('菜谱BOM'!$F$5:$F$160,'菜谱BOM'!$A$5:$A$160,E137,'菜谱BOM'!$C$5:$C$160,"食材")</x:f>
        <x:v>450</x:v>
      </x:c>
      <x:c r="K137" s="38" t="n">
        <x:v>-0.007870282519578534</x:v>
      </x:c>
      <x:c r="L137" s="35" t="n">
        <x:f>H137*J137*(1+K137)</x:f>
        <x:v>3571.6669829295174</x:v>
      </x:c>
      <x:c r="M137" s="35" t="n">
        <x:f>SUMIFS('菜谱BOM'!$F$5:$F$160,'菜谱BOM'!$A$5:$A$160,E137,'菜谱BOM'!$C$5:$C$160,"调料")</x:f>
        <x:v>42</x:v>
      </x:c>
      <x:c r="N137" s="38" t="n">
        <x:v>-0.0019960412178179347</x:v>
      </x:c>
      <x:c r="O137" s="35" t="n">
        <x:f>H137*M137*(1+N137)</x:f>
        <x:v>335.3293301508132</x:v>
      </x:c>
      <x:c r="P137" s="19" t="str">
        <x:f>IF(ABS(N137)&gt;'封面与口径'!$O$25,"机器调料需复核",IF(ABS(K137)&gt;0.02,"人工称重需复核","正常"))</x:f>
        <x:v>正常</x:v>
      </x:c>
      <x:c r="Q137" s="19" t="str">
        <x:v>许哲</x:v>
      </x:c>
    </x:row>
    <x:row r="138">
      <x:c r="A138" s="19" t="str">
        <x:v>2026-07-07|S02|D18</x:v>
      </x:c>
      <x:c r="B138" s="34" t="n">
        <x:v>46210.5</x:v>
      </x:c>
      <x:c r="C138" s="19" t="str">
        <x:v>S02</x:v>
      </x:c>
      <x:c r="D138" s="19" t="str">
        <x:v>尊宝大厦店</x:v>
      </x:c>
      <x:c r="E138" s="19" t="str">
        <x:v>D18</x:v>
      </x:c>
      <x:c r="F138" s="19" t="str">
        <x:v>青椒炒油麦菜</x:v>
      </x:c>
      <x:c r="G138" s="19" t="str">
        <x:v>R1.0</x:v>
      </x:c>
      <x:c r="H138" s="20" t="n">
        <x:f>XLOOKUP(A138,'菜品日销量'!$A$5:$A$1124,'菜品日销量'!$G$5:$G$1124,0)</x:f>
        <x:v>9</x:v>
      </x:c>
      <x:c r="I138" s="20" t="n">
        <x:f>ROUNDUP(H138/2,0)</x:f>
        <x:v>5</x:v>
      </x:c>
      <x:c r="J138" s="22" t="n">
        <x:f>SUMIFS('菜谱BOM'!$F$5:$F$160,'菜谱BOM'!$A$5:$A$160,E138,'菜谱BOM'!$C$5:$C$160,"食材")</x:f>
        <x:v>430</x:v>
      </x:c>
      <x:c r="K138" s="38" t="n">
        <x:v>-0.006130651961576811</x:v>
      </x:c>
      <x:c r="L138" s="35" t="n">
        <x:f>H138*J138*(1+K138)</x:f>
        <x:v>3846.274376908698</x:v>
      </x:c>
      <x:c r="M138" s="35" t="n">
        <x:f>SUMIFS('菜谱BOM'!$F$5:$F$160,'菜谱BOM'!$A$5:$A$160,E138,'菜谱BOM'!$C$5:$C$160,"调料")</x:f>
        <x:v>33</x:v>
      </x:c>
      <x:c r="N138" s="38" t="n">
        <x:v>-0.0019985793083902867</x:v>
      </x:c>
      <x:c r="O138" s="35" t="n">
        <x:f>H138*M138*(1+N138)</x:f>
        <x:v>296.40642194540806</x:v>
      </x:c>
      <x:c r="P138" s="19" t="str">
        <x:f>IF(ABS(N138)&gt;'封面与口径'!$O$25,"机器调料需复核",IF(ABS(K138)&gt;0.02,"人工称重需复核","正常"))</x:f>
        <x:v>正常</x:v>
      </x:c>
      <x:c r="Q138" s="19" t="str">
        <x:v>许哲</x:v>
      </x:c>
    </x:row>
    <x:row r="139">
      <x:c r="A139" s="19" t="str">
        <x:v>2026-07-07|S02|D19</x:v>
      </x:c>
      <x:c r="B139" s="34" t="n">
        <x:v>46210.5</x:v>
      </x:c>
      <x:c r="C139" s="19" t="str">
        <x:v>S02</x:v>
      </x:c>
      <x:c r="D139" s="19" t="str">
        <x:v>尊宝大厦店</x:v>
      </x:c>
      <x:c r="E139" s="19" t="str">
        <x:v>D19</x:v>
      </x:c>
      <x:c r="F139" s="19" t="str">
        <x:v>酸萝卜炒鸡杂</x:v>
      </x:c>
      <x:c r="G139" s="19" t="str">
        <x:v>R1.0</x:v>
      </x:c>
      <x:c r="H139" s="20" t="n">
        <x:f>XLOOKUP(A139,'菜品日销量'!$A$5:$A$1124,'菜品日销量'!$G$5:$G$1124,0)</x:f>
        <x:v>7</x:v>
      </x:c>
      <x:c r="I139" s="20" t="n">
        <x:f>ROUNDUP(H139/2,0)</x:f>
        <x:v>4</x:v>
      </x:c>
      <x:c r="J139" s="22" t="n">
        <x:f>SUMIFS('菜谱BOM'!$F$5:$F$160,'菜谱BOM'!$A$5:$A$160,E139,'菜谱BOM'!$C$5:$C$160,"食材")</x:f>
        <x:v>500</x:v>
      </x:c>
      <x:c r="K139" s="38" t="n">
        <x:v>0.0031894366022174802</x:v>
      </x:c>
      <x:c r="L139" s="35" t="n">
        <x:f>H139*J139*(1+K139)</x:f>
        <x:v>3511.163028107761</x:v>
      </x:c>
      <x:c r="M139" s="35" t="n">
        <x:f>SUMIFS('菜谱BOM'!$F$5:$F$160,'菜谱BOM'!$A$5:$A$160,E139,'菜谱BOM'!$C$5:$C$160,"调料")</x:f>
        <x:v>55</x:v>
      </x:c>
      <x:c r="N139" s="38" t="n">
        <x:v>-0.0015612839263773718</x:v>
      </x:c>
      <x:c r="O139" s="35" t="n">
        <x:f>H139*M139*(1+N139)</x:f>
        <x:v>384.3989056883447</x:v>
      </x:c>
      <x:c r="P139" s="19" t="str">
        <x:f>IF(ABS(N139)&gt;'封面与口径'!$O$25,"机器调料需复核",IF(ABS(K139)&gt;0.02,"人工称重需复核","正常"))</x:f>
        <x:v>正常</x:v>
      </x:c>
      <x:c r="Q139" s="19" t="str">
        <x:v>许哲</x:v>
      </x:c>
    </x:row>
    <x:row r="140">
      <x:c r="A140" s="19" t="str">
        <x:v>2026-07-07|S02|D20</x:v>
      </x:c>
      <x:c r="B140" s="34" t="n">
        <x:v>46210.5</x:v>
      </x:c>
      <x:c r="C140" s="19" t="str">
        <x:v>S02</x:v>
      </x:c>
      <x:c r="D140" s="19" t="str">
        <x:v>尊宝大厦店</x:v>
      </x:c>
      <x:c r="E140" s="19" t="str">
        <x:v>D20</x:v>
      </x:c>
      <x:c r="F140" s="19" t="str">
        <x:v>雪菜肉末青豆</x:v>
      </x:c>
      <x:c r="G140" s="19" t="str">
        <x:v>R1.0</x:v>
      </x:c>
      <x:c r="H140" s="20" t="n">
        <x:f>XLOOKUP(A140,'菜品日销量'!$A$5:$A$1124,'菜品日销量'!$G$5:$G$1124,0)</x:f>
        <x:v>10</x:v>
      </x:c>
      <x:c r="I140" s="20" t="n">
        <x:f>ROUNDUP(H140/2,0)</x:f>
        <x:v>5</x:v>
      </x:c>
      <x:c r="J140" s="22" t="n">
        <x:f>SUMIFS('菜谱BOM'!$F$5:$F$160,'菜谱BOM'!$A$5:$A$160,E140,'菜谱BOM'!$C$5:$C$160,"食材")</x:f>
        <x:v>465</x:v>
      </x:c>
      <x:c r="K140" s="38" t="n">
        <x:v>0.003402160825999957</x:v>
      </x:c>
      <x:c r="L140" s="35" t="n">
        <x:f>H140*J140*(1+K140)</x:f>
        <x:v>4665.8200478409</x:v>
      </x:c>
      <x:c r="M140" s="35" t="n">
        <x:f>SUMIFS('菜谱BOM'!$F$5:$F$160,'菜谱BOM'!$A$5:$A$160,E140,'菜谱BOM'!$C$5:$C$160,"调料")</x:f>
        <x:v>32</x:v>
      </x:c>
      <x:c r="N140" s="38" t="n">
        <x:v>-0.001763750254121551</x:v>
      </x:c>
      <x:c r="O140" s="35" t="n">
        <x:f>H140*M140*(1+N140)</x:f>
        <x:v>319.4355999186811</x:v>
      </x:c>
      <x:c r="P140" s="19" t="str">
        <x:f>IF(ABS(N140)&gt;'封面与口径'!$O$25,"机器调料需复核",IF(ABS(K140)&gt;0.02,"人工称重需复核","正常"))</x:f>
        <x:v>正常</x:v>
      </x:c>
      <x:c r="Q140" s="19" t="str">
        <x:v>许哲</x:v>
      </x:c>
    </x:row>
    <x:row r="141">
      <x:c r="A141" s="19" t="str">
        <x:v>2026-07-08|S02|D01</x:v>
      </x:c>
      <x:c r="B141" s="34" t="n">
        <x:v>46211.5</x:v>
      </x:c>
      <x:c r="C141" s="19" t="str">
        <x:v>S02</x:v>
      </x:c>
      <x:c r="D141" s="19" t="str">
        <x:v>尊宝大厦店</x:v>
      </x:c>
      <x:c r="E141" s="19" t="str">
        <x:v>D01</x:v>
      </x:c>
      <x:c r="F141" s="19" t="str">
        <x:v>辣椒炒肉</x:v>
      </x:c>
      <x:c r="G141" s="19" t="str">
        <x:v>R2.3</x:v>
      </x:c>
      <x:c r="H141" s="20" t="n">
        <x:f>XLOOKUP(A141,'菜品日销量'!$A$5:$A$1124,'菜品日销量'!$G$5:$G$1124,0)</x:f>
        <x:v>53</x:v>
      </x:c>
      <x:c r="I141" s="20" t="n">
        <x:f>ROUNDUP(H141/2,0)</x:f>
        <x:v>27</x:v>
      </x:c>
      <x:c r="J141" s="22" t="n">
        <x:f>SUMIFS('菜谱BOM'!$F$5:$F$160,'菜谱BOM'!$A$5:$A$160,E141,'菜谱BOM'!$C$5:$C$160,"食材")</x:f>
        <x:v>550</x:v>
      </x:c>
      <x:c r="K141" s="38" t="n">
        <x:v>0.0070166577433740385</x:v>
      </x:c>
      <x:c r="L141" s="35" t="n">
        <x:f>H141*J141*(1+K141)</x:f>
        <x:v>29354.535573219357</x:v>
      </x:c>
      <x:c r="M141" s="35" t="n">
        <x:f>SUMIFS('菜谱BOM'!$F$5:$F$160,'菜谱BOM'!$A$5:$A$160,E141,'菜谱BOM'!$C$5:$C$160,"调料")</x:f>
        <x:v>104</x:v>
      </x:c>
      <x:c r="N141" s="38" t="n">
        <x:v>0.00124200438876683</x:v>
      </x:c>
      <x:c r="O141" s="35" t="n">
        <x:f>H141*M141*(1+N141)</x:f>
        <x:v>5518.845928190883</x:v>
      </x:c>
      <x:c r="P141" s="19" t="str">
        <x:f>IF(ABS(N141)&gt;'封面与口径'!$O$25,"机器调料需复核",IF(ABS(K141)&gt;0.02,"人工称重需复核","正常"))</x:f>
        <x:v>正常</x:v>
      </x:c>
      <x:c r="Q141" s="19" t="str">
        <x:v>许哲</x:v>
      </x:c>
    </x:row>
    <x:row r="142">
      <x:c r="A142" s="19" t="str">
        <x:v>2026-07-08|S02|D02</x:v>
      </x:c>
      <x:c r="B142" s="34" t="n">
        <x:v>46211.5</x:v>
      </x:c>
      <x:c r="C142" s="19" t="str">
        <x:v>S02</x:v>
      </x:c>
      <x:c r="D142" s="19" t="str">
        <x:v>尊宝大厦店</x:v>
      </x:c>
      <x:c r="E142" s="19" t="str">
        <x:v>D02</x:v>
      </x:c>
      <x:c r="F142" s="19" t="str">
        <x:v>小炒黄牛肉</x:v>
      </x:c>
      <x:c r="G142" s="19" t="str">
        <x:v>R2.3</x:v>
      </x:c>
      <x:c r="H142" s="20" t="n">
        <x:f>XLOOKUP(A142,'菜品日销量'!$A$5:$A$1124,'菜品日销量'!$G$5:$G$1124,0)</x:f>
        <x:v>36</x:v>
      </x:c>
      <x:c r="I142" s="20" t="n">
        <x:f>ROUNDUP(H142/2,0)</x:f>
        <x:v>18</x:v>
      </x:c>
      <x:c r="J142" s="22" t="n">
        <x:f>SUMIFS('菜谱BOM'!$F$5:$F$160,'菜谱BOM'!$A$5:$A$160,E142,'菜谱BOM'!$C$5:$C$160,"食材")</x:f>
        <x:v>560</x:v>
      </x:c>
      <x:c r="K142" s="38" t="n">
        <x:v>-0.0060016310694631265</x:v>
      </x:c>
      <x:c r="L142" s="35" t="n">
        <x:f>H142*J142*(1+K142)</x:f>
        <x:v>20039.007117639623</x:v>
      </x:c>
      <x:c r="M142" s="35" t="n">
        <x:f>SUMIFS('菜谱BOM'!$F$5:$F$160,'菜谱BOM'!$A$5:$A$160,E142,'菜谱BOM'!$C$5:$C$160,"调料")</x:f>
        <x:v>133</x:v>
      </x:c>
      <x:c r="N142" s="38" t="n">
        <x:v>-0.0012528957666952385</x:v>
      </x:c>
      <x:c r="O142" s="35" t="n">
        <x:f>H142*M142*(1+N142)</x:f>
        <x:v>4782.001135069064</x:v>
      </x:c>
      <x:c r="P142" s="19" t="str">
        <x:f>IF(ABS(N142)&gt;'封面与口径'!$O$25,"机器调料需复核",IF(ABS(K142)&gt;0.02,"人工称重需复核","正常"))</x:f>
        <x:v>正常</x:v>
      </x:c>
      <x:c r="Q142" s="19" t="str">
        <x:v>许哲</x:v>
      </x:c>
    </x:row>
    <x:row r="143">
      <x:c r="A143" s="19" t="str">
        <x:v>2026-07-08|S02|D03</x:v>
      </x:c>
      <x:c r="B143" s="34" t="n">
        <x:v>46211.5</x:v>
      </x:c>
      <x:c r="C143" s="19" t="str">
        <x:v>S02</x:v>
      </x:c>
      <x:c r="D143" s="19" t="str">
        <x:v>尊宝大厦店</x:v>
      </x:c>
      <x:c r="E143" s="19" t="str">
        <x:v>D03</x:v>
      </x:c>
      <x:c r="F143" s="19" t="str">
        <x:v>香醋炒蛋</x:v>
      </x:c>
      <x:c r="G143" s="19" t="str">
        <x:v>R1.0</x:v>
      </x:c>
      <x:c r="H143" s="20" t="n">
        <x:f>XLOOKUP(A143,'菜品日销量'!$A$5:$A$1124,'菜品日销量'!$G$5:$G$1124,0)</x:f>
        <x:v>44</x:v>
      </x:c>
      <x:c r="I143" s="20" t="n">
        <x:f>ROUNDUP(H143/2,0)</x:f>
        <x:v>22</x:v>
      </x:c>
      <x:c r="J143" s="22" t="n">
        <x:f>SUMIFS('菜谱BOM'!$F$5:$F$160,'菜谱BOM'!$A$5:$A$160,E143,'菜谱BOM'!$C$5:$C$160,"食材")</x:f>
        <x:v>300</x:v>
      </x:c>
      <x:c r="K143" s="38" t="n">
        <x:v>0.007951179843384582</x:v>
      </x:c>
      <x:c r="L143" s="35" t="n">
        <x:f>H143*J143*(1+K143)</x:f>
        <x:v>13304.955573932677</x:v>
      </x:c>
      <x:c r="M143" s="35" t="n">
        <x:f>SUMIFS('菜谱BOM'!$F$5:$F$160,'菜谱BOM'!$A$5:$A$160,E143,'菜谱BOM'!$C$5:$C$160,"调料")</x:f>
        <x:v>53</x:v>
      </x:c>
      <x:c r="N143" s="38" t="n">
        <x:v>-0.0018616387890329675</x:v>
      </x:c>
      <x:c r="O143" s="35" t="n">
        <x:f>H143*M143*(1+N143)</x:f>
        <x:v>2327.658658343975</x:v>
      </x:c>
      <x:c r="P143" s="19" t="str">
        <x:f>IF(ABS(N143)&gt;'封面与口径'!$O$25,"机器调料需复核",IF(ABS(K143)&gt;0.02,"人工称重需复核","正常"))</x:f>
        <x:v>正常</x:v>
      </x:c>
      <x:c r="Q143" s="19" t="str">
        <x:v>许哲</x:v>
      </x:c>
    </x:row>
    <x:row r="144">
      <x:c r="A144" s="19" t="str">
        <x:v>2026-07-08|S02|D04</x:v>
      </x:c>
      <x:c r="B144" s="34" t="n">
        <x:v>46211.5</x:v>
      </x:c>
      <x:c r="C144" s="19" t="str">
        <x:v>S02</x:v>
      </x:c>
      <x:c r="D144" s="19" t="str">
        <x:v>尊宝大厦店</x:v>
      </x:c>
      <x:c r="E144" s="19" t="str">
        <x:v>D04</x:v>
      </x:c>
      <x:c r="F144" s="19" t="str">
        <x:v>酸包菜炒粉皮</x:v>
      </x:c>
      <x:c r="G144" s="19" t="str">
        <x:v>R1.0</x:v>
      </x:c>
      <x:c r="H144" s="20" t="n">
        <x:f>XLOOKUP(A144,'菜品日销量'!$A$5:$A$1124,'菜品日销量'!$G$5:$G$1124,0)</x:f>
        <x:v>40</x:v>
      </x:c>
      <x:c r="I144" s="20" t="n">
        <x:f>ROUNDUP(H144/2,0)</x:f>
        <x:v>20</x:v>
      </x:c>
      <x:c r="J144" s="22" t="n">
        <x:f>SUMIFS('菜谱BOM'!$F$5:$F$160,'菜谱BOM'!$A$5:$A$160,E144,'菜谱BOM'!$C$5:$C$160,"食材")</x:f>
        <x:v>380</x:v>
      </x:c>
      <x:c r="K144" s="38" t="n">
        <x:v>0.0016434783548217916</x:v>
      </x:c>
      <x:c r="L144" s="35" t="n">
        <x:f>H144*J144*(1+K144)</x:f>
        <x:v>15224.980870993291</x:v>
      </x:c>
      <x:c r="M144" s="35" t="n">
        <x:f>SUMIFS('菜谱BOM'!$F$5:$F$160,'菜谱BOM'!$A$5:$A$160,E144,'菜谱BOM'!$C$5:$C$160,"调料")</x:f>
        <x:v>47</x:v>
      </x:c>
      <x:c r="N144" s="38" t="n">
        <x:v>-0.000879243097938421</x:v>
      </x:c>
      <x:c r="O144" s="35" t="n">
        <x:f>H144*M144*(1+N144)</x:f>
        <x:v>1878.3470229758757</x:v>
      </x:c>
      <x:c r="P144" s="19" t="str">
        <x:f>IF(ABS(N144)&gt;'封面与口径'!$O$25,"机器调料需复核",IF(ABS(K144)&gt;0.02,"人工称重需复核","正常"))</x:f>
        <x:v>正常</x:v>
      </x:c>
      <x:c r="Q144" s="19" t="str">
        <x:v>许哲</x:v>
      </x:c>
    </x:row>
    <x:row r="145">
      <x:c r="A145" s="19" t="str">
        <x:v>2026-07-08|S02|D05</x:v>
      </x:c>
      <x:c r="B145" s="34" t="n">
        <x:v>46211.5</x:v>
      </x:c>
      <x:c r="C145" s="19" t="str">
        <x:v>S02</x:v>
      </x:c>
      <x:c r="D145" s="19" t="str">
        <x:v>尊宝大厦店</x:v>
      </x:c>
      <x:c r="E145" s="19" t="str">
        <x:v>D05</x:v>
      </x:c>
      <x:c r="F145" s="19" t="str">
        <x:v>麻婆豆腐</x:v>
      </x:c>
      <x:c r="G145" s="19" t="str">
        <x:v>R1.0</x:v>
      </x:c>
      <x:c r="H145" s="20" t="n">
        <x:f>XLOOKUP(A145,'菜品日销量'!$A$5:$A$1124,'菜品日销量'!$G$5:$G$1124,0)</x:f>
        <x:v>55</x:v>
      </x:c>
      <x:c r="I145" s="20" t="n">
        <x:f>ROUNDUP(H145/2,0)</x:f>
        <x:v>28</x:v>
      </x:c>
      <x:c r="J145" s="22" t="n">
        <x:f>SUMIFS('菜谱BOM'!$F$5:$F$160,'菜谱BOM'!$A$5:$A$160,E145,'菜谱BOM'!$C$5:$C$160,"食材")</x:f>
        <x:v>505</x:v>
      </x:c>
      <x:c r="K145" s="38" t="n">
        <x:v>-0.0025214249925970622</x:v>
      </x:c>
      <x:c r="L145" s="35" t="n">
        <x:f>H145*J145*(1+K145)</x:f>
        <x:v>27704.967420830617</x:v>
      </x:c>
      <x:c r="M145" s="35" t="n">
        <x:f>SUMIFS('菜谱BOM'!$F$5:$F$160,'菜谱BOM'!$A$5:$A$160,E145,'菜谱BOM'!$C$5:$C$160,"调料")</x:f>
        <x:v>90</x:v>
      </x:c>
      <x:c r="N145" s="38" t="n">
        <x:v>-0.0019422961054235456</x:v>
      </x:c>
      <x:c r="O145" s="35" t="n">
        <x:f>H145*M145*(1+N145)</x:f>
        <x:v>4940.385634278154</x:v>
      </x:c>
      <x:c r="P145" s="19" t="str">
        <x:f>IF(ABS(N145)&gt;'封面与口径'!$O$25,"机器调料需复核",IF(ABS(K145)&gt;0.02,"人工称重需复核","正常"))</x:f>
        <x:v>正常</x:v>
      </x:c>
      <x:c r="Q145" s="19" t="str">
        <x:v>许哲</x:v>
      </x:c>
    </x:row>
    <x:row r="146">
      <x:c r="A146" s="19" t="str">
        <x:v>2026-07-08|S02|D07</x:v>
      </x:c>
      <x:c r="B146" s="34" t="n">
        <x:v>46211.5</x:v>
      </x:c>
      <x:c r="C146" s="19" t="str">
        <x:v>S02</x:v>
      </x:c>
      <x:c r="D146" s="19" t="str">
        <x:v>尊宝大厦店</x:v>
      </x:c>
      <x:c r="E146" s="19" t="str">
        <x:v>D07</x:v>
      </x:c>
      <x:c r="F146" s="19" t="str">
        <x:v>川味回锅肉</x:v>
      </x:c>
      <x:c r="G146" s="19" t="str">
        <x:v>R1.0</x:v>
      </x:c>
      <x:c r="H146" s="20" t="n">
        <x:f>XLOOKUP(A146,'菜品日销量'!$A$5:$A$1124,'菜品日销量'!$G$5:$G$1124,0)</x:f>
        <x:v>17</x:v>
      </x:c>
      <x:c r="I146" s="20" t="n">
        <x:f>ROUNDUP(H146/2,0)</x:f>
        <x:v>9</x:v>
      </x:c>
      <x:c r="J146" s="22" t="n">
        <x:f>SUMIFS('菜谱BOM'!$F$5:$F$160,'菜谱BOM'!$A$5:$A$160,E146,'菜谱BOM'!$C$5:$C$160,"食材")</x:f>
        <x:v>450</x:v>
      </x:c>
      <x:c r="K146" s="38" t="n">
        <x:v>-0.0034571839932951106</x:v>
      </x:c>
      <x:c r="L146" s="35" t="n">
        <x:f>H146*J146*(1+K146)</x:f>
        <x:v>7623.5525424512925</x:v>
      </x:c>
      <x:c r="M146" s="35" t="n">
        <x:f>SUMIFS('菜谱BOM'!$F$5:$F$160,'菜谱BOM'!$A$5:$A$160,E146,'菜谱BOM'!$C$5:$C$160,"调料")</x:f>
        <x:v>63</x:v>
      </x:c>
      <x:c r="N146" s="38" t="n">
        <x:v>-0.0010913623876616736</x:v>
      </x:c>
      <x:c r="O146" s="35" t="n">
        <x:f>H146*M146*(1+N146)</x:f>
        <x:v>1069.8311508828142</x:v>
      </x:c>
      <x:c r="P146" s="19" t="str">
        <x:f>IF(ABS(N146)&gt;'封面与口径'!$O$25,"机器调料需复核",IF(ABS(K146)&gt;0.02,"人工称重需复核","正常"))</x:f>
        <x:v>正常</x:v>
      </x:c>
      <x:c r="Q146" s="19" t="str">
        <x:v>许哲</x:v>
      </x:c>
    </x:row>
    <x:row r="147">
      <x:c r="A147" s="19" t="str">
        <x:v>2026-07-08|S02|D08</x:v>
      </x:c>
      <x:c r="B147" s="34" t="n">
        <x:v>46211.5</x:v>
      </x:c>
      <x:c r="C147" s="19" t="str">
        <x:v>S02</x:v>
      </x:c>
      <x:c r="D147" s="19" t="str">
        <x:v>尊宝大厦店</x:v>
      </x:c>
      <x:c r="E147" s="19" t="str">
        <x:v>D08</x:v>
      </x:c>
      <x:c r="F147" s="19" t="str">
        <x:v>生炒清远鸡</x:v>
      </x:c>
      <x:c r="G147" s="19" t="str">
        <x:v>R1.0</x:v>
      </x:c>
      <x:c r="H147" s="20" t="n">
        <x:f>XLOOKUP(A147,'菜品日销量'!$A$5:$A$1124,'菜品日销量'!$G$5:$G$1124,0)</x:f>
        <x:v>12</x:v>
      </x:c>
      <x:c r="I147" s="20" t="n">
        <x:f>ROUNDUP(H147/2,0)</x:f>
        <x:v>6</x:v>
      </x:c>
      <x:c r="J147" s="22" t="n">
        <x:f>SUMIFS('菜谱BOM'!$F$5:$F$160,'菜谱BOM'!$A$5:$A$160,E147,'菜谱BOM'!$C$5:$C$160,"食材")</x:f>
        <x:v>610</x:v>
      </x:c>
      <x:c r="K147" s="38" t="n">
        <x:v>-0.007348747309145692</x:v>
      </x:c>
      <x:c r="L147" s="35" t="n">
        <x:f>H147*J147*(1+K147)</x:f>
        <x:v>7266.207169697053</x:v>
      </x:c>
      <x:c r="M147" s="35" t="n">
        <x:f>SUMIFS('菜谱BOM'!$F$5:$F$160,'菜谱BOM'!$A$5:$A$160,E147,'菜谱BOM'!$C$5:$C$160,"调料")</x:f>
        <x:v>61</x:v>
      </x:c>
      <x:c r="N147" s="38" t="n">
        <x:v>-0.0016666992790221003</x:v>
      </x:c>
      <x:c r="O147" s="35" t="n">
        <x:f>H147*M147*(1+N147)</x:f>
        <x:v>730.7799761277558</x:v>
      </x:c>
      <x:c r="P147" s="19" t="str">
        <x:f>IF(ABS(N147)&gt;'封面与口径'!$O$25,"机器调料需复核",IF(ABS(K147)&gt;0.02,"人工称重需复核","正常"))</x:f>
        <x:v>正常</x:v>
      </x:c>
      <x:c r="Q147" s="19" t="str">
        <x:v>许哲</x:v>
      </x:c>
    </x:row>
    <x:row r="148">
      <x:c r="A148" s="19" t="str">
        <x:v>2026-07-08|S02|D09</x:v>
      </x:c>
      <x:c r="B148" s="34" t="n">
        <x:v>46211.5</x:v>
      </x:c>
      <x:c r="C148" s="19" t="str">
        <x:v>S02</x:v>
      </x:c>
      <x:c r="D148" s="19" t="str">
        <x:v>尊宝大厦店</x:v>
      </x:c>
      <x:c r="E148" s="19" t="str">
        <x:v>D09</x:v>
      </x:c>
      <x:c r="F148" s="19" t="str">
        <x:v>炒豆干</x:v>
      </x:c>
      <x:c r="G148" s="19" t="str">
        <x:v>R1.0</x:v>
      </x:c>
      <x:c r="H148" s="20" t="n">
        <x:f>XLOOKUP(A148,'菜品日销量'!$A$5:$A$1124,'菜品日销量'!$G$5:$G$1124,0)</x:f>
        <x:v>18</x:v>
      </x:c>
      <x:c r="I148" s="20" t="n">
        <x:f>ROUNDUP(H148/2,0)</x:f>
        <x:v>9</x:v>
      </x:c>
      <x:c r="J148" s="22" t="n">
        <x:f>SUMIFS('菜谱BOM'!$F$5:$F$160,'菜谱BOM'!$A$5:$A$160,E148,'菜谱BOM'!$C$5:$C$160,"食材")</x:f>
        <x:v>520</x:v>
      </x:c>
      <x:c r="K148" s="38" t="n">
        <x:v>0.006508026960889815</x:v>
      </x:c>
      <x:c r="L148" s="35" t="n">
        <x:f>H148*J148*(1+K148)</x:f>
        <x:v>9420.91513235393</x:v>
      </x:c>
      <x:c r="M148" s="35" t="n">
        <x:f>SUMIFS('菜谱BOM'!$F$5:$F$160,'菜谱BOM'!$A$5:$A$160,E148,'菜谱BOM'!$C$5:$C$160,"调料")</x:f>
        <x:v>42</x:v>
      </x:c>
      <x:c r="N148" s="38" t="n">
        <x:v>-0.0019768743952682417</x:v>
      </x:c>
      <x:c r="O148" s="35" t="n">
        <x:f>H148*M148*(1+N148)</x:f>
        <x:v>754.5054829571772</x:v>
      </x:c>
      <x:c r="P148" s="19" t="str">
        <x:f>IF(ABS(N148)&gt;'封面与口径'!$O$25,"机器调料需复核",IF(ABS(K148)&gt;0.02,"人工称重需复核","正常"))</x:f>
        <x:v>正常</x:v>
      </x:c>
      <x:c r="Q148" s="19" t="str">
        <x:v>许哲</x:v>
      </x:c>
    </x:row>
    <x:row r="149">
      <x:c r="A149" s="19" t="str">
        <x:v>2026-07-08|S02|D10</x:v>
      </x:c>
      <x:c r="B149" s="34" t="n">
        <x:v>46211.5</x:v>
      </x:c>
      <x:c r="C149" s="19" t="str">
        <x:v>S02</x:v>
      </x:c>
      <x:c r="D149" s="19" t="str">
        <x:v>尊宝大厦店</x:v>
      </x:c>
      <x:c r="E149" s="19" t="str">
        <x:v>D10</x:v>
      </x:c>
      <x:c r="F149" s="19" t="str">
        <x:v>农家一碗香</x:v>
      </x:c>
      <x:c r="G149" s="19" t="str">
        <x:v>R2.3</x:v>
      </x:c>
      <x:c r="H149" s="20" t="n">
        <x:f>XLOOKUP(A149,'菜品日销量'!$A$5:$A$1124,'菜品日销量'!$G$5:$G$1124,0)</x:f>
        <x:v>18</x:v>
      </x:c>
      <x:c r="I149" s="20" t="n">
        <x:f>ROUNDUP(H149/2,0)</x:f>
        <x:v>9</x:v>
      </x:c>
      <x:c r="J149" s="22" t="n">
        <x:f>SUMIFS('菜谱BOM'!$F$5:$F$160,'菜谱BOM'!$A$5:$A$160,E149,'菜谱BOM'!$C$5:$C$160,"食材")</x:f>
        <x:v>510</x:v>
      </x:c>
      <x:c r="K149" s="38" t="n">
        <x:v>0.00027610293968489865</x:v>
      </x:c>
      <x:c r="L149" s="35" t="n">
        <x:f>H149*J149*(1+K149)</x:f>
        <x:v>9182.534624986307</x:v>
      </x:c>
      <x:c r="M149" s="35" t="n">
        <x:f>SUMIFS('菜谱BOM'!$F$5:$F$160,'菜谱BOM'!$A$5:$A$160,E149,'菜谱BOM'!$C$5:$C$160,"调料")</x:f>
        <x:v>88</x:v>
      </x:c>
      <x:c r="N149" s="38" t="n">
        <x:v>0.0016393607667738945</x:v>
      </x:c>
      <x:c r="O149" s="35" t="n">
        <x:f>H149*M149*(1+N149)</x:f>
        <x:v>1586.59674745457</x:v>
      </x:c>
      <x:c r="P149" s="19" t="str">
        <x:f>IF(ABS(N149)&gt;'封面与口径'!$O$25,"机器调料需复核",IF(ABS(K149)&gt;0.02,"人工称重需复核","正常"))</x:f>
        <x:v>正常</x:v>
      </x:c>
      <x:c r="Q149" s="19" t="str">
        <x:v>许哲</x:v>
      </x:c>
    </x:row>
    <x:row r="150">
      <x:c r="A150" s="19" t="str">
        <x:v>2026-07-08|S02|D11</x:v>
      </x:c>
      <x:c r="B150" s="34" t="n">
        <x:v>46211.5</x:v>
      </x:c>
      <x:c r="C150" s="19" t="str">
        <x:v>S02</x:v>
      </x:c>
      <x:c r="D150" s="19" t="str">
        <x:v>尊宝大厦店</x:v>
      </x:c>
      <x:c r="E150" s="19" t="str">
        <x:v>D11</x:v>
      </x:c>
      <x:c r="F150" s="19" t="str">
        <x:v>香辣爆肥肠</x:v>
      </x:c>
      <x:c r="G150" s="19" t="str">
        <x:v>R1.0</x:v>
      </x:c>
      <x:c r="H150" s="20" t="n">
        <x:f>XLOOKUP(A150,'菜品日销量'!$A$5:$A$1124,'菜品日销量'!$G$5:$G$1124,0)</x:f>
        <x:v>7</x:v>
      </x:c>
      <x:c r="I150" s="20" t="n">
        <x:f>ROUNDUP(H150/2,0)</x:f>
        <x:v>4</x:v>
      </x:c>
      <x:c r="J150" s="22" t="n">
        <x:f>SUMIFS('菜谱BOM'!$F$5:$F$160,'菜谱BOM'!$A$5:$A$160,E150,'菜谱BOM'!$C$5:$C$160,"食材")</x:f>
        <x:v>430</x:v>
      </x:c>
      <x:c r="K150" s="38" t="n">
        <x:v>0.0019954528943624938</x:v>
      </x:c>
      <x:c r="L150" s="35" t="n">
        <x:f>H150*J150*(1+K150)</x:f>
        <x:v>3016.006313212031</x:v>
      </x:c>
      <x:c r="M150" s="35" t="n">
        <x:f>SUMIFS('菜谱BOM'!$F$5:$F$160,'菜谱BOM'!$A$5:$A$160,E150,'菜谱BOM'!$C$5:$C$160,"调料")</x:f>
        <x:v>67</x:v>
      </x:c>
      <x:c r="N150" s="38" t="n">
        <x:v>-0.0007077434749127701</x:v>
      </x:c>
      <x:c r="O150" s="35" t="n">
        <x:f>H150*M150*(1+N150)</x:f>
        <x:v>468.66806831026594</x:v>
      </x:c>
      <x:c r="P150" s="19" t="str">
        <x:f>IF(ABS(N150)&gt;'封面与口径'!$O$25,"机器调料需复核",IF(ABS(K150)&gt;0.02,"人工称重需复核","正常"))</x:f>
        <x:v>正常</x:v>
      </x:c>
      <x:c r="Q150" s="19" t="str">
        <x:v>许哲</x:v>
      </x:c>
    </x:row>
    <x:row r="151">
      <x:c r="A151" s="19" t="str">
        <x:v>2026-07-08|S02|D13</x:v>
      </x:c>
      <x:c r="B151" s="34" t="n">
        <x:v>46211.5</x:v>
      </x:c>
      <x:c r="C151" s="19" t="str">
        <x:v>S02</x:v>
      </x:c>
      <x:c r="D151" s="19" t="str">
        <x:v>尊宝大厦店</x:v>
      </x:c>
      <x:c r="E151" s="19" t="str">
        <x:v>D13</x:v>
      </x:c>
      <x:c r="F151" s="19" t="str">
        <x:v>外婆菜炒蛋</x:v>
      </x:c>
      <x:c r="G151" s="19" t="str">
        <x:v>R1.0</x:v>
      </x:c>
      <x:c r="H151" s="20" t="n">
        <x:f>XLOOKUP(A151,'菜品日销量'!$A$5:$A$1124,'菜品日销量'!$G$5:$G$1124,0)</x:f>
        <x:v>16</x:v>
      </x:c>
      <x:c r="I151" s="20" t="n">
        <x:f>ROUNDUP(H151/2,0)</x:f>
        <x:v>8</x:v>
      </x:c>
      <x:c r="J151" s="22" t="n">
        <x:f>SUMIFS('菜谱BOM'!$F$5:$F$160,'菜谱BOM'!$A$5:$A$160,E151,'菜谱BOM'!$C$5:$C$160,"食材")</x:f>
        <x:v>450</x:v>
      </x:c>
      <x:c r="K151" s="38" t="n">
        <x:v>-0.0033590798031909114</x:v>
      </x:c>
      <x:c r="L151" s="35" t="n">
        <x:f>H151*J151*(1+K151)</x:f>
        <x:v>7175.814625417025</x:v>
      </x:c>
      <x:c r="M151" s="35" t="n">
        <x:f>SUMIFS('菜谱BOM'!$F$5:$F$160,'菜谱BOM'!$A$5:$A$160,E151,'菜谱BOM'!$C$5:$C$160,"调料")</x:f>
        <x:v>37</x:v>
      </x:c>
      <x:c r="N151" s="38" t="n">
        <x:v>0.0006063815994668711</x:v>
      </x:c>
      <x:c r="O151" s="35" t="n">
        <x:f>H151*M151*(1+N151)</x:f>
        <x:v>592.3589779068843</x:v>
      </x:c>
      <x:c r="P151" s="19" t="str">
        <x:f>IF(ABS(N151)&gt;'封面与口径'!$O$25,"机器调料需复核",IF(ABS(K151)&gt;0.02,"人工称重需复核","正常"))</x:f>
        <x:v>正常</x:v>
      </x:c>
      <x:c r="Q151" s="19" t="str">
        <x:v>许哲</x:v>
      </x:c>
    </x:row>
    <x:row r="152">
      <x:c r="A152" s="19" t="str">
        <x:v>2026-07-08|S02|D14</x:v>
      </x:c>
      <x:c r="B152" s="34" t="n">
        <x:v>46211.5</x:v>
      </x:c>
      <x:c r="C152" s="19" t="str">
        <x:v>S02</x:v>
      </x:c>
      <x:c r="D152" s="19" t="str">
        <x:v>尊宝大厦店</x:v>
      </x:c>
      <x:c r="E152" s="19" t="str">
        <x:v>D14</x:v>
      </x:c>
      <x:c r="F152" s="19" t="str">
        <x:v>酸辣鸡杂</x:v>
      </x:c>
      <x:c r="G152" s="19" t="str">
        <x:v>R1.0</x:v>
      </x:c>
      <x:c r="H152" s="20" t="n">
        <x:f>XLOOKUP(A152,'菜品日销量'!$A$5:$A$1124,'菜品日销量'!$G$5:$G$1124,0)</x:f>
        <x:v>8</x:v>
      </x:c>
      <x:c r="I152" s="20" t="n">
        <x:f>ROUNDUP(H152/2,0)</x:f>
        <x:v>4</x:v>
      </x:c>
      <x:c r="J152" s="22" t="n">
        <x:f>SUMIFS('菜谱BOM'!$F$5:$F$160,'菜谱BOM'!$A$5:$A$160,E152,'菜谱BOM'!$C$5:$C$160,"食材")</x:f>
        <x:v>470</x:v>
      </x:c>
      <x:c r="K152" s="38" t="n">
        <x:v>-0.0057966762552495756</x:v>
      </x:c>
      <x:c r="L152" s="35" t="n">
        <x:f>H152*J152*(1+K152)</x:f>
        <x:v>3738.2044972802614</x:v>
      </x:c>
      <x:c r="M152" s="35" t="n">
        <x:f>SUMIFS('菜谱BOM'!$F$5:$F$160,'菜谱BOM'!$A$5:$A$160,E152,'菜谱BOM'!$C$5:$C$160,"调料")</x:f>
        <x:v>60</x:v>
      </x:c>
      <x:c r="N152" s="38" t="n">
        <x:v>-0.001542555675735361</x:v>
      </x:c>
      <x:c r="O152" s="35" t="n">
        <x:f>H152*M152*(1+N152)</x:f>
        <x:v>479.259573275647</x:v>
      </x:c>
      <x:c r="P152" s="19" t="str">
        <x:f>IF(ABS(N152)&gt;'封面与口径'!$O$25,"机器调料需复核",IF(ABS(K152)&gt;0.02,"人工称重需复核","正常"))</x:f>
        <x:v>正常</x:v>
      </x:c>
      <x:c r="Q152" s="19" t="str">
        <x:v>许哲</x:v>
      </x:c>
    </x:row>
    <x:row r="153">
      <x:c r="A153" s="19" t="str">
        <x:v>2026-07-08|S02|D15</x:v>
      </x:c>
      <x:c r="B153" s="34" t="n">
        <x:v>46211.5</x:v>
      </x:c>
      <x:c r="C153" s="19" t="str">
        <x:v>S02</x:v>
      </x:c>
      <x:c r="D153" s="19" t="str">
        <x:v>尊宝大厦店</x:v>
      </x:c>
      <x:c r="E153" s="19" t="str">
        <x:v>D15</x:v>
      </x:c>
      <x:c r="F153" s="19" t="str">
        <x:v>湘西土匪猪肝</x:v>
      </x:c>
      <x:c r="G153" s="19" t="str">
        <x:v>R1.0</x:v>
      </x:c>
      <x:c r="H153" s="20" t="n">
        <x:f>XLOOKUP(A153,'菜品日销量'!$A$5:$A$1124,'菜品日销量'!$G$5:$G$1124,0)</x:f>
        <x:v>7</x:v>
      </x:c>
      <x:c r="I153" s="20" t="n">
        <x:f>ROUNDUP(H153/2,0)</x:f>
        <x:v>4</x:v>
      </x:c>
      <x:c r="J153" s="22" t="n">
        <x:f>SUMIFS('菜谱BOM'!$F$5:$F$160,'菜谱BOM'!$A$5:$A$160,E153,'菜谱BOM'!$C$5:$C$160,"食材")</x:f>
        <x:v>470</x:v>
      </x:c>
      <x:c r="K153" s="38" t="n">
        <x:v>0.0049611570231991725</x:v>
      </x:c>
      <x:c r="L153" s="35" t="n">
        <x:f>H153*J153*(1+K153)</x:f>
        <x:v>3306.322206606325</x:v>
      </x:c>
      <x:c r="M153" s="35" t="n">
        <x:f>SUMIFS('菜谱BOM'!$F$5:$F$160,'菜谱BOM'!$A$5:$A$160,E153,'菜谱BOM'!$C$5:$C$160,"调料")</x:f>
        <x:v>49</x:v>
      </x:c>
      <x:c r="N153" s="38" t="n">
        <x:v>0.0006477370957489446</x:v>
      </x:c>
      <x:c r="O153" s="35" t="n">
        <x:f>H153*M153*(1+N153)</x:f>
        <x:v>343.2221738238419</x:v>
      </x:c>
      <x:c r="P153" s="19" t="str">
        <x:f>IF(ABS(N153)&gt;'封面与口径'!$O$25,"机器调料需复核",IF(ABS(K153)&gt;0.02,"人工称重需复核","正常"))</x:f>
        <x:v>正常</x:v>
      </x:c>
      <x:c r="Q153" s="19" t="str">
        <x:v>许哲</x:v>
      </x:c>
    </x:row>
    <x:row r="154">
      <x:c r="A154" s="19" t="str">
        <x:v>2026-07-08|S02|D16</x:v>
      </x:c>
      <x:c r="B154" s="34" t="n">
        <x:v>46211.5</x:v>
      </x:c>
      <x:c r="C154" s="19" t="str">
        <x:v>S02</x:v>
      </x:c>
      <x:c r="D154" s="19" t="str">
        <x:v>尊宝大厦店</x:v>
      </x:c>
      <x:c r="E154" s="19" t="str">
        <x:v>D16</x:v>
      </x:c>
      <x:c r="F154" s="19" t="str">
        <x:v>小豆角炒五花</x:v>
      </x:c>
      <x:c r="G154" s="19" t="str">
        <x:v>R1.0</x:v>
      </x:c>
      <x:c r="H154" s="20" t="n">
        <x:f>XLOOKUP(A154,'菜品日销量'!$A$5:$A$1124,'菜品日销量'!$G$5:$G$1124,0)</x:f>
        <x:v>8</x:v>
      </x:c>
      <x:c r="I154" s="20" t="n">
        <x:f>ROUNDUP(H154/2,0)</x:f>
        <x:v>4</x:v>
      </x:c>
      <x:c r="J154" s="22" t="n">
        <x:f>SUMIFS('菜谱BOM'!$F$5:$F$160,'菜谱BOM'!$A$5:$A$160,E154,'菜谱BOM'!$C$5:$C$160,"食材")</x:f>
        <x:v>450</x:v>
      </x:c>
      <x:c r="K154" s="38" t="n">
        <x:v>0.005839841443542355</x:v>
      </x:c>
      <x:c r="L154" s="35" t="n">
        <x:f>H154*J154*(1+K154)</x:f>
        <x:v>3621.023429196752</x:v>
      </x:c>
      <x:c r="M154" s="35" t="n">
        <x:f>SUMIFS('菜谱BOM'!$F$5:$F$160,'菜谱BOM'!$A$5:$A$160,E154,'菜谱BOM'!$C$5:$C$160,"调料")</x:f>
        <x:v>42</x:v>
      </x:c>
      <x:c r="N154" s="38" t="n">
        <x:v>0.0019540102761131735</x:v>
      </x:c>
      <x:c r="O154" s="35" t="n">
        <x:f>H154*M154*(1+N154)</x:f>
        <x:v>336.656547452774</x:v>
      </x:c>
      <x:c r="P154" s="19" t="str">
        <x:f>IF(ABS(N154)&gt;'封面与口径'!$O$25,"机器调料需复核",IF(ABS(K154)&gt;0.02,"人工称重需复核","正常"))</x:f>
        <x:v>正常</x:v>
      </x:c>
      <x:c r="Q154" s="19" t="str">
        <x:v>许哲</x:v>
      </x:c>
    </x:row>
    <x:row r="155">
      <x:c r="A155" s="19" t="str">
        <x:v>2026-07-08|S02|D18</x:v>
      </x:c>
      <x:c r="B155" s="34" t="n">
        <x:v>46211.5</x:v>
      </x:c>
      <x:c r="C155" s="19" t="str">
        <x:v>S02</x:v>
      </x:c>
      <x:c r="D155" s="19" t="str">
        <x:v>尊宝大厦店</x:v>
      </x:c>
      <x:c r="E155" s="19" t="str">
        <x:v>D18</x:v>
      </x:c>
      <x:c r="F155" s="19" t="str">
        <x:v>青椒炒油麦菜</x:v>
      </x:c>
      <x:c r="G155" s="19" t="str">
        <x:v>R1.0</x:v>
      </x:c>
      <x:c r="H155" s="20" t="n">
        <x:f>XLOOKUP(A155,'菜品日销量'!$A$5:$A$1124,'菜品日销量'!$G$5:$G$1124,0)</x:f>
        <x:v>9</x:v>
      </x:c>
      <x:c r="I155" s="20" t="n">
        <x:f>ROUNDUP(H155/2,0)</x:f>
        <x:v>5</x:v>
      </x:c>
      <x:c r="J155" s="22" t="n">
        <x:f>SUMIFS('菜谱BOM'!$F$5:$F$160,'菜谱BOM'!$A$5:$A$160,E155,'菜谱BOM'!$C$5:$C$160,"食材")</x:f>
        <x:v>430</x:v>
      </x:c>
      <x:c r="K155" s="38" t="n">
        <x:v>-0.0036436536227454556</x:v>
      </x:c>
      <x:c r="L155" s="35" t="n">
        <x:f>H155*J155*(1+K155)</x:f>
        <x:v>3855.899060479975</x:v>
      </x:c>
      <x:c r="M155" s="35" t="n">
        <x:f>SUMIFS('菜谱BOM'!$F$5:$F$160,'菜谱BOM'!$A$5:$A$160,E155,'菜谱BOM'!$C$5:$C$160,"调料")</x:f>
        <x:v>33</x:v>
      </x:c>
      <x:c r="N155" s="38" t="n">
        <x:v>-0.0014305880338490447</x:v>
      </x:c>
      <x:c r="O155" s="35" t="n">
        <x:f>H155*M155*(1+N155)</x:f>
        <x:v>296.57511535394684</x:v>
      </x:c>
      <x:c r="P155" s="19" t="str">
        <x:f>IF(ABS(N155)&gt;'封面与口径'!$O$25,"机器调料需复核",IF(ABS(K155)&gt;0.02,"人工称重需复核","正常"))</x:f>
        <x:v>正常</x:v>
      </x:c>
      <x:c r="Q155" s="19" t="str">
        <x:v>许哲</x:v>
      </x:c>
    </x:row>
    <x:row r="156">
      <x:c r="A156" s="19" t="str">
        <x:v>2026-07-08|S02|D19</x:v>
      </x:c>
      <x:c r="B156" s="34" t="n">
        <x:v>46211.5</x:v>
      </x:c>
      <x:c r="C156" s="19" t="str">
        <x:v>S02</x:v>
      </x:c>
      <x:c r="D156" s="19" t="str">
        <x:v>尊宝大厦店</x:v>
      </x:c>
      <x:c r="E156" s="19" t="str">
        <x:v>D19</x:v>
      </x:c>
      <x:c r="F156" s="19" t="str">
        <x:v>酸萝卜炒鸡杂</x:v>
      </x:c>
      <x:c r="G156" s="19" t="str">
        <x:v>R1.0</x:v>
      </x:c>
      <x:c r="H156" s="20" t="n">
        <x:f>XLOOKUP(A156,'菜品日销量'!$A$5:$A$1124,'菜品日销量'!$G$5:$G$1124,0)</x:f>
        <x:v>6</x:v>
      </x:c>
      <x:c r="I156" s="20" t="n">
        <x:f>ROUNDUP(H156/2,0)</x:f>
        <x:v>3</x:v>
      </x:c>
      <x:c r="J156" s="22" t="n">
        <x:f>SUMIFS('菜谱BOM'!$F$5:$F$160,'菜谱BOM'!$A$5:$A$160,E156,'菜谱BOM'!$C$5:$C$160,"食材")</x:f>
        <x:v>500</x:v>
      </x:c>
      <x:c r="K156" s="38" t="n">
        <x:v>0.0029968912440810572</x:v>
      </x:c>
      <x:c r="L156" s="35" t="n">
        <x:f>H156*J156*(1+K156)</x:f>
        <x:v>3008.990673732243</x:v>
      </x:c>
      <x:c r="M156" s="35" t="n">
        <x:f>SUMIFS('菜谱BOM'!$F$5:$F$160,'菜谱BOM'!$A$5:$A$160,E156,'菜谱BOM'!$C$5:$C$160,"调料")</x:f>
        <x:v>55</x:v>
      </x:c>
      <x:c r="N156" s="38" t="n">
        <x:v>0.0012517331380517533</x:v>
      </x:c>
      <x:c r="O156" s="35" t="n">
        <x:f>H156*M156*(1+N156)</x:f>
        <x:v>330.41307193555707</x:v>
      </x:c>
      <x:c r="P156" s="19" t="str">
        <x:f>IF(ABS(N156)&gt;'封面与口径'!$O$25,"机器调料需复核",IF(ABS(K156)&gt;0.02,"人工称重需复核","正常"))</x:f>
        <x:v>正常</x:v>
      </x:c>
      <x:c r="Q156" s="19" t="str">
        <x:v>许哲</x:v>
      </x:c>
    </x:row>
    <x:row r="157">
      <x:c r="A157" s="19" t="str">
        <x:v>2026-07-08|S02|D20</x:v>
      </x:c>
      <x:c r="B157" s="34" t="n">
        <x:v>46211.5</x:v>
      </x:c>
      <x:c r="C157" s="19" t="str">
        <x:v>S02</x:v>
      </x:c>
      <x:c r="D157" s="19" t="str">
        <x:v>尊宝大厦店</x:v>
      </x:c>
      <x:c r="E157" s="19" t="str">
        <x:v>D20</x:v>
      </x:c>
      <x:c r="F157" s="19" t="str">
        <x:v>雪菜肉末青豆</x:v>
      </x:c>
      <x:c r="G157" s="19" t="str">
        <x:v>R1.0</x:v>
      </x:c>
      <x:c r="H157" s="20" t="n">
        <x:f>XLOOKUP(A157,'菜品日销量'!$A$5:$A$1124,'菜品日销量'!$G$5:$G$1124,0)</x:f>
        <x:v>9</x:v>
      </x:c>
      <x:c r="I157" s="20" t="n">
        <x:f>ROUNDUP(H157/2,0)</x:f>
        <x:v>5</x:v>
      </x:c>
      <x:c r="J157" s="22" t="n">
        <x:f>SUMIFS('菜谱BOM'!$F$5:$F$160,'菜谱BOM'!$A$5:$A$160,E157,'菜谱BOM'!$C$5:$C$160,"食材")</x:f>
        <x:v>465</x:v>
      </x:c>
      <x:c r="K157" s="38" t="n">
        <x:v>-0.0066037640754607885</x:v>
      </x:c>
      <x:c r="L157" s="35" t="n">
        <x:f>H157*J157*(1+K157)</x:f>
        <x:v>4157.363247344197</x:v>
      </x:c>
      <x:c r="M157" s="35" t="n">
        <x:f>SUMIFS('菜谱BOM'!$F$5:$F$160,'菜谱BOM'!$A$5:$A$160,E157,'菜谱BOM'!$C$5:$C$160,"调料")</x:f>
        <x:v>32</x:v>
      </x:c>
      <x:c r="N157" s="38" t="n">
        <x:v>0.0004436370270428336</x:v>
      </x:c>
      <x:c r="O157" s="35" t="n">
        <x:f>H157*M157*(1+N157)</x:f>
        <x:v>288.12776746378836</x:v>
      </x:c>
      <x:c r="P157" s="19" t="str">
        <x:f>IF(ABS(N157)&gt;'封面与口径'!$O$25,"机器调料需复核",IF(ABS(K157)&gt;0.02,"人工称重需复核","正常"))</x:f>
        <x:v>正常</x:v>
      </x:c>
      <x:c r="Q157" s="19" t="str">
        <x:v>许哲</x:v>
      </x:c>
    </x:row>
    <x:row r="158">
      <x:c r="A158" s="19" t="str">
        <x:v>2026-07-09|S02|D01</x:v>
      </x:c>
      <x:c r="B158" s="34" t="n">
        <x:v>46212.5</x:v>
      </x:c>
      <x:c r="C158" s="19" t="str">
        <x:v>S02</x:v>
      </x:c>
      <x:c r="D158" s="19" t="str">
        <x:v>尊宝大厦店</x:v>
      </x:c>
      <x:c r="E158" s="19" t="str">
        <x:v>D01</x:v>
      </x:c>
      <x:c r="F158" s="19" t="str">
        <x:v>辣椒炒肉</x:v>
      </x:c>
      <x:c r="G158" s="19" t="str">
        <x:v>R2.3</x:v>
      </x:c>
      <x:c r="H158" s="20" t="n">
        <x:f>XLOOKUP(A158,'菜品日销量'!$A$5:$A$1124,'菜品日销量'!$G$5:$G$1124,0)</x:f>
        <x:v>52</x:v>
      </x:c>
      <x:c r="I158" s="20" t="n">
        <x:f>ROUNDUP(H158/2,0)</x:f>
        <x:v>26</x:v>
      </x:c>
      <x:c r="J158" s="22" t="n">
        <x:f>SUMIFS('菜谱BOM'!$F$5:$F$160,'菜谱BOM'!$A$5:$A$160,E158,'菜谱BOM'!$C$5:$C$160,"食材")</x:f>
        <x:v>550</x:v>
      </x:c>
      <x:c r="K158" s="38" t="n">
        <x:v>0.0072077466024103925</x:v>
      </x:c>
      <x:c r="L158" s="35" t="n">
        <x:f>H158*J158*(1+K158)</x:f>
        <x:v>28806.141552828936</x:v>
      </x:c>
      <x:c r="M158" s="35" t="n">
        <x:f>SUMIFS('菜谱BOM'!$F$5:$F$160,'菜谱BOM'!$A$5:$A$160,E158,'菜谱BOM'!$C$5:$C$160,"调料")</x:f>
        <x:v>104</x:v>
      </x:c>
      <x:c r="N158" s="38" t="n">
        <x:v>0.0003664129270162464</x:v>
      </x:c>
      <x:c r="O158" s="35" t="n">
        <x:f>H158*M158*(1+N158)</x:f>
        <x:v>5409.981561109304</x:v>
      </x:c>
      <x:c r="P158" s="19" t="str">
        <x:f>IF(ABS(N158)&gt;'封面与口径'!$O$25,"机器调料需复核",IF(ABS(K158)&gt;0.02,"人工称重需复核","正常"))</x:f>
        <x:v>正常</x:v>
      </x:c>
      <x:c r="Q158" s="19" t="str">
        <x:v>许哲</x:v>
      </x:c>
    </x:row>
    <x:row r="159">
      <x:c r="A159" s="19" t="str">
        <x:v>2026-07-09|S02|D02</x:v>
      </x:c>
      <x:c r="B159" s="34" t="n">
        <x:v>46212.5</x:v>
      </x:c>
      <x:c r="C159" s="19" t="str">
        <x:v>S02</x:v>
      </x:c>
      <x:c r="D159" s="19" t="str">
        <x:v>尊宝大厦店</x:v>
      </x:c>
      <x:c r="E159" s="19" t="str">
        <x:v>D02</x:v>
      </x:c>
      <x:c r="F159" s="19" t="str">
        <x:v>小炒黄牛肉</x:v>
      </x:c>
      <x:c r="G159" s="19" t="str">
        <x:v>R2.3</x:v>
      </x:c>
      <x:c r="H159" s="20" t="n">
        <x:f>XLOOKUP(A159,'菜品日销量'!$A$5:$A$1124,'菜品日销量'!$G$5:$G$1124,0)</x:f>
        <x:v>35</x:v>
      </x:c>
      <x:c r="I159" s="20" t="n">
        <x:f>ROUNDUP(H159/2,0)</x:f>
        <x:v>18</x:v>
      </x:c>
      <x:c r="J159" s="22" t="n">
        <x:f>SUMIFS('菜谱BOM'!$F$5:$F$160,'菜谱BOM'!$A$5:$A$160,E159,'菜谱BOM'!$C$5:$C$160,"食材")</x:f>
        <x:v>560</x:v>
      </x:c>
      <x:c r="K159" s="38" t="n">
        <x:v>-0.006408031008766971</x:v>
      </x:c>
      <x:c r="L159" s="35" t="n">
        <x:f>H159*J159*(1+K159)</x:f>
        <x:v>19474.40259222817</x:v>
      </x:c>
      <x:c r="M159" s="35" t="n">
        <x:f>SUMIFS('菜谱BOM'!$F$5:$F$160,'菜谱BOM'!$A$5:$A$160,E159,'菜谱BOM'!$C$5:$C$160,"调料")</x:f>
        <x:v>133</x:v>
      </x:c>
      <x:c r="N159" s="38" t="n">
        <x:v>0.0007486250658399949</x:v>
      </x:c>
      <x:c r="O159" s="35" t="n">
        <x:f>H159*M159*(1+N159)</x:f>
        <x:v>4658.484849681485</x:v>
      </x:c>
      <x:c r="P159" s="19" t="str">
        <x:f>IF(ABS(N159)&gt;'封面与口径'!$O$25,"机器调料需复核",IF(ABS(K159)&gt;0.02,"人工称重需复核","正常"))</x:f>
        <x:v>正常</x:v>
      </x:c>
      <x:c r="Q159" s="19" t="str">
        <x:v>许哲</x:v>
      </x:c>
    </x:row>
    <x:row r="160">
      <x:c r="A160" s="19" t="str">
        <x:v>2026-07-09|S02|D03</x:v>
      </x:c>
      <x:c r="B160" s="34" t="n">
        <x:v>46212.5</x:v>
      </x:c>
      <x:c r="C160" s="19" t="str">
        <x:v>S02</x:v>
      </x:c>
      <x:c r="D160" s="19" t="str">
        <x:v>尊宝大厦店</x:v>
      </x:c>
      <x:c r="E160" s="19" t="str">
        <x:v>D03</x:v>
      </x:c>
      <x:c r="F160" s="19" t="str">
        <x:v>香醋炒蛋</x:v>
      </x:c>
      <x:c r="G160" s="19" t="str">
        <x:v>R1.0</x:v>
      </x:c>
      <x:c r="H160" s="20" t="n">
        <x:f>XLOOKUP(A160,'菜品日销量'!$A$5:$A$1124,'菜品日销量'!$G$5:$G$1124,0)</x:f>
        <x:v>42</x:v>
      </x:c>
      <x:c r="I160" s="20" t="n">
        <x:f>ROUNDUP(H160/2,0)</x:f>
        <x:v>21</x:v>
      </x:c>
      <x:c r="J160" s="22" t="n">
        <x:f>SUMIFS('菜谱BOM'!$F$5:$F$160,'菜谱BOM'!$A$5:$A$160,E160,'菜谱BOM'!$C$5:$C$160,"食材")</x:f>
        <x:v>300</x:v>
      </x:c>
      <x:c r="K160" s="38" t="n">
        <x:v>0.007292533710434226</x:v>
      </x:c>
      <x:c r="L160" s="35" t="n">
        <x:f>H160*J160*(1+K160)</x:f>
        <x:v>12691.88592475147</x:v>
      </x:c>
      <x:c r="M160" s="35" t="n">
        <x:f>SUMIFS('菜谱BOM'!$F$5:$F$160,'菜谱BOM'!$A$5:$A$160,E160,'菜谱BOM'!$C$5:$C$160,"调料")</x:f>
        <x:v>53</x:v>
      </x:c>
      <x:c r="N160" s="38" t="n">
        <x:v>0.0013573680881777239</x:v>
      </x:c>
      <x:c r="O160" s="35" t="n">
        <x:f>H160*M160*(1+N160)</x:f>
        <x:v>2229.0215013642837</x:v>
      </x:c>
      <x:c r="P160" s="19" t="str">
        <x:f>IF(ABS(N160)&gt;'封面与口径'!$O$25,"机器调料需复核",IF(ABS(K160)&gt;0.02,"人工称重需复核","正常"))</x:f>
        <x:v>正常</x:v>
      </x:c>
      <x:c r="Q160" s="19" t="str">
        <x:v>许哲</x:v>
      </x:c>
    </x:row>
    <x:row r="161">
      <x:c r="A161" s="19" t="str">
        <x:v>2026-07-09|S02|D04</x:v>
      </x:c>
      <x:c r="B161" s="34" t="n">
        <x:v>46212.5</x:v>
      </x:c>
      <x:c r="C161" s="19" t="str">
        <x:v>S02</x:v>
      </x:c>
      <x:c r="D161" s="19" t="str">
        <x:v>尊宝大厦店</x:v>
      </x:c>
      <x:c r="E161" s="19" t="str">
        <x:v>D04</x:v>
      </x:c>
      <x:c r="F161" s="19" t="str">
        <x:v>酸包菜炒粉皮</x:v>
      </x:c>
      <x:c r="G161" s="19" t="str">
        <x:v>R1.0</x:v>
      </x:c>
      <x:c r="H161" s="20" t="n">
        <x:f>XLOOKUP(A161,'菜品日销量'!$A$5:$A$1124,'菜品日销量'!$G$5:$G$1124,0)</x:f>
        <x:v>39</x:v>
      </x:c>
      <x:c r="I161" s="20" t="n">
        <x:f>ROUNDUP(H161/2,0)</x:f>
        <x:v>20</x:v>
      </x:c>
      <x:c r="J161" s="22" t="n">
        <x:f>SUMIFS('菜谱BOM'!$F$5:$F$160,'菜谱BOM'!$A$5:$A$160,E161,'菜谱BOM'!$C$5:$C$160,"食材")</x:f>
        <x:v>380</x:v>
      </x:c>
      <x:c r="K161" s="38" t="n">
        <x:v>0.001435946839264581</x:v>
      </x:c>
      <x:c r="L161" s="35" t="n">
        <x:f>H161*J161*(1+K161)</x:f>
        <x:v>14841.280732157902</x:v>
      </x:c>
      <x:c r="M161" s="35" t="n">
        <x:f>SUMIFS('菜谱BOM'!$F$5:$F$160,'菜谱BOM'!$A$5:$A$160,E161,'菜谱BOM'!$C$5:$C$160,"调料")</x:f>
        <x:v>47</x:v>
      </x:c>
      <x:c r="N161" s="38" t="n">
        <x:v>0.00037192530705871185</x:v>
      </x:c>
      <x:c r="O161" s="35" t="n">
        <x:f>H161*M161*(1+N161)</x:f>
        <x:v>1833.6817390878384</x:v>
      </x:c>
      <x:c r="P161" s="19" t="str">
        <x:f>IF(ABS(N161)&gt;'封面与口径'!$O$25,"机器调料需复核",IF(ABS(K161)&gt;0.02,"人工称重需复核","正常"))</x:f>
        <x:v>正常</x:v>
      </x:c>
      <x:c r="Q161" s="19" t="str">
        <x:v>许哲</x:v>
      </x:c>
    </x:row>
    <x:row r="162">
      <x:c r="A162" s="19" t="str">
        <x:v>2026-07-09|S02|D05</x:v>
      </x:c>
      <x:c r="B162" s="34" t="n">
        <x:v>46212.5</x:v>
      </x:c>
      <x:c r="C162" s="19" t="str">
        <x:v>S02</x:v>
      </x:c>
      <x:c r="D162" s="19" t="str">
        <x:v>尊宝大厦店</x:v>
      </x:c>
      <x:c r="E162" s="19" t="str">
        <x:v>D05</x:v>
      </x:c>
      <x:c r="F162" s="19" t="str">
        <x:v>麻婆豆腐</x:v>
      </x:c>
      <x:c r="G162" s="19" t="str">
        <x:v>R1.0</x:v>
      </x:c>
      <x:c r="H162" s="20" t="n">
        <x:f>XLOOKUP(A162,'菜品日销量'!$A$5:$A$1124,'菜品日销量'!$G$5:$G$1124,0)</x:f>
        <x:v>58</x:v>
      </x:c>
      <x:c r="I162" s="20" t="n">
        <x:f>ROUNDUP(H162/2,0)</x:f>
        <x:v>29</x:v>
      </x:c>
      <x:c r="J162" s="22" t="n">
        <x:f>SUMIFS('菜谱BOM'!$F$5:$F$160,'菜谱BOM'!$A$5:$A$160,E162,'菜谱BOM'!$C$5:$C$160,"食材")</x:f>
        <x:v>505</x:v>
      </x:c>
      <x:c r="K162" s="38" t="n">
        <x:v>0.005600850186683436</x:v>
      </x:c>
      <x:c r="L162" s="35" t="n">
        <x:f>H162*J162*(1+K162)</x:f>
        <x:v>29454.048901967955</x:v>
      </x:c>
      <x:c r="M162" s="35" t="n">
        <x:f>SUMIFS('菜谱BOM'!$F$5:$F$160,'菜谱BOM'!$A$5:$A$160,E162,'菜谱BOM'!$C$5:$C$160,"调料")</x:f>
        <x:v>90</x:v>
      </x:c>
      <x:c r="N162" s="38" t="n">
        <x:v>0.0014349783145438365</x:v>
      </x:c>
      <x:c r="O162" s="35" t="n">
        <x:f>H162*M162*(1+N162)</x:f>
        <x:v>5227.490586801919</x:v>
      </x:c>
      <x:c r="P162" s="19" t="str">
        <x:f>IF(ABS(N162)&gt;'封面与口径'!$O$25,"机器调料需复核",IF(ABS(K162)&gt;0.02,"人工称重需复核","正常"))</x:f>
        <x:v>正常</x:v>
      </x:c>
      <x:c r="Q162" s="19" t="str">
        <x:v>许哲</x:v>
      </x:c>
    </x:row>
    <x:row r="163">
      <x:c r="A163" s="19" t="str">
        <x:v>2026-07-09|S02|D07</x:v>
      </x:c>
      <x:c r="B163" s="34" t="n">
        <x:v>46212.5</x:v>
      </x:c>
      <x:c r="C163" s="19" t="str">
        <x:v>S02</x:v>
      </x:c>
      <x:c r="D163" s="19" t="str">
        <x:v>尊宝大厦店</x:v>
      </x:c>
      <x:c r="E163" s="19" t="str">
        <x:v>D07</x:v>
      </x:c>
      <x:c r="F163" s="19" t="str">
        <x:v>川味回锅肉</x:v>
      </x:c>
      <x:c r="G163" s="19" t="str">
        <x:v>R1.0</x:v>
      </x:c>
      <x:c r="H163" s="20" t="n">
        <x:f>XLOOKUP(A163,'菜品日销量'!$A$5:$A$1124,'菜品日销量'!$G$5:$G$1124,0)</x:f>
        <x:v>16</x:v>
      </x:c>
      <x:c r="I163" s="20" t="n">
        <x:f>ROUNDUP(H163/2,0)</x:f>
        <x:v>8</x:v>
      </x:c>
      <x:c r="J163" s="22" t="n">
        <x:f>SUMIFS('菜谱BOM'!$F$5:$F$160,'菜谱BOM'!$A$5:$A$160,E163,'菜谱BOM'!$C$5:$C$160,"食材")</x:f>
        <x:v>450</x:v>
      </x:c>
      <x:c r="K163" s="38" t="n">
        <x:v>-0.0065608618293332074</x:v>
      </x:c>
      <x:c r="L163" s="35" t="n">
        <x:f>H163*J163*(1+K163)</x:f>
        <x:v>7152.761794828801</x:v>
      </x:c>
      <x:c r="M163" s="35" t="n">
        <x:f>SUMIFS('菜谱BOM'!$F$5:$F$160,'菜谱BOM'!$A$5:$A$160,E163,'菜谱BOM'!$C$5:$C$160,"调料")</x:f>
        <x:v>63</x:v>
      </x:c>
      <x:c r="N163" s="38" t="n">
        <x:v>-0.000978572671995166</x:v>
      </x:c>
      <x:c r="O163" s="35" t="n">
        <x:f>H163*M163*(1+N163)</x:f>
        <x:v>1007.0135987466289</x:v>
      </x:c>
      <x:c r="P163" s="19" t="str">
        <x:f>IF(ABS(N163)&gt;'封面与口径'!$O$25,"机器调料需复核",IF(ABS(K163)&gt;0.02,"人工称重需复核","正常"))</x:f>
        <x:v>正常</x:v>
      </x:c>
      <x:c r="Q163" s="19" t="str">
        <x:v>许哲</x:v>
      </x:c>
    </x:row>
    <x:row r="164">
      <x:c r="A164" s="19" t="str">
        <x:v>2026-07-09|S02|D08</x:v>
      </x:c>
      <x:c r="B164" s="34" t="n">
        <x:v>46212.5</x:v>
      </x:c>
      <x:c r="C164" s="19" t="str">
        <x:v>S02</x:v>
      </x:c>
      <x:c r="D164" s="19" t="str">
        <x:v>尊宝大厦店</x:v>
      </x:c>
      <x:c r="E164" s="19" t="str">
        <x:v>D08</x:v>
      </x:c>
      <x:c r="F164" s="19" t="str">
        <x:v>生炒清远鸡</x:v>
      </x:c>
      <x:c r="G164" s="19" t="str">
        <x:v>R1.0</x:v>
      </x:c>
      <x:c r="H164" s="20" t="n">
        <x:f>XLOOKUP(A164,'菜品日销量'!$A$5:$A$1124,'菜品日销量'!$G$5:$G$1124,0)</x:f>
        <x:v>12</x:v>
      </x:c>
      <x:c r="I164" s="20" t="n">
        <x:f>ROUNDUP(H164/2,0)</x:f>
        <x:v>6</x:v>
      </x:c>
      <x:c r="J164" s="22" t="n">
        <x:f>SUMIFS('菜谱BOM'!$F$5:$F$160,'菜谱BOM'!$A$5:$A$160,E164,'菜谱BOM'!$C$5:$C$160,"食材")</x:f>
        <x:v>610</x:v>
      </x:c>
      <x:c r="K164" s="38" t="n">
        <x:v>-0.005379715918884547</x:v>
      </x:c>
      <x:c r="L164" s="35" t="n">
        <x:f>H164*J164*(1+K164)</x:f>
        <x:v>7280.620479473765</x:v>
      </x:c>
      <x:c r="M164" s="35" t="n">
        <x:f>SUMIFS('菜谱BOM'!$F$5:$F$160,'菜谱BOM'!$A$5:$A$160,E164,'菜谱BOM'!$C$5:$C$160,"调料")</x:f>
        <x:v>61</x:v>
      </x:c>
      <x:c r="N164" s="38" t="n">
        <x:v>0.0003761644229237371</x:v>
      </x:c>
      <x:c r="O164" s="35" t="n">
        <x:f>H164*M164*(1+N164)</x:f>
        <x:v>732.2753523575801</x:v>
      </x:c>
      <x:c r="P164" s="19" t="str">
        <x:f>IF(ABS(N164)&gt;'封面与口径'!$O$25,"机器调料需复核",IF(ABS(K164)&gt;0.02,"人工称重需复核","正常"))</x:f>
        <x:v>正常</x:v>
      </x:c>
      <x:c r="Q164" s="19" t="str">
        <x:v>许哲</x:v>
      </x:c>
    </x:row>
    <x:row r="165">
      <x:c r="A165" s="19" t="str">
        <x:v>2026-07-09|S02|D09</x:v>
      </x:c>
      <x:c r="B165" s="34" t="n">
        <x:v>46212.5</x:v>
      </x:c>
      <x:c r="C165" s="19" t="str">
        <x:v>S02</x:v>
      </x:c>
      <x:c r="D165" s="19" t="str">
        <x:v>尊宝大厦店</x:v>
      </x:c>
      <x:c r="E165" s="19" t="str">
        <x:v>D09</x:v>
      </x:c>
      <x:c r="F165" s="19" t="str">
        <x:v>炒豆干</x:v>
      </x:c>
      <x:c r="G165" s="19" t="str">
        <x:v>R1.0</x:v>
      </x:c>
      <x:c r="H165" s="20" t="n">
        <x:f>XLOOKUP(A165,'菜品日销量'!$A$5:$A$1124,'菜品日销量'!$G$5:$G$1124,0)</x:f>
        <x:v>17</x:v>
      </x:c>
      <x:c r="I165" s="20" t="n">
        <x:f>ROUNDUP(H165/2,0)</x:f>
        <x:v>9</x:v>
      </x:c>
      <x:c r="J165" s="22" t="n">
        <x:f>SUMIFS('菜谱BOM'!$F$5:$F$160,'菜谱BOM'!$A$5:$A$160,E165,'菜谱BOM'!$C$5:$C$160,"食材")</x:f>
        <x:v>520</x:v>
      </x:c>
      <x:c r="K165" s="38" t="n">
        <x:v>-0.003391375477284048</x:v>
      </x:c>
      <x:c r="L165" s="35" t="n">
        <x:f>H165*J165*(1+K165)</x:f>
        <x:v>8810.020240780808</x:v>
      </x:c>
      <x:c r="M165" s="35" t="n">
        <x:f>SUMIFS('菜谱BOM'!$F$5:$F$160,'菜谱BOM'!$A$5:$A$160,E165,'菜谱BOM'!$C$5:$C$160,"调料")</x:f>
        <x:v>42</x:v>
      </x:c>
      <x:c r="N165" s="38" t="n">
        <x:v>0.0006862434564824782</x:v>
      </x:c>
      <x:c r="O165" s="35" t="n">
        <x:f>H165*M165*(1+N165)</x:f>
        <x:v>714.4899778279286</x:v>
      </x:c>
      <x:c r="P165" s="19" t="str">
        <x:f>IF(ABS(N165)&gt;'封面与口径'!$O$25,"机器调料需复核",IF(ABS(K165)&gt;0.02,"人工称重需复核","正常"))</x:f>
        <x:v>正常</x:v>
      </x:c>
      <x:c r="Q165" s="19" t="str">
        <x:v>许哲</x:v>
      </x:c>
    </x:row>
    <x:row r="166">
      <x:c r="A166" s="19" t="str">
        <x:v>2026-07-09|S02|D10</x:v>
      </x:c>
      <x:c r="B166" s="34" t="n">
        <x:v>46212.5</x:v>
      </x:c>
      <x:c r="C166" s="19" t="str">
        <x:v>S02</x:v>
      </x:c>
      <x:c r="D166" s="19" t="str">
        <x:v>尊宝大厦店</x:v>
      </x:c>
      <x:c r="E166" s="19" t="str">
        <x:v>D10</x:v>
      </x:c>
      <x:c r="F166" s="19" t="str">
        <x:v>农家一碗香</x:v>
      </x:c>
      <x:c r="G166" s="19" t="str">
        <x:v>R2.3</x:v>
      </x:c>
      <x:c r="H166" s="20" t="n">
        <x:f>XLOOKUP(A166,'菜品日销量'!$A$5:$A$1124,'菜品日销量'!$G$5:$G$1124,0)</x:f>
        <x:v>19</x:v>
      </x:c>
      <x:c r="I166" s="20" t="n">
        <x:f>ROUNDUP(H166/2,0)</x:f>
        <x:v>10</x:v>
      </x:c>
      <x:c r="J166" s="22" t="n">
        <x:f>SUMIFS('菜谱BOM'!$F$5:$F$160,'菜谱BOM'!$A$5:$A$160,E166,'菜谱BOM'!$C$5:$C$160,"食材")</x:f>
        <x:v>510</x:v>
      </x:c>
      <x:c r="K166" s="38" t="n">
        <x:v>0.004442238270408063</x:v>
      </x:c>
      <x:c r="L166" s="35" t="n">
        <x:f>H166*J166*(1+K166)</x:f>
        <x:v>9733.045288840254</x:v>
      </x:c>
      <x:c r="M166" s="35" t="n">
        <x:f>SUMIFS('菜谱BOM'!$F$5:$F$160,'菜谱BOM'!$A$5:$A$160,E166,'菜谱BOM'!$C$5:$C$160,"调料")</x:f>
        <x:v>88</x:v>
      </x:c>
      <x:c r="N166" s="38" t="n">
        <x:v>0.0001639698841990831</x:v>
      </x:c>
      <x:c r="O166" s="35" t="n">
        <x:f>H166*M166*(1+N166)</x:f>
        <x:v>1672.274157646381</x:v>
      </x:c>
      <x:c r="P166" s="19" t="str">
        <x:f>IF(ABS(N166)&gt;'封面与口径'!$O$25,"机器调料需复核",IF(ABS(K166)&gt;0.02,"人工称重需复核","正常"))</x:f>
        <x:v>正常</x:v>
      </x:c>
      <x:c r="Q166" s="19" t="str">
        <x:v>许哲</x:v>
      </x:c>
    </x:row>
    <x:row r="167">
      <x:c r="A167" s="19" t="str">
        <x:v>2026-07-09|S02|D11</x:v>
      </x:c>
      <x:c r="B167" s="34" t="n">
        <x:v>46212.5</x:v>
      </x:c>
      <x:c r="C167" s="19" t="str">
        <x:v>S02</x:v>
      </x:c>
      <x:c r="D167" s="19" t="str">
        <x:v>尊宝大厦店</x:v>
      </x:c>
      <x:c r="E167" s="19" t="str">
        <x:v>D11</x:v>
      </x:c>
      <x:c r="F167" s="19" t="str">
        <x:v>香辣爆肥肠</x:v>
      </x:c>
      <x:c r="G167" s="19" t="str">
        <x:v>R1.0</x:v>
      </x:c>
      <x:c r="H167" s="20" t="n">
        <x:f>XLOOKUP(A167,'菜品日销量'!$A$5:$A$1124,'菜品日销量'!$G$5:$G$1124,0)</x:f>
        <x:v>6</x:v>
      </x:c>
      <x:c r="I167" s="20" t="n">
        <x:f>ROUNDUP(H167/2,0)</x:f>
        <x:v>3</x:v>
      </x:c>
      <x:c r="J167" s="22" t="n">
        <x:f>SUMIFS('菜谱BOM'!$F$5:$F$160,'菜谱BOM'!$A$5:$A$160,E167,'菜谱BOM'!$C$5:$C$160,"食材")</x:f>
        <x:v>430</x:v>
      </x:c>
      <x:c r="K167" s="38" t="n">
        <x:v>0.005340649272627349</x:v>
      </x:c>
      <x:c r="L167" s="35" t="n">
        <x:f>H167*J167*(1+K167)</x:f>
        <x:v>2593.7788751233784</x:v>
      </x:c>
      <x:c r="M167" s="35" t="n">
        <x:f>SUMIFS('菜谱BOM'!$F$5:$F$160,'菜谱BOM'!$A$5:$A$160,E167,'菜谱BOM'!$C$5:$C$160,"调料")</x:f>
        <x:v>67</x:v>
      </x:c>
      <x:c r="N167" s="38" t="n">
        <x:v>0.0016777307539427957</x:v>
      </x:c>
      <x:c r="O167" s="35" t="n">
        <x:f>H167*M167*(1+N167)</x:f>
        <x:v>402.674447763085</x:v>
      </x:c>
      <x:c r="P167" s="19" t="str">
        <x:f>IF(ABS(N167)&gt;'封面与口径'!$O$25,"机器调料需复核",IF(ABS(K167)&gt;0.02,"人工称重需复核","正常"))</x:f>
        <x:v>正常</x:v>
      </x:c>
      <x:c r="Q167" s="19" t="str">
        <x:v>许哲</x:v>
      </x:c>
    </x:row>
    <x:row r="168">
      <x:c r="A168" s="19" t="str">
        <x:v>2026-07-09|S02|D13</x:v>
      </x:c>
      <x:c r="B168" s="34" t="n">
        <x:v>46212.5</x:v>
      </x:c>
      <x:c r="C168" s="19" t="str">
        <x:v>S02</x:v>
      </x:c>
      <x:c r="D168" s="19" t="str">
        <x:v>尊宝大厦店</x:v>
      </x:c>
      <x:c r="E168" s="19" t="str">
        <x:v>D13</x:v>
      </x:c>
      <x:c r="F168" s="19" t="str">
        <x:v>外婆菜炒蛋</x:v>
      </x:c>
      <x:c r="G168" s="19" t="str">
        <x:v>R1.0</x:v>
      </x:c>
      <x:c r="H168" s="20" t="n">
        <x:f>XLOOKUP(A168,'菜品日销量'!$A$5:$A$1124,'菜品日销量'!$G$5:$G$1124,0)</x:f>
        <x:v>16</x:v>
      </x:c>
      <x:c r="I168" s="20" t="n">
        <x:f>ROUNDUP(H168/2,0)</x:f>
        <x:v>8</x:v>
      </x:c>
      <x:c r="J168" s="22" t="n">
        <x:f>SUMIFS('菜谱BOM'!$F$5:$F$160,'菜谱BOM'!$A$5:$A$160,E168,'菜谱BOM'!$C$5:$C$160,"食材")</x:f>
        <x:v>450</x:v>
      </x:c>
      <x:c r="K168" s="38" t="n">
        <x:v>0.003757134276385683</x:v>
      </x:c>
      <x:c r="L168" s="35" t="n">
        <x:f>H168*J168*(1+K168)</x:f>
        <x:v>7227.051366789976</x:v>
      </x:c>
      <x:c r="M168" s="35" t="n">
        <x:f>SUMIFS('菜谱BOM'!$F$5:$F$160,'菜谱BOM'!$A$5:$A$160,E168,'菜谱BOM'!$C$5:$C$160,"调料")</x:f>
        <x:v>37</x:v>
      </x:c>
      <x:c r="N168" s="38" t="n">
        <x:v>0.0012130180278823288</x:v>
      </x:c>
      <x:c r="O168" s="35" t="n">
        <x:f>H168*M168*(1+N168)</x:f>
        <x:v>592.7181066725065</x:v>
      </x:c>
      <x:c r="P168" s="19" t="str">
        <x:f>IF(ABS(N168)&gt;'封面与口径'!$O$25,"机器调料需复核",IF(ABS(K168)&gt;0.02,"人工称重需复核","正常"))</x:f>
        <x:v>正常</x:v>
      </x:c>
      <x:c r="Q168" s="19" t="str">
        <x:v>许哲</x:v>
      </x:c>
    </x:row>
    <x:row r="169">
      <x:c r="A169" s="19" t="str">
        <x:v>2026-07-09|S02|D14</x:v>
      </x:c>
      <x:c r="B169" s="34" t="n">
        <x:v>46212.5</x:v>
      </x:c>
      <x:c r="C169" s="19" t="str">
        <x:v>S02</x:v>
      </x:c>
      <x:c r="D169" s="19" t="str">
        <x:v>尊宝大厦店</x:v>
      </x:c>
      <x:c r="E169" s="19" t="str">
        <x:v>D14</x:v>
      </x:c>
      <x:c r="F169" s="19" t="str">
        <x:v>酸辣鸡杂</x:v>
      </x:c>
      <x:c r="G169" s="19" t="str">
        <x:v>R1.0</x:v>
      </x:c>
      <x:c r="H169" s="20" t="n">
        <x:f>XLOOKUP(A169,'菜品日销量'!$A$5:$A$1124,'菜品日销量'!$G$5:$G$1124,0)</x:f>
        <x:v>8</x:v>
      </x:c>
      <x:c r="I169" s="20" t="n">
        <x:f>ROUNDUP(H169/2,0)</x:f>
        <x:v>4</x:v>
      </x:c>
      <x:c r="J169" s="22" t="n">
        <x:f>SUMIFS('菜谱BOM'!$F$5:$F$160,'菜谱BOM'!$A$5:$A$160,E169,'菜谱BOM'!$C$5:$C$160,"食材")</x:f>
        <x:v>470</x:v>
      </x:c>
      <x:c r="K169" s="38" t="n">
        <x:v>-0.0010327737203409831</x:v>
      </x:c>
      <x:c r="L169" s="35" t="n">
        <x:f>H169*J169*(1+K169)</x:f>
        <x:v>3756.116770811518</x:v>
      </x:c>
      <x:c r="M169" s="35" t="n">
        <x:f>SUMIFS('菜谱BOM'!$F$5:$F$160,'菜谱BOM'!$A$5:$A$160,E169,'菜谱BOM'!$C$5:$C$160,"调料")</x:f>
        <x:v>60</x:v>
      </x:c>
      <x:c r="N169" s="38" t="n">
        <x:v>0.0014223403845500062</x:v>
      </x:c>
      <x:c r="O169" s="35" t="n">
        <x:f>H169*M169*(1+N169)</x:f>
        <x:v>480.68272338458394</x:v>
      </x:c>
      <x:c r="P169" s="19" t="str">
        <x:f>IF(ABS(N169)&gt;'封面与口径'!$O$25,"机器调料需复核",IF(ABS(K169)&gt;0.02,"人工称重需复核","正常"))</x:f>
        <x:v>正常</x:v>
      </x:c>
      <x:c r="Q169" s="19" t="str">
        <x:v>许哲</x:v>
      </x:c>
    </x:row>
    <x:row r="170">
      <x:c r="A170" s="19" t="str">
        <x:v>2026-07-09|S02|D15</x:v>
      </x:c>
      <x:c r="B170" s="34" t="n">
        <x:v>46212.5</x:v>
      </x:c>
      <x:c r="C170" s="19" t="str">
        <x:v>S02</x:v>
      </x:c>
      <x:c r="D170" s="19" t="str">
        <x:v>尊宝大厦店</x:v>
      </x:c>
      <x:c r="E170" s="19" t="str">
        <x:v>D15</x:v>
      </x:c>
      <x:c r="F170" s="19" t="str">
        <x:v>湘西土匪猪肝</x:v>
      </x:c>
      <x:c r="G170" s="19" t="str">
        <x:v>R1.0</x:v>
      </x:c>
      <x:c r="H170" s="20" t="n">
        <x:f>XLOOKUP(A170,'菜品日销量'!$A$5:$A$1124,'菜品日销量'!$G$5:$G$1124,0)</x:f>
        <x:v>8</x:v>
      </x:c>
      <x:c r="I170" s="20" t="n">
        <x:f>ROUNDUP(H170/2,0)</x:f>
        <x:v>4</x:v>
      </x:c>
      <x:c r="J170" s="22" t="n">
        <x:f>SUMIFS('菜谱BOM'!$F$5:$F$160,'菜谱BOM'!$A$5:$A$160,E170,'菜谱BOM'!$C$5:$C$160,"食材")</x:f>
        <x:v>470</x:v>
      </x:c>
      <x:c r="K170" s="38" t="n">
        <x:v>-0.0027517393442689766</x:v>
      </x:c>
      <x:c r="L170" s="35" t="n">
        <x:f>H170*J170*(1+K170)</x:f>
        <x:v>3749.6534600655486</x:v>
      </x:c>
      <x:c r="M170" s="35" t="n">
        <x:f>SUMIFS('菜谱BOM'!$F$5:$F$160,'菜谱BOM'!$A$5:$A$160,E170,'菜谱BOM'!$C$5:$C$160,"调料")</x:f>
        <x:v>49</x:v>
      </x:c>
      <x:c r="N170" s="38" t="n">
        <x:v>0.00020337669137012604</x:v>
      </x:c>
      <x:c r="O170" s="35" t="n">
        <x:f>H170*M170*(1+N170)</x:f>
        <x:v>392.07972366301703</x:v>
      </x:c>
      <x:c r="P170" s="19" t="str">
        <x:f>IF(ABS(N170)&gt;'封面与口径'!$O$25,"机器调料需复核",IF(ABS(K170)&gt;0.02,"人工称重需复核","正常"))</x:f>
        <x:v>正常</x:v>
      </x:c>
      <x:c r="Q170" s="19" t="str">
        <x:v>许哲</x:v>
      </x:c>
    </x:row>
    <x:row r="171">
      <x:c r="A171" s="19" t="str">
        <x:v>2026-07-09|S02|D16</x:v>
      </x:c>
      <x:c r="B171" s="34" t="n">
        <x:v>46212.5</x:v>
      </x:c>
      <x:c r="C171" s="19" t="str">
        <x:v>S02</x:v>
      </x:c>
      <x:c r="D171" s="19" t="str">
        <x:v>尊宝大厦店</x:v>
      </x:c>
      <x:c r="E171" s="19" t="str">
        <x:v>D16</x:v>
      </x:c>
      <x:c r="F171" s="19" t="str">
        <x:v>小豆角炒五花</x:v>
      </x:c>
      <x:c r="G171" s="19" t="str">
        <x:v>R1.0</x:v>
      </x:c>
      <x:c r="H171" s="20" t="n">
        <x:f>XLOOKUP(A171,'菜品日销量'!$A$5:$A$1124,'菜品日销量'!$G$5:$G$1124,0)</x:f>
        <x:v>8</x:v>
      </x:c>
      <x:c r="I171" s="20" t="n">
        <x:f>ROUNDUP(H171/2,0)</x:f>
        <x:v>4</x:v>
      </x:c>
      <x:c r="J171" s="22" t="n">
        <x:f>SUMIFS('菜谱BOM'!$F$5:$F$160,'菜谱BOM'!$A$5:$A$160,E171,'菜谱BOM'!$C$5:$C$160,"食材")</x:f>
        <x:v>450</x:v>
      </x:c>
      <x:c r="K171" s="38" t="n">
        <x:v>0.004277493274835287</x:v>
      </x:c>
      <x:c r="L171" s="35" t="n">
        <x:f>H171*J171*(1+K171)</x:f>
        <x:v>3615.398975789407</x:v>
      </x:c>
      <x:c r="M171" s="35" t="n">
        <x:f>SUMIFS('菜谱BOM'!$F$5:$F$160,'菜谱BOM'!$A$5:$A$160,E171,'菜谱BOM'!$C$5:$C$160,"调料")</x:f>
        <x:v>42</x:v>
      </x:c>
      <x:c r="N171" s="38" t="n">
        <x:v>0.00016143179362673133</x:v>
      </x:c>
      <x:c r="O171" s="35" t="n">
        <x:f>H171*M171*(1+N171)</x:f>
        <x:v>336.05424108265856</x:v>
      </x:c>
      <x:c r="P171" s="19" t="str">
        <x:f>IF(ABS(N171)&gt;'封面与口径'!$O$25,"机器调料需复核",IF(ABS(K171)&gt;0.02,"人工称重需复核","正常"))</x:f>
        <x:v>正常</x:v>
      </x:c>
      <x:c r="Q171" s="19" t="str">
        <x:v>许哲</x:v>
      </x:c>
    </x:row>
    <x:row r="172">
      <x:c r="A172" s="19" t="str">
        <x:v>2026-07-09|S02|D18</x:v>
      </x:c>
      <x:c r="B172" s="34" t="n">
        <x:v>46212.5</x:v>
      </x:c>
      <x:c r="C172" s="19" t="str">
        <x:v>S02</x:v>
      </x:c>
      <x:c r="D172" s="19" t="str">
        <x:v>尊宝大厦店</x:v>
      </x:c>
      <x:c r="E172" s="19" t="str">
        <x:v>D18</x:v>
      </x:c>
      <x:c r="F172" s="19" t="str">
        <x:v>青椒炒油麦菜</x:v>
      </x:c>
      <x:c r="G172" s="19" t="str">
        <x:v>R1.0</x:v>
      </x:c>
      <x:c r="H172" s="20" t="n">
        <x:f>XLOOKUP(A172,'菜品日销量'!$A$5:$A$1124,'菜品日销量'!$G$5:$G$1124,0)</x:f>
        <x:v>10</x:v>
      </x:c>
      <x:c r="I172" s="20" t="n">
        <x:f>ROUNDUP(H172/2,0)</x:f>
        <x:v>5</x:v>
      </x:c>
      <x:c r="J172" s="22" t="n">
        <x:f>SUMIFS('菜谱BOM'!$F$5:$F$160,'菜谱BOM'!$A$5:$A$160,E172,'菜谱BOM'!$C$5:$C$160,"食材")</x:f>
        <x:v>430</x:v>
      </x:c>
      <x:c r="K172" s="38" t="n">
        <x:v>0.005040389805343093</x:v>
      </x:c>
      <x:c r="L172" s="35" t="n">
        <x:f>H172*J172*(1+K172)</x:f>
        <x:v>4321.673676162975</x:v>
      </x:c>
      <x:c r="M172" s="35" t="n">
        <x:f>SUMIFS('菜谱BOM'!$F$5:$F$160,'菜谱BOM'!$A$5:$A$160,E172,'菜谱BOM'!$C$5:$C$160,"调料")</x:f>
        <x:v>33</x:v>
      </x:c>
      <x:c r="N172" s="38" t="n">
        <x:v>0.0007489857400648727</x:v>
      </x:c>
      <x:c r="O172" s="35" t="n">
        <x:f>H172*M172*(1+N172)</x:f>
        <x:v>330.2471652942214</x:v>
      </x:c>
      <x:c r="P172" s="19" t="str">
        <x:f>IF(ABS(N172)&gt;'封面与口径'!$O$25,"机器调料需复核",IF(ABS(K172)&gt;0.02,"人工称重需复核","正常"))</x:f>
        <x:v>正常</x:v>
      </x:c>
      <x:c r="Q172" s="19" t="str">
        <x:v>许哲</x:v>
      </x:c>
    </x:row>
    <x:row r="173">
      <x:c r="A173" s="19" t="str">
        <x:v>2026-07-09|S02|D19</x:v>
      </x:c>
      <x:c r="B173" s="34" t="n">
        <x:v>46212.5</x:v>
      </x:c>
      <x:c r="C173" s="19" t="str">
        <x:v>S02</x:v>
      </x:c>
      <x:c r="D173" s="19" t="str">
        <x:v>尊宝大厦店</x:v>
      </x:c>
      <x:c r="E173" s="19" t="str">
        <x:v>D19</x:v>
      </x:c>
      <x:c r="F173" s="19" t="str">
        <x:v>酸萝卜炒鸡杂</x:v>
      </x:c>
      <x:c r="G173" s="19" t="str">
        <x:v>R1.0</x:v>
      </x:c>
      <x:c r="H173" s="20" t="n">
        <x:f>XLOOKUP(A173,'菜品日销量'!$A$5:$A$1124,'菜品日销量'!$G$5:$G$1124,0)</x:f>
        <x:v>6</x:v>
      </x:c>
      <x:c r="I173" s="20" t="n">
        <x:f>ROUNDUP(H173/2,0)</x:f>
        <x:v>3</x:v>
      </x:c>
      <x:c r="J173" s="22" t="n">
        <x:f>SUMIFS('菜谱BOM'!$F$5:$F$160,'菜谱BOM'!$A$5:$A$160,E173,'菜谱BOM'!$C$5:$C$160,"食材")</x:f>
        <x:v>500</x:v>
      </x:c>
      <x:c r="K173" s="38" t="n">
        <x:v>0.005966788287732469</x:v>
      </x:c>
      <x:c r="L173" s="35" t="n">
        <x:f>H173*J173*(1+K173)</x:f>
        <x:v>3017.900364863198</x:v>
      </x:c>
      <x:c r="M173" s="35" t="n">
        <x:f>SUMIFS('菜谱BOM'!$F$5:$F$160,'菜谱BOM'!$A$5:$A$160,E173,'菜谱BOM'!$C$5:$C$160,"调料")</x:f>
        <x:v>55</x:v>
      </x:c>
      <x:c r="N173" s="38" t="n">
        <x:v>-0.00035738524104407657</x:v>
      </x:c>
      <x:c r="O173" s="35" t="n">
        <x:f>H173*M173*(1+N173)</x:f>
        <x:v>329.88206287045546</x:v>
      </x:c>
      <x:c r="P173" s="19" t="str">
        <x:f>IF(ABS(N173)&gt;'封面与口径'!$O$25,"机器调料需复核",IF(ABS(K173)&gt;0.02,"人工称重需复核","正常"))</x:f>
        <x:v>正常</x:v>
      </x:c>
      <x:c r="Q173" s="19" t="str">
        <x:v>许哲</x:v>
      </x:c>
    </x:row>
    <x:row r="174">
      <x:c r="A174" s="19" t="str">
        <x:v>2026-07-09|S02|D20</x:v>
      </x:c>
      <x:c r="B174" s="34" t="n">
        <x:v>46212.5</x:v>
      </x:c>
      <x:c r="C174" s="19" t="str">
        <x:v>S02</x:v>
      </x:c>
      <x:c r="D174" s="19" t="str">
        <x:v>尊宝大厦店</x:v>
      </x:c>
      <x:c r="E174" s="19" t="str">
        <x:v>D20</x:v>
      </x:c>
      <x:c r="F174" s="19" t="str">
        <x:v>雪菜肉末青豆</x:v>
      </x:c>
      <x:c r="G174" s="19" t="str">
        <x:v>R1.0</x:v>
      </x:c>
      <x:c r="H174" s="20" t="n">
        <x:f>XLOOKUP(A174,'菜品日销量'!$A$5:$A$1124,'菜品日销量'!$G$5:$G$1124,0)</x:f>
        <x:v>10</x:v>
      </x:c>
      <x:c r="I174" s="20" t="n">
        <x:f>ROUNDUP(H174/2,0)</x:f>
        <x:v>5</x:v>
      </x:c>
      <x:c r="J174" s="22" t="n">
        <x:f>SUMIFS('菜谱BOM'!$F$5:$F$160,'菜谱BOM'!$A$5:$A$160,E174,'菜谱BOM'!$C$5:$C$160,"食材")</x:f>
        <x:v>465</x:v>
      </x:c>
      <x:c r="K174" s="38" t="n">
        <x:v>0.001628204757726799</x:v>
      </x:c>
      <x:c r="L174" s="35" t="n">
        <x:f>H174*J174*(1+K174)</x:f>
        <x:v>4657.571152123429</x:v>
      </x:c>
      <x:c r="M174" s="35" t="n">
        <x:f>SUMIFS('菜谱BOM'!$F$5:$F$160,'菜谱BOM'!$A$5:$A$160,E174,'菜谱BOM'!$C$5:$C$160,"调料")</x:f>
        <x:v>32</x:v>
      </x:c>
      <x:c r="N174" s="38" t="n">
        <x:v>-0.001999956496991207</x:v>
      </x:c>
      <x:c r="O174" s="35" t="n">
        <x:f>H174*M174*(1+N174)</x:f>
        <x:v>319.3600139209628</x:v>
      </x:c>
      <x:c r="P174" s="19" t="str">
        <x:f>IF(ABS(N174)&gt;'封面与口径'!$O$25,"机器调料需复核",IF(ABS(K174)&gt;0.02,"人工称重需复核","正常"))</x:f>
        <x:v>正常</x:v>
      </x:c>
      <x:c r="Q174" s="19" t="str">
        <x:v>许哲</x:v>
      </x:c>
    </x:row>
    <x:row r="175">
      <x:c r="A175" s="19" t="str">
        <x:v>2026-07-10|S02|D01</x:v>
      </x:c>
      <x:c r="B175" s="34" t="n">
        <x:v>46213.5</x:v>
      </x:c>
      <x:c r="C175" s="19" t="str">
        <x:v>S02</x:v>
      </x:c>
      <x:c r="D175" s="19" t="str">
        <x:v>尊宝大厦店</x:v>
      </x:c>
      <x:c r="E175" s="19" t="str">
        <x:v>D01</x:v>
      </x:c>
      <x:c r="F175" s="19" t="str">
        <x:v>辣椒炒肉</x:v>
      </x:c>
      <x:c r="G175" s="19" t="str">
        <x:v>R2.3</x:v>
      </x:c>
      <x:c r="H175" s="20" t="n">
        <x:f>XLOOKUP(A175,'菜品日销量'!$A$5:$A$1124,'菜品日销量'!$G$5:$G$1124,0)</x:f>
        <x:v>57</x:v>
      </x:c>
      <x:c r="I175" s="20" t="n">
        <x:f>ROUNDUP(H175/2,0)</x:f>
        <x:v>29</x:v>
      </x:c>
      <x:c r="J175" s="22" t="n">
        <x:f>SUMIFS('菜谱BOM'!$F$5:$F$160,'菜谱BOM'!$A$5:$A$160,E175,'菜谱BOM'!$C$5:$C$160,"食材")</x:f>
        <x:v>550</x:v>
      </x:c>
      <x:c r="K175" s="38" t="n">
        <x:v>-0.004130709919177627</x:v>
      </x:c>
      <x:c r="L175" s="35" t="n">
        <x:f>H175*J175*(1+K175)</x:f>
        <x:v>31220.50224403378</x:v>
      </x:c>
      <x:c r="M175" s="35" t="n">
        <x:f>SUMIFS('菜谱BOM'!$F$5:$F$160,'菜谱BOM'!$A$5:$A$160,E175,'菜谱BOM'!$C$5:$C$160,"调料")</x:f>
        <x:v>104</x:v>
      </x:c>
      <x:c r="N175" s="38" t="n">
        <x:v>0.00016630219159794547</x:v>
      </x:c>
      <x:c r="O175" s="35" t="n">
        <x:f>H175*M175*(1+N175)</x:f>
        <x:v>5928.985839391792</x:v>
      </x:c>
      <x:c r="P175" s="19" t="str">
        <x:f>IF(ABS(N175)&gt;'封面与口径'!$O$25,"机器调料需复核",IF(ABS(K175)&gt;0.02,"人工称重需复核","正常"))</x:f>
        <x:v>正常</x:v>
      </x:c>
      <x:c r="Q175" s="19" t="str">
        <x:v>许哲</x:v>
      </x:c>
    </x:row>
    <x:row r="176">
      <x:c r="A176" s="19" t="str">
        <x:v>2026-07-10|S02|D02</x:v>
      </x:c>
      <x:c r="B176" s="34" t="n">
        <x:v>46213.5</x:v>
      </x:c>
      <x:c r="C176" s="19" t="str">
        <x:v>S02</x:v>
      </x:c>
      <x:c r="D176" s="19" t="str">
        <x:v>尊宝大厦店</x:v>
      </x:c>
      <x:c r="E176" s="19" t="str">
        <x:v>D02</x:v>
      </x:c>
      <x:c r="F176" s="19" t="str">
        <x:v>小炒黄牛肉</x:v>
      </x:c>
      <x:c r="G176" s="19" t="str">
        <x:v>R2.3</x:v>
      </x:c>
      <x:c r="H176" s="20" t="n">
        <x:f>XLOOKUP(A176,'菜品日销量'!$A$5:$A$1124,'菜品日销量'!$G$5:$G$1124,0)</x:f>
        <x:v>33</x:v>
      </x:c>
      <x:c r="I176" s="20" t="n">
        <x:f>ROUNDUP(H176/2,0)</x:f>
        <x:v>17</x:v>
      </x:c>
      <x:c r="J176" s="22" t="n">
        <x:f>SUMIFS('菜谱BOM'!$F$5:$F$160,'菜谱BOM'!$A$5:$A$160,E176,'菜谱BOM'!$C$5:$C$160,"食材")</x:f>
        <x:v>560</x:v>
      </x:c>
      <x:c r="K176" s="38" t="n">
        <x:v>0.007326365221134937</x:v>
      </x:c>
      <x:c r="L176" s="35" t="n">
        <x:f>H176*J176*(1+K176)</x:f>
        <x:v>18615.39122928657</x:v>
      </x:c>
      <x:c r="M176" s="35" t="n">
        <x:f>SUMIFS('菜谱BOM'!$F$5:$F$160,'菜谱BOM'!$A$5:$A$160,E176,'菜谱BOM'!$C$5:$C$160,"调料")</x:f>
        <x:v>133</x:v>
      </x:c>
      <x:c r="N176" s="38" t="n">
        <x:v>-0.0008999053190694901</x:v>
      </x:c>
      <x:c r="O176" s="35" t="n">
        <x:f>H176*M176*(1+N176)</x:f>
        <x:v>4385.050315554604</x:v>
      </x:c>
      <x:c r="P176" s="19" t="str">
        <x:f>IF(ABS(N176)&gt;'封面与口径'!$O$25,"机器调料需复核",IF(ABS(K176)&gt;0.02,"人工称重需复核","正常"))</x:f>
        <x:v>正常</x:v>
      </x:c>
      <x:c r="Q176" s="19" t="str">
        <x:v>许哲</x:v>
      </x:c>
    </x:row>
    <x:row r="177">
      <x:c r="A177" s="19" t="str">
        <x:v>2026-07-10|S02|D03</x:v>
      </x:c>
      <x:c r="B177" s="34" t="n">
        <x:v>46213.5</x:v>
      </x:c>
      <x:c r="C177" s="19" t="str">
        <x:v>S02</x:v>
      </x:c>
      <x:c r="D177" s="19" t="str">
        <x:v>尊宝大厦店</x:v>
      </x:c>
      <x:c r="E177" s="19" t="str">
        <x:v>D03</x:v>
      </x:c>
      <x:c r="F177" s="19" t="str">
        <x:v>香醋炒蛋</x:v>
      </x:c>
      <x:c r="G177" s="19" t="str">
        <x:v>R1.0</x:v>
      </x:c>
      <x:c r="H177" s="20" t="n">
        <x:f>XLOOKUP(A177,'菜品日销量'!$A$5:$A$1124,'菜品日销量'!$G$5:$G$1124,0)</x:f>
        <x:v>44</x:v>
      </x:c>
      <x:c r="I177" s="20" t="n">
        <x:f>ROUNDUP(H177/2,0)</x:f>
        <x:v>22</x:v>
      </x:c>
      <x:c r="J177" s="22" t="n">
        <x:f>SUMIFS('菜谱BOM'!$F$5:$F$160,'菜谱BOM'!$A$5:$A$160,E177,'菜谱BOM'!$C$5:$C$160,"食材")</x:f>
        <x:v>300</x:v>
      </x:c>
      <x:c r="K177" s="38" t="n">
        <x:v>-0.004988095234378263</x:v>
      </x:c>
      <x:c r="L177" s="35" t="n">
        <x:f>H177*J177*(1+K177)</x:f>
        <x:v>13134.157142906208</x:v>
      </x:c>
      <x:c r="M177" s="35" t="n">
        <x:f>SUMIFS('菜谱BOM'!$F$5:$F$160,'菜谱BOM'!$A$5:$A$160,E177,'菜谱BOM'!$C$5:$C$160,"调料")</x:f>
        <x:v>53</x:v>
      </x:c>
      <x:c r="N177" s="38" t="n">
        <x:v>-0.0013814254997720537</x:v>
      </x:c>
      <x:c r="O177" s="35" t="n">
        <x:f>H177*M177*(1+N177)</x:f>
        <x:v>2328.7785157345315</x:v>
      </x:c>
      <x:c r="P177" s="19" t="str">
        <x:f>IF(ABS(N177)&gt;'封面与口径'!$O$25,"机器调料需复核",IF(ABS(K177)&gt;0.02,"人工称重需复核","正常"))</x:f>
        <x:v>正常</x:v>
      </x:c>
      <x:c r="Q177" s="19" t="str">
        <x:v>许哲</x:v>
      </x:c>
    </x:row>
    <x:row r="178">
      <x:c r="A178" s="19" t="str">
        <x:v>2026-07-10|S02|D04</x:v>
      </x:c>
      <x:c r="B178" s="34" t="n">
        <x:v>46213.5</x:v>
      </x:c>
      <x:c r="C178" s="19" t="str">
        <x:v>S02</x:v>
      </x:c>
      <x:c r="D178" s="19" t="str">
        <x:v>尊宝大厦店</x:v>
      </x:c>
      <x:c r="E178" s="19" t="str">
        <x:v>D04</x:v>
      </x:c>
      <x:c r="F178" s="19" t="str">
        <x:v>酸包菜炒粉皮</x:v>
      </x:c>
      <x:c r="G178" s="19" t="str">
        <x:v>R1.0</x:v>
      </x:c>
      <x:c r="H178" s="20" t="n">
        <x:f>XLOOKUP(A178,'菜品日销量'!$A$5:$A$1124,'菜品日销量'!$G$5:$G$1124,0)</x:f>
        <x:v>42</x:v>
      </x:c>
      <x:c r="I178" s="20" t="n">
        <x:f>ROUNDUP(H178/2,0)</x:f>
        <x:v>21</x:v>
      </x:c>
      <x:c r="J178" s="22" t="n">
        <x:f>SUMIFS('菜谱BOM'!$F$5:$F$160,'菜谱BOM'!$A$5:$A$160,E178,'菜谱BOM'!$C$5:$C$160,"食材")</x:f>
        <x:v>380</x:v>
      </x:c>
      <x:c r="K178" s="38" t="n">
        <x:v>-0.004326468757429735</x:v>
      </x:c>
      <x:c r="L178" s="35" t="n">
        <x:f>H178*J178*(1+K178)</x:f>
        <x:v>15890.949558631422</x:v>
      </x:c>
      <x:c r="M178" s="35" t="n">
        <x:f>SUMIFS('菜谱BOM'!$F$5:$F$160,'菜谱BOM'!$A$5:$A$160,E178,'菜谱BOM'!$C$5:$C$160,"调料")</x:f>
        <x:v>47</x:v>
      </x:c>
      <x:c r="N178" s="38" t="n">
        <x:v>0.001245736170384506</x:v>
      </x:c>
      <x:c r="O178" s="35" t="n">
        <x:f>H178*M178*(1+N178)</x:f>
        <x:v>1976.4590832003391</x:v>
      </x:c>
      <x:c r="P178" s="19" t="str">
        <x:f>IF(ABS(N178)&gt;'封面与口径'!$O$25,"机器调料需复核",IF(ABS(K178)&gt;0.02,"人工称重需复核","正常"))</x:f>
        <x:v>正常</x:v>
      </x:c>
      <x:c r="Q178" s="19" t="str">
        <x:v>许哲</x:v>
      </x:c>
    </x:row>
    <x:row r="179">
      <x:c r="A179" s="19" t="str">
        <x:v>2026-07-10|S02|D05</x:v>
      </x:c>
      <x:c r="B179" s="34" t="n">
        <x:v>46213.5</x:v>
      </x:c>
      <x:c r="C179" s="19" t="str">
        <x:v>S02</x:v>
      </x:c>
      <x:c r="D179" s="19" t="str">
        <x:v>尊宝大厦店</x:v>
      </x:c>
      <x:c r="E179" s="19" t="str">
        <x:v>D05</x:v>
      </x:c>
      <x:c r="F179" s="19" t="str">
        <x:v>麻婆豆腐</x:v>
      </x:c>
      <x:c r="G179" s="19" t="str">
        <x:v>R1.0</x:v>
      </x:c>
      <x:c r="H179" s="20" t="n">
        <x:f>XLOOKUP(A179,'菜品日销量'!$A$5:$A$1124,'菜品日销量'!$G$5:$G$1124,0)</x:f>
        <x:v>57</x:v>
      </x:c>
      <x:c r="I179" s="20" t="n">
        <x:f>ROUNDUP(H179/2,0)</x:f>
        <x:v>29</x:v>
      </x:c>
      <x:c r="J179" s="22" t="n">
        <x:f>SUMIFS('菜谱BOM'!$F$5:$F$160,'菜谱BOM'!$A$5:$A$160,E179,'菜谱BOM'!$C$5:$C$160,"食材")</x:f>
        <x:v>505</x:v>
      </x:c>
      <x:c r="K179" s="38" t="n">
        <x:v>0.004924587889789741</x:v>
      </x:c>
      <x:c r="L179" s="35" t="n">
        <x:f>H179*J179*(1+K179)</x:f>
        <x:v>28926.754262407594</x:v>
      </x:c>
      <x:c r="M179" s="35" t="n">
        <x:f>SUMIFS('菜谱BOM'!$F$5:$F$160,'菜谱BOM'!$A$5:$A$160,E179,'菜谱BOM'!$C$5:$C$160,"调料")</x:f>
        <x:v>90</x:v>
      </x:c>
      <x:c r="N179" s="38" t="n">
        <x:v>-0.00011066398166834013</x:v>
      </x:c>
      <x:c r="O179" s="35" t="n">
        <x:f>H179*M179*(1+N179)</x:f>
        <x:v>5129.432293774042</x:v>
      </x:c>
      <x:c r="P179" s="19" t="str">
        <x:f>IF(ABS(N179)&gt;'封面与口径'!$O$25,"机器调料需复核",IF(ABS(K179)&gt;0.02,"人工称重需复核","正常"))</x:f>
        <x:v>正常</x:v>
      </x:c>
      <x:c r="Q179" s="19" t="str">
        <x:v>许哲</x:v>
      </x:c>
    </x:row>
    <x:row r="180">
      <x:c r="A180" s="19" t="str">
        <x:v>2026-07-10|S02|D07</x:v>
      </x:c>
      <x:c r="B180" s="34" t="n">
        <x:v>46213.5</x:v>
      </x:c>
      <x:c r="C180" s="19" t="str">
        <x:v>S02</x:v>
      </x:c>
      <x:c r="D180" s="19" t="str">
        <x:v>尊宝大厦店</x:v>
      </x:c>
      <x:c r="E180" s="19" t="str">
        <x:v>D07</x:v>
      </x:c>
      <x:c r="F180" s="19" t="str">
        <x:v>川味回锅肉</x:v>
      </x:c>
      <x:c r="G180" s="19" t="str">
        <x:v>R1.0</x:v>
      </x:c>
      <x:c r="H180" s="20" t="n">
        <x:f>XLOOKUP(A180,'菜品日销量'!$A$5:$A$1124,'菜品日销量'!$G$5:$G$1124,0)</x:f>
        <x:v>16</x:v>
      </x:c>
      <x:c r="I180" s="20" t="n">
        <x:f>ROUNDUP(H180/2,0)</x:f>
        <x:v>8</x:v>
      </x:c>
      <x:c r="J180" s="22" t="n">
        <x:f>SUMIFS('菜谱BOM'!$F$5:$F$160,'菜谱BOM'!$A$5:$A$160,E180,'菜谱BOM'!$C$5:$C$160,"食材")</x:f>
        <x:v>450</x:v>
      </x:c>
      <x:c r="K180" s="38" t="n">
        <x:v>0.007486357398211574</x:v>
      </x:c>
      <x:c r="L180" s="35" t="n">
        <x:f>H180*J180*(1+K180)</x:f>
        <x:v>7253.901773267124</x:v>
      </x:c>
      <x:c r="M180" s="35" t="n">
        <x:f>SUMIFS('菜谱BOM'!$F$5:$F$160,'菜谱BOM'!$A$5:$A$160,E180,'菜谱BOM'!$C$5:$C$160,"调料")</x:f>
        <x:v>63</x:v>
      </x:c>
      <x:c r="N180" s="38" t="n">
        <x:v>0.001554777216993919</x:v>
      </x:c>
      <x:c r="O180" s="35" t="n">
        <x:f>H180*M180*(1+N180)</x:f>
        <x:v>1009.5672154347299</x:v>
      </x:c>
      <x:c r="P180" s="19" t="str">
        <x:f>IF(ABS(N180)&gt;'封面与口径'!$O$25,"机器调料需复核",IF(ABS(K180)&gt;0.02,"人工称重需复核","正常"))</x:f>
        <x:v>正常</x:v>
      </x:c>
      <x:c r="Q180" s="19" t="str">
        <x:v>许哲</x:v>
      </x:c>
    </x:row>
    <x:row r="181">
      <x:c r="A181" s="19" t="str">
        <x:v>2026-07-10|S02|D08</x:v>
      </x:c>
      <x:c r="B181" s="34" t="n">
        <x:v>46213.5</x:v>
      </x:c>
      <x:c r="C181" s="19" t="str">
        <x:v>S02</x:v>
      </x:c>
      <x:c r="D181" s="19" t="str">
        <x:v>尊宝大厦店</x:v>
      </x:c>
      <x:c r="E181" s="19" t="str">
        <x:v>D08</x:v>
      </x:c>
      <x:c r="F181" s="19" t="str">
        <x:v>生炒清远鸡</x:v>
      </x:c>
      <x:c r="G181" s="19" t="str">
        <x:v>R1.0</x:v>
      </x:c>
      <x:c r="H181" s="20" t="n">
        <x:f>XLOOKUP(A181,'菜品日销量'!$A$5:$A$1124,'菜品日销量'!$G$5:$G$1124,0)</x:f>
        <x:v>13</x:v>
      </x:c>
      <x:c r="I181" s="20" t="n">
        <x:f>ROUNDUP(H181/2,0)</x:f>
        <x:v>7</x:v>
      </x:c>
      <x:c r="J181" s="22" t="n">
        <x:f>SUMIFS('菜谱BOM'!$F$5:$F$160,'菜谱BOM'!$A$5:$A$160,E181,'菜谱BOM'!$C$5:$C$160,"食材")</x:f>
        <x:v>610</x:v>
      </x:c>
      <x:c r="K181" s="38" t="n">
        <x:v>-0.0017579626202951096</x:v>
      </x:c>
      <x:c r="L181" s="35" t="n">
        <x:f>H181*J181*(1+K181)</x:f>
        <x:v>7916.059356421059</x:v>
      </x:c>
      <x:c r="M181" s="35" t="n">
        <x:f>SUMIFS('菜谱BOM'!$F$5:$F$160,'菜谱BOM'!$A$5:$A$160,E181,'菜谱BOM'!$C$5:$C$160,"调料")</x:f>
        <x:v>61</x:v>
      </x:c>
      <x:c r="N181" s="38" t="n">
        <x:v>0.0018306212722860793</x:v>
      </x:c>
      <x:c r="O181" s="35" t="n">
        <x:f>H181*M181*(1+N181)</x:f>
        <x:v>794.4516826689229</x:v>
      </x:c>
      <x:c r="P181" s="19" t="str">
        <x:f>IF(ABS(N181)&gt;'封面与口径'!$O$25,"机器调料需复核",IF(ABS(K181)&gt;0.02,"人工称重需复核","正常"))</x:f>
        <x:v>正常</x:v>
      </x:c>
      <x:c r="Q181" s="19" t="str">
        <x:v>许哲</x:v>
      </x:c>
    </x:row>
    <x:row r="182">
      <x:c r="A182" s="19" t="str">
        <x:v>2026-07-10|S02|D09</x:v>
      </x:c>
      <x:c r="B182" s="34" t="n">
        <x:v>46213.5</x:v>
      </x:c>
      <x:c r="C182" s="19" t="str">
        <x:v>S02</x:v>
      </x:c>
      <x:c r="D182" s="19" t="str">
        <x:v>尊宝大厦店</x:v>
      </x:c>
      <x:c r="E182" s="19" t="str">
        <x:v>D09</x:v>
      </x:c>
      <x:c r="F182" s="19" t="str">
        <x:v>炒豆干</x:v>
      </x:c>
      <x:c r="G182" s="19" t="str">
        <x:v>R1.0</x:v>
      </x:c>
      <x:c r="H182" s="20" t="n">
        <x:f>XLOOKUP(A182,'菜品日销量'!$A$5:$A$1124,'菜品日销量'!$G$5:$G$1124,0)</x:f>
        <x:v>18</x:v>
      </x:c>
      <x:c r="I182" s="20" t="n">
        <x:f>ROUNDUP(H182/2,0)</x:f>
        <x:v>9</x:v>
      </x:c>
      <x:c r="J182" s="22" t="n">
        <x:f>SUMIFS('菜谱BOM'!$F$5:$F$160,'菜谱BOM'!$A$5:$A$160,E182,'菜谱BOM'!$C$5:$C$160,"食材")</x:f>
        <x:v>520</x:v>
      </x:c>
      <x:c r="K182" s="38" t="n">
        <x:v>-0.004883746746201941</x:v>
      </x:c>
      <x:c r="L182" s="35" t="n">
        <x:f>H182*J182*(1+K182)</x:f>
        <x:v>9314.28813045555</x:v>
      </x:c>
      <x:c r="M182" s="35" t="n">
        <x:f>SUMIFS('菜谱BOM'!$F$5:$F$160,'菜谱BOM'!$A$5:$A$160,E182,'菜谱BOM'!$C$5:$C$160,"调料")</x:f>
        <x:v>42</x:v>
      </x:c>
      <x:c r="N182" s="38" t="n">
        <x:v>0.000976713265054094</x:v>
      </x:c>
      <x:c r="O182" s="35" t="n">
        <x:f>H182*M182*(1+N182)</x:f>
        <x:v>756.7383952283808</x:v>
      </x:c>
      <x:c r="P182" s="19" t="str">
        <x:f>IF(ABS(N182)&gt;'封面与口径'!$O$25,"机器调料需复核",IF(ABS(K182)&gt;0.02,"人工称重需复核","正常"))</x:f>
        <x:v>正常</x:v>
      </x:c>
      <x:c r="Q182" s="19" t="str">
        <x:v>许哲</x:v>
      </x:c>
    </x:row>
    <x:row r="183">
      <x:c r="A183" s="19" t="str">
        <x:v>2026-07-10|S02|D10</x:v>
      </x:c>
      <x:c r="B183" s="34" t="n">
        <x:v>46213.5</x:v>
      </x:c>
      <x:c r="C183" s="19" t="str">
        <x:v>S02</x:v>
      </x:c>
      <x:c r="D183" s="19" t="str">
        <x:v>尊宝大厦店</x:v>
      </x:c>
      <x:c r="E183" s="19" t="str">
        <x:v>D10</x:v>
      </x:c>
      <x:c r="F183" s="19" t="str">
        <x:v>农家一碗香</x:v>
      </x:c>
      <x:c r="G183" s="19" t="str">
        <x:v>R2.3</x:v>
      </x:c>
      <x:c r="H183" s="20" t="n">
        <x:f>XLOOKUP(A183,'菜品日销量'!$A$5:$A$1124,'菜品日销量'!$G$5:$G$1124,0)</x:f>
        <x:v>19</x:v>
      </x:c>
      <x:c r="I183" s="20" t="n">
        <x:f>ROUNDUP(H183/2,0)</x:f>
        <x:v>10</x:v>
      </x:c>
      <x:c r="J183" s="22" t="n">
        <x:f>SUMIFS('菜谱BOM'!$F$5:$F$160,'菜谱BOM'!$A$5:$A$160,E183,'菜谱BOM'!$C$5:$C$160,"食材")</x:f>
        <x:v>510</x:v>
      </x:c>
      <x:c r="K183" s="38" t="n">
        <x:v>-0.007790936242740354</x:v>
      </x:c>
      <x:c r="L183" s="35" t="n">
        <x:f>H183*J183*(1+K183)</x:f>
        <x:v>9614.505827807845</x:v>
      </x:c>
      <x:c r="M183" s="35" t="n">
        <x:f>SUMIFS('菜谱BOM'!$F$5:$F$160,'菜谱BOM'!$A$5:$A$160,E183,'菜谱BOM'!$C$5:$C$160,"调料")</x:f>
        <x:v>88</x:v>
      </x:c>
      <x:c r="N183" s="38" t="n">
        <x:v>-0.000644823178333422</x:v>
      </x:c>
      <x:c r="O183" s="35" t="n">
        <x:f>H183*M183*(1+N183)</x:f>
        <x:v>1670.9218556458263</x:v>
      </x:c>
      <x:c r="P183" s="19" t="str">
        <x:f>IF(ABS(N183)&gt;'封面与口径'!$O$25,"机器调料需复核",IF(ABS(K183)&gt;0.02,"人工称重需复核","正常"))</x:f>
        <x:v>正常</x:v>
      </x:c>
      <x:c r="Q183" s="19" t="str">
        <x:v>许哲</x:v>
      </x:c>
    </x:row>
    <x:row r="184">
      <x:c r="A184" s="19" t="str">
        <x:v>2026-07-10|S02|D11</x:v>
      </x:c>
      <x:c r="B184" s="34" t="n">
        <x:v>46213.5</x:v>
      </x:c>
      <x:c r="C184" s="19" t="str">
        <x:v>S02</x:v>
      </x:c>
      <x:c r="D184" s="19" t="str">
        <x:v>尊宝大厦店</x:v>
      </x:c>
      <x:c r="E184" s="19" t="str">
        <x:v>D11</x:v>
      </x:c>
      <x:c r="F184" s="19" t="str">
        <x:v>香辣爆肥肠</x:v>
      </x:c>
      <x:c r="G184" s="19" t="str">
        <x:v>R1.0</x:v>
      </x:c>
      <x:c r="H184" s="20" t="n">
        <x:f>XLOOKUP(A184,'菜品日销量'!$A$5:$A$1124,'菜品日销量'!$G$5:$G$1124,0)</x:f>
        <x:v>7</x:v>
      </x:c>
      <x:c r="I184" s="20" t="n">
        <x:f>ROUNDUP(H184/2,0)</x:f>
        <x:v>4</x:v>
      </x:c>
      <x:c r="J184" s="22" t="n">
        <x:f>SUMIFS('菜谱BOM'!$F$5:$F$160,'菜谱BOM'!$A$5:$A$160,E184,'菜谱BOM'!$C$5:$C$160,"食材")</x:f>
        <x:v>430</x:v>
      </x:c>
      <x:c r="K184" s="38" t="n">
        <x:v>-0.001250430656888157</x:v>
      </x:c>
      <x:c r="L184" s="35" t="n">
        <x:f>H184*J184*(1+K184)</x:f>
        <x:v>3006.2362037227667</x:v>
      </x:c>
      <x:c r="M184" s="35" t="n">
        <x:f>SUMIFS('菜谱BOM'!$F$5:$F$160,'菜谱BOM'!$A$5:$A$160,E184,'菜谱BOM'!$C$5:$C$160,"调料")</x:f>
        <x:v>67</x:v>
      </x:c>
      <x:c r="N184" s="38" t="n">
        <x:v>0.00018787511209675012</x:v>
      </x:c>
      <x:c r="O184" s="35" t="n">
        <x:f>H184*M184*(1+N184)</x:f>
        <x:v>469.0881134275734</x:v>
      </x:c>
      <x:c r="P184" s="19" t="str">
        <x:f>IF(ABS(N184)&gt;'封面与口径'!$O$25,"机器调料需复核",IF(ABS(K184)&gt;0.02,"人工称重需复核","正常"))</x:f>
        <x:v>正常</x:v>
      </x:c>
      <x:c r="Q184" s="19" t="str">
        <x:v>许哲</x:v>
      </x:c>
    </x:row>
    <x:row r="185">
      <x:c r="A185" s="19" t="str">
        <x:v>2026-07-10|S02|D13</x:v>
      </x:c>
      <x:c r="B185" s="34" t="n">
        <x:v>46213.5</x:v>
      </x:c>
      <x:c r="C185" s="19" t="str">
        <x:v>S02</x:v>
      </x:c>
      <x:c r="D185" s="19" t="str">
        <x:v>尊宝大厦店</x:v>
      </x:c>
      <x:c r="E185" s="19" t="str">
        <x:v>D13</x:v>
      </x:c>
      <x:c r="F185" s="19" t="str">
        <x:v>外婆菜炒蛋</x:v>
      </x:c>
      <x:c r="G185" s="19" t="str">
        <x:v>R1.0</x:v>
      </x:c>
      <x:c r="H185" s="20" t="n">
        <x:f>XLOOKUP(A185,'菜品日销量'!$A$5:$A$1124,'菜品日销量'!$G$5:$G$1124,0)</x:f>
        <x:v>16</x:v>
      </x:c>
      <x:c r="I185" s="20" t="n">
        <x:f>ROUNDUP(H185/2,0)</x:f>
        <x:v>8</x:v>
      </x:c>
      <x:c r="J185" s="22" t="n">
        <x:f>SUMIFS('菜谱BOM'!$F$5:$F$160,'菜谱BOM'!$A$5:$A$160,E185,'菜谱BOM'!$C$5:$C$160,"食材")</x:f>
        <x:v>450</x:v>
      </x:c>
      <x:c r="K185" s="38" t="n">
        <x:v>-0.002531389123418226</x:v>
      </x:c>
      <x:c r="L185" s="35" t="n">
        <x:f>H185*J185*(1+K185)</x:f>
        <x:v>7181.773998311389</x:v>
      </x:c>
      <x:c r="M185" s="35" t="n">
        <x:f>SUMIFS('菜谱BOM'!$F$5:$F$160,'菜谱BOM'!$A$5:$A$160,E185,'菜谱BOM'!$C$5:$C$160,"调料")</x:f>
        <x:v>37</x:v>
      </x:c>
      <x:c r="N185" s="38" t="n">
        <x:v>0.0012215959502434347</x:v>
      </x:c>
      <x:c r="O185" s="35" t="n">
        <x:f>H185*M185*(1+N185)</x:f>
        <x:v>592.7231848025442</x:v>
      </x:c>
      <x:c r="P185" s="19" t="str">
        <x:f>IF(ABS(N185)&gt;'封面与口径'!$O$25,"机器调料需复核",IF(ABS(K185)&gt;0.02,"人工称重需复核","正常"))</x:f>
        <x:v>正常</x:v>
      </x:c>
      <x:c r="Q185" s="19" t="str">
        <x:v>许哲</x:v>
      </x:c>
    </x:row>
    <x:row r="186">
      <x:c r="A186" s="19" t="str">
        <x:v>2026-07-10|S02|D14</x:v>
      </x:c>
      <x:c r="B186" s="34" t="n">
        <x:v>46213.5</x:v>
      </x:c>
      <x:c r="C186" s="19" t="str">
        <x:v>S02</x:v>
      </x:c>
      <x:c r="D186" s="19" t="str">
        <x:v>尊宝大厦店</x:v>
      </x:c>
      <x:c r="E186" s="19" t="str">
        <x:v>D14</x:v>
      </x:c>
      <x:c r="F186" s="19" t="str">
        <x:v>酸辣鸡杂</x:v>
      </x:c>
      <x:c r="G186" s="19" t="str">
        <x:v>R1.0</x:v>
      </x:c>
      <x:c r="H186" s="20" t="n">
        <x:f>XLOOKUP(A186,'菜品日销量'!$A$5:$A$1124,'菜品日销量'!$G$5:$G$1124,0)</x:f>
        <x:v>9</x:v>
      </x:c>
      <x:c r="I186" s="20" t="n">
        <x:f>ROUNDUP(H186/2,0)</x:f>
        <x:v>5</x:v>
      </x:c>
      <x:c r="J186" s="22" t="n">
        <x:f>SUMIFS('菜谱BOM'!$F$5:$F$160,'菜谱BOM'!$A$5:$A$160,E186,'菜谱BOM'!$C$5:$C$160,"食材")</x:f>
        <x:v>470</x:v>
      </x:c>
      <x:c r="K186" s="38" t="n">
        <x:v>0.00028189099400348285</x:v>
      </x:c>
      <x:c r="L186" s="35" t="n">
        <x:f>H186*J186*(1+K186)</x:f>
        <x:v>4231.1923989046345</x:v>
      </x:c>
      <x:c r="M186" s="35" t="n">
        <x:f>SUMIFS('菜谱BOM'!$F$5:$F$160,'菜谱BOM'!$A$5:$A$160,E186,'菜谱BOM'!$C$5:$C$160,"调料")</x:f>
        <x:v>60</x:v>
      </x:c>
      <x:c r="N186" s="38" t="n">
        <x:v>-0.001708620462498772</x:v>
      </x:c>
      <x:c r="O186" s="35" t="n">
        <x:f>H186*M186*(1+N186)</x:f>
        <x:v>539.0773449502507</x:v>
      </x:c>
      <x:c r="P186" s="19" t="str">
        <x:f>IF(ABS(N186)&gt;'封面与口径'!$O$25,"机器调料需复核",IF(ABS(K186)&gt;0.02,"人工称重需复核","正常"))</x:f>
        <x:v>正常</x:v>
      </x:c>
      <x:c r="Q186" s="19" t="str">
        <x:v>许哲</x:v>
      </x:c>
    </x:row>
    <x:row r="187">
      <x:c r="A187" s="19" t="str">
        <x:v>2026-07-10|S02|D15</x:v>
      </x:c>
      <x:c r="B187" s="34" t="n">
        <x:v>46213.5</x:v>
      </x:c>
      <x:c r="C187" s="19" t="str">
        <x:v>S02</x:v>
      </x:c>
      <x:c r="D187" s="19" t="str">
        <x:v>尊宝大厦店</x:v>
      </x:c>
      <x:c r="E187" s="19" t="str">
        <x:v>D15</x:v>
      </x:c>
      <x:c r="F187" s="19" t="str">
        <x:v>湘西土匪猪肝</x:v>
      </x:c>
      <x:c r="G187" s="19" t="str">
        <x:v>R1.0</x:v>
      </x:c>
      <x:c r="H187" s="20" t="n">
        <x:f>XLOOKUP(A187,'菜品日销量'!$A$5:$A$1124,'菜品日销量'!$G$5:$G$1124,0)</x:f>
        <x:v>8</x:v>
      </x:c>
      <x:c r="I187" s="20" t="n">
        <x:f>ROUNDUP(H187/2,0)</x:f>
        <x:v>4</x:v>
      </x:c>
      <x:c r="J187" s="22" t="n">
        <x:f>SUMIFS('菜谱BOM'!$F$5:$F$160,'菜谱BOM'!$A$5:$A$160,E187,'菜谱BOM'!$C$5:$C$160,"食材")</x:f>
        <x:v>470</x:v>
      </x:c>
      <x:c r="K187" s="38" t="n">
        <x:v>-0.0036326233734452684</x:v>
      </x:c>
      <x:c r="L187" s="35" t="n">
        <x:f>H187*J187*(1+K187)</x:f>
        <x:v>3746.341336115846</x:v>
      </x:c>
      <x:c r="M187" s="35" t="n">
        <x:f>SUMIFS('菜谱BOM'!$F$5:$F$160,'菜谱BOM'!$A$5:$A$160,E187,'菜谱BOM'!$C$5:$C$160,"调料")</x:f>
        <x:v>49</x:v>
      </x:c>
      <x:c r="N187" s="38" t="n">
        <x:v>-0.0016288961459949838</x:v>
      </x:c>
      <x:c r="O187" s="35" t="n">
        <x:f>H187*M187*(1+N187)</x:f>
        <x:v>391.36147271077</x:v>
      </x:c>
      <x:c r="P187" s="19" t="str">
        <x:f>IF(ABS(N187)&gt;'封面与口径'!$O$25,"机器调料需复核",IF(ABS(K187)&gt;0.02,"人工称重需复核","正常"))</x:f>
        <x:v>正常</x:v>
      </x:c>
      <x:c r="Q187" s="19" t="str">
        <x:v>许哲</x:v>
      </x:c>
    </x:row>
    <x:row r="188">
      <x:c r="A188" s="19" t="str">
        <x:v>2026-07-10|S02|D16</x:v>
      </x:c>
      <x:c r="B188" s="34" t="n">
        <x:v>46213.5</x:v>
      </x:c>
      <x:c r="C188" s="19" t="str">
        <x:v>S02</x:v>
      </x:c>
      <x:c r="D188" s="19" t="str">
        <x:v>尊宝大厦店</x:v>
      </x:c>
      <x:c r="E188" s="19" t="str">
        <x:v>D16</x:v>
      </x:c>
      <x:c r="F188" s="19" t="str">
        <x:v>小豆角炒五花</x:v>
      </x:c>
      <x:c r="G188" s="19" t="str">
        <x:v>R1.0</x:v>
      </x:c>
      <x:c r="H188" s="20" t="n">
        <x:f>XLOOKUP(A188,'菜品日销量'!$A$5:$A$1124,'菜品日销量'!$G$5:$G$1124,0)</x:f>
        <x:v>8</x:v>
      </x:c>
      <x:c r="I188" s="20" t="n">
        <x:f>ROUNDUP(H188/2,0)</x:f>
        <x:v>4</x:v>
      </x:c>
      <x:c r="J188" s="22" t="n">
        <x:f>SUMIFS('菜谱BOM'!$F$5:$F$160,'菜谱BOM'!$A$5:$A$160,E188,'菜谱BOM'!$C$5:$C$160,"食材")</x:f>
        <x:v>450</x:v>
      </x:c>
      <x:c r="K188" s="38" t="n">
        <x:v>0.00018977890726872283</x:v>
      </x:c>
      <x:c r="L188" s="35" t="n">
        <x:f>H188*J188*(1+K188)</x:f>
        <x:v>3600.683204066167</x:v>
      </x:c>
      <x:c r="M188" s="35" t="n">
        <x:f>SUMIFS('菜谱BOM'!$F$5:$F$160,'菜谱BOM'!$A$5:$A$160,E188,'菜谱BOM'!$C$5:$C$160,"调料")</x:f>
        <x:v>42</x:v>
      </x:c>
      <x:c r="N188" s="38" t="n">
        <x:v>0.0013172876078908536</x:v>
      </x:c>
      <x:c r="O188" s="35" t="n">
        <x:f>H188*M188*(1+N188)</x:f>
        <x:v>336.44260863625135</x:v>
      </x:c>
      <x:c r="P188" s="19" t="str">
        <x:f>IF(ABS(N188)&gt;'封面与口径'!$O$25,"机器调料需复核",IF(ABS(K188)&gt;0.02,"人工称重需复核","正常"))</x:f>
        <x:v>正常</x:v>
      </x:c>
      <x:c r="Q188" s="19" t="str">
        <x:v>许哲</x:v>
      </x:c>
    </x:row>
    <x:row r="189">
      <x:c r="A189" s="19" t="str">
        <x:v>2026-07-10|S02|D18</x:v>
      </x:c>
      <x:c r="B189" s="34" t="n">
        <x:v>46213.5</x:v>
      </x:c>
      <x:c r="C189" s="19" t="str">
        <x:v>S02</x:v>
      </x:c>
      <x:c r="D189" s="19" t="str">
        <x:v>尊宝大厦店</x:v>
      </x:c>
      <x:c r="E189" s="19" t="str">
        <x:v>D18</x:v>
      </x:c>
      <x:c r="F189" s="19" t="str">
        <x:v>青椒炒油麦菜</x:v>
      </x:c>
      <x:c r="G189" s="19" t="str">
        <x:v>R1.0</x:v>
      </x:c>
      <x:c r="H189" s="20" t="n">
        <x:f>XLOOKUP(A189,'菜品日销量'!$A$5:$A$1124,'菜品日销量'!$G$5:$G$1124,0)</x:f>
        <x:v>10</x:v>
      </x:c>
      <x:c r="I189" s="20" t="n">
        <x:f>ROUNDUP(H189/2,0)</x:f>
        <x:v>5</x:v>
      </x:c>
      <x:c r="J189" s="22" t="n">
        <x:f>SUMIFS('菜谱BOM'!$F$5:$F$160,'菜谱BOM'!$A$5:$A$160,E189,'菜谱BOM'!$C$5:$C$160,"食材")</x:f>
        <x:v>430</x:v>
      </x:c>
      <x:c r="K189" s="38" t="n">
        <x:v>-0.00394822678993182</x:v>
      </x:c>
      <x:c r="L189" s="35" t="n">
        <x:f>H189*J189*(1+K189)</x:f>
        <x:v>4283.022624803293</x:v>
      </x:c>
      <x:c r="M189" s="35" t="n">
        <x:f>SUMIFS('菜谱BOM'!$F$5:$F$160,'菜谱BOM'!$A$5:$A$160,E189,'菜谱BOM'!$C$5:$C$160,"调料")</x:f>
        <x:v>33</x:v>
      </x:c>
      <x:c r="N189" s="38" t="n">
        <x:v>-0.0008344361257819543</x:v>
      </x:c>
      <x:c r="O189" s="35" t="n">
        <x:f>H189*M189*(1+N189)</x:f>
        <x:v>329.724636078492</x:v>
      </x:c>
      <x:c r="P189" s="19" t="str">
        <x:f>IF(ABS(N189)&gt;'封面与口径'!$O$25,"机器调料需复核",IF(ABS(K189)&gt;0.02,"人工称重需复核","正常"))</x:f>
        <x:v>正常</x:v>
      </x:c>
      <x:c r="Q189" s="19" t="str">
        <x:v>许哲</x:v>
      </x:c>
    </x:row>
    <x:row r="190">
      <x:c r="A190" s="19" t="str">
        <x:v>2026-07-10|S02|D19</x:v>
      </x:c>
      <x:c r="B190" s="34" t="n">
        <x:v>46213.5</x:v>
      </x:c>
      <x:c r="C190" s="19" t="str">
        <x:v>S02</x:v>
      </x:c>
      <x:c r="D190" s="19" t="str">
        <x:v>尊宝大厦店</x:v>
      </x:c>
      <x:c r="E190" s="19" t="str">
        <x:v>D19</x:v>
      </x:c>
      <x:c r="F190" s="19" t="str">
        <x:v>酸萝卜炒鸡杂</x:v>
      </x:c>
      <x:c r="G190" s="19" t="str">
        <x:v>R1.0</x:v>
      </x:c>
      <x:c r="H190" s="20" t="n">
        <x:f>XLOOKUP(A190,'菜品日销量'!$A$5:$A$1124,'菜品日销量'!$G$5:$G$1124,0)</x:f>
        <x:v>6</x:v>
      </x:c>
      <x:c r="I190" s="20" t="n">
        <x:f>ROUNDUP(H190/2,0)</x:f>
        <x:v>3</x:v>
      </x:c>
      <x:c r="J190" s="22" t="n">
        <x:f>SUMIFS('菜谱BOM'!$F$5:$F$160,'菜谱BOM'!$A$5:$A$160,E190,'菜谱BOM'!$C$5:$C$160,"食材")</x:f>
        <x:v>500</x:v>
      </x:c>
      <x:c r="K190" s="38" t="n">
        <x:v>0.005967197376761398</x:v>
      </x:c>
      <x:c r="L190" s="35" t="n">
        <x:f>H190*J190*(1+K190)</x:f>
        <x:v>3017.9015921302844</x:v>
      </x:c>
      <x:c r="M190" s="35" t="n">
        <x:f>SUMIFS('菜谱BOM'!$F$5:$F$160,'菜谱BOM'!$A$5:$A$160,E190,'菜谱BOM'!$C$5:$C$160,"调料")</x:f>
        <x:v>55</x:v>
      </x:c>
      <x:c r="N190" s="38" t="n">
        <x:v>-0.0019417139319567276</x:v>
      </x:c>
      <x:c r="O190" s="35" t="n">
        <x:f>H190*M190*(1+N190)</x:f>
        <x:v>329.35923440245426</x:v>
      </x:c>
      <x:c r="P190" s="19" t="str">
        <x:f>IF(ABS(N190)&gt;'封面与口径'!$O$25,"机器调料需复核",IF(ABS(K190)&gt;0.02,"人工称重需复核","正常"))</x:f>
        <x:v>正常</x:v>
      </x:c>
      <x:c r="Q190" s="19" t="str">
        <x:v>许哲</x:v>
      </x:c>
    </x:row>
    <x:row r="191">
      <x:c r="A191" s="19" t="str">
        <x:v>2026-07-10|S02|D20</x:v>
      </x:c>
      <x:c r="B191" s="34" t="n">
        <x:v>46213.5</x:v>
      </x:c>
      <x:c r="C191" s="19" t="str">
        <x:v>S02</x:v>
      </x:c>
      <x:c r="D191" s="19" t="str">
        <x:v>尊宝大厦店</x:v>
      </x:c>
      <x:c r="E191" s="19" t="str">
        <x:v>D20</x:v>
      </x:c>
      <x:c r="F191" s="19" t="str">
        <x:v>雪菜肉末青豆</x:v>
      </x:c>
      <x:c r="G191" s="19" t="str">
        <x:v>R1.0</x:v>
      </x:c>
      <x:c r="H191" s="20" t="n">
        <x:f>XLOOKUP(A191,'菜品日销量'!$A$5:$A$1124,'菜品日销量'!$G$5:$G$1124,0)</x:f>
        <x:v>10</x:v>
      </x:c>
      <x:c r="I191" s="20" t="n">
        <x:f>ROUNDUP(H191/2,0)</x:f>
        <x:v>5</x:v>
      </x:c>
      <x:c r="J191" s="22" t="n">
        <x:f>SUMIFS('菜谱BOM'!$F$5:$F$160,'菜谱BOM'!$A$5:$A$160,E191,'菜谱BOM'!$C$5:$C$160,"食材")</x:f>
        <x:v>465</x:v>
      </x:c>
      <x:c r="K191" s="38" t="n">
        <x:v>0.0015986492954191398</x:v>
      </x:c>
      <x:c r="L191" s="35" t="n">
        <x:f>H191*J191*(1+K191)</x:f>
        <x:v>4657.433719223699</x:v>
      </x:c>
      <x:c r="M191" s="35" t="n">
        <x:f>SUMIFS('菜谱BOM'!$F$5:$F$160,'菜谱BOM'!$A$5:$A$160,E191,'菜谱BOM'!$C$5:$C$160,"调料")</x:f>
        <x:v>32</x:v>
      </x:c>
      <x:c r="N191" s="38" t="n">
        <x:v>0.0017415870073581084</x:v>
      </x:c>
      <x:c r="O191" s="35" t="n">
        <x:f>H191*M191*(1+N191)</x:f>
        <x:v>320.5573078423546</x:v>
      </x:c>
      <x:c r="P191" s="19" t="str">
        <x:f>IF(ABS(N191)&gt;'封面与口径'!$O$25,"机器调料需复核",IF(ABS(K191)&gt;0.02,"人工称重需复核","正常"))</x:f>
        <x:v>正常</x:v>
      </x:c>
      <x:c r="Q191" s="19" t="str">
        <x:v>许哲</x:v>
      </x:c>
    </x:row>
    <x:row r="192">
      <x:c r="A192" s="19" t="str">
        <x:v>2026-07-11|S02|D01</x:v>
      </x:c>
      <x:c r="B192" s="34" t="n">
        <x:v>46214.5</x:v>
      </x:c>
      <x:c r="C192" s="19" t="str">
        <x:v>S02</x:v>
      </x:c>
      <x:c r="D192" s="19" t="str">
        <x:v>尊宝大厦店</x:v>
      </x:c>
      <x:c r="E192" s="19" t="str">
        <x:v>D01</x:v>
      </x:c>
      <x:c r="F192" s="19" t="str">
        <x:v>辣椒炒肉</x:v>
      </x:c>
      <x:c r="G192" s="19" t="str">
        <x:v>R2.3</x:v>
      </x:c>
      <x:c r="H192" s="20" t="n">
        <x:f>XLOOKUP(A192,'菜品日销量'!$A$5:$A$1124,'菜品日销量'!$G$5:$G$1124,0)</x:f>
        <x:v>40</x:v>
      </x:c>
      <x:c r="I192" s="20" t="n">
        <x:f>ROUNDUP(H192/2,0)</x:f>
        <x:v>20</x:v>
      </x:c>
      <x:c r="J192" s="22" t="n">
        <x:f>SUMIFS('菜谱BOM'!$F$5:$F$160,'菜谱BOM'!$A$5:$A$160,E192,'菜谱BOM'!$C$5:$C$160,"食材")</x:f>
        <x:v>550</x:v>
      </x:c>
      <x:c r="K192" s="38" t="n">
        <x:v>0.0009041898196805712</x:v>
      </x:c>
      <x:c r="L192" s="35" t="n">
        <x:f>H192*J192*(1+K192)</x:f>
        <x:v>22019.892176032976</x:v>
      </x:c>
      <x:c r="M192" s="35" t="n">
        <x:f>SUMIFS('菜谱BOM'!$F$5:$F$160,'菜谱BOM'!$A$5:$A$160,E192,'菜谱BOM'!$C$5:$C$160,"调料")</x:f>
        <x:v>104</x:v>
      </x:c>
      <x:c r="N192" s="38" t="n">
        <x:v>-0.0012671438686705993</x:v>
      </x:c>
      <x:c r="O192" s="35" t="n">
        <x:f>H192*M192*(1+N192)</x:f>
        <x:v>4154.728681506331</x:v>
      </x:c>
      <x:c r="P192" s="19" t="str">
        <x:f>IF(ABS(N192)&gt;'封面与口径'!$O$25,"机器调料需复核",IF(ABS(K192)&gt;0.02,"人工称重需复核","正常"))</x:f>
        <x:v>正常</x:v>
      </x:c>
      <x:c r="Q192" s="19" t="str">
        <x:v>许哲</x:v>
      </x:c>
    </x:row>
    <x:row r="193">
      <x:c r="A193" s="19" t="str">
        <x:v>2026-07-11|S02|D02</x:v>
      </x:c>
      <x:c r="B193" s="34" t="n">
        <x:v>46214.5</x:v>
      </x:c>
      <x:c r="C193" s="19" t="str">
        <x:v>S02</x:v>
      </x:c>
      <x:c r="D193" s="19" t="str">
        <x:v>尊宝大厦店</x:v>
      </x:c>
      <x:c r="E193" s="19" t="str">
        <x:v>D02</x:v>
      </x:c>
      <x:c r="F193" s="19" t="str">
        <x:v>小炒黄牛肉</x:v>
      </x:c>
      <x:c r="G193" s="19" t="str">
        <x:v>R2.3</x:v>
      </x:c>
      <x:c r="H193" s="20" t="n">
        <x:f>XLOOKUP(A193,'菜品日销量'!$A$5:$A$1124,'菜品日销量'!$G$5:$G$1124,0)</x:f>
        <x:v>29</x:v>
      </x:c>
      <x:c r="I193" s="20" t="n">
        <x:f>ROUNDUP(H193/2,0)</x:f>
        <x:v>15</x:v>
      </x:c>
      <x:c r="J193" s="22" t="n">
        <x:f>SUMIFS('菜谱BOM'!$F$5:$F$160,'菜谱BOM'!$A$5:$A$160,E193,'菜谱BOM'!$C$5:$C$160,"食材")</x:f>
        <x:v>560</x:v>
      </x:c>
      <x:c r="K193" s="38" t="n">
        <x:v>-0.0057646447526674355</x:v>
      </x:c>
      <x:c r="L193" s="35" t="n">
        <x:f>H193*J193*(1+K193)</x:f>
        <x:v>16146.38216921668</x:v>
      </x:c>
      <x:c r="M193" s="35" t="n">
        <x:f>SUMIFS('菜谱BOM'!$F$5:$F$160,'菜谱BOM'!$A$5:$A$160,E193,'菜谱BOM'!$C$5:$C$160,"调料")</x:f>
        <x:v>133</x:v>
      </x:c>
      <x:c r="N193" s="38" t="n">
        <x:v>0.0002138090585856256</x:v>
      </x:c>
      <x:c r="O193" s="35" t="n">
        <x:f>H193*M193*(1+N193)</x:f>
        <x:v>3857.824661538965</x:v>
      </x:c>
      <x:c r="P193" s="19" t="str">
        <x:f>IF(ABS(N193)&gt;'封面与口径'!$O$25,"机器调料需复核",IF(ABS(K193)&gt;0.02,"人工称重需复核","正常"))</x:f>
        <x:v>正常</x:v>
      </x:c>
      <x:c r="Q193" s="19" t="str">
        <x:v>许哲</x:v>
      </x:c>
    </x:row>
    <x:row r="194">
      <x:c r="A194" s="19" t="str">
        <x:v>2026-07-11|S02|D03</x:v>
      </x:c>
      <x:c r="B194" s="34" t="n">
        <x:v>46214.5</x:v>
      </x:c>
      <x:c r="C194" s="19" t="str">
        <x:v>S02</x:v>
      </x:c>
      <x:c r="D194" s="19" t="str">
        <x:v>尊宝大厦店</x:v>
      </x:c>
      <x:c r="E194" s="19" t="str">
        <x:v>D03</x:v>
      </x:c>
      <x:c r="F194" s="19" t="str">
        <x:v>香醋炒蛋</x:v>
      </x:c>
      <x:c r="G194" s="19" t="str">
        <x:v>R1.0</x:v>
      </x:c>
      <x:c r="H194" s="20" t="n">
        <x:f>XLOOKUP(A194,'菜品日销量'!$A$5:$A$1124,'菜品日销量'!$G$5:$G$1124,0)</x:f>
        <x:v>32</x:v>
      </x:c>
      <x:c r="I194" s="20" t="n">
        <x:f>ROUNDUP(H194/2,0)</x:f>
        <x:v>16</x:v>
      </x:c>
      <x:c r="J194" s="22" t="n">
        <x:f>SUMIFS('菜谱BOM'!$F$5:$F$160,'菜谱BOM'!$A$5:$A$160,E194,'菜谱BOM'!$C$5:$C$160,"食材")</x:f>
        <x:v>300</x:v>
      </x:c>
      <x:c r="K194" s="38" t="n">
        <x:v>0.0007758608331847618</x:v>
      </x:c>
      <x:c r="L194" s="35" t="n">
        <x:f>H194*J194*(1+K194)</x:f>
        <x:v>9607.448263998573</x:v>
      </x:c>
      <x:c r="M194" s="35" t="n">
        <x:f>SUMIFS('菜谱BOM'!$F$5:$F$160,'菜谱BOM'!$A$5:$A$160,E194,'菜谱BOM'!$C$5:$C$160,"调料")</x:f>
        <x:v>53</x:v>
      </x:c>
      <x:c r="N194" s="38" t="n">
        <x:v>0.0006512005232859406</x:v>
      </x:c>
      <x:c r="O194" s="35" t="n">
        <x:f>H194*M194*(1+N194)</x:f>
        <x:v>1697.104436087493</x:v>
      </x:c>
      <x:c r="P194" s="19" t="str">
        <x:f>IF(ABS(N194)&gt;'封面与口径'!$O$25,"机器调料需复核",IF(ABS(K194)&gt;0.02,"人工称重需复核","正常"))</x:f>
        <x:v>正常</x:v>
      </x:c>
      <x:c r="Q194" s="19" t="str">
        <x:v>许哲</x:v>
      </x:c>
    </x:row>
    <x:row r="195">
      <x:c r="A195" s="19" t="str">
        <x:v>2026-07-11|S02|D04</x:v>
      </x:c>
      <x:c r="B195" s="34" t="n">
        <x:v>46214.5</x:v>
      </x:c>
      <x:c r="C195" s="19" t="str">
        <x:v>S02</x:v>
      </x:c>
      <x:c r="D195" s="19" t="str">
        <x:v>尊宝大厦店</x:v>
      </x:c>
      <x:c r="E195" s="19" t="str">
        <x:v>D04</x:v>
      </x:c>
      <x:c r="F195" s="19" t="str">
        <x:v>酸包菜炒粉皮</x:v>
      </x:c>
      <x:c r="G195" s="19" t="str">
        <x:v>R1.0</x:v>
      </x:c>
      <x:c r="H195" s="20" t="n">
        <x:f>XLOOKUP(A195,'菜品日销量'!$A$5:$A$1124,'菜品日销量'!$G$5:$G$1124,0)</x:f>
        <x:v>30</x:v>
      </x:c>
      <x:c r="I195" s="20" t="n">
        <x:f>ROUNDUP(H195/2,0)</x:f>
        <x:v>15</x:v>
      </x:c>
      <x:c r="J195" s="22" t="n">
        <x:f>SUMIFS('菜谱BOM'!$F$5:$F$160,'菜谱BOM'!$A$5:$A$160,E195,'菜谱BOM'!$C$5:$C$160,"食材")</x:f>
        <x:v>380</x:v>
      </x:c>
      <x:c r="K195" s="38" t="n">
        <x:v>0.003952182992350353</x:v>
      </x:c>
      <x:c r="L195" s="35" t="n">
        <x:f>H195*J195*(1+K195)</x:f>
        <x:v>11445.054886112794</x:v>
      </x:c>
      <x:c r="M195" s="35" t="n">
        <x:f>SUMIFS('菜谱BOM'!$F$5:$F$160,'菜谱BOM'!$A$5:$A$160,E195,'菜谱BOM'!$C$5:$C$160,"调料")</x:f>
        <x:v>47</x:v>
      </x:c>
      <x:c r="N195" s="38" t="n">
        <x:v>-0.0018240801561214218</x:v>
      </x:c>
      <x:c r="O195" s="35" t="n">
        <x:f>H195*M195*(1+N195)</x:f>
        <x:v>1407.4280469798687</x:v>
      </x:c>
      <x:c r="P195" s="19" t="str">
        <x:f>IF(ABS(N195)&gt;'封面与口径'!$O$25,"机器调料需复核",IF(ABS(K195)&gt;0.02,"人工称重需复核","正常"))</x:f>
        <x:v>正常</x:v>
      </x:c>
      <x:c r="Q195" s="19" t="str">
        <x:v>许哲</x:v>
      </x:c>
    </x:row>
    <x:row r="196">
      <x:c r="A196" s="19" t="str">
        <x:v>2026-07-11|S02|D05</x:v>
      </x:c>
      <x:c r="B196" s="34" t="n">
        <x:v>46214.5</x:v>
      </x:c>
      <x:c r="C196" s="19" t="str">
        <x:v>S02</x:v>
      </x:c>
      <x:c r="D196" s="19" t="str">
        <x:v>尊宝大厦店</x:v>
      </x:c>
      <x:c r="E196" s="19" t="str">
        <x:v>D05</x:v>
      </x:c>
      <x:c r="F196" s="19" t="str">
        <x:v>麻婆豆腐</x:v>
      </x:c>
      <x:c r="G196" s="19" t="str">
        <x:v>R1.0</x:v>
      </x:c>
      <x:c r="H196" s="20" t="n">
        <x:f>XLOOKUP(A196,'菜品日销量'!$A$5:$A$1124,'菜品日销量'!$G$5:$G$1124,0)</x:f>
        <x:v>45</x:v>
      </x:c>
      <x:c r="I196" s="20" t="n">
        <x:f>ROUNDUP(H196/2,0)</x:f>
        <x:v>23</x:v>
      </x:c>
      <x:c r="J196" s="22" t="n">
        <x:f>SUMIFS('菜谱BOM'!$F$5:$F$160,'菜谱BOM'!$A$5:$A$160,E196,'菜谱BOM'!$C$5:$C$160,"食材")</x:f>
        <x:v>505</x:v>
      </x:c>
      <x:c r="K196" s="38" t="n">
        <x:v>-0.0026883618744761597</x:v>
      </x:c>
      <x:c r="L196" s="35" t="n">
        <x:f>H196*J196*(1+K196)</x:f>
        <x:v>22663.90697640253</x:v>
      </x:c>
      <x:c r="M196" s="35" t="n">
        <x:f>SUMIFS('菜谱BOM'!$F$5:$F$160,'菜谱BOM'!$A$5:$A$160,E196,'菜谱BOM'!$C$5:$C$160,"调料")</x:f>
        <x:v>90</x:v>
      </x:c>
      <x:c r="N196" s="38" t="n">
        <x:v>-0.000506401327090897</x:v>
      </x:c>
      <x:c r="O196" s="35" t="n">
        <x:f>H196*M196*(1+N196)</x:f>
        <x:v>4047.949074625282</x:v>
      </x:c>
      <x:c r="P196" s="19" t="str">
        <x:f>IF(ABS(N196)&gt;'封面与口径'!$O$25,"机器调料需复核",IF(ABS(K196)&gt;0.02,"人工称重需复核","正常"))</x:f>
        <x:v>正常</x:v>
      </x:c>
      <x:c r="Q196" s="19" t="str">
        <x:v>许哲</x:v>
      </x:c>
    </x:row>
    <x:row r="197">
      <x:c r="A197" s="19" t="str">
        <x:v>2026-07-11|S02|D07</x:v>
      </x:c>
      <x:c r="B197" s="34" t="n">
        <x:v>46214.5</x:v>
      </x:c>
      <x:c r="C197" s="19" t="str">
        <x:v>S02</x:v>
      </x:c>
      <x:c r="D197" s="19" t="str">
        <x:v>尊宝大厦店</x:v>
      </x:c>
      <x:c r="E197" s="19" t="str">
        <x:v>D07</x:v>
      </x:c>
      <x:c r="F197" s="19" t="str">
        <x:v>川味回锅肉</x:v>
      </x:c>
      <x:c r="G197" s="19" t="str">
        <x:v>R1.0</x:v>
      </x:c>
      <x:c r="H197" s="20" t="n">
        <x:f>XLOOKUP(A197,'菜品日销量'!$A$5:$A$1124,'菜品日销量'!$G$5:$G$1124,0)</x:f>
        <x:v>13</x:v>
      </x:c>
      <x:c r="I197" s="20" t="n">
        <x:f>ROUNDUP(H197/2,0)</x:f>
        <x:v>7</x:v>
      </x:c>
      <x:c r="J197" s="22" t="n">
        <x:f>SUMIFS('菜谱BOM'!$F$5:$F$160,'菜谱BOM'!$A$5:$A$160,E197,'菜谱BOM'!$C$5:$C$160,"食材")</x:f>
        <x:v>450</x:v>
      </x:c>
      <x:c r="K197" s="38" t="n">
        <x:v>-0.00019704443034647136</x:v>
      </x:c>
      <x:c r="L197" s="35" t="n">
        <x:f>H197*J197*(1+K197)</x:f>
        <x:v>5848.847290082473</x:v>
      </x:c>
      <x:c r="M197" s="35" t="n">
        <x:f>SUMIFS('菜谱BOM'!$F$5:$F$160,'菜谱BOM'!$A$5:$A$160,E197,'菜谱BOM'!$C$5:$C$160,"调料")</x:f>
        <x:v>63</x:v>
      </x:c>
      <x:c r="N197" s="38" t="n">
        <x:v>-0.00011763596397769538</x:v>
      </x:c>
      <x:c r="O197" s="35" t="n">
        <x:f>H197*M197*(1+N197)</x:f>
        <x:v>818.9036561455023</x:v>
      </x:c>
      <x:c r="P197" s="19" t="str">
        <x:f>IF(ABS(N197)&gt;'封面与口径'!$O$25,"机器调料需复核",IF(ABS(K197)&gt;0.02,"人工称重需复核","正常"))</x:f>
        <x:v>正常</x:v>
      </x:c>
      <x:c r="Q197" s="19" t="str">
        <x:v>许哲</x:v>
      </x:c>
    </x:row>
    <x:row r="198">
      <x:c r="A198" s="19" t="str">
        <x:v>2026-07-11|S02|D08</x:v>
      </x:c>
      <x:c r="B198" s="34" t="n">
        <x:v>46214.5</x:v>
      </x:c>
      <x:c r="C198" s="19" t="str">
        <x:v>S02</x:v>
      </x:c>
      <x:c r="D198" s="19" t="str">
        <x:v>尊宝大厦店</x:v>
      </x:c>
      <x:c r="E198" s="19" t="str">
        <x:v>D08</x:v>
      </x:c>
      <x:c r="F198" s="19" t="str">
        <x:v>生炒清远鸡</x:v>
      </x:c>
      <x:c r="G198" s="19" t="str">
        <x:v>R1.0</x:v>
      </x:c>
      <x:c r="H198" s="20" t="n">
        <x:f>XLOOKUP(A198,'菜品日销量'!$A$5:$A$1124,'菜品日销量'!$G$5:$G$1124,0)</x:f>
        <x:v>11</x:v>
      </x:c>
      <x:c r="I198" s="20" t="n">
        <x:f>ROUNDUP(H198/2,0)</x:f>
        <x:v>6</x:v>
      </x:c>
      <x:c r="J198" s="22" t="n">
        <x:f>SUMIFS('菜谱BOM'!$F$5:$F$160,'菜谱BOM'!$A$5:$A$160,E198,'菜谱BOM'!$C$5:$C$160,"食材")</x:f>
        <x:v>610</x:v>
      </x:c>
      <x:c r="K198" s="38" t="n">
        <x:v>0.0059164487714684685</x:v>
      </x:c>
      <x:c r="L198" s="35" t="n">
        <x:f>H198*J198*(1+K198)</x:f>
        <x:v>6749.699371256554</x:v>
      </x:c>
      <x:c r="M198" s="35" t="n">
        <x:f>SUMIFS('菜谱BOM'!$F$5:$F$160,'菜谱BOM'!$A$5:$A$160,E198,'菜谱BOM'!$C$5:$C$160,"调料")</x:f>
        <x:v>61</x:v>
      </x:c>
      <x:c r="N198" s="38" t="n">
        <x:v>0.0015719238025070923</x:v>
      </x:c>
      <x:c r="O198" s="35" t="n">
        <x:f>H198*M198*(1+N198)</x:f>
        <x:v>672.0547608714822</x:v>
      </x:c>
      <x:c r="P198" s="19" t="str">
        <x:f>IF(ABS(N198)&gt;'封面与口径'!$O$25,"机器调料需复核",IF(ABS(K198)&gt;0.02,"人工称重需复核","正常"))</x:f>
        <x:v>正常</x:v>
      </x:c>
      <x:c r="Q198" s="19" t="str">
        <x:v>许哲</x:v>
      </x:c>
    </x:row>
    <x:row r="199">
      <x:c r="A199" s="19" t="str">
        <x:v>2026-07-11|S02|D09</x:v>
      </x:c>
      <x:c r="B199" s="34" t="n">
        <x:v>46214.5</x:v>
      </x:c>
      <x:c r="C199" s="19" t="str">
        <x:v>S02</x:v>
      </x:c>
      <x:c r="D199" s="19" t="str">
        <x:v>尊宝大厦店</x:v>
      </x:c>
      <x:c r="E199" s="19" t="str">
        <x:v>D09</x:v>
      </x:c>
      <x:c r="F199" s="19" t="str">
        <x:v>炒豆干</x:v>
      </x:c>
      <x:c r="G199" s="19" t="str">
        <x:v>R1.0</x:v>
      </x:c>
      <x:c r="H199" s="20" t="n">
        <x:f>XLOOKUP(A199,'菜品日销量'!$A$5:$A$1124,'菜品日销量'!$G$5:$G$1124,0)</x:f>
        <x:v>14</x:v>
      </x:c>
      <x:c r="I199" s="20" t="n">
        <x:f>ROUNDUP(H199/2,0)</x:f>
        <x:v>7</x:v>
      </x:c>
      <x:c r="J199" s="22" t="n">
        <x:f>SUMIFS('菜谱BOM'!$F$5:$F$160,'菜谱BOM'!$A$5:$A$160,E199,'菜谱BOM'!$C$5:$C$160,"食材")</x:f>
        <x:v>520</x:v>
      </x:c>
      <x:c r="K199" s="38" t="n">
        <x:v>-0.00484138450698028</x:v>
      </x:c>
      <x:c r="L199" s="35" t="n">
        <x:f>H199*J199*(1+K199)</x:f>
        <x:v>7244.754720789184</x:v>
      </x:c>
      <x:c r="M199" s="35" t="n">
        <x:f>SUMIFS('菜谱BOM'!$F$5:$F$160,'菜谱BOM'!$A$5:$A$160,E199,'菜谱BOM'!$C$5:$C$160,"调料")</x:f>
        <x:v>42</x:v>
      </x:c>
      <x:c r="N199" s="38" t="n">
        <x:v>-0.0006183689689772131</x:v>
      </x:c>
      <x:c r="O199" s="35" t="n">
        <x:f>H199*M199*(1+N199)</x:f>
        <x:v>587.6363990462414</x:v>
      </x:c>
      <x:c r="P199" s="19" t="str">
        <x:f>IF(ABS(N199)&gt;'封面与口径'!$O$25,"机器调料需复核",IF(ABS(K199)&gt;0.02,"人工称重需复核","正常"))</x:f>
        <x:v>正常</x:v>
      </x:c>
      <x:c r="Q199" s="19" t="str">
        <x:v>许哲</x:v>
      </x:c>
    </x:row>
    <x:row r="200">
      <x:c r="A200" s="19" t="str">
        <x:v>2026-07-11|S02|D10</x:v>
      </x:c>
      <x:c r="B200" s="34" t="n">
        <x:v>46214.5</x:v>
      </x:c>
      <x:c r="C200" s="19" t="str">
        <x:v>S02</x:v>
      </x:c>
      <x:c r="D200" s="19" t="str">
        <x:v>尊宝大厦店</x:v>
      </x:c>
      <x:c r="E200" s="19" t="str">
        <x:v>D10</x:v>
      </x:c>
      <x:c r="F200" s="19" t="str">
        <x:v>农家一碗香</x:v>
      </x:c>
      <x:c r="G200" s="19" t="str">
        <x:v>R2.3</x:v>
      </x:c>
      <x:c r="H200" s="20" t="n">
        <x:f>XLOOKUP(A200,'菜品日销量'!$A$5:$A$1124,'菜品日销量'!$G$5:$G$1124,0)</x:f>
        <x:v>15</x:v>
      </x:c>
      <x:c r="I200" s="20" t="n">
        <x:f>ROUNDUP(H200/2,0)</x:f>
        <x:v>8</x:v>
      </x:c>
      <x:c r="J200" s="22" t="n">
        <x:f>SUMIFS('菜谱BOM'!$F$5:$F$160,'菜谱BOM'!$A$5:$A$160,E200,'菜谱BOM'!$C$5:$C$160,"食材")</x:f>
        <x:v>510</x:v>
      </x:c>
      <x:c r="K200" s="38" t="n">
        <x:v>0.001467534782706652</x:v>
      </x:c>
      <x:c r="L200" s="35" t="n">
        <x:f>H200*J200*(1+K200)</x:f>
        <x:v>7661.226641087706</x:v>
      </x:c>
      <x:c r="M200" s="35" t="n">
        <x:f>SUMIFS('菜谱BOM'!$F$5:$F$160,'菜谱BOM'!$A$5:$A$160,E200,'菜谱BOM'!$C$5:$C$160,"调料")</x:f>
        <x:v>88</x:v>
      </x:c>
      <x:c r="N200" s="38" t="n">
        <x:v>-0.001958656623018593</x:v>
      </x:c>
      <x:c r="O200" s="35" t="n">
        <x:f>H200*M200*(1+N200)</x:f>
        <x:v>1317.4145732576153</x:v>
      </x:c>
      <x:c r="P200" s="19" t="str">
        <x:f>IF(ABS(N200)&gt;'封面与口径'!$O$25,"机器调料需复核",IF(ABS(K200)&gt;0.02,"人工称重需复核","正常"))</x:f>
        <x:v>正常</x:v>
      </x:c>
      <x:c r="Q200" s="19" t="str">
        <x:v>许哲</x:v>
      </x:c>
    </x:row>
    <x:row r="201">
      <x:c r="A201" s="19" t="str">
        <x:v>2026-07-11|S02|D11</x:v>
      </x:c>
      <x:c r="B201" s="34" t="n">
        <x:v>46214.5</x:v>
      </x:c>
      <x:c r="C201" s="19" t="str">
        <x:v>S02</x:v>
      </x:c>
      <x:c r="D201" s="19" t="str">
        <x:v>尊宝大厦店</x:v>
      </x:c>
      <x:c r="E201" s="19" t="str">
        <x:v>D11</x:v>
      </x:c>
      <x:c r="F201" s="19" t="str">
        <x:v>香辣爆肥肠</x:v>
      </x:c>
      <x:c r="G201" s="19" t="str">
        <x:v>R1.0</x:v>
      </x:c>
      <x:c r="H201" s="20" t="n">
        <x:f>XLOOKUP(A201,'菜品日销量'!$A$5:$A$1124,'菜品日销量'!$G$5:$G$1124,0)</x:f>
        <x:v>5</x:v>
      </x:c>
      <x:c r="I201" s="20" t="n">
        <x:f>ROUNDUP(H201/2,0)</x:f>
        <x:v>3</x:v>
      </x:c>
      <x:c r="J201" s="22" t="n">
        <x:f>SUMIFS('菜谱BOM'!$F$5:$F$160,'菜谱BOM'!$A$5:$A$160,E201,'菜谱BOM'!$C$5:$C$160,"食材")</x:f>
        <x:v>430</x:v>
      </x:c>
      <x:c r="K201" s="38" t="n">
        <x:v>-0.0017626640148839599</x:v>
      </x:c>
      <x:c r="L201" s="35" t="n">
        <x:f>H201*J201*(1+K201)</x:f>
        <x:v>2146.2102723679996</x:v>
      </x:c>
      <x:c r="M201" s="35" t="n">
        <x:f>SUMIFS('菜谱BOM'!$F$5:$F$160,'菜谱BOM'!$A$5:$A$160,E201,'菜谱BOM'!$C$5:$C$160,"调料")</x:f>
        <x:v>67</x:v>
      </x:c>
      <x:c r="N201" s="38" t="n">
        <x:v>0.0016601692260383091</x:v>
      </x:c>
      <x:c r="O201" s="35" t="n">
        <x:f>H201*M201*(1+N201)</x:f>
        <x:v>335.55615669072284</x:v>
      </x:c>
      <x:c r="P201" s="19" t="str">
        <x:f>IF(ABS(N201)&gt;'封面与口径'!$O$25,"机器调料需复核",IF(ABS(K201)&gt;0.02,"人工称重需复核","正常"))</x:f>
        <x:v>正常</x:v>
      </x:c>
      <x:c r="Q201" s="19" t="str">
        <x:v>许哲</x:v>
      </x:c>
    </x:row>
    <x:row r="202">
      <x:c r="A202" s="19" t="str">
        <x:v>2026-07-11|S02|D13</x:v>
      </x:c>
      <x:c r="B202" s="34" t="n">
        <x:v>46214.5</x:v>
      </x:c>
      <x:c r="C202" s="19" t="str">
        <x:v>S02</x:v>
      </x:c>
      <x:c r="D202" s="19" t="str">
        <x:v>尊宝大厦店</x:v>
      </x:c>
      <x:c r="E202" s="19" t="str">
        <x:v>D13</x:v>
      </x:c>
      <x:c r="F202" s="19" t="str">
        <x:v>外婆菜炒蛋</x:v>
      </x:c>
      <x:c r="G202" s="19" t="str">
        <x:v>R1.0</x:v>
      </x:c>
      <x:c r="H202" s="20" t="n">
        <x:f>XLOOKUP(A202,'菜品日销量'!$A$5:$A$1124,'菜品日销量'!$G$5:$G$1124,0)</x:f>
        <x:v>13</x:v>
      </x:c>
      <x:c r="I202" s="20" t="n">
        <x:f>ROUNDUP(H202/2,0)</x:f>
        <x:v>7</x:v>
      </x:c>
      <x:c r="J202" s="22" t="n">
        <x:f>SUMIFS('菜谱BOM'!$F$5:$F$160,'菜谱BOM'!$A$5:$A$160,E202,'菜谱BOM'!$C$5:$C$160,"食材")</x:f>
        <x:v>450</x:v>
      </x:c>
      <x:c r="K202" s="38" t="n">
        <x:v>-0.007051606375503262</x:v>
      </x:c>
      <x:c r="L202" s="35" t="n">
        <x:f>H202*J202*(1+K202)</x:f>
        <x:v>5808.748102703305</x:v>
      </x:c>
      <x:c r="M202" s="35" t="n">
        <x:f>SUMIFS('菜谱BOM'!$F$5:$F$160,'菜谱BOM'!$A$5:$A$160,E202,'菜谱BOM'!$C$5:$C$160,"调料")</x:f>
        <x:v>37</x:v>
      </x:c>
      <x:c r="N202" s="38" t="n">
        <x:v>-0.0019277737755160251</x:v>
      </x:c>
      <x:c r="O202" s="35" t="n">
        <x:f>H202*M202*(1+N202)</x:f>
        <x:v>480.0727408139768</x:v>
      </x:c>
      <x:c r="P202" s="19" t="str">
        <x:f>IF(ABS(N202)&gt;'封面与口径'!$O$25,"机器调料需复核",IF(ABS(K202)&gt;0.02,"人工称重需复核","正常"))</x:f>
        <x:v>正常</x:v>
      </x:c>
      <x:c r="Q202" s="19" t="str">
        <x:v>许哲</x:v>
      </x:c>
    </x:row>
    <x:row r="203">
      <x:c r="A203" s="19" t="str">
        <x:v>2026-07-11|S02|D14</x:v>
      </x:c>
      <x:c r="B203" s="34" t="n">
        <x:v>46214.5</x:v>
      </x:c>
      <x:c r="C203" s="19" t="str">
        <x:v>S02</x:v>
      </x:c>
      <x:c r="D203" s="19" t="str">
        <x:v>尊宝大厦店</x:v>
      </x:c>
      <x:c r="E203" s="19" t="str">
        <x:v>D14</x:v>
      </x:c>
      <x:c r="F203" s="19" t="str">
        <x:v>酸辣鸡杂</x:v>
      </x:c>
      <x:c r="G203" s="19" t="str">
        <x:v>R1.0</x:v>
      </x:c>
      <x:c r="H203" s="20" t="n">
        <x:f>XLOOKUP(A203,'菜品日销量'!$A$5:$A$1124,'菜品日销量'!$G$5:$G$1124,0)</x:f>
        <x:v>7</x:v>
      </x:c>
      <x:c r="I203" s="20" t="n">
        <x:f>ROUNDUP(H203/2,0)</x:f>
        <x:v>4</x:v>
      </x:c>
      <x:c r="J203" s="22" t="n">
        <x:f>SUMIFS('菜谱BOM'!$F$5:$F$160,'菜谱BOM'!$A$5:$A$160,E203,'菜谱BOM'!$C$5:$C$160,"食材")</x:f>
        <x:v>470</x:v>
      </x:c>
      <x:c r="K203" s="38" t="n">
        <x:v>0.00043176637786248765</x:v>
      </x:c>
      <x:c r="L203" s="35" t="n">
        <x:f>H203*J203*(1+K203)</x:f>
        <x:v>3291.4205113831676</x:v>
      </x:c>
      <x:c r="M203" s="35" t="n">
        <x:f>SUMIFS('菜谱BOM'!$F$5:$F$160,'菜谱BOM'!$A$5:$A$160,E203,'菜谱BOM'!$C$5:$C$160,"调料")</x:f>
        <x:v>60</x:v>
      </x:c>
      <x:c r="N203" s="38" t="n">
        <x:v>0.0005917317025809856</x:v>
      </x:c>
      <x:c r="O203" s="35" t="n">
        <x:f>H203*M203*(1+N203)</x:f>
        <x:v>420.248527315084</x:v>
      </x:c>
      <x:c r="P203" s="19" t="str">
        <x:f>IF(ABS(N203)&gt;'封面与口径'!$O$25,"机器调料需复核",IF(ABS(K203)&gt;0.02,"人工称重需复核","正常"))</x:f>
        <x:v>正常</x:v>
      </x:c>
      <x:c r="Q203" s="19" t="str">
        <x:v>许哲</x:v>
      </x:c>
    </x:row>
    <x:row r="204">
      <x:c r="A204" s="19" t="str">
        <x:v>2026-07-11|S02|D15</x:v>
      </x:c>
      <x:c r="B204" s="34" t="n">
        <x:v>46214.5</x:v>
      </x:c>
      <x:c r="C204" s="19" t="str">
        <x:v>S02</x:v>
      </x:c>
      <x:c r="D204" s="19" t="str">
        <x:v>尊宝大厦店</x:v>
      </x:c>
      <x:c r="E204" s="19" t="str">
        <x:v>D15</x:v>
      </x:c>
      <x:c r="F204" s="19" t="str">
        <x:v>湘西土匪猪肝</x:v>
      </x:c>
      <x:c r="G204" s="19" t="str">
        <x:v>R1.0</x:v>
      </x:c>
      <x:c r="H204" s="20" t="n">
        <x:f>XLOOKUP(A204,'菜品日销量'!$A$5:$A$1124,'菜品日销量'!$G$5:$G$1124,0)</x:f>
        <x:v>6</x:v>
      </x:c>
      <x:c r="I204" s="20" t="n">
        <x:f>ROUNDUP(H204/2,0)</x:f>
        <x:v>3</x:v>
      </x:c>
      <x:c r="J204" s="22" t="n">
        <x:f>SUMIFS('菜谱BOM'!$F$5:$F$160,'菜谱BOM'!$A$5:$A$160,E204,'菜谱BOM'!$C$5:$C$160,"食材")</x:f>
        <x:v>470</x:v>
      </x:c>
      <x:c r="K204" s="38" t="n">
        <x:v>0.0025360786231551505</x:v>
      </x:c>
      <x:c r="L204" s="35" t="n">
        <x:f>H204*J204*(1+K204)</x:f>
        <x:v>2827.1517417172977</x:v>
      </x:c>
      <x:c r="M204" s="35" t="n">
        <x:f>SUMIFS('菜谱BOM'!$F$5:$F$160,'菜谱BOM'!$A$5:$A$160,E204,'菜谱BOM'!$C$5:$C$160,"调料")</x:f>
        <x:v>49</x:v>
      </x:c>
      <x:c r="N204" s="38" t="n">
        <x:v>0.00011021152187842232</x:v>
      </x:c>
      <x:c r="O204" s="35" t="n">
        <x:f>H204*M204*(1+N204)</x:f>
        <x:v>294.0324021874323</x:v>
      </x:c>
      <x:c r="P204" s="19" t="str">
        <x:f>IF(ABS(N204)&gt;'封面与口径'!$O$25,"机器调料需复核",IF(ABS(K204)&gt;0.02,"人工称重需复核","正常"))</x:f>
        <x:v>正常</x:v>
      </x:c>
      <x:c r="Q204" s="19" t="str">
        <x:v>许哲</x:v>
      </x:c>
    </x:row>
    <x:row r="205">
      <x:c r="A205" s="19" t="str">
        <x:v>2026-07-11|S02|D16</x:v>
      </x:c>
      <x:c r="B205" s="34" t="n">
        <x:v>46214.5</x:v>
      </x:c>
      <x:c r="C205" s="19" t="str">
        <x:v>S02</x:v>
      </x:c>
      <x:c r="D205" s="19" t="str">
        <x:v>尊宝大厦店</x:v>
      </x:c>
      <x:c r="E205" s="19" t="str">
        <x:v>D16</x:v>
      </x:c>
      <x:c r="F205" s="19" t="str">
        <x:v>小豆角炒五花</x:v>
      </x:c>
      <x:c r="G205" s="19" t="str">
        <x:v>R1.0</x:v>
      </x:c>
      <x:c r="H205" s="20" t="n">
        <x:f>XLOOKUP(A205,'菜品日销量'!$A$5:$A$1124,'菜品日销量'!$G$5:$G$1124,0)</x:f>
        <x:v>6</x:v>
      </x:c>
      <x:c r="I205" s="20" t="n">
        <x:f>ROUNDUP(H205/2,0)</x:f>
        <x:v>3</x:v>
      </x:c>
      <x:c r="J205" s="22" t="n">
        <x:f>SUMIFS('菜谱BOM'!$F$5:$F$160,'菜谱BOM'!$A$5:$A$160,E205,'菜谱BOM'!$C$5:$C$160,"食材")</x:f>
        <x:v>450</x:v>
      </x:c>
      <x:c r="K205" s="38" t="n">
        <x:v>-0.0014039184510251318</x:v>
      </x:c>
      <x:c r="L205" s="35" t="n">
        <x:f>H205*J205*(1+K205)</x:f>
        <x:v>2696.209420182232</x:v>
      </x:c>
      <x:c r="M205" s="35" t="n">
        <x:f>SUMIFS('菜谱BOM'!$F$5:$F$160,'菜谱BOM'!$A$5:$A$160,E205,'菜谱BOM'!$C$5:$C$160,"调料")</x:f>
        <x:v>42</x:v>
      </x:c>
      <x:c r="N205" s="38" t="n">
        <x:v>0.0005902895551617933</x:v>
      </x:c>
      <x:c r="O205" s="35" t="n">
        <x:f>H205*M205*(1+N205)</x:f>
        <x:v>252.14875296790075</x:v>
      </x:c>
      <x:c r="P205" s="19" t="str">
        <x:f>IF(ABS(N205)&gt;'封面与口径'!$O$25,"机器调料需复核",IF(ABS(K205)&gt;0.02,"人工称重需复核","正常"))</x:f>
        <x:v>正常</x:v>
      </x:c>
      <x:c r="Q205" s="19" t="str">
        <x:v>许哲</x:v>
      </x:c>
    </x:row>
    <x:row r="206">
      <x:c r="A206" s="19" t="str">
        <x:v>2026-07-11|S02|D18</x:v>
      </x:c>
      <x:c r="B206" s="34" t="n">
        <x:v>46214.5</x:v>
      </x:c>
      <x:c r="C206" s="19" t="str">
        <x:v>S02</x:v>
      </x:c>
      <x:c r="D206" s="19" t="str">
        <x:v>尊宝大厦店</x:v>
      </x:c>
      <x:c r="E206" s="19" t="str">
        <x:v>D18</x:v>
      </x:c>
      <x:c r="F206" s="19" t="str">
        <x:v>青椒炒油麦菜</x:v>
      </x:c>
      <x:c r="G206" s="19" t="str">
        <x:v>R1.0</x:v>
      </x:c>
      <x:c r="H206" s="20" t="n">
        <x:f>XLOOKUP(A206,'菜品日销量'!$A$5:$A$1124,'菜品日销量'!$G$5:$G$1124,0)</x:f>
        <x:v>7</x:v>
      </x:c>
      <x:c r="I206" s="20" t="n">
        <x:f>ROUNDUP(H206/2,0)</x:f>
        <x:v>4</x:v>
      </x:c>
      <x:c r="J206" s="22" t="n">
        <x:f>SUMIFS('菜谱BOM'!$F$5:$F$160,'菜谱BOM'!$A$5:$A$160,E206,'菜谱BOM'!$C$5:$C$160,"食材")</x:f>
        <x:v>430</x:v>
      </x:c>
      <x:c r="K206" s="38" t="n">
        <x:v>-0.0007896158380409739</x:v>
      </x:c>
      <x:c r="L206" s="35" t="n">
        <x:f>H206*J206*(1+K206)</x:f>
        <x:v>3007.6232563274966</x:v>
      </x:c>
      <x:c r="M206" s="35" t="n">
        <x:f>SUMIFS('菜谱BOM'!$F$5:$F$160,'菜谱BOM'!$A$5:$A$160,E206,'菜谱BOM'!$C$5:$C$160,"调料")</x:f>
        <x:v>33</x:v>
      </x:c>
      <x:c r="N206" s="38" t="n">
        <x:v>0.0016555289867463358</x:v>
      </x:c>
      <x:c r="O206" s="35" t="n">
        <x:f>H206*M206*(1+N206)</x:f>
        <x:v>231.38242719593842</x:v>
      </x:c>
      <x:c r="P206" s="19" t="str">
        <x:f>IF(ABS(N206)&gt;'封面与口径'!$O$25,"机器调料需复核",IF(ABS(K206)&gt;0.02,"人工称重需复核","正常"))</x:f>
        <x:v>正常</x:v>
      </x:c>
      <x:c r="Q206" s="19" t="str">
        <x:v>许哲</x:v>
      </x:c>
    </x:row>
    <x:row r="207">
      <x:c r="A207" s="19" t="str">
        <x:v>2026-07-11|S02|D19</x:v>
      </x:c>
      <x:c r="B207" s="34" t="n">
        <x:v>46214.5</x:v>
      </x:c>
      <x:c r="C207" s="19" t="str">
        <x:v>S02</x:v>
      </x:c>
      <x:c r="D207" s="19" t="str">
        <x:v>尊宝大厦店</x:v>
      </x:c>
      <x:c r="E207" s="19" t="str">
        <x:v>D19</x:v>
      </x:c>
      <x:c r="F207" s="19" t="str">
        <x:v>酸萝卜炒鸡杂</x:v>
      </x:c>
      <x:c r="G207" s="19" t="str">
        <x:v>R1.0</x:v>
      </x:c>
      <x:c r="H207" s="20" t="n">
        <x:f>XLOOKUP(A207,'菜品日销量'!$A$5:$A$1124,'菜品日销量'!$G$5:$G$1124,0)</x:f>
        <x:v>4</x:v>
      </x:c>
      <x:c r="I207" s="20" t="n">
        <x:f>ROUNDUP(H207/2,0)</x:f>
        <x:v>2</x:v>
      </x:c>
      <x:c r="J207" s="22" t="n">
        <x:f>SUMIFS('菜谱BOM'!$F$5:$F$160,'菜谱BOM'!$A$5:$A$160,E207,'菜谱BOM'!$C$5:$C$160,"食材")</x:f>
        <x:v>500</x:v>
      </x:c>
      <x:c r="K207" s="38" t="n">
        <x:v>0.0073258474840144265</x:v>
      </x:c>
      <x:c r="L207" s="35" t="n">
        <x:f>H207*J207*(1+K207)</x:f>
        <x:v>2014.6516949680286</x:v>
      </x:c>
      <x:c r="M207" s="35" t="n">
        <x:f>SUMIFS('菜谱BOM'!$F$5:$F$160,'菜谱BOM'!$A$5:$A$160,E207,'菜谱BOM'!$C$5:$C$160,"调料")</x:f>
        <x:v>55</x:v>
      </x:c>
      <x:c r="N207" s="38" t="n">
        <x:v>-0.0015343799701739056</x:v>
      </x:c>
      <x:c r="O207" s="35" t="n">
        <x:f>H207*M207*(1+N207)</x:f>
        <x:v>219.66243640656174</x:v>
      </x:c>
      <x:c r="P207" s="19" t="str">
        <x:f>IF(ABS(N207)&gt;'封面与口径'!$O$25,"机器调料需复核",IF(ABS(K207)&gt;0.02,"人工称重需复核","正常"))</x:f>
        <x:v>正常</x:v>
      </x:c>
      <x:c r="Q207" s="19" t="str">
        <x:v>许哲</x:v>
      </x:c>
    </x:row>
    <x:row r="208">
      <x:c r="A208" s="19" t="str">
        <x:v>2026-07-11|S02|D20</x:v>
      </x:c>
      <x:c r="B208" s="34" t="n">
        <x:v>46214.5</x:v>
      </x:c>
      <x:c r="C208" s="19" t="str">
        <x:v>S02</x:v>
      </x:c>
      <x:c r="D208" s="19" t="str">
        <x:v>尊宝大厦店</x:v>
      </x:c>
      <x:c r="E208" s="19" t="str">
        <x:v>D20</x:v>
      </x:c>
      <x:c r="F208" s="19" t="str">
        <x:v>雪菜肉末青豆</x:v>
      </x:c>
      <x:c r="G208" s="19" t="str">
        <x:v>R1.0</x:v>
      </x:c>
      <x:c r="H208" s="20" t="n">
        <x:f>XLOOKUP(A208,'菜品日销量'!$A$5:$A$1124,'菜品日销量'!$G$5:$G$1124,0)</x:f>
        <x:v>6</x:v>
      </x:c>
      <x:c r="I208" s="20" t="n">
        <x:f>ROUNDUP(H208/2,0)</x:f>
        <x:v>3</x:v>
      </x:c>
      <x:c r="J208" s="22" t="n">
        <x:f>SUMIFS('菜谱BOM'!$F$5:$F$160,'菜谱BOM'!$A$5:$A$160,E208,'菜谱BOM'!$C$5:$C$160,"食材")</x:f>
        <x:v>465</x:v>
      </x:c>
      <x:c r="K208" s="38" t="n">
        <x:v>0.002862632474597225</x:v>
      </x:c>
      <x:c r="L208" s="35" t="n">
        <x:f>H208*J208*(1+K208)</x:f>
        <x:v>2797.986744604126</x:v>
      </x:c>
      <x:c r="M208" s="35" t="n">
        <x:f>SUMIFS('菜谱BOM'!$F$5:$F$160,'菜谱BOM'!$A$5:$A$160,E208,'菜谱BOM'!$C$5:$C$160,"调料")</x:f>
        <x:v>32</x:v>
      </x:c>
      <x:c r="N208" s="38" t="n">
        <x:v>0.0005570933601253416</x:v>
      </x:c>
      <x:c r="O208" s="35" t="n">
        <x:f>H208*M208*(1+N208)</x:f>
        <x:v>192.10696192514405</x:v>
      </x:c>
      <x:c r="P208" s="19" t="str">
        <x:f>IF(ABS(N208)&gt;'封面与口径'!$O$25,"机器调料需复核",IF(ABS(K208)&gt;0.02,"人工称重需复核","正常"))</x:f>
        <x:v>正常</x:v>
      </x:c>
      <x:c r="Q208" s="19" t="str">
        <x:v>许哲</x:v>
      </x:c>
    </x:row>
    <x:row r="209">
      <x:c r="A209" s="19" t="str">
        <x:v>2026-07-12|S02|D01</x:v>
      </x:c>
      <x:c r="B209" s="34" t="n">
        <x:v>46215.5</x:v>
      </x:c>
      <x:c r="C209" s="19" t="str">
        <x:v>S02</x:v>
      </x:c>
      <x:c r="D209" s="19" t="str">
        <x:v>尊宝大厦店</x:v>
      </x:c>
      <x:c r="E209" s="19" t="str">
        <x:v>D01</x:v>
      </x:c>
      <x:c r="F209" s="19" t="str">
        <x:v>辣椒炒肉</x:v>
      </x:c>
      <x:c r="G209" s="19" t="str">
        <x:v>R2.3</x:v>
      </x:c>
      <x:c r="H209" s="20" t="n">
        <x:f>XLOOKUP(A209,'菜品日销量'!$A$5:$A$1124,'菜品日销量'!$G$5:$G$1124,0)</x:f>
        <x:v>42</x:v>
      </x:c>
      <x:c r="I209" s="20" t="n">
        <x:f>ROUNDUP(H209/2,0)</x:f>
        <x:v>21</x:v>
      </x:c>
      <x:c r="J209" s="22" t="n">
        <x:f>SUMIFS('菜谱BOM'!$F$5:$F$160,'菜谱BOM'!$A$5:$A$160,E209,'菜谱BOM'!$C$5:$C$160,"食材")</x:f>
        <x:v>550</x:v>
      </x:c>
      <x:c r="K209" s="38" t="n">
        <x:v>0.005715214035873119</x:v>
      </x:c>
      <x:c r="L209" s="35" t="n">
        <x:f>H209*J209*(1+K209)</x:f>
        <x:v>23232.02144422867</x:v>
      </x:c>
      <x:c r="M209" s="35" t="n">
        <x:f>SUMIFS('菜谱BOM'!$F$5:$F$160,'菜谱BOM'!$A$5:$A$160,E209,'菜谱BOM'!$C$5:$C$160,"调料")</x:f>
        <x:v>104</x:v>
      </x:c>
      <x:c r="N209" s="38" t="n">
        <x:v>-0.0009144143236136098</x:v>
      </x:c>
      <x:c r="O209" s="35" t="n">
        <x:f>H209*M209*(1+N209)</x:f>
        <x:v>4364.005838234456</x:v>
      </x:c>
      <x:c r="P209" s="19" t="str">
        <x:f>IF(ABS(N209)&gt;'封面与口径'!$O$25,"机器调料需复核",IF(ABS(K209)&gt;0.02,"人工称重需复核","正常"))</x:f>
        <x:v>正常</x:v>
      </x:c>
      <x:c r="Q209" s="19" t="str">
        <x:v>许哲</x:v>
      </x:c>
    </x:row>
    <x:row r="210">
      <x:c r="A210" s="19" t="str">
        <x:v>2026-07-12|S02|D02</x:v>
      </x:c>
      <x:c r="B210" s="34" t="n">
        <x:v>46215.5</x:v>
      </x:c>
      <x:c r="C210" s="19" t="str">
        <x:v>S02</x:v>
      </x:c>
      <x:c r="D210" s="19" t="str">
        <x:v>尊宝大厦店</x:v>
      </x:c>
      <x:c r="E210" s="19" t="str">
        <x:v>D02</x:v>
      </x:c>
      <x:c r="F210" s="19" t="str">
        <x:v>小炒黄牛肉</x:v>
      </x:c>
      <x:c r="G210" s="19" t="str">
        <x:v>R2.3</x:v>
      </x:c>
      <x:c r="H210" s="20" t="n">
        <x:f>XLOOKUP(A210,'菜品日销量'!$A$5:$A$1124,'菜品日销量'!$G$5:$G$1124,0)</x:f>
        <x:v>27</x:v>
      </x:c>
      <x:c r="I210" s="20" t="n">
        <x:f>ROUNDUP(H210/2,0)</x:f>
        <x:v>14</x:v>
      </x:c>
      <x:c r="J210" s="22" t="n">
        <x:f>SUMIFS('菜谱BOM'!$F$5:$F$160,'菜谱BOM'!$A$5:$A$160,E210,'菜谱BOM'!$C$5:$C$160,"食材")</x:f>
        <x:v>560</x:v>
      </x:c>
      <x:c r="K210" s="38" t="n">
        <x:v>0.0027957648287517396</x:v>
      </x:c>
      <x:c r="L210" s="35" t="n">
        <x:f>H210*J210*(1+K210)</x:f>
        <x:v>15162.271964210726</x:v>
      </x:c>
      <x:c r="M210" s="35" t="n">
        <x:f>SUMIFS('菜谱BOM'!$F$5:$F$160,'菜谱BOM'!$A$5:$A$160,E210,'菜谱BOM'!$C$5:$C$160,"调料")</x:f>
        <x:v>133</x:v>
      </x:c>
      <x:c r="N210" s="38" t="n">
        <x:v>-0.0015182580807055947</x:v>
      </x:c>
      <x:c r="O210" s="35" t="n">
        <x:f>H210*M210*(1+N210)</x:f>
        <x:v>3585.5479352321863</x:v>
      </x:c>
      <x:c r="P210" s="19" t="str">
        <x:f>IF(ABS(N210)&gt;'封面与口径'!$O$25,"机器调料需复核",IF(ABS(K210)&gt;0.02,"人工称重需复核","正常"))</x:f>
        <x:v>正常</x:v>
      </x:c>
      <x:c r="Q210" s="19" t="str">
        <x:v>许哲</x:v>
      </x:c>
    </x:row>
    <x:row r="211">
      <x:c r="A211" s="19" t="str">
        <x:v>2026-07-12|S02|D03</x:v>
      </x:c>
      <x:c r="B211" s="34" t="n">
        <x:v>46215.5</x:v>
      </x:c>
      <x:c r="C211" s="19" t="str">
        <x:v>S02</x:v>
      </x:c>
      <x:c r="D211" s="19" t="str">
        <x:v>尊宝大厦店</x:v>
      </x:c>
      <x:c r="E211" s="19" t="str">
        <x:v>D03</x:v>
      </x:c>
      <x:c r="F211" s="19" t="str">
        <x:v>香醋炒蛋</x:v>
      </x:c>
      <x:c r="G211" s="19" t="str">
        <x:v>R1.0</x:v>
      </x:c>
      <x:c r="H211" s="20" t="n">
        <x:f>XLOOKUP(A211,'菜品日销量'!$A$5:$A$1124,'菜品日销量'!$G$5:$G$1124,0)</x:f>
        <x:v>33</x:v>
      </x:c>
      <x:c r="I211" s="20" t="n">
        <x:f>ROUNDUP(H211/2,0)</x:f>
        <x:v>17</x:v>
      </x:c>
      <x:c r="J211" s="22" t="n">
        <x:f>SUMIFS('菜谱BOM'!$F$5:$F$160,'菜谱BOM'!$A$5:$A$160,E211,'菜谱BOM'!$C$5:$C$160,"食材")</x:f>
        <x:v>300</x:v>
      </x:c>
      <x:c r="K211" s="38" t="n">
        <x:v>-0.0024464018965248027</x:v>
      </x:c>
      <x:c r="L211" s="35" t="n">
        <x:f>H211*J211*(1+K211)</x:f>
        <x:v>9875.780621224405</x:v>
      </x:c>
      <x:c r="M211" s="35" t="n">
        <x:f>SUMIFS('菜谱BOM'!$F$5:$F$160,'菜谱BOM'!$A$5:$A$160,E211,'菜谱BOM'!$C$5:$C$160,"调料")</x:f>
        <x:v>53</x:v>
      </x:c>
      <x:c r="N211" s="38" t="n">
        <x:v>0.0006720346907787107</x:v>
      </x:c>
      <x:c r="O211" s="35" t="n">
        <x:f>H211*M211*(1+N211)</x:f>
        <x:v>1750.175388674172</x:v>
      </x:c>
      <x:c r="P211" s="19" t="str">
        <x:f>IF(ABS(N211)&gt;'封面与口径'!$O$25,"机器调料需复核",IF(ABS(K211)&gt;0.02,"人工称重需复核","正常"))</x:f>
        <x:v>正常</x:v>
      </x:c>
      <x:c r="Q211" s="19" t="str">
        <x:v>许哲</x:v>
      </x:c>
    </x:row>
    <x:row r="212">
      <x:c r="A212" s="19" t="str">
        <x:v>2026-07-12|S02|D04</x:v>
      </x:c>
      <x:c r="B212" s="34" t="n">
        <x:v>46215.5</x:v>
      </x:c>
      <x:c r="C212" s="19" t="str">
        <x:v>S02</x:v>
      </x:c>
      <x:c r="D212" s="19" t="str">
        <x:v>尊宝大厦店</x:v>
      </x:c>
      <x:c r="E212" s="19" t="str">
        <x:v>D04</x:v>
      </x:c>
      <x:c r="F212" s="19" t="str">
        <x:v>酸包菜炒粉皮</x:v>
      </x:c>
      <x:c r="G212" s="19" t="str">
        <x:v>R1.0</x:v>
      </x:c>
      <x:c r="H212" s="20" t="n">
        <x:f>XLOOKUP(A212,'菜品日销量'!$A$5:$A$1124,'菜品日销量'!$G$5:$G$1124,0)</x:f>
        <x:v>31</x:v>
      </x:c>
      <x:c r="I212" s="20" t="n">
        <x:f>ROUNDUP(H212/2,0)</x:f>
        <x:v>16</x:v>
      </x:c>
      <x:c r="J212" s="22" t="n">
        <x:f>SUMIFS('菜谱BOM'!$F$5:$F$160,'菜谱BOM'!$A$5:$A$160,E212,'菜谱BOM'!$C$5:$C$160,"食材")</x:f>
        <x:v>380</x:v>
      </x:c>
      <x:c r="K212" s="38" t="n">
        <x:v>-0.007949621945607855</x:v>
      </x:c>
      <x:c r="L212" s="35" t="n">
        <x:f>H212*J212*(1+K212)</x:f>
        <x:v>11686.353453480739</x:v>
      </x:c>
      <x:c r="M212" s="35" t="n">
        <x:f>SUMIFS('菜谱BOM'!$F$5:$F$160,'菜谱BOM'!$A$5:$A$160,E212,'菜谱BOM'!$C$5:$C$160,"调料")</x:f>
        <x:v>47</x:v>
      </x:c>
      <x:c r="N212" s="38" t="n">
        <x:v>-0.001798646292602328</x:v>
      </x:c>
      <x:c r="O212" s="35" t="n">
        <x:f>H212*M212*(1+N212)</x:f>
        <x:v>1454.3793723516785</x:v>
      </x:c>
      <x:c r="P212" s="19" t="str">
        <x:f>IF(ABS(N212)&gt;'封面与口径'!$O$25,"机器调料需复核",IF(ABS(K212)&gt;0.02,"人工称重需复核","正常"))</x:f>
        <x:v>正常</x:v>
      </x:c>
      <x:c r="Q212" s="19" t="str">
        <x:v>许哲</x:v>
      </x:c>
    </x:row>
    <x:row r="213">
      <x:c r="A213" s="19" t="str">
        <x:v>2026-07-12|S02|D05</x:v>
      </x:c>
      <x:c r="B213" s="34" t="n">
        <x:v>46215.5</x:v>
      </x:c>
      <x:c r="C213" s="19" t="str">
        <x:v>S02</x:v>
      </x:c>
      <x:c r="D213" s="19" t="str">
        <x:v>尊宝大厦店</x:v>
      </x:c>
      <x:c r="E213" s="19" t="str">
        <x:v>D05</x:v>
      </x:c>
      <x:c r="F213" s="19" t="str">
        <x:v>麻婆豆腐</x:v>
      </x:c>
      <x:c r="G213" s="19" t="str">
        <x:v>R1.0</x:v>
      </x:c>
      <x:c r="H213" s="20" t="n">
        <x:f>XLOOKUP(A213,'菜品日销量'!$A$5:$A$1124,'菜品日销量'!$G$5:$G$1124,0)</x:f>
        <x:v>43</x:v>
      </x:c>
      <x:c r="I213" s="20" t="n">
        <x:f>ROUNDUP(H213/2,0)</x:f>
        <x:v>22</x:v>
      </x:c>
      <x:c r="J213" s="22" t="n">
        <x:f>SUMIFS('菜谱BOM'!$F$5:$F$160,'菜谱BOM'!$A$5:$A$160,E213,'菜谱BOM'!$C$5:$C$160,"食材")</x:f>
        <x:v>505</x:v>
      </x:c>
      <x:c r="K213" s="38" t="n">
        <x:v>0.005233361280810405</x:v>
      </x:c>
      <x:c r="L213" s="35" t="n">
        <x:f>H213*J213*(1+K213)</x:f>
        <x:v>21828.6424402128</x:v>
      </x:c>
      <x:c r="M213" s="35" t="n">
        <x:f>SUMIFS('菜谱BOM'!$F$5:$F$160,'菜谱BOM'!$A$5:$A$160,E213,'菜谱BOM'!$C$5:$C$160,"调料")</x:f>
        <x:v>90</x:v>
      </x:c>
      <x:c r="N213" s="38" t="n">
        <x:v>0.0006306791944966372</x:v>
      </x:c>
      <x:c r="O213" s="35" t="n">
        <x:f>H213*M213*(1+N213)</x:f>
        <x:v>3872.4407284827016</x:v>
      </x:c>
      <x:c r="P213" s="19" t="str">
        <x:f>IF(ABS(N213)&gt;'封面与口径'!$O$25,"机器调料需复核",IF(ABS(K213)&gt;0.02,"人工称重需复核","正常"))</x:f>
        <x:v>正常</x:v>
      </x:c>
      <x:c r="Q213" s="19" t="str">
        <x:v>许哲</x:v>
      </x:c>
    </x:row>
    <x:row r="214">
      <x:c r="A214" s="19" t="str">
        <x:v>2026-07-12|S02|D07</x:v>
      </x:c>
      <x:c r="B214" s="34" t="n">
        <x:v>46215.5</x:v>
      </x:c>
      <x:c r="C214" s="19" t="str">
        <x:v>S02</x:v>
      </x:c>
      <x:c r="D214" s="19" t="str">
        <x:v>尊宝大厦店</x:v>
      </x:c>
      <x:c r="E214" s="19" t="str">
        <x:v>D07</x:v>
      </x:c>
      <x:c r="F214" s="19" t="str">
        <x:v>川味回锅肉</x:v>
      </x:c>
      <x:c r="G214" s="19" t="str">
        <x:v>R1.0</x:v>
      </x:c>
      <x:c r="H214" s="20" t="n">
        <x:f>XLOOKUP(A214,'菜品日销量'!$A$5:$A$1124,'菜品日销量'!$G$5:$G$1124,0)</x:f>
        <x:v>13</x:v>
      </x:c>
      <x:c r="I214" s="20" t="n">
        <x:f>ROUNDUP(H214/2,0)</x:f>
        <x:v>7</x:v>
      </x:c>
      <x:c r="J214" s="22" t="n">
        <x:f>SUMIFS('菜谱BOM'!$F$5:$F$160,'菜谱BOM'!$A$5:$A$160,E214,'菜谱BOM'!$C$5:$C$160,"食材")</x:f>
        <x:v>450</x:v>
      </x:c>
      <x:c r="K214" s="38" t="n">
        <x:v>-0.005412106025361481</x:v>
      </x:c>
      <x:c r="L214" s="35" t="n">
        <x:f>H214*J214*(1+K214)</x:f>
        <x:v>5818.339179751635</x:v>
      </x:c>
      <x:c r="M214" s="35" t="n">
        <x:f>SUMIFS('菜谱BOM'!$F$5:$F$160,'菜谱BOM'!$A$5:$A$160,E214,'菜谱BOM'!$C$5:$C$160,"调料")</x:f>
        <x:v>63</x:v>
      </x:c>
      <x:c r="N214" s="38" t="n">
        <x:v>-0.0006834458798830039</x:v>
      </x:c>
      <x:c r="O214" s="35" t="n">
        <x:f>H214*M214*(1+N214)</x:f>
        <x:v>818.4402578243759</x:v>
      </x:c>
      <x:c r="P214" s="19" t="str">
        <x:f>IF(ABS(N214)&gt;'封面与口径'!$O$25,"机器调料需复核",IF(ABS(K214)&gt;0.02,"人工称重需复核","正常"))</x:f>
        <x:v>正常</x:v>
      </x:c>
      <x:c r="Q214" s="19" t="str">
        <x:v>许哲</x:v>
      </x:c>
    </x:row>
    <x:row r="215">
      <x:c r="A215" s="19" t="str">
        <x:v>2026-07-12|S02|D08</x:v>
      </x:c>
      <x:c r="B215" s="34" t="n">
        <x:v>46215.5</x:v>
      </x:c>
      <x:c r="C215" s="19" t="str">
        <x:v>S02</x:v>
      </x:c>
      <x:c r="D215" s="19" t="str">
        <x:v>尊宝大厦店</x:v>
      </x:c>
      <x:c r="E215" s="19" t="str">
        <x:v>D08</x:v>
      </x:c>
      <x:c r="F215" s="19" t="str">
        <x:v>生炒清远鸡</x:v>
      </x:c>
      <x:c r="G215" s="19" t="str">
        <x:v>R1.0</x:v>
      </x:c>
      <x:c r="H215" s="20" t="n">
        <x:f>XLOOKUP(A215,'菜品日销量'!$A$5:$A$1124,'菜品日销量'!$G$5:$G$1124,0)</x:f>
        <x:v>9</x:v>
      </x:c>
      <x:c r="I215" s="20" t="n">
        <x:f>ROUNDUP(H215/2,0)</x:f>
        <x:v>5</x:v>
      </x:c>
      <x:c r="J215" s="22" t="n">
        <x:f>SUMIFS('菜谱BOM'!$F$5:$F$160,'菜谱BOM'!$A$5:$A$160,E215,'菜谱BOM'!$C$5:$C$160,"食材")</x:f>
        <x:v>610</x:v>
      </x:c>
      <x:c r="K215" s="38" t="n">
        <x:v>-0.007586989834808509</x:v>
      </x:c>
      <x:c r="L215" s="35" t="n">
        <x:f>H215*J215*(1+K215)</x:f>
        <x:v>5448.347425806901</x:v>
      </x:c>
      <x:c r="M215" s="35" t="n">
        <x:f>SUMIFS('菜谱BOM'!$F$5:$F$160,'菜谱BOM'!$A$5:$A$160,E215,'菜谱BOM'!$C$5:$C$160,"调料")</x:f>
        <x:v>61</x:v>
      </x:c>
      <x:c r="N215" s="38" t="n">
        <x:v>-0.00024868858844244126</x:v>
      </x:c>
      <x:c r="O215" s="35" t="n">
        <x:f>H215*M215*(1+N215)</x:f>
        <x:v>548.8634699649451</x:v>
      </x:c>
      <x:c r="P215" s="19" t="str">
        <x:f>IF(ABS(N215)&gt;'封面与口径'!$O$25,"机器调料需复核",IF(ABS(K215)&gt;0.02,"人工称重需复核","正常"))</x:f>
        <x:v>正常</x:v>
      </x:c>
      <x:c r="Q215" s="19" t="str">
        <x:v>许哲</x:v>
      </x:c>
    </x:row>
    <x:row r="216">
      <x:c r="A216" s="19" t="str">
        <x:v>2026-07-12|S02|D09</x:v>
      </x:c>
      <x:c r="B216" s="34" t="n">
        <x:v>46215.5</x:v>
      </x:c>
      <x:c r="C216" s="19" t="str">
        <x:v>S02</x:v>
      </x:c>
      <x:c r="D216" s="19" t="str">
        <x:v>尊宝大厦店</x:v>
      </x:c>
      <x:c r="E216" s="19" t="str">
        <x:v>D09</x:v>
      </x:c>
      <x:c r="F216" s="19" t="str">
        <x:v>炒豆干</x:v>
      </x:c>
      <x:c r="G216" s="19" t="str">
        <x:v>R1.0</x:v>
      </x:c>
      <x:c r="H216" s="20" t="n">
        <x:f>XLOOKUP(A216,'菜品日销量'!$A$5:$A$1124,'菜品日销量'!$G$5:$G$1124,0)</x:f>
        <x:v>13</x:v>
      </x:c>
      <x:c r="I216" s="20" t="n">
        <x:f>ROUNDUP(H216/2,0)</x:f>
        <x:v>7</x:v>
      </x:c>
      <x:c r="J216" s="22" t="n">
        <x:f>SUMIFS('菜谱BOM'!$F$5:$F$160,'菜谱BOM'!$A$5:$A$160,E216,'菜谱BOM'!$C$5:$C$160,"食材")</x:f>
        <x:v>520</x:v>
      </x:c>
      <x:c r="K216" s="38" t="n">
        <x:v>0.0018725045830645843</x:v>
      </x:c>
      <x:c r="L216" s="35" t="n">
        <x:f>H216*J216*(1+K216)</x:f>
        <x:v>6772.6581309815165</x:v>
      </x:c>
      <x:c r="M216" s="35" t="n">
        <x:f>SUMIFS('菜谱BOM'!$F$5:$F$160,'菜谱BOM'!$A$5:$A$160,E216,'菜谱BOM'!$C$5:$C$160,"调料")</x:f>
        <x:v>42</x:v>
      </x:c>
      <x:c r="N216" s="38" t="n">
        <x:v>-0.0006860800531427562</x:v>
      </x:c>
      <x:c r="O216" s="35" t="n">
        <x:f>H216*M216*(1+N216)</x:f>
        <x:v>545.6254002909841</x:v>
      </x:c>
      <x:c r="P216" s="19" t="str">
        <x:f>IF(ABS(N216)&gt;'封面与口径'!$O$25,"机器调料需复核",IF(ABS(K216)&gt;0.02,"人工称重需复核","正常"))</x:f>
        <x:v>正常</x:v>
      </x:c>
      <x:c r="Q216" s="19" t="str">
        <x:v>许哲</x:v>
      </x:c>
    </x:row>
    <x:row r="217">
      <x:c r="A217" s="19" t="str">
        <x:v>2026-07-12|S02|D10</x:v>
      </x:c>
      <x:c r="B217" s="34" t="n">
        <x:v>46215.5</x:v>
      </x:c>
      <x:c r="C217" s="19" t="str">
        <x:v>S02</x:v>
      </x:c>
      <x:c r="D217" s="19" t="str">
        <x:v>尊宝大厦店</x:v>
      </x:c>
      <x:c r="E217" s="19" t="str">
        <x:v>D10</x:v>
      </x:c>
      <x:c r="F217" s="19" t="str">
        <x:v>农家一碗香</x:v>
      </x:c>
      <x:c r="G217" s="19" t="str">
        <x:v>R2.3</x:v>
      </x:c>
      <x:c r="H217" s="20" t="n">
        <x:f>XLOOKUP(A217,'菜品日销量'!$A$5:$A$1124,'菜品日销量'!$G$5:$G$1124,0)</x:f>
        <x:v>15</x:v>
      </x:c>
      <x:c r="I217" s="20" t="n">
        <x:f>ROUNDUP(H217/2,0)</x:f>
        <x:v>8</x:v>
      </x:c>
      <x:c r="J217" s="22" t="n">
        <x:f>SUMIFS('菜谱BOM'!$F$5:$F$160,'菜谱BOM'!$A$5:$A$160,E217,'菜谱BOM'!$C$5:$C$160,"食材")</x:f>
        <x:v>510</x:v>
      </x:c>
      <x:c r="K217" s="38" t="n">
        <x:v>-0.0037977115092328075</x:v>
      </x:c>
      <x:c r="L217" s="35" t="n">
        <x:f>H217*J217*(1+K217)</x:f>
        <x:v>7620.947506954369</x:v>
      </x:c>
      <x:c r="M217" s="35" t="n">
        <x:f>SUMIFS('菜谱BOM'!$F$5:$F$160,'菜谱BOM'!$A$5:$A$160,E217,'菜谱BOM'!$C$5:$C$160,"调料")</x:f>
        <x:v>88</x:v>
      </x:c>
      <x:c r="N217" s="38" t="n">
        <x:v>0.0009481146174827857</x:v>
      </x:c>
      <x:c r="O217" s="35" t="n">
        <x:f>H217*M217*(1+N217)</x:f>
        <x:v>1321.2515112950773</x:v>
      </x:c>
      <x:c r="P217" s="19" t="str">
        <x:f>IF(ABS(N217)&gt;'封面与口径'!$O$25,"机器调料需复核",IF(ABS(K217)&gt;0.02,"人工称重需复核","正常"))</x:f>
        <x:v>正常</x:v>
      </x:c>
      <x:c r="Q217" s="19" t="str">
        <x:v>许哲</x:v>
      </x:c>
    </x:row>
    <x:row r="218">
      <x:c r="A218" s="19" t="str">
        <x:v>2026-07-12|S02|D11</x:v>
      </x:c>
      <x:c r="B218" s="34" t="n">
        <x:v>46215.5</x:v>
      </x:c>
      <x:c r="C218" s="19" t="str">
        <x:v>S02</x:v>
      </x:c>
      <x:c r="D218" s="19" t="str">
        <x:v>尊宝大厦店</x:v>
      </x:c>
      <x:c r="E218" s="19" t="str">
        <x:v>D11</x:v>
      </x:c>
      <x:c r="F218" s="19" t="str">
        <x:v>香辣爆肥肠</x:v>
      </x:c>
      <x:c r="G218" s="19" t="str">
        <x:v>R1.0</x:v>
      </x:c>
      <x:c r="H218" s="20" t="n">
        <x:f>XLOOKUP(A218,'菜品日销量'!$A$5:$A$1124,'菜品日销量'!$G$5:$G$1124,0)</x:f>
        <x:v>5</x:v>
      </x:c>
      <x:c r="I218" s="20" t="n">
        <x:f>ROUNDUP(H218/2,0)</x:f>
        <x:v>3</x:v>
      </x:c>
      <x:c r="J218" s="22" t="n">
        <x:f>SUMIFS('菜谱BOM'!$F$5:$F$160,'菜谱BOM'!$A$5:$A$160,E218,'菜谱BOM'!$C$5:$C$160,"食材")</x:f>
        <x:v>430</x:v>
      </x:c>
      <x:c r="K218" s="38" t="n">
        <x:v>-0.004329860798160047</x:v>
      </x:c>
      <x:c r="L218" s="35" t="n">
        <x:f>H218*J218*(1+K218)</x:f>
        <x:v>2140.690799283956</x:v>
      </x:c>
      <x:c r="M218" s="35" t="n">
        <x:f>SUMIFS('菜谱BOM'!$F$5:$F$160,'菜谱BOM'!$A$5:$A$160,E218,'菜谱BOM'!$C$5:$C$160,"调料")</x:f>
        <x:v>67</x:v>
      </x:c>
      <x:c r="N218" s="38" t="n">
        <x:v>-0.0017342065544180122</x:v>
      </x:c>
      <x:c r="O218" s="35" t="n">
        <x:f>H218*M218*(1+N218)</x:f>
        <x:v>334.41904080426997</x:v>
      </x:c>
      <x:c r="P218" s="19" t="str">
        <x:f>IF(ABS(N218)&gt;'封面与口径'!$O$25,"机器调料需复核",IF(ABS(K218)&gt;0.02,"人工称重需复核","正常"))</x:f>
        <x:v>正常</x:v>
      </x:c>
      <x:c r="Q218" s="19" t="str">
        <x:v>许哲</x:v>
      </x:c>
    </x:row>
    <x:row r="219">
      <x:c r="A219" s="19" t="str">
        <x:v>2026-07-12|S02|D13</x:v>
      </x:c>
      <x:c r="B219" s="34" t="n">
        <x:v>46215.5</x:v>
      </x:c>
      <x:c r="C219" s="19" t="str">
        <x:v>S02</x:v>
      </x:c>
      <x:c r="D219" s="19" t="str">
        <x:v>尊宝大厦店</x:v>
      </x:c>
      <x:c r="E219" s="19" t="str">
        <x:v>D13</x:v>
      </x:c>
      <x:c r="F219" s="19" t="str">
        <x:v>外婆菜炒蛋</x:v>
      </x:c>
      <x:c r="G219" s="19" t="str">
        <x:v>R1.0</x:v>
      </x:c>
      <x:c r="H219" s="20" t="n">
        <x:f>XLOOKUP(A219,'菜品日销量'!$A$5:$A$1124,'菜品日销量'!$G$5:$G$1124,0)</x:f>
        <x:v>12</x:v>
      </x:c>
      <x:c r="I219" s="20" t="n">
        <x:f>ROUNDUP(H219/2,0)</x:f>
        <x:v>6</x:v>
      </x:c>
      <x:c r="J219" s="22" t="n">
        <x:f>SUMIFS('菜谱BOM'!$F$5:$F$160,'菜谱BOM'!$A$5:$A$160,E219,'菜谱BOM'!$C$5:$C$160,"食材")</x:f>
        <x:v>450</x:v>
      </x:c>
      <x:c r="K219" s="38" t="n">
        <x:v>0.0037064366963939824</x:v>
      </x:c>
      <x:c r="L219" s="35" t="n">
        <x:f>H219*J219*(1+K219)</x:f>
        <x:v>5420.014758160527</x:v>
      </x:c>
      <x:c r="M219" s="35" t="n">
        <x:f>SUMIFS('菜谱BOM'!$F$5:$F$160,'菜谱BOM'!$A$5:$A$160,E219,'菜谱BOM'!$C$5:$C$160,"调料")</x:f>
        <x:v>37</x:v>
      </x:c>
      <x:c r="N219" s="38" t="n">
        <x:v>-0.0017406519343472673</x:v>
      </x:c>
      <x:c r="O219" s="35" t="n">
        <x:f>H219*M219*(1+N219)</x:f>
        <x:v>443.2271505411498</x:v>
      </x:c>
      <x:c r="P219" s="19" t="str">
        <x:f>IF(ABS(N219)&gt;'封面与口径'!$O$25,"机器调料需复核",IF(ABS(K219)&gt;0.02,"人工称重需复核","正常"))</x:f>
        <x:v>正常</x:v>
      </x:c>
      <x:c r="Q219" s="19" t="str">
        <x:v>许哲</x:v>
      </x:c>
    </x:row>
    <x:row r="220">
      <x:c r="A220" s="19" t="str">
        <x:v>2026-07-12|S02|D14</x:v>
      </x:c>
      <x:c r="B220" s="34" t="n">
        <x:v>46215.5</x:v>
      </x:c>
      <x:c r="C220" s="19" t="str">
        <x:v>S02</x:v>
      </x:c>
      <x:c r="D220" s="19" t="str">
        <x:v>尊宝大厦店</x:v>
      </x:c>
      <x:c r="E220" s="19" t="str">
        <x:v>D14</x:v>
      </x:c>
      <x:c r="F220" s="19" t="str">
        <x:v>酸辣鸡杂</x:v>
      </x:c>
      <x:c r="G220" s="19" t="str">
        <x:v>R1.0</x:v>
      </x:c>
      <x:c r="H220" s="20" t="n">
        <x:f>XLOOKUP(A220,'菜品日销量'!$A$5:$A$1124,'菜品日销量'!$G$5:$G$1124,0)</x:f>
        <x:v>6</x:v>
      </x:c>
      <x:c r="I220" s="20" t="n">
        <x:f>ROUNDUP(H220/2,0)</x:f>
        <x:v>3</x:v>
      </x:c>
      <x:c r="J220" s="22" t="n">
        <x:f>SUMIFS('菜谱BOM'!$F$5:$F$160,'菜谱BOM'!$A$5:$A$160,E220,'菜谱BOM'!$C$5:$C$160,"食材")</x:f>
        <x:v>470</x:v>
      </x:c>
      <x:c r="K220" s="38" t="n">
        <x:v>-0.0024369028532963484</x:v>
      </x:c>
      <x:c r="L220" s="35" t="n">
        <x:f>H220*J220*(1+K220)</x:f>
        <x:v>2813.1279339537045</x:v>
      </x:c>
      <x:c r="M220" s="35" t="n">
        <x:f>SUMIFS('菜谱BOM'!$F$5:$F$160,'菜谱BOM'!$A$5:$A$160,E220,'菜谱BOM'!$C$5:$C$160,"调料")</x:f>
        <x:v>60</x:v>
      </x:c>
      <x:c r="N220" s="38" t="n">
        <x:v>0.001225176873436472</x:v>
      </x:c>
      <x:c r="O220" s="35" t="n">
        <x:f>H220*M220*(1+N220)</x:f>
        <x:v>360.4410636744371</x:v>
      </x:c>
      <x:c r="P220" s="19" t="str">
        <x:f>IF(ABS(N220)&gt;'封面与口径'!$O$25,"机器调料需复核",IF(ABS(K220)&gt;0.02,"人工称重需复核","正常"))</x:f>
        <x:v>正常</x:v>
      </x:c>
      <x:c r="Q220" s="19" t="str">
        <x:v>许哲</x:v>
      </x:c>
    </x:row>
    <x:row r="221">
      <x:c r="A221" s="19" t="str">
        <x:v>2026-07-12|S02|D15</x:v>
      </x:c>
      <x:c r="B221" s="34" t="n">
        <x:v>46215.5</x:v>
      </x:c>
      <x:c r="C221" s="19" t="str">
        <x:v>S02</x:v>
      </x:c>
      <x:c r="D221" s="19" t="str">
        <x:v>尊宝大厦店</x:v>
      </x:c>
      <x:c r="E221" s="19" t="str">
        <x:v>D15</x:v>
      </x:c>
      <x:c r="F221" s="19" t="str">
        <x:v>湘西土匪猪肝</x:v>
      </x:c>
      <x:c r="G221" s="19" t="str">
        <x:v>R1.0</x:v>
      </x:c>
      <x:c r="H221" s="20" t="n">
        <x:f>XLOOKUP(A221,'菜品日销量'!$A$5:$A$1124,'菜品日销量'!$G$5:$G$1124,0)</x:f>
        <x:v>5</x:v>
      </x:c>
      <x:c r="I221" s="20" t="n">
        <x:f>ROUNDUP(H221/2,0)</x:f>
        <x:v>3</x:v>
      </x:c>
      <x:c r="J221" s="22" t="n">
        <x:f>SUMIFS('菜谱BOM'!$F$5:$F$160,'菜谱BOM'!$A$5:$A$160,E221,'菜谱BOM'!$C$5:$C$160,"食材")</x:f>
        <x:v>470</x:v>
      </x:c>
      <x:c r="K221" s="38" t="n">
        <x:v>-0.00427551711263962</x:v>
      </x:c>
      <x:c r="L221" s="35" t="n">
        <x:f>H221*J221*(1+K221)</x:f>
        <x:v>2339.952534785297</x:v>
      </x:c>
      <x:c r="M221" s="35" t="n">
        <x:f>SUMIFS('菜谱BOM'!$F$5:$F$160,'菜谱BOM'!$A$5:$A$160,E221,'菜谱BOM'!$C$5:$C$160,"调料")</x:f>
        <x:v>49</x:v>
      </x:c>
      <x:c r="N221" s="38" t="n">
        <x:v>0.0001188058923275226</x:v>
      </x:c>
      <x:c r="O221" s="35" t="n">
        <x:f>H221*M221*(1+N221)</x:f>
        <x:v>245.02910744362026</x:v>
      </x:c>
      <x:c r="P221" s="19" t="str">
        <x:f>IF(ABS(N221)&gt;'封面与口径'!$O$25,"机器调料需复核",IF(ABS(K221)&gt;0.02,"人工称重需复核","正常"))</x:f>
        <x:v>正常</x:v>
      </x:c>
      <x:c r="Q221" s="19" t="str">
        <x:v>许哲</x:v>
      </x:c>
    </x:row>
    <x:row r="222">
      <x:c r="A222" s="19" t="str">
        <x:v>2026-07-12|S02|D16</x:v>
      </x:c>
      <x:c r="B222" s="34" t="n">
        <x:v>46215.5</x:v>
      </x:c>
      <x:c r="C222" s="19" t="str">
        <x:v>S02</x:v>
      </x:c>
      <x:c r="D222" s="19" t="str">
        <x:v>尊宝大厦店</x:v>
      </x:c>
      <x:c r="E222" s="19" t="str">
        <x:v>D16</x:v>
      </x:c>
      <x:c r="F222" s="19" t="str">
        <x:v>小豆角炒五花</x:v>
      </x:c>
      <x:c r="G222" s="19" t="str">
        <x:v>R1.0</x:v>
      </x:c>
      <x:c r="H222" s="20" t="n">
        <x:f>XLOOKUP(A222,'菜品日销量'!$A$5:$A$1124,'菜品日销量'!$G$5:$G$1124,0)</x:f>
        <x:v>6</x:v>
      </x:c>
      <x:c r="I222" s="20" t="n">
        <x:f>ROUNDUP(H222/2,0)</x:f>
        <x:v>3</x:v>
      </x:c>
      <x:c r="J222" s="22" t="n">
        <x:f>SUMIFS('菜谱BOM'!$F$5:$F$160,'菜谱BOM'!$A$5:$A$160,E222,'菜谱BOM'!$C$5:$C$160,"食材")</x:f>
        <x:v>450</x:v>
      </x:c>
      <x:c r="K222" s="38" t="n">
        <x:v>0.002313520899581146</x:v>
      </x:c>
      <x:c r="L222" s="35" t="n">
        <x:f>H222*J222*(1+K222)</x:f>
        <x:v>2706.2465064288695</x:v>
      </x:c>
      <x:c r="M222" s="35" t="n">
        <x:f>SUMIFS('菜谱BOM'!$F$5:$F$160,'菜谱BOM'!$A$5:$A$160,E222,'菜谱BOM'!$C$5:$C$160,"调料")</x:f>
        <x:v>42</x:v>
      </x:c>
      <x:c r="N222" s="38" t="n">
        <x:v>-0.00032255081793352745</x:v>
      </x:c>
      <x:c r="O222" s="35" t="n">
        <x:f>H222*M222*(1+N222)</x:f>
        <x:v>251.91871719388075</x:v>
      </x:c>
      <x:c r="P222" s="19" t="str">
        <x:f>IF(ABS(N222)&gt;'封面与口径'!$O$25,"机器调料需复核",IF(ABS(K222)&gt;0.02,"人工称重需复核","正常"))</x:f>
        <x:v>正常</x:v>
      </x:c>
      <x:c r="Q222" s="19" t="str">
        <x:v>许哲</x:v>
      </x:c>
    </x:row>
    <x:row r="223">
      <x:c r="A223" s="19" t="str">
        <x:v>2026-07-12|S02|D18</x:v>
      </x:c>
      <x:c r="B223" s="34" t="n">
        <x:v>46215.5</x:v>
      </x:c>
      <x:c r="C223" s="19" t="str">
        <x:v>S02</x:v>
      </x:c>
      <x:c r="D223" s="19" t="str">
        <x:v>尊宝大厦店</x:v>
      </x:c>
      <x:c r="E223" s="19" t="str">
        <x:v>D18</x:v>
      </x:c>
      <x:c r="F223" s="19" t="str">
        <x:v>青椒炒油麦菜</x:v>
      </x:c>
      <x:c r="G223" s="19" t="str">
        <x:v>R1.0</x:v>
      </x:c>
      <x:c r="H223" s="20" t="n">
        <x:f>XLOOKUP(A223,'菜品日销量'!$A$5:$A$1124,'菜品日销量'!$G$5:$G$1124,0)</x:f>
        <x:v>6</x:v>
      </x:c>
      <x:c r="I223" s="20" t="n">
        <x:f>ROUNDUP(H223/2,0)</x:f>
        <x:v>3</x:v>
      </x:c>
      <x:c r="J223" s="22" t="n">
        <x:f>SUMIFS('菜谱BOM'!$F$5:$F$160,'菜谱BOM'!$A$5:$A$160,E223,'菜谱BOM'!$C$5:$C$160,"食材")</x:f>
        <x:v>430</x:v>
      </x:c>
      <x:c r="K223" s="38" t="n">
        <x:v>0.000573890341579423</x:v>
      </x:c>
      <x:c r="L223" s="35" t="n">
        <x:f>H223*J223*(1+K223)</x:f>
        <x:v>2581.4806370812753</x:v>
      </x:c>
      <x:c r="M223" s="35" t="n">
        <x:f>SUMIFS('菜谱BOM'!$F$5:$F$160,'菜谱BOM'!$A$5:$A$160,E223,'菜谱BOM'!$C$5:$C$160,"调料")</x:f>
        <x:v>33</x:v>
      </x:c>
      <x:c r="N223" s="38" t="n">
        <x:v>-0.00032001272736117547</x:v>
      </x:c>
      <x:c r="O223" s="35" t="n">
        <x:f>H223*M223*(1+N223)</x:f>
        <x:v>197.9366374799825</x:v>
      </x:c>
      <x:c r="P223" s="19" t="str">
        <x:f>IF(ABS(N223)&gt;'封面与口径'!$O$25,"机器调料需复核",IF(ABS(K223)&gt;0.02,"人工称重需复核","正常"))</x:f>
        <x:v>正常</x:v>
      </x:c>
      <x:c r="Q223" s="19" t="str">
        <x:v>许哲</x:v>
      </x:c>
    </x:row>
    <x:row r="224">
      <x:c r="A224" s="19" t="str">
        <x:v>2026-07-12|S02|D19</x:v>
      </x:c>
      <x:c r="B224" s="34" t="n">
        <x:v>46215.5</x:v>
      </x:c>
      <x:c r="C224" s="19" t="str">
        <x:v>S02</x:v>
      </x:c>
      <x:c r="D224" s="19" t="str">
        <x:v>尊宝大厦店</x:v>
      </x:c>
      <x:c r="E224" s="19" t="str">
        <x:v>D19</x:v>
      </x:c>
      <x:c r="F224" s="19" t="str">
        <x:v>酸萝卜炒鸡杂</x:v>
      </x:c>
      <x:c r="G224" s="19" t="str">
        <x:v>R1.0</x:v>
      </x:c>
      <x:c r="H224" s="20" t="n">
        <x:f>XLOOKUP(A224,'菜品日销量'!$A$5:$A$1124,'菜品日销量'!$G$5:$G$1124,0)</x:f>
        <x:v>5</x:v>
      </x:c>
      <x:c r="I224" s="20" t="n">
        <x:f>ROUNDUP(H224/2,0)</x:f>
        <x:v>3</x:v>
      </x:c>
      <x:c r="J224" s="22" t="n">
        <x:f>SUMIFS('菜谱BOM'!$F$5:$F$160,'菜谱BOM'!$A$5:$A$160,E224,'菜谱BOM'!$C$5:$C$160,"食材")</x:f>
        <x:v>500</x:v>
      </x:c>
      <x:c r="K224" s="38" t="n">
        <x:v>-0.006518499813628965</x:v>
      </x:c>
      <x:c r="L224" s="35" t="n">
        <x:f>H224*J224*(1+K224)</x:f>
        <x:v>2483.7037504659274</x:v>
      </x:c>
      <x:c r="M224" s="35" t="n">
        <x:f>SUMIFS('菜谱BOM'!$F$5:$F$160,'菜谱BOM'!$A$5:$A$160,E224,'菜谱BOM'!$C$5:$C$160,"调料")</x:f>
        <x:v>55</x:v>
      </x:c>
      <x:c r="N224" s="38" t="n">
        <x:v>0.0013744635692272485</x:v>
      </x:c>
      <x:c r="O224" s="35" t="n">
        <x:f>H224*M224*(1+N224)</x:f>
        <x:v>275.37797748153747</x:v>
      </x:c>
      <x:c r="P224" s="19" t="str">
        <x:f>IF(ABS(N224)&gt;'封面与口径'!$O$25,"机器调料需复核",IF(ABS(K224)&gt;0.02,"人工称重需复核","正常"))</x:f>
        <x:v>正常</x:v>
      </x:c>
      <x:c r="Q224" s="19" t="str">
        <x:v>许哲</x:v>
      </x:c>
    </x:row>
    <x:row r="225">
      <x:c r="A225" s="19" t="str">
        <x:v>2026-07-12|S02|D20</x:v>
      </x:c>
      <x:c r="B225" s="34" t="n">
        <x:v>46215.5</x:v>
      </x:c>
      <x:c r="C225" s="19" t="str">
        <x:v>S02</x:v>
      </x:c>
      <x:c r="D225" s="19" t="str">
        <x:v>尊宝大厦店</x:v>
      </x:c>
      <x:c r="E225" s="19" t="str">
        <x:v>D20</x:v>
      </x:c>
      <x:c r="F225" s="19" t="str">
        <x:v>雪菜肉末青豆</x:v>
      </x:c>
      <x:c r="G225" s="19" t="str">
        <x:v>R1.0</x:v>
      </x:c>
      <x:c r="H225" s="20" t="n">
        <x:f>XLOOKUP(A225,'菜品日销量'!$A$5:$A$1124,'菜品日销量'!$G$5:$G$1124,0)</x:f>
        <x:v>6</x:v>
      </x:c>
      <x:c r="I225" s="20" t="n">
        <x:f>ROUNDUP(H225/2,0)</x:f>
        <x:v>3</x:v>
      </x:c>
      <x:c r="J225" s="22" t="n">
        <x:f>SUMIFS('菜谱BOM'!$F$5:$F$160,'菜谱BOM'!$A$5:$A$160,E225,'菜谱BOM'!$C$5:$C$160,"食材")</x:f>
        <x:v>465</x:v>
      </x:c>
      <x:c r="K225" s="38" t="n">
        <x:v>0.004299102108063899</x:v>
      </x:c>
      <x:c r="L225" s="35" t="n">
        <x:f>H225*J225*(1+K225)</x:f>
        <x:v>2801.994494881498</x:v>
      </x:c>
      <x:c r="M225" s="35" t="n">
        <x:f>SUMIFS('菜谱BOM'!$F$5:$F$160,'菜谱BOM'!$A$5:$A$160,E225,'菜谱BOM'!$C$5:$C$160,"调料")</x:f>
        <x:v>32</x:v>
      </x:c>
      <x:c r="N225" s="38" t="n">
        <x:v>0.0011529962530250186</x:v>
      </x:c>
      <x:c r="O225" s="35" t="n">
        <x:f>H225*M225*(1+N225)</x:f>
        <x:v>192.2213752805808</x:v>
      </x:c>
      <x:c r="P225" s="19" t="str">
        <x:f>IF(ABS(N225)&gt;'封面与口径'!$O$25,"机器调料需复核",IF(ABS(K225)&gt;0.02,"人工称重需复核","正常"))</x:f>
        <x:v>正常</x:v>
      </x:c>
      <x:c r="Q225" s="19" t="str">
        <x:v>许哲</x:v>
      </x:c>
    </x:row>
    <x:row r="226">
      <x:c r="A226" s="19" t="str">
        <x:v>2026-07-13|S02|D01</x:v>
      </x:c>
      <x:c r="B226" s="34" t="n">
        <x:v>46216.5</x:v>
      </x:c>
      <x:c r="C226" s="19" t="str">
        <x:v>S02</x:v>
      </x:c>
      <x:c r="D226" s="19" t="str">
        <x:v>尊宝大厦店</x:v>
      </x:c>
      <x:c r="E226" s="19" t="str">
        <x:v>D01</x:v>
      </x:c>
      <x:c r="F226" s="19" t="str">
        <x:v>辣椒炒肉</x:v>
      </x:c>
      <x:c r="G226" s="19" t="str">
        <x:v>R2.3</x:v>
      </x:c>
      <x:c r="H226" s="20" t="n">
        <x:f>XLOOKUP(A226,'菜品日销量'!$A$5:$A$1124,'菜品日销量'!$G$5:$G$1124,0)</x:f>
        <x:v>55</x:v>
      </x:c>
      <x:c r="I226" s="20" t="n">
        <x:f>ROUNDUP(H226/2,0)</x:f>
        <x:v>28</x:v>
      </x:c>
      <x:c r="J226" s="22" t="n">
        <x:f>SUMIFS('菜谱BOM'!$F$5:$F$160,'菜谱BOM'!$A$5:$A$160,E226,'菜谱BOM'!$C$5:$C$160,"食材")</x:f>
        <x:v>550</x:v>
      </x:c>
      <x:c r="K226" s="38" t="n">
        <x:v>-0.004582825943032006</x:v>
      </x:c>
      <x:c r="L226" s="35" t="n">
        <x:f>H226*J226*(1+K226)</x:f>
        <x:v>30111.36951522328</x:v>
      </x:c>
      <x:c r="M226" s="35" t="n">
        <x:f>SUMIFS('菜谱BOM'!$F$5:$F$160,'菜谱BOM'!$A$5:$A$160,E226,'菜谱BOM'!$C$5:$C$160,"调料")</x:f>
        <x:v>104</x:v>
      </x:c>
      <x:c r="N226" s="38" t="n">
        <x:v>0.0013149386028095474</x:v>
      </x:c>
      <x:c r="O226" s="35" t="n">
        <x:f>H226*M226*(1+N226)</x:f>
        <x:v>5727.52144880807</x:v>
      </x:c>
      <x:c r="P226" s="19" t="str">
        <x:f>IF(ABS(N226)&gt;'封面与口径'!$O$25,"机器调料需复核",IF(ABS(K226)&gt;0.02,"人工称重需复核","正常"))</x:f>
        <x:v>正常</x:v>
      </x:c>
      <x:c r="Q226" s="19" t="str">
        <x:v>许哲</x:v>
      </x:c>
    </x:row>
    <x:row r="227">
      <x:c r="A227" s="19" t="str">
        <x:v>2026-07-13|S02|D02</x:v>
      </x:c>
      <x:c r="B227" s="34" t="n">
        <x:v>46216.5</x:v>
      </x:c>
      <x:c r="C227" s="19" t="str">
        <x:v>S02</x:v>
      </x:c>
      <x:c r="D227" s="19" t="str">
        <x:v>尊宝大厦店</x:v>
      </x:c>
      <x:c r="E227" s="19" t="str">
        <x:v>D02</x:v>
      </x:c>
      <x:c r="F227" s="19" t="str">
        <x:v>小炒黄牛肉</x:v>
      </x:c>
      <x:c r="G227" s="19" t="str">
        <x:v>R2.3</x:v>
      </x:c>
      <x:c r="H227" s="20" t="n">
        <x:f>XLOOKUP(A227,'菜品日销量'!$A$5:$A$1124,'菜品日销量'!$G$5:$G$1124,0)</x:f>
        <x:v>37</x:v>
      </x:c>
      <x:c r="I227" s="20" t="n">
        <x:f>ROUNDUP(H227/2,0)</x:f>
        <x:v>19</x:v>
      </x:c>
      <x:c r="J227" s="22" t="n">
        <x:f>SUMIFS('菜谱BOM'!$F$5:$F$160,'菜谱BOM'!$A$5:$A$160,E227,'菜谱BOM'!$C$5:$C$160,"食材")</x:f>
        <x:v>560</x:v>
      </x:c>
      <x:c r="K227" s="38" t="n">
        <x:v>-0.00546189469412479</x:v>
      </x:c>
      <x:c r="L227" s="35" t="n">
        <x:f>H227*J227*(1+K227)</x:f>
        <x:v>20606.829541937732</x:v>
      </x:c>
      <x:c r="M227" s="35" t="n">
        <x:f>SUMIFS('菜谱BOM'!$F$5:$F$160,'菜谱BOM'!$A$5:$A$160,E227,'菜谱BOM'!$C$5:$C$160,"调料")</x:f>
        <x:v>133</x:v>
      </x:c>
      <x:c r="N227" s="38" t="n">
        <x:v>-0.00038673748597193924</x:v>
      </x:c>
      <x:c r="O227" s="35" t="n">
        <x:f>H227*M227*(1+N227)</x:f>
        <x:v>4919.096864831532</x:v>
      </x:c>
      <x:c r="P227" s="19" t="str">
        <x:f>IF(ABS(N227)&gt;'封面与口径'!$O$25,"机器调料需复核",IF(ABS(K227)&gt;0.02,"人工称重需复核","正常"))</x:f>
        <x:v>正常</x:v>
      </x:c>
      <x:c r="Q227" s="19" t="str">
        <x:v>许哲</x:v>
      </x:c>
    </x:row>
    <x:row r="228">
      <x:c r="A228" s="19" t="str">
        <x:v>2026-07-13|S02|D03</x:v>
      </x:c>
      <x:c r="B228" s="34" t="n">
        <x:v>46216.5</x:v>
      </x:c>
      <x:c r="C228" s="19" t="str">
        <x:v>S02</x:v>
      </x:c>
      <x:c r="D228" s="19" t="str">
        <x:v>尊宝大厦店</x:v>
      </x:c>
      <x:c r="E228" s="19" t="str">
        <x:v>D03</x:v>
      </x:c>
      <x:c r="F228" s="19" t="str">
        <x:v>香醋炒蛋</x:v>
      </x:c>
      <x:c r="G228" s="19" t="str">
        <x:v>R1.0</x:v>
      </x:c>
      <x:c r="H228" s="20" t="n">
        <x:f>XLOOKUP(A228,'菜品日销量'!$A$5:$A$1124,'菜品日销量'!$G$5:$G$1124,0)</x:f>
        <x:v>48</x:v>
      </x:c>
      <x:c r="I228" s="20" t="n">
        <x:f>ROUNDUP(H228/2,0)</x:f>
        <x:v>24</x:v>
      </x:c>
      <x:c r="J228" s="22" t="n">
        <x:f>SUMIFS('菜谱BOM'!$F$5:$F$160,'菜谱BOM'!$A$5:$A$160,E228,'菜谱BOM'!$C$5:$C$160,"食材")</x:f>
        <x:v>300</x:v>
      </x:c>
      <x:c r="K228" s="38" t="n">
        <x:v>0.002545669103634001</x:v>
      </x:c>
      <x:c r="L228" s="35" t="n">
        <x:f>H228*J228*(1+K228)</x:f>
        <x:v>14436.657635092331</x:v>
      </x:c>
      <x:c r="M228" s="35" t="n">
        <x:f>SUMIFS('菜谱BOM'!$F$5:$F$160,'菜谱BOM'!$A$5:$A$160,E228,'菜谱BOM'!$C$5:$C$160,"调料")</x:f>
        <x:v>53</x:v>
      </x:c>
      <x:c r="N228" s="38" t="n">
        <x:v>0.0018183726518923354</x:v>
      </x:c>
      <x:c r="O228" s="35" t="n">
        <x:f>H228*M228*(1+N228)</x:f>
        <x:v>2548.625940026414</x:v>
      </x:c>
      <x:c r="P228" s="19" t="str">
        <x:f>IF(ABS(N228)&gt;'封面与口径'!$O$25,"机器调料需复核",IF(ABS(K228)&gt;0.02,"人工称重需复核","正常"))</x:f>
        <x:v>正常</x:v>
      </x:c>
      <x:c r="Q228" s="19" t="str">
        <x:v>许哲</x:v>
      </x:c>
    </x:row>
    <x:row r="229">
      <x:c r="A229" s="19" t="str">
        <x:v>2026-07-13|S02|D04</x:v>
      </x:c>
      <x:c r="B229" s="34" t="n">
        <x:v>46216.5</x:v>
      </x:c>
      <x:c r="C229" s="19" t="str">
        <x:v>S02</x:v>
      </x:c>
      <x:c r="D229" s="19" t="str">
        <x:v>尊宝大厦店</x:v>
      </x:c>
      <x:c r="E229" s="19" t="str">
        <x:v>D04</x:v>
      </x:c>
      <x:c r="F229" s="19" t="str">
        <x:v>酸包菜炒粉皮</x:v>
      </x:c>
      <x:c r="G229" s="19" t="str">
        <x:v>R1.0</x:v>
      </x:c>
      <x:c r="H229" s="20" t="n">
        <x:f>XLOOKUP(A229,'菜品日销量'!$A$5:$A$1124,'菜品日销量'!$G$5:$G$1124,0)</x:f>
        <x:v>48</x:v>
      </x:c>
      <x:c r="I229" s="20" t="n">
        <x:f>ROUNDUP(H229/2,0)</x:f>
        <x:v>24</x:v>
      </x:c>
      <x:c r="J229" s="22" t="n">
        <x:f>SUMIFS('菜谱BOM'!$F$5:$F$160,'菜谱BOM'!$A$5:$A$160,E229,'菜谱BOM'!$C$5:$C$160,"食材")</x:f>
        <x:v>380</x:v>
      </x:c>
      <x:c r="K229" s="38" t="n">
        <x:v>0.004983265555692666</x:v>
      </x:c>
      <x:c r="L229" s="35" t="n">
        <x:f>H229*J229*(1+K229)</x:f>
        <x:v>18330.894763735836</x:v>
      </x:c>
      <x:c r="M229" s="35" t="n">
        <x:f>SUMIFS('菜谱BOM'!$F$5:$F$160,'菜谱BOM'!$A$5:$A$160,E229,'菜谱BOM'!$C$5:$C$160,"调料")</x:f>
        <x:v>47</x:v>
      </x:c>
      <x:c r="N229" s="38" t="n">
        <x:v>0.000005935166498165501</x:v>
      </x:c>
      <x:c r="O229" s="35" t="n">
        <x:f>H229*M229*(1+N229)</x:f>
        <x:v>2256.01338973562</x:v>
      </x:c>
      <x:c r="P229" s="19" t="str">
        <x:f>IF(ABS(N229)&gt;'封面与口径'!$O$25,"机器调料需复核",IF(ABS(K229)&gt;0.02,"人工称重需复核","正常"))</x:f>
        <x:v>正常</x:v>
      </x:c>
      <x:c r="Q229" s="19" t="str">
        <x:v>许哲</x:v>
      </x:c>
    </x:row>
    <x:row r="230">
      <x:c r="A230" s="19" t="str">
        <x:v>2026-07-13|S02|D05</x:v>
      </x:c>
      <x:c r="B230" s="34" t="n">
        <x:v>46216.5</x:v>
      </x:c>
      <x:c r="C230" s="19" t="str">
        <x:v>S02</x:v>
      </x:c>
      <x:c r="D230" s="19" t="str">
        <x:v>尊宝大厦店</x:v>
      </x:c>
      <x:c r="E230" s="19" t="str">
        <x:v>D05</x:v>
      </x:c>
      <x:c r="F230" s="19" t="str">
        <x:v>麻婆豆腐</x:v>
      </x:c>
      <x:c r="G230" s="19" t="str">
        <x:v>R1.0</x:v>
      </x:c>
      <x:c r="H230" s="20" t="n">
        <x:f>XLOOKUP(A230,'菜品日销量'!$A$5:$A$1124,'菜品日销量'!$G$5:$G$1124,0)</x:f>
        <x:v>57</x:v>
      </x:c>
      <x:c r="I230" s="20" t="n">
        <x:f>ROUNDUP(H230/2,0)</x:f>
        <x:v>29</x:v>
      </x:c>
      <x:c r="J230" s="22" t="n">
        <x:f>SUMIFS('菜谱BOM'!$F$5:$F$160,'菜谱BOM'!$A$5:$A$160,E230,'菜谱BOM'!$C$5:$C$160,"食材")</x:f>
        <x:v>505</x:v>
      </x:c>
      <x:c r="K230" s="38" t="n">
        <x:v>0.004825105521088723</x:v>
      </x:c>
      <x:c r="L230" s="35" t="n">
        <x:f>H230*J230*(1+K230)</x:f>
        <x:v>28923.890662424536</x:v>
      </x:c>
      <x:c r="M230" s="35" t="n">
        <x:f>SUMIFS('菜谱BOM'!$F$5:$F$160,'菜谱BOM'!$A$5:$A$160,E230,'菜谱BOM'!$C$5:$C$160,"调料")</x:f>
        <x:v>90</x:v>
      </x:c>
      <x:c r="N230" s="38" t="n">
        <x:v>0.00015164334470211616</x:v>
      </x:c>
      <x:c r="O230" s="35" t="n">
        <x:f>H230*M230*(1+N230)</x:f>
        <x:v>5130.777930358322</x:v>
      </x:c>
      <x:c r="P230" s="19" t="str">
        <x:f>IF(ABS(N230)&gt;'封面与口径'!$O$25,"机器调料需复核",IF(ABS(K230)&gt;0.02,"人工称重需复核","正常"))</x:f>
        <x:v>正常</x:v>
      </x:c>
      <x:c r="Q230" s="19" t="str">
        <x:v>许哲</x:v>
      </x:c>
    </x:row>
    <x:row r="231">
      <x:c r="A231" s="19" t="str">
        <x:v>2026-07-13|S02|D07</x:v>
      </x:c>
      <x:c r="B231" s="34" t="n">
        <x:v>46216.5</x:v>
      </x:c>
      <x:c r="C231" s="19" t="str">
        <x:v>S02</x:v>
      </x:c>
      <x:c r="D231" s="19" t="str">
        <x:v>尊宝大厦店</x:v>
      </x:c>
      <x:c r="E231" s="19" t="str">
        <x:v>D07</x:v>
      </x:c>
      <x:c r="F231" s="19" t="str">
        <x:v>川味回锅肉</x:v>
      </x:c>
      <x:c r="G231" s="19" t="str">
        <x:v>R1.0</x:v>
      </x:c>
      <x:c r="H231" s="20" t="n">
        <x:f>XLOOKUP(A231,'菜品日销量'!$A$5:$A$1124,'菜品日销量'!$G$5:$G$1124,0)</x:f>
        <x:v>18</x:v>
      </x:c>
      <x:c r="I231" s="20" t="n">
        <x:f>ROUNDUP(H231/2,0)</x:f>
        <x:v>9</x:v>
      </x:c>
      <x:c r="J231" s="22" t="n">
        <x:f>SUMIFS('菜谱BOM'!$F$5:$F$160,'菜谱BOM'!$A$5:$A$160,E231,'菜谱BOM'!$C$5:$C$160,"食材")</x:f>
        <x:v>450</x:v>
      </x:c>
      <x:c r="K231" s="38" t="n">
        <x:v>-0.007381551705156815</x:v>
      </x:c>
      <x:c r="L231" s="35" t="n">
        <x:f>H231*J231*(1+K231)</x:f>
        <x:v>8040.209431188229</x:v>
      </x:c>
      <x:c r="M231" s="35" t="n">
        <x:f>SUMIFS('菜谱BOM'!$F$5:$F$160,'菜谱BOM'!$A$5:$A$160,E231,'菜谱BOM'!$C$5:$C$160,"调料")</x:f>
        <x:v>63</x:v>
      </x:c>
      <x:c r="N231" s="38" t="n">
        <x:v>0.001038914333805189</x:v>
      </x:c>
      <x:c r="O231" s="35" t="n">
        <x:f>H231*M231*(1+N231)</x:f>
        <x:v>1135.178128854535</x:v>
      </x:c>
      <x:c r="P231" s="19" t="str">
        <x:f>IF(ABS(N231)&gt;'封面与口径'!$O$25,"机器调料需复核",IF(ABS(K231)&gt;0.02,"人工称重需复核","正常"))</x:f>
        <x:v>正常</x:v>
      </x:c>
      <x:c r="Q231" s="19" t="str">
        <x:v>许哲</x:v>
      </x:c>
    </x:row>
    <x:row r="232">
      <x:c r="A232" s="19" t="str">
        <x:v>2026-07-13|S02|D08</x:v>
      </x:c>
      <x:c r="B232" s="34" t="n">
        <x:v>46216.5</x:v>
      </x:c>
      <x:c r="C232" s="19" t="str">
        <x:v>S02</x:v>
      </x:c>
      <x:c r="D232" s="19" t="str">
        <x:v>尊宝大厦店</x:v>
      </x:c>
      <x:c r="E232" s="19" t="str">
        <x:v>D08</x:v>
      </x:c>
      <x:c r="F232" s="19" t="str">
        <x:v>生炒清远鸡</x:v>
      </x:c>
      <x:c r="G232" s="19" t="str">
        <x:v>R1.0</x:v>
      </x:c>
      <x:c r="H232" s="20" t="n">
        <x:f>XLOOKUP(A232,'菜品日销量'!$A$5:$A$1124,'菜品日销量'!$G$5:$G$1124,0)</x:f>
        <x:v>13</x:v>
      </x:c>
      <x:c r="I232" s="20" t="n">
        <x:f>ROUNDUP(H232/2,0)</x:f>
        <x:v>7</x:v>
      </x:c>
      <x:c r="J232" s="22" t="n">
        <x:f>SUMIFS('菜谱BOM'!$F$5:$F$160,'菜谱BOM'!$A$5:$A$160,E232,'菜谱BOM'!$C$5:$C$160,"食材")</x:f>
        <x:v>610</x:v>
      </x:c>
      <x:c r="K232" s="38" t="n">
        <x:v>0.0014504690080532968</x:v>
      </x:c>
      <x:c r="L232" s="35" t="n">
        <x:f>H232*J232*(1+K232)</x:f>
        <x:v>7941.502219233862</x:v>
      </x:c>
      <x:c r="M232" s="35" t="n">
        <x:f>SUMIFS('菜谱BOM'!$F$5:$F$160,'菜谱BOM'!$A$5:$A$160,E232,'菜谱BOM'!$C$5:$C$160,"调料")</x:f>
        <x:v>61</x:v>
      </x:c>
      <x:c r="N232" s="38" t="n">
        <x:v>-0.0006581000533555868</x:v>
      </x:c>
      <x:c r="O232" s="35" t="n">
        <x:f>H232*M232*(1+N232)</x:f>
        <x:v>792.478126657689</x:v>
      </x:c>
      <x:c r="P232" s="19" t="str">
        <x:f>IF(ABS(N232)&gt;'封面与口径'!$O$25,"机器调料需复核",IF(ABS(K232)&gt;0.02,"人工称重需复核","正常"))</x:f>
        <x:v>正常</x:v>
      </x:c>
      <x:c r="Q232" s="19" t="str">
        <x:v>许哲</x:v>
      </x:c>
    </x:row>
    <x:row r="233">
      <x:c r="A233" s="19" t="str">
        <x:v>2026-07-13|S02|D09</x:v>
      </x:c>
      <x:c r="B233" s="34" t="n">
        <x:v>46216.5</x:v>
      </x:c>
      <x:c r="C233" s="19" t="str">
        <x:v>S02</x:v>
      </x:c>
      <x:c r="D233" s="19" t="str">
        <x:v>尊宝大厦店</x:v>
      </x:c>
      <x:c r="E233" s="19" t="str">
        <x:v>D09</x:v>
      </x:c>
      <x:c r="F233" s="19" t="str">
        <x:v>炒豆干</x:v>
      </x:c>
      <x:c r="G233" s="19" t="str">
        <x:v>R1.0</x:v>
      </x:c>
      <x:c r="H233" s="20" t="n">
        <x:f>XLOOKUP(A233,'菜品日销量'!$A$5:$A$1124,'菜品日销量'!$G$5:$G$1124,0)</x:f>
        <x:v>20</x:v>
      </x:c>
      <x:c r="I233" s="20" t="n">
        <x:f>ROUNDUP(H233/2,0)</x:f>
        <x:v>10</x:v>
      </x:c>
      <x:c r="J233" s="22" t="n">
        <x:f>SUMIFS('菜谱BOM'!$F$5:$F$160,'菜谱BOM'!$A$5:$A$160,E233,'菜谱BOM'!$C$5:$C$160,"食材")</x:f>
        <x:v>520</x:v>
      </x:c>
      <x:c r="K233" s="38" t="n">
        <x:v>-0.005229442431877703</x:v>
      </x:c>
      <x:c r="L233" s="35" t="n">
        <x:f>H233*J233*(1+K233)</x:f>
        <x:v>10345.613798708471</x:v>
      </x:c>
      <x:c r="M233" s="35" t="n">
        <x:f>SUMIFS('菜谱BOM'!$F$5:$F$160,'菜谱BOM'!$A$5:$A$160,E233,'菜谱BOM'!$C$5:$C$160,"调料")</x:f>
        <x:v>42</x:v>
      </x:c>
      <x:c r="N233" s="38" t="n">
        <x:v>-0.0002208046713426719</x:v>
      </x:c>
      <x:c r="O233" s="35" t="n">
        <x:f>H233*M233*(1+N233)</x:f>
        <x:v>839.8145240760722</x:v>
      </x:c>
      <x:c r="P233" s="19" t="str">
        <x:f>IF(ABS(N233)&gt;'封面与口径'!$O$25,"机器调料需复核",IF(ABS(K233)&gt;0.02,"人工称重需复核","正常"))</x:f>
        <x:v>正常</x:v>
      </x:c>
      <x:c r="Q233" s="19" t="str">
        <x:v>许哲</x:v>
      </x:c>
    </x:row>
    <x:row r="234">
      <x:c r="A234" s="19" t="str">
        <x:v>2026-07-13|S02|D10</x:v>
      </x:c>
      <x:c r="B234" s="34" t="n">
        <x:v>46216.5</x:v>
      </x:c>
      <x:c r="C234" s="19" t="str">
        <x:v>S02</x:v>
      </x:c>
      <x:c r="D234" s="19" t="str">
        <x:v>尊宝大厦店</x:v>
      </x:c>
      <x:c r="E234" s="19" t="str">
        <x:v>D10</x:v>
      </x:c>
      <x:c r="F234" s="19" t="str">
        <x:v>农家一碗香</x:v>
      </x:c>
      <x:c r="G234" s="19" t="str">
        <x:v>R2.3</x:v>
      </x:c>
      <x:c r="H234" s="20" t="n">
        <x:f>XLOOKUP(A234,'菜品日销量'!$A$5:$A$1124,'菜品日销量'!$G$5:$G$1124,0)</x:f>
        <x:v>23</x:v>
      </x:c>
      <x:c r="I234" s="20" t="n">
        <x:f>ROUNDUP(H234/2,0)</x:f>
        <x:v>12</x:v>
      </x:c>
      <x:c r="J234" s="22" t="n">
        <x:f>SUMIFS('菜谱BOM'!$F$5:$F$160,'菜谱BOM'!$A$5:$A$160,E234,'菜谱BOM'!$C$5:$C$160,"食材")</x:f>
        <x:v>510</x:v>
      </x:c>
      <x:c r="K234" s="38" t="n">
        <x:v>0.0010811179524942106</x:v>
      </x:c>
      <x:c r="L234" s="35" t="n">
        <x:f>H234*J234*(1+K234)</x:f>
        <x:v>11742.681513582756</x:v>
      </x:c>
      <x:c r="M234" s="35" t="n">
        <x:f>SUMIFS('菜谱BOM'!$F$5:$F$160,'菜谱BOM'!$A$5:$A$160,E234,'菜谱BOM'!$C$5:$C$160,"调料")</x:f>
        <x:v>88</x:v>
      </x:c>
      <x:c r="N234" s="38" t="n">
        <x:v>0.0006918708977037742</x:v>
      </x:c>
      <x:c r="O234" s="35" t="n">
        <x:f>H234*M234*(1+N234)</x:f>
        <x:v>2025.4003466969523</x:v>
      </x:c>
      <x:c r="P234" s="19" t="str">
        <x:f>IF(ABS(N234)&gt;'封面与口径'!$O$25,"机器调料需复核",IF(ABS(K234)&gt;0.02,"人工称重需复核","正常"))</x:f>
        <x:v>正常</x:v>
      </x:c>
      <x:c r="Q234" s="19" t="str">
        <x:v>许哲</x:v>
      </x:c>
    </x:row>
    <x:row r="235">
      <x:c r="A235" s="19" t="str">
        <x:v>2026-07-13|S02|D11</x:v>
      </x:c>
      <x:c r="B235" s="34" t="n">
        <x:v>46216.5</x:v>
      </x:c>
      <x:c r="C235" s="19" t="str">
        <x:v>S02</x:v>
      </x:c>
      <x:c r="D235" s="19" t="str">
        <x:v>尊宝大厦店</x:v>
      </x:c>
      <x:c r="E235" s="19" t="str">
        <x:v>D11</x:v>
      </x:c>
      <x:c r="F235" s="19" t="str">
        <x:v>香辣爆肥肠</x:v>
      </x:c>
      <x:c r="G235" s="19" t="str">
        <x:v>R1.0</x:v>
      </x:c>
      <x:c r="H235" s="20" t="n">
        <x:f>XLOOKUP(A235,'菜品日销量'!$A$5:$A$1124,'菜品日销量'!$G$5:$G$1124,0)</x:f>
        <x:v>8</x:v>
      </x:c>
      <x:c r="I235" s="20" t="n">
        <x:f>ROUNDUP(H235/2,0)</x:f>
        <x:v>4</x:v>
      </x:c>
      <x:c r="J235" s="22" t="n">
        <x:f>SUMIFS('菜谱BOM'!$F$5:$F$160,'菜谱BOM'!$A$5:$A$160,E235,'菜谱BOM'!$C$5:$C$160,"食材")</x:f>
        <x:v>430</x:v>
      </x:c>
      <x:c r="K235" s="38" t="n">
        <x:v>0.004684867977324144</x:v>
      </x:c>
      <x:c r="L235" s="35" t="n">
        <x:f>H235*J235*(1+K235)</x:f>
        <x:v>3456.115945841995</x:v>
      </x:c>
      <x:c r="M235" s="35" t="n">
        <x:f>SUMIFS('菜谱BOM'!$F$5:$F$160,'菜谱BOM'!$A$5:$A$160,E235,'菜谱BOM'!$C$5:$C$160,"调料")</x:f>
        <x:v>67</x:v>
      </x:c>
      <x:c r="N235" s="38" t="n">
        <x:v>-0.00016203710952821115</x:v>
      </x:c>
      <x:c r="O235" s="35" t="n">
        <x:f>H235*M235*(1+N235)</x:f>
        <x:v>535.9131481092928</x:v>
      </x:c>
      <x:c r="P235" s="19" t="str">
        <x:f>IF(ABS(N235)&gt;'封面与口径'!$O$25,"机器调料需复核",IF(ABS(K235)&gt;0.02,"人工称重需复核","正常"))</x:f>
        <x:v>正常</x:v>
      </x:c>
      <x:c r="Q235" s="19" t="str">
        <x:v>许哲</x:v>
      </x:c>
    </x:row>
    <x:row r="236">
      <x:c r="A236" s="19" t="str">
        <x:v>2026-07-13|S02|D13</x:v>
      </x:c>
      <x:c r="B236" s="34" t="n">
        <x:v>46216.5</x:v>
      </x:c>
      <x:c r="C236" s="19" t="str">
        <x:v>S02</x:v>
      </x:c>
      <x:c r="D236" s="19" t="str">
        <x:v>尊宝大厦店</x:v>
      </x:c>
      <x:c r="E236" s="19" t="str">
        <x:v>D13</x:v>
      </x:c>
      <x:c r="F236" s="19" t="str">
        <x:v>外婆菜炒蛋</x:v>
      </x:c>
      <x:c r="G236" s="19" t="str">
        <x:v>R1.0</x:v>
      </x:c>
      <x:c r="H236" s="20" t="n">
        <x:f>XLOOKUP(A236,'菜品日销量'!$A$5:$A$1124,'菜品日销量'!$G$5:$G$1124,0)</x:f>
        <x:v>19</x:v>
      </x:c>
      <x:c r="I236" s="20" t="n">
        <x:f>ROUNDUP(H236/2,0)</x:f>
        <x:v>10</x:v>
      </x:c>
      <x:c r="J236" s="22" t="n">
        <x:f>SUMIFS('菜谱BOM'!$F$5:$F$160,'菜谱BOM'!$A$5:$A$160,E236,'菜谱BOM'!$C$5:$C$160,"食材")</x:f>
        <x:v>450</x:v>
      </x:c>
      <x:c r="K236" s="38" t="n">
        <x:v>0.006181780300611113</x:v>
      </x:c>
      <x:c r="L236" s="35" t="n">
        <x:f>H236*J236*(1+K236)</x:f>
        <x:v>8602.854221570224</x:v>
      </x:c>
      <x:c r="M236" s="35" t="n">
        <x:f>SUMIFS('菜谱BOM'!$F$5:$F$160,'菜谱BOM'!$A$5:$A$160,E236,'菜谱BOM'!$C$5:$C$160,"调料")</x:f>
        <x:v>37</x:v>
      </x:c>
      <x:c r="N236" s="38" t="n">
        <x:v>0.0009039901874270266</x:v>
      </x:c>
      <x:c r="O236" s="35" t="n">
        <x:f>H236*M236*(1+N236)</x:f>
        <x:v>703.6355051017612</x:v>
      </x:c>
      <x:c r="P236" s="19" t="str">
        <x:f>IF(ABS(N236)&gt;'封面与口径'!$O$25,"机器调料需复核",IF(ABS(K236)&gt;0.02,"人工称重需复核","正常"))</x:f>
        <x:v>正常</x:v>
      </x:c>
      <x:c r="Q236" s="19" t="str">
        <x:v>许哲</x:v>
      </x:c>
    </x:row>
    <x:row r="237">
      <x:c r="A237" s="19" t="str">
        <x:v>2026-07-13|S02|D14</x:v>
      </x:c>
      <x:c r="B237" s="34" t="n">
        <x:v>46216.5</x:v>
      </x:c>
      <x:c r="C237" s="19" t="str">
        <x:v>S02</x:v>
      </x:c>
      <x:c r="D237" s="19" t="str">
        <x:v>尊宝大厦店</x:v>
      </x:c>
      <x:c r="E237" s="19" t="str">
        <x:v>D14</x:v>
      </x:c>
      <x:c r="F237" s="19" t="str">
        <x:v>酸辣鸡杂</x:v>
      </x:c>
      <x:c r="G237" s="19" t="str">
        <x:v>R1.0</x:v>
      </x:c>
      <x:c r="H237" s="20" t="n">
        <x:f>XLOOKUP(A237,'菜品日销量'!$A$5:$A$1124,'菜品日销量'!$G$5:$G$1124,0)</x:f>
        <x:v>10</x:v>
      </x:c>
      <x:c r="I237" s="20" t="n">
        <x:f>ROUNDUP(H237/2,0)</x:f>
        <x:v>5</x:v>
      </x:c>
      <x:c r="J237" s="22" t="n">
        <x:f>SUMIFS('菜谱BOM'!$F$5:$F$160,'菜谱BOM'!$A$5:$A$160,E237,'菜谱BOM'!$C$5:$C$160,"食材")</x:f>
        <x:v>470</x:v>
      </x:c>
      <x:c r="K237" s="38" t="n">
        <x:v>-0.003510518214551387</x:v>
      </x:c>
      <x:c r="L237" s="35" t="n">
        <x:f>H237*J237*(1+K237)</x:f>
        <x:v>4683.500564391608</x:v>
      </x:c>
      <x:c r="M237" s="35" t="n">
        <x:f>SUMIFS('菜谱BOM'!$F$5:$F$160,'菜谱BOM'!$A$5:$A$160,E237,'菜谱BOM'!$C$5:$C$160,"调料")</x:f>
        <x:v>60</x:v>
      </x:c>
      <x:c r="N237" s="38" t="n">
        <x:v>-0.00007840550366751975</x:v>
      </x:c>
      <x:c r="O237" s="35" t="n">
        <x:f>H237*M237*(1+N237)</x:f>
        <x:v>599.9529566977994</x:v>
      </x:c>
      <x:c r="P237" s="19" t="str">
        <x:f>IF(ABS(N237)&gt;'封面与口径'!$O$25,"机器调料需复核",IF(ABS(K237)&gt;0.02,"人工称重需复核","正常"))</x:f>
        <x:v>正常</x:v>
      </x:c>
      <x:c r="Q237" s="19" t="str">
        <x:v>许哲</x:v>
      </x:c>
    </x:row>
    <x:row r="238">
      <x:c r="A238" s="19" t="str">
        <x:v>2026-07-13|S02|D15</x:v>
      </x:c>
      <x:c r="B238" s="34" t="n">
        <x:v>46216.5</x:v>
      </x:c>
      <x:c r="C238" s="19" t="str">
        <x:v>S02</x:v>
      </x:c>
      <x:c r="D238" s="19" t="str">
        <x:v>尊宝大厦店</x:v>
      </x:c>
      <x:c r="E238" s="19" t="str">
        <x:v>D15</x:v>
      </x:c>
      <x:c r="F238" s="19" t="str">
        <x:v>湘西土匪猪肝</x:v>
      </x:c>
      <x:c r="G238" s="19" t="str">
        <x:v>R1.0</x:v>
      </x:c>
      <x:c r="H238" s="20" t="n">
        <x:f>XLOOKUP(A238,'菜品日销量'!$A$5:$A$1124,'菜品日销量'!$G$5:$G$1124,0)</x:f>
        <x:v>9</x:v>
      </x:c>
      <x:c r="I238" s="20" t="n">
        <x:f>ROUNDUP(H238/2,0)</x:f>
        <x:v>5</x:v>
      </x:c>
      <x:c r="J238" s="22" t="n">
        <x:f>SUMIFS('菜谱BOM'!$F$5:$F$160,'菜谱BOM'!$A$5:$A$160,E238,'菜谱BOM'!$C$5:$C$160,"食材")</x:f>
        <x:v>470</x:v>
      </x:c>
      <x:c r="K238" s="38" t="n">
        <x:v>-0.0014633291236738045</x:v>
      </x:c>
      <x:c r="L238" s="35" t="n">
        <x:f>H238*J238*(1+K238)</x:f>
        <x:v>4223.81011780686</x:v>
      </x:c>
      <x:c r="M238" s="35" t="n">
        <x:f>SUMIFS('菜谱BOM'!$F$5:$F$160,'菜谱BOM'!$A$5:$A$160,E238,'菜谱BOM'!$C$5:$C$160,"调料")</x:f>
        <x:v>49</x:v>
      </x:c>
      <x:c r="N238" s="38" t="n">
        <x:v>0.0005303375186702093</x:v>
      </x:c>
      <x:c r="O238" s="35" t="n">
        <x:f>H238*M238*(1+N238)</x:f>
        <x:v>441.2338788457336</x:v>
      </x:c>
      <x:c r="P238" s="19" t="str">
        <x:f>IF(ABS(N238)&gt;'封面与口径'!$O$25,"机器调料需复核",IF(ABS(K238)&gt;0.02,"人工称重需复核","正常"))</x:f>
        <x:v>正常</x:v>
      </x:c>
      <x:c r="Q238" s="19" t="str">
        <x:v>许哲</x:v>
      </x:c>
    </x:row>
    <x:row r="239">
      <x:c r="A239" s="19" t="str">
        <x:v>2026-07-13|S02|D16</x:v>
      </x:c>
      <x:c r="B239" s="34" t="n">
        <x:v>46216.5</x:v>
      </x:c>
      <x:c r="C239" s="19" t="str">
        <x:v>S02</x:v>
      </x:c>
      <x:c r="D239" s="19" t="str">
        <x:v>尊宝大厦店</x:v>
      </x:c>
      <x:c r="E239" s="19" t="str">
        <x:v>D16</x:v>
      </x:c>
      <x:c r="F239" s="19" t="str">
        <x:v>小豆角炒五花</x:v>
      </x:c>
      <x:c r="G239" s="19" t="str">
        <x:v>R1.0</x:v>
      </x:c>
      <x:c r="H239" s="20" t="n">
        <x:f>XLOOKUP(A239,'菜品日销量'!$A$5:$A$1124,'菜品日销量'!$G$5:$G$1124,0)</x:f>
        <x:v>8</x:v>
      </x:c>
      <x:c r="I239" s="20" t="n">
        <x:f>ROUNDUP(H239/2,0)</x:f>
        <x:v>4</x:v>
      </x:c>
      <x:c r="J239" s="22" t="n">
        <x:f>SUMIFS('菜谱BOM'!$F$5:$F$160,'菜谱BOM'!$A$5:$A$160,E239,'菜谱BOM'!$C$5:$C$160,"食材")</x:f>
        <x:v>450</x:v>
      </x:c>
      <x:c r="K239" s="38" t="n">
        <x:v>-0.004445040314561929</x:v>
      </x:c>
      <x:c r="L239" s="35" t="n">
        <x:f>H239*J239*(1+K239)</x:f>
        <x:v>3583.997854867577</x:v>
      </x:c>
      <x:c r="M239" s="35" t="n">
        <x:f>SUMIFS('菜谱BOM'!$F$5:$F$160,'菜谱BOM'!$A$5:$A$160,E239,'菜谱BOM'!$C$5:$C$160,"调料")</x:f>
        <x:v>42</x:v>
      </x:c>
      <x:c r="N239" s="38" t="n">
        <x:v>-0.0009747623267990449</x:v>
      </x:c>
      <x:c r="O239" s="35" t="n">
        <x:f>H239*M239*(1+N239)</x:f>
        <x:v>335.6724798581955</x:v>
      </x:c>
      <x:c r="P239" s="19" t="str">
        <x:f>IF(ABS(N239)&gt;'封面与口径'!$O$25,"机器调料需复核",IF(ABS(K239)&gt;0.02,"人工称重需复核","正常"))</x:f>
        <x:v>正常</x:v>
      </x:c>
      <x:c r="Q239" s="19" t="str">
        <x:v>许哲</x:v>
      </x:c>
    </x:row>
    <x:row r="240">
      <x:c r="A240" s="19" t="str">
        <x:v>2026-07-13|S02|D18</x:v>
      </x:c>
      <x:c r="B240" s="34" t="n">
        <x:v>46216.5</x:v>
      </x:c>
      <x:c r="C240" s="19" t="str">
        <x:v>S02</x:v>
      </x:c>
      <x:c r="D240" s="19" t="str">
        <x:v>尊宝大厦店</x:v>
      </x:c>
      <x:c r="E240" s="19" t="str">
        <x:v>D18</x:v>
      </x:c>
      <x:c r="F240" s="19" t="str">
        <x:v>青椒炒油麦菜</x:v>
      </x:c>
      <x:c r="G240" s="19" t="str">
        <x:v>R1.0</x:v>
      </x:c>
      <x:c r="H240" s="20" t="n">
        <x:f>XLOOKUP(A240,'菜品日销量'!$A$5:$A$1124,'菜品日销量'!$G$5:$G$1124,0)</x:f>
        <x:v>11</x:v>
      </x:c>
      <x:c r="I240" s="20" t="n">
        <x:f>ROUNDUP(H240/2,0)</x:f>
        <x:v>6</x:v>
      </x:c>
      <x:c r="J240" s="22" t="n">
        <x:f>SUMIFS('菜谱BOM'!$F$5:$F$160,'菜谱BOM'!$A$5:$A$160,E240,'菜谱BOM'!$C$5:$C$160,"食材")</x:f>
        <x:v>430</x:v>
      </x:c>
      <x:c r="K240" s="38" t="n">
        <x:v>-0.0022971988381578585</x:v>
      </x:c>
      <x:c r="L240" s="35" t="n">
        <x:f>H240*J240*(1+K240)</x:f>
        <x:v>4719.134249495513</x:v>
      </x:c>
      <x:c r="M240" s="35" t="n">
        <x:f>SUMIFS('菜谱BOM'!$F$5:$F$160,'菜谱BOM'!$A$5:$A$160,E240,'菜谱BOM'!$C$5:$C$160,"调料")</x:f>
        <x:v>33</x:v>
      </x:c>
      <x:c r="N240" s="38" t="n">
        <x:v>-0.0009533456645331684</x:v>
      </x:c>
      <x:c r="O240" s="35" t="n">
        <x:f>H240*M240*(1+N240)</x:f>
        <x:v>362.65393552377446</x:v>
      </x:c>
      <x:c r="P240" s="19" t="str">
        <x:f>IF(ABS(N240)&gt;'封面与口径'!$O$25,"机器调料需复核",IF(ABS(K240)&gt;0.02,"人工称重需复核","正常"))</x:f>
        <x:v>正常</x:v>
      </x:c>
      <x:c r="Q240" s="19" t="str">
        <x:v>许哲</x:v>
      </x:c>
    </x:row>
    <x:row r="241">
      <x:c r="A241" s="19" t="str">
        <x:v>2026-07-13|S02|D19</x:v>
      </x:c>
      <x:c r="B241" s="34" t="n">
        <x:v>46216.5</x:v>
      </x:c>
      <x:c r="C241" s="19" t="str">
        <x:v>S02</x:v>
      </x:c>
      <x:c r="D241" s="19" t="str">
        <x:v>尊宝大厦店</x:v>
      </x:c>
      <x:c r="E241" s="19" t="str">
        <x:v>D19</x:v>
      </x:c>
      <x:c r="F241" s="19" t="str">
        <x:v>酸萝卜炒鸡杂</x:v>
      </x:c>
      <x:c r="G241" s="19" t="str">
        <x:v>R1.0</x:v>
      </x:c>
      <x:c r="H241" s="20" t="n">
        <x:f>XLOOKUP(A241,'菜品日销量'!$A$5:$A$1124,'菜品日销量'!$G$5:$G$1124,0)</x:f>
        <x:v>7</x:v>
      </x:c>
      <x:c r="I241" s="20" t="n">
        <x:f>ROUNDUP(H241/2,0)</x:f>
        <x:v>4</x:v>
      </x:c>
      <x:c r="J241" s="22" t="n">
        <x:f>SUMIFS('菜谱BOM'!$F$5:$F$160,'菜谱BOM'!$A$5:$A$160,E241,'菜谱BOM'!$C$5:$C$160,"食材")</x:f>
        <x:v>500</x:v>
      </x:c>
      <x:c r="K241" s="38" t="n">
        <x:v>0.0023452982591337756</x:v>
      </x:c>
      <x:c r="L241" s="35" t="n">
        <x:f>H241*J241*(1+K241)</x:f>
        <x:v>3508.2085439069688</x:v>
      </x:c>
      <x:c r="M241" s="35" t="n">
        <x:f>SUMIFS('菜谱BOM'!$F$5:$F$160,'菜谱BOM'!$A$5:$A$160,E241,'菜谱BOM'!$C$5:$C$160,"调料")</x:f>
        <x:v>55</x:v>
      </x:c>
      <x:c r="N241" s="38" t="n">
        <x:v>0.00015302531657578067</x:v>
      </x:c>
      <x:c r="O241" s="35" t="n">
        <x:f>H241*M241*(1+N241)</x:f>
        <x:v>385.05891474688167</x:v>
      </x:c>
      <x:c r="P241" s="19" t="str">
        <x:f>IF(ABS(N241)&gt;'封面与口径'!$O$25,"机器调料需复核",IF(ABS(K241)&gt;0.02,"人工称重需复核","正常"))</x:f>
        <x:v>正常</x:v>
      </x:c>
      <x:c r="Q241" s="19" t="str">
        <x:v>许哲</x:v>
      </x:c>
    </x:row>
    <x:row r="242">
      <x:c r="A242" s="19" t="str">
        <x:v>2026-07-13|S02|D20</x:v>
      </x:c>
      <x:c r="B242" s="34" t="n">
        <x:v>46216.5</x:v>
      </x:c>
      <x:c r="C242" s="19" t="str">
        <x:v>S02</x:v>
      </x:c>
      <x:c r="D242" s="19" t="str">
        <x:v>尊宝大厦店</x:v>
      </x:c>
      <x:c r="E242" s="19" t="str">
        <x:v>D20</x:v>
      </x:c>
      <x:c r="F242" s="19" t="str">
        <x:v>雪菜肉末青豆</x:v>
      </x:c>
      <x:c r="G242" s="19" t="str">
        <x:v>R1.0</x:v>
      </x:c>
      <x:c r="H242" s="20" t="n">
        <x:f>XLOOKUP(A242,'菜品日销量'!$A$5:$A$1124,'菜品日销量'!$G$5:$G$1124,0)</x:f>
        <x:v>11</x:v>
      </x:c>
      <x:c r="I242" s="20" t="n">
        <x:f>ROUNDUP(H242/2,0)</x:f>
        <x:v>6</x:v>
      </x:c>
      <x:c r="J242" s="22" t="n">
        <x:f>SUMIFS('菜谱BOM'!$F$5:$F$160,'菜谱BOM'!$A$5:$A$160,E242,'菜谱BOM'!$C$5:$C$160,"食材")</x:f>
        <x:v>465</x:v>
      </x:c>
      <x:c r="K242" s="38" t="n">
        <x:v>-0.0015554917178944435</x:v>
      </x:c>
      <x:c r="L242" s="35" t="n">
        <x:f>H242*J242*(1+K242)</x:f>
        <x:v>5107.043659862969</x:v>
      </x:c>
      <x:c r="M242" s="35" t="n">
        <x:f>SUMIFS('菜谱BOM'!$F$5:$F$160,'菜谱BOM'!$A$5:$A$160,E242,'菜谱BOM'!$C$5:$C$160,"调料")</x:f>
        <x:v>32</x:v>
      </x:c>
      <x:c r="N242" s="38" t="n">
        <x:v>-0.0010504737028503963</x:v>
      </x:c>
      <x:c r="O242" s="35" t="n">
        <x:f>H242*M242*(1+N242)</x:f>
        <x:v>351.6302332565967</x:v>
      </x:c>
      <x:c r="P242" s="19" t="str">
        <x:f>IF(ABS(N242)&gt;'封面与口径'!$O$25,"机器调料需复核",IF(ABS(K242)&gt;0.02,"人工称重需复核","正常"))</x:f>
        <x:v>正常</x:v>
      </x:c>
      <x:c r="Q242" s="19" t="str">
        <x:v>许哲</x:v>
      </x:c>
    </x:row>
    <x:row r="243">
      <x:c r="A243" s="19" t="str">
        <x:v>2026-07-07|S03|D01</x:v>
      </x:c>
      <x:c r="B243" s="34" t="n">
        <x:v>46210.5</x:v>
      </x:c>
      <x:c r="C243" s="19" t="str">
        <x:v>S03</x:v>
      </x:c>
      <x:c r="D243" s="19" t="str">
        <x:v>铂悦城店</x:v>
      </x:c>
      <x:c r="E243" s="19" t="str">
        <x:v>D01</x:v>
      </x:c>
      <x:c r="F243" s="19" t="str">
        <x:v>辣椒炒肉</x:v>
      </x:c>
      <x:c r="G243" s="19" t="str">
        <x:v>R2.3</x:v>
      </x:c>
      <x:c r="H243" s="20" t="n">
        <x:f>XLOOKUP(A243,'菜品日销量'!$A$5:$A$1124,'菜品日销量'!$G$5:$G$1124,0)</x:f>
        <x:v>53</x:v>
      </x:c>
      <x:c r="I243" s="20" t="n">
        <x:f>ROUNDUP(H243/2,0)</x:f>
        <x:v>27</x:v>
      </x:c>
      <x:c r="J243" s="22" t="n">
        <x:f>SUMIFS('菜谱BOM'!$F$5:$F$160,'菜谱BOM'!$A$5:$A$160,E243,'菜谱BOM'!$C$5:$C$160,"食材")</x:f>
        <x:v>550</x:v>
      </x:c>
      <x:c r="K243" s="38" t="n">
        <x:v>0.006871865655964209</x:v>
      </x:c>
      <x:c r="L243" s="35" t="n">
        <x:f>H243*J243*(1+K243)</x:f>
        <x:v>29350.31488387136</x:v>
      </x:c>
      <x:c r="M243" s="35" t="n">
        <x:f>SUMIFS('菜谱BOM'!$F$5:$F$160,'菜谱BOM'!$A$5:$A$160,E243,'菜谱BOM'!$C$5:$C$160,"调料")</x:f>
        <x:v>104</x:v>
      </x:c>
      <x:c r="N243" s="38" t="n">
        <x:v>0.001021558180223582</x:v>
      </x:c>
      <x:c r="O243" s="35" t="n">
        <x:f>H243*M243*(1+N243)</x:f>
        <x:v>5517.630828689392</x:v>
      </x:c>
      <x:c r="P243" s="19" t="str">
        <x:f>IF(ABS(N243)&gt;'封面与口径'!$O$25,"机器调料需复核",IF(ABS(K243)&gt;0.02,"人工称重需复核","正常"))</x:f>
        <x:v>正常</x:v>
      </x:c>
      <x:c r="Q243" s="19" t="str">
        <x:v>杨帆</x:v>
      </x:c>
    </x:row>
    <x:row r="244">
      <x:c r="A244" s="19" t="str">
        <x:v>2026-07-07|S03|D02</x:v>
      </x:c>
      <x:c r="B244" s="34" t="n">
        <x:v>46210.5</x:v>
      </x:c>
      <x:c r="C244" s="19" t="str">
        <x:v>S03</x:v>
      </x:c>
      <x:c r="D244" s="19" t="str">
        <x:v>铂悦城店</x:v>
      </x:c>
      <x:c r="E244" s="19" t="str">
        <x:v>D02</x:v>
      </x:c>
      <x:c r="F244" s="19" t="str">
        <x:v>小炒黄牛肉</x:v>
      </x:c>
      <x:c r="G244" s="19" t="str">
        <x:v>R2.3</x:v>
      </x:c>
      <x:c r="H244" s="20" t="n">
        <x:f>XLOOKUP(A244,'菜品日销量'!$A$5:$A$1124,'菜品日销量'!$G$5:$G$1124,0)</x:f>
        <x:v>33</x:v>
      </x:c>
      <x:c r="I244" s="20" t="n">
        <x:f>ROUNDUP(H244/2,0)</x:f>
        <x:v>17</x:v>
      </x:c>
      <x:c r="J244" s="22" t="n">
        <x:f>SUMIFS('菜谱BOM'!$F$5:$F$160,'菜谱BOM'!$A$5:$A$160,E244,'菜谱BOM'!$C$5:$C$160,"食材")</x:f>
        <x:v>560</x:v>
      </x:c>
      <x:c r="K244" s="38" t="n">
        <x:v>-0.006208685140639703</x:v>
      </x:c>
      <x:c r="L244" s="35" t="n">
        <x:f>H244*J244*(1+K244)</x:f>
        <x:v>18365.26349860098</x:v>
      </x:c>
      <x:c r="M244" s="35" t="n">
        <x:f>SUMIFS('菜谱BOM'!$F$5:$F$160,'菜谱BOM'!$A$5:$A$160,E244,'菜谱BOM'!$C$5:$C$160,"调料")</x:f>
        <x:v>133</x:v>
      </x:c>
      <x:c r="N244" s="38" t="n">
        <x:v>0.001625401937315567</x:v>
      </x:c>
      <x:c r="O244" s="35" t="n">
        <x:f>H244*M244*(1+N244)</x:f>
        <x:v>4396.133889102878</x:v>
      </x:c>
      <x:c r="P244" s="19" t="str">
        <x:f>IF(ABS(N244)&gt;'封面与口径'!$O$25,"机器调料需复核",IF(ABS(K244)&gt;0.02,"人工称重需复核","正常"))</x:f>
        <x:v>正常</x:v>
      </x:c>
      <x:c r="Q244" s="19" t="str">
        <x:v>杨帆</x:v>
      </x:c>
    </x:row>
    <x:row r="245">
      <x:c r="A245" s="19" t="str">
        <x:v>2026-07-07|S03|D03</x:v>
      </x:c>
      <x:c r="B245" s="34" t="n">
        <x:v>46210.5</x:v>
      </x:c>
      <x:c r="C245" s="19" t="str">
        <x:v>S03</x:v>
      </x:c>
      <x:c r="D245" s="19" t="str">
        <x:v>铂悦城店</x:v>
      </x:c>
      <x:c r="E245" s="19" t="str">
        <x:v>D03</x:v>
      </x:c>
      <x:c r="F245" s="19" t="str">
        <x:v>香醋炒蛋</x:v>
      </x:c>
      <x:c r="G245" s="19" t="str">
        <x:v>R1.0</x:v>
      </x:c>
      <x:c r="H245" s="20" t="n">
        <x:f>XLOOKUP(A245,'菜品日销量'!$A$5:$A$1124,'菜品日销量'!$G$5:$G$1124,0)</x:f>
        <x:v>46</x:v>
      </x:c>
      <x:c r="I245" s="20" t="n">
        <x:f>ROUNDUP(H245/2,0)</x:f>
        <x:v>23</x:v>
      </x:c>
      <x:c r="J245" s="22" t="n">
        <x:f>SUMIFS('菜谱BOM'!$F$5:$F$160,'菜谱BOM'!$A$5:$A$160,E245,'菜谱BOM'!$C$5:$C$160,"食材")</x:f>
        <x:v>300</x:v>
      </x:c>
      <x:c r="K245" s="38" t="n">
        <x:v>0.0025083833510308492</x:v>
      </x:c>
      <x:c r="L245" s="35" t="n">
        <x:f>H245*J245*(1+K245)</x:f>
        <x:v>13834.615690244225</x:v>
      </x:c>
      <x:c r="M245" s="35" t="n">
        <x:f>SUMIFS('菜谱BOM'!$F$5:$F$160,'菜谱BOM'!$A$5:$A$160,E245,'菜谱BOM'!$C$5:$C$160,"调料")</x:f>
        <x:v>53</x:v>
      </x:c>
      <x:c r="N245" s="38" t="n">
        <x:v>0.0005181241311407936</x:v>
      </x:c>
      <x:c r="O245" s="35" t="n">
        <x:f>H245*M245*(1+N245)</x:f>
        <x:v>2439.263186631721</x:v>
      </x:c>
      <x:c r="P245" s="19" t="str">
        <x:f>IF(ABS(N245)&gt;'封面与口径'!$O$25,"机器调料需复核",IF(ABS(K245)&gt;0.02,"人工称重需复核","正常"))</x:f>
        <x:v>正常</x:v>
      </x:c>
      <x:c r="Q245" s="19" t="str">
        <x:v>杨帆</x:v>
      </x:c>
    </x:row>
    <x:row r="246">
      <x:c r="A246" s="19" t="str">
        <x:v>2026-07-07|S03|D04</x:v>
      </x:c>
      <x:c r="B246" s="34" t="n">
        <x:v>46210.5</x:v>
      </x:c>
      <x:c r="C246" s="19" t="str">
        <x:v>S03</x:v>
      </x:c>
      <x:c r="D246" s="19" t="str">
        <x:v>铂悦城店</x:v>
      </x:c>
      <x:c r="E246" s="19" t="str">
        <x:v>D04</x:v>
      </x:c>
      <x:c r="F246" s="19" t="str">
        <x:v>酸包菜炒粉皮</x:v>
      </x:c>
      <x:c r="G246" s="19" t="str">
        <x:v>R1.0</x:v>
      </x:c>
      <x:c r="H246" s="20" t="n">
        <x:f>XLOOKUP(A246,'菜品日销量'!$A$5:$A$1124,'菜品日销量'!$G$5:$G$1124,0)</x:f>
        <x:v>41</x:v>
      </x:c>
      <x:c r="I246" s="20" t="n">
        <x:f>ROUNDUP(H246/2,0)</x:f>
        <x:v>21</x:v>
      </x:c>
      <x:c r="J246" s="22" t="n">
        <x:f>SUMIFS('菜谱BOM'!$F$5:$F$160,'菜谱BOM'!$A$5:$A$160,E246,'菜谱BOM'!$C$5:$C$160,"食材")</x:f>
        <x:v>380</x:v>
      </x:c>
      <x:c r="K246" s="38" t="n">
        <x:v>-0.001336005198149012</x:v>
      </x:c>
      <x:c r="L246" s="35" t="n">
        <x:f>H246*J246*(1+K246)</x:f>
        <x:v>15559.185039012838</x:v>
      </x:c>
      <x:c r="M246" s="35" t="n">
        <x:f>SUMIFS('菜谱BOM'!$F$5:$F$160,'菜谱BOM'!$A$5:$A$160,E246,'菜谱BOM'!$C$5:$C$160,"调料")</x:f>
        <x:v>47</x:v>
      </x:c>
      <x:c r="N246" s="38" t="n">
        <x:v>0.001856370381046173</x:v>
      </x:c>
      <x:c r="O246" s="35" t="n">
        <x:f>H246*M246*(1+N246)</x:f>
        <x:v>1930.5772257242759</x:v>
      </x:c>
      <x:c r="P246" s="19" t="str">
        <x:f>IF(ABS(N246)&gt;'封面与口径'!$O$25,"机器调料需复核",IF(ABS(K246)&gt;0.02,"人工称重需复核","正常"))</x:f>
        <x:v>正常</x:v>
      </x:c>
      <x:c r="Q246" s="19" t="str">
        <x:v>杨帆</x:v>
      </x:c>
    </x:row>
    <x:row r="247">
      <x:c r="A247" s="19" t="str">
        <x:v>2026-07-07|S03|D05</x:v>
      </x:c>
      <x:c r="B247" s="34" t="n">
        <x:v>46210.5</x:v>
      </x:c>
      <x:c r="C247" s="19" t="str">
        <x:v>S03</x:v>
      </x:c>
      <x:c r="D247" s="19" t="str">
        <x:v>铂悦城店</x:v>
      </x:c>
      <x:c r="E247" s="19" t="str">
        <x:v>D05</x:v>
      </x:c>
      <x:c r="F247" s="19" t="str">
        <x:v>麻婆豆腐</x:v>
      </x:c>
      <x:c r="G247" s="19" t="str">
        <x:v>R1.0</x:v>
      </x:c>
      <x:c r="H247" s="20" t="n">
        <x:f>XLOOKUP(A247,'菜品日销量'!$A$5:$A$1124,'菜品日销量'!$G$5:$G$1124,0)</x:f>
        <x:v>55</x:v>
      </x:c>
      <x:c r="I247" s="20" t="n">
        <x:f>ROUNDUP(H247/2,0)</x:f>
        <x:v>28</x:v>
      </x:c>
      <x:c r="J247" s="22" t="n">
        <x:f>SUMIFS('菜谱BOM'!$F$5:$F$160,'菜谱BOM'!$A$5:$A$160,E247,'菜谱BOM'!$C$5:$C$160,"食材")</x:f>
        <x:v>505</x:v>
      </x:c>
      <x:c r="K247" s="38" t="n">
        <x:v>-0.003055355152826606</x:v>
      </x:c>
      <x:c r="L247" s="35" t="n">
        <x:f>H247*J247*(1+K247)</x:f>
        <x:v>27690.13751063024</x:v>
      </x:c>
      <x:c r="M247" s="35" t="n">
        <x:f>SUMIFS('菜谱BOM'!$F$5:$F$160,'菜谱BOM'!$A$5:$A$160,E247,'菜谱BOM'!$C$5:$C$160,"调料")</x:f>
        <x:v>90</x:v>
      </x:c>
      <x:c r="N247" s="38" t="n">
        <x:v>0.00020347462180151467</x:v>
      </x:c>
      <x:c r="O247" s="35" t="n">
        <x:f>H247*M247*(1+N247)</x:f>
        <x:v>4951.0071993779175</x:v>
      </x:c>
      <x:c r="P247" s="19" t="str">
        <x:f>IF(ABS(N247)&gt;'封面与口径'!$O$25,"机器调料需复核",IF(ABS(K247)&gt;0.02,"人工称重需复核","正常"))</x:f>
        <x:v>正常</x:v>
      </x:c>
      <x:c r="Q247" s="19" t="str">
        <x:v>杨帆</x:v>
      </x:c>
    </x:row>
    <x:row r="248">
      <x:c r="A248" s="19" t="str">
        <x:v>2026-07-07|S03|D07</x:v>
      </x:c>
      <x:c r="B248" s="34" t="n">
        <x:v>46210.5</x:v>
      </x:c>
      <x:c r="C248" s="19" t="str">
        <x:v>S03</x:v>
      </x:c>
      <x:c r="D248" s="19" t="str">
        <x:v>铂悦城店</x:v>
      </x:c>
      <x:c r="E248" s="19" t="str">
        <x:v>D07</x:v>
      </x:c>
      <x:c r="F248" s="19" t="str">
        <x:v>川味回锅肉</x:v>
      </x:c>
      <x:c r="G248" s="19" t="str">
        <x:v>R1.0</x:v>
      </x:c>
      <x:c r="H248" s="20" t="n">
        <x:f>XLOOKUP(A248,'菜品日销量'!$A$5:$A$1124,'菜品日销量'!$G$5:$G$1124,0)</x:f>
        <x:v>17</x:v>
      </x:c>
      <x:c r="I248" s="20" t="n">
        <x:f>ROUNDUP(H248/2,0)</x:f>
        <x:v>9</x:v>
      </x:c>
      <x:c r="J248" s="22" t="n">
        <x:f>SUMIFS('菜谱BOM'!$F$5:$F$160,'菜谱BOM'!$A$5:$A$160,E248,'菜谱BOM'!$C$5:$C$160,"食材")</x:f>
        <x:v>450</x:v>
      </x:c>
      <x:c r="K248" s="38" t="n">
        <x:v>-0.0038735211183953846</x:v>
      </x:c>
      <x:c r="L248" s="35" t="n">
        <x:f>H248*J248*(1+K248)</x:f>
        <x:v>7620.367563444275</x:v>
      </x:c>
      <x:c r="M248" s="35" t="n">
        <x:f>SUMIFS('菜谱BOM'!$F$5:$F$160,'菜谱BOM'!$A$5:$A$160,E248,'菜谱BOM'!$C$5:$C$160,"调料")</x:f>
        <x:v>63</x:v>
      </x:c>
      <x:c r="N248" s="38" t="n">
        <x:v>0.0007411699683268487</x:v>
      </x:c>
      <x:c r="O248" s="35" t="n">
        <x:f>H248*M248*(1+N248)</x:f>
        <x:v>1071.7937930360781</x:v>
      </x:c>
      <x:c r="P248" s="19" t="str">
        <x:f>IF(ABS(N248)&gt;'封面与口径'!$O$25,"机器调料需复核",IF(ABS(K248)&gt;0.02,"人工称重需复核","正常"))</x:f>
        <x:v>正常</x:v>
      </x:c>
      <x:c r="Q248" s="19" t="str">
        <x:v>杨帆</x:v>
      </x:c>
    </x:row>
    <x:row r="249">
      <x:c r="A249" s="19" t="str">
        <x:v>2026-07-07|S03|D08</x:v>
      </x:c>
      <x:c r="B249" s="34" t="n">
        <x:v>46210.5</x:v>
      </x:c>
      <x:c r="C249" s="19" t="str">
        <x:v>S03</x:v>
      </x:c>
      <x:c r="D249" s="19" t="str">
        <x:v>铂悦城店</x:v>
      </x:c>
      <x:c r="E249" s="19" t="str">
        <x:v>D08</x:v>
      </x:c>
      <x:c r="F249" s="19" t="str">
        <x:v>生炒清远鸡</x:v>
      </x:c>
      <x:c r="G249" s="19" t="str">
        <x:v>R1.0</x:v>
      </x:c>
      <x:c r="H249" s="20" t="n">
        <x:f>XLOOKUP(A249,'菜品日销量'!$A$5:$A$1124,'菜品日销量'!$G$5:$G$1124,0)</x:f>
        <x:v>11</x:v>
      </x:c>
      <x:c r="I249" s="20" t="n">
        <x:f>ROUNDUP(H249/2,0)</x:f>
        <x:v>6</x:v>
      </x:c>
      <x:c r="J249" s="22" t="n">
        <x:f>SUMIFS('菜谱BOM'!$F$5:$F$160,'菜谱BOM'!$A$5:$A$160,E249,'菜谱BOM'!$C$5:$C$160,"食材")</x:f>
        <x:v>610</x:v>
      </x:c>
      <x:c r="K249" s="38" t="n">
        <x:v>0.0064163365658410675</x:v>
      </x:c>
      <x:c r="L249" s="35" t="n">
        <x:f>H249*J249*(1+K249)</x:f>
        <x:v>6753.053618356795</x:v>
      </x:c>
      <x:c r="M249" s="35" t="n">
        <x:f>SUMIFS('菜谱BOM'!$F$5:$F$160,'菜谱BOM'!$A$5:$A$160,E249,'菜谱BOM'!$C$5:$C$160,"调料")</x:f>
        <x:v>61</x:v>
      </x:c>
      <x:c r="N249" s="38" t="n">
        <x:v>0.00009281316634565906</x:v>
      </x:c>
      <x:c r="O249" s="35" t="n">
        <x:f>H249*M249*(1+N249)</x:f>
        <x:v>671.0622776346179</x:v>
      </x:c>
      <x:c r="P249" s="19" t="str">
        <x:f>IF(ABS(N249)&gt;'封面与口径'!$O$25,"机器调料需复核",IF(ABS(K249)&gt;0.02,"人工称重需复核","正常"))</x:f>
        <x:v>正常</x:v>
      </x:c>
      <x:c r="Q249" s="19" t="str">
        <x:v>杨帆</x:v>
      </x:c>
    </x:row>
    <x:row r="250">
      <x:c r="A250" s="19" t="str">
        <x:v>2026-07-07|S03|D09</x:v>
      </x:c>
      <x:c r="B250" s="34" t="n">
        <x:v>46210.5</x:v>
      </x:c>
      <x:c r="C250" s="19" t="str">
        <x:v>S03</x:v>
      </x:c>
      <x:c r="D250" s="19" t="str">
        <x:v>铂悦城店</x:v>
      </x:c>
      <x:c r="E250" s="19" t="str">
        <x:v>D09</x:v>
      </x:c>
      <x:c r="F250" s="19" t="str">
        <x:v>炒豆干</x:v>
      </x:c>
      <x:c r="G250" s="19" t="str">
        <x:v>R1.0</x:v>
      </x:c>
      <x:c r="H250" s="20" t="n">
        <x:f>XLOOKUP(A250,'菜品日销量'!$A$5:$A$1124,'菜品日销量'!$G$5:$G$1124,0)</x:f>
        <x:v>18</x:v>
      </x:c>
      <x:c r="I250" s="20" t="n">
        <x:f>ROUNDUP(H250/2,0)</x:f>
        <x:v>9</x:v>
      </x:c>
      <x:c r="J250" s="22" t="n">
        <x:f>SUMIFS('菜谱BOM'!$F$5:$F$160,'菜谱BOM'!$A$5:$A$160,E250,'菜谱BOM'!$C$5:$C$160,"食材")</x:f>
        <x:v>520</x:v>
      </x:c>
      <x:c r="K250" s="38" t="n">
        <x:v>-0.0033825600211002307</x:v>
      </x:c>
      <x:c r="L250" s="35" t="n">
        <x:f>H250*J250*(1+K250)</x:f>
        <x:v>9328.339238202501</x:v>
      </x:c>
      <x:c r="M250" s="35" t="n">
        <x:f>SUMIFS('菜谱BOM'!$F$5:$F$160,'菜谱BOM'!$A$5:$A$160,E250,'菜谱BOM'!$C$5:$C$160,"调料")</x:f>
        <x:v>42</x:v>
      </x:c>
      <x:c r="N250" s="38" t="n">
        <x:v>0.0003727832805301956</x:v>
      </x:c>
      <x:c r="O250" s="35" t="n">
        <x:f>H250*M250*(1+N250)</x:f>
        <x:v>756.2818241600809</x:v>
      </x:c>
      <x:c r="P250" s="19" t="str">
        <x:f>IF(ABS(N250)&gt;'封面与口径'!$O$25,"机器调料需复核",IF(ABS(K250)&gt;0.02,"人工称重需复核","正常"))</x:f>
        <x:v>正常</x:v>
      </x:c>
      <x:c r="Q250" s="19" t="str">
        <x:v>杨帆</x:v>
      </x:c>
    </x:row>
    <x:row r="251">
      <x:c r="A251" s="19" t="str">
        <x:v>2026-07-07|S03|D10</x:v>
      </x:c>
      <x:c r="B251" s="34" t="n">
        <x:v>46210.5</x:v>
      </x:c>
      <x:c r="C251" s="19" t="str">
        <x:v>S03</x:v>
      </x:c>
      <x:c r="D251" s="19" t="str">
        <x:v>铂悦城店</x:v>
      </x:c>
      <x:c r="E251" s="19" t="str">
        <x:v>D10</x:v>
      </x:c>
      <x:c r="F251" s="19" t="str">
        <x:v>农家一碗香</x:v>
      </x:c>
      <x:c r="G251" s="19" t="str">
        <x:v>R2.3</x:v>
      </x:c>
      <x:c r="H251" s="20" t="n">
        <x:f>XLOOKUP(A251,'菜品日销量'!$A$5:$A$1124,'菜品日销量'!$G$5:$G$1124,0)</x:f>
        <x:v>19</x:v>
      </x:c>
      <x:c r="I251" s="20" t="n">
        <x:f>ROUNDUP(H251/2,0)</x:f>
        <x:v>10</x:v>
      </x:c>
      <x:c r="J251" s="22" t="n">
        <x:f>SUMIFS('菜谱BOM'!$F$5:$F$160,'菜谱BOM'!$A$5:$A$160,E251,'菜谱BOM'!$C$5:$C$160,"食材")</x:f>
        <x:v>510</x:v>
      </x:c>
      <x:c r="K251" s="38" t="n">
        <x:v>-0.005076365678821776</x:v>
      </x:c>
      <x:c r="L251" s="35" t="n">
        <x:f>H251*J251*(1+K251)</x:f>
        <x:v>9640.810016572217</x:v>
      </x:c>
      <x:c r="M251" s="35" t="n">
        <x:f>SUMIFS('菜谱BOM'!$F$5:$F$160,'菜谱BOM'!$A$5:$A$160,E251,'菜谱BOM'!$C$5:$C$160,"调料")</x:f>
        <x:v>88</x:v>
      </x:c>
      <x:c r="N251" s="38" t="n">
        <x:v>-0.000704543864984192</x:v>
      </x:c>
      <x:c r="O251" s="35" t="n">
        <x:f>H251*M251*(1+N251)</x:f>
        <x:v>1670.8220026577465</x:v>
      </x:c>
      <x:c r="P251" s="19" t="str">
        <x:f>IF(ABS(N251)&gt;'封面与口径'!$O$25,"机器调料需复核",IF(ABS(K251)&gt;0.02,"人工称重需复核","正常"))</x:f>
        <x:v>正常</x:v>
      </x:c>
      <x:c r="Q251" s="19" t="str">
        <x:v>杨帆</x:v>
      </x:c>
    </x:row>
    <x:row r="252">
      <x:c r="A252" s="19" t="str">
        <x:v>2026-07-07|S03|D11</x:v>
      </x:c>
      <x:c r="B252" s="34" t="n">
        <x:v>46210.5</x:v>
      </x:c>
      <x:c r="C252" s="19" t="str">
        <x:v>S03</x:v>
      </x:c>
      <x:c r="D252" s="19" t="str">
        <x:v>铂悦城店</x:v>
      </x:c>
      <x:c r="E252" s="19" t="str">
        <x:v>D11</x:v>
      </x:c>
      <x:c r="F252" s="19" t="str">
        <x:v>香辣爆肥肠</x:v>
      </x:c>
      <x:c r="G252" s="19" t="str">
        <x:v>R1.0</x:v>
      </x:c>
      <x:c r="H252" s="20" t="n">
        <x:f>XLOOKUP(A252,'菜品日销量'!$A$5:$A$1124,'菜品日销量'!$G$5:$G$1124,0)</x:f>
        <x:v>7</x:v>
      </x:c>
      <x:c r="I252" s="20" t="n">
        <x:f>ROUNDUP(H252/2,0)</x:f>
        <x:v>4</x:v>
      </x:c>
      <x:c r="J252" s="22" t="n">
        <x:f>SUMIFS('菜谱BOM'!$F$5:$F$160,'菜谱BOM'!$A$5:$A$160,E252,'菜谱BOM'!$C$5:$C$160,"食材")</x:f>
        <x:v>430</x:v>
      </x:c>
      <x:c r="K252" s="38" t="n">
        <x:v>0.0030390976432336262</x:v>
      </x:c>
      <x:c r="L252" s="35" t="n">
        <x:f>H252*J252*(1+K252)</x:f>
        <x:v>3019.1476839061334</x:v>
      </x:c>
      <x:c r="M252" s="35" t="n">
        <x:f>SUMIFS('菜谱BOM'!$F$5:$F$160,'菜谱BOM'!$A$5:$A$160,E252,'菜谱BOM'!$C$5:$C$160,"调料")</x:f>
        <x:v>67</x:v>
      </x:c>
      <x:c r="N252" s="38" t="n">
        <x:v>0.00010554717902688937</x:v>
      </x:c>
      <x:c r="O252" s="35" t="n">
        <x:f>H252*M252*(1+N252)</x:f>
        <x:v>469.04950162696366</x:v>
      </x:c>
      <x:c r="P252" s="19" t="str">
        <x:f>IF(ABS(N252)&gt;'封面与口径'!$O$25,"机器调料需复核",IF(ABS(K252)&gt;0.02,"人工称重需复核","正常"))</x:f>
        <x:v>正常</x:v>
      </x:c>
      <x:c r="Q252" s="19" t="str">
        <x:v>杨帆</x:v>
      </x:c>
    </x:row>
    <x:row r="253">
      <x:c r="A253" s="19" t="str">
        <x:v>2026-07-07|S03|D13</x:v>
      </x:c>
      <x:c r="B253" s="34" t="n">
        <x:v>46210.5</x:v>
      </x:c>
      <x:c r="C253" s="19" t="str">
        <x:v>S03</x:v>
      </x:c>
      <x:c r="D253" s="19" t="str">
        <x:v>铂悦城店</x:v>
      </x:c>
      <x:c r="E253" s="19" t="str">
        <x:v>D13</x:v>
      </x:c>
      <x:c r="F253" s="19" t="str">
        <x:v>外婆菜炒蛋</x:v>
      </x:c>
      <x:c r="G253" s="19" t="str">
        <x:v>R1.0</x:v>
      </x:c>
      <x:c r="H253" s="20" t="n">
        <x:f>XLOOKUP(A253,'菜品日销量'!$A$5:$A$1124,'菜品日销量'!$G$5:$G$1124,0)</x:f>
        <x:v>16</x:v>
      </x:c>
      <x:c r="I253" s="20" t="n">
        <x:f>ROUNDUP(H253/2,0)</x:f>
        <x:v>8</x:v>
      </x:c>
      <x:c r="J253" s="22" t="n">
        <x:f>SUMIFS('菜谱BOM'!$F$5:$F$160,'菜谱BOM'!$A$5:$A$160,E253,'菜谱BOM'!$C$5:$C$160,"食材")</x:f>
        <x:v>450</x:v>
      </x:c>
      <x:c r="K253" s="38" t="n">
        <x:v>-0.00209465448793365</x:v>
      </x:c>
      <x:c r="L253" s="35" t="n">
        <x:f>H253*J253*(1+K253)</x:f>
        <x:v>7184.918487686878</x:v>
      </x:c>
      <x:c r="M253" s="35" t="n">
        <x:f>SUMIFS('菜谱BOM'!$F$5:$F$160,'菜谱BOM'!$A$5:$A$160,E253,'菜谱BOM'!$C$5:$C$160,"调料")</x:f>
        <x:v>37</x:v>
      </x:c>
      <x:c r="N253" s="38" t="n">
        <x:v>0.00040515307206780496</x:v>
      </x:c>
      <x:c r="O253" s="35" t="n">
        <x:f>H253*M253*(1+N253)</x:f>
        <x:v>592.2398506186641</x:v>
      </x:c>
      <x:c r="P253" s="19" t="str">
        <x:f>IF(ABS(N253)&gt;'封面与口径'!$O$25,"机器调料需复核",IF(ABS(K253)&gt;0.02,"人工称重需复核","正常"))</x:f>
        <x:v>正常</x:v>
      </x:c>
      <x:c r="Q253" s="19" t="str">
        <x:v>杨帆</x:v>
      </x:c>
    </x:row>
    <x:row r="254">
      <x:c r="A254" s="19" t="str">
        <x:v>2026-07-07|S03|D14</x:v>
      </x:c>
      <x:c r="B254" s="34" t="n">
        <x:v>46210.5</x:v>
      </x:c>
      <x:c r="C254" s="19" t="str">
        <x:v>S03</x:v>
      </x:c>
      <x:c r="D254" s="19" t="str">
        <x:v>铂悦城店</x:v>
      </x:c>
      <x:c r="E254" s="19" t="str">
        <x:v>D14</x:v>
      </x:c>
      <x:c r="F254" s="19" t="str">
        <x:v>酸辣鸡杂</x:v>
      </x:c>
      <x:c r="G254" s="19" t="str">
        <x:v>R1.0</x:v>
      </x:c>
      <x:c r="H254" s="20" t="n">
        <x:f>XLOOKUP(A254,'菜品日销量'!$A$5:$A$1124,'菜品日销量'!$G$5:$G$1124,0)</x:f>
        <x:v>8</x:v>
      </x:c>
      <x:c r="I254" s="20" t="n">
        <x:f>ROUNDUP(H254/2,0)</x:f>
        <x:v>4</x:v>
      </x:c>
      <x:c r="J254" s="22" t="n">
        <x:f>SUMIFS('菜谱BOM'!$F$5:$F$160,'菜谱BOM'!$A$5:$A$160,E254,'菜谱BOM'!$C$5:$C$160,"食材")</x:f>
        <x:v>470</x:v>
      </x:c>
      <x:c r="K254" s="38" t="n">
        <x:v>-0.002368037088394174</x:v>
      </x:c>
      <x:c r="L254" s="35" t="n">
        <x:f>H254*J254*(1+K254)</x:f>
        <x:v>3751.096180547638</x:v>
      </x:c>
      <x:c r="M254" s="35" t="n">
        <x:f>SUMIFS('菜谱BOM'!$F$5:$F$160,'菜谱BOM'!$A$5:$A$160,E254,'菜谱BOM'!$C$5:$C$160,"调料")</x:f>
        <x:v>60</x:v>
      </x:c>
      <x:c r="N254" s="38" t="n">
        <x:v>0.0014586793313405195</x:v>
      </x:c>
      <x:c r="O254" s="35" t="n">
        <x:f>H254*M254*(1+N254)</x:f>
        <x:v>480.7001660790434</x:v>
      </x:c>
      <x:c r="P254" s="19" t="str">
        <x:f>IF(ABS(N254)&gt;'封面与口径'!$O$25,"机器调料需复核",IF(ABS(K254)&gt;0.02,"人工称重需复核","正常"))</x:f>
        <x:v>正常</x:v>
      </x:c>
      <x:c r="Q254" s="19" t="str">
        <x:v>杨帆</x:v>
      </x:c>
    </x:row>
    <x:row r="255">
      <x:c r="A255" s="19" t="str">
        <x:v>2026-07-07|S03|D15</x:v>
      </x:c>
      <x:c r="B255" s="34" t="n">
        <x:v>46210.5</x:v>
      </x:c>
      <x:c r="C255" s="19" t="str">
        <x:v>S03</x:v>
      </x:c>
      <x:c r="D255" s="19" t="str">
        <x:v>铂悦城店</x:v>
      </x:c>
      <x:c r="E255" s="19" t="str">
        <x:v>D15</x:v>
      </x:c>
      <x:c r="F255" s="19" t="str">
        <x:v>湘西土匪猪肝</x:v>
      </x:c>
      <x:c r="G255" s="19" t="str">
        <x:v>R1.0</x:v>
      </x:c>
      <x:c r="H255" s="20" t="n">
        <x:f>XLOOKUP(A255,'菜品日销量'!$A$5:$A$1124,'菜品日销量'!$G$5:$G$1124,0)</x:f>
        <x:v>8</x:v>
      </x:c>
      <x:c r="I255" s="20" t="n">
        <x:f>ROUNDUP(H255/2,0)</x:f>
        <x:v>4</x:v>
      </x:c>
      <x:c r="J255" s="22" t="n">
        <x:f>SUMIFS('菜谱BOM'!$F$5:$F$160,'菜谱BOM'!$A$5:$A$160,E255,'菜谱BOM'!$C$5:$C$160,"食材")</x:f>
        <x:v>470</x:v>
      </x:c>
      <x:c r="K255" s="38" t="n">
        <x:v>0.00021563895610525208</x:v>
      </x:c>
      <x:c r="L255" s="35" t="n">
        <x:f>H255*J255*(1+K255)</x:f>
        <x:v>3760.8108024749554</x:v>
      </x:c>
      <x:c r="M255" s="35" t="n">
        <x:f>SUMIFS('菜谱BOM'!$F$5:$F$160,'菜谱BOM'!$A$5:$A$160,E255,'菜谱BOM'!$C$5:$C$160,"调料")</x:f>
        <x:v>49</x:v>
      </x:c>
      <x:c r="N255" s="38" t="n">
        <x:v>-0.0014395463390833574</x:v>
      </x:c>
      <x:c r="O255" s="35" t="n">
        <x:f>H255*M255*(1+N255)</x:f>
        <x:v>391.43569783507934</x:v>
      </x:c>
      <x:c r="P255" s="19" t="str">
        <x:f>IF(ABS(N255)&gt;'封面与口径'!$O$25,"机器调料需复核",IF(ABS(K255)&gt;0.02,"人工称重需复核","正常"))</x:f>
        <x:v>正常</x:v>
      </x:c>
      <x:c r="Q255" s="19" t="str">
        <x:v>杨帆</x:v>
      </x:c>
    </x:row>
    <x:row r="256">
      <x:c r="A256" s="19" t="str">
        <x:v>2026-07-07|S03|D16</x:v>
      </x:c>
      <x:c r="B256" s="34" t="n">
        <x:v>46210.5</x:v>
      </x:c>
      <x:c r="C256" s="19" t="str">
        <x:v>S03</x:v>
      </x:c>
      <x:c r="D256" s="19" t="str">
        <x:v>铂悦城店</x:v>
      </x:c>
      <x:c r="E256" s="19" t="str">
        <x:v>D16</x:v>
      </x:c>
      <x:c r="F256" s="19" t="str">
        <x:v>小豆角炒五花</x:v>
      </x:c>
      <x:c r="G256" s="19" t="str">
        <x:v>R1.0</x:v>
      </x:c>
      <x:c r="H256" s="20" t="n">
        <x:f>XLOOKUP(A256,'菜品日销量'!$A$5:$A$1124,'菜品日销量'!$G$5:$G$1124,0)</x:f>
        <x:v>8</x:v>
      </x:c>
      <x:c r="I256" s="20" t="n">
        <x:f>ROUNDUP(H256/2,0)</x:f>
        <x:v>4</x:v>
      </x:c>
      <x:c r="J256" s="22" t="n">
        <x:f>SUMIFS('菜谱BOM'!$F$5:$F$160,'菜谱BOM'!$A$5:$A$160,E256,'菜谱BOM'!$C$5:$C$160,"食材")</x:f>
        <x:v>450</x:v>
      </x:c>
      <x:c r="K256" s="38" t="n">
        <x:v>0.003215573991466215</x:v>
      </x:c>
      <x:c r="L256" s="35" t="n">
        <x:f>H256*J256*(1+K256)</x:f>
        <x:v>3611.5760663692786</x:v>
      </x:c>
      <x:c r="M256" s="35" t="n">
        <x:f>SUMIFS('菜谱BOM'!$F$5:$F$160,'菜谱BOM'!$A$5:$A$160,E256,'菜谱BOM'!$C$5:$C$160,"调料")</x:f>
        <x:v>42</x:v>
      </x:c>
      <x:c r="N256" s="38" t="n">
        <x:v>0.0009620893595186271</x:v>
      </x:c>
      <x:c r="O256" s="35" t="n">
        <x:f>H256*M256*(1+N256)</x:f>
        <x:v>336.3232620247982</x:v>
      </x:c>
      <x:c r="P256" s="19" t="str">
        <x:f>IF(ABS(N256)&gt;'封面与口径'!$O$25,"机器调料需复核",IF(ABS(K256)&gt;0.02,"人工称重需复核","正常"))</x:f>
        <x:v>正常</x:v>
      </x:c>
      <x:c r="Q256" s="19" t="str">
        <x:v>杨帆</x:v>
      </x:c>
    </x:row>
    <x:row r="257">
      <x:c r="A257" s="19" t="str">
        <x:v>2026-07-07|S03|D18</x:v>
      </x:c>
      <x:c r="B257" s="34" t="n">
        <x:v>46210.5</x:v>
      </x:c>
      <x:c r="C257" s="19" t="str">
        <x:v>S03</x:v>
      </x:c>
      <x:c r="D257" s="19" t="str">
        <x:v>铂悦城店</x:v>
      </x:c>
      <x:c r="E257" s="19" t="str">
        <x:v>D18</x:v>
      </x:c>
      <x:c r="F257" s="19" t="str">
        <x:v>青椒炒油麦菜</x:v>
      </x:c>
      <x:c r="G257" s="19" t="str">
        <x:v>R1.0</x:v>
      </x:c>
      <x:c r="H257" s="20" t="n">
        <x:f>XLOOKUP(A257,'菜品日销量'!$A$5:$A$1124,'菜品日销量'!$G$5:$G$1124,0)</x:f>
        <x:v>9</x:v>
      </x:c>
      <x:c r="I257" s="20" t="n">
        <x:f>ROUNDUP(H257/2,0)</x:f>
        <x:v>5</x:v>
      </x:c>
      <x:c r="J257" s="22" t="n">
        <x:f>SUMIFS('菜谱BOM'!$F$5:$F$160,'菜谱BOM'!$A$5:$A$160,E257,'菜谱BOM'!$C$5:$C$160,"食材")</x:f>
        <x:v>430</x:v>
      </x:c>
      <x:c r="K257" s="38" t="n">
        <x:v>-0.00281921505807415</x:v>
      </x:c>
      <x:c r="L257" s="35" t="n">
        <x:f>H257*J257*(1+K257)</x:f>
        <x:v>3859.089637725253</x:v>
      </x:c>
      <x:c r="M257" s="35" t="n">
        <x:f>SUMIFS('菜谱BOM'!$F$5:$F$160,'菜谱BOM'!$A$5:$A$160,E257,'菜谱BOM'!$C$5:$C$160,"调料")</x:f>
        <x:v>33</x:v>
      </x:c>
      <x:c r="N257" s="38" t="n">
        <x:v>-0.00031872947381779773</x:v>
      </x:c>
      <x:c r="O257" s="35" t="n">
        <x:f>H257*M257*(1+N257)</x:f>
        <x:v>296.9053373462761</x:v>
      </x:c>
      <x:c r="P257" s="19" t="str">
        <x:f>IF(ABS(N257)&gt;'封面与口径'!$O$25,"机器调料需复核",IF(ABS(K257)&gt;0.02,"人工称重需复核","正常"))</x:f>
        <x:v>正常</x:v>
      </x:c>
      <x:c r="Q257" s="19" t="str">
        <x:v>杨帆</x:v>
      </x:c>
    </x:row>
    <x:row r="258">
      <x:c r="A258" s="19" t="str">
        <x:v>2026-07-07|S03|D19</x:v>
      </x:c>
      <x:c r="B258" s="34" t="n">
        <x:v>46210.5</x:v>
      </x:c>
      <x:c r="C258" s="19" t="str">
        <x:v>S03</x:v>
      </x:c>
      <x:c r="D258" s="19" t="str">
        <x:v>铂悦城店</x:v>
      </x:c>
      <x:c r="E258" s="19" t="str">
        <x:v>D19</x:v>
      </x:c>
      <x:c r="F258" s="19" t="str">
        <x:v>酸萝卜炒鸡杂</x:v>
      </x:c>
      <x:c r="G258" s="19" t="str">
        <x:v>R1.0</x:v>
      </x:c>
      <x:c r="H258" s="20" t="n">
        <x:f>XLOOKUP(A258,'菜品日销量'!$A$5:$A$1124,'菜品日销量'!$G$5:$G$1124,0)</x:f>
        <x:v>7</x:v>
      </x:c>
      <x:c r="I258" s="20" t="n">
        <x:f>ROUNDUP(H258/2,0)</x:f>
        <x:v>4</x:v>
      </x:c>
      <x:c r="J258" s="22" t="n">
        <x:f>SUMIFS('菜谱BOM'!$F$5:$F$160,'菜谱BOM'!$A$5:$A$160,E258,'菜谱BOM'!$C$5:$C$160,"食材")</x:f>
        <x:v>500</x:v>
      </x:c>
      <x:c r="K258" s="38" t="n">
        <x:v>-0.006049413855664762</x:v>
      </x:c>
      <x:c r="L258" s="35" t="n">
        <x:f>H258*J258*(1+K258)</x:f>
        <x:v>3478.8270515051736</x:v>
      </x:c>
      <x:c r="M258" s="35" t="n">
        <x:f>SUMIFS('菜谱BOM'!$F$5:$F$160,'菜谱BOM'!$A$5:$A$160,E258,'菜谱BOM'!$C$5:$C$160,"调料")</x:f>
        <x:v>55</x:v>
      </x:c>
      <x:c r="N258" s="38" t="n">
        <x:v>-0.0006999036256922184</x:v>
      </x:c>
      <x:c r="O258" s="35" t="n">
        <x:f>H258*M258*(1+N258)</x:f>
        <x:v>384.7305371041085</x:v>
      </x:c>
      <x:c r="P258" s="19" t="str">
        <x:f>IF(ABS(N258)&gt;'封面与口径'!$O$25,"机器调料需复核",IF(ABS(K258)&gt;0.02,"人工称重需复核","正常"))</x:f>
        <x:v>正常</x:v>
      </x:c>
      <x:c r="Q258" s="19" t="str">
        <x:v>杨帆</x:v>
      </x:c>
    </x:row>
    <x:row r="259">
      <x:c r="A259" s="19" t="str">
        <x:v>2026-07-07|S03|D20</x:v>
      </x:c>
      <x:c r="B259" s="34" t="n">
        <x:v>46210.5</x:v>
      </x:c>
      <x:c r="C259" s="19" t="str">
        <x:v>S03</x:v>
      </x:c>
      <x:c r="D259" s="19" t="str">
        <x:v>铂悦城店</x:v>
      </x:c>
      <x:c r="E259" s="19" t="str">
        <x:v>D20</x:v>
      </x:c>
      <x:c r="F259" s="19" t="str">
        <x:v>雪菜肉末青豆</x:v>
      </x:c>
      <x:c r="G259" s="19" t="str">
        <x:v>R1.0</x:v>
      </x:c>
      <x:c r="H259" s="20" t="n">
        <x:f>XLOOKUP(A259,'菜品日销量'!$A$5:$A$1124,'菜品日销量'!$G$5:$G$1124,0)</x:f>
        <x:v>10</x:v>
      </x:c>
      <x:c r="I259" s="20" t="n">
        <x:f>ROUNDUP(H259/2,0)</x:f>
        <x:v>5</x:v>
      </x:c>
      <x:c r="J259" s="22" t="n">
        <x:f>SUMIFS('菜谱BOM'!$F$5:$F$160,'菜谱BOM'!$A$5:$A$160,E259,'菜谱BOM'!$C$5:$C$160,"食材")</x:f>
        <x:v>465</x:v>
      </x:c>
      <x:c r="K259" s="38" t="n">
        <x:v>0.0015340487867440214</x:v>
      </x:c>
      <x:c r="L259" s="35" t="n">
        <x:f>H259*J259*(1+K259)</x:f>
        <x:v>4657.13332685836</x:v>
      </x:c>
      <x:c r="M259" s="35" t="n">
        <x:f>SUMIFS('菜谱BOM'!$F$5:$F$160,'菜谱BOM'!$A$5:$A$160,E259,'菜谱BOM'!$C$5:$C$160,"调料")</x:f>
        <x:v>32</x:v>
      </x:c>
      <x:c r="N259" s="38" t="n">
        <x:v>0.0009090459502556004</x:v>
      </x:c>
      <x:c r="O259" s="35" t="n">
        <x:f>H259*M259*(1+N259)</x:f>
        <x:v>320.2908947040818</x:v>
      </x:c>
      <x:c r="P259" s="19" t="str">
        <x:f>IF(ABS(N259)&gt;'封面与口径'!$O$25,"机器调料需复核",IF(ABS(K259)&gt;0.02,"人工称重需复核","正常"))</x:f>
        <x:v>正常</x:v>
      </x:c>
      <x:c r="Q259" s="19" t="str">
        <x:v>杨帆</x:v>
      </x:c>
    </x:row>
    <x:row r="260">
      <x:c r="A260" s="19" t="str">
        <x:v>2026-07-08|S03|D01</x:v>
      </x:c>
      <x:c r="B260" s="34" t="n">
        <x:v>46211.5</x:v>
      </x:c>
      <x:c r="C260" s="19" t="str">
        <x:v>S03</x:v>
      </x:c>
      <x:c r="D260" s="19" t="str">
        <x:v>铂悦城店</x:v>
      </x:c>
      <x:c r="E260" s="19" t="str">
        <x:v>D01</x:v>
      </x:c>
      <x:c r="F260" s="19" t="str">
        <x:v>辣椒炒肉</x:v>
      </x:c>
      <x:c r="G260" s="19" t="str">
        <x:v>R2.3</x:v>
      </x:c>
      <x:c r="H260" s="20" t="n">
        <x:f>XLOOKUP(A260,'菜品日销量'!$A$5:$A$1124,'菜品日销量'!$G$5:$G$1124,0)</x:f>
        <x:v>52</x:v>
      </x:c>
      <x:c r="I260" s="20" t="n">
        <x:f>ROUNDUP(H260/2,0)</x:f>
        <x:v>26</x:v>
      </x:c>
      <x:c r="J260" s="22" t="n">
        <x:f>SUMIFS('菜谱BOM'!$F$5:$F$160,'菜谱BOM'!$A$5:$A$160,E260,'菜谱BOM'!$C$5:$C$160,"食材")</x:f>
        <x:v>550</x:v>
      </x:c>
      <x:c r="K260" s="38" t="n">
        <x:v>0.007532451398561813</x:v>
      </x:c>
      <x:c r="L260" s="35" t="n">
        <x:f>H260*J260*(1+K260)</x:f>
        <x:v>28815.428109998866</x:v>
      </x:c>
      <x:c r="M260" s="35" t="n">
        <x:f>SUMIFS('菜谱BOM'!$F$5:$F$160,'菜谱BOM'!$A$5:$A$160,E260,'菜谱BOM'!$C$5:$C$160,"调料")</x:f>
        <x:v>104</x:v>
      </x:c>
      <x:c r="N260" s="38" t="n">
        <x:v>-0.0002834622893211112</x:v>
      </x:c>
      <x:c r="O260" s="35" t="n">
        <x:f>H260*M260*(1+N260)</x:f>
        <x:v>5406.467035939351</x:v>
      </x:c>
      <x:c r="P260" s="19" t="str">
        <x:f>IF(ABS(N260)&gt;'封面与口径'!$O$25,"机器调料需复核",IF(ABS(K260)&gt;0.02,"人工称重需复核","正常"))</x:f>
        <x:v>正常</x:v>
      </x:c>
      <x:c r="Q260" s="19" t="str">
        <x:v>杨帆</x:v>
      </x:c>
    </x:row>
    <x:row r="261">
      <x:c r="A261" s="19" t="str">
        <x:v>2026-07-08|S03|D02</x:v>
      </x:c>
      <x:c r="B261" s="34" t="n">
        <x:v>46211.5</x:v>
      </x:c>
      <x:c r="C261" s="19" t="str">
        <x:v>S03</x:v>
      </x:c>
      <x:c r="D261" s="19" t="str">
        <x:v>铂悦城店</x:v>
      </x:c>
      <x:c r="E261" s="19" t="str">
        <x:v>D02</x:v>
      </x:c>
      <x:c r="F261" s="19" t="str">
        <x:v>小炒黄牛肉</x:v>
      </x:c>
      <x:c r="G261" s="19" t="str">
        <x:v>R2.3</x:v>
      </x:c>
      <x:c r="H261" s="20" t="n">
        <x:f>XLOOKUP(A261,'菜品日销量'!$A$5:$A$1124,'菜品日销量'!$G$5:$G$1124,0)</x:f>
        <x:v>33</x:v>
      </x:c>
      <x:c r="I261" s="20" t="n">
        <x:f>ROUNDUP(H261/2,0)</x:f>
        <x:v>17</x:v>
      </x:c>
      <x:c r="J261" s="22" t="n">
        <x:f>SUMIFS('菜谱BOM'!$F$5:$F$160,'菜谱BOM'!$A$5:$A$160,E261,'菜谱BOM'!$C$5:$C$160,"食材")</x:f>
        <x:v>560</x:v>
      </x:c>
      <x:c r="K261" s="38" t="n">
        <x:v>-0.0044183604634409675</x:v>
      </x:c>
      <x:c r="L261" s="35" t="n">
        <x:f>H261*J261*(1+K261)</x:f>
        <x:v>18398.34869863561</x:v>
      </x:c>
      <x:c r="M261" s="35" t="n">
        <x:f>SUMIFS('菜谱BOM'!$F$5:$F$160,'菜谱BOM'!$A$5:$A$160,E261,'菜谱BOM'!$C$5:$C$160,"调料")</x:f>
        <x:v>133</x:v>
      </x:c>
      <x:c r="N261" s="38" t="n">
        <x:v>-0.0006312246589528454</x:v>
      </x:c>
      <x:c r="O261" s="35" t="n">
        <x:f>H261*M261*(1+N261)</x:f>
        <x:v>4386.2295549718565</x:v>
      </x:c>
      <x:c r="P261" s="19" t="str">
        <x:f>IF(ABS(N261)&gt;'封面与口径'!$O$25,"机器调料需复核",IF(ABS(K261)&gt;0.02,"人工称重需复核","正常"))</x:f>
        <x:v>正常</x:v>
      </x:c>
      <x:c r="Q261" s="19" t="str">
        <x:v>杨帆</x:v>
      </x:c>
    </x:row>
    <x:row r="262">
      <x:c r="A262" s="19" t="str">
        <x:v>2026-07-08|S03|D03</x:v>
      </x:c>
      <x:c r="B262" s="34" t="n">
        <x:v>46211.5</x:v>
      </x:c>
      <x:c r="C262" s="19" t="str">
        <x:v>S03</x:v>
      </x:c>
      <x:c r="D262" s="19" t="str">
        <x:v>铂悦城店</x:v>
      </x:c>
      <x:c r="E262" s="19" t="str">
        <x:v>D03</x:v>
      </x:c>
      <x:c r="F262" s="19" t="str">
        <x:v>香醋炒蛋</x:v>
      </x:c>
      <x:c r="G262" s="19" t="str">
        <x:v>R1.0</x:v>
      </x:c>
      <x:c r="H262" s="20" t="n">
        <x:f>XLOOKUP(A262,'菜品日销量'!$A$5:$A$1124,'菜品日销量'!$G$5:$G$1124,0)</x:f>
        <x:v>43</x:v>
      </x:c>
      <x:c r="I262" s="20" t="n">
        <x:f>ROUNDUP(H262/2,0)</x:f>
        <x:v>22</x:v>
      </x:c>
      <x:c r="J262" s="22" t="n">
        <x:f>SUMIFS('菜谱BOM'!$F$5:$F$160,'菜谱BOM'!$A$5:$A$160,E262,'菜谱BOM'!$C$5:$C$160,"食材")</x:f>
        <x:v>300</x:v>
      </x:c>
      <x:c r="K262" s="38" t="n">
        <x:v>0.002222184403385544</x:v>
      </x:c>
      <x:c r="L262" s="35" t="n">
        <x:f>H262*J262*(1+K262)</x:f>
        <x:v>12928.666178803674</x:v>
      </x:c>
      <x:c r="M262" s="35" t="n">
        <x:f>SUMIFS('菜谱BOM'!$F$5:$F$160,'菜谱BOM'!$A$5:$A$160,E262,'菜谱BOM'!$C$5:$C$160,"调料")</x:f>
        <x:v>53</x:v>
      </x:c>
      <x:c r="N262" s="38" t="n">
        <x:v>-0.00194890348798337</x:v>
      </x:c>
      <x:c r="O262" s="35" t="n">
        <x:f>H262*M262*(1+N262)</x:f>
        <x:v>2274.558448950886</x:v>
      </x:c>
      <x:c r="P262" s="19" t="str">
        <x:f>IF(ABS(N262)&gt;'封面与口径'!$O$25,"机器调料需复核",IF(ABS(K262)&gt;0.02,"人工称重需复核","正常"))</x:f>
        <x:v>正常</x:v>
      </x:c>
      <x:c r="Q262" s="19" t="str">
        <x:v>杨帆</x:v>
      </x:c>
    </x:row>
    <x:row r="263">
      <x:c r="A263" s="19" t="str">
        <x:v>2026-07-08|S03|D04</x:v>
      </x:c>
      <x:c r="B263" s="34" t="n">
        <x:v>46211.5</x:v>
      </x:c>
      <x:c r="C263" s="19" t="str">
        <x:v>S03</x:v>
      </x:c>
      <x:c r="D263" s="19" t="str">
        <x:v>铂悦城店</x:v>
      </x:c>
      <x:c r="E263" s="19" t="str">
        <x:v>D04</x:v>
      </x:c>
      <x:c r="F263" s="19" t="str">
        <x:v>酸包菜炒粉皮</x:v>
      </x:c>
      <x:c r="G263" s="19" t="str">
        <x:v>R1.0</x:v>
      </x:c>
      <x:c r="H263" s="20" t="n">
        <x:f>XLOOKUP(A263,'菜品日销量'!$A$5:$A$1124,'菜品日销量'!$G$5:$G$1124,0)</x:f>
        <x:v>41</x:v>
      </x:c>
      <x:c r="I263" s="20" t="n">
        <x:f>ROUNDUP(H263/2,0)</x:f>
        <x:v>21</x:v>
      </x:c>
      <x:c r="J263" s="22" t="n">
        <x:f>SUMIFS('菜谱BOM'!$F$5:$F$160,'菜谱BOM'!$A$5:$A$160,E263,'菜谱BOM'!$C$5:$C$160,"食材")</x:f>
        <x:v>380</x:v>
      </x:c>
      <x:c r="K263" s="38" t="n">
        <x:v>-0.0009541377557800468</x:v>
      </x:c>
      <x:c r="L263" s="35" t="n">
        <x:f>H263*J263*(1+K263)</x:f>
        <x:v>15565.134533764947</x:v>
      </x:c>
      <x:c r="M263" s="35" t="n">
        <x:f>SUMIFS('菜谱BOM'!$F$5:$F$160,'菜谱BOM'!$A$5:$A$160,E263,'菜谱BOM'!$C$5:$C$160,"调料")</x:f>
        <x:v>47</x:v>
      </x:c>
      <x:c r="N263" s="38" t="n">
        <x:v>0.0005263771914239919</x:v>
      </x:c>
      <x:c r="O263" s="35" t="n">
        <x:f>H263*M263*(1+N263)</x:f>
        <x:v>1928.014328847874</x:v>
      </x:c>
      <x:c r="P263" s="19" t="str">
        <x:f>IF(ABS(N263)&gt;'封面与口径'!$O$25,"机器调料需复核",IF(ABS(K263)&gt;0.02,"人工称重需复核","正常"))</x:f>
        <x:v>正常</x:v>
      </x:c>
      <x:c r="Q263" s="19" t="str">
        <x:v>杨帆</x:v>
      </x:c>
    </x:row>
    <x:row r="264">
      <x:c r="A264" s="19" t="str">
        <x:v>2026-07-08|S03|D05</x:v>
      </x:c>
      <x:c r="B264" s="34" t="n">
        <x:v>46211.5</x:v>
      </x:c>
      <x:c r="C264" s="19" t="str">
        <x:v>S03</x:v>
      </x:c>
      <x:c r="D264" s="19" t="str">
        <x:v>铂悦城店</x:v>
      </x:c>
      <x:c r="E264" s="19" t="str">
        <x:v>D05</x:v>
      </x:c>
      <x:c r="F264" s="19" t="str">
        <x:v>麻婆豆腐</x:v>
      </x:c>
      <x:c r="G264" s="19" t="str">
        <x:v>R1.0</x:v>
      </x:c>
      <x:c r="H264" s="20" t="n">
        <x:f>XLOOKUP(A264,'菜品日销量'!$A$5:$A$1124,'菜品日销量'!$G$5:$G$1124,0)</x:f>
        <x:v>52</x:v>
      </x:c>
      <x:c r="I264" s="20" t="n">
        <x:f>ROUNDUP(H264/2,0)</x:f>
        <x:v>26</x:v>
      </x:c>
      <x:c r="J264" s="22" t="n">
        <x:f>SUMIFS('菜谱BOM'!$F$5:$F$160,'菜谱BOM'!$A$5:$A$160,E264,'菜谱BOM'!$C$5:$C$160,"食材")</x:f>
        <x:v>505</x:v>
      </x:c>
      <x:c r="K264" s="38" t="n">
        <x:v>-0.007494643341632245</x:v>
      </x:c>
      <x:c r="L264" s="35" t="n">
        <x:f>H264*J264*(1+K264)</x:f>
        <x:v>26063.19066584874</x:v>
      </x:c>
      <x:c r="M264" s="35" t="n">
        <x:f>SUMIFS('菜谱BOM'!$F$5:$F$160,'菜谱BOM'!$A$5:$A$160,E264,'菜谱BOM'!$C$5:$C$160,"调料")</x:f>
        <x:v>90</x:v>
      </x:c>
      <x:c r="N264" s="38" t="n">
        <x:v>0.00008898572672367688</x:v>
      </x:c>
      <x:c r="O264" s="35" t="n">
        <x:f>H264*M264*(1+N264)</x:f>
        <x:v>4680.416453201066</x:v>
      </x:c>
      <x:c r="P264" s="19" t="str">
        <x:f>IF(ABS(N264)&gt;'封面与口径'!$O$25,"机器调料需复核",IF(ABS(K264)&gt;0.02,"人工称重需复核","正常"))</x:f>
        <x:v>正常</x:v>
      </x:c>
      <x:c r="Q264" s="19" t="str">
        <x:v>杨帆</x:v>
      </x:c>
    </x:row>
    <x:row r="265">
      <x:c r="A265" s="19" t="str">
        <x:v>2026-07-08|S03|D07</x:v>
      </x:c>
      <x:c r="B265" s="34" t="n">
        <x:v>46211.5</x:v>
      </x:c>
      <x:c r="C265" s="19" t="str">
        <x:v>S03</x:v>
      </x:c>
      <x:c r="D265" s="19" t="str">
        <x:v>铂悦城店</x:v>
      </x:c>
      <x:c r="E265" s="19" t="str">
        <x:v>D07</x:v>
      </x:c>
      <x:c r="F265" s="19" t="str">
        <x:v>川味回锅肉</x:v>
      </x:c>
      <x:c r="G265" s="19" t="str">
        <x:v>R1.0</x:v>
      </x:c>
      <x:c r="H265" s="20" t="n">
        <x:f>XLOOKUP(A265,'菜品日销量'!$A$5:$A$1124,'菜品日销量'!$G$5:$G$1124,0)</x:f>
        <x:v>15</x:v>
      </x:c>
      <x:c r="I265" s="20" t="n">
        <x:f>ROUNDUP(H265/2,0)</x:f>
        <x:v>8</x:v>
      </x:c>
      <x:c r="J265" s="22" t="n">
        <x:f>SUMIFS('菜谱BOM'!$F$5:$F$160,'菜谱BOM'!$A$5:$A$160,E265,'菜谱BOM'!$C$5:$C$160,"食材")</x:f>
        <x:v>450</x:v>
      </x:c>
      <x:c r="K265" s="38" t="n">
        <x:v>-0.00702691218606823</x:v>
      </x:c>
      <x:c r="L265" s="35" t="n">
        <x:f>H265*J265*(1+K265)</x:f>
        <x:v>6702.56834274404</x:v>
      </x:c>
      <x:c r="M265" s="35" t="n">
        <x:f>SUMIFS('菜谱BOM'!$F$5:$F$160,'菜谱BOM'!$A$5:$A$160,E265,'菜谱BOM'!$C$5:$C$160,"调料")</x:f>
        <x:v>63</x:v>
      </x:c>
      <x:c r="N265" s="38" t="n">
        <x:v>-0.0016719373147170845</x:v>
      </x:c>
      <x:c r="O265" s="35" t="n">
        <x:f>H265*M265*(1+N265)</x:f>
        <x:v>943.4200192375924</x:v>
      </x:c>
      <x:c r="P265" s="19" t="str">
        <x:f>IF(ABS(N265)&gt;'封面与口径'!$O$25,"机器调料需复核",IF(ABS(K265)&gt;0.02,"人工称重需复核","正常"))</x:f>
        <x:v>正常</x:v>
      </x:c>
      <x:c r="Q265" s="19" t="str">
        <x:v>杨帆</x:v>
      </x:c>
    </x:row>
    <x:row r="266">
      <x:c r="A266" s="19" t="str">
        <x:v>2026-07-08|S03|D08</x:v>
      </x:c>
      <x:c r="B266" s="34" t="n">
        <x:v>46211.5</x:v>
      </x:c>
      <x:c r="C266" s="19" t="str">
        <x:v>S03</x:v>
      </x:c>
      <x:c r="D266" s="19" t="str">
        <x:v>铂悦城店</x:v>
      </x:c>
      <x:c r="E266" s="19" t="str">
        <x:v>D08</x:v>
      </x:c>
      <x:c r="F266" s="19" t="str">
        <x:v>生炒清远鸡</x:v>
      </x:c>
      <x:c r="G266" s="19" t="str">
        <x:v>R1.0</x:v>
      </x:c>
      <x:c r="H266" s="20" t="n">
        <x:f>XLOOKUP(A266,'菜品日销量'!$A$5:$A$1124,'菜品日销量'!$G$5:$G$1124,0)</x:f>
        <x:v>13</x:v>
      </x:c>
      <x:c r="I266" s="20" t="n">
        <x:f>ROUNDUP(H266/2,0)</x:f>
        <x:v>7</x:v>
      </x:c>
      <x:c r="J266" s="22" t="n">
        <x:f>SUMIFS('菜谱BOM'!$F$5:$F$160,'菜谱BOM'!$A$5:$A$160,E266,'菜谱BOM'!$C$5:$C$160,"食材")</x:f>
        <x:v>610</x:v>
      </x:c>
      <x:c r="K266" s="38" t="n">
        <x:v>-0.0013167698665793913</x:v>
      </x:c>
      <x:c r="L266" s="35" t="n">
        <x:f>H266*J266*(1+K266)</x:f>
        <x:v>7919.5580149580255</x:v>
      </x:c>
      <x:c r="M266" s="35" t="n">
        <x:f>SUMIFS('菜谱BOM'!$F$5:$F$160,'菜谱BOM'!$A$5:$A$160,E266,'菜谱BOM'!$C$5:$C$160,"调料")</x:f>
        <x:v>61</x:v>
      </x:c>
      <x:c r="N266" s="38" t="n">
        <x:v>-0.001023580512735895</x:v>
      </x:c>
      <x:c r="O266" s="35" t="n">
        <x:f>H266*M266*(1+N266)</x:f>
        <x:v>792.1883006534005</x:v>
      </x:c>
      <x:c r="P266" s="19" t="str">
        <x:f>IF(ABS(N266)&gt;'封面与口径'!$O$25,"机器调料需复核",IF(ABS(K266)&gt;0.02,"人工称重需复核","正常"))</x:f>
        <x:v>正常</x:v>
      </x:c>
      <x:c r="Q266" s="19" t="str">
        <x:v>杨帆</x:v>
      </x:c>
    </x:row>
    <x:row r="267">
      <x:c r="A267" s="19" t="str">
        <x:v>2026-07-08|S03|D09</x:v>
      </x:c>
      <x:c r="B267" s="34" t="n">
        <x:v>46211.5</x:v>
      </x:c>
      <x:c r="C267" s="19" t="str">
        <x:v>S03</x:v>
      </x:c>
      <x:c r="D267" s="19" t="str">
        <x:v>铂悦城店</x:v>
      </x:c>
      <x:c r="E267" s="19" t="str">
        <x:v>D09</x:v>
      </x:c>
      <x:c r="F267" s="19" t="str">
        <x:v>炒豆干</x:v>
      </x:c>
      <x:c r="G267" s="19" t="str">
        <x:v>R1.0</x:v>
      </x:c>
      <x:c r="H267" s="20" t="n">
        <x:f>XLOOKUP(A267,'菜品日销量'!$A$5:$A$1124,'菜品日销量'!$G$5:$G$1124,0)</x:f>
        <x:v>17</x:v>
      </x:c>
      <x:c r="I267" s="20" t="n">
        <x:f>ROUNDUP(H267/2,0)</x:f>
        <x:v>9</x:v>
      </x:c>
      <x:c r="J267" s="22" t="n">
        <x:f>SUMIFS('菜谱BOM'!$F$5:$F$160,'菜谱BOM'!$A$5:$A$160,E267,'菜谱BOM'!$C$5:$C$160,"食材")</x:f>
        <x:v>520</x:v>
      </x:c>
      <x:c r="K267" s="38" t="n">
        <x:v>-0.004133786643886424</x:v>
      </x:c>
      <x:c r="L267" s="35" t="n">
        <x:f>H267*J267*(1+K267)</x:f>
        <x:v>8803.457326068044</x:v>
      </x:c>
      <x:c r="M267" s="35" t="n">
        <x:f>SUMIFS('菜谱BOM'!$F$5:$F$160,'菜谱BOM'!$A$5:$A$160,E267,'菜谱BOM'!$C$5:$C$160,"调料")</x:f>
        <x:v>42</x:v>
      </x:c>
      <x:c r="N267" s="38" t="n">
        <x:v>0.00140574497436307</x:v>
      </x:c>
      <x:c r="O267" s="35" t="n">
        <x:f>H267*M267*(1+N267)</x:f>
        <x:v>715.0037019116952</x:v>
      </x:c>
      <x:c r="P267" s="19" t="str">
        <x:f>IF(ABS(N267)&gt;'封面与口径'!$O$25,"机器调料需复核",IF(ABS(K267)&gt;0.02,"人工称重需复核","正常"))</x:f>
        <x:v>正常</x:v>
      </x:c>
      <x:c r="Q267" s="19" t="str">
        <x:v>杨帆</x:v>
      </x:c>
    </x:row>
    <x:row r="268">
      <x:c r="A268" s="19" t="str">
        <x:v>2026-07-08|S03|D10</x:v>
      </x:c>
      <x:c r="B268" s="34" t="n">
        <x:v>46211.5</x:v>
      </x:c>
      <x:c r="C268" s="19" t="str">
        <x:v>S03</x:v>
      </x:c>
      <x:c r="D268" s="19" t="str">
        <x:v>铂悦城店</x:v>
      </x:c>
      <x:c r="E268" s="19" t="str">
        <x:v>D10</x:v>
      </x:c>
      <x:c r="F268" s="19" t="str">
        <x:v>农家一碗香</x:v>
      </x:c>
      <x:c r="G268" s="19" t="str">
        <x:v>R2.3</x:v>
      </x:c>
      <x:c r="H268" s="20" t="n">
        <x:f>XLOOKUP(A268,'菜品日销量'!$A$5:$A$1124,'菜品日销量'!$G$5:$G$1124,0)</x:f>
        <x:v>17</x:v>
      </x:c>
      <x:c r="I268" s="20" t="n">
        <x:f>ROUNDUP(H268/2,0)</x:f>
        <x:v>9</x:v>
      </x:c>
      <x:c r="J268" s="22" t="n">
        <x:f>SUMIFS('菜谱BOM'!$F$5:$F$160,'菜谱BOM'!$A$5:$A$160,E268,'菜谱BOM'!$C$5:$C$160,"食材")</x:f>
        <x:v>510</x:v>
      </x:c>
      <x:c r="K268" s="38" t="n">
        <x:v>-0.0029677105273510592</x:v>
      </x:c>
      <x:c r="L268" s="35" t="n">
        <x:f>H268*J268*(1+K268)</x:f>
        <x:v>8644.269949727866</x:v>
      </x:c>
      <x:c r="M268" s="35" t="n">
        <x:f>SUMIFS('菜谱BOM'!$F$5:$F$160,'菜谱BOM'!$A$5:$A$160,E268,'菜谱BOM'!$C$5:$C$160,"调料")</x:f>
        <x:v>88</x:v>
      </x:c>
      <x:c r="N268" s="38" t="n">
        <x:v>-0.0008308445938934677</x:v>
      </x:c>
      <x:c r="O268" s="35" t="n">
        <x:f>H268*M268*(1+N268)</x:f>
        <x:v>1494.7570564875352</x:v>
      </x:c>
      <x:c r="P268" s="19" t="str">
        <x:f>IF(ABS(N268)&gt;'封面与口径'!$O$25,"机器调料需复核",IF(ABS(K268)&gt;0.02,"人工称重需复核","正常"))</x:f>
        <x:v>正常</x:v>
      </x:c>
      <x:c r="Q268" s="19" t="str">
        <x:v>杨帆</x:v>
      </x:c>
    </x:row>
    <x:row r="269">
      <x:c r="A269" s="19" t="str">
        <x:v>2026-07-08|S03|D11</x:v>
      </x:c>
      <x:c r="B269" s="34" t="n">
        <x:v>46211.5</x:v>
      </x:c>
      <x:c r="C269" s="19" t="str">
        <x:v>S03</x:v>
      </x:c>
      <x:c r="D269" s="19" t="str">
        <x:v>铂悦城店</x:v>
      </x:c>
      <x:c r="E269" s="19" t="str">
        <x:v>D11</x:v>
      </x:c>
      <x:c r="F269" s="19" t="str">
        <x:v>香辣爆肥肠</x:v>
      </x:c>
      <x:c r="G269" s="19" t="str">
        <x:v>R1.0</x:v>
      </x:c>
      <x:c r="H269" s="20" t="n">
        <x:f>XLOOKUP(A269,'菜品日销量'!$A$5:$A$1124,'菜品日销量'!$G$5:$G$1124,0)</x:f>
        <x:v>7</x:v>
      </x:c>
      <x:c r="I269" s="20" t="n">
        <x:f>ROUNDUP(H269/2,0)</x:f>
        <x:v>4</x:v>
      </x:c>
      <x:c r="J269" s="22" t="n">
        <x:f>SUMIFS('菜谱BOM'!$F$5:$F$160,'菜谱BOM'!$A$5:$A$160,E269,'菜谱BOM'!$C$5:$C$160,"食材")</x:f>
        <x:v>430</x:v>
      </x:c>
      <x:c r="K269" s="38" t="n">
        <x:v>-0.0076102076246426925</x:v>
      </x:c>
      <x:c r="L269" s="35" t="n">
        <x:f>H269*J269*(1+K269)</x:f>
        <x:v>2987.0932750498255</x:v>
      </x:c>
      <x:c r="M269" s="35" t="n">
        <x:f>SUMIFS('菜谱BOM'!$F$5:$F$160,'菜谱BOM'!$A$5:$A$160,E269,'菜谱BOM'!$C$5:$C$160,"调料")</x:f>
        <x:v>67</x:v>
      </x:c>
      <x:c r="N269" s="38" t="n">
        <x:v>-0.001937215575002417</x:v>
      </x:c>
      <x:c r="O269" s="35" t="n">
        <x:f>H269*M269*(1+N269)</x:f>
        <x:v>468.0914458953239</x:v>
      </x:c>
      <x:c r="P269" s="19" t="str">
        <x:f>IF(ABS(N269)&gt;'封面与口径'!$O$25,"机器调料需复核",IF(ABS(K269)&gt;0.02,"人工称重需复核","正常"))</x:f>
        <x:v>正常</x:v>
      </x:c>
      <x:c r="Q269" s="19" t="str">
        <x:v>杨帆</x:v>
      </x:c>
    </x:row>
    <x:row r="270">
      <x:c r="A270" s="19" t="str">
        <x:v>2026-07-08|S03|D13</x:v>
      </x:c>
      <x:c r="B270" s="34" t="n">
        <x:v>46211.5</x:v>
      </x:c>
      <x:c r="C270" s="19" t="str">
        <x:v>S03</x:v>
      </x:c>
      <x:c r="D270" s="19" t="str">
        <x:v>铂悦城店</x:v>
      </x:c>
      <x:c r="E270" s="19" t="str">
        <x:v>D13</x:v>
      </x:c>
      <x:c r="F270" s="19" t="str">
        <x:v>外婆菜炒蛋</x:v>
      </x:c>
      <x:c r="G270" s="19" t="str">
        <x:v>R1.0</x:v>
      </x:c>
      <x:c r="H270" s="20" t="n">
        <x:f>XLOOKUP(A270,'菜品日销量'!$A$5:$A$1124,'菜品日销量'!$G$5:$G$1124,0)</x:f>
        <x:v>17</x:v>
      </x:c>
      <x:c r="I270" s="20" t="n">
        <x:f>ROUNDUP(H270/2,0)</x:f>
        <x:v>9</x:v>
      </x:c>
      <x:c r="J270" s="22" t="n">
        <x:f>SUMIFS('菜谱BOM'!$F$5:$F$160,'菜谱BOM'!$A$5:$A$160,E270,'菜谱BOM'!$C$5:$C$160,"食材")</x:f>
        <x:v>450</x:v>
      </x:c>
      <x:c r="K270" s="38" t="n">
        <x:v>-0.003164011015362109</x:v>
      </x:c>
      <x:c r="L270" s="35" t="n">
        <x:f>H270*J270*(1+K270)</x:f>
        <x:v>7625.79531573248</x:v>
      </x:c>
      <x:c r="M270" s="35" t="n">
        <x:f>SUMIFS('菜谱BOM'!$F$5:$F$160,'菜谱BOM'!$A$5:$A$160,E270,'菜谱BOM'!$C$5:$C$160,"调料")</x:f>
        <x:v>37</x:v>
      </x:c>
      <x:c r="N270" s="38" t="n">
        <x:v>-0.0019357734275832247</x:v>
      </x:c>
      <x:c r="O270" s="35" t="n">
        <x:f>H270*M270*(1+N270)</x:f>
        <x:v>627.7823985140501</x:v>
      </x:c>
      <x:c r="P270" s="19" t="str">
        <x:f>IF(ABS(N270)&gt;'封面与口径'!$O$25,"机器调料需复核",IF(ABS(K270)&gt;0.02,"人工称重需复核","正常"))</x:f>
        <x:v>正常</x:v>
      </x:c>
      <x:c r="Q270" s="19" t="str">
        <x:v>杨帆</x:v>
      </x:c>
    </x:row>
    <x:row r="271">
      <x:c r="A271" s="19" t="str">
        <x:v>2026-07-08|S03|D14</x:v>
      </x:c>
      <x:c r="B271" s="34" t="n">
        <x:v>46211.5</x:v>
      </x:c>
      <x:c r="C271" s="19" t="str">
        <x:v>S03</x:v>
      </x:c>
      <x:c r="D271" s="19" t="str">
        <x:v>铂悦城店</x:v>
      </x:c>
      <x:c r="E271" s="19" t="str">
        <x:v>D14</x:v>
      </x:c>
      <x:c r="F271" s="19" t="str">
        <x:v>酸辣鸡杂</x:v>
      </x:c>
      <x:c r="G271" s="19" t="str">
        <x:v>R1.0</x:v>
      </x:c>
      <x:c r="H271" s="20" t="n">
        <x:f>XLOOKUP(A271,'菜品日销量'!$A$5:$A$1124,'菜品日销量'!$G$5:$G$1124,0)</x:f>
        <x:v>8</x:v>
      </x:c>
      <x:c r="I271" s="20" t="n">
        <x:f>ROUNDUP(H271/2,0)</x:f>
        <x:v>4</x:v>
      </x:c>
      <x:c r="J271" s="22" t="n">
        <x:f>SUMIFS('菜谱BOM'!$F$5:$F$160,'菜谱BOM'!$A$5:$A$160,E271,'菜谱BOM'!$C$5:$C$160,"食材")</x:f>
        <x:v>470</x:v>
      </x:c>
      <x:c r="K271" s="38" t="n">
        <x:v>0.0027042645650692896</x:v>
      </x:c>
      <x:c r="L271" s="35" t="n">
        <x:f>H271*J271*(1+K271)</x:f>
        <x:v>3770.16803476466</x:v>
      </x:c>
      <x:c r="M271" s="35" t="n">
        <x:f>SUMIFS('菜谱BOM'!$F$5:$F$160,'菜谱BOM'!$A$5:$A$160,E271,'菜谱BOM'!$C$5:$C$160,"调料")</x:f>
        <x:v>60</x:v>
      </x:c>
      <x:c r="N271" s="38" t="n">
        <x:v>0.0014672228981431625</x:v>
      </x:c>
      <x:c r="O271" s="35" t="n">
        <x:f>H271*M271*(1+N271)</x:f>
        <x:v>480.70426699110874</x:v>
      </x:c>
      <x:c r="P271" s="19" t="str">
        <x:f>IF(ABS(N271)&gt;'封面与口径'!$O$25,"机器调料需复核",IF(ABS(K271)&gt;0.02,"人工称重需复核","正常"))</x:f>
        <x:v>正常</x:v>
      </x:c>
      <x:c r="Q271" s="19" t="str">
        <x:v>杨帆</x:v>
      </x:c>
    </x:row>
    <x:row r="272">
      <x:c r="A272" s="19" t="str">
        <x:v>2026-07-08|S03|D15</x:v>
      </x:c>
      <x:c r="B272" s="34" t="n">
        <x:v>46211.5</x:v>
      </x:c>
      <x:c r="C272" s="19" t="str">
        <x:v>S03</x:v>
      </x:c>
      <x:c r="D272" s="19" t="str">
        <x:v>铂悦城店</x:v>
      </x:c>
      <x:c r="E272" s="19" t="str">
        <x:v>D15</x:v>
      </x:c>
      <x:c r="F272" s="19" t="str">
        <x:v>湘西土匪猪肝</x:v>
      </x:c>
      <x:c r="G272" s="19" t="str">
        <x:v>R1.0</x:v>
      </x:c>
      <x:c r="H272" s="20" t="n">
        <x:f>XLOOKUP(A272,'菜品日销量'!$A$5:$A$1124,'菜品日销量'!$G$5:$G$1124,0)</x:f>
        <x:v>7</x:v>
      </x:c>
      <x:c r="I272" s="20" t="n">
        <x:f>ROUNDUP(H272/2,0)</x:f>
        <x:v>4</x:v>
      </x:c>
      <x:c r="J272" s="22" t="n">
        <x:f>SUMIFS('菜谱BOM'!$F$5:$F$160,'菜谱BOM'!$A$5:$A$160,E272,'菜谱BOM'!$C$5:$C$160,"食材")</x:f>
        <x:v>470</x:v>
      </x:c>
      <x:c r="K272" s="38" t="n">
        <x:v>0.004937128017874697</x:v>
      </x:c>
      <x:c r="L272" s="35" t="n">
        <x:f>H272*J272*(1+K272)</x:f>
        <x:v>3306.2431511788077</x:v>
      </x:c>
      <x:c r="M272" s="35" t="n">
        <x:f>SUMIFS('菜谱BOM'!$F$5:$F$160,'菜谱BOM'!$A$5:$A$160,E272,'菜谱BOM'!$C$5:$C$160,"调料")</x:f>
        <x:v>49</x:v>
      </x:c>
      <x:c r="N272" s="38" t="n">
        <x:v>-0.0011764730334227144</x:v>
      </x:c>
      <x:c r="O272" s="35" t="n">
        <x:f>H272*M272*(1+N272)</x:f>
        <x:v>342.596469749536</x:v>
      </x:c>
      <x:c r="P272" s="19" t="str">
        <x:f>IF(ABS(N272)&gt;'封面与口径'!$O$25,"机器调料需复核",IF(ABS(K272)&gt;0.02,"人工称重需复核","正常"))</x:f>
        <x:v>正常</x:v>
      </x:c>
      <x:c r="Q272" s="19" t="str">
        <x:v>杨帆</x:v>
      </x:c>
    </x:row>
    <x:row r="273">
      <x:c r="A273" s="19" t="str">
        <x:v>2026-07-08|S03|D16</x:v>
      </x:c>
      <x:c r="B273" s="34" t="n">
        <x:v>46211.5</x:v>
      </x:c>
      <x:c r="C273" s="19" t="str">
        <x:v>S03</x:v>
      </x:c>
      <x:c r="D273" s="19" t="str">
        <x:v>铂悦城店</x:v>
      </x:c>
      <x:c r="E273" s="19" t="str">
        <x:v>D16</x:v>
      </x:c>
      <x:c r="F273" s="19" t="str">
        <x:v>小豆角炒五花</x:v>
      </x:c>
      <x:c r="G273" s="19" t="str">
        <x:v>R1.0</x:v>
      </x:c>
      <x:c r="H273" s="20" t="n">
        <x:f>XLOOKUP(A273,'菜品日销量'!$A$5:$A$1124,'菜品日销量'!$G$5:$G$1124,0)</x:f>
        <x:v>8</x:v>
      </x:c>
      <x:c r="I273" s="20" t="n">
        <x:f>ROUNDUP(H273/2,0)</x:f>
        <x:v>4</x:v>
      </x:c>
      <x:c r="J273" s="22" t="n">
        <x:f>SUMIFS('菜谱BOM'!$F$5:$F$160,'菜谱BOM'!$A$5:$A$160,E273,'菜谱BOM'!$C$5:$C$160,"食材")</x:f>
        <x:v>450</x:v>
      </x:c>
      <x:c r="K273" s="38" t="n">
        <x:v>0.007876545853884087</x:v>
      </x:c>
      <x:c r="L273" s="35" t="n">
        <x:f>H273*J273*(1+K273)</x:f>
        <x:v>3628.3555650739827</x:v>
      </x:c>
      <x:c r="M273" s="35" t="n">
        <x:f>SUMIFS('菜谱BOM'!$F$5:$F$160,'菜谱BOM'!$A$5:$A$160,E273,'菜谱BOM'!$C$5:$C$160,"调料")</x:f>
        <x:v>42</x:v>
      </x:c>
      <x:c r="N273" s="38" t="n">
        <x:v>-0.000867335904125901</x:v>
      </x:c>
      <x:c r="O273" s="35" t="n">
        <x:f>H273*M273*(1+N273)</x:f>
        <x:v>335.7085751362137</x:v>
      </x:c>
      <x:c r="P273" s="19" t="str">
        <x:f>IF(ABS(N273)&gt;'封面与口径'!$O$25,"机器调料需复核",IF(ABS(K273)&gt;0.02,"人工称重需复核","正常"))</x:f>
        <x:v>正常</x:v>
      </x:c>
      <x:c r="Q273" s="19" t="str">
        <x:v>杨帆</x:v>
      </x:c>
    </x:row>
    <x:row r="274">
      <x:c r="A274" s="19" t="str">
        <x:v>2026-07-08|S03|D18</x:v>
      </x:c>
      <x:c r="B274" s="34" t="n">
        <x:v>46211.5</x:v>
      </x:c>
      <x:c r="C274" s="19" t="str">
        <x:v>S03</x:v>
      </x:c>
      <x:c r="D274" s="19" t="str">
        <x:v>铂悦城店</x:v>
      </x:c>
      <x:c r="E274" s="19" t="str">
        <x:v>D18</x:v>
      </x:c>
      <x:c r="F274" s="19" t="str">
        <x:v>青椒炒油麦菜</x:v>
      </x:c>
      <x:c r="G274" s="19" t="str">
        <x:v>R1.0</x:v>
      </x:c>
      <x:c r="H274" s="20" t="n">
        <x:f>XLOOKUP(A274,'菜品日销量'!$A$5:$A$1124,'菜品日销量'!$G$5:$G$1124,0)</x:f>
        <x:v>8</x:v>
      </x:c>
      <x:c r="I274" s="20" t="n">
        <x:f>ROUNDUP(H274/2,0)</x:f>
        <x:v>4</x:v>
      </x:c>
      <x:c r="J274" s="22" t="n">
        <x:f>SUMIFS('菜谱BOM'!$F$5:$F$160,'菜谱BOM'!$A$5:$A$160,E274,'菜谱BOM'!$C$5:$C$160,"食材")</x:f>
        <x:v>430</x:v>
      </x:c>
      <x:c r="K274" s="38" t="n">
        <x:v>-0.0006281408091606897</x:v>
      </x:c>
      <x:c r="L274" s="35" t="n">
        <x:f>H274*J274*(1+K274)</x:f>
        <x:v>3437.839195616487</x:v>
      </x:c>
      <x:c r="M274" s="35" t="n">
        <x:f>SUMIFS('菜谱BOM'!$F$5:$F$160,'菜谱BOM'!$A$5:$A$160,E274,'菜谱BOM'!$C$5:$C$160,"调料")</x:f>
        <x:v>33</x:v>
      </x:c>
      <x:c r="N274" s="38" t="n">
        <x:v>-0.0011459070199974595</x:v>
      </x:c>
      <x:c r="O274" s="35" t="n">
        <x:f>H274*M274*(1+N274)</x:f>
        <x:v>263.69748054672067</x:v>
      </x:c>
      <x:c r="P274" s="19" t="str">
        <x:f>IF(ABS(N274)&gt;'封面与口径'!$O$25,"机器调料需复核",IF(ABS(K274)&gt;0.02,"人工称重需复核","正常"))</x:f>
        <x:v>正常</x:v>
      </x:c>
      <x:c r="Q274" s="19" t="str">
        <x:v>杨帆</x:v>
      </x:c>
    </x:row>
    <x:row r="275">
      <x:c r="A275" s="19" t="str">
        <x:v>2026-07-08|S03|D19</x:v>
      </x:c>
      <x:c r="B275" s="34" t="n">
        <x:v>46211.5</x:v>
      </x:c>
      <x:c r="C275" s="19" t="str">
        <x:v>S03</x:v>
      </x:c>
      <x:c r="D275" s="19" t="str">
        <x:v>铂悦城店</x:v>
      </x:c>
      <x:c r="E275" s="19" t="str">
        <x:v>D19</x:v>
      </x:c>
      <x:c r="F275" s="19" t="str">
        <x:v>酸萝卜炒鸡杂</x:v>
      </x:c>
      <x:c r="G275" s="19" t="str">
        <x:v>R1.0</x:v>
      </x:c>
      <x:c r="H275" s="20" t="n">
        <x:f>XLOOKUP(A275,'菜品日销量'!$A$5:$A$1124,'菜品日销量'!$G$5:$G$1124,0)</x:f>
        <x:v>6</x:v>
      </x:c>
      <x:c r="I275" s="20" t="n">
        <x:f>ROUNDUP(H275/2,0)</x:f>
        <x:v>3</x:v>
      </x:c>
      <x:c r="J275" s="22" t="n">
        <x:f>SUMIFS('菜谱BOM'!$F$5:$F$160,'菜谱BOM'!$A$5:$A$160,E275,'菜谱BOM'!$C$5:$C$160,"食材")</x:f>
        <x:v>500</x:v>
      </x:c>
      <x:c r="K275" s="38" t="n">
        <x:v>-0.004231890833990623</x:v>
      </x:c>
      <x:c r="L275" s="35" t="n">
        <x:f>H275*J275*(1+K275)</x:f>
        <x:v>2987.304327498028</x:v>
      </x:c>
      <x:c r="M275" s="35" t="n">
        <x:f>SUMIFS('菜谱BOM'!$F$5:$F$160,'菜谱BOM'!$A$5:$A$160,E275,'菜谱BOM'!$C$5:$C$160,"调料")</x:f>
        <x:v>55</x:v>
      </x:c>
      <x:c r="N275" s="38" t="n">
        <x:v>-0.00029199901276547437</x:v>
      </x:c>
      <x:c r="O275" s="35" t="n">
        <x:f>H275*M275*(1+N275)</x:f>
        <x:v>329.9036403257874</x:v>
      </x:c>
      <x:c r="P275" s="19" t="str">
        <x:f>IF(ABS(N275)&gt;'封面与口径'!$O$25,"机器调料需复核",IF(ABS(K275)&gt;0.02,"人工称重需复核","正常"))</x:f>
        <x:v>正常</x:v>
      </x:c>
      <x:c r="Q275" s="19" t="str">
        <x:v>杨帆</x:v>
      </x:c>
    </x:row>
    <x:row r="276">
      <x:c r="A276" s="19" t="str">
        <x:v>2026-07-08|S03|D20</x:v>
      </x:c>
      <x:c r="B276" s="34" t="n">
        <x:v>46211.5</x:v>
      </x:c>
      <x:c r="C276" s="19" t="str">
        <x:v>S03</x:v>
      </x:c>
      <x:c r="D276" s="19" t="str">
        <x:v>铂悦城店</x:v>
      </x:c>
      <x:c r="E276" s="19" t="str">
        <x:v>D20</x:v>
      </x:c>
      <x:c r="F276" s="19" t="str">
        <x:v>雪菜肉末青豆</x:v>
      </x:c>
      <x:c r="G276" s="19" t="str">
        <x:v>R1.0</x:v>
      </x:c>
      <x:c r="H276" s="20" t="n">
        <x:f>XLOOKUP(A276,'菜品日销量'!$A$5:$A$1124,'菜品日销量'!$G$5:$G$1124,0)</x:f>
        <x:v>9</x:v>
      </x:c>
      <x:c r="I276" s="20" t="n">
        <x:f>ROUNDUP(H276/2,0)</x:f>
        <x:v>5</x:v>
      </x:c>
      <x:c r="J276" s="22" t="n">
        <x:f>SUMIFS('菜谱BOM'!$F$5:$F$160,'菜谱BOM'!$A$5:$A$160,E276,'菜谱BOM'!$C$5:$C$160,"食材")</x:f>
        <x:v>465</x:v>
      </x:c>
      <x:c r="K276" s="38" t="n">
        <x:v>-0.002685139096035887</x:v>
      </x:c>
      <x:c r="L276" s="35" t="n">
        <x:f>H276*J276*(1+K276)</x:f>
        <x:v>4173.76269288309</x:v>
      </x:c>
      <x:c r="M276" s="35" t="n">
        <x:f>SUMIFS('菜谱BOM'!$F$5:$F$160,'菜谱BOM'!$A$5:$A$160,E276,'菜谱BOM'!$C$5:$C$160,"调料")</x:f>
        <x:v>32</x:v>
      </x:c>
      <x:c r="N276" s="38" t="n">
        <x:v>-0.00047474500594538285</x:v>
      </x:c>
      <x:c r="O276" s="35" t="n">
        <x:f>H276*M276*(1+N276)</x:f>
        <x:v>287.86327343828776</x:v>
      </x:c>
      <x:c r="P276" s="19" t="str">
        <x:f>IF(ABS(N276)&gt;'封面与口径'!$O$25,"机器调料需复核",IF(ABS(K276)&gt;0.02,"人工称重需复核","正常"))</x:f>
        <x:v>正常</x:v>
      </x:c>
      <x:c r="Q276" s="19" t="str">
        <x:v>杨帆</x:v>
      </x:c>
    </x:row>
    <x:row r="277">
      <x:c r="A277" s="19" t="str">
        <x:v>2026-07-09|S03|D01</x:v>
      </x:c>
      <x:c r="B277" s="34" t="n">
        <x:v>46212.5</x:v>
      </x:c>
      <x:c r="C277" s="19" t="str">
        <x:v>S03</x:v>
      </x:c>
      <x:c r="D277" s="19" t="str">
        <x:v>铂悦城店</x:v>
      </x:c>
      <x:c r="E277" s="19" t="str">
        <x:v>D01</x:v>
      </x:c>
      <x:c r="F277" s="19" t="str">
        <x:v>辣椒炒肉</x:v>
      </x:c>
      <x:c r="G277" s="19" t="str">
        <x:v>R2.3</x:v>
      </x:c>
      <x:c r="H277" s="20" t="n">
        <x:f>XLOOKUP(A277,'菜品日销量'!$A$5:$A$1124,'菜品日销量'!$G$5:$G$1124,0)</x:f>
        <x:v>51</x:v>
      </x:c>
      <x:c r="I277" s="20" t="n">
        <x:f>ROUNDUP(H277/2,0)</x:f>
        <x:v>26</x:v>
      </x:c>
      <x:c r="J277" s="22" t="n">
        <x:f>SUMIFS('菜谱BOM'!$F$5:$F$160,'菜谱BOM'!$A$5:$A$160,E277,'菜谱BOM'!$C$5:$C$160,"食材")</x:f>
        <x:v>550</x:v>
      </x:c>
      <x:c r="K277" s="38" t="n">
        <x:v>-0.007095711946276881</x:v>
      </x:c>
      <x:c r="L277" s="35" t="n">
        <x:f>H277*J277*(1+K277)</x:f>
        <x:v>27850.965279906934</x:v>
      </x:c>
      <x:c r="M277" s="35" t="n">
        <x:f>SUMIFS('菜谱BOM'!$F$5:$F$160,'菜谱BOM'!$A$5:$A$160,E277,'菜谱BOM'!$C$5:$C$160,"调料")</x:f>
        <x:v>104</x:v>
      </x:c>
      <x:c r="N277" s="38" t="n">
        <x:v>-0.000508627011093457</x:v>
      </x:c>
      <x:c r="O277" s="35" t="n">
        <x:f>H277*M277*(1+N277)</x:f>
        <x:v>5301.30224233316</x:v>
      </x:c>
      <x:c r="P277" s="19" t="str">
        <x:f>IF(ABS(N277)&gt;'封面与口径'!$O$25,"机器调料需复核",IF(ABS(K277)&gt;0.02,"人工称重需复核","正常"))</x:f>
        <x:v>正常</x:v>
      </x:c>
      <x:c r="Q277" s="19" t="str">
        <x:v>杨帆</x:v>
      </x:c>
    </x:row>
    <x:row r="278">
      <x:c r="A278" s="19" t="str">
        <x:v>2026-07-09|S03|D02</x:v>
      </x:c>
      <x:c r="B278" s="34" t="n">
        <x:v>46212.5</x:v>
      </x:c>
      <x:c r="C278" s="19" t="str">
        <x:v>S03</x:v>
      </x:c>
      <x:c r="D278" s="19" t="str">
        <x:v>铂悦城店</x:v>
      </x:c>
      <x:c r="E278" s="19" t="str">
        <x:v>D02</x:v>
      </x:c>
      <x:c r="F278" s="19" t="str">
        <x:v>小炒黄牛肉</x:v>
      </x:c>
      <x:c r="G278" s="19" t="str">
        <x:v>R2.3</x:v>
      </x:c>
      <x:c r="H278" s="20" t="n">
        <x:f>XLOOKUP(A278,'菜品日销量'!$A$5:$A$1124,'菜品日销量'!$G$5:$G$1124,0)</x:f>
        <x:v>33</x:v>
      </x:c>
      <x:c r="I278" s="20" t="n">
        <x:f>ROUNDUP(H278/2,0)</x:f>
        <x:v>17</x:v>
      </x:c>
      <x:c r="J278" s="22" t="n">
        <x:f>SUMIFS('菜谱BOM'!$F$5:$F$160,'菜谱BOM'!$A$5:$A$160,E278,'菜谱BOM'!$C$5:$C$160,"食材")</x:f>
        <x:v>560</x:v>
      </x:c>
      <x:c r="K278" s="38" t="n">
        <x:v>0.0003851468992384959</x:v>
      </x:c>
      <x:c r="L278" s="35" t="n">
        <x:f>H278*J278*(1+K278)</x:f>
        <x:v>18487.117514697926</x:v>
      </x:c>
      <x:c r="M278" s="35" t="n">
        <x:f>SUMIFS('菜谱BOM'!$F$5:$F$160,'菜谱BOM'!$A$5:$A$160,E278,'菜谱BOM'!$C$5:$C$160,"调料")</x:f>
        <x:v>133</x:v>
      </x:c>
      <x:c r="N278" s="38" t="n">
        <x:v>-0.0004777441635908895</x:v>
      </x:c>
      <x:c r="O278" s="35" t="n">
        <x:f>H278*M278*(1+N278)</x:f>
        <x:v>4386.903180865999</x:v>
      </x:c>
      <x:c r="P278" s="19" t="str">
        <x:f>IF(ABS(N278)&gt;'封面与口径'!$O$25,"机器调料需复核",IF(ABS(K278)&gt;0.02,"人工称重需复核","正常"))</x:f>
        <x:v>正常</x:v>
      </x:c>
      <x:c r="Q278" s="19" t="str">
        <x:v>杨帆</x:v>
      </x:c>
    </x:row>
    <x:row r="279">
      <x:c r="A279" s="19" t="str">
        <x:v>2026-07-09|S03|D03</x:v>
      </x:c>
      <x:c r="B279" s="34" t="n">
        <x:v>46212.5</x:v>
      </x:c>
      <x:c r="C279" s="19" t="str">
        <x:v>S03</x:v>
      </x:c>
      <x:c r="D279" s="19" t="str">
        <x:v>铂悦城店</x:v>
      </x:c>
      <x:c r="E279" s="19" t="str">
        <x:v>D03</x:v>
      </x:c>
      <x:c r="F279" s="19" t="str">
        <x:v>香醋炒蛋</x:v>
      </x:c>
      <x:c r="G279" s="19" t="str">
        <x:v>R1.0</x:v>
      </x:c>
      <x:c r="H279" s="20" t="n">
        <x:f>XLOOKUP(A279,'菜品日销量'!$A$5:$A$1124,'菜品日销量'!$G$5:$G$1124,0)</x:f>
        <x:v>40</x:v>
      </x:c>
      <x:c r="I279" s="20" t="n">
        <x:f>ROUNDUP(H279/2,0)</x:f>
        <x:v>20</x:v>
      </x:c>
      <x:c r="J279" s="22" t="n">
        <x:f>SUMIFS('菜谱BOM'!$F$5:$F$160,'菜谱BOM'!$A$5:$A$160,E279,'菜谱BOM'!$C$5:$C$160,"食材")</x:f>
        <x:v>300</x:v>
      </x:c>
      <x:c r="K279" s="38" t="n">
        <x:v>0.005552478622075281</x:v>
      </x:c>
      <x:c r="L279" s="35" t="n">
        <x:f>H279*J279*(1+K279)</x:f>
        <x:v>12066.629743464904</x:v>
      </x:c>
      <x:c r="M279" s="35" t="n">
        <x:f>SUMIFS('菜谱BOM'!$F$5:$F$160,'菜谱BOM'!$A$5:$A$160,E279,'菜谱BOM'!$C$5:$C$160,"调料")</x:f>
        <x:v>53</x:v>
      </x:c>
      <x:c r="N279" s="38" t="n">
        <x:v>0.0008786559884619565</x:v>
      </x:c>
      <x:c r="O279" s="35" t="n">
        <x:f>H279*M279*(1+N279)</x:f>
        <x:v>2121.8627506955395</x:v>
      </x:c>
      <x:c r="P279" s="19" t="str">
        <x:f>IF(ABS(N279)&gt;'封面与口径'!$O$25,"机器调料需复核",IF(ABS(K279)&gt;0.02,"人工称重需复核","正常"))</x:f>
        <x:v>正常</x:v>
      </x:c>
      <x:c r="Q279" s="19" t="str">
        <x:v>杨帆</x:v>
      </x:c>
    </x:row>
    <x:row r="280">
      <x:c r="A280" s="19" t="str">
        <x:v>2026-07-09|S03|D04</x:v>
      </x:c>
      <x:c r="B280" s="34" t="n">
        <x:v>46212.5</x:v>
      </x:c>
      <x:c r="C280" s="19" t="str">
        <x:v>S03</x:v>
      </x:c>
      <x:c r="D280" s="19" t="str">
        <x:v>铂悦城店</x:v>
      </x:c>
      <x:c r="E280" s="19" t="str">
        <x:v>D04</x:v>
      </x:c>
      <x:c r="F280" s="19" t="str">
        <x:v>酸包菜炒粉皮</x:v>
      </x:c>
      <x:c r="G280" s="19" t="str">
        <x:v>R1.0</x:v>
      </x:c>
      <x:c r="H280" s="20" t="n">
        <x:f>XLOOKUP(A280,'菜品日销量'!$A$5:$A$1124,'菜品日销量'!$G$5:$G$1124,0)</x:f>
        <x:v>37</x:v>
      </x:c>
      <x:c r="I280" s="20" t="n">
        <x:f>ROUNDUP(H280/2,0)</x:f>
        <x:v>19</x:v>
      </x:c>
      <x:c r="J280" s="22" t="n">
        <x:f>SUMIFS('菜谱BOM'!$F$5:$F$160,'菜谱BOM'!$A$5:$A$160,E280,'菜谱BOM'!$C$5:$C$160,"食材")</x:f>
        <x:v>380</x:v>
      </x:c>
      <x:c r="K280" s="38" t="n">
        <x:v>-0.006027168105828382</x:v>
      </x:c>
      <x:c r="L280" s="35" t="n">
        <x:f>H280*J280*(1+K280)</x:f>
        <x:v>13975.258016432053</x:v>
      </x:c>
      <x:c r="M280" s="35" t="n">
        <x:f>SUMIFS('菜谱BOM'!$F$5:$F$160,'菜谱BOM'!$A$5:$A$160,E280,'菜谱BOM'!$C$5:$C$160,"调料")</x:f>
        <x:v>47</x:v>
      </x:c>
      <x:c r="N280" s="38" t="n">
        <x:v>0.001560241133803558</x:v>
      </x:c>
      <x:c r="O280" s="35" t="n">
        <x:f>H280*M280*(1+N280)</x:f>
        <x:v>1741.7132593316844</x:v>
      </x:c>
      <x:c r="P280" s="19" t="str">
        <x:f>IF(ABS(N280)&gt;'封面与口径'!$O$25,"机器调料需复核",IF(ABS(K280)&gt;0.02,"人工称重需复核","正常"))</x:f>
        <x:v>正常</x:v>
      </x:c>
      <x:c r="Q280" s="19" t="str">
        <x:v>杨帆</x:v>
      </x:c>
    </x:row>
    <x:row r="281">
      <x:c r="A281" s="19" t="str">
        <x:v>2026-07-09|S03|D05</x:v>
      </x:c>
      <x:c r="B281" s="34" t="n">
        <x:v>46212.5</x:v>
      </x:c>
      <x:c r="C281" s="19" t="str">
        <x:v>S03</x:v>
      </x:c>
      <x:c r="D281" s="19" t="str">
        <x:v>铂悦城店</x:v>
      </x:c>
      <x:c r="E281" s="19" t="str">
        <x:v>D05</x:v>
      </x:c>
      <x:c r="F281" s="19" t="str">
        <x:v>麻婆豆腐</x:v>
      </x:c>
      <x:c r="G281" s="19" t="str">
        <x:v>R1.0</x:v>
      </x:c>
      <x:c r="H281" s="20" t="n">
        <x:f>XLOOKUP(A281,'菜品日销量'!$A$5:$A$1124,'菜品日销量'!$G$5:$G$1124,0)</x:f>
        <x:v>55</x:v>
      </x:c>
      <x:c r="I281" s="20" t="n">
        <x:f>ROUNDUP(H281/2,0)</x:f>
        <x:v>28</x:v>
      </x:c>
      <x:c r="J281" s="22" t="n">
        <x:f>SUMIFS('菜谱BOM'!$F$5:$F$160,'菜谱BOM'!$A$5:$A$160,E281,'菜谱BOM'!$C$5:$C$160,"食材")</x:f>
        <x:v>505</x:v>
      </x:c>
      <x:c r="K281" s="38" t="n">
        <x:v>0.007868519652604248</x:v>
      </x:c>
      <x:c r="L281" s="35" t="n">
        <x:f>H281*J281*(1+K281)</x:f>
        <x:v>27993.548133351083</x:v>
      </x:c>
      <x:c r="M281" s="35" t="n">
        <x:f>SUMIFS('菜谱BOM'!$F$5:$F$160,'菜谱BOM'!$A$5:$A$160,E281,'菜谱BOM'!$C$5:$C$160,"调料")</x:f>
        <x:v>90</x:v>
      </x:c>
      <x:c r="N281" s="38" t="n">
        <x:v>-0.001958238686425201</x:v>
      </x:c>
      <x:c r="O281" s="35" t="n">
        <x:f>H281*M281*(1+N281)</x:f>
        <x:v>4940.3067185021955</x:v>
      </x:c>
      <x:c r="P281" s="19" t="str">
        <x:f>IF(ABS(N281)&gt;'封面与口径'!$O$25,"机器调料需复核",IF(ABS(K281)&gt;0.02,"人工称重需复核","正常"))</x:f>
        <x:v>正常</x:v>
      </x:c>
      <x:c r="Q281" s="19" t="str">
        <x:v>杨帆</x:v>
      </x:c>
    </x:row>
    <x:row r="282">
      <x:c r="A282" s="19" t="str">
        <x:v>2026-07-09|S03|D07</x:v>
      </x:c>
      <x:c r="B282" s="34" t="n">
        <x:v>46212.5</x:v>
      </x:c>
      <x:c r="C282" s="19" t="str">
        <x:v>S03</x:v>
      </x:c>
      <x:c r="D282" s="19" t="str">
        <x:v>铂悦城店</x:v>
      </x:c>
      <x:c r="E282" s="19" t="str">
        <x:v>D07</x:v>
      </x:c>
      <x:c r="F282" s="19" t="str">
        <x:v>川味回锅肉</x:v>
      </x:c>
      <x:c r="G282" s="19" t="str">
        <x:v>R1.0</x:v>
      </x:c>
      <x:c r="H282" s="20" t="n">
        <x:f>XLOOKUP(A282,'菜品日销量'!$A$5:$A$1124,'菜品日销量'!$G$5:$G$1124,0)</x:f>
        <x:v>15</x:v>
      </x:c>
      <x:c r="I282" s="20" t="n">
        <x:f>ROUNDUP(H282/2,0)</x:f>
        <x:v>8</x:v>
      </x:c>
      <x:c r="J282" s="22" t="n">
        <x:f>SUMIFS('菜谱BOM'!$F$5:$F$160,'菜谱BOM'!$A$5:$A$160,E282,'菜谱BOM'!$C$5:$C$160,"食材")</x:f>
        <x:v>450</x:v>
      </x:c>
      <x:c r="K282" s="38" t="n">
        <x:v>0.006032834823716627</x:v>
      </x:c>
      <x:c r="L282" s="35" t="n">
        <x:f>H282*J282*(1+K282)</x:f>
        <x:v>6790.7216350600875</x:v>
      </x:c>
      <x:c r="M282" s="35" t="n">
        <x:f>SUMIFS('菜谱BOM'!$F$5:$F$160,'菜谱BOM'!$A$5:$A$160,E282,'菜谱BOM'!$C$5:$C$160,"调料")</x:f>
        <x:v>63</x:v>
      </x:c>
      <x:c r="N282" s="38" t="n">
        <x:v>-0.001959680833844394</x:v>
      </x:c>
      <x:c r="O282" s="35" t="n">
        <x:f>H282*M282*(1+N282)</x:f>
        <x:v>943.1481016120171</x:v>
      </x:c>
      <x:c r="P282" s="19" t="str">
        <x:f>IF(ABS(N282)&gt;'封面与口径'!$O$25,"机器调料需复核",IF(ABS(K282)&gt;0.02,"人工称重需复核","正常"))</x:f>
        <x:v>正常</x:v>
      </x:c>
      <x:c r="Q282" s="19" t="str">
        <x:v>杨帆</x:v>
      </x:c>
    </x:row>
    <x:row r="283">
      <x:c r="A283" s="19" t="str">
        <x:v>2026-07-09|S03|D08</x:v>
      </x:c>
      <x:c r="B283" s="34" t="n">
        <x:v>46212.5</x:v>
      </x:c>
      <x:c r="C283" s="19" t="str">
        <x:v>S03</x:v>
      </x:c>
      <x:c r="D283" s="19" t="str">
        <x:v>铂悦城店</x:v>
      </x:c>
      <x:c r="E283" s="19" t="str">
        <x:v>D08</x:v>
      </x:c>
      <x:c r="F283" s="19" t="str">
        <x:v>生炒清远鸡</x:v>
      </x:c>
      <x:c r="G283" s="19" t="str">
        <x:v>R1.0</x:v>
      </x:c>
      <x:c r="H283" s="20" t="n">
        <x:f>XLOOKUP(A283,'菜品日销量'!$A$5:$A$1124,'菜品日销量'!$G$5:$G$1124,0)</x:f>
        <x:v>11</x:v>
      </x:c>
      <x:c r="I283" s="20" t="n">
        <x:f>ROUNDUP(H283/2,0)</x:f>
        <x:v>6</x:v>
      </x:c>
      <x:c r="J283" s="22" t="n">
        <x:f>SUMIFS('菜谱BOM'!$F$5:$F$160,'菜谱BOM'!$A$5:$A$160,E283,'菜谱BOM'!$C$5:$C$160,"食材")</x:f>
        <x:v>610</x:v>
      </x:c>
      <x:c r="K283" s="38" t="n">
        <x:v>-0.0012373992449691055</x:v>
      </x:c>
      <x:c r="L283" s="35" t="n">
        <x:f>H283*J283*(1+K283)</x:f>
        <x:v>6701.697051066257</x:v>
      </x:c>
      <x:c r="M283" s="35" t="n">
        <x:f>SUMIFS('菜谱BOM'!$F$5:$F$160,'菜谱BOM'!$A$5:$A$160,E283,'菜谱BOM'!$C$5:$C$160,"调料")</x:f>
        <x:v>61</x:v>
      </x:c>
      <x:c r="N283" s="38" t="n">
        <x:v>-0.00008435035824876991</x:v>
      </x:c>
      <x:c r="O283" s="35" t="n">
        <x:f>H283*M283*(1+N283)</x:f>
        <x:v>670.9434009096151</x:v>
      </x:c>
      <x:c r="P283" s="19" t="str">
        <x:f>IF(ABS(N283)&gt;'封面与口径'!$O$25,"机器调料需复核",IF(ABS(K283)&gt;0.02,"人工称重需复核","正常"))</x:f>
        <x:v>正常</x:v>
      </x:c>
      <x:c r="Q283" s="19" t="str">
        <x:v>杨帆</x:v>
      </x:c>
    </x:row>
    <x:row r="284">
      <x:c r="A284" s="19" t="str">
        <x:v>2026-07-09|S03|D09</x:v>
      </x:c>
      <x:c r="B284" s="34" t="n">
        <x:v>46212.5</x:v>
      </x:c>
      <x:c r="C284" s="19" t="str">
        <x:v>S03</x:v>
      </x:c>
      <x:c r="D284" s="19" t="str">
        <x:v>铂悦城店</x:v>
      </x:c>
      <x:c r="E284" s="19" t="str">
        <x:v>D09</x:v>
      </x:c>
      <x:c r="F284" s="19" t="str">
        <x:v>炒豆干</x:v>
      </x:c>
      <x:c r="G284" s="19" t="str">
        <x:v>R1.0</x:v>
      </x:c>
      <x:c r="H284" s="20" t="n">
        <x:f>XLOOKUP(A284,'菜品日销量'!$A$5:$A$1124,'菜品日销量'!$G$5:$G$1124,0)</x:f>
        <x:v>15</x:v>
      </x:c>
      <x:c r="I284" s="20" t="n">
        <x:f>ROUNDUP(H284/2,0)</x:f>
        <x:v>8</x:v>
      </x:c>
      <x:c r="J284" s="22" t="n">
        <x:f>SUMIFS('菜谱BOM'!$F$5:$F$160,'菜谱BOM'!$A$5:$A$160,E284,'菜谱BOM'!$C$5:$C$160,"食材")</x:f>
        <x:v>520</x:v>
      </x:c>
      <x:c r="K284" s="38" t="n">
        <x:v>0.006647137436700785</x:v>
      </x:c>
      <x:c r="L284" s="35" t="n">
        <x:f>H284*J284*(1+K284)</x:f>
        <x:v>7851.847672006266</x:v>
      </x:c>
      <x:c r="M284" s="35" t="n">
        <x:f>SUMIFS('菜谱BOM'!$F$5:$F$160,'菜谱BOM'!$A$5:$A$160,E284,'菜谱BOM'!$C$5:$C$160,"调料")</x:f>
        <x:v>42</x:v>
      </x:c>
      <x:c r="N284" s="38" t="n">
        <x:v>-0.0008944414022598512</x:v>
      </x:c>
      <x:c r="O284" s="35" t="n">
        <x:f>H284*M284*(1+N284)</x:f>
        <x:v>629.4365019165763</x:v>
      </x:c>
      <x:c r="P284" s="19" t="str">
        <x:f>IF(ABS(N284)&gt;'封面与口径'!$O$25,"机器调料需复核",IF(ABS(K284)&gt;0.02,"人工称重需复核","正常"))</x:f>
        <x:v>正常</x:v>
      </x:c>
      <x:c r="Q284" s="19" t="str">
        <x:v>杨帆</x:v>
      </x:c>
    </x:row>
    <x:row r="285">
      <x:c r="A285" s="19" t="str">
        <x:v>2026-07-09|S03|D10</x:v>
      </x:c>
      <x:c r="B285" s="34" t="n">
        <x:v>46212.5</x:v>
      </x:c>
      <x:c r="C285" s="19" t="str">
        <x:v>S03</x:v>
      </x:c>
      <x:c r="D285" s="19" t="str">
        <x:v>铂悦城店</x:v>
      </x:c>
      <x:c r="E285" s="19" t="str">
        <x:v>D10</x:v>
      </x:c>
      <x:c r="F285" s="19" t="str">
        <x:v>农家一碗香</x:v>
      </x:c>
      <x:c r="G285" s="19" t="str">
        <x:v>R2.3</x:v>
      </x:c>
      <x:c r="H285" s="20" t="n">
        <x:f>XLOOKUP(A285,'菜品日销量'!$A$5:$A$1124,'菜品日销量'!$G$5:$G$1124,0)</x:f>
        <x:v>18</x:v>
      </x:c>
      <x:c r="I285" s="20" t="n">
        <x:f>ROUNDUP(H285/2,0)</x:f>
        <x:v>9</x:v>
      </x:c>
      <x:c r="J285" s="22" t="n">
        <x:f>SUMIFS('菜谱BOM'!$F$5:$F$160,'菜谱BOM'!$A$5:$A$160,E285,'菜谱BOM'!$C$5:$C$160,"食材")</x:f>
        <x:v>510</x:v>
      </x:c>
      <x:c r="K285" s="38" t="n">
        <x:v>-0.0012477768569364622</x:v>
      </x:c>
      <x:c r="L285" s="35" t="n">
        <x:f>H285*J285*(1+K285)</x:f>
        <x:v>9168.545408453323</x:v>
      </x:c>
      <x:c r="M285" s="35" t="n">
        <x:f>SUMIFS('菜谱BOM'!$F$5:$F$160,'菜谱BOM'!$A$5:$A$160,E285,'菜谱BOM'!$C$5:$C$160,"调料")</x:f>
        <x:v>88</x:v>
      </x:c>
      <x:c r="N285" s="38" t="n">
        <x:v>0.0004328700933681966</x:v>
      </x:c>
      <x:c r="O285" s="35" t="n">
        <x:f>H285*M285*(1+N285)</x:f>
        <x:v>1584.6856662278954</x:v>
      </x:c>
      <x:c r="P285" s="19" t="str">
        <x:f>IF(ABS(N285)&gt;'封面与口径'!$O$25,"机器调料需复核",IF(ABS(K285)&gt;0.02,"人工称重需复核","正常"))</x:f>
        <x:v>正常</x:v>
      </x:c>
      <x:c r="Q285" s="19" t="str">
        <x:v>杨帆</x:v>
      </x:c>
    </x:row>
    <x:row r="286">
      <x:c r="A286" s="19" t="str">
        <x:v>2026-07-09|S03|D11</x:v>
      </x:c>
      <x:c r="B286" s="34" t="n">
        <x:v>46212.5</x:v>
      </x:c>
      <x:c r="C286" s="19" t="str">
        <x:v>S03</x:v>
      </x:c>
      <x:c r="D286" s="19" t="str">
        <x:v>铂悦城店</x:v>
      </x:c>
      <x:c r="E286" s="19" t="str">
        <x:v>D11</x:v>
      </x:c>
      <x:c r="F286" s="19" t="str">
        <x:v>香辣爆肥肠</x:v>
      </x:c>
      <x:c r="G286" s="19" t="str">
        <x:v>R1.0</x:v>
      </x:c>
      <x:c r="H286" s="20" t="n">
        <x:f>XLOOKUP(A286,'菜品日销量'!$A$5:$A$1124,'菜品日销量'!$G$5:$G$1124,0)</x:f>
        <x:v>6</x:v>
      </x:c>
      <x:c r="I286" s="20" t="n">
        <x:f>ROUNDUP(H286/2,0)</x:f>
        <x:v>3</x:v>
      </x:c>
      <x:c r="J286" s="22" t="n">
        <x:f>SUMIFS('菜谱BOM'!$F$5:$F$160,'菜谱BOM'!$A$5:$A$160,E286,'菜谱BOM'!$C$5:$C$160,"食材")</x:f>
        <x:v>430</x:v>
      </x:c>
      <x:c r="K286" s="38" t="n">
        <x:v>0.005238267048550366</x:v>
      </x:c>
      <x:c r="L286" s="35" t="n">
        <x:f>H286*J286*(1+K286)</x:f>
        <x:v>2593.5147289852603</x:v>
      </x:c>
      <x:c r="M286" s="35" t="n">
        <x:f>SUMIFS('菜谱BOM'!$F$5:$F$160,'菜谱BOM'!$A$5:$A$160,E286,'菜谱BOM'!$C$5:$C$160,"调料")</x:f>
        <x:v>67</x:v>
      </x:c>
      <x:c r="N286" s="38" t="n">
        <x:v>-0.001318740801727106</x:v>
      </x:c>
      <x:c r="O286" s="35" t="n">
        <x:f>H286*M286*(1+N286)</x:f>
        <x:v>401.4698661977057</x:v>
      </x:c>
      <x:c r="P286" s="19" t="str">
        <x:f>IF(ABS(N286)&gt;'封面与口径'!$O$25,"机器调料需复核",IF(ABS(K286)&gt;0.02,"人工称重需复核","正常"))</x:f>
        <x:v>正常</x:v>
      </x:c>
      <x:c r="Q286" s="19" t="str">
        <x:v>杨帆</x:v>
      </x:c>
    </x:row>
    <x:row r="287">
      <x:c r="A287" s="19" t="str">
        <x:v>2026-07-09|S03|D13</x:v>
      </x:c>
      <x:c r="B287" s="34" t="n">
        <x:v>46212.5</x:v>
      </x:c>
      <x:c r="C287" s="19" t="str">
        <x:v>S03</x:v>
      </x:c>
      <x:c r="D287" s="19" t="str">
        <x:v>铂悦城店</x:v>
      </x:c>
      <x:c r="E287" s="19" t="str">
        <x:v>D13</x:v>
      </x:c>
      <x:c r="F287" s="19" t="str">
        <x:v>外婆菜炒蛋</x:v>
      </x:c>
      <x:c r="G287" s="19" t="str">
        <x:v>R1.0</x:v>
      </x:c>
      <x:c r="H287" s="20" t="n">
        <x:f>XLOOKUP(A287,'菜品日销量'!$A$5:$A$1124,'菜品日销量'!$G$5:$G$1124,0)</x:f>
        <x:v>16</x:v>
      </x:c>
      <x:c r="I287" s="20" t="n">
        <x:f>ROUNDUP(H287/2,0)</x:f>
        <x:v>8</x:v>
      </x:c>
      <x:c r="J287" s="22" t="n">
        <x:f>SUMIFS('菜谱BOM'!$F$5:$F$160,'菜谱BOM'!$A$5:$A$160,E287,'菜谱BOM'!$C$5:$C$160,"食材")</x:f>
        <x:v>450</x:v>
      </x:c>
      <x:c r="K287" s="38" t="n">
        <x:v>0.005330379135285126</x:v>
      </x:c>
      <x:c r="L287" s="35" t="n">
        <x:f>H287*J287*(1+K287)</x:f>
        <x:v>7238.378729774054</x:v>
      </x:c>
      <x:c r="M287" s="35" t="n">
        <x:f>SUMIFS('菜谱BOM'!$F$5:$F$160,'菜谱BOM'!$A$5:$A$160,E287,'菜谱BOM'!$C$5:$C$160,"调料")</x:f>
        <x:v>37</x:v>
      </x:c>
      <x:c r="N287" s="38" t="n">
        <x:v>-0.0003446488711854092</x:v>
      </x:c>
      <x:c r="O287" s="35" t="n">
        <x:f>H287*M287*(1+N287)</x:f>
        <x:v>591.7959678682582</x:v>
      </x:c>
      <x:c r="P287" s="19" t="str">
        <x:f>IF(ABS(N287)&gt;'封面与口径'!$O$25,"机器调料需复核",IF(ABS(K287)&gt;0.02,"人工称重需复核","正常"))</x:f>
        <x:v>正常</x:v>
      </x:c>
      <x:c r="Q287" s="19" t="str">
        <x:v>杨帆</x:v>
      </x:c>
    </x:row>
    <x:row r="288">
      <x:c r="A288" s="19" t="str">
        <x:v>2026-07-09|S03|D14</x:v>
      </x:c>
      <x:c r="B288" s="34" t="n">
        <x:v>46212.5</x:v>
      </x:c>
      <x:c r="C288" s="19" t="str">
        <x:v>S03</x:v>
      </x:c>
      <x:c r="D288" s="19" t="str">
        <x:v>铂悦城店</x:v>
      </x:c>
      <x:c r="E288" s="19" t="str">
        <x:v>D14</x:v>
      </x:c>
      <x:c r="F288" s="19" t="str">
        <x:v>酸辣鸡杂</x:v>
      </x:c>
      <x:c r="G288" s="19" t="str">
        <x:v>R1.0</x:v>
      </x:c>
      <x:c r="H288" s="20" t="n">
        <x:f>XLOOKUP(A288,'菜品日销量'!$A$5:$A$1124,'菜品日销量'!$G$5:$G$1124,0)</x:f>
        <x:v>8</x:v>
      </x:c>
      <x:c r="I288" s="20" t="n">
        <x:f>ROUNDUP(H288/2,0)</x:f>
        <x:v>4</x:v>
      </x:c>
      <x:c r="J288" s="22" t="n">
        <x:f>SUMIFS('菜谱BOM'!$F$5:$F$160,'菜谱BOM'!$A$5:$A$160,E288,'菜谱BOM'!$C$5:$C$160,"食材")</x:f>
        <x:v>470</x:v>
      </x:c>
      <x:c r="K288" s="38" t="n">
        <x:v>0.0025170990178634174</x:v>
      </x:c>
      <x:c r="L288" s="35" t="n">
        <x:f>H288*J288*(1+K288)</x:f>
        <x:v>3769.464292307166</x:v>
      </x:c>
      <x:c r="M288" s="35" t="n">
        <x:f>SUMIFS('菜谱BOM'!$F$5:$F$160,'菜谱BOM'!$A$5:$A$160,E288,'菜谱BOM'!$C$5:$C$160,"调料")</x:f>
        <x:v>60</x:v>
      </x:c>
      <x:c r="N288" s="38" t="n">
        <x:v>-0.0014144324593745247</x:v>
      </x:c>
      <x:c r="O288" s="35" t="n">
        <x:f>H288*M288*(1+N288)</x:f>
        <x:v>479.3210724195002</x:v>
      </x:c>
      <x:c r="P288" s="19" t="str">
        <x:f>IF(ABS(N288)&gt;'封面与口径'!$O$25,"机器调料需复核",IF(ABS(K288)&gt;0.02,"人工称重需复核","正常"))</x:f>
        <x:v>正常</x:v>
      </x:c>
      <x:c r="Q288" s="19" t="str">
        <x:v>杨帆</x:v>
      </x:c>
    </x:row>
    <x:row r="289">
      <x:c r="A289" s="19" t="str">
        <x:v>2026-07-09|S03|D15</x:v>
      </x:c>
      <x:c r="B289" s="34" t="n">
        <x:v>46212.5</x:v>
      </x:c>
      <x:c r="C289" s="19" t="str">
        <x:v>S03</x:v>
      </x:c>
      <x:c r="D289" s="19" t="str">
        <x:v>铂悦城店</x:v>
      </x:c>
      <x:c r="E289" s="19" t="str">
        <x:v>D15</x:v>
      </x:c>
      <x:c r="F289" s="19" t="str">
        <x:v>湘西土匪猪肝</x:v>
      </x:c>
      <x:c r="G289" s="19" t="str">
        <x:v>R1.0</x:v>
      </x:c>
      <x:c r="H289" s="20" t="n">
        <x:f>XLOOKUP(A289,'菜品日销量'!$A$5:$A$1124,'菜品日销量'!$G$5:$G$1124,0)</x:f>
        <x:v>7</x:v>
      </x:c>
      <x:c r="I289" s="20" t="n">
        <x:f>ROUNDUP(H289/2,0)</x:f>
        <x:v>4</x:v>
      </x:c>
      <x:c r="J289" s="22" t="n">
        <x:f>SUMIFS('菜谱BOM'!$F$5:$F$160,'菜谱BOM'!$A$5:$A$160,E289,'菜谱BOM'!$C$5:$C$160,"食材")</x:f>
        <x:v>470</x:v>
      </x:c>
      <x:c r="K289" s="38" t="n">
        <x:v>0.0014358152433847575</x:v>
      </x:c>
      <x:c r="L289" s="35" t="n">
        <x:f>H289*J289*(1+K289)</x:f>
        <x:v>3294.7238321507357</x:v>
      </x:c>
      <x:c r="M289" s="35" t="n">
        <x:f>SUMIFS('菜谱BOM'!$F$5:$F$160,'菜谱BOM'!$A$5:$A$160,E289,'菜谱BOM'!$C$5:$C$160,"调料")</x:f>
        <x:v>49</x:v>
      </x:c>
      <x:c r="N289" s="38" t="n">
        <x:v>-0.0003081575609529759</x:v>
      </x:c>
      <x:c r="O289" s="35" t="n">
        <x:f>H289*M289*(1+N289)</x:f>
        <x:v>342.89430195659315</x:v>
      </x:c>
      <x:c r="P289" s="19" t="str">
        <x:f>IF(ABS(N289)&gt;'封面与口径'!$O$25,"机器调料需复核",IF(ABS(K289)&gt;0.02,"人工称重需复核","正常"))</x:f>
        <x:v>正常</x:v>
      </x:c>
      <x:c r="Q289" s="19" t="str">
        <x:v>杨帆</x:v>
      </x:c>
    </x:row>
    <x:row r="290">
      <x:c r="A290" s="19" t="str">
        <x:v>2026-07-09|S03|D16</x:v>
      </x:c>
      <x:c r="B290" s="34" t="n">
        <x:v>46212.5</x:v>
      </x:c>
      <x:c r="C290" s="19" t="str">
        <x:v>S03</x:v>
      </x:c>
      <x:c r="D290" s="19" t="str">
        <x:v>铂悦城店</x:v>
      </x:c>
      <x:c r="E290" s="19" t="str">
        <x:v>D16</x:v>
      </x:c>
      <x:c r="F290" s="19" t="str">
        <x:v>小豆角炒五花</x:v>
      </x:c>
      <x:c r="G290" s="19" t="str">
        <x:v>R1.0</x:v>
      </x:c>
      <x:c r="H290" s="20" t="n">
        <x:f>XLOOKUP(A290,'菜品日销量'!$A$5:$A$1124,'菜品日销量'!$G$5:$G$1124,0)</x:f>
        <x:v>7</x:v>
      </x:c>
      <x:c r="I290" s="20" t="n">
        <x:f>ROUNDUP(H290/2,0)</x:f>
        <x:v>4</x:v>
      </x:c>
      <x:c r="J290" s="22" t="n">
        <x:f>SUMIFS('菜谱BOM'!$F$5:$F$160,'菜谱BOM'!$A$5:$A$160,E290,'菜谱BOM'!$C$5:$C$160,"食材")</x:f>
        <x:v>450</x:v>
      </x:c>
      <x:c r="K290" s="38" t="n">
        <x:v>0.003798057484393487</x:v>
      </x:c>
      <x:c r="L290" s="35" t="n">
        <x:f>H290*J290*(1+K290)</x:f>
        <x:v>3161.9638810758393</x:v>
      </x:c>
      <x:c r="M290" s="35" t="n">
        <x:f>SUMIFS('菜谱BOM'!$F$5:$F$160,'菜谱BOM'!$A$5:$A$160,E290,'菜谱BOM'!$C$5:$C$160,"调料")</x:f>
        <x:v>42</x:v>
      </x:c>
      <x:c r="N290" s="38" t="n">
        <x:v>0.001551846703410113</x:v>
      </x:c>
      <x:c r="O290" s="35" t="n">
        <x:f>H290*M290*(1+N290)</x:f>
        <x:v>294.4562429308026</x:v>
      </x:c>
      <x:c r="P290" s="19" t="str">
        <x:f>IF(ABS(N290)&gt;'封面与口径'!$O$25,"机器调料需复核",IF(ABS(K290)&gt;0.02,"人工称重需复核","正常"))</x:f>
        <x:v>正常</x:v>
      </x:c>
      <x:c r="Q290" s="19" t="str">
        <x:v>杨帆</x:v>
      </x:c>
    </x:row>
    <x:row r="291">
      <x:c r="A291" s="19" t="str">
        <x:v>2026-07-09|S03|D18</x:v>
      </x:c>
      <x:c r="B291" s="34" t="n">
        <x:v>46212.5</x:v>
      </x:c>
      <x:c r="C291" s="19" t="str">
        <x:v>S03</x:v>
      </x:c>
      <x:c r="D291" s="19" t="str">
        <x:v>铂悦城店</x:v>
      </x:c>
      <x:c r="E291" s="19" t="str">
        <x:v>D18</x:v>
      </x:c>
      <x:c r="F291" s="19" t="str">
        <x:v>青椒炒油麦菜</x:v>
      </x:c>
      <x:c r="G291" s="19" t="str">
        <x:v>R1.0</x:v>
      </x:c>
      <x:c r="H291" s="20" t="n">
        <x:f>XLOOKUP(A291,'菜品日销量'!$A$5:$A$1124,'菜品日销量'!$G$5:$G$1124,0)</x:f>
        <x:v>8</x:v>
      </x:c>
      <x:c r="I291" s="20" t="n">
        <x:f>ROUNDUP(H291/2,0)</x:f>
        <x:v>4</x:v>
      </x:c>
      <x:c r="J291" s="22" t="n">
        <x:f>SUMIFS('菜谱BOM'!$F$5:$F$160,'菜谱BOM'!$A$5:$A$160,E291,'菜谱BOM'!$C$5:$C$160,"食材")</x:f>
        <x:v>430</x:v>
      </x:c>
      <x:c r="K291" s="38" t="n">
        <x:v>0.004098706047073637</x:v>
      </x:c>
      <x:c r="L291" s="35" t="n">
        <x:f>H291*J291*(1+K291)</x:f>
        <x:v>3454.0995488019335</x:v>
      </x:c>
      <x:c r="M291" s="35" t="n">
        <x:f>SUMIFS('菜谱BOM'!$F$5:$F$160,'菜谱BOM'!$A$5:$A$160,E291,'菜谱BOM'!$C$5:$C$160,"调料")</x:f>
        <x:v>33</x:v>
      </x:c>
      <x:c r="N291" s="38" t="n">
        <x:v>-0.0004970850242527865</x:v>
      </x:c>
      <x:c r="O291" s="35" t="n">
        <x:f>H291*M291*(1+N291)</x:f>
        <x:v>263.86876955359725</x:v>
      </x:c>
      <x:c r="P291" s="19" t="str">
        <x:f>IF(ABS(N291)&gt;'封面与口径'!$O$25,"机器调料需复核",IF(ABS(K291)&gt;0.02,"人工称重需复核","正常"))</x:f>
        <x:v>正常</x:v>
      </x:c>
      <x:c r="Q291" s="19" t="str">
        <x:v>杨帆</x:v>
      </x:c>
    </x:row>
    <x:row r="292">
      <x:c r="A292" s="19" t="str">
        <x:v>2026-07-09|S03|D19</x:v>
      </x:c>
      <x:c r="B292" s="34" t="n">
        <x:v>46212.5</x:v>
      </x:c>
      <x:c r="C292" s="19" t="str">
        <x:v>S03</x:v>
      </x:c>
      <x:c r="D292" s="19" t="str">
        <x:v>铂悦城店</x:v>
      </x:c>
      <x:c r="E292" s="19" t="str">
        <x:v>D19</x:v>
      </x:c>
      <x:c r="F292" s="19" t="str">
        <x:v>酸萝卜炒鸡杂</x:v>
      </x:c>
      <x:c r="G292" s="19" t="str">
        <x:v>R1.0</x:v>
      </x:c>
      <x:c r="H292" s="20" t="n">
        <x:f>XLOOKUP(A292,'菜品日销量'!$A$5:$A$1124,'菜品日销量'!$G$5:$G$1124,0)</x:f>
        <x:v>6</x:v>
      </x:c>
      <x:c r="I292" s="20" t="n">
        <x:f>ROUNDUP(H292/2,0)</x:f>
        <x:v>3</x:v>
      </x:c>
      <x:c r="J292" s="22" t="n">
        <x:f>SUMIFS('菜谱BOM'!$F$5:$F$160,'菜谱BOM'!$A$5:$A$160,E292,'菜谱BOM'!$C$5:$C$160,"食材")</x:f>
        <x:v>500</x:v>
      </x:c>
      <x:c r="K292" s="38" t="n">
        <x:v>-0.004636963951549717</x:v>
      </x:c>
      <x:c r="L292" s="35" t="n">
        <x:f>H292*J292*(1+K292)</x:f>
        <x:v>2986.089108145351</x:v>
      </x:c>
      <x:c r="M292" s="35" t="n">
        <x:f>SUMIFS('菜谱BOM'!$F$5:$F$160,'菜谱BOM'!$A$5:$A$160,E292,'菜谱BOM'!$C$5:$C$160,"调料")</x:f>
        <x:v>55</x:v>
      </x:c>
      <x:c r="N292" s="38" t="n">
        <x:v>0.0007605039092620145</x:v>
      </x:c>
      <x:c r="O292" s="35" t="n">
        <x:f>H292*M292*(1+N292)</x:f>
        <x:v>330.25096629005645</x:v>
      </x:c>
      <x:c r="P292" s="19" t="str">
        <x:f>IF(ABS(N292)&gt;'封面与口径'!$O$25,"机器调料需复核",IF(ABS(K292)&gt;0.02,"人工称重需复核","正常"))</x:f>
        <x:v>正常</x:v>
      </x:c>
      <x:c r="Q292" s="19" t="str">
        <x:v>杨帆</x:v>
      </x:c>
    </x:row>
    <x:row r="293">
      <x:c r="A293" s="19" t="str">
        <x:v>2026-07-09|S03|D20</x:v>
      </x:c>
      <x:c r="B293" s="34" t="n">
        <x:v>46212.5</x:v>
      </x:c>
      <x:c r="C293" s="19" t="str">
        <x:v>S03</x:v>
      </x:c>
      <x:c r="D293" s="19" t="str">
        <x:v>铂悦城店</x:v>
      </x:c>
      <x:c r="E293" s="19" t="str">
        <x:v>D20</x:v>
      </x:c>
      <x:c r="F293" s="19" t="str">
        <x:v>雪菜肉末青豆</x:v>
      </x:c>
      <x:c r="G293" s="19" t="str">
        <x:v>R1.0</x:v>
      </x:c>
      <x:c r="H293" s="20" t="n">
        <x:f>XLOOKUP(A293,'菜品日销量'!$A$5:$A$1124,'菜品日销量'!$G$5:$G$1124,0)</x:f>
        <x:v>8</x:v>
      </x:c>
      <x:c r="I293" s="20" t="n">
        <x:f>ROUNDUP(H293/2,0)</x:f>
        <x:v>4</x:v>
      </x:c>
      <x:c r="J293" s="22" t="n">
        <x:f>SUMIFS('菜谱BOM'!$F$5:$F$160,'菜谱BOM'!$A$5:$A$160,E293,'菜谱BOM'!$C$5:$C$160,"食材")</x:f>
        <x:v>465</x:v>
      </x:c>
      <x:c r="K293" s="38" t="n">
        <x:v>0.0023904139535479273</x:v>
      </x:c>
      <x:c r="L293" s="35" t="n">
        <x:f>H293*J293*(1+K293)</x:f>
        <x:v>3728.8923399071987</x:v>
      </x:c>
      <x:c r="M293" s="35" t="n">
        <x:f>SUMIFS('菜谱BOM'!$F$5:$F$160,'菜谱BOM'!$A$5:$A$160,E293,'菜谱BOM'!$C$5:$C$160,"调料")</x:f>
        <x:v>32</x:v>
      </x:c>
      <x:c r="N293" s="38" t="n">
        <x:v>0.001121320551988045</x:v>
      </x:c>
      <x:c r="O293" s="35" t="n">
        <x:f>H293*M293*(1+N293)</x:f>
        <x:v>256.2870580613089</x:v>
      </x:c>
      <x:c r="P293" s="19" t="str">
        <x:f>IF(ABS(N293)&gt;'封面与口径'!$O$25,"机器调料需复核",IF(ABS(K293)&gt;0.02,"人工称重需复核","正常"))</x:f>
        <x:v>正常</x:v>
      </x:c>
      <x:c r="Q293" s="19" t="str">
        <x:v>杨帆</x:v>
      </x:c>
    </x:row>
    <x:row r="294">
      <x:c r="A294" s="19" t="str">
        <x:v>2026-07-10|S03|D01</x:v>
      </x:c>
      <x:c r="B294" s="34" t="n">
        <x:v>46213.5</x:v>
      </x:c>
      <x:c r="C294" s="19" t="str">
        <x:v>S03</x:v>
      </x:c>
      <x:c r="D294" s="19" t="str">
        <x:v>铂悦城店</x:v>
      </x:c>
      <x:c r="E294" s="19" t="str">
        <x:v>D01</x:v>
      </x:c>
      <x:c r="F294" s="19" t="str">
        <x:v>辣椒炒肉</x:v>
      </x:c>
      <x:c r="G294" s="19" t="str">
        <x:v>R2.3</x:v>
      </x:c>
      <x:c r="H294" s="20" t="n">
        <x:f>XLOOKUP(A294,'菜品日销量'!$A$5:$A$1124,'菜品日销量'!$G$5:$G$1124,0)</x:f>
        <x:v>54</x:v>
      </x:c>
      <x:c r="I294" s="20" t="n">
        <x:f>ROUNDUP(H294/2,0)</x:f>
        <x:v>27</x:v>
      </x:c>
      <x:c r="J294" s="22" t="n">
        <x:f>SUMIFS('菜谱BOM'!$F$5:$F$160,'菜谱BOM'!$A$5:$A$160,E294,'菜谱BOM'!$C$5:$C$160,"食材")</x:f>
        <x:v>550</x:v>
      </x:c>
      <x:c r="K294" s="38" t="n">
        <x:v>-0.005745859033834622</x:v>
      </x:c>
      <x:c r="L294" s="35" t="n">
        <x:f>H294*J294*(1+K294)</x:f>
        <x:v>29529.347986695113</x:v>
      </x:c>
      <x:c r="M294" s="35" t="n">
        <x:f>SUMIFS('菜谱BOM'!$F$5:$F$160,'菜谱BOM'!$A$5:$A$160,E294,'菜谱BOM'!$C$5:$C$160,"调料")</x:f>
        <x:v>104</x:v>
      </x:c>
      <x:c r="N294" s="38" t="n">
        <x:v>-0.00033283024335578794</x:v>
      </x:c>
      <x:c r="O294" s="35" t="n">
        <x:f>H294*M294*(1+N294)</x:f>
        <x:v>5614.130825353313</x:v>
      </x:c>
      <x:c r="P294" s="19" t="str">
        <x:f>IF(ABS(N294)&gt;'封面与口径'!$O$25,"机器调料需复核",IF(ABS(K294)&gt;0.02,"人工称重需复核","正常"))</x:f>
        <x:v>正常</x:v>
      </x:c>
      <x:c r="Q294" s="19" t="str">
        <x:v>杨帆</x:v>
      </x:c>
    </x:row>
    <x:row r="295">
      <x:c r="A295" s="19" t="str">
        <x:v>2026-07-10|S03|D02</x:v>
      </x:c>
      <x:c r="B295" s="34" t="n">
        <x:v>46213.5</x:v>
      </x:c>
      <x:c r="C295" s="19" t="str">
        <x:v>S03</x:v>
      </x:c>
      <x:c r="D295" s="19" t="str">
        <x:v>铂悦城店</x:v>
      </x:c>
      <x:c r="E295" s="19" t="str">
        <x:v>D02</x:v>
      </x:c>
      <x:c r="F295" s="19" t="str">
        <x:v>小炒黄牛肉</x:v>
      </x:c>
      <x:c r="G295" s="19" t="str">
        <x:v>R2.3</x:v>
      </x:c>
      <x:c r="H295" s="20" t="n">
        <x:f>XLOOKUP(A295,'菜品日销量'!$A$5:$A$1124,'菜品日销量'!$G$5:$G$1124,0)</x:f>
        <x:v>32</x:v>
      </x:c>
      <x:c r="I295" s="20" t="n">
        <x:f>ROUNDUP(H295/2,0)</x:f>
        <x:v>16</x:v>
      </x:c>
      <x:c r="J295" s="22" t="n">
        <x:f>SUMIFS('菜谱BOM'!$F$5:$F$160,'菜谱BOM'!$A$5:$A$160,E295,'菜谱BOM'!$C$5:$C$160,"食材")</x:f>
        <x:v>560</x:v>
      </x:c>
      <x:c r="K295" s="38" t="n">
        <x:v>0.00499459385056854</x:v>
      </x:c>
      <x:c r="L295" s="35" t="n">
        <x:f>H295*J295*(1+K295)</x:f>
        <x:v>18009.503121802187</x:v>
      </x:c>
      <x:c r="M295" s="35" t="n">
        <x:f>SUMIFS('菜谱BOM'!$F$5:$F$160,'菜谱BOM'!$A$5:$A$160,E295,'菜谱BOM'!$C$5:$C$160,"调料")</x:f>
        <x:v>133</x:v>
      </x:c>
      <x:c r="N295" s="38" t="n">
        <x:v>0.0018007506289986778</x:v>
      </x:c>
      <x:c r="O295" s="35" t="n">
        <x:f>H295*M295*(1+N295)</x:f>
        <x:v>4263.663994677018</x:v>
      </x:c>
      <x:c r="P295" s="19" t="str">
        <x:f>IF(ABS(N295)&gt;'封面与口径'!$O$25,"机器调料需复核",IF(ABS(K295)&gt;0.02,"人工称重需复核","正常"))</x:f>
        <x:v>正常</x:v>
      </x:c>
      <x:c r="Q295" s="19" t="str">
        <x:v>杨帆</x:v>
      </x:c>
    </x:row>
    <x:row r="296">
      <x:c r="A296" s="19" t="str">
        <x:v>2026-07-10|S03|D03</x:v>
      </x:c>
      <x:c r="B296" s="34" t="n">
        <x:v>46213.5</x:v>
      </x:c>
      <x:c r="C296" s="19" t="str">
        <x:v>S03</x:v>
      </x:c>
      <x:c r="D296" s="19" t="str">
        <x:v>铂悦城店</x:v>
      </x:c>
      <x:c r="E296" s="19" t="str">
        <x:v>D03</x:v>
      </x:c>
      <x:c r="F296" s="19" t="str">
        <x:v>香醋炒蛋</x:v>
      </x:c>
      <x:c r="G296" s="19" t="str">
        <x:v>R1.0</x:v>
      </x:c>
      <x:c r="H296" s="20" t="n">
        <x:f>XLOOKUP(A296,'菜品日销量'!$A$5:$A$1124,'菜品日销量'!$G$5:$G$1124,0)</x:f>
        <x:v>42</x:v>
      </x:c>
      <x:c r="I296" s="20" t="n">
        <x:f>ROUNDUP(H296/2,0)</x:f>
        <x:v>21</x:v>
      </x:c>
      <x:c r="J296" s="22" t="n">
        <x:f>SUMIFS('菜谱BOM'!$F$5:$F$160,'菜谱BOM'!$A$5:$A$160,E296,'菜谱BOM'!$C$5:$C$160,"食材")</x:f>
        <x:v>300</x:v>
      </x:c>
      <x:c r="K296" s="38" t="n">
        <x:v>-0.004464900567304553</x:v>
      </x:c>
      <x:c r="L296" s="35" t="n">
        <x:f>H296*J296*(1+K296)</x:f>
        <x:v>12543.742252851964</x:v>
      </x:c>
      <x:c r="M296" s="35" t="n">
        <x:f>SUMIFS('菜谱BOM'!$F$5:$F$160,'菜谱BOM'!$A$5:$A$160,E296,'菜谱BOM'!$C$5:$C$160,"调料")</x:f>
        <x:v>53</x:v>
      </x:c>
      <x:c r="N296" s="38" t="n">
        <x:v>-0.0013665510815024727</x:v>
      </x:c>
      <x:c r="O296" s="35" t="n">
        <x:f>H296*M296*(1+N296)</x:f>
        <x:v>2222.958057292575</x:v>
      </x:c>
      <x:c r="P296" s="19" t="str">
        <x:f>IF(ABS(N296)&gt;'封面与口径'!$O$25,"机器调料需复核",IF(ABS(K296)&gt;0.02,"人工称重需复核","正常"))</x:f>
        <x:v>正常</x:v>
      </x:c>
      <x:c r="Q296" s="19" t="str">
        <x:v>杨帆</x:v>
      </x:c>
    </x:row>
    <x:row r="297">
      <x:c r="A297" s="19" t="str">
        <x:v>2026-07-10|S03|D04</x:v>
      </x:c>
      <x:c r="B297" s="34" t="n">
        <x:v>46213.5</x:v>
      </x:c>
      <x:c r="C297" s="19" t="str">
        <x:v>S03</x:v>
      </x:c>
      <x:c r="D297" s="19" t="str">
        <x:v>铂悦城店</x:v>
      </x:c>
      <x:c r="E297" s="19" t="str">
        <x:v>D04</x:v>
      </x:c>
      <x:c r="F297" s="19" t="str">
        <x:v>酸包菜炒粉皮</x:v>
      </x:c>
      <x:c r="G297" s="19" t="str">
        <x:v>R1.0</x:v>
      </x:c>
      <x:c r="H297" s="20" t="n">
        <x:f>XLOOKUP(A297,'菜品日销量'!$A$5:$A$1124,'菜品日销量'!$G$5:$G$1124,0)</x:f>
        <x:v>38</x:v>
      </x:c>
      <x:c r="I297" s="20" t="n">
        <x:f>ROUNDUP(H297/2,0)</x:f>
        <x:v>19</x:v>
      </x:c>
      <x:c r="J297" s="22" t="n">
        <x:f>SUMIFS('菜谱BOM'!$F$5:$F$160,'菜谱BOM'!$A$5:$A$160,E297,'菜谱BOM'!$C$5:$C$160,"食材")</x:f>
        <x:v>380</x:v>
      </x:c>
      <x:c r="K297" s="38" t="n">
        <x:v>-0.003024691003147674</x:v>
      </x:c>
      <x:c r="L297" s="35" t="n">
        <x:f>H297*J297*(1+K297)</x:f>
        <x:v>14396.323461914546</x:v>
      </x:c>
      <x:c r="M297" s="35" t="n">
        <x:f>SUMIFS('菜谱BOM'!$F$5:$F$160,'菜谱BOM'!$A$5:$A$160,E297,'菜谱BOM'!$C$5:$C$160,"调料")</x:f>
        <x:v>47</x:v>
      </x:c>
      <x:c r="N297" s="38" t="n">
        <x:v>-0.00023713858570836922</x:v>
      </x:c>
      <x:c r="O297" s="35" t="n">
        <x:f>H297*M297*(1+N297)</x:f>
        <x:v>1785.5764704859248</x:v>
      </x:c>
      <x:c r="P297" s="19" t="str">
        <x:f>IF(ABS(N297)&gt;'封面与口径'!$O$25,"机器调料需复核",IF(ABS(K297)&gt;0.02,"人工称重需复核","正常"))</x:f>
        <x:v>正常</x:v>
      </x:c>
      <x:c r="Q297" s="19" t="str">
        <x:v>杨帆</x:v>
      </x:c>
    </x:row>
    <x:row r="298">
      <x:c r="A298" s="19" t="str">
        <x:v>2026-07-10|S03|D05</x:v>
      </x:c>
      <x:c r="B298" s="34" t="n">
        <x:v>46213.5</x:v>
      </x:c>
      <x:c r="C298" s="19" t="str">
        <x:v>S03</x:v>
      </x:c>
      <x:c r="D298" s="19" t="str">
        <x:v>铂悦城店</x:v>
      </x:c>
      <x:c r="E298" s="19" t="str">
        <x:v>D05</x:v>
      </x:c>
      <x:c r="F298" s="19" t="str">
        <x:v>麻婆豆腐</x:v>
      </x:c>
      <x:c r="G298" s="19" t="str">
        <x:v>R1.0</x:v>
      </x:c>
      <x:c r="H298" s="20" t="n">
        <x:f>XLOOKUP(A298,'菜品日销量'!$A$5:$A$1124,'菜品日销量'!$G$5:$G$1124,0)</x:f>
        <x:v>59</x:v>
      </x:c>
      <x:c r="I298" s="20" t="n">
        <x:f>ROUNDUP(H298/2,0)</x:f>
        <x:v>30</x:v>
      </x:c>
      <x:c r="J298" s="22" t="n">
        <x:f>SUMIFS('菜谱BOM'!$F$5:$F$160,'菜谱BOM'!$A$5:$A$160,E298,'菜谱BOM'!$C$5:$C$160,"食材")</x:f>
        <x:v>505</x:v>
      </x:c>
      <x:c r="K298" s="38" t="n">
        <x:v>0.006489265095090789</x:v>
      </x:c>
      <x:c r="L298" s="35" t="n">
        <x:f>H298*J298*(1+K298)</x:f>
        <x:v>29988.34765350823</x:v>
      </x:c>
      <x:c r="M298" s="35" t="n">
        <x:f>SUMIFS('菜谱BOM'!$F$5:$F$160,'菜谱BOM'!$A$5:$A$160,E298,'菜谱BOM'!$C$5:$C$160,"调料")</x:f>
        <x:v>90</x:v>
      </x:c>
      <x:c r="N298" s="38" t="n">
        <x:v>0.0015144723093869334</x:v>
      </x:c>
      <x:c r="O298" s="35" t="n">
        <x:f>H298*M298*(1+N298)</x:f>
        <x:v>5318.041847962844</x:v>
      </x:c>
      <x:c r="P298" s="19" t="str">
        <x:f>IF(ABS(N298)&gt;'封面与口径'!$O$25,"机器调料需复核",IF(ABS(K298)&gt;0.02,"人工称重需复核","正常"))</x:f>
        <x:v>正常</x:v>
      </x:c>
      <x:c r="Q298" s="19" t="str">
        <x:v>杨帆</x:v>
      </x:c>
    </x:row>
    <x:row r="299">
      <x:c r="A299" s="19" t="str">
        <x:v>2026-07-10|S03|D07</x:v>
      </x:c>
      <x:c r="B299" s="34" t="n">
        <x:v>46213.5</x:v>
      </x:c>
      <x:c r="C299" s="19" t="str">
        <x:v>S03</x:v>
      </x:c>
      <x:c r="D299" s="19" t="str">
        <x:v>铂悦城店</x:v>
      </x:c>
      <x:c r="E299" s="19" t="str">
        <x:v>D07</x:v>
      </x:c>
      <x:c r="F299" s="19" t="str">
        <x:v>川味回锅肉</x:v>
      </x:c>
      <x:c r="G299" s="19" t="str">
        <x:v>R1.0</x:v>
      </x:c>
      <x:c r="H299" s="20" t="n">
        <x:f>XLOOKUP(A299,'菜品日销量'!$A$5:$A$1124,'菜品日销量'!$G$5:$G$1124,0)</x:f>
        <x:v>17</x:v>
      </x:c>
      <x:c r="I299" s="20" t="n">
        <x:f>ROUNDUP(H299/2,0)</x:f>
        <x:v>9</x:v>
      </x:c>
      <x:c r="J299" s="22" t="n">
        <x:f>SUMIFS('菜谱BOM'!$F$5:$F$160,'菜谱BOM'!$A$5:$A$160,E299,'菜谱BOM'!$C$5:$C$160,"食材")</x:f>
        <x:v>450</x:v>
      </x:c>
      <x:c r="K299" s="38" t="n">
        <x:v>-0.0068470932838616645</x:v>
      </x:c>
      <x:c r="L299" s="35" t="n">
        <x:f>H299*J299*(1+K299)</x:f>
        <x:v>7597.619736378458</x:v>
      </x:c>
      <x:c r="M299" s="35" t="n">
        <x:f>SUMIFS('菜谱BOM'!$F$5:$F$160,'菜谱BOM'!$A$5:$A$160,E299,'菜谱BOM'!$C$5:$C$160,"调料")</x:f>
        <x:v>63</x:v>
      </x:c>
      <x:c r="N299" s="38" t="n">
        <x:v>0.0008166776613371161</x:v>
      </x:c>
      <x:c r="O299" s="35" t="n">
        <x:f>H299*M299*(1+N299)</x:f>
        <x:v>1071.8746617752922</x:v>
      </x:c>
      <x:c r="P299" s="19" t="str">
        <x:f>IF(ABS(N299)&gt;'封面与口径'!$O$25,"机器调料需复核",IF(ABS(K299)&gt;0.02,"人工称重需复核","正常"))</x:f>
        <x:v>正常</x:v>
      </x:c>
      <x:c r="Q299" s="19" t="str">
        <x:v>杨帆</x:v>
      </x:c>
    </x:row>
    <x:row r="300">
      <x:c r="A300" s="19" t="str">
        <x:v>2026-07-10|S03|D08</x:v>
      </x:c>
      <x:c r="B300" s="34" t="n">
        <x:v>46213.5</x:v>
      </x:c>
      <x:c r="C300" s="19" t="str">
        <x:v>S03</x:v>
      </x:c>
      <x:c r="D300" s="19" t="str">
        <x:v>铂悦城店</x:v>
      </x:c>
      <x:c r="E300" s="19" t="str">
        <x:v>D08</x:v>
      </x:c>
      <x:c r="F300" s="19" t="str">
        <x:v>生炒清远鸡</x:v>
      </x:c>
      <x:c r="G300" s="19" t="str">
        <x:v>R1.0</x:v>
      </x:c>
      <x:c r="H300" s="20" t="n">
        <x:f>XLOOKUP(A300,'菜品日销量'!$A$5:$A$1124,'菜品日销量'!$G$5:$G$1124,0)</x:f>
        <x:v>12</x:v>
      </x:c>
      <x:c r="I300" s="20" t="n">
        <x:f>ROUNDUP(H300/2,0)</x:f>
        <x:v>6</x:v>
      </x:c>
      <x:c r="J300" s="22" t="n">
        <x:f>SUMIFS('菜谱BOM'!$F$5:$F$160,'菜谱BOM'!$A$5:$A$160,E300,'菜谱BOM'!$C$5:$C$160,"食材")</x:f>
        <x:v>610</x:v>
      </x:c>
      <x:c r="K300" s="38" t="n">
        <x:v>0.0006753030402295526</x:v>
      </x:c>
      <x:c r="L300" s="35" t="n">
        <x:f>H300*J300*(1+K300)</x:f>
        <x:v>7324.943218254481</x:v>
      </x:c>
      <x:c r="M300" s="35" t="n">
        <x:f>SUMIFS('菜谱BOM'!$F$5:$F$160,'菜谱BOM'!$A$5:$A$160,E300,'菜谱BOM'!$C$5:$C$160,"调料")</x:f>
        <x:v>61</x:v>
      </x:c>
      <x:c r="N300" s="38" t="n">
        <x:v>-0.000841134628011178</x:v>
      </x:c>
      <x:c r="O300" s="35" t="n">
        <x:f>H300*M300*(1+N300)</x:f>
        <x:v>731.3842894522958</x:v>
      </x:c>
      <x:c r="P300" s="19" t="str">
        <x:f>IF(ABS(N300)&gt;'封面与口径'!$O$25,"机器调料需复核",IF(ABS(K300)&gt;0.02,"人工称重需复核","正常"))</x:f>
        <x:v>正常</x:v>
      </x:c>
      <x:c r="Q300" s="19" t="str">
        <x:v>杨帆</x:v>
      </x:c>
    </x:row>
    <x:row r="301">
      <x:c r="A301" s="19" t="str">
        <x:v>2026-07-10|S03|D09</x:v>
      </x:c>
      <x:c r="B301" s="34" t="n">
        <x:v>46213.5</x:v>
      </x:c>
      <x:c r="C301" s="19" t="str">
        <x:v>S03</x:v>
      </x:c>
      <x:c r="D301" s="19" t="str">
        <x:v>铂悦城店</x:v>
      </x:c>
      <x:c r="E301" s="19" t="str">
        <x:v>D09</x:v>
      </x:c>
      <x:c r="F301" s="19" t="str">
        <x:v>炒豆干</x:v>
      </x:c>
      <x:c r="G301" s="19" t="str">
        <x:v>R1.0</x:v>
      </x:c>
      <x:c r="H301" s="20" t="n">
        <x:f>XLOOKUP(A301,'菜品日销量'!$A$5:$A$1124,'菜品日销量'!$G$5:$G$1124,0)</x:f>
        <x:v>17</x:v>
      </x:c>
      <x:c r="I301" s="20" t="n">
        <x:f>ROUNDUP(H301/2,0)</x:f>
        <x:v>9</x:v>
      </x:c>
      <x:c r="J301" s="22" t="n">
        <x:f>SUMIFS('菜谱BOM'!$F$5:$F$160,'菜谱BOM'!$A$5:$A$160,E301,'菜谱BOM'!$C$5:$C$160,"食材")</x:f>
        <x:v>520</x:v>
      </x:c>
      <x:c r="K301" s="38" t="n">
        <x:v>-0.0009985735176593468</x:v>
      </x:c>
      <x:c r="L301" s="35" t="n">
        <x:f>H301*J301*(1+K301)</x:f>
        <x:v>8831.172610103891</x:v>
      </x:c>
      <x:c r="M301" s="35" t="n">
        <x:f>SUMIFS('菜谱BOM'!$F$5:$F$160,'菜谱BOM'!$A$5:$A$160,E301,'菜谱BOM'!$C$5:$C$160,"调料")</x:f>
        <x:v>42</x:v>
      </x:c>
      <x:c r="N301" s="38" t="n">
        <x:v>-0.0012111542381372199</x:v>
      </x:c>
      <x:c r="O301" s="35" t="n">
        <x:f>H301*M301*(1+N301)</x:f>
        <x:v>713.13523587397</x:v>
      </x:c>
      <x:c r="P301" s="19" t="str">
        <x:f>IF(ABS(N301)&gt;'封面与口径'!$O$25,"机器调料需复核",IF(ABS(K301)&gt;0.02,"人工称重需复核","正常"))</x:f>
        <x:v>正常</x:v>
      </x:c>
      <x:c r="Q301" s="19" t="str">
        <x:v>杨帆</x:v>
      </x:c>
    </x:row>
    <x:row r="302">
      <x:c r="A302" s="19" t="str">
        <x:v>2026-07-10|S03|D10</x:v>
      </x:c>
      <x:c r="B302" s="34" t="n">
        <x:v>46213.5</x:v>
      </x:c>
      <x:c r="C302" s="19" t="str">
        <x:v>S03</x:v>
      </x:c>
      <x:c r="D302" s="19" t="str">
        <x:v>铂悦城店</x:v>
      </x:c>
      <x:c r="E302" s="19" t="str">
        <x:v>D10</x:v>
      </x:c>
      <x:c r="F302" s="19" t="str">
        <x:v>农家一碗香</x:v>
      </x:c>
      <x:c r="G302" s="19" t="str">
        <x:v>R2.3</x:v>
      </x:c>
      <x:c r="H302" s="20" t="n">
        <x:f>XLOOKUP(A302,'菜品日销量'!$A$5:$A$1124,'菜品日销量'!$G$5:$G$1124,0)</x:f>
        <x:v>21</x:v>
      </x:c>
      <x:c r="I302" s="20" t="n">
        <x:f>ROUNDUP(H302/2,0)</x:f>
        <x:v>11</x:v>
      </x:c>
      <x:c r="J302" s="22" t="n">
        <x:f>SUMIFS('菜谱BOM'!$F$5:$F$160,'菜谱BOM'!$A$5:$A$160,E302,'菜谱BOM'!$C$5:$C$160,"食材")</x:f>
        <x:v>510</x:v>
      </x:c>
      <x:c r="K302" s="38" t="n">
        <x:v>0.004894443157337243</x:v>
      </x:c>
      <x:c r="L302" s="35" t="n">
        <x:f>H302*J302*(1+K302)</x:f>
        <x:v>10762.419486215082</x:v>
      </x:c>
      <x:c r="M302" s="35" t="n">
        <x:f>SUMIFS('菜谱BOM'!$F$5:$F$160,'菜谱BOM'!$A$5:$A$160,E302,'菜谱BOM'!$C$5:$C$160,"调料")</x:f>
        <x:v>88</x:v>
      </x:c>
      <x:c r="N302" s="38" t="n">
        <x:v>-0.00030972801016404474</x:v>
      </x:c>
      <x:c r="O302" s="35" t="n">
        <x:f>H302*M302*(1+N302)</x:f>
        <x:v>1847.427622637217</x:v>
      </x:c>
      <x:c r="P302" s="19" t="str">
        <x:f>IF(ABS(N302)&gt;'封面与口径'!$O$25,"机器调料需复核",IF(ABS(K302)&gt;0.02,"人工称重需复核","正常"))</x:f>
        <x:v>正常</x:v>
      </x:c>
      <x:c r="Q302" s="19" t="str">
        <x:v>杨帆</x:v>
      </x:c>
    </x:row>
    <x:row r="303">
      <x:c r="A303" s="19" t="str">
        <x:v>2026-07-10|S03|D11</x:v>
      </x:c>
      <x:c r="B303" s="34" t="n">
        <x:v>46213.5</x:v>
      </x:c>
      <x:c r="C303" s="19" t="str">
        <x:v>S03</x:v>
      </x:c>
      <x:c r="D303" s="19" t="str">
        <x:v>铂悦城店</x:v>
      </x:c>
      <x:c r="E303" s="19" t="str">
        <x:v>D11</x:v>
      </x:c>
      <x:c r="F303" s="19" t="str">
        <x:v>香辣爆肥肠</x:v>
      </x:c>
      <x:c r="G303" s="19" t="str">
        <x:v>R1.0</x:v>
      </x:c>
      <x:c r="H303" s="20" t="n">
        <x:f>XLOOKUP(A303,'菜品日销量'!$A$5:$A$1124,'菜品日销量'!$G$5:$G$1124,0)</x:f>
        <x:v>6</x:v>
      </x:c>
      <x:c r="I303" s="20" t="n">
        <x:f>ROUNDUP(H303/2,0)</x:f>
        <x:v>3</x:v>
      </x:c>
      <x:c r="J303" s="22" t="n">
        <x:f>SUMIFS('菜谱BOM'!$F$5:$F$160,'菜谱BOM'!$A$5:$A$160,E303,'菜谱BOM'!$C$5:$C$160,"食材")</x:f>
        <x:v>430</x:v>
      </x:c>
      <x:c r="K303" s="38" t="n">
        <x:v>0.004271887487795178</x:v>
      </x:c>
      <x:c r="L303" s="35" t="n">
        <x:f>H303*J303*(1+K303)</x:f>
        <x:v>2591.0214697185115</x:v>
      </x:c>
      <x:c r="M303" s="35" t="n">
        <x:f>SUMIFS('菜谱BOM'!$F$5:$F$160,'菜谱BOM'!$A$5:$A$160,E303,'菜谱BOM'!$C$5:$C$160,"调料")</x:f>
        <x:v>67</x:v>
      </x:c>
      <x:c r="N303" s="38" t="n">
        <x:v>3.510233946961705e-7</x:v>
      </x:c>
      <x:c r="O303" s="35" t="n">
        <x:f>H303*M303*(1+N303)</x:f>
        <x:v>402.00014111140473</x:v>
      </x:c>
      <x:c r="P303" s="19" t="str">
        <x:f>IF(ABS(N303)&gt;'封面与口径'!$O$25,"机器调料需复核",IF(ABS(K303)&gt;0.02,"人工称重需复核","正常"))</x:f>
        <x:v>正常</x:v>
      </x:c>
      <x:c r="Q303" s="19" t="str">
        <x:v>杨帆</x:v>
      </x:c>
    </x:row>
    <x:row r="304">
      <x:c r="A304" s="19" t="str">
        <x:v>2026-07-10|S03|D13</x:v>
      </x:c>
      <x:c r="B304" s="34" t="n">
        <x:v>46213.5</x:v>
      </x:c>
      <x:c r="C304" s="19" t="str">
        <x:v>S03</x:v>
      </x:c>
      <x:c r="D304" s="19" t="str">
        <x:v>铂悦城店</x:v>
      </x:c>
      <x:c r="E304" s="19" t="str">
        <x:v>D13</x:v>
      </x:c>
      <x:c r="F304" s="19" t="str">
        <x:v>外婆菜炒蛋</x:v>
      </x:c>
      <x:c r="G304" s="19" t="str">
        <x:v>R1.0</x:v>
      </x:c>
      <x:c r="H304" s="20" t="n">
        <x:f>XLOOKUP(A304,'菜品日销量'!$A$5:$A$1124,'菜品日销量'!$G$5:$G$1124,0)</x:f>
        <x:v>17</x:v>
      </x:c>
      <x:c r="I304" s="20" t="n">
        <x:f>ROUNDUP(H304/2,0)</x:f>
        <x:v>9</x:v>
      </x:c>
      <x:c r="J304" s="22" t="n">
        <x:f>SUMIFS('菜谱BOM'!$F$5:$F$160,'菜谱BOM'!$A$5:$A$160,E304,'菜谱BOM'!$C$5:$C$160,"食材")</x:f>
        <x:v>450</x:v>
      </x:c>
      <x:c r="K304" s="38" t="n">
        <x:v>0.0017101179793733454</x:v>
      </x:c>
      <x:c r="L304" s="35" t="n">
        <x:f>H304*J304*(1+K304)</x:f>
        <x:v>7663.082402542205</x:v>
      </x:c>
      <x:c r="M304" s="35" t="n">
        <x:f>SUMIFS('菜谱BOM'!$F$5:$F$160,'菜谱BOM'!$A$5:$A$160,E304,'菜谱BOM'!$C$5:$C$160,"调料")</x:f>
        <x:v>37</x:v>
      </x:c>
      <x:c r="N304" s="38" t="n">
        <x:v>-0.001665090175267563</x:v>
      </x:c>
      <x:c r="O304" s="35" t="n">
        <x:f>H304*M304*(1+N304)</x:f>
        <x:v>627.9526582797566</x:v>
      </x:c>
      <x:c r="P304" s="19" t="str">
        <x:f>IF(ABS(N304)&gt;'封面与口径'!$O$25,"机器调料需复核",IF(ABS(K304)&gt;0.02,"人工称重需复核","正常"))</x:f>
        <x:v>正常</x:v>
      </x:c>
      <x:c r="Q304" s="19" t="str">
        <x:v>杨帆</x:v>
      </x:c>
    </x:row>
    <x:row r="305">
      <x:c r="A305" s="19" t="str">
        <x:v>2026-07-10|S03|D14</x:v>
      </x:c>
      <x:c r="B305" s="34" t="n">
        <x:v>46213.5</x:v>
      </x:c>
      <x:c r="C305" s="19" t="str">
        <x:v>S03</x:v>
      </x:c>
      <x:c r="D305" s="19" t="str">
        <x:v>铂悦城店</x:v>
      </x:c>
      <x:c r="E305" s="19" t="str">
        <x:v>D14</x:v>
      </x:c>
      <x:c r="F305" s="19" t="str">
        <x:v>酸辣鸡杂</x:v>
      </x:c>
      <x:c r="G305" s="19" t="str">
        <x:v>R1.0</x:v>
      </x:c>
      <x:c r="H305" s="20" t="n">
        <x:f>XLOOKUP(A305,'菜品日销量'!$A$5:$A$1124,'菜品日销量'!$G$5:$G$1124,0)</x:f>
        <x:v>9</x:v>
      </x:c>
      <x:c r="I305" s="20" t="n">
        <x:f>ROUNDUP(H305/2,0)</x:f>
        <x:v>5</x:v>
      </x:c>
      <x:c r="J305" s="22" t="n">
        <x:f>SUMIFS('菜谱BOM'!$F$5:$F$160,'菜谱BOM'!$A$5:$A$160,E305,'菜谱BOM'!$C$5:$C$160,"食材")</x:f>
        <x:v>470</x:v>
      </x:c>
      <x:c r="K305" s="38" t="n">
        <x:v>0.004111895310718541</x:v>
      </x:c>
      <x:c r="L305" s="35" t="n">
        <x:f>H305*J305*(1+K305)</x:f>
        <x:v>4247.39331716434</x:v>
      </x:c>
      <x:c r="M305" s="35" t="n">
        <x:f>SUMIFS('菜谱BOM'!$F$5:$F$160,'菜谱BOM'!$A$5:$A$160,E305,'菜谱BOM'!$C$5:$C$160,"调料")</x:f>
        <x:v>60</x:v>
      </x:c>
      <x:c r="N305" s="38" t="n">
        <x:v>0.0015456684882626094</x:v>
      </x:c>
      <x:c r="O305" s="35" t="n">
        <x:f>H305*M305*(1+N305)</x:f>
        <x:v>540.8346609836618</x:v>
      </x:c>
      <x:c r="P305" s="19" t="str">
        <x:f>IF(ABS(N305)&gt;'封面与口径'!$O$25,"机器调料需复核",IF(ABS(K305)&gt;0.02,"人工称重需复核","正常"))</x:f>
        <x:v>正常</x:v>
      </x:c>
      <x:c r="Q305" s="19" t="str">
        <x:v>杨帆</x:v>
      </x:c>
    </x:row>
    <x:row r="306">
      <x:c r="A306" s="19" t="str">
        <x:v>2026-07-10|S03|D15</x:v>
      </x:c>
      <x:c r="B306" s="34" t="n">
        <x:v>46213.5</x:v>
      </x:c>
      <x:c r="C306" s="19" t="str">
        <x:v>S03</x:v>
      </x:c>
      <x:c r="D306" s="19" t="str">
        <x:v>铂悦城店</x:v>
      </x:c>
      <x:c r="E306" s="19" t="str">
        <x:v>D15</x:v>
      </x:c>
      <x:c r="F306" s="19" t="str">
        <x:v>湘西土匪猪肝</x:v>
      </x:c>
      <x:c r="G306" s="19" t="str">
        <x:v>R1.0</x:v>
      </x:c>
      <x:c r="H306" s="20" t="n">
        <x:f>XLOOKUP(A306,'菜品日销量'!$A$5:$A$1124,'菜品日销量'!$G$5:$G$1124,0)</x:f>
        <x:v>8</x:v>
      </x:c>
      <x:c r="I306" s="20" t="n">
        <x:f>ROUNDUP(H306/2,0)</x:f>
        <x:v>4</x:v>
      </x:c>
      <x:c r="J306" s="22" t="n">
        <x:f>SUMIFS('菜谱BOM'!$F$5:$F$160,'菜谱BOM'!$A$5:$A$160,E306,'菜谱BOM'!$C$5:$C$160,"食材")</x:f>
        <x:v>470</x:v>
      </x:c>
      <x:c r="K306" s="38" t="n">
        <x:v>0.00779743485893063</x:v>
      </x:c>
      <x:c r="L306" s="35" t="n">
        <x:f>H306*J306*(1+K306)</x:f>
        <x:v>3789.3183550695794</x:v>
      </x:c>
      <x:c r="M306" s="35" t="n">
        <x:f>SUMIFS('菜谱BOM'!$F$5:$F$160,'菜谱BOM'!$A$5:$A$160,E306,'菜谱BOM'!$C$5:$C$160,"调料")</x:f>
        <x:v>49</x:v>
      </x:c>
      <x:c r="N306" s="38" t="n">
        <x:v>0.0010641483075600462</x:v>
      </x:c>
      <x:c r="O306" s="35" t="n">
        <x:f>H306*M306*(1+N306)</x:f>
        <x:v>392.41714613656353</x:v>
      </x:c>
      <x:c r="P306" s="19" t="str">
        <x:f>IF(ABS(N306)&gt;'封面与口径'!$O$25,"机器调料需复核",IF(ABS(K306)&gt;0.02,"人工称重需复核","正常"))</x:f>
        <x:v>正常</x:v>
      </x:c>
      <x:c r="Q306" s="19" t="str">
        <x:v>杨帆</x:v>
      </x:c>
    </x:row>
    <x:row r="307">
      <x:c r="A307" s="19" t="str">
        <x:v>2026-07-10|S03|D16</x:v>
      </x:c>
      <x:c r="B307" s="34" t="n">
        <x:v>46213.5</x:v>
      </x:c>
      <x:c r="C307" s="19" t="str">
        <x:v>S03</x:v>
      </x:c>
      <x:c r="D307" s="19" t="str">
        <x:v>铂悦城店</x:v>
      </x:c>
      <x:c r="E307" s="19" t="str">
        <x:v>D16</x:v>
      </x:c>
      <x:c r="F307" s="19" t="str">
        <x:v>小豆角炒五花</x:v>
      </x:c>
      <x:c r="G307" s="19" t="str">
        <x:v>R1.0</x:v>
      </x:c>
      <x:c r="H307" s="20" t="n">
        <x:f>XLOOKUP(A307,'菜品日销量'!$A$5:$A$1124,'菜品日销量'!$G$5:$G$1124,0)</x:f>
        <x:v>7</x:v>
      </x:c>
      <x:c r="I307" s="20" t="n">
        <x:f>ROUNDUP(H307/2,0)</x:f>
        <x:v>4</x:v>
      </x:c>
      <x:c r="J307" s="22" t="n">
        <x:f>SUMIFS('菜谱BOM'!$F$5:$F$160,'菜谱BOM'!$A$5:$A$160,E307,'菜谱BOM'!$C$5:$C$160,"食材")</x:f>
        <x:v>450</x:v>
      </x:c>
      <x:c r="K307" s="38" t="n">
        <x:v>-0.00326876956859342</x:v>
      </x:c>
      <x:c r="L307" s="35" t="n">
        <x:f>H307*J307*(1+K307)</x:f>
        <x:v>3139.7033758589305</x:v>
      </x:c>
      <x:c r="M307" s="35" t="n">
        <x:f>SUMIFS('菜谱BOM'!$F$5:$F$160,'菜谱BOM'!$A$5:$A$160,E307,'菜谱BOM'!$C$5:$C$160,"调料")</x:f>
        <x:v>42</x:v>
      </x:c>
      <x:c r="N307" s="38" t="n">
        <x:v>0.0015056011005084966</x:v>
      </x:c>
      <x:c r="O307" s="35" t="n">
        <x:f>H307*M307*(1+N307)</x:f>
        <x:v>294.4426467235495</x:v>
      </x:c>
      <x:c r="P307" s="19" t="str">
        <x:f>IF(ABS(N307)&gt;'封面与口径'!$O$25,"机器调料需复核",IF(ABS(K307)&gt;0.02,"人工称重需复核","正常"))</x:f>
        <x:v>正常</x:v>
      </x:c>
      <x:c r="Q307" s="19" t="str">
        <x:v>杨帆</x:v>
      </x:c>
    </x:row>
    <x:row r="308">
      <x:c r="A308" s="19" t="str">
        <x:v>2026-07-10|S03|D18</x:v>
      </x:c>
      <x:c r="B308" s="34" t="n">
        <x:v>46213.5</x:v>
      </x:c>
      <x:c r="C308" s="19" t="str">
        <x:v>S03</x:v>
      </x:c>
      <x:c r="D308" s="19" t="str">
        <x:v>铂悦城店</x:v>
      </x:c>
      <x:c r="E308" s="19" t="str">
        <x:v>D18</x:v>
      </x:c>
      <x:c r="F308" s="19" t="str">
        <x:v>青椒炒油麦菜</x:v>
      </x:c>
      <x:c r="G308" s="19" t="str">
        <x:v>R1.0</x:v>
      </x:c>
      <x:c r="H308" s="20" t="n">
        <x:f>XLOOKUP(A308,'菜品日销量'!$A$5:$A$1124,'菜品日销量'!$G$5:$G$1124,0)</x:f>
        <x:v>10</x:v>
      </x:c>
      <x:c r="I308" s="20" t="n">
        <x:f>ROUNDUP(H308/2,0)</x:f>
        <x:v>5</x:v>
      </x:c>
      <x:c r="J308" s="22" t="n">
        <x:f>SUMIFS('菜谱BOM'!$F$5:$F$160,'菜谱BOM'!$A$5:$A$160,E308,'菜谱BOM'!$C$5:$C$160,"食材")</x:f>
        <x:v>430</x:v>
      </x:c>
      <x:c r="K308" s="38" t="n">
        <x:v>-0.00798966726660488</x:v>
      </x:c>
      <x:c r="L308" s="35" t="n">
        <x:f>H308*J308*(1+K308)</x:f>
        <x:v>4265.644430753599</x:v>
      </x:c>
      <x:c r="M308" s="35" t="n">
        <x:f>SUMIFS('菜谱BOM'!$F$5:$F$160,'菜谱BOM'!$A$5:$A$160,E308,'菜谱BOM'!$C$5:$C$160,"调料")</x:f>
        <x:v>33</x:v>
      </x:c>
      <x:c r="N308" s="38" t="n">
        <x:v>-0.000004289215897277376</x:v>
      </x:c>
      <x:c r="O308" s="35" t="n">
        <x:f>H308*M308*(1+N308)</x:f>
        <x:v>329.9985845587539</x:v>
      </x:c>
      <x:c r="P308" s="19" t="str">
        <x:f>IF(ABS(N308)&gt;'封面与口径'!$O$25,"机器调料需复核",IF(ABS(K308)&gt;0.02,"人工称重需复核","正常"))</x:f>
        <x:v>正常</x:v>
      </x:c>
      <x:c r="Q308" s="19" t="str">
        <x:v>杨帆</x:v>
      </x:c>
    </x:row>
    <x:row r="309">
      <x:c r="A309" s="19" t="str">
        <x:v>2026-07-10|S03|D19</x:v>
      </x:c>
      <x:c r="B309" s="34" t="n">
        <x:v>46213.5</x:v>
      </x:c>
      <x:c r="C309" s="19" t="str">
        <x:v>S03</x:v>
      </x:c>
      <x:c r="D309" s="19" t="str">
        <x:v>铂悦城店</x:v>
      </x:c>
      <x:c r="E309" s="19" t="str">
        <x:v>D19</x:v>
      </x:c>
      <x:c r="F309" s="19" t="str">
        <x:v>酸萝卜炒鸡杂</x:v>
      </x:c>
      <x:c r="G309" s="19" t="str">
        <x:v>R1.0</x:v>
      </x:c>
      <x:c r="H309" s="20" t="n">
        <x:f>XLOOKUP(A309,'菜品日销量'!$A$5:$A$1124,'菜品日销量'!$G$5:$G$1124,0)</x:f>
        <x:v>6</x:v>
      </x:c>
      <x:c r="I309" s="20" t="n">
        <x:f>ROUNDUP(H309/2,0)</x:f>
        <x:v>3</x:v>
      </x:c>
      <x:c r="J309" s="22" t="n">
        <x:f>SUMIFS('菜谱BOM'!$F$5:$F$160,'菜谱BOM'!$A$5:$A$160,E309,'菜谱BOM'!$C$5:$C$160,"食材")</x:f>
        <x:v>500</x:v>
      </x:c>
      <x:c r="K309" s="38" t="n">
        <x:v>0.005460612035696537</x:v>
      </x:c>
      <x:c r="L309" s="35" t="n">
        <x:f>H309*J309*(1+K309)</x:f>
        <x:v>3016.38183610709</x:v>
      </x:c>
      <x:c r="M309" s="35" t="n">
        <x:f>SUMIFS('菜谱BOM'!$F$5:$F$160,'菜谱BOM'!$A$5:$A$160,E309,'菜谱BOM'!$C$5:$C$160,"调料")</x:f>
        <x:v>55</x:v>
      </x:c>
      <x:c r="N309" s="38" t="n">
        <x:v>-0.0005803471018048812</x:v>
      </x:c>
      <x:c r="O309" s="35" t="n">
        <x:f>H309*M309*(1+N309)</x:f>
        <x:v>329.8084854564044</x:v>
      </x:c>
      <x:c r="P309" s="19" t="str">
        <x:f>IF(ABS(N309)&gt;'封面与口径'!$O$25,"机器调料需复核",IF(ABS(K309)&gt;0.02,"人工称重需复核","正常"))</x:f>
        <x:v>正常</x:v>
      </x:c>
      <x:c r="Q309" s="19" t="str">
        <x:v>杨帆</x:v>
      </x:c>
    </x:row>
    <x:row r="310">
      <x:c r="A310" s="19" t="str">
        <x:v>2026-07-10|S03|D20</x:v>
      </x:c>
      <x:c r="B310" s="34" t="n">
        <x:v>46213.5</x:v>
      </x:c>
      <x:c r="C310" s="19" t="str">
        <x:v>S03</x:v>
      </x:c>
      <x:c r="D310" s="19" t="str">
        <x:v>铂悦城店</x:v>
      </x:c>
      <x:c r="E310" s="19" t="str">
        <x:v>D20</x:v>
      </x:c>
      <x:c r="F310" s="19" t="str">
        <x:v>雪菜肉末青豆</x:v>
      </x:c>
      <x:c r="G310" s="19" t="str">
        <x:v>R1.0</x:v>
      </x:c>
      <x:c r="H310" s="20" t="n">
        <x:f>XLOOKUP(A310,'菜品日销量'!$A$5:$A$1124,'菜品日销量'!$G$5:$G$1124,0)</x:f>
        <x:v>10</x:v>
      </x:c>
      <x:c r="I310" s="20" t="n">
        <x:f>ROUNDUP(H310/2,0)</x:f>
        <x:v>5</x:v>
      </x:c>
      <x:c r="J310" s="22" t="n">
        <x:f>SUMIFS('菜谱BOM'!$F$5:$F$160,'菜谱BOM'!$A$5:$A$160,E310,'菜谱BOM'!$C$5:$C$160,"食材")</x:f>
        <x:v>465</x:v>
      </x:c>
      <x:c r="K310" s="38" t="n">
        <x:v>-0.004114241520900802</x:v>
      </x:c>
      <x:c r="L310" s="35" t="n">
        <x:f>H310*J310*(1+K310)</x:f>
        <x:v>4630.868776927811</x:v>
      </x:c>
      <x:c r="M310" s="35" t="n">
        <x:f>SUMIFS('菜谱BOM'!$F$5:$F$160,'菜谱BOM'!$A$5:$A$160,E310,'菜谱BOM'!$C$5:$C$160,"调料")</x:f>
        <x:v>32</x:v>
      </x:c>
      <x:c r="N310" s="38" t="n">
        <x:v>-0.0018560611530803286</x:v>
      </x:c>
      <x:c r="O310" s="35" t="n">
        <x:f>H310*M310*(1+N310)</x:f>
        <x:v>319.4060604310143</x:v>
      </x:c>
      <x:c r="P310" s="19" t="str">
        <x:f>IF(ABS(N310)&gt;'封面与口径'!$O$25,"机器调料需复核",IF(ABS(K310)&gt;0.02,"人工称重需复核","正常"))</x:f>
        <x:v>正常</x:v>
      </x:c>
      <x:c r="Q310" s="19" t="str">
        <x:v>杨帆</x:v>
      </x:c>
    </x:row>
    <x:row r="311">
      <x:c r="A311" s="19" t="str">
        <x:v>2026-07-11|S03|D01</x:v>
      </x:c>
      <x:c r="B311" s="34" t="n">
        <x:v>46214.5</x:v>
      </x:c>
      <x:c r="C311" s="19" t="str">
        <x:v>S03</x:v>
      </x:c>
      <x:c r="D311" s="19" t="str">
        <x:v>铂悦城店</x:v>
      </x:c>
      <x:c r="E311" s="19" t="str">
        <x:v>D01</x:v>
      </x:c>
      <x:c r="F311" s="19" t="str">
        <x:v>辣椒炒肉</x:v>
      </x:c>
      <x:c r="G311" s="19" t="str">
        <x:v>R2.3</x:v>
      </x:c>
      <x:c r="H311" s="20" t="n">
        <x:f>XLOOKUP(A311,'菜品日销量'!$A$5:$A$1124,'菜品日销量'!$G$5:$G$1124,0)</x:f>
        <x:v>39</x:v>
      </x:c>
      <x:c r="I311" s="20" t="n">
        <x:f>ROUNDUP(H311/2,0)</x:f>
        <x:v>20</x:v>
      </x:c>
      <x:c r="J311" s="22" t="n">
        <x:f>SUMIFS('菜谱BOM'!$F$5:$F$160,'菜谱BOM'!$A$5:$A$160,E311,'菜谱BOM'!$C$5:$C$160,"食材")</x:f>
        <x:v>550</x:v>
      </x:c>
      <x:c r="K311" s="38" t="n">
        <x:v>-0.0014804112039227997</x:v>
      </x:c>
      <x:c r="L311" s="35" t="n">
        <x:f>H311*J311*(1+K311)</x:f>
        <x:v>21418.245179675854</x:v>
      </x:c>
      <x:c r="M311" s="35" t="n">
        <x:f>SUMIFS('菜谱BOM'!$F$5:$F$160,'菜谱BOM'!$A$5:$A$160,E311,'菜谱BOM'!$C$5:$C$160,"调料")</x:f>
        <x:v>104</x:v>
      </x:c>
      <x:c r="N311" s="38" t="n">
        <x:v>-0.00027903662395641125</x:v>
      </x:c>
      <x:c r="O311" s="35" t="n">
        <x:f>H311*M311*(1+N311)</x:f>
        <x:v>4054.8682274532325</x:v>
      </x:c>
      <x:c r="P311" s="19" t="str">
        <x:f>IF(ABS(N311)&gt;'封面与口径'!$O$25,"机器调料需复核",IF(ABS(K311)&gt;0.02,"人工称重需复核","正常"))</x:f>
        <x:v>正常</x:v>
      </x:c>
      <x:c r="Q311" s="19" t="str">
        <x:v>杨帆</x:v>
      </x:c>
    </x:row>
    <x:row r="312">
      <x:c r="A312" s="19" t="str">
        <x:v>2026-07-11|S03|D02</x:v>
      </x:c>
      <x:c r="B312" s="34" t="n">
        <x:v>46214.5</x:v>
      </x:c>
      <x:c r="C312" s="19" t="str">
        <x:v>S03</x:v>
      </x:c>
      <x:c r="D312" s="19" t="str">
        <x:v>铂悦城店</x:v>
      </x:c>
      <x:c r="E312" s="19" t="str">
        <x:v>D02</x:v>
      </x:c>
      <x:c r="F312" s="19" t="str">
        <x:v>小炒黄牛肉</x:v>
      </x:c>
      <x:c r="G312" s="19" t="str">
        <x:v>R2.3</x:v>
      </x:c>
      <x:c r="H312" s="20" t="n">
        <x:f>XLOOKUP(A312,'菜品日销量'!$A$5:$A$1124,'菜品日销量'!$G$5:$G$1124,0)</x:f>
        <x:v>27</x:v>
      </x:c>
      <x:c r="I312" s="20" t="n">
        <x:f>ROUNDUP(H312/2,0)</x:f>
        <x:v>14</x:v>
      </x:c>
      <x:c r="J312" s="22" t="n">
        <x:f>SUMIFS('菜谱BOM'!$F$5:$F$160,'菜谱BOM'!$A$5:$A$160,E312,'菜谱BOM'!$C$5:$C$160,"食材")</x:f>
        <x:v>560</x:v>
      </x:c>
      <x:c r="K312" s="38" t="n">
        <x:v>0.004431683885965423</x:v>
      </x:c>
      <x:c r="L312" s="35" t="n">
        <x:f>H312*J312*(1+K312)</x:f>
        <x:v>15187.007060355798</x:v>
      </x:c>
      <x:c r="M312" s="35" t="n">
        <x:f>SUMIFS('菜谱BOM'!$F$5:$F$160,'菜谱BOM'!$A$5:$A$160,E312,'菜谱BOM'!$C$5:$C$160,"调料")</x:f>
        <x:v>133</x:v>
      </x:c>
      <x:c r="N312" s="38" t="n">
        <x:v>-0.0013839654576461682</x:v>
      </x:c>
      <x:c r="O312" s="35" t="n">
        <x:f>H312*M312*(1+N312)</x:f>
        <x:v>3586.0301800415928</x:v>
      </x:c>
      <x:c r="P312" s="19" t="str">
        <x:f>IF(ABS(N312)&gt;'封面与口径'!$O$25,"机器调料需复核",IF(ABS(K312)&gt;0.02,"人工称重需复核","正常"))</x:f>
        <x:v>正常</x:v>
      </x:c>
      <x:c r="Q312" s="19" t="str">
        <x:v>杨帆</x:v>
      </x:c>
    </x:row>
    <x:row r="313">
      <x:c r="A313" s="19" t="str">
        <x:v>2026-07-11|S03|D03</x:v>
      </x:c>
      <x:c r="B313" s="34" t="n">
        <x:v>46214.5</x:v>
      </x:c>
      <x:c r="C313" s="19" t="str">
        <x:v>S03</x:v>
      </x:c>
      <x:c r="D313" s="19" t="str">
        <x:v>铂悦城店</x:v>
      </x:c>
      <x:c r="E313" s="19" t="str">
        <x:v>D03</x:v>
      </x:c>
      <x:c r="F313" s="19" t="str">
        <x:v>香醋炒蛋</x:v>
      </x:c>
      <x:c r="G313" s="19" t="str">
        <x:v>R1.0</x:v>
      </x:c>
      <x:c r="H313" s="20" t="n">
        <x:f>XLOOKUP(A313,'菜品日销量'!$A$5:$A$1124,'菜品日销量'!$G$5:$G$1124,0)</x:f>
        <x:v>33</x:v>
      </x:c>
      <x:c r="I313" s="20" t="n">
        <x:f>ROUNDUP(H313/2,0)</x:f>
        <x:v>17</x:v>
      </x:c>
      <x:c r="J313" s="22" t="n">
        <x:f>SUMIFS('菜谱BOM'!$F$5:$F$160,'菜谱BOM'!$A$5:$A$160,E313,'菜谱BOM'!$C$5:$C$160,"食材")</x:f>
        <x:v>300</x:v>
      </x:c>
      <x:c r="K313" s="38" t="n">
        <x:v>0.006535996131258085</x:v>
      </x:c>
      <x:c r="L313" s="35" t="n">
        <x:f>H313*J313*(1+K313)</x:f>
        <x:v>9964.706361699455</x:v>
      </x:c>
      <x:c r="M313" s="35" t="n">
        <x:f>SUMIFS('菜谱BOM'!$F$5:$F$160,'菜谱BOM'!$A$5:$A$160,E313,'菜谱BOM'!$C$5:$C$160,"调料")</x:f>
        <x:v>53</x:v>
      </x:c>
      <x:c r="N313" s="38" t="n">
        <x:v>-0.0018654856383487318</x:v>
      </x:c>
      <x:c r="O313" s="35" t="n">
        <x:f>H313*M313*(1+N313)</x:f>
        <x:v>1745.737265618528</x:v>
      </x:c>
      <x:c r="P313" s="19" t="str">
        <x:f>IF(ABS(N313)&gt;'封面与口径'!$O$25,"机器调料需复核",IF(ABS(K313)&gt;0.02,"人工称重需复核","正常"))</x:f>
        <x:v>正常</x:v>
      </x:c>
      <x:c r="Q313" s="19" t="str">
        <x:v>杨帆</x:v>
      </x:c>
    </x:row>
    <x:row r="314">
      <x:c r="A314" s="19" t="str">
        <x:v>2026-07-11|S03|D04</x:v>
      </x:c>
      <x:c r="B314" s="34" t="n">
        <x:v>46214.5</x:v>
      </x:c>
      <x:c r="C314" s="19" t="str">
        <x:v>S03</x:v>
      </x:c>
      <x:c r="D314" s="19" t="str">
        <x:v>铂悦城店</x:v>
      </x:c>
      <x:c r="E314" s="19" t="str">
        <x:v>D04</x:v>
      </x:c>
      <x:c r="F314" s="19" t="str">
        <x:v>酸包菜炒粉皮</x:v>
      </x:c>
      <x:c r="G314" s="19" t="str">
        <x:v>R1.0</x:v>
      </x:c>
      <x:c r="H314" s="20" t="n">
        <x:f>XLOOKUP(A314,'菜品日销量'!$A$5:$A$1124,'菜品日销量'!$G$5:$G$1124,0)</x:f>
        <x:v>29</x:v>
      </x:c>
      <x:c r="I314" s="20" t="n">
        <x:f>ROUNDUP(H314/2,0)</x:f>
        <x:v>15</x:v>
      </x:c>
      <x:c r="J314" s="22" t="n">
        <x:f>SUMIFS('菜谱BOM'!$F$5:$F$160,'菜谱BOM'!$A$5:$A$160,E314,'菜谱BOM'!$C$5:$C$160,"食材")</x:f>
        <x:v>380</x:v>
      </x:c>
      <x:c r="K314" s="38" t="n">
        <x:v>0.0021156428554364587</x:v>
      </x:c>
      <x:c r="L314" s="35" t="n">
        <x:f>H314*J314*(1+K314)</x:f>
        <x:v>11043.31438426691</x:v>
      </x:c>
      <x:c r="M314" s="35" t="n">
        <x:f>SUMIFS('菜谱BOM'!$F$5:$F$160,'菜谱BOM'!$A$5:$A$160,E314,'菜谱BOM'!$C$5:$C$160,"调料")</x:f>
        <x:v>47</x:v>
      </x:c>
      <x:c r="N314" s="38" t="n">
        <x:v>0.0014529292172409895</x:v>
      </x:c>
      <x:c r="O314" s="35" t="n">
        <x:f>H314*M314*(1+N314)</x:f>
        <x:v>1364.9803425230994</x:v>
      </x:c>
      <x:c r="P314" s="19" t="str">
        <x:f>IF(ABS(N314)&gt;'封面与口径'!$O$25,"机器调料需复核",IF(ABS(K314)&gt;0.02,"人工称重需复核","正常"))</x:f>
        <x:v>正常</x:v>
      </x:c>
      <x:c r="Q314" s="19" t="str">
        <x:v>杨帆</x:v>
      </x:c>
    </x:row>
    <x:row r="315">
      <x:c r="A315" s="19" t="str">
        <x:v>2026-07-11|S03|D05</x:v>
      </x:c>
      <x:c r="B315" s="34" t="n">
        <x:v>46214.5</x:v>
      </x:c>
      <x:c r="C315" s="19" t="str">
        <x:v>S03</x:v>
      </x:c>
      <x:c r="D315" s="19" t="str">
        <x:v>铂悦城店</x:v>
      </x:c>
      <x:c r="E315" s="19" t="str">
        <x:v>D05</x:v>
      </x:c>
      <x:c r="F315" s="19" t="str">
        <x:v>麻婆豆腐</x:v>
      </x:c>
      <x:c r="G315" s="19" t="str">
        <x:v>R1.0</x:v>
      </x:c>
      <x:c r="H315" s="20" t="n">
        <x:f>XLOOKUP(A315,'菜品日销量'!$A$5:$A$1124,'菜品日销量'!$G$5:$G$1124,0)</x:f>
        <x:v>42</x:v>
      </x:c>
      <x:c r="I315" s="20" t="n">
        <x:f>ROUNDUP(H315/2,0)</x:f>
        <x:v>21</x:v>
      </x:c>
      <x:c r="J315" s="22" t="n">
        <x:f>SUMIFS('菜谱BOM'!$F$5:$F$160,'菜谱BOM'!$A$5:$A$160,E315,'菜谱BOM'!$C$5:$C$160,"食材")</x:f>
        <x:v>505</x:v>
      </x:c>
      <x:c r="K315" s="38" t="n">
        <x:v>-0.003051688867400328</x:v>
      </x:c>
      <x:c r="L315" s="35" t="n">
        <x:f>H315*J315*(1+K315)</x:f>
        <x:v>21145.273679122438</x:v>
      </x:c>
      <x:c r="M315" s="35" t="n">
        <x:f>SUMIFS('菜谱BOM'!$F$5:$F$160,'菜谱BOM'!$A$5:$A$160,E315,'菜谱BOM'!$C$5:$C$160,"调料")</x:f>
        <x:v>90</x:v>
      </x:c>
      <x:c r="N315" s="38" t="n">
        <x:v>0.00009652906518814364</x:v>
      </x:c>
      <x:c r="O315" s="35" t="n">
        <x:f>H315*M315*(1+N315)</x:f>
        <x:v>3780.3648798664112</x:v>
      </x:c>
      <x:c r="P315" s="19" t="str">
        <x:f>IF(ABS(N315)&gt;'封面与口径'!$O$25,"机器调料需复核",IF(ABS(K315)&gt;0.02,"人工称重需复核","正常"))</x:f>
        <x:v>正常</x:v>
      </x:c>
      <x:c r="Q315" s="19" t="str">
        <x:v>杨帆</x:v>
      </x:c>
    </x:row>
    <x:row r="316">
      <x:c r="A316" s="19" t="str">
        <x:v>2026-07-11|S03|D07</x:v>
      </x:c>
      <x:c r="B316" s="34" t="n">
        <x:v>46214.5</x:v>
      </x:c>
      <x:c r="C316" s="19" t="str">
        <x:v>S03</x:v>
      </x:c>
      <x:c r="D316" s="19" t="str">
        <x:v>铂悦城店</x:v>
      </x:c>
      <x:c r="E316" s="19" t="str">
        <x:v>D07</x:v>
      </x:c>
      <x:c r="F316" s="19" t="str">
        <x:v>川味回锅肉</x:v>
      </x:c>
      <x:c r="G316" s="19" t="str">
        <x:v>R1.0</x:v>
      </x:c>
      <x:c r="H316" s="20" t="n">
        <x:f>XLOOKUP(A316,'菜品日销量'!$A$5:$A$1124,'菜品日销量'!$G$5:$G$1124,0)</x:f>
        <x:v>12</x:v>
      </x:c>
      <x:c r="I316" s="20" t="n">
        <x:f>ROUNDUP(H316/2,0)</x:f>
        <x:v>6</x:v>
      </x:c>
      <x:c r="J316" s="22" t="n">
        <x:f>SUMIFS('菜谱BOM'!$F$5:$F$160,'菜谱BOM'!$A$5:$A$160,E316,'菜谱BOM'!$C$5:$C$160,"食材")</x:f>
        <x:v>450</x:v>
      </x:c>
      <x:c r="K316" s="38" t="n">
        <x:v>0.002237253493218974</x:v>
      </x:c>
      <x:c r="L316" s="35" t="n">
        <x:f>H316*J316*(1+K316)</x:f>
        <x:v>5412.081168863382</x:v>
      </x:c>
      <x:c r="M316" s="35" t="n">
        <x:f>SUMIFS('菜谱BOM'!$F$5:$F$160,'菜谱BOM'!$A$5:$A$160,E316,'菜谱BOM'!$C$5:$C$160,"调料")</x:f>
        <x:v>63</x:v>
      </x:c>
      <x:c r="N316" s="38" t="n">
        <x:v>-0.0003155279341888446</x:v>
      </x:c>
      <x:c r="O316" s="35" t="n">
        <x:f>H316*M316*(1+N316)</x:f>
        <x:v>755.7614608817532</x:v>
      </x:c>
      <x:c r="P316" s="19" t="str">
        <x:f>IF(ABS(N316)&gt;'封面与口径'!$O$25,"机器调料需复核",IF(ABS(K316)&gt;0.02,"人工称重需复核","正常"))</x:f>
        <x:v>正常</x:v>
      </x:c>
      <x:c r="Q316" s="19" t="str">
        <x:v>杨帆</x:v>
      </x:c>
    </x:row>
    <x:row r="317">
      <x:c r="A317" s="19" t="str">
        <x:v>2026-07-11|S03|D08</x:v>
      </x:c>
      <x:c r="B317" s="34" t="n">
        <x:v>46214.5</x:v>
      </x:c>
      <x:c r="C317" s="19" t="str">
        <x:v>S03</x:v>
      </x:c>
      <x:c r="D317" s="19" t="str">
        <x:v>铂悦城店</x:v>
      </x:c>
      <x:c r="E317" s="19" t="str">
        <x:v>D08</x:v>
      </x:c>
      <x:c r="F317" s="19" t="str">
        <x:v>生炒清远鸡</x:v>
      </x:c>
      <x:c r="G317" s="19" t="str">
        <x:v>R1.0</x:v>
      </x:c>
      <x:c r="H317" s="20" t="n">
        <x:f>XLOOKUP(A317,'菜品日销量'!$A$5:$A$1124,'菜品日销量'!$G$5:$G$1124,0)</x:f>
        <x:v>9</x:v>
      </x:c>
      <x:c r="I317" s="20" t="n">
        <x:f>ROUNDUP(H317/2,0)</x:f>
        <x:v>5</x:v>
      </x:c>
      <x:c r="J317" s="22" t="n">
        <x:f>SUMIFS('菜谱BOM'!$F$5:$F$160,'菜谱BOM'!$A$5:$A$160,E317,'菜谱BOM'!$C$5:$C$160,"食材")</x:f>
        <x:v>610</x:v>
      </x:c>
      <x:c r="K317" s="38" t="n">
        <x:v>-0.00449775866337534</x:v>
      </x:c>
      <x:c r="L317" s="35" t="n">
        <x:f>H317*J317*(1+K317)</x:f>
        <x:v>5465.307304938069</x:v>
      </x:c>
      <x:c r="M317" s="35" t="n">
        <x:f>SUMIFS('菜谱BOM'!$F$5:$F$160,'菜谱BOM'!$A$5:$A$160,E317,'菜谱BOM'!$C$5:$C$160,"调料")</x:f>
        <x:v>61</x:v>
      </x:c>
      <x:c r="N317" s="38" t="n">
        <x:v>0.0013464650510220007</x:v>
      </x:c>
      <x:c r="O317" s="35" t="n">
        <x:f>H317*M317*(1+N317)</x:f>
        <x:v>549.7392093130111</x:v>
      </x:c>
      <x:c r="P317" s="19" t="str">
        <x:f>IF(ABS(N317)&gt;'封面与口径'!$O$25,"机器调料需复核",IF(ABS(K317)&gt;0.02,"人工称重需复核","正常"))</x:f>
        <x:v>正常</x:v>
      </x:c>
      <x:c r="Q317" s="19" t="str">
        <x:v>杨帆</x:v>
      </x:c>
    </x:row>
    <x:row r="318">
      <x:c r="A318" s="19" t="str">
        <x:v>2026-07-11|S03|D09</x:v>
      </x:c>
      <x:c r="B318" s="34" t="n">
        <x:v>46214.5</x:v>
      </x:c>
      <x:c r="C318" s="19" t="str">
        <x:v>S03</x:v>
      </x:c>
      <x:c r="D318" s="19" t="str">
        <x:v>铂悦城店</x:v>
      </x:c>
      <x:c r="E318" s="19" t="str">
        <x:v>D09</x:v>
      </x:c>
      <x:c r="F318" s="19" t="str">
        <x:v>炒豆干</x:v>
      </x:c>
      <x:c r="G318" s="19" t="str">
        <x:v>R1.0</x:v>
      </x:c>
      <x:c r="H318" s="20" t="n">
        <x:f>XLOOKUP(A318,'菜品日销量'!$A$5:$A$1124,'菜品日销量'!$G$5:$G$1124,0)</x:f>
        <x:v>13</x:v>
      </x:c>
      <x:c r="I318" s="20" t="n">
        <x:f>ROUNDUP(H318/2,0)</x:f>
        <x:v>7</x:v>
      </x:c>
      <x:c r="J318" s="22" t="n">
        <x:f>SUMIFS('菜谱BOM'!$F$5:$F$160,'菜谱BOM'!$A$5:$A$160,E318,'菜谱BOM'!$C$5:$C$160,"食材")</x:f>
        <x:v>520</x:v>
      </x:c>
      <x:c r="K318" s="38" t="n">
        <x:v>-0.0036594057110276553</x:v>
      </x:c>
      <x:c r="L318" s="35" t="n">
        <x:f>H318*J318*(1+K318)</x:f>
        <x:v>6735.262417393453</x:v>
      </x:c>
      <x:c r="M318" s="35" t="n">
        <x:f>SUMIFS('菜谱BOM'!$F$5:$F$160,'菜谱BOM'!$A$5:$A$160,E318,'菜谱BOM'!$C$5:$C$160,"调料")</x:f>
        <x:v>42</x:v>
      </x:c>
      <x:c r="N318" s="38" t="n">
        <x:v>0.0004925570437900158</x:v>
      </x:c>
      <x:c r="O318" s="35" t="n">
        <x:f>H318*M318*(1+N318)</x:f>
        <x:v>546.2689361459093</x:v>
      </x:c>
      <x:c r="P318" s="19" t="str">
        <x:f>IF(ABS(N318)&gt;'封面与口径'!$O$25,"机器调料需复核",IF(ABS(K318)&gt;0.02,"人工称重需复核","正常"))</x:f>
        <x:v>正常</x:v>
      </x:c>
      <x:c r="Q318" s="19" t="str">
        <x:v>杨帆</x:v>
      </x:c>
    </x:row>
    <x:row r="319">
      <x:c r="A319" s="19" t="str">
        <x:v>2026-07-11|S03|D10</x:v>
      </x:c>
      <x:c r="B319" s="34" t="n">
        <x:v>46214.5</x:v>
      </x:c>
      <x:c r="C319" s="19" t="str">
        <x:v>S03</x:v>
      </x:c>
      <x:c r="D319" s="19" t="str">
        <x:v>铂悦城店</x:v>
      </x:c>
      <x:c r="E319" s="19" t="str">
        <x:v>D10</x:v>
      </x:c>
      <x:c r="F319" s="19" t="str">
        <x:v>农家一碗香</x:v>
      </x:c>
      <x:c r="G319" s="19" t="str">
        <x:v>R2.3</x:v>
      </x:c>
      <x:c r="H319" s="20" t="n">
        <x:f>XLOOKUP(A319,'菜品日销量'!$A$5:$A$1124,'菜品日销量'!$G$5:$G$1124,0)</x:f>
        <x:v>16</x:v>
      </x:c>
      <x:c r="I319" s="20" t="n">
        <x:f>ROUNDUP(H319/2,0)</x:f>
        <x:v>8</x:v>
      </x:c>
      <x:c r="J319" s="22" t="n">
        <x:f>SUMIFS('菜谱BOM'!$F$5:$F$160,'菜谱BOM'!$A$5:$A$160,E319,'菜谱BOM'!$C$5:$C$160,"食材")</x:f>
        <x:v>510</x:v>
      </x:c>
      <x:c r="K319" s="38" t="n">
        <x:v>-0.0017647272445645017</x:v>
      </x:c>
      <x:c r="L319" s="35" t="n">
        <x:f>H319*J319*(1+K319)</x:f>
        <x:v>8145.599825684353</x:v>
      </x:c>
      <x:c r="M319" s="35" t="n">
        <x:f>SUMIFS('菜谱BOM'!$F$5:$F$160,'菜谱BOM'!$A$5:$A$160,E319,'菜谱BOM'!$C$5:$C$160,"调料")</x:f>
        <x:v>88</x:v>
      </x:c>
      <x:c r="N319" s="38" t="n">
        <x:v>-0.0017618881016415284</x:v>
      </x:c>
      <x:c r="O319" s="35" t="n">
        <x:f>H319*M319*(1+N319)</x:f>
        <x:v>1405.5192615528886</x:v>
      </x:c>
      <x:c r="P319" s="19" t="str">
        <x:f>IF(ABS(N319)&gt;'封面与口径'!$O$25,"机器调料需复核",IF(ABS(K319)&gt;0.02,"人工称重需复核","正常"))</x:f>
        <x:v>正常</x:v>
      </x:c>
      <x:c r="Q319" s="19" t="str">
        <x:v>杨帆</x:v>
      </x:c>
    </x:row>
    <x:row r="320">
      <x:c r="A320" s="19" t="str">
        <x:v>2026-07-11|S03|D11</x:v>
      </x:c>
      <x:c r="B320" s="34" t="n">
        <x:v>46214.5</x:v>
      </x:c>
      <x:c r="C320" s="19" t="str">
        <x:v>S03</x:v>
      </x:c>
      <x:c r="D320" s="19" t="str">
        <x:v>铂悦城店</x:v>
      </x:c>
      <x:c r="E320" s="19" t="str">
        <x:v>D11</x:v>
      </x:c>
      <x:c r="F320" s="19" t="str">
        <x:v>香辣爆肥肠</x:v>
      </x:c>
      <x:c r="G320" s="19" t="str">
        <x:v>R1.0</x:v>
      </x:c>
      <x:c r="H320" s="20" t="n">
        <x:f>XLOOKUP(A320,'菜品日销量'!$A$5:$A$1124,'菜品日销量'!$G$5:$G$1124,0)</x:f>
        <x:v>5</x:v>
      </x:c>
      <x:c r="I320" s="20" t="n">
        <x:f>ROUNDUP(H320/2,0)</x:f>
        <x:v>3</x:v>
      </x:c>
      <x:c r="J320" s="22" t="n">
        <x:f>SUMIFS('菜谱BOM'!$F$5:$F$160,'菜谱BOM'!$A$5:$A$160,E320,'菜谱BOM'!$C$5:$C$160,"食材")</x:f>
        <x:v>430</x:v>
      </x:c>
      <x:c r="K320" s="38" t="n">
        <x:v>0.004775778341287696</x:v>
      </x:c>
      <x:c r="L320" s="35" t="n">
        <x:f>H320*J320*(1+K320)</x:f>
        <x:v>2160.2679234337684</x:v>
      </x:c>
      <x:c r="M320" s="35" t="n">
        <x:f>SUMIFS('菜谱BOM'!$F$5:$F$160,'菜谱BOM'!$A$5:$A$160,E320,'菜谱BOM'!$C$5:$C$160,"调料")</x:f>
        <x:v>67</x:v>
      </x:c>
      <x:c r="N320" s="38" t="n">
        <x:v>-0.0013244966369412134</x:v>
      </x:c>
      <x:c r="O320" s="35" t="n">
        <x:f>H320*M320*(1+N320)</x:f>
        <x:v>334.55629362662467</x:v>
      </x:c>
      <x:c r="P320" s="19" t="str">
        <x:f>IF(ABS(N320)&gt;'封面与口径'!$O$25,"机器调料需复核",IF(ABS(K320)&gt;0.02,"人工称重需复核","正常"))</x:f>
        <x:v>正常</x:v>
      </x:c>
      <x:c r="Q320" s="19" t="str">
        <x:v>杨帆</x:v>
      </x:c>
    </x:row>
    <x:row r="321">
      <x:c r="A321" s="19" t="str">
        <x:v>2026-07-11|S03|D13</x:v>
      </x:c>
      <x:c r="B321" s="34" t="n">
        <x:v>46214.5</x:v>
      </x:c>
      <x:c r="C321" s="19" t="str">
        <x:v>S03</x:v>
      </x:c>
      <x:c r="D321" s="19" t="str">
        <x:v>铂悦城店</x:v>
      </x:c>
      <x:c r="E321" s="19" t="str">
        <x:v>D13</x:v>
      </x:c>
      <x:c r="F321" s="19" t="str">
        <x:v>外婆菜炒蛋</x:v>
      </x:c>
      <x:c r="G321" s="19" t="str">
        <x:v>R1.0</x:v>
      </x:c>
      <x:c r="H321" s="20" t="n">
        <x:f>XLOOKUP(A321,'菜品日销量'!$A$5:$A$1124,'菜品日销量'!$G$5:$G$1124,0)</x:f>
        <x:v>13</x:v>
      </x:c>
      <x:c r="I321" s="20" t="n">
        <x:f>ROUNDUP(H321/2,0)</x:f>
        <x:v>7</x:v>
      </x:c>
      <x:c r="J321" s="22" t="n">
        <x:f>SUMIFS('菜谱BOM'!$F$5:$F$160,'菜谱BOM'!$A$5:$A$160,E321,'菜谱BOM'!$C$5:$C$160,"食材")</x:f>
        <x:v>450</x:v>
      </x:c>
      <x:c r="K321" s="38" t="n">
        <x:v>0.004904107327783505</x:v>
      </x:c>
      <x:c r="L321" s="35" t="n">
        <x:f>H321*J321*(1+K321)</x:f>
        <x:v>5878.689027867534</x:v>
      </x:c>
      <x:c r="M321" s="35" t="n">
        <x:f>SUMIFS('菜谱BOM'!$F$5:$F$160,'菜谱BOM'!$A$5:$A$160,E321,'菜谱BOM'!$C$5:$C$160,"调料")</x:f>
        <x:v>37</x:v>
      </x:c>
      <x:c r="N321" s="38" t="n">
        <x:v>0.0007571589720335692</x:v>
      </x:c>
      <x:c r="O321" s="35" t="n">
        <x:f>H321*M321*(1+N321)</x:f>
        <x:v>481.36419346554817</x:v>
      </x:c>
      <x:c r="P321" s="19" t="str">
        <x:f>IF(ABS(N321)&gt;'封面与口径'!$O$25,"机器调料需复核",IF(ABS(K321)&gt;0.02,"人工称重需复核","正常"))</x:f>
        <x:v>正常</x:v>
      </x:c>
      <x:c r="Q321" s="19" t="str">
        <x:v>杨帆</x:v>
      </x:c>
    </x:row>
    <x:row r="322">
      <x:c r="A322" s="19" t="str">
        <x:v>2026-07-11|S03|D14</x:v>
      </x:c>
      <x:c r="B322" s="34" t="n">
        <x:v>46214.5</x:v>
      </x:c>
      <x:c r="C322" s="19" t="str">
        <x:v>S03</x:v>
      </x:c>
      <x:c r="D322" s="19" t="str">
        <x:v>铂悦城店</x:v>
      </x:c>
      <x:c r="E322" s="19" t="str">
        <x:v>D14</x:v>
      </x:c>
      <x:c r="F322" s="19" t="str">
        <x:v>酸辣鸡杂</x:v>
      </x:c>
      <x:c r="G322" s="19" t="str">
        <x:v>R1.0</x:v>
      </x:c>
      <x:c r="H322" s="20" t="n">
        <x:f>XLOOKUP(A322,'菜品日销量'!$A$5:$A$1124,'菜品日销量'!$G$5:$G$1124,0)</x:f>
        <x:v>6</x:v>
      </x:c>
      <x:c r="I322" s="20" t="n">
        <x:f>ROUNDUP(H322/2,0)</x:f>
        <x:v>3</x:v>
      </x:c>
      <x:c r="J322" s="22" t="n">
        <x:f>SUMIFS('菜谱BOM'!$F$5:$F$160,'菜谱BOM'!$A$5:$A$160,E322,'菜谱BOM'!$C$5:$C$160,"食材")</x:f>
        <x:v>470</x:v>
      </x:c>
      <x:c r="K322" s="38" t="n">
        <x:v>-0.002737632508095734</x:v>
      </x:c>
      <x:c r="L322" s="35" t="n">
        <x:f>H322*J322*(1+K322)</x:f>
        <x:v>2812.27987632717</x:v>
      </x:c>
      <x:c r="M322" s="35" t="n">
        <x:f>SUMIFS('菜谱BOM'!$F$5:$F$160,'菜谱BOM'!$A$5:$A$160,E322,'菜谱BOM'!$C$5:$C$160,"调料")</x:f>
        <x:v>60</x:v>
      </x:c>
      <x:c r="N322" s="38" t="n">
        <x:v>0.001865663883245006</x:v>
      </x:c>
      <x:c r="O322" s="35" t="n">
        <x:f>H322*M322*(1+N322)</x:f>
        <x:v>360.6716389979682</x:v>
      </x:c>
      <x:c r="P322" s="19" t="str">
        <x:f>IF(ABS(N322)&gt;'封面与口径'!$O$25,"机器调料需复核",IF(ABS(K322)&gt;0.02,"人工称重需复核","正常"))</x:f>
        <x:v>正常</x:v>
      </x:c>
      <x:c r="Q322" s="19" t="str">
        <x:v>杨帆</x:v>
      </x:c>
    </x:row>
    <x:row r="323">
      <x:c r="A323" s="19" t="str">
        <x:v>2026-07-11|S03|D15</x:v>
      </x:c>
      <x:c r="B323" s="34" t="n">
        <x:v>46214.5</x:v>
      </x:c>
      <x:c r="C323" s="19" t="str">
        <x:v>S03</x:v>
      </x:c>
      <x:c r="D323" s="19" t="str">
        <x:v>铂悦城店</x:v>
      </x:c>
      <x:c r="E323" s="19" t="str">
        <x:v>D15</x:v>
      </x:c>
      <x:c r="F323" s="19" t="str">
        <x:v>湘西土匪猪肝</x:v>
      </x:c>
      <x:c r="G323" s="19" t="str">
        <x:v>R1.0</x:v>
      </x:c>
      <x:c r="H323" s="20" t="n">
        <x:f>XLOOKUP(A323,'菜品日销量'!$A$5:$A$1124,'菜品日销量'!$G$5:$G$1124,0)</x:f>
        <x:v>6</x:v>
      </x:c>
      <x:c r="I323" s="20" t="n">
        <x:f>ROUNDUP(H323/2,0)</x:f>
        <x:v>3</x:v>
      </x:c>
      <x:c r="J323" s="22" t="n">
        <x:f>SUMIFS('菜谱BOM'!$F$5:$F$160,'菜谱BOM'!$A$5:$A$160,E323,'菜谱BOM'!$C$5:$C$160,"食材")</x:f>
        <x:v>470</x:v>
      </x:c>
      <x:c r="K323" s="38" t="n">
        <x:v>0.0038028730777564627</x:v>
      </x:c>
      <x:c r="L323" s="35" t="n">
        <x:f>H323*J323*(1+K323)</x:f>
        <x:v>2830.724102079273</x:v>
      </x:c>
      <x:c r="M323" s="35" t="n">
        <x:f>SUMIFS('菜谱BOM'!$F$5:$F$160,'菜谱BOM'!$A$5:$A$160,E323,'菜谱BOM'!$C$5:$C$160,"调料")</x:f>
        <x:v>49</x:v>
      </x:c>
      <x:c r="N323" s="38" t="n">
        <x:v>0.0019066668767264738</x:v>
      </x:c>
      <x:c r="O323" s="35" t="n">
        <x:f>H323*M323*(1+N323)</x:f>
        <x:v>294.5605600617576</x:v>
      </x:c>
      <x:c r="P323" s="19" t="str">
        <x:f>IF(ABS(N323)&gt;'封面与口径'!$O$25,"机器调料需复核",IF(ABS(K323)&gt;0.02,"人工称重需复核","正常"))</x:f>
        <x:v>正常</x:v>
      </x:c>
      <x:c r="Q323" s="19" t="str">
        <x:v>杨帆</x:v>
      </x:c>
    </x:row>
    <x:row r="324">
      <x:c r="A324" s="19" t="str">
        <x:v>2026-07-11|S03|D16</x:v>
      </x:c>
      <x:c r="B324" s="34" t="n">
        <x:v>46214.5</x:v>
      </x:c>
      <x:c r="C324" s="19" t="str">
        <x:v>S03</x:v>
      </x:c>
      <x:c r="D324" s="19" t="str">
        <x:v>铂悦城店</x:v>
      </x:c>
      <x:c r="E324" s="19" t="str">
        <x:v>D16</x:v>
      </x:c>
      <x:c r="F324" s="19" t="str">
        <x:v>小豆角炒五花</x:v>
      </x:c>
      <x:c r="G324" s="19" t="str">
        <x:v>R1.0</x:v>
      </x:c>
      <x:c r="H324" s="20" t="n">
        <x:f>XLOOKUP(A324,'菜品日销量'!$A$5:$A$1124,'菜品日销量'!$G$5:$G$1124,0)</x:f>
        <x:v>6</x:v>
      </x:c>
      <x:c r="I324" s="20" t="n">
        <x:f>ROUNDUP(H324/2,0)</x:f>
        <x:v>3</x:v>
      </x:c>
      <x:c r="J324" s="22" t="n">
        <x:f>SUMIFS('菜谱BOM'!$F$5:$F$160,'菜谱BOM'!$A$5:$A$160,E324,'菜谱BOM'!$C$5:$C$160,"食材")</x:f>
        <x:v>450</x:v>
      </x:c>
      <x:c r="K324" s="38" t="n">
        <x:v>0.007952100500453288</x:v>
      </x:c>
      <x:c r="L324" s="35" t="n">
        <x:f>H324*J324*(1+K324)</x:f>
        <x:v>2721.4706713512237</x:v>
      </x:c>
      <x:c r="M324" s="35" t="n">
        <x:f>SUMIFS('菜谱BOM'!$F$5:$F$160,'菜谱BOM'!$A$5:$A$160,E324,'菜谱BOM'!$C$5:$C$160,"调料")</x:f>
        <x:v>42</x:v>
      </x:c>
      <x:c r="N324" s="38" t="n">
        <x:v>0.00020022268458274705</x:v>
      </x:c>
      <x:c r="O324" s="35" t="n">
        <x:f>H324*M324*(1+N324)</x:f>
        <x:v>252.05045611651485</x:v>
      </x:c>
      <x:c r="P324" s="19" t="str">
        <x:f>IF(ABS(N324)&gt;'封面与口径'!$O$25,"机器调料需复核",IF(ABS(K324)&gt;0.02,"人工称重需复核","正常"))</x:f>
        <x:v>正常</x:v>
      </x:c>
      <x:c r="Q324" s="19" t="str">
        <x:v>杨帆</x:v>
      </x:c>
    </x:row>
    <x:row r="325">
      <x:c r="A325" s="19" t="str">
        <x:v>2026-07-11|S03|D18</x:v>
      </x:c>
      <x:c r="B325" s="34" t="n">
        <x:v>46214.5</x:v>
      </x:c>
      <x:c r="C325" s="19" t="str">
        <x:v>S03</x:v>
      </x:c>
      <x:c r="D325" s="19" t="str">
        <x:v>铂悦城店</x:v>
      </x:c>
      <x:c r="E325" s="19" t="str">
        <x:v>D18</x:v>
      </x:c>
      <x:c r="F325" s="19" t="str">
        <x:v>青椒炒油麦菜</x:v>
      </x:c>
      <x:c r="G325" s="19" t="str">
        <x:v>R1.0</x:v>
      </x:c>
      <x:c r="H325" s="20" t="n">
        <x:f>XLOOKUP(A325,'菜品日销量'!$A$5:$A$1124,'菜品日销量'!$G$5:$G$1124,0)</x:f>
        <x:v>7</x:v>
      </x:c>
      <x:c r="I325" s="20" t="n">
        <x:f>ROUNDUP(H325/2,0)</x:f>
        <x:v>4</x:v>
      </x:c>
      <x:c r="J325" s="22" t="n">
        <x:f>SUMIFS('菜谱BOM'!$F$5:$F$160,'菜谱BOM'!$A$5:$A$160,E325,'菜谱BOM'!$C$5:$C$160,"食材")</x:f>
        <x:v>430</x:v>
      </x:c>
      <x:c r="K325" s="38" t="n">
        <x:v>0.002077982208244032</x:v>
      </x:c>
      <x:c r="L325" s="35" t="n">
        <x:f>H325*J325*(1+K325)</x:f>
        <x:v>3016.2547264468144</x:v>
      </x:c>
      <x:c r="M325" s="35" t="n">
        <x:f>SUMIFS('菜谱BOM'!$F$5:$F$160,'菜谱BOM'!$A$5:$A$160,E325,'菜谱BOM'!$C$5:$C$160,"调料")</x:f>
        <x:v>33</x:v>
      </x:c>
      <x:c r="N325" s="38" t="n">
        <x:v>-0.001990222372112382</x:v>
      </x:c>
      <x:c r="O325" s="35" t="n">
        <x:f>H325*M325*(1+N325)</x:f>
        <x:v>230.54025863204205</x:v>
      </x:c>
      <x:c r="P325" s="19" t="str">
        <x:f>IF(ABS(N325)&gt;'封面与口径'!$O$25,"机器调料需复核",IF(ABS(K325)&gt;0.02,"人工称重需复核","正常"))</x:f>
        <x:v>正常</x:v>
      </x:c>
      <x:c r="Q325" s="19" t="str">
        <x:v>杨帆</x:v>
      </x:c>
    </x:row>
    <x:row r="326">
      <x:c r="A326" s="19" t="str">
        <x:v>2026-07-11|S03|D19</x:v>
      </x:c>
      <x:c r="B326" s="34" t="n">
        <x:v>46214.5</x:v>
      </x:c>
      <x:c r="C326" s="19" t="str">
        <x:v>S03</x:v>
      </x:c>
      <x:c r="D326" s="19" t="str">
        <x:v>铂悦城店</x:v>
      </x:c>
      <x:c r="E326" s="19" t="str">
        <x:v>D19</x:v>
      </x:c>
      <x:c r="F326" s="19" t="str">
        <x:v>酸萝卜炒鸡杂</x:v>
      </x:c>
      <x:c r="G326" s="19" t="str">
        <x:v>R1.0</x:v>
      </x:c>
      <x:c r="H326" s="20" t="n">
        <x:f>XLOOKUP(A326,'菜品日销量'!$A$5:$A$1124,'菜品日销量'!$G$5:$G$1124,0)</x:f>
        <x:v>4</x:v>
      </x:c>
      <x:c r="I326" s="20" t="n">
        <x:f>ROUNDUP(H326/2,0)</x:f>
        <x:v>2</x:v>
      </x:c>
      <x:c r="J326" s="22" t="n">
        <x:f>SUMIFS('菜谱BOM'!$F$5:$F$160,'菜谱BOM'!$A$5:$A$160,E326,'菜谱BOM'!$C$5:$C$160,"食材")</x:f>
        <x:v>500</x:v>
      </x:c>
      <x:c r="K326" s="38" t="n">
        <x:v>-0.005204949303810705</x:v>
      </x:c>
      <x:c r="L326" s="35" t="n">
        <x:f>H326*J326*(1+K326)</x:f>
        <x:v>1989.5901013923788</x:v>
      </x:c>
      <x:c r="M326" s="35" t="n">
        <x:f>SUMIFS('菜谱BOM'!$F$5:$F$160,'菜谱BOM'!$A$5:$A$160,E326,'菜谱BOM'!$C$5:$C$160,"调料")</x:f>
        <x:v>55</x:v>
      </x:c>
      <x:c r="N326" s="38" t="n">
        <x:v>0.0009024998226441676</x:v>
      </x:c>
      <x:c r="O326" s="35" t="n">
        <x:f>H326*M326*(1+N326)</x:f>
        <x:v>220.1985499609817</x:v>
      </x:c>
      <x:c r="P326" s="19" t="str">
        <x:f>IF(ABS(N326)&gt;'封面与口径'!$O$25,"机器调料需复核",IF(ABS(K326)&gt;0.02,"人工称重需复核","正常"))</x:f>
        <x:v>正常</x:v>
      </x:c>
      <x:c r="Q326" s="19" t="str">
        <x:v>杨帆</x:v>
      </x:c>
    </x:row>
    <x:row r="327">
      <x:c r="A327" s="19" t="str">
        <x:v>2026-07-11|S03|D20</x:v>
      </x:c>
      <x:c r="B327" s="34" t="n">
        <x:v>46214.5</x:v>
      </x:c>
      <x:c r="C327" s="19" t="str">
        <x:v>S03</x:v>
      </x:c>
      <x:c r="D327" s="19" t="str">
        <x:v>铂悦城店</x:v>
      </x:c>
      <x:c r="E327" s="19" t="str">
        <x:v>D20</x:v>
      </x:c>
      <x:c r="F327" s="19" t="str">
        <x:v>雪菜肉末青豆</x:v>
      </x:c>
      <x:c r="G327" s="19" t="str">
        <x:v>R1.0</x:v>
      </x:c>
      <x:c r="H327" s="20" t="n">
        <x:f>XLOOKUP(A327,'菜品日销量'!$A$5:$A$1124,'菜品日销量'!$G$5:$G$1124,0)</x:f>
        <x:v>6</x:v>
      </x:c>
      <x:c r="I327" s="20" t="n">
        <x:f>ROUNDUP(H327/2,0)</x:f>
        <x:v>3</x:v>
      </x:c>
      <x:c r="J327" s="22" t="n">
        <x:f>SUMIFS('菜谱BOM'!$F$5:$F$160,'菜谱BOM'!$A$5:$A$160,E327,'菜谱BOM'!$C$5:$C$160,"食材")</x:f>
        <x:v>465</x:v>
      </x:c>
      <x:c r="K327" s="38" t="n">
        <x:v>-0.004028133003979021</x:v>
      </x:c>
      <x:c r="L327" s="35" t="n">
        <x:f>H327*J327*(1+K327)</x:f>
        <x:v>2778.7615089188985</x:v>
      </x:c>
      <x:c r="M327" s="35" t="n">
        <x:f>SUMIFS('菜谱BOM'!$F$5:$F$160,'菜谱BOM'!$A$5:$A$160,E327,'菜谱BOM'!$C$5:$C$160,"调料")</x:f>
        <x:v>32</x:v>
      </x:c>
      <x:c r="N327" s="38" t="n">
        <x:v>0.0001904939352978241</x:v>
      </x:c>
      <x:c r="O327" s="35" t="n">
        <x:f>H327*M327*(1+N327)</x:f>
        <x:v>192.0365748355772</x:v>
      </x:c>
      <x:c r="P327" s="19" t="str">
        <x:f>IF(ABS(N327)&gt;'封面与口径'!$O$25,"机器调料需复核",IF(ABS(K327)&gt;0.02,"人工称重需复核","正常"))</x:f>
        <x:v>正常</x:v>
      </x:c>
      <x:c r="Q327" s="19" t="str">
        <x:v>杨帆</x:v>
      </x:c>
    </x:row>
    <x:row r="328">
      <x:c r="A328" s="19" t="str">
        <x:v>2026-07-12|S03|D01</x:v>
      </x:c>
      <x:c r="B328" s="34" t="n">
        <x:v>46215.5</x:v>
      </x:c>
      <x:c r="C328" s="19" t="str">
        <x:v>S03</x:v>
      </x:c>
      <x:c r="D328" s="19" t="str">
        <x:v>铂悦城店</x:v>
      </x:c>
      <x:c r="E328" s="19" t="str">
        <x:v>D01</x:v>
      </x:c>
      <x:c r="F328" s="19" t="str">
        <x:v>辣椒炒肉</x:v>
      </x:c>
      <x:c r="G328" s="19" t="str">
        <x:v>R2.3</x:v>
      </x:c>
      <x:c r="H328" s="20" t="n">
        <x:f>XLOOKUP(A328,'菜品日销量'!$A$5:$A$1124,'菜品日销量'!$G$5:$G$1124,0)</x:f>
        <x:v>36</x:v>
      </x:c>
      <x:c r="I328" s="20" t="n">
        <x:f>ROUNDUP(H328/2,0)</x:f>
        <x:v>18</x:v>
      </x:c>
      <x:c r="J328" s="22" t="n">
        <x:f>SUMIFS('菜谱BOM'!$F$5:$F$160,'菜谱BOM'!$A$5:$A$160,E328,'菜谱BOM'!$C$5:$C$160,"食材")</x:f>
        <x:v>550</x:v>
      </x:c>
      <x:c r="K328" s="38" t="n">
        <x:v>-0.007833692386707685</x:v>
      </x:c>
      <x:c r="L328" s="35" t="n">
        <x:f>H328*J328*(1+K328)</x:f>
        <x:v>19644.892890743187</x:v>
      </x:c>
      <x:c r="M328" s="35" t="n">
        <x:f>SUMIFS('菜谱BOM'!$F$5:$F$160,'菜谱BOM'!$A$5:$A$160,E328,'菜谱BOM'!$C$5:$C$160,"调料")</x:f>
        <x:v>104</x:v>
      </x:c>
      <x:c r="N328" s="38" t="n">
        <x:v>0.0005546655856433014</x:v>
      </x:c>
      <x:c r="O328" s="35" t="n">
        <x:f>H328*M328*(1+N328)</x:f>
        <x:v>3746.076667952648</x:v>
      </x:c>
      <x:c r="P328" s="19" t="str">
        <x:f>IF(ABS(N328)&gt;'封面与口径'!$O$25,"机器调料需复核",IF(ABS(K328)&gt;0.02,"人工称重需复核","正常"))</x:f>
        <x:v>正常</x:v>
      </x:c>
      <x:c r="Q328" s="19" t="str">
        <x:v>杨帆</x:v>
      </x:c>
    </x:row>
    <x:row r="329">
      <x:c r="A329" s="19" t="str">
        <x:v>2026-07-12|S03|D02</x:v>
      </x:c>
      <x:c r="B329" s="34" t="n">
        <x:v>46215.5</x:v>
      </x:c>
      <x:c r="C329" s="19" t="str">
        <x:v>S03</x:v>
      </x:c>
      <x:c r="D329" s="19" t="str">
        <x:v>铂悦城店</x:v>
      </x:c>
      <x:c r="E329" s="19" t="str">
        <x:v>D02</x:v>
      </x:c>
      <x:c r="F329" s="19" t="str">
        <x:v>小炒黄牛肉</x:v>
      </x:c>
      <x:c r="G329" s="19" t="str">
        <x:v>R2.3</x:v>
      </x:c>
      <x:c r="H329" s="20" t="n">
        <x:f>XLOOKUP(A329,'菜品日销量'!$A$5:$A$1124,'菜品日销量'!$G$5:$G$1124,0)</x:f>
        <x:v>26</x:v>
      </x:c>
      <x:c r="I329" s="20" t="n">
        <x:f>ROUNDUP(H329/2,0)</x:f>
        <x:v>13</x:v>
      </x:c>
      <x:c r="J329" s="22" t="n">
        <x:f>SUMIFS('菜谱BOM'!$F$5:$F$160,'菜谱BOM'!$A$5:$A$160,E329,'菜谱BOM'!$C$5:$C$160,"食材")</x:f>
        <x:v>560</x:v>
      </x:c>
      <x:c r="K329" s="38" t="n">
        <x:v>-0.00590420469965418</x:v>
      </x:c>
      <x:c r="L329" s="35" t="n">
        <x:f>H329*J329*(1+K329)</x:f>
        <x:v>14474.034779573036</x:v>
      </x:c>
      <x:c r="M329" s="35" t="n">
        <x:f>SUMIFS('菜谱BOM'!$F$5:$F$160,'菜谱BOM'!$A$5:$A$160,E329,'菜谱BOM'!$C$5:$C$160,"调料")</x:f>
        <x:v>133</x:v>
      </x:c>
      <x:c r="N329" s="38" t="n">
        <x:v>0.0016650978950003856</x:v>
      </x:c>
      <x:c r="O329" s="35" t="n">
        <x:f>H329*M329*(1+N329)</x:f>
        <x:v>3463.7579085209113</x:v>
      </x:c>
      <x:c r="P329" s="19" t="str">
        <x:f>IF(ABS(N329)&gt;'封面与口径'!$O$25,"机器调料需复核",IF(ABS(K329)&gt;0.02,"人工称重需复核","正常"))</x:f>
        <x:v>正常</x:v>
      </x:c>
      <x:c r="Q329" s="19" t="str">
        <x:v>杨帆</x:v>
      </x:c>
    </x:row>
    <x:row r="330">
      <x:c r="A330" s="19" t="str">
        <x:v>2026-07-12|S03|D03</x:v>
      </x:c>
      <x:c r="B330" s="34" t="n">
        <x:v>46215.5</x:v>
      </x:c>
      <x:c r="C330" s="19" t="str">
        <x:v>S03</x:v>
      </x:c>
      <x:c r="D330" s="19" t="str">
        <x:v>铂悦城店</x:v>
      </x:c>
      <x:c r="E330" s="19" t="str">
        <x:v>D03</x:v>
      </x:c>
      <x:c r="F330" s="19" t="str">
        <x:v>香醋炒蛋</x:v>
      </x:c>
      <x:c r="G330" s="19" t="str">
        <x:v>R1.0</x:v>
      </x:c>
      <x:c r="H330" s="20" t="n">
        <x:f>XLOOKUP(A330,'菜品日销量'!$A$5:$A$1124,'菜品日销量'!$G$5:$G$1124,0)</x:f>
        <x:v>32</x:v>
      </x:c>
      <x:c r="I330" s="20" t="n">
        <x:f>ROUNDUP(H330/2,0)</x:f>
        <x:v>16</x:v>
      </x:c>
      <x:c r="J330" s="22" t="n">
        <x:f>SUMIFS('菜谱BOM'!$F$5:$F$160,'菜谱BOM'!$A$5:$A$160,E330,'菜谱BOM'!$C$5:$C$160,"食材")</x:f>
        <x:v>300</x:v>
      </x:c>
      <x:c r="K330" s="38" t="n">
        <x:v>-0.007742818958997452</x:v>
      </x:c>
      <x:c r="L330" s="35" t="n">
        <x:f>H330*J330*(1+K330)</x:f>
        <x:v>9525.668937993625</x:v>
      </x:c>
      <x:c r="M330" s="35" t="n">
        <x:f>SUMIFS('菜谱BOM'!$F$5:$F$160,'菜谱BOM'!$A$5:$A$160,E330,'菜谱BOM'!$C$5:$C$160,"调料")</x:f>
        <x:v>53</x:v>
      </x:c>
      <x:c r="N330" s="38" t="n">
        <x:v>0.0005587269138914363</x:v>
      </x:c>
      <x:c r="O330" s="35" t="n">
        <x:f>H330*M330*(1+N330)</x:f>
        <x:v>1696.9476008459596</x:v>
      </x:c>
      <x:c r="P330" s="19" t="str">
        <x:f>IF(ABS(N330)&gt;'封面与口径'!$O$25,"机器调料需复核",IF(ABS(K330)&gt;0.02,"人工称重需复核","正常"))</x:f>
        <x:v>正常</x:v>
      </x:c>
      <x:c r="Q330" s="19" t="str">
        <x:v>杨帆</x:v>
      </x:c>
    </x:row>
    <x:row r="331">
      <x:c r="A331" s="19" t="str">
        <x:v>2026-07-12|S03|D04</x:v>
      </x:c>
      <x:c r="B331" s="34" t="n">
        <x:v>46215.5</x:v>
      </x:c>
      <x:c r="C331" s="19" t="str">
        <x:v>S03</x:v>
      </x:c>
      <x:c r="D331" s="19" t="str">
        <x:v>铂悦城店</x:v>
      </x:c>
      <x:c r="E331" s="19" t="str">
        <x:v>D04</x:v>
      </x:c>
      <x:c r="F331" s="19" t="str">
        <x:v>酸包菜炒粉皮</x:v>
      </x:c>
      <x:c r="G331" s="19" t="str">
        <x:v>R1.0</x:v>
      </x:c>
      <x:c r="H331" s="20" t="n">
        <x:f>XLOOKUP(A331,'菜品日销量'!$A$5:$A$1124,'菜品日销量'!$G$5:$G$1124,0)</x:f>
        <x:v>30</x:v>
      </x:c>
      <x:c r="I331" s="20" t="n">
        <x:f>ROUNDUP(H331/2,0)</x:f>
        <x:v>15</x:v>
      </x:c>
      <x:c r="J331" s="22" t="n">
        <x:f>SUMIFS('菜谱BOM'!$F$5:$F$160,'菜谱BOM'!$A$5:$A$160,E331,'菜谱BOM'!$C$5:$C$160,"食材")</x:f>
        <x:v>380</x:v>
      </x:c>
      <x:c r="K331" s="38" t="n">
        <x:v>0.003380453950581247</x:v>
      </x:c>
      <x:c r="L331" s="35" t="n">
        <x:f>H331*J331*(1+K331)</x:f>
        <x:v>11438.537175036627</x:v>
      </x:c>
      <x:c r="M331" s="35" t="n">
        <x:f>SUMIFS('菜谱BOM'!$F$5:$F$160,'菜谱BOM'!$A$5:$A$160,E331,'菜谱BOM'!$C$5:$C$160,"调料")</x:f>
        <x:v>47</x:v>
      </x:c>
      <x:c r="N331" s="38" t="n">
        <x:v>0.0016673279077902734</x:v>
      </x:c>
      <x:c r="O331" s="35" t="n">
        <x:f>H331*M331*(1+N331)</x:f>
        <x:v>1412.3509323499843</x:v>
      </x:c>
      <x:c r="P331" s="19" t="str">
        <x:f>IF(ABS(N331)&gt;'封面与口径'!$O$25,"机器调料需复核",IF(ABS(K331)&gt;0.02,"人工称重需复核","正常"))</x:f>
        <x:v>正常</x:v>
      </x:c>
      <x:c r="Q331" s="19" t="str">
        <x:v>杨帆</x:v>
      </x:c>
    </x:row>
    <x:row r="332">
      <x:c r="A332" s="19" t="str">
        <x:v>2026-07-12|S03|D05</x:v>
      </x:c>
      <x:c r="B332" s="34" t="n">
        <x:v>46215.5</x:v>
      </x:c>
      <x:c r="C332" s="19" t="str">
        <x:v>S03</x:v>
      </x:c>
      <x:c r="D332" s="19" t="str">
        <x:v>铂悦城店</x:v>
      </x:c>
      <x:c r="E332" s="19" t="str">
        <x:v>D05</x:v>
      </x:c>
      <x:c r="F332" s="19" t="str">
        <x:v>麻婆豆腐</x:v>
      </x:c>
      <x:c r="G332" s="19" t="str">
        <x:v>R1.0</x:v>
      </x:c>
      <x:c r="H332" s="20" t="n">
        <x:f>XLOOKUP(A332,'菜品日销量'!$A$5:$A$1124,'菜品日销量'!$G$5:$G$1124,0)</x:f>
        <x:v>39</x:v>
      </x:c>
      <x:c r="I332" s="20" t="n">
        <x:f>ROUNDUP(H332/2,0)</x:f>
        <x:v>20</x:v>
      </x:c>
      <x:c r="J332" s="22" t="n">
        <x:f>SUMIFS('菜谱BOM'!$F$5:$F$160,'菜谱BOM'!$A$5:$A$160,E332,'菜谱BOM'!$C$5:$C$160,"食材")</x:f>
        <x:v>505</x:v>
      </x:c>
      <x:c r="K332" s="38" t="n">
        <x:v>0.00023913485003615166</x:v>
      </x:c>
      <x:c r="L332" s="35" t="n">
        <x:f>H332*J332*(1+K332)</x:f>
        <x:v>19699.70976087146</x:v>
      </x:c>
      <x:c r="M332" s="35" t="n">
        <x:f>SUMIFS('菜谱BOM'!$F$5:$F$160,'菜谱BOM'!$A$5:$A$160,E332,'菜谱BOM'!$C$5:$C$160,"调料")</x:f>
        <x:v>90</x:v>
      </x:c>
      <x:c r="N332" s="38" t="n">
        <x:v>-0.0013007309127833534</x:v>
      </x:c>
      <x:c r="O332" s="35" t="n">
        <x:f>H332*M332*(1+N332)</x:f>
        <x:v>3505.4344344961305</x:v>
      </x:c>
      <x:c r="P332" s="19" t="str">
        <x:f>IF(ABS(N332)&gt;'封面与口径'!$O$25,"机器调料需复核",IF(ABS(K332)&gt;0.02,"人工称重需复核","正常"))</x:f>
        <x:v>正常</x:v>
      </x:c>
      <x:c r="Q332" s="19" t="str">
        <x:v>杨帆</x:v>
      </x:c>
    </x:row>
    <x:row r="333">
      <x:c r="A333" s="19" t="str">
        <x:v>2026-07-12|S03|D07</x:v>
      </x:c>
      <x:c r="B333" s="34" t="n">
        <x:v>46215.5</x:v>
      </x:c>
      <x:c r="C333" s="19" t="str">
        <x:v>S03</x:v>
      </x:c>
      <x:c r="D333" s="19" t="str">
        <x:v>铂悦城店</x:v>
      </x:c>
      <x:c r="E333" s="19" t="str">
        <x:v>D07</x:v>
      </x:c>
      <x:c r="F333" s="19" t="str">
        <x:v>川味回锅肉</x:v>
      </x:c>
      <x:c r="G333" s="19" t="str">
        <x:v>R1.0</x:v>
      </x:c>
      <x:c r="H333" s="20" t="n">
        <x:f>XLOOKUP(A333,'菜品日销量'!$A$5:$A$1124,'菜品日销量'!$G$5:$G$1124,0)</x:f>
        <x:v>12</x:v>
      </x:c>
      <x:c r="I333" s="20" t="n">
        <x:f>ROUNDUP(H333/2,0)</x:f>
        <x:v>6</x:v>
      </x:c>
      <x:c r="J333" s="22" t="n">
        <x:f>SUMIFS('菜谱BOM'!$F$5:$F$160,'菜谱BOM'!$A$5:$A$160,E333,'菜谱BOM'!$C$5:$C$160,"食材")</x:f>
        <x:v>450</x:v>
      </x:c>
      <x:c r="K333" s="38" t="n">
        <x:v>-0.007797162644517878</x:v>
      </x:c>
      <x:c r="L333" s="35" t="n">
        <x:f>H333*J333*(1+K333)</x:f>
        <x:v>5357.895321719603</x:v>
      </x:c>
      <x:c r="M333" s="35" t="n">
        <x:f>SUMIFS('菜谱BOM'!$F$5:$F$160,'菜谱BOM'!$A$5:$A$160,E333,'菜谱BOM'!$C$5:$C$160,"调料")</x:f>
        <x:v>63</x:v>
      </x:c>
      <x:c r="N333" s="38" t="n">
        <x:v>-0.0012942855328540981</x:v>
      </x:c>
      <x:c r="O333" s="35" t="n">
        <x:f>H333*M333*(1+N333)</x:f>
        <x:v>755.0215201371624</x:v>
      </x:c>
      <x:c r="P333" s="19" t="str">
        <x:f>IF(ABS(N333)&gt;'封面与口径'!$O$25,"机器调料需复核",IF(ABS(K333)&gt;0.02,"人工称重需复核","正常"))</x:f>
        <x:v>正常</x:v>
      </x:c>
      <x:c r="Q333" s="19" t="str">
        <x:v>杨帆</x:v>
      </x:c>
    </x:row>
    <x:row r="334">
      <x:c r="A334" s="19" t="str">
        <x:v>2026-07-12|S03|D08</x:v>
      </x:c>
      <x:c r="B334" s="34" t="n">
        <x:v>46215.5</x:v>
      </x:c>
      <x:c r="C334" s="19" t="str">
        <x:v>S03</x:v>
      </x:c>
      <x:c r="D334" s="19" t="str">
        <x:v>铂悦城店</x:v>
      </x:c>
      <x:c r="E334" s="19" t="str">
        <x:v>D08</x:v>
      </x:c>
      <x:c r="F334" s="19" t="str">
        <x:v>生炒清远鸡</x:v>
      </x:c>
      <x:c r="G334" s="19" t="str">
        <x:v>R1.0</x:v>
      </x:c>
      <x:c r="H334" s="20" t="n">
        <x:f>XLOOKUP(A334,'菜品日销量'!$A$5:$A$1124,'菜品日销量'!$G$5:$G$1124,0)</x:f>
        <x:v>8</x:v>
      </x:c>
      <x:c r="I334" s="20" t="n">
        <x:f>ROUNDUP(H334/2,0)</x:f>
        <x:v>4</x:v>
      </x:c>
      <x:c r="J334" s="22" t="n">
        <x:f>SUMIFS('菜谱BOM'!$F$5:$F$160,'菜谱BOM'!$A$5:$A$160,E334,'菜谱BOM'!$C$5:$C$160,"食材")</x:f>
        <x:v>610</x:v>
      </x:c>
      <x:c r="K334" s="38" t="n">
        <x:v>0.0002503565755324342</x:v>
      </x:c>
      <x:c r="L334" s="35" t="n">
        <x:f>H334*J334*(1+K334)</x:f>
        <x:v>4881.221740088598</x:v>
      </x:c>
      <x:c r="M334" s="35" t="n">
        <x:f>SUMIFS('菜谱BOM'!$F$5:$F$160,'菜谱BOM'!$A$5:$A$160,E334,'菜谱BOM'!$C$5:$C$160,"调料")</x:f>
        <x:v>61</x:v>
      </x:c>
      <x:c r="N334" s="38" t="n">
        <x:v>-0.001158994920355965</x:v>
      </x:c>
      <x:c r="O334" s="35" t="n">
        <x:f>H334*M334*(1+N334)</x:f>
        <x:v>487.43441047886625</x:v>
      </x:c>
      <x:c r="P334" s="19" t="str">
        <x:f>IF(ABS(N334)&gt;'封面与口径'!$O$25,"机器调料需复核",IF(ABS(K334)&gt;0.02,"人工称重需复核","正常"))</x:f>
        <x:v>正常</x:v>
      </x:c>
      <x:c r="Q334" s="19" t="str">
        <x:v>杨帆</x:v>
      </x:c>
    </x:row>
    <x:row r="335">
      <x:c r="A335" s="19" t="str">
        <x:v>2026-07-12|S03|D09</x:v>
      </x:c>
      <x:c r="B335" s="34" t="n">
        <x:v>46215.5</x:v>
      </x:c>
      <x:c r="C335" s="19" t="str">
        <x:v>S03</x:v>
      </x:c>
      <x:c r="D335" s="19" t="str">
        <x:v>铂悦城店</x:v>
      </x:c>
      <x:c r="E335" s="19" t="str">
        <x:v>D09</x:v>
      </x:c>
      <x:c r="F335" s="19" t="str">
        <x:v>炒豆干</x:v>
      </x:c>
      <x:c r="G335" s="19" t="str">
        <x:v>R1.0</x:v>
      </x:c>
      <x:c r="H335" s="20" t="n">
        <x:f>XLOOKUP(A335,'菜品日销量'!$A$5:$A$1124,'菜品日销量'!$G$5:$G$1124,0)</x:f>
        <x:v>12</x:v>
      </x:c>
      <x:c r="I335" s="20" t="n">
        <x:f>ROUNDUP(H335/2,0)</x:f>
        <x:v>6</x:v>
      </x:c>
      <x:c r="J335" s="22" t="n">
        <x:f>SUMIFS('菜谱BOM'!$F$5:$F$160,'菜谱BOM'!$A$5:$A$160,E335,'菜谱BOM'!$C$5:$C$160,"食材")</x:f>
        <x:v>520</x:v>
      </x:c>
      <x:c r="K335" s="38" t="n">
        <x:v>-0.007187075897861989</x:v>
      </x:c>
      <x:c r="L335" s="35" t="n">
        <x:f>H335*J335*(1+K335)</x:f>
        <x:v>6195.152646397341</x:v>
      </x:c>
      <x:c r="M335" s="35" t="n">
        <x:f>SUMIFS('菜谱BOM'!$F$5:$F$160,'菜谱BOM'!$A$5:$A$160,E335,'菜谱BOM'!$C$5:$C$160,"调料")</x:f>
        <x:v>42</x:v>
      </x:c>
      <x:c r="N335" s="38" t="n">
        <x:v>-0.0019095911411358022</x:v>
      </x:c>
      <x:c r="O335" s="35" t="n">
        <x:f>H335*M335*(1+N335)</x:f>
        <x:v>503.0375660648676</x:v>
      </x:c>
      <x:c r="P335" s="19" t="str">
        <x:f>IF(ABS(N335)&gt;'封面与口径'!$O$25,"机器调料需复核",IF(ABS(K335)&gt;0.02,"人工称重需复核","正常"))</x:f>
        <x:v>正常</x:v>
      </x:c>
      <x:c r="Q335" s="19" t="str">
        <x:v>杨帆</x:v>
      </x:c>
    </x:row>
    <x:row r="336">
      <x:c r="A336" s="19" t="str">
        <x:v>2026-07-12|S03|D10</x:v>
      </x:c>
      <x:c r="B336" s="34" t="n">
        <x:v>46215.5</x:v>
      </x:c>
      <x:c r="C336" s="19" t="str">
        <x:v>S03</x:v>
      </x:c>
      <x:c r="D336" s="19" t="str">
        <x:v>铂悦城店</x:v>
      </x:c>
      <x:c r="E336" s="19" t="str">
        <x:v>D10</x:v>
      </x:c>
      <x:c r="F336" s="19" t="str">
        <x:v>农家一碗香</x:v>
      </x:c>
      <x:c r="G336" s="19" t="str">
        <x:v>R2.3</x:v>
      </x:c>
      <x:c r="H336" s="20" t="n">
        <x:f>XLOOKUP(A336,'菜品日销量'!$A$5:$A$1124,'菜品日销量'!$G$5:$G$1124,0)</x:f>
        <x:v>15</x:v>
      </x:c>
      <x:c r="I336" s="20" t="n">
        <x:f>ROUNDUP(H336/2,0)</x:f>
        <x:v>8</x:v>
      </x:c>
      <x:c r="J336" s="22" t="n">
        <x:f>SUMIFS('菜谱BOM'!$F$5:$F$160,'菜谱BOM'!$A$5:$A$160,E336,'菜谱BOM'!$C$5:$C$160,"食材")</x:f>
        <x:v>510</x:v>
      </x:c>
      <x:c r="K336" s="38" t="n">
        <x:v>-0.004901448792987841</x:v>
      </x:c>
      <x:c r="L336" s="35" t="n">
        <x:f>H336*J336*(1+K336)</x:f>
        <x:v>7612.503916733644</x:v>
      </x:c>
      <x:c r="M336" s="35" t="n">
        <x:f>SUMIFS('菜谱BOM'!$F$5:$F$160,'菜谱BOM'!$A$5:$A$160,E336,'菜谱BOM'!$C$5:$C$160,"调料")</x:f>
        <x:v>88</x:v>
      </x:c>
      <x:c r="N336" s="38" t="n">
        <x:v>-0.00017787540754719535</x:v>
      </x:c>
      <x:c r="O336" s="35" t="n">
        <x:f>H336*M336*(1+N336)</x:f>
        <x:v>1319.7652044620377</x:v>
      </x:c>
      <x:c r="P336" s="19" t="str">
        <x:f>IF(ABS(N336)&gt;'封面与口径'!$O$25,"机器调料需复核",IF(ABS(K336)&gt;0.02,"人工称重需复核","正常"))</x:f>
        <x:v>正常</x:v>
      </x:c>
      <x:c r="Q336" s="19" t="str">
        <x:v>杨帆</x:v>
      </x:c>
    </x:row>
    <x:row r="337">
      <x:c r="A337" s="19" t="str">
        <x:v>2026-07-12|S03|D11</x:v>
      </x:c>
      <x:c r="B337" s="34" t="n">
        <x:v>46215.5</x:v>
      </x:c>
      <x:c r="C337" s="19" t="str">
        <x:v>S03</x:v>
      </x:c>
      <x:c r="D337" s="19" t="str">
        <x:v>铂悦城店</x:v>
      </x:c>
      <x:c r="E337" s="19" t="str">
        <x:v>D11</x:v>
      </x:c>
      <x:c r="F337" s="19" t="str">
        <x:v>香辣爆肥肠</x:v>
      </x:c>
      <x:c r="G337" s="19" t="str">
        <x:v>R1.0</x:v>
      </x:c>
      <x:c r="H337" s="20" t="n">
        <x:f>XLOOKUP(A337,'菜品日销量'!$A$5:$A$1124,'菜品日销量'!$G$5:$G$1124,0)</x:f>
        <x:v>5</x:v>
      </x:c>
      <x:c r="I337" s="20" t="n">
        <x:f>ROUNDUP(H337/2,0)</x:f>
        <x:v>3</x:v>
      </x:c>
      <x:c r="J337" s="22" t="n">
        <x:f>SUMIFS('菜谱BOM'!$F$5:$F$160,'菜谱BOM'!$A$5:$A$160,E337,'菜谱BOM'!$C$5:$C$160,"食材")</x:f>
        <x:v>430</x:v>
      </x:c>
      <x:c r="K337" s="38" t="n">
        <x:v>-0.000258951695696207</x:v>
      </x:c>
      <x:c r="L337" s="35" t="n">
        <x:f>H337*J337*(1+K337)</x:f>
        <x:v>2149.4432538542533</x:v>
      </x:c>
      <x:c r="M337" s="35" t="n">
        <x:f>SUMIFS('菜谱BOM'!$F$5:$F$160,'菜谱BOM'!$A$5:$A$160,E337,'菜谱BOM'!$C$5:$C$160,"调料")</x:f>
        <x:v>67</x:v>
      </x:c>
      <x:c r="N337" s="38" t="n">
        <x:v>0.000928495573561754</x:v>
      </x:c>
      <x:c r="O337" s="35" t="n">
        <x:f>H337*M337*(1+N337)</x:f>
        <x:v>335.3110460171432</x:v>
      </x:c>
      <x:c r="P337" s="19" t="str">
        <x:f>IF(ABS(N337)&gt;'封面与口径'!$O$25,"机器调料需复核",IF(ABS(K337)&gt;0.02,"人工称重需复核","正常"))</x:f>
        <x:v>正常</x:v>
      </x:c>
      <x:c r="Q337" s="19" t="str">
        <x:v>杨帆</x:v>
      </x:c>
    </x:row>
    <x:row r="338">
      <x:c r="A338" s="19" t="str">
        <x:v>2026-07-12|S03|D13</x:v>
      </x:c>
      <x:c r="B338" s="34" t="n">
        <x:v>46215.5</x:v>
      </x:c>
      <x:c r="C338" s="19" t="str">
        <x:v>S03</x:v>
      </x:c>
      <x:c r="D338" s="19" t="str">
        <x:v>铂悦城店</x:v>
      </x:c>
      <x:c r="E338" s="19" t="str">
        <x:v>D13</x:v>
      </x:c>
      <x:c r="F338" s="19" t="str">
        <x:v>外婆菜炒蛋</x:v>
      </x:c>
      <x:c r="G338" s="19" t="str">
        <x:v>R1.0</x:v>
      </x:c>
      <x:c r="H338" s="20" t="n">
        <x:f>XLOOKUP(A338,'菜品日销量'!$A$5:$A$1124,'菜品日销量'!$G$5:$G$1124,0)</x:f>
        <x:v>13</x:v>
      </x:c>
      <x:c r="I338" s="20" t="n">
        <x:f>ROUNDUP(H338/2,0)</x:f>
        <x:v>7</x:v>
      </x:c>
      <x:c r="J338" s="22" t="n">
        <x:f>SUMIFS('菜谱BOM'!$F$5:$F$160,'菜谱BOM'!$A$5:$A$160,E338,'菜谱BOM'!$C$5:$C$160,"食材")</x:f>
        <x:v>450</x:v>
      </x:c>
      <x:c r="K338" s="38" t="n">
        <x:v>-0.001154176900432021</x:v>
      </x:c>
      <x:c r="L338" s="35" t="n">
        <x:f>H338*J338*(1+K338)</x:f>
        <x:v>5843.248065132472</x:v>
      </x:c>
      <x:c r="M338" s="35" t="n">
        <x:f>SUMIFS('菜谱BOM'!$F$5:$F$160,'菜谱BOM'!$A$5:$A$160,E338,'菜谱BOM'!$C$5:$C$160,"调料")</x:f>
        <x:v>37</x:v>
      </x:c>
      <x:c r="N338" s="38" t="n">
        <x:v>0.0013031736023964297</x:v>
      </x:c>
      <x:c r="O338" s="35" t="n">
        <x:f>H338*M338*(1+N338)</x:f>
        <x:v>481.62682650275275</x:v>
      </x:c>
      <x:c r="P338" s="19" t="str">
        <x:f>IF(ABS(N338)&gt;'封面与口径'!$O$25,"机器调料需复核",IF(ABS(K338)&gt;0.02,"人工称重需复核","正常"))</x:f>
        <x:v>正常</x:v>
      </x:c>
      <x:c r="Q338" s="19" t="str">
        <x:v>杨帆</x:v>
      </x:c>
    </x:row>
    <x:row r="339">
      <x:c r="A339" s="19" t="str">
        <x:v>2026-07-12|S03|D14</x:v>
      </x:c>
      <x:c r="B339" s="34" t="n">
        <x:v>46215.5</x:v>
      </x:c>
      <x:c r="C339" s="19" t="str">
        <x:v>S03</x:v>
      </x:c>
      <x:c r="D339" s="19" t="str">
        <x:v>铂悦城店</x:v>
      </x:c>
      <x:c r="E339" s="19" t="str">
        <x:v>D14</x:v>
      </x:c>
      <x:c r="F339" s="19" t="str">
        <x:v>酸辣鸡杂</x:v>
      </x:c>
      <x:c r="G339" s="19" t="str">
        <x:v>R1.0</x:v>
      </x:c>
      <x:c r="H339" s="20" t="n">
        <x:f>XLOOKUP(A339,'菜品日销量'!$A$5:$A$1124,'菜品日销量'!$G$5:$G$1124,0)</x:f>
        <x:v>7</x:v>
      </x:c>
      <x:c r="I339" s="20" t="n">
        <x:f>ROUNDUP(H339/2,0)</x:f>
        <x:v>4</x:v>
      </x:c>
      <x:c r="J339" s="22" t="n">
        <x:f>SUMIFS('菜谱BOM'!$F$5:$F$160,'菜谱BOM'!$A$5:$A$160,E339,'菜谱BOM'!$C$5:$C$160,"食材")</x:f>
        <x:v>470</x:v>
      </x:c>
      <x:c r="K339" s="38" t="n">
        <x:v>0.00764588684952955</x:v>
      </x:c>
      <x:c r="L339" s="35" t="n">
        <x:f>H339*J339*(1+K339)</x:f>
        <x:v>3315.154967734952</x:v>
      </x:c>
      <x:c r="M339" s="35" t="n">
        <x:f>SUMIFS('菜谱BOM'!$F$5:$F$160,'菜谱BOM'!$A$5:$A$160,E339,'菜谱BOM'!$C$5:$C$160,"调料")</x:f>
        <x:v>60</x:v>
      </x:c>
      <x:c r="N339" s="38" t="n">
        <x:v>0.0005828671340325071</x:v>
      </x:c>
      <x:c r="O339" s="35" t="n">
        <x:f>H339*M339*(1+N339)</x:f>
        <x:v>420.2448041962936</x:v>
      </x:c>
      <x:c r="P339" s="19" t="str">
        <x:f>IF(ABS(N339)&gt;'封面与口径'!$O$25,"机器调料需复核",IF(ABS(K339)&gt;0.02,"人工称重需复核","正常"))</x:f>
        <x:v>正常</x:v>
      </x:c>
      <x:c r="Q339" s="19" t="str">
        <x:v>杨帆</x:v>
      </x:c>
    </x:row>
    <x:row r="340">
      <x:c r="A340" s="19" t="str">
        <x:v>2026-07-12|S03|D15</x:v>
      </x:c>
      <x:c r="B340" s="34" t="n">
        <x:v>46215.5</x:v>
      </x:c>
      <x:c r="C340" s="19" t="str">
        <x:v>S03</x:v>
      </x:c>
      <x:c r="D340" s="19" t="str">
        <x:v>铂悦城店</x:v>
      </x:c>
      <x:c r="E340" s="19" t="str">
        <x:v>D15</x:v>
      </x:c>
      <x:c r="F340" s="19" t="str">
        <x:v>湘西土匪猪肝</x:v>
      </x:c>
      <x:c r="G340" s="19" t="str">
        <x:v>R1.0</x:v>
      </x:c>
      <x:c r="H340" s="20" t="n">
        <x:f>XLOOKUP(A340,'菜品日销量'!$A$5:$A$1124,'菜品日销量'!$G$5:$G$1124,0)</x:f>
        <x:v>5</x:v>
      </x:c>
      <x:c r="I340" s="20" t="n">
        <x:f>ROUNDUP(H340/2,0)</x:f>
        <x:v>3</x:v>
      </x:c>
      <x:c r="J340" s="22" t="n">
        <x:f>SUMIFS('菜谱BOM'!$F$5:$F$160,'菜谱BOM'!$A$5:$A$160,E340,'菜谱BOM'!$C$5:$C$160,"食材")</x:f>
        <x:v>470</x:v>
      </x:c>
      <x:c r="K340" s="38" t="n">
        <x:v>0.005413023396724143</x:v>
      </x:c>
      <x:c r="L340" s="35" t="n">
        <x:f>H340*J340*(1+K340)</x:f>
        <x:v>2362.720604982302</x:v>
      </x:c>
      <x:c r="M340" s="35" t="n">
        <x:f>SUMIFS('菜谱BOM'!$F$5:$F$160,'菜谱BOM'!$A$5:$A$160,E340,'菜谱BOM'!$C$5:$C$160,"调料")</x:f>
        <x:v>49</x:v>
      </x:c>
      <x:c r="N340" s="38" t="n">
        <x:v>-0.0007734369353329382</x:v>
      </x:c>
      <x:c r="O340" s="35" t="n">
        <x:f>H340*M340*(1+N340)</x:f>
        <x:v>244.81050795084343</x:v>
      </x:c>
      <x:c r="P340" s="19" t="str">
        <x:f>IF(ABS(N340)&gt;'封面与口径'!$O$25,"机器调料需复核",IF(ABS(K340)&gt;0.02,"人工称重需复核","正常"))</x:f>
        <x:v>正常</x:v>
      </x:c>
      <x:c r="Q340" s="19" t="str">
        <x:v>杨帆</x:v>
      </x:c>
    </x:row>
    <x:row r="341">
      <x:c r="A341" s="19" t="str">
        <x:v>2026-07-12|S03|D16</x:v>
      </x:c>
      <x:c r="B341" s="34" t="n">
        <x:v>46215.5</x:v>
      </x:c>
      <x:c r="C341" s="19" t="str">
        <x:v>S03</x:v>
      </x:c>
      <x:c r="D341" s="19" t="str">
        <x:v>铂悦城店</x:v>
      </x:c>
      <x:c r="E341" s="19" t="str">
        <x:v>D16</x:v>
      </x:c>
      <x:c r="F341" s="19" t="str">
        <x:v>小豆角炒五花</x:v>
      </x:c>
      <x:c r="G341" s="19" t="str">
        <x:v>R1.0</x:v>
      </x:c>
      <x:c r="H341" s="20" t="n">
        <x:f>XLOOKUP(A341,'菜品日销量'!$A$5:$A$1124,'菜品日销量'!$G$5:$G$1124,0)</x:f>
        <x:v>6</x:v>
      </x:c>
      <x:c r="I341" s="20" t="n">
        <x:f>ROUNDUP(H341/2,0)</x:f>
        <x:v>3</x:v>
      </x:c>
      <x:c r="J341" s="22" t="n">
        <x:f>SUMIFS('菜谱BOM'!$F$5:$F$160,'菜谱BOM'!$A$5:$A$160,E341,'菜谱BOM'!$C$5:$C$160,"食材")</x:f>
        <x:v>450</x:v>
      </x:c>
      <x:c r="K341" s="38" t="n">
        <x:v>-0.007557921051876136</x:v>
      </x:c>
      <x:c r="L341" s="35" t="n">
        <x:f>H341*J341*(1+K341)</x:f>
        <x:v>2679.5936131599346</x:v>
      </x:c>
      <x:c r="M341" s="35" t="n">
        <x:f>SUMIFS('菜谱BOM'!$F$5:$F$160,'菜谱BOM'!$A$5:$A$160,E341,'菜谱BOM'!$C$5:$C$160,"调料")</x:f>
        <x:v>42</x:v>
      </x:c>
      <x:c r="N341" s="38" t="n">
        <x:v>0.0005818291470831794</x:v>
      </x:c>
      <x:c r="O341" s="35" t="n">
        <x:f>H341*M341*(1+N341)</x:f>
        <x:v>252.14662094506497</x:v>
      </x:c>
      <x:c r="P341" s="19" t="str">
        <x:f>IF(ABS(N341)&gt;'封面与口径'!$O$25,"机器调料需复核",IF(ABS(K341)&gt;0.02,"人工称重需复核","正常"))</x:f>
        <x:v>正常</x:v>
      </x:c>
      <x:c r="Q341" s="19" t="str">
        <x:v>杨帆</x:v>
      </x:c>
    </x:row>
    <x:row r="342">
      <x:c r="A342" s="19" t="str">
        <x:v>2026-07-12|S03|D18</x:v>
      </x:c>
      <x:c r="B342" s="34" t="n">
        <x:v>46215.5</x:v>
      </x:c>
      <x:c r="C342" s="19" t="str">
        <x:v>S03</x:v>
      </x:c>
      <x:c r="D342" s="19" t="str">
        <x:v>铂悦城店</x:v>
      </x:c>
      <x:c r="E342" s="19" t="str">
        <x:v>D18</x:v>
      </x:c>
      <x:c r="F342" s="19" t="str">
        <x:v>青椒炒油麦菜</x:v>
      </x:c>
      <x:c r="G342" s="19" t="str">
        <x:v>R1.0</x:v>
      </x:c>
      <x:c r="H342" s="20" t="n">
        <x:f>XLOOKUP(A342,'菜品日销量'!$A$5:$A$1124,'菜品日销量'!$G$5:$G$1124,0)</x:f>
        <x:v>6</x:v>
      </x:c>
      <x:c r="I342" s="20" t="n">
        <x:f>ROUNDUP(H342/2,0)</x:f>
        <x:v>3</x:v>
      </x:c>
      <x:c r="J342" s="22" t="n">
        <x:f>SUMIFS('菜谱BOM'!$F$5:$F$160,'菜谱BOM'!$A$5:$A$160,E342,'菜谱BOM'!$C$5:$C$160,"食材")</x:f>
        <x:v>430</x:v>
      </x:c>
      <x:c r="K342" s="38" t="n">
        <x:v>-0.001523132002335771</x:v>
      </x:c>
      <x:c r="L342" s="35" t="n">
        <x:f>H342*J342*(1+K342)</x:f>
        <x:v>2576.0703194339735</x:v>
      </x:c>
      <x:c r="M342" s="35" t="n">
        <x:f>SUMIFS('菜谱BOM'!$F$5:$F$160,'菜谱BOM'!$A$5:$A$160,E342,'菜谱BOM'!$C$5:$C$160,"调料")</x:f>
        <x:v>33</x:v>
      </x:c>
      <x:c r="N342" s="38" t="n">
        <x:v>0.001467341154689747</x:v>
      </x:c>
      <x:c r="O342" s="35" t="n">
        <x:f>H342*M342*(1+N342)</x:f>
        <x:v>198.29053354862856</x:v>
      </x:c>
      <x:c r="P342" s="19" t="str">
        <x:f>IF(ABS(N342)&gt;'封面与口径'!$O$25,"机器调料需复核",IF(ABS(K342)&gt;0.02,"人工称重需复核","正常"))</x:f>
        <x:v>正常</x:v>
      </x:c>
      <x:c r="Q342" s="19" t="str">
        <x:v>杨帆</x:v>
      </x:c>
    </x:row>
    <x:row r="343">
      <x:c r="A343" s="19" t="str">
        <x:v>2026-07-12|S03|D19</x:v>
      </x:c>
      <x:c r="B343" s="34" t="n">
        <x:v>46215.5</x:v>
      </x:c>
      <x:c r="C343" s="19" t="str">
        <x:v>S03</x:v>
      </x:c>
      <x:c r="D343" s="19" t="str">
        <x:v>铂悦城店</x:v>
      </x:c>
      <x:c r="E343" s="19" t="str">
        <x:v>D19</x:v>
      </x:c>
      <x:c r="F343" s="19" t="str">
        <x:v>酸萝卜炒鸡杂</x:v>
      </x:c>
      <x:c r="G343" s="19" t="str">
        <x:v>R1.0</x:v>
      </x:c>
      <x:c r="H343" s="20" t="n">
        <x:f>XLOOKUP(A343,'菜品日销量'!$A$5:$A$1124,'菜品日销量'!$G$5:$G$1124,0)</x:f>
        <x:v>5</x:v>
      </x:c>
      <x:c r="I343" s="20" t="n">
        <x:f>ROUNDUP(H343/2,0)</x:f>
        <x:v>3</x:v>
      </x:c>
      <x:c r="J343" s="22" t="n">
        <x:f>SUMIFS('菜谱BOM'!$F$5:$F$160,'菜谱BOM'!$A$5:$A$160,E343,'菜谱BOM'!$C$5:$C$160,"食材")</x:f>
        <x:v>500</x:v>
      </x:c>
      <x:c r="K343" s="38" t="n">
        <x:v>0.0020806180224941626</x:v>
      </x:c>
      <x:c r="L343" s="35" t="n">
        <x:f>H343*J343*(1+K343)</x:f>
        <x:v>2505.2015450562353</x:v>
      </x:c>
      <x:c r="M343" s="35" t="n">
        <x:f>SUMIFS('菜谱BOM'!$F$5:$F$160,'菜谱BOM'!$A$5:$A$160,E343,'菜谱BOM'!$C$5:$C$160,"调料")</x:f>
        <x:v>55</x:v>
      </x:c>
      <x:c r="N343" s="38" t="n">
        <x:v>0.0006134331474577622</x:v>
      </x:c>
      <x:c r="O343" s="35" t="n">
        <x:f>H343*M343*(1+N343)</x:f>
        <x:v>275.16869411555086</x:v>
      </x:c>
      <x:c r="P343" s="19" t="str">
        <x:f>IF(ABS(N343)&gt;'封面与口径'!$O$25,"机器调料需复核",IF(ABS(K343)&gt;0.02,"人工称重需复核","正常"))</x:f>
        <x:v>正常</x:v>
      </x:c>
      <x:c r="Q343" s="19" t="str">
        <x:v>杨帆</x:v>
      </x:c>
    </x:row>
    <x:row r="344">
      <x:c r="A344" s="19" t="str">
        <x:v>2026-07-12|S03|D20</x:v>
      </x:c>
      <x:c r="B344" s="34" t="n">
        <x:v>46215.5</x:v>
      </x:c>
      <x:c r="C344" s="19" t="str">
        <x:v>S03</x:v>
      </x:c>
      <x:c r="D344" s="19" t="str">
        <x:v>铂悦城店</x:v>
      </x:c>
      <x:c r="E344" s="19" t="str">
        <x:v>D20</x:v>
      </x:c>
      <x:c r="F344" s="19" t="str">
        <x:v>雪菜肉末青豆</x:v>
      </x:c>
      <x:c r="G344" s="19" t="str">
        <x:v>R1.0</x:v>
      </x:c>
      <x:c r="H344" s="20" t="n">
        <x:f>XLOOKUP(A344,'菜品日销量'!$A$5:$A$1124,'菜品日销量'!$G$5:$G$1124,0)</x:f>
        <x:v>7</x:v>
      </x:c>
      <x:c r="I344" s="20" t="n">
        <x:f>ROUNDUP(H344/2,0)</x:f>
        <x:v>4</x:v>
      </x:c>
      <x:c r="J344" s="22" t="n">
        <x:f>SUMIFS('菜谱BOM'!$F$5:$F$160,'菜谱BOM'!$A$5:$A$160,E344,'菜谱BOM'!$C$5:$C$160,"食材")</x:f>
        <x:v>465</x:v>
      </x:c>
      <x:c r="K344" s="38" t="n">
        <x:v>-0.0020874152803065753</x:v>
      </x:c>
      <x:c r="L344" s="35" t="n">
        <x:f>H344*J344*(1+K344)</x:f>
        <x:v>3248.2054632626023</x:v>
      </x:c>
      <x:c r="M344" s="35" t="n">
        <x:f>SUMIFS('菜谱BOM'!$F$5:$F$160,'菜谱BOM'!$A$5:$A$160,E344,'菜谱BOM'!$C$5:$C$160,"调料")</x:f>
        <x:v>32</x:v>
      </x:c>
      <x:c r="N344" s="38" t="n">
        <x:v>0.001986050973643095</x:v>
      </x:c>
      <x:c r="O344" s="35" t="n">
        <x:f>H344*M344*(1+N344)</x:f>
        <x:v>224.44487541809605</x:v>
      </x:c>
      <x:c r="P344" s="19" t="str">
        <x:f>IF(ABS(N344)&gt;'封面与口径'!$O$25,"机器调料需复核",IF(ABS(K344)&gt;0.02,"人工称重需复核","正常"))</x:f>
        <x:v>正常</x:v>
      </x:c>
      <x:c r="Q344" s="19" t="str">
        <x:v>杨帆</x:v>
      </x:c>
    </x:row>
    <x:row r="345">
      <x:c r="A345" s="19" t="str">
        <x:v>2026-07-13|S03|D01</x:v>
      </x:c>
      <x:c r="B345" s="34" t="n">
        <x:v>46216.5</x:v>
      </x:c>
      <x:c r="C345" s="19" t="str">
        <x:v>S03</x:v>
      </x:c>
      <x:c r="D345" s="19" t="str">
        <x:v>铂悦城店</x:v>
      </x:c>
      <x:c r="E345" s="19" t="str">
        <x:v>D01</x:v>
      </x:c>
      <x:c r="F345" s="19" t="str">
        <x:v>辣椒炒肉</x:v>
      </x:c>
      <x:c r="G345" s="19" t="str">
        <x:v>R2.3</x:v>
      </x:c>
      <x:c r="H345" s="20" t="n">
        <x:f>XLOOKUP(A345,'菜品日销量'!$A$5:$A$1124,'菜品日销量'!$G$5:$G$1124,0)</x:f>
        <x:v>52</x:v>
      </x:c>
      <x:c r="I345" s="20" t="n">
        <x:f>ROUNDUP(H345/2,0)</x:f>
        <x:v>26</x:v>
      </x:c>
      <x:c r="J345" s="22" t="n">
        <x:f>SUMIFS('菜谱BOM'!$F$5:$F$160,'菜谱BOM'!$A$5:$A$160,E345,'菜谱BOM'!$C$5:$C$160,"食材")</x:f>
        <x:v>550</x:v>
      </x:c>
      <x:c r="K345" s="38" t="n">
        <x:v>0.004131927303069254</x:v>
      </x:c>
      <x:c r="L345" s="35" t="n">
        <x:f>H345*J345*(1+K345)</x:f>
        <x:v>28718.17312086778</x:v>
      </x:c>
      <x:c r="M345" s="35" t="n">
        <x:f>SUMIFS('菜谱BOM'!$F$5:$F$160,'菜谱BOM'!$A$5:$A$160,E345,'菜谱BOM'!$C$5:$C$160,"调料")</x:f>
        <x:v>104</x:v>
      </x:c>
      <x:c r="N345" s="38" t="n">
        <x:v>-0.0003820943232584033</x:v>
      </x:c>
      <x:c r="O345" s="35" t="n">
        <x:f>H345*M345*(1+N345)</x:f>
        <x:v>5405.933633899818</x:v>
      </x:c>
      <x:c r="P345" s="19" t="str">
        <x:f>IF(ABS(N345)&gt;'封面与口径'!$O$25,"机器调料需复核",IF(ABS(K345)&gt;0.02,"人工称重需复核","正常"))</x:f>
        <x:v>正常</x:v>
      </x:c>
      <x:c r="Q345" s="19" t="str">
        <x:v>杨帆</x:v>
      </x:c>
    </x:row>
    <x:row r="346">
      <x:c r="A346" s="19" t="str">
        <x:v>2026-07-13|S03|D02</x:v>
      </x:c>
      <x:c r="B346" s="34" t="n">
        <x:v>46216.5</x:v>
      </x:c>
      <x:c r="C346" s="19" t="str">
        <x:v>S03</x:v>
      </x:c>
      <x:c r="D346" s="19" t="str">
        <x:v>铂悦城店</x:v>
      </x:c>
      <x:c r="E346" s="19" t="str">
        <x:v>D02</x:v>
      </x:c>
      <x:c r="F346" s="19" t="str">
        <x:v>小炒黄牛肉</x:v>
      </x:c>
      <x:c r="G346" s="19" t="str">
        <x:v>R2.3</x:v>
      </x:c>
      <x:c r="H346" s="20" t="n">
        <x:f>XLOOKUP(A346,'菜品日销量'!$A$5:$A$1124,'菜品日销量'!$G$5:$G$1124,0)</x:f>
        <x:v>36</x:v>
      </x:c>
      <x:c r="I346" s="20" t="n">
        <x:f>ROUNDUP(H346/2,0)</x:f>
        <x:v>18</x:v>
      </x:c>
      <x:c r="J346" s="22" t="n">
        <x:f>SUMIFS('菜谱BOM'!$F$5:$F$160,'菜谱BOM'!$A$5:$A$160,E346,'菜谱BOM'!$C$5:$C$160,"食材")</x:f>
        <x:v>560</x:v>
      </x:c>
      <x:c r="K346" s="38" t="n">
        <x:v>0.0003846554105134352</x:v>
      </x:c>
      <x:c r="L346" s="35" t="n">
        <x:f>H346*J346*(1+K346)</x:f>
        <x:v>20167.75465307595</x:v>
      </x:c>
      <x:c r="M346" s="35" t="n">
        <x:f>SUMIFS('菜谱BOM'!$F$5:$F$160,'菜谱BOM'!$A$5:$A$160,E346,'菜谱BOM'!$C$5:$C$160,"调料")</x:f>
        <x:v>133</x:v>
      </x:c>
      <x:c r="N346" s="38" t="n">
        <x:v>-0.0018631433332020285</x:v>
      </x:c>
      <x:c r="O346" s="35" t="n">
        <x:f>H346*M346*(1+N346)</x:f>
        <x:v>4779.079269720629</x:v>
      </x:c>
      <x:c r="P346" s="19" t="str">
        <x:f>IF(ABS(N346)&gt;'封面与口径'!$O$25,"机器调料需复核",IF(ABS(K346)&gt;0.02,"人工称重需复核","正常"))</x:f>
        <x:v>正常</x:v>
      </x:c>
      <x:c r="Q346" s="19" t="str">
        <x:v>杨帆</x:v>
      </x:c>
    </x:row>
    <x:row r="347">
      <x:c r="A347" s="19" t="str">
        <x:v>2026-07-13|S03|D03</x:v>
      </x:c>
      <x:c r="B347" s="34" t="n">
        <x:v>46216.5</x:v>
      </x:c>
      <x:c r="C347" s="19" t="str">
        <x:v>S03</x:v>
      </x:c>
      <x:c r="D347" s="19" t="str">
        <x:v>铂悦城店</x:v>
      </x:c>
      <x:c r="E347" s="19" t="str">
        <x:v>D03</x:v>
      </x:c>
      <x:c r="F347" s="19" t="str">
        <x:v>香醋炒蛋</x:v>
      </x:c>
      <x:c r="G347" s="19" t="str">
        <x:v>R1.0</x:v>
      </x:c>
      <x:c r="H347" s="20" t="n">
        <x:f>XLOOKUP(A347,'菜品日销量'!$A$5:$A$1124,'菜品日销量'!$G$5:$G$1124,0)</x:f>
        <x:v>46</x:v>
      </x:c>
      <x:c r="I347" s="20" t="n">
        <x:f>ROUNDUP(H347/2,0)</x:f>
        <x:v>23</x:v>
      </x:c>
      <x:c r="J347" s="22" t="n">
        <x:f>SUMIFS('菜谱BOM'!$F$5:$F$160,'菜谱BOM'!$A$5:$A$160,E347,'菜谱BOM'!$C$5:$C$160,"食材")</x:f>
        <x:v>300</x:v>
      </x:c>
      <x:c r="K347" s="38" t="n">
        <x:v>0.005027152507805068</x:v>
      </x:c>
      <x:c r="L347" s="35" t="n">
        <x:f>H347*J347*(1+K347)</x:f>
        <x:v>13869.374704607711</x:v>
      </x:c>
      <x:c r="M347" s="35" t="n">
        <x:f>SUMIFS('菜谱BOM'!$F$5:$F$160,'菜谱BOM'!$A$5:$A$160,E347,'菜谱BOM'!$C$5:$C$160,"调料")</x:f>
        <x:v>53</x:v>
      </x:c>
      <x:c r="N347" s="38" t="n">
        <x:v>-0.0007567723520930792</x:v>
      </x:c>
      <x:c r="O347" s="35" t="n">
        <x:f>H347*M347*(1+N347)</x:f>
        <x:v>2436.154989005597</x:v>
      </x:c>
      <x:c r="P347" s="19" t="str">
        <x:f>IF(ABS(N347)&gt;'封面与口径'!$O$25,"机器调料需复核",IF(ABS(K347)&gt;0.02,"人工称重需复核","正常"))</x:f>
        <x:v>正常</x:v>
      </x:c>
      <x:c r="Q347" s="19" t="str">
        <x:v>杨帆</x:v>
      </x:c>
    </x:row>
    <x:row r="348">
      <x:c r="A348" s="19" t="str">
        <x:v>2026-07-13|S03|D04</x:v>
      </x:c>
      <x:c r="B348" s="34" t="n">
        <x:v>46216.5</x:v>
      </x:c>
      <x:c r="C348" s="19" t="str">
        <x:v>S03</x:v>
      </x:c>
      <x:c r="D348" s="19" t="str">
        <x:v>铂悦城店</x:v>
      </x:c>
      <x:c r="E348" s="19" t="str">
        <x:v>D04</x:v>
      </x:c>
      <x:c r="F348" s="19" t="str">
        <x:v>酸包菜炒粉皮</x:v>
      </x:c>
      <x:c r="G348" s="19" t="str">
        <x:v>R1.0</x:v>
      </x:c>
      <x:c r="H348" s="20" t="n">
        <x:f>XLOOKUP(A348,'菜品日销量'!$A$5:$A$1124,'菜品日销量'!$G$5:$G$1124,0)</x:f>
        <x:v>43</x:v>
      </x:c>
      <x:c r="I348" s="20" t="n">
        <x:f>ROUNDUP(H348/2,0)</x:f>
        <x:v>22</x:v>
      </x:c>
      <x:c r="J348" s="22" t="n">
        <x:f>SUMIFS('菜谱BOM'!$F$5:$F$160,'菜谱BOM'!$A$5:$A$160,E348,'菜谱BOM'!$C$5:$C$160,"食材")</x:f>
        <x:v>380</x:v>
      </x:c>
      <x:c r="K348" s="38" t="n">
        <x:v>-0.0022718168483748607</x:v>
      </x:c>
      <x:c r="L348" s="35" t="n">
        <x:f>H348*J348*(1+K348)</x:f>
        <x:v>16302.878512697554</x:v>
      </x:c>
      <x:c r="M348" s="35" t="n">
        <x:f>SUMIFS('菜谱BOM'!$F$5:$F$160,'菜谱BOM'!$A$5:$A$160,E348,'菜谱BOM'!$C$5:$C$160,"调料")</x:f>
        <x:v>47</x:v>
      </x:c>
      <x:c r="N348" s="38" t="n">
        <x:v>-0.001103438778571654</x:v>
      </x:c>
      <x:c r="O348" s="35" t="n">
        <x:f>H348*M348*(1+N348)</x:f>
        <x:v>2018.7699502285066</x:v>
      </x:c>
      <x:c r="P348" s="19" t="str">
        <x:f>IF(ABS(N348)&gt;'封面与口径'!$O$25,"机器调料需复核",IF(ABS(K348)&gt;0.02,"人工称重需复核","正常"))</x:f>
        <x:v>正常</x:v>
      </x:c>
      <x:c r="Q348" s="19" t="str">
        <x:v>杨帆</x:v>
      </x:c>
    </x:row>
    <x:row r="349">
      <x:c r="A349" s="19" t="str">
        <x:v>2026-07-13|S03|D05</x:v>
      </x:c>
      <x:c r="B349" s="34" t="n">
        <x:v>46216.5</x:v>
      </x:c>
      <x:c r="C349" s="19" t="str">
        <x:v>S03</x:v>
      </x:c>
      <x:c r="D349" s="19" t="str">
        <x:v>铂悦城店</x:v>
      </x:c>
      <x:c r="E349" s="19" t="str">
        <x:v>D05</x:v>
      </x:c>
      <x:c r="F349" s="19" t="str">
        <x:v>麻婆豆腐</x:v>
      </x:c>
      <x:c r="G349" s="19" t="str">
        <x:v>R1.0</x:v>
      </x:c>
      <x:c r="H349" s="20" t="n">
        <x:f>XLOOKUP(A349,'菜品日销量'!$A$5:$A$1124,'菜品日销量'!$G$5:$G$1124,0)</x:f>
        <x:v>58</x:v>
      </x:c>
      <x:c r="I349" s="20" t="n">
        <x:f>ROUNDUP(H349/2,0)</x:f>
        <x:v>29</x:v>
      </x:c>
      <x:c r="J349" s="22" t="n">
        <x:f>SUMIFS('菜谱BOM'!$F$5:$F$160,'菜谱BOM'!$A$5:$A$160,E349,'菜谱BOM'!$C$5:$C$160,"食材")</x:f>
        <x:v>505</x:v>
      </x:c>
      <x:c r="K349" s="38" t="n">
        <x:v>-0.00012859111468507668</x:v>
      </x:c>
      <x:c r="L349" s="35" t="n">
        <x:f>H349*J349*(1+K349)</x:f>
        <x:v>29286.233566250874</x:v>
      </x:c>
      <x:c r="M349" s="35" t="n">
        <x:f>SUMIFS('菜谱BOM'!$F$5:$F$160,'菜谱BOM'!$A$5:$A$160,E349,'菜谱BOM'!$C$5:$C$160,"调料")</x:f>
        <x:v>90</x:v>
      </x:c>
      <x:c r="N349" s="38" t="n">
        <x:v>-0.0007932636623255125</x:v>
      </x:c>
      <x:c r="O349" s="35" t="n">
        <x:f>H349*M349*(1+N349)</x:f>
        <x:v>5215.859163682661</x:v>
      </x:c>
      <x:c r="P349" s="19" t="str">
        <x:f>IF(ABS(N349)&gt;'封面与口径'!$O$25,"机器调料需复核",IF(ABS(K349)&gt;0.02,"人工称重需复核","正常"))</x:f>
        <x:v>正常</x:v>
      </x:c>
      <x:c r="Q349" s="19" t="str">
        <x:v>杨帆</x:v>
      </x:c>
    </x:row>
    <x:row r="350">
      <x:c r="A350" s="19" t="str">
        <x:v>2026-07-13|S03|D07</x:v>
      </x:c>
      <x:c r="B350" s="34" t="n">
        <x:v>46216.5</x:v>
      </x:c>
      <x:c r="C350" s="19" t="str">
        <x:v>S03</x:v>
      </x:c>
      <x:c r="D350" s="19" t="str">
        <x:v>铂悦城店</x:v>
      </x:c>
      <x:c r="E350" s="19" t="str">
        <x:v>D07</x:v>
      </x:c>
      <x:c r="F350" s="19" t="str">
        <x:v>川味回锅肉</x:v>
      </x:c>
      <x:c r="G350" s="19" t="str">
        <x:v>R1.0</x:v>
      </x:c>
      <x:c r="H350" s="20" t="n">
        <x:f>XLOOKUP(A350,'菜品日销量'!$A$5:$A$1124,'菜品日销量'!$G$5:$G$1124,0)</x:f>
        <x:v>17</x:v>
      </x:c>
      <x:c r="I350" s="20" t="n">
        <x:f>ROUNDUP(H350/2,0)</x:f>
        <x:v>9</x:v>
      </x:c>
      <x:c r="J350" s="22" t="n">
        <x:f>SUMIFS('菜谱BOM'!$F$5:$F$160,'菜谱BOM'!$A$5:$A$160,E350,'菜谱BOM'!$C$5:$C$160,"食材")</x:f>
        <x:v>450</x:v>
      </x:c>
      <x:c r="K350" s="38" t="n">
        <x:v>-0.005300872403499874</x:v>
      </x:c>
      <x:c r="L350" s="35" t="n">
        <x:f>H350*J350*(1+K350)</x:f>
        <x:v>7609.448326113226</x:v>
      </x:c>
      <x:c r="M350" s="35" t="n">
        <x:f>SUMIFS('菜谱BOM'!$F$5:$F$160,'菜谱BOM'!$A$5:$A$160,E350,'菜谱BOM'!$C$5:$C$160,"调料")</x:f>
        <x:v>63</x:v>
      </x:c>
      <x:c r="N350" s="38" t="n">
        <x:v>0.0015412951399435514</x:v>
      </x:c>
      <x:c r="O350" s="35" t="n">
        <x:f>H350*M350*(1+N350)</x:f>
        <x:v>1072.6507270948796</x:v>
      </x:c>
      <x:c r="P350" s="19" t="str">
        <x:f>IF(ABS(N350)&gt;'封面与口径'!$O$25,"机器调料需复核",IF(ABS(K350)&gt;0.02,"人工称重需复核","正常"))</x:f>
        <x:v>正常</x:v>
      </x:c>
      <x:c r="Q350" s="19" t="str">
        <x:v>杨帆</x:v>
      </x:c>
    </x:row>
    <x:row r="351">
      <x:c r="A351" s="19" t="str">
        <x:v>2026-07-13|S03|D08</x:v>
      </x:c>
      <x:c r="B351" s="34" t="n">
        <x:v>46216.5</x:v>
      </x:c>
      <x:c r="C351" s="19" t="str">
        <x:v>S03</x:v>
      </x:c>
      <x:c r="D351" s="19" t="str">
        <x:v>铂悦城店</x:v>
      </x:c>
      <x:c r="E351" s="19" t="str">
        <x:v>D08</x:v>
      </x:c>
      <x:c r="F351" s="19" t="str">
        <x:v>生炒清远鸡</x:v>
      </x:c>
      <x:c r="G351" s="19" t="str">
        <x:v>R1.0</x:v>
      </x:c>
      <x:c r="H351" s="20" t="n">
        <x:f>XLOOKUP(A351,'菜品日销量'!$A$5:$A$1124,'菜品日销量'!$G$5:$G$1124,0)</x:f>
        <x:v>13</x:v>
      </x:c>
      <x:c r="I351" s="20" t="n">
        <x:f>ROUNDUP(H351/2,0)</x:f>
        <x:v>7</x:v>
      </x:c>
      <x:c r="J351" s="22" t="n">
        <x:f>SUMIFS('菜谱BOM'!$F$5:$F$160,'菜谱BOM'!$A$5:$A$160,E351,'菜谱BOM'!$C$5:$C$160,"食材")</x:f>
        <x:v>610</x:v>
      </x:c>
      <x:c r="K351" s="38" t="n">
        <x:v>0.004698731201863552</x:v>
      </x:c>
      <x:c r="L351" s="35" t="n">
        <x:f>H351*J351*(1+K351)</x:f>
        <x:v>7967.260938430778</x:v>
      </x:c>
      <x:c r="M351" s="35" t="n">
        <x:f>SUMIFS('菜谱BOM'!$F$5:$F$160,'菜谱BOM'!$A$5:$A$160,E351,'菜谱BOM'!$C$5:$C$160,"调料")</x:f>
        <x:v>61</x:v>
      </x:c>
      <x:c r="N351" s="38" t="n">
        <x:v>-0.001068860488726958</x:v>
      </x:c>
      <x:c r="O351" s="35" t="n">
        <x:f>H351*M351*(1+N351)</x:f>
        <x:v>792.1523936324395</x:v>
      </x:c>
      <x:c r="P351" s="19" t="str">
        <x:f>IF(ABS(N351)&gt;'封面与口径'!$O$25,"机器调料需复核",IF(ABS(K351)&gt;0.02,"人工称重需复核","正常"))</x:f>
        <x:v>正常</x:v>
      </x:c>
      <x:c r="Q351" s="19" t="str">
        <x:v>杨帆</x:v>
      </x:c>
    </x:row>
    <x:row r="352">
      <x:c r="A352" s="19" t="str">
        <x:v>2026-07-13|S03|D09</x:v>
      </x:c>
      <x:c r="B352" s="34" t="n">
        <x:v>46216.5</x:v>
      </x:c>
      <x:c r="C352" s="19" t="str">
        <x:v>S03</x:v>
      </x:c>
      <x:c r="D352" s="19" t="str">
        <x:v>铂悦城店</x:v>
      </x:c>
      <x:c r="E352" s="19" t="str">
        <x:v>D09</x:v>
      </x:c>
      <x:c r="F352" s="19" t="str">
        <x:v>炒豆干</x:v>
      </x:c>
      <x:c r="G352" s="19" t="str">
        <x:v>R1.0</x:v>
      </x:c>
      <x:c r="H352" s="20" t="n">
        <x:f>XLOOKUP(A352,'菜品日销量'!$A$5:$A$1124,'菜品日销量'!$G$5:$G$1124,0)</x:f>
        <x:v>18</x:v>
      </x:c>
      <x:c r="I352" s="20" t="n">
        <x:f>ROUNDUP(H352/2,0)</x:f>
        <x:v>9</x:v>
      </x:c>
      <x:c r="J352" s="22" t="n">
        <x:f>SUMIFS('菜谱BOM'!$F$5:$F$160,'菜谱BOM'!$A$5:$A$160,E352,'菜谱BOM'!$C$5:$C$160,"食材")</x:f>
        <x:v>520</x:v>
      </x:c>
      <x:c r="K352" s="38" t="n">
        <x:v>-0.007136365454442884</x:v>
      </x:c>
      <x:c r="L352" s="35" t="n">
        <x:f>H352*J352*(1+K352)</x:f>
        <x:v>9293.203619346416</x:v>
      </x:c>
      <x:c r="M352" s="35" t="n">
        <x:f>SUMIFS('菜谱BOM'!$F$5:$F$160,'菜谱BOM'!$A$5:$A$160,E352,'菜谱BOM'!$C$5:$C$160,"调料")</x:f>
        <x:v>42</x:v>
      </x:c>
      <x:c r="N352" s="38" t="n">
        <x:v>-0.00000580748124183339</x:v>
      </x:c>
      <x:c r="O352" s="35" t="n">
        <x:f>H352*M352*(1+N352)</x:f>
        <x:v>755.9956095441812</x:v>
      </x:c>
      <x:c r="P352" s="19" t="str">
        <x:f>IF(ABS(N352)&gt;'封面与口径'!$O$25,"机器调料需复核",IF(ABS(K352)&gt;0.02,"人工称重需复核","正常"))</x:f>
        <x:v>正常</x:v>
      </x:c>
      <x:c r="Q352" s="19" t="str">
        <x:v>杨帆</x:v>
      </x:c>
    </x:row>
    <x:row r="353">
      <x:c r="A353" s="19" t="str">
        <x:v>2026-07-13|S03|D10</x:v>
      </x:c>
      <x:c r="B353" s="34" t="n">
        <x:v>46216.5</x:v>
      </x:c>
      <x:c r="C353" s="19" t="str">
        <x:v>S03</x:v>
      </x:c>
      <x:c r="D353" s="19" t="str">
        <x:v>铂悦城店</x:v>
      </x:c>
      <x:c r="E353" s="19" t="str">
        <x:v>D10</x:v>
      </x:c>
      <x:c r="F353" s="19" t="str">
        <x:v>农家一碗香</x:v>
      </x:c>
      <x:c r="G353" s="19" t="str">
        <x:v>R2.3</x:v>
      </x:c>
      <x:c r="H353" s="20" t="n">
        <x:f>XLOOKUP(A353,'菜品日销量'!$A$5:$A$1124,'菜品日销量'!$G$5:$G$1124,0)</x:f>
        <x:v>21</x:v>
      </x:c>
      <x:c r="I353" s="20" t="n">
        <x:f>ROUNDUP(H353/2,0)</x:f>
        <x:v>11</x:v>
      </x:c>
      <x:c r="J353" s="22" t="n">
        <x:f>SUMIFS('菜谱BOM'!$F$5:$F$160,'菜谱BOM'!$A$5:$A$160,E353,'菜谱BOM'!$C$5:$C$160,"食材")</x:f>
        <x:v>510</x:v>
      </x:c>
      <x:c r="K353" s="38" t="n">
        <x:v>0.0023926926987228665</x:v>
      </x:c>
      <x:c r="L353" s="35" t="n">
        <x:f>H353*J353*(1+K353)</x:f>
        <x:v>10735.625738803321</x:v>
      </x:c>
      <x:c r="M353" s="35" t="n">
        <x:f>SUMIFS('菜谱BOM'!$F$5:$F$160,'菜谱BOM'!$A$5:$A$160,E353,'菜谱BOM'!$C$5:$C$160,"调料")</x:f>
        <x:v>88</x:v>
      </x:c>
      <x:c r="N353" s="38" t="n">
        <x:v>-0.0015653596314520945</x:v>
      </x:c>
      <x:c r="O353" s="35" t="n">
        <x:f>H353*M353*(1+N353)</x:f>
        <x:v>1845.1072154010765</x:v>
      </x:c>
      <x:c r="P353" s="19" t="str">
        <x:f>IF(ABS(N353)&gt;'封面与口径'!$O$25,"机器调料需复核",IF(ABS(K353)&gt;0.02,"人工称重需复核","正常"))</x:f>
        <x:v>正常</x:v>
      </x:c>
      <x:c r="Q353" s="19" t="str">
        <x:v>杨帆</x:v>
      </x:c>
    </x:row>
    <x:row r="354">
      <x:c r="A354" s="19" t="str">
        <x:v>2026-07-13|S03|D11</x:v>
      </x:c>
      <x:c r="B354" s="34" t="n">
        <x:v>46216.5</x:v>
      </x:c>
      <x:c r="C354" s="19" t="str">
        <x:v>S03</x:v>
      </x:c>
      <x:c r="D354" s="19" t="str">
        <x:v>铂悦城店</x:v>
      </x:c>
      <x:c r="E354" s="19" t="str">
        <x:v>D11</x:v>
      </x:c>
      <x:c r="F354" s="19" t="str">
        <x:v>香辣爆肥肠</x:v>
      </x:c>
      <x:c r="G354" s="19" t="str">
        <x:v>R1.0</x:v>
      </x:c>
      <x:c r="H354" s="20" t="n">
        <x:f>XLOOKUP(A354,'菜品日销量'!$A$5:$A$1124,'菜品日销量'!$G$5:$G$1124,0)</x:f>
        <x:v>8</x:v>
      </x:c>
      <x:c r="I354" s="20" t="n">
        <x:f>ROUNDUP(H354/2,0)</x:f>
        <x:v>4</x:v>
      </x:c>
      <x:c r="J354" s="22" t="n">
        <x:f>SUMIFS('菜谱BOM'!$F$5:$F$160,'菜谱BOM'!$A$5:$A$160,E354,'菜谱BOM'!$C$5:$C$160,"食材")</x:f>
        <x:v>430</x:v>
      </x:c>
      <x:c r="K354" s="38" t="n">
        <x:v>-0.004699697456485522</x:v>
      </x:c>
      <x:c r="L354" s="35" t="n">
        <x:f>H354*J354*(1+K354)</x:f>
        <x:v>3423.8330407496896</x:v>
      </x:c>
      <x:c r="M354" s="35" t="n">
        <x:f>SUMIFS('菜谱BOM'!$F$5:$F$160,'菜谱BOM'!$A$5:$A$160,E354,'菜谱BOM'!$C$5:$C$160,"调料")</x:f>
        <x:v>67</x:v>
      </x:c>
      <x:c r="N354" s="38" t="n">
        <x:v>0.0001291166651363289</x:v>
      </x:c>
      <x:c r="O354" s="35" t="n">
        <x:f>H354*M354*(1+N354)</x:f>
        <x:v>536.069206532513</x:v>
      </x:c>
      <x:c r="P354" s="19" t="str">
        <x:f>IF(ABS(N354)&gt;'封面与口径'!$O$25,"机器调料需复核",IF(ABS(K354)&gt;0.02,"人工称重需复核","正常"))</x:f>
        <x:v>正常</x:v>
      </x:c>
      <x:c r="Q354" s="19" t="str">
        <x:v>杨帆</x:v>
      </x:c>
    </x:row>
    <x:row r="355">
      <x:c r="A355" s="19" t="str">
        <x:v>2026-07-13|S03|D13</x:v>
      </x:c>
      <x:c r="B355" s="34" t="n">
        <x:v>46216.5</x:v>
      </x:c>
      <x:c r="C355" s="19" t="str">
        <x:v>S03</x:v>
      </x:c>
      <x:c r="D355" s="19" t="str">
        <x:v>铂悦城店</x:v>
      </x:c>
      <x:c r="E355" s="19" t="str">
        <x:v>D13</x:v>
      </x:c>
      <x:c r="F355" s="19" t="str">
        <x:v>外婆菜炒蛋</x:v>
      </x:c>
      <x:c r="G355" s="19" t="str">
        <x:v>R1.0</x:v>
      </x:c>
      <x:c r="H355" s="20" t="n">
        <x:f>XLOOKUP(A355,'菜品日销量'!$A$5:$A$1124,'菜品日销量'!$G$5:$G$1124,0)</x:f>
        <x:v>18</x:v>
      </x:c>
      <x:c r="I355" s="20" t="n">
        <x:f>ROUNDUP(H355/2,0)</x:f>
        <x:v>9</x:v>
      </x:c>
      <x:c r="J355" s="22" t="n">
        <x:f>SUMIFS('菜谱BOM'!$F$5:$F$160,'菜谱BOM'!$A$5:$A$160,E355,'菜谱BOM'!$C$5:$C$160,"食材")</x:f>
        <x:v>450</x:v>
      </x:c>
      <x:c r="K355" s="38" t="n">
        <x:v>0.007506959769760016</x:v>
      </x:c>
      <x:c r="L355" s="35" t="n">
        <x:f>H355*J355*(1+K355)</x:f>
        <x:v>8160.806374135057</x:v>
      </x:c>
      <x:c r="M355" s="35" t="n">
        <x:f>SUMIFS('菜谱BOM'!$F$5:$F$160,'菜谱BOM'!$A$5:$A$160,E355,'菜谱BOM'!$C$5:$C$160,"调料")</x:f>
        <x:v>37</x:v>
      </x:c>
      <x:c r="N355" s="38" t="n">
        <x:v>-0.0007581543239667439</x:v>
      </x:c>
      <x:c r="O355" s="35" t="n">
        <x:f>H355*M355*(1+N355)</x:f>
        <x:v>665.4950692202382</x:v>
      </x:c>
      <x:c r="P355" s="19" t="str">
        <x:f>IF(ABS(N355)&gt;'封面与口径'!$O$25,"机器调料需复核",IF(ABS(K355)&gt;0.02,"人工称重需复核","正常"))</x:f>
        <x:v>正常</x:v>
      </x:c>
      <x:c r="Q355" s="19" t="str">
        <x:v>杨帆</x:v>
      </x:c>
    </x:row>
    <x:row r="356">
      <x:c r="A356" s="19" t="str">
        <x:v>2026-07-13|S03|D14</x:v>
      </x:c>
      <x:c r="B356" s="34" t="n">
        <x:v>46216.5</x:v>
      </x:c>
      <x:c r="C356" s="19" t="str">
        <x:v>S03</x:v>
      </x:c>
      <x:c r="D356" s="19" t="str">
        <x:v>铂悦城店</x:v>
      </x:c>
      <x:c r="E356" s="19" t="str">
        <x:v>D14</x:v>
      </x:c>
      <x:c r="F356" s="19" t="str">
        <x:v>酸辣鸡杂</x:v>
      </x:c>
      <x:c r="G356" s="19" t="str">
        <x:v>R1.0</x:v>
      </x:c>
      <x:c r="H356" s="20" t="n">
        <x:f>XLOOKUP(A356,'菜品日销量'!$A$5:$A$1124,'菜品日销量'!$G$5:$G$1124,0)</x:f>
        <x:v>10</x:v>
      </x:c>
      <x:c r="I356" s="20" t="n">
        <x:f>ROUNDUP(H356/2,0)</x:f>
        <x:v>5</x:v>
      </x:c>
      <x:c r="J356" s="22" t="n">
        <x:f>SUMIFS('菜谱BOM'!$F$5:$F$160,'菜谱BOM'!$A$5:$A$160,E356,'菜谱BOM'!$C$5:$C$160,"食材")</x:f>
        <x:v>470</x:v>
      </x:c>
      <x:c r="K356" s="38" t="n">
        <x:v>-0.0027800404454534967</x:v>
      </x:c>
      <x:c r="L356" s="35" t="n">
        <x:f>H356*J356*(1+K356)</x:f>
        <x:v>4686.933809906368</x:v>
      </x:c>
      <x:c r="M356" s="35" t="n">
        <x:f>SUMIFS('菜谱BOM'!$F$5:$F$160,'菜谱BOM'!$A$5:$A$160,E356,'菜谱BOM'!$C$5:$C$160,"调料")</x:f>
        <x:v>60</x:v>
      </x:c>
      <x:c r="N356" s="38" t="n">
        <x:v>-0.0012965351546407992</x:v>
      </x:c>
      <x:c r="O356" s="35" t="n">
        <x:f>H356*M356*(1+N356)</x:f>
        <x:v>599.2220789072155</x:v>
      </x:c>
      <x:c r="P356" s="19" t="str">
        <x:f>IF(ABS(N356)&gt;'封面与口径'!$O$25,"机器调料需复核",IF(ABS(K356)&gt;0.02,"人工称重需复核","正常"))</x:f>
        <x:v>正常</x:v>
      </x:c>
      <x:c r="Q356" s="19" t="str">
        <x:v>杨帆</x:v>
      </x:c>
    </x:row>
    <x:row r="357">
      <x:c r="A357" s="19" t="str">
        <x:v>2026-07-13|S03|D15</x:v>
      </x:c>
      <x:c r="B357" s="34" t="n">
        <x:v>46216.5</x:v>
      </x:c>
      <x:c r="C357" s="19" t="str">
        <x:v>S03</x:v>
      </x:c>
      <x:c r="D357" s="19" t="str">
        <x:v>铂悦城店</x:v>
      </x:c>
      <x:c r="E357" s="19" t="str">
        <x:v>D15</x:v>
      </x:c>
      <x:c r="F357" s="19" t="str">
        <x:v>湘西土匪猪肝</x:v>
      </x:c>
      <x:c r="G357" s="19" t="str">
        <x:v>R1.0</x:v>
      </x:c>
      <x:c r="H357" s="20" t="n">
        <x:f>XLOOKUP(A357,'菜品日销量'!$A$5:$A$1124,'菜品日销量'!$G$5:$G$1124,0)</x:f>
        <x:v>10</x:v>
      </x:c>
      <x:c r="I357" s="20" t="n">
        <x:f>ROUNDUP(H357/2,0)</x:f>
        <x:v>5</x:v>
      </x:c>
      <x:c r="J357" s="22" t="n">
        <x:f>SUMIFS('菜谱BOM'!$F$5:$F$160,'菜谱BOM'!$A$5:$A$160,E357,'菜谱BOM'!$C$5:$C$160,"食材")</x:f>
        <x:v>470</x:v>
      </x:c>
      <x:c r="K357" s="38" t="n">
        <x:v>0.005227523352305294</x:v>
      </x:c>
      <x:c r="L357" s="35" t="n">
        <x:f>H357*J357*(1+K357)</x:f>
        <x:v>4724.569359755836</x:v>
      </x:c>
      <x:c r="M357" s="35" t="n">
        <x:f>SUMIFS('菜谱BOM'!$F$5:$F$160,'菜谱BOM'!$A$5:$A$160,E357,'菜谱BOM'!$C$5:$C$160,"调料")</x:f>
        <x:v>49</x:v>
      </x:c>
      <x:c r="N357" s="38" t="n">
        <x:v>0.0009085749832234753</x:v>
      </x:c>
      <x:c r="O357" s="35" t="n">
        <x:f>H357*M357*(1+N357)</x:f>
        <x:v>490.44520174177944</x:v>
      </x:c>
      <x:c r="P357" s="19" t="str">
        <x:f>IF(ABS(N357)&gt;'封面与口径'!$O$25,"机器调料需复核",IF(ABS(K357)&gt;0.02,"人工称重需复核","正常"))</x:f>
        <x:v>正常</x:v>
      </x:c>
      <x:c r="Q357" s="19" t="str">
        <x:v>杨帆</x:v>
      </x:c>
    </x:row>
    <x:row r="358">
      <x:c r="A358" s="19" t="str">
        <x:v>2026-07-13|S03|D16</x:v>
      </x:c>
      <x:c r="B358" s="34" t="n">
        <x:v>46216.5</x:v>
      </x:c>
      <x:c r="C358" s="19" t="str">
        <x:v>S03</x:v>
      </x:c>
      <x:c r="D358" s="19" t="str">
        <x:v>铂悦城店</x:v>
      </x:c>
      <x:c r="E358" s="19" t="str">
        <x:v>D16</x:v>
      </x:c>
      <x:c r="F358" s="19" t="str">
        <x:v>小豆角炒五花</x:v>
      </x:c>
      <x:c r="G358" s="19" t="str">
        <x:v>R1.0</x:v>
      </x:c>
      <x:c r="H358" s="20" t="n">
        <x:f>XLOOKUP(A358,'菜品日销量'!$A$5:$A$1124,'菜品日销量'!$G$5:$G$1124,0)</x:f>
        <x:v>8</x:v>
      </x:c>
      <x:c r="I358" s="20" t="n">
        <x:f>ROUNDUP(H358/2,0)</x:f>
        <x:v>4</x:v>
      </x:c>
      <x:c r="J358" s="22" t="n">
        <x:f>SUMIFS('菜谱BOM'!$F$5:$F$160,'菜谱BOM'!$A$5:$A$160,E358,'菜谱BOM'!$C$5:$C$160,"食材")</x:f>
        <x:v>450</x:v>
      </x:c>
      <x:c r="K358" s="38" t="n">
        <x:v>0.005536460779033709</x:v>
      </x:c>
      <x:c r="L358" s="35" t="n">
        <x:f>H358*J358*(1+K358)</x:f>
        <x:v>3619.931258804522</x:v>
      </x:c>
      <x:c r="M358" s="35" t="n">
        <x:f>SUMIFS('菜谱BOM'!$F$5:$F$160,'菜谱BOM'!$A$5:$A$160,E358,'菜谱BOM'!$C$5:$C$160,"调料")</x:f>
        <x:v>42</x:v>
      </x:c>
      <x:c r="N358" s="38" t="n">
        <x:v>0.0011557371549205243</x:v>
      </x:c>
      <x:c r="O358" s="35" t="n">
        <x:f>H358*M358*(1+N358)</x:f>
        <x:v>336.38832768405325</x:v>
      </x:c>
      <x:c r="P358" s="19" t="str">
        <x:f>IF(ABS(N358)&gt;'封面与口径'!$O$25,"机器调料需复核",IF(ABS(K358)&gt;0.02,"人工称重需复核","正常"))</x:f>
        <x:v>正常</x:v>
      </x:c>
      <x:c r="Q358" s="19" t="str">
        <x:v>杨帆</x:v>
      </x:c>
    </x:row>
    <x:row r="359">
      <x:c r="A359" s="19" t="str">
        <x:v>2026-07-13|S03|D18</x:v>
      </x:c>
      <x:c r="B359" s="34" t="n">
        <x:v>46216.5</x:v>
      </x:c>
      <x:c r="C359" s="19" t="str">
        <x:v>S03</x:v>
      </x:c>
      <x:c r="D359" s="19" t="str">
        <x:v>铂悦城店</x:v>
      </x:c>
      <x:c r="E359" s="19" t="str">
        <x:v>D18</x:v>
      </x:c>
      <x:c r="F359" s="19" t="str">
        <x:v>青椒炒油麦菜</x:v>
      </x:c>
      <x:c r="G359" s="19" t="str">
        <x:v>R1.0</x:v>
      </x:c>
      <x:c r="H359" s="20" t="n">
        <x:f>XLOOKUP(A359,'菜品日销量'!$A$5:$A$1124,'菜品日销量'!$G$5:$G$1124,0)</x:f>
        <x:v>10</x:v>
      </x:c>
      <x:c r="I359" s="20" t="n">
        <x:f>ROUNDUP(H359/2,0)</x:f>
        <x:v>5</x:v>
      </x:c>
      <x:c r="J359" s="22" t="n">
        <x:f>SUMIFS('菜谱BOM'!$F$5:$F$160,'菜谱BOM'!$A$5:$A$160,E359,'菜谱BOM'!$C$5:$C$160,"食材")</x:f>
        <x:v>430</x:v>
      </x:c>
      <x:c r="K359" s="38" t="n">
        <x:v>-0.001978909152089364</x:v>
      </x:c>
      <x:c r="L359" s="35" t="n">
        <x:f>H359*J359*(1+K359)</x:f>
        <x:v>4291.4906906460155</x:v>
      </x:c>
      <x:c r="M359" s="35" t="n">
        <x:f>SUMIFS('菜谱BOM'!$F$5:$F$160,'菜谱BOM'!$A$5:$A$160,E359,'菜谱BOM'!$C$5:$C$160,"调料")</x:f>
        <x:v>33</x:v>
      </x:c>
      <x:c r="N359" s="38" t="n">
        <x:v>-0.00029723228660813363</x:v>
      </x:c>
      <x:c r="O359" s="35" t="n">
        <x:f>H359*M359*(1+N359)</x:f>
        <x:v>329.9019133454193</x:v>
      </x:c>
      <x:c r="P359" s="19" t="str">
        <x:f>IF(ABS(N359)&gt;'封面与口径'!$O$25,"机器调料需复核",IF(ABS(K359)&gt;0.02,"人工称重需复核","正常"))</x:f>
        <x:v>正常</x:v>
      </x:c>
      <x:c r="Q359" s="19" t="str">
        <x:v>杨帆</x:v>
      </x:c>
    </x:row>
    <x:row r="360">
      <x:c r="A360" s="19" t="str">
        <x:v>2026-07-13|S03|D19</x:v>
      </x:c>
      <x:c r="B360" s="34" t="n">
        <x:v>46216.5</x:v>
      </x:c>
      <x:c r="C360" s="19" t="str">
        <x:v>S03</x:v>
      </x:c>
      <x:c r="D360" s="19" t="str">
        <x:v>铂悦城店</x:v>
      </x:c>
      <x:c r="E360" s="19" t="str">
        <x:v>D19</x:v>
      </x:c>
      <x:c r="F360" s="19" t="str">
        <x:v>酸萝卜炒鸡杂</x:v>
      </x:c>
      <x:c r="G360" s="19" t="str">
        <x:v>R1.0</x:v>
      </x:c>
      <x:c r="H360" s="20" t="n">
        <x:f>XLOOKUP(A360,'菜品日销量'!$A$5:$A$1124,'菜品日销量'!$G$5:$G$1124,0)</x:f>
        <x:v>6</x:v>
      </x:c>
      <x:c r="I360" s="20" t="n">
        <x:f>ROUNDUP(H360/2,0)</x:f>
        <x:v>3</x:v>
      </x:c>
      <x:c r="J360" s="22" t="n">
        <x:f>SUMIFS('菜谱BOM'!$F$5:$F$160,'菜谱BOM'!$A$5:$A$160,E360,'菜谱BOM'!$C$5:$C$160,"食材")</x:f>
        <x:v>500</x:v>
      </x:c>
      <x:c r="K360" s="38" t="n">
        <x:v>-0.002511058441016604</x:v>
      </x:c>
      <x:c r="L360" s="35" t="n">
        <x:f>H360*J360*(1+K360)</x:f>
        <x:v>2992.46682467695</x:v>
      </x:c>
      <x:c r="M360" s="35" t="n">
        <x:f>SUMIFS('菜谱BOM'!$F$5:$F$160,'菜谱BOM'!$A$5:$A$160,E360,'菜谱BOM'!$C$5:$C$160,"调料")</x:f>
        <x:v>55</x:v>
      </x:c>
      <x:c r="N360" s="38" t="n">
        <x:v>0.0010204465424223912</x:v>
      </x:c>
      <x:c r="O360" s="35" t="n">
        <x:f>H360*M360*(1+N360)</x:f>
        <x:v>330.3367473589994</x:v>
      </x:c>
      <x:c r="P360" s="19" t="str">
        <x:f>IF(ABS(N360)&gt;'封面与口径'!$O$25,"机器调料需复核",IF(ABS(K360)&gt;0.02,"人工称重需复核","正常"))</x:f>
        <x:v>正常</x:v>
      </x:c>
      <x:c r="Q360" s="19" t="str">
        <x:v>杨帆</x:v>
      </x:c>
    </x:row>
    <x:row r="361">
      <x:c r="A361" s="19" t="str">
        <x:v>2026-07-13|S03|D20</x:v>
      </x:c>
      <x:c r="B361" s="34" t="n">
        <x:v>46216.5</x:v>
      </x:c>
      <x:c r="C361" s="19" t="str">
        <x:v>S03</x:v>
      </x:c>
      <x:c r="D361" s="19" t="str">
        <x:v>铂悦城店</x:v>
      </x:c>
      <x:c r="E361" s="19" t="str">
        <x:v>D20</x:v>
      </x:c>
      <x:c r="F361" s="19" t="str">
        <x:v>雪菜肉末青豆</x:v>
      </x:c>
      <x:c r="G361" s="19" t="str">
        <x:v>R1.0</x:v>
      </x:c>
      <x:c r="H361" s="20" t="n">
        <x:f>XLOOKUP(A361,'菜品日销量'!$A$5:$A$1124,'菜品日销量'!$G$5:$G$1124,0)</x:f>
        <x:v>11</x:v>
      </x:c>
      <x:c r="I361" s="20" t="n">
        <x:f>ROUNDUP(H361/2,0)</x:f>
        <x:v>6</x:v>
      </x:c>
      <x:c r="J361" s="22" t="n">
        <x:f>SUMIFS('菜谱BOM'!$F$5:$F$160,'菜谱BOM'!$A$5:$A$160,E361,'菜谱BOM'!$C$5:$C$160,"食材")</x:f>
        <x:v>465</x:v>
      </x:c>
      <x:c r="K361" s="38" t="n">
        <x:v>0.004380589793524843</x:v>
      </x:c>
      <x:c r="L361" s="35" t="n">
        <x:f>H361*J361*(1+K361)</x:f>
        <x:v>5137.406716793879</x:v>
      </x:c>
      <x:c r="M361" s="35" t="n">
        <x:f>SUMIFS('菜谱BOM'!$F$5:$F$160,'菜谱BOM'!$A$5:$A$160,E361,'菜谱BOM'!$C$5:$C$160,"调料")</x:f>
        <x:v>32</x:v>
      </x:c>
      <x:c r="N361" s="38" t="n">
        <x:v>-0.0006221247135247395</x:v>
      </x:c>
      <x:c r="O361" s="35" t="n">
        <x:f>H361*M361*(1+N361)</x:f>
        <x:v>351.7810121008393</x:v>
      </x:c>
      <x:c r="P361" s="19" t="str">
        <x:f>IF(ABS(N361)&gt;'封面与口径'!$O$25,"机器调料需复核",IF(ABS(K361)&gt;0.02,"人工称重需复核","正常"))</x:f>
        <x:v>正常</x:v>
      </x:c>
      <x:c r="Q361" s="19" t="str">
        <x:v>杨帆</x:v>
      </x:c>
    </x:row>
    <x:row r="362">
      <x:c r="A362" s="19" t="str">
        <x:v>2026-07-07|S04|D01</x:v>
      </x:c>
      <x:c r="B362" s="34" t="n">
        <x:v>46210.5</x:v>
      </x:c>
      <x:c r="C362" s="19" t="str">
        <x:v>S04</x:v>
      </x:c>
      <x:c r="D362" s="19" t="str">
        <x:v>金街美地店</x:v>
      </x:c>
      <x:c r="E362" s="19" t="str">
        <x:v>D01</x:v>
      </x:c>
      <x:c r="F362" s="19" t="str">
        <x:v>辣椒炒肉</x:v>
      </x:c>
      <x:c r="G362" s="19" t="str">
        <x:v>R2.3</x:v>
      </x:c>
      <x:c r="H362" s="20" t="n">
        <x:f>XLOOKUP(A362,'菜品日销量'!$A$5:$A$1124,'菜品日销量'!$G$5:$G$1124,0)</x:f>
        <x:v>49</x:v>
      </x:c>
      <x:c r="I362" s="20" t="n">
        <x:f>ROUNDUP(H362/2,0)</x:f>
        <x:v>25</x:v>
      </x:c>
      <x:c r="J362" s="22" t="n">
        <x:f>SUMIFS('菜谱BOM'!$F$5:$F$160,'菜谱BOM'!$A$5:$A$160,E362,'菜谱BOM'!$C$5:$C$160,"食材")</x:f>
        <x:v>550</x:v>
      </x:c>
      <x:c r="K362" s="38" t="n">
        <x:v>0.005856589443482596</x:v>
      </x:c>
      <x:c r="L362" s="35" t="n">
        <x:f>H362*J362*(1+K362)</x:f>
        <x:v>27107.835085501854</x:v>
      </x:c>
      <x:c r="M362" s="35" t="n">
        <x:f>SUMIFS('菜谱BOM'!$F$5:$F$160,'菜谱BOM'!$A$5:$A$160,E362,'菜谱BOM'!$C$5:$C$160,"调料")</x:f>
        <x:v>104</x:v>
      </x:c>
      <x:c r="N362" s="38" t="n">
        <x:v>-0.00038065591789331667</x:v>
      </x:c>
      <x:c r="O362" s="35" t="n">
        <x:f>H362*M362*(1+N362)</x:f>
        <x:v>5094.060177442416</x:v>
      </x:c>
      <x:c r="P362" s="19" t="str">
        <x:f>IF(ABS(N362)&gt;'封面与口径'!$O$25,"机器调料需复核",IF(ABS(K362)&gt;0.02,"人工称重需复核","正常"))</x:f>
        <x:v>正常</x:v>
      </x:c>
      <x:c r="Q362" s="19" t="str">
        <x:v>宋海</x:v>
      </x:c>
    </x:row>
    <x:row r="363">
      <x:c r="A363" s="19" t="str">
        <x:v>2026-07-07|S04|D02</x:v>
      </x:c>
      <x:c r="B363" s="34" t="n">
        <x:v>46210.5</x:v>
      </x:c>
      <x:c r="C363" s="19" t="str">
        <x:v>S04</x:v>
      </x:c>
      <x:c r="D363" s="19" t="str">
        <x:v>金街美地店</x:v>
      </x:c>
      <x:c r="E363" s="19" t="str">
        <x:v>D02</x:v>
      </x:c>
      <x:c r="F363" s="19" t="str">
        <x:v>小炒黄牛肉</x:v>
      </x:c>
      <x:c r="G363" s="19" t="str">
        <x:v>R2.3</x:v>
      </x:c>
      <x:c r="H363" s="20" t="n">
        <x:f>XLOOKUP(A363,'菜品日销量'!$A$5:$A$1124,'菜品日销量'!$G$5:$G$1124,0)</x:f>
        <x:v>35</x:v>
      </x:c>
      <x:c r="I363" s="20" t="n">
        <x:f>ROUNDUP(H363/2,0)</x:f>
        <x:v>18</x:v>
      </x:c>
      <x:c r="J363" s="22" t="n">
        <x:f>SUMIFS('菜谱BOM'!$F$5:$F$160,'菜谱BOM'!$A$5:$A$160,E363,'菜谱BOM'!$C$5:$C$160,"食材")</x:f>
        <x:v>560</x:v>
      </x:c>
      <x:c r="K363" s="38" t="n">
        <x:v>-0.000721566548738993</x:v>
      </x:c>
      <x:c r="L363" s="35" t="n">
        <x:f>H363*J363*(1+K363)</x:f>
        <x:v>19585.857295644717</x:v>
      </x:c>
      <x:c r="M363" s="35" t="n">
        <x:f>SUMIFS('菜谱BOM'!$F$5:$F$160,'菜谱BOM'!$A$5:$A$160,E363,'菜谱BOM'!$C$5:$C$160,"调料")</x:f>
        <x:v>133</x:v>
      </x:c>
      <x:c r="N363" s="38" t="n">
        <x:v>0.00039686304666028914</x:v>
      </x:c>
      <x:c r="O363" s="35" t="n">
        <x:f>H363*M363*(1+N363)</x:f>
        <x:v>4656.847397482204</x:v>
      </x:c>
      <x:c r="P363" s="19" t="str">
        <x:f>IF(ABS(N363)&gt;'封面与口径'!$O$25,"机器调料需复核",IF(ABS(K363)&gt;0.02,"人工称重需复核","正常"))</x:f>
        <x:v>正常</x:v>
      </x:c>
      <x:c r="Q363" s="19" t="str">
        <x:v>宋海</x:v>
      </x:c>
    </x:row>
    <x:row r="364">
      <x:c r="A364" s="19" t="str">
        <x:v>2026-07-07|S04|D03</x:v>
      </x:c>
      <x:c r="B364" s="34" t="n">
        <x:v>46210.5</x:v>
      </x:c>
      <x:c r="C364" s="19" t="str">
        <x:v>S04</x:v>
      </x:c>
      <x:c r="D364" s="19" t="str">
        <x:v>金街美地店</x:v>
      </x:c>
      <x:c r="E364" s="19" t="str">
        <x:v>D03</x:v>
      </x:c>
      <x:c r="F364" s="19" t="str">
        <x:v>香醋炒蛋</x:v>
      </x:c>
      <x:c r="G364" s="19" t="str">
        <x:v>R1.0</x:v>
      </x:c>
      <x:c r="H364" s="20" t="n">
        <x:f>XLOOKUP(A364,'菜品日销量'!$A$5:$A$1124,'菜品日销量'!$G$5:$G$1124,0)</x:f>
        <x:v>40</x:v>
      </x:c>
      <x:c r="I364" s="20" t="n">
        <x:f>ROUNDUP(H364/2,0)</x:f>
        <x:v>20</x:v>
      </x:c>
      <x:c r="J364" s="22" t="n">
        <x:f>SUMIFS('菜谱BOM'!$F$5:$F$160,'菜谱BOM'!$A$5:$A$160,E364,'菜谱BOM'!$C$5:$C$160,"食材")</x:f>
        <x:v>300</x:v>
      </x:c>
      <x:c r="K364" s="38" t="n">
        <x:v>0.005764477356747836</x:v>
      </x:c>
      <x:c r="L364" s="35" t="n">
        <x:f>H364*J364*(1+K364)</x:f>
        <x:v>12069.173728280974</x:v>
      </x:c>
      <x:c r="M364" s="35" t="n">
        <x:f>SUMIFS('菜谱BOM'!$F$5:$F$160,'菜谱BOM'!$A$5:$A$160,E364,'菜谱BOM'!$C$5:$C$160,"调料")</x:f>
        <x:v>53</x:v>
      </x:c>
      <x:c r="N364" s="38" t="n">
        <x:v>-0.0013547478484350135</x:v>
      </x:c>
      <x:c r="O364" s="35" t="n">
        <x:f>H364*M364*(1+N364)</x:f>
        <x:v>2117.127934561318</x:v>
      </x:c>
      <x:c r="P364" s="19" t="str">
        <x:f>IF(ABS(N364)&gt;'封面与口径'!$O$25,"机器调料需复核",IF(ABS(K364)&gt;0.02,"人工称重需复核","正常"))</x:f>
        <x:v>正常</x:v>
      </x:c>
      <x:c r="Q364" s="19" t="str">
        <x:v>宋海</x:v>
      </x:c>
    </x:row>
    <x:row r="365">
      <x:c r="A365" s="19" t="str">
        <x:v>2026-07-07|S04|D04</x:v>
      </x:c>
      <x:c r="B365" s="34" t="n">
        <x:v>46210.5</x:v>
      </x:c>
      <x:c r="C365" s="19" t="str">
        <x:v>S04</x:v>
      </x:c>
      <x:c r="D365" s="19" t="str">
        <x:v>金街美地店</x:v>
      </x:c>
      <x:c r="E365" s="19" t="str">
        <x:v>D04</x:v>
      </x:c>
      <x:c r="F365" s="19" t="str">
        <x:v>酸包菜炒粉皮</x:v>
      </x:c>
      <x:c r="G365" s="19" t="str">
        <x:v>R1.0</x:v>
      </x:c>
      <x:c r="H365" s="20" t="n">
        <x:f>XLOOKUP(A365,'菜品日销量'!$A$5:$A$1124,'菜品日销量'!$G$5:$G$1124,0)</x:f>
        <x:v>39</x:v>
      </x:c>
      <x:c r="I365" s="20" t="n">
        <x:f>ROUNDUP(H365/2,0)</x:f>
        <x:v>20</x:v>
      </x:c>
      <x:c r="J365" s="22" t="n">
        <x:f>SUMIFS('菜谱BOM'!$F$5:$F$160,'菜谱BOM'!$A$5:$A$160,E365,'菜谱BOM'!$C$5:$C$160,"食材")</x:f>
        <x:v>380</x:v>
      </x:c>
      <x:c r="K365" s="38" t="n">
        <x:v>0.004324267792590955</x:v>
      </x:c>
      <x:c r="L365" s="35" t="n">
        <x:f>H365*J365*(1+K365)</x:f>
        <x:v>14884.085648686198</x:v>
      </x:c>
      <x:c r="M365" s="35" t="n">
        <x:f>SUMIFS('菜谱BOM'!$F$5:$F$160,'菜谱BOM'!$A$5:$A$160,E365,'菜谱BOM'!$C$5:$C$160,"调料")</x:f>
        <x:v>47</x:v>
      </x:c>
      <x:c r="N365" s="38" t="n">
        <x:v>0.0015158396567022058</x:v>
      </x:c>
      <x:c r="O365" s="35" t="n">
        <x:f>H365*M365*(1+N365)</x:f>
        <x:v>1835.7785340907349</x:v>
      </x:c>
      <x:c r="P365" s="19" t="str">
        <x:f>IF(ABS(N365)&gt;'封面与口径'!$O$25,"机器调料需复核",IF(ABS(K365)&gt;0.02,"人工称重需复核","正常"))</x:f>
        <x:v>正常</x:v>
      </x:c>
      <x:c r="Q365" s="19" t="str">
        <x:v>宋海</x:v>
      </x:c>
    </x:row>
    <x:row r="366">
      <x:c r="A366" s="19" t="str">
        <x:v>2026-07-07|S04|D05</x:v>
      </x:c>
      <x:c r="B366" s="34" t="n">
        <x:v>46210.5</x:v>
      </x:c>
      <x:c r="C366" s="19" t="str">
        <x:v>S04</x:v>
      </x:c>
      <x:c r="D366" s="19" t="str">
        <x:v>金街美地店</x:v>
      </x:c>
      <x:c r="E366" s="19" t="str">
        <x:v>D05</x:v>
      </x:c>
      <x:c r="F366" s="19" t="str">
        <x:v>麻婆豆腐</x:v>
      </x:c>
      <x:c r="G366" s="19" t="str">
        <x:v>R1.0</x:v>
      </x:c>
      <x:c r="H366" s="20" t="n">
        <x:f>XLOOKUP(A366,'菜品日销量'!$A$5:$A$1124,'菜品日销量'!$G$5:$G$1124,0)</x:f>
        <x:v>53</x:v>
      </x:c>
      <x:c r="I366" s="20" t="n">
        <x:f>ROUNDUP(H366/2,0)</x:f>
        <x:v>27</x:v>
      </x:c>
      <x:c r="J366" s="22" t="n">
        <x:f>SUMIFS('菜谱BOM'!$F$5:$F$160,'菜谱BOM'!$A$5:$A$160,E366,'菜谱BOM'!$C$5:$C$160,"食材")</x:f>
        <x:v>505</x:v>
      </x:c>
      <x:c r="K366" s="38" t="n">
        <x:v>-0.0022162377932612404</x:v>
      </x:c>
      <x:c r="L366" s="35" t="n">
        <x:f>H366*J366*(1+K366)</x:f>
        <x:v>26705.682395463366</x:v>
      </x:c>
      <x:c r="M366" s="35" t="n">
        <x:f>SUMIFS('菜谱BOM'!$F$5:$F$160,'菜谱BOM'!$A$5:$A$160,E366,'菜谱BOM'!$C$5:$C$160,"调料")</x:f>
        <x:v>90</x:v>
      </x:c>
      <x:c r="N366" s="38" t="n">
        <x:v>0.0006831413662720336</x:v>
      </x:c>
      <x:c r="O366" s="35" t="n">
        <x:f>H366*M366*(1+N366)</x:f>
        <x:v>4773.258584317117</x:v>
      </x:c>
      <x:c r="P366" s="19" t="str">
        <x:f>IF(ABS(N366)&gt;'封面与口径'!$O$25,"机器调料需复核",IF(ABS(K366)&gt;0.02,"人工称重需复核","正常"))</x:f>
        <x:v>正常</x:v>
      </x:c>
      <x:c r="Q366" s="19" t="str">
        <x:v>宋海</x:v>
      </x:c>
    </x:row>
    <x:row r="367">
      <x:c r="A367" s="19" t="str">
        <x:v>2026-07-07|S04|D07</x:v>
      </x:c>
      <x:c r="B367" s="34" t="n">
        <x:v>46210.5</x:v>
      </x:c>
      <x:c r="C367" s="19" t="str">
        <x:v>S04</x:v>
      </x:c>
      <x:c r="D367" s="19" t="str">
        <x:v>金街美地店</x:v>
      </x:c>
      <x:c r="E367" s="19" t="str">
        <x:v>D07</x:v>
      </x:c>
      <x:c r="F367" s="19" t="str">
        <x:v>川味回锅肉</x:v>
      </x:c>
      <x:c r="G367" s="19" t="str">
        <x:v>R1.0</x:v>
      </x:c>
      <x:c r="H367" s="20" t="n">
        <x:f>XLOOKUP(A367,'菜品日销量'!$A$5:$A$1124,'菜品日销量'!$G$5:$G$1124,0)</x:f>
        <x:v>16</x:v>
      </x:c>
      <x:c r="I367" s="20" t="n">
        <x:f>ROUNDUP(H367/2,0)</x:f>
        <x:v>8</x:v>
      </x:c>
      <x:c r="J367" s="22" t="n">
        <x:f>SUMIFS('菜谱BOM'!$F$5:$F$160,'菜谱BOM'!$A$5:$A$160,E367,'菜谱BOM'!$C$5:$C$160,"食材")</x:f>
        <x:v>450</x:v>
      </x:c>
      <x:c r="K367" s="38" t="n">
        <x:v>0.0019620255515822274</x:v>
      </x:c>
      <x:c r="L367" s="35" t="n">
        <x:f>H367*J367*(1+K367)</x:f>
        <x:v>7214.1265839713915</x:v>
      </x:c>
      <x:c r="M367" s="35" t="n">
        <x:f>SUMIFS('菜谱BOM'!$F$5:$F$160,'菜谱BOM'!$A$5:$A$160,E367,'菜谱BOM'!$C$5:$C$160,"调料")</x:f>
        <x:v>63</x:v>
      </x:c>
      <x:c r="N367" s="38" t="n">
        <x:v>-0.0003441646076608833</x:v>
      </x:c>
      <x:c r="O367" s="35" t="n">
        <x:f>H367*M367*(1+N367)</x:f>
        <x:v>1007.6530820754779</x:v>
      </x:c>
      <x:c r="P367" s="19" t="str">
        <x:f>IF(ABS(N367)&gt;'封面与口径'!$O$25,"机器调料需复核",IF(ABS(K367)&gt;0.02,"人工称重需复核","正常"))</x:f>
        <x:v>正常</x:v>
      </x:c>
      <x:c r="Q367" s="19" t="str">
        <x:v>宋海</x:v>
      </x:c>
    </x:row>
    <x:row r="368">
      <x:c r="A368" s="19" t="str">
        <x:v>2026-07-07|S04|D08</x:v>
      </x:c>
      <x:c r="B368" s="34" t="n">
        <x:v>46210.5</x:v>
      </x:c>
      <x:c r="C368" s="19" t="str">
        <x:v>S04</x:v>
      </x:c>
      <x:c r="D368" s="19" t="str">
        <x:v>金街美地店</x:v>
      </x:c>
      <x:c r="E368" s="19" t="str">
        <x:v>D08</x:v>
      </x:c>
      <x:c r="F368" s="19" t="str">
        <x:v>生炒清远鸡</x:v>
      </x:c>
      <x:c r="G368" s="19" t="str">
        <x:v>R1.0</x:v>
      </x:c>
      <x:c r="H368" s="20" t="n">
        <x:f>XLOOKUP(A368,'菜品日销量'!$A$5:$A$1124,'菜品日销量'!$G$5:$G$1124,0)</x:f>
        <x:v>12</x:v>
      </x:c>
      <x:c r="I368" s="20" t="n">
        <x:f>ROUNDUP(H368/2,0)</x:f>
        <x:v>6</x:v>
      </x:c>
      <x:c r="J368" s="22" t="n">
        <x:f>SUMIFS('菜谱BOM'!$F$5:$F$160,'菜谱BOM'!$A$5:$A$160,E368,'菜谱BOM'!$C$5:$C$160,"食材")</x:f>
        <x:v>610</x:v>
      </x:c>
      <x:c r="K368" s="38" t="n">
        <x:v>-0.0005402583164489495</x:v>
      </x:c>
      <x:c r="L368" s="35" t="n">
        <x:f>H368*J368*(1+K368)</x:f>
        <x:v>7316.045309123593</x:v>
      </x:c>
      <x:c r="M368" s="35" t="n">
        <x:f>SUMIFS('菜谱BOM'!$F$5:$F$160,'菜谱BOM'!$A$5:$A$160,E368,'菜谱BOM'!$C$5:$C$160,"调料")</x:f>
        <x:v>61</x:v>
      </x:c>
      <x:c r="N368" s="38" t="n">
        <x:v>0.0000046032755646394645</x:v>
      </x:c>
      <x:c r="O368" s="35" t="n">
        <x:f>H368*M368*(1+N368)</x:f>
        <x:v>732.0033695977133</x:v>
      </x:c>
      <x:c r="P368" s="19" t="str">
        <x:f>IF(ABS(N368)&gt;'封面与口径'!$O$25,"机器调料需复核",IF(ABS(K368)&gt;0.02,"人工称重需复核","正常"))</x:f>
        <x:v>正常</x:v>
      </x:c>
      <x:c r="Q368" s="19" t="str">
        <x:v>宋海</x:v>
      </x:c>
    </x:row>
    <x:row r="369">
      <x:c r="A369" s="19" t="str">
        <x:v>2026-07-07|S04|D09</x:v>
      </x:c>
      <x:c r="B369" s="34" t="n">
        <x:v>46210.5</x:v>
      </x:c>
      <x:c r="C369" s="19" t="str">
        <x:v>S04</x:v>
      </x:c>
      <x:c r="D369" s="19" t="str">
        <x:v>金街美地店</x:v>
      </x:c>
      <x:c r="E369" s="19" t="str">
        <x:v>D09</x:v>
      </x:c>
      <x:c r="F369" s="19" t="str">
        <x:v>炒豆干</x:v>
      </x:c>
      <x:c r="G369" s="19" t="str">
        <x:v>R1.0</x:v>
      </x:c>
      <x:c r="H369" s="20" t="n">
        <x:f>XLOOKUP(A369,'菜品日销量'!$A$5:$A$1124,'菜品日销量'!$G$5:$G$1124,0)</x:f>
        <x:v>18</x:v>
      </x:c>
      <x:c r="I369" s="20" t="n">
        <x:f>ROUNDUP(H369/2,0)</x:f>
        <x:v>9</x:v>
      </x:c>
      <x:c r="J369" s="22" t="n">
        <x:f>SUMIFS('菜谱BOM'!$F$5:$F$160,'菜谱BOM'!$A$5:$A$160,E369,'菜谱BOM'!$C$5:$C$160,"食材")</x:f>
        <x:v>520</x:v>
      </x:c>
      <x:c r="K369" s="38" t="n">
        <x:v>-0.00022721298975572336</x:v>
      </x:c>
      <x:c r="L369" s="35" t="n">
        <x:f>H369*J369*(1+K369)</x:f>
        <x:v>9357.873286415886</x:v>
      </x:c>
      <x:c r="M369" s="35" t="n">
        <x:f>SUMIFS('菜谱BOM'!$F$5:$F$160,'菜谱BOM'!$A$5:$A$160,E369,'菜谱BOM'!$C$5:$C$160,"调料")</x:f>
        <x:v>42</x:v>
      </x:c>
      <x:c r="N369" s="38" t="n">
        <x:v>-0.0005751330513914892</x:v>
      </x:c>
      <x:c r="O369" s="35" t="n">
        <x:f>H369*M369*(1+N369)</x:f>
        <x:v>755.5651994131481</x:v>
      </x:c>
      <x:c r="P369" s="19" t="str">
        <x:f>IF(ABS(N369)&gt;'封面与口径'!$O$25,"机器调料需复核",IF(ABS(K369)&gt;0.02,"人工称重需复核","正常"))</x:f>
        <x:v>正常</x:v>
      </x:c>
      <x:c r="Q369" s="19" t="str">
        <x:v>宋海</x:v>
      </x:c>
    </x:row>
    <x:row r="370">
      <x:c r="A370" s="19" t="str">
        <x:v>2026-07-07|S04|D10</x:v>
      </x:c>
      <x:c r="B370" s="34" t="n">
        <x:v>46210.5</x:v>
      </x:c>
      <x:c r="C370" s="19" t="str">
        <x:v>S04</x:v>
      </x:c>
      <x:c r="D370" s="19" t="str">
        <x:v>金街美地店</x:v>
      </x:c>
      <x:c r="E370" s="19" t="str">
        <x:v>D10</x:v>
      </x:c>
      <x:c r="F370" s="19" t="str">
        <x:v>农家一碗香</x:v>
      </x:c>
      <x:c r="G370" s="19" t="str">
        <x:v>R2.3</x:v>
      </x:c>
      <x:c r="H370" s="20" t="n">
        <x:f>XLOOKUP(A370,'菜品日销量'!$A$5:$A$1124,'菜品日销量'!$G$5:$G$1124,0)</x:f>
        <x:v>19</x:v>
      </x:c>
      <x:c r="I370" s="20" t="n">
        <x:f>ROUNDUP(H370/2,0)</x:f>
        <x:v>10</x:v>
      </x:c>
      <x:c r="J370" s="22" t="n">
        <x:f>SUMIFS('菜谱BOM'!$F$5:$F$160,'菜谱BOM'!$A$5:$A$160,E370,'菜谱BOM'!$C$5:$C$160,"食材")</x:f>
        <x:v>510</x:v>
      </x:c>
      <x:c r="K370" s="38" t="n">
        <x:v>0.0024826348709134933</x:v>
      </x:c>
      <x:c r="L370" s="35" t="n">
        <x:f>H370*J370*(1+K370)</x:f>
        <x:v>9714.056731899153</x:v>
      </x:c>
      <x:c r="M370" s="35" t="n">
        <x:f>SUMIFS('菜谱BOM'!$F$5:$F$160,'菜谱BOM'!$A$5:$A$160,E370,'菜谱BOM'!$C$5:$C$160,"调料")</x:f>
        <x:v>88</x:v>
      </x:c>
      <x:c r="N370" s="38" t="n">
        <x:v>-0.0008893168994433519</x:v>
      </x:c>
      <x:c r="O370" s="35" t="n">
        <x:f>H370*M370*(1+N370)</x:f>
        <x:v>1670.5130621441306</x:v>
      </x:c>
      <x:c r="P370" s="19" t="str">
        <x:f>IF(ABS(N370)&gt;'封面与口径'!$O$25,"机器调料需复核",IF(ABS(K370)&gt;0.02,"人工称重需复核","正常"))</x:f>
        <x:v>正常</x:v>
      </x:c>
      <x:c r="Q370" s="19" t="str">
        <x:v>宋海</x:v>
      </x:c>
    </x:row>
    <x:row r="371">
      <x:c r="A371" s="19" t="str">
        <x:v>2026-07-07|S04|D11</x:v>
      </x:c>
      <x:c r="B371" s="34" t="n">
        <x:v>46210.5</x:v>
      </x:c>
      <x:c r="C371" s="19" t="str">
        <x:v>S04</x:v>
      </x:c>
      <x:c r="D371" s="19" t="str">
        <x:v>金街美地店</x:v>
      </x:c>
      <x:c r="E371" s="19" t="str">
        <x:v>D11</x:v>
      </x:c>
      <x:c r="F371" s="19" t="str">
        <x:v>香辣爆肥肠</x:v>
      </x:c>
      <x:c r="G371" s="19" t="str">
        <x:v>R1.0</x:v>
      </x:c>
      <x:c r="H371" s="20" t="n">
        <x:f>XLOOKUP(A371,'菜品日销量'!$A$5:$A$1124,'菜品日销量'!$G$5:$G$1124,0)</x:f>
        <x:v>7</x:v>
      </x:c>
      <x:c r="I371" s="20" t="n">
        <x:f>ROUNDUP(H371/2,0)</x:f>
        <x:v>4</x:v>
      </x:c>
      <x:c r="J371" s="22" t="n">
        <x:f>SUMIFS('菜谱BOM'!$F$5:$F$160,'菜谱BOM'!$A$5:$A$160,E371,'菜谱BOM'!$C$5:$C$160,"食材")</x:f>
        <x:v>430</x:v>
      </x:c>
      <x:c r="K371" s="38" t="n">
        <x:v>0.006559045131914095</x:v>
      </x:c>
      <x:c r="L371" s="35" t="n">
        <x:f>H371*J371*(1+K371)</x:f>
        <x:v>3029.7427258470616</x:v>
      </x:c>
      <x:c r="M371" s="35" t="n">
        <x:f>SUMIFS('菜谱BOM'!$F$5:$F$160,'菜谱BOM'!$A$5:$A$160,E371,'菜谱BOM'!$C$5:$C$160,"调料")</x:f>
        <x:v>67</x:v>
      </x:c>
      <x:c r="N371" s="38" t="n">
        <x:v>-0.001995687880552301</x:v>
      </x:c>
      <x:c r="O371" s="35" t="n">
        <x:f>H371*M371*(1+N371)</x:f>
        <x:v>468.064022384021</x:v>
      </x:c>
      <x:c r="P371" s="19" t="str">
        <x:f>IF(ABS(N371)&gt;'封面与口径'!$O$25,"机器调料需复核",IF(ABS(K371)&gt;0.02,"人工称重需复核","正常"))</x:f>
        <x:v>正常</x:v>
      </x:c>
      <x:c r="Q371" s="19" t="str">
        <x:v>宋海</x:v>
      </x:c>
    </x:row>
    <x:row r="372">
      <x:c r="A372" s="19" t="str">
        <x:v>2026-07-07|S04|D13</x:v>
      </x:c>
      <x:c r="B372" s="34" t="n">
        <x:v>46210.5</x:v>
      </x:c>
      <x:c r="C372" s="19" t="str">
        <x:v>S04</x:v>
      </x:c>
      <x:c r="D372" s="19" t="str">
        <x:v>金街美地店</x:v>
      </x:c>
      <x:c r="E372" s="19" t="str">
        <x:v>D13</x:v>
      </x:c>
      <x:c r="F372" s="19" t="str">
        <x:v>外婆菜炒蛋</x:v>
      </x:c>
      <x:c r="G372" s="19" t="str">
        <x:v>R1.0</x:v>
      </x:c>
      <x:c r="H372" s="20" t="n">
        <x:f>XLOOKUP(A372,'菜品日销量'!$A$5:$A$1124,'菜品日销量'!$G$5:$G$1124,0)</x:f>
        <x:v>18</x:v>
      </x:c>
      <x:c r="I372" s="20" t="n">
        <x:f>ROUNDUP(H372/2,0)</x:f>
        <x:v>9</x:v>
      </x:c>
      <x:c r="J372" s="22" t="n">
        <x:f>SUMIFS('菜谱BOM'!$F$5:$F$160,'菜谱BOM'!$A$5:$A$160,E372,'菜谱BOM'!$C$5:$C$160,"食材")</x:f>
        <x:v>450</x:v>
      </x:c>
      <x:c r="K372" s="38" t="n">
        <x:v>-0.007605270042923575</x:v>
      </x:c>
      <x:c r="L372" s="35" t="n">
        <x:f>H372*J372*(1+K372)</x:f>
        <x:v>8038.39731265232</x:v>
      </x:c>
      <x:c r="M372" s="35" t="n">
        <x:f>SUMIFS('菜谱BOM'!$F$5:$F$160,'菜谱BOM'!$A$5:$A$160,E372,'菜谱BOM'!$C$5:$C$160,"调料")</x:f>
        <x:v>37</x:v>
      </x:c>
      <x:c r="N372" s="38" t="n">
        <x:v>-0.001994245733133109</x:v>
      </x:c>
      <x:c r="O372" s="35" t="n">
        <x:f>H372*M372*(1+N372)</x:f>
        <x:v>664.6718323417333</x:v>
      </x:c>
      <x:c r="P372" s="19" t="str">
        <x:f>IF(ABS(N372)&gt;'封面与口径'!$O$25,"机器调料需复核",IF(ABS(K372)&gt;0.02,"人工称重需复核","正常"))</x:f>
        <x:v>正常</x:v>
      </x:c>
      <x:c r="Q372" s="19" t="str">
        <x:v>宋海</x:v>
      </x:c>
    </x:row>
    <x:row r="373">
      <x:c r="A373" s="19" t="str">
        <x:v>2026-07-07|S04|D14</x:v>
      </x:c>
      <x:c r="B373" s="34" t="n">
        <x:v>46210.5</x:v>
      </x:c>
      <x:c r="C373" s="19" t="str">
        <x:v>S04</x:v>
      </x:c>
      <x:c r="D373" s="19" t="str">
        <x:v>金街美地店</x:v>
      </x:c>
      <x:c r="E373" s="19" t="str">
        <x:v>D14</x:v>
      </x:c>
      <x:c r="F373" s="19" t="str">
        <x:v>酸辣鸡杂</x:v>
      </x:c>
      <x:c r="G373" s="19" t="str">
        <x:v>R1.0</x:v>
      </x:c>
      <x:c r="H373" s="20" t="n">
        <x:f>XLOOKUP(A373,'菜品日销量'!$A$5:$A$1124,'菜品日销量'!$G$5:$G$1124,0)</x:f>
        <x:v>9</x:v>
      </x:c>
      <x:c r="I373" s="20" t="n">
        <x:f>ROUNDUP(H373/2,0)</x:f>
        <x:v>5</x:v>
      </x:c>
      <x:c r="J373" s="22" t="n">
        <x:f>SUMIFS('菜谱BOM'!$F$5:$F$160,'菜谱BOM'!$A$5:$A$160,E373,'菜谱BOM'!$C$5:$C$160,"食材")</x:f>
        <x:v>470</x:v>
      </x:c>
      <x:c r="K373" s="38" t="n">
        <x:v>0.0009113572074359641</x:v>
      </x:c>
      <x:c r="L373" s="35" t="n">
        <x:f>H373*J373*(1+K373)</x:f>
        <x:v>4233.855040987454</x:v>
      </x:c>
      <x:c r="M373" s="35" t="n">
        <x:f>SUMIFS('菜谱BOM'!$F$5:$F$160,'菜谱BOM'!$A$5:$A$160,E373,'菜谱BOM'!$C$5:$C$160,"调料")</x:f>
        <x:v>60</x:v>
      </x:c>
      <x:c r="N373" s="38" t="n">
        <x:v>-0.0005137512102987969</x:v>
      </x:c>
      <x:c r="O373" s="35" t="n">
        <x:f>H373*M373*(1+N373)</x:f>
        <x:v>539.7225743464386</x:v>
      </x:c>
      <x:c r="P373" s="19" t="str">
        <x:f>IF(ABS(N373)&gt;'封面与口径'!$O$25,"机器调料需复核",IF(ABS(K373)&gt;0.02,"人工称重需复核","正常"))</x:f>
        <x:v>正常</x:v>
      </x:c>
      <x:c r="Q373" s="19" t="str">
        <x:v>宋海</x:v>
      </x:c>
    </x:row>
    <x:row r="374">
      <x:c r="A374" s="19" t="str">
        <x:v>2026-07-07|S04|D15</x:v>
      </x:c>
      <x:c r="B374" s="34" t="n">
        <x:v>46210.5</x:v>
      </x:c>
      <x:c r="C374" s="19" t="str">
        <x:v>S04</x:v>
      </x:c>
      <x:c r="D374" s="19" t="str">
        <x:v>金街美地店</x:v>
      </x:c>
      <x:c r="E374" s="19" t="str">
        <x:v>D15</x:v>
      </x:c>
      <x:c r="F374" s="19" t="str">
        <x:v>湘西土匪猪肝</x:v>
      </x:c>
      <x:c r="G374" s="19" t="str">
        <x:v>R1.0</x:v>
      </x:c>
      <x:c r="H374" s="20" t="n">
        <x:f>XLOOKUP(A374,'菜品日销量'!$A$5:$A$1124,'菜品日销量'!$G$5:$G$1124,0)</x:f>
        <x:v>7</x:v>
      </x:c>
      <x:c r="I374" s="20" t="n">
        <x:f>ROUNDUP(H374/2,0)</x:f>
        <x:v>4</x:v>
      </x:c>
      <x:c r="J374" s="22" t="n">
        <x:f>SUMIFS('菜谱BOM'!$F$5:$F$160,'菜谱BOM'!$A$5:$A$160,E374,'菜谱BOM'!$C$5:$C$160,"食材")</x:f>
        <x:v>470</x:v>
      </x:c>
      <x:c r="K374" s="38" t="n">
        <x:v>0.006078688930272751</x:v>
      </x:c>
      <x:c r="L374" s="35" t="n">
        <x:f>H374*J374*(1+K374)</x:f>
        <x:v>3309.9988865805976</x:v>
      </x:c>
      <x:c r="M374" s="35" t="n">
        <x:f>SUMIFS('菜谱BOM'!$F$5:$F$160,'菜谱BOM'!$A$5:$A$160,E374,'菜谱BOM'!$C$5:$C$160,"调料")</x:f>
        <x:v>49</x:v>
      </x:c>
      <x:c r="N374" s="38" t="n">
        <x:v>0.0008426489417540491</x:v>
      </x:c>
      <x:c r="O374" s="35" t="n">
        <x:f>H374*M374*(1+N374)</x:f>
        <x:v>343.2890285870217</x:v>
      </x:c>
      <x:c r="P374" s="19" t="str">
        <x:f>IF(ABS(N374)&gt;'封面与口径'!$O$25,"机器调料需复核",IF(ABS(K374)&gt;0.02,"人工称重需复核","正常"))</x:f>
        <x:v>正常</x:v>
      </x:c>
      <x:c r="Q374" s="19" t="str">
        <x:v>宋海</x:v>
      </x:c>
    </x:row>
    <x:row r="375">
      <x:c r="A375" s="19" t="str">
        <x:v>2026-07-07|S04|D16</x:v>
      </x:c>
      <x:c r="B375" s="34" t="n">
        <x:v>46210.5</x:v>
      </x:c>
      <x:c r="C375" s="19" t="str">
        <x:v>S04</x:v>
      </x:c>
      <x:c r="D375" s="19" t="str">
        <x:v>金街美地店</x:v>
      </x:c>
      <x:c r="E375" s="19" t="str">
        <x:v>D16</x:v>
      </x:c>
      <x:c r="F375" s="19" t="str">
        <x:v>小豆角炒五花</x:v>
      </x:c>
      <x:c r="G375" s="19" t="str">
        <x:v>R1.0</x:v>
      </x:c>
      <x:c r="H375" s="20" t="n">
        <x:f>XLOOKUP(A375,'菜品日销量'!$A$5:$A$1124,'菜品日销量'!$G$5:$G$1124,0)</x:f>
        <x:v>7</x:v>
      </x:c>
      <x:c r="I375" s="20" t="n">
        <x:f>ROUNDUP(H375/2,0)</x:f>
        <x:v>4</x:v>
      </x:c>
      <x:c r="J375" s="22" t="n">
        <x:f>SUMIFS('菜谱BOM'!$F$5:$F$160,'菜谱BOM'!$A$5:$A$160,E375,'菜谱BOM'!$C$5:$C$160,"食材")</x:f>
        <x:v>450</x:v>
      </x:c>
      <x:c r="K375" s="38" t="n">
        <x:v>0.006200299568055268</x:v>
      </x:c>
      <x:c r="L375" s="35" t="n">
        <x:f>H375*J375*(1+K375)</x:f>
        <x:v>3169.530943639374</x:v>
      </x:c>
      <x:c r="M375" s="35" t="n">
        <x:f>SUMIFS('菜谱BOM'!$F$5:$F$160,'菜谱BOM'!$A$5:$A$160,E375,'菜谱BOM'!$C$5:$C$160,"调料")</x:f>
        <x:v>42</x:v>
      </x:c>
      <x:c r="N375" s="38" t="n">
        <x:v>-0.0009258082096757852</x:v>
      </x:c>
      <x:c r="O375" s="35" t="n">
        <x:f>H375*M375*(1+N375)</x:f>
        <x:v>293.7278123863553</x:v>
      </x:c>
      <x:c r="P375" s="19" t="str">
        <x:f>IF(ABS(N375)&gt;'封面与口径'!$O$25,"机器调料需复核",IF(ABS(K375)&gt;0.02,"人工称重需复核","正常"))</x:f>
        <x:v>正常</x:v>
      </x:c>
      <x:c r="Q375" s="19" t="str">
        <x:v>宋海</x:v>
      </x:c>
    </x:row>
    <x:row r="376">
      <x:c r="A376" s="19" t="str">
        <x:v>2026-07-07|S04|D18</x:v>
      </x:c>
      <x:c r="B376" s="34" t="n">
        <x:v>46210.5</x:v>
      </x:c>
      <x:c r="C376" s="19" t="str">
        <x:v>S04</x:v>
      </x:c>
      <x:c r="D376" s="19" t="str">
        <x:v>金街美地店</x:v>
      </x:c>
      <x:c r="E376" s="19" t="str">
        <x:v>D18</x:v>
      </x:c>
      <x:c r="F376" s="19" t="str">
        <x:v>青椒炒油麦菜</x:v>
      </x:c>
      <x:c r="G376" s="19" t="str">
        <x:v>R1.0</x:v>
      </x:c>
      <x:c r="H376" s="20" t="n">
        <x:f>XLOOKUP(A376,'菜品日销量'!$A$5:$A$1124,'菜品日销量'!$G$5:$G$1124,0)</x:f>
        <x:v>9</x:v>
      </x:c>
      <x:c r="I376" s="20" t="n">
        <x:f>ROUNDUP(H376/2,0)</x:f>
        <x:v>5</x:v>
      </x:c>
      <x:c r="J376" s="22" t="n">
        <x:f>SUMIFS('菜谱BOM'!$F$5:$F$160,'菜谱BOM'!$A$5:$A$160,E376,'菜谱BOM'!$C$5:$C$160,"食材")</x:f>
        <x:v>430</x:v>
      </x:c>
      <x:c r="K376" s="38" t="n">
        <x:v>0.00030364036380863804</x:v>
      </x:c>
      <x:c r="L376" s="35" t="n">
        <x:f>H376*J376*(1+K376)</x:f>
        <x:v>3871.175088207939</x:v>
      </x:c>
      <x:c r="M376" s="35" t="n">
        <x:f>SUMIFS('菜谱BOM'!$F$5:$F$160,'菜谱BOM'!$A$5:$A$160,E376,'菜谱BOM'!$C$5:$C$160,"调料")</x:f>
        <x:v>33</x:v>
      </x:c>
      <x:c r="N376" s="38" t="n">
        <x:v>-0.000117723231696925</x:v>
      </x:c>
      <x:c r="O376" s="35" t="n">
        <x:f>H376*M376*(1+N376)</x:f>
        <x:v>296.96503620018603</x:v>
      </x:c>
      <x:c r="P376" s="19" t="str">
        <x:f>IF(ABS(N376)&gt;'封面与口径'!$O$25,"机器调料需复核",IF(ABS(K376)&gt;0.02,"人工称重需复核","正常"))</x:f>
        <x:v>正常</x:v>
      </x:c>
      <x:c r="Q376" s="19" t="str">
        <x:v>宋海</x:v>
      </x:c>
    </x:row>
    <x:row r="377">
      <x:c r="A377" s="19" t="str">
        <x:v>2026-07-07|S04|D19</x:v>
      </x:c>
      <x:c r="B377" s="34" t="n">
        <x:v>46210.5</x:v>
      </x:c>
      <x:c r="C377" s="19" t="str">
        <x:v>S04</x:v>
      </x:c>
      <x:c r="D377" s="19" t="str">
        <x:v>金街美地店</x:v>
      </x:c>
      <x:c r="E377" s="19" t="str">
        <x:v>D19</x:v>
      </x:c>
      <x:c r="F377" s="19" t="str">
        <x:v>酸萝卜炒鸡杂</x:v>
      </x:c>
      <x:c r="G377" s="19" t="str">
        <x:v>R1.0</x:v>
      </x:c>
      <x:c r="H377" s="20" t="n">
        <x:f>XLOOKUP(A377,'菜品日销量'!$A$5:$A$1124,'菜品日销量'!$G$5:$G$1124,0)</x:f>
        <x:v>6</x:v>
      </x:c>
      <x:c r="I377" s="20" t="n">
        <x:f>ROUNDUP(H377/2,0)</x:f>
        <x:v>3</x:v>
      </x:c>
      <x:c r="J377" s="22" t="n">
        <x:f>SUMIFS('菜谱BOM'!$F$5:$F$160,'菜谱BOM'!$A$5:$A$160,E377,'菜谱BOM'!$C$5:$C$160,"食材")</x:f>
        <x:v>500</x:v>
      </x:c>
      <x:c r="K377" s="38" t="n">
        <x:v>-0.0005347125885390476</x:v>
      </x:c>
      <x:c r="L377" s="35" t="n">
        <x:f>H377*J377*(1+K377)</x:f>
        <x:v>2998.3958622343825</x:v>
      </x:c>
      <x:c r="M377" s="35" t="n">
        <x:f>SUMIFS('菜谱BOM'!$F$5:$F$160,'菜谱BOM'!$A$5:$A$160,E377,'菜谱BOM'!$C$5:$C$160,"调料")</x:f>
        <x:v>55</x:v>
      </x:c>
      <x:c r="N377" s="38" t="n">
        <x:v>0.0007361847755350604</x:v>
      </x:c>
      <x:c r="O377" s="35" t="n">
        <x:f>H377*M377*(1+N377)</x:f>
        <x:v>330.2429409759266</x:v>
      </x:c>
      <x:c r="P377" s="19" t="str">
        <x:f>IF(ABS(N377)&gt;'封面与口径'!$O$25,"机器调料需复核",IF(ABS(K377)&gt;0.02,"人工称重需复核","正常"))</x:f>
        <x:v>正常</x:v>
      </x:c>
      <x:c r="Q377" s="19" t="str">
        <x:v>宋海</x:v>
      </x:c>
    </x:row>
    <x:row r="378">
      <x:c r="A378" s="19" t="str">
        <x:v>2026-07-07|S04|D20</x:v>
      </x:c>
      <x:c r="B378" s="34" t="n">
        <x:v>46210.5</x:v>
      </x:c>
      <x:c r="C378" s="19" t="str">
        <x:v>S04</x:v>
      </x:c>
      <x:c r="D378" s="19" t="str">
        <x:v>金街美地店</x:v>
      </x:c>
      <x:c r="E378" s="19" t="str">
        <x:v>D20</x:v>
      </x:c>
      <x:c r="F378" s="19" t="str">
        <x:v>雪菜肉末青豆</x:v>
      </x:c>
      <x:c r="G378" s="19" t="str">
        <x:v>R1.0</x:v>
      </x:c>
      <x:c r="H378" s="20" t="n">
        <x:f>XLOOKUP(A378,'菜品日销量'!$A$5:$A$1124,'菜品日销量'!$G$5:$G$1124,0)</x:f>
        <x:v>9</x:v>
      </x:c>
      <x:c r="I378" s="20" t="n">
        <x:f>ROUNDUP(H378/2,0)</x:f>
        <x:v>5</x:v>
      </x:c>
      <x:c r="J378" s="22" t="n">
        <x:f>SUMIFS('菜谱BOM'!$F$5:$F$160,'菜谱BOM'!$A$5:$A$160,E378,'菜谱BOM'!$C$5:$C$160,"食材")</x:f>
        <x:v>465</x:v>
      </x:c>
      <x:c r="K378" s="38" t="n">
        <x:v>-0.004361001051115105</x:v>
      </x:c>
      <x:c r="L378" s="35" t="n">
        <x:f>H378*J378*(1+K378)</x:f>
        <x:v>4166.749210601083</x:v>
      </x:c>
      <x:c r="M378" s="35" t="n">
        <x:f>SUMIFS('菜谱BOM'!$F$5:$F$160,'菜谱BOM'!$A$5:$A$160,E378,'菜谱BOM'!$C$5:$C$160,"调料")</x:f>
        <x:v>32</x:v>
      </x:c>
      <x:c r="N378" s="38" t="n">
        <x:v>-0.0005719386345175883</x:v>
      </x:c>
      <x:c r="O378" s="35" t="n">
        <x:f>H378*M378*(1+N378)</x:f>
        <x:v>287.8352816732589</x:v>
      </x:c>
      <x:c r="P378" s="19" t="str">
        <x:f>IF(ABS(N378)&gt;'封面与口径'!$O$25,"机器调料需复核",IF(ABS(K378)&gt;0.02,"人工称重需复核","正常"))</x:f>
        <x:v>正常</x:v>
      </x:c>
      <x:c r="Q378" s="19" t="str">
        <x:v>宋海</x:v>
      </x:c>
    </x:row>
    <x:row r="379">
      <x:c r="A379" s="19" t="str">
        <x:v>2026-07-08|S04|D01</x:v>
      </x:c>
      <x:c r="B379" s="34" t="n">
        <x:v>46211.5</x:v>
      </x:c>
      <x:c r="C379" s="19" t="str">
        <x:v>S04</x:v>
      </x:c>
      <x:c r="D379" s="19" t="str">
        <x:v>金街美地店</x:v>
      </x:c>
      <x:c r="E379" s="19" t="str">
        <x:v>D01</x:v>
      </x:c>
      <x:c r="F379" s="19" t="str">
        <x:v>辣椒炒肉</x:v>
      </x:c>
      <x:c r="G379" s="19" t="str">
        <x:v>R2.3</x:v>
      </x:c>
      <x:c r="H379" s="20" t="n">
        <x:f>XLOOKUP(A379,'菜品日销量'!$A$5:$A$1124,'菜品日销量'!$G$5:$G$1124,0)</x:f>
        <x:v>47</x:v>
      </x:c>
      <x:c r="I379" s="20" t="n">
        <x:f>ROUNDUP(H379/2,0)</x:f>
        <x:v>24</x:v>
      </x:c>
      <x:c r="J379" s="22" t="n">
        <x:f>SUMIFS('菜谱BOM'!$F$5:$F$160,'菜谱BOM'!$A$5:$A$160,E379,'菜谱BOM'!$C$5:$C$160,"食材")</x:f>
        <x:v>550</x:v>
      </x:c>
      <x:c r="K379" s="38" t="n">
        <x:v>0.0052249555842077714</x:v>
      </x:c>
      <x:c r="L379" s="35" t="n">
        <x:f>H379*J379*(1+K379)</x:f>
        <x:v>25985.065101851775</x:v>
      </x:c>
      <x:c r="M379" s="35" t="n">
        <x:f>SUMIFS('菜谱BOM'!$F$5:$F$160,'菜谱BOM'!$A$5:$A$160,E379,'菜谱BOM'!$C$5:$C$160,"调料")</x:f>
        <x:v>104</x:v>
      </x:c>
      <x:c r="N379" s="38" t="n">
        <x:v>-0.0001788770710534595</x:v>
      </x:c>
      <x:c r="O379" s="35" t="n">
        <x:f>H379*M379*(1+N379)</x:f>
        <x:v>4887.12564887669</x:v>
      </x:c>
      <x:c r="P379" s="19" t="str">
        <x:f>IF(ABS(N379)&gt;'封面与口径'!$O$25,"机器调料需复核",IF(ABS(K379)&gt;0.02,"人工称重需复核","正常"))</x:f>
        <x:v>正常</x:v>
      </x:c>
      <x:c r="Q379" s="19" t="str">
        <x:v>宋海</x:v>
      </x:c>
    </x:row>
    <x:row r="380">
      <x:c r="A380" s="19" t="str">
        <x:v>2026-07-08|S04|D02</x:v>
      </x:c>
      <x:c r="B380" s="34" t="n">
        <x:v>46211.5</x:v>
      </x:c>
      <x:c r="C380" s="19" t="str">
        <x:v>S04</x:v>
      </x:c>
      <x:c r="D380" s="19" t="str">
        <x:v>金街美地店</x:v>
      </x:c>
      <x:c r="E380" s="19" t="str">
        <x:v>D02</x:v>
      </x:c>
      <x:c r="F380" s="19" t="str">
        <x:v>小炒黄牛肉</x:v>
      </x:c>
      <x:c r="G380" s="19" t="str">
        <x:v>R2.3</x:v>
      </x:c>
      <x:c r="H380" s="20" t="n">
        <x:f>XLOOKUP(A380,'菜品日销量'!$A$5:$A$1124,'菜品日销量'!$G$5:$G$1124,0)</x:f>
        <x:v>35</x:v>
      </x:c>
      <x:c r="I380" s="20" t="n">
        <x:f>ROUNDUP(H380/2,0)</x:f>
        <x:v>18</x:v>
      </x:c>
      <x:c r="J380" s="22" t="n">
        <x:f>SUMIFS('菜谱BOM'!$F$5:$F$160,'菜谱BOM'!$A$5:$A$160,E380,'菜谱BOM'!$C$5:$C$160,"食材")</x:f>
        <x:v>560</x:v>
      </x:c>
      <x:c r="K380" s="38" t="n">
        <x:v>0.005533893010936187</x:v>
      </x:c>
      <x:c r="L380" s="35" t="n">
        <x:f>H380*J380*(1+K380)</x:f>
        <x:v>19708.46430301435</x:v>
      </x:c>
      <x:c r="M380" s="35" t="n">
        <x:f>SUMIFS('菜谱BOM'!$F$5:$F$160,'菜谱BOM'!$A$5:$A$160,E380,'菜谱BOM'!$C$5:$C$160,"调料")</x:f>
        <x:v>133</x:v>
      </x:c>
      <x:c r="N380" s="38" t="n">
        <x:v>0.0000682851006435894</x:v>
      </x:c>
      <x:c r="O380" s="35" t="n">
        <x:f>H380*M380*(1+N380)</x:f>
        <x:v>4655.317867143495</x:v>
      </x:c>
      <x:c r="P380" s="19" t="str">
        <x:f>IF(ABS(N380)&gt;'封面与口径'!$O$25,"机器调料需复核",IF(ABS(K380)&gt;0.02,"人工称重需复核","正常"))</x:f>
        <x:v>正常</x:v>
      </x:c>
      <x:c r="Q380" s="19" t="str">
        <x:v>宋海</x:v>
      </x:c>
    </x:row>
    <x:row r="381">
      <x:c r="A381" s="19" t="str">
        <x:v>2026-07-08|S04|D03</x:v>
      </x:c>
      <x:c r="B381" s="34" t="n">
        <x:v>46211.5</x:v>
      </x:c>
      <x:c r="C381" s="19" t="str">
        <x:v>S04</x:v>
      </x:c>
      <x:c r="D381" s="19" t="str">
        <x:v>金街美地店</x:v>
      </x:c>
      <x:c r="E381" s="19" t="str">
        <x:v>D03</x:v>
      </x:c>
      <x:c r="F381" s="19" t="str">
        <x:v>香醋炒蛋</x:v>
      </x:c>
      <x:c r="G381" s="19" t="str">
        <x:v>R1.0</x:v>
      </x:c>
      <x:c r="H381" s="20" t="n">
        <x:f>XLOOKUP(A381,'菜品日销量'!$A$5:$A$1124,'菜品日销量'!$G$5:$G$1124,0)</x:f>
        <x:v>42</x:v>
      </x:c>
      <x:c r="I381" s="20" t="n">
        <x:f>ROUNDUP(H381/2,0)</x:f>
        <x:v>21</x:v>
      </x:c>
      <x:c r="J381" s="22" t="n">
        <x:f>SUMIFS('菜谱BOM'!$F$5:$F$160,'菜谱BOM'!$A$5:$A$160,E381,'菜谱BOM'!$C$5:$C$160,"食材")</x:f>
        <x:v>300</x:v>
      </x:c>
      <x:c r="K381" s="38" t="n">
        <x:v>-0.0019035394624582348</x:v>
      </x:c>
      <x:c r="L381" s="35" t="n">
        <x:f>H381*J381*(1+K381)</x:f>
        <x:v>12576.015402773026</x:v>
      </x:c>
      <x:c r="M381" s="35" t="n">
        <x:f>SUMIFS('菜谱BOM'!$F$5:$F$160,'菜谱BOM'!$A$5:$A$160,E381,'菜谱BOM'!$C$5:$C$160,"调料")</x:f>
        <x:v>53</x:v>
      </x:c>
      <x:c r="N381" s="38" t="n">
        <x:v>-0.0006823111201362477</x:v>
      </x:c>
      <x:c r="O381" s="35" t="n">
        <x:f>H381*M381*(1+N381)</x:f>
        <x:v>2224.481175446577</x:v>
      </x:c>
      <x:c r="P381" s="19" t="str">
        <x:f>IF(ABS(N381)&gt;'封面与口径'!$O$25,"机器调料需复核",IF(ABS(K381)&gt;0.02,"人工称重需复核","正常"))</x:f>
        <x:v>正常</x:v>
      </x:c>
      <x:c r="Q381" s="19" t="str">
        <x:v>宋海</x:v>
      </x:c>
    </x:row>
    <x:row r="382">
      <x:c r="A382" s="19" t="str">
        <x:v>2026-07-08|S04|D04</x:v>
      </x:c>
      <x:c r="B382" s="34" t="n">
        <x:v>46211.5</x:v>
      </x:c>
      <x:c r="C382" s="19" t="str">
        <x:v>S04</x:v>
      </x:c>
      <x:c r="D382" s="19" t="str">
        <x:v>金街美地店</x:v>
      </x:c>
      <x:c r="E382" s="19" t="str">
        <x:v>D04</x:v>
      </x:c>
      <x:c r="F382" s="19" t="str">
        <x:v>酸包菜炒粉皮</x:v>
      </x:c>
      <x:c r="G382" s="19" t="str">
        <x:v>R1.0</x:v>
      </x:c>
      <x:c r="H382" s="20" t="n">
        <x:f>XLOOKUP(A382,'菜品日销量'!$A$5:$A$1124,'菜品日销量'!$G$5:$G$1124,0)</x:f>
        <x:v>39</x:v>
      </x:c>
      <x:c r="I382" s="20" t="n">
        <x:f>ROUNDUP(H382/2,0)</x:f>
        <x:v>20</x:v>
      </x:c>
      <x:c r="J382" s="22" t="n">
        <x:f>SUMIFS('菜谱BOM'!$F$5:$F$160,'菜谱BOM'!$A$5:$A$160,E382,'菜谱BOM'!$C$5:$C$160,"食材")</x:f>
        <x:v>380</x:v>
      </x:c>
      <x:c r="K382" s="38" t="n">
        <x:v>0.002390124930625344</x:v>
      </x:c>
      <x:c r="L382" s="35" t="n">
        <x:f>H382*J382*(1+K382)</x:f>
        <x:v>14855.421651471866</x:v>
      </x:c>
      <x:c r="M382" s="35" t="n">
        <x:f>SUMIFS('菜谱BOM'!$F$5:$F$160,'菜谱BOM'!$A$5:$A$160,E382,'菜谱BOM'!$C$5:$C$160,"调料")</x:f>
        <x:v>47</x:v>
      </x:c>
      <x:c r="N382" s="38" t="n">
        <x:v>0.0013471883152022933</x:v>
      </x:c>
      <x:c r="O382" s="35" t="n">
        <x:f>H382*M382*(1+N382)</x:f>
        <x:v>1835.469396181766</x:v>
      </x:c>
      <x:c r="P382" s="19" t="str">
        <x:f>IF(ABS(N382)&gt;'封面与口径'!$O$25,"机器调料需复核",IF(ABS(K382)&gt;0.02,"人工称重需复核","正常"))</x:f>
        <x:v>正常</x:v>
      </x:c>
      <x:c r="Q382" s="19" t="str">
        <x:v>宋海</x:v>
      </x:c>
    </x:row>
    <x:row r="383">
      <x:c r="A383" s="19" t="str">
        <x:v>2026-07-08|S04|D05</x:v>
      </x:c>
      <x:c r="B383" s="34" t="n">
        <x:v>46211.5</x:v>
      </x:c>
      <x:c r="C383" s="19" t="str">
        <x:v>S04</x:v>
      </x:c>
      <x:c r="D383" s="19" t="str">
        <x:v>金街美地店</x:v>
      </x:c>
      <x:c r="E383" s="19" t="str">
        <x:v>D05</x:v>
      </x:c>
      <x:c r="F383" s="19" t="str">
        <x:v>麻婆豆腐</x:v>
      </x:c>
      <x:c r="G383" s="19" t="str">
        <x:v>R1.0</x:v>
      </x:c>
      <x:c r="H383" s="20" t="n">
        <x:f>XLOOKUP(A383,'菜品日销量'!$A$5:$A$1124,'菜品日销量'!$G$5:$G$1124,0)</x:f>
        <x:v>48</x:v>
      </x:c>
      <x:c r="I383" s="20" t="n">
        <x:f>ROUNDUP(H383/2,0)</x:f>
        <x:v>24</x:v>
      </x:c>
      <x:c r="J383" s="22" t="n">
        <x:f>SUMIFS('菜谱BOM'!$F$5:$F$160,'菜谱BOM'!$A$5:$A$160,E383,'菜谱BOM'!$C$5:$C$160,"食材")</x:f>
        <x:v>505</x:v>
      </x:c>
      <x:c r="K383" s="38" t="n">
        <x:v>-0.004702265224583043</x:v>
      </x:c>
      <x:c r="L383" s="35" t="n">
        <x:f>H383*J383*(1+K383)</x:f>
        <x:v>24126.017090956106</x:v>
      </x:c>
      <x:c r="M383" s="35" t="n">
        <x:f>SUMIFS('菜谱BOM'!$F$5:$F$160,'菜谱BOM'!$A$5:$A$160,E383,'菜谱BOM'!$C$5:$C$160,"调料")</x:f>
        <x:v>90</x:v>
      </x:c>
      <x:c r="N383" s="38" t="n">
        <x:v>-0.0009583353891406057</x:v>
      </x:c>
      <x:c r="O383" s="35" t="n">
        <x:f>H383*M383*(1+N383)</x:f>
        <x:v>4315.859991118913</x:v>
      </x:c>
      <x:c r="P383" s="19" t="str">
        <x:f>IF(ABS(N383)&gt;'封面与口径'!$O$25,"机器调料需复核",IF(ABS(K383)&gt;0.02,"人工称重需复核","正常"))</x:f>
        <x:v>正常</x:v>
      </x:c>
      <x:c r="Q383" s="19" t="str">
        <x:v>宋海</x:v>
      </x:c>
    </x:row>
    <x:row r="384">
      <x:c r="A384" s="19" t="str">
        <x:v>2026-07-08|S04|D07</x:v>
      </x:c>
      <x:c r="B384" s="34" t="n">
        <x:v>46211.5</x:v>
      </x:c>
      <x:c r="C384" s="19" t="str">
        <x:v>S04</x:v>
      </x:c>
      <x:c r="D384" s="19" t="str">
        <x:v>金街美地店</x:v>
      </x:c>
      <x:c r="E384" s="19" t="str">
        <x:v>D07</x:v>
      </x:c>
      <x:c r="F384" s="19" t="str">
        <x:v>川味回锅肉</x:v>
      </x:c>
      <x:c r="G384" s="19" t="str">
        <x:v>R1.0</x:v>
      </x:c>
      <x:c r="H384" s="20" t="n">
        <x:f>XLOOKUP(A384,'菜品日销量'!$A$5:$A$1124,'菜品日销量'!$G$5:$G$1124,0)</x:f>
        <x:v>15</x:v>
      </x:c>
      <x:c r="I384" s="20" t="n">
        <x:f>ROUNDUP(H384/2,0)</x:f>
        <x:v>8</x:v>
      </x:c>
      <x:c r="J384" s="22" t="n">
        <x:f>SUMIFS('菜谱BOM'!$F$5:$F$160,'菜谱BOM'!$A$5:$A$160,E384,'菜谱BOM'!$C$5:$C$160,"食材")</x:f>
        <x:v>450</x:v>
      </x:c>
      <x:c r="K384" s="38" t="n">
        <x:v>0.007504392001662495</x:v>
      </x:c>
      <x:c r="L384" s="35" t="n">
        <x:f>H384*J384*(1+K384)</x:f>
        <x:v>6800.654646011221</x:v>
      </x:c>
      <x:c r="M384" s="35" t="n">
        <x:f>SUMIFS('菜谱BOM'!$F$5:$F$160,'菜谱BOM'!$A$5:$A$160,E384,'菜谱BOM'!$C$5:$C$160,"调料")</x:f>
        <x:v>63</x:v>
      </x:c>
      <x:c r="N384" s="38" t="n">
        <x:v>-0.0018456063782436786</x:v>
      </x:c>
      <x:c r="O384" s="35" t="n">
        <x:f>H384*M384*(1+N384)</x:f>
        <x:v>943.2559019725597</x:v>
      </x:c>
      <x:c r="P384" s="19" t="str">
        <x:f>IF(ABS(N384)&gt;'封面与口径'!$O$25,"机器调料需复核",IF(ABS(K384)&gt;0.02,"人工称重需复核","正常"))</x:f>
        <x:v>正常</x:v>
      </x:c>
      <x:c r="Q384" s="19" t="str">
        <x:v>宋海</x:v>
      </x:c>
    </x:row>
    <x:row r="385">
      <x:c r="A385" s="19" t="str">
        <x:v>2026-07-08|S04|D08</x:v>
      </x:c>
      <x:c r="B385" s="34" t="n">
        <x:v>46211.5</x:v>
      </x:c>
      <x:c r="C385" s="19" t="str">
        <x:v>S04</x:v>
      </x:c>
      <x:c r="D385" s="19" t="str">
        <x:v>金街美地店</x:v>
      </x:c>
      <x:c r="E385" s="19" t="str">
        <x:v>D08</x:v>
      </x:c>
      <x:c r="F385" s="19" t="str">
        <x:v>生炒清远鸡</x:v>
      </x:c>
      <x:c r="G385" s="19" t="str">
        <x:v>R1.0</x:v>
      </x:c>
      <x:c r="H385" s="20" t="n">
        <x:f>XLOOKUP(A385,'菜品日销量'!$A$5:$A$1124,'菜品日销量'!$G$5:$G$1124,0)</x:f>
        <x:v>12</x:v>
      </x:c>
      <x:c r="I385" s="20" t="n">
        <x:f>ROUNDUP(H385/2,0)</x:f>
        <x:v>6</x:v>
      </x:c>
      <x:c r="J385" s="22" t="n">
        <x:f>SUMIFS('菜谱BOM'!$F$5:$F$160,'菜谱BOM'!$A$5:$A$160,E385,'菜谱BOM'!$C$5:$C$160,"食材")</x:f>
        <x:v>610</x:v>
      </x:c>
      <x:c r="K385" s="38" t="n">
        <x:v>-0.0006206682642504262</x:v>
      </x:c>
      <x:c r="L385" s="35" t="n">
        <x:f>H385*J385*(1+K385)</x:f>
        <x:v>7315.456708305686</x:v>
      </x:c>
      <x:c r="M385" s="35" t="n">
        <x:f>SUMIFS('菜谱BOM'!$F$5:$F$160,'菜谱BOM'!$A$5:$A$160,E385,'菜谱BOM'!$C$5:$C$160,"调料")</x:f>
        <x:v>61</x:v>
      </x:c>
      <x:c r="N385" s="38" t="n">
        <x:v>-0.0011076220849313824</x:v>
      </x:c>
      <x:c r="O385" s="35" t="n">
        <x:f>H385*M385*(1+N385)</x:f>
        <x:v>731.1892206338302</x:v>
      </x:c>
      <x:c r="P385" s="19" t="str">
        <x:f>IF(ABS(N385)&gt;'封面与口径'!$O$25,"机器调料需复核",IF(ABS(K385)&gt;0.02,"人工称重需复核","正常"))</x:f>
        <x:v>正常</x:v>
      </x:c>
      <x:c r="Q385" s="19" t="str">
        <x:v>宋海</x:v>
      </x:c>
    </x:row>
    <x:row r="386">
      <x:c r="A386" s="19" t="str">
        <x:v>2026-07-08|S04|D09</x:v>
      </x:c>
      <x:c r="B386" s="34" t="n">
        <x:v>46211.5</x:v>
      </x:c>
      <x:c r="C386" s="19" t="str">
        <x:v>S04</x:v>
      </x:c>
      <x:c r="D386" s="19" t="str">
        <x:v>金街美地店</x:v>
      </x:c>
      <x:c r="E386" s="19" t="str">
        <x:v>D09</x:v>
      </x:c>
      <x:c r="F386" s="19" t="str">
        <x:v>炒豆干</x:v>
      </x:c>
      <x:c r="G386" s="19" t="str">
        <x:v>R1.0</x:v>
      </x:c>
      <x:c r="H386" s="20" t="n">
        <x:f>XLOOKUP(A386,'菜品日销量'!$A$5:$A$1124,'菜品日销量'!$G$5:$G$1124,0)</x:f>
        <x:v>17</x:v>
      </x:c>
      <x:c r="I386" s="20" t="n">
        <x:f>ROUNDUP(H386/2,0)</x:f>
        <x:v>9</x:v>
      </x:c>
      <x:c r="J386" s="22" t="n">
        <x:f>SUMIFS('菜谱BOM'!$F$5:$F$160,'菜谱BOM'!$A$5:$A$160,E386,'菜谱BOM'!$C$5:$C$160,"食材")</x:f>
        <x:v>520</x:v>
      </x:c>
      <x:c r="K386" s="38" t="n">
        <x:v>-0.002459282523593698</x:v>
      </x:c>
      <x:c r="L386" s="35" t="n">
        <x:f>H386*J386*(1+K386)</x:f>
        <x:v>8818.259942491432</x:v>
      </x:c>
      <x:c r="M386" s="35" t="n">
        <x:f>SUMIFS('菜谱BOM'!$F$5:$F$160,'菜谱BOM'!$A$5:$A$160,E386,'菜谱BOM'!$C$5:$C$160,"调料")</x:f>
        <x:v>42</x:v>
      </x:c>
      <x:c r="N386" s="38" t="n">
        <x:v>0.001786006934890991</x:v>
      </x:c>
      <x:c r="O386" s="35" t="n">
        <x:f>H386*M386*(1+N386)</x:f>
        <x:v>715.2752089515121</x:v>
      </x:c>
      <x:c r="P386" s="19" t="str">
        <x:f>IF(ABS(N386)&gt;'封面与口径'!$O$25,"机器调料需复核",IF(ABS(K386)&gt;0.02,"人工称重需复核","正常"))</x:f>
        <x:v>正常</x:v>
      </x:c>
      <x:c r="Q386" s="19" t="str">
        <x:v>宋海</x:v>
      </x:c>
    </x:row>
    <x:row r="387">
      <x:c r="A387" s="19" t="str">
        <x:v>2026-07-08|S04|D10</x:v>
      </x:c>
      <x:c r="B387" s="34" t="n">
        <x:v>46211.5</x:v>
      </x:c>
      <x:c r="C387" s="19" t="str">
        <x:v>S04</x:v>
      </x:c>
      <x:c r="D387" s="19" t="str">
        <x:v>金街美地店</x:v>
      </x:c>
      <x:c r="E387" s="19" t="str">
        <x:v>D10</x:v>
      </x:c>
      <x:c r="F387" s="19" t="str">
        <x:v>农家一碗香</x:v>
      </x:c>
      <x:c r="G387" s="19" t="str">
        <x:v>R2.3</x:v>
      </x:c>
      <x:c r="H387" s="20" t="n">
        <x:f>XLOOKUP(A387,'菜品日销量'!$A$5:$A$1124,'菜品日销量'!$G$5:$G$1124,0)</x:f>
        <x:v>17</x:v>
      </x:c>
      <x:c r="I387" s="20" t="n">
        <x:f>ROUNDUP(H387/2,0)</x:f>
        <x:v>9</x:v>
      </x:c>
      <x:c r="J387" s="22" t="n">
        <x:f>SUMIFS('菜谱BOM'!$F$5:$F$160,'菜谱BOM'!$A$5:$A$160,E387,'菜谱BOM'!$C$5:$C$160,"食材")</x:f>
        <x:v>510</x:v>
      </x:c>
      <x:c r="K387" s="38" t="n">
        <x:v>-0.0017657538339881586</x:v>
      </x:c>
      <x:c r="L387" s="35" t="n">
        <x:f>H387*J387*(1+K387)</x:f>
        <x:v>8654.690914259323</x:v>
      </x:c>
      <x:c r="M387" s="35" t="n">
        <x:f>SUMIFS('菜谱BOM'!$F$5:$F$160,'菜谱BOM'!$A$5:$A$160,E387,'菜谱BOM'!$C$5:$C$160,"调料")</x:f>
        <x:v>88</x:v>
      </x:c>
      <x:c r="N387" s="38" t="n">
        <x:v>0.0010279879511864828</x:v>
      </x:c>
      <x:c r="O387" s="35" t="n">
        <x:f>H387*M387*(1+N387)</x:f>
        <x:v>1497.5378699749751</x:v>
      </x:c>
      <x:c r="P387" s="19" t="str">
        <x:f>IF(ABS(N387)&gt;'封面与口径'!$O$25,"机器调料需复核",IF(ABS(K387)&gt;0.02,"人工称重需复核","正常"))</x:f>
        <x:v>正常</x:v>
      </x:c>
      <x:c r="Q387" s="19" t="str">
        <x:v>宋海</x:v>
      </x:c>
    </x:row>
    <x:row r="388">
      <x:c r="A388" s="19" t="str">
        <x:v>2026-07-08|S04|D11</x:v>
      </x:c>
      <x:c r="B388" s="34" t="n">
        <x:v>46211.5</x:v>
      </x:c>
      <x:c r="C388" s="19" t="str">
        <x:v>S04</x:v>
      </x:c>
      <x:c r="D388" s="19" t="str">
        <x:v>金街美地店</x:v>
      </x:c>
      <x:c r="E388" s="19" t="str">
        <x:v>D11</x:v>
      </x:c>
      <x:c r="F388" s="19" t="str">
        <x:v>香辣爆肥肠</x:v>
      </x:c>
      <x:c r="G388" s="19" t="str">
        <x:v>R1.0</x:v>
      </x:c>
      <x:c r="H388" s="20" t="n">
        <x:f>XLOOKUP(A388,'菜品日销量'!$A$5:$A$1124,'菜品日销量'!$G$5:$G$1124,0)</x:f>
        <x:v>7</x:v>
      </x:c>
      <x:c r="I388" s="20" t="n">
        <x:f>ROUNDUP(H388/2,0)</x:f>
        <x:v>4</x:v>
      </x:c>
      <x:c r="J388" s="22" t="n">
        <x:f>SUMIFS('菜谱BOM'!$F$5:$F$160,'菜谱BOM'!$A$5:$A$160,E388,'菜谱BOM'!$C$5:$C$160,"食材")</x:f>
        <x:v>430</x:v>
      </x:c>
      <x:c r="K388" s="38" t="n">
        <x:v>0.0037388133769246787</x:v>
      </x:c>
      <x:c r="L388" s="35" t="n">
        <x:f>H388*J388*(1+K388)</x:f>
        <x:v>3021.2538282645432</x:v>
      </x:c>
      <x:c r="M388" s="35" t="n">
        <x:f>SUMIFS('菜谱BOM'!$F$5:$F$160,'菜谱BOM'!$A$5:$A$160,E388,'菜谱BOM'!$C$5:$C$160,"调料")</x:f>
        <x:v>67</x:v>
      </x:c>
      <x:c r="N388" s="38" t="n">
        <x:v>0.0018380789951975643</x:v>
      </x:c>
      <x:c r="O388" s="35" t="n">
        <x:f>H388*M388*(1+N388)</x:f>
        <x:v>469.86205904874765</x:v>
      </x:c>
      <x:c r="P388" s="19" t="str">
        <x:f>IF(ABS(N388)&gt;'封面与口径'!$O$25,"机器调料需复核",IF(ABS(K388)&gt;0.02,"人工称重需复核","正常"))</x:f>
        <x:v>正常</x:v>
      </x:c>
      <x:c r="Q388" s="19" t="str">
        <x:v>宋海</x:v>
      </x:c>
    </x:row>
    <x:row r="389">
      <x:c r="A389" s="19" t="str">
        <x:v>2026-07-08|S04|D13</x:v>
      </x:c>
      <x:c r="B389" s="34" t="n">
        <x:v>46211.5</x:v>
      </x:c>
      <x:c r="C389" s="19" t="str">
        <x:v>S04</x:v>
      </x:c>
      <x:c r="D389" s="19" t="str">
        <x:v>金街美地店</x:v>
      </x:c>
      <x:c r="E389" s="19" t="str">
        <x:v>D13</x:v>
      </x:c>
      <x:c r="F389" s="19" t="str">
        <x:v>外婆菜炒蛋</x:v>
      </x:c>
      <x:c r="G389" s="19" t="str">
        <x:v>R1.0</x:v>
      </x:c>
      <x:c r="H389" s="20" t="n">
        <x:f>XLOOKUP(A389,'菜品日销量'!$A$5:$A$1124,'菜品日销量'!$G$5:$G$1124,0)</x:f>
        <x:v>17</x:v>
      </x:c>
      <x:c r="I389" s="20" t="n">
        <x:f>ROUNDUP(H389/2,0)</x:f>
        <x:v>9</x:v>
      </x:c>
      <x:c r="J389" s="22" t="n">
        <x:f>SUMIFS('菜谱BOM'!$F$5:$F$160,'菜谱BOM'!$A$5:$A$160,E389,'菜谱BOM'!$C$5:$C$160,"食材")</x:f>
        <x:v>450</x:v>
      </x:c>
      <x:c r="K389" s="38" t="n">
        <x:v>0.001215957356899967</x:v>
      </x:c>
      <x:c r="L389" s="35" t="n">
        <x:f>H389*J389*(1+K389)</x:f>
        <x:v>7659.302073780284</x:v>
      </x:c>
      <x:c r="M389" s="35" t="n">
        <x:f>SUMIFS('菜谱BOM'!$F$5:$F$160,'菜谱BOM'!$A$5:$A$160,E389,'菜谱BOM'!$C$5:$C$160,"调料")</x:f>
        <x:v>37</x:v>
      </x:c>
      <x:c r="N389" s="38" t="n">
        <x:v>-0.0014669122042755857</x:v>
      </x:c>
      <x:c r="O389" s="35" t="n">
        <x:f>H389*M389*(1+N389)</x:f>
        <x:v>628.0773122235106</x:v>
      </x:c>
      <x:c r="P389" s="19" t="str">
        <x:f>IF(ABS(N389)&gt;'封面与口径'!$O$25,"机器调料需复核",IF(ABS(K389)&gt;0.02,"人工称重需复核","正常"))</x:f>
        <x:v>正常</x:v>
      </x:c>
      <x:c r="Q389" s="19" t="str">
        <x:v>宋海</x:v>
      </x:c>
    </x:row>
    <x:row r="390">
      <x:c r="A390" s="19" t="str">
        <x:v>2026-07-08|S04|D14</x:v>
      </x:c>
      <x:c r="B390" s="34" t="n">
        <x:v>46211.5</x:v>
      </x:c>
      <x:c r="C390" s="19" t="str">
        <x:v>S04</x:v>
      </x:c>
      <x:c r="D390" s="19" t="str">
        <x:v>金街美地店</x:v>
      </x:c>
      <x:c r="E390" s="19" t="str">
        <x:v>D14</x:v>
      </x:c>
      <x:c r="F390" s="19" t="str">
        <x:v>酸辣鸡杂</x:v>
      </x:c>
      <x:c r="G390" s="19" t="str">
        <x:v>R1.0</x:v>
      </x:c>
      <x:c r="H390" s="20" t="n">
        <x:f>XLOOKUP(A390,'菜品日销量'!$A$5:$A$1124,'菜品日销量'!$G$5:$G$1124,0)</x:f>
        <x:v>7</x:v>
      </x:c>
      <x:c r="I390" s="20" t="n">
        <x:f>ROUNDUP(H390/2,0)</x:f>
        <x:v>4</x:v>
      </x:c>
      <x:c r="J390" s="22" t="n">
        <x:f>SUMIFS('菜谱BOM'!$F$5:$F$160,'菜谱BOM'!$A$5:$A$160,E390,'菜谱BOM'!$C$5:$C$160,"食材")</x:f>
        <x:v>470</x:v>
      </x:c>
      <x:c r="K390" s="38" t="n">
        <x:v>0.0046961634337660315</x:v>
      </x:c>
      <x:c r="L390" s="35" t="n">
        <x:f>H390*J390*(1+K390)</x:f>
        <x:v>3305.4503776970905</x:v>
      </x:c>
      <x:c r="M390" s="35" t="n">
        <x:f>SUMIFS('菜谱BOM'!$F$5:$F$160,'菜谱BOM'!$A$5:$A$160,E390,'菜谱BOM'!$C$5:$C$160,"调料")</x:f>
        <x:v>60</x:v>
      </x:c>
      <x:c r="N390" s="38" t="n">
        <x:v>0.0018436874579274298</x:v>
      </x:c>
      <x:c r="O390" s="35" t="n">
        <x:f>H390*M390*(1+N390)</x:f>
        <x:v>420.77434873232954</x:v>
      </x:c>
      <x:c r="P390" s="19" t="str">
        <x:f>IF(ABS(N390)&gt;'封面与口径'!$O$25,"机器调料需复核",IF(ABS(K390)&gt;0.02,"人工称重需复核","正常"))</x:f>
        <x:v>正常</x:v>
      </x:c>
      <x:c r="Q390" s="19" t="str">
        <x:v>宋海</x:v>
      </x:c>
    </x:row>
    <x:row r="391">
      <x:c r="A391" s="19" t="str">
        <x:v>2026-07-08|S04|D15</x:v>
      </x:c>
      <x:c r="B391" s="34" t="n">
        <x:v>46211.5</x:v>
      </x:c>
      <x:c r="C391" s="19" t="str">
        <x:v>S04</x:v>
      </x:c>
      <x:c r="D391" s="19" t="str">
        <x:v>金街美地店</x:v>
      </x:c>
      <x:c r="E391" s="19" t="str">
        <x:v>D15</x:v>
      </x:c>
      <x:c r="F391" s="19" t="str">
        <x:v>湘西土匪猪肝</x:v>
      </x:c>
      <x:c r="G391" s="19" t="str">
        <x:v>R1.0</x:v>
      </x:c>
      <x:c r="H391" s="20" t="n">
        <x:f>XLOOKUP(A391,'菜品日销量'!$A$5:$A$1124,'菜品日销量'!$G$5:$G$1124,0)</x:f>
        <x:v>7</x:v>
      </x:c>
      <x:c r="I391" s="20" t="n">
        <x:f>ROUNDUP(H391/2,0)</x:f>
        <x:v>4</x:v>
      </x:c>
      <x:c r="J391" s="22" t="n">
        <x:f>SUMIFS('菜谱BOM'!$F$5:$F$160,'菜谱BOM'!$A$5:$A$160,E391,'菜谱BOM'!$C$5:$C$160,"食材")</x:f>
        <x:v>470</x:v>
      </x:c>
      <x:c r="K391" s="38" t="n">
        <x:v>-0.0071389332225404055</x:v>
      </x:c>
      <x:c r="L391" s="35" t="n">
        <x:f>H391*J391*(1+K391)</x:f>
        <x:v>3266.512909697842</x:v>
      </x:c>
      <x:c r="M391" s="35" t="n">
        <x:f>SUMIFS('菜谱BOM'!$F$5:$F$160,'菜谱BOM'!$A$5:$A$160,E391,'菜谱BOM'!$C$5:$C$160,"调料")</x:f>
        <x:v>49</x:v>
      </x:c>
      <x:c r="N391" s="38" t="n">
        <x:v>-0.0010932595355187683</x:v>
      </x:c>
      <x:c r="O391" s="35" t="n">
        <x:f>H391*M391*(1+N391)</x:f>
        <x:v>342.6250119793171</x:v>
      </x:c>
      <x:c r="P391" s="19" t="str">
        <x:f>IF(ABS(N391)&gt;'封面与口径'!$O$25,"机器调料需复核",IF(ABS(K391)&gt;0.02,"人工称重需复核","正常"))</x:f>
        <x:v>正常</x:v>
      </x:c>
      <x:c r="Q391" s="19" t="str">
        <x:v>宋海</x:v>
      </x:c>
    </x:row>
    <x:row r="392">
      <x:c r="A392" s="19" t="str">
        <x:v>2026-07-08|S04|D16</x:v>
      </x:c>
      <x:c r="B392" s="34" t="n">
        <x:v>46211.5</x:v>
      </x:c>
      <x:c r="C392" s="19" t="str">
        <x:v>S04</x:v>
      </x:c>
      <x:c r="D392" s="19" t="str">
        <x:v>金街美地店</x:v>
      </x:c>
      <x:c r="E392" s="19" t="str">
        <x:v>D16</x:v>
      </x:c>
      <x:c r="F392" s="19" t="str">
        <x:v>小豆角炒五花</x:v>
      </x:c>
      <x:c r="G392" s="19" t="str">
        <x:v>R1.0</x:v>
      </x:c>
      <x:c r="H392" s="20" t="n">
        <x:f>XLOOKUP(A392,'菜品日销量'!$A$5:$A$1124,'菜品日销量'!$G$5:$G$1124,0)</x:f>
        <x:v>7</x:v>
      </x:c>
      <x:c r="I392" s="20" t="n">
        <x:f>ROUNDUP(H392/2,0)</x:f>
        <x:v>4</x:v>
      </x:c>
      <x:c r="J392" s="22" t="n">
        <x:f>SUMIFS('菜谱BOM'!$F$5:$F$160,'菜谱BOM'!$A$5:$A$160,E392,'菜谱BOM'!$C$5:$C$160,"食材")</x:f>
        <x:v>450</x:v>
      </x:c>
      <x:c r="K392" s="38" t="n">
        <x:v>0.0037604044330679827</x:v>
      </x:c>
      <x:c r="L392" s="35" t="n">
        <x:f>H392*J392*(1+K392)</x:f>
        <x:v>3161.845273964164</x:v>
      </x:c>
      <x:c r="M392" s="35" t="n">
        <x:f>SUMIFS('菜谱BOM'!$F$5:$F$160,'菜谱BOM'!$A$5:$A$160,E392,'菜谱BOM'!$C$5:$C$160,"调料")</x:f>
        <x:v>42</x:v>
      </x:c>
      <x:c r="N392" s="38" t="n">
        <x:v>-0.0013053788252420208</x:v>
      </x:c>
      <x:c r="O392" s="35" t="n">
        <x:f>H392*M392*(1+N392)</x:f>
        <x:v>293.61621862537885</x:v>
      </x:c>
      <x:c r="P392" s="19" t="str">
        <x:f>IF(ABS(N392)&gt;'封面与口径'!$O$25,"机器调料需复核",IF(ABS(K392)&gt;0.02,"人工称重需复核","正常"))</x:f>
        <x:v>正常</x:v>
      </x:c>
      <x:c r="Q392" s="19" t="str">
        <x:v>宋海</x:v>
      </x:c>
    </x:row>
    <x:row r="393">
      <x:c r="A393" s="19" t="str">
        <x:v>2026-07-08|S04|D18</x:v>
      </x:c>
      <x:c r="B393" s="34" t="n">
        <x:v>46211.5</x:v>
      </x:c>
      <x:c r="C393" s="19" t="str">
        <x:v>S04</x:v>
      </x:c>
      <x:c r="D393" s="19" t="str">
        <x:v>金街美地店</x:v>
      </x:c>
      <x:c r="E393" s="19" t="str">
        <x:v>D18</x:v>
      </x:c>
      <x:c r="F393" s="19" t="str">
        <x:v>青椒炒油麦菜</x:v>
      </x:c>
      <x:c r="G393" s="19" t="str">
        <x:v>R1.0</x:v>
      </x:c>
      <x:c r="H393" s="20" t="n">
        <x:f>XLOOKUP(A393,'菜品日销量'!$A$5:$A$1124,'菜品日销量'!$G$5:$G$1124,0)</x:f>
        <x:v>9</x:v>
      </x:c>
      <x:c r="I393" s="20" t="n">
        <x:f>ROUNDUP(H393/2,0)</x:f>
        <x:v>5</x:v>
      </x:c>
      <x:c r="J393" s="22" t="n">
        <x:f>SUMIFS('菜谱BOM'!$F$5:$F$160,'菜谱BOM'!$A$5:$A$160,E393,'菜谱BOM'!$C$5:$C$160,"食材")</x:f>
        <x:v>430</x:v>
      </x:c>
      <x:c r="K393" s="38" t="n">
        <x:v>-0.002274384616472382</x:v>
      </x:c>
      <x:c r="L393" s="35" t="n">
        <x:f>H393*J393*(1+K393)</x:f>
        <x:v>3861.198131534252</x:v>
      </x:c>
      <x:c r="M393" s="35" t="n">
        <x:f>SUMIFS('菜谱BOM'!$F$5:$F$160,'菜谱BOM'!$A$5:$A$160,E393,'菜谱BOM'!$C$5:$C$160,"调料")</x:f>
        <x:v>33</x:v>
      </x:c>
      <x:c r="N393" s="38" t="n">
        <x:v>0.0018091091680827339</x:v>
      </x:c>
      <x:c r="O393" s="35" t="n">
        <x:f>H393*M393*(1+N393)</x:f>
        <x:v>297.53730542292055</x:v>
      </x:c>
      <x:c r="P393" s="19" t="str">
        <x:f>IF(ABS(N393)&gt;'封面与口径'!$O$25,"机器调料需复核",IF(ABS(K393)&gt;0.02,"人工称重需复核","正常"))</x:f>
        <x:v>正常</x:v>
      </x:c>
      <x:c r="Q393" s="19" t="str">
        <x:v>宋海</x:v>
      </x:c>
    </x:row>
    <x:row r="394">
      <x:c r="A394" s="19" t="str">
        <x:v>2026-07-08|S04|D19</x:v>
      </x:c>
      <x:c r="B394" s="34" t="n">
        <x:v>46211.5</x:v>
      </x:c>
      <x:c r="C394" s="19" t="str">
        <x:v>S04</x:v>
      </x:c>
      <x:c r="D394" s="19" t="str">
        <x:v>金街美地店</x:v>
      </x:c>
      <x:c r="E394" s="19" t="str">
        <x:v>D19</x:v>
      </x:c>
      <x:c r="F394" s="19" t="str">
        <x:v>酸萝卜炒鸡杂</x:v>
      </x:c>
      <x:c r="G394" s="19" t="str">
        <x:v>R1.0</x:v>
      </x:c>
      <x:c r="H394" s="20" t="n">
        <x:f>XLOOKUP(A394,'菜品日销量'!$A$5:$A$1124,'菜品日销量'!$G$5:$G$1124,0)</x:f>
        <x:v>6</x:v>
      </x:c>
      <x:c r="I394" s="20" t="n">
        <x:f>ROUNDUP(H394/2,0)</x:f>
        <x:v>3</x:v>
      </x:c>
      <x:c r="J394" s="22" t="n">
        <x:f>SUMIFS('菜谱BOM'!$F$5:$F$160,'菜谱BOM'!$A$5:$A$160,E394,'菜谱BOM'!$C$5:$C$160,"食材")</x:f>
        <x:v>500</x:v>
      </x:c>
      <x:c r="K394" s="38" t="n">
        <x:v>-0.00013115888278259914</x:v>
      </x:c>
      <x:c r="L394" s="35" t="n">
        <x:f>H394*J394*(1+K394)</x:f>
        <x:v>2999.6065233516524</x:v>
      </x:c>
      <x:c r="M394" s="35" t="n">
        <x:f>SUMIFS('菜谱BOM'!$F$5:$F$160,'菜谱BOM'!$A$5:$A$160,E394,'菜谱BOM'!$C$5:$C$160,"调料")</x:f>
        <x:v>55</x:v>
      </x:c>
      <x:c r="N394" s="38" t="n">
        <x:v>-0.0018807157166024473</x:v>
      </x:c>
      <x:c r="O394" s="35" t="n">
        <x:f>H394*M394*(1+N394)</x:f>
        <x:v>329.3793638135212</x:v>
      </x:c>
      <x:c r="P394" s="19" t="str">
        <x:f>IF(ABS(N394)&gt;'封面与口径'!$O$25,"机器调料需复核",IF(ABS(K394)&gt;0.02,"人工称重需复核","正常"))</x:f>
        <x:v>正常</x:v>
      </x:c>
      <x:c r="Q394" s="19" t="str">
        <x:v>宋海</x:v>
      </x:c>
    </x:row>
    <x:row r="395">
      <x:c r="A395" s="19" t="str">
        <x:v>2026-07-08|S04|D20</x:v>
      </x:c>
      <x:c r="B395" s="34" t="n">
        <x:v>46211.5</x:v>
      </x:c>
      <x:c r="C395" s="19" t="str">
        <x:v>S04</x:v>
      </x:c>
      <x:c r="D395" s="19" t="str">
        <x:v>金街美地店</x:v>
      </x:c>
      <x:c r="E395" s="19" t="str">
        <x:v>D20</x:v>
      </x:c>
      <x:c r="F395" s="19" t="str">
        <x:v>雪菜肉末青豆</x:v>
      </x:c>
      <x:c r="G395" s="19" t="str">
        <x:v>R1.0</x:v>
      </x:c>
      <x:c r="H395" s="20" t="n">
        <x:f>XLOOKUP(A395,'菜品日销量'!$A$5:$A$1124,'菜品日销量'!$G$5:$G$1124,0)</x:f>
        <x:v>8</x:v>
      </x:c>
      <x:c r="I395" s="20" t="n">
        <x:f>ROUNDUP(H395/2,0)</x:f>
        <x:v>4</x:v>
      </x:c>
      <x:c r="J395" s="22" t="n">
        <x:f>SUMIFS('菜谱BOM'!$F$5:$F$160,'菜谱BOM'!$A$5:$A$160,E395,'菜谱BOM'!$C$5:$C$160,"食材")</x:f>
        <x:v>465</x:v>
      </x:c>
      <x:c r="K395" s="38" t="n">
        <x:v>0.0004976519254263608</x:v>
      </x:c>
      <x:c r="L395" s="35" t="n">
        <x:f>H395*J395*(1+K395)</x:f>
        <x:v>3721.8512651625856</x:v>
      </x:c>
      <x:c r="M395" s="35" t="n">
        <x:f>SUMIFS('菜谱BOM'!$F$5:$F$160,'菜谱BOM'!$A$5:$A$160,E395,'菜谱BOM'!$C$5:$C$160,"调料")</x:f>
        <x:v>32</x:v>
      </x:c>
      <x:c r="N395" s="38" t="n">
        <x:v>-0.0009243940857528695</x:v>
      </x:c>
      <x:c r="O395" s="35" t="n">
        <x:f>H395*M395*(1+N395)</x:f>
        <x:v>255.76335511404727</x:v>
      </x:c>
      <x:c r="P395" s="19" t="str">
        <x:f>IF(ABS(N395)&gt;'封面与口径'!$O$25,"机器调料需复核",IF(ABS(K395)&gt;0.02,"人工称重需复核","正常"))</x:f>
        <x:v>正常</x:v>
      </x:c>
      <x:c r="Q395" s="19" t="str">
        <x:v>宋海</x:v>
      </x:c>
    </x:row>
    <x:row r="396">
      <x:c r="A396" s="19" t="str">
        <x:v>2026-07-09|S04|D01</x:v>
      </x:c>
      <x:c r="B396" s="34" t="n">
        <x:v>46212.5</x:v>
      </x:c>
      <x:c r="C396" s="19" t="str">
        <x:v>S04</x:v>
      </x:c>
      <x:c r="D396" s="19" t="str">
        <x:v>金街美地店</x:v>
      </x:c>
      <x:c r="E396" s="19" t="str">
        <x:v>D01</x:v>
      </x:c>
      <x:c r="F396" s="19" t="str">
        <x:v>辣椒炒肉</x:v>
      </x:c>
      <x:c r="G396" s="19" t="str">
        <x:v>R2.3</x:v>
      </x:c>
      <x:c r="H396" s="20" t="n">
        <x:f>XLOOKUP(A396,'菜品日销量'!$A$5:$A$1124,'菜品日销量'!$G$5:$G$1124,0)</x:f>
        <x:v>48</x:v>
      </x:c>
      <x:c r="I396" s="20" t="n">
        <x:f>ROUNDUP(H396/2,0)</x:f>
        <x:v>24</x:v>
      </x:c>
      <x:c r="J396" s="22" t="n">
        <x:f>SUMIFS('菜谱BOM'!$F$5:$F$160,'菜谱BOM'!$A$5:$A$160,E396,'菜谱BOM'!$C$5:$C$160,"食材")</x:f>
        <x:v>550</x:v>
      </x:c>
      <x:c r="K396" s="38" t="n">
        <x:v>0.007447483867278204</x:v>
      </x:c>
      <x:c r="L396" s="35" t="n">
        <x:f>H396*J396*(1+K396)</x:f>
        <x:v>26596.613574096144</x:v>
      </x:c>
      <x:c r="M396" s="35" t="n">
        <x:f>SUMIFS('菜谱BOM'!$F$5:$F$160,'菜谱BOM'!$A$5:$A$160,E396,'菜谱BOM'!$C$5:$C$160,"调料")</x:f>
        <x:v>104</x:v>
      </x:c>
      <x:c r="N396" s="38" t="n">
        <x:v>0.0016238765892628293</x:v>
      </x:c>
      <x:c r="O396" s="35" t="n">
        <x:f>H396*M396*(1+N396)</x:f>
        <x:v>5000.1063919336</x:v>
      </x:c>
      <x:c r="P396" s="19" t="str">
        <x:f>IF(ABS(N396)&gt;'封面与口径'!$O$25,"机器调料需复核",IF(ABS(K396)&gt;0.02,"人工称重需复核","正常"))</x:f>
        <x:v>正常</x:v>
      </x:c>
      <x:c r="Q396" s="19" t="str">
        <x:v>宋海</x:v>
      </x:c>
    </x:row>
    <x:row r="397">
      <x:c r="A397" s="19" t="str">
        <x:v>2026-07-09|S04|D02</x:v>
      </x:c>
      <x:c r="B397" s="34" t="n">
        <x:v>46212.5</x:v>
      </x:c>
      <x:c r="C397" s="19" t="str">
        <x:v>S04</x:v>
      </x:c>
      <x:c r="D397" s="19" t="str">
        <x:v>金街美地店</x:v>
      </x:c>
      <x:c r="E397" s="19" t="str">
        <x:v>D02</x:v>
      </x:c>
      <x:c r="F397" s="19" t="str">
        <x:v>小炒黄牛肉</x:v>
      </x:c>
      <x:c r="G397" s="19" t="str">
        <x:v>R2.3</x:v>
      </x:c>
      <x:c r="H397" s="20" t="n">
        <x:f>XLOOKUP(A397,'菜品日销量'!$A$5:$A$1124,'菜品日销量'!$G$5:$G$1124,0)</x:f>
        <x:v>33</x:v>
      </x:c>
      <x:c r="I397" s="20" t="n">
        <x:f>ROUNDUP(H397/2,0)</x:f>
        <x:v>17</x:v>
      </x:c>
      <x:c r="J397" s="22" t="n">
        <x:f>SUMIFS('菜谱BOM'!$F$5:$F$160,'菜谱BOM'!$A$5:$A$160,E397,'菜谱BOM'!$C$5:$C$160,"食材")</x:f>
        <x:v>560</x:v>
      </x:c>
      <x:c r="K397" s="38" t="n">
        <x:v>-0.002640421046558866</x:v>
      </x:c>
      <x:c r="L397" s="35" t="n">
        <x:f>H397*J397*(1+K397)</x:f>
        <x:v>18431.205019059595</x:v>
      </x:c>
      <x:c r="M397" s="35" t="n">
        <x:f>SUMIFS('菜谱BOM'!$F$5:$F$160,'菜谱BOM'!$A$5:$A$160,E397,'菜谱BOM'!$C$5:$C$160,"调料")</x:f>
        <x:v>133</x:v>
      </x:c>
      <x:c r="N397" s="38" t="n">
        <x:v>0.0005189477555730724</x:v>
      </x:c>
      <x:c r="O397" s="35" t="n">
        <x:f>H397*M397*(1+N397)</x:f>
        <x:v>4391.2776616992105</x:v>
      </x:c>
      <x:c r="P397" s="19" t="str">
        <x:f>IF(ABS(N397)&gt;'封面与口径'!$O$25,"机器调料需复核",IF(ABS(K397)&gt;0.02,"人工称重需复核","正常"))</x:f>
        <x:v>正常</x:v>
      </x:c>
      <x:c r="Q397" s="19" t="str">
        <x:v>宋海</x:v>
      </x:c>
    </x:row>
    <x:row r="398">
      <x:c r="A398" s="19" t="str">
        <x:v>2026-07-09|S04|D03</x:v>
      </x:c>
      <x:c r="B398" s="34" t="n">
        <x:v>46212.5</x:v>
      </x:c>
      <x:c r="C398" s="19" t="str">
        <x:v>S04</x:v>
      </x:c>
      <x:c r="D398" s="19" t="str">
        <x:v>金街美地店</x:v>
      </x:c>
      <x:c r="E398" s="19" t="str">
        <x:v>D03</x:v>
      </x:c>
      <x:c r="F398" s="19" t="str">
        <x:v>香醋炒蛋</x:v>
      </x:c>
      <x:c r="G398" s="19" t="str">
        <x:v>R1.0</x:v>
      </x:c>
      <x:c r="H398" s="20" t="n">
        <x:f>XLOOKUP(A398,'菜品日销量'!$A$5:$A$1124,'菜品日销量'!$G$5:$G$1124,0)</x:f>
        <x:v>42</x:v>
      </x:c>
      <x:c r="I398" s="20" t="n">
        <x:f>ROUNDUP(H398/2,0)</x:f>
        <x:v>21</x:v>
      </x:c>
      <x:c r="J398" s="22" t="n">
        <x:f>SUMIFS('菜谱BOM'!$F$5:$F$160,'菜谱BOM'!$A$5:$A$160,E398,'菜谱BOM'!$C$5:$C$160,"食材")</x:f>
        <x:v>300</x:v>
      </x:c>
      <x:c r="K398" s="38" t="n">
        <x:v>-0.0005361088012662041</x:v>
      </x:c>
      <x:c r="L398" s="35" t="n">
        <x:f>H398*J398*(1+K398)</x:f>
        <x:v>12593.245029104046</x:v>
      </x:c>
      <x:c r="M398" s="35" t="n">
        <x:f>SUMIFS('菜谱BOM'!$F$5:$F$160,'菜谱BOM'!$A$5:$A$160,E398,'菜谱BOM'!$C$5:$C$160,"调料")</x:f>
        <x:v>53</x:v>
      </x:c>
      <x:c r="N398" s="38" t="n">
        <x:v>0.00003742757487050907</x:v>
      </x:c>
      <x:c r="O398" s="35" t="n">
        <x:f>H398*M398*(1+N398)</x:f>
        <x:v>2226.0833137816617</x:v>
      </x:c>
      <x:c r="P398" s="19" t="str">
        <x:f>IF(ABS(N398)&gt;'封面与口径'!$O$25,"机器调料需复核",IF(ABS(K398)&gt;0.02,"人工称重需复核","正常"))</x:f>
        <x:v>正常</x:v>
      </x:c>
      <x:c r="Q398" s="19" t="str">
        <x:v>宋海</x:v>
      </x:c>
    </x:row>
    <x:row r="399">
      <x:c r="A399" s="19" t="str">
        <x:v>2026-07-09|S04|D04</x:v>
      </x:c>
      <x:c r="B399" s="34" t="n">
        <x:v>46212.5</x:v>
      </x:c>
      <x:c r="C399" s="19" t="str">
        <x:v>S04</x:v>
      </x:c>
      <x:c r="D399" s="19" t="str">
        <x:v>金街美地店</x:v>
      </x:c>
      <x:c r="E399" s="19" t="str">
        <x:v>D04</x:v>
      </x:c>
      <x:c r="F399" s="19" t="str">
        <x:v>酸包菜炒粉皮</x:v>
      </x:c>
      <x:c r="G399" s="19" t="str">
        <x:v>R1.0</x:v>
      </x:c>
      <x:c r="H399" s="20" t="n">
        <x:f>XLOOKUP(A399,'菜品日销量'!$A$5:$A$1124,'菜品日销量'!$G$5:$G$1124,0)</x:f>
        <x:v>39</x:v>
      </x:c>
      <x:c r="I399" s="20" t="n">
        <x:f>ROUNDUP(H399/2,0)</x:f>
        <x:v>20</x:v>
      </x:c>
      <x:c r="J399" s="22" t="n">
        <x:f>SUMIFS('菜谱BOM'!$F$5:$F$160,'菜谱BOM'!$A$5:$A$160,E399,'菜谱BOM'!$C$5:$C$160,"食材")</x:f>
        <x:v>380</x:v>
      </x:c>
      <x:c r="K399" s="38" t="n">
        <x:v>0.032</x:v>
      </x:c>
      <x:c r="L399" s="35" t="n">
        <x:f>H399*J399*(1+K399)</x:f>
        <x:v>15294.24</x:v>
      </x:c>
      <x:c r="M399" s="35" t="n">
        <x:f>SUMIFS('菜谱BOM'!$F$5:$F$160,'菜谱BOM'!$A$5:$A$160,E399,'菜谱BOM'!$C$5:$C$160,"调料")</x:f>
        <x:v>47</x:v>
      </x:c>
      <x:c r="N399" s="38" t="n">
        <x:v>-0.0006441575704710925</x:v>
      </x:c>
      <x:c r="O399" s="35" t="n">
        <x:f>H399*M399*(1+N399)</x:f>
        <x:v>1831.8192591733264</x:v>
      </x:c>
      <x:c r="P399" s="19" t="str">
        <x:f>IF(ABS(N399)&gt;'封面与口径'!$O$25,"机器调料需复核",IF(ABS(K399)&gt;0.02,"人工称重需复核","正常"))</x:f>
        <x:v>人工称重需复核</x:v>
      </x:c>
      <x:c r="Q399" s="19" t="str">
        <x:v>宋海</x:v>
      </x:c>
    </x:row>
    <x:row r="400">
      <x:c r="A400" s="19" t="str">
        <x:v>2026-07-09|S04|D05</x:v>
      </x:c>
      <x:c r="B400" s="34" t="n">
        <x:v>46212.5</x:v>
      </x:c>
      <x:c r="C400" s="19" t="str">
        <x:v>S04</x:v>
      </x:c>
      <x:c r="D400" s="19" t="str">
        <x:v>金街美地店</x:v>
      </x:c>
      <x:c r="E400" s="19" t="str">
        <x:v>D05</x:v>
      </x:c>
      <x:c r="F400" s="19" t="str">
        <x:v>麻婆豆腐</x:v>
      </x:c>
      <x:c r="G400" s="19" t="str">
        <x:v>R1.0</x:v>
      </x:c>
      <x:c r="H400" s="20" t="n">
        <x:f>XLOOKUP(A400,'菜品日销量'!$A$5:$A$1124,'菜品日销量'!$G$5:$G$1124,0)</x:f>
        <x:v>50</x:v>
      </x:c>
      <x:c r="I400" s="20" t="n">
        <x:f>ROUNDUP(H400/2,0)</x:f>
        <x:v>25</x:v>
      </x:c>
      <x:c r="J400" s="22" t="n">
        <x:f>SUMIFS('菜谱BOM'!$F$5:$F$160,'菜谱BOM'!$A$5:$A$160,E400,'菜谱BOM'!$C$5:$C$160,"食材")</x:f>
        <x:v>505</x:v>
      </x:c>
      <x:c r="K400" s="38" t="n">
        <x:v>0.005876206203800674</x:v>
      </x:c>
      <x:c r="L400" s="35" t="n">
        <x:f>H400*J400*(1+K400)</x:f>
        <x:v>25398.374206645967</x:v>
      </x:c>
      <x:c r="M400" s="35" t="n">
        <x:f>SUMIFS('菜谱BOM'!$F$5:$F$160,'菜谱BOM'!$A$5:$A$160,E400,'菜谱BOM'!$C$5:$C$160,"调料")</x:f>
        <x:v>90</x:v>
      </x:c>
      <x:c r="N400" s="38" t="n">
        <x:v>0.0019994422784073845</x:v>
      </x:c>
      <x:c r="O400" s="35" t="n">
        <x:f>H400*M400*(1+N400)</x:f>
        <x:v>4508.997490252833</x:v>
      </x:c>
      <x:c r="P400" s="19" t="str">
        <x:f>IF(ABS(N400)&gt;'封面与口径'!$O$25,"机器调料需复核",IF(ABS(K400)&gt;0.02,"人工称重需复核","正常"))</x:f>
        <x:v>正常</x:v>
      </x:c>
      <x:c r="Q400" s="19" t="str">
        <x:v>宋海</x:v>
      </x:c>
    </x:row>
    <x:row r="401">
      <x:c r="A401" s="19" t="str">
        <x:v>2026-07-09|S04|D07</x:v>
      </x:c>
      <x:c r="B401" s="34" t="n">
        <x:v>46212.5</x:v>
      </x:c>
      <x:c r="C401" s="19" t="str">
        <x:v>S04</x:v>
      </x:c>
      <x:c r="D401" s="19" t="str">
        <x:v>金街美地店</x:v>
      </x:c>
      <x:c r="E401" s="19" t="str">
        <x:v>D07</x:v>
      </x:c>
      <x:c r="F401" s="19" t="str">
        <x:v>川味回锅肉</x:v>
      </x:c>
      <x:c r="G401" s="19" t="str">
        <x:v>R1.0</x:v>
      </x:c>
      <x:c r="H401" s="20" t="n">
        <x:f>XLOOKUP(A401,'菜品日销量'!$A$5:$A$1124,'菜品日销量'!$G$5:$G$1124,0)</x:f>
        <x:v>14</x:v>
      </x:c>
      <x:c r="I401" s="20" t="n">
        <x:f>ROUNDUP(H401/2,0)</x:f>
        <x:v>7</x:v>
      </x:c>
      <x:c r="J401" s="22" t="n">
        <x:f>SUMIFS('菜谱BOM'!$F$5:$F$160,'菜谱BOM'!$A$5:$A$160,E401,'菜谱BOM'!$C$5:$C$160,"食材")</x:f>
        <x:v>450</x:v>
      </x:c>
      <x:c r="K401" s="38" t="n">
        <x:v>-0.004834851439305315</x:v>
      </x:c>
      <x:c r="L401" s="35" t="n">
        <x:f>H401*J401*(1+K401)</x:f>
        <x:v>6269.540435932377</x:v>
      </x:c>
      <x:c r="M401" s="35" t="n">
        <x:f>SUMIFS('菜谱BOM'!$F$5:$F$160,'菜谱BOM'!$A$5:$A$160,E401,'菜谱BOM'!$C$5:$C$160,"调料")</x:f>
        <x:v>63</x:v>
      </x:c>
      <x:c r="N401" s="38" t="n">
        <x:v>0.001587385279030396</x:v>
      </x:c>
      <x:c r="O401" s="35" t="n">
        <x:f>H401*M401*(1+N401)</x:f>
        <x:v>883.4000738161049</x:v>
      </x:c>
      <x:c r="P401" s="19" t="str">
        <x:f>IF(ABS(N401)&gt;'封面与口径'!$O$25,"机器调料需复核",IF(ABS(K401)&gt;0.02,"人工称重需复核","正常"))</x:f>
        <x:v>正常</x:v>
      </x:c>
      <x:c r="Q401" s="19" t="str">
        <x:v>宋海</x:v>
      </x:c>
    </x:row>
    <x:row r="402">
      <x:c r="A402" s="19" t="str">
        <x:v>2026-07-09|S04|D08</x:v>
      </x:c>
      <x:c r="B402" s="34" t="n">
        <x:v>46212.5</x:v>
      </x:c>
      <x:c r="C402" s="19" t="str">
        <x:v>S04</x:v>
      </x:c>
      <x:c r="D402" s="19" t="str">
        <x:v>金街美地店</x:v>
      </x:c>
      <x:c r="E402" s="19" t="str">
        <x:v>D08</x:v>
      </x:c>
      <x:c r="F402" s="19" t="str">
        <x:v>生炒清远鸡</x:v>
      </x:c>
      <x:c r="G402" s="19" t="str">
        <x:v>R1.0</x:v>
      </x:c>
      <x:c r="H402" s="20" t="n">
        <x:f>XLOOKUP(A402,'菜品日销量'!$A$5:$A$1124,'菜品日销量'!$G$5:$G$1124,0)</x:f>
        <x:v>12</x:v>
      </x:c>
      <x:c r="I402" s="20" t="n">
        <x:f>ROUNDUP(H402/2,0)</x:f>
        <x:v>6</x:v>
      </x:c>
      <x:c r="J402" s="22" t="n">
        <x:f>SUMIFS('菜谱BOM'!$F$5:$F$160,'菜谱BOM'!$A$5:$A$160,E402,'菜谱BOM'!$C$5:$C$160,"食材")</x:f>
        <x:v>610</x:v>
      </x:c>
      <x:c r="K402" s="38" t="n">
        <x:v>0.0044301364078256624</x:v>
      </x:c>
      <x:c r="L402" s="35" t="n">
        <x:f>H402*J402*(1+K402)</x:f>
        <x:v>7352.428598505284</x:v>
      </x:c>
      <x:c r="M402" s="35" t="n">
        <x:f>SUMIFS('菜谱BOM'!$F$5:$F$160,'菜谱BOM'!$A$5:$A$160,E402,'菜谱BOM'!$C$5:$C$160,"调料")</x:f>
        <x:v>61</x:v>
      </x:c>
      <x:c r="N402" s="38" t="n">
        <x:v>-0.0007506217366900812</x:v>
      </x:c>
      <x:c r="O402" s="35" t="n">
        <x:f>H402*M402*(1+N402)</x:f>
        <x:v>731.4505448887429</x:v>
      </x:c>
      <x:c r="P402" s="19" t="str">
        <x:f>IF(ABS(N402)&gt;'封面与口径'!$O$25,"机器调料需复核",IF(ABS(K402)&gt;0.02,"人工称重需复核","正常"))</x:f>
        <x:v>正常</x:v>
      </x:c>
      <x:c r="Q402" s="19" t="str">
        <x:v>宋海</x:v>
      </x:c>
    </x:row>
    <x:row r="403">
      <x:c r="A403" s="19" t="str">
        <x:v>2026-07-09|S04|D09</x:v>
      </x:c>
      <x:c r="B403" s="34" t="n">
        <x:v>46212.5</x:v>
      </x:c>
      <x:c r="C403" s="19" t="str">
        <x:v>S04</x:v>
      </x:c>
      <x:c r="D403" s="19" t="str">
        <x:v>金街美地店</x:v>
      </x:c>
      <x:c r="E403" s="19" t="str">
        <x:v>D09</x:v>
      </x:c>
      <x:c r="F403" s="19" t="str">
        <x:v>炒豆干</x:v>
      </x:c>
      <x:c r="G403" s="19" t="str">
        <x:v>R1.0</x:v>
      </x:c>
      <x:c r="H403" s="20" t="n">
        <x:f>XLOOKUP(A403,'菜品日销量'!$A$5:$A$1124,'菜品日销量'!$G$5:$G$1124,0)</x:f>
        <x:v>16</x:v>
      </x:c>
      <x:c r="I403" s="20" t="n">
        <x:f>ROUNDUP(H403/2,0)</x:f>
        <x:v>8</x:v>
      </x:c>
      <x:c r="J403" s="22" t="n">
        <x:f>SUMIFS('菜谱BOM'!$F$5:$F$160,'菜谱BOM'!$A$5:$A$160,E403,'菜谱BOM'!$C$5:$C$160,"食材")</x:f>
        <x:v>520</x:v>
      </x:c>
      <x:c r="K403" s="38" t="n">
        <x:v>0.005268489360173346</x:v>
      </x:c>
      <x:c r="L403" s="35" t="n">
        <x:f>H403*J403*(1+K403)</x:f>
        <x:v>8363.833831476642</x:v>
      </x:c>
      <x:c r="M403" s="35" t="n">
        <x:f>SUMIFS('菜谱BOM'!$F$5:$F$160,'菜谱BOM'!$A$5:$A$160,E403,'菜谱BOM'!$C$5:$C$160,"调料")</x:f>
        <x:v>42</x:v>
      </x:c>
      <x:c r="N403" s="38" t="n">
        <x:v>-0.0016045297439220665</x:v>
      </x:c>
      <x:c r="O403" s="35" t="n">
        <x:f>H403*M403*(1+N403)</x:f>
        <x:v>670.9217560120843</x:v>
      </x:c>
      <x:c r="P403" s="19" t="str">
        <x:f>IF(ABS(N403)&gt;'封面与口径'!$O$25,"机器调料需复核",IF(ABS(K403)&gt;0.02,"人工称重需复核","正常"))</x:f>
        <x:v>正常</x:v>
      </x:c>
      <x:c r="Q403" s="19" t="str">
        <x:v>宋海</x:v>
      </x:c>
    </x:row>
    <x:row r="404">
      <x:c r="A404" s="19" t="str">
        <x:v>2026-07-09|S04|D10</x:v>
      </x:c>
      <x:c r="B404" s="34" t="n">
        <x:v>46212.5</x:v>
      </x:c>
      <x:c r="C404" s="19" t="str">
        <x:v>S04</x:v>
      </x:c>
      <x:c r="D404" s="19" t="str">
        <x:v>金街美地店</x:v>
      </x:c>
      <x:c r="E404" s="19" t="str">
        <x:v>D10</x:v>
      </x:c>
      <x:c r="F404" s="19" t="str">
        <x:v>农家一碗香</x:v>
      </x:c>
      <x:c r="G404" s="19" t="str">
        <x:v>R2.3</x:v>
      </x:c>
      <x:c r="H404" s="20" t="n">
        <x:f>XLOOKUP(A404,'菜品日销量'!$A$5:$A$1124,'菜品日销量'!$G$5:$G$1124,0)</x:f>
        <x:v>17</x:v>
      </x:c>
      <x:c r="I404" s="20" t="n">
        <x:f>ROUNDUP(H404/2,0)</x:f>
        <x:v>9</x:v>
      </x:c>
      <x:c r="J404" s="22" t="n">
        <x:f>SUMIFS('菜谱BOM'!$F$5:$F$160,'菜谱BOM'!$A$5:$A$160,E404,'菜谱BOM'!$C$5:$C$160,"食材")</x:f>
        <x:v>510</x:v>
      </x:c>
      <x:c r="K404" s="38" t="n">
        <x:v>0.007163167826636501</x:v>
      </x:c>
      <x:c r="L404" s="35" t="n">
        <x:f>H404*J404*(1+K404)</x:f>
        <x:v>8732.104665056937</x:v>
      </x:c>
      <x:c r="M404" s="35" t="n">
        <x:f>SUMIFS('菜谱BOM'!$F$5:$F$160,'菜谱BOM'!$A$5:$A$160,E404,'菜谱BOM'!$C$5:$C$160,"调料")</x:f>
        <x:v>88</x:v>
      </x:c>
      <x:c r="N404" s="38" t="n">
        <x:v>0.00014102511157771237</x:v>
      </x:c>
      <x:c r="O404" s="35" t="n">
        <x:f>H404*M404*(1+N404)</x:f>
        <x:v>1496.21097356692</x:v>
      </x:c>
      <x:c r="P404" s="19" t="str">
        <x:f>IF(ABS(N404)&gt;'封面与口径'!$O$25,"机器调料需复核",IF(ABS(K404)&gt;0.02,"人工称重需复核","正常"))</x:f>
        <x:v>正常</x:v>
      </x:c>
      <x:c r="Q404" s="19" t="str">
        <x:v>宋海</x:v>
      </x:c>
    </x:row>
    <x:row r="405">
      <x:c r="A405" s="19" t="str">
        <x:v>2026-07-09|S04|D11</x:v>
      </x:c>
      <x:c r="B405" s="34" t="n">
        <x:v>46212.5</x:v>
      </x:c>
      <x:c r="C405" s="19" t="str">
        <x:v>S04</x:v>
      </x:c>
      <x:c r="D405" s="19" t="str">
        <x:v>金街美地店</x:v>
      </x:c>
      <x:c r="E405" s="19" t="str">
        <x:v>D11</x:v>
      </x:c>
      <x:c r="F405" s="19" t="str">
        <x:v>香辣爆肥肠</x:v>
      </x:c>
      <x:c r="G405" s="19" t="str">
        <x:v>R1.0</x:v>
      </x:c>
      <x:c r="H405" s="20" t="n">
        <x:f>XLOOKUP(A405,'菜品日销量'!$A$5:$A$1124,'菜品日销量'!$G$5:$G$1124,0)</x:f>
        <x:v>7</x:v>
      </x:c>
      <x:c r="I405" s="20" t="n">
        <x:f>ROUNDUP(H405/2,0)</x:f>
        <x:v>4</x:v>
      </x:c>
      <x:c r="J405" s="22" t="n">
        <x:f>SUMIFS('菜谱BOM'!$F$5:$F$160,'菜谱BOM'!$A$5:$A$160,E405,'菜谱BOM'!$C$5:$C$160,"食材")</x:f>
        <x:v>430</x:v>
      </x:c>
      <x:c r="K405" s="38" t="n">
        <x:v>-0.0022963265912365927</x:v>
      </x:c>
      <x:c r="L405" s="35" t="n">
        <x:f>H405*J405*(1+K405)</x:f>
        <x:v>3003.088056960378</x:v>
      </x:c>
      <x:c r="M405" s="35" t="n">
        <x:f>SUMIFS('菜谱BOM'!$F$5:$F$160,'菜谱BOM'!$A$5:$A$160,E405,'菜谱BOM'!$C$5:$C$160,"调料")</x:f>
        <x:v>67</x:v>
      </x:c>
      <x:c r="N405" s="38" t="n">
        <x:v>0.0005784165762780274</x:v>
      </x:c>
      <x:c r="O405" s="35" t="n">
        <x:f>H405*M405*(1+N405)</x:f>
        <x:v>469.2712773742744</x:v>
      </x:c>
      <x:c r="P405" s="19" t="str">
        <x:f>IF(ABS(N405)&gt;'封面与口径'!$O$25,"机器调料需复核",IF(ABS(K405)&gt;0.02,"人工称重需复核","正常"))</x:f>
        <x:v>正常</x:v>
      </x:c>
      <x:c r="Q405" s="19" t="str">
        <x:v>宋海</x:v>
      </x:c>
    </x:row>
    <x:row r="406">
      <x:c r="A406" s="19" t="str">
        <x:v>2026-07-09|S04|D13</x:v>
      </x:c>
      <x:c r="B406" s="34" t="n">
        <x:v>46212.5</x:v>
      </x:c>
      <x:c r="C406" s="19" t="str">
        <x:v>S04</x:v>
      </x:c>
      <x:c r="D406" s="19" t="str">
        <x:v>金街美地店</x:v>
      </x:c>
      <x:c r="E406" s="19" t="str">
        <x:v>D13</x:v>
      </x:c>
      <x:c r="F406" s="19" t="str">
        <x:v>外婆菜炒蛋</x:v>
      </x:c>
      <x:c r="G406" s="19" t="str">
        <x:v>R1.0</x:v>
      </x:c>
      <x:c r="H406" s="20" t="n">
        <x:f>XLOOKUP(A406,'菜品日销量'!$A$5:$A$1124,'菜品日销量'!$G$5:$G$1124,0)</x:f>
        <x:v>15</x:v>
      </x:c>
      <x:c r="I406" s="20" t="n">
        <x:f>ROUNDUP(H406/2,0)</x:f>
        <x:v>8</x:v>
      </x:c>
      <x:c r="J406" s="22" t="n">
        <x:f>SUMIFS('菜谱BOM'!$F$5:$F$160,'菜谱BOM'!$A$5:$A$160,E406,'菜谱BOM'!$C$5:$C$160,"食材")</x:f>
        <x:v>450</x:v>
      </x:c>
      <x:c r="K406" s="38" t="n">
        <x:v>-0.0021679976047407836</x:v>
      </x:c>
      <x:c r="L406" s="35" t="n">
        <x:f>H406*J406*(1+K406)</x:f>
        <x:v>6735.366016168</x:v>
      </x:c>
      <x:c r="M406" s="35" t="n">
        <x:f>SUMIFS('菜谱BOM'!$F$5:$F$160,'菜谱BOM'!$A$5:$A$160,E406,'菜谱BOM'!$C$5:$C$160,"调料")</x:f>
        <x:v>37</x:v>
      </x:c>
      <x:c r="N406" s="38" t="n">
        <x:v>-0.0013399278156785127</x:v>
      </x:c>
      <x:c r="O406" s="35" t="n">
        <x:f>H406*M406*(1+N406)</x:f>
        <x:v>554.2563400622985</x:v>
      </x:c>
      <x:c r="P406" s="19" t="str">
        <x:f>IF(ABS(N406)&gt;'封面与口径'!$O$25,"机器调料需复核",IF(ABS(K406)&gt;0.02,"人工称重需复核","正常"))</x:f>
        <x:v>正常</x:v>
      </x:c>
      <x:c r="Q406" s="19" t="str">
        <x:v>宋海</x:v>
      </x:c>
    </x:row>
    <x:row r="407">
      <x:c r="A407" s="19" t="str">
        <x:v>2026-07-09|S04|D14</x:v>
      </x:c>
      <x:c r="B407" s="34" t="n">
        <x:v>46212.5</x:v>
      </x:c>
      <x:c r="C407" s="19" t="str">
        <x:v>S04</x:v>
      </x:c>
      <x:c r="D407" s="19" t="str">
        <x:v>金街美地店</x:v>
      </x:c>
      <x:c r="E407" s="19" t="str">
        <x:v>D14</x:v>
      </x:c>
      <x:c r="F407" s="19" t="str">
        <x:v>酸辣鸡杂</x:v>
      </x:c>
      <x:c r="G407" s="19" t="str">
        <x:v>R1.0</x:v>
      </x:c>
      <x:c r="H407" s="20" t="n">
        <x:f>XLOOKUP(A407,'菜品日销量'!$A$5:$A$1124,'菜品日销量'!$G$5:$G$1124,0)</x:f>
        <x:v>9</x:v>
      </x:c>
      <x:c r="I407" s="20" t="n">
        <x:f>ROUNDUP(H407/2,0)</x:f>
        <x:v>5</x:v>
      </x:c>
      <x:c r="J407" s="22" t="n">
        <x:f>SUMIFS('菜谱BOM'!$F$5:$F$160,'菜谱BOM'!$A$5:$A$160,E407,'菜谱BOM'!$C$5:$C$160,"食材")</x:f>
        <x:v>470</x:v>
      </x:c>
      <x:c r="K407" s="38" t="n">
        <x:v>0.006190262563105268</x:v>
      </x:c>
      <x:c r="L407" s="35" t="n">
        <x:f>H407*J407*(1+K407)</x:f>
        <x:v>4256.184810641935</x:v>
      </x:c>
      <x:c r="M407" s="35" t="n">
        <x:f>SUMIFS('菜谱BOM'!$F$5:$F$160,'菜谱BOM'!$A$5:$A$160,E407,'菜谱BOM'!$C$5:$C$160,"调料")</x:f>
        <x:v>60</x:v>
      </x:c>
      <x:c r="N407" s="38" t="n">
        <x:v>-0.00023142290446707592</x:v>
      </x:c>
      <x:c r="O407" s="35" t="n">
        <x:f>H407*M407*(1+N407)</x:f>
        <x:v>539.8750316315877</x:v>
      </x:c>
      <x:c r="P407" s="19" t="str">
        <x:f>IF(ABS(N407)&gt;'封面与口径'!$O$25,"机器调料需复核",IF(ABS(K407)&gt;0.02,"人工称重需复核","正常"))</x:f>
        <x:v>正常</x:v>
      </x:c>
      <x:c r="Q407" s="19" t="str">
        <x:v>宋海</x:v>
      </x:c>
    </x:row>
    <x:row r="408">
      <x:c r="A408" s="19" t="str">
        <x:v>2026-07-09|S04|D15</x:v>
      </x:c>
      <x:c r="B408" s="34" t="n">
        <x:v>46212.5</x:v>
      </x:c>
      <x:c r="C408" s="19" t="str">
        <x:v>S04</x:v>
      </x:c>
      <x:c r="D408" s="19" t="str">
        <x:v>金街美地店</x:v>
      </x:c>
      <x:c r="E408" s="19" t="str">
        <x:v>D15</x:v>
      </x:c>
      <x:c r="F408" s="19" t="str">
        <x:v>湘西土匪猪肝</x:v>
      </x:c>
      <x:c r="G408" s="19" t="str">
        <x:v>R1.0</x:v>
      </x:c>
      <x:c r="H408" s="20" t="n">
        <x:f>XLOOKUP(A408,'菜品日销量'!$A$5:$A$1124,'菜品日销量'!$G$5:$G$1124,0)</x:f>
        <x:v>7</x:v>
      </x:c>
      <x:c r="I408" s="20" t="n">
        <x:f>ROUNDUP(H408/2,0)</x:f>
        <x:v>4</x:v>
      </x:c>
      <x:c r="J408" s="22" t="n">
        <x:f>SUMIFS('菜谱BOM'!$F$5:$F$160,'菜谱BOM'!$A$5:$A$160,E408,'菜谱BOM'!$C$5:$C$160,"食材")</x:f>
        <x:v>470</x:v>
      </x:c>
      <x:c r="K408" s="38" t="n">
        <x:v>-0.003269231854767826</x:v>
      </x:c>
      <x:c r="L408" s="35" t="n">
        <x:f>H408*J408*(1+K408)</x:f>
        <x:v>3279.244227197814</x:v>
      </x:c>
      <x:c r="M408" s="35" t="n">
        <x:f>SUMIFS('菜谱BOM'!$F$5:$F$160,'菜谱BOM'!$A$5:$A$160,E408,'菜谱BOM'!$C$5:$C$160,"调料")</x:f>
        <x:v>49</x:v>
      </x:c>
      <x:c r="N408" s="38" t="n">
        <x:v>-0.0001904199109856086</x:v>
      </x:c>
      <x:c r="O408" s="35" t="n">
        <x:f>H408*M408*(1+N408)</x:f>
        <x:v>342.934685970532</x:v>
      </x:c>
      <x:c r="P408" s="19" t="str">
        <x:f>IF(ABS(N408)&gt;'封面与口径'!$O$25,"机器调料需复核",IF(ABS(K408)&gt;0.02,"人工称重需复核","正常"))</x:f>
        <x:v>正常</x:v>
      </x:c>
      <x:c r="Q408" s="19" t="str">
        <x:v>宋海</x:v>
      </x:c>
    </x:row>
    <x:row r="409">
      <x:c r="A409" s="19" t="str">
        <x:v>2026-07-09|S04|D16</x:v>
      </x:c>
      <x:c r="B409" s="34" t="n">
        <x:v>46212.5</x:v>
      </x:c>
      <x:c r="C409" s="19" t="str">
        <x:v>S04</x:v>
      </x:c>
      <x:c r="D409" s="19" t="str">
        <x:v>金街美地店</x:v>
      </x:c>
      <x:c r="E409" s="19" t="str">
        <x:v>D16</x:v>
      </x:c>
      <x:c r="F409" s="19" t="str">
        <x:v>小豆角炒五花</x:v>
      </x:c>
      <x:c r="G409" s="19" t="str">
        <x:v>R1.0</x:v>
      </x:c>
      <x:c r="H409" s="20" t="n">
        <x:f>XLOOKUP(A409,'菜品日销量'!$A$5:$A$1124,'菜品日销量'!$G$5:$G$1124,0)</x:f>
        <x:v>7</x:v>
      </x:c>
      <x:c r="I409" s="20" t="n">
        <x:f>ROUNDUP(H409/2,0)</x:f>
        <x:v>4</x:v>
      </x:c>
      <x:c r="J409" s="22" t="n">
        <x:f>SUMIFS('菜谱BOM'!$F$5:$F$160,'菜谱BOM'!$A$5:$A$160,E409,'菜谱BOM'!$C$5:$C$160,"食材")</x:f>
        <x:v>450</x:v>
      </x:c>
      <x:c r="K409" s="38" t="n">
        <x:v>0.000879995567928999</x:v>
      </x:c>
      <x:c r="L409" s="35" t="n">
        <x:f>H409*J409*(1+K409)</x:f>
        <x:v>3152.7719860389766</x:v>
      </x:c>
      <x:c r="M409" s="35" t="n">
        <x:f>SUMIFS('菜谱BOM'!$F$5:$F$160,'菜谱BOM'!$A$5:$A$160,E409,'菜谱BOM'!$C$5:$C$160,"调料")</x:f>
        <x:v>42</x:v>
      </x:c>
      <x:c r="N409" s="38" t="n">
        <x:v>-0.0018968641031293348</x:v>
      </x:c>
      <x:c r="O409" s="35" t="n">
        <x:f>H409*M409*(1+N409)</x:f>
        <x:v>293.44232195368</x:v>
      </x:c>
      <x:c r="P409" s="19" t="str">
        <x:f>IF(ABS(N409)&gt;'封面与口径'!$O$25,"机器调料需复核",IF(ABS(K409)&gt;0.02,"人工称重需复核","正常"))</x:f>
        <x:v>正常</x:v>
      </x:c>
      <x:c r="Q409" s="19" t="str">
        <x:v>宋海</x:v>
      </x:c>
    </x:row>
    <x:row r="410">
      <x:c r="A410" s="19" t="str">
        <x:v>2026-07-09|S04|D18</x:v>
      </x:c>
      <x:c r="B410" s="34" t="n">
        <x:v>46212.5</x:v>
      </x:c>
      <x:c r="C410" s="19" t="str">
        <x:v>S04</x:v>
      </x:c>
      <x:c r="D410" s="19" t="str">
        <x:v>金街美地店</x:v>
      </x:c>
      <x:c r="E410" s="19" t="str">
        <x:v>D18</x:v>
      </x:c>
      <x:c r="F410" s="19" t="str">
        <x:v>青椒炒油麦菜</x:v>
      </x:c>
      <x:c r="G410" s="19" t="str">
        <x:v>R1.0</x:v>
      </x:c>
      <x:c r="H410" s="20" t="n">
        <x:f>XLOOKUP(A410,'菜品日销量'!$A$5:$A$1124,'菜品日销量'!$G$5:$G$1124,0)</x:f>
        <x:v>8</x:v>
      </x:c>
      <x:c r="I410" s="20" t="n">
        <x:f>ROUNDUP(H410/2,0)</x:f>
        <x:v>4</x:v>
      </x:c>
      <x:c r="J410" s="22" t="n">
        <x:f>SUMIFS('菜谱BOM'!$F$5:$F$160,'菜谱BOM'!$A$5:$A$160,E410,'菜谱BOM'!$C$5:$C$160,"食材")</x:f>
        <x:v>430</x:v>
      </x:c>
      <x:c r="K410" s="38" t="n">
        <x:v>-0.004994122724280257</x:v>
      </x:c>
      <x:c r="L410" s="35" t="n">
        <x:f>H410*J410*(1+K410)</x:f>
        <x:v>3422.820217828476</x:v>
      </x:c>
      <x:c r="M410" s="35" t="n">
        <x:f>SUMIFS('菜谱BOM'!$F$5:$F$160,'菜谱BOM'!$A$5:$A$160,E410,'菜谱BOM'!$C$5:$C$160,"调料")</x:f>
        <x:v>33</x:v>
      </x:c>
      <x:c r="N410" s="38" t="n">
        <x:v>-0.00008730915889314117</x:v>
      </x:c>
      <x:c r="O410" s="35" t="n">
        <x:f>H410*M410*(1+N410)</x:f>
        <x:v>263.9769503820522</x:v>
      </x:c>
      <x:c r="P410" s="19" t="str">
        <x:f>IF(ABS(N410)&gt;'封面与口径'!$O$25,"机器调料需复核",IF(ABS(K410)&gt;0.02,"人工称重需复核","正常"))</x:f>
        <x:v>正常</x:v>
      </x:c>
      <x:c r="Q410" s="19" t="str">
        <x:v>宋海</x:v>
      </x:c>
    </x:row>
    <x:row r="411">
      <x:c r="A411" s="19" t="str">
        <x:v>2026-07-09|S04|D19</x:v>
      </x:c>
      <x:c r="B411" s="34" t="n">
        <x:v>46212.5</x:v>
      </x:c>
      <x:c r="C411" s="19" t="str">
        <x:v>S04</x:v>
      </x:c>
      <x:c r="D411" s="19" t="str">
        <x:v>金街美地店</x:v>
      </x:c>
      <x:c r="E411" s="19" t="str">
        <x:v>D19</x:v>
      </x:c>
      <x:c r="F411" s="19" t="str">
        <x:v>酸萝卜炒鸡杂</x:v>
      </x:c>
      <x:c r="G411" s="19" t="str">
        <x:v>R1.0</x:v>
      </x:c>
      <x:c r="H411" s="20" t="n">
        <x:f>XLOOKUP(A411,'菜品日销量'!$A$5:$A$1124,'菜品日销量'!$G$5:$G$1124,0)</x:f>
        <x:v>5</x:v>
      </x:c>
      <x:c r="I411" s="20" t="n">
        <x:f>ROUNDUP(H411/2,0)</x:f>
        <x:v>3</x:v>
      </x:c>
      <x:c r="J411" s="22" t="n">
        <x:f>SUMIFS('菜谱BOM'!$F$5:$F$160,'菜谱BOM'!$A$5:$A$160,E411,'菜谱BOM'!$C$5:$C$160,"食材")</x:f>
        <x:v>500</x:v>
      </x:c>
      <x:c r="K411" s="38" t="n">
        <x:v>0.0037229457673902963</x:v>
      </x:c>
      <x:c r="L411" s="35" t="n">
        <x:f>H411*J411*(1+K411)</x:f>
        <x:v>2509.307364418476</x:v>
      </x:c>
      <x:c r="M411" s="35" t="n">
        <x:f>SUMIFS('菜谱BOM'!$F$5:$F$160,'菜谱BOM'!$A$5:$A$160,E411,'菜谱BOM'!$C$5:$C$160,"调料")</x:f>
        <x:v>55</x:v>
      </x:c>
      <x:c r="N411" s="38" t="n">
        <x:v>-0.0011945869650679143</x:v>
      </x:c>
      <x:c r="O411" s="35" t="n">
        <x:f>H411*M411*(1+N411)</x:f>
        <x:v>274.6714885846063</x:v>
      </x:c>
      <x:c r="P411" s="19" t="str">
        <x:f>IF(ABS(N411)&gt;'封面与口径'!$O$25,"机器调料需复核",IF(ABS(K411)&gt;0.02,"人工称重需复核","正常"))</x:f>
        <x:v>正常</x:v>
      </x:c>
      <x:c r="Q411" s="19" t="str">
        <x:v>宋海</x:v>
      </x:c>
    </x:row>
    <x:row r="412">
      <x:c r="A412" s="19" t="str">
        <x:v>2026-07-09|S04|D20</x:v>
      </x:c>
      <x:c r="B412" s="34" t="n">
        <x:v>46212.5</x:v>
      </x:c>
      <x:c r="C412" s="19" t="str">
        <x:v>S04</x:v>
      </x:c>
      <x:c r="D412" s="19" t="str">
        <x:v>金街美地店</x:v>
      </x:c>
      <x:c r="E412" s="19" t="str">
        <x:v>D20</x:v>
      </x:c>
      <x:c r="F412" s="19" t="str">
        <x:v>雪菜肉末青豆</x:v>
      </x:c>
      <x:c r="G412" s="19" t="str">
        <x:v>R1.0</x:v>
      </x:c>
      <x:c r="H412" s="20" t="n">
        <x:f>XLOOKUP(A412,'菜品日销量'!$A$5:$A$1124,'菜品日销量'!$G$5:$G$1124,0)</x:f>
        <x:v>8</x:v>
      </x:c>
      <x:c r="I412" s="20" t="n">
        <x:f>ROUNDUP(H412/2,0)</x:f>
        <x:v>4</x:v>
      </x:c>
      <x:c r="J412" s="22" t="n">
        <x:f>SUMIFS('菜谱BOM'!$F$5:$F$160,'菜谱BOM'!$A$5:$A$160,E412,'菜谱BOM'!$C$5:$C$160,"食材")</x:f>
        <x:v>465</x:v>
      </x:c>
      <x:c r="K412" s="38" t="n">
        <x:v>0.004899762067221982</x:v>
      </x:c>
      <x:c r="L412" s="35" t="n">
        <x:f>H412*J412*(1+K412)</x:f>
        <x:v>3738.227114890066</x:v>
      </x:c>
      <x:c r="M412" s="35" t="n">
        <x:f>SUMIFS('菜谱BOM'!$F$5:$F$160,'菜谱BOM'!$A$5:$A$160,E412,'菜谱BOM'!$C$5:$C$160,"调料")</x:f>
        <x:v>32</x:v>
      </x:c>
      <x:c r="N412" s="38" t="n">
        <x:v>-0.0019065928524142582</x:v>
      </x:c>
      <x:c r="O412" s="35" t="n">
        <x:f>H412*M412*(1+N412)</x:f>
        <x:v>255.51191222978196</x:v>
      </x:c>
      <x:c r="P412" s="19" t="str">
        <x:f>IF(ABS(N412)&gt;'封面与口径'!$O$25,"机器调料需复核",IF(ABS(K412)&gt;0.02,"人工称重需复核","正常"))</x:f>
        <x:v>正常</x:v>
      </x:c>
      <x:c r="Q412" s="19" t="str">
        <x:v>宋海</x:v>
      </x:c>
    </x:row>
    <x:row r="413">
      <x:c r="A413" s="19" t="str">
        <x:v>2026-07-10|S04|D01</x:v>
      </x:c>
      <x:c r="B413" s="34" t="n">
        <x:v>46213.5</x:v>
      </x:c>
      <x:c r="C413" s="19" t="str">
        <x:v>S04</x:v>
      </x:c>
      <x:c r="D413" s="19" t="str">
        <x:v>金街美地店</x:v>
      </x:c>
      <x:c r="E413" s="19" t="str">
        <x:v>D01</x:v>
      </x:c>
      <x:c r="F413" s="19" t="str">
        <x:v>辣椒炒肉</x:v>
      </x:c>
      <x:c r="G413" s="19" t="str">
        <x:v>R2.3</x:v>
      </x:c>
      <x:c r="H413" s="20" t="n">
        <x:f>XLOOKUP(A413,'菜品日销量'!$A$5:$A$1124,'菜品日销量'!$G$5:$G$1124,0)</x:f>
        <x:v>51</x:v>
      </x:c>
      <x:c r="I413" s="20" t="n">
        <x:f>ROUNDUP(H413/2,0)</x:f>
        <x:v>26</x:v>
      </x:c>
      <x:c r="J413" s="22" t="n">
        <x:f>SUMIFS('菜谱BOM'!$F$5:$F$160,'菜谱BOM'!$A$5:$A$160,E413,'菜谱BOM'!$C$5:$C$160,"食材")</x:f>
        <x:v>550</x:v>
      </x:c>
      <x:c r="K413" s="38" t="n">
        <x:v>0.00017182967629559087</x:v>
      </x:c>
      <x:c r="L413" s="35" t="n">
        <x:f>H413*J413*(1+K413)</x:f>
        <x:v>28054.81982242009</x:v>
      </x:c>
      <x:c r="M413" s="35" t="n">
        <x:f>SUMIFS('菜谱BOM'!$F$5:$F$160,'菜谱BOM'!$A$5:$A$160,E413,'菜谱BOM'!$C$5:$C$160,"调料")</x:f>
        <x:v>104</x:v>
      </x:c>
      <x:c r="N413" s="38" t="n">
        <x:v>-0.0017193401865007684</x:v>
      </x:c>
      <x:c r="O413" s="35" t="n">
        <x:f>H413*M413*(1+N413)</x:f>
        <x:v>5294.8806196508</x:v>
      </x:c>
      <x:c r="P413" s="19" t="str">
        <x:f>IF(ABS(N413)&gt;'封面与口径'!$O$25,"机器调料需复核",IF(ABS(K413)&gt;0.02,"人工称重需复核","正常"))</x:f>
        <x:v>正常</x:v>
      </x:c>
      <x:c r="Q413" s="19" t="str">
        <x:v>宋海</x:v>
      </x:c>
    </x:row>
    <x:row r="414">
      <x:c r="A414" s="19" t="str">
        <x:v>2026-07-10|S04|D02</x:v>
      </x:c>
      <x:c r="B414" s="34" t="n">
        <x:v>46213.5</x:v>
      </x:c>
      <x:c r="C414" s="19" t="str">
        <x:v>S04</x:v>
      </x:c>
      <x:c r="D414" s="19" t="str">
        <x:v>金街美地店</x:v>
      </x:c>
      <x:c r="E414" s="19" t="str">
        <x:v>D02</x:v>
      </x:c>
      <x:c r="F414" s="19" t="str">
        <x:v>小炒黄牛肉</x:v>
      </x:c>
      <x:c r="G414" s="19" t="str">
        <x:v>R2.3</x:v>
      </x:c>
      <x:c r="H414" s="20" t="n">
        <x:f>XLOOKUP(A414,'菜品日销量'!$A$5:$A$1124,'菜品日销量'!$G$5:$G$1124,0)</x:f>
        <x:v>33</x:v>
      </x:c>
      <x:c r="I414" s="20" t="n">
        <x:f>ROUNDUP(H414/2,0)</x:f>
        <x:v>17</x:v>
      </x:c>
      <x:c r="J414" s="22" t="n">
        <x:f>SUMIFS('菜谱BOM'!$F$5:$F$160,'菜谱BOM'!$A$5:$A$160,E414,'菜谱BOM'!$C$5:$C$160,"食材")</x:f>
        <x:v>560</x:v>
      </x:c>
      <x:c r="K414" s="38" t="n">
        <x:v>-0.0043982154346067035</x:v>
      </x:c>
      <x:c r="L414" s="35" t="n">
        <x:f>H414*J414*(1+K414)</x:f>
        <x:v>18398.720978768466</x:v>
      </x:c>
      <x:c r="M414" s="35" t="n">
        <x:f>SUMIFS('菜谱BOM'!$F$5:$F$160,'菜谱BOM'!$A$5:$A$160,E414,'菜谱BOM'!$C$5:$C$160,"调料")</x:f>
        <x:v>133</x:v>
      </x:c>
      <x:c r="N414" s="38" t="n">
        <x:v>-0.0016330744073803246</x:v>
      </x:c>
      <x:c r="O414" s="35" t="n">
        <x:f>H414*M414*(1+N414)</x:f>
        <x:v>4381.832436426008</x:v>
      </x:c>
      <x:c r="P414" s="19" t="str">
        <x:f>IF(ABS(N414)&gt;'封面与口径'!$O$25,"机器调料需复核",IF(ABS(K414)&gt;0.02,"人工称重需复核","正常"))</x:f>
        <x:v>正常</x:v>
      </x:c>
      <x:c r="Q414" s="19" t="str">
        <x:v>宋海</x:v>
      </x:c>
    </x:row>
    <x:row r="415">
      <x:c r="A415" s="19" t="str">
        <x:v>2026-07-10|S04|D03</x:v>
      </x:c>
      <x:c r="B415" s="34" t="n">
        <x:v>46213.5</x:v>
      </x:c>
      <x:c r="C415" s="19" t="str">
        <x:v>S04</x:v>
      </x:c>
      <x:c r="D415" s="19" t="str">
        <x:v>金街美地店</x:v>
      </x:c>
      <x:c r="E415" s="19" t="str">
        <x:v>D03</x:v>
      </x:c>
      <x:c r="F415" s="19" t="str">
        <x:v>香醋炒蛋</x:v>
      </x:c>
      <x:c r="G415" s="19" t="str">
        <x:v>R1.0</x:v>
      </x:c>
      <x:c r="H415" s="20" t="n">
        <x:f>XLOOKUP(A415,'菜品日销量'!$A$5:$A$1124,'菜品日销量'!$G$5:$G$1124,0)</x:f>
        <x:v>44</x:v>
      </x:c>
      <x:c r="I415" s="20" t="n">
        <x:f>ROUNDUP(H415/2,0)</x:f>
        <x:v>22</x:v>
      </x:c>
      <x:c r="J415" s="22" t="n">
        <x:f>SUMIFS('菜谱BOM'!$F$5:$F$160,'菜谱BOM'!$A$5:$A$160,E415,'菜谱BOM'!$C$5:$C$160,"食材")</x:f>
        <x:v>300</x:v>
      </x:c>
      <x:c r="K415" s="38" t="n">
        <x:v>-0.00235102634372912</x:v>
      </x:c>
      <x:c r="L415" s="35" t="n">
        <x:f>H415*J415*(1+K415)</x:f>
        <x:v>13168.966452262775</x:v>
      </x:c>
      <x:c r="M415" s="35" t="n">
        <x:f>SUMIFS('菜谱BOM'!$F$5:$F$160,'菜谱BOM'!$A$5:$A$160,E415,'菜谱BOM'!$C$5:$C$160,"调料")</x:f>
        <x:v>53</x:v>
      </x:c>
      <x:c r="N415" s="38" t="n">
        <x:v>-0.0010243313850425958</x:v>
      </x:c>
      <x:c r="O415" s="35" t="n">
        <x:f>H415*M415*(1+N415)</x:f>
        <x:v>2329.611259210081</x:v>
      </x:c>
      <x:c r="P415" s="19" t="str">
        <x:f>IF(ABS(N415)&gt;'封面与口径'!$O$25,"机器调料需复核",IF(ABS(K415)&gt;0.02,"人工称重需复核","正常"))</x:f>
        <x:v>正常</x:v>
      </x:c>
      <x:c r="Q415" s="19" t="str">
        <x:v>宋海</x:v>
      </x:c>
    </x:row>
    <x:row r="416">
      <x:c r="A416" s="19" t="str">
        <x:v>2026-07-10|S04|D04</x:v>
      </x:c>
      <x:c r="B416" s="34" t="n">
        <x:v>46213.5</x:v>
      </x:c>
      <x:c r="C416" s="19" t="str">
        <x:v>S04</x:v>
      </x:c>
      <x:c r="D416" s="19" t="str">
        <x:v>金街美地店</x:v>
      </x:c>
      <x:c r="E416" s="19" t="str">
        <x:v>D04</x:v>
      </x:c>
      <x:c r="F416" s="19" t="str">
        <x:v>酸包菜炒粉皮</x:v>
      </x:c>
      <x:c r="G416" s="19" t="str">
        <x:v>R1.0</x:v>
      </x:c>
      <x:c r="H416" s="20" t="n">
        <x:f>XLOOKUP(A416,'菜品日销量'!$A$5:$A$1124,'菜品日销量'!$G$5:$G$1124,0)</x:f>
        <x:v>36</x:v>
      </x:c>
      <x:c r="I416" s="20" t="n">
        <x:f>ROUNDUP(H416/2,0)</x:f>
        <x:v>18</x:v>
      </x:c>
      <x:c r="J416" s="22" t="n">
        <x:f>SUMIFS('菜谱BOM'!$F$5:$F$160,'菜谱BOM'!$A$5:$A$160,E416,'菜谱BOM'!$C$5:$C$160,"食材")</x:f>
        <x:v>380</x:v>
      </x:c>
      <x:c r="K416" s="38" t="n">
        <x:v>0.0011291797331369439</x:v>
      </x:c>
      <x:c r="L416" s="35" t="n">
        <x:f>H416*J416*(1+K416)</x:f>
        <x:v>13695.447178749313</x:v>
      </x:c>
      <x:c r="M416" s="35" t="n">
        <x:f>SUMIFS('菜谱BOM'!$F$5:$F$160,'菜谱BOM'!$A$5:$A$160,E416,'菜谱BOM'!$C$5:$C$160,"调料")</x:f>
        <x:v>47</x:v>
      </x:c>
      <x:c r="N416" s="38" t="n">
        <x:v>-0.0017137317237709024</x:v>
      </x:c>
      <x:c r="O416" s="35" t="n">
        <x:f>H416*M416*(1+N416)</x:f>
        <x:v>1689.1003659233797</x:v>
      </x:c>
      <x:c r="P416" s="19" t="str">
        <x:f>IF(ABS(N416)&gt;'封面与口径'!$O$25,"机器调料需复核",IF(ABS(K416)&gt;0.02,"人工称重需复核","正常"))</x:f>
        <x:v>正常</x:v>
      </x:c>
      <x:c r="Q416" s="19" t="str">
        <x:v>宋海</x:v>
      </x:c>
    </x:row>
    <x:row r="417">
      <x:c r="A417" s="19" t="str">
        <x:v>2026-07-10|S04|D05</x:v>
      </x:c>
      <x:c r="B417" s="34" t="n">
        <x:v>46213.5</x:v>
      </x:c>
      <x:c r="C417" s="19" t="str">
        <x:v>S04</x:v>
      </x:c>
      <x:c r="D417" s="19" t="str">
        <x:v>金街美地店</x:v>
      </x:c>
      <x:c r="E417" s="19" t="str">
        <x:v>D05</x:v>
      </x:c>
      <x:c r="F417" s="19" t="str">
        <x:v>麻婆豆腐</x:v>
      </x:c>
      <x:c r="G417" s="19" t="str">
        <x:v>R1.0</x:v>
      </x:c>
      <x:c r="H417" s="20" t="n">
        <x:f>XLOOKUP(A417,'菜品日销量'!$A$5:$A$1124,'菜品日销量'!$G$5:$G$1124,0)</x:f>
        <x:v>54</x:v>
      </x:c>
      <x:c r="I417" s="20" t="n">
        <x:f>ROUNDUP(H417/2,0)</x:f>
        <x:v>27</x:v>
      </x:c>
      <x:c r="J417" s="22" t="n">
        <x:f>SUMIFS('菜谱BOM'!$F$5:$F$160,'菜谱BOM'!$A$5:$A$160,E417,'菜谱BOM'!$C$5:$C$160,"食材")</x:f>
        <x:v>505</x:v>
      </x:c>
      <x:c r="K417" s="38" t="n">
        <x:v>0.005294083080555797</x:v>
      </x:c>
      <x:c r="L417" s="35" t="n">
        <x:f>H417*J417*(1+K417)</x:f>
        <x:v>27414.36964560676</x:v>
      </x:c>
      <x:c r="M417" s="35" t="n">
        <x:f>SUMIFS('菜谱BOM'!$F$5:$F$160,'菜谱BOM'!$A$5:$A$160,E417,'菜谱BOM'!$C$5:$C$160,"调料")</x:f>
        <x:v>90</x:v>
      </x:c>
      <x:c r="N417" s="38" t="n">
        <x:v>-0.0006506787162857779</x:v>
      </x:c>
      <x:c r="O417" s="35" t="n">
        <x:f>H417*M417*(1+N417)</x:f>
        <x:v>4856.837701438852</x:v>
      </x:c>
      <x:c r="P417" s="19" t="str">
        <x:f>IF(ABS(N417)&gt;'封面与口径'!$O$25,"机器调料需复核",IF(ABS(K417)&gt;0.02,"人工称重需复核","正常"))</x:f>
        <x:v>正常</x:v>
      </x:c>
      <x:c r="Q417" s="19" t="str">
        <x:v>宋海</x:v>
      </x:c>
    </x:row>
    <x:row r="418">
      <x:c r="A418" s="19" t="str">
        <x:v>2026-07-10|S04|D07</x:v>
      </x:c>
      <x:c r="B418" s="34" t="n">
        <x:v>46213.5</x:v>
      </x:c>
      <x:c r="C418" s="19" t="str">
        <x:v>S04</x:v>
      </x:c>
      <x:c r="D418" s="19" t="str">
        <x:v>金街美地店</x:v>
      </x:c>
      <x:c r="E418" s="19" t="str">
        <x:v>D07</x:v>
      </x:c>
      <x:c r="F418" s="19" t="str">
        <x:v>川味回锅肉</x:v>
      </x:c>
      <x:c r="G418" s="19" t="str">
        <x:v>R1.0</x:v>
      </x:c>
      <x:c r="H418" s="20" t="n">
        <x:f>XLOOKUP(A418,'菜品日销量'!$A$5:$A$1124,'菜品日销量'!$G$5:$G$1124,0)</x:f>
        <x:v>15</x:v>
      </x:c>
      <x:c r="I418" s="20" t="n">
        <x:f>ROUNDUP(H418/2,0)</x:f>
        <x:v>8</x:v>
      </x:c>
      <x:c r="J418" s="22" t="n">
        <x:f>SUMIFS('菜谱BOM'!$F$5:$F$160,'菜谱BOM'!$A$5:$A$160,E418,'菜谱BOM'!$C$5:$C$160,"食材")</x:f>
        <x:v>450</x:v>
      </x:c>
      <x:c r="K418" s="38" t="n">
        <x:v>0.0037971707572688287</x:v>
      </x:c>
      <x:c r="L418" s="35" t="n">
        <x:f>H418*J418*(1+K418)</x:f>
        <x:v>6775.630902611564</x:v>
      </x:c>
      <x:c r="M418" s="35" t="n">
        <x:f>SUMIFS('菜谱BOM'!$F$5:$F$160,'菜谱BOM'!$A$5:$A$160,E418,'菜谱BOM'!$C$5:$C$160,"调料")</x:f>
        <x:v>63</x:v>
      </x:c>
      <x:c r="N418" s="38" t="n">
        <x:v>-0.0017167060132410158</x:v>
      </x:c>
      <x:c r="O418" s="35" t="n">
        <x:f>H418*M418*(1+N418)</x:f>
        <x:v>943.3777128174872</x:v>
      </x:c>
      <x:c r="P418" s="19" t="str">
        <x:f>IF(ABS(N418)&gt;'封面与口径'!$O$25,"机器调料需复核",IF(ABS(K418)&gt;0.02,"人工称重需复核","正常"))</x:f>
        <x:v>正常</x:v>
      </x:c>
      <x:c r="Q418" s="19" t="str">
        <x:v>宋海</x:v>
      </x:c>
    </x:row>
    <x:row r="419">
      <x:c r="A419" s="19" t="str">
        <x:v>2026-07-10|S04|D08</x:v>
      </x:c>
      <x:c r="B419" s="34" t="n">
        <x:v>46213.5</x:v>
      </x:c>
      <x:c r="C419" s="19" t="str">
        <x:v>S04</x:v>
      </x:c>
      <x:c r="D419" s="19" t="str">
        <x:v>金街美地店</x:v>
      </x:c>
      <x:c r="E419" s="19" t="str">
        <x:v>D08</x:v>
      </x:c>
      <x:c r="F419" s="19" t="str">
        <x:v>生炒清远鸡</x:v>
      </x:c>
      <x:c r="G419" s="19" t="str">
        <x:v>R1.0</x:v>
      </x:c>
      <x:c r="H419" s="20" t="n">
        <x:f>XLOOKUP(A419,'菜品日销量'!$A$5:$A$1124,'菜品日销量'!$G$5:$G$1124,0)</x:f>
        <x:v>12</x:v>
      </x:c>
      <x:c r="I419" s="20" t="n">
        <x:f>ROUNDUP(H419/2,0)</x:f>
        <x:v>6</x:v>
      </x:c>
      <x:c r="J419" s="22" t="n">
        <x:f>SUMIFS('菜谱BOM'!$F$5:$F$160,'菜谱BOM'!$A$5:$A$160,E419,'菜谱BOM'!$C$5:$C$160,"食材")</x:f>
        <x:v>610</x:v>
      </x:c>
      <x:c r="K419" s="38" t="n">
        <x:v>-0.00584136831710147</x:v>
      </x:c>
      <x:c r="L419" s="35" t="n">
        <x:f>H419*J419*(1+K419)</x:f>
        <x:v>7277.241183918817</x:v>
      </x:c>
      <x:c r="M419" s="35" t="n">
        <x:f>SUMIFS('菜谱BOM'!$F$5:$F$160,'菜谱BOM'!$A$5:$A$160,E419,'菜谱BOM'!$C$5:$C$160,"调料")</x:f>
        <x:v>61</x:v>
      </x:c>
      <x:c r="N419" s="38" t="n">
        <x:v>-0.0017483100136155985</x:v>
      </x:c>
      <x:c r="O419" s="35" t="n">
        <x:f>H419*M419*(1+N419)</x:f>
        <x:v>730.7202370700334</x:v>
      </x:c>
      <x:c r="P419" s="19" t="str">
        <x:f>IF(ABS(N419)&gt;'封面与口径'!$O$25,"机器调料需复核",IF(ABS(K419)&gt;0.02,"人工称重需复核","正常"))</x:f>
        <x:v>正常</x:v>
      </x:c>
      <x:c r="Q419" s="19" t="str">
        <x:v>宋海</x:v>
      </x:c>
    </x:row>
    <x:row r="420">
      <x:c r="A420" s="19" t="str">
        <x:v>2026-07-10|S04|D09</x:v>
      </x:c>
      <x:c r="B420" s="34" t="n">
        <x:v>46213.5</x:v>
      </x:c>
      <x:c r="C420" s="19" t="str">
        <x:v>S04</x:v>
      </x:c>
      <x:c r="D420" s="19" t="str">
        <x:v>金街美地店</x:v>
      </x:c>
      <x:c r="E420" s="19" t="str">
        <x:v>D09</x:v>
      </x:c>
      <x:c r="F420" s="19" t="str">
        <x:v>炒豆干</x:v>
      </x:c>
      <x:c r="G420" s="19" t="str">
        <x:v>R1.0</x:v>
      </x:c>
      <x:c r="H420" s="20" t="n">
        <x:f>XLOOKUP(A420,'菜品日销量'!$A$5:$A$1124,'菜品日销量'!$G$5:$G$1124,0)</x:f>
        <x:v>16</x:v>
      </x:c>
      <x:c r="I420" s="20" t="n">
        <x:f>ROUNDUP(H420/2,0)</x:f>
        <x:v>8</x:v>
      </x:c>
      <x:c r="J420" s="22" t="n">
        <x:f>SUMIFS('菜谱BOM'!$F$5:$F$160,'菜谱BOM'!$A$5:$A$160,E420,'菜谱BOM'!$C$5:$C$160,"食材")</x:f>
        <x:v>520</x:v>
      </x:c>
      <x:c r="K420" s="38" t="n">
        <x:v>-0.003698142583411686</x:v>
      </x:c>
      <x:c r="L420" s="35" t="n">
        <x:f>H420*J420*(1+K420)</x:f>
        <x:v>8289.231453706014</x:v>
      </x:c>
      <x:c r="M420" s="35" t="n">
        <x:f>SUMIFS('菜谱BOM'!$F$5:$F$160,'菜谱BOM'!$A$5:$A$160,E420,'菜谱BOM'!$C$5:$C$160,"调料")</x:f>
        <x:v>42</x:v>
      </x:c>
      <x:c r="N420" s="38" t="n">
        <x:v>-0.0014381348973694572</x:v>
      </x:c>
      <x:c r="O420" s="35" t="n">
        <x:f>H420*M420*(1+N420)</x:f>
        <x:v>671.0335733489677</x:v>
      </x:c>
      <x:c r="P420" s="19" t="str">
        <x:f>IF(ABS(N420)&gt;'封面与口径'!$O$25,"机器调料需复核",IF(ABS(K420)&gt;0.02,"人工称重需复核","正常"))</x:f>
        <x:v>正常</x:v>
      </x:c>
      <x:c r="Q420" s="19" t="str">
        <x:v>宋海</x:v>
      </x:c>
    </x:row>
    <x:row r="421">
      <x:c r="A421" s="19" t="str">
        <x:v>2026-07-10|S04|D10</x:v>
      </x:c>
      <x:c r="B421" s="34" t="n">
        <x:v>46213.5</x:v>
      </x:c>
      <x:c r="C421" s="19" t="str">
        <x:v>S04</x:v>
      </x:c>
      <x:c r="D421" s="19" t="str">
        <x:v>金街美地店</x:v>
      </x:c>
      <x:c r="E421" s="19" t="str">
        <x:v>D10</x:v>
      </x:c>
      <x:c r="F421" s="19" t="str">
        <x:v>农家一碗香</x:v>
      </x:c>
      <x:c r="G421" s="19" t="str">
        <x:v>R2.3</x:v>
      </x:c>
      <x:c r="H421" s="20" t="n">
        <x:f>XLOOKUP(A421,'菜品日销量'!$A$5:$A$1124,'菜品日销量'!$G$5:$G$1124,0)</x:f>
        <x:v>19</x:v>
      </x:c>
      <x:c r="I421" s="20" t="n">
        <x:f>ROUNDUP(H421/2,0)</x:f>
        <x:v>10</x:v>
      </x:c>
      <x:c r="J421" s="22" t="n">
        <x:f>SUMIFS('菜谱BOM'!$F$5:$F$160,'菜谱BOM'!$A$5:$A$160,E421,'菜谱BOM'!$C$5:$C$160,"食材")</x:f>
        <x:v>510</x:v>
      </x:c>
      <x:c r="K421" s="38" t="n">
        <x:v>-0.0063495919141801065</x:v>
      </x:c>
      <x:c r="L421" s="35" t="n">
        <x:f>H421*J421*(1+K421)</x:f>
        <x:v>9628.472454351595</x:v>
      </x:c>
      <x:c r="M421" s="35" t="n">
        <x:f>SUMIFS('菜谱BOM'!$F$5:$F$160,'菜谱BOM'!$A$5:$A$160,E421,'菜谱BOM'!$C$5:$C$160,"调料")</x:f>
        <x:v>88</x:v>
      </x:c>
      <x:c r="N421" s="38" t="n">
        <x:v>-0.0019414063896847438</x:v>
      </x:c>
      <x:c r="O421" s="35" t="n">
        <x:f>H421*M421*(1+N421)</x:f>
        <x:v>1668.753968516447</x:v>
      </x:c>
      <x:c r="P421" s="19" t="str">
        <x:f>IF(ABS(N421)&gt;'封面与口径'!$O$25,"机器调料需复核",IF(ABS(K421)&gt;0.02,"人工称重需复核","正常"))</x:f>
        <x:v>正常</x:v>
      </x:c>
      <x:c r="Q421" s="19" t="str">
        <x:v>宋海</x:v>
      </x:c>
    </x:row>
    <x:row r="422">
      <x:c r="A422" s="19" t="str">
        <x:v>2026-07-10|S04|D11</x:v>
      </x:c>
      <x:c r="B422" s="34" t="n">
        <x:v>46213.5</x:v>
      </x:c>
      <x:c r="C422" s="19" t="str">
        <x:v>S04</x:v>
      </x:c>
      <x:c r="D422" s="19" t="str">
        <x:v>金街美地店</x:v>
      </x:c>
      <x:c r="E422" s="19" t="str">
        <x:v>D11</x:v>
      </x:c>
      <x:c r="F422" s="19" t="str">
        <x:v>香辣爆肥肠</x:v>
      </x:c>
      <x:c r="G422" s="19" t="str">
        <x:v>R1.0</x:v>
      </x:c>
      <x:c r="H422" s="20" t="n">
        <x:f>XLOOKUP(A422,'菜品日销量'!$A$5:$A$1124,'菜品日销量'!$G$5:$G$1124,0)</x:f>
        <x:v>7</x:v>
      </x:c>
      <x:c r="I422" s="20" t="n">
        <x:f>ROUNDUP(H422/2,0)</x:f>
        <x:v>4</x:v>
      </x:c>
      <x:c r="J422" s="22" t="n">
        <x:f>SUMIFS('菜谱BOM'!$F$5:$F$160,'菜谱BOM'!$A$5:$A$160,E422,'菜谱BOM'!$C$5:$C$160,"食材")</x:f>
        <x:v>430</x:v>
      </x:c>
      <x:c r="K422" s="38" t="n">
        <x:v>0.0016579718835786857</x:v>
      </x:c>
      <x:c r="L422" s="35" t="n">
        <x:f>H422*J422*(1+K422)</x:f>
        <x:v>3014.990495369572</x:v>
      </x:c>
      <x:c r="M422" s="35" t="n">
        <x:f>SUMIFS('菜谱BOM'!$F$5:$F$160,'菜谱BOM'!$A$5:$A$160,E422,'菜谱BOM'!$C$5:$C$160,"调料")</x:f>
        <x:v>67</x:v>
      </x:c>
      <x:c r="N422" s="38" t="n">
        <x:v>0.0002637037481795308</x:v>
      </x:c>
      <x:c r="O422" s="35" t="n">
        <x:f>H422*M422*(1+N422)</x:f>
        <x:v>469.12367705789626</x:v>
      </x:c>
      <x:c r="P422" s="19" t="str">
        <x:f>IF(ABS(N422)&gt;'封面与口径'!$O$25,"机器调料需复核",IF(ABS(K422)&gt;0.02,"人工称重需复核","正常"))</x:f>
        <x:v>正常</x:v>
      </x:c>
      <x:c r="Q422" s="19" t="str">
        <x:v>宋海</x:v>
      </x:c>
    </x:row>
    <x:row r="423">
      <x:c r="A423" s="19" t="str">
        <x:v>2026-07-10|S04|D13</x:v>
      </x:c>
      <x:c r="B423" s="34" t="n">
        <x:v>46213.5</x:v>
      </x:c>
      <x:c r="C423" s="19" t="str">
        <x:v>S04</x:v>
      </x:c>
      <x:c r="D423" s="19" t="str">
        <x:v>金街美地店</x:v>
      </x:c>
      <x:c r="E423" s="19" t="str">
        <x:v>D13</x:v>
      </x:c>
      <x:c r="F423" s="19" t="str">
        <x:v>外婆菜炒蛋</x:v>
      </x:c>
      <x:c r="G423" s="19" t="str">
        <x:v>R1.0</x:v>
      </x:c>
      <x:c r="H423" s="20" t="n">
        <x:f>XLOOKUP(A423,'菜品日销量'!$A$5:$A$1124,'菜品日销量'!$G$5:$G$1124,0)</x:f>
        <x:v>16</x:v>
      </x:c>
      <x:c r="I423" s="20" t="n">
        <x:f>ROUNDUP(H423/2,0)</x:f>
        <x:v>8</x:v>
      </x:c>
      <x:c r="J423" s="22" t="n">
        <x:f>SUMIFS('菜谱BOM'!$F$5:$F$160,'菜谱BOM'!$A$5:$A$160,E423,'菜谱BOM'!$C$5:$C$160,"食材")</x:f>
        <x:v>450</x:v>
      </x:c>
      <x:c r="K423" s="38" t="n">
        <x:v>-0.005470523163087323</x:v>
      </x:c>
      <x:c r="L423" s="35" t="n">
        <x:f>H423*J423*(1+K423)</x:f>
        <x:v>7160.612233225772</x:v>
      </x:c>
      <x:c r="M423" s="35" t="n">
        <x:f>SUMIFS('菜谱BOM'!$F$5:$F$160,'菜谱BOM'!$A$5:$A$160,E423,'菜谱BOM'!$C$5:$C$160,"调料")</x:f>
        <x:v>37</x:v>
      </x:c>
      <x:c r="N423" s="38" t="n">
        <x:v>-0.00023973030090325743</x:v>
      </x:c>
      <x:c r="O423" s="35" t="n">
        <x:f>H423*M423*(1+N423)</x:f>
        <x:v>591.8580796618653</x:v>
      </x:c>
      <x:c r="P423" s="19" t="str">
        <x:f>IF(ABS(N423)&gt;'封面与口径'!$O$25,"机器调料需复核",IF(ABS(K423)&gt;0.02,"人工称重需复核","正常"))</x:f>
        <x:v>正常</x:v>
      </x:c>
      <x:c r="Q423" s="19" t="str">
        <x:v>宋海</x:v>
      </x:c>
    </x:row>
    <x:row r="424">
      <x:c r="A424" s="19" t="str">
        <x:v>2026-07-10|S04|D14</x:v>
      </x:c>
      <x:c r="B424" s="34" t="n">
        <x:v>46213.5</x:v>
      </x:c>
      <x:c r="C424" s="19" t="str">
        <x:v>S04</x:v>
      </x:c>
      <x:c r="D424" s="19" t="str">
        <x:v>金街美地店</x:v>
      </x:c>
      <x:c r="E424" s="19" t="str">
        <x:v>D14</x:v>
      </x:c>
      <x:c r="F424" s="19" t="str">
        <x:v>酸辣鸡杂</x:v>
      </x:c>
      <x:c r="G424" s="19" t="str">
        <x:v>R1.0</x:v>
      </x:c>
      <x:c r="H424" s="20" t="n">
        <x:f>XLOOKUP(A424,'菜品日销量'!$A$5:$A$1124,'菜品日销量'!$G$5:$G$1124,0)</x:f>
        <x:v>8</x:v>
      </x:c>
      <x:c r="I424" s="20" t="n">
        <x:f>ROUNDUP(H424/2,0)</x:f>
        <x:v>4</x:v>
      </x:c>
      <x:c r="J424" s="22" t="n">
        <x:f>SUMIFS('菜谱BOM'!$F$5:$F$160,'菜谱BOM'!$A$5:$A$160,E424,'菜谱BOM'!$C$5:$C$160,"食材")</x:f>
        <x:v>470</x:v>
      </x:c>
      <x:c r="K424" s="38" t="n">
        <x:v>-0.0011768587700037418</x:v>
      </x:c>
      <x:c r="L424" s="35" t="n">
        <x:f>H424*J424*(1+K424)</x:f>
        <x:v>3755.575011024786</x:v>
      </x:c>
      <x:c r="M424" s="35" t="n">
        <x:f>SUMIFS('菜谱BOM'!$F$5:$F$160,'菜谱BOM'!$A$5:$A$160,E424,'菜谱BOM'!$C$5:$C$160,"调料")</x:f>
        <x:v>60</x:v>
      </x:c>
      <x:c r="N424" s="38" t="n">
        <x:v>0.001789769134435283</x:v>
      </x:c>
      <x:c r="O424" s="35" t="n">
        <x:f>H424*M424*(1+N424)</x:f>
        <x:v>480.85908918452895</x:v>
      </x:c>
      <x:c r="P424" s="19" t="str">
        <x:f>IF(ABS(N424)&gt;'封面与口径'!$O$25,"机器调料需复核",IF(ABS(K424)&gt;0.02,"人工称重需复核","正常"))</x:f>
        <x:v>正常</x:v>
      </x:c>
      <x:c r="Q424" s="19" t="str">
        <x:v>宋海</x:v>
      </x:c>
    </x:row>
    <x:row r="425">
      <x:c r="A425" s="19" t="str">
        <x:v>2026-07-10|S04|D15</x:v>
      </x:c>
      <x:c r="B425" s="34" t="n">
        <x:v>46213.5</x:v>
      </x:c>
      <x:c r="C425" s="19" t="str">
        <x:v>S04</x:v>
      </x:c>
      <x:c r="D425" s="19" t="str">
        <x:v>金街美地店</x:v>
      </x:c>
      <x:c r="E425" s="19" t="str">
        <x:v>D15</x:v>
      </x:c>
      <x:c r="F425" s="19" t="str">
        <x:v>湘西土匪猪肝</x:v>
      </x:c>
      <x:c r="G425" s="19" t="str">
        <x:v>R1.0</x:v>
      </x:c>
      <x:c r="H425" s="20" t="n">
        <x:f>XLOOKUP(A425,'菜品日销量'!$A$5:$A$1124,'菜品日销量'!$G$5:$G$1124,0)</x:f>
        <x:v>8</x:v>
      </x:c>
      <x:c r="I425" s="20" t="n">
        <x:f>ROUNDUP(H425/2,0)</x:f>
        <x:v>4</x:v>
      </x:c>
      <x:c r="J425" s="22" t="n">
        <x:f>SUMIFS('菜谱BOM'!$F$5:$F$160,'菜谱BOM'!$A$5:$A$160,E425,'菜谱BOM'!$C$5:$C$160,"食材")</x:f>
        <x:v>470</x:v>
      </x:c>
      <x:c r="K425" s="38" t="n">
        <x:v>0.0077307510785131605</x:v>
      </x:c>
      <x:c r="L425" s="35" t="n">
        <x:f>H425*J425*(1+K425)</x:f>
        <x:v>3789.0676240552098</x:v>
      </x:c>
      <x:c r="M425" s="35" t="n">
        <x:f>SUMIFS('菜谱BOM'!$F$5:$F$160,'菜谱BOM'!$A$5:$A$160,E425,'菜谱BOM'!$C$5:$C$160,"调料")</x:f>
        <x:v>49</x:v>
      </x:c>
      <x:c r="N425" s="38" t="n">
        <x:v>-0.0005157545699076156</x:v>
      </x:c>
      <x:c r="O425" s="35" t="n">
        <x:f>H425*M425*(1+N425)</x:f>
        <x:v>391.79782420859624</x:v>
      </x:c>
      <x:c r="P425" s="19" t="str">
        <x:f>IF(ABS(N425)&gt;'封面与口径'!$O$25,"机器调料需复核",IF(ABS(K425)&gt;0.02,"人工称重需复核","正常"))</x:f>
        <x:v>正常</x:v>
      </x:c>
      <x:c r="Q425" s="19" t="str">
        <x:v>宋海</x:v>
      </x:c>
    </x:row>
    <x:row r="426">
      <x:c r="A426" s="19" t="str">
        <x:v>2026-07-10|S04|D16</x:v>
      </x:c>
      <x:c r="B426" s="34" t="n">
        <x:v>46213.5</x:v>
      </x:c>
      <x:c r="C426" s="19" t="str">
        <x:v>S04</x:v>
      </x:c>
      <x:c r="D426" s="19" t="str">
        <x:v>金街美地店</x:v>
      </x:c>
      <x:c r="E426" s="19" t="str">
        <x:v>D16</x:v>
      </x:c>
      <x:c r="F426" s="19" t="str">
        <x:v>小豆角炒五花</x:v>
      </x:c>
      <x:c r="G426" s="19" t="str">
        <x:v>R1.0</x:v>
      </x:c>
      <x:c r="H426" s="20" t="n">
        <x:f>XLOOKUP(A426,'菜品日销量'!$A$5:$A$1124,'菜品日销量'!$G$5:$G$1124,0)</x:f>
        <x:v>8</x:v>
      </x:c>
      <x:c r="I426" s="20" t="n">
        <x:f>ROUNDUP(H426/2,0)</x:f>
        <x:v>4</x:v>
      </x:c>
      <x:c r="J426" s="22" t="n">
        <x:f>SUMIFS('菜谱BOM'!$F$5:$F$160,'菜谱BOM'!$A$5:$A$160,E426,'菜谱BOM'!$C$5:$C$160,"食材")</x:f>
        <x:v>450</x:v>
      </x:c>
      <x:c r="K426" s="38" t="n">
        <x:v>0.0040955683356373495</x:v>
      </x:c>
      <x:c r="L426" s="35" t="n">
        <x:f>H426*J426*(1+K426)</x:f>
        <x:v>3614.744046008295</x:v>
      </x:c>
      <x:c r="M426" s="35" t="n">
        <x:f>SUMIFS('菜谱BOM'!$F$5:$F$160,'菜谱BOM'!$A$5:$A$160,E426,'菜谱BOM'!$C$5:$C$160,"调料")</x:f>
        <x:v>42</x:v>
      </x:c>
      <x:c r="N426" s="38" t="n">
        <x:v>-0.0015487337372146392</x:v>
      </x:c>
      <x:c r="O426" s="35" t="n">
        <x:f>H426*M426*(1+N426)</x:f>
        <x:v>335.47962546429585</x:v>
      </x:c>
      <x:c r="P426" s="19" t="str">
        <x:f>IF(ABS(N426)&gt;'封面与口径'!$O$25,"机器调料需复核",IF(ABS(K426)&gt;0.02,"人工称重需复核","正常"))</x:f>
        <x:v>正常</x:v>
      </x:c>
      <x:c r="Q426" s="19" t="str">
        <x:v>宋海</x:v>
      </x:c>
    </x:row>
    <x:row r="427">
      <x:c r="A427" s="19" t="str">
        <x:v>2026-07-10|S04|D18</x:v>
      </x:c>
      <x:c r="B427" s="34" t="n">
        <x:v>46213.5</x:v>
      </x:c>
      <x:c r="C427" s="19" t="str">
        <x:v>S04</x:v>
      </x:c>
      <x:c r="D427" s="19" t="str">
        <x:v>金街美地店</x:v>
      </x:c>
      <x:c r="E427" s="19" t="str">
        <x:v>D18</x:v>
      </x:c>
      <x:c r="F427" s="19" t="str">
        <x:v>青椒炒油麦菜</x:v>
      </x:c>
      <x:c r="G427" s="19" t="str">
        <x:v>R1.0</x:v>
      </x:c>
      <x:c r="H427" s="20" t="n">
        <x:f>XLOOKUP(A427,'菜品日销量'!$A$5:$A$1124,'菜品日销量'!$G$5:$G$1124,0)</x:f>
        <x:v>8</x:v>
      </x:c>
      <x:c r="I427" s="20" t="n">
        <x:f>ROUNDUP(H427/2,0)</x:f>
        <x:v>4</x:v>
      </x:c>
      <x:c r="J427" s="22" t="n">
        <x:f>SUMIFS('菜谱BOM'!$F$5:$F$160,'菜谱BOM'!$A$5:$A$160,E427,'菜谱BOM'!$C$5:$C$160,"食材")</x:f>
        <x:v>430</x:v>
      </x:c>
      <x:c r="K427" s="38" t="n">
        <x:v>-0.004187651964879514</x:v>
      </x:c>
      <x:c r="L427" s="35" t="n">
        <x:f>H427*J427*(1+K427)</x:f>
        <x:v>3425.5944772408147</x:v>
      </x:c>
      <x:c r="M427" s="35" t="n">
        <x:f>SUMIFS('菜谱BOM'!$F$5:$F$160,'菜谱BOM'!$A$5:$A$160,E427,'菜谱BOM'!$C$5:$C$160,"调料")</x:f>
        <x:v>33</x:v>
      </x:c>
      <x:c r="N427" s="38" t="n">
        <x:v>-0.0006650412656983922</x:v>
      </x:c>
      <x:c r="O427" s="35" t="n">
        <x:f>H427*M427*(1+N427)</x:f>
        <x:v>263.8244291058556</x:v>
      </x:c>
      <x:c r="P427" s="19" t="str">
        <x:f>IF(ABS(N427)&gt;'封面与口径'!$O$25,"机器调料需复核",IF(ABS(K427)&gt;0.02,"人工称重需复核","正常"))</x:f>
        <x:v>正常</x:v>
      </x:c>
      <x:c r="Q427" s="19" t="str">
        <x:v>宋海</x:v>
      </x:c>
    </x:row>
    <x:row r="428">
      <x:c r="A428" s="19" t="str">
        <x:v>2026-07-10|S04|D19</x:v>
      </x:c>
      <x:c r="B428" s="34" t="n">
        <x:v>46213.5</x:v>
      </x:c>
      <x:c r="C428" s="19" t="str">
        <x:v>S04</x:v>
      </x:c>
      <x:c r="D428" s="19" t="str">
        <x:v>金街美地店</x:v>
      </x:c>
      <x:c r="E428" s="19" t="str">
        <x:v>D19</x:v>
      </x:c>
      <x:c r="F428" s="19" t="str">
        <x:v>酸萝卜炒鸡杂</x:v>
      </x:c>
      <x:c r="G428" s="19" t="str">
        <x:v>R1.0</x:v>
      </x:c>
      <x:c r="H428" s="20" t="n">
        <x:f>XLOOKUP(A428,'菜品日销量'!$A$5:$A$1124,'菜品日销量'!$G$5:$G$1124,0)</x:f>
        <x:v>7</x:v>
      </x:c>
      <x:c r="I428" s="20" t="n">
        <x:f>ROUNDUP(H428/2,0)</x:f>
        <x:v>4</x:v>
      </x:c>
      <x:c r="J428" s="22" t="n">
        <x:f>SUMIFS('菜谱BOM'!$F$5:$F$160,'菜谱BOM'!$A$5:$A$160,E428,'菜谱BOM'!$C$5:$C$160,"食材")</x:f>
        <x:v>500</x:v>
      </x:c>
      <x:c r="K428" s="38" t="n">
        <x:v>-0.006026266224222786</x:v>
      </x:c>
      <x:c r="L428" s="35" t="n">
        <x:f>H428*J428*(1+K428)</x:f>
        <x:v>3478.9080682152203</x:v>
      </x:c>
      <x:c r="M428" s="35" t="n">
        <x:f>SUMIFS('菜谱BOM'!$F$5:$F$160,'菜谱BOM'!$A$5:$A$160,E428,'菜谱BOM'!$C$5:$C$160,"调料")</x:f>
        <x:v>55</x:v>
      </x:c>
      <x:c r="N428" s="38" t="n">
        <x:v>-0.0017714122468073415</x:v>
      </x:c>
      <x:c r="O428" s="35" t="n">
        <x:f>H428*M428*(1+N428)</x:f>
        <x:v>384.31800628497916</x:v>
      </x:c>
      <x:c r="P428" s="19" t="str">
        <x:f>IF(ABS(N428)&gt;'封面与口径'!$O$25,"机器调料需复核",IF(ABS(K428)&gt;0.02,"人工称重需复核","正常"))</x:f>
        <x:v>正常</x:v>
      </x:c>
      <x:c r="Q428" s="19" t="str">
        <x:v>宋海</x:v>
      </x:c>
    </x:row>
    <x:row r="429">
      <x:c r="A429" s="19" t="str">
        <x:v>2026-07-10|S04|D20</x:v>
      </x:c>
      <x:c r="B429" s="34" t="n">
        <x:v>46213.5</x:v>
      </x:c>
      <x:c r="C429" s="19" t="str">
        <x:v>S04</x:v>
      </x:c>
      <x:c r="D429" s="19" t="str">
        <x:v>金街美地店</x:v>
      </x:c>
      <x:c r="E429" s="19" t="str">
        <x:v>D20</x:v>
      </x:c>
      <x:c r="F429" s="19" t="str">
        <x:v>雪菜肉末青豆</x:v>
      </x:c>
      <x:c r="G429" s="19" t="str">
        <x:v>R1.0</x:v>
      </x:c>
      <x:c r="H429" s="20" t="n">
        <x:f>XLOOKUP(A429,'菜品日销量'!$A$5:$A$1124,'菜品日销量'!$G$5:$G$1124,0)</x:f>
        <x:v>9</x:v>
      </x:c>
      <x:c r="I429" s="20" t="n">
        <x:f>ROUNDUP(H429/2,0)</x:f>
        <x:v>5</x:v>
      </x:c>
      <x:c r="J429" s="22" t="n">
        <x:f>SUMIFS('菜谱BOM'!$F$5:$F$160,'菜谱BOM'!$A$5:$A$160,E429,'菜谱BOM'!$C$5:$C$160,"食材")</x:f>
        <x:v>465</x:v>
      </x:c>
      <x:c r="K429" s="38" t="n">
        <x:v>0.0012913945264395785</x:v>
      </x:c>
      <x:c r="L429" s="35" t="n">
        <x:f>H429*J429*(1+K429)</x:f>
        <x:v>4190.40448609315</x:v>
      </x:c>
      <x:c r="M429" s="35" t="n">
        <x:f>SUMIFS('菜谱BOM'!$F$5:$F$160,'菜谱BOM'!$A$5:$A$160,E429,'菜谱BOM'!$C$5:$C$160,"调料")</x:f>
        <x:v>32</x:v>
      </x:c>
      <x:c r="N429" s="38" t="n">
        <x:v>-0.00010533276994371144</x:v>
      </x:c>
      <x:c r="O429" s="35" t="n">
        <x:f>H429*M429*(1+N429)</x:f>
        <x:v>287.9696641622562</x:v>
      </x:c>
      <x:c r="P429" s="19" t="str">
        <x:f>IF(ABS(N429)&gt;'封面与口径'!$O$25,"机器调料需复核",IF(ABS(K429)&gt;0.02,"人工称重需复核","正常"))</x:f>
        <x:v>正常</x:v>
      </x:c>
      <x:c r="Q429" s="19" t="str">
        <x:v>宋海</x:v>
      </x:c>
    </x:row>
    <x:row r="430">
      <x:c r="A430" s="19" t="str">
        <x:v>2026-07-11|S04|D01</x:v>
      </x:c>
      <x:c r="B430" s="34" t="n">
        <x:v>46214.5</x:v>
      </x:c>
      <x:c r="C430" s="19" t="str">
        <x:v>S04</x:v>
      </x:c>
      <x:c r="D430" s="19" t="str">
        <x:v>金街美地店</x:v>
      </x:c>
      <x:c r="E430" s="19" t="str">
        <x:v>D01</x:v>
      </x:c>
      <x:c r="F430" s="19" t="str">
        <x:v>辣椒炒肉</x:v>
      </x:c>
      <x:c r="G430" s="19" t="str">
        <x:v>R2.3</x:v>
      </x:c>
      <x:c r="H430" s="20" t="n">
        <x:f>XLOOKUP(A430,'菜品日销量'!$A$5:$A$1124,'菜品日销量'!$G$5:$G$1124,0)</x:f>
        <x:v>37</x:v>
      </x:c>
      <x:c r="I430" s="20" t="n">
        <x:f>ROUNDUP(H430/2,0)</x:f>
        <x:v>19</x:v>
      </x:c>
      <x:c r="J430" s="22" t="n">
        <x:f>SUMIFS('菜谱BOM'!$F$5:$F$160,'菜谱BOM'!$A$5:$A$160,E430,'菜谱BOM'!$C$5:$C$160,"食材")</x:f>
        <x:v>550</x:v>
      </x:c>
      <x:c r="K430" s="38" t="n">
        <x:v>-0.00002360701375259211</x:v>
      </x:c>
      <x:c r="L430" s="35" t="n">
        <x:f>H430*J430*(1+K430)</x:f>
        <x:v>20349.519597270133</x:v>
      </x:c>
      <x:c r="M430" s="35" t="n">
        <x:f>SUMIFS('菜谱BOM'!$F$5:$F$160,'菜谱BOM'!$A$5:$A$160,E430,'菜谱BOM'!$C$5:$C$160,"调料")</x:f>
        <x:v>104</x:v>
      </x:c>
      <x:c r="N430" s="38" t="n">
        <x:v>0.0015884597766186248</x:v>
      </x:c>
      <x:c r="O430" s="35" t="n">
        <x:f>H430*M430*(1+N430)</x:f>
        <x:v>3854.1123932204287</x:v>
      </x:c>
      <x:c r="P430" s="19" t="str">
        <x:f>IF(ABS(N430)&gt;'封面与口径'!$O$25,"机器调料需复核",IF(ABS(K430)&gt;0.02,"人工称重需复核","正常"))</x:f>
        <x:v>正常</x:v>
      </x:c>
      <x:c r="Q430" s="19" t="str">
        <x:v>宋海</x:v>
      </x:c>
    </x:row>
    <x:row r="431">
      <x:c r="A431" s="19" t="str">
        <x:v>2026-07-11|S04|D02</x:v>
      </x:c>
      <x:c r="B431" s="34" t="n">
        <x:v>46214.5</x:v>
      </x:c>
      <x:c r="C431" s="19" t="str">
        <x:v>S04</x:v>
      </x:c>
      <x:c r="D431" s="19" t="str">
        <x:v>金街美地店</x:v>
      </x:c>
      <x:c r="E431" s="19" t="str">
        <x:v>D02</x:v>
      </x:c>
      <x:c r="F431" s="19" t="str">
        <x:v>小炒黄牛肉</x:v>
      </x:c>
      <x:c r="G431" s="19" t="str">
        <x:v>R2.3</x:v>
      </x:c>
      <x:c r="H431" s="20" t="n">
        <x:f>XLOOKUP(A431,'菜品日销量'!$A$5:$A$1124,'菜品日销量'!$G$5:$G$1124,0)</x:f>
        <x:v>28</x:v>
      </x:c>
      <x:c r="I431" s="20" t="n">
        <x:f>ROUNDUP(H431/2,0)</x:f>
        <x:v>14</x:v>
      </x:c>
      <x:c r="J431" s="22" t="n">
        <x:f>SUMIFS('菜谱BOM'!$F$5:$F$160,'菜谱BOM'!$A$5:$A$160,E431,'菜谱BOM'!$C$5:$C$160,"食材")</x:f>
        <x:v>560</x:v>
      </x:c>
      <x:c r="K431" s="38" t="n">
        <x:v>0.007457251831762784</x:v>
      </x:c>
      <x:c r="L431" s="35" t="n">
        <x:f>H431*J431*(1+K431)</x:f>
        <x:v>15796.92970872204</x:v>
      </x:c>
      <x:c r="M431" s="35" t="n">
        <x:f>SUMIFS('菜谱BOM'!$F$5:$F$160,'菜谱BOM'!$A$5:$A$160,E431,'菜谱BOM'!$C$5:$C$160,"调料")</x:f>
        <x:v>133</x:v>
      </x:c>
      <x:c r="N431" s="38" t="n">
        <x:v>0.0016193426241211926</x:v>
      </x:c>
      <x:c r="O431" s="35" t="n">
        <x:f>H431*M431*(1+N431)</x:f>
        <x:v>3730.030431932227</x:v>
      </x:c>
      <x:c r="P431" s="19" t="str">
        <x:f>IF(ABS(N431)&gt;'封面与口径'!$O$25,"机器调料需复核",IF(ABS(K431)&gt;0.02,"人工称重需复核","正常"))</x:f>
        <x:v>正常</x:v>
      </x:c>
      <x:c r="Q431" s="19" t="str">
        <x:v>宋海</x:v>
      </x:c>
    </x:row>
    <x:row r="432">
      <x:c r="A432" s="19" t="str">
        <x:v>2026-07-11|S04|D03</x:v>
      </x:c>
      <x:c r="B432" s="34" t="n">
        <x:v>46214.5</x:v>
      </x:c>
      <x:c r="C432" s="19" t="str">
        <x:v>S04</x:v>
      </x:c>
      <x:c r="D432" s="19" t="str">
        <x:v>金街美地店</x:v>
      </x:c>
      <x:c r="E432" s="19" t="str">
        <x:v>D03</x:v>
      </x:c>
      <x:c r="F432" s="19" t="str">
        <x:v>香醋炒蛋</x:v>
      </x:c>
      <x:c r="G432" s="19" t="str">
        <x:v>R1.0</x:v>
      </x:c>
      <x:c r="H432" s="20" t="n">
        <x:f>XLOOKUP(A432,'菜品日销量'!$A$5:$A$1124,'菜品日销量'!$G$5:$G$1124,0)</x:f>
        <x:v>31</x:v>
      </x:c>
      <x:c r="I432" s="20" t="n">
        <x:f>ROUNDUP(H432/2,0)</x:f>
        <x:v>16</x:v>
      </x:c>
      <x:c r="J432" s="22" t="n">
        <x:f>SUMIFS('菜谱BOM'!$F$5:$F$160,'菜谱BOM'!$A$5:$A$160,E432,'菜谱BOM'!$C$5:$C$160,"食材")</x:f>
        <x:v>300</x:v>
      </x:c>
      <x:c r="K432" s="38" t="n">
        <x:v>-0.00337541644912572</x:v>
      </x:c>
      <x:c r="L432" s="35" t="n">
        <x:f>H432*J432*(1+K432)</x:f>
        <x:v>9268.60862702313</x:v>
      </x:c>
      <x:c r="M432" s="35" t="n">
        <x:f>SUMIFS('菜谱BOM'!$F$5:$F$160,'菜谱BOM'!$A$5:$A$160,E432,'菜谱BOM'!$C$5:$C$160,"调料")</x:f>
        <x:v>53</x:v>
      </x:c>
      <x:c r="N432" s="38" t="n">
        <x:v>-0.0010242572247572844</x:v>
      </x:c>
      <x:c r="O432" s="35" t="n">
        <x:f>H432*M432*(1+N432)</x:f>
        <x:v>1641.3171453797238</x:v>
      </x:c>
      <x:c r="P432" s="19" t="str">
        <x:f>IF(ABS(N432)&gt;'封面与口径'!$O$25,"机器调料需复核",IF(ABS(K432)&gt;0.02,"人工称重需复核","正常"))</x:f>
        <x:v>正常</x:v>
      </x:c>
      <x:c r="Q432" s="19" t="str">
        <x:v>宋海</x:v>
      </x:c>
    </x:row>
    <x:row r="433">
      <x:c r="A433" s="19" t="str">
        <x:v>2026-07-11|S04|D04</x:v>
      </x:c>
      <x:c r="B433" s="34" t="n">
        <x:v>46214.5</x:v>
      </x:c>
      <x:c r="C433" s="19" t="str">
        <x:v>S04</x:v>
      </x:c>
      <x:c r="D433" s="19" t="str">
        <x:v>金街美地店</x:v>
      </x:c>
      <x:c r="E433" s="19" t="str">
        <x:v>D04</x:v>
      </x:c>
      <x:c r="F433" s="19" t="str">
        <x:v>酸包菜炒粉皮</x:v>
      </x:c>
      <x:c r="G433" s="19" t="str">
        <x:v>R1.0</x:v>
      </x:c>
      <x:c r="H433" s="20" t="n">
        <x:f>XLOOKUP(A433,'菜品日销量'!$A$5:$A$1124,'菜品日销量'!$G$5:$G$1124,0)</x:f>
        <x:v>30</x:v>
      </x:c>
      <x:c r="I433" s="20" t="n">
        <x:f>ROUNDUP(H433/2,0)</x:f>
        <x:v>15</x:v>
      </x:c>
      <x:c r="J433" s="22" t="n">
        <x:f>SUMIFS('菜谱BOM'!$F$5:$F$160,'菜谱BOM'!$A$5:$A$160,E433,'菜谱BOM'!$C$5:$C$160,"食材")</x:f>
        <x:v>380</x:v>
      </x:c>
      <x:c r="K433" s="38" t="n">
        <x:v>0.0010449368266959064</x:v>
      </x:c>
      <x:c r="L433" s="35" t="n">
        <x:f>H433*J433*(1+K433)</x:f>
        <x:v>11411.912279824332</x:v>
      </x:c>
      <x:c r="M433" s="35" t="n">
        <x:f>SUMIFS('菜谱BOM'!$F$5:$F$160,'菜谱BOM'!$A$5:$A$160,E433,'菜谱BOM'!$C$5:$C$160,"调料")</x:f>
        <x:v>47</x:v>
      </x:c>
      <x:c r="N433" s="38" t="n">
        <x:v>-0.00034267207941568277</x:v>
      </x:c>
      <x:c r="O433" s="35" t="n">
        <x:f>H433*M433*(1+N433)</x:f>
        <x:v>1409.5168323680239</x:v>
      </x:c>
      <x:c r="P433" s="19" t="str">
        <x:f>IF(ABS(N433)&gt;'封面与口径'!$O$25,"机器调料需复核",IF(ABS(K433)&gt;0.02,"人工称重需复核","正常"))</x:f>
        <x:v>正常</x:v>
      </x:c>
      <x:c r="Q433" s="19" t="str">
        <x:v>宋海</x:v>
      </x:c>
    </x:row>
    <x:row r="434">
      <x:c r="A434" s="19" t="str">
        <x:v>2026-07-11|S04|D05</x:v>
      </x:c>
      <x:c r="B434" s="34" t="n">
        <x:v>46214.5</x:v>
      </x:c>
      <x:c r="C434" s="19" t="str">
        <x:v>S04</x:v>
      </x:c>
      <x:c r="D434" s="19" t="str">
        <x:v>金街美地店</x:v>
      </x:c>
      <x:c r="E434" s="19" t="str">
        <x:v>D05</x:v>
      </x:c>
      <x:c r="F434" s="19" t="str">
        <x:v>麻婆豆腐</x:v>
      </x:c>
      <x:c r="G434" s="19" t="str">
        <x:v>R1.0</x:v>
      </x:c>
      <x:c r="H434" s="20" t="n">
        <x:f>XLOOKUP(A434,'菜品日销量'!$A$5:$A$1124,'菜品日销量'!$G$5:$G$1124,0)</x:f>
        <x:v>43</x:v>
      </x:c>
      <x:c r="I434" s="20" t="n">
        <x:f>ROUNDUP(H434/2,0)</x:f>
        <x:v>22</x:v>
      </x:c>
      <x:c r="J434" s="22" t="n">
        <x:f>SUMIFS('菜谱BOM'!$F$5:$F$160,'菜谱BOM'!$A$5:$A$160,E434,'菜谱BOM'!$C$5:$C$160,"食材")</x:f>
        <x:v>505</x:v>
      </x:c>
      <x:c r="K434" s="38" t="n">
        <x:v>-0.0010593754185967558</x:v>
      </x:c>
      <x:c r="L434" s="35" t="n">
        <x:f>H434*J434*(1+K434)</x:f>
        <x:v>21691.99566278517</x:v>
      </x:c>
      <x:c r="M434" s="35" t="n">
        <x:f>SUMIFS('菜谱BOM'!$F$5:$F$160,'菜谱BOM'!$A$5:$A$160,E434,'菜谱BOM'!$C$5:$C$160,"调料")</x:f>
        <x:v>90</x:v>
      </x:c>
      <x:c r="N434" s="38" t="n">
        <x:v>0.00013884810128688053</x:v>
      </x:c>
      <x:c r="O434" s="35" t="n">
        <x:f>H434*M434*(1+N434)</x:f>
        <x:v>3870.5373421519803</x:v>
      </x:c>
      <x:c r="P434" s="19" t="str">
        <x:f>IF(ABS(N434)&gt;'封面与口径'!$O$25,"机器调料需复核",IF(ABS(K434)&gt;0.02,"人工称重需复核","正常"))</x:f>
        <x:v>正常</x:v>
      </x:c>
      <x:c r="Q434" s="19" t="str">
        <x:v>宋海</x:v>
      </x:c>
    </x:row>
    <x:row r="435">
      <x:c r="A435" s="19" t="str">
        <x:v>2026-07-11|S04|D07</x:v>
      </x:c>
      <x:c r="B435" s="34" t="n">
        <x:v>46214.5</x:v>
      </x:c>
      <x:c r="C435" s="19" t="str">
        <x:v>S04</x:v>
      </x:c>
      <x:c r="D435" s="19" t="str">
        <x:v>金街美地店</x:v>
      </x:c>
      <x:c r="E435" s="19" t="str">
        <x:v>D07</x:v>
      </x:c>
      <x:c r="F435" s="19" t="str">
        <x:v>川味回锅肉</x:v>
      </x:c>
      <x:c r="G435" s="19" t="str">
        <x:v>R1.0</x:v>
      </x:c>
      <x:c r="H435" s="20" t="n">
        <x:f>XLOOKUP(A435,'菜品日销量'!$A$5:$A$1124,'菜品日销量'!$G$5:$G$1124,0)</x:f>
        <x:v>11</x:v>
      </x:c>
      <x:c r="I435" s="20" t="n">
        <x:f>ROUNDUP(H435/2,0)</x:f>
        <x:v>6</x:v>
      </x:c>
      <x:c r="J435" s="22" t="n">
        <x:f>SUMIFS('菜谱BOM'!$F$5:$F$160,'菜谱BOM'!$A$5:$A$160,E435,'菜谱BOM'!$C$5:$C$160,"食材")</x:f>
        <x:v>450</x:v>
      </x:c>
      <x:c r="K435" s="38" t="n">
        <x:v>-0.002895060247484376</x:v>
      </x:c>
      <x:c r="L435" s="35" t="n">
        <x:f>H435*J435*(1+K435)</x:f>
        <x:v>4935.669451774952</x:v>
      </x:c>
      <x:c r="M435" s="35" t="n">
        <x:f>SUMIFS('菜谱BOM'!$F$5:$F$160,'菜谱BOM'!$A$5:$A$160,E435,'菜谱BOM'!$C$5:$C$160,"调料")</x:f>
        <x:v>63</x:v>
      </x:c>
      <x:c r="N435" s="38" t="n">
        <x:v>0.00013740595386768818</x:v>
      </x:c>
      <x:c r="O435" s="35" t="n">
        <x:f>H435*M435*(1+N435)</x:f>
        <x:v>693.0952223260304</x:v>
      </x:c>
      <x:c r="P435" s="19" t="str">
        <x:f>IF(ABS(N435)&gt;'封面与口径'!$O$25,"机器调料需复核",IF(ABS(K435)&gt;0.02,"人工称重需复核","正常"))</x:f>
        <x:v>正常</x:v>
      </x:c>
      <x:c r="Q435" s="19" t="str">
        <x:v>宋海</x:v>
      </x:c>
    </x:row>
    <x:row r="436">
      <x:c r="A436" s="19" t="str">
        <x:v>2026-07-11|S04|D08</x:v>
      </x:c>
      <x:c r="B436" s="34" t="n">
        <x:v>46214.5</x:v>
      </x:c>
      <x:c r="C436" s="19" t="str">
        <x:v>S04</x:v>
      </x:c>
      <x:c r="D436" s="19" t="str">
        <x:v>金街美地店</x:v>
      </x:c>
      <x:c r="E436" s="19" t="str">
        <x:v>D08</x:v>
      </x:c>
      <x:c r="F436" s="19" t="str">
        <x:v>生炒清远鸡</x:v>
      </x:c>
      <x:c r="G436" s="19" t="str">
        <x:v>R1.0</x:v>
      </x:c>
      <x:c r="H436" s="20" t="n">
        <x:f>XLOOKUP(A436,'菜品日销量'!$A$5:$A$1124,'菜品日销量'!$G$5:$G$1124,0)</x:f>
        <x:v>8</x:v>
      </x:c>
      <x:c r="I436" s="20" t="n">
        <x:f>ROUNDUP(H436/2,0)</x:f>
        <x:v>4</x:v>
      </x:c>
      <x:c r="J436" s="22" t="n">
        <x:f>SUMIFS('菜谱BOM'!$F$5:$F$160,'菜谱BOM'!$A$5:$A$160,E436,'菜谱BOM'!$C$5:$C$160,"食材")</x:f>
        <x:v>610</x:v>
      </x:c>
      <x:c r="K436" s="38" t="n">
        <x:v>0.005834705687555184</x:v>
      </x:c>
      <x:c r="L436" s="35" t="n">
        <x:f>H436*J436*(1+K436)</x:f>
        <x:v>4908.473363755269</x:v>
      </x:c>
      <x:c r="M436" s="35" t="n">
        <x:f>SUMIFS('菜谱BOM'!$F$5:$F$160,'菜谱BOM'!$A$5:$A$160,E436,'菜谱BOM'!$C$5:$C$160,"调料")</x:f>
        <x:v>61</x:v>
      </x:c>
      <x:c r="N436" s="38" t="n">
        <x:v>-0.0019872635714680105</x:v>
      </x:c>
      <x:c r="O436" s="35" t="n">
        <x:f>H436*M436*(1+N436)</x:f>
        <x:v>487.03021537712357</x:v>
      </x:c>
      <x:c r="P436" s="19" t="str">
        <x:f>IF(ABS(N436)&gt;'封面与口径'!$O$25,"机器调料需复核",IF(ABS(K436)&gt;0.02,"人工称重需复核","正常"))</x:f>
        <x:v>正常</x:v>
      </x:c>
      <x:c r="Q436" s="19" t="str">
        <x:v>宋海</x:v>
      </x:c>
    </x:row>
    <x:row r="437">
      <x:c r="A437" s="19" t="str">
        <x:v>2026-07-11|S04|D09</x:v>
      </x:c>
      <x:c r="B437" s="34" t="n">
        <x:v>46214.5</x:v>
      </x:c>
      <x:c r="C437" s="19" t="str">
        <x:v>S04</x:v>
      </x:c>
      <x:c r="D437" s="19" t="str">
        <x:v>金街美地店</x:v>
      </x:c>
      <x:c r="E437" s="19" t="str">
        <x:v>D09</x:v>
      </x:c>
      <x:c r="F437" s="19" t="str">
        <x:v>炒豆干</x:v>
      </x:c>
      <x:c r="G437" s="19" t="str">
        <x:v>R1.0</x:v>
      </x:c>
      <x:c r="H437" s="20" t="n">
        <x:f>XLOOKUP(A437,'菜品日销量'!$A$5:$A$1124,'菜品日销量'!$G$5:$G$1124,0)</x:f>
        <x:v>13</x:v>
      </x:c>
      <x:c r="I437" s="20" t="n">
        <x:f>ROUNDUP(H437/2,0)</x:f>
        <x:v>7</x:v>
      </x:c>
      <x:c r="J437" s="22" t="n">
        <x:f>SUMIFS('菜谱BOM'!$F$5:$F$160,'菜谱BOM'!$A$5:$A$160,E437,'菜谱BOM'!$C$5:$C$160,"食材")</x:f>
        <x:v>520</x:v>
      </x:c>
      <x:c r="K437" s="38" t="n">
        <x:v>-0.002280757634500218</x:v>
      </x:c>
      <x:c r="L437" s="35" t="n">
        <x:f>H437*J437*(1+K437)</x:f>
        <x:v>6744.582078390778</x:v>
      </x:c>
      <x:c r="M437" s="35" t="n">
        <x:f>SUMIFS('菜谱BOM'!$F$5:$F$160,'菜谱BOM'!$A$5:$A$160,E437,'菜谱BOM'!$C$5:$C$160,"调料")</x:f>
        <x:v>42</x:v>
      </x:c>
      <x:c r="N437" s="38" t="n">
        <x:v>0.001202645385452231</x:v>
      </x:c>
      <x:c r="O437" s="35" t="n">
        <x:f>H437*M437*(1+N437)</x:f>
        <x:v>546.656644380457</x:v>
      </x:c>
      <x:c r="P437" s="19" t="str">
        <x:f>IF(ABS(N437)&gt;'封面与口径'!$O$25,"机器调料需复核",IF(ABS(K437)&gt;0.02,"人工称重需复核","正常"))</x:f>
        <x:v>正常</x:v>
      </x:c>
      <x:c r="Q437" s="19" t="str">
        <x:v>宋海</x:v>
      </x:c>
    </x:row>
    <x:row r="438">
      <x:c r="A438" s="19" t="str">
        <x:v>2026-07-11|S04|D10</x:v>
      </x:c>
      <x:c r="B438" s="34" t="n">
        <x:v>46214.5</x:v>
      </x:c>
      <x:c r="C438" s="19" t="str">
        <x:v>S04</x:v>
      </x:c>
      <x:c r="D438" s="19" t="str">
        <x:v>金街美地店</x:v>
      </x:c>
      <x:c r="E438" s="19" t="str">
        <x:v>D10</x:v>
      </x:c>
      <x:c r="F438" s="19" t="str">
        <x:v>农家一碗香</x:v>
      </x:c>
      <x:c r="G438" s="19" t="str">
        <x:v>R2.3</x:v>
      </x:c>
      <x:c r="H438" s="20" t="n">
        <x:f>XLOOKUP(A438,'菜品日销量'!$A$5:$A$1124,'菜品日销量'!$G$5:$G$1124,0)</x:f>
        <x:v>16</x:v>
      </x:c>
      <x:c r="I438" s="20" t="n">
        <x:f>ROUNDUP(H438/2,0)</x:f>
        <x:v>8</x:v>
      </x:c>
      <x:c r="J438" s="22" t="n">
        <x:f>SUMIFS('菜谱BOM'!$F$5:$F$160,'菜谱BOM'!$A$5:$A$160,E438,'菜谱BOM'!$C$5:$C$160,"食材")</x:f>
        <x:v>510</x:v>
      </x:c>
      <x:c r="K438" s="38" t="n">
        <x:v>0.005824328075587825</x:v>
      </x:c>
      <x:c r="L438" s="35" t="n">
        <x:f>H438*J438*(1+K438)</x:f>
        <x:v>8207.526517096798</x:v>
      </x:c>
      <x:c r="M438" s="35" t="n">
        <x:f>SUMIFS('菜谱BOM'!$F$5:$F$160,'菜谱BOM'!$A$5:$A$160,E438,'菜谱BOM'!$C$5:$C$160,"调料")</x:f>
        <x:v>88</x:v>
      </x:c>
      <x:c r="N438" s="38" t="n">
        <x:v>-0.0014700431198510443</x:v>
      </x:c>
      <x:c r="O438" s="35" t="n">
        <x:f>H438*M438*(1+N438)</x:f>
        <x:v>1405.9301792872498</x:v>
      </x:c>
      <x:c r="P438" s="19" t="str">
        <x:f>IF(ABS(N438)&gt;'封面与口径'!$O$25,"机器调料需复核",IF(ABS(K438)&gt;0.02,"人工称重需复核","正常"))</x:f>
        <x:v>正常</x:v>
      </x:c>
      <x:c r="Q438" s="19" t="str">
        <x:v>宋海</x:v>
      </x:c>
    </x:row>
    <x:row r="439">
      <x:c r="A439" s="19" t="str">
        <x:v>2026-07-11|S04|D11</x:v>
      </x:c>
      <x:c r="B439" s="34" t="n">
        <x:v>46214.5</x:v>
      </x:c>
      <x:c r="C439" s="19" t="str">
        <x:v>S04</x:v>
      </x:c>
      <x:c r="D439" s="19" t="str">
        <x:v>金街美地店</x:v>
      </x:c>
      <x:c r="E439" s="19" t="str">
        <x:v>D11</x:v>
      </x:c>
      <x:c r="F439" s="19" t="str">
        <x:v>香辣爆肥肠</x:v>
      </x:c>
      <x:c r="G439" s="19" t="str">
        <x:v>R1.0</x:v>
      </x:c>
      <x:c r="H439" s="20" t="n">
        <x:f>XLOOKUP(A439,'菜品日销量'!$A$5:$A$1124,'菜品日销量'!$G$5:$G$1124,0)</x:f>
        <x:v>5</x:v>
      </x:c>
      <x:c r="I439" s="20" t="n">
        <x:f>ROUNDUP(H439/2,0)</x:f>
        <x:v>3</x:v>
      </x:c>
      <x:c r="J439" s="22" t="n">
        <x:f>SUMIFS('菜谱BOM'!$F$5:$F$160,'菜谱BOM'!$A$5:$A$160,E439,'菜谱BOM'!$C$5:$C$160,"食材")</x:f>
        <x:v>430</x:v>
      </x:c>
      <x:c r="K439" s="38" t="n">
        <x:v>-0.003689628022650636</x:v>
      </x:c>
      <x:c r="L439" s="35" t="n">
        <x:f>H439*J439*(1+K439)</x:f>
        <x:v>2142.067299751301</x:v>
      </x:c>
      <x:c r="M439" s="35" t="n">
        <x:f>SUMIFS('菜谱BOM'!$F$5:$F$160,'菜谱BOM'!$A$5:$A$160,E439,'菜谱BOM'!$C$5:$C$160,"调料")</x:f>
        <x:v>67</x:v>
      </x:c>
      <x:c r="N439" s="38" t="n">
        <x:v>0.0007783459859849758</x:v>
      </x:c>
      <x:c r="O439" s="35" t="n">
        <x:f>H439*M439*(1+N439)</x:f>
        <x:v>335.26074590530493</x:v>
      </x:c>
      <x:c r="P439" s="19" t="str">
        <x:f>IF(ABS(N439)&gt;'封面与口径'!$O$25,"机器调料需复核",IF(ABS(K439)&gt;0.02,"人工称重需复核","正常"))</x:f>
        <x:v>正常</x:v>
      </x:c>
      <x:c r="Q439" s="19" t="str">
        <x:v>宋海</x:v>
      </x:c>
    </x:row>
    <x:row r="440">
      <x:c r="A440" s="19" t="str">
        <x:v>2026-07-11|S04|D13</x:v>
      </x:c>
      <x:c r="B440" s="34" t="n">
        <x:v>46214.5</x:v>
      </x:c>
      <x:c r="C440" s="19" t="str">
        <x:v>S04</x:v>
      </x:c>
      <x:c r="D440" s="19" t="str">
        <x:v>金街美地店</x:v>
      </x:c>
      <x:c r="E440" s="19" t="str">
        <x:v>D13</x:v>
      </x:c>
      <x:c r="F440" s="19" t="str">
        <x:v>外婆菜炒蛋</x:v>
      </x:c>
      <x:c r="G440" s="19" t="str">
        <x:v>R1.0</x:v>
      </x:c>
      <x:c r="H440" s="20" t="n">
        <x:f>XLOOKUP(A440,'菜品日销量'!$A$5:$A$1124,'菜品日销量'!$G$5:$G$1124,0)</x:f>
        <x:v>13</x:v>
      </x:c>
      <x:c r="I440" s="20" t="n">
        <x:f>ROUNDUP(H440/2,0)</x:f>
        <x:v>7</x:v>
      </x:c>
      <x:c r="J440" s="22" t="n">
        <x:f>SUMIFS('菜谱BOM'!$F$5:$F$160,'菜谱BOM'!$A$5:$A$160,E440,'菜谱BOM'!$C$5:$C$160,"食材")</x:f>
        <x:v>450</x:v>
      </x:c>
      <x:c r="K440" s="38" t="n">
        <x:v>-0.003597515935915875</x:v>
      </x:c>
      <x:c r="L440" s="35" t="n">
        <x:f>H440*J440*(1+K440)</x:f>
        <x:v>5828.9545317748925</x:v>
      </x:c>
      <x:c r="M440" s="35" t="n">
        <x:f>SUMIFS('菜谱BOM'!$F$5:$F$160,'菜谱BOM'!$A$5:$A$160,E440,'菜谱BOM'!$C$5:$C$160,"调料")</x:f>
        <x:v>37</x:v>
      </x:c>
      <x:c r="N440" s="38" t="n">
        <x:v>0.0017524379165266728</x:v>
      </x:c>
      <x:c r="O440" s="35" t="n">
        <x:f>H440*M440*(1+N440)</x:f>
        <x:v>481.84292263784926</x:v>
      </x:c>
      <x:c r="P440" s="19" t="str">
        <x:f>IF(ABS(N440)&gt;'封面与口径'!$O$25,"机器调料需复核",IF(ABS(K440)&gt;0.02,"人工称重需复核","正常"))</x:f>
        <x:v>正常</x:v>
      </x:c>
      <x:c r="Q440" s="19" t="str">
        <x:v>宋海</x:v>
      </x:c>
    </x:row>
    <x:row r="441">
      <x:c r="A441" s="19" t="str">
        <x:v>2026-07-11|S04|D14</x:v>
      </x:c>
      <x:c r="B441" s="34" t="n">
        <x:v>46214.5</x:v>
      </x:c>
      <x:c r="C441" s="19" t="str">
        <x:v>S04</x:v>
      </x:c>
      <x:c r="D441" s="19" t="str">
        <x:v>金街美地店</x:v>
      </x:c>
      <x:c r="E441" s="19" t="str">
        <x:v>D14</x:v>
      </x:c>
      <x:c r="F441" s="19" t="str">
        <x:v>酸辣鸡杂</x:v>
      </x:c>
      <x:c r="G441" s="19" t="str">
        <x:v>R1.0</x:v>
      </x:c>
      <x:c r="H441" s="20" t="n">
        <x:f>XLOOKUP(A441,'菜品日销量'!$A$5:$A$1124,'菜品日销量'!$G$5:$G$1124,0)</x:f>
        <x:v>6</x:v>
      </x:c>
      <x:c r="I441" s="20" t="n">
        <x:f>ROUNDUP(H441/2,0)</x:f>
        <x:v>3</x:v>
      </x:c>
      <x:c r="J441" s="22" t="n">
        <x:f>SUMIFS('菜谱BOM'!$F$5:$F$160,'菜谱BOM'!$A$5:$A$160,E441,'菜谱BOM'!$C$5:$C$160,"食材")</x:f>
        <x:v>470</x:v>
      </x:c>
      <x:c r="K441" s="38" t="n">
        <x:v>-0.006410796053337585</x:v>
      </x:c>
      <x:c r="L441" s="35" t="n">
        <x:f>H441*J441*(1+K441)</x:f>
        <x:v>2801.921555129588</x:v>
      </x:c>
      <x:c r="M441" s="35" t="n">
        <x:f>SUMIFS('菜谱BOM'!$F$5:$F$160,'菜谱BOM'!$A$5:$A$160,E441,'菜谱BOM'!$C$5:$C$160,"调料")</x:f>
        <x:v>60</x:v>
      </x:c>
      <x:c r="N441" s="38" t="n">
        <x:v>0.000682654328337557</x:v>
      </x:c>
      <x:c r="O441" s="35" t="n">
        <x:f>H441*M441*(1+N441)</x:f>
        <x:v>360.24575555820155</x:v>
      </x:c>
      <x:c r="P441" s="19" t="str">
        <x:f>IF(ABS(N441)&gt;'封面与口径'!$O$25,"机器调料需复核",IF(ABS(K441)&gt;0.02,"人工称重需复核","正常"))</x:f>
        <x:v>正常</x:v>
      </x:c>
      <x:c r="Q441" s="19" t="str">
        <x:v>宋海</x:v>
      </x:c>
    </x:row>
    <x:row r="442">
      <x:c r="A442" s="19" t="str">
        <x:v>2026-07-11|S04|D15</x:v>
      </x:c>
      <x:c r="B442" s="34" t="n">
        <x:v>46214.5</x:v>
      </x:c>
      <x:c r="C442" s="19" t="str">
        <x:v>S04</x:v>
      </x:c>
      <x:c r="D442" s="19" t="str">
        <x:v>金街美地店</x:v>
      </x:c>
      <x:c r="E442" s="19" t="str">
        <x:v>D15</x:v>
      </x:c>
      <x:c r="F442" s="19" t="str">
        <x:v>湘西土匪猪肝</x:v>
      </x:c>
      <x:c r="G442" s="19" t="str">
        <x:v>R1.0</x:v>
      </x:c>
      <x:c r="H442" s="20" t="n">
        <x:f>XLOOKUP(A442,'菜品日销量'!$A$5:$A$1124,'菜品日销量'!$G$5:$G$1124,0)</x:f>
        <x:v>6</x:v>
      </x:c>
      <x:c r="I442" s="20" t="n">
        <x:f>ROUNDUP(H442/2,0)</x:f>
        <x:v>3</x:v>
      </x:c>
      <x:c r="J442" s="22" t="n">
        <x:f>SUMIFS('菜谱BOM'!$F$5:$F$160,'菜谱BOM'!$A$5:$A$160,E442,'菜谱BOM'!$C$5:$C$160,"食材")</x:f>
        <x:v>470</x:v>
      </x:c>
      <x:c r="K442" s="38" t="n">
        <x:v>-0.007492079827816245</x:v>
      </x:c>
      <x:c r="L442" s="35" t="n">
        <x:f>H442*J442*(1+K442)</x:f>
        <x:v>2798.8723348855583</x:v>
      </x:c>
      <x:c r="M442" s="35" t="n">
        <x:f>SUMIFS('菜谱BOM'!$F$5:$F$160,'菜谱BOM'!$A$5:$A$160,E442,'菜谱BOM'!$C$5:$C$160,"调料")</x:f>
        <x:v>49</x:v>
      </x:c>
      <x:c r="N442" s="38" t="n">
        <x:v>0.0017889292267591062</x:v>
      </x:c>
      <x:c r="O442" s="35" t="n">
        <x:f>H442*M442*(1+N442)</x:f>
        <x:v>294.52594519266717</x:v>
      </x:c>
      <x:c r="P442" s="19" t="str">
        <x:f>IF(ABS(N442)&gt;'封面与口径'!$O$25,"机器调料需复核",IF(ABS(K442)&gt;0.02,"人工称重需复核","正常"))</x:f>
        <x:v>正常</x:v>
      </x:c>
      <x:c r="Q442" s="19" t="str">
        <x:v>宋海</x:v>
      </x:c>
    </x:row>
    <x:row r="443">
      <x:c r="A443" s="19" t="str">
        <x:v>2026-07-11|S04|D16</x:v>
      </x:c>
      <x:c r="B443" s="34" t="n">
        <x:v>46214.5</x:v>
      </x:c>
      <x:c r="C443" s="19" t="str">
        <x:v>S04</x:v>
      </x:c>
      <x:c r="D443" s="19" t="str">
        <x:v>金街美地店</x:v>
      </x:c>
      <x:c r="E443" s="19" t="str">
        <x:v>D16</x:v>
      </x:c>
      <x:c r="F443" s="19" t="str">
        <x:v>小豆角炒五花</x:v>
      </x:c>
      <x:c r="G443" s="19" t="str">
        <x:v>R1.0</x:v>
      </x:c>
      <x:c r="H443" s="20" t="n">
        <x:f>XLOOKUP(A443,'菜品日销量'!$A$5:$A$1124,'菜品日销量'!$G$5:$G$1124,0)</x:f>
        <x:v>5</x:v>
      </x:c>
      <x:c r="I443" s="20" t="n">
        <x:f>ROUNDUP(H443/2,0)</x:f>
        <x:v>3</x:v>
      </x:c>
      <x:c r="J443" s="22" t="n">
        <x:f>SUMIFS('菜谱BOM'!$F$5:$F$160,'菜谱BOM'!$A$5:$A$160,E443,'菜谱BOM'!$C$5:$C$160,"食材")</x:f>
        <x:v>450</x:v>
      </x:c>
      <x:c r="K443" s="38" t="n">
        <x:v>-0.005129837586807515</x:v>
      </x:c>
      <x:c r="L443" s="35" t="n">
        <x:f>H443*J443*(1+K443)</x:f>
        <x:v>2238.457865429683</x:v>
      </x:c>
      <x:c r="M443" s="35" t="n">
        <x:f>SUMIFS('菜谱BOM'!$F$5:$F$160,'菜谱BOM'!$A$5:$A$160,E443,'菜谱BOM'!$C$5:$C$160,"调料")</x:f>
        <x:v>42</x:v>
      </x:c>
      <x:c r="N443" s="38" t="n">
        <x:v>-0.00035106650980912767</x:v>
      </x:c>
      <x:c r="O443" s="35" t="n">
        <x:f>H443*M443*(1+N443)</x:f>
        <x:v>209.92627603294008</x:v>
      </x:c>
      <x:c r="P443" s="19" t="str">
        <x:f>IF(ABS(N443)&gt;'封面与口径'!$O$25,"机器调料需复核",IF(ABS(K443)&gt;0.02,"人工称重需复核","正常"))</x:f>
        <x:v>正常</x:v>
      </x:c>
      <x:c r="Q443" s="19" t="str">
        <x:v>宋海</x:v>
      </x:c>
    </x:row>
    <x:row r="444">
      <x:c r="A444" s="19" t="str">
        <x:v>2026-07-11|S04|D18</x:v>
      </x:c>
      <x:c r="B444" s="34" t="n">
        <x:v>46214.5</x:v>
      </x:c>
      <x:c r="C444" s="19" t="str">
        <x:v>S04</x:v>
      </x:c>
      <x:c r="D444" s="19" t="str">
        <x:v>金街美地店</x:v>
      </x:c>
      <x:c r="E444" s="19" t="str">
        <x:v>D18</x:v>
      </x:c>
      <x:c r="F444" s="19" t="str">
        <x:v>青椒炒油麦菜</x:v>
      </x:c>
      <x:c r="G444" s="19" t="str">
        <x:v>R1.0</x:v>
      </x:c>
      <x:c r="H444" s="20" t="n">
        <x:f>XLOOKUP(A444,'菜品日销量'!$A$5:$A$1124,'菜品日销量'!$G$5:$G$1124,0)</x:f>
        <x:v>6</x:v>
      </x:c>
      <x:c r="I444" s="20" t="n">
        <x:f>ROUNDUP(H444/2,0)</x:f>
        <x:v>3</x:v>
      </x:c>
      <x:c r="J444" s="22" t="n">
        <x:f>SUMIFS('菜谱BOM'!$F$5:$F$160,'菜谱BOM'!$A$5:$A$160,E444,'菜谱BOM'!$C$5:$C$160,"食材")</x:f>
        <x:v>430</x:v>
      </x:c>
      <x:c r="K444" s="38" t="n">
        <x:v>-0.004829189024127365</x:v>
      </x:c>
      <x:c r="L444" s="35" t="n">
        <x:f>H444*J444*(1+K444)</x:f>
        <x:v>2567.5406923177516</x:v>
      </x:c>
      <x:c r="M444" s="35" t="n">
        <x:f>SUMIFS('菜谱BOM'!$F$5:$F$160,'菜谱BOM'!$A$5:$A$160,E444,'菜谱BOM'!$C$5:$C$160,"调料")</x:f>
        <x:v>33</x:v>
      </x:c>
      <x:c r="N444" s="38" t="n">
        <x:v>0.0016000017634592955</x:v>
      </x:c>
      <x:c r="O444" s="35" t="n">
        <x:f>H444*M444*(1+N444)</x:f>
        <x:v>198.31680034916494</x:v>
      </x:c>
      <x:c r="P444" s="19" t="str">
        <x:f>IF(ABS(N444)&gt;'封面与口径'!$O$25,"机器调料需复核",IF(ABS(K444)&gt;0.02,"人工称重需复核","正常"))</x:f>
        <x:v>正常</x:v>
      </x:c>
      <x:c r="Q444" s="19" t="str">
        <x:v>宋海</x:v>
      </x:c>
    </x:row>
    <x:row r="445">
      <x:c r="A445" s="19" t="str">
        <x:v>2026-07-11|S04|D19</x:v>
      </x:c>
      <x:c r="B445" s="34" t="n">
        <x:v>46214.5</x:v>
      </x:c>
      <x:c r="C445" s="19" t="str">
        <x:v>S04</x:v>
      </x:c>
      <x:c r="D445" s="19" t="str">
        <x:v>金街美地店</x:v>
      </x:c>
      <x:c r="E445" s="19" t="str">
        <x:v>D19</x:v>
      </x:c>
      <x:c r="F445" s="19" t="str">
        <x:v>酸萝卜炒鸡杂</x:v>
      </x:c>
      <x:c r="G445" s="19" t="str">
        <x:v>R1.0</x:v>
      </x:c>
      <x:c r="H445" s="20" t="n">
        <x:f>XLOOKUP(A445,'菜品日销量'!$A$5:$A$1124,'菜品日销量'!$G$5:$G$1124,0)</x:f>
        <x:v>5</x:v>
      </x:c>
      <x:c r="I445" s="20" t="n">
        <x:f>ROUNDUP(H445/2,0)</x:f>
        <x:v>3</x:v>
      </x:c>
      <x:c r="J445" s="22" t="n">
        <x:f>SUMIFS('菜谱BOM'!$F$5:$F$160,'菜谱BOM'!$A$5:$A$160,E445,'菜谱BOM'!$C$5:$C$160,"食材")</x:f>
        <x:v>500</x:v>
      </x:c>
      <x:c r="K445" s="38" t="n">
        <x:v>0.0024351409809745717</x:v>
      </x:c>
      <x:c r="L445" s="35" t="n">
        <x:f>H445*J445*(1+K445)</x:f>
        <x:v>2506.0878524524364</x:v>
      </x:c>
      <x:c r="M445" s="35" t="n">
        <x:f>SUMIFS('菜谱BOM'!$F$5:$F$160,'菜谱BOM'!$A$5:$A$160,E445,'菜谱BOM'!$C$5:$C$160,"调料")</x:f>
        <x:v>55</x:v>
      </x:c>
      <x:c r="N445" s="38" t="n">
        <x:v>-0.0011424093039572262</x:v>
      </x:c>
      <x:c r="O445" s="35" t="n">
        <x:f>H445*M445*(1+N445)</x:f>
        <x:v>274.68583744141176</x:v>
      </x:c>
      <x:c r="P445" s="19" t="str">
        <x:f>IF(ABS(N445)&gt;'封面与口径'!$O$25,"机器调料需复核",IF(ABS(K445)&gt;0.02,"人工称重需复核","正常"))</x:f>
        <x:v>正常</x:v>
      </x:c>
      <x:c r="Q445" s="19" t="str">
        <x:v>宋海</x:v>
      </x:c>
    </x:row>
    <x:row r="446">
      <x:c r="A446" s="19" t="str">
        <x:v>2026-07-11|S04|D20</x:v>
      </x:c>
      <x:c r="B446" s="34" t="n">
        <x:v>46214.5</x:v>
      </x:c>
      <x:c r="C446" s="19" t="str">
        <x:v>S04</x:v>
      </x:c>
      <x:c r="D446" s="19" t="str">
        <x:v>金街美地店</x:v>
      </x:c>
      <x:c r="E446" s="19" t="str">
        <x:v>D20</x:v>
      </x:c>
      <x:c r="F446" s="19" t="str">
        <x:v>雪菜肉末青豆</x:v>
      </x:c>
      <x:c r="G446" s="19" t="str">
        <x:v>R1.0</x:v>
      </x:c>
      <x:c r="H446" s="20" t="n">
        <x:f>XLOOKUP(A446,'菜品日销量'!$A$5:$A$1124,'菜品日销量'!$G$5:$G$1124,0)</x:f>
        <x:v>6</x:v>
      </x:c>
      <x:c r="I446" s="20" t="n">
        <x:f>ROUNDUP(H446/2,0)</x:f>
        <x:v>3</x:v>
      </x:c>
      <x:c r="J446" s="22" t="n">
        <x:f>SUMIFS('菜谱BOM'!$F$5:$F$160,'菜谱BOM'!$A$5:$A$160,E446,'菜谱BOM'!$C$5:$C$160,"食材")</x:f>
        <x:v>465</x:v>
      </x:c>
      <x:c r="K446" s="38" t="n">
        <x:v>-0.006537481117653074</x:v>
      </x:c>
      <x:c r="L446" s="35" t="n">
        <x:f>H446*J446*(1+K446)</x:f>
        <x:v>2771.760427681748</x:v>
      </x:c>
      <x:c r="M446" s="35" t="n">
        <x:f>SUMIFS('菜谱BOM'!$F$5:$F$160,'菜谱BOM'!$A$5:$A$160,E446,'菜谱BOM'!$C$5:$C$160,"调料")</x:f>
        <x:v>32</x:v>
      </x:c>
      <x:c r="N446" s="38" t="n">
        <x:v>-0.0007815926612311957</x:v>
      </x:c>
      <x:c r="O446" s="35" t="n">
        <x:f>H446*M446*(1+N446)</x:f>
        <x:v>191.8499342090436</x:v>
      </x:c>
      <x:c r="P446" s="19" t="str">
        <x:f>IF(ABS(N446)&gt;'封面与口径'!$O$25,"机器调料需复核",IF(ABS(K446)&gt;0.02,"人工称重需复核","正常"))</x:f>
        <x:v>正常</x:v>
      </x:c>
      <x:c r="Q446" s="19" t="str">
        <x:v>宋海</x:v>
      </x:c>
    </x:row>
    <x:row r="447">
      <x:c r="A447" s="19" t="str">
        <x:v>2026-07-12|S04|D01</x:v>
      </x:c>
      <x:c r="B447" s="34" t="n">
        <x:v>46215.5</x:v>
      </x:c>
      <x:c r="C447" s="19" t="str">
        <x:v>S04</x:v>
      </x:c>
      <x:c r="D447" s="19" t="str">
        <x:v>金街美地店</x:v>
      </x:c>
      <x:c r="E447" s="19" t="str">
        <x:v>D01</x:v>
      </x:c>
      <x:c r="F447" s="19" t="str">
        <x:v>辣椒炒肉</x:v>
      </x:c>
      <x:c r="G447" s="19" t="str">
        <x:v>R2.3</x:v>
      </x:c>
      <x:c r="H447" s="20" t="n">
        <x:f>XLOOKUP(A447,'菜品日销量'!$A$5:$A$1124,'菜品日销量'!$G$5:$G$1124,0)</x:f>
        <x:v>37</x:v>
      </x:c>
      <x:c r="I447" s="20" t="n">
        <x:f>ROUNDUP(H447/2,0)</x:f>
        <x:v>19</x:v>
      </x:c>
      <x:c r="J447" s="22" t="n">
        <x:f>SUMIFS('菜谱BOM'!$F$5:$F$160,'菜谱BOM'!$A$5:$A$160,E447,'菜谱BOM'!$C$5:$C$160,"食材")</x:f>
        <x:v>550</x:v>
      </x:c>
      <x:c r="K447" s="38" t="n">
        <x:v>-0.0073463016933170856</x:v>
      </x:c>
      <x:c r="L447" s="35" t="n">
        <x:f>H447*J447*(1+K447)</x:f>
        <x:v>20200.502760540996</x:v>
      </x:c>
      <x:c r="M447" s="35" t="n">
        <x:f>SUMIFS('菜谱BOM'!$F$5:$F$160,'菜谱BOM'!$A$5:$A$160,E447,'菜谱BOM'!$C$5:$C$160,"调料")</x:f>
        <x:v>104</x:v>
      </x:c>
      <x:c r="N447" s="38" t="n">
        <x:v>0.00005278931419662891</x:v>
      </x:c>
      <x:c r="O447" s="35" t="n">
        <x:f>H447*M447*(1+N447)</x:f>
        <x:v>3848.2031332810284</x:v>
      </x:c>
      <x:c r="P447" s="19" t="str">
        <x:f>IF(ABS(N447)&gt;'封面与口径'!$O$25,"机器调料需复核",IF(ABS(K447)&gt;0.02,"人工称重需复核","正常"))</x:f>
        <x:v>正常</x:v>
      </x:c>
      <x:c r="Q447" s="19" t="str">
        <x:v>宋海</x:v>
      </x:c>
    </x:row>
    <x:row r="448">
      <x:c r="A448" s="19" t="str">
        <x:v>2026-07-12|S04|D02</x:v>
      </x:c>
      <x:c r="B448" s="34" t="n">
        <x:v>46215.5</x:v>
      </x:c>
      <x:c r="C448" s="19" t="str">
        <x:v>S04</x:v>
      </x:c>
      <x:c r="D448" s="19" t="str">
        <x:v>金街美地店</x:v>
      </x:c>
      <x:c r="E448" s="19" t="str">
        <x:v>D02</x:v>
      </x:c>
      <x:c r="F448" s="19" t="str">
        <x:v>小炒黄牛肉</x:v>
      </x:c>
      <x:c r="G448" s="19" t="str">
        <x:v>R2.3</x:v>
      </x:c>
      <x:c r="H448" s="20" t="n">
        <x:f>XLOOKUP(A448,'菜品日销量'!$A$5:$A$1124,'菜品日销量'!$G$5:$G$1124,0)</x:f>
        <x:v>29</x:v>
      </x:c>
      <x:c r="I448" s="20" t="n">
        <x:f>ROUNDUP(H448/2,0)</x:f>
        <x:v>15</x:v>
      </x:c>
      <x:c r="J448" s="22" t="n">
        <x:f>SUMIFS('菜谱BOM'!$F$5:$F$160,'菜谱BOM'!$A$5:$A$160,E448,'菜谱BOM'!$C$5:$C$160,"食材")</x:f>
        <x:v>560</x:v>
      </x:c>
      <x:c r="K448" s="38" t="n">
        <x:v>0.00015784651230970503</x:v>
      </x:c>
      <x:c r="L448" s="35" t="n">
        <x:f>H448*J448*(1+K448)</x:f>
        <x:v>16242.56342735991</x:v>
      </x:c>
      <x:c r="M448" s="35" t="n">
        <x:f>SUMIFS('菜谱BOM'!$F$5:$F$160,'菜谱BOM'!$A$5:$A$160,E448,'菜谱BOM'!$C$5:$C$160,"调料")</x:f>
        <x:v>133</x:v>
      </x:c>
      <x:c r="N448" s="38" t="n">
        <x:v>0.0013640227632978985</x:v>
      </x:c>
      <x:c r="O448" s="35" t="n">
        <x:f>H448*M448*(1+N448)</x:f>
        <x:v>3862.2610357980398</x:v>
      </x:c>
      <x:c r="P448" s="19" t="str">
        <x:f>IF(ABS(N448)&gt;'封面与口径'!$O$25,"机器调料需复核",IF(ABS(K448)&gt;0.02,"人工称重需复核","正常"))</x:f>
        <x:v>正常</x:v>
      </x:c>
      <x:c r="Q448" s="19" t="str">
        <x:v>宋海</x:v>
      </x:c>
    </x:row>
    <x:row r="449">
      <x:c r="A449" s="19" t="str">
        <x:v>2026-07-12|S04|D03</x:v>
      </x:c>
      <x:c r="B449" s="34" t="n">
        <x:v>46215.5</x:v>
      </x:c>
      <x:c r="C449" s="19" t="str">
        <x:v>S04</x:v>
      </x:c>
      <x:c r="D449" s="19" t="str">
        <x:v>金街美地店</x:v>
      </x:c>
      <x:c r="E449" s="19" t="str">
        <x:v>D03</x:v>
      </x:c>
      <x:c r="F449" s="19" t="str">
        <x:v>香醋炒蛋</x:v>
      </x:c>
      <x:c r="G449" s="19" t="str">
        <x:v>R1.0</x:v>
      </x:c>
      <x:c r="H449" s="20" t="n">
        <x:f>XLOOKUP(A449,'菜品日销量'!$A$5:$A$1124,'菜品日销量'!$G$5:$G$1124,0)</x:f>
        <x:v>33</x:v>
      </x:c>
      <x:c r="I449" s="20" t="n">
        <x:f>ROUNDUP(H449/2,0)</x:f>
        <x:v>17</x:v>
      </x:c>
      <x:c r="J449" s="22" t="n">
        <x:f>SUMIFS('菜谱BOM'!$F$5:$F$160,'菜谱BOM'!$A$5:$A$160,E449,'菜谱BOM'!$C$5:$C$160,"食材")</x:f>
        <x:v>300</x:v>
      </x:c>
      <x:c r="K449" s="38" t="n">
        <x:v>0.0032991656128548</x:v>
      </x:c>
      <x:c r="L449" s="35" t="n">
        <x:f>H449*J449*(1+K449)</x:f>
        <x:v>9932.661739567262</x:v>
      </x:c>
      <x:c r="M449" s="35" t="n">
        <x:f>SUMIFS('菜谱BOM'!$F$5:$F$160,'菜谱BOM'!$A$5:$A$160,E449,'菜谱BOM'!$C$5:$C$160,"调料")</x:f>
        <x:v>53</x:v>
      </x:c>
      <x:c r="N449" s="38" t="n">
        <x:v>0.0003320815829402024</x:v>
      </x:c>
      <x:c r="O449" s="35" t="n">
        <x:f>H449*M449*(1+N449)</x:f>
        <x:v>1749.5808106885625</x:v>
      </x:c>
      <x:c r="P449" s="19" t="str">
        <x:f>IF(ABS(N449)&gt;'封面与口径'!$O$25,"机器调料需复核",IF(ABS(K449)&gt;0.02,"人工称重需复核","正常"))</x:f>
        <x:v>正常</x:v>
      </x:c>
      <x:c r="Q449" s="19" t="str">
        <x:v>宋海</x:v>
      </x:c>
    </x:row>
    <x:row r="450">
      <x:c r="A450" s="19" t="str">
        <x:v>2026-07-12|S04|D04</x:v>
      </x:c>
      <x:c r="B450" s="34" t="n">
        <x:v>46215.5</x:v>
      </x:c>
      <x:c r="C450" s="19" t="str">
        <x:v>S04</x:v>
      </x:c>
      <x:c r="D450" s="19" t="str">
        <x:v>金街美地店</x:v>
      </x:c>
      <x:c r="E450" s="19" t="str">
        <x:v>D04</x:v>
      </x:c>
      <x:c r="F450" s="19" t="str">
        <x:v>酸包菜炒粉皮</x:v>
      </x:c>
      <x:c r="G450" s="19" t="str">
        <x:v>R1.0</x:v>
      </x:c>
      <x:c r="H450" s="20" t="n">
        <x:f>XLOOKUP(A450,'菜品日销量'!$A$5:$A$1124,'菜品日销量'!$G$5:$G$1124,0)</x:f>
        <x:v>28</x:v>
      </x:c>
      <x:c r="I450" s="20" t="n">
        <x:f>ROUNDUP(H450/2,0)</x:f>
        <x:v>14</x:v>
      </x:c>
      <x:c r="J450" s="22" t="n">
        <x:f>SUMIFS('菜谱BOM'!$F$5:$F$160,'菜谱BOM'!$A$5:$A$160,E450,'菜谱BOM'!$C$5:$C$160,"食材")</x:f>
        <x:v>380</x:v>
      </x:c>
      <x:c r="K450" s="38" t="n">
        <x:v>-0.007824107296723897</x:v>
      </x:c>
      <x:c r="L450" s="35" t="n">
        <x:f>H450*J450*(1+K450)</x:f>
        <x:v>10556.751498362857</x:v>
      </x:c>
      <x:c r="M450" s="35" t="n">
        <x:f>SUMIFS('菜谱BOM'!$F$5:$F$160,'菜谱BOM'!$A$5:$A$160,E450,'菜谱BOM'!$C$5:$C$160,"调料")</x:f>
        <x:v>47</x:v>
      </x:c>
      <x:c r="N450" s="38" t="n">
        <x:v>-0.0007765194109586347</x:v>
      </x:c>
      <x:c r="O450" s="35" t="n">
        <x:f>H450*M450*(1+N450)</x:f>
        <x:v>1314.9781004551783</x:v>
      </x:c>
      <x:c r="P450" s="19" t="str">
        <x:f>IF(ABS(N450)&gt;'封面与口径'!$O$25,"机器调料需复核",IF(ABS(K450)&gt;0.02,"人工称重需复核","正常"))</x:f>
        <x:v>正常</x:v>
      </x:c>
      <x:c r="Q450" s="19" t="str">
        <x:v>宋海</x:v>
      </x:c>
    </x:row>
    <x:row r="451">
      <x:c r="A451" s="19" t="str">
        <x:v>2026-07-12|S04|D05</x:v>
      </x:c>
      <x:c r="B451" s="34" t="n">
        <x:v>46215.5</x:v>
      </x:c>
      <x:c r="C451" s="19" t="str">
        <x:v>S04</x:v>
      </x:c>
      <x:c r="D451" s="19" t="str">
        <x:v>金街美地店</x:v>
      </x:c>
      <x:c r="E451" s="19" t="str">
        <x:v>D05</x:v>
      </x:c>
      <x:c r="F451" s="19" t="str">
        <x:v>麻婆豆腐</x:v>
      </x:c>
      <x:c r="G451" s="19" t="str">
        <x:v>R1.0</x:v>
      </x:c>
      <x:c r="H451" s="20" t="n">
        <x:f>XLOOKUP(A451,'菜品日销量'!$A$5:$A$1124,'菜品日销量'!$G$5:$G$1124,0)</x:f>
        <x:v>39</x:v>
      </x:c>
      <x:c r="I451" s="20" t="n">
        <x:f>ROUNDUP(H451/2,0)</x:f>
        <x:v>20</x:v>
      </x:c>
      <x:c r="J451" s="22" t="n">
        <x:f>SUMIFS('菜谱BOM'!$F$5:$F$160,'菜谱BOM'!$A$5:$A$160,E451,'菜谱BOM'!$C$5:$C$160,"食材")</x:f>
        <x:v>505</x:v>
      </x:c>
      <x:c r="K451" s="38" t="n">
        <x:v>-0.005985493037380626</x:v>
      </x:c>
      <x:c r="L451" s="35" t="n">
        <x:f>H451*J451*(1+K451)</x:f>
        <x:v>19577.115714628788</x:v>
      </x:c>
      <x:c r="M451" s="35" t="n">
        <x:f>SUMIFS('菜谱BOM'!$F$5:$F$160,'菜谱BOM'!$A$5:$A$160,E451,'菜谱BOM'!$C$5:$C$160,"调料")</x:f>
        <x:v>90</x:v>
      </x:c>
      <x:c r="N451" s="38" t="n">
        <x:v>0.00032985157015031464</x:v>
      </x:c>
      <x:c r="O451" s="35" t="n">
        <x:f>H451*M451*(1+N451)</x:f>
        <x:v>3511.157779011228</x:v>
      </x:c>
      <x:c r="P451" s="19" t="str">
        <x:f>IF(ABS(N451)&gt;'封面与口径'!$O$25,"机器调料需复核",IF(ABS(K451)&gt;0.02,"人工称重需复核","正常"))</x:f>
        <x:v>正常</x:v>
      </x:c>
      <x:c r="Q451" s="19" t="str">
        <x:v>宋海</x:v>
      </x:c>
    </x:row>
    <x:row r="452">
      <x:c r="A452" s="19" t="str">
        <x:v>2026-07-12|S04|D07</x:v>
      </x:c>
      <x:c r="B452" s="34" t="n">
        <x:v>46215.5</x:v>
      </x:c>
      <x:c r="C452" s="19" t="str">
        <x:v>S04</x:v>
      </x:c>
      <x:c r="D452" s="19" t="str">
        <x:v>金街美地店</x:v>
      </x:c>
      <x:c r="E452" s="19" t="str">
        <x:v>D07</x:v>
      </x:c>
      <x:c r="F452" s="19" t="str">
        <x:v>川味回锅肉</x:v>
      </x:c>
      <x:c r="G452" s="19" t="str">
        <x:v>R1.0</x:v>
      </x:c>
      <x:c r="H452" s="20" t="n">
        <x:f>XLOOKUP(A452,'菜品日销量'!$A$5:$A$1124,'菜品日销量'!$G$5:$G$1124,0)</x:f>
        <x:v>12</x:v>
      </x:c>
      <x:c r="I452" s="20" t="n">
        <x:f>ROUNDUP(H452/2,0)</x:f>
        <x:v>6</x:v>
      </x:c>
      <x:c r="J452" s="22" t="n">
        <x:f>SUMIFS('菜谱BOM'!$F$5:$F$160,'菜谱BOM'!$A$5:$A$160,E452,'菜谱BOM'!$C$5:$C$160,"食材")</x:f>
        <x:v>450</x:v>
      </x:c>
      <x:c r="K452" s="38" t="n">
        <x:v>-0.0012350692845031314</x:v>
      </x:c>
      <x:c r="L452" s="35" t="n">
        <x:f>H452*J452*(1+K452)</x:f>
        <x:v>5393.330625863683</x:v>
      </x:c>
      <x:c r="M452" s="35" t="n">
        <x:f>SUMIFS('菜谱BOM'!$F$5:$F$160,'菜谱BOM'!$A$5:$A$160,E452,'菜谱BOM'!$C$5:$C$160,"调料")</x:f>
        <x:v>63</x:v>
      </x:c>
      <x:c r="N452" s="38" t="n">
        <x:v>-0.0012178761212196846</x:v>
      </x:c>
      <x:c r="O452" s="35" t="n">
        <x:f>H452*M452*(1+N452)</x:f>
        <x:v>755.079285652358</x:v>
      </x:c>
      <x:c r="P452" s="19" t="str">
        <x:f>IF(ABS(N452)&gt;'封面与口径'!$O$25,"机器调料需复核",IF(ABS(K452)&gt;0.02,"人工称重需复核","正常"))</x:f>
        <x:v>正常</x:v>
      </x:c>
      <x:c r="Q452" s="19" t="str">
        <x:v>宋海</x:v>
      </x:c>
    </x:row>
    <x:row r="453">
      <x:c r="A453" s="19" t="str">
        <x:v>2026-07-12|S04|D08</x:v>
      </x:c>
      <x:c r="B453" s="34" t="n">
        <x:v>46215.5</x:v>
      </x:c>
      <x:c r="C453" s="19" t="str">
        <x:v>S04</x:v>
      </x:c>
      <x:c r="D453" s="19" t="str">
        <x:v>金街美地店</x:v>
      </x:c>
      <x:c r="E453" s="19" t="str">
        <x:v>D08</x:v>
      </x:c>
      <x:c r="F453" s="19" t="str">
        <x:v>生炒清远鸡</x:v>
      </x:c>
      <x:c r="G453" s="19" t="str">
        <x:v>R1.0</x:v>
      </x:c>
      <x:c r="H453" s="20" t="n">
        <x:f>XLOOKUP(A453,'菜品日销量'!$A$5:$A$1124,'菜品日销量'!$G$5:$G$1124,0)</x:f>
        <x:v>7</x:v>
      </x:c>
      <x:c r="I453" s="20" t="n">
        <x:f>ROUNDUP(H453/2,0)</x:f>
        <x:v>4</x:v>
      </x:c>
      <x:c r="J453" s="22" t="n">
        <x:f>SUMIFS('菜谱BOM'!$F$5:$F$160,'菜谱BOM'!$A$5:$A$160,E453,'菜谱BOM'!$C$5:$C$160,"食材")</x:f>
        <x:v>610</x:v>
      </x:c>
      <x:c r="K453" s="38" t="n">
        <x:v>0.005932910006012047</x:v>
      </x:c>
      <x:c r="L453" s="35" t="n">
        <x:f>H453*J453*(1+K453)</x:f>
        <x:v>4295.333525725672</x:v>
      </x:c>
      <x:c r="M453" s="35" t="n">
        <x:f>SUMIFS('菜谱BOM'!$F$5:$F$160,'菜谱BOM'!$A$5:$A$160,E453,'菜谱BOM'!$C$5:$C$160,"调料")</x:f>
        <x:v>61</x:v>
      </x:c>
      <x:c r="N453" s="38" t="n">
        <x:v>0.00047913826594109124</x:v>
      </x:c>
      <x:c r="O453" s="35" t="n">
        <x:f>H453*M453*(1+N453)</x:f>
        <x:v>427.2045920395568</x:v>
      </x:c>
      <x:c r="P453" s="19" t="str">
        <x:f>IF(ABS(N453)&gt;'封面与口径'!$O$25,"机器调料需复核",IF(ABS(K453)&gt;0.02,"人工称重需复核","正常"))</x:f>
        <x:v>正常</x:v>
      </x:c>
      <x:c r="Q453" s="19" t="str">
        <x:v>宋海</x:v>
      </x:c>
    </x:row>
    <x:row r="454">
      <x:c r="A454" s="19" t="str">
        <x:v>2026-07-12|S04|D09</x:v>
      </x:c>
      <x:c r="B454" s="34" t="n">
        <x:v>46215.5</x:v>
      </x:c>
      <x:c r="C454" s="19" t="str">
        <x:v>S04</x:v>
      </x:c>
      <x:c r="D454" s="19" t="str">
        <x:v>金街美地店</x:v>
      </x:c>
      <x:c r="E454" s="19" t="str">
        <x:v>D09</x:v>
      </x:c>
      <x:c r="F454" s="19" t="str">
        <x:v>炒豆干</x:v>
      </x:c>
      <x:c r="G454" s="19" t="str">
        <x:v>R1.0</x:v>
      </x:c>
      <x:c r="H454" s="20" t="n">
        <x:f>XLOOKUP(A454,'菜品日销量'!$A$5:$A$1124,'菜品日销量'!$G$5:$G$1124,0)</x:f>
        <x:v>13</x:v>
      </x:c>
      <x:c r="I454" s="20" t="n">
        <x:f>ROUNDUP(H454/2,0)</x:f>
        <x:v>7</x:v>
      </x:c>
      <x:c r="J454" s="22" t="n">
        <x:f>SUMIFS('菜谱BOM'!$F$5:$F$160,'菜谱BOM'!$A$5:$A$160,E454,'菜谱BOM'!$C$5:$C$160,"食材")</x:f>
        <x:v>520</x:v>
      </x:c>
      <x:c r="K454" s="38" t="n">
        <x:v>-0.0029746998425048544</x:v>
      </x:c>
      <x:c r="L454" s="35" t="n">
        <x:f>H454*J454*(1+K454)</x:f>
        <x:v>6739.891029064667</x:v>
      </x:c>
      <x:c r="M454" s="35" t="n">
        <x:f>SUMIFS('菜谱BOM'!$F$5:$F$160,'菜谱BOM'!$A$5:$A$160,E454,'菜谱BOM'!$C$5:$C$160,"调料")</x:f>
        <x:v>42</x:v>
      </x:c>
      <x:c r="N454" s="38" t="n">
        <x:v>-0.0012153380306473324</x:v>
      </x:c>
      <x:c r="O454" s="35" t="n">
        <x:f>H454*M454*(1+N454)</x:f>
        <x:v>545.3364254352665</x:v>
      </x:c>
      <x:c r="P454" s="19" t="str">
        <x:f>IF(ABS(N454)&gt;'封面与口径'!$O$25,"机器调料需复核",IF(ABS(K454)&gt;0.02,"人工称重需复核","正常"))</x:f>
        <x:v>正常</x:v>
      </x:c>
      <x:c r="Q454" s="19" t="str">
        <x:v>宋海</x:v>
      </x:c>
    </x:row>
    <x:row r="455">
      <x:c r="A455" s="19" t="str">
        <x:v>2026-07-12|S04|D10</x:v>
      </x:c>
      <x:c r="B455" s="34" t="n">
        <x:v>46215.5</x:v>
      </x:c>
      <x:c r="C455" s="19" t="str">
        <x:v>S04</x:v>
      </x:c>
      <x:c r="D455" s="19" t="str">
        <x:v>金街美地店</x:v>
      </x:c>
      <x:c r="E455" s="19" t="str">
        <x:v>D10</x:v>
      </x:c>
      <x:c r="F455" s="19" t="str">
        <x:v>农家一碗香</x:v>
      </x:c>
      <x:c r="G455" s="19" t="str">
        <x:v>R2.3</x:v>
      </x:c>
      <x:c r="H455" s="20" t="n">
        <x:f>XLOOKUP(A455,'菜品日销量'!$A$5:$A$1124,'菜品日销量'!$G$5:$G$1124,0)</x:f>
        <x:v>14</x:v>
      </x:c>
      <x:c r="I455" s="20" t="n">
        <x:f>ROUNDUP(H455/2,0)</x:f>
        <x:v>7</x:v>
      </x:c>
      <x:c r="J455" s="22" t="n">
        <x:f>SUMIFS('菜谱BOM'!$F$5:$F$160,'菜谱BOM'!$A$5:$A$160,E455,'菜谱BOM'!$C$5:$C$160,"食材")</x:f>
        <x:v>510</x:v>
      </x:c>
      <x:c r="K455" s="38" t="n">
        <x:v>0.005997682638000157</x:v>
      </x:c>
      <x:c r="L455" s="35" t="n">
        <x:f>H455*J455*(1+K455)</x:f>
        <x:v>7182.823454035321</x:v>
      </x:c>
      <x:c r="M455" s="35" t="n">
        <x:f>SUMIFS('菜谱BOM'!$F$5:$F$160,'菜谱BOM'!$A$5:$A$160,E455,'菜谱BOM'!$C$5:$C$160,"调料")</x:f>
        <x:v>88</x:v>
      </x:c>
      <x:c r="N455" s="38" t="n">
        <x:v>0.0011730782210764192</x:v>
      </x:c>
      <x:c r="O455" s="35" t="n">
        <x:f>H455*M455*(1+N455)</x:f>
        <x:v>1233.445232368366</x:v>
      </x:c>
      <x:c r="P455" s="19" t="str">
        <x:f>IF(ABS(N455)&gt;'封面与口径'!$O$25,"机器调料需复核",IF(ABS(K455)&gt;0.02,"人工称重需复核","正常"))</x:f>
        <x:v>正常</x:v>
      </x:c>
      <x:c r="Q455" s="19" t="str">
        <x:v>宋海</x:v>
      </x:c>
    </x:row>
    <x:row r="456">
      <x:c r="A456" s="19" t="str">
        <x:v>2026-07-12|S04|D11</x:v>
      </x:c>
      <x:c r="B456" s="34" t="n">
        <x:v>46215.5</x:v>
      </x:c>
      <x:c r="C456" s="19" t="str">
        <x:v>S04</x:v>
      </x:c>
      <x:c r="D456" s="19" t="str">
        <x:v>金街美地店</x:v>
      </x:c>
      <x:c r="E456" s="19" t="str">
        <x:v>D11</x:v>
      </x:c>
      <x:c r="F456" s="19" t="str">
        <x:v>香辣爆肥肠</x:v>
      </x:c>
      <x:c r="G456" s="19" t="str">
        <x:v>R1.0</x:v>
      </x:c>
      <x:c r="H456" s="20" t="n">
        <x:f>XLOOKUP(A456,'菜品日销量'!$A$5:$A$1124,'菜品日销量'!$G$5:$G$1124,0)</x:f>
        <x:v>5</x:v>
      </x:c>
      <x:c r="I456" s="20" t="n">
        <x:f>ROUNDUP(H456/2,0)</x:f>
        <x:v>3</x:v>
      </x:c>
      <x:c r="J456" s="22" t="n">
        <x:f>SUMIFS('菜谱BOM'!$F$5:$F$160,'菜谱BOM'!$A$5:$A$160,E456,'菜谱BOM'!$C$5:$C$160,"食材")</x:f>
        <x:v>430</x:v>
      </x:c>
      <x:c r="K456" s="38" t="n">
        <x:v>0.0040093421963996595</x:v>
      </x:c>
      <x:c r="L456" s="35" t="n">
        <x:f>H456*J456*(1+K456)</x:f>
        <x:v>2158.6200857222593</x:v>
      </x:c>
      <x:c r="M456" s="35" t="n">
        <x:f>SUMIFS('菜谱BOM'!$F$5:$F$160,'菜谱BOM'!$A$5:$A$160,E456,'菜谱BOM'!$C$5:$C$160,"调料")</x:f>
        <x:v>67</x:v>
      </x:c>
      <x:c r="N456" s="38" t="n">
        <x:v>0.0008629991875176782</x:v>
      </x:c>
      <x:c r="O456" s="35" t="n">
        <x:f>H456*M456*(1+N456)</x:f>
        <x:v>335.2891047278184</x:v>
      </x:c>
      <x:c r="P456" s="19" t="str">
        <x:f>IF(ABS(N456)&gt;'封面与口径'!$O$25,"机器调料需复核",IF(ABS(K456)&gt;0.02,"人工称重需复核","正常"))</x:f>
        <x:v>正常</x:v>
      </x:c>
      <x:c r="Q456" s="19" t="str">
        <x:v>宋海</x:v>
      </x:c>
    </x:row>
    <x:row r="457">
      <x:c r="A457" s="19" t="str">
        <x:v>2026-07-12|S04|D13</x:v>
      </x:c>
      <x:c r="B457" s="34" t="n">
        <x:v>46215.5</x:v>
      </x:c>
      <x:c r="C457" s="19" t="str">
        <x:v>S04</x:v>
      </x:c>
      <x:c r="D457" s="19" t="str">
        <x:v>金街美地店</x:v>
      </x:c>
      <x:c r="E457" s="19" t="str">
        <x:v>D13</x:v>
      </x:c>
      <x:c r="F457" s="19" t="str">
        <x:v>外婆菜炒蛋</x:v>
      </x:c>
      <x:c r="G457" s="19" t="str">
        <x:v>R1.0</x:v>
      </x:c>
      <x:c r="H457" s="20" t="n">
        <x:f>XLOOKUP(A457,'菜品日销量'!$A$5:$A$1124,'菜品日销量'!$G$5:$G$1124,0)</x:f>
        <x:v>13</x:v>
      </x:c>
      <x:c r="I457" s="20" t="n">
        <x:f>ROUNDUP(H457/2,0)</x:f>
        <x:v>7</x:v>
      </x:c>
      <x:c r="J457" s="22" t="n">
        <x:f>SUMIFS('菜谱BOM'!$F$5:$F$160,'菜谱BOM'!$A$5:$A$160,E457,'菜谱BOM'!$C$5:$C$160,"食材")</x:f>
        <x:v>450</x:v>
      </x:c>
      <x:c r="K457" s="38" t="n">
        <x:v>-0.007396370820560579</x:v>
      </x:c>
      <x:c r="L457" s="35" t="n">
        <x:f>H457*J457*(1+K457)</x:f>
        <x:v>5806.731230699721</x:v>
      </x:c>
      <x:c r="M457" s="35" t="n">
        <x:f>SUMIFS('菜谱BOM'!$F$5:$F$160,'菜谱BOM'!$A$5:$A$160,E457,'菜谱BOM'!$C$5:$C$160,"调料")</x:f>
        <x:v>37</x:v>
      </x:c>
      <x:c r="N457" s="38" t="n">
        <x:v>0.0008252197687572847</x:v>
      </x:c>
      <x:c r="O457" s="35" t="n">
        <x:f>H457*M457*(1+N457)</x:f>
        <x:v>481.39693070877223</x:v>
      </x:c>
      <x:c r="P457" s="19" t="str">
        <x:f>IF(ABS(N457)&gt;'封面与口径'!$O$25,"机器调料需复核",IF(ABS(K457)&gt;0.02,"人工称重需复核","正常"))</x:f>
        <x:v>正常</x:v>
      </x:c>
      <x:c r="Q457" s="19" t="str">
        <x:v>宋海</x:v>
      </x:c>
    </x:row>
    <x:row r="458">
      <x:c r="A458" s="19" t="str">
        <x:v>2026-07-12|S04|D14</x:v>
      </x:c>
      <x:c r="B458" s="34" t="n">
        <x:v>46215.5</x:v>
      </x:c>
      <x:c r="C458" s="19" t="str">
        <x:v>S04</x:v>
      </x:c>
      <x:c r="D458" s="19" t="str">
        <x:v>金街美地店</x:v>
      </x:c>
      <x:c r="E458" s="19" t="str">
        <x:v>D14</x:v>
      </x:c>
      <x:c r="F458" s="19" t="str">
        <x:v>酸辣鸡杂</x:v>
      </x:c>
      <x:c r="G458" s="19" t="str">
        <x:v>R1.0</x:v>
      </x:c>
      <x:c r="H458" s="20" t="n">
        <x:f>XLOOKUP(A458,'菜品日销量'!$A$5:$A$1124,'菜品日销量'!$G$5:$G$1124,0)</x:f>
        <x:v>6</x:v>
      </x:c>
      <x:c r="I458" s="20" t="n">
        <x:f>ROUNDUP(H458/2,0)</x:f>
        <x:v>3</x:v>
      </x:c>
      <x:c r="J458" s="22" t="n">
        <x:f>SUMIFS('菜谱BOM'!$F$5:$F$160,'菜谱BOM'!$A$5:$A$160,E458,'菜谱BOM'!$C$5:$C$160,"食材")</x:f>
        <x:v>470</x:v>
      </x:c>
      <x:c r="K458" s="38" t="n">
        <x:v>0.007942002706216183</x:v>
      </x:c>
      <x:c r="L458" s="35" t="n">
        <x:f>H458*J458*(1+K458)</x:f>
        <x:v>2842.39644763153</x:v>
      </x:c>
      <x:c r="M458" s="35" t="n">
        <x:f>SUMIFS('菜谱BOM'!$F$5:$F$160,'菜谱BOM'!$A$5:$A$160,E458,'菜谱BOM'!$C$5:$C$160,"调料")</x:f>
        <x:v>60</x:v>
      </x:c>
      <x:c r="N458" s="38" t="n">
        <x:v>0.0018415686795119123</x:v>
      </x:c>
      <x:c r="O458" s="35" t="n">
        <x:f>H458*M458*(1+N458)</x:f>
        <x:v>360.66296472462426</x:v>
      </x:c>
      <x:c r="P458" s="19" t="str">
        <x:f>IF(ABS(N458)&gt;'封面与口径'!$O$25,"机器调料需复核",IF(ABS(K458)&gt;0.02,"人工称重需复核","正常"))</x:f>
        <x:v>正常</x:v>
      </x:c>
      <x:c r="Q458" s="19" t="str">
        <x:v>宋海</x:v>
      </x:c>
    </x:row>
    <x:row r="459">
      <x:c r="A459" s="19" t="str">
        <x:v>2026-07-12|S04|D15</x:v>
      </x:c>
      <x:c r="B459" s="34" t="n">
        <x:v>46215.5</x:v>
      </x:c>
      <x:c r="C459" s="19" t="str">
        <x:v>S04</x:v>
      </x:c>
      <x:c r="D459" s="19" t="str">
        <x:v>金街美地店</x:v>
      </x:c>
      <x:c r="E459" s="19" t="str">
        <x:v>D15</x:v>
      </x:c>
      <x:c r="F459" s="19" t="str">
        <x:v>湘西土匪猪肝</x:v>
      </x:c>
      <x:c r="G459" s="19" t="str">
        <x:v>R1.0</x:v>
      </x:c>
      <x:c r="H459" s="20" t="n">
        <x:f>XLOOKUP(A459,'菜品日销量'!$A$5:$A$1124,'菜品日销量'!$G$5:$G$1124,0)</x:f>
        <x:v>5</x:v>
      </x:c>
      <x:c r="I459" s="20" t="n">
        <x:f>ROUNDUP(H459/2,0)</x:f>
        <x:v>3</x:v>
      </x:c>
      <x:c r="J459" s="22" t="n">
        <x:f>SUMIFS('菜谱BOM'!$F$5:$F$160,'菜谱BOM'!$A$5:$A$160,E459,'菜谱BOM'!$C$5:$C$160,"食材")</x:f>
        <x:v>470</x:v>
      </x:c>
      <x:c r="K459" s="38" t="n">
        <x:v>0.005837690460923522</x:v>
      </x:c>
      <x:c r="L459" s="35" t="n">
        <x:f>H459*J459*(1+K459)</x:f>
        <x:v>2363.71857258317</x:v>
      </x:c>
      <x:c r="M459" s="35" t="n">
        <x:f>SUMIFS('菜谱BOM'!$F$5:$F$160,'菜谱BOM'!$A$5:$A$160,E459,'菜谱BOM'!$C$5:$C$160,"调料")</x:f>
        <x:v>49</x:v>
      </x:c>
      <x:c r="N459" s="38" t="n">
        <x:v>-0.001715632463739168</x:v>
      </x:c>
      <x:c r="O459" s="35" t="n">
        <x:f>H459*M459*(1+N459)</x:f>
        <x:v>244.5796700463839</x:v>
      </x:c>
      <x:c r="P459" s="19" t="str">
        <x:f>IF(ABS(N459)&gt;'封面与口径'!$O$25,"机器调料需复核",IF(ABS(K459)&gt;0.02,"人工称重需复核","正常"))</x:f>
        <x:v>正常</x:v>
      </x:c>
      <x:c r="Q459" s="19" t="str">
        <x:v>宋海</x:v>
      </x:c>
    </x:row>
    <x:row r="460">
      <x:c r="A460" s="19" t="str">
        <x:v>2026-07-12|S04|D16</x:v>
      </x:c>
      <x:c r="B460" s="34" t="n">
        <x:v>46215.5</x:v>
      </x:c>
      <x:c r="C460" s="19" t="str">
        <x:v>S04</x:v>
      </x:c>
      <x:c r="D460" s="19" t="str">
        <x:v>金街美地店</x:v>
      </x:c>
      <x:c r="E460" s="19" t="str">
        <x:v>D16</x:v>
      </x:c>
      <x:c r="F460" s="19" t="str">
        <x:v>小豆角炒五花</x:v>
      </x:c>
      <x:c r="G460" s="19" t="str">
        <x:v>R1.0</x:v>
      </x:c>
      <x:c r="H460" s="20" t="n">
        <x:f>XLOOKUP(A460,'菜品日销量'!$A$5:$A$1124,'菜品日销量'!$G$5:$G$1124,0)</x:f>
        <x:v>5</x:v>
      </x:c>
      <x:c r="I460" s="20" t="n">
        <x:f>ROUNDUP(H460/2,0)</x:f>
        <x:v>3</x:v>
      </x:c>
      <x:c r="J460" s="22" t="n">
        <x:f>SUMIFS('菜谱BOM'!$F$5:$F$160,'菜谱BOM'!$A$5:$A$160,E460,'菜谱BOM'!$C$5:$C$160,"食材")</x:f>
        <x:v>450</x:v>
      </x:c>
      <x:c r="K460" s="38" t="n">
        <x:v>0.0006987906379389557</x:v>
      </x:c>
      <x:c r="L460" s="35" t="n">
        <x:f>H460*J460*(1+K460)</x:f>
        <x:v>2251.5722789353626</x:v>
      </x:c>
      <x:c r="M460" s="35" t="n">
        <x:f>SUMIFS('菜谱BOM'!$F$5:$F$160,'菜谱BOM'!$A$5:$A$160,E460,'菜谱BOM'!$C$5:$C$160,"调料")</x:f>
        <x:v>42</x:v>
      </x:c>
      <x:c r="N460" s="38" t="n">
        <x:v>0.0007755413825566744</x:v>
      </x:c>
      <x:c r="O460" s="35" t="n">
        <x:f>H460*M460*(1+N460)</x:f>
        <x:v>210.1628636903369</x:v>
      </x:c>
      <x:c r="P460" s="19" t="str">
        <x:f>IF(ABS(N460)&gt;'封面与口径'!$O$25,"机器调料需复核",IF(ABS(K460)&gt;0.02,"人工称重需复核","正常"))</x:f>
        <x:v>正常</x:v>
      </x:c>
      <x:c r="Q460" s="19" t="str">
        <x:v>宋海</x:v>
      </x:c>
    </x:row>
    <x:row r="461">
      <x:c r="A461" s="19" t="str">
        <x:v>2026-07-12|S04|D18</x:v>
      </x:c>
      <x:c r="B461" s="34" t="n">
        <x:v>46215.5</x:v>
      </x:c>
      <x:c r="C461" s="19" t="str">
        <x:v>S04</x:v>
      </x:c>
      <x:c r="D461" s="19" t="str">
        <x:v>金街美地店</x:v>
      </x:c>
      <x:c r="E461" s="19" t="str">
        <x:v>D18</x:v>
      </x:c>
      <x:c r="F461" s="19" t="str">
        <x:v>青椒炒油麦菜</x:v>
      </x:c>
      <x:c r="G461" s="19" t="str">
        <x:v>R1.0</x:v>
      </x:c>
      <x:c r="H461" s="20" t="n">
        <x:f>XLOOKUP(A461,'菜品日销量'!$A$5:$A$1124,'菜品日销量'!$G$5:$G$1124,0)</x:f>
        <x:v>6</x:v>
      </x:c>
      <x:c r="I461" s="20" t="n">
        <x:f>ROUNDUP(H461/2,0)</x:f>
        <x:v>3</x:v>
      </x:c>
      <x:c r="J461" s="22" t="n">
        <x:f>SUMIFS('菜谱BOM'!$F$5:$F$160,'菜谱BOM'!$A$5:$A$160,E461,'菜谱BOM'!$C$5:$C$160,"食材")</x:f>
        <x:v>430</x:v>
      </x:c>
      <x:c r="K461" s="38" t="n">
        <x:v>0.0005968047139693056</x:v>
      </x:c>
      <x:c r="L461" s="35" t="n">
        <x:f>H461*J461*(1+K461)</x:f>
        <x:v>2581.5397561620407</x:v>
      </x:c>
      <x:c r="M461" s="35" t="n">
        <x:f>SUMIFS('菜谱BOM'!$F$5:$F$160,'菜谱BOM'!$A$5:$A$160,E461,'菜谱BOM'!$C$5:$C$160,"调料")</x:f>
        <x:v>33</x:v>
      </x:c>
      <x:c r="N461" s="38" t="n">
        <x:v>0.0008532476916101874</x:v>
      </x:c>
      <x:c r="O461" s="35" t="n">
        <x:f>H461*M461*(1+N461)</x:f>
        <x:v>198.1689430429388</x:v>
      </x:c>
      <x:c r="P461" s="19" t="str">
        <x:f>IF(ABS(N461)&gt;'封面与口径'!$O$25,"机器调料需复核",IF(ABS(K461)&gt;0.02,"人工称重需复核","正常"))</x:f>
        <x:v>正常</x:v>
      </x:c>
      <x:c r="Q461" s="19" t="str">
        <x:v>宋海</x:v>
      </x:c>
    </x:row>
    <x:row r="462">
      <x:c r="A462" s="19" t="str">
        <x:v>2026-07-12|S04|D19</x:v>
      </x:c>
      <x:c r="B462" s="34" t="n">
        <x:v>46215.5</x:v>
      </x:c>
      <x:c r="C462" s="19" t="str">
        <x:v>S04</x:v>
      </x:c>
      <x:c r="D462" s="19" t="str">
        <x:v>金街美地店</x:v>
      </x:c>
      <x:c r="E462" s="19" t="str">
        <x:v>D19</x:v>
      </x:c>
      <x:c r="F462" s="19" t="str">
        <x:v>酸萝卜炒鸡杂</x:v>
      </x:c>
      <x:c r="G462" s="19" t="str">
        <x:v>R1.0</x:v>
      </x:c>
      <x:c r="H462" s="20" t="n">
        <x:f>XLOOKUP(A462,'菜品日销量'!$A$5:$A$1124,'菜品日销量'!$G$5:$G$1124,0)</x:f>
        <x:v>4</x:v>
      </x:c>
      <x:c r="I462" s="20" t="n">
        <x:f>ROUNDUP(H462/2,0)</x:f>
        <x:v>2</x:v>
      </x:c>
      <x:c r="J462" s="22" t="n">
        <x:f>SUMIFS('菜谱BOM'!$F$5:$F$160,'菜谱BOM'!$A$5:$A$160,E462,'菜谱BOM'!$C$5:$C$160,"食材")</x:f>
        <x:v>500</x:v>
      </x:c>
      <x:c r="K462" s="38" t="n">
        <x:v>-0.0005640067738862724</x:v>
      </x:c>
      <x:c r="L462" s="35" t="n">
        <x:f>H462*J462*(1+K462)</x:f>
        <x:v>1998.8719864522275</x:v>
      </x:c>
      <x:c r="M462" s="35" t="n">
        <x:f>SUMIFS('菜谱BOM'!$F$5:$F$160,'菜谱BOM'!$A$5:$A$160,E462,'菜谱BOM'!$C$5:$C$160,"调料")</x:f>
        <x:v>55</x:v>
      </x:c>
      <x:c r="N462" s="38" t="n">
        <x:v>0.0007344098330322675</x:v>
      </x:c>
      <x:c r="O462" s="35" t="n">
        <x:f>H462*M462*(1+N462)</x:f>
        <x:v>220.16157016326707</x:v>
      </x:c>
      <x:c r="P462" s="19" t="str">
        <x:f>IF(ABS(N462)&gt;'封面与口径'!$O$25,"机器调料需复核",IF(ABS(K462)&gt;0.02,"人工称重需复核","正常"))</x:f>
        <x:v>正常</x:v>
      </x:c>
      <x:c r="Q462" s="19" t="str">
        <x:v>宋海</x:v>
      </x:c>
    </x:row>
    <x:row r="463">
      <x:c r="A463" s="19" t="str">
        <x:v>2026-07-12|S04|D20</x:v>
      </x:c>
      <x:c r="B463" s="34" t="n">
        <x:v>46215.5</x:v>
      </x:c>
      <x:c r="C463" s="19" t="str">
        <x:v>S04</x:v>
      </x:c>
      <x:c r="D463" s="19" t="str">
        <x:v>金街美地店</x:v>
      </x:c>
      <x:c r="E463" s="19" t="str">
        <x:v>D20</x:v>
      </x:c>
      <x:c r="F463" s="19" t="str">
        <x:v>雪菜肉末青豆</x:v>
      </x:c>
      <x:c r="G463" s="19" t="str">
        <x:v>R1.0</x:v>
      </x:c>
      <x:c r="H463" s="20" t="n">
        <x:f>XLOOKUP(A463,'菜品日销量'!$A$5:$A$1124,'菜品日销量'!$G$5:$G$1124,0)</x:f>
        <x:v>6</x:v>
      </x:c>
      <x:c r="I463" s="20" t="n">
        <x:f>ROUNDUP(H463/2,0)</x:f>
        <x:v>3</x:v>
      </x:c>
      <x:c r="J463" s="22" t="n">
        <x:f>SUMIFS('菜谱BOM'!$F$5:$F$160,'菜谱BOM'!$A$5:$A$160,E463,'菜谱BOM'!$C$5:$C$160,"食材")</x:f>
        <x:v>465</x:v>
      </x:c>
      <x:c r="K463" s="38" t="n">
        <x:v>-0.001764311505892387</x:v>
      </x:c>
      <x:c r="L463" s="35" t="n">
        <x:f>H463*J463*(1+K463)</x:f>
        <x:v>2785.07757089856</x:v>
      </x:c>
      <x:c r="M463" s="35" t="n">
        <x:f>SUMIFS('菜谱BOM'!$F$5:$F$160,'菜谱BOM'!$A$5:$A$160,E463,'菜谱BOM'!$C$5:$C$160,"调料")</x:f>
        <x:v>32</x:v>
      </x:c>
      <x:c r="N463" s="38" t="n">
        <x:v>0.0001253881953017295</x:v>
      </x:c>
      <x:c r="O463" s="35" t="n">
        <x:f>H463*M463*(1+N463)</x:f>
        <x:v>192.02407453349795</x:v>
      </x:c>
      <x:c r="P463" s="19" t="str">
        <x:f>IF(ABS(N463)&gt;'封面与口径'!$O$25,"机器调料需复核",IF(ABS(K463)&gt;0.02,"人工称重需复核","正常"))</x:f>
        <x:v>正常</x:v>
      </x:c>
      <x:c r="Q463" s="19" t="str">
        <x:v>宋海</x:v>
      </x:c>
    </x:row>
    <x:row r="464">
      <x:c r="A464" s="19" t="str">
        <x:v>2026-07-13|S04|D01</x:v>
      </x:c>
      <x:c r="B464" s="34" t="n">
        <x:v>46216.5</x:v>
      </x:c>
      <x:c r="C464" s="19" t="str">
        <x:v>S04</x:v>
      </x:c>
      <x:c r="D464" s="19" t="str">
        <x:v>金街美地店</x:v>
      </x:c>
      <x:c r="E464" s="19" t="str">
        <x:v>D01</x:v>
      </x:c>
      <x:c r="F464" s="19" t="str">
        <x:v>辣椒炒肉</x:v>
      </x:c>
      <x:c r="G464" s="19" t="str">
        <x:v>R2.3</x:v>
      </x:c>
      <x:c r="H464" s="20" t="n">
        <x:f>XLOOKUP(A464,'菜品日销量'!$A$5:$A$1124,'菜品日销量'!$G$5:$G$1124,0)</x:f>
        <x:v>52</x:v>
      </x:c>
      <x:c r="I464" s="20" t="n">
        <x:f>ROUNDUP(H464/2,0)</x:f>
        <x:v>26</x:v>
      </x:c>
      <x:c r="J464" s="22" t="n">
        <x:f>SUMIFS('菜谱BOM'!$F$5:$F$160,'菜谱BOM'!$A$5:$A$160,E464,'菜谱BOM'!$C$5:$C$160,"食材")</x:f>
        <x:v>550</x:v>
      </x:c>
      <x:c r="K464" s="38" t="n">
        <x:v>-0.003880445620948553</x:v>
      </x:c>
      <x:c r="L464" s="35" t="n">
        <x:f>H464*J464*(1+K464)</x:f>
        <x:v>28489.01925524087</x:v>
      </x:c>
      <x:c r="M464" s="35" t="n">
        <x:f>SUMIFS('菜谱BOM'!$F$5:$F$160,'菜谱BOM'!$A$5:$A$160,E464,'菜谱BOM'!$C$5:$C$160,"调料")</x:f>
        <x:v>104</x:v>
      </x:c>
      <x:c r="N464" s="38" t="n">
        <x:v>0.0007077079971106044</x:v>
      </x:c>
      <x:c r="O464" s="35" t="n">
        <x:f>H464*M464*(1+N464)</x:f>
        <x:v>5411.827284848374</x:v>
      </x:c>
      <x:c r="P464" s="19" t="str">
        <x:f>IF(ABS(N464)&gt;'封面与口径'!$O$25,"机器调料需复核",IF(ABS(K464)&gt;0.02,"人工称重需复核","正常"))</x:f>
        <x:v>正常</x:v>
      </x:c>
      <x:c r="Q464" s="19" t="str">
        <x:v>宋海</x:v>
      </x:c>
    </x:row>
    <x:row r="465">
      <x:c r="A465" s="19" t="str">
        <x:v>2026-07-13|S04|D02</x:v>
      </x:c>
      <x:c r="B465" s="34" t="n">
        <x:v>46216.5</x:v>
      </x:c>
      <x:c r="C465" s="19" t="str">
        <x:v>S04</x:v>
      </x:c>
      <x:c r="D465" s="19" t="str">
        <x:v>金街美地店</x:v>
      </x:c>
      <x:c r="E465" s="19" t="str">
        <x:v>D02</x:v>
      </x:c>
      <x:c r="F465" s="19" t="str">
        <x:v>小炒黄牛肉</x:v>
      </x:c>
      <x:c r="G465" s="19" t="str">
        <x:v>R2.3</x:v>
      </x:c>
      <x:c r="H465" s="20" t="n">
        <x:f>XLOOKUP(A465,'菜品日销量'!$A$5:$A$1124,'菜品日销量'!$G$5:$G$1124,0)</x:f>
        <x:v>33</x:v>
      </x:c>
      <x:c r="I465" s="20" t="n">
        <x:f>ROUNDUP(H465/2,0)</x:f>
        <x:v>17</x:v>
      </x:c>
      <x:c r="J465" s="22" t="n">
        <x:f>SUMIFS('菜谱BOM'!$F$5:$F$160,'菜谱BOM'!$A$5:$A$160,E465,'菜谱BOM'!$C$5:$C$160,"食材")</x:f>
        <x:v>560</x:v>
      </x:c>
      <x:c r="K465" s="38" t="n">
        <x:v>0.000689599489953741</x:v>
      </x:c>
      <x:c r="L465" s="35" t="n">
        <x:f>H465*J465*(1+K465)</x:f>
        <x:v>18492.743798574345</x:v>
      </x:c>
      <x:c r="M465" s="35" t="n">
        <x:f>SUMIFS('菜谱BOM'!$F$5:$F$160,'菜谱BOM'!$A$5:$A$160,E465,'菜谱BOM'!$C$5:$C$160,"调料")</x:f>
        <x:v>133</x:v>
      </x:c>
      <x:c r="N465" s="38" t="n">
        <x:v>0.0006214422179901607</x:v>
      </x:c>
      <x:c r="O465" s="35" t="n">
        <x:f>H465*M465*(1+N465)</x:f>
        <x:v>4391.727509894759</x:v>
      </x:c>
      <x:c r="P465" s="19" t="str">
        <x:f>IF(ABS(N465)&gt;'封面与口径'!$O$25,"机器调料需复核",IF(ABS(K465)&gt;0.02,"人工称重需复核","正常"))</x:f>
        <x:v>正常</x:v>
      </x:c>
      <x:c r="Q465" s="19" t="str">
        <x:v>宋海</x:v>
      </x:c>
    </x:row>
    <x:row r="466">
      <x:c r="A466" s="19" t="str">
        <x:v>2026-07-13|S04|D03</x:v>
      </x:c>
      <x:c r="B466" s="34" t="n">
        <x:v>46216.5</x:v>
      </x:c>
      <x:c r="C466" s="19" t="str">
        <x:v>S04</x:v>
      </x:c>
      <x:c r="D466" s="19" t="str">
        <x:v>金街美地店</x:v>
      </x:c>
      <x:c r="E466" s="19" t="str">
        <x:v>D03</x:v>
      </x:c>
      <x:c r="F466" s="19" t="str">
        <x:v>香醋炒蛋</x:v>
      </x:c>
      <x:c r="G466" s="19" t="str">
        <x:v>R1.0</x:v>
      </x:c>
      <x:c r="H466" s="20" t="n">
        <x:f>XLOOKUP(A466,'菜品日销量'!$A$5:$A$1124,'菜品日销量'!$G$5:$G$1124,0)</x:f>
        <x:v>46</x:v>
      </x:c>
      <x:c r="I466" s="20" t="n">
        <x:f>ROUNDUP(H466/2,0)</x:f>
        <x:v>23</x:v>
      </x:c>
      <x:c r="J466" s="22" t="n">
        <x:f>SUMIFS('菜谱BOM'!$F$5:$F$160,'菜谱BOM'!$A$5:$A$160,E466,'菜谱BOM'!$C$5:$C$160,"食材")</x:f>
        <x:v>300</x:v>
      </x:c>
      <x:c r="K466" s="38" t="n">
        <x:v>-0.004814967720959095</x:v>
      </x:c>
      <x:c r="L466" s="35" t="n">
        <x:f>H466*J466*(1+K466)</x:f>
        <x:v>13733.553445450763</x:v>
      </x:c>
      <x:c r="M466" s="35" t="n">
        <x:f>SUMIFS('菜谱BOM'!$F$5:$F$160,'菜谱BOM'!$A$5:$A$160,E466,'菜谱BOM'!$C$5:$C$160,"调料")</x:f>
        <x:v>53</x:v>
      </x:c>
      <x:c r="N466" s="38" t="n">
        <x:v>-0.00018864882602092093</x:v>
      </x:c>
      <x:c r="O466" s="35" t="n">
        <x:f>H466*M466*(1+N466)</x:f>
        <x:v>2437.540074162161</x:v>
      </x:c>
      <x:c r="P466" s="19" t="str">
        <x:f>IF(ABS(N466)&gt;'封面与口径'!$O$25,"机器调料需复核",IF(ABS(K466)&gt;0.02,"人工称重需复核","正常"))</x:f>
        <x:v>正常</x:v>
      </x:c>
      <x:c r="Q466" s="19" t="str">
        <x:v>宋海</x:v>
      </x:c>
    </x:row>
    <x:row r="467">
      <x:c r="A467" s="19" t="str">
        <x:v>2026-07-13|S04|D04</x:v>
      </x:c>
      <x:c r="B467" s="34" t="n">
        <x:v>46216.5</x:v>
      </x:c>
      <x:c r="C467" s="19" t="str">
        <x:v>S04</x:v>
      </x:c>
      <x:c r="D467" s="19" t="str">
        <x:v>金街美地店</x:v>
      </x:c>
      <x:c r="E467" s="19" t="str">
        <x:v>D04</x:v>
      </x:c>
      <x:c r="F467" s="19" t="str">
        <x:v>酸包菜炒粉皮</x:v>
      </x:c>
      <x:c r="G467" s="19" t="str">
        <x:v>R1.0</x:v>
      </x:c>
      <x:c r="H467" s="20" t="n">
        <x:f>XLOOKUP(A467,'菜品日销量'!$A$5:$A$1124,'菜品日销量'!$G$5:$G$1124,0)</x:f>
        <x:v>45</x:v>
      </x:c>
      <x:c r="I467" s="20" t="n">
        <x:f>ROUNDUP(H467/2,0)</x:f>
        <x:v>23</x:v>
      </x:c>
      <x:c r="J467" s="22" t="n">
        <x:f>SUMIFS('菜谱BOM'!$F$5:$F$160,'菜谱BOM'!$A$5:$A$160,E467,'菜谱BOM'!$C$5:$C$160,"食材")</x:f>
        <x:v>380</x:v>
      </x:c>
      <x:c r="K467" s="38" t="n">
        <x:v>0.004314940570926979</x:v>
      </x:c>
      <x:c r="L467" s="35" t="n">
        <x:f>H467*J467*(1+K467)</x:f>
        <x:v>17173.785483762855</x:v>
      </x:c>
      <x:c r="M467" s="35" t="n">
        <x:f>SUMIFS('菜谱BOM'!$F$5:$F$160,'菜谱BOM'!$A$5:$A$160,E467,'菜谱BOM'!$C$5:$C$160,"调料")</x:f>
        <x:v>47</x:v>
      </x:c>
      <x:c r="N467" s="38" t="n">
        <x:v>0.000624076391249913</x:v>
      </x:c>
      <x:c r="O467" s="35" t="n">
        <x:f>H467*M467*(1+N467)</x:f>
        <x:v>2116.3199215674936</x:v>
      </x:c>
      <x:c r="P467" s="19" t="str">
        <x:f>IF(ABS(N467)&gt;'封面与口径'!$O$25,"机器调料需复核",IF(ABS(K467)&gt;0.02,"人工称重需复核","正常"))</x:f>
        <x:v>正常</x:v>
      </x:c>
      <x:c r="Q467" s="19" t="str">
        <x:v>宋海</x:v>
      </x:c>
    </x:row>
    <x:row r="468">
      <x:c r="A468" s="19" t="str">
        <x:v>2026-07-13|S04|D05</x:v>
      </x:c>
      <x:c r="B468" s="34" t="n">
        <x:v>46216.5</x:v>
      </x:c>
      <x:c r="C468" s="19" t="str">
        <x:v>S04</x:v>
      </x:c>
      <x:c r="D468" s="19" t="str">
        <x:v>金街美地店</x:v>
      </x:c>
      <x:c r="E468" s="19" t="str">
        <x:v>D05</x:v>
      </x:c>
      <x:c r="F468" s="19" t="str">
        <x:v>麻婆豆腐</x:v>
      </x:c>
      <x:c r="G468" s="19" t="str">
        <x:v>R1.0</x:v>
      </x:c>
      <x:c r="H468" s="20" t="n">
        <x:f>XLOOKUP(A468,'菜品日销量'!$A$5:$A$1124,'菜品日销量'!$G$5:$G$1124,0)</x:f>
        <x:v>58</x:v>
      </x:c>
      <x:c r="I468" s="20" t="n">
        <x:f>ROUNDUP(H468/2,0)</x:f>
        <x:v>29</x:v>
      </x:c>
      <x:c r="J468" s="22" t="n">
        <x:f>SUMIFS('菜谱BOM'!$F$5:$F$160,'菜谱BOM'!$A$5:$A$160,E468,'菜谱BOM'!$C$5:$C$160,"食材")</x:f>
        <x:v>505</x:v>
      </x:c>
      <x:c r="K468" s="38" t="n">
        <x:v>0.0007111905460970452</x:v>
      </x:c>
      <x:c r="L468" s="35" t="n">
        <x:f>H468*J468*(1+K468)</x:f>
        <x:v>29310.83077109518</x:v>
      </x:c>
      <x:c r="M468" s="35" t="n">
        <x:f>SUMIFS('菜谱BOM'!$F$5:$F$160,'菜谱BOM'!$A$5:$A$160,E468,'菜谱BOM'!$C$5:$C$160,"调料")</x:f>
        <x:v>90</x:v>
      </x:c>
      <x:c r="N468" s="38" t="n">
        <x:v>0.001477984398481898</x:v>
      </x:c>
      <x:c r="O468" s="35" t="n">
        <x:f>H468*M468*(1+N468)</x:f>
        <x:v>5227.715078560075</x:v>
      </x:c>
      <x:c r="P468" s="19" t="str">
        <x:f>IF(ABS(N468)&gt;'封面与口径'!$O$25,"机器调料需复核",IF(ABS(K468)&gt;0.02,"人工称重需复核","正常"))</x:f>
        <x:v>正常</x:v>
      </x:c>
      <x:c r="Q468" s="19" t="str">
        <x:v>宋海</x:v>
      </x:c>
    </x:row>
    <x:row r="469">
      <x:c r="A469" s="19" t="str">
        <x:v>2026-07-13|S04|D07</x:v>
      </x:c>
      <x:c r="B469" s="34" t="n">
        <x:v>46216.5</x:v>
      </x:c>
      <x:c r="C469" s="19" t="str">
        <x:v>S04</x:v>
      </x:c>
      <x:c r="D469" s="19" t="str">
        <x:v>金街美地店</x:v>
      </x:c>
      <x:c r="E469" s="19" t="str">
        <x:v>D07</x:v>
      </x:c>
      <x:c r="F469" s="19" t="str">
        <x:v>川味回锅肉</x:v>
      </x:c>
      <x:c r="G469" s="19" t="str">
        <x:v>R1.0</x:v>
      </x:c>
      <x:c r="H469" s="20" t="n">
        <x:f>XLOOKUP(A469,'菜品日销量'!$A$5:$A$1124,'菜品日销量'!$G$5:$G$1124,0)</x:f>
        <x:v>17</x:v>
      </x:c>
      <x:c r="I469" s="20" t="n">
        <x:f>ROUNDUP(H469/2,0)</x:f>
        <x:v>9</x:v>
      </x:c>
      <x:c r="J469" s="22" t="n">
        <x:f>SUMIFS('菜谱BOM'!$F$5:$F$160,'菜谱BOM'!$A$5:$A$160,E469,'菜谱BOM'!$C$5:$C$160,"食材")</x:f>
        <x:v>450</x:v>
      </x:c>
      <x:c r="K469" s="38" t="n">
        <x:v>0.001646949546795094</x:v>
      </x:c>
      <x:c r="L469" s="35" t="n">
        <x:f>H469*J469*(1+K469)</x:f>
        <x:v>7662.599164032982</x:v>
      </x:c>
      <x:c r="M469" s="35" t="n">
        <x:f>SUMIFS('菜谱BOM'!$F$5:$F$160,'菜谱BOM'!$A$5:$A$160,E469,'菜谱BOM'!$C$5:$C$160,"调料")</x:f>
        <x:v>63</x:v>
      </x:c>
      <x:c r="N469" s="38" t="n">
        <x:v>0.0006270506807200262</x:v>
      </x:c>
      <x:c r="O469" s="35" t="n">
        <x:f>H469*M469*(1+N469)</x:f>
        <x:v>1071.671571279051</x:v>
      </x:c>
      <x:c r="P469" s="19" t="str">
        <x:f>IF(ABS(N469)&gt;'封面与口径'!$O$25,"机器调料需复核",IF(ABS(K469)&gt;0.02,"人工称重需复核","正常"))</x:f>
        <x:v>正常</x:v>
      </x:c>
      <x:c r="Q469" s="19" t="str">
        <x:v>宋海</x:v>
      </x:c>
    </x:row>
    <x:row r="470">
      <x:c r="A470" s="19" t="str">
        <x:v>2026-07-13|S04|D08</x:v>
      </x:c>
      <x:c r="B470" s="34" t="n">
        <x:v>46216.5</x:v>
      </x:c>
      <x:c r="C470" s="19" t="str">
        <x:v>S04</x:v>
      </x:c>
      <x:c r="D470" s="19" t="str">
        <x:v>金街美地店</x:v>
      </x:c>
      <x:c r="E470" s="19" t="str">
        <x:v>D08</x:v>
      </x:c>
      <x:c r="F470" s="19" t="str">
        <x:v>生炒清远鸡</x:v>
      </x:c>
      <x:c r="G470" s="19" t="str">
        <x:v>R1.0</x:v>
      </x:c>
      <x:c r="H470" s="20" t="n">
        <x:f>XLOOKUP(A470,'菜品日销量'!$A$5:$A$1124,'菜品日销量'!$G$5:$G$1124,0)</x:f>
        <x:v>12</x:v>
      </x:c>
      <x:c r="I470" s="20" t="n">
        <x:f>ROUNDUP(H470/2,0)</x:f>
        <x:v>6</x:v>
      </x:c>
      <x:c r="J470" s="22" t="n">
        <x:f>SUMIFS('菜谱BOM'!$F$5:$F$160,'菜谱BOM'!$A$5:$A$160,E470,'菜谱BOM'!$C$5:$C$160,"食材")</x:f>
        <x:v>610</x:v>
      </x:c>
      <x:c r="K470" s="38" t="n">
        <x:v>0.007647345945156959</x:v>
      </x:c>
      <x:c r="L470" s="35" t="n">
        <x:f>H470*J470*(1+K470)</x:f>
        <x:v>7375.978572318549</x:v>
      </x:c>
      <x:c r="M470" s="35" t="n">
        <x:f>SUMIFS('菜谱BOM'!$F$5:$F$160,'菜谱BOM'!$A$5:$A$160,E470,'菜谱BOM'!$C$5:$C$160,"调料")</x:f>
        <x:v>61</x:v>
      </x:c>
      <x:c r="N470" s="38" t="n">
        <x:v>-0.0007627936915407874</x:v>
      </x:c>
      <x:c r="O470" s="35" t="n">
        <x:f>H470*M470*(1+N470)</x:f>
        <x:v>731.4416350177921</x:v>
      </x:c>
      <x:c r="P470" s="19" t="str">
        <x:f>IF(ABS(N470)&gt;'封面与口径'!$O$25,"机器调料需复核",IF(ABS(K470)&gt;0.02,"人工称重需复核","正常"))</x:f>
        <x:v>正常</x:v>
      </x:c>
      <x:c r="Q470" s="19" t="str">
        <x:v>宋海</x:v>
      </x:c>
    </x:row>
    <x:row r="471">
      <x:c r="A471" s="19" t="str">
        <x:v>2026-07-13|S04|D09</x:v>
      </x:c>
      <x:c r="B471" s="34" t="n">
        <x:v>46216.5</x:v>
      </x:c>
      <x:c r="C471" s="19" t="str">
        <x:v>S04</x:v>
      </x:c>
      <x:c r="D471" s="19" t="str">
        <x:v>金街美地店</x:v>
      </x:c>
      <x:c r="E471" s="19" t="str">
        <x:v>D09</x:v>
      </x:c>
      <x:c r="F471" s="19" t="str">
        <x:v>炒豆干</x:v>
      </x:c>
      <x:c r="G471" s="19" t="str">
        <x:v>R1.0</x:v>
      </x:c>
      <x:c r="H471" s="20" t="n">
        <x:f>XLOOKUP(A471,'菜品日销量'!$A$5:$A$1124,'菜品日销量'!$G$5:$G$1124,0)</x:f>
        <x:v>16</x:v>
      </x:c>
      <x:c r="I471" s="20" t="n">
        <x:f>ROUNDUP(H471/2,0)</x:f>
        <x:v>8</x:v>
      </x:c>
      <x:c r="J471" s="22" t="n">
        <x:f>SUMIFS('菜谱BOM'!$F$5:$F$160,'菜谱BOM'!$A$5:$A$160,E471,'菜谱BOM'!$C$5:$C$160,"食材")</x:f>
        <x:v>520</x:v>
      </x:c>
      <x:c r="K471" s="38" t="n">
        <x:v>-0.006119790605762924</x:v>
      </x:c>
      <x:c r="L471" s="35" t="n">
        <x:f>H471*J471*(1+K471)</x:f>
        <x:v>8269.083342160053</x:v>
      </x:c>
      <x:c r="M471" s="35" t="n">
        <x:f>SUMIFS('菜谱BOM'!$F$5:$F$160,'菜谱BOM'!$A$5:$A$160,E471,'菜谱BOM'!$C$5:$C$160,"调料")</x:f>
        <x:v>42</x:v>
      </x:c>
      <x:c r="N471" s="38" t="n">
        <x:v>0.000593510377824658</x:v>
      </x:c>
      <x:c r="O471" s="35" t="n">
        <x:f>H471*M471*(1+N471)</x:f>
        <x:v>672.3988389738983</x:v>
      </x:c>
      <x:c r="P471" s="19" t="str">
        <x:f>IF(ABS(N471)&gt;'封面与口径'!$O$25,"机器调料需复核",IF(ABS(K471)&gt;0.02,"人工称重需复核","正常"))</x:f>
        <x:v>正常</x:v>
      </x:c>
      <x:c r="Q471" s="19" t="str">
        <x:v>宋海</x:v>
      </x:c>
    </x:row>
    <x:row r="472">
      <x:c r="A472" s="19" t="str">
        <x:v>2026-07-13|S04|D10</x:v>
      </x:c>
      <x:c r="B472" s="34" t="n">
        <x:v>46216.5</x:v>
      </x:c>
      <x:c r="C472" s="19" t="str">
        <x:v>S04</x:v>
      </x:c>
      <x:c r="D472" s="19" t="str">
        <x:v>金街美地店</x:v>
      </x:c>
      <x:c r="E472" s="19" t="str">
        <x:v>D10</x:v>
      </x:c>
      <x:c r="F472" s="19" t="str">
        <x:v>农家一碗香</x:v>
      </x:c>
      <x:c r="G472" s="19" t="str">
        <x:v>R2.3</x:v>
      </x:c>
      <x:c r="H472" s="20" t="n">
        <x:f>XLOOKUP(A472,'菜品日销量'!$A$5:$A$1124,'菜品日销量'!$G$5:$G$1124,0)</x:f>
        <x:v>21</x:v>
      </x:c>
      <x:c r="I472" s="20" t="n">
        <x:f>ROUNDUP(H472/2,0)</x:f>
        <x:v>11</x:v>
      </x:c>
      <x:c r="J472" s="22" t="n">
        <x:f>SUMIFS('菜谱BOM'!$F$5:$F$160,'菜谱BOM'!$A$5:$A$160,E472,'菜谱BOM'!$C$5:$C$160,"食材")</x:f>
        <x:v>510</x:v>
      </x:c>
      <x:c r="K472" s="38" t="n">
        <x:v>0.003988943624307621</x:v>
      </x:c>
      <x:c r="L472" s="35" t="n">
        <x:f>H472*J472*(1+K472)</x:f>
        <x:v>10752.721586216336</x:v>
      </x:c>
      <x:c r="M472" s="35" t="n">
        <x:f>SUMIFS('菜谱BOM'!$F$5:$F$160,'菜谱BOM'!$A$5:$A$160,E472,'菜谱BOM'!$C$5:$C$160,"调料")</x:f>
        <x:v>88</x:v>
      </x:c>
      <x:c r="N472" s="38" t="n">
        <x:v>-0.0017036393982599583</x:v>
      </x:c>
      <x:c r="O472" s="35" t="n">
        <x:f>H472*M472*(1+N472)</x:f>
        <x:v>1844.8516743920156</x:v>
      </x:c>
      <x:c r="P472" s="19" t="str">
        <x:f>IF(ABS(N472)&gt;'封面与口径'!$O$25,"机器调料需复核",IF(ABS(K472)&gt;0.02,"人工称重需复核","正常"))</x:f>
        <x:v>正常</x:v>
      </x:c>
      <x:c r="Q472" s="19" t="str">
        <x:v>宋海</x:v>
      </x:c>
    </x:row>
    <x:row r="473">
      <x:c r="A473" s="19" t="str">
        <x:v>2026-07-13|S04|D11</x:v>
      </x:c>
      <x:c r="B473" s="34" t="n">
        <x:v>46216.5</x:v>
      </x:c>
      <x:c r="C473" s="19" t="str">
        <x:v>S04</x:v>
      </x:c>
      <x:c r="D473" s="19" t="str">
        <x:v>金街美地店</x:v>
      </x:c>
      <x:c r="E473" s="19" t="str">
        <x:v>D11</x:v>
      </x:c>
      <x:c r="F473" s="19" t="str">
        <x:v>香辣爆肥肠</x:v>
      </x:c>
      <x:c r="G473" s="19" t="str">
        <x:v>R1.0</x:v>
      </x:c>
      <x:c r="H473" s="20" t="n">
        <x:f>XLOOKUP(A473,'菜品日销量'!$A$5:$A$1124,'菜品日销量'!$G$5:$G$1124,0)</x:f>
        <x:v>7</x:v>
      </x:c>
      <x:c r="I473" s="20" t="n">
        <x:f>ROUNDUP(H473/2,0)</x:f>
        <x:v>4</x:v>
      </x:c>
      <x:c r="J473" s="22" t="n">
        <x:f>SUMIFS('菜谱BOM'!$F$5:$F$160,'菜谱BOM'!$A$5:$A$160,E473,'菜谱BOM'!$C$5:$C$160,"食材")</x:f>
        <x:v>430</x:v>
      </x:c>
      <x:c r="K473" s="38" t="n">
        <x:v>-0.002551561961544576</x:v>
      </x:c>
      <x:c r="L473" s="35" t="n">
        <x:f>H473*J473*(1+K473)</x:f>
        <x:v>3002.3197984957505</x:v>
      </x:c>
      <x:c r="M473" s="35" t="n">
        <x:f>SUMIFS('菜谱BOM'!$F$5:$F$160,'菜谱BOM'!$A$5:$A$160,E473,'菜谱BOM'!$C$5:$C$160,"调料")</x:f>
        <x:v>67</x:v>
      </x:c>
      <x:c r="N473" s="38" t="n">
        <x:v>0.0018589691379710493</x:v>
      </x:c>
      <x:c r="O473" s="35" t="n">
        <x:f>H473*M473*(1+N473)</x:f>
        <x:v>469.87185652570844</x:v>
      </x:c>
      <x:c r="P473" s="19" t="str">
        <x:f>IF(ABS(N473)&gt;'封面与口径'!$O$25,"机器调料需复核",IF(ABS(K473)&gt;0.02,"人工称重需复核","正常"))</x:f>
        <x:v>正常</x:v>
      </x:c>
      <x:c r="Q473" s="19" t="str">
        <x:v>宋海</x:v>
      </x:c>
    </x:row>
    <x:row r="474">
      <x:c r="A474" s="19" t="str">
        <x:v>2026-07-13|S04|D13</x:v>
      </x:c>
      <x:c r="B474" s="34" t="n">
        <x:v>46216.5</x:v>
      </x:c>
      <x:c r="C474" s="19" t="str">
        <x:v>S04</x:v>
      </x:c>
      <x:c r="D474" s="19" t="str">
        <x:v>金街美地店</x:v>
      </x:c>
      <x:c r="E474" s="19" t="str">
        <x:v>D13</x:v>
      </x:c>
      <x:c r="F474" s="19" t="str">
        <x:v>外婆菜炒蛋</x:v>
      </x:c>
      <x:c r="G474" s="19" t="str">
        <x:v>R1.0</x:v>
      </x:c>
      <x:c r="H474" s="20" t="n">
        <x:f>XLOOKUP(A474,'菜品日销量'!$A$5:$A$1124,'菜品日销量'!$G$5:$G$1124,0)</x:f>
        <x:v>19</x:v>
      </x:c>
      <x:c r="I474" s="20" t="n">
        <x:f>ROUNDUP(H474/2,0)</x:f>
        <x:v>10</x:v>
      </x:c>
      <x:c r="J474" s="22" t="n">
        <x:f>SUMIFS('菜谱BOM'!$F$5:$F$160,'菜谱BOM'!$A$5:$A$160,E474,'菜谱BOM'!$C$5:$C$160,"食材")</x:f>
        <x:v>450</x:v>
      </x:c>
      <x:c r="K474" s="38" t="n">
        <x:v>-0.0020838308059805614</x:v>
      </x:c>
      <x:c r="L474" s="35" t="n">
        <x:f>H474*J474*(1+K474)</x:f>
        <x:v>8532.183246608867</x:v>
      </x:c>
      <x:c r="M474" s="35" t="n">
        <x:f>SUMIFS('菜谱BOM'!$F$5:$F$160,'菜谱BOM'!$A$5:$A$160,E474,'菜谱BOM'!$C$5:$C$160,"调料")</x:f>
        <x:v>37</x:v>
      </x:c>
      <x:c r="N474" s="38" t="n">
        <x:v>0.00009804609653028785</x:v>
      </x:c>
      <x:c r="O474" s="35" t="n">
        <x:f>H474*M474*(1+N474)</x:f>
        <x:v>703.0689264058608</x:v>
      </x:c>
      <x:c r="P474" s="19" t="str">
        <x:f>IF(ABS(N474)&gt;'封面与口径'!$O$25,"机器调料需复核",IF(ABS(K474)&gt;0.02,"人工称重需复核","正常"))</x:f>
        <x:v>正常</x:v>
      </x:c>
      <x:c r="Q474" s="19" t="str">
        <x:v>宋海</x:v>
      </x:c>
    </x:row>
    <x:row r="475">
      <x:c r="A475" s="19" t="str">
        <x:v>2026-07-13|S04|D14</x:v>
      </x:c>
      <x:c r="B475" s="34" t="n">
        <x:v>46216.5</x:v>
      </x:c>
      <x:c r="C475" s="19" t="str">
        <x:v>S04</x:v>
      </x:c>
      <x:c r="D475" s="19" t="str">
        <x:v>金街美地店</x:v>
      </x:c>
      <x:c r="E475" s="19" t="str">
        <x:v>D14</x:v>
      </x:c>
      <x:c r="F475" s="19" t="str">
        <x:v>酸辣鸡杂</x:v>
      </x:c>
      <x:c r="G475" s="19" t="str">
        <x:v>R1.0</x:v>
      </x:c>
      <x:c r="H475" s="20" t="n">
        <x:f>XLOOKUP(A475,'菜品日销量'!$A$5:$A$1124,'菜品日销量'!$G$5:$G$1124,0)</x:f>
        <x:v>9</x:v>
      </x:c>
      <x:c r="I475" s="20" t="n">
        <x:f>ROUNDUP(H475/2,0)</x:f>
        <x:v>5</x:v>
      </x:c>
      <x:c r="J475" s="22" t="n">
        <x:f>SUMIFS('菜谱BOM'!$F$5:$F$160,'菜谱BOM'!$A$5:$A$160,E475,'菜谱BOM'!$C$5:$C$160,"食材")</x:f>
        <x:v>470</x:v>
      </x:c>
      <x:c r="K475" s="38" t="n">
        <x:v>0.0030160383607763883</x:v>
      </x:c>
      <x:c r="L475" s="35" t="n">
        <x:f>H475*J475*(1+K475)</x:f>
        <x:v>4242.7578422660845</x:v>
      </x:c>
      <x:c r="M475" s="35" t="n">
        <x:f>SUMIFS('菜谱BOM'!$F$5:$F$160,'菜谱BOM'!$A$5:$A$160,E475,'菜谱BOM'!$C$5:$C$160,"调料")</x:f>
        <x:v>60</x:v>
      </x:c>
      <x:c r="N475" s="38" t="n">
        <x:v>0.0015275241154077289</x:v>
      </x:c>
      <x:c r="O475" s="35" t="n">
        <x:f>H475*M475*(1+N475)</x:f>
        <x:v>540.8248630223202</x:v>
      </x:c>
      <x:c r="P475" s="19" t="str">
        <x:f>IF(ABS(N475)&gt;'封面与口径'!$O$25,"机器调料需复核",IF(ABS(K475)&gt;0.02,"人工称重需复核","正常"))</x:f>
        <x:v>正常</x:v>
      </x:c>
      <x:c r="Q475" s="19" t="str">
        <x:v>宋海</x:v>
      </x:c>
    </x:row>
    <x:row r="476">
      <x:c r="A476" s="19" t="str">
        <x:v>2026-07-13|S04|D15</x:v>
      </x:c>
      <x:c r="B476" s="34" t="n">
        <x:v>46216.5</x:v>
      </x:c>
      <x:c r="C476" s="19" t="str">
        <x:v>S04</x:v>
      </x:c>
      <x:c r="D476" s="19" t="str">
        <x:v>金街美地店</x:v>
      </x:c>
      <x:c r="E476" s="19" t="str">
        <x:v>D15</x:v>
      </x:c>
      <x:c r="F476" s="19" t="str">
        <x:v>湘西土匪猪肝</x:v>
      </x:c>
      <x:c r="G476" s="19" t="str">
        <x:v>R1.0</x:v>
      </x:c>
      <x:c r="H476" s="20" t="n">
        <x:f>XLOOKUP(A476,'菜品日销量'!$A$5:$A$1124,'菜品日销量'!$G$5:$G$1124,0)</x:f>
        <x:v>9</x:v>
      </x:c>
      <x:c r="I476" s="20" t="n">
        <x:f>ROUNDUP(H476/2,0)</x:f>
        <x:v>5</x:v>
      </x:c>
      <x:c r="J476" s="22" t="n">
        <x:f>SUMIFS('菜谱BOM'!$F$5:$F$160,'菜谱BOM'!$A$5:$A$160,E476,'菜谱BOM'!$C$5:$C$160,"食材")</x:f>
        <x:v>470</x:v>
      </x:c>
      <x:c r="K476" s="38" t="n">
        <x:v>-0.003524467225075808</x:v>
      </x:c>
      <x:c r="L476" s="35" t="n">
        <x:f>H476*J476*(1+K476)</x:f>
        <x:v>4215.091503637929</x:v>
      </x:c>
      <x:c r="M476" s="35" t="n">
        <x:f>SUMIFS('菜谱BOM'!$F$5:$F$160,'菜谱BOM'!$A$5:$A$160,E476,'菜谱BOM'!$C$5:$C$160,"调料")</x:f>
        <x:v>49</x:v>
      </x:c>
      <x:c r="N476" s="38" t="n">
        <x:v>0.0014865211219262614</x:v>
      </x:c>
      <x:c r="O476" s="35" t="n">
        <x:f>H476*M476*(1+N476)</x:f>
        <x:v>441.65555581476946</x:v>
      </x:c>
      <x:c r="P476" s="19" t="str">
        <x:f>IF(ABS(N476)&gt;'封面与口径'!$O$25,"机器调料需复核",IF(ABS(K476)&gt;0.02,"人工称重需复核","正常"))</x:f>
        <x:v>正常</x:v>
      </x:c>
      <x:c r="Q476" s="19" t="str">
        <x:v>宋海</x:v>
      </x:c>
    </x:row>
    <x:row r="477">
      <x:c r="A477" s="19" t="str">
        <x:v>2026-07-13|S04|D16</x:v>
      </x:c>
      <x:c r="B477" s="34" t="n">
        <x:v>46216.5</x:v>
      </x:c>
      <x:c r="C477" s="19" t="str">
        <x:v>S04</x:v>
      </x:c>
      <x:c r="D477" s="19" t="str">
        <x:v>金街美地店</x:v>
      </x:c>
      <x:c r="E477" s="19" t="str">
        <x:v>D16</x:v>
      </x:c>
      <x:c r="F477" s="19" t="str">
        <x:v>小豆角炒五花</x:v>
      </x:c>
      <x:c r="G477" s="19" t="str">
        <x:v>R1.0</x:v>
      </x:c>
      <x:c r="H477" s="20" t="n">
        <x:f>XLOOKUP(A477,'菜品日销量'!$A$5:$A$1124,'菜品日销量'!$G$5:$G$1124,0)</x:f>
        <x:v>9</x:v>
      </x:c>
      <x:c r="I477" s="20" t="n">
        <x:f>ROUNDUP(H477/2,0)</x:f>
        <x:v>5</x:v>
      </x:c>
      <x:c r="J477" s="22" t="n">
        <x:f>SUMIFS('菜谱BOM'!$F$5:$F$160,'菜谱BOM'!$A$5:$A$160,E477,'菜谱BOM'!$C$5:$C$160,"食材")</x:f>
        <x:v>450</x:v>
      </x:c>
      <x:c r="K477" s="38" t="n">
        <x:v>0.0005247209166467002</x:v>
      </x:c>
      <x:c r="L477" s="35" t="n">
        <x:f>H477*J477*(1+K477)</x:f>
        <x:v>4052.1251197124193</x:v>
      </x:c>
      <x:c r="M477" s="35" t="n">
        <x:f>SUMIFS('菜谱BOM'!$F$5:$F$160,'菜谱BOM'!$A$5:$A$160,E477,'菜谱BOM'!$C$5:$C$160,"调料")</x:f>
        <x:v>42</x:v>
      </x:c>
      <x:c r="N477" s="38" t="n">
        <x:v>0.0011387587522945274</x:v>
      </x:c>
      <x:c r="O477" s="35" t="n">
        <x:f>H477*M477*(1+N477)</x:f>
        <x:v>378.43045080836737</x:v>
      </x:c>
      <x:c r="P477" s="19" t="str">
        <x:f>IF(ABS(N477)&gt;'封面与口径'!$O$25,"机器调料需复核",IF(ABS(K477)&gt;0.02,"人工称重需复核","正常"))</x:f>
        <x:v>正常</x:v>
      </x:c>
      <x:c r="Q477" s="19" t="str">
        <x:v>宋海</x:v>
      </x:c>
    </x:row>
    <x:row r="478">
      <x:c r="A478" s="19" t="str">
        <x:v>2026-07-13|S04|D18</x:v>
      </x:c>
      <x:c r="B478" s="34" t="n">
        <x:v>46216.5</x:v>
      </x:c>
      <x:c r="C478" s="19" t="str">
        <x:v>S04</x:v>
      </x:c>
      <x:c r="D478" s="19" t="str">
        <x:v>金街美地店</x:v>
      </x:c>
      <x:c r="E478" s="19" t="str">
        <x:v>D18</x:v>
      </x:c>
      <x:c r="F478" s="19" t="str">
        <x:v>青椒炒油麦菜</x:v>
      </x:c>
      <x:c r="G478" s="19" t="str">
        <x:v>R1.0</x:v>
      </x:c>
      <x:c r="H478" s="20" t="n">
        <x:f>XLOOKUP(A478,'菜品日销量'!$A$5:$A$1124,'菜品日销量'!$G$5:$G$1124,0)</x:f>
        <x:v>10</x:v>
      </x:c>
      <x:c r="I478" s="20" t="n">
        <x:f>ROUNDUP(H478/2,0)</x:f>
        <x:v>5</x:v>
      </x:c>
      <x:c r="J478" s="22" t="n">
        <x:f>SUMIFS('菜谱BOM'!$F$5:$F$160,'菜谱BOM'!$A$5:$A$160,E478,'菜谱BOM'!$C$5:$C$160,"食材")</x:f>
        <x:v>430</x:v>
      </x:c>
      <x:c r="K478" s="38" t="n">
        <x:v>-0.00599178402079078</x:v>
      </x:c>
      <x:c r="L478" s="35" t="n">
        <x:f>H478*J478*(1+K478)</x:f>
        <x:v>4274.2353287106</x:v>
      </x:c>
      <x:c r="M478" s="35" t="n">
        <x:f>SUMIFS('菜谱BOM'!$F$5:$F$160,'菜谱BOM'!$A$5:$A$160,E478,'菜谱BOM'!$C$5:$C$160,"调料")</x:f>
        <x:v>33</x:v>
      </x:c>
      <x:c r="N478" s="38" t="n">
        <x:v>0.0005233570613254228</x:v>
      </x:c>
      <x:c r="O478" s="35" t="n">
        <x:f>H478*M478*(1+N478)</x:f>
        <x:v>330.1727078302374</x:v>
      </x:c>
      <x:c r="P478" s="19" t="str">
        <x:f>IF(ABS(N478)&gt;'封面与口径'!$O$25,"机器调料需复核",IF(ABS(K478)&gt;0.02,"人工称重需复核","正常"))</x:f>
        <x:v>正常</x:v>
      </x:c>
      <x:c r="Q478" s="19" t="str">
        <x:v>宋海</x:v>
      </x:c>
    </x:row>
    <x:row r="479">
      <x:c r="A479" s="19" t="str">
        <x:v>2026-07-13|S04|D19</x:v>
      </x:c>
      <x:c r="B479" s="34" t="n">
        <x:v>46216.5</x:v>
      </x:c>
      <x:c r="C479" s="19" t="str">
        <x:v>S04</x:v>
      </x:c>
      <x:c r="D479" s="19" t="str">
        <x:v>金街美地店</x:v>
      </x:c>
      <x:c r="E479" s="19" t="str">
        <x:v>D19</x:v>
      </x:c>
      <x:c r="F479" s="19" t="str">
        <x:v>酸萝卜炒鸡杂</x:v>
      </x:c>
      <x:c r="G479" s="19" t="str">
        <x:v>R1.0</x:v>
      </x:c>
      <x:c r="H479" s="20" t="n">
        <x:f>XLOOKUP(A479,'菜品日销量'!$A$5:$A$1124,'菜品日销量'!$G$5:$G$1124,0)</x:f>
        <x:v>7</x:v>
      </x:c>
      <x:c r="I479" s="20" t="n">
        <x:f>ROUNDUP(H479/2,0)</x:f>
        <x:v>4</x:v>
      </x:c>
      <x:c r="J479" s="22" t="n">
        <x:f>SUMIFS('菜谱BOM'!$F$5:$F$160,'菜谱BOM'!$A$5:$A$160,E479,'菜谱BOM'!$C$5:$C$160,"食材")</x:f>
        <x:v>500</x:v>
      </x:c>
      <x:c r="K479" s="38" t="n">
        <x:v>0.001291147491263958</x:v>
      </x:c>
      <x:c r="L479" s="35" t="n">
        <x:f>H479*J479*(1+K479)</x:f>
        <x:v>3504.519016219424</x:v>
      </x:c>
      <x:c r="M479" s="35" t="n">
        <x:f>SUMIFS('菜谱BOM'!$F$5:$F$160,'菜谱BOM'!$A$5:$A$160,E479,'菜谱BOM'!$C$5:$C$160,"调料")</x:f>
        <x:v>55</x:v>
      </x:c>
      <x:c r="N479" s="38" t="n">
        <x:v>0.0016306348675001958</x:v>
      </x:c>
      <x:c r="O479" s="35" t="n">
        <x:f>H479*M479*(1+N479)</x:f>
        <x:v>385.62779442398755</x:v>
      </x:c>
      <x:c r="P479" s="19" t="str">
        <x:f>IF(ABS(N479)&gt;'封面与口径'!$O$25,"机器调料需复核",IF(ABS(K479)&gt;0.02,"人工称重需复核","正常"))</x:f>
        <x:v>正常</x:v>
      </x:c>
      <x:c r="Q479" s="19" t="str">
        <x:v>宋海</x:v>
      </x:c>
    </x:row>
    <x:row r="480">
      <x:c r="A480" s="19" t="str">
        <x:v>2026-07-13|S04|D20</x:v>
      </x:c>
      <x:c r="B480" s="34" t="n">
        <x:v>46216.5</x:v>
      </x:c>
      <x:c r="C480" s="19" t="str">
        <x:v>S04</x:v>
      </x:c>
      <x:c r="D480" s="19" t="str">
        <x:v>金街美地店</x:v>
      </x:c>
      <x:c r="E480" s="19" t="str">
        <x:v>D20</x:v>
      </x:c>
      <x:c r="F480" s="19" t="str">
        <x:v>雪菜肉末青豆</x:v>
      </x:c>
      <x:c r="G480" s="19" t="str">
        <x:v>R1.0</x:v>
      </x:c>
      <x:c r="H480" s="20" t="n">
        <x:f>XLOOKUP(A480,'菜品日销量'!$A$5:$A$1124,'菜品日销量'!$G$5:$G$1124,0)</x:f>
        <x:v>10</x:v>
      </x:c>
      <x:c r="I480" s="20" t="n">
        <x:f>ROUNDUP(H480/2,0)</x:f>
        <x:v>5</x:v>
      </x:c>
      <x:c r="J480" s="22" t="n">
        <x:f>SUMIFS('菜谱BOM'!$F$5:$F$160,'菜谱BOM'!$A$5:$A$160,E480,'菜谱BOM'!$C$5:$C$160,"食材")</x:f>
        <x:v>465</x:v>
      </x:c>
      <x:c r="K480" s="38" t="n">
        <x:v>0.0014504187762388997</x:v>
      </x:c>
      <x:c r="L480" s="35" t="n">
        <x:f>H480*J480*(1+K480)</x:f>
        <x:v>4656.744447309511</x:v>
      </x:c>
      <x:c r="M480" s="35" t="n">
        <x:f>SUMIFS('菜谱BOM'!$F$5:$F$160,'菜谱BOM'!$A$5:$A$160,E480,'菜谱BOM'!$C$5:$C$160,"调料")</x:f>
        <x:v>32</x:v>
      </x:c>
      <x:c r="N480" s="38" t="n">
        <x:v>-0.0006946706955075894</x:v>
      </x:c>
      <x:c r="O480" s="35" t="n">
        <x:f>H480*M480*(1+N480)</x:f>
        <x:v>319.7777053774376</x:v>
      </x:c>
      <x:c r="P480" s="19" t="str">
        <x:f>IF(ABS(N480)&gt;'封面与口径'!$O$25,"机器调料需复核",IF(ABS(K480)&gt;0.02,"人工称重需复核","正常"))</x:f>
        <x:v>正常</x:v>
      </x:c>
      <x:c r="Q480" s="19" t="str">
        <x:v>宋海</x:v>
      </x:c>
    </x:row>
    <x:row r="481">
      <x:c r="A481" s="19" t="str">
        <x:v>2026-07-07|S05|D01</x:v>
      </x:c>
      <x:c r="B481" s="34" t="n">
        <x:v>46210.5</x:v>
      </x:c>
      <x:c r="C481" s="19" t="str">
        <x:v>S05</x:v>
      </x:c>
      <x:c r="D481" s="19" t="str">
        <x:v>同顺街店</x:v>
      </x:c>
      <x:c r="E481" s="19" t="str">
        <x:v>D01</x:v>
      </x:c>
      <x:c r="F481" s="19" t="str">
        <x:v>辣椒炒肉</x:v>
      </x:c>
      <x:c r="G481" s="19" t="str">
        <x:v>R2.3</x:v>
      </x:c>
      <x:c r="H481" s="20" t="n">
        <x:f>XLOOKUP(A481,'菜品日销量'!$A$5:$A$1124,'菜品日销量'!$G$5:$G$1124,0)</x:f>
        <x:v>47</x:v>
      </x:c>
      <x:c r="I481" s="20" t="n">
        <x:f>ROUNDUP(H481/2,0)</x:f>
        <x:v>24</x:v>
      </x:c>
      <x:c r="J481" s="22" t="n">
        <x:f>SUMIFS('菜谱BOM'!$F$5:$F$160,'菜谱BOM'!$A$5:$A$160,E481,'菜谱BOM'!$C$5:$C$160,"食材")</x:f>
        <x:v>550</x:v>
      </x:c>
      <x:c r="K481" s="38" t="n">
        <x:v>-0.00656750747528102</x:v>
      </x:c>
      <x:c r="L481" s="35" t="n">
        <x:f>H481*J481*(1+K481)</x:f>
        <x:v>25680.229931763984</x:v>
      </x:c>
      <x:c r="M481" s="35" t="n">
        <x:f>SUMIFS('菜谱BOM'!$F$5:$F$160,'菜谱BOM'!$A$5:$A$160,E481,'菜谱BOM'!$C$5:$C$160,"调料")</x:f>
        <x:v>104</x:v>
      </x:c>
      <x:c r="N481" s="38" t="n">
        <x:v>-0.0011574274662782967</x:v>
      </x:c>
      <x:c r="O481" s="35" t="n">
        <x:f>H481*M481*(1+N481)</x:f>
        <x:v>4882.342494544831</x:v>
      </x:c>
      <x:c r="P481" s="19" t="str">
        <x:f>IF(ABS(N481)&gt;'封面与口径'!$O$25,"机器调料需复核",IF(ABS(K481)&gt;0.02,"人工称重需复核","正常"))</x:f>
        <x:v>正常</x:v>
      </x:c>
      <x:c r="Q481" s="19" t="str">
        <x:v>黄俊</x:v>
      </x:c>
    </x:row>
    <x:row r="482">
      <x:c r="A482" s="19" t="str">
        <x:v>2026-07-07|S05|D02</x:v>
      </x:c>
      <x:c r="B482" s="34" t="n">
        <x:v>46210.5</x:v>
      </x:c>
      <x:c r="C482" s="19" t="str">
        <x:v>S05</x:v>
      </x:c>
      <x:c r="D482" s="19" t="str">
        <x:v>同顺街店</x:v>
      </x:c>
      <x:c r="E482" s="19" t="str">
        <x:v>D02</x:v>
      </x:c>
      <x:c r="F482" s="19" t="str">
        <x:v>小炒黄牛肉</x:v>
      </x:c>
      <x:c r="G482" s="19" t="str">
        <x:v>R2.3</x:v>
      </x:c>
      <x:c r="H482" s="20" t="n">
        <x:f>XLOOKUP(A482,'菜品日销量'!$A$5:$A$1124,'菜品日销量'!$G$5:$G$1124,0)</x:f>
        <x:v>36</x:v>
      </x:c>
      <x:c r="I482" s="20" t="n">
        <x:f>ROUNDUP(H482/2,0)</x:f>
        <x:v>18</x:v>
      </x:c>
      <x:c r="J482" s="22" t="n">
        <x:f>SUMIFS('菜谱BOM'!$F$5:$F$160,'菜谱BOM'!$A$5:$A$160,E482,'菜谱BOM'!$C$5:$C$160,"食材")</x:f>
        <x:v>560</x:v>
      </x:c>
      <x:c r="K482" s="38" t="n">
        <x:v>-0.0035857962843928943</x:v>
      </x:c>
      <x:c r="L482" s="35" t="n">
        <x:f>H482*J482*(1+K482)</x:f>
        <x:v>20087.71034690664</x:v>
      </x:c>
      <x:c r="M482" s="35" t="n">
        <x:f>SUMIFS('菜谱BOM'!$F$5:$F$160,'菜谱BOM'!$A$5:$A$160,E482,'菜谱BOM'!$C$5:$C$160,"调料")</x:f>
        <x:v>133</x:v>
      </x:c>
      <x:c r="N482" s="38" t="n">
        <x:v>-0.00004773052922629995</x:v>
      </x:c>
      <x:c r="O482" s="35" t="n">
        <x:f>H482*M482*(1+N482)</x:f>
        <x:v>4787.771466226064</x:v>
      </x:c>
      <x:c r="P482" s="19" t="str">
        <x:f>IF(ABS(N482)&gt;'封面与口径'!$O$25,"机器调料需复核",IF(ABS(K482)&gt;0.02,"人工称重需复核","正常"))</x:f>
        <x:v>正常</x:v>
      </x:c>
      <x:c r="Q482" s="19" t="str">
        <x:v>黄俊</x:v>
      </x:c>
    </x:row>
    <x:row r="483">
      <x:c r="A483" s="19" t="str">
        <x:v>2026-07-07|S05|D03</x:v>
      </x:c>
      <x:c r="B483" s="34" t="n">
        <x:v>46210.5</x:v>
      </x:c>
      <x:c r="C483" s="19" t="str">
        <x:v>S05</x:v>
      </x:c>
      <x:c r="D483" s="19" t="str">
        <x:v>同顺街店</x:v>
      </x:c>
      <x:c r="E483" s="19" t="str">
        <x:v>D03</x:v>
      </x:c>
      <x:c r="F483" s="19" t="str">
        <x:v>香醋炒蛋</x:v>
      </x:c>
      <x:c r="G483" s="19" t="str">
        <x:v>R1.0</x:v>
      </x:c>
      <x:c r="H483" s="20" t="n">
        <x:f>XLOOKUP(A483,'菜品日销量'!$A$5:$A$1124,'菜品日销量'!$G$5:$G$1124,0)</x:f>
        <x:v>39</x:v>
      </x:c>
      <x:c r="I483" s="20" t="n">
        <x:f>ROUNDUP(H483/2,0)</x:f>
        <x:v>20</x:v>
      </x:c>
      <x:c r="J483" s="22" t="n">
        <x:f>SUMIFS('菜谱BOM'!$F$5:$F$160,'菜谱BOM'!$A$5:$A$160,E483,'菜谱BOM'!$C$5:$C$160,"食材")</x:f>
        <x:v>300</x:v>
      </x:c>
      <x:c r="K483" s="38" t="n">
        <x:v>-0.0028126938554487876</x:v>
      </x:c>
      <x:c r="L483" s="35" t="n">
        <x:f>H483*J483*(1+K483)</x:f>
        <x:v>11667.09148189125</x:v>
      </x:c>
      <x:c r="M483" s="35" t="n">
        <x:f>SUMIFS('菜谱BOM'!$F$5:$F$160,'菜谱BOM'!$A$5:$A$160,E483,'菜谱BOM'!$C$5:$C$160,"调料")</x:f>
        <x:v>53</x:v>
      </x:c>
      <x:c r="N483" s="38" t="n">
        <x:v>0.0007297714610420565</x:v>
      </x:c>
      <x:c r="O483" s="35" t="n">
        <x:f>H483*M483*(1+N483)</x:f>
        <x:v>2068.508437609974</x:v>
      </x:c>
      <x:c r="P483" s="19" t="str">
        <x:f>IF(ABS(N483)&gt;'封面与口径'!$O$25,"机器调料需复核",IF(ABS(K483)&gt;0.02,"人工称重需复核","正常"))</x:f>
        <x:v>正常</x:v>
      </x:c>
      <x:c r="Q483" s="19" t="str">
        <x:v>黄俊</x:v>
      </x:c>
    </x:row>
    <x:row r="484">
      <x:c r="A484" s="19" t="str">
        <x:v>2026-07-07|S05|D04</x:v>
      </x:c>
      <x:c r="B484" s="34" t="n">
        <x:v>46210.5</x:v>
      </x:c>
      <x:c r="C484" s="19" t="str">
        <x:v>S05</x:v>
      </x:c>
      <x:c r="D484" s="19" t="str">
        <x:v>同顺街店</x:v>
      </x:c>
      <x:c r="E484" s="19" t="str">
        <x:v>D04</x:v>
      </x:c>
      <x:c r="F484" s="19" t="str">
        <x:v>酸包菜炒粉皮</x:v>
      </x:c>
      <x:c r="G484" s="19" t="str">
        <x:v>R1.0</x:v>
      </x:c>
      <x:c r="H484" s="20" t="n">
        <x:f>XLOOKUP(A484,'菜品日销量'!$A$5:$A$1124,'菜品日销量'!$G$5:$G$1124,0)</x:f>
        <x:v>39</x:v>
      </x:c>
      <x:c r="I484" s="20" t="n">
        <x:f>ROUNDUP(H484/2,0)</x:f>
        <x:v>20</x:v>
      </x:c>
      <x:c r="J484" s="22" t="n">
        <x:f>SUMIFS('菜谱BOM'!$F$5:$F$160,'菜谱BOM'!$A$5:$A$160,E484,'菜谱BOM'!$C$5:$C$160,"食材")</x:f>
        <x:v>380</x:v>
      </x:c>
      <x:c r="K484" s="38" t="n">
        <x:v>-0.0012755028403539912</x:v>
      </x:c>
      <x:c r="L484" s="35" t="n">
        <x:f>H484*J484*(1+K484)</x:f>
        <x:v>14801.097047905954</x:v>
      </x:c>
      <x:c r="M484" s="35" t="n">
        <x:f>SUMIFS('菜谱BOM'!$F$5:$F$160,'菜谱BOM'!$A$5:$A$160,E484,'菜谱BOM'!$C$5:$C$160,"调料")</x:f>
        <x:v>47</x:v>
      </x:c>
      <x:c r="N484" s="38" t="n">
        <x:v>-0.0018924299403774623</x:v>
      </x:c>
      <x:c r="O484" s="35" t="n">
        <x:f>H484*M484*(1+N484)</x:f>
        <x:v>1829.5311759192882</x:v>
      </x:c>
      <x:c r="P484" s="19" t="str">
        <x:f>IF(ABS(N484)&gt;'封面与口径'!$O$25,"机器调料需复核",IF(ABS(K484)&gt;0.02,"人工称重需复核","正常"))</x:f>
        <x:v>正常</x:v>
      </x:c>
      <x:c r="Q484" s="19" t="str">
        <x:v>黄俊</x:v>
      </x:c>
    </x:row>
    <x:row r="485">
      <x:c r="A485" s="19" t="str">
        <x:v>2026-07-07|S05|D05</x:v>
      </x:c>
      <x:c r="B485" s="34" t="n">
        <x:v>46210.5</x:v>
      </x:c>
      <x:c r="C485" s="19" t="str">
        <x:v>S05</x:v>
      </x:c>
      <x:c r="D485" s="19" t="str">
        <x:v>同顺街店</x:v>
      </x:c>
      <x:c r="E485" s="19" t="str">
        <x:v>D05</x:v>
      </x:c>
      <x:c r="F485" s="19" t="str">
        <x:v>麻婆豆腐</x:v>
      </x:c>
      <x:c r="G485" s="19" t="str">
        <x:v>R1.0</x:v>
      </x:c>
      <x:c r="H485" s="20" t="n">
        <x:f>XLOOKUP(A485,'菜品日销量'!$A$5:$A$1124,'菜品日销量'!$G$5:$G$1124,0)</x:f>
        <x:v>52</x:v>
      </x:c>
      <x:c r="I485" s="20" t="n">
        <x:f>ROUNDUP(H485/2,0)</x:f>
        <x:v>26</x:v>
      </x:c>
      <x:c r="J485" s="22" t="n">
        <x:f>SUMIFS('菜谱BOM'!$F$5:$F$160,'菜谱BOM'!$A$5:$A$160,E485,'菜谱BOM'!$C$5:$C$160,"食材")</x:f>
        <x:v>505</x:v>
      </x:c>
      <x:c r="K485" s="38" t="n">
        <x:v>-0.003859178884853418</x:v>
      </x:c>
      <x:c r="L485" s="35" t="n">
        <x:f>H485*J485*(1+K485)</x:f>
        <x:v>26158.65796248375</x:v>
      </x:c>
      <x:c r="M485" s="35" t="n">
        <x:f>SUMIFS('菜谱BOM'!$F$5:$F$160,'菜谱BOM'!$A$5:$A$160,E485,'菜谱BOM'!$C$5:$C$160,"调料")</x:f>
        <x:v>90</x:v>
      </x:c>
      <x:c r="N485" s="38" t="n">
        <x:v>0.001005795730046415</x:v>
      </x:c>
      <x:c r="O485" s="35" t="n">
        <x:f>H485*M485*(1+N485)</x:f>
        <x:v>4684.707124016617</x:v>
      </x:c>
      <x:c r="P485" s="19" t="str">
        <x:f>IF(ABS(N485)&gt;'封面与口径'!$O$25,"机器调料需复核",IF(ABS(K485)&gt;0.02,"人工称重需复核","正常"))</x:f>
        <x:v>正常</x:v>
      </x:c>
      <x:c r="Q485" s="19" t="str">
        <x:v>黄俊</x:v>
      </x:c>
    </x:row>
    <x:row r="486">
      <x:c r="A486" s="19" t="str">
        <x:v>2026-07-07|S05|D07</x:v>
      </x:c>
      <x:c r="B486" s="34" t="n">
        <x:v>46210.5</x:v>
      </x:c>
      <x:c r="C486" s="19" t="str">
        <x:v>S05</x:v>
      </x:c>
      <x:c r="D486" s="19" t="str">
        <x:v>同顺街店</x:v>
      </x:c>
      <x:c r="E486" s="19" t="str">
        <x:v>D07</x:v>
      </x:c>
      <x:c r="F486" s="19" t="str">
        <x:v>川味回锅肉</x:v>
      </x:c>
      <x:c r="G486" s="19" t="str">
        <x:v>R1.0</x:v>
      </x:c>
      <x:c r="H486" s="20" t="n">
        <x:f>XLOOKUP(A486,'菜品日销量'!$A$5:$A$1124,'菜品日销量'!$G$5:$G$1124,0)</x:f>
        <x:v>16</x:v>
      </x:c>
      <x:c r="I486" s="20" t="n">
        <x:f>ROUNDUP(H486/2,0)</x:f>
        <x:v>8</x:v>
      </x:c>
      <x:c r="J486" s="22" t="n">
        <x:f>SUMIFS('菜谱BOM'!$F$5:$F$160,'菜谱BOM'!$A$5:$A$160,E486,'菜谱BOM'!$C$5:$C$160,"食材")</x:f>
        <x:v>450</x:v>
      </x:c>
      <x:c r="K486" s="38" t="n">
        <x:v>0.0017244321950069708</x:v>
      </x:c>
      <x:c r="L486" s="35" t="n">
        <x:f>H486*J486*(1+K486)</x:f>
        <x:v>7212.41591180405</x:v>
      </x:c>
      <x:c r="M486" s="35" t="n">
        <x:f>SUMIFS('菜谱BOM'!$F$5:$F$160,'菜谱BOM'!$A$5:$A$160,E486,'菜谱BOM'!$C$5:$C$160,"调料")</x:f>
        <x:v>63</x:v>
      </x:c>
      <x:c r="N486" s="38" t="n">
        <x:v>0.000509205758224522</x:v>
      </x:c>
      <x:c r="O486" s="35" t="n">
        <x:f>H486*M486*(1+N486)</x:f>
        <x:v>1008.5132794042903</x:v>
      </x:c>
      <x:c r="P486" s="19" t="str">
        <x:f>IF(ABS(N486)&gt;'封面与口径'!$O$25,"机器调料需复核",IF(ABS(K486)&gt;0.02,"人工称重需复核","正常"))</x:f>
        <x:v>正常</x:v>
      </x:c>
      <x:c r="Q486" s="19" t="str">
        <x:v>黄俊</x:v>
      </x:c>
    </x:row>
    <x:row r="487">
      <x:c r="A487" s="19" t="str">
        <x:v>2026-07-07|S05|D08</x:v>
      </x:c>
      <x:c r="B487" s="34" t="n">
        <x:v>46210.5</x:v>
      </x:c>
      <x:c r="C487" s="19" t="str">
        <x:v>S05</x:v>
      </x:c>
      <x:c r="D487" s="19" t="str">
        <x:v>同顺街店</x:v>
      </x:c>
      <x:c r="E487" s="19" t="str">
        <x:v>D08</x:v>
      </x:c>
      <x:c r="F487" s="19" t="str">
        <x:v>生炒清远鸡</x:v>
      </x:c>
      <x:c r="G487" s="19" t="str">
        <x:v>R1.0</x:v>
      </x:c>
      <x:c r="H487" s="20" t="n">
        <x:f>XLOOKUP(A487,'菜品日销量'!$A$5:$A$1124,'菜品日销量'!$G$5:$G$1124,0)</x:f>
        <x:v>12</x:v>
      </x:c>
      <x:c r="I487" s="20" t="n">
        <x:f>ROUNDUP(H487/2,0)</x:f>
        <x:v>6</x:v>
      </x:c>
      <x:c r="J487" s="22" t="n">
        <x:f>SUMIFS('菜谱BOM'!$F$5:$F$160,'菜谱BOM'!$A$5:$A$160,E487,'菜谱BOM'!$C$5:$C$160,"食材")</x:f>
        <x:v>610</x:v>
      </x:c>
      <x:c r="K487" s="38" t="n">
        <x:v>-0.007540555652124005</x:v>
      </x:c>
      <x:c r="L487" s="35" t="n">
        <x:f>H487*J487*(1+K487)</x:f>
        <x:v>7264.803132626453</x:v>
      </x:c>
      <x:c r="M487" s="35" t="n">
        <x:f>SUMIFS('菜谱BOM'!$F$5:$F$160,'菜谱BOM'!$A$5:$A$160,E487,'菜谱BOM'!$C$5:$C$160,"调料")</x:f>
        <x:v>61</x:v>
      </x:c>
      <x:c r="N487" s="38" t="n">
        <x:v>-0.0011527872269863234</x:v>
      </x:c>
      <x:c r="O487" s="35" t="n">
        <x:f>H487*M487*(1+N487)</x:f>
        <x:v>731.156159749846</x:v>
      </x:c>
      <x:c r="P487" s="19" t="str">
        <x:f>IF(ABS(N487)&gt;'封面与口径'!$O$25,"机器调料需复核",IF(ABS(K487)&gt;0.02,"人工称重需复核","正常"))</x:f>
        <x:v>正常</x:v>
      </x:c>
      <x:c r="Q487" s="19" t="str">
        <x:v>黄俊</x:v>
      </x:c>
    </x:row>
    <x:row r="488">
      <x:c r="A488" s="19" t="str">
        <x:v>2026-07-07|S05|D09</x:v>
      </x:c>
      <x:c r="B488" s="34" t="n">
        <x:v>46210.5</x:v>
      </x:c>
      <x:c r="C488" s="19" t="str">
        <x:v>S05</x:v>
      </x:c>
      <x:c r="D488" s="19" t="str">
        <x:v>同顺街店</x:v>
      </x:c>
      <x:c r="E488" s="19" t="str">
        <x:v>D09</x:v>
      </x:c>
      <x:c r="F488" s="19" t="str">
        <x:v>炒豆干</x:v>
      </x:c>
      <x:c r="G488" s="19" t="str">
        <x:v>R1.0</x:v>
      </x:c>
      <x:c r="H488" s="20" t="n">
        <x:f>XLOOKUP(A488,'菜品日销量'!$A$5:$A$1124,'菜品日销量'!$G$5:$G$1124,0)</x:f>
        <x:v>15</x:v>
      </x:c>
      <x:c r="I488" s="20" t="n">
        <x:f>ROUNDUP(H488/2,0)</x:f>
        <x:v>8</x:v>
      </x:c>
      <x:c r="J488" s="22" t="n">
        <x:f>SUMIFS('菜谱BOM'!$F$5:$F$160,'菜谱BOM'!$A$5:$A$160,E488,'菜谱BOM'!$C$5:$C$160,"食材")</x:f>
        <x:v>520</x:v>
      </x:c>
      <x:c r="K488" s="38" t="n">
        <x:v>-0.004310356854533394</x:v>
      </x:c>
      <x:c r="L488" s="35" t="n">
        <x:f>H488*J488*(1+K488)</x:f>
        <x:v>7766.379216534639</x:v>
      </x:c>
      <x:c r="M488" s="35" t="n">
        <x:f>SUMIFS('菜谱BOM'!$F$5:$F$160,'菜谱BOM'!$A$5:$A$160,E488,'菜谱BOM'!$C$5:$C$160,"调料")</x:f>
        <x:v>42</x:v>
      </x:c>
      <x:c r="N488" s="38" t="n">
        <x:v>-0.0007716130751119026</x:v>
      </x:c>
      <x:c r="O488" s="35" t="n">
        <x:f>H488*M488*(1+N488)</x:f>
        <x:v>629.5138837626795</x:v>
      </x:c>
      <x:c r="P488" s="19" t="str">
        <x:f>IF(ABS(N488)&gt;'封面与口径'!$O$25,"机器调料需复核",IF(ABS(K488)&gt;0.02,"人工称重需复核","正常"))</x:f>
        <x:v>正常</x:v>
      </x:c>
      <x:c r="Q488" s="19" t="str">
        <x:v>黄俊</x:v>
      </x:c>
    </x:row>
    <x:row r="489">
      <x:c r="A489" s="19" t="str">
        <x:v>2026-07-07|S05|D10</x:v>
      </x:c>
      <x:c r="B489" s="34" t="n">
        <x:v>46210.5</x:v>
      </x:c>
      <x:c r="C489" s="19" t="str">
        <x:v>S05</x:v>
      </x:c>
      <x:c r="D489" s="19" t="str">
        <x:v>同顺街店</x:v>
      </x:c>
      <x:c r="E489" s="19" t="str">
        <x:v>D10</x:v>
      </x:c>
      <x:c r="F489" s="19" t="str">
        <x:v>农家一碗香</x:v>
      </x:c>
      <x:c r="G489" s="19" t="str">
        <x:v>R2.3</x:v>
      </x:c>
      <x:c r="H489" s="20" t="n">
        <x:f>XLOOKUP(A489,'菜品日销量'!$A$5:$A$1124,'菜品日销量'!$G$5:$G$1124,0)</x:f>
        <x:v>18</x:v>
      </x:c>
      <x:c r="I489" s="20" t="n">
        <x:f>ROUNDUP(H489/2,0)</x:f>
        <x:v>9</x:v>
      </x:c>
      <x:c r="J489" s="22" t="n">
        <x:f>SUMIFS('菜谱BOM'!$F$5:$F$160,'菜谱BOM'!$A$5:$A$160,E489,'菜谱BOM'!$C$5:$C$160,"食材")</x:f>
        <x:v>510</x:v>
      </x:c>
      <x:c r="K489" s="38" t="n">
        <x:v>0.006884061138817124</x:v>
      </x:c>
      <x:c r="L489" s="35" t="n">
        <x:f>H489*J489*(1+K489)</x:f>
        <x:v>9243.195681254343</x:v>
      </x:c>
      <x:c r="M489" s="35" t="n">
        <x:f>SUMIFS('菜谱BOM'!$F$5:$F$160,'菜谱BOM'!$A$5:$A$160,E489,'菜谱BOM'!$C$5:$C$160,"调料")</x:f>
        <x:v>88</x:v>
      </x:c>
      <x:c r="N489" s="38" t="n">
        <x:v>-0.0007600710882712321</x:v>
      </x:c>
      <x:c r="O489" s="35" t="n">
        <x:f>H489*M489*(1+N489)</x:f>
        <x:v>1582.7960473961784</x:v>
      </x:c>
      <x:c r="P489" s="19" t="str">
        <x:f>IF(ABS(N489)&gt;'封面与口径'!$O$25,"机器调料需复核",IF(ABS(K489)&gt;0.02,"人工称重需复核","正常"))</x:f>
        <x:v>正常</x:v>
      </x:c>
      <x:c r="Q489" s="19" t="str">
        <x:v>黄俊</x:v>
      </x:c>
    </x:row>
    <x:row r="490">
      <x:c r="A490" s="19" t="str">
        <x:v>2026-07-07|S05|D11</x:v>
      </x:c>
      <x:c r="B490" s="34" t="n">
        <x:v>46210.5</x:v>
      </x:c>
      <x:c r="C490" s="19" t="str">
        <x:v>S05</x:v>
      </x:c>
      <x:c r="D490" s="19" t="str">
        <x:v>同顺街店</x:v>
      </x:c>
      <x:c r="E490" s="19" t="str">
        <x:v>D11</x:v>
      </x:c>
      <x:c r="F490" s="19" t="str">
        <x:v>香辣爆肥肠</x:v>
      </x:c>
      <x:c r="G490" s="19" t="str">
        <x:v>R1.0</x:v>
      </x:c>
      <x:c r="H490" s="20" t="n">
        <x:f>XLOOKUP(A490,'菜品日销量'!$A$5:$A$1124,'菜品日销量'!$G$5:$G$1124,0)</x:f>
        <x:v>7</x:v>
      </x:c>
      <x:c r="I490" s="20" t="n">
        <x:f>ROUNDUP(H490/2,0)</x:f>
        <x:v>4</x:v>
      </x:c>
      <x:c r="J490" s="22" t="n">
        <x:f>SUMIFS('菜谱BOM'!$F$5:$F$160,'菜谱BOM'!$A$5:$A$160,E490,'菜谱BOM'!$C$5:$C$160,"食材")</x:f>
        <x:v>430</x:v>
      </x:c>
      <x:c r="K490" s="38" t="n">
        <x:v>-0.0018516088598062304</x:v>
      </x:c>
      <x:c r="L490" s="35" t="n">
        <x:f>H490*J490*(1+K490)</x:f>
        <x:v>3004.4266573319833</x:v>
      </x:c>
      <x:c r="M490" s="35" t="n">
        <x:f>SUMIFS('菜谱BOM'!$F$5:$F$160,'菜谱BOM'!$A$5:$A$160,E490,'菜谱BOM'!$C$5:$C$160,"调料")</x:f>
        <x:v>67</x:v>
      </x:c>
      <x:c r="N490" s="38" t="n">
        <x:v>0.0004975178452435691</x:v>
      </x:c>
      <x:c r="O490" s="35" t="n">
        <x:f>H490*M490*(1+N490)</x:f>
        <x:v>469.23333586941925</x:v>
      </x:c>
      <x:c r="P490" s="19" t="str">
        <x:f>IF(ABS(N490)&gt;'封面与口径'!$O$25,"机器调料需复核",IF(ABS(K490)&gt;0.02,"人工称重需复核","正常"))</x:f>
        <x:v>正常</x:v>
      </x:c>
      <x:c r="Q490" s="19" t="str">
        <x:v>黄俊</x:v>
      </x:c>
    </x:row>
    <x:row r="491">
      <x:c r="A491" s="19" t="str">
        <x:v>2026-07-07|S05|D13</x:v>
      </x:c>
      <x:c r="B491" s="34" t="n">
        <x:v>46210.5</x:v>
      </x:c>
      <x:c r="C491" s="19" t="str">
        <x:v>S05</x:v>
      </x:c>
      <x:c r="D491" s="19" t="str">
        <x:v>同顺街店</x:v>
      </x:c>
      <x:c r="E491" s="19" t="str">
        <x:v>D13</x:v>
      </x:c>
      <x:c r="F491" s="19" t="str">
        <x:v>外婆菜炒蛋</x:v>
      </x:c>
      <x:c r="G491" s="19" t="str">
        <x:v>R1.0</x:v>
      </x:c>
      <x:c r="H491" s="20" t="n">
        <x:f>XLOOKUP(A491,'菜品日销量'!$A$5:$A$1124,'菜品日销量'!$G$5:$G$1124,0)</x:f>
        <x:v>16</x:v>
      </x:c>
      <x:c r="I491" s="20" t="n">
        <x:f>ROUNDUP(H491/2,0)</x:f>
        <x:v>8</x:v>
      </x:c>
      <x:c r="J491" s="22" t="n">
        <x:f>SUMIFS('菜谱BOM'!$F$5:$F$160,'菜谱BOM'!$A$5:$A$160,E491,'菜谱BOM'!$C$5:$C$160,"食材")</x:f>
        <x:v>450</x:v>
      </x:c>
      <x:c r="K491" s="38" t="n">
        <x:v>0.002031931793790294</x:v>
      </x:c>
      <x:c r="L491" s="35" t="n">
        <x:f>H491*J491*(1+K491)</x:f>
        <x:v>7214.62990891529</x:v>
      </x:c>
      <x:c r="M491" s="35" t="n">
        <x:f>SUMIFS('菜谱BOM'!$F$5:$F$160,'菜谱BOM'!$A$5:$A$160,E491,'菜谱BOM'!$C$5:$C$160,"调料")</x:f>
        <x:v>37</x:v>
      </x:c>
      <x:c r="N491" s="38" t="n">
        <x:v>-0.0008021120687020271</x:v>
      </x:c>
      <x:c r="O491" s="35" t="n">
        <x:f>H491*M491*(1+N491)</x:f>
        <x:v>591.5251496553284</x:v>
      </x:c>
      <x:c r="P491" s="19" t="str">
        <x:f>IF(ABS(N491)&gt;'封面与口径'!$O$25,"机器调料需复核",IF(ABS(K491)&gt;0.02,"人工称重需复核","正常"))</x:f>
        <x:v>正常</x:v>
      </x:c>
      <x:c r="Q491" s="19" t="str">
        <x:v>黄俊</x:v>
      </x:c>
    </x:row>
    <x:row r="492">
      <x:c r="A492" s="19" t="str">
        <x:v>2026-07-07|S05|D14</x:v>
      </x:c>
      <x:c r="B492" s="34" t="n">
        <x:v>46210.5</x:v>
      </x:c>
      <x:c r="C492" s="19" t="str">
        <x:v>S05</x:v>
      </x:c>
      <x:c r="D492" s="19" t="str">
        <x:v>同顺街店</x:v>
      </x:c>
      <x:c r="E492" s="19" t="str">
        <x:v>D14</x:v>
      </x:c>
      <x:c r="F492" s="19" t="str">
        <x:v>酸辣鸡杂</x:v>
      </x:c>
      <x:c r="G492" s="19" t="str">
        <x:v>R1.0</x:v>
      </x:c>
      <x:c r="H492" s="20" t="n">
        <x:f>XLOOKUP(A492,'菜品日销量'!$A$5:$A$1124,'菜品日销量'!$G$5:$G$1124,0)</x:f>
        <x:v>8</x:v>
      </x:c>
      <x:c r="I492" s="20" t="n">
        <x:f>ROUNDUP(H492/2,0)</x:f>
        <x:v>4</x:v>
      </x:c>
      <x:c r="J492" s="22" t="n">
        <x:f>SUMIFS('菜谱BOM'!$F$5:$F$160,'菜谱BOM'!$A$5:$A$160,E492,'菜谱BOM'!$C$5:$C$160,"食材")</x:f>
        <x:v>470</x:v>
      </x:c>
      <x:c r="K492" s="38" t="n">
        <x:v>-0.005950260377943111</x:v>
      </x:c>
      <x:c r="L492" s="35" t="n">
        <x:f>H492*J492*(1+K492)</x:f>
        <x:v>3737.627020978934</x:v>
      </x:c>
      <x:c r="M492" s="35" t="n">
        <x:f>SUMIFS('菜谱BOM'!$F$5:$F$160,'菜谱BOM'!$A$5:$A$160,E492,'菜谱BOM'!$C$5:$C$160,"调料")</x:f>
        <x:v>60</x:v>
      </x:c>
      <x:c r="N492" s="38" t="n">
        <x:v>0.0014442574827569206</x:v>
      </x:c>
      <x:c r="O492" s="35" t="n">
        <x:f>H492*M492*(1+N492)</x:f>
        <x:v>480.69324359172333</x:v>
      </x:c>
      <x:c r="P492" s="19" t="str">
        <x:f>IF(ABS(N492)&gt;'封面与口径'!$O$25,"机器调料需复核",IF(ABS(K492)&gt;0.02,"人工称重需复核","正常"))</x:f>
        <x:v>正常</x:v>
      </x:c>
      <x:c r="Q492" s="19" t="str">
        <x:v>黄俊</x:v>
      </x:c>
    </x:row>
    <x:row r="493">
      <x:c r="A493" s="19" t="str">
        <x:v>2026-07-07|S05|D15</x:v>
      </x:c>
      <x:c r="B493" s="34" t="n">
        <x:v>46210.5</x:v>
      </x:c>
      <x:c r="C493" s="19" t="str">
        <x:v>S05</x:v>
      </x:c>
      <x:c r="D493" s="19" t="str">
        <x:v>同顺街店</x:v>
      </x:c>
      <x:c r="E493" s="19" t="str">
        <x:v>D15</x:v>
      </x:c>
      <x:c r="F493" s="19" t="str">
        <x:v>湘西土匪猪肝</x:v>
      </x:c>
      <x:c r="G493" s="19" t="str">
        <x:v>R1.0</x:v>
      </x:c>
      <x:c r="H493" s="20" t="n">
        <x:f>XLOOKUP(A493,'菜品日销量'!$A$5:$A$1124,'菜品日销量'!$G$5:$G$1124,0)</x:f>
        <x:v>7</x:v>
      </x:c>
      <x:c r="I493" s="20" t="n">
        <x:f>ROUNDUP(H493/2,0)</x:f>
        <x:v>4</x:v>
      </x:c>
      <x:c r="J493" s="22" t="n">
        <x:f>SUMIFS('菜谱BOM'!$F$5:$F$160,'菜谱BOM'!$A$5:$A$160,E493,'菜谱BOM'!$C$5:$C$160,"食材")</x:f>
        <x:v>470</x:v>
      </x:c>
      <x:c r="K493" s="38" t="n">
        <x:v>-0.00427638382005421</x:v>
      </x:c>
      <x:c r="L493" s="35" t="n">
        <x:f>H493*J493*(1+K493)</x:f>
        <x:v>3275.9306972320214</x:v>
      </x:c>
      <x:c r="M493" s="35" t="n">
        <x:f>SUMIFS('菜谱BOM'!$F$5:$F$160,'菜谱BOM'!$A$5:$A$160,E493,'菜谱BOM'!$C$5:$C$160,"调料")</x:f>
        <x:v>49</x:v>
      </x:c>
      <x:c r="N493" s="38" t="n">
        <x:v>0.0018142770928829624</x:v>
      </x:c>
      <x:c r="O493" s="35" t="n">
        <x:f>H493*M493*(1+N493)</x:f>
        <x:v>343.6222970428589</x:v>
      </x:c>
      <x:c r="P493" s="19" t="str">
        <x:f>IF(ABS(N493)&gt;'封面与口径'!$O$25,"机器调料需复核",IF(ABS(K493)&gt;0.02,"人工称重需复核","正常"))</x:f>
        <x:v>正常</x:v>
      </x:c>
      <x:c r="Q493" s="19" t="str">
        <x:v>黄俊</x:v>
      </x:c>
    </x:row>
    <x:row r="494">
      <x:c r="A494" s="19" t="str">
        <x:v>2026-07-07|S05|D16</x:v>
      </x:c>
      <x:c r="B494" s="34" t="n">
        <x:v>46210.5</x:v>
      </x:c>
      <x:c r="C494" s="19" t="str">
        <x:v>S05</x:v>
      </x:c>
      <x:c r="D494" s="19" t="str">
        <x:v>同顺街店</x:v>
      </x:c>
      <x:c r="E494" s="19" t="str">
        <x:v>D16</x:v>
      </x:c>
      <x:c r="F494" s="19" t="str">
        <x:v>小豆角炒五花</x:v>
      </x:c>
      <x:c r="G494" s="19" t="str">
        <x:v>R1.0</x:v>
      </x:c>
      <x:c r="H494" s="20" t="n">
        <x:f>XLOOKUP(A494,'菜品日销量'!$A$5:$A$1124,'菜品日销量'!$G$5:$G$1124,0)</x:f>
        <x:v>7</x:v>
      </x:c>
      <x:c r="I494" s="20" t="n">
        <x:f>ROUNDUP(H494/2,0)</x:f>
        <x:v>4</x:v>
      </x:c>
      <x:c r="J494" s="22" t="n">
        <x:f>SUMIFS('菜谱BOM'!$F$5:$F$160,'菜谱BOM'!$A$5:$A$160,E494,'菜谱BOM'!$C$5:$C$160,"食材")</x:f>
        <x:v>450</x:v>
      </x:c>
      <x:c r="K494" s="38" t="n">
        <x:v>-0.0021989593939387613</x:v>
      </x:c>
      <x:c r="L494" s="35" t="n">
        <x:f>H494*J494*(1+K494)</x:f>
        <x:v>3143.0732779090927</x:v>
      </x:c>
      <x:c r="M494" s="35" t="n">
        <x:f>SUMIFS('菜谱BOM'!$F$5:$F$160,'菜谱BOM'!$A$5:$A$160,E494,'菜谱BOM'!$C$5:$C$160,"调料")</x:f>
        <x:v>42</x:v>
      </x:c>
      <x:c r="N494" s="38" t="n">
        <x:v>-0.0008407284046618103</x:v>
      </x:c>
      <x:c r="O494" s="35" t="n">
        <x:f>H494*M494*(1+N494)</x:f>
        <x:v>293.7528258490294</x:v>
      </x:c>
      <x:c r="P494" s="19" t="str">
        <x:f>IF(ABS(N494)&gt;'封面与口径'!$O$25,"机器调料需复核",IF(ABS(K494)&gt;0.02,"人工称重需复核","正常"))</x:f>
        <x:v>正常</x:v>
      </x:c>
      <x:c r="Q494" s="19" t="str">
        <x:v>黄俊</x:v>
      </x:c>
    </x:row>
    <x:row r="495">
      <x:c r="A495" s="19" t="str">
        <x:v>2026-07-07|S05|D18</x:v>
      </x:c>
      <x:c r="B495" s="34" t="n">
        <x:v>46210.5</x:v>
      </x:c>
      <x:c r="C495" s="19" t="str">
        <x:v>S05</x:v>
      </x:c>
      <x:c r="D495" s="19" t="str">
        <x:v>同顺街店</x:v>
      </x:c>
      <x:c r="E495" s="19" t="str">
        <x:v>D18</x:v>
      </x:c>
      <x:c r="F495" s="19" t="str">
        <x:v>青椒炒油麦菜</x:v>
      </x:c>
      <x:c r="G495" s="19" t="str">
        <x:v>R1.0</x:v>
      </x:c>
      <x:c r="H495" s="20" t="n">
        <x:f>XLOOKUP(A495,'菜品日销量'!$A$5:$A$1124,'菜品日销量'!$G$5:$G$1124,0)</x:f>
        <x:v>8</x:v>
      </x:c>
      <x:c r="I495" s="20" t="n">
        <x:f>ROUNDUP(H495/2,0)</x:f>
        <x:v>4</x:v>
      </x:c>
      <x:c r="J495" s="22" t="n">
        <x:f>SUMIFS('菜谱BOM'!$F$5:$F$160,'菜谱BOM'!$A$5:$A$160,E495,'菜谱BOM'!$C$5:$C$160,"食材")</x:f>
        <x:v>430</x:v>
      </x:c>
      <x:c r="K495" s="38" t="n">
        <x:v>0.0015375782348070236</x:v>
      </x:c>
      <x:c r="L495" s="35" t="n">
        <x:f>H495*J495*(1+K495)</x:f>
        <x:v>3445.289269127736</x:v>
      </x:c>
      <x:c r="M495" s="35" t="n">
        <x:f>SUMIFS('菜谱BOM'!$F$5:$F$160,'菜谱BOM'!$A$5:$A$160,E495,'菜谱BOM'!$C$5:$C$160,"调料")</x:f>
        <x:v>33</x:v>
      </x:c>
      <x:c r="N495" s="38" t="n">
        <x:v>0.00016988402934975077</x:v>
      </x:c>
      <x:c r="O495" s="35" t="n">
        <x:f>H495*M495*(1+N495)</x:f>
        <x:v>264.0448493837483</x:v>
      </x:c>
      <x:c r="P495" s="19" t="str">
        <x:f>IF(ABS(N495)&gt;'封面与口径'!$O$25,"机器调料需复核",IF(ABS(K495)&gt;0.02,"人工称重需复核","正常"))</x:f>
        <x:v>正常</x:v>
      </x:c>
      <x:c r="Q495" s="19" t="str">
        <x:v>黄俊</x:v>
      </x:c>
    </x:row>
    <x:row r="496">
      <x:c r="A496" s="19" t="str">
        <x:v>2026-07-07|S05|D19</x:v>
      </x:c>
      <x:c r="B496" s="34" t="n">
        <x:v>46210.5</x:v>
      </x:c>
      <x:c r="C496" s="19" t="str">
        <x:v>S05</x:v>
      </x:c>
      <x:c r="D496" s="19" t="str">
        <x:v>同顺街店</x:v>
      </x:c>
      <x:c r="E496" s="19" t="str">
        <x:v>D19</x:v>
      </x:c>
      <x:c r="F496" s="19" t="str">
        <x:v>酸萝卜炒鸡杂</x:v>
      </x:c>
      <x:c r="G496" s="19" t="str">
        <x:v>R1.0</x:v>
      </x:c>
      <x:c r="H496" s="20" t="n">
        <x:f>XLOOKUP(A496,'菜品日销量'!$A$5:$A$1124,'菜品日销量'!$G$5:$G$1124,0)</x:f>
        <x:v>6</x:v>
      </x:c>
      <x:c r="I496" s="20" t="n">
        <x:f>ROUNDUP(H496/2,0)</x:f>
        <x:v>3</x:v>
      </x:c>
      <x:c r="J496" s="22" t="n">
        <x:f>SUMIFS('菜谱BOM'!$F$5:$F$160,'菜谱BOM'!$A$5:$A$160,E496,'菜谱BOM'!$C$5:$C$160,"食材")</x:f>
        <x:v>500</x:v>
      </x:c>
      <x:c r="K496" s="38" t="n">
        <x:v>-0.007976377863431437</x:v>
      </x:c>
      <x:c r="L496" s="35" t="n">
        <x:f>H496*J496*(1+K496)</x:f>
        <x:v>2976.0708664097056</x:v>
      </x:c>
      <x:c r="M496" s="35" t="n">
        <x:f>SUMIFS('菜谱BOM'!$F$5:$F$160,'菜谱BOM'!$A$5:$A$160,E496,'菜谱BOM'!$C$5:$C$160,"调料")</x:f>
        <x:v>55</x:v>
      </x:c>
      <x:c r="N496" s="38" t="n">
        <x:v>-0.0015817268657455517</x:v>
      </x:c>
      <x:c r="O496" s="35" t="n">
        <x:f>H496*M496*(1+N496)</x:f>
        <x:v>329.478030134304</x:v>
      </x:c>
      <x:c r="P496" s="19" t="str">
        <x:f>IF(ABS(N496)&gt;'封面与口径'!$O$25,"机器调料需复核",IF(ABS(K496)&gt;0.02,"人工称重需复核","正常"))</x:f>
        <x:v>正常</x:v>
      </x:c>
      <x:c r="Q496" s="19" t="str">
        <x:v>黄俊</x:v>
      </x:c>
    </x:row>
    <x:row r="497">
      <x:c r="A497" s="19" t="str">
        <x:v>2026-07-07|S05|D20</x:v>
      </x:c>
      <x:c r="B497" s="34" t="n">
        <x:v>46210.5</x:v>
      </x:c>
      <x:c r="C497" s="19" t="str">
        <x:v>S05</x:v>
      </x:c>
      <x:c r="D497" s="19" t="str">
        <x:v>同顺街店</x:v>
      </x:c>
      <x:c r="E497" s="19" t="str">
        <x:v>D20</x:v>
      </x:c>
      <x:c r="F497" s="19" t="str">
        <x:v>雪菜肉末青豆</x:v>
      </x:c>
      <x:c r="G497" s="19" t="str">
        <x:v>R1.0</x:v>
      </x:c>
      <x:c r="H497" s="20" t="n">
        <x:f>XLOOKUP(A497,'菜品日销量'!$A$5:$A$1124,'菜品日销量'!$G$5:$G$1124,0)</x:f>
        <x:v>8</x:v>
      </x:c>
      <x:c r="I497" s="20" t="n">
        <x:f>ROUNDUP(H497/2,0)</x:f>
        <x:v>4</x:v>
      </x:c>
      <x:c r="J497" s="22" t="n">
        <x:f>SUMIFS('菜谱BOM'!$F$5:$F$160,'菜谱BOM'!$A$5:$A$160,E497,'菜谱BOM'!$C$5:$C$160,"食材")</x:f>
        <x:v>465</x:v>
      </x:c>
      <x:c r="K497" s="38" t="n">
        <x:v>-0.001212752478479583</x:v>
      </x:c>
      <x:c r="L497" s="35" t="n">
        <x:f>H497*J497*(1+K497)</x:f>
        <x:v>3715.4885607800556</x:v>
      </x:c>
      <x:c r="M497" s="35" t="n">
        <x:f>SUMIFS('菜谱BOM'!$F$5:$F$160,'菜谱BOM'!$A$5:$A$160,E497,'菜谱BOM'!$C$5:$C$160,"调料")</x:f>
        <x:v>32</x:v>
      </x:c>
      <x:c r="N497" s="38" t="n">
        <x:v>-0.000964952723813465</x:v>
      </x:c>
      <x:c r="O497" s="35" t="n">
        <x:f>H497*M497*(1+N497)</x:f>
        <x:v>255.75297210270375</x:v>
      </x:c>
      <x:c r="P497" s="19" t="str">
        <x:f>IF(ABS(N497)&gt;'封面与口径'!$O$25,"机器调料需复核",IF(ABS(K497)&gt;0.02,"人工称重需复核","正常"))</x:f>
        <x:v>正常</x:v>
      </x:c>
      <x:c r="Q497" s="19" t="str">
        <x:v>黄俊</x:v>
      </x:c>
    </x:row>
    <x:row r="498">
      <x:c r="A498" s="19" t="str">
        <x:v>2026-07-08|S05|D01</x:v>
      </x:c>
      <x:c r="B498" s="34" t="n">
        <x:v>46211.5</x:v>
      </x:c>
      <x:c r="C498" s="19" t="str">
        <x:v>S05</x:v>
      </x:c>
      <x:c r="D498" s="19" t="str">
        <x:v>同顺街店</x:v>
      </x:c>
      <x:c r="E498" s="19" t="str">
        <x:v>D01</x:v>
      </x:c>
      <x:c r="F498" s="19" t="str">
        <x:v>辣椒炒肉</x:v>
      </x:c>
      <x:c r="G498" s="19" t="str">
        <x:v>R2.3</x:v>
      </x:c>
      <x:c r="H498" s="20" t="n">
        <x:f>XLOOKUP(A498,'菜品日销量'!$A$5:$A$1124,'菜品日销量'!$G$5:$G$1124,0)</x:f>
        <x:v>49</x:v>
      </x:c>
      <x:c r="I498" s="20" t="n">
        <x:f>ROUNDUP(H498/2,0)</x:f>
        <x:v>25</x:v>
      </x:c>
      <x:c r="J498" s="22" t="n">
        <x:f>SUMIFS('菜谱BOM'!$F$5:$F$160,'菜谱BOM'!$A$5:$A$160,E498,'菜谱BOM'!$C$5:$C$160,"食材")</x:f>
        <x:v>550</x:v>
      </x:c>
      <x:c r="K498" s="38" t="n">
        <x:v>0.0027552134978480664</x:v>
      </x:c>
      <x:c r="L498" s="35" t="n">
        <x:f>H498*J498*(1+K498)</x:f>
        <x:v>27024.253003767008</x:v>
      </x:c>
      <x:c r="M498" s="35" t="n">
        <x:f>SUMIFS('菜谱BOM'!$F$5:$F$160,'菜谱BOM'!$A$5:$A$160,E498,'菜谱BOM'!$C$5:$C$160,"调料")</x:f>
        <x:v>104</x:v>
      </x:c>
      <x:c r="N498" s="38" t="n">
        <x:v>0.0006163286516946575</x:v>
      </x:c>
      <x:c r="O498" s="35" t="n">
        <x:f>H498*M498*(1+N498)</x:f>
        <x:v>5099.140810809036</x:v>
      </x:c>
      <x:c r="P498" s="19" t="str">
        <x:f>IF(ABS(N498)&gt;'封面与口径'!$O$25,"机器调料需复核",IF(ABS(K498)&gt;0.02,"人工称重需复核","正常"))</x:f>
        <x:v>正常</x:v>
      </x:c>
      <x:c r="Q498" s="19" t="str">
        <x:v>黄俊</x:v>
      </x:c>
    </x:row>
    <x:row r="499">
      <x:c r="A499" s="19" t="str">
        <x:v>2026-07-08|S05|D02</x:v>
      </x:c>
      <x:c r="B499" s="34" t="n">
        <x:v>46211.5</x:v>
      </x:c>
      <x:c r="C499" s="19" t="str">
        <x:v>S05</x:v>
      </x:c>
      <x:c r="D499" s="19" t="str">
        <x:v>同顺街店</x:v>
      </x:c>
      <x:c r="E499" s="19" t="str">
        <x:v>D02</x:v>
      </x:c>
      <x:c r="F499" s="19" t="str">
        <x:v>小炒黄牛肉</x:v>
      </x:c>
      <x:c r="G499" s="19" t="str">
        <x:v>R2.3</x:v>
      </x:c>
      <x:c r="H499" s="20" t="n">
        <x:f>XLOOKUP(A499,'菜品日销量'!$A$5:$A$1124,'菜品日销量'!$G$5:$G$1124,0)</x:f>
        <x:v>33</x:v>
      </x:c>
      <x:c r="I499" s="20" t="n">
        <x:f>ROUNDUP(H499/2,0)</x:f>
        <x:v>17</x:v>
      </x:c>
      <x:c r="J499" s="22" t="n">
        <x:f>SUMIFS('菜谱BOM'!$F$5:$F$160,'菜谱BOM'!$A$5:$A$160,E499,'菜谱BOM'!$C$5:$C$160,"食材")</x:f>
        <x:v>560</x:v>
      </x:c>
      <x:c r="K499" s="38" t="n">
        <x:v>-0.005247977837279434</x:v>
      </x:c>
      <x:c r="L499" s="35" t="n">
        <x:f>H499*J499*(1+K499)</x:f>
        <x:v>18383.017369567075</x:v>
      </x:c>
      <x:c r="M499" s="35" t="n">
        <x:f>SUMIFS('菜谱BOM'!$F$5:$F$160,'菜谱BOM'!$A$5:$A$160,E499,'菜谱BOM'!$C$5:$C$160,"调料")</x:f>
        <x:v>133</x:v>
      </x:c>
      <x:c r="N499" s="38" t="n">
        <x:v>0.0019668266307485355</x:v>
      </x:c>
      <x:c r="O499" s="35" t="n">
        <x:f>H499*M499*(1+N499)</x:f>
        <x:v>4397.632402082355</x:v>
      </x:c>
      <x:c r="P499" s="19" t="str">
        <x:f>IF(ABS(N499)&gt;'封面与口径'!$O$25,"机器调料需复核",IF(ABS(K499)&gt;0.02,"人工称重需复核","正常"))</x:f>
        <x:v>正常</x:v>
      </x:c>
      <x:c r="Q499" s="19" t="str">
        <x:v>黄俊</x:v>
      </x:c>
    </x:row>
    <x:row r="500">
      <x:c r="A500" s="19" t="str">
        <x:v>2026-07-08|S05|D03</x:v>
      </x:c>
      <x:c r="B500" s="34" t="n">
        <x:v>46211.5</x:v>
      </x:c>
      <x:c r="C500" s="19" t="str">
        <x:v>S05</x:v>
      </x:c>
      <x:c r="D500" s="19" t="str">
        <x:v>同顺街店</x:v>
      </x:c>
      <x:c r="E500" s="19" t="str">
        <x:v>D03</x:v>
      </x:c>
      <x:c r="F500" s="19" t="str">
        <x:v>香醋炒蛋</x:v>
      </x:c>
      <x:c r="G500" s="19" t="str">
        <x:v>R1.0</x:v>
      </x:c>
      <x:c r="H500" s="20" t="n">
        <x:f>XLOOKUP(A500,'菜品日销量'!$A$5:$A$1124,'菜品日销量'!$G$5:$G$1124,0)</x:f>
        <x:v>41</x:v>
      </x:c>
      <x:c r="I500" s="20" t="n">
        <x:f>ROUNDUP(H500/2,0)</x:f>
        <x:v>21</x:v>
      </x:c>
      <x:c r="J500" s="22" t="n">
        <x:f>SUMIFS('菜谱BOM'!$F$5:$F$160,'菜谱BOM'!$A$5:$A$160,E500,'菜谱BOM'!$C$5:$C$160,"食材")</x:f>
        <x:v>300</x:v>
      </x:c>
      <x:c r="K500" s="38" t="n">
        <x:v>-0.0010830744898605795</x:v>
      </x:c>
      <x:c r="L500" s="35" t="n">
        <x:f>H500*J500*(1+K500)</x:f>
        <x:v>12286.678183774715</x:v>
      </x:c>
      <x:c r="M500" s="35" t="n">
        <x:f>SUMIFS('菜谱BOM'!$F$5:$F$160,'菜谱BOM'!$A$5:$A$160,E500,'菜谱BOM'!$C$5:$C$160,"调料")</x:f>
        <x:v>53</x:v>
      </x:c>
      <x:c r="N500" s="38" t="n">
        <x:v>-0.0009701203626976629</x:v>
      </x:c>
      <x:c r="O500" s="35" t="n">
        <x:f>H500*M500*(1+N500)</x:f>
        <x:v>2170.891928451858</x:v>
      </x:c>
      <x:c r="P500" s="19" t="str">
        <x:f>IF(ABS(N500)&gt;'封面与口径'!$O$25,"机器调料需复核",IF(ABS(K500)&gt;0.02,"人工称重需复核","正常"))</x:f>
        <x:v>正常</x:v>
      </x:c>
      <x:c r="Q500" s="19" t="str">
        <x:v>黄俊</x:v>
      </x:c>
    </x:row>
    <x:row r="501">
      <x:c r="A501" s="19" t="str">
        <x:v>2026-07-08|S05|D04</x:v>
      </x:c>
      <x:c r="B501" s="34" t="n">
        <x:v>46211.5</x:v>
      </x:c>
      <x:c r="C501" s="19" t="str">
        <x:v>S05</x:v>
      </x:c>
      <x:c r="D501" s="19" t="str">
        <x:v>同顺街店</x:v>
      </x:c>
      <x:c r="E501" s="19" t="str">
        <x:v>D04</x:v>
      </x:c>
      <x:c r="F501" s="19" t="str">
        <x:v>酸包菜炒粉皮</x:v>
      </x:c>
      <x:c r="G501" s="19" t="str">
        <x:v>R1.0</x:v>
      </x:c>
      <x:c r="H501" s="20" t="n">
        <x:f>XLOOKUP(A501,'菜品日销量'!$A$5:$A$1124,'菜品日销量'!$G$5:$G$1124,0)</x:f>
        <x:v>36</x:v>
      </x:c>
      <x:c r="I501" s="20" t="n">
        <x:f>ROUNDUP(H501/2,0)</x:f>
        <x:v>18</x:v>
      </x:c>
      <x:c r="J501" s="22" t="n">
        <x:f>SUMIFS('菜谱BOM'!$F$5:$F$160,'菜谱BOM'!$A$5:$A$160,E501,'菜谱BOM'!$C$5:$C$160,"食材")</x:f>
        <x:v>380</x:v>
      </x:c>
      <x:c r="K501" s="38" t="n">
        <x:v>0.0029080443184143034</x:v>
      </x:c>
      <x:c r="L501" s="35" t="n">
        <x:f>H501*J501*(1+K501)</x:f>
        <x:v>13719.782046275908</x:v>
      </x:c>
      <x:c r="M501" s="35" t="n">
        <x:f>SUMIFS('菜谱BOM'!$F$5:$F$160,'菜谱BOM'!$A$5:$A$160,E501,'菜谱BOM'!$C$5:$C$160,"调料")</x:f>
        <x:v>47</x:v>
      </x:c>
      <x:c r="N501" s="38" t="n">
        <x:v>-0.0016564736114015042</x:v>
      </x:c>
      <x:c r="O501" s="35" t="n">
        <x:f>H501*M501*(1+N501)</x:f>
        <x:v>1689.1972466495085</x:v>
      </x:c>
      <x:c r="P501" s="19" t="str">
        <x:f>IF(ABS(N501)&gt;'封面与口径'!$O$25,"机器调料需复核",IF(ABS(K501)&gt;0.02,"人工称重需复核","正常"))</x:f>
        <x:v>正常</x:v>
      </x:c>
      <x:c r="Q501" s="19" t="str">
        <x:v>黄俊</x:v>
      </x:c>
    </x:row>
    <x:row r="502">
      <x:c r="A502" s="19" t="str">
        <x:v>2026-07-08|S05|D05</x:v>
      </x:c>
      <x:c r="B502" s="34" t="n">
        <x:v>46211.5</x:v>
      </x:c>
      <x:c r="C502" s="19" t="str">
        <x:v>S05</x:v>
      </x:c>
      <x:c r="D502" s="19" t="str">
        <x:v>同顺街店</x:v>
      </x:c>
      <x:c r="E502" s="19" t="str">
        <x:v>D05</x:v>
      </x:c>
      <x:c r="F502" s="19" t="str">
        <x:v>麻婆豆腐</x:v>
      </x:c>
      <x:c r="G502" s="19" t="str">
        <x:v>R1.0</x:v>
      </x:c>
      <x:c r="H502" s="20" t="n">
        <x:f>XLOOKUP(A502,'菜品日销量'!$A$5:$A$1124,'菜品日销量'!$G$5:$G$1124,0)</x:f>
        <x:v>51</x:v>
      </x:c>
      <x:c r="I502" s="20" t="n">
        <x:f>ROUNDUP(H502/2,0)</x:f>
        <x:v>26</x:v>
      </x:c>
      <x:c r="J502" s="22" t="n">
        <x:f>SUMIFS('菜谱BOM'!$F$5:$F$160,'菜谱BOM'!$A$5:$A$160,E502,'菜谱BOM'!$C$5:$C$160,"食材")</x:f>
        <x:v>505</x:v>
      </x:c>
      <x:c r="K502" s="38" t="n">
        <x:v>0.000608609033890211</x:v>
      </x:c>
      <x:c r="L502" s="35" t="n">
        <x:f>H502*J502*(1+K502)</x:f>
        <x:v>25770.67472566784</x:v>
      </x:c>
      <x:c r="M502" s="35" t="n">
        <x:f>SUMIFS('菜谱BOM'!$F$5:$F$160,'菜谱BOM'!$A$5:$A$160,E502,'菜谱BOM'!$C$5:$C$160,"调料")</x:f>
        <x:v>90</x:v>
      </x:c>
      <x:c r="N502" s="38" t="n">
        <x:v>-0.0010477305890637754</x:v>
      </x:c>
      <x:c r="O502" s="35" t="n">
        <x:f>H502*M502*(1+N502)</x:f>
        <x:v>4585.190916596197</x:v>
      </x:c>
      <x:c r="P502" s="19" t="str">
        <x:f>IF(ABS(N502)&gt;'封面与口径'!$O$25,"机器调料需复核",IF(ABS(K502)&gt;0.02,"人工称重需复核","正常"))</x:f>
        <x:v>正常</x:v>
      </x:c>
      <x:c r="Q502" s="19" t="str">
        <x:v>黄俊</x:v>
      </x:c>
    </x:row>
    <x:row r="503">
      <x:c r="A503" s="19" t="str">
        <x:v>2026-07-08|S05|D07</x:v>
      </x:c>
      <x:c r="B503" s="34" t="n">
        <x:v>46211.5</x:v>
      </x:c>
      <x:c r="C503" s="19" t="str">
        <x:v>S05</x:v>
      </x:c>
      <x:c r="D503" s="19" t="str">
        <x:v>同顺街店</x:v>
      </x:c>
      <x:c r="E503" s="19" t="str">
        <x:v>D07</x:v>
      </x:c>
      <x:c r="F503" s="19" t="str">
        <x:v>川味回锅肉</x:v>
      </x:c>
      <x:c r="G503" s="19" t="str">
        <x:v>R1.0</x:v>
      </x:c>
      <x:c r="H503" s="20" t="n">
        <x:f>XLOOKUP(A503,'菜品日销量'!$A$5:$A$1124,'菜品日销量'!$G$5:$G$1124,0)</x:f>
        <x:v>15</x:v>
      </x:c>
      <x:c r="I503" s="20" t="n">
        <x:f>ROUNDUP(H503/2,0)</x:f>
        <x:v>8</x:v>
      </x:c>
      <x:c r="J503" s="22" t="n">
        <x:f>SUMIFS('菜谱BOM'!$F$5:$F$160,'菜谱BOM'!$A$5:$A$160,E503,'菜谱BOM'!$C$5:$C$160,"食材")</x:f>
        <x:v>450</x:v>
      </x:c>
      <x:c r="K503" s="38" t="n">
        <x:v>0.0005238219258663755</x:v>
      </x:c>
      <x:c r="L503" s="35" t="n">
        <x:f>H503*J503*(1+K503)</x:f>
        <x:v>6753.535797999598</x:v>
      </x:c>
      <x:c r="M503" s="35" t="n">
        <x:f>SUMIFS('菜谱BOM'!$F$5:$F$160,'菜谱BOM'!$A$5:$A$160,E503,'菜谱BOM'!$C$5:$C$160,"调料")</x:f>
        <x:v>63</x:v>
      </x:c>
      <x:c r="N503" s="38" t="n">
        <x:v>0.00196131425070607</x:v>
      </x:c>
      <x:c r="O503" s="35" t="n">
        <x:f>H503*M503*(1+N503)</x:f>
        <x:v>946.8534419669172</x:v>
      </x:c>
      <x:c r="P503" s="19" t="str">
        <x:f>IF(ABS(N503)&gt;'封面与口径'!$O$25,"机器调料需复核",IF(ABS(K503)&gt;0.02,"人工称重需复核","正常"))</x:f>
        <x:v>正常</x:v>
      </x:c>
      <x:c r="Q503" s="19" t="str">
        <x:v>黄俊</x:v>
      </x:c>
    </x:row>
    <x:row r="504">
      <x:c r="A504" s="19" t="str">
        <x:v>2026-07-08|S05|D08</x:v>
      </x:c>
      <x:c r="B504" s="34" t="n">
        <x:v>46211.5</x:v>
      </x:c>
      <x:c r="C504" s="19" t="str">
        <x:v>S05</x:v>
      </x:c>
      <x:c r="D504" s="19" t="str">
        <x:v>同顺街店</x:v>
      </x:c>
      <x:c r="E504" s="19" t="str">
        <x:v>D08</x:v>
      </x:c>
      <x:c r="F504" s="19" t="str">
        <x:v>生炒清远鸡</x:v>
      </x:c>
      <x:c r="G504" s="19" t="str">
        <x:v>R1.0</x:v>
      </x:c>
      <x:c r="H504" s="20" t="n">
        <x:f>XLOOKUP(A504,'菜品日销量'!$A$5:$A$1124,'菜品日销量'!$G$5:$G$1124,0)</x:f>
        <x:v>11</x:v>
      </x:c>
      <x:c r="I504" s="20" t="n">
        <x:f>ROUNDUP(H504/2,0)</x:f>
        <x:v>6</x:v>
      </x:c>
      <x:c r="J504" s="22" t="n">
        <x:f>SUMIFS('菜谱BOM'!$F$5:$F$160,'菜谱BOM'!$A$5:$A$160,E504,'菜谱BOM'!$C$5:$C$160,"食材")</x:f>
        <x:v>610</x:v>
      </x:c>
      <x:c r="K504" s="38" t="n">
        <x:v>-0.005597916550375036</x:v>
      </x:c>
      <x:c r="L504" s="35" t="n">
        <x:f>H504*J504*(1+K504)</x:f>
        <x:v>6672.437979946983</x:v>
      </x:c>
      <x:c r="M504" s="35" t="n">
        <x:f>SUMIFS('菜谱BOM'!$F$5:$F$160,'菜谱BOM'!$A$5:$A$160,E504,'菜谱BOM'!$C$5:$C$160,"调料")</x:f>
        <x:v>61</x:v>
      </x:c>
      <x:c r="N504" s="38" t="n">
        <x:v>0.0007773330432310077</x:v>
      </x:c>
      <x:c r="O504" s="35" t="n">
        <x:f>H504*M504*(1+N504)</x:f>
        <x:v>671.521590472008</x:v>
      </x:c>
      <x:c r="P504" s="19" t="str">
        <x:f>IF(ABS(N504)&gt;'封面与口径'!$O$25,"机器调料需复核",IF(ABS(K504)&gt;0.02,"人工称重需复核","正常"))</x:f>
        <x:v>正常</x:v>
      </x:c>
      <x:c r="Q504" s="19" t="str">
        <x:v>黄俊</x:v>
      </x:c>
    </x:row>
    <x:row r="505">
      <x:c r="A505" s="19" t="str">
        <x:v>2026-07-08|S05|D09</x:v>
      </x:c>
      <x:c r="B505" s="34" t="n">
        <x:v>46211.5</x:v>
      </x:c>
      <x:c r="C505" s="19" t="str">
        <x:v>S05</x:v>
      </x:c>
      <x:c r="D505" s="19" t="str">
        <x:v>同顺街店</x:v>
      </x:c>
      <x:c r="E505" s="19" t="str">
        <x:v>D09</x:v>
      </x:c>
      <x:c r="F505" s="19" t="str">
        <x:v>炒豆干</x:v>
      </x:c>
      <x:c r="G505" s="19" t="str">
        <x:v>R1.0</x:v>
      </x:c>
      <x:c r="H505" s="20" t="n">
        <x:f>XLOOKUP(A505,'菜品日销量'!$A$5:$A$1124,'菜品日销量'!$G$5:$G$1124,0)</x:f>
        <x:v>16</x:v>
      </x:c>
      <x:c r="I505" s="20" t="n">
        <x:f>ROUNDUP(H505/2,0)</x:f>
        <x:v>8</x:v>
      </x:c>
      <x:c r="J505" s="22" t="n">
        <x:f>SUMIFS('菜谱BOM'!$F$5:$F$160,'菜谱BOM'!$A$5:$A$160,E505,'菜谱BOM'!$C$5:$C$160,"食材")</x:f>
        <x:v>520</x:v>
      </x:c>
      <x:c r="K505" s="38" t="n">
        <x:v>0.0006258078498360256</x:v>
      </x:c>
      <x:c r="L505" s="35" t="n">
        <x:f>H505*J505*(1+K505)</x:f>
        <x:v>8325.206721310635</x:v>
      </x:c>
      <x:c r="M505" s="35" t="n">
        <x:f>SUMIFS('菜谱BOM'!$F$5:$F$160,'菜谱BOM'!$A$5:$A$160,E505,'菜谱BOM'!$C$5:$C$160,"调料")</x:f>
        <x:v>42</x:v>
      </x:c>
      <x:c r="N505" s="38" t="n">
        <x:v>0.001883607941652557</x:v>
      </x:c>
      <x:c r="O505" s="35" t="n">
        <x:f>H505*M505*(1+N505)</x:f>
        <x:v>673.2657845367905</x:v>
      </x:c>
      <x:c r="P505" s="19" t="str">
        <x:f>IF(ABS(N505)&gt;'封面与口径'!$O$25,"机器调料需复核",IF(ABS(K505)&gt;0.02,"人工称重需复核","正常"))</x:f>
        <x:v>正常</x:v>
      </x:c>
      <x:c r="Q505" s="19" t="str">
        <x:v>黄俊</x:v>
      </x:c>
    </x:row>
    <x:row r="506">
      <x:c r="A506" s="19" t="str">
        <x:v>2026-07-08|S05|D10</x:v>
      </x:c>
      <x:c r="B506" s="34" t="n">
        <x:v>46211.5</x:v>
      </x:c>
      <x:c r="C506" s="19" t="str">
        <x:v>S05</x:v>
      </x:c>
      <x:c r="D506" s="19" t="str">
        <x:v>同顺街店</x:v>
      </x:c>
      <x:c r="E506" s="19" t="str">
        <x:v>D10</x:v>
      </x:c>
      <x:c r="F506" s="19" t="str">
        <x:v>农家一碗香</x:v>
      </x:c>
      <x:c r="G506" s="19" t="str">
        <x:v>R2.3</x:v>
      </x:c>
      <x:c r="H506" s="20" t="n">
        <x:f>XLOOKUP(A506,'菜品日销量'!$A$5:$A$1124,'菜品日销量'!$G$5:$G$1124,0)</x:f>
        <x:v>17</x:v>
      </x:c>
      <x:c r="I506" s="20" t="n">
        <x:f>ROUNDUP(H506/2,0)</x:f>
        <x:v>9</x:v>
      </x:c>
      <x:c r="J506" s="22" t="n">
        <x:f>SUMIFS('菜谱BOM'!$F$5:$F$160,'菜谱BOM'!$A$5:$A$160,E506,'菜谱BOM'!$C$5:$C$160,"食材")</x:f>
        <x:v>510</x:v>
      </x:c>
      <x:c r="K506" s="38" t="n">
        <x:v>0.005882089636726791</x:v>
      </x:c>
      <x:c r="L506" s="35" t="n">
        <x:f>H506*J506*(1+K506)</x:f>
        <x:v>8720.997717150422</x:v>
      </x:c>
      <x:c r="M506" s="35" t="n">
        <x:f>SUMIFS('菜谱BOM'!$F$5:$F$160,'菜谱BOM'!$A$5:$A$160,E506,'菜谱BOM'!$C$5:$C$160,"调料")</x:f>
        <x:v>88</x:v>
      </x:c>
      <x:c r="N506" s="38" t="n">
        <x:v>-0.0018664507642077402</x:v>
      </x:c>
      <x:c r="O506" s="35" t="n">
        <x:f>H506*M506*(1+N506)</x:f>
        <x:v>1493.2077896567453</x:v>
      </x:c>
      <x:c r="P506" s="19" t="str">
        <x:f>IF(ABS(N506)&gt;'封面与口径'!$O$25,"机器调料需复核",IF(ABS(K506)&gt;0.02,"人工称重需复核","正常"))</x:f>
        <x:v>正常</x:v>
      </x:c>
      <x:c r="Q506" s="19" t="str">
        <x:v>黄俊</x:v>
      </x:c>
    </x:row>
    <x:row r="507">
      <x:c r="A507" s="19" t="str">
        <x:v>2026-07-08|S05|D11</x:v>
      </x:c>
      <x:c r="B507" s="34" t="n">
        <x:v>46211.5</x:v>
      </x:c>
      <x:c r="C507" s="19" t="str">
        <x:v>S05</x:v>
      </x:c>
      <x:c r="D507" s="19" t="str">
        <x:v>同顺街店</x:v>
      </x:c>
      <x:c r="E507" s="19" t="str">
        <x:v>D11</x:v>
      </x:c>
      <x:c r="F507" s="19" t="str">
        <x:v>香辣爆肥肠</x:v>
      </x:c>
      <x:c r="G507" s="19" t="str">
        <x:v>R1.0</x:v>
      </x:c>
      <x:c r="H507" s="20" t="n">
        <x:f>XLOOKUP(A507,'菜品日销量'!$A$5:$A$1124,'菜品日销量'!$G$5:$G$1124,0)</x:f>
        <x:v>6</x:v>
      </x:c>
      <x:c r="I507" s="20" t="n">
        <x:f>ROUNDUP(H507/2,0)</x:f>
        <x:v>3</x:v>
      </x:c>
      <x:c r="J507" s="22" t="n">
        <x:f>SUMIFS('菜谱BOM'!$F$5:$F$160,'菜谱BOM'!$A$5:$A$160,E507,'菜谱BOM'!$C$5:$C$160,"食材")</x:f>
        <x:v>430</x:v>
      </x:c>
      <x:c r="K507" s="38" t="n">
        <x:v>-0.0029267904001583325</x:v>
      </x:c>
      <x:c r="L507" s="35" t="n">
        <x:f>H507*J507*(1+K507)</x:f>
        <x:v>2572.4488807675916</x:v>
      </x:c>
      <x:c r="M507" s="35" t="n">
        <x:f>SUMIFS('菜谱BOM'!$F$5:$F$160,'菜谱BOM'!$A$5:$A$160,E507,'菜谱BOM'!$C$5:$C$160,"调料")</x:f>
        <x:v>67</x:v>
      </x:c>
      <x:c r="N507" s="38" t="n">
        <x:v>-0.0011920806493591705</x:v>
      </x:c>
      <x:c r="O507" s="35" t="n">
        <x:f>H507*M507*(1+N507)</x:f>
        <x:v>401.5207835789576</x:v>
      </x:c>
      <x:c r="P507" s="19" t="str">
        <x:f>IF(ABS(N507)&gt;'封面与口径'!$O$25,"机器调料需复核",IF(ABS(K507)&gt;0.02,"人工称重需复核","正常"))</x:f>
        <x:v>正常</x:v>
      </x:c>
      <x:c r="Q507" s="19" t="str">
        <x:v>黄俊</x:v>
      </x:c>
    </x:row>
    <x:row r="508">
      <x:c r="A508" s="19" t="str">
        <x:v>2026-07-08|S05|D13</x:v>
      </x:c>
      <x:c r="B508" s="34" t="n">
        <x:v>46211.5</x:v>
      </x:c>
      <x:c r="C508" s="19" t="str">
        <x:v>S05</x:v>
      </x:c>
      <x:c r="D508" s="19" t="str">
        <x:v>同顺街店</x:v>
      </x:c>
      <x:c r="E508" s="19" t="str">
        <x:v>D13</x:v>
      </x:c>
      <x:c r="F508" s="19" t="str">
        <x:v>外婆菜炒蛋</x:v>
      </x:c>
      <x:c r="G508" s="19" t="str">
        <x:v>R1.0</x:v>
      </x:c>
      <x:c r="H508" s="20" t="n">
        <x:f>XLOOKUP(A508,'菜品日销量'!$A$5:$A$1124,'菜品日销量'!$G$5:$G$1124,0)</x:f>
        <x:v>14</x:v>
      </x:c>
      <x:c r="I508" s="20" t="n">
        <x:f>ROUNDUP(H508/2,0)</x:f>
        <x:v>7</x:v>
      </x:c>
      <x:c r="J508" s="22" t="n">
        <x:f>SUMIFS('菜谱BOM'!$F$5:$F$160,'菜谱BOM'!$A$5:$A$160,E508,'菜谱BOM'!$C$5:$C$160,"食材")</x:f>
        <x:v>450</x:v>
      </x:c>
      <x:c r="K508" s="38" t="n">
        <x:v>-0.0013432754039166674</x:v>
      </x:c>
      <x:c r="L508" s="35" t="n">
        <x:f>H508*J508*(1+K508)</x:f>
        <x:v>6291.537364955325</x:v>
      </x:c>
      <x:c r="M508" s="35" t="n">
        <x:f>SUMIFS('菜谱BOM'!$F$5:$F$160,'菜谱BOM'!$A$5:$A$160,E508,'菜谱BOM'!$C$5:$C$160,"调料")</x:f>
        <x:v>37</x:v>
      </x:c>
      <x:c r="N508" s="38" t="n">
        <x:v>-0.0007273679232987036</x:v>
      </x:c>
      <x:c r="O508" s="35" t="n">
        <x:f>H508*M508*(1+N508)</x:f>
        <x:v>517.6232234157312</x:v>
      </x:c>
      <x:c r="P508" s="19" t="str">
        <x:f>IF(ABS(N508)&gt;'封面与口径'!$O$25,"机器调料需复核",IF(ABS(K508)&gt;0.02,"人工称重需复核","正常"))</x:f>
        <x:v>正常</x:v>
      </x:c>
      <x:c r="Q508" s="19" t="str">
        <x:v>黄俊</x:v>
      </x:c>
    </x:row>
    <x:row r="509">
      <x:c r="A509" s="19" t="str">
        <x:v>2026-07-08|S05|D14</x:v>
      </x:c>
      <x:c r="B509" s="34" t="n">
        <x:v>46211.5</x:v>
      </x:c>
      <x:c r="C509" s="19" t="str">
        <x:v>S05</x:v>
      </x:c>
      <x:c r="D509" s="19" t="str">
        <x:v>同顺街店</x:v>
      </x:c>
      <x:c r="E509" s="19" t="str">
        <x:v>D14</x:v>
      </x:c>
      <x:c r="F509" s="19" t="str">
        <x:v>酸辣鸡杂</x:v>
      </x:c>
      <x:c r="G509" s="19" t="str">
        <x:v>R1.0</x:v>
      </x:c>
      <x:c r="H509" s="20" t="n">
        <x:f>XLOOKUP(A509,'菜品日销量'!$A$5:$A$1124,'菜品日销量'!$G$5:$G$1124,0)</x:f>
        <x:v>8</x:v>
      </x:c>
      <x:c r="I509" s="20" t="n">
        <x:f>ROUNDUP(H509/2,0)</x:f>
        <x:v>4</x:v>
      </x:c>
      <x:c r="J509" s="22" t="n">
        <x:f>SUMIFS('菜谱BOM'!$F$5:$F$160,'菜谱BOM'!$A$5:$A$160,E509,'菜谱BOM'!$C$5:$C$160,"食材")</x:f>
        <x:v>470</x:v>
      </x:c>
      <x:c r="K509" s="38" t="n">
        <x:v>-0.0024064314017087298</x:v>
      </x:c>
      <x:c r="L509" s="35" t="n">
        <x:f>H509*J509*(1+K509)</x:f>
        <x:v>3750.951817929575</x:v>
      </x:c>
      <x:c r="M509" s="35" t="n">
        <x:f>SUMIFS('菜谱BOM'!$F$5:$F$160,'菜谱BOM'!$A$5:$A$160,E509,'菜谱BOM'!$C$5:$C$160,"调料")</x:f>
        <x:v>60</x:v>
      </x:c>
      <x:c r="N509" s="38" t="n">
        <x:v>0.0017563331173165544</x:v>
      </x:c>
      <x:c r="O509" s="35" t="n">
        <x:f>H509*M509*(1+N509)</x:f>
        <x:v>480.8430398963119</x:v>
      </x:c>
      <x:c r="P509" s="19" t="str">
        <x:f>IF(ABS(N509)&gt;'封面与口径'!$O$25,"机器调料需复核",IF(ABS(K509)&gt;0.02,"人工称重需复核","正常"))</x:f>
        <x:v>正常</x:v>
      </x:c>
      <x:c r="Q509" s="19" t="str">
        <x:v>黄俊</x:v>
      </x:c>
    </x:row>
    <x:row r="510">
      <x:c r="A510" s="19" t="str">
        <x:v>2026-07-08|S05|D15</x:v>
      </x:c>
      <x:c r="B510" s="34" t="n">
        <x:v>46211.5</x:v>
      </x:c>
      <x:c r="C510" s="19" t="str">
        <x:v>S05</x:v>
      </x:c>
      <x:c r="D510" s="19" t="str">
        <x:v>同顺街店</x:v>
      </x:c>
      <x:c r="E510" s="19" t="str">
        <x:v>D15</x:v>
      </x:c>
      <x:c r="F510" s="19" t="str">
        <x:v>湘西土匪猪肝</x:v>
      </x:c>
      <x:c r="G510" s="19" t="str">
        <x:v>R1.0</x:v>
      </x:c>
      <x:c r="H510" s="20" t="n">
        <x:f>XLOOKUP(A510,'菜品日销量'!$A$5:$A$1124,'菜品日销量'!$G$5:$G$1124,0)</x:f>
        <x:v>7</x:v>
      </x:c>
      <x:c r="I510" s="20" t="n">
        <x:f>ROUNDUP(H510/2,0)</x:f>
        <x:v>4</x:v>
      </x:c>
      <x:c r="J510" s="22" t="n">
        <x:f>SUMIFS('菜谱BOM'!$F$5:$F$160,'菜谱BOM'!$A$5:$A$160,E510,'菜谱BOM'!$C$5:$C$160,"食材")</x:f>
        <x:v>470</x:v>
      </x:c>
      <x:c r="K510" s="38" t="n">
        <x:v>-0.0025645914363126715</x:v>
      </x:c>
      <x:c r="L510" s="35" t="n">
        <x:f>H510*J510*(1+K510)</x:f>
        <x:v>3281.5624941745314</x:v>
      </x:c>
      <x:c r="M510" s="35" t="n">
        <x:f>SUMIFS('菜谱BOM'!$F$5:$F$160,'菜谱BOM'!$A$5:$A$160,E510,'菜谱BOM'!$C$5:$C$160,"调料")</x:f>
        <x:v>49</x:v>
      </x:c>
      <x:c r="N510" s="38" t="n">
        <x:v>-0.001702747962368361</x:v>
      </x:c>
      <x:c r="O510" s="35" t="n">
        <x:f>H510*M510*(1+N510)</x:f>
        <x:v>342.41595744890765</x:v>
      </x:c>
      <x:c r="P510" s="19" t="str">
        <x:f>IF(ABS(N510)&gt;'封面与口径'!$O$25,"机器调料需复核",IF(ABS(K510)&gt;0.02,"人工称重需复核","正常"))</x:f>
        <x:v>正常</x:v>
      </x:c>
      <x:c r="Q510" s="19" t="str">
        <x:v>黄俊</x:v>
      </x:c>
    </x:row>
    <x:row r="511">
      <x:c r="A511" s="19" t="str">
        <x:v>2026-07-08|S05|D16</x:v>
      </x:c>
      <x:c r="B511" s="34" t="n">
        <x:v>46211.5</x:v>
      </x:c>
      <x:c r="C511" s="19" t="str">
        <x:v>S05</x:v>
      </x:c>
      <x:c r="D511" s="19" t="str">
        <x:v>同顺街店</x:v>
      </x:c>
      <x:c r="E511" s="19" t="str">
        <x:v>D16</x:v>
      </x:c>
      <x:c r="F511" s="19" t="str">
        <x:v>小豆角炒五花</x:v>
      </x:c>
      <x:c r="G511" s="19" t="str">
        <x:v>R1.0</x:v>
      </x:c>
      <x:c r="H511" s="20" t="n">
        <x:f>XLOOKUP(A511,'菜品日销量'!$A$5:$A$1124,'菜品日销量'!$G$5:$G$1124,0)</x:f>
        <x:v>7</x:v>
      </x:c>
      <x:c r="I511" s="20" t="n">
        <x:f>ROUNDUP(H511/2,0)</x:f>
        <x:v>4</x:v>
      </x:c>
      <x:c r="J511" s="22" t="n">
        <x:f>SUMIFS('菜谱BOM'!$F$5:$F$160,'菜谱BOM'!$A$5:$A$160,E511,'菜谱BOM'!$C$5:$C$160,"食材")</x:f>
        <x:v>450</x:v>
      </x:c>
      <x:c r="K511" s="38" t="n">
        <x:v>-0.007716698396884999</x:v>
      </x:c>
      <x:c r="L511" s="35" t="n">
        <x:f>H511*J511*(1+K511)</x:f>
        <x:v>3125.692400049812</x:v>
      </x:c>
      <x:c r="M511" s="35" t="n">
        <x:f>SUMIFS('菜谱BOM'!$F$5:$F$160,'菜谱BOM'!$A$5:$A$160,E511,'菜谱BOM'!$C$5:$C$160,"调料")</x:f>
        <x:v>42</x:v>
      </x:c>
      <x:c r="N511" s="38" t="n">
        <x:v>-0.000982758292691493</x:v>
      </x:c>
      <x:c r="O511" s="35" t="n">
        <x:f>H511*M511*(1+N511)</x:f>
        <x:v>293.7110690619487</x:v>
      </x:c>
      <x:c r="P511" s="19" t="str">
        <x:f>IF(ABS(N511)&gt;'封面与口径'!$O$25,"机器调料需复核",IF(ABS(K511)&gt;0.02,"人工称重需复核","正常"))</x:f>
        <x:v>正常</x:v>
      </x:c>
      <x:c r="Q511" s="19" t="str">
        <x:v>黄俊</x:v>
      </x:c>
    </x:row>
    <x:row r="512">
      <x:c r="A512" s="19" t="str">
        <x:v>2026-07-08|S05|D18</x:v>
      </x:c>
      <x:c r="B512" s="34" t="n">
        <x:v>46211.5</x:v>
      </x:c>
      <x:c r="C512" s="19" t="str">
        <x:v>S05</x:v>
      </x:c>
      <x:c r="D512" s="19" t="str">
        <x:v>同顺街店</x:v>
      </x:c>
      <x:c r="E512" s="19" t="str">
        <x:v>D18</x:v>
      </x:c>
      <x:c r="F512" s="19" t="str">
        <x:v>青椒炒油麦菜</x:v>
      </x:c>
      <x:c r="G512" s="19" t="str">
        <x:v>R1.0</x:v>
      </x:c>
      <x:c r="H512" s="20" t="n">
        <x:f>XLOOKUP(A512,'菜品日销量'!$A$5:$A$1124,'菜品日销量'!$G$5:$G$1124,0)</x:f>
        <x:v>8</x:v>
      </x:c>
      <x:c r="I512" s="20" t="n">
        <x:f>ROUNDUP(H512/2,0)</x:f>
        <x:v>4</x:v>
      </x:c>
      <x:c r="J512" s="22" t="n">
        <x:f>SUMIFS('菜谱BOM'!$F$5:$F$160,'菜谱BOM'!$A$5:$A$160,E512,'菜谱BOM'!$C$5:$C$160,"食材")</x:f>
        <x:v>430</x:v>
      </x:c>
      <x:c r="K512" s="38" t="n">
        <x:v>0.004842617145935684</x:v>
      </x:c>
      <x:c r="L512" s="35" t="n">
        <x:f>H512*J512*(1+K512)</x:f>
        <x:v>3456.6586029820187</x:v>
      </x:c>
      <x:c r="M512" s="35" t="n">
        <x:f>SUMIFS('菜谱BOM'!$F$5:$F$160,'菜谱BOM'!$A$5:$A$160,E512,'菜谱BOM'!$C$5:$C$160,"调料")</x:f>
        <x:v>33</x:v>
      </x:c>
      <x:c r="N512" s="38" t="n">
        <x:v>0.0007961593723846971</x:v>
      </x:c>
      <x:c r="O512" s="35" t="n">
        <x:f>H512*M512*(1+N512)</x:f>
        <x:v>264.21018607430955</x:v>
      </x:c>
      <x:c r="P512" s="19" t="str">
        <x:f>IF(ABS(N512)&gt;'封面与口径'!$O$25,"机器调料需复核",IF(ABS(K512)&gt;0.02,"人工称重需复核","正常"))</x:f>
        <x:v>正常</x:v>
      </x:c>
      <x:c r="Q512" s="19" t="str">
        <x:v>黄俊</x:v>
      </x:c>
    </x:row>
    <x:row r="513">
      <x:c r="A513" s="19" t="str">
        <x:v>2026-07-08|S05|D19</x:v>
      </x:c>
      <x:c r="B513" s="34" t="n">
        <x:v>46211.5</x:v>
      </x:c>
      <x:c r="C513" s="19" t="str">
        <x:v>S05</x:v>
      </x:c>
      <x:c r="D513" s="19" t="str">
        <x:v>同顺街店</x:v>
      </x:c>
      <x:c r="E513" s="19" t="str">
        <x:v>D19</x:v>
      </x:c>
      <x:c r="F513" s="19" t="str">
        <x:v>酸萝卜炒鸡杂</x:v>
      </x:c>
      <x:c r="G513" s="19" t="str">
        <x:v>R1.0</x:v>
      </x:c>
      <x:c r="H513" s="20" t="n">
        <x:f>XLOOKUP(A513,'菜品日销量'!$A$5:$A$1124,'菜品日销量'!$G$5:$G$1124,0)</x:f>
        <x:v>5</x:v>
      </x:c>
      <x:c r="I513" s="20" t="n">
        <x:f>ROUNDUP(H513/2,0)</x:f>
        <x:v>3</x:v>
      </x:c>
      <x:c r="J513" s="22" t="n">
        <x:f>SUMIFS('菜谱BOM'!$F$5:$F$160,'菜谱BOM'!$A$5:$A$160,E513,'菜谱BOM'!$C$5:$C$160,"食材")</x:f>
        <x:v>500</x:v>
      </x:c>
      <x:c r="K513" s="38" t="n">
        <x:v>-0.001837294293995317</x:v>
      </x:c>
      <x:c r="L513" s="35" t="n">
        <x:f>H513*J513*(1+K513)</x:f>
        <x:v>2495.406764265012</x:v>
      </x:c>
      <x:c r="M513" s="35" t="n">
        <x:f>SUMIFS('菜谱BOM'!$F$5:$F$160,'菜谱BOM'!$A$5:$A$160,E513,'菜谱BOM'!$C$5:$C$160,"调料")</x:f>
        <x:v>55</x:v>
      </x:c>
      <x:c r="N513" s="38" t="n">
        <x:v>0.001233454754397612</x:v>
      </x:c>
      <x:c r="O513" s="35" t="n">
        <x:f>H513*M513*(1+N513)</x:f>
        <x:v>275.3392000574593</x:v>
      </x:c>
      <x:c r="P513" s="19" t="str">
        <x:f>IF(ABS(N513)&gt;'封面与口径'!$O$25,"机器调料需复核",IF(ABS(K513)&gt;0.02,"人工称重需复核","正常"))</x:f>
        <x:v>正常</x:v>
      </x:c>
      <x:c r="Q513" s="19" t="str">
        <x:v>黄俊</x:v>
      </x:c>
    </x:row>
    <x:row r="514">
      <x:c r="A514" s="19" t="str">
        <x:v>2026-07-08|S05|D20</x:v>
      </x:c>
      <x:c r="B514" s="34" t="n">
        <x:v>46211.5</x:v>
      </x:c>
      <x:c r="C514" s="19" t="str">
        <x:v>S05</x:v>
      </x:c>
      <x:c r="D514" s="19" t="str">
        <x:v>同顺街店</x:v>
      </x:c>
      <x:c r="E514" s="19" t="str">
        <x:v>D20</x:v>
      </x:c>
      <x:c r="F514" s="19" t="str">
        <x:v>雪菜肉末青豆</x:v>
      </x:c>
      <x:c r="G514" s="19" t="str">
        <x:v>R1.0</x:v>
      </x:c>
      <x:c r="H514" s="20" t="n">
        <x:f>XLOOKUP(A514,'菜品日销量'!$A$5:$A$1124,'菜品日销量'!$G$5:$G$1124,0)</x:f>
        <x:v>8</x:v>
      </x:c>
      <x:c r="I514" s="20" t="n">
        <x:f>ROUNDUP(H514/2,0)</x:f>
        <x:v>4</x:v>
      </x:c>
      <x:c r="J514" s="22" t="n">
        <x:f>SUMIFS('菜谱BOM'!$F$5:$F$160,'菜谱BOM'!$A$5:$A$160,E514,'菜谱BOM'!$C$5:$C$160,"食材")</x:f>
        <x:v>465</x:v>
      </x:c>
      <x:c r="K514" s="38" t="n">
        <x:v>-0.0038159262528214433</x:v>
      </x:c>
      <x:c r="L514" s="35" t="n">
        <x:f>H514*J514*(1+K514)</x:f>
        <x:v>3705.804754339504</x:v>
      </x:c>
      <x:c r="M514" s="35" t="n">
        <x:f>SUMIFS('菜谱BOM'!$F$5:$F$160,'菜谱BOM'!$A$5:$A$160,E514,'菜谱BOM'!$C$5:$C$160,"调料")</x:f>
        <x:v>32</x:v>
      </x:c>
      <x:c r="N514" s="38" t="n">
        <x:v>0.0017026184517197817</x:v>
      </x:c>
      <x:c r="O514" s="35" t="n">
        <x:f>H514*M514*(1+N514)</x:f>
        <x:v>256.43587032364024</x:v>
      </x:c>
      <x:c r="P514" s="19" t="str">
        <x:f>IF(ABS(N514)&gt;'封面与口径'!$O$25,"机器调料需复核",IF(ABS(K514)&gt;0.02,"人工称重需复核","正常"))</x:f>
        <x:v>正常</x:v>
      </x:c>
      <x:c r="Q514" s="19" t="str">
        <x:v>黄俊</x:v>
      </x:c>
    </x:row>
    <x:row r="515">
      <x:c r="A515" s="19" t="str">
        <x:v>2026-07-09|S05|D01</x:v>
      </x:c>
      <x:c r="B515" s="34" t="n">
        <x:v>46212.5</x:v>
      </x:c>
      <x:c r="C515" s="19" t="str">
        <x:v>S05</x:v>
      </x:c>
      <x:c r="D515" s="19" t="str">
        <x:v>同顺街店</x:v>
      </x:c>
      <x:c r="E515" s="19" t="str">
        <x:v>D01</x:v>
      </x:c>
      <x:c r="F515" s="19" t="str">
        <x:v>辣椒炒肉</x:v>
      </x:c>
      <x:c r="G515" s="19" t="str">
        <x:v>R2.3</x:v>
      </x:c>
      <x:c r="H515" s="20" t="n">
        <x:f>XLOOKUP(A515,'菜品日销量'!$A$5:$A$1124,'菜品日销量'!$G$5:$G$1124,0)</x:f>
        <x:v>47</x:v>
      </x:c>
      <x:c r="I515" s="20" t="n">
        <x:f>ROUNDUP(H515/2,0)</x:f>
        <x:v>24</x:v>
      </x:c>
      <x:c r="J515" s="22" t="n">
        <x:f>SUMIFS('菜谱BOM'!$F$5:$F$160,'菜谱BOM'!$A$5:$A$160,E515,'菜谱BOM'!$C$5:$C$160,"食材")</x:f>
        <x:v>550</x:v>
      </x:c>
      <x:c r="K515" s="38" t="n">
        <x:v>-0.006167915112843717</x:v>
      </x:c>
      <x:c r="L515" s="35" t="n">
        <x:f>H515*J515*(1+K515)</x:f>
        <x:v>25690.559394332988</x:v>
      </x:c>
      <x:c r="M515" s="35" t="n">
        <x:f>SUMIFS('菜谱BOM'!$F$5:$F$160,'菜谱BOM'!$A$5:$A$160,E515,'菜谱BOM'!$C$5:$C$160,"调料")</x:f>
        <x:v>104</x:v>
      </x:c>
      <x:c r="N515" s="38" t="n">
        <x:v>0.000635769344548641</x:v>
      </x:c>
      <x:c r="O515" s="35" t="n">
        <x:f>H515*M515*(1+N515)</x:f>
        <x:v>4891.107640556154</x:v>
      </x:c>
      <x:c r="P515" s="19" t="str">
        <x:f>IF(ABS(N515)&gt;'封面与口径'!$O$25,"机器调料需复核",IF(ABS(K515)&gt;0.02,"人工称重需复核","正常"))</x:f>
        <x:v>正常</x:v>
      </x:c>
      <x:c r="Q515" s="19" t="str">
        <x:v>黄俊</x:v>
      </x:c>
    </x:row>
    <x:row r="516">
      <x:c r="A516" s="19" t="str">
        <x:v>2026-07-09|S05|D02</x:v>
      </x:c>
      <x:c r="B516" s="34" t="n">
        <x:v>46212.5</x:v>
      </x:c>
      <x:c r="C516" s="19" t="str">
        <x:v>S05</x:v>
      </x:c>
      <x:c r="D516" s="19" t="str">
        <x:v>同顺街店</x:v>
      </x:c>
      <x:c r="E516" s="19" t="str">
        <x:v>D02</x:v>
      </x:c>
      <x:c r="F516" s="19" t="str">
        <x:v>小炒黄牛肉</x:v>
      </x:c>
      <x:c r="G516" s="19" t="str">
        <x:v>R2.3</x:v>
      </x:c>
      <x:c r="H516" s="20" t="n">
        <x:f>XLOOKUP(A516,'菜品日销量'!$A$5:$A$1124,'菜品日销量'!$G$5:$G$1124,0)</x:f>
        <x:v>34</x:v>
      </x:c>
      <x:c r="I516" s="20" t="n">
        <x:f>ROUNDUP(H516/2,0)</x:f>
        <x:v>17</x:v>
      </x:c>
      <x:c r="J516" s="22" t="n">
        <x:f>SUMIFS('菜谱BOM'!$F$5:$F$160,'菜谱BOM'!$A$5:$A$160,E516,'菜谱BOM'!$C$5:$C$160,"食材")</x:f>
        <x:v>560</x:v>
      </x:c>
      <x:c r="K516" s="38" t="n">
        <x:v>0.0031632503185335674</x:v>
      </x:c>
      <x:c r="L516" s="35" t="n">
        <x:f>H516*J516*(1+K516)</x:f>
        <x:v>19100.228286064877</x:v>
      </x:c>
      <x:c r="M516" s="35" t="n">
        <x:f>SUMIFS('菜谱BOM'!$F$5:$F$160,'菜谱BOM'!$A$5:$A$160,E516,'菜谱BOM'!$C$5:$C$160,"调料")</x:f>
        <x:v>133</x:v>
      </x:c>
      <x:c r="N516" s="38" t="n">
        <x:v>-0.0018832777291264567</x:v>
      </x:c>
      <x:c r="O516" s="35" t="n">
        <x:f>H516*M516*(1+N516)</x:f>
        <x:v>4513.48381810889</x:v>
      </x:c>
      <x:c r="P516" s="19" t="str">
        <x:f>IF(ABS(N516)&gt;'封面与口径'!$O$25,"机器调料需复核",IF(ABS(K516)&gt;0.02,"人工称重需复核","正常"))</x:f>
        <x:v>正常</x:v>
      </x:c>
      <x:c r="Q516" s="19" t="str">
        <x:v>黄俊</x:v>
      </x:c>
    </x:row>
    <x:row r="517">
      <x:c r="A517" s="19" t="str">
        <x:v>2026-07-09|S05|D03</x:v>
      </x:c>
      <x:c r="B517" s="34" t="n">
        <x:v>46212.5</x:v>
      </x:c>
      <x:c r="C517" s="19" t="str">
        <x:v>S05</x:v>
      </x:c>
      <x:c r="D517" s="19" t="str">
        <x:v>同顺街店</x:v>
      </x:c>
      <x:c r="E517" s="19" t="str">
        <x:v>D03</x:v>
      </x:c>
      <x:c r="F517" s="19" t="str">
        <x:v>香醋炒蛋</x:v>
      </x:c>
      <x:c r="G517" s="19" t="str">
        <x:v>R1.0</x:v>
      </x:c>
      <x:c r="H517" s="20" t="n">
        <x:f>XLOOKUP(A517,'菜品日销量'!$A$5:$A$1124,'菜品日销量'!$G$5:$G$1124,0)</x:f>
        <x:v>40</x:v>
      </x:c>
      <x:c r="I517" s="20" t="n">
        <x:f>ROUNDUP(H517/2,0)</x:f>
        <x:v>20</x:v>
      </x:c>
      <x:c r="J517" s="22" t="n">
        <x:f>SUMIFS('菜谱BOM'!$F$5:$F$160,'菜谱BOM'!$A$5:$A$160,E517,'菜谱BOM'!$C$5:$C$160,"食材")</x:f>
        <x:v>300</x:v>
      </x:c>
      <x:c r="K517" s="38" t="n">
        <x:v>-0.0062962440993395265</x:v>
      </x:c>
      <x:c r="L517" s="35" t="n">
        <x:f>H517*J517*(1+K517)</x:f>
        <x:v>11924.445070807926</x:v>
      </x:c>
      <x:c r="M517" s="35" t="n">
        <x:f>SUMIFS('菜谱BOM'!$F$5:$F$160,'菜谱BOM'!$A$5:$A$160,E517,'菜谱BOM'!$C$5:$C$160,"调料")</x:f>
        <x:v>53</x:v>
      </x:c>
      <x:c r="N517" s="38" t="n">
        <x:v>-0.0014458862644261417</x:v>
      </x:c>
      <x:c r="O517" s="35" t="n">
        <x:f>H517*M517*(1+N517)</x:f>
        <x:v>2116.9347211194167</x:v>
      </x:c>
      <x:c r="P517" s="19" t="str">
        <x:f>IF(ABS(N517)&gt;'封面与口径'!$O$25,"机器调料需复核",IF(ABS(K517)&gt;0.02,"人工称重需复核","正常"))</x:f>
        <x:v>正常</x:v>
      </x:c>
      <x:c r="Q517" s="19" t="str">
        <x:v>黄俊</x:v>
      </x:c>
    </x:row>
    <x:row r="518">
      <x:c r="A518" s="19" t="str">
        <x:v>2026-07-09|S05|D04</x:v>
      </x:c>
      <x:c r="B518" s="34" t="n">
        <x:v>46212.5</x:v>
      </x:c>
      <x:c r="C518" s="19" t="str">
        <x:v>S05</x:v>
      </x:c>
      <x:c r="D518" s="19" t="str">
        <x:v>同顺街店</x:v>
      </x:c>
      <x:c r="E518" s="19" t="str">
        <x:v>D04</x:v>
      </x:c>
      <x:c r="F518" s="19" t="str">
        <x:v>酸包菜炒粉皮</x:v>
      </x:c>
      <x:c r="G518" s="19" t="str">
        <x:v>R1.0</x:v>
      </x:c>
      <x:c r="H518" s="20" t="n">
        <x:f>XLOOKUP(A518,'菜品日销量'!$A$5:$A$1124,'菜品日销量'!$G$5:$G$1124,0)</x:f>
        <x:v>35</x:v>
      </x:c>
      <x:c r="I518" s="20" t="n">
        <x:f>ROUNDUP(H518/2,0)</x:f>
        <x:v>18</x:v>
      </x:c>
      <x:c r="J518" s="22" t="n">
        <x:f>SUMIFS('菜谱BOM'!$F$5:$F$160,'菜谱BOM'!$A$5:$A$160,E518,'菜谱BOM'!$C$5:$C$160,"食材")</x:f>
        <x:v>380</x:v>
      </x:c>
      <x:c r="K518" s="38" t="n">
        <x:v>-0.003119921940173936</x:v>
      </x:c>
      <x:c r="L518" s="35" t="n">
        <x:f>H518*J518*(1+K518)</x:f>
        <x:v>13258.505038195686</x:v>
      </x:c>
      <x:c r="M518" s="35" t="n">
        <x:f>SUMIFS('菜谱BOM'!$F$5:$F$160,'菜谱BOM'!$A$5:$A$160,E518,'菜谱BOM'!$C$5:$C$160,"调料")</x:f>
        <x:v>47</x:v>
      </x:c>
      <x:c r="N518" s="38" t="n">
        <x:v>0.00007883305709781885</x:v>
      </x:c>
      <x:c r="O518" s="35" t="n">
        <x:f>H518*M518*(1+N518)</x:f>
        <x:v>1645.1296803789257</x:v>
      </x:c>
      <x:c r="P518" s="19" t="str">
        <x:f>IF(ABS(N518)&gt;'封面与口径'!$O$25,"机器调料需复核",IF(ABS(K518)&gt;0.02,"人工称重需复核","正常"))</x:f>
        <x:v>正常</x:v>
      </x:c>
      <x:c r="Q518" s="19" t="str">
        <x:v>黄俊</x:v>
      </x:c>
    </x:row>
    <x:row r="519">
      <x:c r="A519" s="19" t="str">
        <x:v>2026-07-09|S05|D05</x:v>
      </x:c>
      <x:c r="B519" s="34" t="n">
        <x:v>46212.5</x:v>
      </x:c>
      <x:c r="C519" s="19" t="str">
        <x:v>S05</x:v>
      </x:c>
      <x:c r="D519" s="19" t="str">
        <x:v>同顺街店</x:v>
      </x:c>
      <x:c r="E519" s="19" t="str">
        <x:v>D05</x:v>
      </x:c>
      <x:c r="F519" s="19" t="str">
        <x:v>麻婆豆腐</x:v>
      </x:c>
      <x:c r="G519" s="19" t="str">
        <x:v>R1.0</x:v>
      </x:c>
      <x:c r="H519" s="20" t="n">
        <x:f>XLOOKUP(A519,'菜品日销量'!$A$5:$A$1124,'菜品日销量'!$G$5:$G$1124,0)</x:f>
        <x:v>52</x:v>
      </x:c>
      <x:c r="I519" s="20" t="n">
        <x:f>ROUNDUP(H519/2,0)</x:f>
        <x:v>26</x:v>
      </x:c>
      <x:c r="J519" s="22" t="n">
        <x:f>SUMIFS('菜谱BOM'!$F$5:$F$160,'菜谱BOM'!$A$5:$A$160,E519,'菜谱BOM'!$C$5:$C$160,"食材")</x:f>
        <x:v>505</x:v>
      </x:c>
      <x:c r="K519" s="38" t="n">
        <x:v>0.006239533196724842</x:v>
      </x:c>
      <x:c r="L519" s="35" t="n">
        <x:f>H519*J519*(1+K519)</x:f>
        <x:v>26423.850141745996</x:v>
      </x:c>
      <x:c r="M519" s="35" t="n">
        <x:f>SUMIFS('菜谱BOM'!$F$5:$F$160,'菜谱BOM'!$A$5:$A$160,E519,'菜谱BOM'!$C$5:$C$160,"调料")</x:f>
        <x:v>90</x:v>
      </x:c>
      <x:c r="N519" s="38" t="n">
        <x:v>0.0013965118861283435</x:v>
      </x:c>
      <x:c r="O519" s="35" t="n">
        <x:f>H519*M519*(1+N519)</x:f>
        <x:v>4686.53567562708</x:v>
      </x:c>
      <x:c r="P519" s="19" t="str">
        <x:f>IF(ABS(N519)&gt;'封面与口径'!$O$25,"机器调料需复核",IF(ABS(K519)&gt;0.02,"人工称重需复核","正常"))</x:f>
        <x:v>正常</x:v>
      </x:c>
      <x:c r="Q519" s="19" t="str">
        <x:v>黄俊</x:v>
      </x:c>
    </x:row>
    <x:row r="520">
      <x:c r="A520" s="19" t="str">
        <x:v>2026-07-09|S05|D07</x:v>
      </x:c>
      <x:c r="B520" s="34" t="n">
        <x:v>46212.5</x:v>
      </x:c>
      <x:c r="C520" s="19" t="str">
        <x:v>S05</x:v>
      </x:c>
      <x:c r="D520" s="19" t="str">
        <x:v>同顺街店</x:v>
      </x:c>
      <x:c r="E520" s="19" t="str">
        <x:v>D07</x:v>
      </x:c>
      <x:c r="F520" s="19" t="str">
        <x:v>川味回锅肉</x:v>
      </x:c>
      <x:c r="G520" s="19" t="str">
        <x:v>R1.0</x:v>
      </x:c>
      <x:c r="H520" s="20" t="n">
        <x:f>XLOOKUP(A520,'菜品日销量'!$A$5:$A$1124,'菜品日销量'!$G$5:$G$1124,0)</x:f>
        <x:v>15</x:v>
      </x:c>
      <x:c r="I520" s="20" t="n">
        <x:f>ROUNDUP(H520/2,0)</x:f>
        <x:v>8</x:v>
      </x:c>
      <x:c r="J520" s="22" t="n">
        <x:f>SUMIFS('菜谱BOM'!$F$5:$F$160,'菜谱BOM'!$A$5:$A$160,E520,'菜谱BOM'!$C$5:$C$160,"食材")</x:f>
        <x:v>450</x:v>
      </x:c>
      <x:c r="K520" s="38" t="n">
        <x:v>-0.00726914936287076</x:v>
      </x:c>
      <x:c r="L520" s="35" t="n">
        <x:f>H520*J520*(1+K520)</x:f>
        <x:v>6700.933241800622</x:v>
      </x:c>
      <x:c r="M520" s="35" t="n">
        <x:f>SUMIFS('菜谱BOM'!$F$5:$F$160,'菜谱BOM'!$A$5:$A$160,E520,'菜谱BOM'!$C$5:$C$160,"调料")</x:f>
        <x:v>63</x:v>
      </x:c>
      <x:c r="N520" s="38" t="n">
        <x:v>0.001785277249241545</x:v>
      </x:c>
      <x:c r="O520" s="35" t="n">
        <x:f>H520*M520*(1+N520)</x:f>
        <x:v>946.6870870005332</x:v>
      </x:c>
      <x:c r="P520" s="19" t="str">
        <x:f>IF(ABS(N520)&gt;'封面与口径'!$O$25,"机器调料需复核",IF(ABS(K520)&gt;0.02,"人工称重需复核","正常"))</x:f>
        <x:v>正常</x:v>
      </x:c>
      <x:c r="Q520" s="19" t="str">
        <x:v>黄俊</x:v>
      </x:c>
    </x:row>
    <x:row r="521">
      <x:c r="A521" s="19" t="str">
        <x:v>2026-07-09|S05|D08</x:v>
      </x:c>
      <x:c r="B521" s="34" t="n">
        <x:v>46212.5</x:v>
      </x:c>
      <x:c r="C521" s="19" t="str">
        <x:v>S05</x:v>
      </x:c>
      <x:c r="D521" s="19" t="str">
        <x:v>同顺街店</x:v>
      </x:c>
      <x:c r="E521" s="19" t="str">
        <x:v>D08</x:v>
      </x:c>
      <x:c r="F521" s="19" t="str">
        <x:v>生炒清远鸡</x:v>
      </x:c>
      <x:c r="G521" s="19" t="str">
        <x:v>R1.0</x:v>
      </x:c>
      <x:c r="H521" s="20" t="n">
        <x:f>XLOOKUP(A521,'菜品日销量'!$A$5:$A$1124,'菜品日销量'!$G$5:$G$1124,0)</x:f>
        <x:v>10</x:v>
      </x:c>
      <x:c r="I521" s="20" t="n">
        <x:f>ROUNDUP(H521/2,0)</x:f>
        <x:v>5</x:v>
      </x:c>
      <x:c r="J521" s="22" t="n">
        <x:f>SUMIFS('菜谱BOM'!$F$5:$F$160,'菜谱BOM'!$A$5:$A$160,E521,'菜谱BOM'!$C$5:$C$160,"食材")</x:f>
        <x:v>610</x:v>
      </x:c>
      <x:c r="K521" s="38" t="n">
        <x:v>-0.0011556561610558199</x:v>
      </x:c>
      <x:c r="L521" s="35" t="n">
        <x:f>H521*J521*(1+K521)</x:f>
        <x:v>6092.95049741756</x:v>
      </x:c>
      <x:c r="M521" s="35" t="n">
        <x:f>SUMIFS('菜谱BOM'!$F$5:$F$160,'菜谱BOM'!$A$5:$A$160,E521,'菜谱BOM'!$C$5:$C$160,"调料")</x:f>
        <x:v>61</x:v>
      </x:c>
      <x:c r="N521" s="38" t="n">
        <x:v>-0.0005251629852049898</x:v>
      </x:c>
      <x:c r="O521" s="35" t="n">
        <x:f>H521*M521*(1+N521)</x:f>
        <x:v>609.679650579025</x:v>
      </x:c>
      <x:c r="P521" s="19" t="str">
        <x:f>IF(ABS(N521)&gt;'封面与口径'!$O$25,"机器调料需复核",IF(ABS(K521)&gt;0.02,"人工称重需复核","正常"))</x:f>
        <x:v>正常</x:v>
      </x:c>
      <x:c r="Q521" s="19" t="str">
        <x:v>黄俊</x:v>
      </x:c>
    </x:row>
    <x:row r="522">
      <x:c r="A522" s="19" t="str">
        <x:v>2026-07-09|S05|D09</x:v>
      </x:c>
      <x:c r="B522" s="34" t="n">
        <x:v>46212.5</x:v>
      </x:c>
      <x:c r="C522" s="19" t="str">
        <x:v>S05</x:v>
      </x:c>
      <x:c r="D522" s="19" t="str">
        <x:v>同顺街店</x:v>
      </x:c>
      <x:c r="E522" s="19" t="str">
        <x:v>D09</x:v>
      </x:c>
      <x:c r="F522" s="19" t="str">
        <x:v>炒豆干</x:v>
      </x:c>
      <x:c r="G522" s="19" t="str">
        <x:v>R1.0</x:v>
      </x:c>
      <x:c r="H522" s="20" t="n">
        <x:f>XLOOKUP(A522,'菜品日销量'!$A$5:$A$1124,'菜品日销量'!$G$5:$G$1124,0)</x:f>
        <x:v>16</x:v>
      </x:c>
      <x:c r="I522" s="20" t="n">
        <x:f>ROUNDUP(H522/2,0)</x:f>
        <x:v>8</x:v>
      </x:c>
      <x:c r="J522" s="22" t="n">
        <x:f>SUMIFS('菜谱BOM'!$F$5:$F$160,'菜谱BOM'!$A$5:$A$160,E522,'菜谱BOM'!$C$5:$C$160,"食材")</x:f>
        <x:v>520</x:v>
      </x:c>
      <x:c r="K522" s="38" t="n">
        <x:v>0.004086510564220722</x:v>
      </x:c>
      <x:c r="L522" s="35" t="n">
        <x:f>H522*J522*(1+K522)</x:f>
        <x:v>8353.999767894316</x:v>
      </x:c>
      <x:c r="M522" s="35" t="n">
        <x:f>SUMIFS('菜谱BOM'!$F$5:$F$160,'菜谱BOM'!$A$5:$A$160,E522,'菜谱BOM'!$C$5:$C$160,"调料")</x:f>
        <x:v>42</x:v>
      </x:c>
      <x:c r="N522" s="38" t="n">
        <x:v>0.0012845442442420275</x:v>
      </x:c>
      <x:c r="O522" s="35" t="n">
        <x:f>H522*M522*(1+N522)</x:f>
        <x:v>672.8632137321306</x:v>
      </x:c>
      <x:c r="P522" s="19" t="str">
        <x:f>IF(ABS(N522)&gt;'封面与口径'!$O$25,"机器调料需复核",IF(ABS(K522)&gt;0.02,"人工称重需复核","正常"))</x:f>
        <x:v>正常</x:v>
      </x:c>
      <x:c r="Q522" s="19" t="str">
        <x:v>黄俊</x:v>
      </x:c>
    </x:row>
    <x:row r="523">
      <x:c r="A523" s="19" t="str">
        <x:v>2026-07-09|S05|D10</x:v>
      </x:c>
      <x:c r="B523" s="34" t="n">
        <x:v>46212.5</x:v>
      </x:c>
      <x:c r="C523" s="19" t="str">
        <x:v>S05</x:v>
      </x:c>
      <x:c r="D523" s="19" t="str">
        <x:v>同顺街店</x:v>
      </x:c>
      <x:c r="E523" s="19" t="str">
        <x:v>D10</x:v>
      </x:c>
      <x:c r="F523" s="19" t="str">
        <x:v>农家一碗香</x:v>
      </x:c>
      <x:c r="G523" s="19" t="str">
        <x:v>R2.3</x:v>
      </x:c>
      <x:c r="H523" s="20" t="n">
        <x:f>XLOOKUP(A523,'菜品日销量'!$A$5:$A$1124,'菜品日销量'!$G$5:$G$1124,0)</x:f>
        <x:v>16</x:v>
      </x:c>
      <x:c r="I523" s="20" t="n">
        <x:f>ROUNDUP(H523/2,0)</x:f>
        <x:v>8</x:v>
      </x:c>
      <x:c r="J523" s="22" t="n">
        <x:f>SUMIFS('菜谱BOM'!$F$5:$F$160,'菜谱BOM'!$A$5:$A$160,E523,'菜谱BOM'!$C$5:$C$160,"食材")</x:f>
        <x:v>510</x:v>
      </x:c>
      <x:c r="K523" s="38" t="n">
        <x:v>-0.005604570149817636</x:v>
      </x:c>
      <x:c r="L523" s="35" t="n">
        <x:f>H523*J523*(1+K523)</x:f>
        <x:v>8114.266707577488</x:v>
      </x:c>
      <x:c r="M523" s="35" t="n">
        <x:f>SUMIFS('菜谱BOM'!$F$5:$F$160,'菜谱BOM'!$A$5:$A$160,E523,'菜谱BOM'!$C$5:$C$160,"调料")</x:f>
        <x:v>88</x:v>
      </x:c>
      <x:c r="N523" s="38" t="n">
        <x:v>-0.000055743409799352104</x:v>
      </x:c>
      <x:c r="O523" s="35" t="n">
        <x:f>H523*M523*(1+N523)</x:f>
        <x:v>1407.9215132790025</x:v>
      </x:c>
      <x:c r="P523" s="19" t="str">
        <x:f>IF(ABS(N523)&gt;'封面与口径'!$O$25,"机器调料需复核",IF(ABS(K523)&gt;0.02,"人工称重需复核","正常"))</x:f>
        <x:v>正常</x:v>
      </x:c>
      <x:c r="Q523" s="19" t="str">
        <x:v>黄俊</x:v>
      </x:c>
    </x:row>
    <x:row r="524">
      <x:c r="A524" s="19" t="str">
        <x:v>2026-07-09|S05|D11</x:v>
      </x:c>
      <x:c r="B524" s="34" t="n">
        <x:v>46212.5</x:v>
      </x:c>
      <x:c r="C524" s="19" t="str">
        <x:v>S05</x:v>
      </x:c>
      <x:c r="D524" s="19" t="str">
        <x:v>同顺街店</x:v>
      </x:c>
      <x:c r="E524" s="19" t="str">
        <x:v>D11</x:v>
      </x:c>
      <x:c r="F524" s="19" t="str">
        <x:v>香辣爆肥肠</x:v>
      </x:c>
      <x:c r="G524" s="19" t="str">
        <x:v>R1.0</x:v>
      </x:c>
      <x:c r="H524" s="20" t="n">
        <x:f>XLOOKUP(A524,'菜品日销量'!$A$5:$A$1124,'菜品日销量'!$G$5:$G$1124,0)</x:f>
        <x:v>6</x:v>
      </x:c>
      <x:c r="I524" s="20" t="n">
        <x:f>ROUNDUP(H524/2,0)</x:f>
        <x:v>3</x:v>
      </x:c>
      <x:c r="J524" s="22" t="n">
        <x:f>SUMIFS('菜谱BOM'!$F$5:$F$160,'菜谱BOM'!$A$5:$A$160,E524,'菜谱BOM'!$C$5:$C$160,"食材")</x:f>
        <x:v>430</x:v>
      </x:c>
      <x:c r="K524" s="38" t="n">
        <x:v>0.007165231056317042</x:v>
      </x:c>
      <x:c r="L524" s="35" t="n">
        <x:f>H524*J524*(1+K524)</x:f>
        <x:v>2598.486296125298</x:v>
      </x:c>
      <x:c r="M524" s="35" t="n">
        <x:f>SUMIFS('菜谱BOM'!$F$5:$F$160,'菜谱BOM'!$A$5:$A$160,E524,'菜谱BOM'!$C$5:$C$160,"调料")</x:f>
        <x:v>67</x:v>
      </x:c>
      <x:c r="N524" s="38" t="n">
        <x:v>-0.00043691756167377286</x:v>
      </x:c>
      <x:c r="O524" s="35" t="n">
        <x:f>H524*M524*(1+N524)</x:f>
        <x:v>401.82435914020715</x:v>
      </x:c>
      <x:c r="P524" s="19" t="str">
        <x:f>IF(ABS(N524)&gt;'封面与口径'!$O$25,"机器调料需复核",IF(ABS(K524)&gt;0.02,"人工称重需复核","正常"))</x:f>
        <x:v>正常</x:v>
      </x:c>
      <x:c r="Q524" s="19" t="str">
        <x:v>黄俊</x:v>
      </x:c>
    </x:row>
    <x:row r="525">
      <x:c r="A525" s="19" t="str">
        <x:v>2026-07-09|S05|D13</x:v>
      </x:c>
      <x:c r="B525" s="34" t="n">
        <x:v>46212.5</x:v>
      </x:c>
      <x:c r="C525" s="19" t="str">
        <x:v>S05</x:v>
      </x:c>
      <x:c r="D525" s="19" t="str">
        <x:v>同顺街店</x:v>
      </x:c>
      <x:c r="E525" s="19" t="str">
        <x:v>D13</x:v>
      </x:c>
      <x:c r="F525" s="19" t="str">
        <x:v>外婆菜炒蛋</x:v>
      </x:c>
      <x:c r="G525" s="19" t="str">
        <x:v>R1.0</x:v>
      </x:c>
      <x:c r="H525" s="20" t="n">
        <x:f>XLOOKUP(A525,'菜品日销量'!$A$5:$A$1124,'菜品日销量'!$G$5:$G$1124,0)</x:f>
        <x:v>16</x:v>
      </x:c>
      <x:c r="I525" s="20" t="n">
        <x:f>ROUNDUP(H525/2,0)</x:f>
        <x:v>8</x:v>
      </x:c>
      <x:c r="J525" s="22" t="n">
        <x:f>SUMIFS('菜谱BOM'!$F$5:$F$160,'菜谱BOM'!$A$5:$A$160,E525,'菜谱BOM'!$C$5:$C$160,"食材")</x:f>
        <x:v>450</x:v>
      </x:c>
      <x:c r="K525" s="38" t="n">
        <x:v>0.0018762886956977401</x:v>
      </x:c>
      <x:c r="L525" s="35" t="n">
        <x:f>H525*J525*(1+K525)</x:f>
        <x:v>7213.5092786090245</x:v>
      </x:c>
      <x:c r="M525" s="35" t="n">
        <x:f>SUMIFS('菜谱BOM'!$F$5:$F$160,'菜谱BOM'!$A$5:$A$160,E525,'菜谱BOM'!$C$5:$C$160,"调料")</x:f>
        <x:v>37</x:v>
      </x:c>
      <x:c r="N525" s="38" t="n">
        <x:v>-0.000024860562296784573</x:v>
      </x:c>
      <x:c r="O525" s="35" t="n">
        <x:f>H525*M525*(1+N525)</x:f>
        <x:v>591.9852825471203</x:v>
      </x:c>
      <x:c r="P525" s="19" t="str">
        <x:f>IF(ABS(N525)&gt;'封面与口径'!$O$25,"机器调料需复核",IF(ABS(K525)&gt;0.02,"人工称重需复核","正常"))</x:f>
        <x:v>正常</x:v>
      </x:c>
      <x:c r="Q525" s="19" t="str">
        <x:v>黄俊</x:v>
      </x:c>
    </x:row>
    <x:row r="526">
      <x:c r="A526" s="19" t="str">
        <x:v>2026-07-09|S05|D14</x:v>
      </x:c>
      <x:c r="B526" s="34" t="n">
        <x:v>46212.5</x:v>
      </x:c>
      <x:c r="C526" s="19" t="str">
        <x:v>S05</x:v>
      </x:c>
      <x:c r="D526" s="19" t="str">
        <x:v>同顺街店</x:v>
      </x:c>
      <x:c r="E526" s="19" t="str">
        <x:v>D14</x:v>
      </x:c>
      <x:c r="F526" s="19" t="str">
        <x:v>酸辣鸡杂</x:v>
      </x:c>
      <x:c r="G526" s="19" t="str">
        <x:v>R1.0</x:v>
      </x:c>
      <x:c r="H526" s="20" t="n">
        <x:f>XLOOKUP(A526,'菜品日销量'!$A$5:$A$1124,'菜品日销量'!$G$5:$G$1124,0)</x:f>
        <x:v>8</x:v>
      </x:c>
      <x:c r="I526" s="20" t="n">
        <x:f>ROUNDUP(H526/2,0)</x:f>
        <x:v>4</x:v>
      </x:c>
      <x:c r="J526" s="22" t="n">
        <x:f>SUMIFS('菜谱BOM'!$F$5:$F$160,'菜谱BOM'!$A$5:$A$160,E526,'菜谱BOM'!$C$5:$C$160,"食材")</x:f>
        <x:v>470</x:v>
      </x:c>
      <x:c r="K526" s="38" t="n">
        <x:v>-0.0066403385546618</x:v>
      </x:c>
      <x:c r="L526" s="35" t="n">
        <x:f>H526*J526*(1+K526)</x:f>
        <x:v>3735.0323270344716</x:v>
      </x:c>
      <x:c r="M526" s="35" t="n">
        <x:f>SUMIFS('菜谱BOM'!$F$5:$F$160,'菜谱BOM'!$A$5:$A$160,E526,'菜谱BOM'!$C$5:$C$160,"调料")</x:f>
        <x:v>60</x:v>
      </x:c>
      <x:c r="N526" s="38" t="n">
        <x:v>-0.0015053550851310965</x:v>
      </x:c>
      <x:c r="O526" s="35" t="n">
        <x:f>H526*M526*(1+N526)</x:f>
        <x:v>479.2774295591371</x:v>
      </x:c>
      <x:c r="P526" s="19" t="str">
        <x:f>IF(ABS(N526)&gt;'封面与口径'!$O$25,"机器调料需复核",IF(ABS(K526)&gt;0.02,"人工称重需复核","正常"))</x:f>
        <x:v>正常</x:v>
      </x:c>
      <x:c r="Q526" s="19" t="str">
        <x:v>黄俊</x:v>
      </x:c>
    </x:row>
    <x:row r="527">
      <x:c r="A527" s="19" t="str">
        <x:v>2026-07-09|S05|D15</x:v>
      </x:c>
      <x:c r="B527" s="34" t="n">
        <x:v>46212.5</x:v>
      </x:c>
      <x:c r="C527" s="19" t="str">
        <x:v>S05</x:v>
      </x:c>
      <x:c r="D527" s="19" t="str">
        <x:v>同顺街店</x:v>
      </x:c>
      <x:c r="E527" s="19" t="str">
        <x:v>D15</x:v>
      </x:c>
      <x:c r="F527" s="19" t="str">
        <x:v>湘西土匪猪肝</x:v>
      </x:c>
      <x:c r="G527" s="19" t="str">
        <x:v>R1.0</x:v>
      </x:c>
      <x:c r="H527" s="20" t="n">
        <x:f>XLOOKUP(A527,'菜品日销量'!$A$5:$A$1124,'菜品日销量'!$G$5:$G$1124,0)</x:f>
        <x:v>6</x:v>
      </x:c>
      <x:c r="I527" s="20" t="n">
        <x:f>ROUNDUP(H527/2,0)</x:f>
        <x:v>3</x:v>
      </x:c>
      <x:c r="J527" s="22" t="n">
        <x:f>SUMIFS('菜谱BOM'!$F$5:$F$160,'菜谱BOM'!$A$5:$A$160,E527,'菜谱BOM'!$C$5:$C$160,"食材")</x:f>
        <x:v>470</x:v>
      </x:c>
      <x:c r="K527" s="38" t="n">
        <x:v>-0.004536026309369138</x:v>
      </x:c>
      <x:c r="L527" s="35" t="n">
        <x:f>H527*J527*(1+K527)</x:f>
        <x:v>2807.2084058075793</x:v>
      </x:c>
      <x:c r="M527" s="35" t="n">
        <x:f>SUMIFS('菜谱BOM'!$F$5:$F$160,'菜谱BOM'!$A$5:$A$160,E527,'菜谱BOM'!$C$5:$C$160,"调料")</x:f>
        <x:v>49</x:v>
      </x:c>
      <x:c r="N527" s="38" t="n">
        <x:v>-0.00198687526583366</x:v>
      </x:c>
      <x:c r="O527" s="35" t="n">
        <x:f>H527*M527*(1+N527)</x:f>
        <x:v>293.4158586718449</x:v>
      </x:c>
      <x:c r="P527" s="19" t="str">
        <x:f>IF(ABS(N527)&gt;'封面与口径'!$O$25,"机器调料需复核",IF(ABS(K527)&gt;0.02,"人工称重需复核","正常"))</x:f>
        <x:v>正常</x:v>
      </x:c>
      <x:c r="Q527" s="19" t="str">
        <x:v>黄俊</x:v>
      </x:c>
    </x:row>
    <x:row r="528">
      <x:c r="A528" s="19" t="str">
        <x:v>2026-07-09|S05|D16</x:v>
      </x:c>
      <x:c r="B528" s="34" t="n">
        <x:v>46212.5</x:v>
      </x:c>
      <x:c r="C528" s="19" t="str">
        <x:v>S05</x:v>
      </x:c>
      <x:c r="D528" s="19" t="str">
        <x:v>同顺街店</x:v>
      </x:c>
      <x:c r="E528" s="19" t="str">
        <x:v>D16</x:v>
      </x:c>
      <x:c r="F528" s="19" t="str">
        <x:v>小豆角炒五花</x:v>
      </x:c>
      <x:c r="G528" s="19" t="str">
        <x:v>R1.0</x:v>
      </x:c>
      <x:c r="H528" s="20" t="n">
        <x:f>XLOOKUP(A528,'菜品日销量'!$A$5:$A$1124,'菜品日销量'!$G$5:$G$1124,0)</x:f>
        <x:v>7</x:v>
      </x:c>
      <x:c r="I528" s="20" t="n">
        <x:f>ROUNDUP(H528/2,0)</x:f>
        <x:v>4</x:v>
      </x:c>
      <x:c r="J528" s="22" t="n">
        <x:f>SUMIFS('菜谱BOM'!$F$5:$F$160,'菜谱BOM'!$A$5:$A$160,E528,'菜谱BOM'!$C$5:$C$160,"食材")</x:f>
        <x:v>450</x:v>
      </x:c>
      <x:c r="K528" s="38" t="n">
        <x:v>0.007523976620175871</x:v>
      </x:c>
      <x:c r="L528" s="35" t="n">
        <x:f>H528*J528*(1+K528)</x:f>
        <x:v>3173.700526353554</x:v>
      </x:c>
      <x:c r="M528" s="35" t="n">
        <x:f>SUMIFS('菜谱BOM'!$F$5:$F$160,'菜谱BOM'!$A$5:$A$160,E528,'菜谱BOM'!$C$5:$C$160,"调料")</x:f>
        <x:v>42</x:v>
      </x:c>
      <x:c r="N528" s="38" t="n">
        <x:v>-0.001506797232550289</x:v>
      </x:c>
      <x:c r="O528" s="35" t="n">
        <x:f>H528*M528*(1+N528)</x:f>
        <x:v>293.55700161363023</x:v>
      </x:c>
      <x:c r="P528" s="19" t="str">
        <x:f>IF(ABS(N528)&gt;'封面与口径'!$O$25,"机器调料需复核",IF(ABS(K528)&gt;0.02,"人工称重需复核","正常"))</x:f>
        <x:v>正常</x:v>
      </x:c>
      <x:c r="Q528" s="19" t="str">
        <x:v>黄俊</x:v>
      </x:c>
    </x:row>
    <x:row r="529">
      <x:c r="A529" s="19" t="str">
        <x:v>2026-07-09|S05|D18</x:v>
      </x:c>
      <x:c r="B529" s="34" t="n">
        <x:v>46212.5</x:v>
      </x:c>
      <x:c r="C529" s="19" t="str">
        <x:v>S05</x:v>
      </x:c>
      <x:c r="D529" s="19" t="str">
        <x:v>同顺街店</x:v>
      </x:c>
      <x:c r="E529" s="19" t="str">
        <x:v>D18</x:v>
      </x:c>
      <x:c r="F529" s="19" t="str">
        <x:v>青椒炒油麦菜</x:v>
      </x:c>
      <x:c r="G529" s="19" t="str">
        <x:v>R1.0</x:v>
      </x:c>
      <x:c r="H529" s="20" t="n">
        <x:f>XLOOKUP(A529,'菜品日销量'!$A$5:$A$1124,'菜品日销量'!$G$5:$G$1124,0)</x:f>
        <x:v>8</x:v>
      </x:c>
      <x:c r="I529" s="20" t="n">
        <x:f>ROUNDUP(H529/2,0)</x:f>
        <x:v>4</x:v>
      </x:c>
      <x:c r="J529" s="22" t="n">
        <x:f>SUMIFS('菜谱BOM'!$F$5:$F$160,'菜谱BOM'!$A$5:$A$160,E529,'菜谱BOM'!$C$5:$C$160,"食材")</x:f>
        <x:v>430</x:v>
      </x:c>
      <x:c r="K529" s="38" t="n">
        <x:v>-0.007861720770565262</x:v>
      </x:c>
      <x:c r="L529" s="35" t="n">
        <x:f>H529*J529*(1+K529)</x:f>
        <x:v>3412.9556805492557</x:v>
      </x:c>
      <x:c r="M529" s="35" t="n">
        <x:f>SUMIFS('菜谱BOM'!$F$5:$F$160,'菜谱BOM'!$A$5:$A$160,E529,'菜谱BOM'!$C$5:$C$160,"调料")</x:f>
        <x:v>33</x:v>
      </x:c>
      <x:c r="N529" s="38" t="n">
        <x:v>-0.0004415578009657464</x:v>
      </x:c>
      <x:c r="O529" s="35" t="n">
        <x:f>H529*M529*(1+N529)</x:f>
        <x:v>263.883428740545</x:v>
      </x:c>
      <x:c r="P529" s="19" t="str">
        <x:f>IF(ABS(N529)&gt;'封面与口径'!$O$25,"机器调料需复核",IF(ABS(K529)&gt;0.02,"人工称重需复核","正常"))</x:f>
        <x:v>正常</x:v>
      </x:c>
      <x:c r="Q529" s="19" t="str">
        <x:v>黄俊</x:v>
      </x:c>
    </x:row>
    <x:row r="530">
      <x:c r="A530" s="19" t="str">
        <x:v>2026-07-09|S05|D19</x:v>
      </x:c>
      <x:c r="B530" s="34" t="n">
        <x:v>46212.5</x:v>
      </x:c>
      <x:c r="C530" s="19" t="str">
        <x:v>S05</x:v>
      </x:c>
      <x:c r="D530" s="19" t="str">
        <x:v>同顺街店</x:v>
      </x:c>
      <x:c r="E530" s="19" t="str">
        <x:v>D19</x:v>
      </x:c>
      <x:c r="F530" s="19" t="str">
        <x:v>酸萝卜炒鸡杂</x:v>
      </x:c>
      <x:c r="G530" s="19" t="str">
        <x:v>R1.0</x:v>
      </x:c>
      <x:c r="H530" s="20" t="n">
        <x:f>XLOOKUP(A530,'菜品日销量'!$A$5:$A$1124,'菜品日销量'!$G$5:$G$1124,0)</x:f>
        <x:v>5</x:v>
      </x:c>
      <x:c r="I530" s="20" t="n">
        <x:f>ROUNDUP(H530/2,0)</x:f>
        <x:v>3</x:v>
      </x:c>
      <x:c r="J530" s="22" t="n">
        <x:f>SUMIFS('菜谱BOM'!$F$5:$F$160,'菜谱BOM'!$A$5:$A$160,E530,'菜谱BOM'!$C$5:$C$160,"食材")</x:f>
        <x:v>500</x:v>
      </x:c>
      <x:c r="K530" s="38" t="n">
        <x:v>0.0002537425514901397</x:v>
      </x:c>
      <x:c r="L530" s="35" t="n">
        <x:f>H530*J530*(1+K530)</x:f>
        <x:v>2500.6343563787254</x:v>
      </x:c>
      <x:c r="M530" s="35" t="n">
        <x:f>SUMIFS('菜谱BOM'!$F$5:$F$160,'菜谱BOM'!$A$5:$A$160,E530,'菜谱BOM'!$C$5:$C$160,"调料")</x:f>
        <x:v>55</x:v>
      </x:c>
      <x:c r="N530" s="38" t="n">
        <x:v>0.0003685332430453352</x:v>
      </x:c>
      <x:c r="O530" s="35" t="n">
        <x:f>H530*M530*(1+N530)</x:f>
        <x:v>275.1013466418375</x:v>
      </x:c>
      <x:c r="P530" s="19" t="str">
        <x:f>IF(ABS(N530)&gt;'封面与口径'!$O$25,"机器调料需复核",IF(ABS(K530)&gt;0.02,"人工称重需复核","正常"))</x:f>
        <x:v>正常</x:v>
      </x:c>
      <x:c r="Q530" s="19" t="str">
        <x:v>黄俊</x:v>
      </x:c>
    </x:row>
    <x:row r="531">
      <x:c r="A531" s="19" t="str">
        <x:v>2026-07-09|S05|D20</x:v>
      </x:c>
      <x:c r="B531" s="34" t="n">
        <x:v>46212.5</x:v>
      </x:c>
      <x:c r="C531" s="19" t="str">
        <x:v>S05</x:v>
      </x:c>
      <x:c r="D531" s="19" t="str">
        <x:v>同顺街店</x:v>
      </x:c>
      <x:c r="E531" s="19" t="str">
        <x:v>D20</x:v>
      </x:c>
      <x:c r="F531" s="19" t="str">
        <x:v>雪菜肉末青豆</x:v>
      </x:c>
      <x:c r="G531" s="19" t="str">
        <x:v>R1.0</x:v>
      </x:c>
      <x:c r="H531" s="20" t="n">
        <x:f>XLOOKUP(A531,'菜品日销量'!$A$5:$A$1124,'菜品日销量'!$G$5:$G$1124,0)</x:f>
        <x:v>7</x:v>
      </x:c>
      <x:c r="I531" s="20" t="n">
        <x:f>ROUNDUP(H531/2,0)</x:f>
        <x:v>4</x:v>
      </x:c>
      <x:c r="J531" s="22" t="n">
        <x:f>SUMIFS('菜谱BOM'!$F$5:$F$160,'菜谱BOM'!$A$5:$A$160,E531,'菜谱BOM'!$C$5:$C$160,"食材")</x:f>
        <x:v>465</x:v>
      </x:c>
      <x:c r="K531" s="38" t="n">
        <x:v>-0.004209472457927063</x:v>
      </x:c>
      <x:c r="L531" s="35" t="n">
        <x:f>H531*J531*(1+K531)</x:f>
        <x:v>3241.2981671494476</x:v>
      </x:c>
      <x:c r="M531" s="35" t="n">
        <x:f>SUMIFS('菜谱BOM'!$F$5:$F$160,'菜谱BOM'!$A$5:$A$160,E531,'菜谱BOM'!$C$5:$C$160,"调料")</x:f>
        <x:v>32</x:v>
      </x:c>
      <x:c r="N531" s="38" t="n">
        <x:v>-0.0015399934275867402</x:v>
      </x:c>
      <x:c r="O531" s="35" t="n">
        <x:f>H531*M531*(1+N531)</x:f>
        <x:v>223.65504147222057</x:v>
      </x:c>
      <x:c r="P531" s="19" t="str">
        <x:f>IF(ABS(N531)&gt;'封面与口径'!$O$25,"机器调料需复核",IF(ABS(K531)&gt;0.02,"人工称重需复核","正常"))</x:f>
        <x:v>正常</x:v>
      </x:c>
      <x:c r="Q531" s="19" t="str">
        <x:v>黄俊</x:v>
      </x:c>
    </x:row>
    <x:row r="532">
      <x:c r="A532" s="19" t="str">
        <x:v>2026-07-10|S05|D01</x:v>
      </x:c>
      <x:c r="B532" s="34" t="n">
        <x:v>46213.5</x:v>
      </x:c>
      <x:c r="C532" s="19" t="str">
        <x:v>S05</x:v>
      </x:c>
      <x:c r="D532" s="19" t="str">
        <x:v>同顺街店</x:v>
      </x:c>
      <x:c r="E532" s="19" t="str">
        <x:v>D01</x:v>
      </x:c>
      <x:c r="F532" s="19" t="str">
        <x:v>辣椒炒肉</x:v>
      </x:c>
      <x:c r="G532" s="19" t="str">
        <x:v>R2.3</x:v>
      </x:c>
      <x:c r="H532" s="20" t="n">
        <x:f>XLOOKUP(A532,'菜品日销量'!$A$5:$A$1124,'菜品日销量'!$G$5:$G$1124,0)</x:f>
        <x:v>50</x:v>
      </x:c>
      <x:c r="I532" s="20" t="n">
        <x:f>ROUNDUP(H532/2,0)</x:f>
        <x:v>25</x:v>
      </x:c>
      <x:c r="J532" s="22" t="n">
        <x:f>SUMIFS('菜谱BOM'!$F$5:$F$160,'菜谱BOM'!$A$5:$A$160,E532,'菜谱BOM'!$C$5:$C$160,"食材")</x:f>
        <x:v>550</x:v>
      </x:c>
      <x:c r="K532" s="38" t="n">
        <x:v>0.0026178537631914604</x:v>
      </x:c>
      <x:c r="L532" s="35" t="n">
        <x:f>H532*J532*(1+K532)</x:f>
        <x:v>27571.990978487767</x:v>
      </x:c>
      <x:c r="M532" s="35" t="n">
        <x:f>SUMIFS('菜谱BOM'!$F$5:$F$160,'菜谱BOM'!$A$5:$A$160,E532,'菜谱BOM'!$C$5:$C$160,"调料")</x:f>
        <x:v>104</x:v>
      </x:c>
      <x:c r="N532" s="38" t="n">
        <x:v>-0.001232488258563096</x:v>
      </x:c>
      <x:c r="O532" s="35" t="n">
        <x:f>H532*M532*(1+N532)</x:f>
        <x:v>5193.591061055472</x:v>
      </x:c>
      <x:c r="P532" s="19" t="str">
        <x:f>IF(ABS(N532)&gt;'封面与口径'!$O$25,"机器调料需复核",IF(ABS(K532)&gt;0.02,"人工称重需复核","正常"))</x:f>
        <x:v>正常</x:v>
      </x:c>
      <x:c r="Q532" s="19" t="str">
        <x:v>黄俊</x:v>
      </x:c>
    </x:row>
    <x:row r="533">
      <x:c r="A533" s="19" t="str">
        <x:v>2026-07-10|S05|D02</x:v>
      </x:c>
      <x:c r="B533" s="34" t="n">
        <x:v>46213.5</x:v>
      </x:c>
      <x:c r="C533" s="19" t="str">
        <x:v>S05</x:v>
      </x:c>
      <x:c r="D533" s="19" t="str">
        <x:v>同顺街店</x:v>
      </x:c>
      <x:c r="E533" s="19" t="str">
        <x:v>D02</x:v>
      </x:c>
      <x:c r="F533" s="19" t="str">
        <x:v>小炒黄牛肉</x:v>
      </x:c>
      <x:c r="G533" s="19" t="str">
        <x:v>R2.3</x:v>
      </x:c>
      <x:c r="H533" s="20" t="n">
        <x:f>XLOOKUP(A533,'菜品日销量'!$A$5:$A$1124,'菜品日销量'!$G$5:$G$1124,0)</x:f>
        <x:v>34</x:v>
      </x:c>
      <x:c r="I533" s="20" t="n">
        <x:f>ROUNDUP(H533/2,0)</x:f>
        <x:v>17</x:v>
      </x:c>
      <x:c r="J533" s="22" t="n">
        <x:f>SUMIFS('菜谱BOM'!$F$5:$F$160,'菜谱BOM'!$A$5:$A$160,E533,'菜谱BOM'!$C$5:$C$160,"食材")</x:f>
        <x:v>560</x:v>
      </x:c>
      <x:c r="K533" s="38" t="n">
        <x:v>-0.0005664714147724377</x:v>
      </x:c>
      <x:c r="L533" s="35" t="n">
        <x:f>H533*J533*(1+K533)</x:f>
        <x:v>19029.214384262734</x:v>
      </x:c>
      <x:c r="M533" s="35" t="n">
        <x:f>SUMIFS('菜谱BOM'!$F$5:$F$160,'菜谱BOM'!$A$5:$A$160,E533,'菜谱BOM'!$C$5:$C$160,"调料")</x:f>
        <x:v>133</x:v>
      </x:c>
      <x:c r="N533" s="38" t="n">
        <x:v>0.0014121495772647088</x:v>
      </x:c>
      <x:c r="O533" s="35" t="n">
        <x:f>H533*M533*(1+N533)</x:f>
        <x:v>4528.385740388391</x:v>
      </x:c>
      <x:c r="P533" s="19" t="str">
        <x:f>IF(ABS(N533)&gt;'封面与口径'!$O$25,"机器调料需复核",IF(ABS(K533)&gt;0.02,"人工称重需复核","正常"))</x:f>
        <x:v>正常</x:v>
      </x:c>
      <x:c r="Q533" s="19" t="str">
        <x:v>黄俊</x:v>
      </x:c>
    </x:row>
    <x:row r="534">
      <x:c r="A534" s="19" t="str">
        <x:v>2026-07-10|S05|D03</x:v>
      </x:c>
      <x:c r="B534" s="34" t="n">
        <x:v>46213.5</x:v>
      </x:c>
      <x:c r="C534" s="19" t="str">
        <x:v>S05</x:v>
      </x:c>
      <x:c r="D534" s="19" t="str">
        <x:v>同顺街店</x:v>
      </x:c>
      <x:c r="E534" s="19" t="str">
        <x:v>D03</x:v>
      </x:c>
      <x:c r="F534" s="19" t="str">
        <x:v>香醋炒蛋</x:v>
      </x:c>
      <x:c r="G534" s="19" t="str">
        <x:v>R1.0</x:v>
      </x:c>
      <x:c r="H534" s="20" t="n">
        <x:f>XLOOKUP(A534,'菜品日销量'!$A$5:$A$1124,'菜品日销量'!$G$5:$G$1124,0)</x:f>
        <x:v>42</x:v>
      </x:c>
      <x:c r="I534" s="20" t="n">
        <x:f>ROUNDUP(H534/2,0)</x:f>
        <x:v>21</x:v>
      </x:c>
      <x:c r="J534" s="22" t="n">
        <x:f>SUMIFS('菜谱BOM'!$F$5:$F$160,'菜谱BOM'!$A$5:$A$160,E534,'菜谱BOM'!$C$5:$C$160,"食材")</x:f>
        <x:v>300</x:v>
      </x:c>
      <x:c r="K534" s="38" t="n">
        <x:v>0.006182471941733377</x:v>
      </x:c>
      <x:c r="L534" s="35" t="n">
        <x:f>H534*J534*(1+K534)</x:f>
        <x:v>12677.899146465841</x:v>
      </x:c>
      <x:c r="M534" s="35" t="n">
        <x:f>SUMIFS('菜谱BOM'!$F$5:$F$160,'菜谱BOM'!$A$5:$A$160,E534,'菜谱BOM'!$C$5:$C$160,"调料")</x:f>
        <x:v>53</x:v>
      </x:c>
      <x:c r="N534" s="38" t="n">
        <x:v>-0.001231450271613768</x:v>
      </x:c>
      <x:c r="O534" s="35" t="n">
        <x:f>H534*M534*(1+N534)</x:f>
        <x:v>2223.2587916953876</x:v>
      </x:c>
      <x:c r="P534" s="19" t="str">
        <x:f>IF(ABS(N534)&gt;'封面与口径'!$O$25,"机器调料需复核",IF(ABS(K534)&gt;0.02,"人工称重需复核","正常"))</x:f>
        <x:v>正常</x:v>
      </x:c>
      <x:c r="Q534" s="19" t="str">
        <x:v>黄俊</x:v>
      </x:c>
    </x:row>
    <x:row r="535">
      <x:c r="A535" s="19" t="str">
        <x:v>2026-07-10|S05|D04</x:v>
      </x:c>
      <x:c r="B535" s="34" t="n">
        <x:v>46213.5</x:v>
      </x:c>
      <x:c r="C535" s="19" t="str">
        <x:v>S05</x:v>
      </x:c>
      <x:c r="D535" s="19" t="str">
        <x:v>同顺街店</x:v>
      </x:c>
      <x:c r="E535" s="19" t="str">
        <x:v>D04</x:v>
      </x:c>
      <x:c r="F535" s="19" t="str">
        <x:v>酸包菜炒粉皮</x:v>
      </x:c>
      <x:c r="G535" s="19" t="str">
        <x:v>R1.0</x:v>
      </x:c>
      <x:c r="H535" s="20" t="n">
        <x:f>XLOOKUP(A535,'菜品日销量'!$A$5:$A$1124,'菜品日销量'!$G$5:$G$1124,0)</x:f>
        <x:v>35</x:v>
      </x:c>
      <x:c r="I535" s="20" t="n">
        <x:f>ROUNDUP(H535/2,0)</x:f>
        <x:v>18</x:v>
      </x:c>
      <x:c r="J535" s="22" t="n">
        <x:f>SUMIFS('菜谱BOM'!$F$5:$F$160,'菜谱BOM'!$A$5:$A$160,E535,'菜谱BOM'!$C$5:$C$160,"食材")</x:f>
        <x:v>380</x:v>
      </x:c>
      <x:c r="K535" s="38" t="n">
        <x:v>0.0055208454647848485</x:v>
      </x:c>
      <x:c r="L535" s="35" t="n">
        <x:f>H535*J535*(1+K535)</x:f>
        <x:v>13373.427244681638</x:v>
      </x:c>
      <x:c r="M535" s="35" t="n">
        <x:f>SUMIFS('菜谱BOM'!$F$5:$F$160,'菜谱BOM'!$A$5:$A$160,E535,'菜谱BOM'!$C$5:$C$160,"调料")</x:f>
        <x:v>47</x:v>
      </x:c>
      <x:c r="N535" s="38" t="n">
        <x:v>0.0001413880591609953</x:v>
      </x:c>
      <x:c r="O535" s="35" t="n">
        <x:f>H535*M535*(1+N535)</x:f>
        <x:v>1645.2325833573198</x:v>
      </x:c>
      <x:c r="P535" s="19" t="str">
        <x:f>IF(ABS(N535)&gt;'封面与口径'!$O$25,"机器调料需复核",IF(ABS(K535)&gt;0.02,"人工称重需复核","正常"))</x:f>
        <x:v>正常</x:v>
      </x:c>
      <x:c r="Q535" s="19" t="str">
        <x:v>黄俊</x:v>
      </x:c>
    </x:row>
    <x:row r="536">
      <x:c r="A536" s="19" t="str">
        <x:v>2026-07-10|S05|D05</x:v>
      </x:c>
      <x:c r="B536" s="34" t="n">
        <x:v>46213.5</x:v>
      </x:c>
      <x:c r="C536" s="19" t="str">
        <x:v>S05</x:v>
      </x:c>
      <x:c r="D536" s="19" t="str">
        <x:v>同顺街店</x:v>
      </x:c>
      <x:c r="E536" s="19" t="str">
        <x:v>D05</x:v>
      </x:c>
      <x:c r="F536" s="19" t="str">
        <x:v>麻婆豆腐</x:v>
      </x:c>
      <x:c r="G536" s="19" t="str">
        <x:v>R1.0</x:v>
      </x:c>
      <x:c r="H536" s="20" t="n">
        <x:f>XLOOKUP(A536,'菜品日销量'!$A$5:$A$1124,'菜品日销量'!$G$5:$G$1124,0)</x:f>
        <x:v>51</x:v>
      </x:c>
      <x:c r="I536" s="20" t="n">
        <x:f>ROUNDUP(H536/2,0)</x:f>
        <x:v>26</x:v>
      </x:c>
      <x:c r="J536" s="22" t="n">
        <x:f>SUMIFS('菜谱BOM'!$F$5:$F$160,'菜谱BOM'!$A$5:$A$160,E536,'菜谱BOM'!$C$5:$C$160,"食材")</x:f>
        <x:v>505</x:v>
      </x:c>
      <x:c r="K536" s="38" t="n">
        <x:v>0.001835305916572759</x:v>
      </x:c>
      <x:c r="L536" s="35" t="n">
        <x:f>H536*J536*(1+K536)</x:f>
        <x:v>25802.26830388133</x:v>
      </x:c>
      <x:c r="M536" s="35" t="n">
        <x:f>SUMIFS('菜谱BOM'!$F$5:$F$160,'菜谱BOM'!$A$5:$A$160,E536,'菜谱BOM'!$C$5:$C$160,"调料")</x:f>
        <x:v>90</x:v>
      </x:c>
      <x:c r="N536" s="38" t="n">
        <x:v>0.0006229082398635586</x:v>
      </x:c>
      <x:c r="O536" s="35" t="n">
        <x:f>H536*M536*(1+N536)</x:f>
        <x:v>4592.859148820974</x:v>
      </x:c>
      <x:c r="P536" s="19" t="str">
        <x:f>IF(ABS(N536)&gt;'封面与口径'!$O$25,"机器调料需复核",IF(ABS(K536)&gt;0.02,"人工称重需复核","正常"))</x:f>
        <x:v>正常</x:v>
      </x:c>
      <x:c r="Q536" s="19" t="str">
        <x:v>黄俊</x:v>
      </x:c>
    </x:row>
    <x:row r="537">
      <x:c r="A537" s="19" t="str">
        <x:v>2026-07-10|S05|D07</x:v>
      </x:c>
      <x:c r="B537" s="34" t="n">
        <x:v>46213.5</x:v>
      </x:c>
      <x:c r="C537" s="19" t="str">
        <x:v>S05</x:v>
      </x:c>
      <x:c r="D537" s="19" t="str">
        <x:v>同顺街店</x:v>
      </x:c>
      <x:c r="E537" s="19" t="str">
        <x:v>D07</x:v>
      </x:c>
      <x:c r="F537" s="19" t="str">
        <x:v>川味回锅肉</x:v>
      </x:c>
      <x:c r="G537" s="19" t="str">
        <x:v>R1.0</x:v>
      </x:c>
      <x:c r="H537" s="20" t="n">
        <x:f>XLOOKUP(A537,'菜品日销量'!$A$5:$A$1124,'菜品日销量'!$G$5:$G$1124,0)</x:f>
        <x:v>14</x:v>
      </x:c>
      <x:c r="I537" s="20" t="n">
        <x:f>ROUNDUP(H537/2,0)</x:f>
        <x:v>7</x:v>
      </x:c>
      <x:c r="J537" s="22" t="n">
        <x:f>SUMIFS('菜谱BOM'!$F$5:$F$160,'菜谱BOM'!$A$5:$A$160,E537,'菜谱BOM'!$C$5:$C$160,"食材")</x:f>
        <x:v>450</x:v>
      </x:c>
      <x:c r="K537" s="38" t="n">
        <x:v>-0.005545358962739203</x:v>
      </x:c>
      <x:c r="L537" s="35" t="n">
        <x:f>H537*J537*(1+K537)</x:f>
        <x:v>6265.064238534743</x:v>
      </x:c>
      <x:c r="M537" s="35" t="n">
        <x:f>SUMIFS('菜谱BOM'!$F$5:$F$160,'菜谱BOM'!$A$5:$A$160,E537,'菜谱BOM'!$C$5:$C$160,"调料")</x:f>
        <x:v>63</x:v>
      </x:c>
      <x:c r="N537" s="38" t="n">
        <x:v>0.0005828408521094452</x:v>
      </x:c>
      <x:c r="O537" s="35" t="n">
        <x:f>H537*M537*(1+N537)</x:f>
        <x:v>882.5140656315605</x:v>
      </x:c>
      <x:c r="P537" s="19" t="str">
        <x:f>IF(ABS(N537)&gt;'封面与口径'!$O$25,"机器调料需复核",IF(ABS(K537)&gt;0.02,"人工称重需复核","正常"))</x:f>
        <x:v>正常</x:v>
      </x:c>
      <x:c r="Q537" s="19" t="str">
        <x:v>黄俊</x:v>
      </x:c>
    </x:row>
    <x:row r="538">
      <x:c r="A538" s="19" t="str">
        <x:v>2026-07-10|S05|D08</x:v>
      </x:c>
      <x:c r="B538" s="34" t="n">
        <x:v>46213.5</x:v>
      </x:c>
      <x:c r="C538" s="19" t="str">
        <x:v>S05</x:v>
      </x:c>
      <x:c r="D538" s="19" t="str">
        <x:v>同顺街店</x:v>
      </x:c>
      <x:c r="E538" s="19" t="str">
        <x:v>D08</x:v>
      </x:c>
      <x:c r="F538" s="19" t="str">
        <x:v>生炒清远鸡</x:v>
      </x:c>
      <x:c r="G538" s="19" t="str">
        <x:v>R1.0</x:v>
      </x:c>
      <x:c r="H538" s="20" t="n">
        <x:f>XLOOKUP(A538,'菜品日销量'!$A$5:$A$1124,'菜品日销量'!$G$5:$G$1124,0)</x:f>
        <x:v>11</x:v>
      </x:c>
      <x:c r="I538" s="20" t="n">
        <x:f>ROUNDUP(H538/2,0)</x:f>
        <x:v>6</x:v>
      </x:c>
      <x:c r="J538" s="22" t="n">
        <x:f>SUMIFS('菜谱BOM'!$F$5:$F$160,'菜谱BOM'!$A$5:$A$160,E538,'菜谱BOM'!$C$5:$C$160,"食材")</x:f>
        <x:v>610</x:v>
      </x:c>
      <x:c r="K538" s="38" t="n">
        <x:v>0.0031840226415507547</x:v>
      </x:c>
      <x:c r="L538" s="35" t="n">
        <x:f>H538*J538*(1+K538)</x:f>
        <x:v>6731.364791924805</x:v>
      </x:c>
      <x:c r="M538" s="35" t="n">
        <x:f>SUMIFS('菜谱BOM'!$F$5:$F$160,'菜谱BOM'!$A$5:$A$160,E538,'菜谱BOM'!$C$5:$C$160,"调料")</x:f>
        <x:v>61</x:v>
      </x:c>
      <x:c r="N538" s="38" t="n">
        <x:v>-0.001503107350203932</x:v>
      </x:c>
      <x:c r="O538" s="35" t="n">
        <x:f>H538*M538*(1+N538)</x:f>
        <x:v>669.9914149680131</x:v>
      </x:c>
      <x:c r="P538" s="19" t="str">
        <x:f>IF(ABS(N538)&gt;'封面与口径'!$O$25,"机器调料需复核",IF(ABS(K538)&gt;0.02,"人工称重需复核","正常"))</x:f>
        <x:v>正常</x:v>
      </x:c>
      <x:c r="Q538" s="19" t="str">
        <x:v>黄俊</x:v>
      </x:c>
    </x:row>
    <x:row r="539">
      <x:c r="A539" s="19" t="str">
        <x:v>2026-07-10|S05|D09</x:v>
      </x:c>
      <x:c r="B539" s="34" t="n">
        <x:v>46213.5</x:v>
      </x:c>
      <x:c r="C539" s="19" t="str">
        <x:v>S05</x:v>
      </x:c>
      <x:c r="D539" s="19" t="str">
        <x:v>同顺街店</x:v>
      </x:c>
      <x:c r="E539" s="19" t="str">
        <x:v>D09</x:v>
      </x:c>
      <x:c r="F539" s="19" t="str">
        <x:v>炒豆干</x:v>
      </x:c>
      <x:c r="G539" s="19" t="str">
        <x:v>R1.0</x:v>
      </x:c>
      <x:c r="H539" s="20" t="n">
        <x:f>XLOOKUP(A539,'菜品日销量'!$A$5:$A$1124,'菜品日销量'!$G$5:$G$1124,0)</x:f>
        <x:v>17</x:v>
      </x:c>
      <x:c r="I539" s="20" t="n">
        <x:f>ROUNDUP(H539/2,0)</x:f>
        <x:v>9</x:v>
      </x:c>
      <x:c r="J539" s="22" t="n">
        <x:f>SUMIFS('菜谱BOM'!$F$5:$F$160,'菜谱BOM'!$A$5:$A$160,E539,'菜谱BOM'!$C$5:$C$160,"食材")</x:f>
        <x:v>520</x:v>
      </x:c>
      <x:c r="K539" s="38" t="n">
        <x:v>0.005733743342974629</x:v>
      </x:c>
      <x:c r="L539" s="35" t="n">
        <x:f>H539*J539*(1+K539)</x:f>
        <x:v>8890.686291151897</x:v>
      </x:c>
      <x:c r="M539" s="35" t="n">
        <x:f>SUMIFS('菜谱BOM'!$F$5:$F$160,'菜谱BOM'!$A$5:$A$160,E539,'菜谱BOM'!$C$5:$C$160,"调料")</x:f>
        <x:v>42</x:v>
      </x:c>
      <x:c r="N539" s="38" t="n">
        <x:v>-0.0009270494642963283</x:v>
      </x:c>
      <x:c r="O539" s="35" t="n">
        <x:f>H539*M539*(1+N539)</x:f>
        <x:v>713.3380866824924</x:v>
      </x:c>
      <x:c r="P539" s="19" t="str">
        <x:f>IF(ABS(N539)&gt;'封面与口径'!$O$25,"机器调料需复核",IF(ABS(K539)&gt;0.02,"人工称重需复核","正常"))</x:f>
        <x:v>正常</x:v>
      </x:c>
      <x:c r="Q539" s="19" t="str">
        <x:v>黄俊</x:v>
      </x:c>
    </x:row>
    <x:row r="540">
      <x:c r="A540" s="19" t="str">
        <x:v>2026-07-10|S05|D10</x:v>
      </x:c>
      <x:c r="B540" s="34" t="n">
        <x:v>46213.5</x:v>
      </x:c>
      <x:c r="C540" s="19" t="str">
        <x:v>S05</x:v>
      </x:c>
      <x:c r="D540" s="19" t="str">
        <x:v>同顺街店</x:v>
      </x:c>
      <x:c r="E540" s="19" t="str">
        <x:v>D10</x:v>
      </x:c>
      <x:c r="F540" s="19" t="str">
        <x:v>农家一碗香</x:v>
      </x:c>
      <x:c r="G540" s="19" t="str">
        <x:v>R2.3</x:v>
      </x:c>
      <x:c r="H540" s="20" t="n">
        <x:f>XLOOKUP(A540,'菜品日销量'!$A$5:$A$1124,'菜品日销量'!$G$5:$G$1124,0)</x:f>
        <x:v>18</x:v>
      </x:c>
      <x:c r="I540" s="20" t="n">
        <x:f>ROUNDUP(H540/2,0)</x:f>
        <x:v>9</x:v>
      </x:c>
      <x:c r="J540" s="22" t="n">
        <x:f>SUMIFS('菜谱BOM'!$F$5:$F$160,'菜谱BOM'!$A$5:$A$160,E540,'菜谱BOM'!$C$5:$C$160,"食材")</x:f>
        <x:v>510</x:v>
      </x:c>
      <x:c r="K540" s="38" t="n">
        <x:v>0.005700391780049632</x:v>
      </x:c>
      <x:c r="L540" s="35" t="n">
        <x:f>H540*J540*(1+K540)</x:f>
        <x:v>9232.329596540854</x:v>
      </x:c>
      <x:c r="M540" s="35" t="n">
        <x:f>SUMIFS('菜谱BOM'!$F$5:$F$160,'菜谱BOM'!$A$5:$A$160,E540,'菜谱BOM'!$C$5:$C$160,"调料")</x:f>
        <x:v>88</x:v>
      </x:c>
      <x:c r="N540" s="38" t="n">
        <x:v>-0.00029099115410144227</x:v>
      </x:c>
      <x:c r="O540" s="35" t="n">
        <x:f>H540*M540*(1+N540)</x:f>
        <x:v>1583.5390700119033</x:v>
      </x:c>
      <x:c r="P540" s="19" t="str">
        <x:f>IF(ABS(N540)&gt;'封面与口径'!$O$25,"机器调料需复核",IF(ABS(K540)&gt;0.02,"人工称重需复核","正常"))</x:f>
        <x:v>正常</x:v>
      </x:c>
      <x:c r="Q540" s="19" t="str">
        <x:v>黄俊</x:v>
      </x:c>
    </x:row>
    <x:row r="541">
      <x:c r="A541" s="19" t="str">
        <x:v>2026-07-10|S05|D11</x:v>
      </x:c>
      <x:c r="B541" s="34" t="n">
        <x:v>46213.5</x:v>
      </x:c>
      <x:c r="C541" s="19" t="str">
        <x:v>S05</x:v>
      </x:c>
      <x:c r="D541" s="19" t="str">
        <x:v>同顺街店</x:v>
      </x:c>
      <x:c r="E541" s="19" t="str">
        <x:v>D11</x:v>
      </x:c>
      <x:c r="F541" s="19" t="str">
        <x:v>香辣爆肥肠</x:v>
      </x:c>
      <x:c r="G541" s="19" t="str">
        <x:v>R1.0</x:v>
      </x:c>
      <x:c r="H541" s="20" t="n">
        <x:f>XLOOKUP(A541,'菜品日销量'!$A$5:$A$1124,'菜品日销量'!$G$5:$G$1124,0)</x:f>
        <x:v>7</x:v>
      </x:c>
      <x:c r="I541" s="20" t="n">
        <x:f>ROUNDUP(H541/2,0)</x:f>
        <x:v>4</x:v>
      </x:c>
      <x:c r="J541" s="22" t="n">
        <x:f>SUMIFS('菜谱BOM'!$F$5:$F$160,'菜谱BOM'!$A$5:$A$160,E541,'菜谱BOM'!$C$5:$C$160,"食材")</x:f>
        <x:v>430</x:v>
      </x:c>
      <x:c r="K541" s="38" t="n">
        <x:v>0.005868260368208462</x:v>
      </x:c>
      <x:c r="L541" s="35" t="n">
        <x:f>H541*J541*(1+K541)</x:f>
        <x:v>3027.6634637083075</x:v>
      </x:c>
      <x:c r="M541" s="35" t="n">
        <x:f>SUMIFS('菜谱BOM'!$F$5:$F$160,'菜谱BOM'!$A$5:$A$160,E541,'菜谱BOM'!$C$5:$C$160,"调料")</x:f>
        <x:v>67</x:v>
      </x:c>
      <x:c r="N541" s="38" t="n">
        <x:v>0.0009664597648583491</x:v>
      </x:c>
      <x:c r="O541" s="35" t="n">
        <x:f>H541*M541*(1+N541)</x:f>
        <x:v>469.4532696297186</x:v>
      </x:c>
      <x:c r="P541" s="19" t="str">
        <x:f>IF(ABS(N541)&gt;'封面与口径'!$O$25,"机器调料需复核",IF(ABS(K541)&gt;0.02,"人工称重需复核","正常"))</x:f>
        <x:v>正常</x:v>
      </x:c>
      <x:c r="Q541" s="19" t="str">
        <x:v>黄俊</x:v>
      </x:c>
    </x:row>
    <x:row r="542">
      <x:c r="A542" s="19" t="str">
        <x:v>2026-07-10|S05|D13</x:v>
      </x:c>
      <x:c r="B542" s="34" t="n">
        <x:v>46213.5</x:v>
      </x:c>
      <x:c r="C542" s="19" t="str">
        <x:v>S05</x:v>
      </x:c>
      <x:c r="D542" s="19" t="str">
        <x:v>同顺街店</x:v>
      </x:c>
      <x:c r="E542" s="19" t="str">
        <x:v>D13</x:v>
      </x:c>
      <x:c r="F542" s="19" t="str">
        <x:v>外婆菜炒蛋</x:v>
      </x:c>
      <x:c r="G542" s="19" t="str">
        <x:v>R1.0</x:v>
      </x:c>
      <x:c r="H542" s="20" t="n">
        <x:f>XLOOKUP(A542,'菜品日销量'!$A$5:$A$1124,'菜品日销量'!$G$5:$G$1124,0)</x:f>
        <x:v>14</x:v>
      </x:c>
      <x:c r="I542" s="20" t="n">
        <x:f>ROUNDUP(H542/2,0)</x:f>
        <x:v>7</x:v>
      </x:c>
      <x:c r="J542" s="22" t="n">
        <x:f>SUMIFS('菜谱BOM'!$F$5:$F$160,'菜谱BOM'!$A$5:$A$160,E542,'菜谱BOM'!$C$5:$C$160,"食材")</x:f>
        <x:v>450</x:v>
      </x:c>
      <x:c r="K542" s="38" t="n">
        <x:v>-0.006403084274009588</x:v>
      </x:c>
      <x:c r="L542" s="35" t="n">
        <x:f>H542*J542*(1+K542)</x:f>
        <x:v>6259.66056907374</x:v>
      </x:c>
      <x:c r="M542" s="35" t="n">
        <x:f>SUMIFS('菜谱BOM'!$F$5:$F$160,'菜谱BOM'!$A$5:$A$160,E542,'菜谱BOM'!$C$5:$C$160,"调料")</x:f>
        <x:v>37</x:v>
      </x:c>
      <x:c r="N542" s="38" t="n">
        <x:v>-0.0013680990374107145</x:v>
      </x:c>
      <x:c r="O542" s="35" t="n">
        <x:f>H542*M542*(1+N542)</x:f>
        <x:v>517.2913246986212</x:v>
      </x:c>
      <x:c r="P542" s="19" t="str">
        <x:f>IF(ABS(N542)&gt;'封面与口径'!$O$25,"机器调料需复核",IF(ABS(K542)&gt;0.02,"人工称重需复核","正常"))</x:f>
        <x:v>正常</x:v>
      </x:c>
      <x:c r="Q542" s="19" t="str">
        <x:v>黄俊</x:v>
      </x:c>
    </x:row>
    <x:row r="543">
      <x:c r="A543" s="19" t="str">
        <x:v>2026-07-10|S05|D14</x:v>
      </x:c>
      <x:c r="B543" s="34" t="n">
        <x:v>46213.5</x:v>
      </x:c>
      <x:c r="C543" s="19" t="str">
        <x:v>S05</x:v>
      </x:c>
      <x:c r="D543" s="19" t="str">
        <x:v>同顺街店</x:v>
      </x:c>
      <x:c r="E543" s="19" t="str">
        <x:v>D14</x:v>
      </x:c>
      <x:c r="F543" s="19" t="str">
        <x:v>酸辣鸡杂</x:v>
      </x:c>
      <x:c r="G543" s="19" t="str">
        <x:v>R1.0</x:v>
      </x:c>
      <x:c r="H543" s="20" t="n">
        <x:f>XLOOKUP(A543,'菜品日销量'!$A$5:$A$1124,'菜品日销量'!$G$5:$G$1124,0)</x:f>
        <x:v>7</x:v>
      </x:c>
      <x:c r="I543" s="20" t="n">
        <x:f>ROUNDUP(H543/2,0)</x:f>
        <x:v>4</x:v>
      </x:c>
      <x:c r="J543" s="22" t="n">
        <x:f>SUMIFS('菜谱BOM'!$F$5:$F$160,'菜谱BOM'!$A$5:$A$160,E543,'菜谱BOM'!$C$5:$C$160,"食材")</x:f>
        <x:v>470</x:v>
      </x:c>
      <x:c r="K543" s="38" t="n">
        <x:v>0.006784019943043594</x:v>
      </x:c>
      <x:c r="L543" s="35" t="n">
        <x:f>H543*J543*(1+K543)</x:f>
        <x:v>3312.3194256126135</x:v>
      </x:c>
      <x:c r="M543" s="35" t="n">
        <x:f>SUMIFS('菜谱BOM'!$F$5:$F$160,'菜谱BOM'!$A$5:$A$160,E543,'菜谱BOM'!$C$5:$C$160,"调料")</x:f>
        <x:v>60</x:v>
      </x:c>
      <x:c r="N543" s="38" t="n">
        <x:v>0.001523299969621771</x:v>
      </x:c>
      <x:c r="O543" s="35" t="n">
        <x:f>H543*M543*(1+N543)</x:f>
        <x:v>420.6397859872411</x:v>
      </x:c>
      <x:c r="P543" s="19" t="str">
        <x:f>IF(ABS(N543)&gt;'封面与口径'!$O$25,"机器调料需复核",IF(ABS(K543)&gt;0.02,"人工称重需复核","正常"))</x:f>
        <x:v>正常</x:v>
      </x:c>
      <x:c r="Q543" s="19" t="str">
        <x:v>黄俊</x:v>
      </x:c>
    </x:row>
    <x:row r="544">
      <x:c r="A544" s="19" t="str">
        <x:v>2026-07-10|S05|D15</x:v>
      </x:c>
      <x:c r="B544" s="34" t="n">
        <x:v>46213.5</x:v>
      </x:c>
      <x:c r="C544" s="19" t="str">
        <x:v>S05</x:v>
      </x:c>
      <x:c r="D544" s="19" t="str">
        <x:v>同顺街店</x:v>
      </x:c>
      <x:c r="E544" s="19" t="str">
        <x:v>D15</x:v>
      </x:c>
      <x:c r="F544" s="19" t="str">
        <x:v>湘西土匪猪肝</x:v>
      </x:c>
      <x:c r="G544" s="19" t="str">
        <x:v>R1.0</x:v>
      </x:c>
      <x:c r="H544" s="20" t="n">
        <x:f>XLOOKUP(A544,'菜品日销量'!$A$5:$A$1124,'菜品日销量'!$G$5:$G$1124,0)</x:f>
        <x:v>7</x:v>
      </x:c>
      <x:c r="I544" s="20" t="n">
        <x:f>ROUNDUP(H544/2,0)</x:f>
        <x:v>4</x:v>
      </x:c>
      <x:c r="J544" s="22" t="n">
        <x:f>SUMIFS('菜谱BOM'!$F$5:$F$160,'菜谱BOM'!$A$5:$A$160,E544,'菜谱BOM'!$C$5:$C$160,"食材")</x:f>
        <x:v>470</x:v>
      </x:c>
      <x:c r="K544" s="38" t="n">
        <x:v>0.005857621460654219</x:v>
      </x:c>
      <x:c r="L544" s="35" t="n">
        <x:f>H544*J544*(1+K544)</x:f>
        <x:v>3309.2715746055524</x:v>
      </x:c>
      <x:c r="M544" s="35" t="n">
        <x:f>SUMIFS('菜谱BOM'!$F$5:$F$160,'菜谱BOM'!$A$5:$A$160,E544,'菜谱BOM'!$C$5:$C$160,"调料")</x:f>
        <x:v>49</x:v>
      </x:c>
      <x:c r="N544" s="38" t="n">
        <x:v>-0.0013703290502006023</x:v>
      </x:c>
      <x:c r="O544" s="35" t="n">
        <x:f>H544*M544*(1+N544)</x:f>
        <x:v>342.52997713578117</x:v>
      </x:c>
      <x:c r="P544" s="19" t="str">
        <x:f>IF(ABS(N544)&gt;'封面与口径'!$O$25,"机器调料需复核",IF(ABS(K544)&gt;0.02,"人工称重需复核","正常"))</x:f>
        <x:v>正常</x:v>
      </x:c>
      <x:c r="Q544" s="19" t="str">
        <x:v>黄俊</x:v>
      </x:c>
    </x:row>
    <x:row r="545">
      <x:c r="A545" s="19" t="str">
        <x:v>2026-07-10|S05|D16</x:v>
      </x:c>
      <x:c r="B545" s="34" t="n">
        <x:v>46213.5</x:v>
      </x:c>
      <x:c r="C545" s="19" t="str">
        <x:v>S05</x:v>
      </x:c>
      <x:c r="D545" s="19" t="str">
        <x:v>同顺街店</x:v>
      </x:c>
      <x:c r="E545" s="19" t="str">
        <x:v>D16</x:v>
      </x:c>
      <x:c r="F545" s="19" t="str">
        <x:v>小豆角炒五花</x:v>
      </x:c>
      <x:c r="G545" s="19" t="str">
        <x:v>R1.0</x:v>
      </x:c>
      <x:c r="H545" s="20" t="n">
        <x:f>XLOOKUP(A545,'菜品日销量'!$A$5:$A$1124,'菜品日销量'!$G$5:$G$1124,0)</x:f>
        <x:v>7</x:v>
      </x:c>
      <x:c r="I545" s="20" t="n">
        <x:f>ROUNDUP(H545/2,0)</x:f>
        <x:v>4</x:v>
      </x:c>
      <x:c r="J545" s="22" t="n">
        <x:f>SUMIFS('菜谱BOM'!$F$5:$F$160,'菜谱BOM'!$A$5:$A$160,E545,'菜谱BOM'!$C$5:$C$160,"食材")</x:f>
        <x:v>450</x:v>
      </x:c>
      <x:c r="K545" s="38" t="n">
        <x:v>0.005663862037859826</x:v>
      </x:c>
      <x:c r="L545" s="35" t="n">
        <x:f>H545*J545*(1+K545)</x:f>
        <x:v>3167.8411654192582</x:v>
      </x:c>
      <x:c r="M545" s="35" t="n">
        <x:f>SUMIFS('菜谱BOM'!$F$5:$F$160,'菜谱BOM'!$A$5:$A$160,E545,'菜谱BOM'!$C$5:$C$160,"调料")</x:f>
        <x:v>42</x:v>
      </x:c>
      <x:c r="N545" s="38" t="n">
        <x:v>0.001519238641373636</x:v>
      </x:c>
      <x:c r="O545" s="35" t="n">
        <x:f>H545*M545*(1+N545)</x:f>
        <x:v>294.44665616056386</x:v>
      </x:c>
      <x:c r="P545" s="19" t="str">
        <x:f>IF(ABS(N545)&gt;'封面与口径'!$O$25,"机器调料需复核",IF(ABS(K545)&gt;0.02,"人工称重需复核","正常"))</x:f>
        <x:v>正常</x:v>
      </x:c>
      <x:c r="Q545" s="19" t="str">
        <x:v>黄俊</x:v>
      </x:c>
    </x:row>
    <x:row r="546">
      <x:c r="A546" s="19" t="str">
        <x:v>2026-07-10|S05|D18</x:v>
      </x:c>
      <x:c r="B546" s="34" t="n">
        <x:v>46213.5</x:v>
      </x:c>
      <x:c r="C546" s="19" t="str">
        <x:v>S05</x:v>
      </x:c>
      <x:c r="D546" s="19" t="str">
        <x:v>同顺街店</x:v>
      </x:c>
      <x:c r="E546" s="19" t="str">
        <x:v>D18</x:v>
      </x:c>
      <x:c r="F546" s="19" t="str">
        <x:v>青椒炒油麦菜</x:v>
      </x:c>
      <x:c r="G546" s="19" t="str">
        <x:v>R1.0</x:v>
      </x:c>
      <x:c r="H546" s="20" t="n">
        <x:f>XLOOKUP(A546,'菜品日销量'!$A$5:$A$1124,'菜品日销量'!$G$5:$G$1124,0)</x:f>
        <x:v>8</x:v>
      </x:c>
      <x:c r="I546" s="20" t="n">
        <x:f>ROUNDUP(H546/2,0)</x:f>
        <x:v>4</x:v>
      </x:c>
      <x:c r="J546" s="22" t="n">
        <x:f>SUMIFS('菜谱BOM'!$F$5:$F$160,'菜谱BOM'!$A$5:$A$160,E546,'菜谱BOM'!$C$5:$C$160,"食材")</x:f>
        <x:v>430</x:v>
      </x:c>
      <x:c r="K546" s="38" t="n">
        <x:v>-0.0019345076889578509</x:v>
      </x:c>
      <x:c r="L546" s="35" t="n">
        <x:f>H546*J546*(1+K546)</x:f>
        <x:v>3433.345293549985</x:v>
      </x:c>
      <x:c r="M546" s="35" t="n">
        <x:f>SUMIFS('菜谱BOM'!$F$5:$F$160,'菜谱BOM'!$A$5:$A$160,E546,'菜谱BOM'!$C$5:$C$160,"调料")</x:f>
        <x:v>33</x:v>
      </x:c>
      <x:c r="N546" s="38" t="n">
        <x:v>-0.0019159380988953492</x:v>
      </x:c>
      <x:c r="O546" s="35" t="n">
        <x:f>H546*M546*(1+N546)</x:f>
        <x:v>263.4941923418916</x:v>
      </x:c>
      <x:c r="P546" s="19" t="str">
        <x:f>IF(ABS(N546)&gt;'封面与口径'!$O$25,"机器调料需复核",IF(ABS(K546)&gt;0.02,"人工称重需复核","正常"))</x:f>
        <x:v>正常</x:v>
      </x:c>
      <x:c r="Q546" s="19" t="str">
        <x:v>黄俊</x:v>
      </x:c>
    </x:row>
    <x:row r="547">
      <x:c r="A547" s="19" t="str">
        <x:v>2026-07-10|S05|D19</x:v>
      </x:c>
      <x:c r="B547" s="34" t="n">
        <x:v>46213.5</x:v>
      </x:c>
      <x:c r="C547" s="19" t="str">
        <x:v>S05</x:v>
      </x:c>
      <x:c r="D547" s="19" t="str">
        <x:v>同顺街店</x:v>
      </x:c>
      <x:c r="E547" s="19" t="str">
        <x:v>D19</x:v>
      </x:c>
      <x:c r="F547" s="19" t="str">
        <x:v>酸萝卜炒鸡杂</x:v>
      </x:c>
      <x:c r="G547" s="19" t="str">
        <x:v>R1.0</x:v>
      </x:c>
      <x:c r="H547" s="20" t="n">
        <x:f>XLOOKUP(A547,'菜品日销量'!$A$5:$A$1124,'菜品日销量'!$G$5:$G$1124,0)</x:f>
        <x:v>6</x:v>
      </x:c>
      <x:c r="I547" s="20" t="n">
        <x:f>ROUNDUP(H547/2,0)</x:f>
        <x:v>3</x:v>
      </x:c>
      <x:c r="J547" s="22" t="n">
        <x:f>SUMIFS('菜谱BOM'!$F$5:$F$160,'菜谱BOM'!$A$5:$A$160,E547,'菜谱BOM'!$C$5:$C$160,"食材")</x:f>
        <x:v>500</x:v>
      </x:c>
      <x:c r="K547" s="38" t="n">
        <x:v>-0.0002155420650298572</x:v>
      </x:c>
      <x:c r="L547" s="35" t="n">
        <x:f>H547*J547*(1+K547)</x:f>
        <x:v>2999.3533738049105</x:v>
      </x:c>
      <x:c r="M547" s="35" t="n">
        <x:f>SUMIFS('菜谱BOM'!$F$5:$F$160,'菜谱BOM'!$A$5:$A$160,E547,'菜谱BOM'!$C$5:$C$160,"调料")</x:f>
        <x:v>55</x:v>
      </x:c>
      <x:c r="N547" s="38" t="n">
        <x:v>-0.000696974405715469</x:v>
      </x:c>
      <x:c r="O547" s="35" t="n">
        <x:f>H547*M547*(1+N547)</x:f>
        <x:v>329.7699984461139</x:v>
      </x:c>
      <x:c r="P547" s="19" t="str">
        <x:f>IF(ABS(N547)&gt;'封面与口径'!$O$25,"机器调料需复核",IF(ABS(K547)&gt;0.02,"人工称重需复核","正常"))</x:f>
        <x:v>正常</x:v>
      </x:c>
      <x:c r="Q547" s="19" t="str">
        <x:v>黄俊</x:v>
      </x:c>
    </x:row>
    <x:row r="548">
      <x:c r="A548" s="19" t="str">
        <x:v>2026-07-10|S05|D20</x:v>
      </x:c>
      <x:c r="B548" s="34" t="n">
        <x:v>46213.5</x:v>
      </x:c>
      <x:c r="C548" s="19" t="str">
        <x:v>S05</x:v>
      </x:c>
      <x:c r="D548" s="19" t="str">
        <x:v>同顺街店</x:v>
      </x:c>
      <x:c r="E548" s="19" t="str">
        <x:v>D20</x:v>
      </x:c>
      <x:c r="F548" s="19" t="str">
        <x:v>雪菜肉末青豆</x:v>
      </x:c>
      <x:c r="G548" s="19" t="str">
        <x:v>R1.0</x:v>
      </x:c>
      <x:c r="H548" s="20" t="n">
        <x:f>XLOOKUP(A548,'菜品日销量'!$A$5:$A$1124,'菜品日销量'!$G$5:$G$1124,0)</x:f>
        <x:v>8</x:v>
      </x:c>
      <x:c r="I548" s="20" t="n">
        <x:f>ROUNDUP(H548/2,0)</x:f>
        <x:v>4</x:v>
      </x:c>
      <x:c r="J548" s="22" t="n">
        <x:f>SUMIFS('菜谱BOM'!$F$5:$F$160,'菜谱BOM'!$A$5:$A$160,E548,'菜谱BOM'!$C$5:$C$160,"食材")</x:f>
        <x:v>465</x:v>
      </x:c>
      <x:c r="K548" s="38" t="n">
        <x:v>-0.0009106988182549128</x:v>
      </x:c>
      <x:c r="L548" s="35" t="n">
        <x:f>H548*J548*(1+K548)</x:f>
        <x:v>3716.612200396092</x:v>
      </x:c>
      <x:c r="M548" s="35" t="n">
        <x:f>SUMIFS('菜谱BOM'!$F$5:$F$160,'菜谱BOM'!$A$5:$A$160,E548,'菜谱BOM'!$C$5:$C$160,"调料")</x:f>
        <x:v>32</x:v>
      </x:c>
      <x:c r="N548" s="38" t="n">
        <x:v>0.0003740975024118316</x:v>
      </x:c>
      <x:c r="O548" s="35" t="n">
        <x:f>H548*M548*(1+N548)</x:f>
        <x:v>256.0957689606174</x:v>
      </x:c>
      <x:c r="P548" s="19" t="str">
        <x:f>IF(ABS(N548)&gt;'封面与口径'!$O$25,"机器调料需复核",IF(ABS(K548)&gt;0.02,"人工称重需复核","正常"))</x:f>
        <x:v>正常</x:v>
      </x:c>
      <x:c r="Q548" s="19" t="str">
        <x:v>黄俊</x:v>
      </x:c>
    </x:row>
    <x:row r="549">
      <x:c r="A549" s="19" t="str">
        <x:v>2026-07-11|S05|D01</x:v>
      </x:c>
      <x:c r="B549" s="34" t="n">
        <x:v>46214.5</x:v>
      </x:c>
      <x:c r="C549" s="19" t="str">
        <x:v>S05</x:v>
      </x:c>
      <x:c r="D549" s="19" t="str">
        <x:v>同顺街店</x:v>
      </x:c>
      <x:c r="E549" s="19" t="str">
        <x:v>D01</x:v>
      </x:c>
      <x:c r="F549" s="19" t="str">
        <x:v>辣椒炒肉</x:v>
      </x:c>
      <x:c r="G549" s="19" t="str">
        <x:v>R2.3</x:v>
      </x:c>
      <x:c r="H549" s="20" t="n">
        <x:f>XLOOKUP(A549,'菜品日销量'!$A$5:$A$1124,'菜品日销量'!$G$5:$G$1124,0)</x:f>
        <x:v>36</x:v>
      </x:c>
      <x:c r="I549" s="20" t="n">
        <x:f>ROUNDUP(H549/2,0)</x:f>
        <x:v>18</x:v>
      </x:c>
      <x:c r="J549" s="22" t="n">
        <x:f>SUMIFS('菜谱BOM'!$F$5:$F$160,'菜谱BOM'!$A$5:$A$160,E549,'菜谱BOM'!$C$5:$C$160,"食材")</x:f>
        <x:v>550</x:v>
      </x:c>
      <x:c r="K549" s="38" t="n">
        <x:v>-0.0017201484687906108</x:v>
      </x:c>
      <x:c r="L549" s="35" t="n">
        <x:f>H549*J549*(1+K549)</x:f>
        <x:v>19765.941060317946</x:v>
      </x:c>
      <x:c r="M549" s="35" t="n">
        <x:f>SUMIFS('菜谱BOM'!$F$5:$F$160,'菜谱BOM'!$A$5:$A$160,E549,'菜谱BOM'!$C$5:$C$160,"调料")</x:f>
        <x:v>104</x:v>
      </x:c>
      <x:c r="N549" s="38" t="n">
        <x:v>-0.0015365002862029941</x:v>
      </x:c>
      <x:c r="O549" s="35" t="n">
        <x:f>H549*M549*(1+N549)</x:f>
        <x:v>3738.247342928456</x:v>
      </x:c>
      <x:c r="P549" s="19" t="str">
        <x:f>IF(ABS(N549)&gt;'封面与口径'!$O$25,"机器调料需复核",IF(ABS(K549)&gt;0.02,"人工称重需复核","正常"))</x:f>
        <x:v>正常</x:v>
      </x:c>
      <x:c r="Q549" s="19" t="str">
        <x:v>黄俊</x:v>
      </x:c>
    </x:row>
    <x:row r="550">
      <x:c r="A550" s="19" t="str">
        <x:v>2026-07-11|S05|D02</x:v>
      </x:c>
      <x:c r="B550" s="34" t="n">
        <x:v>46214.5</x:v>
      </x:c>
      <x:c r="C550" s="19" t="str">
        <x:v>S05</x:v>
      </x:c>
      <x:c r="D550" s="19" t="str">
        <x:v>同顺街店</x:v>
      </x:c>
      <x:c r="E550" s="19" t="str">
        <x:v>D02</x:v>
      </x:c>
      <x:c r="F550" s="19" t="str">
        <x:v>小炒黄牛肉</x:v>
      </x:c>
      <x:c r="G550" s="19" t="str">
        <x:v>R2.3</x:v>
      </x:c>
      <x:c r="H550" s="20" t="n">
        <x:f>XLOOKUP(A550,'菜品日销量'!$A$5:$A$1124,'菜品日销量'!$G$5:$G$1124,0)</x:f>
        <x:v>25</x:v>
      </x:c>
      <x:c r="I550" s="20" t="n">
        <x:f>ROUNDUP(H550/2,0)</x:f>
        <x:v>13</x:v>
      </x:c>
      <x:c r="J550" s="22" t="n">
        <x:f>SUMIFS('菜谱BOM'!$F$5:$F$160,'菜谱BOM'!$A$5:$A$160,E550,'菜谱BOM'!$C$5:$C$160,"食材")</x:f>
        <x:v>560</x:v>
      </x:c>
      <x:c r="K550" s="38" t="n">
        <x:v>0.0006640739237573161</x:v>
      </x:c>
      <x:c r="L550" s="35" t="n">
        <x:f>H550*J550*(1+K550)</x:f>
        <x:v>14009.297034932602</x:v>
      </x:c>
      <x:c r="M550" s="35" t="n">
        <x:f>SUMIFS('菜谱BOM'!$F$5:$F$160,'菜谱BOM'!$A$5:$A$160,E550,'菜谱BOM'!$C$5:$C$160,"调料")</x:f>
        <x:v>133</x:v>
      </x:c>
      <x:c r="N550" s="38" t="n">
        <x:v>-0.0011542881473792458</x:v>
      </x:c>
      <x:c r="O550" s="35" t="n">
        <x:f>H550*M550*(1+N550)</x:f>
        <x:v>3321.161991909964</x:v>
      </x:c>
      <x:c r="P550" s="19" t="str">
        <x:f>IF(ABS(N550)&gt;'封面与口径'!$O$25,"机器调料需复核",IF(ABS(K550)&gt;0.02,"人工称重需复核","正常"))</x:f>
        <x:v>正常</x:v>
      </x:c>
      <x:c r="Q550" s="19" t="str">
        <x:v>黄俊</x:v>
      </x:c>
    </x:row>
    <x:row r="551">
      <x:c r="A551" s="19" t="str">
        <x:v>2026-07-11|S05|D03</x:v>
      </x:c>
      <x:c r="B551" s="34" t="n">
        <x:v>46214.5</x:v>
      </x:c>
      <x:c r="C551" s="19" t="str">
        <x:v>S05</x:v>
      </x:c>
      <x:c r="D551" s="19" t="str">
        <x:v>同顺街店</x:v>
      </x:c>
      <x:c r="E551" s="19" t="str">
        <x:v>D03</x:v>
      </x:c>
      <x:c r="F551" s="19" t="str">
        <x:v>香醋炒蛋</x:v>
      </x:c>
      <x:c r="G551" s="19" t="str">
        <x:v>R1.0</x:v>
      </x:c>
      <x:c r="H551" s="20" t="n">
        <x:f>XLOOKUP(A551,'菜品日销量'!$A$5:$A$1124,'菜品日销量'!$G$5:$G$1124,0)</x:f>
        <x:v>30</x:v>
      </x:c>
      <x:c r="I551" s="20" t="n">
        <x:f>ROUNDUP(H551/2,0)</x:f>
        <x:v>15</x:v>
      </x:c>
      <x:c r="J551" s="22" t="n">
        <x:f>SUMIFS('菜谱BOM'!$F$5:$F$160,'菜谱BOM'!$A$5:$A$160,E551,'菜谱BOM'!$C$5:$C$160,"食材")</x:f>
        <x:v>300</x:v>
      </x:c>
      <x:c r="K551" s="38" t="n">
        <x:v>-0.0016353613607667762</x:v>
      </x:c>
      <x:c r="L551" s="35" t="n">
        <x:f>H551*J551*(1+K551)</x:f>
        <x:v>8985.281747753099</x:v>
      </x:c>
      <x:c r="M551" s="35" t="n">
        <x:f>SUMIFS('菜谱BOM'!$F$5:$F$160,'菜谱BOM'!$A$5:$A$160,E551,'菜谱BOM'!$C$5:$C$160,"调料")</x:f>
        <x:v>53</x:v>
      </x:c>
      <x:c r="N551" s="38" t="n">
        <x:v>-0.0005455451250415169</x:v>
      </x:c>
      <x:c r="O551" s="35" t="n">
        <x:f>H551*M551*(1+N551)</x:f>
        <x:v>1589.1325832511839</x:v>
      </x:c>
      <x:c r="P551" s="19" t="str">
        <x:f>IF(ABS(N551)&gt;'封面与口径'!$O$25,"机器调料需复核",IF(ABS(K551)&gt;0.02,"人工称重需复核","正常"))</x:f>
        <x:v>正常</x:v>
      </x:c>
      <x:c r="Q551" s="19" t="str">
        <x:v>黄俊</x:v>
      </x:c>
    </x:row>
    <x:row r="552">
      <x:c r="A552" s="19" t="str">
        <x:v>2026-07-11|S05|D04</x:v>
      </x:c>
      <x:c r="B552" s="34" t="n">
        <x:v>46214.5</x:v>
      </x:c>
      <x:c r="C552" s="19" t="str">
        <x:v>S05</x:v>
      </x:c>
      <x:c r="D552" s="19" t="str">
        <x:v>同顺街店</x:v>
      </x:c>
      <x:c r="E552" s="19" t="str">
        <x:v>D04</x:v>
      </x:c>
      <x:c r="F552" s="19" t="str">
        <x:v>酸包菜炒粉皮</x:v>
      </x:c>
      <x:c r="G552" s="19" t="str">
        <x:v>R1.0</x:v>
      </x:c>
      <x:c r="H552" s="20" t="n">
        <x:f>XLOOKUP(A552,'菜品日销量'!$A$5:$A$1124,'菜品日销量'!$G$5:$G$1124,0)</x:f>
        <x:v>28</x:v>
      </x:c>
      <x:c r="I552" s="20" t="n">
        <x:f>ROUNDUP(H552/2,0)</x:f>
        <x:v>14</x:v>
      </x:c>
      <x:c r="J552" s="22" t="n">
        <x:f>SUMIFS('菜谱BOM'!$F$5:$F$160,'菜谱BOM'!$A$5:$A$160,E552,'菜谱BOM'!$C$5:$C$160,"食材")</x:f>
        <x:v>380</x:v>
      </x:c>
      <x:c r="K552" s="38" t="n">
        <x:v>-0.007491948231936421</x:v>
      </x:c>
      <x:c r="L552" s="35" t="n">
        <x:f>H552*J552*(1+K552)</x:f>
        <x:v>10560.285670812196</x:v>
      </x:c>
      <x:c r="M552" s="35" t="n">
        <x:f>SUMIFS('菜谱BOM'!$F$5:$F$160,'菜谱BOM'!$A$5:$A$160,E552,'菜谱BOM'!$C$5:$C$160,"调料")</x:f>
        <x:v>47</x:v>
      </x:c>
      <x:c r="N552" s="38" t="n">
        <x:v>-0.0015309879061605287</x:v>
      </x:c>
      <x:c r="O552" s="35" t="n">
        <x:f>H552*M552*(1+N552)</x:f>
        <x:v>1313.9852199154927</x:v>
      </x:c>
      <x:c r="P552" s="19" t="str">
        <x:f>IF(ABS(N552)&gt;'封面与口径'!$O$25,"机器调料需复核",IF(ABS(K552)&gt;0.02,"人工称重需复核","正常"))</x:f>
        <x:v>正常</x:v>
      </x:c>
      <x:c r="Q552" s="19" t="str">
        <x:v>黄俊</x:v>
      </x:c>
    </x:row>
    <x:row r="553">
      <x:c r="A553" s="19" t="str">
        <x:v>2026-07-11|S05|D05</x:v>
      </x:c>
      <x:c r="B553" s="34" t="n">
        <x:v>46214.5</x:v>
      </x:c>
      <x:c r="C553" s="19" t="str">
        <x:v>S05</x:v>
      </x:c>
      <x:c r="D553" s="19" t="str">
        <x:v>同顺街店</x:v>
      </x:c>
      <x:c r="E553" s="19" t="str">
        <x:v>D05</x:v>
      </x:c>
      <x:c r="F553" s="19" t="str">
        <x:v>麻婆豆腐</x:v>
      </x:c>
      <x:c r="G553" s="19" t="str">
        <x:v>R1.0</x:v>
      </x:c>
      <x:c r="H553" s="20" t="n">
        <x:f>XLOOKUP(A553,'菜品日销量'!$A$5:$A$1124,'菜品日销量'!$G$5:$G$1124,0)</x:f>
        <x:v>39</x:v>
      </x:c>
      <x:c r="I553" s="20" t="n">
        <x:f>ROUNDUP(H553/2,0)</x:f>
        <x:v>20</x:v>
      </x:c>
      <x:c r="J553" s="22" t="n">
        <x:f>SUMIFS('菜谱BOM'!$F$5:$F$160,'菜谱BOM'!$A$5:$A$160,E553,'菜谱BOM'!$C$5:$C$160,"食材")</x:f>
        <x:v>505</x:v>
      </x:c>
      <x:c r="K553" s="38" t="n">
        <x:v>-0.0033270448845175668</x:v>
      </x:c>
      <x:c r="L553" s="35" t="n">
        <x:f>H553*J553*(1+K553)</x:f>
        <x:v>19629.473850999428</x:v>
      </x:c>
      <x:c r="M553" s="35" t="n">
        <x:f>SUMIFS('菜谱BOM'!$F$5:$F$160,'菜谱BOM'!$A$5:$A$160,E553,'菜谱BOM'!$C$5:$C$160,"调料")</x:f>
        <x:v>90</x:v>
      </x:c>
      <x:c r="N553" s="38" t="n">
        <x:v>-0.00046793489867540415</x:v>
      </x:c>
      <x:c r="O553" s="35" t="n">
        <x:f>H553*M553*(1+N553)</x:f>
        <x:v>3508.3575485056494</x:v>
      </x:c>
      <x:c r="P553" s="19" t="str">
        <x:f>IF(ABS(N553)&gt;'封面与口径'!$O$25,"机器调料需复核",IF(ABS(K553)&gt;0.02,"人工称重需复核","正常"))</x:f>
        <x:v>正常</x:v>
      </x:c>
      <x:c r="Q553" s="19" t="str">
        <x:v>黄俊</x:v>
      </x:c>
    </x:row>
    <x:row r="554">
      <x:c r="A554" s="19" t="str">
        <x:v>2026-07-11|S05|D07</x:v>
      </x:c>
      <x:c r="B554" s="34" t="n">
        <x:v>46214.5</x:v>
      </x:c>
      <x:c r="C554" s="19" t="str">
        <x:v>S05</x:v>
      </x:c>
      <x:c r="D554" s="19" t="str">
        <x:v>同顺街店</x:v>
      </x:c>
      <x:c r="E554" s="19" t="str">
        <x:v>D07</x:v>
      </x:c>
      <x:c r="F554" s="19" t="str">
        <x:v>川味回锅肉</x:v>
      </x:c>
      <x:c r="G554" s="19" t="str">
        <x:v>R1.0</x:v>
      </x:c>
      <x:c r="H554" s="20" t="n">
        <x:f>XLOOKUP(A554,'菜品日销量'!$A$5:$A$1124,'菜品日销量'!$G$5:$G$1124,0)</x:f>
        <x:v>12</x:v>
      </x:c>
      <x:c r="I554" s="20" t="n">
        <x:f>ROUNDUP(H554/2,0)</x:f>
        <x:v>6</x:v>
      </x:c>
      <x:c r="J554" s="22" t="n">
        <x:f>SUMIFS('菜谱BOM'!$F$5:$F$160,'菜谱BOM'!$A$5:$A$160,E554,'菜谱BOM'!$C$5:$C$160,"食材")</x:f>
        <x:v>450</x:v>
      </x:c>
      <x:c r="K554" s="38" t="n">
        <x:v>0.0005112431031910809</x:v>
      </x:c>
      <x:c r="L554" s="35" t="n">
        <x:f>H554*J554*(1+K554)</x:f>
        <x:v>5402.760712757232</x:v>
      </x:c>
      <x:c r="M554" s="35" t="n">
        <x:f>SUMIFS('菜谱BOM'!$F$5:$F$160,'菜谱BOM'!$A$5:$A$160,E554,'菜谱BOM'!$C$5:$C$160,"调料")</x:f>
        <x:v>63</x:v>
      </x:c>
      <x:c r="N554" s="38" t="n">
        <x:v>0.0011185141157169162</x:v>
      </x:c>
      <x:c r="O554" s="35" t="n">
        <x:f>H554*M554*(1+N554)</x:f>
        <x:v>756.845596671482</x:v>
      </x:c>
      <x:c r="P554" s="19" t="str">
        <x:f>IF(ABS(N554)&gt;'封面与口径'!$O$25,"机器调料需复核",IF(ABS(K554)&gt;0.02,"人工称重需复核","正常"))</x:f>
        <x:v>正常</x:v>
      </x:c>
      <x:c r="Q554" s="19" t="str">
        <x:v>黄俊</x:v>
      </x:c>
    </x:row>
    <x:row r="555">
      <x:c r="A555" s="19" t="str">
        <x:v>2026-07-11|S05|D08</x:v>
      </x:c>
      <x:c r="B555" s="34" t="n">
        <x:v>46214.5</x:v>
      </x:c>
      <x:c r="C555" s="19" t="str">
        <x:v>S05</x:v>
      </x:c>
      <x:c r="D555" s="19" t="str">
        <x:v>同顺街店</x:v>
      </x:c>
      <x:c r="E555" s="19" t="str">
        <x:v>D08</x:v>
      </x:c>
      <x:c r="F555" s="19" t="str">
        <x:v>生炒清远鸡</x:v>
      </x:c>
      <x:c r="G555" s="19" t="str">
        <x:v>R1.0</x:v>
      </x:c>
      <x:c r="H555" s="20" t="n">
        <x:f>XLOOKUP(A555,'菜品日销量'!$A$5:$A$1124,'菜品日销量'!$G$5:$G$1124,0)</x:f>
        <x:v>9</x:v>
      </x:c>
      <x:c r="I555" s="20" t="n">
        <x:f>ROUNDUP(H555/2,0)</x:f>
        <x:v>5</x:v>
      </x:c>
      <x:c r="J555" s="22" t="n">
        <x:f>SUMIFS('菜谱BOM'!$F$5:$F$160,'菜谱BOM'!$A$5:$A$160,E555,'菜谱BOM'!$C$5:$C$160,"食材")</x:f>
        <x:v>610</x:v>
      </x:c>
      <x:c r="K555" s="38" t="n">
        <x:v>0.0016923890136397422</x:v>
      </x:c>
      <x:c r="L555" s="35" t="n">
        <x:f>H555*J555*(1+K555)</x:f>
        <x:v>5499.291215684882</x:v>
      </x:c>
      <x:c r="M555" s="35" t="n">
        <x:f>SUMIFS('菜谱BOM'!$F$5:$F$160,'菜谱BOM'!$A$5:$A$160,E555,'菜谱BOM'!$C$5:$C$160,"调料")</x:f>
        <x:v>61</x:v>
      </x:c>
      <x:c r="N555" s="38" t="n">
        <x:v>-0.0015267487902955034</x:v>
      </x:c>
      <x:c r="O555" s="35" t="n">
        <x:f>H555*M555*(1+N555)</x:f>
        <x:v>548.1618149141278</x:v>
      </x:c>
      <x:c r="P555" s="19" t="str">
        <x:f>IF(ABS(N555)&gt;'封面与口径'!$O$25,"机器调料需复核",IF(ABS(K555)&gt;0.02,"人工称重需复核","正常"))</x:f>
        <x:v>正常</x:v>
      </x:c>
      <x:c r="Q555" s="19" t="str">
        <x:v>黄俊</x:v>
      </x:c>
    </x:row>
    <x:row r="556">
      <x:c r="A556" s="19" t="str">
        <x:v>2026-07-11|S05|D09</x:v>
      </x:c>
      <x:c r="B556" s="34" t="n">
        <x:v>46214.5</x:v>
      </x:c>
      <x:c r="C556" s="19" t="str">
        <x:v>S05</x:v>
      </x:c>
      <x:c r="D556" s="19" t="str">
        <x:v>同顺街店</x:v>
      </x:c>
      <x:c r="E556" s="19" t="str">
        <x:v>D09</x:v>
      </x:c>
      <x:c r="F556" s="19" t="str">
        <x:v>炒豆干</x:v>
      </x:c>
      <x:c r="G556" s="19" t="str">
        <x:v>R1.0</x:v>
      </x:c>
      <x:c r="H556" s="20" t="n">
        <x:f>XLOOKUP(A556,'菜品日销量'!$A$5:$A$1124,'菜品日销量'!$G$5:$G$1124,0)</x:f>
        <x:v>12</x:v>
      </x:c>
      <x:c r="I556" s="20" t="n">
        <x:f>ROUNDUP(H556/2,0)</x:f>
        <x:v>6</x:v>
      </x:c>
      <x:c r="J556" s="22" t="n">
        <x:f>SUMIFS('菜谱BOM'!$F$5:$F$160,'菜谱BOM'!$A$5:$A$160,E556,'菜谱BOM'!$C$5:$C$160,"食材")</x:f>
        <x:v>520</x:v>
      </x:c>
      <x:c r="K556" s="38" t="n">
        <x:v>0.0036807294552402415</x:v>
      </x:c>
      <x:c r="L556" s="35" t="n">
        <x:f>H556*J556*(1+K556)</x:f>
        <x:v>6262.967751800699</x:v>
      </x:c>
      <x:c r="M556" s="35" t="n">
        <x:f>SUMIFS('菜谱BOM'!$F$5:$F$160,'菜谱BOM'!$A$5:$A$160,E556,'菜谱BOM'!$C$5:$C$160,"调料")</x:f>
        <x:v>42</x:v>
      </x:c>
      <x:c r="N556" s="38" t="n">
        <x:v>-0.001216669756736762</x:v>
      </x:c>
      <x:c r="O556" s="35" t="n">
        <x:f>H556*M556*(1+N556)</x:f>
        <x:v>503.3867984426047</x:v>
      </x:c>
      <x:c r="P556" s="19" t="str">
        <x:f>IF(ABS(N556)&gt;'封面与口径'!$O$25,"机器调料需复核",IF(ABS(K556)&gt;0.02,"人工称重需复核","正常"))</x:f>
        <x:v>正常</x:v>
      </x:c>
      <x:c r="Q556" s="19" t="str">
        <x:v>黄俊</x:v>
      </x:c>
    </x:row>
    <x:row r="557">
      <x:c r="A557" s="19" t="str">
        <x:v>2026-07-11|S05|D10</x:v>
      </x:c>
      <x:c r="B557" s="34" t="n">
        <x:v>46214.5</x:v>
      </x:c>
      <x:c r="C557" s="19" t="str">
        <x:v>S05</x:v>
      </x:c>
      <x:c r="D557" s="19" t="str">
        <x:v>同顺街店</x:v>
      </x:c>
      <x:c r="E557" s="19" t="str">
        <x:v>D10</x:v>
      </x:c>
      <x:c r="F557" s="19" t="str">
        <x:v>农家一碗香</x:v>
      </x:c>
      <x:c r="G557" s="19" t="str">
        <x:v>R2.3</x:v>
      </x:c>
      <x:c r="H557" s="20" t="n">
        <x:f>XLOOKUP(A557,'菜品日销量'!$A$5:$A$1124,'菜品日销量'!$G$5:$G$1124,0)</x:f>
        <x:v>14</x:v>
      </x:c>
      <x:c r="I557" s="20" t="n">
        <x:f>ROUNDUP(H557/2,0)</x:f>
        <x:v>7</x:v>
      </x:c>
      <x:c r="J557" s="22" t="n">
        <x:f>SUMIFS('菜谱BOM'!$F$5:$F$160,'菜谱BOM'!$A$5:$A$160,E557,'菜谱BOM'!$C$5:$C$160,"食材")</x:f>
        <x:v>510</x:v>
      </x:c>
      <x:c r="K557" s="38" t="n">
        <x:v>-0.004485656800792938</x:v>
      </x:c>
      <x:c r="L557" s="35" t="n">
        <x:f>H557*J557*(1+K557)</x:f>
        <x:v>7107.9724104423385</x:v>
      </x:c>
      <x:c r="M557" s="35" t="n">
        <x:f>SUMIFS('菜谱BOM'!$F$5:$F$160,'菜谱BOM'!$A$5:$A$160,E557,'菜谱BOM'!$C$5:$C$160,"调料")</x:f>
        <x:v>88</x:v>
      </x:c>
      <x:c r="N557" s="38" t="n">
        <x:v>-0.0017389433290201572</x:v>
      </x:c>
      <x:c r="O557" s="35" t="n">
        <x:f>H557*M557*(1+N557)</x:f>
        <x:v>1229.8576218186472</x:v>
      </x:c>
      <x:c r="P557" s="19" t="str">
        <x:f>IF(ABS(N557)&gt;'封面与口径'!$O$25,"机器调料需复核",IF(ABS(K557)&gt;0.02,"人工称重需复核","正常"))</x:f>
        <x:v>正常</x:v>
      </x:c>
      <x:c r="Q557" s="19" t="str">
        <x:v>黄俊</x:v>
      </x:c>
    </x:row>
    <x:row r="558">
      <x:c r="A558" s="19" t="str">
        <x:v>2026-07-11|S05|D11</x:v>
      </x:c>
      <x:c r="B558" s="34" t="n">
        <x:v>46214.5</x:v>
      </x:c>
      <x:c r="C558" s="19" t="str">
        <x:v>S05</x:v>
      </x:c>
      <x:c r="D558" s="19" t="str">
        <x:v>同顺街店</x:v>
      </x:c>
      <x:c r="E558" s="19" t="str">
        <x:v>D11</x:v>
      </x:c>
      <x:c r="F558" s="19" t="str">
        <x:v>香辣爆肥肠</x:v>
      </x:c>
      <x:c r="G558" s="19" t="str">
        <x:v>R1.0</x:v>
      </x:c>
      <x:c r="H558" s="20" t="n">
        <x:f>XLOOKUP(A558,'菜品日销量'!$A$5:$A$1124,'菜品日销量'!$G$5:$G$1124,0)</x:f>
        <x:v>5</x:v>
      </x:c>
      <x:c r="I558" s="20" t="n">
        <x:f>ROUNDUP(H558/2,0)</x:f>
        <x:v>3</x:v>
      </x:c>
      <x:c r="J558" s="22" t="n">
        <x:f>SUMIFS('菜谱BOM'!$F$5:$F$160,'菜谱BOM'!$A$5:$A$160,E558,'菜谱BOM'!$C$5:$C$160,"食材")</x:f>
        <x:v>430</x:v>
      </x:c>
      <x:c r="K558" s="38" t="n">
        <x:v>-0.0035872457985736536</x:v>
      </x:c>
      <x:c r="L558" s="35" t="n">
        <x:f>H558*J558*(1+K558)</x:f>
        <x:v>2142.2874215330667</x:v>
      </x:c>
      <x:c r="M558" s="35" t="n">
        <x:f>SUMIFS('菜谱BOM'!$F$5:$F$160,'菜谱BOM'!$A$5:$A$160,E558,'菜谱BOM'!$C$5:$C$160,"调料")</x:f>
        <x:v>67</x:v>
      </x:c>
      <x:c r="N558" s="38" t="n">
        <x:v>-0.00022518245927644488</x:v>
      </x:c>
      <x:c r="O558" s="35" t="n">
        <x:f>H558*M558*(1+N558)</x:f>
        <x:v>334.9245638761424</x:v>
      </x:c>
      <x:c r="P558" s="19" t="str">
        <x:f>IF(ABS(N558)&gt;'封面与口径'!$O$25,"机器调料需复核",IF(ABS(K558)&gt;0.02,"人工称重需复核","正常"))</x:f>
        <x:v>正常</x:v>
      </x:c>
      <x:c r="Q558" s="19" t="str">
        <x:v>黄俊</x:v>
      </x:c>
    </x:row>
    <x:row r="559">
      <x:c r="A559" s="19" t="str">
        <x:v>2026-07-11|S05|D13</x:v>
      </x:c>
      <x:c r="B559" s="34" t="n">
        <x:v>46214.5</x:v>
      </x:c>
      <x:c r="C559" s="19" t="str">
        <x:v>S05</x:v>
      </x:c>
      <x:c r="D559" s="19" t="str">
        <x:v>同顺街店</x:v>
      </x:c>
      <x:c r="E559" s="19" t="str">
        <x:v>D13</x:v>
      </x:c>
      <x:c r="F559" s="19" t="str">
        <x:v>外婆菜炒蛋</x:v>
      </x:c>
      <x:c r="G559" s="19" t="str">
        <x:v>R1.0</x:v>
      </x:c>
      <x:c r="H559" s="20" t="n">
        <x:f>XLOOKUP(A559,'菜品日销量'!$A$5:$A$1124,'菜品日销量'!$G$5:$G$1124,0)</x:f>
        <x:v>13</x:v>
      </x:c>
      <x:c r="I559" s="20" t="n">
        <x:f>ROUNDUP(H559/2,0)</x:f>
        <x:v>7</x:v>
      </x:c>
      <x:c r="J559" s="22" t="n">
        <x:f>SUMIFS('菜谱BOM'!$F$5:$F$160,'菜谱BOM'!$A$5:$A$160,E559,'菜谱BOM'!$C$5:$C$160,"食材")</x:f>
        <x:v>450</x:v>
      </x:c>
      <x:c r="K559" s="38" t="n">
        <x:v>-0.005170760794815319</x:v>
      </x:c>
      <x:c r="L559" s="35" t="n">
        <x:f>H559*J559*(1+K559)</x:f>
        <x:v>5819.7510493503305</x:v>
      </x:c>
      <x:c r="M559" s="35" t="n">
        <x:f>SUMIFS('菜谱BOM'!$F$5:$F$160,'菜谱BOM'!$A$5:$A$160,E559,'菜谱BOM'!$C$5:$C$160,"调料")</x:f>
        <x:v>37</x:v>
      </x:c>
      <x:c r="N559" s="38" t="n">
        <x:v>-0.000689895185336912</x:v>
      </x:c>
      <x:c r="O559" s="35" t="n">
        <x:f>H559*M559*(1+N559)</x:f>
        <x:v>480.6681604158529</x:v>
      </x:c>
      <x:c r="P559" s="19" t="str">
        <x:f>IF(ABS(N559)&gt;'封面与口径'!$O$25,"机器调料需复核",IF(ABS(K559)&gt;0.02,"人工称重需复核","正常"))</x:f>
        <x:v>正常</x:v>
      </x:c>
      <x:c r="Q559" s="19" t="str">
        <x:v>黄俊</x:v>
      </x:c>
    </x:row>
    <x:row r="560">
      <x:c r="A560" s="19" t="str">
        <x:v>2026-07-11|S05|D14</x:v>
      </x:c>
      <x:c r="B560" s="34" t="n">
        <x:v>46214.5</x:v>
      </x:c>
      <x:c r="C560" s="19" t="str">
        <x:v>S05</x:v>
      </x:c>
      <x:c r="D560" s="19" t="str">
        <x:v>同顺街店</x:v>
      </x:c>
      <x:c r="E560" s="19" t="str">
        <x:v>D14</x:v>
      </x:c>
      <x:c r="F560" s="19" t="str">
        <x:v>酸辣鸡杂</x:v>
      </x:c>
      <x:c r="G560" s="19" t="str">
        <x:v>R1.0</x:v>
      </x:c>
      <x:c r="H560" s="20" t="n">
        <x:f>XLOOKUP(A560,'菜品日销量'!$A$5:$A$1124,'菜品日销量'!$G$5:$G$1124,0)</x:f>
        <x:v>6</x:v>
      </x:c>
      <x:c r="I560" s="20" t="n">
        <x:f>ROUNDUP(H560/2,0)</x:f>
        <x:v>3</x:v>
      </x:c>
      <x:c r="J560" s="22" t="n">
        <x:f>SUMIFS('菜谱BOM'!$F$5:$F$160,'菜谱BOM'!$A$5:$A$160,E560,'菜谱BOM'!$C$5:$C$160,"食材")</x:f>
        <x:v>470</x:v>
      </x:c>
      <x:c r="K560" s="38" t="n">
        <x:v>0.006039331212183305</x:v>
      </x:c>
      <x:c r="L560" s="35" t="n">
        <x:f>H560*J560*(1+K560)</x:f>
        <x:v>2837.030914018357</x:v>
      </x:c>
      <x:c r="M560" s="35" t="n">
        <x:f>SUMIFS('菜谱BOM'!$F$5:$F$160,'菜谱BOM'!$A$5:$A$160,E560,'菜谱BOM'!$C$5:$C$160,"调料")</x:f>
        <x:v>60</x:v>
      </x:c>
      <x:c r="N560" s="38" t="n">
        <x:v>-0.0004805728286692343</x:v>
      </x:c>
      <x:c r="O560" s="35" t="n">
        <x:f>H560*M560*(1+N560)</x:f>
        <x:v>359.8269937816791</x:v>
      </x:c>
      <x:c r="P560" s="19" t="str">
        <x:f>IF(ABS(N560)&gt;'封面与口径'!$O$25,"机器调料需复核",IF(ABS(K560)&gt;0.02,"人工称重需复核","正常"))</x:f>
        <x:v>正常</x:v>
      </x:c>
      <x:c r="Q560" s="19" t="str">
        <x:v>黄俊</x:v>
      </x:c>
    </x:row>
    <x:row r="561">
      <x:c r="A561" s="19" t="str">
        <x:v>2026-07-11|S05|D15</x:v>
      </x:c>
      <x:c r="B561" s="34" t="n">
        <x:v>46214.5</x:v>
      </x:c>
      <x:c r="C561" s="19" t="str">
        <x:v>S05</x:v>
      </x:c>
      <x:c r="D561" s="19" t="str">
        <x:v>同顺街店</x:v>
      </x:c>
      <x:c r="E561" s="19" t="str">
        <x:v>D15</x:v>
      </x:c>
      <x:c r="F561" s="19" t="str">
        <x:v>湘西土匪猪肝</x:v>
      </x:c>
      <x:c r="G561" s="19" t="str">
        <x:v>R1.0</x:v>
      </x:c>
      <x:c r="H561" s="20" t="n">
        <x:f>XLOOKUP(A561,'菜品日销量'!$A$5:$A$1124,'菜品日销量'!$G$5:$G$1124,0)</x:f>
        <x:v>5</x:v>
      </x:c>
      <x:c r="I561" s="20" t="n">
        <x:f>ROUNDUP(H561/2,0)</x:f>
        <x:v>3</x:v>
      </x:c>
      <x:c r="J561" s="22" t="n">
        <x:f>SUMIFS('菜谱BOM'!$F$5:$F$160,'菜谱BOM'!$A$5:$A$160,E561,'菜谱BOM'!$C$5:$C$160,"食材")</x:f>
        <x:v>470</x:v>
      </x:c>
      <x:c r="K561" s="38" t="n">
        <x:v>0.004320365588255312</x:v>
      </x:c>
      <x:c r="L561" s="35" t="n">
        <x:f>H561*J561*(1+K561)</x:f>
        <x:v>2360.1528591324</x:v>
      </x:c>
      <x:c r="M561" s="35" t="n">
        <x:f>SUMIFS('菜谱BOM'!$F$5:$F$160,'菜谱BOM'!$A$5:$A$160,E561,'菜谱BOM'!$C$5:$C$160,"调料")</x:f>
        <x:v>49</x:v>
      </x:c>
      <x:c r="N561" s="38" t="n">
        <x:v>-0.0016995365218491145</x:v>
      </x:c>
      <x:c r="O561" s="35" t="n">
        <x:f>H561*M561*(1+N561)</x:f>
        <x:v>244.58361355214697</x:v>
      </x:c>
      <x:c r="P561" s="19" t="str">
        <x:f>IF(ABS(N561)&gt;'封面与口径'!$O$25,"机器调料需复核",IF(ABS(K561)&gt;0.02,"人工称重需复核","正常"))</x:f>
        <x:v>正常</x:v>
      </x:c>
      <x:c r="Q561" s="19" t="str">
        <x:v>黄俊</x:v>
      </x:c>
    </x:row>
    <x:row r="562">
      <x:c r="A562" s="19" t="str">
        <x:v>2026-07-11|S05|D16</x:v>
      </x:c>
      <x:c r="B562" s="34" t="n">
        <x:v>46214.5</x:v>
      </x:c>
      <x:c r="C562" s="19" t="str">
        <x:v>S05</x:v>
      </x:c>
      <x:c r="D562" s="19" t="str">
        <x:v>同顺街店</x:v>
      </x:c>
      <x:c r="E562" s="19" t="str">
        <x:v>D16</x:v>
      </x:c>
      <x:c r="F562" s="19" t="str">
        <x:v>小豆角炒五花</x:v>
      </x:c>
      <x:c r="G562" s="19" t="str">
        <x:v>R1.0</x:v>
      </x:c>
      <x:c r="H562" s="20" t="n">
        <x:f>XLOOKUP(A562,'菜品日销量'!$A$5:$A$1124,'菜品日销量'!$G$5:$G$1124,0)</x:f>
        <x:v>6</x:v>
      </x:c>
      <x:c r="I562" s="20" t="n">
        <x:f>ROUNDUP(H562/2,0)</x:f>
        <x:v>3</x:v>
      </x:c>
      <x:c r="J562" s="22" t="n">
        <x:f>SUMIFS('菜谱BOM'!$F$5:$F$160,'菜谱BOM'!$A$5:$A$160,E562,'菜谱BOM'!$C$5:$C$160,"食材")</x:f>
        <x:v>450</x:v>
      </x:c>
      <x:c r="K562" s="38" t="n">
        <x:v>-0.004650401796365716</x:v>
      </x:c>
      <x:c r="L562" s="35" t="n">
        <x:f>H562*J562*(1+K562)</x:f>
        <x:v>2687.4439151498127</x:v>
      </x:c>
      <x:c r="M562" s="35" t="n">
        <x:f>SUMIFS('菜谱BOM'!$F$5:$F$160,'菜谱BOM'!$A$5:$A$160,E562,'菜谱BOM'!$C$5:$C$160,"调料")</x:f>
        <x:v>42</x:v>
      </x:c>
      <x:c r="N562" s="38" t="n">
        <x:v>-0.0017414814195925094</x:v>
      </x:c>
      <x:c r="O562" s="35" t="n">
        <x:f>H562*M562*(1+N562)</x:f>
        <x:v>251.5611466822627</x:v>
      </x:c>
      <x:c r="P562" s="19" t="str">
        <x:f>IF(ABS(N562)&gt;'封面与口径'!$O$25,"机器调料需复核",IF(ABS(K562)&gt;0.02,"人工称重需复核","正常"))</x:f>
        <x:v>正常</x:v>
      </x:c>
      <x:c r="Q562" s="19" t="str">
        <x:v>黄俊</x:v>
      </x:c>
    </x:row>
    <x:row r="563">
      <x:c r="A563" s="19" t="str">
        <x:v>2026-07-11|S05|D18</x:v>
      </x:c>
      <x:c r="B563" s="34" t="n">
        <x:v>46214.5</x:v>
      </x:c>
      <x:c r="C563" s="19" t="str">
        <x:v>S05</x:v>
      </x:c>
      <x:c r="D563" s="19" t="str">
        <x:v>同顺街店</x:v>
      </x:c>
      <x:c r="E563" s="19" t="str">
        <x:v>D18</x:v>
      </x:c>
      <x:c r="F563" s="19" t="str">
        <x:v>青椒炒油麦菜</x:v>
      </x:c>
      <x:c r="G563" s="19" t="str">
        <x:v>R1.0</x:v>
      </x:c>
      <x:c r="H563" s="20" t="n">
        <x:f>XLOOKUP(A563,'菜品日销量'!$A$5:$A$1124,'菜品日销量'!$G$5:$G$1124,0)</x:f>
        <x:v>7</x:v>
      </x:c>
      <x:c r="I563" s="20" t="n">
        <x:f>ROUNDUP(H563/2,0)</x:f>
        <x:v>4</x:v>
      </x:c>
      <x:c r="J563" s="22" t="n">
        <x:f>SUMIFS('菜谱BOM'!$F$5:$F$160,'菜谱BOM'!$A$5:$A$160,E563,'菜谱BOM'!$C$5:$C$160,"食材")</x:f>
        <x:v>430</x:v>
      </x:c>
      <x:c r="K563" s="38" t="n">
        <x:v>-0.003887505265857909</x:v>
      </x:c>
      <x:c r="L563" s="35" t="n">
        <x:f>H563*J563*(1+K563)</x:f>
        <x:v>2998.298609149768</x:v>
      </x:c>
      <x:c r="M563" s="35" t="n">
        <x:f>SUMIFS('菜谱BOM'!$F$5:$F$160,'菜谱BOM'!$A$5:$A$160,E563,'菜谱BOM'!$C$5:$C$160,"调料")</x:f>
        <x:v>33</x:v>
      </x:c>
      <x:c r="N563" s="38" t="n">
        <x:v>-0.0011539274731543676</x:v>
      </x:c>
      <x:c r="O563" s="35" t="n">
        <x:f>H563*M563*(1+N563)</x:f>
        <x:v>230.73344275370135</x:v>
      </x:c>
      <x:c r="P563" s="19" t="str">
        <x:f>IF(ABS(N563)&gt;'封面与口径'!$O$25,"机器调料需复核",IF(ABS(K563)&gt;0.02,"人工称重需复核","正常"))</x:f>
        <x:v>正常</x:v>
      </x:c>
      <x:c r="Q563" s="19" t="str">
        <x:v>黄俊</x:v>
      </x:c>
    </x:row>
    <x:row r="564">
      <x:c r="A564" s="19" t="str">
        <x:v>2026-07-11|S05|D19</x:v>
      </x:c>
      <x:c r="B564" s="34" t="n">
        <x:v>46214.5</x:v>
      </x:c>
      <x:c r="C564" s="19" t="str">
        <x:v>S05</x:v>
      </x:c>
      <x:c r="D564" s="19" t="str">
        <x:v>同顺街店</x:v>
      </x:c>
      <x:c r="E564" s="19" t="str">
        <x:v>D19</x:v>
      </x:c>
      <x:c r="F564" s="19" t="str">
        <x:v>酸萝卜炒鸡杂</x:v>
      </x:c>
      <x:c r="G564" s="19" t="str">
        <x:v>R1.0</x:v>
      </x:c>
      <x:c r="H564" s="20" t="n">
        <x:f>XLOOKUP(A564,'菜品日销量'!$A$5:$A$1124,'菜品日销量'!$G$5:$G$1124,0)</x:f>
        <x:v>5</x:v>
      </x:c>
      <x:c r="I564" s="20" t="n">
        <x:f>ROUNDUP(H564/2,0)</x:f>
        <x:v>3</x:v>
      </x:c>
      <x:c r="J564" s="22" t="n">
        <x:f>SUMIFS('菜谱BOM'!$F$5:$F$160,'菜谱BOM'!$A$5:$A$160,E564,'菜谱BOM'!$C$5:$C$160,"食材")</x:f>
        <x:v>500</x:v>
      </x:c>
      <x:c r="K564" s="38" t="n">
        <x:v>-0.0029611067834685338</x:v>
      </x:c>
      <x:c r="L564" s="35" t="n">
        <x:f>H564*J564*(1+K564)</x:f>
        <x:v>2492.5972330413288</x:v>
      </x:c>
      <x:c r="M564" s="35" t="n">
        <x:f>SUMIFS('菜谱BOM'!$F$5:$F$160,'菜谱BOM'!$A$5:$A$160,E564,'菜谱BOM'!$C$5:$C$160,"调料")</x:f>
        <x:v>55</x:v>
      </x:c>
      <x:c r="N564" s="38" t="n">
        <x:v>0.0017397015466680057</x:v>
      </x:c>
      <x:c r="O564" s="35" t="n">
        <x:f>H564*M564*(1+N564)</x:f>
        <x:v>275.4784179253337</x:v>
      </x:c>
      <x:c r="P564" s="19" t="str">
        <x:f>IF(ABS(N564)&gt;'封面与口径'!$O$25,"机器调料需复核",IF(ABS(K564)&gt;0.02,"人工称重需复核","正常"))</x:f>
        <x:v>正常</x:v>
      </x:c>
      <x:c r="Q564" s="19" t="str">
        <x:v>黄俊</x:v>
      </x:c>
    </x:row>
    <x:row r="565">
      <x:c r="A565" s="19" t="str">
        <x:v>2026-07-11|S05|D20</x:v>
      </x:c>
      <x:c r="B565" s="34" t="n">
        <x:v>46214.5</x:v>
      </x:c>
      <x:c r="C565" s="19" t="str">
        <x:v>S05</x:v>
      </x:c>
      <x:c r="D565" s="19" t="str">
        <x:v>同顺街店</x:v>
      </x:c>
      <x:c r="E565" s="19" t="str">
        <x:v>D20</x:v>
      </x:c>
      <x:c r="F565" s="19" t="str">
        <x:v>雪菜肉末青豆</x:v>
      </x:c>
      <x:c r="G565" s="19" t="str">
        <x:v>R1.0</x:v>
      </x:c>
      <x:c r="H565" s="20" t="n">
        <x:f>XLOOKUP(A565,'菜品日销量'!$A$5:$A$1124,'菜品日销量'!$G$5:$G$1124,0)</x:f>
        <x:v>7</x:v>
      </x:c>
      <x:c r="I565" s="20" t="n">
        <x:f>ROUNDUP(H565/2,0)</x:f>
        <x:v>4</x:v>
      </x:c>
      <x:c r="J565" s="22" t="n">
        <x:f>SUMIFS('菜谱BOM'!$F$5:$F$160,'菜谱BOM'!$A$5:$A$160,E565,'菜谱BOM'!$C$5:$C$160,"食材")</x:f>
        <x:v>465</x:v>
      </x:c>
      <x:c r="K565" s="38" t="n">
        <x:v>-0.007299690313474203</x:v>
      </x:c>
      <x:c r="L565" s="35" t="n">
        <x:f>H565*J565*(1+K565)</x:f>
        <x:v>3231.2395080296415</x:v>
      </x:c>
      <x:c r="M565" s="35" t="n">
        <x:f>SUMIFS('菜谱BOM'!$F$5:$F$160,'菜谱BOM'!$A$5:$A$160,E565,'菜谱BOM'!$C$5:$C$160,"调料")</x:f>
        <x:v>32</x:v>
      </x:c>
      <x:c r="N565" s="38" t="n">
        <x:v>0.00009713029072087486</x:v>
      </x:c>
      <x:c r="O565" s="35" t="n">
        <x:f>H565*M565*(1+N565)</x:f>
        <x:v>224.0217571851215</x:v>
      </x:c>
      <x:c r="P565" s="19" t="str">
        <x:f>IF(ABS(N565)&gt;'封面与口径'!$O$25,"机器调料需复核",IF(ABS(K565)&gt;0.02,"人工称重需复核","正常"))</x:f>
        <x:v>正常</x:v>
      </x:c>
      <x:c r="Q565" s="19" t="str">
        <x:v>黄俊</x:v>
      </x:c>
    </x:row>
    <x:row r="566">
      <x:c r="A566" s="19" t="str">
        <x:v>2026-07-12|S05|D01</x:v>
      </x:c>
      <x:c r="B566" s="34" t="n">
        <x:v>46215.5</x:v>
      </x:c>
      <x:c r="C566" s="19" t="str">
        <x:v>S05</x:v>
      </x:c>
      <x:c r="D566" s="19" t="str">
        <x:v>同顺街店</x:v>
      </x:c>
      <x:c r="E566" s="19" t="str">
        <x:v>D01</x:v>
      </x:c>
      <x:c r="F566" s="19" t="str">
        <x:v>辣椒炒肉</x:v>
      </x:c>
      <x:c r="G566" s="19" t="str">
        <x:v>R2.3</x:v>
      </x:c>
      <x:c r="H566" s="20" t="n">
        <x:f>XLOOKUP(A566,'菜品日销量'!$A$5:$A$1124,'菜品日销量'!$G$5:$G$1124,0)</x:f>
        <x:v>35</x:v>
      </x:c>
      <x:c r="I566" s="20" t="n">
        <x:f>ROUNDUP(H566/2,0)</x:f>
        <x:v>18</x:v>
      </x:c>
      <x:c r="J566" s="22" t="n">
        <x:f>SUMIFS('菜谱BOM'!$F$5:$F$160,'菜谱BOM'!$A$5:$A$160,E566,'菜谱BOM'!$C$5:$C$160,"食材")</x:f>
        <x:v>550</x:v>
      </x:c>
      <x:c r="K566" s="38" t="n">
        <x:v>0.007275959443132384</x:v>
      </x:c>
      <x:c r="L566" s="35" t="n">
        <x:f>H566*J566*(1+K566)</x:f>
        <x:v>19390.0622192803</x:v>
      </x:c>
      <x:c r="M566" s="35" t="n">
        <x:f>SUMIFS('菜谱BOM'!$F$5:$F$160,'菜谱BOM'!$A$5:$A$160,E566,'菜谱BOM'!$C$5:$C$160,"调料")</x:f>
        <x:v>104</x:v>
      </x:c>
      <x:c r="N566" s="38" t="n">
        <x:v>0.0013689806348106313</x:v>
      </x:c>
      <x:c r="O566" s="35" t="n">
        <x:f>H566*M566*(1+N566)</x:f>
        <x:v>3644.983089510711</x:v>
      </x:c>
      <x:c r="P566" s="19" t="str">
        <x:f>IF(ABS(N566)&gt;'封面与口径'!$O$25,"机器调料需复核",IF(ABS(K566)&gt;0.02,"人工称重需复核","正常"))</x:f>
        <x:v>正常</x:v>
      </x:c>
      <x:c r="Q566" s="19" t="str">
        <x:v>黄俊</x:v>
      </x:c>
    </x:row>
    <x:row r="567">
      <x:c r="A567" s="19" t="str">
        <x:v>2026-07-12|S05|D02</x:v>
      </x:c>
      <x:c r="B567" s="34" t="n">
        <x:v>46215.5</x:v>
      </x:c>
      <x:c r="C567" s="19" t="str">
        <x:v>S05</x:v>
      </x:c>
      <x:c r="D567" s="19" t="str">
        <x:v>同顺街店</x:v>
      </x:c>
      <x:c r="E567" s="19" t="str">
        <x:v>D02</x:v>
      </x:c>
      <x:c r="F567" s="19" t="str">
        <x:v>小炒黄牛肉</x:v>
      </x:c>
      <x:c r="G567" s="19" t="str">
        <x:v>R2.3</x:v>
      </x:c>
      <x:c r="H567" s="20" t="n">
        <x:f>XLOOKUP(A567,'菜品日销量'!$A$5:$A$1124,'菜品日销量'!$G$5:$G$1124,0)</x:f>
        <x:v>27</x:v>
      </x:c>
      <x:c r="I567" s="20" t="n">
        <x:f>ROUNDUP(H567/2,0)</x:f>
        <x:v>14</x:v>
      </x:c>
      <x:c r="J567" s="22" t="n">
        <x:f>SUMIFS('菜谱BOM'!$F$5:$F$160,'菜谱BOM'!$A$5:$A$160,E567,'菜谱BOM'!$C$5:$C$160,"食材")</x:f>
        <x:v>560</x:v>
      </x:c>
      <x:c r="K567" s="38" t="n">
        <x:v>-0.005784622724583518</x:v>
      </x:c>
      <x:c r="L567" s="35" t="n">
        <x:f>H567*J567*(1+K567)</x:f>
        <x:v>15032.536504404297</x:v>
      </x:c>
      <x:c r="M567" s="35" t="n">
        <x:f>SUMIFS('菜谱BOM'!$F$5:$F$160,'菜谱BOM'!$A$5:$A$160,E567,'菜谱BOM'!$C$5:$C$160,"调料")</x:f>
        <x:v>133</x:v>
      </x:c>
      <x:c r="N567" s="38" t="n">
        <x:v>0.0016781177641074449</x:v>
      </x:c>
      <x:c r="O567" s="35" t="n">
        <x:f>H567*M567*(1+N567)</x:f>
        <x:v>3597.0261208909096</x:v>
      </x:c>
      <x:c r="P567" s="19" t="str">
        <x:f>IF(ABS(N567)&gt;'封面与口径'!$O$25,"机器调料需复核",IF(ABS(K567)&gt;0.02,"人工称重需复核","正常"))</x:f>
        <x:v>正常</x:v>
      </x:c>
      <x:c r="Q567" s="19" t="str">
        <x:v>黄俊</x:v>
      </x:c>
    </x:row>
    <x:row r="568">
      <x:c r="A568" s="19" t="str">
        <x:v>2026-07-12|S05|D03</x:v>
      </x:c>
      <x:c r="B568" s="34" t="n">
        <x:v>46215.5</x:v>
      </x:c>
      <x:c r="C568" s="19" t="str">
        <x:v>S05</x:v>
      </x:c>
      <x:c r="D568" s="19" t="str">
        <x:v>同顺街店</x:v>
      </x:c>
      <x:c r="E568" s="19" t="str">
        <x:v>D03</x:v>
      </x:c>
      <x:c r="F568" s="19" t="str">
        <x:v>香醋炒蛋</x:v>
      </x:c>
      <x:c r="G568" s="19" t="str">
        <x:v>R1.0</x:v>
      </x:c>
      <x:c r="H568" s="20" t="n">
        <x:f>XLOOKUP(A568,'菜品日销量'!$A$5:$A$1124,'菜品日销量'!$G$5:$G$1124,0)</x:f>
        <x:v>32</x:v>
      </x:c>
      <x:c r="I568" s="20" t="n">
        <x:f>ROUNDUP(H568/2,0)</x:f>
        <x:v>16</x:v>
      </x:c>
      <x:c r="J568" s="22" t="n">
        <x:f>SUMIFS('菜谱BOM'!$F$5:$F$160,'菜谱BOM'!$A$5:$A$160,E568,'菜谱BOM'!$C$5:$C$160,"食材")</x:f>
        <x:v>300</x:v>
      </x:c>
      <x:c r="K568" s="38" t="n">
        <x:v>-0.0079278484582733</x:v>
      </x:c>
      <x:c r="L568" s="35" t="n">
        <x:f>H568*J568*(1+K568)</x:f>
        <x:v>9523.892654800577</x:v>
      </x:c>
      <x:c r="M568" s="35" t="n">
        <x:f>SUMIFS('菜谱BOM'!$F$5:$F$160,'菜谱BOM'!$A$5:$A$160,E568,'菜谱BOM'!$C$5:$C$160,"调料")</x:f>
        <x:v>53</x:v>
      </x:c>
      <x:c r="N568" s="38" t="n">
        <x:v>0.0013679426478613035</x:v>
      </x:c>
      <x:c r="O568" s="35" t="n">
        <x:f>H568*M568*(1+N568)</x:f>
        <x:v>1698.3200307307727</x:v>
      </x:c>
      <x:c r="P568" s="19" t="str">
        <x:f>IF(ABS(N568)&gt;'封面与口径'!$O$25,"机器调料需复核",IF(ABS(K568)&gt;0.02,"人工称重需复核","正常"))</x:f>
        <x:v>正常</x:v>
      </x:c>
      <x:c r="Q568" s="19" t="str">
        <x:v>黄俊</x:v>
      </x:c>
    </x:row>
    <x:row r="569">
      <x:c r="A569" s="19" t="str">
        <x:v>2026-07-12|S05|D04</x:v>
      </x:c>
      <x:c r="B569" s="34" t="n">
        <x:v>46215.5</x:v>
      </x:c>
      <x:c r="C569" s="19" t="str">
        <x:v>S05</x:v>
      </x:c>
      <x:c r="D569" s="19" t="str">
        <x:v>同顺街店</x:v>
      </x:c>
      <x:c r="E569" s="19" t="str">
        <x:v>D04</x:v>
      </x:c>
      <x:c r="F569" s="19" t="str">
        <x:v>酸包菜炒粉皮</x:v>
      </x:c>
      <x:c r="G569" s="19" t="str">
        <x:v>R1.0</x:v>
      </x:c>
      <x:c r="H569" s="20" t="n">
        <x:f>XLOOKUP(A569,'菜品日销量'!$A$5:$A$1124,'菜品日销量'!$G$5:$G$1124,0)</x:f>
        <x:v>28</x:v>
      </x:c>
      <x:c r="I569" s="20" t="n">
        <x:f>ROUNDUP(H569/2,0)</x:f>
        <x:v>14</x:v>
      </x:c>
      <x:c r="J569" s="22" t="n">
        <x:f>SUMIFS('菜谱BOM'!$F$5:$F$160,'菜谱BOM'!$A$5:$A$160,E569,'菜谱BOM'!$C$5:$C$160,"食材")</x:f>
        <x:v>380</x:v>
      </x:c>
      <x:c r="K569" s="38" t="n">
        <x:v>-0.0006288791020933724</x:v>
      </x:c>
      <x:c r="L569" s="35" t="n">
        <x:f>H569*J569*(1+K569)</x:f>
        <x:v>10633.308726353725</x:v>
      </x:c>
      <x:c r="M569" s="35" t="n">
        <x:f>SUMIFS('菜谱BOM'!$F$5:$F$160,'菜谱BOM'!$A$5:$A$160,E569,'菜谱BOM'!$C$5:$C$160,"调料")</x:f>
        <x:v>47</x:v>
      </x:c>
      <x:c r="N569" s="38" t="n">
        <x:v>0.0017146090743398782</x:v>
      </x:c>
      <x:c r="O569" s="35" t="n">
        <x:f>H569*M569*(1+N569)</x:f>
        <x:v>1318.2564255418313</x:v>
      </x:c>
      <x:c r="P569" s="19" t="str">
        <x:f>IF(ABS(N569)&gt;'封面与口径'!$O$25,"机器调料需复核",IF(ABS(K569)&gt;0.02,"人工称重需复核","正常"))</x:f>
        <x:v>正常</x:v>
      </x:c>
      <x:c r="Q569" s="19" t="str">
        <x:v>黄俊</x:v>
      </x:c>
    </x:row>
    <x:row r="570">
      <x:c r="A570" s="19" t="str">
        <x:v>2026-07-12|S05|D05</x:v>
      </x:c>
      <x:c r="B570" s="34" t="n">
        <x:v>46215.5</x:v>
      </x:c>
      <x:c r="C570" s="19" t="str">
        <x:v>S05</x:v>
      </x:c>
      <x:c r="D570" s="19" t="str">
        <x:v>同顺街店</x:v>
      </x:c>
      <x:c r="E570" s="19" t="str">
        <x:v>D05</x:v>
      </x:c>
      <x:c r="F570" s="19" t="str">
        <x:v>麻婆豆腐</x:v>
      </x:c>
      <x:c r="G570" s="19" t="str">
        <x:v>R1.0</x:v>
      </x:c>
      <x:c r="H570" s="20" t="n">
        <x:f>XLOOKUP(A570,'菜品日销量'!$A$5:$A$1124,'菜品日销量'!$G$5:$G$1124,0)</x:f>
        <x:v>38</x:v>
      </x:c>
      <x:c r="I570" s="20" t="n">
        <x:f>ROUNDUP(H570/2,0)</x:f>
        <x:v>19</x:v>
      </x:c>
      <x:c r="J570" s="22" t="n">
        <x:f>SUMIFS('菜谱BOM'!$F$5:$F$160,'菜谱BOM'!$A$5:$A$160,E570,'菜谱BOM'!$C$5:$C$160,"食材")</x:f>
        <x:v>505</x:v>
      </x:c>
      <x:c r="K570" s="38" t="n">
        <x:v>-0.005271376199385006</x:v>
      </x:c>
      <x:c r="L570" s="35" t="n">
        <x:f>H570*J570*(1+K570)</x:f>
        <x:v>19088.842290733803</x:v>
      </x:c>
      <x:c r="M570" s="35" t="n">
        <x:f>SUMIFS('菜谱BOM'!$F$5:$F$160,'菜谱BOM'!$A$5:$A$160,E570,'菜谱BOM'!$C$5:$C$160,"调料")</x:f>
        <x:v>90</x:v>
      </x:c>
      <x:c r="N570" s="38" t="n">
        <x:v>0.0006082380932309288</x:v>
      </x:c>
      <x:c r="O570" s="35" t="n">
        <x:f>H570*M570*(1+N570)</x:f>
        <x:v>3422.0801742788494</x:v>
      </x:c>
      <x:c r="P570" s="19" t="str">
        <x:f>IF(ABS(N570)&gt;'封面与口径'!$O$25,"机器调料需复核",IF(ABS(K570)&gt;0.02,"人工称重需复核","正常"))</x:f>
        <x:v>正常</x:v>
      </x:c>
      <x:c r="Q570" s="19" t="str">
        <x:v>黄俊</x:v>
      </x:c>
    </x:row>
    <x:row r="571">
      <x:c r="A571" s="19" t="str">
        <x:v>2026-07-12|S05|D07</x:v>
      </x:c>
      <x:c r="B571" s="34" t="n">
        <x:v>46215.5</x:v>
      </x:c>
      <x:c r="C571" s="19" t="str">
        <x:v>S05</x:v>
      </x:c>
      <x:c r="D571" s="19" t="str">
        <x:v>同顺街店</x:v>
      </x:c>
      <x:c r="E571" s="19" t="str">
        <x:v>D07</x:v>
      </x:c>
      <x:c r="F571" s="19" t="str">
        <x:v>川味回锅肉</x:v>
      </x:c>
      <x:c r="G571" s="19" t="str">
        <x:v>R1.0</x:v>
      </x:c>
      <x:c r="H571" s="20" t="n">
        <x:f>XLOOKUP(A571,'菜品日销量'!$A$5:$A$1124,'菜品日销量'!$G$5:$G$1124,0)</x:f>
        <x:v>12</x:v>
      </x:c>
      <x:c r="I571" s="20" t="n">
        <x:f>ROUNDUP(H571/2,0)</x:f>
        <x:v>6</x:v>
      </x:c>
      <x:c r="J571" s="22" t="n">
        <x:f>SUMIFS('菜谱BOM'!$F$5:$F$160,'菜谱BOM'!$A$5:$A$160,E571,'菜谱BOM'!$C$5:$C$160,"食材")</x:f>
        <x:v>450</x:v>
      </x:c>
      <x:c r="K571" s="38" t="n">
        <x:v>-0.0008251795901044226</x:v>
      </x:c>
      <x:c r="L571" s="35" t="n">
        <x:f>H571*J571*(1+K571)</x:f>
        <x:v>5395.544030213436</x:v>
      </x:c>
      <x:c r="M571" s="35" t="n">
        <x:f>SUMIFS('菜谱BOM'!$F$5:$F$160,'菜谱BOM'!$A$5:$A$160,E571,'菜谱BOM'!$C$5:$C$160,"调料")</x:f>
        <x:v>63</x:v>
      </x:c>
      <x:c r="N571" s="38" t="n">
        <x:v>0.0006096802406501212</x:v>
      </x:c>
      <x:c r="O571" s="35" t="n">
        <x:f>H571*M571*(1+N571)</x:f>
        <x:v>756.4609182619315</x:v>
      </x:c>
      <x:c r="P571" s="19" t="str">
        <x:f>IF(ABS(N571)&gt;'封面与口径'!$O$25,"机器调料需复核",IF(ABS(K571)&gt;0.02,"人工称重需复核","正常"))</x:f>
        <x:v>正常</x:v>
      </x:c>
      <x:c r="Q571" s="19" t="str">
        <x:v>黄俊</x:v>
      </x:c>
    </x:row>
    <x:row r="572">
      <x:c r="A572" s="19" t="str">
        <x:v>2026-07-12|S05|D08</x:v>
      </x:c>
      <x:c r="B572" s="34" t="n">
        <x:v>46215.5</x:v>
      </x:c>
      <x:c r="C572" s="19" t="str">
        <x:v>S05</x:v>
      </x:c>
      <x:c r="D572" s="19" t="str">
        <x:v>同顺街店</x:v>
      </x:c>
      <x:c r="E572" s="19" t="str">
        <x:v>D08</x:v>
      </x:c>
      <x:c r="F572" s="19" t="str">
        <x:v>生炒清远鸡</x:v>
      </x:c>
      <x:c r="G572" s="19" t="str">
        <x:v>R1.0</x:v>
      </x:c>
      <x:c r="H572" s="20" t="n">
        <x:f>XLOOKUP(A572,'菜品日销量'!$A$5:$A$1124,'菜品日销量'!$G$5:$G$1124,0)</x:f>
        <x:v>8</x:v>
      </x:c>
      <x:c r="I572" s="20" t="n">
        <x:f>ROUNDUP(H572/2,0)</x:f>
        <x:v>4</x:v>
      </x:c>
      <x:c r="J572" s="22" t="n">
        <x:f>SUMIFS('菜谱BOM'!$F$5:$F$160,'菜谱BOM'!$A$5:$A$160,E572,'菜谱BOM'!$C$5:$C$160,"食材")</x:f>
        <x:v>610</x:v>
      </x:c>
      <x:c r="K572" s="38" t="n">
        <x:v>-0.004437506484900953</x:v>
      </x:c>
      <x:c r="L572" s="35" t="n">
        <x:f>H572*J572*(1+K572)</x:f>
        <x:v>4858.344968353684</x:v>
      </x:c>
      <x:c r="M572" s="35" t="n">
        <x:f>SUMIFS('菜谱BOM'!$F$5:$F$160,'菜谱BOM'!$A$5:$A$160,E572,'菜谱BOM'!$C$5:$C$160,"调料")</x:f>
        <x:v>61</x:v>
      </x:c>
      <x:c r="N572" s="38" t="n">
        <x:v>-0.0019080787244970163</x:v>
      </x:c>
      <x:c r="O572" s="35" t="n">
        <x:f>H572*M572*(1+N572)</x:f>
        <x:v>487.06885758244545</x:v>
      </x:c>
      <x:c r="P572" s="19" t="str">
        <x:f>IF(ABS(N572)&gt;'封面与口径'!$O$25,"机器调料需复核",IF(ABS(K572)&gt;0.02,"人工称重需复核","正常"))</x:f>
        <x:v>正常</x:v>
      </x:c>
      <x:c r="Q572" s="19" t="str">
        <x:v>黄俊</x:v>
      </x:c>
    </x:row>
    <x:row r="573">
      <x:c r="A573" s="19" t="str">
        <x:v>2026-07-12|S05|D09</x:v>
      </x:c>
      <x:c r="B573" s="34" t="n">
        <x:v>46215.5</x:v>
      </x:c>
      <x:c r="C573" s="19" t="str">
        <x:v>S05</x:v>
      </x:c>
      <x:c r="D573" s="19" t="str">
        <x:v>同顺街店</x:v>
      </x:c>
      <x:c r="E573" s="19" t="str">
        <x:v>D09</x:v>
      </x:c>
      <x:c r="F573" s="19" t="str">
        <x:v>炒豆干</x:v>
      </x:c>
      <x:c r="G573" s="19" t="str">
        <x:v>R1.0</x:v>
      </x:c>
      <x:c r="H573" s="20" t="n">
        <x:f>XLOOKUP(A573,'菜品日销量'!$A$5:$A$1124,'菜品日销量'!$G$5:$G$1124,0)</x:f>
        <x:v>12</x:v>
      </x:c>
      <x:c r="I573" s="20" t="n">
        <x:f>ROUNDUP(H573/2,0)</x:f>
        <x:v>6</x:v>
      </x:c>
      <x:c r="J573" s="22" t="n">
        <x:f>SUMIFS('菜谱BOM'!$F$5:$F$160,'菜谱BOM'!$A$5:$A$160,E573,'菜谱BOM'!$C$5:$C$160,"食材")</x:f>
        <x:v>520</x:v>
      </x:c>
      <x:c r="K573" s="38" t="n">
        <x:v>-0.006484695575778535</x:v>
      </x:c>
      <x:c r="L573" s="35" t="n">
        <x:f>H573*J573*(1+K573)</x:f>
        <x:v>6199.535499607142</x:v>
      </x:c>
      <x:c r="M573" s="35" t="n">
        <x:f>SUMIFS('菜谱BOM'!$F$5:$F$160,'菜谱BOM'!$A$5:$A$160,E573,'菜谱BOM'!$C$5:$C$160,"调料")</x:f>
        <x:v>42</x:v>
      </x:c>
      <x:c r="N573" s="38" t="n">
        <x:v>0.0014831782540965777</x:v>
      </x:c>
      <x:c r="O573" s="35" t="n">
        <x:f>H573*M573*(1+N573)</x:f>
        <x:v>504.7475218400646</x:v>
      </x:c>
      <x:c r="P573" s="19" t="str">
        <x:f>IF(ABS(N573)&gt;'封面与口径'!$O$25,"机器调料需复核",IF(ABS(K573)&gt;0.02,"人工称重需复核","正常"))</x:f>
        <x:v>正常</x:v>
      </x:c>
      <x:c r="Q573" s="19" t="str">
        <x:v>黄俊</x:v>
      </x:c>
    </x:row>
    <x:row r="574">
      <x:c r="A574" s="19" t="str">
        <x:v>2026-07-12|S05|D10</x:v>
      </x:c>
      <x:c r="B574" s="34" t="n">
        <x:v>46215.5</x:v>
      </x:c>
      <x:c r="C574" s="19" t="str">
        <x:v>S05</x:v>
      </x:c>
      <x:c r="D574" s="19" t="str">
        <x:v>同顺街店</x:v>
      </x:c>
      <x:c r="E574" s="19" t="str">
        <x:v>D10</x:v>
      </x:c>
      <x:c r="F574" s="19" t="str">
        <x:v>农家一碗香</x:v>
      </x:c>
      <x:c r="G574" s="19" t="str">
        <x:v>R2.3</x:v>
      </x:c>
      <x:c r="H574" s="20" t="n">
        <x:f>XLOOKUP(A574,'菜品日销量'!$A$5:$A$1124,'菜品日销量'!$G$5:$G$1124,0)</x:f>
        <x:v>13</x:v>
      </x:c>
      <x:c r="I574" s="20" t="n">
        <x:f>ROUNDUP(H574/2,0)</x:f>
        <x:v>7</x:v>
      </x:c>
      <x:c r="J574" s="22" t="n">
        <x:f>SUMIFS('菜谱BOM'!$F$5:$F$160,'菜谱BOM'!$A$5:$A$160,E574,'菜谱BOM'!$C$5:$C$160,"食材")</x:f>
        <x:v>510</x:v>
      </x:c>
      <x:c r="K574" s="38" t="n">
        <x:v>0.005718632835363652</x:v>
      </x:c>
      <x:c r="L574" s="35" t="n">
        <x:f>H574*J574*(1+K574)</x:f>
        <x:v>6667.91453569846</x:v>
      </x:c>
      <x:c r="M574" s="35" t="n">
        <x:f>SUMIFS('菜谱BOM'!$F$5:$F$160,'菜谱BOM'!$A$5:$A$160,E574,'菜谱BOM'!$C$5:$C$160,"调料")</x:f>
        <x:v>88</x:v>
      </x:c>
      <x:c r="N574" s="38" t="n">
        <x:v>0.0001448975927533809</x:v>
      </x:c>
      <x:c r="O574" s="35" t="n">
        <x:f>H574*M574*(1+N574)</x:f>
        <x:v>1144.1657628461098</x:v>
      </x:c>
      <x:c r="P574" s="19" t="str">
        <x:f>IF(ABS(N574)&gt;'封面与口径'!$O$25,"机器调料需复核",IF(ABS(K574)&gt;0.02,"人工称重需复核","正常"))</x:f>
        <x:v>正常</x:v>
      </x:c>
      <x:c r="Q574" s="19" t="str">
        <x:v>黄俊</x:v>
      </x:c>
    </x:row>
    <x:row r="575">
      <x:c r="A575" s="19" t="str">
        <x:v>2026-07-12|S05|D11</x:v>
      </x:c>
      <x:c r="B575" s="34" t="n">
        <x:v>46215.5</x:v>
      </x:c>
      <x:c r="C575" s="19" t="str">
        <x:v>S05</x:v>
      </x:c>
      <x:c r="D575" s="19" t="str">
        <x:v>同顺街店</x:v>
      </x:c>
      <x:c r="E575" s="19" t="str">
        <x:v>D11</x:v>
      </x:c>
      <x:c r="F575" s="19" t="str">
        <x:v>香辣爆肥肠</x:v>
      </x:c>
      <x:c r="G575" s="19" t="str">
        <x:v>R1.0</x:v>
      </x:c>
      <x:c r="H575" s="20" t="n">
        <x:f>XLOOKUP(A575,'菜品日销量'!$A$5:$A$1124,'菜品日销量'!$G$5:$G$1124,0)</x:f>
        <x:v>5</x:v>
      </x:c>
      <x:c r="I575" s="20" t="n">
        <x:f>ROUNDUP(H575/2,0)</x:f>
        <x:v>3</x:v>
      </x:c>
      <x:c r="J575" s="22" t="n">
        <x:f>SUMIFS('菜谱BOM'!$F$5:$F$160,'菜谱BOM'!$A$5:$A$160,E575,'菜谱BOM'!$C$5:$C$160,"食材")</x:f>
        <x:v>430</x:v>
      </x:c>
      <x:c r="K575" s="38" t="n">
        <x:v>-0.0076976911238622134</x:v>
      </x:c>
      <x:c r="L575" s="35" t="n">
        <x:f>H575*J575*(1+K575)</x:f>
        <x:v>2133.449964083696</x:v>
      </x:c>
      <x:c r="M575" s="35" t="n">
        <x:f>SUMIFS('菜谱BOM'!$F$5:$F$160,'菜谱BOM'!$A$5:$A$160,E575,'菜谱BOM'!$C$5:$C$160,"调料")</x:f>
        <x:v>67</x:v>
      </x:c>
      <x:c r="N575" s="38" t="n">
        <x:v>0.0012466719232608265</x:v>
      </x:c>
      <x:c r="O575" s="35" t="n">
        <x:f>H575*M575*(1+N575)</x:f>
        <x:v>335.4176350942924</x:v>
      </x:c>
      <x:c r="P575" s="19" t="str">
        <x:f>IF(ABS(N575)&gt;'封面与口径'!$O$25,"机器调料需复核",IF(ABS(K575)&gt;0.02,"人工称重需复核","正常"))</x:f>
        <x:v>正常</x:v>
      </x:c>
      <x:c r="Q575" s="19" t="str">
        <x:v>黄俊</x:v>
      </x:c>
    </x:row>
    <x:row r="576">
      <x:c r="A576" s="19" t="str">
        <x:v>2026-07-12|S05|D13</x:v>
      </x:c>
      <x:c r="B576" s="34" t="n">
        <x:v>46215.5</x:v>
      </x:c>
      <x:c r="C576" s="19" t="str">
        <x:v>S05</x:v>
      </x:c>
      <x:c r="D576" s="19" t="str">
        <x:v>同顺街店</x:v>
      </x:c>
      <x:c r="E576" s="19" t="str">
        <x:v>D13</x:v>
      </x:c>
      <x:c r="F576" s="19" t="str">
        <x:v>外婆菜炒蛋</x:v>
      </x:c>
      <x:c r="G576" s="19" t="str">
        <x:v>R1.0</x:v>
      </x:c>
      <x:c r="H576" s="20" t="n">
        <x:f>XLOOKUP(A576,'菜品日销量'!$A$5:$A$1124,'菜品日销量'!$G$5:$G$1124,0)</x:f>
        <x:v>11</x:v>
      </x:c>
      <x:c r="I576" s="20" t="n">
        <x:f>ROUNDUP(H576/2,0)</x:f>
        <x:v>6</x:v>
      </x:c>
      <x:c r="J576" s="22" t="n">
        <x:f>SUMIFS('菜谱BOM'!$F$5:$F$160,'菜谱BOM'!$A$5:$A$160,E576,'菜谱BOM'!$C$5:$C$160,"食材")</x:f>
        <x:v>450</x:v>
      </x:c>
      <x:c r="K576" s="38" t="n">
        <x:v>-0.0038594031361535663</x:v>
      </x:c>
      <x:c r="L576" s="35" t="n">
        <x:f>H576*J576*(1+K576)</x:f>
        <x:v>4930.89595447604</x:v>
      </x:c>
      <x:c r="M576" s="35" t="n">
        <x:f>SUMIFS('菜谱BOM'!$F$5:$F$160,'菜谱BOM'!$A$5:$A$160,E576,'菜谱BOM'!$C$5:$C$160,"调料")</x:f>
        <x:v>37</x:v>
      </x:c>
      <x:c r="N576" s="38" t="n">
        <x:v>-0.001205600386300497</x:v>
      </x:c>
      <x:c r="O576" s="35" t="n">
        <x:f>H576*M576*(1+N576)</x:f>
        <x:v>406.5093206427757</x:v>
      </x:c>
      <x:c r="P576" s="19" t="str">
        <x:f>IF(ABS(N576)&gt;'封面与口径'!$O$25,"机器调料需复核",IF(ABS(K576)&gt;0.02,"人工称重需复核","正常"))</x:f>
        <x:v>正常</x:v>
      </x:c>
      <x:c r="Q576" s="19" t="str">
        <x:v>黄俊</x:v>
      </x:c>
    </x:row>
    <x:row r="577">
      <x:c r="A577" s="19" t="str">
        <x:v>2026-07-12|S05|D14</x:v>
      </x:c>
      <x:c r="B577" s="34" t="n">
        <x:v>46215.5</x:v>
      </x:c>
      <x:c r="C577" s="19" t="str">
        <x:v>S05</x:v>
      </x:c>
      <x:c r="D577" s="19" t="str">
        <x:v>同顺街店</x:v>
      </x:c>
      <x:c r="E577" s="19" t="str">
        <x:v>D14</x:v>
      </x:c>
      <x:c r="F577" s="19" t="str">
        <x:v>酸辣鸡杂</x:v>
      </x:c>
      <x:c r="G577" s="19" t="str">
        <x:v>R1.0</x:v>
      </x:c>
      <x:c r="H577" s="20" t="n">
        <x:f>XLOOKUP(A577,'菜品日销量'!$A$5:$A$1124,'菜品日销量'!$G$5:$G$1124,0)</x:f>
        <x:v>6</x:v>
      </x:c>
      <x:c r="I577" s="20" t="n">
        <x:f>ROUNDUP(H577/2,0)</x:f>
        <x:v>3</x:v>
      </x:c>
      <x:c r="J577" s="22" t="n">
        <x:f>SUMIFS('菜谱BOM'!$F$5:$F$160,'菜谱BOM'!$A$5:$A$160,E577,'菜谱BOM'!$C$5:$C$160,"食材")</x:f>
        <x:v>470</x:v>
      </x:c>
      <x:c r="K577" s="38" t="n">
        <x:v>0.00301030424493605</x:v>
      </x:c>
      <x:c r="L577" s="35" t="n">
        <x:f>H577*J577*(1+K577)</x:f>
        <x:v>2828.48905797072</x:v>
      </x:c>
      <x:c r="M577" s="35" t="n">
        <x:f>SUMIFS('菜谱BOM'!$F$5:$F$160,'菜谱BOM'!$A$5:$A$160,E577,'菜谱BOM'!$C$5:$C$160,"调料")</x:f>
        <x:v>60</x:v>
      </x:c>
      <x:c r="N577" s="38" t="n">
        <x:v>0.001981674397359992</x:v>
      </x:c>
      <x:c r="O577" s="35" t="n">
        <x:f>H577*M577*(1+N577)</x:f>
        <x:v>360.71340278304956</x:v>
      </x:c>
      <x:c r="P577" s="19" t="str">
        <x:f>IF(ABS(N577)&gt;'封面与口径'!$O$25,"机器调料需复核",IF(ABS(K577)&gt;0.02,"人工称重需复核","正常"))</x:f>
        <x:v>正常</x:v>
      </x:c>
      <x:c r="Q577" s="19" t="str">
        <x:v>黄俊</x:v>
      </x:c>
    </x:row>
    <x:row r="578">
      <x:c r="A578" s="19" t="str">
        <x:v>2026-07-12|S05|D15</x:v>
      </x:c>
      <x:c r="B578" s="34" t="n">
        <x:v>46215.5</x:v>
      </x:c>
      <x:c r="C578" s="19" t="str">
        <x:v>S05</x:v>
      </x:c>
      <x:c r="D578" s="19" t="str">
        <x:v>同顺街店</x:v>
      </x:c>
      <x:c r="E578" s="19" t="str">
        <x:v>D15</x:v>
      </x:c>
      <x:c r="F578" s="19" t="str">
        <x:v>湘西土匪猪肝</x:v>
      </x:c>
      <x:c r="G578" s="19" t="str">
        <x:v>R1.0</x:v>
      </x:c>
      <x:c r="H578" s="20" t="n">
        <x:f>XLOOKUP(A578,'菜品日销量'!$A$5:$A$1124,'菜品日销量'!$G$5:$G$1124,0)</x:f>
        <x:v>5</x:v>
      </x:c>
      <x:c r="I578" s="20" t="n">
        <x:f>ROUNDUP(H578/2,0)</x:f>
        <x:v>3</x:v>
      </x:c>
      <x:c r="J578" s="22" t="n">
        <x:f>SUMIFS('菜谱BOM'!$F$5:$F$160,'菜谱BOM'!$A$5:$A$160,E578,'菜谱BOM'!$C$5:$C$160,"食材")</x:f>
        <x:v>470</x:v>
      </x:c>
      <x:c r="K578" s="38" t="n">
        <x:v>-0.00487423243673384</x:v>
      </x:c>
      <x:c r="L578" s="35" t="n">
        <x:f>H578*J578*(1+K578)</x:f>
        <x:v>2338.5455537736757</x:v>
      </x:c>
      <x:c r="M578" s="35" t="n">
        <x:f>SUMIFS('菜谱BOM'!$F$5:$F$160,'菜谱BOM'!$A$5:$A$160,E578,'菜谱BOM'!$C$5:$C$160,"调料")</x:f>
        <x:v>49</x:v>
      </x:c>
      <x:c r="N578" s="38" t="n">
        <x:v>-0.0012082345595602494</x:v>
      </x:c>
      <x:c r="O578" s="35" t="n">
        <x:f>H578*M578*(1+N578)</x:f>
        <x:v>244.70398253290776</x:v>
      </x:c>
      <x:c r="P578" s="19" t="str">
        <x:f>IF(ABS(N578)&gt;'封面与口径'!$O$25,"机器调料需复核",IF(ABS(K578)&gt;0.02,"人工称重需复核","正常"))</x:f>
        <x:v>正常</x:v>
      </x:c>
      <x:c r="Q578" s="19" t="str">
        <x:v>黄俊</x:v>
      </x:c>
    </x:row>
    <x:row r="579">
      <x:c r="A579" s="19" t="str">
        <x:v>2026-07-12|S05|D16</x:v>
      </x:c>
      <x:c r="B579" s="34" t="n">
        <x:v>46215.5</x:v>
      </x:c>
      <x:c r="C579" s="19" t="str">
        <x:v>S05</x:v>
      </x:c>
      <x:c r="D579" s="19" t="str">
        <x:v>同顺街店</x:v>
      </x:c>
      <x:c r="E579" s="19" t="str">
        <x:v>D16</x:v>
      </x:c>
      <x:c r="F579" s="19" t="str">
        <x:v>小豆角炒五花</x:v>
      </x:c>
      <x:c r="G579" s="19" t="str">
        <x:v>R1.0</x:v>
      </x:c>
      <x:c r="H579" s="20" t="n">
        <x:f>XLOOKUP(A579,'菜品日销量'!$A$5:$A$1124,'菜品日销量'!$G$5:$G$1124,0)</x:f>
        <x:v>5</x:v>
      </x:c>
      <x:c r="I579" s="20" t="n">
        <x:f>ROUNDUP(H579/2,0)</x:f>
        <x:v>3</x:v>
      </x:c>
      <x:c r="J579" s="22" t="n">
        <x:f>SUMIFS('菜谱BOM'!$F$5:$F$160,'菜谱BOM'!$A$5:$A$160,E579,'菜谱BOM'!$C$5:$C$160,"食材")</x:f>
        <x:v>450</x:v>
      </x:c>
      <x:c r="K579" s="38" t="n">
        <x:v>0.006765117864768282</x:v>
      </x:c>
      <x:c r="L579" s="35" t="n">
        <x:f>H579*J579*(1+K579)</x:f>
        <x:v>2265.221515195729</x:v>
      </x:c>
      <x:c r="M579" s="35" t="n">
        <x:f>SUMIFS('菜谱BOM'!$F$5:$F$160,'菜谱BOM'!$A$5:$A$160,E579,'菜谱BOM'!$C$5:$C$160,"调料")</x:f>
        <x:v>42</x:v>
      </x:c>
      <x:c r="N579" s="38" t="n">
        <x:v>-0.00013112667625097708</x:v>
      </x:c>
      <x:c r="O579" s="35" t="n">
        <x:f>H579*M579*(1+N579)</x:f>
        <x:v>209.9724633979873</x:v>
      </x:c>
      <x:c r="P579" s="19" t="str">
        <x:f>IF(ABS(N579)&gt;'封面与口径'!$O$25,"机器调料需复核",IF(ABS(K579)&gt;0.02,"人工称重需复核","正常"))</x:f>
        <x:v>正常</x:v>
      </x:c>
      <x:c r="Q579" s="19" t="str">
        <x:v>黄俊</x:v>
      </x:c>
    </x:row>
    <x:row r="580">
      <x:c r="A580" s="19" t="str">
        <x:v>2026-07-12|S05|D18</x:v>
      </x:c>
      <x:c r="B580" s="34" t="n">
        <x:v>46215.5</x:v>
      </x:c>
      <x:c r="C580" s="19" t="str">
        <x:v>S05</x:v>
      </x:c>
      <x:c r="D580" s="19" t="str">
        <x:v>同顺街店</x:v>
      </x:c>
      <x:c r="E580" s="19" t="str">
        <x:v>D18</x:v>
      </x:c>
      <x:c r="F580" s="19" t="str">
        <x:v>青椒炒油麦菜</x:v>
      </x:c>
      <x:c r="G580" s="19" t="str">
        <x:v>R1.0</x:v>
      </x:c>
      <x:c r="H580" s="20" t="n">
        <x:f>XLOOKUP(A580,'菜品日销量'!$A$5:$A$1124,'菜品日销量'!$G$5:$G$1124,0)</x:f>
        <x:v>6</x:v>
      </x:c>
      <x:c r="I580" s="20" t="n">
        <x:f>ROUNDUP(H580/2,0)</x:f>
        <x:v>3</x:v>
      </x:c>
      <x:c r="J580" s="22" t="n">
        <x:f>SUMIFS('菜谱BOM'!$F$5:$F$160,'菜谱BOM'!$A$5:$A$160,E580,'菜谱BOM'!$C$5:$C$160,"食材")</x:f>
        <x:v>430</x:v>
      </x:c>
      <x:c r="K580" s="38" t="n">
        <x:v>0.0042316864608395125</x:v>
      </x:c>
      <x:c r="L580" s="35" t="n">
        <x:f>H580*J580*(1+K580)</x:f>
        <x:v>2590.917751068966</x:v>
      </x:c>
      <x:c r="M580" s="35" t="n">
        <x:f>SUMIFS('菜谱BOM'!$F$5:$F$160,'菜谱BOM'!$A$5:$A$160,E580,'菜谱BOM'!$C$5:$C$160,"调料")</x:f>
        <x:v>33</x:v>
      </x:c>
      <x:c r="N580" s="38" t="n">
        <x:v>0.0009178771131946419</x:v>
      </x:c>
      <x:c r="O580" s="35" t="n">
        <x:f>H580*M580*(1+N580)</x:f>
        <x:v>198.18173966841252</x:v>
      </x:c>
      <x:c r="P580" s="19" t="str">
        <x:f>IF(ABS(N580)&gt;'封面与口径'!$O$25,"机器调料需复核",IF(ABS(K580)&gt;0.02,"人工称重需复核","正常"))</x:f>
        <x:v>正常</x:v>
      </x:c>
      <x:c r="Q580" s="19" t="str">
        <x:v>黄俊</x:v>
      </x:c>
    </x:row>
    <x:row r="581">
      <x:c r="A581" s="19" t="str">
        <x:v>2026-07-12|S05|D19</x:v>
      </x:c>
      <x:c r="B581" s="34" t="n">
        <x:v>46215.5</x:v>
      </x:c>
      <x:c r="C581" s="19" t="str">
        <x:v>S05</x:v>
      </x:c>
      <x:c r="D581" s="19" t="str">
        <x:v>同顺街店</x:v>
      </x:c>
      <x:c r="E581" s="19" t="str">
        <x:v>D19</x:v>
      </x:c>
      <x:c r="F581" s="19" t="str">
        <x:v>酸萝卜炒鸡杂</x:v>
      </x:c>
      <x:c r="G581" s="19" t="str">
        <x:v>R1.0</x:v>
      </x:c>
      <x:c r="H581" s="20" t="n">
        <x:f>XLOOKUP(A581,'菜品日销量'!$A$5:$A$1124,'菜品日销量'!$G$5:$G$1124,0)</x:f>
        <x:v>4</x:v>
      </x:c>
      <x:c r="I581" s="20" t="n">
        <x:f>ROUNDUP(H581/2,0)</x:f>
        <x:v>2</x:v>
      </x:c>
      <x:c r="J581" s="22" t="n">
        <x:f>SUMIFS('菜谱BOM'!$F$5:$F$160,'菜谱BOM'!$A$5:$A$160,E581,'菜谱BOM'!$C$5:$C$160,"食材")</x:f>
        <x:v>500</x:v>
      </x:c>
      <x:c r="K581" s="38" t="n">
        <x:v>0.006335998706132173</x:v>
      </x:c>
      <x:c r="L581" s="35" t="n">
        <x:f>H581*J581*(1+K581)</x:f>
        <x:v>2012.6719974122645</x:v>
      </x:c>
      <x:c r="M581" s="35" t="n">
        <x:f>SUMIFS('菜谱BOM'!$F$5:$F$160,'菜谱BOM'!$A$5:$A$160,E581,'菜谱BOM'!$C$5:$C$160,"调料")</x:f>
        <x:v>55</x:v>
      </x:c>
      <x:c r="N581" s="38" t="n">
        <x:v>0.00043635693249207867</x:v>
      </x:c>
      <x:c r="O581" s="35" t="n">
        <x:f>H581*M581*(1+N581)</x:f>
        <x:v>220.09599852514827</x:v>
      </x:c>
      <x:c r="P581" s="19" t="str">
        <x:f>IF(ABS(N581)&gt;'封面与口径'!$O$25,"机器调料需复核",IF(ABS(K581)&gt;0.02,"人工称重需复核","正常"))</x:f>
        <x:v>正常</x:v>
      </x:c>
      <x:c r="Q581" s="19" t="str">
        <x:v>黄俊</x:v>
      </x:c>
    </x:row>
    <x:row r="582">
      <x:c r="A582" s="19" t="str">
        <x:v>2026-07-12|S05|D20</x:v>
      </x:c>
      <x:c r="B582" s="34" t="n">
        <x:v>46215.5</x:v>
      </x:c>
      <x:c r="C582" s="19" t="str">
        <x:v>S05</x:v>
      </x:c>
      <x:c r="D582" s="19" t="str">
        <x:v>同顺街店</x:v>
      </x:c>
      <x:c r="E582" s="19" t="str">
        <x:v>D20</x:v>
      </x:c>
      <x:c r="F582" s="19" t="str">
        <x:v>雪菜肉末青豆</x:v>
      </x:c>
      <x:c r="G582" s="19" t="str">
        <x:v>R1.0</x:v>
      </x:c>
      <x:c r="H582" s="20" t="n">
        <x:f>XLOOKUP(A582,'菜品日销量'!$A$5:$A$1124,'菜品日销量'!$G$5:$G$1124,0)</x:f>
        <x:v>6</x:v>
      </x:c>
      <x:c r="I582" s="20" t="n">
        <x:f>ROUNDUP(H582/2,0)</x:f>
        <x:v>3</x:v>
      </x:c>
      <x:c r="J582" s="22" t="n">
        <x:f>SUMIFS('菜谱BOM'!$F$5:$F$160,'菜谱BOM'!$A$5:$A$160,E582,'菜谱BOM'!$C$5:$C$160,"食材")</x:f>
        <x:v>465</x:v>
      </x:c>
      <x:c r="K582" s="38" t="n">
        <x:v>-0.004390256489717927</x:v>
      </x:c>
      <x:c r="L582" s="35" t="n">
        <x:f>H582*J582*(1+K582)</x:f>
        <x:v>2777.751184393687</x:v>
      </x:c>
      <x:c r="M582" s="35" t="n">
        <x:f>SUMIFS('菜谱BOM'!$F$5:$F$160,'菜谱BOM'!$A$5:$A$160,E582,'菜谱BOM'!$C$5:$C$160,"调料")</x:f>
        <x:v>32</x:v>
      </x:c>
      <x:c r="N582" s="38" t="n">
        <x:v>-0.001663010205995061</x:v>
      </x:c>
      <x:c r="O582" s="35" t="n">
        <x:f>H582*M582*(1+N582)</x:f>
        <x:v>191.68070204044895</x:v>
      </x:c>
      <x:c r="P582" s="19" t="str">
        <x:f>IF(ABS(N582)&gt;'封面与口径'!$O$25,"机器调料需复核",IF(ABS(K582)&gt;0.02,"人工称重需复核","正常"))</x:f>
        <x:v>正常</x:v>
      </x:c>
      <x:c r="Q582" s="19" t="str">
        <x:v>黄俊</x:v>
      </x:c>
    </x:row>
    <x:row r="583">
      <x:c r="A583" s="19" t="str">
        <x:v>2026-07-13|S05|D01</x:v>
      </x:c>
      <x:c r="B583" s="34" t="n">
        <x:v>46216.5</x:v>
      </x:c>
      <x:c r="C583" s="19" t="str">
        <x:v>S05</x:v>
      </x:c>
      <x:c r="D583" s="19" t="str">
        <x:v>同顺街店</x:v>
      </x:c>
      <x:c r="E583" s="19" t="str">
        <x:v>D01</x:v>
      </x:c>
      <x:c r="F583" s="19" t="str">
        <x:v>辣椒炒肉</x:v>
      </x:c>
      <x:c r="G583" s="19" t="str">
        <x:v>R2.3</x:v>
      </x:c>
      <x:c r="H583" s="20" t="n">
        <x:f>XLOOKUP(A583,'菜品日销量'!$A$5:$A$1124,'菜品日销量'!$G$5:$G$1124,0)</x:f>
        <x:v>55</x:v>
      </x:c>
      <x:c r="I583" s="20" t="n">
        <x:f>ROUNDUP(H583/2,0)</x:f>
        <x:v>28</x:v>
      </x:c>
      <x:c r="J583" s="22" t="n">
        <x:f>SUMIFS('菜谱BOM'!$F$5:$F$160,'菜谱BOM'!$A$5:$A$160,E583,'菜谱BOM'!$C$5:$C$160,"食材")</x:f>
        <x:v>550</x:v>
      </x:c>
      <x:c r="K583" s="38" t="n">
        <x:v>0.004437298311953736</x:v>
      </x:c>
      <x:c r="L583" s="35" t="n">
        <x:f>H583*J583*(1+K583)</x:f>
        <x:v>30384.228273936602</x:v>
      </x:c>
      <x:c r="M583" s="35" t="n">
        <x:f>SUMIFS('菜谱BOM'!$F$5:$F$160,'菜谱BOM'!$A$5:$A$160,E583,'菜谱BOM'!$C$5:$C$160,"调料")</x:f>
        <x:v>104</x:v>
      </x:c>
      <x:c r="N583" s="38" t="n">
        <x:v>0.0005528061898781003</x:v>
      </x:c>
      <x:c r="O583" s="35" t="n">
        <x:f>H583*M583*(1+N583)</x:f>
        <x:v>5723.162051406102</x:v>
      </x:c>
      <x:c r="P583" s="19" t="str">
        <x:f>IF(ABS(N583)&gt;'封面与口径'!$O$25,"机器调料需复核",IF(ABS(K583)&gt;0.02,"人工称重需复核","正常"))</x:f>
        <x:v>正常</x:v>
      </x:c>
      <x:c r="Q583" s="19" t="str">
        <x:v>黄俊</x:v>
      </x:c>
    </x:row>
    <x:row r="584">
      <x:c r="A584" s="19" t="str">
        <x:v>2026-07-13|S05|D02</x:v>
      </x:c>
      <x:c r="B584" s="34" t="n">
        <x:v>46216.5</x:v>
      </x:c>
      <x:c r="C584" s="19" t="str">
        <x:v>S05</x:v>
      </x:c>
      <x:c r="D584" s="19" t="str">
        <x:v>同顺街店</x:v>
      </x:c>
      <x:c r="E584" s="19" t="str">
        <x:v>D02</x:v>
      </x:c>
      <x:c r="F584" s="19" t="str">
        <x:v>小炒黄牛肉</x:v>
      </x:c>
      <x:c r="G584" s="19" t="str">
        <x:v>R2.3</x:v>
      </x:c>
      <x:c r="H584" s="20" t="n">
        <x:f>XLOOKUP(A584,'菜品日销量'!$A$5:$A$1124,'菜品日销量'!$G$5:$G$1124,0)</x:f>
        <x:v>37</x:v>
      </x:c>
      <x:c r="I584" s="20" t="n">
        <x:f>ROUNDUP(H584/2,0)</x:f>
        <x:v>19</x:v>
      </x:c>
      <x:c r="J584" s="22" t="n">
        <x:f>SUMIFS('菜谱BOM'!$F$5:$F$160,'菜谱BOM'!$A$5:$A$160,E584,'菜谱BOM'!$C$5:$C$160,"食材")</x:f>
        <x:v>560</x:v>
      </x:c>
      <x:c r="K584" s="38" t="n">
        <x:v>0.0018997823917073617</x:v>
      </x:c>
      <x:c r="L584" s="35" t="n">
        <x:f>H584*J584*(1+K584)</x:f>
        <x:v>20759.363491156175</x:v>
      </x:c>
      <x:c r="M584" s="35" t="n">
        <x:f>SUMIFS('菜谱BOM'!$F$5:$F$160,'菜谱BOM'!$A$5:$A$160,E584,'菜谱BOM'!$C$5:$C$160,"调料")</x:f>
        <x:v>133</x:v>
      </x:c>
      <x:c r="N584" s="38" t="n">
        <x:v>-0.0005623942228412242</x:v>
      </x:c>
      <x:c r="O584" s="35" t="n">
        <x:f>H584*M584*(1+N584)</x:f>
        <x:v>4918.232458029398</x:v>
      </x:c>
      <x:c r="P584" s="19" t="str">
        <x:f>IF(ABS(N584)&gt;'封面与口径'!$O$25,"机器调料需复核",IF(ABS(K584)&gt;0.02,"人工称重需复核","正常"))</x:f>
        <x:v>正常</x:v>
      </x:c>
      <x:c r="Q584" s="19" t="str">
        <x:v>黄俊</x:v>
      </x:c>
    </x:row>
    <x:row r="585">
      <x:c r="A585" s="19" t="str">
        <x:v>2026-07-13|S05|D03</x:v>
      </x:c>
      <x:c r="B585" s="34" t="n">
        <x:v>46216.5</x:v>
      </x:c>
      <x:c r="C585" s="19" t="str">
        <x:v>S05</x:v>
      </x:c>
      <x:c r="D585" s="19" t="str">
        <x:v>同顺街店</x:v>
      </x:c>
      <x:c r="E585" s="19" t="str">
        <x:v>D03</x:v>
      </x:c>
      <x:c r="F585" s="19" t="str">
        <x:v>香醋炒蛋</x:v>
      </x:c>
      <x:c r="G585" s="19" t="str">
        <x:v>R1.0</x:v>
      </x:c>
      <x:c r="H585" s="20" t="n">
        <x:f>XLOOKUP(A585,'菜品日销量'!$A$5:$A$1124,'菜品日销量'!$G$5:$G$1124,0)</x:f>
        <x:v>45</x:v>
      </x:c>
      <x:c r="I585" s="20" t="n">
        <x:f>ROUNDUP(H585/2,0)</x:f>
        <x:v>23</x:v>
      </x:c>
      <x:c r="J585" s="22" t="n">
        <x:f>SUMIFS('菜谱BOM'!$F$5:$F$160,'菜谱BOM'!$A$5:$A$160,E585,'菜谱BOM'!$C$5:$C$160,"食材")</x:f>
        <x:v>300</x:v>
      </x:c>
      <x:c r="K585" s="38" t="n">
        <x:v>-0.0009172343855996692</x:v>
      </x:c>
      <x:c r="L585" s="35" t="n">
        <x:f>H585*J585*(1+K585)</x:f>
        <x:v>13487.617335794404</x:v>
      </x:c>
      <x:c r="M585" s="35" t="n">
        <x:f>SUMIFS('菜谱BOM'!$F$5:$F$160,'菜谱BOM'!$A$5:$A$160,E585,'菜谱BOM'!$C$5:$C$160,"调料")</x:f>
        <x:v>53</x:v>
      </x:c>
      <x:c r="N585" s="38" t="n">
        <x:v>0.0018669312642577412</x:v>
      </x:c>
      <x:c r="O585" s="35" t="n">
        <x:f>H585*M585*(1+N585)</x:f>
        <x:v>2389.4526310652545</x:v>
      </x:c>
      <x:c r="P585" s="19" t="str">
        <x:f>IF(ABS(N585)&gt;'封面与口径'!$O$25,"机器调料需复核",IF(ABS(K585)&gt;0.02,"人工称重需复核","正常"))</x:f>
        <x:v>正常</x:v>
      </x:c>
      <x:c r="Q585" s="19" t="str">
        <x:v>黄俊</x:v>
      </x:c>
    </x:row>
    <x:row r="586">
      <x:c r="A586" s="19" t="str">
        <x:v>2026-07-13|S05|D04</x:v>
      </x:c>
      <x:c r="B586" s="34" t="n">
        <x:v>46216.5</x:v>
      </x:c>
      <x:c r="C586" s="19" t="str">
        <x:v>S05</x:v>
      </x:c>
      <x:c r="D586" s="19" t="str">
        <x:v>同顺街店</x:v>
      </x:c>
      <x:c r="E586" s="19" t="str">
        <x:v>D04</x:v>
      </x:c>
      <x:c r="F586" s="19" t="str">
        <x:v>酸包菜炒粉皮</x:v>
      </x:c>
      <x:c r="G586" s="19" t="str">
        <x:v>R1.0</x:v>
      </x:c>
      <x:c r="H586" s="20" t="n">
        <x:f>XLOOKUP(A586,'菜品日销量'!$A$5:$A$1124,'菜品日销量'!$G$5:$G$1124,0)</x:f>
        <x:v>38</x:v>
      </x:c>
      <x:c r="I586" s="20" t="n">
        <x:f>ROUNDUP(H586/2,0)</x:f>
        <x:v>19</x:v>
      </x:c>
      <x:c r="J586" s="22" t="n">
        <x:f>SUMIFS('菜谱BOM'!$F$5:$F$160,'菜谱BOM'!$A$5:$A$160,E586,'菜谱BOM'!$C$5:$C$160,"食材")</x:f>
        <x:v>380</x:v>
      </x:c>
      <x:c r="K586" s="38" t="n">
        <x:v>-0.0033548308376583347</x:v>
      </x:c>
      <x:c r="L586" s="35" t="n">
        <x:f>H586*J586*(1+K586)</x:f>
        <x:v>14391.556242704213</x:v>
      </x:c>
      <x:c r="M586" s="35" t="n">
        <x:f>SUMIFS('菜谱BOM'!$F$5:$F$160,'菜谱BOM'!$A$5:$A$160,E586,'菜谱BOM'!$C$5:$C$160,"调料")</x:f>
        <x:v>47</x:v>
      </x:c>
      <x:c r="N586" s="38" t="n">
        <x:v>-0.0002820060109444909</x:v>
      </x:c>
      <x:c r="O586" s="35" t="n">
        <x:f>H586*M586*(1+N586)</x:f>
        <x:v>1785.4963372644531</x:v>
      </x:c>
      <x:c r="P586" s="19" t="str">
        <x:f>IF(ABS(N586)&gt;'封面与口径'!$O$25,"机器调料需复核",IF(ABS(K586)&gt;0.02,"人工称重需复核","正常"))</x:f>
        <x:v>正常</x:v>
      </x:c>
      <x:c r="Q586" s="19" t="str">
        <x:v>黄俊</x:v>
      </x:c>
    </x:row>
    <x:row r="587">
      <x:c r="A587" s="19" t="str">
        <x:v>2026-07-13|S05|D05</x:v>
      </x:c>
      <x:c r="B587" s="34" t="n">
        <x:v>46216.5</x:v>
      </x:c>
      <x:c r="C587" s="19" t="str">
        <x:v>S05</x:v>
      </x:c>
      <x:c r="D587" s="19" t="str">
        <x:v>同顺街店</x:v>
      </x:c>
      <x:c r="E587" s="19" t="str">
        <x:v>D05</x:v>
      </x:c>
      <x:c r="F587" s="19" t="str">
        <x:v>麻婆豆腐</x:v>
      </x:c>
      <x:c r="G587" s="19" t="str">
        <x:v>R1.0</x:v>
      </x:c>
      <x:c r="H587" s="20" t="n">
        <x:f>XLOOKUP(A587,'菜品日销量'!$A$5:$A$1124,'菜品日销量'!$G$5:$G$1124,0)</x:f>
        <x:v>55</x:v>
      </x:c>
      <x:c r="I587" s="20" t="n">
        <x:f>ROUNDUP(H587/2,0)</x:f>
        <x:v>28</x:v>
      </x:c>
      <x:c r="J587" s="22" t="n">
        <x:f>SUMIFS('菜谱BOM'!$F$5:$F$160,'菜谱BOM'!$A$5:$A$160,E587,'菜谱BOM'!$C$5:$C$160,"食材")</x:f>
        <x:v>505</x:v>
      </x:c>
      <x:c r="K587" s="38" t="n">
        <x:v>0.007403002440790413</x:v>
      </x:c>
      <x:c r="L587" s="35" t="n">
        <x:f>H587*J587*(1+K587)</x:f>
        <x:v>27980.618392792956</x:v>
      </x:c>
      <x:c r="M587" s="35" t="n">
        <x:f>SUMIFS('菜谱BOM'!$F$5:$F$160,'菜谱BOM'!$A$5:$A$160,E587,'菜谱BOM'!$C$5:$C$160,"调料")</x:f>
        <x:v>90</x:v>
      </x:c>
      <x:c r="N587" s="38" t="n">
        <x:v>0.0019082867605398146</x:v>
      </x:c>
      <x:c r="O587" s="35" t="n">
        <x:f>H587*M587*(1+N587)</x:f>
        <x:v>4959.446019464672</x:v>
      </x:c>
      <x:c r="P587" s="19" t="str">
        <x:f>IF(ABS(N587)&gt;'封面与口径'!$O$25,"机器调料需复核",IF(ABS(K587)&gt;0.02,"人工称重需复核","正常"))</x:f>
        <x:v>正常</x:v>
      </x:c>
      <x:c r="Q587" s="19" t="str">
        <x:v>黄俊</x:v>
      </x:c>
    </x:row>
    <x:row r="588">
      <x:c r="A588" s="19" t="str">
        <x:v>2026-07-13|S05|D07</x:v>
      </x:c>
      <x:c r="B588" s="34" t="n">
        <x:v>46216.5</x:v>
      </x:c>
      <x:c r="C588" s="19" t="str">
        <x:v>S05</x:v>
      </x:c>
      <x:c r="D588" s="19" t="str">
        <x:v>同顺街店</x:v>
      </x:c>
      <x:c r="E588" s="19" t="str">
        <x:v>D07</x:v>
      </x:c>
      <x:c r="F588" s="19" t="str">
        <x:v>川味回锅肉</x:v>
      </x:c>
      <x:c r="G588" s="19" t="str">
        <x:v>R1.0</x:v>
      </x:c>
      <x:c r="H588" s="20" t="n">
        <x:f>XLOOKUP(A588,'菜品日销量'!$A$5:$A$1124,'菜品日销量'!$G$5:$G$1124,0)</x:f>
        <x:v>16</x:v>
      </x:c>
      <x:c r="I588" s="20" t="n">
        <x:f>ROUNDUP(H588/2,0)</x:f>
        <x:v>8</x:v>
      </x:c>
      <x:c r="J588" s="22" t="n">
        <x:f>SUMIFS('菜谱BOM'!$F$5:$F$160,'菜谱BOM'!$A$5:$A$160,E588,'菜谱BOM'!$C$5:$C$160,"食材")</x:f>
        <x:v>450</x:v>
      </x:c>
      <x:c r="K588" s="38" t="n">
        <x:v>-0.00043538163053695645</x:v>
      </x:c>
      <x:c r="L588" s="35" t="n">
        <x:f>H588*J588*(1+K588)</x:f>
        <x:v>7196.865252260134</x:v>
      </x:c>
      <x:c r="M588" s="35" t="n">
        <x:f>SUMIFS('菜谱BOM'!$F$5:$F$160,'菜谱BOM'!$A$5:$A$160,E588,'菜谱BOM'!$C$5:$C$160,"调料")</x:f>
        <x:v>63</x:v>
      </x:c>
      <x:c r="N588" s="38" t="n">
        <x:v>0.0003218377461474944</x:v>
      </x:c>
      <x:c r="O588" s="35" t="n">
        <x:f>H588*M588*(1+N588)</x:f>
        <x:v>1008.3244124481167</x:v>
      </x:c>
      <x:c r="P588" s="19" t="str">
        <x:f>IF(ABS(N588)&gt;'封面与口径'!$O$25,"机器调料需复核",IF(ABS(K588)&gt;0.02,"人工称重需复核","正常"))</x:f>
        <x:v>正常</x:v>
      </x:c>
      <x:c r="Q588" s="19" t="str">
        <x:v>黄俊</x:v>
      </x:c>
    </x:row>
    <x:row r="589">
      <x:c r="A589" s="19" t="str">
        <x:v>2026-07-13|S05|D08</x:v>
      </x:c>
      <x:c r="B589" s="34" t="n">
        <x:v>46216.5</x:v>
      </x:c>
      <x:c r="C589" s="19" t="str">
        <x:v>S05</x:v>
      </x:c>
      <x:c r="D589" s="19" t="str">
        <x:v>同顺街店</x:v>
      </x:c>
      <x:c r="E589" s="19" t="str">
        <x:v>D08</x:v>
      </x:c>
      <x:c r="F589" s="19" t="str">
        <x:v>生炒清远鸡</x:v>
      </x:c>
      <x:c r="G589" s="19" t="str">
        <x:v>R1.0</x:v>
      </x:c>
      <x:c r="H589" s="20" t="n">
        <x:f>XLOOKUP(A589,'菜品日销量'!$A$5:$A$1124,'菜品日销量'!$G$5:$G$1124,0)</x:f>
        <x:v>13</x:v>
      </x:c>
      <x:c r="I589" s="20" t="n">
        <x:f>ROUNDUP(H589/2,0)</x:f>
        <x:v>7</x:v>
      </x:c>
      <x:c r="J589" s="22" t="n">
        <x:f>SUMIFS('菜谱BOM'!$F$5:$F$160,'菜谱BOM'!$A$5:$A$160,E589,'菜谱BOM'!$C$5:$C$160,"食材")</x:f>
        <x:v>610</x:v>
      </x:c>
      <x:c r="K589" s="38" t="n">
        <x:v>-0.0012018082051542143</x:v>
      </x:c>
      <x:c r="L589" s="35" t="n">
        <x:f>H589*J589*(1+K589)</x:f>
        <x:v>7920.469660933127</x:v>
      </x:c>
      <x:c r="M589" s="35" t="n">
        <x:f>SUMIFS('菜谱BOM'!$F$5:$F$160,'菜谱BOM'!$A$5:$A$160,E589,'菜谱BOM'!$C$5:$C$160,"调料")</x:f>
        <x:v>61</x:v>
      </x:c>
      <x:c r="N589" s="38" t="n">
        <x:v>-0.0001700383690581746</x:v>
      </x:c>
      <x:c r="O589" s="35" t="n">
        <x:f>H589*M589*(1+N589)</x:f>
        <x:v>792.8651595733369</x:v>
      </x:c>
      <x:c r="P589" s="19" t="str">
        <x:f>IF(ABS(N589)&gt;'封面与口径'!$O$25,"机器调料需复核",IF(ABS(K589)&gt;0.02,"人工称重需复核","正常"))</x:f>
        <x:v>正常</x:v>
      </x:c>
      <x:c r="Q589" s="19" t="str">
        <x:v>黄俊</x:v>
      </x:c>
    </x:row>
    <x:row r="590">
      <x:c r="A590" s="19" t="str">
        <x:v>2026-07-13|S05|D09</x:v>
      </x:c>
      <x:c r="B590" s="34" t="n">
        <x:v>46216.5</x:v>
      </x:c>
      <x:c r="C590" s="19" t="str">
        <x:v>S05</x:v>
      </x:c>
      <x:c r="D590" s="19" t="str">
        <x:v>同顺街店</x:v>
      </x:c>
      <x:c r="E590" s="19" t="str">
        <x:v>D09</x:v>
      </x:c>
      <x:c r="F590" s="19" t="str">
        <x:v>炒豆干</x:v>
      </x:c>
      <x:c r="G590" s="19" t="str">
        <x:v>R1.0</x:v>
      </x:c>
      <x:c r="H590" s="20" t="n">
        <x:f>XLOOKUP(A590,'菜品日销量'!$A$5:$A$1124,'菜品日销量'!$G$5:$G$1124,0)</x:f>
        <x:v>16</x:v>
      </x:c>
      <x:c r="I590" s="20" t="n">
        <x:f>ROUNDUP(H590/2,0)</x:f>
        <x:v>8</x:v>
      </x:c>
      <x:c r="J590" s="22" t="n">
        <x:f>SUMIFS('菜谱BOM'!$F$5:$F$160,'菜谱BOM'!$A$5:$A$160,E590,'菜谱BOM'!$C$5:$C$160,"食材")</x:f>
        <x:v>520</x:v>
      </x:c>
      <x:c r="K590" s="38" t="n">
        <x:v>0.005438736661672298</x:v>
      </x:c>
      <x:c r="L590" s="35" t="n">
        <x:f>H590*J590*(1+K590)</x:f>
        <x:v>8365.250289025114</x:v>
      </x:c>
      <x:c r="M590" s="35" t="n">
        <x:f>SUMIFS('菜谱BOM'!$F$5:$F$160,'菜谱BOM'!$A$5:$A$160,E590,'菜谱BOM'!$C$5:$C$160,"调料")</x:f>
        <x:v>42</x:v>
      </x:c>
      <x:c r="N590" s="38" t="n">
        <x:v>-0.0014877171980886993</x:v>
      </x:c>
      <x:c r="O590" s="35" t="n">
        <x:f>H590*M590*(1+N590)</x:f>
        <x:v>671.0002540428844</x:v>
      </x:c>
      <x:c r="P590" s="19" t="str">
        <x:f>IF(ABS(N590)&gt;'封面与口径'!$O$25,"机器调料需复核",IF(ABS(K590)&gt;0.02,"人工称重需复核","正常"))</x:f>
        <x:v>正常</x:v>
      </x:c>
      <x:c r="Q590" s="19" t="str">
        <x:v>黄俊</x:v>
      </x:c>
    </x:row>
    <x:row r="591">
      <x:c r="A591" s="19" t="str">
        <x:v>2026-07-13|S05|D10</x:v>
      </x:c>
      <x:c r="B591" s="34" t="n">
        <x:v>46216.5</x:v>
      </x:c>
      <x:c r="C591" s="19" t="str">
        <x:v>S05</x:v>
      </x:c>
      <x:c r="D591" s="19" t="str">
        <x:v>同顺街店</x:v>
      </x:c>
      <x:c r="E591" s="19" t="str">
        <x:v>D10</x:v>
      </x:c>
      <x:c r="F591" s="19" t="str">
        <x:v>农家一碗香</x:v>
      </x:c>
      <x:c r="G591" s="19" t="str">
        <x:v>R2.3</x:v>
      </x:c>
      <x:c r="H591" s="20" t="n">
        <x:f>XLOOKUP(A591,'菜品日销量'!$A$5:$A$1124,'菜品日销量'!$G$5:$G$1124,0)</x:f>
        <x:v>19</x:v>
      </x:c>
      <x:c r="I591" s="20" t="n">
        <x:f>ROUNDUP(H591/2,0)</x:f>
        <x:v>10</x:v>
      </x:c>
      <x:c r="J591" s="22" t="n">
        <x:f>SUMIFS('菜谱BOM'!$F$5:$F$160,'菜谱BOM'!$A$5:$A$160,E591,'菜谱BOM'!$C$5:$C$160,"食材")</x:f>
        <x:v>510</x:v>
      </x:c>
      <x:c r="K591" s="38" t="n">
        <x:v>-0.0010369296318471736</x:v>
      </x:c>
      <x:c r="L591" s="35" t="n">
        <x:f>H591*J591*(1+K591)</x:f>
        <x:v>9679.952151867401</x:v>
      </x:c>
      <x:c r="M591" s="35" t="n">
        <x:f>SUMIFS('菜谱BOM'!$F$5:$F$160,'菜谱BOM'!$A$5:$A$160,E591,'菜谱BOM'!$C$5:$C$160,"调料")</x:f>
        <x:v>88</x:v>
      </x:c>
      <x:c r="N591" s="38" t="n">
        <x:v>-0.0006873549033625413</x:v>
      </x:c>
      <x:c r="O591" s="35" t="n">
        <x:f>H591*M591*(1+N591)</x:f>
        <x:v>1670.8507426015778</x:v>
      </x:c>
      <x:c r="P591" s="19" t="str">
        <x:f>IF(ABS(N591)&gt;'封面与口径'!$O$25,"机器调料需复核",IF(ABS(K591)&gt;0.02,"人工称重需复核","正常"))</x:f>
        <x:v>正常</x:v>
      </x:c>
      <x:c r="Q591" s="19" t="str">
        <x:v>黄俊</x:v>
      </x:c>
    </x:row>
    <x:row r="592">
      <x:c r="A592" s="19" t="str">
        <x:v>2026-07-13|S05|D11</x:v>
      </x:c>
      <x:c r="B592" s="34" t="n">
        <x:v>46216.5</x:v>
      </x:c>
      <x:c r="C592" s="19" t="str">
        <x:v>S05</x:v>
      </x:c>
      <x:c r="D592" s="19" t="str">
        <x:v>同顺街店</x:v>
      </x:c>
      <x:c r="E592" s="19" t="str">
        <x:v>D11</x:v>
      </x:c>
      <x:c r="F592" s="19" t="str">
        <x:v>香辣爆肥肠</x:v>
      </x:c>
      <x:c r="G592" s="19" t="str">
        <x:v>R1.0</x:v>
      </x:c>
      <x:c r="H592" s="20" t="n">
        <x:f>XLOOKUP(A592,'菜品日销量'!$A$5:$A$1124,'菜品日销量'!$G$5:$G$1124,0)</x:f>
        <x:v>7</x:v>
      </x:c>
      <x:c r="I592" s="20" t="n">
        <x:f>ROUNDUP(H592/2,0)</x:f>
        <x:v>4</x:v>
      </x:c>
      <x:c r="J592" s="22" t="n">
        <x:f>SUMIFS('菜谱BOM'!$F$5:$F$160,'菜谱BOM'!$A$5:$A$160,E592,'菜谱BOM'!$C$5:$C$160,"食材")</x:f>
        <x:v>430</x:v>
      </x:c>
      <x:c r="K592" s="38" t="n">
        <x:v>-0.00654149684276001</x:v>
      </x:c>
      <x:c r="L592" s="35" t="n">
        <x:f>H592*J592*(1+K592)</x:f>
        <x:v>2990.310094503292</x:v>
      </x:c>
      <x:c r="M592" s="35" t="n">
        <x:f>SUMIFS('菜谱BOM'!$F$5:$F$160,'菜谱BOM'!$A$5:$A$160,E592,'菜谱BOM'!$C$5:$C$160,"调料")</x:f>
        <x:v>67</x:v>
      </x:c>
      <x:c r="N592" s="38" t="n">
        <x:v>-0.0014974459473736225</x:v>
      </x:c>
      <x:c r="O592" s="35" t="n">
        <x:f>H592*M592*(1+N592)</x:f>
        <x:v>468.29769785068174</x:v>
      </x:c>
      <x:c r="P592" s="19" t="str">
        <x:f>IF(ABS(N592)&gt;'封面与口径'!$O$25,"机器调料需复核",IF(ABS(K592)&gt;0.02,"人工称重需复核","正常"))</x:f>
        <x:v>正常</x:v>
      </x:c>
      <x:c r="Q592" s="19" t="str">
        <x:v>黄俊</x:v>
      </x:c>
    </x:row>
    <x:row r="593">
      <x:c r="A593" s="19" t="str">
        <x:v>2026-07-13|S05|D13</x:v>
      </x:c>
      <x:c r="B593" s="34" t="n">
        <x:v>46216.5</x:v>
      </x:c>
      <x:c r="C593" s="19" t="str">
        <x:v>S05</x:v>
      </x:c>
      <x:c r="D593" s="19" t="str">
        <x:v>同顺街店</x:v>
      </x:c>
      <x:c r="E593" s="19" t="str">
        <x:v>D13</x:v>
      </x:c>
      <x:c r="F593" s="19" t="str">
        <x:v>外婆菜炒蛋</x:v>
      </x:c>
      <x:c r="G593" s="19" t="str">
        <x:v>R1.0</x:v>
      </x:c>
      <x:c r="H593" s="20" t="n">
        <x:f>XLOOKUP(A593,'菜品日销量'!$A$5:$A$1124,'菜品日销量'!$G$5:$G$1124,0)</x:f>
        <x:v>17</x:v>
      </x:c>
      <x:c r="I593" s="20" t="n">
        <x:f>ROUNDUP(H593/2,0)</x:f>
        <x:v>9</x:v>
      </x:c>
      <x:c r="J593" s="22" t="n">
        <x:f>SUMIFS('菜谱BOM'!$F$5:$F$160,'菜谱BOM'!$A$5:$A$160,E593,'菜谱BOM'!$C$5:$C$160,"食材")</x:f>
        <x:v>450</x:v>
      </x:c>
      <x:c r="K593" s="38" t="n">
        <x:v>-0.005606974742749468</x:v>
      </x:c>
      <x:c r="L593" s="35" t="n">
        <x:f>H593*J593*(1+K593)</x:f>
        <x:v>7607.106643217966</x:v>
      </x:c>
      <x:c r="M593" s="35" t="n">
        <x:f>SUMIFS('菜谱BOM'!$F$5:$F$160,'菜谱BOM'!$A$5:$A$160,E593,'菜谱BOM'!$C$5:$C$160,"调料")</x:f>
        <x:v>37</x:v>
      </x:c>
      <x:c r="N593" s="38" t="n">
        <x:v>-0.0006010891242420975</x:v>
      </x:c>
      <x:c r="O593" s="35" t="n">
        <x:f>H593*M593*(1+N593)</x:f>
        <x:v>628.6219149408518</x:v>
      </x:c>
      <x:c r="P593" s="19" t="str">
        <x:f>IF(ABS(N593)&gt;'封面与口径'!$O$25,"机器调料需复核",IF(ABS(K593)&gt;0.02,"人工称重需复核","正常"))</x:f>
        <x:v>正常</x:v>
      </x:c>
      <x:c r="Q593" s="19" t="str">
        <x:v>黄俊</x:v>
      </x:c>
    </x:row>
    <x:row r="594">
      <x:c r="A594" s="19" t="str">
        <x:v>2026-07-13|S05|D14</x:v>
      </x:c>
      <x:c r="B594" s="34" t="n">
        <x:v>46216.5</x:v>
      </x:c>
      <x:c r="C594" s="19" t="str">
        <x:v>S05</x:v>
      </x:c>
      <x:c r="D594" s="19" t="str">
        <x:v>同顺街店</x:v>
      </x:c>
      <x:c r="E594" s="19" t="str">
        <x:v>D14</x:v>
      </x:c>
      <x:c r="F594" s="19" t="str">
        <x:v>酸辣鸡杂</x:v>
      </x:c>
      <x:c r="G594" s="19" t="str">
        <x:v>R1.0</x:v>
      </x:c>
      <x:c r="H594" s="20" t="n">
        <x:f>XLOOKUP(A594,'菜品日销量'!$A$5:$A$1124,'菜品日销量'!$G$5:$G$1124,0)</x:f>
        <x:v>9</x:v>
      </x:c>
      <x:c r="I594" s="20" t="n">
        <x:f>ROUNDUP(H594/2,0)</x:f>
        <x:v>5</x:v>
      </x:c>
      <x:c r="J594" s="22" t="n">
        <x:f>SUMIFS('菜谱BOM'!$F$5:$F$160,'菜谱BOM'!$A$5:$A$160,E594,'菜谱BOM'!$C$5:$C$160,"食材")</x:f>
        <x:v>470</x:v>
      </x:c>
      <x:c r="K594" s="38" t="n">
        <x:v>0.004085323772413034</x:v>
      </x:c>
      <x:c r="L594" s="35" t="n">
        <x:f>H594*J594*(1+K594)</x:f>
        <x:v>4247.280919557307</x:v>
      </x:c>
      <x:c r="M594" s="35" t="n">
        <x:f>SUMIFS('菜谱BOM'!$F$5:$F$160,'菜谱BOM'!$A$5:$A$160,E594,'菜谱BOM'!$C$5:$C$160,"调料")</x:f>
        <x:v>60</x:v>
      </x:c>
      <x:c r="N594" s="38" t="n">
        <x:v>0.0003813065668524489</x:v>
      </x:c>
      <x:c r="O594" s="35" t="n">
        <x:f>H594*M594*(1+N594)</x:f>
        <x:v>540.2059055461003</x:v>
      </x:c>
      <x:c r="P594" s="19" t="str">
        <x:f>IF(ABS(N594)&gt;'封面与口径'!$O$25,"机器调料需复核",IF(ABS(K594)&gt;0.02,"人工称重需复核","正常"))</x:f>
        <x:v>正常</x:v>
      </x:c>
      <x:c r="Q594" s="19" t="str">
        <x:v>黄俊</x:v>
      </x:c>
    </x:row>
    <x:row r="595">
      <x:c r="A595" s="19" t="str">
        <x:v>2026-07-13|S05|D15</x:v>
      </x:c>
      <x:c r="B595" s="34" t="n">
        <x:v>46216.5</x:v>
      </x:c>
      <x:c r="C595" s="19" t="str">
        <x:v>S05</x:v>
      </x:c>
      <x:c r="D595" s="19" t="str">
        <x:v>同顺街店</x:v>
      </x:c>
      <x:c r="E595" s="19" t="str">
        <x:v>D15</x:v>
      </x:c>
      <x:c r="F595" s="19" t="str">
        <x:v>湘西土匪猪肝</x:v>
      </x:c>
      <x:c r="G595" s="19" t="str">
        <x:v>R1.0</x:v>
      </x:c>
      <x:c r="H595" s="20" t="n">
        <x:f>XLOOKUP(A595,'菜品日销量'!$A$5:$A$1124,'菜品日销量'!$G$5:$G$1124,0)</x:f>
        <x:v>7</x:v>
      </x:c>
      <x:c r="I595" s="20" t="n">
        <x:f>ROUNDUP(H595/2,0)</x:f>
        <x:v>4</x:v>
      </x:c>
      <x:c r="J595" s="22" t="n">
        <x:f>SUMIFS('菜谱BOM'!$F$5:$F$160,'菜谱BOM'!$A$5:$A$160,E595,'菜谱BOM'!$C$5:$C$160,"食材")</x:f>
        <x:v>470</x:v>
      </x:c>
      <x:c r="K595" s="38" t="n">
        <x:v>-0.00007957957500582058</x:v>
      </x:c>
      <x:c r="L595" s="35" t="n">
        <x:f>H595*J595*(1+K595)</x:f>
        <x:v>3289.7381831982307</x:v>
      </x:c>
      <x:c r="M595" s="35" t="n">
        <x:f>SUMIFS('菜谱BOM'!$F$5:$F$160,'菜谱BOM'!$A$5:$A$160,E595,'菜谱BOM'!$C$5:$C$160,"调料")</x:f>
        <x:v>49</x:v>
      </x:c>
      <x:c r="N595" s="38" t="n">
        <x:v>-0.0006817464406326754</x:v>
      </x:c>
      <x:c r="O595" s="35" t="n">
        <x:f>H595*M595*(1+N595)</x:f>
        <x:v>342.766160970863</x:v>
      </x:c>
      <x:c r="P595" s="19" t="str">
        <x:f>IF(ABS(N595)&gt;'封面与口径'!$O$25,"机器调料需复核",IF(ABS(K595)&gt;0.02,"人工称重需复核","正常"))</x:f>
        <x:v>正常</x:v>
      </x:c>
      <x:c r="Q595" s="19" t="str">
        <x:v>黄俊</x:v>
      </x:c>
    </x:row>
    <x:row r="596">
      <x:c r="A596" s="19" t="str">
        <x:v>2026-07-13|S05|D16</x:v>
      </x:c>
      <x:c r="B596" s="34" t="n">
        <x:v>46216.5</x:v>
      </x:c>
      <x:c r="C596" s="19" t="str">
        <x:v>S05</x:v>
      </x:c>
      <x:c r="D596" s="19" t="str">
        <x:v>同顺街店</x:v>
      </x:c>
      <x:c r="E596" s="19" t="str">
        <x:v>D16</x:v>
      </x:c>
      <x:c r="F596" s="19" t="str">
        <x:v>小豆角炒五花</x:v>
      </x:c>
      <x:c r="G596" s="19" t="str">
        <x:v>R1.0</x:v>
      </x:c>
      <x:c r="H596" s="20" t="n">
        <x:f>XLOOKUP(A596,'菜品日销量'!$A$5:$A$1124,'菜品日销量'!$G$5:$G$1124,0)</x:f>
        <x:v>8</x:v>
      </x:c>
      <x:c r="I596" s="20" t="n">
        <x:f>ROUNDUP(H596/2,0)</x:f>
        <x:v>4</x:v>
      </x:c>
      <x:c r="J596" s="22" t="n">
        <x:f>SUMIFS('菜谱BOM'!$F$5:$F$160,'菜谱BOM'!$A$5:$A$160,E596,'菜谱BOM'!$C$5:$C$160,"食材")</x:f>
        <x:v>450</x:v>
      </x:c>
      <x:c r="K596" s="38" t="n">
        <x:v>0.0025884114491260633</x:v>
      </x:c>
      <x:c r="L596" s="35" t="n">
        <x:f>H596*J596*(1+K596)</x:f>
        <x:v>3609.3182812168543</x:v>
      </x:c>
      <x:c r="M596" s="35" t="n">
        <x:f>SUMIFS('菜谱BOM'!$F$5:$F$160,'菜谱BOM'!$A$5:$A$160,E596,'菜谱BOM'!$C$5:$C$160,"调料")</x:f>
        <x:v>42</x:v>
      </x:c>
      <x:c r="N596" s="38" t="n">
        <x:v>-0.0006847207301027889</x:v>
      </x:c>
      <x:c r="O596" s="35" t="n">
        <x:f>H596*M596*(1+N596)</x:f>
        <x:v>335.76993383468545</x:v>
      </x:c>
      <x:c r="P596" s="19" t="str">
        <x:f>IF(ABS(N596)&gt;'封面与口径'!$O$25,"机器调料需复核",IF(ABS(K596)&gt;0.02,"人工称重需复核","正常"))</x:f>
        <x:v>正常</x:v>
      </x:c>
      <x:c r="Q596" s="19" t="str">
        <x:v>黄俊</x:v>
      </x:c>
    </x:row>
    <x:row r="597">
      <x:c r="A597" s="19" t="str">
        <x:v>2026-07-13|S05|D18</x:v>
      </x:c>
      <x:c r="B597" s="34" t="n">
        <x:v>46216.5</x:v>
      </x:c>
      <x:c r="C597" s="19" t="str">
        <x:v>S05</x:v>
      </x:c>
      <x:c r="D597" s="19" t="str">
        <x:v>同顺街店</x:v>
      </x:c>
      <x:c r="E597" s="19" t="str">
        <x:v>D18</x:v>
      </x:c>
      <x:c r="F597" s="19" t="str">
        <x:v>青椒炒油麦菜</x:v>
      </x:c>
      <x:c r="G597" s="19" t="str">
        <x:v>R1.0</x:v>
      </x:c>
      <x:c r="H597" s="20" t="n">
        <x:f>XLOOKUP(A597,'菜品日销量'!$A$5:$A$1124,'菜品日销量'!$G$5:$G$1124,0)</x:f>
        <x:v>10</x:v>
      </x:c>
      <x:c r="I597" s="20" t="n">
        <x:f>ROUNDUP(H597/2,0)</x:f>
        <x:v>5</x:v>
      </x:c>
      <x:c r="J597" s="22" t="n">
        <x:f>SUMIFS('菜谱BOM'!$F$5:$F$160,'菜谱BOM'!$A$5:$A$160,E597,'菜谱BOM'!$C$5:$C$160,"食材")</x:f>
        <x:v>430</x:v>
      </x:c>
      <x:c r="K597" s="38" t="n">
        <x:v>-0.00490690189155445</x:v>
      </x:c>
      <x:c r="L597" s="35" t="n">
        <x:f>H597*J597*(1+K597)</x:f>
        <x:v>4278.900321866316</x:v>
      </x:c>
      <x:c r="M597" s="35" t="n">
        <x:f>SUMIFS('菜谱BOM'!$F$5:$F$160,'菜谱BOM'!$A$5:$A$160,E597,'菜谱BOM'!$C$5:$C$160,"调料")</x:f>
        <x:v>33</x:v>
      </x:c>
      <x:c r="N597" s="38" t="n">
        <x:v>-0.0004061496142312302</x:v>
      </x:c>
      <x:c r="O597" s="35" t="n">
        <x:f>H597*M597*(1+N597)</x:f>
        <x:v>329.8659706273037</x:v>
      </x:c>
      <x:c r="P597" s="19" t="str">
        <x:f>IF(ABS(N597)&gt;'封面与口径'!$O$25,"机器调料需复核",IF(ABS(K597)&gt;0.02,"人工称重需复核","正常"))</x:f>
        <x:v>正常</x:v>
      </x:c>
      <x:c r="Q597" s="19" t="str">
        <x:v>黄俊</x:v>
      </x:c>
    </x:row>
    <x:row r="598">
      <x:c r="A598" s="19" t="str">
        <x:v>2026-07-13|S05|D19</x:v>
      </x:c>
      <x:c r="B598" s="34" t="n">
        <x:v>46216.5</x:v>
      </x:c>
      <x:c r="C598" s="19" t="str">
        <x:v>S05</x:v>
      </x:c>
      <x:c r="D598" s="19" t="str">
        <x:v>同顺街店</x:v>
      </x:c>
      <x:c r="E598" s="19" t="str">
        <x:v>D19</x:v>
      </x:c>
      <x:c r="F598" s="19" t="str">
        <x:v>酸萝卜炒鸡杂</x:v>
      </x:c>
      <x:c r="G598" s="19" t="str">
        <x:v>R1.0</x:v>
      </x:c>
      <x:c r="H598" s="20" t="n">
        <x:f>XLOOKUP(A598,'菜品日销量'!$A$5:$A$1124,'菜品日销量'!$G$5:$G$1124,0)</x:f>
        <x:v>6</x:v>
      </x:c>
      <x:c r="I598" s="20" t="n">
        <x:f>ROUNDUP(H598/2,0)</x:f>
        <x:v>3</x:v>
      </x:c>
      <x:c r="J598" s="22" t="n">
        <x:f>SUMIFS('菜谱BOM'!$F$5:$F$160,'菜谱BOM'!$A$5:$A$160,E598,'菜谱BOM'!$C$5:$C$160,"食材")</x:f>
        <x:v>500</x:v>
      </x:c>
      <x:c r="K598" s="38" t="n">
        <x:v>-0.007050127625244234</x:v>
      </x:c>
      <x:c r="L598" s="35" t="n">
        <x:f>H598*J598*(1+K598)</x:f>
        <x:v>2978.8496171242673</x:v>
      </x:c>
      <x:c r="M598" s="35" t="n">
        <x:f>SUMIFS('菜谱BOM'!$F$5:$F$160,'菜谱BOM'!$A$5:$A$160,E598,'菜谱BOM'!$C$5:$C$160,"调料")</x:f>
        <x:v>55</x:v>
      </x:c>
      <x:c r="N598" s="38" t="n">
        <x:v>-0.0007163247304773715</x:v>
      </x:c>
      <x:c r="O598" s="35" t="n">
        <x:f>H598*M598*(1+N598)</x:f>
        <x:v>329.7636128389425</x:v>
      </x:c>
      <x:c r="P598" s="19" t="str">
        <x:f>IF(ABS(N598)&gt;'封面与口径'!$O$25,"机器调料需复核",IF(ABS(K598)&gt;0.02,"人工称重需复核","正常"))</x:f>
        <x:v>正常</x:v>
      </x:c>
      <x:c r="Q598" s="19" t="str">
        <x:v>黄俊</x:v>
      </x:c>
    </x:row>
    <x:row r="599">
      <x:c r="A599" s="19" t="str">
        <x:v>2026-07-13|S05|D20</x:v>
      </x:c>
      <x:c r="B599" s="34" t="n">
        <x:v>46216.5</x:v>
      </x:c>
      <x:c r="C599" s="19" t="str">
        <x:v>S05</x:v>
      </x:c>
      <x:c r="D599" s="19" t="str">
        <x:v>同顺街店</x:v>
      </x:c>
      <x:c r="E599" s="19" t="str">
        <x:v>D20</x:v>
      </x:c>
      <x:c r="F599" s="19" t="str">
        <x:v>雪菜肉末青豆</x:v>
      </x:c>
      <x:c r="G599" s="19" t="str">
        <x:v>R1.0</x:v>
      </x:c>
      <x:c r="H599" s="20" t="n">
        <x:f>XLOOKUP(A599,'菜品日销量'!$A$5:$A$1124,'菜品日销量'!$G$5:$G$1124,0)</x:f>
        <x:v>9</x:v>
      </x:c>
      <x:c r="I599" s="20" t="n">
        <x:f>ROUNDUP(H599/2,0)</x:f>
        <x:v>5</x:v>
      </x:c>
      <x:c r="J599" s="22" t="n">
        <x:f>SUMIFS('菜谱BOM'!$F$5:$F$160,'菜谱BOM'!$A$5:$A$160,E599,'菜谱BOM'!$C$5:$C$160,"食材")</x:f>
        <x:v>465</x:v>
      </x:c>
      <x:c r="K599" s="38" t="n">
        <x:v>-0.006679282471230087</x:v>
      </x:c>
      <x:c r="L599" s="35" t="n">
        <x:f>H599*J599*(1+K599)</x:f>
        <x:v>4157.047202857902</x:v>
      </x:c>
      <x:c r="M599" s="35" t="n">
        <x:f>SUMIFS('菜谱BOM'!$F$5:$F$160,'菜谱BOM'!$A$5:$A$160,E599,'菜谱BOM'!$C$5:$C$160,"调料")</x:f>
        <x:v>32</x:v>
      </x:c>
      <x:c r="N599" s="38" t="n">
        <x:v>0.0007922549822349696</x:v>
      </x:c>
      <x:c r="O599" s="35" t="n">
        <x:f>H599*M599*(1+N599)</x:f>
        <x:v>288.2281694348837</x:v>
      </x:c>
      <x:c r="P599" s="19" t="str">
        <x:f>IF(ABS(N599)&gt;'封面与口径'!$O$25,"机器调料需复核",IF(ABS(K599)&gt;0.02,"人工称重需复核","正常"))</x:f>
        <x:v>正常</x:v>
      </x:c>
      <x:c r="Q599" s="19" t="str">
        <x:v>黄俊</x:v>
      </x:c>
    </x:row>
    <x:row r="600">
      <x:c r="A600" s="19" t="str">
        <x:v>2026-07-07|S06|D01</x:v>
      </x:c>
      <x:c r="B600" s="34" t="n">
        <x:v>46210.5</x:v>
      </x:c>
      <x:c r="C600" s="19" t="str">
        <x:v>S06</x:v>
      </x:c>
      <x:c r="D600" s="19" t="str">
        <x:v>蓝钻天城店</x:v>
      </x:c>
      <x:c r="E600" s="19" t="str">
        <x:v>D01</x:v>
      </x:c>
      <x:c r="F600" s="19" t="str">
        <x:v>辣椒炒肉</x:v>
      </x:c>
      <x:c r="G600" s="19" t="str">
        <x:v>R2.3</x:v>
      </x:c>
      <x:c r="H600" s="20" t="n">
        <x:f>XLOOKUP(A600,'菜品日销量'!$A$5:$A$1124,'菜品日销量'!$G$5:$G$1124,0)</x:f>
        <x:v>49</x:v>
      </x:c>
      <x:c r="I600" s="20" t="n">
        <x:f>ROUNDUP(H600/2,0)</x:f>
        <x:v>25</x:v>
      </x:c>
      <x:c r="J600" s="22" t="n">
        <x:f>SUMIFS('菜谱BOM'!$F$5:$F$160,'菜谱BOM'!$A$5:$A$160,E600,'菜谱BOM'!$C$5:$C$160,"食材")</x:f>
        <x:v>550</x:v>
      </x:c>
      <x:c r="K600" s="38" t="n">
        <x:v>-0.0021661702865190275</x:v>
      </x:c>
      <x:c r="L600" s="35" t="n">
        <x:f>H600*J600*(1+K600)</x:f>
        <x:v>26891.621710778312</x:v>
      </x:c>
      <x:c r="M600" s="35" t="n">
        <x:f>SUMIFS('菜谱BOM'!$F$5:$F$160,'菜谱BOM'!$A$5:$A$160,E600,'菜谱BOM'!$C$5:$C$160,"调料")</x:f>
        <x:v>104</x:v>
      </x:c>
      <x:c r="N600" s="38" t="n">
        <x:v>-0.0014668988230328306</x:v>
      </x:c>
      <x:c r="O600" s="35" t="n">
        <x:f>H600*M600*(1+N600)</x:f>
        <x:v>5088.524683597824</x:v>
      </x:c>
      <x:c r="P600" s="19" t="str">
        <x:f>IF(ABS(N600)&gt;'封面与口径'!$O$25,"机器调料需复核",IF(ABS(K600)&gt;0.02,"人工称重需复核","正常"))</x:f>
        <x:v>正常</x:v>
      </x:c>
      <x:c r="Q600" s="19" t="str">
        <x:v>谢东</x:v>
      </x:c>
    </x:row>
    <x:row r="601">
      <x:c r="A601" s="19" t="str">
        <x:v>2026-07-07|S06|D02</x:v>
      </x:c>
      <x:c r="B601" s="34" t="n">
        <x:v>46210.5</x:v>
      </x:c>
      <x:c r="C601" s="19" t="str">
        <x:v>S06</x:v>
      </x:c>
      <x:c r="D601" s="19" t="str">
        <x:v>蓝钻天城店</x:v>
      </x:c>
      <x:c r="E601" s="19" t="str">
        <x:v>D02</x:v>
      </x:c>
      <x:c r="F601" s="19" t="str">
        <x:v>小炒黄牛肉</x:v>
      </x:c>
      <x:c r="G601" s="19" t="str">
        <x:v>R2.3</x:v>
      </x:c>
      <x:c r="H601" s="20" t="n">
        <x:f>XLOOKUP(A601,'菜品日销量'!$A$5:$A$1124,'菜品日销量'!$G$5:$G$1124,0)</x:f>
        <x:v>33</x:v>
      </x:c>
      <x:c r="I601" s="20" t="n">
        <x:f>ROUNDUP(H601/2,0)</x:f>
        <x:v>17</x:v>
      </x:c>
      <x:c r="J601" s="22" t="n">
        <x:f>SUMIFS('菜谱BOM'!$F$5:$F$160,'菜谱BOM'!$A$5:$A$160,E601,'菜谱BOM'!$C$5:$C$160,"食材")</x:f>
        <x:v>560</x:v>
      </x:c>
      <x:c r="K601" s="38" t="n">
        <x:v>-0.0034117688823984403</x:v>
      </x:c>
      <x:c r="L601" s="35" t="n">
        <x:f>H601*J601*(1+K601)</x:f>
        <x:v>18416.950511053277</x:v>
      </x:c>
      <x:c r="M601" s="35" t="n">
        <x:f>SUMIFS('菜谱BOM'!$F$5:$F$160,'菜谱BOM'!$A$5:$A$160,E601,'菜谱BOM'!$C$5:$C$160,"调料")</x:f>
        <x:v>133</x:v>
      </x:c>
      <x:c r="N601" s="38" t="n">
        <x:v>0.0014233081581590948</x:v>
      </x:c>
      <x:c r="O601" s="35" t="n">
        <x:f>H601*M601*(1+N601)</x:f>
        <x:v>4395.246899506161</x:v>
      </x:c>
      <x:c r="P601" s="19" t="str">
        <x:f>IF(ABS(N601)&gt;'封面与口径'!$O$25,"机器调料需复核",IF(ABS(K601)&gt;0.02,"人工称重需复核","正常"))</x:f>
        <x:v>正常</x:v>
      </x:c>
      <x:c r="Q601" s="19" t="str">
        <x:v>谢东</x:v>
      </x:c>
    </x:row>
    <x:row r="602">
      <x:c r="A602" s="19" t="str">
        <x:v>2026-07-07|S06|D03</x:v>
      </x:c>
      <x:c r="B602" s="34" t="n">
        <x:v>46210.5</x:v>
      </x:c>
      <x:c r="C602" s="19" t="str">
        <x:v>S06</x:v>
      </x:c>
      <x:c r="D602" s="19" t="str">
        <x:v>蓝钻天城店</x:v>
      </x:c>
      <x:c r="E602" s="19" t="str">
        <x:v>D03</x:v>
      </x:c>
      <x:c r="F602" s="19" t="str">
        <x:v>香醋炒蛋</x:v>
      </x:c>
      <x:c r="G602" s="19" t="str">
        <x:v>R1.0</x:v>
      </x:c>
      <x:c r="H602" s="20" t="n">
        <x:f>XLOOKUP(A602,'菜品日销量'!$A$5:$A$1124,'菜品日销量'!$G$5:$G$1124,0)</x:f>
        <x:v>37</x:v>
      </x:c>
      <x:c r="I602" s="20" t="n">
        <x:f>ROUNDUP(H602/2,0)</x:f>
        <x:v>19</x:v>
      </x:c>
      <x:c r="J602" s="22" t="n">
        <x:f>SUMIFS('菜谱BOM'!$F$5:$F$160,'菜谱BOM'!$A$5:$A$160,E602,'菜谱BOM'!$C$5:$C$160,"食材")</x:f>
        <x:v>300</x:v>
      </x:c>
      <x:c r="K602" s="38" t="n">
        <x:v>-0.002250957394542861</x:v>
      </x:c>
      <x:c r="L602" s="35" t="n">
        <x:f>H602*J602*(1+K602)</x:f>
        <x:v>11075.014372920574</x:v>
      </x:c>
      <x:c r="M602" s="35" t="n">
        <x:f>SUMIFS('菜谱BOM'!$F$5:$F$160,'菜谱BOM'!$A$5:$A$160,E602,'菜谱BOM'!$C$5:$C$160,"调料")</x:f>
        <x:v>53</x:v>
      </x:c>
      <x:c r="N602" s="38" t="n">
        <x:v>0.0015421460167370147</x:v>
      </x:c>
      <x:c r="O602" s="35" t="n">
        <x:f>H602*M602*(1+N602)</x:f>
        <x:v>1964.0241483388213</x:v>
      </x:c>
      <x:c r="P602" s="19" t="str">
        <x:f>IF(ABS(N602)&gt;'封面与口径'!$O$25,"机器调料需复核",IF(ABS(K602)&gt;0.02,"人工称重需复核","正常"))</x:f>
        <x:v>正常</x:v>
      </x:c>
      <x:c r="Q602" s="19" t="str">
        <x:v>谢东</x:v>
      </x:c>
    </x:row>
    <x:row r="603">
      <x:c r="A603" s="19" t="str">
        <x:v>2026-07-07|S06|D04</x:v>
      </x:c>
      <x:c r="B603" s="34" t="n">
        <x:v>46210.5</x:v>
      </x:c>
      <x:c r="C603" s="19" t="str">
        <x:v>S06</x:v>
      </x:c>
      <x:c r="D603" s="19" t="str">
        <x:v>蓝钻天城店</x:v>
      </x:c>
      <x:c r="E603" s="19" t="str">
        <x:v>D04</x:v>
      </x:c>
      <x:c r="F603" s="19" t="str">
        <x:v>酸包菜炒粉皮</x:v>
      </x:c>
      <x:c r="G603" s="19" t="str">
        <x:v>R1.0</x:v>
      </x:c>
      <x:c r="H603" s="20" t="n">
        <x:f>XLOOKUP(A603,'菜品日销量'!$A$5:$A$1124,'菜品日销量'!$G$5:$G$1124,0)</x:f>
        <x:v>33</x:v>
      </x:c>
      <x:c r="I603" s="20" t="n">
        <x:f>ROUNDUP(H603/2,0)</x:f>
        <x:v>17</x:v>
      </x:c>
      <x:c r="J603" s="22" t="n">
        <x:f>SUMIFS('菜谱BOM'!$F$5:$F$160,'菜谱BOM'!$A$5:$A$160,E603,'菜谱BOM'!$C$5:$C$160,"食材")</x:f>
        <x:v>380</x:v>
      </x:c>
      <x:c r="K603" s="38" t="n">
        <x:v>0.00310621830334566</x:v>
      </x:c>
      <x:c r="L603" s="35" t="n">
        <x:f>H603*J603*(1+K603)</x:f>
        <x:v>12578.951977523955</x:v>
      </x:c>
      <x:c r="M603" s="35" t="n">
        <x:f>SUMIFS('菜谱BOM'!$F$5:$F$160,'菜谱BOM'!$A$5:$A$160,E603,'菜谱BOM'!$C$5:$C$160,"调料")</x:f>
        <x:v>47</x:v>
      </x:c>
      <x:c r="N603" s="38" t="n">
        <x:v>0.0010124431846226668</x:v>
      </x:c>
      <x:c r="O603" s="35" t="n">
        <x:f>H603*M603*(1+N603)</x:f>
        <x:v>1552.5702993793495</x:v>
      </x:c>
      <x:c r="P603" s="19" t="str">
        <x:f>IF(ABS(N603)&gt;'封面与口径'!$O$25,"机器调料需复核",IF(ABS(K603)&gt;0.02,"人工称重需复核","正常"))</x:f>
        <x:v>正常</x:v>
      </x:c>
      <x:c r="Q603" s="19" t="str">
        <x:v>谢东</x:v>
      </x:c>
    </x:row>
    <x:row r="604">
      <x:c r="A604" s="19" t="str">
        <x:v>2026-07-07|S06|D05</x:v>
      </x:c>
      <x:c r="B604" s="34" t="n">
        <x:v>46210.5</x:v>
      </x:c>
      <x:c r="C604" s="19" t="str">
        <x:v>S06</x:v>
      </x:c>
      <x:c r="D604" s="19" t="str">
        <x:v>蓝钻天城店</x:v>
      </x:c>
      <x:c r="E604" s="19" t="str">
        <x:v>D05</x:v>
      </x:c>
      <x:c r="F604" s="19" t="str">
        <x:v>麻婆豆腐</x:v>
      </x:c>
      <x:c r="G604" s="19" t="str">
        <x:v>R1.0</x:v>
      </x:c>
      <x:c r="H604" s="20" t="n">
        <x:f>XLOOKUP(A604,'菜品日销量'!$A$5:$A$1124,'菜品日销量'!$G$5:$G$1124,0)</x:f>
        <x:v>53</x:v>
      </x:c>
      <x:c r="I604" s="20" t="n">
        <x:f>ROUNDUP(H604/2,0)</x:f>
        <x:v>27</x:v>
      </x:c>
      <x:c r="J604" s="22" t="n">
        <x:f>SUMIFS('菜谱BOM'!$F$5:$F$160,'菜谱BOM'!$A$5:$A$160,E604,'菜谱BOM'!$C$5:$C$160,"食材")</x:f>
        <x:v>505</x:v>
      </x:c>
      <x:c r="K604" s="38" t="n">
        <x:v>-0.000019565822561170344</x:v>
      </x:c>
      <x:c r="L604" s="35" t="n">
        <x:f>H604*J604*(1+K604)</x:f>
        <x:v>26764.476320759153</x:v>
      </x:c>
      <x:c r="M604" s="35" t="n">
        <x:f>SUMIFS('菜谱BOM'!$F$5:$F$160,'菜谱BOM'!$A$5:$A$160,E604,'菜谱BOM'!$C$5:$C$160,"调料")</x:f>
        <x:v>90</x:v>
      </x:c>
      <x:c r="N604" s="38" t="n">
        <x:v>0.00019716041772560233</x:v>
      </x:c>
      <x:c r="O604" s="35" t="n">
        <x:f>H604*M604*(1+N604)</x:f>
        <x:v>4770.940455192551</x:v>
      </x:c>
      <x:c r="P604" s="19" t="str">
        <x:f>IF(ABS(N604)&gt;'封面与口径'!$O$25,"机器调料需复核",IF(ABS(K604)&gt;0.02,"人工称重需复核","正常"))</x:f>
        <x:v>正常</x:v>
      </x:c>
      <x:c r="Q604" s="19" t="str">
        <x:v>谢东</x:v>
      </x:c>
    </x:row>
    <x:row r="605">
      <x:c r="A605" s="19" t="str">
        <x:v>2026-07-07|S06|D07</x:v>
      </x:c>
      <x:c r="B605" s="34" t="n">
        <x:v>46210.5</x:v>
      </x:c>
      <x:c r="C605" s="19" t="str">
        <x:v>S06</x:v>
      </x:c>
      <x:c r="D605" s="19" t="str">
        <x:v>蓝钻天城店</x:v>
      </x:c>
      <x:c r="E605" s="19" t="str">
        <x:v>D07</x:v>
      </x:c>
      <x:c r="F605" s="19" t="str">
        <x:v>川味回锅肉</x:v>
      </x:c>
      <x:c r="G605" s="19" t="str">
        <x:v>R1.0</x:v>
      </x:c>
      <x:c r="H605" s="20" t="n">
        <x:f>XLOOKUP(A605,'菜品日销量'!$A$5:$A$1124,'菜品日销量'!$G$5:$G$1124,0)</x:f>
        <x:v>15</x:v>
      </x:c>
      <x:c r="I605" s="20" t="n">
        <x:f>ROUNDUP(H605/2,0)</x:f>
        <x:v>8</x:v>
      </x:c>
      <x:c r="J605" s="22" t="n">
        <x:f>SUMIFS('菜谱BOM'!$F$5:$F$160,'菜谱BOM'!$A$5:$A$160,E605,'菜谱BOM'!$C$5:$C$160,"食材")</x:f>
        <x:v>450</x:v>
      </x:c>
      <x:c r="K605" s="38" t="n">
        <x:v>-0.003857853810269817</x:v>
      </x:c>
      <x:c r="L605" s="35" t="n">
        <x:f>H605*J605*(1+K605)</x:f>
        <x:v>6723.959486780679</x:v>
      </x:c>
      <x:c r="M605" s="35" t="n">
        <x:f>SUMIFS('菜谱BOM'!$F$5:$F$160,'菜谱BOM'!$A$5:$A$160,E605,'菜谱BOM'!$C$5:$C$160,"调料")</x:f>
        <x:v>63</x:v>
      </x:c>
      <x:c r="N605" s="38" t="n">
        <x:v>-0.001389288596666718</x:v>
      </x:c>
      <x:c r="O605" s="35" t="n">
        <x:f>H605*M605*(1+N605)</x:f>
        <x:v>943.6871222761499</x:v>
      </x:c>
      <x:c r="P605" s="19" t="str">
        <x:f>IF(ABS(N605)&gt;'封面与口径'!$O$25,"机器调料需复核",IF(ABS(K605)&gt;0.02,"人工称重需复核","正常"))</x:f>
        <x:v>正常</x:v>
      </x:c>
      <x:c r="Q605" s="19" t="str">
        <x:v>谢东</x:v>
      </x:c>
    </x:row>
    <x:row r="606">
      <x:c r="A606" s="19" t="str">
        <x:v>2026-07-07|S06|D08</x:v>
      </x:c>
      <x:c r="B606" s="34" t="n">
        <x:v>46210.5</x:v>
      </x:c>
      <x:c r="C606" s="19" t="str">
        <x:v>S06</x:v>
      </x:c>
      <x:c r="D606" s="19" t="str">
        <x:v>蓝钻天城店</x:v>
      </x:c>
      <x:c r="E606" s="19" t="str">
        <x:v>D08</x:v>
      </x:c>
      <x:c r="F606" s="19" t="str">
        <x:v>生炒清远鸡</x:v>
      </x:c>
      <x:c r="G606" s="19" t="str">
        <x:v>R1.0</x:v>
      </x:c>
      <x:c r="H606" s="20" t="n">
        <x:f>XLOOKUP(A606,'菜品日销量'!$A$5:$A$1124,'菜品日销量'!$G$5:$G$1124,0)</x:f>
        <x:v>12</x:v>
      </x:c>
      <x:c r="I606" s="20" t="n">
        <x:f>ROUNDUP(H606/2,0)</x:f>
        <x:v>6</x:v>
      </x:c>
      <x:c r="J606" s="22" t="n">
        <x:f>SUMIFS('菜谱BOM'!$F$5:$F$160,'菜谱BOM'!$A$5:$A$160,E606,'菜谱BOM'!$C$5:$C$160,"食材")</x:f>
        <x:v>610</x:v>
      </x:c>
      <x:c r="K606" s="38" t="n">
        <x:v>0.005755867074652544</x:v>
      </x:c>
      <x:c r="L606" s="35" t="n">
        <x:f>H606*J606*(1+K606)</x:f>
        <x:v>7362.132946986456</x:v>
      </x:c>
      <x:c r="M606" s="35" t="n">
        <x:f>SUMIFS('菜谱BOM'!$F$5:$F$160,'菜谱BOM'!$A$5:$A$160,E606,'菜谱BOM'!$C$5:$C$160,"调料")</x:f>
        <x:v>61</x:v>
      </x:c>
      <x:c r="N606" s="38" t="n">
        <x:v>0.001514118093884112</x:v>
      </x:c>
      <x:c r="O606" s="35" t="n">
        <x:f>H606*M606*(1+N606)</x:f>
        <x:v>733.1083344447231</x:v>
      </x:c>
      <x:c r="P606" s="19" t="str">
        <x:f>IF(ABS(N606)&gt;'封面与口径'!$O$25,"机器调料需复核",IF(ABS(K606)&gt;0.02,"人工称重需复核","正常"))</x:f>
        <x:v>正常</x:v>
      </x:c>
      <x:c r="Q606" s="19" t="str">
        <x:v>谢东</x:v>
      </x:c>
    </x:row>
    <x:row r="607">
      <x:c r="A607" s="19" t="str">
        <x:v>2026-07-07|S06|D09</x:v>
      </x:c>
      <x:c r="B607" s="34" t="n">
        <x:v>46210.5</x:v>
      </x:c>
      <x:c r="C607" s="19" t="str">
        <x:v>S06</x:v>
      </x:c>
      <x:c r="D607" s="19" t="str">
        <x:v>蓝钻天城店</x:v>
      </x:c>
      <x:c r="E607" s="19" t="str">
        <x:v>D09</x:v>
      </x:c>
      <x:c r="F607" s="19" t="str">
        <x:v>炒豆干</x:v>
      </x:c>
      <x:c r="G607" s="19" t="str">
        <x:v>R1.0</x:v>
      </x:c>
      <x:c r="H607" s="20" t="n">
        <x:f>XLOOKUP(A607,'菜品日销量'!$A$5:$A$1124,'菜品日销量'!$G$5:$G$1124,0)</x:f>
        <x:v>15</x:v>
      </x:c>
      <x:c r="I607" s="20" t="n">
        <x:f>ROUNDUP(H607/2,0)</x:f>
        <x:v>8</x:v>
      </x:c>
      <x:c r="J607" s="22" t="n">
        <x:f>SUMIFS('菜谱BOM'!$F$5:$F$160,'菜谱BOM'!$A$5:$A$160,E607,'菜谱BOM'!$C$5:$C$160,"食材")</x:f>
        <x:v>520</x:v>
      </x:c>
      <x:c r="K607" s="38" t="n">
        <x:v>-0.0020223607593268067</x:v>
      </x:c>
      <x:c r="L607" s="35" t="n">
        <x:f>H607*J607*(1+K607)</x:f>
        <x:v>7784.225586077251</x:v>
      </x:c>
      <x:c r="M607" s="35" t="n">
        <x:f>SUMIFS('菜谱BOM'!$F$5:$F$160,'菜谱BOM'!$A$5:$A$160,E607,'菜谱BOM'!$C$5:$C$160,"调料")</x:f>
        <x:v>42</x:v>
      </x:c>
      <x:c r="N607" s="38" t="n">
        <x:v>0.00019653534754098746</x:v>
      </x:c>
      <x:c r="O607" s="35" t="n">
        <x:f>H607*M607*(1+N607)</x:f>
        <x:v>630.1238172689509</x:v>
      </x:c>
      <x:c r="P607" s="19" t="str">
        <x:f>IF(ABS(N607)&gt;'封面与口径'!$O$25,"机器调料需复核",IF(ABS(K607)&gt;0.02,"人工称重需复核","正常"))</x:f>
        <x:v>正常</x:v>
      </x:c>
      <x:c r="Q607" s="19" t="str">
        <x:v>谢东</x:v>
      </x:c>
    </x:row>
    <x:row r="608">
      <x:c r="A608" s="19" t="str">
        <x:v>2026-07-07|S06|D10</x:v>
      </x:c>
      <x:c r="B608" s="34" t="n">
        <x:v>46210.5</x:v>
      </x:c>
      <x:c r="C608" s="19" t="str">
        <x:v>S06</x:v>
      </x:c>
      <x:c r="D608" s="19" t="str">
        <x:v>蓝钻天城店</x:v>
      </x:c>
      <x:c r="E608" s="19" t="str">
        <x:v>D10</x:v>
      </x:c>
      <x:c r="F608" s="19" t="str">
        <x:v>农家一碗香</x:v>
      </x:c>
      <x:c r="G608" s="19" t="str">
        <x:v>R2.3</x:v>
      </x:c>
      <x:c r="H608" s="20" t="n">
        <x:f>XLOOKUP(A608,'菜品日销量'!$A$5:$A$1124,'菜品日销量'!$G$5:$G$1124,0)</x:f>
        <x:v>18</x:v>
      </x:c>
      <x:c r="I608" s="20" t="n">
        <x:f>ROUNDUP(H608/2,0)</x:f>
        <x:v>9</x:v>
      </x:c>
      <x:c r="J608" s="22" t="n">
        <x:f>SUMIFS('菜谱BOM'!$F$5:$F$160,'菜谱BOM'!$A$5:$A$160,E608,'菜谱BOM'!$C$5:$C$160,"食材")</x:f>
        <x:v>510</x:v>
      </x:c>
      <x:c r="K608" s="38" t="n">
        <x:v>-0.005181210722117967</x:v>
      </x:c>
      <x:c r="L608" s="35" t="n">
        <x:f>H608*J608*(1+K608)</x:f>
        <x:v>9132.436485570957</x:v>
      </x:c>
      <x:c r="M608" s="35" t="n">
        <x:f>SUMIFS('菜谱BOM'!$F$5:$F$160,'菜谱BOM'!$A$5:$A$160,E608,'菜谱BOM'!$C$5:$C$160,"调料")</x:f>
        <x:v>88</x:v>
      </x:c>
      <x:c r="N608" s="38" t="n">
        <x:v>0.0013371648833474996</x:v>
      </x:c>
      <x:c r="O608" s="35" t="n">
        <x:f>H608*M608*(1+N608)</x:f>
        <x:v>1586.1180691752224</x:v>
      </x:c>
      <x:c r="P608" s="19" t="str">
        <x:f>IF(ABS(N608)&gt;'封面与口径'!$O$25,"机器调料需复核",IF(ABS(K608)&gt;0.02,"人工称重需复核","正常"))</x:f>
        <x:v>正常</x:v>
      </x:c>
      <x:c r="Q608" s="19" t="str">
        <x:v>谢东</x:v>
      </x:c>
    </x:row>
    <x:row r="609">
      <x:c r="A609" s="19" t="str">
        <x:v>2026-07-07|S06|D11</x:v>
      </x:c>
      <x:c r="B609" s="34" t="n">
        <x:v>46210.5</x:v>
      </x:c>
      <x:c r="C609" s="19" t="str">
        <x:v>S06</x:v>
      </x:c>
      <x:c r="D609" s="19" t="str">
        <x:v>蓝钻天城店</x:v>
      </x:c>
      <x:c r="E609" s="19" t="str">
        <x:v>D11</x:v>
      </x:c>
      <x:c r="F609" s="19" t="str">
        <x:v>香辣爆肥肠</x:v>
      </x:c>
      <x:c r="G609" s="19" t="str">
        <x:v>R1.0</x:v>
      </x:c>
      <x:c r="H609" s="20" t="n">
        <x:f>XLOOKUP(A609,'菜品日销量'!$A$5:$A$1124,'菜品日销量'!$G$5:$G$1124,0)</x:f>
        <x:v>7</x:v>
      </x:c>
      <x:c r="I609" s="20" t="n">
        <x:f>ROUNDUP(H609/2,0)</x:f>
        <x:v>4</x:v>
      </x:c>
      <x:c r="J609" s="22" t="n">
        <x:f>SUMIFS('菜谱BOM'!$F$5:$F$160,'菜谱BOM'!$A$5:$A$160,E609,'菜谱BOM'!$C$5:$C$160,"食材")</x:f>
        <x:v>430</x:v>
      </x:c>
      <x:c r="K609" s="38" t="n">
        <x:v>-0.005339370756721909</x:v>
      </x:c>
      <x:c r="L609" s="35" t="n">
        <x:f>H609*J609*(1+K609)</x:f>
        <x:v>2993.9284940222674</x:v>
      </x:c>
      <x:c r="M609" s="35" t="n">
        <x:f>SUMIFS('菜谱BOM'!$F$5:$F$160,'菜谱BOM'!$A$5:$A$160,E609,'菜谱BOM'!$C$5:$C$160,"调料")</x:f>
        <x:v>67</x:v>
      </x:c>
      <x:c r="N609" s="38" t="n">
        <x:v>0.001878083804593907</x:v>
      </x:c>
      <x:c r="O609" s="35" t="n">
        <x:f>H609*M609*(1+N609)</x:f>
        <x:v>469.8808213043546</x:v>
      </x:c>
      <x:c r="P609" s="19" t="str">
        <x:f>IF(ABS(N609)&gt;'封面与口径'!$O$25,"机器调料需复核",IF(ABS(K609)&gt;0.02,"人工称重需复核","正常"))</x:f>
        <x:v>正常</x:v>
      </x:c>
      <x:c r="Q609" s="19" t="str">
        <x:v>谢东</x:v>
      </x:c>
    </x:row>
    <x:row r="610">
      <x:c r="A610" s="19" t="str">
        <x:v>2026-07-07|S06|D13</x:v>
      </x:c>
      <x:c r="B610" s="34" t="n">
        <x:v>46210.5</x:v>
      </x:c>
      <x:c r="C610" s="19" t="str">
        <x:v>S06</x:v>
      </x:c>
      <x:c r="D610" s="19" t="str">
        <x:v>蓝钻天城店</x:v>
      </x:c>
      <x:c r="E610" s="19" t="str">
        <x:v>D13</x:v>
      </x:c>
      <x:c r="F610" s="19" t="str">
        <x:v>外婆菜炒蛋</x:v>
      </x:c>
      <x:c r="G610" s="19" t="str">
        <x:v>R1.0</x:v>
      </x:c>
      <x:c r="H610" s="20" t="n">
        <x:f>XLOOKUP(A610,'菜品日销量'!$A$5:$A$1124,'菜品日销量'!$G$5:$G$1124,0)</x:f>
        <x:v>15</x:v>
      </x:c>
      <x:c r="I610" s="20" t="n">
        <x:f>ROUNDUP(H610/2,0)</x:f>
        <x:v>8</x:v>
      </x:c>
      <x:c r="J610" s="22" t="n">
        <x:f>SUMIFS('菜谱BOM'!$F$5:$F$160,'菜谱BOM'!$A$5:$A$160,E610,'菜谱BOM'!$C$5:$C$160,"食材")</x:f>
        <x:v>450</x:v>
      </x:c>
      <x:c r="K610" s="38" t="n">
        <x:v>0.0037895566625030614</x:v>
      </x:c>
      <x:c r="L610" s="35" t="n">
        <x:f>H610*J610*(1+K610)</x:f>
        <x:v>6775.579507471895</x:v>
      </x:c>
      <x:c r="M610" s="35" t="n">
        <x:f>SUMIFS('菜谱BOM'!$F$5:$F$160,'菜谱BOM'!$A$5:$A$160,E610,'菜谱BOM'!$C$5:$C$160,"调料")</x:f>
        <x:v>37</x:v>
      </x:c>
      <x:c r="N610" s="38" t="n">
        <x:v>0.0013791097810908943</x:v>
      </x:c>
      <x:c r="O610" s="35" t="n">
        <x:f>H610*M610*(1+N610)</x:f>
        <x:v>555.7654059285054</x:v>
      </x:c>
      <x:c r="P610" s="19" t="str">
        <x:f>IF(ABS(N610)&gt;'封面与口径'!$O$25,"机器调料需复核",IF(ABS(K610)&gt;0.02,"人工称重需复核","正常"))</x:f>
        <x:v>正常</x:v>
      </x:c>
      <x:c r="Q610" s="19" t="str">
        <x:v>谢东</x:v>
      </x:c>
    </x:row>
    <x:row r="611">
      <x:c r="A611" s="19" t="str">
        <x:v>2026-07-07|S06|D14</x:v>
      </x:c>
      <x:c r="B611" s="34" t="n">
        <x:v>46210.5</x:v>
      </x:c>
      <x:c r="C611" s="19" t="str">
        <x:v>S06</x:v>
      </x:c>
      <x:c r="D611" s="19" t="str">
        <x:v>蓝钻天城店</x:v>
      </x:c>
      <x:c r="E611" s="19" t="str">
        <x:v>D14</x:v>
      </x:c>
      <x:c r="F611" s="19" t="str">
        <x:v>酸辣鸡杂</x:v>
      </x:c>
      <x:c r="G611" s="19" t="str">
        <x:v>R1.0</x:v>
      </x:c>
      <x:c r="H611" s="20" t="n">
        <x:f>XLOOKUP(A611,'菜品日销量'!$A$5:$A$1124,'菜品日销量'!$G$5:$G$1124,0)</x:f>
        <x:v>8</x:v>
      </x:c>
      <x:c r="I611" s="20" t="n">
        <x:f>ROUNDUP(H611/2,0)</x:f>
        <x:v>4</x:v>
      </x:c>
      <x:c r="J611" s="22" t="n">
        <x:f>SUMIFS('菜谱BOM'!$F$5:$F$160,'菜谱BOM'!$A$5:$A$160,E611,'菜谱BOM'!$C$5:$C$160,"食材")</x:f>
        <x:v>470</x:v>
      </x:c>
      <x:c r="K611" s="38" t="n">
        <x:v>0.0031073103163175536</x:v>
      </x:c>
      <x:c r="L611" s="35" t="n">
        <x:f>H611*J611*(1+K611)</x:f>
        <x:v>3771.683486789354</x:v>
      </x:c>
      <x:c r="M611" s="35" t="n">
        <x:f>SUMIFS('菜谱BOM'!$F$5:$F$160,'菜谱BOM'!$A$5:$A$160,E611,'菜谱BOM'!$C$5:$C$160,"调料")</x:f>
        <x:v>60</x:v>
      </x:c>
      <x:c r="N611" s="38" t="n">
        <x:v>0.0017143810027545271</x:v>
      </x:c>
      <x:c r="O611" s="35" t="n">
        <x:f>H611*M611*(1+N611)</x:f>
        <x:v>480.82290288132214</x:v>
      </x:c>
      <x:c r="P611" s="19" t="str">
        <x:f>IF(ABS(N611)&gt;'封面与口径'!$O$25,"机器调料需复核",IF(ABS(K611)&gt;0.02,"人工称重需复核","正常"))</x:f>
        <x:v>正常</x:v>
      </x:c>
      <x:c r="Q611" s="19" t="str">
        <x:v>谢东</x:v>
      </x:c>
    </x:row>
    <x:row r="612">
      <x:c r="A612" s="19" t="str">
        <x:v>2026-07-07|S06|D15</x:v>
      </x:c>
      <x:c r="B612" s="34" t="n">
        <x:v>46210.5</x:v>
      </x:c>
      <x:c r="C612" s="19" t="str">
        <x:v>S06</x:v>
      </x:c>
      <x:c r="D612" s="19" t="str">
        <x:v>蓝钻天城店</x:v>
      </x:c>
      <x:c r="E612" s="19" t="str">
        <x:v>D15</x:v>
      </x:c>
      <x:c r="F612" s="19" t="str">
        <x:v>湘西土匪猪肝</x:v>
      </x:c>
      <x:c r="G612" s="19" t="str">
        <x:v>R1.0</x:v>
      </x:c>
      <x:c r="H612" s="20" t="n">
        <x:f>XLOOKUP(A612,'菜品日销量'!$A$5:$A$1124,'菜品日销量'!$G$5:$G$1124,0)</x:f>
        <x:v>7</x:v>
      </x:c>
      <x:c r="I612" s="20" t="n">
        <x:f>ROUNDUP(H612/2,0)</x:f>
        <x:v>4</x:v>
      </x:c>
      <x:c r="J612" s="22" t="n">
        <x:f>SUMIFS('菜谱BOM'!$F$5:$F$160,'菜谱BOM'!$A$5:$A$160,E612,'菜谱BOM'!$C$5:$C$160,"食材")</x:f>
        <x:v>470</x:v>
      </x:c>
      <x:c r="K612" s="38" t="n">
        <x:v>-0.005701569720567569</x:v>
      </x:c>
      <x:c r="L612" s="35" t="n">
        <x:f>H612*J612*(1+K612)</x:f>
        <x:v>3271.2418356193325</x:v>
      </x:c>
      <x:c r="M612" s="35" t="n">
        <x:f>SUMIFS('菜谱BOM'!$F$5:$F$160,'菜谱BOM'!$A$5:$A$160,E612,'菜谱BOM'!$C$5:$C$160,"调料")</x:f>
        <x:v>49</x:v>
      </x:c>
      <x:c r="N612" s="38" t="n">
        <x:v>-0.0016112488833282257</x:v>
      </x:c>
      <x:c r="O612" s="35" t="n">
        <x:f>H612*M612*(1+N612)</x:f>
        <x:v>342.4473416330184</x:v>
      </x:c>
      <x:c r="P612" s="19" t="str">
        <x:f>IF(ABS(N612)&gt;'封面与口径'!$O$25,"机器调料需复核",IF(ABS(K612)&gt;0.02,"人工称重需复核","正常"))</x:f>
        <x:v>正常</x:v>
      </x:c>
      <x:c r="Q612" s="19" t="str">
        <x:v>谢东</x:v>
      </x:c>
    </x:row>
    <x:row r="613">
      <x:c r="A613" s="19" t="str">
        <x:v>2026-07-07|S06|D16</x:v>
      </x:c>
      <x:c r="B613" s="34" t="n">
        <x:v>46210.5</x:v>
      </x:c>
      <x:c r="C613" s="19" t="str">
        <x:v>S06</x:v>
      </x:c>
      <x:c r="D613" s="19" t="str">
        <x:v>蓝钻天城店</x:v>
      </x:c>
      <x:c r="E613" s="19" t="str">
        <x:v>D16</x:v>
      </x:c>
      <x:c r="F613" s="19" t="str">
        <x:v>小豆角炒五花</x:v>
      </x:c>
      <x:c r="G613" s="19" t="str">
        <x:v>R1.0</x:v>
      </x:c>
      <x:c r="H613" s="20" t="n">
        <x:f>XLOOKUP(A613,'菜品日销量'!$A$5:$A$1124,'菜品日销量'!$G$5:$G$1124,0)</x:f>
        <x:v>7</x:v>
      </x:c>
      <x:c r="I613" s="20" t="n">
        <x:f>ROUNDUP(H613/2,0)</x:f>
        <x:v>4</x:v>
      </x:c>
      <x:c r="J613" s="22" t="n">
        <x:f>SUMIFS('菜谱BOM'!$F$5:$F$160,'菜谱BOM'!$A$5:$A$160,E613,'菜谱BOM'!$C$5:$C$160,"食材")</x:f>
        <x:v>450</x:v>
      </x:c>
      <x:c r="K613" s="38" t="n">
        <x:v>-0.005016465726545189</x:v>
      </x:c>
      <x:c r="L613" s="35" t="n">
        <x:f>H613*J613*(1+K613)</x:f>
        <x:v>3134.1981329613827</x:v>
      </x:c>
      <x:c r="M613" s="35" t="n">
        <x:f>SUMIFS('菜谱BOM'!$F$5:$F$160,'菜谱BOM'!$A$5:$A$160,E613,'菜谱BOM'!$C$5:$C$160,"调料")</x:f>
        <x:v>42</x:v>
      </x:c>
      <x:c r="N613" s="38" t="n">
        <x:v>0.0013397029739198514</x:v>
      </x:c>
      <x:c r="O613" s="35" t="n">
        <x:f>H613*M613*(1+N613)</x:f>
        <x:v>294.39387267433244</x:v>
      </x:c>
      <x:c r="P613" s="19" t="str">
        <x:f>IF(ABS(N613)&gt;'封面与口径'!$O$25,"机器调料需复核",IF(ABS(K613)&gt;0.02,"人工称重需复核","正常"))</x:f>
        <x:v>正常</x:v>
      </x:c>
      <x:c r="Q613" s="19" t="str">
        <x:v>谢东</x:v>
      </x:c>
    </x:row>
    <x:row r="614">
      <x:c r="A614" s="19" t="str">
        <x:v>2026-07-07|S06|D18</x:v>
      </x:c>
      <x:c r="B614" s="34" t="n">
        <x:v>46210.5</x:v>
      </x:c>
      <x:c r="C614" s="19" t="str">
        <x:v>S06</x:v>
      </x:c>
      <x:c r="D614" s="19" t="str">
        <x:v>蓝钻天城店</x:v>
      </x:c>
      <x:c r="E614" s="19" t="str">
        <x:v>D18</x:v>
      </x:c>
      <x:c r="F614" s="19" t="str">
        <x:v>青椒炒油麦菜</x:v>
      </x:c>
      <x:c r="G614" s="19" t="str">
        <x:v>R1.0</x:v>
      </x:c>
      <x:c r="H614" s="20" t="n">
        <x:f>XLOOKUP(A614,'菜品日销量'!$A$5:$A$1124,'菜品日销量'!$G$5:$G$1124,0)</x:f>
        <x:v>7</x:v>
      </x:c>
      <x:c r="I614" s="20" t="n">
        <x:f>ROUNDUP(H614/2,0)</x:f>
        <x:v>4</x:v>
      </x:c>
      <x:c r="J614" s="22" t="n">
        <x:f>SUMIFS('菜谱BOM'!$F$5:$F$160,'菜谱BOM'!$A$5:$A$160,E614,'菜谱BOM'!$C$5:$C$160,"食材")</x:f>
        <x:v>430</x:v>
      </x:c>
      <x:c r="K614" s="38" t="n">
        <x:v>-0.0006790199225486769</x:v>
      </x:c>
      <x:c r="L614" s="35" t="n">
        <x:f>H614*J614*(1+K614)</x:f>
        <x:v>3007.9561500331283</x:v>
      </x:c>
      <x:c r="M614" s="35" t="n">
        <x:f>SUMIFS('菜谱BOM'!$F$5:$F$160,'菜谱BOM'!$A$5:$A$160,E614,'菜谱BOM'!$C$5:$C$160,"调料")</x:f>
        <x:v>33</x:v>
      </x:c>
      <x:c r="N614" s="38" t="n">
        <x:v>0.0019269488425755288</x:v>
      </x:c>
      <x:c r="O614" s="35" t="n">
        <x:f>H614*M614*(1+N614)</x:f>
        <x:v>231.44512518263494</x:v>
      </x:c>
      <x:c r="P614" s="19" t="str">
        <x:f>IF(ABS(N614)&gt;'封面与口径'!$O$25,"机器调料需复核",IF(ABS(K614)&gt;0.02,"人工称重需复核","正常"))</x:f>
        <x:v>正常</x:v>
      </x:c>
      <x:c r="Q614" s="19" t="str">
        <x:v>谢东</x:v>
      </x:c>
    </x:row>
    <x:row r="615">
      <x:c r="A615" s="19" t="str">
        <x:v>2026-07-07|S06|D19</x:v>
      </x:c>
      <x:c r="B615" s="34" t="n">
        <x:v>46210.5</x:v>
      </x:c>
      <x:c r="C615" s="19" t="str">
        <x:v>S06</x:v>
      </x:c>
      <x:c r="D615" s="19" t="str">
        <x:v>蓝钻天城店</x:v>
      </x:c>
      <x:c r="E615" s="19" t="str">
        <x:v>D19</x:v>
      </x:c>
      <x:c r="F615" s="19" t="str">
        <x:v>酸萝卜炒鸡杂</x:v>
      </x:c>
      <x:c r="G615" s="19" t="str">
        <x:v>R1.0</x:v>
      </x:c>
      <x:c r="H615" s="20" t="n">
        <x:f>XLOOKUP(A615,'菜品日销量'!$A$5:$A$1124,'菜品日销量'!$G$5:$G$1124,0)</x:f>
        <x:v>6</x:v>
      </x:c>
      <x:c r="I615" s="20" t="n">
        <x:f>ROUNDUP(H615/2,0)</x:f>
        <x:v>3</x:v>
      </x:c>
      <x:c r="J615" s="22" t="n">
        <x:f>SUMIFS('菜谱BOM'!$F$5:$F$160,'菜谱BOM'!$A$5:$A$160,E615,'菜谱BOM'!$C$5:$C$160,"食材")</x:f>
        <x:v>500</x:v>
      </x:c>
      <x:c r="K615" s="38" t="n">
        <x:v>-0.0073589313624796765</x:v>
      </x:c>
      <x:c r="L615" s="35" t="n">
        <x:f>H615*J615*(1+K615)</x:f>
        <x:v>2977.923205912561</x:v>
      </x:c>
      <x:c r="M615" s="35" t="n">
        <x:f>SUMIFS('菜谱BOM'!$F$5:$F$160,'菜谱BOM'!$A$5:$A$160,E615,'菜谱BOM'!$C$5:$C$160,"调料")</x:f>
        <x:v>55</x:v>
      </x:c>
      <x:c r="N615" s="38" t="n">
        <x:v>0.0016113663333494604</x:v>
      </x:c>
      <x:c r="O615" s="35" t="n">
        <x:f>H615*M615*(1+N615)</x:f>
        <x:v>330.5317508900053</x:v>
      </x:c>
      <x:c r="P615" s="19" t="str">
        <x:f>IF(ABS(N615)&gt;'封面与口径'!$O$25,"机器调料需复核",IF(ABS(K615)&gt;0.02,"人工称重需复核","正常"))</x:f>
        <x:v>正常</x:v>
      </x:c>
      <x:c r="Q615" s="19" t="str">
        <x:v>谢东</x:v>
      </x:c>
    </x:row>
    <x:row r="616">
      <x:c r="A616" s="19" t="str">
        <x:v>2026-07-07|S06|D20</x:v>
      </x:c>
      <x:c r="B616" s="34" t="n">
        <x:v>46210.5</x:v>
      </x:c>
      <x:c r="C616" s="19" t="str">
        <x:v>S06</x:v>
      </x:c>
      <x:c r="D616" s="19" t="str">
        <x:v>蓝钻天城店</x:v>
      </x:c>
      <x:c r="E616" s="19" t="str">
        <x:v>D20</x:v>
      </x:c>
      <x:c r="F616" s="19" t="str">
        <x:v>雪菜肉末青豆</x:v>
      </x:c>
      <x:c r="G616" s="19" t="str">
        <x:v>R1.0</x:v>
      </x:c>
      <x:c r="H616" s="20" t="n">
        <x:f>XLOOKUP(A616,'菜品日销量'!$A$5:$A$1124,'菜品日销量'!$G$5:$G$1124,0)</x:f>
        <x:v>7</x:v>
      </x:c>
      <x:c r="I616" s="20" t="n">
        <x:f>ROUNDUP(H616/2,0)</x:f>
        <x:v>4</x:v>
      </x:c>
      <x:c r="J616" s="22" t="n">
        <x:f>SUMIFS('菜谱BOM'!$F$5:$F$160,'菜谱BOM'!$A$5:$A$160,E616,'菜谱BOM'!$C$5:$C$160,"食材")</x:f>
        <x:v>465</x:v>
      </x:c>
      <x:c r="K616" s="38" t="n">
        <x:v>0.0033464513000441834</x:v>
      </x:c>
      <x:c r="L616" s="35" t="n">
        <x:f>H616*J616*(1+K616)</x:f>
        <x:v>3265.8926989816437</x:v>
      </x:c>
      <x:c r="M616" s="35" t="n">
        <x:f>SUMIFS('菜谱BOM'!$F$5:$F$160,'菜谱BOM'!$A$5:$A$160,E616,'菜谱BOM'!$C$5:$C$160,"调料")</x:f>
        <x:v>32</x:v>
      </x:c>
      <x:c r="N616" s="38" t="n">
        <x:v>-0.0008549273188353812</x:v>
      </x:c>
      <x:c r="O616" s="35" t="n">
        <x:f>H616*M616*(1+N616)</x:f>
        <x:v>223.80849628058087</x:v>
      </x:c>
      <x:c r="P616" s="19" t="str">
        <x:f>IF(ABS(N616)&gt;'封面与口径'!$O$25,"机器调料需复核",IF(ABS(K616)&gt;0.02,"人工称重需复核","正常"))</x:f>
        <x:v>正常</x:v>
      </x:c>
      <x:c r="Q616" s="19" t="str">
        <x:v>谢东</x:v>
      </x:c>
    </x:row>
    <x:row r="617">
      <x:c r="A617" s="19" t="str">
        <x:v>2026-07-08|S06|D01</x:v>
      </x:c>
      <x:c r="B617" s="34" t="n">
        <x:v>46211.5</x:v>
      </x:c>
      <x:c r="C617" s="19" t="str">
        <x:v>S06</x:v>
      </x:c>
      <x:c r="D617" s="19" t="str">
        <x:v>蓝钻天城店</x:v>
      </x:c>
      <x:c r="E617" s="19" t="str">
        <x:v>D01</x:v>
      </x:c>
      <x:c r="F617" s="19" t="str">
        <x:v>辣椒炒肉</x:v>
      </x:c>
      <x:c r="G617" s="19" t="str">
        <x:v>R2.3</x:v>
      </x:c>
      <x:c r="H617" s="20" t="n">
        <x:f>XLOOKUP(A617,'菜品日销量'!$A$5:$A$1124,'菜品日销量'!$G$5:$G$1124,0)</x:f>
        <x:v>47</x:v>
      </x:c>
      <x:c r="I617" s="20" t="n">
        <x:f>ROUNDUP(H617/2,0)</x:f>
        <x:v>24</x:v>
      </x:c>
      <x:c r="J617" s="22" t="n">
        <x:f>SUMIFS('菜谱BOM'!$F$5:$F$160,'菜谱BOM'!$A$5:$A$160,E617,'菜谱BOM'!$C$5:$C$160,"食材")</x:f>
        <x:v>550</x:v>
      </x:c>
      <x:c r="K617" s="38" t="n">
        <x:v>0.004642047065459668</x:v>
      </x:c>
      <x:c r="L617" s="35" t="n">
        <x:f>H617*J617*(1+K617)</x:f>
        <x:v>25969.99691664213</x:v>
      </x:c>
      <x:c r="M617" s="35" t="n">
        <x:f>SUMIFS('菜谱BOM'!$F$5:$F$160,'菜谱BOM'!$A$5:$A$160,E617,'菜谱BOM'!$C$5:$C$160,"调料")</x:f>
        <x:v>104</x:v>
      </x:c>
      <x:c r="N617" s="38" t="n">
        <x:v>0.000758063925141018</x:v>
      </x:c>
      <x:c r="O617" s="35" t="n">
        <x:f>H617*M617*(1+N617)</x:f>
        <x:v>4891.705416466089</x:v>
      </x:c>
      <x:c r="P617" s="19" t="str">
        <x:f>IF(ABS(N617)&gt;'封面与口径'!$O$25,"机器调料需复核",IF(ABS(K617)&gt;0.02,"人工称重需复核","正常"))</x:f>
        <x:v>正常</x:v>
      </x:c>
      <x:c r="Q617" s="19" t="str">
        <x:v>谢东</x:v>
      </x:c>
    </x:row>
    <x:row r="618">
      <x:c r="A618" s="19" t="str">
        <x:v>2026-07-08|S06|D02</x:v>
      </x:c>
      <x:c r="B618" s="34" t="n">
        <x:v>46211.5</x:v>
      </x:c>
      <x:c r="C618" s="19" t="str">
        <x:v>S06</x:v>
      </x:c>
      <x:c r="D618" s="19" t="str">
        <x:v>蓝钻天城店</x:v>
      </x:c>
      <x:c r="E618" s="19" t="str">
        <x:v>D02</x:v>
      </x:c>
      <x:c r="F618" s="19" t="str">
        <x:v>小炒黄牛肉</x:v>
      </x:c>
      <x:c r="G618" s="19" t="str">
        <x:v>R2.3</x:v>
      </x:c>
      <x:c r="H618" s="20" t="n">
        <x:f>XLOOKUP(A618,'菜品日销量'!$A$5:$A$1124,'菜品日销量'!$G$5:$G$1124,0)</x:f>
        <x:v>33</x:v>
      </x:c>
      <x:c r="I618" s="20" t="n">
        <x:f>ROUNDUP(H618/2,0)</x:f>
        <x:v>17</x:v>
      </x:c>
      <x:c r="J618" s="22" t="n">
        <x:f>SUMIFS('菜谱BOM'!$F$5:$F$160,'菜谱BOM'!$A$5:$A$160,E618,'菜谱BOM'!$C$5:$C$160,"食材")</x:f>
        <x:v>560</x:v>
      </x:c>
      <x:c r="K618" s="38" t="n">
        <x:v>-0.004935988906057549</x:v>
      </x:c>
      <x:c r="L618" s="35" t="n">
        <x:f>H618*J618*(1+K618)</x:f>
        <x:v>18388.782925016058</x:v>
      </x:c>
      <x:c r="M618" s="35" t="n">
        <x:f>SUMIFS('菜谱BOM'!$F$5:$F$160,'菜谱BOM'!$A$5:$A$160,E618,'菜谱BOM'!$C$5:$C$160,"调料")</x:f>
        <x:v>133</x:v>
      </x:c>
      <x:c r="N618" s="38" t="n">
        <x:v>-0.0005924340539128598</x:v>
      </x:c>
      <x:c r="O618" s="35" t="n">
        <x:f>H618*M618*(1+N618)</x:f>
        <x:v>4386.3998069373765</x:v>
      </x:c>
      <x:c r="P618" s="19" t="str">
        <x:f>IF(ABS(N618)&gt;'封面与口径'!$O$25,"机器调料需复核",IF(ABS(K618)&gt;0.02,"人工称重需复核","正常"))</x:f>
        <x:v>正常</x:v>
      </x:c>
      <x:c r="Q618" s="19" t="str">
        <x:v>谢东</x:v>
      </x:c>
    </x:row>
    <x:row r="619">
      <x:c r="A619" s="19" t="str">
        <x:v>2026-07-08|S06|D03</x:v>
      </x:c>
      <x:c r="B619" s="34" t="n">
        <x:v>46211.5</x:v>
      </x:c>
      <x:c r="C619" s="19" t="str">
        <x:v>S06</x:v>
      </x:c>
      <x:c r="D619" s="19" t="str">
        <x:v>蓝钻天城店</x:v>
      </x:c>
      <x:c r="E619" s="19" t="str">
        <x:v>D03</x:v>
      </x:c>
      <x:c r="F619" s="19" t="str">
        <x:v>香醋炒蛋</x:v>
      </x:c>
      <x:c r="G619" s="19" t="str">
        <x:v>R1.0</x:v>
      </x:c>
      <x:c r="H619" s="20" t="n">
        <x:f>XLOOKUP(A619,'菜品日销量'!$A$5:$A$1124,'菜品日销量'!$G$5:$G$1124,0)</x:f>
        <x:v>39</x:v>
      </x:c>
      <x:c r="I619" s="20" t="n">
        <x:f>ROUNDUP(H619/2,0)</x:f>
        <x:v>20</x:v>
      </x:c>
      <x:c r="J619" s="22" t="n">
        <x:f>SUMIFS('菜谱BOM'!$F$5:$F$160,'菜谱BOM'!$A$5:$A$160,E619,'菜谱BOM'!$C$5:$C$160,"食材")</x:f>
        <x:v>300</x:v>
      </x:c>
      <x:c r="K619" s="38" t="n">
        <x:v>-0.005774341858405234</x:v>
      </x:c>
      <x:c r="L619" s="35" t="n">
        <x:f>H619*J619*(1+K619)</x:f>
        <x:v>11632.440200256658</x:v>
      </x:c>
      <x:c r="M619" s="35" t="n">
        <x:f>SUMIFS('菜谱BOM'!$F$5:$F$160,'菜谱BOM'!$A$5:$A$160,E619,'菜谱BOM'!$C$5:$C$160,"调料")</x:f>
        <x:v>53</x:v>
      </x:c>
      <x:c r="N619" s="38" t="n">
        <x:v>0.0002614739533191255</x:v>
      </x:c>
      <x:c r="O619" s="35" t="n">
        <x:f>H619*M619*(1+N619)</x:f>
        <x:v>2067.5404666615104</x:v>
      </x:c>
      <x:c r="P619" s="19" t="str">
        <x:f>IF(ABS(N619)&gt;'封面与口径'!$O$25,"机器调料需复核",IF(ABS(K619)&gt;0.02,"人工称重需复核","正常"))</x:f>
        <x:v>正常</x:v>
      </x:c>
      <x:c r="Q619" s="19" t="str">
        <x:v>谢东</x:v>
      </x:c>
    </x:row>
    <x:row r="620">
      <x:c r="A620" s="19" t="str">
        <x:v>2026-07-08|S06|D04</x:v>
      </x:c>
      <x:c r="B620" s="34" t="n">
        <x:v>46211.5</x:v>
      </x:c>
      <x:c r="C620" s="19" t="str">
        <x:v>S06</x:v>
      </x:c>
      <x:c r="D620" s="19" t="str">
        <x:v>蓝钻天城店</x:v>
      </x:c>
      <x:c r="E620" s="19" t="str">
        <x:v>D04</x:v>
      </x:c>
      <x:c r="F620" s="19" t="str">
        <x:v>酸包菜炒粉皮</x:v>
      </x:c>
      <x:c r="G620" s="19" t="str">
        <x:v>R1.0</x:v>
      </x:c>
      <x:c r="H620" s="20" t="n">
        <x:f>XLOOKUP(A620,'菜品日销量'!$A$5:$A$1124,'菜品日销量'!$G$5:$G$1124,0)</x:f>
        <x:v>36</x:v>
      </x:c>
      <x:c r="I620" s="20" t="n">
        <x:f>ROUNDUP(H620/2,0)</x:f>
        <x:v>18</x:v>
      </x:c>
      <x:c r="J620" s="22" t="n">
        <x:f>SUMIFS('菜谱BOM'!$F$5:$F$160,'菜谱BOM'!$A$5:$A$160,E620,'菜谱BOM'!$C$5:$C$160,"食材")</x:f>
        <x:v>380</x:v>
      </x:c>
      <x:c r="K620" s="38" t="n">
        <x:v>-0.005950818206637823</x:v>
      </x:c>
      <x:c r="L620" s="35" t="n">
        <x:f>H620*J620*(1+K620)</x:f>
        <x:v>13598.592806933195</x:v>
      </x:c>
      <x:c r="M620" s="35" t="n">
        <x:f>SUMIFS('菜谱BOM'!$F$5:$F$160,'菜谱BOM'!$A$5:$A$160,E620,'菜谱BOM'!$C$5:$C$160,"调料")</x:f>
        <x:v>47</x:v>
      </x:c>
      <x:c r="N620" s="38" t="n">
        <x:v>-0.0005950682271726122</x:v>
      </x:c>
      <x:c r="O620" s="35" t="n">
        <x:f>H620*M620*(1+N620)</x:f>
        <x:v>1690.993144559624</x:v>
      </x:c>
      <x:c r="P620" s="19" t="str">
        <x:f>IF(ABS(N620)&gt;'封面与口径'!$O$25,"机器调料需复核",IF(ABS(K620)&gt;0.02,"人工称重需复核","正常"))</x:f>
        <x:v>正常</x:v>
      </x:c>
      <x:c r="Q620" s="19" t="str">
        <x:v>谢东</x:v>
      </x:c>
    </x:row>
    <x:row r="621">
      <x:c r="A621" s="19" t="str">
        <x:v>2026-07-08|S06|D05</x:v>
      </x:c>
      <x:c r="B621" s="34" t="n">
        <x:v>46211.5</x:v>
      </x:c>
      <x:c r="C621" s="19" t="str">
        <x:v>S06</x:v>
      </x:c>
      <x:c r="D621" s="19" t="str">
        <x:v>蓝钻天城店</x:v>
      </x:c>
      <x:c r="E621" s="19" t="str">
        <x:v>D05</x:v>
      </x:c>
      <x:c r="F621" s="19" t="str">
        <x:v>麻婆豆腐</x:v>
      </x:c>
      <x:c r="G621" s="19" t="str">
        <x:v>R1.0</x:v>
      </x:c>
      <x:c r="H621" s="20" t="n">
        <x:f>XLOOKUP(A621,'菜品日销量'!$A$5:$A$1124,'菜品日销量'!$G$5:$G$1124,0)</x:f>
        <x:v>50</x:v>
      </x:c>
      <x:c r="I621" s="20" t="n">
        <x:f>ROUNDUP(H621/2,0)</x:f>
        <x:v>25</x:v>
      </x:c>
      <x:c r="J621" s="22" t="n">
        <x:f>SUMIFS('菜谱BOM'!$F$5:$F$160,'菜谱BOM'!$A$5:$A$160,E621,'菜谱BOM'!$C$5:$C$160,"食材")</x:f>
        <x:v>505</x:v>
      </x:c>
      <x:c r="K621" s="38" t="n">
        <x:v>0.001933718475032066</x:v>
      </x:c>
      <x:c r="L621" s="35" t="n">
        <x:f>H621*J621*(1+K621)</x:f>
        <x:v>25298.82639149456</x:v>
      </x:c>
      <x:c r="M621" s="35" t="n">
        <x:f>SUMIFS('菜谱BOM'!$F$5:$F$160,'菜谱BOM'!$A$5:$A$160,E621,'菜谱BOM'!$C$5:$C$160,"调料")</x:f>
        <x:v>90</x:v>
      </x:c>
      <x:c r="N621" s="38" t="n">
        <x:v>-0.0014051592711836936</x:v>
      </x:c>
      <x:c r="O621" s="35" t="n">
        <x:f>H621*M621*(1+N621)</x:f>
        <x:v>4493.676783279673</x:v>
      </x:c>
      <x:c r="P621" s="19" t="str">
        <x:f>IF(ABS(N621)&gt;'封面与口径'!$O$25,"机器调料需复核",IF(ABS(K621)&gt;0.02,"人工称重需复核","正常"))</x:f>
        <x:v>正常</x:v>
      </x:c>
      <x:c r="Q621" s="19" t="str">
        <x:v>谢东</x:v>
      </x:c>
    </x:row>
    <x:row r="622">
      <x:c r="A622" s="19" t="str">
        <x:v>2026-07-08|S06|D07</x:v>
      </x:c>
      <x:c r="B622" s="34" t="n">
        <x:v>46211.5</x:v>
      </x:c>
      <x:c r="C622" s="19" t="str">
        <x:v>S06</x:v>
      </x:c>
      <x:c r="D622" s="19" t="str">
        <x:v>蓝钻天城店</x:v>
      </x:c>
      <x:c r="E622" s="19" t="str">
        <x:v>D07</x:v>
      </x:c>
      <x:c r="F622" s="19" t="str">
        <x:v>川味回锅肉</x:v>
      </x:c>
      <x:c r="G622" s="19" t="str">
        <x:v>R1.0</x:v>
      </x:c>
      <x:c r="H622" s="20" t="n">
        <x:f>XLOOKUP(A622,'菜品日销量'!$A$5:$A$1124,'菜品日销量'!$G$5:$G$1124,0)</x:f>
        <x:v>15</x:v>
      </x:c>
      <x:c r="I622" s="20" t="n">
        <x:f>ROUNDUP(H622/2,0)</x:f>
        <x:v>8</x:v>
      </x:c>
      <x:c r="J622" s="22" t="n">
        <x:f>SUMIFS('菜谱BOM'!$F$5:$F$160,'菜谱BOM'!$A$5:$A$160,E622,'菜谱BOM'!$C$5:$C$160,"食材")</x:f>
        <x:v>450</x:v>
      </x:c>
      <x:c r="K622" s="38" t="n">
        <x:v>0.005688532094864298</x:v>
      </x:c>
      <x:c r="L622" s="35" t="n">
        <x:f>H622*J622*(1+K622)</x:f>
        <x:v>6788.397591640334</x:v>
      </x:c>
      <x:c r="M622" s="35" t="n">
        <x:f>SUMIFS('菜谱BOM'!$F$5:$F$160,'菜谱BOM'!$A$5:$A$160,E622,'菜谱BOM'!$C$5:$C$160,"调料")</x:f>
        <x:v>63</x:v>
      </x:c>
      <x:c r="N622" s="38" t="n">
        <x:v>0.00048203965613666</x:v>
      </x:c>
      <x:c r="O622" s="35" t="n">
        <x:f>H622*M622*(1+N622)</x:f>
        <x:v>945.4555274750492</x:v>
      </x:c>
      <x:c r="P622" s="19" t="str">
        <x:f>IF(ABS(N622)&gt;'封面与口径'!$O$25,"机器调料需复核",IF(ABS(K622)&gt;0.02,"人工称重需复核","正常"))</x:f>
        <x:v>正常</x:v>
      </x:c>
      <x:c r="Q622" s="19" t="str">
        <x:v>谢东</x:v>
      </x:c>
    </x:row>
    <x:row r="623">
      <x:c r="A623" s="19" t="str">
        <x:v>2026-07-08|S06|D08</x:v>
      </x:c>
      <x:c r="B623" s="34" t="n">
        <x:v>46211.5</x:v>
      </x:c>
      <x:c r="C623" s="19" t="str">
        <x:v>S06</x:v>
      </x:c>
      <x:c r="D623" s="19" t="str">
        <x:v>蓝钻天城店</x:v>
      </x:c>
      <x:c r="E623" s="19" t="str">
        <x:v>D08</x:v>
      </x:c>
      <x:c r="F623" s="19" t="str">
        <x:v>生炒清远鸡</x:v>
      </x:c>
      <x:c r="G623" s="19" t="str">
        <x:v>R1.0</x:v>
      </x:c>
      <x:c r="H623" s="20" t="n">
        <x:f>XLOOKUP(A623,'菜品日销量'!$A$5:$A$1124,'菜品日销量'!$G$5:$G$1124,0)</x:f>
        <x:v>11</x:v>
      </x:c>
      <x:c r="I623" s="20" t="n">
        <x:f>ROUNDUP(H623/2,0)</x:f>
        <x:v>6</x:v>
      </x:c>
      <x:c r="J623" s="22" t="n">
        <x:f>SUMIFS('菜谱BOM'!$F$5:$F$160,'菜谱BOM'!$A$5:$A$160,E623,'菜谱BOM'!$C$5:$C$160,"食材")</x:f>
        <x:v>610</x:v>
      </x:c>
      <x:c r="K623" s="38" t="n">
        <x:v>0.005259412936228191</x:v>
      </x:c>
      <x:c r="L623" s="35" t="n">
        <x:f>H623*J623*(1+K623)</x:f>
        <x:v>6745.290660802091</x:v>
      </x:c>
      <x:c r="M623" s="35" t="n">
        <x:f>SUMIFS('菜谱BOM'!$F$5:$F$160,'菜谱BOM'!$A$5:$A$160,E623,'菜谱BOM'!$C$5:$C$160,"调料")</x:f>
        <x:v>61</x:v>
      </x:c>
      <x:c r="N623" s="38" t="n">
        <x:v>0.0010495232648797153</x:v>
      </x:c>
      <x:c r="O623" s="35" t="n">
        <x:f>H623*M623*(1+N623)</x:f>
        <x:v>671.7042301107343</x:v>
      </x:c>
      <x:c r="P623" s="19" t="str">
        <x:f>IF(ABS(N623)&gt;'封面与口径'!$O$25,"机器调料需复核",IF(ABS(K623)&gt;0.02,"人工称重需复核","正常"))</x:f>
        <x:v>正常</x:v>
      </x:c>
      <x:c r="Q623" s="19" t="str">
        <x:v>谢东</x:v>
      </x:c>
    </x:row>
    <x:row r="624">
      <x:c r="A624" s="19" t="str">
        <x:v>2026-07-08|S06|D09</x:v>
      </x:c>
      <x:c r="B624" s="34" t="n">
        <x:v>46211.5</x:v>
      </x:c>
      <x:c r="C624" s="19" t="str">
        <x:v>S06</x:v>
      </x:c>
      <x:c r="D624" s="19" t="str">
        <x:v>蓝钻天城店</x:v>
      </x:c>
      <x:c r="E624" s="19" t="str">
        <x:v>D09</x:v>
      </x:c>
      <x:c r="F624" s="19" t="str">
        <x:v>炒豆干</x:v>
      </x:c>
      <x:c r="G624" s="19" t="str">
        <x:v>R1.0</x:v>
      </x:c>
      <x:c r="H624" s="20" t="n">
        <x:f>XLOOKUP(A624,'菜品日销量'!$A$5:$A$1124,'菜品日销量'!$G$5:$G$1124,0)</x:f>
        <x:v>15</x:v>
      </x:c>
      <x:c r="I624" s="20" t="n">
        <x:f>ROUNDUP(H624/2,0)</x:f>
        <x:v>8</x:v>
      </x:c>
      <x:c r="J624" s="22" t="n">
        <x:f>SUMIFS('菜谱BOM'!$F$5:$F$160,'菜谱BOM'!$A$5:$A$160,E624,'菜谱BOM'!$C$5:$C$160,"食材")</x:f>
        <x:v>520</x:v>
      </x:c>
      <x:c r="K624" s="38" t="n">
        <x:v>0.0031551006909355285</x:v>
      </x:c>
      <x:c r="L624" s="35" t="n">
        <x:f>H624*J624*(1+K624)</x:f>
        <x:v>7824.609785389298</x:v>
      </x:c>
      <x:c r="M624" s="35" t="n">
        <x:f>SUMIFS('菜谱BOM'!$F$5:$F$160,'菜谱BOM'!$A$5:$A$160,E624,'菜谱BOM'!$C$5:$C$160,"调料")</x:f>
        <x:v>42</x:v>
      </x:c>
      <x:c r="N624" s="38" t="n">
        <x:v>0.0015310434455822791</x:v>
      </x:c>
      <x:c r="O624" s="35" t="n">
        <x:f>H624*M624*(1+N624)</x:f>
        <x:v>630.9645573707168</x:v>
      </x:c>
      <x:c r="P624" s="19" t="str">
        <x:f>IF(ABS(N624)&gt;'封面与口径'!$O$25,"机器调料需复核",IF(ABS(K624)&gt;0.02,"人工称重需复核","正常"))</x:f>
        <x:v>正常</x:v>
      </x:c>
      <x:c r="Q624" s="19" t="str">
        <x:v>谢东</x:v>
      </x:c>
    </x:row>
    <x:row r="625">
      <x:c r="A625" s="19" t="str">
        <x:v>2026-07-08|S06|D10</x:v>
      </x:c>
      <x:c r="B625" s="34" t="n">
        <x:v>46211.5</x:v>
      </x:c>
      <x:c r="C625" s="19" t="str">
        <x:v>S06</x:v>
      </x:c>
      <x:c r="D625" s="19" t="str">
        <x:v>蓝钻天城店</x:v>
      </x:c>
      <x:c r="E625" s="19" t="str">
        <x:v>D10</x:v>
      </x:c>
      <x:c r="F625" s="19" t="str">
        <x:v>农家一碗香</x:v>
      </x:c>
      <x:c r="G625" s="19" t="str">
        <x:v>R2.3</x:v>
      </x:c>
      <x:c r="H625" s="20" t="n">
        <x:f>XLOOKUP(A625,'菜品日销量'!$A$5:$A$1124,'菜品日销量'!$G$5:$G$1124,0)</x:f>
        <x:v>17</x:v>
      </x:c>
      <x:c r="I625" s="20" t="n">
        <x:f>ROUNDUP(H625/2,0)</x:f>
        <x:v>9</x:v>
      </x:c>
      <x:c r="J625" s="22" t="n">
        <x:f>SUMIFS('菜谱BOM'!$F$5:$F$160,'菜谱BOM'!$A$5:$A$160,E625,'菜谱BOM'!$C$5:$C$160,"食材")</x:f>
        <x:v>510</x:v>
      </x:c>
      <x:c r="K625" s="38" t="n">
        <x:v>0.0025509655723699753</x:v>
      </x:c>
      <x:c r="L625" s="35" t="n">
        <x:f>H625*J625*(1+K625)</x:f>
        <x:v>8692.116871512448</x:v>
      </x:c>
      <x:c r="M625" s="35" t="n">
        <x:f>SUMIFS('菜谱BOM'!$F$5:$F$160,'菜谱BOM'!$A$5:$A$160,E625,'菜谱BOM'!$C$5:$C$160,"调料")</x:f>
        <x:v>88</x:v>
      </x:c>
      <x:c r="N625" s="38" t="n">
        <x:v>0.0011965256778515238</x:v>
      </x:c>
      <x:c r="O625" s="35" t="n">
        <x:f>H625*M625*(1+N625)</x:f>
        <x:v>1497.7900024140658</x:v>
      </x:c>
      <x:c r="P625" s="19" t="str">
        <x:f>IF(ABS(N625)&gt;'封面与口径'!$O$25,"机器调料需复核",IF(ABS(K625)&gt;0.02,"人工称重需复核","正常"))</x:f>
        <x:v>正常</x:v>
      </x:c>
      <x:c r="Q625" s="19" t="str">
        <x:v>谢东</x:v>
      </x:c>
    </x:row>
    <x:row r="626">
      <x:c r="A626" s="19" t="str">
        <x:v>2026-07-08|S06|D11</x:v>
      </x:c>
      <x:c r="B626" s="34" t="n">
        <x:v>46211.5</x:v>
      </x:c>
      <x:c r="C626" s="19" t="str">
        <x:v>S06</x:v>
      </x:c>
      <x:c r="D626" s="19" t="str">
        <x:v>蓝钻天城店</x:v>
      </x:c>
      <x:c r="E626" s="19" t="str">
        <x:v>D11</x:v>
      </x:c>
      <x:c r="F626" s="19" t="str">
        <x:v>香辣爆肥肠</x:v>
      </x:c>
      <x:c r="G626" s="19" t="str">
        <x:v>R1.0</x:v>
      </x:c>
      <x:c r="H626" s="20" t="n">
        <x:f>XLOOKUP(A626,'菜品日销量'!$A$5:$A$1124,'菜品日销量'!$G$5:$G$1124,0)</x:f>
        <x:v>6</x:v>
      </x:c>
      <x:c r="I626" s="20" t="n">
        <x:f>ROUNDUP(H626/2,0)</x:f>
        <x:v>3</x:v>
      </x:c>
      <x:c r="J626" s="22" t="n">
        <x:f>SUMIFS('菜谱BOM'!$F$5:$F$160,'菜谱BOM'!$A$5:$A$160,E626,'菜谱BOM'!$C$5:$C$160,"食材")</x:f>
        <x:v>430</x:v>
      </x:c>
      <x:c r="K626" s="38" t="n">
        <x:v>0.004224842130258876</x:v>
      </x:c>
      <x:c r="L626" s="35" t="n">
        <x:f>H626*J626*(1+K626)</x:f>
        <x:v>2590.900092696068</x:v>
      </x:c>
      <x:c r="M626" s="35" t="n">
        <x:f>SUMIFS('菜谱BOM'!$F$5:$F$160,'菜谱BOM'!$A$5:$A$160,E626,'菜谱BOM'!$C$5:$C$160,"调料")</x:f>
        <x:v>67</x:v>
      </x:c>
      <x:c r="N626" s="38" t="n">
        <x:v>0.0015665452879775655</x:v>
      </x:c>
      <x:c r="O626" s="35" t="n">
        <x:f>H626*M626*(1+N626)</x:f>
        <x:v>402.629751205767</x:v>
      </x:c>
      <x:c r="P626" s="19" t="str">
        <x:f>IF(ABS(N626)&gt;'封面与口径'!$O$25,"机器调料需复核",IF(ABS(K626)&gt;0.02,"人工称重需复核","正常"))</x:f>
        <x:v>正常</x:v>
      </x:c>
      <x:c r="Q626" s="19" t="str">
        <x:v>谢东</x:v>
      </x:c>
    </x:row>
    <x:row r="627">
      <x:c r="A627" s="19" t="str">
        <x:v>2026-07-08|S06|D13</x:v>
      </x:c>
      <x:c r="B627" s="34" t="n">
        <x:v>46211.5</x:v>
      </x:c>
      <x:c r="C627" s="19" t="str">
        <x:v>S06</x:v>
      </x:c>
      <x:c r="D627" s="19" t="str">
        <x:v>蓝钻天城店</x:v>
      </x:c>
      <x:c r="E627" s="19" t="str">
        <x:v>D13</x:v>
      </x:c>
      <x:c r="F627" s="19" t="str">
        <x:v>外婆菜炒蛋</x:v>
      </x:c>
      <x:c r="G627" s="19" t="str">
        <x:v>R1.0</x:v>
      </x:c>
      <x:c r="H627" s="20" t="n">
        <x:f>XLOOKUP(A627,'菜品日销量'!$A$5:$A$1124,'菜品日销量'!$G$5:$G$1124,0)</x:f>
        <x:v>16</x:v>
      </x:c>
      <x:c r="I627" s="20" t="n">
        <x:f>ROUNDUP(H627/2,0)</x:f>
        <x:v>8</x:v>
      </x:c>
      <x:c r="J627" s="22" t="n">
        <x:f>SUMIFS('菜谱BOM'!$F$5:$F$160,'菜谱BOM'!$A$5:$A$160,E627,'菜谱BOM'!$C$5:$C$160,"食材")</x:f>
        <x:v>450</x:v>
      </x:c>
      <x:c r="K627" s="38" t="n">
        <x:v>-0.0036131576103188936</x:v>
      </x:c>
      <x:c r="L627" s="35" t="n">
        <x:f>H627*J627*(1+K627)</x:f>
        <x:v>7173.985265205704</x:v>
      </x:c>
      <x:c r="M627" s="35" t="n">
        <x:f>SUMIFS('菜谱BOM'!$F$5:$F$160,'菜谱BOM'!$A$5:$A$160,E627,'菜谱BOM'!$C$5:$C$160,"调料")</x:f>
        <x:v>37</x:v>
      </x:c>
      <x:c r="N627" s="38" t="n">
        <x:v>0.00001881759660756632</x:v>
      </x:c>
      <x:c r="O627" s="35" t="n">
        <x:f>H627*M627*(1+N627)</x:f>
        <x:v>592.0111400171917</x:v>
      </x:c>
      <x:c r="P627" s="19" t="str">
        <x:f>IF(ABS(N627)&gt;'封面与口径'!$O$25,"机器调料需复核",IF(ABS(K627)&gt;0.02,"人工称重需复核","正常"))</x:f>
        <x:v>正常</x:v>
      </x:c>
      <x:c r="Q627" s="19" t="str">
        <x:v>谢东</x:v>
      </x:c>
    </x:row>
    <x:row r="628">
      <x:c r="A628" s="19" t="str">
        <x:v>2026-07-08|S06|D14</x:v>
      </x:c>
      <x:c r="B628" s="34" t="n">
        <x:v>46211.5</x:v>
      </x:c>
      <x:c r="C628" s="19" t="str">
        <x:v>S06</x:v>
      </x:c>
      <x:c r="D628" s="19" t="str">
        <x:v>蓝钻天城店</x:v>
      </x:c>
      <x:c r="E628" s="19" t="str">
        <x:v>D14</x:v>
      </x:c>
      <x:c r="F628" s="19" t="str">
        <x:v>酸辣鸡杂</x:v>
      </x:c>
      <x:c r="G628" s="19" t="str">
        <x:v>R1.0</x:v>
      </x:c>
      <x:c r="H628" s="20" t="n">
        <x:f>XLOOKUP(A628,'菜品日销量'!$A$5:$A$1124,'菜品日销量'!$G$5:$G$1124,0)</x:f>
        <x:v>7</x:v>
      </x:c>
      <x:c r="I628" s="20" t="n">
        <x:f>ROUNDUP(H628/2,0)</x:f>
        <x:v>4</x:v>
      </x:c>
      <x:c r="J628" s="22" t="n">
        <x:f>SUMIFS('菜谱BOM'!$F$5:$F$160,'菜谱BOM'!$A$5:$A$160,E628,'菜谱BOM'!$C$5:$C$160,"食材")</x:f>
        <x:v>470</x:v>
      </x:c>
      <x:c r="K628" s="38" t="n">
        <x:v>-0.0006147129145950804</x:v>
      </x:c>
      <x:c r="L628" s="35" t="n">
        <x:f>H628*J628*(1+K628)</x:f>
        <x:v>3287.9775945109823</x:v>
      </x:c>
      <x:c r="M628" s="35" t="n">
        <x:f>SUMIFS('菜谱BOM'!$F$5:$F$160,'菜谱BOM'!$A$5:$A$160,E628,'菜谱BOM'!$C$5:$C$160,"调料")</x:f>
        <x:v>60</x:v>
      </x:c>
      <x:c r="N628" s="38" t="n">
        <x:v>-0.001007802893176629</x:v>
      </x:c>
      <x:c r="O628" s="35" t="n">
        <x:f>H628*M628*(1+N628)</x:f>
        <x:v>419.5767227848658</x:v>
      </x:c>
      <x:c r="P628" s="19" t="str">
        <x:f>IF(ABS(N628)&gt;'封面与口径'!$O$25,"机器调料需复核",IF(ABS(K628)&gt;0.02,"人工称重需复核","正常"))</x:f>
        <x:v>正常</x:v>
      </x:c>
      <x:c r="Q628" s="19" t="str">
        <x:v>谢东</x:v>
      </x:c>
    </x:row>
    <x:row r="629">
      <x:c r="A629" s="19" t="str">
        <x:v>2026-07-08|S06|D15</x:v>
      </x:c>
      <x:c r="B629" s="34" t="n">
        <x:v>46211.5</x:v>
      </x:c>
      <x:c r="C629" s="19" t="str">
        <x:v>S06</x:v>
      </x:c>
      <x:c r="D629" s="19" t="str">
        <x:v>蓝钻天城店</x:v>
      </x:c>
      <x:c r="E629" s="19" t="str">
        <x:v>D15</x:v>
      </x:c>
      <x:c r="F629" s="19" t="str">
        <x:v>湘西土匪猪肝</x:v>
      </x:c>
      <x:c r="G629" s="19" t="str">
        <x:v>R1.0</x:v>
      </x:c>
      <x:c r="H629" s="20" t="n">
        <x:f>XLOOKUP(A629,'菜品日销量'!$A$5:$A$1124,'菜品日销量'!$G$5:$G$1124,0)</x:f>
        <x:v>6</x:v>
      </x:c>
      <x:c r="I629" s="20" t="n">
        <x:f>ROUNDUP(H629/2,0)</x:f>
        <x:v>3</x:v>
      </x:c>
      <x:c r="J629" s="22" t="n">
        <x:f>SUMIFS('菜谱BOM'!$F$5:$F$160,'菜谱BOM'!$A$5:$A$160,E629,'菜谱BOM'!$C$5:$C$160,"食材")</x:f>
        <x:v>470</x:v>
      </x:c>
      <x:c r="K629" s="38" t="n">
        <x:v>0.006649617090506856</x:v>
      </x:c>
      <x:c r="L629" s="35" t="n">
        <x:f>H629*J629*(1+K629)</x:f>
        <x:v>2838.751920195229</x:v>
      </x:c>
      <x:c r="M629" s="35" t="n">
        <x:f>SUMIFS('菜谱BOM'!$F$5:$F$160,'菜谱BOM'!$A$5:$A$160,E629,'菜谱BOM'!$C$5:$C$160,"调料")</x:f>
        <x:v>49</x:v>
      </x:c>
      <x:c r="N629" s="38" t="n">
        <x:v>0.0002497860403381722</x:v>
      </x:c>
      <x:c r="O629" s="35" t="n">
        <x:f>H629*M629*(1+N629)</x:f>
        <x:v>294.0734370958594</x:v>
      </x:c>
      <x:c r="P629" s="19" t="str">
        <x:f>IF(ABS(N629)&gt;'封面与口径'!$O$25,"机器调料需复核",IF(ABS(K629)&gt;0.02,"人工称重需复核","正常"))</x:f>
        <x:v>正常</x:v>
      </x:c>
      <x:c r="Q629" s="19" t="str">
        <x:v>谢东</x:v>
      </x:c>
    </x:row>
    <x:row r="630">
      <x:c r="A630" s="19" t="str">
        <x:v>2026-07-08|S06|D16</x:v>
      </x:c>
      <x:c r="B630" s="34" t="n">
        <x:v>46211.5</x:v>
      </x:c>
      <x:c r="C630" s="19" t="str">
        <x:v>S06</x:v>
      </x:c>
      <x:c r="D630" s="19" t="str">
        <x:v>蓝钻天城店</x:v>
      </x:c>
      <x:c r="E630" s="19" t="str">
        <x:v>D16</x:v>
      </x:c>
      <x:c r="F630" s="19" t="str">
        <x:v>小豆角炒五花</x:v>
      </x:c>
      <x:c r="G630" s="19" t="str">
        <x:v>R1.0</x:v>
      </x:c>
      <x:c r="H630" s="20" t="n">
        <x:f>XLOOKUP(A630,'菜品日销量'!$A$5:$A$1124,'菜品日销量'!$G$5:$G$1124,0)</x:f>
        <x:v>7</x:v>
      </x:c>
      <x:c r="I630" s="20" t="n">
        <x:f>ROUNDUP(H630/2,0)</x:f>
        <x:v>4</x:v>
      </x:c>
      <x:c r="J630" s="22" t="n">
        <x:f>SUMIFS('菜谱BOM'!$F$5:$F$160,'菜谱BOM'!$A$5:$A$160,E630,'菜谱BOM'!$C$5:$C$160,"食材")</x:f>
        <x:v>450</x:v>
      </x:c>
      <x:c r="K630" s="38" t="n">
        <x:v>-0.005779887586315136</x:v>
      </x:c>
      <x:c r="L630" s="35" t="n">
        <x:f>H630*J630*(1+K630)</x:f>
        <x:v>3131.7933541031075</x:v>
      </x:c>
      <x:c r="M630" s="35" t="n">
        <x:f>SUMIFS('菜谱BOM'!$F$5:$F$160,'菜谱BOM'!$A$5:$A$160,E630,'菜谱BOM'!$C$5:$C$160,"调料")</x:f>
        <x:v>42</x:v>
      </x:c>
      <x:c r="N630" s="38" t="n">
        <x:v>-0.0004701075466512952</x:v>
      </x:c>
      <x:c r="O630" s="35" t="n">
        <x:f>H630*M630*(1+N630)</x:f>
        <x:v>293.8617883812845</x:v>
      </x:c>
      <x:c r="P630" s="19" t="str">
        <x:f>IF(ABS(N630)&gt;'封面与口径'!$O$25,"机器调料需复核",IF(ABS(K630)&gt;0.02,"人工称重需复核","正常"))</x:f>
        <x:v>正常</x:v>
      </x:c>
      <x:c r="Q630" s="19" t="str">
        <x:v>谢东</x:v>
      </x:c>
    </x:row>
    <x:row r="631">
      <x:c r="A631" s="19" t="str">
        <x:v>2026-07-08|S06|D18</x:v>
      </x:c>
      <x:c r="B631" s="34" t="n">
        <x:v>46211.5</x:v>
      </x:c>
      <x:c r="C631" s="19" t="str">
        <x:v>S06</x:v>
      </x:c>
      <x:c r="D631" s="19" t="str">
        <x:v>蓝钻天城店</x:v>
      </x:c>
      <x:c r="E631" s="19" t="str">
        <x:v>D18</x:v>
      </x:c>
      <x:c r="F631" s="19" t="str">
        <x:v>青椒炒油麦菜</x:v>
      </x:c>
      <x:c r="G631" s="19" t="str">
        <x:v>R1.0</x:v>
      </x:c>
      <x:c r="H631" s="20" t="n">
        <x:f>XLOOKUP(A631,'菜品日销量'!$A$5:$A$1124,'菜品日销量'!$G$5:$G$1124,0)</x:f>
        <x:v>7</x:v>
      </x:c>
      <x:c r="I631" s="20" t="n">
        <x:f>ROUNDUP(H631/2,0)</x:f>
        <x:v>4</x:v>
      </x:c>
      <x:c r="J631" s="22" t="n">
        <x:f>SUMIFS('菜谱BOM'!$F$5:$F$160,'菜谱BOM'!$A$5:$A$160,E631,'菜谱BOM'!$C$5:$C$160,"食材")</x:f>
        <x:v>430</x:v>
      </x:c>
      <x:c r="K631" s="38" t="n">
        <x:v>-0.0021963199438052995</x:v>
      </x:c>
      <x:c r="L631" s="35" t="n">
        <x:f>H631*J631*(1+K631)</x:f>
        <x:v>3003.389076969146</x:v>
      </x:c>
      <x:c r="M631" s="35" t="n">
        <x:f>SUMIFS('菜谱BOM'!$F$5:$F$160,'菜谱BOM'!$A$5:$A$160,E631,'菜谱BOM'!$C$5:$C$160,"调料")</x:f>
        <x:v>33</x:v>
      </x:c>
      <x:c r="N631" s="38" t="n">
        <x:v>-0.001925150328298367</x:v>
      </x:c>
      <x:c r="O631" s="35" t="n">
        <x:f>H631*M631*(1+N631)</x:f>
        <x:v>230.5552902741631</x:v>
      </x:c>
      <x:c r="P631" s="19" t="str">
        <x:f>IF(ABS(N631)&gt;'封面与口径'!$O$25,"机器调料需复核",IF(ABS(K631)&gt;0.02,"人工称重需复核","正常"))</x:f>
        <x:v>正常</x:v>
      </x:c>
      <x:c r="Q631" s="19" t="str">
        <x:v>谢东</x:v>
      </x:c>
    </x:row>
    <x:row r="632">
      <x:c r="A632" s="19" t="str">
        <x:v>2026-07-08|S06|D19</x:v>
      </x:c>
      <x:c r="B632" s="34" t="n">
        <x:v>46211.5</x:v>
      </x:c>
      <x:c r="C632" s="19" t="str">
        <x:v>S06</x:v>
      </x:c>
      <x:c r="D632" s="19" t="str">
        <x:v>蓝钻天城店</x:v>
      </x:c>
      <x:c r="E632" s="19" t="str">
        <x:v>D19</x:v>
      </x:c>
      <x:c r="F632" s="19" t="str">
        <x:v>酸萝卜炒鸡杂</x:v>
      </x:c>
      <x:c r="G632" s="19" t="str">
        <x:v>R1.0</x:v>
      </x:c>
      <x:c r="H632" s="20" t="n">
        <x:f>XLOOKUP(A632,'菜品日销量'!$A$5:$A$1124,'菜品日销量'!$G$5:$G$1124,0)</x:f>
        <x:v>6</x:v>
      </x:c>
      <x:c r="I632" s="20" t="n">
        <x:f>ROUNDUP(H632/2,0)</x:f>
        <x:v>3</x:v>
      </x:c>
      <x:c r="J632" s="22" t="n">
        <x:f>SUMIFS('菜谱BOM'!$F$5:$F$160,'菜谱BOM'!$A$5:$A$160,E632,'菜谱BOM'!$C$5:$C$160,"食材")</x:f>
        <x:v>500</x:v>
      </x:c>
      <x:c r="K632" s="38" t="n">
        <x:v>-0.0032776037182839597</x:v>
      </x:c>
      <x:c r="L632" s="35" t="n">
        <x:f>H632*J632*(1+K632)</x:f>
        <x:v>2990.167188845148</x:v>
      </x:c>
      <x:c r="M632" s="35" t="n">
        <x:f>SUMIFS('菜谱BOM'!$F$5:$F$160,'菜谱BOM'!$A$5:$A$160,E632,'菜谱BOM'!$C$5:$C$160,"调料")</x:f>
        <x:v>55</x:v>
      </x:c>
      <x:c r="N632" s="38" t="n">
        <x:v>-0.0008188754298768182</x:v>
      </x:c>
      <x:c r="O632" s="35" t="n">
        <x:f>H632*M632*(1+N632)</x:f>
        <x:v>329.72977110814065</x:v>
      </x:c>
      <x:c r="P632" s="19" t="str">
        <x:f>IF(ABS(N632)&gt;'封面与口径'!$O$25,"机器调料需复核",IF(ABS(K632)&gt;0.02,"人工称重需复核","正常"))</x:f>
        <x:v>正常</x:v>
      </x:c>
      <x:c r="Q632" s="19" t="str">
        <x:v>谢东</x:v>
      </x:c>
    </x:row>
    <x:row r="633">
      <x:c r="A633" s="19" t="str">
        <x:v>2026-07-08|S06|D20</x:v>
      </x:c>
      <x:c r="B633" s="34" t="n">
        <x:v>46211.5</x:v>
      </x:c>
      <x:c r="C633" s="19" t="str">
        <x:v>S06</x:v>
      </x:c>
      <x:c r="D633" s="19" t="str">
        <x:v>蓝钻天城店</x:v>
      </x:c>
      <x:c r="E633" s="19" t="str">
        <x:v>D20</x:v>
      </x:c>
      <x:c r="F633" s="19" t="str">
        <x:v>雪菜肉末青豆</x:v>
      </x:c>
      <x:c r="G633" s="19" t="str">
        <x:v>R1.0</x:v>
      </x:c>
      <x:c r="H633" s="20" t="n">
        <x:f>XLOOKUP(A633,'菜品日销量'!$A$5:$A$1124,'菜品日销量'!$G$5:$G$1124,0)</x:f>
        <x:v>8</x:v>
      </x:c>
      <x:c r="I633" s="20" t="n">
        <x:f>ROUNDUP(H633/2,0)</x:f>
        <x:v>4</x:v>
      </x:c>
      <x:c r="J633" s="22" t="n">
        <x:f>SUMIFS('菜谱BOM'!$F$5:$F$160,'菜谱BOM'!$A$5:$A$160,E633,'菜谱BOM'!$C$5:$C$160,"食材")</x:f>
        <x:v>465</x:v>
      </x:c>
      <x:c r="K633" s="38" t="n">
        <x:v>-0.007350717875955329</x:v>
      </x:c>
      <x:c r="L633" s="35" t="n">
        <x:f>H633*J633*(1+K633)</x:f>
        <x:v>3692.6553295014464</x:v>
      </x:c>
      <x:c r="M633" s="35" t="n">
        <x:f>SUMIFS('菜谱BOM'!$F$5:$F$160,'菜谱BOM'!$A$5:$A$160,E633,'菜谱BOM'!$C$5:$C$160,"调料")</x:f>
        <x:v>32</x:v>
      </x:c>
      <x:c r="N633" s="38" t="n">
        <x:v>-0.000935622272765176</x:v>
      </x:c>
      <x:c r="O633" s="35" t="n">
        <x:f>H633*M633*(1+N633)</x:f>
        <x:v>255.7604806981721</x:v>
      </x:c>
      <x:c r="P633" s="19" t="str">
        <x:f>IF(ABS(N633)&gt;'封面与口径'!$O$25,"机器调料需复核",IF(ABS(K633)&gt;0.02,"人工称重需复核","正常"))</x:f>
        <x:v>正常</x:v>
      </x:c>
      <x:c r="Q633" s="19" t="str">
        <x:v>谢东</x:v>
      </x:c>
    </x:row>
    <x:row r="634">
      <x:c r="A634" s="19" t="str">
        <x:v>2026-07-09|S06|D01</x:v>
      </x:c>
      <x:c r="B634" s="34" t="n">
        <x:v>46212.5</x:v>
      </x:c>
      <x:c r="C634" s="19" t="str">
        <x:v>S06</x:v>
      </x:c>
      <x:c r="D634" s="19" t="str">
        <x:v>蓝钻天城店</x:v>
      </x:c>
      <x:c r="E634" s="19" t="str">
        <x:v>D01</x:v>
      </x:c>
      <x:c r="F634" s="19" t="str">
        <x:v>辣椒炒肉</x:v>
      </x:c>
      <x:c r="G634" s="19" t="str">
        <x:v>R2.3</x:v>
      </x:c>
      <x:c r="H634" s="20" t="n">
        <x:f>XLOOKUP(A634,'菜品日销量'!$A$5:$A$1124,'菜品日销量'!$G$5:$G$1124,0)</x:f>
        <x:v>47</x:v>
      </x:c>
      <x:c r="I634" s="20" t="n">
        <x:f>ROUNDUP(H634/2,0)</x:f>
        <x:v>24</x:v>
      </x:c>
      <x:c r="J634" s="22" t="n">
        <x:f>SUMIFS('菜谱BOM'!$F$5:$F$160,'菜谱BOM'!$A$5:$A$160,E634,'菜谱BOM'!$C$5:$C$160,"食材")</x:f>
        <x:v>550</x:v>
      </x:c>
      <x:c r="K634" s="38" t="n">
        <x:v>-0.0071551890781044935</x:v>
      </x:c>
      <x:c r="L634" s="35" t="n">
        <x:f>H634*J634*(1+K634)</x:f>
        <x:v>25665.038362330997</x:v>
      </x:c>
      <x:c r="M634" s="35" t="n">
        <x:f>SUMIFS('菜谱BOM'!$F$5:$F$160,'菜谱BOM'!$A$5:$A$160,E634,'菜谱BOM'!$C$5:$C$160,"调料")</x:f>
        <x:v>104</x:v>
      </x:c>
      <x:c r="N634" s="38" t="n">
        <x:v>-0.0011423455102234953</x:v>
      </x:c>
      <x:c r="O634" s="35" t="n">
        <x:f>H634*M634*(1+N634)</x:f>
        <x:v>4882.416215146028</x:v>
      </x:c>
      <x:c r="P634" s="19" t="str">
        <x:f>IF(ABS(N634)&gt;'封面与口径'!$O$25,"机器调料需复核",IF(ABS(K634)&gt;0.02,"人工称重需复核","正常"))</x:f>
        <x:v>正常</x:v>
      </x:c>
      <x:c r="Q634" s="19" t="str">
        <x:v>谢东</x:v>
      </x:c>
    </x:row>
    <x:row r="635">
      <x:c r="A635" s="19" t="str">
        <x:v>2026-07-09|S06|D02</x:v>
      </x:c>
      <x:c r="B635" s="34" t="n">
        <x:v>46212.5</x:v>
      </x:c>
      <x:c r="C635" s="19" t="str">
        <x:v>S06</x:v>
      </x:c>
      <x:c r="D635" s="19" t="str">
        <x:v>蓝钻天城店</x:v>
      </x:c>
      <x:c r="E635" s="19" t="str">
        <x:v>D02</x:v>
      </x:c>
      <x:c r="F635" s="19" t="str">
        <x:v>小炒黄牛肉</x:v>
      </x:c>
      <x:c r="G635" s="19" t="str">
        <x:v>R2.3</x:v>
      </x:c>
      <x:c r="H635" s="20" t="n">
        <x:f>XLOOKUP(A635,'菜品日销量'!$A$5:$A$1124,'菜品日销量'!$G$5:$G$1124,0)</x:f>
        <x:v>30</x:v>
      </x:c>
      <x:c r="I635" s="20" t="n">
        <x:f>ROUNDUP(H635/2,0)</x:f>
        <x:v>15</x:v>
      </x:c>
      <x:c r="J635" s="22" t="n">
        <x:f>SUMIFS('菜谱BOM'!$F$5:$F$160,'菜谱BOM'!$A$5:$A$160,E635,'菜谱BOM'!$C$5:$C$160,"食材")</x:f>
        <x:v>560</x:v>
      </x:c>
      <x:c r="K635" s="38" t="n">
        <x:v>0.0037441485775038946</x:v>
      </x:c>
      <x:c r="L635" s="35" t="n">
        <x:f>H635*J635*(1+K635)</x:f>
        <x:v>16862.901696102064</x:v>
      </x:c>
      <x:c r="M635" s="35" t="n">
        <x:f>SUMIFS('菜谱BOM'!$F$5:$F$160,'菜谱BOM'!$A$5:$A$160,E635,'菜谱BOM'!$C$5:$C$160,"调料")</x:f>
        <x:v>133</x:v>
      </x:c>
      <x:c r="N635" s="38" t="n">
        <x:v>-0.001354464799946748</x:v>
      </x:c>
      <x:c r="O635" s="35" t="n">
        <x:f>H635*M635*(1+N635)</x:f>
        <x:v>3984.5956854482124</x:v>
      </x:c>
      <x:c r="P635" s="19" t="str">
        <x:f>IF(ABS(N635)&gt;'封面与口径'!$O$25,"机器调料需复核",IF(ABS(K635)&gt;0.02,"人工称重需复核","正常"))</x:f>
        <x:v>正常</x:v>
      </x:c>
      <x:c r="Q635" s="19" t="str">
        <x:v>谢东</x:v>
      </x:c>
    </x:row>
    <x:row r="636">
      <x:c r="A636" s="19" t="str">
        <x:v>2026-07-09|S06|D03</x:v>
      </x:c>
      <x:c r="B636" s="34" t="n">
        <x:v>46212.5</x:v>
      </x:c>
      <x:c r="C636" s="19" t="str">
        <x:v>S06</x:v>
      </x:c>
      <x:c r="D636" s="19" t="str">
        <x:v>蓝钻天城店</x:v>
      </x:c>
      <x:c r="E636" s="19" t="str">
        <x:v>D03</x:v>
      </x:c>
      <x:c r="F636" s="19" t="str">
        <x:v>香醋炒蛋</x:v>
      </x:c>
      <x:c r="G636" s="19" t="str">
        <x:v>R1.0</x:v>
      </x:c>
      <x:c r="H636" s="20" t="n">
        <x:f>XLOOKUP(A636,'菜品日销量'!$A$5:$A$1124,'菜品日销量'!$G$5:$G$1124,0)</x:f>
        <x:v>39</x:v>
      </x:c>
      <x:c r="I636" s="20" t="n">
        <x:f>ROUNDUP(H636/2,0)</x:f>
        <x:v>20</x:v>
      </x:c>
      <x:c r="J636" s="22" t="n">
        <x:f>SUMIFS('菜谱BOM'!$F$5:$F$160,'菜谱BOM'!$A$5:$A$160,E636,'菜谱BOM'!$C$5:$C$160,"食材")</x:f>
        <x:v>300</x:v>
      </x:c>
      <x:c r="K636" s="38" t="n">
        <x:v>0.007347898602333828</x:v>
      </x:c>
      <x:c r="L636" s="35" t="n">
        <x:f>H636*J636*(1+K636)</x:f>
        <x:v>11785.970413647306</x:v>
      </x:c>
      <x:c r="M636" s="35" t="n">
        <x:f>SUMIFS('菜谱BOM'!$F$5:$F$160,'菜谱BOM'!$A$5:$A$160,E636,'菜谱BOM'!$C$5:$C$160,"调料")</x:f>
        <x:v>53</x:v>
      </x:c>
      <x:c r="N636" s="38" t="n">
        <x:v>0.0017916271937525896</x:v>
      </x:c>
      <x:c r="O636" s="35" t="n">
        <x:f>H636*M636*(1+N636)</x:f>
        <x:v>2070.7032934094864</x:v>
      </x:c>
      <x:c r="P636" s="19" t="str">
        <x:f>IF(ABS(N636)&gt;'封面与口径'!$O$25,"机器调料需复核",IF(ABS(K636)&gt;0.02,"人工称重需复核","正常"))</x:f>
        <x:v>正常</x:v>
      </x:c>
      <x:c r="Q636" s="19" t="str">
        <x:v>谢东</x:v>
      </x:c>
    </x:row>
    <x:row r="637">
      <x:c r="A637" s="19" t="str">
        <x:v>2026-07-09|S06|D04</x:v>
      </x:c>
      <x:c r="B637" s="34" t="n">
        <x:v>46212.5</x:v>
      </x:c>
      <x:c r="C637" s="19" t="str">
        <x:v>S06</x:v>
      </x:c>
      <x:c r="D637" s="19" t="str">
        <x:v>蓝钻天城店</x:v>
      </x:c>
      <x:c r="E637" s="19" t="str">
        <x:v>D04</x:v>
      </x:c>
      <x:c r="F637" s="19" t="str">
        <x:v>酸包菜炒粉皮</x:v>
      </x:c>
      <x:c r="G637" s="19" t="str">
        <x:v>R1.0</x:v>
      </x:c>
      <x:c r="H637" s="20" t="n">
        <x:f>XLOOKUP(A637,'菜品日销量'!$A$5:$A$1124,'菜品日销量'!$G$5:$G$1124,0)</x:f>
        <x:v>35</x:v>
      </x:c>
      <x:c r="I637" s="20" t="n">
        <x:f>ROUNDUP(H637/2,0)</x:f>
        <x:v>18</x:v>
      </x:c>
      <x:c r="J637" s="22" t="n">
        <x:f>SUMIFS('菜谱BOM'!$F$5:$F$160,'菜谱BOM'!$A$5:$A$160,E637,'菜谱BOM'!$C$5:$C$160,"食材")</x:f>
        <x:v>380</x:v>
      </x:c>
      <x:c r="K637" s="38" t="n">
        <x:v>-0.001782009689552246</x:v>
      </x:c>
      <x:c r="L637" s="35" t="n">
        <x:f>H637*J637*(1+K637)</x:f>
        <x:v>13276.299271128955</x:v>
      </x:c>
      <x:c r="M637" s="35" t="n">
        <x:f>SUMIFS('菜谱BOM'!$F$5:$F$160,'菜谱BOM'!$A$5:$A$160,E637,'菜谱BOM'!$C$5:$C$160,"调料")</x:f>
        <x:v>47</x:v>
      </x:c>
      <x:c r="N637" s="38" t="n">
        <x:v>0.000978901976481756</x:v>
      </x:c>
      <x:c r="O637" s="35" t="n">
        <x:f>H637*M637*(1+N637)</x:f>
        <x:v>1646.6102937513124</x:v>
      </x:c>
      <x:c r="P637" s="19" t="str">
        <x:f>IF(ABS(N637)&gt;'封面与口径'!$O$25,"机器调料需复核",IF(ABS(K637)&gt;0.02,"人工称重需复核","正常"))</x:f>
        <x:v>正常</x:v>
      </x:c>
      <x:c r="Q637" s="19" t="str">
        <x:v>谢东</x:v>
      </x:c>
    </x:row>
    <x:row r="638">
      <x:c r="A638" s="19" t="str">
        <x:v>2026-07-09|S06|D05</x:v>
      </x:c>
      <x:c r="B638" s="34" t="n">
        <x:v>46212.5</x:v>
      </x:c>
      <x:c r="C638" s="19" t="str">
        <x:v>S06</x:v>
      </x:c>
      <x:c r="D638" s="19" t="str">
        <x:v>蓝钻天城店</x:v>
      </x:c>
      <x:c r="E638" s="19" t="str">
        <x:v>D05</x:v>
      </x:c>
      <x:c r="F638" s="19" t="str">
        <x:v>麻婆豆腐</x:v>
      </x:c>
      <x:c r="G638" s="19" t="str">
        <x:v>R1.0</x:v>
      </x:c>
      <x:c r="H638" s="20" t="n">
        <x:f>XLOOKUP(A638,'菜品日销量'!$A$5:$A$1124,'菜品日销量'!$G$5:$G$1124,0)</x:f>
        <x:v>51</x:v>
      </x:c>
      <x:c r="I638" s="20" t="n">
        <x:f>ROUNDUP(H638/2,0)</x:f>
        <x:v>26</x:v>
      </x:c>
      <x:c r="J638" s="22" t="n">
        <x:f>SUMIFS('菜谱BOM'!$F$5:$F$160,'菜谱BOM'!$A$5:$A$160,E638,'菜谱BOM'!$C$5:$C$160,"食材")</x:f>
        <x:v>505</x:v>
      </x:c>
      <x:c r="K638" s="38" t="n">
        <x:v>0.0037225575213605906</x:v>
      </x:c>
      <x:c r="L638" s="35" t="n">
        <x:f>H638*J638*(1+K638)</x:f>
        <x:v>25850.874468962644</x:v>
      </x:c>
      <x:c r="M638" s="35" t="n">
        <x:f>SUMIFS('菜谱BOM'!$F$5:$F$160,'菜谱BOM'!$A$5:$A$160,E638,'菜谱BOM'!$C$5:$C$160,"调料")</x:f>
        <x:v>90</x:v>
      </x:c>
      <x:c r="N638" s="38" t="n">
        <x:v>0.0017889930204928373</x:v>
      </x:c>
      <x:c r="O638" s="35" t="n">
        <x:f>H638*M638*(1+N638)</x:f>
        <x:v>4598.211477964062</x:v>
      </x:c>
      <x:c r="P638" s="19" t="str">
        <x:f>IF(ABS(N638)&gt;'封面与口径'!$O$25,"机器调料需复核",IF(ABS(K638)&gt;0.02,"人工称重需复核","正常"))</x:f>
        <x:v>正常</x:v>
      </x:c>
      <x:c r="Q638" s="19" t="str">
        <x:v>谢东</x:v>
      </x:c>
    </x:row>
    <x:row r="639">
      <x:c r="A639" s="19" t="str">
        <x:v>2026-07-09|S06|D07</x:v>
      </x:c>
      <x:c r="B639" s="34" t="n">
        <x:v>46212.5</x:v>
      </x:c>
      <x:c r="C639" s="19" t="str">
        <x:v>S06</x:v>
      </x:c>
      <x:c r="D639" s="19" t="str">
        <x:v>蓝钻天城店</x:v>
      </x:c>
      <x:c r="E639" s="19" t="str">
        <x:v>D07</x:v>
      </x:c>
      <x:c r="F639" s="19" t="str">
        <x:v>川味回锅肉</x:v>
      </x:c>
      <x:c r="G639" s="19" t="str">
        <x:v>R1.0</x:v>
      </x:c>
      <x:c r="H639" s="20" t="n">
        <x:f>XLOOKUP(A639,'菜品日销量'!$A$5:$A$1124,'菜品日销量'!$G$5:$G$1124,0)</x:f>
        <x:v>14</x:v>
      </x:c>
      <x:c r="I639" s="20" t="n">
        <x:f>ROUNDUP(H639/2,0)</x:f>
        <x:v>7</x:v>
      </x:c>
      <x:c r="J639" s="22" t="n">
        <x:f>SUMIFS('菜谱BOM'!$F$5:$F$160,'菜谱BOM'!$A$5:$A$160,E639,'菜谱BOM'!$C$5:$C$160,"食材")</x:f>
        <x:v>450</x:v>
      </x:c>
      <x:c r="K639" s="38" t="n">
        <x:v>0.0011997015013358787</x:v>
      </x:c>
      <x:c r="L639" s="35" t="n">
        <x:f>H639*J639*(1+K639)</x:f>
        <x:v>6307.558119458416</x:v>
      </x:c>
      <x:c r="M639" s="35" t="n">
        <x:f>SUMIFS('菜谱BOM'!$F$5:$F$160,'菜谱BOM'!$A$5:$A$160,E639,'菜谱BOM'!$C$5:$C$160,"调料")</x:f>
        <x:v>63</x:v>
      </x:c>
      <x:c r="N639" s="38" t="n">
        <x:v>-0.0015159981789803127</x:v>
      </x:c>
      <x:c r="O639" s="35" t="n">
        <x:f>H639*M639*(1+N639)</x:f>
        <x:v>880.6628896061394</x:v>
      </x:c>
      <x:c r="P639" s="19" t="str">
        <x:f>IF(ABS(N639)&gt;'封面与口径'!$O$25,"机器调料需复核",IF(ABS(K639)&gt;0.02,"人工称重需复核","正常"))</x:f>
        <x:v>正常</x:v>
      </x:c>
      <x:c r="Q639" s="19" t="str">
        <x:v>谢东</x:v>
      </x:c>
    </x:row>
    <x:row r="640">
      <x:c r="A640" s="19" t="str">
        <x:v>2026-07-09|S06|D08</x:v>
      </x:c>
      <x:c r="B640" s="34" t="n">
        <x:v>46212.5</x:v>
      </x:c>
      <x:c r="C640" s="19" t="str">
        <x:v>S06</x:v>
      </x:c>
      <x:c r="D640" s="19" t="str">
        <x:v>蓝钻天城店</x:v>
      </x:c>
      <x:c r="E640" s="19" t="str">
        <x:v>D08</x:v>
      </x:c>
      <x:c r="F640" s="19" t="str">
        <x:v>生炒清远鸡</x:v>
      </x:c>
      <x:c r="G640" s="19" t="str">
        <x:v>R1.0</x:v>
      </x:c>
      <x:c r="H640" s="20" t="n">
        <x:f>XLOOKUP(A640,'菜品日销量'!$A$5:$A$1124,'菜品日销量'!$G$5:$G$1124,0)</x:f>
        <x:v>11</x:v>
      </x:c>
      <x:c r="I640" s="20" t="n">
        <x:f>ROUNDUP(H640/2,0)</x:f>
        <x:v>6</x:v>
      </x:c>
      <x:c r="J640" s="22" t="n">
        <x:f>SUMIFS('菜谱BOM'!$F$5:$F$160,'菜谱BOM'!$A$5:$A$160,E640,'菜谱BOM'!$C$5:$C$160,"食材")</x:f>
        <x:v>610</x:v>
      </x:c>
      <x:c r="K640" s="38" t="n">
        <x:v>0.0048120283961324084</x:v>
      </x:c>
      <x:c r="L640" s="35" t="n">
        <x:f>H640*J640*(1+K640)</x:f>
        <x:v>6742.288710538048</x:v>
      </x:c>
      <x:c r="M640" s="35" t="n">
        <x:f>SUMIFS('菜谱BOM'!$F$5:$F$160,'菜谱BOM'!$A$5:$A$160,E640,'菜谱BOM'!$C$5:$C$160,"调料")</x:f>
        <x:v>61</x:v>
      </x:c>
      <x:c r="N640" s="38" t="n">
        <x:v>0.0010017607861668245</x:v>
      </x:c>
      <x:c r="O640" s="35" t="n">
        <x:f>H640*M640*(1+N640)</x:f>
        <x:v>671.672181487518</x:v>
      </x:c>
      <x:c r="P640" s="19" t="str">
        <x:f>IF(ABS(N640)&gt;'封面与口径'!$O$25,"机器调料需复核",IF(ABS(K640)&gt;0.02,"人工称重需复核","正常"))</x:f>
        <x:v>正常</x:v>
      </x:c>
      <x:c r="Q640" s="19" t="str">
        <x:v>谢东</x:v>
      </x:c>
    </x:row>
    <x:row r="641">
      <x:c r="A641" s="19" t="str">
        <x:v>2026-07-09|S06|D09</x:v>
      </x:c>
      <x:c r="B641" s="34" t="n">
        <x:v>46212.5</x:v>
      </x:c>
      <x:c r="C641" s="19" t="str">
        <x:v>S06</x:v>
      </x:c>
      <x:c r="D641" s="19" t="str">
        <x:v>蓝钻天城店</x:v>
      </x:c>
      <x:c r="E641" s="19" t="str">
        <x:v>D09</x:v>
      </x:c>
      <x:c r="F641" s="19" t="str">
        <x:v>炒豆干</x:v>
      </x:c>
      <x:c r="G641" s="19" t="str">
        <x:v>R1.0</x:v>
      </x:c>
      <x:c r="H641" s="20" t="n">
        <x:f>XLOOKUP(A641,'菜品日销量'!$A$5:$A$1124,'菜品日销量'!$G$5:$G$1124,0)</x:f>
        <x:v>14</x:v>
      </x:c>
      <x:c r="I641" s="20" t="n">
        <x:f>ROUNDUP(H641/2,0)</x:f>
        <x:v>7</x:v>
      </x:c>
      <x:c r="J641" s="22" t="n">
        <x:f>SUMIFS('菜谱BOM'!$F$5:$F$160,'菜谱BOM'!$A$5:$A$160,E641,'菜谱BOM'!$C$5:$C$160,"食材")</x:f>
        <x:v>520</x:v>
      </x:c>
      <x:c r="K641" s="38" t="n">
        <x:v>0.0041131036794076455</x:v>
      </x:c>
      <x:c r="L641" s="35" t="n">
        <x:f>H641*J641*(1+K641)</x:f>
        <x:v>7309.943394786087</x:v>
      </x:c>
      <x:c r="M641" s="35" t="n">
        <x:f>SUMIFS('菜谱BOM'!$F$5:$F$160,'菜谱BOM'!$A$5:$A$160,E641,'菜谱BOM'!$C$5:$C$160,"调料")</x:f>
        <x:v>42</x:v>
      </x:c>
      <x:c r="N641" s="38" t="n">
        <x:v>-0.0015186323522400653</x:v>
      </x:c>
      <x:c r="O641" s="35" t="n">
        <x:f>H641*M641*(1+N641)</x:f>
        <x:v>587.1070441768828</x:v>
      </x:c>
      <x:c r="P641" s="19" t="str">
        <x:f>IF(ABS(N641)&gt;'封面与口径'!$O$25,"机器调料需复核",IF(ABS(K641)&gt;0.02,"人工称重需复核","正常"))</x:f>
        <x:v>正常</x:v>
      </x:c>
      <x:c r="Q641" s="19" t="str">
        <x:v>谢东</x:v>
      </x:c>
    </x:row>
    <x:row r="642">
      <x:c r="A642" s="19" t="str">
        <x:v>2026-07-09|S06|D10</x:v>
      </x:c>
      <x:c r="B642" s="34" t="n">
        <x:v>46212.5</x:v>
      </x:c>
      <x:c r="C642" s="19" t="str">
        <x:v>S06</x:v>
      </x:c>
      <x:c r="D642" s="19" t="str">
        <x:v>蓝钻天城店</x:v>
      </x:c>
      <x:c r="E642" s="19" t="str">
        <x:v>D10</x:v>
      </x:c>
      <x:c r="F642" s="19" t="str">
        <x:v>农家一碗香</x:v>
      </x:c>
      <x:c r="G642" s="19" t="str">
        <x:v>R2.3</x:v>
      </x:c>
      <x:c r="H642" s="20" t="n">
        <x:f>XLOOKUP(A642,'菜品日销量'!$A$5:$A$1124,'菜品日销量'!$G$5:$G$1124,0)</x:f>
        <x:v>18</x:v>
      </x:c>
      <x:c r="I642" s="20" t="n">
        <x:f>ROUNDUP(H642/2,0)</x:f>
        <x:v>9</x:v>
      </x:c>
      <x:c r="J642" s="22" t="n">
        <x:f>SUMIFS('菜谱BOM'!$F$5:$F$160,'菜谱BOM'!$A$5:$A$160,E642,'菜谱BOM'!$C$5:$C$160,"食材")</x:f>
        <x:v>510</x:v>
      </x:c>
      <x:c r="K642" s="38" t="n">
        <x:v>0.0029828830200673267</x:v>
      </x:c>
      <x:c r="L642" s="35" t="n">
        <x:f>H642*J642*(1+K642)</x:f>
        <x:v>9207.382866124219</x:v>
      </x:c>
      <x:c r="M642" s="35" t="n">
        <x:f>SUMIFS('菜谱BOM'!$F$5:$F$160,'菜谱BOM'!$A$5:$A$160,E642,'菜谱BOM'!$C$5:$C$160,"调料")</x:f>
        <x:v>88</x:v>
      </x:c>
      <x:c r="N642" s="38" t="n">
        <x:v>0.00011556231838547681</x:v>
      </x:c>
      <x:c r="O642" s="35" t="n">
        <x:f>H642*M642*(1+N642)</x:f>
        <x:v>1584.1830507123227</x:v>
      </x:c>
      <x:c r="P642" s="19" t="str">
        <x:f>IF(ABS(N642)&gt;'封面与口径'!$O$25,"机器调料需复核",IF(ABS(K642)&gt;0.02,"人工称重需复核","正常"))</x:f>
        <x:v>正常</x:v>
      </x:c>
      <x:c r="Q642" s="19" t="str">
        <x:v>谢东</x:v>
      </x:c>
    </x:row>
    <x:row r="643">
      <x:c r="A643" s="19" t="str">
        <x:v>2026-07-09|S06|D11</x:v>
      </x:c>
      <x:c r="B643" s="34" t="n">
        <x:v>46212.5</x:v>
      </x:c>
      <x:c r="C643" s="19" t="str">
        <x:v>S06</x:v>
      </x:c>
      <x:c r="D643" s="19" t="str">
        <x:v>蓝钻天城店</x:v>
      </x:c>
      <x:c r="E643" s="19" t="str">
        <x:v>D11</x:v>
      </x:c>
      <x:c r="F643" s="19" t="str">
        <x:v>香辣爆肥肠</x:v>
      </x:c>
      <x:c r="G643" s="19" t="str">
        <x:v>R1.0</x:v>
      </x:c>
      <x:c r="H643" s="20" t="n">
        <x:f>XLOOKUP(A643,'菜品日销量'!$A$5:$A$1124,'菜品日销量'!$G$5:$G$1124,0)</x:f>
        <x:v>6</x:v>
      </x:c>
      <x:c r="I643" s="20" t="n">
        <x:f>ROUNDUP(H643/2,0)</x:f>
        <x:v>3</x:v>
      </x:c>
      <x:c r="J643" s="22" t="n">
        <x:f>SUMIFS('菜谱BOM'!$F$5:$F$160,'菜谱BOM'!$A$5:$A$160,E643,'菜谱BOM'!$C$5:$C$160,"食材")</x:f>
        <x:v>430</x:v>
      </x:c>
      <x:c r="K643" s="38" t="n">
        <x:v>-0.005238889149678613</x:v>
      </x:c>
      <x:c r="L643" s="35" t="n">
        <x:f>H643*J643*(1+K643)</x:f>
        <x:v>2566.483665993829</x:v>
      </x:c>
      <x:c r="M643" s="35" t="n">
        <x:f>SUMIFS('菜谱BOM'!$F$5:$F$160,'菜谱BOM'!$A$5:$A$160,E643,'菜谱BOM'!$C$5:$C$160,"调料")</x:f>
        <x:v>67</x:v>
      </x:c>
      <x:c r="N643" s="38" t="n">
        <x:v>0.0014331450647286012</x:v>
      </x:c>
      <x:c r="O643" s="35" t="n">
        <x:f>H643*M643*(1+N643)</x:f>
        <x:v>402.5761243160209</x:v>
      </x:c>
      <x:c r="P643" s="19" t="str">
        <x:f>IF(ABS(N643)&gt;'封面与口径'!$O$25,"机器调料需复核",IF(ABS(K643)&gt;0.02,"人工称重需复核","正常"))</x:f>
        <x:v>正常</x:v>
      </x:c>
      <x:c r="Q643" s="19" t="str">
        <x:v>谢东</x:v>
      </x:c>
    </x:row>
    <x:row r="644">
      <x:c r="A644" s="19" t="str">
        <x:v>2026-07-09|S06|D13</x:v>
      </x:c>
      <x:c r="B644" s="34" t="n">
        <x:v>46212.5</x:v>
      </x:c>
      <x:c r="C644" s="19" t="str">
        <x:v>S06</x:v>
      </x:c>
      <x:c r="D644" s="19" t="str">
        <x:v>蓝钻天城店</x:v>
      </x:c>
      <x:c r="E644" s="19" t="str">
        <x:v>D13</x:v>
      </x:c>
      <x:c r="F644" s="19" t="str">
        <x:v>外婆菜炒蛋</x:v>
      </x:c>
      <x:c r="G644" s="19" t="str">
        <x:v>R1.0</x:v>
      </x:c>
      <x:c r="H644" s="20" t="n">
        <x:f>XLOOKUP(A644,'菜品日销量'!$A$5:$A$1124,'菜品日销量'!$G$5:$G$1124,0)</x:f>
        <x:v>15</x:v>
      </x:c>
      <x:c r="I644" s="20" t="n">
        <x:f>ROUNDUP(H644/2,0)</x:f>
        <x:v>8</x:v>
      </x:c>
      <x:c r="J644" s="22" t="n">
        <x:f>SUMIFS('菜谱BOM'!$F$5:$F$160,'菜谱BOM'!$A$5:$A$160,E644,'菜谱BOM'!$C$5:$C$160,"食材")</x:f>
        <x:v>450</x:v>
      </x:c>
      <x:c r="K644" s="38" t="n">
        <x:v>0.006166823867281625</x:v>
      </x:c>
      <x:c r="L644" s="35" t="n">
        <x:f>H644*J644*(1+K644)</x:f>
        <x:v>6791.626061104151</x:v>
      </x:c>
      <x:c r="M644" s="35" t="n">
        <x:f>SUMIFS('菜谱BOM'!$F$5:$F$160,'菜谱BOM'!$A$5:$A$160,E644,'菜谱BOM'!$C$5:$C$160,"调料")</x:f>
        <x:v>37</x:v>
      </x:c>
      <x:c r="N644" s="38" t="n">
        <x:v>0.0014709244834889947</x:v>
      </x:c>
      <x:c r="O644" s="35" t="n">
        <x:f>H644*M644*(1+N644)</x:f>
        <x:v>555.8163630883364</x:v>
      </x:c>
      <x:c r="P644" s="19" t="str">
        <x:f>IF(ABS(N644)&gt;'封面与口径'!$O$25,"机器调料需复核",IF(ABS(K644)&gt;0.02,"人工称重需复核","正常"))</x:f>
        <x:v>正常</x:v>
      </x:c>
      <x:c r="Q644" s="19" t="str">
        <x:v>谢东</x:v>
      </x:c>
    </x:row>
    <x:row r="645">
      <x:c r="A645" s="19" t="str">
        <x:v>2026-07-09|S06|D14</x:v>
      </x:c>
      <x:c r="B645" s="34" t="n">
        <x:v>46212.5</x:v>
      </x:c>
      <x:c r="C645" s="19" t="str">
        <x:v>S06</x:v>
      </x:c>
      <x:c r="D645" s="19" t="str">
        <x:v>蓝钻天城店</x:v>
      </x:c>
      <x:c r="E645" s="19" t="str">
        <x:v>D14</x:v>
      </x:c>
      <x:c r="F645" s="19" t="str">
        <x:v>酸辣鸡杂</x:v>
      </x:c>
      <x:c r="G645" s="19" t="str">
        <x:v>R1.0</x:v>
      </x:c>
      <x:c r="H645" s="20" t="n">
        <x:f>XLOOKUP(A645,'菜品日销量'!$A$5:$A$1124,'菜品日销量'!$G$5:$G$1124,0)</x:f>
        <x:v>7</x:v>
      </x:c>
      <x:c r="I645" s="20" t="n">
        <x:f>ROUNDUP(H645/2,0)</x:f>
        <x:v>4</x:v>
      </x:c>
      <x:c r="J645" s="22" t="n">
        <x:f>SUMIFS('菜谱BOM'!$F$5:$F$160,'菜谱BOM'!$A$5:$A$160,E645,'菜谱BOM'!$C$5:$C$160,"食材")</x:f>
        <x:v>470</x:v>
      </x:c>
      <x:c r="K645" s="38" t="n">
        <x:v>0.0028562723088209215</x:v>
      </x:c>
      <x:c r="L645" s="35" t="n">
        <x:f>H645*J645*(1+K645)</x:f>
        <x:v>3299.397135896021</x:v>
      </x:c>
      <x:c r="M645" s="35" t="n">
        <x:f>SUMIFS('菜谱BOM'!$F$5:$F$160,'菜谱BOM'!$A$5:$A$160,E645,'菜谱BOM'!$C$5:$C$160,"调料")</x:f>
        <x:v>60</x:v>
      </x:c>
      <x:c r="N645" s="38" t="n">
        <x:v>0.001383466678527991</x:v>
      </x:c>
      <x:c r="O645" s="35" t="n">
        <x:f>H645*M645*(1+N645)</x:f>
        <x:v>420.58105600498175</x:v>
      </x:c>
      <x:c r="P645" s="19" t="str">
        <x:f>IF(ABS(N645)&gt;'封面与口径'!$O$25,"机器调料需复核",IF(ABS(K645)&gt;0.02,"人工称重需复核","正常"))</x:f>
        <x:v>正常</x:v>
      </x:c>
      <x:c r="Q645" s="19" t="str">
        <x:v>谢东</x:v>
      </x:c>
    </x:row>
    <x:row r="646">
      <x:c r="A646" s="19" t="str">
        <x:v>2026-07-09|S06|D15</x:v>
      </x:c>
      <x:c r="B646" s="34" t="n">
        <x:v>46212.5</x:v>
      </x:c>
      <x:c r="C646" s="19" t="str">
        <x:v>S06</x:v>
      </x:c>
      <x:c r="D646" s="19" t="str">
        <x:v>蓝钻天城店</x:v>
      </x:c>
      <x:c r="E646" s="19" t="str">
        <x:v>D15</x:v>
      </x:c>
      <x:c r="F646" s="19" t="str">
        <x:v>湘西土匪猪肝</x:v>
      </x:c>
      <x:c r="G646" s="19" t="str">
        <x:v>R1.0</x:v>
      </x:c>
      <x:c r="H646" s="20" t="n">
        <x:f>XLOOKUP(A646,'菜品日销量'!$A$5:$A$1124,'菜品日销量'!$G$5:$G$1124,0)</x:f>
        <x:v>6</x:v>
      </x:c>
      <x:c r="I646" s="20" t="n">
        <x:f>ROUNDUP(H646/2,0)</x:f>
        <x:v>3</x:v>
      </x:c>
      <x:c r="J646" s="22" t="n">
        <x:f>SUMIFS('菜谱BOM'!$F$5:$F$160,'菜谱BOM'!$A$5:$A$160,E646,'菜谱BOM'!$C$5:$C$160,"食材")</x:f>
        <x:v>470</x:v>
      </x:c>
      <x:c r="K646" s="38" t="n">
        <x:v>-0.0033674520913901393</x:v>
      </x:c>
      <x:c r="L646" s="35" t="n">
        <x:f>H646*J646*(1+K646)</x:f>
        <x:v>2810.50378510228</x:v>
      </x:c>
      <x:c r="M646" s="35" t="n">
        <x:f>SUMIFS('菜谱BOM'!$F$5:$F$160,'菜谱BOM'!$A$5:$A$160,E646,'菜谱BOM'!$C$5:$C$160,"调料")</x:f>
        <x:v>49</x:v>
      </x:c>
      <x:c r="N646" s="38" t="n">
        <x:v>0.0002771917801064419</x:v>
      </x:c>
      <x:c r="O646" s="35" t="n">
        <x:f>H646*M646*(1+N646)</x:f>
        <x:v>294.0814943833513</x:v>
      </x:c>
      <x:c r="P646" s="19" t="str">
        <x:f>IF(ABS(N646)&gt;'封面与口径'!$O$25,"机器调料需复核",IF(ABS(K646)&gt;0.02,"人工称重需复核","正常"))</x:f>
        <x:v>正常</x:v>
      </x:c>
      <x:c r="Q646" s="19" t="str">
        <x:v>谢东</x:v>
      </x:c>
    </x:row>
    <x:row r="647">
      <x:c r="A647" s="19" t="str">
        <x:v>2026-07-09|S06|D16</x:v>
      </x:c>
      <x:c r="B647" s="34" t="n">
        <x:v>46212.5</x:v>
      </x:c>
      <x:c r="C647" s="19" t="str">
        <x:v>S06</x:v>
      </x:c>
      <x:c r="D647" s="19" t="str">
        <x:v>蓝钻天城店</x:v>
      </x:c>
      <x:c r="E647" s="19" t="str">
        <x:v>D16</x:v>
      </x:c>
      <x:c r="F647" s="19" t="str">
        <x:v>小豆角炒五花</x:v>
      </x:c>
      <x:c r="G647" s="19" t="str">
        <x:v>R1.0</x:v>
      </x:c>
      <x:c r="H647" s="20" t="n">
        <x:f>XLOOKUP(A647,'菜品日销量'!$A$5:$A$1124,'菜品日销量'!$G$5:$G$1124,0)</x:f>
        <x:v>7</x:v>
      </x:c>
      <x:c r="I647" s="20" t="n">
        <x:f>ROUNDUP(H647/2,0)</x:f>
        <x:v>4</x:v>
      </x:c>
      <x:c r="J647" s="22" t="n">
        <x:f>SUMIFS('菜谱BOM'!$F$5:$F$160,'菜谱BOM'!$A$5:$A$160,E647,'菜谱BOM'!$C$5:$C$160,"食材")</x:f>
        <x:v>450</x:v>
      </x:c>
      <x:c r="K647" s="38" t="n">
        <x:v>-0.005900515626627141</x:v>
      </x:c>
      <x:c r="L647" s="35" t="n">
        <x:f>H647*J647*(1+K647)</x:f>
        <x:v>3131.413375776124</x:v>
      </x:c>
      <x:c r="M647" s="35" t="n">
        <x:f>SUMIFS('菜谱BOM'!$F$5:$F$160,'菜谱BOM'!$A$5:$A$160,E647,'菜谱BOM'!$C$5:$C$160,"调料")</x:f>
        <x:v>42</x:v>
      </x:c>
      <x:c r="N647" s="38" t="n">
        <x:v>-0.0015505060254480938</x:v>
      </x:c>
      <x:c r="O647" s="35" t="n">
        <x:f>H647*M647*(1+N647)</x:f>
        <x:v>293.5441512285183</x:v>
      </x:c>
      <x:c r="P647" s="19" t="str">
        <x:f>IF(ABS(N647)&gt;'封面与口径'!$O$25,"机器调料需复核",IF(ABS(K647)&gt;0.02,"人工称重需复核","正常"))</x:f>
        <x:v>正常</x:v>
      </x:c>
      <x:c r="Q647" s="19" t="str">
        <x:v>谢东</x:v>
      </x:c>
    </x:row>
    <x:row r="648">
      <x:c r="A648" s="19" t="str">
        <x:v>2026-07-09|S06|D18</x:v>
      </x:c>
      <x:c r="B648" s="34" t="n">
        <x:v>46212.5</x:v>
      </x:c>
      <x:c r="C648" s="19" t="str">
        <x:v>S06</x:v>
      </x:c>
      <x:c r="D648" s="19" t="str">
        <x:v>蓝钻天城店</x:v>
      </x:c>
      <x:c r="E648" s="19" t="str">
        <x:v>D18</x:v>
      </x:c>
      <x:c r="F648" s="19" t="str">
        <x:v>青椒炒油麦菜</x:v>
      </x:c>
      <x:c r="G648" s="19" t="str">
        <x:v>R1.0</x:v>
      </x:c>
      <x:c r="H648" s="20" t="n">
        <x:f>XLOOKUP(A648,'菜品日销量'!$A$5:$A$1124,'菜品日销量'!$G$5:$G$1124,0)</x:f>
        <x:v>8</x:v>
      </x:c>
      <x:c r="I648" s="20" t="n">
        <x:f>ROUNDUP(H648/2,0)</x:f>
        <x:v>4</x:v>
      </x:c>
      <x:c r="J648" s="22" t="n">
        <x:f>SUMIFS('菜谱BOM'!$F$5:$F$160,'菜谱BOM'!$A$5:$A$160,E648,'菜谱BOM'!$C$5:$C$160,"食材")</x:f>
        <x:v>430</x:v>
      </x:c>
      <x:c r="K648" s="38" t="n">
        <x:v>0.002839073492875107</x:v>
      </x:c>
      <x:c r="L648" s="35" t="n">
        <x:f>H648*J648*(1+K648)</x:f>
        <x:v>3449.7664128154906</x:v>
      </x:c>
      <x:c r="M648" s="35" t="n">
        <x:f>SUMIFS('菜谱BOM'!$F$5:$F$160,'菜谱BOM'!$A$5:$A$160,E648,'菜谱BOM'!$C$5:$C$160,"调料")</x:f>
        <x:v>33</x:v>
      </x:c>
      <x:c r="N648" s="38" t="n">
        <x:v>-0.0015478718521883413</x:v>
      </x:c>
      <x:c r="O648" s="35" t="n">
        <x:f>H648*M648*(1+N648)</x:f>
        <x:v>263.5913618310223</x:v>
      </x:c>
      <x:c r="P648" s="19" t="str">
        <x:f>IF(ABS(N648)&gt;'封面与口径'!$O$25,"机器调料需复核",IF(ABS(K648)&gt;0.02,"人工称重需复核","正常"))</x:f>
        <x:v>正常</x:v>
      </x:c>
      <x:c r="Q648" s="19" t="str">
        <x:v>谢东</x:v>
      </x:c>
    </x:row>
    <x:row r="649">
      <x:c r="A649" s="19" t="str">
        <x:v>2026-07-09|S06|D19</x:v>
      </x:c>
      <x:c r="B649" s="34" t="n">
        <x:v>46212.5</x:v>
      </x:c>
      <x:c r="C649" s="19" t="str">
        <x:v>S06</x:v>
      </x:c>
      <x:c r="D649" s="19" t="str">
        <x:v>蓝钻天城店</x:v>
      </x:c>
      <x:c r="E649" s="19" t="str">
        <x:v>D19</x:v>
      </x:c>
      <x:c r="F649" s="19" t="str">
        <x:v>酸萝卜炒鸡杂</x:v>
      </x:c>
      <x:c r="G649" s="19" t="str">
        <x:v>R1.0</x:v>
      </x:c>
      <x:c r="H649" s="20" t="n">
        <x:f>XLOOKUP(A649,'菜品日销量'!$A$5:$A$1124,'菜品日销量'!$G$5:$G$1124,0)</x:f>
        <x:v>5</x:v>
      </x:c>
      <x:c r="I649" s="20" t="n">
        <x:f>ROUNDUP(H649/2,0)</x:f>
        <x:v>3</x:v>
      </x:c>
      <x:c r="J649" s="22" t="n">
        <x:f>SUMIFS('菜谱BOM'!$F$5:$F$160,'菜谱BOM'!$A$5:$A$160,E649,'菜谱BOM'!$C$5:$C$160,"食材")</x:f>
        <x:v>500</x:v>
      </x:c>
      <x:c r="K649" s="38" t="n">
        <x:v>0.005138508777399201</x:v>
      </x:c>
      <x:c r="L649" s="35" t="n">
        <x:f>H649*J649*(1+K649)</x:f>
        <x:v>2512.846271943498</x:v>
      </x:c>
      <x:c r="M649" s="35" t="n">
        <x:f>SUMIFS('菜谱BOM'!$F$5:$F$160,'菜谱BOM'!$A$5:$A$160,E649,'菜谱BOM'!$C$5:$C$160,"调料")</x:f>
        <x:v>55</x:v>
      </x:c>
      <x:c r="N649" s="38" t="n">
        <x:v>0.0018433851264052525</x:v>
      </x:c>
      <x:c r="O649" s="35" t="n">
        <x:f>H649*M649*(1+N649)</x:f>
        <x:v>275.5069309097614</x:v>
      </x:c>
      <x:c r="P649" s="19" t="str">
        <x:f>IF(ABS(N649)&gt;'封面与口径'!$O$25,"机器调料需复核",IF(ABS(K649)&gt;0.02,"人工称重需复核","正常"))</x:f>
        <x:v>正常</x:v>
      </x:c>
      <x:c r="Q649" s="19" t="str">
        <x:v>谢东</x:v>
      </x:c>
    </x:row>
    <x:row r="650">
      <x:c r="A650" s="19" t="str">
        <x:v>2026-07-09|S06|D20</x:v>
      </x:c>
      <x:c r="B650" s="34" t="n">
        <x:v>46212.5</x:v>
      </x:c>
      <x:c r="C650" s="19" t="str">
        <x:v>S06</x:v>
      </x:c>
      <x:c r="D650" s="19" t="str">
        <x:v>蓝钻天城店</x:v>
      </x:c>
      <x:c r="E650" s="19" t="str">
        <x:v>D20</x:v>
      </x:c>
      <x:c r="F650" s="19" t="str">
        <x:v>雪菜肉末青豆</x:v>
      </x:c>
      <x:c r="G650" s="19" t="str">
        <x:v>R1.0</x:v>
      </x:c>
      <x:c r="H650" s="20" t="n">
        <x:f>XLOOKUP(A650,'菜品日销量'!$A$5:$A$1124,'菜品日销量'!$G$5:$G$1124,0)</x:f>
        <x:v>8</x:v>
      </x:c>
      <x:c r="I650" s="20" t="n">
        <x:f>ROUNDUP(H650/2,0)</x:f>
        <x:v>4</x:v>
      </x:c>
      <x:c r="J650" s="22" t="n">
        <x:f>SUMIFS('菜谱BOM'!$F$5:$F$160,'菜谱BOM'!$A$5:$A$160,E650,'菜谱BOM'!$C$5:$C$160,"食材")</x:f>
        <x:v>465</x:v>
      </x:c>
      <x:c r="K650" s="38" t="n">
        <x:v>-0.006788761399404323</x:v>
      </x:c>
      <x:c r="L650" s="35" t="n">
        <x:f>H650*J650*(1+K650)</x:f>
        <x:v>3694.745807594216</x:v>
      </x:c>
      <x:c r="M650" s="35" t="n">
        <x:f>SUMIFS('菜谱BOM'!$F$5:$F$160,'菜谱BOM'!$A$5:$A$160,E650,'菜谱BOM'!$C$5:$C$160,"调料")</x:f>
        <x:v>32</x:v>
      </x:c>
      <x:c r="N650" s="38" t="n">
        <x:v>-0.0016445612059078555</x:v>
      </x:c>
      <x:c r="O650" s="35" t="n">
        <x:f>H650*M650*(1+N650)</x:f>
        <x:v>255.5789923312876</x:v>
      </x:c>
      <x:c r="P650" s="19" t="str">
        <x:f>IF(ABS(N650)&gt;'封面与口径'!$O$25,"机器调料需复核",IF(ABS(K650)&gt;0.02,"人工称重需复核","正常"))</x:f>
        <x:v>正常</x:v>
      </x:c>
      <x:c r="Q650" s="19" t="str">
        <x:v>谢东</x:v>
      </x:c>
    </x:row>
    <x:row r="651">
      <x:c r="A651" s="19" t="str">
        <x:v>2026-07-10|S06|D01</x:v>
      </x:c>
      <x:c r="B651" s="34" t="n">
        <x:v>46213.5</x:v>
      </x:c>
      <x:c r="C651" s="19" t="str">
        <x:v>S06</x:v>
      </x:c>
      <x:c r="D651" s="19" t="str">
        <x:v>蓝钻天城店</x:v>
      </x:c>
      <x:c r="E651" s="19" t="str">
        <x:v>D01</x:v>
      </x:c>
      <x:c r="F651" s="19" t="str">
        <x:v>辣椒炒肉</x:v>
      </x:c>
      <x:c r="G651" s="19" t="str">
        <x:v>R2.3</x:v>
      </x:c>
      <x:c r="H651" s="20" t="n">
        <x:f>XLOOKUP(A651,'菜品日销量'!$A$5:$A$1124,'菜品日销量'!$G$5:$G$1124,0)</x:f>
        <x:v>44</x:v>
      </x:c>
      <x:c r="I651" s="20" t="n">
        <x:f>ROUNDUP(H651/2,0)</x:f>
        <x:v>22</x:v>
      </x:c>
      <x:c r="J651" s="22" t="n">
        <x:f>SUMIFS('菜谱BOM'!$F$5:$F$160,'菜谱BOM'!$A$5:$A$160,E651,'菜谱BOM'!$C$5:$C$160,"食材")</x:f>
        <x:v>550</x:v>
      </x:c>
      <x:c r="K651" s="38" t="n">
        <x:v>0.005159070416623511</x:v>
      </x:c>
      <x:c r="L651" s="35" t="n">
        <x:f>H651*J651*(1+K651)</x:f>
        <x:v>24324.84950408229</x:v>
      </x:c>
      <x:c r="M651" s="35" t="n">
        <x:f>SUMIFS('菜谱BOM'!$F$5:$F$160,'菜谱BOM'!$A$5:$A$160,E651,'菜谱BOM'!$C$5:$C$160,"调料")</x:f>
        <x:v>104</x:v>
      </x:c>
      <x:c r="N651" s="38" t="n">
        <x:v>-0.0009979569034180504</x:v>
      </x:c>
      <x:c r="O651" s="35" t="n">
        <x:f>H651*M651*(1+N651)</x:f>
        <x:v>4571.433349209959</x:v>
      </x:c>
      <x:c r="P651" s="19" t="str">
        <x:f>IF(ABS(N651)&gt;'封面与口径'!$O$25,"机器调料需复核",IF(ABS(K651)&gt;0.02,"人工称重需复核","正常"))</x:f>
        <x:v>正常</x:v>
      </x:c>
      <x:c r="Q651" s="19" t="str">
        <x:v>谢东</x:v>
      </x:c>
    </x:row>
    <x:row r="652">
      <x:c r="A652" s="19" t="str">
        <x:v>2026-07-10|S06|D02</x:v>
      </x:c>
      <x:c r="B652" s="34" t="n">
        <x:v>46213.5</x:v>
      </x:c>
      <x:c r="C652" s="19" t="str">
        <x:v>S06</x:v>
      </x:c>
      <x:c r="D652" s="19" t="str">
        <x:v>蓝钻天城店</x:v>
      </x:c>
      <x:c r="E652" s="19" t="str">
        <x:v>D02</x:v>
      </x:c>
      <x:c r="F652" s="19" t="str">
        <x:v>小炒黄牛肉</x:v>
      </x:c>
      <x:c r="G652" s="19" t="str">
        <x:v>R2.3</x:v>
      </x:c>
      <x:c r="H652" s="20" t="n">
        <x:f>XLOOKUP(A652,'菜品日销量'!$A$5:$A$1124,'菜品日销量'!$G$5:$G$1124,0)</x:f>
        <x:v>32</x:v>
      </x:c>
      <x:c r="I652" s="20" t="n">
        <x:f>ROUNDUP(H652/2,0)</x:f>
        <x:v>16</x:v>
      </x:c>
      <x:c r="J652" s="22" t="n">
        <x:f>SUMIFS('菜谱BOM'!$F$5:$F$160,'菜谱BOM'!$A$5:$A$160,E652,'菜谱BOM'!$C$5:$C$160,"食材")</x:f>
        <x:v>560</x:v>
      </x:c>
      <x:c r="K652" s="38" t="n">
        <x:v>-0.0078118740319767675</x:v>
      </x:c>
      <x:c r="L652" s="35" t="n">
        <x:f>H652*J652*(1+K652)</x:f>
        <x:v>17780.011217346975</x:v>
      </x:c>
      <x:c r="M652" s="35" t="n">
        <x:f>SUMIFS('菜谱BOM'!$F$5:$F$160,'菜谱BOM'!$A$5:$A$160,E652,'菜谱BOM'!$C$5:$C$160,"调料")</x:f>
        <x:v>133</x:v>
      </x:c>
      <x:c r="N652" s="38" t="n">
        <x:v>0.0003573091789980674</x:v>
      </x:c>
      <x:c r="O652" s="35" t="n">
        <x:f>H652*M652*(1+N652)</x:f>
        <x:v>4257.520707865816</x:v>
      </x:c>
      <x:c r="P652" s="19" t="str">
        <x:f>IF(ABS(N652)&gt;'封面与口径'!$O$25,"机器调料需复核",IF(ABS(K652)&gt;0.02,"人工称重需复核","正常"))</x:f>
        <x:v>正常</x:v>
      </x:c>
      <x:c r="Q652" s="19" t="str">
        <x:v>谢东</x:v>
      </x:c>
    </x:row>
    <x:row r="653">
      <x:c r="A653" s="19" t="str">
        <x:v>2026-07-10|S06|D03</x:v>
      </x:c>
      <x:c r="B653" s="34" t="n">
        <x:v>46213.5</x:v>
      </x:c>
      <x:c r="C653" s="19" t="str">
        <x:v>S06</x:v>
      </x:c>
      <x:c r="D653" s="19" t="str">
        <x:v>蓝钻天城店</x:v>
      </x:c>
      <x:c r="E653" s="19" t="str">
        <x:v>D03</x:v>
      </x:c>
      <x:c r="F653" s="19" t="str">
        <x:v>香醋炒蛋</x:v>
      </x:c>
      <x:c r="G653" s="19" t="str">
        <x:v>R1.0</x:v>
      </x:c>
      <x:c r="H653" s="20" t="n">
        <x:f>XLOOKUP(A653,'菜品日销量'!$A$5:$A$1124,'菜品日销量'!$G$5:$G$1124,0)</x:f>
        <x:v>40</x:v>
      </x:c>
      <x:c r="I653" s="20" t="n">
        <x:f>ROUNDUP(H653/2,0)</x:f>
        <x:v>20</x:v>
      </x:c>
      <x:c r="J653" s="22" t="n">
        <x:f>SUMIFS('菜谱BOM'!$F$5:$F$160,'菜谱BOM'!$A$5:$A$160,E653,'菜谱BOM'!$C$5:$C$160,"食材")</x:f>
        <x:v>300</x:v>
      </x:c>
      <x:c r="K653" s="38" t="n">
        <x:v>-0.005668648298286984</x:v>
      </x:c>
      <x:c r="L653" s="35" t="n">
        <x:f>H653*J653*(1+K653)</x:f>
        <x:v>11931.976220420556</x:v>
      </x:c>
      <x:c r="M653" s="35" t="n">
        <x:f>SUMIFS('菜谱BOM'!$F$5:$F$160,'菜谱BOM'!$A$5:$A$160,E653,'菜谱BOM'!$C$5:$C$160,"调料")</x:f>
        <x:v>53</x:v>
      </x:c>
      <x:c r="N653" s="38" t="n">
        <x:v>0.0006674842952442086</x:v>
      </x:c>
      <x:c r="O653" s="35" t="n">
        <x:f>H653*M653*(1+N653)</x:f>
        <x:v>2121.4150667059175</x:v>
      </x:c>
      <x:c r="P653" s="19" t="str">
        <x:f>IF(ABS(N653)&gt;'封面与口径'!$O$25,"机器调料需复核",IF(ABS(K653)&gt;0.02,"人工称重需复核","正常"))</x:f>
        <x:v>正常</x:v>
      </x:c>
      <x:c r="Q653" s="19" t="str">
        <x:v>谢东</x:v>
      </x:c>
    </x:row>
    <x:row r="654">
      <x:c r="A654" s="19" t="str">
        <x:v>2026-07-10|S06|D04</x:v>
      </x:c>
      <x:c r="B654" s="34" t="n">
        <x:v>46213.5</x:v>
      </x:c>
      <x:c r="C654" s="19" t="str">
        <x:v>S06</x:v>
      </x:c>
      <x:c r="D654" s="19" t="str">
        <x:v>蓝钻天城店</x:v>
      </x:c>
      <x:c r="E654" s="19" t="str">
        <x:v>D04</x:v>
      </x:c>
      <x:c r="F654" s="19" t="str">
        <x:v>酸包菜炒粉皮</x:v>
      </x:c>
      <x:c r="G654" s="19" t="str">
        <x:v>R1.0</x:v>
      </x:c>
      <x:c r="H654" s="20" t="n">
        <x:f>XLOOKUP(A654,'菜品日销量'!$A$5:$A$1124,'菜品日销量'!$G$5:$G$1124,0)</x:f>
        <x:v>38</x:v>
      </x:c>
      <x:c r="I654" s="20" t="n">
        <x:f>ROUNDUP(H654/2,0)</x:f>
        <x:v>19</x:v>
      </x:c>
      <x:c r="J654" s="22" t="n">
        <x:f>SUMIFS('菜谱BOM'!$F$5:$F$160,'菜谱BOM'!$A$5:$A$160,E654,'菜谱BOM'!$C$5:$C$160,"食材")</x:f>
        <x:v>380</x:v>
      </x:c>
      <x:c r="K654" s="38" t="n">
        <x:v>-0.005155401773088473</x:v>
      </x:c>
      <x:c r="L654" s="35" t="n">
        <x:f>H654*J654*(1+K654)</x:f>
        <x:v>14365.555998396601</x:v>
      </x:c>
      <x:c r="M654" s="35" t="n">
        <x:f>SUMIFS('菜谱BOM'!$F$5:$F$160,'菜谱BOM'!$A$5:$A$160,E654,'菜谱BOM'!$C$5:$C$160,"调料")</x:f>
        <x:v>47</x:v>
      </x:c>
      <x:c r="N654" s="38" t="n">
        <x:v>-0.0004023953756323073</x:v>
      </x:c>
      <x:c r="O654" s="35" t="n">
        <x:f>H654*M654*(1+N654)</x:f>
        <x:v>1785.2813218591207</x:v>
      </x:c>
      <x:c r="P654" s="19" t="str">
        <x:f>IF(ABS(N654)&gt;'封面与口径'!$O$25,"机器调料需复核",IF(ABS(K654)&gt;0.02,"人工称重需复核","正常"))</x:f>
        <x:v>正常</x:v>
      </x:c>
      <x:c r="Q654" s="19" t="str">
        <x:v>谢东</x:v>
      </x:c>
    </x:row>
    <x:row r="655">
      <x:c r="A655" s="19" t="str">
        <x:v>2026-07-10|S06|D05</x:v>
      </x:c>
      <x:c r="B655" s="34" t="n">
        <x:v>46213.5</x:v>
      </x:c>
      <x:c r="C655" s="19" t="str">
        <x:v>S06</x:v>
      </x:c>
      <x:c r="D655" s="19" t="str">
        <x:v>蓝钻天城店</x:v>
      </x:c>
      <x:c r="E655" s="19" t="str">
        <x:v>D05</x:v>
      </x:c>
      <x:c r="F655" s="19" t="str">
        <x:v>麻婆豆腐</x:v>
      </x:c>
      <x:c r="G655" s="19" t="str">
        <x:v>R1.0</x:v>
      </x:c>
      <x:c r="H655" s="20" t="n">
        <x:f>XLOOKUP(A655,'菜品日销量'!$A$5:$A$1124,'菜品日销量'!$G$5:$G$1124,0)</x:f>
        <x:v>53</x:v>
      </x:c>
      <x:c r="I655" s="20" t="n">
        <x:f>ROUNDUP(H655/2,0)</x:f>
        <x:v>27</x:v>
      </x:c>
      <x:c r="J655" s="22" t="n">
        <x:f>SUMIFS('菜谱BOM'!$F$5:$F$160,'菜谱BOM'!$A$5:$A$160,E655,'菜谱BOM'!$C$5:$C$160,"食材")</x:f>
        <x:v>505</x:v>
      </x:c>
      <x:c r="K655" s="38" t="n">
        <x:v>-0.0005129046757968387</x:v>
      </x:c>
      <x:c r="L655" s="35" t="n">
        <x:f>H655*J655*(1+K655)</x:f>
        <x:v>26751.2721063523</x:v>
      </x:c>
      <x:c r="M655" s="35" t="n">
        <x:f>SUMIFS('菜谱BOM'!$F$5:$F$160,'菜谱BOM'!$A$5:$A$160,E655,'菜谱BOM'!$C$5:$C$160,"调料")</x:f>
        <x:v>90</x:v>
      </x:c>
      <x:c r="N655" s="38" t="n">
        <x:v>0.0007039756054766419</x:v>
      </x:c>
      <x:c r="O655" s="35" t="n">
        <x:f>H655*M655*(1+N655)</x:f>
        <x:v>4773.357963638124</x:v>
      </x:c>
      <x:c r="P655" s="19" t="str">
        <x:f>IF(ABS(N655)&gt;'封面与口径'!$O$25,"机器调料需复核",IF(ABS(K655)&gt;0.02,"人工称重需复核","正常"))</x:f>
        <x:v>正常</x:v>
      </x:c>
      <x:c r="Q655" s="19" t="str">
        <x:v>谢东</x:v>
      </x:c>
    </x:row>
    <x:row r="656">
      <x:c r="A656" s="19" t="str">
        <x:v>2026-07-10|S06|D07</x:v>
      </x:c>
      <x:c r="B656" s="34" t="n">
        <x:v>46213.5</x:v>
      </x:c>
      <x:c r="C656" s="19" t="str">
        <x:v>S06</x:v>
      </x:c>
      <x:c r="D656" s="19" t="str">
        <x:v>蓝钻天城店</x:v>
      </x:c>
      <x:c r="E656" s="19" t="str">
        <x:v>D07</x:v>
      </x:c>
      <x:c r="F656" s="19" t="str">
        <x:v>川味回锅肉</x:v>
      </x:c>
      <x:c r="G656" s="19" t="str">
        <x:v>R1.0</x:v>
      </x:c>
      <x:c r="H656" s="20" t="n">
        <x:f>XLOOKUP(A656,'菜品日销量'!$A$5:$A$1124,'菜品日销量'!$G$5:$G$1124,0)</x:f>
        <x:v>15</x:v>
      </x:c>
      <x:c r="I656" s="20" t="n">
        <x:f>ROUNDUP(H656/2,0)</x:f>
        <x:v>8</x:v>
      </x:c>
      <x:c r="J656" s="22" t="n">
        <x:f>SUMIFS('菜谱BOM'!$F$5:$F$160,'菜谱BOM'!$A$5:$A$160,E656,'菜谱BOM'!$C$5:$C$160,"食材")</x:f>
        <x:v>450</x:v>
      </x:c>
      <x:c r="K656" s="38" t="n">
        <x:v>-0.0014081298805326528</x:v>
      </x:c>
      <x:c r="L656" s="35" t="n">
        <x:f>H656*J656*(1+K656)</x:f>
        <x:v>6740.495123306405</x:v>
      </x:c>
      <x:c r="M656" s="35" t="n">
        <x:f>SUMIFS('菜谱BOM'!$F$5:$F$160,'菜谱BOM'!$A$5:$A$160,E656,'菜谱BOM'!$C$5:$C$160,"调料")</x:f>
        <x:v>63</x:v>
      </x:c>
      <x:c r="N656" s="38" t="n">
        <x:v>0.0010786536343113178</x:v>
      </x:c>
      <x:c r="O656" s="35" t="n">
        <x:f>H656*M656*(1+N656)</x:f>
        <x:v>946.0193276844242</x:v>
      </x:c>
      <x:c r="P656" s="19" t="str">
        <x:f>IF(ABS(N656)&gt;'封面与口径'!$O$25,"机器调料需复核",IF(ABS(K656)&gt;0.02,"人工称重需复核","正常"))</x:f>
        <x:v>正常</x:v>
      </x:c>
      <x:c r="Q656" s="19" t="str">
        <x:v>谢东</x:v>
      </x:c>
    </x:row>
    <x:row r="657">
      <x:c r="A657" s="19" t="str">
        <x:v>2026-07-10|S06|D08</x:v>
      </x:c>
      <x:c r="B657" s="34" t="n">
        <x:v>46213.5</x:v>
      </x:c>
      <x:c r="C657" s="19" t="str">
        <x:v>S06</x:v>
      </x:c>
      <x:c r="D657" s="19" t="str">
        <x:v>蓝钻天城店</x:v>
      </x:c>
      <x:c r="E657" s="19" t="str">
        <x:v>D08</x:v>
      </x:c>
      <x:c r="F657" s="19" t="str">
        <x:v>生炒清远鸡</x:v>
      </x:c>
      <x:c r="G657" s="19" t="str">
        <x:v>R1.0</x:v>
      </x:c>
      <x:c r="H657" s="20" t="n">
        <x:f>XLOOKUP(A657,'菜品日销量'!$A$5:$A$1124,'菜品日销量'!$G$5:$G$1124,0)</x:f>
        <x:v>11</x:v>
      </x:c>
      <x:c r="I657" s="20" t="n">
        <x:f>ROUNDUP(H657/2,0)</x:f>
        <x:v>6</x:v>
      </x:c>
      <x:c r="J657" s="22" t="n">
        <x:f>SUMIFS('菜谱BOM'!$F$5:$F$160,'菜谱BOM'!$A$5:$A$160,E657,'菜谱BOM'!$C$5:$C$160,"食材")</x:f>
        <x:v>610</x:v>
      </x:c>
      <x:c r="K657" s="38" t="n">
        <x:v>-0.006368721149482001</x:v>
      </x:c>
      <x:c r="L657" s="35" t="n">
        <x:f>H657*J657*(1+K657)</x:f>
        <x:v>6667.265881086976</x:v>
      </x:c>
      <x:c r="M657" s="35" t="n">
        <x:f>SUMIFS('菜谱BOM'!$F$5:$F$160,'菜谱BOM'!$A$5:$A$160,E657,'菜谱BOM'!$C$5:$C$160,"调料")</x:f>
        <x:v>61</x:v>
      </x:c>
      <x:c r="N657" s="38" t="n">
        <x:v>0.00047254478523334155</x:v>
      </x:c>
      <x:c r="O657" s="35" t="n">
        <x:f>H657*M657*(1+N657)</x:f>
        <x:v>671.3170775508916</x:v>
      </x:c>
      <x:c r="P657" s="19" t="str">
        <x:f>IF(ABS(N657)&gt;'封面与口径'!$O$25,"机器调料需复核",IF(ABS(K657)&gt;0.02,"人工称重需复核","正常"))</x:f>
        <x:v>正常</x:v>
      </x:c>
      <x:c r="Q657" s="19" t="str">
        <x:v>谢东</x:v>
      </x:c>
    </x:row>
    <x:row r="658">
      <x:c r="A658" s="19" t="str">
        <x:v>2026-07-10|S06|D09</x:v>
      </x:c>
      <x:c r="B658" s="34" t="n">
        <x:v>46213.5</x:v>
      </x:c>
      <x:c r="C658" s="19" t="str">
        <x:v>S06</x:v>
      </x:c>
      <x:c r="D658" s="19" t="str">
        <x:v>蓝钻天城店</x:v>
      </x:c>
      <x:c r="E658" s="19" t="str">
        <x:v>D09</x:v>
      </x:c>
      <x:c r="F658" s="19" t="str">
        <x:v>炒豆干</x:v>
      </x:c>
      <x:c r="G658" s="19" t="str">
        <x:v>R1.0</x:v>
      </x:c>
      <x:c r="H658" s="20" t="n">
        <x:f>XLOOKUP(A658,'菜品日销量'!$A$5:$A$1124,'菜品日销量'!$G$5:$G$1124,0)</x:f>
        <x:v>15</x:v>
      </x:c>
      <x:c r="I658" s="20" t="n">
        <x:f>ROUNDUP(H658/2,0)</x:f>
        <x:v>8</x:v>
      </x:c>
      <x:c r="J658" s="22" t="n">
        <x:f>SUMIFS('菜谱BOM'!$F$5:$F$160,'菜谱BOM'!$A$5:$A$160,E658,'菜谱BOM'!$C$5:$C$160,"食材")</x:f>
        <x:v>520</x:v>
      </x:c>
      <x:c r="K658" s="38" t="n">
        <x:v>-0.0043215320586044185</x:v>
      </x:c>
      <x:c r="L658" s="35" t="n">
        <x:f>H658*J658*(1+K658)</x:f>
        <x:v>7766.292049942886</x:v>
      </x:c>
      <x:c r="M658" s="35" t="n">
        <x:f>SUMIFS('菜谱BOM'!$F$5:$F$160,'菜谱BOM'!$A$5:$A$160,E658,'菜谱BOM'!$C$5:$C$160,"调料")</x:f>
        <x:v>42</x:v>
      </x:c>
      <x:c r="N658" s="38" t="n">
        <x:v>0.0010812878075710701</x:v>
      </x:c>
      <x:c r="O658" s="35" t="n">
        <x:f>H658*M658*(1+N658)</x:f>
        <x:v>630.6812113187698</x:v>
      </x:c>
      <x:c r="P658" s="19" t="str">
        <x:f>IF(ABS(N658)&gt;'封面与口径'!$O$25,"机器调料需复核",IF(ABS(K658)&gt;0.02,"人工称重需复核","正常"))</x:f>
        <x:v>正常</x:v>
      </x:c>
      <x:c r="Q658" s="19" t="str">
        <x:v>谢东</x:v>
      </x:c>
    </x:row>
    <x:row r="659">
      <x:c r="A659" s="19" t="str">
        <x:v>2026-07-10|S06|D10</x:v>
      </x:c>
      <x:c r="B659" s="34" t="n">
        <x:v>46213.5</x:v>
      </x:c>
      <x:c r="C659" s="19" t="str">
        <x:v>S06</x:v>
      </x:c>
      <x:c r="D659" s="19" t="str">
        <x:v>蓝钻天城店</x:v>
      </x:c>
      <x:c r="E659" s="19" t="str">
        <x:v>D10</x:v>
      </x:c>
      <x:c r="F659" s="19" t="str">
        <x:v>农家一碗香</x:v>
      </x:c>
      <x:c r="G659" s="19" t="str">
        <x:v>R2.3</x:v>
      </x:c>
      <x:c r="H659" s="20" t="n">
        <x:f>XLOOKUP(A659,'菜品日销量'!$A$5:$A$1124,'菜品日销量'!$G$5:$G$1124,0)</x:f>
        <x:v>19</x:v>
      </x:c>
      <x:c r="I659" s="20" t="n">
        <x:f>ROUNDUP(H659/2,0)</x:f>
        <x:v>10</x:v>
      </x:c>
      <x:c r="J659" s="22" t="n">
        <x:f>SUMIFS('菜谱BOM'!$F$5:$F$160,'菜谱BOM'!$A$5:$A$160,E659,'菜谱BOM'!$C$5:$C$160,"食材")</x:f>
        <x:v>510</x:v>
      </x:c>
      <x:c r="K659" s="38" t="n">
        <x:v>0.003126500970480615</x:v>
      </x:c>
      <x:c r="L659" s="35" t="n">
        <x:f>H659*J659*(1+K659)</x:f>
        <x:v>9720.295794403957</x:v>
      </x:c>
      <x:c r="M659" s="35" t="n">
        <x:f>SUMIFS('菜谱BOM'!$F$5:$F$160,'菜谱BOM'!$A$5:$A$160,E659,'菜谱BOM'!$C$5:$C$160,"调料")</x:f>
        <x:v>88</x:v>
      </x:c>
      <x:c r="N659" s="38" t="n">
        <x:v>0.0014428079397051615</x:v>
      </x:c>
      <x:c r="O659" s="35" t="n">
        <x:f>H659*M659*(1+N659)</x:f>
        <x:v>1674.412374875187</x:v>
      </x:c>
      <x:c r="P659" s="19" t="str">
        <x:f>IF(ABS(N659)&gt;'封面与口径'!$O$25,"机器调料需复核",IF(ABS(K659)&gt;0.02,"人工称重需复核","正常"))</x:f>
        <x:v>正常</x:v>
      </x:c>
      <x:c r="Q659" s="19" t="str">
        <x:v>谢东</x:v>
      </x:c>
    </x:row>
    <x:row r="660">
      <x:c r="A660" s="19" t="str">
        <x:v>2026-07-10|S06|D11</x:v>
      </x:c>
      <x:c r="B660" s="34" t="n">
        <x:v>46213.5</x:v>
      </x:c>
      <x:c r="C660" s="19" t="str">
        <x:v>S06</x:v>
      </x:c>
      <x:c r="D660" s="19" t="str">
        <x:v>蓝钻天城店</x:v>
      </x:c>
      <x:c r="E660" s="19" t="str">
        <x:v>D11</x:v>
      </x:c>
      <x:c r="F660" s="19" t="str">
        <x:v>香辣爆肥肠</x:v>
      </x:c>
      <x:c r="G660" s="19" t="str">
        <x:v>R1.0</x:v>
      </x:c>
      <x:c r="H660" s="20" t="n">
        <x:f>XLOOKUP(A660,'菜品日销量'!$A$5:$A$1124,'菜品日销量'!$G$5:$G$1124,0)</x:f>
        <x:v>6</x:v>
      </x:c>
      <x:c r="I660" s="20" t="n">
        <x:f>ROUNDUP(H660/2,0)</x:f>
        <x:v>3</x:v>
      </x:c>
      <x:c r="J660" s="22" t="n">
        <x:f>SUMIFS('菜谱BOM'!$F$5:$F$160,'菜谱BOM'!$A$5:$A$160,E660,'菜谱BOM'!$C$5:$C$160,"食材")</x:f>
        <x:v>430</x:v>
      </x:c>
      <x:c r="K660" s="38" t="n">
        <x:v>-0.000014818130064480073</x:v>
      </x:c>
      <x:c r="L660" s="35" t="n">
        <x:f>H660*J660*(1+K660)</x:f>
        <x:v>2579.9617692244337</x:v>
      </x:c>
      <x:c r="M660" s="35" t="n">
        <x:f>SUMIFS('菜谱BOM'!$F$5:$F$160,'菜谱BOM'!$A$5:$A$160,E660,'菜谱BOM'!$C$5:$C$160,"调料")</x:f>
        <x:v>67</x:v>
      </x:c>
      <x:c r="N660" s="38" t="n">
        <x:v>-0.0015252508808684655</x:v>
      </x:c>
      <x:c r="O660" s="35" t="n">
        <x:f>H660*M660*(1+N660)</x:f>
        <x:v>401.3868491458909</x:v>
      </x:c>
      <x:c r="P660" s="19" t="str">
        <x:f>IF(ABS(N660)&gt;'封面与口径'!$O$25,"机器调料需复核",IF(ABS(K660)&gt;0.02,"人工称重需复核","正常"))</x:f>
        <x:v>正常</x:v>
      </x:c>
      <x:c r="Q660" s="19" t="str">
        <x:v>谢东</x:v>
      </x:c>
    </x:row>
    <x:row r="661">
      <x:c r="A661" s="19" t="str">
        <x:v>2026-07-10|S06|D13</x:v>
      </x:c>
      <x:c r="B661" s="34" t="n">
        <x:v>46213.5</x:v>
      </x:c>
      <x:c r="C661" s="19" t="str">
        <x:v>S06</x:v>
      </x:c>
      <x:c r="D661" s="19" t="str">
        <x:v>蓝钻天城店</x:v>
      </x:c>
      <x:c r="E661" s="19" t="str">
        <x:v>D13</x:v>
      </x:c>
      <x:c r="F661" s="19" t="str">
        <x:v>外婆菜炒蛋</x:v>
      </x:c>
      <x:c r="G661" s="19" t="str">
        <x:v>R1.0</x:v>
      </x:c>
      <x:c r="H661" s="20" t="n">
        <x:f>XLOOKUP(A661,'菜品日销量'!$A$5:$A$1124,'菜品日销量'!$G$5:$G$1124,0)</x:f>
        <x:v>16</x:v>
      </x:c>
      <x:c r="I661" s="20" t="n">
        <x:f>ROUNDUP(H661/2,0)</x:f>
        <x:v>8</x:v>
      </x:c>
      <x:c r="J661" s="22" t="n">
        <x:f>SUMIFS('菜谱BOM'!$F$5:$F$160,'菜谱BOM'!$A$5:$A$160,E661,'菜谱BOM'!$C$5:$C$160,"食材")</x:f>
        <x:v>450</x:v>
      </x:c>
      <x:c r="K661" s="38" t="n">
        <x:v>0.007948884379106779</x:v>
      </x:c>
      <x:c r="L661" s="35" t="n">
        <x:f>H661*J661*(1+K661)</x:f>
        <x:v>7257.2319675295685</x:v>
      </x:c>
      <x:c r="M661" s="35" t="n">
        <x:f>SUMIFS('菜谱BOM'!$F$5:$F$160,'菜谱BOM'!$A$5:$A$160,E661,'菜谱BOM'!$C$5:$C$160,"调料")</x:f>
        <x:v>37</x:v>
      </x:c>
      <x:c r="N661" s="38" t="n">
        <x:v>-0.0015188055009392103</x:v>
      </x:c>
      <x:c r="O661" s="35" t="n">
        <x:f>H661*M661*(1+N661)</x:f>
        <x:v>591.100867143444</x:v>
      </x:c>
      <x:c r="P661" s="19" t="str">
        <x:f>IF(ABS(N661)&gt;'封面与口径'!$O$25,"机器调料需复核",IF(ABS(K661)&gt;0.02,"人工称重需复核","正常"))</x:f>
        <x:v>正常</x:v>
      </x:c>
      <x:c r="Q661" s="19" t="str">
        <x:v>谢东</x:v>
      </x:c>
    </x:row>
    <x:row r="662">
      <x:c r="A662" s="19" t="str">
        <x:v>2026-07-10|S06|D14</x:v>
      </x:c>
      <x:c r="B662" s="34" t="n">
        <x:v>46213.5</x:v>
      </x:c>
      <x:c r="C662" s="19" t="str">
        <x:v>S06</x:v>
      </x:c>
      <x:c r="D662" s="19" t="str">
        <x:v>蓝钻天城店</x:v>
      </x:c>
      <x:c r="E662" s="19" t="str">
        <x:v>D14</x:v>
      </x:c>
      <x:c r="F662" s="19" t="str">
        <x:v>酸辣鸡杂</x:v>
      </x:c>
      <x:c r="G662" s="19" t="str">
        <x:v>R1.0</x:v>
      </x:c>
      <x:c r="H662" s="20" t="n">
        <x:f>XLOOKUP(A662,'菜品日销量'!$A$5:$A$1124,'菜品日销量'!$G$5:$G$1124,0)</x:f>
        <x:v>8</x:v>
      </x:c>
      <x:c r="I662" s="20" t="n">
        <x:f>ROUNDUP(H662/2,0)</x:f>
        <x:v>4</x:v>
      </x:c>
      <x:c r="J662" s="22" t="n">
        <x:f>SUMIFS('菜谱BOM'!$F$5:$F$160,'菜谱BOM'!$A$5:$A$160,E662,'菜谱BOM'!$C$5:$C$160,"食材")</x:f>
        <x:v>470</x:v>
      </x:c>
      <x:c r="K662" s="38" t="n">
        <x:v>-0.0014077339268773175</x:v>
      </x:c>
      <x:c r="L662" s="35" t="n">
        <x:f>H662*J662*(1+K662)</x:f>
        <x:v>3754.7069204349414</x:v>
      </x:c>
      <x:c r="M662" s="35" t="n">
        <x:f>SUMIFS('菜谱BOM'!$F$5:$F$160,'菜谱BOM'!$A$5:$A$160,E662,'菜谱BOM'!$C$5:$C$160,"调料")</x:f>
        <x:v>60</x:v>
      </x:c>
      <x:c r="N662" s="38" t="n">
        <x:v>-0.00010714976445472569</x:v>
      </x:c>
      <x:c r="O662" s="35" t="n">
        <x:f>H662*M662*(1+N662)</x:f>
        <x:v>479.94856811306175</x:v>
      </x:c>
      <x:c r="P662" s="19" t="str">
        <x:f>IF(ABS(N662)&gt;'封面与口径'!$O$25,"机器调料需复核",IF(ABS(K662)&gt;0.02,"人工称重需复核","正常"))</x:f>
        <x:v>正常</x:v>
      </x:c>
      <x:c r="Q662" s="19" t="str">
        <x:v>谢东</x:v>
      </x:c>
    </x:row>
    <x:row r="663">
      <x:c r="A663" s="19" t="str">
        <x:v>2026-07-10|S06|D15</x:v>
      </x:c>
      <x:c r="B663" s="34" t="n">
        <x:v>46213.5</x:v>
      </x:c>
      <x:c r="C663" s="19" t="str">
        <x:v>S06</x:v>
      </x:c>
      <x:c r="D663" s="19" t="str">
        <x:v>蓝钻天城店</x:v>
      </x:c>
      <x:c r="E663" s="19" t="str">
        <x:v>D15</x:v>
      </x:c>
      <x:c r="F663" s="19" t="str">
        <x:v>湘西土匪猪肝</x:v>
      </x:c>
      <x:c r="G663" s="19" t="str">
        <x:v>R1.0</x:v>
      </x:c>
      <x:c r="H663" s="20" t="n">
        <x:f>XLOOKUP(A663,'菜品日销量'!$A$5:$A$1124,'菜品日销量'!$G$5:$G$1124,0)</x:f>
        <x:v>6</x:v>
      </x:c>
      <x:c r="I663" s="20" t="n">
        <x:f>ROUNDUP(H663/2,0)</x:f>
        <x:v>3</x:v>
      </x:c>
      <x:c r="J663" s="22" t="n">
        <x:f>SUMIFS('菜谱BOM'!$F$5:$F$160,'菜谱BOM'!$A$5:$A$160,E663,'菜谱BOM'!$C$5:$C$160,"食材")</x:f>
        <x:v>470</x:v>
      </x:c>
      <x:c r="K663" s="38" t="n">
        <x:v>0.007912354636916974</x:v>
      </x:c>
      <x:c r="L663" s="35" t="n">
        <x:f>H663*J663*(1+K663)</x:f>
        <x:v>2842.3128400761057</x:v>
      </x:c>
      <x:c r="M663" s="35" t="n">
        <x:f>SUMIFS('菜谱BOM'!$F$5:$F$160,'菜谱BOM'!$A$5:$A$160,E663,'菜谱BOM'!$C$5:$C$160,"调料")</x:f>
        <x:v>49</x:v>
      </x:c>
      <x:c r="N663" s="38" t="n">
        <x:v>0.00033014561755818894</x:v>
      </x:c>
      <x:c r="O663" s="35" t="n">
        <x:f>H663*M663*(1+N663)</x:f>
        <x:v>294.0970628115621</x:v>
      </x:c>
      <x:c r="P663" s="19" t="str">
        <x:f>IF(ABS(N663)&gt;'封面与口径'!$O$25,"机器调料需复核",IF(ABS(K663)&gt;0.02,"人工称重需复核","正常"))</x:f>
        <x:v>正常</x:v>
      </x:c>
      <x:c r="Q663" s="19" t="str">
        <x:v>谢东</x:v>
      </x:c>
    </x:row>
    <x:row r="664">
      <x:c r="A664" s="19" t="str">
        <x:v>2026-07-10|S06|D16</x:v>
      </x:c>
      <x:c r="B664" s="34" t="n">
        <x:v>46213.5</x:v>
      </x:c>
      <x:c r="C664" s="19" t="str">
        <x:v>S06</x:v>
      </x:c>
      <x:c r="D664" s="19" t="str">
        <x:v>蓝钻天城店</x:v>
      </x:c>
      <x:c r="E664" s="19" t="str">
        <x:v>D16</x:v>
      </x:c>
      <x:c r="F664" s="19" t="str">
        <x:v>小豆角炒五花</x:v>
      </x:c>
      <x:c r="G664" s="19" t="str">
        <x:v>R1.0</x:v>
      </x:c>
      <x:c r="H664" s="20" t="n">
        <x:f>XLOOKUP(A664,'菜品日销量'!$A$5:$A$1124,'菜品日销量'!$G$5:$G$1124,0)</x:f>
        <x:v>7</x:v>
      </x:c>
      <x:c r="I664" s="20" t="n">
        <x:f>ROUNDUP(H664/2,0)</x:f>
        <x:v>4</x:v>
      </x:c>
      <x:c r="J664" s="22" t="n">
        <x:f>SUMIFS('菜谱BOM'!$F$5:$F$160,'菜谱BOM'!$A$5:$A$160,E664,'菜谱BOM'!$C$5:$C$160,"食材")</x:f>
        <x:v>450</x:v>
      </x:c>
      <x:c r="K664" s="38" t="n">
        <x:v>-0.0061581576797548115</x:v>
      </x:c>
      <x:c r="L664" s="35" t="n">
        <x:f>H664*J664*(1+K664)</x:f>
        <x:v>3130.6018033087726</x:v>
      </x:c>
      <x:c r="M664" s="35" t="n">
        <x:f>SUMIFS('菜谱BOM'!$F$5:$F$160,'菜谱BOM'!$A$5:$A$160,E664,'菜谱BOM'!$C$5:$C$160,"调料")</x:f>
        <x:v>42</x:v>
      </x:c>
      <x:c r="N664" s="38" t="n">
        <x:v>0.0014405779269152737</x:v>
      </x:c>
      <x:c r="O664" s="35" t="n">
        <x:f>H664*M664*(1+N664)</x:f>
        <x:v>294.4235299105131</x:v>
      </x:c>
      <x:c r="P664" s="19" t="str">
        <x:f>IF(ABS(N664)&gt;'封面与口径'!$O$25,"机器调料需复核",IF(ABS(K664)&gt;0.02,"人工称重需复核","正常"))</x:f>
        <x:v>正常</x:v>
      </x:c>
      <x:c r="Q664" s="19" t="str">
        <x:v>谢东</x:v>
      </x:c>
    </x:row>
    <x:row r="665">
      <x:c r="A665" s="19" t="str">
        <x:v>2026-07-10|S06|D18</x:v>
      </x:c>
      <x:c r="B665" s="34" t="n">
        <x:v>46213.5</x:v>
      </x:c>
      <x:c r="C665" s="19" t="str">
        <x:v>S06</x:v>
      </x:c>
      <x:c r="D665" s="19" t="str">
        <x:v>蓝钻天城店</x:v>
      </x:c>
      <x:c r="E665" s="19" t="str">
        <x:v>D18</x:v>
      </x:c>
      <x:c r="F665" s="19" t="str">
        <x:v>青椒炒油麦菜</x:v>
      </x:c>
      <x:c r="G665" s="19" t="str">
        <x:v>R1.0</x:v>
      </x:c>
      <x:c r="H665" s="20" t="n">
        <x:f>XLOOKUP(A665,'菜品日销量'!$A$5:$A$1124,'菜品日销量'!$G$5:$G$1124,0)</x:f>
        <x:v>9</x:v>
      </x:c>
      <x:c r="I665" s="20" t="n">
        <x:f>ROUNDUP(H665/2,0)</x:f>
        <x:v>5</x:v>
      </x:c>
      <x:c r="J665" s="22" t="n">
        <x:f>SUMIFS('菜谱BOM'!$F$5:$F$160,'菜谱BOM'!$A$5:$A$160,E665,'菜谱BOM'!$C$5:$C$160,"食材")</x:f>
        <x:v>430</x:v>
      </x:c>
      <x:c r="K665" s="38" t="n">
        <x:v>0.002125062620762051</x:v>
      </x:c>
      <x:c r="L665" s="35" t="n">
        <x:f>H665*J665*(1+K665)</x:f>
        <x:v>3878.223992342349</x:v>
      </x:c>
      <x:c r="M665" s="35" t="n">
        <x:f>SUMIFS('菜谱BOM'!$F$5:$F$160,'菜谱BOM'!$A$5:$A$160,E665,'菜谱BOM'!$C$5:$C$160,"调料")</x:f>
        <x:v>33</x:v>
      </x:c>
      <x:c r="N665" s="38" t="n">
        <x:v>0.0005568854553990263</x:v>
      </x:c>
      <x:c r="O665" s="35" t="n">
        <x:f>H665*M665*(1+N665)</x:f>
        <x:v>297.1653949802535</x:v>
      </x:c>
      <x:c r="P665" s="19" t="str">
        <x:f>IF(ABS(N665)&gt;'封面与口径'!$O$25,"机器调料需复核",IF(ABS(K665)&gt;0.02,"人工称重需复核","正常"))</x:f>
        <x:v>正常</x:v>
      </x:c>
      <x:c r="Q665" s="19" t="str">
        <x:v>谢东</x:v>
      </x:c>
    </x:row>
    <x:row r="666">
      <x:c r="A666" s="19" t="str">
        <x:v>2026-07-10|S06|D19</x:v>
      </x:c>
      <x:c r="B666" s="34" t="n">
        <x:v>46213.5</x:v>
      </x:c>
      <x:c r="C666" s="19" t="str">
        <x:v>S06</x:v>
      </x:c>
      <x:c r="D666" s="19" t="str">
        <x:v>蓝钻天城店</x:v>
      </x:c>
      <x:c r="E666" s="19" t="str">
        <x:v>D19</x:v>
      </x:c>
      <x:c r="F666" s="19" t="str">
        <x:v>酸萝卜炒鸡杂</x:v>
      </x:c>
      <x:c r="G666" s="19" t="str">
        <x:v>R1.0</x:v>
      </x:c>
      <x:c r="H666" s="20" t="n">
        <x:f>XLOOKUP(A666,'菜品日销量'!$A$5:$A$1124,'菜品日销量'!$G$5:$G$1124,0)</x:f>
        <x:v>6</x:v>
      </x:c>
      <x:c r="I666" s="20" t="n">
        <x:f>ROUNDUP(H666/2,0)</x:f>
        <x:v>3</x:v>
      </x:c>
      <x:c r="J666" s="22" t="n">
        <x:f>SUMIFS('菜谱BOM'!$F$5:$F$160,'菜谱BOM'!$A$5:$A$160,E666,'菜谱BOM'!$C$5:$C$160,"食材")</x:f>
        <x:v>500</x:v>
      </x:c>
      <x:c r="K666" s="38" t="n">
        <x:v>0.00196690258615811</x:v>
      </x:c>
      <x:c r="L666" s="35" t="n">
        <x:f>H666*J666*(1+K666)</x:f>
        <x:v>3005.9007077584747</x:v>
      </x:c>
      <x:c r="M666" s="35" t="n">
        <x:f>SUMIFS('菜谱BOM'!$F$5:$F$160,'菜谱BOM'!$A$5:$A$160,E666,'菜谱BOM'!$C$5:$C$160,"调料")</x:f>
        <x:v>55</x:v>
      </x:c>
      <x:c r="N666" s="38" t="n">
        <x:v>0.000702593633602977</x:v>
      </x:c>
      <x:c r="O666" s="35" t="n">
        <x:f>H666*M666*(1+N666)</x:f>
        <x:v>330.23185589908894</x:v>
      </x:c>
      <x:c r="P666" s="19" t="str">
        <x:f>IF(ABS(N666)&gt;'封面与口径'!$O$25,"机器调料需复核",IF(ABS(K666)&gt;0.02,"人工称重需复核","正常"))</x:f>
        <x:v>正常</x:v>
      </x:c>
      <x:c r="Q666" s="19" t="str">
        <x:v>谢东</x:v>
      </x:c>
    </x:row>
    <x:row r="667">
      <x:c r="A667" s="19" t="str">
        <x:v>2026-07-10|S06|D20</x:v>
      </x:c>
      <x:c r="B667" s="34" t="n">
        <x:v>46213.5</x:v>
      </x:c>
      <x:c r="C667" s="19" t="str">
        <x:v>S06</x:v>
      </x:c>
      <x:c r="D667" s="19" t="str">
        <x:v>蓝钻天城店</x:v>
      </x:c>
      <x:c r="E667" s="19" t="str">
        <x:v>D20</x:v>
      </x:c>
      <x:c r="F667" s="19" t="str">
        <x:v>雪菜肉末青豆</x:v>
      </x:c>
      <x:c r="G667" s="19" t="str">
        <x:v>R1.0</x:v>
      </x:c>
      <x:c r="H667" s="20" t="n">
        <x:f>XLOOKUP(A667,'菜品日销量'!$A$5:$A$1124,'菜品日销量'!$G$5:$G$1124,0)</x:f>
        <x:v>8</x:v>
      </x:c>
      <x:c r="I667" s="20" t="n">
        <x:f>ROUNDUP(H667/2,0)</x:f>
        <x:v>4</x:v>
      </x:c>
      <x:c r="J667" s="22" t="n">
        <x:f>SUMIFS('菜谱BOM'!$F$5:$F$160,'菜谱BOM'!$A$5:$A$160,E667,'菜谱BOM'!$C$5:$C$160,"食材")</x:f>
        <x:v>465</x:v>
      </x:c>
      <x:c r="K667" s="38" t="n">
        <x:v>0.005665025818549335</x:v>
      </x:c>
      <x:c r="L667" s="35" t="n">
        <x:f>H667*J667*(1+K667)</x:f>
        <x:v>3741.0738960450035</x:v>
      </x:c>
      <x:c r="M667" s="35" t="n">
        <x:f>SUMIFS('菜谱BOM'!$F$5:$F$160,'菜谱BOM'!$A$5:$A$160,E667,'菜谱BOM'!$C$5:$C$160,"调料")</x:f>
        <x:v>32</x:v>
      </x:c>
      <x:c r="N667" s="38" t="n">
        <x:v>-0.0006049061069742092</x:v>
      </x:c>
      <x:c r="O667" s="35" t="n">
        <x:f>H667*M667*(1+N667)</x:f>
        <x:v>255.8451440366146</x:v>
      </x:c>
      <x:c r="P667" s="19" t="str">
        <x:f>IF(ABS(N667)&gt;'封面与口径'!$O$25,"机器调料需复核",IF(ABS(K667)&gt;0.02,"人工称重需复核","正常"))</x:f>
        <x:v>正常</x:v>
      </x:c>
      <x:c r="Q667" s="19" t="str">
        <x:v>谢东</x:v>
      </x:c>
    </x:row>
    <x:row r="668">
      <x:c r="A668" s="19" t="str">
        <x:v>2026-07-11|S06|D01</x:v>
      </x:c>
      <x:c r="B668" s="34" t="n">
        <x:v>46214.5</x:v>
      </x:c>
      <x:c r="C668" s="19" t="str">
        <x:v>S06</x:v>
      </x:c>
      <x:c r="D668" s="19" t="str">
        <x:v>蓝钻天城店</x:v>
      </x:c>
      <x:c r="E668" s="19" t="str">
        <x:v>D01</x:v>
      </x:c>
      <x:c r="F668" s="19" t="str">
        <x:v>辣椒炒肉</x:v>
      </x:c>
      <x:c r="G668" s="19" t="str">
        <x:v>R2.3</x:v>
      </x:c>
      <x:c r="H668" s="20" t="n">
        <x:f>XLOOKUP(A668,'菜品日销量'!$A$5:$A$1124,'菜品日销量'!$G$5:$G$1124,0)</x:f>
        <x:v>36</x:v>
      </x:c>
      <x:c r="I668" s="20" t="n">
        <x:f>ROUNDUP(H668/2,0)</x:f>
        <x:v>18</x:v>
      </x:c>
      <x:c r="J668" s="22" t="n">
        <x:f>SUMIFS('菜谱BOM'!$F$5:$F$160,'菜谱BOM'!$A$5:$A$160,E668,'菜谱BOM'!$C$5:$C$160,"食材")</x:f>
        <x:v>550</x:v>
      </x:c>
      <x:c r="K668" s="38" t="n">
        <x:v>-0.0024860936315930673</x:v>
      </x:c>
      <x:c r="L668" s="35" t="n">
        <x:f>H668*J668*(1+K668)</x:f>
        <x:v>19750.77534609446</x:v>
      </x:c>
      <x:c r="M668" s="35" t="n">
        <x:f>SUMIFS('菜谱BOM'!$F$5:$F$160,'菜谱BOM'!$A$5:$A$160,E668,'菜谱BOM'!$C$5:$C$160,"调料")</x:f>
        <x:v>104</x:v>
      </x:c>
      <x:c r="N668" s="38" t="n">
        <x:v>0.0013015147483212677</x:v>
      </x:c>
      <x:c r="O668" s="35" t="n">
        <x:f>H668*M668*(1+N668)</x:f>
        <x:v>3748.872871217715</x:v>
      </x:c>
      <x:c r="P668" s="19" t="str">
        <x:f>IF(ABS(N668)&gt;'封面与口径'!$O$25,"机器调料需复核",IF(ABS(K668)&gt;0.02,"人工称重需复核","正常"))</x:f>
        <x:v>正常</x:v>
      </x:c>
      <x:c r="Q668" s="19" t="str">
        <x:v>谢东</x:v>
      </x:c>
    </x:row>
    <x:row r="669">
      <x:c r="A669" s="19" t="str">
        <x:v>2026-07-11|S06|D02</x:v>
      </x:c>
      <x:c r="B669" s="34" t="n">
        <x:v>46214.5</x:v>
      </x:c>
      <x:c r="C669" s="19" t="str">
        <x:v>S06</x:v>
      </x:c>
      <x:c r="D669" s="19" t="str">
        <x:v>蓝钻天城店</x:v>
      </x:c>
      <x:c r="E669" s="19" t="str">
        <x:v>D02</x:v>
      </x:c>
      <x:c r="F669" s="19" t="str">
        <x:v>小炒黄牛肉</x:v>
      </x:c>
      <x:c r="G669" s="19" t="str">
        <x:v>R2.3</x:v>
      </x:c>
      <x:c r="H669" s="20" t="n">
        <x:f>XLOOKUP(A669,'菜品日销量'!$A$5:$A$1124,'菜品日销量'!$G$5:$G$1124,0)</x:f>
        <x:v>25</x:v>
      </x:c>
      <x:c r="I669" s="20" t="n">
        <x:f>ROUNDUP(H669/2,0)</x:f>
        <x:v>13</x:v>
      </x:c>
      <x:c r="J669" s="22" t="n">
        <x:f>SUMIFS('菜谱BOM'!$F$5:$F$160,'菜谱BOM'!$A$5:$A$160,E669,'菜谱BOM'!$C$5:$C$160,"食材")</x:f>
        <x:v>560</x:v>
      </x:c>
      <x:c r="K669" s="38" t="n">
        <x:v>-0.0073084770402192314</x:v>
      </x:c>
      <x:c r="L669" s="35" t="n">
        <x:f>H669*J669*(1+K669)</x:f>
        <x:v>13897.68132143693</x:v>
      </x:c>
      <x:c r="M669" s="35" t="n">
        <x:f>SUMIFS('菜谱BOM'!$F$5:$F$160,'菜谱BOM'!$A$5:$A$160,E669,'菜谱BOM'!$C$5:$C$160,"调料")</x:f>
        <x:v>133</x:v>
      </x:c>
      <x:c r="N669" s="38" t="n">
        <x:v>0.0002631281880343166</x:v>
      </x:c>
      <x:c r="O669" s="35" t="n">
        <x:f>H669*M669*(1+N669)</x:f>
        <x:v>3325.874901225214</x:v>
      </x:c>
      <x:c r="P669" s="19" t="str">
        <x:f>IF(ABS(N669)&gt;'封面与口径'!$O$25,"机器调料需复核",IF(ABS(K669)&gt;0.02,"人工称重需复核","正常"))</x:f>
        <x:v>正常</x:v>
      </x:c>
      <x:c r="Q669" s="19" t="str">
        <x:v>谢东</x:v>
      </x:c>
    </x:row>
    <x:row r="670">
      <x:c r="A670" s="19" t="str">
        <x:v>2026-07-11|S06|D03</x:v>
      </x:c>
      <x:c r="B670" s="34" t="n">
        <x:v>46214.5</x:v>
      </x:c>
      <x:c r="C670" s="19" t="str">
        <x:v>S06</x:v>
      </x:c>
      <x:c r="D670" s="19" t="str">
        <x:v>蓝钻天城店</x:v>
      </x:c>
      <x:c r="E670" s="19" t="str">
        <x:v>D03</x:v>
      </x:c>
      <x:c r="F670" s="19" t="str">
        <x:v>香醋炒蛋</x:v>
      </x:c>
      <x:c r="G670" s="19" t="str">
        <x:v>R1.0</x:v>
      </x:c>
      <x:c r="H670" s="20" t="n">
        <x:f>XLOOKUP(A670,'菜品日销量'!$A$5:$A$1124,'菜品日销量'!$G$5:$G$1124,0)</x:f>
        <x:v>29</x:v>
      </x:c>
      <x:c r="I670" s="20" t="n">
        <x:f>ROUNDUP(H670/2,0)</x:f>
        <x:v>15</x:v>
      </x:c>
      <x:c r="J670" s="22" t="n">
        <x:f>SUMIFS('菜谱BOM'!$F$5:$F$160,'菜谱BOM'!$A$5:$A$160,E670,'菜谱BOM'!$C$5:$C$160,"食材")</x:f>
        <x:v>300</x:v>
      </x:c>
      <x:c r="K670" s="38" t="n">
        <x:v>0.005550203862960963</x:v>
      </x:c>
      <x:c r="L670" s="35" t="n">
        <x:f>H670*J670*(1+K670)</x:f>
        <x:v>8748.28677360776</x:v>
      </x:c>
      <x:c r="M670" s="35" t="n">
        <x:f>SUMIFS('菜谱BOM'!$F$5:$F$160,'菜谱BOM'!$A$5:$A$160,E670,'菜谱BOM'!$C$5:$C$160,"调料")</x:f>
        <x:v>53</x:v>
      </x:c>
      <x:c r="N670" s="38" t="n">
        <x:v>0.0012950693683920122</x:v>
      </x:c>
      <x:c r="O670" s="35" t="n">
        <x:f>H670*M670*(1+N670)</x:f>
        <x:v>1538.9905216192185</x:v>
      </x:c>
      <x:c r="P670" s="19" t="str">
        <x:f>IF(ABS(N670)&gt;'封面与口径'!$O$25,"机器调料需复核",IF(ABS(K670)&gt;0.02,"人工称重需复核","正常"))</x:f>
        <x:v>正常</x:v>
      </x:c>
      <x:c r="Q670" s="19" t="str">
        <x:v>谢东</x:v>
      </x:c>
    </x:row>
    <x:row r="671">
      <x:c r="A671" s="19" t="str">
        <x:v>2026-07-11|S06|D04</x:v>
      </x:c>
      <x:c r="B671" s="34" t="n">
        <x:v>46214.5</x:v>
      </x:c>
      <x:c r="C671" s="19" t="str">
        <x:v>S06</x:v>
      </x:c>
      <x:c r="D671" s="19" t="str">
        <x:v>蓝钻天城店</x:v>
      </x:c>
      <x:c r="E671" s="19" t="str">
        <x:v>D04</x:v>
      </x:c>
      <x:c r="F671" s="19" t="str">
        <x:v>酸包菜炒粉皮</x:v>
      </x:c>
      <x:c r="G671" s="19" t="str">
        <x:v>R1.0</x:v>
      </x:c>
      <x:c r="H671" s="20" t="n">
        <x:f>XLOOKUP(A671,'菜品日销量'!$A$5:$A$1124,'菜品日销量'!$G$5:$G$1124,0)</x:f>
        <x:v>30</x:v>
      </x:c>
      <x:c r="I671" s="20" t="n">
        <x:f>ROUNDUP(H671/2,0)</x:f>
        <x:v>15</x:v>
      </x:c>
      <x:c r="J671" s="22" t="n">
        <x:f>SUMIFS('菜谱BOM'!$F$5:$F$160,'菜谱BOM'!$A$5:$A$160,E671,'菜谱BOM'!$C$5:$C$160,"食材")</x:f>
        <x:v>380</x:v>
      </x:c>
      <x:c r="K671" s="38" t="n">
        <x:v>-0.0005931356867293678</x:v>
      </x:c>
      <x:c r="L671" s="35" t="n">
        <x:f>H671*J671*(1+K671)</x:f>
        <x:v>11393.238253171285</x:v>
      </x:c>
      <x:c r="M671" s="35" t="n">
        <x:f>SUMIFS('菜谱BOM'!$F$5:$F$160,'菜谱BOM'!$A$5:$A$160,E671,'菜谱BOM'!$C$5:$C$160,"调料")</x:f>
        <x:v>47</x:v>
      </x:c>
      <x:c r="N671" s="38" t="n">
        <x:v>0.0002608981752444288</x:v>
      </x:c>
      <x:c r="O671" s="35" t="n">
        <x:f>H671*M671*(1+N671)</x:f>
        <x:v>1410.3678664270944</x:v>
      </x:c>
      <x:c r="P671" s="19" t="str">
        <x:f>IF(ABS(N671)&gt;'封面与口径'!$O$25,"机器调料需复核",IF(ABS(K671)&gt;0.02,"人工称重需复核","正常"))</x:f>
        <x:v>正常</x:v>
      </x:c>
      <x:c r="Q671" s="19" t="str">
        <x:v>谢东</x:v>
      </x:c>
    </x:row>
    <x:row r="672">
      <x:c r="A672" s="19" t="str">
        <x:v>2026-07-11|S06|D05</x:v>
      </x:c>
      <x:c r="B672" s="34" t="n">
        <x:v>46214.5</x:v>
      </x:c>
      <x:c r="C672" s="19" t="str">
        <x:v>S06</x:v>
      </x:c>
      <x:c r="D672" s="19" t="str">
        <x:v>蓝钻天城店</x:v>
      </x:c>
      <x:c r="E672" s="19" t="str">
        <x:v>D05</x:v>
      </x:c>
      <x:c r="F672" s="19" t="str">
        <x:v>麻婆豆腐</x:v>
      </x:c>
      <x:c r="G672" s="19" t="str">
        <x:v>R1.0</x:v>
      </x:c>
      <x:c r="H672" s="20" t="n">
        <x:f>XLOOKUP(A672,'菜品日销量'!$A$5:$A$1124,'菜品日销量'!$G$5:$G$1124,0)</x:f>
        <x:v>42</x:v>
      </x:c>
      <x:c r="I672" s="20" t="n">
        <x:f>ROUNDUP(H672/2,0)</x:f>
        <x:v>21</x:v>
      </x:c>
      <x:c r="J672" s="22" t="n">
        <x:f>SUMIFS('菜谱BOM'!$F$5:$F$160,'菜谱BOM'!$A$5:$A$160,E672,'菜谱BOM'!$C$5:$C$160,"食材")</x:f>
        <x:v>505</x:v>
      </x:c>
      <x:c r="K672" s="38" t="n">
        <x:v>-0.00243174994607264</x:v>
      </x:c>
      <x:c r="L672" s="35" t="n">
        <x:f>H672*J672*(1+K672)</x:f>
        <x:v>21158.422583643798</x:v>
      </x:c>
      <x:c r="M672" s="35" t="n">
        <x:f>SUMIFS('菜谱BOM'!$F$5:$F$160,'菜谱BOM'!$A$5:$A$160,E672,'菜谱BOM'!$C$5:$C$160,"调料")</x:f>
        <x:v>90</x:v>
      </x:c>
      <x:c r="N672" s="38" t="n">
        <x:v>-0.0008454728058645205</x:v>
      </x:c>
      <x:c r="O672" s="35" t="n">
        <x:f>H672*M672*(1+N672)</x:f>
        <x:v>3776.804112793832</x:v>
      </x:c>
      <x:c r="P672" s="19" t="str">
        <x:f>IF(ABS(N672)&gt;'封面与口径'!$O$25,"机器调料需复核",IF(ABS(K672)&gt;0.02,"人工称重需复核","正常"))</x:f>
        <x:v>正常</x:v>
      </x:c>
      <x:c r="Q672" s="19" t="str">
        <x:v>谢东</x:v>
      </x:c>
    </x:row>
    <x:row r="673">
      <x:c r="A673" s="19" t="str">
        <x:v>2026-07-11|S06|D07</x:v>
      </x:c>
      <x:c r="B673" s="34" t="n">
        <x:v>46214.5</x:v>
      </x:c>
      <x:c r="C673" s="19" t="str">
        <x:v>S06</x:v>
      </x:c>
      <x:c r="D673" s="19" t="str">
        <x:v>蓝钻天城店</x:v>
      </x:c>
      <x:c r="E673" s="19" t="str">
        <x:v>D07</x:v>
      </x:c>
      <x:c r="F673" s="19" t="str">
        <x:v>川味回锅肉</x:v>
      </x:c>
      <x:c r="G673" s="19" t="str">
        <x:v>R1.0</x:v>
      </x:c>
      <x:c r="H673" s="20" t="n">
        <x:f>XLOOKUP(A673,'菜品日销量'!$A$5:$A$1124,'菜品日销量'!$G$5:$G$1124,0)</x:f>
        <x:v>11</x:v>
      </x:c>
      <x:c r="I673" s="20" t="n">
        <x:f>ROUNDUP(H673/2,0)</x:f>
        <x:v>6</x:v>
      </x:c>
      <x:c r="J673" s="22" t="n">
        <x:f>SUMIFS('菜谱BOM'!$F$5:$F$160,'菜谱BOM'!$A$5:$A$160,E673,'菜谱BOM'!$C$5:$C$160,"食材")</x:f>
        <x:v>450</x:v>
      </x:c>
      <x:c r="K673" s="38" t="n">
        <x:v>-0.0025226233737828735</x:v>
      </x:c>
      <x:c r="L673" s="35" t="n">
        <x:f>H673*J673*(1+K673)</x:f>
        <x:v>4937.513014299775</x:v>
      </x:c>
      <x:c r="M673" s="35" t="n">
        <x:f>SUMIFS('菜谱BOM'!$F$5:$F$160,'菜谱BOM'!$A$5:$A$160,E673,'菜谱BOM'!$C$5:$C$160,"调料")</x:f>
        <x:v>63</x:v>
      </x:c>
      <x:c r="N673" s="38" t="n">
        <x:v>-0.0008495341341126556</x:v>
      </x:c>
      <x:c r="O673" s="35" t="n">
        <x:f>H673*M673*(1+N673)</x:f>
        <x:v>692.4112728450599</x:v>
      </x:c>
      <x:c r="P673" s="19" t="str">
        <x:f>IF(ABS(N673)&gt;'封面与口径'!$O$25,"机器调料需复核",IF(ABS(K673)&gt;0.02,"人工称重需复核","正常"))</x:f>
        <x:v>正常</x:v>
      </x:c>
      <x:c r="Q673" s="19" t="str">
        <x:v>谢东</x:v>
      </x:c>
    </x:row>
    <x:row r="674">
      <x:c r="A674" s="19" t="str">
        <x:v>2026-07-11|S06|D08</x:v>
      </x:c>
      <x:c r="B674" s="34" t="n">
        <x:v>46214.5</x:v>
      </x:c>
      <x:c r="C674" s="19" t="str">
        <x:v>S06</x:v>
      </x:c>
      <x:c r="D674" s="19" t="str">
        <x:v>蓝钻天城店</x:v>
      </x:c>
      <x:c r="E674" s="19" t="str">
        <x:v>D08</x:v>
      </x:c>
      <x:c r="F674" s="19" t="str">
        <x:v>生炒清远鸡</x:v>
      </x:c>
      <x:c r="G674" s="19" t="str">
        <x:v>R1.0</x:v>
      </x:c>
      <x:c r="H674" s="20" t="n">
        <x:f>XLOOKUP(A674,'菜品日销量'!$A$5:$A$1124,'菜品日销量'!$G$5:$G$1124,0)</x:f>
        <x:v>8</x:v>
      </x:c>
      <x:c r="I674" s="20" t="n">
        <x:f>ROUNDUP(H674/2,0)</x:f>
        <x:v>4</x:v>
      </x:c>
      <x:c r="J674" s="22" t="n">
        <x:f>SUMIFS('菜谱BOM'!$F$5:$F$160,'菜谱BOM'!$A$5:$A$160,E674,'菜谱BOM'!$C$5:$C$160,"食材")</x:f>
        <x:v>610</x:v>
      </x:c>
      <x:c r="K674" s="38" t="n">
        <x:v>0.0024176575081464036</x:v>
      </x:c>
      <x:c r="L674" s="35" t="n">
        <x:f>H674*J674*(1+K674)</x:f>
        <x:v>4891.798168639755</x:v>
      </x:c>
      <x:c r="M674" s="35" t="n">
        <x:f>SUMIFS('菜谱BOM'!$F$5:$F$160,'菜谱BOM'!$A$5:$A$160,E674,'菜谱BOM'!$C$5:$C$160,"调料")</x:f>
        <x:v>61</x:v>
      </x:c>
      <x:c r="N674" s="38" t="n">
        <x:v>-0.0012842914255532182</x:v>
      </x:c>
      <x:c r="O674" s="35" t="n">
        <x:f>H674*M674*(1+N674)</x:f>
        <x:v>487.37326578433004</x:v>
      </x:c>
      <x:c r="P674" s="19" t="str">
        <x:f>IF(ABS(N674)&gt;'封面与口径'!$O$25,"机器调料需复核",IF(ABS(K674)&gt;0.02,"人工称重需复核","正常"))</x:f>
        <x:v>正常</x:v>
      </x:c>
      <x:c r="Q674" s="19" t="str">
        <x:v>谢东</x:v>
      </x:c>
    </x:row>
    <x:row r="675">
      <x:c r="A675" s="19" t="str">
        <x:v>2026-07-11|S06|D09</x:v>
      </x:c>
      <x:c r="B675" s="34" t="n">
        <x:v>46214.5</x:v>
      </x:c>
      <x:c r="C675" s="19" t="str">
        <x:v>S06</x:v>
      </x:c>
      <x:c r="D675" s="19" t="str">
        <x:v>蓝钻天城店</x:v>
      </x:c>
      <x:c r="E675" s="19" t="str">
        <x:v>D09</x:v>
      </x:c>
      <x:c r="F675" s="19" t="str">
        <x:v>炒豆干</x:v>
      </x:c>
      <x:c r="G675" s="19" t="str">
        <x:v>R1.0</x:v>
      </x:c>
      <x:c r="H675" s="20" t="n">
        <x:f>XLOOKUP(A675,'菜品日销量'!$A$5:$A$1124,'菜品日销量'!$G$5:$G$1124,0)</x:f>
        <x:v>13</x:v>
      </x:c>
      <x:c r="I675" s="20" t="n">
        <x:f>ROUNDUP(H675/2,0)</x:f>
        <x:v>7</x:v>
      </x:c>
      <x:c r="J675" s="22" t="n">
        <x:f>SUMIFS('菜谱BOM'!$F$5:$F$160,'菜谱BOM'!$A$5:$A$160,E675,'菜谱BOM'!$C$5:$C$160,"食材")</x:f>
        <x:v>520</x:v>
      </x:c>
      <x:c r="K675" s="38" t="n">
        <x:v>-0.004674732647061984</x:v>
      </x:c>
      <x:c r="L675" s="35" t="n">
        <x:f>H675*J675*(1+K675)</x:f>
        <x:v>6728.398807305861</x:v>
      </x:c>
      <x:c r="M675" s="35" t="n">
        <x:f>SUMIFS('菜谱BOM'!$F$5:$F$160,'菜谱BOM'!$A$5:$A$160,E675,'菜谱BOM'!$C$5:$C$160,"调料")</x:f>
        <x:v>42</x:v>
      </x:c>
      <x:c r="N675" s="38" t="n">
        <x:v>0.0004101848710352054</x:v>
      </x:c>
      <x:c r="O675" s="35" t="n">
        <x:f>H675*M675*(1+N675)</x:f>
        <x:v>546.2239609395853</x:v>
      </x:c>
      <x:c r="P675" s="19" t="str">
        <x:f>IF(ABS(N675)&gt;'封面与口径'!$O$25,"机器调料需复核",IF(ABS(K675)&gt;0.02,"人工称重需复核","正常"))</x:f>
        <x:v>正常</x:v>
      </x:c>
      <x:c r="Q675" s="19" t="str">
        <x:v>谢东</x:v>
      </x:c>
    </x:row>
    <x:row r="676">
      <x:c r="A676" s="19" t="str">
        <x:v>2026-07-11|S06|D10</x:v>
      </x:c>
      <x:c r="B676" s="34" t="n">
        <x:v>46214.5</x:v>
      </x:c>
      <x:c r="C676" s="19" t="str">
        <x:v>S06</x:v>
      </x:c>
      <x:c r="D676" s="19" t="str">
        <x:v>蓝钻天城店</x:v>
      </x:c>
      <x:c r="E676" s="19" t="str">
        <x:v>D10</x:v>
      </x:c>
      <x:c r="F676" s="19" t="str">
        <x:v>农家一碗香</x:v>
      </x:c>
      <x:c r="G676" s="19" t="str">
        <x:v>R2.3</x:v>
      </x:c>
      <x:c r="H676" s="20" t="n">
        <x:f>XLOOKUP(A676,'菜品日销量'!$A$5:$A$1124,'菜品日销量'!$G$5:$G$1124,0)</x:f>
        <x:v>14</x:v>
      </x:c>
      <x:c r="I676" s="20" t="n">
        <x:f>ROUNDUP(H676/2,0)</x:f>
        <x:v>7</x:v>
      </x:c>
      <x:c r="J676" s="22" t="n">
        <x:f>SUMIFS('菜谱BOM'!$F$5:$F$160,'菜谱BOM'!$A$5:$A$160,E676,'菜谱BOM'!$C$5:$C$160,"食材")</x:f>
        <x:v>510</x:v>
      </x:c>
      <x:c r="K676" s="38" t="n">
        <x:v>0.00027604969038536</x:v>
      </x:c>
      <x:c r="L676" s="35" t="n">
        <x:f>H676*J676*(1+K676)</x:f>
        <x:v>7141.970994789351</x:v>
      </x:c>
      <x:c r="M676" s="35" t="n">
        <x:f>SUMIFS('菜谱BOM'!$F$5:$F$160,'菜谱BOM'!$A$5:$A$160,E676,'菜谱BOM'!$C$5:$C$160,"调料")</x:f>
        <x:v>88</x:v>
      </x:c>
      <x:c r="N676" s="38" t="n">
        <x:v>0.0010140291729508965</x:v>
      </x:c>
      <x:c r="O676" s="35" t="n">
        <x:f>H676*M676*(1+N676)</x:f>
        <x:v>1233.2492839410754</x:v>
      </x:c>
      <x:c r="P676" s="19" t="str">
        <x:f>IF(ABS(N676)&gt;'封面与口径'!$O$25,"机器调料需复核",IF(ABS(K676)&gt;0.02,"人工称重需复核","正常"))</x:f>
        <x:v>正常</x:v>
      </x:c>
      <x:c r="Q676" s="19" t="str">
        <x:v>谢东</x:v>
      </x:c>
    </x:row>
    <x:row r="677">
      <x:c r="A677" s="19" t="str">
        <x:v>2026-07-11|S06|D11</x:v>
      </x:c>
      <x:c r="B677" s="34" t="n">
        <x:v>46214.5</x:v>
      </x:c>
      <x:c r="C677" s="19" t="str">
        <x:v>S06</x:v>
      </x:c>
      <x:c r="D677" s="19" t="str">
        <x:v>蓝钻天城店</x:v>
      </x:c>
      <x:c r="E677" s="19" t="str">
        <x:v>D11</x:v>
      </x:c>
      <x:c r="F677" s="19" t="str">
        <x:v>香辣爆肥肠</x:v>
      </x:c>
      <x:c r="G677" s="19" t="str">
        <x:v>R1.0</x:v>
      </x:c>
      <x:c r="H677" s="20" t="n">
        <x:f>XLOOKUP(A677,'菜品日销量'!$A$5:$A$1124,'菜品日销量'!$G$5:$G$1124,0)</x:f>
        <x:v>5</x:v>
      </x:c>
      <x:c r="I677" s="20" t="n">
        <x:f>ROUNDUP(H677/2,0)</x:f>
        <x:v>3</x:v>
      </x:c>
      <x:c r="J677" s="22" t="n">
        <x:f>SUMIFS('菜谱BOM'!$F$5:$F$160,'菜谱BOM'!$A$5:$A$160,E677,'菜谱BOM'!$C$5:$C$160,"食材")</x:f>
        <x:v>430</x:v>
      </x:c>
      <x:c r="K677" s="38" t="n">
        <x:v>0.0075589812024401</x:v>
      </x:c>
      <x:c r="L677" s="35" t="n">
        <x:f>H677*J677*(1+K677)</x:f>
        <x:v>2166.2518095852465</x:v>
      </x:c>
      <x:c r="M677" s="35" t="n">
        <x:f>SUMIFS('菜谱BOM'!$F$5:$F$160,'菜谱BOM'!$A$5:$A$160,E677,'菜谱BOM'!$C$5:$C$160,"调料")</x:f>
        <x:v>67</x:v>
      </x:c>
      <x:c r="N677" s="38" t="n">
        <x:v>-0.0018786930218056526</x:v>
      </x:c>
      <x:c r="O677" s="35" t="n">
        <x:f>H677*M677*(1+N677)</x:f>
        <x:v>334.3706378376951</x:v>
      </x:c>
      <x:c r="P677" s="19" t="str">
        <x:f>IF(ABS(N677)&gt;'封面与口径'!$O$25,"机器调料需复核",IF(ABS(K677)&gt;0.02,"人工称重需复核","正常"))</x:f>
        <x:v>正常</x:v>
      </x:c>
      <x:c r="Q677" s="19" t="str">
        <x:v>谢东</x:v>
      </x:c>
    </x:row>
    <x:row r="678">
      <x:c r="A678" s="19" t="str">
        <x:v>2026-07-11|S06|D13</x:v>
      </x:c>
      <x:c r="B678" s="34" t="n">
        <x:v>46214.5</x:v>
      </x:c>
      <x:c r="C678" s="19" t="str">
        <x:v>S06</x:v>
      </x:c>
      <x:c r="D678" s="19" t="str">
        <x:v>蓝钻天城店</x:v>
      </x:c>
      <x:c r="E678" s="19" t="str">
        <x:v>D13</x:v>
      </x:c>
      <x:c r="F678" s="19" t="str">
        <x:v>外婆菜炒蛋</x:v>
      </x:c>
      <x:c r="G678" s="19" t="str">
        <x:v>R1.0</x:v>
      </x:c>
      <x:c r="H678" s="20" t="n">
        <x:f>XLOOKUP(A678,'菜品日销量'!$A$5:$A$1124,'菜品日销量'!$G$5:$G$1124,0)</x:f>
        <x:v>12</x:v>
      </x:c>
      <x:c r="I678" s="20" t="n">
        <x:f>ROUNDUP(H678/2,0)</x:f>
        <x:v>6</x:v>
      </x:c>
      <x:c r="J678" s="22" t="n">
        <x:f>SUMIFS('菜谱BOM'!$F$5:$F$160,'菜谱BOM'!$A$5:$A$160,E678,'菜谱BOM'!$C$5:$C$160,"食材")</x:f>
        <x:v>450</x:v>
      </x:c>
      <x:c r="K678" s="38" t="n">
        <x:v>-0.0006026347299578214</x:v>
      </x:c>
      <x:c r="L678" s="35" t="n">
        <x:f>H678*J678*(1+K678)</x:f>
        <x:v>5396.745772458228</x:v>
      </x:c>
      <x:c r="M678" s="35" t="n">
        <x:f>SUMIFS('菜谱BOM'!$F$5:$F$160,'菜谱BOM'!$A$5:$A$160,E678,'菜谱BOM'!$C$5:$C$160,"调料")</x:f>
        <x:v>37</x:v>
      </x:c>
      <x:c r="N678" s="38" t="n">
        <x:v>-0.00029224400741333236</x:v>
      </x:c>
      <x:c r="O678" s="35" t="n">
        <x:f>H678*M678*(1+N678)</x:f>
        <x:v>443.87024366070847</x:v>
      </x:c>
      <x:c r="P678" s="19" t="str">
        <x:f>IF(ABS(N678)&gt;'封面与口径'!$O$25,"机器调料需复核",IF(ABS(K678)&gt;0.02,"人工称重需复核","正常"))</x:f>
        <x:v>正常</x:v>
      </x:c>
      <x:c r="Q678" s="19" t="str">
        <x:v>谢东</x:v>
      </x:c>
    </x:row>
    <x:row r="679">
      <x:c r="A679" s="19" t="str">
        <x:v>2026-07-11|S06|D14</x:v>
      </x:c>
      <x:c r="B679" s="34" t="n">
        <x:v>46214.5</x:v>
      </x:c>
      <x:c r="C679" s="19" t="str">
        <x:v>S06</x:v>
      </x:c>
      <x:c r="D679" s="19" t="str">
        <x:v>蓝钻天城店</x:v>
      </x:c>
      <x:c r="E679" s="19" t="str">
        <x:v>D14</x:v>
      </x:c>
      <x:c r="F679" s="19" t="str">
        <x:v>酸辣鸡杂</x:v>
      </x:c>
      <x:c r="G679" s="19" t="str">
        <x:v>R1.0</x:v>
      </x:c>
      <x:c r="H679" s="20" t="n">
        <x:f>XLOOKUP(A679,'菜品日销量'!$A$5:$A$1124,'菜品日销量'!$G$5:$G$1124,0)</x:f>
        <x:v>6</x:v>
      </x:c>
      <x:c r="I679" s="20" t="n">
        <x:f>ROUNDUP(H679/2,0)</x:f>
        <x:v>3</x:v>
      </x:c>
      <x:c r="J679" s="22" t="n">
        <x:f>SUMIFS('菜谱BOM'!$F$5:$F$160,'菜谱BOM'!$A$5:$A$160,E679,'菜谱BOM'!$C$5:$C$160,"食材")</x:f>
        <x:v>470</x:v>
      </x:c>
      <x:c r="K679" s="38" t="n">
        <x:v>-0.006105854779040873</x:v>
      </x:c>
      <x:c r="L679" s="35" t="n">
        <x:f>H679*J679*(1+K679)</x:f>
        <x:v>2802.7814895231045</x:v>
      </x:c>
      <x:c r="M679" s="35" t="n">
        <x:f>SUMIFS('菜谱BOM'!$F$5:$F$160,'菜谱BOM'!$A$5:$A$160,E679,'菜谱BOM'!$C$5:$C$160,"调料")</x:f>
        <x:v>60</x:v>
      </x:c>
      <x:c r="N679" s="38" t="n">
        <x:v>0.0012370750101369516</x:v>
      </x:c>
      <x:c r="O679" s="35" t="n">
        <x:f>H679*M679*(1+N679)</x:f>
        <x:v>360.4453470036493</x:v>
      </x:c>
      <x:c r="P679" s="19" t="str">
        <x:f>IF(ABS(N679)&gt;'封面与口径'!$O$25,"机器调料需复核",IF(ABS(K679)&gt;0.02,"人工称重需复核","正常"))</x:f>
        <x:v>正常</x:v>
      </x:c>
      <x:c r="Q679" s="19" t="str">
        <x:v>谢东</x:v>
      </x:c>
    </x:row>
    <x:row r="680">
      <x:c r="A680" s="19" t="str">
        <x:v>2026-07-11|S06|D15</x:v>
      </x:c>
      <x:c r="B680" s="34" t="n">
        <x:v>46214.5</x:v>
      </x:c>
      <x:c r="C680" s="19" t="str">
        <x:v>S06</x:v>
      </x:c>
      <x:c r="D680" s="19" t="str">
        <x:v>蓝钻天城店</x:v>
      </x:c>
      <x:c r="E680" s="19" t="str">
        <x:v>D15</x:v>
      </x:c>
      <x:c r="F680" s="19" t="str">
        <x:v>湘西土匪猪肝</x:v>
      </x:c>
      <x:c r="G680" s="19" t="str">
        <x:v>R1.0</x:v>
      </x:c>
      <x:c r="H680" s="20" t="n">
        <x:f>XLOOKUP(A680,'菜品日销量'!$A$5:$A$1124,'菜品日销量'!$G$5:$G$1124,0)</x:f>
        <x:v>5</x:v>
      </x:c>
      <x:c r="I680" s="20" t="n">
        <x:f>ROUNDUP(H680/2,0)</x:f>
        <x:v>3</x:v>
      </x:c>
      <x:c r="J680" s="22" t="n">
        <x:f>SUMIFS('菜谱BOM'!$F$5:$F$160,'菜谱BOM'!$A$5:$A$160,E680,'菜谱BOM'!$C$5:$C$160,"食材")</x:f>
        <x:v>470</x:v>
      </x:c>
      <x:c r="K680" s="38" t="n">
        <x:v>0.007077128447377385</x:v>
      </x:c>
      <x:c r="L680" s="35" t="n">
        <x:f>H680*J680*(1+K680)</x:f>
        <x:v>2366.631251851337</x:v>
      </x:c>
      <x:c r="M680" s="35" t="n">
        <x:f>SUMIFS('菜谱BOM'!$F$5:$F$160,'菜谱BOM'!$A$5:$A$160,E680,'菜谱BOM'!$C$5:$C$160,"调料")</x:f>
        <x:v>49</x:v>
      </x:c>
      <x:c r="N680" s="38" t="n">
        <x:v>-0.0003335995036954058</x:v>
      </x:c>
      <x:c r="O680" s="35" t="n">
        <x:f>H680*M680*(1+N680)</x:f>
        <x:v>244.91826812159462</x:v>
      </x:c>
      <x:c r="P680" s="19" t="str">
        <x:f>IF(ABS(N680)&gt;'封面与口径'!$O$25,"机器调料需复核",IF(ABS(K680)&gt;0.02,"人工称重需复核","正常"))</x:f>
        <x:v>正常</x:v>
      </x:c>
      <x:c r="Q680" s="19" t="str">
        <x:v>谢东</x:v>
      </x:c>
    </x:row>
    <x:row r="681">
      <x:c r="A681" s="19" t="str">
        <x:v>2026-07-11|S06|D16</x:v>
      </x:c>
      <x:c r="B681" s="34" t="n">
        <x:v>46214.5</x:v>
      </x:c>
      <x:c r="C681" s="19" t="str">
        <x:v>S06</x:v>
      </x:c>
      <x:c r="D681" s="19" t="str">
        <x:v>蓝钻天城店</x:v>
      </x:c>
      <x:c r="E681" s="19" t="str">
        <x:v>D16</x:v>
      </x:c>
      <x:c r="F681" s="19" t="str">
        <x:v>小豆角炒五花</x:v>
      </x:c>
      <x:c r="G681" s="19" t="str">
        <x:v>R1.0</x:v>
      </x:c>
      <x:c r="H681" s="20" t="n">
        <x:f>XLOOKUP(A681,'菜品日销量'!$A$5:$A$1124,'菜品日销量'!$G$5:$G$1124,0)</x:f>
        <x:v>5</x:v>
      </x:c>
      <x:c r="I681" s="20" t="n">
        <x:f>ROUNDUP(H681/2,0)</x:f>
        <x:v>3</x:v>
      </x:c>
      <x:c r="J681" s="22" t="n">
        <x:f>SUMIFS('菜谱BOM'!$F$5:$F$160,'菜谱BOM'!$A$5:$A$160,E681,'菜谱BOM'!$C$5:$C$160,"食材")</x:f>
        <x:v>450</x:v>
      </x:c>
      <x:c r="K681" s="38" t="n">
        <x:v>-0.005287688813472095</x:v>
      </x:c>
      <x:c r="L681" s="35" t="n">
        <x:f>H681*J681*(1+K681)</x:f>
        <x:v>2238.102700169688</x:v>
      </x:c>
      <x:c r="M681" s="35" t="n">
        <x:f>SUMIFS('菜谱BOM'!$F$5:$F$160,'菜谱BOM'!$A$5:$A$160,E681,'菜谱BOM'!$C$5:$C$160,"调料")</x:f>
        <x:v>42</x:v>
      </x:c>
      <x:c r="N681" s="38" t="n">
        <x:v>0.0006993796636116177</x:v>
      </x:c>
      <x:c r="O681" s="35" t="n">
        <x:f>H681*M681*(1+N681)</x:f>
        <x:v>210.14686972935846</x:v>
      </x:c>
      <x:c r="P681" s="19" t="str">
        <x:f>IF(ABS(N681)&gt;'封面与口径'!$O$25,"机器调料需复核",IF(ABS(K681)&gt;0.02,"人工称重需复核","正常"))</x:f>
        <x:v>正常</x:v>
      </x:c>
      <x:c r="Q681" s="19" t="str">
        <x:v>谢东</x:v>
      </x:c>
    </x:row>
    <x:row r="682">
      <x:c r="A682" s="19" t="str">
        <x:v>2026-07-11|S06|D18</x:v>
      </x:c>
      <x:c r="B682" s="34" t="n">
        <x:v>46214.5</x:v>
      </x:c>
      <x:c r="C682" s="19" t="str">
        <x:v>S06</x:v>
      </x:c>
      <x:c r="D682" s="19" t="str">
        <x:v>蓝钻天城店</x:v>
      </x:c>
      <x:c r="E682" s="19" t="str">
        <x:v>D18</x:v>
      </x:c>
      <x:c r="F682" s="19" t="str">
        <x:v>青椒炒油麦菜</x:v>
      </x:c>
      <x:c r="G682" s="19" t="str">
        <x:v>R1.0</x:v>
      </x:c>
      <x:c r="H682" s="20" t="n">
        <x:f>XLOOKUP(A682,'菜品日销量'!$A$5:$A$1124,'菜品日销量'!$G$5:$G$1124,0)</x:f>
        <x:v>6</x:v>
      </x:c>
      <x:c r="I682" s="20" t="n">
        <x:f>ROUNDUP(H682/2,0)</x:f>
        <x:v>3</x:v>
      </x:c>
      <x:c r="J682" s="22" t="n">
        <x:f>SUMIFS('菜谱BOM'!$F$5:$F$160,'菜谱BOM'!$A$5:$A$160,E682,'菜谱BOM'!$C$5:$C$160,"食材")</x:f>
        <x:v>430</x:v>
      </x:c>
      <x:c r="K682" s="38" t="n">
        <x:v>-0.005743222668241529</x:v>
      </x:c>
      <x:c r="L682" s="35" t="n">
        <x:f>H682*J682*(1+K682)</x:f>
        <x:v>2565.1824855159366</x:v>
      </x:c>
      <x:c r="M682" s="35" t="n">
        <x:f>SUMIFS('菜谱BOM'!$F$5:$F$160,'菜谱BOM'!$A$5:$A$160,E682,'菜谱BOM'!$C$5:$C$160,"调料")</x:f>
        <x:v>33</x:v>
      </x:c>
      <x:c r="N682" s="38" t="n">
        <x:v>-0.001212967286634484</x:v>
      </x:c>
      <x:c r="O682" s="35" t="n">
        <x:f>H682*M682*(1+N682)</x:f>
        <x:v>197.7598324772464</x:v>
      </x:c>
      <x:c r="P682" s="19" t="str">
        <x:f>IF(ABS(N682)&gt;'封面与口径'!$O$25,"机器调料需复核",IF(ABS(K682)&gt;0.02,"人工称重需复核","正常"))</x:f>
        <x:v>正常</x:v>
      </x:c>
      <x:c r="Q682" s="19" t="str">
        <x:v>谢东</x:v>
      </x:c>
    </x:row>
    <x:row r="683">
      <x:c r="A683" s="19" t="str">
        <x:v>2026-07-11|S06|D19</x:v>
      </x:c>
      <x:c r="B683" s="34" t="n">
        <x:v>46214.5</x:v>
      </x:c>
      <x:c r="C683" s="19" t="str">
        <x:v>S06</x:v>
      </x:c>
      <x:c r="D683" s="19" t="str">
        <x:v>蓝钻天城店</x:v>
      </x:c>
      <x:c r="E683" s="19" t="str">
        <x:v>D19</x:v>
      </x:c>
      <x:c r="F683" s="19" t="str">
        <x:v>酸萝卜炒鸡杂</x:v>
      </x:c>
      <x:c r="G683" s="19" t="str">
        <x:v>R1.0</x:v>
      </x:c>
      <x:c r="H683" s="20" t="n">
        <x:f>XLOOKUP(A683,'菜品日销量'!$A$5:$A$1124,'菜品日销量'!$G$5:$G$1124,0)</x:f>
        <x:v>4</x:v>
      </x:c>
      <x:c r="I683" s="20" t="n">
        <x:f>ROUNDUP(H683/2,0)</x:f>
        <x:v>2</x:v>
      </x:c>
      <x:c r="J683" s="22" t="n">
        <x:f>SUMIFS('菜谱BOM'!$F$5:$F$160,'菜谱BOM'!$A$5:$A$160,E683,'菜谱BOM'!$C$5:$C$160,"食材")</x:f>
        <x:v>500</x:v>
      </x:c>
      <x:c r="K683" s="38" t="n">
        <x:v>0.003716271749631565</x:v>
      </x:c>
      <x:c r="L683" s="35" t="n">
        <x:f>H683*J683*(1+K683)</x:f>
        <x:v>2007.432543499263</x:v>
      </x:c>
      <x:c r="M683" s="35" t="n">
        <x:f>SUMIFS('菜谱BOM'!$F$5:$F$160,'菜谱BOM'!$A$5:$A$160,E683,'菜谱BOM'!$C$5:$C$160,"调料")</x:f>
        <x:v>55</x:v>
      </x:c>
      <x:c r="N683" s="38" t="n">
        <x:v>-0.001650358751334799</x:v>
      </x:c>
      <x:c r="O683" s="35" t="n">
        <x:f>H683*M683*(1+N683)</x:f>
        <x:v>219.63692107470635</x:v>
      </x:c>
      <x:c r="P683" s="19" t="str">
        <x:f>IF(ABS(N683)&gt;'封面与口径'!$O$25,"机器调料需复核",IF(ABS(K683)&gt;0.02,"人工称重需复核","正常"))</x:f>
        <x:v>正常</x:v>
      </x:c>
      <x:c r="Q683" s="19" t="str">
        <x:v>谢东</x:v>
      </x:c>
    </x:row>
    <x:row r="684">
      <x:c r="A684" s="19" t="str">
        <x:v>2026-07-11|S06|D20</x:v>
      </x:c>
      <x:c r="B684" s="34" t="n">
        <x:v>46214.5</x:v>
      </x:c>
      <x:c r="C684" s="19" t="str">
        <x:v>S06</x:v>
      </x:c>
      <x:c r="D684" s="19" t="str">
        <x:v>蓝钻天城店</x:v>
      </x:c>
      <x:c r="E684" s="19" t="str">
        <x:v>D20</x:v>
      </x:c>
      <x:c r="F684" s="19" t="str">
        <x:v>雪菜肉末青豆</x:v>
      </x:c>
      <x:c r="G684" s="19" t="str">
        <x:v>R1.0</x:v>
      </x:c>
      <x:c r="H684" s="20" t="n">
        <x:f>XLOOKUP(A684,'菜品日销量'!$A$5:$A$1124,'菜品日销量'!$G$5:$G$1124,0)</x:f>
        <x:v>6</x:v>
      </x:c>
      <x:c r="I684" s="20" t="n">
        <x:f>ROUNDUP(H684/2,0)</x:f>
        <x:v>3</x:v>
      </x:c>
      <x:c r="J684" s="22" t="n">
        <x:f>SUMIFS('菜谱BOM'!$F$5:$F$160,'菜谱BOM'!$A$5:$A$160,E684,'菜谱BOM'!$C$5:$C$160,"食材")</x:f>
        <x:v>465</x:v>
      </x:c>
      <x:c r="K684" s="38" t="n">
        <x:v>0.0008067639825881372</x:v>
      </x:c>
      <x:c r="L684" s="35" t="n">
        <x:f>H684*J684*(1+K684)</x:f>
        <x:v>2792.250871511421</x:v>
      </x:c>
      <x:c r="M684" s="35" t="n">
        <x:f>SUMIFS('菜谱BOM'!$F$5:$F$160,'菜谱BOM'!$A$5:$A$160,E684,'菜谱BOM'!$C$5:$C$160,"调料")</x:f>
        <x:v>32</x:v>
      </x:c>
      <x:c r="N684" s="38" t="n">
        <x:v>0.0006014522208369924</x:v>
      </x:c>
      <x:c r="O684" s="35" t="n">
        <x:f>H684*M684*(1+N684)</x:f>
        <x:v>192.1154788264007</x:v>
      </x:c>
      <x:c r="P684" s="19" t="str">
        <x:f>IF(ABS(N684)&gt;'封面与口径'!$O$25,"机器调料需复核",IF(ABS(K684)&gt;0.02,"人工称重需复核","正常"))</x:f>
        <x:v>正常</x:v>
      </x:c>
      <x:c r="Q684" s="19" t="str">
        <x:v>谢东</x:v>
      </x:c>
    </x:row>
    <x:row r="685">
      <x:c r="A685" s="19" t="str">
        <x:v>2026-07-12|S06|D01</x:v>
      </x:c>
      <x:c r="B685" s="34" t="n">
        <x:v>46215.5</x:v>
      </x:c>
      <x:c r="C685" s="19" t="str">
        <x:v>S06</x:v>
      </x:c>
      <x:c r="D685" s="19" t="str">
        <x:v>蓝钻天城店</x:v>
      </x:c>
      <x:c r="E685" s="19" t="str">
        <x:v>D01</x:v>
      </x:c>
      <x:c r="F685" s="19" t="str">
        <x:v>辣椒炒肉</x:v>
      </x:c>
      <x:c r="G685" s="19" t="str">
        <x:v>R2.3</x:v>
      </x:c>
      <x:c r="H685" s="20" t="n">
        <x:f>XLOOKUP(A685,'菜品日销量'!$A$5:$A$1124,'菜品日销量'!$G$5:$G$1124,0)</x:f>
        <x:v>38</x:v>
      </x:c>
      <x:c r="I685" s="20" t="n">
        <x:f>ROUNDUP(H685/2,0)</x:f>
        <x:v>19</x:v>
      </x:c>
      <x:c r="J685" s="22" t="n">
        <x:f>SUMIFS('菜谱BOM'!$F$5:$F$160,'菜谱BOM'!$A$5:$A$160,E685,'菜谱BOM'!$C$5:$C$160,"食材")</x:f>
        <x:v>550</x:v>
      </x:c>
      <x:c r="K685" s="38" t="n">
        <x:v>-0.0006727660542057752</x:v>
      </x:c>
      <x:c r="L685" s="35" t="n">
        <x:f>H685*J685*(1+K685)</x:f>
        <x:v>20885.9391894671</x:v>
      </x:c>
      <x:c r="M685" s="35" t="n">
        <x:f>SUMIFS('菜谱BOM'!$F$5:$F$160,'菜谱BOM'!$A$5:$A$160,E685,'菜谱BOM'!$C$5:$C$160,"调料")</x:f>
        <x:v>104</x:v>
      </x:c>
      <x:c r="N685" s="38" t="n">
        <x:v>-0.0015226834080002</x:v>
      </x:c>
      <x:c r="O685" s="35" t="n">
        <x:f>H685*M685*(1+N685)</x:f>
        <x:v>3945.982355171583</x:v>
      </x:c>
      <x:c r="P685" s="19" t="str">
        <x:f>IF(ABS(N685)&gt;'封面与口径'!$O$25,"机器调料需复核",IF(ABS(K685)&gt;0.02,"人工称重需复核","正常"))</x:f>
        <x:v>正常</x:v>
      </x:c>
      <x:c r="Q685" s="19" t="str">
        <x:v>谢东</x:v>
      </x:c>
    </x:row>
    <x:row r="686">
      <x:c r="A686" s="19" t="str">
        <x:v>2026-07-12|S06|D02</x:v>
      </x:c>
      <x:c r="B686" s="34" t="n">
        <x:v>46215.5</x:v>
      </x:c>
      <x:c r="C686" s="19" t="str">
        <x:v>S06</x:v>
      </x:c>
      <x:c r="D686" s="19" t="str">
        <x:v>蓝钻天城店</x:v>
      </x:c>
      <x:c r="E686" s="19" t="str">
        <x:v>D02</x:v>
      </x:c>
      <x:c r="F686" s="19" t="str">
        <x:v>小炒黄牛肉</x:v>
      </x:c>
      <x:c r="G686" s="19" t="str">
        <x:v>R2.3</x:v>
      </x:c>
      <x:c r="H686" s="20" t="n">
        <x:f>XLOOKUP(A686,'菜品日销量'!$A$5:$A$1124,'菜品日销量'!$G$5:$G$1124,0)</x:f>
        <x:v>26</x:v>
      </x:c>
      <x:c r="I686" s="20" t="n">
        <x:f>ROUNDUP(H686/2,0)</x:f>
        <x:v>13</x:v>
      </x:c>
      <x:c r="J686" s="22" t="n">
        <x:f>SUMIFS('菜谱BOM'!$F$5:$F$160,'菜谱BOM'!$A$5:$A$160,E686,'菜谱BOM'!$C$5:$C$160,"食材")</x:f>
        <x:v>560</x:v>
      </x:c>
      <x:c r="K686" s="38" t="n">
        <x:v>0.0029624166886700358</x:v>
      </x:c>
      <x:c r="L686" s="35" t="n">
        <x:f>H686*J686*(1+K686)</x:f>
        <x:v>14603.132786987037</x:v>
      </x:c>
      <x:c r="M686" s="35" t="n">
        <x:f>SUMIFS('菜谱BOM'!$F$5:$F$160,'菜谱BOM'!$A$5:$A$160,E686,'菜谱BOM'!$C$5:$C$160,"调料")</x:f>
        <x:v>133</x:v>
      </x:c>
      <x:c r="N686" s="38" t="n">
        <x:v>-0.0004897042406931762</x:v>
      </x:c>
      <x:c r="O686" s="35" t="n">
        <x:f>H686*M686*(1+N686)</x:f>
        <x:v>3456.306602735683</x:v>
      </x:c>
      <x:c r="P686" s="19" t="str">
        <x:f>IF(ABS(N686)&gt;'封面与口径'!$O$25,"机器调料需复核",IF(ABS(K686)&gt;0.02,"人工称重需复核","正常"))</x:f>
        <x:v>正常</x:v>
      </x:c>
      <x:c r="Q686" s="19" t="str">
        <x:v>谢东</x:v>
      </x:c>
    </x:row>
    <x:row r="687">
      <x:c r="A687" s="19" t="str">
        <x:v>2026-07-12|S06|D03</x:v>
      </x:c>
      <x:c r="B687" s="34" t="n">
        <x:v>46215.5</x:v>
      </x:c>
      <x:c r="C687" s="19" t="str">
        <x:v>S06</x:v>
      </x:c>
      <x:c r="D687" s="19" t="str">
        <x:v>蓝钻天城店</x:v>
      </x:c>
      <x:c r="E687" s="19" t="str">
        <x:v>D03</x:v>
      </x:c>
      <x:c r="F687" s="19" t="str">
        <x:v>香醋炒蛋</x:v>
      </x:c>
      <x:c r="G687" s="19" t="str">
        <x:v>R1.0</x:v>
      </x:c>
      <x:c r="H687" s="20" t="n">
        <x:f>XLOOKUP(A687,'菜品日销量'!$A$5:$A$1124,'菜品日销量'!$G$5:$G$1124,0)</x:f>
        <x:v>29</x:v>
      </x:c>
      <x:c r="I687" s="20" t="n">
        <x:f>ROUNDUP(H687/2,0)</x:f>
        <x:v>15</x:v>
      </x:c>
      <x:c r="J687" s="22" t="n">
        <x:f>SUMIFS('菜谱BOM'!$F$5:$F$160,'菜谱BOM'!$A$5:$A$160,E687,'菜谱BOM'!$C$5:$C$160,"食材")</x:f>
        <x:v>300</x:v>
      </x:c>
      <x:c r="K687" s="38" t="n">
        <x:v>-0.005945193159846866</x:v>
      </x:c>
      <x:c r="L687" s="35" t="n">
        <x:f>H687*J687*(1+K687)</x:f>
        <x:v>8648.276819509332</x:v>
      </x:c>
      <x:c r="M687" s="35" t="n">
        <x:f>SUMIFS('菜谱BOM'!$F$5:$F$160,'菜谱BOM'!$A$5:$A$160,E687,'菜谱BOM'!$C$5:$C$160,"调料")</x:f>
        <x:v>53</x:v>
      </x:c>
      <x:c r="N687" s="38" t="n">
        <x:v>0.0018158194636497225</x:v>
      </x:c>
      <x:c r="O687" s="35" t="n">
        <x:f>H687*M687*(1+N687)</x:f>
        <x:v>1539.7909145156295</x:v>
      </x:c>
      <x:c r="P687" s="19" t="str">
        <x:f>IF(ABS(N687)&gt;'封面与口径'!$O$25,"机器调料需复核",IF(ABS(K687)&gt;0.02,"人工称重需复核","正常"))</x:f>
        <x:v>正常</x:v>
      </x:c>
      <x:c r="Q687" s="19" t="str">
        <x:v>谢东</x:v>
      </x:c>
    </x:row>
    <x:row r="688">
      <x:c r="A688" s="19" t="str">
        <x:v>2026-07-12|S06|D04</x:v>
      </x:c>
      <x:c r="B688" s="34" t="n">
        <x:v>46215.5</x:v>
      </x:c>
      <x:c r="C688" s="19" t="str">
        <x:v>S06</x:v>
      </x:c>
      <x:c r="D688" s="19" t="str">
        <x:v>蓝钻天城店</x:v>
      </x:c>
      <x:c r="E688" s="19" t="str">
        <x:v>D04</x:v>
      </x:c>
      <x:c r="F688" s="19" t="str">
        <x:v>酸包菜炒粉皮</x:v>
      </x:c>
      <x:c r="G688" s="19" t="str">
        <x:v>R1.0</x:v>
      </x:c>
      <x:c r="H688" s="20" t="n">
        <x:f>XLOOKUP(A688,'菜品日销量'!$A$5:$A$1124,'菜品日销量'!$G$5:$G$1124,0)</x:f>
        <x:v>25</x:v>
      </x:c>
      <x:c r="I688" s="20" t="n">
        <x:f>ROUNDUP(H688/2,0)</x:f>
        <x:v>13</x:v>
      </x:c>
      <x:c r="J688" s="22" t="n">
        <x:f>SUMIFS('菜谱BOM'!$F$5:$F$160,'菜谱BOM'!$A$5:$A$160,E688,'菜谱BOM'!$C$5:$C$160,"食材")</x:f>
        <x:v>380</x:v>
      </x:c>
      <x:c r="K688" s="38" t="n">
        <x:v>0.005761142450794843</x:v>
      </x:c>
      <x:c r="L688" s="35" t="n">
        <x:f>H688*J688*(1+K688)</x:f>
        <x:v>9554.730853282552</x:v>
      </x:c>
      <x:c r="M688" s="35" t="n">
        <x:f>SUMIFS('菜谱BOM'!$F$5:$F$160,'菜谱BOM'!$A$5:$A$160,E688,'菜谱BOM'!$C$5:$C$160,"调料")</x:f>
        <x:v>47</x:v>
      </x:c>
      <x:c r="N688" s="38" t="n">
        <x:v>-0.00021367997168881826</x:v>
      </x:c>
      <x:c r="O688" s="35" t="n">
        <x:f>H688*M688*(1+N688)</x:f>
        <x:v>1174.7489260332657</x:v>
      </x:c>
      <x:c r="P688" s="19" t="str">
        <x:f>IF(ABS(N688)&gt;'封面与口径'!$O$25,"机器调料需复核",IF(ABS(K688)&gt;0.02,"人工称重需复核","正常"))</x:f>
        <x:v>正常</x:v>
      </x:c>
      <x:c r="Q688" s="19" t="str">
        <x:v>谢东</x:v>
      </x:c>
    </x:row>
    <x:row r="689">
      <x:c r="A689" s="19" t="str">
        <x:v>2026-07-12|S06|D05</x:v>
      </x:c>
      <x:c r="B689" s="34" t="n">
        <x:v>46215.5</x:v>
      </x:c>
      <x:c r="C689" s="19" t="str">
        <x:v>S06</x:v>
      </x:c>
      <x:c r="D689" s="19" t="str">
        <x:v>蓝钻天城店</x:v>
      </x:c>
      <x:c r="E689" s="19" t="str">
        <x:v>D05</x:v>
      </x:c>
      <x:c r="F689" s="19" t="str">
        <x:v>麻婆豆腐</x:v>
      </x:c>
      <x:c r="G689" s="19" t="str">
        <x:v>R1.0</x:v>
      </x:c>
      <x:c r="H689" s="20" t="n">
        <x:f>XLOOKUP(A689,'菜品日销量'!$A$5:$A$1124,'菜品日销量'!$G$5:$G$1124,0)</x:f>
        <x:v>37</x:v>
      </x:c>
      <x:c r="I689" s="20" t="n">
        <x:f>ROUNDUP(H689/2,0)</x:f>
        <x:v>19</x:v>
      </x:c>
      <x:c r="J689" s="22" t="n">
        <x:f>SUMIFS('菜谱BOM'!$F$5:$F$160,'菜谱BOM'!$A$5:$A$160,E689,'菜谱BOM'!$C$5:$C$160,"食材")</x:f>
        <x:v>505</x:v>
      </x:c>
      <x:c r="K689" s="38" t="n">
        <x:v>-0.002801425079536025</x:v>
      </x:c>
      <x:c r="L689" s="35" t="n">
        <x:f>H689*J689*(1+K689)</x:f>
        <x:v>18632.65537238887</x:v>
      </x:c>
      <x:c r="M689" s="35" t="n">
        <x:f>SUMIFS('菜谱BOM'!$F$5:$F$160,'菜谱BOM'!$A$5:$A$160,E689,'菜谱BOM'!$C$5:$C$160,"调料")</x:f>
        <x:v>90</x:v>
      </x:c>
      <x:c r="N689" s="38" t="n">
        <x:v>0.0005369162490910191</x:v>
      </x:c>
      <x:c r="O689" s="35" t="n">
        <x:f>H689*M689*(1+N689)</x:f>
        <x:v>3331.7879311094725</x:v>
      </x:c>
      <x:c r="P689" s="19" t="str">
        <x:f>IF(ABS(N689)&gt;'封面与口径'!$O$25,"机器调料需复核",IF(ABS(K689)&gt;0.02,"人工称重需复核","正常"))</x:f>
        <x:v>正常</x:v>
      </x:c>
      <x:c r="Q689" s="19" t="str">
        <x:v>谢东</x:v>
      </x:c>
    </x:row>
    <x:row r="690">
      <x:c r="A690" s="19" t="str">
        <x:v>2026-07-12|S06|D07</x:v>
      </x:c>
      <x:c r="B690" s="34" t="n">
        <x:v>46215.5</x:v>
      </x:c>
      <x:c r="C690" s="19" t="str">
        <x:v>S06</x:v>
      </x:c>
      <x:c r="D690" s="19" t="str">
        <x:v>蓝钻天城店</x:v>
      </x:c>
      <x:c r="E690" s="19" t="str">
        <x:v>D07</x:v>
      </x:c>
      <x:c r="F690" s="19" t="str">
        <x:v>川味回锅肉</x:v>
      </x:c>
      <x:c r="G690" s="19" t="str">
        <x:v>R1.0</x:v>
      </x:c>
      <x:c r="H690" s="20" t="n">
        <x:f>XLOOKUP(A690,'菜品日销量'!$A$5:$A$1124,'菜品日销量'!$G$5:$G$1124,0)</x:f>
        <x:v>11</x:v>
      </x:c>
      <x:c r="I690" s="20" t="n">
        <x:f>ROUNDUP(H690/2,0)</x:f>
        <x:v>6</x:v>
      </x:c>
      <x:c r="J690" s="22" t="n">
        <x:f>SUMIFS('菜谱BOM'!$F$5:$F$160,'菜谱BOM'!$A$5:$A$160,E690,'菜谱BOM'!$C$5:$C$160,"食材")</x:f>
        <x:v>450</x:v>
      </x:c>
      <x:c r="K690" s="38" t="n">
        <x:v>0.00488207369970206</x:v>
      </x:c>
      <x:c r="L690" s="35" t="n">
        <x:f>H690*J690*(1+K690)</x:f>
        <x:v>4974.166264813524</x:v>
      </x:c>
      <x:c r="M690" s="35" t="n">
        <x:f>SUMIFS('菜谱BOM'!$F$5:$F$160,'菜谱BOM'!$A$5:$A$160,E690,'菜谱BOM'!$C$5:$C$160,"调料")</x:f>
        <x:v>63</x:v>
      </x:c>
      <x:c r="N690" s="38" t="n">
        <x:v>-0.0019153560604703043</x:v>
      </x:c>
      <x:c r="O690" s="35" t="n">
        <x:f>H690*M690*(1+N690)</x:f>
        <x:v>691.6726582500941</x:v>
      </x:c>
      <x:c r="P690" s="19" t="str">
        <x:f>IF(ABS(N690)&gt;'封面与口径'!$O$25,"机器调料需复核",IF(ABS(K690)&gt;0.02,"人工称重需复核","正常"))</x:f>
        <x:v>正常</x:v>
      </x:c>
      <x:c r="Q690" s="19" t="str">
        <x:v>谢东</x:v>
      </x:c>
    </x:row>
    <x:row r="691">
      <x:c r="A691" s="19" t="str">
        <x:v>2026-07-12|S06|D08</x:v>
      </x:c>
      <x:c r="B691" s="34" t="n">
        <x:v>46215.5</x:v>
      </x:c>
      <x:c r="C691" s="19" t="str">
        <x:v>S06</x:v>
      </x:c>
      <x:c r="D691" s="19" t="str">
        <x:v>蓝钻天城店</x:v>
      </x:c>
      <x:c r="E691" s="19" t="str">
        <x:v>D08</x:v>
      </x:c>
      <x:c r="F691" s="19" t="str">
        <x:v>生炒清远鸡</x:v>
      </x:c>
      <x:c r="G691" s="19" t="str">
        <x:v>R1.0</x:v>
      </x:c>
      <x:c r="H691" s="20" t="n">
        <x:f>XLOOKUP(A691,'菜品日销量'!$A$5:$A$1124,'菜品日销量'!$G$5:$G$1124,0)</x:f>
        <x:v>7</x:v>
      </x:c>
      <x:c r="I691" s="20" t="n">
        <x:f>ROUNDUP(H691/2,0)</x:f>
        <x:v>4</x:v>
      </x:c>
      <x:c r="J691" s="22" t="n">
        <x:f>SUMIFS('菜谱BOM'!$F$5:$F$160,'菜谱BOM'!$A$5:$A$160,E691,'菜谱BOM'!$C$5:$C$160,"食材")</x:f>
        <x:v>610</x:v>
      </x:c>
      <x:c r="K691" s="38" t="n">
        <x:v>-0.0028126468050323067</x:v>
      </x:c>
      <x:c r="L691" s="35" t="n">
        <x:f>H691*J691*(1+K691)</x:f>
        <x:v>4257.9899981425115</x:v>
      </x:c>
      <x:c r="M691" s="35" t="n">
        <x:f>SUMIFS('菜谱BOM'!$F$5:$F$160,'菜谱BOM'!$A$5:$A$160,E691,'菜谱BOM'!$C$5:$C$160,"调料")</x:f>
        <x:v>61</x:v>
      </x:c>
      <x:c r="N691" s="38" t="n">
        <x:v>0.0003951802566636307</x:v>
      </x:c>
      <x:c r="O691" s="35" t="n">
        <x:f>H691*M691*(1+N691)</x:f>
        <x:v>427.16874196959543</x:v>
      </x:c>
      <x:c r="P691" s="19" t="str">
        <x:f>IF(ABS(N691)&gt;'封面与口径'!$O$25,"机器调料需复核",IF(ABS(K691)&gt;0.02,"人工称重需复核","正常"))</x:f>
        <x:v>正常</x:v>
      </x:c>
      <x:c r="Q691" s="19" t="str">
        <x:v>谢东</x:v>
      </x:c>
    </x:row>
    <x:row r="692">
      <x:c r="A692" s="19" t="str">
        <x:v>2026-07-12|S06|D09</x:v>
      </x:c>
      <x:c r="B692" s="34" t="n">
        <x:v>46215.5</x:v>
      </x:c>
      <x:c r="C692" s="19" t="str">
        <x:v>S06</x:v>
      </x:c>
      <x:c r="D692" s="19" t="str">
        <x:v>蓝钻天城店</x:v>
      </x:c>
      <x:c r="E692" s="19" t="str">
        <x:v>D09</x:v>
      </x:c>
      <x:c r="F692" s="19" t="str">
        <x:v>炒豆干</x:v>
      </x:c>
      <x:c r="G692" s="19" t="str">
        <x:v>R1.0</x:v>
      </x:c>
      <x:c r="H692" s="20" t="n">
        <x:f>XLOOKUP(A692,'菜品日销量'!$A$5:$A$1124,'菜品日销量'!$G$5:$G$1124,0)</x:f>
        <x:v>12</x:v>
      </x:c>
      <x:c r="I692" s="20" t="n">
        <x:f>ROUNDUP(H692/2,0)</x:f>
        <x:v>6</x:v>
      </x:c>
      <x:c r="J692" s="22" t="n">
        <x:f>SUMIFS('菜谱BOM'!$F$5:$F$160,'菜谱BOM'!$A$5:$A$160,E692,'菜谱BOM'!$C$5:$C$160,"食材")</x:f>
        <x:v>520</x:v>
      </x:c>
      <x:c r="K692" s="38" t="n">
        <x:v>0.00032867229551278857</x:v>
      </x:c>
      <x:c r="L692" s="35" t="n">
        <x:f>H692*J692*(1+K692)</x:f>
        <x:v>6242.050915123999</x:v>
      </x:c>
      <x:c r="M692" s="35" t="n">
        <x:f>SUMIFS('菜谱BOM'!$F$5:$F$160,'菜谱BOM'!$A$5:$A$160,E692,'菜谱BOM'!$C$5:$C$160,"调料")</x:f>
        <x:v>42</x:v>
      </x:c>
      <x:c r="N692" s="38" t="n">
        <x:v>-0.000636760923694065</x:v>
      </x:c>
      <x:c r="O692" s="35" t="n">
        <x:f>H692*M692*(1+N692)</x:f>
        <x:v>503.67907249445824</x:v>
      </x:c>
      <x:c r="P692" s="19" t="str">
        <x:f>IF(ABS(N692)&gt;'封面与口径'!$O$25,"机器调料需复核",IF(ABS(K692)&gt;0.02,"人工称重需复核","正常"))</x:f>
        <x:v>正常</x:v>
      </x:c>
      <x:c r="Q692" s="19" t="str">
        <x:v>谢东</x:v>
      </x:c>
    </x:row>
    <x:row r="693">
      <x:c r="A693" s="19" t="str">
        <x:v>2026-07-12|S06|D10</x:v>
      </x:c>
      <x:c r="B693" s="34" t="n">
        <x:v>46215.5</x:v>
      </x:c>
      <x:c r="C693" s="19" t="str">
        <x:v>S06</x:v>
      </x:c>
      <x:c r="D693" s="19" t="str">
        <x:v>蓝钻天城店</x:v>
      </x:c>
      <x:c r="E693" s="19" t="str">
        <x:v>D10</x:v>
      </x:c>
      <x:c r="F693" s="19" t="str">
        <x:v>农家一碗香</x:v>
      </x:c>
      <x:c r="G693" s="19" t="str">
        <x:v>R2.3</x:v>
      </x:c>
      <x:c r="H693" s="20" t="n">
        <x:f>XLOOKUP(A693,'菜品日销量'!$A$5:$A$1124,'菜品日销量'!$G$5:$G$1124,0)</x:f>
        <x:v>12</x:v>
      </x:c>
      <x:c r="I693" s="20" t="n">
        <x:f>ROUNDUP(H693/2,0)</x:f>
        <x:v>6</x:v>
      </x:c>
      <x:c r="J693" s="22" t="n">
        <x:f>SUMIFS('菜谱BOM'!$F$5:$F$160,'菜谱BOM'!$A$5:$A$160,E693,'菜谱BOM'!$C$5:$C$160,"食材")</x:f>
        <x:v>510</x:v>
      </x:c>
      <x:c r="K693" s="38" t="n">
        <x:v>-0.00014229703139101524</x:v>
      </x:c>
      <x:c r="L693" s="35" t="n">
        <x:f>H693*J693*(1+K693)</x:f>
        <x:v>6119.129142167887</x:v>
      </x:c>
      <x:c r="M693" s="35" t="n">
        <x:f>SUMIFS('菜谱BOM'!$F$5:$F$160,'菜谱BOM'!$A$5:$A$160,E693,'菜谱BOM'!$C$5:$C$160,"调料")</x:f>
        <x:v>88</x:v>
      </x:c>
      <x:c r="N693" s="38" t="n">
        <x:v>-0.001460580414035493</x:v>
      </x:c>
      <x:c r="O693" s="35" t="n">
        <x:f>H693*M693*(1+N693)</x:f>
        <x:v>1054.4576270827786</x:v>
      </x:c>
      <x:c r="P693" s="19" t="str">
        <x:f>IF(ABS(N693)&gt;'封面与口径'!$O$25,"机器调料需复核",IF(ABS(K693)&gt;0.02,"人工称重需复核","正常"))</x:f>
        <x:v>正常</x:v>
      </x:c>
      <x:c r="Q693" s="19" t="str">
        <x:v>谢东</x:v>
      </x:c>
    </x:row>
    <x:row r="694">
      <x:c r="A694" s="19" t="str">
        <x:v>2026-07-12|S06|D11</x:v>
      </x:c>
      <x:c r="B694" s="34" t="n">
        <x:v>46215.5</x:v>
      </x:c>
      <x:c r="C694" s="19" t="str">
        <x:v>S06</x:v>
      </x:c>
      <x:c r="D694" s="19" t="str">
        <x:v>蓝钻天城店</x:v>
      </x:c>
      <x:c r="E694" s="19" t="str">
        <x:v>D11</x:v>
      </x:c>
      <x:c r="F694" s="19" t="str">
        <x:v>香辣爆肥肠</x:v>
      </x:c>
      <x:c r="G694" s="19" t="str">
        <x:v>R1.0</x:v>
      </x:c>
      <x:c r="H694" s="20" t="n">
        <x:f>XLOOKUP(A694,'菜品日销量'!$A$5:$A$1124,'菜品日销量'!$G$5:$G$1124,0)</x:f>
        <x:v>4</x:v>
      </x:c>
      <x:c r="I694" s="20" t="n">
        <x:f>ROUNDUP(H694/2,0)</x:f>
        <x:v>2</x:v>
      </x:c>
      <x:c r="J694" s="22" t="n">
        <x:f>SUMIFS('菜谱BOM'!$F$5:$F$160,'菜谱BOM'!$A$5:$A$160,E694,'菜谱BOM'!$C$5:$C$160,"食材")</x:f>
        <x:v>430</x:v>
      </x:c>
      <x:c r="K694" s="38" t="n">
        <x:v>0.0029834870945158157</x:v>
      </x:c>
      <x:c r="L694" s="35" t="n">
        <x:f>H694*J694*(1+K694)</x:f>
        <x:v>1725.131597802567</x:v>
      </x:c>
      <x:c r="M694" s="35" t="n">
        <x:f>SUMIFS('菜谱BOM'!$F$5:$F$160,'菜谱BOM'!$A$5:$A$160,E694,'菜谱BOM'!$C$5:$C$160,"调料")</x:f>
        <x:v>67</x:v>
      </x:c>
      <x:c r="N694" s="38" t="n">
        <x:v>-0.0006452976471384284</x:v>
      </x:c>
      <x:c r="O694" s="35" t="n">
        <x:f>H694*M694*(1+N694)</x:f>
        <x:v>267.82706023056693</x:v>
      </x:c>
      <x:c r="P694" s="19" t="str">
        <x:f>IF(ABS(N694)&gt;'封面与口径'!$O$25,"机器调料需复核",IF(ABS(K694)&gt;0.02,"人工称重需复核","正常"))</x:f>
        <x:v>正常</x:v>
      </x:c>
      <x:c r="Q694" s="19" t="str">
        <x:v>谢东</x:v>
      </x:c>
    </x:row>
    <x:row r="695">
      <x:c r="A695" s="19" t="str">
        <x:v>2026-07-12|S06|D13</x:v>
      </x:c>
      <x:c r="B695" s="34" t="n">
        <x:v>46215.5</x:v>
      </x:c>
      <x:c r="C695" s="19" t="str">
        <x:v>S06</x:v>
      </x:c>
      <x:c r="D695" s="19" t="str">
        <x:v>蓝钻天城店</x:v>
      </x:c>
      <x:c r="E695" s="19" t="str">
        <x:v>D13</x:v>
      </x:c>
      <x:c r="F695" s="19" t="str">
        <x:v>外婆菜炒蛋</x:v>
      </x:c>
      <x:c r="G695" s="19" t="str">
        <x:v>R1.0</x:v>
      </x:c>
      <x:c r="H695" s="20" t="n">
        <x:f>XLOOKUP(A695,'菜品日销量'!$A$5:$A$1124,'菜品日销量'!$G$5:$G$1124,0)</x:f>
        <x:v>12</x:v>
      </x:c>
      <x:c r="I695" s="20" t="n">
        <x:f>ROUNDUP(H695/2,0)</x:f>
        <x:v>6</x:v>
      </x:c>
      <x:c r="J695" s="22" t="n">
        <x:f>SUMIFS('菜谱BOM'!$F$5:$F$160,'菜谱BOM'!$A$5:$A$160,E695,'菜谱BOM'!$C$5:$C$160,"食材")</x:f>
        <x:v>450</x:v>
      </x:c>
      <x:c r="K695" s="38" t="n">
        <x:v>0.007854511637206775</x:v>
      </x:c>
      <x:c r="L695" s="35" t="n">
        <x:f>H695*J695*(1+K695)</x:f>
        <x:v>5442.414362840917</x:v>
      </x:c>
      <x:c r="M695" s="35" t="n">
        <x:f>SUMIFS('菜谱BOM'!$F$5:$F$160,'菜谱BOM'!$A$5:$A$160,E695,'菜谱BOM'!$C$5:$C$160,"调料")</x:f>
        <x:v>37</x:v>
      </x:c>
      <x:c r="N695" s="38" t="n">
        <x:v>-0.00011008243498161497</x:v>
      </x:c>
      <x:c r="O695" s="35" t="n">
        <x:f>H695*M695*(1+N695)</x:f>
        <x:v>443.95112339886816</x:v>
      </x:c>
      <x:c r="P695" s="19" t="str">
        <x:f>IF(ABS(N695)&gt;'封面与口径'!$O$25,"机器调料需复核",IF(ABS(K695)&gt;0.02,"人工称重需复核","正常"))</x:f>
        <x:v>正常</x:v>
      </x:c>
      <x:c r="Q695" s="19" t="str">
        <x:v>谢东</x:v>
      </x:c>
    </x:row>
    <x:row r="696">
      <x:c r="A696" s="19" t="str">
        <x:v>2026-07-12|S06|D14</x:v>
      </x:c>
      <x:c r="B696" s="34" t="n">
        <x:v>46215.5</x:v>
      </x:c>
      <x:c r="C696" s="19" t="str">
        <x:v>S06</x:v>
      </x:c>
      <x:c r="D696" s="19" t="str">
        <x:v>蓝钻天城店</x:v>
      </x:c>
      <x:c r="E696" s="19" t="str">
        <x:v>D14</x:v>
      </x:c>
      <x:c r="F696" s="19" t="str">
        <x:v>酸辣鸡杂</x:v>
      </x:c>
      <x:c r="G696" s="19" t="str">
        <x:v>R1.0</x:v>
      </x:c>
      <x:c r="H696" s="20" t="n">
        <x:f>XLOOKUP(A696,'菜品日销量'!$A$5:$A$1124,'菜品日销量'!$G$5:$G$1124,0)</x:f>
        <x:v>6</x:v>
      </x:c>
      <x:c r="I696" s="20" t="n">
        <x:f>ROUNDUP(H696/2,0)</x:f>
        <x:v>3</x:v>
      </x:c>
      <x:c r="J696" s="22" t="n">
        <x:f>SUMIFS('菜谱BOM'!$F$5:$F$160,'菜谱BOM'!$A$5:$A$160,E696,'菜谱BOM'!$C$5:$C$160,"食材")</x:f>
        <x:v>470</x:v>
      </x:c>
      <x:c r="K696" s="38" t="n">
        <x:v>-0.0022889014953488725</x:v>
      </x:c>
      <x:c r="L696" s="35" t="n">
        <x:f>H696*J696*(1+K696)</x:f>
        <x:v>2813.545297783116</x:v>
      </x:c>
      <x:c r="M696" s="35" t="n">
        <x:f>SUMIFS('菜谱BOM'!$F$5:$F$160,'菜谱BOM'!$A$5:$A$160,E696,'菜谱BOM'!$C$5:$C$160,"调料")</x:f>
        <x:v>60</x:v>
      </x:c>
      <x:c r="N696" s="38" t="n">
        <x:v>0.0008753603461373971</x:v>
      </x:c>
      <x:c r="O696" s="35" t="n">
        <x:f>H696*M696*(1+N696)</x:f>
        <x:v>360.31512972460945</x:v>
      </x:c>
      <x:c r="P696" s="19" t="str">
        <x:f>IF(ABS(N696)&gt;'封面与口径'!$O$25,"机器调料需复核",IF(ABS(K696)&gt;0.02,"人工称重需复核","正常"))</x:f>
        <x:v>正常</x:v>
      </x:c>
      <x:c r="Q696" s="19" t="str">
        <x:v>谢东</x:v>
      </x:c>
    </x:row>
    <x:row r="697">
      <x:c r="A697" s="19" t="str">
        <x:v>2026-07-12|S06|D15</x:v>
      </x:c>
      <x:c r="B697" s="34" t="n">
        <x:v>46215.5</x:v>
      </x:c>
      <x:c r="C697" s="19" t="str">
        <x:v>S06</x:v>
      </x:c>
      <x:c r="D697" s="19" t="str">
        <x:v>蓝钻天城店</x:v>
      </x:c>
      <x:c r="E697" s="19" t="str">
        <x:v>D15</x:v>
      </x:c>
      <x:c r="F697" s="19" t="str">
        <x:v>湘西土匪猪肝</x:v>
      </x:c>
      <x:c r="G697" s="19" t="str">
        <x:v>R1.0</x:v>
      </x:c>
      <x:c r="H697" s="20" t="n">
        <x:f>XLOOKUP(A697,'菜品日销量'!$A$5:$A$1124,'菜品日销量'!$G$5:$G$1124,0)</x:f>
        <x:v>5</x:v>
      </x:c>
      <x:c r="I697" s="20" t="n">
        <x:f>ROUNDUP(H697/2,0)</x:f>
        <x:v>3</x:v>
      </x:c>
      <x:c r="J697" s="22" t="n">
        <x:f>SUMIFS('菜谱BOM'!$F$5:$F$160,'菜谱BOM'!$A$5:$A$160,E697,'菜谱BOM'!$C$5:$C$160,"食材")</x:f>
        <x:v>470</x:v>
      </x:c>
      <x:c r="K697" s="38" t="n">
        <x:v>0.000010533789175221742</x:v>
      </x:c>
      <x:c r="L697" s="35" t="n">
        <x:f>H697*J697*(1+K697)</x:f>
        <x:v>2350.0247544045615</x:v>
      </x:c>
      <x:c r="M697" s="35" t="n">
        <x:f>SUMIFS('菜谱BOM'!$F$5:$F$160,'菜谱BOM'!$A$5:$A$160,E697,'菜谱BOM'!$C$5:$C$160,"调料")</x:f>
        <x:v>49</x:v>
      </x:c>
      <x:c r="N697" s="38" t="n">
        <x:v>0.0002666173237996681</x:v>
      </x:c>
      <x:c r="O697" s="35" t="n">
        <x:f>H697*M697*(1+N697)</x:f>
        <x:v>245.06532124433093</x:v>
      </x:c>
      <x:c r="P697" s="19" t="str">
        <x:f>IF(ABS(N697)&gt;'封面与口径'!$O$25,"机器调料需复核",IF(ABS(K697)&gt;0.02,"人工称重需复核","正常"))</x:f>
        <x:v>正常</x:v>
      </x:c>
      <x:c r="Q697" s="19" t="str">
        <x:v>谢东</x:v>
      </x:c>
    </x:row>
    <x:row r="698">
      <x:c r="A698" s="19" t="str">
        <x:v>2026-07-12|S06|D16</x:v>
      </x:c>
      <x:c r="B698" s="34" t="n">
        <x:v>46215.5</x:v>
      </x:c>
      <x:c r="C698" s="19" t="str">
        <x:v>S06</x:v>
      </x:c>
      <x:c r="D698" s="19" t="str">
        <x:v>蓝钻天城店</x:v>
      </x:c>
      <x:c r="E698" s="19" t="str">
        <x:v>D16</x:v>
      </x:c>
      <x:c r="F698" s="19" t="str">
        <x:v>小豆角炒五花</x:v>
      </x:c>
      <x:c r="G698" s="19" t="str">
        <x:v>R1.0</x:v>
      </x:c>
      <x:c r="H698" s="20" t="n">
        <x:f>XLOOKUP(A698,'菜品日销量'!$A$5:$A$1124,'菜品日销量'!$G$5:$G$1124,0)</x:f>
        <x:v>5</x:v>
      </x:c>
      <x:c r="I698" s="20" t="n">
        <x:f>ROUNDUP(H698/2,0)</x:f>
        <x:v>3</x:v>
      </x:c>
      <x:c r="J698" s="22" t="n">
        <x:f>SUMIFS('菜谱BOM'!$F$5:$F$160,'菜谱BOM'!$A$5:$A$160,E698,'菜谱BOM'!$C$5:$C$160,"食材")</x:f>
        <x:v>450</x:v>
      </x:c>
      <x:c r="K698" s="38" t="n">
        <x:v>-0.002373688603372706</x:v>
      </x:c>
      <x:c r="L698" s="35" t="n">
        <x:f>H698*J698*(1+K698)</x:f>
        <x:v>2244.659200642411</x:v>
      </x:c>
      <x:c r="M698" s="35" t="n">
        <x:f>SUMIFS('菜谱BOM'!$F$5:$F$160,'菜谱BOM'!$A$5:$A$160,E698,'菜谱BOM'!$C$5:$C$160,"调料")</x:f>
        <x:v>42</x:v>
      </x:c>
      <x:c r="N698" s="38" t="n">
        <x:v>-0.00011559481502408043</x:v>
      </x:c>
      <x:c r="O698" s="35" t="n">
        <x:f>H698*M698*(1+N698)</x:f>
        <x:v>209.97572508884494</x:v>
      </x:c>
      <x:c r="P698" s="19" t="str">
        <x:f>IF(ABS(N698)&gt;'封面与口径'!$O$25,"机器调料需复核",IF(ABS(K698)&gt;0.02,"人工称重需复核","正常"))</x:f>
        <x:v>正常</x:v>
      </x:c>
      <x:c r="Q698" s="19" t="str">
        <x:v>谢东</x:v>
      </x:c>
    </x:row>
    <x:row r="699">
      <x:c r="A699" s="19" t="str">
        <x:v>2026-07-12|S06|D18</x:v>
      </x:c>
      <x:c r="B699" s="34" t="n">
        <x:v>46215.5</x:v>
      </x:c>
      <x:c r="C699" s="19" t="str">
        <x:v>S06</x:v>
      </x:c>
      <x:c r="D699" s="19" t="str">
        <x:v>蓝钻天城店</x:v>
      </x:c>
      <x:c r="E699" s="19" t="str">
        <x:v>D18</x:v>
      </x:c>
      <x:c r="F699" s="19" t="str">
        <x:v>青椒炒油麦菜</x:v>
      </x:c>
      <x:c r="G699" s="19" t="str">
        <x:v>R1.0</x:v>
      </x:c>
      <x:c r="H699" s="20" t="n">
        <x:f>XLOOKUP(A699,'菜品日销量'!$A$5:$A$1124,'菜品日销量'!$G$5:$G$1124,0)</x:f>
        <x:v>6</x:v>
      </x:c>
      <x:c r="I699" s="20" t="n">
        <x:f>ROUNDUP(H699/2,0)</x:f>
        <x:v>3</x:v>
      </x:c>
      <x:c r="J699" s="22" t="n">
        <x:f>SUMIFS('菜谱BOM'!$F$5:$F$160,'菜谱BOM'!$A$5:$A$160,E699,'菜谱BOM'!$C$5:$C$160,"食材")</x:f>
        <x:v>430</x:v>
      </x:c>
      <x:c r="K699" s="38" t="n">
        <x:v>-0.002271702679403057</x:v>
      </x:c>
      <x:c r="L699" s="35" t="n">
        <x:f>H699*J699*(1+K699)</x:f>
        <x:v>2574.1390070871403</x:v>
      </x:c>
      <x:c r="M699" s="35" t="n">
        <x:f>SUMIFS('菜谱BOM'!$F$5:$F$160,'菜谱BOM'!$A$5:$A$160,E699,'菜谱BOM'!$C$5:$C$160,"调料")</x:f>
        <x:v>33</x:v>
      </x:c>
      <x:c r="N699" s="38" t="n">
        <x:v>-0.00019330112407759325</x:v>
      </x:c>
      <x:c r="O699" s="35" t="n">
        <x:f>H699*M699*(1+N699)</x:f>
        <x:v>197.96172637743265</x:v>
      </x:c>
      <x:c r="P699" s="19" t="str">
        <x:f>IF(ABS(N699)&gt;'封面与口径'!$O$25,"机器调料需复核",IF(ABS(K699)&gt;0.02,"人工称重需复核","正常"))</x:f>
        <x:v>正常</x:v>
      </x:c>
      <x:c r="Q699" s="19" t="str">
        <x:v>谢东</x:v>
      </x:c>
    </x:row>
    <x:row r="700">
      <x:c r="A700" s="19" t="str">
        <x:v>2026-07-12|S06|D19</x:v>
      </x:c>
      <x:c r="B700" s="34" t="n">
        <x:v>46215.5</x:v>
      </x:c>
      <x:c r="C700" s="19" t="str">
        <x:v>S06</x:v>
      </x:c>
      <x:c r="D700" s="19" t="str">
        <x:v>蓝钻天城店</x:v>
      </x:c>
      <x:c r="E700" s="19" t="str">
        <x:v>D19</x:v>
      </x:c>
      <x:c r="F700" s="19" t="str">
        <x:v>酸萝卜炒鸡杂</x:v>
      </x:c>
      <x:c r="G700" s="19" t="str">
        <x:v>R1.0</x:v>
      </x:c>
      <x:c r="H700" s="20" t="n">
        <x:f>XLOOKUP(A700,'菜品日销量'!$A$5:$A$1124,'菜品日销量'!$G$5:$G$1124,0)</x:f>
        <x:v>4</x:v>
      </x:c>
      <x:c r="I700" s="20" t="n">
        <x:f>ROUNDUP(H700/2,0)</x:f>
        <x:v>2</x:v>
      </x:c>
      <x:c r="J700" s="22" t="n">
        <x:f>SUMIFS('菜谱BOM'!$F$5:$F$160,'菜谱BOM'!$A$5:$A$160,E700,'菜谱BOM'!$C$5:$C$160,"食材")</x:f>
        <x:v>500</x:v>
      </x:c>
      <x:c r="K700" s="38" t="n">
        <x:v>0.007504572924111171</x:v>
      </x:c>
      <x:c r="L700" s="35" t="n">
        <x:f>H700*J700*(1+K700)</x:f>
        <x:v>2015.0091458482225</x:v>
      </x:c>
      <x:c r="M700" s="35" t="n">
        <x:f>SUMIFS('菜谱BOM'!$F$5:$F$160,'菜谱BOM'!$A$5:$A$160,E700,'菜谱BOM'!$C$5:$C$160,"调料")</x:f>
        <x:v>55</x:v>
      </x:c>
      <x:c r="N700" s="38" t="n">
        <x:v>-0.0012995760224991423</x:v>
      </x:c>
      <x:c r="O700" s="35" t="n">
        <x:f>H700*M700*(1+N700)</x:f>
        <x:v>219.71409327505017</x:v>
      </x:c>
      <x:c r="P700" s="19" t="str">
        <x:f>IF(ABS(N700)&gt;'封面与口径'!$O$25,"机器调料需复核",IF(ABS(K700)&gt;0.02,"人工称重需复核","正常"))</x:f>
        <x:v>正常</x:v>
      </x:c>
      <x:c r="Q700" s="19" t="str">
        <x:v>谢东</x:v>
      </x:c>
    </x:row>
    <x:row r="701">
      <x:c r="A701" s="19" t="str">
        <x:v>2026-07-12|S06|D20</x:v>
      </x:c>
      <x:c r="B701" s="34" t="n">
        <x:v>46215.5</x:v>
      </x:c>
      <x:c r="C701" s="19" t="str">
        <x:v>S06</x:v>
      </x:c>
      <x:c r="D701" s="19" t="str">
        <x:v>蓝钻天城店</x:v>
      </x:c>
      <x:c r="E701" s="19" t="str">
        <x:v>D20</x:v>
      </x:c>
      <x:c r="F701" s="19" t="str">
        <x:v>雪菜肉末青豆</x:v>
      </x:c>
      <x:c r="G701" s="19" t="str">
        <x:v>R1.0</x:v>
      </x:c>
      <x:c r="H701" s="20" t="n">
        <x:f>XLOOKUP(A701,'菜品日销量'!$A$5:$A$1124,'菜品日销量'!$G$5:$G$1124,0)</x:f>
        <x:v>6</x:v>
      </x:c>
      <x:c r="I701" s="20" t="n">
        <x:f>ROUNDUP(H701/2,0)</x:f>
        <x:v>3</x:v>
      </x:c>
      <x:c r="J701" s="22" t="n">
        <x:f>SUMIFS('菜谱BOM'!$F$5:$F$160,'菜谱BOM'!$A$5:$A$160,E701,'菜谱BOM'!$C$5:$C$160,"食材")</x:f>
        <x:v>465</x:v>
      </x:c>
      <x:c r="K701" s="38" t="n">
        <x:v>-0.0011688315926978437</x:v>
      </x:c>
      <x:c r="L701" s="35" t="n">
        <x:f>H701*J701*(1+K701)</x:f>
        <x:v>2786.7389598563727</x:v>
      </x:c>
      <x:c r="M701" s="35" t="n">
        <x:f>SUMIFS('菜谱BOM'!$F$5:$F$160,'菜谱BOM'!$A$5:$A$160,E701,'菜谱BOM'!$C$5:$C$160,"调料")</x:f>
        <x:v>32</x:v>
      </x:c>
      <x:c r="N701" s="38" t="n">
        <x:v>-0.001936715864561665</x:v>
      </x:c>
      <x:c r="O701" s="35" t="n">
        <x:f>H701*M701*(1+N701)</x:f>
        <x:v>191.62815055400415</x:v>
      </x:c>
      <x:c r="P701" s="19" t="str">
        <x:f>IF(ABS(N701)&gt;'封面与口径'!$O$25,"机器调料需复核",IF(ABS(K701)&gt;0.02,"人工称重需复核","正常"))</x:f>
        <x:v>正常</x:v>
      </x:c>
      <x:c r="Q701" s="19" t="str">
        <x:v>谢东</x:v>
      </x:c>
    </x:row>
    <x:row r="702">
      <x:c r="A702" s="19" t="str">
        <x:v>2026-07-13|S06|D01</x:v>
      </x:c>
      <x:c r="B702" s="34" t="n">
        <x:v>46216.5</x:v>
      </x:c>
      <x:c r="C702" s="19" t="str">
        <x:v>S06</x:v>
      </x:c>
      <x:c r="D702" s="19" t="str">
        <x:v>蓝钻天城店</x:v>
      </x:c>
      <x:c r="E702" s="19" t="str">
        <x:v>D01</x:v>
      </x:c>
      <x:c r="F702" s="19" t="str">
        <x:v>辣椒炒肉</x:v>
      </x:c>
      <x:c r="G702" s="19" t="str">
        <x:v>R2.3</x:v>
      </x:c>
      <x:c r="H702" s="20" t="n">
        <x:f>XLOOKUP(A702,'菜品日销量'!$A$5:$A$1124,'菜品日销量'!$G$5:$G$1124,0)</x:f>
        <x:v>49</x:v>
      </x:c>
      <x:c r="I702" s="20" t="n">
        <x:f>ROUNDUP(H702/2,0)</x:f>
        <x:v>25</x:v>
      </x:c>
      <x:c r="J702" s="22" t="n">
        <x:f>SUMIFS('菜谱BOM'!$F$5:$F$160,'菜谱BOM'!$A$5:$A$160,E702,'菜谱BOM'!$C$5:$C$160,"食材")</x:f>
        <x:v>550</x:v>
      </x:c>
      <x:c r="K702" s="38" t="n">
        <x:v>-0.004575242071546437</x:v>
      </x:c>
      <x:c r="L702" s="35" t="n">
        <x:f>H702*J702*(1+K702)</x:f>
        <x:v>26826.697226171822</x:v>
      </x:c>
      <x:c r="M702" s="35" t="n">
        <x:f>SUMIFS('菜谱BOM'!$F$5:$F$160,'菜谱BOM'!$A$5:$A$160,E702,'菜谱BOM'!$C$5:$C$160,"调料")</x:f>
        <x:v>104</x:v>
      </x:c>
      <x:c r="N702" s="38" t="n">
        <x:v>0.0008425019771890954</x:v>
      </x:c>
      <x:c r="O702" s="35" t="n">
        <x:f>H702*M702*(1+N702)</x:f>
        <x:v>5100.293390075756</x:v>
      </x:c>
      <x:c r="P702" s="19" t="str">
        <x:f>IF(ABS(N702)&gt;'封面与口径'!$O$25,"机器调料需复核",IF(ABS(K702)&gt;0.02,"人工称重需复核","正常"))</x:f>
        <x:v>正常</x:v>
      </x:c>
      <x:c r="Q702" s="19" t="str">
        <x:v>谢东</x:v>
      </x:c>
    </x:row>
    <x:row r="703">
      <x:c r="A703" s="19" t="str">
        <x:v>2026-07-13|S06|D02</x:v>
      </x:c>
      <x:c r="B703" s="34" t="n">
        <x:v>46216.5</x:v>
      </x:c>
      <x:c r="C703" s="19" t="str">
        <x:v>S06</x:v>
      </x:c>
      <x:c r="D703" s="19" t="str">
        <x:v>蓝钻天城店</x:v>
      </x:c>
      <x:c r="E703" s="19" t="str">
        <x:v>D02</x:v>
      </x:c>
      <x:c r="F703" s="19" t="str">
        <x:v>小炒黄牛肉</x:v>
      </x:c>
      <x:c r="G703" s="19" t="str">
        <x:v>R2.3</x:v>
      </x:c>
      <x:c r="H703" s="20" t="n">
        <x:f>XLOOKUP(A703,'菜品日销量'!$A$5:$A$1124,'菜品日销量'!$G$5:$G$1124,0)</x:f>
        <x:v>35</x:v>
      </x:c>
      <x:c r="I703" s="20" t="n">
        <x:f>ROUNDUP(H703/2,0)</x:f>
        <x:v>18</x:v>
      </x:c>
      <x:c r="J703" s="22" t="n">
        <x:f>SUMIFS('菜谱BOM'!$F$5:$F$160,'菜谱BOM'!$A$5:$A$160,E703,'菜谱BOM'!$C$5:$C$160,"食材")</x:f>
        <x:v>560</x:v>
      </x:c>
      <x:c r="K703" s="38" t="n">
        <x:v>0.0062726509716065255</x:v>
      </x:c>
      <x:c r="L703" s="35" t="n">
        <x:f>H703*J703*(1+K703)</x:f>
        <x:v>19722.943959043485</x:v>
      </x:c>
      <x:c r="M703" s="35" t="n">
        <x:f>SUMIFS('菜谱BOM'!$F$5:$F$160,'菜谱BOM'!$A$5:$A$160,E703,'菜谱BOM'!$C$5:$C$160,"调料")</x:f>
        <x:v>133</x:v>
      </x:c>
      <x:c r="N703" s="38" t="n">
        <x:v>0.0015624916468659632</x:v>
      </x:c>
      <x:c r="O703" s="35" t="n">
        <x:f>H703*M703*(1+N703)</x:f>
        <x:v>4662.273398616161</x:v>
      </x:c>
      <x:c r="P703" s="19" t="str">
        <x:f>IF(ABS(N703)&gt;'封面与口径'!$O$25,"机器调料需复核",IF(ABS(K703)&gt;0.02,"人工称重需复核","正常"))</x:f>
        <x:v>正常</x:v>
      </x:c>
      <x:c r="Q703" s="19" t="str">
        <x:v>谢东</x:v>
      </x:c>
    </x:row>
    <x:row r="704">
      <x:c r="A704" s="19" t="str">
        <x:v>2026-07-13|S06|D03</x:v>
      </x:c>
      <x:c r="B704" s="34" t="n">
        <x:v>46216.5</x:v>
      </x:c>
      <x:c r="C704" s="19" t="str">
        <x:v>S06</x:v>
      </x:c>
      <x:c r="D704" s="19" t="str">
        <x:v>蓝钻天城店</x:v>
      </x:c>
      <x:c r="E704" s="19" t="str">
        <x:v>D03</x:v>
      </x:c>
      <x:c r="F704" s="19" t="str">
        <x:v>香醋炒蛋</x:v>
      </x:c>
      <x:c r="G704" s="19" t="str">
        <x:v>R1.0</x:v>
      </x:c>
      <x:c r="H704" s="20" t="n">
        <x:f>XLOOKUP(A704,'菜品日销量'!$A$5:$A$1124,'菜品日销量'!$G$5:$G$1124,0)</x:f>
        <x:v>40</x:v>
      </x:c>
      <x:c r="I704" s="20" t="n">
        <x:f>ROUNDUP(H704/2,0)</x:f>
        <x:v>20</x:v>
      </x:c>
      <x:c r="J704" s="22" t="n">
        <x:f>SUMIFS('菜谱BOM'!$F$5:$F$160,'菜谱BOM'!$A$5:$A$160,E704,'菜谱BOM'!$C$5:$C$160,"食材")</x:f>
        <x:v>300</x:v>
      </x:c>
      <x:c r="K704" s="38" t="n">
        <x:v>0.004553685347678533</x:v>
      </x:c>
      <x:c r="L704" s="35" t="n">
        <x:f>H704*J704*(1+K704)</x:f>
        <x:v>12054.644224172143</x:v>
      </x:c>
      <x:c r="M704" s="35" t="n">
        <x:f>SUMIFS('菜谱BOM'!$F$5:$F$160,'菜谱BOM'!$A$5:$A$160,E704,'菜谱BOM'!$C$5:$C$160,"调料")</x:f>
        <x:v>53</x:v>
      </x:c>
      <x:c r="N704" s="38" t="n">
        <x:v>0.0003435279536860829</x:v>
      </x:c>
      <x:c r="O704" s="35" t="n">
        <x:f>H704*M704*(1+N704)</x:f>
        <x:v>2120.7282792618144</x:v>
      </x:c>
      <x:c r="P704" s="19" t="str">
        <x:f>IF(ABS(N704)&gt;'封面与口径'!$O$25,"机器调料需复核",IF(ABS(K704)&gt;0.02,"人工称重需复核","正常"))</x:f>
        <x:v>正常</x:v>
      </x:c>
      <x:c r="Q704" s="19" t="str">
        <x:v>谢东</x:v>
      </x:c>
    </x:row>
    <x:row r="705">
      <x:c r="A705" s="19" t="str">
        <x:v>2026-07-13|S06|D04</x:v>
      </x:c>
      <x:c r="B705" s="34" t="n">
        <x:v>46216.5</x:v>
      </x:c>
      <x:c r="C705" s="19" t="str">
        <x:v>S06</x:v>
      </x:c>
      <x:c r="D705" s="19" t="str">
        <x:v>蓝钻天城店</x:v>
      </x:c>
      <x:c r="E705" s="19" t="str">
        <x:v>D04</x:v>
      </x:c>
      <x:c r="F705" s="19" t="str">
        <x:v>酸包菜炒粉皮</x:v>
      </x:c>
      <x:c r="G705" s="19" t="str">
        <x:v>R1.0</x:v>
      </x:c>
      <x:c r="H705" s="20" t="n">
        <x:f>XLOOKUP(A705,'菜品日销量'!$A$5:$A$1124,'菜品日销量'!$G$5:$G$1124,0)</x:f>
        <x:v>38</x:v>
      </x:c>
      <x:c r="I705" s="20" t="n">
        <x:f>ROUNDUP(H705/2,0)</x:f>
        <x:v>19</x:v>
      </x:c>
      <x:c r="J705" s="22" t="n">
        <x:f>SUMIFS('菜谱BOM'!$F$5:$F$160,'菜谱BOM'!$A$5:$A$160,E705,'菜谱BOM'!$C$5:$C$160,"食材")</x:f>
        <x:v>380</x:v>
      </x:c>
      <x:c r="K705" s="38" t="n">
        <x:v>0.003871439001493025</x:v>
      </x:c>
      <x:c r="L705" s="35" t="n">
        <x:f>H705*J705*(1+K705)</x:f>
        <x:v>14495.90357918156</x:v>
      </x:c>
      <x:c r="M705" s="35" t="n">
        <x:f>SUMIFS('菜谱BOM'!$F$5:$F$160,'菜谱BOM'!$A$5:$A$160,E705,'菜谱BOM'!$C$5:$C$160,"调料")</x:f>
        <x:v>47</x:v>
      </x:c>
      <x:c r="N705" s="38" t="n">
        <x:v>0.0006787991753497158</x:v>
      </x:c>
      <x:c r="O705" s="35" t="n">
        <x:f>H705*M705*(1+N705)</x:f>
        <x:v>1787.2123353271745</x:v>
      </x:c>
      <x:c r="P705" s="19" t="str">
        <x:f>IF(ABS(N705)&gt;'封面与口径'!$O$25,"机器调料需复核",IF(ABS(K705)&gt;0.02,"人工称重需复核","正常"))</x:f>
        <x:v>正常</x:v>
      </x:c>
      <x:c r="Q705" s="19" t="str">
        <x:v>谢东</x:v>
      </x:c>
    </x:row>
    <x:row r="706">
      <x:c r="A706" s="19" t="str">
        <x:v>2026-07-13|S06|D05</x:v>
      </x:c>
      <x:c r="B706" s="34" t="n">
        <x:v>46216.5</x:v>
      </x:c>
      <x:c r="C706" s="19" t="str">
        <x:v>S06</x:v>
      </x:c>
      <x:c r="D706" s="19" t="str">
        <x:v>蓝钻天城店</x:v>
      </x:c>
      <x:c r="E706" s="19" t="str">
        <x:v>D05</x:v>
      </x:c>
      <x:c r="F706" s="19" t="str">
        <x:v>麻婆豆腐</x:v>
      </x:c>
      <x:c r="G706" s="19" t="str">
        <x:v>R1.0</x:v>
      </x:c>
      <x:c r="H706" s="20" t="n">
        <x:f>XLOOKUP(A706,'菜品日销量'!$A$5:$A$1124,'菜品日销量'!$G$5:$G$1124,0)</x:f>
        <x:v>52</x:v>
      </x:c>
      <x:c r="I706" s="20" t="n">
        <x:f>ROUNDUP(H706/2,0)</x:f>
        <x:v>26</x:v>
      </x:c>
      <x:c r="J706" s="22" t="n">
        <x:f>SUMIFS('菜谱BOM'!$F$5:$F$160,'菜谱BOM'!$A$5:$A$160,E706,'菜谱BOM'!$C$5:$C$160,"食材")</x:f>
        <x:v>505</x:v>
      </x:c>
      <x:c r="K706" s="38" t="n">
        <x:v>-0.004937441035392098</x:v>
      </x:c>
      <x:c r="L706" s="35" t="n">
        <x:f>H706*J706*(1+K706)</x:f>
        <x:v>26130.342798410606</x:v>
      </x:c>
      <x:c r="M706" s="35" t="n">
        <x:f>SUMIFS('菜谱BOM'!$F$5:$F$160,'菜谱BOM'!$A$5:$A$160,E706,'菜谱BOM'!$C$5:$C$160,"调料")</x:f>
        <x:v>90</x:v>
      </x:c>
      <x:c r="N706" s="38" t="n">
        <x:v>0.0013531692901982853</x:v>
      </x:c>
      <x:c r="O706" s="35" t="n">
        <x:f>H706*M706*(1+N706)</x:f>
        <x:v>4686.332832278128</x:v>
      </x:c>
      <x:c r="P706" s="19" t="str">
        <x:f>IF(ABS(N706)&gt;'封面与口径'!$O$25,"机器调料需复核",IF(ABS(K706)&gt;0.02,"人工称重需复核","正常"))</x:f>
        <x:v>正常</x:v>
      </x:c>
      <x:c r="Q706" s="19" t="str">
        <x:v>谢东</x:v>
      </x:c>
    </x:row>
    <x:row r="707">
      <x:c r="A707" s="19" t="str">
        <x:v>2026-07-13|S06|D07</x:v>
      </x:c>
      <x:c r="B707" s="34" t="n">
        <x:v>46216.5</x:v>
      </x:c>
      <x:c r="C707" s="19" t="str">
        <x:v>S06</x:v>
      </x:c>
      <x:c r="D707" s="19" t="str">
        <x:v>蓝钻天城店</x:v>
      </x:c>
      <x:c r="E707" s="19" t="str">
        <x:v>D07</x:v>
      </x:c>
      <x:c r="F707" s="19" t="str">
        <x:v>川味回锅肉</x:v>
      </x:c>
      <x:c r="G707" s="19" t="str">
        <x:v>R1.0</x:v>
      </x:c>
      <x:c r="H707" s="20" t="n">
        <x:f>XLOOKUP(A707,'菜品日销量'!$A$5:$A$1124,'菜品日销量'!$G$5:$G$1124,0)</x:f>
        <x:v>16</x:v>
      </x:c>
      <x:c r="I707" s="20" t="n">
        <x:f>ROUNDUP(H707/2,0)</x:f>
        <x:v>8</x:v>
      </x:c>
      <x:c r="J707" s="22" t="n">
        <x:f>SUMIFS('菜谱BOM'!$F$5:$F$160,'菜谱BOM'!$A$5:$A$160,E707,'菜谱BOM'!$C$5:$C$160,"食材")</x:f>
        <x:v>450</x:v>
      </x:c>
      <x:c r="K707" s="38" t="n">
        <x:v>-0.0033539260391504335</x:v>
      </x:c>
      <x:c r="L707" s="35" t="n">
        <x:f>H707*J707*(1+K707)</x:f>
        <x:v>7175.851732518117</x:v>
      </x:c>
      <x:c r="M707" s="35" t="n">
        <x:f>SUMIFS('菜谱BOM'!$F$5:$F$160,'菜谱BOM'!$A$5:$A$160,E707,'菜谱BOM'!$C$5:$C$160,"调料")</x:f>
        <x:v>63</x:v>
      </x:c>
      <x:c r="N707" s="38" t="n">
        <x:v>0.0018178820162587526</x:v>
      </x:c>
      <x:c r="O707" s="35" t="n">
        <x:f>H707*M707*(1+N707)</x:f>
        <x:v>1009.8324250723887</x:v>
      </x:c>
      <x:c r="P707" s="19" t="str">
        <x:f>IF(ABS(N707)&gt;'封面与口径'!$O$25,"机器调料需复核",IF(ABS(K707)&gt;0.02,"人工称重需复核","正常"))</x:f>
        <x:v>正常</x:v>
      </x:c>
      <x:c r="Q707" s="19" t="str">
        <x:v>谢东</x:v>
      </x:c>
    </x:row>
    <x:row r="708">
      <x:c r="A708" s="19" t="str">
        <x:v>2026-07-13|S06|D08</x:v>
      </x:c>
      <x:c r="B708" s="34" t="n">
        <x:v>46216.5</x:v>
      </x:c>
      <x:c r="C708" s="19" t="str">
        <x:v>S06</x:v>
      </x:c>
      <x:c r="D708" s="19" t="str">
        <x:v>蓝钻天城店</x:v>
      </x:c>
      <x:c r="E708" s="19" t="str">
        <x:v>D08</x:v>
      </x:c>
      <x:c r="F708" s="19" t="str">
        <x:v>生炒清远鸡</x:v>
      </x:c>
      <x:c r="G708" s="19" t="str">
        <x:v>R1.0</x:v>
      </x:c>
      <x:c r="H708" s="20" t="n">
        <x:f>XLOOKUP(A708,'菜品日销量'!$A$5:$A$1124,'菜品日销量'!$G$5:$G$1124,0)</x:f>
        <x:v>13</x:v>
      </x:c>
      <x:c r="I708" s="20" t="n">
        <x:f>ROUNDUP(H708/2,0)</x:f>
        <x:v>7</x:v>
      </x:c>
      <x:c r="J708" s="22" t="n">
        <x:f>SUMIFS('菜谱BOM'!$F$5:$F$160,'菜谱BOM'!$A$5:$A$160,E708,'菜谱BOM'!$C$5:$C$160,"食材")</x:f>
        <x:v>610</x:v>
      </x:c>
      <x:c r="K708" s="38" t="n">
        <x:v>0.00008510876262679368</x:v>
      </x:c>
      <x:c r="L708" s="35" t="n">
        <x:f>H708*J708*(1+K708)</x:f>
        <x:v>7930.6749124876305</x:v>
      </x:c>
      <x:c r="M708" s="35" t="n">
        <x:f>SUMIFS('菜谱BOM'!$F$5:$F$160,'菜谱BOM'!$A$5:$A$160,E708,'菜谱BOM'!$C$5:$C$160,"调料")</x:f>
        <x:v>61</x:v>
      </x:c>
      <x:c r="N708" s="38" t="n">
        <x:v>0.0008913670151707173</x:v>
      </x:c>
      <x:c r="O708" s="35" t="n">
        <x:f>H708*M708*(1+N708)</x:f>
        <x:v>793.7068540430304</x:v>
      </x:c>
      <x:c r="P708" s="19" t="str">
        <x:f>IF(ABS(N708)&gt;'封面与口径'!$O$25,"机器调料需复核",IF(ABS(K708)&gt;0.02,"人工称重需复核","正常"))</x:f>
        <x:v>正常</x:v>
      </x:c>
      <x:c r="Q708" s="19" t="str">
        <x:v>谢东</x:v>
      </x:c>
    </x:row>
    <x:row r="709">
      <x:c r="A709" s="19" t="str">
        <x:v>2026-07-13|S06|D09</x:v>
      </x:c>
      <x:c r="B709" s="34" t="n">
        <x:v>46216.5</x:v>
      </x:c>
      <x:c r="C709" s="19" t="str">
        <x:v>S06</x:v>
      </x:c>
      <x:c r="D709" s="19" t="str">
        <x:v>蓝钻天城店</x:v>
      </x:c>
      <x:c r="E709" s="19" t="str">
        <x:v>D09</x:v>
      </x:c>
      <x:c r="F709" s="19" t="str">
        <x:v>炒豆干</x:v>
      </x:c>
      <x:c r="G709" s="19" t="str">
        <x:v>R1.0</x:v>
      </x:c>
      <x:c r="H709" s="20" t="n">
        <x:f>XLOOKUP(A709,'菜品日销量'!$A$5:$A$1124,'菜品日销量'!$G$5:$G$1124,0)</x:f>
        <x:v>17</x:v>
      </x:c>
      <x:c r="I709" s="20" t="n">
        <x:f>ROUNDUP(H709/2,0)</x:f>
        <x:v>9</x:v>
      </x:c>
      <x:c r="J709" s="22" t="n">
        <x:f>SUMIFS('菜谱BOM'!$F$5:$F$160,'菜谱BOM'!$A$5:$A$160,E709,'菜谱BOM'!$C$5:$C$160,"食材")</x:f>
        <x:v>520</x:v>
      </x:c>
      <x:c r="K709" s="38" t="n">
        <x:v>-0.006594802677304205</x:v>
      </x:c>
      <x:c r="L709" s="35" t="n">
        <x:f>H709*J709*(1+K709)</x:f>
        <x:v>8781.701944332632</x:v>
      </x:c>
      <x:c r="M709" s="35" t="n">
        <x:f>SUMIFS('菜谱BOM'!$F$5:$F$160,'菜谱BOM'!$A$5:$A$160,E709,'菜谱BOM'!$C$5:$C$160,"调料")</x:f>
        <x:v>42</x:v>
      </x:c>
      <x:c r="N709" s="38" t="n">
        <x:v>0.0005757845059446489</x:v>
      </x:c>
      <x:c r="O709" s="35" t="n">
        <x:f>H709*M709*(1+N709)</x:f>
        <x:v>714.4111101372445</x:v>
      </x:c>
      <x:c r="P709" s="19" t="str">
        <x:f>IF(ABS(N709)&gt;'封面与口径'!$O$25,"机器调料需复核",IF(ABS(K709)&gt;0.02,"人工称重需复核","正常"))</x:f>
        <x:v>正常</x:v>
      </x:c>
      <x:c r="Q709" s="19" t="str">
        <x:v>谢东</x:v>
      </x:c>
    </x:row>
    <x:row r="710">
      <x:c r="A710" s="19" t="str">
        <x:v>2026-07-13|S06|D10</x:v>
      </x:c>
      <x:c r="B710" s="34" t="n">
        <x:v>46216.5</x:v>
      </x:c>
      <x:c r="C710" s="19" t="str">
        <x:v>S06</x:v>
      </x:c>
      <x:c r="D710" s="19" t="str">
        <x:v>蓝钻天城店</x:v>
      </x:c>
      <x:c r="E710" s="19" t="str">
        <x:v>D10</x:v>
      </x:c>
      <x:c r="F710" s="19" t="str">
        <x:v>农家一碗香</x:v>
      </x:c>
      <x:c r="G710" s="19" t="str">
        <x:v>R2.3</x:v>
      </x:c>
      <x:c r="H710" s="20" t="n">
        <x:f>XLOOKUP(A710,'菜品日销量'!$A$5:$A$1124,'菜品日销量'!$G$5:$G$1124,0)</x:f>
        <x:v>19</x:v>
      </x:c>
      <x:c r="I710" s="20" t="n">
        <x:f>ROUNDUP(H710/2,0)</x:f>
        <x:v>10</x:v>
      </x:c>
      <x:c r="J710" s="22" t="n">
        <x:f>SUMIFS('菜谱BOM'!$F$5:$F$160,'菜谱BOM'!$A$5:$A$160,E710,'菜谱BOM'!$C$5:$C$160,"食材")</x:f>
        <x:v>510</x:v>
      </x:c>
      <x:c r="K710" s="38" t="n">
        <x:v>0.0008973936831805371</x:v>
      </x:c>
      <x:c r="L710" s="35" t="n">
        <x:f>H710*J710*(1+K710)</x:f>
        <x:v>9698.69574479002</x:v>
      </x:c>
      <x:c r="M710" s="35" t="n">
        <x:f>SUMIFS('菜谱BOM'!$F$5:$F$160,'菜谱BOM'!$A$5:$A$160,E710,'菜谱BOM'!$C$5:$C$160,"调料")</x:f>
        <x:v>88</x:v>
      </x:c>
      <x:c r="N710" s="38" t="n">
        <x:v>0.0008887763281559518</x:v>
      </x:c>
      <x:c r="O710" s="35" t="n">
        <x:f>H710*M710*(1+N710)</x:f>
        <x:v>1673.4860340206767</x:v>
      </x:c>
      <x:c r="P710" s="19" t="str">
        <x:f>IF(ABS(N710)&gt;'封面与口径'!$O$25,"机器调料需复核",IF(ABS(K710)&gt;0.02,"人工称重需复核","正常"))</x:f>
        <x:v>正常</x:v>
      </x:c>
      <x:c r="Q710" s="19" t="str">
        <x:v>谢东</x:v>
      </x:c>
    </x:row>
    <x:row r="711">
      <x:c r="A711" s="19" t="str">
        <x:v>2026-07-13|S06|D11</x:v>
      </x:c>
      <x:c r="B711" s="34" t="n">
        <x:v>46216.5</x:v>
      </x:c>
      <x:c r="C711" s="19" t="str">
        <x:v>S06</x:v>
      </x:c>
      <x:c r="D711" s="19" t="str">
        <x:v>蓝钻天城店</x:v>
      </x:c>
      <x:c r="E711" s="19" t="str">
        <x:v>D11</x:v>
      </x:c>
      <x:c r="F711" s="19" t="str">
        <x:v>香辣爆肥肠</x:v>
      </x:c>
      <x:c r="G711" s="19" t="str">
        <x:v>R1.0</x:v>
      </x:c>
      <x:c r="H711" s="20" t="n">
        <x:f>XLOOKUP(A711,'菜品日销量'!$A$5:$A$1124,'菜品日销量'!$G$5:$G$1124,0)</x:f>
        <x:v>7</x:v>
      </x:c>
      <x:c r="I711" s="20" t="n">
        <x:f>ROUNDUP(H711/2,0)</x:f>
        <x:v>4</x:v>
      </x:c>
      <x:c r="J711" s="22" t="n">
        <x:f>SUMIFS('菜谱BOM'!$F$5:$F$160,'菜谱BOM'!$A$5:$A$160,E711,'菜谱BOM'!$C$5:$C$160,"食材")</x:f>
        <x:v>430</x:v>
      </x:c>
      <x:c r="K711" s="38" t="n">
        <x:v>-0.001402041601343556</x:v>
      </x:c>
      <x:c r="L711" s="35" t="n">
        <x:f>H711*J711*(1+K711)</x:f>
        <x:v>3005.7798547799557</x:v>
      </x:c>
      <x:c r="M711" s="35" t="n">
        <x:f>SUMIFS('菜谱BOM'!$F$5:$F$160,'菜谱BOM'!$A$5:$A$160,E711,'菜谱BOM'!$C$5:$C$160,"调料")</x:f>
        <x:v>67</x:v>
      </x:c>
      <x:c r="N711" s="38" t="n">
        <x:v>0.0014975193504936804</x:v>
      </x:c>
      <x:c r="O711" s="35" t="n">
        <x:f>H711*M711*(1+N711)</x:f>
        <x:v>469.7023365753815</x:v>
      </x:c>
      <x:c r="P711" s="19" t="str">
        <x:f>IF(ABS(N711)&gt;'封面与口径'!$O$25,"机器调料需复核",IF(ABS(K711)&gt;0.02,"人工称重需复核","正常"))</x:f>
        <x:v>正常</x:v>
      </x:c>
      <x:c r="Q711" s="19" t="str">
        <x:v>谢东</x:v>
      </x:c>
    </x:row>
    <x:row r="712">
      <x:c r="A712" s="19" t="str">
        <x:v>2026-07-13|S06|D13</x:v>
      </x:c>
      <x:c r="B712" s="34" t="n">
        <x:v>46216.5</x:v>
      </x:c>
      <x:c r="C712" s="19" t="str">
        <x:v>S06</x:v>
      </x:c>
      <x:c r="D712" s="19" t="str">
        <x:v>蓝钻天城店</x:v>
      </x:c>
      <x:c r="E712" s="19" t="str">
        <x:v>D13</x:v>
      </x:c>
      <x:c r="F712" s="19" t="str">
        <x:v>外婆菜炒蛋</x:v>
      </x:c>
      <x:c r="G712" s="19" t="str">
        <x:v>R1.0</x:v>
      </x:c>
      <x:c r="H712" s="20" t="n">
        <x:f>XLOOKUP(A712,'菜品日销量'!$A$5:$A$1124,'菜品日销量'!$G$5:$G$1124,0)</x:f>
        <x:v>17</x:v>
      </x:c>
      <x:c r="I712" s="20" t="n">
        <x:f>ROUNDUP(H712/2,0)</x:f>
        <x:v>9</x:v>
      </x:c>
      <x:c r="J712" s="22" t="n">
        <x:f>SUMIFS('菜谱BOM'!$F$5:$F$160,'菜谱BOM'!$A$5:$A$160,E712,'菜谱BOM'!$C$5:$C$160,"食材")</x:f>
        <x:v>450</x:v>
      </x:c>
      <x:c r="K712" s="38" t="n">
        <x:v>-0.0014868287093673898</x:v>
      </x:c>
      <x:c r="L712" s="35" t="n">
        <x:f>H712*J712*(1+K712)</x:f>
        <x:v>7638.62576037334</x:v>
      </x:c>
      <x:c r="M712" s="35" t="n">
        <x:f>SUMIFS('菜谱BOM'!$F$5:$F$160,'菜谱BOM'!$A$5:$A$160,E712,'菜谱BOM'!$C$5:$C$160,"调料")</x:f>
        <x:v>37</x:v>
      </x:c>
      <x:c r="N712" s="38" t="n">
        <x:v>0.0005065641893322033</x:v>
      </x:c>
      <x:c r="O712" s="35" t="n">
        <x:f>H712*M712*(1+N712)</x:f>
        <x:v>629.31862887509</x:v>
      </x:c>
      <x:c r="P712" s="19" t="str">
        <x:f>IF(ABS(N712)&gt;'封面与口径'!$O$25,"机器调料需复核",IF(ABS(K712)&gt;0.02,"人工称重需复核","正常"))</x:f>
        <x:v>正常</x:v>
      </x:c>
      <x:c r="Q712" s="19" t="str">
        <x:v>谢东</x:v>
      </x:c>
    </x:row>
    <x:row r="713">
      <x:c r="A713" s="19" t="str">
        <x:v>2026-07-13|S06|D14</x:v>
      </x:c>
      <x:c r="B713" s="34" t="n">
        <x:v>46216.5</x:v>
      </x:c>
      <x:c r="C713" s="19" t="str">
        <x:v>S06</x:v>
      </x:c>
      <x:c r="D713" s="19" t="str">
        <x:v>蓝钻天城店</x:v>
      </x:c>
      <x:c r="E713" s="19" t="str">
        <x:v>D14</x:v>
      </x:c>
      <x:c r="F713" s="19" t="str">
        <x:v>酸辣鸡杂</x:v>
      </x:c>
      <x:c r="G713" s="19" t="str">
        <x:v>R1.0</x:v>
      </x:c>
      <x:c r="H713" s="20" t="n">
        <x:f>XLOOKUP(A713,'菜品日销量'!$A$5:$A$1124,'菜品日销量'!$G$5:$G$1124,0)</x:f>
        <x:v>9</x:v>
      </x:c>
      <x:c r="I713" s="20" t="n">
        <x:f>ROUNDUP(H713/2,0)</x:f>
        <x:v>5</x:v>
      </x:c>
      <x:c r="J713" s="22" t="n">
        <x:f>SUMIFS('菜谱BOM'!$F$5:$F$160,'菜谱BOM'!$A$5:$A$160,E713,'菜谱BOM'!$C$5:$C$160,"食材")</x:f>
        <x:v>470</x:v>
      </x:c>
      <x:c r="K713" s="38" t="n">
        <x:v>0.0038703469885211315</x:v>
      </x:c>
      <x:c r="L713" s="35" t="n">
        <x:f>H713*J713*(1+K713)</x:f>
        <x:v>4246.371567761445</x:v>
      </x:c>
      <x:c r="M713" s="35" t="n">
        <x:f>SUMIFS('菜谱BOM'!$F$5:$F$160,'菜谱BOM'!$A$5:$A$160,E713,'菜谱BOM'!$C$5:$C$160,"调料")</x:f>
        <x:v>60</x:v>
      </x:c>
      <x:c r="N713" s="38" t="n">
        <x:v>-0.00002313864278214495</x:v>
      </x:c>
      <x:c r="O713" s="35" t="n">
        <x:f>H713*M713*(1+N713)</x:f>
        <x:v>539.9875051328977</x:v>
      </x:c>
      <x:c r="P713" s="19" t="str">
        <x:f>IF(ABS(N713)&gt;'封面与口径'!$O$25,"机器调料需复核",IF(ABS(K713)&gt;0.02,"人工称重需复核","正常"))</x:f>
        <x:v>正常</x:v>
      </x:c>
      <x:c r="Q713" s="19" t="str">
        <x:v>谢东</x:v>
      </x:c>
    </x:row>
    <x:row r="714">
      <x:c r="A714" s="19" t="str">
        <x:v>2026-07-13|S06|D15</x:v>
      </x:c>
      <x:c r="B714" s="34" t="n">
        <x:v>46216.5</x:v>
      </x:c>
      <x:c r="C714" s="19" t="str">
        <x:v>S06</x:v>
      </x:c>
      <x:c r="D714" s="19" t="str">
        <x:v>蓝钻天城店</x:v>
      </x:c>
      <x:c r="E714" s="19" t="str">
        <x:v>D15</x:v>
      </x:c>
      <x:c r="F714" s="19" t="str">
        <x:v>湘西土匪猪肝</x:v>
      </x:c>
      <x:c r="G714" s="19" t="str">
        <x:v>R1.0</x:v>
      </x:c>
      <x:c r="H714" s="20" t="n">
        <x:f>XLOOKUP(A714,'菜品日销量'!$A$5:$A$1124,'菜品日销量'!$G$5:$G$1124,0)</x:f>
        <x:v>8</x:v>
      </x:c>
      <x:c r="I714" s="20" t="n">
        <x:f>ROUNDUP(H714/2,0)</x:f>
        <x:v>4</x:v>
      </x:c>
      <x:c r="J714" s="22" t="n">
        <x:f>SUMIFS('菜谱BOM'!$F$5:$F$160,'菜谱BOM'!$A$5:$A$160,E714,'菜谱BOM'!$C$5:$C$160,"食材")</x:f>
        <x:v>470</x:v>
      </x:c>
      <x:c r="K714" s="38" t="n">
        <x:v>0.0007445628626143001</x:v>
      </x:c>
      <x:c r="L714" s="35" t="n">
        <x:f>H714*J714*(1+K714)</x:f>
        <x:v>3762.79955636343</x:v>
      </x:c>
      <x:c r="M714" s="35" t="n">
        <x:f>SUMIFS('菜谱BOM'!$F$5:$F$160,'菜谱BOM'!$A$5:$A$160,E714,'菜谱BOM'!$C$5:$C$160,"调料")</x:f>
        <x:v>49</x:v>
      </x:c>
      <x:c r="N714" s="38" t="n">
        <x:v>-0.0008384214096792093</x:v>
      </x:c>
      <x:c r="O714" s="35" t="n">
        <x:f>H714*M714*(1+N714)</x:f>
        <x:v>391.6713388074058</x:v>
      </x:c>
      <x:c r="P714" s="19" t="str">
        <x:f>IF(ABS(N714)&gt;'封面与口径'!$O$25,"机器调料需复核",IF(ABS(K714)&gt;0.02,"人工称重需复核","正常"))</x:f>
        <x:v>正常</x:v>
      </x:c>
      <x:c r="Q714" s="19" t="str">
        <x:v>谢东</x:v>
      </x:c>
    </x:row>
    <x:row r="715">
      <x:c r="A715" s="19" t="str">
        <x:v>2026-07-13|S06|D16</x:v>
      </x:c>
      <x:c r="B715" s="34" t="n">
        <x:v>46216.5</x:v>
      </x:c>
      <x:c r="C715" s="19" t="str">
        <x:v>S06</x:v>
      </x:c>
      <x:c r="D715" s="19" t="str">
        <x:v>蓝钻天城店</x:v>
      </x:c>
      <x:c r="E715" s="19" t="str">
        <x:v>D16</x:v>
      </x:c>
      <x:c r="F715" s="19" t="str">
        <x:v>小豆角炒五花</x:v>
      </x:c>
      <x:c r="G715" s="19" t="str">
        <x:v>R1.0</x:v>
      </x:c>
      <x:c r="H715" s="20" t="n">
        <x:f>XLOOKUP(A715,'菜品日销量'!$A$5:$A$1124,'菜品日销量'!$G$5:$G$1124,0)</x:f>
        <x:v>8</x:v>
      </x:c>
      <x:c r="I715" s="20" t="n">
        <x:f>ROUNDUP(H715/2,0)</x:f>
        <x:v>4</x:v>
      </x:c>
      <x:c r="J715" s="22" t="n">
        <x:f>SUMIFS('菜谱BOM'!$F$5:$F$160,'菜谱BOM'!$A$5:$A$160,E715,'菜谱BOM'!$C$5:$C$160,"食材")</x:f>
        <x:v>450</x:v>
      </x:c>
      <x:c r="K715" s="38" t="n">
        <x:v>-0.0072586284725132</x:v>
      </x:c>
      <x:c r="L715" s="35" t="n">
        <x:f>H715*J715*(1+K715)</x:f>
        <x:v>3573.868937498952</x:v>
      </x:c>
      <x:c r="M715" s="35" t="n">
        <x:f>SUMIFS('菜谱BOM'!$F$5:$F$160,'菜谱BOM'!$A$5:$A$160,E715,'菜谱BOM'!$C$5:$C$160,"调料")</x:f>
        <x:v>42</x:v>
      </x:c>
      <x:c r="N715" s="38" t="n">
        <x:v>0.0005120765693746687</x:v>
      </x:c>
      <x:c r="O715" s="35" t="n">
        <x:f>H715*M715*(1+N715)</x:f>
        <x:v>336.1720577273099</x:v>
      </x:c>
      <x:c r="P715" s="19" t="str">
        <x:f>IF(ABS(N715)&gt;'封面与口径'!$O$25,"机器调料需复核",IF(ABS(K715)&gt;0.02,"人工称重需复核","正常"))</x:f>
        <x:v>正常</x:v>
      </x:c>
      <x:c r="Q715" s="19" t="str">
        <x:v>谢东</x:v>
      </x:c>
    </x:row>
    <x:row r="716">
      <x:c r="A716" s="19" t="str">
        <x:v>2026-07-13|S06|D18</x:v>
      </x:c>
      <x:c r="B716" s="34" t="n">
        <x:v>46216.5</x:v>
      </x:c>
      <x:c r="C716" s="19" t="str">
        <x:v>S06</x:v>
      </x:c>
      <x:c r="D716" s="19" t="str">
        <x:v>蓝钻天城店</x:v>
      </x:c>
      <x:c r="E716" s="19" t="str">
        <x:v>D18</x:v>
      </x:c>
      <x:c r="F716" s="19" t="str">
        <x:v>青椒炒油麦菜</x:v>
      </x:c>
      <x:c r="G716" s="19" t="str">
        <x:v>R1.0</x:v>
      </x:c>
      <x:c r="H716" s="20" t="n">
        <x:f>XLOOKUP(A716,'菜品日销量'!$A$5:$A$1124,'菜品日销量'!$G$5:$G$1124,0)</x:f>
        <x:v>10</x:v>
      </x:c>
      <x:c r="I716" s="20" t="n">
        <x:f>ROUNDUP(H716/2,0)</x:f>
        <x:v>5</x:v>
      </x:c>
      <x:c r="J716" s="22" t="n">
        <x:f>SUMIFS('菜谱BOM'!$F$5:$F$160,'菜谱BOM'!$A$5:$A$160,E716,'菜谱BOM'!$C$5:$C$160,"食材")</x:f>
        <x:v>430</x:v>
      </x:c>
      <x:c r="K716" s="38" t="n">
        <x:v>0.006519995759828015</x:v>
      </x:c>
      <x:c r="L716" s="35" t="n">
        <x:f>H716*J716*(1+K716)</x:f>
        <x:v>4328.035981767261</x:v>
      </x:c>
      <x:c r="M716" s="35" t="n">
        <x:f>SUMIFS('菜谱BOM'!$F$5:$F$160,'菜谱BOM'!$A$5:$A$160,E716,'菜谱BOM'!$C$5:$C$160,"调料")</x:f>
        <x:v>33</x:v>
      </x:c>
      <x:c r="N716" s="38" t="n">
        <x:v>0.0004785362664793005</x:v>
      </x:c>
      <x:c r="O716" s="35" t="n">
        <x:f>H716*M716*(1+N716)</x:f>
        <x:v>330.15791696793815</x:v>
      </x:c>
      <x:c r="P716" s="19" t="str">
        <x:f>IF(ABS(N716)&gt;'封面与口径'!$O$25,"机器调料需复核",IF(ABS(K716)&gt;0.02,"人工称重需复核","正常"))</x:f>
        <x:v>正常</x:v>
      </x:c>
      <x:c r="Q716" s="19" t="str">
        <x:v>谢东</x:v>
      </x:c>
    </x:row>
    <x:row r="717">
      <x:c r="A717" s="19" t="str">
        <x:v>2026-07-13|S06|D19</x:v>
      </x:c>
      <x:c r="B717" s="34" t="n">
        <x:v>46216.5</x:v>
      </x:c>
      <x:c r="C717" s="19" t="str">
        <x:v>S06</x:v>
      </x:c>
      <x:c r="D717" s="19" t="str">
        <x:v>蓝钻天城店</x:v>
      </x:c>
      <x:c r="E717" s="19" t="str">
        <x:v>D19</x:v>
      </x:c>
      <x:c r="F717" s="19" t="str">
        <x:v>酸萝卜炒鸡杂</x:v>
      </x:c>
      <x:c r="G717" s="19" t="str">
        <x:v>R1.0</x:v>
      </x:c>
      <x:c r="H717" s="20" t="n">
        <x:f>XLOOKUP(A717,'菜品日销量'!$A$5:$A$1124,'菜品日销量'!$G$5:$G$1124,0)</x:f>
        <x:v>6</x:v>
      </x:c>
      <x:c r="I717" s="20" t="n">
        <x:f>ROUNDUP(H717/2,0)</x:f>
        <x:v>3</x:v>
      </x:c>
      <x:c r="J717" s="22" t="n">
        <x:f>SUMIFS('菜谱BOM'!$F$5:$F$160,'菜谱BOM'!$A$5:$A$160,E717,'菜谱BOM'!$C$5:$C$160,"食材")</x:f>
        <x:v>500</x:v>
      </x:c>
      <x:c r="K717" s="38" t="n">
        <x:v>-0.0012582320741513354</x:v>
      </x:c>
      <x:c r="L717" s="35" t="n">
        <x:f>H717*J717*(1+K717)</x:f>
        <x:v>2996.225303777546</x:v>
      </x:c>
      <x:c r="M717" s="35" t="n">
        <x:f>SUMIFS('菜谱BOM'!$F$5:$F$160,'菜谱BOM'!$A$5:$A$160,E717,'菜谱BOM'!$C$5:$C$160,"调料")</x:f>
        <x:v>55</x:v>
      </x:c>
      <x:c r="N717" s="38" t="n">
        <x:v>-0.000839046479863824</x:v>
      </x:c>
      <x:c r="O717" s="35" t="n">
        <x:f>H717*M717*(1+N717)</x:f>
        <x:v>329.72311466164496</x:v>
      </x:c>
      <x:c r="P717" s="19" t="str">
        <x:f>IF(ABS(N717)&gt;'封面与口径'!$O$25,"机器调料需复核",IF(ABS(K717)&gt;0.02,"人工称重需复核","正常"))</x:f>
        <x:v>正常</x:v>
      </x:c>
      <x:c r="Q717" s="19" t="str">
        <x:v>谢东</x:v>
      </x:c>
    </x:row>
    <x:row r="718">
      <x:c r="A718" s="19" t="str">
        <x:v>2026-07-13|S06|D20</x:v>
      </x:c>
      <x:c r="B718" s="34" t="n">
        <x:v>46216.5</x:v>
      </x:c>
      <x:c r="C718" s="19" t="str">
        <x:v>S06</x:v>
      </x:c>
      <x:c r="D718" s="19" t="str">
        <x:v>蓝钻天城店</x:v>
      </x:c>
      <x:c r="E718" s="19" t="str">
        <x:v>D20</x:v>
      </x:c>
      <x:c r="F718" s="19" t="str">
        <x:v>雪菜肉末青豆</x:v>
      </x:c>
      <x:c r="G718" s="19" t="str">
        <x:v>R1.0</x:v>
      </x:c>
      <x:c r="H718" s="20" t="n">
        <x:f>XLOOKUP(A718,'菜品日销量'!$A$5:$A$1124,'菜品日销量'!$G$5:$G$1124,0)</x:f>
        <x:v>10</x:v>
      </x:c>
      <x:c r="I718" s="20" t="n">
        <x:f>ROUNDUP(H718/2,0)</x:f>
        <x:v>5</x:v>
      </x:c>
      <x:c r="J718" s="22" t="n">
        <x:f>SUMIFS('菜谱BOM'!$F$5:$F$160,'菜谱BOM'!$A$5:$A$160,E718,'菜谱BOM'!$C$5:$C$160,"食材")</x:f>
        <x:v>465</x:v>
      </x:c>
      <x:c r="K718" s="38" t="n">
        <x:v>-0.006857294756653089</x:v>
      </x:c>
      <x:c r="L718" s="35" t="n">
        <x:f>H718*J718*(1+K718)</x:f>
        <x:v>4618.113579381563</x:v>
      </x:c>
      <x:c r="M718" s="35" t="n">
        <x:f>SUMIFS('菜谱BOM'!$F$5:$F$160,'菜谱BOM'!$A$5:$A$160,E718,'菜谱BOM'!$C$5:$C$160,"调料")</x:f>
        <x:v>32</x:v>
      </x:c>
      <x:c r="N718" s="38" t="n">
        <x:v>0.000035048781436646694</x:v>
      </x:c>
      <x:c r="O718" s="35" t="n">
        <x:f>H718*M718*(1+N718)</x:f>
        <x:v>320.0112156100597</x:v>
      </x:c>
      <x:c r="P718" s="19" t="str">
        <x:f>IF(ABS(N718)&gt;'封面与口径'!$O$25,"机器调料需复核",IF(ABS(K718)&gt;0.02,"人工称重需复核","正常"))</x:f>
        <x:v>正常</x:v>
      </x:c>
      <x:c r="Q718" s="19" t="str">
        <x:v>谢东</x:v>
      </x:c>
    </x:row>
    <x:row r="719">
      <x:c r="A719" s="19" t="str">
        <x:v>2026-07-07|S07|D01</x:v>
      </x:c>
      <x:c r="B719" s="34" t="n">
        <x:v>46210.5</x:v>
      </x:c>
      <x:c r="C719" s="19" t="str">
        <x:v>S07</x:v>
      </x:c>
      <x:c r="D719" s="19" t="str">
        <x:v>小和山店</x:v>
      </x:c>
      <x:c r="E719" s="19" t="str">
        <x:v>D01</x:v>
      </x:c>
      <x:c r="F719" s="19" t="str">
        <x:v>辣椒炒肉</x:v>
      </x:c>
      <x:c r="G719" s="19" t="str">
        <x:v>R2.3</x:v>
      </x:c>
      <x:c r="H719" s="20" t="n">
        <x:f>XLOOKUP(A719,'菜品日销量'!$A$5:$A$1124,'菜品日销量'!$G$5:$G$1124,0)</x:f>
        <x:v>43</x:v>
      </x:c>
      <x:c r="I719" s="20" t="n">
        <x:f>ROUNDUP(H719/2,0)</x:f>
        <x:v>22</x:v>
      </x:c>
      <x:c r="J719" s="22" t="n">
        <x:f>SUMIFS('菜谱BOM'!$F$5:$F$160,'菜谱BOM'!$A$5:$A$160,E719,'菜谱BOM'!$C$5:$C$160,"食材")</x:f>
        <x:v>550</x:v>
      </x:c>
      <x:c r="K719" s="38" t="n">
        <x:v>-0.00021036084559987334</x:v>
      </x:c>
      <x:c r="L719" s="35" t="n">
        <x:f>H719*J719*(1+K719)</x:f>
        <x:v>23645.02496600156</x:v>
      </x:c>
      <x:c r="M719" s="35" t="n">
        <x:f>SUMIFS('菜谱BOM'!$F$5:$F$160,'菜谱BOM'!$A$5:$A$160,E719,'菜谱BOM'!$C$5:$C$160,"调料")</x:f>
        <x:v>104</x:v>
      </x:c>
      <x:c r="N719" s="38" t="n">
        <x:v>-0.0006451930596132747</x:v>
      </x:c>
      <x:c r="O719" s="35" t="n">
        <x:f>H719*M719*(1+N719)</x:f>
        <x:v>4469.114696637409</x:v>
      </x:c>
      <x:c r="P719" s="19" t="str">
        <x:f>IF(ABS(N719)&gt;'封面与口径'!$O$25,"机器调料需复核",IF(ABS(K719)&gt;0.02,"人工称重需复核","正常"))</x:f>
        <x:v>正常</x:v>
      </x:c>
      <x:c r="Q719" s="19" t="str">
        <x:v>唐凯</x:v>
      </x:c>
    </x:row>
    <x:row r="720">
      <x:c r="A720" s="19" t="str">
        <x:v>2026-07-07|S07|D02</x:v>
      </x:c>
      <x:c r="B720" s="34" t="n">
        <x:v>46210.5</x:v>
      </x:c>
      <x:c r="C720" s="19" t="str">
        <x:v>S07</x:v>
      </x:c>
      <x:c r="D720" s="19" t="str">
        <x:v>小和山店</x:v>
      </x:c>
      <x:c r="E720" s="19" t="str">
        <x:v>D02</x:v>
      </x:c>
      <x:c r="F720" s="19" t="str">
        <x:v>小炒黄牛肉</x:v>
      </x:c>
      <x:c r="G720" s="19" t="str">
        <x:v>R2.3</x:v>
      </x:c>
      <x:c r="H720" s="20" t="n">
        <x:f>XLOOKUP(A720,'菜品日销量'!$A$5:$A$1124,'菜品日销量'!$G$5:$G$1124,0)</x:f>
        <x:v>32</x:v>
      </x:c>
      <x:c r="I720" s="20" t="n">
        <x:f>ROUNDUP(H720/2,0)</x:f>
        <x:v>16</x:v>
      </x:c>
      <x:c r="J720" s="22" t="n">
        <x:f>SUMIFS('菜谱BOM'!$F$5:$F$160,'菜谱BOM'!$A$5:$A$160,E720,'菜谱BOM'!$C$5:$C$160,"食材")</x:f>
        <x:v>560</x:v>
      </x:c>
      <x:c r="K720" s="38" t="n">
        <x:v>0.00681887177350439</x:v>
      </x:c>
      <x:c r="L720" s="35" t="n">
        <x:f>H720*J720*(1+K720)</x:f>
        <x:v>18042.1941821812</x:v>
      </x:c>
      <x:c r="M720" s="35" t="n">
        <x:f>SUMIFS('菜谱BOM'!$F$5:$F$160,'菜谱BOM'!$A$5:$A$160,E720,'菜谱BOM'!$C$5:$C$160,"调料")</x:f>
        <x:v>133</x:v>
      </x:c>
      <x:c r="N720" s="38" t="n">
        <x:v>-0.0006871379573566694</x:v>
      </x:c>
      <x:c r="O720" s="35" t="n">
        <x:f>H720*M720*(1+N720)</x:f>
        <x:v>4253.075540853491</x:v>
      </x:c>
      <x:c r="P720" s="19" t="str">
        <x:f>IF(ABS(N720)&gt;'封面与口径'!$O$25,"机器调料需复核",IF(ABS(K720)&gt;0.02,"人工称重需复核","正常"))</x:f>
        <x:v>正常</x:v>
      </x:c>
      <x:c r="Q720" s="19" t="str">
        <x:v>唐凯</x:v>
      </x:c>
    </x:row>
    <x:row r="721">
      <x:c r="A721" s="19" t="str">
        <x:v>2026-07-07|S07|D03</x:v>
      </x:c>
      <x:c r="B721" s="34" t="n">
        <x:v>46210.5</x:v>
      </x:c>
      <x:c r="C721" s="19" t="str">
        <x:v>S07</x:v>
      </x:c>
      <x:c r="D721" s="19" t="str">
        <x:v>小和山店</x:v>
      </x:c>
      <x:c r="E721" s="19" t="str">
        <x:v>D03</x:v>
      </x:c>
      <x:c r="F721" s="19" t="str">
        <x:v>香醋炒蛋</x:v>
      </x:c>
      <x:c r="G721" s="19" t="str">
        <x:v>R1.0</x:v>
      </x:c>
      <x:c r="H721" s="20" t="n">
        <x:f>XLOOKUP(A721,'菜品日销量'!$A$5:$A$1124,'菜品日销量'!$G$5:$G$1124,0)</x:f>
        <x:v>41</x:v>
      </x:c>
      <x:c r="I721" s="20" t="n">
        <x:f>ROUNDUP(H721/2,0)</x:f>
        <x:v>21</x:v>
      </x:c>
      <x:c r="J721" s="22" t="n">
        <x:f>SUMIFS('菜谱BOM'!$F$5:$F$160,'菜谱BOM'!$A$5:$A$160,E721,'菜谱BOM'!$C$5:$C$160,"食材")</x:f>
        <x:v>300</x:v>
      </x:c>
      <x:c r="K721" s="38" t="n">
        <x:v>0.0066607117389004475</x:v>
      </x:c>
      <x:c r="L721" s="35" t="n">
        <x:f>H721*J721*(1+K721)</x:f>
        <x:v>12381.926754388474</x:v>
      </x:c>
      <x:c r="M721" s="35" t="n">
        <x:f>SUMIFS('菜谱BOM'!$F$5:$F$160,'菜谱BOM'!$A$5:$A$160,E721,'菜谱BOM'!$C$5:$C$160,"调料")</x:f>
        <x:v>53</x:v>
      </x:c>
      <x:c r="N721" s="38" t="n">
        <x:v>-0.00014621903611026222</x:v>
      </x:c>
      <x:c r="O721" s="35" t="n">
        <x:f>H721*M721*(1+N721)</x:f>
        <x:v>2172.6822660345324</x:v>
      </x:c>
      <x:c r="P721" s="19" t="str">
        <x:f>IF(ABS(N721)&gt;'封面与口径'!$O$25,"机器调料需复核",IF(ABS(K721)&gt;0.02,"人工称重需复核","正常"))</x:f>
        <x:v>正常</x:v>
      </x:c>
      <x:c r="Q721" s="19" t="str">
        <x:v>唐凯</x:v>
      </x:c>
    </x:row>
    <x:row r="722">
      <x:c r="A722" s="19" t="str">
        <x:v>2026-07-07|S07|D04</x:v>
      </x:c>
      <x:c r="B722" s="34" t="n">
        <x:v>46210.5</x:v>
      </x:c>
      <x:c r="C722" s="19" t="str">
        <x:v>S07</x:v>
      </x:c>
      <x:c r="D722" s="19" t="str">
        <x:v>小和山店</x:v>
      </x:c>
      <x:c r="E722" s="19" t="str">
        <x:v>D04</x:v>
      </x:c>
      <x:c r="F722" s="19" t="str">
        <x:v>酸包菜炒粉皮</x:v>
      </x:c>
      <x:c r="G722" s="19" t="str">
        <x:v>R1.0</x:v>
      </x:c>
      <x:c r="H722" s="20" t="n">
        <x:f>XLOOKUP(A722,'菜品日销量'!$A$5:$A$1124,'菜品日销量'!$G$5:$G$1124,0)</x:f>
        <x:v>34</x:v>
      </x:c>
      <x:c r="I722" s="20" t="n">
        <x:f>ROUNDUP(H722/2,0)</x:f>
        <x:v>17</x:v>
      </x:c>
      <x:c r="J722" s="22" t="n">
        <x:f>SUMIFS('菜谱BOM'!$F$5:$F$160,'菜谱BOM'!$A$5:$A$160,E722,'菜谱BOM'!$C$5:$C$160,"食材")</x:f>
        <x:v>380</x:v>
      </x:c>
      <x:c r="K722" s="38" t="n">
        <x:v>0.006983616769077168</x:v>
      </x:c>
      <x:c r="L722" s="35" t="n">
        <x:f>H722*J722*(1+K722)</x:f>
        <x:v>13010.228328656476</x:v>
      </x:c>
      <x:c r="M722" s="35" t="n">
        <x:f>SUMIFS('菜谱BOM'!$F$5:$F$160,'菜谱BOM'!$A$5:$A$160,E722,'菜谱BOM'!$C$5:$C$160,"调料")</x:f>
        <x:v>47</x:v>
      </x:c>
      <x:c r="N722" s="38" t="n">
        <x:v>-0.0006845998667843174</x:v>
      </x:c>
      <x:c r="O722" s="35" t="n">
        <x:f>H722*M722*(1+N722)</x:f>
        <x:v>1596.9060094128788</x:v>
      </x:c>
      <x:c r="P722" s="19" t="str">
        <x:f>IF(ABS(N722)&gt;'封面与口径'!$O$25,"机器调料需复核",IF(ABS(K722)&gt;0.02,"人工称重需复核","正常"))</x:f>
        <x:v>正常</x:v>
      </x:c>
      <x:c r="Q722" s="19" t="str">
        <x:v>唐凯</x:v>
      </x:c>
    </x:row>
    <x:row r="723">
      <x:c r="A723" s="19" t="str">
        <x:v>2026-07-07|S07|D05</x:v>
      </x:c>
      <x:c r="B723" s="34" t="n">
        <x:v>46210.5</x:v>
      </x:c>
      <x:c r="C723" s="19" t="str">
        <x:v>S07</x:v>
      </x:c>
      <x:c r="D723" s="19" t="str">
        <x:v>小和山店</x:v>
      </x:c>
      <x:c r="E723" s="19" t="str">
        <x:v>D05</x:v>
      </x:c>
      <x:c r="F723" s="19" t="str">
        <x:v>麻婆豆腐</x:v>
      </x:c>
      <x:c r="G723" s="19" t="str">
        <x:v>R1.0</x:v>
      </x:c>
      <x:c r="H723" s="20" t="n">
        <x:f>XLOOKUP(A723,'菜品日销量'!$A$5:$A$1124,'菜品日销量'!$G$5:$G$1124,0)</x:f>
        <x:v>49</x:v>
      </x:c>
      <x:c r="I723" s="20" t="n">
        <x:f>ROUNDUP(H723/2,0)</x:f>
        <x:v>25</x:v>
      </x:c>
      <x:c r="J723" s="22" t="n">
        <x:f>SUMIFS('菜谱BOM'!$F$5:$F$160,'菜谱BOM'!$A$5:$A$160,E723,'菜谱BOM'!$C$5:$C$160,"食材")</x:f>
        <x:v>505</x:v>
      </x:c>
      <x:c r="K723" s="38" t="n">
        <x:v>0.007882027771296452</x:v>
      </x:c>
      <x:c r="L723" s="35" t="n">
        <x:f>H723*J723*(1+K723)</x:f>
        <x:v>24940.04077720073</x:v>
      </x:c>
      <x:c r="M723" s="35" t="n">
        <x:f>SUMIFS('菜谱BOM'!$F$5:$F$160,'菜谱BOM'!$A$5:$A$160,E723,'菜谱BOM'!$C$5:$C$160,"调料")</x:f>
        <x:v>90</x:v>
      </x:c>
      <x:c r="N723" s="38" t="n">
        <x:v>0.000829161002959395</x:v>
      </x:c>
      <x:c r="O723" s="35" t="n">
        <x:f>H723*M723*(1+N723)</x:f>
        <x:v>4413.6566000230505</x:v>
      </x:c>
      <x:c r="P723" s="19" t="str">
        <x:f>IF(ABS(N723)&gt;'封面与口径'!$O$25,"机器调料需复核",IF(ABS(K723)&gt;0.02,"人工称重需复核","正常"))</x:f>
        <x:v>正常</x:v>
      </x:c>
      <x:c r="Q723" s="19" t="str">
        <x:v>唐凯</x:v>
      </x:c>
    </x:row>
    <x:row r="724">
      <x:c r="A724" s="19" t="str">
        <x:v>2026-07-07|S07|D07</x:v>
      </x:c>
      <x:c r="B724" s="34" t="n">
        <x:v>46210.5</x:v>
      </x:c>
      <x:c r="C724" s="19" t="str">
        <x:v>S07</x:v>
      </x:c>
      <x:c r="D724" s="19" t="str">
        <x:v>小和山店</x:v>
      </x:c>
      <x:c r="E724" s="19" t="str">
        <x:v>D07</x:v>
      </x:c>
      <x:c r="F724" s="19" t="str">
        <x:v>川味回锅肉</x:v>
      </x:c>
      <x:c r="G724" s="19" t="str">
        <x:v>R1.0</x:v>
      </x:c>
      <x:c r="H724" s="20" t="n">
        <x:f>XLOOKUP(A724,'菜品日销量'!$A$5:$A$1124,'菜品日销量'!$G$5:$G$1124,0)</x:f>
        <x:v>15</x:v>
      </x:c>
      <x:c r="I724" s="20" t="n">
        <x:f>ROUNDUP(H724/2,0)</x:f>
        <x:v>8</x:v>
      </x:c>
      <x:c r="J724" s="22" t="n">
        <x:f>SUMIFS('菜谱BOM'!$F$5:$F$160,'菜谱BOM'!$A$5:$A$160,E724,'菜谱BOM'!$C$5:$C$160,"食材")</x:f>
        <x:v>450</x:v>
      </x:c>
      <x:c r="K724" s="38" t="n">
        <x:v>0.006298512775054787</x:v>
      </x:c>
      <x:c r="L724" s="35" t="n">
        <x:f>H724*J724*(1+K724)</x:f>
        <x:v>6792.51496123162</x:v>
      </x:c>
      <x:c r="M724" s="35" t="n">
        <x:f>SUMIFS('菜谱BOM'!$F$5:$F$160,'菜谱BOM'!$A$5:$A$160,E724,'菜谱BOM'!$C$5:$C$160,"调料")</x:f>
        <x:v>63</x:v>
      </x:c>
      <x:c r="N724" s="38" t="n">
        <x:v>0.0003644482768989281</x:v>
      </x:c>
      <x:c r="O724" s="35" t="n">
        <x:f>H724*M724*(1+N724)</x:f>
        <x:v>945.3444036216695</x:v>
      </x:c>
      <x:c r="P724" s="19" t="str">
        <x:f>IF(ABS(N724)&gt;'封面与口径'!$O$25,"机器调料需复核",IF(ABS(K724)&gt;0.02,"人工称重需复核","正常"))</x:f>
        <x:v>正常</x:v>
      </x:c>
      <x:c r="Q724" s="19" t="str">
        <x:v>唐凯</x:v>
      </x:c>
    </x:row>
    <x:row r="725">
      <x:c r="A725" s="19" t="str">
        <x:v>2026-07-07|S07|D08</x:v>
      </x:c>
      <x:c r="B725" s="34" t="n">
        <x:v>46210.5</x:v>
      </x:c>
      <x:c r="C725" s="19" t="str">
        <x:v>S07</x:v>
      </x:c>
      <x:c r="D725" s="19" t="str">
        <x:v>小和山店</x:v>
      </x:c>
      <x:c r="E725" s="19" t="str">
        <x:v>D08</x:v>
      </x:c>
      <x:c r="F725" s="19" t="str">
        <x:v>生炒清远鸡</x:v>
      </x:c>
      <x:c r="G725" s="19" t="str">
        <x:v>R1.0</x:v>
      </x:c>
      <x:c r="H725" s="20" t="n">
        <x:f>XLOOKUP(A725,'菜品日销量'!$A$5:$A$1124,'菜品日销量'!$G$5:$G$1124,0)</x:f>
        <x:v>10</x:v>
      </x:c>
      <x:c r="I725" s="20" t="n">
        <x:f>ROUNDUP(H725/2,0)</x:f>
        <x:v>5</x:v>
      </x:c>
      <x:c r="J725" s="22" t="n">
        <x:f>SUMIFS('菜谱BOM'!$F$5:$F$160,'菜谱BOM'!$A$5:$A$160,E725,'菜谱BOM'!$C$5:$C$160,"食材")</x:f>
        <x:v>610</x:v>
      </x:c>
      <x:c r="K725" s="38" t="n">
        <x:v>0.007592407211566439</x:v>
      </x:c>
      <x:c r="L725" s="35" t="n">
        <x:f>H725*J725*(1+K725)</x:f>
        <x:v>6146.313683990556</x:v>
      </x:c>
      <x:c r="M725" s="35" t="n">
        <x:f>SUMIFS('菜谱BOM'!$F$5:$F$160,'菜谱BOM'!$A$5:$A$160,E725,'菜谱BOM'!$C$5:$C$160,"调料")</x:f>
        <x:v>61</x:v>
      </x:c>
      <x:c r="N725" s="38" t="n">
        <x:v>-0.001762795196790899</x:v>
      </x:c>
      <x:c r="O725" s="35" t="n">
        <x:f>H725*M725*(1+N725)</x:f>
        <x:v>608.9246949299576</x:v>
      </x:c>
      <x:c r="P725" s="19" t="str">
        <x:f>IF(ABS(N725)&gt;'封面与口径'!$O$25,"机器调料需复核",IF(ABS(K725)&gt;0.02,"人工称重需复核","正常"))</x:f>
        <x:v>正常</x:v>
      </x:c>
      <x:c r="Q725" s="19" t="str">
        <x:v>唐凯</x:v>
      </x:c>
    </x:row>
    <x:row r="726">
      <x:c r="A726" s="19" t="str">
        <x:v>2026-07-07|S07|D09</x:v>
      </x:c>
      <x:c r="B726" s="34" t="n">
        <x:v>46210.5</x:v>
      </x:c>
      <x:c r="C726" s="19" t="str">
        <x:v>S07</x:v>
      </x:c>
      <x:c r="D726" s="19" t="str">
        <x:v>小和山店</x:v>
      </x:c>
      <x:c r="E726" s="19" t="str">
        <x:v>D09</x:v>
      </x:c>
      <x:c r="F726" s="19" t="str">
        <x:v>炒豆干</x:v>
      </x:c>
      <x:c r="G726" s="19" t="str">
        <x:v>R1.0</x:v>
      </x:c>
      <x:c r="H726" s="20" t="n">
        <x:f>XLOOKUP(A726,'菜品日销量'!$A$5:$A$1124,'菜品日销量'!$G$5:$G$1124,0)</x:f>
        <x:v>16</x:v>
      </x:c>
      <x:c r="I726" s="20" t="n">
        <x:f>ROUNDUP(H726/2,0)</x:f>
        <x:v>8</x:v>
      </x:c>
      <x:c r="J726" s="22" t="n">
        <x:f>SUMIFS('菜谱BOM'!$F$5:$F$160,'菜谱BOM'!$A$5:$A$160,E726,'菜谱BOM'!$C$5:$C$160,"食材")</x:f>
        <x:v>520</x:v>
      </x:c>
      <x:c r="K726" s="38" t="n">
        <x:v>0.007424538623407608</x:v>
      </x:c>
      <x:c r="L726" s="35" t="n">
        <x:f>H726*J726*(1+K726)</x:f>
        <x:v>8381.772161346751</x:v>
      </x:c>
      <x:c r="M726" s="35" t="n">
        <x:f>SUMIFS('菜谱BOM'!$F$5:$F$160,'菜谱BOM'!$A$5:$A$160,E726,'菜谱BOM'!$C$5:$C$160,"调料")</x:f>
        <x:v>42</x:v>
      </x:c>
      <x:c r="N726" s="38" t="n">
        <x:v>0.000979753885180632</x:v>
      </x:c>
      <x:c r="O726" s="35" t="n">
        <x:f>H726*M726*(1+N726)</x:f>
        <x:v>672.6583946108414</x:v>
      </x:c>
      <x:c r="P726" s="19" t="str">
        <x:f>IF(ABS(N726)&gt;'封面与口径'!$O$25,"机器调料需复核",IF(ABS(K726)&gt;0.02,"人工称重需复核","正常"))</x:f>
        <x:v>正常</x:v>
      </x:c>
      <x:c r="Q726" s="19" t="str">
        <x:v>唐凯</x:v>
      </x:c>
    </x:row>
    <x:row r="727">
      <x:c r="A727" s="19" t="str">
        <x:v>2026-07-07|S07|D10</x:v>
      </x:c>
      <x:c r="B727" s="34" t="n">
        <x:v>46210.5</x:v>
      </x:c>
      <x:c r="C727" s="19" t="str">
        <x:v>S07</x:v>
      </x:c>
      <x:c r="D727" s="19" t="str">
        <x:v>小和山店</x:v>
      </x:c>
      <x:c r="E727" s="19" t="str">
        <x:v>D10</x:v>
      </x:c>
      <x:c r="F727" s="19" t="str">
        <x:v>农家一碗香</x:v>
      </x:c>
      <x:c r="G727" s="19" t="str">
        <x:v>R2.3</x:v>
      </x:c>
      <x:c r="H727" s="20" t="n">
        <x:f>XLOOKUP(A727,'菜品日销量'!$A$5:$A$1124,'菜品日销量'!$G$5:$G$1124,0)</x:f>
        <x:v>17</x:v>
      </x:c>
      <x:c r="I727" s="20" t="n">
        <x:f>ROUNDUP(H727/2,0)</x:f>
        <x:v>9</x:v>
      </x:c>
      <x:c r="J727" s="22" t="n">
        <x:f>SUMIFS('菜谱BOM'!$F$5:$F$160,'菜谱BOM'!$A$5:$A$160,E727,'菜谱BOM'!$C$5:$C$160,"食材")</x:f>
        <x:v>510</x:v>
      </x:c>
      <x:c r="K727" s="38" t="n">
        <x:v>-0.0010099891556915805</x:v>
      </x:c>
      <x:c r="L727" s="35" t="n">
        <x:f>H727*J727*(1+K727)</x:f>
        <x:v>8661.243394020154</x:v>
      </x:c>
      <x:c r="M727" s="35" t="n">
        <x:f>SUMIFS('菜谱BOM'!$F$5:$F$160,'菜谱BOM'!$A$5:$A$160,E727,'菜谱BOM'!$C$5:$C$160,"调料")</x:f>
        <x:v>88</x:v>
      </x:c>
      <x:c r="N727" s="38" t="n">
        <x:v>0.0009489630216148131</x:v>
      </x:c>
      <x:c r="O727" s="35" t="n">
        <x:f>H727*M727*(1+N727)</x:f>
        <x:v>1497.4196486803357</x:v>
      </x:c>
      <x:c r="P727" s="19" t="str">
        <x:f>IF(ABS(N727)&gt;'封面与口径'!$O$25,"机器调料需复核",IF(ABS(K727)&gt;0.02,"人工称重需复核","正常"))</x:f>
        <x:v>正常</x:v>
      </x:c>
      <x:c r="Q727" s="19" t="str">
        <x:v>唐凯</x:v>
      </x:c>
    </x:row>
    <x:row r="728">
      <x:c r="A728" s="19" t="str">
        <x:v>2026-07-07|S07|D11</x:v>
      </x:c>
      <x:c r="B728" s="34" t="n">
        <x:v>46210.5</x:v>
      </x:c>
      <x:c r="C728" s="19" t="str">
        <x:v>S07</x:v>
      </x:c>
      <x:c r="D728" s="19" t="str">
        <x:v>小和山店</x:v>
      </x:c>
      <x:c r="E728" s="19" t="str">
        <x:v>D11</x:v>
      </x:c>
      <x:c r="F728" s="19" t="str">
        <x:v>香辣爆肥肠</x:v>
      </x:c>
      <x:c r="G728" s="19" t="str">
        <x:v>R1.0</x:v>
      </x:c>
      <x:c r="H728" s="20" t="n">
        <x:f>XLOOKUP(A728,'菜品日销量'!$A$5:$A$1124,'菜品日销量'!$G$5:$G$1124,0)</x:f>
        <x:v>6</x:v>
      </x:c>
      <x:c r="I728" s="20" t="n">
        <x:f>ROUNDUP(H728/2,0)</x:f>
        <x:v>3</x:v>
      </x:c>
      <x:c r="J728" s="22" t="n">
        <x:f>SUMIFS('菜谱BOM'!$F$5:$F$160,'菜谱BOM'!$A$5:$A$160,E728,'菜谱BOM'!$C$5:$C$160,"食材")</x:f>
        <x:v>430</x:v>
      </x:c>
      <x:c r="K728" s="38" t="n">
        <x:v>0.0010943230896010815</x:v>
      </x:c>
      <x:c r="L728" s="35" t="n">
        <x:f>H728*J728*(1+K728)</x:f>
        <x:v>2582.8233535711706</x:v>
      </x:c>
      <x:c r="M728" s="35" t="n">
        <x:f>SUMIFS('菜谱BOM'!$F$5:$F$160,'菜谱BOM'!$A$5:$A$160,E728,'菜谱BOM'!$C$5:$C$160,"调料")</x:f>
        <x:v>67</x:v>
      </x:c>
      <x:c r="N728" s="38" t="n">
        <x:v>0.0005061641639345709</x:v>
      </x:c>
      <x:c r="O728" s="35" t="n">
        <x:f>H728*M728*(1+N728)</x:f>
        <x:v>402.2034779939017</x:v>
      </x:c>
      <x:c r="P728" s="19" t="str">
        <x:f>IF(ABS(N728)&gt;'封面与口径'!$O$25,"机器调料需复核",IF(ABS(K728)&gt;0.02,"人工称重需复核","正常"))</x:f>
        <x:v>正常</x:v>
      </x:c>
      <x:c r="Q728" s="19" t="str">
        <x:v>唐凯</x:v>
      </x:c>
    </x:row>
    <x:row r="729">
      <x:c r="A729" s="19" t="str">
        <x:v>2026-07-07|S07|D13</x:v>
      </x:c>
      <x:c r="B729" s="34" t="n">
        <x:v>46210.5</x:v>
      </x:c>
      <x:c r="C729" s="19" t="str">
        <x:v>S07</x:v>
      </x:c>
      <x:c r="D729" s="19" t="str">
        <x:v>小和山店</x:v>
      </x:c>
      <x:c r="E729" s="19" t="str">
        <x:v>D13</x:v>
      </x:c>
      <x:c r="F729" s="19" t="str">
        <x:v>外婆菜炒蛋</x:v>
      </x:c>
      <x:c r="G729" s="19" t="str">
        <x:v>R1.0</x:v>
      </x:c>
      <x:c r="H729" s="20" t="n">
        <x:f>XLOOKUP(A729,'菜品日销量'!$A$5:$A$1124,'菜品日销量'!$G$5:$G$1124,0)</x:f>
        <x:v>15</x:v>
      </x:c>
      <x:c r="I729" s="20" t="n">
        <x:f>ROUNDUP(H729/2,0)</x:f>
        <x:v>8</x:v>
      </x:c>
      <x:c r="J729" s="22" t="n">
        <x:f>SUMIFS('菜谱BOM'!$F$5:$F$160,'菜谱BOM'!$A$5:$A$160,E729,'菜谱BOM'!$C$5:$C$160,"食材")</x:f>
        <x:v>450</x:v>
      </x:c>
      <x:c r="K729" s="38" t="n">
        <x:v>-0.006148888978676146</x:v>
      </x:c>
      <x:c r="L729" s="35" t="n">
        <x:f>H729*J729*(1+K729)</x:f>
        <x:v>6708.494999393936</x:v>
      </x:c>
      <x:c r="M729" s="35" t="n">
        <x:f>SUMIFS('菜谱BOM'!$F$5:$F$160,'菜谱BOM'!$A$5:$A$160,E729,'菜谱BOM'!$C$5:$C$160,"调料")</x:f>
        <x:v>37</x:v>
      </x:c>
      <x:c r="N729" s="38" t="n">
        <x:v>-0.0005598631330206671</x:v>
      </x:c>
      <x:c r="O729" s="35" t="n">
        <x:f>H729*M729*(1+N729)</x:f>
        <x:v>554.6892759611735</x:v>
      </x:c>
      <x:c r="P729" s="19" t="str">
        <x:f>IF(ABS(N729)&gt;'封面与口径'!$O$25,"机器调料需复核",IF(ABS(K729)&gt;0.02,"人工称重需复核","正常"))</x:f>
        <x:v>正常</x:v>
      </x:c>
      <x:c r="Q729" s="19" t="str">
        <x:v>唐凯</x:v>
      </x:c>
    </x:row>
    <x:row r="730">
      <x:c r="A730" s="19" t="str">
        <x:v>2026-07-07|S07|D14</x:v>
      </x:c>
      <x:c r="B730" s="34" t="n">
        <x:v>46210.5</x:v>
      </x:c>
      <x:c r="C730" s="19" t="str">
        <x:v>S07</x:v>
      </x:c>
      <x:c r="D730" s="19" t="str">
        <x:v>小和山店</x:v>
      </x:c>
      <x:c r="E730" s="19" t="str">
        <x:v>D14</x:v>
      </x:c>
      <x:c r="F730" s="19" t="str">
        <x:v>酸辣鸡杂</x:v>
      </x:c>
      <x:c r="G730" s="19" t="str">
        <x:v>R1.0</x:v>
      </x:c>
      <x:c r="H730" s="20" t="n">
        <x:f>XLOOKUP(A730,'菜品日销量'!$A$5:$A$1124,'菜品日销量'!$G$5:$G$1124,0)</x:f>
        <x:v>7</x:v>
      </x:c>
      <x:c r="I730" s="20" t="n">
        <x:f>ROUNDUP(H730/2,0)</x:f>
        <x:v>4</x:v>
      </x:c>
      <x:c r="J730" s="22" t="n">
        <x:f>SUMIFS('菜谱BOM'!$F$5:$F$160,'菜谱BOM'!$A$5:$A$160,E730,'菜谱BOM'!$C$5:$C$160,"食材")</x:f>
        <x:v>470</x:v>
      </x:c>
      <x:c r="K730" s="38" t="n">
        <x:v>-0.002838337420215443</x:v>
      </x:c>
      <x:c r="L730" s="35" t="n">
        <x:f>H730*J730*(1+K730)</x:f>
        <x:v>3280.6618698874913</x:v>
      </x:c>
      <x:c r="M730" s="35" t="n">
        <x:f>SUMIFS('菜谱BOM'!$F$5:$F$160,'菜谱BOM'!$A$5:$A$160,E730,'菜谱BOM'!$C$5:$C$160,"调料")</x:f>
        <x:v>60</x:v>
      </x:c>
      <x:c r="N730" s="38" t="n">
        <x:v>-0.00047240532805966343</x:v>
      </x:c>
      <x:c r="O730" s="35" t="n">
        <x:f>H730*M730*(1+N730)</x:f>
        <x:v>419.8015897622149</x:v>
      </x:c>
      <x:c r="P730" s="19" t="str">
        <x:f>IF(ABS(N730)&gt;'封面与口径'!$O$25,"机器调料需复核",IF(ABS(K730)&gt;0.02,"人工称重需复核","正常"))</x:f>
        <x:v>正常</x:v>
      </x:c>
      <x:c r="Q730" s="19" t="str">
        <x:v>唐凯</x:v>
      </x:c>
    </x:row>
    <x:row r="731">
      <x:c r="A731" s="19" t="str">
        <x:v>2026-07-07|S07|D15</x:v>
      </x:c>
      <x:c r="B731" s="34" t="n">
        <x:v>46210.5</x:v>
      </x:c>
      <x:c r="C731" s="19" t="str">
        <x:v>S07</x:v>
      </x:c>
      <x:c r="D731" s="19" t="str">
        <x:v>小和山店</x:v>
      </x:c>
      <x:c r="E731" s="19" t="str">
        <x:v>D15</x:v>
      </x:c>
      <x:c r="F731" s="19" t="str">
        <x:v>湘西土匪猪肝</x:v>
      </x:c>
      <x:c r="G731" s="19" t="str">
        <x:v>R1.0</x:v>
      </x:c>
      <x:c r="H731" s="20" t="n">
        <x:f>XLOOKUP(A731,'菜品日销量'!$A$5:$A$1124,'菜品日销量'!$G$5:$G$1124,0)</x:f>
        <x:v>7</x:v>
      </x:c>
      <x:c r="I731" s="20" t="n">
        <x:f>ROUNDUP(H731/2,0)</x:f>
        <x:v>4</x:v>
      </x:c>
      <x:c r="J731" s="22" t="n">
        <x:f>SUMIFS('菜谱BOM'!$F$5:$F$160,'菜谱BOM'!$A$5:$A$160,E731,'菜谱BOM'!$C$5:$C$160,"食材")</x:f>
        <x:v>470</x:v>
      </x:c>
      <x:c r="K731" s="38" t="n">
        <x:v>-0.0008499969786149446</x:v>
      </x:c>
      <x:c r="L731" s="35" t="n">
        <x:f>H731*J731*(1+K731)</x:f>
        <x:v>3287.2035099403565</x:v>
      </x:c>
      <x:c r="M731" s="35" t="n">
        <x:f>SUMIFS('菜谱BOM'!$F$5:$F$160,'菜谱BOM'!$A$5:$A$160,E731,'菜谱BOM'!$C$5:$C$160,"调料")</x:f>
        <x:v>49</x:v>
      </x:c>
      <x:c r="N731" s="38" t="n">
        <x:v>-0.00016232629450092228</x:v>
      </x:c>
      <x:c r="O731" s="35" t="n">
        <x:f>H731*M731*(1+N731)</x:f>
        <x:v>342.9443220809862</x:v>
      </x:c>
      <x:c r="P731" s="19" t="str">
        <x:f>IF(ABS(N731)&gt;'封面与口径'!$O$25,"机器调料需复核",IF(ABS(K731)&gt;0.02,"人工称重需复核","正常"))</x:f>
        <x:v>正常</x:v>
      </x:c>
      <x:c r="Q731" s="19" t="str">
        <x:v>唐凯</x:v>
      </x:c>
    </x:row>
    <x:row r="732">
      <x:c r="A732" s="19" t="str">
        <x:v>2026-07-07|S07|D16</x:v>
      </x:c>
      <x:c r="B732" s="34" t="n">
        <x:v>46210.5</x:v>
      </x:c>
      <x:c r="C732" s="19" t="str">
        <x:v>S07</x:v>
      </x:c>
      <x:c r="D732" s="19" t="str">
        <x:v>小和山店</x:v>
      </x:c>
      <x:c r="E732" s="19" t="str">
        <x:v>D16</x:v>
      </x:c>
      <x:c r="F732" s="19" t="str">
        <x:v>小豆角炒五花</x:v>
      </x:c>
      <x:c r="G732" s="19" t="str">
        <x:v>R1.0</x:v>
      </x:c>
      <x:c r="H732" s="20" t="n">
        <x:f>XLOOKUP(A732,'菜品日销量'!$A$5:$A$1124,'菜品日销量'!$G$5:$G$1124,0)</x:f>
        <x:v>7</x:v>
      </x:c>
      <x:c r="I732" s="20" t="n">
        <x:f>ROUNDUP(H732/2,0)</x:f>
        <x:v>4</x:v>
      </x:c>
      <x:c r="J732" s="22" t="n">
        <x:f>SUMIFS('菜谱BOM'!$F$5:$F$160,'菜谱BOM'!$A$5:$A$160,E732,'菜谱BOM'!$C$5:$C$160,"食材")</x:f>
        <x:v>450</x:v>
      </x:c>
      <x:c r="K732" s="38" t="n">
        <x:v>0.00175594956654961</x:v>
      </x:c>
      <x:c r="L732" s="35" t="n">
        <x:f>H732*J732*(1+K732)</x:f>
        <x:v>3155.5312411346313</x:v>
      </x:c>
      <x:c r="M732" s="35" t="n">
        <x:f>SUMIFS('菜谱BOM'!$F$5:$F$160,'菜谱BOM'!$A$5:$A$160,E732,'菜谱BOM'!$C$5:$C$160,"调料")</x:f>
        <x:v>42</x:v>
      </x:c>
      <x:c r="N732" s="38" t="n">
        <x:v>-0.0005101847468200569</x:v>
      </x:c>
      <x:c r="O732" s="35" t="n">
        <x:f>H732*M732*(1+N732)</x:f>
        <x:v>293.8500056844349</x:v>
      </x:c>
      <x:c r="P732" s="19" t="str">
        <x:f>IF(ABS(N732)&gt;'封面与口径'!$O$25,"机器调料需复核",IF(ABS(K732)&gt;0.02,"人工称重需复核","正常"))</x:f>
        <x:v>正常</x:v>
      </x:c>
      <x:c r="Q732" s="19" t="str">
        <x:v>唐凯</x:v>
      </x:c>
    </x:row>
    <x:row r="733">
      <x:c r="A733" s="19" t="str">
        <x:v>2026-07-07|S07|D18</x:v>
      </x:c>
      <x:c r="B733" s="34" t="n">
        <x:v>46210.5</x:v>
      </x:c>
      <x:c r="C733" s="19" t="str">
        <x:v>S07</x:v>
      </x:c>
      <x:c r="D733" s="19" t="str">
        <x:v>小和山店</x:v>
      </x:c>
      <x:c r="E733" s="19" t="str">
        <x:v>D18</x:v>
      </x:c>
      <x:c r="F733" s="19" t="str">
        <x:v>青椒炒油麦菜</x:v>
      </x:c>
      <x:c r="G733" s="19" t="str">
        <x:v>R1.0</x:v>
      </x:c>
      <x:c r="H733" s="20" t="n">
        <x:f>XLOOKUP(A733,'菜品日销量'!$A$5:$A$1124,'菜品日销量'!$G$5:$G$1124,0)</x:f>
        <x:v>8</x:v>
      </x:c>
      <x:c r="I733" s="20" t="n">
        <x:f>ROUNDUP(H733/2,0)</x:f>
        <x:v>4</x:v>
      </x:c>
      <x:c r="J733" s="22" t="n">
        <x:f>SUMIFS('菜谱BOM'!$F$5:$F$160,'菜谱BOM'!$A$5:$A$160,E733,'菜谱BOM'!$C$5:$C$160,"食材")</x:f>
        <x:v>430</x:v>
      </x:c>
      <x:c r="K733" s="38" t="n">
        <x:v>0.003977325337933685</x:v>
      </x:c>
      <x:c r="L733" s="35" t="n">
        <x:f>H733*J733*(1+K733)</x:f>
        <x:v>3453.6819991624916</x:v>
      </x:c>
      <x:c r="M733" s="35" t="n">
        <x:f>SUMIFS('菜谱BOM'!$F$5:$F$160,'菜谱BOM'!$A$5:$A$160,E733,'菜谱BOM'!$C$5:$C$160,"调料")</x:f>
        <x:v>33</x:v>
      </x:c>
      <x:c r="N733" s="38" t="n">
        <x:v>-0.00047664444392468886</x:v>
      </x:c>
      <x:c r="O733" s="35" t="n">
        <x:f>H733*M733*(1+N733)</x:f>
        <x:v>263.8741658668039</x:v>
      </x:c>
      <x:c r="P733" s="19" t="str">
        <x:f>IF(ABS(N733)&gt;'封面与口径'!$O$25,"机器调料需复核",IF(ABS(K733)&gt;0.02,"人工称重需复核","正常"))</x:f>
        <x:v>正常</x:v>
      </x:c>
      <x:c r="Q733" s="19" t="str">
        <x:v>唐凯</x:v>
      </x:c>
    </x:row>
    <x:row r="734">
      <x:c r="A734" s="19" t="str">
        <x:v>2026-07-07|S07|D19</x:v>
      </x:c>
      <x:c r="B734" s="34" t="n">
        <x:v>46210.5</x:v>
      </x:c>
      <x:c r="C734" s="19" t="str">
        <x:v>S07</x:v>
      </x:c>
      <x:c r="D734" s="19" t="str">
        <x:v>小和山店</x:v>
      </x:c>
      <x:c r="E734" s="19" t="str">
        <x:v>D19</x:v>
      </x:c>
      <x:c r="F734" s="19" t="str">
        <x:v>酸萝卜炒鸡杂</x:v>
      </x:c>
      <x:c r="G734" s="19" t="str">
        <x:v>R1.0</x:v>
      </x:c>
      <x:c r="H734" s="20" t="n">
        <x:f>XLOOKUP(A734,'菜品日销量'!$A$5:$A$1124,'菜品日销量'!$G$5:$G$1124,0)</x:f>
        <x:v>5</x:v>
      </x:c>
      <x:c r="I734" s="20" t="n">
        <x:f>ROUNDUP(H734/2,0)</x:f>
        <x:v>3</x:v>
      </x:c>
      <x:c r="J734" s="22" t="n">
        <x:f>SUMIFS('菜谱BOM'!$F$5:$F$160,'菜谱BOM'!$A$5:$A$160,E734,'菜谱BOM'!$C$5:$C$160,"食材")</x:f>
        <x:v>500</x:v>
      </x:c>
      <x:c r="K734" s="38" t="n">
        <x:v>-0.007857771318372751</x:v>
      </x:c>
      <x:c r="L734" s="35" t="n">
        <x:f>H734*J734*(1+K734)</x:f>
        <x:v>2480.355571704068</x:v>
      </x:c>
      <x:c r="M734" s="35" t="n">
        <x:f>SUMIFS('菜谱BOM'!$F$5:$F$160,'菜谱BOM'!$A$5:$A$160,E734,'菜谱BOM'!$C$5:$C$160,"调料")</x:f>
        <x:v>55</x:v>
      </x:c>
      <x:c r="N734" s="38" t="n">
        <x:v>0.0005864085635604357</x:v>
      </x:c>
      <x:c r="O734" s="35" t="n">
        <x:f>H734*M734*(1+N734)</x:f>
        <x:v>275.16126235497916</x:v>
      </x:c>
      <x:c r="P734" s="19" t="str">
        <x:f>IF(ABS(N734)&gt;'封面与口径'!$O$25,"机器调料需复核",IF(ABS(K734)&gt;0.02,"人工称重需复核","正常"))</x:f>
        <x:v>正常</x:v>
      </x:c>
      <x:c r="Q734" s="19" t="str">
        <x:v>唐凯</x:v>
      </x:c>
    </x:row>
    <x:row r="735">
      <x:c r="A735" s="19" t="str">
        <x:v>2026-07-07|S07|D20</x:v>
      </x:c>
      <x:c r="B735" s="34" t="n">
        <x:v>46210.5</x:v>
      </x:c>
      <x:c r="C735" s="19" t="str">
        <x:v>S07</x:v>
      </x:c>
      <x:c r="D735" s="19" t="str">
        <x:v>小和山店</x:v>
      </x:c>
      <x:c r="E735" s="19" t="str">
        <x:v>D20</x:v>
      </x:c>
      <x:c r="F735" s="19" t="str">
        <x:v>雪菜肉末青豆</x:v>
      </x:c>
      <x:c r="G735" s="19" t="str">
        <x:v>R1.0</x:v>
      </x:c>
      <x:c r="H735" s="20" t="n">
        <x:f>XLOOKUP(A735,'菜品日销量'!$A$5:$A$1124,'菜品日销量'!$G$5:$G$1124,0)</x:f>
        <x:v>8</x:v>
      </x:c>
      <x:c r="I735" s="20" t="n">
        <x:f>ROUNDUP(H735/2,0)</x:f>
        <x:v>4</x:v>
      </x:c>
      <x:c r="J735" s="22" t="n">
        <x:f>SUMIFS('菜谱BOM'!$F$5:$F$160,'菜谱BOM'!$A$5:$A$160,E735,'菜谱BOM'!$C$5:$C$160,"食材")</x:f>
        <x:v>465</x:v>
      </x:c>
      <x:c r="K735" s="38" t="n">
        <x:v>-0.0035485140037603015</x:v>
      </x:c>
      <x:c r="L735" s="35" t="n">
        <x:f>H735*J735*(1+K735)</x:f>
        <x:v>3706.7995279060115</x:v>
      </x:c>
      <x:c r="M735" s="35" t="n">
        <x:f>SUMIFS('菜谱BOM'!$F$5:$F$160,'菜谱BOM'!$A$5:$A$160,E735,'菜谱BOM'!$C$5:$C$160,"调料")</x:f>
        <x:v>32</x:v>
      </x:c>
      <x:c r="N735" s="38" t="n">
        <x:v>-0.001003322932637139</x:v>
      </x:c>
      <x:c r="O735" s="35" t="n">
        <x:f>H735*M735*(1+N735)</x:f>
        <x:v>255.7431493292449</x:v>
      </x:c>
      <x:c r="P735" s="19" t="str">
        <x:f>IF(ABS(N735)&gt;'封面与口径'!$O$25,"机器调料需复核",IF(ABS(K735)&gt;0.02,"人工称重需复核","正常"))</x:f>
        <x:v>正常</x:v>
      </x:c>
      <x:c r="Q735" s="19" t="str">
        <x:v>唐凯</x:v>
      </x:c>
    </x:row>
    <x:row r="736">
      <x:c r="A736" s="19" t="str">
        <x:v>2026-07-08|S07|D01</x:v>
      </x:c>
      <x:c r="B736" s="34" t="n">
        <x:v>46211.5</x:v>
      </x:c>
      <x:c r="C736" s="19" t="str">
        <x:v>S07</x:v>
      </x:c>
      <x:c r="D736" s="19" t="str">
        <x:v>小和山店</x:v>
      </x:c>
      <x:c r="E736" s="19" t="str">
        <x:v>D01</x:v>
      </x:c>
      <x:c r="F736" s="19" t="str">
        <x:v>辣椒炒肉</x:v>
      </x:c>
      <x:c r="G736" s="19" t="str">
        <x:v>R2.3</x:v>
      </x:c>
      <x:c r="H736" s="20" t="n">
        <x:f>XLOOKUP(A736,'菜品日销量'!$A$5:$A$1124,'菜品日销量'!$G$5:$G$1124,0)</x:f>
        <x:v>43</x:v>
      </x:c>
      <x:c r="I736" s="20" t="n">
        <x:f>ROUNDUP(H736/2,0)</x:f>
        <x:v>22</x:v>
      </x:c>
      <x:c r="J736" s="22" t="n">
        <x:f>SUMIFS('菜谱BOM'!$F$5:$F$160,'菜谱BOM'!$A$5:$A$160,E736,'菜谱BOM'!$C$5:$C$160,"食材")</x:f>
        <x:v>550</x:v>
      </x:c>
      <x:c r="K736" s="38" t="n">
        <x:v>0.0062849881570518455</x:v>
      </x:c>
      <x:c r="L736" s="35" t="n">
        <x:f>H736*J736*(1+K736)</x:f>
        <x:v>23798.63996991428</x:v>
      </x:c>
      <x:c r="M736" s="35" t="n">
        <x:f>SUMIFS('菜谱BOM'!$F$5:$F$160,'菜谱BOM'!$A$5:$A$160,E736,'菜谱BOM'!$C$5:$C$160,"调料")</x:f>
        <x:v>104</x:v>
      </x:c>
      <x:c r="N736" s="38" t="n">
        <x:v>0.00043540956136663665</x:v>
      </x:c>
      <x:c r="O736" s="35" t="n">
        <x:f>H736*M736*(1+N736)</x:f>
        <x:v>4473.947151558431</x:v>
      </x:c>
      <x:c r="P736" s="19" t="str">
        <x:f>IF(ABS(N736)&gt;'封面与口径'!$O$25,"机器调料需复核",IF(ABS(K736)&gt;0.02,"人工称重需复核","正常"))</x:f>
        <x:v>正常</x:v>
      </x:c>
      <x:c r="Q736" s="19" t="str">
        <x:v>唐凯</x:v>
      </x:c>
    </x:row>
    <x:row r="737">
      <x:c r="A737" s="19" t="str">
        <x:v>2026-07-08|S07|D02</x:v>
      </x:c>
      <x:c r="B737" s="34" t="n">
        <x:v>46211.5</x:v>
      </x:c>
      <x:c r="C737" s="19" t="str">
        <x:v>S07</x:v>
      </x:c>
      <x:c r="D737" s="19" t="str">
        <x:v>小和山店</x:v>
      </x:c>
      <x:c r="E737" s="19" t="str">
        <x:v>D02</x:v>
      </x:c>
      <x:c r="F737" s="19" t="str">
        <x:v>小炒黄牛肉</x:v>
      </x:c>
      <x:c r="G737" s="19" t="str">
        <x:v>R2.3</x:v>
      </x:c>
      <x:c r="H737" s="20" t="n">
        <x:f>XLOOKUP(A737,'菜品日销量'!$A$5:$A$1124,'菜品日销量'!$G$5:$G$1124,0)</x:f>
        <x:v>31</x:v>
      </x:c>
      <x:c r="I737" s="20" t="n">
        <x:f>ROUNDUP(H737/2,0)</x:f>
        <x:v>16</x:v>
      </x:c>
      <x:c r="J737" s="22" t="n">
        <x:f>SUMIFS('菜谱BOM'!$F$5:$F$160,'菜谱BOM'!$A$5:$A$160,E737,'菜谱BOM'!$C$5:$C$160,"食材")</x:f>
        <x:v>560</x:v>
      </x:c>
      <x:c r="K737" s="38" t="n">
        <x:v>-0.004455464727351318</x:v>
      </x:c>
      <x:c r="L737" s="35" t="n">
        <x:f>H737*J737*(1+K737)</x:f>
        <x:v>17282.65313233318</x:v>
      </x:c>
      <x:c r="M737" s="35" t="n">
        <x:f>SUMIFS('菜谱BOM'!$F$5:$F$160,'菜谱BOM'!$A$5:$A$160,E737,'菜谱BOM'!$C$5:$C$160,"调料")</x:f>
        <x:v>133</x:v>
      </x:c>
      <x:c r="N737" s="38" t="n">
        <x:v>-0.001698171310987829</x:v>
      </x:c>
      <x:c r="O737" s="35" t="n">
        <x:f>H737*M737*(1+N737)</x:f>
        <x:v>4115.998439684798</x:v>
      </x:c>
      <x:c r="P737" s="19" t="str">
        <x:f>IF(ABS(N737)&gt;'封面与口径'!$O$25,"机器调料需复核",IF(ABS(K737)&gt;0.02,"人工称重需复核","正常"))</x:f>
        <x:v>正常</x:v>
      </x:c>
      <x:c r="Q737" s="19" t="str">
        <x:v>唐凯</x:v>
      </x:c>
    </x:row>
    <x:row r="738">
      <x:c r="A738" s="19" t="str">
        <x:v>2026-07-08|S07|D03</x:v>
      </x:c>
      <x:c r="B738" s="34" t="n">
        <x:v>46211.5</x:v>
      </x:c>
      <x:c r="C738" s="19" t="str">
        <x:v>S07</x:v>
      </x:c>
      <x:c r="D738" s="19" t="str">
        <x:v>小和山店</x:v>
      </x:c>
      <x:c r="E738" s="19" t="str">
        <x:v>D03</x:v>
      </x:c>
      <x:c r="F738" s="19" t="str">
        <x:v>香醋炒蛋</x:v>
      </x:c>
      <x:c r="G738" s="19" t="str">
        <x:v>R1.0</x:v>
      </x:c>
      <x:c r="H738" s="20" t="n">
        <x:f>XLOOKUP(A738,'菜品日销量'!$A$5:$A$1124,'菜品日销量'!$G$5:$G$1124,0)</x:f>
        <x:v>36</x:v>
      </x:c>
      <x:c r="I738" s="20" t="n">
        <x:f>ROUNDUP(H738/2,0)</x:f>
        <x:v>18</x:v>
      </x:c>
      <x:c r="J738" s="22" t="n">
        <x:f>SUMIFS('菜谱BOM'!$F$5:$F$160,'菜谱BOM'!$A$5:$A$160,E738,'菜谱BOM'!$C$5:$C$160,"食材")</x:f>
        <x:v>300</x:v>
      </x:c>
      <x:c r="K738" s="38" t="n">
        <x:v>-0.005536748501829978</x:v>
      </x:c>
      <x:c r="L738" s="35" t="n">
        <x:f>H738*J738*(1+K738)</x:f>
        <x:v>10740.203116180237</x:v>
      </x:c>
      <x:c r="M738" s="35" t="n">
        <x:f>SUMIFS('菜谱BOM'!$F$5:$F$160,'菜谱BOM'!$A$5:$A$160,E738,'菜谱BOM'!$C$5:$C$160,"调料")</x:f>
        <x:v>53</x:v>
      </x:c>
      <x:c r="N738" s="38" t="n">
        <x:v>-0.00059189641256628</x:v>
      </x:c>
      <x:c r="O738" s="35" t="n">
        <x:f>H738*M738*(1+N738)</x:f>
        <x:v>1906.8706616448235</x:v>
      </x:c>
      <x:c r="P738" s="19" t="str">
        <x:f>IF(ABS(N738)&gt;'封面与口径'!$O$25,"机器调料需复核",IF(ABS(K738)&gt;0.02,"人工称重需复核","正常"))</x:f>
        <x:v>正常</x:v>
      </x:c>
      <x:c r="Q738" s="19" t="str">
        <x:v>唐凯</x:v>
      </x:c>
    </x:row>
    <x:row r="739">
      <x:c r="A739" s="19" t="str">
        <x:v>2026-07-08|S07|D04</x:v>
      </x:c>
      <x:c r="B739" s="34" t="n">
        <x:v>46211.5</x:v>
      </x:c>
      <x:c r="C739" s="19" t="str">
        <x:v>S07</x:v>
      </x:c>
      <x:c r="D739" s="19" t="str">
        <x:v>小和山店</x:v>
      </x:c>
      <x:c r="E739" s="19" t="str">
        <x:v>D04</x:v>
      </x:c>
      <x:c r="F739" s="19" t="str">
        <x:v>酸包菜炒粉皮</x:v>
      </x:c>
      <x:c r="G739" s="19" t="str">
        <x:v>R1.0</x:v>
      </x:c>
      <x:c r="H739" s="20" t="n">
        <x:f>XLOOKUP(A739,'菜品日销量'!$A$5:$A$1124,'菜品日销量'!$G$5:$G$1124,0)</x:f>
        <x:v>35</x:v>
      </x:c>
      <x:c r="I739" s="20" t="n">
        <x:f>ROUNDUP(H739/2,0)</x:f>
        <x:v>18</x:v>
      </x:c>
      <x:c r="J739" s="22" t="n">
        <x:f>SUMIFS('菜谱BOM'!$F$5:$F$160,'菜谱BOM'!$A$5:$A$160,E739,'菜谱BOM'!$C$5:$C$160,"食材")</x:f>
        <x:v>380</x:v>
      </x:c>
      <x:c r="K739" s="38" t="n">
        <x:v>-0.00555669897737836</x:v>
      </x:c>
      <x:c r="L739" s="35" t="n">
        <x:f>H739*J739*(1+K739)</x:f>
        <x:v>13226.095903600868</x:v>
      </x:c>
      <x:c r="M739" s="35" t="n">
        <x:f>SUMIFS('菜谱BOM'!$F$5:$F$160,'菜谱BOM'!$A$5:$A$160,E739,'菜谱BOM'!$C$5:$C$160,"调料")</x:f>
        <x:v>47</x:v>
      </x:c>
      <x:c r="N739" s="38" t="n">
        <x:v>-0.0005486634062949249</x:v>
      </x:c>
      <x:c r="O739" s="35" t="n">
        <x:f>H739*M739*(1+N739)</x:f>
        <x:v>1644.097448696645</x:v>
      </x:c>
      <x:c r="P739" s="19" t="str">
        <x:f>IF(ABS(N739)&gt;'封面与口径'!$O$25,"机器调料需复核",IF(ABS(K739)&gt;0.02,"人工称重需复核","正常"))</x:f>
        <x:v>正常</x:v>
      </x:c>
      <x:c r="Q739" s="19" t="str">
        <x:v>唐凯</x:v>
      </x:c>
    </x:row>
    <x:row r="740">
      <x:c r="A740" s="19" t="str">
        <x:v>2026-07-08|S07|D05</x:v>
      </x:c>
      <x:c r="B740" s="34" t="n">
        <x:v>46211.5</x:v>
      </x:c>
      <x:c r="C740" s="19" t="str">
        <x:v>S07</x:v>
      </x:c>
      <x:c r="D740" s="19" t="str">
        <x:v>小和山店</x:v>
      </x:c>
      <x:c r="E740" s="19" t="str">
        <x:v>D05</x:v>
      </x:c>
      <x:c r="F740" s="19" t="str">
        <x:v>麻婆豆腐</x:v>
      </x:c>
      <x:c r="G740" s="19" t="str">
        <x:v>R1.0</x:v>
      </x:c>
      <x:c r="H740" s="20" t="n">
        <x:f>XLOOKUP(A740,'菜品日销量'!$A$5:$A$1124,'菜品日销量'!$G$5:$G$1124,0)</x:f>
        <x:v>48</x:v>
      </x:c>
      <x:c r="I740" s="20" t="n">
        <x:f>ROUNDUP(H740/2,0)</x:f>
        <x:v>24</x:v>
      </x:c>
      <x:c r="J740" s="22" t="n">
        <x:f>SUMIFS('菜谱BOM'!$F$5:$F$160,'菜谱BOM'!$A$5:$A$160,E740,'菜谱BOM'!$C$5:$C$160,"食材")</x:f>
        <x:v>505</x:v>
      </x:c>
      <x:c r="K740" s="38" t="n">
        <x:v>-0.0016421846099296084</x:v>
      </x:c>
      <x:c r="L740" s="35" t="n">
        <x:f>H740*J740*(1+K740)</x:f>
        <x:v>24200.193445055305</x:v>
      </x:c>
      <x:c r="M740" s="35" t="n">
        <x:f>SUMIFS('菜谱BOM'!$F$5:$F$160,'菜谱BOM'!$A$5:$A$160,E740,'菜谱BOM'!$C$5:$C$160,"调料")</x:f>
        <x:v>90</x:v>
      </x:c>
      <x:c r="N740" s="38" t="n">
        <x:v>-0.0006283877227987134</x:v>
      </x:c>
      <x:c r="O740" s="35" t="n">
        <x:f>H740*M740*(1+N740)</x:f>
        <x:v>4317.285365037509</x:v>
      </x:c>
      <x:c r="P740" s="19" t="str">
        <x:f>IF(ABS(N740)&gt;'封面与口径'!$O$25,"机器调料需复核",IF(ABS(K740)&gt;0.02,"人工称重需复核","正常"))</x:f>
        <x:v>正常</x:v>
      </x:c>
      <x:c r="Q740" s="19" t="str">
        <x:v>唐凯</x:v>
      </x:c>
    </x:row>
    <x:row r="741">
      <x:c r="A741" s="19" t="str">
        <x:v>2026-07-08|S07|D07</x:v>
      </x:c>
      <x:c r="B741" s="34" t="n">
        <x:v>46211.5</x:v>
      </x:c>
      <x:c r="C741" s="19" t="str">
        <x:v>S07</x:v>
      </x:c>
      <x:c r="D741" s="19" t="str">
        <x:v>小和山店</x:v>
      </x:c>
      <x:c r="E741" s="19" t="str">
        <x:v>D07</x:v>
      </x:c>
      <x:c r="F741" s="19" t="str">
        <x:v>川味回锅肉</x:v>
      </x:c>
      <x:c r="G741" s="19" t="str">
        <x:v>R1.0</x:v>
      </x:c>
      <x:c r="H741" s="20" t="n">
        <x:f>XLOOKUP(A741,'菜品日销量'!$A$5:$A$1124,'菜品日销量'!$G$5:$G$1124,0)</x:f>
        <x:v>14</x:v>
      </x:c>
      <x:c r="I741" s="20" t="n">
        <x:f>ROUNDUP(H741/2,0)</x:f>
        <x:v>7</x:v>
      </x:c>
      <x:c r="J741" s="22" t="n">
        <x:f>SUMIFS('菜谱BOM'!$F$5:$F$160,'菜谱BOM'!$A$5:$A$160,E741,'菜谱BOM'!$C$5:$C$160,"食材")</x:f>
        <x:v>450</x:v>
      </x:c>
      <x:c r="K741" s="38" t="n">
        <x:v>-0.0017342966966643685</x:v>
      </x:c>
      <x:c r="L741" s="35" t="n">
        <x:f>H741*J741*(1+K741)</x:f>
        <x:v>6289.073930811014</x:v>
      </x:c>
      <x:c r="M741" s="35" t="n">
        <x:f>SUMIFS('菜谱BOM'!$F$5:$F$160,'菜谱BOM'!$A$5:$A$160,E741,'菜谱BOM'!$C$5:$C$160,"调料")</x:f>
        <x:v>63</x:v>
      </x:c>
      <x:c r="N741" s="38" t="n">
        <x:v>-0.0016024796533404104</x:v>
      </x:c>
      <x:c r="O741" s="35" t="n">
        <x:f>H741*M741*(1+N741)</x:f>
        <x:v>880.5866129457538</x:v>
      </x:c>
      <x:c r="P741" s="19" t="str">
        <x:f>IF(ABS(N741)&gt;'封面与口径'!$O$25,"机器调料需复核",IF(ABS(K741)&gt;0.02,"人工称重需复核","正常"))</x:f>
        <x:v>正常</x:v>
      </x:c>
      <x:c r="Q741" s="19" t="str">
        <x:v>唐凯</x:v>
      </x:c>
    </x:row>
    <x:row r="742">
      <x:c r="A742" s="19" t="str">
        <x:v>2026-07-08|S07|D08</x:v>
      </x:c>
      <x:c r="B742" s="34" t="n">
        <x:v>46211.5</x:v>
      </x:c>
      <x:c r="C742" s="19" t="str">
        <x:v>S07</x:v>
      </x:c>
      <x:c r="D742" s="19" t="str">
        <x:v>小和山店</x:v>
      </x:c>
      <x:c r="E742" s="19" t="str">
        <x:v>D08</x:v>
      </x:c>
      <x:c r="F742" s="19" t="str">
        <x:v>生炒清远鸡</x:v>
      </x:c>
      <x:c r="G742" s="19" t="str">
        <x:v>R1.0</x:v>
      </x:c>
      <x:c r="H742" s="20" t="n">
        <x:f>XLOOKUP(A742,'菜品日销量'!$A$5:$A$1124,'菜品日销量'!$G$5:$G$1124,0)</x:f>
        <x:v>11</x:v>
      </x:c>
      <x:c r="I742" s="20" t="n">
        <x:f>ROUNDUP(H742/2,0)</x:f>
        <x:v>6</x:v>
      </x:c>
      <x:c r="J742" s="22" t="n">
        <x:f>SUMIFS('菜谱BOM'!$F$5:$F$160,'菜谱BOM'!$A$5:$A$160,E742,'菜谱BOM'!$C$5:$C$160,"食材")</x:f>
        <x:v>610</x:v>
      </x:c>
      <x:c r="K742" s="38" t="n">
        <x:v>0.004043121772828308</x:v>
      </x:c>
      <x:c r="L742" s="35" t="n">
        <x:f>H742*J742*(1+K742)</x:f>
        <x:v>6737.129347095678</x:v>
      </x:c>
      <x:c r="M742" s="35" t="n">
        <x:f>SUMIFS('菜谱BOM'!$F$5:$F$160,'菜谱BOM'!$A$5:$A$160,E742,'菜谱BOM'!$C$5:$C$160,"调料")</x:f>
        <x:v>61</x:v>
      </x:c>
      <x:c r="N742" s="38" t="n">
        <x:v>-0.000861481192256669</x:v>
      </x:c>
      <x:c r="O742" s="35" t="n">
        <x:f>H742*M742*(1+N742)</x:f>
        <x:v>670.4219461199957</x:v>
      </x:c>
      <x:c r="P742" s="19" t="str">
        <x:f>IF(ABS(N742)&gt;'封面与口径'!$O$25,"机器调料需复核",IF(ABS(K742)&gt;0.02,"人工称重需复核","正常"))</x:f>
        <x:v>正常</x:v>
      </x:c>
      <x:c r="Q742" s="19" t="str">
        <x:v>唐凯</x:v>
      </x:c>
    </x:row>
    <x:row r="743">
      <x:c r="A743" s="19" t="str">
        <x:v>2026-07-08|S07|D09</x:v>
      </x:c>
      <x:c r="B743" s="34" t="n">
        <x:v>46211.5</x:v>
      </x:c>
      <x:c r="C743" s="19" t="str">
        <x:v>S07</x:v>
      </x:c>
      <x:c r="D743" s="19" t="str">
        <x:v>小和山店</x:v>
      </x:c>
      <x:c r="E743" s="19" t="str">
        <x:v>D09</x:v>
      </x:c>
      <x:c r="F743" s="19" t="str">
        <x:v>炒豆干</x:v>
      </x:c>
      <x:c r="G743" s="19" t="str">
        <x:v>R1.0</x:v>
      </x:c>
      <x:c r="H743" s="20" t="n">
        <x:f>XLOOKUP(A743,'菜品日销量'!$A$5:$A$1124,'菜品日销量'!$G$5:$G$1124,0)</x:f>
        <x:v>14</x:v>
      </x:c>
      <x:c r="I743" s="20" t="n">
        <x:f>ROUNDUP(H743/2,0)</x:f>
        <x:v>7</x:v>
      </x:c>
      <x:c r="J743" s="22" t="n">
        <x:f>SUMIFS('菜谱BOM'!$F$5:$F$160,'菜谱BOM'!$A$5:$A$160,E743,'菜谱BOM'!$C$5:$C$160,"食材")</x:f>
        <x:v>520</x:v>
      </x:c>
      <x:c r="K743" s="38" t="n">
        <x:v>-0.0058723023938649106</x:v>
      </x:c>
      <x:c r="L743" s="35" t="n">
        <x:f>H743*J743*(1+K743)</x:f>
        <x:v>7237.249638572664</x:v>
      </x:c>
      <x:c r="M743" s="35" t="n">
        <x:f>SUMIFS('菜谱BOM'!$F$5:$F$160,'菜谱BOM'!$A$5:$A$160,E743,'菜谱BOM'!$C$5:$C$160,"调料")</x:f>
        <x:v>42</x:v>
      </x:c>
      <x:c r="N743" s="38" t="n">
        <x:v>0.00024579661391810424</x:v>
      </x:c>
      <x:c r="O743" s="35" t="n">
        <x:f>H743*M743*(1+N743)</x:f>
        <x:v>588.1445284089839</x:v>
      </x:c>
      <x:c r="P743" s="19" t="str">
        <x:f>IF(ABS(N743)&gt;'封面与口径'!$O$25,"机器调料需复核",IF(ABS(K743)&gt;0.02,"人工称重需复核","正常"))</x:f>
        <x:v>正常</x:v>
      </x:c>
      <x:c r="Q743" s="19" t="str">
        <x:v>唐凯</x:v>
      </x:c>
    </x:row>
    <x:row r="744">
      <x:c r="A744" s="19" t="str">
        <x:v>2026-07-08|S07|D10</x:v>
      </x:c>
      <x:c r="B744" s="34" t="n">
        <x:v>46211.5</x:v>
      </x:c>
      <x:c r="C744" s="19" t="str">
        <x:v>S07</x:v>
      </x:c>
      <x:c r="D744" s="19" t="str">
        <x:v>小和山店</x:v>
      </x:c>
      <x:c r="E744" s="19" t="str">
        <x:v>D10</x:v>
      </x:c>
      <x:c r="F744" s="19" t="str">
        <x:v>农家一碗香</x:v>
      </x:c>
      <x:c r="G744" s="19" t="str">
        <x:v>R2.3</x:v>
      </x:c>
      <x:c r="H744" s="20" t="n">
        <x:f>XLOOKUP(A744,'菜品日销量'!$A$5:$A$1124,'菜品日销量'!$G$5:$G$1124,0)</x:f>
        <x:v>16</x:v>
      </x:c>
      <x:c r="I744" s="20" t="n">
        <x:f>ROUNDUP(H744/2,0)</x:f>
        <x:v>8</x:v>
      </x:c>
      <x:c r="J744" s="22" t="n">
        <x:f>SUMIFS('菜谱BOM'!$F$5:$F$160,'菜谱BOM'!$A$5:$A$160,E744,'菜谱BOM'!$C$5:$C$160,"食材")</x:f>
        <x:v>510</x:v>
      </x:c>
      <x:c r="K744" s="38" t="n">
        <x:v>0.002656284882374175</x:v>
      </x:c>
      <x:c r="L744" s="35" t="n">
        <x:f>H744*J744*(1+K744)</x:f>
        <x:v>8181.675284640173</x:v>
      </x:c>
      <x:c r="M744" s="35" t="n">
        <x:f>SUMIFS('菜谱BOM'!$F$5:$F$160,'菜谱BOM'!$A$5:$A$160,E744,'菜谱BOM'!$C$5:$C$160,"调料")</x:f>
        <x:v>88</x:v>
      </x:c>
      <x:c r="N744" s="38" t="n">
        <x:v>-0.00006848331682115872</x:v>
      </x:c>
      <x:c r="O744" s="35" t="n">
        <x:f>H744*M744*(1+N744)</x:f>
        <x:v>1407.9035754899157</x:v>
      </x:c>
      <x:c r="P744" s="19" t="str">
        <x:f>IF(ABS(N744)&gt;'封面与口径'!$O$25,"机器调料需复核",IF(ABS(K744)&gt;0.02,"人工称重需复核","正常"))</x:f>
        <x:v>正常</x:v>
      </x:c>
      <x:c r="Q744" s="19" t="str">
        <x:v>唐凯</x:v>
      </x:c>
    </x:row>
    <x:row r="745">
      <x:c r="A745" s="19" t="str">
        <x:v>2026-07-08|S07|D11</x:v>
      </x:c>
      <x:c r="B745" s="34" t="n">
        <x:v>46211.5</x:v>
      </x:c>
      <x:c r="C745" s="19" t="str">
        <x:v>S07</x:v>
      </x:c>
      <x:c r="D745" s="19" t="str">
        <x:v>小和山店</x:v>
      </x:c>
      <x:c r="E745" s="19" t="str">
        <x:v>D11</x:v>
      </x:c>
      <x:c r="F745" s="19" t="str">
        <x:v>香辣爆肥肠</x:v>
      </x:c>
      <x:c r="G745" s="19" t="str">
        <x:v>R1.0</x:v>
      </x:c>
      <x:c r="H745" s="20" t="n">
        <x:f>XLOOKUP(A745,'菜品日销量'!$A$5:$A$1124,'菜品日销量'!$G$5:$G$1124,0)</x:f>
        <x:v>6</x:v>
      </x:c>
      <x:c r="I745" s="20" t="n">
        <x:f>ROUNDUP(H745/2,0)</x:f>
        <x:v>3</x:v>
      </x:c>
      <x:c r="J745" s="22" t="n">
        <x:f>SUMIFS('菜谱BOM'!$F$5:$F$160,'菜谱BOM'!$A$5:$A$160,E745,'菜谱BOM'!$C$5:$C$160,"食材")</x:f>
        <x:v>430</x:v>
      </x:c>
      <x:c r="K745" s="38" t="n">
        <x:v>0.003429387311318282</x:v>
      </x:c>
      <x:c r="L745" s="35" t="n">
        <x:f>H745*J745*(1+K745)</x:f>
        <x:v>2588.847819263201</x:v>
      </x:c>
      <x:c r="M745" s="35" t="n">
        <x:f>SUMIFS('菜谱BOM'!$F$5:$F$160,'菜谱BOM'!$A$5:$A$160,E745,'菜谱BOM'!$C$5:$C$160,"调料")</x:f>
        <x:v>67</x:v>
      </x:c>
      <x:c r="N745" s="38" t="n">
        <x:v>0.0007090186734471979</x:v>
      </x:c>
      <x:c r="O745" s="35" t="n">
        <x:f>H745*M745*(1+N745)</x:f>
        <x:v>402.2850255067258</x:v>
      </x:c>
      <x:c r="P745" s="19" t="str">
        <x:f>IF(ABS(N745)&gt;'封面与口径'!$O$25,"机器调料需复核",IF(ABS(K745)&gt;0.02,"人工称重需复核","正常"))</x:f>
        <x:v>正常</x:v>
      </x:c>
      <x:c r="Q745" s="19" t="str">
        <x:v>唐凯</x:v>
      </x:c>
    </x:row>
    <x:row r="746">
      <x:c r="A746" s="19" t="str">
        <x:v>2026-07-08|S07|D13</x:v>
      </x:c>
      <x:c r="B746" s="34" t="n">
        <x:v>46211.5</x:v>
      </x:c>
      <x:c r="C746" s="19" t="str">
        <x:v>S07</x:v>
      </x:c>
      <x:c r="D746" s="19" t="str">
        <x:v>小和山店</x:v>
      </x:c>
      <x:c r="E746" s="19" t="str">
        <x:v>D13</x:v>
      </x:c>
      <x:c r="F746" s="19" t="str">
        <x:v>外婆菜炒蛋</x:v>
      </x:c>
      <x:c r="G746" s="19" t="str">
        <x:v>R1.0</x:v>
      </x:c>
      <x:c r="H746" s="20" t="n">
        <x:f>XLOOKUP(A746,'菜品日销量'!$A$5:$A$1124,'菜品日销量'!$G$5:$G$1124,0)</x:f>
        <x:v>14</x:v>
      </x:c>
      <x:c r="I746" s="20" t="n">
        <x:f>ROUNDUP(H746/2,0)</x:f>
        <x:v>7</x:v>
      </x:c>
      <x:c r="J746" s="22" t="n">
        <x:f>SUMIFS('菜谱BOM'!$F$5:$F$160,'菜谱BOM'!$A$5:$A$160,E746,'菜谱BOM'!$C$5:$C$160,"食材")</x:f>
        <x:v>450</x:v>
      </x:c>
      <x:c r="K746" s="38" t="n">
        <x:v>-0.0003254263085139515</x:v>
      </x:c>
      <x:c r="L746" s="35" t="n">
        <x:f>H746*J746*(1+K746)</x:f>
        <x:v>6297.9498142563625</x:v>
      </x:c>
      <x:c r="M746" s="35" t="n">
        <x:f>SUMIFS('菜谱BOM'!$F$5:$F$160,'菜谱BOM'!$A$5:$A$160,E746,'菜谱BOM'!$C$5:$C$160,"调料")</x:f>
        <x:v>37</x:v>
      </x:c>
      <x:c r="N746" s="38" t="n">
        <x:v>-0.0011781802538731556</x:v>
      </x:c>
      <x:c r="O746" s="35" t="n">
        <x:f>H746*M746*(1+N746)</x:f>
        <x:v>517.3897026284938</x:v>
      </x:c>
      <x:c r="P746" s="19" t="str">
        <x:f>IF(ABS(N746)&gt;'封面与口径'!$O$25,"机器调料需复核",IF(ABS(K746)&gt;0.02,"人工称重需复核","正常"))</x:f>
        <x:v>正常</x:v>
      </x:c>
      <x:c r="Q746" s="19" t="str">
        <x:v>唐凯</x:v>
      </x:c>
    </x:row>
    <x:row r="747">
      <x:c r="A747" s="19" t="str">
        <x:v>2026-07-08|S07|D14</x:v>
      </x:c>
      <x:c r="B747" s="34" t="n">
        <x:v>46211.5</x:v>
      </x:c>
      <x:c r="C747" s="19" t="str">
        <x:v>S07</x:v>
      </x:c>
      <x:c r="D747" s="19" t="str">
        <x:v>小和山店</x:v>
      </x:c>
      <x:c r="E747" s="19" t="str">
        <x:v>D14</x:v>
      </x:c>
      <x:c r="F747" s="19" t="str">
        <x:v>酸辣鸡杂</x:v>
      </x:c>
      <x:c r="G747" s="19" t="str">
        <x:v>R1.0</x:v>
      </x:c>
      <x:c r="H747" s="20" t="n">
        <x:f>XLOOKUP(A747,'菜品日销量'!$A$5:$A$1124,'菜品日销量'!$G$5:$G$1124,0)</x:f>
        <x:v>7</x:v>
      </x:c>
      <x:c r="I747" s="20" t="n">
        <x:f>ROUNDUP(H747/2,0)</x:f>
        <x:v>4</x:v>
      </x:c>
      <x:c r="J747" s="22" t="n">
        <x:f>SUMIFS('菜谱BOM'!$F$5:$F$160,'菜谱BOM'!$A$5:$A$160,E747,'菜谱BOM'!$C$5:$C$160,"食材")</x:f>
        <x:v>470</x:v>
      </x:c>
      <x:c r="K747" s="38" t="n">
        <x:v>-0.007195133689603566</x:v>
      </x:c>
      <x:c r="L747" s="35" t="n">
        <x:f>H747*J747*(1+K747)</x:f>
        <x:v>3266.3280101612045</x:v>
      </x:c>
      <x:c r="M747" s="35" t="n">
        <x:f>SUMIFS('菜谱BOM'!$F$5:$F$160,'菜谱BOM'!$A$5:$A$160,E747,'菜谱BOM'!$C$5:$C$160,"调料")</x:f>
        <x:v>60</x:v>
      </x:c>
      <x:c r="N747" s="38" t="n">
        <x:v>-0.0003654550366023217</x:v>
      </x:c>
      <x:c r="O747" s="35" t="n">
        <x:f>H747*M747*(1+N747)</x:f>
        <x:v>419.84650888462704</x:v>
      </x:c>
      <x:c r="P747" s="19" t="str">
        <x:f>IF(ABS(N747)&gt;'封面与口径'!$O$25,"机器调料需复核",IF(ABS(K747)&gt;0.02,"人工称重需复核","正常"))</x:f>
        <x:v>正常</x:v>
      </x:c>
      <x:c r="Q747" s="19" t="str">
        <x:v>唐凯</x:v>
      </x:c>
    </x:row>
    <x:row r="748">
      <x:c r="A748" s="19" t="str">
        <x:v>2026-07-08|S07|D15</x:v>
      </x:c>
      <x:c r="B748" s="34" t="n">
        <x:v>46211.5</x:v>
      </x:c>
      <x:c r="C748" s="19" t="str">
        <x:v>S07</x:v>
      </x:c>
      <x:c r="D748" s="19" t="str">
        <x:v>小和山店</x:v>
      </x:c>
      <x:c r="E748" s="19" t="str">
        <x:v>D15</x:v>
      </x:c>
      <x:c r="F748" s="19" t="str">
        <x:v>湘西土匪猪肝</x:v>
      </x:c>
      <x:c r="G748" s="19" t="str">
        <x:v>R1.0</x:v>
      </x:c>
      <x:c r="H748" s="20" t="n">
        <x:f>XLOOKUP(A748,'菜品日销量'!$A$5:$A$1124,'菜品日销量'!$G$5:$G$1124,0)</x:f>
        <x:v>7</x:v>
      </x:c>
      <x:c r="I748" s="20" t="n">
        <x:f>ROUNDUP(H748/2,0)</x:f>
        <x:v>4</x:v>
      </x:c>
      <x:c r="J748" s="22" t="n">
        <x:f>SUMIFS('菜谱BOM'!$F$5:$F$160,'菜谱BOM'!$A$5:$A$160,E748,'菜谱BOM'!$C$5:$C$160,"食材")</x:f>
        <x:v>470</x:v>
      </x:c>
      <x:c r="K748" s="38" t="n">
        <x:v>0.00796651336177404</x:v>
      </x:c>
      <x:c r="L748" s="35" t="n">
        <x:f>H748*J748*(1+K748)</x:f>
        <x:v>3316.209828960237</x:v>
      </x:c>
      <x:c r="M748" s="35" t="n">
        <x:f>SUMIFS('菜谱BOM'!$F$5:$F$160,'菜谱BOM'!$A$5:$A$160,E748,'菜谱BOM'!$C$5:$C$160,"调料")</x:f>
        <x:v>49</x:v>
      </x:c>
      <x:c r="N748" s="38" t="n">
        <x:v>0.0004884529706296635</x:v>
      </x:c>
      <x:c r="O748" s="35" t="n">
        <x:f>H748*M748*(1+N748)</x:f>
        <x:v>343.167539368926</x:v>
      </x:c>
      <x:c r="P748" s="19" t="str">
        <x:f>IF(ABS(N748)&gt;'封面与口径'!$O$25,"机器调料需复核",IF(ABS(K748)&gt;0.02,"人工称重需复核","正常"))</x:f>
        <x:v>正常</x:v>
      </x:c>
      <x:c r="Q748" s="19" t="str">
        <x:v>唐凯</x:v>
      </x:c>
    </x:row>
    <x:row r="749">
      <x:c r="A749" s="19" t="str">
        <x:v>2026-07-08|S07|D16</x:v>
      </x:c>
      <x:c r="B749" s="34" t="n">
        <x:v>46211.5</x:v>
      </x:c>
      <x:c r="C749" s="19" t="str">
        <x:v>S07</x:v>
      </x:c>
      <x:c r="D749" s="19" t="str">
        <x:v>小和山店</x:v>
      </x:c>
      <x:c r="E749" s="19" t="str">
        <x:v>D16</x:v>
      </x:c>
      <x:c r="F749" s="19" t="str">
        <x:v>小豆角炒五花</x:v>
      </x:c>
      <x:c r="G749" s="19" t="str">
        <x:v>R1.0</x:v>
      </x:c>
      <x:c r="H749" s="20" t="n">
        <x:f>XLOOKUP(A749,'菜品日销量'!$A$5:$A$1124,'菜品日销量'!$G$5:$G$1124,0)</x:f>
        <x:v>7</x:v>
      </x:c>
      <x:c r="I749" s="20" t="n">
        <x:f>ROUNDUP(H749/2,0)</x:f>
        <x:v>4</x:v>
      </x:c>
      <x:c r="J749" s="22" t="n">
        <x:f>SUMIFS('菜谱BOM'!$F$5:$F$160,'菜谱BOM'!$A$5:$A$160,E749,'菜谱BOM'!$C$5:$C$160,"食材")</x:f>
        <x:v>450</x:v>
      </x:c>
      <x:c r="K749" s="38" t="n">
        <x:v>0.004966578326413076</x:v>
      </x:c>
      <x:c r="L749" s="35" t="n">
        <x:f>H749*J749*(1+K749)</x:f>
        <x:v>3165.644721728201</x:v>
      </x:c>
      <x:c r="M749" s="35" t="n">
        <x:f>SUMIFS('菜谱BOM'!$F$5:$F$160,'菜谱BOM'!$A$5:$A$160,E749,'菜谱BOM'!$C$5:$C$160,"调料")</x:f>
        <x:v>42</x:v>
      </x:c>
      <x:c r="N749" s="38" t="n">
        <x:v>-0.0019131827279723211</x:v>
      </x:c>
      <x:c r="O749" s="35" t="n">
        <x:f>H749*M749*(1+N749)</x:f>
        <x:v>293.43752427797614</x:v>
      </x:c>
      <x:c r="P749" s="19" t="str">
        <x:f>IF(ABS(N749)&gt;'封面与口径'!$O$25,"机器调料需复核",IF(ABS(K749)&gt;0.02,"人工称重需复核","正常"))</x:f>
        <x:v>正常</x:v>
      </x:c>
      <x:c r="Q749" s="19" t="str">
        <x:v>唐凯</x:v>
      </x:c>
    </x:row>
    <x:row r="750">
      <x:c r="A750" s="19" t="str">
        <x:v>2026-07-08|S07|D18</x:v>
      </x:c>
      <x:c r="B750" s="34" t="n">
        <x:v>46211.5</x:v>
      </x:c>
      <x:c r="C750" s="19" t="str">
        <x:v>S07</x:v>
      </x:c>
      <x:c r="D750" s="19" t="str">
        <x:v>小和山店</x:v>
      </x:c>
      <x:c r="E750" s="19" t="str">
        <x:v>D18</x:v>
      </x:c>
      <x:c r="F750" s="19" t="str">
        <x:v>青椒炒油麦菜</x:v>
      </x:c>
      <x:c r="G750" s="19" t="str">
        <x:v>R1.0</x:v>
      </x:c>
      <x:c r="H750" s="20" t="n">
        <x:f>XLOOKUP(A750,'菜品日销量'!$A$5:$A$1124,'菜品日销量'!$G$5:$G$1124,0)</x:f>
        <x:v>7</x:v>
      </x:c>
      <x:c r="I750" s="20" t="n">
        <x:f>ROUNDUP(H750/2,0)</x:f>
        <x:v>4</x:v>
      </x:c>
      <x:c r="J750" s="22" t="n">
        <x:f>SUMIFS('菜谱BOM'!$F$5:$F$160,'菜谱BOM'!$A$5:$A$160,E750,'菜谱BOM'!$C$5:$C$160,"食材")</x:f>
        <x:v>430</x:v>
      </x:c>
      <x:c r="K750" s="38" t="n">
        <x:v>-0.006587416845976239</x:v>
      </x:c>
      <x:c r="L750" s="35" t="n">
        <x:f>H750*J750*(1+K750)</x:f>
        <x:v>2990.1718752936117</x:v>
      </x:c>
      <x:c r="M750" s="35" t="n">
        <x:f>SUMIFS('菜谱BOM'!$F$5:$F$160,'菜谱BOM'!$A$5:$A$160,E750,'菜谱BOM'!$C$5:$C$160,"调料")</x:f>
        <x:v>33</x:v>
      </x:c>
      <x:c r="N750" s="38" t="n">
        <x:v>-0.0007614830152041938</x:v>
      </x:c>
      <x:c r="O750" s="35" t="n">
        <x:f>H750*M750*(1+N750)</x:f>
        <x:v>230.82409742348784</x:v>
      </x:c>
      <x:c r="P750" s="19" t="str">
        <x:f>IF(ABS(N750)&gt;'封面与口径'!$O$25,"机器调料需复核",IF(ABS(K750)&gt;0.02,"人工称重需复核","正常"))</x:f>
        <x:v>正常</x:v>
      </x:c>
      <x:c r="Q750" s="19" t="str">
        <x:v>唐凯</x:v>
      </x:c>
    </x:row>
    <x:row r="751">
      <x:c r="A751" s="19" t="str">
        <x:v>2026-07-08|S07|D19</x:v>
      </x:c>
      <x:c r="B751" s="34" t="n">
        <x:v>46211.5</x:v>
      </x:c>
      <x:c r="C751" s="19" t="str">
        <x:v>S07</x:v>
      </x:c>
      <x:c r="D751" s="19" t="str">
        <x:v>小和山店</x:v>
      </x:c>
      <x:c r="E751" s="19" t="str">
        <x:v>D19</x:v>
      </x:c>
      <x:c r="F751" s="19" t="str">
        <x:v>酸萝卜炒鸡杂</x:v>
      </x:c>
      <x:c r="G751" s="19" t="str">
        <x:v>R1.0</x:v>
      </x:c>
      <x:c r="H751" s="20" t="n">
        <x:f>XLOOKUP(A751,'菜品日销量'!$A$5:$A$1124,'菜品日销量'!$G$5:$G$1124,0)</x:f>
        <x:v>6</x:v>
      </x:c>
      <x:c r="I751" s="20" t="n">
        <x:f>ROUNDUP(H751/2,0)</x:f>
        <x:v>3</x:v>
      </x:c>
      <x:c r="J751" s="22" t="n">
        <x:f>SUMIFS('菜谱BOM'!$F$5:$F$160,'菜谱BOM'!$A$5:$A$160,E751,'菜谱BOM'!$C$5:$C$160,"食材")</x:f>
        <x:v>500</x:v>
      </x:c>
      <x:c r="K751" s="38" t="n">
        <x:v>-0.0014200851231394537</x:v>
      </x:c>
      <x:c r="L751" s="35" t="n">
        <x:f>H751*J751*(1+K751)</x:f>
        <x:v>2995.7397446305818</x:v>
      </x:c>
      <x:c r="M751" s="35" t="n">
        <x:f>SUMIFS('菜谱BOM'!$F$5:$F$160,'菜谱BOM'!$A$5:$A$160,E751,'菜谱BOM'!$C$5:$C$160,"调料")</x:f>
        <x:v>55</x:v>
      </x:c>
      <x:c r="N751" s="38" t="n">
        <x:v>0.0005949171368486521</x:v>
      </x:c>
      <x:c r="O751" s="35" t="n">
        <x:f>H751*M751*(1+N751)</x:f>
        <x:v>330.1963226551601</x:v>
      </x:c>
      <x:c r="P751" s="19" t="str">
        <x:f>IF(ABS(N751)&gt;'封面与口径'!$O$25,"机器调料需复核",IF(ABS(K751)&gt;0.02,"人工称重需复核","正常"))</x:f>
        <x:v>正常</x:v>
      </x:c>
      <x:c r="Q751" s="19" t="str">
        <x:v>唐凯</x:v>
      </x:c>
    </x:row>
    <x:row r="752">
      <x:c r="A752" s="19" t="str">
        <x:v>2026-07-08|S07|D20</x:v>
      </x:c>
      <x:c r="B752" s="34" t="n">
        <x:v>46211.5</x:v>
      </x:c>
      <x:c r="C752" s="19" t="str">
        <x:v>S07</x:v>
      </x:c>
      <x:c r="D752" s="19" t="str">
        <x:v>小和山店</x:v>
      </x:c>
      <x:c r="E752" s="19" t="str">
        <x:v>D20</x:v>
      </x:c>
      <x:c r="F752" s="19" t="str">
        <x:v>雪菜肉末青豆</x:v>
      </x:c>
      <x:c r="G752" s="19" t="str">
        <x:v>R1.0</x:v>
      </x:c>
      <x:c r="H752" s="20" t="n">
        <x:f>XLOOKUP(A752,'菜品日销量'!$A$5:$A$1124,'菜品日销量'!$G$5:$G$1124,0)</x:f>
        <x:v>7</x:v>
      </x:c>
      <x:c r="I752" s="20" t="n">
        <x:f>ROUNDUP(H752/2,0)</x:f>
        <x:v>4</x:v>
      </x:c>
      <x:c r="J752" s="22" t="n">
        <x:f>SUMIFS('菜谱BOM'!$F$5:$F$160,'菜谱BOM'!$A$5:$A$160,E752,'菜谱BOM'!$C$5:$C$160,"食材")</x:f>
        <x:v>465</x:v>
      </x:c>
      <x:c r="K752" s="38" t="n">
        <x:v>-0.006732624523046572</x:v>
      </x:c>
      <x:c r="L752" s="35" t="n">
        <x:f>H752*J752*(1+K752)</x:f>
        <x:v>3233.0853071774836</x:v>
      </x:c>
      <x:c r="M752" s="35" t="n">
        <x:f>SUMIFS('菜谱BOM'!$F$5:$F$160,'菜谱BOM'!$A$5:$A$160,E752,'菜谱BOM'!$C$5:$C$160,"调料")</x:f>
        <x:v>32</x:v>
      </x:c>
      <x:c r="N752" s="38" t="n">
        <x:v>-0.0007335719733344326</x:v>
      </x:c>
      <x:c r="O752" s="35" t="n">
        <x:f>H752*M752*(1+N752)</x:f>
        <x:v>223.8356798779731</x:v>
      </x:c>
      <x:c r="P752" s="19" t="str">
        <x:f>IF(ABS(N752)&gt;'封面与口径'!$O$25,"机器调料需复核",IF(ABS(K752)&gt;0.02,"人工称重需复核","正常"))</x:f>
        <x:v>正常</x:v>
      </x:c>
      <x:c r="Q752" s="19" t="str">
        <x:v>唐凯</x:v>
      </x:c>
    </x:row>
    <x:row r="753">
      <x:c r="A753" s="19" t="str">
        <x:v>2026-07-09|S07|D01</x:v>
      </x:c>
      <x:c r="B753" s="34" t="n">
        <x:v>46212.5</x:v>
      </x:c>
      <x:c r="C753" s="19" t="str">
        <x:v>S07</x:v>
      </x:c>
      <x:c r="D753" s="19" t="str">
        <x:v>小和山店</x:v>
      </x:c>
      <x:c r="E753" s="19" t="str">
        <x:v>D01</x:v>
      </x:c>
      <x:c r="F753" s="19" t="str">
        <x:v>辣椒炒肉</x:v>
      </x:c>
      <x:c r="G753" s="19" t="str">
        <x:v>R2.3</x:v>
      </x:c>
      <x:c r="H753" s="20" t="n">
        <x:f>XLOOKUP(A753,'菜品日销量'!$A$5:$A$1124,'菜品日销量'!$G$5:$G$1124,0)</x:f>
        <x:v>43</x:v>
      </x:c>
      <x:c r="I753" s="20" t="n">
        <x:f>ROUNDUP(H753/2,0)</x:f>
        <x:v>22</x:v>
      </x:c>
      <x:c r="J753" s="22" t="n">
        <x:f>SUMIFS('菜谱BOM'!$F$5:$F$160,'菜谱BOM'!$A$5:$A$160,E753,'菜谱BOM'!$C$5:$C$160,"食材")</x:f>
        <x:v>550</x:v>
      </x:c>
      <x:c r="K753" s="38" t="n">
        <x:v>0.004527870285447657</x:v>
      </x:c>
      <x:c r="L753" s="35" t="n">
        <x:f>H753*J753*(1+K753)</x:f>
        <x:v>23757.08413225084</x:v>
      </x:c>
      <x:c r="M753" s="35" t="n">
        <x:f>SUMIFS('菜谱BOM'!$F$5:$F$160,'菜谱BOM'!$A$5:$A$160,E753,'菜谱BOM'!$C$5:$C$160,"调料")</x:f>
        <x:v>104</x:v>
      </x:c>
      <x:c r="N753" s="38" t="n">
        <x:v>-0.0006677861462039376</x:v>
      </x:c>
      <x:c r="O753" s="35" t="n">
        <x:f>H753*M753*(1+N753)</x:f>
        <x:v>4469.013660354176</x:v>
      </x:c>
      <x:c r="P753" s="19" t="str">
        <x:f>IF(ABS(N753)&gt;'封面与口径'!$O$25,"机器调料需复核",IF(ABS(K753)&gt;0.02,"人工称重需复核","正常"))</x:f>
        <x:v>正常</x:v>
      </x:c>
      <x:c r="Q753" s="19" t="str">
        <x:v>唐凯</x:v>
      </x:c>
    </x:row>
    <x:row r="754">
      <x:c r="A754" s="19" t="str">
        <x:v>2026-07-09|S07|D02</x:v>
      </x:c>
      <x:c r="B754" s="34" t="n">
        <x:v>46212.5</x:v>
      </x:c>
      <x:c r="C754" s="19" t="str">
        <x:v>S07</x:v>
      </x:c>
      <x:c r="D754" s="19" t="str">
        <x:v>小和山店</x:v>
      </x:c>
      <x:c r="E754" s="19" t="str">
        <x:v>D02</x:v>
      </x:c>
      <x:c r="F754" s="19" t="str">
        <x:v>小炒黄牛肉</x:v>
      </x:c>
      <x:c r="G754" s="19" t="str">
        <x:v>R2.3</x:v>
      </x:c>
      <x:c r="H754" s="20" t="n">
        <x:f>XLOOKUP(A754,'菜品日销量'!$A$5:$A$1124,'菜品日销量'!$G$5:$G$1124,0)</x:f>
        <x:v>28</x:v>
      </x:c>
      <x:c r="I754" s="20" t="n">
        <x:f>ROUNDUP(H754/2,0)</x:f>
        <x:v>14</x:v>
      </x:c>
      <x:c r="J754" s="22" t="n">
        <x:f>SUMIFS('菜谱BOM'!$F$5:$F$160,'菜谱BOM'!$A$5:$A$160,E754,'菜谱BOM'!$C$5:$C$160,"食材")</x:f>
        <x:v>560</x:v>
      </x:c>
      <x:c r="K754" s="38" t="n">
        <x:v>-0.0006110295375369095</x:v>
      </x:c>
      <x:c r="L754" s="35" t="n">
        <x:f>H754*J754*(1+K754)</x:f>
        <x:v>15670.419056851422</x:v>
      </x:c>
      <x:c r="M754" s="35" t="n">
        <x:f>SUMIFS('菜谱BOM'!$F$5:$F$160,'菜谱BOM'!$A$5:$A$160,E754,'菜谱BOM'!$C$5:$C$160,"调料")</x:f>
        <x:v>133</x:v>
      </x:c>
      <x:c r="N754" s="38" t="n">
        <x:v>0.001823387700091905</x:v>
      </x:c>
      <x:c r="O754" s="35" t="n">
        <x:f>H754*M754*(1+N754)</x:f>
        <x:v>3730.7902957951424</x:v>
      </x:c>
      <x:c r="P754" s="19" t="str">
        <x:f>IF(ABS(N754)&gt;'封面与口径'!$O$25,"机器调料需复核",IF(ABS(K754)&gt;0.02,"人工称重需复核","正常"))</x:f>
        <x:v>正常</x:v>
      </x:c>
      <x:c r="Q754" s="19" t="str">
        <x:v>唐凯</x:v>
      </x:c>
    </x:row>
    <x:row r="755">
      <x:c r="A755" s="19" t="str">
        <x:v>2026-07-09|S07|D03</x:v>
      </x:c>
      <x:c r="B755" s="34" t="n">
        <x:v>46212.5</x:v>
      </x:c>
      <x:c r="C755" s="19" t="str">
        <x:v>S07</x:v>
      </x:c>
      <x:c r="D755" s="19" t="str">
        <x:v>小和山店</x:v>
      </x:c>
      <x:c r="E755" s="19" t="str">
        <x:v>D03</x:v>
      </x:c>
      <x:c r="F755" s="19" t="str">
        <x:v>香醋炒蛋</x:v>
      </x:c>
      <x:c r="G755" s="19" t="str">
        <x:v>R1.0</x:v>
      </x:c>
      <x:c r="H755" s="20" t="n">
        <x:f>XLOOKUP(A755,'菜品日销量'!$A$5:$A$1124,'菜品日销量'!$G$5:$G$1124,0)</x:f>
        <x:v>36</x:v>
      </x:c>
      <x:c r="I755" s="20" t="n">
        <x:f>ROUNDUP(H755/2,0)</x:f>
        <x:v>18</x:v>
      </x:c>
      <x:c r="J755" s="22" t="n">
        <x:f>SUMIFS('菜谱BOM'!$F$5:$F$160,'菜谱BOM'!$A$5:$A$160,E755,'菜谱BOM'!$C$5:$C$160,"食材")</x:f>
        <x:v>300</x:v>
      </x:c>
      <x:c r="K755" s="38" t="n">
        <x:v>-0.006834753937747971</x:v>
      </x:c>
      <x:c r="L755" s="35" t="n">
        <x:f>H755*J755*(1+K755)</x:f>
        <x:v>10726.184657472322</x:v>
      </x:c>
      <x:c r="M755" s="35" t="n">
        <x:f>SUMIFS('菜谱BOM'!$F$5:$F$160,'菜谱BOM'!$A$5:$A$160,E755,'菜谱BOM'!$C$5:$C$160,"调料")</x:f>
        <x:v>53</x:v>
      </x:c>
      <x:c r="N755" s="38" t="n">
        <x:v>0.0007171128016703561</x:v>
      </x:c>
      <x:c r="O755" s="35" t="n">
        <x:f>H755*M755*(1+N755)</x:f>
        <x:v>1909.3682512255868</x:v>
      </x:c>
      <x:c r="P755" s="19" t="str">
        <x:f>IF(ABS(N755)&gt;'封面与口径'!$O$25,"机器调料需复核",IF(ABS(K755)&gt;0.02,"人工称重需复核","正常"))</x:f>
        <x:v>正常</x:v>
      </x:c>
      <x:c r="Q755" s="19" t="str">
        <x:v>唐凯</x:v>
      </x:c>
    </x:row>
    <x:row r="756">
      <x:c r="A756" s="19" t="str">
        <x:v>2026-07-09|S07|D04</x:v>
      </x:c>
      <x:c r="B756" s="34" t="n">
        <x:v>46212.5</x:v>
      </x:c>
      <x:c r="C756" s="19" t="str">
        <x:v>S07</x:v>
      </x:c>
      <x:c r="D756" s="19" t="str">
        <x:v>小和山店</x:v>
      </x:c>
      <x:c r="E756" s="19" t="str">
        <x:v>D04</x:v>
      </x:c>
      <x:c r="F756" s="19" t="str">
        <x:v>酸包菜炒粉皮</x:v>
      </x:c>
      <x:c r="G756" s="19" t="str">
        <x:v>R1.0</x:v>
      </x:c>
      <x:c r="H756" s="20" t="n">
        <x:f>XLOOKUP(A756,'菜品日销量'!$A$5:$A$1124,'菜品日销量'!$G$5:$G$1124,0)</x:f>
        <x:v>35</x:v>
      </x:c>
      <x:c r="I756" s="20" t="n">
        <x:f>ROUNDUP(H756/2,0)</x:f>
        <x:v>18</x:v>
      </x:c>
      <x:c r="J756" s="22" t="n">
        <x:f>SUMIFS('菜谱BOM'!$F$5:$F$160,'菜谱BOM'!$A$5:$A$160,E756,'菜谱BOM'!$C$5:$C$160,"食材")</x:f>
        <x:v>380</x:v>
      </x:c>
      <x:c r="K756" s="38" t="n">
        <x:v>0.004687862462524293</x:v>
      </x:c>
      <x:c r="L756" s="35" t="n">
        <x:f>H756*J756*(1+K756)</x:f>
        <x:v>13362.348570751574</x:v>
      </x:c>
      <x:c r="M756" s="35" t="n">
        <x:f>SUMIFS('菜谱BOM'!$F$5:$F$160,'菜谱BOM'!$A$5:$A$160,E756,'菜谱BOM'!$C$5:$C$160,"调料")</x:f>
        <x:v>47</x:v>
      </x:c>
      <x:c r="N756" s="38" t="n">
        <x:v>-0.001779075462319673</x:v>
      </x:c>
      <x:c r="O756" s="35" t="n">
        <x:f>H756*M756*(1+N756)</x:f>
        <x:v>1642.073420864484</x:v>
      </x:c>
      <x:c r="P756" s="19" t="str">
        <x:f>IF(ABS(N756)&gt;'封面与口径'!$O$25,"机器调料需复核",IF(ABS(K756)&gt;0.02,"人工称重需复核","正常"))</x:f>
        <x:v>正常</x:v>
      </x:c>
      <x:c r="Q756" s="19" t="str">
        <x:v>唐凯</x:v>
      </x:c>
    </x:row>
    <x:row r="757">
      <x:c r="A757" s="19" t="str">
        <x:v>2026-07-09|S07|D05</x:v>
      </x:c>
      <x:c r="B757" s="34" t="n">
        <x:v>46212.5</x:v>
      </x:c>
      <x:c r="C757" s="19" t="str">
        <x:v>S07</x:v>
      </x:c>
      <x:c r="D757" s="19" t="str">
        <x:v>小和山店</x:v>
      </x:c>
      <x:c r="E757" s="19" t="str">
        <x:v>D05</x:v>
      </x:c>
      <x:c r="F757" s="19" t="str">
        <x:v>麻婆豆腐</x:v>
      </x:c>
      <x:c r="G757" s="19" t="str">
        <x:v>R1.0</x:v>
      </x:c>
      <x:c r="H757" s="20" t="n">
        <x:f>XLOOKUP(A757,'菜品日销量'!$A$5:$A$1124,'菜品日销量'!$G$5:$G$1124,0)</x:f>
        <x:v>50</x:v>
      </x:c>
      <x:c r="I757" s="20" t="n">
        <x:f>ROUNDUP(H757/2,0)</x:f>
        <x:v>25</x:v>
      </x:c>
      <x:c r="J757" s="22" t="n">
        <x:f>SUMIFS('菜谱BOM'!$F$5:$F$160,'菜谱BOM'!$A$5:$A$160,E757,'菜谱BOM'!$C$5:$C$160,"食材")</x:f>
        <x:v>505</x:v>
      </x:c>
      <x:c r="K757" s="38" t="n">
        <x:v>0.002699522020923794</x:v>
      </x:c>
      <x:c r="L757" s="35" t="n">
        <x:f>H757*J757*(1+K757)</x:f>
        <x:v>25318.162931028328</x:v>
      </x:c>
      <x:c r="M757" s="35" t="n">
        <x:f>SUMIFS('菜谱BOM'!$F$5:$F$160,'菜谱BOM'!$A$5:$A$160,E757,'菜谱BOM'!$C$5:$C$160,"调料")</x:f>
        <x:v>90</x:v>
      </x:c>
      <x:c r="N757" s="38" t="n">
        <x:v>0.0019108455050529086</x:v>
      </x:c>
      <x:c r="O757" s="35" t="n">
        <x:f>H757*M757*(1+N757)</x:f>
        <x:v>4508.598804772738</x:v>
      </x:c>
      <x:c r="P757" s="19" t="str">
        <x:f>IF(ABS(N757)&gt;'封面与口径'!$O$25,"机器调料需复核",IF(ABS(K757)&gt;0.02,"人工称重需复核","正常"))</x:f>
        <x:v>正常</x:v>
      </x:c>
      <x:c r="Q757" s="19" t="str">
        <x:v>唐凯</x:v>
      </x:c>
    </x:row>
    <x:row r="758">
      <x:c r="A758" s="19" t="str">
        <x:v>2026-07-09|S07|D07</x:v>
      </x:c>
      <x:c r="B758" s="34" t="n">
        <x:v>46212.5</x:v>
      </x:c>
      <x:c r="C758" s="19" t="str">
        <x:v>S07</x:v>
      </x:c>
      <x:c r="D758" s="19" t="str">
        <x:v>小和山店</x:v>
      </x:c>
      <x:c r="E758" s="19" t="str">
        <x:v>D07</x:v>
      </x:c>
      <x:c r="F758" s="19" t="str">
        <x:v>川味回锅肉</x:v>
      </x:c>
      <x:c r="G758" s="19" t="str">
        <x:v>R1.0</x:v>
      </x:c>
      <x:c r="H758" s="20" t="n">
        <x:f>XLOOKUP(A758,'菜品日销量'!$A$5:$A$1124,'菜品日销量'!$G$5:$G$1124,0)</x:f>
        <x:v>13</x:v>
      </x:c>
      <x:c r="I758" s="20" t="n">
        <x:f>ROUNDUP(H758/2,0)</x:f>
        <x:v>7</x:v>
      </x:c>
      <x:c r="J758" s="22" t="n">
        <x:f>SUMIFS('菜谱BOM'!$F$5:$F$160,'菜谱BOM'!$A$5:$A$160,E758,'菜谱BOM'!$C$5:$C$160,"食材")</x:f>
        <x:v>450</x:v>
      </x:c>
      <x:c r="K758" s="38" t="n">
        <x:v>0.007293809007688847</x:v>
      </x:c>
      <x:c r="L758" s="35" t="n">
        <x:f>H758*J758*(1+K758)</x:f>
        <x:v>5892.66878269498</x:v>
      </x:c>
      <x:c r="M758" s="35" t="n">
        <x:f>SUMIFS('菜谱BOM'!$F$5:$F$160,'菜谱BOM'!$A$5:$A$160,E758,'菜谱BOM'!$C$5:$C$160,"调料")</x:f>
        <x:v>63</x:v>
      </x:c>
      <x:c r="N758" s="38" t="n">
        <x:v>0.001873066086292515</x:v>
      </x:c>
      <x:c r="O758" s="35" t="n">
        <x:f>H758*M758*(1+N758)</x:f>
        <x:v>820.5340411246735</x:v>
      </x:c>
      <x:c r="P758" s="19" t="str">
        <x:f>IF(ABS(N758)&gt;'封面与口径'!$O$25,"机器调料需复核",IF(ABS(K758)&gt;0.02,"人工称重需复核","正常"))</x:f>
        <x:v>正常</x:v>
      </x:c>
      <x:c r="Q758" s="19" t="str">
        <x:v>唐凯</x:v>
      </x:c>
    </x:row>
    <x:row r="759">
      <x:c r="A759" s="19" t="str">
        <x:v>2026-07-09|S07|D08</x:v>
      </x:c>
      <x:c r="B759" s="34" t="n">
        <x:v>46212.5</x:v>
      </x:c>
      <x:c r="C759" s="19" t="str">
        <x:v>S07</x:v>
      </x:c>
      <x:c r="D759" s="19" t="str">
        <x:v>小和山店</x:v>
      </x:c>
      <x:c r="E759" s="19" t="str">
        <x:v>D08</x:v>
      </x:c>
      <x:c r="F759" s="19" t="str">
        <x:v>生炒清远鸡</x:v>
      </x:c>
      <x:c r="G759" s="19" t="str">
        <x:v>R1.0</x:v>
      </x:c>
      <x:c r="H759" s="20" t="n">
        <x:f>XLOOKUP(A759,'菜品日销量'!$A$5:$A$1124,'菜品日销量'!$G$5:$G$1124,0)</x:f>
        <x:v>11</x:v>
      </x:c>
      <x:c r="I759" s="20" t="n">
        <x:f>ROUNDUP(H759/2,0)</x:f>
        <x:v>6</x:v>
      </x:c>
      <x:c r="J759" s="22" t="n">
        <x:f>SUMIFS('菜谱BOM'!$F$5:$F$160,'菜谱BOM'!$A$5:$A$160,E759,'菜谱BOM'!$C$5:$C$160,"食材")</x:f>
        <x:v>610</x:v>
      </x:c>
      <x:c r="K759" s="38" t="n">
        <x:v>-0.0023199118772335146</x:v>
      </x:c>
      <x:c r="L759" s="35" t="n">
        <x:f>H759*J759*(1+K759)</x:f>
        <x:v>6694.4333913037635</x:v>
      </x:c>
      <x:c r="M759" s="35" t="n">
        <x:f>SUMIFS('菜谱BOM'!$F$5:$F$160,'菜谱BOM'!$A$5:$A$160,E759,'菜谱BOM'!$C$5:$C$160,"调料")</x:f>
        <x:v>61</x:v>
      </x:c>
      <x:c r="N759" s="38" t="n">
        <x:v>-0.0010303406042583149</x:v>
      </x:c>
      <x:c r="O759" s="35" t="n">
        <x:f>H759*M759*(1+N759)</x:f>
        <x:v>670.3086414545427</x:v>
      </x:c>
      <x:c r="P759" s="19" t="str">
        <x:f>IF(ABS(N759)&gt;'封面与口径'!$O$25,"机器调料需复核",IF(ABS(K759)&gt;0.02,"人工称重需复核","正常"))</x:f>
        <x:v>正常</x:v>
      </x:c>
      <x:c r="Q759" s="19" t="str">
        <x:v>唐凯</x:v>
      </x:c>
    </x:row>
    <x:row r="760">
      <x:c r="A760" s="19" t="str">
        <x:v>2026-07-09|S07|D09</x:v>
      </x:c>
      <x:c r="B760" s="34" t="n">
        <x:v>46212.5</x:v>
      </x:c>
      <x:c r="C760" s="19" t="str">
        <x:v>S07</x:v>
      </x:c>
      <x:c r="D760" s="19" t="str">
        <x:v>小和山店</x:v>
      </x:c>
      <x:c r="E760" s="19" t="str">
        <x:v>D09</x:v>
      </x:c>
      <x:c r="F760" s="19" t="str">
        <x:v>炒豆干</x:v>
      </x:c>
      <x:c r="G760" s="19" t="str">
        <x:v>R1.0</x:v>
      </x:c>
      <x:c r="H760" s="20" t="n">
        <x:f>XLOOKUP(A760,'菜品日销量'!$A$5:$A$1124,'菜品日销量'!$G$5:$G$1124,0)</x:f>
        <x:v>14</x:v>
      </x:c>
      <x:c r="I760" s="20" t="n">
        <x:f>ROUNDUP(H760/2,0)</x:f>
        <x:v>7</x:v>
      </x:c>
      <x:c r="J760" s="22" t="n">
        <x:f>SUMIFS('菜谱BOM'!$F$5:$F$160,'菜谱BOM'!$A$5:$A$160,E760,'菜谱BOM'!$C$5:$C$160,"食材")</x:f>
        <x:v>520</x:v>
      </x:c>
      <x:c r="K760" s="38" t="n">
        <x:v>-0.006484815224652369</x:v>
      </x:c>
      <x:c r="L760" s="35" t="n">
        <x:f>H760*J760*(1+K760)</x:f>
        <x:v>7232.790545164531</x:v>
      </x:c>
      <x:c r="M760" s="35" t="n">
        <x:f>SUMIFS('菜谱BOM'!$F$5:$F$160,'菜谱BOM'!$A$5:$A$160,E760,'菜谱BOM'!$C$5:$C$160,"调料")</x:f>
        <x:v>42</x:v>
      </x:c>
      <x:c r="N760" s="38" t="n">
        <x:v>0.0019066063891878832</x:v>
      </x:c>
      <x:c r="O760" s="35" t="n">
        <x:f>H760*M760*(1+N760)</x:f>
        <x:v>589.1210845568426</x:v>
      </x:c>
      <x:c r="P760" s="19" t="str">
        <x:f>IF(ABS(N760)&gt;'封面与口径'!$O$25,"机器调料需复核",IF(ABS(K760)&gt;0.02,"人工称重需复核","正常"))</x:f>
        <x:v>正常</x:v>
      </x:c>
      <x:c r="Q760" s="19" t="str">
        <x:v>唐凯</x:v>
      </x:c>
    </x:row>
    <x:row r="761">
      <x:c r="A761" s="19" t="str">
        <x:v>2026-07-09|S07|D10</x:v>
      </x:c>
      <x:c r="B761" s="34" t="n">
        <x:v>46212.5</x:v>
      </x:c>
      <x:c r="C761" s="19" t="str">
        <x:v>S07</x:v>
      </x:c>
      <x:c r="D761" s="19" t="str">
        <x:v>小和山店</x:v>
      </x:c>
      <x:c r="E761" s="19" t="str">
        <x:v>D10</x:v>
      </x:c>
      <x:c r="F761" s="19" t="str">
        <x:v>农家一碗香</x:v>
      </x:c>
      <x:c r="G761" s="19" t="str">
        <x:v>R2.3</x:v>
      </x:c>
      <x:c r="H761" s="20" t="n">
        <x:f>XLOOKUP(A761,'菜品日销量'!$A$5:$A$1124,'菜品日销量'!$G$5:$G$1124,0)</x:f>
        <x:v>17</x:v>
      </x:c>
      <x:c r="I761" s="20" t="n">
        <x:f>ROUNDUP(H761/2,0)</x:f>
        <x:v>9</x:v>
      </x:c>
      <x:c r="J761" s="22" t="n">
        <x:f>SUMIFS('菜谱BOM'!$F$5:$F$160,'菜谱BOM'!$A$5:$A$160,E761,'菜谱BOM'!$C$5:$C$160,"食材")</x:f>
        <x:v>510</x:v>
      </x:c>
      <x:c r="K761" s="38" t="n">
        <x:v>0.006866072531525528</x:v>
      </x:c>
      <x:c r="L761" s="35" t="n">
        <x:f>H761*J761*(1+K761)</x:f>
        <x:v>8729.528848848326</x:v>
      </x:c>
      <x:c r="M761" s="35" t="n">
        <x:f>SUMIFS('菜谱BOM'!$F$5:$F$160,'菜谱BOM'!$A$5:$A$160,E761,'菜谱BOM'!$C$5:$C$160,"调料")</x:f>
        <x:v>88</x:v>
      </x:c>
      <x:c r="N761" s="38" t="n">
        <x:v>0.00027132690657659576</x:v>
      </x:c>
      <x:c r="O761" s="35" t="n">
        <x:f>H761*M761*(1+N761)</x:f>
        <x:v>1496.4059050522385</x:v>
      </x:c>
      <x:c r="P761" s="19" t="str">
        <x:f>IF(ABS(N761)&gt;'封面与口径'!$O$25,"机器调料需复核",IF(ABS(K761)&gt;0.02,"人工称重需复核","正常"))</x:f>
        <x:v>正常</x:v>
      </x:c>
      <x:c r="Q761" s="19" t="str">
        <x:v>唐凯</x:v>
      </x:c>
    </x:row>
    <x:row r="762">
      <x:c r="A762" s="19" t="str">
        <x:v>2026-07-09|S07|D11</x:v>
      </x:c>
      <x:c r="B762" s="34" t="n">
        <x:v>46212.5</x:v>
      </x:c>
      <x:c r="C762" s="19" t="str">
        <x:v>S07</x:v>
      </x:c>
      <x:c r="D762" s="19" t="str">
        <x:v>小和山店</x:v>
      </x:c>
      <x:c r="E762" s="19" t="str">
        <x:v>D11</x:v>
      </x:c>
      <x:c r="F762" s="19" t="str">
        <x:v>香辣爆肥肠</x:v>
      </x:c>
      <x:c r="G762" s="19" t="str">
        <x:v>R1.0</x:v>
      </x:c>
      <x:c r="H762" s="20" t="n">
        <x:f>XLOOKUP(A762,'菜品日销量'!$A$5:$A$1124,'菜品日销量'!$G$5:$G$1124,0)</x:f>
        <x:v>6</x:v>
      </x:c>
      <x:c r="I762" s="20" t="n">
        <x:f>ROUNDUP(H762/2,0)</x:f>
        <x:v>3</x:v>
      </x:c>
      <x:c r="J762" s="22" t="n">
        <x:f>SUMIFS('菜谱BOM'!$F$5:$F$160,'菜谱BOM'!$A$5:$A$160,E762,'菜谱BOM'!$C$5:$C$160,"食材")</x:f>
        <x:v>430</x:v>
      </x:c>
      <x:c r="K762" s="38" t="n">
        <x:v>-0.0072953132128564906</x:v>
      </x:c>
      <x:c r="L762" s="35" t="n">
        <x:f>H762*J762*(1+K762)</x:f>
        <x:v>2561.17809191083</x:v>
      </x:c>
      <x:c r="M762" s="35" t="n">
        <x:f>SUMIFS('菜谱BOM'!$F$5:$F$160,'菜谱BOM'!$A$5:$A$160,E762,'菜谱BOM'!$C$5:$C$160,"调料")</x:f>
        <x:v>67</x:v>
      </x:c>
      <x:c r="N762" s="38" t="n">
        <x:v>0.001377697887685545</x:v>
      </x:c>
      <x:c r="O762" s="35" t="n">
        <x:f>H762*M762*(1+N762)</x:f>
        <x:v>402.5538345508496</x:v>
      </x:c>
      <x:c r="P762" s="19" t="str">
        <x:f>IF(ABS(N762)&gt;'封面与口径'!$O$25,"机器调料需复核",IF(ABS(K762)&gt;0.02,"人工称重需复核","正常"))</x:f>
        <x:v>正常</x:v>
      </x:c>
      <x:c r="Q762" s="19" t="str">
        <x:v>唐凯</x:v>
      </x:c>
    </x:row>
    <x:row r="763">
      <x:c r="A763" s="19" t="str">
        <x:v>2026-07-09|S07|D13</x:v>
      </x:c>
      <x:c r="B763" s="34" t="n">
        <x:v>46212.5</x:v>
      </x:c>
      <x:c r="C763" s="19" t="str">
        <x:v>S07</x:v>
      </x:c>
      <x:c r="D763" s="19" t="str">
        <x:v>小和山店</x:v>
      </x:c>
      <x:c r="E763" s="19" t="str">
        <x:v>D13</x:v>
      </x:c>
      <x:c r="F763" s="19" t="str">
        <x:v>外婆菜炒蛋</x:v>
      </x:c>
      <x:c r="G763" s="19" t="str">
        <x:v>R1.0</x:v>
      </x:c>
      <x:c r="H763" s="20" t="n">
        <x:f>XLOOKUP(A763,'菜品日销量'!$A$5:$A$1124,'菜品日销量'!$G$5:$G$1124,0)</x:f>
        <x:v>15</x:v>
      </x:c>
      <x:c r="I763" s="20" t="n">
        <x:f>ROUNDUP(H763/2,0)</x:f>
        <x:v>8</x:v>
      </x:c>
      <x:c r="J763" s="22" t="n">
        <x:f>SUMIFS('菜谱BOM'!$F$5:$F$160,'菜谱BOM'!$A$5:$A$160,E763,'菜谱BOM'!$C$5:$C$160,"食材")</x:f>
        <x:v>450</x:v>
      </x:c>
      <x:c r="K763" s="38" t="n">
        <x:v>-0.0025448894599789966</x:v>
      </x:c>
      <x:c r="L763" s="35" t="n">
        <x:f>H763*J763*(1+K763)</x:f>
        <x:v>6732.821996145141</x:v>
      </x:c>
      <x:c r="M763" s="35" t="n">
        <x:f>SUMIFS('菜谱BOM'!$F$5:$F$160,'菜谱BOM'!$A$5:$A$160,E763,'菜谱BOM'!$C$5:$C$160,"调料")</x:f>
        <x:v>37</x:v>
      </x:c>
      <x:c r="N763" s="38" t="n">
        <x:v>-0.00017002980368445387</x:v>
      </x:c>
      <x:c r="O763" s="35" t="n">
        <x:f>H763*M763*(1+N763)</x:f>
        <x:v>554.9056334589551</x:v>
      </x:c>
      <x:c r="P763" s="19" t="str">
        <x:f>IF(ABS(N763)&gt;'封面与口径'!$O$25,"机器调料需复核",IF(ABS(K763)&gt;0.02,"人工称重需复核","正常"))</x:f>
        <x:v>正常</x:v>
      </x:c>
      <x:c r="Q763" s="19" t="str">
        <x:v>唐凯</x:v>
      </x:c>
    </x:row>
    <x:row r="764">
      <x:c r="A764" s="19" t="str">
        <x:v>2026-07-09|S07|D14</x:v>
      </x:c>
      <x:c r="B764" s="34" t="n">
        <x:v>46212.5</x:v>
      </x:c>
      <x:c r="C764" s="19" t="str">
        <x:v>S07</x:v>
      </x:c>
      <x:c r="D764" s="19" t="str">
        <x:v>小和山店</x:v>
      </x:c>
      <x:c r="E764" s="19" t="str">
        <x:v>D14</x:v>
      </x:c>
      <x:c r="F764" s="19" t="str">
        <x:v>酸辣鸡杂</x:v>
      </x:c>
      <x:c r="G764" s="19" t="str">
        <x:v>R1.0</x:v>
      </x:c>
      <x:c r="H764" s="20" t="n">
        <x:f>XLOOKUP(A764,'菜品日销量'!$A$5:$A$1124,'菜品日销量'!$G$5:$G$1124,0)</x:f>
        <x:v>7</x:v>
      </x:c>
      <x:c r="I764" s="20" t="n">
        <x:f>ROUNDUP(H764/2,0)</x:f>
        <x:v>4</x:v>
      </x:c>
      <x:c r="J764" s="22" t="n">
        <x:f>SUMIFS('菜谱BOM'!$F$5:$F$160,'菜谱BOM'!$A$5:$A$160,E764,'菜谱BOM'!$C$5:$C$160,"食材")</x:f>
        <x:v>470</x:v>
      </x:c>
      <x:c r="K764" s="38" t="n">
        <x:v>0.0068117288460051014</x:v>
      </x:c>
      <x:c r="L764" s="35" t="n">
        <x:f>H764*J764*(1+K764)</x:f>
        <x:v>3312.4105879033564</x:v>
      </x:c>
      <x:c r="M764" s="35" t="n">
        <x:f>SUMIFS('菜谱BOM'!$F$5:$F$160,'菜谱BOM'!$A$5:$A$160,E764,'菜谱BOM'!$C$5:$C$160,"调料")</x:f>
        <x:v>60</x:v>
      </x:c>
      <x:c r="N764" s="38" t="n">
        <x:v>-0.0015816855401689387</x:v>
      </x:c>
      <x:c r="O764" s="35" t="n">
        <x:f>H764*M764*(1+N764)</x:f>
        <x:v>419.33569207312905</x:v>
      </x:c>
      <x:c r="P764" s="19" t="str">
        <x:f>IF(ABS(N764)&gt;'封面与口径'!$O$25,"机器调料需复核",IF(ABS(K764)&gt;0.02,"人工称重需复核","正常"))</x:f>
        <x:v>正常</x:v>
      </x:c>
      <x:c r="Q764" s="19" t="str">
        <x:v>唐凯</x:v>
      </x:c>
    </x:row>
    <x:row r="765">
      <x:c r="A765" s="19" t="str">
        <x:v>2026-07-09|S07|D15</x:v>
      </x:c>
      <x:c r="B765" s="34" t="n">
        <x:v>46212.5</x:v>
      </x:c>
      <x:c r="C765" s="19" t="str">
        <x:v>S07</x:v>
      </x:c>
      <x:c r="D765" s="19" t="str">
        <x:v>小和山店</x:v>
      </x:c>
      <x:c r="E765" s="19" t="str">
        <x:v>D15</x:v>
      </x:c>
      <x:c r="F765" s="19" t="str">
        <x:v>湘西土匪猪肝</x:v>
      </x:c>
      <x:c r="G765" s="19" t="str">
        <x:v>R1.0</x:v>
      </x:c>
      <x:c r="H765" s="20" t="n">
        <x:f>XLOOKUP(A765,'菜品日销量'!$A$5:$A$1124,'菜品日销量'!$G$5:$G$1124,0)</x:f>
        <x:v>7</x:v>
      </x:c>
      <x:c r="I765" s="20" t="n">
        <x:f>ROUNDUP(H765/2,0)</x:f>
        <x:v>4</x:v>
      </x:c>
      <x:c r="J765" s="22" t="n">
        <x:f>SUMIFS('菜谱BOM'!$F$5:$F$160,'菜谱BOM'!$A$5:$A$160,E765,'菜谱BOM'!$C$5:$C$160,"食材")</x:f>
        <x:v>470</x:v>
      </x:c>
      <x:c r="K765" s="38" t="n">
        <x:v>0.007343878134932341</x:v>
      </x:c>
      <x:c r="L765" s="35" t="n">
        <x:f>H765*J765*(1+K765)</x:f>
        <x:v>3314.1613590639276</x:v>
      </x:c>
      <x:c r="M765" s="35" t="n">
        <x:f>SUMIFS('菜谱BOM'!$F$5:$F$160,'菜谱BOM'!$A$5:$A$160,E765,'菜谱BOM'!$C$5:$C$160,"调料")</x:f>
        <x:v>49</x:v>
      </x:c>
      <x:c r="N765" s="38" t="n">
        <x:v>0.0011006356317318593</x:v>
      </x:c>
      <x:c r="O765" s="35" t="n">
        <x:f>H765*M765*(1+N765)</x:f>
        <x:v>343.377518021684</x:v>
      </x:c>
      <x:c r="P765" s="19" t="str">
        <x:f>IF(ABS(N765)&gt;'封面与口径'!$O$25,"机器调料需复核",IF(ABS(K765)&gt;0.02,"人工称重需复核","正常"))</x:f>
        <x:v>正常</x:v>
      </x:c>
      <x:c r="Q765" s="19" t="str">
        <x:v>唐凯</x:v>
      </x:c>
    </x:row>
    <x:row r="766">
      <x:c r="A766" s="19" t="str">
        <x:v>2026-07-09|S07|D16</x:v>
      </x:c>
      <x:c r="B766" s="34" t="n">
        <x:v>46212.5</x:v>
      </x:c>
      <x:c r="C766" s="19" t="str">
        <x:v>S07</x:v>
      </x:c>
      <x:c r="D766" s="19" t="str">
        <x:v>小和山店</x:v>
      </x:c>
      <x:c r="E766" s="19" t="str">
        <x:v>D16</x:v>
      </x:c>
      <x:c r="F766" s="19" t="str">
        <x:v>小豆角炒五花</x:v>
      </x:c>
      <x:c r="G766" s="19" t="str">
        <x:v>R1.0</x:v>
      </x:c>
      <x:c r="H766" s="20" t="n">
        <x:f>XLOOKUP(A766,'菜品日销量'!$A$5:$A$1124,'菜品日销量'!$G$5:$G$1124,0)</x:f>
        <x:v>6</x:v>
      </x:c>
      <x:c r="I766" s="20" t="n">
        <x:f>ROUNDUP(H766/2,0)</x:f>
        <x:v>3</x:v>
      </x:c>
      <x:c r="J766" s="22" t="n">
        <x:f>SUMIFS('菜谱BOM'!$F$5:$F$160,'菜谱BOM'!$A$5:$A$160,E766,'菜谱BOM'!$C$5:$C$160,"食材")</x:f>
        <x:v>450</x:v>
      </x:c>
      <x:c r="K766" s="38" t="n">
        <x:v>-0.0011519736631661593</x:v>
      </x:c>
      <x:c r="L766" s="35" t="n">
        <x:f>H766*J766*(1+K766)</x:f>
        <x:v>2696.8896711094517</x:v>
      </x:c>
      <x:c r="M766" s="35" t="n">
        <x:f>SUMIFS('菜谱BOM'!$F$5:$F$160,'菜谱BOM'!$A$5:$A$160,E766,'菜谱BOM'!$C$5:$C$160,"调料")</x:f>
        <x:v>42</x:v>
      </x:c>
      <x:c r="N766" s="38" t="n">
        <x:v>-0.0015881309200981937</x:v>
      </x:c>
      <x:c r="O766" s="35" t="n">
        <x:f>H766*M766*(1+N766)</x:f>
        <x:v>251.59979100813524</x:v>
      </x:c>
      <x:c r="P766" s="19" t="str">
        <x:f>IF(ABS(N766)&gt;'封面与口径'!$O$25,"机器调料需复核",IF(ABS(K766)&gt;0.02,"人工称重需复核","正常"))</x:f>
        <x:v>正常</x:v>
      </x:c>
      <x:c r="Q766" s="19" t="str">
        <x:v>唐凯</x:v>
      </x:c>
    </x:row>
    <x:row r="767">
      <x:c r="A767" s="19" t="str">
        <x:v>2026-07-09|S07|D18</x:v>
      </x:c>
      <x:c r="B767" s="34" t="n">
        <x:v>46212.5</x:v>
      </x:c>
      <x:c r="C767" s="19" t="str">
        <x:v>S07</x:v>
      </x:c>
      <x:c r="D767" s="19" t="str">
        <x:v>小和山店</x:v>
      </x:c>
      <x:c r="E767" s="19" t="str">
        <x:v>D18</x:v>
      </x:c>
      <x:c r="F767" s="19" t="str">
        <x:v>青椒炒油麦菜</x:v>
      </x:c>
      <x:c r="G767" s="19" t="str">
        <x:v>R1.0</x:v>
      </x:c>
      <x:c r="H767" s="20" t="n">
        <x:f>XLOOKUP(A767,'菜品日销量'!$A$5:$A$1124,'菜品日销量'!$G$5:$G$1124,0)</x:f>
        <x:v>7</x:v>
      </x:c>
      <x:c r="I767" s="20" t="n">
        <x:f>ROUNDUP(H767/2,0)</x:f>
        <x:v>4</x:v>
      </x:c>
      <x:c r="J767" s="22" t="n">
        <x:f>SUMIFS('菜谱BOM'!$F$5:$F$160,'菜谱BOM'!$A$5:$A$160,E767,'菜谱BOM'!$C$5:$C$160,"食材")</x:f>
        <x:v>430</x:v>
      </x:c>
      <x:c r="K767" s="38" t="n">
        <x:v>-0.0014496893643982914</x:v>
      </x:c>
      <x:c r="L767" s="35" t="n">
        <x:f>H767*J767*(1+K767)</x:f>
        <x:v>3005.636435013161</x:v>
      </x:c>
      <x:c r="M767" s="35" t="n">
        <x:f>SUMIFS('菜谱BOM'!$F$5:$F$160,'菜谱BOM'!$A$5:$A$160,E767,'菜谱BOM'!$C$5:$C$160,"调料")</x:f>
        <x:v>33</x:v>
      </x:c>
      <x:c r="N767" s="38" t="n">
        <x:v>-0.0016935570993678545</x:v>
      </x:c>
      <x:c r="O767" s="35" t="n">
        <x:f>H767*M767*(1+N767)</x:f>
        <x:v>230.60878831004604</x:v>
      </x:c>
      <x:c r="P767" s="19" t="str">
        <x:f>IF(ABS(N767)&gt;'封面与口径'!$O$25,"机器调料需复核",IF(ABS(K767)&gt;0.02,"人工称重需复核","正常"))</x:f>
        <x:v>正常</x:v>
      </x:c>
      <x:c r="Q767" s="19" t="str">
        <x:v>唐凯</x:v>
      </x:c>
    </x:row>
    <x:row r="768">
      <x:c r="A768" s="19" t="str">
        <x:v>2026-07-09|S07|D19</x:v>
      </x:c>
      <x:c r="B768" s="34" t="n">
        <x:v>46212.5</x:v>
      </x:c>
      <x:c r="C768" s="19" t="str">
        <x:v>S07</x:v>
      </x:c>
      <x:c r="D768" s="19" t="str">
        <x:v>小和山店</x:v>
      </x:c>
      <x:c r="E768" s="19" t="str">
        <x:v>D19</x:v>
      </x:c>
      <x:c r="F768" s="19" t="str">
        <x:v>酸萝卜炒鸡杂</x:v>
      </x:c>
      <x:c r="G768" s="19" t="str">
        <x:v>R1.0</x:v>
      </x:c>
      <x:c r="H768" s="20" t="n">
        <x:f>XLOOKUP(A768,'菜品日销量'!$A$5:$A$1124,'菜品日销量'!$G$5:$G$1124,0)</x:f>
        <x:v>5</x:v>
      </x:c>
      <x:c r="I768" s="20" t="n">
        <x:f>ROUNDUP(H768/2,0)</x:f>
        <x:v>3</x:v>
      </x:c>
      <x:c r="J768" s="22" t="n">
        <x:f>SUMIFS('菜谱BOM'!$F$5:$F$160,'菜谱BOM'!$A$5:$A$160,E768,'菜谱BOM'!$C$5:$C$160,"食材")</x:f>
        <x:v>500</x:v>
      </x:c>
      <x:c r="K768" s="38" t="n">
        <x:v>0.006542746841568209</x:v>
      </x:c>
      <x:c r="L768" s="35" t="n">
        <x:f>H768*J768*(1+K768)</x:f>
        <x:v>2516.3568671039206</x:v>
      </x:c>
      <x:c r="M768" s="35" t="n">
        <x:f>SUMIFS('菜谱BOM'!$F$5:$F$160,'菜谱BOM'!$A$5:$A$160,E768,'菜谱BOM'!$C$5:$C$160,"调料")</x:f>
        <x:v>55</x:v>
      </x:c>
      <x:c r="N768" s="38" t="n">
        <x:v>0.00010133276369919386</x:v>
      </x:c>
      <x:c r="O768" s="35" t="n">
        <x:f>H768*M768*(1+N768)</x:f>
        <x:v>275.02786651001725</x:v>
      </x:c>
      <x:c r="P768" s="19" t="str">
        <x:f>IF(ABS(N768)&gt;'封面与口径'!$O$25,"机器调料需复核",IF(ABS(K768)&gt;0.02,"人工称重需复核","正常"))</x:f>
        <x:v>正常</x:v>
      </x:c>
      <x:c r="Q768" s="19" t="str">
        <x:v>唐凯</x:v>
      </x:c>
    </x:row>
    <x:row r="769">
      <x:c r="A769" s="19" t="str">
        <x:v>2026-07-09|S07|D20</x:v>
      </x:c>
      <x:c r="B769" s="34" t="n">
        <x:v>46212.5</x:v>
      </x:c>
      <x:c r="C769" s="19" t="str">
        <x:v>S07</x:v>
      </x:c>
      <x:c r="D769" s="19" t="str">
        <x:v>小和山店</x:v>
      </x:c>
      <x:c r="E769" s="19" t="str">
        <x:v>D20</x:v>
      </x:c>
      <x:c r="F769" s="19" t="str">
        <x:v>雪菜肉末青豆</x:v>
      </x:c>
      <x:c r="G769" s="19" t="str">
        <x:v>R1.0</x:v>
      </x:c>
      <x:c r="H769" s="20" t="n">
        <x:f>XLOOKUP(A769,'菜品日销量'!$A$5:$A$1124,'菜品日销量'!$G$5:$G$1124,0)</x:f>
        <x:v>8</x:v>
      </x:c>
      <x:c r="I769" s="20" t="n">
        <x:f>ROUNDUP(H769/2,0)</x:f>
        <x:v>4</x:v>
      </x:c>
      <x:c r="J769" s="22" t="n">
        <x:f>SUMIFS('菜谱BOM'!$F$5:$F$160,'菜谱BOM'!$A$5:$A$160,E769,'菜谱BOM'!$C$5:$C$160,"食材")</x:f>
        <x:v>465</x:v>
      </x:c>
      <x:c r="K769" s="38" t="n">
        <x:v>-0.003112799766266905</x:v>
      </x:c>
      <x:c r="L769" s="35" t="n">
        <x:f>H769*J769*(1+K769)</x:f>
        <x:v>3708.4203848694874</x:v>
      </x:c>
      <x:c r="M769" s="35" t="n">
        <x:f>SUMIFS('菜谱BOM'!$F$5:$F$160,'菜谱BOM'!$A$5:$A$160,E769,'菜谱BOM'!$C$5:$C$160,"调料")</x:f>
        <x:v>32</x:v>
      </x:c>
      <x:c r="N769" s="38" t="n">
        <x:v>-0.001846477305480856</x:v>
      </x:c>
      <x:c r="O769" s="35" t="n">
        <x:f>H769*M769*(1+N769)</x:f>
        <x:v>255.5273018097969</x:v>
      </x:c>
      <x:c r="P769" s="19" t="str">
        <x:f>IF(ABS(N769)&gt;'封面与口径'!$O$25,"机器调料需复核",IF(ABS(K769)&gt;0.02,"人工称重需复核","正常"))</x:f>
        <x:v>正常</x:v>
      </x:c>
      <x:c r="Q769" s="19" t="str">
        <x:v>唐凯</x:v>
      </x:c>
    </x:row>
    <x:row r="770">
      <x:c r="A770" s="19" t="str">
        <x:v>2026-07-10|S07|D01</x:v>
      </x:c>
      <x:c r="B770" s="34" t="n">
        <x:v>46213.5</x:v>
      </x:c>
      <x:c r="C770" s="19" t="str">
        <x:v>S07</x:v>
      </x:c>
      <x:c r="D770" s="19" t="str">
        <x:v>小和山店</x:v>
      </x:c>
      <x:c r="E770" s="19" t="str">
        <x:v>D01</x:v>
      </x:c>
      <x:c r="F770" s="19" t="str">
        <x:v>辣椒炒肉</x:v>
      </x:c>
      <x:c r="G770" s="19" t="str">
        <x:v>R2.3</x:v>
      </x:c>
      <x:c r="H770" s="20" t="n">
        <x:f>XLOOKUP(A770,'菜品日销量'!$A$5:$A$1124,'菜品日销量'!$G$5:$G$1124,0)</x:f>
        <x:v>48</x:v>
      </x:c>
      <x:c r="I770" s="20" t="n">
        <x:f>ROUNDUP(H770/2,0)</x:f>
        <x:v>24</x:v>
      </x:c>
      <x:c r="J770" s="22" t="n">
        <x:f>SUMIFS('菜谱BOM'!$F$5:$F$160,'菜谱BOM'!$A$5:$A$160,E770,'菜谱BOM'!$C$5:$C$160,"食材")</x:f>
        <x:v>550</x:v>
      </x:c>
      <x:c r="K770" s="38" t="n">
        <x:v>-0.0022521936805574676</x:v>
      </x:c>
      <x:c r="L770" s="35" t="n">
        <x:f>H770*J770*(1+K770)</x:f>
        <x:v>26340.54208683328</x:v>
      </x:c>
      <x:c r="M770" s="35" t="n">
        <x:f>SUMIFS('菜谱BOM'!$F$5:$F$160,'菜谱BOM'!$A$5:$A$160,E770,'菜谱BOM'!$C$5:$C$160,"调料")</x:f>
        <x:v>104</x:v>
      </x:c>
      <x:c r="N770" s="38" t="n">
        <x:v>-0.0009750446348858635</x:v>
      </x:c>
      <x:c r="O770" s="35" t="n">
        <x:f>H770*M770*(1+N770)</x:f>
        <x:v>4987.13257718265</x:v>
      </x:c>
      <x:c r="P770" s="19" t="str">
        <x:f>IF(ABS(N770)&gt;'封面与口径'!$O$25,"机器调料需复核",IF(ABS(K770)&gt;0.02,"人工称重需复核","正常"))</x:f>
        <x:v>正常</x:v>
      </x:c>
      <x:c r="Q770" s="19" t="str">
        <x:v>唐凯</x:v>
      </x:c>
    </x:row>
    <x:row r="771">
      <x:c r="A771" s="19" t="str">
        <x:v>2026-07-10|S07|D02</x:v>
      </x:c>
      <x:c r="B771" s="34" t="n">
        <x:v>46213.5</x:v>
      </x:c>
      <x:c r="C771" s="19" t="str">
        <x:v>S07</x:v>
      </x:c>
      <x:c r="D771" s="19" t="str">
        <x:v>小和山店</x:v>
      </x:c>
      <x:c r="E771" s="19" t="str">
        <x:v>D02</x:v>
      </x:c>
      <x:c r="F771" s="19" t="str">
        <x:v>小炒黄牛肉</x:v>
      </x:c>
      <x:c r="G771" s="19" t="str">
        <x:v>R2.3</x:v>
      </x:c>
      <x:c r="H771" s="20" t="n">
        <x:f>XLOOKUP(A771,'菜品日销量'!$A$5:$A$1124,'菜品日销量'!$G$5:$G$1124,0)</x:f>
        <x:v>32</x:v>
      </x:c>
      <x:c r="I771" s="20" t="n">
        <x:f>ROUNDUP(H771/2,0)</x:f>
        <x:v>16</x:v>
      </x:c>
      <x:c r="J771" s="22" t="n">
        <x:f>SUMIFS('菜谱BOM'!$F$5:$F$160,'菜谱BOM'!$A$5:$A$160,E771,'菜谱BOM'!$C$5:$C$160,"食材")</x:f>
        <x:v>560</x:v>
      </x:c>
      <x:c r="K771" s="38" t="n">
        <x:v>-0.006301381822279977</x:v>
      </x:c>
      <x:c r="L771" s="35" t="n">
        <x:f>H771*J771*(1+K771)</x:f>
        <x:v>17807.079237744743</x:v>
      </x:c>
      <x:c r="M771" s="35" t="n">
        <x:f>SUMIFS('菜谱BOM'!$F$5:$F$160,'菜谱BOM'!$A$5:$A$160,E771,'菜谱BOM'!$C$5:$C$160,"调料")</x:f>
        <x:v>133</x:v>
      </x:c>
      <x:c r="N771" s="38" t="n">
        <x:v>-0.0006272822652541293</x:v>
      </x:c>
      <x:c r="O771" s="35" t="n">
        <x:f>H771*M771*(1+N771)</x:f>
        <x:v>4253.330286679078</x:v>
      </x:c>
      <x:c r="P771" s="19" t="str">
        <x:f>IF(ABS(N771)&gt;'封面与口径'!$O$25,"机器调料需复核",IF(ABS(K771)&gt;0.02,"人工称重需复核","正常"))</x:f>
        <x:v>正常</x:v>
      </x:c>
      <x:c r="Q771" s="19" t="str">
        <x:v>唐凯</x:v>
      </x:c>
    </x:row>
    <x:row r="772">
      <x:c r="A772" s="19" t="str">
        <x:v>2026-07-10|S07|D03</x:v>
      </x:c>
      <x:c r="B772" s="34" t="n">
        <x:v>46213.5</x:v>
      </x:c>
      <x:c r="C772" s="19" t="str">
        <x:v>S07</x:v>
      </x:c>
      <x:c r="D772" s="19" t="str">
        <x:v>小和山店</x:v>
      </x:c>
      <x:c r="E772" s="19" t="str">
        <x:v>D03</x:v>
      </x:c>
      <x:c r="F772" s="19" t="str">
        <x:v>香醋炒蛋</x:v>
      </x:c>
      <x:c r="G772" s="19" t="str">
        <x:v>R1.0</x:v>
      </x:c>
      <x:c r="H772" s="20" t="n">
        <x:f>XLOOKUP(A772,'菜品日销量'!$A$5:$A$1124,'菜品日销量'!$G$5:$G$1124,0)</x:f>
        <x:v>37</x:v>
      </x:c>
      <x:c r="I772" s="20" t="n">
        <x:f>ROUNDUP(H772/2,0)</x:f>
        <x:v>19</x:v>
      </x:c>
      <x:c r="J772" s="22" t="n">
        <x:f>SUMIFS('菜谱BOM'!$F$5:$F$160,'菜谱BOM'!$A$5:$A$160,E772,'菜谱BOM'!$C$5:$C$160,"食材")</x:f>
        <x:v>300</x:v>
      </x:c>
      <x:c r="K772" s="38" t="n">
        <x:v>0.00023912376357221988</x:v>
      </x:c>
      <x:c r="L772" s="35" t="n">
        <x:f>H772*J772*(1+K772)</x:f>
        <x:v>11102.654273775652</x:v>
      </x:c>
      <x:c r="M772" s="35" t="n">
        <x:f>SUMIFS('菜谱BOM'!$F$5:$F$160,'菜谱BOM'!$A$5:$A$160,E772,'菜谱BOM'!$C$5:$C$160,"调料")</x:f>
        <x:v>53</x:v>
      </x:c>
      <x:c r="N772" s="38" t="n">
        <x:v>-0.000586279271772662</x:v>
      </x:c>
      <x:c r="O772" s="35" t="n">
        <x:f>H772*M772*(1+N772)</x:f>
        <x:v>1959.8503063480537</x:v>
      </x:c>
      <x:c r="P772" s="19" t="str">
        <x:f>IF(ABS(N772)&gt;'封面与口径'!$O$25,"机器调料需复核",IF(ABS(K772)&gt;0.02,"人工称重需复核","正常"))</x:f>
        <x:v>正常</x:v>
      </x:c>
      <x:c r="Q772" s="19" t="str">
        <x:v>唐凯</x:v>
      </x:c>
    </x:row>
    <x:row r="773">
      <x:c r="A773" s="19" t="str">
        <x:v>2026-07-10|S07|D04</x:v>
      </x:c>
      <x:c r="B773" s="34" t="n">
        <x:v>46213.5</x:v>
      </x:c>
      <x:c r="C773" s="19" t="str">
        <x:v>S07</x:v>
      </x:c>
      <x:c r="D773" s="19" t="str">
        <x:v>小和山店</x:v>
      </x:c>
      <x:c r="E773" s="19" t="str">
        <x:v>D04</x:v>
      </x:c>
      <x:c r="F773" s="19" t="str">
        <x:v>酸包菜炒粉皮</x:v>
      </x:c>
      <x:c r="G773" s="19" t="str">
        <x:v>R1.0</x:v>
      </x:c>
      <x:c r="H773" s="20" t="n">
        <x:f>XLOOKUP(A773,'菜品日销量'!$A$5:$A$1124,'菜品日销量'!$G$5:$G$1124,0)</x:f>
        <x:v>33</x:v>
      </x:c>
      <x:c r="I773" s="20" t="n">
        <x:f>ROUNDUP(H773/2,0)</x:f>
        <x:v>17</x:v>
      </x:c>
      <x:c r="J773" s="22" t="n">
        <x:f>SUMIFS('菜谱BOM'!$F$5:$F$160,'菜谱BOM'!$A$5:$A$160,E773,'菜谱BOM'!$C$5:$C$160,"食材")</x:f>
        <x:v>380</x:v>
      </x:c>
      <x:c r="K773" s="38" t="n">
        <x:v>-0.004860745403184729</x:v>
      </x:c>
      <x:c r="L773" s="35" t="n">
        <x:f>H773*J773*(1+K773)</x:f>
        <x:v>12479.046252644064</x:v>
      </x:c>
      <x:c r="M773" s="35" t="n">
        <x:f>SUMIFS('菜谱BOM'!$F$5:$F$160,'菜谱BOM'!$A$5:$A$160,E773,'菜谱BOM'!$C$5:$C$160,"调料")</x:f>
        <x:v>47</x:v>
      </x:c>
      <x:c r="N773" s="38" t="n">
        <x:v>0.0019842427102812203</x:v>
      </x:c>
      <x:c r="O773" s="35" t="n">
        <x:f>H773*M773*(1+N773)</x:f>
        <x:v>1554.0775604436462</x:v>
      </x:c>
      <x:c r="P773" s="19" t="str">
        <x:f>IF(ABS(N773)&gt;'封面与口径'!$O$25,"机器调料需复核",IF(ABS(K773)&gt;0.02,"人工称重需复核","正常"))</x:f>
        <x:v>正常</x:v>
      </x:c>
      <x:c r="Q773" s="19" t="str">
        <x:v>唐凯</x:v>
      </x:c>
    </x:row>
    <x:row r="774">
      <x:c r="A774" s="19" t="str">
        <x:v>2026-07-10|S07|D05</x:v>
      </x:c>
      <x:c r="B774" s="34" t="n">
        <x:v>46213.5</x:v>
      </x:c>
      <x:c r="C774" s="19" t="str">
        <x:v>S07</x:v>
      </x:c>
      <x:c r="D774" s="19" t="str">
        <x:v>小和山店</x:v>
      </x:c>
      <x:c r="E774" s="19" t="str">
        <x:v>D05</x:v>
      </x:c>
      <x:c r="F774" s="19" t="str">
        <x:v>麻婆豆腐</x:v>
      </x:c>
      <x:c r="G774" s="19" t="str">
        <x:v>R1.0</x:v>
      </x:c>
      <x:c r="H774" s="20" t="n">
        <x:f>XLOOKUP(A774,'菜品日销量'!$A$5:$A$1124,'菜品日销量'!$G$5:$G$1124,0)</x:f>
        <x:v>48</x:v>
      </x:c>
      <x:c r="I774" s="20" t="n">
        <x:f>ROUNDUP(H774/2,0)</x:f>
        <x:v>24</x:v>
      </x:c>
      <x:c r="J774" s="22" t="n">
        <x:f>SUMIFS('菜谱BOM'!$F$5:$F$160,'菜谱BOM'!$A$5:$A$160,E774,'菜谱BOM'!$C$5:$C$160,"食材")</x:f>
        <x:v>505</x:v>
      </x:c>
      <x:c r="K774" s="38" t="n">
        <x:v>0.0013403580135992624</x:v>
      </x:c>
      <x:c r="L774" s="35" t="n">
        <x:f>H774*J774*(1+K774)</x:f>
        <x:v>24272.490278249647</x:v>
      </x:c>
      <x:c r="M774" s="35" t="n">
        <x:f>SUMIFS('菜谱BOM'!$F$5:$F$160,'菜谱BOM'!$A$5:$A$160,E774,'菜谱BOM'!$C$5:$C$160,"调料")</x:f>
        <x:v>90</x:v>
      </x:c>
      <x:c r="N774" s="38" t="n">
        <x:v>-0.0017357871764655663</x:v>
      </x:c>
      <x:c r="O774" s="35" t="n">
        <x:f>H774*M774*(1+N774)</x:f>
        <x:v>4312.501399397668</x:v>
      </x:c>
      <x:c r="P774" s="19" t="str">
        <x:f>IF(ABS(N774)&gt;'封面与口径'!$O$25,"机器调料需复核",IF(ABS(K774)&gt;0.02,"人工称重需复核","正常"))</x:f>
        <x:v>正常</x:v>
      </x:c>
      <x:c r="Q774" s="19" t="str">
        <x:v>唐凯</x:v>
      </x:c>
    </x:row>
    <x:row r="775">
      <x:c r="A775" s="19" t="str">
        <x:v>2026-07-10|S07|D07</x:v>
      </x:c>
      <x:c r="B775" s="34" t="n">
        <x:v>46213.5</x:v>
      </x:c>
      <x:c r="C775" s="19" t="str">
        <x:v>S07</x:v>
      </x:c>
      <x:c r="D775" s="19" t="str">
        <x:v>小和山店</x:v>
      </x:c>
      <x:c r="E775" s="19" t="str">
        <x:v>D07</x:v>
      </x:c>
      <x:c r="F775" s="19" t="str">
        <x:v>川味回锅肉</x:v>
      </x:c>
      <x:c r="G775" s="19" t="str">
        <x:v>R1.0</x:v>
      </x:c>
      <x:c r="H775" s="20" t="n">
        <x:f>XLOOKUP(A775,'菜品日销量'!$A$5:$A$1124,'菜品日销量'!$G$5:$G$1124,0)</x:f>
        <x:v>14</x:v>
      </x:c>
      <x:c r="I775" s="20" t="n">
        <x:f>ROUNDUP(H775/2,0)</x:f>
        <x:v>7</x:v>
      </x:c>
      <x:c r="J775" s="22" t="n">
        <x:f>SUMIFS('菜谱BOM'!$F$5:$F$160,'菜谱BOM'!$A$5:$A$160,E775,'菜谱BOM'!$C$5:$C$160,"食材")</x:f>
        <x:v>450</x:v>
      </x:c>
      <x:c r="K775" s="38" t="n">
        <x:v>0.001212029027103453</x:v>
      </x:c>
      <x:c r="L775" s="35" t="n">
        <x:f>H775*J775*(1+K775)</x:f>
        <x:v>6307.635782870751</x:v>
      </x:c>
      <x:c r="M775" s="35" t="n">
        <x:f>SUMIFS('菜谱BOM'!$F$5:$F$160,'菜谱BOM'!$A$5:$A$160,E775,'菜谱BOM'!$C$5:$C$160,"调料")</x:f>
        <x:v>63</x:v>
      </x:c>
      <x:c r="N775" s="38" t="n">
        <x:v>0.00018255721549097404</x:v>
      </x:c>
      <x:c r="O775" s="35" t="n">
        <x:f>H775*M775*(1+N775)</x:f>
        <x:v>882.1610154640631</x:v>
      </x:c>
      <x:c r="P775" s="19" t="str">
        <x:f>IF(ABS(N775)&gt;'封面与口径'!$O$25,"机器调料需复核",IF(ABS(K775)&gt;0.02,"人工称重需复核","正常"))</x:f>
        <x:v>正常</x:v>
      </x:c>
      <x:c r="Q775" s="19" t="str">
        <x:v>唐凯</x:v>
      </x:c>
    </x:row>
    <x:row r="776">
      <x:c r="A776" s="19" t="str">
        <x:v>2026-07-10|S07|D08</x:v>
      </x:c>
      <x:c r="B776" s="34" t="n">
        <x:v>46213.5</x:v>
      </x:c>
      <x:c r="C776" s="19" t="str">
        <x:v>S07</x:v>
      </x:c>
      <x:c r="D776" s="19" t="str">
        <x:v>小和山店</x:v>
      </x:c>
      <x:c r="E776" s="19" t="str">
        <x:v>D08</x:v>
      </x:c>
      <x:c r="F776" s="19" t="str">
        <x:v>生炒清远鸡</x:v>
      </x:c>
      <x:c r="G776" s="19" t="str">
        <x:v>R1.0</x:v>
      </x:c>
      <x:c r="H776" s="20" t="n">
        <x:f>XLOOKUP(A776,'菜品日销量'!$A$5:$A$1124,'菜品日销量'!$G$5:$G$1124,0)</x:f>
        <x:v>10</x:v>
      </x:c>
      <x:c r="I776" s="20" t="n">
        <x:f>ROUNDUP(H776/2,0)</x:f>
        <x:v>5</x:v>
      </x:c>
      <x:c r="J776" s="22" t="n">
        <x:f>SUMIFS('菜谱BOM'!$F$5:$F$160,'菜谱BOM'!$A$5:$A$160,E776,'菜谱BOM'!$C$5:$C$160,"食材")</x:f>
        <x:v>610</x:v>
      </x:c>
      <x:c r="K776" s="38" t="n">
        <x:v>0.003386912836550481</x:v>
      </x:c>
      <x:c r="L776" s="35" t="n">
        <x:f>H776*J776*(1+K776)</x:f>
        <x:v>6120.660168302958</x:v>
      </x:c>
      <x:c r="M776" s="35" t="n">
        <x:f>SUMIFS('菜谱BOM'!$F$5:$F$160,'菜谱BOM'!$A$5:$A$160,E776,'菜谱BOM'!$C$5:$C$160,"调料")</x:f>
        <x:v>61</x:v>
      </x:c>
      <x:c r="N776" s="38" t="n">
        <x:v>-0.0002522000759495888</x:v>
      </x:c>
      <x:c r="O776" s="35" t="n">
        <x:f>H776*M776*(1+N776)</x:f>
        <x:v>609.8461579536707</x:v>
      </x:c>
      <x:c r="P776" s="19" t="str">
        <x:f>IF(ABS(N776)&gt;'封面与口径'!$O$25,"机器调料需复核",IF(ABS(K776)&gt;0.02,"人工称重需复核","正常"))</x:f>
        <x:v>正常</x:v>
      </x:c>
      <x:c r="Q776" s="19" t="str">
        <x:v>唐凯</x:v>
      </x:c>
    </x:row>
    <x:row r="777">
      <x:c r="A777" s="19" t="str">
        <x:v>2026-07-10|S07|D09</x:v>
      </x:c>
      <x:c r="B777" s="34" t="n">
        <x:v>46213.5</x:v>
      </x:c>
      <x:c r="C777" s="19" t="str">
        <x:v>S07</x:v>
      </x:c>
      <x:c r="D777" s="19" t="str">
        <x:v>小和山店</x:v>
      </x:c>
      <x:c r="E777" s="19" t="str">
        <x:v>D09</x:v>
      </x:c>
      <x:c r="F777" s="19" t="str">
        <x:v>炒豆干</x:v>
      </x:c>
      <x:c r="G777" s="19" t="str">
        <x:v>R1.0</x:v>
      </x:c>
      <x:c r="H777" s="20" t="n">
        <x:f>XLOOKUP(A777,'菜品日销量'!$A$5:$A$1124,'菜品日销量'!$G$5:$G$1124,0)</x:f>
        <x:v>14</x:v>
      </x:c>
      <x:c r="I777" s="20" t="n">
        <x:f>ROUNDUP(H777/2,0)</x:f>
        <x:v>7</x:v>
      </x:c>
      <x:c r="J777" s="22" t="n">
        <x:f>SUMIFS('菜谱BOM'!$F$5:$F$160,'菜谱BOM'!$A$5:$A$160,E777,'菜谱BOM'!$C$5:$C$160,"食材")</x:f>
        <x:v>520</x:v>
      </x:c>
      <x:c r="K777" s="38" t="n">
        <x:v>0.001667562881872888</x:v>
      </x:c>
      <x:c r="L777" s="35" t="n">
        <x:f>H777*J777*(1+K777)</x:f>
        <x:v>7292.1398577800355</x:v>
      </x:c>
      <x:c r="M777" s="35" t="n">
        <x:f>SUMIFS('菜谱BOM'!$F$5:$F$160,'菜谱BOM'!$A$5:$A$160,E777,'菜谱BOM'!$C$5:$C$160,"调料")</x:f>
        <x:v>42</x:v>
      </x:c>
      <x:c r="N777" s="38" t="n">
        <x:v>-0.001905095835194247</x:v>
      </x:c>
      <x:c r="O777" s="35" t="n">
        <x:f>H777*M777*(1+N777)</x:f>
        <x:v>586.8798036489057</x:v>
      </x:c>
      <x:c r="P777" s="19" t="str">
        <x:f>IF(ABS(N777)&gt;'封面与口径'!$O$25,"机器调料需复核",IF(ABS(K777)&gt;0.02,"人工称重需复核","正常"))</x:f>
        <x:v>正常</x:v>
      </x:c>
      <x:c r="Q777" s="19" t="str">
        <x:v>唐凯</x:v>
      </x:c>
    </x:row>
    <x:row r="778">
      <x:c r="A778" s="19" t="str">
        <x:v>2026-07-10|S07|D10</x:v>
      </x:c>
      <x:c r="B778" s="34" t="n">
        <x:v>46213.5</x:v>
      </x:c>
      <x:c r="C778" s="19" t="str">
        <x:v>S07</x:v>
      </x:c>
      <x:c r="D778" s="19" t="str">
        <x:v>小和山店</x:v>
      </x:c>
      <x:c r="E778" s="19" t="str">
        <x:v>D10</x:v>
      </x:c>
      <x:c r="F778" s="19" t="str">
        <x:v>农家一碗香</x:v>
      </x:c>
      <x:c r="G778" s="19" t="str">
        <x:v>R2.3</x:v>
      </x:c>
      <x:c r="H778" s="20" t="n">
        <x:f>XLOOKUP(A778,'菜品日销量'!$A$5:$A$1124,'菜品日销量'!$G$5:$G$1124,0)</x:f>
        <x:v>17</x:v>
      </x:c>
      <x:c r="I778" s="20" t="n">
        <x:f>ROUNDUP(H778/2,0)</x:f>
        <x:v>9</x:v>
      </x:c>
      <x:c r="J778" s="22" t="n">
        <x:f>SUMIFS('菜谱BOM'!$F$5:$F$160,'菜谱BOM'!$A$5:$A$160,E778,'菜谱BOM'!$C$5:$C$160,"食材")</x:f>
        <x:v>510</x:v>
      </x:c>
      <x:c r="K778" s="38" t="n">
        <x:v>0.007206187683904121</x:v>
      </x:c>
      <x:c r="L778" s="35" t="n">
        <x:f>H778*J778*(1+K778)</x:f>
        <x:v>8732.477647219448</x:v>
      </x:c>
      <x:c r="M778" s="35" t="n">
        <x:f>SUMIFS('菜谱BOM'!$F$5:$F$160,'菜谱BOM'!$A$5:$A$160,E778,'菜谱BOM'!$C$5:$C$160,"调料")</x:f>
        <x:v>88</x:v>
      </x:c>
      <x:c r="N778" s="38" t="n">
        <x:v>-0.0005909001851898852</x:v>
      </x:c>
      <x:c r="O778" s="35" t="n">
        <x:f>H778*M778*(1+N778)</x:f>
        <x:v>1495.116013322956</x:v>
      </x:c>
      <x:c r="P778" s="19" t="str">
        <x:f>IF(ABS(N778)&gt;'封面与口径'!$O$25,"机器调料需复核",IF(ABS(K778)&gt;0.02,"人工称重需复核","正常"))</x:f>
        <x:v>正常</x:v>
      </x:c>
      <x:c r="Q778" s="19" t="str">
        <x:v>唐凯</x:v>
      </x:c>
    </x:row>
    <x:row r="779">
      <x:c r="A779" s="19" t="str">
        <x:v>2026-07-10|S07|D11</x:v>
      </x:c>
      <x:c r="B779" s="34" t="n">
        <x:v>46213.5</x:v>
      </x:c>
      <x:c r="C779" s="19" t="str">
        <x:v>S07</x:v>
      </x:c>
      <x:c r="D779" s="19" t="str">
        <x:v>小和山店</x:v>
      </x:c>
      <x:c r="E779" s="19" t="str">
        <x:v>D11</x:v>
      </x:c>
      <x:c r="F779" s="19" t="str">
        <x:v>香辣爆肥肠</x:v>
      </x:c>
      <x:c r="G779" s="19" t="str">
        <x:v>R1.0</x:v>
      </x:c>
      <x:c r="H779" s="20" t="n">
        <x:f>XLOOKUP(A779,'菜品日销量'!$A$5:$A$1124,'菜品日销量'!$G$5:$G$1124,0)</x:f>
        <x:v>6</x:v>
      </x:c>
      <x:c r="I779" s="20" t="n">
        <x:f>ROUNDUP(H779/2,0)</x:f>
        <x:v>3</x:v>
      </x:c>
      <x:c r="J779" s="22" t="n">
        <x:f>SUMIFS('菜谱BOM'!$F$5:$F$160,'菜谱BOM'!$A$5:$A$160,E779,'菜谱BOM'!$C$5:$C$160,"食材")</x:f>
        <x:v>430</x:v>
      </x:c>
      <x:c r="K779" s="38" t="n">
        <x:v>-0.0027092364827890963</x:v>
      </x:c>
      <x:c r="L779" s="35" t="n">
        <x:f>H779*J779*(1+K779)</x:f>
        <x:v>2573.0101698744043</x:v>
      </x:c>
      <x:c r="M779" s="35" t="n">
        <x:f>SUMIFS('菜谱BOM'!$F$5:$F$160,'菜谱BOM'!$A$5:$A$160,E779,'菜谱BOM'!$C$5:$C$160,"调料")</x:f>
        <x:v>67</x:v>
      </x:c>
      <x:c r="N779" s="38" t="n">
        <x:v>0.0005163776209848882</x:v>
      </x:c>
      <x:c r="O779" s="35" t="n">
        <x:f>H779*M779*(1+N779)</x:f>
        <x:v>402.20758380363594</x:v>
      </x:c>
      <x:c r="P779" s="19" t="str">
        <x:f>IF(ABS(N779)&gt;'封面与口径'!$O$25,"机器调料需复核",IF(ABS(K779)&gt;0.02,"人工称重需复核","正常"))</x:f>
        <x:v>正常</x:v>
      </x:c>
      <x:c r="Q779" s="19" t="str">
        <x:v>唐凯</x:v>
      </x:c>
    </x:row>
    <x:row r="780">
      <x:c r="A780" s="19" t="str">
        <x:v>2026-07-10|S07|D13</x:v>
      </x:c>
      <x:c r="B780" s="34" t="n">
        <x:v>46213.5</x:v>
      </x:c>
      <x:c r="C780" s="19" t="str">
        <x:v>S07</x:v>
      </x:c>
      <x:c r="D780" s="19" t="str">
        <x:v>小和山店</x:v>
      </x:c>
      <x:c r="E780" s="19" t="str">
        <x:v>D13</x:v>
      </x:c>
      <x:c r="F780" s="19" t="str">
        <x:v>外婆菜炒蛋</x:v>
      </x:c>
      <x:c r="G780" s="19" t="str">
        <x:v>R1.0</x:v>
      </x:c>
      <x:c r="H780" s="20" t="n">
        <x:f>XLOOKUP(A780,'菜品日销量'!$A$5:$A$1124,'菜品日销量'!$G$5:$G$1124,0)</x:f>
        <x:v>15</x:v>
      </x:c>
      <x:c r="I780" s="20" t="n">
        <x:f>ROUNDUP(H780/2,0)</x:f>
        <x:v>8</x:v>
      </x:c>
      <x:c r="J780" s="22" t="n">
        <x:f>SUMIFS('菜谱BOM'!$F$5:$F$160,'菜谱BOM'!$A$5:$A$160,E780,'菜谱BOM'!$C$5:$C$160,"食材")</x:f>
        <x:v>450</x:v>
      </x:c>
      <x:c r="K780" s="38" t="n">
        <x:v>0.005128763257788671</x:v>
      </x:c>
      <x:c r="L780" s="35" t="n">
        <x:f>H780*J780*(1+K780)</x:f>
        <x:v>6784.619151990074</x:v>
      </x:c>
      <x:c r="M780" s="35" t="n">
        <x:f>SUMIFS('菜谱BOM'!$F$5:$F$160,'菜谱BOM'!$A$5:$A$160,E780,'菜谱BOM'!$C$5:$C$160,"调料")</x:f>
        <x:v>37</x:v>
      </x:c>
      <x:c r="N780" s="38" t="n">
        <x:v>-0.0019358946885764355</x:v>
      </x:c>
      <x:c r="O780" s="35" t="n">
        <x:f>H780*M780*(1+N780)</x:f>
        <x:v>553.92557844784</x:v>
      </x:c>
      <x:c r="P780" s="19" t="str">
        <x:f>IF(ABS(N780)&gt;'封面与口径'!$O$25,"机器调料需复核",IF(ABS(K780)&gt;0.02,"人工称重需复核","正常"))</x:f>
        <x:v>正常</x:v>
      </x:c>
      <x:c r="Q780" s="19" t="str">
        <x:v>唐凯</x:v>
      </x:c>
    </x:row>
    <x:row r="781">
      <x:c r="A781" s="19" t="str">
        <x:v>2026-07-10|S07|D14</x:v>
      </x:c>
      <x:c r="B781" s="34" t="n">
        <x:v>46213.5</x:v>
      </x:c>
      <x:c r="C781" s="19" t="str">
        <x:v>S07</x:v>
      </x:c>
      <x:c r="D781" s="19" t="str">
        <x:v>小和山店</x:v>
      </x:c>
      <x:c r="E781" s="19" t="str">
        <x:v>D14</x:v>
      </x:c>
      <x:c r="F781" s="19" t="str">
        <x:v>酸辣鸡杂</x:v>
      </x:c>
      <x:c r="G781" s="19" t="str">
        <x:v>R1.0</x:v>
      </x:c>
      <x:c r="H781" s="20" t="n">
        <x:f>XLOOKUP(A781,'菜品日销量'!$A$5:$A$1124,'菜品日销量'!$G$5:$G$1124,0)</x:f>
        <x:v>7</x:v>
      </x:c>
      <x:c r="I781" s="20" t="n">
        <x:f>ROUNDUP(H781/2,0)</x:f>
        <x:v>4</x:v>
      </x:c>
      <x:c r="J781" s="22" t="n">
        <x:f>SUMIFS('菜谱BOM'!$F$5:$F$160,'菜谱BOM'!$A$5:$A$160,E781,'菜谱BOM'!$C$5:$C$160,"食材")</x:f>
        <x:v>470</x:v>
      </x:c>
      <x:c r="K781" s="38" t="n">
        <x:v>-0.00487596645878534</x:v>
      </x:c>
      <x:c r="L781" s="35" t="n">
        <x:f>H781*J781*(1+K781)</x:f>
        <x:v>3273.9580703505962</x:v>
      </x:c>
      <x:c r="M781" s="35" t="n">
        <x:f>SUMIFS('菜谱BOM'!$F$5:$F$160,'菜谱BOM'!$A$5:$A$160,E781,'菜谱BOM'!$C$5:$C$160,"调料")</x:f>
        <x:v>60</x:v>
      </x:c>
      <x:c r="N781" s="38" t="n">
        <x:v>0.000027452477726026548</x:v>
      </x:c>
      <x:c r="O781" s="35" t="n">
        <x:f>H781*M781*(1+N781)</x:f>
        <x:v>420.0115300406449</x:v>
      </x:c>
      <x:c r="P781" s="19" t="str">
        <x:f>IF(ABS(N781)&gt;'封面与口径'!$O$25,"机器调料需复核",IF(ABS(K781)&gt;0.02,"人工称重需复核","正常"))</x:f>
        <x:v>正常</x:v>
      </x:c>
      <x:c r="Q781" s="19" t="str">
        <x:v>唐凯</x:v>
      </x:c>
    </x:row>
    <x:row r="782">
      <x:c r="A782" s="19" t="str">
        <x:v>2026-07-10|S07|D15</x:v>
      </x:c>
      <x:c r="B782" s="34" t="n">
        <x:v>46213.5</x:v>
      </x:c>
      <x:c r="C782" s="19" t="str">
        <x:v>S07</x:v>
      </x:c>
      <x:c r="D782" s="19" t="str">
        <x:v>小和山店</x:v>
      </x:c>
      <x:c r="E782" s="19" t="str">
        <x:v>D15</x:v>
      </x:c>
      <x:c r="F782" s="19" t="str">
        <x:v>湘西土匪猪肝</x:v>
      </x:c>
      <x:c r="G782" s="19" t="str">
        <x:v>R1.0</x:v>
      </x:c>
      <x:c r="H782" s="20" t="n">
        <x:f>XLOOKUP(A782,'菜品日销量'!$A$5:$A$1124,'菜品日销量'!$G$5:$G$1124,0)</x:f>
        <x:v>6</x:v>
      </x:c>
      <x:c r="I782" s="20" t="n">
        <x:f>ROUNDUP(H782/2,0)</x:f>
        <x:v>3</x:v>
      </x:c>
      <x:c r="J782" s="22" t="n">
        <x:f>SUMIFS('菜谱BOM'!$F$5:$F$160,'菜谱BOM'!$A$5:$A$160,E782,'菜谱BOM'!$C$5:$C$160,"食材")</x:f>
        <x:v>470</x:v>
      </x:c>
      <x:c r="K782" s="38" t="n">
        <x:v>-0.004562921132092113</x:v>
      </x:c>
      <x:c r="L782" s="35" t="n">
        <x:f>H782*J782*(1+K782)</x:f>
        <x:v>2807.1325624075002</x:v>
      </x:c>
      <x:c r="M782" s="35" t="n">
        <x:f>SUMIFS('菜谱BOM'!$F$5:$F$160,'菜谱BOM'!$A$5:$A$160,E782,'菜谱BOM'!$C$5:$C$160,"调料")</x:f>
        <x:v>49</x:v>
      </x:c>
      <x:c r="N782" s="38" t="n">
        <x:v>-0.0005522838492301023</x:v>
      </x:c>
      <x:c r="O782" s="35" t="n">
        <x:f>H782*M782*(1+N782)</x:f>
        <x:v>293.83762854832634</x:v>
      </x:c>
      <x:c r="P782" s="19" t="str">
        <x:f>IF(ABS(N782)&gt;'封面与口径'!$O$25,"机器调料需复核",IF(ABS(K782)&gt;0.02,"人工称重需复核","正常"))</x:f>
        <x:v>正常</x:v>
      </x:c>
      <x:c r="Q782" s="19" t="str">
        <x:v>唐凯</x:v>
      </x:c>
    </x:row>
    <x:row r="783">
      <x:c r="A783" s="19" t="str">
        <x:v>2026-07-10|S07|D16</x:v>
      </x:c>
      <x:c r="B783" s="34" t="n">
        <x:v>46213.5</x:v>
      </x:c>
      <x:c r="C783" s="19" t="str">
        <x:v>S07</x:v>
      </x:c>
      <x:c r="D783" s="19" t="str">
        <x:v>小和山店</x:v>
      </x:c>
      <x:c r="E783" s="19" t="str">
        <x:v>D16</x:v>
      </x:c>
      <x:c r="F783" s="19" t="str">
        <x:v>小豆角炒五花</x:v>
      </x:c>
      <x:c r="G783" s="19" t="str">
        <x:v>R1.0</x:v>
      </x:c>
      <x:c r="H783" s="20" t="n">
        <x:f>XLOOKUP(A783,'菜品日销量'!$A$5:$A$1124,'菜品日销量'!$G$5:$G$1124,0)</x:f>
        <x:v>7</x:v>
      </x:c>
      <x:c r="I783" s="20" t="n">
        <x:f>ROUNDUP(H783/2,0)</x:f>
        <x:v>4</x:v>
      </x:c>
      <x:c r="J783" s="22" t="n">
        <x:f>SUMIFS('菜谱BOM'!$F$5:$F$160,'菜谱BOM'!$A$5:$A$160,E783,'菜谱BOM'!$C$5:$C$160,"食材")</x:f>
        <x:v>450</x:v>
      </x:c>
      <x:c r="K783" s="38" t="n">
        <x:v>0.00028920821293471554</x:v>
      </x:c>
      <x:c r="L783" s="35" t="n">
        <x:f>H783*J783*(1+K783)</x:f>
        <x:v>3150.9110058707442</x:v>
      </x:c>
      <x:c r="M783" s="35" t="n">
        <x:f>SUMIFS('菜谱BOM'!$F$5:$F$160,'菜谱BOM'!$A$5:$A$160,E783,'菜谱BOM'!$C$5:$C$160,"调料")</x:f>
        <x:v>42</x:v>
      </x:c>
      <x:c r="N783" s="38" t="n">
        <x:v>-0.0005102428687993071</x:v>
      </x:c>
      <x:c r="O783" s="35" t="n">
        <x:f>H783*M783*(1+N783)</x:f>
        <x:v>293.849988596573</x:v>
      </x:c>
      <x:c r="P783" s="19" t="str">
        <x:f>IF(ABS(N783)&gt;'封面与口径'!$O$25,"机器调料需复核",IF(ABS(K783)&gt;0.02,"人工称重需复核","正常"))</x:f>
        <x:v>正常</x:v>
      </x:c>
      <x:c r="Q783" s="19" t="str">
        <x:v>唐凯</x:v>
      </x:c>
    </x:row>
    <x:row r="784">
      <x:c r="A784" s="19" t="str">
        <x:v>2026-07-10|S07|D18</x:v>
      </x:c>
      <x:c r="B784" s="34" t="n">
        <x:v>46213.5</x:v>
      </x:c>
      <x:c r="C784" s="19" t="str">
        <x:v>S07</x:v>
      </x:c>
      <x:c r="D784" s="19" t="str">
        <x:v>小和山店</x:v>
      </x:c>
      <x:c r="E784" s="19" t="str">
        <x:v>D18</x:v>
      </x:c>
      <x:c r="F784" s="19" t="str">
        <x:v>青椒炒油麦菜</x:v>
      </x:c>
      <x:c r="G784" s="19" t="str">
        <x:v>R1.0</x:v>
      </x:c>
      <x:c r="H784" s="20" t="n">
        <x:f>XLOOKUP(A784,'菜品日销量'!$A$5:$A$1124,'菜品日销量'!$G$5:$G$1124,0)</x:f>
        <x:v>8</x:v>
      </x:c>
      <x:c r="I784" s="20" t="n">
        <x:f>ROUNDUP(H784/2,0)</x:f>
        <x:v>4</x:v>
      </x:c>
      <x:c r="J784" s="22" t="n">
        <x:f>SUMIFS('菜谱BOM'!$F$5:$F$160,'菜谱BOM'!$A$5:$A$160,E784,'菜谱BOM'!$C$5:$C$160,"食材")</x:f>
        <x:v>430</x:v>
      </x:c>
      <x:c r="K784" s="38" t="n">
        <x:v>-0.000011440349745433843</x:v>
      </x:c>
      <x:c r="L784" s="35" t="n">
        <x:f>H784*J784*(1+K784)</x:f>
        <x:v>3439.9606451968757</x:v>
      </x:c>
      <x:c r="M784" s="35" t="n">
        <x:f>SUMIFS('菜谱BOM'!$F$5:$F$160,'菜谱BOM'!$A$5:$A$160,E784,'菜谱BOM'!$C$5:$C$160,"调料")</x:f>
        <x:v>33</x:v>
      </x:c>
      <x:c r="N784" s="38" t="n">
        <x:v>0.0015386888588635923</x:v>
      </x:c>
      <x:c r="O784" s="35" t="n">
        <x:f>H784*M784*(1+N784)</x:f>
        <x:v>264.40621385874</x:v>
      </x:c>
      <x:c r="P784" s="19" t="str">
        <x:f>IF(ABS(N784)&gt;'封面与口径'!$O$25,"机器调料需复核",IF(ABS(K784)&gt;0.02,"人工称重需复核","正常"))</x:f>
        <x:v>正常</x:v>
      </x:c>
      <x:c r="Q784" s="19" t="str">
        <x:v>唐凯</x:v>
      </x:c>
    </x:row>
    <x:row r="785">
      <x:c r="A785" s="19" t="str">
        <x:v>2026-07-10|S07|D19</x:v>
      </x:c>
      <x:c r="B785" s="34" t="n">
        <x:v>46213.5</x:v>
      </x:c>
      <x:c r="C785" s="19" t="str">
        <x:v>S07</x:v>
      </x:c>
      <x:c r="D785" s="19" t="str">
        <x:v>小和山店</x:v>
      </x:c>
      <x:c r="E785" s="19" t="str">
        <x:v>D19</x:v>
      </x:c>
      <x:c r="F785" s="19" t="str">
        <x:v>酸萝卜炒鸡杂</x:v>
      </x:c>
      <x:c r="G785" s="19" t="str">
        <x:v>R1.0</x:v>
      </x:c>
      <x:c r="H785" s="20" t="n">
        <x:f>XLOOKUP(A785,'菜品日销量'!$A$5:$A$1124,'菜品日销量'!$G$5:$G$1124,0)</x:f>
        <x:v>6</x:v>
      </x:c>
      <x:c r="I785" s="20" t="n">
        <x:f>ROUNDUP(H785/2,0)</x:f>
        <x:v>3</x:v>
      </x:c>
      <x:c r="J785" s="22" t="n">
        <x:f>SUMIFS('菜谱BOM'!$F$5:$F$160,'菜谱BOM'!$A$5:$A$160,E785,'菜谱BOM'!$C$5:$C$160,"食材")</x:f>
        <x:v>500</x:v>
      </x:c>
      <x:c r="K785" s="38" t="n">
        <x:v>-0.006551945935597631</x:v>
      </x:c>
      <x:c r="L785" s="35" t="n">
        <x:f>H785*J785*(1+K785)</x:f>
        <x:v>2980.344162193207</x:v>
      </x:c>
      <x:c r="M785" s="35" t="n">
        <x:f>SUMIFS('菜谱BOM'!$F$5:$F$160,'菜谱BOM'!$A$5:$A$160,E785,'菜谱BOM'!$C$5:$C$160,"调料")</x:f>
        <x:v>55</x:v>
      </x:c>
      <x:c r="N785" s="38" t="n">
        <x:v>0.0007059905684334202</x:v>
      </x:c>
      <x:c r="O785" s="35" t="n">
        <x:f>H785*M785*(1+N785)</x:f>
        <x:v>330.23297688758305</x:v>
      </x:c>
      <x:c r="P785" s="19" t="str">
        <x:f>IF(ABS(N785)&gt;'封面与口径'!$O$25,"机器调料需复核",IF(ABS(K785)&gt;0.02,"人工称重需复核","正常"))</x:f>
        <x:v>正常</x:v>
      </x:c>
      <x:c r="Q785" s="19" t="str">
        <x:v>唐凯</x:v>
      </x:c>
    </x:row>
    <x:row r="786">
      <x:c r="A786" s="19" t="str">
        <x:v>2026-07-10|S07|D20</x:v>
      </x:c>
      <x:c r="B786" s="34" t="n">
        <x:v>46213.5</x:v>
      </x:c>
      <x:c r="C786" s="19" t="str">
        <x:v>S07</x:v>
      </x:c>
      <x:c r="D786" s="19" t="str">
        <x:v>小和山店</x:v>
      </x:c>
      <x:c r="E786" s="19" t="str">
        <x:v>D20</x:v>
      </x:c>
      <x:c r="F786" s="19" t="str">
        <x:v>雪菜肉末青豆</x:v>
      </x:c>
      <x:c r="G786" s="19" t="str">
        <x:v>R1.0</x:v>
      </x:c>
      <x:c r="H786" s="20" t="n">
        <x:f>XLOOKUP(A786,'菜品日销量'!$A$5:$A$1124,'菜品日销量'!$G$5:$G$1124,0)</x:f>
        <x:v>8</x:v>
      </x:c>
      <x:c r="I786" s="20" t="n">
        <x:f>ROUNDUP(H786/2,0)</x:f>
        <x:v>4</x:v>
      </x:c>
      <x:c r="J786" s="22" t="n">
        <x:f>SUMIFS('菜谱BOM'!$F$5:$F$160,'菜谱BOM'!$A$5:$A$160,E786,'菜谱BOM'!$C$5:$C$160,"食材")</x:f>
        <x:v>465</x:v>
      </x:c>
      <x:c r="K786" s="38" t="n">
        <x:v>-0.006085927750469635</x:v>
      </x:c>
      <x:c r="L786" s="35" t="n">
        <x:f>H786*J786*(1+K786)</x:f>
        <x:v>3697.3603487682526</x:v>
      </x:c>
      <x:c r="M786" s="35" t="n">
        <x:f>SUMIFS('菜谱BOM'!$F$5:$F$160,'菜谱BOM'!$A$5:$A$160,E786,'菜谱BOM'!$C$5:$C$160,"调料")</x:f>
        <x:v>32</x:v>
      </x:c>
      <x:c r="N786" s="38" t="n">
        <x:v>-0.0016751071623701385</x:v>
      </x:c>
      <x:c r="O786" s="35" t="n">
        <x:f>H786*M786*(1+N786)</x:f>
        <x:v>255.57117256643323</x:v>
      </x:c>
      <x:c r="P786" s="19" t="str">
        <x:f>IF(ABS(N786)&gt;'封面与口径'!$O$25,"机器调料需复核",IF(ABS(K786)&gt;0.02,"人工称重需复核","正常"))</x:f>
        <x:v>正常</x:v>
      </x:c>
      <x:c r="Q786" s="19" t="str">
        <x:v>唐凯</x:v>
      </x:c>
    </x:row>
    <x:row r="787">
      <x:c r="A787" s="19" t="str">
        <x:v>2026-07-11|S07|D01</x:v>
      </x:c>
      <x:c r="B787" s="34" t="n">
        <x:v>46214.5</x:v>
      </x:c>
      <x:c r="C787" s="19" t="str">
        <x:v>S07</x:v>
      </x:c>
      <x:c r="D787" s="19" t="str">
        <x:v>小和山店</x:v>
      </x:c>
      <x:c r="E787" s="19" t="str">
        <x:v>D01</x:v>
      </x:c>
      <x:c r="F787" s="19" t="str">
        <x:v>辣椒炒肉</x:v>
      </x:c>
      <x:c r="G787" s="19" t="str">
        <x:v>R2.3</x:v>
      </x:c>
      <x:c r="H787" s="20" t="n">
        <x:f>XLOOKUP(A787,'菜品日销量'!$A$5:$A$1124,'菜品日销量'!$G$5:$G$1124,0)</x:f>
        <x:v>34</x:v>
      </x:c>
      <x:c r="I787" s="20" t="n">
        <x:f>ROUNDUP(H787/2,0)</x:f>
        <x:v>17</x:v>
      </x:c>
      <x:c r="J787" s="22" t="n">
        <x:f>SUMIFS('菜谱BOM'!$F$5:$F$160,'菜谱BOM'!$A$5:$A$160,E787,'菜谱BOM'!$C$5:$C$160,"食材")</x:f>
        <x:v>550</x:v>
      </x:c>
      <x:c r="K787" s="38" t="n">
        <x:v>0.0007799511386034901</x:v>
      </x:c>
      <x:c r="L787" s="35" t="n">
        <x:f>H787*J787*(1+K787)</x:f>
        <x:v>18714.585086291885</x:v>
      </x:c>
      <x:c r="M787" s="35" t="n">
        <x:f>SUMIFS('菜谱BOM'!$F$5:$F$160,'菜谱BOM'!$A$5:$A$160,E787,'菜谱BOM'!$C$5:$C$160,"调料")</x:f>
        <x:v>104</x:v>
      </x:c>
      <x:c r="N787" s="38" t="n">
        <x:v>0.001984223841685854</x:v>
      </x:c>
      <x:c r="O787" s="35" t="n">
        <x:f>H787*M787*(1+N787)</x:f>
        <x:v>3543.016215504201</x:v>
      </x:c>
      <x:c r="P787" s="19" t="str">
        <x:f>IF(ABS(N787)&gt;'封面与口径'!$O$25,"机器调料需复核",IF(ABS(K787)&gt;0.02,"人工称重需复核","正常"))</x:f>
        <x:v>正常</x:v>
      </x:c>
      <x:c r="Q787" s="19" t="str">
        <x:v>唐凯</x:v>
      </x:c>
    </x:row>
    <x:row r="788">
      <x:c r="A788" s="19" t="str">
        <x:v>2026-07-11|S07|D02</x:v>
      </x:c>
      <x:c r="B788" s="34" t="n">
        <x:v>46214.5</x:v>
      </x:c>
      <x:c r="C788" s="19" t="str">
        <x:v>S07</x:v>
      </x:c>
      <x:c r="D788" s="19" t="str">
        <x:v>小和山店</x:v>
      </x:c>
      <x:c r="E788" s="19" t="str">
        <x:v>D02</x:v>
      </x:c>
      <x:c r="F788" s="19" t="str">
        <x:v>小炒黄牛肉</x:v>
      </x:c>
      <x:c r="G788" s="19" t="str">
        <x:v>R2.3</x:v>
      </x:c>
      <x:c r="H788" s="20" t="n">
        <x:f>XLOOKUP(A788,'菜品日销量'!$A$5:$A$1124,'菜品日销量'!$G$5:$G$1124,0)</x:f>
        <x:v>25</x:v>
      </x:c>
      <x:c r="I788" s="20" t="n">
        <x:f>ROUNDUP(H788/2,0)</x:f>
        <x:v>13</x:v>
      </x:c>
      <x:c r="J788" s="22" t="n">
        <x:f>SUMIFS('菜谱BOM'!$F$5:$F$160,'菜谱BOM'!$A$5:$A$160,E788,'菜谱BOM'!$C$5:$C$160,"食材")</x:f>
        <x:v>560</x:v>
      </x:c>
      <x:c r="K788" s="38" t="n">
        <x:v>0.0039638919858177865</x:v>
      </x:c>
      <x:c r="L788" s="35" t="n">
        <x:f>H788*J788*(1+K788)</x:f>
        <x:v>14055.494487801448</x:v>
      </x:c>
      <x:c r="M788" s="35" t="n">
        <x:f>SUMIFS('菜谱BOM'!$F$5:$F$160,'菜谱BOM'!$A$5:$A$160,E788,'菜谱BOM'!$C$5:$C$160,"调料")</x:f>
        <x:v>133</x:v>
      </x:c>
      <x:c r="N788" s="38" t="n">
        <x:v>-0.0006604139941419507</x:v>
      </x:c>
      <x:c r="O788" s="35" t="n">
        <x:f>H788*M788*(1+N788)</x:f>
        <x:v>3322.804123469478</x:v>
      </x:c>
      <x:c r="P788" s="19" t="str">
        <x:f>IF(ABS(N788)&gt;'封面与口径'!$O$25,"机器调料需复核",IF(ABS(K788)&gt;0.02,"人工称重需复核","正常"))</x:f>
        <x:v>正常</x:v>
      </x:c>
      <x:c r="Q788" s="19" t="str">
        <x:v>唐凯</x:v>
      </x:c>
    </x:row>
    <x:row r="789">
      <x:c r="A789" s="19" t="str">
        <x:v>2026-07-11|S07|D03</x:v>
      </x:c>
      <x:c r="B789" s="34" t="n">
        <x:v>46214.5</x:v>
      </x:c>
      <x:c r="C789" s="19" t="str">
        <x:v>S07</x:v>
      </x:c>
      <x:c r="D789" s="19" t="str">
        <x:v>小和山店</x:v>
      </x:c>
      <x:c r="E789" s="19" t="str">
        <x:v>D03</x:v>
      </x:c>
      <x:c r="F789" s="19" t="str">
        <x:v>香醋炒蛋</x:v>
      </x:c>
      <x:c r="G789" s="19" t="str">
        <x:v>R1.0</x:v>
      </x:c>
      <x:c r="H789" s="20" t="n">
        <x:f>XLOOKUP(A789,'菜品日销量'!$A$5:$A$1124,'菜品日销量'!$G$5:$G$1124,0)</x:f>
        <x:v>30</x:v>
      </x:c>
      <x:c r="I789" s="20" t="n">
        <x:f>ROUNDUP(H789/2,0)</x:f>
        <x:v>15</x:v>
      </x:c>
      <x:c r="J789" s="22" t="n">
        <x:f>SUMIFS('菜谱BOM'!$F$5:$F$160,'菜谱BOM'!$A$5:$A$160,E789,'菜谱BOM'!$C$5:$C$160,"食材")</x:f>
        <x:v>300</x:v>
      </x:c>
      <x:c r="K789" s="38" t="n">
        <x:v>0.0059522324274182865</x:v>
      </x:c>
      <x:c r="L789" s="35" t="n">
        <x:f>H789*J789*(1+K789)</x:f>
        <x:v>9053.570091846765</x:v>
      </x:c>
      <x:c r="M789" s="35" t="n">
        <x:f>SUMIFS('菜谱BOM'!$F$5:$F$160,'菜谱BOM'!$A$5:$A$160,E789,'菜谱BOM'!$C$5:$C$160,"调料")</x:f>
        <x:v>53</x:v>
      </x:c>
      <x:c r="N789" s="38" t="n">
        <x:v>-0.0003503349605832098</x:v>
      </x:c>
      <x:c r="O789" s="35" t="n">
        <x:f>H789*M789*(1+N789)</x:f>
        <x:v>1589.4429674126727</x:v>
      </x:c>
      <x:c r="P789" s="19" t="str">
        <x:f>IF(ABS(N789)&gt;'封面与口径'!$O$25,"机器调料需复核",IF(ABS(K789)&gt;0.02,"人工称重需复核","正常"))</x:f>
        <x:v>正常</x:v>
      </x:c>
      <x:c r="Q789" s="19" t="str">
        <x:v>唐凯</x:v>
      </x:c>
    </x:row>
    <x:row r="790">
      <x:c r="A790" s="19" t="str">
        <x:v>2026-07-11|S07|D04</x:v>
      </x:c>
      <x:c r="B790" s="34" t="n">
        <x:v>46214.5</x:v>
      </x:c>
      <x:c r="C790" s="19" t="str">
        <x:v>S07</x:v>
      </x:c>
      <x:c r="D790" s="19" t="str">
        <x:v>小和山店</x:v>
      </x:c>
      <x:c r="E790" s="19" t="str">
        <x:v>D04</x:v>
      </x:c>
      <x:c r="F790" s="19" t="str">
        <x:v>酸包菜炒粉皮</x:v>
      </x:c>
      <x:c r="G790" s="19" t="str">
        <x:v>R1.0</x:v>
      </x:c>
      <x:c r="H790" s="20" t="n">
        <x:f>XLOOKUP(A790,'菜品日销量'!$A$5:$A$1124,'菜品日销量'!$G$5:$G$1124,0)</x:f>
        <x:v>25</x:v>
      </x:c>
      <x:c r="I790" s="20" t="n">
        <x:f>ROUNDUP(H790/2,0)</x:f>
        <x:v>13</x:v>
      </x:c>
      <x:c r="J790" s="22" t="n">
        <x:f>SUMIFS('菜谱BOM'!$F$5:$F$160,'菜谱BOM'!$A$5:$A$160,E790,'菜谱BOM'!$C$5:$C$160,"食材")</x:f>
        <x:v>380</x:v>
      </x:c>
      <x:c r="K790" s="38" t="n">
        <x:v>-0.005570383972853977</x:v>
      </x:c>
      <x:c r="L790" s="35" t="n">
        <x:f>H790*J790*(1+K790)</x:f>
        <x:v>9447.081352257886</x:v>
      </x:c>
      <x:c r="M790" s="35" t="n">
        <x:f>SUMIFS('菜谱BOM'!$F$5:$F$160,'菜谱BOM'!$A$5:$A$160,E790,'菜谱BOM'!$C$5:$C$160,"调料")</x:f>
        <x:v>47</x:v>
      </x:c>
      <x:c r="N790" s="38" t="n">
        <x:v>-0.0018541466975245035</x:v>
      </x:c>
      <x:c r="O790" s="35" t="n">
        <x:f>H790*M790*(1+N790)</x:f>
        <x:v>1172.8213776304087</x:v>
      </x:c>
      <x:c r="P790" s="19" t="str">
        <x:f>IF(ABS(N790)&gt;'封面与口径'!$O$25,"机器调料需复核",IF(ABS(K790)&gt;0.02,"人工称重需复核","正常"))</x:f>
        <x:v>正常</x:v>
      </x:c>
      <x:c r="Q790" s="19" t="str">
        <x:v>唐凯</x:v>
      </x:c>
    </x:row>
    <x:row r="791">
      <x:c r="A791" s="19" t="str">
        <x:v>2026-07-11|S07|D05</x:v>
      </x:c>
      <x:c r="B791" s="34" t="n">
        <x:v>46214.5</x:v>
      </x:c>
      <x:c r="C791" s="19" t="str">
        <x:v>S07</x:v>
      </x:c>
      <x:c r="D791" s="19" t="str">
        <x:v>小和山店</x:v>
      </x:c>
      <x:c r="E791" s="19" t="str">
        <x:v>D05</x:v>
      </x:c>
      <x:c r="F791" s="19" t="str">
        <x:v>麻婆豆腐</x:v>
      </x:c>
      <x:c r="G791" s="19" t="str">
        <x:v>R1.0</x:v>
      </x:c>
      <x:c r="H791" s="20" t="n">
        <x:f>XLOOKUP(A791,'菜品日销量'!$A$5:$A$1124,'菜品日销量'!$G$5:$G$1124,0)</x:f>
        <x:v>35</x:v>
      </x:c>
      <x:c r="I791" s="20" t="n">
        <x:f>ROUNDUP(H791/2,0)</x:f>
        <x:v>18</x:v>
      </x:c>
      <x:c r="J791" s="22" t="n">
        <x:f>SUMIFS('菜谱BOM'!$F$5:$F$160,'菜谱BOM'!$A$5:$A$160,E791,'菜谱BOM'!$C$5:$C$160,"食材")</x:f>
        <x:v>505</x:v>
      </x:c>
      <x:c r="K791" s="38" t="n">
        <x:v>0.0006533404273570849</x:v>
      </x:c>
      <x:c r="L791" s="35" t="n">
        <x:f>H791*J791*(1+K791)</x:f>
        <x:v>17686.547792053534</x:v>
      </x:c>
      <x:c r="M791" s="35" t="n">
        <x:f>SUMIFS('菜谱BOM'!$F$5:$F$160,'菜谱BOM'!$A$5:$A$160,E791,'菜谱BOM'!$C$5:$C$160,"调料")</x:f>
        <x:v>90</x:v>
      </x:c>
      <x:c r="N791" s="38" t="n">
        <x:v>-0.0007478717991029545</x:v>
      </x:c>
      <x:c r="O791" s="35" t="n">
        <x:f>H791*M791*(1+N791)</x:f>
        <x:v>3147.6442038328255</x:v>
      </x:c>
      <x:c r="P791" s="19" t="str">
        <x:f>IF(ABS(N791)&gt;'封面与口径'!$O$25,"机器调料需复核",IF(ABS(K791)&gt;0.02,"人工称重需复核","正常"))</x:f>
        <x:v>正常</x:v>
      </x:c>
      <x:c r="Q791" s="19" t="str">
        <x:v>唐凯</x:v>
      </x:c>
    </x:row>
    <x:row r="792">
      <x:c r="A792" s="19" t="str">
        <x:v>2026-07-11|S07|D07</x:v>
      </x:c>
      <x:c r="B792" s="34" t="n">
        <x:v>46214.5</x:v>
      </x:c>
      <x:c r="C792" s="19" t="str">
        <x:v>S07</x:v>
      </x:c>
      <x:c r="D792" s="19" t="str">
        <x:v>小和山店</x:v>
      </x:c>
      <x:c r="E792" s="19" t="str">
        <x:v>D07</x:v>
      </x:c>
      <x:c r="F792" s="19" t="str">
        <x:v>川味回锅肉</x:v>
      </x:c>
      <x:c r="G792" s="19" t="str">
        <x:v>R1.0</x:v>
      </x:c>
      <x:c r="H792" s="20" t="n">
        <x:f>XLOOKUP(A792,'菜品日销量'!$A$5:$A$1124,'菜品日销量'!$G$5:$G$1124,0)</x:f>
        <x:v>12</x:v>
      </x:c>
      <x:c r="I792" s="20" t="n">
        <x:f>ROUNDUP(H792/2,0)</x:f>
        <x:v>6</x:v>
      </x:c>
      <x:c r="J792" s="22" t="n">
        <x:f>SUMIFS('菜谱BOM'!$F$5:$F$160,'菜谱BOM'!$A$5:$A$160,E792,'菜谱BOM'!$C$5:$C$160,"食材")</x:f>
        <x:v>450</x:v>
      </x:c>
      <x:c r="K792" s="38" t="n">
        <x:v>0.007896552495634312</x:v>
      </x:c>
      <x:c r="L792" s="35" t="n">
        <x:f>H792*J792*(1+K792)</x:f>
        <x:v>5442.641383476425</x:v>
      </x:c>
      <x:c r="M792" s="35" t="n">
        <x:f>SUMIFS('菜谱BOM'!$F$5:$F$160,'菜谱BOM'!$A$5:$A$160,E792,'菜谱BOM'!$C$5:$C$160,"调料")</x:f>
        <x:v>63</x:v>
      </x:c>
      <x:c r="N792" s="38" t="n">
        <x:v>0.00031815549785228336</x:v>
      </x:c>
      <x:c r="O792" s="35" t="n">
        <x:f>H792*M792*(1+N792)</x:f>
        <x:v>756.2405255563763</x:v>
      </x:c>
      <x:c r="P792" s="19" t="str">
        <x:f>IF(ABS(N792)&gt;'封面与口径'!$O$25,"机器调料需复核",IF(ABS(K792)&gt;0.02,"人工称重需复核","正常"))</x:f>
        <x:v>正常</x:v>
      </x:c>
      <x:c r="Q792" s="19" t="str">
        <x:v>唐凯</x:v>
      </x:c>
    </x:row>
    <x:row r="793">
      <x:c r="A793" s="19" t="str">
        <x:v>2026-07-11|S07|D08</x:v>
      </x:c>
      <x:c r="B793" s="34" t="n">
        <x:v>46214.5</x:v>
      </x:c>
      <x:c r="C793" s="19" t="str">
        <x:v>S07</x:v>
      </x:c>
      <x:c r="D793" s="19" t="str">
        <x:v>小和山店</x:v>
      </x:c>
      <x:c r="E793" s="19" t="str">
        <x:v>D08</x:v>
      </x:c>
      <x:c r="F793" s="19" t="str">
        <x:v>生炒清远鸡</x:v>
      </x:c>
      <x:c r="G793" s="19" t="str">
        <x:v>R1.0</x:v>
      </x:c>
      <x:c r="H793" s="20" t="n">
        <x:f>XLOOKUP(A793,'菜品日销量'!$A$5:$A$1124,'菜品日销量'!$G$5:$G$1124,0)</x:f>
        <x:v>7</x:v>
      </x:c>
      <x:c r="I793" s="20" t="n">
        <x:f>ROUNDUP(H793/2,0)</x:f>
        <x:v>4</x:v>
      </x:c>
      <x:c r="J793" s="22" t="n">
        <x:f>SUMIFS('菜谱BOM'!$F$5:$F$160,'菜谱BOM'!$A$5:$A$160,E793,'菜谱BOM'!$C$5:$C$160,"食材")</x:f>
        <x:v>610</x:v>
      </x:c>
      <x:c r="K793" s="38" t="n">
        <x:v>0.0029355768959353624</x:v>
      </x:c>
      <x:c r="L793" s="35" t="n">
        <x:f>H793*J793*(1+K793)</x:f>
        <x:v>4282.534913345644</x:v>
      </x:c>
      <x:c r="M793" s="35" t="n">
        <x:f>SUMIFS('菜谱BOM'!$F$5:$F$160,'菜谱BOM'!$A$5:$A$160,E793,'菜谱BOM'!$C$5:$C$160,"调料")</x:f>
        <x:v>61</x:v>
      </x:c>
      <x:c r="N793" s="38" t="n">
        <x:v>-0.0002879533512256931</x:v>
      </x:c>
      <x:c r="O793" s="35" t="n">
        <x:f>H793*M793*(1+N793)</x:f>
        <x:v>426.8770439190266</x:v>
      </x:c>
      <x:c r="P793" s="19" t="str">
        <x:f>IF(ABS(N793)&gt;'封面与口径'!$O$25,"机器调料需复核",IF(ABS(K793)&gt;0.02,"人工称重需复核","正常"))</x:f>
        <x:v>正常</x:v>
      </x:c>
      <x:c r="Q793" s="19" t="str">
        <x:v>唐凯</x:v>
      </x:c>
    </x:row>
    <x:row r="794">
      <x:c r="A794" s="19" t="str">
        <x:v>2026-07-11|S07|D09</x:v>
      </x:c>
      <x:c r="B794" s="34" t="n">
        <x:v>46214.5</x:v>
      </x:c>
      <x:c r="C794" s="19" t="str">
        <x:v>S07</x:v>
      </x:c>
      <x:c r="D794" s="19" t="str">
        <x:v>小和山店</x:v>
      </x:c>
      <x:c r="E794" s="19" t="str">
        <x:v>D09</x:v>
      </x:c>
      <x:c r="F794" s="19" t="str">
        <x:v>炒豆干</x:v>
      </x:c>
      <x:c r="G794" s="19" t="str">
        <x:v>R1.0</x:v>
      </x:c>
      <x:c r="H794" s="20" t="n">
        <x:f>XLOOKUP(A794,'菜品日销量'!$A$5:$A$1124,'菜品日销量'!$G$5:$G$1124,0)</x:f>
        <x:v>12</x:v>
      </x:c>
      <x:c r="I794" s="20" t="n">
        <x:f>ROUNDUP(H794/2,0)</x:f>
        <x:v>6</x:v>
      </x:c>
      <x:c r="J794" s="22" t="n">
        <x:f>SUMIFS('菜谱BOM'!$F$5:$F$160,'菜谱BOM'!$A$5:$A$160,E794,'菜谱BOM'!$C$5:$C$160,"食材")</x:f>
        <x:v>520</x:v>
      </x:c>
      <x:c r="K794" s="38" t="n">
        <x:v>0.0006361416114112686</x:v>
      </x:c>
      <x:c r="L794" s="35" t="n">
        <x:f>H794*J794*(1+K794)</x:f>
        <x:v>6243.969523655207</x:v>
      </x:c>
      <x:c r="M794" s="35" t="n">
        <x:f>SUMIFS('菜谱BOM'!$F$5:$F$160,'菜谱BOM'!$A$5:$A$160,E794,'菜谱BOM'!$C$5:$C$160,"调料")</x:f>
        <x:v>42</x:v>
      </x:c>
      <x:c r="N794" s="38" t="n">
        <x:v>0.0003207896711120357</x:v>
      </x:c>
      <x:c r="O794" s="35" t="n">
        <x:f>H794*M794*(1+N794)</x:f>
        <x:v>504.1616779942404</x:v>
      </x:c>
      <x:c r="P794" s="19" t="str">
        <x:f>IF(ABS(N794)&gt;'封面与口径'!$O$25,"机器调料需复核",IF(ABS(K794)&gt;0.02,"人工称重需复核","正常"))</x:f>
        <x:v>正常</x:v>
      </x:c>
      <x:c r="Q794" s="19" t="str">
        <x:v>唐凯</x:v>
      </x:c>
    </x:row>
    <x:row r="795">
      <x:c r="A795" s="19" t="str">
        <x:v>2026-07-11|S07|D10</x:v>
      </x:c>
      <x:c r="B795" s="34" t="n">
        <x:v>46214.5</x:v>
      </x:c>
      <x:c r="C795" s="19" t="str">
        <x:v>S07</x:v>
      </x:c>
      <x:c r="D795" s="19" t="str">
        <x:v>小和山店</x:v>
      </x:c>
      <x:c r="E795" s="19" t="str">
        <x:v>D10</x:v>
      </x:c>
      <x:c r="F795" s="19" t="str">
        <x:v>农家一碗香</x:v>
      </x:c>
      <x:c r="G795" s="19" t="str">
        <x:v>R2.3</x:v>
      </x:c>
      <x:c r="H795" s="20" t="n">
        <x:f>XLOOKUP(A795,'菜品日销量'!$A$5:$A$1124,'菜品日销量'!$G$5:$G$1124,0)</x:f>
        <x:v>12</x:v>
      </x:c>
      <x:c r="I795" s="20" t="n">
        <x:f>ROUNDUP(H795/2,0)</x:f>
        <x:v>6</x:v>
      </x:c>
      <x:c r="J795" s="22" t="n">
        <x:f>SUMIFS('菜谱BOM'!$F$5:$F$160,'菜谱BOM'!$A$5:$A$160,E795,'菜谱BOM'!$C$5:$C$160,"食材")</x:f>
        <x:v>510</x:v>
      </x:c>
      <x:c r="K795" s="38" t="n">
        <x:v>0.002123291975381619</x:v>
      </x:c>
      <x:c r="L795" s="35" t="n">
        <x:f>H795*J795*(1+K795)</x:f>
        <x:v>6132.994546889335</x:v>
      </x:c>
      <x:c r="M795" s="35" t="n">
        <x:f>SUMIFS('菜谱BOM'!$F$5:$F$160,'菜谱BOM'!$A$5:$A$160,E795,'菜谱BOM'!$C$5:$C$160,"调料")</x:f>
        <x:v>88</x:v>
      </x:c>
      <x:c r="N795" s="38" t="n">
        <x:v>-0.00028536266421092725</x:v>
      </x:c>
      <x:c r="O795" s="35" t="n">
        <x:f>H795*M795*(1+N795)</x:f>
        <x:v>1055.6986570265933</x:v>
      </x:c>
      <x:c r="P795" s="19" t="str">
        <x:f>IF(ABS(N795)&gt;'封面与口径'!$O$25,"机器调料需复核",IF(ABS(K795)&gt;0.02,"人工称重需复核","正常"))</x:f>
        <x:v>正常</x:v>
      </x:c>
      <x:c r="Q795" s="19" t="str">
        <x:v>唐凯</x:v>
      </x:c>
    </x:row>
    <x:row r="796">
      <x:c r="A796" s="19" t="str">
        <x:v>2026-07-11|S07|D11</x:v>
      </x:c>
      <x:c r="B796" s="34" t="n">
        <x:v>46214.5</x:v>
      </x:c>
      <x:c r="C796" s="19" t="str">
        <x:v>S07</x:v>
      </x:c>
      <x:c r="D796" s="19" t="str">
        <x:v>小和山店</x:v>
      </x:c>
      <x:c r="E796" s="19" t="str">
        <x:v>D11</x:v>
      </x:c>
      <x:c r="F796" s="19" t="str">
        <x:v>香辣爆肥肠</x:v>
      </x:c>
      <x:c r="G796" s="19" t="str">
        <x:v>R1.0</x:v>
      </x:c>
      <x:c r="H796" s="20" t="n">
        <x:f>XLOOKUP(A796,'菜品日销量'!$A$5:$A$1124,'菜品日销量'!$G$5:$G$1124,0)</x:f>
        <x:v>5</x:v>
      </x:c>
      <x:c r="I796" s="20" t="n">
        <x:f>ROUNDUP(H796/2,0)</x:f>
        <x:v>3</x:v>
      </x:c>
      <x:c r="J796" s="22" t="n">
        <x:f>SUMIFS('菜谱BOM'!$F$5:$F$160,'菜谱BOM'!$A$5:$A$160,E796,'菜谱BOM'!$C$5:$C$160,"食材")</x:f>
        <x:v>430</x:v>
      </x:c>
      <x:c r="K796" s="38" t="n">
        <x:v>-0.00455661946454938</x:v>
      </x:c>
      <x:c r="L796" s="35" t="n">
        <x:f>H796*J796*(1+K796)</x:f>
        <x:v>2140.203268151219</x:v>
      </x:c>
      <x:c r="M796" s="35" t="n">
        <x:f>SUMIFS('菜谱BOM'!$F$5:$F$160,'菜谱BOM'!$A$5:$A$160,E796,'菜谱BOM'!$C$5:$C$160,"调料")</x:f>
        <x:v>67</x:v>
      </x:c>
      <x:c r="N796" s="38" t="n">
        <x:v>-0.000600945173436996</x:v>
      </x:c>
      <x:c r="O796" s="35" t="n">
        <x:f>H796*M796*(1+N796)</x:f>
        <x:v>334.7986833668986</x:v>
      </x:c>
      <x:c r="P796" s="19" t="str">
        <x:f>IF(ABS(N796)&gt;'封面与口径'!$O$25,"机器调料需复核",IF(ABS(K796)&gt;0.02,"人工称重需复核","正常"))</x:f>
        <x:v>正常</x:v>
      </x:c>
      <x:c r="Q796" s="19" t="str">
        <x:v>唐凯</x:v>
      </x:c>
    </x:row>
    <x:row r="797">
      <x:c r="A797" s="19" t="str">
        <x:v>2026-07-11|S07|D13</x:v>
      </x:c>
      <x:c r="B797" s="34" t="n">
        <x:v>46214.5</x:v>
      </x:c>
      <x:c r="C797" s="19" t="str">
        <x:v>S07</x:v>
      </x:c>
      <x:c r="D797" s="19" t="str">
        <x:v>小和山店</x:v>
      </x:c>
      <x:c r="E797" s="19" t="str">
        <x:v>D13</x:v>
      </x:c>
      <x:c r="F797" s="19" t="str">
        <x:v>外婆菜炒蛋</x:v>
      </x:c>
      <x:c r="G797" s="19" t="str">
        <x:v>R1.0</x:v>
      </x:c>
      <x:c r="H797" s="20" t="n">
        <x:f>XLOOKUP(A797,'菜品日销量'!$A$5:$A$1124,'菜品日销量'!$G$5:$G$1124,0)</x:f>
        <x:v>11</x:v>
      </x:c>
      <x:c r="I797" s="20" t="n">
        <x:f>ROUNDUP(H797/2,0)</x:f>
        <x:v>6</x:v>
      </x:c>
      <x:c r="J797" s="22" t="n">
        <x:f>SUMIFS('菜谱BOM'!$F$5:$F$160,'菜谱BOM'!$A$5:$A$160,E797,'菜谱BOM'!$C$5:$C$160,"食材")</x:f>
        <x:v>450</x:v>
      </x:c>
      <x:c r="K797" s="38" t="n">
        <x:v>-0.0017732319742844514</x:v>
      </x:c>
      <x:c r="L797" s="35" t="n">
        <x:f>H797*J797*(1+K797)</x:f>
        <x:v>4941.222501727292</x:v>
      </x:c>
      <x:c r="M797" s="35" t="n">
        <x:f>SUMIFS('菜谱BOM'!$F$5:$F$160,'菜谱BOM'!$A$5:$A$160,E797,'菜谱BOM'!$C$5:$C$160,"调料")</x:f>
        <x:v>37</x:v>
      </x:c>
      <x:c r="N797" s="38" t="n">
        <x:v>0.000791745219098345</x:v>
      </x:c>
      <x:c r="O797" s="35" t="n">
        <x:f>H797*M797*(1+N797)</x:f>
        <x:v>407.3222403041731</x:v>
      </x:c>
      <x:c r="P797" s="19" t="str">
        <x:f>IF(ABS(N797)&gt;'封面与口径'!$O$25,"机器调料需复核",IF(ABS(K797)&gt;0.02,"人工称重需复核","正常"))</x:f>
        <x:v>正常</x:v>
      </x:c>
      <x:c r="Q797" s="19" t="str">
        <x:v>唐凯</x:v>
      </x:c>
    </x:row>
    <x:row r="798">
      <x:c r="A798" s="19" t="str">
        <x:v>2026-07-11|S07|D14</x:v>
      </x:c>
      <x:c r="B798" s="34" t="n">
        <x:v>46214.5</x:v>
      </x:c>
      <x:c r="C798" s="19" t="str">
        <x:v>S07</x:v>
      </x:c>
      <x:c r="D798" s="19" t="str">
        <x:v>小和山店</x:v>
      </x:c>
      <x:c r="E798" s="19" t="str">
        <x:v>D14</x:v>
      </x:c>
      <x:c r="F798" s="19" t="str">
        <x:v>酸辣鸡杂</x:v>
      </x:c>
      <x:c r="G798" s="19" t="str">
        <x:v>R1.0</x:v>
      </x:c>
      <x:c r="H798" s="20" t="n">
        <x:f>XLOOKUP(A798,'菜品日销量'!$A$5:$A$1124,'菜品日销量'!$G$5:$G$1124,0)</x:f>
        <x:v>5</x:v>
      </x:c>
      <x:c r="I798" s="20" t="n">
        <x:f>ROUNDUP(H798/2,0)</x:f>
        <x:v>3</x:v>
      </x:c>
      <x:c r="J798" s="22" t="n">
        <x:f>SUMIFS('菜谱BOM'!$F$5:$F$160,'菜谱BOM'!$A$5:$A$160,E798,'菜谱BOM'!$C$5:$C$160,"食材")</x:f>
        <x:v>470</x:v>
      </x:c>
      <x:c r="K798" s="38" t="n">
        <x:v>0.004870149723456741</x:v>
      </x:c>
      <x:c r="L798" s="35" t="n">
        <x:f>H798*J798*(1+K798)</x:f>
        <x:v>2361.444851850123</x:v>
      </x:c>
      <x:c r="M798" s="35" t="n">
        <x:f>SUMIFS('菜谱BOM'!$F$5:$F$160,'菜谱BOM'!$A$5:$A$160,E798,'菜谱BOM'!$C$5:$C$160,"调料")</x:f>
        <x:v>60</x:v>
      </x:c>
      <x:c r="N798" s="38" t="n">
        <x:v>-0.0018353203683708144</x:v>
      </x:c>
      <x:c r="O798" s="35" t="n">
        <x:f>H798*M798*(1+N798)</x:f>
        <x:v>299.44940388948874</x:v>
      </x:c>
      <x:c r="P798" s="19" t="str">
        <x:f>IF(ABS(N798)&gt;'封面与口径'!$O$25,"机器调料需复核",IF(ABS(K798)&gt;0.02,"人工称重需复核","正常"))</x:f>
        <x:v>正常</x:v>
      </x:c>
      <x:c r="Q798" s="19" t="str">
        <x:v>唐凯</x:v>
      </x:c>
    </x:row>
    <x:row r="799">
      <x:c r="A799" s="19" t="str">
        <x:v>2026-07-11|S07|D15</x:v>
      </x:c>
      <x:c r="B799" s="34" t="n">
        <x:v>46214.5</x:v>
      </x:c>
      <x:c r="C799" s="19" t="str">
        <x:v>S07</x:v>
      </x:c>
      <x:c r="D799" s="19" t="str">
        <x:v>小和山店</x:v>
      </x:c>
      <x:c r="E799" s="19" t="str">
        <x:v>D15</x:v>
      </x:c>
      <x:c r="F799" s="19" t="str">
        <x:v>湘西土匪猪肝</x:v>
      </x:c>
      <x:c r="G799" s="19" t="str">
        <x:v>R1.0</x:v>
      </x:c>
      <x:c r="H799" s="20" t="n">
        <x:f>XLOOKUP(A799,'菜品日销量'!$A$5:$A$1124,'菜品日销量'!$G$5:$G$1124,0)</x:f>
        <x:v>5</x:v>
      </x:c>
      <x:c r="I799" s="20" t="n">
        <x:f>ROUNDUP(H799/2,0)</x:f>
        <x:v>3</x:v>
      </x:c>
      <x:c r="J799" s="22" t="n">
        <x:f>SUMIFS('菜谱BOM'!$F$5:$F$160,'菜谱BOM'!$A$5:$A$160,E799,'菜谱BOM'!$C$5:$C$160,"食材")</x:f>
        <x:v>470</x:v>
      </x:c>
      <x:c r="K799" s="38" t="n">
        <x:v>-0.0018097617164742578</x:v>
      </x:c>
      <x:c r="L799" s="35" t="n">
        <x:f>H799*J799*(1+K799)</x:f>
        <x:v>2345.7470599662856</x:v>
      </x:c>
      <x:c r="M799" s="35" t="n">
        <x:f>SUMIFS('菜谱BOM'!$F$5:$F$160,'菜谱BOM'!$A$5:$A$160,E799,'菜谱BOM'!$C$5:$C$160,"调料")</x:f>
        <x:v>49</x:v>
      </x:c>
      <x:c r="N799" s="38" t="n">
        <x:v>-0.0013980249863578998</x:v>
      </x:c>
      <x:c r="O799" s="35" t="n">
        <x:f>H799*M799*(1+N799)</x:f>
        <x:v>244.6574838783423</x:v>
      </x:c>
      <x:c r="P799" s="19" t="str">
        <x:f>IF(ABS(N799)&gt;'封面与口径'!$O$25,"机器调料需复核",IF(ABS(K799)&gt;0.02,"人工称重需复核","正常"))</x:f>
        <x:v>正常</x:v>
      </x:c>
      <x:c r="Q799" s="19" t="str">
        <x:v>唐凯</x:v>
      </x:c>
    </x:row>
    <x:row r="800">
      <x:c r="A800" s="19" t="str">
        <x:v>2026-07-11|S07|D16</x:v>
      </x:c>
      <x:c r="B800" s="34" t="n">
        <x:v>46214.5</x:v>
      </x:c>
      <x:c r="C800" s="19" t="str">
        <x:v>S07</x:v>
      </x:c>
      <x:c r="D800" s="19" t="str">
        <x:v>小和山店</x:v>
      </x:c>
      <x:c r="E800" s="19" t="str">
        <x:v>D16</x:v>
      </x:c>
      <x:c r="F800" s="19" t="str">
        <x:v>小豆角炒五花</x:v>
      </x:c>
      <x:c r="G800" s="19" t="str">
        <x:v>R1.0</x:v>
      </x:c>
      <x:c r="H800" s="20" t="n">
        <x:f>XLOOKUP(A800,'菜品日销量'!$A$5:$A$1124,'菜品日销量'!$G$5:$G$1124,0)</x:f>
        <x:v>5</x:v>
      </x:c>
      <x:c r="I800" s="20" t="n">
        <x:f>ROUNDUP(H800/2,0)</x:f>
        <x:v>3</x:v>
      </x:c>
      <x:c r="J800" s="22" t="n">
        <x:f>SUMIFS('菜谱BOM'!$F$5:$F$160,'菜谱BOM'!$A$5:$A$160,E800,'菜谱BOM'!$C$5:$C$160,"食材")</x:f>
        <x:v>450</x:v>
      </x:c>
      <x:c r="K800" s="38" t="n">
        <x:v>-0.0016160022936798635</x:v>
      </x:c>
      <x:c r="L800" s="35" t="n">
        <x:f>H800*J800*(1+K800)</x:f>
        <x:v>2246.36399483922</x:v>
      </x:c>
      <x:c r="M800" s="35" t="n">
        <x:f>SUMIFS('菜谱BOM'!$F$5:$F$160,'菜谱BOM'!$A$5:$A$160,E800,'菜谱BOM'!$C$5:$C$160,"调料")</x:f>
        <x:v>42</x:v>
      </x:c>
      <x:c r="N800" s="38" t="n">
        <x:v>-0.00028759267700081525</x:v>
      </x:c>
      <x:c r="O800" s="35" t="n">
        <x:f>H800*M800*(1+N800)</x:f>
        <x:v>209.93960553782983</x:v>
      </x:c>
      <x:c r="P800" s="19" t="str">
        <x:f>IF(ABS(N800)&gt;'封面与口径'!$O$25,"机器调料需复核",IF(ABS(K800)&gt;0.02,"人工称重需复核","正常"))</x:f>
        <x:v>正常</x:v>
      </x:c>
      <x:c r="Q800" s="19" t="str">
        <x:v>唐凯</x:v>
      </x:c>
    </x:row>
    <x:row r="801">
      <x:c r="A801" s="19" t="str">
        <x:v>2026-07-11|S07|D18</x:v>
      </x:c>
      <x:c r="B801" s="34" t="n">
        <x:v>46214.5</x:v>
      </x:c>
      <x:c r="C801" s="19" t="str">
        <x:v>S07</x:v>
      </x:c>
      <x:c r="D801" s="19" t="str">
        <x:v>小和山店</x:v>
      </x:c>
      <x:c r="E801" s="19" t="str">
        <x:v>D18</x:v>
      </x:c>
      <x:c r="F801" s="19" t="str">
        <x:v>青椒炒油麦菜</x:v>
      </x:c>
      <x:c r="G801" s="19" t="str">
        <x:v>R1.0</x:v>
      </x:c>
      <x:c r="H801" s="20" t="n">
        <x:f>XLOOKUP(A801,'菜品日销量'!$A$5:$A$1124,'菜品日销量'!$G$5:$G$1124,0)</x:f>
        <x:v>6</x:v>
      </x:c>
      <x:c r="I801" s="20" t="n">
        <x:f>ROUNDUP(H801/2,0)</x:f>
        <x:v>3</x:v>
      </x:c>
      <x:c r="J801" s="22" t="n">
        <x:f>SUMIFS('菜谱BOM'!$F$5:$F$160,'菜谱BOM'!$A$5:$A$160,E801,'菜谱BOM'!$C$5:$C$160,"食材")</x:f>
        <x:v>430</x:v>
      </x:c>
      <x:c r="K801" s="38" t="n">
        <x:v>-0.0023788988241876708</x:v>
      </x:c>
      <x:c r="L801" s="35" t="n">
        <x:f>H801*J801*(1+K801)</x:f>
        <x:v>2573.862441033596</x:v>
      </x:c>
      <x:c r="M801" s="35" t="n">
        <x:f>SUMIFS('菜谱BOM'!$F$5:$F$160,'菜谱BOM'!$A$5:$A$160,E801,'菜谱BOM'!$C$5:$C$160,"调料")</x:f>
        <x:v>33</x:v>
      </x:c>
      <x:c r="N801" s="38" t="n">
        <x:v>-0.0008751466234389569</x:v>
      </x:c>
      <x:c r="O801" s="35" t="n">
        <x:f>H801*M801*(1+N801)</x:f>
        <x:v>197.8267209685591</x:v>
      </x:c>
      <x:c r="P801" s="19" t="str">
        <x:f>IF(ABS(N801)&gt;'封面与口径'!$O$25,"机器调料需复核",IF(ABS(K801)&gt;0.02,"人工称重需复核","正常"))</x:f>
        <x:v>正常</x:v>
      </x:c>
      <x:c r="Q801" s="19" t="str">
        <x:v>唐凯</x:v>
      </x:c>
    </x:row>
    <x:row r="802">
      <x:c r="A802" s="19" t="str">
        <x:v>2026-07-11|S07|D19</x:v>
      </x:c>
      <x:c r="B802" s="34" t="n">
        <x:v>46214.5</x:v>
      </x:c>
      <x:c r="C802" s="19" t="str">
        <x:v>S07</x:v>
      </x:c>
      <x:c r="D802" s="19" t="str">
        <x:v>小和山店</x:v>
      </x:c>
      <x:c r="E802" s="19" t="str">
        <x:v>D19</x:v>
      </x:c>
      <x:c r="F802" s="19" t="str">
        <x:v>酸萝卜炒鸡杂</x:v>
      </x:c>
      <x:c r="G802" s="19" t="str">
        <x:v>R1.0</x:v>
      </x:c>
      <x:c r="H802" s="20" t="n">
        <x:f>XLOOKUP(A802,'菜品日销量'!$A$5:$A$1124,'菜品日销量'!$G$5:$G$1124,0)</x:f>
        <x:v>4</x:v>
      </x:c>
      <x:c r="I802" s="20" t="n">
        <x:f>ROUNDUP(H802/2,0)</x:f>
        <x:v>2</x:v>
      </x:c>
      <x:c r="J802" s="22" t="n">
        <x:f>SUMIFS('菜谱BOM'!$F$5:$F$160,'菜谱BOM'!$A$5:$A$160,E802,'菜谱BOM'!$C$5:$C$160,"食材")</x:f>
        <x:v>500</x:v>
      </x:c>
      <x:c r="K802" s="38" t="n">
        <x:v>-0.002537058858791613</x:v>
      </x:c>
      <x:c r="L802" s="35" t="n">
        <x:f>H802*J802*(1+K802)</x:f>
        <x:v>1994.9258822824168</x:v>
      </x:c>
      <x:c r="M802" s="35" t="n">
        <x:f>SUMIFS('菜谱BOM'!$F$5:$F$160,'菜谱BOM'!$A$5:$A$160,E802,'菜谱BOM'!$C$5:$C$160,"调料")</x:f>
        <x:v>55</x:v>
      </x:c>
      <x:c r="N802" s="38" t="n">
        <x:v>-0.0003342277021925495</x:v>
      </x:c>
      <x:c r="O802" s="35" t="n">
        <x:f>H802*M802*(1+N802)</x:f>
        <x:v>219.92646990551762</x:v>
      </x:c>
      <x:c r="P802" s="19" t="str">
        <x:f>IF(ABS(N802)&gt;'封面与口径'!$O$25,"机器调料需复核",IF(ABS(K802)&gt;0.02,"人工称重需复核","正常"))</x:f>
        <x:v>正常</x:v>
      </x:c>
      <x:c r="Q802" s="19" t="str">
        <x:v>唐凯</x:v>
      </x:c>
    </x:row>
    <x:row r="803">
      <x:c r="A803" s="19" t="str">
        <x:v>2026-07-11|S07|D20</x:v>
      </x:c>
      <x:c r="B803" s="34" t="n">
        <x:v>46214.5</x:v>
      </x:c>
      <x:c r="C803" s="19" t="str">
        <x:v>S07</x:v>
      </x:c>
      <x:c r="D803" s="19" t="str">
        <x:v>小和山店</x:v>
      </x:c>
      <x:c r="E803" s="19" t="str">
        <x:v>D20</x:v>
      </x:c>
      <x:c r="F803" s="19" t="str">
        <x:v>雪菜肉末青豆</x:v>
      </x:c>
      <x:c r="G803" s="19" t="str">
        <x:v>R1.0</x:v>
      </x:c>
      <x:c r="H803" s="20" t="n">
        <x:f>XLOOKUP(A803,'菜品日销量'!$A$5:$A$1124,'菜品日销量'!$G$5:$G$1124,0)</x:f>
        <x:v>6</x:v>
      </x:c>
      <x:c r="I803" s="20" t="n">
        <x:f>ROUNDUP(H803/2,0)</x:f>
        <x:v>3</x:v>
      </x:c>
      <x:c r="J803" s="22" t="n">
        <x:f>SUMIFS('菜谱BOM'!$F$5:$F$160,'菜谱BOM'!$A$5:$A$160,E803,'菜谱BOM'!$C$5:$C$160,"食材")</x:f>
        <x:v>465</x:v>
      </x:c>
      <x:c r="K803" s="38" t="n">
        <x:v>-0.005638317837761323</x:v>
      </x:c>
      <x:c r="L803" s="35" t="n">
        <x:f>H803*J803*(1+K803)</x:f>
        <x:v>2774.269093232646</x:v>
      </x:c>
      <x:c r="M803" s="35" t="n">
        <x:f>SUMIFS('菜谱BOM'!$F$5:$F$160,'菜谱BOM'!$A$5:$A$160,E803,'菜谱BOM'!$C$5:$C$160,"调料")</x:f>
        <x:v>32</x:v>
      </x:c>
      <x:c r="N803" s="38" t="n">
        <x:v>0.0017056446130633458</x:v>
      </x:c>
      <x:c r="O803" s="35" t="n">
        <x:f>H803*M803*(1+N803)</x:f>
        <x:v>192.32748376570817</x:v>
      </x:c>
      <x:c r="P803" s="19" t="str">
        <x:f>IF(ABS(N803)&gt;'封面与口径'!$O$25,"机器调料需复核",IF(ABS(K803)&gt;0.02,"人工称重需复核","正常"))</x:f>
        <x:v>正常</x:v>
      </x:c>
      <x:c r="Q803" s="19" t="str">
        <x:v>唐凯</x:v>
      </x:c>
    </x:row>
    <x:row r="804">
      <x:c r="A804" s="19" t="str">
        <x:v>2026-07-12|S07|D01</x:v>
      </x:c>
      <x:c r="B804" s="34" t="n">
        <x:v>46215.5</x:v>
      </x:c>
      <x:c r="C804" s="19" t="str">
        <x:v>S07</x:v>
      </x:c>
      <x:c r="D804" s="19" t="str">
        <x:v>小和山店</x:v>
      </x:c>
      <x:c r="E804" s="19" t="str">
        <x:v>D01</x:v>
      </x:c>
      <x:c r="F804" s="19" t="str">
        <x:v>辣椒炒肉</x:v>
      </x:c>
      <x:c r="G804" s="19" t="str">
        <x:v>R2.3</x:v>
      </x:c>
      <x:c r="H804" s="20" t="n">
        <x:f>XLOOKUP(A804,'菜品日销量'!$A$5:$A$1124,'菜品日销量'!$G$5:$G$1124,0)</x:f>
        <x:v>35</x:v>
      </x:c>
      <x:c r="I804" s="20" t="n">
        <x:f>ROUNDUP(H804/2,0)</x:f>
        <x:v>18</x:v>
      </x:c>
      <x:c r="J804" s="22" t="n">
        <x:f>SUMIFS('菜谱BOM'!$F$5:$F$160,'菜谱BOM'!$A$5:$A$160,E804,'菜谱BOM'!$C$5:$C$160,"食材")</x:f>
        <x:v>550</x:v>
      </x:c>
      <x:c r="K804" s="38" t="n">
        <x:v>-0.0021340257511786244</x:v>
      </x:c>
      <x:c r="L804" s="35" t="n">
        <x:f>H804*J804*(1+K804)</x:f>
        <x:v>19208.920004289812</x:v>
      </x:c>
      <x:c r="M804" s="35" t="n">
        <x:f>SUMIFS('菜谱BOM'!$F$5:$F$160,'菜谱BOM'!$A$5:$A$160,E804,'菜谱BOM'!$C$5:$C$160,"调料")</x:f>
        <x:v>104</x:v>
      </x:c>
      <x:c r="N804" s="38" t="n">
        <x:v>0.0011592521386126179</x:v>
      </x:c>
      <x:c r="O804" s="35" t="n">
        <x:f>H804*M804*(1+N804)</x:f>
        <x:v>3644.2196777845497</x:v>
      </x:c>
      <x:c r="P804" s="19" t="str">
        <x:f>IF(ABS(N804)&gt;'封面与口径'!$O$25,"机器调料需复核",IF(ABS(K804)&gt;0.02,"人工称重需复核","正常"))</x:f>
        <x:v>正常</x:v>
      </x:c>
      <x:c r="Q804" s="19" t="str">
        <x:v>唐凯</x:v>
      </x:c>
    </x:row>
    <x:row r="805">
      <x:c r="A805" s="19" t="str">
        <x:v>2026-07-12|S07|D02</x:v>
      </x:c>
      <x:c r="B805" s="34" t="n">
        <x:v>46215.5</x:v>
      </x:c>
      <x:c r="C805" s="19" t="str">
        <x:v>S07</x:v>
      </x:c>
      <x:c r="D805" s="19" t="str">
        <x:v>小和山店</x:v>
      </x:c>
      <x:c r="E805" s="19" t="str">
        <x:v>D02</x:v>
      </x:c>
      <x:c r="F805" s="19" t="str">
        <x:v>小炒黄牛肉</x:v>
      </x:c>
      <x:c r="G805" s="19" t="str">
        <x:v>R2.3</x:v>
      </x:c>
      <x:c r="H805" s="20" t="n">
        <x:f>XLOOKUP(A805,'菜品日销量'!$A$5:$A$1124,'菜品日销量'!$G$5:$G$1124,0)</x:f>
        <x:v>25</x:v>
      </x:c>
      <x:c r="I805" s="20" t="n">
        <x:f>ROUNDUP(H805/2,0)</x:f>
        <x:v>13</x:v>
      </x:c>
      <x:c r="J805" s="22" t="n">
        <x:f>SUMIFS('菜谱BOM'!$F$5:$F$160,'菜谱BOM'!$A$5:$A$160,E805,'菜谱BOM'!$C$5:$C$160,"食材")</x:f>
        <x:v>560</x:v>
      </x:c>
      <x:c r="K805" s="38" t="n">
        <x:v>0.0016883765295353666</x:v>
      </x:c>
      <x:c r="L805" s="35" t="n">
        <x:f>H805*J805*(1+K805)</x:f>
        <x:v>14023.637271413496</x:v>
      </x:c>
      <x:c r="M805" s="35" t="n">
        <x:f>SUMIFS('菜谱BOM'!$F$5:$F$160,'菜谱BOM'!$A$5:$A$160,E805,'菜谱BOM'!$C$5:$C$160,"调料")</x:f>
        <x:v>133</x:v>
      </x:c>
      <x:c r="N805" s="38" t="n">
        <x:v>0.00010543589156713251</x:v>
      </x:c>
      <x:c r="O805" s="35" t="n">
        <x:f>H805*M805*(1+N805)</x:f>
        <x:v>3325.3505743394608</x:v>
      </x:c>
      <x:c r="P805" s="19" t="str">
        <x:f>IF(ABS(N805)&gt;'封面与口径'!$O$25,"机器调料需复核",IF(ABS(K805)&gt;0.02,"人工称重需复核","正常"))</x:f>
        <x:v>正常</x:v>
      </x:c>
      <x:c r="Q805" s="19" t="str">
        <x:v>唐凯</x:v>
      </x:c>
    </x:row>
    <x:row r="806">
      <x:c r="A806" s="19" t="str">
        <x:v>2026-07-12|S07|D03</x:v>
      </x:c>
      <x:c r="B806" s="34" t="n">
        <x:v>46215.5</x:v>
      </x:c>
      <x:c r="C806" s="19" t="str">
        <x:v>S07</x:v>
      </x:c>
      <x:c r="D806" s="19" t="str">
        <x:v>小和山店</x:v>
      </x:c>
      <x:c r="E806" s="19" t="str">
        <x:v>D03</x:v>
      </x:c>
      <x:c r="F806" s="19" t="str">
        <x:v>香醋炒蛋</x:v>
      </x:c>
      <x:c r="G806" s="19" t="str">
        <x:v>R1.0</x:v>
      </x:c>
      <x:c r="H806" s="20" t="n">
        <x:f>XLOOKUP(A806,'菜品日销量'!$A$5:$A$1124,'菜品日销量'!$G$5:$G$1124,0)</x:f>
        <x:v>28</x:v>
      </x:c>
      <x:c r="I806" s="20" t="n">
        <x:f>ROUNDUP(H806/2,0)</x:f>
        <x:v>14</x:v>
      </x:c>
      <x:c r="J806" s="22" t="n">
        <x:f>SUMIFS('菜谱BOM'!$F$5:$F$160,'菜谱BOM'!$A$5:$A$160,E806,'菜谱BOM'!$C$5:$C$160,"食材")</x:f>
        <x:v>300</x:v>
      </x:c>
      <x:c r="K806" s="38" t="n">
        <x:v>-0.004797667375951463</x:v>
      </x:c>
      <x:c r="L806" s="35" t="n">
        <x:f>H806*J806*(1+K806)</x:f>
        <x:v>8359.699594042007</x:v>
      </x:c>
      <x:c r="M806" s="35" t="n">
        <x:f>SUMIFS('菜谱BOM'!$F$5:$F$160,'菜谱BOM'!$A$5:$A$160,E806,'菜谱BOM'!$C$5:$C$160,"调料")</x:f>
        <x:v>53</x:v>
      </x:c>
      <x:c r="N806" s="38" t="n">
        <x:v>0.0018570467866624348</x:v>
      </x:c>
      <x:c r="O806" s="35" t="n">
        <x:f>H806*M806*(1+N806)</x:f>
        <x:v>1486.7558574314073</x:v>
      </x:c>
      <x:c r="P806" s="19" t="str">
        <x:f>IF(ABS(N806)&gt;'封面与口径'!$O$25,"机器调料需复核",IF(ABS(K806)&gt;0.02,"人工称重需复核","正常"))</x:f>
        <x:v>正常</x:v>
      </x:c>
      <x:c r="Q806" s="19" t="str">
        <x:v>唐凯</x:v>
      </x:c>
    </x:row>
    <x:row r="807">
      <x:c r="A807" s="19" t="str">
        <x:v>2026-07-12|S07|D04</x:v>
      </x:c>
      <x:c r="B807" s="34" t="n">
        <x:v>46215.5</x:v>
      </x:c>
      <x:c r="C807" s="19" t="str">
        <x:v>S07</x:v>
      </x:c>
      <x:c r="D807" s="19" t="str">
        <x:v>小和山店</x:v>
      </x:c>
      <x:c r="E807" s="19" t="str">
        <x:v>D04</x:v>
      </x:c>
      <x:c r="F807" s="19" t="str">
        <x:v>酸包菜炒粉皮</x:v>
      </x:c>
      <x:c r="G807" s="19" t="str">
        <x:v>R1.0</x:v>
      </x:c>
      <x:c r="H807" s="20" t="n">
        <x:f>XLOOKUP(A807,'菜品日销量'!$A$5:$A$1124,'菜品日销量'!$G$5:$G$1124,0)</x:f>
        <x:v>26</x:v>
      </x:c>
      <x:c r="I807" s="20" t="n">
        <x:f>ROUNDUP(H807/2,0)</x:f>
        <x:v>13</x:v>
      </x:c>
      <x:c r="J807" s="22" t="n">
        <x:f>SUMIFS('菜谱BOM'!$F$5:$F$160,'菜谱BOM'!$A$5:$A$160,E807,'菜谱BOM'!$C$5:$C$160,"食材")</x:f>
        <x:v>380</x:v>
      </x:c>
      <x:c r="K807" s="38" t="n">
        <x:v>-0.0062923386204737095</x:v>
      </x:c>
      <x:c r="L807" s="35" t="n">
        <x:f>H807*J807*(1+K807)</x:f>
        <x:v>9817.83169442972</x:v>
      </x:c>
      <x:c r="M807" s="35" t="n">
        <x:f>SUMIFS('菜谱BOM'!$F$5:$F$160,'菜谱BOM'!$A$5:$A$160,E807,'菜谱BOM'!$C$5:$C$160,"调料")</x:f>
        <x:v>47</x:v>
      </x:c>
      <x:c r="N807" s="38" t="n">
        <x:v>-0.0018566748946571433</x:v>
      </x:c>
      <x:c r="O807" s="35" t="n">
        <x:f>H807*M807*(1+N807)</x:f>
        <x:v>1219.731143278729</x:v>
      </x:c>
      <x:c r="P807" s="19" t="str">
        <x:f>IF(ABS(N807)&gt;'封面与口径'!$O$25,"机器调料需复核",IF(ABS(K807)&gt;0.02,"人工称重需复核","正常"))</x:f>
        <x:v>正常</x:v>
      </x:c>
      <x:c r="Q807" s="19" t="str">
        <x:v>唐凯</x:v>
      </x:c>
    </x:row>
    <x:row r="808">
      <x:c r="A808" s="19" t="str">
        <x:v>2026-07-12|S07|D05</x:v>
      </x:c>
      <x:c r="B808" s="34" t="n">
        <x:v>46215.5</x:v>
      </x:c>
      <x:c r="C808" s="19" t="str">
        <x:v>S07</x:v>
      </x:c>
      <x:c r="D808" s="19" t="str">
        <x:v>小和山店</x:v>
      </x:c>
      <x:c r="E808" s="19" t="str">
        <x:v>D05</x:v>
      </x:c>
      <x:c r="F808" s="19" t="str">
        <x:v>麻婆豆腐</x:v>
      </x:c>
      <x:c r="G808" s="19" t="str">
        <x:v>R1.0</x:v>
      </x:c>
      <x:c r="H808" s="20" t="n">
        <x:f>XLOOKUP(A808,'菜品日销量'!$A$5:$A$1124,'菜品日销量'!$G$5:$G$1124,0)</x:f>
        <x:v>36</x:v>
      </x:c>
      <x:c r="I808" s="20" t="n">
        <x:f>ROUNDUP(H808/2,0)</x:f>
        <x:v>18</x:v>
      </x:c>
      <x:c r="J808" s="22" t="n">
        <x:f>SUMIFS('菜谱BOM'!$F$5:$F$160,'菜谱BOM'!$A$5:$A$160,E808,'菜谱BOM'!$C$5:$C$160,"食材")</x:f>
        <x:v>505</x:v>
      </x:c>
      <x:c r="K808" s="38" t="n">
        <x:v>0.00024816696537848773</x:v>
      </x:c>
      <x:c r="L808" s="35" t="n">
        <x:f>H808*J808*(1+K808)</x:f>
        <x:v>18184.51167543058</x:v>
      </x:c>
      <x:c r="M808" s="35" t="n">
        <x:f>SUMIFS('菜谱BOM'!$F$5:$F$160,'菜谱BOM'!$A$5:$A$160,E808,'菜谱BOM'!$C$5:$C$160,"调料")</x:f>
        <x:v>90</x:v>
      </x:c>
      <x:c r="N808" s="38" t="n">
        <x:v>-0.0010239766042269714</x:v>
      </x:c>
      <x:c r="O808" s="35" t="n">
        <x:f>H808*M808*(1+N808)</x:f>
        <x:v>3236.682315802305</x:v>
      </x:c>
      <x:c r="P808" s="19" t="str">
        <x:f>IF(ABS(N808)&gt;'封面与口径'!$O$25,"机器调料需复核",IF(ABS(K808)&gt;0.02,"人工称重需复核","正常"))</x:f>
        <x:v>正常</x:v>
      </x:c>
      <x:c r="Q808" s="19" t="str">
        <x:v>唐凯</x:v>
      </x:c>
    </x:row>
    <x:row r="809">
      <x:c r="A809" s="19" t="str">
        <x:v>2026-07-12|S07|D07</x:v>
      </x:c>
      <x:c r="B809" s="34" t="n">
        <x:v>46215.5</x:v>
      </x:c>
      <x:c r="C809" s="19" t="str">
        <x:v>S07</x:v>
      </x:c>
      <x:c r="D809" s="19" t="str">
        <x:v>小和山店</x:v>
      </x:c>
      <x:c r="E809" s="19" t="str">
        <x:v>D07</x:v>
      </x:c>
      <x:c r="F809" s="19" t="str">
        <x:v>川味回锅肉</x:v>
      </x:c>
      <x:c r="G809" s="19" t="str">
        <x:v>R1.0</x:v>
      </x:c>
      <x:c r="H809" s="20" t="n">
        <x:f>XLOOKUP(A809,'菜品日销量'!$A$5:$A$1124,'菜品日销量'!$G$5:$G$1124,0)</x:f>
        <x:v>11</x:v>
      </x:c>
      <x:c r="I809" s="20" t="n">
        <x:f>ROUNDUP(H809/2,0)</x:f>
        <x:v>6</x:v>
      </x:c>
      <x:c r="J809" s="22" t="n">
        <x:f>SUMIFS('菜谱BOM'!$F$5:$F$160,'菜谱BOM'!$A$5:$A$160,E809,'菜谱BOM'!$C$5:$C$160,"食材")</x:f>
        <x:v>450</x:v>
      </x:c>
      <x:c r="K809" s="38" t="n">
        <x:v>-0.001032791501151582</x:v>
      </x:c>
      <x:c r="L809" s="35" t="n">
        <x:f>H809*J809*(1+K809)</x:f>
        <x:v>4944.887682069299</x:v>
      </x:c>
      <x:c r="M809" s="35" t="n">
        <x:f>SUMIFS('菜谱BOM'!$F$5:$F$160,'菜谱BOM'!$A$5:$A$160,E809,'菜谱BOM'!$C$5:$C$160,"调料")</x:f>
        <x:v>63</x:v>
      </x:c>
      <x:c r="N809" s="38" t="n">
        <x:v>0.000009744233919713796</x:v>
      </x:c>
      <x:c r="O809" s="35" t="n">
        <x:f>H809*M809*(1+N809)</x:f>
        <x:v>693.0067527541064</x:v>
      </x:c>
      <x:c r="P809" s="19" t="str">
        <x:f>IF(ABS(N809)&gt;'封面与口径'!$O$25,"机器调料需复核",IF(ABS(K809)&gt;0.02,"人工称重需复核","正常"))</x:f>
        <x:v>正常</x:v>
      </x:c>
      <x:c r="Q809" s="19" t="str">
        <x:v>唐凯</x:v>
      </x:c>
    </x:row>
    <x:row r="810">
      <x:c r="A810" s="19" t="str">
        <x:v>2026-07-12|S07|D08</x:v>
      </x:c>
      <x:c r="B810" s="34" t="n">
        <x:v>46215.5</x:v>
      </x:c>
      <x:c r="C810" s="19" t="str">
        <x:v>S07</x:v>
      </x:c>
      <x:c r="D810" s="19" t="str">
        <x:v>小和山店</x:v>
      </x:c>
      <x:c r="E810" s="19" t="str">
        <x:v>D08</x:v>
      </x:c>
      <x:c r="F810" s="19" t="str">
        <x:v>生炒清远鸡</x:v>
      </x:c>
      <x:c r="G810" s="19" t="str">
        <x:v>R1.0</x:v>
      </x:c>
      <x:c r="H810" s="20" t="n">
        <x:f>XLOOKUP(A810,'菜品日销量'!$A$5:$A$1124,'菜品日销量'!$G$5:$G$1124,0)</x:f>
        <x:v>7</x:v>
      </x:c>
      <x:c r="I810" s="20" t="n">
        <x:f>ROUNDUP(H810/2,0)</x:f>
        <x:v>4</x:v>
      </x:c>
      <x:c r="J810" s="22" t="n">
        <x:f>SUMIFS('菜谱BOM'!$F$5:$F$160,'菜谱BOM'!$A$5:$A$160,E810,'菜谱BOM'!$C$5:$C$160,"食材")</x:f>
        <x:v>610</x:v>
      </x:c>
      <x:c r="K810" s="38" t="n">
        <x:v>-0.004303313816968192</x:v>
      </x:c>
      <x:c r="L810" s="35" t="n">
        <x:f>H810*J810*(1+K810)</x:f>
        <x:v>4251.624850001545</x:v>
      </x:c>
      <x:c r="M810" s="35" t="n">
        <x:f>SUMIFS('菜谱BOM'!$F$5:$F$160,'菜谱BOM'!$A$5:$A$160,E810,'菜谱BOM'!$C$5:$C$160,"调料")</x:f>
        <x:v>61</x:v>
      </x:c>
      <x:c r="N810" s="38" t="n">
        <x:v>0.0008850506886106566</x:v>
      </x:c>
      <x:c r="O810" s="35" t="n">
        <x:f>H810*M810*(1+N810)</x:f>
        <x:v>427.37791664403676</x:v>
      </x:c>
      <x:c r="P810" s="19" t="str">
        <x:f>IF(ABS(N810)&gt;'封面与口径'!$O$25,"机器调料需复核",IF(ABS(K810)&gt;0.02,"人工称重需复核","正常"))</x:f>
        <x:v>正常</x:v>
      </x:c>
      <x:c r="Q810" s="19" t="str">
        <x:v>唐凯</x:v>
      </x:c>
    </x:row>
    <x:row r="811">
      <x:c r="A811" s="19" t="str">
        <x:v>2026-07-12|S07|D09</x:v>
      </x:c>
      <x:c r="B811" s="34" t="n">
        <x:v>46215.5</x:v>
      </x:c>
      <x:c r="C811" s="19" t="str">
        <x:v>S07</x:v>
      </x:c>
      <x:c r="D811" s="19" t="str">
        <x:v>小和山店</x:v>
      </x:c>
      <x:c r="E811" s="19" t="str">
        <x:v>D09</x:v>
      </x:c>
      <x:c r="F811" s="19" t="str">
        <x:v>炒豆干</x:v>
      </x:c>
      <x:c r="G811" s="19" t="str">
        <x:v>R1.0</x:v>
      </x:c>
      <x:c r="H811" s="20" t="n">
        <x:f>XLOOKUP(A811,'菜品日销量'!$A$5:$A$1124,'菜品日销量'!$G$5:$G$1124,0)</x:f>
        <x:v>12</x:v>
      </x:c>
      <x:c r="I811" s="20" t="n">
        <x:f>ROUNDUP(H811/2,0)</x:f>
        <x:v>6</x:v>
      </x:c>
      <x:c r="J811" s="22" t="n">
        <x:f>SUMIFS('菜谱BOM'!$F$5:$F$160,'菜谱BOM'!$A$5:$A$160,E811,'菜谱BOM'!$C$5:$C$160,"食材")</x:f>
        <x:v>520</x:v>
      </x:c>
      <x:c r="K811" s="38" t="n">
        <x:v>-0.004616359143661419</x:v>
      </x:c>
      <x:c r="L811" s="35" t="n">
        <x:f>H811*J811*(1+K811)</x:f>
        <x:v>6211.1939189435525</x:v>
      </x:c>
      <x:c r="M811" s="35" t="n">
        <x:f>SUMIFS('菜谱BOM'!$F$5:$F$160,'菜谱BOM'!$A$5:$A$160,E811,'菜谱BOM'!$C$5:$C$160,"调料")</x:f>
        <x:v>42</x:v>
      </x:c>
      <x:c r="N811" s="38" t="n">
        <x:v>0.0014647870155667854</x:v>
      </x:c>
      <x:c r="O811" s="35" t="n">
        <x:f>H811*M811*(1+N811)</x:f>
        <x:v>504.7382526558457</x:v>
      </x:c>
      <x:c r="P811" s="19" t="str">
        <x:f>IF(ABS(N811)&gt;'封面与口径'!$O$25,"机器调料需复核",IF(ABS(K811)&gt;0.02,"人工称重需复核","正常"))</x:f>
        <x:v>正常</x:v>
      </x:c>
      <x:c r="Q811" s="19" t="str">
        <x:v>唐凯</x:v>
      </x:c>
    </x:row>
    <x:row r="812">
      <x:c r="A812" s="19" t="str">
        <x:v>2026-07-12|S07|D10</x:v>
      </x:c>
      <x:c r="B812" s="34" t="n">
        <x:v>46215.5</x:v>
      </x:c>
      <x:c r="C812" s="19" t="str">
        <x:v>S07</x:v>
      </x:c>
      <x:c r="D812" s="19" t="str">
        <x:v>小和山店</x:v>
      </x:c>
      <x:c r="E812" s="19" t="str">
        <x:v>D10</x:v>
      </x:c>
      <x:c r="F812" s="19" t="str">
        <x:v>农家一碗香</x:v>
      </x:c>
      <x:c r="G812" s="19" t="str">
        <x:v>R2.3</x:v>
      </x:c>
      <x:c r="H812" s="20" t="n">
        <x:f>XLOOKUP(A812,'菜品日销量'!$A$5:$A$1124,'菜品日销量'!$G$5:$G$1124,0)</x:f>
        <x:v>11</x:v>
      </x:c>
      <x:c r="I812" s="20" t="n">
        <x:f>ROUNDUP(H812/2,0)</x:f>
        <x:v>6</x:v>
      </x:c>
      <x:c r="J812" s="22" t="n">
        <x:f>SUMIFS('菜谱BOM'!$F$5:$F$160,'菜谱BOM'!$A$5:$A$160,E812,'菜谱BOM'!$C$5:$C$160,"食材")</x:f>
        <x:v>510</x:v>
      </x:c>
      <x:c r="K812" s="38" t="n">
        <x:v>-0.0028278711351630904</x:v>
      </x:c>
      <x:c r="L812" s="35" t="n">
        <x:f>H812*J812*(1+K812)</x:f>
        <x:v>5594.135642931735</x:v>
      </x:c>
      <x:c r="M812" s="35" t="n">
        <x:f>SUMIFS('菜谱BOM'!$F$5:$F$160,'菜谱BOM'!$A$5:$A$160,E812,'菜谱BOM'!$C$5:$C$160,"调料")</x:f>
        <x:v>88</x:v>
      </x:c>
      <x:c r="N812" s="38" t="n">
        <x:v>0.00003388445406078455</x:v>
      </x:c>
      <x:c r="O812" s="35" t="n">
        <x:f>H812*M812*(1+N812)</x:f>
        <x:v>968.0328001515309</x:v>
      </x:c>
      <x:c r="P812" s="19" t="str">
        <x:f>IF(ABS(N812)&gt;'封面与口径'!$O$25,"机器调料需复核",IF(ABS(K812)&gt;0.02,"人工称重需复核","正常"))</x:f>
        <x:v>正常</x:v>
      </x:c>
      <x:c r="Q812" s="19" t="str">
        <x:v>唐凯</x:v>
      </x:c>
    </x:row>
    <x:row r="813">
      <x:c r="A813" s="19" t="str">
        <x:v>2026-07-12|S07|D11</x:v>
      </x:c>
      <x:c r="B813" s="34" t="n">
        <x:v>46215.5</x:v>
      </x:c>
      <x:c r="C813" s="19" t="str">
        <x:v>S07</x:v>
      </x:c>
      <x:c r="D813" s="19" t="str">
        <x:v>小和山店</x:v>
      </x:c>
      <x:c r="E813" s="19" t="str">
        <x:v>D11</x:v>
      </x:c>
      <x:c r="F813" s="19" t="str">
        <x:v>香辣爆肥肠</x:v>
      </x:c>
      <x:c r="G813" s="19" t="str">
        <x:v>R1.0</x:v>
      </x:c>
      <x:c r="H813" s="20" t="n">
        <x:f>XLOOKUP(A813,'菜品日销量'!$A$5:$A$1124,'菜品日销量'!$G$5:$G$1124,0)</x:f>
        <x:v>5</x:v>
      </x:c>
      <x:c r="I813" s="20" t="n">
        <x:f>ROUNDUP(H813/2,0)</x:f>
        <x:v>3</x:v>
      </x:c>
      <x:c r="J813" s="22" t="n">
        <x:f>SUMIFS('菜谱BOM'!$F$5:$F$160,'菜谱BOM'!$A$5:$A$160,E813,'菜谱BOM'!$C$5:$C$160,"食材")</x:f>
        <x:v>430</x:v>
      </x:c>
      <x:c r="K813" s="38" t="n">
        <x:v>0.006423185512056385</x:v>
      </x:c>
      <x:c r="L813" s="35" t="n">
        <x:f>H813*J813*(1+K813)</x:f>
        <x:v>2163.8098488509213</x:v>
      </x:c>
      <x:c r="M813" s="35" t="n">
        <x:f>SUMIFS('菜谱BOM'!$F$5:$F$160,'菜谱BOM'!$A$5:$A$160,E813,'菜谱BOM'!$C$5:$C$160,"调料")</x:f>
        <x:v>67</x:v>
      </x:c>
      <x:c r="N813" s="38" t="n">
        <x:v>-0.001322515697992061</x:v>
      </x:c>
      <x:c r="O813" s="35" t="n">
        <x:f>H813*M813*(1+N813)</x:f>
        <x:v>334.55695724117265</x:v>
      </x:c>
      <x:c r="P813" s="19" t="str">
        <x:f>IF(ABS(N813)&gt;'封面与口径'!$O$25,"机器调料需复核",IF(ABS(K813)&gt;0.02,"人工称重需复核","正常"))</x:f>
        <x:v>正常</x:v>
      </x:c>
      <x:c r="Q813" s="19" t="str">
        <x:v>唐凯</x:v>
      </x:c>
    </x:row>
    <x:row r="814">
      <x:c r="A814" s="19" t="str">
        <x:v>2026-07-12|S07|D13</x:v>
      </x:c>
      <x:c r="B814" s="34" t="n">
        <x:v>46215.5</x:v>
      </x:c>
      <x:c r="C814" s="19" t="str">
        <x:v>S07</x:v>
      </x:c>
      <x:c r="D814" s="19" t="str">
        <x:v>小和山店</x:v>
      </x:c>
      <x:c r="E814" s="19" t="str">
        <x:v>D13</x:v>
      </x:c>
      <x:c r="F814" s="19" t="str">
        <x:v>外婆菜炒蛋</x:v>
      </x:c>
      <x:c r="G814" s="19" t="str">
        <x:v>R1.0</x:v>
      </x:c>
      <x:c r="H814" s="20" t="n">
        <x:f>XLOOKUP(A814,'菜品日销量'!$A$5:$A$1124,'菜品日销量'!$G$5:$G$1124,0)</x:f>
        <x:v>11</x:v>
      </x:c>
      <x:c r="I814" s="20" t="n">
        <x:f>ROUNDUP(H814/2,0)</x:f>
        <x:v>6</x:v>
      </x:c>
      <x:c r="J814" s="22" t="n">
        <x:f>SUMIFS('菜谱BOM'!$F$5:$F$160,'菜谱BOM'!$A$5:$A$160,E814,'菜谱BOM'!$C$5:$C$160,"食材")</x:f>
        <x:v>450</x:v>
      </x:c>
      <x:c r="K814" s="38" t="n">
        <x:v>-0.007015044983247073</x:v>
      </x:c>
      <x:c r="L814" s="35" t="n">
        <x:f>H814*J814*(1+K814)</x:f>
        <x:v>4915.275527332927</x:v>
      </x:c>
      <x:c r="M814" s="35" t="n">
        <x:f>SUMIFS('菜谱BOM'!$F$5:$F$160,'菜谱BOM'!$A$5:$A$160,E814,'菜谱BOM'!$C$5:$C$160,"调料")</x:f>
        <x:v>37</x:v>
      </x:c>
      <x:c r="N814" s="38" t="n">
        <x:v>0.0003429255006701979</x:v>
      </x:c>
      <x:c r="O814" s="35" t="n">
        <x:f>H814*M814*(1+N814)</x:f>
        <x:v>407.13957067877277</x:v>
      </x:c>
      <x:c r="P814" s="19" t="str">
        <x:f>IF(ABS(N814)&gt;'封面与口径'!$O$25,"机器调料需复核",IF(ABS(K814)&gt;0.02,"人工称重需复核","正常"))</x:f>
        <x:v>正常</x:v>
      </x:c>
      <x:c r="Q814" s="19" t="str">
        <x:v>唐凯</x:v>
      </x:c>
    </x:row>
    <x:row r="815">
      <x:c r="A815" s="19" t="str">
        <x:v>2026-07-12|S07|D14</x:v>
      </x:c>
      <x:c r="B815" s="34" t="n">
        <x:v>46215.5</x:v>
      </x:c>
      <x:c r="C815" s="19" t="str">
        <x:v>S07</x:v>
      </x:c>
      <x:c r="D815" s="19" t="str">
        <x:v>小和山店</x:v>
      </x:c>
      <x:c r="E815" s="19" t="str">
        <x:v>D14</x:v>
      </x:c>
      <x:c r="F815" s="19" t="str">
        <x:v>酸辣鸡杂</x:v>
      </x:c>
      <x:c r="G815" s="19" t="str">
        <x:v>R1.0</x:v>
      </x:c>
      <x:c r="H815" s="20" t="n">
        <x:f>XLOOKUP(A815,'菜品日销量'!$A$5:$A$1124,'菜品日销量'!$G$5:$G$1124,0)</x:f>
        <x:v>5</x:v>
      </x:c>
      <x:c r="I815" s="20" t="n">
        <x:f>ROUNDUP(H815/2,0)</x:f>
        <x:v>3</x:v>
      </x:c>
      <x:c r="J815" s="22" t="n">
        <x:f>SUMIFS('菜谱BOM'!$F$5:$F$160,'菜谱BOM'!$A$5:$A$160,E815,'菜谱BOM'!$C$5:$C$160,"食材")</x:f>
        <x:v>470</x:v>
      </x:c>
      <x:c r="K815" s="38" t="n">
        <x:v>0.0014442979640896195</x:v>
      </x:c>
      <x:c r="L815" s="35" t="n">
        <x:f>H815*J815*(1+K815)</x:f>
        <x:v>2353.3941002156107</x:v>
      </x:c>
      <x:c r="M815" s="35" t="n">
        <x:f>SUMIFS('菜谱BOM'!$F$5:$F$160,'菜谱BOM'!$A$5:$A$160,E815,'菜谱BOM'!$C$5:$C$160,"调料")</x:f>
        <x:v>60</x:v>
      </x:c>
      <x:c r="N815" s="38" t="n">
        <x:v>0.001848175577783998</x:v>
      </x:c>
      <x:c r="O815" s="35" t="n">
        <x:f>H815*M815*(1+N815)</x:f>
        <x:v>300.55445267333516</x:v>
      </x:c>
      <x:c r="P815" s="19" t="str">
        <x:f>IF(ABS(N815)&gt;'封面与口径'!$O$25,"机器调料需复核",IF(ABS(K815)&gt;0.02,"人工称重需复核","正常"))</x:f>
        <x:v>正常</x:v>
      </x:c>
      <x:c r="Q815" s="19" t="str">
        <x:v>唐凯</x:v>
      </x:c>
    </x:row>
    <x:row r="816">
      <x:c r="A816" s="19" t="str">
        <x:v>2026-07-12|S07|D15</x:v>
      </x:c>
      <x:c r="B816" s="34" t="n">
        <x:v>46215.5</x:v>
      </x:c>
      <x:c r="C816" s="19" t="str">
        <x:v>S07</x:v>
      </x:c>
      <x:c r="D816" s="19" t="str">
        <x:v>小和山店</x:v>
      </x:c>
      <x:c r="E816" s="19" t="str">
        <x:v>D15</x:v>
      </x:c>
      <x:c r="F816" s="19" t="str">
        <x:v>湘西土匪猪肝</x:v>
      </x:c>
      <x:c r="G816" s="19" t="str">
        <x:v>R1.0</x:v>
      </x:c>
      <x:c r="H816" s="20" t="n">
        <x:f>XLOOKUP(A816,'菜品日销量'!$A$5:$A$1124,'菜品日销量'!$G$5:$G$1124,0)</x:f>
        <x:v>5</x:v>
      </x:c>
      <x:c r="I816" s="20" t="n">
        <x:f>ROUNDUP(H816/2,0)</x:f>
        <x:v>3</x:v>
      </x:c>
      <x:c r="J816" s="22" t="n">
        <x:f>SUMIFS('菜谱BOM'!$F$5:$F$160,'菜谱BOM'!$A$5:$A$160,E816,'菜谱BOM'!$C$5:$C$160,"食材")</x:f>
        <x:v>470</x:v>
      </x:c>
      <x:c r="K816" s="38" t="n">
        <x:v>-0.002632112296910982</x:v>
      </x:c>
      <x:c r="L816" s="35" t="n">
        <x:f>H816*J816*(1+K816)</x:f>
        <x:v>2343.8145361022594</x:v>
      </x:c>
      <x:c r="M816" s="35" t="n">
        <x:f>SUMIFS('菜谱BOM'!$F$5:$F$160,'菜谱BOM'!$A$5:$A$160,E816,'菜谱BOM'!$C$5:$C$160,"调料")</x:f>
        <x:v>49</x:v>
      </x:c>
      <x:c r="N816" s="38" t="n">
        <x:v>-0.0010455495247257756</x:v>
      </x:c>
      <x:c r="O816" s="35" t="n">
        <x:f>H816*M816*(1+N816)</x:f>
        <x:v>244.74384036644219</x:v>
      </x:c>
      <x:c r="P816" s="19" t="str">
        <x:f>IF(ABS(N816)&gt;'封面与口径'!$O$25,"机器调料需复核",IF(ABS(K816)&gt;0.02,"人工称重需复核","正常"))</x:f>
        <x:v>正常</x:v>
      </x:c>
      <x:c r="Q816" s="19" t="str">
        <x:v>唐凯</x:v>
      </x:c>
    </x:row>
    <x:row r="817">
      <x:c r="A817" s="19" t="str">
        <x:v>2026-07-12|S07|D16</x:v>
      </x:c>
      <x:c r="B817" s="34" t="n">
        <x:v>46215.5</x:v>
      </x:c>
      <x:c r="C817" s="19" t="str">
        <x:v>S07</x:v>
      </x:c>
      <x:c r="D817" s="19" t="str">
        <x:v>小和山店</x:v>
      </x:c>
      <x:c r="E817" s="19" t="str">
        <x:v>D16</x:v>
      </x:c>
      <x:c r="F817" s="19" t="str">
        <x:v>小豆角炒五花</x:v>
      </x:c>
      <x:c r="G817" s="19" t="str">
        <x:v>R1.0</x:v>
      </x:c>
      <x:c r="H817" s="20" t="n">
        <x:f>XLOOKUP(A817,'菜品日销量'!$A$5:$A$1124,'菜品日销量'!$G$5:$G$1124,0)</x:f>
        <x:v>5</x:v>
      </x:c>
      <x:c r="I817" s="20" t="n">
        <x:f>ROUNDUP(H817/2,0)</x:f>
        <x:v>3</x:v>
      </x:c>
      <x:c r="J817" s="22" t="n">
        <x:f>SUMIFS('菜谱BOM'!$F$5:$F$160,'菜谱BOM'!$A$5:$A$160,E817,'菜谱BOM'!$C$5:$C$160,"食材")</x:f>
        <x:v>450</x:v>
      </x:c>
      <x:c r="K817" s="38" t="n">
        <x:v>-0.007175037160323709</x:v>
      </x:c>
      <x:c r="L817" s="35" t="n">
        <x:f>H817*J817*(1+K817)</x:f>
        <x:v>2233.8561663892715</x:v>
      </x:c>
      <x:c r="M817" s="35" t="n">
        <x:f>SUMIFS('菜谱BOM'!$F$5:$F$160,'菜谱BOM'!$A$5:$A$160,E817,'菜谱BOM'!$C$5:$C$160,"调料")</x:f>
        <x:v>42</x:v>
      </x:c>
      <x:c r="N817" s="38" t="n">
        <x:v>0.0018882429655381113</x:v>
      </x:c>
      <x:c r="O817" s="35" t="n">
        <x:f>H817*M817*(1+N817)</x:f>
        <x:v>210.39653102276299</x:v>
      </x:c>
      <x:c r="P817" s="19" t="str">
        <x:f>IF(ABS(N817)&gt;'封面与口径'!$O$25,"机器调料需复核",IF(ABS(K817)&gt;0.02,"人工称重需复核","正常"))</x:f>
        <x:v>正常</x:v>
      </x:c>
      <x:c r="Q817" s="19" t="str">
        <x:v>唐凯</x:v>
      </x:c>
    </x:row>
    <x:row r="818">
      <x:c r="A818" s="19" t="str">
        <x:v>2026-07-12|S07|D18</x:v>
      </x:c>
      <x:c r="B818" s="34" t="n">
        <x:v>46215.5</x:v>
      </x:c>
      <x:c r="C818" s="19" t="str">
        <x:v>S07</x:v>
      </x:c>
      <x:c r="D818" s="19" t="str">
        <x:v>小和山店</x:v>
      </x:c>
      <x:c r="E818" s="19" t="str">
        <x:v>D18</x:v>
      </x:c>
      <x:c r="F818" s="19" t="str">
        <x:v>青椒炒油麦菜</x:v>
      </x:c>
      <x:c r="G818" s="19" t="str">
        <x:v>R1.0</x:v>
      </x:c>
      <x:c r="H818" s="20" t="n">
        <x:f>XLOOKUP(A818,'菜品日销量'!$A$5:$A$1124,'菜品日销量'!$G$5:$G$1124,0)</x:f>
        <x:v>6</x:v>
      </x:c>
      <x:c r="I818" s="20" t="n">
        <x:f>ROUNDUP(H818/2,0)</x:f>
        <x:v>3</x:v>
      </x:c>
      <x:c r="J818" s="22" t="n">
        <x:f>SUMIFS('菜谱BOM'!$F$5:$F$160,'菜谱BOM'!$A$5:$A$160,E818,'菜谱BOM'!$C$5:$C$160,"食材")</x:f>
        <x:v>430</x:v>
      </x:c>
      <x:c r="K818" s="38" t="n">
        <x:v>0.00581341419690601</x:v>
      </x:c>
      <x:c r="L818" s="35" t="n">
        <x:f>H818*J818*(1+K818)</x:f>
        <x:v>2594.9986086280173</x:v>
      </x:c>
      <x:c r="M818" s="35" t="n">
        <x:f>SUMIFS('菜谱BOM'!$F$5:$F$160,'菜谱BOM'!$A$5:$A$160,E818,'菜谱BOM'!$C$5:$C$160,"调料")</x:f>
        <x:v>33</x:v>
      </x:c>
      <x:c r="N818" s="38" t="n">
        <x:v>0.0008006139357575713</x:v>
      </x:c>
      <x:c r="O818" s="35" t="n">
        <x:f>H818*M818*(1+N818)</x:f>
        <x:v>198.15852155928</x:v>
      </x:c>
      <x:c r="P818" s="19" t="str">
        <x:f>IF(ABS(N818)&gt;'封面与口径'!$O$25,"机器调料需复核",IF(ABS(K818)&gt;0.02,"人工称重需复核","正常"))</x:f>
        <x:v>正常</x:v>
      </x:c>
      <x:c r="Q818" s="19" t="str">
        <x:v>唐凯</x:v>
      </x:c>
    </x:row>
    <x:row r="819">
      <x:c r="A819" s="19" t="str">
        <x:v>2026-07-12|S07|D19</x:v>
      </x:c>
      <x:c r="B819" s="34" t="n">
        <x:v>46215.5</x:v>
      </x:c>
      <x:c r="C819" s="19" t="str">
        <x:v>S07</x:v>
      </x:c>
      <x:c r="D819" s="19" t="str">
        <x:v>小和山店</x:v>
      </x:c>
      <x:c r="E819" s="19" t="str">
        <x:v>D19</x:v>
      </x:c>
      <x:c r="F819" s="19" t="str">
        <x:v>酸萝卜炒鸡杂</x:v>
      </x:c>
      <x:c r="G819" s="19" t="str">
        <x:v>R1.0</x:v>
      </x:c>
      <x:c r="H819" s="20" t="n">
        <x:f>XLOOKUP(A819,'菜品日销量'!$A$5:$A$1124,'菜品日销量'!$G$5:$G$1124,0)</x:f>
        <x:v>4</x:v>
      </x:c>
      <x:c r="I819" s="20" t="n">
        <x:f>ROUNDUP(H819/2,0)</x:f>
        <x:v>2</x:v>
      </x:c>
      <x:c r="J819" s="22" t="n">
        <x:f>SUMIFS('菜谱BOM'!$F$5:$F$160,'菜谱BOM'!$A$5:$A$160,E819,'菜谱BOM'!$C$5:$C$160,"食材")</x:f>
        <x:v>500</x:v>
      </x:c>
      <x:c r="K819" s="38" t="n">
        <x:v>-0.00044977383512299874</x:v>
      </x:c>
      <x:c r="L819" s="35" t="n">
        <x:f>H819*J819*(1+K819)</x:f>
        <x:v>1999.100452329754</x:v>
      </x:c>
      <x:c r="M819" s="35" t="n">
        <x:f>SUMIFS('菜谱BOM'!$F$5:$F$160,'菜谱BOM'!$A$5:$A$160,E819,'菜谱BOM'!$C$5:$C$160,"调料")</x:f>
        <x:v>55</x:v>
      </x:c>
      <x:c r="N819" s="38" t="n">
        <x:v>0.0014093569580953002</x:v>
      </x:c>
      <x:c r="O819" s="35" t="n">
        <x:f>H819*M819*(1+N819)</x:f>
        <x:v>220.31005853078096</x:v>
      </x:c>
      <x:c r="P819" s="19" t="str">
        <x:f>IF(ABS(N819)&gt;'封面与口径'!$O$25,"机器调料需复核",IF(ABS(K819)&gt;0.02,"人工称重需复核","正常"))</x:f>
        <x:v>正常</x:v>
      </x:c>
      <x:c r="Q819" s="19" t="str">
        <x:v>唐凯</x:v>
      </x:c>
    </x:row>
    <x:row r="820">
      <x:c r="A820" s="19" t="str">
        <x:v>2026-07-12|S07|D20</x:v>
      </x:c>
      <x:c r="B820" s="34" t="n">
        <x:v>46215.5</x:v>
      </x:c>
      <x:c r="C820" s="19" t="str">
        <x:v>S07</x:v>
      </x:c>
      <x:c r="D820" s="19" t="str">
        <x:v>小和山店</x:v>
      </x:c>
      <x:c r="E820" s="19" t="str">
        <x:v>D20</x:v>
      </x:c>
      <x:c r="F820" s="19" t="str">
        <x:v>雪菜肉末青豆</x:v>
      </x:c>
      <x:c r="G820" s="19" t="str">
        <x:v>R1.0</x:v>
      </x:c>
      <x:c r="H820" s="20" t="n">
        <x:f>XLOOKUP(A820,'菜品日销量'!$A$5:$A$1124,'菜品日销量'!$G$5:$G$1124,0)</x:f>
        <x:v>5</x:v>
      </x:c>
      <x:c r="I820" s="20" t="n">
        <x:f>ROUNDUP(H820/2,0)</x:f>
        <x:v>3</x:v>
      </x:c>
      <x:c r="J820" s="22" t="n">
        <x:f>SUMIFS('菜谱BOM'!$F$5:$F$160,'菜谱BOM'!$A$5:$A$160,E820,'菜谱BOM'!$C$5:$C$160,"食材")</x:f>
        <x:v>465</x:v>
      </x:c>
      <x:c r="K820" s="38" t="n">
        <x:v>0.006837607398358548</x:v>
      </x:c>
      <x:c r="L820" s="35" t="n">
        <x:f>H820*J820*(1+K820)</x:f>
        <x:v>2340.8974372011835</x:v>
      </x:c>
      <x:c r="M820" s="35" t="n">
        <x:f>SUMIFS('菜谱BOM'!$F$5:$F$160,'菜谱BOM'!$A$5:$A$160,E820,'菜谱BOM'!$C$5:$C$160,"调料")</x:f>
        <x:v>32</x:v>
      </x:c>
      <x:c r="N820" s="38" t="n">
        <x:v>-0.0009093504638665707</x:v>
      </x:c>
      <x:c r="O820" s="35" t="n">
        <x:f>H820*M820*(1+N820)</x:f>
        <x:v>159.85450392578136</x:v>
      </x:c>
      <x:c r="P820" s="19" t="str">
        <x:f>IF(ABS(N820)&gt;'封面与口径'!$O$25,"机器调料需复核",IF(ABS(K820)&gt;0.02,"人工称重需复核","正常"))</x:f>
        <x:v>正常</x:v>
      </x:c>
      <x:c r="Q820" s="19" t="str">
        <x:v>唐凯</x:v>
      </x:c>
    </x:row>
    <x:row r="821">
      <x:c r="A821" s="19" t="str">
        <x:v>2026-07-13|S07|D01</x:v>
      </x:c>
      <x:c r="B821" s="34" t="n">
        <x:v>46216.5</x:v>
      </x:c>
      <x:c r="C821" s="19" t="str">
        <x:v>S07</x:v>
      </x:c>
      <x:c r="D821" s="19" t="str">
        <x:v>小和山店</x:v>
      </x:c>
      <x:c r="E821" s="19" t="str">
        <x:v>D01</x:v>
      </x:c>
      <x:c r="F821" s="19" t="str">
        <x:v>辣椒炒肉</x:v>
      </x:c>
      <x:c r="G821" s="19" t="str">
        <x:v>R2.3</x:v>
      </x:c>
      <x:c r="H821" s="20" t="n">
        <x:f>XLOOKUP(A821,'菜品日销量'!$A$5:$A$1124,'菜品日销量'!$G$5:$G$1124,0)</x:f>
        <x:v>46</x:v>
      </x:c>
      <x:c r="I821" s="20" t="n">
        <x:f>ROUNDUP(H821/2,0)</x:f>
        <x:v>23</x:v>
      </x:c>
      <x:c r="J821" s="22" t="n">
        <x:f>SUMIFS('菜谱BOM'!$F$5:$F$160,'菜谱BOM'!$A$5:$A$160,E821,'菜谱BOM'!$C$5:$C$160,"食材")</x:f>
        <x:v>550</x:v>
      </x:c>
      <x:c r="K821" s="38" t="n">
        <x:v>0.001654904431117444</x:v>
      </x:c>
      <x:c r="L821" s="35" t="n">
        <x:f>H821*J821*(1+K821)</x:f>
        <x:v>25341.86908210727</x:v>
      </x:c>
      <x:c r="M821" s="35" t="n">
        <x:f>SUMIFS('菜谱BOM'!$F$5:$F$160,'菜谱BOM'!$A$5:$A$160,E821,'菜谱BOM'!$C$5:$C$160,"调料")</x:f>
        <x:v>104</x:v>
      </x:c>
      <x:c r="N821" s="38" t="n">
        <x:v>0.001053373736108973</x:v>
      </x:c>
      <x:c r="O821" s="35" t="n">
        <x:f>H821*M821*(1+N821)</x:f>
        <x:v>4789.039339953545</x:v>
      </x:c>
      <x:c r="P821" s="19" t="str">
        <x:f>IF(ABS(N821)&gt;'封面与口径'!$O$25,"机器调料需复核",IF(ABS(K821)&gt;0.02,"人工称重需复核","正常"))</x:f>
        <x:v>正常</x:v>
      </x:c>
      <x:c r="Q821" s="19" t="str">
        <x:v>唐凯</x:v>
      </x:c>
    </x:row>
    <x:row r="822">
      <x:c r="A822" s="19" t="str">
        <x:v>2026-07-13|S07|D02</x:v>
      </x:c>
      <x:c r="B822" s="34" t="n">
        <x:v>46216.5</x:v>
      </x:c>
      <x:c r="C822" s="19" t="str">
        <x:v>S07</x:v>
      </x:c>
      <x:c r="D822" s="19" t="str">
        <x:v>小和山店</x:v>
      </x:c>
      <x:c r="E822" s="19" t="str">
        <x:v>D02</x:v>
      </x:c>
      <x:c r="F822" s="19" t="str">
        <x:v>小炒黄牛肉</x:v>
      </x:c>
      <x:c r="G822" s="19" t="str">
        <x:v>R2.3</x:v>
      </x:c>
      <x:c r="H822" s="20" t="n">
        <x:f>XLOOKUP(A822,'菜品日销量'!$A$5:$A$1124,'菜品日销量'!$G$5:$G$1124,0)</x:f>
        <x:v>34</x:v>
      </x:c>
      <x:c r="I822" s="20" t="n">
        <x:f>ROUNDUP(H822/2,0)</x:f>
        <x:v>17</x:v>
      </x:c>
      <x:c r="J822" s="22" t="n">
        <x:f>SUMIFS('菜谱BOM'!$F$5:$F$160,'菜谱BOM'!$A$5:$A$160,E822,'菜谱BOM'!$C$5:$C$160,"食材")</x:f>
        <x:v>560</x:v>
      </x:c>
      <x:c r="K822" s="38" t="n">
        <x:v>0.004260850976281997</x:v>
      </x:c>
      <x:c r="L822" s="35" t="n">
        <x:f>H822*J822*(1+K822)</x:f>
        <x:v>19121.12660258841</x:v>
      </x:c>
      <x:c r="M822" s="35" t="n">
        <x:f>SUMIFS('菜谱BOM'!$F$5:$F$160,'菜谱BOM'!$A$5:$A$160,E822,'菜谱BOM'!$C$5:$C$160,"调料")</x:f>
        <x:v>133</x:v>
      </x:c>
      <x:c r="N822" s="38" t="n">
        <x:v>0.0007055152837898384</x:v>
      </x:c>
      <x:c r="O822" s="35" t="n">
        <x:f>H822*M822*(1+N822)</x:f>
        <x:v>4525.190340113298</x:v>
      </x:c>
      <x:c r="P822" s="19" t="str">
        <x:f>IF(ABS(N822)&gt;'封面与口径'!$O$25,"机器调料需复核",IF(ABS(K822)&gt;0.02,"人工称重需复核","正常"))</x:f>
        <x:v>正常</x:v>
      </x:c>
      <x:c r="Q822" s="19" t="str">
        <x:v>唐凯</x:v>
      </x:c>
    </x:row>
    <x:row r="823">
      <x:c r="A823" s="19" t="str">
        <x:v>2026-07-13|S07|D03</x:v>
      </x:c>
      <x:c r="B823" s="34" t="n">
        <x:v>46216.5</x:v>
      </x:c>
      <x:c r="C823" s="19" t="str">
        <x:v>S07</x:v>
      </x:c>
      <x:c r="D823" s="19" t="str">
        <x:v>小和山店</x:v>
      </x:c>
      <x:c r="E823" s="19" t="str">
        <x:v>D03</x:v>
      </x:c>
      <x:c r="F823" s="19" t="str">
        <x:v>香醋炒蛋</x:v>
      </x:c>
      <x:c r="G823" s="19" t="str">
        <x:v>R1.0</x:v>
      </x:c>
      <x:c r="H823" s="20" t="n">
        <x:f>XLOOKUP(A823,'菜品日销量'!$A$5:$A$1124,'菜品日销量'!$G$5:$G$1124,0)</x:f>
        <x:v>42</x:v>
      </x:c>
      <x:c r="I823" s="20" t="n">
        <x:f>ROUNDUP(H823/2,0)</x:f>
        <x:v>21</x:v>
      </x:c>
      <x:c r="J823" s="22" t="n">
        <x:f>SUMIFS('菜谱BOM'!$F$5:$F$160,'菜谱BOM'!$A$5:$A$160,E823,'菜谱BOM'!$C$5:$C$160,"食材")</x:f>
        <x:v>300</x:v>
      </x:c>
      <x:c r="K823" s="38" t="n">
        <x:v>-0.003517376857697353</x:v>
      </x:c>
      <x:c r="L823" s="35" t="n">
        <x:f>H823*J823*(1+K823)</x:f>
        <x:v>12555.681051593014</x:v>
      </x:c>
      <x:c r="M823" s="35" t="n">
        <x:f>SUMIFS('菜谱BOM'!$F$5:$F$160,'菜谱BOM'!$A$5:$A$160,E823,'菜谱BOM'!$C$5:$C$160,"调料")</x:f>
        <x:v>53</x:v>
      </x:c>
      <x:c r="N823" s="38" t="n">
        <x:v>-0.0006120674625532858</x:v>
      </x:c>
      <x:c r="O823" s="35" t="n">
        <x:f>H823*M823*(1+N823)</x:f>
        <x:v>2224.6375378283565</x:v>
      </x:c>
      <x:c r="P823" s="19" t="str">
        <x:f>IF(ABS(N823)&gt;'封面与口径'!$O$25,"机器调料需复核",IF(ABS(K823)&gt;0.02,"人工称重需复核","正常"))</x:f>
        <x:v>正常</x:v>
      </x:c>
      <x:c r="Q823" s="19" t="str">
        <x:v>唐凯</x:v>
      </x:c>
    </x:row>
    <x:row r="824">
      <x:c r="A824" s="19" t="str">
        <x:v>2026-07-13|S07|D04</x:v>
      </x:c>
      <x:c r="B824" s="34" t="n">
        <x:v>46216.5</x:v>
      </x:c>
      <x:c r="C824" s="19" t="str">
        <x:v>S07</x:v>
      </x:c>
      <x:c r="D824" s="19" t="str">
        <x:v>小和山店</x:v>
      </x:c>
      <x:c r="E824" s="19" t="str">
        <x:v>D04</x:v>
      </x:c>
      <x:c r="F824" s="19" t="str">
        <x:v>酸包菜炒粉皮</x:v>
      </x:c>
      <x:c r="G824" s="19" t="str">
        <x:v>R1.0</x:v>
      </x:c>
      <x:c r="H824" s="20" t="n">
        <x:f>XLOOKUP(A824,'菜品日销量'!$A$5:$A$1124,'菜品日销量'!$G$5:$G$1124,0)</x:f>
        <x:v>34</x:v>
      </x:c>
      <x:c r="I824" s="20" t="n">
        <x:f>ROUNDUP(H824/2,0)</x:f>
        <x:v>17</x:v>
      </x:c>
      <x:c r="J824" s="22" t="n">
        <x:f>SUMIFS('菜谱BOM'!$F$5:$F$160,'菜谱BOM'!$A$5:$A$160,E824,'菜谱BOM'!$C$5:$C$160,"食材")</x:f>
        <x:v>380</x:v>
      </x:c>
      <x:c r="K824" s="38" t="n">
        <x:v>0.0014949122540408074</x:v>
      </x:c>
      <x:c r="L824" s="35" t="n">
        <x:f>H824*J824*(1+K824)</x:f>
        <x:v>12939.314266322208</x:v>
      </x:c>
      <x:c r="M824" s="35" t="n">
        <x:f>SUMIFS('菜谱BOM'!$F$5:$F$160,'菜谱BOM'!$A$5:$A$160,E824,'菜谱BOM'!$C$5:$C$160,"调料")</x:f>
        <x:v>47</x:v>
      </x:c>
      <x:c r="N824" s="38" t="n">
        <x:v>-0.001835336948706614</x:v>
      </x:c>
      <x:c r="O824" s="35" t="n">
        <x:f>H824*M824*(1+N824)</x:f>
        <x:v>1595.0671315559669</x:v>
      </x:c>
      <x:c r="P824" s="19" t="str">
        <x:f>IF(ABS(N824)&gt;'封面与口径'!$O$25,"机器调料需复核",IF(ABS(K824)&gt;0.02,"人工称重需复核","正常"))</x:f>
        <x:v>正常</x:v>
      </x:c>
      <x:c r="Q824" s="19" t="str">
        <x:v>唐凯</x:v>
      </x:c>
    </x:row>
    <x:row r="825">
      <x:c r="A825" s="19" t="str">
        <x:v>2026-07-13|S07|D05</x:v>
      </x:c>
      <x:c r="B825" s="34" t="n">
        <x:v>46216.5</x:v>
      </x:c>
      <x:c r="C825" s="19" t="str">
        <x:v>S07</x:v>
      </x:c>
      <x:c r="D825" s="19" t="str">
        <x:v>小和山店</x:v>
      </x:c>
      <x:c r="E825" s="19" t="str">
        <x:v>D05</x:v>
      </x:c>
      <x:c r="F825" s="19" t="str">
        <x:v>麻婆豆腐</x:v>
      </x:c>
      <x:c r="G825" s="19" t="str">
        <x:v>R1.0</x:v>
      </x:c>
      <x:c r="H825" s="20" t="n">
        <x:f>XLOOKUP(A825,'菜品日销量'!$A$5:$A$1124,'菜品日销量'!$G$5:$G$1124,0)</x:f>
        <x:v>55</x:v>
      </x:c>
      <x:c r="I825" s="20" t="n">
        <x:f>ROUNDUP(H825/2,0)</x:f>
        <x:v>28</x:v>
      </x:c>
      <x:c r="J825" s="22" t="n">
        <x:f>SUMIFS('菜谱BOM'!$F$5:$F$160,'菜谱BOM'!$A$5:$A$160,E825,'菜谱BOM'!$C$5:$C$160,"食材")</x:f>
        <x:v>505</x:v>
      </x:c>
      <x:c r="K825" s="38" t="n">
        <x:v>0.0035992244993334702</x:v>
      </x:c>
      <x:c r="L825" s="35" t="n">
        <x:f>H825*J825*(1+K825)</x:f>
        <x:v>27874.968460468986</x:v>
      </x:c>
      <x:c r="M825" s="35" t="n">
        <x:f>SUMIFS('菜谱BOM'!$F$5:$F$160,'菜谱BOM'!$A$5:$A$160,E825,'菜谱BOM'!$C$5:$C$160,"调料")</x:f>
        <x:v>90</x:v>
      </x:c>
      <x:c r="N825" s="38" t="n">
        <x:v>0.0017218641945444665</x:v>
      </x:c>
      <x:c r="O825" s="35" t="n">
        <x:f>H825*M825*(1+N825)</x:f>
        <x:v>4958.523227762995</x:v>
      </x:c>
      <x:c r="P825" s="19" t="str">
        <x:f>IF(ABS(N825)&gt;'封面与口径'!$O$25,"机器调料需复核",IF(ABS(K825)&gt;0.02,"人工称重需复核","正常"))</x:f>
        <x:v>正常</x:v>
      </x:c>
      <x:c r="Q825" s="19" t="str">
        <x:v>唐凯</x:v>
      </x:c>
    </x:row>
    <x:row r="826">
      <x:c r="A826" s="19" t="str">
        <x:v>2026-07-13|S07|D07</x:v>
      </x:c>
      <x:c r="B826" s="34" t="n">
        <x:v>46216.5</x:v>
      </x:c>
      <x:c r="C826" s="19" t="str">
        <x:v>S07</x:v>
      </x:c>
      <x:c r="D826" s="19" t="str">
        <x:v>小和山店</x:v>
      </x:c>
      <x:c r="E826" s="19" t="str">
        <x:v>D07</x:v>
      </x:c>
      <x:c r="F826" s="19" t="str">
        <x:v>川味回锅肉</x:v>
      </x:c>
      <x:c r="G826" s="19" t="str">
        <x:v>R1.0</x:v>
      </x:c>
      <x:c r="H826" s="20" t="n">
        <x:f>XLOOKUP(A826,'菜品日销量'!$A$5:$A$1124,'菜品日销量'!$G$5:$G$1124,0)</x:f>
        <x:v>15</x:v>
      </x:c>
      <x:c r="I826" s="20" t="n">
        <x:f>ROUNDUP(H826/2,0)</x:f>
        <x:v>8</x:v>
      </x:c>
      <x:c r="J826" s="22" t="n">
        <x:f>SUMIFS('菜谱BOM'!$F$5:$F$160,'菜谱BOM'!$A$5:$A$160,E826,'菜谱BOM'!$C$5:$C$160,"食材")</x:f>
        <x:v>450</x:v>
      </x:c>
      <x:c r="K826" s="38" t="n">
        <x:v>-0.003643987568943758</x:v>
      </x:c>
      <x:c r="L826" s="35" t="n">
        <x:f>H826*J826*(1+K826)</x:f>
        <x:v>6725.4030839096295</x:v>
      </x:c>
      <x:c r="M826" s="35" t="n">
        <x:f>SUMIFS('菜谱BOM'!$F$5:$F$160,'菜谱BOM'!$A$5:$A$160,E826,'菜谱BOM'!$C$5:$C$160,"调料")</x:f>
        <x:v>63</x:v>
      </x:c>
      <x:c r="N826" s="38" t="n">
        <x:v>0.0006558368975892281</x:v>
      </x:c>
      <x:c r="O826" s="35" t="n">
        <x:f>H826*M826*(1+N826)</x:f>
        <x:v>945.6197658682219</x:v>
      </x:c>
      <x:c r="P826" s="19" t="str">
        <x:f>IF(ABS(N826)&gt;'封面与口径'!$O$25,"机器调料需复核",IF(ABS(K826)&gt;0.02,"人工称重需复核","正常"))</x:f>
        <x:v>正常</x:v>
      </x:c>
      <x:c r="Q826" s="19" t="str">
        <x:v>唐凯</x:v>
      </x:c>
    </x:row>
    <x:row r="827">
      <x:c r="A827" s="19" t="str">
        <x:v>2026-07-13|S07|D08</x:v>
      </x:c>
      <x:c r="B827" s="34" t="n">
        <x:v>46216.5</x:v>
      </x:c>
      <x:c r="C827" s="19" t="str">
        <x:v>S07</x:v>
      </x:c>
      <x:c r="D827" s="19" t="str">
        <x:v>小和山店</x:v>
      </x:c>
      <x:c r="E827" s="19" t="str">
        <x:v>D08</x:v>
      </x:c>
      <x:c r="F827" s="19" t="str">
        <x:v>生炒清远鸡</x:v>
      </x:c>
      <x:c r="G827" s="19" t="str">
        <x:v>R1.0</x:v>
      </x:c>
      <x:c r="H827" s="20" t="n">
        <x:f>XLOOKUP(A827,'菜品日销量'!$A$5:$A$1124,'菜品日销量'!$G$5:$G$1124,0)</x:f>
        <x:v>13</x:v>
      </x:c>
      <x:c r="I827" s="20" t="n">
        <x:f>ROUNDUP(H827/2,0)</x:f>
        <x:v>7</x:v>
      </x:c>
      <x:c r="J827" s="22" t="n">
        <x:f>SUMIFS('菜谱BOM'!$F$5:$F$160,'菜谱BOM'!$A$5:$A$160,E827,'菜谱BOM'!$C$5:$C$160,"食材")</x:f>
        <x:v>610</x:v>
      </x:c>
      <x:c r="K827" s="38" t="n">
        <x:v>-0.004906784980768986</x:v>
      </x:c>
      <x:c r="L827" s="35" t="n">
        <x:f>H827*J827*(1+K827)</x:f>
        <x:v>7891.089195102501</x:v>
      </x:c>
      <x:c r="M827" s="35" t="n">
        <x:f>SUMIFS('菜谱BOM'!$F$5:$F$160,'菜谱BOM'!$A$5:$A$160,E827,'菜谱BOM'!$C$5:$C$160,"调料")</x:f>
        <x:v>61</x:v>
      </x:c>
      <x:c r="N827" s="38" t="n">
        <x:v>0.0006147053480648217</x:v>
      </x:c>
      <x:c r="O827" s="35" t="n">
        <x:f>H827*M827*(1+N827)</x:f>
        <x:v>793.4874613410153</x:v>
      </x:c>
      <x:c r="P827" s="19" t="str">
        <x:f>IF(ABS(N827)&gt;'封面与口径'!$O$25,"机器调料需复核",IF(ABS(K827)&gt;0.02,"人工称重需复核","正常"))</x:f>
        <x:v>正常</x:v>
      </x:c>
      <x:c r="Q827" s="19" t="str">
        <x:v>唐凯</x:v>
      </x:c>
    </x:row>
    <x:row r="828">
      <x:c r="A828" s="19" t="str">
        <x:v>2026-07-13|S07|D09</x:v>
      </x:c>
      <x:c r="B828" s="34" t="n">
        <x:v>46216.5</x:v>
      </x:c>
      <x:c r="C828" s="19" t="str">
        <x:v>S07</x:v>
      </x:c>
      <x:c r="D828" s="19" t="str">
        <x:v>小和山店</x:v>
      </x:c>
      <x:c r="E828" s="19" t="str">
        <x:v>D09</x:v>
      </x:c>
      <x:c r="F828" s="19" t="str">
        <x:v>炒豆干</x:v>
      </x:c>
      <x:c r="G828" s="19" t="str">
        <x:v>R1.0</x:v>
      </x:c>
      <x:c r="H828" s="20" t="n">
        <x:f>XLOOKUP(A828,'菜品日销量'!$A$5:$A$1124,'菜品日销量'!$G$5:$G$1124,0)</x:f>
        <x:v>16</x:v>
      </x:c>
      <x:c r="I828" s="20" t="n">
        <x:f>ROUNDUP(H828/2,0)</x:f>
        <x:v>8</x:v>
      </x:c>
      <x:c r="J828" s="22" t="n">
        <x:f>SUMIFS('菜谱BOM'!$F$5:$F$160,'菜谱BOM'!$A$5:$A$160,E828,'菜谱BOM'!$C$5:$C$160,"食材")</x:f>
        <x:v>520</x:v>
      </x:c>
      <x:c r="K828" s="38" t="n">
        <x:v>-0.0037459734929134072</x:v>
      </x:c>
      <x:c r="L828" s="35" t="n">
        <x:f>H828*J828*(1+K828)</x:f>
        <x:v>8288.83350053896</x:v>
      </x:c>
      <x:c r="M828" s="35" t="n">
        <x:f>SUMIFS('菜谱BOM'!$F$5:$F$160,'菜谱BOM'!$A$5:$A$160,E828,'菜谱BOM'!$C$5:$C$160,"调料")</x:f>
        <x:v>42</x:v>
      </x:c>
      <x:c r="N828" s="38" t="n">
        <x:v>0.0007335432066427412</x:v>
      </x:c>
      <x:c r="O828" s="35" t="n">
        <x:f>H828*M828*(1+N828)</x:f>
        <x:v>672.4929410348639</x:v>
      </x:c>
      <x:c r="P828" s="19" t="str">
        <x:f>IF(ABS(N828)&gt;'封面与口径'!$O$25,"机器调料需复核",IF(ABS(K828)&gt;0.02,"人工称重需复核","正常"))</x:f>
        <x:v>正常</x:v>
      </x:c>
      <x:c r="Q828" s="19" t="str">
        <x:v>唐凯</x:v>
      </x:c>
    </x:row>
    <x:row r="829">
      <x:c r="A829" s="19" t="str">
        <x:v>2026-07-13|S07|D10</x:v>
      </x:c>
      <x:c r="B829" s="34" t="n">
        <x:v>46216.5</x:v>
      </x:c>
      <x:c r="C829" s="19" t="str">
        <x:v>S07</x:v>
      </x:c>
      <x:c r="D829" s="19" t="str">
        <x:v>小和山店</x:v>
      </x:c>
      <x:c r="E829" s="19" t="str">
        <x:v>D10</x:v>
      </x:c>
      <x:c r="F829" s="19" t="str">
        <x:v>农家一碗香</x:v>
      </x:c>
      <x:c r="G829" s="19" t="str">
        <x:v>R2.3</x:v>
      </x:c>
      <x:c r="H829" s="20" t="n">
        <x:f>XLOOKUP(A829,'菜品日销量'!$A$5:$A$1124,'菜品日销量'!$G$5:$G$1124,0)</x:f>
        <x:v>18</x:v>
      </x:c>
      <x:c r="I829" s="20" t="n">
        <x:f>ROUNDUP(H829/2,0)</x:f>
        <x:v>9</x:v>
      </x:c>
      <x:c r="J829" s="22" t="n">
        <x:f>SUMIFS('菜谱BOM'!$F$5:$F$160,'菜谱BOM'!$A$5:$A$160,E829,'菜谱BOM'!$C$5:$C$160,"食材")</x:f>
        <x:v>510</x:v>
      </x:c>
      <x:c r="K829" s="38" t="n">
        <x:v>-0.005913330289980707</x:v>
      </x:c>
      <x:c r="L829" s="35" t="n">
        <x:f>H829*J829*(1+K829)</x:f>
        <x:v>9125.715627937976</x:v>
      </x:c>
      <x:c r="M829" s="35" t="n">
        <x:f>SUMIFS('菜谱BOM'!$F$5:$F$160,'菜谱BOM'!$A$5:$A$160,E829,'菜谱BOM'!$C$5:$C$160,"调料")</x:f>
        <x:v>88</x:v>
      </x:c>
      <x:c r="N829" s="38" t="n">
        <x:v>0.0011161160196913676</x:v>
      </x:c>
      <x:c r="O829" s="35" t="n">
        <x:f>H829*M829*(1+N829)</x:f>
        <x:v>1585.767927775191</x:v>
      </x:c>
      <x:c r="P829" s="19" t="str">
        <x:f>IF(ABS(N829)&gt;'封面与口径'!$O$25,"机器调料需复核",IF(ABS(K829)&gt;0.02,"人工称重需复核","正常"))</x:f>
        <x:v>正常</x:v>
      </x:c>
      <x:c r="Q829" s="19" t="str">
        <x:v>唐凯</x:v>
      </x:c>
    </x:row>
    <x:row r="830">
      <x:c r="A830" s="19" t="str">
        <x:v>2026-07-13|S07|D11</x:v>
      </x:c>
      <x:c r="B830" s="34" t="n">
        <x:v>46216.5</x:v>
      </x:c>
      <x:c r="C830" s="19" t="str">
        <x:v>S07</x:v>
      </x:c>
      <x:c r="D830" s="19" t="str">
        <x:v>小和山店</x:v>
      </x:c>
      <x:c r="E830" s="19" t="str">
        <x:v>D11</x:v>
      </x:c>
      <x:c r="F830" s="19" t="str">
        <x:v>香辣爆肥肠</x:v>
      </x:c>
      <x:c r="G830" s="19" t="str">
        <x:v>R1.0</x:v>
      </x:c>
      <x:c r="H830" s="20" t="n">
        <x:f>XLOOKUP(A830,'菜品日销量'!$A$5:$A$1124,'菜品日销量'!$G$5:$G$1124,0)</x:f>
        <x:v>6</x:v>
      </x:c>
      <x:c r="I830" s="20" t="n">
        <x:f>ROUNDUP(H830/2,0)</x:f>
        <x:v>3</x:v>
      </x:c>
      <x:c r="J830" s="22" t="n">
        <x:f>SUMIFS('菜谱BOM'!$F$5:$F$160,'菜谱BOM'!$A$5:$A$160,E830,'菜谱BOM'!$C$5:$C$160,"食材")</x:f>
        <x:v>430</x:v>
      </x:c>
      <x:c r="K830" s="38" t="n">
        <x:v>-0.004986931807591331</x:v>
      </x:c>
      <x:c r="L830" s="35" t="n">
        <x:f>H830*J830*(1+K830)</x:f>
        <x:v>2567.1337159364143</x:v>
      </x:c>
      <x:c r="M830" s="35" t="n">
        <x:f>SUMIFS('菜谱BOM'!$F$5:$F$160,'菜谱BOM'!$A$5:$A$160,E830,'菜谱BOM'!$C$5:$C$160,"调料")</x:f>
        <x:v>67</x:v>
      </x:c>
      <x:c r="N830" s="38" t="n">
        <x:v>0.000009745038582418263</x:v>
      </x:c>
      <x:c r="O830" s="35" t="n">
        <x:f>H830*M830*(1+N830)</x:f>
        <x:v>402.0039175055101</x:v>
      </x:c>
      <x:c r="P830" s="19" t="str">
        <x:f>IF(ABS(N830)&gt;'封面与口径'!$O$25,"机器调料需复核",IF(ABS(K830)&gt;0.02,"人工称重需复核","正常"))</x:f>
        <x:v>正常</x:v>
      </x:c>
      <x:c r="Q830" s="19" t="str">
        <x:v>唐凯</x:v>
      </x:c>
    </x:row>
    <x:row r="831">
      <x:c r="A831" s="19" t="str">
        <x:v>2026-07-13|S07|D13</x:v>
      </x:c>
      <x:c r="B831" s="34" t="n">
        <x:v>46216.5</x:v>
      </x:c>
      <x:c r="C831" s="19" t="str">
        <x:v>S07</x:v>
      </x:c>
      <x:c r="D831" s="19" t="str">
        <x:v>小和山店</x:v>
      </x:c>
      <x:c r="E831" s="19" t="str">
        <x:v>D13</x:v>
      </x:c>
      <x:c r="F831" s="19" t="str">
        <x:v>外婆菜炒蛋</x:v>
      </x:c>
      <x:c r="G831" s="19" t="str">
        <x:v>R1.0</x:v>
      </x:c>
      <x:c r="H831" s="20" t="n">
        <x:f>XLOOKUP(A831,'菜品日销量'!$A$5:$A$1124,'菜品日销量'!$G$5:$G$1124,0)</x:f>
        <x:v>16</x:v>
      </x:c>
      <x:c r="I831" s="20" t="n">
        <x:f>ROUNDUP(H831/2,0)</x:f>
        <x:v>8</x:v>
      </x:c>
      <x:c r="J831" s="22" t="n">
        <x:f>SUMIFS('菜谱BOM'!$F$5:$F$160,'菜谱BOM'!$A$5:$A$160,E831,'菜谱BOM'!$C$5:$C$160,"食材")</x:f>
        <x:v>450</x:v>
      </x:c>
      <x:c r="K831" s="38" t="n">
        <x:v>-0.006107089712775101</x:v>
      </x:c>
      <x:c r="L831" s="35" t="n">
        <x:f>H831*J831*(1+K831)</x:f>
        <x:v>7156.02895406802</x:v>
      </x:c>
      <x:c r="M831" s="35" t="n">
        <x:f>SUMIFS('菜谱BOM'!$F$5:$F$160,'菜谱BOM'!$A$5:$A$160,E831,'菜谱BOM'!$C$5:$C$160,"调料")</x:f>
        <x:v>37</x:v>
      </x:c>
      <x:c r="N831" s="38" t="n">
        <x:v>0.0000056837103342832765</x:v>
      </x:c>
      <x:c r="O831" s="35" t="n">
        <x:f>H831*M831*(1+N831)</x:f>
        <x:v>592.003364756518</x:v>
      </x:c>
      <x:c r="P831" s="19" t="str">
        <x:f>IF(ABS(N831)&gt;'封面与口径'!$O$25,"机器调料需复核",IF(ABS(K831)&gt;0.02,"人工称重需复核","正常"))</x:f>
        <x:v>正常</x:v>
      </x:c>
      <x:c r="Q831" s="19" t="str">
        <x:v>唐凯</x:v>
      </x:c>
    </x:row>
    <x:row r="832">
      <x:c r="A832" s="19" t="str">
        <x:v>2026-07-13|S07|D14</x:v>
      </x:c>
      <x:c r="B832" s="34" t="n">
        <x:v>46216.5</x:v>
      </x:c>
      <x:c r="C832" s="19" t="str">
        <x:v>S07</x:v>
      </x:c>
      <x:c r="D832" s="19" t="str">
        <x:v>小和山店</x:v>
      </x:c>
      <x:c r="E832" s="19" t="str">
        <x:v>D14</x:v>
      </x:c>
      <x:c r="F832" s="19" t="str">
        <x:v>酸辣鸡杂</x:v>
      </x:c>
      <x:c r="G832" s="19" t="str">
        <x:v>R1.0</x:v>
      </x:c>
      <x:c r="H832" s="20" t="n">
        <x:f>XLOOKUP(A832,'菜品日销量'!$A$5:$A$1124,'菜品日销量'!$G$5:$G$1124,0)</x:f>
        <x:v>8</x:v>
      </x:c>
      <x:c r="I832" s="20" t="n">
        <x:f>ROUNDUP(H832/2,0)</x:f>
        <x:v>4</x:v>
      </x:c>
      <x:c r="J832" s="22" t="n">
        <x:f>SUMIFS('菜谱BOM'!$F$5:$F$160,'菜谱BOM'!$A$5:$A$160,E832,'菜谱BOM'!$C$5:$C$160,"食材")</x:f>
        <x:v>470</x:v>
      </x:c>
      <x:c r="K832" s="38" t="n">
        <x:v>-0.005902691382426464</x:v>
      </x:c>
      <x:c r="L832" s="35" t="n">
        <x:f>H832*J832*(1+K832)</x:f>
        <x:v>3737.8058804020766</x:v>
      </x:c>
      <x:c r="M832" s="35" t="n">
        <x:f>SUMIFS('菜谱BOM'!$F$5:$F$160,'菜谱BOM'!$A$5:$A$160,E832,'菜谱BOM'!$C$5:$C$160,"调料")</x:f>
        <x:v>60</x:v>
      </x:c>
      <x:c r="N832" s="38" t="n">
        <x:v>-0.0005470951661810036</x:v>
      </x:c>
      <x:c r="O832" s="35" t="n">
        <x:f>H832*M832*(1+N832)</x:f>
        <x:v>479.73739432023314</x:v>
      </x:c>
      <x:c r="P832" s="19" t="str">
        <x:f>IF(ABS(N832)&gt;'封面与口径'!$O$25,"机器调料需复核",IF(ABS(K832)&gt;0.02,"人工称重需复核","正常"))</x:f>
        <x:v>正常</x:v>
      </x:c>
      <x:c r="Q832" s="19" t="str">
        <x:v>唐凯</x:v>
      </x:c>
    </x:row>
    <x:row r="833">
      <x:c r="A833" s="19" t="str">
        <x:v>2026-07-13|S07|D15</x:v>
      </x:c>
      <x:c r="B833" s="34" t="n">
        <x:v>46216.5</x:v>
      </x:c>
      <x:c r="C833" s="19" t="str">
        <x:v>S07</x:v>
      </x:c>
      <x:c r="D833" s="19" t="str">
        <x:v>小和山店</x:v>
      </x:c>
      <x:c r="E833" s="19" t="str">
        <x:v>D15</x:v>
      </x:c>
      <x:c r="F833" s="19" t="str">
        <x:v>湘西土匪猪肝</x:v>
      </x:c>
      <x:c r="G833" s="19" t="str">
        <x:v>R1.0</x:v>
      </x:c>
      <x:c r="H833" s="20" t="n">
        <x:f>XLOOKUP(A833,'菜品日销量'!$A$5:$A$1124,'菜品日销量'!$G$5:$G$1124,0)</x:f>
        <x:v>7</x:v>
      </x:c>
      <x:c r="I833" s="20" t="n">
        <x:f>ROUNDUP(H833/2,0)</x:f>
        <x:v>4</x:v>
      </x:c>
      <x:c r="J833" s="22" t="n">
        <x:f>SUMIFS('菜谱BOM'!$F$5:$F$160,'菜谱BOM'!$A$5:$A$160,E833,'菜谱BOM'!$C$5:$C$160,"食材")</x:f>
        <x:v>470</x:v>
      </x:c>
      <x:c r="K833" s="38" t="n">
        <x:v>-0.006070559970585294</x:v>
      </x:c>
      <x:c r="L833" s="35" t="n">
        <x:f>H833*J833*(1+K833)</x:f>
        <x:v>3270.0278576967744</x:v>
      </x:c>
      <x:c r="M833" s="35" t="n">
        <x:f>SUMIFS('菜谱BOM'!$F$5:$F$160,'菜谱BOM'!$A$5:$A$160,E833,'菜谱BOM'!$C$5:$C$160,"调料")</x:f>
        <x:v>49</x:v>
      </x:c>
      <x:c r="N833" s="38" t="n">
        <x:v>-0.0018045460851407952</x:v>
      </x:c>
      <x:c r="O833" s="35" t="n">
        <x:f>H833*M833*(1+N833)</x:f>
        <x:v>342.3810406927967</x:v>
      </x:c>
      <x:c r="P833" s="19" t="str">
        <x:f>IF(ABS(N833)&gt;'封面与口径'!$O$25,"机器调料需复核",IF(ABS(K833)&gt;0.02,"人工称重需复核","正常"))</x:f>
        <x:v>正常</x:v>
      </x:c>
      <x:c r="Q833" s="19" t="str">
        <x:v>唐凯</x:v>
      </x:c>
    </x:row>
    <x:row r="834">
      <x:c r="A834" s="19" t="str">
        <x:v>2026-07-13|S07|D16</x:v>
      </x:c>
      <x:c r="B834" s="34" t="n">
        <x:v>46216.5</x:v>
      </x:c>
      <x:c r="C834" s="19" t="str">
        <x:v>S07</x:v>
      </x:c>
      <x:c r="D834" s="19" t="str">
        <x:v>小和山店</x:v>
      </x:c>
      <x:c r="E834" s="19" t="str">
        <x:v>D16</x:v>
      </x:c>
      <x:c r="F834" s="19" t="str">
        <x:v>小豆角炒五花</x:v>
      </x:c>
      <x:c r="G834" s="19" t="str">
        <x:v>R1.0</x:v>
      </x:c>
      <x:c r="H834" s="20" t="n">
        <x:f>XLOOKUP(A834,'菜品日销量'!$A$5:$A$1124,'菜品日销量'!$G$5:$G$1124,0)</x:f>
        <x:v>7</x:v>
      </x:c>
      <x:c r="I834" s="20" t="n">
        <x:f>ROUNDUP(H834/2,0)</x:f>
        <x:v>4</x:v>
      </x:c>
      <x:c r="J834" s="22" t="n">
        <x:f>SUMIFS('菜谱BOM'!$F$5:$F$160,'菜谱BOM'!$A$5:$A$160,E834,'菜谱BOM'!$C$5:$C$160,"食材")</x:f>
        <x:v>450</x:v>
      </x:c>
      <x:c r="K834" s="38" t="n">
        <x:v>-0.002174036020919223</x:v>
      </x:c>
      <x:c r="L834" s="35" t="n">
        <x:f>H834*J834*(1+K834)</x:f>
        <x:v>3143.1517865341043</x:v>
      </x:c>
      <x:c r="M834" s="35" t="n">
        <x:f>SUMIFS('菜谱BOM'!$F$5:$F$160,'菜谱BOM'!$A$5:$A$160,E834,'菜谱BOM'!$C$5:$C$160,"调料")</x:f>
        <x:v>42</x:v>
      </x:c>
      <x:c r="N834" s="38" t="n">
        <x:v>0.0011183460324812554</x:v>
      </x:c>
      <x:c r="O834" s="35" t="n">
        <x:f>H834*M834*(1+N834)</x:f>
        <x:v>294.3287937335495</x:v>
      </x:c>
      <x:c r="P834" s="19" t="str">
        <x:f>IF(ABS(N834)&gt;'封面与口径'!$O$25,"机器调料需复核",IF(ABS(K834)&gt;0.02,"人工称重需复核","正常"))</x:f>
        <x:v>正常</x:v>
      </x:c>
      <x:c r="Q834" s="19" t="str">
        <x:v>唐凯</x:v>
      </x:c>
    </x:row>
    <x:row r="835">
      <x:c r="A835" s="19" t="str">
        <x:v>2026-07-13|S07|D18</x:v>
      </x:c>
      <x:c r="B835" s="34" t="n">
        <x:v>46216.5</x:v>
      </x:c>
      <x:c r="C835" s="19" t="str">
        <x:v>S07</x:v>
      </x:c>
      <x:c r="D835" s="19" t="str">
        <x:v>小和山店</x:v>
      </x:c>
      <x:c r="E835" s="19" t="str">
        <x:v>D18</x:v>
      </x:c>
      <x:c r="F835" s="19" t="str">
        <x:v>青椒炒油麦菜</x:v>
      </x:c>
      <x:c r="G835" s="19" t="str">
        <x:v>R1.0</x:v>
      </x:c>
      <x:c r="H835" s="20" t="n">
        <x:f>XLOOKUP(A835,'菜品日销量'!$A$5:$A$1124,'菜品日销量'!$G$5:$G$1124,0)</x:f>
        <x:v>8</x:v>
      </x:c>
      <x:c r="I835" s="20" t="n">
        <x:f>ROUNDUP(H835/2,0)</x:f>
        <x:v>4</x:v>
      </x:c>
      <x:c r="J835" s="22" t="n">
        <x:f>SUMIFS('菜谱BOM'!$F$5:$F$160,'菜谱BOM'!$A$5:$A$160,E835,'菜谱BOM'!$C$5:$C$160,"食材")</x:f>
        <x:v>430</x:v>
      </x:c>
      <x:c r="K835" s="38" t="n">
        <x:v>-0.006511481824915736</x:v>
      </x:c>
      <x:c r="L835" s="35" t="n">
        <x:f>H835*J835*(1+K835)</x:f>
        <x:v>3417.60050252229</x:v>
      </x:c>
      <x:c r="M835" s="35" t="n">
        <x:f>SUMIFS('菜谱BOM'!$F$5:$F$160,'菜谱BOM'!$A$5:$A$160,E835,'菜谱BOM'!$C$5:$C$160,"调料")</x:f>
        <x:v>33</x:v>
      </x:c>
      <x:c r="N835" s="38" t="n">
        <x:v>0.000531100163825578</x:v>
      </x:c>
      <x:c r="O835" s="35" t="n">
        <x:f>H835*M835*(1+N835)</x:f>
        <x:v>264.14021044324994</x:v>
      </x:c>
      <x:c r="P835" s="19" t="str">
        <x:f>IF(ABS(N835)&gt;'封面与口径'!$O$25,"机器调料需复核",IF(ABS(K835)&gt;0.02,"人工称重需复核","正常"))</x:f>
        <x:v>正常</x:v>
      </x:c>
      <x:c r="Q835" s="19" t="str">
        <x:v>唐凯</x:v>
      </x:c>
    </x:row>
    <x:row r="836">
      <x:c r="A836" s="19" t="str">
        <x:v>2026-07-13|S07|D19</x:v>
      </x:c>
      <x:c r="B836" s="34" t="n">
        <x:v>46216.5</x:v>
      </x:c>
      <x:c r="C836" s="19" t="str">
        <x:v>S07</x:v>
      </x:c>
      <x:c r="D836" s="19" t="str">
        <x:v>小和山店</x:v>
      </x:c>
      <x:c r="E836" s="19" t="str">
        <x:v>D19</x:v>
      </x:c>
      <x:c r="F836" s="19" t="str">
        <x:v>酸萝卜炒鸡杂</x:v>
      </x:c>
      <x:c r="G836" s="19" t="str">
        <x:v>R1.0</x:v>
      </x:c>
      <x:c r="H836" s="20" t="n">
        <x:f>XLOOKUP(A836,'菜品日销量'!$A$5:$A$1124,'菜品日销量'!$G$5:$G$1124,0)</x:f>
        <x:v>6</x:v>
      </x:c>
      <x:c r="I836" s="20" t="n">
        <x:f>ROUNDUP(H836/2,0)</x:f>
        <x:v>3</x:v>
      </x:c>
      <x:c r="J836" s="22" t="n">
        <x:f>SUMIFS('菜谱BOM'!$F$5:$F$160,'菜谱BOM'!$A$5:$A$160,E836,'菜谱BOM'!$C$5:$C$160,"食材")</x:f>
        <x:v>500</x:v>
      </x:c>
      <x:c r="K836" s="38" t="n">
        <x:v>-0.005613070822696451</x:v>
      </x:c>
      <x:c r="L836" s="35" t="n">
        <x:f>H836*J836*(1+K836)</x:f>
        <x:v>2983.1607875319105</x:v>
      </x:c>
      <x:c r="M836" s="35" t="n">
        <x:f>SUMIFS('菜谱BOM'!$F$5:$F$160,'菜谱BOM'!$A$5:$A$160,E836,'菜谱BOM'!$C$5:$C$160,"调料")</x:f>
        <x:v>55</x:v>
      </x:c>
      <x:c r="N836" s="38" t="n">
        <x:v>-0.001955138967362032</x:v>
      </x:c>
      <x:c r="O836" s="35" t="n">
        <x:f>H836*M836*(1+N836)</x:f>
        <x:v>329.35480414077057</x:v>
      </x:c>
      <x:c r="P836" s="19" t="str">
        <x:f>IF(ABS(N836)&gt;'封面与口径'!$O$25,"机器调料需复核",IF(ABS(K836)&gt;0.02,"人工称重需复核","正常"))</x:f>
        <x:v>正常</x:v>
      </x:c>
      <x:c r="Q836" s="19" t="str">
        <x:v>唐凯</x:v>
      </x:c>
    </x:row>
    <x:row r="837">
      <x:c r="A837" s="19" t="str">
        <x:v>2026-07-13|S07|D20</x:v>
      </x:c>
      <x:c r="B837" s="34" t="n">
        <x:v>46216.5</x:v>
      </x:c>
      <x:c r="C837" s="19" t="str">
        <x:v>S07</x:v>
      </x:c>
      <x:c r="D837" s="19" t="str">
        <x:v>小和山店</x:v>
      </x:c>
      <x:c r="E837" s="19" t="str">
        <x:v>D20</x:v>
      </x:c>
      <x:c r="F837" s="19" t="str">
        <x:v>雪菜肉末青豆</x:v>
      </x:c>
      <x:c r="G837" s="19" t="str">
        <x:v>R1.0</x:v>
      </x:c>
      <x:c r="H837" s="20" t="n">
        <x:f>XLOOKUP(A837,'菜品日销量'!$A$5:$A$1124,'菜品日销量'!$G$5:$G$1124,0)</x:f>
        <x:v>10</x:v>
      </x:c>
      <x:c r="I837" s="20" t="n">
        <x:f>ROUNDUP(H837/2,0)</x:f>
        <x:v>5</x:v>
      </x:c>
      <x:c r="J837" s="22" t="n">
        <x:f>SUMIFS('菜谱BOM'!$F$5:$F$160,'菜谱BOM'!$A$5:$A$160,E837,'菜谱BOM'!$C$5:$C$160,"食材")</x:f>
        <x:v>465</x:v>
      </x:c>
      <x:c r="K837" s="38" t="n">
        <x:v>-0.005095603562215251</x:v>
      </x:c>
      <x:c r="L837" s="35" t="n">
        <x:f>H837*J837*(1+K837)</x:f>
        <x:v>4626.305443435699</x:v>
      </x:c>
      <x:c r="M837" s="35" t="n">
        <x:f>SUMIFS('菜谱BOM'!$F$5:$F$160,'菜谱BOM'!$A$5:$A$160,E837,'菜谱BOM'!$C$5:$C$160,"调料")</x:f>
        <x:v>32</x:v>
      </x:c>
      <x:c r="N837" s="38" t="n">
        <x:v>0.001466712131972125</x:v>
      </x:c>
      <x:c r="O837" s="35" t="n">
        <x:f>H837*M837*(1+N837)</x:f>
        <x:v>320.46934788223103</x:v>
      </x:c>
      <x:c r="P837" s="19" t="str">
        <x:f>IF(ABS(N837)&gt;'封面与口径'!$O$25,"机器调料需复核",IF(ABS(K837)&gt;0.02,"人工称重需复核","正常"))</x:f>
        <x:v>正常</x:v>
      </x:c>
      <x:c r="Q837" s="19" t="str">
        <x:v>唐凯</x:v>
      </x:c>
    </x:row>
    <x:row r="838">
      <x:c r="A838" s="19" t="str">
        <x:v>2026-07-07|S08|D01</x:v>
      </x:c>
      <x:c r="B838" s="34" t="n">
        <x:v>46210.5</x:v>
      </x:c>
      <x:c r="C838" s="19" t="str">
        <x:v>S08</x:v>
      </x:c>
      <x:c r="D838" s="19" t="str">
        <x:v>四季青店</x:v>
      </x:c>
      <x:c r="E838" s="19" t="str">
        <x:v>D01</x:v>
      </x:c>
      <x:c r="F838" s="19" t="str">
        <x:v>辣椒炒肉</x:v>
      </x:c>
      <x:c r="G838" s="19" t="str">
        <x:v>R2.3</x:v>
      </x:c>
      <x:c r="H838" s="20" t="n">
        <x:f>XLOOKUP(A838,'菜品日销量'!$A$5:$A$1124,'菜品日销量'!$G$5:$G$1124,0)</x:f>
        <x:v>45</x:v>
      </x:c>
      <x:c r="I838" s="20" t="n">
        <x:f>ROUNDUP(H838/2,0)</x:f>
        <x:v>23</x:v>
      </x:c>
      <x:c r="J838" s="22" t="n">
        <x:f>SUMIFS('菜谱BOM'!$F$5:$F$160,'菜谱BOM'!$A$5:$A$160,E838,'菜谱BOM'!$C$5:$C$160,"食材")</x:f>
        <x:v>550</x:v>
      </x:c>
      <x:c r="K838" s="38" t="n">
        <x:v>-0.004281528334198876</x:v>
      </x:c>
      <x:c r="L838" s="35" t="n">
        <x:f>H838*J838*(1+K838)</x:f>
        <x:v>24644.032173728578</x:v>
      </x:c>
      <x:c r="M838" s="35" t="n">
        <x:f>SUMIFS('菜谱BOM'!$F$5:$F$160,'菜谱BOM'!$A$5:$A$160,E838,'菜谱BOM'!$C$5:$C$160,"调料")</x:f>
        <x:v>104</x:v>
      </x:c>
      <x:c r="N838" s="38" t="n">
        <x:v>-0.000006132788491931995</x:v>
      </x:c>
      <x:c r="O838" s="35" t="n">
        <x:f>H838*M838*(1+N838)</x:f>
        <x:v>4679.971298549858</x:v>
      </x:c>
      <x:c r="P838" s="19" t="str">
        <x:f>IF(ABS(N838)&gt;'封面与口径'!$O$25,"机器调料需复核",IF(ABS(K838)&gt;0.02,"人工称重需复核","正常"))</x:f>
        <x:v>正常</x:v>
      </x:c>
      <x:c r="Q838" s="19" t="str">
        <x:v>罗文</x:v>
      </x:c>
    </x:row>
    <x:row r="839">
      <x:c r="A839" s="19" t="str">
        <x:v>2026-07-07|S08|D02</x:v>
      </x:c>
      <x:c r="B839" s="34" t="n">
        <x:v>46210.5</x:v>
      </x:c>
      <x:c r="C839" s="19" t="str">
        <x:v>S08</x:v>
      </x:c>
      <x:c r="D839" s="19" t="str">
        <x:v>四季青店</x:v>
      </x:c>
      <x:c r="E839" s="19" t="str">
        <x:v>D02</x:v>
      </x:c>
      <x:c r="F839" s="19" t="str">
        <x:v>小炒黄牛肉</x:v>
      </x:c>
      <x:c r="G839" s="19" t="str">
        <x:v>R2.3</x:v>
      </x:c>
      <x:c r="H839" s="20" t="n">
        <x:f>XLOOKUP(A839,'菜品日销量'!$A$5:$A$1124,'菜品日销量'!$G$5:$G$1124,0)</x:f>
        <x:v>29</x:v>
      </x:c>
      <x:c r="I839" s="20" t="n">
        <x:f>ROUNDUP(H839/2,0)</x:f>
        <x:v>15</x:v>
      </x:c>
      <x:c r="J839" s="22" t="n">
        <x:f>SUMIFS('菜谱BOM'!$F$5:$F$160,'菜谱BOM'!$A$5:$A$160,E839,'菜谱BOM'!$C$5:$C$160,"食材")</x:f>
        <x:v>560</x:v>
      </x:c>
      <x:c r="K839" s="38" t="n">
        <x:v>0.0018825948484899923</x:v>
      </x:c>
      <x:c r="L839" s="35" t="n">
        <x:f>H839*J839*(1+K839)</x:f>
        <x:v>16270.573340339477</x:v>
      </x:c>
      <x:c r="M839" s="35" t="n">
        <x:f>SUMIFS('菜谱BOM'!$F$5:$F$160,'菜谱BOM'!$A$5:$A$160,E839,'菜谱BOM'!$C$5:$C$160,"调料")</x:f>
        <x:v>133</x:v>
      </x:c>
      <x:c r="N839" s="38" t="n">
        <x:v>0.0011715752927520255</x:v>
      </x:c>
      <x:c r="O839" s="35" t="n">
        <x:f>H839*M839*(1+N839)</x:f>
        <x:v>3861.518765904145</x:v>
      </x:c>
      <x:c r="P839" s="19" t="str">
        <x:f>IF(ABS(N839)&gt;'封面与口径'!$O$25,"机器调料需复核",IF(ABS(K839)&gt;0.02,"人工称重需复核","正常"))</x:f>
        <x:v>正常</x:v>
      </x:c>
      <x:c r="Q839" s="19" t="str">
        <x:v>罗文</x:v>
      </x:c>
    </x:row>
    <x:row r="840">
      <x:c r="A840" s="19" t="str">
        <x:v>2026-07-07|S08|D03</x:v>
      </x:c>
      <x:c r="B840" s="34" t="n">
        <x:v>46210.5</x:v>
      </x:c>
      <x:c r="C840" s="19" t="str">
        <x:v>S08</x:v>
      </x:c>
      <x:c r="D840" s="19" t="str">
        <x:v>四季青店</x:v>
      </x:c>
      <x:c r="E840" s="19" t="str">
        <x:v>D03</x:v>
      </x:c>
      <x:c r="F840" s="19" t="str">
        <x:v>香醋炒蛋</x:v>
      </x:c>
      <x:c r="G840" s="19" t="str">
        <x:v>R1.0</x:v>
      </x:c>
      <x:c r="H840" s="20" t="n">
        <x:f>XLOOKUP(A840,'菜品日销量'!$A$5:$A$1124,'菜品日销量'!$G$5:$G$1124,0)</x:f>
        <x:v>36</x:v>
      </x:c>
      <x:c r="I840" s="20" t="n">
        <x:f>ROUNDUP(H840/2,0)</x:f>
        <x:v>18</x:v>
      </x:c>
      <x:c r="J840" s="22" t="n">
        <x:f>SUMIFS('菜谱BOM'!$F$5:$F$160,'菜谱BOM'!$A$5:$A$160,E840,'菜谱BOM'!$C$5:$C$160,"食材")</x:f>
        <x:v>300</x:v>
      </x:c>
      <x:c r="K840" s="38" t="n">
        <x:v>0.0035564714063788935</x:v>
      </x:c>
      <x:c r="L840" s="35" t="n">
        <x:f>H840*J840*(1+K840)</x:f>
        <x:v>10838.409891188892</x:v>
      </x:c>
      <x:c r="M840" s="35" t="n">
        <x:f>SUMIFS('菜谱BOM'!$F$5:$F$160,'菜谱BOM'!$A$5:$A$160,E840,'菜谱BOM'!$C$5:$C$160,"调料")</x:f>
        <x:v>53</x:v>
      </x:c>
      <x:c r="N840" s="38" t="n">
        <x:v>0.0015415949028780673</x:v>
      </x:c>
      <x:c r="O840" s="35" t="n">
        <x:f>H840*M840*(1+N840)</x:f>
        <x:v>1910.9413630746915</x:v>
      </x:c>
      <x:c r="P840" s="19" t="str">
        <x:f>IF(ABS(N840)&gt;'封面与口径'!$O$25,"机器调料需复核",IF(ABS(K840)&gt;0.02,"人工称重需复核","正常"))</x:f>
        <x:v>正常</x:v>
      </x:c>
      <x:c r="Q840" s="19" t="str">
        <x:v>罗文</x:v>
      </x:c>
    </x:row>
    <x:row r="841">
      <x:c r="A841" s="19" t="str">
        <x:v>2026-07-07|S08|D04</x:v>
      </x:c>
      <x:c r="B841" s="34" t="n">
        <x:v>46210.5</x:v>
      </x:c>
      <x:c r="C841" s="19" t="str">
        <x:v>S08</x:v>
      </x:c>
      <x:c r="D841" s="19" t="str">
        <x:v>四季青店</x:v>
      </x:c>
      <x:c r="E841" s="19" t="str">
        <x:v>D04</x:v>
      </x:c>
      <x:c r="F841" s="19" t="str">
        <x:v>酸包菜炒粉皮</x:v>
      </x:c>
      <x:c r="G841" s="19" t="str">
        <x:v>R1.0</x:v>
      </x:c>
      <x:c r="H841" s="20" t="n">
        <x:f>XLOOKUP(A841,'菜品日销量'!$A$5:$A$1124,'菜品日销量'!$G$5:$G$1124,0)</x:f>
        <x:v>33</x:v>
      </x:c>
      <x:c r="I841" s="20" t="n">
        <x:f>ROUNDUP(H841/2,0)</x:f>
        <x:v>17</x:v>
      </x:c>
      <x:c r="J841" s="22" t="n">
        <x:f>SUMIFS('菜谱BOM'!$F$5:$F$160,'菜谱BOM'!$A$5:$A$160,E841,'菜谱BOM'!$C$5:$C$160,"食材")</x:f>
        <x:v>380</x:v>
      </x:c>
      <x:c r="K841" s="38" t="n">
        <x:v>-0.006448258310195119</x:v>
      </x:c>
      <x:c r="L841" s="35" t="n">
        <x:f>H841*J841*(1+K841)</x:f>
        <x:v>12459.138840790152</x:v>
      </x:c>
      <x:c r="M841" s="35" t="n">
        <x:f>SUMIFS('菜谱BOM'!$F$5:$F$160,'菜谱BOM'!$A$5:$A$160,E841,'菜谱BOM'!$C$5:$C$160,"调料")</x:f>
        <x:v>47</x:v>
      </x:c>
      <x:c r="N841" s="38" t="n">
        <x:v>-0.0004950579317507935</x:v>
      </x:c>
      <x:c r="O841" s="35" t="n">
        <x:f>H841*M841*(1+N841)</x:f>
        <x:v>1550.2321651478546</x:v>
      </x:c>
      <x:c r="P841" s="19" t="str">
        <x:f>IF(ABS(N841)&gt;'封面与口径'!$O$25,"机器调料需复核",IF(ABS(K841)&gt;0.02,"人工称重需复核","正常"))</x:f>
        <x:v>正常</x:v>
      </x:c>
      <x:c r="Q841" s="19" t="str">
        <x:v>罗文</x:v>
      </x:c>
    </x:row>
    <x:row r="842">
      <x:c r="A842" s="19" t="str">
        <x:v>2026-07-07|S08|D05</x:v>
      </x:c>
      <x:c r="B842" s="34" t="n">
        <x:v>46210.5</x:v>
      </x:c>
      <x:c r="C842" s="19" t="str">
        <x:v>S08</x:v>
      </x:c>
      <x:c r="D842" s="19" t="str">
        <x:v>四季青店</x:v>
      </x:c>
      <x:c r="E842" s="19" t="str">
        <x:v>D05</x:v>
      </x:c>
      <x:c r="F842" s="19" t="str">
        <x:v>麻婆豆腐</x:v>
      </x:c>
      <x:c r="G842" s="19" t="str">
        <x:v>R1.0</x:v>
      </x:c>
      <x:c r="H842" s="20" t="n">
        <x:f>XLOOKUP(A842,'菜品日销量'!$A$5:$A$1124,'菜品日销量'!$G$5:$G$1124,0)</x:f>
        <x:v>41</x:v>
      </x:c>
      <x:c r="I842" s="20" t="n">
        <x:f>ROUNDUP(H842/2,0)</x:f>
        <x:v>21</x:v>
      </x:c>
      <x:c r="J842" s="22" t="n">
        <x:f>SUMIFS('菜谱BOM'!$F$5:$F$160,'菜谱BOM'!$A$5:$A$160,E842,'菜谱BOM'!$C$5:$C$160,"食材")</x:f>
        <x:v>505</x:v>
      </x:c>
      <x:c r="K842" s="38" t="n">
        <x:v>-0.006135212983501892</x:v>
      </x:c>
      <x:c r="L842" s="35" t="n">
        <x:f>H842*J842*(1+K842)</x:f>
        <x:v>20577.97041517659</x:v>
      </x:c>
      <x:c r="M842" s="35" t="n">
        <x:f>SUMIFS('菜谱BOM'!$F$5:$F$160,'菜谱BOM'!$A$5:$A$160,E842,'菜谱BOM'!$C$5:$C$160,"调料")</x:f>
        <x:v>90</x:v>
      </x:c>
      <x:c r="N842" s="38" t="n">
        <x:v>-0.0010747942587069224</x:v>
      </x:c>
      <x:c r="O842" s="35" t="n">
        <x:f>H842*M842*(1+N842)</x:f>
        <x:v>3686.0340091853714</x:v>
      </x:c>
      <x:c r="P842" s="19" t="str">
        <x:f>IF(ABS(N842)&gt;'封面与口径'!$O$25,"机器调料需复核",IF(ABS(K842)&gt;0.02,"人工称重需复核","正常"))</x:f>
        <x:v>正常</x:v>
      </x:c>
      <x:c r="Q842" s="19" t="str">
        <x:v>罗文</x:v>
      </x:c>
    </x:row>
    <x:row r="843">
      <x:c r="A843" s="19" t="str">
        <x:v>2026-07-07|S08|D07</x:v>
      </x:c>
      <x:c r="B843" s="34" t="n">
        <x:v>46210.5</x:v>
      </x:c>
      <x:c r="C843" s="19" t="str">
        <x:v>S08</x:v>
      </x:c>
      <x:c r="D843" s="19" t="str">
        <x:v>四季青店</x:v>
      </x:c>
      <x:c r="E843" s="19" t="str">
        <x:v>D07</x:v>
      </x:c>
      <x:c r="F843" s="19" t="str">
        <x:v>川味回锅肉</x:v>
      </x:c>
      <x:c r="G843" s="19" t="str">
        <x:v>R1.0</x:v>
      </x:c>
      <x:c r="H843" s="20" t="n">
        <x:f>XLOOKUP(A843,'菜品日销量'!$A$5:$A$1124,'菜品日销量'!$G$5:$G$1124,0)</x:f>
        <x:v>14</x:v>
      </x:c>
      <x:c r="I843" s="20" t="n">
        <x:f>ROUNDUP(H843/2,0)</x:f>
        <x:v>7</x:v>
      </x:c>
      <x:c r="J843" s="22" t="n">
        <x:f>SUMIFS('菜谱BOM'!$F$5:$F$160,'菜谱BOM'!$A$5:$A$160,E843,'菜谱BOM'!$C$5:$C$160,"食材")</x:f>
        <x:v>450</x:v>
      </x:c>
      <x:c r="K843" s="38" t="n">
        <x:v>0.005981246366626874</x:v>
      </x:c>
      <x:c r="L843" s="35" t="n">
        <x:f>H843*J843*(1+K843)</x:f>
        <x:v>6337.681852109749</x:v>
      </x:c>
      <x:c r="M843" s="35" t="n">
        <x:f>SUMIFS('菜谱BOM'!$F$5:$F$160,'菜谱BOM'!$A$5:$A$160,E843,'菜谱BOM'!$C$5:$C$160,"调料")</x:f>
        <x:v>63</x:v>
      </x:c>
      <x:c r="N843" s="38" t="n">
        <x:v>0.0002248356552386741</x:v>
      </x:c>
      <x:c r="O843" s="35" t="n">
        <x:f>H843*M843*(1+N843)</x:f>
        <x:v>882.1983050479204</x:v>
      </x:c>
      <x:c r="P843" s="19" t="str">
        <x:f>IF(ABS(N843)&gt;'封面与口径'!$O$25,"机器调料需复核",IF(ABS(K843)&gt;0.02,"人工称重需复核","正常"))</x:f>
        <x:v>正常</x:v>
      </x:c>
      <x:c r="Q843" s="19" t="str">
        <x:v>罗文</x:v>
      </x:c>
    </x:row>
    <x:row r="844">
      <x:c r="A844" s="19" t="str">
        <x:v>2026-07-07|S08|D08</x:v>
      </x:c>
      <x:c r="B844" s="34" t="n">
        <x:v>46210.5</x:v>
      </x:c>
      <x:c r="C844" s="19" t="str">
        <x:v>S08</x:v>
      </x:c>
      <x:c r="D844" s="19" t="str">
        <x:v>四季青店</x:v>
      </x:c>
      <x:c r="E844" s="19" t="str">
        <x:v>D08</x:v>
      </x:c>
      <x:c r="F844" s="19" t="str">
        <x:v>生炒清远鸡</x:v>
      </x:c>
      <x:c r="G844" s="19" t="str">
        <x:v>R1.0</x:v>
      </x:c>
      <x:c r="H844" s="20" t="n">
        <x:f>XLOOKUP(A844,'菜品日销量'!$A$5:$A$1124,'菜品日销量'!$G$5:$G$1124,0)</x:f>
        <x:v>9</x:v>
      </x:c>
      <x:c r="I844" s="20" t="n">
        <x:f>ROUNDUP(H844/2,0)</x:f>
        <x:v>5</x:v>
      </x:c>
      <x:c r="J844" s="22" t="n">
        <x:f>SUMIFS('菜谱BOM'!$F$5:$F$160,'菜谱BOM'!$A$5:$A$160,E844,'菜谱BOM'!$C$5:$C$160,"食材")</x:f>
        <x:v>610</x:v>
      </x:c>
      <x:c r="K844" s="38" t="n">
        <x:v>-0.001583732201155213</x:v>
      </x:c>
      <x:c r="L844" s="35" t="n">
        <x:f>H844*J844*(1+K844)</x:f>
        <x:v>5481.305310215657</x:v>
      </x:c>
      <x:c r="M844" s="35" t="n">
        <x:f>SUMIFS('菜谱BOM'!$F$5:$F$160,'菜谱BOM'!$A$5:$A$160,E844,'菜谱BOM'!$C$5:$C$160,"调料")</x:f>
        <x:v>61</x:v>
      </x:c>
      <x:c r="N844" s="38" t="n">
        <x:v>0.0010161784493867723</x:v>
      </x:c>
      <x:c r="O844" s="35" t="n">
        <x:f>H844*M844*(1+N844)</x:f>
        <x:v>549.5578819687133</x:v>
      </x:c>
      <x:c r="P844" s="19" t="str">
        <x:f>IF(ABS(N844)&gt;'封面与口径'!$O$25,"机器调料需复核",IF(ABS(K844)&gt;0.02,"人工称重需复核","正常"))</x:f>
        <x:v>正常</x:v>
      </x:c>
      <x:c r="Q844" s="19" t="str">
        <x:v>罗文</x:v>
      </x:c>
    </x:row>
    <x:row r="845">
      <x:c r="A845" s="19" t="str">
        <x:v>2026-07-07|S08|D09</x:v>
      </x:c>
      <x:c r="B845" s="34" t="n">
        <x:v>46210.5</x:v>
      </x:c>
      <x:c r="C845" s="19" t="str">
        <x:v>S08</x:v>
      </x:c>
      <x:c r="D845" s="19" t="str">
        <x:v>四季青店</x:v>
      </x:c>
      <x:c r="E845" s="19" t="str">
        <x:v>D09</x:v>
      </x:c>
      <x:c r="F845" s="19" t="str">
        <x:v>炒豆干</x:v>
      </x:c>
      <x:c r="G845" s="19" t="str">
        <x:v>R1.0</x:v>
      </x:c>
      <x:c r="H845" s="20" t="n">
        <x:f>XLOOKUP(A845,'菜品日销量'!$A$5:$A$1124,'菜品日销量'!$G$5:$G$1124,0)</x:f>
        <x:v>14</x:v>
      </x:c>
      <x:c r="I845" s="20" t="n">
        <x:f>ROUNDUP(H845/2,0)</x:f>
        <x:v>7</x:v>
      </x:c>
      <x:c r="J845" s="22" t="n">
        <x:f>SUMIFS('菜谱BOM'!$F$5:$F$160,'菜谱BOM'!$A$5:$A$160,E845,'菜谱BOM'!$C$5:$C$160,"食材")</x:f>
        <x:v>520</x:v>
      </x:c>
      <x:c r="K845" s="38" t="n">
        <x:v>0.007875762216717881</x:v>
      </x:c>
      <x:c r="L845" s="35" t="n">
        <x:f>H845*J845*(1+K845)</x:f>
        <x:v>7337.335548937705</x:v>
      </x:c>
      <x:c r="M845" s="35" t="n">
        <x:f>SUMIFS('菜谱BOM'!$F$5:$F$160,'菜谱BOM'!$A$5:$A$160,E845,'菜谱BOM'!$C$5:$C$160,"调料")</x:f>
        <x:v>42</x:v>
      </x:c>
      <x:c r="N845" s="38" t="n">
        <x:v>0.0001834801589566002</x:v>
      </x:c>
      <x:c r="O845" s="35" t="n">
        <x:f>H845*M845*(1+N845)</x:f>
        <x:v>588.1078863334665</x:v>
      </x:c>
      <x:c r="P845" s="19" t="str">
        <x:f>IF(ABS(N845)&gt;'封面与口径'!$O$25,"机器调料需复核",IF(ABS(K845)&gt;0.02,"人工称重需复核","正常"))</x:f>
        <x:v>正常</x:v>
      </x:c>
      <x:c r="Q845" s="19" t="str">
        <x:v>罗文</x:v>
      </x:c>
    </x:row>
    <x:row r="846">
      <x:c r="A846" s="19" t="str">
        <x:v>2026-07-07|S08|D10</x:v>
      </x:c>
      <x:c r="B846" s="34" t="n">
        <x:v>46210.5</x:v>
      </x:c>
      <x:c r="C846" s="19" t="str">
        <x:v>S08</x:v>
      </x:c>
      <x:c r="D846" s="19" t="str">
        <x:v>四季青店</x:v>
      </x:c>
      <x:c r="E846" s="19" t="str">
        <x:v>D10</x:v>
      </x:c>
      <x:c r="F846" s="19" t="str">
        <x:v>农家一碗香</x:v>
      </x:c>
      <x:c r="G846" s="19" t="str">
        <x:v>R2.3</x:v>
      </x:c>
      <x:c r="H846" s="20" t="n">
        <x:f>XLOOKUP(A846,'菜品日销量'!$A$5:$A$1124,'菜品日销量'!$G$5:$G$1124,0)</x:f>
        <x:v>16</x:v>
      </x:c>
      <x:c r="I846" s="20" t="n">
        <x:f>ROUNDUP(H846/2,0)</x:f>
        <x:v>8</x:v>
      </x:c>
      <x:c r="J846" s="22" t="n">
        <x:f>SUMIFS('菜谱BOM'!$F$5:$F$160,'菜谱BOM'!$A$5:$A$160,E846,'菜谱BOM'!$C$5:$C$160,"食材")</x:f>
        <x:v>510</x:v>
      </x:c>
      <x:c r="K846" s="38" t="n">
        <x:v>0.0028160593348592667</x:v>
      </x:c>
      <x:c r="L846" s="35" t="n">
        <x:f>H846*J846*(1+K846)</x:f>
        <x:v>8182.979044172451</x:v>
      </x:c>
      <x:c r="M846" s="35" t="n">
        <x:f>SUMIFS('菜谱BOM'!$F$5:$F$160,'菜谱BOM'!$A$5:$A$160,E846,'菜谱BOM'!$C$5:$C$160,"调料")</x:f>
        <x:v>88</x:v>
      </x:c>
      <x:c r="N846" s="38" t="n">
        <x:v>0.0011847661275381145</x:v>
      </x:c>
      <x:c r="O846" s="35" t="n">
        <x:f>H846*M846*(1+N846)</x:f>
        <x:v>1409.6681507075737</x:v>
      </x:c>
      <x:c r="P846" s="19" t="str">
        <x:f>IF(ABS(N846)&gt;'封面与口径'!$O$25,"机器调料需复核",IF(ABS(K846)&gt;0.02,"人工称重需复核","正常"))</x:f>
        <x:v>正常</x:v>
      </x:c>
      <x:c r="Q846" s="19" t="str">
        <x:v>罗文</x:v>
      </x:c>
    </x:row>
    <x:row r="847">
      <x:c r="A847" s="19" t="str">
        <x:v>2026-07-07|S08|D11</x:v>
      </x:c>
      <x:c r="B847" s="34" t="n">
        <x:v>46210.5</x:v>
      </x:c>
      <x:c r="C847" s="19" t="str">
        <x:v>S08</x:v>
      </x:c>
      <x:c r="D847" s="19" t="str">
        <x:v>四季青店</x:v>
      </x:c>
      <x:c r="E847" s="19" t="str">
        <x:v>D11</x:v>
      </x:c>
      <x:c r="F847" s="19" t="str">
        <x:v>香辣爆肥肠</x:v>
      </x:c>
      <x:c r="G847" s="19" t="str">
        <x:v>R1.0</x:v>
      </x:c>
      <x:c r="H847" s="20" t="n">
        <x:f>XLOOKUP(A847,'菜品日销量'!$A$5:$A$1124,'菜品日销量'!$G$5:$G$1124,0)</x:f>
        <x:v>5</x:v>
      </x:c>
      <x:c r="I847" s="20" t="n">
        <x:f>ROUNDUP(H847/2,0)</x:f>
        <x:v>3</x:v>
      </x:c>
      <x:c r="J847" s="22" t="n">
        <x:f>SUMIFS('菜谱BOM'!$F$5:$F$160,'菜谱BOM'!$A$5:$A$160,E847,'菜谱BOM'!$C$5:$C$160,"食材")</x:f>
        <x:v>430</x:v>
      </x:c>
      <x:c r="K847" s="38" t="n">
        <x:v>-0.0038244855319672466</x:v>
      </x:c>
      <x:c r="L847" s="35" t="n">
        <x:f>H847*J847*(1+K847)</x:f>
        <x:v>2141.7773561062704</x:v>
      </x:c>
      <x:c r="M847" s="35" t="n">
        <x:f>SUMIFS('菜谱BOM'!$F$5:$F$160,'菜谱BOM'!$A$5:$A$160,E847,'菜谱BOM'!$C$5:$C$160,"调料")</x:f>
        <x:v>67</x:v>
      </x:c>
      <x:c r="N847" s="38" t="n">
        <x:v>-0.0014975550443626835</x:v>
      </x:c>
      <x:c r="O847" s="35" t="n">
        <x:f>H847*M847*(1+N847)</x:f>
        <x:v>334.4983190601385</x:v>
      </x:c>
      <x:c r="P847" s="19" t="str">
        <x:f>IF(ABS(N847)&gt;'封面与口径'!$O$25,"机器调料需复核",IF(ABS(K847)&gt;0.02,"人工称重需复核","正常"))</x:f>
        <x:v>正常</x:v>
      </x:c>
      <x:c r="Q847" s="19" t="str">
        <x:v>罗文</x:v>
      </x:c>
    </x:row>
    <x:row r="848">
      <x:c r="A848" s="19" t="str">
        <x:v>2026-07-07|S08|D13</x:v>
      </x:c>
      <x:c r="B848" s="34" t="n">
        <x:v>46210.5</x:v>
      </x:c>
      <x:c r="C848" s="19" t="str">
        <x:v>S08</x:v>
      </x:c>
      <x:c r="D848" s="19" t="str">
        <x:v>四季青店</x:v>
      </x:c>
      <x:c r="E848" s="19" t="str">
        <x:v>D13</x:v>
      </x:c>
      <x:c r="F848" s="19" t="str">
        <x:v>外婆菜炒蛋</x:v>
      </x:c>
      <x:c r="G848" s="19" t="str">
        <x:v>R1.0</x:v>
      </x:c>
      <x:c r="H848" s="20" t="n">
        <x:f>XLOOKUP(A848,'菜品日销量'!$A$5:$A$1124,'菜品日销量'!$G$5:$G$1124,0)</x:f>
        <x:v>13</x:v>
      </x:c>
      <x:c r="I848" s="20" t="n">
        <x:f>ROUNDUP(H848/2,0)</x:f>
        <x:v>7</x:v>
      </x:c>
      <x:c r="J848" s="22" t="n">
        <x:f>SUMIFS('菜谱BOM'!$F$5:$F$160,'菜谱BOM'!$A$5:$A$160,E848,'菜谱BOM'!$C$5:$C$160,"食材")</x:f>
        <x:v>450</x:v>
      </x:c>
      <x:c r="K848" s="38" t="n">
        <x:v>-0.0013331680878375582</x:v>
      </x:c>
      <x:c r="L848" s="35" t="n">
        <x:f>H848*J848*(1+K848)</x:f>
        <x:v>5842.20096668615</x:v>
      </x:c>
      <x:c r="M848" s="35" t="n">
        <x:f>SUMIFS('菜谱BOM'!$F$5:$F$160,'菜谱BOM'!$A$5:$A$160,E848,'菜谱BOM'!$C$5:$C$160,"调料")</x:f>
        <x:v>37</x:v>
      </x:c>
      <x:c r="N848" s="38" t="n">
        <x:v>-0.001108789681249482</x:v>
      </x:c>
      <x:c r="O848" s="35" t="n">
        <x:f>H848*M848*(1+N848)</x:f>
        <x:v>480.466672163319</x:v>
      </x:c>
      <x:c r="P848" s="19" t="str">
        <x:f>IF(ABS(N848)&gt;'封面与口径'!$O$25,"机器调料需复核",IF(ABS(K848)&gt;0.02,"人工称重需复核","正常"))</x:f>
        <x:v>正常</x:v>
      </x:c>
      <x:c r="Q848" s="19" t="str">
        <x:v>罗文</x:v>
      </x:c>
    </x:row>
    <x:row r="849">
      <x:c r="A849" s="19" t="str">
        <x:v>2026-07-07|S08|D14</x:v>
      </x:c>
      <x:c r="B849" s="34" t="n">
        <x:v>46210.5</x:v>
      </x:c>
      <x:c r="C849" s="19" t="str">
        <x:v>S08</x:v>
      </x:c>
      <x:c r="D849" s="19" t="str">
        <x:v>四季青店</x:v>
      </x:c>
      <x:c r="E849" s="19" t="str">
        <x:v>D14</x:v>
      </x:c>
      <x:c r="F849" s="19" t="str">
        <x:v>酸辣鸡杂</x:v>
      </x:c>
      <x:c r="G849" s="19" t="str">
        <x:v>R1.0</x:v>
      </x:c>
      <x:c r="H849" s="20" t="n">
        <x:f>XLOOKUP(A849,'菜品日销量'!$A$5:$A$1124,'菜品日销量'!$G$5:$G$1124,0)</x:f>
        <x:v>7</x:v>
      </x:c>
      <x:c r="I849" s="20" t="n">
        <x:f>ROUNDUP(H849/2,0)</x:f>
        <x:v>4</x:v>
      </x:c>
      <x:c r="J849" s="22" t="n">
        <x:f>SUMIFS('菜谱BOM'!$F$5:$F$160,'菜谱BOM'!$A$5:$A$160,E849,'菜谱BOM'!$C$5:$C$160,"食材")</x:f>
        <x:v>470</x:v>
      </x:c>
      <x:c r="K849" s="38" t="n">
        <x:v>-0.006433037254594508</x:v>
      </x:c>
      <x:c r="L849" s="35" t="n">
        <x:f>H849*J849*(1+K849)</x:f>
        <x:v>3268.835307432384</x:v>
      </x:c>
      <x:c r="M849" s="35" t="n">
        <x:f>SUMIFS('菜谱BOM'!$F$5:$F$160,'菜谱BOM'!$A$5:$A$160,E849,'菜谱BOM'!$C$5:$C$160,"调料")</x:f>
        <x:v>60</x:v>
      </x:c>
      <x:c r="N849" s="38" t="n">
        <x:v>0.0014617323008044001</x:v>
      </x:c>
      <x:c r="O849" s="35" t="n">
        <x:f>H849*M849*(1+N849)</x:f>
        <x:v>420.61392756633785</x:v>
      </x:c>
      <x:c r="P849" s="19" t="str">
        <x:f>IF(ABS(N849)&gt;'封面与口径'!$O$25,"机器调料需复核",IF(ABS(K849)&gt;0.02,"人工称重需复核","正常"))</x:f>
        <x:v>正常</x:v>
      </x:c>
      <x:c r="Q849" s="19" t="str">
        <x:v>罗文</x:v>
      </x:c>
    </x:row>
    <x:row r="850">
      <x:c r="A850" s="19" t="str">
        <x:v>2026-07-07|S08|D15</x:v>
      </x:c>
      <x:c r="B850" s="34" t="n">
        <x:v>46210.5</x:v>
      </x:c>
      <x:c r="C850" s="19" t="str">
        <x:v>S08</x:v>
      </x:c>
      <x:c r="D850" s="19" t="str">
        <x:v>四季青店</x:v>
      </x:c>
      <x:c r="E850" s="19" t="str">
        <x:v>D15</x:v>
      </x:c>
      <x:c r="F850" s="19" t="str">
        <x:v>湘西土匪猪肝</x:v>
      </x:c>
      <x:c r="G850" s="19" t="str">
        <x:v>R1.0</x:v>
      </x:c>
      <x:c r="H850" s="20" t="n">
        <x:f>XLOOKUP(A850,'菜品日销量'!$A$5:$A$1124,'菜品日销量'!$G$5:$G$1124,0)</x:f>
        <x:v>6</x:v>
      </x:c>
      <x:c r="I850" s="20" t="n">
        <x:f>ROUNDUP(H850/2,0)</x:f>
        <x:v>3</x:v>
      </x:c>
      <x:c r="J850" s="22" t="n">
        <x:f>SUMIFS('菜谱BOM'!$F$5:$F$160,'菜谱BOM'!$A$5:$A$160,E850,'菜谱BOM'!$C$5:$C$160,"食材")</x:f>
        <x:v>470</x:v>
      </x:c>
      <x:c r="K850" s="38" t="n">
        <x:v>-0.0002319338378105158</x:v>
      </x:c>
      <x:c r="L850" s="35" t="n">
        <x:f>H850*J850*(1+K850)</x:f>
        <x:v>2819.3459465773744</x:v>
      </x:c>
      <x:c r="M850" s="35" t="n">
        <x:f>SUMIFS('菜谱BOM'!$F$5:$F$160,'菜谱BOM'!$A$5:$A$160,E850,'菜谱BOM'!$C$5:$C$160,"调料")</x:f>
        <x:v>49</x:v>
      </x:c>
      <x:c r="N850" s="38" t="n">
        <x:v>0.0017417024149889366</x:v>
      </x:c>
      <x:c r="O850" s="35" t="n">
        <x:f>H850*M850*(1+N850)</x:f>
        <x:v>294.51206051000673</x:v>
      </x:c>
      <x:c r="P850" s="19" t="str">
        <x:f>IF(ABS(N850)&gt;'封面与口径'!$O$25,"机器调料需复核",IF(ABS(K850)&gt;0.02,"人工称重需复核","正常"))</x:f>
        <x:v>正常</x:v>
      </x:c>
      <x:c r="Q850" s="19" t="str">
        <x:v>罗文</x:v>
      </x:c>
    </x:row>
    <x:row r="851">
      <x:c r="A851" s="19" t="str">
        <x:v>2026-07-07|S08|D16</x:v>
      </x:c>
      <x:c r="B851" s="34" t="n">
        <x:v>46210.5</x:v>
      </x:c>
      <x:c r="C851" s="19" t="str">
        <x:v>S08</x:v>
      </x:c>
      <x:c r="D851" s="19" t="str">
        <x:v>四季青店</x:v>
      </x:c>
      <x:c r="E851" s="19" t="str">
        <x:v>D16</x:v>
      </x:c>
      <x:c r="F851" s="19" t="str">
        <x:v>小豆角炒五花</x:v>
      </x:c>
      <x:c r="G851" s="19" t="str">
        <x:v>R1.0</x:v>
      </x:c>
      <x:c r="H851" s="20" t="n">
        <x:f>XLOOKUP(A851,'菜品日销量'!$A$5:$A$1124,'菜品日销量'!$G$5:$G$1124,0)</x:f>
        <x:v>6</x:v>
      </x:c>
      <x:c r="I851" s="20" t="n">
        <x:f>ROUNDUP(H851/2,0)</x:f>
        <x:v>3</x:v>
      </x:c>
      <x:c r="J851" s="22" t="n">
        <x:f>SUMIFS('菜谱BOM'!$F$5:$F$160,'菜谱BOM'!$A$5:$A$160,E851,'菜谱BOM'!$C$5:$C$160,"食材")</x:f>
        <x:v>450</x:v>
      </x:c>
      <x:c r="K851" s="38" t="n">
        <x:v>-0.006900768410158522</x:v>
      </x:c>
      <x:c r="L851" s="35" t="n">
        <x:f>H851*J851*(1+K851)</x:f>
        <x:v>2681.367925292572</x:v>
      </x:c>
      <x:c r="M851" s="35" t="n">
        <x:f>SUMIFS('菜谱BOM'!$F$5:$F$160,'菜谱BOM'!$A$5:$A$160,E851,'菜谱BOM'!$C$5:$C$160,"调料")</x:f>
        <x:v>42</x:v>
      </x:c>
      <x:c r="N851" s="38" t="n">
        <x:v>-0.0007773446586861612</x:v>
      </x:c>
      <x:c r="O851" s="35" t="n">
        <x:f>H851*M851*(1+N851)</x:f>
        <x:v>251.8041091460111</x:v>
      </x:c>
      <x:c r="P851" s="19" t="str">
        <x:f>IF(ABS(N851)&gt;'封面与口径'!$O$25,"机器调料需复核",IF(ABS(K851)&gt;0.02,"人工称重需复核","正常"))</x:f>
        <x:v>正常</x:v>
      </x:c>
      <x:c r="Q851" s="19" t="str">
        <x:v>罗文</x:v>
      </x:c>
    </x:row>
    <x:row r="852">
      <x:c r="A852" s="19" t="str">
        <x:v>2026-07-07|S08|D18</x:v>
      </x:c>
      <x:c r="B852" s="34" t="n">
        <x:v>46210.5</x:v>
      </x:c>
      <x:c r="C852" s="19" t="str">
        <x:v>S08</x:v>
      </x:c>
      <x:c r="D852" s="19" t="str">
        <x:v>四季青店</x:v>
      </x:c>
      <x:c r="E852" s="19" t="str">
        <x:v>D18</x:v>
      </x:c>
      <x:c r="F852" s="19" t="str">
        <x:v>青椒炒油麦菜</x:v>
      </x:c>
      <x:c r="G852" s="19" t="str">
        <x:v>R1.0</x:v>
      </x:c>
      <x:c r="H852" s="20" t="n">
        <x:f>XLOOKUP(A852,'菜品日销量'!$A$5:$A$1124,'菜品日销量'!$G$5:$G$1124,0)</x:f>
        <x:v>7</x:v>
      </x:c>
      <x:c r="I852" s="20" t="n">
        <x:f>ROUNDUP(H852/2,0)</x:f>
        <x:v>4</x:v>
      </x:c>
      <x:c r="J852" s="22" t="n">
        <x:f>SUMIFS('菜谱BOM'!$F$5:$F$160,'菜谱BOM'!$A$5:$A$160,E852,'菜谱BOM'!$C$5:$C$160,"食材")</x:f>
        <x:v>430</x:v>
      </x:c>
      <x:c r="K852" s="38" t="n">
        <x:v>0.001814620985140703</x:v>
      </x:c>
      <x:c r="L852" s="35" t="n">
        <x:f>H852*J852*(1+K852)</x:f>
        <x:v>3015.4620091652732</x:v>
      </x:c>
      <x:c r="M852" s="35" t="n">
        <x:f>SUMIFS('菜谱BOM'!$F$5:$F$160,'菜谱BOM'!$A$5:$A$160,E852,'菜谱BOM'!$C$5:$C$160,"调料")</x:f>
        <x:v>33</x:v>
      </x:c>
      <x:c r="N852" s="38" t="n">
        <x:v>-0.0007747104854264089</x:v>
      </x:c>
      <x:c r="O852" s="35" t="n">
        <x:f>H852*M852*(1+N852)</x:f>
        <x:v>230.8210418778665</x:v>
      </x:c>
      <x:c r="P852" s="19" t="str">
        <x:f>IF(ABS(N852)&gt;'封面与口径'!$O$25,"机器调料需复核",IF(ABS(K852)&gt;0.02,"人工称重需复核","正常"))</x:f>
        <x:v>正常</x:v>
      </x:c>
      <x:c r="Q852" s="19" t="str">
        <x:v>罗文</x:v>
      </x:c>
    </x:row>
    <x:row r="853">
      <x:c r="A853" s="19" t="str">
        <x:v>2026-07-07|S08|D19</x:v>
      </x:c>
      <x:c r="B853" s="34" t="n">
        <x:v>46210.5</x:v>
      </x:c>
      <x:c r="C853" s="19" t="str">
        <x:v>S08</x:v>
      </x:c>
      <x:c r="D853" s="19" t="str">
        <x:v>四季青店</x:v>
      </x:c>
      <x:c r="E853" s="19" t="str">
        <x:v>D19</x:v>
      </x:c>
      <x:c r="F853" s="19" t="str">
        <x:v>酸萝卜炒鸡杂</x:v>
      </x:c>
      <x:c r="G853" s="19" t="str">
        <x:v>R1.0</x:v>
      </x:c>
      <x:c r="H853" s="20" t="n">
        <x:f>XLOOKUP(A853,'菜品日销量'!$A$5:$A$1124,'菜品日销量'!$G$5:$G$1124,0)</x:f>
        <x:v>5</x:v>
      </x:c>
      <x:c r="I853" s="20" t="n">
        <x:f>ROUNDUP(H853/2,0)</x:f>
        <x:v>3</x:v>
      </x:c>
      <x:c r="J853" s="22" t="n">
        <x:f>SUMIFS('菜谱BOM'!$F$5:$F$160,'菜谱BOM'!$A$5:$A$160,E853,'菜谱BOM'!$C$5:$C$160,"食材")</x:f>
        <x:v>500</x:v>
      </x:c>
      <x:c r="K853" s="38" t="n">
        <x:v>0.00009527103046310792</x:v>
      </x:c>
      <x:c r="L853" s="35" t="n">
        <x:f>H853*J853*(1+K853)</x:f>
        <x:v>2500.238177576158</x:v>
      </x:c>
      <x:c r="M853" s="35" t="n">
        <x:f>SUMIFS('菜谱BOM'!$F$5:$F$160,'菜谱BOM'!$A$5:$A$160,E853,'菜谱BOM'!$C$5:$C$160,"调料")</x:f>
        <x:v>55</x:v>
      </x:c>
      <x:c r="N853" s="38" t="n">
        <x:v>0.0015723937562602556</x:v>
      </x:c>
      <x:c r="O853" s="35" t="n">
        <x:f>H853*M853*(1+N853)</x:f>
        <x:v>275.43240828297155</x:v>
      </x:c>
      <x:c r="P853" s="19" t="str">
        <x:f>IF(ABS(N853)&gt;'封面与口径'!$O$25,"机器调料需复核",IF(ABS(K853)&gt;0.02,"人工称重需复核","正常"))</x:f>
        <x:v>正常</x:v>
      </x:c>
      <x:c r="Q853" s="19" t="str">
        <x:v>罗文</x:v>
      </x:c>
    </x:row>
    <x:row r="854">
      <x:c r="A854" s="19" t="str">
        <x:v>2026-07-07|S08|D20</x:v>
      </x:c>
      <x:c r="B854" s="34" t="n">
        <x:v>46210.5</x:v>
      </x:c>
      <x:c r="C854" s="19" t="str">
        <x:v>S08</x:v>
      </x:c>
      <x:c r="D854" s="19" t="str">
        <x:v>四季青店</x:v>
      </x:c>
      <x:c r="E854" s="19" t="str">
        <x:v>D20</x:v>
      </x:c>
      <x:c r="F854" s="19" t="str">
        <x:v>雪菜肉末青豆</x:v>
      </x:c>
      <x:c r="G854" s="19" t="str">
        <x:v>R1.0</x:v>
      </x:c>
      <x:c r="H854" s="20" t="n">
        <x:f>XLOOKUP(A854,'菜品日销量'!$A$5:$A$1124,'菜品日销量'!$G$5:$G$1124,0)</x:f>
        <x:v>7</x:v>
      </x:c>
      <x:c r="I854" s="20" t="n">
        <x:f>ROUNDUP(H854/2,0)</x:f>
        <x:v>4</x:v>
      </x:c>
      <x:c r="J854" s="22" t="n">
        <x:f>SUMIFS('菜谱BOM'!$F$5:$F$160,'菜谱BOM'!$A$5:$A$160,E854,'菜谱BOM'!$C$5:$C$160,"食材")</x:f>
        <x:v>465</x:v>
      </x:c>
      <x:c r="K854" s="38" t="n">
        <x:v>0.0032232500713372724</x:v>
      </x:c>
      <x:c r="L854" s="35" t="n">
        <x:f>H854*J854*(1+K854)</x:f>
        <x:v>3265.4916789822023</x:v>
      </x:c>
      <x:c r="M854" s="35" t="n">
        <x:f>SUMIFS('菜谱BOM'!$F$5:$F$160,'菜谱BOM'!$A$5:$A$160,E854,'菜谱BOM'!$C$5:$C$160,"调料")</x:f>
        <x:v>32</x:v>
      </x:c>
      <x:c r="N854" s="38" t="n">
        <x:v>0.0013895516803929468</x:v>
      </x:c>
      <x:c r="O854" s="35" t="n">
        <x:f>H854*M854*(1+N854)</x:f>
        <x:v>224.31125957640802</x:v>
      </x:c>
      <x:c r="P854" s="19" t="str">
        <x:f>IF(ABS(N854)&gt;'封面与口径'!$O$25,"机器调料需复核",IF(ABS(K854)&gt;0.02,"人工称重需复核","正常"))</x:f>
        <x:v>正常</x:v>
      </x:c>
      <x:c r="Q854" s="19" t="str">
        <x:v>罗文</x:v>
      </x:c>
    </x:row>
    <x:row r="855">
      <x:c r="A855" s="19" t="str">
        <x:v>2026-07-08|S08|D01</x:v>
      </x:c>
      <x:c r="B855" s="34" t="n">
        <x:v>46211.5</x:v>
      </x:c>
      <x:c r="C855" s="19" t="str">
        <x:v>S08</x:v>
      </x:c>
      <x:c r="D855" s="19" t="str">
        <x:v>四季青店</x:v>
      </x:c>
      <x:c r="E855" s="19" t="str">
        <x:v>D01</x:v>
      </x:c>
      <x:c r="F855" s="19" t="str">
        <x:v>辣椒炒肉</x:v>
      </x:c>
      <x:c r="G855" s="19" t="str">
        <x:v>R2.3</x:v>
      </x:c>
      <x:c r="H855" s="20" t="n">
        <x:f>XLOOKUP(A855,'菜品日销量'!$A$5:$A$1124,'菜品日销量'!$G$5:$G$1124,0)</x:f>
        <x:v>41</x:v>
      </x:c>
      <x:c r="I855" s="20" t="n">
        <x:f>ROUNDUP(H855/2,0)</x:f>
        <x:v>21</x:v>
      </x:c>
      <x:c r="J855" s="22" t="n">
        <x:f>SUMIFS('菜谱BOM'!$F$5:$F$160,'菜谱BOM'!$A$5:$A$160,E855,'菜谱BOM'!$C$5:$C$160,"食材")</x:f>
        <x:v>550</x:v>
      </x:c>
      <x:c r="K855" s="38" t="n">
        <x:v>0.003758802841361334</x:v>
      </x:c>
      <x:c r="L855" s="35" t="n">
        <x:f>H855*J855*(1+K855)</x:f>
        <x:v>22634.761004072698</x:v>
      </x:c>
      <x:c r="M855" s="35" t="n">
        <x:f>SUMIFS('菜谱BOM'!$F$5:$F$160,'菜谱BOM'!$A$5:$A$160,E855,'菜谱BOM'!$C$5:$C$160,"调料")</x:f>
        <x:v>104</x:v>
      </x:c>
      <x:c r="N855" s="38" t="n">
        <x:v>-0.001116330397109578</x:v>
      </x:c>
      <x:c r="O855" s="35" t="n">
        <x:f>H855*M855*(1+N855)</x:f>
        <x:v>4259.239967186725</x:v>
      </x:c>
      <x:c r="P855" s="19" t="str">
        <x:f>IF(ABS(N855)&gt;'封面与口径'!$O$25,"机器调料需复核",IF(ABS(K855)&gt;0.02,"人工称重需复核","正常"))</x:f>
        <x:v>正常</x:v>
      </x:c>
      <x:c r="Q855" s="19" t="str">
        <x:v>罗文</x:v>
      </x:c>
    </x:row>
    <x:row r="856">
      <x:c r="A856" s="19" t="str">
        <x:v>2026-07-08|S08|D02</x:v>
      </x:c>
      <x:c r="B856" s="34" t="n">
        <x:v>46211.5</x:v>
      </x:c>
      <x:c r="C856" s="19" t="str">
        <x:v>S08</x:v>
      </x:c>
      <x:c r="D856" s="19" t="str">
        <x:v>四季青店</x:v>
      </x:c>
      <x:c r="E856" s="19" t="str">
        <x:v>D02</x:v>
      </x:c>
      <x:c r="F856" s="19" t="str">
        <x:v>小炒黄牛肉</x:v>
      </x:c>
      <x:c r="G856" s="19" t="str">
        <x:v>R2.3</x:v>
      </x:c>
      <x:c r="H856" s="20" t="n">
        <x:f>XLOOKUP(A856,'菜品日销量'!$A$5:$A$1124,'菜品日销量'!$G$5:$G$1124,0)</x:f>
        <x:v>28</x:v>
      </x:c>
      <x:c r="I856" s="20" t="n">
        <x:f>ROUNDUP(H856/2,0)</x:f>
        <x:v>14</x:v>
      </x:c>
      <x:c r="J856" s="22" t="n">
        <x:f>SUMIFS('菜谱BOM'!$F$5:$F$160,'菜谱BOM'!$A$5:$A$160,E856,'菜谱BOM'!$C$5:$C$160,"食材")</x:f>
        <x:v>560</x:v>
      </x:c>
      <x:c r="K856" s="38" t="n">
        <x:v>0.006698220677370722</x:v>
      </x:c>
      <x:c r="L856" s="35" t="n">
        <x:f>H856*J856*(1+K856)</x:f>
        <x:v>15785.028100221172</x:v>
      </x:c>
      <x:c r="M856" s="35" t="n">
        <x:f>SUMIFS('菜谱BOM'!$F$5:$F$160,'菜谱BOM'!$A$5:$A$160,E856,'菜谱BOM'!$C$5:$C$160,"调料")</x:f>
        <x:v>133</x:v>
      </x:c>
      <x:c r="N856" s="38" t="n">
        <x:v>-0.0008071932678127645</x:v>
      </x:c>
      <x:c r="O856" s="35" t="n">
        <x:f>H856*M856*(1+N856)</x:f>
        <x:v>3720.9940122706653</x:v>
      </x:c>
      <x:c r="P856" s="19" t="str">
        <x:f>IF(ABS(N856)&gt;'封面与口径'!$O$25,"机器调料需复核",IF(ABS(K856)&gt;0.02,"人工称重需复核","正常"))</x:f>
        <x:v>正常</x:v>
      </x:c>
      <x:c r="Q856" s="19" t="str">
        <x:v>罗文</x:v>
      </x:c>
    </x:row>
    <x:row r="857">
      <x:c r="A857" s="19" t="str">
        <x:v>2026-07-08|S08|D03</x:v>
      </x:c>
      <x:c r="B857" s="34" t="n">
        <x:v>46211.5</x:v>
      </x:c>
      <x:c r="C857" s="19" t="str">
        <x:v>S08</x:v>
      </x:c>
      <x:c r="D857" s="19" t="str">
        <x:v>四季青店</x:v>
      </x:c>
      <x:c r="E857" s="19" t="str">
        <x:v>D03</x:v>
      </x:c>
      <x:c r="F857" s="19" t="str">
        <x:v>香醋炒蛋</x:v>
      </x:c>
      <x:c r="G857" s="19" t="str">
        <x:v>R1.0</x:v>
      </x:c>
      <x:c r="H857" s="20" t="n">
        <x:f>XLOOKUP(A857,'菜品日销量'!$A$5:$A$1124,'菜品日销量'!$G$5:$G$1124,0)</x:f>
        <x:v>34</x:v>
      </x:c>
      <x:c r="I857" s="20" t="n">
        <x:f>ROUNDUP(H857/2,0)</x:f>
        <x:v>17</x:v>
      </x:c>
      <x:c r="J857" s="22" t="n">
        <x:f>SUMIFS('菜谱BOM'!$F$5:$F$160,'菜谱BOM'!$A$5:$A$160,E857,'菜谱BOM'!$C$5:$C$160,"食材")</x:f>
        <x:v>300</x:v>
      </x:c>
      <x:c r="K857" s="38" t="n">
        <x:v>0.004554994943680939</x:v>
      </x:c>
      <x:c r="L857" s="35" t="n">
        <x:f>H857*J857*(1+K857)</x:f>
        <x:v>10246.460948425545</x:v>
      </x:c>
      <x:c r="M857" s="35" t="n">
        <x:f>SUMIFS('菜谱BOM'!$F$5:$F$160,'菜谱BOM'!$A$5:$A$160,E857,'菜谱BOM'!$C$5:$C$160,"调料")</x:f>
        <x:v>53</x:v>
      </x:c>
      <x:c r="N857" s="38" t="n">
        <x:v>-0.0011173683840589059</x:v>
      </x:c>
      <x:c r="O857" s="35" t="n">
        <x:f>H857*M857*(1+N857)</x:f>
        <x:v>1799.9865021719258</x:v>
      </x:c>
      <x:c r="P857" s="19" t="str">
        <x:f>IF(ABS(N857)&gt;'封面与口径'!$O$25,"机器调料需复核",IF(ABS(K857)&gt;0.02,"人工称重需复核","正常"))</x:f>
        <x:v>正常</x:v>
      </x:c>
      <x:c r="Q857" s="19" t="str">
        <x:v>罗文</x:v>
      </x:c>
    </x:row>
    <x:row r="858">
      <x:c r="A858" s="19" t="str">
        <x:v>2026-07-08|S08|D04</x:v>
      </x:c>
      <x:c r="B858" s="34" t="n">
        <x:v>46211.5</x:v>
      </x:c>
      <x:c r="C858" s="19" t="str">
        <x:v>S08</x:v>
      </x:c>
      <x:c r="D858" s="19" t="str">
        <x:v>四季青店</x:v>
      </x:c>
      <x:c r="E858" s="19" t="str">
        <x:v>D04</x:v>
      </x:c>
      <x:c r="F858" s="19" t="str">
        <x:v>酸包菜炒粉皮</x:v>
      </x:c>
      <x:c r="G858" s="19" t="str">
        <x:v>R1.0</x:v>
      </x:c>
      <x:c r="H858" s="20" t="n">
        <x:f>XLOOKUP(A858,'菜品日销量'!$A$5:$A$1124,'菜品日销量'!$G$5:$G$1124,0)</x:f>
        <x:v>29</x:v>
      </x:c>
      <x:c r="I858" s="20" t="n">
        <x:f>ROUNDUP(H858/2,0)</x:f>
        <x:v>15</x:v>
      </x:c>
      <x:c r="J858" s="22" t="n">
        <x:f>SUMIFS('菜谱BOM'!$F$5:$F$160,'菜谱BOM'!$A$5:$A$160,E858,'菜谱BOM'!$C$5:$C$160,"食材")</x:f>
        <x:v>380</x:v>
      </x:c>
      <x:c r="K858" s="38" t="n">
        <x:v>-0.004146035703864423</x:v>
      </x:c>
      <x:c r="L858" s="35" t="n">
        <x:f>H858*J858*(1+K858)</x:f>
        <x:v>10974.310686543415</x:v>
      </x:c>
      <x:c r="M858" s="35" t="n">
        <x:f>SUMIFS('菜谱BOM'!$F$5:$F$160,'菜谱BOM'!$A$5:$A$160,E858,'菜谱BOM'!$C$5:$C$160,"调料")</x:f>
        <x:v>47</x:v>
      </x:c>
      <x:c r="N858" s="38" t="n">
        <x:v>-0.0007707019575803314</x:v>
      </x:c>
      <x:c r="O858" s="35" t="n">
        <x:f>H858*M858*(1+N858)</x:f>
        <x:v>1361.949533231818</x:v>
      </x:c>
      <x:c r="P858" s="19" t="str">
        <x:f>IF(ABS(N858)&gt;'封面与口径'!$O$25,"机器调料需复核",IF(ABS(K858)&gt;0.02,"人工称重需复核","正常"))</x:f>
        <x:v>正常</x:v>
      </x:c>
      <x:c r="Q858" s="19" t="str">
        <x:v>罗文</x:v>
      </x:c>
    </x:row>
    <x:row r="859">
      <x:c r="A859" s="19" t="str">
        <x:v>2026-07-08|S08|D05</x:v>
      </x:c>
      <x:c r="B859" s="34" t="n">
        <x:v>46211.5</x:v>
      </x:c>
      <x:c r="C859" s="19" t="str">
        <x:v>S08</x:v>
      </x:c>
      <x:c r="D859" s="19" t="str">
        <x:v>四季青店</x:v>
      </x:c>
      <x:c r="E859" s="19" t="str">
        <x:v>D05</x:v>
      </x:c>
      <x:c r="F859" s="19" t="str">
        <x:v>麻婆豆腐</x:v>
      </x:c>
      <x:c r="G859" s="19" t="str">
        <x:v>R1.0</x:v>
      </x:c>
      <x:c r="H859" s="20" t="n">
        <x:f>XLOOKUP(A859,'菜品日销量'!$A$5:$A$1124,'菜品日销量'!$G$5:$G$1124,0)</x:f>
        <x:v>46</x:v>
      </x:c>
      <x:c r="I859" s="20" t="n">
        <x:f>ROUNDUP(H859/2,0)</x:f>
        <x:v>23</x:v>
      </x:c>
      <x:c r="J859" s="22" t="n">
        <x:f>SUMIFS('菜谱BOM'!$F$5:$F$160,'菜谱BOM'!$A$5:$A$160,E859,'菜谱BOM'!$C$5:$C$160,"食材")</x:f>
        <x:v>505</x:v>
      </x:c>
      <x:c r="K859" s="38" t="n">
        <x:v>0.007211467202569233</x:v>
      </x:c>
      <x:c r="L859" s="35" t="n">
        <x:f>H859*J859*(1+K859)</x:f>
        <x:v>23397.52238311568</x:v>
      </x:c>
      <x:c r="M859" s="35" t="n">
        <x:f>SUMIFS('菜谱BOM'!$F$5:$F$160,'菜谱BOM'!$A$5:$A$160,E859,'菜谱BOM'!$C$5:$C$160,"调料")</x:f>
        <x:v>90</x:v>
      </x:c>
      <x:c r="N859" s="38" t="n">
        <x:v>-0.0018770729386892806</x:v>
      </x:c>
      <x:c r="O859" s="35" t="n">
        <x:f>H859*M859*(1+N859)</x:f>
        <x:v>4132.228918033827</x:v>
      </x:c>
      <x:c r="P859" s="19" t="str">
        <x:f>IF(ABS(N859)&gt;'封面与口径'!$O$25,"机器调料需复核",IF(ABS(K859)&gt;0.02,"人工称重需复核","正常"))</x:f>
        <x:v>正常</x:v>
      </x:c>
      <x:c r="Q859" s="19" t="str">
        <x:v>罗文</x:v>
      </x:c>
    </x:row>
    <x:row r="860">
      <x:c r="A860" s="19" t="str">
        <x:v>2026-07-08|S08|D07</x:v>
      </x:c>
      <x:c r="B860" s="34" t="n">
        <x:v>46211.5</x:v>
      </x:c>
      <x:c r="C860" s="19" t="str">
        <x:v>S08</x:v>
      </x:c>
      <x:c r="D860" s="19" t="str">
        <x:v>四季青店</x:v>
      </x:c>
      <x:c r="E860" s="19" t="str">
        <x:v>D07</x:v>
      </x:c>
      <x:c r="F860" s="19" t="str">
        <x:v>川味回锅肉</x:v>
      </x:c>
      <x:c r="G860" s="19" t="str">
        <x:v>R1.0</x:v>
      </x:c>
      <x:c r="H860" s="20" t="n">
        <x:f>XLOOKUP(A860,'菜品日销量'!$A$5:$A$1124,'菜品日销量'!$G$5:$G$1124,0)</x:f>
        <x:v>14</x:v>
      </x:c>
      <x:c r="I860" s="20" t="n">
        <x:f>ROUNDUP(H860/2,0)</x:f>
        <x:v>7</x:v>
      </x:c>
      <x:c r="J860" s="22" t="n">
        <x:f>SUMIFS('菜谱BOM'!$F$5:$F$160,'菜谱BOM'!$A$5:$A$160,E860,'菜谱BOM'!$C$5:$C$160,"食材")</x:f>
        <x:v>450</x:v>
      </x:c>
      <x:c r="K860" s="38" t="n">
        <x:v>-0.0043423361918754734</x:v>
      </x:c>
      <x:c r="L860" s="35" t="n">
        <x:f>H860*J860*(1+K860)</x:f>
        <x:v>6272.643281991184</x:v>
      </x:c>
      <x:c r="M860" s="35" t="n">
        <x:f>SUMIFS('菜谱BOM'!$F$5:$F$160,'菜谱BOM'!$A$5:$A$160,E860,'菜谱BOM'!$C$5:$C$160,"调料")</x:f>
        <x:v>63</x:v>
      </x:c>
      <x:c r="N860" s="38" t="n">
        <x:v>-0.0018756307912700882</x:v>
      </x:c>
      <x:c r="O860" s="35" t="n">
        <x:f>H860*M860*(1+N860)</x:f>
        <x:v>880.3456936420998</x:v>
      </x:c>
      <x:c r="P860" s="19" t="str">
        <x:f>IF(ABS(N860)&gt;'封面与口径'!$O$25,"机器调料需复核",IF(ABS(K860)&gt;0.02,"人工称重需复核","正常"))</x:f>
        <x:v>正常</x:v>
      </x:c>
      <x:c r="Q860" s="19" t="str">
        <x:v>罗文</x:v>
      </x:c>
    </x:row>
    <x:row r="861">
      <x:c r="A861" s="19" t="str">
        <x:v>2026-07-08|S08|D08</x:v>
      </x:c>
      <x:c r="B861" s="34" t="n">
        <x:v>46211.5</x:v>
      </x:c>
      <x:c r="C861" s="19" t="str">
        <x:v>S08</x:v>
      </x:c>
      <x:c r="D861" s="19" t="str">
        <x:v>四季青店</x:v>
      </x:c>
      <x:c r="E861" s="19" t="str">
        <x:v>D08</x:v>
      </x:c>
      <x:c r="F861" s="19" t="str">
        <x:v>生炒清远鸡</x:v>
      </x:c>
      <x:c r="G861" s="19" t="str">
        <x:v>R1.0</x:v>
      </x:c>
      <x:c r="H861" s="20" t="n">
        <x:f>XLOOKUP(A861,'菜品日销量'!$A$5:$A$1124,'菜品日销量'!$G$5:$G$1124,0)</x:f>
        <x:v>10</x:v>
      </x:c>
      <x:c r="I861" s="20" t="n">
        <x:f>ROUNDUP(H861/2,0)</x:f>
        <x:v>5</x:v>
      </x:c>
      <x:c r="J861" s="22" t="n">
        <x:f>SUMIFS('菜谱BOM'!$F$5:$F$160,'菜谱BOM'!$A$5:$A$160,E861,'菜谱BOM'!$C$5:$C$160,"食材")</x:f>
        <x:v>610</x:v>
      </x:c>
      <x:c r="K861" s="38" t="n">
        <x:v>-0.007954663086672002</x:v>
      </x:c>
      <x:c r="L861" s="35" t="n">
        <x:f>H861*J861*(1+K861)</x:f>
        <x:v>6051.476555171301</x:v>
      </x:c>
      <x:c r="M861" s="35" t="n">
        <x:f>SUMIFS('菜谱BOM'!$F$5:$F$160,'菜谱BOM'!$A$5:$A$160,E861,'菜谱BOM'!$C$5:$C$160,"调料")</x:f>
        <x:v>61</x:v>
      </x:c>
      <x:c r="N861" s="38" t="n">
        <x:v>-0.00039338975548590296</x:v>
      </x:c>
      <x:c r="O861" s="35" t="n">
        <x:f>H861*M861*(1+N861)</x:f>
        <x:v>609.7600322491536</x:v>
      </x:c>
      <x:c r="P861" s="19" t="str">
        <x:f>IF(ABS(N861)&gt;'封面与口径'!$O$25,"机器调料需复核",IF(ABS(K861)&gt;0.02,"人工称重需复核","正常"))</x:f>
        <x:v>正常</x:v>
      </x:c>
      <x:c r="Q861" s="19" t="str">
        <x:v>罗文</x:v>
      </x:c>
    </x:row>
    <x:row r="862">
      <x:c r="A862" s="19" t="str">
        <x:v>2026-07-08|S08|D09</x:v>
      </x:c>
      <x:c r="B862" s="34" t="n">
        <x:v>46211.5</x:v>
      </x:c>
      <x:c r="C862" s="19" t="str">
        <x:v>S08</x:v>
      </x:c>
      <x:c r="D862" s="19" t="str">
        <x:v>四季青店</x:v>
      </x:c>
      <x:c r="E862" s="19" t="str">
        <x:v>D09</x:v>
      </x:c>
      <x:c r="F862" s="19" t="str">
        <x:v>炒豆干</x:v>
      </x:c>
      <x:c r="G862" s="19" t="str">
        <x:v>R1.0</x:v>
      </x:c>
      <x:c r="H862" s="20" t="n">
        <x:f>XLOOKUP(A862,'菜品日销量'!$A$5:$A$1124,'菜品日销量'!$G$5:$G$1124,0)</x:f>
        <x:v>14</x:v>
      </x:c>
      <x:c r="I862" s="20" t="n">
        <x:f>ROUNDUP(H862/2,0)</x:f>
        <x:v>7</x:v>
      </x:c>
      <x:c r="J862" s="22" t="n">
        <x:f>SUMIFS('菜谱BOM'!$F$5:$F$160,'菜谱BOM'!$A$5:$A$160,E862,'菜谱BOM'!$C$5:$C$160,"食材")</x:f>
        <x:v>520</x:v>
      </x:c>
      <x:c r="K862" s="38" t="n">
        <x:v>0.005998147826175705</x:v>
      </x:c>
      <x:c r="L862" s="35" t="n">
        <x:f>H862*J862*(1+K862)</x:f>
        <x:v>7323.666516174559</x:v>
      </x:c>
      <x:c r="M862" s="35" t="n">
        <x:f>SUMIFS('菜谱BOM'!$F$5:$F$160,'菜谱BOM'!$A$5:$A$160,E862,'菜谱BOM'!$C$5:$C$160,"调料")</x:f>
        <x:v>42</x:v>
      </x:c>
      <x:c r="N862" s="38" t="n">
        <x:v>-0.0010021327778236319</x:v>
      </x:c>
      <x:c r="O862" s="35" t="n">
        <x:f>H862*M862*(1+N862)</x:f>
        <x:v>587.4107459266397</x:v>
      </x:c>
      <x:c r="P862" s="19" t="str">
        <x:f>IF(ABS(N862)&gt;'封面与口径'!$O$25,"机器调料需复核",IF(ABS(K862)&gt;0.02,"人工称重需复核","正常"))</x:f>
        <x:v>正常</x:v>
      </x:c>
      <x:c r="Q862" s="19" t="str">
        <x:v>罗文</x:v>
      </x:c>
    </x:row>
    <x:row r="863">
      <x:c r="A863" s="19" t="str">
        <x:v>2026-07-08|S08|D10</x:v>
      </x:c>
      <x:c r="B863" s="34" t="n">
        <x:v>46211.5</x:v>
      </x:c>
      <x:c r="C863" s="19" t="str">
        <x:v>S08</x:v>
      </x:c>
      <x:c r="D863" s="19" t="str">
        <x:v>四季青店</x:v>
      </x:c>
      <x:c r="E863" s="19" t="str">
        <x:v>D10</x:v>
      </x:c>
      <x:c r="F863" s="19" t="str">
        <x:v>农家一碗香</x:v>
      </x:c>
      <x:c r="G863" s="19" t="str">
        <x:v>R2.3</x:v>
      </x:c>
      <x:c r="H863" s="20" t="n">
        <x:f>XLOOKUP(A863,'菜品日销量'!$A$5:$A$1124,'菜品日销量'!$G$5:$G$1124,0)</x:f>
        <x:v>17</x:v>
      </x:c>
      <x:c r="I863" s="20" t="n">
        <x:f>ROUNDUP(H863/2,0)</x:f>
        <x:v>9</x:v>
      </x:c>
      <x:c r="J863" s="22" t="n">
        <x:f>SUMIFS('菜谱BOM'!$F$5:$F$160,'菜谱BOM'!$A$5:$A$160,E863,'菜谱BOM'!$C$5:$C$160,"食材")</x:f>
        <x:v>510</x:v>
      </x:c>
      <x:c r="K863" s="38" t="n">
        <x:v>0.002201476233592601</x:v>
      </x:c>
      <x:c r="L863" s="35" t="n">
        <x:f>H863*J863*(1+K863)</x:f>
        <x:v>8689.086798945249</x:v>
      </x:c>
      <x:c r="M863" s="35" t="n">
        <x:f>SUMIFS('菜谱BOM'!$F$5:$F$160,'菜谱BOM'!$A$5:$A$160,E863,'菜谱BOM'!$C$5:$C$160,"调料")</x:f>
        <x:v>88</x:v>
      </x:c>
      <x:c r="N863" s="38" t="n">
        <x:v>0.001659586561764494</x:v>
      </x:c>
      <x:c r="O863" s="35" t="n">
        <x:f>H863*M863*(1+N863)</x:f>
        <x:v>1498.4827414963997</x:v>
      </x:c>
      <x:c r="P863" s="19" t="str">
        <x:f>IF(ABS(N863)&gt;'封面与口径'!$O$25,"机器调料需复核",IF(ABS(K863)&gt;0.02,"人工称重需复核","正常"))</x:f>
        <x:v>正常</x:v>
      </x:c>
      <x:c r="Q863" s="19" t="str">
        <x:v>罗文</x:v>
      </x:c>
    </x:row>
    <x:row r="864">
      <x:c r="A864" s="19" t="str">
        <x:v>2026-07-08|S08|D11</x:v>
      </x:c>
      <x:c r="B864" s="34" t="n">
        <x:v>46211.5</x:v>
      </x:c>
      <x:c r="C864" s="19" t="str">
        <x:v>S08</x:v>
      </x:c>
      <x:c r="D864" s="19" t="str">
        <x:v>四季青店</x:v>
      </x:c>
      <x:c r="E864" s="19" t="str">
        <x:v>D11</x:v>
      </x:c>
      <x:c r="F864" s="19" t="str">
        <x:v>香辣爆肥肠</x:v>
      </x:c>
      <x:c r="G864" s="19" t="str">
        <x:v>R1.0</x:v>
      </x:c>
      <x:c r="H864" s="20" t="n">
        <x:f>XLOOKUP(A864,'菜品日销量'!$A$5:$A$1124,'菜品日销量'!$G$5:$G$1124,0)</x:f>
        <x:v>5</x:v>
      </x:c>
      <x:c r="I864" s="20" t="n">
        <x:f>ROUNDUP(H864/2,0)</x:f>
        <x:v>3</x:v>
      </x:c>
      <x:c r="J864" s="22" t="n">
        <x:f>SUMIFS('菜谱BOM'!$F$5:$F$160,'菜谱BOM'!$A$5:$A$160,E864,'菜谱BOM'!$C$5:$C$160,"食材")</x:f>
        <x:v>430</x:v>
      </x:c>
      <x:c r="K864" s="38" t="n">
        <x:v>0.004785152278092026</x:v>
      </x:c>
      <x:c r="L864" s="35" t="n">
        <x:f>H864*J864*(1+K864)</x:f>
        <x:v>2160.2880773978977</x:v>
      </x:c>
      <x:c r="M864" s="35" t="n">
        <x:f>SUMIFS('菜谱BOM'!$F$5:$F$160,'菜谱BOM'!$A$5:$A$160,E864,'菜谱BOM'!$C$5:$C$160,"调料")</x:f>
        <x:v>67</x:v>
      </x:c>
      <x:c r="N864" s="38" t="n">
        <x:v>-0.0012386391086593826</x:v>
      </x:c>
      <x:c r="O864" s="35" t="n">
        <x:f>H864*M864*(1+N864)</x:f>
        <x:v>334.5850558985991</x:v>
      </x:c>
      <x:c r="P864" s="19" t="str">
        <x:f>IF(ABS(N864)&gt;'封面与口径'!$O$25,"机器调料需复核",IF(ABS(K864)&gt;0.02,"人工称重需复核","正常"))</x:f>
        <x:v>正常</x:v>
      </x:c>
      <x:c r="Q864" s="19" t="str">
        <x:v>罗文</x:v>
      </x:c>
    </x:row>
    <x:row r="865">
      <x:c r="A865" s="19" t="str">
        <x:v>2026-07-08|S08|D13</x:v>
      </x:c>
      <x:c r="B865" s="34" t="n">
        <x:v>46211.5</x:v>
      </x:c>
      <x:c r="C865" s="19" t="str">
        <x:v>S08</x:v>
      </x:c>
      <x:c r="D865" s="19" t="str">
        <x:v>四季青店</x:v>
      </x:c>
      <x:c r="E865" s="19" t="str">
        <x:v>D13</x:v>
      </x:c>
      <x:c r="F865" s="19" t="str">
        <x:v>外婆菜炒蛋</x:v>
      </x:c>
      <x:c r="G865" s="19" t="str">
        <x:v>R1.0</x:v>
      </x:c>
      <x:c r="H865" s="20" t="n">
        <x:f>XLOOKUP(A865,'菜品日销量'!$A$5:$A$1124,'菜品日销量'!$G$5:$G$1124,0)</x:f>
        <x:v>14</x:v>
      </x:c>
      <x:c r="I865" s="20" t="n">
        <x:f>ROUNDUP(H865/2,0)</x:f>
        <x:v>7</x:v>
      </x:c>
      <x:c r="J865" s="22" t="n">
        <x:f>SUMIFS('菜谱BOM'!$F$5:$F$160,'菜谱BOM'!$A$5:$A$160,E865,'菜谱BOM'!$C$5:$C$160,"食材")</x:f>
        <x:v>450</x:v>
      </x:c>
      <x:c r="K865" s="38" t="n">
        <x:v>-0.007376559737924617</x:v>
      </x:c>
      <x:c r="L865" s="35" t="n">
        <x:f>H865*J865*(1+K865)</x:f>
        <x:v>6253.527673651075</x:v>
      </x:c>
      <x:c r="M865" s="35" t="n">
        <x:f>SUMIFS('菜谱BOM'!$F$5:$F$160,'菜谱BOM'!$A$5:$A$160,E865,'菜谱BOM'!$C$5:$C$160,"调料")</x:f>
        <x:v>37</x:v>
      </x:c>
      <x:c r="N865" s="38" t="n">
        <x:v>0.00030908858271061626</x:v>
      </x:c>
      <x:c r="O865" s="35" t="n">
        <x:f>H865*M865*(1+N865)</x:f>
        <x:v>518.1601078858441</x:v>
      </x:c>
      <x:c r="P865" s="19" t="str">
        <x:f>IF(ABS(N865)&gt;'封面与口径'!$O$25,"机器调料需复核",IF(ABS(K865)&gt;0.02,"人工称重需复核","正常"))</x:f>
        <x:v>正常</x:v>
      </x:c>
      <x:c r="Q865" s="19" t="str">
        <x:v>罗文</x:v>
      </x:c>
    </x:row>
    <x:row r="866">
      <x:c r="A866" s="19" t="str">
        <x:v>2026-07-08|S08|D14</x:v>
      </x:c>
      <x:c r="B866" s="34" t="n">
        <x:v>46211.5</x:v>
      </x:c>
      <x:c r="C866" s="19" t="str">
        <x:v>S08</x:v>
      </x:c>
      <x:c r="D866" s="19" t="str">
        <x:v>四季青店</x:v>
      </x:c>
      <x:c r="E866" s="19" t="str">
        <x:v>D14</x:v>
      </x:c>
      <x:c r="F866" s="19" t="str">
        <x:v>酸辣鸡杂</x:v>
      </x:c>
      <x:c r="G866" s="19" t="str">
        <x:v>R1.0</x:v>
      </x:c>
      <x:c r="H866" s="20" t="n">
        <x:f>XLOOKUP(A866,'菜品日销量'!$A$5:$A$1124,'菜品日销量'!$G$5:$G$1124,0)</x:f>
        <x:v>6</x:v>
      </x:c>
      <x:c r="I866" s="20" t="n">
        <x:f>ROUNDUP(H866/2,0)</x:f>
        <x:v>3</x:v>
      </x:c>
      <x:c r="J866" s="22" t="n">
        <x:f>SUMIFS('菜谱BOM'!$F$5:$F$160,'菜谱BOM'!$A$5:$A$160,E866,'菜谱BOM'!$C$5:$C$160,"食材")</x:f>
        <x:v>470</x:v>
      </x:c>
      <x:c r="K866" s="38" t="n">
        <x:v>-0.000506852356835001</x:v>
      </x:c>
      <x:c r="L866" s="35" t="n">
        <x:f>H866*J866*(1+K866)</x:f>
        <x:v>2818.5706763537255</x:v>
      </x:c>
      <x:c r="M866" s="35" t="n">
        <x:f>SUMIFS('菜谱BOM'!$F$5:$F$160,'菜谱BOM'!$A$5:$A$160,E866,'菜谱BOM'!$C$5:$C$160,"调料")</x:f>
        <x:v>60</x:v>
      </x:c>
      <x:c r="N866" s="38" t="n">
        <x:v>-0.0005036366345602172</x:v>
      </x:c>
      <x:c r="O866" s="35" t="n">
        <x:f>H866*M866*(1+N866)</x:f>
        <x:v>359.8186908115583</x:v>
      </x:c>
      <x:c r="P866" s="19" t="str">
        <x:f>IF(ABS(N866)&gt;'封面与口径'!$O$25,"机器调料需复核",IF(ABS(K866)&gt;0.02,"人工称重需复核","正常"))</x:f>
        <x:v>正常</x:v>
      </x:c>
      <x:c r="Q866" s="19" t="str">
        <x:v>罗文</x:v>
      </x:c>
    </x:row>
    <x:row r="867">
      <x:c r="A867" s="19" t="str">
        <x:v>2026-07-08|S08|D15</x:v>
      </x:c>
      <x:c r="B867" s="34" t="n">
        <x:v>46211.5</x:v>
      </x:c>
      <x:c r="C867" s="19" t="str">
        <x:v>S08</x:v>
      </x:c>
      <x:c r="D867" s="19" t="str">
        <x:v>四季青店</x:v>
      </x:c>
      <x:c r="E867" s="19" t="str">
        <x:v>D15</x:v>
      </x:c>
      <x:c r="F867" s="19" t="str">
        <x:v>湘西土匪猪肝</x:v>
      </x:c>
      <x:c r="G867" s="19" t="str">
        <x:v>R1.0</x:v>
      </x:c>
      <x:c r="H867" s="20" t="n">
        <x:f>XLOOKUP(A867,'菜品日销量'!$A$5:$A$1124,'菜品日销量'!$G$5:$G$1124,0)</x:f>
        <x:v>6</x:v>
      </x:c>
      <x:c r="I867" s="20" t="n">
        <x:f>ROUNDUP(H867/2,0)</x:f>
        <x:v>3</x:v>
      </x:c>
      <x:c r="J867" s="22" t="n">
        <x:f>SUMIFS('菜谱BOM'!$F$5:$F$160,'菜谱BOM'!$A$5:$A$160,E867,'菜谱BOM'!$C$5:$C$160,"食材")</x:f>
        <x:v>470</x:v>
      </x:c>
      <x:c r="K867" s="38" t="n">
        <x:v>0.0076086109652204</x:v>
      </x:c>
      <x:c r="L867" s="35" t="n">
        <x:f>H867*J867*(1+K867)</x:f>
        <x:v>2841.4562829219217</x:v>
      </x:c>
      <x:c r="M867" s="35" t="n">
        <x:f>SUMIFS('菜谱BOM'!$F$5:$F$160,'菜谱BOM'!$A$5:$A$160,E867,'菜谱BOM'!$C$5:$C$160,"调料")</x:f>
        <x:v>49</x:v>
      </x:c>
      <x:c r="N867" s="38" t="n">
        <x:v>0.0003064544094508639</x:v>
      </x:c>
      <x:c r="O867" s="35" t="n">
        <x:f>H867*M867*(1+N867)</x:f>
        <x:v>294.09009759637854</x:v>
      </x:c>
      <x:c r="P867" s="19" t="str">
        <x:f>IF(ABS(N867)&gt;'封面与口径'!$O$25,"机器调料需复核",IF(ABS(K867)&gt;0.02,"人工称重需复核","正常"))</x:f>
        <x:v>正常</x:v>
      </x:c>
      <x:c r="Q867" s="19" t="str">
        <x:v>罗文</x:v>
      </x:c>
    </x:row>
    <x:row r="868">
      <x:c r="A868" s="19" t="str">
        <x:v>2026-07-08|S08|D16</x:v>
      </x:c>
      <x:c r="B868" s="34" t="n">
        <x:v>46211.5</x:v>
      </x:c>
      <x:c r="C868" s="19" t="str">
        <x:v>S08</x:v>
      </x:c>
      <x:c r="D868" s="19" t="str">
        <x:v>四季青店</x:v>
      </x:c>
      <x:c r="E868" s="19" t="str">
        <x:v>D16</x:v>
      </x:c>
      <x:c r="F868" s="19" t="str">
        <x:v>小豆角炒五花</x:v>
      </x:c>
      <x:c r="G868" s="19" t="str">
        <x:v>R1.0</x:v>
      </x:c>
      <x:c r="H868" s="20" t="n">
        <x:f>XLOOKUP(A868,'菜品日销量'!$A$5:$A$1124,'菜品日销量'!$G$5:$G$1124,0)</x:f>
        <x:v>6</x:v>
      </x:c>
      <x:c r="I868" s="20" t="n">
        <x:f>ROUNDUP(H868/2,0)</x:f>
        <x:v>3</x:v>
      </x:c>
      <x:c r="J868" s="22" t="n">
        <x:f>SUMIFS('菜谱BOM'!$F$5:$F$160,'菜谱BOM'!$A$5:$A$160,E868,'菜谱BOM'!$C$5:$C$160,"食材")</x:f>
        <x:v>450</x:v>
      </x:c>
      <x:c r="K868" s="38" t="n">
        <x:v>0.0032479612629972314</x:v>
      </x:c>
      <x:c r="L868" s="35" t="n">
        <x:f>H868*J868*(1+K868)</x:f>
        <x:v>2708.7694954100925</x:v>
      </x:c>
      <x:c r="M868" s="35" t="n">
        <x:f>SUMIFS('菜谱BOM'!$F$5:$F$160,'菜谱BOM'!$A$5:$A$160,E868,'菜谱BOM'!$C$5:$C$160,"调料")</x:f>
        <x:v>42</x:v>
      </x:c>
      <x:c r="N868" s="38" t="n">
        <x:v>0.001383562292760136</x:v>
      </x:c>
      <x:c r="O868" s="35" t="n">
        <x:f>H868*M868*(1+N868)</x:f>
        <x:v>252.34865769777554</x:v>
      </x:c>
      <x:c r="P868" s="19" t="str">
        <x:f>IF(ABS(N868)&gt;'封面与口径'!$O$25,"机器调料需复核",IF(ABS(K868)&gt;0.02,"人工称重需复核","正常"))</x:f>
        <x:v>正常</x:v>
      </x:c>
      <x:c r="Q868" s="19" t="str">
        <x:v>罗文</x:v>
      </x:c>
    </x:row>
    <x:row r="869">
      <x:c r="A869" s="19" t="str">
        <x:v>2026-07-08|S08|D18</x:v>
      </x:c>
      <x:c r="B869" s="34" t="n">
        <x:v>46211.5</x:v>
      </x:c>
      <x:c r="C869" s="19" t="str">
        <x:v>S08</x:v>
      </x:c>
      <x:c r="D869" s="19" t="str">
        <x:v>四季青店</x:v>
      </x:c>
      <x:c r="E869" s="19" t="str">
        <x:v>D18</x:v>
      </x:c>
      <x:c r="F869" s="19" t="str">
        <x:v>青椒炒油麦菜</x:v>
      </x:c>
      <x:c r="G869" s="19" t="str">
        <x:v>R1.0</x:v>
      </x:c>
      <x:c r="H869" s="20" t="n">
        <x:f>XLOOKUP(A869,'菜品日销量'!$A$5:$A$1124,'菜品日销量'!$G$5:$G$1124,0)</x:f>
        <x:v>7</x:v>
      </x:c>
      <x:c r="I869" s="20" t="n">
        <x:f>ROUNDUP(H869/2,0)</x:f>
        <x:v>4</x:v>
      </x:c>
      <x:c r="J869" s="22" t="n">
        <x:f>SUMIFS('菜谱BOM'!$F$5:$F$160,'菜谱BOM'!$A$5:$A$160,E869,'菜谱BOM'!$C$5:$C$160,"食材")</x:f>
        <x:v>430</x:v>
      </x:c>
      <x:c r="K869" s="38" t="n">
        <x:v>0.0007145298590684614</x:v>
      </x:c>
      <x:c r="L869" s="35" t="n">
        <x:f>H869*J869*(1+K869)</x:f>
        <x:v>3012.1507348757964</x:v>
      </x:c>
      <x:c r="M869" s="35" t="n">
        <x:f>SUMIFS('菜谱BOM'!$F$5:$F$160,'菜谱BOM'!$A$5:$A$160,E869,'菜谱BOM'!$C$5:$C$160,"调料")</x:f>
        <x:v>33</x:v>
      </x:c>
      <x:c r="N869" s="38" t="n">
        <x:v>-0.0015674339187255674</x:v>
      </x:c>
      <x:c r="O869" s="35" t="n">
        <x:f>H869*M869*(1+N869)</x:f>
        <x:v>230.63792276477437</x:v>
      </x:c>
      <x:c r="P869" s="19" t="str">
        <x:f>IF(ABS(N869)&gt;'封面与口径'!$O$25,"机器调料需复核",IF(ABS(K869)&gt;0.02,"人工称重需复核","正常"))</x:f>
        <x:v>正常</x:v>
      </x:c>
      <x:c r="Q869" s="19" t="str">
        <x:v>罗文</x:v>
      </x:c>
    </x:row>
    <x:row r="870">
      <x:c r="A870" s="19" t="str">
        <x:v>2026-07-08|S08|D19</x:v>
      </x:c>
      <x:c r="B870" s="34" t="n">
        <x:v>46211.5</x:v>
      </x:c>
      <x:c r="C870" s="19" t="str">
        <x:v>S08</x:v>
      </x:c>
      <x:c r="D870" s="19" t="str">
        <x:v>四季青店</x:v>
      </x:c>
      <x:c r="E870" s="19" t="str">
        <x:v>D19</x:v>
      </x:c>
      <x:c r="F870" s="19" t="str">
        <x:v>酸萝卜炒鸡杂</x:v>
      </x:c>
      <x:c r="G870" s="19" t="str">
        <x:v>R1.0</x:v>
      </x:c>
      <x:c r="H870" s="20" t="n">
        <x:f>XLOOKUP(A870,'菜品日销量'!$A$5:$A$1124,'菜品日销量'!$G$5:$G$1124,0)</x:f>
        <x:v>5</x:v>
      </x:c>
      <x:c r="I870" s="20" t="n">
        <x:f>ROUNDUP(H870/2,0)</x:f>
        <x:v>3</x:v>
      </x:c>
      <x:c r="J870" s="22" t="n">
        <x:f>SUMIFS('菜谱BOM'!$F$5:$F$160,'菜谱BOM'!$A$5:$A$160,E870,'菜谱BOM'!$C$5:$C$160,"食材")</x:f>
        <x:v>500</x:v>
      </x:c>
      <x:c r="K870" s="38" t="n">
        <x:v>0.0028188421043611224</x:v>
      </x:c>
      <x:c r="L870" s="35" t="n">
        <x:f>H870*J870*(1+K870)</x:f>
        <x:v>2507.0471052609028</x:v>
      </x:c>
      <x:c r="M870" s="35" t="n">
        <x:f>SUMIFS('菜谱BOM'!$F$5:$F$160,'菜谱BOM'!$A$5:$A$160,E870,'菜谱BOM'!$C$5:$C$160,"调料")</x:f>
        <x:v>55</x:v>
      </x:c>
      <x:c r="N870" s="38" t="n">
        <x:v>0.0019510459015031918</x:v>
      </x:c>
      <x:c r="O870" s="35" t="n">
        <x:f>H870*M870*(1+N870)</x:f>
        <x:v>275.5365376229134</x:v>
      </x:c>
      <x:c r="P870" s="19" t="str">
        <x:f>IF(ABS(N870)&gt;'封面与口径'!$O$25,"机器调料需复核",IF(ABS(K870)&gt;0.02,"人工称重需复核","正常"))</x:f>
        <x:v>正常</x:v>
      </x:c>
      <x:c r="Q870" s="19" t="str">
        <x:v>罗文</x:v>
      </x:c>
    </x:row>
    <x:row r="871">
      <x:c r="A871" s="19" t="str">
        <x:v>2026-07-08|S08|D20</x:v>
      </x:c>
      <x:c r="B871" s="34" t="n">
        <x:v>46211.5</x:v>
      </x:c>
      <x:c r="C871" s="19" t="str">
        <x:v>S08</x:v>
      </x:c>
      <x:c r="D871" s="19" t="str">
        <x:v>四季青店</x:v>
      </x:c>
      <x:c r="E871" s="19" t="str">
        <x:v>D20</x:v>
      </x:c>
      <x:c r="F871" s="19" t="str">
        <x:v>雪菜肉末青豆</x:v>
      </x:c>
      <x:c r="G871" s="19" t="str">
        <x:v>R1.0</x:v>
      </x:c>
      <x:c r="H871" s="20" t="n">
        <x:f>XLOOKUP(A871,'菜品日销量'!$A$5:$A$1124,'菜品日销量'!$G$5:$G$1124,0)</x:f>
        <x:v>7</x:v>
      </x:c>
      <x:c r="I871" s="20" t="n">
        <x:f>ROUNDUP(H871/2,0)</x:f>
        <x:v>4</x:v>
      </x:c>
      <x:c r="J871" s="22" t="n">
        <x:f>SUMIFS('菜谱BOM'!$F$5:$F$160,'菜谱BOM'!$A$5:$A$160,E871,'菜谱BOM'!$C$5:$C$160,"食材")</x:f>
        <x:v>465</x:v>
      </x:c>
      <x:c r="K871" s="38" t="n">
        <x:v>-0.007907413091488978</x:v>
      </x:c>
      <x:c r="L871" s="35" t="n">
        <x:f>H871*J871*(1+K871)</x:f>
        <x:v>3229.2613703872034</x:v>
      </x:c>
      <x:c r="M871" s="35" t="n">
        <x:f>SUMIFS('菜谱BOM'!$F$5:$F$160,'菜谱BOM'!$A$5:$A$160,E871,'菜谱BOM'!$C$5:$C$160,"调料")</x:f>
        <x:v>32</x:v>
      </x:c>
      <x:c r="N871" s="38" t="n">
        <x:v>-0.00014832123698394772</x:v>
      </x:c>
      <x:c r="O871" s="35" t="n">
        <x:f>H871*M871*(1+N871)</x:f>
        <x:v>223.9667760429156</x:v>
      </x:c>
      <x:c r="P871" s="19" t="str">
        <x:f>IF(ABS(N871)&gt;'封面与口径'!$O$25,"机器调料需复核",IF(ABS(K871)&gt;0.02,"人工称重需复核","正常"))</x:f>
        <x:v>正常</x:v>
      </x:c>
      <x:c r="Q871" s="19" t="str">
        <x:v>罗文</x:v>
      </x:c>
    </x:row>
    <x:row r="872">
      <x:c r="A872" s="19" t="str">
        <x:v>2026-07-09|S08|D01</x:v>
      </x:c>
      <x:c r="B872" s="34" t="n">
        <x:v>46212.5</x:v>
      </x:c>
      <x:c r="C872" s="19" t="str">
        <x:v>S08</x:v>
      </x:c>
      <x:c r="D872" s="19" t="str">
        <x:v>四季青店</x:v>
      </x:c>
      <x:c r="E872" s="19" t="str">
        <x:v>D01</x:v>
      </x:c>
      <x:c r="F872" s="19" t="str">
        <x:v>辣椒炒肉</x:v>
      </x:c>
      <x:c r="G872" s="19" t="str">
        <x:v>R2.3</x:v>
      </x:c>
      <x:c r="H872" s="20" t="n">
        <x:f>XLOOKUP(A872,'菜品日销量'!$A$5:$A$1124,'菜品日销量'!$G$5:$G$1124,0)</x:f>
        <x:v>42</x:v>
      </x:c>
      <x:c r="I872" s="20" t="n">
        <x:f>ROUNDUP(H872/2,0)</x:f>
        <x:v>21</x:v>
      </x:c>
      <x:c r="J872" s="22" t="n">
        <x:f>SUMIFS('菜谱BOM'!$F$5:$F$160,'菜谱BOM'!$A$5:$A$160,E872,'菜谱BOM'!$C$5:$C$160,"食材")</x:f>
        <x:v>550</x:v>
      </x:c>
      <x:c r="K872" s="38" t="n">
        <x:v>0.002437199963824172</x:v>
      </x:c>
      <x:c r="L872" s="35" t="n">
        <x:f>H872*J872*(1+K872)</x:f>
        <x:v>23156.29931916434</x:v>
      </x:c>
      <x:c r="M872" s="35" t="n">
        <x:f>SUMIFS('菜谱BOM'!$F$5:$F$160,'菜谱BOM'!$A$5:$A$160,E872,'菜谱BOM'!$C$5:$C$160,"调料")</x:f>
        <x:v>104</x:v>
      </x:c>
      <x:c r="N872" s="38" t="n">
        <x:v>-0.0008357021601022458</x:v>
      </x:c>
      <x:c r="O872" s="35" t="n">
        <x:f>H872*M872*(1+N872)</x:f>
        <x:v>4364.349652964674</x:v>
      </x:c>
      <x:c r="P872" s="19" t="str">
        <x:f>IF(ABS(N872)&gt;'封面与口径'!$O$25,"机器调料需复核",IF(ABS(K872)&gt;0.02,"人工称重需复核","正常"))</x:f>
        <x:v>正常</x:v>
      </x:c>
      <x:c r="Q872" s="19" t="str">
        <x:v>罗文</x:v>
      </x:c>
    </x:row>
    <x:row r="873">
      <x:c r="A873" s="19" t="str">
        <x:v>2026-07-09|S08|D02</x:v>
      </x:c>
      <x:c r="B873" s="34" t="n">
        <x:v>46212.5</x:v>
      </x:c>
      <x:c r="C873" s="19" t="str">
        <x:v>S08</x:v>
      </x:c>
      <x:c r="D873" s="19" t="str">
        <x:v>四季青店</x:v>
      </x:c>
      <x:c r="E873" s="19" t="str">
        <x:v>D02</x:v>
      </x:c>
      <x:c r="F873" s="19" t="str">
        <x:v>小炒黄牛肉</x:v>
      </x:c>
      <x:c r="G873" s="19" t="str">
        <x:v>R2.3</x:v>
      </x:c>
      <x:c r="H873" s="20" t="n">
        <x:f>XLOOKUP(A873,'菜品日销量'!$A$5:$A$1124,'菜品日销量'!$G$5:$G$1124,0)</x:f>
        <x:v>29</x:v>
      </x:c>
      <x:c r="I873" s="20" t="n">
        <x:f>ROUNDUP(H873/2,0)</x:f>
        <x:v>15</x:v>
      </x:c>
      <x:c r="J873" s="22" t="n">
        <x:f>SUMIFS('菜谱BOM'!$F$5:$F$160,'菜谱BOM'!$A$5:$A$160,E873,'菜谱BOM'!$C$5:$C$160,"食材")</x:f>
        <x:v>560</x:v>
      </x:c>
      <x:c r="K873" s="38" t="n">
        <x:v>0.00600769529072747</x:v>
      </x:c>
      <x:c r="L873" s="35" t="n">
        <x:f>H873*J873*(1+K873)</x:f>
        <x:v>16337.564971521415</x:v>
      </x:c>
      <x:c r="M873" s="35" t="n">
        <x:f>SUMIFS('菜谱BOM'!$F$5:$F$160,'菜谱BOM'!$A$5:$A$160,E873,'菜谱BOM'!$C$5:$C$160,"调料")</x:f>
        <x:v>133</x:v>
      </x:c>
      <x:c r="N873" s="38" t="n">
        <x:v>-0.0015555957470917133</x:v>
      </x:c>
      <x:c r="O873" s="35" t="n">
        <x:f>H873*M873*(1+N873)</x:f>
        <x:v>3851.000067203467</x:v>
      </x:c>
      <x:c r="P873" s="19" t="str">
        <x:f>IF(ABS(N873)&gt;'封面与口径'!$O$25,"机器调料需复核",IF(ABS(K873)&gt;0.02,"人工称重需复核","正常"))</x:f>
        <x:v>正常</x:v>
      </x:c>
      <x:c r="Q873" s="19" t="str">
        <x:v>罗文</x:v>
      </x:c>
    </x:row>
    <x:row r="874">
      <x:c r="A874" s="19" t="str">
        <x:v>2026-07-09|S08|D03</x:v>
      </x:c>
      <x:c r="B874" s="34" t="n">
        <x:v>46212.5</x:v>
      </x:c>
      <x:c r="C874" s="19" t="str">
        <x:v>S08</x:v>
      </x:c>
      <x:c r="D874" s="19" t="str">
        <x:v>四季青店</x:v>
      </x:c>
      <x:c r="E874" s="19" t="str">
        <x:v>D03</x:v>
      </x:c>
      <x:c r="F874" s="19" t="str">
        <x:v>香醋炒蛋</x:v>
      </x:c>
      <x:c r="G874" s="19" t="str">
        <x:v>R1.0</x:v>
      </x:c>
      <x:c r="H874" s="20" t="n">
        <x:f>XLOOKUP(A874,'菜品日销量'!$A$5:$A$1124,'菜品日销量'!$G$5:$G$1124,0)</x:f>
        <x:v>34</x:v>
      </x:c>
      <x:c r="I874" s="20" t="n">
        <x:f>ROUNDUP(H874/2,0)</x:f>
        <x:v>17</x:v>
      </x:c>
      <x:c r="J874" s="22" t="n">
        <x:f>SUMIFS('菜谱BOM'!$F$5:$F$160,'菜谱BOM'!$A$5:$A$160,E874,'菜谱BOM'!$C$5:$C$160,"食材")</x:f>
        <x:v>300</x:v>
      </x:c>
      <x:c r="K874" s="38" t="n">
        <x:v>0.006320740617420697</x:v>
      </x:c>
      <x:c r="L874" s="35" t="n">
        <x:f>H874*J874*(1+K874)</x:f>
        <x:v>10264.47155429769</x:v>
      </x:c>
      <x:c r="M874" s="35" t="n">
        <x:f>SUMIFS('菜谱BOM'!$F$5:$F$160,'菜谱BOM'!$A$5:$A$160,E874,'菜谱BOM'!$C$5:$C$160,"调料")</x:f>
        <x:v>53</x:v>
      </x:c>
      <x:c r="N874" s="38" t="n">
        <x:v>0.0018646679268834805</x:v>
      </x:c>
      <x:c r="O874" s="35" t="n">
        <x:f>H874*M874*(1+N874)</x:f>
        <x:v>1805.3601316042439</x:v>
      </x:c>
      <x:c r="P874" s="19" t="str">
        <x:f>IF(ABS(N874)&gt;'封面与口径'!$O$25,"机器调料需复核",IF(ABS(K874)&gt;0.02,"人工称重需复核","正常"))</x:f>
        <x:v>正常</x:v>
      </x:c>
      <x:c r="Q874" s="19" t="str">
        <x:v>罗文</x:v>
      </x:c>
    </x:row>
    <x:row r="875">
      <x:c r="A875" s="19" t="str">
        <x:v>2026-07-09|S08|D04</x:v>
      </x:c>
      <x:c r="B875" s="34" t="n">
        <x:v>46212.5</x:v>
      </x:c>
      <x:c r="C875" s="19" t="str">
        <x:v>S08</x:v>
      </x:c>
      <x:c r="D875" s="19" t="str">
        <x:v>四季青店</x:v>
      </x:c>
      <x:c r="E875" s="19" t="str">
        <x:v>D04</x:v>
      </x:c>
      <x:c r="F875" s="19" t="str">
        <x:v>酸包菜炒粉皮</x:v>
      </x:c>
      <x:c r="G875" s="19" t="str">
        <x:v>R1.0</x:v>
      </x:c>
      <x:c r="H875" s="20" t="n">
        <x:f>XLOOKUP(A875,'菜品日销量'!$A$5:$A$1124,'菜品日销量'!$G$5:$G$1124,0)</x:f>
        <x:v>30</x:v>
      </x:c>
      <x:c r="I875" s="20" t="n">
        <x:f>ROUNDUP(H875/2,0)</x:f>
        <x:v>15</x:v>
      </x:c>
      <x:c r="J875" s="22" t="n">
        <x:f>SUMIFS('菜谱BOM'!$F$5:$F$160,'菜谱BOM'!$A$5:$A$160,E875,'菜谱BOM'!$C$5:$C$160,"食材")</x:f>
        <x:v>380</x:v>
      </x:c>
      <x:c r="K875" s="38" t="n">
        <x:v>-0.0016614515543127092</x:v>
      </x:c>
      <x:c r="L875" s="35" t="n">
        <x:f>H875*J875*(1+K875)</x:f>
        <x:v>11381.059452280835</x:v>
      </x:c>
      <x:c r="M875" s="35" t="n">
        <x:f>SUMIFS('菜谱BOM'!$F$5:$F$160,'菜谱BOM'!$A$5:$A$160,E875,'菜谱BOM'!$C$5:$C$160,"调料")</x:f>
        <x:v>47</x:v>
      </x:c>
      <x:c r="N875" s="38" t="n">
        <x:v>0.00011103747741110582</x:v>
      </x:c>
      <x:c r="O875" s="35" t="n">
        <x:f>H875*M875*(1+N875)</x:f>
        <x:v>1410.1565628431497</x:v>
      </x:c>
      <x:c r="P875" s="19" t="str">
        <x:f>IF(ABS(N875)&gt;'封面与口径'!$O$25,"机器调料需复核",IF(ABS(K875)&gt;0.02,"人工称重需复核","正常"))</x:f>
        <x:v>正常</x:v>
      </x:c>
      <x:c r="Q875" s="19" t="str">
        <x:v>罗文</x:v>
      </x:c>
    </x:row>
    <x:row r="876">
      <x:c r="A876" s="19" t="str">
        <x:v>2026-07-09|S08|D05</x:v>
      </x:c>
      <x:c r="B876" s="34" t="n">
        <x:v>46212.5</x:v>
      </x:c>
      <x:c r="C876" s="19" t="str">
        <x:v>S08</x:v>
      </x:c>
      <x:c r="D876" s="19" t="str">
        <x:v>四季青店</x:v>
      </x:c>
      <x:c r="E876" s="19" t="str">
        <x:v>D05</x:v>
      </x:c>
      <x:c r="F876" s="19" t="str">
        <x:v>麻婆豆腐</x:v>
      </x:c>
      <x:c r="G876" s="19" t="str">
        <x:v>R1.0</x:v>
      </x:c>
      <x:c r="H876" s="20" t="n">
        <x:f>XLOOKUP(A876,'菜品日销量'!$A$5:$A$1124,'菜品日销量'!$G$5:$G$1124,0)</x:f>
        <x:v>43</x:v>
      </x:c>
      <x:c r="I876" s="20" t="n">
        <x:f>ROUNDUP(H876/2,0)</x:f>
        <x:v>22</x:v>
      </x:c>
      <x:c r="J876" s="22" t="n">
        <x:f>SUMIFS('菜谱BOM'!$F$5:$F$160,'菜谱BOM'!$A$5:$A$160,E876,'菜谱BOM'!$C$5:$C$160,"食材")</x:f>
        <x:v>505</x:v>
      </x:c>
      <x:c r="K876" s="38" t="n">
        <x:v>0.00001242500357619214</x:v>
      </x:c>
      <x:c r="L876" s="35" t="n">
        <x:f>H876*J876*(1+K876)</x:f>
        <x:v>21715.269808952657</x:v>
      </x:c>
      <x:c r="M876" s="35" t="n">
        <x:f>SUMIFS('菜谱BOM'!$F$5:$F$160,'菜谱BOM'!$A$5:$A$160,E876,'菜谱BOM'!$C$5:$C$160,"调料")</x:f>
        <x:v>90</x:v>
      </x:c>
      <x:c r="N876" s="38" t="n">
        <x:v>0.00048105708753714714</x:v>
      </x:c>
      <x:c r="O876" s="35" t="n">
        <x:f>H876*M876*(1+N876)</x:f>
        <x:v>3871.8616909287684</x:v>
      </x:c>
      <x:c r="P876" s="19" t="str">
        <x:f>IF(ABS(N876)&gt;'封面与口径'!$O$25,"机器调料需复核",IF(ABS(K876)&gt;0.02,"人工称重需复核","正常"))</x:f>
        <x:v>正常</x:v>
      </x:c>
      <x:c r="Q876" s="19" t="str">
        <x:v>罗文</x:v>
      </x:c>
    </x:row>
    <x:row r="877">
      <x:c r="A877" s="19" t="str">
        <x:v>2026-07-09|S08|D07</x:v>
      </x:c>
      <x:c r="B877" s="34" t="n">
        <x:v>46212.5</x:v>
      </x:c>
      <x:c r="C877" s="19" t="str">
        <x:v>S08</x:v>
      </x:c>
      <x:c r="D877" s="19" t="str">
        <x:v>四季青店</x:v>
      </x:c>
      <x:c r="E877" s="19" t="str">
        <x:v>D07</x:v>
      </x:c>
      <x:c r="F877" s="19" t="str">
        <x:v>川味回锅肉</x:v>
      </x:c>
      <x:c r="G877" s="19" t="str">
        <x:v>R1.0</x:v>
      </x:c>
      <x:c r="H877" s="20" t="n">
        <x:f>XLOOKUP(A877,'菜品日销量'!$A$5:$A$1124,'菜品日销量'!$G$5:$G$1124,0)</x:f>
        <x:v>12</x:v>
      </x:c>
      <x:c r="I877" s="20" t="n">
        <x:f>ROUNDUP(H877/2,0)</x:f>
        <x:v>6</x:v>
      </x:c>
      <x:c r="J877" s="22" t="n">
        <x:f>SUMIFS('菜谱BOM'!$F$5:$F$160,'菜谱BOM'!$A$5:$A$160,E877,'菜谱BOM'!$C$5:$C$160,"食材")</x:f>
        <x:v>450</x:v>
      </x:c>
      <x:c r="K877" s="38" t="n">
        <x:v>-0.007825574737001576</x:v>
      </x:c>
      <x:c r="L877" s="35" t="n">
        <x:f>H877*J877*(1+K877)</x:f>
        <x:v>5357.741896420192</x:v>
      </x:c>
      <x:c r="M877" s="35" t="n">
        <x:f>SUMIFS('菜谱BOM'!$F$5:$F$160,'菜谱BOM'!$A$5:$A$160,E877,'菜谱BOM'!$C$5:$C$160,"调料")</x:f>
        <x:v>63</x:v>
      </x:c>
      <x:c r="N877" s="38" t="n">
        <x:v>-0.0010666706038328518</x:v>
      </x:c>
      <x:c r="O877" s="35" t="n">
        <x:f>H877*M877*(1+N877)</x:f>
        <x:v>755.1935970235024</x:v>
      </x:c>
      <x:c r="P877" s="19" t="str">
        <x:f>IF(ABS(N877)&gt;'封面与口径'!$O$25,"机器调料需复核",IF(ABS(K877)&gt;0.02,"人工称重需复核","正常"))</x:f>
        <x:v>正常</x:v>
      </x:c>
      <x:c r="Q877" s="19" t="str">
        <x:v>罗文</x:v>
      </x:c>
    </x:row>
    <x:row r="878">
      <x:c r="A878" s="19" t="str">
        <x:v>2026-07-09|S08|D08</x:v>
      </x:c>
      <x:c r="B878" s="34" t="n">
        <x:v>46212.5</x:v>
      </x:c>
      <x:c r="C878" s="19" t="str">
        <x:v>S08</x:v>
      </x:c>
      <x:c r="D878" s="19" t="str">
        <x:v>四季青店</x:v>
      </x:c>
      <x:c r="E878" s="19" t="str">
        <x:v>D08</x:v>
      </x:c>
      <x:c r="F878" s="19" t="str">
        <x:v>生炒清远鸡</x:v>
      </x:c>
      <x:c r="G878" s="19" t="str">
        <x:v>R1.0</x:v>
      </x:c>
      <x:c r="H878" s="20" t="n">
        <x:f>XLOOKUP(A878,'菜品日销量'!$A$5:$A$1124,'菜品日销量'!$G$5:$G$1124,0)</x:f>
        <x:v>8</x:v>
      </x:c>
      <x:c r="I878" s="20" t="n">
        <x:f>ROUNDUP(H878/2,0)</x:f>
        <x:v>4</x:v>
      </x:c>
      <x:c r="J878" s="22" t="n">
        <x:f>SUMIFS('菜谱BOM'!$F$5:$F$160,'菜谱BOM'!$A$5:$A$160,E878,'菜谱BOM'!$C$5:$C$160,"食材")</x:f>
        <x:v>610</x:v>
      </x:c>
      <x:c r="K878" s="38" t="n">
        <x:v>0.0058263870584374265</x:v>
      </x:c>
      <x:c r="L878" s="35" t="n">
        <x:f>H878*J878*(1+K878)</x:f>
        <x:v>4908.432768845175</x:v>
      </x:c>
      <x:c r="M878" s="35" t="n">
        <x:f>SUMIFS('菜谱BOM'!$F$5:$F$160,'菜谱BOM'!$A$5:$A$160,E878,'菜谱BOM'!$C$5:$C$160,"调料")</x:f>
        <x:v>61</x:v>
      </x:c>
      <x:c r="N878" s="38" t="n">
        <x:v>-0.001163335975996064</x:v>
      </x:c>
      <x:c r="O878" s="35" t="n">
        <x:f>H878*M878*(1+N878)</x:f>
        <x:v>487.4322920437139</x:v>
      </x:c>
      <x:c r="P878" s="19" t="str">
        <x:f>IF(ABS(N878)&gt;'封面与口径'!$O$25,"机器调料需复核",IF(ABS(K878)&gt;0.02,"人工称重需复核","正常"))</x:f>
        <x:v>正常</x:v>
      </x:c>
      <x:c r="Q878" s="19" t="str">
        <x:v>罗文</x:v>
      </x:c>
    </x:row>
    <x:row r="879">
      <x:c r="A879" s="19" t="str">
        <x:v>2026-07-09|S08|D09</x:v>
      </x:c>
      <x:c r="B879" s="34" t="n">
        <x:v>46212.5</x:v>
      </x:c>
      <x:c r="C879" s="19" t="str">
        <x:v>S08</x:v>
      </x:c>
      <x:c r="D879" s="19" t="str">
        <x:v>四季青店</x:v>
      </x:c>
      <x:c r="E879" s="19" t="str">
        <x:v>D09</x:v>
      </x:c>
      <x:c r="F879" s="19" t="str">
        <x:v>炒豆干</x:v>
      </x:c>
      <x:c r="G879" s="19" t="str">
        <x:v>R1.0</x:v>
      </x:c>
      <x:c r="H879" s="20" t="n">
        <x:f>XLOOKUP(A879,'菜品日销量'!$A$5:$A$1124,'菜品日销量'!$G$5:$G$1124,0)</x:f>
        <x:v>14</x:v>
      </x:c>
      <x:c r="I879" s="20" t="n">
        <x:f>ROUNDUP(H879/2,0)</x:f>
        <x:v>7</x:v>
      </x:c>
      <x:c r="J879" s="22" t="n">
        <x:f>SUMIFS('菜谱BOM'!$F$5:$F$160,'菜谱BOM'!$A$5:$A$160,E879,'菜谱BOM'!$C$5:$C$160,"食材")</x:f>
        <x:v>520</x:v>
      </x:c>
      <x:c r="K879" s="38" t="n">
        <x:v>-0.003687569039801035</x:v>
      </x:c>
      <x:c r="L879" s="35" t="n">
        <x:f>H879*J879*(1+K879)</x:f>
        <x:v>7253.154497390248</x:v>
      </x:c>
      <x:c r="M879" s="35" t="n">
        <x:f>SUMIFS('菜谱BOM'!$F$5:$F$160,'菜谱BOM'!$A$5:$A$160,E879,'菜谱BOM'!$C$5:$C$160,"调料")</x:f>
        <x:v>42</x:v>
      </x:c>
      <x:c r="N879" s="38" t="n">
        <x:v>0.001085053129839956</x:v>
      </x:c>
      <x:c r="O879" s="35" t="n">
        <x:f>H879*M879*(1+N879)</x:f>
        <x:v>588.6380112403458</x:v>
      </x:c>
      <x:c r="P879" s="19" t="str">
        <x:f>IF(ABS(N879)&gt;'封面与口径'!$O$25,"机器调料需复核",IF(ABS(K879)&gt;0.02,"人工称重需复核","正常"))</x:f>
        <x:v>正常</x:v>
      </x:c>
      <x:c r="Q879" s="19" t="str">
        <x:v>罗文</x:v>
      </x:c>
    </x:row>
    <x:row r="880">
      <x:c r="A880" s="19" t="str">
        <x:v>2026-07-09|S08|D10</x:v>
      </x:c>
      <x:c r="B880" s="34" t="n">
        <x:v>46212.5</x:v>
      </x:c>
      <x:c r="C880" s="19" t="str">
        <x:v>S08</x:v>
      </x:c>
      <x:c r="D880" s="19" t="str">
        <x:v>四季青店</x:v>
      </x:c>
      <x:c r="E880" s="19" t="str">
        <x:v>D10</x:v>
      </x:c>
      <x:c r="F880" s="19" t="str">
        <x:v>农家一碗香</x:v>
      </x:c>
      <x:c r="G880" s="19" t="str">
        <x:v>R2.3</x:v>
      </x:c>
      <x:c r="H880" s="20" t="n">
        <x:f>XLOOKUP(A880,'菜品日销量'!$A$5:$A$1124,'菜品日销量'!$G$5:$G$1124,0)</x:f>
        <x:v>14</x:v>
      </x:c>
      <x:c r="I880" s="20" t="n">
        <x:f>ROUNDUP(H880/2,0)</x:f>
        <x:v>7</x:v>
      </x:c>
      <x:c r="J880" s="22" t="n">
        <x:f>SUMIFS('菜谱BOM'!$F$5:$F$160,'菜谱BOM'!$A$5:$A$160,E880,'菜谱BOM'!$C$5:$C$160,"食材")</x:f>
        <x:v>510</x:v>
      </x:c>
      <x:c r="K880" s="38" t="n">
        <x:v>0.005836764670404783</x:v>
      </x:c>
      <x:c r="L880" s="35" t="n">
        <x:f>H880*J880*(1+K880)</x:f>
        <x:v>7181.674499746689</x:v>
      </x:c>
      <x:c r="M880" s="35" t="n">
        <x:f>SUMIFS('菜谱BOM'!$F$5:$F$160,'菜谱BOM'!$A$5:$A$160,E880,'菜谱BOM'!$C$5:$C$160,"调料")</x:f>
        <x:v>88</x:v>
      </x:c>
      <x:c r="N880" s="38" t="n">
        <x:v>-0.0016805564276130302</x:v>
      </x:c>
      <x:c r="O880" s="35" t="n">
        <x:f>H880*M880*(1+N880)</x:f>
        <x:v>1229.9295544811807</x:v>
      </x:c>
      <x:c r="P880" s="19" t="str">
        <x:f>IF(ABS(N880)&gt;'封面与口径'!$O$25,"机器调料需复核",IF(ABS(K880)&gt;0.02,"人工称重需复核","正常"))</x:f>
        <x:v>正常</x:v>
      </x:c>
      <x:c r="Q880" s="19" t="str">
        <x:v>罗文</x:v>
      </x:c>
    </x:row>
    <x:row r="881">
      <x:c r="A881" s="19" t="str">
        <x:v>2026-07-09|S08|D11</x:v>
      </x:c>
      <x:c r="B881" s="34" t="n">
        <x:v>46212.5</x:v>
      </x:c>
      <x:c r="C881" s="19" t="str">
        <x:v>S08</x:v>
      </x:c>
      <x:c r="D881" s="19" t="str">
        <x:v>四季青店</x:v>
      </x:c>
      <x:c r="E881" s="19" t="str">
        <x:v>D11</x:v>
      </x:c>
      <x:c r="F881" s="19" t="str">
        <x:v>香辣爆肥肠</x:v>
      </x:c>
      <x:c r="G881" s="19" t="str">
        <x:v>R1.0</x:v>
      </x:c>
      <x:c r="H881" s="20" t="n">
        <x:f>XLOOKUP(A881,'菜品日销量'!$A$5:$A$1124,'菜品日销量'!$G$5:$G$1124,0)</x:f>
        <x:v>5</x:v>
      </x:c>
      <x:c r="I881" s="20" t="n">
        <x:f>ROUNDUP(H881/2,0)</x:f>
        <x:v>3</x:v>
      </x:c>
      <x:c r="J881" s="22" t="n">
        <x:f>SUMIFS('菜谱BOM'!$F$5:$F$160,'菜谱BOM'!$A$5:$A$160,E881,'菜谱BOM'!$C$5:$C$160,"食材")</x:f>
        <x:v>430</x:v>
      </x:c>
      <x:c r="K881" s="38" t="n">
        <x:v>-0.0022786986516506176</x:v>
      </x:c>
      <x:c r="L881" s="35" t="n">
        <x:f>H881*J881*(1+K881)</x:f>
        <x:v>2145.100797898951</x:v>
      </x:c>
      <x:c r="M881" s="35" t="n">
        <x:f>SUMIFS('菜谱BOM'!$F$5:$F$160,'菜谱BOM'!$A$5:$A$160,E881,'菜谱BOM'!$C$5:$C$160,"调料")</x:f>
        <x:v>67</x:v>
      </x:c>
      <x:c r="N881" s="38" t="n">
        <x:v>0.0015093525293072107</x:v>
      </x:c>
      <x:c r="O881" s="35" t="n">
        <x:f>H881*M881*(1+N881)</x:f>
        <x:v>335.50563309731797</x:v>
      </x:c>
      <x:c r="P881" s="19" t="str">
        <x:f>IF(ABS(N881)&gt;'封面与口径'!$O$25,"机器调料需复核",IF(ABS(K881)&gt;0.02,"人工称重需复核","正常"))</x:f>
        <x:v>正常</x:v>
      </x:c>
      <x:c r="Q881" s="19" t="str">
        <x:v>罗文</x:v>
      </x:c>
    </x:row>
    <x:row r="882">
      <x:c r="A882" s="19" t="str">
        <x:v>2026-07-09|S08|D13</x:v>
      </x:c>
      <x:c r="B882" s="34" t="n">
        <x:v>46212.5</x:v>
      </x:c>
      <x:c r="C882" s="19" t="str">
        <x:v>S08</x:v>
      </x:c>
      <x:c r="D882" s="19" t="str">
        <x:v>四季青店</x:v>
      </x:c>
      <x:c r="E882" s="19" t="str">
        <x:v>D13</x:v>
      </x:c>
      <x:c r="F882" s="19" t="str">
        <x:v>外婆菜炒蛋</x:v>
      </x:c>
      <x:c r="G882" s="19" t="str">
        <x:v>R1.0</x:v>
      </x:c>
      <x:c r="H882" s="20" t="n">
        <x:f>XLOOKUP(A882,'菜品日销量'!$A$5:$A$1124,'菜品日销量'!$G$5:$G$1124,0)</x:f>
        <x:v>13</x:v>
      </x:c>
      <x:c r="I882" s="20" t="n">
        <x:f>ROUNDUP(H882/2,0)</x:f>
        <x:v>7</x:v>
      </x:c>
      <x:c r="J882" s="22" t="n">
        <x:f>SUMIFS('菜谱BOM'!$F$5:$F$160,'菜谱BOM'!$A$5:$A$160,E882,'菜谱BOM'!$C$5:$C$160,"食材")</x:f>
        <x:v>450</x:v>
      </x:c>
      <x:c r="K882" s="38" t="n">
        <x:v>0.001476114968181614</x:v>
      </x:c>
      <x:c r="L882" s="35" t="n">
        <x:f>H882*J882*(1+K882)</x:f>
        <x:v>5858.635272563863</x:v>
      </x:c>
      <x:c r="M882" s="35" t="n">
        <x:f>SUMIFS('菜谱BOM'!$F$5:$F$160,'菜谱BOM'!$A$5:$A$160,E882,'菜谱BOM'!$C$5:$C$160,"调料")</x:f>
        <x:v>37</x:v>
      </x:c>
      <x:c r="N882" s="38" t="n">
        <x:v>-0.0006034485443037582</x:v>
      </x:c>
      <x:c r="O882" s="35" t="n">
        <x:f>H882*M882*(1+N882)</x:f>
        <x:v>480.7097412501899</x:v>
      </x:c>
      <x:c r="P882" s="19" t="str">
        <x:f>IF(ABS(N882)&gt;'封面与口径'!$O$25,"机器调料需复核",IF(ABS(K882)&gt;0.02,"人工称重需复核","正常"))</x:f>
        <x:v>正常</x:v>
      </x:c>
      <x:c r="Q882" s="19" t="str">
        <x:v>罗文</x:v>
      </x:c>
    </x:row>
    <x:row r="883">
      <x:c r="A883" s="19" t="str">
        <x:v>2026-07-09|S08|D14</x:v>
      </x:c>
      <x:c r="B883" s="34" t="n">
        <x:v>46212.5</x:v>
      </x:c>
      <x:c r="C883" s="19" t="str">
        <x:v>S08</x:v>
      </x:c>
      <x:c r="D883" s="19" t="str">
        <x:v>四季青店</x:v>
      </x:c>
      <x:c r="E883" s="19" t="str">
        <x:v>D14</x:v>
      </x:c>
      <x:c r="F883" s="19" t="str">
        <x:v>酸辣鸡杂</x:v>
      </x:c>
      <x:c r="G883" s="19" t="str">
        <x:v>R1.0</x:v>
      </x:c>
      <x:c r="H883" s="20" t="n">
        <x:f>XLOOKUP(A883,'菜品日销量'!$A$5:$A$1124,'菜品日销量'!$G$5:$G$1124,0)</x:f>
        <x:v>6</x:v>
      </x:c>
      <x:c r="I883" s="20" t="n">
        <x:f>ROUNDUP(H883/2,0)</x:f>
        <x:v>3</x:v>
      </x:c>
      <x:c r="J883" s="22" t="n">
        <x:f>SUMIFS('菜谱BOM'!$F$5:$F$160,'菜谱BOM'!$A$5:$A$160,E883,'菜谱BOM'!$C$5:$C$160,"食材")</x:f>
        <x:v>470</x:v>
      </x:c>
      <x:c r="K883" s="38" t="n">
        <x:v>0.0030133059832764104</x:v>
      </x:c>
      <x:c r="L883" s="35" t="n">
        <x:f>H883*J883*(1+K883)</x:f>
        <x:v>2828.4975228728395</x:v>
      </x:c>
      <x:c r="M883" s="35" t="n">
        <x:f>SUMIFS('菜谱BOM'!$F$5:$F$160,'菜谱BOM'!$A$5:$A$160,E883,'菜谱BOM'!$C$5:$C$160,"调料")</x:f>
        <x:v>60</x:v>
      </x:c>
      <x:c r="N883" s="38" t="n">
        <x:v>0.0007743500552080453</x:v>
      </x:c>
      <x:c r="O883" s="35" t="n">
        <x:f>H883*M883*(1+N883)</x:f>
        <x:v>360.27876601987487</x:v>
      </x:c>
      <x:c r="P883" s="19" t="str">
        <x:f>IF(ABS(N883)&gt;'封面与口径'!$O$25,"机器调料需复核",IF(ABS(K883)&gt;0.02,"人工称重需复核","正常"))</x:f>
        <x:v>正常</x:v>
      </x:c>
      <x:c r="Q883" s="19" t="str">
        <x:v>罗文</x:v>
      </x:c>
    </x:row>
    <x:row r="884">
      <x:c r="A884" s="19" t="str">
        <x:v>2026-07-09|S08|D15</x:v>
      </x:c>
      <x:c r="B884" s="34" t="n">
        <x:v>46212.5</x:v>
      </x:c>
      <x:c r="C884" s="19" t="str">
        <x:v>S08</x:v>
      </x:c>
      <x:c r="D884" s="19" t="str">
        <x:v>四季青店</x:v>
      </x:c>
      <x:c r="E884" s="19" t="str">
        <x:v>D15</x:v>
      </x:c>
      <x:c r="F884" s="19" t="str">
        <x:v>湘西土匪猪肝</x:v>
      </x:c>
      <x:c r="G884" s="19" t="str">
        <x:v>R1.0</x:v>
      </x:c>
      <x:c r="H884" s="20" t="n">
        <x:f>XLOOKUP(A884,'菜品日销量'!$A$5:$A$1124,'菜品日销量'!$G$5:$G$1124,0)</x:f>
        <x:v>5</x:v>
      </x:c>
      <x:c r="I884" s="20" t="n">
        <x:f>ROUNDUP(H884/2,0)</x:f>
        <x:v>3</x:v>
      </x:c>
      <x:c r="J884" s="22" t="n">
        <x:f>SUMIFS('菜谱BOM'!$F$5:$F$160,'菜谱BOM'!$A$5:$A$160,E884,'菜谱BOM'!$C$5:$C$160,"食材")</x:f>
        <x:v>470</x:v>
      </x:c>
      <x:c r="K884" s="38" t="n">
        <x:v>0.0004296299387769835</x:v>
      </x:c>
      <x:c r="L884" s="35" t="n">
        <x:f>H884*J884*(1+K884)</x:f>
        <x:v>2351.009630356126</x:v>
      </x:c>
      <x:c r="M884" s="35" t="n">
        <x:f>SUMIFS('菜谱BOM'!$F$5:$F$160,'菜谱BOM'!$A$5:$A$160,E884,'菜谱BOM'!$C$5:$C$160,"调料")</x:f>
        <x:v>49</x:v>
      </x:c>
      <x:c r="N884" s="38" t="n">
        <x:v>-0.0003274242752994001</x:v>
      </x:c>
      <x:c r="O884" s="35" t="n">
        <x:f>H884*M884*(1+N884)</x:f>
        <x:v>244.91978105255166</x:v>
      </x:c>
      <x:c r="P884" s="19" t="str">
        <x:f>IF(ABS(N884)&gt;'封面与口径'!$O$25,"机器调料需复核",IF(ABS(K884)&gt;0.02,"人工称重需复核","正常"))</x:f>
        <x:v>正常</x:v>
      </x:c>
      <x:c r="Q884" s="19" t="str">
        <x:v>罗文</x:v>
      </x:c>
    </x:row>
    <x:row r="885">
      <x:c r="A885" s="19" t="str">
        <x:v>2026-07-09|S08|D16</x:v>
      </x:c>
      <x:c r="B885" s="34" t="n">
        <x:v>46212.5</x:v>
      </x:c>
      <x:c r="C885" s="19" t="str">
        <x:v>S08</x:v>
      </x:c>
      <x:c r="D885" s="19" t="str">
        <x:v>四季青店</x:v>
      </x:c>
      <x:c r="E885" s="19" t="str">
        <x:v>D16</x:v>
      </x:c>
      <x:c r="F885" s="19" t="str">
        <x:v>小豆角炒五花</x:v>
      </x:c>
      <x:c r="G885" s="19" t="str">
        <x:v>R1.0</x:v>
      </x:c>
      <x:c r="H885" s="20" t="n">
        <x:f>XLOOKUP(A885,'菜品日销量'!$A$5:$A$1124,'菜品日销量'!$G$5:$G$1124,0)</x:f>
        <x:v>6</x:v>
      </x:c>
      <x:c r="I885" s="20" t="n">
        <x:f>ROUNDUP(H885/2,0)</x:f>
        <x:v>3</x:v>
      </x:c>
      <x:c r="J885" s="22" t="n">
        <x:f>SUMIFS('菜谱BOM'!$F$5:$F$160,'菜谱BOM'!$A$5:$A$160,E885,'菜谱BOM'!$C$5:$C$160,"食材")</x:f>
        <x:v>450</x:v>
      </x:c>
      <x:c r="K885" s="38" t="n">
        <x:v>0.0068515939709850576</x:v>
      </x:c>
      <x:c r="L885" s="35" t="n">
        <x:f>H885*J885*(1+K885)</x:f>
        <x:v>2718.4993037216595</x:v>
      </x:c>
      <x:c r="M885" s="35" t="n">
        <x:f>SUMIFS('菜谱BOM'!$F$5:$F$160,'菜谱BOM'!$A$5:$A$160,E885,'菜谱BOM'!$C$5:$C$160,"调料")</x:f>
        <x:v>42</x:v>
      </x:c>
      <x:c r="N885" s="38" t="n">
        <x:v>-0.001677922254353278</x:v>
      </x:c>
      <x:c r="O885" s="35" t="n">
        <x:f>H885*M885*(1+N885)</x:f>
        <x:v>251.57716359190297</x:v>
      </x:c>
      <x:c r="P885" s="19" t="str">
        <x:f>IF(ABS(N885)&gt;'封面与口径'!$O$25,"机器调料需复核",IF(ABS(K885)&gt;0.02,"人工称重需复核","正常"))</x:f>
        <x:v>正常</x:v>
      </x:c>
      <x:c r="Q885" s="19" t="str">
        <x:v>罗文</x:v>
      </x:c>
    </x:row>
    <x:row r="886">
      <x:c r="A886" s="19" t="str">
        <x:v>2026-07-09|S08|D18</x:v>
      </x:c>
      <x:c r="B886" s="34" t="n">
        <x:v>46212.5</x:v>
      </x:c>
      <x:c r="C886" s="19" t="str">
        <x:v>S08</x:v>
      </x:c>
      <x:c r="D886" s="19" t="str">
        <x:v>四季青店</x:v>
      </x:c>
      <x:c r="E886" s="19" t="str">
        <x:v>D18</x:v>
      </x:c>
      <x:c r="F886" s="19" t="str">
        <x:v>青椒炒油麦菜</x:v>
      </x:c>
      <x:c r="G886" s="19" t="str">
        <x:v>R1.0</x:v>
      </x:c>
      <x:c r="H886" s="20" t="n">
        <x:f>XLOOKUP(A886,'菜品日销量'!$A$5:$A$1124,'菜品日销量'!$G$5:$G$1124,0)</x:f>
        <x:v>7</x:v>
      </x:c>
      <x:c r="I886" s="20" t="n">
        <x:f>ROUNDUP(H886/2,0)</x:f>
        <x:v>4</x:v>
      </x:c>
      <x:c r="J886" s="22" t="n">
        <x:f>SUMIFS('菜谱BOM'!$F$5:$F$160,'菜谱BOM'!$A$5:$A$160,E886,'菜谱BOM'!$C$5:$C$160,"食材")</x:f>
        <x:v>430</x:v>
      </x:c>
      <x:c r="K886" s="38" t="n">
        <x:v>-0.0032517468284936034</x:v>
      </x:c>
      <x:c r="L886" s="35" t="n">
        <x:f>H886*J886*(1+K886)</x:f>
        <x:v>3000.212242046234</x:v>
      </x:c>
      <x:c r="M886" s="35" t="n">
        <x:f>SUMIFS('菜谱BOM'!$F$5:$F$160,'菜谱BOM'!$A$5:$A$160,E886,'菜谱BOM'!$C$5:$C$160,"调料")</x:f>
        <x:v>33</x:v>
      </x:c>
      <x:c r="N886" s="38" t="n">
        <x:v>0.0015139927685991843</x:v>
      </x:c>
      <x:c r="O886" s="35" t="n">
        <x:f>H886*M886*(1+N886)</x:f>
        <x:v>231.3497323295464</x:v>
      </x:c>
      <x:c r="P886" s="19" t="str">
        <x:f>IF(ABS(N886)&gt;'封面与口径'!$O$25,"机器调料需复核",IF(ABS(K886)&gt;0.02,"人工称重需复核","正常"))</x:f>
        <x:v>正常</x:v>
      </x:c>
      <x:c r="Q886" s="19" t="str">
        <x:v>罗文</x:v>
      </x:c>
    </x:row>
    <x:row r="887">
      <x:c r="A887" s="19" t="str">
        <x:v>2026-07-09|S08|D19</x:v>
      </x:c>
      <x:c r="B887" s="34" t="n">
        <x:v>46212.5</x:v>
      </x:c>
      <x:c r="C887" s="19" t="str">
        <x:v>S08</x:v>
      </x:c>
      <x:c r="D887" s="19" t="str">
        <x:v>四季青店</x:v>
      </x:c>
      <x:c r="E887" s="19" t="str">
        <x:v>D19</x:v>
      </x:c>
      <x:c r="F887" s="19" t="str">
        <x:v>酸萝卜炒鸡杂</x:v>
      </x:c>
      <x:c r="G887" s="19" t="str">
        <x:v>R1.0</x:v>
      </x:c>
      <x:c r="H887" s="20" t="n">
        <x:f>XLOOKUP(A887,'菜品日销量'!$A$5:$A$1124,'菜品日销量'!$G$5:$G$1124,0)</x:f>
        <x:v>5</x:v>
      </x:c>
      <x:c r="I887" s="20" t="n">
        <x:f>ROUNDUP(H887/2,0)</x:f>
        <x:v>3</x:v>
      </x:c>
      <x:c r="J887" s="22" t="n">
        <x:f>SUMIFS('菜谱BOM'!$F$5:$F$160,'菜谱BOM'!$A$5:$A$160,E887,'菜谱BOM'!$C$5:$C$160,"食材")</x:f>
        <x:v>500</x:v>
      </x:c>
      <x:c r="K887" s="38" t="n">
        <x:v>-0.000021548030902992287</x:v>
      </x:c>
      <x:c r="L887" s="35" t="n">
        <x:f>H887*J887*(1+K887)</x:f>
        <x:v>2499.9461299227423</x:v>
      </x:c>
      <x:c r="M887" s="35" t="n">
        <x:f>SUMIFS('菜谱BOM'!$F$5:$F$160,'菜谱BOM'!$A$5:$A$160,E887,'菜谱BOM'!$C$5:$C$160,"调料")</x:f>
        <x:v>55</x:v>
      </x:c>
      <x:c r="N887" s="38" t="n">
        <x:v>0.001895166920473605</x:v>
      </x:c>
      <x:c r="O887" s="35" t="n">
        <x:f>H887*M887*(1+N887)</x:f>
        <x:v>275.52117090313027</x:v>
      </x:c>
      <x:c r="P887" s="19" t="str">
        <x:f>IF(ABS(N887)&gt;'封面与口径'!$O$25,"机器调料需复核",IF(ABS(K887)&gt;0.02,"人工称重需复核","正常"))</x:f>
        <x:v>正常</x:v>
      </x:c>
      <x:c r="Q887" s="19" t="str">
        <x:v>罗文</x:v>
      </x:c>
    </x:row>
    <x:row r="888">
      <x:c r="A888" s="19" t="str">
        <x:v>2026-07-09|S08|D20</x:v>
      </x:c>
      <x:c r="B888" s="34" t="n">
        <x:v>46212.5</x:v>
      </x:c>
      <x:c r="C888" s="19" t="str">
        <x:v>S08</x:v>
      </x:c>
      <x:c r="D888" s="19" t="str">
        <x:v>四季青店</x:v>
      </x:c>
      <x:c r="E888" s="19" t="str">
        <x:v>D20</x:v>
      </x:c>
      <x:c r="F888" s="19" t="str">
        <x:v>雪菜肉末青豆</x:v>
      </x:c>
      <x:c r="G888" s="19" t="str">
        <x:v>R1.0</x:v>
      </x:c>
      <x:c r="H888" s="20" t="n">
        <x:f>XLOOKUP(A888,'菜品日销量'!$A$5:$A$1124,'菜品日销量'!$G$5:$G$1124,0)</x:f>
        <x:v>7</x:v>
      </x:c>
      <x:c r="I888" s="20" t="n">
        <x:f>ROUNDUP(H888/2,0)</x:f>
        <x:v>4</x:v>
      </x:c>
      <x:c r="J888" s="22" t="n">
        <x:f>SUMIFS('菜谱BOM'!$F$5:$F$160,'菜谱BOM'!$A$5:$A$160,E888,'菜谱BOM'!$C$5:$C$160,"食材")</x:f>
        <x:v>465</x:v>
      </x:c>
      <x:c r="K888" s="38" t="n">
        <x:v>0.0053060503782020076</x:v>
      </x:c>
      <x:c r="L888" s="35" t="n">
        <x:f>H888*J888*(1+K888)</x:f>
        <x:v>3272.271193981048</x:v>
      </x:c>
      <x:c r="M888" s="35" t="n">
        <x:f>SUMIFS('菜谱BOM'!$F$5:$F$160,'菜谱BOM'!$A$5:$A$160,E888,'菜谱BOM'!$C$5:$C$160,"调料")</x:f>
        <x:v>32</x:v>
      </x:c>
      <x:c r="N888" s="38" t="n">
        <x:v>-0.001267979475499126</x:v>
      </x:c>
      <x:c r="O888" s="35" t="n">
        <x:f>H888*M888*(1+N888)</x:f>
        <x:v>223.7159725974882</x:v>
      </x:c>
      <x:c r="P888" s="19" t="str">
        <x:f>IF(ABS(N888)&gt;'封面与口径'!$O$25,"机器调料需复核",IF(ABS(K888)&gt;0.02,"人工称重需复核","正常"))</x:f>
        <x:v>正常</x:v>
      </x:c>
      <x:c r="Q888" s="19" t="str">
        <x:v>罗文</x:v>
      </x:c>
    </x:row>
    <x:row r="889">
      <x:c r="A889" s="19" t="str">
        <x:v>2026-07-10|S08|D01</x:v>
      </x:c>
      <x:c r="B889" s="34" t="n">
        <x:v>46213.5</x:v>
      </x:c>
      <x:c r="C889" s="19" t="str">
        <x:v>S08</x:v>
      </x:c>
      <x:c r="D889" s="19" t="str">
        <x:v>四季青店</x:v>
      </x:c>
      <x:c r="E889" s="19" t="str">
        <x:v>D01</x:v>
      </x:c>
      <x:c r="F889" s="19" t="str">
        <x:v>辣椒炒肉</x:v>
      </x:c>
      <x:c r="G889" s="19" t="str">
        <x:v>R2.3</x:v>
      </x:c>
      <x:c r="H889" s="20" t="n">
        <x:f>XLOOKUP(A889,'菜品日销量'!$A$5:$A$1124,'菜品日销量'!$G$5:$G$1124,0)</x:f>
        <x:v>42</x:v>
      </x:c>
      <x:c r="I889" s="20" t="n">
        <x:f>ROUNDUP(H889/2,0)</x:f>
        <x:v>21</x:v>
      </x:c>
      <x:c r="J889" s="22" t="n">
        <x:f>SUMIFS('菜谱BOM'!$F$5:$F$160,'菜谱BOM'!$A$5:$A$160,E889,'菜谱BOM'!$C$5:$C$160,"食材")</x:f>
        <x:v>550</x:v>
      </x:c>
      <x:c r="K889" s="38" t="n">
        <x:v>-0.0035676788789144906</x:v>
      </x:c>
      <x:c r="L889" s="35" t="n">
        <x:f>H889*J889*(1+K889)</x:f>
        <x:v>23017.586617897075</x:v>
      </x:c>
      <x:c r="M889" s="35" t="n">
        <x:f>SUMIFS('菜谱BOM'!$F$5:$F$160,'菜谱BOM'!$A$5:$A$160,E889,'菜谱BOM'!$C$5:$C$160,"调料")</x:f>
        <x:v>104</x:v>
      </x:c>
      <x:c r="N889" s="38" t="n">
        <x:v>-0.0007051553723181495</x:v>
      </x:c>
      <x:c r="O889" s="35" t="n">
        <x:f>H889*M889*(1+N889)</x:f>
        <x:v>4364.919881333714</x:v>
      </x:c>
      <x:c r="P889" s="19" t="str">
        <x:f>IF(ABS(N889)&gt;'封面与口径'!$O$25,"机器调料需复核",IF(ABS(K889)&gt;0.02,"人工称重需复核","正常"))</x:f>
        <x:v>正常</x:v>
      </x:c>
      <x:c r="Q889" s="19" t="str">
        <x:v>罗文</x:v>
      </x:c>
    </x:row>
    <x:row r="890">
      <x:c r="A890" s="19" t="str">
        <x:v>2026-07-10|S08|D02</x:v>
      </x:c>
      <x:c r="B890" s="34" t="n">
        <x:v>46213.5</x:v>
      </x:c>
      <x:c r="C890" s="19" t="str">
        <x:v>S08</x:v>
      </x:c>
      <x:c r="D890" s="19" t="str">
        <x:v>四季青店</x:v>
      </x:c>
      <x:c r="E890" s="19" t="str">
        <x:v>D02</x:v>
      </x:c>
      <x:c r="F890" s="19" t="str">
        <x:v>小炒黄牛肉</x:v>
      </x:c>
      <x:c r="G890" s="19" t="str">
        <x:v>R2.3</x:v>
      </x:c>
      <x:c r="H890" s="20" t="n">
        <x:f>XLOOKUP(A890,'菜品日销量'!$A$5:$A$1124,'菜品日销量'!$G$5:$G$1124,0)</x:f>
        <x:v>28</x:v>
      </x:c>
      <x:c r="I890" s="20" t="n">
        <x:f>ROUNDUP(H890/2,0)</x:f>
        <x:v>14</x:v>
      </x:c>
      <x:c r="J890" s="22" t="n">
        <x:f>SUMIFS('菜谱BOM'!$F$5:$F$160,'菜谱BOM'!$A$5:$A$160,E890,'菜谱BOM'!$C$5:$C$160,"食材")</x:f>
        <x:v>560</x:v>
      </x:c>
      <x:c r="K890" s="38" t="n">
        <x:v>0.001366116697286749</x:v>
      </x:c>
      <x:c r="L890" s="35" t="n">
        <x:f>H890*J890*(1+K890)</x:f>
        <x:v>15701.420709813456</x:v>
      </x:c>
      <x:c r="M890" s="35" t="n">
        <x:f>SUMIFS('菜谱BOM'!$F$5:$F$160,'菜谱BOM'!$A$5:$A$160,E890,'菜谱BOM'!$C$5:$C$160,"调料")</x:f>
        <x:v>133</x:v>
      </x:c>
      <x:c r="N890" s="38" t="n">
        <x:v>-0.00026370257936969923</x:v>
      </x:c>
      <x:c r="O890" s="35" t="n">
        <x:f>H890*M890*(1+N890)</x:f>
        <x:v>3723.0179715944273</x:v>
      </x:c>
      <x:c r="P890" s="19" t="str">
        <x:f>IF(ABS(N890)&gt;'封面与口径'!$O$25,"机器调料需复核",IF(ABS(K890)&gt;0.02,"人工称重需复核","正常"))</x:f>
        <x:v>正常</x:v>
      </x:c>
      <x:c r="Q890" s="19" t="str">
        <x:v>罗文</x:v>
      </x:c>
    </x:row>
    <x:row r="891">
      <x:c r="A891" s="19" t="str">
        <x:v>2026-07-10|S08|D03</x:v>
      </x:c>
      <x:c r="B891" s="34" t="n">
        <x:v>46213.5</x:v>
      </x:c>
      <x:c r="C891" s="19" t="str">
        <x:v>S08</x:v>
      </x:c>
      <x:c r="D891" s="19" t="str">
        <x:v>四季青店</x:v>
      </x:c>
      <x:c r="E891" s="19" t="str">
        <x:v>D03</x:v>
      </x:c>
      <x:c r="F891" s="19" t="str">
        <x:v>香醋炒蛋</x:v>
      </x:c>
      <x:c r="G891" s="19" t="str">
        <x:v>R1.0</x:v>
      </x:c>
      <x:c r="H891" s="20" t="n">
        <x:f>XLOOKUP(A891,'菜品日销量'!$A$5:$A$1124,'菜品日销量'!$G$5:$G$1124,0)</x:f>
        <x:v>34</x:v>
      </x:c>
      <x:c r="I891" s="20" t="n">
        <x:f>ROUNDUP(H891/2,0)</x:f>
        <x:v>17</x:v>
      </x:c>
      <x:c r="J891" s="22" t="n">
        <x:f>SUMIFS('菜谱BOM'!$F$5:$F$160,'菜谱BOM'!$A$5:$A$160,E891,'菜谱BOM'!$C$5:$C$160,"食材")</x:f>
        <x:v>300</x:v>
      </x:c>
      <x:c r="K891" s="38" t="n">
        <x:v>-0.0027102935637138533</x:v>
      </x:c>
      <x:c r="L891" s="35" t="n">
        <x:f>H891*J891*(1+K891)</x:f>
        <x:v>10172.355005650119</x:v>
      </x:c>
      <x:c r="M891" s="35" t="n">
        <x:f>SUMIFS('菜谱BOM'!$F$5:$F$160,'菜谱BOM'!$A$5:$A$160,E891,'菜谱BOM'!$C$5:$C$160,"调料")</x:f>
        <x:v>53</x:v>
      </x:c>
      <x:c r="N891" s="38" t="n">
        <x:v>0.0008425723190518499</x:v>
      </x:c>
      <x:c r="O891" s="35" t="n">
        <x:f>H891*M891*(1+N891)</x:f>
        <x:v>1803.5183153189316</x:v>
      </x:c>
      <x:c r="P891" s="19" t="str">
        <x:f>IF(ABS(N891)&gt;'封面与口径'!$O$25,"机器调料需复核",IF(ABS(K891)&gt;0.02,"人工称重需复核","正常"))</x:f>
        <x:v>正常</x:v>
      </x:c>
      <x:c r="Q891" s="19" t="str">
        <x:v>罗文</x:v>
      </x:c>
    </x:row>
    <x:row r="892">
      <x:c r="A892" s="19" t="str">
        <x:v>2026-07-10|S08|D04</x:v>
      </x:c>
      <x:c r="B892" s="34" t="n">
        <x:v>46213.5</x:v>
      </x:c>
      <x:c r="C892" s="19" t="str">
        <x:v>S08</x:v>
      </x:c>
      <x:c r="D892" s="19" t="str">
        <x:v>四季青店</x:v>
      </x:c>
      <x:c r="E892" s="19" t="str">
        <x:v>D04</x:v>
      </x:c>
      <x:c r="F892" s="19" t="str">
        <x:v>酸包菜炒粉皮</x:v>
      </x:c>
      <x:c r="G892" s="19" t="str">
        <x:v>R1.0</x:v>
      </x:c>
      <x:c r="H892" s="20" t="n">
        <x:f>XLOOKUP(A892,'菜品日销量'!$A$5:$A$1124,'菜品日销量'!$G$5:$G$1124,0)</x:f>
        <x:v>32</x:v>
      </x:c>
      <x:c r="I892" s="20" t="n">
        <x:f>ROUNDUP(H892/2,0)</x:f>
        <x:v>16</x:v>
      </x:c>
      <x:c r="J892" s="22" t="n">
        <x:f>SUMIFS('菜谱BOM'!$F$5:$F$160,'菜谱BOM'!$A$5:$A$160,E892,'菜谱BOM'!$C$5:$C$160,"食材")</x:f>
        <x:v>380</x:v>
      </x:c>
      <x:c r="K892" s="38" t="n">
        <x:v>-0.006470670580507878</x:v>
      </x:c>
      <x:c r="L892" s="35" t="n">
        <x:f>H892*J892*(1+K892)</x:f>
        <x:v>12081.316645741024</x:v>
      </x:c>
      <x:c r="M892" s="35" t="n">
        <x:f>SUMIFS('菜谱BOM'!$F$5:$F$160,'菜谱BOM'!$A$5:$A$160,E892,'菜谱BOM'!$C$5:$C$160,"调料")</x:f>
        <x:v>47</x:v>
      </x:c>
      <x:c r="N892" s="38" t="n">
        <x:v>0.0019209683108890824</x:v>
      </x:c>
      <x:c r="O892" s="35" t="n">
        <x:f>H892*M892*(1+N892)</x:f>
        <x:v>1506.8891363395774</x:v>
      </x:c>
      <x:c r="P892" s="19" t="str">
        <x:f>IF(ABS(N892)&gt;'封面与口径'!$O$25,"机器调料需复核",IF(ABS(K892)&gt;0.02,"人工称重需复核","正常"))</x:f>
        <x:v>正常</x:v>
      </x:c>
      <x:c r="Q892" s="19" t="str">
        <x:v>罗文</x:v>
      </x:c>
    </x:row>
    <x:row r="893">
      <x:c r="A893" s="19" t="str">
        <x:v>2026-07-10|S08|D05</x:v>
      </x:c>
      <x:c r="B893" s="34" t="n">
        <x:v>46213.5</x:v>
      </x:c>
      <x:c r="C893" s="19" t="str">
        <x:v>S08</x:v>
      </x:c>
      <x:c r="D893" s="19" t="str">
        <x:v>四季青店</x:v>
      </x:c>
      <x:c r="E893" s="19" t="str">
        <x:v>D05</x:v>
      </x:c>
      <x:c r="F893" s="19" t="str">
        <x:v>麻婆豆腐</x:v>
      </x:c>
      <x:c r="G893" s="19" t="str">
        <x:v>R1.0</x:v>
      </x:c>
      <x:c r="H893" s="20" t="n">
        <x:f>XLOOKUP(A893,'菜品日销量'!$A$5:$A$1124,'菜品日销量'!$G$5:$G$1124,0)</x:f>
        <x:v>46</x:v>
      </x:c>
      <x:c r="I893" s="20" t="n">
        <x:f>ROUNDUP(H893/2,0)</x:f>
        <x:v>23</x:v>
      </x:c>
      <x:c r="J893" s="22" t="n">
        <x:f>SUMIFS('菜谱BOM'!$F$5:$F$160,'菜谱BOM'!$A$5:$A$160,E893,'菜谱BOM'!$C$5:$C$160,"食材")</x:f>
        <x:v>505</x:v>
      </x:c>
      <x:c r="K893" s="38" t="n">
        <x:v>-0.007093226250049944</x:v>
      </x:c>
      <x:c r="L893" s="35" t="n">
        <x:f>H893*J893*(1+K893)</x:f>
        <x:v>23065.22435421134</x:v>
      </x:c>
      <x:c r="M893" s="35" t="n">
        <x:f>SUMIFS('菜谱BOM'!$F$5:$F$160,'菜谱BOM'!$A$5:$A$160,E893,'菜谱BOM'!$C$5:$C$160,"调料")</x:f>
        <x:v>90</x:v>
      </x:c>
      <x:c r="N893" s="38" t="n">
        <x:v>-0.0017689526564834994</x:v>
      </x:c>
      <x:c r="O893" s="35" t="n">
        <x:f>H893*M893*(1+N893)</x:f>
        <x:v>4132.676536002158</x:v>
      </x:c>
      <x:c r="P893" s="19" t="str">
        <x:f>IF(ABS(N893)&gt;'封面与口径'!$O$25,"机器调料需复核",IF(ABS(K893)&gt;0.02,"人工称重需复核","正常"))</x:f>
        <x:v>正常</x:v>
      </x:c>
      <x:c r="Q893" s="19" t="str">
        <x:v>罗文</x:v>
      </x:c>
    </x:row>
    <x:row r="894">
      <x:c r="A894" s="19" t="str">
        <x:v>2026-07-10|S08|D07</x:v>
      </x:c>
      <x:c r="B894" s="34" t="n">
        <x:v>46213.5</x:v>
      </x:c>
      <x:c r="C894" s="19" t="str">
        <x:v>S08</x:v>
      </x:c>
      <x:c r="D894" s="19" t="str">
        <x:v>四季青店</x:v>
      </x:c>
      <x:c r="E894" s="19" t="str">
        <x:v>D07</x:v>
      </x:c>
      <x:c r="F894" s="19" t="str">
        <x:v>川味回锅肉</x:v>
      </x:c>
      <x:c r="G894" s="19" t="str">
        <x:v>R1.0</x:v>
      </x:c>
      <x:c r="H894" s="20" t="n">
        <x:f>XLOOKUP(A894,'菜品日销量'!$A$5:$A$1124,'菜品日销量'!$G$5:$G$1124,0)</x:f>
        <x:v>14</x:v>
      </x:c>
      <x:c r="I894" s="20" t="n">
        <x:f>ROUNDUP(H894/2,0)</x:f>
        <x:v>7</x:v>
      </x:c>
      <x:c r="J894" s="22" t="n">
        <x:f>SUMIFS('菜谱BOM'!$F$5:$F$160,'菜谱BOM'!$A$5:$A$160,E894,'菜谱BOM'!$C$5:$C$160,"食材")</x:f>
        <x:v>450</x:v>
      </x:c>
      <x:c r="K894" s="38" t="n">
        <x:v>0.006345004245253513</x:v>
      </x:c>
      <x:c r="L894" s="35" t="n">
        <x:f>H894*J894*(1+K894)</x:f>
        <x:v>6339.973526745097</x:v>
      </x:c>
      <x:c r="M894" s="35" t="n">
        <x:f>SUMIFS('菜谱BOM'!$F$5:$F$160,'菜谱BOM'!$A$5:$A$160,E894,'菜谱BOM'!$C$5:$C$160,"调料")</x:f>
        <x:v>63</x:v>
      </x:c>
      <x:c r="N894" s="38" t="n">
        <x:v>0.0005656061457855644</x:v>
      </x:c>
      <x:c r="O894" s="35" t="n">
        <x:f>H894*M894*(1+N894)</x:f>
        <x:v>882.4988646205828</x:v>
      </x:c>
      <x:c r="P894" s="19" t="str">
        <x:f>IF(ABS(N894)&gt;'封面与口径'!$O$25,"机器调料需复核",IF(ABS(K894)&gt;0.02,"人工称重需复核","正常"))</x:f>
        <x:v>正常</x:v>
      </x:c>
      <x:c r="Q894" s="19" t="str">
        <x:v>罗文</x:v>
      </x:c>
    </x:row>
    <x:row r="895">
      <x:c r="A895" s="19" t="str">
        <x:v>2026-07-10|S08|D08</x:v>
      </x:c>
      <x:c r="B895" s="34" t="n">
        <x:v>46213.5</x:v>
      </x:c>
      <x:c r="C895" s="19" t="str">
        <x:v>S08</x:v>
      </x:c>
      <x:c r="D895" s="19" t="str">
        <x:v>四季青店</x:v>
      </x:c>
      <x:c r="E895" s="19" t="str">
        <x:v>D08</x:v>
      </x:c>
      <x:c r="F895" s="19" t="str">
        <x:v>生炒清远鸡</x:v>
      </x:c>
      <x:c r="G895" s="19" t="str">
        <x:v>R1.0</x:v>
      </x:c>
      <x:c r="H895" s="20" t="n">
        <x:f>XLOOKUP(A895,'菜品日销量'!$A$5:$A$1124,'菜品日销量'!$G$5:$G$1124,0)</x:f>
        <x:v>10</x:v>
      </x:c>
      <x:c r="I895" s="20" t="n">
        <x:f>ROUNDUP(H895/2,0)</x:f>
        <x:v>5</x:v>
      </x:c>
      <x:c r="J895" s="22" t="n">
        <x:f>SUMIFS('菜谱BOM'!$F$5:$F$160,'菜谱BOM'!$A$5:$A$160,E895,'菜谱BOM'!$C$5:$C$160,"食材")</x:f>
        <x:v>610</x:v>
      </x:c>
      <x:c r="K895" s="38" t="n">
        <x:v>0.0045338626086092225</x:v>
      </x:c>
      <x:c r="L895" s="35" t="n">
        <x:f>H895*J895*(1+K895)</x:f>
        <x:v>6127.656561912517</x:v>
      </x:c>
      <x:c r="M895" s="35" t="n">
        <x:f>SUMIFS('菜谱BOM'!$F$5:$F$160,'菜谱BOM'!$A$5:$A$160,E895,'菜谱BOM'!$C$5:$C$160,"调料")</x:f>
        <x:v>61</x:v>
      </x:c>
      <x:c r="N895" s="38" t="n">
        <x:v>-0.0009965186293694468</x:v>
      </x:c>
      <x:c r="O895" s="35" t="n">
        <x:f>H895*M895*(1+N895)</x:f>
        <x:v>609.3921236360846</x:v>
      </x:c>
      <x:c r="P895" s="19" t="str">
        <x:f>IF(ABS(N895)&gt;'封面与口径'!$O$25,"机器调料需复核",IF(ABS(K895)&gt;0.02,"人工称重需复核","正常"))</x:f>
        <x:v>正常</x:v>
      </x:c>
      <x:c r="Q895" s="19" t="str">
        <x:v>罗文</x:v>
      </x:c>
    </x:row>
    <x:row r="896">
      <x:c r="A896" s="19" t="str">
        <x:v>2026-07-10|S08|D09</x:v>
      </x:c>
      <x:c r="B896" s="34" t="n">
        <x:v>46213.5</x:v>
      </x:c>
      <x:c r="C896" s="19" t="str">
        <x:v>S08</x:v>
      </x:c>
      <x:c r="D896" s="19" t="str">
        <x:v>四季青店</x:v>
      </x:c>
      <x:c r="E896" s="19" t="str">
        <x:v>D09</x:v>
      </x:c>
      <x:c r="F896" s="19" t="str">
        <x:v>炒豆干</x:v>
      </x:c>
      <x:c r="G896" s="19" t="str">
        <x:v>R1.0</x:v>
      </x:c>
      <x:c r="H896" s="20" t="n">
        <x:f>XLOOKUP(A896,'菜品日销量'!$A$5:$A$1124,'菜品日销量'!$G$5:$G$1124,0)</x:f>
        <x:v>14</x:v>
      </x:c>
      <x:c r="I896" s="20" t="n">
        <x:f>ROUNDUP(H896/2,0)</x:f>
        <x:v>7</x:v>
      </x:c>
      <x:c r="J896" s="22" t="n">
        <x:f>SUMIFS('菜谱BOM'!$F$5:$F$160,'菜谱BOM'!$A$5:$A$160,E896,'菜谱BOM'!$C$5:$C$160,"食材")</x:f>
        <x:v>520</x:v>
      </x:c>
      <x:c r="K896" s="38" t="n">
        <x:v>0.003480226716836967</x:v>
      </x:c>
      <x:c r="L896" s="35" t="n">
        <x:f>H896*J896*(1+K896)</x:f>
        <x:v>7305.336050498573</x:v>
      </x:c>
      <x:c r="M896" s="35" t="n">
        <x:f>SUMIFS('菜谱BOM'!$F$5:$F$160,'菜谱BOM'!$A$5:$A$160,E896,'菜谱BOM'!$C$5:$C$160,"调料")</x:f>
        <x:v>42</x:v>
      </x:c>
      <x:c r="N896" s="38" t="n">
        <x:v>-0.0005860935669825631</x:v>
      </x:c>
      <x:c r="O896" s="35" t="n">
        <x:f>H896*M896*(1+N896)</x:f>
        <x:v>587.6553769826143</x:v>
      </x:c>
      <x:c r="P896" s="19" t="str">
        <x:f>IF(ABS(N896)&gt;'封面与口径'!$O$25,"机器调料需复核",IF(ABS(K896)&gt;0.02,"人工称重需复核","正常"))</x:f>
        <x:v>正常</x:v>
      </x:c>
      <x:c r="Q896" s="19" t="str">
        <x:v>罗文</x:v>
      </x:c>
    </x:row>
    <x:row r="897">
      <x:c r="A897" s="19" t="str">
        <x:v>2026-07-10|S08|D10</x:v>
      </x:c>
      <x:c r="B897" s="34" t="n">
        <x:v>46213.5</x:v>
      </x:c>
      <x:c r="C897" s="19" t="str">
        <x:v>S08</x:v>
      </x:c>
      <x:c r="D897" s="19" t="str">
        <x:v>四季青店</x:v>
      </x:c>
      <x:c r="E897" s="19" t="str">
        <x:v>D10</x:v>
      </x:c>
      <x:c r="F897" s="19" t="str">
        <x:v>农家一碗香</x:v>
      </x:c>
      <x:c r="G897" s="19" t="str">
        <x:v>R2.3</x:v>
      </x:c>
      <x:c r="H897" s="20" t="n">
        <x:f>XLOOKUP(A897,'菜品日销量'!$A$5:$A$1124,'菜品日销量'!$G$5:$G$1124,0)</x:f>
        <x:v>16</x:v>
      </x:c>
      <x:c r="I897" s="20" t="n">
        <x:f>ROUNDUP(H897/2,0)</x:f>
        <x:v>8</x:v>
      </x:c>
      <x:c r="J897" s="22" t="n">
        <x:f>SUMIFS('菜谱BOM'!$F$5:$F$160,'菜谱BOM'!$A$5:$A$160,E897,'菜谱BOM'!$C$5:$C$160,"食材")</x:f>
        <x:v>510</x:v>
      </x:c>
      <x:c r="K897" s="38" t="n">
        <x:v>0.007734964266357702</x:v>
      </x:c>
      <x:c r="L897" s="35" t="n">
        <x:f>H897*J897*(1+K897)</x:f>
        <x:v>8223.117308413479</x:v>
      </x:c>
      <x:c r="M897" s="35" t="n">
        <x:f>SUMIFS('菜谱BOM'!$F$5:$F$160,'菜谱BOM'!$A$5:$A$160,E897,'菜谱BOM'!$C$5:$C$160,"调料")</x:f>
        <x:v>88</x:v>
      </x:c>
      <x:c r="N897" s="38" t="n">
        <x:v>0.00007280244540255553</x:v>
      </x:c>
      <x:c r="O897" s="35" t="n">
        <x:f>H897*M897*(1+N897)</x:f>
        <x:v>1408.102505843127</x:v>
      </x:c>
      <x:c r="P897" s="19" t="str">
        <x:f>IF(ABS(N897)&gt;'封面与口径'!$O$25,"机器调料需复核",IF(ABS(K897)&gt;0.02,"人工称重需复核","正常"))</x:f>
        <x:v>正常</x:v>
      </x:c>
      <x:c r="Q897" s="19" t="str">
        <x:v>罗文</x:v>
      </x:c>
    </x:row>
    <x:row r="898">
      <x:c r="A898" s="19" t="str">
        <x:v>2026-07-10|S08|D11</x:v>
      </x:c>
      <x:c r="B898" s="34" t="n">
        <x:v>46213.5</x:v>
      </x:c>
      <x:c r="C898" s="19" t="str">
        <x:v>S08</x:v>
      </x:c>
      <x:c r="D898" s="19" t="str">
        <x:v>四季青店</x:v>
      </x:c>
      <x:c r="E898" s="19" t="str">
        <x:v>D11</x:v>
      </x:c>
      <x:c r="F898" s="19" t="str">
        <x:v>香辣爆肥肠</x:v>
      </x:c>
      <x:c r="G898" s="19" t="str">
        <x:v>R1.0</x:v>
      </x:c>
      <x:c r="H898" s="20" t="n">
        <x:f>XLOOKUP(A898,'菜品日销量'!$A$5:$A$1124,'菜品日销量'!$G$5:$G$1124,0)</x:f>
        <x:v>5</x:v>
      </x:c>
      <x:c r="I898" s="20" t="n">
        <x:f>ROUNDUP(H898/2,0)</x:f>
        <x:v>3</x:v>
      </x:c>
      <x:c r="J898" s="22" t="n">
        <x:f>SUMIFS('菜谱BOM'!$F$5:$F$160,'菜谱BOM'!$A$5:$A$160,E898,'菜谱BOM'!$C$5:$C$160,"食材")</x:f>
        <x:v>430</x:v>
      </x:c>
      <x:c r="K898" s="38" t="n">
        <x:v>0.00047063426125576593</x:v>
      </x:c>
      <x:c r="L898" s="35" t="n">
        <x:f>H898*J898*(1+K898)</x:f>
        <x:v>2151.0118636617</x:v>
      </x:c>
      <x:c r="M898" s="35" t="n">
        <x:f>SUMIFS('菜谱BOM'!$F$5:$F$160,'菜谱BOM'!$A$5:$A$160,E898,'菜谱BOM'!$C$5:$C$160,"调料")</x:f>
        <x:v>67</x:v>
      </x:c>
      <x:c r="N898" s="38" t="n">
        <x:v>-0.0011847864881122452</x:v>
      </x:c>
      <x:c r="O898" s="35" t="n">
        <x:f>H898*M898*(1+N898)</x:f>
        <x:v>334.6030965264824</x:v>
      </x:c>
      <x:c r="P898" s="19" t="str">
        <x:f>IF(ABS(N898)&gt;'封面与口径'!$O$25,"机器调料需复核",IF(ABS(K898)&gt;0.02,"人工称重需复核","正常"))</x:f>
        <x:v>正常</x:v>
      </x:c>
      <x:c r="Q898" s="19" t="str">
        <x:v>罗文</x:v>
      </x:c>
    </x:row>
    <x:row r="899">
      <x:c r="A899" s="19" t="str">
        <x:v>2026-07-10|S08|D13</x:v>
      </x:c>
      <x:c r="B899" s="34" t="n">
        <x:v>46213.5</x:v>
      </x:c>
      <x:c r="C899" s="19" t="str">
        <x:v>S08</x:v>
      </x:c>
      <x:c r="D899" s="19" t="str">
        <x:v>四季青店</x:v>
      </x:c>
      <x:c r="E899" s="19" t="str">
        <x:v>D13</x:v>
      </x:c>
      <x:c r="F899" s="19" t="str">
        <x:v>外婆菜炒蛋</x:v>
      </x:c>
      <x:c r="G899" s="19" t="str">
        <x:v>R1.0</x:v>
      </x:c>
      <x:c r="H899" s="20" t="n">
        <x:f>XLOOKUP(A899,'菜品日销量'!$A$5:$A$1124,'菜品日销量'!$G$5:$G$1124,0)</x:f>
        <x:v>13</x:v>
      </x:c>
      <x:c r="I899" s="20" t="n">
        <x:f>ROUNDUP(H899/2,0)</x:f>
        <x:v>7</x:v>
      </x:c>
      <x:c r="J899" s="22" t="n">
        <x:f>SUMIFS('菜谱BOM'!$F$5:$F$160,'菜谱BOM'!$A$5:$A$160,E899,'菜谱BOM'!$C$5:$C$160,"食材")</x:f>
        <x:v>450</x:v>
      </x:c>
      <x:c r="K899" s="38" t="n">
        <x:v>-0.00469454041046429</x:v>
      </x:c>
      <x:c r="L899" s="35" t="n">
        <x:f>H899*J899*(1+K899)</x:f>
        <x:v>5822.536938598784</x:v>
      </x:c>
      <x:c r="M899" s="35" t="n">
        <x:f>SUMIFS('菜谱BOM'!$F$5:$F$160,'菜谱BOM'!$A$5:$A$160,E899,'菜谱BOM'!$C$5:$C$160,"调料")</x:f>
        <x:v>37</x:v>
      </x:c>
      <x:c r="N899" s="38" t="n">
        <x:v>-0.0006470911415869116</x:v>
      </x:c>
      <x:c r="O899" s="35" t="n">
        <x:f>H899*M899*(1+N899)</x:f>
        <x:v>480.6887491608967</x:v>
      </x:c>
      <x:c r="P899" s="19" t="str">
        <x:f>IF(ABS(N899)&gt;'封面与口径'!$O$25,"机器调料需复核",IF(ABS(K899)&gt;0.02,"人工称重需复核","正常"))</x:f>
        <x:v>正常</x:v>
      </x:c>
      <x:c r="Q899" s="19" t="str">
        <x:v>罗文</x:v>
      </x:c>
    </x:row>
    <x:row r="900">
      <x:c r="A900" s="19" t="str">
        <x:v>2026-07-10|S08|D14</x:v>
      </x:c>
      <x:c r="B900" s="34" t="n">
        <x:v>46213.5</x:v>
      </x:c>
      <x:c r="C900" s="19" t="str">
        <x:v>S08</x:v>
      </x:c>
      <x:c r="D900" s="19" t="str">
        <x:v>四季青店</x:v>
      </x:c>
      <x:c r="E900" s="19" t="str">
        <x:v>D14</x:v>
      </x:c>
      <x:c r="F900" s="19" t="str">
        <x:v>酸辣鸡杂</x:v>
      </x:c>
      <x:c r="G900" s="19" t="str">
        <x:v>R1.0</x:v>
      </x:c>
      <x:c r="H900" s="20" t="n">
        <x:f>XLOOKUP(A900,'菜品日销量'!$A$5:$A$1124,'菜品日销量'!$G$5:$G$1124,0)</x:f>
        <x:v>6</x:v>
      </x:c>
      <x:c r="I900" s="20" t="n">
        <x:f>ROUNDUP(H900/2,0)</x:f>
        <x:v>3</x:v>
      </x:c>
      <x:c r="J900" s="22" t="n">
        <x:f>SUMIFS('菜谱BOM'!$F$5:$F$160,'菜谱BOM'!$A$5:$A$160,E900,'菜谱BOM'!$C$5:$C$160,"食材")</x:f>
        <x:v>470</x:v>
      </x:c>
      <x:c r="K900" s="38" t="n">
        <x:v>0.005310189306109722</x:v>
      </x:c>
      <x:c r="L900" s="35" t="n">
        <x:f>H900*J900*(1+K900)</x:f>
        <x:v>2834.97473384323</x:v>
      </x:c>
      <x:c r="M900" s="35" t="n">
        <x:f>SUMIFS('菜谱BOM'!$F$5:$F$160,'菜谱BOM'!$A$5:$A$160,E900,'菜谱BOM'!$C$5:$C$160,"调料")</x:f>
        <x:v>60</x:v>
      </x:c>
      <x:c r="N900" s="38" t="n">
        <x:v>0.0013895616930419492</x:v>
      </x:c>
      <x:c r="O900" s="35" t="n">
        <x:f>H900*M900*(1+N900)</x:f>
        <x:v>360.5002422094951</x:v>
      </x:c>
      <x:c r="P900" s="19" t="str">
        <x:f>IF(ABS(N900)&gt;'封面与口径'!$O$25,"机器调料需复核",IF(ABS(K900)&gt;0.02,"人工称重需复核","正常"))</x:f>
        <x:v>正常</x:v>
      </x:c>
      <x:c r="Q900" s="19" t="str">
        <x:v>罗文</x:v>
      </x:c>
    </x:row>
    <x:row r="901">
      <x:c r="A901" s="19" t="str">
        <x:v>2026-07-10|S08|D15</x:v>
      </x:c>
      <x:c r="B901" s="34" t="n">
        <x:v>46213.5</x:v>
      </x:c>
      <x:c r="C901" s="19" t="str">
        <x:v>S08</x:v>
      </x:c>
      <x:c r="D901" s="19" t="str">
        <x:v>四季青店</x:v>
      </x:c>
      <x:c r="E901" s="19" t="str">
        <x:v>D15</x:v>
      </x:c>
      <x:c r="F901" s="19" t="str">
        <x:v>湘西土匪猪肝</x:v>
      </x:c>
      <x:c r="G901" s="19" t="str">
        <x:v>R1.0</x:v>
      </x:c>
      <x:c r="H901" s="20" t="n">
        <x:f>XLOOKUP(A901,'菜品日销量'!$A$5:$A$1124,'菜品日销量'!$G$5:$G$1124,0)</x:f>
        <x:v>6</x:v>
      </x:c>
      <x:c r="I901" s="20" t="n">
        <x:f>ROUNDUP(H901/2,0)</x:f>
        <x:v>3</x:v>
      </x:c>
      <x:c r="J901" s="22" t="n">
        <x:f>SUMIFS('菜谱BOM'!$F$5:$F$160,'菜谱BOM'!$A$5:$A$160,E901,'菜谱BOM'!$C$5:$C$160,"食材")</x:f>
        <x:v>470</x:v>
      </x:c>
      <x:c r="K901" s="38" t="n">
        <x:v>0.0036363127482208226</x:v>
      </x:c>
      <x:c r="L901" s="35" t="n">
        <x:f>H901*J901*(1+K901)</x:f>
        <x:v>2830.254401949983</x:v>
      </x:c>
      <x:c r="M901" s="35" t="n">
        <x:f>SUMIFS('菜谱BOM'!$F$5:$F$160,'菜谱BOM'!$A$5:$A$160,E901,'菜谱BOM'!$C$5:$C$160,"调料")</x:f>
        <x:v>49</x:v>
      </x:c>
      <x:c r="N901" s="38" t="n">
        <x:v>0.0010195420829159074</x:v>
      </x:c>
      <x:c r="O901" s="35" t="n">
        <x:f>H901*M901*(1+N901)</x:f>
        <x:v>294.2997453723773</x:v>
      </x:c>
      <x:c r="P901" s="19" t="str">
        <x:f>IF(ABS(N901)&gt;'封面与口径'!$O$25,"机器调料需复核",IF(ABS(K901)&gt;0.02,"人工称重需复核","正常"))</x:f>
        <x:v>正常</x:v>
      </x:c>
      <x:c r="Q901" s="19" t="str">
        <x:v>罗文</x:v>
      </x:c>
    </x:row>
    <x:row r="902">
      <x:c r="A902" s="19" t="str">
        <x:v>2026-07-10|S08|D16</x:v>
      </x:c>
      <x:c r="B902" s="34" t="n">
        <x:v>46213.5</x:v>
      </x:c>
      <x:c r="C902" s="19" t="str">
        <x:v>S08</x:v>
      </x:c>
      <x:c r="D902" s="19" t="str">
        <x:v>四季青店</x:v>
      </x:c>
      <x:c r="E902" s="19" t="str">
        <x:v>D16</x:v>
      </x:c>
      <x:c r="F902" s="19" t="str">
        <x:v>小豆角炒五花</x:v>
      </x:c>
      <x:c r="G902" s="19" t="str">
        <x:v>R1.0</x:v>
      </x:c>
      <x:c r="H902" s="20" t="n">
        <x:f>XLOOKUP(A902,'菜品日销量'!$A$5:$A$1124,'菜品日销量'!$G$5:$G$1124,0)</x:f>
        <x:v>6</x:v>
      </x:c>
      <x:c r="I902" s="20" t="n">
        <x:f>ROUNDUP(H902/2,0)</x:f>
        <x:v>3</x:v>
      </x:c>
      <x:c r="J902" s="22" t="n">
        <x:f>SUMIFS('菜谱BOM'!$F$5:$F$160,'菜谱BOM'!$A$5:$A$160,E902,'菜谱BOM'!$C$5:$C$160,"食材")</x:f>
        <x:v>450</x:v>
      </x:c>
      <x:c r="K902" s="38" t="n">
        <x:v>-0.0025278104344680463</x:v>
      </x:c>
      <x:c r="L902" s="35" t="n">
        <x:f>H902*J902*(1+K902)</x:f>
        <x:v>2693.1749118269363</x:v>
      </x:c>
      <x:c r="M902" s="35" t="n">
        <x:f>SUMIFS('菜谱BOM'!$F$5:$F$160,'菜谱BOM'!$A$5:$A$160,E902,'菜谱BOM'!$C$5:$C$160,"调料")</x:f>
        <x:v>42</x:v>
      </x:c>
      <x:c r="N902" s="38" t="n">
        <x:v>-0.00015816599832805013</x:v>
      </x:c>
      <x:c r="O902" s="35" t="n">
        <x:f>H902*M902*(1+N902)</x:f>
        <x:v>251.96014216842133</x:v>
      </x:c>
      <x:c r="P902" s="19" t="str">
        <x:f>IF(ABS(N902)&gt;'封面与口径'!$O$25,"机器调料需复核",IF(ABS(K902)&gt;0.02,"人工称重需复核","正常"))</x:f>
        <x:v>正常</x:v>
      </x:c>
      <x:c r="Q902" s="19" t="str">
        <x:v>罗文</x:v>
      </x:c>
    </x:row>
    <x:row r="903">
      <x:c r="A903" s="19" t="str">
        <x:v>2026-07-10|S08|D18</x:v>
      </x:c>
      <x:c r="B903" s="34" t="n">
        <x:v>46213.5</x:v>
      </x:c>
      <x:c r="C903" s="19" t="str">
        <x:v>S08</x:v>
      </x:c>
      <x:c r="D903" s="19" t="str">
        <x:v>四季青店</x:v>
      </x:c>
      <x:c r="E903" s="19" t="str">
        <x:v>D18</x:v>
      </x:c>
      <x:c r="F903" s="19" t="str">
        <x:v>青椒炒油麦菜</x:v>
      </x:c>
      <x:c r="G903" s="19" t="str">
        <x:v>R1.0</x:v>
      </x:c>
      <x:c r="H903" s="20" t="n">
        <x:f>XLOOKUP(A903,'菜品日销量'!$A$5:$A$1124,'菜品日销量'!$G$5:$G$1124,0)</x:f>
        <x:v>7</x:v>
      </x:c>
      <x:c r="I903" s="20" t="n">
        <x:f>ROUNDUP(H903/2,0)</x:f>
        <x:v>4</x:v>
      </x:c>
      <x:c r="J903" s="22" t="n">
        <x:f>SUMIFS('菜谱BOM'!$F$5:$F$160,'菜谱BOM'!$A$5:$A$160,E903,'菜谱BOM'!$C$5:$C$160,"食材")</x:f>
        <x:v>430</x:v>
      </x:c>
      <x:c r="K903" s="38" t="n">
        <x:v>0.0016101952627324964</x:v>
      </x:c>
      <x:c r="L903" s="35" t="n">
        <x:f>H903*J903*(1+K903)</x:f>
        <x:v>3014.846687740825</x:v>
      </x:c>
      <x:c r="M903" s="35" t="n">
        <x:f>SUMIFS('菜谱BOM'!$F$5:$F$160,'菜谱BOM'!$A$5:$A$160,E903,'菜谱BOM'!$C$5:$C$160,"调料")</x:f>
        <x:v>33</x:v>
      </x:c>
      <x:c r="N903" s="38" t="n">
        <x:v>0.0019935577353447577</x:v>
      </x:c>
      <x:c r="O903" s="35" t="n">
        <x:f>H903*M903*(1+N903)</x:f>
        <x:v>231.46051183686464</x:v>
      </x:c>
      <x:c r="P903" s="19" t="str">
        <x:f>IF(ABS(N903)&gt;'封面与口径'!$O$25,"机器调料需复核",IF(ABS(K903)&gt;0.02,"人工称重需复核","正常"))</x:f>
        <x:v>正常</x:v>
      </x:c>
      <x:c r="Q903" s="19" t="str">
        <x:v>罗文</x:v>
      </x:c>
    </x:row>
    <x:row r="904">
      <x:c r="A904" s="19" t="str">
        <x:v>2026-07-10|S08|D19</x:v>
      </x:c>
      <x:c r="B904" s="34" t="n">
        <x:v>46213.5</x:v>
      </x:c>
      <x:c r="C904" s="19" t="str">
        <x:v>S08</x:v>
      </x:c>
      <x:c r="D904" s="19" t="str">
        <x:v>四季青店</x:v>
      </x:c>
      <x:c r="E904" s="19" t="str">
        <x:v>D19</x:v>
      </x:c>
      <x:c r="F904" s="19" t="str">
        <x:v>酸萝卜炒鸡杂</x:v>
      </x:c>
      <x:c r="G904" s="19" t="str">
        <x:v>R1.0</x:v>
      </x:c>
      <x:c r="H904" s="20" t="n">
        <x:f>XLOOKUP(A904,'菜品日销量'!$A$5:$A$1124,'菜品日销量'!$G$5:$G$1124,0)</x:f>
        <x:v>5</x:v>
      </x:c>
      <x:c r="I904" s="20" t="n">
        <x:f>ROUNDUP(H904/2,0)</x:f>
        <x:v>3</x:v>
      </x:c>
      <x:c r="J904" s="22" t="n">
        <x:f>SUMIFS('菜谱BOM'!$F$5:$F$160,'菜谱BOM'!$A$5:$A$160,E904,'菜谱BOM'!$C$5:$C$160,"食材")</x:f>
        <x:v>500</x:v>
      </x:c>
      <x:c r="K904" s="38" t="n">
        <x:v>-0.004875848642754333</x:v>
      </x:c>
      <x:c r="L904" s="35" t="n">
        <x:f>H904*J904*(1+K904)</x:f>
        <x:v>2487.810378393114</x:v>
      </x:c>
      <x:c r="M904" s="35" t="n">
        <x:f>SUMIFS('菜谱BOM'!$F$5:$F$160,'菜谱BOM'!$A$5:$A$160,E904,'菜谱BOM'!$C$5:$C$160,"调料")</x:f>
        <x:v>55</x:v>
      </x:c>
      <x:c r="N904" s="38" t="n">
        <x:v>-0.00025483137049126236</x:v>
      </x:c>
      <x:c r="O904" s="35" t="n">
        <x:f>H904*M904*(1+N904)</x:f>
        <x:v>274.9299213731149</x:v>
      </x:c>
      <x:c r="P904" s="19" t="str">
        <x:f>IF(ABS(N904)&gt;'封面与口径'!$O$25,"机器调料需复核",IF(ABS(K904)&gt;0.02,"人工称重需复核","正常"))</x:f>
        <x:v>正常</x:v>
      </x:c>
      <x:c r="Q904" s="19" t="str">
        <x:v>罗文</x:v>
      </x:c>
    </x:row>
    <x:row r="905">
      <x:c r="A905" s="19" t="str">
        <x:v>2026-07-10|S08|D20</x:v>
      </x:c>
      <x:c r="B905" s="34" t="n">
        <x:v>46213.5</x:v>
      </x:c>
      <x:c r="C905" s="19" t="str">
        <x:v>S08</x:v>
      </x:c>
      <x:c r="D905" s="19" t="str">
        <x:v>四季青店</x:v>
      </x:c>
      <x:c r="E905" s="19" t="str">
        <x:v>D20</x:v>
      </x:c>
      <x:c r="F905" s="19" t="str">
        <x:v>雪菜肉末青豆</x:v>
      </x:c>
      <x:c r="G905" s="19" t="str">
        <x:v>R1.0</x:v>
      </x:c>
      <x:c r="H905" s="20" t="n">
        <x:f>XLOOKUP(A905,'菜品日销量'!$A$5:$A$1124,'菜品日销量'!$G$5:$G$1124,0)</x:f>
        <x:v>6</x:v>
      </x:c>
      <x:c r="I905" s="20" t="n">
        <x:f>ROUNDUP(H905/2,0)</x:f>
        <x:v>3</x:v>
      </x:c>
      <x:c r="J905" s="22" t="n">
        <x:f>SUMIFS('菜谱BOM'!$F$5:$F$160,'菜谱BOM'!$A$5:$A$160,E905,'菜谱BOM'!$C$5:$C$160,"食材")</x:f>
        <x:v>465</x:v>
      </x:c>
      <x:c r="K905" s="38" t="n">
        <x:v>0.006943278383217583</x:v>
      </x:c>
      <x:c r="L905" s="35" t="n">
        <x:f>H905*J905*(1+K905)</x:f>
        <x:v>2809.3717466891767</x:v>
      </x:c>
      <x:c r="M905" s="35" t="n">
        <x:f>SUMIFS('菜谱BOM'!$F$5:$F$160,'菜谱BOM'!$A$5:$A$160,E905,'菜谱BOM'!$C$5:$C$160,"调料")</x:f>
        <x:v>32</x:v>
      </x:c>
      <x:c r="N905" s="38" t="n">
        <x:v>0.0013725267833500463</x:v>
      </x:c>
      <x:c r="O905" s="35" t="n">
        <x:f>H905*M905*(1+N905)</x:f>
        <x:v>192.26352514240318</x:v>
      </x:c>
      <x:c r="P905" s="19" t="str">
        <x:f>IF(ABS(N905)&gt;'封面与口径'!$O$25,"机器调料需复核",IF(ABS(K905)&gt;0.02,"人工称重需复核","正常"))</x:f>
        <x:v>正常</x:v>
      </x:c>
      <x:c r="Q905" s="19" t="str">
        <x:v>罗文</x:v>
      </x:c>
    </x:row>
    <x:row r="906">
      <x:c r="A906" s="19" t="str">
        <x:v>2026-07-11|S08|D01</x:v>
      </x:c>
      <x:c r="B906" s="34" t="n">
        <x:v>46214.5</x:v>
      </x:c>
      <x:c r="C906" s="19" t="str">
        <x:v>S08</x:v>
      </x:c>
      <x:c r="D906" s="19" t="str">
        <x:v>四季青店</x:v>
      </x:c>
      <x:c r="E906" s="19" t="str">
        <x:v>D01</x:v>
      </x:c>
      <x:c r="F906" s="19" t="str">
        <x:v>辣椒炒肉</x:v>
      </x:c>
      <x:c r="G906" s="19" t="str">
        <x:v>R2.3</x:v>
      </x:c>
      <x:c r="H906" s="20" t="n">
        <x:f>XLOOKUP(A906,'菜品日销量'!$A$5:$A$1124,'菜品日销量'!$G$5:$G$1124,0)</x:f>
        <x:v>33</x:v>
      </x:c>
      <x:c r="I906" s="20" t="n">
        <x:f>ROUNDUP(H906/2,0)</x:f>
        <x:v>17</x:v>
      </x:c>
      <x:c r="J906" s="22" t="n">
        <x:f>SUMIFS('菜谱BOM'!$F$5:$F$160,'菜谱BOM'!$A$5:$A$160,E906,'菜谱BOM'!$C$5:$C$160,"食材")</x:f>
        <x:v>550</x:v>
      </x:c>
      <x:c r="K906" s="38" t="n">
        <x:v>-0.0030098261076514205</x:v>
      </x:c>
      <x:c r="L906" s="35" t="n">
        <x:f>H906*J906*(1+K906)</x:f>
        <x:v>18095.371656146126</x:v>
      </x:c>
      <x:c r="M906" s="35" t="n">
        <x:f>SUMIFS('菜谱BOM'!$F$5:$F$160,'菜谱BOM'!$A$5:$A$160,E906,'菜谱BOM'!$C$5:$C$160,"调料")</x:f>
        <x:v>104</x:v>
      </x:c>
      <x:c r="N906" s="38" t="n">
        <x:v>0.0007794065752018726</x:v>
      </x:c>
      <x:c r="O906" s="35" t="n">
        <x:f>H906*M906*(1+N906)</x:f>
        <x:v>3434.6749233660926</x:v>
      </x:c>
      <x:c r="P906" s="19" t="str">
        <x:f>IF(ABS(N906)&gt;'封面与口径'!$O$25,"机器调料需复核",IF(ABS(K906)&gt;0.02,"人工称重需复核","正常"))</x:f>
        <x:v>正常</x:v>
      </x:c>
      <x:c r="Q906" s="19" t="str">
        <x:v>罗文</x:v>
      </x:c>
    </x:row>
    <x:row r="907">
      <x:c r="A907" s="19" t="str">
        <x:v>2026-07-11|S08|D02</x:v>
      </x:c>
      <x:c r="B907" s="34" t="n">
        <x:v>46214.5</x:v>
      </x:c>
      <x:c r="C907" s="19" t="str">
        <x:v>S08</x:v>
      </x:c>
      <x:c r="D907" s="19" t="str">
        <x:v>四季青店</x:v>
      </x:c>
      <x:c r="E907" s="19" t="str">
        <x:v>D02</x:v>
      </x:c>
      <x:c r="F907" s="19" t="str">
        <x:v>小炒黄牛肉</x:v>
      </x:c>
      <x:c r="G907" s="19" t="str">
        <x:v>R2.3</x:v>
      </x:c>
      <x:c r="H907" s="20" t="n">
        <x:f>XLOOKUP(A907,'菜品日销量'!$A$5:$A$1124,'菜品日销量'!$G$5:$G$1124,0)</x:f>
        <x:v>23</x:v>
      </x:c>
      <x:c r="I907" s="20" t="n">
        <x:f>ROUNDUP(H907/2,0)</x:f>
        <x:v>12</x:v>
      </x:c>
      <x:c r="J907" s="22" t="n">
        <x:f>SUMIFS('菜谱BOM'!$F$5:$F$160,'菜谱BOM'!$A$5:$A$160,E907,'菜谱BOM'!$C$5:$C$160,"食材")</x:f>
        <x:v>560</x:v>
      </x:c>
      <x:c r="K907" s="38" t="n">
        <x:v>-0.003888510527994603</x:v>
      </x:c>
      <x:c r="L907" s="35" t="n">
        <x:f>H907*J907*(1+K907)</x:f>
        <x:v>12829.91598439943</x:v>
      </x:c>
      <x:c r="M907" s="35" t="n">
        <x:f>SUMIFS('菜谱BOM'!$F$5:$F$160,'菜谱BOM'!$A$5:$A$160,E907,'菜谱BOM'!$C$5:$C$160,"调料")</x:f>
        <x:v>133</x:v>
      </x:c>
      <x:c r="N907" s="38" t="n">
        <x:v>-0.0005268666051623567</x:v>
      </x:c>
      <x:c r="O907" s="35" t="n">
        <x:f>H907*M907*(1+N907)</x:f>
        <x:v>3057.3883150548086</x:v>
      </x:c>
      <x:c r="P907" s="19" t="str">
        <x:f>IF(ABS(N907)&gt;'封面与口径'!$O$25,"机器调料需复核",IF(ABS(K907)&gt;0.02,"人工称重需复核","正常"))</x:f>
        <x:v>正常</x:v>
      </x:c>
      <x:c r="Q907" s="19" t="str">
        <x:v>罗文</x:v>
      </x:c>
    </x:row>
    <x:row r="908">
      <x:c r="A908" s="19" t="str">
        <x:v>2026-07-11|S08|D03</x:v>
      </x:c>
      <x:c r="B908" s="34" t="n">
        <x:v>46214.5</x:v>
      </x:c>
      <x:c r="C908" s="19" t="str">
        <x:v>S08</x:v>
      </x:c>
      <x:c r="D908" s="19" t="str">
        <x:v>四季青店</x:v>
      </x:c>
      <x:c r="E908" s="19" t="str">
        <x:v>D03</x:v>
      </x:c>
      <x:c r="F908" s="19" t="str">
        <x:v>香醋炒蛋</x:v>
      </x:c>
      <x:c r="G908" s="19" t="str">
        <x:v>R1.0</x:v>
      </x:c>
      <x:c r="H908" s="20" t="n">
        <x:f>XLOOKUP(A908,'菜品日销量'!$A$5:$A$1124,'菜品日销量'!$G$5:$G$1124,0)</x:f>
        <x:v>27</x:v>
      </x:c>
      <x:c r="I908" s="20" t="n">
        <x:f>ROUNDUP(H908/2,0)</x:f>
        <x:v>14</x:v>
      </x:c>
      <x:c r="J908" s="22" t="n">
        <x:f>SUMIFS('菜谱BOM'!$F$5:$F$160,'菜谱BOM'!$A$5:$A$160,E908,'菜谱BOM'!$C$5:$C$160,"食材")</x:f>
        <x:v>300</x:v>
      </x:c>
      <x:c r="K908" s="38" t="n">
        <x:v>0.0013536561972819392</x:v>
      </x:c>
      <x:c r="L908" s="35" t="n">
        <x:f>H908*J908*(1+K908)</x:f>
        <x:v>8110.964615197984</x:v>
      </x:c>
      <x:c r="M908" s="35" t="n">
        <x:f>SUMIFS('菜谱BOM'!$F$5:$F$160,'菜谱BOM'!$A$5:$A$160,E908,'菜谱BOM'!$C$5:$C$160,"调料")</x:f>
        <x:v>53</x:v>
      </x:c>
      <x:c r="N908" s="38" t="n">
        <x:v>0.0012828406242846606</x:v>
      </x:c>
      <x:c r="O908" s="35" t="n">
        <x:f>H908*M908*(1+N908)</x:f>
        <x:v>1432.8357449333514</x:v>
      </x:c>
      <x:c r="P908" s="19" t="str">
        <x:f>IF(ABS(N908)&gt;'封面与口径'!$O$25,"机器调料需复核",IF(ABS(K908)&gt;0.02,"人工称重需复核","正常"))</x:f>
        <x:v>正常</x:v>
      </x:c>
      <x:c r="Q908" s="19" t="str">
        <x:v>罗文</x:v>
      </x:c>
    </x:row>
    <x:row r="909">
      <x:c r="A909" s="19" t="str">
        <x:v>2026-07-11|S08|D04</x:v>
      </x:c>
      <x:c r="B909" s="34" t="n">
        <x:v>46214.5</x:v>
      </x:c>
      <x:c r="C909" s="19" t="str">
        <x:v>S08</x:v>
      </x:c>
      <x:c r="D909" s="19" t="str">
        <x:v>四季青店</x:v>
      </x:c>
      <x:c r="E909" s="19" t="str">
        <x:v>D04</x:v>
      </x:c>
      <x:c r="F909" s="19" t="str">
        <x:v>酸包菜炒粉皮</x:v>
      </x:c>
      <x:c r="G909" s="19" t="str">
        <x:v>R1.0</x:v>
      </x:c>
      <x:c r="H909" s="20" t="n">
        <x:f>XLOOKUP(A909,'菜品日销量'!$A$5:$A$1124,'菜品日销量'!$G$5:$G$1124,0)</x:f>
        <x:v>24</x:v>
      </x:c>
      <x:c r="I909" s="20" t="n">
        <x:f>ROUNDUP(H909/2,0)</x:f>
        <x:v>12</x:v>
      </x:c>
      <x:c r="J909" s="22" t="n">
        <x:f>SUMIFS('菜谱BOM'!$F$5:$F$160,'菜谱BOM'!$A$5:$A$160,E909,'菜谱BOM'!$C$5:$C$160,"食材")</x:f>
        <x:v>380</x:v>
      </x:c>
      <x:c r="K909" s="38" t="n">
        <x:v>0.0037912526493406045</x:v>
      </x:c>
      <x:c r="L909" s="35" t="n">
        <x:f>H909*J909*(1+K909)</x:f>
        <x:v>9154.576224161987</x:v>
      </x:c>
      <x:c r="M909" s="35" t="n">
        <x:f>SUMIFS('菜谱BOM'!$F$5:$F$160,'菜谱BOM'!$A$5:$A$160,E909,'菜谱BOM'!$C$5:$C$160,"调料")</x:f>
        <x:v>47</x:v>
      </x:c>
      <x:c r="N909" s="38" t="n">
        <x:v>-0.0005682221014444302</x:v>
      </x:c>
      <x:c r="O909" s="35" t="n">
        <x:f>H909*M909*(1+N909)</x:f>
        <x:v>1127.3590454695707</x:v>
      </x:c>
      <x:c r="P909" s="19" t="str">
        <x:f>IF(ABS(N909)&gt;'封面与口径'!$O$25,"机器调料需复核",IF(ABS(K909)&gt;0.02,"人工称重需复核","正常"))</x:f>
        <x:v>正常</x:v>
      </x:c>
      <x:c r="Q909" s="19" t="str">
        <x:v>罗文</x:v>
      </x:c>
    </x:row>
    <x:row r="910">
      <x:c r="A910" s="19" t="str">
        <x:v>2026-07-11|S08|D05</x:v>
      </x:c>
      <x:c r="B910" s="34" t="n">
        <x:v>46214.5</x:v>
      </x:c>
      <x:c r="C910" s="19" t="str">
        <x:v>S08</x:v>
      </x:c>
      <x:c r="D910" s="19" t="str">
        <x:v>四季青店</x:v>
      </x:c>
      <x:c r="E910" s="19" t="str">
        <x:v>D05</x:v>
      </x:c>
      <x:c r="F910" s="19" t="str">
        <x:v>麻婆豆腐</x:v>
      </x:c>
      <x:c r="G910" s="19" t="str">
        <x:v>R1.0</x:v>
      </x:c>
      <x:c r="H910" s="20" t="n">
        <x:f>XLOOKUP(A910,'菜品日销量'!$A$5:$A$1124,'菜品日销量'!$G$5:$G$1124,0)</x:f>
        <x:v>36</x:v>
      </x:c>
      <x:c r="I910" s="20" t="n">
        <x:f>ROUNDUP(H910/2,0)</x:f>
        <x:v>18</x:v>
      </x:c>
      <x:c r="J910" s="22" t="n">
        <x:f>SUMIFS('菜谱BOM'!$F$5:$F$160,'菜谱BOM'!$A$5:$A$160,E910,'菜谱BOM'!$C$5:$C$160,"食材")</x:f>
        <x:v>505</x:v>
      </x:c>
      <x:c r="K910" s="38" t="n">
        <x:v>0.0066082694266476364</x:v>
      </x:c>
      <x:c r="L910" s="35" t="n">
        <x:f>H910*J910*(1+K910)</x:f>
        <x:v>18300.138338176454</x:v>
      </x:c>
      <x:c r="M910" s="35" t="n">
        <x:f>SUMIFS('菜谱BOM'!$F$5:$F$160,'菜谱BOM'!$A$5:$A$160,E910,'菜谱BOM'!$C$5:$C$160,"调料")</x:f>
        <x:v>90</x:v>
      </x:c>
      <x:c r="N910" s="38" t="n">
        <x:v>0.0010024524123879272</x:v>
      </x:c>
      <x:c r="O910" s="35" t="n">
        <x:f>H910*M910*(1+N910)</x:f>
        <x:v>3243.247945816137</x:v>
      </x:c>
      <x:c r="P910" s="19" t="str">
        <x:f>IF(ABS(N910)&gt;'封面与口径'!$O$25,"机器调料需复核",IF(ABS(K910)&gt;0.02,"人工称重需复核","正常"))</x:f>
        <x:v>正常</x:v>
      </x:c>
      <x:c r="Q910" s="19" t="str">
        <x:v>罗文</x:v>
      </x:c>
    </x:row>
    <x:row r="911">
      <x:c r="A911" s="19" t="str">
        <x:v>2026-07-11|S08|D07</x:v>
      </x:c>
      <x:c r="B911" s="34" t="n">
        <x:v>46214.5</x:v>
      </x:c>
      <x:c r="C911" s="19" t="str">
        <x:v>S08</x:v>
      </x:c>
      <x:c r="D911" s="19" t="str">
        <x:v>四季青店</x:v>
      </x:c>
      <x:c r="E911" s="19" t="str">
        <x:v>D07</x:v>
      </x:c>
      <x:c r="F911" s="19" t="str">
        <x:v>川味回锅肉</x:v>
      </x:c>
      <x:c r="G911" s="19" t="str">
        <x:v>R1.0</x:v>
      </x:c>
      <x:c r="H911" s="20" t="n">
        <x:f>XLOOKUP(A911,'菜品日销量'!$A$5:$A$1124,'菜品日销量'!$G$5:$G$1124,0)</x:f>
        <x:v>10</x:v>
      </x:c>
      <x:c r="I911" s="20" t="n">
        <x:f>ROUNDUP(H911/2,0)</x:f>
        <x:v>5</x:v>
      </x:c>
      <x:c r="J911" s="22" t="n">
        <x:f>SUMIFS('菜谱BOM'!$F$5:$F$160,'菜谱BOM'!$A$5:$A$160,E911,'菜谱BOM'!$C$5:$C$160,"食材")</x:f>
        <x:v>450</x:v>
      </x:c>
      <x:c r="K911" s="38" t="n">
        <x:v>0.007426435392216416</x:v>
      </x:c>
      <x:c r="L911" s="35" t="n">
        <x:f>H911*J911*(1+K911)</x:f>
        <x:v>4533.418959264974</x:v>
      </x:c>
      <x:c r="M911" s="35" t="n">
        <x:f>SUMIFS('菜谱BOM'!$F$5:$F$160,'菜谱BOM'!$A$5:$A$160,E911,'菜谱BOM'!$C$5:$C$160,"调料")</x:f>
        <x:v>63</x:v>
      </x:c>
      <x:c r="N911" s="38" t="n">
        <x:v>0.0004647570658625937</x:v>
      </x:c>
      <x:c r="O911" s="35" t="n">
        <x:f>H911*M911*(1+N911)</x:f>
        <x:v>630.2927969514935</x:v>
      </x:c>
      <x:c r="P911" s="19" t="str">
        <x:f>IF(ABS(N911)&gt;'封面与口径'!$O$25,"机器调料需复核",IF(ABS(K911)&gt;0.02,"人工称重需复核","正常"))</x:f>
        <x:v>正常</x:v>
      </x:c>
      <x:c r="Q911" s="19" t="str">
        <x:v>罗文</x:v>
      </x:c>
    </x:row>
    <x:row r="912">
      <x:c r="A912" s="19" t="str">
        <x:v>2026-07-11|S08|D08</x:v>
      </x:c>
      <x:c r="B912" s="34" t="n">
        <x:v>46214.5</x:v>
      </x:c>
      <x:c r="C912" s="19" t="str">
        <x:v>S08</x:v>
      </x:c>
      <x:c r="D912" s="19" t="str">
        <x:v>四季青店</x:v>
      </x:c>
      <x:c r="E912" s="19" t="str">
        <x:v>D08</x:v>
      </x:c>
      <x:c r="F912" s="19" t="str">
        <x:v>生炒清远鸡</x:v>
      </x:c>
      <x:c r="G912" s="19" t="str">
        <x:v>R1.0</x:v>
      </x:c>
      <x:c r="H912" s="20" t="n">
        <x:f>XLOOKUP(A912,'菜品日销量'!$A$5:$A$1124,'菜品日销量'!$G$5:$G$1124,0)</x:f>
        <x:v>8</x:v>
      </x:c>
      <x:c r="I912" s="20" t="n">
        <x:f>ROUNDUP(H912/2,0)</x:f>
        <x:v>4</x:v>
      </x:c>
      <x:c r="J912" s="22" t="n">
        <x:f>SUMIFS('菜谱BOM'!$F$5:$F$160,'菜谱BOM'!$A$5:$A$160,E912,'菜谱BOM'!$C$5:$C$160,"食材")</x:f>
        <x:v>610</x:v>
      </x:c>
      <x:c r="K912" s="38" t="n">
        <x:v>0.0004303959515947842</x:v>
      </x:c>
      <x:c r="L912" s="35" t="n">
        <x:f>H912*J912*(1+K912)</x:f>
        <x:v>4882.100332243783</x:v>
      </x:c>
      <x:c r="M912" s="35" t="n">
        <x:f>SUMIFS('菜谱BOM'!$F$5:$F$160,'菜谱BOM'!$A$5:$A$160,E912,'菜谱BOM'!$C$5:$C$160,"调料")</x:f>
        <x:v>61</x:v>
      </x:c>
      <x:c r="N912" s="38" t="n">
        <x:v>-0.0018849813490838235</x:v>
      </x:c>
      <x:c r="O912" s="35" t="n">
        <x:f>H912*M912*(1+N912)</x:f>
        <x:v>487.0801291016471</x:v>
      </x:c>
      <x:c r="P912" s="19" t="str">
        <x:f>IF(ABS(N912)&gt;'封面与口径'!$O$25,"机器调料需复核",IF(ABS(K912)&gt;0.02,"人工称重需复核","正常"))</x:f>
        <x:v>正常</x:v>
      </x:c>
      <x:c r="Q912" s="19" t="str">
        <x:v>罗文</x:v>
      </x:c>
    </x:row>
    <x:row r="913">
      <x:c r="A913" s="19" t="str">
        <x:v>2026-07-11|S08|D09</x:v>
      </x:c>
      <x:c r="B913" s="34" t="n">
        <x:v>46214.5</x:v>
      </x:c>
      <x:c r="C913" s="19" t="str">
        <x:v>S08</x:v>
      </x:c>
      <x:c r="D913" s="19" t="str">
        <x:v>四季青店</x:v>
      </x:c>
      <x:c r="E913" s="19" t="str">
        <x:v>D09</x:v>
      </x:c>
      <x:c r="F913" s="19" t="str">
        <x:v>炒豆干</x:v>
      </x:c>
      <x:c r="G913" s="19" t="str">
        <x:v>R1.0</x:v>
      </x:c>
      <x:c r="H913" s="20" t="n">
        <x:f>XLOOKUP(A913,'菜品日销量'!$A$5:$A$1124,'菜品日销量'!$G$5:$G$1124,0)</x:f>
        <x:v>11</x:v>
      </x:c>
      <x:c r="I913" s="20" t="n">
        <x:f>ROUNDUP(H913/2,0)</x:f>
        <x:v>6</x:v>
      </x:c>
      <x:c r="J913" s="22" t="n">
        <x:f>SUMIFS('菜谱BOM'!$F$5:$F$160,'菜谱BOM'!$A$5:$A$160,E913,'菜谱BOM'!$C$5:$C$160,"食材")</x:f>
        <x:v>520</x:v>
      </x:c>
      <x:c r="K913" s="38" t="n">
        <x:v>0.006970901537446981</x:v>
      </x:c>
      <x:c r="L913" s="35" t="n">
        <x:f>H913*J913*(1+K913)</x:f>
        <x:v>5759.873556794198</x:v>
      </x:c>
      <x:c r="M913" s="35" t="n">
        <x:f>SUMIFS('菜谱BOM'!$F$5:$F$160,'菜谱BOM'!$A$5:$A$160,E913,'菜谱BOM'!$C$5:$C$160,"调料")</x:f>
        <x:v>42</x:v>
      </x:c>
      <x:c r="N913" s="38" t="n">
        <x:v>-0.0014475898843835085</x:v>
      </x:c>
      <x:c r="O913" s="35" t="n">
        <x:f>H913*M913*(1+N913)</x:f>
        <x:v>461.3312134734148</x:v>
      </x:c>
      <x:c r="P913" s="19" t="str">
        <x:f>IF(ABS(N913)&gt;'封面与口径'!$O$25,"机器调料需复核",IF(ABS(K913)&gt;0.02,"人工称重需复核","正常"))</x:f>
        <x:v>正常</x:v>
      </x:c>
      <x:c r="Q913" s="19" t="str">
        <x:v>罗文</x:v>
      </x:c>
    </x:row>
    <x:row r="914">
      <x:c r="A914" s="19" t="str">
        <x:v>2026-07-11|S08|D10</x:v>
      </x:c>
      <x:c r="B914" s="34" t="n">
        <x:v>46214.5</x:v>
      </x:c>
      <x:c r="C914" s="19" t="str">
        <x:v>S08</x:v>
      </x:c>
      <x:c r="D914" s="19" t="str">
        <x:v>四季青店</x:v>
      </x:c>
      <x:c r="E914" s="19" t="str">
        <x:v>D10</x:v>
      </x:c>
      <x:c r="F914" s="19" t="str">
        <x:v>农家一碗香</x:v>
      </x:c>
      <x:c r="G914" s="19" t="str">
        <x:v>R2.3</x:v>
      </x:c>
      <x:c r="H914" s="20" t="n">
        <x:f>XLOOKUP(A914,'菜品日销量'!$A$5:$A$1124,'菜品日销量'!$G$5:$G$1124,0)</x:f>
        <x:v>11</x:v>
      </x:c>
      <x:c r="I914" s="20" t="n">
        <x:f>ROUNDUP(H914/2,0)</x:f>
        <x:v>6</x:v>
      </x:c>
      <x:c r="J914" s="22" t="n">
        <x:f>SUMIFS('菜谱BOM'!$F$5:$F$160,'菜谱BOM'!$A$5:$A$160,E914,'菜谱BOM'!$C$5:$C$160,"食材")</x:f>
        <x:v>510</x:v>
      </x:c>
      <x:c r="K914" s="38" t="n">
        <x:v>-0.002302635467216055</x:v>
      </x:c>
      <x:c r="L914" s="35" t="n">
        <x:f>H914*J914*(1+K914)</x:f>
        <x:v>5597.082215028918</x:v>
      </x:c>
      <x:c r="M914" s="35" t="n">
        <x:f>SUMIFS('菜谱BOM'!$F$5:$F$160,'菜谱BOM'!$A$5:$A$160,E914,'菜谱BOM'!$C$5:$C$160,"调料")</x:f>
        <x:v>88</x:v>
      </x:c>
      <x:c r="N914" s="38" t="n">
        <x:v>0.0012233718035797056</x:v>
      </x:c>
      <x:c r="O914" s="35" t="n">
        <x:f>H914*M914*(1+N914)</x:f>
        <x:v>969.1842239058651</x:v>
      </x:c>
      <x:c r="P914" s="19" t="str">
        <x:f>IF(ABS(N914)&gt;'封面与口径'!$O$25,"机器调料需复核",IF(ABS(K914)&gt;0.02,"人工称重需复核","正常"))</x:f>
        <x:v>正常</x:v>
      </x:c>
      <x:c r="Q914" s="19" t="str">
        <x:v>罗文</x:v>
      </x:c>
    </x:row>
    <x:row r="915">
      <x:c r="A915" s="19" t="str">
        <x:v>2026-07-11|S08|D11</x:v>
      </x:c>
      <x:c r="B915" s="34" t="n">
        <x:v>46214.5</x:v>
      </x:c>
      <x:c r="C915" s="19" t="str">
        <x:v>S08</x:v>
      </x:c>
      <x:c r="D915" s="19" t="str">
        <x:v>四季青店</x:v>
      </x:c>
      <x:c r="E915" s="19" t="str">
        <x:v>D11</x:v>
      </x:c>
      <x:c r="F915" s="19" t="str">
        <x:v>香辣爆肥肠</x:v>
      </x:c>
      <x:c r="G915" s="19" t="str">
        <x:v>R1.0</x:v>
      </x:c>
      <x:c r="H915" s="20" t="n">
        <x:f>XLOOKUP(A915,'菜品日销量'!$A$5:$A$1124,'菜品日销量'!$G$5:$G$1124,0)</x:f>
        <x:v>4</x:v>
      </x:c>
      <x:c r="I915" s="20" t="n">
        <x:f>ROUNDUP(H915/2,0)</x:f>
        <x:v>2</x:v>
      </x:c>
      <x:c r="J915" s="22" t="n">
        <x:f>SUMIFS('菜谱BOM'!$F$5:$F$160,'菜谱BOM'!$A$5:$A$160,E915,'菜谱BOM'!$C$5:$C$160,"食材")</x:f>
        <x:v>430</x:v>
      </x:c>
      <x:c r="K915" s="38" t="n">
        <x:v>-0.00146428251486837</x:v>
      </x:c>
      <x:c r="L915" s="35" t="n">
        <x:f>H915*J915*(1+K915)</x:f>
        <x:v>1717.4814340744263</x:v>
      </x:c>
      <x:c r="M915" s="35" t="n">
        <x:f>SUMIFS('菜谱BOM'!$F$5:$F$160,'菜谱BOM'!$A$5:$A$160,E915,'菜谱BOM'!$C$5:$C$160,"调料")</x:f>
        <x:v>67</x:v>
      </x:c>
      <x:c r="N915" s="38" t="n">
        <x:v>0.0003694637963477203</x:v>
      </x:c>
      <x:c r="O915" s="35" t="n">
        <x:f>H915*M915*(1+N915)</x:f>
        <x:v>268.09901629742114</x:v>
      </x:c>
      <x:c r="P915" s="19" t="str">
        <x:f>IF(ABS(N915)&gt;'封面与口径'!$O$25,"机器调料需复核",IF(ABS(K915)&gt;0.02,"人工称重需复核","正常"))</x:f>
        <x:v>正常</x:v>
      </x:c>
      <x:c r="Q915" s="19" t="str">
        <x:v>罗文</x:v>
      </x:c>
    </x:row>
    <x:row r="916">
      <x:c r="A916" s="19" t="str">
        <x:v>2026-07-11|S08|D13</x:v>
      </x:c>
      <x:c r="B916" s="34" t="n">
        <x:v>46214.5</x:v>
      </x:c>
      <x:c r="C916" s="19" t="str">
        <x:v>S08</x:v>
      </x:c>
      <x:c r="D916" s="19" t="str">
        <x:v>四季青店</x:v>
      </x:c>
      <x:c r="E916" s="19" t="str">
        <x:v>D13</x:v>
      </x:c>
      <x:c r="F916" s="19" t="str">
        <x:v>外婆菜炒蛋</x:v>
      </x:c>
      <x:c r="G916" s="19" t="str">
        <x:v>R1.0</x:v>
      </x:c>
      <x:c r="H916" s="20" t="n">
        <x:f>XLOOKUP(A916,'菜品日销量'!$A$5:$A$1124,'菜品日销量'!$G$5:$G$1124,0)</x:f>
        <x:v>11</x:v>
      </x:c>
      <x:c r="I916" s="20" t="n">
        <x:f>ROUNDUP(H916/2,0)</x:f>
        <x:v>6</x:v>
      </x:c>
      <x:c r="J916" s="22" t="n">
        <x:f>SUMIFS('菜谱BOM'!$F$5:$F$160,'菜谱BOM'!$A$5:$A$160,E916,'菜谱BOM'!$C$5:$C$160,"食材")</x:f>
        <x:v>450</x:v>
      </x:c>
      <x:c r="K916" s="38" t="n">
        <x:v>-0.005302570502577017</x:v>
      </x:c>
      <x:c r="L916" s="35" t="n">
        <x:f>H916*J916*(1+K916)</x:f>
        <x:v>4923.752276012244</x:v>
      </x:c>
      <x:c r="M916" s="35" t="n">
        <x:f>SUMIFS('菜谱BOM'!$F$5:$F$160,'菜谱BOM'!$A$5:$A$160,E916,'菜谱BOM'!$C$5:$C$160,"调料")</x:f>
        <x:v>37</x:v>
      </x:c>
      <x:c r="N916" s="38" t="n">
        <x:v>-0.0011782638950222787</x:v>
      </x:c>
      <x:c r="O916" s="35" t="n">
        <x:f>H916*M916*(1+N916)</x:f>
        <x:v>406.5204465947259</x:v>
      </x:c>
      <x:c r="P916" s="19" t="str">
        <x:f>IF(ABS(N916)&gt;'封面与口径'!$O$25,"机器调料需复核",IF(ABS(K916)&gt;0.02,"人工称重需复核","正常"))</x:f>
        <x:v>正常</x:v>
      </x:c>
      <x:c r="Q916" s="19" t="str">
        <x:v>罗文</x:v>
      </x:c>
    </x:row>
    <x:row r="917">
      <x:c r="A917" s="19" t="str">
        <x:v>2026-07-11|S08|D14</x:v>
      </x:c>
      <x:c r="B917" s="34" t="n">
        <x:v>46214.5</x:v>
      </x:c>
      <x:c r="C917" s="19" t="str">
        <x:v>S08</x:v>
      </x:c>
      <x:c r="D917" s="19" t="str">
        <x:v>四季青店</x:v>
      </x:c>
      <x:c r="E917" s="19" t="str">
        <x:v>D14</x:v>
      </x:c>
      <x:c r="F917" s="19" t="str">
        <x:v>酸辣鸡杂</x:v>
      </x:c>
      <x:c r="G917" s="19" t="str">
        <x:v>R1.0</x:v>
      </x:c>
      <x:c r="H917" s="20" t="n">
        <x:f>XLOOKUP(A917,'菜品日销量'!$A$5:$A$1124,'菜品日销量'!$G$5:$G$1124,0)</x:f>
        <x:v>5</x:v>
      </x:c>
      <x:c r="I917" s="20" t="n">
        <x:f>ROUNDUP(H917/2,0)</x:f>
        <x:v>3</x:v>
      </x:c>
      <x:c r="J917" s="22" t="n">
        <x:f>SUMIFS('菜谱BOM'!$F$5:$F$160,'菜谱BOM'!$A$5:$A$160,E917,'菜谱BOM'!$C$5:$C$160,"食材")</x:f>
        <x:v>470</x:v>
      </x:c>
      <x:c r="K917" s="38" t="n">
        <x:v>-0.006839761517671812</x:v>
      </x:c>
      <x:c r="L917" s="35" t="n">
        <x:f>H917*J917*(1+K917)</x:f>
        <x:v>2333.926560433471</x:v>
      </x:c>
      <x:c r="M917" s="35" t="n">
        <x:f>SUMIFS('菜谱BOM'!$F$5:$F$160,'菜谱BOM'!$A$5:$A$160,E917,'菜谱BOM'!$C$5:$C$160,"调料")</x:f>
        <x:v>60</x:v>
      </x:c>
      <x:c r="N917" s="38" t="n">
        <x:v>0.0014439375063972403</x:v>
      </x:c>
      <x:c r="O917" s="35" t="n">
        <x:f>H917*M917*(1+N917)</x:f>
        <x:v>300.43318125191917</x:v>
      </x:c>
      <x:c r="P917" s="19" t="str">
        <x:f>IF(ABS(N917)&gt;'封面与口径'!$O$25,"机器调料需复核",IF(ABS(K917)&gt;0.02,"人工称重需复核","正常"))</x:f>
        <x:v>正常</x:v>
      </x:c>
      <x:c r="Q917" s="19" t="str">
        <x:v>罗文</x:v>
      </x:c>
    </x:row>
    <x:row r="918">
      <x:c r="A918" s="19" t="str">
        <x:v>2026-07-11|S08|D15</x:v>
      </x:c>
      <x:c r="B918" s="34" t="n">
        <x:v>46214.5</x:v>
      </x:c>
      <x:c r="C918" s="19" t="str">
        <x:v>S08</x:v>
      </x:c>
      <x:c r="D918" s="19" t="str">
        <x:v>四季青店</x:v>
      </x:c>
      <x:c r="E918" s="19" t="str">
        <x:v>D15</x:v>
      </x:c>
      <x:c r="F918" s="19" t="str">
        <x:v>湘西土匪猪肝</x:v>
      </x:c>
      <x:c r="G918" s="19" t="str">
        <x:v>R1.0</x:v>
      </x:c>
      <x:c r="H918" s="20" t="n">
        <x:f>XLOOKUP(A918,'菜品日销量'!$A$5:$A$1124,'菜品日销量'!$G$5:$G$1124,0)</x:f>
        <x:v>4</x:v>
      </x:c>
      <x:c r="I918" s="20" t="n">
        <x:f>ROUNDUP(H918/2,0)</x:f>
        <x:v>2</x:v>
      </x:c>
      <x:c r="J918" s="22" t="n">
        <x:f>SUMIFS('菜谱BOM'!$F$5:$F$160,'菜谱BOM'!$A$5:$A$160,E918,'菜谱BOM'!$C$5:$C$160,"食材")</x:f>
        <x:v>470</x:v>
      </x:c>
      <x:c r="K918" s="38" t="n">
        <x:v>-0.00761286394661592</x:v>
      </x:c>
      <x:c r="L918" s="35" t="n">
        <x:f>H918*J918*(1+K918)</x:f>
        <x:v>1865.6878157803621</x:v>
      </x:c>
      <x:c r="M918" s="35" t="n">
        <x:f>SUMIFS('菜谱BOM'!$F$5:$F$160,'菜谱BOM'!$A$5:$A$160,E918,'菜谱BOM'!$C$5:$C$160,"调料")</x:f>
        <x:v>49</x:v>
      </x:c>
      <x:c r="N918" s="38" t="n">
        <x:v>0.0006664355161288835</x:v>
      </x:c>
      <x:c r="O918" s="35" t="n">
        <x:f>H918*M918*(1+N918)</x:f>
        <x:v>196.13062136116127</x:v>
      </x:c>
      <x:c r="P918" s="19" t="str">
        <x:f>IF(ABS(N918)&gt;'封面与口径'!$O$25,"机器调料需复核",IF(ABS(K918)&gt;0.02,"人工称重需复核","正常"))</x:f>
        <x:v>正常</x:v>
      </x:c>
      <x:c r="Q918" s="19" t="str">
        <x:v>罗文</x:v>
      </x:c>
    </x:row>
    <x:row r="919">
      <x:c r="A919" s="19" t="str">
        <x:v>2026-07-11|S08|D16</x:v>
      </x:c>
      <x:c r="B919" s="34" t="n">
        <x:v>46214.5</x:v>
      </x:c>
      <x:c r="C919" s="19" t="str">
        <x:v>S08</x:v>
      </x:c>
      <x:c r="D919" s="19" t="str">
        <x:v>四季青店</x:v>
      </x:c>
      <x:c r="E919" s="19" t="str">
        <x:v>D16</x:v>
      </x:c>
      <x:c r="F919" s="19" t="str">
        <x:v>小豆角炒五花</x:v>
      </x:c>
      <x:c r="G919" s="19" t="str">
        <x:v>R1.0</x:v>
      </x:c>
      <x:c r="H919" s="20" t="n">
        <x:f>XLOOKUP(A919,'菜品日销量'!$A$5:$A$1124,'菜品日销量'!$G$5:$G$1124,0)</x:f>
        <x:v>5</x:v>
      </x:c>
      <x:c r="I919" s="20" t="n">
        <x:f>ROUNDUP(H919/2,0)</x:f>
        <x:v>3</x:v>
      </x:c>
      <x:c r="J919" s="22" t="n">
        <x:f>SUMIFS('菜谱BOM'!$F$5:$F$160,'菜谱BOM'!$A$5:$A$160,E919,'菜谱BOM'!$C$5:$C$160,"食材")</x:f>
        <x:v>450</x:v>
      </x:c>
      <x:c r="K919" s="38" t="n">
        <x:v>0.005405424866221246</x:v>
      </x:c>
      <x:c r="L919" s="35" t="n">
        <x:f>H919*J919*(1+K919)</x:f>
        <x:v>2262.162205948998</x:v>
      </x:c>
      <x:c r="M919" s="35" t="n">
        <x:f>SUMIFS('菜谱BOM'!$F$5:$F$160,'菜谱BOM'!$A$5:$A$160,E919,'菜谱BOM'!$C$5:$C$160,"调料")</x:f>
        <x:v>42</x:v>
      </x:c>
      <x:c r="N919" s="38" t="n">
        <x:v>-0.0004432614209231132</x:v>
      </x:c>
      <x:c r="O919" s="35" t="n">
        <x:f>H919*M919*(1+N919)</x:f>
        <x:v>209.90691510160616</x:v>
      </x:c>
      <x:c r="P919" s="19" t="str">
        <x:f>IF(ABS(N919)&gt;'封面与口径'!$O$25,"机器调料需复核",IF(ABS(K919)&gt;0.02,"人工称重需复核","正常"))</x:f>
        <x:v>正常</x:v>
      </x:c>
      <x:c r="Q919" s="19" t="str">
        <x:v>罗文</x:v>
      </x:c>
    </x:row>
    <x:row r="920">
      <x:c r="A920" s="19" t="str">
        <x:v>2026-07-11|S08|D18</x:v>
      </x:c>
      <x:c r="B920" s="34" t="n">
        <x:v>46214.5</x:v>
      </x:c>
      <x:c r="C920" s="19" t="str">
        <x:v>S08</x:v>
      </x:c>
      <x:c r="D920" s="19" t="str">
        <x:v>四季青店</x:v>
      </x:c>
      <x:c r="E920" s="19" t="str">
        <x:v>D18</x:v>
      </x:c>
      <x:c r="F920" s="19" t="str">
        <x:v>青椒炒油麦菜</x:v>
      </x:c>
      <x:c r="G920" s="19" t="str">
        <x:v>R1.0</x:v>
      </x:c>
      <x:c r="H920" s="20" t="n">
        <x:f>XLOOKUP(A920,'菜品日销量'!$A$5:$A$1124,'菜品日销量'!$G$5:$G$1124,0)</x:f>
        <x:v>5</x:v>
      </x:c>
      <x:c r="I920" s="20" t="n">
        <x:f>ROUNDUP(H920/2,0)</x:f>
        <x:v>3</x:v>
      </x:c>
      <x:c r="J920" s="22" t="n">
        <x:f>SUMIFS('菜谱BOM'!$F$5:$F$160,'菜谱BOM'!$A$5:$A$160,E920,'菜谱BOM'!$C$5:$C$160,"食材")</x:f>
        <x:v>430</x:v>
      </x:c>
      <x:c r="K920" s="38" t="n">
        <x:v>0.004791122253237088</x:v>
      </x:c>
      <x:c r="L920" s="35" t="n">
        <x:f>H920*J920*(1+K920)</x:f>
        <x:v>2160.3009128444596</x:v>
      </x:c>
      <x:c r="M920" s="35" t="n">
        <x:f>SUMIFS('菜谱BOM'!$F$5:$F$160,'菜谱BOM'!$A$5:$A$160,E920,'菜谱BOM'!$C$5:$C$160,"调料")</x:f>
        <x:v>33</x:v>
      </x:c>
      <x:c r="N920" s="38" t="n">
        <x:v>-0.0015085008525076557</x:v>
      </x:c>
      <x:c r="O920" s="35" t="n">
        <x:f>H920*M920*(1+N920)</x:f>
        <x:v>164.75109735933623</x:v>
      </x:c>
      <x:c r="P920" s="19" t="str">
        <x:f>IF(ABS(N920)&gt;'封面与口径'!$O$25,"机器调料需复核",IF(ABS(K920)&gt;0.02,"人工称重需复核","正常"))</x:f>
        <x:v>正常</x:v>
      </x:c>
      <x:c r="Q920" s="19" t="str">
        <x:v>罗文</x:v>
      </x:c>
    </x:row>
    <x:row r="921">
      <x:c r="A921" s="19" t="str">
        <x:v>2026-07-11|S08|D19</x:v>
      </x:c>
      <x:c r="B921" s="34" t="n">
        <x:v>46214.5</x:v>
      </x:c>
      <x:c r="C921" s="19" t="str">
        <x:v>S08</x:v>
      </x:c>
      <x:c r="D921" s="19" t="str">
        <x:v>四季青店</x:v>
      </x:c>
      <x:c r="E921" s="19" t="str">
        <x:v>D19</x:v>
      </x:c>
      <x:c r="F921" s="19" t="str">
        <x:v>酸萝卜炒鸡杂</x:v>
      </x:c>
      <x:c r="G921" s="19" t="str">
        <x:v>R1.0</x:v>
      </x:c>
      <x:c r="H921" s="20" t="n">
        <x:f>XLOOKUP(A921,'菜品日销量'!$A$5:$A$1124,'菜品日销量'!$G$5:$G$1124,0)</x:f>
        <x:v>4</x:v>
      </x:c>
      <x:c r="I921" s="20" t="n">
        <x:f>ROUNDUP(H921/2,0)</x:f>
        <x:v>2</x:v>
      </x:c>
      <x:c r="J921" s="22" t="n">
        <x:f>SUMIFS('菜谱BOM'!$F$5:$F$160,'菜谱BOM'!$A$5:$A$160,E921,'菜谱BOM'!$C$5:$C$160,"食材")</x:f>
        <x:v>500</x:v>
      </x:c>
      <x:c r="K921" s="38" t="n">
        <x:v>0.0007147119922364862</x:v>
      </x:c>
      <x:c r="L921" s="35" t="n">
        <x:f>H921*J921*(1+K921)</x:f>
        <x:v>2001.4294239844728</x:v>
      </x:c>
      <x:c r="M921" s="35" t="n">
        <x:f>SUMIFS('菜谱BOM'!$F$5:$F$160,'菜谱BOM'!$A$5:$A$160,E921,'菜谱BOM'!$C$5:$C$160,"调料")</x:f>
        <x:v>55</x:v>
      </x:c>
      <x:c r="N921" s="38" t="n">
        <x:v>-0.0004021298713987065</x:v>
      </x:c>
      <x:c r="O921" s="35" t="n">
        <x:f>H921*M921*(1+N921)</x:f>
        <x:v>219.91153142829228</x:v>
      </x:c>
      <x:c r="P921" s="19" t="str">
        <x:f>IF(ABS(N921)&gt;'封面与口径'!$O$25,"机器调料需复核",IF(ABS(K921)&gt;0.02,"人工称重需复核","正常"))</x:f>
        <x:v>正常</x:v>
      </x:c>
      <x:c r="Q921" s="19" t="str">
        <x:v>罗文</x:v>
      </x:c>
    </x:row>
    <x:row r="922">
      <x:c r="A922" s="19" t="str">
        <x:v>2026-07-11|S08|D20</x:v>
      </x:c>
      <x:c r="B922" s="34" t="n">
        <x:v>46214.5</x:v>
      </x:c>
      <x:c r="C922" s="19" t="str">
        <x:v>S08</x:v>
      </x:c>
      <x:c r="D922" s="19" t="str">
        <x:v>四季青店</x:v>
      </x:c>
      <x:c r="E922" s="19" t="str">
        <x:v>D20</x:v>
      </x:c>
      <x:c r="F922" s="19" t="str">
        <x:v>雪菜肉末青豆</x:v>
      </x:c>
      <x:c r="G922" s="19" t="str">
        <x:v>R1.0</x:v>
      </x:c>
      <x:c r="H922" s="20" t="n">
        <x:f>XLOOKUP(A922,'菜品日销量'!$A$5:$A$1124,'菜品日销量'!$G$5:$G$1124,0)</x:f>
        <x:v>5</x:v>
      </x:c>
      <x:c r="I922" s="20" t="n">
        <x:f>ROUNDUP(H922/2,0)</x:f>
        <x:v>3</x:v>
      </x:c>
      <x:c r="J922" s="22" t="n">
        <x:f>SUMIFS('菜谱BOM'!$F$5:$F$160,'菜谱BOM'!$A$5:$A$160,E922,'菜谱BOM'!$C$5:$C$160,"食材")</x:f>
        <x:v>465</x:v>
      </x:c>
      <x:c r="K922" s="38" t="n">
        <x:v>0.002805272190553433</x:v>
      </x:c>
      <x:c r="L922" s="35" t="n">
        <x:f>H922*J922*(1+K922)</x:f>
        <x:v>2331.5222578430366</x:v>
      </x:c>
      <x:c r="M922" s="35" t="n">
        <x:f>SUMIFS('菜谱BOM'!$F$5:$F$160,'菜谱BOM'!$A$5:$A$160,E922,'菜谱BOM'!$C$5:$C$160,"调料")</x:f>
        <x:v>32</x:v>
      </x:c>
      <x:c r="N922" s="38" t="n">
        <x:v>0.00047196538990176417</x:v>
      </x:c>
      <x:c r="O922" s="35" t="n">
        <x:f>H922*M922*(1+N922)</x:f>
        <x:v>160.07551446238426</x:v>
      </x:c>
      <x:c r="P922" s="19" t="str">
        <x:f>IF(ABS(N922)&gt;'封面与口径'!$O$25,"机器调料需复核",IF(ABS(K922)&gt;0.02,"人工称重需复核","正常"))</x:f>
        <x:v>正常</x:v>
      </x:c>
      <x:c r="Q922" s="19" t="str">
        <x:v>罗文</x:v>
      </x:c>
    </x:row>
    <x:row r="923">
      <x:c r="A923" s="19" t="str">
        <x:v>2026-07-12|S08|D01</x:v>
      </x:c>
      <x:c r="B923" s="34" t="n">
        <x:v>46215.5</x:v>
      </x:c>
      <x:c r="C923" s="19" t="str">
        <x:v>S08</x:v>
      </x:c>
      <x:c r="D923" s="19" t="str">
        <x:v>四季青店</x:v>
      </x:c>
      <x:c r="E923" s="19" t="str">
        <x:v>D01</x:v>
      </x:c>
      <x:c r="F923" s="19" t="str">
        <x:v>辣椒炒肉</x:v>
      </x:c>
      <x:c r="G923" s="19" t="str">
        <x:v>R2.3</x:v>
      </x:c>
      <x:c r="H923" s="20" t="n">
        <x:f>XLOOKUP(A923,'菜品日销量'!$A$5:$A$1124,'菜品日销量'!$G$5:$G$1124,0)</x:f>
        <x:v>32</x:v>
      </x:c>
      <x:c r="I923" s="20" t="n">
        <x:f>ROUNDUP(H923/2,0)</x:f>
        <x:v>16</x:v>
      </x:c>
      <x:c r="J923" s="22" t="n">
        <x:f>SUMIFS('菜谱BOM'!$F$5:$F$160,'菜谱BOM'!$A$5:$A$160,E923,'菜谱BOM'!$C$5:$C$160,"食材")</x:f>
        <x:v>550</x:v>
      </x:c>
      <x:c r="K923" s="38" t="n">
        <x:v>0.006272370099619117</x:v>
      </x:c>
      <x:c r="L923" s="35" t="n">
        <x:f>H923*J923*(1+K923)</x:f>
        <x:v>17710.393713753296</x:v>
      </x:c>
      <x:c r="M923" s="35" t="n">
        <x:f>SUMIFS('菜谱BOM'!$F$5:$F$160,'菜谱BOM'!$A$5:$A$160,E923,'菜谱BOM'!$C$5:$C$160,"调料")</x:f>
        <x:v>104</x:v>
      </x:c>
      <x:c r="N923" s="38" t="n">
        <x:v>-0.0008983603173164558</x:v>
      </x:c>
      <x:c r="O923" s="35" t="n">
        <x:f>H923*M923*(1+N923)</x:f>
        <x:v>3325.010256863971</x:v>
      </x:c>
      <x:c r="P923" s="19" t="str">
        <x:f>IF(ABS(N923)&gt;'封面与口径'!$O$25,"机器调料需复核",IF(ABS(K923)&gt;0.02,"人工称重需复核","正常"))</x:f>
        <x:v>正常</x:v>
      </x:c>
      <x:c r="Q923" s="19" t="str">
        <x:v>罗文</x:v>
      </x:c>
    </x:row>
    <x:row r="924">
      <x:c r="A924" s="19" t="str">
        <x:v>2026-07-12|S08|D02</x:v>
      </x:c>
      <x:c r="B924" s="34" t="n">
        <x:v>46215.5</x:v>
      </x:c>
      <x:c r="C924" s="19" t="str">
        <x:v>S08</x:v>
      </x:c>
      <x:c r="D924" s="19" t="str">
        <x:v>四季青店</x:v>
      </x:c>
      <x:c r="E924" s="19" t="str">
        <x:v>D02</x:v>
      </x:c>
      <x:c r="F924" s="19" t="str">
        <x:v>小炒黄牛肉</x:v>
      </x:c>
      <x:c r="G924" s="19" t="str">
        <x:v>R2.3</x:v>
      </x:c>
      <x:c r="H924" s="20" t="n">
        <x:f>XLOOKUP(A924,'菜品日销量'!$A$5:$A$1124,'菜品日销量'!$G$5:$G$1124,0)</x:f>
        <x:v>24</x:v>
      </x:c>
      <x:c r="I924" s="20" t="n">
        <x:f>ROUNDUP(H924/2,0)</x:f>
        <x:v>12</x:v>
      </x:c>
      <x:c r="J924" s="22" t="n">
        <x:f>SUMIFS('菜谱BOM'!$F$5:$F$160,'菜谱BOM'!$A$5:$A$160,E924,'菜谱BOM'!$C$5:$C$160,"食材")</x:f>
        <x:v>560</x:v>
      </x:c>
      <x:c r="K924" s="38" t="n">
        <x:v>-0.0017308212355083832</x:v>
      </x:c>
      <x:c r="L924" s="35" t="n">
        <x:f>H924*J924*(1+K924)</x:f>
        <x:v>13416.737762594767</x:v>
      </x:c>
      <x:c r="M924" s="35" t="n">
        <x:f>SUMIFS('菜谱BOM'!$F$5:$F$160,'菜谱BOM'!$A$5:$A$160,E924,'菜谱BOM'!$C$5:$C$160,"调料")</x:f>
        <x:v>133</x:v>
      </x:c>
      <x:c r="N924" s="38" t="n">
        <x:v>0.0004521376617374218</x:v>
      </x:c>
      <x:c r="O924" s="35" t="n">
        <x:f>H924*M924*(1+N924)</x:f>
        <x:v>3193.443223416266</x:v>
      </x:c>
      <x:c r="P924" s="19" t="str">
        <x:f>IF(ABS(N924)&gt;'封面与口径'!$O$25,"机器调料需复核",IF(ABS(K924)&gt;0.02,"人工称重需复核","正常"))</x:f>
        <x:v>正常</x:v>
      </x:c>
      <x:c r="Q924" s="19" t="str">
        <x:v>罗文</x:v>
      </x:c>
    </x:row>
    <x:row r="925">
      <x:c r="A925" s="19" t="str">
        <x:v>2026-07-12|S08|D03</x:v>
      </x:c>
      <x:c r="B925" s="34" t="n">
        <x:v>46215.5</x:v>
      </x:c>
      <x:c r="C925" s="19" t="str">
        <x:v>S08</x:v>
      </x:c>
      <x:c r="D925" s="19" t="str">
        <x:v>四季青店</x:v>
      </x:c>
      <x:c r="E925" s="19" t="str">
        <x:v>D03</x:v>
      </x:c>
      <x:c r="F925" s="19" t="str">
        <x:v>香醋炒蛋</x:v>
      </x:c>
      <x:c r="G925" s="19" t="str">
        <x:v>R1.0</x:v>
      </x:c>
      <x:c r="H925" s="20" t="n">
        <x:f>XLOOKUP(A925,'菜品日销量'!$A$5:$A$1124,'菜品日销量'!$G$5:$G$1124,0)</x:f>
        <x:v>27</x:v>
      </x:c>
      <x:c r="I925" s="20" t="n">
        <x:f>ROUNDUP(H925/2,0)</x:f>
        <x:v>14</x:v>
      </x:c>
      <x:c r="J925" s="22" t="n">
        <x:f>SUMIFS('菜谱BOM'!$F$5:$F$160,'菜谱BOM'!$A$5:$A$160,E925,'菜谱BOM'!$C$5:$C$160,"食材")</x:f>
        <x:v>300</x:v>
      </x:c>
      <x:c r="K925" s="38" t="n">
        <x:v>0.00243408211191047</x:v>
      </x:c>
      <x:c r="L925" s="35" t="n">
        <x:f>H925*J925*(1+K925)</x:f>
        <x:v>8119.716065106474</x:v>
      </x:c>
      <x:c r="M925" s="35" t="n">
        <x:f>SUMIFS('菜谱BOM'!$F$5:$F$160,'菜谱BOM'!$A$5:$A$160,E925,'菜谱BOM'!$C$5:$C$160,"调料")</x:f>
        <x:v>53</x:v>
      </x:c>
      <x:c r="N925" s="38" t="n">
        <x:v>0.0015151906692225463</x:v>
      </x:c>
      <x:c r="O925" s="35" t="n">
        <x:f>H925*M925*(1+N925)</x:f>
        <x:v>1433.1682378476576</x:v>
      </x:c>
      <x:c r="P925" s="19" t="str">
        <x:f>IF(ABS(N925)&gt;'封面与口径'!$O$25,"机器调料需复核",IF(ABS(K925)&gt;0.02,"人工称重需复核","正常"))</x:f>
        <x:v>正常</x:v>
      </x:c>
      <x:c r="Q925" s="19" t="str">
        <x:v>罗文</x:v>
      </x:c>
    </x:row>
    <x:row r="926">
      <x:c r="A926" s="19" t="str">
        <x:v>2026-07-12|S08|D04</x:v>
      </x:c>
      <x:c r="B926" s="34" t="n">
        <x:v>46215.5</x:v>
      </x:c>
      <x:c r="C926" s="19" t="str">
        <x:v>S08</x:v>
      </x:c>
      <x:c r="D926" s="19" t="str">
        <x:v>四季青店</x:v>
      </x:c>
      <x:c r="E926" s="19" t="str">
        <x:v>D04</x:v>
      </x:c>
      <x:c r="F926" s="19" t="str">
        <x:v>酸包菜炒粉皮</x:v>
      </x:c>
      <x:c r="G926" s="19" t="str">
        <x:v>R1.0</x:v>
      </x:c>
      <x:c r="H926" s="20" t="n">
        <x:f>XLOOKUP(A926,'菜品日销量'!$A$5:$A$1124,'菜品日销量'!$G$5:$G$1124,0)</x:f>
        <x:v>25</x:v>
      </x:c>
      <x:c r="I926" s="20" t="n">
        <x:f>ROUNDUP(H926/2,0)</x:f>
        <x:v>13</x:v>
      </x:c>
      <x:c r="J926" s="22" t="n">
        <x:f>SUMIFS('菜谱BOM'!$F$5:$F$160,'菜谱BOM'!$A$5:$A$160,E926,'菜谱BOM'!$C$5:$C$160,"食材")</x:f>
        <x:v>380</x:v>
      </x:c>
      <x:c r="K926" s="38" t="n">
        <x:v>0.006425200920185354</x:v>
      </x:c>
      <x:c r="L926" s="35" t="n">
        <x:f>H926*J926*(1+K926)</x:f>
        <x:v>9561.03940874176</x:v>
      </x:c>
      <x:c r="M926" s="35" t="n">
        <x:f>SUMIFS('菜谱BOM'!$F$5:$F$160,'菜谱BOM'!$A$5:$A$160,E926,'菜谱BOM'!$C$5:$C$160,"调料")</x:f>
        <x:v>47</x:v>
      </x:c>
      <x:c r="N926" s="38" t="n">
        <x:v>0.0008288374205187053</x:v>
      </x:c>
      <x:c r="O926" s="35" t="n">
        <x:f>H926*M926*(1+N926)</x:f>
        <x:v>1175.9738839691095</x:v>
      </x:c>
      <x:c r="P926" s="19" t="str">
        <x:f>IF(ABS(N926)&gt;'封面与口径'!$O$25,"机器调料需复核",IF(ABS(K926)&gt;0.02,"人工称重需复核","正常"))</x:f>
        <x:v>正常</x:v>
      </x:c>
      <x:c r="Q926" s="19" t="str">
        <x:v>罗文</x:v>
      </x:c>
    </x:row>
    <x:row r="927">
      <x:c r="A927" s="19" t="str">
        <x:v>2026-07-12|S08|D05</x:v>
      </x:c>
      <x:c r="B927" s="34" t="n">
        <x:v>46215.5</x:v>
      </x:c>
      <x:c r="C927" s="19" t="str">
        <x:v>S08</x:v>
      </x:c>
      <x:c r="D927" s="19" t="str">
        <x:v>四季青店</x:v>
      </x:c>
      <x:c r="E927" s="19" t="str">
        <x:v>D05</x:v>
      </x:c>
      <x:c r="F927" s="19" t="str">
        <x:v>麻婆豆腐</x:v>
      </x:c>
      <x:c r="G927" s="19" t="str">
        <x:v>R1.0</x:v>
      </x:c>
      <x:c r="H927" s="20" t="n">
        <x:f>XLOOKUP(A927,'菜品日销量'!$A$5:$A$1124,'菜品日销量'!$G$5:$G$1124,0)</x:f>
        <x:v>34</x:v>
      </x:c>
      <x:c r="I927" s="20" t="n">
        <x:f>ROUNDUP(H927/2,0)</x:f>
        <x:v>17</x:v>
      </x:c>
      <x:c r="J927" s="22" t="n">
        <x:f>SUMIFS('菜谱BOM'!$F$5:$F$160,'菜谱BOM'!$A$5:$A$160,E927,'菜谱BOM'!$C$5:$C$160,"食材")</x:f>
        <x:v>505</x:v>
      </x:c>
      <x:c r="K927" s="38" t="n">
        <x:v>0.00412576563566126</x:v>
      </x:c>
      <x:c r="L927" s="35" t="n">
        <x:f>H927*J927*(1+K927)</x:f>
        <x:v>17240.839395964304</x:v>
      </x:c>
      <x:c r="M927" s="35" t="n">
        <x:f>SUMIFS('菜谱BOM'!$F$5:$F$160,'菜谱BOM'!$A$5:$A$160,E927,'菜谱BOM'!$C$5:$C$160,"调料")</x:f>
        <x:v>90</x:v>
      </x:c>
      <x:c r="N927" s="38" t="n">
        <x:v>0.0014375804428564338</x:v>
      </x:c>
      <x:c r="O927" s="35" t="n">
        <x:f>H927*M927*(1+N927)</x:f>
        <x:v>3064.3989961551406</x:v>
      </x:c>
      <x:c r="P927" s="19" t="str">
        <x:f>IF(ABS(N927)&gt;'封面与口径'!$O$25,"机器调料需复核",IF(ABS(K927)&gt;0.02,"人工称重需复核","正常"))</x:f>
        <x:v>正常</x:v>
      </x:c>
      <x:c r="Q927" s="19" t="str">
        <x:v>罗文</x:v>
      </x:c>
    </x:row>
    <x:row r="928">
      <x:c r="A928" s="19" t="str">
        <x:v>2026-07-12|S08|D07</x:v>
      </x:c>
      <x:c r="B928" s="34" t="n">
        <x:v>46215.5</x:v>
      </x:c>
      <x:c r="C928" s="19" t="str">
        <x:v>S08</x:v>
      </x:c>
      <x:c r="D928" s="19" t="str">
        <x:v>四季青店</x:v>
      </x:c>
      <x:c r="E928" s="19" t="str">
        <x:v>D07</x:v>
      </x:c>
      <x:c r="F928" s="19" t="str">
        <x:v>川味回锅肉</x:v>
      </x:c>
      <x:c r="G928" s="19" t="str">
        <x:v>R1.0</x:v>
      </x:c>
      <x:c r="H928" s="20" t="n">
        <x:f>XLOOKUP(A928,'菜品日销量'!$A$5:$A$1124,'菜品日销量'!$G$5:$G$1124,0)</x:f>
        <x:v>9</x:v>
      </x:c>
      <x:c r="I928" s="20" t="n">
        <x:f>ROUNDUP(H928/2,0)</x:f>
        <x:v>5</x:v>
      </x:c>
      <x:c r="J928" s="22" t="n">
        <x:f>SUMIFS('菜谱BOM'!$F$5:$F$160,'菜谱BOM'!$A$5:$A$160,E928,'菜谱BOM'!$C$5:$C$160,"食材")</x:f>
        <x:v>450</x:v>
      </x:c>
      <x:c r="K928" s="38" t="n">
        <x:v>0.0040409785276374266</x:v>
      </x:c>
      <x:c r="L928" s="35" t="n">
        <x:f>H928*J928*(1+K928)</x:f>
        <x:v>4066.3659630369316</x:v>
      </x:c>
      <x:c r="M928" s="35" t="n">
        <x:f>SUMIFS('菜谱BOM'!$F$5:$F$160,'菜谱BOM'!$A$5:$A$160,E928,'菜谱BOM'!$C$5:$C$160,"调料")</x:f>
        <x:v>63</x:v>
      </x:c>
      <x:c r="N928" s="38" t="n">
        <x:v>0.0004466252816949563</x:v>
      </x:c>
      <x:c r="O928" s="35" t="n">
        <x:f>H928*M928*(1+N928)</x:f>
        <x:v>567.253236534721</x:v>
      </x:c>
      <x:c r="P928" s="19" t="str">
        <x:f>IF(ABS(N928)&gt;'封面与口径'!$O$25,"机器调料需复核",IF(ABS(K928)&gt;0.02,"人工称重需复核","正常"))</x:f>
        <x:v>正常</x:v>
      </x:c>
      <x:c r="Q928" s="19" t="str">
        <x:v>罗文</x:v>
      </x:c>
    </x:row>
    <x:row r="929">
      <x:c r="A929" s="19" t="str">
        <x:v>2026-07-12|S08|D08</x:v>
      </x:c>
      <x:c r="B929" s="34" t="n">
        <x:v>46215.5</x:v>
      </x:c>
      <x:c r="C929" s="19" t="str">
        <x:v>S08</x:v>
      </x:c>
      <x:c r="D929" s="19" t="str">
        <x:v>四季青店</x:v>
      </x:c>
      <x:c r="E929" s="19" t="str">
        <x:v>D08</x:v>
      </x:c>
      <x:c r="F929" s="19" t="str">
        <x:v>生炒清远鸡</x:v>
      </x:c>
      <x:c r="G929" s="19" t="str">
        <x:v>R1.0</x:v>
      </x:c>
      <x:c r="H929" s="20" t="n">
        <x:f>XLOOKUP(A929,'菜品日销量'!$A$5:$A$1124,'菜品日销量'!$G$5:$G$1124,0)</x:f>
        <x:v>6</x:v>
      </x:c>
      <x:c r="I929" s="20" t="n">
        <x:f>ROUNDUP(H929/2,0)</x:f>
        <x:v>3</x:v>
      </x:c>
      <x:c r="J929" s="22" t="n">
        <x:f>SUMIFS('菜谱BOM'!$F$5:$F$160,'菜谱BOM'!$A$5:$A$160,E929,'菜谱BOM'!$C$5:$C$160,"食材")</x:f>
        <x:v>610</x:v>
      </x:c>
      <x:c r="K929" s="38" t="n">
        <x:v>-0.002080759948603986</x:v>
      </x:c>
      <x:c r="L929" s="35" t="n">
        <x:f>H929*J929*(1+K929)</x:f>
        <x:v>3652.3844185881094</x:v>
      </x:c>
      <x:c r="M929" s="35" t="n">
        <x:f>SUMIFS('菜谱BOM'!$F$5:$F$160,'菜谱BOM'!$A$5:$A$160,E929,'菜谱BOM'!$C$5:$C$160,"调料")</x:f>
        <x:v>61</x:v>
      </x:c>
      <x:c r="N929" s="38" t="n">
        <x:v>-0.0007373559257801054</x:v>
      </x:c>
      <x:c r="O929" s="35" t="n">
        <x:f>H929*M929*(1+N929)</x:f>
        <x:v>365.7301277311645</x:v>
      </x:c>
      <x:c r="P929" s="19" t="str">
        <x:f>IF(ABS(N929)&gt;'封面与口径'!$O$25,"机器调料需复核",IF(ABS(K929)&gt;0.02,"人工称重需复核","正常"))</x:f>
        <x:v>正常</x:v>
      </x:c>
      <x:c r="Q929" s="19" t="str">
        <x:v>罗文</x:v>
      </x:c>
    </x:row>
    <x:row r="930">
      <x:c r="A930" s="19" t="str">
        <x:v>2026-07-12|S08|D09</x:v>
      </x:c>
      <x:c r="B930" s="34" t="n">
        <x:v>46215.5</x:v>
      </x:c>
      <x:c r="C930" s="19" t="str">
        <x:v>S08</x:v>
      </x:c>
      <x:c r="D930" s="19" t="str">
        <x:v>四季青店</x:v>
      </x:c>
      <x:c r="E930" s="19" t="str">
        <x:v>D09</x:v>
      </x:c>
      <x:c r="F930" s="19" t="str">
        <x:v>炒豆干</x:v>
      </x:c>
      <x:c r="G930" s="19" t="str">
        <x:v>R1.0</x:v>
      </x:c>
      <x:c r="H930" s="20" t="n">
        <x:f>XLOOKUP(A930,'菜品日销量'!$A$5:$A$1124,'菜品日销量'!$G$5:$G$1124,0)</x:f>
        <x:v>10</x:v>
      </x:c>
      <x:c r="I930" s="20" t="n">
        <x:f>ROUNDUP(H930/2,0)</x:f>
        <x:v>5</x:v>
      </x:c>
      <x:c r="J930" s="22" t="n">
        <x:f>SUMIFS('菜谱BOM'!$F$5:$F$160,'菜谱BOM'!$A$5:$A$160,E930,'菜谱BOM'!$C$5:$C$160,"食材")</x:f>
        <x:v>520</x:v>
      </x:c>
      <x:c r="K930" s="38" t="n">
        <x:v>0.004142964451607076</x:v>
      </x:c>
      <x:c r="L930" s="35" t="n">
        <x:f>H930*J930*(1+K930)</x:f>
        <x:v>5221.543415148357</x:v>
      </x:c>
      <x:c r="M930" s="35" t="n">
        <x:f>SUMIFS('菜谱BOM'!$F$5:$F$160,'菜谱BOM'!$A$5:$A$160,E930,'菜谱BOM'!$C$5:$C$160,"调料")</x:f>
        <x:v>42</x:v>
      </x:c>
      <x:c r="N930" s="38" t="n">
        <x:v>0.0003689189726414437</x:v>
      </x:c>
      <x:c r="O930" s="35" t="n">
        <x:f>H930*M930*(1+N930)</x:f>
        <x:v>420.1549459685094</x:v>
      </x:c>
      <x:c r="P930" s="19" t="str">
        <x:f>IF(ABS(N930)&gt;'封面与口径'!$O$25,"机器调料需复核",IF(ABS(K930)&gt;0.02,"人工称重需复核","正常"))</x:f>
        <x:v>正常</x:v>
      </x:c>
      <x:c r="Q930" s="19" t="str">
        <x:v>罗文</x:v>
      </x:c>
    </x:row>
    <x:row r="931">
      <x:c r="A931" s="19" t="str">
        <x:v>2026-07-12|S08|D10</x:v>
      </x:c>
      <x:c r="B931" s="34" t="n">
        <x:v>46215.5</x:v>
      </x:c>
      <x:c r="C931" s="19" t="str">
        <x:v>S08</x:v>
      </x:c>
      <x:c r="D931" s="19" t="str">
        <x:v>四季青店</x:v>
      </x:c>
      <x:c r="E931" s="19" t="str">
        <x:v>D10</x:v>
      </x:c>
      <x:c r="F931" s="19" t="str">
        <x:v>农家一碗香</x:v>
      </x:c>
      <x:c r="G931" s="19" t="str">
        <x:v>R2.3</x:v>
      </x:c>
      <x:c r="H931" s="20" t="n">
        <x:f>XLOOKUP(A931,'菜品日销量'!$A$5:$A$1124,'菜品日销量'!$G$5:$G$1124,0)</x:f>
        <x:v>11</x:v>
      </x:c>
      <x:c r="I931" s="20" t="n">
        <x:f>ROUNDUP(H931/2,0)</x:f>
        <x:v>6</x:v>
      </x:c>
      <x:c r="J931" s="22" t="n">
        <x:f>SUMIFS('菜谱BOM'!$F$5:$F$160,'菜谱BOM'!$A$5:$A$160,E931,'菜谱BOM'!$C$5:$C$160,"食材")</x:f>
        <x:v>510</x:v>
      </x:c>
      <x:c r="K931" s="38" t="n">
        <x:v>-0.006600753765227449</x:v>
      </x:c>
      <x:c r="L931" s="35" t="n">
        <x:f>H931*J931*(1+K931)</x:f>
        <x:v>5572.969771377075</x:v>
      </x:c>
      <x:c r="M931" s="35" t="n">
        <x:f>SUMIFS('菜谱BOM'!$F$5:$F$160,'菜谱BOM'!$A$5:$A$160,E931,'菜谱BOM'!$C$5:$C$160,"调料")</x:f>
        <x:v>88</x:v>
      </x:c>
      <x:c r="N931" s="38" t="n">
        <x:v>0.0006188602677124693</x:v>
      </x:c>
      <x:c r="O931" s="35" t="n">
        <x:f>H931*M931*(1+N931)</x:f>
        <x:v>968.5990567391456</x:v>
      </x:c>
      <x:c r="P931" s="19" t="str">
        <x:f>IF(ABS(N931)&gt;'封面与口径'!$O$25,"机器调料需复核",IF(ABS(K931)&gt;0.02,"人工称重需复核","正常"))</x:f>
        <x:v>正常</x:v>
      </x:c>
      <x:c r="Q931" s="19" t="str">
        <x:v>罗文</x:v>
      </x:c>
    </x:row>
    <x:row r="932">
      <x:c r="A932" s="19" t="str">
        <x:v>2026-07-12|S08|D11</x:v>
      </x:c>
      <x:c r="B932" s="34" t="n">
        <x:v>46215.5</x:v>
      </x:c>
      <x:c r="C932" s="19" t="str">
        <x:v>S08</x:v>
      </x:c>
      <x:c r="D932" s="19" t="str">
        <x:v>四季青店</x:v>
      </x:c>
      <x:c r="E932" s="19" t="str">
        <x:v>D11</x:v>
      </x:c>
      <x:c r="F932" s="19" t="str">
        <x:v>香辣爆肥肠</x:v>
      </x:c>
      <x:c r="G932" s="19" t="str">
        <x:v>R1.0</x:v>
      </x:c>
      <x:c r="H932" s="20" t="n">
        <x:f>XLOOKUP(A932,'菜品日销量'!$A$5:$A$1124,'菜品日销量'!$G$5:$G$1124,0)</x:f>
        <x:v>4</x:v>
      </x:c>
      <x:c r="I932" s="20" t="n">
        <x:f>ROUNDUP(H932/2,0)</x:f>
        <x:v>2</x:v>
      </x:c>
      <x:c r="J932" s="22" t="n">
        <x:f>SUMIFS('菜谱BOM'!$F$5:$F$160,'菜谱BOM'!$A$5:$A$160,E932,'菜谱BOM'!$C$5:$C$160,"食材")</x:f>
        <x:v>430</x:v>
      </x:c>
      <x:c r="K932" s="38" t="n">
        <x:v>0.0005903662016127171</x:v>
      </x:c>
      <x:c r="L932" s="35" t="n">
        <x:f>H932*J932*(1+K932)</x:f>
        <x:v>1721.0154298667737</x:v>
      </x:c>
      <x:c r="M932" s="35" t="n">
        <x:f>SUMIFS('菜谱BOM'!$F$5:$F$160,'菜谱BOM'!$A$5:$A$160,E932,'菜谱BOM'!$C$5:$C$160,"调料")</x:f>
        <x:v>67</x:v>
      </x:c>
      <x:c r="N932" s="38" t="n">
        <x:v>0.0012932303825610387</x:v>
      </x:c>
      <x:c r="O932" s="35" t="n">
        <x:f>H932*M932*(1+N932)</x:f>
        <x:v>268.3465857425264</x:v>
      </x:c>
      <x:c r="P932" s="19" t="str">
        <x:f>IF(ABS(N932)&gt;'封面与口径'!$O$25,"机器调料需复核",IF(ABS(K932)&gt;0.02,"人工称重需复核","正常"))</x:f>
        <x:v>正常</x:v>
      </x:c>
      <x:c r="Q932" s="19" t="str">
        <x:v>罗文</x:v>
      </x:c>
    </x:row>
    <x:row r="933">
      <x:c r="A933" s="19" t="str">
        <x:v>2026-07-12|S08|D13</x:v>
      </x:c>
      <x:c r="B933" s="34" t="n">
        <x:v>46215.5</x:v>
      </x:c>
      <x:c r="C933" s="19" t="str">
        <x:v>S08</x:v>
      </x:c>
      <x:c r="D933" s="19" t="str">
        <x:v>四季青店</x:v>
      </x:c>
      <x:c r="E933" s="19" t="str">
        <x:v>D13</x:v>
      </x:c>
      <x:c r="F933" s="19" t="str">
        <x:v>外婆菜炒蛋</x:v>
      </x:c>
      <x:c r="G933" s="19" t="str">
        <x:v>R1.0</x:v>
      </x:c>
      <x:c r="H933" s="20" t="n">
        <x:f>XLOOKUP(A933,'菜品日销量'!$A$5:$A$1124,'菜品日销量'!$G$5:$G$1124,0)</x:f>
        <x:v>10</x:v>
      </x:c>
      <x:c r="I933" s="20" t="n">
        <x:f>ROUNDUP(H933/2,0)</x:f>
        <x:v>5</x:v>
      </x:c>
      <x:c r="J933" s="22" t="n">
        <x:f>SUMIFS('菜谱BOM'!$F$5:$F$160,'菜谱BOM'!$A$5:$A$160,E933,'菜谱BOM'!$C$5:$C$160,"食材")</x:f>
        <x:v>450</x:v>
      </x:c>
      <x:c r="K933" s="38" t="n">
        <x:v>0.0021738811978543834</x:v>
      </x:c>
      <x:c r="L933" s="35" t="n">
        <x:f>H933*J933*(1+K933)</x:f>
        <x:v>4509.782465390345</x:v>
      </x:c>
      <x:c r="M933" s="35" t="n">
        <x:f>SUMIFS('菜谱BOM'!$F$5:$F$160,'菜谱BOM'!$A$5:$A$160,E933,'菜谱BOM'!$C$5:$C$160,"调料")</x:f>
        <x:v>37</x:v>
      </x:c>
      <x:c r="N933" s="38" t="n">
        <x:v>0.0017579431086215055</x:v>
      </x:c>
      <x:c r="O933" s="35" t="n">
        <x:f>H933*M933*(1+N933)</x:f>
        <x:v>370.65043895018994</x:v>
      </x:c>
      <x:c r="P933" s="19" t="str">
        <x:f>IF(ABS(N933)&gt;'封面与口径'!$O$25,"机器调料需复核",IF(ABS(K933)&gt;0.02,"人工称重需复核","正常"))</x:f>
        <x:v>正常</x:v>
      </x:c>
      <x:c r="Q933" s="19" t="str">
        <x:v>罗文</x:v>
      </x:c>
    </x:row>
    <x:row r="934">
      <x:c r="A934" s="19" t="str">
        <x:v>2026-07-12|S08|D14</x:v>
      </x:c>
      <x:c r="B934" s="34" t="n">
        <x:v>46215.5</x:v>
      </x:c>
      <x:c r="C934" s="19" t="str">
        <x:v>S08</x:v>
      </x:c>
      <x:c r="D934" s="19" t="str">
        <x:v>四季青店</x:v>
      </x:c>
      <x:c r="E934" s="19" t="str">
        <x:v>D14</x:v>
      </x:c>
      <x:c r="F934" s="19" t="str">
        <x:v>酸辣鸡杂</x:v>
      </x:c>
      <x:c r="G934" s="19" t="str">
        <x:v>R1.0</x:v>
      </x:c>
      <x:c r="H934" s="20" t="n">
        <x:f>XLOOKUP(A934,'菜品日销量'!$A$5:$A$1124,'菜品日销量'!$G$5:$G$1124,0)</x:f>
        <x:v>5</x:v>
      </x:c>
      <x:c r="I934" s="20" t="n">
        <x:f>ROUNDUP(H934/2,0)</x:f>
        <x:v>3</x:v>
      </x:c>
      <x:c r="J934" s="22" t="n">
        <x:f>SUMIFS('菜谱BOM'!$F$5:$F$160,'菜谱BOM'!$A$5:$A$160,E934,'菜谱BOM'!$C$5:$C$160,"食材")</x:f>
        <x:v>470</x:v>
      </x:c>
      <x:c r="K934" s="38" t="n">
        <x:v>0.001110725200062321</x:v>
      </x:c>
      <x:c r="L934" s="35" t="n">
        <x:f>H934*J934*(1+K934)</x:f>
        <x:v>2352.6102042201464</x:v>
      </x:c>
      <x:c r="M934" s="35" t="n">
        <x:f>SUMIFS('菜谱BOM'!$F$5:$F$160,'菜谱BOM'!$A$5:$A$160,E934,'菜谱BOM'!$C$5:$C$160,"调料")</x:f>
        <x:v>60</x:v>
      </x:c>
      <x:c r="N934" s="38" t="n">
        <x:v>0.00024164414830544123</x:v>
      </x:c>
      <x:c r="O934" s="35" t="n">
        <x:f>H934*M934*(1+N934)</x:f>
        <x:v>300.0724932444917</x:v>
      </x:c>
      <x:c r="P934" s="19" t="str">
        <x:f>IF(ABS(N934)&gt;'封面与口径'!$O$25,"机器调料需复核",IF(ABS(K934)&gt;0.02,"人工称重需复核","正常"))</x:f>
        <x:v>正常</x:v>
      </x:c>
      <x:c r="Q934" s="19" t="str">
        <x:v>罗文</x:v>
      </x:c>
    </x:row>
    <x:row r="935">
      <x:c r="A935" s="19" t="str">
        <x:v>2026-07-12|S08|D15</x:v>
      </x:c>
      <x:c r="B935" s="34" t="n">
        <x:v>46215.5</x:v>
      </x:c>
      <x:c r="C935" s="19" t="str">
        <x:v>S08</x:v>
      </x:c>
      <x:c r="D935" s="19" t="str">
        <x:v>四季青店</x:v>
      </x:c>
      <x:c r="E935" s="19" t="str">
        <x:v>D15</x:v>
      </x:c>
      <x:c r="F935" s="19" t="str">
        <x:v>湘西土匪猪肝</x:v>
      </x:c>
      <x:c r="G935" s="19" t="str">
        <x:v>R1.0</x:v>
      </x:c>
      <x:c r="H935" s="20" t="n">
        <x:f>XLOOKUP(A935,'菜品日销量'!$A$5:$A$1124,'菜品日销量'!$G$5:$G$1124,0)</x:f>
        <x:v>4</x:v>
      </x:c>
      <x:c r="I935" s="20" t="n">
        <x:f>ROUNDUP(H935/2,0)</x:f>
        <x:v>2</x:v>
      </x:c>
      <x:c r="J935" s="22" t="n">
        <x:f>SUMIFS('菜谱BOM'!$F$5:$F$160,'菜谱BOM'!$A$5:$A$160,E935,'菜谱BOM'!$C$5:$C$160,"食材")</x:f>
        <x:v>470</x:v>
      </x:c>
      <x:c r="K935" s="38" t="n">
        <x:v>0.0009525651654583794</x:v>
      </x:c>
      <x:c r="L935" s="35" t="n">
        <x:f>H935*J935*(1+K935)</x:f>
        <x:v>1881.7908225110616</x:v>
      </x:c>
      <x:c r="M935" s="35" t="n">
        <x:f>SUMIFS('菜谱BOM'!$F$5:$F$160,'菜谱BOM'!$A$5:$A$160,E935,'菜谱BOM'!$C$5:$C$160,"调料")</x:f>
        <x:v>49</x:v>
      </x:c>
      <x:c r="N935" s="38" t="n">
        <x:v>0.0007825630695518484</x:v>
      </x:c>
      <x:c r="O935" s="35" t="n">
        <x:f>H935*M935*(1+N935)</x:f>
        <x:v>196.15338236163217</x:v>
      </x:c>
      <x:c r="P935" s="19" t="str">
        <x:f>IF(ABS(N935)&gt;'封面与口径'!$O$25,"机器调料需复核",IF(ABS(K935)&gt;0.02,"人工称重需复核","正常"))</x:f>
        <x:v>正常</x:v>
      </x:c>
      <x:c r="Q935" s="19" t="str">
        <x:v>罗文</x:v>
      </x:c>
    </x:row>
    <x:row r="936">
      <x:c r="A936" s="19" t="str">
        <x:v>2026-07-12|S08|D16</x:v>
      </x:c>
      <x:c r="B936" s="34" t="n">
        <x:v>46215.5</x:v>
      </x:c>
      <x:c r="C936" s="19" t="str">
        <x:v>S08</x:v>
      </x:c>
      <x:c r="D936" s="19" t="str">
        <x:v>四季青店</x:v>
      </x:c>
      <x:c r="E936" s="19" t="str">
        <x:v>D16</x:v>
      </x:c>
      <x:c r="F936" s="19" t="str">
        <x:v>小豆角炒五花</x:v>
      </x:c>
      <x:c r="G936" s="19" t="str">
        <x:v>R1.0</x:v>
      </x:c>
      <x:c r="H936" s="20" t="n">
        <x:f>XLOOKUP(A936,'菜品日销量'!$A$5:$A$1124,'菜品日销量'!$G$5:$G$1124,0)</x:f>
        <x:v>4</x:v>
      </x:c>
      <x:c r="I936" s="20" t="n">
        <x:f>ROUNDUP(H936/2,0)</x:f>
        <x:v>2</x:v>
      </x:c>
      <x:c r="J936" s="22" t="n">
        <x:f>SUMIFS('菜谱BOM'!$F$5:$F$160,'菜谱BOM'!$A$5:$A$160,E936,'菜谱BOM'!$C$5:$C$160,"食材")</x:f>
        <x:v>450</x:v>
      </x:c>
      <x:c r="K936" s="38" t="n">
        <x:v>-0.004199541795113948</x:v>
      </x:c>
      <x:c r="L936" s="35" t="n">
        <x:f>H936*J936*(1+K936)</x:f>
        <x:v>1792.440824768795</x:v>
      </x:c>
      <x:c r="M936" s="35" t="n">
        <x:f>SUMIFS('菜谱BOM'!$F$5:$F$160,'菜谱BOM'!$A$5:$A$160,E936,'菜谱BOM'!$C$5:$C$160,"调料")</x:f>
        <x:v>42</x:v>
      </x:c>
      <x:c r="N936" s="38" t="n">
        <x:v>0.001502552739228716</x:v>
      </x:c>
      <x:c r="O936" s="35" t="n">
        <x:f>H936*M936*(1+N936)</x:f>
        <x:v>168.25242886019043</x:v>
      </x:c>
      <x:c r="P936" s="19" t="str">
        <x:f>IF(ABS(N936)&gt;'封面与口径'!$O$25,"机器调料需复核",IF(ABS(K936)&gt;0.02,"人工称重需复核","正常"))</x:f>
        <x:v>正常</x:v>
      </x:c>
      <x:c r="Q936" s="19" t="str">
        <x:v>罗文</x:v>
      </x:c>
    </x:row>
    <x:row r="937">
      <x:c r="A937" s="19" t="str">
        <x:v>2026-07-12|S08|D18</x:v>
      </x:c>
      <x:c r="B937" s="34" t="n">
        <x:v>46215.5</x:v>
      </x:c>
      <x:c r="C937" s="19" t="str">
        <x:v>S08</x:v>
      </x:c>
      <x:c r="D937" s="19" t="str">
        <x:v>四季青店</x:v>
      </x:c>
      <x:c r="E937" s="19" t="str">
        <x:v>D18</x:v>
      </x:c>
      <x:c r="F937" s="19" t="str">
        <x:v>青椒炒油麦菜</x:v>
      </x:c>
      <x:c r="G937" s="19" t="str">
        <x:v>R1.0</x:v>
      </x:c>
      <x:c r="H937" s="20" t="n">
        <x:f>XLOOKUP(A937,'菜品日销量'!$A$5:$A$1124,'菜品日销量'!$G$5:$G$1124,0)</x:f>
        <x:v>5</x:v>
      </x:c>
      <x:c r="I937" s="20" t="n">
        <x:f>ROUNDUP(H937/2,0)</x:f>
        <x:v>3</x:v>
      </x:c>
      <x:c r="J937" s="22" t="n">
        <x:f>SUMIFS('菜谱BOM'!$F$5:$F$160,'菜谱BOM'!$A$5:$A$160,E937,'菜谱BOM'!$C$5:$C$160,"食材")</x:f>
        <x:v>430</x:v>
      </x:c>
      <x:c r="K937" s="38" t="n">
        <x:v>-0.007640226256018558</x:v>
      </x:c>
      <x:c r="L937" s="35" t="n">
        <x:f>H937*J937*(1+K937)</x:f>
        <x:v>2133.57351354956</x:v>
      </x:c>
      <x:c r="M937" s="35" t="n">
        <x:f>SUMIFS('菜谱BOM'!$F$5:$F$160,'菜谱BOM'!$A$5:$A$160,E937,'菜谱BOM'!$C$5:$C$160,"调料")</x:f>
        <x:v>33</x:v>
      </x:c>
      <x:c r="N937" s="38" t="n">
        <x:v>-0.0007185295966264162</x:v>
      </x:c>
      <x:c r="O937" s="35" t="n">
        <x:f>H937*M937*(1+N937)</x:f>
        <x:v>164.88144261655663</x:v>
      </x:c>
      <x:c r="P937" s="19" t="str">
        <x:f>IF(ABS(N937)&gt;'封面与口径'!$O$25,"机器调料需复核",IF(ABS(K937)&gt;0.02,"人工称重需复核","正常"))</x:f>
        <x:v>正常</x:v>
      </x:c>
      <x:c r="Q937" s="19" t="str">
        <x:v>罗文</x:v>
      </x:c>
    </x:row>
    <x:row r="938">
      <x:c r="A938" s="19" t="str">
        <x:v>2026-07-12|S08|D19</x:v>
      </x:c>
      <x:c r="B938" s="34" t="n">
        <x:v>46215.5</x:v>
      </x:c>
      <x:c r="C938" s="19" t="str">
        <x:v>S08</x:v>
      </x:c>
      <x:c r="D938" s="19" t="str">
        <x:v>四季青店</x:v>
      </x:c>
      <x:c r="E938" s="19" t="str">
        <x:v>D19</x:v>
      </x:c>
      <x:c r="F938" s="19" t="str">
        <x:v>酸萝卜炒鸡杂</x:v>
      </x:c>
      <x:c r="G938" s="19" t="str">
        <x:v>R1.0</x:v>
      </x:c>
      <x:c r="H938" s="20" t="n">
        <x:f>XLOOKUP(A938,'菜品日销量'!$A$5:$A$1124,'菜品日销量'!$G$5:$G$1124,0)</x:f>
        <x:v>4</x:v>
      </x:c>
      <x:c r="I938" s="20" t="n">
        <x:f>ROUNDUP(H938/2,0)</x:f>
        <x:v>2</x:v>
      </x:c>
      <x:c r="J938" s="22" t="n">
        <x:f>SUMIFS('菜谱BOM'!$F$5:$F$160,'菜谱BOM'!$A$5:$A$160,E938,'菜谱BOM'!$C$5:$C$160,"食材")</x:f>
        <x:v>500</x:v>
      </x:c>
      <x:c r="K938" s="38" t="n">
        <x:v>0.0016798623077757338</x:v>
      </x:c>
      <x:c r="L938" s="35" t="n">
        <x:f>H938*J938*(1+K938)</x:f>
        <x:v>2003.3597246155516</x:v>
      </x:c>
      <x:c r="M938" s="35" t="n">
        <x:f>SUMIFS('菜谱BOM'!$F$5:$F$160,'菜谱BOM'!$A$5:$A$160,E938,'菜谱BOM'!$C$5:$C$160,"调料")</x:f>
        <x:v>55</x:v>
      </x:c>
      <x:c r="N938" s="38" t="n">
        <x:v>-0.0002812342146135014</x:v>
      </x:c>
      <x:c r="O938" s="35" t="n">
        <x:f>H938*M938*(1+N938)</x:f>
        <x:v>219.93812847278505</x:v>
      </x:c>
      <x:c r="P938" s="19" t="str">
        <x:f>IF(ABS(N938)&gt;'封面与口径'!$O$25,"机器调料需复核",IF(ABS(K938)&gt;0.02,"人工称重需复核","正常"))</x:f>
        <x:v>正常</x:v>
      </x:c>
      <x:c r="Q938" s="19" t="str">
        <x:v>罗文</x:v>
      </x:c>
    </x:row>
    <x:row r="939">
      <x:c r="A939" s="19" t="str">
        <x:v>2026-07-12|S08|D20</x:v>
      </x:c>
      <x:c r="B939" s="34" t="n">
        <x:v>46215.5</x:v>
      </x:c>
      <x:c r="C939" s="19" t="str">
        <x:v>S08</x:v>
      </x:c>
      <x:c r="D939" s="19" t="str">
        <x:v>四季青店</x:v>
      </x:c>
      <x:c r="E939" s="19" t="str">
        <x:v>D20</x:v>
      </x:c>
      <x:c r="F939" s="19" t="str">
        <x:v>雪菜肉末青豆</x:v>
      </x:c>
      <x:c r="G939" s="19" t="str">
        <x:v>R1.0</x:v>
      </x:c>
      <x:c r="H939" s="20" t="n">
        <x:f>XLOOKUP(A939,'菜品日销量'!$A$5:$A$1124,'菜品日销量'!$G$5:$G$1124,0)</x:f>
        <x:v>5</x:v>
      </x:c>
      <x:c r="I939" s="20" t="n">
        <x:f>ROUNDUP(H939/2,0)</x:f>
        <x:v>3</x:v>
      </x:c>
      <x:c r="J939" s="22" t="n">
        <x:f>SUMIFS('菜谱BOM'!$F$5:$F$160,'菜谱BOM'!$A$5:$A$160,E939,'菜谱BOM'!$C$5:$C$160,"食材")</x:f>
        <x:v>465</x:v>
      </x:c>
      <x:c r="K939" s="38" t="n">
        <x:v>-0.00029876965105039323</x:v>
      </x:c>
      <x:c r="L939" s="35" t="n">
        <x:f>H939*J939*(1+K939)</x:f>
        <x:v>2324.305360561308</x:v>
      </x:c>
      <x:c r="M939" s="35" t="n">
        <x:f>SUMIFS('菜谱BOM'!$F$5:$F$160,'菜谱BOM'!$A$5:$A$160,E939,'菜谱BOM'!$C$5:$C$160,"调料")</x:f>
        <x:v>32</x:v>
      </x:c>
      <x:c r="N939" s="38" t="n">
        <x:v>0.00018792948270866862</x:v>
      </x:c>
      <x:c r="O939" s="35" t="n">
        <x:f>H939*M939*(1+N939)</x:f>
        <x:v>160.0300687172334</x:v>
      </x:c>
      <x:c r="P939" s="19" t="str">
        <x:f>IF(ABS(N939)&gt;'封面与口径'!$O$25,"机器调料需复核",IF(ABS(K939)&gt;0.02,"人工称重需复核","正常"))</x:f>
        <x:v>正常</x:v>
      </x:c>
      <x:c r="Q939" s="19" t="str">
        <x:v>罗文</x:v>
      </x:c>
    </x:row>
    <x:row r="940">
      <x:c r="A940" s="19" t="str">
        <x:v>2026-07-13|S08|D01</x:v>
      </x:c>
      <x:c r="B940" s="34" t="n">
        <x:v>46216.5</x:v>
      </x:c>
      <x:c r="C940" s="19" t="str">
        <x:v>S08</x:v>
      </x:c>
      <x:c r="D940" s="19" t="str">
        <x:v>四季青店</x:v>
      </x:c>
      <x:c r="E940" s="19" t="str">
        <x:v>D01</x:v>
      </x:c>
      <x:c r="F940" s="19" t="str">
        <x:v>辣椒炒肉</x:v>
      </x:c>
      <x:c r="G940" s="19" t="str">
        <x:v>R2.3</x:v>
      </x:c>
      <x:c r="H940" s="20" t="n">
        <x:f>XLOOKUP(A940,'菜品日销量'!$A$5:$A$1124,'菜品日销量'!$G$5:$G$1124,0)</x:f>
        <x:v>43</x:v>
      </x:c>
      <x:c r="I940" s="20" t="n">
        <x:f>ROUNDUP(H940/2,0)</x:f>
        <x:v>22</x:v>
      </x:c>
      <x:c r="J940" s="22" t="n">
        <x:f>SUMIFS('菜谱BOM'!$F$5:$F$160,'菜谱BOM'!$A$5:$A$160,E940,'菜谱BOM'!$C$5:$C$160,"食材")</x:f>
        <x:v>550</x:v>
      </x:c>
      <x:c r="K940" s="38" t="n">
        <x:v>-0.007091601021376346</x:v>
      </x:c>
      <x:c r="L940" s="35" t="n">
        <x:f>H940*J940*(1+K940)</x:f>
        <x:v>23482.28363584445</x:v>
      </x:c>
      <x:c r="M940" s="35" t="n">
        <x:f>SUMIFS('菜谱BOM'!$F$5:$F$160,'菜谱BOM'!$A$5:$A$160,E940,'菜谱BOM'!$C$5:$C$160,"调料")</x:f>
        <x:v>104</x:v>
      </x:c>
      <x:c r="N940" s="38" t="n">
        <x:v>0.0006427626681147989</x:v>
      </x:c>
      <x:c r="O940" s="35" t="n">
        <x:f>H940*M940*(1+N940)</x:f>
        <x:v>4474.874434651809</x:v>
      </x:c>
      <x:c r="P940" s="19" t="str">
        <x:f>IF(ABS(N940)&gt;'封面与口径'!$O$25,"机器调料需复核",IF(ABS(K940)&gt;0.02,"人工称重需复核","正常"))</x:f>
        <x:v>正常</x:v>
      </x:c>
      <x:c r="Q940" s="19" t="str">
        <x:v>罗文</x:v>
      </x:c>
    </x:row>
    <x:row r="941">
      <x:c r="A941" s="19" t="str">
        <x:v>2026-07-13|S08|D02</x:v>
      </x:c>
      <x:c r="B941" s="34" t="n">
        <x:v>46216.5</x:v>
      </x:c>
      <x:c r="C941" s="19" t="str">
        <x:v>S08</x:v>
      </x:c>
      <x:c r="D941" s="19" t="str">
        <x:v>四季青店</x:v>
      </x:c>
      <x:c r="E941" s="19" t="str">
        <x:v>D02</x:v>
      </x:c>
      <x:c r="F941" s="19" t="str">
        <x:v>小炒黄牛肉</x:v>
      </x:c>
      <x:c r="G941" s="19" t="str">
        <x:v>R2.3</x:v>
      </x:c>
      <x:c r="H941" s="20" t="n">
        <x:f>XLOOKUP(A941,'菜品日销量'!$A$5:$A$1124,'菜品日销量'!$G$5:$G$1124,0)</x:f>
        <x:v>32</x:v>
      </x:c>
      <x:c r="I941" s="20" t="n">
        <x:f>ROUNDUP(H941/2,0)</x:f>
        <x:v>16</x:v>
      </x:c>
      <x:c r="J941" s="22" t="n">
        <x:f>SUMIFS('菜谱BOM'!$F$5:$F$160,'菜谱BOM'!$A$5:$A$160,E941,'菜谱BOM'!$C$5:$C$160,"食材")</x:f>
        <x:v>560</x:v>
      </x:c>
      <x:c r="K941" s="38" t="n">
        <x:v>-0.0005025630091555798</x:v>
      </x:c>
      <x:c r="L941" s="35" t="n">
        <x:f>H941*J941*(1+K941)</x:f>
        <x:v>17910.99407087593</x:v>
      </x:c>
      <x:c r="M941" s="35" t="n">
        <x:f>SUMIFS('菜谱BOM'!$F$5:$F$160,'菜谱BOM'!$A$5:$A$160,E941,'菜谱BOM'!$C$5:$C$160,"调料")</x:f>
        <x:v>133</x:v>
      </x:c>
      <x:c r="N941" s="38" t="n">
        <x:v>0.00020140595785374905</x:v>
      </x:c>
      <x:c r="O941" s="35" t="n">
        <x:f>H941*M941*(1+N941)</x:f>
        <x:v>4256.857183756625</x:v>
      </x:c>
      <x:c r="P941" s="19" t="str">
        <x:f>IF(ABS(N941)&gt;'封面与口径'!$O$25,"机器调料需复核",IF(ABS(K941)&gt;0.02,"人工称重需复核","正常"))</x:f>
        <x:v>正常</x:v>
      </x:c>
      <x:c r="Q941" s="19" t="str">
        <x:v>罗文</x:v>
      </x:c>
    </x:row>
    <x:row r="942">
      <x:c r="A942" s="19" t="str">
        <x:v>2026-07-13|S08|D03</x:v>
      </x:c>
      <x:c r="B942" s="34" t="n">
        <x:v>46216.5</x:v>
      </x:c>
      <x:c r="C942" s="19" t="str">
        <x:v>S08</x:v>
      </x:c>
      <x:c r="D942" s="19" t="str">
        <x:v>四季青店</x:v>
      </x:c>
      <x:c r="E942" s="19" t="str">
        <x:v>D03</x:v>
      </x:c>
      <x:c r="F942" s="19" t="str">
        <x:v>香醋炒蛋</x:v>
      </x:c>
      <x:c r="G942" s="19" t="str">
        <x:v>R1.0</x:v>
      </x:c>
      <x:c r="H942" s="20" t="n">
        <x:f>XLOOKUP(A942,'菜品日销量'!$A$5:$A$1124,'菜品日销量'!$G$5:$G$1124,0)</x:f>
        <x:v>37</x:v>
      </x:c>
      <x:c r="I942" s="20" t="n">
        <x:f>ROUNDUP(H942/2,0)</x:f>
        <x:v>19</x:v>
      </x:c>
      <x:c r="J942" s="22" t="n">
        <x:f>SUMIFS('菜谱BOM'!$F$5:$F$160,'菜谱BOM'!$A$5:$A$160,E942,'菜谱BOM'!$C$5:$C$160,"食材")</x:f>
        <x:v>300</x:v>
      </x:c>
      <x:c r="K942" s="38" t="n">
        <x:v>-0.00718247444908658</x:v>
      </x:c>
      <x:c r="L942" s="35" t="n">
        <x:f>H942*J942*(1+K942)</x:f>
        <x:v>11020.274533615138</x:v>
      </x:c>
      <x:c r="M942" s="35" t="n">
        <x:f>SUMIFS('菜谱BOM'!$F$5:$F$160,'菜谱BOM'!$A$5:$A$160,E942,'菜谱BOM'!$C$5:$C$160,"调料")</x:f>
        <x:v>53</x:v>
      </x:c>
      <x:c r="N942" s="38" t="n">
        <x:v>0.0006387013398666634</x:v>
      </x:c>
      <x:c r="O942" s="35" t="n">
        <x:f>H942*M942*(1+N942)</x:f>
        <x:v>1962.2524933274788</x:v>
      </x:c>
      <x:c r="P942" s="19" t="str">
        <x:f>IF(ABS(N942)&gt;'封面与口径'!$O$25,"机器调料需复核",IF(ABS(K942)&gt;0.02,"人工称重需复核","正常"))</x:f>
        <x:v>正常</x:v>
      </x:c>
      <x:c r="Q942" s="19" t="str">
        <x:v>罗文</x:v>
      </x:c>
    </x:row>
    <x:row r="943">
      <x:c r="A943" s="19" t="str">
        <x:v>2026-07-13|S08|D04</x:v>
      </x:c>
      <x:c r="B943" s="34" t="n">
        <x:v>46216.5</x:v>
      </x:c>
      <x:c r="C943" s="19" t="str">
        <x:v>S08</x:v>
      </x:c>
      <x:c r="D943" s="19" t="str">
        <x:v>四季青店</x:v>
      </x:c>
      <x:c r="E943" s="19" t="str">
        <x:v>D04</x:v>
      </x:c>
      <x:c r="F943" s="19" t="str">
        <x:v>酸包菜炒粉皮</x:v>
      </x:c>
      <x:c r="G943" s="19" t="str">
        <x:v>R1.0</x:v>
      </x:c>
      <x:c r="H943" s="20" t="n">
        <x:f>XLOOKUP(A943,'菜品日销量'!$A$5:$A$1124,'菜品日销量'!$G$5:$G$1124,0)</x:f>
        <x:v>32</x:v>
      </x:c>
      <x:c r="I943" s="20" t="n">
        <x:f>ROUNDUP(H943/2,0)</x:f>
        <x:v>16</x:v>
      </x:c>
      <x:c r="J943" s="22" t="n">
        <x:f>SUMIFS('菜谱BOM'!$F$5:$F$160,'菜谱BOM'!$A$5:$A$160,E943,'菜谱BOM'!$C$5:$C$160,"食材")</x:f>
        <x:v>380</x:v>
      </x:c>
      <x:c r="K943" s="38" t="n">
        <x:v>-0.0066137954179695336</x:v>
      </x:c>
      <x:c r="L943" s="35" t="n">
        <x:f>H943*J943*(1+K943)</x:f>
        <x:v>12079.57624771749</x:v>
      </x:c>
      <x:c r="M943" s="35" t="n">
        <x:f>SUMIFS('菜谱BOM'!$F$5:$F$160,'菜谱BOM'!$A$5:$A$160,E943,'菜谱BOM'!$C$5:$C$160,"调料")</x:f>
        <x:v>47</x:v>
      </x:c>
      <x:c r="N943" s="38" t="n">
        <x:v>0.001472071393270062</x:v>
      </x:c>
      <x:c r="O943" s="35" t="n">
        <x:f>H943*M943*(1+N943)</x:f>
        <x:v>1506.2139953754781</x:v>
      </x:c>
      <x:c r="P943" s="19" t="str">
        <x:f>IF(ABS(N943)&gt;'封面与口径'!$O$25,"机器调料需复核",IF(ABS(K943)&gt;0.02,"人工称重需复核","正常"))</x:f>
        <x:v>正常</x:v>
      </x:c>
      <x:c r="Q943" s="19" t="str">
        <x:v>罗文</x:v>
      </x:c>
    </x:row>
    <x:row r="944">
      <x:c r="A944" s="19" t="str">
        <x:v>2026-07-13|S08|D05</x:v>
      </x:c>
      <x:c r="B944" s="34" t="n">
        <x:v>46216.5</x:v>
      </x:c>
      <x:c r="C944" s="19" t="str">
        <x:v>S08</x:v>
      </x:c>
      <x:c r="D944" s="19" t="str">
        <x:v>四季青店</x:v>
      </x:c>
      <x:c r="E944" s="19" t="str">
        <x:v>D05</x:v>
      </x:c>
      <x:c r="F944" s="19" t="str">
        <x:v>麻婆豆腐</x:v>
      </x:c>
      <x:c r="G944" s="19" t="str">
        <x:v>R1.0</x:v>
      </x:c>
      <x:c r="H944" s="20" t="n">
        <x:f>XLOOKUP(A944,'菜品日销量'!$A$5:$A$1124,'菜品日销量'!$G$5:$G$1124,0)</x:f>
        <x:v>50</x:v>
      </x:c>
      <x:c r="I944" s="20" t="n">
        <x:f>ROUNDUP(H944/2,0)</x:f>
        <x:v>25</x:v>
      </x:c>
      <x:c r="J944" s="22" t="n">
        <x:f>SUMIFS('菜谱BOM'!$F$5:$F$160,'菜谱BOM'!$A$5:$A$160,E944,'菜谱BOM'!$C$5:$C$160,"食材")</x:f>
        <x:v>505</x:v>
      </x:c>
      <x:c r="K944" s="38" t="n">
        <x:v>-0.0071459447068967724</x:v>
      </x:c>
      <x:c r="L944" s="35" t="n">
        <x:f>H944*J944*(1+K944)</x:f>
        <x:v>25069.564896150856</x:v>
      </x:c>
      <x:c r="M944" s="35" t="n">
        <x:f>SUMIFS('菜谱BOM'!$F$5:$F$160,'菜谱BOM'!$A$5:$A$160,E944,'菜谱BOM'!$C$5:$C$160,"调料")</x:f>
        <x:v>90</x:v>
      </x:c>
      <x:c r="N944" s="38" t="n">
        <x:v>-0.0012102497786307359</x:v>
      </x:c>
      <x:c r="O944" s="35" t="n">
        <x:f>H944*M944*(1+N944)</x:f>
        <x:v>4494.553875996162</x:v>
      </x:c>
      <x:c r="P944" s="19" t="str">
        <x:f>IF(ABS(N944)&gt;'封面与口径'!$O$25,"机器调料需复核",IF(ABS(K944)&gt;0.02,"人工称重需复核","正常"))</x:f>
        <x:v>正常</x:v>
      </x:c>
      <x:c r="Q944" s="19" t="str">
        <x:v>罗文</x:v>
      </x:c>
    </x:row>
    <x:row r="945">
      <x:c r="A945" s="19" t="str">
        <x:v>2026-07-13|S08|D07</x:v>
      </x:c>
      <x:c r="B945" s="34" t="n">
        <x:v>46216.5</x:v>
      </x:c>
      <x:c r="C945" s="19" t="str">
        <x:v>S08</x:v>
      </x:c>
      <x:c r="D945" s="19" t="str">
        <x:v>四季青店</x:v>
      </x:c>
      <x:c r="E945" s="19" t="str">
        <x:v>D07</x:v>
      </x:c>
      <x:c r="F945" s="19" t="str">
        <x:v>川味回锅肉</x:v>
      </x:c>
      <x:c r="G945" s="19" t="str">
        <x:v>R1.0</x:v>
      </x:c>
      <x:c r="H945" s="20" t="n">
        <x:f>XLOOKUP(A945,'菜品日销量'!$A$5:$A$1124,'菜品日销量'!$G$5:$G$1124,0)</x:f>
        <x:v>14</x:v>
      </x:c>
      <x:c r="I945" s="20" t="n">
        <x:f>ROUNDUP(H945/2,0)</x:f>
        <x:v>7</x:v>
      </x:c>
      <x:c r="J945" s="22" t="n">
        <x:f>SUMIFS('菜谱BOM'!$F$5:$F$160,'菜谱BOM'!$A$5:$A$160,E945,'菜谱BOM'!$C$5:$C$160,"食材")</x:f>
        <x:v>450</x:v>
      </x:c>
      <x:c r="K945" s="38" t="n">
        <x:v>0.0008903527876572568</x:v>
      </x:c>
      <x:c r="L945" s="35" t="n">
        <x:f>H945*J945*(1+K945)</x:f>
        <x:v>6305.6092225622415</x:v>
      </x:c>
      <x:c r="M945" s="35" t="n">
        <x:f>SUMIFS('菜谱BOM'!$F$5:$F$160,'菜谱BOM'!$A$5:$A$160,E945,'菜谱BOM'!$C$5:$C$160,"调料")</x:f>
        <x:v>63</x:v>
      </x:c>
      <x:c r="N945" s="38" t="n">
        <x:v>-0.001216695158559991</x:v>
      </x:c>
      <x:c r="O945" s="35" t="n">
        <x:f>H945*M945*(1+N945)</x:f>
        <x:v>880.9268748701501</x:v>
      </x:c>
      <x:c r="P945" s="19" t="str">
        <x:f>IF(ABS(N945)&gt;'封面与口径'!$O$25,"机器调料需复核",IF(ABS(K945)&gt;0.02,"人工称重需复核","正常"))</x:f>
        <x:v>正常</x:v>
      </x:c>
      <x:c r="Q945" s="19" t="str">
        <x:v>罗文</x:v>
      </x:c>
    </x:row>
    <x:row r="946">
      <x:c r="A946" s="19" t="str">
        <x:v>2026-07-13|S08|D08</x:v>
      </x:c>
      <x:c r="B946" s="34" t="n">
        <x:v>46216.5</x:v>
      </x:c>
      <x:c r="C946" s="19" t="str">
        <x:v>S08</x:v>
      </x:c>
      <x:c r="D946" s="19" t="str">
        <x:v>四季青店</x:v>
      </x:c>
      <x:c r="E946" s="19" t="str">
        <x:v>D08</x:v>
      </x:c>
      <x:c r="F946" s="19" t="str">
        <x:v>生炒清远鸡</x:v>
      </x:c>
      <x:c r="G946" s="19" t="str">
        <x:v>R1.0</x:v>
      </x:c>
      <x:c r="H946" s="20" t="n">
        <x:f>XLOOKUP(A946,'菜品日销量'!$A$5:$A$1124,'菜品日销量'!$G$5:$G$1124,0)</x:f>
        <x:v>11</x:v>
      </x:c>
      <x:c r="I946" s="20" t="n">
        <x:f>ROUNDUP(H946/2,0)</x:f>
        <x:v>6</x:v>
      </x:c>
      <x:c r="J946" s="22" t="n">
        <x:f>SUMIFS('菜谱BOM'!$F$5:$F$160,'菜谱BOM'!$A$5:$A$160,E946,'菜谱BOM'!$C$5:$C$160,"食材")</x:f>
        <x:v>610</x:v>
      </x:c>
      <x:c r="K946" s="38" t="n">
        <x:v>-0.007414926711333665</x:v>
      </x:c>
      <x:c r="L946" s="35" t="n">
        <x:f>H946*J946*(1+K946)</x:f>
        <x:v>6660.24584176695</x:v>
      </x:c>
      <x:c r="M946" s="35" t="n">
        <x:f>SUMIFS('菜谱BOM'!$F$5:$F$160,'菜谱BOM'!$A$5:$A$160,E946,'菜谱BOM'!$C$5:$C$160,"调料")</x:f>
        <x:v>61</x:v>
      </x:c>
      <x:c r="N946" s="38" t="n">
        <x:v>0.00047276852523739653</x:v>
      </x:c>
      <x:c r="O946" s="35" t="n">
        <x:f>H946*M946*(1+N946)</x:f>
        <x:v>671.3172276804344</x:v>
      </x:c>
      <x:c r="P946" s="19" t="str">
        <x:f>IF(ABS(N946)&gt;'封面与口径'!$O$25,"机器调料需复核",IF(ABS(K946)&gt;0.02,"人工称重需复核","正常"))</x:f>
        <x:v>正常</x:v>
      </x:c>
      <x:c r="Q946" s="19" t="str">
        <x:v>罗文</x:v>
      </x:c>
    </x:row>
    <x:row r="947">
      <x:c r="A947" s="19" t="str">
        <x:v>2026-07-13|S08|D09</x:v>
      </x:c>
      <x:c r="B947" s="34" t="n">
        <x:v>46216.5</x:v>
      </x:c>
      <x:c r="C947" s="19" t="str">
        <x:v>S08</x:v>
      </x:c>
      <x:c r="D947" s="19" t="str">
        <x:v>四季青店</x:v>
      </x:c>
      <x:c r="E947" s="19" t="str">
        <x:v>D09</x:v>
      </x:c>
      <x:c r="F947" s="19" t="str">
        <x:v>炒豆干</x:v>
      </x:c>
      <x:c r="G947" s="19" t="str">
        <x:v>R1.0</x:v>
      </x:c>
      <x:c r="H947" s="20" t="n">
        <x:f>XLOOKUP(A947,'菜品日销量'!$A$5:$A$1124,'菜品日销量'!$G$5:$G$1124,0)</x:f>
        <x:v>14</x:v>
      </x:c>
      <x:c r="I947" s="20" t="n">
        <x:f>ROUNDUP(H947/2,0)</x:f>
        <x:v>7</x:v>
      </x:c>
      <x:c r="J947" s="22" t="n">
        <x:f>SUMIFS('菜谱BOM'!$F$5:$F$160,'菜谱BOM'!$A$5:$A$160,E947,'菜谱BOM'!$C$5:$C$160,"食材")</x:f>
        <x:v>520</x:v>
      </x:c>
      <x:c r="K947" s="38" t="n">
        <x:v>0.0005926370864251247</x:v>
      </x:c>
      <x:c r="L947" s="35" t="n">
        <x:f>H947*J947*(1+K947)</x:f>
        <x:v>7284.314397989175</x:v>
      </x:c>
      <x:c r="M947" s="35" t="n">
        <x:f>SUMIFS('菜谱BOM'!$F$5:$F$160,'菜谱BOM'!$A$5:$A$160,E947,'菜谱BOM'!$C$5:$C$160,"调料")</x:f>
        <x:v>42</x:v>
      </x:c>
      <x:c r="N947" s="38" t="n">
        <x:v>-0.0013221213378296515</x:v>
      </x:c>
      <x:c r="O947" s="35" t="n">
        <x:f>H947*M947*(1+N947)</x:f>
        <x:v>587.2225926533562</x:v>
      </x:c>
      <x:c r="P947" s="19" t="str">
        <x:f>IF(ABS(N947)&gt;'封面与口径'!$O$25,"机器调料需复核",IF(ABS(K947)&gt;0.02,"人工称重需复核","正常"))</x:f>
        <x:v>正常</x:v>
      </x:c>
      <x:c r="Q947" s="19" t="str">
        <x:v>罗文</x:v>
      </x:c>
    </x:row>
    <x:row r="948">
      <x:c r="A948" s="19" t="str">
        <x:v>2026-07-13|S08|D10</x:v>
      </x:c>
      <x:c r="B948" s="34" t="n">
        <x:v>46216.5</x:v>
      </x:c>
      <x:c r="C948" s="19" t="str">
        <x:v>S08</x:v>
      </x:c>
      <x:c r="D948" s="19" t="str">
        <x:v>四季青店</x:v>
      </x:c>
      <x:c r="E948" s="19" t="str">
        <x:v>D10</x:v>
      </x:c>
      <x:c r="F948" s="19" t="str">
        <x:v>农家一碗香</x:v>
      </x:c>
      <x:c r="G948" s="19" t="str">
        <x:v>R2.3</x:v>
      </x:c>
      <x:c r="H948" s="20" t="n">
        <x:f>XLOOKUP(A948,'菜品日销量'!$A$5:$A$1124,'菜品日销量'!$G$5:$G$1124,0)</x:f>
        <x:v>17</x:v>
      </x:c>
      <x:c r="I948" s="20" t="n">
        <x:f>ROUNDUP(H948/2,0)</x:f>
        <x:v>9</x:v>
      </x:c>
      <x:c r="J948" s="22" t="n">
        <x:f>SUMIFS('菜谱BOM'!$F$5:$F$160,'菜谱BOM'!$A$5:$A$160,E948,'菜谱BOM'!$C$5:$C$160,"食材")</x:f>
        <x:v>510</x:v>
      </x:c>
      <x:c r="K948" s="38" t="n">
        <x:v>-0.00690670311425503</x:v>
      </x:c>
      <x:c r="L948" s="35" t="n">
        <x:f>H948*J948*(1+K948)</x:f>
        <x:v>8610.118883999408</x:v>
      </x:c>
      <x:c r="M948" s="35" t="n">
        <x:f>SUMIFS('菜谱BOM'!$F$5:$F$160,'菜谱BOM'!$A$5:$A$160,E948,'菜谱BOM'!$C$5:$C$160,"调料")</x:f>
        <x:v>88</x:v>
      </x:c>
      <x:c r="N948" s="38" t="n">
        <x:v>0.0006658649013065418</x:v>
      </x:c>
      <x:c r="O948" s="35" t="n">
        <x:f>H948*M948*(1+N948)</x:f>
        <x:v>1496.9961338923545</x:v>
      </x:c>
      <x:c r="P948" s="19" t="str">
        <x:f>IF(ABS(N948)&gt;'封面与口径'!$O$25,"机器调料需复核",IF(ABS(K948)&gt;0.02,"人工称重需复核","正常"))</x:f>
        <x:v>正常</x:v>
      </x:c>
      <x:c r="Q948" s="19" t="str">
        <x:v>罗文</x:v>
      </x:c>
    </x:row>
    <x:row r="949">
      <x:c r="A949" s="19" t="str">
        <x:v>2026-07-13|S08|D11</x:v>
      </x:c>
      <x:c r="B949" s="34" t="n">
        <x:v>46216.5</x:v>
      </x:c>
      <x:c r="C949" s="19" t="str">
        <x:v>S08</x:v>
      </x:c>
      <x:c r="D949" s="19" t="str">
        <x:v>四季青店</x:v>
      </x:c>
      <x:c r="E949" s="19" t="str">
        <x:v>D11</x:v>
      </x:c>
      <x:c r="F949" s="19" t="str">
        <x:v>香辣爆肥肠</x:v>
      </x:c>
      <x:c r="G949" s="19" t="str">
        <x:v>R1.0</x:v>
      </x:c>
      <x:c r="H949" s="20" t="n">
        <x:f>XLOOKUP(A949,'菜品日销量'!$A$5:$A$1124,'菜品日销量'!$G$5:$G$1124,0)</x:f>
        <x:v>6</x:v>
      </x:c>
      <x:c r="I949" s="20" t="n">
        <x:f>ROUNDUP(H949/2,0)</x:f>
        <x:v>3</x:v>
      </x:c>
      <x:c r="J949" s="22" t="n">
        <x:f>SUMIFS('菜谱BOM'!$F$5:$F$160,'菜谱BOM'!$A$5:$A$160,E949,'菜谱BOM'!$C$5:$C$160,"食材")</x:f>
        <x:v>430</x:v>
      </x:c>
      <x:c r="K949" s="38" t="n">
        <x:v>-0.004763477380565246</x:v>
      </x:c>
      <x:c r="L949" s="35" t="n">
        <x:f>H949*J949*(1+K949)</x:f>
        <x:v>2567.7102283581416</x:v>
      </x:c>
      <x:c r="M949" s="35" t="n">
        <x:f>SUMIFS('菜谱BOM'!$F$5:$F$160,'菜谱BOM'!$A$5:$A$160,E949,'菜谱BOM'!$C$5:$C$160,"调料")</x:f>
        <x:v>67</x:v>
      </x:c>
      <x:c r="N949" s="38" t="n">
        <x:v>0.0009760400175526831</x:v>
      </x:c>
      <x:c r="O949" s="35" t="n">
        <x:f>H949*M949*(1+N949)</x:f>
        <x:v>402.3923680870562</x:v>
      </x:c>
      <x:c r="P949" s="19" t="str">
        <x:f>IF(ABS(N949)&gt;'封面与口径'!$O$25,"机器调料需复核",IF(ABS(K949)&gt;0.02,"人工称重需复核","正常"))</x:f>
        <x:v>正常</x:v>
      </x:c>
      <x:c r="Q949" s="19" t="str">
        <x:v>罗文</x:v>
      </x:c>
    </x:row>
    <x:row r="950">
      <x:c r="A950" s="19" t="str">
        <x:v>2026-07-13|S08|D13</x:v>
      </x:c>
      <x:c r="B950" s="34" t="n">
        <x:v>46216.5</x:v>
      </x:c>
      <x:c r="C950" s="19" t="str">
        <x:v>S08</x:v>
      </x:c>
      <x:c r="D950" s="19" t="str">
        <x:v>四季青店</x:v>
      </x:c>
      <x:c r="E950" s="19" t="str">
        <x:v>D13</x:v>
      </x:c>
      <x:c r="F950" s="19" t="str">
        <x:v>外婆菜炒蛋</x:v>
      </x:c>
      <x:c r="G950" s="19" t="str">
        <x:v>R1.0</x:v>
      </x:c>
      <x:c r="H950" s="20" t="n">
        <x:f>XLOOKUP(A950,'菜品日销量'!$A$5:$A$1124,'菜品日销量'!$G$5:$G$1124,0)</x:f>
        <x:v>14</x:v>
      </x:c>
      <x:c r="I950" s="20" t="n">
        <x:f>ROUNDUP(H950/2,0)</x:f>
        <x:v>7</x:v>
      </x:c>
      <x:c r="J950" s="22" t="n">
        <x:f>SUMIFS('菜谱BOM'!$F$5:$F$160,'菜谱BOM'!$A$5:$A$160,E950,'菜谱BOM'!$C$5:$C$160,"食材")</x:f>
        <x:v>450</x:v>
      </x:c>
      <x:c r="K950" s="38" t="n">
        <x:v>0.006064241334345247</x:v>
      </x:c>
      <x:c r="L950" s="35" t="n">
        <x:f>H950*J950*(1+K950)</x:f>
        <x:v>6338.204720406375</x:v>
      </x:c>
      <x:c r="M950" s="35" t="n">
        <x:f>SUMIFS('菜谱BOM'!$F$5:$F$160,'菜谱BOM'!$A$5:$A$160,E950,'菜谱BOM'!$C$5:$C$160,"调料")</x:f>
        <x:v>37</x:v>
      </x:c>
      <x:c r="N950" s="38" t="n">
        <x:v>-0.000689401181109576</x:v>
      </x:c>
      <x:c r="O950" s="35" t="n">
        <x:f>H950*M950*(1+N950)</x:f>
        <x:v>517.6428901881852</x:v>
      </x:c>
      <x:c r="P950" s="19" t="str">
        <x:f>IF(ABS(N950)&gt;'封面与口径'!$O$25,"机器调料需复核",IF(ABS(K950)&gt;0.02,"人工称重需复核","正常"))</x:f>
        <x:v>正常</x:v>
      </x:c>
      <x:c r="Q950" s="19" t="str">
        <x:v>罗文</x:v>
      </x:c>
    </x:row>
    <x:row r="951">
      <x:c r="A951" s="19" t="str">
        <x:v>2026-07-13|S08|D14</x:v>
      </x:c>
      <x:c r="B951" s="34" t="n">
        <x:v>46216.5</x:v>
      </x:c>
      <x:c r="C951" s="19" t="str">
        <x:v>S08</x:v>
      </x:c>
      <x:c r="D951" s="19" t="str">
        <x:v>四季青店</x:v>
      </x:c>
      <x:c r="E951" s="19" t="str">
        <x:v>D14</x:v>
      </x:c>
      <x:c r="F951" s="19" t="str">
        <x:v>酸辣鸡杂</x:v>
      </x:c>
      <x:c r="G951" s="19" t="str">
        <x:v>R1.0</x:v>
      </x:c>
      <x:c r="H951" s="20" t="n">
        <x:f>XLOOKUP(A951,'菜品日销量'!$A$5:$A$1124,'菜品日销量'!$G$5:$G$1124,0)</x:f>
        <x:v>7</x:v>
      </x:c>
      <x:c r="I951" s="20" t="n">
        <x:f>ROUNDUP(H951/2,0)</x:f>
        <x:v>4</x:v>
      </x:c>
      <x:c r="J951" s="22" t="n">
        <x:f>SUMIFS('菜谱BOM'!$F$5:$F$160,'菜谱BOM'!$A$5:$A$160,E951,'菜谱BOM'!$C$5:$C$160,"食材")</x:f>
        <x:v>470</x:v>
      </x:c>
      <x:c r="K951" s="38" t="n">
        <x:v>0.00019596575391384974</x:v>
      </x:c>
      <x:c r="L951" s="35" t="n">
        <x:f>H951*J951*(1+K951)</x:f>
        <x:v>3290.6447273303766</x:v>
      </x:c>
      <x:c r="M951" s="35" t="n">
        <x:f>SUMIFS('菜谱BOM'!$F$5:$F$160,'菜谱BOM'!$A$5:$A$160,E951,'菜谱BOM'!$C$5:$C$160,"调料")</x:f>
        <x:v>60</x:v>
      </x:c>
      <x:c r="N951" s="38" t="n">
        <x:v>-0.00009239750590464046</x:v>
      </x:c>
      <x:c r="O951" s="35" t="n">
        <x:f>H951*M951*(1+N951)</x:f>
        <x:v>419.96119304752006</x:v>
      </x:c>
      <x:c r="P951" s="19" t="str">
        <x:f>IF(ABS(N951)&gt;'封面与口径'!$O$25,"机器调料需复核",IF(ABS(K951)&gt;0.02,"人工称重需复核","正常"))</x:f>
        <x:v>正常</x:v>
      </x:c>
      <x:c r="Q951" s="19" t="str">
        <x:v>罗文</x:v>
      </x:c>
    </x:row>
    <x:row r="952">
      <x:c r="A952" s="19" t="str">
        <x:v>2026-07-13|S08|D15</x:v>
      </x:c>
      <x:c r="B952" s="34" t="n">
        <x:v>46216.5</x:v>
      </x:c>
      <x:c r="C952" s="19" t="str">
        <x:v>S08</x:v>
      </x:c>
      <x:c r="D952" s="19" t="str">
        <x:v>四季青店</x:v>
      </x:c>
      <x:c r="E952" s="19" t="str">
        <x:v>D15</x:v>
      </x:c>
      <x:c r="F952" s="19" t="str">
        <x:v>湘西土匪猪肝</x:v>
      </x:c>
      <x:c r="G952" s="19" t="str">
        <x:v>R1.0</x:v>
      </x:c>
      <x:c r="H952" s="20" t="n">
        <x:f>XLOOKUP(A952,'菜品日销量'!$A$5:$A$1124,'菜品日销量'!$G$5:$G$1124,0)</x:f>
        <x:v>7</x:v>
      </x:c>
      <x:c r="I952" s="20" t="n">
        <x:f>ROUNDUP(H952/2,0)</x:f>
        <x:v>4</x:v>
      </x:c>
      <x:c r="J952" s="22" t="n">
        <x:f>SUMIFS('菜谱BOM'!$F$5:$F$160,'菜谱BOM'!$A$5:$A$160,E952,'菜谱BOM'!$C$5:$C$160,"食材")</x:f>
        <x:v>470</x:v>
      </x:c>
      <x:c r="K952" s="38" t="n">
        <x:v>-0.000502958962810915</x:v>
      </x:c>
      <x:c r="L952" s="35" t="n">
        <x:f>H952*J952*(1+K952)</x:f>
        <x:v>3288.3452650123522</x:v>
      </x:c>
      <x:c r="M952" s="35" t="n">
        <x:f>SUMIFS('菜谱BOM'!$F$5:$F$160,'菜谱BOM'!$A$5:$A$160,E952,'菜谱BOM'!$C$5:$C$160,"调料")</x:f>
        <x:v>49</x:v>
      </x:c>
      <x:c r="N952" s="38" t="n">
        <x:v>0.0013872093566197922</x:v>
      </x:c>
      <x:c r="O952" s="35" t="n">
        <x:f>H952*M952*(1+N952)</x:f>
        <x:v>343.4758128093206</x:v>
      </x:c>
      <x:c r="P952" s="19" t="str">
        <x:f>IF(ABS(N952)&gt;'封面与口径'!$O$25,"机器调料需复核",IF(ABS(K952)&gt;0.02,"人工称重需复核","正常"))</x:f>
        <x:v>正常</x:v>
      </x:c>
      <x:c r="Q952" s="19" t="str">
        <x:v>罗文</x:v>
      </x:c>
    </x:row>
    <x:row r="953">
      <x:c r="A953" s="19" t="str">
        <x:v>2026-07-13|S08|D16</x:v>
      </x:c>
      <x:c r="B953" s="34" t="n">
        <x:v>46216.5</x:v>
      </x:c>
      <x:c r="C953" s="19" t="str">
        <x:v>S08</x:v>
      </x:c>
      <x:c r="D953" s="19" t="str">
        <x:v>四季青店</x:v>
      </x:c>
      <x:c r="E953" s="19" t="str">
        <x:v>D16</x:v>
      </x:c>
      <x:c r="F953" s="19" t="str">
        <x:v>小豆角炒五花</x:v>
      </x:c>
      <x:c r="G953" s="19" t="str">
        <x:v>R1.0</x:v>
      </x:c>
      <x:c r="H953" s="20" t="n">
        <x:f>XLOOKUP(A953,'菜品日销量'!$A$5:$A$1124,'菜品日销量'!$G$5:$G$1124,0)</x:f>
        <x:v>7</x:v>
      </x:c>
      <x:c r="I953" s="20" t="n">
        <x:f>ROUNDUP(H953/2,0)</x:f>
        <x:v>4</x:v>
      </x:c>
      <x:c r="J953" s="22" t="n">
        <x:f>SUMIFS('菜谱BOM'!$F$5:$F$160,'菜谱BOM'!$A$5:$A$160,E953,'菜谱BOM'!$C$5:$C$160,"食材")</x:f>
        <x:v>450</x:v>
      </x:c>
      <x:c r="K953" s="38" t="n">
        <x:v>-0.004250230855366734</x:v>
      </x:c>
      <x:c r="L953" s="35" t="n">
        <x:f>H953*J953*(1+K953)</x:f>
        <x:v>3136.611772805595</x:v>
      </x:c>
      <x:c r="M953" s="35" t="n">
        <x:f>SUMIFS('菜谱BOM'!$F$5:$F$160,'菜谱BOM'!$A$5:$A$160,E953,'菜谱BOM'!$C$5:$C$160,"调料")</x:f>
        <x:v>42</x:v>
      </x:c>
      <x:c r="N953" s="38" t="n">
        <x:v>-0.00009383965332383283</x:v>
      </x:c>
      <x:c r="O953" s="35" t="n">
        <x:f>H953*M953*(1+N953)</x:f>
        <x:v>293.9724111419228</x:v>
      </x:c>
      <x:c r="P953" s="19" t="str">
        <x:f>IF(ABS(N953)&gt;'封面与口径'!$O$25,"机器调料需复核",IF(ABS(K953)&gt;0.02,"人工称重需复核","正常"))</x:f>
        <x:v>正常</x:v>
      </x:c>
      <x:c r="Q953" s="19" t="str">
        <x:v>罗文</x:v>
      </x:c>
    </x:row>
    <x:row r="954">
      <x:c r="A954" s="19" t="str">
        <x:v>2026-07-13|S08|D18</x:v>
      </x:c>
      <x:c r="B954" s="34" t="n">
        <x:v>46216.5</x:v>
      </x:c>
      <x:c r="C954" s="19" t="str">
        <x:v>S08</x:v>
      </x:c>
      <x:c r="D954" s="19" t="str">
        <x:v>四季青店</x:v>
      </x:c>
      <x:c r="E954" s="19" t="str">
        <x:v>D18</x:v>
      </x:c>
      <x:c r="F954" s="19" t="str">
        <x:v>青椒炒油麦菜</x:v>
      </x:c>
      <x:c r="G954" s="19" t="str">
        <x:v>R1.0</x:v>
      </x:c>
      <x:c r="H954" s="20" t="n">
        <x:f>XLOOKUP(A954,'菜品日销量'!$A$5:$A$1124,'菜品日销量'!$G$5:$G$1124,0)</x:f>
        <x:v>8</x:v>
      </x:c>
      <x:c r="I954" s="20" t="n">
        <x:f>ROUNDUP(H954/2,0)</x:f>
        <x:v>4</x:v>
      </x:c>
      <x:c r="J954" s="22" t="n">
        <x:f>SUMIFS('菜谱BOM'!$F$5:$F$160,'菜谱BOM'!$A$5:$A$160,E954,'菜谱BOM'!$C$5:$C$160,"食材")</x:f>
        <x:v>430</x:v>
      </x:c>
      <x:c r="K954" s="38" t="n">
        <x:v>-0.006398072331770806</x:v>
      </x:c>
      <x:c r="L954" s="35" t="n">
        <x:f>H954*J954*(1+K954)</x:f>
        <x:v>3417.9906311787086</x:v>
      </x:c>
      <x:c r="M954" s="35" t="n">
        <x:f>SUMIFS('菜谱BOM'!$F$5:$F$160,'菜谱BOM'!$A$5:$A$160,E954,'菜谱BOM'!$C$5:$C$160,"调料")</x:f>
        <x:v>33</x:v>
      </x:c>
      <x:c r="N954" s="38" t="n">
        <x:v>-0.00011525631558970928</x:v>
      </x:c>
      <x:c r="O954" s="35" t="n">
        <x:f>H954*M954*(1+N954)</x:f>
        <x:v>263.9695723326843</x:v>
      </x:c>
      <x:c r="P954" s="19" t="str">
        <x:f>IF(ABS(N954)&gt;'封面与口径'!$O$25,"机器调料需复核",IF(ABS(K954)&gt;0.02,"人工称重需复核","正常"))</x:f>
        <x:v>正常</x:v>
      </x:c>
      <x:c r="Q954" s="19" t="str">
        <x:v>罗文</x:v>
      </x:c>
    </x:row>
    <x:row r="955">
      <x:c r="A955" s="19" t="str">
        <x:v>2026-07-13|S08|D19</x:v>
      </x:c>
      <x:c r="B955" s="34" t="n">
        <x:v>46216.5</x:v>
      </x:c>
      <x:c r="C955" s="19" t="str">
        <x:v>S08</x:v>
      </x:c>
      <x:c r="D955" s="19" t="str">
        <x:v>四季青店</x:v>
      </x:c>
      <x:c r="E955" s="19" t="str">
        <x:v>D19</x:v>
      </x:c>
      <x:c r="F955" s="19" t="str">
        <x:v>酸萝卜炒鸡杂</x:v>
      </x:c>
      <x:c r="G955" s="19" t="str">
        <x:v>R1.0</x:v>
      </x:c>
      <x:c r="H955" s="20" t="n">
        <x:f>XLOOKUP(A955,'菜品日销量'!$A$5:$A$1124,'菜品日销量'!$G$5:$G$1124,0)</x:f>
        <x:v>5</x:v>
      </x:c>
      <x:c r="I955" s="20" t="n">
        <x:f>ROUNDUP(H955/2,0)</x:f>
        <x:v>3</x:v>
      </x:c>
      <x:c r="J955" s="22" t="n">
        <x:f>SUMIFS('菜谱BOM'!$F$5:$F$160,'菜谱BOM'!$A$5:$A$160,E955,'菜谱BOM'!$C$5:$C$160,"食材")</x:f>
        <x:v>500</x:v>
      </x:c>
      <x:c r="K955" s="38" t="n">
        <x:v>-0.0008935051208579692</x:v>
      </x:c>
      <x:c r="L955" s="35" t="n">
        <x:f>H955*J955*(1+K955)</x:f>
        <x:v>2497.766237197855</x:v>
      </x:c>
      <x:c r="M955" s="35" t="n">
        <x:f>SUMIFS('菜谱BOM'!$F$5:$F$160,'菜谱BOM'!$A$5:$A$160,E955,'菜谱BOM'!$C$5:$C$160,"调料")</x:f>
        <x:v>55</x:v>
      </x:c>
      <x:c r="N955" s="38" t="n">
        <x:v>0.0006948347284213723</x:v>
      </x:c>
      <x:c r="O955" s="35" t="n">
        <x:f>H955*M955*(1+N955)</x:f>
        <x:v>275.1910795503159</x:v>
      </x:c>
      <x:c r="P955" s="19" t="str">
        <x:f>IF(ABS(N955)&gt;'封面与口径'!$O$25,"机器调料需复核",IF(ABS(K955)&gt;0.02,"人工称重需复核","正常"))</x:f>
        <x:v>正常</x:v>
      </x:c>
      <x:c r="Q955" s="19" t="str">
        <x:v>罗文</x:v>
      </x:c>
    </x:row>
    <x:row r="956">
      <x:c r="A956" s="19" t="str">
        <x:v>2026-07-13|S08|D20</x:v>
      </x:c>
      <x:c r="B956" s="34" t="n">
        <x:v>46216.5</x:v>
      </x:c>
      <x:c r="C956" s="19" t="str">
        <x:v>S08</x:v>
      </x:c>
      <x:c r="D956" s="19" t="str">
        <x:v>四季青店</x:v>
      </x:c>
      <x:c r="E956" s="19" t="str">
        <x:v>D20</x:v>
      </x:c>
      <x:c r="F956" s="19" t="str">
        <x:v>雪菜肉末青豆</x:v>
      </x:c>
      <x:c r="G956" s="19" t="str">
        <x:v>R1.0</x:v>
      </x:c>
      <x:c r="H956" s="20" t="n">
        <x:f>XLOOKUP(A956,'菜品日销量'!$A$5:$A$1124,'菜品日销量'!$G$5:$G$1124,0)</x:f>
        <x:v>8</x:v>
      </x:c>
      <x:c r="I956" s="20" t="n">
        <x:f>ROUNDUP(H956/2,0)</x:f>
        <x:v>4</x:v>
      </x:c>
      <x:c r="J956" s="22" t="n">
        <x:f>SUMIFS('菜谱BOM'!$F$5:$F$160,'菜谱BOM'!$A$5:$A$160,E956,'菜谱BOM'!$C$5:$C$160,"食材")</x:f>
        <x:v>465</x:v>
      </x:c>
      <x:c r="K956" s="38" t="n">
        <x:v>-0.006676545779843942</x:v>
      </x:c>
      <x:c r="L956" s="35" t="n">
        <x:f>H956*J956*(1+K956)</x:f>
        <x:v>3695.1632496989805</x:v>
      </x:c>
      <x:c r="M956" s="35" t="n">
        <x:f>SUMIFS('菜谱BOM'!$F$5:$F$160,'菜谱BOM'!$A$5:$A$160,E956,'菜谱BOM'!$C$5:$C$160,"调料")</x:f>
        <x:v>32</x:v>
      </x:c>
      <x:c r="N956" s="38" t="n">
        <x:v>0.000544594176706065</x:v>
      </x:c>
      <x:c r="O956" s="35" t="n">
        <x:f>H956*M956*(1+N956)</x:f>
        <x:v>256.1394161092368</x:v>
      </x:c>
      <x:c r="P956" s="19" t="str">
        <x:f>IF(ABS(N956)&gt;'封面与口径'!$O$25,"机器调料需复核",IF(ABS(K956)&gt;0.02,"人工称重需复核","正常"))</x:f>
        <x:v>正常</x:v>
      </x:c>
      <x:c r="Q956" s="19" t="str">
        <x:v>罗文</x:v>
      </x:c>
    </x:row>
  </x:sheetData>
  <x:mergeCells>
    <x:mergeCell ref="A1:Q1"/>
    <x:mergeCell ref="A2:Q2"/>
  </x:mergeCells>
  <x:conditionalFormatting sqref="P5:P956">
    <x:cfRule type="notContainsText" dxfId="4" priority="1" text="正常"/>
  </x:conditionalFormatting>
  <x:pageMargins left="0.7" right="0.7" top="0.75" bottom="0.75" header="0.3" footer="0.3"/>
  <x:tableParts count="1">
    <x:tablePart xmlns:r="http://schemas.openxmlformats.org/officeDocument/2006/relationships" r:id="Rfe880c101f9043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4" hidden="0" customWidth="1"/>
    <x:col min="5" max="5" width="18" hidden="0" customWidth="1"/>
    <x:col min="6" max="6" width="10" hidden="0" customWidth="1"/>
    <x:col min="7" max="7" width="18" hidden="0" customWidth="1"/>
    <x:col min="8" max="8" width="42" hidden="0" customWidth="1"/>
    <x:col min="9" max="9" width="14" hidden="0" customWidth="1"/>
    <x:col min="10" max="10" width="28" hidden="0" customWidth="1"/>
  </x:cols>
  <x:sheetData>
    <x:row r="1" ht="34" customHeight="1">
      <x:c r="A1" s="3" t="str">
        <x:v>顾客反馈样本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评价主题参考用户提供的点评截图；7天日期、门店归属与事件关联均为模拟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2" t="str">
        <x:v>日期</x:v>
      </x:c>
      <x:c r="B4" s="12" t="str">
        <x:v>门店</x:v>
      </x:c>
      <x:c r="C4" s="12" t="str">
        <x:v>评分</x:v>
      </x:c>
      <x:c r="D4" s="12" t="str">
        <x:v>渠道</x:v>
      </x:c>
      <x:c r="E4" s="12" t="str">
        <x:v>菜品</x:v>
      </x:c>
      <x:c r="F4" s="12" t="str">
        <x:v>倾向</x:v>
      </x:c>
      <x:c r="G4" s="12" t="str">
        <x:v>问题标签</x:v>
      </x:c>
      <x:c r="H4" s="12" t="str">
        <x:v>摘要</x:v>
      </x:c>
      <x:c r="I4" s="12" t="str">
        <x:v>关联事件</x:v>
      </x:c>
      <x:c r="J4" s="12" t="str">
        <x:v>来源</x:v>
      </x:c>
    </x:row>
    <x:row r="5">
      <x:c r="A5" s="34" t="n">
        <x:v>46211.5</x:v>
      </x:c>
      <x:c r="B5" s="19" t="str">
        <x:v>近江天阳店</x:v>
      </x:c>
      <x:c r="C5" s="23" t="n">
        <x:v>3</x:v>
      </x:c>
      <x:c r="D5" s="19" t="str">
        <x:v>大众点评</x:v>
      </x:c>
      <x:c r="E5" s="19" t="str">
        <x:v>剁椒鱼头</x:v>
      </x:c>
      <x:c r="F5" s="19" t="str">
        <x:v>负向</x:v>
      </x:c>
      <x:c r="G5" s="19" t="str">
        <x:v>辣度</x:v>
      </x:c>
      <x:c r="H5" s="39" t="str">
        <x:v>反馈主题：很下饭但辣度过高</x:v>
      </x:c>
      <x:c r="I5" s="19" t="str">
        <x:v>EV-C-001</x:v>
      </x:c>
      <x:c r="J5" s="19" t="str">
        <x:v>S-基于截图评价主题模拟</x:v>
      </x:c>
    </x:row>
    <x:row r="6">
      <x:c r="A6" s="34" t="n">
        <x:v>46211.5</x:v>
      </x:c>
      <x:c r="B6" s="19" t="str">
        <x:v>尊宝大厦店</x:v>
      </x:c>
      <x:c r="C6" s="23" t="n">
        <x:v>3</x:v>
      </x:c>
      <x:c r="D6" s="19" t="str">
        <x:v>大众点评</x:v>
      </x:c>
      <x:c r="E6" s="19" t="str">
        <x:v>辣椒炒肉</x:v>
      </x:c>
      <x:c r="F6" s="19" t="str">
        <x:v>负向</x:v>
      </x:c>
      <x:c r="G6" s="19" t="str">
        <x:v>辣度</x:v>
      </x:c>
      <x:c r="H6" s="39" t="str">
        <x:v>反馈主题：口味可以但明显偏辣</x:v>
      </x:c>
      <x:c r="I6" s="19" t="str">
        <x:v>EV-C-001</x:v>
      </x:c>
      <x:c r="J6" s="19" t="str">
        <x:v>S-基于截图评价主题模拟</x:v>
      </x:c>
    </x:row>
    <x:row r="7">
      <x:c r="A7" s="34" t="n">
        <x:v>46212.5</x:v>
      </x:c>
      <x:c r="B7" s="19" t="str">
        <x:v>金街美地店</x:v>
      </x:c>
      <x:c r="C7" s="23" t="n">
        <x:v>2</x:v>
      </x:c>
      <x:c r="D7" s="19" t="str">
        <x:v>门店客诉</x:v>
      </x:c>
      <x:c r="E7" s="19" t="str">
        <x:v>酸包菜炒粉皮</x:v>
      </x:c>
      <x:c r="F7" s="19" t="str">
        <x:v>负向</x:v>
      </x:c>
      <x:c r="G7" s="19" t="str">
        <x:v>出餐慢/粘连</x:v>
      </x:c>
      <x:c r="H7" s="39" t="str">
        <x:v>粉皮粘连，晚市出餐延迟</x:v>
      </x:c>
      <x:c r="I7" s="19" t="str">
        <x:v>EV-P-001</x:v>
      </x:c>
      <x:c r="J7" s="19" t="str">
        <x:v>S-业务事件模拟</x:v>
      </x:c>
    </x:row>
    <x:row r="8">
      <x:c r="A8" s="34" t="n">
        <x:v>46213.5</x:v>
      </x:c>
      <x:c r="B8" s="19" t="str">
        <x:v>同顺街店</x:v>
      </x:c>
      <x:c r="C8" s="23" t="n">
        <x:v>3</x:v>
      </x:c>
      <x:c r="D8" s="19" t="str">
        <x:v>门店客诉</x:v>
      </x:c>
      <x:c r="E8" s="19" t="str">
        <x:v>酸包菜炒粉皮</x:v>
      </x:c>
      <x:c r="F8" s="19" t="str">
        <x:v>负向</x:v>
      </x:c>
      <x:c r="G8" s="19" t="str">
        <x:v>酸度不足</x:v>
      </x:c>
      <x:c r="H8" s="39" t="str">
        <x:v>酸包菜酸味不足，口感不稳定</x:v>
      </x:c>
      <x:c r="I8" s="19" t="str">
        <x:v>EV-Q-002</x:v>
      </x:c>
      <x:c r="J8" s="19" t="str">
        <x:v>S-业务事件模拟</x:v>
      </x:c>
    </x:row>
    <x:row r="9">
      <x:c r="A9" s="34" t="n">
        <x:v>46214.5</x:v>
      </x:c>
      <x:c r="B9" s="19" t="str">
        <x:v>同顺街店</x:v>
      </x:c>
      <x:c r="C9" s="23" t="n">
        <x:v>3</x:v>
      </x:c>
      <x:c r="D9" s="19" t="str">
        <x:v>大众点评</x:v>
      </x:c>
      <x:c r="E9" s="19" t="str">
        <x:v>酸包菜炒粉皮</x:v>
      </x:c>
      <x:c r="F9" s="19" t="str">
        <x:v>负向</x:v>
      </x:c>
      <x:c r="G9" s="19" t="str">
        <x:v>酸度不足</x:v>
      </x:c>
      <x:c r="H9" s="39" t="str">
        <x:v>第二次出现酸度不足反馈</x:v>
      </x:c>
      <x:c r="I9" s="19" t="str">
        <x:v>EV-Q-002</x:v>
      </x:c>
      <x:c r="J9" s="19" t="str">
        <x:v>S-业务事件模拟</x:v>
      </x:c>
    </x:row>
    <x:row r="10">
      <x:c r="A10" s="34" t="n">
        <x:v>46215.5</x:v>
      </x:c>
      <x:c r="B10" s="19" t="str">
        <x:v>近江天阳店</x:v>
      </x:c>
      <x:c r="C10" s="23" t="n">
        <x:v>2</x:v>
      </x:c>
      <x:c r="D10" s="19" t="str">
        <x:v>门店客诉</x:v>
      </x:c>
      <x:c r="E10" s="19" t="str">
        <x:v>小炒黄牛肉</x:v>
      </x:c>
      <x:c r="F10" s="19" t="str">
        <x:v>负向</x:v>
      </x:c>
      <x:c r="G10" s="19" t="str">
        <x:v>牛肉偏柴</x:v>
      </x:c>
      <x:c r="H10" s="39" t="str">
        <x:v>牛肉嫩度与往常不同</x:v>
      </x:c>
      <x:c r="I10" s="19" t="str">
        <x:v>EV-Q-001</x:v>
      </x:c>
      <x:c r="J10" s="19" t="str">
        <x:v>S-基于截图评价主题模拟</x:v>
      </x:c>
    </x:row>
    <x:row r="11">
      <x:c r="A11" s="34" t="n">
        <x:v>46215.5</x:v>
      </x:c>
      <x:c r="B11" s="19" t="str">
        <x:v>近江天阳店</x:v>
      </x:c>
      <x:c r="C11" s="23" t="n">
        <x:v>2</x:v>
      </x:c>
      <x:c r="D11" s="19" t="str">
        <x:v>大众点评</x:v>
      </x:c>
      <x:c r="E11" s="19" t="str">
        <x:v>小炒黄牛肉</x:v>
      </x:c>
      <x:c r="F11" s="19" t="str">
        <x:v>负向</x:v>
      </x:c>
      <x:c r="G11" s="19" t="str">
        <x:v>牛肉偏柴</x:v>
      </x:c>
      <x:c r="H11" s="39" t="str">
        <x:v>牛肉不够嫩滑且香气不足</x:v>
      </x:c>
      <x:c r="I11" s="19" t="str">
        <x:v>EV-Q-001</x:v>
      </x:c>
      <x:c r="J11" s="19" t="str">
        <x:v>S-基于截图评价主题模拟</x:v>
      </x:c>
    </x:row>
    <x:row r="12">
      <x:c r="A12" s="34" t="n">
        <x:v>46216.5</x:v>
      </x:c>
      <x:c r="B12" s="19" t="str">
        <x:v>近江天阳店</x:v>
      </x:c>
      <x:c r="C12" s="23" t="n">
        <x:v>3</x:v>
      </x:c>
      <x:c r="D12" s="19" t="str">
        <x:v>店长上报</x:v>
      </x:c>
      <x:c r="E12" s="19" t="str">
        <x:v>小炒黄牛肉</x:v>
      </x:c>
      <x:c r="F12" s="19" t="str">
        <x:v>负向</x:v>
      </x:c>
      <x:c r="G12" s="19" t="str">
        <x:v>同批次复现</x:v>
      </x:c>
      <x:c r="H12" s="39" t="str">
        <x:v>店内复验再次出现偏柴</x:v>
      </x:c>
      <x:c r="I12" s="19" t="str">
        <x:v>EV-Q-001</x:v>
      </x:c>
      <x:c r="J12" s="19" t="str">
        <x:v>S-业务事件模拟</x:v>
      </x:c>
    </x:row>
    <x:row r="13">
      <x:c r="A13" s="34" t="n">
        <x:v>46210.5</x:v>
      </x:c>
      <x:c r="B13" s="19" t="str">
        <x:v>铂悦城店</x:v>
      </x:c>
      <x:c r="C13" s="23" t="n">
        <x:v>5</x:v>
      </x:c>
      <x:c r="D13" s="19" t="str">
        <x:v>大众点评</x:v>
      </x:c>
      <x:c r="E13" s="19" t="str">
        <x:v>辣椒炒肉</x:v>
      </x:c>
      <x:c r="F13" s="19" t="str">
        <x:v>正向</x:v>
      </x:c>
      <x:c r="G13" s="19" t="str">
        <x:v>稳定/下饭</x:v>
      </x:c>
      <x:c r="H13" s="39" t="str">
        <x:v>反馈主题：招牌菜稳定、适合拌饭</x:v>
      </x:c>
      <x:c r="I13" s="19" t="str"/>
      <x:c r="J13" s="19" t="str">
        <x:v>S-基于截图评价主题模拟</x:v>
      </x:c>
    </x:row>
    <x:row r="14">
      <x:c r="A14" s="34" t="n">
        <x:v>46212.5</x:v>
      </x:c>
      <x:c r="B14" s="19" t="str">
        <x:v>尊宝大厦店</x:v>
      </x:c>
      <x:c r="C14" s="23" t="n">
        <x:v>5</x:v>
      </x:c>
      <x:c r="D14" s="19" t="str">
        <x:v>大众点评</x:v>
      </x:c>
      <x:c r="E14" s="19" t="str">
        <x:v>小炒黄牛肉</x:v>
      </x:c>
      <x:c r="F14" s="19" t="str">
        <x:v>正向</x:v>
      </x:c>
      <x:c r="G14" s="19" t="str">
        <x:v>嫩滑</x:v>
      </x:c>
      <x:c r="H14" s="39" t="str">
        <x:v>反馈主题：牛肉嫩滑</x:v>
      </x:c>
      <x:c r="I14" s="19" t="str"/>
      <x:c r="J14" s="19" t="str">
        <x:v>S-基于截图推荐主题模拟</x:v>
      </x:c>
    </x:row>
    <x:row r="15">
      <x:c r="A15" s="34" t="n">
        <x:v>46214.5</x:v>
      </x:c>
      <x:c r="B15" s="19" t="str">
        <x:v>近江天阳店</x:v>
      </x:c>
      <x:c r="C15" s="23" t="n">
        <x:v>5</x:v>
      </x:c>
      <x:c r="D15" s="19" t="str">
        <x:v>大众点评</x:v>
      </x:c>
      <x:c r="E15" s="19" t="str">
        <x:v>清蒸鲈鱼</x:v>
      </x:c>
      <x:c r="F15" s="19" t="str">
        <x:v>正向</x:v>
      </x:c>
      <x:c r="G15" s="19" t="str">
        <x:v>稳定</x:v>
      </x:c>
      <x:c r="H15" s="39" t="str">
        <x:v>反馈主题：连锁店味道稳定</x:v>
      </x:c>
      <x:c r="I15" s="19" t="str"/>
      <x:c r="J15" s="19" t="str">
        <x:v>S-基于截图评价主题模拟</x:v>
      </x:c>
    </x:row>
    <x:row r="16">
      <x:c r="A16" s="34" t="n">
        <x:v>46216.5</x:v>
      </x:c>
      <x:c r="B16" s="19" t="str">
        <x:v>蓝钻天城店</x:v>
      </x:c>
      <x:c r="C16" s="23" t="n">
        <x:v>4</x:v>
      </x:c>
      <x:c r="D16" s="19" t="str">
        <x:v>大众点评</x:v>
      </x:c>
      <x:c r="E16" s="19" t="str">
        <x:v>麻婆豆腐</x:v>
      </x:c>
      <x:c r="F16" s="19" t="str">
        <x:v>中性</x:v>
      </x:c>
      <x:c r="G16" s="19" t="str">
        <x:v>性价比</x:v>
      </x:c>
      <x:c r="H16" s="39" t="str">
        <x:v>价格实惠，但活动毛利需关注</x:v>
      </x:c>
      <x:c r="I16" s="19" t="str">
        <x:v>EV-M-001</x:v>
      </x:c>
      <x:c r="J16" s="19" t="str">
        <x:v>S-基于截图评价主题模拟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a896566aeea41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34" hidden="0" customWidth="1"/>
    <x:col min="5" max="5" width="20" hidden="0" customWidth="1"/>
    <x:col min="6" max="6" width="22" hidden="0" customWidth="1"/>
    <x:col min="7" max="7" width="34" hidden="0" customWidth="1"/>
    <x:col min="8" max="8" width="34" hidden="0" customWidth="1"/>
    <x:col min="9" max="9" width="16" hidden="0" customWidth="1"/>
    <x:col min="10" max="10" width="12" hidden="0" customWidth="1"/>
    <x:col min="11" max="11" width="18" hidden="0" customWidth="1"/>
    <x:col min="12" max="12" width="12" hidden="0" customWidth="1"/>
    <x:col min="13" max="13" width="18" hidden="0" customWidth="1"/>
    <x:col min="14" max="14" width="34" hidden="0" customWidth="1"/>
    <x:col min="15" max="15" width="34" hidden="0" customWidth="1"/>
    <x:col min="16" max="16" width="13" hidden="0" customWidth="1"/>
    <x:col min="17" max="17" width="12" hidden="0" customWidth="1"/>
  </x:cols>
  <x:sheetData>
    <x:row r="1" ht="34" customHeight="1">
      <x:c r="A1" s="3" t="str">
        <x:v>经营事件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事件是场景页与首页聚合之间的核心对象：证据 → 判断 → 责任人 → 动作 → 验收 → 复盘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2" t="str">
        <x:v>事件ID</x:v>
      </x:c>
      <x:c r="B4" s="12" t="str">
        <x:v>发生日期</x:v>
      </x:c>
      <x:c r="C4" s="12" t="str">
        <x:v>场景</x:v>
      </x:c>
      <x:c r="D4" s="12" t="str">
        <x:v>事件标题</x:v>
      </x:c>
      <x:c r="E4" s="12" t="str">
        <x:v>范围</x:v>
      </x:c>
      <x:c r="F4" s="12" t="str">
        <x:v>触发来源</x:v>
      </x:c>
      <x:c r="G4" s="12" t="str">
        <x:v>已知证据</x:v>
      </x:c>
      <x:c r="H4" s="12" t="str">
        <x:v>AI/模拟判断</x:v>
      </x:c>
      <x:c r="I4" s="12" t="str">
        <x:v>预计影响(元)</x:v>
      </x:c>
      <x:c r="J4" s="12" t="str">
        <x:v>置信度</x:v>
      </x:c>
      <x:c r="K4" s="12" t="str">
        <x:v>当前节点</x:v>
      </x:c>
      <x:c r="L4" s="12" t="str">
        <x:v>状态</x:v>
      </x:c>
      <x:c r="M4" s="12" t="str">
        <x:v>责任人</x:v>
      </x:c>
      <x:c r="N4" s="12" t="str">
        <x:v>下一动作</x:v>
      </x:c>
      <x:c r="O4" s="12" t="str">
        <x:v>验收标准</x:v>
      </x:c>
      <x:c r="P4" s="12" t="str">
        <x:v>复盘日期</x:v>
      </x:c>
      <x:c r="Q4" s="12" t="str">
        <x:v>聚合首页</x:v>
      </x:c>
    </x:row>
    <x:row r="5">
      <x:c r="A5" s="19" t="str">
        <x:v>EV-Q-001</x:v>
      </x:c>
      <x:c r="B5" s="34" t="n">
        <x:v>46215.5</x:v>
      </x:c>
      <x:c r="C5" s="19" t="str">
        <x:v>菜品品质</x:v>
      </x:c>
      <x:c r="D5" s="39" t="str">
        <x:v>近江天阳店连续3次反馈小炒黄牛肉偏柴</x:v>
      </x:c>
      <x:c r="E5" s="39" t="str">
        <x:v>近江天阳店</x:v>
      </x:c>
      <x:c r="F5" s="39" t="str">
        <x:v>顾客评价+店长上报</x:v>
      </x:c>
      <x:c r="G5" s="39" t="str">
        <x:v>牛肉片供应批次 B0712-03；炒菜机调料偏差正常</x:v>
      </x:c>
      <x:c r="H5" s="39" t="str">
        <x:v>原料部位与含水状态待核验，暂停该批次</x:v>
      </x:c>
      <x:c r="I5" s="40" t="n">
        <x:v>-1260</x:v>
      </x:c>
      <x:c r="J5" s="41" t="n">
        <x:v>0.88</x:v>
      </x:c>
      <x:c r="K5" s="19" t="str">
        <x:v>总部品控追溯</x:v>
      </x:c>
      <x:c r="L5" s="19" t="str">
        <x:v>处理中</x:v>
      </x:c>
      <x:c r="M5" s="19" t="str">
        <x:v>张薇/总部品控</x:v>
      </x:c>
      <x:c r="N5" s="39" t="str">
        <x:v>确认退换并触发3kg调拨</x:v>
      </x:c>
      <x:c r="O5" s="39" t="str">
        <x:v>厨房复验通过且7日无同类反馈</x:v>
      </x:c>
      <x:c r="P5" s="34" t="n">
        <x:v>46223.5</x:v>
      </x:c>
      <x:c r="Q5" s="19" t="str">
        <x:v>是</x:v>
      </x:c>
    </x:row>
    <x:row r="6">
      <x:c r="A6" s="19" t="str">
        <x:v>EV-S-001</x:v>
      </x:c>
      <x:c r="B6" s="34" t="n">
        <x:v>46214.5</x:v>
      </x:c>
      <x:c r="C6" s="19" t="str">
        <x:v>精准备货</x:v>
      </x:c>
      <x:c r="D6" s="39" t="str">
        <x:v>全店青椒备货由申报50kg修正为42kg</x:v>
      </x:c>
      <x:c r="E6" s="39" t="str">
        <x:v>全部8店</x:v>
      </x:c>
      <x:c r="F6" s="39" t="str">
        <x:v>需求预测+库存快照</x:v>
      </x:c>
      <x:c r="G6" s="39" t="str">
        <x:v>模拟实际耗用43kg，未发生缺货</x:v>
      </x:c>
      <x:c r="H6" s="39" t="str">
        <x:v>预测优于人工申报，减少约7kg潜在余量</x:v>
      </x:c>
      <x:c r="I6" s="40" t="n">
        <x:v>320</x:v>
      </x:c>
      <x:c r="J6" s="41" t="n">
        <x:v>0.92</x:v>
      </x:c>
      <x:c r="K6" s="19" t="str">
        <x:v>晚市复盘</x:v>
      </x:c>
      <x:c r="L6" s="19" t="str">
        <x:v>已闭环</x:v>
      </x:c>
      <x:c r="M6" s="19" t="str">
        <x:v>李明/采购</x:v>
      </x:c>
      <x:c r="N6" s="39" t="str">
        <x:v>保留预测值并记录人工修正原因</x:v>
      </x:c>
      <x:c r="O6" s="39" t="str">
        <x:v>准确率≥90%，无缺货且损耗下降</x:v>
      </x:c>
      <x:c r="P6" s="34" t="n">
        <x:v>46216.5</x:v>
      </x:c>
      <x:c r="Q6" s="19" t="str">
        <x:v>是</x:v>
      </x:c>
    </x:row>
    <x:row r="7">
      <x:c r="A7" s="19" t="str">
        <x:v>EV-Q-002</x:v>
      </x:c>
      <x:c r="B7" s="34" t="n">
        <x:v>46213.5</x:v>
      </x:c>
      <x:c r="C7" s="19" t="str">
        <x:v>菜品品质</x:v>
      </x:c>
      <x:c r="D7" s="39" t="str">
        <x:v>酸包菜炒粉皮酸度不足</x:v>
      </x:c>
      <x:c r="E7" s="39" t="str">
        <x:v>同顺街店</x:v>
      </x:c>
      <x:c r="F7" s="39" t="str">
        <x:v>顾客反馈+门店品控</x:v>
      </x:c>
      <x:c r="G7" s="39" t="str">
        <x:v>同一供应商批次出现2次口味反馈</x:v>
      </x:c>
      <x:c r="H7" s="39" t="str">
        <x:v>收货环节缺少口感/酸度验收</x:v>
      </x:c>
      <x:c r="I7" s="40" t="n">
        <x:v>-280</x:v>
      </x:c>
      <x:c r="J7" s="41" t="n">
        <x:v>0.84</x:v>
      </x:c>
      <x:c r="K7" s="19" t="str">
        <x:v>供应商整改</x:v>
      </x:c>
      <x:c r="L7" s="19" t="str">
        <x:v>待验收</x:v>
      </x:c>
      <x:c r="M7" s="19" t="str">
        <x:v>周敏/总部运营</x:v>
      </x:c>
      <x:c r="N7" s="39" t="str">
        <x:v>增加酸包菜到货抽检并复验</x:v>
      </x:c>
      <x:c r="O7" s="39" t="str">
        <x:v>连续3批验收通过</x:v>
      </x:c>
      <x:c r="P7" s="34" t="n">
        <x:v>46220.5</x:v>
      </x:c>
      <x:c r="Q7" s="19" t="str">
        <x:v>是</x:v>
      </x:c>
    </x:row>
    <x:row r="8">
      <x:c r="A8" s="19" t="str">
        <x:v>EV-P-001</x:v>
      </x:c>
      <x:c r="B8" s="34" t="n">
        <x:v>46212.5</x:v>
      </x:c>
      <x:c r="C8" s="19" t="str">
        <x:v>菜品品质</x:v>
      </x:c>
      <x:c r="D8" s="39" t="str">
        <x:v>粉皮预处理粘连导致5份延迟出餐</x:v>
      </x:c>
      <x:c r="E8" s="39" t="str">
        <x:v>金街美地店</x:v>
      </x:c>
      <x:c r="F8" s="39" t="str">
        <x:v>后厨上报+出餐时间</x:v>
      </x:c>
      <x:c r="G8" s="39" t="str">
        <x:v>浸泡批量与环境温度变化</x:v>
      </x:c>
      <x:c r="H8" s="39" t="str">
        <x:v>预处理SOP未记录水温与批量</x:v>
      </x:c>
      <x:c r="I8" s="40" t="n">
        <x:v>-190</x:v>
      </x:c>
      <x:c r="J8" s="41" t="n">
        <x:v>0.79</x:v>
      </x:c>
      <x:c r="K8" s="19" t="str">
        <x:v>后厨复验</x:v>
      </x:c>
      <x:c r="L8" s="19" t="str">
        <x:v>已闭环</x:v>
      </x:c>
      <x:c r="M8" s="19" t="str">
        <x:v>张洁/店长</x:v>
      </x:c>
      <x:c r="N8" s="39" t="str">
        <x:v>启用分批浸泡和计时留证</x:v>
      </x:c>
      <x:c r="O8" s="39" t="str">
        <x:v>晚市出餐超时恢复至目标内</x:v>
      </x:c>
      <x:c r="P8" s="34" t="n">
        <x:v>46213.5</x:v>
      </x:c>
      <x:c r="Q8" s="19" t="str">
        <x:v>否</x:v>
      </x:c>
    </x:row>
    <x:row r="9">
      <x:c r="A9" s="19" t="str">
        <x:v>EV-C-001</x:v>
      </x:c>
      <x:c r="B9" s="34" t="n">
        <x:v>46211.5</x:v>
      </x:c>
      <x:c r="C9" s="19" t="str">
        <x:v>顾客体验</x:v>
      </x:c>
      <x:c r="D9" s="39" t="str">
        <x:v>剁椒鱼头与辣椒炒肉被集中反馈偏辣</x:v>
      </x:c>
      <x:c r="E9" s="39" t="str">
        <x:v>近江天阳店/尊宝大厦店</x:v>
      </x:c>
      <x:c r="F9" s="39" t="str">
        <x:v>点评关键词</x:v>
      </x:c>
      <x:c r="G9" s="39" t="str">
        <x:v>截图样本中出现多次“太辣”主题</x:v>
      </x:c>
      <x:c r="H9" s="39" t="str">
        <x:v>增加辣度提示与可选辣度标签</x:v>
      </x:c>
      <x:c r="I9" s="40" t="n">
        <x:v>-160</x:v>
      </x:c>
      <x:c r="J9" s="41" t="n">
        <x:v>0.76</x:v>
      </x:c>
      <x:c r="K9" s="19" t="str">
        <x:v>门店执行</x:v>
      </x:c>
      <x:c r="L9" s="19" t="str">
        <x:v>处理中</x:v>
      </x:c>
      <x:c r="M9" s="19" t="str">
        <x:v>王磊/总部运营</x:v>
      </x:c>
      <x:c r="N9" s="39" t="str">
        <x:v>菜单标注辣度并由服务员二次确认</x:v>
      </x:c>
      <x:c r="O9" s="39" t="str">
        <x:v>相关负面反馈7日下降50%</x:v>
      </x:c>
      <x:c r="P9" s="34" t="n">
        <x:v>46218.5</x:v>
      </x:c>
      <x:c r="Q9" s="19" t="str">
        <x:v>是</x:v>
      </x:c>
    </x:row>
    <x:row r="10">
      <x:c r="A10" s="19" t="str">
        <x:v>EV-M-001</x:v>
      </x:c>
      <x:c r="B10" s="34" t="n">
        <x:v>46216.5</x:v>
      </x:c>
      <x:c r="C10" s="19" t="str">
        <x:v>外卖经营</x:v>
      </x:c>
      <x:c r="D10" s="39" t="str">
        <x:v>麻婆豆腐低价活动带来销量但压低贡献毛利</x:v>
      </x:c>
      <x:c r="E10" s="39" t="str">
        <x:v>蓝钻天城店</x:v>
      </x:c>
      <x:c r="F10" s="39" t="str">
        <x:v>外卖订单+活动费用</x:v>
      </x:c>
      <x:c r="G10" s="39" t="str">
        <x:v>外卖折扣8%、佣金18%、包装1.2元/份</x:v>
      </x:c>
      <x:c r="H10" s="39" t="str">
        <x:v>暂停深折扣，保留引流但改为组合销售</x:v>
      </x:c>
      <x:c r="I10" s="40" t="n">
        <x:v>410</x:v>
      </x:c>
      <x:c r="J10" s="41" t="n">
        <x:v>0.91</x:v>
      </x:c>
      <x:c r="K10" s="19" t="str">
        <x:v>总部审核</x:v>
      </x:c>
      <x:c r="L10" s="19" t="str">
        <x:v>待决策</x:v>
      </x:c>
      <x:c r="M10" s="19" t="str">
        <x:v>王磊/总部运营</x:v>
      </x:c>
      <x:c r="N10" s="39" t="str">
        <x:v>调整活动菜品组合并观察7日</x:v>
      </x:c>
      <x:c r="O10" s="39" t="str">
        <x:v>外卖贡献毛利率提升≥5pt</x:v>
      </x:c>
      <x:c r="P10" s="34" t="n">
        <x:v>46223.5</x:v>
      </x:c>
      <x:c r="Q10" s="19" t="str">
        <x:v>是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965ce57b2a3437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12" hidden="0" customWidth="1"/>
    <x:col min="10" max="10" width="30" hidden="0" customWidth="1"/>
    <x:col min="11" max="11" width="16" hidden="0" customWidth="1"/>
    <x:col min="12" max="12" width="20" hidden="0" customWidth="1"/>
    <x:col min="13" max="13" width="12" hidden="0" customWidth="1"/>
  </x:cols>
  <x:sheetData>
    <x:row r="1" ht="34" customHeight="1">
      <x:c r="A1" s="3" t="str">
        <x:v>SOP任务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每条建议都必须落实为角色、截止时间、证据、验收人与复盘时间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8" customHeight="1">
      <x:c r="A4" s="12" t="str">
        <x:v>任务ID</x:v>
      </x:c>
      <x:c r="B4" s="12" t="str">
        <x:v>事件ID</x:v>
      </x:c>
      <x:c r="C4" s="12" t="str">
        <x:v>场景</x:v>
      </x:c>
      <x:c r="D4" s="12" t="str">
        <x:v>动作</x:v>
      </x:c>
      <x:c r="E4" s="12" t="str">
        <x:v>执行角色</x:v>
      </x:c>
      <x:c r="F4" s="12" t="str">
        <x:v>执行人</x:v>
      </x:c>
      <x:c r="G4" s="12" t="str">
        <x:v>范围</x:v>
      </x:c>
      <x:c r="H4" s="12" t="str">
        <x:v>截止时间</x:v>
      </x:c>
      <x:c r="I4" s="12" t="str">
        <x:v>状态</x:v>
      </x:c>
      <x:c r="J4" s="12" t="str">
        <x:v>验收证据</x:v>
      </x:c>
      <x:c r="K4" s="12" t="str">
        <x:v>验收人</x:v>
      </x:c>
      <x:c r="L4" s="12" t="str">
        <x:v>验收时间</x:v>
      </x:c>
      <x:c r="M4" s="12" t="str">
        <x:v>移动端</x:v>
      </x:c>
    </x:row>
    <x:row r="5">
      <x:c r="A5" s="19" t="str">
        <x:v>T001</x:v>
      </x:c>
      <x:c r="B5" s="19" t="str">
        <x:v>EV-Q-001</x:v>
      </x:c>
      <x:c r="C5" s="19" t="str">
        <x:v>菜品品质</x:v>
      </x:c>
      <x:c r="D5" s="39" t="str">
        <x:v>暂停使用批次B0712-03</x:v>
      </x:c>
      <x:c r="E5" s="19" t="str">
        <x:v>后厨主管</x:v>
      </x:c>
      <x:c r="F5" s="19" t="str">
        <x:v>刘强</x:v>
      </x:c>
      <x:c r="G5" s="19" t="str">
        <x:v>近江天阳店</x:v>
      </x:c>
      <x:c r="H5" s="42" t="n">
        <x:v>46215.458333333336</x:v>
      </x:c>
      <x:c r="I5" s="19" t="str">
        <x:v>已完成</x:v>
      </x:c>
      <x:c r="J5" s="39" t="str">
        <x:v>停售记录+批次标签</x:v>
      </x:c>
      <x:c r="K5" s="19" t="str">
        <x:v>总部品控</x:v>
      </x:c>
      <x:c r="L5" s="42" t="n">
        <x:v>46215.5</x:v>
      </x:c>
      <x:c r="M5" s="19" t="str">
        <x:v>是</x:v>
      </x:c>
    </x:row>
    <x:row r="6">
      <x:c r="A6" s="19" t="str">
        <x:v>T002</x:v>
      </x:c>
      <x:c r="B6" s="19" t="str">
        <x:v>EV-Q-001</x:v>
      </x:c>
      <x:c r="C6" s="19" t="str">
        <x:v>菜品品质</x:v>
      </x:c>
      <x:c r="D6" s="39" t="str">
        <x:v>核对标签与采购单</x:v>
      </x:c>
      <x:c r="E6" s="19" t="str">
        <x:v>店长/收货</x:v>
      </x:c>
      <x:c r="F6" s="19" t="str">
        <x:v>周敏</x:v>
      </x:c>
      <x:c r="G6" s="19" t="str">
        <x:v>近江天阳店</x:v>
      </x:c>
      <x:c r="H6" s="42" t="n">
        <x:v>46215.5</x:v>
      </x:c>
      <x:c r="I6" s="19" t="str">
        <x:v>已完成</x:v>
      </x:c>
      <x:c r="J6" s="39" t="str">
        <x:v>采购单+收货照片</x:v>
      </x:c>
      <x:c r="K6" s="19" t="str">
        <x:v>总部品控</x:v>
      </x:c>
      <x:c r="L6" s="42" t="n">
        <x:v>46215.5</x:v>
      </x:c>
      <x:c r="M6" s="19" t="str">
        <x:v>是</x:v>
      </x:c>
    </x:row>
    <x:row r="7">
      <x:c r="A7" s="19" t="str">
        <x:v>T003</x:v>
      </x:c>
      <x:c r="B7" s="19" t="str">
        <x:v>EV-Q-001</x:v>
      </x:c>
      <x:c r="C7" s="19" t="str">
        <x:v>菜品品质</x:v>
      </x:c>
      <x:c r="D7" s="39" t="str">
        <x:v>拍摄牛肉切面并记录状态</x:v>
      </x:c>
      <x:c r="E7" s="19" t="str">
        <x:v>后厨主管</x:v>
      </x:c>
      <x:c r="F7" s="19" t="str">
        <x:v>刘强</x:v>
      </x:c>
      <x:c r="G7" s="19" t="str">
        <x:v>近江天阳店</x:v>
      </x:c>
      <x:c r="H7" s="42" t="n">
        <x:v>46216.1875</x:v>
      </x:c>
      <x:c r="I7" s="19" t="str">
        <x:v>进行中</x:v>
      </x:c>
      <x:c r="J7" s="39" t="str">
        <x:v>切面照片+语音记录</x:v>
      </x:c>
      <x:c r="K7" s="19" t="str">
        <x:v>总部品控</x:v>
      </x:c>
      <x:c r="L7" s="42" t="n">
        <x:v>46216.208333333336</x:v>
      </x:c>
      <x:c r="M7" s="19" t="str">
        <x:v>是</x:v>
      </x:c>
    </x:row>
    <x:row r="8">
      <x:c r="A8" s="19" t="str">
        <x:v>T004</x:v>
      </x:c>
      <x:c r="B8" s="19" t="str">
        <x:v>EV-Q-001</x:v>
      </x:c>
      <x:c r="C8" s="19" t="str">
        <x:v>菜品品质</x:v>
      </x:c>
      <x:c r="D8" s="39" t="str">
        <x:v>小份复烹并记录口感</x:v>
      </x:c>
      <x:c r="E8" s="19" t="str">
        <x:v>炒菜机操作员</x:v>
      </x:c>
      <x:c r="F8" s="19" t="str">
        <x:v>陈晨</x:v>
      </x:c>
      <x:c r="G8" s="19" t="str">
        <x:v>近江天阳店</x:v>
      </x:c>
      <x:c r="H8" s="42" t="n">
        <x:v>46216.333333333336</x:v>
      </x:c>
      <x:c r="I8" s="19" t="str">
        <x:v>待执行</x:v>
      </x:c>
      <x:c r="J8" s="39" t="str">
        <x:v>机器日志+成品照片+口感</x:v>
      </x:c>
      <x:c r="K8" s="19" t="str">
        <x:v>店长</x:v>
      </x:c>
      <x:c r="L8" s="42" t="n">
        <x:v>46216.375</x:v>
      </x:c>
      <x:c r="M8" s="19" t="str">
        <x:v>是</x:v>
      </x:c>
    </x:row>
    <x:row r="9">
      <x:c r="A9" s="19" t="str">
        <x:v>T005</x:v>
      </x:c>
      <x:c r="B9" s="19" t="str">
        <x:v>EV-Q-001</x:v>
      </x:c>
      <x:c r="C9" s="19" t="str">
        <x:v>菜品品质</x:v>
      </x:c>
      <x:c r="D9" s="39" t="str">
        <x:v>确认退换并向近江调拨牛肉3kg</x:v>
      </x:c>
      <x:c r="E9" s="19" t="str">
        <x:v>采购</x:v>
      </x:c>
      <x:c r="F9" s="19" t="str">
        <x:v>李明</x:v>
      </x:c>
      <x:c r="G9" s="19" t="str">
        <x:v>总部</x:v>
      </x:c>
      <x:c r="H9" s="42" t="n">
        <x:v>46216.208333333336</x:v>
      </x:c>
      <x:c r="I9" s="19" t="str">
        <x:v>待验收</x:v>
      </x:c>
      <x:c r="J9" s="39" t="str">
        <x:v>退换单+调拨单</x:v>
      </x:c>
      <x:c r="K9" s="19" t="str">
        <x:v>总部运营</x:v>
      </x:c>
      <x:c r="L9" s="42" t="n">
        <x:v>46216.25</x:v>
      </x:c>
      <x:c r="M9" s="19" t="str">
        <x:v>否</x:v>
      </x:c>
    </x:row>
    <x:row r="10">
      <x:c r="A10" s="19" t="str">
        <x:v>T006</x:v>
      </x:c>
      <x:c r="B10" s="19" t="str">
        <x:v>EV-S-001</x:v>
      </x:c>
      <x:c r="C10" s="19" t="str">
        <x:v>精准备货</x:v>
      </x:c>
      <x:c r="D10" s="39" t="str">
        <x:v>审核青椒42kg预测</x:v>
      </x:c>
      <x:c r="E10" s="19" t="str">
        <x:v>采购</x:v>
      </x:c>
      <x:c r="F10" s="19" t="str">
        <x:v>李明</x:v>
      </x:c>
      <x:c r="G10" s="19" t="str">
        <x:v>全部8店</x:v>
      </x:c>
      <x:c r="H10" s="42" t="n">
        <x:v>46214.083333333336</x:v>
      </x:c>
      <x:c r="I10" s="19" t="str">
        <x:v>已完成</x:v>
      </x:c>
      <x:c r="J10" s="39" t="str">
        <x:v>预测明细+库存快照</x:v>
      </x:c>
      <x:c r="K10" s="19" t="str">
        <x:v>总部运营</x:v>
      </x:c>
      <x:c r="L10" s="42" t="n">
        <x:v>46214.125</x:v>
      </x:c>
      <x:c r="M10" s="19" t="str">
        <x:v>否</x:v>
      </x:c>
    </x:row>
    <x:row r="11">
      <x:c r="A11" s="19" t="str">
        <x:v>T007</x:v>
      </x:c>
      <x:c r="B11" s="19" t="str">
        <x:v>EV-S-001</x:v>
      </x:c>
      <x:c r="C11" s="19" t="str">
        <x:v>精准备货</x:v>
      </x:c>
      <x:c r="D11" s="39" t="str">
        <x:v>执行分店采购与调拨</x:v>
      </x:c>
      <x:c r="E11" s="19" t="str">
        <x:v>采购</x:v>
      </x:c>
      <x:c r="F11" s="19" t="str">
        <x:v>李明</x:v>
      </x:c>
      <x:c r="G11" s="19" t="str">
        <x:v>全部8店</x:v>
      </x:c>
      <x:c r="H11" s="42" t="n">
        <x:v>46214.166666666664</x:v>
      </x:c>
      <x:c r="I11" s="19" t="str">
        <x:v>已完成</x:v>
      </x:c>
      <x:c r="J11" s="39" t="str">
        <x:v>采购单+调拨单</x:v>
      </x:c>
      <x:c r="K11" s="19" t="str">
        <x:v>总部运营</x:v>
      </x:c>
      <x:c r="L11" s="42" t="n">
        <x:v>46214.208333333336</x:v>
      </x:c>
      <x:c r="M11" s="19" t="str">
        <x:v>否</x:v>
      </x:c>
    </x:row>
    <x:row r="12">
      <x:c r="A12" s="19" t="str">
        <x:v>T008</x:v>
      </x:c>
      <x:c r="B12" s="19" t="str">
        <x:v>EV-S-001</x:v>
      </x:c>
      <x:c r="C12" s="19" t="str">
        <x:v>精准备货</x:v>
      </x:c>
      <x:c r="D12" s="39" t="str">
        <x:v>核对实际耗用43kg并复盘</x:v>
      </x:c>
      <x:c r="E12" s="19" t="str">
        <x:v>总部运营</x:v>
      </x:c>
      <x:c r="F12" s="19" t="str">
        <x:v>王磊</x:v>
      </x:c>
      <x:c r="G12" s="19" t="str">
        <x:v>总部</x:v>
      </x:c>
      <x:c r="H12" s="42" t="n">
        <x:v>46215.083333333336</x:v>
      </x:c>
      <x:c r="I12" s="19" t="str">
        <x:v>已完成</x:v>
      </x:c>
      <x:c r="J12" s="39" t="str">
        <x:v>库存快照+损耗记录</x:v>
      </x:c>
      <x:c r="K12" s="19" t="str">
        <x:v>老板</x:v>
      </x:c>
      <x:c r="L12" s="42" t="n">
        <x:v>46215.125</x:v>
      </x:c>
      <x:c r="M12" s="19" t="str">
        <x:v>否</x:v>
      </x:c>
    </x:row>
    <x:row r="13">
      <x:c r="A13" s="19" t="str">
        <x:v>T009</x:v>
      </x:c>
      <x:c r="B13" s="19" t="str">
        <x:v>EV-Q-002</x:v>
      </x:c>
      <x:c r="C13" s="19" t="str">
        <x:v>菜品品质</x:v>
      </x:c>
      <x:c r="D13" s="39" t="str">
        <x:v>新增酸包菜到货口感抽检</x:v>
      </x:c>
      <x:c r="E13" s="19" t="str">
        <x:v>店长/收货</x:v>
      </x:c>
      <x:c r="F13" s="19" t="str">
        <x:v>王芳</x:v>
      </x:c>
      <x:c r="G13" s="19" t="str">
        <x:v>同顺街店</x:v>
      </x:c>
      <x:c r="H13" s="42" t="n">
        <x:v>46213.125</x:v>
      </x:c>
      <x:c r="I13" s="19" t="str">
        <x:v>已完成</x:v>
      </x:c>
      <x:c r="J13" s="39" t="str">
        <x:v>抽检照片+结论</x:v>
      </x:c>
      <x:c r="K13" s="19" t="str">
        <x:v>总部品控</x:v>
      </x:c>
      <x:c r="L13" s="42" t="n">
        <x:v>46213.166666666664</x:v>
      </x:c>
      <x:c r="M13" s="19" t="str">
        <x:v>是</x:v>
      </x:c>
    </x:row>
    <x:row r="14">
      <x:c r="A14" s="19" t="str">
        <x:v>T010</x:v>
      </x:c>
      <x:c r="B14" s="19" t="str">
        <x:v>EV-Q-002</x:v>
      </x:c>
      <x:c r="C14" s="19" t="str">
        <x:v>菜品品质</x:v>
      </x:c>
      <x:c r="D14" s="39" t="str">
        <x:v>连续3批供应商复验</x:v>
      </x:c>
      <x:c r="E14" s="19" t="str">
        <x:v>采购</x:v>
      </x:c>
      <x:c r="F14" s="19" t="str">
        <x:v>李明</x:v>
      </x:c>
      <x:c r="G14" s="19" t="str">
        <x:v>同顺街店</x:v>
      </x:c>
      <x:c r="H14" s="42" t="n">
        <x:v>46220.166666666664</x:v>
      </x:c>
      <x:c r="I14" s="19" t="str">
        <x:v>进行中</x:v>
      </x:c>
      <x:c r="J14" s="39" t="str">
        <x:v>3批验收记录</x:v>
      </x:c>
      <x:c r="K14" s="19" t="str">
        <x:v>总部品控</x:v>
      </x:c>
      <x:c r="L14" s="42" t="n">
        <x:v>46220.208333333336</x:v>
      </x:c>
      <x:c r="M14" s="19" t="str">
        <x:v>否</x:v>
      </x:c>
    </x:row>
    <x:row r="15">
      <x:c r="A15" s="19" t="str">
        <x:v>T011</x:v>
      </x:c>
      <x:c r="B15" s="19" t="str">
        <x:v>EV-P-001</x:v>
      </x:c>
      <x:c r="C15" s="19" t="str">
        <x:v>菜品品质</x:v>
      </x:c>
      <x:c r="D15" s="39" t="str">
        <x:v>启用粉皮分批浸泡与计时</x:v>
      </x:c>
      <x:c r="E15" s="19" t="str">
        <x:v>后厨小工</x:v>
      </x:c>
      <x:c r="F15" s="19" t="str">
        <x:v>郑琳</x:v>
      </x:c>
      <x:c r="G15" s="19" t="str">
        <x:v>金街美地店</x:v>
      </x:c>
      <x:c r="H15" s="42" t="n">
        <x:v>46212.333333333336</x:v>
      </x:c>
      <x:c r="I15" s="19" t="str">
        <x:v>已完成</x:v>
      </x:c>
      <x:c r="J15" s="39" t="str">
        <x:v>计时记录+成品照片</x:v>
      </x:c>
      <x:c r="K15" s="19" t="str">
        <x:v>店长</x:v>
      </x:c>
      <x:c r="L15" s="42" t="n">
        <x:v>46212.375</x:v>
      </x:c>
      <x:c r="M15" s="19" t="str">
        <x:v>是</x:v>
      </x:c>
    </x:row>
    <x:row r="16">
      <x:c r="A16" s="19" t="str">
        <x:v>T012</x:v>
      </x:c>
      <x:c r="B16" s="19" t="str">
        <x:v>EV-C-001</x:v>
      </x:c>
      <x:c r="C16" s="19" t="str">
        <x:v>顾客体验</x:v>
      </x:c>
      <x:c r="D16" s="39" t="str">
        <x:v>菜单增加辣度标签</x:v>
      </x:c>
      <x:c r="E16" s="19" t="str">
        <x:v>总部运营</x:v>
      </x:c>
      <x:c r="F16" s="19" t="str">
        <x:v>王磊</x:v>
      </x:c>
      <x:c r="G16" s="19" t="str">
        <x:v>总部</x:v>
      </x:c>
      <x:c r="H16" s="42" t="n">
        <x:v>46217.166666666664</x:v>
      </x:c>
      <x:c r="I16" s="19" t="str">
        <x:v>进行中</x:v>
      </x:c>
      <x:c r="J16" s="39" t="str">
        <x:v>菜单截图</x:v>
      </x:c>
      <x:c r="K16" s="19" t="str">
        <x:v>老板</x:v>
      </x:c>
      <x:c r="L16" s="42" t="n">
        <x:v>46217.208333333336</x:v>
      </x:c>
      <x:c r="M16" s="19" t="str">
        <x:v>否</x:v>
      </x:c>
    </x:row>
    <x:row r="17">
      <x:c r="A17" s="19" t="str">
        <x:v>T013</x:v>
      </x:c>
      <x:c r="B17" s="19" t="str">
        <x:v>EV-C-001</x:v>
      </x:c>
      <x:c r="C17" s="19" t="str">
        <x:v>顾客体验</x:v>
      </x:c>
      <x:c r="D17" s="39" t="str">
        <x:v>点单时二次确认辣度</x:v>
      </x:c>
      <x:c r="E17" s="19" t="str">
        <x:v>服务员</x:v>
      </x:c>
      <x:c r="F17" s="19" t="str">
        <x:v>赵静</x:v>
      </x:c>
      <x:c r="G17" s="19" t="str">
        <x:v>近江天阳店</x:v>
      </x:c>
      <x:c r="H17" s="42" t="n">
        <x:v>46218.125</x:v>
      </x:c>
      <x:c r="I17" s="19" t="str">
        <x:v>待执行</x:v>
      </x:c>
      <x:c r="J17" s="39" t="str">
        <x:v>抽查10单服务记录</x:v>
      </x:c>
      <x:c r="K17" s="19" t="str">
        <x:v>店长</x:v>
      </x:c>
      <x:c r="L17" s="42" t="n">
        <x:v>46218.166666666664</x:v>
      </x:c>
      <x:c r="M17" s="19" t="str">
        <x:v>是</x:v>
      </x:c>
    </x:row>
    <x:row r="18">
      <x:c r="A18" s="19" t="str">
        <x:v>T014</x:v>
      </x:c>
      <x:c r="B18" s="19" t="str">
        <x:v>EV-M-001</x:v>
      </x:c>
      <x:c r="C18" s="19" t="str">
        <x:v>外卖经营</x:v>
      </x:c>
      <x:c r="D18" s="39" t="str">
        <x:v>测算麻婆豆腐组合活动</x:v>
      </x:c>
      <x:c r="E18" s="19" t="str">
        <x:v>总部运营</x:v>
      </x:c>
      <x:c r="F18" s="19" t="str">
        <x:v>王磊</x:v>
      </x:c>
      <x:c r="G18" s="19" t="str">
        <x:v>总部</x:v>
      </x:c>
      <x:c r="H18" s="42" t="n">
        <x:v>46217.083333333336</x:v>
      </x:c>
      <x:c r="I18" s="19" t="str">
        <x:v>待执行</x:v>
      </x:c>
      <x:c r="J18" s="39" t="str">
        <x:v>活动前后贡献毛利</x:v>
      </x:c>
      <x:c r="K18" s="19" t="str">
        <x:v>老板</x:v>
      </x:c>
      <x:c r="L18" s="42" t="n">
        <x:v>46217.125</x:v>
      </x:c>
      <x:c r="M18" s="19" t="str">
        <x:v>否</x:v>
      </x:c>
    </x:row>
    <x:row r="19">
      <x:c r="A19" s="19" t="str">
        <x:v>T015</x:v>
      </x:c>
      <x:c r="B19" s="19" t="str">
        <x:v>EV-M-001</x:v>
      </x:c>
      <x:c r="C19" s="19" t="str">
        <x:v>外卖经营</x:v>
      </x:c>
      <x:c r="D19" s="39" t="str">
        <x:v>上线新组合并观察7日</x:v>
      </x:c>
      <x:c r="E19" s="19" t="str">
        <x:v>店长</x:v>
      </x:c>
      <x:c r="F19" s="19" t="str">
        <x:v>陈颖</x:v>
      </x:c>
      <x:c r="G19" s="19" t="str">
        <x:v>蓝钻天城店</x:v>
      </x:c>
      <x:c r="H19" s="42" t="n">
        <x:v>46223.166666666664</x:v>
      </x:c>
      <x:c r="I19" s="19" t="str">
        <x:v>待执行</x:v>
      </x:c>
      <x:c r="J19" s="39" t="str">
        <x:v>外卖销量与毛利复盘</x:v>
      </x:c>
      <x:c r="K19" s="19" t="str">
        <x:v>总部运营</x:v>
      </x:c>
      <x:c r="L19" s="42" t="n">
        <x:v>46223.208333333336</x:v>
      </x:c>
      <x:c r="M19" s="19" t="str">
        <x:v>是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9fc264bfbcb46c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46" hidden="0" customWidth="1"/>
    <x:col min="9" max="9" width="3" hidden="0" customWidth="1"/>
    <x:col min="10" max="10" width="13" hidden="0" customWidth="1"/>
    <x:col min="11" max="11" width="16" hidden="0" customWidth="1"/>
    <x:col min="12" max="12" width="16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 ht="34" customHeight="1">
      <x:c r="A1" s="3" t="str">
        <x:v>经营摘要｜场景聚合层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首页只读取下方场景与事件计算结果；模拟数据本身不在首页另行硬编码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9" t="str">
        <x:v>7天总流水(元)</x:v>
      </x:c>
      <x:c r="B4" s="9" t="str">
        <x:v>月销折算/店(元)</x:v>
      </x:c>
      <x:c r="C4" s="9" t="str">
        <x:v>外卖占比</x:v>
      </x:c>
      <x:c r="D4" s="9" t="str">
        <x:v>菜品贡献毛利率</x:v>
      </x:c>
      <x:c r="J4" s="12" t="str">
        <x:v>日期</x:v>
      </x:c>
      <x:c r="K4" s="12" t="str">
        <x:v>全店流水</x:v>
      </x:c>
      <x:c r="L4" s="12" t="str">
        <x:v>贡献毛利</x:v>
      </x:c>
    </x:row>
    <x:row r="5" ht="40" customHeight="1">
      <x:c r="A5" s="44" t="n">
        <x:f>SUM('门店日汇总'!$H$5:$H$60)</x:f>
        <x:v>466516.39999999997</x:v>
      </x:c>
      <x:c r="B5" s="44" t="n">
        <x:f>A5/7*30/8</x:f>
        <x:v>249919.5</x:v>
      </x:c>
      <x:c r="C5" s="45" t="n">
        <x:f>SUM('门店日汇总'!$K$5:$K$60)/A5</x:f>
        <x:v>0.09980656628577256</x:v>
      </x:c>
      <x:c r="D5" s="45" t="n">
        <x:f>SUM('门店日汇总'!$P$5:$P$60)/A5</x:f>
        <x:v>0.6241747196883112</x:v>
      </x:c>
      <x:c r="J5" s="19" t="str">
        <x:v>07-07</x:v>
      </x:c>
      <x:c r="K5" s="20" t="n">
        <x:f>SUMIFS('门店日汇总'!$H$5:$H$60,'门店日汇总'!$A$5:$A$60,DATE(2026,7,7)+0.5)</x:f>
        <x:v>71975.09999998842</x:v>
      </x:c>
      <x:c r="L5" s="20" t="n">
        <x:f>SUMIFS('门店日汇总'!$P$5:$P$60,'门店日汇总'!$A$5:$A$60,DATE(2026,7,7)+0.5)</x:f>
        <x:v>44936.517</x:v>
      </x:c>
    </x:row>
    <x:row r="6">
      <x:c r="J6" s="19" t="str">
        <x:v>07-08</x:v>
      </x:c>
      <x:c r="K6" s="20" t="n">
        <x:f>SUMIFS('门店日汇总'!$H$5:$H$60,'门店日汇总'!$A$5:$A$60,DATE(2026,7,8)+0.5)</x:f>
        <x:v>69972.89999998843</x:v>
      </x:c>
      <x:c r="L6" s="20" t="n">
        <x:f>SUMIFS('门店日汇总'!$P$5:$P$60,'门店日汇总'!$A$5:$A$60,DATE(2026,7,8)+0.5)</x:f>
        <x:v>43697.532</x:v>
      </x:c>
    </x:row>
    <x:row r="7">
      <x:c r="J7" s="19" t="str">
        <x:v>07-09</x:v>
      </x:c>
      <x:c r="K7" s="20" t="n">
        <x:f>SUMIFS('门店日汇总'!$H$5:$H$60,'门店日汇总'!$A$5:$A$60,DATE(2026,7,9)+0.5)</x:f>
        <x:v>68640.49999998843</x:v>
      </x:c>
      <x:c r="L7" s="20" t="n">
        <x:f>SUMIFS('门店日汇总'!$P$5:$P$60,'门店日汇总'!$A$5:$A$60,DATE(2026,7,9)+0.5)</x:f>
        <x:v>42825.8894</x:v>
      </x:c>
    </x:row>
    <x:row r="8" ht="28" customHeight="1">
      <x:c r="A8" s="12" t="str">
        <x:v>场景</x:v>
      </x:c>
      <x:c r="B8" s="12" t="str">
        <x:v>核心指标</x:v>
      </x:c>
      <x:c r="C8" s="12" t="str">
        <x:v>当前值</x:v>
      </x:c>
      <x:c r="D8" s="12" t="str">
        <x:v>目标/基准</x:v>
      </x:c>
      <x:c r="E8" s="12" t="str">
        <x:v>状态</x:v>
      </x:c>
      <x:c r="F8" s="12" t="str">
        <x:v>开放事件</x:v>
      </x:c>
      <x:c r="G8" s="12" t="str">
        <x:v>待办任务</x:v>
      </x:c>
      <x:c r="H8" s="12" t="str">
        <x:v>首页结论</x:v>
      </x:c>
      <x:c r="J8" s="19" t="str">
        <x:v>07-10</x:v>
      </x:c>
      <x:c r="K8" s="20" t="n">
        <x:f>SUMIFS('门店日汇总'!$H$5:$H$60,'门店日汇总'!$A$5:$A$60,DATE(2026,7,10)+0.5)</x:f>
        <x:v>71297.1</x:v>
      </x:c>
      <x:c r="L8" s="20" t="n">
        <x:f>SUMIFS('门店日汇总'!$P$5:$P$60,'门店日汇总'!$A$5:$A$60,DATE(2026,7,10)+0.5)</x:f>
        <x:v>44482.9726</x:v>
      </x:c>
    </x:row>
    <x:row r="9">
      <x:c r="A9" s="19" t="str">
        <x:v>精准备货</x:v>
      </x:c>
      <x:c r="B9" s="19" t="str">
        <x:v>最终预测准确率</x:v>
      </x:c>
      <x:c r="C9" s="21" t="n">
        <x:f>AVERAGE('备货预测'!$K$5:$K$676)</x:f>
        <x:v>0.9393896657490364</x:v>
      </x:c>
      <x:c r="D9" s="21" t="n">
        <x:v>0.9</x:v>
      </x:c>
      <x:c r="E9" s="19" t="str">
        <x:f>IF(C9&gt;=D9,"正常","关注")</x:f>
        <x:v>正常</x:v>
      </x:c>
      <x:c r="F9" s="19" t="n">
        <x:f>COUNTIFS('经营事件'!$C$5:$C$10,A9,'经营事件'!$L$5:$L$10,"&lt;&gt;已闭环")</x:f>
        <x:v>0</x:v>
      </x:c>
      <x:c r="G9" s="19" t="n">
        <x:f>COUNTIFS('SOP任务'!$C$5:$C$19,A9,'SOP任务'!$I$5:$I$19,"&lt;&gt;已完成")</x:f>
        <x:v>0</x:v>
      </x:c>
      <x:c r="H9" s="39" t="str">
        <x:v>备货准确率达到目标，但仍需关注牛肉批次导致的库存波动</x:v>
      </x:c>
      <x:c r="J9" s="19" t="str">
        <x:v>07-11</x:v>
      </x:c>
      <x:c r="K9" s="20" t="n">
        <x:f>SUMIFS('门店日汇总'!$H$5:$H$60,'门店日汇总'!$A$5:$A$60,DATE(2026,7,11)+0.5)</x:f>
        <x:v>54667.999999988424</x:v>
      </x:c>
      <x:c r="L9" s="20" t="n">
        <x:f>SUMIFS('门店日汇总'!$P$5:$P$60,'门店日汇总'!$A$5:$A$60,DATE(2026,7,11)+0.5)</x:f>
        <x:v>34086.5982</x:v>
      </x:c>
    </x:row>
    <x:row r="10">
      <x:c r="A10" s="19" t="str">
        <x:v>菜品品质</x:v>
      </x:c>
      <x:c r="B10" s="19" t="str">
        <x:v>开放品质事件</x:v>
      </x:c>
      <x:c r="C10" s="23" t="n">
        <x:f>COUNTIFS('经营事件'!$C$5:$C$10,"菜品品质",'经营事件'!$L$5:$L$10,"&lt;&gt;已闭环")</x:f>
        <x:v>2</x:v>
      </x:c>
      <x:c r="D10" s="23" t="n">
        <x:v>0</x:v>
      </x:c>
      <x:c r="E10" s="19" t="str">
        <x:f>IF(C10&gt;D10,"预警","正常")</x:f>
        <x:v>预警</x:v>
      </x:c>
      <x:c r="F10" s="19" t="n">
        <x:f>COUNTIFS('经营事件'!$C$5:$C$10,A10,'经营事件'!$L$5:$L$10,"&lt;&gt;已闭环")</x:f>
        <x:v>2</x:v>
      </x:c>
      <x:c r="G10" s="19" t="n">
        <x:f>COUNTIFS('SOP任务'!$C$5:$C$19,A10,'SOP任务'!$I$5:$I$19,"&lt;&gt;已完成")</x:f>
        <x:v>4</x:v>
      </x:c>
      <x:c r="H10" s="39" t="str">
        <x:v>牛肉批次与酸包菜酸度问题需要跨角色闭环</x:v>
      </x:c>
      <x:c r="J10" s="19" t="str">
        <x:v>07-12</x:v>
      </x:c>
      <x:c r="K10" s="20" t="n">
        <x:f>SUMIFS('门店日汇总'!$H$5:$H$60,'门店日汇总'!$A$5:$A$60,DATE(2026,7,12)+0.5)</x:f>
        <x:v>53313.2</x:v>
      </x:c>
      <x:c r="L10" s="20" t="n">
        <x:f>SUMIFS('门店日汇总'!$P$5:$P$60,'门店日汇总'!$A$5:$A$60,DATE(2026,7,12)+0.5)</x:f>
        <x:v>33294.7874</x:v>
      </x:c>
    </x:row>
    <x:row r="11">
      <x:c r="A11" s="19" t="str">
        <x:v>真实毛利</x:v>
      </x:c>
      <x:c r="B11" s="19" t="str">
        <x:v>贡献毛利率</x:v>
      </x:c>
      <x:c r="C11" s="21" t="n">
        <x:f>D5</x:f>
        <x:v>0.6241747196883112</x:v>
      </x:c>
      <x:c r="D11" s="21" t="n">
        <x:v>0.6</x:v>
      </x:c>
      <x:c r="E11" s="19" t="str">
        <x:f>IF(ABS(C11-D11)&lt;=IF(C11&lt;1,0.03,1),"正常","关注")</x:f>
        <x:v>正常</x:v>
      </x:c>
      <x:c r="F11" s="19" t="n">
        <x:f>COUNTIFS('经营事件'!$C$5:$C$10,A11,'经营事件'!$L$5:$L$10,"&lt;&gt;已闭环")</x:f>
        <x:v>0</x:v>
      </x:c>
      <x:c r="G11" s="19" t="n">
        <x:f>COUNTIFS('SOP任务'!$C$5:$C$19,A11,'SOP任务'!$I$5:$I$19,"&lt;&gt;已完成")</x:f>
        <x:v>0</x:v>
      </x:c>
      <x:c r="H11" s="39" t="str">
        <x:v>外卖活动费和部分高食材成本菜品压低真实毛利</x:v>
      </x:c>
      <x:c r="J11" s="19" t="str">
        <x:v>07-13</x:v>
      </x:c>
      <x:c r="K11" s="20" t="n">
        <x:f>SUMIFS('门店日汇总'!$H$5:$H$60,'门店日汇总'!$A$5:$A$60,DATE(2026,7,13)+0.5)</x:f>
        <x:v>76649.6</x:v>
      </x:c>
      <x:c r="L11" s="20" t="n">
        <x:f>SUMIFS('门店日汇总'!$P$5:$P$60,'门店日汇总'!$A$5:$A$60,DATE(2026,7,13)+0.5)</x:f>
        <x:v>47863.44659998843</x:v>
      </x:c>
    </x:row>
    <x:row r="12">
      <x:c r="A12" s="19" t="str">
        <x:v>顾客体验</x:v>
      </x:c>
      <x:c r="B12" s="19" t="str">
        <x:v>开放体验事件</x:v>
      </x:c>
      <x:c r="C12" s="23" t="n">
        <x:f>COUNTIFS('经营事件'!$C$5:$C$10,"顾客体验",'经营事件'!$L$5:$L$10,"&lt;&gt;已闭环")</x:f>
        <x:v>1</x:v>
      </x:c>
      <x:c r="D12" s="23" t="n">
        <x:v>0</x:v>
      </x:c>
      <x:c r="E12" s="19" t="str">
        <x:f>IF(C12&gt;D12,"预警","正常")</x:f>
        <x:v>预警</x:v>
      </x:c>
      <x:c r="F12" s="19" t="n">
        <x:f>COUNTIFS('经营事件'!$C$5:$C$10,A12,'经营事件'!$L$5:$L$10,"&lt;&gt;已闭环")</x:f>
        <x:v>1</x:v>
      </x:c>
      <x:c r="G12" s="19" t="n">
        <x:f>COUNTIFS('SOP任务'!$C$5:$C$19,A12,'SOP任务'!$I$5:$I$19,"&lt;&gt;已完成")</x:f>
        <x:v>2</x:v>
      </x:c>
      <x:c r="H12" s="39" t="str">
        <x:v>辣度、牛肉嫩度和出餐等待是本周主要体验主题；点评表仅作主题样本，不代表真实差评率</x:v>
      </x:c>
    </x:row>
    <x:row r="13">
      <x:c r="A13" s="19" t="str">
        <x:v>外卖经营</x:v>
      </x:c>
      <x:c r="B13" s="19" t="str">
        <x:v>外卖收入占比</x:v>
      </x:c>
      <x:c r="C13" s="21" t="n">
        <x:f>C5</x:f>
        <x:v>0.09980656628577256</x:v>
      </x:c>
      <x:c r="D13" s="21" t="n">
        <x:v>0.1</x:v>
      </x:c>
      <x:c r="E13" s="19" t="str">
        <x:f>IF(ABS(C13-D13)&lt;=IF(C13&lt;1,0.03,1),"正常","关注")</x:f>
        <x:v>正常</x:v>
      </x:c>
      <x:c r="F13" s="19" t="n">
        <x:f>COUNTIFS('经营事件'!$C$5:$C$10,A13,'经营事件'!$L$5:$L$10,"&lt;&gt;已闭环")</x:f>
        <x:v>1</x:v>
      </x:c>
      <x:c r="G13" s="19" t="n">
        <x:f>COUNTIFS('SOP任务'!$C$5:$C$19,A13,'SOP任务'!$I$5:$I$19,"&lt;&gt;已完成")</x:f>
        <x:v>2</x:v>
      </x:c>
      <x:c r="H13" s="39" t="str">
        <x:v>外卖规模较小，应优先优化单笔贡献而非盲目放量</x:v>
      </x:c>
    </x:row>
    <x:row r="16" ht="28" customHeight="1">
      <x:c r="A16" s="12" t="str">
        <x:v>热销菜品</x:v>
      </x:c>
      <x:c r="B16" s="12" t="str">
        <x:v>7天流水</x:v>
      </x:c>
      <x:c r="C16" s="12" t="str">
        <x:v>7天份数</x:v>
      </x:c>
    </x:row>
    <x:row r="17">
      <x:c r="A17" s="19" t="str">
        <x:v>小炒黄牛肉</x:v>
      </x:c>
      <x:c r="B17" s="20" t="n">
        <x:f>SUMIFS('7日销售明细'!$L$5:$L$2244,'7日销售明细'!$I$5:$I$2244,A17)</x:f>
        <x:v>85750</x:v>
      </x:c>
      <x:c r="C17" s="20" t="n">
        <x:f>SUMIFS('7日销售明细'!$K$5:$K$2244,'7日销售明细'!$I$5:$I$2244,A17)</x:f>
        <x:v>1750</x:v>
      </x:c>
    </x:row>
    <x:row r="18">
      <x:c r="A18" s="19" t="str">
        <x:v>辣椒炒肉</x:v>
      </x:c>
      <x:c r="B18" s="20" t="n">
        <x:f>SUMIFS('7日销售明细'!$L$5:$L$2244,'7日销售明细'!$I$5:$I$2244,A18)</x:f>
        <x:v>74849</x:v>
      </x:c>
      <x:c r="C18" s="20" t="n">
        <x:f>SUMIFS('7日销售明细'!$K$5:$K$2244,'7日销售明细'!$I$5:$I$2244,A18)</x:f>
        <x:v>2581</x:v>
      </x:c>
    </x:row>
    <x:row r="19">
      <x:c r="A19" s="19" t="str">
        <x:v>香醋炒蛋</x:v>
      </x:c>
      <x:c r="B19" s="20" t="n">
        <x:f>SUMIFS('7日销售明细'!$L$5:$L$2244,'7日销售明细'!$I$5:$I$2244,A19)</x:f>
        <x:v>32109.50000000001</x:v>
      </x:c>
      <x:c r="C19" s="20" t="n">
        <x:f>SUMIFS('7日销售明细'!$K$5:$K$2244,'7日销售明细'!$I$5:$I$2244,A19)</x:f>
        <x:v>2155</x:v>
      </x:c>
    </x:row>
    <x:row r="20">
      <x:c r="A20" s="19" t="str">
        <x:v>酸包菜炒粉皮</x:v>
      </x:c>
      <x:c r="B20" s="20" t="n">
        <x:f>SUMIFS('7日销售明细'!$L$5:$L$2244,'7日销售明细'!$I$5:$I$2244,A20)</x:f>
        <x:v>31632</x:v>
      </x:c>
      <x:c r="C20" s="20" t="n">
        <x:f>SUMIFS('7日销售明细'!$K$5:$K$2244,'7日销售明细'!$I$5:$I$2244,A20)</x:f>
        <x:v>1977</x:v>
      </x:c>
    </x:row>
    <x:row r="21">
      <x:c r="A21" s="19" t="str">
        <x:v>麻婆豆腐</x:v>
      </x:c>
      <x:c r="B21" s="20" t="n">
        <x:f>SUMIFS('7日销售明细'!$L$5:$L$2244,'7日销售明细'!$I$5:$I$2244,A21)</x:f>
        <x:v>27363.599999999984</x:v>
      </x:c>
      <x:c r="C21" s="20" t="n">
        <x:f>SUMIFS('7日销售明细'!$K$5:$K$2244,'7日销售明细'!$I$5:$I$2244,A21)</x:f>
        <x:v>2764</x:v>
      </x:c>
    </x:row>
    <x:row r="22">
      <x:c r="A22" s="19" t="str">
        <x:v>剁椒鱼头</x:v>
      </x:c>
      <x:c r="B22" s="20" t="n">
        <x:f>SUMIFS('7日销售明细'!$L$5:$L$2244,'7日销售明细'!$I$5:$I$2244,A22)</x:f>
        <x:v>26169</x:v>
      </x:c>
      <x:c r="C22" s="20" t="n">
        <x:f>SUMIFS('7日销售明细'!$K$5:$K$2244,'7日销售明细'!$I$5:$I$2244,A22)</x:f>
        <x:v>671</x:v>
      </x:c>
    </x:row>
    <x:row r="23">
      <x:c r="A23" s="19" t="str">
        <x:v>川味回锅肉</x:v>
      </x:c>
      <x:c r="B23" s="20" t="n">
        <x:f>SUMIFS('7日销售明细'!$L$5:$L$2244,'7日销售明细'!$I$5:$I$2244,A23)</x:f>
        <x:v>23548</x:v>
      </x:c>
      <x:c r="C23" s="20" t="n">
        <x:f>SUMIFS('7日销售明细'!$K$5:$K$2244,'7日销售明细'!$I$5:$I$2244,A23)</x:f>
        <x:v>812</x:v>
      </x:c>
    </x:row>
    <x:row r="24">
      <x:c r="A24" s="19" t="str">
        <x:v>农家一碗香</x:v>
      </x:c>
      <x:c r="B24" s="20" t="n">
        <x:f>SUMIFS('7日销售明细'!$L$5:$L$2244,'7日销售明细'!$I$5:$I$2244,A24)</x:f>
        <x:v>21915.30000000002</x:v>
      </x:c>
      <x:c r="C24" s="20" t="n">
        <x:f>SUMIFS('7日销售明细'!$K$5:$K$2244,'7日销售明细'!$I$5:$I$2244,A24)</x:f>
        <x:v>957</x:v>
      </x:c>
    </x:row>
    <x:row r="26">
      <x:c r="A26" s="51" t="str">
        <x:v>老板经营补充指标｜月度利润、现金与投资</x:v>
      </x:c>
      <x:c r="B26" s="51"/>
      <x:c r="C26" s="51"/>
      <x:c r="D26" s="51"/>
      <x:c r="E26" s="51"/>
      <x:c r="F26" s="51"/>
      <x:c r="G26" s="51"/>
      <x:c r="H26" s="51"/>
    </x:row>
    <x:row r="27">
      <x:c r="A27" s="60" t="str">
        <x:v>月度标价营业额</x:v>
      </x:c>
      <x:c r="B27" s="60" t="str">
        <x:v>月度经营利润</x:v>
      </x:c>
      <x:c r="C27" s="60" t="str">
        <x:v>经营利润率</x:v>
      </x:c>
      <x:c r="D27" s="60" t="str">
        <x:v>月末现金</x:v>
      </x:c>
      <x:c r="E27" s="60" t="str">
        <x:v>最低现金余额</x:v>
      </x:c>
      <x:c r="F27" s="60" t="str">
        <x:v>人工成本率</x:v>
      </x:c>
      <x:c r="G27" s="60" t="str">
        <x:v>供应商未付</x:v>
      </x:c>
      <x:c r="H27" s="60" t="str">
        <x:v>基准回收期(月)</x:v>
      </x:c>
    </x:row>
    <x:row r="28">
      <x:c r="A28" s="138" t="n">
        <x:f>'月度损益'!D13</x:f>
        <x:v>2000000</x:v>
      </x:c>
      <x:c r="B28" s="138" t="n">
        <x:f>'月度损益'!S13</x:f>
        <x:v>240939.91431428556</x:v>
      </x:c>
      <x:c r="C28" s="139" t="n">
        <x:f>'月度损益'!T13</x:f>
        <x:v>0.12046995715714279</x:v>
      </x:c>
      <x:c r="D28" s="138" t="n">
        <x:f>'现金日历'!O34</x:f>
        <x:v>1781826.6420125715</x:v>
      </x:c>
      <x:c r="E28" s="138" t="n">
        <x:f>MIN('现金日历'!O5:O34)</x:f>
        <x:v>1456479.22</x:v>
      </x:c>
      <x:c r="F28" s="139" t="n">
        <x:f>IFERROR('月度损益'!P13/'月度损益'!D13,0)</x:f>
        <x:v>0.22929040178571425</x:v>
      </x:c>
      <x:c r="G28" s="138" t="n">
        <x:f>SUM('供应商应付'!N5:N52)</x:f>
        <x:v>488400</x:v>
      </x:c>
      <x:c r="H28" s="134" t="n">
        <x:f>'开店投资'!L6</x:f>
        <x:v>26</x:v>
      </x:c>
    </x:row>
    <x:row r="31">
      <x:c r="A31" s="59" t="str">
        <x:v>门店</x:v>
      </x:c>
      <x:c r="B31" s="59" t="str">
        <x:v>月度标价</x:v>
      </x:c>
      <x:c r="C31" s="59" t="str">
        <x:v>经营利润</x:v>
      </x:c>
      <x:c r="D31" s="59" t="str">
        <x:v>利润率</x:v>
      </x:c>
      <x:c r="E31" s="59" t="str">
        <x:v>盈亏平衡月销</x:v>
      </x:c>
      <x:c r="F31" s="59" t="str">
        <x:v>安全边际</x:v>
      </x:c>
      <x:c r="G31" s="59" t="str">
        <x:v>人工成本率</x:v>
      </x:c>
      <x:c r="H31" s="59" t="str">
        <x:v>风险</x:v>
      </x:c>
    </x:row>
    <x:row r="32">
      <x:c r="A32" s="136" t="str">
        <x:f>'月度损益'!C5</x:f>
        <x:v>近江天阳店</x:v>
      </x:c>
      <x:c r="B32" s="140" t="n">
        <x:f>'月度损益'!D5</x:f>
        <x:v>285000</x:v>
      </x:c>
      <x:c r="C32" s="140" t="n">
        <x:f>'月度损益'!S5</x:f>
        <x:v>46067.49653428569</x:v>
      </x:c>
      <x:c r="D32" s="143" t="n">
        <x:f>'月度损益'!T5</x:f>
        <x:v>0.1616403387167919</x:v>
      </x:c>
      <x:c r="E32" s="140" t="n">
        <x:f>'月度损益'!V5</x:f>
        <x:v>210432.95888899246</x:v>
      </x:c>
      <x:c r="F32" s="143" t="n">
        <x:f>'月度损益'!W5</x:f>
        <x:v>0.2616387407403773</x:v>
      </x:c>
      <x:c r="G32" s="143" t="n">
        <x:f>IFERROR('月度损益'!P5/'月度损益'!D5,0)</x:f>
        <x:v>0.1882084962406015</x:v>
      </x:c>
      <x:c r="H32" s="136" t="str">
        <x:f>'月度损益'!X5</x:f>
        <x:v>正常</x:v>
      </x:c>
    </x:row>
    <x:row r="33">
      <x:c r="A33" s="118" t="str">
        <x:f>'月度损益'!C6</x:f>
        <x:v>尊宝大厦店</x:v>
      </x:c>
      <x:c r="B33" s="141" t="n">
        <x:f>'月度损益'!D6</x:f>
        <x:v>270000</x:v>
      </x:c>
      <x:c r="C33" s="141" t="n">
        <x:f>'月度损益'!S6</x:f>
        <x:v>39512.366994285665</x:v>
      </x:c>
      <x:c r="D33" s="144" t="n">
        <x:f>'月度损益'!T6</x:f>
        <x:v>0.1463420999788358</x:v>
      </x:c>
      <x:c r="E33" s="141" t="n">
        <x:f>'月度损益'!V6</x:f>
        <x:v>206045.08148692804</x:v>
      </x:c>
      <x:c r="F33" s="144" t="n">
        <x:f>'月度损益'!W6</x:f>
        <x:v>0.23687006856693318</x:v>
      </x:c>
      <x:c r="G33" s="144" t="n">
        <x:f>IFERROR('月度损益'!P6/'月度损益'!D6,0)</x:f>
        <x:v>0.20311456349206347</x:v>
      </x:c>
      <x:c r="H33" s="118" t="str">
        <x:f>'月度损益'!X6</x:f>
        <x:v>正常</x:v>
      </x:c>
    </x:row>
    <x:row r="34">
      <x:c r="A34" s="118" t="str">
        <x:f>'月度损益'!C7</x:f>
        <x:v>铂悦城店</x:v>
      </x:c>
      <x:c r="B34" s="141" t="n">
        <x:f>'月度损益'!D7</x:f>
        <x:v>260000</x:v>
      </x:c>
      <x:c r="C34" s="141" t="n">
        <x:f>'月度损益'!S7</x:f>
        <x:v>35099.8051714286</x:v>
      </x:c>
      <x:c r="D34" s="144" t="n">
        <x:f>'月度损益'!T7</x:f>
        <x:v>0.13499925065934076</x:v>
      </x:c>
      <x:c r="E34" s="141" t="n">
        <x:f>'月度损益'!V7</x:f>
        <x:v>203191.287098407</x:v>
      </x:c>
      <x:c r="F34" s="144" t="n">
        <x:f>'月度损益'!W7</x:f>
        <x:v>0.2184950496215116</x:v>
      </x:c>
      <x:c r="G34" s="144" t="n">
        <x:f>IFERROR('月度损益'!P7/'月度损益'!D7,0)</x:f>
        <x:v>0.21444490384615383</x:v>
      </x:c>
      <x:c r="H34" s="118" t="str">
        <x:f>'月度损益'!X7</x:f>
        <x:v>正常</x:v>
      </x:c>
    </x:row>
    <x:row r="35">
      <x:c r="A35" s="118" t="str">
        <x:f>'月度损益'!C8</x:f>
        <x:v>金街美地店</x:v>
      </x:c>
      <x:c r="B35" s="141" t="n">
        <x:f>'月度损益'!D8</x:f>
        <x:v>255000</x:v>
      </x:c>
      <x:c r="C35" s="141" t="n">
        <x:f>'月度损益'!S8</x:f>
        <x:v>32435.534905714274</x:v>
      </x:c>
      <x:c r="D35" s="144" t="n">
        <x:f>'月度损益'!T8</x:f>
        <x:v>0.12719817610084028</x:v>
      </x:c>
      <x:c r="E35" s="141" t="n">
        <x:f>'月度损益'!V8</x:f>
        <x:v>202504.55345330038</x:v>
      </x:c>
      <x:c r="F35" s="144" t="n">
        <x:f>'月度损益'!W8</x:f>
        <x:v>0.20586449626156714</x:v>
      </x:c>
      <x:c r="G35" s="144" t="n">
        <x:f>IFERROR('月度损益'!P8/'月度损益'!D8,0)</x:f>
        <x:v>0.2227927731092437</x:v>
      </x:c>
      <x:c r="H35" s="118" t="str">
        <x:f>'月度损益'!X8</x:f>
        <x:v>正常</x:v>
      </x:c>
    </x:row>
    <x:row r="36">
      <x:c r="A36" s="118" t="str">
        <x:f>'月度损益'!C9</x:f>
        <x:v>同顺街店</x:v>
      </x:c>
      <x:c r="B36" s="141" t="n">
        <x:f>'月度损益'!D9</x:f>
        <x:v>248000</x:v>
      </x:c>
      <x:c r="C36" s="141" t="n">
        <x:f>'月度损益'!S9</x:f>
        <x:v>29045.45432857136</x:v>
      </x:c>
      <x:c r="D36" s="144" t="n">
        <x:f>'月度损益'!T9</x:f>
        <x:v>0.11711876745391676</x:v>
      </x:c>
      <x:c r="E36" s="141" t="n">
        <x:f>'月度损益'!V9</x:f>
        <x:v>200988.82857730164</x:v>
      </x:c>
      <x:c r="F36" s="144" t="n">
        <x:f>'月度损益'!W9</x:f>
        <x:v>0.18956117509152565</x:v>
      </x:c>
      <x:c r="G36" s="144" t="n">
        <x:f>IFERROR('月度损益'!P9/'月度损益'!D9,0)</x:f>
        <x:v>0.2333356710829493</x:v>
      </x:c>
      <x:c r="H36" s="118" t="str">
        <x:f>'月度损益'!X9</x:f>
        <x:v>正常</x:v>
      </x:c>
    </x:row>
    <x:row r="37">
      <x:c r="A37" s="118" t="str">
        <x:f>'月度损益'!C10</x:f>
        <x:v>蓝钻天城店</x:v>
      </x:c>
      <x:c r="B37" s="141" t="n">
        <x:f>'月度损益'!D10</x:f>
        <x:v>240000</x:v>
      </x:c>
      <x:c r="C37" s="141" t="n">
        <x:f>'月度损益'!S10</x:f>
        <x:v>25189.46412571428</x:v>
      </x:c>
      <x:c r="D37" s="144" t="n">
        <x:f>'月度损益'!T10</x:f>
        <x:v>0.10495610052380949</x:v>
      </x:c>
      <x:c r="E37" s="141" t="n">
        <x:f>'月度损益'!V10</x:f>
        <x:v>199227.0373016871</x:v>
      </x:c>
      <x:c r="F37" s="144" t="n">
        <x:f>'月度损益'!W10</x:f>
        <x:v>0.1698873445763038</x:v>
      </x:c>
      <x:c r="G37" s="144" t="n">
        <x:f>IFERROR('月度损益'!P10/'月度损益'!D10,0)</x:f>
        <x:v>0.24489629464285712</x:v>
      </x:c>
      <x:c r="H37" s="118" t="str">
        <x:f>'月度损益'!X10</x:f>
        <x:v>正常</x:v>
      </x:c>
    </x:row>
    <x:row r="38">
      <x:c r="A38" s="118" t="str">
        <x:f>'月度损益'!C11</x:f>
        <x:v>小和山店</x:v>
      </x:c>
      <x:c r="B38" s="141" t="n">
        <x:f>'月度损益'!D11</x:f>
        <x:v>230000</x:v>
      </x:c>
      <x:c r="C38" s="141" t="n">
        <x:f>'月度损益'!S11</x:f>
        <x:v>20386.89170285716</x:v>
      </x:c>
      <x:c r="D38" s="144" t="n">
        <x:f>'月度损益'!T11</x:f>
        <x:v>0.08863865957763982</x:v>
      </x:c>
      <x:c r="E38" s="141" t="n">
        <x:f>'月度损益'!V11</x:f>
        <x:v>197002.93568722153</x:v>
      </x:c>
      <x:c r="F38" s="144" t="n">
        <x:f>'月度损益'!W11</x:f>
        <x:v>0.1434654970120803</x:v>
      </x:c>
      <x:c r="G38" s="144" t="n">
        <x:f>IFERROR('月度损益'!P11/'月度损益'!D11,0)</x:f>
        <x:v>0.26084003105590053</x:v>
      </x:c>
      <x:c r="H38" s="118" t="str">
        <x:f>'月度损益'!X11</x:f>
        <x:v>正常</x:v>
      </x:c>
    </x:row>
    <x:row r="39">
      <x:c r="A39" s="137" t="str">
        <x:f>'月度损益'!C12</x:f>
        <x:v>四季青店</x:v>
      </x:c>
      <x:c r="B39" s="142" t="n">
        <x:f>'月度损益'!D12</x:f>
        <x:v>212000</x:v>
      </x:c>
      <x:c r="C39" s="142" t="n">
        <x:f>'月度损益'!S12</x:f>
        <x:v>13202.900551428553</x:v>
      </x:c>
      <x:c r="D39" s="145" t="n">
        <x:f>'月度损益'!T12</x:f>
        <x:v>0.06227783278975733</x:v>
      </x:c>
      <x:c r="E39" s="142" t="n">
        <x:f>'月度损益'!V12</x:f>
        <x:v>190634.28191976677</x:v>
      </x:c>
      <x:c r="F39" s="145" t="n">
        <x:f>'月度损益'!W12</x:f>
        <x:v>0.10078168905770392</x:v>
      </x:c>
      <x:c r="G39" s="145" t="n">
        <x:f>IFERROR('月度损益'!P12/'月度损益'!D12,0)</x:f>
        <x:v>0.2872502526954178</x:v>
      </x:c>
      <x:c r="H39" s="137" t="str">
        <x:f>'月度损益'!X12</x:f>
        <x:v>关注</x:v>
      </x:c>
    </x:row>
  </x:sheetData>
  <x:mergeCells>
    <x:mergeCell ref="A1:P1"/>
    <x:mergeCell ref="A2:P2"/>
    <x:mergeCell ref="A26:H26"/>
  </x:mergeCells>
  <x:conditionalFormatting sqref="H32:H39">
    <x:cfRule type="containsText" dxfId="45" priority="1" operator="containsText" text="正常"/>
    <x:cfRule type="containsText" dxfId="46" priority="2" operator="containsText" text="安全"/>
    <x:cfRule type="containsText" dxfId="47" priority="3" operator="containsText" text="已对账"/>
    <x:cfRule type="containsText" dxfId="48" priority="4" operator="containsText" text="已结清"/>
    <x:cfRule type="containsText" dxfId="49" priority="5" operator="containsText" text="亏损"/>
    <x:cfRule type="containsText" dxfId="50" priority="6" operator="containsText" text="缺口"/>
    <x:cfRule type="containsText" dxfId="51" priority="7" operator="containsText" text="待核对"/>
    <x:cfRule type="containsText" dxfId="52" priority="8" operator="containsText" text="逾期"/>
  </x:conditionalFormatting>
  <x:pageMargins left="0.7" right="0.7" top="0.75" bottom="0.75" header="0.3" footer="0.3"/>
  <x:drawing xmlns:r="http://schemas.openxmlformats.org/officeDocument/2006/relationships" r:id="R77c44988ed044577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2" hidden="0" customWidth="1"/>
    <x:col min="7" max="7" width="46" hidden="0" customWidth="1"/>
  </x:cols>
  <x:sheetData>
    <x:row r="1" ht="34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28" customHeight="1">
      <x:c r="A2" s="7" t="str">
        <x:v>所有关键口径需通过后才能用于场景页与首页；CHECK项必须解释或修复</x:v>
      </x:c>
      <x:c r="B2" s="7"/>
      <x:c r="C2" s="7"/>
      <x:c r="D2" s="7"/>
      <x:c r="E2" s="7"/>
      <x:c r="F2" s="7"/>
      <x:c r="G2" s="7"/>
    </x:row>
    <x:row r="4">
      <x:c r="A4" s="9" t="str">
        <x:v>MODEL STATUS</x:v>
      </x:c>
      <x:c r="B4" s="46" t="str">
        <x:f>IF(COUNTIF(F9:F25,"CHECK")=0,"PASS","FAIL")</x:f>
        <x:v>PASS</x:v>
      </x:c>
    </x:row>
    <x:row r="5">
      <x:c r="A5" s="9" t="str">
        <x:v>检查时间</x:v>
      </x:c>
      <x:c r="B5" s="155" t="n">
        <x:v>46217</x:v>
      </x:c>
    </x:row>
    <x:row r="8" ht="28" customHeight="1">
      <x:c r="A8" s="12" t="str">
        <x:v>检查项</x:v>
      </x:c>
      <x:c r="B8" s="12" t="str">
        <x:v>实际</x:v>
      </x:c>
      <x:c r="C8" s="12" t="str">
        <x:v>期望</x:v>
      </x:c>
      <x:c r="D8" s="12" t="str">
        <x:v>差异</x:v>
      </x:c>
      <x:c r="E8" s="12" t="str">
        <x:v>容差</x:v>
      </x:c>
      <x:c r="F8" s="12" t="str">
        <x:v>状态</x:v>
      </x:c>
      <x:c r="G8" s="12" t="str">
        <x:v>说明</x:v>
      </x:c>
    </x:row>
    <x:row r="9">
      <x:c r="A9" s="19" t="str">
        <x:v>均店月销折算接近25万</x:v>
      </x:c>
      <x:c r="B9" s="20" t="n">
        <x:f>'经营摘要'!B5</x:f>
        <x:v>249919.5</x:v>
      </x:c>
      <x:c r="C9" s="20" t="n">
        <x:v>250000</x:v>
      </x:c>
      <x:c r="D9" s="20" t="n">
        <x:f>B9-C9</x:f>
        <x:v>-80.5</x:v>
      </x:c>
      <x:c r="E9" s="20" t="n">
        <x:v>12500</x:v>
      </x:c>
      <x:c r="F9" s="19" t="str">
        <x:f>IF(ABS(D9)&lt;=E9,"OK","CHECK")</x:f>
        <x:v>OK</x:v>
      </x:c>
      <x:c r="G9" s="19" t="str">
        <x:v>销量由月销基线反推，允许5%取整误差</x:v>
      </x:c>
    </x:row>
    <x:row r="10">
      <x:c r="A10" s="19" t="str">
        <x:v>外卖收入占比接近10%</x:v>
      </x:c>
      <x:c r="B10" s="21" t="n">
        <x:f>'经营摘要'!C5</x:f>
        <x:v>0.09980656628577256</x:v>
      </x:c>
      <x:c r="C10" s="21" t="n">
        <x:v>0.1</x:v>
      </x:c>
      <x:c r="D10" s="21" t="n">
        <x:f>B10-C10</x:f>
        <x:v>-0.00019343371422744782</x:v>
      </x:c>
      <x:c r="E10" s="21" t="n">
        <x:v>0.015</x:v>
      </x:c>
      <x:c r="F10" s="19" t="str">
        <x:f>IF(ABS(D10)&lt;=E10,"OK","CHECK")</x:f>
        <x:v>OK</x:v>
      </x:c>
      <x:c r="G10" s="19" t="str">
        <x:v>堂食90%、外卖10%</x:v>
      </x:c>
    </x:row>
    <x:row r="11">
      <x:c r="A11" s="19" t="str">
        <x:v>工作日日均高于周末</x:v>
      </x:c>
      <x:c r="B11" s="19" t="n">
        <x:f>IF(AVERAGEIFS('门店日汇总'!$H$5:$H$60,'门店日汇总'!$B$5:$B$60,"&lt;&gt;周六",'门店日汇总'!$B$5:$B$60,"&lt;&gt;周日")&gt;AVERAGE(AVERAGEIFS('门店日汇总'!$H$5:$H$60,'门店日汇总'!$B$5:$B$60,"周六"),AVERAGEIFS('门店日汇总'!$H$5:$H$60,'门店日汇总'!$B$5:$B$60,"周日")),1,0)</x:f>
        <x:v>1</x:v>
      </x:c>
      <x:c r="C11" s="19" t="n">
        <x:v>1</x:v>
      </x:c>
      <x:c r="D11" s="19" t="n">
        <x:f>B11-C11</x:f>
        <x:v>0</x:v>
      </x:c>
      <x:c r="E11" s="19" t="n">
        <x:v>0</x:v>
      </x:c>
      <x:c r="F11" s="19" t="str">
        <x:f>IF(ABS(D11)&lt;=E11,"OK","CHECK")</x:f>
        <x:v>OK</x:v>
      </x:c>
      <x:c r="G11" s="19" t="str">
        <x:v>实际=1表示满足</x:v>
      </x:c>
    </x:row>
    <x:row r="12">
      <x:c r="A12" s="19" t="str">
        <x:v>三道截图菜谱已录入</x:v>
      </x:c>
      <x:c r="B12" s="19" t="n">
        <x:f>COUNTIF('菜品主数据'!$J$5:$J$24,"F-炒菜机截图")</x:f>
        <x:v>3</x:v>
      </x:c>
      <x:c r="C12" s="19" t="n">
        <x:v>3</x:v>
      </x:c>
      <x:c r="D12" s="19" t="n">
        <x:f>B12-C12</x:f>
        <x:v>0</x:v>
      </x:c>
      <x:c r="E12" s="19" t="n">
        <x:v>0</x:v>
      </x:c>
      <x:c r="F12" s="19" t="str">
        <x:f>IF(ABS(D12)&lt;=E12,"OK","CHECK")</x:f>
        <x:v>OK</x:v>
      </x:c>
      <x:c r="G12" s="19" t="str">
        <x:v>辣椒炒肉/小炒黄牛肉/农家一碗香</x:v>
      </x:c>
    </x:row>
    <x:row r="13">
      <x:c r="A13" s="19" t="str">
        <x:v>库存无负数</x:v>
      </x:c>
      <x:c r="B13" s="19" t="n">
        <x:f>COUNTIF('库存与收货'!$N$5:$N$676,"&lt;0")</x:f>
        <x:v>0</x:v>
      </x:c>
      <x:c r="C13" s="19" t="n">
        <x:v>0</x:v>
      </x:c>
      <x:c r="D13" s="19" t="n">
        <x:f>B13-C13</x:f>
        <x:v>0</x:v>
      </x:c>
      <x:c r="E13" s="19" t="n">
        <x:v>0</x:v>
      </x:c>
      <x:c r="F13" s="19" t="str">
        <x:f>IF(ABS(D13)&lt;=E13,"OK","CHECK")</x:f>
        <x:v>OK</x:v>
      </x:c>
      <x:c r="G13" s="19" t="str">
        <x:v>负库存行数应为0</x:v>
      </x:c>
    </x:row>
    <x:row r="14">
      <x:c r="A14" s="19" t="str">
        <x:v>机器调料平均偏差≤0.5%</x:v>
      </x:c>
      <x:c r="B14" s="47" t="n">
        <x:f>(SUMIF('炒菜机执行日志'!$N$5:$N$956,"&gt;=0",'炒菜机执行日志'!$N$5:$N$956)-SUMIF('炒菜机执行日志'!$N$5:$N$956,"&lt;0",'炒菜机执行日志'!$N$5:$N$956))/COUNT('炒菜机执行日志'!$N$5:$N$956)</x:f>
        <x:v>0.0009889765484927446</x:v>
      </x:c>
      <x:c r="C14" s="47" t="n">
        <x:v>0.005</x:v>
      </x:c>
      <x:c r="D14" s="47" t="n">
        <x:f>B14-C14</x:f>
        <x:v>-0.004011023451507256</x:v>
      </x:c>
      <x:c r="E14" s="47" t="n">
        <x:v>0</x:v>
      </x:c>
      <x:c r="F14" s="19" t="str">
        <x:f>IF(B14&lt;=C14,"OK","CHECK")</x:f>
        <x:v>OK</x:v>
      </x:c>
      <x:c r="G14" s="19" t="str">
        <x:v>体现炒菜机克重稳定</x:v>
      </x:c>
    </x:row>
    <x:row r="15">
      <x:c r="A15" s="19" t="str">
        <x:v>所有任务均有执行人</x:v>
      </x:c>
      <x:c r="B15" s="19" t="n">
        <x:f>COUNTBLANK('SOP任务'!$F$5:$F$19)</x:f>
        <x:v>0</x:v>
      </x:c>
      <x:c r="C15" s="19" t="n">
        <x:v>0</x:v>
      </x:c>
      <x:c r="D15" s="19" t="n">
        <x:f>B15-C15</x:f>
        <x:v>0</x:v>
      </x:c>
      <x:c r="E15" s="19" t="n">
        <x:v>0</x:v>
      </x:c>
      <x:c r="F15" s="19" t="str">
        <x:f>IF(ABS(D15)&lt;=E15,"OK","CHECK")</x:f>
        <x:v>OK</x:v>
      </x:c>
      <x:c r="G15" s="19" t="str">
        <x:v>空执行人任务数应为0</x:v>
      </x:c>
    </x:row>
    <x:row r="16">
      <x:c r="A16" s="19" t="str">
        <x:v>所有事件均有验收标准</x:v>
      </x:c>
      <x:c r="B16" s="19" t="n">
        <x:f>COUNTBLANK('经营事件'!$O$5:$O$10)</x:f>
        <x:v>0</x:v>
      </x:c>
      <x:c r="C16" s="19" t="n">
        <x:v>0</x:v>
      </x:c>
      <x:c r="D16" s="19" t="n">
        <x:f>B16-C16</x:f>
        <x:v>0</x:v>
      </x:c>
      <x:c r="E16" s="19" t="n">
        <x:v>0</x:v>
      </x:c>
      <x:c r="F16" s="19" t="str">
        <x:f>IF(ABS(D16)&lt;=E16,"OK","CHECK")</x:f>
        <x:v>OK</x:v>
      </x:c>
      <x:c r="G16" s="19" t="str">
        <x:v>空验收标准事件数应为0</x:v>
      </x:c>
    </x:row>
    <x:row r="17">
      <x:c r="A17" s="66" t="str">
        <x:v>外卖原价GMV与原销售外卖流水一致</x:v>
      </x:c>
      <x:c r="B17" s="66" t="n">
        <x:f>SUM('外卖结算'!I5:I172)</x:f>
        <x:v>46561.40000000001</x:v>
      </x:c>
      <x:c r="C17" s="66" t="n">
        <x:f>SUM('门店日汇总'!K5:K60)</x:f>
        <x:v>46561.39999999998</x:v>
      </x:c>
      <x:c r="D17" s="66" t="n">
        <x:f>B17-C17</x:f>
        <x:v>2.9103830456733704e-11</x:v>
      </x:c>
      <x:c r="E17" s="66" t="n">
        <x:v>1</x:v>
      </x:c>
      <x:c r="F17" s="66" t="str">
        <x:f>IF(ABS(D17)&lt;=E17,"OK","CHECK")</x:f>
        <x:v>OK</x:v>
      </x:c>
      <x:c r="G17" s="66" t="str">
        <x:v>新增结算明细应与原7日外卖总额一致</x:v>
      </x:c>
    </x:row>
    <x:row r="18">
      <x:c r="A18" s="67" t="str">
        <x:v>支付资金差异绝对值不超过100元</x:v>
      </x:c>
      <x:c r="B18" s="67" t="n">
        <x:f>ABS(SUM('支付资金账单'!N5:N228))</x:f>
        <x:v>36.795339999997054</x:v>
      </x:c>
      <x:c r="C18" s="67" t="n">
        <x:v>0</x:v>
      </x:c>
      <x:c r="D18" s="67" t="n">
        <x:f>B18-C18</x:f>
        <x:v>36.795339999997054</x:v>
      </x:c>
      <x:c r="E18" s="67" t="n">
        <x:v>100</x:v>
      </x:c>
      <x:c r="F18" s="67" t="str">
        <x:f>IF(ABS(D18)&lt;=E18,"OK","CHECK")</x:f>
        <x:v>OK</x:v>
      </x:c>
      <x:c r="G18" s="67" t="str">
        <x:v>保留一笔36.8元待核对差异</x:v>
      </x:c>
    </x:row>
    <x:row r="19">
      <x:c r="A19" s="67" t="str">
        <x:v>排班实际工时无负数</x:v>
      </x:c>
      <x:c r="B19" s="67" t="n">
        <x:f>COUNTIF('排班工时'!I5:I340,"&lt;0")</x:f>
        <x:v>0</x:v>
      </x:c>
      <x:c r="C19" s="67" t="n">
        <x:v>0</x:v>
      </x:c>
      <x:c r="D19" s="67" t="n">
        <x:f>B19-C19</x:f>
        <x:v>0</x:v>
      </x:c>
      <x:c r="E19" s="67" t="n">
        <x:v>0</x:v>
      </x:c>
      <x:c r="F19" s="67" t="str">
        <x:f>IF(ABS(D19)&lt;=E19,"OK","CHECK")</x:f>
        <x:v>OK</x:v>
      </x:c>
      <x:c r="G19" s="67" t="str">
        <x:v>实际工时必须大于等于0</x:v>
      </x:c>
    </x:row>
    <x:row r="20">
      <x:c r="A20" s="67" t="str">
        <x:v>固定费用记录完整</x:v>
      </x:c>
      <x:c r="B20" s="67" t="n">
        <x:f>COUNTA('固定费用月表'!A5:A76)</x:f>
        <x:v>72</x:v>
      </x:c>
      <x:c r="C20" s="67" t="n">
        <x:v>72</x:v>
      </x:c>
      <x:c r="D20" s="67" t="n">
        <x:f>B20-C20</x:f>
        <x:v>0</x:v>
      </x:c>
      <x:c r="E20" s="67" t="n">
        <x:v>0</x:v>
      </x:c>
      <x:c r="F20" s="67" t="str">
        <x:f>IF(ABS(D20)&lt;=E20,"OK","CHECK")</x:f>
        <x:v>OK</x:v>
      </x:c>
      <x:c r="G20" s="67" t="str">
        <x:v>8店×9类费用</x:v>
      </x:c>
    </x:row>
    <x:row r="21">
      <x:c r="A21" s="67" t="str">
        <x:v>月度食材成本与供应商应付一致</x:v>
      </x:c>
      <x:c r="B21" s="67" t="n">
        <x:f>SUM('供应商应付'!K5:K52)-'月度损益'!J13</x:f>
        <x:v>0</x:v>
      </x:c>
      <x:c r="C21" s="67" t="n">
        <x:v>0</x:v>
      </x:c>
      <x:c r="D21" s="67" t="n">
        <x:f>B21-C21</x:f>
        <x:v>0</x:v>
      </x:c>
      <x:c r="E21" s="67" t="n">
        <x:v>1</x:v>
      </x:c>
      <x:c r="F21" s="67" t="str">
        <x:f>IF(ABS(D21)&lt;=E21,"OK","CHECK")</x:f>
        <x:v>OK</x:v>
      </x:c>
      <x:c r="G21" s="67" t="str">
        <x:v>简化假设采购耗用基本一致</x:v>
      </x:c>
    </x:row>
    <x:row r="22">
      <x:c r="A22" s="67" t="str">
        <x:v>营销增量订单无负数</x:v>
      </x:c>
      <x:c r="B22" s="67" t="n">
        <x:f>COUNTIF('营销活动'!L5:L28,"&lt;0")</x:f>
        <x:v>0</x:v>
      </x:c>
      <x:c r="C22" s="67" t="n">
        <x:v>0</x:v>
      </x:c>
      <x:c r="D22" s="67" t="n">
        <x:f>B22-C22</x:f>
        <x:v>0</x:v>
      </x:c>
      <x:c r="E22" s="67" t="n">
        <x:v>0</x:v>
      </x:c>
      <x:c r="F22" s="67" t="str">
        <x:f>IF(ABS(D22)&lt;=E22,"OK","CHECK")</x:f>
        <x:v>OK</x:v>
      </x:c>
      <x:c r="G22" s="67" t="str">
        <x:v>基线高于活动订单时按0处理</x:v>
      </x:c>
    </x:row>
    <x:row r="23">
      <x:c r="A23" s="67" t="str">
        <x:v>8店月度标价营业额合计200万</x:v>
      </x:c>
      <x:c r="B23" s="67" t="n">
        <x:f>'月度损益'!D13</x:f>
        <x:v>2000000</x:v>
      </x:c>
      <x:c r="C23" s="67" t="n">
        <x:v>2000000</x:v>
      </x:c>
      <x:c r="D23" s="67" t="n">
        <x:f>B23-C23</x:f>
        <x:v>0</x:v>
      </x:c>
      <x:c r="E23" s="67" t="n">
        <x:v>1</x:v>
      </x:c>
      <x:c r="F23" s="67" t="str">
        <x:f>IF(ABS(D23)&lt;=E23,"OK","CHECK")</x:f>
        <x:v>OK</x:v>
      </x:c>
      <x:c r="G23" s="67" t="str">
        <x:v>与门店基线一致</x:v>
      </x:c>
    </x:row>
    <x:row r="24">
      <x:c r="A24" s="67" t="str">
        <x:v>现金滚动平衡</x:v>
      </x:c>
      <x:c r="B24" s="67" t="n">
        <x:f>'现金日历'!O34-('现金日历'!C5+SUM('现金日历'!G5:G34)-SUM('现金日历'!N5:N34))</x:f>
        <x:v>-9.313225746154785e-10</x:v>
      </x:c>
      <x:c r="C24" s="67" t="n">
        <x:v>0</x:v>
      </x:c>
      <x:c r="D24" s="67" t="n">
        <x:f>B24-C24</x:f>
        <x:v>-9.313225746154785e-10</x:v>
      </x:c>
      <x:c r="E24" s="67" t="n">
        <x:v>1</x:v>
      </x:c>
      <x:c r="F24" s="67" t="str">
        <x:f>IF(ABS(D24)&lt;=E24,"OK","CHECK")</x:f>
        <x:v>OK</x:v>
      </x:c>
      <x:c r="G24" s="67" t="str">
        <x:v>期末=期初+流入-流出</x:v>
      </x:c>
    </x:row>
    <x:row r="25">
      <x:c r="A25" s="68" t="str">
        <x:v>基准新店36个月内回收</x:v>
      </x:c>
      <x:c r="B25" s="68" t="n">
        <x:f>IF(AND(ISNUMBER('开店投资'!L6),'开店投资'!L6&lt;=36),1,0)</x:f>
        <x:v>1</x:v>
      </x:c>
      <x:c r="C25" s="68" t="n">
        <x:v>1</x:v>
      </x:c>
      <x:c r="D25" s="68" t="n">
        <x:f>B25-C25</x:f>
        <x:v>0</x:v>
      </x:c>
      <x:c r="E25" s="68" t="n">
        <x:v>0</x:v>
      </x:c>
      <x:c r="F25" s="68" t="str">
        <x:f>IF(ABS(D25)&lt;=E25,"OK","CHECK")</x:f>
        <x:v>OK</x:v>
      </x:c>
      <x:c r="G25" s="68" t="str">
        <x:v>实际=1表示满足</x:v>
      </x:c>
    </x:row>
  </x:sheetData>
  <x:mergeCells>
    <x:mergeCell ref="A1:G1"/>
    <x:mergeCell ref="A2:G2"/>
  </x:mergeCells>
  <x:conditionalFormatting sqref="F9:F16">
    <x:cfRule type="containsText" dxfId="0" priority="1" operator="containsText" text="CHECK"/>
    <x:cfRule type="containsText" dxfId="1" priority="2" operator="containsText" text="OK"/>
  </x:conditionalFormatting>
  <x:conditionalFormatting sqref="F9:F25">
    <x:cfRule type="containsText" dxfId="53" priority="3" operator="containsText" text="OK"/>
    <x:cfRule type="containsText" dxfId="54" priority="4" operator="containsText" text="CHECK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8" hidden="0" customWidth="1"/>
    <x:col min="5" max="5" width="34" hidden="0" customWidth="1"/>
    <x:col min="6" max="6" width="34" hidden="0" customWidth="1"/>
    <x:col min="7" max="7" width="12" hidden="0" customWidth="1"/>
    <x:col min="8" max="8" width="42" hidden="0" customWidth="1"/>
  </x:cols>
  <x:sheetData>
    <x:row r="1" ht="34" customHeight="1">
      <x:c r="A1" s="3" t="str">
        <x:v>来源与假设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截图来源只用于本地演示数据建模；所有未明确字段均按模拟设定处理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来源ID</x:v>
      </x:c>
      <x:c r="B4" s="12" t="str">
        <x:v>类型</x:v>
      </x:c>
      <x:c r="C4" s="12" t="str">
        <x:v>内容</x:v>
      </x:c>
      <x:c r="D4" s="12" t="str">
        <x:v>原始文件</x:v>
      </x:c>
      <x:c r="E4" s="12" t="str">
        <x:v>提取字段</x:v>
      </x:c>
      <x:c r="F4" s="12" t="str">
        <x:v>在模型中的用途</x:v>
      </x:c>
      <x:c r="G4" s="12" t="str">
        <x:v>可信度</x:v>
      </x:c>
      <x:c r="H4" s="12" t="str">
        <x:v>备注</x:v>
      </x:c>
    </x:row>
    <x:row r="5">
      <x:c r="A5" s="19" t="str">
        <x:v>SRC-01</x:v>
      </x:c>
      <x:c r="B5" s="19" t="str">
        <x:v>F-截图</x:v>
      </x:c>
      <x:c r="C5" s="39" t="str">
        <x:v>门店菜单板</x:v>
      </x:c>
      <x:c r="D5" s="39" t="str">
        <x:v>img_v3_0213i_381f996f-2b71-4a27-b6a6-62ec6a10b30g.jpg</x:v>
      </x:c>
      <x:c r="E5" s="39" t="str">
        <x:v>菜名与门店标价</x:v>
      </x:c>
      <x:c r="F5" s="39" t="str">
        <x:v>菜单池与价格参考</x:v>
      </x:c>
      <x:c r="G5" s="39" t="str">
        <x:v>中高</x:v>
      </x:c>
      <x:c r="H5" s="39" t="str">
        <x:v>部分手写内容存在识别歧义</x:v>
      </x:c>
    </x:row>
    <x:row r="6">
      <x:c r="A6" s="19" t="str">
        <x:v>SRC-02</x:v>
      </x:c>
      <x:c r="B6" s="19" t="str">
        <x:v>F-截图</x:v>
      </x:c>
      <x:c r="C6" s="39" t="str">
        <x:v>大众点评评论列表</x:v>
      </x:c>
      <x:c r="D6" s="39" t="str">
        <x:v>img_v3_0213i_235f67f4-cc4b-4731-83cf-6b132e8420dg.jpg</x:v>
      </x:c>
      <x:c r="E6" s="39" t="str">
        <x:v>辣度、牛肉口感、服务与稳定性主题</x:v>
      </x:c>
      <x:c r="F6" s="39" t="str">
        <x:v>顾客反馈事件主题</x:v>
      </x:c>
      <x:c r="G6" s="39" t="str">
        <x:v>中</x:v>
      </x:c>
      <x:c r="H6" s="39" t="str">
        <x:v>评价主题被转写为模拟记录</x:v>
      </x:c>
    </x:row>
    <x:row r="7">
      <x:c r="A7" s="19" t="str">
        <x:v>SRC-03</x:v>
      </x:c>
      <x:c r="B7" s="19" t="str">
        <x:v>F-截图</x:v>
      </x:c>
      <x:c r="C7" s="39" t="str">
        <x:v>清蒸鲈鱼评价页</x:v>
      </x:c>
      <x:c r="D7" s="39" t="str">
        <x:v>img_v3_0213i_f84caf81-8d3a-42e5-8978-754895b5cf9g.jpg</x:v>
      </x:c>
      <x:c r="E7" s="39" t="str">
        <x:v>均价、口味稳定、晚到售罄</x:v>
      </x:c>
      <x:c r="F7" s="39" t="str">
        <x:v>客单与体验主题</x:v>
      </x:c>
      <x:c r="G7" s="39" t="str">
        <x:v>中高</x:v>
      </x:c>
      <x:c r="H7" s="39" t="str">
        <x:v>评论日期不直接作为模拟日期</x:v>
      </x:c>
    </x:row>
    <x:row r="8">
      <x:c r="A8" s="19" t="str">
        <x:v>SRC-04</x:v>
      </x:c>
      <x:c r="B8" s="19" t="str">
        <x:v>F-截图</x:v>
      </x:c>
      <x:c r="C8" s="39" t="str">
        <x:v>推荐菜7-10</x:v>
      </x:c>
      <x:c r="D8" s="39" t="str">
        <x:v>img_v3_0213i_988da355-03bc-4890-8028-a009bedda5bg.jpg</x:v>
      </x:c>
      <x:c r="E8" s="39" t="str">
        <x:v>菜名、价格、热度</x:v>
      </x:c>
      <x:c r="F8" s="39" t="str">
        <x:v>菜单池</x:v>
      </x:c>
      <x:c r="G8" s="39" t="str">
        <x:v>高</x:v>
      </x:c>
      <x:c r="H8" s="39" t="str">
        <x:v>炒豆干价格未显示</x:v>
      </x:c>
    </x:row>
    <x:row r="9">
      <x:c r="A9" s="19" t="str">
        <x:v>SRC-05</x:v>
      </x:c>
      <x:c r="B9" s="19" t="str">
        <x:v>F-截图</x:v>
      </x:c>
      <x:c r="C9" s="39" t="str">
        <x:v>推荐菜1-6</x:v>
      </x:c>
      <x:c r="D9" s="39" t="str">
        <x:v>img_v3_0213i_4efc359d-a89f-400d-be1a-163c060ddbfg.jpg</x:v>
      </x:c>
      <x:c r="E9" s="39" t="str">
        <x:v>菜名、价格、热度</x:v>
      </x:c>
      <x:c r="F9" s="39" t="str">
        <x:v>菜单池与销量权重</x:v>
      </x:c>
      <x:c r="G9" s="39" t="str">
        <x:v>高</x:v>
      </x:c>
      <x:c r="H9" s="39" t="str"/>
    </x:row>
    <x:row r="10">
      <x:c r="A10" s="19" t="str">
        <x:v>SRC-06</x:v>
      </x:c>
      <x:c r="B10" s="19" t="str">
        <x:v>F-截图</x:v>
      </x:c>
      <x:c r="C10" s="39" t="str">
        <x:v>门店列表</x:v>
      </x:c>
      <x:c r="D10" s="39" t="str">
        <x:v>img_v3_0213i_6d01479a-9b38-439f-b5a1-4ec39d503b5g.jpg</x:v>
      </x:c>
      <x:c r="E10" s="39" t="str">
        <x:v>门店名、4.3分、约32元/人</x:v>
      </x:c>
      <x:c r="F10" s="39" t="str">
        <x:v>门店与客单参考</x:v>
      </x:c>
      <x:c r="G10" s="39" t="str">
        <x:v>高</x:v>
      </x:c>
      <x:c r="H10" s="39" t="str">
        <x:v>8店中部分门店名为模拟补全</x:v>
      </x:c>
    </x:row>
    <x:row r="11">
      <x:c r="A11" s="19" t="str">
        <x:v>SRC-07</x:v>
      </x:c>
      <x:c r="B11" s="19" t="str">
        <x:v>F-炒菜机</x:v>
      </x:c>
      <x:c r="C11" s="39" t="str">
        <x:v>辣椒炒肉用料</x:v>
      </x:c>
      <x:c r="D11" s="39" t="str">
        <x:v>img_v3_0213i_fbcfc2ea-71b5-4dec-ac96-2e3b47a12fbg.jpg</x:v>
      </x:c>
      <x:c r="E11" s="39" t="str">
        <x:v>5种食材+8种调料克重</x:v>
      </x:c>
      <x:c r="F11" s="39" t="str">
        <x:v>精准BOM</x:v>
      </x:c>
      <x:c r="G11" s="39" t="str">
        <x:v>高</x:v>
      </x:c>
      <x:c r="H11" s="39" t="str"/>
    </x:row>
    <x:row r="12">
      <x:c r="A12" s="19" t="str">
        <x:v>SRC-08</x:v>
      </x:c>
      <x:c r="B12" s="19" t="str">
        <x:v>F-炒菜机</x:v>
      </x:c>
      <x:c r="C12" s="39" t="str">
        <x:v>小炒黄牛肉用料</x:v>
      </x:c>
      <x:c r="D12" s="39" t="str">
        <x:v>img_v3_0213i_bc8fb6da-b0c8-47cf-b544-84a9f3cad7bg.jpg</x:v>
      </x:c>
      <x:c r="E12" s="39" t="str">
        <x:v>6种食材+7种调料克重</x:v>
      </x:c>
      <x:c r="F12" s="39" t="str">
        <x:v>精准BOM</x:v>
      </x:c>
      <x:c r="G12" s="39" t="str">
        <x:v>高</x:v>
      </x:c>
      <x:c r="H12" s="39" t="str"/>
    </x:row>
    <x:row r="13">
      <x:c r="A13" s="19" t="str">
        <x:v>SRC-09</x:v>
      </x:c>
      <x:c r="B13" s="19" t="str">
        <x:v>F-炒菜机</x:v>
      </x:c>
      <x:c r="C13" s="39" t="str">
        <x:v>农家一碗香用料</x:v>
      </x:c>
      <x:c r="D13" s="39" t="str">
        <x:v>img_v3_0213i_04ec8e38-3b4e-43f1-a167-33dbf3d7c60g.jpg</x:v>
      </x:c>
      <x:c r="E13" s="39" t="str">
        <x:v>6种食材+8种调料克重</x:v>
      </x:c>
      <x:c r="F13" s="39" t="str">
        <x:v>精准BOM</x:v>
      </x:c>
      <x:c r="G13" s="39" t="str">
        <x:v>中高</x:v>
      </x:c>
      <x:c r="H13" s="39" t="str">
        <x:v>蚝油克重被浮层遮挡，模型暂按6g</x:v>
      </x:c>
    </x:row>
    <x:row r="14">
      <x:c r="A14" s="19" t="str">
        <x:v>SRC-10</x:v>
      </x:c>
      <x:c r="B14" s="19" t="str">
        <x:v>F-用户输入</x:v>
      </x:c>
      <x:c r="C14" s="39" t="str">
        <x:v>经营基线</x:v>
      </x:c>
      <x:c r="D14" s="39" t="str">
        <x:v>本轮聊天</x:v>
      </x:c>
      <x:c r="E14" s="39" t="str">
        <x:v>均店月销约25万；外卖约10%；工作日高于周末；8家店；炒菜机精准到克</x:v>
      </x:c>
      <x:c r="F14" s="39" t="str">
        <x:v>模拟主驱动</x:v>
      </x:c>
      <x:c r="G14" s="39" t="str">
        <x:v>高</x:v>
      </x:c>
      <x:c r="H14" s="39" t="str"/>
    </x:row>
    <x:row r="15">
      <x:c r="A15" s="19" t="str">
        <x:v>ASM-01</x:v>
      </x:c>
      <x:c r="B15" s="19" t="str">
        <x:v>S-假设</x:v>
      </x:c>
      <x:c r="C15" s="39" t="str">
        <x:v>采购价与其余菜品BOM</x:v>
      </x:c>
      <x:c r="D15" s="39" t="str">
        <x:v>模型输入</x:v>
      </x:c>
      <x:c r="E15" s="39" t="str">
        <x:v>食材采购价、17道菜估算BOM</x:v>
      </x:c>
      <x:c r="F15" s="39" t="str">
        <x:v>成本与毛利计算</x:v>
      </x:c>
      <x:c r="G15" s="39" t="str">
        <x:v>中</x:v>
      </x:c>
      <x:c r="H15" s="39" t="str">
        <x:v>客户数据到位后替换</x:v>
      </x:c>
    </x:row>
    <x:row r="16">
      <x:c r="A16" s="19" t="str">
        <x:v>ASM-02</x:v>
      </x:c>
      <x:c r="B16" s="19" t="str">
        <x:v>S-假设</x:v>
      </x:c>
      <x:c r="C16" s="39" t="str">
        <x:v>外卖费用</x:v>
      </x:c>
      <x:c r="D16" s="39" t="str">
        <x:v>模型输入</x:v>
      </x:c>
      <x:c r="E16" s="39" t="str">
        <x:v>折扣8%、佣金18%、包装1.2元/份</x:v>
      </x:c>
      <x:c r="F16" s="39" t="str">
        <x:v>外卖真实毛利</x:v>
      </x:c>
      <x:c r="G16" s="39" t="str">
        <x:v>中</x:v>
      </x:c>
      <x:c r="H16" s="39" t="str">
        <x:v>需按平台账单校准</x:v>
      </x:c>
    </x:row>
    <x:row r="17" ht="32" customHeight="1">
      <x:c r="A17" s="149" t="str">
        <x:v>WEB-01</x:v>
      </x:c>
      <x:c r="B17" s="149" t="str">
        <x:v>F-官网</x:v>
      </x:c>
      <x:c r="C17" s="149" t="str">
        <x:v>银豹POS/云后台经营字段</x:v>
      </x:c>
      <x:c r="D17" s="152" t="str">
        <x:v>https://www.pospal.cn/main/html/product/pc_web.html</x:v>
      </x:c>
      <x:c r="E17" s="149" t="str">
        <x:v>销售、原材料、库存、会员、营销、财务报表</x:v>
      </x:c>
      <x:c r="F17" s="149" t="str">
        <x:v>数据字典校准</x:v>
      </x:c>
      <x:c r="G17" s="149" t="str">
        <x:v>高</x:v>
      </x:c>
      <x:c r="H17" s="149" t="str">
        <x:v>官网功能不等于客户一定可导出</x:v>
      </x:c>
    </x:row>
    <x:row r="18" ht="32" customHeight="1">
      <x:c r="A18" s="150" t="str">
        <x:v>WEB-02</x:v>
      </x:c>
      <x:c r="B18" s="150" t="str">
        <x:v>F-官网</x:v>
      </x:c>
      <x:c r="C18" s="150" t="str">
        <x:v>客如云数智供应链</x:v>
      </x:c>
      <x:c r="D18" s="153" t="str">
        <x:v>https://www.keruyun.com/market/supplychain</x:v>
      </x:c>
      <x:c r="E18" s="150" t="str">
        <x:v>销售计划、千元用量、库存上下限、收货差异</x:v>
      </x:c>
      <x:c r="F18" s="150" t="str">
        <x:v>备货与供应链字段</x:v>
      </x:c>
      <x:c r="G18" s="150" t="str">
        <x:v>高</x:v>
      </x:c>
      <x:c r="H18" s="150" t="str">
        <x:v>产品公开功能</x:v>
      </x:c>
    </x:row>
    <x:row r="19" ht="32" customHeight="1">
      <x:c r="A19" s="150" t="str">
        <x:v>WEB-03</x:v>
      </x:c>
      <x:c r="B19" s="150" t="str">
        <x:v>F-官网</x:v>
      </x:c>
      <x:c r="C19" s="150" t="str">
        <x:v>天财商龙报表公式</x:v>
      </x:c>
      <x:c r="D19" s="153" t="str">
        <x:v>https://pos.tcsl.com.cn/cy7server/helpcenter/help?id=55</x:v>
      </x:c>
      <x:c r="E19" s="150" t="str">
        <x:v>营收、人均、平效、外卖商家收入公式</x:v>
      </x:c>
      <x:c r="F19" s="150" t="str">
        <x:v>经营指标口径</x:v>
      </x:c>
      <x:c r="G19" s="150" t="str">
        <x:v>高</x:v>
      </x:c>
      <x:c r="H19" s="150" t="str">
        <x:v>公开帮助中心</x:v>
      </x:c>
    </x:row>
    <x:row r="20" ht="32" customHeight="1">
      <x:c r="A20" s="150" t="str">
        <x:v>WEB-04</x:v>
      </x:c>
      <x:c r="B20" s="150" t="str">
        <x:v>F-官网</x:v>
      </x:c>
      <x:c r="C20" s="150" t="str">
        <x:v>天财商龙成本核算</x:v>
      </x:c>
      <x:c r="D20" s="153" t="str">
        <x:v>https://www.tcsl.com.cn/news/1060/</x:v>
      </x:c>
      <x:c r="E20" s="150" t="str">
        <x:v>理论耗用、实际耗用与损耗</x:v>
      </x:c>
      <x:c r="F20" s="150" t="str">
        <x:v>耗用差异口径</x:v>
      </x:c>
      <x:c r="G20" s="150" t="str">
        <x:v>中高</x:v>
      </x:c>
      <x:c r="H20" s="150" t="str">
        <x:v>行业方法说明</x:v>
      </x:c>
    </x:row>
    <x:row r="21" ht="32" customHeight="1">
      <x:c r="A21" s="150" t="str">
        <x:v>WEB-05</x:v>
      </x:c>
      <x:c r="B21" s="150" t="str">
        <x:v>F-官网</x:v>
      </x:c>
      <x:c r="C21" s="150" t="str">
        <x:v>微信支付账单</x:v>
      </x:c>
      <x:c r="D21" s="153" t="str">
        <x:v>https://pay.wechatpay.cn/doc/v3/merchant/4013071215</x:v>
      </x:c>
      <x:c r="E21" s="150" t="str">
        <x:v>交易账单、资金账单、交易日和记账日</x:v>
      </x:c>
      <x:c r="F21" s="150" t="str">
        <x:v>支付对账字段</x:v>
      </x:c>
      <x:c r="G21" s="150" t="str">
        <x:v>高</x:v>
      </x:c>
      <x:c r="H21" s="150" t="str">
        <x:v>官方商户文档</x:v>
      </x:c>
    </x:row>
    <x:row r="22" ht="32" customHeight="1">
      <x:c r="A22" s="150" t="str">
        <x:v>WEB-06</x:v>
      </x:c>
      <x:c r="B22" s="150" t="str">
        <x:v>F-官网</x:v>
      </x:c>
      <x:c r="C22" s="150" t="str">
        <x:v>美团生态开放平台</x:v>
      </x:c>
      <x:c r="D22" s="153" t="str">
        <x:v>https://openapi.meituan.com/</x:v>
      </x:c>
      <x:c r="E22" s="150" t="str">
        <x:v>外卖订单与平台对象</x:v>
      </x:c>
      <x:c r="F22" s="150" t="str">
        <x:v>外卖数据模型</x:v>
      </x:c>
      <x:c r="G22" s="150" t="str">
        <x:v>高</x:v>
      </x:c>
      <x:c r="H22" s="150" t="str">
        <x:v>未采用统一费率</x:v>
      </x:c>
    </x:row>
    <x:row r="23" ht="32" customHeight="1">
      <x:c r="A23" s="150" t="str">
        <x:v>WEB-07</x:v>
      </x:c>
      <x:c r="B23" s="150" t="str">
        <x:v>F-官网</x:v>
      </x:c>
      <x:c r="C23" s="150" t="str">
        <x:v>饿了么订单接口</x:v>
      </x:c>
      <x:c r="D23" s="153" t="str">
        <x:v>https://openapi-doc.faas.ele.me/v2/api/order.html</x:v>
      </x:c>
      <x:c r="E23" s="150" t="str">
        <x:v>订单、退款、赔付、评价</x:v>
      </x:c>
      <x:c r="F23" s="150" t="str">
        <x:v>外卖数据模型</x:v>
      </x:c>
      <x:c r="G23" s="150" t="str">
        <x:v>高</x:v>
      </x:c>
      <x:c r="H23" s="150" t="str">
        <x:v>接口字段参考</x:v>
      </x:c>
    </x:row>
    <x:row r="24" ht="32" customHeight="1">
      <x:c r="A24" s="150" t="str">
        <x:v>WEB-08</x:v>
      </x:c>
      <x:c r="B24" s="150" t="str">
        <x:v>F-官方统计</x:v>
      </x:c>
      <x:c r="C24" s="150" t="str">
        <x:v>2025年全国餐饮收入</x:v>
      </x:c>
      <x:c r="D24" s="153" t="str">
        <x:v>https://www.stats.gov.cn/sj/zxfbhjd/202601/t20260119_1962323.html</x:v>
      </x:c>
      <x:c r="E24" s="150" t="str">
        <x:v>57982亿元、同比3.2%</x:v>
      </x:c>
      <x:c r="F24" s="150" t="str">
        <x:v>行业背景</x:v>
      </x:c>
      <x:c r="G24" s="150" t="str">
        <x:v>高</x:v>
      </x:c>
      <x:c r="H24" s="150" t="str">
        <x:v>不用于推导单店利润</x:v>
      </x:c>
    </x:row>
    <x:row r="25" ht="32" customHeight="1">
      <x:c r="A25" s="150" t="str">
        <x:v>WEB-09</x:v>
      </x:c>
      <x:c r="B25" s="150" t="str">
        <x:v>F-官方统计</x:v>
      </x:c>
      <x:c r="C25" s="150" t="str">
        <x:v>2025住宿餐饮业工资</x:v>
      </x:c>
      <x:c r="D25" s="153" t="str">
        <x:v>https://www.stats.gov.cn/sj/zxfbhjd/202605/t20260515_1963707.html</x:v>
      </x:c>
      <x:c r="E25" s="150" t="str">
        <x:v>私营单位年均55123元</x:v>
      </x:c>
      <x:c r="F25" s="150" t="str">
        <x:v>工资外部校验</x:v>
      </x:c>
      <x:c r="G25" s="150" t="str">
        <x:v>高</x:v>
      </x:c>
      <x:c r="H25" s="150" t="str">
        <x:v>不替代杭州岗位薪资</x:v>
      </x:c>
    </x:row>
    <x:row r="26" ht="32" customHeight="1">
      <x:c r="A26" s="150" t="str">
        <x:v>WEB-10</x:v>
      </x:c>
      <x:c r="B26" s="150" t="str">
        <x:v>F-行业报告</x:v>
      </x:c>
      <x:c r="C26" s="150" t="str">
        <x:v>2024中国餐饮业年度报告</x:v>
      </x:c>
      <x:c r="D26" s="153" t="str">
        <x:v>https://aimg8.dlssyht.cn/u/1696449/ueditor/file/849/1696449/1730963962332251.pdf</x:v>
      </x:c>
      <x:c r="E26" s="150" t="str">
        <x:v>成本率、外卖占比、净利率分布</x:v>
      </x:c>
      <x:c r="F26" s="150" t="str">
        <x:v>模拟区间校准</x:v>
      </x:c>
      <x:c r="G26" s="150" t="str">
        <x:v>中高</x:v>
      </x:c>
      <x:c r="H26" s="150" t="str">
        <x:v>代表性企业样本</x:v>
      </x:c>
    </x:row>
    <x:row r="27" ht="32" customHeight="1">
      <x:c r="A27" s="151" t="str">
        <x:v>WEB-11</x:v>
      </x:c>
      <x:c r="B27" s="151" t="str">
        <x:v>F-会计准则</x:v>
      </x:c>
      <x:c r="C27" s="151" t="str">
        <x:v>企业会计准则第14号收入</x:v>
      </x:c>
      <x:c r="D27" s="154" t="str">
        <x:v>https://kjs.mof.gov.cn/zt/kjzzss/kuaijizhunzeshishi/201709/t20170907_2694006.htm</x:v>
      </x:c>
      <x:c r="E27" s="151" t="str">
        <x:v>收入确认与合同负债</x:v>
      </x:c>
      <x:c r="F27" s="151" t="str">
        <x:v>储值与收入边界</x:v>
      </x:c>
      <x:c r="G27" s="151" t="str">
        <x:v>高</x:v>
      </x:c>
      <x:c r="H27" s="151" t="str">
        <x:v>不替代客户会计判断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6d1d1f680143e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2" hidden="0" customWidth="1"/>
    <x:col min="7" max="7" width="14" hidden="0" customWidth="1"/>
    <x:col min="8" max="8" width="11" hidden="0" customWidth="1"/>
    <x:col min="9" max="9" width="14" hidden="0" customWidth="1"/>
    <x:col min="10" max="10" width="11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3" hidden="0" customWidth="1"/>
    <x:col min="16" max="16" width="11" hidden="0" customWidth="1"/>
    <x:col min="17" max="17" width="12" hidden="0" customWidth="1"/>
    <x:col min="18" max="18" width="11" hidden="0" customWidth="1"/>
    <x:col min="19" max="19" width="14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1" hidden="0" customWidth="1"/>
    <x:col min="26" max="26" width="12" hidden="0" customWidth="1"/>
  </x:cols>
  <x:sheetData>
    <x:row r="1" ht="30" customHeight="1">
      <x:c r="A1" s="52" t="str">
        <x:v>外卖订单与平台结算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 ht="28" customHeight="1">
      <x:c r="A2" s="56" t="str">
        <x:v>按门店、日期、平台和活动类型拆分；顾客支付、商家结算和订单贡献分别计算，所有费率为S-模拟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  <x:c r="Z2" s="56"/>
    </x:row>
    <x:row r="4" ht="34" customHeight="1">
      <x:c r="A4" s="61" t="str">
        <x:v>结算ID</x:v>
      </x:c>
      <x:c r="B4" s="61" t="str">
        <x:v>订单日期</x:v>
      </x:c>
      <x:c r="C4" s="61" t="str">
        <x:v>结算日期</x:v>
      </x:c>
      <x:c r="D4" s="61" t="str">
        <x:v>门店ID</x:v>
      </x:c>
      <x:c r="E4" s="61" t="str">
        <x:v>门店</x:v>
      </x:c>
      <x:c r="F4" s="61" t="str">
        <x:v>平台</x:v>
      </x:c>
      <x:c r="G4" s="61" t="str">
        <x:v>订单类型</x:v>
      </x:c>
      <x:c r="H4" s="61" t="str">
        <x:v>完成订单数</x:v>
      </x:c>
      <x:c r="I4" s="61" t="str">
        <x:v>菜品原价GMV</x:v>
      </x:c>
      <x:c r="J4" s="61" t="str">
        <x:v>餐盒收入</x:v>
      </x:c>
      <x:c r="K4" s="61" t="str">
        <x:v>顾客配送费</x:v>
      </x:c>
      <x:c r="L4" s="61" t="str">
        <x:v>商家优惠率</x:v>
      </x:c>
      <x:c r="M4" s="61" t="str">
        <x:v>商家优惠</x:v>
      </x:c>
      <x:c r="N4" s="61" t="str">
        <x:v>平台补贴</x:v>
      </x:c>
      <x:c r="O4" s="61" t="str">
        <x:v>顾客支付</x:v>
      </x:c>
      <x:c r="P4" s="61" t="str">
        <x:v>平台费率</x:v>
      </x:c>
      <x:c r="Q4" s="61" t="str">
        <x:v>平台服务费</x:v>
      </x:c>
      <x:c r="R4" s="61" t="str">
        <x:v>退款金额</x:v>
      </x:c>
      <x:c r="S4" s="61" t="str">
        <x:v>商家结算收入</x:v>
      </x:c>
      <x:c r="T4" s="61" t="str">
        <x:v>单位包装成本</x:v>
      </x:c>
      <x:c r="U4" s="61" t="str">
        <x:v>包装成本</x:v>
      </x:c>
      <x:c r="V4" s="61" t="str">
        <x:v>食材成本率</x:v>
      </x:c>
      <x:c r="W4" s="61" t="str">
        <x:v>食材成本</x:v>
      </x:c>
      <x:c r="X4" s="61" t="str">
        <x:v>订单贡献</x:v>
      </x:c>
      <x:c r="Y4" s="61" t="str">
        <x:v>贡献率</x:v>
      </x:c>
      <x:c r="Z4" s="61" t="str">
        <x:v>对账状态</x:v>
      </x:c>
    </x:row>
    <x:row r="5">
      <x:c r="A5" s="66" t="str">
        <x:v>WMS-00001</x:v>
      </x:c>
      <x:c r="B5" s="72" t="n">
        <x:v>46210.5</x:v>
      </x:c>
      <x:c r="C5" s="72" t="n">
        <x:v>46212.5</x:v>
      </x:c>
      <x:c r="D5" s="66" t="str">
        <x:v>S01</x:v>
      </x:c>
      <x:c r="E5" s="66" t="str">
        <x:v>近江天阳店</x:v>
      </x:c>
      <x:c r="F5" s="66" t="str">
        <x:v>美团外卖</x:v>
      </x:c>
      <x:c r="G5" s="66" t="str">
        <x:v>常规订单</x:v>
      </x:c>
      <x:c r="H5" s="69" t="n">
        <x:v>13</x:v>
      </x:c>
      <x:c r="I5" s="75" t="n">
        <x:v>561.44</x:v>
      </x:c>
      <x:c r="J5" s="75" t="n">
        <x:v>13</x:v>
      </x:c>
      <x:c r="K5" s="75" t="n">
        <x:v>39</x:v>
      </x:c>
      <x:c r="L5" s="81" t="n">
        <x:v>0.03</x:v>
      </x:c>
      <x:c r="M5" s="78" t="n">
        <x:f>I5*L5</x:f>
        <x:v>16.8432</x:v>
      </x:c>
      <x:c r="N5" s="75" t="n">
        <x:v>0</x:v>
      </x:c>
      <x:c r="O5" s="78" t="n">
        <x:f>I5+J5+K5-M5-N5</x:f>
        <x:v>596.5968</x:v>
      </x:c>
      <x:c r="P5" s="81" t="n">
        <x:v>0.18</x:v>
      </x:c>
      <x:c r="Q5" s="78" t="n">
        <x:f>I5*P5</x:f>
        <x:v>101.0592</x:v>
      </x:c>
      <x:c r="R5" s="75" t="n">
        <x:v>0.56</x:v>
      </x:c>
      <x:c r="S5" s="78" t="n">
        <x:f>I5+J5-M5-Q5-R5</x:f>
        <x:v>455.9776</x:v>
      </x:c>
      <x:c r="T5" s="75" t="n">
        <x:v>1.2</x:v>
      </x:c>
      <x:c r="U5" s="78" t="n">
        <x:f>H5*T5</x:f>
        <x:v>15.6</x:v>
      </x:c>
      <x:c r="V5" s="81" t="n">
        <x:v>0.32</x:v>
      </x:c>
      <x:c r="W5" s="78" t="n">
        <x:f>I5*V5</x:f>
        <x:v>179.66080000000002</x:v>
      </x:c>
      <x:c r="X5" s="78" t="n">
        <x:f>S5-U5-W5</x:f>
        <x:v>260.7167999999999</x:v>
      </x:c>
      <x:c r="Y5" s="84" t="n">
        <x:f>IFERROR(X5/I5,0)</x:f>
        <x:v>0.4643716158449699</x:v>
      </x:c>
      <x:c r="Z5" s="66" t="str">
        <x:f>IF(X5&lt;0,"亏损",IF(Y5&lt;8%,"关注","正常"))</x:f>
        <x:v>正常</x:v>
      </x:c>
    </x:row>
    <x:row r="6">
      <x:c r="A6" s="67" t="str">
        <x:v>WMS-00002</x:v>
      </x:c>
      <x:c r="B6" s="73" t="n">
        <x:v>46210.5</x:v>
      </x:c>
      <x:c r="C6" s="73" t="n">
        <x:v>46212.5</x:v>
      </x:c>
      <x:c r="D6" s="67" t="str">
        <x:v>S01</x:v>
      </x:c>
      <x:c r="E6" s="67" t="str">
        <x:v>近江天阳店</x:v>
      </x:c>
      <x:c r="F6" s="67" t="str">
        <x:v>美团外卖</x:v>
      </x:c>
      <x:c r="G6" s="67" t="str">
        <x:v>会员券订单</x:v>
      </x:c>
      <x:c r="H6" s="70" t="n">
        <x:v>6</x:v>
      </x:c>
      <x:c r="I6" s="76" t="n">
        <x:v>285.82</x:v>
      </x:c>
      <x:c r="J6" s="76" t="n">
        <x:v>6</x:v>
      </x:c>
      <x:c r="K6" s="76" t="n">
        <x:v>18</x:v>
      </x:c>
      <x:c r="L6" s="82" t="n">
        <x:v>0.1</x:v>
      </x:c>
      <x:c r="M6" s="79" t="n">
        <x:f>I6*L6</x:f>
        <x:v>28.582</x:v>
      </x:c>
      <x:c r="N6" s="76" t="n">
        <x:v>8.57</x:v>
      </x:c>
      <x:c r="O6" s="79" t="n">
        <x:f>I6+J6+K6-M6-N6</x:f>
        <x:v>272.668</x:v>
      </x:c>
      <x:c r="P6" s="82" t="n">
        <x:v>0.18</x:v>
      </x:c>
      <x:c r="Q6" s="79" t="n">
        <x:f>I6*P6</x:f>
        <x:v>51.447599999999994</x:v>
      </x:c>
      <x:c r="R6" s="76" t="n">
        <x:v>0.86</x:v>
      </x:c>
      <x:c r="S6" s="79" t="n">
        <x:f>I6+J6-M6-Q6-R6</x:f>
        <x:v>210.9304</x:v>
      </x:c>
      <x:c r="T6" s="76" t="n">
        <x:v>1.2</x:v>
      </x:c>
      <x:c r="U6" s="79" t="n">
        <x:f>H6*T6</x:f>
        <x:v>7.199999999999999</x:v>
      </x:c>
      <x:c r="V6" s="82" t="n">
        <x:v>0.33</x:v>
      </x:c>
      <x:c r="W6" s="79" t="n">
        <x:f>I6*V6</x:f>
        <x:v>94.3206</x:v>
      </x:c>
      <x:c r="X6" s="79" t="n">
        <x:f>S6-U6-W6</x:f>
        <x:v>109.4098</x:v>
      </x:c>
      <x:c r="Y6" s="85" t="n">
        <x:f>IFERROR(X6/I6,0)</x:f>
        <x:v>0.3827926667133161</x:v>
      </x:c>
      <x:c r="Z6" s="67" t="str">
        <x:f>IF(X6&lt;0,"亏损",IF(Y6&lt;8%,"关注","正常"))</x:f>
        <x:v>正常</x:v>
      </x:c>
    </x:row>
    <x:row r="7">
      <x:c r="A7" s="67" t="str">
        <x:v>WMS-00003</x:v>
      </x:c>
      <x:c r="B7" s="73" t="n">
        <x:v>46210.5</x:v>
      </x:c>
      <x:c r="C7" s="73" t="n">
        <x:v>46212.5</x:v>
      </x:c>
      <x:c r="D7" s="67" t="str">
        <x:v>S01</x:v>
      </x:c>
      <x:c r="E7" s="67" t="str">
        <x:v>近江天阳店</x:v>
      </x:c>
      <x:c r="F7" s="67" t="str">
        <x:v>美团外卖</x:v>
      </x:c>
      <x:c r="G7" s="67" t="str">
        <x:v>平台活动订单</x:v>
      </x:c>
      <x:c r="H7" s="70" t="n">
        <x:v>4</x:v>
      </x:c>
      <x:c r="I7" s="76" t="n">
        <x:v>173.53999999999996</x:v>
      </x:c>
      <x:c r="J7" s="76" t="n">
        <x:v>4</x:v>
      </x:c>
      <x:c r="K7" s="76" t="n">
        <x:v>12</x:v>
      </x:c>
      <x:c r="L7" s="82" t="n">
        <x:v>0.22</x:v>
      </x:c>
      <x:c r="M7" s="79" t="n">
        <x:f>I7*L7</x:f>
        <x:v>38.178799999999995</x:v>
      </x:c>
      <x:c r="N7" s="76" t="n">
        <x:v>13.88</x:v>
      </x:c>
      <x:c r="O7" s="79" t="n">
        <x:f>I7+J7+K7-M7-N7</x:f>
        <x:v>137.48119999999997</x:v>
      </x:c>
      <x:c r="P7" s="82" t="n">
        <x:v>0.18</x:v>
      </x:c>
      <x:c r="Q7" s="79" t="n">
        <x:f>I7*P7</x:f>
        <x:v>31.23719999999999</x:v>
      </x:c>
      <x:c r="R7" s="76" t="n">
        <x:v>1.04</x:v>
      </x:c>
      <x:c r="S7" s="79" t="n">
        <x:f>I7+J7-M7-Q7-R7</x:f>
        <x:v>107.08399999999997</x:v>
      </x:c>
      <x:c r="T7" s="76" t="n">
        <x:v>1.2</x:v>
      </x:c>
      <x:c r="U7" s="79" t="n">
        <x:f>H7*T7</x:f>
        <x:v>4.8</x:v>
      </x:c>
      <x:c r="V7" s="82" t="n">
        <x:v>0.35</x:v>
      </x:c>
      <x:c r="W7" s="79" t="n">
        <x:f>I7*V7</x:f>
        <x:v>60.73899999999998</x:v>
      </x:c>
      <x:c r="X7" s="79" t="n">
        <x:f>S7-U7-W7</x:f>
        <x:v>41.544999999999995</x:v>
      </x:c>
      <x:c r="Y7" s="85" t="n">
        <x:f>IFERROR(X7/I7,0)</x:f>
        <x:v>0.23939725711651494</x:v>
      </x:c>
      <x:c r="Z7" s="67" t="str">
        <x:f>IF(X7&lt;0,"亏损",IF(Y7&lt;8%,"关注","正常"))</x:f>
        <x:v>正常</x:v>
      </x:c>
    </x:row>
    <x:row r="8">
      <x:c r="A8" s="67" t="str">
        <x:v>WMS-00004</x:v>
      </x:c>
      <x:c r="B8" s="73" t="n">
        <x:v>46211.5</x:v>
      </x:c>
      <x:c r="C8" s="73" t="n">
        <x:v>46213.5</x:v>
      </x:c>
      <x:c r="D8" s="67" t="str">
        <x:v>S01</x:v>
      </x:c>
      <x:c r="E8" s="67" t="str">
        <x:v>近江天阳店</x:v>
      </x:c>
      <x:c r="F8" s="67" t="str">
        <x:v>美团外卖</x:v>
      </x:c>
      <x:c r="G8" s="67" t="str">
        <x:v>常规订单</x:v>
      </x:c>
      <x:c r="H8" s="70" t="n">
        <x:v>12</x:v>
      </x:c>
      <x:c r="I8" s="76" t="n">
        <x:v>549.4</x:v>
      </x:c>
      <x:c r="J8" s="76" t="n">
        <x:v>12</x:v>
      </x:c>
      <x:c r="K8" s="76" t="n">
        <x:v>36</x:v>
      </x:c>
      <x:c r="L8" s="82" t="n">
        <x:v>0.03</x:v>
      </x:c>
      <x:c r="M8" s="79" t="n">
        <x:f>I8*L8</x:f>
        <x:v>16.482</x:v>
      </x:c>
      <x:c r="N8" s="76" t="n">
        <x:v>0</x:v>
      </x:c>
      <x:c r="O8" s="79" t="n">
        <x:f>I8+J8+K8-M8-N8</x:f>
        <x:v>580.918</x:v>
      </x:c>
      <x:c r="P8" s="82" t="n">
        <x:v>0.18</x:v>
      </x:c>
      <x:c r="Q8" s="79" t="n">
        <x:f>I8*P8</x:f>
        <x:v>98.892</x:v>
      </x:c>
      <x:c r="R8" s="76" t="n">
        <x:v>0.55</x:v>
      </x:c>
      <x:c r="S8" s="79" t="n">
        <x:f>I8+J8-M8-Q8-R8</x:f>
        <x:v>445.476</x:v>
      </x:c>
      <x:c r="T8" s="76" t="n">
        <x:v>1.2</x:v>
      </x:c>
      <x:c r="U8" s="79" t="n">
        <x:f>H8*T8</x:f>
        <x:v>14.399999999999999</x:v>
      </x:c>
      <x:c r="V8" s="82" t="n">
        <x:v>0.32</x:v>
      </x:c>
      <x:c r="W8" s="79" t="n">
        <x:f>I8*V8</x:f>
        <x:v>175.808</x:v>
      </x:c>
      <x:c r="X8" s="79" t="n">
        <x:f>S8-U8-W8</x:f>
        <x:v>255.26800000000003</x:v>
      </x:c>
      <x:c r="Y8" s="85" t="n">
        <x:f>IFERROR(X8/I8,0)</x:f>
        <x:v>0.4646305060065527</x:v>
      </x:c>
      <x:c r="Z8" s="67" t="str">
        <x:f>IF(X8&lt;0,"亏损",IF(Y8&lt;8%,"关注","正常"))</x:f>
        <x:v>正常</x:v>
      </x:c>
    </x:row>
    <x:row r="9">
      <x:c r="A9" s="67" t="str">
        <x:v>WMS-00005</x:v>
      </x:c>
      <x:c r="B9" s="73" t="n">
        <x:v>46211.5</x:v>
      </x:c>
      <x:c r="C9" s="73" t="n">
        <x:v>46213.5</x:v>
      </x:c>
      <x:c r="D9" s="67" t="str">
        <x:v>S01</x:v>
      </x:c>
      <x:c r="E9" s="67" t="str">
        <x:v>近江天阳店</x:v>
      </x:c>
      <x:c r="F9" s="67" t="str">
        <x:v>美团外卖</x:v>
      </x:c>
      <x:c r="G9" s="67" t="str">
        <x:v>会员券订单</x:v>
      </x:c>
      <x:c r="H9" s="70" t="n">
        <x:v>6</x:v>
      </x:c>
      <x:c r="I9" s="76" t="n">
        <x:v>279.69</x:v>
      </x:c>
      <x:c r="J9" s="76" t="n">
        <x:v>6</x:v>
      </x:c>
      <x:c r="K9" s="76" t="n">
        <x:v>18</x:v>
      </x:c>
      <x:c r="L9" s="82" t="n">
        <x:v>0.1</x:v>
      </x:c>
      <x:c r="M9" s="79" t="n">
        <x:f>I9*L9</x:f>
        <x:v>27.969</x:v>
      </x:c>
      <x:c r="N9" s="76" t="n">
        <x:v>8.39</x:v>
      </x:c>
      <x:c r="O9" s="79" t="n">
        <x:f>I9+J9+K9-M9-N9</x:f>
        <x:v>267.331</x:v>
      </x:c>
      <x:c r="P9" s="82" t="n">
        <x:v>0.18</x:v>
      </x:c>
      <x:c r="Q9" s="79" t="n">
        <x:f>I9*P9</x:f>
        <x:v>50.3442</x:v>
      </x:c>
      <x:c r="R9" s="76" t="n">
        <x:v>0.84</x:v>
      </x:c>
      <x:c r="S9" s="79" t="n">
        <x:f>I9+J9-M9-Q9-R9</x:f>
        <x:v>206.5368</x:v>
      </x:c>
      <x:c r="T9" s="76" t="n">
        <x:v>1.2</x:v>
      </x:c>
      <x:c r="U9" s="79" t="n">
        <x:f>H9*T9</x:f>
        <x:v>7.199999999999999</x:v>
      </x:c>
      <x:c r="V9" s="82" t="n">
        <x:v>0.33</x:v>
      </x:c>
      <x:c r="W9" s="79" t="n">
        <x:f>I9*V9</x:f>
        <x:v>92.2977</x:v>
      </x:c>
      <x:c r="X9" s="79" t="n">
        <x:f>S9-U9-W9</x:f>
        <x:v>107.0391</x:v>
      </x:c>
      <x:c r="Y9" s="85" t="n">
        <x:f>IFERROR(X9/I9,0)</x:f>
        <x:v>0.3827062104472809</x:v>
      </x:c>
      <x:c r="Z9" s="67" t="str">
        <x:f>IF(X9&lt;0,"亏损",IF(Y9&lt;8%,"关注","正常"))</x:f>
        <x:v>正常</x:v>
      </x:c>
    </x:row>
    <x:row r="10">
      <x:c r="A10" s="67" t="str">
        <x:v>WMS-00006</x:v>
      </x:c>
      <x:c r="B10" s="73" t="n">
        <x:v>46211.5</x:v>
      </x:c>
      <x:c r="C10" s="73" t="n">
        <x:v>46213.5</x:v>
      </x:c>
      <x:c r="D10" s="67" t="str">
        <x:v>S01</x:v>
      </x:c>
      <x:c r="E10" s="67" t="str">
        <x:v>近江天阳店</x:v>
      </x:c>
      <x:c r="F10" s="67" t="str">
        <x:v>美团外卖</x:v>
      </x:c>
      <x:c r="G10" s="67" t="str">
        <x:v>平台活动订单</x:v>
      </x:c>
      <x:c r="H10" s="70" t="n">
        <x:v>4</x:v>
      </x:c>
      <x:c r="I10" s="76" t="n">
        <x:v>169.81000000000006</x:v>
      </x:c>
      <x:c r="J10" s="76" t="n">
        <x:v>4</x:v>
      </x:c>
      <x:c r="K10" s="76" t="n">
        <x:v>12</x:v>
      </x:c>
      <x:c r="L10" s="82" t="n">
        <x:v>0.22</x:v>
      </x:c>
      <x:c r="M10" s="79" t="n">
        <x:f>I10*L10</x:f>
        <x:v>37.35820000000001</x:v>
      </x:c>
      <x:c r="N10" s="76" t="n">
        <x:v>13.58</x:v>
      </x:c>
      <x:c r="O10" s="79" t="n">
        <x:f>I10+J10+K10-M10-N10</x:f>
        <x:v>134.87180000000004</x:v>
      </x:c>
      <x:c r="P10" s="82" t="n">
        <x:v>0.18</x:v>
      </x:c>
      <x:c r="Q10" s="79" t="n">
        <x:f>I10*P10</x:f>
        <x:v>30.56580000000001</x:v>
      </x:c>
      <x:c r="R10" s="76" t="n">
        <x:v>1.02</x:v>
      </x:c>
      <x:c r="S10" s="79" t="n">
        <x:f>I10+J10-M10-Q10-R10</x:f>
        <x:v>104.86600000000004</x:v>
      </x:c>
      <x:c r="T10" s="76" t="n">
        <x:v>1.2</x:v>
      </x:c>
      <x:c r="U10" s="79" t="n">
        <x:f>H10*T10</x:f>
        <x:v>4.8</x:v>
      </x:c>
      <x:c r="V10" s="82" t="n">
        <x:v>0.35</x:v>
      </x:c>
      <x:c r="W10" s="79" t="n">
        <x:f>I10*V10</x:f>
        <x:v>59.433500000000016</x:v>
      </x:c>
      <x:c r="X10" s="79" t="n">
        <x:f>S10-U10-W10</x:f>
        <x:v>40.63250000000003</x:v>
      </x:c>
      <x:c r="Y10" s="85" t="n">
        <x:f>IFERROR(X10/I10,0)</x:f>
        <x:v>0.23928213886108013</x:v>
      </x:c>
      <x:c r="Z10" s="67" t="str">
        <x:f>IF(X10&lt;0,"亏损",IF(Y10&lt;8%,"关注","正常"))</x:f>
        <x:v>正常</x:v>
      </x:c>
    </x:row>
    <x:row r="11">
      <x:c r="A11" s="67" t="str">
        <x:v>WMS-00007</x:v>
      </x:c>
      <x:c r="B11" s="73" t="n">
        <x:v>46212.5</x:v>
      </x:c>
      <x:c r="C11" s="73" t="n">
        <x:v>46214.5</x:v>
      </x:c>
      <x:c r="D11" s="67" t="str">
        <x:v>S01</x:v>
      </x:c>
      <x:c r="E11" s="67" t="str">
        <x:v>近江天阳店</x:v>
      </x:c>
      <x:c r="F11" s="67" t="str">
        <x:v>美团外卖</x:v>
      </x:c>
      <x:c r="G11" s="67" t="str">
        <x:v>常规订单</x:v>
      </x:c>
      <x:c r="H11" s="70" t="n">
        <x:v>12</x:v>
      </x:c>
      <x:c r="I11" s="76" t="n">
        <x:v>537.85</x:v>
      </x:c>
      <x:c r="J11" s="76" t="n">
        <x:v>12</x:v>
      </x:c>
      <x:c r="K11" s="76" t="n">
        <x:v>36</x:v>
      </x:c>
      <x:c r="L11" s="82" t="n">
        <x:v>0.03</x:v>
      </x:c>
      <x:c r="M11" s="79" t="n">
        <x:f>I11*L11</x:f>
        <x:v>16.1355</x:v>
      </x:c>
      <x:c r="N11" s="76" t="n">
        <x:v>0</x:v>
      </x:c>
      <x:c r="O11" s="79" t="n">
        <x:f>I11+J11+K11-M11-N11</x:f>
        <x:v>569.7145</x:v>
      </x:c>
      <x:c r="P11" s="82" t="n">
        <x:v>0.18</x:v>
      </x:c>
      <x:c r="Q11" s="79" t="n">
        <x:f>I11*P11</x:f>
        <x:v>96.813</x:v>
      </x:c>
      <x:c r="R11" s="76" t="n">
        <x:v>0.54</x:v>
      </x:c>
      <x:c r="S11" s="79" t="n">
        <x:f>I11+J11-M11-Q11-R11</x:f>
        <x:v>436.36150000000004</x:v>
      </x:c>
      <x:c r="T11" s="76" t="n">
        <x:v>1.2</x:v>
      </x:c>
      <x:c r="U11" s="79" t="n">
        <x:f>H11*T11</x:f>
        <x:v>14.399999999999999</x:v>
      </x:c>
      <x:c r="V11" s="82" t="n">
        <x:v>0.32</x:v>
      </x:c>
      <x:c r="W11" s="79" t="n">
        <x:f>I11*V11</x:f>
        <x:v>172.11200000000002</x:v>
      </x:c>
      <x:c r="X11" s="79" t="n">
        <x:f>S11-U11-W11</x:f>
        <x:v>249.84950000000003</x:v>
      </x:c>
      <x:c r="Y11" s="85" t="n">
        <x:f>IFERROR(X11/I11,0)</x:f>
        <x:v>0.46453379194942834</x:v>
      </x:c>
      <x:c r="Z11" s="67" t="str">
        <x:f>IF(X11&lt;0,"亏损",IF(Y11&lt;8%,"关注","正常"))</x:f>
        <x:v>正常</x:v>
      </x:c>
    </x:row>
    <x:row r="12">
      <x:c r="A12" s="67" t="str">
        <x:v>WMS-00008</x:v>
      </x:c>
      <x:c r="B12" s="73" t="n">
        <x:v>46212.5</x:v>
      </x:c>
      <x:c r="C12" s="73" t="n">
        <x:v>46214.5</x:v>
      </x:c>
      <x:c r="D12" s="67" t="str">
        <x:v>S01</x:v>
      </x:c>
      <x:c r="E12" s="67" t="str">
        <x:v>近江天阳店</x:v>
      </x:c>
      <x:c r="F12" s="67" t="str">
        <x:v>美团外卖</x:v>
      </x:c>
      <x:c r="G12" s="67" t="str">
        <x:v>会员券订单</x:v>
      </x:c>
      <x:c r="H12" s="70" t="n">
        <x:v>6</x:v>
      </x:c>
      <x:c r="I12" s="76" t="n">
        <x:v>273.81</x:v>
      </x:c>
      <x:c r="J12" s="76" t="n">
        <x:v>6</x:v>
      </x:c>
      <x:c r="K12" s="76" t="n">
        <x:v>18</x:v>
      </x:c>
      <x:c r="L12" s="82" t="n">
        <x:v>0.1</x:v>
      </x:c>
      <x:c r="M12" s="79" t="n">
        <x:f>I12*L12</x:f>
        <x:v>27.381</x:v>
      </x:c>
      <x:c r="N12" s="76" t="n">
        <x:v>8.21</x:v>
      </x:c>
      <x:c r="O12" s="79" t="n">
        <x:f>I12+J12+K12-M12-N12</x:f>
        <x:v>262.219</x:v>
      </x:c>
      <x:c r="P12" s="82" t="n">
        <x:v>0.18</x:v>
      </x:c>
      <x:c r="Q12" s="79" t="n">
        <x:f>I12*P12</x:f>
        <x:v>49.2858</x:v>
      </x:c>
      <x:c r="R12" s="76" t="n">
        <x:v>0.82</x:v>
      </x:c>
      <x:c r="S12" s="79" t="n">
        <x:f>I12+J12-M12-Q12-R12</x:f>
        <x:v>202.3232</x:v>
      </x:c>
      <x:c r="T12" s="76" t="n">
        <x:v>1.2</x:v>
      </x:c>
      <x:c r="U12" s="79" t="n">
        <x:f>H12*T12</x:f>
        <x:v>7.199999999999999</x:v>
      </x:c>
      <x:c r="V12" s="82" t="n">
        <x:v>0.33</x:v>
      </x:c>
      <x:c r="W12" s="79" t="n">
        <x:f>I12*V12</x:f>
        <x:v>90.35730000000001</x:v>
      </x:c>
      <x:c r="X12" s="79" t="n">
        <x:f>S12-U12-W12</x:f>
        <x:v>104.76590000000002</x:v>
      </x:c>
      <x:c r="Y12" s="85" t="n">
        <x:f>IFERROR(X12/I12,0)</x:f>
        <x:v>0.3826226215258757</x:v>
      </x:c>
      <x:c r="Z12" s="67" t="str">
        <x:f>IF(X12&lt;0,"亏损",IF(Y12&lt;8%,"关注","正常"))</x:f>
        <x:v>正常</x:v>
      </x:c>
    </x:row>
    <x:row r="13">
      <x:c r="A13" s="67" t="str">
        <x:v>WMS-00009</x:v>
      </x:c>
      <x:c r="B13" s="73" t="n">
        <x:v>46212.5</x:v>
      </x:c>
      <x:c r="C13" s="73" t="n">
        <x:v>46214.5</x:v>
      </x:c>
      <x:c r="D13" s="67" t="str">
        <x:v>S01</x:v>
      </x:c>
      <x:c r="E13" s="67" t="str">
        <x:v>近江天阳店</x:v>
      </x:c>
      <x:c r="F13" s="67" t="str">
        <x:v>美团外卖</x:v>
      </x:c>
      <x:c r="G13" s="67" t="str">
        <x:v>平台活动订单</x:v>
      </x:c>
      <x:c r="H13" s="70" t="n">
        <x:v>4</x:v>
      </x:c>
      <x:c r="I13" s="76" t="n">
        <x:v>166.2399999999999</x:v>
      </x:c>
      <x:c r="J13" s="76" t="n">
        <x:v>4</x:v>
      </x:c>
      <x:c r="K13" s="76" t="n">
        <x:v>12</x:v>
      </x:c>
      <x:c r="L13" s="82" t="n">
        <x:v>0.22</x:v>
      </x:c>
      <x:c r="M13" s="79" t="n">
        <x:f>I13*L13</x:f>
        <x:v>36.57279999999998</x:v>
      </x:c>
      <x:c r="N13" s="76" t="n">
        <x:v>13.3</x:v>
      </x:c>
      <x:c r="O13" s="79" t="n">
        <x:f>I13+J13+K13-M13-N13</x:f>
        <x:v>132.3671999999999</x:v>
      </x:c>
      <x:c r="P13" s="82" t="n">
        <x:v>0.18</x:v>
      </x:c>
      <x:c r="Q13" s="79" t="n">
        <x:f>I13*P13</x:f>
        <x:v>29.92319999999998</x:v>
      </x:c>
      <x:c r="R13" s="76" t="n">
        <x:v>1</x:v>
      </x:c>
      <x:c r="S13" s="79" t="n">
        <x:f>I13+J13-M13-Q13-R13</x:f>
        <x:v>102.74399999999994</x:v>
      </x:c>
      <x:c r="T13" s="76" t="n">
        <x:v>1.2</x:v>
      </x:c>
      <x:c r="U13" s="79" t="n">
        <x:f>H13*T13</x:f>
        <x:v>4.8</x:v>
      </x:c>
      <x:c r="V13" s="82" t="n">
        <x:v>0.35</x:v>
      </x:c>
      <x:c r="W13" s="79" t="n">
        <x:f>I13*V13</x:f>
        <x:v>58.18399999999996</x:v>
      </x:c>
      <x:c r="X13" s="79" t="n">
        <x:f>S13-U13-W13</x:f>
        <x:v>39.759999999999984</x:v>
      </x:c>
      <x:c r="Y13" s="85" t="n">
        <x:f>IFERROR(X13/I13,0)</x:f>
        <x:v>0.23917228103946106</x:v>
      </x:c>
      <x:c r="Z13" s="67" t="str">
        <x:f>IF(X13&lt;0,"亏损",IF(Y13&lt;8%,"关注","正常"))</x:f>
        <x:v>正常</x:v>
      </x:c>
    </x:row>
    <x:row r="14">
      <x:c r="A14" s="67" t="str">
        <x:v>WMS-00010</x:v>
      </x:c>
      <x:c r="B14" s="73" t="n">
        <x:v>46213.5</x:v>
      </x:c>
      <x:c r="C14" s="73" t="n">
        <x:v>46215.5</x:v>
      </x:c>
      <x:c r="D14" s="67" t="str">
        <x:v>S01</x:v>
      </x:c>
      <x:c r="E14" s="67" t="str">
        <x:v>近江天阳店</x:v>
      </x:c>
      <x:c r="F14" s="67" t="str">
        <x:v>美团外卖</x:v>
      </x:c>
      <x:c r="G14" s="67" t="str">
        <x:v>常规订单</x:v>
      </x:c>
      <x:c r="H14" s="70" t="n">
        <x:v>13</x:v>
      </x:c>
      <x:c r="I14" s="76" t="n">
        <x:v>560.34</x:v>
      </x:c>
      <x:c r="J14" s="76" t="n">
        <x:v>13</x:v>
      </x:c>
      <x:c r="K14" s="76" t="n">
        <x:v>39</x:v>
      </x:c>
      <x:c r="L14" s="82" t="n">
        <x:v>0.03</x:v>
      </x:c>
      <x:c r="M14" s="79" t="n">
        <x:f>I14*L14</x:f>
        <x:v>16.810200000000002</x:v>
      </x:c>
      <x:c r="N14" s="76" t="n">
        <x:v>0</x:v>
      </x:c>
      <x:c r="O14" s="79" t="n">
        <x:f>I14+J14+K14-M14-N14</x:f>
        <x:v>595.5298</x:v>
      </x:c>
      <x:c r="P14" s="82" t="n">
        <x:v>0.18</x:v>
      </x:c>
      <x:c r="Q14" s="79" t="n">
        <x:f>I14*P14</x:f>
        <x:v>100.8612</x:v>
      </x:c>
      <x:c r="R14" s="76" t="n">
        <x:v>0.56</x:v>
      </x:c>
      <x:c r="S14" s="79" t="n">
        <x:f>I14+J14-M14-Q14-R14</x:f>
        <x:v>455.1086</x:v>
      </x:c>
      <x:c r="T14" s="76" t="n">
        <x:v>1.2</x:v>
      </x:c>
      <x:c r="U14" s="79" t="n">
        <x:f>H14*T14</x:f>
        <x:v>15.6</x:v>
      </x:c>
      <x:c r="V14" s="82" t="n">
        <x:v>0.32</x:v>
      </x:c>
      <x:c r="W14" s="79" t="n">
        <x:f>I14*V14</x:f>
        <x:v>179.30880000000002</x:v>
      </x:c>
      <x:c r="X14" s="79" t="n">
        <x:f>S14-U14-W14</x:f>
        <x:v>260.1998</x:v>
      </x:c>
      <x:c r="Y14" s="85" t="n">
        <x:f>IFERROR(X14/I14,0)</x:f>
        <x:v>0.4643605667987293</x:v>
      </x:c>
      <x:c r="Z14" s="67" t="str">
        <x:f>IF(X14&lt;0,"亏损",IF(Y14&lt;8%,"关注","正常"))</x:f>
        <x:v>正常</x:v>
      </x:c>
    </x:row>
    <x:row r="15">
      <x:c r="A15" s="67" t="str">
        <x:v>WMS-00011</x:v>
      </x:c>
      <x:c r="B15" s="73" t="n">
        <x:v>46213.5</x:v>
      </x:c>
      <x:c r="C15" s="73" t="n">
        <x:v>46215.5</x:v>
      </x:c>
      <x:c r="D15" s="67" t="str">
        <x:v>S01</x:v>
      </x:c>
      <x:c r="E15" s="67" t="str">
        <x:v>近江天阳店</x:v>
      </x:c>
      <x:c r="F15" s="67" t="str">
        <x:v>美团外卖</x:v>
      </x:c>
      <x:c r="G15" s="67" t="str">
        <x:v>会员券订单</x:v>
      </x:c>
      <x:c r="H15" s="70" t="n">
        <x:v>6</x:v>
      </x:c>
      <x:c r="I15" s="76" t="n">
        <x:v>285.26</x:v>
      </x:c>
      <x:c r="J15" s="76" t="n">
        <x:v>6</x:v>
      </x:c>
      <x:c r="K15" s="76" t="n">
        <x:v>18</x:v>
      </x:c>
      <x:c r="L15" s="82" t="n">
        <x:v>0.1</x:v>
      </x:c>
      <x:c r="M15" s="79" t="n">
        <x:f>I15*L15</x:f>
        <x:v>28.526</x:v>
      </x:c>
      <x:c r="N15" s="76" t="n">
        <x:v>8.56</x:v>
      </x:c>
      <x:c r="O15" s="79" t="n">
        <x:f>I15+J15+K15-M15-N15</x:f>
        <x:v>272.174</x:v>
      </x:c>
      <x:c r="P15" s="82" t="n">
        <x:v>0.18</x:v>
      </x:c>
      <x:c r="Q15" s="79" t="n">
        <x:f>I15*P15</x:f>
        <x:v>51.346799999999995</x:v>
      </x:c>
      <x:c r="R15" s="76" t="n">
        <x:v>0.86</x:v>
      </x:c>
      <x:c r="S15" s="79" t="n">
        <x:f>I15+J15-M15-Q15-R15</x:f>
        <x:v>210.52719999999997</x:v>
      </x:c>
      <x:c r="T15" s="76" t="n">
        <x:v>1.2</x:v>
      </x:c>
      <x:c r="U15" s="79" t="n">
        <x:f>H15*T15</x:f>
        <x:v>7.199999999999999</x:v>
      </x:c>
      <x:c r="V15" s="82" t="n">
        <x:v>0.33</x:v>
      </x:c>
      <x:c r="W15" s="79" t="n">
        <x:f>I15*V15</x:f>
        <x:v>94.1358</x:v>
      </x:c>
      <x:c r="X15" s="79" t="n">
        <x:f>S15-U15-W15</x:f>
        <x:v>109.19139999999997</x:v>
      </x:c>
      <x:c r="Y15" s="85" t="n">
        <x:f>IFERROR(X15/I15,0)</x:f>
        <x:v>0.38277851784337086</x:v>
      </x:c>
      <x:c r="Z15" s="67" t="str">
        <x:f>IF(X15&lt;0,"亏损",IF(Y15&lt;8%,"关注","正常"))</x:f>
        <x:v>正常</x:v>
      </x:c>
    </x:row>
    <x:row r="16">
      <x:c r="A16" s="67" t="str">
        <x:v>WMS-00012</x:v>
      </x:c>
      <x:c r="B16" s="73" t="n">
        <x:v>46213.5</x:v>
      </x:c>
      <x:c r="C16" s="73" t="n">
        <x:v>46215.5</x:v>
      </x:c>
      <x:c r="D16" s="67" t="str">
        <x:v>S01</x:v>
      </x:c>
      <x:c r="E16" s="67" t="str">
        <x:v>近江天阳店</x:v>
      </x:c>
      <x:c r="F16" s="67" t="str">
        <x:v>美团外卖</x:v>
      </x:c>
      <x:c r="G16" s="67" t="str">
        <x:v>平台活动订单</x:v>
      </x:c>
      <x:c r="H16" s="70" t="n">
        <x:v>4</x:v>
      </x:c>
      <x:c r="I16" s="76" t="n">
        <x:v>173.19999999999993</x:v>
      </x:c>
      <x:c r="J16" s="76" t="n">
        <x:v>4</x:v>
      </x:c>
      <x:c r="K16" s="76" t="n">
        <x:v>12</x:v>
      </x:c>
      <x:c r="L16" s="82" t="n">
        <x:v>0.22</x:v>
      </x:c>
      <x:c r="M16" s="79" t="n">
        <x:f>I16*L16</x:f>
        <x:v>38.103999999999985</x:v>
      </x:c>
      <x:c r="N16" s="76" t="n">
        <x:v>13.86</x:v>
      </x:c>
      <x:c r="O16" s="79" t="n">
        <x:f>I16+J16+K16-M16-N16</x:f>
        <x:v>137.23599999999993</x:v>
      </x:c>
      <x:c r="P16" s="82" t="n">
        <x:v>0.18</x:v>
      </x:c>
      <x:c r="Q16" s="79" t="n">
        <x:f>I16*P16</x:f>
        <x:v>31.175999999999988</x:v>
      </x:c>
      <x:c r="R16" s="76" t="n">
        <x:v>1.04</x:v>
      </x:c>
      <x:c r="S16" s="79" t="n">
        <x:f>I16+J16-M16-Q16-R16</x:f>
        <x:v>106.87999999999995</x:v>
      </x:c>
      <x:c r="T16" s="76" t="n">
        <x:v>1.2</x:v>
      </x:c>
      <x:c r="U16" s="79" t="n">
        <x:f>H16*T16</x:f>
        <x:v>4.8</x:v>
      </x:c>
      <x:c r="V16" s="82" t="n">
        <x:v>0.35</x:v>
      </x:c>
      <x:c r="W16" s="79" t="n">
        <x:f>I16*V16</x:f>
        <x:v>60.61999999999997</x:v>
      </x:c>
      <x:c r="X16" s="79" t="n">
        <x:f>S16-U16-W16</x:f>
        <x:v>41.45999999999999</x:v>
      </x:c>
      <x:c r="Y16" s="85" t="n">
        <x:f>IFERROR(X16/I16,0)</x:f>
        <x:v>0.23937644341801387</x:v>
      </x:c>
      <x:c r="Z16" s="67" t="str">
        <x:f>IF(X16&lt;0,"亏损",IF(Y16&lt;8%,"关注","正常"))</x:f>
        <x:v>正常</x:v>
      </x:c>
    </x:row>
    <x:row r="17">
      <x:c r="A17" s="67" t="str">
        <x:v>WMS-00013</x:v>
      </x:c>
      <x:c r="B17" s="73" t="n">
        <x:v>46214.5</x:v>
      </x:c>
      <x:c r="C17" s="73" t="n">
        <x:v>46216.5</x:v>
      </x:c>
      <x:c r="D17" s="67" t="str">
        <x:v>S01</x:v>
      </x:c>
      <x:c r="E17" s="67" t="str">
        <x:v>近江天阳店</x:v>
      </x:c>
      <x:c r="F17" s="67" t="str">
        <x:v>美团外卖</x:v>
      </x:c>
      <x:c r="G17" s="67" t="str">
        <x:v>常规订单</x:v>
      </x:c>
      <x:c r="H17" s="70" t="n">
        <x:v>9</x:v>
      </x:c>
      <x:c r="I17" s="76" t="n">
        <x:v>428.56</x:v>
      </x:c>
      <x:c r="J17" s="76" t="n">
        <x:v>9</x:v>
      </x:c>
      <x:c r="K17" s="76" t="n">
        <x:v>27</x:v>
      </x:c>
      <x:c r="L17" s="82" t="n">
        <x:v>0.03</x:v>
      </x:c>
      <x:c r="M17" s="79" t="n">
        <x:f>I17*L17</x:f>
        <x:v>12.8568</x:v>
      </x:c>
      <x:c r="N17" s="76" t="n">
        <x:v>0</x:v>
      </x:c>
      <x:c r="O17" s="79" t="n">
        <x:f>I17+J17+K17-M17-N17</x:f>
        <x:v>451.7032</x:v>
      </x:c>
      <x:c r="P17" s="82" t="n">
        <x:v>0.18</x:v>
      </x:c>
      <x:c r="Q17" s="79" t="n">
        <x:f>I17*P17</x:f>
        <x:v>77.1408</x:v>
      </x:c>
      <x:c r="R17" s="76" t="n">
        <x:v>0.43</x:v>
      </x:c>
      <x:c r="S17" s="79" t="n">
        <x:f>I17+J17-M17-Q17-R17</x:f>
        <x:v>347.13239999999996</x:v>
      </x:c>
      <x:c r="T17" s="76" t="n">
        <x:v>1.2</x:v>
      </x:c>
      <x:c r="U17" s="79" t="n">
        <x:f>H17*T17</x:f>
        <x:v>10.799999999999999</x:v>
      </x:c>
      <x:c r="V17" s="82" t="n">
        <x:v>0.32</x:v>
      </x:c>
      <x:c r="W17" s="79" t="n">
        <x:f>I17*V17</x:f>
        <x:v>137.13920000000002</x:v>
      </x:c>
      <x:c r="X17" s="79" t="n">
        <x:f>S17-U17-W17</x:f>
        <x:v>199.19319999999993</x:v>
      </x:c>
      <x:c r="Y17" s="85" t="n">
        <x:f>IFERROR(X17/I17,0)</x:f>
        <x:v>0.4647965279074107</x:v>
      </x:c>
      <x:c r="Z17" s="67" t="str">
        <x:f>IF(X17&lt;0,"亏损",IF(Y17&lt;8%,"关注","正常"))</x:f>
        <x:v>正常</x:v>
      </x:c>
    </x:row>
    <x:row r="18">
      <x:c r="A18" s="67" t="str">
        <x:v>WMS-00014</x:v>
      </x:c>
      <x:c r="B18" s="73" t="n">
        <x:v>46214.5</x:v>
      </x:c>
      <x:c r="C18" s="73" t="n">
        <x:v>46216.5</x:v>
      </x:c>
      <x:c r="D18" s="67" t="str">
        <x:v>S01</x:v>
      </x:c>
      <x:c r="E18" s="67" t="str">
        <x:v>近江天阳店</x:v>
      </x:c>
      <x:c r="F18" s="67" t="str">
        <x:v>美团外卖</x:v>
      </x:c>
      <x:c r="G18" s="67" t="str">
        <x:v>会员券订单</x:v>
      </x:c>
      <x:c r="H18" s="70" t="n">
        <x:v>5</x:v>
      </x:c>
      <x:c r="I18" s="76" t="n">
        <x:v>218.18</x:v>
      </x:c>
      <x:c r="J18" s="76" t="n">
        <x:v>5</x:v>
      </x:c>
      <x:c r="K18" s="76" t="n">
        <x:v>15</x:v>
      </x:c>
      <x:c r="L18" s="82" t="n">
        <x:v>0.1</x:v>
      </x:c>
      <x:c r="M18" s="79" t="n">
        <x:f>I18*L18</x:f>
        <x:v>21.818</x:v>
      </x:c>
      <x:c r="N18" s="76" t="n">
        <x:v>6.55</x:v>
      </x:c>
      <x:c r="O18" s="79" t="n">
        <x:f>I18+J18+K18-M18-N18</x:f>
        <x:v>209.81199999999998</x:v>
      </x:c>
      <x:c r="P18" s="82" t="n">
        <x:v>0.18</x:v>
      </x:c>
      <x:c r="Q18" s="79" t="n">
        <x:f>I18*P18</x:f>
        <x:v>39.2724</x:v>
      </x:c>
      <x:c r="R18" s="76" t="n">
        <x:v>0.65</x:v>
      </x:c>
      <x:c r="S18" s="79" t="n">
        <x:f>I18+J18-M18-Q18-R18</x:f>
        <x:v>161.43959999999998</x:v>
      </x:c>
      <x:c r="T18" s="76" t="n">
        <x:v>1.2</x:v>
      </x:c>
      <x:c r="U18" s="79" t="n">
        <x:f>H18*T18</x:f>
        <x:v>6</x:v>
      </x:c>
      <x:c r="V18" s="82" t="n">
        <x:v>0.33</x:v>
      </x:c>
      <x:c r="W18" s="79" t="n">
        <x:f>I18*V18</x:f>
        <x:v>71.99940000000001</x:v>
      </x:c>
      <x:c r="X18" s="79" t="n">
        <x:f>S18-U18-W18</x:f>
        <x:v>83.44019999999998</x:v>
      </x:c>
      <x:c r="Y18" s="85" t="n">
        <x:f>IFERROR(X18/I18,0)</x:f>
        <x:v>0.38243743697864135</x:v>
      </x:c>
      <x:c r="Z18" s="67" t="str">
        <x:f>IF(X18&lt;0,"亏损",IF(Y18&lt;8%,"关注","正常"))</x:f>
        <x:v>正常</x:v>
      </x:c>
    </x:row>
    <x:row r="19">
      <x:c r="A19" s="67" t="str">
        <x:v>WMS-00015</x:v>
      </x:c>
      <x:c r="B19" s="73" t="n">
        <x:v>46214.5</x:v>
      </x:c>
      <x:c r="C19" s="73" t="n">
        <x:v>46216.5</x:v>
      </x:c>
      <x:c r="D19" s="67" t="str">
        <x:v>S01</x:v>
      </x:c>
      <x:c r="E19" s="67" t="str">
        <x:v>近江天阳店</x:v>
      </x:c>
      <x:c r="F19" s="67" t="str">
        <x:v>美团外卖</x:v>
      </x:c>
      <x:c r="G19" s="67" t="str">
        <x:v>平台活动订单</x:v>
      </x:c>
      <x:c r="H19" s="70" t="n">
        <x:v>3</x:v>
      </x:c>
      <x:c r="I19" s="76" t="n">
        <x:v>132.46000000000004</x:v>
      </x:c>
      <x:c r="J19" s="76" t="n">
        <x:v>3</x:v>
      </x:c>
      <x:c r="K19" s="76" t="n">
        <x:v>9</x:v>
      </x:c>
      <x:c r="L19" s="82" t="n">
        <x:v>0.22</x:v>
      </x:c>
      <x:c r="M19" s="79" t="n">
        <x:f>I19*L19</x:f>
        <x:v>29.14120000000001</x:v>
      </x:c>
      <x:c r="N19" s="76" t="n">
        <x:v>10.6</x:v>
      </x:c>
      <x:c r="O19" s="79" t="n">
        <x:f>I19+J19+K19-M19-N19</x:f>
        <x:v>104.71880000000003</x:v>
      </x:c>
      <x:c r="P19" s="82" t="n">
        <x:v>0.18</x:v>
      </x:c>
      <x:c r="Q19" s="79" t="n">
        <x:f>I19*P19</x:f>
        <x:v>23.842800000000004</x:v>
      </x:c>
      <x:c r="R19" s="76" t="n">
        <x:v>0.79</x:v>
      </x:c>
      <x:c r="S19" s="79" t="n">
        <x:f>I19+J19-M19-Q19-R19</x:f>
        <x:v>81.68600000000002</x:v>
      </x:c>
      <x:c r="T19" s="76" t="n">
        <x:v>1.2</x:v>
      </x:c>
      <x:c r="U19" s="79" t="n">
        <x:f>H19*T19</x:f>
        <x:v>3.5999999999999996</x:v>
      </x:c>
      <x:c r="V19" s="82" t="n">
        <x:v>0.35</x:v>
      </x:c>
      <x:c r="W19" s="79" t="n">
        <x:f>I19*V19</x:f>
        <x:v>46.36100000000001</x:v>
      </x:c>
      <x:c r="X19" s="79" t="n">
        <x:f>S19-U19-W19</x:f>
        <x:v>31.725000000000016</x:v>
      </x:c>
      <x:c r="Y19" s="85" t="n">
        <x:f>IFERROR(X19/I19,0)</x:f>
        <x:v>0.23950626604257894</x:v>
      </x:c>
      <x:c r="Z19" s="67" t="str">
        <x:f>IF(X19&lt;0,"亏损",IF(Y19&lt;8%,"关注","正常"))</x:f>
        <x:v>正常</x:v>
      </x:c>
    </x:row>
    <x:row r="20">
      <x:c r="A20" s="67" t="str">
        <x:v>WMS-00016</x:v>
      </x:c>
      <x:c r="B20" s="73" t="n">
        <x:v>46215.5</x:v>
      </x:c>
      <x:c r="C20" s="73" t="n">
        <x:v>46217.5</x:v>
      </x:c>
      <x:c r="D20" s="67" t="str">
        <x:v>S01</x:v>
      </x:c>
      <x:c r="E20" s="67" t="str">
        <x:v>近江天阳店</x:v>
      </x:c>
      <x:c r="F20" s="67" t="str">
        <x:v>美团外卖</x:v>
      </x:c>
      <x:c r="G20" s="67" t="str">
        <x:v>常规订单</x:v>
      </x:c>
      <x:c r="H20" s="70" t="n">
        <x:v>9</x:v>
      </x:c>
      <x:c r="I20" s="76" t="n">
        <x:v>416.46</x:v>
      </x:c>
      <x:c r="J20" s="76" t="n">
        <x:v>9</x:v>
      </x:c>
      <x:c r="K20" s="76" t="n">
        <x:v>27</x:v>
      </x:c>
      <x:c r="L20" s="82" t="n">
        <x:v>0.03</x:v>
      </x:c>
      <x:c r="M20" s="79" t="n">
        <x:f>I20*L20</x:f>
        <x:v>12.493799999999998</x:v>
      </x:c>
      <x:c r="N20" s="76" t="n">
        <x:v>0</x:v>
      </x:c>
      <x:c r="O20" s="79" t="n">
        <x:f>I20+J20+K20-M20-N20</x:f>
        <x:v>439.96619999999996</x:v>
      </x:c>
      <x:c r="P20" s="82" t="n">
        <x:v>0.18</x:v>
      </x:c>
      <x:c r="Q20" s="79" t="n">
        <x:f>I20*P20</x:f>
        <x:v>74.96279999999999</x:v>
      </x:c>
      <x:c r="R20" s="76" t="n">
        <x:v>0.42</x:v>
      </x:c>
      <x:c r="S20" s="79" t="n">
        <x:f>I20+J20-M20-Q20-R20</x:f>
        <x:v>337.5833999999999</x:v>
      </x:c>
      <x:c r="T20" s="76" t="n">
        <x:v>1.2</x:v>
      </x:c>
      <x:c r="U20" s="79" t="n">
        <x:f>H20*T20</x:f>
        <x:v>10.799999999999999</x:v>
      </x:c>
      <x:c r="V20" s="82" t="n">
        <x:v>0.32</x:v>
      </x:c>
      <x:c r="W20" s="79" t="n">
        <x:f>I20*V20</x:f>
        <x:v>133.2672</x:v>
      </x:c>
      <x:c r="X20" s="79" t="n">
        <x:f>S20-U20-W20</x:f>
        <x:v>193.5161999999999</x:v>
      </x:c>
      <x:c r="Y20" s="85" t="n">
        <x:f>IFERROR(X20/I20,0)</x:f>
        <x:v>0.4646693560005761</x:v>
      </x:c>
      <x:c r="Z20" s="67" t="str">
        <x:f>IF(X20&lt;0,"亏损",IF(Y20&lt;8%,"关注","正常"))</x:f>
        <x:v>正常</x:v>
      </x:c>
    </x:row>
    <x:row r="21">
      <x:c r="A21" s="67" t="str">
        <x:v>WMS-00017</x:v>
      </x:c>
      <x:c r="B21" s="73" t="n">
        <x:v>46215.5</x:v>
      </x:c>
      <x:c r="C21" s="73" t="n">
        <x:v>46217.5</x:v>
      </x:c>
      <x:c r="D21" s="67" t="str">
        <x:v>S01</x:v>
      </x:c>
      <x:c r="E21" s="67" t="str">
        <x:v>近江天阳店</x:v>
      </x:c>
      <x:c r="F21" s="67" t="str">
        <x:v>美团外卖</x:v>
      </x:c>
      <x:c r="G21" s="67" t="str">
        <x:v>会员券订单</x:v>
      </x:c>
      <x:c r="H21" s="70" t="n">
        <x:v>5</x:v>
      </x:c>
      <x:c r="I21" s="76" t="n">
        <x:v>212.02</x:v>
      </x:c>
      <x:c r="J21" s="76" t="n">
        <x:v>5</x:v>
      </x:c>
      <x:c r="K21" s="76" t="n">
        <x:v>15</x:v>
      </x:c>
      <x:c r="L21" s="82" t="n">
        <x:v>0.1</x:v>
      </x:c>
      <x:c r="M21" s="79" t="n">
        <x:f>I21*L21</x:f>
        <x:v>21.202</x:v>
      </x:c>
      <x:c r="N21" s="76" t="n">
        <x:v>6.36</x:v>
      </x:c>
      <x:c r="O21" s="79" t="n">
        <x:f>I21+J21+K21-M21-N21</x:f>
        <x:v>204.458</x:v>
      </x:c>
      <x:c r="P21" s="82" t="n">
        <x:v>0.18</x:v>
      </x:c>
      <x:c r="Q21" s="79" t="n">
        <x:f>I21*P21</x:f>
        <x:v>38.1636</x:v>
      </x:c>
      <x:c r="R21" s="76" t="n">
        <x:v>0.64</x:v>
      </x:c>
      <x:c r="S21" s="79" t="n">
        <x:f>I21+J21-M21-Q21-R21</x:f>
        <x:v>157.01440000000002</x:v>
      </x:c>
      <x:c r="T21" s="76" t="n">
        <x:v>1.2</x:v>
      </x:c>
      <x:c r="U21" s="79" t="n">
        <x:f>H21*T21</x:f>
        <x:v>6</x:v>
      </x:c>
      <x:c r="V21" s="82" t="n">
        <x:v>0.33</x:v>
      </x:c>
      <x:c r="W21" s="79" t="n">
        <x:f>I21*V21</x:f>
        <x:v>69.9666</x:v>
      </x:c>
      <x:c r="X21" s="79" t="n">
        <x:f>S21-U21-W21</x:f>
        <x:v>81.04780000000002</x:v>
      </x:c>
      <x:c r="Y21" s="85" t="n">
        <x:f>IFERROR(X21/I21,0)</x:f>
        <x:v>0.38226488067163483</x:v>
      </x:c>
      <x:c r="Z21" s="67" t="str">
        <x:f>IF(X21&lt;0,"亏损",IF(Y21&lt;8%,"关注","正常"))</x:f>
        <x:v>正常</x:v>
      </x:c>
    </x:row>
    <x:row r="22">
      <x:c r="A22" s="67" t="str">
        <x:v>WMS-00018</x:v>
      </x:c>
      <x:c r="B22" s="73" t="n">
        <x:v>46215.5</x:v>
      </x:c>
      <x:c r="C22" s="73" t="n">
        <x:v>46217.5</x:v>
      </x:c>
      <x:c r="D22" s="67" t="str">
        <x:v>S01</x:v>
      </x:c>
      <x:c r="E22" s="67" t="str">
        <x:v>近江天阳店</x:v>
      </x:c>
      <x:c r="F22" s="67" t="str">
        <x:v>饿了么</x:v>
      </x:c>
      <x:c r="G22" s="67" t="str">
        <x:v>平台活动订单</x:v>
      </x:c>
      <x:c r="H22" s="70" t="n">
        <x:v>3</x:v>
      </x:c>
      <x:c r="I22" s="76" t="n">
        <x:v>128.72000000000003</x:v>
      </x:c>
      <x:c r="J22" s="76" t="n">
        <x:v>3</x:v>
      </x:c>
      <x:c r="K22" s="76" t="n">
        <x:v>9</x:v>
      </x:c>
      <x:c r="L22" s="82" t="n">
        <x:v>0.22</x:v>
      </x:c>
      <x:c r="M22" s="79" t="n">
        <x:f>I22*L22</x:f>
        <x:v>28.318400000000008</x:v>
      </x:c>
      <x:c r="N22" s="76" t="n">
        <x:v>10.3</x:v>
      </x:c>
      <x:c r="O22" s="79" t="n">
        <x:f>I22+J22+K22-M22-N22</x:f>
        <x:v>102.10160000000002</x:v>
      </x:c>
      <x:c r="P22" s="82" t="n">
        <x:v>0.18</x:v>
      </x:c>
      <x:c r="Q22" s="79" t="n">
        <x:f>I22*P22</x:f>
        <x:v>23.169600000000003</x:v>
      </x:c>
      <x:c r="R22" s="76" t="n">
        <x:v>0.77</x:v>
      </x:c>
      <x:c r="S22" s="79" t="n">
        <x:f>I22+J22-M22-Q22-R22</x:f>
        <x:v>79.46200000000002</x:v>
      </x:c>
      <x:c r="T22" s="76" t="n">
        <x:v>1.2</x:v>
      </x:c>
      <x:c r="U22" s="79" t="n">
        <x:f>H22*T22</x:f>
        <x:v>3.5999999999999996</x:v>
      </x:c>
      <x:c r="V22" s="82" t="n">
        <x:v>0.35</x:v>
      </x:c>
      <x:c r="W22" s="79" t="n">
        <x:f>I22*V22</x:f>
        <x:v>45.05200000000001</x:v>
      </x:c>
      <x:c r="X22" s="79" t="n">
        <x:f>S22-U22-W22</x:f>
        <x:v>30.810000000000016</x:v>
      </x:c>
      <x:c r="Y22" s="85" t="n">
        <x:f>IFERROR(X22/I22,0)</x:f>
        <x:v>0.23935674331883164</x:v>
      </x:c>
      <x:c r="Z22" s="67" t="str">
        <x:f>IF(X22&lt;0,"亏损",IF(Y22&lt;8%,"关注","正常"))</x:f>
        <x:v>正常</x:v>
      </x:c>
    </x:row>
    <x:row r="23">
      <x:c r="A23" s="67" t="str">
        <x:v>WMS-00019</x:v>
      </x:c>
      <x:c r="B23" s="73" t="n">
        <x:v>46216.5</x:v>
      </x:c>
      <x:c r="C23" s="73" t="n">
        <x:v>46218.5</x:v>
      </x:c>
      <x:c r="D23" s="67" t="str">
        <x:v>S01</x:v>
      </x:c>
      <x:c r="E23" s="67" t="str">
        <x:v>近江天阳店</x:v>
      </x:c>
      <x:c r="F23" s="67" t="str">
        <x:v>美团外卖</x:v>
      </x:c>
      <x:c r="G23" s="67" t="str">
        <x:v>常规订单</x:v>
      </x:c>
      <x:c r="H23" s="70" t="n">
        <x:v>13</x:v>
      </x:c>
      <x:c r="I23" s="76" t="n">
        <x:v>600.43</x:v>
      </x:c>
      <x:c r="J23" s="76" t="n">
        <x:v>13</x:v>
      </x:c>
      <x:c r="K23" s="76" t="n">
        <x:v>39</x:v>
      </x:c>
      <x:c r="L23" s="82" t="n">
        <x:v>0.03</x:v>
      </x:c>
      <x:c r="M23" s="79" t="n">
        <x:f>I23*L23</x:f>
        <x:v>18.0129</x:v>
      </x:c>
      <x:c r="N23" s="76" t="n">
        <x:v>0</x:v>
      </x:c>
      <x:c r="O23" s="79" t="n">
        <x:f>I23+J23+K23-M23-N23</x:f>
        <x:v>634.4171</x:v>
      </x:c>
      <x:c r="P23" s="82" t="n">
        <x:v>0.18</x:v>
      </x:c>
      <x:c r="Q23" s="79" t="n">
        <x:f>I23*P23</x:f>
        <x:v>108.07739999999998</x:v>
      </x:c>
      <x:c r="R23" s="76" t="n">
        <x:v>0.6</x:v>
      </x:c>
      <x:c r="S23" s="79" t="n">
        <x:f>I23+J23-M23-Q23-R23</x:f>
        <x:v>486.73969999999997</x:v>
      </x:c>
      <x:c r="T23" s="76" t="n">
        <x:v>1.2</x:v>
      </x:c>
      <x:c r="U23" s="79" t="n">
        <x:f>H23*T23</x:f>
        <x:v>15.6</x:v>
      </x:c>
      <x:c r="V23" s="82" t="n">
        <x:v>0.32</x:v>
      </x:c>
      <x:c r="W23" s="79" t="n">
        <x:f>I23*V23</x:f>
        <x:v>192.1376</x:v>
      </x:c>
      <x:c r="X23" s="79" t="n">
        <x:f>S23-U23-W23</x:f>
        <x:v>279.0020999999999</x:v>
      </x:c>
      <x:c r="Y23" s="85" t="n">
        <x:f>IFERROR(X23/I23,0)</x:f>
        <x:v>0.4646704861515913</x:v>
      </x:c>
      <x:c r="Z23" s="67" t="str">
        <x:f>IF(X23&lt;0,"亏损",IF(Y23&lt;8%,"关注","正常"))</x:f>
        <x:v>正常</x:v>
      </x:c>
    </x:row>
    <x:row r="24">
      <x:c r="A24" s="67" t="str">
        <x:v>WMS-00020</x:v>
      </x:c>
      <x:c r="B24" s="73" t="n">
        <x:v>46216.5</x:v>
      </x:c>
      <x:c r="C24" s="73" t="n">
        <x:v>46218.5</x:v>
      </x:c>
      <x:c r="D24" s="67" t="str">
        <x:v>S01</x:v>
      </x:c>
      <x:c r="E24" s="67" t="str">
        <x:v>近江天阳店</x:v>
      </x:c>
      <x:c r="F24" s="67" t="str">
        <x:v>饿了么</x:v>
      </x:c>
      <x:c r="G24" s="67" t="str">
        <x:v>会员券订单</x:v>
      </x:c>
      <x:c r="H24" s="70" t="n">
        <x:v>7</x:v>
      </x:c>
      <x:c r="I24" s="76" t="n">
        <x:v>305.68</x:v>
      </x:c>
      <x:c r="J24" s="76" t="n">
        <x:v>7</x:v>
      </x:c>
      <x:c r="K24" s="76" t="n">
        <x:v>21</x:v>
      </x:c>
      <x:c r="L24" s="82" t="n">
        <x:v>0.1</x:v>
      </x:c>
      <x:c r="M24" s="79" t="n">
        <x:f>I24*L24</x:f>
        <x:v>30.568</x:v>
      </x:c>
      <x:c r="N24" s="76" t="n">
        <x:v>9.17</x:v>
      </x:c>
      <x:c r="O24" s="79" t="n">
        <x:f>I24+J24+K24-M24-N24</x:f>
        <x:v>293.942</x:v>
      </x:c>
      <x:c r="P24" s="82" t="n">
        <x:v>0.18</x:v>
      </x:c>
      <x:c r="Q24" s="79" t="n">
        <x:f>I24*P24</x:f>
        <x:v>55.0224</x:v>
      </x:c>
      <x:c r="R24" s="76" t="n">
        <x:v>0.92</x:v>
      </x:c>
      <x:c r="S24" s="79" t="n">
        <x:f>I24+J24-M24-Q24-R24</x:f>
        <x:v>226.16960000000003</x:v>
      </x:c>
      <x:c r="T24" s="76" t="n">
        <x:v>1.2</x:v>
      </x:c>
      <x:c r="U24" s="79" t="n">
        <x:f>H24*T24</x:f>
        <x:v>8.4</x:v>
      </x:c>
      <x:c r="V24" s="82" t="n">
        <x:v>0.33</x:v>
      </x:c>
      <x:c r="W24" s="79" t="n">
        <x:f>I24*V24</x:f>
        <x:v>100.87440000000001</x:v>
      </x:c>
      <x:c r="X24" s="79" t="n">
        <x:f>S24-U24-W24</x:f>
        <x:v>116.89520000000002</x:v>
      </x:c>
      <x:c r="Y24" s="85" t="n">
        <x:f>IFERROR(X24/I24,0)</x:f>
        <x:v>0.38241036377911547</x:v>
      </x:c>
      <x:c r="Z24" s="67" t="str">
        <x:f>IF(X24&lt;0,"亏损",IF(Y24&lt;8%,"关注","正常"))</x:f>
        <x:v>正常</x:v>
      </x:c>
    </x:row>
    <x:row r="25">
      <x:c r="A25" s="67" t="str">
        <x:v>WMS-00021</x:v>
      </x:c>
      <x:c r="B25" s="73" t="n">
        <x:v>46216.5</x:v>
      </x:c>
      <x:c r="C25" s="73" t="n">
        <x:v>46218.5</x:v>
      </x:c>
      <x:c r="D25" s="67" t="str">
        <x:v>S01</x:v>
      </x:c>
      <x:c r="E25" s="67" t="str">
        <x:v>近江天阳店</x:v>
      </x:c>
      <x:c r="F25" s="67" t="str">
        <x:v>饿了么</x:v>
      </x:c>
      <x:c r="G25" s="67" t="str">
        <x:v>平台活动订单</x:v>
      </x:c>
      <x:c r="H25" s="70" t="n">
        <x:v>4</x:v>
      </x:c>
      <x:c r="I25" s="76" t="n">
        <x:v>185.58999999999992</x:v>
      </x:c>
      <x:c r="J25" s="76" t="n">
        <x:v>4</x:v>
      </x:c>
      <x:c r="K25" s="76" t="n">
        <x:v>12</x:v>
      </x:c>
      <x:c r="L25" s="82" t="n">
        <x:v>0.22</x:v>
      </x:c>
      <x:c r="M25" s="79" t="n">
        <x:f>I25*L25</x:f>
        <x:v>40.829799999999985</x:v>
      </x:c>
      <x:c r="N25" s="76" t="n">
        <x:v>14.85</x:v>
      </x:c>
      <x:c r="O25" s="79" t="n">
        <x:f>I25+J25+K25-M25-N25</x:f>
        <x:v>145.91019999999995</x:v>
      </x:c>
      <x:c r="P25" s="82" t="n">
        <x:v>0.18</x:v>
      </x:c>
      <x:c r="Q25" s="79" t="n">
        <x:f>I25*P25</x:f>
        <x:v>33.406199999999984</x:v>
      </x:c>
      <x:c r="R25" s="76" t="n">
        <x:v>1.11</x:v>
      </x:c>
      <x:c r="S25" s="79" t="n">
        <x:f>I25+J25-M25-Q25-R25</x:f>
        <x:v>114.24399999999996</x:v>
      </x:c>
      <x:c r="T25" s="76" t="n">
        <x:v>1.2</x:v>
      </x:c>
      <x:c r="U25" s="79" t="n">
        <x:f>H25*T25</x:f>
        <x:v>4.8</x:v>
      </x:c>
      <x:c r="V25" s="82" t="n">
        <x:v>0.35</x:v>
      </x:c>
      <x:c r="W25" s="79" t="n">
        <x:f>I25*V25</x:f>
        <x:v>64.95649999999996</x:v>
      </x:c>
      <x:c r="X25" s="79" t="n">
        <x:f>S25-U25-W25</x:f>
        <x:v>44.4875</x:v>
      </x:c>
      <x:c r="Y25" s="85" t="n">
        <x:f>IFERROR(X25/I25,0)</x:f>
        <x:v>0.2397084972250661</x:v>
      </x:c>
      <x:c r="Z25" s="67" t="str">
        <x:f>IF(X25&lt;0,"亏损",IF(Y25&lt;8%,"关注","正常"))</x:f>
        <x:v>正常</x:v>
      </x:c>
    </x:row>
    <x:row r="26">
      <x:c r="A26" s="67" t="str">
        <x:v>WMS-00022</x:v>
      </x:c>
      <x:c r="B26" s="73" t="n">
        <x:v>46210.5</x:v>
      </x:c>
      <x:c r="C26" s="73" t="n">
        <x:v>46212.5</x:v>
      </x:c>
      <x:c r="D26" s="67" t="str">
        <x:v>S02</x:v>
      </x:c>
      <x:c r="E26" s="67" t="str">
        <x:v>尊宝大厦店</x:v>
      </x:c>
      <x:c r="F26" s="67" t="str">
        <x:v>饿了么</x:v>
      </x:c>
      <x:c r="G26" s="67" t="str">
        <x:v>常规订单</x:v>
      </x:c>
      <x:c r="H26" s="70" t="n">
        <x:v>12</x:v>
      </x:c>
      <x:c r="I26" s="76" t="n">
        <x:v>533.45</x:v>
      </x:c>
      <x:c r="J26" s="76" t="n">
        <x:v>12</x:v>
      </x:c>
      <x:c r="K26" s="76" t="n">
        <x:v>36</x:v>
      </x:c>
      <x:c r="L26" s="82" t="n">
        <x:v>0.03</x:v>
      </x:c>
      <x:c r="M26" s="79" t="n">
        <x:f>I26*L26</x:f>
        <x:v>16.003500000000003</x:v>
      </x:c>
      <x:c r="N26" s="76" t="n">
        <x:v>0</x:v>
      </x:c>
      <x:c r="O26" s="79" t="n">
        <x:f>I26+J26+K26-M26-N26</x:f>
        <x:v>565.4465</x:v>
      </x:c>
      <x:c r="P26" s="82" t="n">
        <x:v>0.18</x:v>
      </x:c>
      <x:c r="Q26" s="79" t="n">
        <x:f>I26*P26</x:f>
        <x:v>96.021</x:v>
      </x:c>
      <x:c r="R26" s="76" t="n">
        <x:v>0.53</x:v>
      </x:c>
      <x:c r="S26" s="79" t="n">
        <x:f>I26+J26-M26-Q26-R26</x:f>
        <x:v>432.8955</x:v>
      </x:c>
      <x:c r="T26" s="76" t="n">
        <x:v>1.2</x:v>
      </x:c>
      <x:c r="U26" s="79" t="n">
        <x:f>H26*T26</x:f>
        <x:v>14.399999999999999</x:v>
      </x:c>
      <x:c r="V26" s="82" t="n">
        <x:v>0.321</x:v>
      </x:c>
      <x:c r="W26" s="79" t="n">
        <x:f>I26*V26</x:f>
        <x:v>171.23745000000002</x:v>
      </x:c>
      <x:c r="X26" s="79" t="n">
        <x:f>S26-U26-W26</x:f>
        <x:v>247.25805000000003</x:v>
      </x:c>
      <x:c r="Y26" s="85" t="n">
        <x:f>IFERROR(X26/I26,0)</x:f>
        <x:v>0.46350745149498546</x:v>
      </x:c>
      <x:c r="Z26" s="67" t="str">
        <x:f>IF(X26&lt;0,"亏损",IF(Y26&lt;8%,"关注","正常"))</x:f>
        <x:v>正常</x:v>
      </x:c>
    </x:row>
    <x:row r="27">
      <x:c r="A27" s="67" t="str">
        <x:v>WMS-00023</x:v>
      </x:c>
      <x:c r="B27" s="73" t="n">
        <x:v>46210.5</x:v>
      </x:c>
      <x:c r="C27" s="73" t="n">
        <x:v>46212.5</x:v>
      </x:c>
      <x:c r="D27" s="67" t="str">
        <x:v>S02</x:v>
      </x:c>
      <x:c r="E27" s="67" t="str">
        <x:v>尊宝大厦店</x:v>
      </x:c>
      <x:c r="F27" s="67" t="str">
        <x:v>饿了么</x:v>
      </x:c>
      <x:c r="G27" s="67" t="str">
        <x:v>会员券订单</x:v>
      </x:c>
      <x:c r="H27" s="70" t="n">
        <x:v>6</x:v>
      </x:c>
      <x:c r="I27" s="76" t="n">
        <x:v>271.57</x:v>
      </x:c>
      <x:c r="J27" s="76" t="n">
        <x:v>6</x:v>
      </x:c>
      <x:c r="K27" s="76" t="n">
        <x:v>18</x:v>
      </x:c>
      <x:c r="L27" s="82" t="n">
        <x:v>0.1</x:v>
      </x:c>
      <x:c r="M27" s="79" t="n">
        <x:f>I27*L27</x:f>
        <x:v>27.157</x:v>
      </x:c>
      <x:c r="N27" s="76" t="n">
        <x:v>8.15</x:v>
      </x:c>
      <x:c r="O27" s="79" t="n">
        <x:f>I27+J27+K27-M27-N27</x:f>
        <x:v>260.26300000000003</x:v>
      </x:c>
      <x:c r="P27" s="82" t="n">
        <x:v>0.18</x:v>
      </x:c>
      <x:c r="Q27" s="79" t="n">
        <x:f>I27*P27</x:f>
        <x:v>48.8826</x:v>
      </x:c>
      <x:c r="R27" s="76" t="n">
        <x:v>0.81</x:v>
      </x:c>
      <x:c r="S27" s="79" t="n">
        <x:f>I27+J27-M27-Q27-R27</x:f>
        <x:v>200.72039999999998</x:v>
      </x:c>
      <x:c r="T27" s="76" t="n">
        <x:v>1.2</x:v>
      </x:c>
      <x:c r="U27" s="79" t="n">
        <x:f>H27*T27</x:f>
        <x:v>7.199999999999999</x:v>
      </x:c>
      <x:c r="V27" s="82" t="n">
        <x:v>0.331</x:v>
      </x:c>
      <x:c r="W27" s="79" t="n">
        <x:f>I27*V27</x:f>
        <x:v>89.88967</x:v>
      </x:c>
      <x:c r="X27" s="79" t="n">
        <x:f>S27-U27-W27</x:f>
        <x:v>103.63073</x:v>
      </x:c>
      <x:c r="Y27" s="85" t="n">
        <x:f>IFERROR(X27/I27,0)</x:f>
        <x:v>0.3815985933645101</x:v>
      </x:c>
      <x:c r="Z27" s="67" t="str">
        <x:f>IF(X27&lt;0,"亏损",IF(Y27&lt;8%,"关注","正常"))</x:f>
        <x:v>正常</x:v>
      </x:c>
    </x:row>
    <x:row r="28">
      <x:c r="A28" s="67" t="str">
        <x:v>WMS-00024</x:v>
      </x:c>
      <x:c r="B28" s="73" t="n">
        <x:v>46210.5</x:v>
      </x:c>
      <x:c r="C28" s="73" t="n">
        <x:v>46212.5</x:v>
      </x:c>
      <x:c r="D28" s="67" t="str">
        <x:v>S02</x:v>
      </x:c>
      <x:c r="E28" s="67" t="str">
        <x:v>尊宝大厦店</x:v>
      </x:c>
      <x:c r="F28" s="67" t="str">
        <x:v>美团外卖</x:v>
      </x:c>
      <x:c r="G28" s="67" t="str">
        <x:v>平台活动订单</x:v>
      </x:c>
      <x:c r="H28" s="70" t="n">
        <x:v>4</x:v>
      </x:c>
      <x:c r="I28" s="76" t="n">
        <x:v>164.88</x:v>
      </x:c>
      <x:c r="J28" s="76" t="n">
        <x:v>4</x:v>
      </x:c>
      <x:c r="K28" s="76" t="n">
        <x:v>12</x:v>
      </x:c>
      <x:c r="L28" s="82" t="n">
        <x:v>0.22</x:v>
      </x:c>
      <x:c r="M28" s="79" t="n">
        <x:f>I28*L28</x:f>
        <x:v>36.2736</x:v>
      </x:c>
      <x:c r="N28" s="76" t="n">
        <x:v>13.19</x:v>
      </x:c>
      <x:c r="O28" s="79" t="n">
        <x:f>I28+J28+K28-M28-N28</x:f>
        <x:v>131.4164</x:v>
      </x:c>
      <x:c r="P28" s="82" t="n">
        <x:v>0.18</x:v>
      </x:c>
      <x:c r="Q28" s="79" t="n">
        <x:f>I28*P28</x:f>
        <x:v>29.678399999999996</x:v>
      </x:c>
      <x:c r="R28" s="76" t="n">
        <x:v>0.99</x:v>
      </x:c>
      <x:c r="S28" s="79" t="n">
        <x:f>I28+J28-M28-Q28-R28</x:f>
        <x:v>101.93800000000002</x:v>
      </x:c>
      <x:c r="T28" s="76" t="n">
        <x:v>1.2</x:v>
      </x:c>
      <x:c r="U28" s="79" t="n">
        <x:f>H28*T28</x:f>
        <x:v>4.8</x:v>
      </x:c>
      <x:c r="V28" s="82" t="n">
        <x:v>0.351</x:v>
      </x:c>
      <x:c r="W28" s="79" t="n">
        <x:f>I28*V28</x:f>
        <x:v>57.872879999999995</x:v>
      </x:c>
      <x:c r="X28" s="79" t="n">
        <x:f>S28-U28-W28</x:f>
        <x:v>39.265120000000024</x:v>
      </x:c>
      <x:c r="Y28" s="85" t="n">
        <x:f>IFERROR(X28/I28,0)</x:f>
        <x:v>0.23814361960213504</x:v>
      </x:c>
      <x:c r="Z28" s="67" t="str">
        <x:f>IF(X28&lt;0,"亏损",IF(Y28&lt;8%,"关注","正常"))</x:f>
        <x:v>正常</x:v>
      </x:c>
    </x:row>
    <x:row r="29">
      <x:c r="A29" s="67" t="str">
        <x:v>WMS-00025</x:v>
      </x:c>
      <x:c r="B29" s="73" t="n">
        <x:v>46211.5</x:v>
      </x:c>
      <x:c r="C29" s="73" t="n">
        <x:v>46213.5</x:v>
      </x:c>
      <x:c r="D29" s="67" t="str">
        <x:v>S02</x:v>
      </x:c>
      <x:c r="E29" s="67" t="str">
        <x:v>尊宝大厦店</x:v>
      </x:c>
      <x:c r="F29" s="67" t="str">
        <x:v>饿了么</x:v>
      </x:c>
      <x:c r="G29" s="67" t="str">
        <x:v>常规订单</x:v>
      </x:c>
      <x:c r="H29" s="70" t="n">
        <x:v>12</x:v>
      </x:c>
      <x:c r="I29" s="76" t="n">
        <x:v>517</x:v>
      </x:c>
      <x:c r="J29" s="76" t="n">
        <x:v>12</x:v>
      </x:c>
      <x:c r="K29" s="76" t="n">
        <x:v>36</x:v>
      </x:c>
      <x:c r="L29" s="82" t="n">
        <x:v>0.03</x:v>
      </x:c>
      <x:c r="M29" s="79" t="n">
        <x:f>I29*L29</x:f>
        <x:v>15.51</x:v>
      </x:c>
      <x:c r="N29" s="76" t="n">
        <x:v>0</x:v>
      </x:c>
      <x:c r="O29" s="79" t="n">
        <x:f>I29+J29+K29-M29-N29</x:f>
        <x:v>549.49</x:v>
      </x:c>
      <x:c r="P29" s="82" t="n">
        <x:v>0.18</x:v>
      </x:c>
      <x:c r="Q29" s="79" t="n">
        <x:f>I29*P29</x:f>
        <x:v>93.06</x:v>
      </x:c>
      <x:c r="R29" s="76" t="n">
        <x:v>0.52</x:v>
      </x:c>
      <x:c r="S29" s="79" t="n">
        <x:f>I29+J29-M29-Q29-R29</x:f>
        <x:v>419.91</x:v>
      </x:c>
      <x:c r="T29" s="76" t="n">
        <x:v>1.2</x:v>
      </x:c>
      <x:c r="U29" s="79" t="n">
        <x:f>H29*T29</x:f>
        <x:v>14.399999999999999</x:v>
      </x:c>
      <x:c r="V29" s="82" t="n">
        <x:v>0.321</x:v>
      </x:c>
      <x:c r="W29" s="79" t="n">
        <x:f>I29*V29</x:f>
        <x:v>165.957</x:v>
      </x:c>
      <x:c r="X29" s="79" t="n">
        <x:f>S29-U29-W29</x:f>
        <x:v>239.55300000000005</x:v>
      </x:c>
      <x:c r="Y29" s="85" t="n">
        <x:f>IFERROR(X29/I29,0)</x:f>
        <x:v>0.4633520309477757</x:v>
      </x:c>
      <x:c r="Z29" s="67" t="str">
        <x:f>IF(X29&lt;0,"亏损",IF(Y29&lt;8%,"关注","正常"))</x:f>
        <x:v>正常</x:v>
      </x:c>
    </x:row>
    <x:row r="30">
      <x:c r="A30" s="67" t="str">
        <x:v>WMS-00026</x:v>
      </x:c>
      <x:c r="B30" s="73" t="n">
        <x:v>46211.5</x:v>
      </x:c>
      <x:c r="C30" s="73" t="n">
        <x:v>46213.5</x:v>
      </x:c>
      <x:c r="D30" s="67" t="str">
        <x:v>S02</x:v>
      </x:c>
      <x:c r="E30" s="67" t="str">
        <x:v>尊宝大厦店</x:v>
      </x:c>
      <x:c r="F30" s="67" t="str">
        <x:v>美团外卖</x:v>
      </x:c>
      <x:c r="G30" s="67" t="str">
        <x:v>会员券订单</x:v>
      </x:c>
      <x:c r="H30" s="70" t="n">
        <x:v>6</x:v>
      </x:c>
      <x:c r="I30" s="76" t="n">
        <x:v>263.2</x:v>
      </x:c>
      <x:c r="J30" s="76" t="n">
        <x:v>6</x:v>
      </x:c>
      <x:c r="K30" s="76" t="n">
        <x:v>18</x:v>
      </x:c>
      <x:c r="L30" s="82" t="n">
        <x:v>0.1</x:v>
      </x:c>
      <x:c r="M30" s="79" t="n">
        <x:f>I30*L30</x:f>
        <x:v>26.32</x:v>
      </x:c>
      <x:c r="N30" s="76" t="n">
        <x:v>7.9</x:v>
      </x:c>
      <x:c r="O30" s="79" t="n">
        <x:f>I30+J30+K30-M30-N30</x:f>
        <x:v>252.98</x:v>
      </x:c>
      <x:c r="P30" s="82" t="n">
        <x:v>0.18</x:v>
      </x:c>
      <x:c r="Q30" s="79" t="n">
        <x:f>I30*P30</x:f>
        <x:v>47.376</x:v>
      </x:c>
      <x:c r="R30" s="76" t="n">
        <x:v>0.79</x:v>
      </x:c>
      <x:c r="S30" s="79" t="n">
        <x:f>I30+J30-M30-Q30-R30</x:f>
        <x:v>194.714</x:v>
      </x:c>
      <x:c r="T30" s="76" t="n">
        <x:v>1.2</x:v>
      </x:c>
      <x:c r="U30" s="79" t="n">
        <x:f>H30*T30</x:f>
        <x:v>7.199999999999999</x:v>
      </x:c>
      <x:c r="V30" s="82" t="n">
        <x:v>0.331</x:v>
      </x:c>
      <x:c r="W30" s="79" t="n">
        <x:f>I30*V30</x:f>
        <x:v>87.1192</x:v>
      </x:c>
      <x:c r="X30" s="79" t="n">
        <x:f>S30-U30-W30</x:f>
        <x:v>100.3948</x:v>
      </x:c>
      <x:c r="Y30" s="85" t="n">
        <x:f>IFERROR(X30/I30,0)</x:f>
        <x:v>0.3814392097264438</x:v>
      </x:c>
      <x:c r="Z30" s="67" t="str">
        <x:f>IF(X30&lt;0,"亏损",IF(Y30&lt;8%,"关注","正常"))</x:f>
        <x:v>正常</x:v>
      </x:c>
    </x:row>
    <x:row r="31">
      <x:c r="A31" s="67" t="str">
        <x:v>WMS-00027</x:v>
      </x:c>
      <x:c r="B31" s="73" t="n">
        <x:v>46211.5</x:v>
      </x:c>
      <x:c r="C31" s="73" t="n">
        <x:v>46213.5</x:v>
      </x:c>
      <x:c r="D31" s="67" t="str">
        <x:v>S02</x:v>
      </x:c>
      <x:c r="E31" s="67" t="str">
        <x:v>尊宝大厦店</x:v>
      </x:c>
      <x:c r="F31" s="67" t="str">
        <x:v>美团外卖</x:v>
      </x:c>
      <x:c r="G31" s="67" t="str">
        <x:v>平台活动订单</x:v>
      </x:c>
      <x:c r="H31" s="70" t="n">
        <x:v>3</x:v>
      </x:c>
      <x:c r="I31" s="76" t="n">
        <x:v>159.79999999999995</x:v>
      </x:c>
      <x:c r="J31" s="76" t="n">
        <x:v>3</x:v>
      </x:c>
      <x:c r="K31" s="76" t="n">
        <x:v>9</x:v>
      </x:c>
      <x:c r="L31" s="82" t="n">
        <x:v>0.22</x:v>
      </x:c>
      <x:c r="M31" s="79" t="n">
        <x:f>I31*L31</x:f>
        <x:v>35.15599999999999</x:v>
      </x:c>
      <x:c r="N31" s="76" t="n">
        <x:v>12.78</x:v>
      </x:c>
      <x:c r="O31" s="79" t="n">
        <x:f>I31+J31+K31-M31-N31</x:f>
        <x:v>123.86399999999995</x:v>
      </x:c>
      <x:c r="P31" s="82" t="n">
        <x:v>0.18</x:v>
      </x:c>
      <x:c r="Q31" s="79" t="n">
        <x:f>I31*P31</x:f>
        <x:v>28.763999999999992</x:v>
      </x:c>
      <x:c r="R31" s="76" t="n">
        <x:v>0.96</x:v>
      </x:c>
      <x:c r="S31" s="79" t="n">
        <x:f>I31+J31-M31-Q31-R31</x:f>
        <x:v>97.91999999999997</x:v>
      </x:c>
      <x:c r="T31" s="76" t="n">
        <x:v>1.2</x:v>
      </x:c>
      <x:c r="U31" s="79" t="n">
        <x:f>H31*T31</x:f>
        <x:v>3.5999999999999996</x:v>
      </x:c>
      <x:c r="V31" s="82" t="n">
        <x:v>0.351</x:v>
      </x:c>
      <x:c r="W31" s="79" t="n">
        <x:f>I31*V31</x:f>
        <x:v>56.08979999999998</x:v>
      </x:c>
      <x:c r="X31" s="79" t="n">
        <x:f>S31-U31-W31</x:f>
        <x:v>38.230199999999996</x:v>
      </x:c>
      <x:c r="Y31" s="85" t="n">
        <x:f>IFERROR(X31/I31,0)</x:f>
        <x:v>0.23923779724655825</x:v>
      </x:c>
      <x:c r="Z31" s="67" t="str">
        <x:f>IF(X31&lt;0,"亏损",IF(Y31&lt;8%,"关注","正常"))</x:f>
        <x:v>正常</x:v>
      </x:c>
    </x:row>
    <x:row r="32">
      <x:c r="A32" s="67" t="str">
        <x:v>WMS-00028</x:v>
      </x:c>
      <x:c r="B32" s="73" t="n">
        <x:v>46212.5</x:v>
      </x:c>
      <x:c r="C32" s="73" t="n">
        <x:v>46214.5</x:v>
      </x:c>
      <x:c r="D32" s="67" t="str">
        <x:v>S02</x:v>
      </x:c>
      <x:c r="E32" s="67" t="str">
        <x:v>尊宝大厦店</x:v>
      </x:c>
      <x:c r="F32" s="67" t="str">
        <x:v>美团外卖</x:v>
      </x:c>
      <x:c r="G32" s="67" t="str">
        <x:v>常规订单</x:v>
      </x:c>
      <x:c r="H32" s="70" t="n">
        <x:v>12</x:v>
      </x:c>
      <x:c r="I32" s="76" t="n">
        <x:v>509.85</x:v>
      </x:c>
      <x:c r="J32" s="76" t="n">
        <x:v>12</x:v>
      </x:c>
      <x:c r="K32" s="76" t="n">
        <x:v>36</x:v>
      </x:c>
      <x:c r="L32" s="82" t="n">
        <x:v>0.03</x:v>
      </x:c>
      <x:c r="M32" s="79" t="n">
        <x:f>I32*L32</x:f>
        <x:v>15.2955</x:v>
      </x:c>
      <x:c r="N32" s="76" t="n">
        <x:v>0</x:v>
      </x:c>
      <x:c r="O32" s="79" t="n">
        <x:f>I32+J32+K32-M32-N32</x:f>
        <x:v>542.5545000000001</x:v>
      </x:c>
      <x:c r="P32" s="82" t="n">
        <x:v>0.18</x:v>
      </x:c>
      <x:c r="Q32" s="79" t="n">
        <x:f>I32*P32</x:f>
        <x:v>91.773</x:v>
      </x:c>
      <x:c r="R32" s="76" t="n">
        <x:v>0.51</x:v>
      </x:c>
      <x:c r="S32" s="79" t="n">
        <x:f>I32+J32-M32-Q32-R32</x:f>
        <x:v>414.27150000000006</x:v>
      </x:c>
      <x:c r="T32" s="76" t="n">
        <x:v>1.2</x:v>
      </x:c>
      <x:c r="U32" s="79" t="n">
        <x:f>H32*T32</x:f>
        <x:v>14.399999999999999</x:v>
      </x:c>
      <x:c r="V32" s="82" t="n">
        <x:v>0.321</x:v>
      </x:c>
      <x:c r="W32" s="79" t="n">
        <x:f>I32*V32</x:f>
        <x:v>163.66185000000002</x:v>
      </x:c>
      <x:c r="X32" s="79" t="n">
        <x:f>S32-U32-W32</x:f>
        <x:v>236.20965000000007</x:v>
      </x:c>
      <x:c r="Y32" s="85" t="n">
        <x:f>IFERROR(X32/I32,0)</x:f>
        <x:v>0.4632924389526332</x:v>
      </x:c>
      <x:c r="Z32" s="67" t="str">
        <x:f>IF(X32&lt;0,"亏损",IF(Y32&lt;8%,"关注","正常"))</x:f>
        <x:v>正常</x:v>
      </x:c>
    </x:row>
    <x:row r="33">
      <x:c r="A33" s="67" t="str">
        <x:v>WMS-00029</x:v>
      </x:c>
      <x:c r="B33" s="73" t="n">
        <x:v>46212.5</x:v>
      </x:c>
      <x:c r="C33" s="73" t="n">
        <x:v>46214.5</x:v>
      </x:c>
      <x:c r="D33" s="67" t="str">
        <x:v>S02</x:v>
      </x:c>
      <x:c r="E33" s="67" t="str">
        <x:v>尊宝大厦店</x:v>
      </x:c>
      <x:c r="F33" s="67" t="str">
        <x:v>美团外卖</x:v>
      </x:c>
      <x:c r="G33" s="67" t="str">
        <x:v>会员券订单</x:v>
      </x:c>
      <x:c r="H33" s="70" t="n">
        <x:v>6</x:v>
      </x:c>
      <x:c r="I33" s="76" t="n">
        <x:v>259.56</x:v>
      </x:c>
      <x:c r="J33" s="76" t="n">
        <x:v>6</x:v>
      </x:c>
      <x:c r="K33" s="76" t="n">
        <x:v>18</x:v>
      </x:c>
      <x:c r="L33" s="82" t="n">
        <x:v>0.1</x:v>
      </x:c>
      <x:c r="M33" s="79" t="n">
        <x:f>I33*L33</x:f>
        <x:v>25.956000000000003</x:v>
      </x:c>
      <x:c r="N33" s="76" t="n">
        <x:v>7.79</x:v>
      </x:c>
      <x:c r="O33" s="79" t="n">
        <x:f>I33+J33+K33-M33-N33</x:f>
        <x:v>249.814</x:v>
      </x:c>
      <x:c r="P33" s="82" t="n">
        <x:v>0.18</x:v>
      </x:c>
      <x:c r="Q33" s="79" t="n">
        <x:f>I33*P33</x:f>
        <x:v>46.7208</x:v>
      </x:c>
      <x:c r="R33" s="76" t="n">
        <x:v>0.78</x:v>
      </x:c>
      <x:c r="S33" s="79" t="n">
        <x:f>I33+J33-M33-Q33-R33</x:f>
        <x:v>192.1032</x:v>
      </x:c>
      <x:c r="T33" s="76" t="n">
        <x:v>1.2</x:v>
      </x:c>
      <x:c r="U33" s="79" t="n">
        <x:f>H33*T33</x:f>
        <x:v>7.199999999999999</x:v>
      </x:c>
      <x:c r="V33" s="82" t="n">
        <x:v>0.331</x:v>
      </x:c>
      <x:c r="W33" s="79" t="n">
        <x:f>I33*V33</x:f>
        <x:v>85.91436</x:v>
      </x:c>
      <x:c r="X33" s="79" t="n">
        <x:f>S33-U33-W33</x:f>
        <x:v>98.98884</x:v>
      </x:c>
      <x:c r="Y33" s="85" t="n">
        <x:f>IFERROR(X33/I33,0)</x:f>
        <x:v>0.38137170596393893</x:v>
      </x:c>
      <x:c r="Z33" s="67" t="str">
        <x:f>IF(X33&lt;0,"亏损",IF(Y33&lt;8%,"关注","正常"))</x:f>
        <x:v>正常</x:v>
      </x:c>
    </x:row>
    <x:row r="34">
      <x:c r="A34" s="67" t="str">
        <x:v>WMS-00030</x:v>
      </x:c>
      <x:c r="B34" s="73" t="n">
        <x:v>46212.5</x:v>
      </x:c>
      <x:c r="C34" s="73" t="n">
        <x:v>46214.5</x:v>
      </x:c>
      <x:c r="D34" s="67" t="str">
        <x:v>S02</x:v>
      </x:c>
      <x:c r="E34" s="67" t="str">
        <x:v>尊宝大厦店</x:v>
      </x:c>
      <x:c r="F34" s="67" t="str">
        <x:v>美团外卖</x:v>
      </x:c>
      <x:c r="G34" s="67" t="str">
        <x:v>平台活动订单</x:v>
      </x:c>
      <x:c r="H34" s="70" t="n">
        <x:v>3</x:v>
      </x:c>
      <x:c r="I34" s="76" t="n">
        <x:v>157.58999999999992</x:v>
      </x:c>
      <x:c r="J34" s="76" t="n">
        <x:v>3</x:v>
      </x:c>
      <x:c r="K34" s="76" t="n">
        <x:v>9</x:v>
      </x:c>
      <x:c r="L34" s="82" t="n">
        <x:v>0.22</x:v>
      </x:c>
      <x:c r="M34" s="79" t="n">
        <x:f>I34*L34</x:f>
        <x:v>34.66979999999998</x:v>
      </x:c>
      <x:c r="N34" s="76" t="n">
        <x:v>12.61</x:v>
      </x:c>
      <x:c r="O34" s="79" t="n">
        <x:f>I34+J34+K34-M34-N34</x:f>
        <x:v>122.31019999999994</x:v>
      </x:c>
      <x:c r="P34" s="82" t="n">
        <x:v>0.18</x:v>
      </x:c>
      <x:c r="Q34" s="79" t="n">
        <x:f>I34*P34</x:f>
        <x:v>28.366199999999985</x:v>
      </x:c>
      <x:c r="R34" s="76" t="n">
        <x:v>0.95</x:v>
      </x:c>
      <x:c r="S34" s="79" t="n">
        <x:f>I34+J34-M34-Q34-R34</x:f>
        <x:v>96.60399999999994</x:v>
      </x:c>
      <x:c r="T34" s="76" t="n">
        <x:v>1.2</x:v>
      </x:c>
      <x:c r="U34" s="79" t="n">
        <x:f>H34*T34</x:f>
        <x:v>3.5999999999999996</x:v>
      </x:c>
      <x:c r="V34" s="82" t="n">
        <x:v>0.351</x:v>
      </x:c>
      <x:c r="W34" s="79" t="n">
        <x:f>I34*V34</x:f>
        <x:v>55.314089999999965</x:v>
      </x:c>
      <x:c r="X34" s="79" t="n">
        <x:f>S34-U34-W34</x:f>
        <x:v>37.68990999999998</x:v>
      </x:c>
      <x:c r="Y34" s="85" t="n">
        <x:f>IFERROR(X34/I34,0)</x:f>
        <x:v>0.23916435052985596</x:v>
      </x:c>
      <x:c r="Z34" s="67" t="str">
        <x:f>IF(X34&lt;0,"亏损",IF(Y34&lt;8%,"关注","正常"))</x:f>
        <x:v>正常</x:v>
      </x:c>
    </x:row>
    <x:row r="35">
      <x:c r="A35" s="67" t="str">
        <x:v>WMS-00031</x:v>
      </x:c>
      <x:c r="B35" s="73" t="n">
        <x:v>46213.5</x:v>
      </x:c>
      <x:c r="C35" s="73" t="n">
        <x:v>46215.5</x:v>
      </x:c>
      <x:c r="D35" s="67" t="str">
        <x:v>S02</x:v>
      </x:c>
      <x:c r="E35" s="67" t="str">
        <x:v>尊宝大厦店</x:v>
      </x:c>
      <x:c r="F35" s="67" t="str">
        <x:v>美团外卖</x:v>
      </x:c>
      <x:c r="G35" s="67" t="str">
        <x:v>常规订单</x:v>
      </x:c>
      <x:c r="H35" s="70" t="n">
        <x:v>12</x:v>
      </x:c>
      <x:c r="I35" s="76" t="n">
        <x:v>528.5</x:v>
      </x:c>
      <x:c r="J35" s="76" t="n">
        <x:v>12</x:v>
      </x:c>
      <x:c r="K35" s="76" t="n">
        <x:v>36</x:v>
      </x:c>
      <x:c r="L35" s="82" t="n">
        <x:v>0.03</x:v>
      </x:c>
      <x:c r="M35" s="79" t="n">
        <x:f>I35*L35</x:f>
        <x:v>15.854999999999999</x:v>
      </x:c>
      <x:c r="N35" s="76" t="n">
        <x:v>0</x:v>
      </x:c>
      <x:c r="O35" s="79" t="n">
        <x:f>I35+J35+K35-M35-N35</x:f>
        <x:v>560.645</x:v>
      </x:c>
      <x:c r="P35" s="82" t="n">
        <x:v>0.18</x:v>
      </x:c>
      <x:c r="Q35" s="79" t="n">
        <x:f>I35*P35</x:f>
        <x:v>95.13</x:v>
      </x:c>
      <x:c r="R35" s="76" t="n">
        <x:v>0.53</x:v>
      </x:c>
      <x:c r="S35" s="79" t="n">
        <x:f>I35+J35-M35-Q35-R35</x:f>
        <x:v>428.985</x:v>
      </x:c>
      <x:c r="T35" s="76" t="n">
        <x:v>1.2</x:v>
      </x:c>
      <x:c r="U35" s="79" t="n">
        <x:f>H35*T35</x:f>
        <x:v>14.399999999999999</x:v>
      </x:c>
      <x:c r="V35" s="82" t="n">
        <x:v>0.321</x:v>
      </x:c>
      <x:c r="W35" s="79" t="n">
        <x:f>I35*V35</x:f>
        <x:v>169.6485</x:v>
      </x:c>
      <x:c r="X35" s="79" t="n">
        <x:f>S35-U35-W35</x:f>
        <x:v>244.93650000000002</x:v>
      </x:c>
      <x:c r="Y35" s="85" t="n">
        <x:f>IFERROR(X35/I35,0)</x:f>
        <x:v>0.4634560075685904</x:v>
      </x:c>
      <x:c r="Z35" s="67" t="str">
        <x:f>IF(X35&lt;0,"亏损",IF(Y35&lt;8%,"关注","正常"))</x:f>
        <x:v>正常</x:v>
      </x:c>
    </x:row>
    <x:row r="36">
      <x:c r="A36" s="67" t="str">
        <x:v>WMS-00032</x:v>
      </x:c>
      <x:c r="B36" s="73" t="n">
        <x:v>46213.5</x:v>
      </x:c>
      <x:c r="C36" s="73" t="n">
        <x:v>46215.5</x:v>
      </x:c>
      <x:c r="D36" s="67" t="str">
        <x:v>S02</x:v>
      </x:c>
      <x:c r="E36" s="67" t="str">
        <x:v>尊宝大厦店</x:v>
      </x:c>
      <x:c r="F36" s="67" t="str">
        <x:v>美团外卖</x:v>
      </x:c>
      <x:c r="G36" s="67" t="str">
        <x:v>会员券订单</x:v>
      </x:c>
      <x:c r="H36" s="70" t="n">
        <x:v>6</x:v>
      </x:c>
      <x:c r="I36" s="76" t="n">
        <x:v>269.05</x:v>
      </x:c>
      <x:c r="J36" s="76" t="n">
        <x:v>6</x:v>
      </x:c>
      <x:c r="K36" s="76" t="n">
        <x:v>18</x:v>
      </x:c>
      <x:c r="L36" s="82" t="n">
        <x:v>0.1</x:v>
      </x:c>
      <x:c r="M36" s="79" t="n">
        <x:f>I36*L36</x:f>
        <x:v>26.905</x:v>
      </x:c>
      <x:c r="N36" s="76" t="n">
        <x:v>8.07</x:v>
      </x:c>
      <x:c r="O36" s="79" t="n">
        <x:f>I36+J36+K36-M36-N36</x:f>
        <x:v>258.075</x:v>
      </x:c>
      <x:c r="P36" s="82" t="n">
        <x:v>0.18</x:v>
      </x:c>
      <x:c r="Q36" s="79" t="n">
        <x:f>I36*P36</x:f>
        <x:v>48.429</x:v>
      </x:c>
      <x:c r="R36" s="76" t="n">
        <x:v>0.81</x:v>
      </x:c>
      <x:c r="S36" s="79" t="n">
        <x:f>I36+J36-M36-Q36-R36</x:f>
        <x:v>198.906</x:v>
      </x:c>
      <x:c r="T36" s="76" t="n">
        <x:v>1.2</x:v>
      </x:c>
      <x:c r="U36" s="79" t="n">
        <x:f>H36*T36</x:f>
        <x:v>7.199999999999999</x:v>
      </x:c>
      <x:c r="V36" s="82" t="n">
        <x:v>0.331</x:v>
      </x:c>
      <x:c r="W36" s="79" t="n">
        <x:f>I36*V36</x:f>
        <x:v>89.05555000000001</x:v>
      </x:c>
      <x:c r="X36" s="79" t="n">
        <x:f>S36-U36-W36</x:f>
        <x:v>102.65045</x:v>
      </x:c>
      <x:c r="Y36" s="85" t="n">
        <x:f>IFERROR(X36/I36,0)</x:f>
        <x:v>0.38152926965248096</x:v>
      </x:c>
      <x:c r="Z36" s="67" t="str">
        <x:f>IF(X36&lt;0,"亏损",IF(Y36&lt;8%,"关注","正常"))</x:f>
        <x:v>正常</x:v>
      </x:c>
    </x:row>
    <x:row r="37">
      <x:c r="A37" s="67" t="str">
        <x:v>WMS-00033</x:v>
      </x:c>
      <x:c r="B37" s="73" t="n">
        <x:v>46213.5</x:v>
      </x:c>
      <x:c r="C37" s="73" t="n">
        <x:v>46215.5</x:v>
      </x:c>
      <x:c r="D37" s="67" t="str">
        <x:v>S02</x:v>
      </x:c>
      <x:c r="E37" s="67" t="str">
        <x:v>尊宝大厦店</x:v>
      </x:c>
      <x:c r="F37" s="67" t="str">
        <x:v>美团外卖</x:v>
      </x:c>
      <x:c r="G37" s="67" t="str">
        <x:v>平台活动订单</x:v>
      </x:c>
      <x:c r="H37" s="70" t="n">
        <x:v>3</x:v>
      </x:c>
      <x:c r="I37" s="76" t="n">
        <x:v>163.35000000000002</x:v>
      </x:c>
      <x:c r="J37" s="76" t="n">
        <x:v>3</x:v>
      </x:c>
      <x:c r="K37" s="76" t="n">
        <x:v>9</x:v>
      </x:c>
      <x:c r="L37" s="82" t="n">
        <x:v>0.22</x:v>
      </x:c>
      <x:c r="M37" s="79" t="n">
        <x:f>I37*L37</x:f>
        <x:v>35.937000000000005</x:v>
      </x:c>
      <x:c r="N37" s="76" t="n">
        <x:v>13.07</x:v>
      </x:c>
      <x:c r="O37" s="79" t="n">
        <x:f>I37+J37+K37-M37-N37</x:f>
        <x:v>126.34300000000002</x:v>
      </x:c>
      <x:c r="P37" s="82" t="n">
        <x:v>0.18</x:v>
      </x:c>
      <x:c r="Q37" s="79" t="n">
        <x:f>I37*P37</x:f>
        <x:v>29.403000000000002</x:v>
      </x:c>
      <x:c r="R37" s="76" t="n">
        <x:v>0.98</x:v>
      </x:c>
      <x:c r="S37" s="79" t="n">
        <x:f>I37+J37-M37-Q37-R37</x:f>
        <x:v>100.03</x:v>
      </x:c>
      <x:c r="T37" s="76" t="n">
        <x:v>1.2</x:v>
      </x:c>
      <x:c r="U37" s="79" t="n">
        <x:f>H37*T37</x:f>
        <x:v>3.5999999999999996</x:v>
      </x:c>
      <x:c r="V37" s="82" t="n">
        <x:v>0.351</x:v>
      </x:c>
      <x:c r="W37" s="79" t="n">
        <x:f>I37*V37</x:f>
        <x:v>57.33585000000001</x:v>
      </x:c>
      <x:c r="X37" s="79" t="n">
        <x:f>S37-U37-W37</x:f>
        <x:v>39.09415</x:v>
      </x:c>
      <x:c r="Y37" s="85" t="n">
        <x:f>IFERROR(X37/I37,0)</x:f>
        <x:v>0.23932751760024484</x:v>
      </x:c>
      <x:c r="Z37" s="67" t="str">
        <x:f>IF(X37&lt;0,"亏损",IF(Y37&lt;8%,"关注","正常"))</x:f>
        <x:v>正常</x:v>
      </x:c>
    </x:row>
    <x:row r="38">
      <x:c r="A38" s="67" t="str">
        <x:v>WMS-00034</x:v>
      </x:c>
      <x:c r="B38" s="73" t="n">
        <x:v>46214.5</x:v>
      </x:c>
      <x:c r="C38" s="73" t="n">
        <x:v>46216.5</x:v>
      </x:c>
      <x:c r="D38" s="67" t="str">
        <x:v>S02</x:v>
      </x:c>
      <x:c r="E38" s="67" t="str">
        <x:v>尊宝大厦店</x:v>
      </x:c>
      <x:c r="F38" s="67" t="str">
        <x:v>美团外卖</x:v>
      </x:c>
      <x:c r="G38" s="67" t="str">
        <x:v>常规订单</x:v>
      </x:c>
      <x:c r="H38" s="70" t="n">
        <x:v>9</x:v>
      </x:c>
      <x:c r="I38" s="76" t="n">
        <x:v>407.66</x:v>
      </x:c>
      <x:c r="J38" s="76" t="n">
        <x:v>9</x:v>
      </x:c>
      <x:c r="K38" s="76" t="n">
        <x:v>27</x:v>
      </x:c>
      <x:c r="L38" s="82" t="n">
        <x:v>0.03</x:v>
      </x:c>
      <x:c r="M38" s="79" t="n">
        <x:f>I38*L38</x:f>
        <x:v>12.229800000000001</x:v>
      </x:c>
      <x:c r="N38" s="76" t="n">
        <x:v>0</x:v>
      </x:c>
      <x:c r="O38" s="79" t="n">
        <x:f>I38+J38+K38-M38-N38</x:f>
        <x:v>431.4302</x:v>
      </x:c>
      <x:c r="P38" s="82" t="n">
        <x:v>0.18</x:v>
      </x:c>
      <x:c r="Q38" s="79" t="n">
        <x:f>I38*P38</x:f>
        <x:v>73.3788</x:v>
      </x:c>
      <x:c r="R38" s="76" t="n">
        <x:v>0.41</x:v>
      </x:c>
      <x:c r="S38" s="79" t="n">
        <x:f>I38+J38-M38-Q38-R38</x:f>
        <x:v>330.6414</x:v>
      </x:c>
      <x:c r="T38" s="76" t="n">
        <x:v>1.2</x:v>
      </x:c>
      <x:c r="U38" s="79" t="n">
        <x:f>H38*T38</x:f>
        <x:v>10.799999999999999</x:v>
      </x:c>
      <x:c r="V38" s="82" t="n">
        <x:v>0.321</x:v>
      </x:c>
      <x:c r="W38" s="79" t="n">
        <x:f>I38*V38</x:f>
        <x:v>130.85886000000002</x:v>
      </x:c>
      <x:c r="X38" s="79" t="n">
        <x:f>S38-U38-W38</x:f>
        <x:v>188.98253999999994</x:v>
      </x:c>
      <x:c r="Y38" s="85" t="n">
        <x:f>IFERROR(X38/I38,0)</x:f>
        <x:v>0.46357881567973297</x:v>
      </x:c>
      <x:c r="Z38" s="67" t="str">
        <x:f>IF(X38&lt;0,"亏损",IF(Y38&lt;8%,"关注","正常"))</x:f>
        <x:v>正常</x:v>
      </x:c>
    </x:row>
    <x:row r="39">
      <x:c r="A39" s="67" t="str">
        <x:v>WMS-00035</x:v>
      </x:c>
      <x:c r="B39" s="73" t="n">
        <x:v>46214.5</x:v>
      </x:c>
      <x:c r="C39" s="73" t="n">
        <x:v>46216.5</x:v>
      </x:c>
      <x:c r="D39" s="67" t="str">
        <x:v>S02</x:v>
      </x:c>
      <x:c r="E39" s="67" t="str">
        <x:v>尊宝大厦店</x:v>
      </x:c>
      <x:c r="F39" s="67" t="str">
        <x:v>美团外卖</x:v>
      </x:c>
      <x:c r="G39" s="67" t="str">
        <x:v>会员券订单</x:v>
      </x:c>
      <x:c r="H39" s="70" t="n">
        <x:v>4</x:v>
      </x:c>
      <x:c r="I39" s="76" t="n">
        <x:v>207.54</x:v>
      </x:c>
      <x:c r="J39" s="76" t="n">
        <x:v>4</x:v>
      </x:c>
      <x:c r="K39" s="76" t="n">
        <x:v>12</x:v>
      </x:c>
      <x:c r="L39" s="82" t="n">
        <x:v>0.1</x:v>
      </x:c>
      <x:c r="M39" s="79" t="n">
        <x:f>I39*L39</x:f>
        <x:v>20.754</x:v>
      </x:c>
      <x:c r="N39" s="76" t="n">
        <x:v>6.23</x:v>
      </x:c>
      <x:c r="O39" s="79" t="n">
        <x:f>I39+J39+K39-M39-N39</x:f>
        <x:v>196.556</x:v>
      </x:c>
      <x:c r="P39" s="82" t="n">
        <x:v>0.18</x:v>
      </x:c>
      <x:c r="Q39" s="79" t="n">
        <x:f>I39*P39</x:f>
        <x:v>37.3572</x:v>
      </x:c>
      <x:c r="R39" s="76" t="n">
        <x:v>0.62</x:v>
      </x:c>
      <x:c r="S39" s="79" t="n">
        <x:f>I39+J39-M39-Q39-R39</x:f>
        <x:v>152.8088</x:v>
      </x:c>
      <x:c r="T39" s="76" t="n">
        <x:v>1.2</x:v>
      </x:c>
      <x:c r="U39" s="79" t="n">
        <x:f>H39*T39</x:f>
        <x:v>4.8</x:v>
      </x:c>
      <x:c r="V39" s="82" t="n">
        <x:v>0.331</x:v>
      </x:c>
      <x:c r="W39" s="79" t="n">
        <x:f>I39*V39</x:f>
        <x:v>68.69574</x:v>
      </x:c>
      <x:c r="X39" s="79" t="n">
        <x:f>S39-U39-W39</x:f>
        <x:v>79.31305999999998</x:v>
      </x:c>
      <x:c r="Y39" s="85" t="n">
        <x:f>IFERROR(X39/I39,0)</x:f>
        <x:v>0.3821579454562975</x:v>
      </x:c>
      <x:c r="Z39" s="67" t="str">
        <x:f>IF(X39&lt;0,"亏损",IF(Y39&lt;8%,"关注","正常"))</x:f>
        <x:v>正常</x:v>
      </x:c>
    </x:row>
    <x:row r="40">
      <x:c r="A40" s="67" t="str">
        <x:v>WMS-00036</x:v>
      </x:c>
      <x:c r="B40" s="73" t="n">
        <x:v>46214.5</x:v>
      </x:c>
      <x:c r="C40" s="73" t="n">
        <x:v>46216.5</x:v>
      </x:c>
      <x:c r="D40" s="67" t="str">
        <x:v>S02</x:v>
      </x:c>
      <x:c r="E40" s="67" t="str">
        <x:v>尊宝大厦店</x:v>
      </x:c>
      <x:c r="F40" s="67" t="str">
        <x:v>美团外卖</x:v>
      </x:c>
      <x:c r="G40" s="67" t="str">
        <x:v>平台活动订单</x:v>
      </x:c>
      <x:c r="H40" s="70" t="n">
        <x:v>3</x:v>
      </x:c>
      <x:c r="I40" s="76" t="n">
        <x:v>125.99999999999989</x:v>
      </x:c>
      <x:c r="J40" s="76" t="n">
        <x:v>3</x:v>
      </x:c>
      <x:c r="K40" s="76" t="n">
        <x:v>9</x:v>
      </x:c>
      <x:c r="L40" s="82" t="n">
        <x:v>0.22</x:v>
      </x:c>
      <x:c r="M40" s="79" t="n">
        <x:f>I40*L40</x:f>
        <x:v>27.719999999999974</x:v>
      </x:c>
      <x:c r="N40" s="76" t="n">
        <x:v>10.08</x:v>
      </x:c>
      <x:c r="O40" s="79" t="n">
        <x:f>I40+J40+K40-M40-N40</x:f>
        <x:v>100.19999999999992</x:v>
      </x:c>
      <x:c r="P40" s="82" t="n">
        <x:v>0.18</x:v>
      </x:c>
      <x:c r="Q40" s="79" t="n">
        <x:f>I40*P40</x:f>
        <x:v>22.67999999999998</x:v>
      </x:c>
      <x:c r="R40" s="76" t="n">
        <x:v>0.76</x:v>
      </x:c>
      <x:c r="S40" s="79" t="n">
        <x:f>I40+J40-M40-Q40-R40</x:f>
        <x:v>77.83999999999993</x:v>
      </x:c>
      <x:c r="T40" s="76" t="n">
        <x:v>1.2</x:v>
      </x:c>
      <x:c r="U40" s="79" t="n">
        <x:f>H40*T40</x:f>
        <x:v>3.5999999999999996</x:v>
      </x:c>
      <x:c r="V40" s="82" t="n">
        <x:v>0.351</x:v>
      </x:c>
      <x:c r="W40" s="79" t="n">
        <x:f>I40*V40</x:f>
        <x:v>44.22599999999996</x:v>
      </x:c>
      <x:c r="X40" s="79" t="n">
        <x:f>S40-U40-W40</x:f>
        <x:v>30.01399999999998</x:v>
      </x:c>
      <x:c r="Y40" s="85" t="n">
        <x:f>IFERROR(X40/I40,0)</x:f>
        <x:v>0.23820634920634928</x:v>
      </x:c>
      <x:c r="Z40" s="67" t="str">
        <x:f>IF(X40&lt;0,"亏损",IF(Y40&lt;8%,"关注","正常"))</x:f>
        <x:v>正常</x:v>
      </x:c>
    </x:row>
    <x:row r="41">
      <x:c r="A41" s="67" t="str">
        <x:v>WMS-00037</x:v>
      </x:c>
      <x:c r="B41" s="73" t="n">
        <x:v>46215.5</x:v>
      </x:c>
      <x:c r="C41" s="73" t="n">
        <x:v>46217.5</x:v>
      </x:c>
      <x:c r="D41" s="67" t="str">
        <x:v>S02</x:v>
      </x:c>
      <x:c r="E41" s="67" t="str">
        <x:v>尊宝大厦店</x:v>
      </x:c>
      <x:c r="F41" s="67" t="str">
        <x:v>美团外卖</x:v>
      </x:c>
      <x:c r="G41" s="67" t="str">
        <x:v>常规订单</x:v>
      </x:c>
      <x:c r="H41" s="70" t="n">
        <x:v>9</x:v>
      </x:c>
      <x:c r="I41" s="76" t="n">
        <x:v>396.06</x:v>
      </x:c>
      <x:c r="J41" s="76" t="n">
        <x:v>9</x:v>
      </x:c>
      <x:c r="K41" s="76" t="n">
        <x:v>27</x:v>
      </x:c>
      <x:c r="L41" s="82" t="n">
        <x:v>0.03</x:v>
      </x:c>
      <x:c r="M41" s="79" t="n">
        <x:f>I41*L41</x:f>
        <x:v>11.8818</x:v>
      </x:c>
      <x:c r="N41" s="76" t="n">
        <x:v>0</x:v>
      </x:c>
      <x:c r="O41" s="79" t="n">
        <x:f>I41+J41+K41-M41-N41</x:f>
        <x:v>420.1782</x:v>
      </x:c>
      <x:c r="P41" s="82" t="n">
        <x:v>0.18</x:v>
      </x:c>
      <x:c r="Q41" s="79" t="n">
        <x:f>I41*P41</x:f>
        <x:v>71.2908</x:v>
      </x:c>
      <x:c r="R41" s="76" t="n">
        <x:v>0.4</x:v>
      </x:c>
      <x:c r="S41" s="79" t="n">
        <x:f>I41+J41-M41-Q41-R41</x:f>
        <x:v>321.48740000000004</x:v>
      </x:c>
      <x:c r="T41" s="76" t="n">
        <x:v>1.2</x:v>
      </x:c>
      <x:c r="U41" s="79" t="n">
        <x:f>H41*T41</x:f>
        <x:v>10.799999999999999</x:v>
      </x:c>
      <x:c r="V41" s="82" t="n">
        <x:v>0.321</x:v>
      </x:c>
      <x:c r="W41" s="79" t="n">
        <x:f>I41*V41</x:f>
        <x:v>127.13526</x:v>
      </x:c>
      <x:c r="X41" s="79" t="n">
        <x:f>S41-U41-W41</x:f>
        <x:v>183.55214</x:v>
      </x:c>
      <x:c r="Y41" s="85" t="n">
        <x:f>IFERROR(X41/I41,0)</x:f>
        <x:v>0.4634452860677675</x:v>
      </x:c>
      <x:c r="Z41" s="67" t="str">
        <x:f>IF(X41&lt;0,"亏损",IF(Y41&lt;8%,"关注","正常"))</x:f>
        <x:v>正常</x:v>
      </x:c>
    </x:row>
    <x:row r="42">
      <x:c r="A42" s="67" t="str">
        <x:v>WMS-00038</x:v>
      </x:c>
      <x:c r="B42" s="73" t="n">
        <x:v>46215.5</x:v>
      </x:c>
      <x:c r="C42" s="73" t="n">
        <x:v>46217.5</x:v>
      </x:c>
      <x:c r="D42" s="67" t="str">
        <x:v>S02</x:v>
      </x:c>
      <x:c r="E42" s="67" t="str">
        <x:v>尊宝大厦店</x:v>
      </x:c>
      <x:c r="F42" s="67" t="str">
        <x:v>美团外卖</x:v>
      </x:c>
      <x:c r="G42" s="67" t="str">
        <x:v>会员券订单</x:v>
      </x:c>
      <x:c r="H42" s="70" t="n">
        <x:v>4</x:v>
      </x:c>
      <x:c r="I42" s="76" t="n">
        <x:v>201.63</x:v>
      </x:c>
      <x:c r="J42" s="76" t="n">
        <x:v>4</x:v>
      </x:c>
      <x:c r="K42" s="76" t="n">
        <x:v>12</x:v>
      </x:c>
      <x:c r="L42" s="82" t="n">
        <x:v>0.1</x:v>
      </x:c>
      <x:c r="M42" s="79" t="n">
        <x:f>I42*L42</x:f>
        <x:v>20.163</x:v>
      </x:c>
      <x:c r="N42" s="76" t="n">
        <x:v>6.05</x:v>
      </x:c>
      <x:c r="O42" s="79" t="n">
        <x:f>I42+J42+K42-M42-N42</x:f>
        <x:v>191.41699999999997</x:v>
      </x:c>
      <x:c r="P42" s="82" t="n">
        <x:v>0.18</x:v>
      </x:c>
      <x:c r="Q42" s="79" t="n">
        <x:f>I42*P42</x:f>
        <x:v>36.2934</x:v>
      </x:c>
      <x:c r="R42" s="76" t="n">
        <x:v>0.6</x:v>
      </x:c>
      <x:c r="S42" s="79" t="n">
        <x:f>I42+J42-M42-Q42-R42</x:f>
        <x:v>148.5736</x:v>
      </x:c>
      <x:c r="T42" s="76" t="n">
        <x:v>1.2</x:v>
      </x:c>
      <x:c r="U42" s="79" t="n">
        <x:f>H42*T42</x:f>
        <x:v>4.8</x:v>
      </x:c>
      <x:c r="V42" s="82" t="n">
        <x:v>0.331</x:v>
      </x:c>
      <x:c r="W42" s="79" t="n">
        <x:f>I42*V42</x:f>
        <x:v>66.73953</x:v>
      </x:c>
      <x:c r="X42" s="79" t="n">
        <x:f>S42-U42-W42</x:f>
        <x:v>77.03406999999999</x:v>
      </x:c>
      <x:c r="Y42" s="85" t="n">
        <x:f>IFERROR(X42/I42,0)</x:f>
        <x:v>0.3820565888012696</x:v>
      </x:c>
      <x:c r="Z42" s="67" t="str">
        <x:f>IF(X42&lt;0,"亏损",IF(Y42&lt;8%,"关注","正常"))</x:f>
        <x:v>正常</x:v>
      </x:c>
    </x:row>
    <x:row r="43">
      <x:c r="A43" s="67" t="str">
        <x:v>WMS-00039</x:v>
      </x:c>
      <x:c r="B43" s="73" t="n">
        <x:v>46215.5</x:v>
      </x:c>
      <x:c r="C43" s="73" t="n">
        <x:v>46217.5</x:v>
      </x:c>
      <x:c r="D43" s="67" t="str">
        <x:v>S02</x:v>
      </x:c>
      <x:c r="E43" s="67" t="str">
        <x:v>尊宝大厦店</x:v>
      </x:c>
      <x:c r="F43" s="67" t="str">
        <x:v>美团外卖</x:v>
      </x:c>
      <x:c r="G43" s="67" t="str">
        <x:v>平台活动订单</x:v>
      </x:c>
      <x:c r="H43" s="70" t="n">
        <x:v>3</x:v>
      </x:c>
      <x:c r="I43" s="76" t="n">
        <x:v>122.40999999999997</x:v>
      </x:c>
      <x:c r="J43" s="76" t="n">
        <x:v>3</x:v>
      </x:c>
      <x:c r="K43" s="76" t="n">
        <x:v>9</x:v>
      </x:c>
      <x:c r="L43" s="82" t="n">
        <x:v>0.22</x:v>
      </x:c>
      <x:c r="M43" s="79" t="n">
        <x:f>I43*L43</x:f>
        <x:v>26.930199999999992</x:v>
      </x:c>
      <x:c r="N43" s="76" t="n">
        <x:v>9.79</x:v>
      </x:c>
      <x:c r="O43" s="79" t="n">
        <x:f>I43+J43+K43-M43-N43</x:f>
        <x:v>97.68979999999999</x:v>
      </x:c>
      <x:c r="P43" s="82" t="n">
        <x:v>0.18</x:v>
      </x:c>
      <x:c r="Q43" s="79" t="n">
        <x:f>I43*P43</x:f>
        <x:v>22.033799999999992</x:v>
      </x:c>
      <x:c r="R43" s="76" t="n">
        <x:v>0.73</x:v>
      </x:c>
      <x:c r="S43" s="79" t="n">
        <x:f>I43+J43-M43-Q43-R43</x:f>
        <x:v>75.716</x:v>
      </x:c>
      <x:c r="T43" s="76" t="n">
        <x:v>1.2</x:v>
      </x:c>
      <x:c r="U43" s="79" t="n">
        <x:f>H43*T43</x:f>
        <x:v>3.5999999999999996</x:v>
      </x:c>
      <x:c r="V43" s="82" t="n">
        <x:v>0.351</x:v>
      </x:c>
      <x:c r="W43" s="79" t="n">
        <x:f>I43*V43</x:f>
        <x:v>42.96590999999999</x:v>
      </x:c>
      <x:c r="X43" s="79" t="n">
        <x:f>S43-U43-W43</x:f>
        <x:v>29.150090000000013</x:v>
      </x:c>
      <x:c r="Y43" s="85" t="n">
        <x:f>IFERROR(X43/I43,0)</x:f>
        <x:v>0.2381348746017484</x:v>
      </x:c>
      <x:c r="Z43" s="67" t="str">
        <x:f>IF(X43&lt;0,"亏损",IF(Y43&lt;8%,"关注","正常"))</x:f>
        <x:v>正常</x:v>
      </x:c>
    </x:row>
    <x:row r="44">
      <x:c r="A44" s="67" t="str">
        <x:v>WMS-00040</x:v>
      </x:c>
      <x:c r="B44" s="73" t="n">
        <x:v>46216.5</x:v>
      </x:c>
      <x:c r="C44" s="73" t="n">
        <x:v>46218.5</x:v>
      </x:c>
      <x:c r="D44" s="67" t="str">
        <x:v>S02</x:v>
      </x:c>
      <x:c r="E44" s="67" t="str">
        <x:v>尊宝大厦店</x:v>
      </x:c>
      <x:c r="F44" s="67" t="str">
        <x:v>美团外卖</x:v>
      </x:c>
      <x:c r="G44" s="67" t="str">
        <x:v>常规订单</x:v>
      </x:c>
      <x:c r="H44" s="70" t="n">
        <x:v>13</x:v>
      </x:c>
      <x:c r="I44" s="76" t="n">
        <x:v>568.1</x:v>
      </x:c>
      <x:c r="J44" s="76" t="n">
        <x:v>13</x:v>
      </x:c>
      <x:c r="K44" s="76" t="n">
        <x:v>39</x:v>
      </x:c>
      <x:c r="L44" s="82" t="n">
        <x:v>0.03</x:v>
      </x:c>
      <x:c r="M44" s="79" t="n">
        <x:f>I44*L44</x:f>
        <x:v>17.043</x:v>
      </x:c>
      <x:c r="N44" s="76" t="n">
        <x:v>0</x:v>
      </x:c>
      <x:c r="O44" s="79" t="n">
        <x:f>I44+J44+K44-M44-N44</x:f>
        <x:v>603.057</x:v>
      </x:c>
      <x:c r="P44" s="82" t="n">
        <x:v>0.18</x:v>
      </x:c>
      <x:c r="Q44" s="79" t="n">
        <x:f>I44*P44</x:f>
        <x:v>102.258</x:v>
      </x:c>
      <x:c r="R44" s="76" t="n">
        <x:v>0.57</x:v>
      </x:c>
      <x:c r="S44" s="79" t="n">
        <x:f>I44+J44-M44-Q44-R44</x:f>
        <x:v>461.22900000000004</x:v>
      </x:c>
      <x:c r="T44" s="76" t="n">
        <x:v>1.2</x:v>
      </x:c>
      <x:c r="U44" s="79" t="n">
        <x:f>H44*T44</x:f>
        <x:v>15.6</x:v>
      </x:c>
      <x:c r="V44" s="82" t="n">
        <x:v>0.321</x:v>
      </x:c>
      <x:c r="W44" s="79" t="n">
        <x:f>I44*V44</x:f>
        <x:v>182.36010000000002</x:v>
      </x:c>
      <x:c r="X44" s="79" t="n">
        <x:f>S44-U44-W44</x:f>
        <x:v>263.26890000000003</x:v>
      </x:c>
      <x:c r="Y44" s="85" t="n">
        <x:f>IFERROR(X44/I44,0)</x:f>
        <x:v>0.46341999647949306</x:v>
      </x:c>
      <x:c r="Z44" s="67" t="str">
        <x:f>IF(X44&lt;0,"亏损",IF(Y44&lt;8%,"关注","正常"))</x:f>
        <x:v>正常</x:v>
      </x:c>
    </x:row>
    <x:row r="45">
      <x:c r="A45" s="67" t="str">
        <x:v>WMS-00041</x:v>
      </x:c>
      <x:c r="B45" s="73" t="n">
        <x:v>46216.5</x:v>
      </x:c>
      <x:c r="C45" s="73" t="n">
        <x:v>46218.5</x:v>
      </x:c>
      <x:c r="D45" s="67" t="str">
        <x:v>S02</x:v>
      </x:c>
      <x:c r="E45" s="67" t="str">
        <x:v>尊宝大厦店</x:v>
      </x:c>
      <x:c r="F45" s="67" t="str">
        <x:v>美团外卖</x:v>
      </x:c>
      <x:c r="G45" s="67" t="str">
        <x:v>会员券订单</x:v>
      </x:c>
      <x:c r="H45" s="70" t="n">
        <x:v>6</x:v>
      </x:c>
      <x:c r="I45" s="76" t="n">
        <x:v>289.21</x:v>
      </x:c>
      <x:c r="J45" s="76" t="n">
        <x:v>6</x:v>
      </x:c>
      <x:c r="K45" s="76" t="n">
        <x:v>18</x:v>
      </x:c>
      <x:c r="L45" s="82" t="n">
        <x:v>0.1</x:v>
      </x:c>
      <x:c r="M45" s="79" t="n">
        <x:f>I45*L45</x:f>
        <x:v>28.921</x:v>
      </x:c>
      <x:c r="N45" s="76" t="n">
        <x:v>8.68</x:v>
      </x:c>
      <x:c r="O45" s="79" t="n">
        <x:f>I45+J45+K45-M45-N45</x:f>
        <x:v>275.609</x:v>
      </x:c>
      <x:c r="P45" s="82" t="n">
        <x:v>0.18</x:v>
      </x:c>
      <x:c r="Q45" s="79" t="n">
        <x:f>I45*P45</x:f>
        <x:v>52.05779999999999</x:v>
      </x:c>
      <x:c r="R45" s="76" t="n">
        <x:v>0.87</x:v>
      </x:c>
      <x:c r="S45" s="79" t="n">
        <x:f>I45+J45-M45-Q45-R45</x:f>
        <x:v>213.3612</x:v>
      </x:c>
      <x:c r="T45" s="76" t="n">
        <x:v>1.2</x:v>
      </x:c>
      <x:c r="U45" s="79" t="n">
        <x:f>H45*T45</x:f>
        <x:v>7.199999999999999</x:v>
      </x:c>
      <x:c r="V45" s="82" t="n">
        <x:v>0.331</x:v>
      </x:c>
      <x:c r="W45" s="79" t="n">
        <x:f>I45*V45</x:f>
        <x:v>95.72851</x:v>
      </x:c>
      <x:c r="X45" s="79" t="n">
        <x:f>S45-U45-W45</x:f>
        <x:v>110.43269000000001</x:v>
      </x:c>
      <x:c r="Y45" s="85" t="n">
        <x:f>IFERROR(X45/I45,0)</x:f>
        <x:v>0.38184257114207676</x:v>
      </x:c>
      <x:c r="Z45" s="67" t="str">
        <x:f>IF(X45&lt;0,"亏损",IF(Y45&lt;8%,"关注","正常"))</x:f>
        <x:v>正常</x:v>
      </x:c>
    </x:row>
    <x:row r="46">
      <x:c r="A46" s="67" t="str">
        <x:v>WMS-00042</x:v>
      </x:c>
      <x:c r="B46" s="73" t="n">
        <x:v>46216.5</x:v>
      </x:c>
      <x:c r="C46" s="73" t="n">
        <x:v>46218.5</x:v>
      </x:c>
      <x:c r="D46" s="67" t="str">
        <x:v>S02</x:v>
      </x:c>
      <x:c r="E46" s="67" t="str">
        <x:v>尊宝大厦店</x:v>
      </x:c>
      <x:c r="F46" s="67" t="str">
        <x:v>美团外卖</x:v>
      </x:c>
      <x:c r="G46" s="67" t="str">
        <x:v>平台活动订单</x:v>
      </x:c>
      <x:c r="H46" s="70" t="n">
        <x:v>4</x:v>
      </x:c>
      <x:c r="I46" s="76" t="n">
        <x:v>175.59000000000015</x:v>
      </x:c>
      <x:c r="J46" s="76" t="n">
        <x:v>4</x:v>
      </x:c>
      <x:c r="K46" s="76" t="n">
        <x:v>12</x:v>
      </x:c>
      <x:c r="L46" s="82" t="n">
        <x:v>0.22</x:v>
      </x:c>
      <x:c r="M46" s="79" t="n">
        <x:f>I46*L46</x:f>
        <x:v>38.62980000000003</x:v>
      </x:c>
      <x:c r="N46" s="76" t="n">
        <x:v>14.05</x:v>
      </x:c>
      <x:c r="O46" s="79" t="n">
        <x:f>I46+J46+K46-M46-N46</x:f>
        <x:v>138.9102000000001</x:v>
      </x:c>
      <x:c r="P46" s="82" t="n">
        <x:v>0.18</x:v>
      </x:c>
      <x:c r="Q46" s="79" t="n">
        <x:f>I46*P46</x:f>
        <x:v>31.606200000000026</x:v>
      </x:c>
      <x:c r="R46" s="76" t="n">
        <x:v>1.05</x:v>
      </x:c>
      <x:c r="S46" s="79" t="n">
        <x:f>I46+J46-M46-Q46-R46</x:f>
        <x:v>108.30400000000007</x:v>
      </x:c>
      <x:c r="T46" s="76" t="n">
        <x:v>1.2</x:v>
      </x:c>
      <x:c r="U46" s="79" t="n">
        <x:f>H46*T46</x:f>
        <x:v>4.8</x:v>
      </x:c>
      <x:c r="V46" s="82" t="n">
        <x:v>0.351</x:v>
      </x:c>
      <x:c r="W46" s="79" t="n">
        <x:f>I46*V46</x:f>
        <x:v>61.63209000000005</x:v>
      </x:c>
      <x:c r="X46" s="79" t="n">
        <x:f>S46-U46-W46</x:f>
        <x:v>41.87191000000003</x:v>
      </x:c>
      <x:c r="Y46" s="85" t="n">
        <x:f>IFERROR(X46/I46,0)</x:f>
        <x:v>0.23846409248818265</x:v>
      </x:c>
      <x:c r="Z46" s="67" t="str">
        <x:f>IF(X46&lt;0,"亏损",IF(Y46&lt;8%,"关注","正常"))</x:f>
        <x:v>正常</x:v>
      </x:c>
    </x:row>
    <x:row r="47">
      <x:c r="A47" s="67" t="str">
        <x:v>WMS-00043</x:v>
      </x:c>
      <x:c r="B47" s="73" t="n">
        <x:v>46210.5</x:v>
      </x:c>
      <x:c r="C47" s="73" t="n">
        <x:v>46212.5</x:v>
      </x:c>
      <x:c r="D47" s="67" t="str">
        <x:v>S03</x:v>
      </x:c>
      <x:c r="E47" s="67" t="str">
        <x:v>铂悦城店</x:v>
      </x:c>
      <x:c r="F47" s="67" t="str">
        <x:v>美团外卖</x:v>
      </x:c>
      <x:c r="G47" s="67" t="str">
        <x:v>常规订单</x:v>
      </x:c>
      <x:c r="H47" s="70" t="n">
        <x:v>12</x:v>
      </x:c>
      <x:c r="I47" s="76" t="n">
        <x:v>513.65</x:v>
      </x:c>
      <x:c r="J47" s="76" t="n">
        <x:v>12</x:v>
      </x:c>
      <x:c r="K47" s="76" t="n">
        <x:v>36</x:v>
      </x:c>
      <x:c r="L47" s="82" t="n">
        <x:v>0.03</x:v>
      </x:c>
      <x:c r="M47" s="79" t="n">
        <x:f>I47*L47</x:f>
        <x:v>15.4095</x:v>
      </x:c>
      <x:c r="N47" s="76" t="n">
        <x:v>0</x:v>
      </x:c>
      <x:c r="O47" s="79" t="n">
        <x:f>I47+J47+K47-M47-N47</x:f>
        <x:v>546.2405</x:v>
      </x:c>
      <x:c r="P47" s="82" t="n">
        <x:v>0.18</x:v>
      </x:c>
      <x:c r="Q47" s="79" t="n">
        <x:f>I47*P47</x:f>
        <x:v>92.457</x:v>
      </x:c>
      <x:c r="R47" s="76" t="n">
        <x:v>0.51</x:v>
      </x:c>
      <x:c r="S47" s="79" t="n">
        <x:f>I47+J47-M47-Q47-R47</x:f>
        <x:v>417.2735</x:v>
      </x:c>
      <x:c r="T47" s="76" t="n">
        <x:v>1.2</x:v>
      </x:c>
      <x:c r="U47" s="79" t="n">
        <x:f>H47*T47</x:f>
        <x:v>14.399999999999999</x:v>
      </x:c>
      <x:c r="V47" s="82" t="n">
        <x:v>0.322</x:v>
      </x:c>
      <x:c r="W47" s="79" t="n">
        <x:f>I47*V47</x:f>
        <x:v>165.3953</x:v>
      </x:c>
      <x:c r="X47" s="79" t="n">
        <x:f>S47-U47-W47</x:f>
        <x:v>237.47820000000004</x:v>
      </x:c>
      <x:c r="Y47" s="85" t="n">
        <x:f>IFERROR(X47/I47,0)</x:f>
        <x:v>0.4623346636814953</x:v>
      </x:c>
      <x:c r="Z47" s="67" t="str">
        <x:f>IF(X47&lt;0,"亏损",IF(Y47&lt;8%,"关注","正常"))</x:f>
        <x:v>正常</x:v>
      </x:c>
    </x:row>
    <x:row r="48">
      <x:c r="A48" s="67" t="str">
        <x:v>WMS-00044</x:v>
      </x:c>
      <x:c r="B48" s="73" t="n">
        <x:v>46210.5</x:v>
      </x:c>
      <x:c r="C48" s="73" t="n">
        <x:v>46212.5</x:v>
      </x:c>
      <x:c r="D48" s="67" t="str">
        <x:v>S03</x:v>
      </x:c>
      <x:c r="E48" s="67" t="str">
        <x:v>铂悦城店</x:v>
      </x:c>
      <x:c r="F48" s="67" t="str">
        <x:v>饿了么</x:v>
      </x:c>
      <x:c r="G48" s="67" t="str">
        <x:v>会员券订单</x:v>
      </x:c>
      <x:c r="H48" s="70" t="n">
        <x:v>6</x:v>
      </x:c>
      <x:c r="I48" s="76" t="n">
        <x:v>261.49</x:v>
      </x:c>
      <x:c r="J48" s="76" t="n">
        <x:v>6</x:v>
      </x:c>
      <x:c r="K48" s="76" t="n">
        <x:v>18</x:v>
      </x:c>
      <x:c r="L48" s="82" t="n">
        <x:v>0.1</x:v>
      </x:c>
      <x:c r="M48" s="79" t="n">
        <x:f>I48*L48</x:f>
        <x:v>26.149</x:v>
      </x:c>
      <x:c r="N48" s="76" t="n">
        <x:v>7.84</x:v>
      </x:c>
      <x:c r="O48" s="79" t="n">
        <x:f>I48+J48+K48-M48-N48</x:f>
        <x:v>251.501</x:v>
      </x:c>
      <x:c r="P48" s="82" t="n">
        <x:v>0.18</x:v>
      </x:c>
      <x:c r="Q48" s="79" t="n">
        <x:f>I48*P48</x:f>
        <x:v>47.0682</x:v>
      </x:c>
      <x:c r="R48" s="76" t="n">
        <x:v>0.78</x:v>
      </x:c>
      <x:c r="S48" s="79" t="n">
        <x:f>I48+J48-M48-Q48-R48</x:f>
        <x:v>193.49280000000002</x:v>
      </x:c>
      <x:c r="T48" s="76" t="n">
        <x:v>1.2</x:v>
      </x:c>
      <x:c r="U48" s="79" t="n">
        <x:f>H48*T48</x:f>
        <x:v>7.199999999999999</x:v>
      </x:c>
      <x:c r="V48" s="82" t="n">
        <x:v>0.332</x:v>
      </x:c>
      <x:c r="W48" s="79" t="n">
        <x:f>I48*V48</x:f>
        <x:v>86.81468000000001</x:v>
      </x:c>
      <x:c r="X48" s="79" t="n">
        <x:f>S48-U48-W48</x:f>
        <x:v>99.47812000000002</x:v>
      </x:c>
      <x:c r="Y48" s="85" t="n">
        <x:f>IFERROR(X48/I48,0)</x:f>
        <x:v>0.38042800871926274</x:v>
      </x:c>
      <x:c r="Z48" s="67" t="str">
        <x:f>IF(X48&lt;0,"亏损",IF(Y48&lt;8%,"关注","正常"))</x:f>
        <x:v>正常</x:v>
      </x:c>
    </x:row>
    <x:row r="49">
      <x:c r="A49" s="67" t="str">
        <x:v>WMS-00045</x:v>
      </x:c>
      <x:c r="B49" s="73" t="n">
        <x:v>46210.5</x:v>
      </x:c>
      <x:c r="C49" s="73" t="n">
        <x:v>46212.5</x:v>
      </x:c>
      <x:c r="D49" s="67" t="str">
        <x:v>S03</x:v>
      </x:c>
      <x:c r="E49" s="67" t="str">
        <x:v>铂悦城店</x:v>
      </x:c>
      <x:c r="F49" s="67" t="str">
        <x:v>饿了么</x:v>
      </x:c>
      <x:c r="G49" s="67" t="str">
        <x:v>平台活动订单</x:v>
      </x:c>
      <x:c r="H49" s="70" t="n">
        <x:v>3</x:v>
      </x:c>
      <x:c r="I49" s="76" t="n">
        <x:v>158.76</x:v>
      </x:c>
      <x:c r="J49" s="76" t="n">
        <x:v>3</x:v>
      </x:c>
      <x:c r="K49" s="76" t="n">
        <x:v>9</x:v>
      </x:c>
      <x:c r="L49" s="82" t="n">
        <x:v>0.22</x:v>
      </x:c>
      <x:c r="M49" s="79" t="n">
        <x:f>I49*L49</x:f>
        <x:v>34.9272</x:v>
      </x:c>
      <x:c r="N49" s="76" t="n">
        <x:v>12.7</x:v>
      </x:c>
      <x:c r="O49" s="79" t="n">
        <x:f>I49+J49+K49-M49-N49</x:f>
        <x:v>123.13279999999999</x:v>
      </x:c>
      <x:c r="P49" s="82" t="n">
        <x:v>0.18</x:v>
      </x:c>
      <x:c r="Q49" s="79" t="n">
        <x:f>I49*P49</x:f>
        <x:v>28.5768</x:v>
      </x:c>
      <x:c r="R49" s="76" t="n">
        <x:v>0.95</x:v>
      </x:c>
      <x:c r="S49" s="79" t="n">
        <x:f>I49+J49-M49-Q49-R49</x:f>
        <x:v>97.306</x:v>
      </x:c>
      <x:c r="T49" s="76" t="n">
        <x:v>1.2</x:v>
      </x:c>
      <x:c r="U49" s="79" t="n">
        <x:f>H49*T49</x:f>
        <x:v>3.5999999999999996</x:v>
      </x:c>
      <x:c r="V49" s="82" t="n">
        <x:v>0.352</x:v>
      </x:c>
      <x:c r="W49" s="79" t="n">
        <x:f>I49*V49</x:f>
        <x:v>55.88351999999999</x:v>
      </x:c>
      <x:c r="X49" s="79" t="n">
        <x:f>S49-U49-W49</x:f>
        <x:v>37.82248000000001</x:v>
      </x:c>
      <x:c r="Y49" s="85" t="n">
        <x:f>IFERROR(X49/I49,0)</x:f>
        <x:v>0.2382368354749308</x:v>
      </x:c>
      <x:c r="Z49" s="67" t="str">
        <x:f>IF(X49&lt;0,"亏损",IF(Y49&lt;8%,"关注","正常"))</x:f>
        <x:v>正常</x:v>
      </x:c>
    </x:row>
    <x:row r="50">
      <x:c r="A50" s="67" t="str">
        <x:v>WMS-00046</x:v>
      </x:c>
      <x:c r="B50" s="73" t="n">
        <x:v>46211.5</x:v>
      </x:c>
      <x:c r="C50" s="73" t="n">
        <x:v>46213.5</x:v>
      </x:c>
      <x:c r="D50" s="67" t="str">
        <x:v>S03</x:v>
      </x:c>
      <x:c r="E50" s="67" t="str">
        <x:v>铂悦城店</x:v>
      </x:c>
      <x:c r="F50" s="67" t="str">
        <x:v>饿了么</x:v>
      </x:c>
      <x:c r="G50" s="67" t="str">
        <x:v>常规订单</x:v>
      </x:c>
      <x:c r="H50" s="70" t="n">
        <x:v>11</x:v>
      </x:c>
      <x:c r="I50" s="76" t="n">
        <x:v>499.95</x:v>
      </x:c>
      <x:c r="J50" s="76" t="n">
        <x:v>11</x:v>
      </x:c>
      <x:c r="K50" s="76" t="n">
        <x:v>33</x:v>
      </x:c>
      <x:c r="L50" s="82" t="n">
        <x:v>0.03</x:v>
      </x:c>
      <x:c r="M50" s="79" t="n">
        <x:f>I50*L50</x:f>
        <x:v>14.9985</x:v>
      </x:c>
      <x:c r="N50" s="76" t="n">
        <x:v>0</x:v>
      </x:c>
      <x:c r="O50" s="79" t="n">
        <x:f>I50+J50+K50-M50-N50</x:f>
        <x:v>528.9515</x:v>
      </x:c>
      <x:c r="P50" s="82" t="n">
        <x:v>0.18</x:v>
      </x:c>
      <x:c r="Q50" s="79" t="n">
        <x:f>I50*P50</x:f>
        <x:v>89.991</x:v>
      </x:c>
      <x:c r="R50" s="76" t="n">
        <x:v>0.5</x:v>
      </x:c>
      <x:c r="S50" s="79" t="n">
        <x:f>I50+J50-M50-Q50-R50</x:f>
        <x:v>405.4605</x:v>
      </x:c>
      <x:c r="T50" s="76" t="n">
        <x:v>1.2</x:v>
      </x:c>
      <x:c r="U50" s="79" t="n">
        <x:f>H50*T50</x:f>
        <x:v>13.2</x:v>
      </x:c>
      <x:c r="V50" s="82" t="n">
        <x:v>0.322</x:v>
      </x:c>
      <x:c r="W50" s="79" t="n">
        <x:f>I50*V50</x:f>
        <x:v>160.9839</x:v>
      </x:c>
      <x:c r="X50" s="79" t="n">
        <x:f>S50-U50-W50</x:f>
        <x:v>231.27660000000003</x:v>
      </x:c>
      <x:c r="Y50" s="85" t="n">
        <x:f>IFERROR(X50/I50,0)</x:f>
        <x:v>0.46259945994599466</x:v>
      </x:c>
      <x:c r="Z50" s="67" t="str">
        <x:f>IF(X50&lt;0,"亏损",IF(Y50&lt;8%,"关注","正常"))</x:f>
        <x:v>正常</x:v>
      </x:c>
    </x:row>
    <x:row r="51">
      <x:c r="A51" s="67" t="str">
        <x:v>WMS-00047</x:v>
      </x:c>
      <x:c r="B51" s="73" t="n">
        <x:v>46211.5</x:v>
      </x:c>
      <x:c r="C51" s="73" t="n">
        <x:v>46213.5</x:v>
      </x:c>
      <x:c r="D51" s="67" t="str">
        <x:v>S03</x:v>
      </x:c>
      <x:c r="E51" s="67" t="str">
        <x:v>铂悦城店</x:v>
      </x:c>
      <x:c r="F51" s="67" t="str">
        <x:v>饿了么</x:v>
      </x:c>
      <x:c r="G51" s="67" t="str">
        <x:v>会员券订单</x:v>
      </x:c>
      <x:c r="H51" s="70" t="n">
        <x:v>6</x:v>
      </x:c>
      <x:c r="I51" s="76" t="n">
        <x:v>254.52</x:v>
      </x:c>
      <x:c r="J51" s="76" t="n">
        <x:v>6</x:v>
      </x:c>
      <x:c r="K51" s="76" t="n">
        <x:v>18</x:v>
      </x:c>
      <x:c r="L51" s="82" t="n">
        <x:v>0.1</x:v>
      </x:c>
      <x:c r="M51" s="79" t="n">
        <x:f>I51*L51</x:f>
        <x:v>25.452</x:v>
      </x:c>
      <x:c r="N51" s="76" t="n">
        <x:v>7.64</x:v>
      </x:c>
      <x:c r="O51" s="79" t="n">
        <x:f>I51+J51+K51-M51-N51</x:f>
        <x:v>245.428</x:v>
      </x:c>
      <x:c r="P51" s="82" t="n">
        <x:v>0.18</x:v>
      </x:c>
      <x:c r="Q51" s="79" t="n">
        <x:f>I51*P51</x:f>
        <x:v>45.8136</x:v>
      </x:c>
      <x:c r="R51" s="76" t="n">
        <x:v>0.76</x:v>
      </x:c>
      <x:c r="S51" s="79" t="n">
        <x:f>I51+J51-M51-Q51-R51</x:f>
        <x:v>188.49439999999998</x:v>
      </x:c>
      <x:c r="T51" s="76" t="n">
        <x:v>1.2</x:v>
      </x:c>
      <x:c r="U51" s="79" t="n">
        <x:f>H51*T51</x:f>
        <x:v>7.199999999999999</x:v>
      </x:c>
      <x:c r="V51" s="82" t="n">
        <x:v>0.332</x:v>
      </x:c>
      <x:c r="W51" s="79" t="n">
        <x:f>I51*V51</x:f>
        <x:v>84.50064</x:v>
      </x:c>
      <x:c r="X51" s="79" t="n">
        <x:f>S51-U51-W51</x:f>
        <x:v>96.79375999999999</x:v>
      </x:c>
      <x:c r="Y51" s="85" t="n">
        <x:f>IFERROR(X51/I51,0)</x:f>
        <x:v>0.38029922992299225</x:v>
      </x:c>
      <x:c r="Z51" s="67" t="str">
        <x:f>IF(X51&lt;0,"亏损",IF(Y51&lt;8%,"关注","正常"))</x:f>
        <x:v>正常</x:v>
      </x:c>
    </x:row>
    <x:row r="52">
      <x:c r="A52" s="67" t="str">
        <x:v>WMS-00048</x:v>
      </x:c>
      <x:c r="B52" s="73" t="n">
        <x:v>46211.5</x:v>
      </x:c>
      <x:c r="C52" s="73" t="n">
        <x:v>46213.5</x:v>
      </x:c>
      <x:c r="D52" s="67" t="str">
        <x:v>S03</x:v>
      </x:c>
      <x:c r="E52" s="67" t="str">
        <x:v>铂悦城店</x:v>
      </x:c>
      <x:c r="F52" s="67" t="str">
        <x:v>饿了么</x:v>
      </x:c>
      <x:c r="G52" s="67" t="str">
        <x:v>平台活动订单</x:v>
      </x:c>
      <x:c r="H52" s="70" t="n">
        <x:v>3</x:v>
      </x:c>
      <x:c r="I52" s="76" t="n">
        <x:v>154.52999999999997</x:v>
      </x:c>
      <x:c r="J52" s="76" t="n">
        <x:v>3</x:v>
      </x:c>
      <x:c r="K52" s="76" t="n">
        <x:v>9</x:v>
      </x:c>
      <x:c r="L52" s="82" t="n">
        <x:v>0.22</x:v>
      </x:c>
      <x:c r="M52" s="79" t="n">
        <x:f>I52*L52</x:f>
        <x:v>33.996599999999994</x:v>
      </x:c>
      <x:c r="N52" s="76" t="n">
        <x:v>12.36</x:v>
      </x:c>
      <x:c r="O52" s="79" t="n">
        <x:f>I52+J52+K52-M52-N52</x:f>
        <x:v>120.17339999999997</x:v>
      </x:c>
      <x:c r="P52" s="82" t="n">
        <x:v>0.18</x:v>
      </x:c>
      <x:c r="Q52" s="79" t="n">
        <x:f>I52*P52</x:f>
        <x:v>27.815399999999993</x:v>
      </x:c>
      <x:c r="R52" s="76" t="n">
        <x:v>0.93</x:v>
      </x:c>
      <x:c r="S52" s="79" t="n">
        <x:f>I52+J52-M52-Q52-R52</x:f>
        <x:v>94.78799999999997</x:v>
      </x:c>
      <x:c r="T52" s="76" t="n">
        <x:v>1.2</x:v>
      </x:c>
      <x:c r="U52" s="79" t="n">
        <x:f>H52*T52</x:f>
        <x:v>3.5999999999999996</x:v>
      </x:c>
      <x:c r="V52" s="82" t="n">
        <x:v>0.352</x:v>
      </x:c>
      <x:c r="W52" s="79" t="n">
        <x:f>I52*V52</x:f>
        <x:v>54.394559999999984</x:v>
      </x:c>
      <x:c r="X52" s="79" t="n">
        <x:f>S52-U52-W52</x:f>
        <x:v>36.79343999999999</x:v>
      </x:c>
      <x:c r="Y52" s="85" t="n">
        <x:f>IFERROR(X52/I52,0)</x:f>
        <x:v>0.23809900990099006</x:v>
      </x:c>
      <x:c r="Z52" s="67" t="str">
        <x:f>IF(X52&lt;0,"亏损",IF(Y52&lt;8%,"关注","正常"))</x:f>
        <x:v>正常</x:v>
      </x:c>
    </x:row>
    <x:row r="53">
      <x:c r="A53" s="67" t="str">
        <x:v>WMS-00049</x:v>
      </x:c>
      <x:c r="B53" s="73" t="n">
        <x:v>46212.5</x:v>
      </x:c>
      <x:c r="C53" s="73" t="n">
        <x:v>46214.5</x:v>
      </x:c>
      <x:c r="D53" s="67" t="str">
        <x:v>S03</x:v>
      </x:c>
      <x:c r="E53" s="67" t="str">
        <x:v>铂悦城店</x:v>
      </x:c>
      <x:c r="F53" s="67" t="str">
        <x:v>饿了么</x:v>
      </x:c>
      <x:c r="G53" s="67" t="str">
        <x:v>常规订单</x:v>
      </x:c>
      <x:c r="H53" s="70" t="n">
        <x:v>11</x:v>
      </x:c>
      <x:c r="I53" s="76" t="n">
        <x:v>489.45</x:v>
      </x:c>
      <x:c r="J53" s="76" t="n">
        <x:v>11</x:v>
      </x:c>
      <x:c r="K53" s="76" t="n">
        <x:v>33</x:v>
      </x:c>
      <x:c r="L53" s="82" t="n">
        <x:v>0.03</x:v>
      </x:c>
      <x:c r="M53" s="79" t="n">
        <x:f>I53*L53</x:f>
        <x:v>14.683499999999999</x:v>
      </x:c>
      <x:c r="N53" s="76" t="n">
        <x:v>0</x:v>
      </x:c>
      <x:c r="O53" s="79" t="n">
        <x:f>I53+J53+K53-M53-N53</x:f>
        <x:v>518.7665000000001</x:v>
      </x:c>
      <x:c r="P53" s="82" t="n">
        <x:v>0.18</x:v>
      </x:c>
      <x:c r="Q53" s="79" t="n">
        <x:f>I53*P53</x:f>
        <x:v>88.101</x:v>
      </x:c>
      <x:c r="R53" s="76" t="n">
        <x:v>0.49</x:v>
      </x:c>
      <x:c r="S53" s="79" t="n">
        <x:f>I53+J53-M53-Q53-R53</x:f>
        <x:v>397.1755</x:v>
      </x:c>
      <x:c r="T53" s="76" t="n">
        <x:v>1.2</x:v>
      </x:c>
      <x:c r="U53" s="79" t="n">
        <x:f>H53*T53</x:f>
        <x:v>13.2</x:v>
      </x:c>
      <x:c r="V53" s="82" t="n">
        <x:v>0.322</x:v>
      </x:c>
      <x:c r="W53" s="79" t="n">
        <x:f>I53*V53</x:f>
        <x:v>157.6029</x:v>
      </x:c>
      <x:c r="X53" s="79" t="n">
        <x:f>S53-U53-W53</x:f>
        <x:v>226.3726</x:v>
      </x:c>
      <x:c r="Y53" s="85" t="n">
        <x:f>IFERROR(X53/I53,0)</x:f>
        <x:v>0.46250403514148536</x:v>
      </x:c>
      <x:c r="Z53" s="67" t="str">
        <x:f>IF(X53&lt;0,"亏损",IF(Y53&lt;8%,"关注","正常"))</x:f>
        <x:v>正常</x:v>
      </x:c>
    </x:row>
    <x:row r="54">
      <x:c r="A54" s="67" t="str">
        <x:v>WMS-00050</x:v>
      </x:c>
      <x:c r="B54" s="73" t="n">
        <x:v>46212.5</x:v>
      </x:c>
      <x:c r="C54" s="73" t="n">
        <x:v>46214.5</x:v>
      </x:c>
      <x:c r="D54" s="67" t="str">
        <x:v>S03</x:v>
      </x:c>
      <x:c r="E54" s="67" t="str">
        <x:v>铂悦城店</x:v>
      </x:c>
      <x:c r="F54" s="67" t="str">
        <x:v>饿了么</x:v>
      </x:c>
      <x:c r="G54" s="67" t="str">
        <x:v>会员券订单</x:v>
      </x:c>
      <x:c r="H54" s="70" t="n">
        <x:v>6</x:v>
      </x:c>
      <x:c r="I54" s="76" t="n">
        <x:v>249.17</x:v>
      </x:c>
      <x:c r="J54" s="76" t="n">
        <x:v>6</x:v>
      </x:c>
      <x:c r="K54" s="76" t="n">
        <x:v>18</x:v>
      </x:c>
      <x:c r="L54" s="82" t="n">
        <x:v>0.1</x:v>
      </x:c>
      <x:c r="M54" s="79" t="n">
        <x:f>I54*L54</x:f>
        <x:v>24.917</x:v>
      </x:c>
      <x:c r="N54" s="76" t="n">
        <x:v>7.48</x:v>
      </x:c>
      <x:c r="O54" s="79" t="n">
        <x:f>I54+J54+K54-M54-N54</x:f>
        <x:v>240.77299999999997</x:v>
      </x:c>
      <x:c r="P54" s="82" t="n">
        <x:v>0.18</x:v>
      </x:c>
      <x:c r="Q54" s="79" t="n">
        <x:f>I54*P54</x:f>
        <x:v>44.85059999999999</x:v>
      </x:c>
      <x:c r="R54" s="76" t="n">
        <x:v>0.75</x:v>
      </x:c>
      <x:c r="S54" s="79" t="n">
        <x:f>I54+J54-M54-Q54-R54</x:f>
        <x:v>184.6524</x:v>
      </x:c>
      <x:c r="T54" s="76" t="n">
        <x:v>1.2</x:v>
      </x:c>
      <x:c r="U54" s="79" t="n">
        <x:f>H54*T54</x:f>
        <x:v>7.199999999999999</x:v>
      </x:c>
      <x:c r="V54" s="82" t="n">
        <x:v>0.332</x:v>
      </x:c>
      <x:c r="W54" s="79" t="n">
        <x:f>I54*V54</x:f>
        <x:v>82.72444</x:v>
      </x:c>
      <x:c r="X54" s="79" t="n">
        <x:f>S54-U54-W54</x:f>
        <x:v>94.72796000000001</x:v>
      </x:c>
      <x:c r="Y54" s="85" t="n">
        <x:f>IFERROR(X54/I54,0)</x:f>
        <x:v>0.3801740177388932</x:v>
      </x:c>
      <x:c r="Z54" s="67" t="str">
        <x:f>IF(X54&lt;0,"亏损",IF(Y54&lt;8%,"关注","正常"))</x:f>
        <x:v>正常</x:v>
      </x:c>
    </x:row>
    <x:row r="55">
      <x:c r="A55" s="67" t="str">
        <x:v>WMS-00051</x:v>
      </x:c>
      <x:c r="B55" s="73" t="n">
        <x:v>46212.5</x:v>
      </x:c>
      <x:c r="C55" s="73" t="n">
        <x:v>46214.5</x:v>
      </x:c>
      <x:c r="D55" s="67" t="str">
        <x:v>S03</x:v>
      </x:c>
      <x:c r="E55" s="67" t="str">
        <x:v>铂悦城店</x:v>
      </x:c>
      <x:c r="F55" s="67" t="str">
        <x:v>美团外卖</x:v>
      </x:c>
      <x:c r="G55" s="67" t="str">
        <x:v>平台活动订单</x:v>
      </x:c>
      <x:c r="H55" s="70" t="n">
        <x:v>3</x:v>
      </x:c>
      <x:c r="I55" s="76" t="n">
        <x:v>151.27999999999997</x:v>
      </x:c>
      <x:c r="J55" s="76" t="n">
        <x:v>3</x:v>
      </x:c>
      <x:c r="K55" s="76" t="n">
        <x:v>9</x:v>
      </x:c>
      <x:c r="L55" s="82" t="n">
        <x:v>0.22</x:v>
      </x:c>
      <x:c r="M55" s="79" t="n">
        <x:f>I55*L55</x:f>
        <x:v>33.2816</x:v>
      </x:c>
      <x:c r="N55" s="76" t="n">
        <x:v>12.1</x:v>
      </x:c>
      <x:c r="O55" s="79" t="n">
        <x:f>I55+J55+K55-M55-N55</x:f>
        <x:v>117.89839999999998</x:v>
      </x:c>
      <x:c r="P55" s="82" t="n">
        <x:v>0.18</x:v>
      </x:c>
      <x:c r="Q55" s="79" t="n">
        <x:f>I55*P55</x:f>
        <x:v>27.230399999999992</x:v>
      </x:c>
      <x:c r="R55" s="76" t="n">
        <x:v>0.91</x:v>
      </x:c>
      <x:c r="S55" s="79" t="n">
        <x:f>I55+J55-M55-Q55-R55</x:f>
        <x:v>92.85799999999999</x:v>
      </x:c>
      <x:c r="T55" s="76" t="n">
        <x:v>1.2</x:v>
      </x:c>
      <x:c r="U55" s="79" t="n">
        <x:f>H55*T55</x:f>
        <x:v>3.5999999999999996</x:v>
      </x:c>
      <x:c r="V55" s="82" t="n">
        <x:v>0.352</x:v>
      </x:c>
      <x:c r="W55" s="79" t="n">
        <x:f>I55*V55</x:f>
        <x:v>53.250559999999986</x:v>
      </x:c>
      <x:c r="X55" s="79" t="n">
        <x:f>S55-U55-W55</x:f>
        <x:v>36.00744000000001</x:v>
      </x:c>
      <x:c r="Y55" s="85" t="n">
        <x:f>IFERROR(X55/I55,0)</x:f>
        <x:v>0.23801850872554214</x:v>
      </x:c>
      <x:c r="Z55" s="67" t="str">
        <x:f>IF(X55&lt;0,"亏损",IF(Y55&lt;8%,"关注","正常"))</x:f>
        <x:v>正常</x:v>
      </x:c>
    </x:row>
    <x:row r="56">
      <x:c r="A56" s="67" t="str">
        <x:v>WMS-00052</x:v>
      </x:c>
      <x:c r="B56" s="73" t="n">
        <x:v>46213.5</x:v>
      </x:c>
      <x:c r="C56" s="73" t="n">
        <x:v>46215.5</x:v>
      </x:c>
      <x:c r="D56" s="67" t="str">
        <x:v>S03</x:v>
      </x:c>
      <x:c r="E56" s="67" t="str">
        <x:v>铂悦城店</x:v>
      </x:c>
      <x:c r="F56" s="67" t="str">
        <x:v>饿了么</x:v>
      </x:c>
      <x:c r="G56" s="67" t="str">
        <x:v>常规订单</x:v>
      </x:c>
      <x:c r="H56" s="70" t="n">
        <x:v>12</x:v>
      </x:c>
      <x:c r="I56" s="76" t="n">
        <x:v>508.15</x:v>
      </x:c>
      <x:c r="J56" s="76" t="n">
        <x:v>12</x:v>
      </x:c>
      <x:c r="K56" s="76" t="n">
        <x:v>36</x:v>
      </x:c>
      <x:c r="L56" s="82" t="n">
        <x:v>0.03</x:v>
      </x:c>
      <x:c r="M56" s="79" t="n">
        <x:f>I56*L56</x:f>
        <x:v>15.244499999999999</x:v>
      </x:c>
      <x:c r="N56" s="76" t="n">
        <x:v>0</x:v>
      </x:c>
      <x:c r="O56" s="79" t="n">
        <x:f>I56+J56+K56-M56-N56</x:f>
        <x:v>540.9055</x:v>
      </x:c>
      <x:c r="P56" s="82" t="n">
        <x:v>0.18</x:v>
      </x:c>
      <x:c r="Q56" s="79" t="n">
        <x:f>I56*P56</x:f>
        <x:v>91.467</x:v>
      </x:c>
      <x:c r="R56" s="76" t="n">
        <x:v>0.51</x:v>
      </x:c>
      <x:c r="S56" s="79" t="n">
        <x:f>I56+J56-M56-Q56-R56</x:f>
        <x:v>412.9285</x:v>
      </x:c>
      <x:c r="T56" s="76" t="n">
        <x:v>1.2</x:v>
      </x:c>
      <x:c r="U56" s="79" t="n">
        <x:f>H56*T56</x:f>
        <x:v>14.399999999999999</x:v>
      </x:c>
      <x:c r="V56" s="82" t="n">
        <x:v>0.322</x:v>
      </x:c>
      <x:c r="W56" s="79" t="n">
        <x:f>I56*V56</x:f>
        <x:v>163.6243</x:v>
      </x:c>
      <x:c r="X56" s="79" t="n">
        <x:f>S56-U56-W56</x:f>
        <x:v>234.9042</x:v>
      </x:c>
      <x:c r="Y56" s="85" t="n">
        <x:f>IFERROR(X56/I56,0)</x:f>
        <x:v>0.4622733444848962</x:v>
      </x:c>
      <x:c r="Z56" s="67" t="str">
        <x:f>IF(X56&lt;0,"亏损",IF(Y56&lt;8%,"关注","正常"))</x:f>
        <x:v>正常</x:v>
      </x:c>
    </x:row>
    <x:row r="57">
      <x:c r="A57" s="67" t="str">
        <x:v>WMS-00053</x:v>
      </x:c>
      <x:c r="B57" s="73" t="n">
        <x:v>46213.5</x:v>
      </x:c>
      <x:c r="C57" s="73" t="n">
        <x:v>46215.5</x:v>
      </x:c>
      <x:c r="D57" s="67" t="str">
        <x:v>S03</x:v>
      </x:c>
      <x:c r="E57" s="67" t="str">
        <x:v>铂悦城店</x:v>
      </x:c>
      <x:c r="F57" s="67" t="str">
        <x:v>美团外卖</x:v>
      </x:c>
      <x:c r="G57" s="67" t="str">
        <x:v>会员券订单</x:v>
      </x:c>
      <x:c r="H57" s="70" t="n">
        <x:v>6</x:v>
      </x:c>
      <x:c r="I57" s="76" t="n">
        <x:v>258.69</x:v>
      </x:c>
      <x:c r="J57" s="76" t="n">
        <x:v>6</x:v>
      </x:c>
      <x:c r="K57" s="76" t="n">
        <x:v>18</x:v>
      </x:c>
      <x:c r="L57" s="82" t="n">
        <x:v>0.1</x:v>
      </x:c>
      <x:c r="M57" s="79" t="n">
        <x:f>I57*L57</x:f>
        <x:v>25.869</x:v>
      </x:c>
      <x:c r="N57" s="76" t="n">
        <x:v>7.76</x:v>
      </x:c>
      <x:c r="O57" s="79" t="n">
        <x:f>I57+J57+K57-M57-N57</x:f>
        <x:v>249.06100000000004</x:v>
      </x:c>
      <x:c r="P57" s="82" t="n">
        <x:v>0.18</x:v>
      </x:c>
      <x:c r="Q57" s="79" t="n">
        <x:f>I57*P57</x:f>
        <x:v>46.5642</x:v>
      </x:c>
      <x:c r="R57" s="76" t="n">
        <x:v>0.78</x:v>
      </x:c>
      <x:c r="S57" s="79" t="n">
        <x:f>I57+J57-M57-Q57-R57</x:f>
        <x:v>191.4768</x:v>
      </x:c>
      <x:c r="T57" s="76" t="n">
        <x:v>1.2</x:v>
      </x:c>
      <x:c r="U57" s="79" t="n">
        <x:f>H57*T57</x:f>
        <x:v>7.199999999999999</x:v>
      </x:c>
      <x:c r="V57" s="82" t="n">
        <x:v>0.332</x:v>
      </x:c>
      <x:c r="W57" s="79" t="n">
        <x:f>I57*V57</x:f>
        <x:v>85.88508</x:v>
      </x:c>
      <x:c r="X57" s="79" t="n">
        <x:f>S57-U57-W57</x:f>
        <x:v>98.39172</x:v>
      </x:c>
      <x:c r="Y57" s="85" t="n">
        <x:f>IFERROR(X57/I57,0)</x:f>
        <x:v>0.3803460512582628</x:v>
      </x:c>
      <x:c r="Z57" s="67" t="str">
        <x:f>IF(X57&lt;0,"亏损",IF(Y57&lt;8%,"关注","正常"))</x:f>
        <x:v>正常</x:v>
      </x:c>
    </x:row>
    <x:row r="58">
      <x:c r="A58" s="67" t="str">
        <x:v>WMS-00054</x:v>
      </x:c>
      <x:c r="B58" s="73" t="n">
        <x:v>46213.5</x:v>
      </x:c>
      <x:c r="C58" s="73" t="n">
        <x:v>46215.5</x:v>
      </x:c>
      <x:c r="D58" s="67" t="str">
        <x:v>S03</x:v>
      </x:c>
      <x:c r="E58" s="67" t="str">
        <x:v>铂悦城店</x:v>
      </x:c>
      <x:c r="F58" s="67" t="str">
        <x:v>美团外卖</x:v>
      </x:c>
      <x:c r="G58" s="67" t="str">
        <x:v>平台活动订单</x:v>
      </x:c>
      <x:c r="H58" s="70" t="n">
        <x:v>3</x:v>
      </x:c>
      <x:c r="I58" s="76" t="n">
        <x:v>157.06000000000006</x:v>
      </x:c>
      <x:c r="J58" s="76" t="n">
        <x:v>3</x:v>
      </x:c>
      <x:c r="K58" s="76" t="n">
        <x:v>9</x:v>
      </x:c>
      <x:c r="L58" s="82" t="n">
        <x:v>0.22</x:v>
      </x:c>
      <x:c r="M58" s="79" t="n">
        <x:f>I58*L58</x:f>
        <x:v>34.55320000000001</x:v>
      </x:c>
      <x:c r="N58" s="76" t="n">
        <x:v>12.56</x:v>
      </x:c>
      <x:c r="O58" s="79" t="n">
        <x:f>I58+J58+K58-M58-N58</x:f>
        <x:v>121.94680000000005</x:v>
      </x:c>
      <x:c r="P58" s="82" t="n">
        <x:v>0.18</x:v>
      </x:c>
      <x:c r="Q58" s="79" t="n">
        <x:f>I58*P58</x:f>
        <x:v>28.27080000000001</x:v>
      </x:c>
      <x:c r="R58" s="76" t="n">
        <x:v>0.94</x:v>
      </x:c>
      <x:c r="S58" s="79" t="n">
        <x:f>I58+J58-M58-Q58-R58</x:f>
        <x:v>96.29600000000005</x:v>
      </x:c>
      <x:c r="T58" s="76" t="n">
        <x:v>1.2</x:v>
      </x:c>
      <x:c r="U58" s="79" t="n">
        <x:f>H58*T58</x:f>
        <x:v>3.5999999999999996</x:v>
      </x:c>
      <x:c r="V58" s="82" t="n">
        <x:v>0.352</x:v>
      </x:c>
      <x:c r="W58" s="79" t="n">
        <x:f>I58*V58</x:f>
        <x:v>55.28512000000002</x:v>
      </x:c>
      <x:c r="X58" s="79" t="n">
        <x:f>S58-U58-W58</x:f>
        <x:v>37.410880000000034</x:v>
      </x:c>
      <x:c r="Y58" s="85" t="n">
        <x:f>IFERROR(X58/I58,0)</x:f>
        <x:v>0.23819483000127353</x:v>
      </x:c>
      <x:c r="Z58" s="67" t="str">
        <x:f>IF(X58&lt;0,"亏损",IF(Y58&lt;8%,"关注","正常"))</x:f>
        <x:v>正常</x:v>
      </x:c>
    </x:row>
    <x:row r="59">
      <x:c r="A59" s="67" t="str">
        <x:v>WMS-00055</x:v>
      </x:c>
      <x:c r="B59" s="73" t="n">
        <x:v>46214.5</x:v>
      </x:c>
      <x:c r="C59" s="73" t="n">
        <x:v>46216.5</x:v>
      </x:c>
      <x:c r="D59" s="67" t="str">
        <x:v>S03</x:v>
      </x:c>
      <x:c r="E59" s="67" t="str">
        <x:v>铂悦城店</x:v>
      </x:c>
      <x:c r="F59" s="67" t="str">
        <x:v>美团外卖</x:v>
      </x:c>
      <x:c r="G59" s="67" t="str">
        <x:v>常规订单</x:v>
      </x:c>
      <x:c r="H59" s="70" t="n">
        <x:v>9</x:v>
      </x:c>
      <x:c r="I59" s="76" t="n">
        <x:v>387.86</x:v>
      </x:c>
      <x:c r="J59" s="76" t="n">
        <x:v>9</x:v>
      </x:c>
      <x:c r="K59" s="76" t="n">
        <x:v>27</x:v>
      </x:c>
      <x:c r="L59" s="82" t="n">
        <x:v>0.03</x:v>
      </x:c>
      <x:c r="M59" s="79" t="n">
        <x:f>I59*L59</x:f>
        <x:v>11.6358</x:v>
      </x:c>
      <x:c r="N59" s="76" t="n">
        <x:v>0</x:v>
      </x:c>
      <x:c r="O59" s="79" t="n">
        <x:f>I59+J59+K59-M59-N59</x:f>
        <x:v>412.2242</x:v>
      </x:c>
      <x:c r="P59" s="82" t="n">
        <x:v>0.18</x:v>
      </x:c>
      <x:c r="Q59" s="79" t="n">
        <x:f>I59*P59</x:f>
        <x:v>69.8148</x:v>
      </x:c>
      <x:c r="R59" s="76" t="n">
        <x:v>0.39</x:v>
      </x:c>
      <x:c r="S59" s="79" t="n">
        <x:f>I59+J59-M59-Q59-R59</x:f>
        <x:v>315.0194</x:v>
      </x:c>
      <x:c r="T59" s="76" t="n">
        <x:v>1.2</x:v>
      </x:c>
      <x:c r="U59" s="79" t="n">
        <x:f>H59*T59</x:f>
        <x:v>10.799999999999999</x:v>
      </x:c>
      <x:c r="V59" s="82" t="n">
        <x:v>0.322</x:v>
      </x:c>
      <x:c r="W59" s="79" t="n">
        <x:f>I59*V59</x:f>
        <x:v>124.89092000000001</x:v>
      </x:c>
      <x:c r="X59" s="79" t="n">
        <x:f>S59-U59-W59</x:f>
        <x:v>179.32848</x:v>
      </x:c>
      <x:c r="Y59" s="85" t="n">
        <x:f>IFERROR(X59/I59,0)</x:f>
        <x:v>0.46235363275408653</x:v>
      </x:c>
      <x:c r="Z59" s="67" t="str">
        <x:f>IF(X59&lt;0,"亏损",IF(Y59&lt;8%,"关注","正常"))</x:f>
        <x:v>正常</x:v>
      </x:c>
    </x:row>
    <x:row r="60">
      <x:c r="A60" s="67" t="str">
        <x:v>WMS-00056</x:v>
      </x:c>
      <x:c r="B60" s="73" t="n">
        <x:v>46214.5</x:v>
      </x:c>
      <x:c r="C60" s="73" t="n">
        <x:v>46216.5</x:v>
      </x:c>
      <x:c r="D60" s="67" t="str">
        <x:v>S03</x:v>
      </x:c>
      <x:c r="E60" s="67" t="str">
        <x:v>铂悦城店</x:v>
      </x:c>
      <x:c r="F60" s="67" t="str">
        <x:v>美团外卖</x:v>
      </x:c>
      <x:c r="G60" s="67" t="str">
        <x:v>会员券订单</x:v>
      </x:c>
      <x:c r="H60" s="70" t="n">
        <x:v>4</x:v>
      </x:c>
      <x:c r="I60" s="76" t="n">
        <x:v>197.46</x:v>
      </x:c>
      <x:c r="J60" s="76" t="n">
        <x:v>4</x:v>
      </x:c>
      <x:c r="K60" s="76" t="n">
        <x:v>12</x:v>
      </x:c>
      <x:c r="L60" s="82" t="n">
        <x:v>0.1</x:v>
      </x:c>
      <x:c r="M60" s="79" t="n">
        <x:f>I60*L60</x:f>
        <x:v>19.746000000000002</x:v>
      </x:c>
      <x:c r="N60" s="76" t="n">
        <x:v>5.92</x:v>
      </x:c>
      <x:c r="O60" s="79" t="n">
        <x:f>I60+J60+K60-M60-N60</x:f>
        <x:v>187.794</x:v>
      </x:c>
      <x:c r="P60" s="82" t="n">
        <x:v>0.18</x:v>
      </x:c>
      <x:c r="Q60" s="79" t="n">
        <x:f>I60*P60</x:f>
        <x:v>35.5428</x:v>
      </x:c>
      <x:c r="R60" s="76" t="n">
        <x:v>0.59</x:v>
      </x:c>
      <x:c r="S60" s="79" t="n">
        <x:f>I60+J60-M60-Q60-R60</x:f>
        <x:v>145.5812</x:v>
      </x:c>
      <x:c r="T60" s="76" t="n">
        <x:v>1.2</x:v>
      </x:c>
      <x:c r="U60" s="79" t="n">
        <x:f>H60*T60</x:f>
        <x:v>4.8</x:v>
      </x:c>
      <x:c r="V60" s="82" t="n">
        <x:v>0.332</x:v>
      </x:c>
      <x:c r="W60" s="79" t="n">
        <x:f>I60*V60</x:f>
        <x:v>65.55672000000001</x:v>
      </x:c>
      <x:c r="X60" s="79" t="n">
        <x:f>S60-U60-W60</x:f>
        <x:v>75.22447999999997</x:v>
      </x:c>
      <x:c r="Y60" s="85" t="n">
        <x:f>IFERROR(X60/I60,0)</x:f>
        <x:v>0.38096059961511175</x:v>
      </x:c>
      <x:c r="Z60" s="67" t="str">
        <x:f>IF(X60&lt;0,"亏损",IF(Y60&lt;8%,"关注","正常"))</x:f>
        <x:v>正常</x:v>
      </x:c>
    </x:row>
    <x:row r="61">
      <x:c r="A61" s="67" t="str">
        <x:v>WMS-00057</x:v>
      </x:c>
      <x:c r="B61" s="73" t="n">
        <x:v>46214.5</x:v>
      </x:c>
      <x:c r="C61" s="73" t="n">
        <x:v>46216.5</x:v>
      </x:c>
      <x:c r="D61" s="67" t="str">
        <x:v>S03</x:v>
      </x:c>
      <x:c r="E61" s="67" t="str">
        <x:v>铂悦城店</x:v>
      </x:c>
      <x:c r="F61" s="67" t="str">
        <x:v>美团外卖</x:v>
      </x:c>
      <x:c r="G61" s="67" t="str">
        <x:v>平台活动订单</x:v>
      </x:c>
      <x:c r="H61" s="70" t="n">
        <x:v>3</x:v>
      </x:c>
      <x:c r="I61" s="76" t="n">
        <x:v>119.87999999999988</x:v>
      </x:c>
      <x:c r="J61" s="76" t="n">
        <x:v>3</x:v>
      </x:c>
      <x:c r="K61" s="76" t="n">
        <x:v>9</x:v>
      </x:c>
      <x:c r="L61" s="82" t="n">
        <x:v>0.22</x:v>
      </x:c>
      <x:c r="M61" s="79" t="n">
        <x:f>I61*L61</x:f>
        <x:v>26.373599999999975</x:v>
      </x:c>
      <x:c r="N61" s="76" t="n">
        <x:v>9.59</x:v>
      </x:c>
      <x:c r="O61" s="79" t="n">
        <x:f>I61+J61+K61-M61-N61</x:f>
        <x:v>95.9163999999999</x:v>
      </x:c>
      <x:c r="P61" s="82" t="n">
        <x:v>0.18</x:v>
      </x:c>
      <x:c r="Q61" s="79" t="n">
        <x:f>I61*P61</x:f>
        <x:v>21.578399999999977</x:v>
      </x:c>
      <x:c r="R61" s="76" t="n">
        <x:v>0.72</x:v>
      </x:c>
      <x:c r="S61" s="79" t="n">
        <x:f>I61+J61-M61-Q61-R61</x:f>
        <x:v>74.20799999999993</x:v>
      </x:c>
      <x:c r="T61" s="76" t="n">
        <x:v>1.2</x:v>
      </x:c>
      <x:c r="U61" s="79" t="n">
        <x:f>H61*T61</x:f>
        <x:v>3.5999999999999996</x:v>
      </x:c>
      <x:c r="V61" s="82" t="n">
        <x:v>0.352</x:v>
      </x:c>
      <x:c r="W61" s="79" t="n">
        <x:f>I61*V61</x:f>
        <x:v>42.19775999999995</x:v>
      </x:c>
      <x:c r="X61" s="79" t="n">
        <x:f>S61-U61-W61</x:f>
        <x:v>28.41023999999998</x:v>
      </x:c>
      <x:c r="Y61" s="85" t="n">
        <x:f>IFERROR(X61/I61,0)</x:f>
        <x:v>0.23698898898898907</x:v>
      </x:c>
      <x:c r="Z61" s="67" t="str">
        <x:f>IF(X61&lt;0,"亏损",IF(Y61&lt;8%,"关注","正常"))</x:f>
        <x:v>正常</x:v>
      </x:c>
    </x:row>
    <x:row r="62">
      <x:c r="A62" s="67" t="str">
        <x:v>WMS-00058</x:v>
      </x:c>
      <x:c r="B62" s="73" t="n">
        <x:v>46215.5</x:v>
      </x:c>
      <x:c r="C62" s="73" t="n">
        <x:v>46217.5</x:v>
      </x:c>
      <x:c r="D62" s="67" t="str">
        <x:v>S03</x:v>
      </x:c>
      <x:c r="E62" s="67" t="str">
        <x:v>铂悦城店</x:v>
      </x:c>
      <x:c r="F62" s="67" t="str">
        <x:v>美团外卖</x:v>
      </x:c>
      <x:c r="G62" s="67" t="str">
        <x:v>常规订单</x:v>
      </x:c>
      <x:c r="H62" s="70" t="n">
        <x:v>8</x:v>
      </x:c>
      <x:c r="I62" s="76" t="n">
        <x:v>379.06</x:v>
      </x:c>
      <x:c r="J62" s="76" t="n">
        <x:v>8</x:v>
      </x:c>
      <x:c r="K62" s="76" t="n">
        <x:v>24</x:v>
      </x:c>
      <x:c r="L62" s="82" t="n">
        <x:v>0.03</x:v>
      </x:c>
      <x:c r="M62" s="79" t="n">
        <x:f>I62*L62</x:f>
        <x:v>11.3718</x:v>
      </x:c>
      <x:c r="N62" s="76" t="n">
        <x:v>0</x:v>
      </x:c>
      <x:c r="O62" s="79" t="n">
        <x:f>I62+J62+K62-M62-N62</x:f>
        <x:v>399.6882</x:v>
      </x:c>
      <x:c r="P62" s="82" t="n">
        <x:v>0.18</x:v>
      </x:c>
      <x:c r="Q62" s="79" t="n">
        <x:f>I62*P62</x:f>
        <x:v>68.2308</x:v>
      </x:c>
      <x:c r="R62" s="76" t="n">
        <x:v>0.38</x:v>
      </x:c>
      <x:c r="S62" s="79" t="n">
        <x:f>I62+J62-M62-Q62-R62</x:f>
        <x:v>307.0774</x:v>
      </x:c>
      <x:c r="T62" s="76" t="n">
        <x:v>1.2</x:v>
      </x:c>
      <x:c r="U62" s="79" t="n">
        <x:f>H62*T62</x:f>
        <x:v>9.6</x:v>
      </x:c>
      <x:c r="V62" s="82" t="n">
        <x:v>0.322</x:v>
      </x:c>
      <x:c r="W62" s="79" t="n">
        <x:f>I62*V62</x:f>
        <x:v>122.05732</x:v>
      </x:c>
      <x:c r="X62" s="79" t="n">
        <x:f>S62-U62-W62</x:f>
        <x:v>175.42007999999998</x:v>
      </x:c>
      <x:c r="Y62" s="85" t="n">
        <x:f>IFERROR(X62/I62,0)</x:f>
        <x:v>0.46277655252466626</x:v>
      </x:c>
      <x:c r="Z62" s="67" t="str">
        <x:f>IF(X62&lt;0,"亏损",IF(Y62&lt;8%,"关注","正常"))</x:f>
        <x:v>正常</x:v>
      </x:c>
    </x:row>
    <x:row r="63">
      <x:c r="A63" s="67" t="str">
        <x:v>WMS-00059</x:v>
      </x:c>
      <x:c r="B63" s="73" t="n">
        <x:v>46215.5</x:v>
      </x:c>
      <x:c r="C63" s="73" t="n">
        <x:v>46217.5</x:v>
      </x:c>
      <x:c r="D63" s="67" t="str">
        <x:v>S03</x:v>
      </x:c>
      <x:c r="E63" s="67" t="str">
        <x:v>铂悦城店</x:v>
      </x:c>
      <x:c r="F63" s="67" t="str">
        <x:v>美团外卖</x:v>
      </x:c>
      <x:c r="G63" s="67" t="str">
        <x:v>会员券订单</x:v>
      </x:c>
      <x:c r="H63" s="70" t="n">
        <x:v>4</x:v>
      </x:c>
      <x:c r="I63" s="76" t="n">
        <x:v>192.98</x:v>
      </x:c>
      <x:c r="J63" s="76" t="n">
        <x:v>4</x:v>
      </x:c>
      <x:c r="K63" s="76" t="n">
        <x:v>12</x:v>
      </x:c>
      <x:c r="L63" s="82" t="n">
        <x:v>0.1</x:v>
      </x:c>
      <x:c r="M63" s="79" t="n">
        <x:f>I63*L63</x:f>
        <x:v>19.298000000000002</x:v>
      </x:c>
      <x:c r="N63" s="76" t="n">
        <x:v>5.79</x:v>
      </x:c>
      <x:c r="O63" s="79" t="n">
        <x:f>I63+J63+K63-M63-N63</x:f>
        <x:v>183.892</x:v>
      </x:c>
      <x:c r="P63" s="82" t="n">
        <x:v>0.18</x:v>
      </x:c>
      <x:c r="Q63" s="79" t="n">
        <x:f>I63*P63</x:f>
        <x:v>34.736399999999996</x:v>
      </x:c>
      <x:c r="R63" s="76" t="n">
        <x:v>0.58</x:v>
      </x:c>
      <x:c r="S63" s="79" t="n">
        <x:f>I63+J63-M63-Q63-R63</x:f>
        <x:v>142.36559999999997</x:v>
      </x:c>
      <x:c r="T63" s="76" t="n">
        <x:v>1.2</x:v>
      </x:c>
      <x:c r="U63" s="79" t="n">
        <x:f>H63*T63</x:f>
        <x:v>4.8</x:v>
      </x:c>
      <x:c r="V63" s="82" t="n">
        <x:v>0.332</x:v>
      </x:c>
      <x:c r="W63" s="79" t="n">
        <x:f>I63*V63</x:f>
        <x:v>64.06936</x:v>
      </x:c>
      <x:c r="X63" s="79" t="n">
        <x:f>S63-U63-W63</x:f>
        <x:v>73.49623999999996</x:v>
      </x:c>
      <x:c r="Y63" s="85" t="n">
        <x:f>IFERROR(X63/I63,0)</x:f>
        <x:v>0.3808489998963621</x:v>
      </x:c>
      <x:c r="Z63" s="67" t="str">
        <x:f>IF(X63&lt;0,"亏损",IF(Y63&lt;8%,"关注","正常"))</x:f>
        <x:v>正常</x:v>
      </x:c>
    </x:row>
    <x:row r="64">
      <x:c r="A64" s="67" t="str">
        <x:v>WMS-00060</x:v>
      </x:c>
      <x:c r="B64" s="73" t="n">
        <x:v>46215.5</x:v>
      </x:c>
      <x:c r="C64" s="73" t="n">
        <x:v>46217.5</x:v>
      </x:c>
      <x:c r="D64" s="67" t="str">
        <x:v>S03</x:v>
      </x:c>
      <x:c r="E64" s="67" t="str">
        <x:v>铂悦城店</x:v>
      </x:c>
      <x:c r="F64" s="67" t="str">
        <x:v>美团外卖</x:v>
      </x:c>
      <x:c r="G64" s="67" t="str">
        <x:v>平台活动订单</x:v>
      </x:c>
      <x:c r="H64" s="70" t="n">
        <x:v>3</x:v>
      </x:c>
      <x:c r="I64" s="76" t="n">
        <x:v>117.16000000000008</x:v>
      </x:c>
      <x:c r="J64" s="76" t="n">
        <x:v>3</x:v>
      </x:c>
      <x:c r="K64" s="76" t="n">
        <x:v>9</x:v>
      </x:c>
      <x:c r="L64" s="82" t="n">
        <x:v>0.22</x:v>
      </x:c>
      <x:c r="M64" s="79" t="n">
        <x:f>I64*L64</x:f>
        <x:v>25.77520000000002</x:v>
      </x:c>
      <x:c r="N64" s="76" t="n">
        <x:v>9.37</x:v>
      </x:c>
      <x:c r="O64" s="79" t="n">
        <x:f>I64+J64+K64-M64-N64</x:f>
        <x:v>94.01480000000006</x:v>
      </x:c>
      <x:c r="P64" s="82" t="n">
        <x:v>0.18</x:v>
      </x:c>
      <x:c r="Q64" s="79" t="n">
        <x:f>I64*P64</x:f>
        <x:v>21.088800000000013</x:v>
      </x:c>
      <x:c r="R64" s="76" t="n">
        <x:v>0.7</x:v>
      </x:c>
      <x:c r="S64" s="79" t="n">
        <x:f>I64+J64-M64-Q64-R64</x:f>
        <x:v>72.59600000000005</x:v>
      </x:c>
      <x:c r="T64" s="76" t="n">
        <x:v>1.2</x:v>
      </x:c>
      <x:c r="U64" s="79" t="n">
        <x:f>H64*T64</x:f>
        <x:v>3.5999999999999996</x:v>
      </x:c>
      <x:c r="V64" s="82" t="n">
        <x:v>0.352</x:v>
      </x:c>
      <x:c r="W64" s="79" t="n">
        <x:f>I64*V64</x:f>
        <x:v>41.240320000000025</x:v>
      </x:c>
      <x:c r="X64" s="79" t="n">
        <x:f>S64-U64-W64</x:f>
        <x:v>27.755680000000027</x:v>
      </x:c>
      <x:c r="Y64" s="85" t="n">
        <x:f>IFERROR(X64/I64,0)</x:f>
        <x:v>0.23690406282007517</x:v>
      </x:c>
      <x:c r="Z64" s="67" t="str">
        <x:f>IF(X64&lt;0,"亏损",IF(Y64&lt;8%,"关注","正常"))</x:f>
        <x:v>正常</x:v>
      </x:c>
    </x:row>
    <x:row r="65">
      <x:c r="A65" s="67" t="str">
        <x:v>WMS-00061</x:v>
      </x:c>
      <x:c r="B65" s="73" t="n">
        <x:v>46216.5</x:v>
      </x:c>
      <x:c r="C65" s="73" t="n">
        <x:v>46218.5</x:v>
      </x:c>
      <x:c r="D65" s="67" t="str">
        <x:v>S03</x:v>
      </x:c>
      <x:c r="E65" s="67" t="str">
        <x:v>铂悦城店</x:v>
      </x:c>
      <x:c r="F65" s="67" t="str">
        <x:v>美团外卖</x:v>
      </x:c>
      <x:c r="G65" s="67" t="str">
        <x:v>常规订单</x:v>
      </x:c>
      <x:c r="H65" s="70" t="n">
        <x:v>12</x:v>
      </x:c>
      <x:c r="I65" s="76" t="n">
        <x:v>548.3</x:v>
      </x:c>
      <x:c r="J65" s="76" t="n">
        <x:v>12</x:v>
      </x:c>
      <x:c r="K65" s="76" t="n">
        <x:v>36</x:v>
      </x:c>
      <x:c r="L65" s="82" t="n">
        <x:v>0.03</x:v>
      </x:c>
      <x:c r="M65" s="79" t="n">
        <x:f>I65*L65</x:f>
        <x:v>16.448999999999998</x:v>
      </x:c>
      <x:c r="N65" s="76" t="n">
        <x:v>0</x:v>
      </x:c>
      <x:c r="O65" s="79" t="n">
        <x:f>I65+J65+K65-M65-N65</x:f>
        <x:v>579.851</x:v>
      </x:c>
      <x:c r="P65" s="82" t="n">
        <x:v>0.18</x:v>
      </x:c>
      <x:c r="Q65" s="79" t="n">
        <x:f>I65*P65</x:f>
        <x:v>98.69399999999999</x:v>
      </x:c>
      <x:c r="R65" s="76" t="n">
        <x:v>0.55</x:v>
      </x:c>
      <x:c r="S65" s="79" t="n">
        <x:f>I65+J65-M65-Q65-R65</x:f>
        <x:v>444.607</x:v>
      </x:c>
      <x:c r="T65" s="76" t="n">
        <x:v>1.2</x:v>
      </x:c>
      <x:c r="U65" s="79" t="n">
        <x:f>H65*T65</x:f>
        <x:v>14.399999999999999</x:v>
      </x:c>
      <x:c r="V65" s="82" t="n">
        <x:v>0.322</x:v>
      </x:c>
      <x:c r="W65" s="79" t="n">
        <x:f>I65*V65</x:f>
        <x:v>176.55259999999998</x:v>
      </x:c>
      <x:c r="X65" s="79" t="n">
        <x:f>S65-U65-W65</x:f>
        <x:v>253.65440000000007</x:v>
      </x:c>
      <x:c r="Y65" s="85" t="n">
        <x:f>IFERROR(X65/I65,0)</x:f>
        <x:v>0.4626197337224149</x:v>
      </x:c>
      <x:c r="Z65" s="67" t="str">
        <x:f>IF(X65&lt;0,"亏损",IF(Y65&lt;8%,"关注","正常"))</x:f>
        <x:v>正常</x:v>
      </x:c>
    </x:row>
    <x:row r="66">
      <x:c r="A66" s="67" t="str">
        <x:v>WMS-00062</x:v>
      </x:c>
      <x:c r="B66" s="73" t="n">
        <x:v>46216.5</x:v>
      </x:c>
      <x:c r="C66" s="73" t="n">
        <x:v>46218.5</x:v>
      </x:c>
      <x:c r="D66" s="67" t="str">
        <x:v>S03</x:v>
      </x:c>
      <x:c r="E66" s="67" t="str">
        <x:v>铂悦城店</x:v>
      </x:c>
      <x:c r="F66" s="67" t="str">
        <x:v>美团外卖</x:v>
      </x:c>
      <x:c r="G66" s="67" t="str">
        <x:v>会员券订单</x:v>
      </x:c>
      <x:c r="H66" s="70" t="n">
        <x:v>6</x:v>
      </x:c>
      <x:c r="I66" s="76" t="n">
        <x:v>279.13</x:v>
      </x:c>
      <x:c r="J66" s="76" t="n">
        <x:v>6</x:v>
      </x:c>
      <x:c r="K66" s="76" t="n">
        <x:v>18</x:v>
      </x:c>
      <x:c r="L66" s="82" t="n">
        <x:v>0.1</x:v>
      </x:c>
      <x:c r="M66" s="79" t="n">
        <x:f>I66*L66</x:f>
        <x:v>27.913</x:v>
      </x:c>
      <x:c r="N66" s="76" t="n">
        <x:v>8.37</x:v>
      </x:c>
      <x:c r="O66" s="79" t="n">
        <x:f>I66+J66+K66-M66-N66</x:f>
        <x:v>266.847</x:v>
      </x:c>
      <x:c r="P66" s="82" t="n">
        <x:v>0.18</x:v>
      </x:c>
      <x:c r="Q66" s="79" t="n">
        <x:f>I66*P66</x:f>
        <x:v>50.243399999999994</x:v>
      </x:c>
      <x:c r="R66" s="76" t="n">
        <x:v>0.84</x:v>
      </x:c>
      <x:c r="S66" s="79" t="n">
        <x:f>I66+J66-M66-Q66-R66</x:f>
        <x:v>206.13359999999997</x:v>
      </x:c>
      <x:c r="T66" s="76" t="n">
        <x:v>1.2</x:v>
      </x:c>
      <x:c r="U66" s="79" t="n">
        <x:f>H66*T66</x:f>
        <x:v>7.199999999999999</x:v>
      </x:c>
      <x:c r="V66" s="82" t="n">
        <x:v>0.332</x:v>
      </x:c>
      <x:c r="W66" s="79" t="n">
        <x:f>I66*V66</x:f>
        <x:v>92.67116</x:v>
      </x:c>
      <x:c r="X66" s="79" t="n">
        <x:f>S66-U66-W66</x:f>
        <x:v>106.26243999999998</x:v>
      </x:c>
      <x:c r="Y66" s="85" t="n">
        <x:f>IFERROR(X66/I66,0)</x:f>
        <x:v>0.38069157740121085</x:v>
      </x:c>
      <x:c r="Z66" s="67" t="str">
        <x:f>IF(X66&lt;0,"亏损",IF(Y66&lt;8%,"关注","正常"))</x:f>
        <x:v>正常</x:v>
      </x:c>
    </x:row>
    <x:row r="67">
      <x:c r="A67" s="67" t="str">
        <x:v>WMS-00063</x:v>
      </x:c>
      <x:c r="B67" s="73" t="n">
        <x:v>46216.5</x:v>
      </x:c>
      <x:c r="C67" s="73" t="n">
        <x:v>46218.5</x:v>
      </x:c>
      <x:c r="D67" s="67" t="str">
        <x:v>S03</x:v>
      </x:c>
      <x:c r="E67" s="67" t="str">
        <x:v>铂悦城店</x:v>
      </x:c>
      <x:c r="F67" s="67" t="str">
        <x:v>美团外卖</x:v>
      </x:c>
      <x:c r="G67" s="67" t="str">
        <x:v>平台活动订单</x:v>
      </x:c>
      <x:c r="H67" s="70" t="n">
        <x:v>4</x:v>
      </x:c>
      <x:c r="I67" s="76" t="n">
        <x:v>169.47000000000003</x:v>
      </x:c>
      <x:c r="J67" s="76" t="n">
        <x:v>4</x:v>
      </x:c>
      <x:c r="K67" s="76" t="n">
        <x:v>12</x:v>
      </x:c>
      <x:c r="L67" s="82" t="n">
        <x:v>0.22</x:v>
      </x:c>
      <x:c r="M67" s="79" t="n">
        <x:f>I67*L67</x:f>
        <x:v>37.28340000000001</x:v>
      </x:c>
      <x:c r="N67" s="76" t="n">
        <x:v>13.56</x:v>
      </x:c>
      <x:c r="O67" s="79" t="n">
        <x:f>I67+J67+K67-M67-N67</x:f>
        <x:v>134.62660000000002</x:v>
      </x:c>
      <x:c r="P67" s="82" t="n">
        <x:v>0.18</x:v>
      </x:c>
      <x:c r="Q67" s="79" t="n">
        <x:f>I67*P67</x:f>
        <x:v>30.504600000000003</x:v>
      </x:c>
      <x:c r="R67" s="76" t="n">
        <x:v>1.02</x:v>
      </x:c>
      <x:c r="S67" s="79" t="n">
        <x:f>I67+J67-M67-Q67-R67</x:f>
        <x:v>104.66200000000002</x:v>
      </x:c>
      <x:c r="T67" s="76" t="n">
        <x:v>1.2</x:v>
      </x:c>
      <x:c r="U67" s="79" t="n">
        <x:f>H67*T67</x:f>
        <x:v>4.8</x:v>
      </x:c>
      <x:c r="V67" s="82" t="n">
        <x:v>0.352</x:v>
      </x:c>
      <x:c r="W67" s="79" t="n">
        <x:f>I67*V67</x:f>
        <x:v>59.65344</x:v>
      </x:c>
      <x:c r="X67" s="79" t="n">
        <x:f>S67-U67-W67</x:f>
        <x:v>40.20856000000002</x:v>
      </x:c>
      <x:c r="Y67" s="85" t="n">
        <x:f>IFERROR(X67/I67,0)</x:f>
        <x:v>0.23726063610078488</x:v>
      </x:c>
      <x:c r="Z67" s="67" t="str">
        <x:f>IF(X67&lt;0,"亏损",IF(Y67&lt;8%,"关注","正常"))</x:f>
        <x:v>正常</x:v>
      </x:c>
    </x:row>
    <x:row r="68">
      <x:c r="A68" s="67" t="str">
        <x:v>WMS-00064</x:v>
      </x:c>
      <x:c r="B68" s="73" t="n">
        <x:v>46210.5</x:v>
      </x:c>
      <x:c r="C68" s="73" t="n">
        <x:v>46212.5</x:v>
      </x:c>
      <x:c r="D68" s="67" t="str">
        <x:v>S04</x:v>
      </x:c>
      <x:c r="E68" s="67" t="str">
        <x:v>金街美地店</x:v>
      </x:c>
      <x:c r="F68" s="67" t="str">
        <x:v>美团外卖</x:v>
      </x:c>
      <x:c r="G68" s="67" t="str">
        <x:v>常规订单</x:v>
      </x:c>
      <x:c r="H68" s="70" t="n">
        <x:v>11</x:v>
      </x:c>
      <x:c r="I68" s="76" t="n">
        <x:v>504.85</x:v>
      </x:c>
      <x:c r="J68" s="76" t="n">
        <x:v>11</x:v>
      </x:c>
      <x:c r="K68" s="76" t="n">
        <x:v>33</x:v>
      </x:c>
      <x:c r="L68" s="82" t="n">
        <x:v>0.03</x:v>
      </x:c>
      <x:c r="M68" s="79" t="n">
        <x:f>I68*L68</x:f>
        <x:v>15.1455</x:v>
      </x:c>
      <x:c r="N68" s="76" t="n">
        <x:v>0</x:v>
      </x:c>
      <x:c r="O68" s="79" t="n">
        <x:f>I68+J68+K68-M68-N68</x:f>
        <x:v>533.7045</x:v>
      </x:c>
      <x:c r="P68" s="82" t="n">
        <x:v>0.18</x:v>
      </x:c>
      <x:c r="Q68" s="79" t="n">
        <x:f>I68*P68</x:f>
        <x:v>90.873</x:v>
      </x:c>
      <x:c r="R68" s="76" t="n">
        <x:v>0.5</x:v>
      </x:c>
      <x:c r="S68" s="79" t="n">
        <x:f>I68+J68-M68-Q68-R68</x:f>
        <x:v>409.3315</x:v>
      </x:c>
      <x:c r="T68" s="76" t="n">
        <x:v>1.2</x:v>
      </x:c>
      <x:c r="U68" s="79" t="n">
        <x:f>H68*T68</x:f>
        <x:v>13.2</x:v>
      </x:c>
      <x:c r="V68" s="82" t="n">
        <x:v>0.323</x:v>
      </x:c>
      <x:c r="W68" s="79" t="n">
        <x:f>I68*V68</x:f>
        <x:v>163.06655</x:v>
      </x:c>
      <x:c r="X68" s="79" t="n">
        <x:f>S68-U68-W68</x:f>
        <x:v>233.06495</x:v>
      </x:c>
      <x:c r="Y68" s="85" t="n">
        <x:f>IFERROR(X68/I68,0)</x:f>
        <x:v>0.4616518767950876</x:v>
      </x:c>
      <x:c r="Z68" s="67" t="str">
        <x:f>IF(X68&lt;0,"亏损",IF(Y68&lt;8%,"关注","正常"))</x:f>
        <x:v>正常</x:v>
      </x:c>
    </x:row>
    <x:row r="69">
      <x:c r="A69" s="67" t="str">
        <x:v>WMS-00065</x:v>
      </x:c>
      <x:c r="B69" s="73" t="n">
        <x:v>46210.5</x:v>
      </x:c>
      <x:c r="C69" s="73" t="n">
        <x:v>46212.5</x:v>
      </x:c>
      <x:c r="D69" s="67" t="str">
        <x:v>S04</x:v>
      </x:c>
      <x:c r="E69" s="67" t="str">
        <x:v>金街美地店</x:v>
      </x:c>
      <x:c r="F69" s="67" t="str">
        <x:v>美团外卖</x:v>
      </x:c>
      <x:c r="G69" s="67" t="str">
        <x:v>会员券订单</x:v>
      </x:c>
      <x:c r="H69" s="70" t="n">
        <x:v>6</x:v>
      </x:c>
      <x:c r="I69" s="76" t="n">
        <x:v>257.01</x:v>
      </x:c>
      <x:c r="J69" s="76" t="n">
        <x:v>6</x:v>
      </x:c>
      <x:c r="K69" s="76" t="n">
        <x:v>18</x:v>
      </x:c>
      <x:c r="L69" s="82" t="n">
        <x:v>0.1</x:v>
      </x:c>
      <x:c r="M69" s="79" t="n">
        <x:f>I69*L69</x:f>
        <x:v>25.701</x:v>
      </x:c>
      <x:c r="N69" s="76" t="n">
        <x:v>7.71</x:v>
      </x:c>
      <x:c r="O69" s="79" t="n">
        <x:f>I69+J69+K69-M69-N69</x:f>
        <x:v>247.599</x:v>
      </x:c>
      <x:c r="P69" s="82" t="n">
        <x:v>0.18</x:v>
      </x:c>
      <x:c r="Q69" s="79" t="n">
        <x:f>I69*P69</x:f>
        <x:v>46.261799999999994</x:v>
      </x:c>
      <x:c r="R69" s="76" t="n">
        <x:v>0.77</x:v>
      </x:c>
      <x:c r="S69" s="79" t="n">
        <x:f>I69+J69-M69-Q69-R69</x:f>
        <x:v>190.2772</x:v>
      </x:c>
      <x:c r="T69" s="76" t="n">
        <x:v>1.2</x:v>
      </x:c>
      <x:c r="U69" s="79" t="n">
        <x:f>H69*T69</x:f>
        <x:v>7.199999999999999</x:v>
      </x:c>
      <x:c r="V69" s="82" t="n">
        <x:v>0.333</x:v>
      </x:c>
      <x:c r="W69" s="79" t="n">
        <x:f>I69*V69</x:f>
        <x:v>85.58433000000001</x:v>
      </x:c>
      <x:c r="X69" s="79" t="n">
        <x:f>S69-U69-W69</x:f>
        <x:v>97.49287</x:v>
      </x:c>
      <x:c r="Y69" s="85" t="n">
        <x:f>IFERROR(X69/I69,0)</x:f>
        <x:v>0.3793349286019999</x:v>
      </x:c>
      <x:c r="Z69" s="67" t="str">
        <x:f>IF(X69&lt;0,"亏损",IF(Y69&lt;8%,"关注","正常"))</x:f>
        <x:v>正常</x:v>
      </x:c>
    </x:row>
    <x:row r="70">
      <x:c r="A70" s="67" t="str">
        <x:v>WMS-00066</x:v>
      </x:c>
      <x:c r="B70" s="73" t="n">
        <x:v>46210.5</x:v>
      </x:c>
      <x:c r="C70" s="73" t="n">
        <x:v>46212.5</x:v>
      </x:c>
      <x:c r="D70" s="67" t="str">
        <x:v>S04</x:v>
      </x:c>
      <x:c r="E70" s="67" t="str">
        <x:v>金街美地店</x:v>
      </x:c>
      <x:c r="F70" s="67" t="str">
        <x:v>美团外卖</x:v>
      </x:c>
      <x:c r="G70" s="67" t="str">
        <x:v>平台活动订单</x:v>
      </x:c>
      <x:c r="H70" s="70" t="n">
        <x:v>3</x:v>
      </x:c>
      <x:c r="I70" s="76" t="n">
        <x:v>156.03999999999996</x:v>
      </x:c>
      <x:c r="J70" s="76" t="n">
        <x:v>3</x:v>
      </x:c>
      <x:c r="K70" s="76" t="n">
        <x:v>9</x:v>
      </x:c>
      <x:c r="L70" s="82" t="n">
        <x:v>0.22</x:v>
      </x:c>
      <x:c r="M70" s="79" t="n">
        <x:f>I70*L70</x:f>
        <x:v>34.328799999999994</x:v>
      </x:c>
      <x:c r="N70" s="76" t="n">
        <x:v>12.48</x:v>
      </x:c>
      <x:c r="O70" s="79" t="n">
        <x:f>I70+J70+K70-M70-N70</x:f>
        <x:v>121.23119999999996</x:v>
      </x:c>
      <x:c r="P70" s="82" t="n">
        <x:v>0.18</x:v>
      </x:c>
      <x:c r="Q70" s="79" t="n">
        <x:f>I70*P70</x:f>
        <x:v>28.087199999999992</x:v>
      </x:c>
      <x:c r="R70" s="76" t="n">
        <x:v>0.94</x:v>
      </x:c>
      <x:c r="S70" s="79" t="n">
        <x:f>I70+J70-M70-Q70-R70</x:f>
        <x:v>95.68399999999997</x:v>
      </x:c>
      <x:c r="T70" s="76" t="n">
        <x:v>1.2</x:v>
      </x:c>
      <x:c r="U70" s="79" t="n">
        <x:f>H70*T70</x:f>
        <x:v>3.5999999999999996</x:v>
      </x:c>
      <x:c r="V70" s="82" t="n">
        <x:v>0.353</x:v>
      </x:c>
      <x:c r="W70" s="79" t="n">
        <x:f>I70*V70</x:f>
        <x:v>55.08211999999998</x:v>
      </x:c>
      <x:c r="X70" s="79" t="n">
        <x:f>S70-U70-W70</x:f>
        <x:v>37.00187999999999</x:v>
      </x:c>
      <x:c r="Y70" s="85" t="n">
        <x:f>IFERROR(X70/I70,0)</x:f>
        <x:v>0.23713073570879262</x:v>
      </x:c>
      <x:c r="Z70" s="67" t="str">
        <x:f>IF(X70&lt;0,"亏损",IF(Y70&lt;8%,"关注","正常"))</x:f>
        <x:v>正常</x:v>
      </x:c>
    </x:row>
    <x:row r="71">
      <x:c r="A71" s="67" t="str">
        <x:v>WMS-00067</x:v>
      </x:c>
      <x:c r="B71" s="73" t="n">
        <x:v>46211.5</x:v>
      </x:c>
      <x:c r="C71" s="73" t="n">
        <x:v>46213.5</x:v>
      </x:c>
      <x:c r="D71" s="67" t="str">
        <x:v>S04</x:v>
      </x:c>
      <x:c r="E71" s="67" t="str">
        <x:v>金街美地店</x:v>
      </x:c>
      <x:c r="F71" s="67" t="str">
        <x:v>美团外卖</x:v>
      </x:c>
      <x:c r="G71" s="67" t="str">
        <x:v>常规订单</x:v>
      </x:c>
      <x:c r="H71" s="70" t="n">
        <x:v>11</x:v>
      </x:c>
      <x:c r="I71" s="76" t="n">
        <x:v>485.71</x:v>
      </x:c>
      <x:c r="J71" s="76" t="n">
        <x:v>11</x:v>
      </x:c>
      <x:c r="K71" s="76" t="n">
        <x:v>33</x:v>
      </x:c>
      <x:c r="L71" s="82" t="n">
        <x:v>0.03</x:v>
      </x:c>
      <x:c r="M71" s="79" t="n">
        <x:f>I71*L71</x:f>
        <x:v>14.571299999999999</x:v>
      </x:c>
      <x:c r="N71" s="76" t="n">
        <x:v>0</x:v>
      </x:c>
      <x:c r="O71" s="79" t="n">
        <x:f>I71+J71+K71-M71-N71</x:f>
        <x:v>515.1387000000001</x:v>
      </x:c>
      <x:c r="P71" s="82" t="n">
        <x:v>0.18</x:v>
      </x:c>
      <x:c r="Q71" s="79" t="n">
        <x:f>I71*P71</x:f>
        <x:v>87.42779999999999</x:v>
      </x:c>
      <x:c r="R71" s="76" t="n">
        <x:v>0.49</x:v>
      </x:c>
      <x:c r="S71" s="79" t="n">
        <x:f>I71+J71-M71-Q71-R71</x:f>
        <x:v>394.2209</x:v>
      </x:c>
      <x:c r="T71" s="76" t="n">
        <x:v>1.2</x:v>
      </x:c>
      <x:c r="U71" s="79" t="n">
        <x:f>H71*T71</x:f>
        <x:v>13.2</x:v>
      </x:c>
      <x:c r="V71" s="82" t="n">
        <x:v>0.323</x:v>
      </x:c>
      <x:c r="W71" s="79" t="n">
        <x:f>I71*V71</x:f>
        <x:v>156.88433</x:v>
      </x:c>
      <x:c r="X71" s="79" t="n">
        <x:f>S71-U71-W71</x:f>
        <x:v>224.13656999999998</x:v>
      </x:c>
      <x:c r="Y71" s="85" t="n">
        <x:f>IFERROR(X71/I71,0)</x:f>
        <x:v>0.46146171583866913</x:v>
      </x:c>
      <x:c r="Z71" s="67" t="str">
        <x:f>IF(X71&lt;0,"亏损",IF(Y71&lt;8%,"关注","正常"))</x:f>
        <x:v>正常</x:v>
      </x:c>
    </x:row>
    <x:row r="72">
      <x:c r="A72" s="67" t="str">
        <x:v>WMS-00068</x:v>
      </x:c>
      <x:c r="B72" s="73" t="n">
        <x:v>46211.5</x:v>
      </x:c>
      <x:c r="C72" s="73" t="n">
        <x:v>46213.5</x:v>
      </x:c>
      <x:c r="D72" s="67" t="str">
        <x:v>S04</x:v>
      </x:c>
      <x:c r="E72" s="67" t="str">
        <x:v>金街美地店</x:v>
      </x:c>
      <x:c r="F72" s="67" t="str">
        <x:v>美团外卖</x:v>
      </x:c>
      <x:c r="G72" s="67" t="str">
        <x:v>会员券订单</x:v>
      </x:c>
      <x:c r="H72" s="70" t="n">
        <x:v>6</x:v>
      </x:c>
      <x:c r="I72" s="76" t="n">
        <x:v>247.27</x:v>
      </x:c>
      <x:c r="J72" s="76" t="n">
        <x:v>6</x:v>
      </x:c>
      <x:c r="K72" s="76" t="n">
        <x:v>18</x:v>
      </x:c>
      <x:c r="L72" s="82" t="n">
        <x:v>0.1</x:v>
      </x:c>
      <x:c r="M72" s="79" t="n">
        <x:f>I72*L72</x:f>
        <x:v>24.727000000000004</x:v>
      </x:c>
      <x:c r="N72" s="76" t="n">
        <x:v>7.42</x:v>
      </x:c>
      <x:c r="O72" s="79" t="n">
        <x:f>I72+J72+K72-M72-N72</x:f>
        <x:v>239.123</x:v>
      </x:c>
      <x:c r="P72" s="82" t="n">
        <x:v>0.18</x:v>
      </x:c>
      <x:c r="Q72" s="79" t="n">
        <x:f>I72*P72</x:f>
        <x:v>44.5086</x:v>
      </x:c>
      <x:c r="R72" s="76" t="n">
        <x:v>0.74</x:v>
      </x:c>
      <x:c r="S72" s="79" t="n">
        <x:f>I72+J72-M72-Q72-R72</x:f>
        <x:v>183.2944</x:v>
      </x:c>
      <x:c r="T72" s="76" t="n">
        <x:v>1.2</x:v>
      </x:c>
      <x:c r="U72" s="79" t="n">
        <x:f>H72*T72</x:f>
        <x:v>7.199999999999999</x:v>
      </x:c>
      <x:c r="V72" s="82" t="n">
        <x:v>0.333</x:v>
      </x:c>
      <x:c r="W72" s="79" t="n">
        <x:f>I72*V72</x:f>
        <x:v>82.34091000000001</x:v>
      </x:c>
      <x:c r="X72" s="79" t="n">
        <x:f>S72-U72-W72</x:f>
        <x:v>93.75349</x:v>
      </x:c>
      <x:c r="Y72" s="85" t="n">
        <x:f>IFERROR(X72/I72,0)</x:f>
        <x:v>0.37915432523152826</x:v>
      </x:c>
      <x:c r="Z72" s="67" t="str">
        <x:f>IF(X72&lt;0,"亏损",IF(Y72&lt;8%,"关注","正常"))</x:f>
        <x:v>正常</x:v>
      </x:c>
    </x:row>
    <x:row r="73">
      <x:c r="A73" s="67" t="str">
        <x:v>WMS-00069</x:v>
      </x:c>
      <x:c r="B73" s="73" t="n">
        <x:v>46211.5</x:v>
      </x:c>
      <x:c r="C73" s="73" t="n">
        <x:v>46213.5</x:v>
      </x:c>
      <x:c r="D73" s="67" t="str">
        <x:v>S04</x:v>
      </x:c>
      <x:c r="E73" s="67" t="str">
        <x:v>金街美地店</x:v>
      </x:c>
      <x:c r="F73" s="67" t="str">
        <x:v>饿了么</x:v>
      </x:c>
      <x:c r="G73" s="67" t="str">
        <x:v>平台活动订单</x:v>
      </x:c>
      <x:c r="H73" s="70" t="n">
        <x:v>3</x:v>
      </x:c>
      <x:c r="I73" s="76" t="n">
        <x:v>150.12</x:v>
      </x:c>
      <x:c r="J73" s="76" t="n">
        <x:v>3</x:v>
      </x:c>
      <x:c r="K73" s="76" t="n">
        <x:v>9</x:v>
      </x:c>
      <x:c r="L73" s="82" t="n">
        <x:v>0.22</x:v>
      </x:c>
      <x:c r="M73" s="79" t="n">
        <x:f>I73*L73</x:f>
        <x:v>33.0264</x:v>
      </x:c>
      <x:c r="N73" s="76" t="n">
        <x:v>12.01</x:v>
      </x:c>
      <x:c r="O73" s="79" t="n">
        <x:f>I73+J73+K73-M73-N73</x:f>
        <x:v>117.0836</x:v>
      </x:c>
      <x:c r="P73" s="82" t="n">
        <x:v>0.18</x:v>
      </x:c>
      <x:c r="Q73" s="79" t="n">
        <x:f>I73*P73</x:f>
        <x:v>27.0216</x:v>
      </x:c>
      <x:c r="R73" s="76" t="n">
        <x:v>0.9</x:v>
      </x:c>
      <x:c r="S73" s="79" t="n">
        <x:f>I73+J73-M73-Q73-R73</x:f>
        <x:v>92.172</x:v>
      </x:c>
      <x:c r="T73" s="76" t="n">
        <x:v>1.2</x:v>
      </x:c>
      <x:c r="U73" s="79" t="n">
        <x:f>H73*T73</x:f>
        <x:v>3.5999999999999996</x:v>
      </x:c>
      <x:c r="V73" s="82" t="n">
        <x:v>0.353</x:v>
      </x:c>
      <x:c r="W73" s="79" t="n">
        <x:f>I73*V73</x:f>
        <x:v>52.99236</x:v>
      </x:c>
      <x:c r="X73" s="79" t="n">
        <x:f>S73-U73-W73</x:f>
        <x:v>35.579640000000005</x:v>
      </x:c>
      <x:c r="Y73" s="85" t="n">
        <x:f>IFERROR(X73/I73,0)</x:f>
        <x:v>0.23700799360511593</x:v>
      </x:c>
      <x:c r="Z73" s="67" t="str">
        <x:f>IF(X73&lt;0,"亏损",IF(Y73&lt;8%,"关注","正常"))</x:f>
        <x:v>正常</x:v>
      </x:c>
    </x:row>
    <x:row r="74">
      <x:c r="A74" s="67" t="str">
        <x:v>WMS-00070</x:v>
      </x:c>
      <x:c r="B74" s="73" t="n">
        <x:v>46212.5</x:v>
      </x:c>
      <x:c r="C74" s="73" t="n">
        <x:v>46214.5</x:v>
      </x:c>
      <x:c r="D74" s="67" t="str">
        <x:v>S04</x:v>
      </x:c>
      <x:c r="E74" s="67" t="str">
        <x:v>金街美地店</x:v>
      </x:c>
      <x:c r="F74" s="67" t="str">
        <x:v>美团外卖</x:v>
      </x:c>
      <x:c r="G74" s="67" t="str">
        <x:v>常规订单</x:v>
      </x:c>
      <x:c r="H74" s="70" t="n">
        <x:v>10</x:v>
      </x:c>
      <x:c r="I74" s="76" t="n">
        <x:v>481.31</x:v>
      </x:c>
      <x:c r="J74" s="76" t="n">
        <x:v>10</x:v>
      </x:c>
      <x:c r="K74" s="76" t="n">
        <x:v>30</x:v>
      </x:c>
      <x:c r="L74" s="82" t="n">
        <x:v>0.03</x:v>
      </x:c>
      <x:c r="M74" s="79" t="n">
        <x:f>I74*L74</x:f>
        <x:v>14.4393</x:v>
      </x:c>
      <x:c r="N74" s="76" t="n">
        <x:v>0</x:v>
      </x:c>
      <x:c r="O74" s="79" t="n">
        <x:f>I74+J74+K74-M74-N74</x:f>
        <x:v>506.87069999999994</x:v>
      </x:c>
      <x:c r="P74" s="82" t="n">
        <x:v>0.18</x:v>
      </x:c>
      <x:c r="Q74" s="79" t="n">
        <x:f>I74*P74</x:f>
        <x:v>86.6358</x:v>
      </x:c>
      <x:c r="R74" s="76" t="n">
        <x:v>0.48</x:v>
      </x:c>
      <x:c r="S74" s="79" t="n">
        <x:f>I74+J74-M74-Q74-R74</x:f>
        <x:v>389.75489999999996</x:v>
      </x:c>
      <x:c r="T74" s="76" t="n">
        <x:v>1.2</x:v>
      </x:c>
      <x:c r="U74" s="79" t="n">
        <x:f>H74*T74</x:f>
        <x:v>12</x:v>
      </x:c>
      <x:c r="V74" s="82" t="n">
        <x:v>0.323</x:v>
      </x:c>
      <x:c r="W74" s="79" t="n">
        <x:f>I74*V74</x:f>
        <x:v>155.46313</x:v>
      </x:c>
      <x:c r="X74" s="79" t="n">
        <x:f>S74-U74-W74</x:f>
        <x:v>222.29176999999996</x:v>
      </x:c>
      <x:c r="Y74" s="85" t="n">
        <x:f>IFERROR(X74/I74,0)</x:f>
        <x:v>0.4618473956493735</x:v>
      </x:c>
      <x:c r="Z74" s="67" t="str">
        <x:f>IF(X74&lt;0,"亏损",IF(Y74&lt;8%,"关注","正常"))</x:f>
        <x:v>正常</x:v>
      </x:c>
    </x:row>
    <x:row r="75">
      <x:c r="A75" s="67" t="str">
        <x:v>WMS-00071</x:v>
      </x:c>
      <x:c r="B75" s="73" t="n">
        <x:v>46212.5</x:v>
      </x:c>
      <x:c r="C75" s="73" t="n">
        <x:v>46214.5</x:v>
      </x:c>
      <x:c r="D75" s="67" t="str">
        <x:v>S04</x:v>
      </x:c>
      <x:c r="E75" s="67" t="str">
        <x:v>金街美地店</x:v>
      </x:c>
      <x:c r="F75" s="67" t="str">
        <x:v>饿了么</x:v>
      </x:c>
      <x:c r="G75" s="67" t="str">
        <x:v>会员券订单</x:v>
      </x:c>
      <x:c r="H75" s="70" t="n">
        <x:v>5</x:v>
      </x:c>
      <x:c r="I75" s="76" t="n">
        <x:v>245.03</x:v>
      </x:c>
      <x:c r="J75" s="76" t="n">
        <x:v>5</x:v>
      </x:c>
      <x:c r="K75" s="76" t="n">
        <x:v>15</x:v>
      </x:c>
      <x:c r="L75" s="82" t="n">
        <x:v>0.1</x:v>
      </x:c>
      <x:c r="M75" s="79" t="n">
        <x:f>I75*L75</x:f>
        <x:v>24.503</x:v>
      </x:c>
      <x:c r="N75" s="76" t="n">
        <x:v>7.35</x:v>
      </x:c>
      <x:c r="O75" s="79" t="n">
        <x:f>I75+J75+K75-M75-N75</x:f>
        <x:v>233.177</x:v>
      </x:c>
      <x:c r="P75" s="82" t="n">
        <x:v>0.18</x:v>
      </x:c>
      <x:c r="Q75" s="79" t="n">
        <x:f>I75*P75</x:f>
        <x:v>44.105399999999996</x:v>
      </x:c>
      <x:c r="R75" s="76" t="n">
        <x:v>0.74</x:v>
      </x:c>
      <x:c r="S75" s="79" t="n">
        <x:f>I75+J75-M75-Q75-R75</x:f>
        <x:v>180.68159999999997</x:v>
      </x:c>
      <x:c r="T75" s="76" t="n">
        <x:v>1.2</x:v>
      </x:c>
      <x:c r="U75" s="79" t="n">
        <x:f>H75*T75</x:f>
        <x:v>6</x:v>
      </x:c>
      <x:c r="V75" s="82" t="n">
        <x:v>0.333</x:v>
      </x:c>
      <x:c r="W75" s="79" t="n">
        <x:f>I75*V75</x:f>
        <x:v>81.59499000000001</x:v>
      </x:c>
      <x:c r="X75" s="79" t="n">
        <x:f>S75-U75-W75</x:f>
        <x:v>93.08660999999996</x:v>
      </x:c>
      <x:c r="Y75" s="85" t="n">
        <x:f>IFERROR(X75/I75,0)</x:f>
        <x:v>0.3798988287148511</x:v>
      </x:c>
      <x:c r="Z75" s="67" t="str">
        <x:f>IF(X75&lt;0,"亏损",IF(Y75&lt;8%,"关注","正常"))</x:f>
        <x:v>正常</x:v>
      </x:c>
    </x:row>
    <x:row r="76">
      <x:c r="A76" s="67" t="str">
        <x:v>WMS-00072</x:v>
      </x:c>
      <x:c r="B76" s="73" t="n">
        <x:v>46212.5</x:v>
      </x:c>
      <x:c r="C76" s="73" t="n">
        <x:v>46214.5</x:v>
      </x:c>
      <x:c r="D76" s="67" t="str">
        <x:v>S04</x:v>
      </x:c>
      <x:c r="E76" s="67" t="str">
        <x:v>金街美地店</x:v>
      </x:c>
      <x:c r="F76" s="67" t="str">
        <x:v>饿了么</x:v>
      </x:c>
      <x:c r="G76" s="67" t="str">
        <x:v>平台活动订单</x:v>
      </x:c>
      <x:c r="H76" s="70" t="n">
        <x:v>4</x:v>
      </x:c>
      <x:c r="I76" s="76" t="n">
        <x:v>148.76</x:v>
      </x:c>
      <x:c r="J76" s="76" t="n">
        <x:v>4</x:v>
      </x:c>
      <x:c r="K76" s="76" t="n">
        <x:v>12</x:v>
      </x:c>
      <x:c r="L76" s="82" t="n">
        <x:v>0.22</x:v>
      </x:c>
      <x:c r="M76" s="79" t="n">
        <x:f>I76*L76</x:f>
        <x:v>32.727199999999996</x:v>
      </x:c>
      <x:c r="N76" s="76" t="n">
        <x:v>11.9</x:v>
      </x:c>
      <x:c r="O76" s="79" t="n">
        <x:f>I76+J76+K76-M76-N76</x:f>
        <x:v>120.1328</x:v>
      </x:c>
      <x:c r="P76" s="82" t="n">
        <x:v>0.18</x:v>
      </x:c>
      <x:c r="Q76" s="79" t="n">
        <x:f>I76*P76</x:f>
        <x:v>26.776799999999998</x:v>
      </x:c>
      <x:c r="R76" s="76" t="n">
        <x:v>0.89</x:v>
      </x:c>
      <x:c r="S76" s="79" t="n">
        <x:f>I76+J76-M76-Q76-R76</x:f>
        <x:v>92.366</x:v>
      </x:c>
      <x:c r="T76" s="76" t="n">
        <x:v>1.2</x:v>
      </x:c>
      <x:c r="U76" s="79" t="n">
        <x:f>H76*T76</x:f>
        <x:v>4.8</x:v>
      </x:c>
      <x:c r="V76" s="82" t="n">
        <x:v>0.353</x:v>
      </x:c>
      <x:c r="W76" s="79" t="n">
        <x:f>I76*V76</x:f>
        <x:v>52.51228</x:v>
      </x:c>
      <x:c r="X76" s="79" t="n">
        <x:f>S76-U76-W76</x:f>
        <x:v>35.053720000000006</x:v>
      </x:c>
      <x:c r="Y76" s="85" t="n">
        <x:f>IFERROR(X76/I76,0)</x:f>
        <x:v>0.23563941919870937</x:v>
      </x:c>
      <x:c r="Z76" s="67" t="str">
        <x:f>IF(X76&lt;0,"亏损",IF(Y76&lt;8%,"关注","正常"))</x:f>
        <x:v>正常</x:v>
      </x:c>
    </x:row>
    <x:row r="77">
      <x:c r="A77" s="67" t="str">
        <x:v>WMS-00073</x:v>
      </x:c>
      <x:c r="B77" s="73" t="n">
        <x:v>46213.5</x:v>
      </x:c>
      <x:c r="C77" s="73" t="n">
        <x:v>46215.5</x:v>
      </x:c>
      <x:c r="D77" s="67" t="str">
        <x:v>S04</x:v>
      </x:c>
      <x:c r="E77" s="67" t="str">
        <x:v>金街美地店</x:v>
      </x:c>
      <x:c r="F77" s="67" t="str">
        <x:v>饿了么</x:v>
      </x:c>
      <x:c r="G77" s="67" t="str">
        <x:v>常规订单</x:v>
      </x:c>
      <x:c r="H77" s="70" t="n">
        <x:v>11</x:v>
      </x:c>
      <x:c r="I77" s="76" t="n">
        <x:v>499.9</x:v>
      </x:c>
      <x:c r="J77" s="76" t="n">
        <x:v>11</x:v>
      </x:c>
      <x:c r="K77" s="76" t="n">
        <x:v>33</x:v>
      </x:c>
      <x:c r="L77" s="82" t="n">
        <x:v>0.03</x:v>
      </x:c>
      <x:c r="M77" s="79" t="n">
        <x:f>I77*L77</x:f>
        <x:v>14.996999999999998</x:v>
      </x:c>
      <x:c r="N77" s="76" t="n">
        <x:v>0</x:v>
      </x:c>
      <x:c r="O77" s="79" t="n">
        <x:f>I77+J77+K77-M77-N77</x:f>
        <x:v>528.903</x:v>
      </x:c>
      <x:c r="P77" s="82" t="n">
        <x:v>0.18</x:v>
      </x:c>
      <x:c r="Q77" s="79" t="n">
        <x:f>I77*P77</x:f>
        <x:v>89.982</x:v>
      </x:c>
      <x:c r="R77" s="76" t="n">
        <x:v>0.5</x:v>
      </x:c>
      <x:c r="S77" s="79" t="n">
        <x:f>I77+J77-M77-Q77-R77</x:f>
        <x:v>405.42099999999994</x:v>
      </x:c>
      <x:c r="T77" s="76" t="n">
        <x:v>1.2</x:v>
      </x:c>
      <x:c r="U77" s="79" t="n">
        <x:f>H77*T77</x:f>
        <x:v>13.2</x:v>
      </x:c>
      <x:c r="V77" s="82" t="n">
        <x:v>0.323</x:v>
      </x:c>
      <x:c r="W77" s="79" t="n">
        <x:f>I77*V77</x:f>
        <x:v>161.4677</x:v>
      </x:c>
      <x:c r="X77" s="79" t="n">
        <x:f>S77-U77-W77</x:f>
        <x:v>230.75329999999994</x:v>
      </x:c>
      <x:c r="Y77" s="85" t="n">
        <x:f>IFERROR(X77/I77,0)</x:f>
        <x:v>0.4615989197839567</x:v>
      </x:c>
      <x:c r="Z77" s="67" t="str">
        <x:f>IF(X77&lt;0,"亏损",IF(Y77&lt;8%,"关注","正常"))</x:f>
        <x:v>正常</x:v>
      </x:c>
    </x:row>
    <x:row r="78">
      <x:c r="A78" s="67" t="str">
        <x:v>WMS-00074</x:v>
      </x:c>
      <x:c r="B78" s="73" t="n">
        <x:v>46213.5</x:v>
      </x:c>
      <x:c r="C78" s="73" t="n">
        <x:v>46215.5</x:v>
      </x:c>
      <x:c r="D78" s="67" t="str">
        <x:v>S04</x:v>
      </x:c>
      <x:c r="E78" s="67" t="str">
        <x:v>金街美地店</x:v>
      </x:c>
      <x:c r="F78" s="67" t="str">
        <x:v>饿了么</x:v>
      </x:c>
      <x:c r="G78" s="67" t="str">
        <x:v>会员券订单</x:v>
      </x:c>
      <x:c r="H78" s="70" t="n">
        <x:v>6</x:v>
      </x:c>
      <x:c r="I78" s="76" t="n">
        <x:v>254.49</x:v>
      </x:c>
      <x:c r="J78" s="76" t="n">
        <x:v>6</x:v>
      </x:c>
      <x:c r="K78" s="76" t="n">
        <x:v>18</x:v>
      </x:c>
      <x:c r="L78" s="82" t="n">
        <x:v>0.1</x:v>
      </x:c>
      <x:c r="M78" s="79" t="n">
        <x:f>I78*L78</x:f>
        <x:v>25.449</x:v>
      </x:c>
      <x:c r="N78" s="76" t="n">
        <x:v>7.63</x:v>
      </x:c>
      <x:c r="O78" s="79" t="n">
        <x:f>I78+J78+K78-M78-N78</x:f>
        <x:v>245.411</x:v>
      </x:c>
      <x:c r="P78" s="82" t="n">
        <x:v>0.18</x:v>
      </x:c>
      <x:c r="Q78" s="79" t="n">
        <x:f>I78*P78</x:f>
        <x:v>45.8082</x:v>
      </x:c>
      <x:c r="R78" s="76" t="n">
        <x:v>0.76</x:v>
      </x:c>
      <x:c r="S78" s="79" t="n">
        <x:f>I78+J78-M78-Q78-R78</x:f>
        <x:v>188.4728</x:v>
      </x:c>
      <x:c r="T78" s="76" t="n">
        <x:v>1.2</x:v>
      </x:c>
      <x:c r="U78" s="79" t="n">
        <x:f>H78*T78</x:f>
        <x:v>7.199999999999999</x:v>
      </x:c>
      <x:c r="V78" s="82" t="n">
        <x:v>0.333</x:v>
      </x:c>
      <x:c r="W78" s="79" t="n">
        <x:f>I78*V78</x:f>
        <x:v>84.74517</x:v>
      </x:c>
      <x:c r="X78" s="79" t="n">
        <x:f>S78-U78-W78</x:f>
        <x:v>96.52763000000002</x:v>
      </x:c>
      <x:c r="Y78" s="85" t="n">
        <x:f>IFERROR(X78/I78,0)</x:f>
        <x:v>0.37929832213446507</x:v>
      </x:c>
      <x:c r="Z78" s="67" t="str">
        <x:f>IF(X78&lt;0,"亏损",IF(Y78&lt;8%,"关注","正常"))</x:f>
        <x:v>正常</x:v>
      </x:c>
    </x:row>
    <x:row r="79">
      <x:c r="A79" s="67" t="str">
        <x:v>WMS-00075</x:v>
      </x:c>
      <x:c r="B79" s="73" t="n">
        <x:v>46213.5</x:v>
      </x:c>
      <x:c r="C79" s="73" t="n">
        <x:v>46215.5</x:v>
      </x:c>
      <x:c r="D79" s="67" t="str">
        <x:v>S04</x:v>
      </x:c>
      <x:c r="E79" s="67" t="str">
        <x:v>金街美地店</x:v>
      </x:c>
      <x:c r="F79" s="67" t="str">
        <x:v>饿了么</x:v>
      </x:c>
      <x:c r="G79" s="67" t="str">
        <x:v>平台活动订单</x:v>
      </x:c>
      <x:c r="H79" s="70" t="n">
        <x:v>3</x:v>
      </x:c>
      <x:c r="I79" s="76" t="n">
        <x:v>154.51</x:v>
      </x:c>
      <x:c r="J79" s="76" t="n">
        <x:v>3</x:v>
      </x:c>
      <x:c r="K79" s="76" t="n">
        <x:v>9</x:v>
      </x:c>
      <x:c r="L79" s="82" t="n">
        <x:v>0.22</x:v>
      </x:c>
      <x:c r="M79" s="79" t="n">
        <x:f>I79*L79</x:f>
        <x:v>33.9922</x:v>
      </x:c>
      <x:c r="N79" s="76" t="n">
        <x:v>12.36</x:v>
      </x:c>
      <x:c r="O79" s="79" t="n">
        <x:f>I79+J79+K79-M79-N79</x:f>
        <x:v>120.1578</x:v>
      </x:c>
      <x:c r="P79" s="82" t="n">
        <x:v>0.18</x:v>
      </x:c>
      <x:c r="Q79" s="79" t="n">
        <x:f>I79*P79</x:f>
        <x:v>27.811799999999998</x:v>
      </x:c>
      <x:c r="R79" s="76" t="n">
        <x:v>0.93</x:v>
      </x:c>
      <x:c r="S79" s="79" t="n">
        <x:f>I79+J79-M79-Q79-R79</x:f>
        <x:v>94.77599999999998</x:v>
      </x:c>
      <x:c r="T79" s="76" t="n">
        <x:v>1.2</x:v>
      </x:c>
      <x:c r="U79" s="79" t="n">
        <x:f>H79*T79</x:f>
        <x:v>3.5999999999999996</x:v>
      </x:c>
      <x:c r="V79" s="82" t="n">
        <x:v>0.353</x:v>
      </x:c>
      <x:c r="W79" s="79" t="n">
        <x:f>I79*V79</x:f>
        <x:v>54.54203</x:v>
      </x:c>
      <x:c r="X79" s="79" t="n">
        <x:f>S79-U79-W79</x:f>
        <x:v>36.63396999999999</x:v>
      </x:c>
      <x:c r="Y79" s="85" t="n">
        <x:f>IFERROR(X79/I79,0)</x:f>
        <x:v>0.23709772830237522</x:v>
      </x:c>
      <x:c r="Z79" s="67" t="str">
        <x:f>IF(X79&lt;0,"亏损",IF(Y79&lt;8%,"关注","正常"))</x:f>
        <x:v>正常</x:v>
      </x:c>
    </x:row>
    <x:row r="80">
      <x:c r="A80" s="67" t="str">
        <x:v>WMS-00076</x:v>
      </x:c>
      <x:c r="B80" s="73" t="n">
        <x:v>46214.5</x:v>
      </x:c>
      <x:c r="C80" s="73" t="n">
        <x:v>46216.5</x:v>
      </x:c>
      <x:c r="D80" s="67" t="str">
        <x:v>S04</x:v>
      </x:c>
      <x:c r="E80" s="67" t="str">
        <x:v>金街美地店</x:v>
      </x:c>
      <x:c r="F80" s="67" t="str">
        <x:v>饿了么</x:v>
      </x:c>
      <x:c r="G80" s="67" t="str">
        <x:v>常规订单</x:v>
      </x:c>
      <x:c r="H80" s="70" t="n">
        <x:v>8</x:v>
      </x:c>
      <x:c r="I80" s="76" t="n">
        <x:v>382.85</x:v>
      </x:c>
      <x:c r="J80" s="76" t="n">
        <x:v>8</x:v>
      </x:c>
      <x:c r="K80" s="76" t="n">
        <x:v>24</x:v>
      </x:c>
      <x:c r="L80" s="82" t="n">
        <x:v>0.03</x:v>
      </x:c>
      <x:c r="M80" s="79" t="n">
        <x:f>I80*L80</x:f>
        <x:v>11.4855</x:v>
      </x:c>
      <x:c r="N80" s="76" t="n">
        <x:v>0</x:v>
      </x:c>
      <x:c r="O80" s="79" t="n">
        <x:f>I80+J80+K80-M80-N80</x:f>
        <x:v>403.3645</x:v>
      </x:c>
      <x:c r="P80" s="82" t="n">
        <x:v>0.18</x:v>
      </x:c>
      <x:c r="Q80" s="79" t="n">
        <x:f>I80*P80</x:f>
        <x:v>68.913</x:v>
      </x:c>
      <x:c r="R80" s="76" t="n">
        <x:v>0.38</x:v>
      </x:c>
      <x:c r="S80" s="79" t="n">
        <x:f>I80+J80-M80-Q80-R80</x:f>
        <x:v>310.0715</x:v>
      </x:c>
      <x:c r="T80" s="76" t="n">
        <x:v>1.2</x:v>
      </x:c>
      <x:c r="U80" s="79" t="n">
        <x:f>H80*T80</x:f>
        <x:v>9.6</x:v>
      </x:c>
      <x:c r="V80" s="82" t="n">
        <x:v>0.323</x:v>
      </x:c>
      <x:c r="W80" s="79" t="n">
        <x:f>I80*V80</x:f>
        <x:v>123.66055000000001</x:v>
      </x:c>
      <x:c r="X80" s="79" t="n">
        <x:f>S80-U80-W80</x:f>
        <x:v>176.81095</x:v>
      </x:c>
      <x:c r="Y80" s="85" t="n">
        <x:f>IFERROR(X80/I80,0)</x:f>
        <x:v>0.4618282617213007</x:v>
      </x:c>
      <x:c r="Z80" s="67" t="str">
        <x:f>IF(X80&lt;0,"亏损",IF(Y80&lt;8%,"关注","正常"))</x:f>
        <x:v>正常</x:v>
      </x:c>
    </x:row>
    <x:row r="81">
      <x:c r="A81" s="67" t="str">
        <x:v>WMS-00077</x:v>
      </x:c>
      <x:c r="B81" s="73" t="n">
        <x:v>46214.5</x:v>
      </x:c>
      <x:c r="C81" s="73" t="n">
        <x:v>46216.5</x:v>
      </x:c>
      <x:c r="D81" s="67" t="str">
        <x:v>S04</x:v>
      </x:c>
      <x:c r="E81" s="67" t="str">
        <x:v>金街美地店</x:v>
      </x:c>
      <x:c r="F81" s="67" t="str">
        <x:v>饿了么</x:v>
      </x:c>
      <x:c r="G81" s="67" t="str">
        <x:v>会员券订单</x:v>
      </x:c>
      <x:c r="H81" s="70" t="n">
        <x:v>4</x:v>
      </x:c>
      <x:c r="I81" s="76" t="n">
        <x:v>194.91</x:v>
      </x:c>
      <x:c r="J81" s="76" t="n">
        <x:v>4</x:v>
      </x:c>
      <x:c r="K81" s="76" t="n">
        <x:v>12</x:v>
      </x:c>
      <x:c r="L81" s="82" t="n">
        <x:v>0.1</x:v>
      </x:c>
      <x:c r="M81" s="79" t="n">
        <x:f>I81*L81</x:f>
        <x:v>19.491</x:v>
      </x:c>
      <x:c r="N81" s="76" t="n">
        <x:v>5.85</x:v>
      </x:c>
      <x:c r="O81" s="79" t="n">
        <x:f>I81+J81+K81-M81-N81</x:f>
        <x:v>185.569</x:v>
      </x:c>
      <x:c r="P81" s="82" t="n">
        <x:v>0.18</x:v>
      </x:c>
      <x:c r="Q81" s="79" t="n">
        <x:f>I81*P81</x:f>
        <x:v>35.0838</x:v>
      </x:c>
      <x:c r="R81" s="76" t="n">
        <x:v>0.58</x:v>
      </x:c>
      <x:c r="S81" s="79" t="n">
        <x:f>I81+J81-M81-Q81-R81</x:f>
        <x:v>143.75519999999997</x:v>
      </x:c>
      <x:c r="T81" s="76" t="n">
        <x:v>1.2</x:v>
      </x:c>
      <x:c r="U81" s="79" t="n">
        <x:f>H81*T81</x:f>
        <x:v>4.8</x:v>
      </x:c>
      <x:c r="V81" s="82" t="n">
        <x:v>0.333</x:v>
      </x:c>
      <x:c r="W81" s="79" t="n">
        <x:f>I81*V81</x:f>
        <x:v>64.90503</x:v>
      </x:c>
      <x:c r="X81" s="79" t="n">
        <x:f>S81-U81-W81</x:f>
        <x:v>74.05016999999997</x:v>
      </x:c>
      <x:c r="Y81" s="85" t="n">
        <x:f>IFERROR(X81/I81,0)</x:f>
        <x:v>0.3799198091426811</x:v>
      </x:c>
      <x:c r="Z81" s="67" t="str">
        <x:f>IF(X81&lt;0,"亏损",IF(Y81&lt;8%,"关注","正常"))</x:f>
        <x:v>正常</x:v>
      </x:c>
    </x:row>
    <x:row r="82">
      <x:c r="A82" s="67" t="str">
        <x:v>WMS-00078</x:v>
      </x:c>
      <x:c r="B82" s="73" t="n">
        <x:v>46214.5</x:v>
      </x:c>
      <x:c r="C82" s="73" t="n">
        <x:v>46216.5</x:v>
      </x:c>
      <x:c r="D82" s="67" t="str">
        <x:v>S04</x:v>
      </x:c>
      <x:c r="E82" s="67" t="str">
        <x:v>金街美地店</x:v>
      </x:c>
      <x:c r="F82" s="67" t="str">
        <x:v>美团外卖</x:v>
      </x:c>
      <x:c r="G82" s="67" t="str">
        <x:v>平台活动订单</x:v>
      </x:c>
      <x:c r="H82" s="70" t="n">
        <x:v>3</x:v>
      </x:c>
      <x:c r="I82" s="76" t="n">
        <x:v>118.33999999999992</x:v>
      </x:c>
      <x:c r="J82" s="76" t="n">
        <x:v>3</x:v>
      </x:c>
      <x:c r="K82" s="76" t="n">
        <x:v>9</x:v>
      </x:c>
      <x:c r="L82" s="82" t="n">
        <x:v>0.22</x:v>
      </x:c>
      <x:c r="M82" s="79" t="n">
        <x:f>I82*L82</x:f>
        <x:v>26.034799999999983</x:v>
      </x:c>
      <x:c r="N82" s="76" t="n">
        <x:v>9.47</x:v>
      </x:c>
      <x:c r="O82" s="79" t="n">
        <x:f>I82+J82+K82-M82-N82</x:f>
        <x:v>94.83519999999993</x:v>
      </x:c>
      <x:c r="P82" s="82" t="n">
        <x:v>0.18</x:v>
      </x:c>
      <x:c r="Q82" s="79" t="n">
        <x:f>I82*P82</x:f>
        <x:v>21.301199999999984</x:v>
      </x:c>
      <x:c r="R82" s="76" t="n">
        <x:v>0.71</x:v>
      </x:c>
      <x:c r="S82" s="79" t="n">
        <x:f>I82+J82-M82-Q82-R82</x:f>
        <x:v>73.29399999999995</x:v>
      </x:c>
      <x:c r="T82" s="76" t="n">
        <x:v>1.2</x:v>
      </x:c>
      <x:c r="U82" s="79" t="n">
        <x:f>H82*T82</x:f>
        <x:v>3.5999999999999996</x:v>
      </x:c>
      <x:c r="V82" s="82" t="n">
        <x:v>0.353</x:v>
      </x:c>
      <x:c r="W82" s="79" t="n">
        <x:f>I82*V82</x:f>
        <x:v>41.77401999999997</x:v>
      </x:c>
      <x:c r="X82" s="79" t="n">
        <x:f>S82-U82-W82</x:f>
        <x:v>27.91997999999999</x:v>
      </x:c>
      <x:c r="Y82" s="85" t="n">
        <x:f>IFERROR(X82/I82,0)</x:f>
        <x:v>0.23593020111543017</x:v>
      </x:c>
      <x:c r="Z82" s="67" t="str">
        <x:f>IF(X82&lt;0,"亏损",IF(Y82&lt;8%,"关注","正常"))</x:f>
        <x:v>正常</x:v>
      </x:c>
    </x:row>
    <x:row r="83">
      <x:c r="A83" s="67" t="str">
        <x:v>WMS-00079</x:v>
      </x:c>
      <x:c r="B83" s="73" t="n">
        <x:v>46215.5</x:v>
      </x:c>
      <x:c r="C83" s="73" t="n">
        <x:v>46217.5</x:v>
      </x:c>
      <x:c r="D83" s="67" t="str">
        <x:v>S04</x:v>
      </x:c>
      <x:c r="E83" s="67" t="str">
        <x:v>金街美地店</x:v>
      </x:c>
      <x:c r="F83" s="67" t="str">
        <x:v>饿了么</x:v>
      </x:c>
      <x:c r="G83" s="67" t="str">
        <x:v>常规订单</x:v>
      </x:c>
      <x:c r="H83" s="70" t="n">
        <x:v>8</x:v>
      </x:c>
      <x:c r="I83" s="76" t="n">
        <x:v>373.62</x:v>
      </x:c>
      <x:c r="J83" s="76" t="n">
        <x:v>8</x:v>
      </x:c>
      <x:c r="K83" s="76" t="n">
        <x:v>24</x:v>
      </x:c>
      <x:c r="L83" s="82" t="n">
        <x:v>0.03</x:v>
      </x:c>
      <x:c r="M83" s="79" t="n">
        <x:f>I83*L83</x:f>
        <x:v>11.2086</x:v>
      </x:c>
      <x:c r="N83" s="76" t="n">
        <x:v>0</x:v>
      </x:c>
      <x:c r="O83" s="79" t="n">
        <x:f>I83+J83+K83-M83-N83</x:f>
        <x:v>394.4114</x:v>
      </x:c>
      <x:c r="P83" s="82" t="n">
        <x:v>0.18</x:v>
      </x:c>
      <x:c r="Q83" s="79" t="n">
        <x:f>I83*P83</x:f>
        <x:v>67.2516</x:v>
      </x:c>
      <x:c r="R83" s="76" t="n">
        <x:v>0.37</x:v>
      </x:c>
      <x:c r="S83" s="79" t="n">
        <x:f>I83+J83-M83-Q83-R83</x:f>
        <x:v>302.7898</x:v>
      </x:c>
      <x:c r="T83" s="76" t="n">
        <x:v>1.2</x:v>
      </x:c>
      <x:c r="U83" s="79" t="n">
        <x:f>H83*T83</x:f>
        <x:v>9.6</x:v>
      </x:c>
      <x:c r="V83" s="82" t="n">
        <x:v>0.323</x:v>
      </x:c>
      <x:c r="W83" s="79" t="n">
        <x:f>I83*V83</x:f>
        <x:v>120.67926</x:v>
      </x:c>
      <x:c r="X83" s="79" t="n">
        <x:f>S83-U83-W83</x:f>
        <x:v>172.51054</x:v>
      </x:c>
      <x:c r="Y83" s="85" t="n">
        <x:f>IFERROR(X83/I83,0)</x:f>
        <x:v>0.46172726299448635</x:v>
      </x:c>
      <x:c r="Z83" s="67" t="str">
        <x:f>IF(X83&lt;0,"亏损",IF(Y83&lt;8%,"关注","正常"))</x:f>
        <x:v>正常</x:v>
      </x:c>
    </x:row>
    <x:row r="84">
      <x:c r="A84" s="67" t="str">
        <x:v>WMS-00080</x:v>
      </x:c>
      <x:c r="B84" s="73" t="n">
        <x:v>46215.5</x:v>
      </x:c>
      <x:c r="C84" s="73" t="n">
        <x:v>46217.5</x:v>
      </x:c>
      <x:c r="D84" s="67" t="str">
        <x:v>S04</x:v>
      </x:c>
      <x:c r="E84" s="67" t="str">
        <x:v>金街美地店</x:v>
      </x:c>
      <x:c r="F84" s="67" t="str">
        <x:v>美团外卖</x:v>
      </x:c>
      <x:c r="G84" s="67" t="str">
        <x:v>会员券订单</x:v>
      </x:c>
      <x:c r="H84" s="70" t="n">
        <x:v>4</x:v>
      </x:c>
      <x:c r="I84" s="76" t="n">
        <x:v>190.2</x:v>
      </x:c>
      <x:c r="J84" s="76" t="n">
        <x:v>4</x:v>
      </x:c>
      <x:c r="K84" s="76" t="n">
        <x:v>12</x:v>
      </x:c>
      <x:c r="L84" s="82" t="n">
        <x:v>0.1</x:v>
      </x:c>
      <x:c r="M84" s="79" t="n">
        <x:f>I84*L84</x:f>
        <x:v>19.02</x:v>
      </x:c>
      <x:c r="N84" s="76" t="n">
        <x:v>5.71</x:v>
      </x:c>
      <x:c r="O84" s="79" t="n">
        <x:f>I84+J84+K84-M84-N84</x:f>
        <x:v>181.46999999999997</x:v>
      </x:c>
      <x:c r="P84" s="82" t="n">
        <x:v>0.18</x:v>
      </x:c>
      <x:c r="Q84" s="79" t="n">
        <x:f>I84*P84</x:f>
        <x:v>34.236</x:v>
      </x:c>
      <x:c r="R84" s="76" t="n">
        <x:v>0.57</x:v>
      </x:c>
      <x:c r="S84" s="79" t="n">
        <x:f>I84+J84-M84-Q84-R84</x:f>
        <x:v>140.374</x:v>
      </x:c>
      <x:c r="T84" s="76" t="n">
        <x:v>1.2</x:v>
      </x:c>
      <x:c r="U84" s="79" t="n">
        <x:f>H84*T84</x:f>
        <x:v>4.8</x:v>
      </x:c>
      <x:c r="V84" s="82" t="n">
        <x:v>0.333</x:v>
      </x:c>
      <x:c r="W84" s="79" t="n">
        <x:f>I84*V84</x:f>
        <x:v>63.3366</x:v>
      </x:c>
      <x:c r="X84" s="79" t="n">
        <x:f>S84-U84-W84</x:f>
        <x:v>72.23739999999998</x:v>
      </x:c>
      <x:c r="Y84" s="85" t="n">
        <x:f>IFERROR(X84/I84,0)</x:f>
        <x:v>0.3797970557308096</x:v>
      </x:c>
      <x:c r="Z84" s="67" t="str">
        <x:f>IF(X84&lt;0,"亏损",IF(Y84&lt;8%,"关注","正常"))</x:f>
        <x:v>正常</x:v>
      </x:c>
    </x:row>
    <x:row r="85">
      <x:c r="A85" s="67" t="str">
        <x:v>WMS-00081</x:v>
      </x:c>
      <x:c r="B85" s="73" t="n">
        <x:v>46215.5</x:v>
      </x:c>
      <x:c r="C85" s="73" t="n">
        <x:v>46217.5</x:v>
      </x:c>
      <x:c r="D85" s="67" t="str">
        <x:v>S04</x:v>
      </x:c>
      <x:c r="E85" s="67" t="str">
        <x:v>金街美地店</x:v>
      </x:c>
      <x:c r="F85" s="67" t="str">
        <x:v>美团外卖</x:v>
      </x:c>
      <x:c r="G85" s="67" t="str">
        <x:v>平台活动订单</x:v>
      </x:c>
      <x:c r="H85" s="70" t="n">
        <x:v>3</x:v>
      </x:c>
      <x:c r="I85" s="76" t="n">
        <x:v>115.48000000000013</x:v>
      </x:c>
      <x:c r="J85" s="76" t="n">
        <x:v>3</x:v>
      </x:c>
      <x:c r="K85" s="76" t="n">
        <x:v>9</x:v>
      </x:c>
      <x:c r="L85" s="82" t="n">
        <x:v>0.22</x:v>
      </x:c>
      <x:c r="M85" s="79" t="n">
        <x:f>I85*L85</x:f>
        <x:v>25.405600000000028</x:v>
      </x:c>
      <x:c r="N85" s="76" t="n">
        <x:v>9.24</x:v>
      </x:c>
      <x:c r="O85" s="79" t="n">
        <x:f>I85+J85+K85-M85-N85</x:f>
        <x:v>92.83440000000012</x:v>
      </x:c>
      <x:c r="P85" s="82" t="n">
        <x:v>0.18</x:v>
      </x:c>
      <x:c r="Q85" s="79" t="n">
        <x:f>I85*P85</x:f>
        <x:v>20.78640000000002</x:v>
      </x:c>
      <x:c r="R85" s="76" t="n">
        <x:v>0.69</x:v>
      </x:c>
      <x:c r="S85" s="79" t="n">
        <x:f>I85+J85-M85-Q85-R85</x:f>
        <x:v>71.5980000000001</x:v>
      </x:c>
      <x:c r="T85" s="76" t="n">
        <x:v>1.2</x:v>
      </x:c>
      <x:c r="U85" s="79" t="n">
        <x:f>H85*T85</x:f>
        <x:v>3.5999999999999996</x:v>
      </x:c>
      <x:c r="V85" s="82" t="n">
        <x:v>0.353</x:v>
      </x:c>
      <x:c r="W85" s="79" t="n">
        <x:f>I85*V85</x:f>
        <x:v>40.76444000000004</x:v>
      </x:c>
      <x:c r="X85" s="79" t="n">
        <x:f>S85-U85-W85</x:f>
        <x:v>27.23356000000006</x:v>
      </x:c>
      <x:c r="Y85" s="85" t="n">
        <x:f>IFERROR(X85/I85,0)</x:f>
        <x:v>0.23582923449948068</x:v>
      </x:c>
      <x:c r="Z85" s="67" t="str">
        <x:f>IF(X85&lt;0,"亏损",IF(Y85&lt;8%,"关注","正常"))</x:f>
        <x:v>正常</x:v>
      </x:c>
    </x:row>
    <x:row r="86">
      <x:c r="A86" s="67" t="str">
        <x:v>WMS-00082</x:v>
      </x:c>
      <x:c r="B86" s="73" t="n">
        <x:v>46216.5</x:v>
      </x:c>
      <x:c r="C86" s="73" t="n">
        <x:v>46218.5</x:v>
      </x:c>
      <x:c r="D86" s="67" t="str">
        <x:v>S04</x:v>
      </x:c>
      <x:c r="E86" s="67" t="str">
        <x:v>金街美地店</x:v>
      </x:c>
      <x:c r="F86" s="67" t="str">
        <x:v>美团外卖</x:v>
      </x:c>
      <x:c r="G86" s="67" t="str">
        <x:v>常规订单</x:v>
      </x:c>
      <x:c r="H86" s="70" t="n">
        <x:v>12</x:v>
      </x:c>
      <x:c r="I86" s="76" t="n">
        <x:v>536.2</x:v>
      </x:c>
      <x:c r="J86" s="76" t="n">
        <x:v>12</x:v>
      </x:c>
      <x:c r="K86" s="76" t="n">
        <x:v>36</x:v>
      </x:c>
      <x:c r="L86" s="82" t="n">
        <x:v>0.03</x:v>
      </x:c>
      <x:c r="M86" s="79" t="n">
        <x:f>I86*L86</x:f>
        <x:v>16.086000000000002</x:v>
      </x:c>
      <x:c r="N86" s="76" t="n">
        <x:v>0</x:v>
      </x:c>
      <x:c r="O86" s="79" t="n">
        <x:f>I86+J86+K86-M86-N86</x:f>
        <x:v>568.114</x:v>
      </x:c>
      <x:c r="P86" s="82" t="n">
        <x:v>0.18</x:v>
      </x:c>
      <x:c r="Q86" s="79" t="n">
        <x:f>I86*P86</x:f>
        <x:v>96.516</x:v>
      </x:c>
      <x:c r="R86" s="76" t="n">
        <x:v>0.54</x:v>
      </x:c>
      <x:c r="S86" s="79" t="n">
        <x:f>I86+J86-M86-Q86-R86</x:f>
        <x:v>435.058</x:v>
      </x:c>
      <x:c r="T86" s="76" t="n">
        <x:v>1.2</x:v>
      </x:c>
      <x:c r="U86" s="79" t="n">
        <x:f>H86*T86</x:f>
        <x:v>14.399999999999999</x:v>
      </x:c>
      <x:c r="V86" s="82" t="n">
        <x:v>0.323</x:v>
      </x:c>
      <x:c r="W86" s="79" t="n">
        <x:f>I86*V86</x:f>
        <x:v>173.19260000000003</x:v>
      </x:c>
      <x:c r="X86" s="79" t="n">
        <x:f>S86-U86-W86</x:f>
        <x:v>247.4654</x:v>
      </x:c>
      <x:c r="Y86" s="85" t="n">
        <x:f>IFERROR(X86/I86,0)</x:f>
        <x:v>0.4615169712793733</x:v>
      </x:c>
      <x:c r="Z86" s="67" t="str">
        <x:f>IF(X86&lt;0,"亏损",IF(Y86&lt;8%,"关注","正常"))</x:f>
        <x:v>正常</x:v>
      </x:c>
    </x:row>
    <x:row r="87">
      <x:c r="A87" s="67" t="str">
        <x:v>WMS-00083</x:v>
      </x:c>
      <x:c r="B87" s="73" t="n">
        <x:v>46216.5</x:v>
      </x:c>
      <x:c r="C87" s="73" t="n">
        <x:v>46218.5</x:v>
      </x:c>
      <x:c r="D87" s="67" t="str">
        <x:v>S04</x:v>
      </x:c>
      <x:c r="E87" s="67" t="str">
        <x:v>金街美地店</x:v>
      </x:c>
      <x:c r="F87" s="67" t="str">
        <x:v>美团外卖</x:v>
      </x:c>
      <x:c r="G87" s="67" t="str">
        <x:v>会员券订单</x:v>
      </x:c>
      <x:c r="H87" s="70" t="n">
        <x:v>6</x:v>
      </x:c>
      <x:c r="I87" s="76" t="n">
        <x:v>272.97</x:v>
      </x:c>
      <x:c r="J87" s="76" t="n">
        <x:v>6</x:v>
      </x:c>
      <x:c r="K87" s="76" t="n">
        <x:v>18</x:v>
      </x:c>
      <x:c r="L87" s="82" t="n">
        <x:v>0.1</x:v>
      </x:c>
      <x:c r="M87" s="79" t="n">
        <x:f>I87*L87</x:f>
        <x:v>27.297000000000004</x:v>
      </x:c>
      <x:c r="N87" s="76" t="n">
        <x:v>8.19</x:v>
      </x:c>
      <x:c r="O87" s="79" t="n">
        <x:f>I87+J87+K87-M87-N87</x:f>
        <x:v>261.483</x:v>
      </x:c>
      <x:c r="P87" s="82" t="n">
        <x:v>0.18</x:v>
      </x:c>
      <x:c r="Q87" s="79" t="n">
        <x:f>I87*P87</x:f>
        <x:v>49.134600000000006</x:v>
      </x:c>
      <x:c r="R87" s="76" t="n">
        <x:v>0.82</x:v>
      </x:c>
      <x:c r="S87" s="79" t="n">
        <x:f>I87+J87-M87-Q87-R87</x:f>
        <x:v>201.71840000000003</x:v>
      </x:c>
      <x:c r="T87" s="76" t="n">
        <x:v>1.2</x:v>
      </x:c>
      <x:c r="U87" s="79" t="n">
        <x:f>H87*T87</x:f>
        <x:v>7.199999999999999</x:v>
      </x:c>
      <x:c r="V87" s="82" t="n">
        <x:v>0.333</x:v>
      </x:c>
      <x:c r="W87" s="79" t="n">
        <x:f>I87*V87</x:f>
        <x:v>90.89901000000002</x:v>
      </x:c>
      <x:c r="X87" s="79" t="n">
        <x:f>S87-U87-W87</x:f>
        <x:v>103.61939000000002</x:v>
      </x:c>
      <x:c r="Y87" s="85" t="n">
        <x:f>IFERROR(X87/I87,0)</x:f>
        <x:v>0.3795999194050629</x:v>
      </x:c>
      <x:c r="Z87" s="67" t="str">
        <x:f>IF(X87&lt;0,"亏损",IF(Y87&lt;8%,"关注","正常"))</x:f>
        <x:v>正常</x:v>
      </x:c>
    </x:row>
    <x:row r="88">
      <x:c r="A88" s="67" t="str">
        <x:v>WMS-00084</x:v>
      </x:c>
      <x:c r="B88" s="73" t="n">
        <x:v>46216.5</x:v>
      </x:c>
      <x:c r="C88" s="73" t="n">
        <x:v>46218.5</x:v>
      </x:c>
      <x:c r="D88" s="67" t="str">
        <x:v>S04</x:v>
      </x:c>
      <x:c r="E88" s="67" t="str">
        <x:v>金街美地店</x:v>
      </x:c>
      <x:c r="F88" s="67" t="str">
        <x:v>美团外卖</x:v>
      </x:c>
      <x:c r="G88" s="67" t="str">
        <x:v>平台活动订单</x:v>
      </x:c>
      <x:c r="H88" s="70" t="n">
        <x:v>4</x:v>
      </x:c>
      <x:c r="I88" s="76" t="n">
        <x:v>165.7299999999999</x:v>
      </x:c>
      <x:c r="J88" s="76" t="n">
        <x:v>4</x:v>
      </x:c>
      <x:c r="K88" s="76" t="n">
        <x:v>12</x:v>
      </x:c>
      <x:c r="L88" s="82" t="n">
        <x:v>0.22</x:v>
      </x:c>
      <x:c r="M88" s="79" t="n">
        <x:f>I88*L88</x:f>
        <x:v>36.46059999999998</x:v>
      </x:c>
      <x:c r="N88" s="76" t="n">
        <x:v>13.26</x:v>
      </x:c>
      <x:c r="O88" s="79" t="n">
        <x:f>I88+J88+K88-M88-N88</x:f>
        <x:v>132.00939999999994</x:v>
      </x:c>
      <x:c r="P88" s="82" t="n">
        <x:v>0.18</x:v>
      </x:c>
      <x:c r="Q88" s="79" t="n">
        <x:f>I88*P88</x:f>
        <x:v>29.83139999999998</x:v>
      </x:c>
      <x:c r="R88" s="76" t="n">
        <x:v>0.99</x:v>
      </x:c>
      <x:c r="S88" s="79" t="n">
        <x:f>I88+J88-M88-Q88-R88</x:f>
        <x:v>102.44799999999996</x:v>
      </x:c>
      <x:c r="T88" s="76" t="n">
        <x:v>1.2</x:v>
      </x:c>
      <x:c r="U88" s="79" t="n">
        <x:f>H88*T88</x:f>
        <x:v>4.8</x:v>
      </x:c>
      <x:c r="V88" s="82" t="n">
        <x:v>0.353</x:v>
      </x:c>
      <x:c r="W88" s="79" t="n">
        <x:f>I88*V88</x:f>
        <x:v>58.502689999999966</x:v>
      </x:c>
      <x:c r="X88" s="79" t="n">
        <x:f>S88-U88-W88</x:f>
        <x:v>39.14531</x:v>
      </x:c>
      <x:c r="Y88" s="85" t="n">
        <x:f>IFERROR(X88/I88,0)</x:f>
        <x:v>0.23619930006637316</x:v>
      </x:c>
      <x:c r="Z88" s="67" t="str">
        <x:f>IF(X88&lt;0,"亏损",IF(Y88&lt;8%,"关注","正常"))</x:f>
        <x:v>正常</x:v>
      </x:c>
    </x:row>
    <x:row r="89">
      <x:c r="A89" s="67" t="str">
        <x:v>WMS-00085</x:v>
      </x:c>
      <x:c r="B89" s="73" t="n">
        <x:v>46210.5</x:v>
      </x:c>
      <x:c r="C89" s="73" t="n">
        <x:v>46212.5</x:v>
      </x:c>
      <x:c r="D89" s="67" t="str">
        <x:v>S05</x:v>
      </x:c>
      <x:c r="E89" s="67" t="str">
        <x:v>同顺街店</x:v>
      </x:c>
      <x:c r="F89" s="67" t="str">
        <x:v>美团外卖</x:v>
      </x:c>
      <x:c r="G89" s="67" t="str">
        <x:v>常规订单</x:v>
      </x:c>
      <x:c r="H89" s="70" t="n">
        <x:v>11</x:v>
      </x:c>
      <x:c r="I89" s="76" t="n">
        <x:v>490.11</x:v>
      </x:c>
      <x:c r="J89" s="76" t="n">
        <x:v>11</x:v>
      </x:c>
      <x:c r="K89" s="76" t="n">
        <x:v>33</x:v>
      </x:c>
      <x:c r="L89" s="82" t="n">
        <x:v>0.03</x:v>
      </x:c>
      <x:c r="M89" s="79" t="n">
        <x:f>I89*L89</x:f>
        <x:v>14.7033</x:v>
      </x:c>
      <x:c r="N89" s="76" t="n">
        <x:v>0</x:v>
      </x:c>
      <x:c r="O89" s="79" t="n">
        <x:f>I89+J89+K89-M89-N89</x:f>
        <x:v>519.4067</x:v>
      </x:c>
      <x:c r="P89" s="82" t="n">
        <x:v>0.18</x:v>
      </x:c>
      <x:c r="Q89" s="79" t="n">
        <x:f>I89*P89</x:f>
        <x:v>88.21979999999999</x:v>
      </x:c>
      <x:c r="R89" s="76" t="n">
        <x:v>0.49</x:v>
      </x:c>
      <x:c r="S89" s="79" t="n">
        <x:f>I89+J89-M89-Q89-R89</x:f>
        <x:v>397.6969</x:v>
      </x:c>
      <x:c r="T89" s="76" t="n">
        <x:v>1.2</x:v>
      </x:c>
      <x:c r="U89" s="79" t="n">
        <x:f>H89*T89</x:f>
        <x:v>13.2</x:v>
      </x:c>
      <x:c r="V89" s="82" t="n">
        <x:v>0.324</x:v>
      </x:c>
      <x:c r="W89" s="79" t="n">
        <x:f>I89*V89</x:f>
        <x:v>158.79564000000002</x:v>
      </x:c>
      <x:c r="X89" s="79" t="n">
        <x:f>S89-U89-W89</x:f>
        <x:v>225.70126000000002</x:v>
      </x:c>
      <x:c r="Y89" s="85" t="n">
        <x:f>IFERROR(X89/I89,0)</x:f>
        <x:v>0.4605114362081982</x:v>
      </x:c>
      <x:c r="Z89" s="67" t="str">
        <x:f>IF(X89&lt;0,"亏损",IF(Y89&lt;8%,"关注","正常"))</x:f>
        <x:v>正常</x:v>
      </x:c>
    </x:row>
    <x:row r="90">
      <x:c r="A90" s="67" t="str">
        <x:v>WMS-00086</x:v>
      </x:c>
      <x:c r="B90" s="73" t="n">
        <x:v>46210.5</x:v>
      </x:c>
      <x:c r="C90" s="73" t="n">
        <x:v>46212.5</x:v>
      </x:c>
      <x:c r="D90" s="67" t="str">
        <x:v>S05</x:v>
      </x:c>
      <x:c r="E90" s="67" t="str">
        <x:v>同顺街店</x:v>
      </x:c>
      <x:c r="F90" s="67" t="str">
        <x:v>美团外卖</x:v>
      </x:c>
      <x:c r="G90" s="67" t="str">
        <x:v>会员券订单</x:v>
      </x:c>
      <x:c r="H90" s="70" t="n">
        <x:v>6</x:v>
      </x:c>
      <x:c r="I90" s="76" t="n">
        <x:v>249.51</x:v>
      </x:c>
      <x:c r="J90" s="76" t="n">
        <x:v>6</x:v>
      </x:c>
      <x:c r="K90" s="76" t="n">
        <x:v>18</x:v>
      </x:c>
      <x:c r="L90" s="82" t="n">
        <x:v>0.1</x:v>
      </x:c>
      <x:c r="M90" s="79" t="n">
        <x:f>I90*L90</x:f>
        <x:v>24.951</x:v>
      </x:c>
      <x:c r="N90" s="76" t="n">
        <x:v>7.49</x:v>
      </x:c>
      <x:c r="O90" s="79" t="n">
        <x:f>I90+J90+K90-M90-N90</x:f>
        <x:v>241.069</x:v>
      </x:c>
      <x:c r="P90" s="82" t="n">
        <x:v>0.18</x:v>
      </x:c>
      <x:c r="Q90" s="79" t="n">
        <x:f>I90*P90</x:f>
        <x:v>44.9118</x:v>
      </x:c>
      <x:c r="R90" s="76" t="n">
        <x:v>0.75</x:v>
      </x:c>
      <x:c r="S90" s="79" t="n">
        <x:f>I90+J90-M90-Q90-R90</x:f>
        <x:v>184.8972</x:v>
      </x:c>
      <x:c r="T90" s="76" t="n">
        <x:v>1.2</x:v>
      </x:c>
      <x:c r="U90" s="79" t="n">
        <x:f>H90*T90</x:f>
        <x:v>7.199999999999999</x:v>
      </x:c>
      <x:c r="V90" s="82" t="n">
        <x:v>0.334</x:v>
      </x:c>
      <x:c r="W90" s="79" t="n">
        <x:f>I90*V90</x:f>
        <x:v>83.33634</x:v>
      </x:c>
      <x:c r="X90" s="79" t="n">
        <x:f>S90-U90-W90</x:f>
        <x:v>94.36086</x:v>
      </x:c>
      <x:c r="Y90" s="85" t="n">
        <x:f>IFERROR(X90/I90,0)</x:f>
        <x:v>0.3781846819766743</x:v>
      </x:c>
      <x:c r="Z90" s="67" t="str">
        <x:f>IF(X90&lt;0,"亏损",IF(Y90&lt;8%,"关注","正常"))</x:f>
        <x:v>正常</x:v>
      </x:c>
    </x:row>
    <x:row r="91">
      <x:c r="A91" s="67" t="str">
        <x:v>WMS-00087</x:v>
      </x:c>
      <x:c r="B91" s="73" t="n">
        <x:v>46210.5</x:v>
      </x:c>
      <x:c r="C91" s="73" t="n">
        <x:v>46212.5</x:v>
      </x:c>
      <x:c r="D91" s="67" t="str">
        <x:v>S05</x:v>
      </x:c>
      <x:c r="E91" s="67" t="str">
        <x:v>同顺街店</x:v>
      </x:c>
      <x:c r="F91" s="67" t="str">
        <x:v>美团外卖</x:v>
      </x:c>
      <x:c r="G91" s="67" t="str">
        <x:v>平台活动订单</x:v>
      </x:c>
      <x:c r="H91" s="70" t="n">
        <x:v>3</x:v>
      </x:c>
      <x:c r="I91" s="76" t="n">
        <x:v>151.48000000000002</x:v>
      </x:c>
      <x:c r="J91" s="76" t="n">
        <x:v>3</x:v>
      </x:c>
      <x:c r="K91" s="76" t="n">
        <x:v>9</x:v>
      </x:c>
      <x:c r="L91" s="82" t="n">
        <x:v>0.22</x:v>
      </x:c>
      <x:c r="M91" s="79" t="n">
        <x:f>I91*L91</x:f>
        <x:v>33.3256</x:v>
      </x:c>
      <x:c r="N91" s="76" t="n">
        <x:v>12.12</x:v>
      </x:c>
      <x:c r="O91" s="79" t="n">
        <x:f>I91+J91+K91-M91-N91</x:f>
        <x:v>118.0344</x:v>
      </x:c>
      <x:c r="P91" s="82" t="n">
        <x:v>0.18</x:v>
      </x:c>
      <x:c r="Q91" s="79" t="n">
        <x:f>I91*P91</x:f>
        <x:v>27.2664</x:v>
      </x:c>
      <x:c r="R91" s="76" t="n">
        <x:v>0.91</x:v>
      </x:c>
      <x:c r="S91" s="79" t="n">
        <x:f>I91+J91-M91-Q91-R91</x:f>
        <x:v>92.97800000000001</x:v>
      </x:c>
      <x:c r="T91" s="76" t="n">
        <x:v>1.2</x:v>
      </x:c>
      <x:c r="U91" s="79" t="n">
        <x:f>H91*T91</x:f>
        <x:v>3.5999999999999996</x:v>
      </x:c>
      <x:c r="V91" s="82" t="n">
        <x:v>0.354</x:v>
      </x:c>
      <x:c r="W91" s="79" t="n">
        <x:f>I91*V91</x:f>
        <x:v>53.623920000000005</x:v>
      </x:c>
      <x:c r="X91" s="79" t="n">
        <x:f>S91-U91-W91</x:f>
        <x:v>35.75408000000001</x:v>
      </x:c>
      <x:c r="Y91" s="85" t="n">
        <x:f>IFERROR(X91/I91,0)</x:f>
        <x:v>0.23603168735146557</x:v>
      </x:c>
      <x:c r="Z91" s="67" t="str">
        <x:f>IF(X91&lt;0,"亏损",IF(Y91&lt;8%,"关注","正常"))</x:f>
        <x:v>正常</x:v>
      </x:c>
    </x:row>
    <x:row r="92">
      <x:c r="A92" s="67" t="str">
        <x:v>WMS-00088</x:v>
      </x:c>
      <x:c r="B92" s="73" t="n">
        <x:v>46211.5</x:v>
      </x:c>
      <x:c r="C92" s="73" t="n">
        <x:v>46213.5</x:v>
      </x:c>
      <x:c r="D92" s="67" t="str">
        <x:v>S05</x:v>
      </x:c>
      <x:c r="E92" s="67" t="str">
        <x:v>同顺街店</x:v>
      </x:c>
      <x:c r="F92" s="67" t="str">
        <x:v>美团外卖</x:v>
      </x:c>
      <x:c r="G92" s="67" t="str">
        <x:v>常规订单</x:v>
      </x:c>
      <x:c r="H92" s="70" t="n">
        <x:v>10</x:v>
      </x:c>
      <x:c r="I92" s="76" t="n">
        <x:v>476.85</x:v>
      </x:c>
      <x:c r="J92" s="76" t="n">
        <x:v>10</x:v>
      </x:c>
      <x:c r="K92" s="76" t="n">
        <x:v>30</x:v>
      </x:c>
      <x:c r="L92" s="82" t="n">
        <x:v>0.03</x:v>
      </x:c>
      <x:c r="M92" s="79" t="n">
        <x:f>I92*L92</x:f>
        <x:v>14.3055</x:v>
      </x:c>
      <x:c r="N92" s="76" t="n">
        <x:v>0</x:v>
      </x:c>
      <x:c r="O92" s="79" t="n">
        <x:f>I92+J92+K92-M92-N92</x:f>
        <x:v>502.5445</x:v>
      </x:c>
      <x:c r="P92" s="82" t="n">
        <x:v>0.18</x:v>
      </x:c>
      <x:c r="Q92" s="79" t="n">
        <x:f>I92*P92</x:f>
        <x:v>85.833</x:v>
      </x:c>
      <x:c r="R92" s="76" t="n">
        <x:v>0.48</x:v>
      </x:c>
      <x:c r="S92" s="79" t="n">
        <x:f>I92+J92-M92-Q92-R92</x:f>
        <x:v>386.2315</x:v>
      </x:c>
      <x:c r="T92" s="76" t="n">
        <x:v>1.2</x:v>
      </x:c>
      <x:c r="U92" s="79" t="n">
        <x:f>H92*T92</x:f>
        <x:v>12</x:v>
      </x:c>
      <x:c r="V92" s="82" t="n">
        <x:v>0.324</x:v>
      </x:c>
      <x:c r="W92" s="79" t="n">
        <x:f>I92*V92</x:f>
        <x:v>154.4994</x:v>
      </x:c>
      <x:c r="X92" s="79" t="n">
        <x:f>S92-U92-W92</x:f>
        <x:v>219.73209999999997</x:v>
      </x:c>
      <x:c r="Y92" s="85" t="n">
        <x:f>IFERROR(X92/I92,0)</x:f>
        <x:v>0.4607992031037013</x:v>
      </x:c>
      <x:c r="Z92" s="67" t="str">
        <x:f>IF(X92&lt;0,"亏损",IF(Y92&lt;8%,"关注","正常"))</x:f>
        <x:v>正常</x:v>
      </x:c>
    </x:row>
    <x:row r="93">
      <x:c r="A93" s="67" t="str">
        <x:v>WMS-00089</x:v>
      </x:c>
      <x:c r="B93" s="73" t="n">
        <x:v>46211.5</x:v>
      </x:c>
      <x:c r="C93" s="73" t="n">
        <x:v>46213.5</x:v>
      </x:c>
      <x:c r="D93" s="67" t="str">
        <x:v>S05</x:v>
      </x:c>
      <x:c r="E93" s="67" t="str">
        <x:v>同顺街店</x:v>
      </x:c>
      <x:c r="F93" s="67" t="str">
        <x:v>美团外卖</x:v>
      </x:c>
      <x:c r="G93" s="67" t="str">
        <x:v>会员券订单</x:v>
      </x:c>
      <x:c r="H93" s="70" t="n">
        <x:v>5</x:v>
      </x:c>
      <x:c r="I93" s="76" t="n">
        <x:v>242.76</x:v>
      </x:c>
      <x:c r="J93" s="76" t="n">
        <x:v>5</x:v>
      </x:c>
      <x:c r="K93" s="76" t="n">
        <x:v>15</x:v>
      </x:c>
      <x:c r="L93" s="82" t="n">
        <x:v>0.1</x:v>
      </x:c>
      <x:c r="M93" s="79" t="n">
        <x:f>I93*L93</x:f>
        <x:v>24.276</x:v>
      </x:c>
      <x:c r="N93" s="76" t="n">
        <x:v>7.28</x:v>
      </x:c>
      <x:c r="O93" s="79" t="n">
        <x:f>I93+J93+K93-M93-N93</x:f>
        <x:v>231.20399999999998</x:v>
      </x:c>
      <x:c r="P93" s="82" t="n">
        <x:v>0.18</x:v>
      </x:c>
      <x:c r="Q93" s="79" t="n">
        <x:f>I93*P93</x:f>
        <x:v>43.696799999999996</x:v>
      </x:c>
      <x:c r="R93" s="76" t="n">
        <x:v>0.73</x:v>
      </x:c>
      <x:c r="S93" s="79" t="n">
        <x:f>I93+J93-M93-Q93-R93</x:f>
        <x:v>179.0572</x:v>
      </x:c>
      <x:c r="T93" s="76" t="n">
        <x:v>1.2</x:v>
      </x:c>
      <x:c r="U93" s="79" t="n">
        <x:f>H93*T93</x:f>
        <x:v>6</x:v>
      </x:c>
      <x:c r="V93" s="82" t="n">
        <x:v>0.334</x:v>
      </x:c>
      <x:c r="W93" s="79" t="n">
        <x:f>I93*V93</x:f>
        <x:v>81.08184</x:v>
      </x:c>
      <x:c r="X93" s="79" t="n">
        <x:f>S93-U93-W93</x:f>
        <x:v>91.97536</x:v>
      </x:c>
      <x:c r="Y93" s="85" t="n">
        <x:f>IFERROR(X93/I93,0)</x:f>
        <x:v>0.3788736200362498</x:v>
      </x:c>
      <x:c r="Z93" s="67" t="str">
        <x:f>IF(X93&lt;0,"亏损",IF(Y93&lt;8%,"关注","正常"))</x:f>
        <x:v>正常</x:v>
      </x:c>
    </x:row>
    <x:row r="94">
      <x:c r="A94" s="67" t="str">
        <x:v>WMS-00090</x:v>
      </x:c>
      <x:c r="B94" s="73" t="n">
        <x:v>46211.5</x:v>
      </x:c>
      <x:c r="C94" s="73" t="n">
        <x:v>46213.5</x:v>
      </x:c>
      <x:c r="D94" s="67" t="str">
        <x:v>S05</x:v>
      </x:c>
      <x:c r="E94" s="67" t="str">
        <x:v>同顺街店</x:v>
      </x:c>
      <x:c r="F94" s="67" t="str">
        <x:v>美团外卖</x:v>
      </x:c>
      <x:c r="G94" s="67" t="str">
        <x:v>平台活动订单</x:v>
      </x:c>
      <x:c r="H94" s="70" t="n">
        <x:v>4</x:v>
      </x:c>
      <x:c r="I94" s="76" t="n">
        <x:v>147.39</x:v>
      </x:c>
      <x:c r="J94" s="76" t="n">
        <x:v>4</x:v>
      </x:c>
      <x:c r="K94" s="76" t="n">
        <x:v>12</x:v>
      </x:c>
      <x:c r="L94" s="82" t="n">
        <x:v>0.22</x:v>
      </x:c>
      <x:c r="M94" s="79" t="n">
        <x:f>I94*L94</x:f>
        <x:v>32.425799999999995</x:v>
      </x:c>
      <x:c r="N94" s="76" t="n">
        <x:v>11.79</x:v>
      </x:c>
      <x:c r="O94" s="79" t="n">
        <x:f>I94+J94+K94-M94-N94</x:f>
        <x:v>119.17420000000001</x:v>
      </x:c>
      <x:c r="P94" s="82" t="n">
        <x:v>0.18</x:v>
      </x:c>
      <x:c r="Q94" s="79" t="n">
        <x:f>I94*P94</x:f>
        <x:v>26.530199999999997</x:v>
      </x:c>
      <x:c r="R94" s="76" t="n">
        <x:v>0.88</x:v>
      </x:c>
      <x:c r="S94" s="79" t="n">
        <x:f>I94+J94-M94-Q94-R94</x:f>
        <x:v>91.554</x:v>
      </x:c>
      <x:c r="T94" s="76" t="n">
        <x:v>1.2</x:v>
      </x:c>
      <x:c r="U94" s="79" t="n">
        <x:f>H94*T94</x:f>
        <x:v>4.8</x:v>
      </x:c>
      <x:c r="V94" s="82" t="n">
        <x:v>0.354</x:v>
      </x:c>
      <x:c r="W94" s="79" t="n">
        <x:f>I94*V94</x:f>
        <x:v>52.17605999999999</x:v>
      </x:c>
      <x:c r="X94" s="79" t="n">
        <x:f>S94-U94-W94</x:f>
        <x:v>34.57794000000001</x:v>
      </x:c>
      <x:c r="Y94" s="85" t="n">
        <x:f>IFERROR(X94/I94,0)</x:f>
        <x:v>0.23460166904131904</x:v>
      </x:c>
      <x:c r="Z94" s="67" t="str">
        <x:f>IF(X94&lt;0,"亏损",IF(Y94&lt;8%,"关注","正常"))</x:f>
        <x:v>正常</x:v>
      </x:c>
    </x:row>
    <x:row r="95">
      <x:c r="A95" s="67" t="str">
        <x:v>WMS-00091</x:v>
      </x:c>
      <x:c r="B95" s="73" t="n">
        <x:v>46212.5</x:v>
      </x:c>
      <x:c r="C95" s="73" t="n">
        <x:v>46214.5</x:v>
      </x:c>
      <x:c r="D95" s="67" t="str">
        <x:v>S05</x:v>
      </x:c>
      <x:c r="E95" s="67" t="str">
        <x:v>同顺街店</x:v>
      </x:c>
      <x:c r="F95" s="67" t="str">
        <x:v>美团外卖</x:v>
      </x:c>
      <x:c r="G95" s="67" t="str">
        <x:v>常规订单</x:v>
      </x:c>
      <x:c r="H95" s="70" t="n">
        <x:v>10</x:v>
      </x:c>
      <x:c r="I95" s="76" t="n">
        <x:v>463.16</x:v>
      </x:c>
      <x:c r="J95" s="76" t="n">
        <x:v>10</x:v>
      </x:c>
      <x:c r="K95" s="76" t="n">
        <x:v>30</x:v>
      </x:c>
      <x:c r="L95" s="82" t="n">
        <x:v>0.03</x:v>
      </x:c>
      <x:c r="M95" s="79" t="n">
        <x:f>I95*L95</x:f>
        <x:v>13.8948</x:v>
      </x:c>
      <x:c r="N95" s="76" t="n">
        <x:v>0</x:v>
      </x:c>
      <x:c r="O95" s="79" t="n">
        <x:f>I95+J95+K95-M95-N95</x:f>
        <x:v>489.26520000000005</x:v>
      </x:c>
      <x:c r="P95" s="82" t="n">
        <x:v>0.18</x:v>
      </x:c>
      <x:c r="Q95" s="79" t="n">
        <x:f>I95*P95</x:f>
        <x:v>83.36880000000001</x:v>
      </x:c>
      <x:c r="R95" s="76" t="n">
        <x:v>0.46</x:v>
      </x:c>
      <x:c r="S95" s="79" t="n">
        <x:f>I95+J95-M95-Q95-R95</x:f>
        <x:v>375.43640000000005</x:v>
      </x:c>
      <x:c r="T95" s="76" t="n">
        <x:v>1.2</x:v>
      </x:c>
      <x:c r="U95" s="79" t="n">
        <x:f>H95*T95</x:f>
        <x:v>12</x:v>
      </x:c>
      <x:c r="V95" s="82" t="n">
        <x:v>0.324</x:v>
      </x:c>
      <x:c r="W95" s="79" t="n">
        <x:f>I95*V95</x:f>
        <x:v>150.06384</x:v>
      </x:c>
      <x:c r="X95" s="79" t="n">
        <x:f>S95-U95-W95</x:f>
        <x:v>213.37256000000005</x:v>
      </x:c>
      <x:c r="Y95" s="85" t="n">
        <x:f>IFERROR(X95/I95,0)</x:f>
        <x:v>0.4606886605060887</x:v>
      </x:c>
      <x:c r="Z95" s="67" t="str">
        <x:f>IF(X95&lt;0,"亏损",IF(Y95&lt;8%,"关注","正常"))</x:f>
        <x:v>正常</x:v>
      </x:c>
    </x:row>
    <x:row r="96">
      <x:c r="A96" s="67" t="str">
        <x:v>WMS-00092</x:v>
      </x:c>
      <x:c r="B96" s="73" t="n">
        <x:v>46212.5</x:v>
      </x:c>
      <x:c r="C96" s="73" t="n">
        <x:v>46214.5</x:v>
      </x:c>
      <x:c r="D96" s="67" t="str">
        <x:v>S05</x:v>
      </x:c>
      <x:c r="E96" s="67" t="str">
        <x:v>同顺街店</x:v>
      </x:c>
      <x:c r="F96" s="67" t="str">
        <x:v>美团外卖</x:v>
      </x:c>
      <x:c r="G96" s="67" t="str">
        <x:v>会员券订单</x:v>
      </x:c>
      <x:c r="H96" s="70" t="n">
        <x:v>5</x:v>
      </x:c>
      <x:c r="I96" s="76" t="n">
        <x:v>235.79</x:v>
      </x:c>
      <x:c r="J96" s="76" t="n">
        <x:v>5</x:v>
      </x:c>
      <x:c r="K96" s="76" t="n">
        <x:v>15</x:v>
      </x:c>
      <x:c r="L96" s="82" t="n">
        <x:v>0.1</x:v>
      </x:c>
      <x:c r="M96" s="79" t="n">
        <x:f>I96*L96</x:f>
        <x:v>23.579</x:v>
      </x:c>
      <x:c r="N96" s="76" t="n">
        <x:v>7.07</x:v>
      </x:c>
      <x:c r="O96" s="79" t="n">
        <x:f>I96+J96+K96-M96-N96</x:f>
        <x:v>225.141</x:v>
      </x:c>
      <x:c r="P96" s="82" t="n">
        <x:v>0.18</x:v>
      </x:c>
      <x:c r="Q96" s="79" t="n">
        <x:f>I96*P96</x:f>
        <x:v>42.4422</x:v>
      </x:c>
      <x:c r="R96" s="76" t="n">
        <x:v>0.71</x:v>
      </x:c>
      <x:c r="S96" s="79" t="n">
        <x:f>I96+J96-M96-Q96-R96</x:f>
        <x:v>174.0588</x:v>
      </x:c>
      <x:c r="T96" s="76" t="n">
        <x:v>1.2</x:v>
      </x:c>
      <x:c r="U96" s="79" t="n">
        <x:f>H96*T96</x:f>
        <x:v>6</x:v>
      </x:c>
      <x:c r="V96" s="82" t="n">
        <x:v>0.334</x:v>
      </x:c>
      <x:c r="W96" s="79" t="n">
        <x:f>I96*V96</x:f>
        <x:v>78.75386</x:v>
      </x:c>
      <x:c r="X96" s="79" t="n">
        <x:f>S96-U96-W96</x:f>
        <x:v>89.30493999999999</x:v>
      </x:c>
      <x:c r="Y96" s="85" t="n">
        <x:f>IFERROR(X96/I96,0)</x:f>
        <x:v>0.3787477840451249</x:v>
      </x:c>
      <x:c r="Z96" s="67" t="str">
        <x:f>IF(X96&lt;0,"亏损",IF(Y96&lt;8%,"关注","正常"))</x:f>
        <x:v>正常</x:v>
      </x:c>
    </x:row>
    <x:row r="97">
      <x:c r="A97" s="67" t="str">
        <x:v>WMS-00093</x:v>
      </x:c>
      <x:c r="B97" s="73" t="n">
        <x:v>46212.5</x:v>
      </x:c>
      <x:c r="C97" s="73" t="n">
        <x:v>46214.5</x:v>
      </x:c>
      <x:c r="D97" s="67" t="str">
        <x:v>S05</x:v>
      </x:c>
      <x:c r="E97" s="67" t="str">
        <x:v>同顺街店</x:v>
      </x:c>
      <x:c r="F97" s="67" t="str">
        <x:v>美团外卖</x:v>
      </x:c>
      <x:c r="G97" s="67" t="str">
        <x:v>平台活动订单</x:v>
      </x:c>
      <x:c r="H97" s="70" t="n">
        <x:v>4</x:v>
      </x:c>
      <x:c r="I97" s="76" t="n">
        <x:v>143.14999999999998</x:v>
      </x:c>
      <x:c r="J97" s="76" t="n">
        <x:v>4</x:v>
      </x:c>
      <x:c r="K97" s="76" t="n">
        <x:v>12</x:v>
      </x:c>
      <x:c r="L97" s="82" t="n">
        <x:v>0.22</x:v>
      </x:c>
      <x:c r="M97" s="79" t="n">
        <x:f>I97*L97</x:f>
        <x:v>31.492999999999995</x:v>
      </x:c>
      <x:c r="N97" s="76" t="n">
        <x:v>11.45</x:v>
      </x:c>
      <x:c r="O97" s="79" t="n">
        <x:f>I97+J97+K97-M97-N97</x:f>
        <x:v>116.20699999999998</x:v>
      </x:c>
      <x:c r="P97" s="82" t="n">
        <x:v>0.18</x:v>
      </x:c>
      <x:c r="Q97" s="79" t="n">
        <x:f>I97*P97</x:f>
        <x:v>25.766999999999996</x:v>
      </x:c>
      <x:c r="R97" s="76" t="n">
        <x:v>0.86</x:v>
      </x:c>
      <x:c r="S97" s="79" t="n">
        <x:f>I97+J97-M97-Q97-R97</x:f>
        <x:v>89.02999999999999</x:v>
      </x:c>
      <x:c r="T97" s="76" t="n">
        <x:v>1.2</x:v>
      </x:c>
      <x:c r="U97" s="79" t="n">
        <x:f>H97*T97</x:f>
        <x:v>4.8</x:v>
      </x:c>
      <x:c r="V97" s="82" t="n">
        <x:v>0.354</x:v>
      </x:c>
      <x:c r="W97" s="79" t="n">
        <x:f>I97*V97</x:f>
        <x:v>50.675099999999986</x:v>
      </x:c>
      <x:c r="X97" s="79" t="n">
        <x:f>S97-U97-W97</x:f>
        <x:v>33.5549</x:v>
      </x:c>
      <x:c r="Y97" s="85" t="n">
        <x:f>IFERROR(X97/I97,0)</x:f>
        <x:v>0.23440377226685302</x:v>
      </x:c>
      <x:c r="Z97" s="67" t="str">
        <x:f>IF(X97&lt;0,"亏损",IF(Y97&lt;8%,"关注","正常"))</x:f>
        <x:v>正常</x:v>
      </x:c>
    </x:row>
    <x:row r="98">
      <x:c r="A98" s="67" t="str">
        <x:v>WMS-00094</x:v>
      </x:c>
      <x:c r="B98" s="73" t="n">
        <x:v>46213.5</x:v>
      </x:c>
      <x:c r="C98" s="73" t="n">
        <x:v>46215.5</x:v>
      </x:c>
      <x:c r="D98" s="67" t="str">
        <x:v>S05</x:v>
      </x:c>
      <x:c r="E98" s="67" t="str">
        <x:v>同顺街店</x:v>
      </x:c>
      <x:c r="F98" s="67" t="str">
        <x:v>美团外卖</x:v>
      </x:c>
      <x:c r="G98" s="67" t="str">
        <x:v>常规订单</x:v>
      </x:c>
      <x:c r="H98" s="70" t="n">
        <x:v>11</x:v>
      </x:c>
      <x:c r="I98" s="76" t="n">
        <x:v>484</x:v>
      </x:c>
      <x:c r="J98" s="76" t="n">
        <x:v>11</x:v>
      </x:c>
      <x:c r="K98" s="76" t="n">
        <x:v>33</x:v>
      </x:c>
      <x:c r="L98" s="82" t="n">
        <x:v>0.03</x:v>
      </x:c>
      <x:c r="M98" s="79" t="n">
        <x:f>I98*L98</x:f>
        <x:v>14.52</x:v>
      </x:c>
      <x:c r="N98" s="76" t="n">
        <x:v>0</x:v>
      </x:c>
      <x:c r="O98" s="79" t="n">
        <x:f>I98+J98+K98-M98-N98</x:f>
        <x:v>513.48</x:v>
      </x:c>
      <x:c r="P98" s="82" t="n">
        <x:v>0.18</x:v>
      </x:c>
      <x:c r="Q98" s="79" t="n">
        <x:f>I98*P98</x:f>
        <x:v>87.11999999999999</x:v>
      </x:c>
      <x:c r="R98" s="76" t="n">
        <x:v>0.48</x:v>
      </x:c>
      <x:c r="S98" s="79" t="n">
        <x:f>I98+J98-M98-Q98-R98</x:f>
        <x:v>392.88</x:v>
      </x:c>
      <x:c r="T98" s="76" t="n">
        <x:v>1.2</x:v>
      </x:c>
      <x:c r="U98" s="79" t="n">
        <x:f>H98*T98</x:f>
        <x:v>13.2</x:v>
      </x:c>
      <x:c r="V98" s="82" t="n">
        <x:v>0.324</x:v>
      </x:c>
      <x:c r="W98" s="79" t="n">
        <x:f>I98*V98</x:f>
        <x:v>156.816</x:v>
      </x:c>
      <x:c r="X98" s="79" t="n">
        <x:f>S98-U98-W98</x:f>
        <x:v>222.864</x:v>
      </x:c>
      <x:c r="Y98" s="85" t="n">
        <x:f>IFERROR(X98/I98,0)</x:f>
        <x:v>0.4604628099173554</x:v>
      </x:c>
      <x:c r="Z98" s="67" t="str">
        <x:f>IF(X98&lt;0,"亏损",IF(Y98&lt;8%,"关注","正常"))</x:f>
        <x:v>正常</x:v>
      </x:c>
    </x:row>
    <x:row r="99">
      <x:c r="A99" s="67" t="str">
        <x:v>WMS-00095</x:v>
      </x:c>
      <x:c r="B99" s="73" t="n">
        <x:v>46213.5</x:v>
      </x:c>
      <x:c r="C99" s="73" t="n">
        <x:v>46215.5</x:v>
      </x:c>
      <x:c r="D99" s="67" t="str">
        <x:v>S05</x:v>
      </x:c>
      <x:c r="E99" s="67" t="str">
        <x:v>同顺街店</x:v>
      </x:c>
      <x:c r="F99" s="67" t="str">
        <x:v>美团外卖</x:v>
      </x:c>
      <x:c r="G99" s="67" t="str">
        <x:v>会员券订单</x:v>
      </x:c>
      <x:c r="H99" s="70" t="n">
        <x:v>6</x:v>
      </x:c>
      <x:c r="I99" s="76" t="n">
        <x:v>246.4</x:v>
      </x:c>
      <x:c r="J99" s="76" t="n">
        <x:v>6</x:v>
      </x:c>
      <x:c r="K99" s="76" t="n">
        <x:v>18</x:v>
      </x:c>
      <x:c r="L99" s="82" t="n">
        <x:v>0.1</x:v>
      </x:c>
      <x:c r="M99" s="79" t="n">
        <x:f>I99*L99</x:f>
        <x:v>24.64</x:v>
      </x:c>
      <x:c r="N99" s="76" t="n">
        <x:v>7.39</x:v>
      </x:c>
      <x:c r="O99" s="79" t="n">
        <x:f>I99+J99+K99-M99-N99</x:f>
        <x:v>238.37</x:v>
      </x:c>
      <x:c r="P99" s="82" t="n">
        <x:v>0.18</x:v>
      </x:c>
      <x:c r="Q99" s="79" t="n">
        <x:f>I99*P99</x:f>
        <x:v>44.352</x:v>
      </x:c>
      <x:c r="R99" s="76" t="n">
        <x:v>0.74</x:v>
      </x:c>
      <x:c r="S99" s="79" t="n">
        <x:f>I99+J99-M99-Q99-R99</x:f>
        <x:v>182.66799999999998</x:v>
      </x:c>
      <x:c r="T99" s="76" t="n">
        <x:v>1.2</x:v>
      </x:c>
      <x:c r="U99" s="79" t="n">
        <x:f>H99*T99</x:f>
        <x:v>7.199999999999999</x:v>
      </x:c>
      <x:c r="V99" s="82" t="n">
        <x:v>0.334</x:v>
      </x:c>
      <x:c r="W99" s="79" t="n">
        <x:f>I99*V99</x:f>
        <x:v>82.2976</x:v>
      </x:c>
      <x:c r="X99" s="79" t="n">
        <x:f>S99-U99-W99</x:f>
        <x:v>93.17039999999999</x:v>
      </x:c>
      <x:c r="Y99" s="85" t="n">
        <x:f>IFERROR(X99/I99,0)</x:f>
        <x:v>0.37812662337662334</x:v>
      </x:c>
      <x:c r="Z99" s="67" t="str">
        <x:f>IF(X99&lt;0,"亏损",IF(Y99&lt;8%,"关注","正常"))</x:f>
        <x:v>正常</x:v>
      </x:c>
    </x:row>
    <x:row r="100">
      <x:c r="A100" s="67" t="str">
        <x:v>WMS-00096</x:v>
      </x:c>
      <x:c r="B100" s="73" t="n">
        <x:v>46213.5</x:v>
      </x:c>
      <x:c r="C100" s="73" t="n">
        <x:v>46215.5</x:v>
      </x:c>
      <x:c r="D100" s="67" t="str">
        <x:v>S05</x:v>
      </x:c>
      <x:c r="E100" s="67" t="str">
        <x:v>同顺街店</x:v>
      </x:c>
      <x:c r="F100" s="67" t="str">
        <x:v>饿了么</x:v>
      </x:c>
      <x:c r="G100" s="67" t="str">
        <x:v>平台活动订单</x:v>
      </x:c>
      <x:c r="H100" s="70" t="n">
        <x:v>3</x:v>
      </x:c>
      <x:c r="I100" s="76" t="n">
        <x:v>149.60000000000002</x:v>
      </x:c>
      <x:c r="J100" s="76" t="n">
        <x:v>3</x:v>
      </x:c>
      <x:c r="K100" s="76" t="n">
        <x:v>9</x:v>
      </x:c>
      <x:c r="L100" s="82" t="n">
        <x:v>0.22</x:v>
      </x:c>
      <x:c r="M100" s="79" t="n">
        <x:f>I100*L100</x:f>
        <x:v>32.912000000000006</x:v>
      </x:c>
      <x:c r="N100" s="76" t="n">
        <x:v>11.97</x:v>
      </x:c>
      <x:c r="O100" s="79" t="n">
        <x:f>I100+J100+K100-M100-N100</x:f>
        <x:v>116.71800000000002</x:v>
      </x:c>
      <x:c r="P100" s="82" t="n">
        <x:v>0.18</x:v>
      </x:c>
      <x:c r="Q100" s="79" t="n">
        <x:f>I100*P100</x:f>
        <x:v>26.928000000000004</x:v>
      </x:c>
      <x:c r="R100" s="76" t="n">
        <x:v>0.9</x:v>
      </x:c>
      <x:c r="S100" s="79" t="n">
        <x:f>I100+J100-M100-Q100-R100</x:f>
        <x:v>91.86000000000001</x:v>
      </x:c>
      <x:c r="T100" s="76" t="n">
        <x:v>1.2</x:v>
      </x:c>
      <x:c r="U100" s="79" t="n">
        <x:f>H100*T100</x:f>
        <x:v>3.5999999999999996</x:v>
      </x:c>
      <x:c r="V100" s="82" t="n">
        <x:v>0.354</x:v>
      </x:c>
      <x:c r="W100" s="79" t="n">
        <x:f>I100*V100</x:f>
        <x:v>52.958400000000005</x:v>
      </x:c>
      <x:c r="X100" s="79" t="n">
        <x:f>S100-U100-W100</x:f>
        <x:v>35.301600000000015</x:v>
      </x:c>
      <x:c r="Y100" s="85" t="n">
        <x:f>IFERROR(X100/I100,0)</x:f>
        <x:v>0.23597326203208563</x:v>
      </x:c>
      <x:c r="Z100" s="67" t="str">
        <x:f>IF(X100&lt;0,"亏损",IF(Y100&lt;8%,"关注","正常"))</x:f>
        <x:v>正常</x:v>
      </x:c>
    </x:row>
    <x:row r="101">
      <x:c r="A101" s="67" t="str">
        <x:v>WMS-00097</x:v>
      </x:c>
      <x:c r="B101" s="73" t="n">
        <x:v>46214.5</x:v>
      </x:c>
      <x:c r="C101" s="73" t="n">
        <x:v>46216.5</x:v>
      </x:c>
      <x:c r="D101" s="67" t="str">
        <x:v>S05</x:v>
      </x:c>
      <x:c r="E101" s="67" t="str">
        <x:v>同顺街店</x:v>
      </x:c>
      <x:c r="F101" s="67" t="str">
        <x:v>美团外卖</x:v>
      </x:c>
      <x:c r="G101" s="67" t="str">
        <x:v>常规订单</x:v>
      </x:c>
      <x:c r="H101" s="70" t="n">
        <x:v>8</x:v>
      </x:c>
      <x:c r="I101" s="76" t="n">
        <x:v>373.56</x:v>
      </x:c>
      <x:c r="J101" s="76" t="n">
        <x:v>8</x:v>
      </x:c>
      <x:c r="K101" s="76" t="n">
        <x:v>24</x:v>
      </x:c>
      <x:c r="L101" s="82" t="n">
        <x:v>0.03</x:v>
      </x:c>
      <x:c r="M101" s="79" t="n">
        <x:f>I101*L101</x:f>
        <x:v>11.2068</x:v>
      </x:c>
      <x:c r="N101" s="76" t="n">
        <x:v>0</x:v>
      </x:c>
      <x:c r="O101" s="79" t="n">
        <x:f>I101+J101+K101-M101-N101</x:f>
        <x:v>394.3532</x:v>
      </x:c>
      <x:c r="P101" s="82" t="n">
        <x:v>0.18</x:v>
      </x:c>
      <x:c r="Q101" s="79" t="n">
        <x:f>I101*P101</x:f>
        <x:v>67.2408</x:v>
      </x:c>
      <x:c r="R101" s="76" t="n">
        <x:v>0.37</x:v>
      </x:c>
      <x:c r="S101" s="79" t="n">
        <x:f>I101+J101-M101-Q101-R101</x:f>
        <x:v>302.74240000000003</x:v>
      </x:c>
      <x:c r="T101" s="76" t="n">
        <x:v>1.2</x:v>
      </x:c>
      <x:c r="U101" s="79" t="n">
        <x:f>H101*T101</x:f>
        <x:v>9.6</x:v>
      </x:c>
      <x:c r="V101" s="82" t="n">
        <x:v>0.324</x:v>
      </x:c>
      <x:c r="W101" s="79" t="n">
        <x:f>I101*V101</x:f>
        <x:v>121.03344</x:v>
      </x:c>
      <x:c r="X101" s="79" t="n">
        <x:f>S101-U101-W101</x:f>
        <x:v>172.10896000000002</x:v>
      </x:c>
      <x:c r="Y101" s="85" t="n">
        <x:f>IFERROR(X101/I101,0)</x:f>
        <x:v>0.46072641610450804</x:v>
      </x:c>
      <x:c r="Z101" s="67" t="str">
        <x:f>IF(X101&lt;0,"亏损",IF(Y101&lt;8%,"关注","正常"))</x:f>
        <x:v>正常</x:v>
      </x:c>
    </x:row>
    <x:row r="102">
      <x:c r="A102" s="67" t="str">
        <x:v>WMS-00098</x:v>
      </x:c>
      <x:c r="B102" s="73" t="n">
        <x:v>46214.5</x:v>
      </x:c>
      <x:c r="C102" s="73" t="n">
        <x:v>46216.5</x:v>
      </x:c>
      <x:c r="D102" s="67" t="str">
        <x:v>S05</x:v>
      </x:c>
      <x:c r="E102" s="67" t="str">
        <x:v>同顺街店</x:v>
      </x:c>
      <x:c r="F102" s="67" t="str">
        <x:v>饿了么</x:v>
      </x:c>
      <x:c r="G102" s="67" t="str">
        <x:v>会员券订单</x:v>
      </x:c>
      <x:c r="H102" s="70" t="n">
        <x:v>4</x:v>
      </x:c>
      <x:c r="I102" s="76" t="n">
        <x:v>190.18</x:v>
      </x:c>
      <x:c r="J102" s="76" t="n">
        <x:v>4</x:v>
      </x:c>
      <x:c r="K102" s="76" t="n">
        <x:v>12</x:v>
      </x:c>
      <x:c r="L102" s="82" t="n">
        <x:v>0.1</x:v>
      </x:c>
      <x:c r="M102" s="79" t="n">
        <x:f>I102*L102</x:f>
        <x:v>19.018</x:v>
      </x:c>
      <x:c r="N102" s="76" t="n">
        <x:v>5.71</x:v>
      </x:c>
      <x:c r="O102" s="79" t="n">
        <x:f>I102+J102+K102-M102-N102</x:f>
        <x:v>181.452</x:v>
      </x:c>
      <x:c r="P102" s="82" t="n">
        <x:v>0.18</x:v>
      </x:c>
      <x:c r="Q102" s="79" t="n">
        <x:f>I102*P102</x:f>
        <x:v>34.2324</x:v>
      </x:c>
      <x:c r="R102" s="76" t="n">
        <x:v>0.57</x:v>
      </x:c>
      <x:c r="S102" s="79" t="n">
        <x:f>I102+J102-M102-Q102-R102</x:f>
        <x:v>140.3596</x:v>
      </x:c>
      <x:c r="T102" s="76" t="n">
        <x:v>1.2</x:v>
      </x:c>
      <x:c r="U102" s="79" t="n">
        <x:f>H102*T102</x:f>
        <x:v>4.8</x:v>
      </x:c>
      <x:c r="V102" s="82" t="n">
        <x:v>0.334</x:v>
      </x:c>
      <x:c r="W102" s="79" t="n">
        <x:f>I102*V102</x:f>
        <x:v>63.520120000000006</x:v>
      </x:c>
      <x:c r="X102" s="79" t="n">
        <x:f>S102-U102-W102</x:f>
        <x:v>72.03947999999998</x:v>
      </x:c>
      <x:c r="Y102" s="85" t="n">
        <x:f>IFERROR(X102/I102,0)</x:f>
        <x:v>0.378796298243769</x:v>
      </x:c>
      <x:c r="Z102" s="67" t="str">
        <x:f>IF(X102&lt;0,"亏损",IF(Y102&lt;8%,"关注","正常"))</x:f>
        <x:v>正常</x:v>
      </x:c>
    </x:row>
    <x:row r="103">
      <x:c r="A103" s="67" t="str">
        <x:v>WMS-00099</x:v>
      </x:c>
      <x:c r="B103" s="73" t="n">
        <x:v>46214.5</x:v>
      </x:c>
      <x:c r="C103" s="73" t="n">
        <x:v>46216.5</x:v>
      </x:c>
      <x:c r="D103" s="67" t="str">
        <x:v>S05</x:v>
      </x:c>
      <x:c r="E103" s="67" t="str">
        <x:v>同顺街店</x:v>
      </x:c>
      <x:c r="F103" s="67" t="str">
        <x:v>饿了么</x:v>
      </x:c>
      <x:c r="G103" s="67" t="str">
        <x:v>平台活动订单</x:v>
      </x:c>
      <x:c r="H103" s="70" t="n">
        <x:v>3</x:v>
      </x:c>
      <x:c r="I103" s="76" t="n">
        <x:v>115.45999999999992</x:v>
      </x:c>
      <x:c r="J103" s="76" t="n">
        <x:v>3</x:v>
      </x:c>
      <x:c r="K103" s="76" t="n">
        <x:v>9</x:v>
      </x:c>
      <x:c r="L103" s="82" t="n">
        <x:v>0.22</x:v>
      </x:c>
      <x:c r="M103" s="79" t="n">
        <x:f>I103*L103</x:f>
        <x:v>25.40119999999998</x:v>
      </x:c>
      <x:c r="N103" s="76" t="n">
        <x:v>9.24</x:v>
      </x:c>
      <x:c r="O103" s="79" t="n">
        <x:f>I103+J103+K103-M103-N103</x:f>
        <x:v>92.81879999999994</x:v>
      </x:c>
      <x:c r="P103" s="82" t="n">
        <x:v>0.18</x:v>
      </x:c>
      <x:c r="Q103" s="79" t="n">
        <x:f>I103*P103</x:f>
        <x:v>20.782799999999984</x:v>
      </x:c>
      <x:c r="R103" s="76" t="n">
        <x:v>0.69</x:v>
      </x:c>
      <x:c r="S103" s="79" t="n">
        <x:f>I103+J103-M103-Q103-R103</x:f>
        <x:v>71.58599999999996</x:v>
      </x:c>
      <x:c r="T103" s="76" t="n">
        <x:v>1.2</x:v>
      </x:c>
      <x:c r="U103" s="79" t="n">
        <x:f>H103*T103</x:f>
        <x:v>3.5999999999999996</x:v>
      </x:c>
      <x:c r="V103" s="82" t="n">
        <x:v>0.354</x:v>
      </x:c>
      <x:c r="W103" s="79" t="n">
        <x:f>I103*V103</x:f>
        <x:v>40.87283999999997</x:v>
      </x:c>
      <x:c r="X103" s="79" t="n">
        <x:f>S103-U103-W103</x:f>
        <x:v>27.113159999999993</x:v>
      </x:c>
      <x:c r="Y103" s="85" t="n">
        <x:f>IFERROR(X103/I103,0)</x:f>
        <x:v>0.23482729949766162</x:v>
      </x:c>
      <x:c r="Z103" s="67" t="str">
        <x:f>IF(X103&lt;0,"亏损",IF(Y103&lt;8%,"关注","正常"))</x:f>
        <x:v>正常</x:v>
      </x:c>
    </x:row>
    <x:row r="104">
      <x:c r="A104" s="67" t="str">
        <x:v>WMS-00100</x:v>
      </x:c>
      <x:c r="B104" s="73" t="n">
        <x:v>46215.5</x:v>
      </x:c>
      <x:c r="C104" s="73" t="n">
        <x:v>46217.5</x:v>
      </x:c>
      <x:c r="D104" s="67" t="str">
        <x:v>S05</x:v>
      </x:c>
      <x:c r="E104" s="67" t="str">
        <x:v>同顺街店</x:v>
      </x:c>
      <x:c r="F104" s="67" t="str">
        <x:v>饿了么</x:v>
      </x:c>
      <x:c r="G104" s="67" t="str">
        <x:v>常规订单</x:v>
      </x:c>
      <x:c r="H104" s="70" t="n">
        <x:v>8</x:v>
      </x:c>
      <x:c r="I104" s="76" t="n">
        <x:v>363.17</x:v>
      </x:c>
      <x:c r="J104" s="76" t="n">
        <x:v>8</x:v>
      </x:c>
      <x:c r="K104" s="76" t="n">
        <x:v>24</x:v>
      </x:c>
      <x:c r="L104" s="82" t="n">
        <x:v>0.03</x:v>
      </x:c>
      <x:c r="M104" s="79" t="n">
        <x:f>I104*L104</x:f>
        <x:v>10.8951</x:v>
      </x:c>
      <x:c r="N104" s="76" t="n">
        <x:v>0</x:v>
      </x:c>
      <x:c r="O104" s="79" t="n">
        <x:f>I104+J104+K104-M104-N104</x:f>
        <x:v>384.2749</x:v>
      </x:c>
      <x:c r="P104" s="82" t="n">
        <x:v>0.18</x:v>
      </x:c>
      <x:c r="Q104" s="79" t="n">
        <x:f>I104*P104</x:f>
        <x:v>65.3706</x:v>
      </x:c>
      <x:c r="R104" s="76" t="n">
        <x:v>0.36</x:v>
      </x:c>
      <x:c r="S104" s="79" t="n">
        <x:f>I104+J104-M104-Q104-R104</x:f>
        <x:v>294.5443</x:v>
      </x:c>
      <x:c r="T104" s="76" t="n">
        <x:v>1.2</x:v>
      </x:c>
      <x:c r="U104" s="79" t="n">
        <x:f>H104*T104</x:f>
        <x:v>9.6</x:v>
      </x:c>
      <x:c r="V104" s="82" t="n">
        <x:v>0.324</x:v>
      </x:c>
      <x:c r="W104" s="79" t="n">
        <x:f>I104*V104</x:f>
        <x:v>117.66708000000001</x:v>
      </x:c>
      <x:c r="X104" s="79" t="n">
        <x:f>S104-U104-W104</x:f>
        <x:v>167.27722</x:v>
      </x:c>
      <x:c r="Y104" s="85" t="n">
        <x:f>IFERROR(X104/I104,0)</x:f>
        <x:v>0.46060307844810966</x:v>
      </x:c>
      <x:c r="Z104" s="67" t="str">
        <x:f>IF(X104&lt;0,"亏损",IF(Y104&lt;8%,"关注","正常"))</x:f>
        <x:v>正常</x:v>
      </x:c>
    </x:row>
    <x:row r="105">
      <x:c r="A105" s="67" t="str">
        <x:v>WMS-00101</x:v>
      </x:c>
      <x:c r="B105" s="73" t="n">
        <x:v>46215.5</x:v>
      </x:c>
      <x:c r="C105" s="73" t="n">
        <x:v>46217.5</x:v>
      </x:c>
      <x:c r="D105" s="67" t="str">
        <x:v>S05</x:v>
      </x:c>
      <x:c r="E105" s="67" t="str">
        <x:v>同顺街店</x:v>
      </x:c>
      <x:c r="F105" s="67" t="str">
        <x:v>饿了么</x:v>
      </x:c>
      <x:c r="G105" s="67" t="str">
        <x:v>会员券订单</x:v>
      </x:c>
      <x:c r="H105" s="70" t="n">
        <x:v>4</x:v>
      </x:c>
      <x:c r="I105" s="76" t="n">
        <x:v>184.88</x:v>
      </x:c>
      <x:c r="J105" s="76" t="n">
        <x:v>4</x:v>
      </x:c>
      <x:c r="K105" s="76" t="n">
        <x:v>12</x:v>
      </x:c>
      <x:c r="L105" s="82" t="n">
        <x:v>0.1</x:v>
      </x:c>
      <x:c r="M105" s="79" t="n">
        <x:f>I105*L105</x:f>
        <x:v>18.488</x:v>
      </x:c>
      <x:c r="N105" s="76" t="n">
        <x:v>5.55</x:v>
      </x:c>
      <x:c r="O105" s="79" t="n">
        <x:f>I105+J105+K105-M105-N105</x:f>
        <x:v>176.84199999999998</x:v>
      </x:c>
      <x:c r="P105" s="82" t="n">
        <x:v>0.18</x:v>
      </x:c>
      <x:c r="Q105" s="79" t="n">
        <x:f>I105*P105</x:f>
        <x:v>33.2784</x:v>
      </x:c>
      <x:c r="R105" s="76" t="n">
        <x:v>0.55</x:v>
      </x:c>
      <x:c r="S105" s="79" t="n">
        <x:f>I105+J105-M105-Q105-R105</x:f>
        <x:v>136.56359999999998</x:v>
      </x:c>
      <x:c r="T105" s="76" t="n">
        <x:v>1.2</x:v>
      </x:c>
      <x:c r="U105" s="79" t="n">
        <x:f>H105*T105</x:f>
        <x:v>4.8</x:v>
      </x:c>
      <x:c r="V105" s="82" t="n">
        <x:v>0.334</x:v>
      </x:c>
      <x:c r="W105" s="79" t="n">
        <x:f>I105*V105</x:f>
        <x:v>61.74992</x:v>
      </x:c>
      <x:c r="X105" s="79" t="n">
        <x:f>S105-U105-W105</x:f>
        <x:v>70.01367999999997</x:v>
      </x:c>
      <x:c r="Y105" s="85" t="n">
        <x:f>IFERROR(X105/I105,0)</x:f>
        <x:v>0.37869796624837715</x:v>
      </x:c>
      <x:c r="Z105" s="67" t="str">
        <x:f>IF(X105&lt;0,"亏损",IF(Y105&lt;8%,"关注","正常"))</x:f>
        <x:v>正常</x:v>
      </x:c>
    </x:row>
    <x:row r="106">
      <x:c r="A106" s="67" t="str">
        <x:v>WMS-00102</x:v>
      </x:c>
      <x:c r="B106" s="73" t="n">
        <x:v>46215.5</x:v>
      </x:c>
      <x:c r="C106" s="73" t="n">
        <x:v>46217.5</x:v>
      </x:c>
      <x:c r="D106" s="67" t="str">
        <x:v>S05</x:v>
      </x:c>
      <x:c r="E106" s="67" t="str">
        <x:v>同顺街店</x:v>
      </x:c>
      <x:c r="F106" s="67" t="str">
        <x:v>饿了么</x:v>
      </x:c>
      <x:c r="G106" s="67" t="str">
        <x:v>平台活动订单</x:v>
      </x:c>
      <x:c r="H106" s="70" t="n">
        <x:v>3</x:v>
      </x:c>
      <x:c r="I106" s="76" t="n">
        <x:v>112.25</x:v>
      </x:c>
      <x:c r="J106" s="76" t="n">
        <x:v>3</x:v>
      </x:c>
      <x:c r="K106" s="76" t="n">
        <x:v>9</x:v>
      </x:c>
      <x:c r="L106" s="82" t="n">
        <x:v>0.22</x:v>
      </x:c>
      <x:c r="M106" s="79" t="n">
        <x:f>I106*L106</x:f>
        <x:v>24.695</x:v>
      </x:c>
      <x:c r="N106" s="76" t="n">
        <x:v>8.98</x:v>
      </x:c>
      <x:c r="O106" s="79" t="n">
        <x:f>I106+J106+K106-M106-N106</x:f>
        <x:v>90.575</x:v>
      </x:c>
      <x:c r="P106" s="82" t="n">
        <x:v>0.18</x:v>
      </x:c>
      <x:c r="Q106" s="79" t="n">
        <x:f>I106*P106</x:f>
        <x:v>20.205</x:v>
      </x:c>
      <x:c r="R106" s="76" t="n">
        <x:v>0.67</x:v>
      </x:c>
      <x:c r="S106" s="79" t="n">
        <x:f>I106+J106-M106-Q106-R106</x:f>
        <x:v>69.68</x:v>
      </x:c>
      <x:c r="T106" s="76" t="n">
        <x:v>1.2</x:v>
      </x:c>
      <x:c r="U106" s="79" t="n">
        <x:f>H106*T106</x:f>
        <x:v>3.5999999999999996</x:v>
      </x:c>
      <x:c r="V106" s="82" t="n">
        <x:v>0.354</x:v>
      </x:c>
      <x:c r="W106" s="79" t="n">
        <x:f>I106*V106</x:f>
        <x:v>39.7365</x:v>
      </x:c>
      <x:c r="X106" s="79" t="n">
        <x:f>S106-U106-W106</x:f>
        <x:v>26.343500000000013</x:v>
      </x:c>
      <x:c r="Y106" s="85" t="n">
        <x:f>IFERROR(X106/I106,0)</x:f>
        <x:v>0.23468596881959922</x:v>
      </x:c>
      <x:c r="Z106" s="67" t="str">
        <x:f>IF(X106&lt;0,"亏损",IF(Y106&lt;8%,"关注","正常"))</x:f>
        <x:v>正常</x:v>
      </x:c>
    </x:row>
    <x:row r="107">
      <x:c r="A107" s="67" t="str">
        <x:v>WMS-00103</x:v>
      </x:c>
      <x:c r="B107" s="73" t="n">
        <x:v>46216.5</x:v>
      </x:c>
      <x:c r="C107" s="73" t="n">
        <x:v>46218.5</x:v>
      </x:c>
      <x:c r="D107" s="67" t="str">
        <x:v>S05</x:v>
      </x:c>
      <x:c r="E107" s="67" t="str">
        <x:v>同顺街店</x:v>
      </x:c>
      <x:c r="F107" s="67" t="str">
        <x:v>饿了么</x:v>
      </x:c>
      <x:c r="G107" s="67" t="str">
        <x:v>常规订单</x:v>
      </x:c>
      <x:c r="H107" s="70" t="n">
        <x:v>12</x:v>
      </x:c>
      <x:c r="I107" s="76" t="n">
        <x:v>523.6</x:v>
      </x:c>
      <x:c r="J107" s="76" t="n">
        <x:v>12</x:v>
      </x:c>
      <x:c r="K107" s="76" t="n">
        <x:v>36</x:v>
      </x:c>
      <x:c r="L107" s="82" t="n">
        <x:v>0.03</x:v>
      </x:c>
      <x:c r="M107" s="79" t="n">
        <x:f>I107*L107</x:f>
        <x:v>15.708</x:v>
      </x:c>
      <x:c r="N107" s="76" t="n">
        <x:v>0</x:v>
      </x:c>
      <x:c r="O107" s="79" t="n">
        <x:f>I107+J107+K107-M107-N107</x:f>
        <x:v>555.892</x:v>
      </x:c>
      <x:c r="P107" s="82" t="n">
        <x:v>0.18</x:v>
      </x:c>
      <x:c r="Q107" s="79" t="n">
        <x:f>I107*P107</x:f>
        <x:v>94.248</x:v>
      </x:c>
      <x:c r="R107" s="76" t="n">
        <x:v>0.52</x:v>
      </x:c>
      <x:c r="S107" s="79" t="n">
        <x:f>I107+J107-M107-Q107-R107</x:f>
        <x:v>425.1240000000001</x:v>
      </x:c>
      <x:c r="T107" s="76" t="n">
        <x:v>1.2</x:v>
      </x:c>
      <x:c r="U107" s="79" t="n">
        <x:f>H107*T107</x:f>
        <x:v>14.399999999999999</x:v>
      </x:c>
      <x:c r="V107" s="82" t="n">
        <x:v>0.324</x:v>
      </x:c>
      <x:c r="W107" s="79" t="n">
        <x:f>I107*V107</x:f>
        <x:v>169.6464</x:v>
      </x:c>
      <x:c r="X107" s="79" t="n">
        <x:f>S107-U107-W107</x:f>
        <x:v>241.0776000000001</x:v>
      </x:c>
      <x:c r="Y107" s="85" t="n">
        <x:f>IFERROR(X107/I107,0)</x:f>
        <x:v>0.46042322383498874</x:v>
      </x:c>
      <x:c r="Z107" s="67" t="str">
        <x:f>IF(X107&lt;0,"亏损",IF(Y107&lt;8%,"关注","正常"))</x:f>
        <x:v>正常</x:v>
      </x:c>
    </x:row>
    <x:row r="108">
      <x:c r="A108" s="67" t="str">
        <x:v>WMS-00104</x:v>
      </x:c>
      <x:c r="B108" s="73" t="n">
        <x:v>46216.5</x:v>
      </x:c>
      <x:c r="C108" s="73" t="n">
        <x:v>46218.5</x:v>
      </x:c>
      <x:c r="D108" s="67" t="str">
        <x:v>S05</x:v>
      </x:c>
      <x:c r="E108" s="67" t="str">
        <x:v>同顺街店</x:v>
      </x:c>
      <x:c r="F108" s="67" t="str">
        <x:v>饿了么</x:v>
      </x:c>
      <x:c r="G108" s="67" t="str">
        <x:v>会员券订单</x:v>
      </x:c>
      <x:c r="H108" s="70" t="n">
        <x:v>6</x:v>
      </x:c>
      <x:c r="I108" s="76" t="n">
        <x:v>266.56</x:v>
      </x:c>
      <x:c r="J108" s="76" t="n">
        <x:v>6</x:v>
      </x:c>
      <x:c r="K108" s="76" t="n">
        <x:v>18</x:v>
      </x:c>
      <x:c r="L108" s="82" t="n">
        <x:v>0.1</x:v>
      </x:c>
      <x:c r="M108" s="79" t="n">
        <x:f>I108*L108</x:f>
        <x:v>26.656000000000002</x:v>
      </x:c>
      <x:c r="N108" s="76" t="n">
        <x:v>8</x:v>
      </x:c>
      <x:c r="O108" s="79" t="n">
        <x:f>I108+J108+K108-M108-N108</x:f>
        <x:v>255.904</x:v>
      </x:c>
      <x:c r="P108" s="82" t="n">
        <x:v>0.18</x:v>
      </x:c>
      <x:c r="Q108" s="79" t="n">
        <x:f>I108*P108</x:f>
        <x:v>47.9808</x:v>
      </x:c>
      <x:c r="R108" s="76" t="n">
        <x:v>0.8</x:v>
      </x:c>
      <x:c r="S108" s="79" t="n">
        <x:f>I108+J108-M108-Q108-R108</x:f>
        <x:v>197.1232</x:v>
      </x:c>
      <x:c r="T108" s="76" t="n">
        <x:v>1.2</x:v>
      </x:c>
      <x:c r="U108" s="79" t="n">
        <x:f>H108*T108</x:f>
        <x:v>7.199999999999999</x:v>
      </x:c>
      <x:c r="V108" s="82" t="n">
        <x:v>0.334</x:v>
      </x:c>
      <x:c r="W108" s="79" t="n">
        <x:f>I108*V108</x:f>
        <x:v>89.03104</x:v>
      </x:c>
      <x:c r="X108" s="79" t="n">
        <x:f>S108-U108-W108</x:f>
        <x:v>100.89216</x:v>
      </x:c>
      <x:c r="Y108" s="85" t="n">
        <x:f>IFERROR(X108/I108,0)</x:f>
        <x:v>0.3784969987995198</x:v>
      </x:c>
      <x:c r="Z108" s="67" t="str">
        <x:f>IF(X108&lt;0,"亏损",IF(Y108&lt;8%,"关注","正常"))</x:f>
        <x:v>正常</x:v>
      </x:c>
    </x:row>
    <x:row r="109">
      <x:c r="A109" s="67" t="str">
        <x:v>WMS-00105</x:v>
      </x:c>
      <x:c r="B109" s="73" t="n">
        <x:v>46216.5</x:v>
      </x:c>
      <x:c r="C109" s="73" t="n">
        <x:v>46218.5</x:v>
      </x:c>
      <x:c r="D109" s="67" t="str">
        <x:v>S05</x:v>
      </x:c>
      <x:c r="E109" s="67" t="str">
        <x:v>同顺街店</x:v>
      </x:c>
      <x:c r="F109" s="67" t="str">
        <x:v>美团外卖</x:v>
      </x:c>
      <x:c r="G109" s="67" t="str">
        <x:v>平台活动订单</x:v>
      </x:c>
      <x:c r="H109" s="70" t="n">
        <x:v>3</x:v>
      </x:c>
      <x:c r="I109" s="76" t="n">
        <x:v>161.83999999999992</x:v>
      </x:c>
      <x:c r="J109" s="76" t="n">
        <x:v>3</x:v>
      </x:c>
      <x:c r="K109" s="76" t="n">
        <x:v>9</x:v>
      </x:c>
      <x:c r="L109" s="82" t="n">
        <x:v>0.22</x:v>
      </x:c>
      <x:c r="M109" s="79" t="n">
        <x:f>I109*L109</x:f>
        <x:v>35.60479999999998</x:v>
      </x:c>
      <x:c r="N109" s="76" t="n">
        <x:v>12.95</x:v>
      </x:c>
      <x:c r="O109" s="79" t="n">
        <x:f>I109+J109+K109-M109-N109</x:f>
        <x:v>125.28519999999993</x:v>
      </x:c>
      <x:c r="P109" s="82" t="n">
        <x:v>0.18</x:v>
      </x:c>
      <x:c r="Q109" s="79" t="n">
        <x:f>I109*P109</x:f>
        <x:v>29.131199999999986</x:v>
      </x:c>
      <x:c r="R109" s="76" t="n">
        <x:v>0.97</x:v>
      </x:c>
      <x:c r="S109" s="79" t="n">
        <x:f>I109+J109-M109-Q109-R109</x:f>
        <x:v>99.13399999999996</x:v>
      </x:c>
      <x:c r="T109" s="76" t="n">
        <x:v>1.2</x:v>
      </x:c>
      <x:c r="U109" s="79" t="n">
        <x:f>H109*T109</x:f>
        <x:v>3.5999999999999996</x:v>
      </x:c>
      <x:c r="V109" s="82" t="n">
        <x:v>0.354</x:v>
      </x:c>
      <x:c r="W109" s="79" t="n">
        <x:f>I109*V109</x:f>
        <x:v>57.29135999999997</x:v>
      </x:c>
      <x:c r="X109" s="79" t="n">
        <x:f>S109-U109-W109</x:f>
        <x:v>38.242639999999994</x:v>
      </x:c>
      <x:c r="Y109" s="85" t="n">
        <x:f>IFERROR(X109/I109,0)</x:f>
        <x:v>0.236299060800791</x:v>
      </x:c>
      <x:c r="Z109" s="67" t="str">
        <x:f>IF(X109&lt;0,"亏损",IF(Y109&lt;8%,"关注","正常"))</x:f>
        <x:v>正常</x:v>
      </x:c>
    </x:row>
    <x:row r="110">
      <x:c r="A110" s="67" t="str">
        <x:v>WMS-00106</x:v>
      </x:c>
      <x:c r="B110" s="73" t="n">
        <x:v>46210.5</x:v>
      </x:c>
      <x:c r="C110" s="73" t="n">
        <x:v>46212.5</x:v>
      </x:c>
      <x:c r="D110" s="67" t="str">
        <x:v>S06</x:v>
      </x:c>
      <x:c r="E110" s="67" t="str">
        <x:v>蓝钻天城店</x:v>
      </x:c>
      <x:c r="F110" s="67" t="str">
        <x:v>美团外卖</x:v>
      </x:c>
      <x:c r="G110" s="67" t="str">
        <x:v>常规订单</x:v>
      </x:c>
      <x:c r="H110" s="70" t="n">
        <x:v>10</x:v>
      </x:c>
      <x:c r="I110" s="76" t="n">
        <x:v>476.91</x:v>
      </x:c>
      <x:c r="J110" s="76" t="n">
        <x:v>10</x:v>
      </x:c>
      <x:c r="K110" s="76" t="n">
        <x:v>30</x:v>
      </x:c>
      <x:c r="L110" s="82" t="n">
        <x:v>0.03</x:v>
      </x:c>
      <x:c r="M110" s="79" t="n">
        <x:f>I110*L110</x:f>
        <x:v>14.3073</x:v>
      </x:c>
      <x:c r="N110" s="76" t="n">
        <x:v>0</x:v>
      </x:c>
      <x:c r="O110" s="79" t="n">
        <x:f>I110+J110+K110-M110-N110</x:f>
        <x:v>502.6027000000001</x:v>
      </x:c>
      <x:c r="P110" s="82" t="n">
        <x:v>0.18</x:v>
      </x:c>
      <x:c r="Q110" s="79" t="n">
        <x:f>I110*P110</x:f>
        <x:v>85.8438</x:v>
      </x:c>
      <x:c r="R110" s="76" t="n">
        <x:v>0.48</x:v>
      </x:c>
      <x:c r="S110" s="79" t="n">
        <x:f>I110+J110-M110-Q110-R110</x:f>
        <x:v>386.2789</x:v>
      </x:c>
      <x:c r="T110" s="76" t="n">
        <x:v>1.2</x:v>
      </x:c>
      <x:c r="U110" s="79" t="n">
        <x:f>H110*T110</x:f>
        <x:v>12</x:v>
      </x:c>
      <x:c r="V110" s="82" t="n">
        <x:v>0.325</x:v>
      </x:c>
      <x:c r="W110" s="79" t="n">
        <x:f>I110*V110</x:f>
        <x:v>154.99575000000002</x:v>
      </x:c>
      <x:c r="X110" s="79" t="n">
        <x:f>S110-U110-W110</x:f>
        <x:v>219.28315</x:v>
      </x:c>
      <x:c r="Y110" s="85" t="n">
        <x:f>IFERROR(X110/I110,0)</x:f>
        <x:v>0.45979985741544527</x:v>
      </x:c>
      <x:c r="Z110" s="67" t="str">
        <x:f>IF(X110&lt;0,"亏损",IF(Y110&lt;8%,"关注","正常"))</x:f>
        <x:v>正常</x:v>
      </x:c>
    </x:row>
    <x:row r="111">
      <x:c r="A111" s="67" t="str">
        <x:v>WMS-00107</x:v>
      </x:c>
      <x:c r="B111" s="73" t="n">
        <x:v>46210.5</x:v>
      </x:c>
      <x:c r="C111" s="73" t="n">
        <x:v>46212.5</x:v>
      </x:c>
      <x:c r="D111" s="67" t="str">
        <x:v>S06</x:v>
      </x:c>
      <x:c r="E111" s="67" t="str">
        <x:v>蓝钻天城店</x:v>
      </x:c>
      <x:c r="F111" s="67" t="str">
        <x:v>美团外卖</x:v>
      </x:c>
      <x:c r="G111" s="67" t="str">
        <x:v>会员券订单</x:v>
      </x:c>
      <x:c r="H111" s="70" t="n">
        <x:v>5</x:v>
      </x:c>
      <x:c r="I111" s="76" t="n">
        <x:v>242.79</x:v>
      </x:c>
      <x:c r="J111" s="76" t="n">
        <x:v>5</x:v>
      </x:c>
      <x:c r="K111" s="76" t="n">
        <x:v>15</x:v>
      </x:c>
      <x:c r="L111" s="82" t="n">
        <x:v>0.1</x:v>
      </x:c>
      <x:c r="M111" s="79" t="n">
        <x:f>I111*L111</x:f>
        <x:v>24.279</x:v>
      </x:c>
      <x:c r="N111" s="76" t="n">
        <x:v>7.28</x:v>
      </x:c>
      <x:c r="O111" s="79" t="n">
        <x:f>I111+J111+K111-M111-N111</x:f>
        <x:v>231.23099999999997</x:v>
      </x:c>
      <x:c r="P111" s="82" t="n">
        <x:v>0.18</x:v>
      </x:c>
      <x:c r="Q111" s="79" t="n">
        <x:f>I111*P111</x:f>
        <x:v>43.7022</x:v>
      </x:c>
      <x:c r="R111" s="76" t="n">
        <x:v>0.73</x:v>
      </x:c>
      <x:c r="S111" s="79" t="n">
        <x:f>I111+J111-M111-Q111-R111</x:f>
        <x:v>179.0788</x:v>
      </x:c>
      <x:c r="T111" s="76" t="n">
        <x:v>1.2</x:v>
      </x:c>
      <x:c r="U111" s="79" t="n">
        <x:f>H111*T111</x:f>
        <x:v>6</x:v>
      </x:c>
      <x:c r="V111" s="82" t="n">
        <x:v>0.335</x:v>
      </x:c>
      <x:c r="W111" s="79" t="n">
        <x:f>I111*V111</x:f>
        <x:v>81.33465</x:v>
      </x:c>
      <x:c r="X111" s="79" t="n">
        <x:f>S111-U111-W111</x:f>
        <x:v>91.74415</x:v>
      </x:c>
      <x:c r="Y111" s="85" t="n">
        <x:f>IFERROR(X111/I111,0)</x:f>
        <x:v>0.377874500597224</x:v>
      </x:c>
      <x:c r="Z111" s="67" t="str">
        <x:f>IF(X111&lt;0,"亏损",IF(Y111&lt;8%,"关注","正常"))</x:f>
        <x:v>正常</x:v>
      </x:c>
    </x:row>
    <x:row r="112">
      <x:c r="A112" s="67" t="str">
        <x:v>WMS-00108</x:v>
      </x:c>
      <x:c r="B112" s="73" t="n">
        <x:v>46210.5</x:v>
      </x:c>
      <x:c r="C112" s="73" t="n">
        <x:v>46212.5</x:v>
      </x:c>
      <x:c r="D112" s="67" t="str">
        <x:v>S06</x:v>
      </x:c>
      <x:c r="E112" s="67" t="str">
        <x:v>蓝钻天城店</x:v>
      </x:c>
      <x:c r="F112" s="67" t="str">
        <x:v>美团外卖</x:v>
      </x:c>
      <x:c r="G112" s="67" t="str">
        <x:v>平台活动订单</x:v>
      </x:c>
      <x:c r="H112" s="70" t="n">
        <x:v>4</x:v>
      </x:c>
      <x:c r="I112" s="76" t="n">
        <x:v>147.39999999999998</x:v>
      </x:c>
      <x:c r="J112" s="76" t="n">
        <x:v>4</x:v>
      </x:c>
      <x:c r="K112" s="76" t="n">
        <x:v>12</x:v>
      </x:c>
      <x:c r="L112" s="82" t="n">
        <x:v>0.22</x:v>
      </x:c>
      <x:c r="M112" s="79" t="n">
        <x:f>I112*L112</x:f>
        <x:v>32.428</x:v>
      </x:c>
      <x:c r="N112" s="76" t="n">
        <x:v>11.79</x:v>
      </x:c>
      <x:c r="O112" s="79" t="n">
        <x:f>I112+J112+K112-M112-N112</x:f>
        <x:v>119.18199999999999</x:v>
      </x:c>
      <x:c r="P112" s="82" t="n">
        <x:v>0.18</x:v>
      </x:c>
      <x:c r="Q112" s="79" t="n">
        <x:f>I112*P112</x:f>
        <x:v>26.531999999999996</x:v>
      </x:c>
      <x:c r="R112" s="76" t="n">
        <x:v>0.88</x:v>
      </x:c>
      <x:c r="S112" s="79" t="n">
        <x:f>I112+J112-M112-Q112-R112</x:f>
        <x:v>91.55999999999999</x:v>
      </x:c>
      <x:c r="T112" s="76" t="n">
        <x:v>1.2</x:v>
      </x:c>
      <x:c r="U112" s="79" t="n">
        <x:f>H112*T112</x:f>
        <x:v>4.8</x:v>
      </x:c>
      <x:c r="V112" s="82" t="n">
        <x:v>0.355</x:v>
      </x:c>
      <x:c r="W112" s="79" t="n">
        <x:f>I112*V112</x:f>
        <x:v>52.32699999999999</x:v>
      </x:c>
      <x:c r="X112" s="79" t="n">
        <x:f>S112-U112-W112</x:f>
        <x:v>34.433</x:v>
      </x:c>
      <x:c r="Y112" s="85" t="n">
        <x:f>IFERROR(X112/I112,0)</x:f>
        <x:v>0.23360244233378566</x:v>
      </x:c>
      <x:c r="Z112" s="67" t="str">
        <x:f>IF(X112&lt;0,"亏损",IF(Y112&lt;8%,"关注","正常"))</x:f>
        <x:v>正常</x:v>
      </x:c>
    </x:row>
    <x:row r="113">
      <x:c r="A113" s="67" t="str">
        <x:v>WMS-00109</x:v>
      </x:c>
      <x:c r="B113" s="73" t="n">
        <x:v>46211.5</x:v>
      </x:c>
      <x:c r="C113" s="73" t="n">
        <x:v>46213.5</x:v>
      </x:c>
      <x:c r="D113" s="67" t="str">
        <x:v>S06</x:v>
      </x:c>
      <x:c r="E113" s="67" t="str">
        <x:v>蓝钻天城店</x:v>
      </x:c>
      <x:c r="F113" s="67" t="str">
        <x:v>美团外卖</x:v>
      </x:c>
      <x:c r="G113" s="67" t="str">
        <x:v>常规订单</x:v>
      </x:c>
      <x:c r="H113" s="70" t="n">
        <x:v>10</x:v>
      </x:c>
      <x:c r="I113" s="76" t="n">
        <x:v>460.85</x:v>
      </x:c>
      <x:c r="J113" s="76" t="n">
        <x:v>10</x:v>
      </x:c>
      <x:c r="K113" s="76" t="n">
        <x:v>30</x:v>
      </x:c>
      <x:c r="L113" s="82" t="n">
        <x:v>0.03</x:v>
      </x:c>
      <x:c r="M113" s="79" t="n">
        <x:f>I113*L113</x:f>
        <x:v>13.8255</x:v>
      </x:c>
      <x:c r="N113" s="76" t="n">
        <x:v>0</x:v>
      </x:c>
      <x:c r="O113" s="79" t="n">
        <x:f>I113+J113+K113-M113-N113</x:f>
        <x:v>487.02450000000005</x:v>
      </x:c>
      <x:c r="P113" s="82" t="n">
        <x:v>0.18</x:v>
      </x:c>
      <x:c r="Q113" s="79" t="n">
        <x:f>I113*P113</x:f>
        <x:v>82.953</x:v>
      </x:c>
      <x:c r="R113" s="76" t="n">
        <x:v>0.46</x:v>
      </x:c>
      <x:c r="S113" s="79" t="n">
        <x:f>I113+J113-M113-Q113-R113</x:f>
        <x:v>373.61150000000004</x:v>
      </x:c>
      <x:c r="T113" s="76" t="n">
        <x:v>1.2</x:v>
      </x:c>
      <x:c r="U113" s="79" t="n">
        <x:f>H113*T113</x:f>
        <x:v>12</x:v>
      </x:c>
      <x:c r="V113" s="82" t="n">
        <x:v>0.325</x:v>
      </x:c>
      <x:c r="W113" s="79" t="n">
        <x:f>I113*V113</x:f>
        <x:v>149.77625</x:v>
      </x:c>
      <x:c r="X113" s="79" t="n">
        <x:f>S113-U113-W113</x:f>
        <x:v>211.83525000000003</x:v>
      </x:c>
      <x:c r="Y113" s="85" t="n">
        <x:f>IFERROR(X113/I113,0)</x:f>
        <x:v>0.45966203753932955</x:v>
      </x:c>
      <x:c r="Z113" s="67" t="str">
        <x:f>IF(X113&lt;0,"亏损",IF(Y113&lt;8%,"关注","正常"))</x:f>
        <x:v>正常</x:v>
      </x:c>
    </x:row>
    <x:row r="114">
      <x:c r="A114" s="67" t="str">
        <x:v>WMS-00110</x:v>
      </x:c>
      <x:c r="B114" s="73" t="n">
        <x:v>46211.5</x:v>
      </x:c>
      <x:c r="C114" s="73" t="n">
        <x:v>46213.5</x:v>
      </x:c>
      <x:c r="D114" s="67" t="str">
        <x:v>S06</x:v>
      </x:c>
      <x:c r="E114" s="67" t="str">
        <x:v>蓝钻天城店</x:v>
      </x:c>
      <x:c r="F114" s="67" t="str">
        <x:v>美团外卖</x:v>
      </x:c>
      <x:c r="G114" s="67" t="str">
        <x:v>会员券订单</x:v>
      </x:c>
      <x:c r="H114" s="70" t="n">
        <x:v>5</x:v>
      </x:c>
      <x:c r="I114" s="76" t="n">
        <x:v>234.61</x:v>
      </x:c>
      <x:c r="J114" s="76" t="n">
        <x:v>5</x:v>
      </x:c>
      <x:c r="K114" s="76" t="n">
        <x:v>15</x:v>
      </x:c>
      <x:c r="L114" s="82" t="n">
        <x:v>0.1</x:v>
      </x:c>
      <x:c r="M114" s="79" t="n">
        <x:f>I114*L114</x:f>
        <x:v>23.461000000000002</x:v>
      </x:c>
      <x:c r="N114" s="76" t="n">
        <x:v>7.04</x:v>
      </x:c>
      <x:c r="O114" s="79" t="n">
        <x:f>I114+J114+K114-M114-N114</x:f>
        <x:v>224.109</x:v>
      </x:c>
      <x:c r="P114" s="82" t="n">
        <x:v>0.18</x:v>
      </x:c>
      <x:c r="Q114" s="79" t="n">
        <x:f>I114*P114</x:f>
        <x:v>42.229800000000004</x:v>
      </x:c>
      <x:c r="R114" s="76" t="n">
        <x:v>0.7</x:v>
      </x:c>
      <x:c r="S114" s="79" t="n">
        <x:f>I114+J114-M114-Q114-R114</x:f>
        <x:v>173.2192</x:v>
      </x:c>
      <x:c r="T114" s="76" t="n">
        <x:v>1.2</x:v>
      </x:c>
      <x:c r="U114" s="79" t="n">
        <x:f>H114*T114</x:f>
        <x:v>6</x:v>
      </x:c>
      <x:c r="V114" s="82" t="n">
        <x:v>0.335</x:v>
      </x:c>
      <x:c r="W114" s="79" t="n">
        <x:f>I114*V114</x:f>
        <x:v>78.59435</x:v>
      </x:c>
      <x:c r="X114" s="79" t="n">
        <x:f>S114-U114-W114</x:f>
        <x:v>88.62485</x:v>
      </x:c>
      <x:c r="Y114" s="85" t="n">
        <x:f>IFERROR(X114/I114,0)</x:f>
        <x:v>0.377753932057457</x:v>
      </x:c>
      <x:c r="Z114" s="67" t="str">
        <x:f>IF(X114&lt;0,"亏损",IF(Y114&lt;8%,"关注","正常"))</x:f>
        <x:v>正常</x:v>
      </x:c>
    </x:row>
    <x:row r="115">
      <x:c r="A115" s="67" t="str">
        <x:v>WMS-00111</x:v>
      </x:c>
      <x:c r="B115" s="73" t="n">
        <x:v>46211.5</x:v>
      </x:c>
      <x:c r="C115" s="73" t="n">
        <x:v>46213.5</x:v>
      </x:c>
      <x:c r="D115" s="67" t="str">
        <x:v>S06</x:v>
      </x:c>
      <x:c r="E115" s="67" t="str">
        <x:v>蓝钻天城店</x:v>
      </x:c>
      <x:c r="F115" s="67" t="str">
        <x:v>美团外卖</x:v>
      </x:c>
      <x:c r="G115" s="67" t="str">
        <x:v>平台活动订单</x:v>
      </x:c>
      <x:c r="H115" s="70" t="n">
        <x:v>4</x:v>
      </x:c>
      <x:c r="I115" s="76" t="n">
        <x:v>142.43999999999994</x:v>
      </x:c>
      <x:c r="J115" s="76" t="n">
        <x:v>4</x:v>
      </x:c>
      <x:c r="K115" s="76" t="n">
        <x:v>12</x:v>
      </x:c>
      <x:c r="L115" s="82" t="n">
        <x:v>0.22</x:v>
      </x:c>
      <x:c r="M115" s="79" t="n">
        <x:f>I115*L115</x:f>
        <x:v>31.336799999999986</x:v>
      </x:c>
      <x:c r="N115" s="76" t="n">
        <x:v>11.4</x:v>
      </x:c>
      <x:c r="O115" s="79" t="n">
        <x:f>I115+J115+K115-M115-N115</x:f>
        <x:v>115.70319999999995</x:v>
      </x:c>
      <x:c r="P115" s="82" t="n">
        <x:v>0.18</x:v>
      </x:c>
      <x:c r="Q115" s="79" t="n">
        <x:f>I115*P115</x:f>
        <x:v>25.639199999999988</x:v>
      </x:c>
      <x:c r="R115" s="76" t="n">
        <x:v>0.85</x:v>
      </x:c>
      <x:c r="S115" s="79" t="n">
        <x:f>I115+J115-M115-Q115-R115</x:f>
        <x:v>88.61399999999998</x:v>
      </x:c>
      <x:c r="T115" s="76" t="n">
        <x:v>1.2</x:v>
      </x:c>
      <x:c r="U115" s="79" t="n">
        <x:f>H115*T115</x:f>
        <x:v>4.8</x:v>
      </x:c>
      <x:c r="V115" s="82" t="n">
        <x:v>0.355</x:v>
      </x:c>
      <x:c r="W115" s="79" t="n">
        <x:f>I115*V115</x:f>
        <x:v>50.566199999999974</x:v>
      </x:c>
      <x:c r="X115" s="79" t="n">
        <x:f>S115-U115-W115</x:f>
        <x:v>33.247800000000005</x:v>
      </x:c>
      <x:c r="Y115" s="85" t="n">
        <x:f>IFERROR(X115/I115,0)</x:f>
        <x:v>0.23341617523167663</x:v>
      </x:c>
      <x:c r="Z115" s="67" t="str">
        <x:f>IF(X115&lt;0,"亏损",IF(Y115&lt;8%,"关注","正常"))</x:f>
        <x:v>正常</x:v>
      </x:c>
    </x:row>
    <x:row r="116">
      <x:c r="A116" s="67" t="str">
        <x:v>WMS-00112</x:v>
      </x:c>
      <x:c r="B116" s="73" t="n">
        <x:v>46212.5</x:v>
      </x:c>
      <x:c r="C116" s="73" t="n">
        <x:v>46214.5</x:v>
      </x:c>
      <x:c r="D116" s="67" t="str">
        <x:v>S06</x:v>
      </x:c>
      <x:c r="E116" s="67" t="str">
        <x:v>蓝钻天城店</x:v>
      </x:c>
      <x:c r="F116" s="67" t="str">
        <x:v>美团外卖</x:v>
      </x:c>
      <x:c r="G116" s="67" t="str">
        <x:v>常规订单</x:v>
      </x:c>
      <x:c r="H116" s="70" t="n">
        <x:v>10</x:v>
      </x:c>
      <x:c r="I116" s="76" t="n">
        <x:v>454.36</x:v>
      </x:c>
      <x:c r="J116" s="76" t="n">
        <x:v>10</x:v>
      </x:c>
      <x:c r="K116" s="76" t="n">
        <x:v>30</x:v>
      </x:c>
      <x:c r="L116" s="82" t="n">
        <x:v>0.03</x:v>
      </x:c>
      <x:c r="M116" s="79" t="n">
        <x:f>I116*L116</x:f>
        <x:v>13.6308</x:v>
      </x:c>
      <x:c r="N116" s="76" t="n">
        <x:v>0</x:v>
      </x:c>
      <x:c r="O116" s="79" t="n">
        <x:f>I116+J116+K116-M116-N116</x:f>
        <x:v>480.7292</x:v>
      </x:c>
      <x:c r="P116" s="82" t="n">
        <x:v>0.18</x:v>
      </x:c>
      <x:c r="Q116" s="79" t="n">
        <x:f>I116*P116</x:f>
        <x:v>81.7848</x:v>
      </x:c>
      <x:c r="R116" s="76" t="n">
        <x:v>0.45</x:v>
      </x:c>
      <x:c r="S116" s="79" t="n">
        <x:f>I116+J116-M116-Q116-R116</x:f>
        <x:v>368.4944</x:v>
      </x:c>
      <x:c r="T116" s="76" t="n">
        <x:v>1.2</x:v>
      </x:c>
      <x:c r="U116" s="79" t="n">
        <x:f>H116*T116</x:f>
        <x:v>12</x:v>
      </x:c>
      <x:c r="V116" s="82" t="n">
        <x:v>0.325</x:v>
      </x:c>
      <x:c r="W116" s="79" t="n">
        <x:f>I116*V116</x:f>
        <x:v>147.667</x:v>
      </x:c>
      <x:c r="X116" s="79" t="n">
        <x:f>S116-U116-W116</x:f>
        <x:v>208.82739999999998</x:v>
      </x:c>
      <x:c r="Y116" s="85" t="n">
        <x:f>IFERROR(X116/I116,0)</x:f>
        <x:v>0.45960779998239276</x:v>
      </x:c>
      <x:c r="Z116" s="67" t="str">
        <x:f>IF(X116&lt;0,"亏损",IF(Y116&lt;8%,"关注","正常"))</x:f>
        <x:v>正常</x:v>
      </x:c>
    </x:row>
    <x:row r="117">
      <x:c r="A117" s="67" t="str">
        <x:v>WMS-00113</x:v>
      </x:c>
      <x:c r="B117" s="73" t="n">
        <x:v>46212.5</x:v>
      </x:c>
      <x:c r="C117" s="73" t="n">
        <x:v>46214.5</x:v>
      </x:c>
      <x:c r="D117" s="67" t="str">
        <x:v>S06</x:v>
      </x:c>
      <x:c r="E117" s="67" t="str">
        <x:v>蓝钻天城店</x:v>
      </x:c>
      <x:c r="F117" s="67" t="str">
        <x:v>美团外卖</x:v>
      </x:c>
      <x:c r="G117" s="67" t="str">
        <x:v>会员券订单</x:v>
      </x:c>
      <x:c r="H117" s="70" t="n">
        <x:v>5</x:v>
      </x:c>
      <x:c r="I117" s="76" t="n">
        <x:v>231.31</x:v>
      </x:c>
      <x:c r="J117" s="76" t="n">
        <x:v>5</x:v>
      </x:c>
      <x:c r="K117" s="76" t="n">
        <x:v>15</x:v>
      </x:c>
      <x:c r="L117" s="82" t="n">
        <x:v>0.1</x:v>
      </x:c>
      <x:c r="M117" s="79" t="n">
        <x:f>I117*L117</x:f>
        <x:v>23.131</x:v>
      </x:c>
      <x:c r="N117" s="76" t="n">
        <x:v>6.94</x:v>
      </x:c>
      <x:c r="O117" s="79" t="n">
        <x:f>I117+J117+K117-M117-N117</x:f>
        <x:v>221.239</x:v>
      </x:c>
      <x:c r="P117" s="82" t="n">
        <x:v>0.18</x:v>
      </x:c>
      <x:c r="Q117" s="79" t="n">
        <x:f>I117*P117</x:f>
        <x:v>41.635799999999996</x:v>
      </x:c>
      <x:c r="R117" s="76" t="n">
        <x:v>0.69</x:v>
      </x:c>
      <x:c r="S117" s="79" t="n">
        <x:f>I117+J117-M117-Q117-R117</x:f>
        <x:v>170.85320000000002</x:v>
      </x:c>
      <x:c r="T117" s="76" t="n">
        <x:v>1.2</x:v>
      </x:c>
      <x:c r="U117" s="79" t="n">
        <x:f>H117*T117</x:f>
        <x:v>6</x:v>
      </x:c>
      <x:c r="V117" s="82" t="n">
        <x:v>0.335</x:v>
      </x:c>
      <x:c r="W117" s="79" t="n">
        <x:f>I117*V117</x:f>
        <x:v>77.48885</x:v>
      </x:c>
      <x:c r="X117" s="79" t="n">
        <x:f>S117-U117-W117</x:f>
        <x:v>87.36435000000002</x:v>
      </x:c>
      <x:c r="Y117" s="85" t="n">
        <x:f>IFERROR(X117/I117,0)</x:f>
        <x:v>0.3776937875578229</x:v>
      </x:c>
      <x:c r="Z117" s="67" t="str">
        <x:f>IF(X117&lt;0,"亏损",IF(Y117&lt;8%,"关注","正常"))</x:f>
        <x:v>正常</x:v>
      </x:c>
    </x:row>
    <x:row r="118">
      <x:c r="A118" s="67" t="str">
        <x:v>WMS-00114</x:v>
      </x:c>
      <x:c r="B118" s="73" t="n">
        <x:v>46212.5</x:v>
      </x:c>
      <x:c r="C118" s="73" t="n">
        <x:v>46214.5</x:v>
      </x:c>
      <x:c r="D118" s="67" t="str">
        <x:v>S06</x:v>
      </x:c>
      <x:c r="E118" s="67" t="str">
        <x:v>蓝钻天城店</x:v>
      </x:c>
      <x:c r="F118" s="67" t="str">
        <x:v>美团外卖</x:v>
      </x:c>
      <x:c r="G118" s="67" t="str">
        <x:v>平台活动订单</x:v>
      </x:c>
      <x:c r="H118" s="70" t="n">
        <x:v>3</x:v>
      </x:c>
      <x:c r="I118" s="76" t="n">
        <x:v>140.42999999999995</x:v>
      </x:c>
      <x:c r="J118" s="76" t="n">
        <x:v>3</x:v>
      </x:c>
      <x:c r="K118" s="76" t="n">
        <x:v>9</x:v>
      </x:c>
      <x:c r="L118" s="82" t="n">
        <x:v>0.22</x:v>
      </x:c>
      <x:c r="M118" s="79" t="n">
        <x:f>I118*L118</x:f>
        <x:v>30.89459999999999</x:v>
      </x:c>
      <x:c r="N118" s="76" t="n">
        <x:v>11.23</x:v>
      </x:c>
      <x:c r="O118" s="79" t="n">
        <x:f>I118+J118+K118-M118-N118</x:f>
        <x:v>110.30539999999995</x:v>
      </x:c>
      <x:c r="P118" s="82" t="n">
        <x:v>0.18</x:v>
      </x:c>
      <x:c r="Q118" s="79" t="n">
        <x:f>I118*P118</x:f>
        <x:v>25.27739999999999</x:v>
      </x:c>
      <x:c r="R118" s="76" t="n">
        <x:v>0.84</x:v>
      </x:c>
      <x:c r="S118" s="79" t="n">
        <x:f>I118+J118-M118-Q118-R118</x:f>
        <x:v>86.41799999999996</x:v>
      </x:c>
      <x:c r="T118" s="76" t="n">
        <x:v>1.2</x:v>
      </x:c>
      <x:c r="U118" s="79" t="n">
        <x:f>H118*T118</x:f>
        <x:v>3.5999999999999996</x:v>
      </x:c>
      <x:c r="V118" s="82" t="n">
        <x:v>0.355</x:v>
      </x:c>
      <x:c r="W118" s="79" t="n">
        <x:f>I118*V118</x:f>
        <x:v>49.85264999999998</x:v>
      </x:c>
      <x:c r="X118" s="79" t="n">
        <x:f>S118-U118-W118</x:f>
        <x:v>32.96534999999999</x:v>
      </x:c>
      <x:c r="Y118" s="85" t="n">
        <x:f>IFERROR(X118/I118,0)</x:f>
        <x:v>0.23474578081606493</x:v>
      </x:c>
      <x:c r="Z118" s="67" t="str">
        <x:f>IF(X118&lt;0,"亏损",IF(Y118&lt;8%,"关注","正常"))</x:f>
        <x:v>正常</x:v>
      </x:c>
    </x:row>
    <x:row r="119">
      <x:c r="A119" s="67" t="str">
        <x:v>WMS-00115</x:v>
      </x:c>
      <x:c r="B119" s="73" t="n">
        <x:v>46213.5</x:v>
      </x:c>
      <x:c r="C119" s="73" t="n">
        <x:v>46215.5</x:v>
      </x:c>
      <x:c r="D119" s="67" t="str">
        <x:v>S06</x:v>
      </x:c>
      <x:c r="E119" s="67" t="str">
        <x:v>蓝钻天城店</x:v>
      </x:c>
      <x:c r="F119" s="67" t="str">
        <x:v>美团外卖</x:v>
      </x:c>
      <x:c r="G119" s="67" t="str">
        <x:v>常规订单</x:v>
      </x:c>
      <x:c r="H119" s="70" t="n">
        <x:v>10</x:v>
      </x:c>
      <x:c r="I119" s="76" t="n">
        <x:v>471.41</x:v>
      </x:c>
      <x:c r="J119" s="76" t="n">
        <x:v>10</x:v>
      </x:c>
      <x:c r="K119" s="76" t="n">
        <x:v>30</x:v>
      </x:c>
      <x:c r="L119" s="82" t="n">
        <x:v>0.03</x:v>
      </x:c>
      <x:c r="M119" s="79" t="n">
        <x:f>I119*L119</x:f>
        <x:v>14.1423</x:v>
      </x:c>
      <x:c r="N119" s="76" t="n">
        <x:v>0</x:v>
      </x:c>
      <x:c r="O119" s="79" t="n">
        <x:f>I119+J119+K119-M119-N119</x:f>
        <x:v>497.26770000000005</x:v>
      </x:c>
      <x:c r="P119" s="82" t="n">
        <x:v>0.18</x:v>
      </x:c>
      <x:c r="Q119" s="79" t="n">
        <x:f>I119*P119</x:f>
        <x:v>84.8538</x:v>
      </x:c>
      <x:c r="R119" s="76" t="n">
        <x:v>0.47</x:v>
      </x:c>
      <x:c r="S119" s="79" t="n">
        <x:f>I119+J119-M119-Q119-R119</x:f>
        <x:v>381.9439</x:v>
      </x:c>
      <x:c r="T119" s="76" t="n">
        <x:v>1.2</x:v>
      </x:c>
      <x:c r="U119" s="79" t="n">
        <x:f>H119*T119</x:f>
        <x:v>12</x:v>
      </x:c>
      <x:c r="V119" s="82" t="n">
        <x:v>0.325</x:v>
      </x:c>
      <x:c r="W119" s="79" t="n">
        <x:f>I119*V119</x:f>
        <x:v>153.20825000000002</x:v>
      </x:c>
      <x:c r="X119" s="79" t="n">
        <x:f>S119-U119-W119</x:f>
        <x:v>216.73564999999996</x:v>
      </x:c>
      <x:c r="Y119" s="85" t="n">
        <x:f>IFERROR(X119/I119,0)</x:f>
        <x:v>0.4597603996521074</x:v>
      </x:c>
      <x:c r="Z119" s="67" t="str">
        <x:f>IF(X119&lt;0,"亏损",IF(Y119&lt;8%,"关注","正常"))</x:f>
        <x:v>正常</x:v>
      </x:c>
    </x:row>
    <x:row r="120">
      <x:c r="A120" s="67" t="str">
        <x:v>WMS-00116</x:v>
      </x:c>
      <x:c r="B120" s="73" t="n">
        <x:v>46213.5</x:v>
      </x:c>
      <x:c r="C120" s="73" t="n">
        <x:v>46215.5</x:v>
      </x:c>
      <x:c r="D120" s="67" t="str">
        <x:v>S06</x:v>
      </x:c>
      <x:c r="E120" s="67" t="str">
        <x:v>蓝钻天城店</x:v>
      </x:c>
      <x:c r="F120" s="67" t="str">
        <x:v>美团外卖</x:v>
      </x:c>
      <x:c r="G120" s="67" t="str">
        <x:v>会员券订单</x:v>
      </x:c>
      <x:c r="H120" s="70" t="n">
        <x:v>5</x:v>
      </x:c>
      <x:c r="I120" s="76" t="n">
        <x:v>239.99</x:v>
      </x:c>
      <x:c r="J120" s="76" t="n">
        <x:v>5</x:v>
      </x:c>
      <x:c r="K120" s="76" t="n">
        <x:v>15</x:v>
      </x:c>
      <x:c r="L120" s="82" t="n">
        <x:v>0.1</x:v>
      </x:c>
      <x:c r="M120" s="79" t="n">
        <x:f>I120*L120</x:f>
        <x:v>23.999000000000002</x:v>
      </x:c>
      <x:c r="N120" s="76" t="n">
        <x:v>7.2</x:v>
      </x:c>
      <x:c r="O120" s="79" t="n">
        <x:f>I120+J120+K120-M120-N120</x:f>
        <x:v>228.79100000000003</x:v>
      </x:c>
      <x:c r="P120" s="82" t="n">
        <x:v>0.18</x:v>
      </x:c>
      <x:c r="Q120" s="79" t="n">
        <x:f>I120*P120</x:f>
        <x:v>43.1982</x:v>
      </x:c>
      <x:c r="R120" s="76" t="n">
        <x:v>0.72</x:v>
      </x:c>
      <x:c r="S120" s="79" t="n">
        <x:f>I120+J120-M120-Q120-R120</x:f>
        <x:v>177.0728</x:v>
      </x:c>
      <x:c r="T120" s="76" t="n">
        <x:v>1.2</x:v>
      </x:c>
      <x:c r="U120" s="79" t="n">
        <x:f>H120*T120</x:f>
        <x:v>6</x:v>
      </x:c>
      <x:c r="V120" s="82" t="n">
        <x:v>0.335</x:v>
      </x:c>
      <x:c r="W120" s="79" t="n">
        <x:f>I120*V120</x:f>
        <x:v>80.39665000000001</x:v>
      </x:c>
      <x:c r="X120" s="79" t="n">
        <x:f>S120-U120-W120</x:f>
        <x:v>90.67614999999999</x:v>
      </x:c>
      <x:c r="Y120" s="85" t="n">
        <x:f>IFERROR(X120/I120,0)</x:f>
        <x:v>0.3778330347097795</x:v>
      </x:c>
      <x:c r="Z120" s="67" t="str">
        <x:f>IF(X120&lt;0,"亏损",IF(Y120&lt;8%,"关注","正常"))</x:f>
        <x:v>正常</x:v>
      </x:c>
    </x:row>
    <x:row r="121">
      <x:c r="A121" s="67" t="str">
        <x:v>WMS-00117</x:v>
      </x:c>
      <x:c r="B121" s="73" t="n">
        <x:v>46213.5</x:v>
      </x:c>
      <x:c r="C121" s="73" t="n">
        <x:v>46215.5</x:v>
      </x:c>
      <x:c r="D121" s="67" t="str">
        <x:v>S06</x:v>
      </x:c>
      <x:c r="E121" s="67" t="str">
        <x:v>蓝钻天城店</x:v>
      </x:c>
      <x:c r="F121" s="67" t="str">
        <x:v>美团外卖</x:v>
      </x:c>
      <x:c r="G121" s="67" t="str">
        <x:v>平台活动订单</x:v>
      </x:c>
      <x:c r="H121" s="70" t="n">
        <x:v>4</x:v>
      </x:c>
      <x:c r="I121" s="76" t="n">
        <x:v>145.69999999999993</x:v>
      </x:c>
      <x:c r="J121" s="76" t="n">
        <x:v>4</x:v>
      </x:c>
      <x:c r="K121" s="76" t="n">
        <x:v>12</x:v>
      </x:c>
      <x:c r="L121" s="82" t="n">
        <x:v>0.22</x:v>
      </x:c>
      <x:c r="M121" s="79" t="n">
        <x:f>I121*L121</x:f>
        <x:v>32.05399999999999</x:v>
      </x:c>
      <x:c r="N121" s="76" t="n">
        <x:v>11.66</x:v>
      </x:c>
      <x:c r="O121" s="79" t="n">
        <x:f>I121+J121+K121-M121-N121</x:f>
        <x:v>117.98599999999996</x:v>
      </x:c>
      <x:c r="P121" s="82" t="n">
        <x:v>0.18</x:v>
      </x:c>
      <x:c r="Q121" s="79" t="n">
        <x:f>I121*P121</x:f>
        <x:v>26.22599999999999</x:v>
      </x:c>
      <x:c r="R121" s="76" t="n">
        <x:v>0.87</x:v>
      </x:c>
      <x:c r="S121" s="79" t="n">
        <x:f>I121+J121-M121-Q121-R121</x:f>
        <x:v>90.54999999999995</x:v>
      </x:c>
      <x:c r="T121" s="76" t="n">
        <x:v>1.2</x:v>
      </x:c>
      <x:c r="U121" s="79" t="n">
        <x:f>H121*T121</x:f>
        <x:v>4.8</x:v>
      </x:c>
      <x:c r="V121" s="82" t="n">
        <x:v>0.355</x:v>
      </x:c>
      <x:c r="W121" s="79" t="n">
        <x:f>I121*V121</x:f>
        <x:v>51.72349999999997</x:v>
      </x:c>
      <x:c r="X121" s="79" t="n">
        <x:f>S121-U121-W121</x:f>
        <x:v>34.026499999999984</x:v>
      </x:c>
      <x:c r="Y121" s="85" t="n">
        <x:f>IFERROR(X121/I121,0)</x:f>
        <x:v>0.23353809196980096</x:v>
      </x:c>
      <x:c r="Z121" s="67" t="str">
        <x:f>IF(X121&lt;0,"亏损",IF(Y121&lt;8%,"关注","正常"))</x:f>
        <x:v>正常</x:v>
      </x:c>
    </x:row>
    <x:row r="122">
      <x:c r="A122" s="67" t="str">
        <x:v>WMS-00118</x:v>
      </x:c>
      <x:c r="B122" s="73" t="n">
        <x:v>46214.5</x:v>
      </x:c>
      <x:c r="C122" s="73" t="n">
        <x:v>46216.5</x:v>
      </x:c>
      <x:c r="D122" s="67" t="str">
        <x:v>S06</x:v>
      </x:c>
      <x:c r="E122" s="67" t="str">
        <x:v>蓝钻天城店</x:v>
      </x:c>
      <x:c r="F122" s="67" t="str">
        <x:v>美团外卖</x:v>
      </x:c>
      <x:c r="G122" s="67" t="str">
        <x:v>常规订单</x:v>
      </x:c>
      <x:c r="H122" s="70" t="n">
        <x:v>8</x:v>
      </x:c>
      <x:c r="I122" s="76" t="n">
        <x:v>360.91</x:v>
      </x:c>
      <x:c r="J122" s="76" t="n">
        <x:v>8</x:v>
      </x:c>
      <x:c r="K122" s="76" t="n">
        <x:v>24</x:v>
      </x:c>
      <x:c r="L122" s="82" t="n">
        <x:v>0.03</x:v>
      </x:c>
      <x:c r="M122" s="79" t="n">
        <x:f>I122*L122</x:f>
        <x:v>10.827300000000001</x:v>
      </x:c>
      <x:c r="N122" s="76" t="n">
        <x:v>0</x:v>
      </x:c>
      <x:c r="O122" s="79" t="n">
        <x:f>I122+J122+K122-M122-N122</x:f>
        <x:v>382.08270000000005</x:v>
      </x:c>
      <x:c r="P122" s="82" t="n">
        <x:v>0.18</x:v>
      </x:c>
      <x:c r="Q122" s="79" t="n">
        <x:f>I122*P122</x:f>
        <x:v>64.9638</x:v>
      </x:c>
      <x:c r="R122" s="76" t="n">
        <x:v>0.36</x:v>
      </x:c>
      <x:c r="S122" s="79" t="n">
        <x:f>I122+J122-M122-Q122-R122</x:f>
        <x:v>292.75890000000004</x:v>
      </x:c>
      <x:c r="T122" s="76" t="n">
        <x:v>1.2</x:v>
      </x:c>
      <x:c r="U122" s="79" t="n">
        <x:f>H122*T122</x:f>
        <x:v>9.6</x:v>
      </x:c>
      <x:c r="V122" s="82" t="n">
        <x:v>0.325</x:v>
      </x:c>
      <x:c r="W122" s="79" t="n">
        <x:f>I122*V122</x:f>
        <x:v>117.29575000000001</x:v>
      </x:c>
      <x:c r="X122" s="79" t="n">
        <x:f>S122-U122-W122</x:f>
        <x:v>165.86315000000002</x:v>
      </x:c>
      <x:c r="Y122" s="85" t="n">
        <x:f>IFERROR(X122/I122,0)</x:f>
        <x:v>0.459569283200798</x:v>
      </x:c>
      <x:c r="Z122" s="67" t="str">
        <x:f>IF(X122&lt;0,"亏损",IF(Y122&lt;8%,"关注","正常"))</x:f>
        <x:v>正常</x:v>
      </x:c>
    </x:row>
    <x:row r="123">
      <x:c r="A123" s="67" t="str">
        <x:v>WMS-00119</x:v>
      </x:c>
      <x:c r="B123" s="73" t="n">
        <x:v>46214.5</x:v>
      </x:c>
      <x:c r="C123" s="73" t="n">
        <x:v>46216.5</x:v>
      </x:c>
      <x:c r="D123" s="67" t="str">
        <x:v>S06</x:v>
      </x:c>
      <x:c r="E123" s="67" t="str">
        <x:v>蓝钻天城店</x:v>
      </x:c>
      <x:c r="F123" s="67" t="str">
        <x:v>美团外卖</x:v>
      </x:c>
      <x:c r="G123" s="67" t="str">
        <x:v>会员券订单</x:v>
      </x:c>
      <x:c r="H123" s="70" t="n">
        <x:v>4</x:v>
      </x:c>
      <x:c r="I123" s="76" t="n">
        <x:v>183.74</x:v>
      </x:c>
      <x:c r="J123" s="76" t="n">
        <x:v>4</x:v>
      </x:c>
      <x:c r="K123" s="76" t="n">
        <x:v>12</x:v>
      </x:c>
      <x:c r="L123" s="82" t="n">
        <x:v>0.1</x:v>
      </x:c>
      <x:c r="M123" s="79" t="n">
        <x:f>I123*L123</x:f>
        <x:v>18.374000000000002</x:v>
      </x:c>
      <x:c r="N123" s="76" t="n">
        <x:v>5.51</x:v>
      </x:c>
      <x:c r="O123" s="79" t="n">
        <x:f>I123+J123+K123-M123-N123</x:f>
        <x:v>175.85600000000002</x:v>
      </x:c>
      <x:c r="P123" s="82" t="n">
        <x:v>0.18</x:v>
      </x:c>
      <x:c r="Q123" s="79" t="n">
        <x:f>I123*P123</x:f>
        <x:v>33.0732</x:v>
      </x:c>
      <x:c r="R123" s="76" t="n">
        <x:v>0.55</x:v>
      </x:c>
      <x:c r="S123" s="79" t="n">
        <x:f>I123+J123-M123-Q123-R123</x:f>
        <x:v>135.7428</x:v>
      </x:c>
      <x:c r="T123" s="76" t="n">
        <x:v>1.2</x:v>
      </x:c>
      <x:c r="U123" s="79" t="n">
        <x:f>H123*T123</x:f>
        <x:v>4.8</x:v>
      </x:c>
      <x:c r="V123" s="82" t="n">
        <x:v>0.335</x:v>
      </x:c>
      <x:c r="W123" s="79" t="n">
        <x:f>I123*V123</x:f>
        <x:v>61.55290000000001</x:v>
      </x:c>
      <x:c r="X123" s="79" t="n">
        <x:f>S123-U123-W123</x:f>
        <x:v>69.38989999999997</x:v>
      </x:c>
      <x:c r="Y123" s="85" t="n">
        <x:f>IFERROR(X123/I123,0)</x:f>
        <x:v>0.377652661369326</x:v>
      </x:c>
      <x:c r="Z123" s="67" t="str">
        <x:f>IF(X123&lt;0,"亏损",IF(Y123&lt;8%,"关注","正常"))</x:f>
        <x:v>正常</x:v>
      </x:c>
    </x:row>
    <x:row r="124">
      <x:c r="A124" s="67" t="str">
        <x:v>WMS-00120</x:v>
      </x:c>
      <x:c r="B124" s="73" t="n">
        <x:v>46214.5</x:v>
      </x:c>
      <x:c r="C124" s="73" t="n">
        <x:v>46216.5</x:v>
      </x:c>
      <x:c r="D124" s="67" t="str">
        <x:v>S06</x:v>
      </x:c>
      <x:c r="E124" s="67" t="str">
        <x:v>蓝钻天城店</x:v>
      </x:c>
      <x:c r="F124" s="67" t="str">
        <x:v>美团外卖</x:v>
      </x:c>
      <x:c r="G124" s="67" t="str">
        <x:v>平台活动订单</x:v>
      </x:c>
      <x:c r="H124" s="70" t="n">
        <x:v>3</x:v>
      </x:c>
      <x:c r="I124" s="76" t="n">
        <x:v>111.54999999999984</x:v>
      </x:c>
      <x:c r="J124" s="76" t="n">
        <x:v>3</x:v>
      </x:c>
      <x:c r="K124" s="76" t="n">
        <x:v>9</x:v>
      </x:c>
      <x:c r="L124" s="82" t="n">
        <x:v>0.22</x:v>
      </x:c>
      <x:c r="M124" s="79" t="n">
        <x:f>I124*L124</x:f>
        <x:v>24.540999999999965</x:v>
      </x:c>
      <x:c r="N124" s="76" t="n">
        <x:v>8.92</x:v>
      </x:c>
      <x:c r="O124" s="79" t="n">
        <x:f>I124+J124+K124-M124-N124</x:f>
        <x:v>90.08899999999987</x:v>
      </x:c>
      <x:c r="P124" s="82" t="n">
        <x:v>0.18</x:v>
      </x:c>
      <x:c r="Q124" s="79" t="n">
        <x:f>I124*P124</x:f>
        <x:v>20.078999999999972</x:v>
      </x:c>
      <x:c r="R124" s="76" t="n">
        <x:v>0.67</x:v>
      </x:c>
      <x:c r="S124" s="79" t="n">
        <x:f>I124+J124-M124-Q124-R124</x:f>
        <x:v>69.25999999999989</x:v>
      </x:c>
      <x:c r="T124" s="76" t="n">
        <x:v>1.2</x:v>
      </x:c>
      <x:c r="U124" s="79" t="n">
        <x:f>H124*T124</x:f>
        <x:v>3.5999999999999996</x:v>
      </x:c>
      <x:c r="V124" s="82" t="n">
        <x:v>0.355</x:v>
      </x:c>
      <x:c r="W124" s="79" t="n">
        <x:f>I124*V124</x:f>
        <x:v>39.60024999999994</x:v>
      </x:c>
      <x:c r="X124" s="79" t="n">
        <x:f>S124-U124-W124</x:f>
        <x:v>26.05974999999996</x:v>
      </x:c>
      <x:c r="Y124" s="85" t="n">
        <x:f>IFERROR(X124/I124,0)</x:f>
        <x:v>0.23361497086508287</x:v>
      </x:c>
      <x:c r="Z124" s="67" t="str">
        <x:f>IF(X124&lt;0,"亏损",IF(Y124&lt;8%,"关注","正常"))</x:f>
        <x:v>正常</x:v>
      </x:c>
    </x:row>
    <x:row r="125">
      <x:c r="A125" s="67" t="str">
        <x:v>WMS-00121</x:v>
      </x:c>
      <x:c r="B125" s="73" t="n">
        <x:v>46215.5</x:v>
      </x:c>
      <x:c r="C125" s="73" t="n">
        <x:v>46217.5</x:v>
      </x:c>
      <x:c r="D125" s="67" t="str">
        <x:v>S06</x:v>
      </x:c>
      <x:c r="E125" s="67" t="str">
        <x:v>蓝钻天城店</x:v>
      </x:c>
      <x:c r="F125" s="67" t="str">
        <x:v>美团外卖</x:v>
      </x:c>
      <x:c r="G125" s="67" t="str">
        <x:v>常规订单</x:v>
      </x:c>
      <x:c r="H125" s="70" t="n">
        <x:v>8</x:v>
      </x:c>
      <x:c r="I125" s="76" t="n">
        <x:v>351.12</x:v>
      </x:c>
      <x:c r="J125" s="76" t="n">
        <x:v>8</x:v>
      </x:c>
      <x:c r="K125" s="76" t="n">
        <x:v>24</x:v>
      </x:c>
      <x:c r="L125" s="82" t="n">
        <x:v>0.03</x:v>
      </x:c>
      <x:c r="M125" s="79" t="n">
        <x:f>I125*L125</x:f>
        <x:v>10.5336</x:v>
      </x:c>
      <x:c r="N125" s="76" t="n">
        <x:v>0</x:v>
      </x:c>
      <x:c r="O125" s="79" t="n">
        <x:f>I125+J125+K125-M125-N125</x:f>
        <x:v>372.5864</x:v>
      </x:c>
      <x:c r="P125" s="82" t="n">
        <x:v>0.18</x:v>
      </x:c>
      <x:c r="Q125" s="79" t="n">
        <x:f>I125*P125</x:f>
        <x:v>63.2016</x:v>
      </x:c>
      <x:c r="R125" s="76" t="n">
        <x:v>0.35</x:v>
      </x:c>
      <x:c r="S125" s="79" t="n">
        <x:f>I125+J125-M125-Q125-R125</x:f>
        <x:v>285.0348</x:v>
      </x:c>
      <x:c r="T125" s="76" t="n">
        <x:v>1.2</x:v>
      </x:c>
      <x:c r="U125" s="79" t="n">
        <x:f>H125*T125</x:f>
        <x:v>9.6</x:v>
      </x:c>
      <x:c r="V125" s="82" t="n">
        <x:v>0.325</x:v>
      </x:c>
      <x:c r="W125" s="79" t="n">
        <x:f>I125*V125</x:f>
        <x:v>114.114</x:v>
      </x:c>
      <x:c r="X125" s="79" t="n">
        <x:f>S125-U125-W125</x:f>
        <x:v>161.3208</x:v>
      </x:c>
      <x:c r="Y125" s="85" t="n">
        <x:f>IFERROR(X125/I125,0)</x:f>
        <x:v>0.4594463431305536</x:v>
      </x:c>
      <x:c r="Z125" s="67" t="str">
        <x:f>IF(X125&lt;0,"亏损",IF(Y125&lt;8%,"关注","正常"))</x:f>
        <x:v>正常</x:v>
      </x:c>
    </x:row>
    <x:row r="126">
      <x:c r="A126" s="67" t="str">
        <x:v>WMS-00122</x:v>
      </x:c>
      <x:c r="B126" s="73" t="n">
        <x:v>46215.5</x:v>
      </x:c>
      <x:c r="C126" s="73" t="n">
        <x:v>46217.5</x:v>
      </x:c>
      <x:c r="D126" s="67" t="str">
        <x:v>S06</x:v>
      </x:c>
      <x:c r="E126" s="67" t="str">
        <x:v>蓝钻天城店</x:v>
      </x:c>
      <x:c r="F126" s="67" t="str">
        <x:v>美团外卖</x:v>
      </x:c>
      <x:c r="G126" s="67" t="str">
        <x:v>会员券订单</x:v>
      </x:c>
      <x:c r="H126" s="70" t="n">
        <x:v>4</x:v>
      </x:c>
      <x:c r="I126" s="76" t="n">
        <x:v>178.75</x:v>
      </x:c>
      <x:c r="J126" s="76" t="n">
        <x:v>4</x:v>
      </x:c>
      <x:c r="K126" s="76" t="n">
        <x:v>12</x:v>
      </x:c>
      <x:c r="L126" s="82" t="n">
        <x:v>0.1</x:v>
      </x:c>
      <x:c r="M126" s="79" t="n">
        <x:f>I126*L126</x:f>
        <x:v>17.875</x:v>
      </x:c>
      <x:c r="N126" s="76" t="n">
        <x:v>5.36</x:v>
      </x:c>
      <x:c r="O126" s="79" t="n">
        <x:f>I126+J126+K126-M126-N126</x:f>
        <x:v>171.515</x:v>
      </x:c>
      <x:c r="P126" s="82" t="n">
        <x:v>0.18</x:v>
      </x:c>
      <x:c r="Q126" s="79" t="n">
        <x:f>I126*P126</x:f>
        <x:v>32.175</x:v>
      </x:c>
      <x:c r="R126" s="76" t="n">
        <x:v>0.54</x:v>
      </x:c>
      <x:c r="S126" s="79" t="n">
        <x:f>I126+J126-M126-Q126-R126</x:f>
        <x:v>132.16</x:v>
      </x:c>
      <x:c r="T126" s="76" t="n">
        <x:v>1.2</x:v>
      </x:c>
      <x:c r="U126" s="79" t="n">
        <x:f>H126*T126</x:f>
        <x:v>4.8</x:v>
      </x:c>
      <x:c r="V126" s="82" t="n">
        <x:v>0.335</x:v>
      </x:c>
      <x:c r="W126" s="79" t="n">
        <x:f>I126*V126</x:f>
        <x:v>59.88125</x:v>
      </x:c>
      <x:c r="X126" s="79" t="n">
        <x:f>S126-U126-W126</x:f>
        <x:v>67.47874999999999</x:v>
      </x:c>
      <x:c r="Y126" s="85" t="n">
        <x:f>IFERROR(X126/I126,0)</x:f>
        <x:v>0.37750349650349646</x:v>
      </x:c>
      <x:c r="Z126" s="67" t="str">
        <x:f>IF(X126&lt;0,"亏损",IF(Y126&lt;8%,"关注","正常"))</x:f>
        <x:v>正常</x:v>
      </x:c>
    </x:row>
    <x:row r="127">
      <x:c r="A127" s="67" t="str">
        <x:v>WMS-00123</x:v>
      </x:c>
      <x:c r="B127" s="73" t="n">
        <x:v>46215.5</x:v>
      </x:c>
      <x:c r="C127" s="73" t="n">
        <x:v>46217.5</x:v>
      </x:c>
      <x:c r="D127" s="67" t="str">
        <x:v>S06</x:v>
      </x:c>
      <x:c r="E127" s="67" t="str">
        <x:v>蓝钻天城店</x:v>
      </x:c>
      <x:c r="F127" s="67" t="str">
        <x:v>饿了么</x:v>
      </x:c>
      <x:c r="G127" s="67" t="str">
        <x:v>平台活动订单</x:v>
      </x:c>
      <x:c r="H127" s="70" t="n">
        <x:v>2</x:v>
      </x:c>
      <x:c r="I127" s="76" t="n">
        <x:v>108.52999999999997</x:v>
      </x:c>
      <x:c r="J127" s="76" t="n">
        <x:v>2</x:v>
      </x:c>
      <x:c r="K127" s="76" t="n">
        <x:v>6</x:v>
      </x:c>
      <x:c r="L127" s="82" t="n">
        <x:v>0.22</x:v>
      </x:c>
      <x:c r="M127" s="79" t="n">
        <x:f>I127*L127</x:f>
        <x:v>23.876599999999993</x:v>
      </x:c>
      <x:c r="N127" s="76" t="n">
        <x:v>8.68</x:v>
      </x:c>
      <x:c r="O127" s="79" t="n">
        <x:f>I127+J127+K127-M127-N127</x:f>
        <x:v>83.97339999999997</x:v>
      </x:c>
      <x:c r="P127" s="82" t="n">
        <x:v>0.18</x:v>
      </x:c>
      <x:c r="Q127" s="79" t="n">
        <x:f>I127*P127</x:f>
        <x:v>19.535399999999996</x:v>
      </x:c>
      <x:c r="R127" s="76" t="n">
        <x:v>0.65</x:v>
      </x:c>
      <x:c r="S127" s="79" t="n">
        <x:f>I127+J127-M127-Q127-R127</x:f>
        <x:v>66.46799999999998</x:v>
      </x:c>
      <x:c r="T127" s="76" t="n">
        <x:v>1.2</x:v>
      </x:c>
      <x:c r="U127" s="79" t="n">
        <x:f>H127*T127</x:f>
        <x:v>2.4</x:v>
      </x:c>
      <x:c r="V127" s="82" t="n">
        <x:v>0.355</x:v>
      </x:c>
      <x:c r="W127" s="79" t="n">
        <x:f>I127*V127</x:f>
        <x:v>38.52814999999999</x:v>
      </x:c>
      <x:c r="X127" s="79" t="n">
        <x:f>S127-U127-W127</x:f>
        <x:v>25.53984999999998</x:v>
      </x:c>
      <x:c r="Y127" s="85" t="n">
        <x:f>IFERROR(X127/I127,0)</x:f>
        <x:v>0.23532525568967094</x:v>
      </x:c>
      <x:c r="Z127" s="67" t="str">
        <x:f>IF(X127&lt;0,"亏损",IF(Y127&lt;8%,"关注","正常"))</x:f>
        <x:v>正常</x:v>
      </x:c>
    </x:row>
    <x:row r="128">
      <x:c r="A128" s="67" t="str">
        <x:v>WMS-00124</x:v>
      </x:c>
      <x:c r="B128" s="73" t="n">
        <x:v>46216.5</x:v>
      </x:c>
      <x:c r="C128" s="73" t="n">
        <x:v>46218.5</x:v>
      </x:c>
      <x:c r="D128" s="67" t="str">
        <x:v>S06</x:v>
      </x:c>
      <x:c r="E128" s="67" t="str">
        <x:v>蓝钻天城店</x:v>
      </x:c>
      <x:c r="F128" s="67" t="str">
        <x:v>美团外卖</x:v>
      </x:c>
      <x:c r="G128" s="67" t="str">
        <x:v>常规订单</x:v>
      </x:c>
      <x:c r="H128" s="70" t="n">
        <x:v>11</x:v>
      </x:c>
      <x:c r="I128" s="76" t="n">
        <x:v>503.75</x:v>
      </x:c>
      <x:c r="J128" s="76" t="n">
        <x:v>11</x:v>
      </x:c>
      <x:c r="K128" s="76" t="n">
        <x:v>33</x:v>
      </x:c>
      <x:c r="L128" s="82" t="n">
        <x:v>0.03</x:v>
      </x:c>
      <x:c r="M128" s="79" t="n">
        <x:f>I128*L128</x:f>
        <x:v>15.112499999999999</x:v>
      </x:c>
      <x:c r="N128" s="76" t="n">
        <x:v>0</x:v>
      </x:c>
      <x:c r="O128" s="79" t="n">
        <x:f>I128+J128+K128-M128-N128</x:f>
        <x:v>532.6375</x:v>
      </x:c>
      <x:c r="P128" s="82" t="n">
        <x:v>0.18</x:v>
      </x:c>
      <x:c r="Q128" s="79" t="n">
        <x:f>I128*P128</x:f>
        <x:v>90.675</x:v>
      </x:c>
      <x:c r="R128" s="76" t="n">
        <x:v>0.5</x:v>
      </x:c>
      <x:c r="S128" s="79" t="n">
        <x:f>I128+J128-M128-Q128-R128</x:f>
        <x:v>408.4625</x:v>
      </x:c>
      <x:c r="T128" s="76" t="n">
        <x:v>1.2</x:v>
      </x:c>
      <x:c r="U128" s="79" t="n">
        <x:f>H128*T128</x:f>
        <x:v>13.2</x:v>
      </x:c>
      <x:c r="V128" s="82" t="n">
        <x:v>0.325</x:v>
      </x:c>
      <x:c r="W128" s="79" t="n">
        <x:f>I128*V128</x:f>
        <x:v>163.71875</x:v>
      </x:c>
      <x:c r="X128" s="79" t="n">
        <x:f>S128-U128-W128</x:f>
        <x:v>231.54375</x:v>
      </x:c>
      <x:c r="Y128" s="85" t="n">
        <x:f>IFERROR(X128/I128,0)</x:f>
        <x:v>0.4596401985111662</x:v>
      </x:c>
      <x:c r="Z128" s="67" t="str">
        <x:f>IF(X128&lt;0,"亏损",IF(Y128&lt;8%,"关注","正常"))</x:f>
        <x:v>正常</x:v>
      </x:c>
    </x:row>
    <x:row r="129">
      <x:c r="A129" s="67" t="str">
        <x:v>WMS-00125</x:v>
      </x:c>
      <x:c r="B129" s="73" t="n">
        <x:v>46216.5</x:v>
      </x:c>
      <x:c r="C129" s="73" t="n">
        <x:v>46218.5</x:v>
      </x:c>
      <x:c r="D129" s="67" t="str">
        <x:v>S06</x:v>
      </x:c>
      <x:c r="E129" s="67" t="str">
        <x:v>蓝钻天城店</x:v>
      </x:c>
      <x:c r="F129" s="67" t="str">
        <x:v>饿了么</x:v>
      </x:c>
      <x:c r="G129" s="67" t="str">
        <x:v>会员券订单</x:v>
      </x:c>
      <x:c r="H129" s="70" t="n">
        <x:v>6</x:v>
      </x:c>
      <x:c r="I129" s="76" t="n">
        <x:v>256.45</x:v>
      </x:c>
      <x:c r="J129" s="76" t="n">
        <x:v>6</x:v>
      </x:c>
      <x:c r="K129" s="76" t="n">
        <x:v>18</x:v>
      </x:c>
      <x:c r="L129" s="82" t="n">
        <x:v>0.1</x:v>
      </x:c>
      <x:c r="M129" s="79" t="n">
        <x:f>I129*L129</x:f>
        <x:v>25.645</x:v>
      </x:c>
      <x:c r="N129" s="76" t="n">
        <x:v>7.69</x:v>
      </x:c>
      <x:c r="O129" s="79" t="n">
        <x:f>I129+J129+K129-M129-N129</x:f>
        <x:v>247.11499999999998</x:v>
      </x:c>
      <x:c r="P129" s="82" t="n">
        <x:v>0.18</x:v>
      </x:c>
      <x:c r="Q129" s="79" t="n">
        <x:f>I129*P129</x:f>
        <x:v>46.160999999999994</x:v>
      </x:c>
      <x:c r="R129" s="76" t="n">
        <x:v>0.77</x:v>
      </x:c>
      <x:c r="S129" s="79" t="n">
        <x:f>I129+J129-M129-Q129-R129</x:f>
        <x:v>189.87399999999997</x:v>
      </x:c>
      <x:c r="T129" s="76" t="n">
        <x:v>1.2</x:v>
      </x:c>
      <x:c r="U129" s="79" t="n">
        <x:f>H129*T129</x:f>
        <x:v>7.199999999999999</x:v>
      </x:c>
      <x:c r="V129" s="82" t="n">
        <x:v>0.335</x:v>
      </x:c>
      <x:c r="W129" s="79" t="n">
        <x:f>I129*V129</x:f>
        <x:v>85.91075000000001</x:v>
      </x:c>
      <x:c r="X129" s="79" t="n">
        <x:f>S129-U129-W129</x:f>
        <x:v>96.76324999999997</x:v>
      </x:c>
      <x:c r="Y129" s="85" t="n">
        <x:f>IFERROR(X129/I129,0)</x:f>
        <x:v>0.3773181906804444</x:v>
      </x:c>
      <x:c r="Z129" s="67" t="str">
        <x:f>IF(X129&lt;0,"亏损",IF(Y129&lt;8%,"关注","正常"))</x:f>
        <x:v>正常</x:v>
      </x:c>
    </x:row>
    <x:row r="130">
      <x:c r="A130" s="67" t="str">
        <x:v>WMS-00126</x:v>
      </x:c>
      <x:c r="B130" s="73" t="n">
        <x:v>46216.5</x:v>
      </x:c>
      <x:c r="C130" s="73" t="n">
        <x:v>46218.5</x:v>
      </x:c>
      <x:c r="D130" s="67" t="str">
        <x:v>S06</x:v>
      </x:c>
      <x:c r="E130" s="67" t="str">
        <x:v>蓝钻天城店</x:v>
      </x:c>
      <x:c r="F130" s="67" t="str">
        <x:v>饿了么</x:v>
      </x:c>
      <x:c r="G130" s="67" t="str">
        <x:v>平台活动订单</x:v>
      </x:c>
      <x:c r="H130" s="70" t="n">
        <x:v>3</x:v>
      </x:c>
      <x:c r="I130" s="76" t="n">
        <x:v>155.69999999999993</x:v>
      </x:c>
      <x:c r="J130" s="76" t="n">
        <x:v>3</x:v>
      </x:c>
      <x:c r="K130" s="76" t="n">
        <x:v>9</x:v>
      </x:c>
      <x:c r="L130" s="82" t="n">
        <x:v>0.22</x:v>
      </x:c>
      <x:c r="M130" s="79" t="n">
        <x:f>I130*L130</x:f>
        <x:v>34.253999999999984</x:v>
      </x:c>
      <x:c r="N130" s="76" t="n">
        <x:v>12.46</x:v>
      </x:c>
      <x:c r="O130" s="79" t="n">
        <x:f>I130+J130+K130-M130-N130</x:f>
        <x:v>120.98599999999993</x:v>
      </x:c>
      <x:c r="P130" s="82" t="n">
        <x:v>0.18</x:v>
      </x:c>
      <x:c r="Q130" s="79" t="n">
        <x:f>I130*P130</x:f>
        <x:v>28.025999999999986</x:v>
      </x:c>
      <x:c r="R130" s="76" t="n">
        <x:v>0.93</x:v>
      </x:c>
      <x:c r="S130" s="79" t="n">
        <x:f>I130+J130-M130-Q130-R130</x:f>
        <x:v>95.48999999999995</x:v>
      </x:c>
      <x:c r="T130" s="76" t="n">
        <x:v>1.2</x:v>
      </x:c>
      <x:c r="U130" s="79" t="n">
        <x:f>H130*T130</x:f>
        <x:v>3.5999999999999996</x:v>
      </x:c>
      <x:c r="V130" s="82" t="n">
        <x:v>0.355</x:v>
      </x:c>
      <x:c r="W130" s="79" t="n">
        <x:f>I130*V130</x:f>
        <x:v>55.27349999999997</x:v>
      </x:c>
      <x:c r="X130" s="79" t="n">
        <x:f>S130-U130-W130</x:f>
        <x:v>36.61649999999999</x:v>
      </x:c>
      <x:c r="Y130" s="85" t="n">
        <x:f>IFERROR(X130/I130,0)</x:f>
        <x:v>0.2351734104046243</x:v>
      </x:c>
      <x:c r="Z130" s="67" t="str">
        <x:f>IF(X130&lt;0,"亏损",IF(Y130&lt;8%,"关注","正常"))</x:f>
        <x:v>正常</x:v>
      </x:c>
    </x:row>
    <x:row r="131">
      <x:c r="A131" s="67" t="str">
        <x:v>WMS-00127</x:v>
      </x:c>
      <x:c r="B131" s="73" t="n">
        <x:v>46210.5</x:v>
      </x:c>
      <x:c r="C131" s="73" t="n">
        <x:v>46212.5</x:v>
      </x:c>
      <x:c r="D131" s="67" t="str">
        <x:v>S07</x:v>
      </x:c>
      <x:c r="E131" s="67" t="str">
        <x:v>小和山店</x:v>
      </x:c>
      <x:c r="F131" s="67" t="str">
        <x:v>饿了么</x:v>
      </x:c>
      <x:c r="G131" s="67" t="str">
        <x:v>常规订单</x:v>
      </x:c>
      <x:c r="H131" s="70" t="n">
        <x:v>10</x:v>
      </x:c>
      <x:c r="I131" s="76" t="n">
        <x:v>455.4</x:v>
      </x:c>
      <x:c r="J131" s="76" t="n">
        <x:v>10</x:v>
      </x:c>
      <x:c r="K131" s="76" t="n">
        <x:v>30</x:v>
      </x:c>
      <x:c r="L131" s="82" t="n">
        <x:v>0.03</x:v>
      </x:c>
      <x:c r="M131" s="79" t="n">
        <x:f>I131*L131</x:f>
        <x:v>13.661999999999999</x:v>
      </x:c>
      <x:c r="N131" s="76" t="n">
        <x:v>0</x:v>
      </x:c>
      <x:c r="O131" s="79" t="n">
        <x:f>I131+J131+K131-M131-N131</x:f>
        <x:v>481.738</x:v>
      </x:c>
      <x:c r="P131" s="82" t="n">
        <x:v>0.18</x:v>
      </x:c>
      <x:c r="Q131" s="79" t="n">
        <x:f>I131*P131</x:f>
        <x:v>81.972</x:v>
      </x:c>
      <x:c r="R131" s="76" t="n">
        <x:v>0.46</x:v>
      </x:c>
      <x:c r="S131" s="79" t="n">
        <x:f>I131+J131-M131-Q131-R131</x:f>
        <x:v>369.30600000000004</x:v>
      </x:c>
      <x:c r="T131" s="76" t="n">
        <x:v>1.2</x:v>
      </x:c>
      <x:c r="U131" s="79" t="n">
        <x:f>H131*T131</x:f>
        <x:v>12</x:v>
      </x:c>
      <x:c r="V131" s="82" t="n">
        <x:v>0.326</x:v>
      </x:c>
      <x:c r="W131" s="79" t="n">
        <x:f>I131*V131</x:f>
        <x:v>148.4604</x:v>
      </x:c>
      <x:c r="X131" s="79" t="n">
        <x:f>S131-U131-W131</x:f>
        <x:v>208.84560000000005</x:v>
      </x:c>
      <x:c r="Y131" s="85" t="n">
        <x:f>IFERROR(X131/I131,0)</x:f>
        <x:v>0.4585981554677208</x:v>
      </x:c>
      <x:c r="Z131" s="67" t="str">
        <x:f>IF(X131&lt;0,"亏损",IF(Y131&lt;8%,"关注","正常"))</x:f>
        <x:v>正常</x:v>
      </x:c>
    </x:row>
    <x:row r="132">
      <x:c r="A132" s="67" t="str">
        <x:v>WMS-00128</x:v>
      </x:c>
      <x:c r="B132" s="73" t="n">
        <x:v>46210.5</x:v>
      </x:c>
      <x:c r="C132" s="73" t="n">
        <x:v>46212.5</x:v>
      </x:c>
      <x:c r="D132" s="67" t="str">
        <x:v>S07</x:v>
      </x:c>
      <x:c r="E132" s="67" t="str">
        <x:v>小和山店</x:v>
      </x:c>
      <x:c r="F132" s="67" t="str">
        <x:v>饿了么</x:v>
      </x:c>
      <x:c r="G132" s="67" t="str">
        <x:v>会员券订单</x:v>
      </x:c>
      <x:c r="H132" s="70" t="n">
        <x:v>5</x:v>
      </x:c>
      <x:c r="I132" s="76" t="n">
        <x:v>231.84</x:v>
      </x:c>
      <x:c r="J132" s="76" t="n">
        <x:v>5</x:v>
      </x:c>
      <x:c r="K132" s="76" t="n">
        <x:v>15</x:v>
      </x:c>
      <x:c r="L132" s="82" t="n">
        <x:v>0.1</x:v>
      </x:c>
      <x:c r="M132" s="79" t="n">
        <x:f>I132*L132</x:f>
        <x:v>23.184</x:v>
      </x:c>
      <x:c r="N132" s="76" t="n">
        <x:v>6.96</x:v>
      </x:c>
      <x:c r="O132" s="79" t="n">
        <x:f>I132+J132+K132-M132-N132</x:f>
        <x:v>221.696</x:v>
      </x:c>
      <x:c r="P132" s="82" t="n">
        <x:v>0.18</x:v>
      </x:c>
      <x:c r="Q132" s="79" t="n">
        <x:f>I132*P132</x:f>
        <x:v>41.7312</x:v>
      </x:c>
      <x:c r="R132" s="76" t="n">
        <x:v>0.7</x:v>
      </x:c>
      <x:c r="S132" s="79" t="n">
        <x:f>I132+J132-M132-Q132-R132</x:f>
        <x:v>171.22480000000002</x:v>
      </x:c>
      <x:c r="T132" s="76" t="n">
        <x:v>1.2</x:v>
      </x:c>
      <x:c r="U132" s="79" t="n">
        <x:f>H132*T132</x:f>
        <x:v>6</x:v>
      </x:c>
      <x:c r="V132" s="82" t="n">
        <x:v>0.336</x:v>
      </x:c>
      <x:c r="W132" s="79" t="n">
        <x:f>I132*V132</x:f>
        <x:v>77.89824</x:v>
      </x:c>
      <x:c r="X132" s="79" t="n">
        <x:f>S132-U132-W132</x:f>
        <x:v>87.32656000000001</x:v>
      </x:c>
      <x:c r="Y132" s="85" t="n">
        <x:f>IFERROR(X132/I132,0)</x:f>
        <x:v>0.3766673567977916</x:v>
      </x:c>
      <x:c r="Z132" s="67" t="str">
        <x:f>IF(X132&lt;0,"亏损",IF(Y132&lt;8%,"关注","正常"))</x:f>
        <x:v>正常</x:v>
      </x:c>
    </x:row>
    <x:row r="133">
      <x:c r="A133" s="67" t="str">
        <x:v>WMS-00129</x:v>
      </x:c>
      <x:c r="B133" s="73" t="n">
        <x:v>46210.5</x:v>
      </x:c>
      <x:c r="C133" s="73" t="n">
        <x:v>46212.5</x:v>
      </x:c>
      <x:c r="D133" s="67" t="str">
        <x:v>S07</x:v>
      </x:c>
      <x:c r="E133" s="67" t="str">
        <x:v>小和山店</x:v>
      </x:c>
      <x:c r="F133" s="67" t="str">
        <x:v>美团外卖</x:v>
      </x:c>
      <x:c r="G133" s="67" t="str">
        <x:v>平台活动订单</x:v>
      </x:c>
      <x:c r="H133" s="70" t="n">
        <x:v>3</x:v>
      </x:c>
      <x:c r="I133" s="76" t="n">
        <x:v>140.76</x:v>
      </x:c>
      <x:c r="J133" s="76" t="n">
        <x:v>3</x:v>
      </x:c>
      <x:c r="K133" s="76" t="n">
        <x:v>9</x:v>
      </x:c>
      <x:c r="L133" s="82" t="n">
        <x:v>0.22</x:v>
      </x:c>
      <x:c r="M133" s="79" t="n">
        <x:f>I133*L133</x:f>
        <x:v>30.9672</x:v>
      </x:c>
      <x:c r="N133" s="76" t="n">
        <x:v>11.26</x:v>
      </x:c>
      <x:c r="O133" s="79" t="n">
        <x:f>I133+J133+K133-M133-N133</x:f>
        <x:v>110.5328</x:v>
      </x:c>
      <x:c r="P133" s="82" t="n">
        <x:v>0.18</x:v>
      </x:c>
      <x:c r="Q133" s="79" t="n">
        <x:f>I133*P133</x:f>
        <x:v>25.336799999999997</x:v>
      </x:c>
      <x:c r="R133" s="76" t="n">
        <x:v>0.84</x:v>
      </x:c>
      <x:c r="S133" s="79" t="n">
        <x:f>I133+J133-M133-Q133-R133</x:f>
        <x:v>86.616</x:v>
      </x:c>
      <x:c r="T133" s="76" t="n">
        <x:v>1.2</x:v>
      </x:c>
      <x:c r="U133" s="79" t="n">
        <x:f>H133*T133</x:f>
        <x:v>3.5999999999999996</x:v>
      </x:c>
      <x:c r="V133" s="82" t="n">
        <x:v>0.356</x:v>
      </x:c>
      <x:c r="W133" s="79" t="n">
        <x:f>I133*V133</x:f>
        <x:v>50.11055999999999</x:v>
      </x:c>
      <x:c r="X133" s="79" t="n">
        <x:f>S133-U133-W133</x:f>
        <x:v>32.90544000000001</x:v>
      </x:c>
      <x:c r="Y133" s="85" t="n">
        <x:f>IFERROR(X133/I133,0)</x:f>
        <x:v>0.2337698209718671</x:v>
      </x:c>
      <x:c r="Z133" s="67" t="str">
        <x:f>IF(X133&lt;0,"亏损",IF(Y133&lt;8%,"关注","正常"))</x:f>
        <x:v>正常</x:v>
      </x:c>
    </x:row>
    <x:row r="134">
      <x:c r="A134" s="67" t="str">
        <x:v>WMS-00130</x:v>
      </x:c>
      <x:c r="B134" s="73" t="n">
        <x:v>46211.5</x:v>
      </x:c>
      <x:c r="C134" s="73" t="n">
        <x:v>46213.5</x:v>
      </x:c>
      <x:c r="D134" s="67" t="str">
        <x:v>S07</x:v>
      </x:c>
      <x:c r="E134" s="67" t="str">
        <x:v>小和山店</x:v>
      </x:c>
      <x:c r="F134" s="67" t="str">
        <x:v>饿了么</x:v>
      </x:c>
      <x:c r="G134" s="67" t="str">
        <x:v>常规订单</x:v>
      </x:c>
      <x:c r="H134" s="70" t="n">
        <x:v>10</x:v>
      </x:c>
      <x:c r="I134" s="76" t="n">
        <x:v>441.76</x:v>
      </x:c>
      <x:c r="J134" s="76" t="n">
        <x:v>10</x:v>
      </x:c>
      <x:c r="K134" s="76" t="n">
        <x:v>30</x:v>
      </x:c>
      <x:c r="L134" s="82" t="n">
        <x:v>0.03</x:v>
      </x:c>
      <x:c r="M134" s="79" t="n">
        <x:f>I134*L134</x:f>
        <x:v>13.252799999999999</x:v>
      </x:c>
      <x:c r="N134" s="76" t="n">
        <x:v>0</x:v>
      </x:c>
      <x:c r="O134" s="79" t="n">
        <x:f>I134+J134+K134-M134-N134</x:f>
        <x:v>468.5072</x:v>
      </x:c>
      <x:c r="P134" s="82" t="n">
        <x:v>0.18</x:v>
      </x:c>
      <x:c r="Q134" s="79" t="n">
        <x:f>I134*P134</x:f>
        <x:v>79.51679999999999</x:v>
      </x:c>
      <x:c r="R134" s="76" t="n">
        <x:v>0.44</x:v>
      </x:c>
      <x:c r="S134" s="79" t="n">
        <x:f>I134+J134-M134-Q134-R134</x:f>
        <x:v>358.5504</x:v>
      </x:c>
      <x:c r="T134" s="76" t="n">
        <x:v>1.2</x:v>
      </x:c>
      <x:c r="U134" s="79" t="n">
        <x:f>H134*T134</x:f>
        <x:v>12</x:v>
      </x:c>
      <x:c r="V134" s="82" t="n">
        <x:v>0.326</x:v>
      </x:c>
      <x:c r="W134" s="79" t="n">
        <x:f>I134*V134</x:f>
        <x:v>144.01376</x:v>
      </x:c>
      <x:c r="X134" s="79" t="n">
        <x:f>S134-U134-W134</x:f>
        <x:v>202.53664000000003</x:v>
      </x:c>
      <x:c r="Y134" s="85" t="n">
        <x:f>IFERROR(X134/I134,0)</x:f>
        <x:v>0.45847663889894974</x:v>
      </x:c>
      <x:c r="Z134" s="67" t="str">
        <x:f>IF(X134&lt;0,"亏损",IF(Y134&lt;8%,"关注","正常"))</x:f>
        <x:v>正常</x:v>
      </x:c>
    </x:row>
    <x:row r="135">
      <x:c r="A135" s="67" t="str">
        <x:v>WMS-00131</x:v>
      </x:c>
      <x:c r="B135" s="73" t="n">
        <x:v>46211.5</x:v>
      </x:c>
      <x:c r="C135" s="73" t="n">
        <x:v>46213.5</x:v>
      </x:c>
      <x:c r="D135" s="67" t="str">
        <x:v>S07</x:v>
      </x:c>
      <x:c r="E135" s="67" t="str">
        <x:v>小和山店</x:v>
      </x:c>
      <x:c r="F135" s="67" t="str">
        <x:v>美团外卖</x:v>
      </x:c>
      <x:c r="G135" s="67" t="str">
        <x:v>会员券订单</x:v>
      </x:c>
      <x:c r="H135" s="70" t="n">
        <x:v>5</x:v>
      </x:c>
      <x:c r="I135" s="76" t="n">
        <x:v>224.9</x:v>
      </x:c>
      <x:c r="J135" s="76" t="n">
        <x:v>5</x:v>
      </x:c>
      <x:c r="K135" s="76" t="n">
        <x:v>15</x:v>
      </x:c>
      <x:c r="L135" s="82" t="n">
        <x:v>0.1</x:v>
      </x:c>
      <x:c r="M135" s="79" t="n">
        <x:f>I135*L135</x:f>
        <x:v>22.490000000000002</x:v>
      </x:c>
      <x:c r="N135" s="76" t="n">
        <x:v>6.75</x:v>
      </x:c>
      <x:c r="O135" s="79" t="n">
        <x:f>I135+J135+K135-M135-N135</x:f>
        <x:v>215.66</x:v>
      </x:c>
      <x:c r="P135" s="82" t="n">
        <x:v>0.18</x:v>
      </x:c>
      <x:c r="Q135" s="79" t="n">
        <x:f>I135*P135</x:f>
        <x:v>40.482</x:v>
      </x:c>
      <x:c r="R135" s="76" t="n">
        <x:v>0.67</x:v>
      </x:c>
      <x:c r="S135" s="79" t="n">
        <x:f>I135+J135-M135-Q135-R135</x:f>
        <x:v>166.258</x:v>
      </x:c>
      <x:c r="T135" s="76" t="n">
        <x:v>1.2</x:v>
      </x:c>
      <x:c r="U135" s="79" t="n">
        <x:f>H135*T135</x:f>
        <x:v>6</x:v>
      </x:c>
      <x:c r="V135" s="82" t="n">
        <x:v>0.336</x:v>
      </x:c>
      <x:c r="W135" s="79" t="n">
        <x:f>I135*V135</x:f>
        <x:v>75.5664</x:v>
      </x:c>
      <x:c r="X135" s="79" t="n">
        <x:f>S135-U135-W135</x:f>
        <x:v>84.69160000000001</x:v>
      </x:c>
      <x:c r="Y135" s="85" t="n">
        <x:f>IFERROR(X135/I135,0)</x:f>
        <x:v>0.3765744775455758</x:v>
      </x:c>
      <x:c r="Z135" s="67" t="str">
        <x:f>IF(X135&lt;0,"亏损",IF(Y135&lt;8%,"关注","正常"))</x:f>
        <x:v>正常</x:v>
      </x:c>
    </x:row>
    <x:row r="136">
      <x:c r="A136" s="67" t="str">
        <x:v>WMS-00132</x:v>
      </x:c>
      <x:c r="B136" s="73" t="n">
        <x:v>46211.5</x:v>
      </x:c>
      <x:c r="C136" s="73" t="n">
        <x:v>46213.5</x:v>
      </x:c>
      <x:c r="D136" s="67" t="str">
        <x:v>S07</x:v>
      </x:c>
      <x:c r="E136" s="67" t="str">
        <x:v>小和山店</x:v>
      </x:c>
      <x:c r="F136" s="67" t="str">
        <x:v>美团外卖</x:v>
      </x:c>
      <x:c r="G136" s="67" t="str">
        <x:v>平台活动订单</x:v>
      </x:c>
      <x:c r="H136" s="70" t="n">
        <x:v>3</x:v>
      </x:c>
      <x:c r="I136" s="76" t="n">
        <x:v>136.54000000000008</x:v>
      </x:c>
      <x:c r="J136" s="76" t="n">
        <x:v>3</x:v>
      </x:c>
      <x:c r="K136" s="76" t="n">
        <x:v>9</x:v>
      </x:c>
      <x:c r="L136" s="82" t="n">
        <x:v>0.22</x:v>
      </x:c>
      <x:c r="M136" s="79" t="n">
        <x:f>I136*L136</x:f>
        <x:v>30.038800000000016</x:v>
      </x:c>
      <x:c r="N136" s="76" t="n">
        <x:v>10.92</x:v>
      </x:c>
      <x:c r="O136" s="79" t="n">
        <x:f>I136+J136+K136-M136-N136</x:f>
        <x:v>107.58120000000007</x:v>
      </x:c>
      <x:c r="P136" s="82" t="n">
        <x:v>0.18</x:v>
      </x:c>
      <x:c r="Q136" s="79" t="n">
        <x:f>I136*P136</x:f>
        <x:v>24.577200000000012</x:v>
      </x:c>
      <x:c r="R136" s="76" t="n">
        <x:v>0.82</x:v>
      </x:c>
      <x:c r="S136" s="79" t="n">
        <x:f>I136+J136-M136-Q136-R136</x:f>
        <x:v>84.10400000000007</x:v>
      </x:c>
      <x:c r="T136" s="76" t="n">
        <x:v>1.2</x:v>
      </x:c>
      <x:c r="U136" s="79" t="n">
        <x:f>H136*T136</x:f>
        <x:v>3.5999999999999996</x:v>
      </x:c>
      <x:c r="V136" s="82" t="n">
        <x:v>0.356</x:v>
      </x:c>
      <x:c r="W136" s="79" t="n">
        <x:f>I136*V136</x:f>
        <x:v>48.60824000000002</x:v>
      </x:c>
      <x:c r="X136" s="79" t="n">
        <x:f>S136-U136-W136</x:f>
        <x:v>31.895760000000053</x:v>
      </x:c>
      <x:c r="Y136" s="85" t="n">
        <x:f>IFERROR(X136/I136,0)</x:f>
        <x:v>0.23360011718177848</x:v>
      </x:c>
      <x:c r="Z136" s="67" t="str">
        <x:f>IF(X136&lt;0,"亏损",IF(Y136&lt;8%,"关注","正常"))</x:f>
        <x:v>正常</x:v>
      </x:c>
    </x:row>
    <x:row r="137">
      <x:c r="A137" s="67" t="str">
        <x:v>WMS-00133</x:v>
      </x:c>
      <x:c r="B137" s="73" t="n">
        <x:v>46212.5</x:v>
      </x:c>
      <x:c r="C137" s="73" t="n">
        <x:v>46214.5</x:v>
      </x:c>
      <x:c r="D137" s="67" t="str">
        <x:v>S07</x:v>
      </x:c>
      <x:c r="E137" s="67" t="str">
        <x:v>小和山店</x:v>
      </x:c>
      <x:c r="F137" s="67" t="str">
        <x:v>美团外卖</x:v>
      </x:c>
      <x:c r="G137" s="67" t="str">
        <x:v>常规订单</x:v>
      </x:c>
      <x:c r="H137" s="70" t="n">
        <x:v>10</x:v>
      </x:c>
      <x:c r="I137" s="76" t="n">
        <x:v>434.61</x:v>
      </x:c>
      <x:c r="J137" s="76" t="n">
        <x:v>10</x:v>
      </x:c>
      <x:c r="K137" s="76" t="n">
        <x:v>30</x:v>
      </x:c>
      <x:c r="L137" s="82" t="n">
        <x:v>0.03</x:v>
      </x:c>
      <x:c r="M137" s="79" t="n">
        <x:f>I137*L137</x:f>
        <x:v>13.0383</x:v>
      </x:c>
      <x:c r="N137" s="76" t="n">
        <x:v>0</x:v>
      </x:c>
      <x:c r="O137" s="79" t="n">
        <x:f>I137+J137+K137-M137-N137</x:f>
        <x:v>461.5717</x:v>
      </x:c>
      <x:c r="P137" s="82" t="n">
        <x:v>0.18</x:v>
      </x:c>
      <x:c r="Q137" s="79" t="n">
        <x:f>I137*P137</x:f>
        <x:v>78.2298</x:v>
      </x:c>
      <x:c r="R137" s="76" t="n">
        <x:v>0.43</x:v>
      </x:c>
      <x:c r="S137" s="79" t="n">
        <x:f>I137+J137-M137-Q137-R137</x:f>
        <x:v>352.9119</x:v>
      </x:c>
      <x:c r="T137" s="76" t="n">
        <x:v>1.2</x:v>
      </x:c>
      <x:c r="U137" s="79" t="n">
        <x:f>H137*T137</x:f>
        <x:v>12</x:v>
      </x:c>
      <x:c r="V137" s="82" t="n">
        <x:v>0.326</x:v>
      </x:c>
      <x:c r="W137" s="79" t="n">
        <x:f>I137*V137</x:f>
        <x:v>141.68286</x:v>
      </x:c>
      <x:c r="X137" s="79" t="n">
        <x:f>S137-U137-W137</x:f>
        <x:v>199.22904</x:v>
      </x:c>
      <x:c r="Y137" s="85" t="n">
        <x:f>IFERROR(X137/I137,0)</x:f>
        <x:v>0.4584087802857734</x:v>
      </x:c>
      <x:c r="Z137" s="67" t="str">
        <x:f>IF(X137&lt;0,"亏损",IF(Y137&lt;8%,"关注","正常"))</x:f>
        <x:v>正常</x:v>
      </x:c>
    </x:row>
    <x:row r="138">
      <x:c r="A138" s="67" t="str">
        <x:v>WMS-00134</x:v>
      </x:c>
      <x:c r="B138" s="73" t="n">
        <x:v>46212.5</x:v>
      </x:c>
      <x:c r="C138" s="73" t="n">
        <x:v>46214.5</x:v>
      </x:c>
      <x:c r="D138" s="67" t="str">
        <x:v>S07</x:v>
      </x:c>
      <x:c r="E138" s="67" t="str">
        <x:v>小和山店</x:v>
      </x:c>
      <x:c r="F138" s="67" t="str">
        <x:v>美团外卖</x:v>
      </x:c>
      <x:c r="G138" s="67" t="str">
        <x:v>会员券订单</x:v>
      </x:c>
      <x:c r="H138" s="70" t="n">
        <x:v>5</x:v>
      </x:c>
      <x:c r="I138" s="76" t="n">
        <x:v>221.26</x:v>
      </x:c>
      <x:c r="J138" s="76" t="n">
        <x:v>5</x:v>
      </x:c>
      <x:c r="K138" s="76" t="n">
        <x:v>15</x:v>
      </x:c>
      <x:c r="L138" s="82" t="n">
        <x:v>0.1</x:v>
      </x:c>
      <x:c r="M138" s="79" t="n">
        <x:f>I138*L138</x:f>
        <x:v>22.126</x:v>
      </x:c>
      <x:c r="N138" s="76" t="n">
        <x:v>6.64</x:v>
      </x:c>
      <x:c r="O138" s="79" t="n">
        <x:f>I138+J138+K138-M138-N138</x:f>
        <x:v>212.494</x:v>
      </x:c>
      <x:c r="P138" s="82" t="n">
        <x:v>0.18</x:v>
      </x:c>
      <x:c r="Q138" s="79" t="n">
        <x:f>I138*P138</x:f>
        <x:v>39.8268</x:v>
      </x:c>
      <x:c r="R138" s="76" t="n">
        <x:v>0.66</x:v>
      </x:c>
      <x:c r="S138" s="79" t="n">
        <x:f>I138+J138-M138-Q138-R138</x:f>
        <x:v>163.6472</x:v>
      </x:c>
      <x:c r="T138" s="76" t="n">
        <x:v>1.2</x:v>
      </x:c>
      <x:c r="U138" s="79" t="n">
        <x:f>H138*T138</x:f>
        <x:v>6</x:v>
      </x:c>
      <x:c r="V138" s="82" t="n">
        <x:v>0.336</x:v>
      </x:c>
      <x:c r="W138" s="79" t="n">
        <x:f>I138*V138</x:f>
        <x:v>74.34336</x:v>
      </x:c>
      <x:c r="X138" s="79" t="n">
        <x:f>S138-U138-W138</x:f>
        <x:v>83.30384</x:v>
      </x:c>
      <x:c r="Y138" s="85" t="n">
        <x:f>IFERROR(X138/I138,0)</x:f>
        <x:v>0.3764975142366447</x:v>
      </x:c>
      <x:c r="Z138" s="67" t="str">
        <x:f>IF(X138&lt;0,"亏损",IF(Y138&lt;8%,"关注","正常"))</x:f>
        <x:v>正常</x:v>
      </x:c>
    </x:row>
    <x:row r="139">
      <x:c r="A139" s="67" t="str">
        <x:v>WMS-00135</x:v>
      </x:c>
      <x:c r="B139" s="73" t="n">
        <x:v>46212.5</x:v>
      </x:c>
      <x:c r="C139" s="73" t="n">
        <x:v>46214.5</x:v>
      </x:c>
      <x:c r="D139" s="67" t="str">
        <x:v>S07</x:v>
      </x:c>
      <x:c r="E139" s="67" t="str">
        <x:v>小和山店</x:v>
      </x:c>
      <x:c r="F139" s="67" t="str">
        <x:v>美团外卖</x:v>
      </x:c>
      <x:c r="G139" s="67" t="str">
        <x:v>平台活动订单</x:v>
      </x:c>
      <x:c r="H139" s="70" t="n">
        <x:v>3</x:v>
      </x:c>
      <x:c r="I139" s="76" t="n">
        <x:v>134.33000000000004</x:v>
      </x:c>
      <x:c r="J139" s="76" t="n">
        <x:v>3</x:v>
      </x:c>
      <x:c r="K139" s="76" t="n">
        <x:v>9</x:v>
      </x:c>
      <x:c r="L139" s="82" t="n">
        <x:v>0.22</x:v>
      </x:c>
      <x:c r="M139" s="79" t="n">
        <x:f>I139*L139</x:f>
        <x:v>29.55260000000001</x:v>
      </x:c>
      <x:c r="N139" s="76" t="n">
        <x:v>10.75</x:v>
      </x:c>
      <x:c r="O139" s="79" t="n">
        <x:f>I139+J139+K139-M139-N139</x:f>
        <x:v>106.02740000000003</x:v>
      </x:c>
      <x:c r="P139" s="82" t="n">
        <x:v>0.18</x:v>
      </x:c>
      <x:c r="Q139" s="79" t="n">
        <x:f>I139*P139</x:f>
        <x:v>24.179400000000008</x:v>
      </x:c>
      <x:c r="R139" s="76" t="n">
        <x:v>0.81</x:v>
      </x:c>
      <x:c r="S139" s="79" t="n">
        <x:f>I139+J139-M139-Q139-R139</x:f>
        <x:v>82.78800000000001</x:v>
      </x:c>
      <x:c r="T139" s="76" t="n">
        <x:v>1.2</x:v>
      </x:c>
      <x:c r="U139" s="79" t="n">
        <x:f>H139*T139</x:f>
        <x:v>3.5999999999999996</x:v>
      </x:c>
      <x:c r="V139" s="82" t="n">
        <x:v>0.356</x:v>
      </x:c>
      <x:c r="W139" s="79" t="n">
        <x:f>I139*V139</x:f>
        <x:v>47.821480000000015</x:v>
      </x:c>
      <x:c r="X139" s="79" t="n">
        <x:f>S139-U139-W139</x:f>
        <x:v>31.36652</x:v>
      </x:c>
      <x:c r="Y139" s="85" t="n">
        <x:f>IFERROR(X139/I139,0)</x:f>
        <x:v>0.23350346162435787</x:v>
      </x:c>
      <x:c r="Z139" s="67" t="str">
        <x:f>IF(X139&lt;0,"亏损",IF(Y139&lt;8%,"关注","正常"))</x:f>
        <x:v>正常</x:v>
      </x:c>
    </x:row>
    <x:row r="140">
      <x:c r="A140" s="67" t="str">
        <x:v>WMS-00136</x:v>
      </x:c>
      <x:c r="B140" s="73" t="n">
        <x:v>46213.5</x:v>
      </x:c>
      <x:c r="C140" s="73" t="n">
        <x:v>46215.5</x:v>
      </x:c>
      <x:c r="D140" s="67" t="str">
        <x:v>S07</x:v>
      </x:c>
      <x:c r="E140" s="67" t="str">
        <x:v>小和山店</x:v>
      </x:c>
      <x:c r="F140" s="67" t="str">
        <x:v>美团外卖</x:v>
      </x:c>
      <x:c r="G140" s="67" t="str">
        <x:v>常规订单</x:v>
      </x:c>
      <x:c r="H140" s="70" t="n">
        <x:v>10</x:v>
      </x:c>
      <x:c r="I140" s="76" t="n">
        <x:v>447.21</x:v>
      </x:c>
      <x:c r="J140" s="76" t="n">
        <x:v>10</x:v>
      </x:c>
      <x:c r="K140" s="76" t="n">
        <x:v>30</x:v>
      </x:c>
      <x:c r="L140" s="82" t="n">
        <x:v>0.03</x:v>
      </x:c>
      <x:c r="M140" s="79" t="n">
        <x:f>I140*L140</x:f>
        <x:v>13.4163</x:v>
      </x:c>
      <x:c r="N140" s="76" t="n">
        <x:v>0</x:v>
      </x:c>
      <x:c r="O140" s="79" t="n">
        <x:f>I140+J140+K140-M140-N140</x:f>
        <x:v>473.7937</x:v>
      </x:c>
      <x:c r="P140" s="82" t="n">
        <x:v>0.18</x:v>
      </x:c>
      <x:c r="Q140" s="79" t="n">
        <x:f>I140*P140</x:f>
        <x:v>80.4978</x:v>
      </x:c>
      <x:c r="R140" s="76" t="n">
        <x:v>0.45</x:v>
      </x:c>
      <x:c r="S140" s="79" t="n">
        <x:f>I140+J140-M140-Q140-R140</x:f>
        <x:v>362.84590000000003</x:v>
      </x:c>
      <x:c r="T140" s="76" t="n">
        <x:v>1.2</x:v>
      </x:c>
      <x:c r="U140" s="79" t="n">
        <x:f>H140*T140</x:f>
        <x:v>12</x:v>
      </x:c>
      <x:c r="V140" s="82" t="n">
        <x:v>0.326</x:v>
      </x:c>
      <x:c r="W140" s="79" t="n">
        <x:f>I140*V140</x:f>
        <x:v>145.79046</x:v>
      </x:c>
      <x:c r="X140" s="79" t="n">
        <x:f>S140-U140-W140</x:f>
        <x:v>205.05544000000003</x:v>
      </x:c>
      <x:c r="Y140" s="85" t="n">
        <x:f>IFERROR(X140/I140,0)</x:f>
        <x:v>0.458521589409897</x:v>
      </x:c>
      <x:c r="Z140" s="67" t="str">
        <x:f>IF(X140&lt;0,"亏损",IF(Y140&lt;8%,"关注","正常"))</x:f>
        <x:v>正常</x:v>
      </x:c>
    </x:row>
    <x:row r="141">
      <x:c r="A141" s="67" t="str">
        <x:v>WMS-00137</x:v>
      </x:c>
      <x:c r="B141" s="73" t="n">
        <x:v>46213.5</x:v>
      </x:c>
      <x:c r="C141" s="73" t="n">
        <x:v>46215.5</x:v>
      </x:c>
      <x:c r="D141" s="67" t="str">
        <x:v>S07</x:v>
      </x:c>
      <x:c r="E141" s="67" t="str">
        <x:v>小和山店</x:v>
      </x:c>
      <x:c r="F141" s="67" t="str">
        <x:v>美团外卖</x:v>
      </x:c>
      <x:c r="G141" s="67" t="str">
        <x:v>会员券订单</x:v>
      </x:c>
      <x:c r="H141" s="70" t="n">
        <x:v>5</x:v>
      </x:c>
      <x:c r="I141" s="76" t="n">
        <x:v>227.67</x:v>
      </x:c>
      <x:c r="J141" s="76" t="n">
        <x:v>5</x:v>
      </x:c>
      <x:c r="K141" s="76" t="n">
        <x:v>15</x:v>
      </x:c>
      <x:c r="L141" s="82" t="n">
        <x:v>0.1</x:v>
      </x:c>
      <x:c r="M141" s="79" t="n">
        <x:f>I141*L141</x:f>
        <x:v>22.767</x:v>
      </x:c>
      <x:c r="N141" s="76" t="n">
        <x:v>6.83</x:v>
      </x:c>
      <x:c r="O141" s="79" t="n">
        <x:f>I141+J141+K141-M141-N141</x:f>
        <x:v>218.07299999999998</x:v>
      </x:c>
      <x:c r="P141" s="82" t="n">
        <x:v>0.18</x:v>
      </x:c>
      <x:c r="Q141" s="79" t="n">
        <x:f>I141*P141</x:f>
        <x:v>40.980599999999995</x:v>
      </x:c>
      <x:c r="R141" s="76" t="n">
        <x:v>0.68</x:v>
      </x:c>
      <x:c r="S141" s="79" t="n">
        <x:f>I141+J141-M141-Q141-R141</x:f>
        <x:v>168.24239999999998</x:v>
      </x:c>
      <x:c r="T141" s="76" t="n">
        <x:v>1.2</x:v>
      </x:c>
      <x:c r="U141" s="79" t="n">
        <x:f>H141*T141</x:f>
        <x:v>6</x:v>
      </x:c>
      <x:c r="V141" s="82" t="n">
        <x:v>0.336</x:v>
      </x:c>
      <x:c r="W141" s="79" t="n">
        <x:f>I141*V141</x:f>
        <x:v>76.49712</x:v>
      </x:c>
      <x:c r="X141" s="79" t="n">
        <x:f>S141-U141-W141</x:f>
        <x:v>85.74527999999998</x:v>
      </x:c>
      <x:c r="Y141" s="85" t="n">
        <x:f>IFERROR(X141/I141,0)</x:f>
        <x:v>0.3766208986691263</x:v>
      </x:c>
      <x:c r="Z141" s="67" t="str">
        <x:f>IF(X141&lt;0,"亏损",IF(Y141&lt;8%,"关注","正常"))</x:f>
        <x:v>正常</x:v>
      </x:c>
    </x:row>
    <x:row r="142">
      <x:c r="A142" s="67" t="str">
        <x:v>WMS-00138</x:v>
      </x:c>
      <x:c r="B142" s="73" t="n">
        <x:v>46213.5</x:v>
      </x:c>
      <x:c r="C142" s="73" t="n">
        <x:v>46215.5</x:v>
      </x:c>
      <x:c r="D142" s="67" t="str">
        <x:v>S07</x:v>
      </x:c>
      <x:c r="E142" s="67" t="str">
        <x:v>小和山店</x:v>
      </x:c>
      <x:c r="F142" s="67" t="str">
        <x:v>美团外卖</x:v>
      </x:c>
      <x:c r="G142" s="67" t="str">
        <x:v>平台活动订单</x:v>
      </x:c>
      <x:c r="H142" s="70" t="n">
        <x:v>3</x:v>
      </x:c>
      <x:c r="I142" s="76" t="n">
        <x:v>138.22000000000003</x:v>
      </x:c>
      <x:c r="J142" s="76" t="n">
        <x:v>3</x:v>
      </x:c>
      <x:c r="K142" s="76" t="n">
        <x:v>9</x:v>
      </x:c>
      <x:c r="L142" s="82" t="n">
        <x:v>0.22</x:v>
      </x:c>
      <x:c r="M142" s="79" t="n">
        <x:f>I142*L142</x:f>
        <x:v>30.408400000000007</x:v>
      </x:c>
      <x:c r="N142" s="76" t="n">
        <x:v>11.06</x:v>
      </x:c>
      <x:c r="O142" s="79" t="n">
        <x:f>I142+J142+K142-M142-N142</x:f>
        <x:v>108.75160000000002</x:v>
      </x:c>
      <x:c r="P142" s="82" t="n">
        <x:v>0.18</x:v>
      </x:c>
      <x:c r="Q142" s="79" t="n">
        <x:f>I142*P142</x:f>
        <x:v>24.879600000000003</x:v>
      </x:c>
      <x:c r="R142" s="76" t="n">
        <x:v>0.83</x:v>
      </x:c>
      <x:c r="S142" s="79" t="n">
        <x:f>I142+J142-M142-Q142-R142</x:f>
        <x:v>85.10200000000002</x:v>
      </x:c>
      <x:c r="T142" s="76" t="n">
        <x:v>1.2</x:v>
      </x:c>
      <x:c r="U142" s="79" t="n">
        <x:f>H142*T142</x:f>
        <x:v>3.5999999999999996</x:v>
      </x:c>
      <x:c r="V142" s="82" t="n">
        <x:v>0.356</x:v>
      </x:c>
      <x:c r="W142" s="79" t="n">
        <x:f>I142*V142</x:f>
        <x:v>49.206320000000005</x:v>
      </x:c>
      <x:c r="X142" s="79" t="n">
        <x:f>S142-U142-W142</x:f>
        <x:v>32.29568000000002</x:v>
      </x:c>
      <x:c r="Y142" s="85" t="n">
        <x:f>IFERROR(X142/I142,0)</x:f>
        <x:v>0.23365417450441334</x:v>
      </x:c>
      <x:c r="Z142" s="67" t="str">
        <x:f>IF(X142&lt;0,"亏损",IF(Y142&lt;8%,"关注","正常"))</x:f>
        <x:v>正常</x:v>
      </x:c>
    </x:row>
    <x:row r="143">
      <x:c r="A143" s="67" t="str">
        <x:v>WMS-00139</x:v>
      </x:c>
      <x:c r="B143" s="73" t="n">
        <x:v>46214.5</x:v>
      </x:c>
      <x:c r="C143" s="73" t="n">
        <x:v>46216.5</x:v>
      </x:c>
      <x:c r="D143" s="67" t="str">
        <x:v>S07</x:v>
      </x:c>
      <x:c r="E143" s="67" t="str">
        <x:v>小和山店</x:v>
      </x:c>
      <x:c r="F143" s="67" t="str">
        <x:v>美团外卖</x:v>
      </x:c>
      <x:c r="G143" s="67" t="str">
        <x:v>常规订单</x:v>
      </x:c>
      <x:c r="H143" s="70" t="n">
        <x:v>8</x:v>
      </x:c>
      <x:c r="I143" s="76" t="n">
        <x:v>345.07</x:v>
      </x:c>
      <x:c r="J143" s="76" t="n">
        <x:v>8</x:v>
      </x:c>
      <x:c r="K143" s="76" t="n">
        <x:v>24</x:v>
      </x:c>
      <x:c r="L143" s="82" t="n">
        <x:v>0.03</x:v>
      </x:c>
      <x:c r="M143" s="79" t="n">
        <x:f>I143*L143</x:f>
        <x:v>10.3521</x:v>
      </x:c>
      <x:c r="N143" s="76" t="n">
        <x:v>0</x:v>
      </x:c>
      <x:c r="O143" s="79" t="n">
        <x:f>I143+J143+K143-M143-N143</x:f>
        <x:v>366.7179</x:v>
      </x:c>
      <x:c r="P143" s="82" t="n">
        <x:v>0.18</x:v>
      </x:c>
      <x:c r="Q143" s="79" t="n">
        <x:f>I143*P143</x:f>
        <x:v>62.11259999999999</x:v>
      </x:c>
      <x:c r="R143" s="76" t="n">
        <x:v>0.35</x:v>
      </x:c>
      <x:c r="S143" s="79" t="n">
        <x:f>I143+J143-M143-Q143-R143</x:f>
        <x:v>280.2553</x:v>
      </x:c>
      <x:c r="T143" s="76" t="n">
        <x:v>1.2</x:v>
      </x:c>
      <x:c r="U143" s="79" t="n">
        <x:f>H143*T143</x:f>
        <x:v>9.6</x:v>
      </x:c>
      <x:c r="V143" s="82" t="n">
        <x:v>0.326</x:v>
      </x:c>
      <x:c r="W143" s="79" t="n">
        <x:f>I143*V143</x:f>
        <x:v>112.49282000000001</x:v>
      </x:c>
      <x:c r="X143" s="79" t="n">
        <x:f>S143-U143-W143</x:f>
        <x:v>158.16247999999996</x:v>
      </x:c>
      <x:c r="Y143" s="85" t="n">
        <x:f>IFERROR(X143/I143,0)</x:f>
        <x:v>0.4583489726722113</x:v>
      </x:c>
      <x:c r="Z143" s="67" t="str">
        <x:f>IF(X143&lt;0,"亏损",IF(Y143&lt;8%,"关注","正常"))</x:f>
        <x:v>正常</x:v>
      </x:c>
    </x:row>
    <x:row r="144">
      <x:c r="A144" s="67" t="str">
        <x:v>WMS-00140</x:v>
      </x:c>
      <x:c r="B144" s="73" t="n">
        <x:v>46214.5</x:v>
      </x:c>
      <x:c r="C144" s="73" t="n">
        <x:v>46216.5</x:v>
      </x:c>
      <x:c r="D144" s="67" t="str">
        <x:v>S07</x:v>
      </x:c>
      <x:c r="E144" s="67" t="str">
        <x:v>小和山店</x:v>
      </x:c>
      <x:c r="F144" s="67" t="str">
        <x:v>美团外卖</x:v>
      </x:c>
      <x:c r="G144" s="67" t="str">
        <x:v>会员券订单</x:v>
      </x:c>
      <x:c r="H144" s="70" t="n">
        <x:v>4</x:v>
      </x:c>
      <x:c r="I144" s="76" t="n">
        <x:v>175.67</x:v>
      </x:c>
      <x:c r="J144" s="76" t="n">
        <x:v>4</x:v>
      </x:c>
      <x:c r="K144" s="76" t="n">
        <x:v>12</x:v>
      </x:c>
      <x:c r="L144" s="82" t="n">
        <x:v>0.1</x:v>
      </x:c>
      <x:c r="M144" s="79" t="n">
        <x:f>I144*L144</x:f>
        <x:v>17.567</x:v>
      </x:c>
      <x:c r="N144" s="76" t="n">
        <x:v>5.27</x:v>
      </x:c>
      <x:c r="O144" s="79" t="n">
        <x:f>I144+J144+K144-M144-N144</x:f>
        <x:v>168.83299999999997</x:v>
      </x:c>
      <x:c r="P144" s="82" t="n">
        <x:v>0.18</x:v>
      </x:c>
      <x:c r="Q144" s="79" t="n">
        <x:f>I144*P144</x:f>
        <x:v>31.620599999999996</x:v>
      </x:c>
      <x:c r="R144" s="76" t="n">
        <x:v>0.53</x:v>
      </x:c>
      <x:c r="S144" s="79" t="n">
        <x:f>I144+J144-M144-Q144-R144</x:f>
        <x:v>129.95239999999998</x:v>
      </x:c>
      <x:c r="T144" s="76" t="n">
        <x:v>1.2</x:v>
      </x:c>
      <x:c r="U144" s="79" t="n">
        <x:f>H144*T144</x:f>
        <x:v>4.8</x:v>
      </x:c>
      <x:c r="V144" s="82" t="n">
        <x:v>0.336</x:v>
      </x:c>
      <x:c r="W144" s="79" t="n">
        <x:f>I144*V144</x:f>
        <x:v>59.02512</x:v>
      </x:c>
      <x:c r="X144" s="79" t="n">
        <x:f>S144-U144-W144</x:f>
        <x:v>66.12727999999998</x:v>
      </x:c>
      <x:c r="Y144" s="85" t="n">
        <x:f>IFERROR(X144/I144,0)</x:f>
        <x:v>0.37642898616724535</x:v>
      </x:c>
      <x:c r="Z144" s="67" t="str">
        <x:f>IF(X144&lt;0,"亏损",IF(Y144&lt;8%,"关注","正常"))</x:f>
        <x:v>正常</x:v>
      </x:c>
    </x:row>
    <x:row r="145">
      <x:c r="A145" s="67" t="str">
        <x:v>WMS-00141</x:v>
      </x:c>
      <x:c r="B145" s="73" t="n">
        <x:v>46214.5</x:v>
      </x:c>
      <x:c r="C145" s="73" t="n">
        <x:v>46216.5</x:v>
      </x:c>
      <x:c r="D145" s="67" t="str">
        <x:v>S07</x:v>
      </x:c>
      <x:c r="E145" s="67" t="str">
        <x:v>小和山店</x:v>
      </x:c>
      <x:c r="F145" s="67" t="str">
        <x:v>美团外卖</x:v>
      </x:c>
      <x:c r="G145" s="67" t="str">
        <x:v>平台活动订单</x:v>
      </x:c>
      <x:c r="H145" s="70" t="n">
        <x:v>2</x:v>
      </x:c>
      <x:c r="I145" s="76" t="n">
        <x:v>106.65999999999997</x:v>
      </x:c>
      <x:c r="J145" s="76" t="n">
        <x:v>2</x:v>
      </x:c>
      <x:c r="K145" s="76" t="n">
        <x:v>6</x:v>
      </x:c>
      <x:c r="L145" s="82" t="n">
        <x:v>0.22</x:v>
      </x:c>
      <x:c r="M145" s="79" t="n">
        <x:f>I145*L145</x:f>
        <x:v>23.465199999999992</x:v>
      </x:c>
      <x:c r="N145" s="76" t="n">
        <x:v>8.53</x:v>
      </x:c>
      <x:c r="O145" s="79" t="n">
        <x:f>I145+J145+K145-M145-N145</x:f>
        <x:v>82.66479999999997</x:v>
      </x:c>
      <x:c r="P145" s="82" t="n">
        <x:v>0.18</x:v>
      </x:c>
      <x:c r="Q145" s="79" t="n">
        <x:f>I145*P145</x:f>
        <x:v>19.198799999999995</x:v>
      </x:c>
      <x:c r="R145" s="76" t="n">
        <x:v>0.64</x:v>
      </x:c>
      <x:c r="S145" s="79" t="n">
        <x:f>I145+J145-M145-Q145-R145</x:f>
        <x:v>65.35599999999998</x:v>
      </x:c>
      <x:c r="T145" s="76" t="n">
        <x:v>1.2</x:v>
      </x:c>
      <x:c r="U145" s="79" t="n">
        <x:f>H145*T145</x:f>
        <x:v>2.4</x:v>
      </x:c>
      <x:c r="V145" s="82" t="n">
        <x:v>0.356</x:v>
      </x:c>
      <x:c r="W145" s="79" t="n">
        <x:f>I145*V145</x:f>
        <x:v>37.970959999999984</x:v>
      </x:c>
      <x:c r="X145" s="79" t="n">
        <x:f>S145-U145-W145</x:f>
        <x:v>24.985039999999998</x:v>
      </x:c>
      <x:c r="Y145" s="85" t="n">
        <x:f>IFERROR(X145/I145,0)</x:f>
        <x:v>0.23424939058691174</x:v>
      </x:c>
      <x:c r="Z145" s="67" t="str">
        <x:f>IF(X145&lt;0,"亏损",IF(Y145&lt;8%,"关注","正常"))</x:f>
        <x:v>正常</x:v>
      </x:c>
    </x:row>
    <x:row r="146">
      <x:c r="A146" s="67" t="str">
        <x:v>WMS-00142</x:v>
      </x:c>
      <x:c r="B146" s="73" t="n">
        <x:v>46215.5</x:v>
      </x:c>
      <x:c r="C146" s="73" t="n">
        <x:v>46217.5</x:v>
      </x:c>
      <x:c r="D146" s="67" t="str">
        <x:v>S07</x:v>
      </x:c>
      <x:c r="E146" s="67" t="str">
        <x:v>小和山店</x:v>
      </x:c>
      <x:c r="F146" s="67" t="str">
        <x:v>美团外卖</x:v>
      </x:c>
      <x:c r="G146" s="67" t="str">
        <x:v>常规订单</x:v>
      </x:c>
      <x:c r="H146" s="70" t="n">
        <x:v>8</x:v>
      </x:c>
      <x:c r="I146" s="76" t="n">
        <x:v>335.17</x:v>
      </x:c>
      <x:c r="J146" s="76" t="n">
        <x:v>8</x:v>
      </x:c>
      <x:c r="K146" s="76" t="n">
        <x:v>24</x:v>
      </x:c>
      <x:c r="L146" s="82" t="n">
        <x:v>0.03</x:v>
      </x:c>
      <x:c r="M146" s="79" t="n">
        <x:f>I146*L146</x:f>
        <x:v>10.0551</x:v>
      </x:c>
      <x:c r="N146" s="76" t="n">
        <x:v>0</x:v>
      </x:c>
      <x:c r="O146" s="79" t="n">
        <x:f>I146+J146+K146-M146-N146</x:f>
        <x:v>357.11490000000003</x:v>
      </x:c>
      <x:c r="P146" s="82" t="n">
        <x:v>0.18</x:v>
      </x:c>
      <x:c r="Q146" s="79" t="n">
        <x:f>I146*P146</x:f>
        <x:v>60.330600000000004</x:v>
      </x:c>
      <x:c r="R146" s="76" t="n">
        <x:v>0.34</x:v>
      </x:c>
      <x:c r="S146" s="79" t="n">
        <x:f>I146+J146-M146-Q146-R146</x:f>
        <x:v>272.44430000000006</x:v>
      </x:c>
      <x:c r="T146" s="76" t="n">
        <x:v>1.2</x:v>
      </x:c>
      <x:c r="U146" s="79" t="n">
        <x:f>H146*T146</x:f>
        <x:v>9.6</x:v>
      </x:c>
      <x:c r="V146" s="82" t="n">
        <x:v>0.326</x:v>
      </x:c>
      <x:c r="W146" s="79" t="n">
        <x:f>I146*V146</x:f>
        <x:v>109.26542</x:v>
      </x:c>
      <x:c r="X146" s="79" t="n">
        <x:f>S146-U146-W146</x:f>
        <x:v>153.57888000000003</x:v>
      </x:c>
      <x:c r="Y146" s="85" t="n">
        <x:f>IFERROR(X146/I146,0)</x:f>
        <x:v>0.45821189247247673</x:v>
      </x:c>
      <x:c r="Z146" s="67" t="str">
        <x:f>IF(X146&lt;0,"亏损",IF(Y146&lt;8%,"关注","正常"))</x:f>
        <x:v>正常</x:v>
      </x:c>
    </x:row>
    <x:row r="147">
      <x:c r="A147" s="67" t="str">
        <x:v>WMS-00143</x:v>
      </x:c>
      <x:c r="B147" s="73" t="n">
        <x:v>46215.5</x:v>
      </x:c>
      <x:c r="C147" s="73" t="n">
        <x:v>46217.5</x:v>
      </x:c>
      <x:c r="D147" s="67" t="str">
        <x:v>S07</x:v>
      </x:c>
      <x:c r="E147" s="67" t="str">
        <x:v>小和山店</x:v>
      </x:c>
      <x:c r="F147" s="67" t="str">
        <x:v>美团外卖</x:v>
      </x:c>
      <x:c r="G147" s="67" t="str">
        <x:v>会员券订单</x:v>
      </x:c>
      <x:c r="H147" s="70" t="n">
        <x:v>4</x:v>
      </x:c>
      <x:c r="I147" s="76" t="n">
        <x:v>170.63</x:v>
      </x:c>
      <x:c r="J147" s="76" t="n">
        <x:v>4</x:v>
      </x:c>
      <x:c r="K147" s="76" t="n">
        <x:v>12</x:v>
      </x:c>
      <x:c r="L147" s="82" t="n">
        <x:v>0.1</x:v>
      </x:c>
      <x:c r="M147" s="79" t="n">
        <x:f>I147*L147</x:f>
        <x:v>17.063</x:v>
      </x:c>
      <x:c r="N147" s="76" t="n">
        <x:v>5.12</x:v>
      </x:c>
      <x:c r="O147" s="79" t="n">
        <x:f>I147+J147+K147-M147-N147</x:f>
        <x:v>164.447</x:v>
      </x:c>
      <x:c r="P147" s="82" t="n">
        <x:v>0.18</x:v>
      </x:c>
      <x:c r="Q147" s="79" t="n">
        <x:f>I147*P147</x:f>
        <x:v>30.713399999999996</x:v>
      </x:c>
      <x:c r="R147" s="76" t="n">
        <x:v>0.51</x:v>
      </x:c>
      <x:c r="S147" s="79" t="n">
        <x:f>I147+J147-M147-Q147-R147</x:f>
        <x:v>126.34360000000001</x:v>
      </x:c>
      <x:c r="T147" s="76" t="n">
        <x:v>1.2</x:v>
      </x:c>
      <x:c r="U147" s="79" t="n">
        <x:f>H147*T147</x:f>
        <x:v>4.8</x:v>
      </x:c>
      <x:c r="V147" s="82" t="n">
        <x:v>0.336</x:v>
      </x:c>
      <x:c r="W147" s="79" t="n">
        <x:f>I147*V147</x:f>
        <x:v>57.33168</x:v>
      </x:c>
      <x:c r="X147" s="79" t="n">
        <x:f>S147-U147-W147</x:f>
        <x:v>64.21192000000002</x:v>
      </x:c>
      <x:c r="Y147" s="85" t="n">
        <x:f>IFERROR(X147/I147,0)</x:f>
        <x:v>0.3763225693019986</x:v>
      </x:c>
      <x:c r="Z147" s="67" t="str">
        <x:f>IF(X147&lt;0,"亏损",IF(Y147&lt;8%,"关注","正常"))</x:f>
        <x:v>正常</x:v>
      </x:c>
    </x:row>
    <x:row r="148">
      <x:c r="A148" s="67" t="str">
        <x:v>WMS-00144</x:v>
      </x:c>
      <x:c r="B148" s="73" t="n">
        <x:v>46215.5</x:v>
      </x:c>
      <x:c r="C148" s="73" t="n">
        <x:v>46217.5</x:v>
      </x:c>
      <x:c r="D148" s="67" t="str">
        <x:v>S07</x:v>
      </x:c>
      <x:c r="E148" s="67" t="str">
        <x:v>小和山店</x:v>
      </x:c>
      <x:c r="F148" s="67" t="str">
        <x:v>美团外卖</x:v>
      </x:c>
      <x:c r="G148" s="67" t="str">
        <x:v>平台活动订单</x:v>
      </x:c>
      <x:c r="H148" s="70" t="n">
        <x:v>2</x:v>
      </x:c>
      <x:c r="I148" s="76" t="n">
        <x:v>103.59999999999997</x:v>
      </x:c>
      <x:c r="J148" s="76" t="n">
        <x:v>2</x:v>
      </x:c>
      <x:c r="K148" s="76" t="n">
        <x:v>6</x:v>
      </x:c>
      <x:c r="L148" s="82" t="n">
        <x:v>0.22</x:v>
      </x:c>
      <x:c r="M148" s="79" t="n">
        <x:f>I148*L148</x:f>
        <x:v>22.79199999999999</x:v>
      </x:c>
      <x:c r="N148" s="76" t="n">
        <x:v>8.29</x:v>
      </x:c>
      <x:c r="O148" s="79" t="n">
        <x:f>I148+J148+K148-M148-N148</x:f>
        <x:v>80.51799999999997</x:v>
      </x:c>
      <x:c r="P148" s="82" t="n">
        <x:v>0.18</x:v>
      </x:c>
      <x:c r="Q148" s="79" t="n">
        <x:f>I148*P148</x:f>
        <x:v>18.647999999999993</x:v>
      </x:c>
      <x:c r="R148" s="76" t="n">
        <x:v>0.62</x:v>
      </x:c>
      <x:c r="S148" s="79" t="n">
        <x:f>I148+J148-M148-Q148-R148</x:f>
        <x:v>63.539999999999985</x:v>
      </x:c>
      <x:c r="T148" s="76" t="n">
        <x:v>1.2</x:v>
      </x:c>
      <x:c r="U148" s="79" t="n">
        <x:f>H148*T148</x:f>
        <x:v>2.4</x:v>
      </x:c>
      <x:c r="V148" s="82" t="n">
        <x:v>0.356</x:v>
      </x:c>
      <x:c r="W148" s="79" t="n">
        <x:f>I148*V148</x:f>
        <x:v>36.881599999999985</x:v>
      </x:c>
      <x:c r="X148" s="79" t="n">
        <x:f>S148-U148-W148</x:f>
        <x:v>24.2584</x:v>
      </x:c>
      <x:c r="Y148" s="85" t="n">
        <x:f>IFERROR(X148/I148,0)</x:f>
        <x:v>0.23415444015444026</x:v>
      </x:c>
      <x:c r="Z148" s="67" t="str">
        <x:f>IF(X148&lt;0,"亏损",IF(Y148&lt;8%,"关注","正常"))</x:f>
        <x:v>正常</x:v>
      </x:c>
    </x:row>
    <x:row r="149">
      <x:c r="A149" s="67" t="str">
        <x:v>WMS-00145</x:v>
      </x:c>
      <x:c r="B149" s="73" t="n">
        <x:v>46216.5</x:v>
      </x:c>
      <x:c r="C149" s="73" t="n">
        <x:v>46218.5</x:v>
      </x:c>
      <x:c r="D149" s="67" t="str">
        <x:v>S07</x:v>
      </x:c>
      <x:c r="E149" s="67" t="str">
        <x:v>小和山店</x:v>
      </x:c>
      <x:c r="F149" s="67" t="str">
        <x:v>美团外卖</x:v>
      </x:c>
      <x:c r="G149" s="67" t="str">
        <x:v>常规订单</x:v>
      </x:c>
      <x:c r="H149" s="70" t="n">
        <x:v>11</x:v>
      </x:c>
      <x:c r="I149" s="76" t="n">
        <x:v>484.06</x:v>
      </x:c>
      <x:c r="J149" s="76" t="n">
        <x:v>11</x:v>
      </x:c>
      <x:c r="K149" s="76" t="n">
        <x:v>33</x:v>
      </x:c>
      <x:c r="L149" s="82" t="n">
        <x:v>0.03</x:v>
      </x:c>
      <x:c r="M149" s="79" t="n">
        <x:f>I149*L149</x:f>
        <x:v>14.521799999999999</x:v>
      </x:c>
      <x:c r="N149" s="76" t="n">
        <x:v>0</x:v>
      </x:c>
      <x:c r="O149" s="79" t="n">
        <x:f>I149+J149+K149-M149-N149</x:f>
        <x:v>513.5382</x:v>
      </x:c>
      <x:c r="P149" s="82" t="n">
        <x:v>0.18</x:v>
      </x:c>
      <x:c r="Q149" s="79" t="n">
        <x:f>I149*P149</x:f>
        <x:v>87.1308</x:v>
      </x:c>
      <x:c r="R149" s="76" t="n">
        <x:v>0.48</x:v>
      </x:c>
      <x:c r="S149" s="79" t="n">
        <x:f>I149+J149-M149-Q149-R149</x:f>
        <x:v>392.92740000000003</x:v>
      </x:c>
      <x:c r="T149" s="76" t="n">
        <x:v>1.2</x:v>
      </x:c>
      <x:c r="U149" s="79" t="n">
        <x:f>H149*T149</x:f>
        <x:v>13.2</x:v>
      </x:c>
      <x:c r="V149" s="82" t="n">
        <x:v>0.326</x:v>
      </x:c>
      <x:c r="W149" s="79" t="n">
        <x:f>I149*V149</x:f>
        <x:v>157.80356</x:v>
      </x:c>
      <x:c r="X149" s="79" t="n">
        <x:f>S149-U149-W149</x:f>
        <x:v>221.92384000000004</x:v>
      </x:c>
      <x:c r="Y149" s="85" t="n">
        <x:f>IFERROR(X149/I149,0)</x:f>
        <x:v>0.4584634962607942</x:v>
      </x:c>
      <x:c r="Z149" s="67" t="str">
        <x:f>IF(X149&lt;0,"亏损",IF(Y149&lt;8%,"关注","正常"))</x:f>
        <x:v>正常</x:v>
      </x:c>
    </x:row>
    <x:row r="150">
      <x:c r="A150" s="67" t="str">
        <x:v>WMS-00146</x:v>
      </x:c>
      <x:c r="B150" s="73" t="n">
        <x:v>46216.5</x:v>
      </x:c>
      <x:c r="C150" s="73" t="n">
        <x:v>46218.5</x:v>
      </x:c>
      <x:c r="D150" s="67" t="str">
        <x:v>S07</x:v>
      </x:c>
      <x:c r="E150" s="67" t="str">
        <x:v>小和山店</x:v>
      </x:c>
      <x:c r="F150" s="67" t="str">
        <x:v>美团外卖</x:v>
      </x:c>
      <x:c r="G150" s="67" t="str">
        <x:v>会员券订单</x:v>
      </x:c>
      <x:c r="H150" s="70" t="n">
        <x:v>6</x:v>
      </x:c>
      <x:c r="I150" s="76" t="n">
        <x:v>246.43</x:v>
      </x:c>
      <x:c r="J150" s="76" t="n">
        <x:v>6</x:v>
      </x:c>
      <x:c r="K150" s="76" t="n">
        <x:v>18</x:v>
      </x:c>
      <x:c r="L150" s="82" t="n">
        <x:v>0.1</x:v>
      </x:c>
      <x:c r="M150" s="79" t="n">
        <x:f>I150*L150</x:f>
        <x:v>24.643</x:v>
      </x:c>
      <x:c r="N150" s="76" t="n">
        <x:v>7.39</x:v>
      </x:c>
      <x:c r="O150" s="79" t="n">
        <x:f>I150+J150+K150-M150-N150</x:f>
        <x:v>238.39700000000002</x:v>
      </x:c>
      <x:c r="P150" s="82" t="n">
        <x:v>0.18</x:v>
      </x:c>
      <x:c r="Q150" s="79" t="n">
        <x:f>I150*P150</x:f>
        <x:v>44.3574</x:v>
      </x:c>
      <x:c r="R150" s="76" t="n">
        <x:v>0.74</x:v>
      </x:c>
      <x:c r="S150" s="79" t="n">
        <x:f>I150+J150-M150-Q150-R150</x:f>
        <x:v>182.68959999999998</x:v>
      </x:c>
      <x:c r="T150" s="76" t="n">
        <x:v>1.2</x:v>
      </x:c>
      <x:c r="U150" s="79" t="n">
        <x:f>H150*T150</x:f>
        <x:v>7.199999999999999</x:v>
      </x:c>
      <x:c r="V150" s="82" t="n">
        <x:v>0.336</x:v>
      </x:c>
      <x:c r="W150" s="79" t="n">
        <x:f>I150*V150</x:f>
        <x:v>82.80048000000001</x:v>
      </x:c>
      <x:c r="X150" s="79" t="n">
        <x:f>S150-U150-W150</x:f>
        <x:v>92.68911999999999</x:v>
      </x:c>
      <x:c r="Y150" s="85" t="n">
        <x:f>IFERROR(X150/I150,0)</x:f>
        <x:v>0.37612758186909057</x:v>
      </x:c>
      <x:c r="Z150" s="67" t="str">
        <x:f>IF(X150&lt;0,"亏损",IF(Y150&lt;8%,"关注","正常"))</x:f>
        <x:v>正常</x:v>
      </x:c>
    </x:row>
    <x:row r="151">
      <x:c r="A151" s="67" t="str">
        <x:v>WMS-00147</x:v>
      </x:c>
      <x:c r="B151" s="73" t="n">
        <x:v>46216.5</x:v>
      </x:c>
      <x:c r="C151" s="73" t="n">
        <x:v>46218.5</x:v>
      </x:c>
      <x:c r="D151" s="67" t="str">
        <x:v>S07</x:v>
      </x:c>
      <x:c r="E151" s="67" t="str">
        <x:v>小和山店</x:v>
      </x:c>
      <x:c r="F151" s="67" t="str">
        <x:v>美团外卖</x:v>
      </x:c>
      <x:c r="G151" s="67" t="str">
        <x:v>平台活动订单</x:v>
      </x:c>
      <x:c r="H151" s="70" t="n">
        <x:v>3</x:v>
      </x:c>
      <x:c r="I151" s="76" t="n">
        <x:v>149.61</x:v>
      </x:c>
      <x:c r="J151" s="76" t="n">
        <x:v>3</x:v>
      </x:c>
      <x:c r="K151" s="76" t="n">
        <x:v>9</x:v>
      </x:c>
      <x:c r="L151" s="82" t="n">
        <x:v>0.22</x:v>
      </x:c>
      <x:c r="M151" s="79" t="n">
        <x:f>I151*L151</x:f>
        <x:v>32.9142</x:v>
      </x:c>
      <x:c r="N151" s="76" t="n">
        <x:v>11.97</x:v>
      </x:c>
      <x:c r="O151" s="79" t="n">
        <x:f>I151+J151+K151-M151-N151</x:f>
        <x:v>116.72580000000002</x:v>
      </x:c>
      <x:c r="P151" s="82" t="n">
        <x:v>0.18</x:v>
      </x:c>
      <x:c r="Q151" s="79" t="n">
        <x:f>I151*P151</x:f>
        <x:v>26.9298</x:v>
      </x:c>
      <x:c r="R151" s="76" t="n">
        <x:v>0.9</x:v>
      </x:c>
      <x:c r="S151" s="79" t="n">
        <x:f>I151+J151-M151-Q151-R151</x:f>
        <x:v>91.86600000000001</x:v>
      </x:c>
      <x:c r="T151" s="76" t="n">
        <x:v>1.2</x:v>
      </x:c>
      <x:c r="U151" s="79" t="n">
        <x:f>H151*T151</x:f>
        <x:v>3.5999999999999996</x:v>
      </x:c>
      <x:c r="V151" s="82" t="n">
        <x:v>0.356</x:v>
      </x:c>
      <x:c r="W151" s="79" t="n">
        <x:f>I151*V151</x:f>
        <x:v>53.261160000000004</x:v>
      </x:c>
      <x:c r="X151" s="79" t="n">
        <x:f>S151-U151-W151</x:f>
        <x:v>35.004840000000016</x:v>
      </x:c>
      <x:c r="Y151" s="85" t="n">
        <x:f>IFERROR(X151/I151,0)</x:f>
        <x:v>0.2339739322237819</x:v>
      </x:c>
      <x:c r="Z151" s="67" t="str">
        <x:f>IF(X151&lt;0,"亏损",IF(Y151&lt;8%,"关注","正常"))</x:f>
        <x:v>正常</x:v>
      </x:c>
    </x:row>
    <x:row r="152">
      <x:c r="A152" s="67" t="str">
        <x:v>WMS-00148</x:v>
      </x:c>
      <x:c r="B152" s="73" t="n">
        <x:v>46210.5</x:v>
      </x:c>
      <x:c r="C152" s="73" t="n">
        <x:v>46212.5</x:v>
      </x:c>
      <x:c r="D152" s="67" t="str">
        <x:v>S08</x:v>
      </x:c>
      <x:c r="E152" s="67" t="str">
        <x:v>四季青店</x:v>
      </x:c>
      <x:c r="F152" s="67" t="str">
        <x:v>美团外卖</x:v>
      </x:c>
      <x:c r="G152" s="67" t="str">
        <x:v>常规订单</x:v>
      </x:c>
      <x:c r="H152" s="70" t="n">
        <x:v>9</x:v>
      </x:c>
      <x:c r="I152" s="76" t="n">
        <x:v>414.81</x:v>
      </x:c>
      <x:c r="J152" s="76" t="n">
        <x:v>9</x:v>
      </x:c>
      <x:c r="K152" s="76" t="n">
        <x:v>27</x:v>
      </x:c>
      <x:c r="L152" s="82" t="n">
        <x:v>0.03</x:v>
      </x:c>
      <x:c r="M152" s="79" t="n">
        <x:f>I152*L152</x:f>
        <x:v>12.4443</x:v>
      </x:c>
      <x:c r="N152" s="76" t="n">
        <x:v>0</x:v>
      </x:c>
      <x:c r="O152" s="79" t="n">
        <x:f>I152+J152+K152-M152-N152</x:f>
        <x:v>438.3657</x:v>
      </x:c>
      <x:c r="P152" s="82" t="n">
        <x:v>0.18</x:v>
      </x:c>
      <x:c r="Q152" s="79" t="n">
        <x:f>I152*P152</x:f>
        <x:v>74.6658</x:v>
      </x:c>
      <x:c r="R152" s="76" t="n">
        <x:v>0.41</x:v>
      </x:c>
      <x:c r="S152" s="79" t="n">
        <x:f>I152+J152-M152-Q152-R152</x:f>
        <x:v>336.2899</x:v>
      </x:c>
      <x:c r="T152" s="76" t="n">
        <x:v>1.2</x:v>
      </x:c>
      <x:c r="U152" s="79" t="n">
        <x:f>H152*T152</x:f>
        <x:v>10.799999999999999</x:v>
      </x:c>
      <x:c r="V152" s="82" t="n">
        <x:v>0.327</x:v>
      </x:c>
      <x:c r="W152" s="79" t="n">
        <x:f>I152*V152</x:f>
        <x:v>135.64287000000002</x:v>
      </x:c>
      <x:c r="X152" s="79" t="n">
        <x:f>S152-U152-W152</x:f>
        <x:v>189.84702999999996</x:v>
      </x:c>
      <x:c r="Y152" s="85" t="n">
        <x:f>IFERROR(X152/I152,0)</x:f>
        <x:v>0.45767225958872726</x:v>
      </x:c>
      <x:c r="Z152" s="67" t="str">
        <x:f>IF(X152&lt;0,"亏损",IF(Y152&lt;8%,"关注","正常"))</x:f>
        <x:v>正常</x:v>
      </x:c>
    </x:row>
    <x:row r="153">
      <x:c r="A153" s="67" t="str">
        <x:v>WMS-00149</x:v>
      </x:c>
      <x:c r="B153" s="73" t="n">
        <x:v>46210.5</x:v>
      </x:c>
      <x:c r="C153" s="73" t="n">
        <x:v>46212.5</x:v>
      </x:c>
      <x:c r="D153" s="67" t="str">
        <x:v>S08</x:v>
      </x:c>
      <x:c r="E153" s="67" t="str">
        <x:v>四季青店</x:v>
      </x:c>
      <x:c r="F153" s="67" t="str">
        <x:v>饿了么</x:v>
      </x:c>
      <x:c r="G153" s="67" t="str">
        <x:v>会员券订单</x:v>
      </x:c>
      <x:c r="H153" s="70" t="n">
        <x:v>5</x:v>
      </x:c>
      <x:c r="I153" s="76" t="n">
        <x:v>211.18</x:v>
      </x:c>
      <x:c r="J153" s="76" t="n">
        <x:v>5</x:v>
      </x:c>
      <x:c r="K153" s="76" t="n">
        <x:v>15</x:v>
      </x:c>
      <x:c r="L153" s="82" t="n">
        <x:v>0.1</x:v>
      </x:c>
      <x:c r="M153" s="79" t="n">
        <x:f>I153*L153</x:f>
        <x:v>21.118000000000002</x:v>
      </x:c>
      <x:c r="N153" s="76" t="n">
        <x:v>6.34</x:v>
      </x:c>
      <x:c r="O153" s="79" t="n">
        <x:f>I153+J153+K153-M153-N153</x:f>
        <x:v>203.722</x:v>
      </x:c>
      <x:c r="P153" s="82" t="n">
        <x:v>0.18</x:v>
      </x:c>
      <x:c r="Q153" s="79" t="n">
        <x:f>I153*P153</x:f>
        <x:v>38.0124</x:v>
      </x:c>
      <x:c r="R153" s="76" t="n">
        <x:v>0.63</x:v>
      </x:c>
      <x:c r="S153" s="79" t="n">
        <x:f>I153+J153-M153-Q153-R153</x:f>
        <x:v>156.4196</x:v>
      </x:c>
      <x:c r="T153" s="76" t="n">
        <x:v>1.2</x:v>
      </x:c>
      <x:c r="U153" s="79" t="n">
        <x:f>H153*T153</x:f>
        <x:v>6</x:v>
      </x:c>
      <x:c r="V153" s="82" t="n">
        <x:v>0.337</x:v>
      </x:c>
      <x:c r="W153" s="79" t="n">
        <x:f>I153*V153</x:f>
        <x:v>71.16766000000001</x:v>
      </x:c>
      <x:c r="X153" s="79" t="n">
        <x:f>S153-U153-W153</x:f>
        <x:v>79.25193999999999</x:v>
      </x:c>
      <x:c r="Y153" s="85" t="n">
        <x:f>IFERROR(X153/I153,0)</x:f>
        <x:v>0.3752814660479212</x:v>
      </x:c>
      <x:c r="Z153" s="67" t="str">
        <x:f>IF(X153&lt;0,"亏损",IF(Y153&lt;8%,"关注","正常"))</x:f>
        <x:v>正常</x:v>
      </x:c>
    </x:row>
    <x:row r="154">
      <x:c r="A154" s="67" t="str">
        <x:v>WMS-00150</x:v>
      </x:c>
      <x:c r="B154" s="73" t="n">
        <x:v>46210.5</x:v>
      </x:c>
      <x:c r="C154" s="73" t="n">
        <x:v>46212.5</x:v>
      </x:c>
      <x:c r="D154" s="67" t="str">
        <x:v>S08</x:v>
      </x:c>
      <x:c r="E154" s="67" t="str">
        <x:v>四季青店</x:v>
      </x:c>
      <x:c r="F154" s="67" t="str">
        <x:v>饿了么</x:v>
      </x:c>
      <x:c r="G154" s="67" t="str">
        <x:v>平台活动订单</x:v>
      </x:c>
      <x:c r="H154" s="70" t="n">
        <x:v>3</x:v>
      </x:c>
      <x:c r="I154" s="76" t="n">
        <x:v>128.21000000000004</x:v>
      </x:c>
      <x:c r="J154" s="76" t="n">
        <x:v>3</x:v>
      </x:c>
      <x:c r="K154" s="76" t="n">
        <x:v>9</x:v>
      </x:c>
      <x:c r="L154" s="82" t="n">
        <x:v>0.22</x:v>
      </x:c>
      <x:c r="M154" s="79" t="n">
        <x:f>I154*L154</x:f>
        <x:v>28.20620000000001</x:v>
      </x:c>
      <x:c r="N154" s="76" t="n">
        <x:v>10.26</x:v>
      </x:c>
      <x:c r="O154" s="79" t="n">
        <x:f>I154+J154+K154-M154-N154</x:f>
        <x:v>101.74380000000002</x:v>
      </x:c>
      <x:c r="P154" s="82" t="n">
        <x:v>0.18</x:v>
      </x:c>
      <x:c r="Q154" s="79" t="n">
        <x:f>I154*P154</x:f>
        <x:v>23.077800000000007</x:v>
      </x:c>
      <x:c r="R154" s="76" t="n">
        <x:v>0.77</x:v>
      </x:c>
      <x:c r="S154" s="79" t="n">
        <x:f>I154+J154-M154-Q154-R154</x:f>
        <x:v>79.15600000000002</x:v>
      </x:c>
      <x:c r="T154" s="76" t="n">
        <x:v>1.2</x:v>
      </x:c>
      <x:c r="U154" s="79" t="n">
        <x:f>H154*T154</x:f>
        <x:v>3.5999999999999996</x:v>
      </x:c>
      <x:c r="V154" s="82" t="n">
        <x:v>0.357</x:v>
      </x:c>
      <x:c r="W154" s="79" t="n">
        <x:f>I154*V154</x:f>
        <x:v>45.77097000000001</x:v>
      </x:c>
      <x:c r="X154" s="79" t="n">
        <x:f>S154-U154-W154</x:f>
        <x:v>29.785030000000013</x:v>
      </x:c>
      <x:c r="Y154" s="85" t="n">
        <x:f>IFERROR(X154/I154,0)</x:f>
        <x:v>0.23231440605257003</x:v>
      </x:c>
      <x:c r="Z154" s="67" t="str">
        <x:f>IF(X154&lt;0,"亏损",IF(Y154&lt;8%,"关注","正常"))</x:f>
        <x:v>正常</x:v>
      </x:c>
    </x:row>
    <x:row r="155">
      <x:c r="A155" s="67" t="str">
        <x:v>WMS-00151</x:v>
      </x:c>
      <x:c r="B155" s="73" t="n">
        <x:v>46211.5</x:v>
      </x:c>
      <x:c r="C155" s="73" t="n">
        <x:v>46213.5</x:v>
      </x:c>
      <x:c r="D155" s="67" t="str">
        <x:v>S08</x:v>
      </x:c>
      <x:c r="E155" s="67" t="str">
        <x:v>四季青店</x:v>
      </x:c>
      <x:c r="F155" s="67" t="str">
        <x:v>饿了么</x:v>
      </x:c>
      <x:c r="G155" s="67" t="str">
        <x:v>常规订单</x:v>
      </x:c>
      <x:c r="H155" s="70" t="n">
        <x:v>9</x:v>
      </x:c>
      <x:c r="I155" s="76" t="n">
        <x:v>407.66</x:v>
      </x:c>
      <x:c r="J155" s="76" t="n">
        <x:v>9</x:v>
      </x:c>
      <x:c r="K155" s="76" t="n">
        <x:v>27</x:v>
      </x:c>
      <x:c r="L155" s="82" t="n">
        <x:v>0.03</x:v>
      </x:c>
      <x:c r="M155" s="79" t="n">
        <x:f>I155*L155</x:f>
        <x:v>12.229800000000001</x:v>
      </x:c>
      <x:c r="N155" s="76" t="n">
        <x:v>0</x:v>
      </x:c>
      <x:c r="O155" s="79" t="n">
        <x:f>I155+J155+K155-M155-N155</x:f>
        <x:v>431.4302</x:v>
      </x:c>
      <x:c r="P155" s="82" t="n">
        <x:v>0.18</x:v>
      </x:c>
      <x:c r="Q155" s="79" t="n">
        <x:f>I155*P155</x:f>
        <x:v>73.3788</x:v>
      </x:c>
      <x:c r="R155" s="76" t="n">
        <x:v>0.41</x:v>
      </x:c>
      <x:c r="S155" s="79" t="n">
        <x:f>I155+J155-M155-Q155-R155</x:f>
        <x:v>330.6414</x:v>
      </x:c>
      <x:c r="T155" s="76" t="n">
        <x:v>1.2</x:v>
      </x:c>
      <x:c r="U155" s="79" t="n">
        <x:f>H155*T155</x:f>
        <x:v>10.799999999999999</x:v>
      </x:c>
      <x:c r="V155" s="82" t="n">
        <x:v>0.327</x:v>
      </x:c>
      <x:c r="W155" s="79" t="n">
        <x:f>I155*V155</x:f>
        <x:v>133.30482</x:v>
      </x:c>
      <x:c r="X155" s="79" t="n">
        <x:f>S155-U155-W155</x:f>
        <x:v>186.53657999999996</x:v>
      </x:c>
      <x:c r="Y155" s="85" t="n">
        <x:f>IFERROR(X155/I155,0)</x:f>
        <x:v>0.45757881567973296</x:v>
      </x:c>
      <x:c r="Z155" s="67" t="str">
        <x:f>IF(X155&lt;0,"亏损",IF(Y155&lt;8%,"关注","正常"))</x:f>
        <x:v>正常</x:v>
      </x:c>
    </x:row>
    <x:row r="156">
      <x:c r="A156" s="67" t="str">
        <x:v>WMS-00152</x:v>
      </x:c>
      <x:c r="B156" s="73" t="n">
        <x:v>46211.5</x:v>
      </x:c>
      <x:c r="C156" s="73" t="n">
        <x:v>46213.5</x:v>
      </x:c>
      <x:c r="D156" s="67" t="str">
        <x:v>S08</x:v>
      </x:c>
      <x:c r="E156" s="67" t="str">
        <x:v>四季青店</x:v>
      </x:c>
      <x:c r="F156" s="67" t="str">
        <x:v>饿了么</x:v>
      </x:c>
      <x:c r="G156" s="67" t="str">
        <x:v>会员券订单</x:v>
      </x:c>
      <x:c r="H156" s="70" t="n">
        <x:v>4</x:v>
      </x:c>
      <x:c r="I156" s="76" t="n">
        <x:v>207.54</x:v>
      </x:c>
      <x:c r="J156" s="76" t="n">
        <x:v>4</x:v>
      </x:c>
      <x:c r="K156" s="76" t="n">
        <x:v>12</x:v>
      </x:c>
      <x:c r="L156" s="82" t="n">
        <x:v>0.1</x:v>
      </x:c>
      <x:c r="M156" s="79" t="n">
        <x:f>I156*L156</x:f>
        <x:v>20.754</x:v>
      </x:c>
      <x:c r="N156" s="76" t="n">
        <x:v>6.23</x:v>
      </x:c>
      <x:c r="O156" s="79" t="n">
        <x:f>I156+J156+K156-M156-N156</x:f>
        <x:v>196.556</x:v>
      </x:c>
      <x:c r="P156" s="82" t="n">
        <x:v>0.18</x:v>
      </x:c>
      <x:c r="Q156" s="79" t="n">
        <x:f>I156*P156</x:f>
        <x:v>37.3572</x:v>
      </x:c>
      <x:c r="R156" s="76" t="n">
        <x:v>0.62</x:v>
      </x:c>
      <x:c r="S156" s="79" t="n">
        <x:f>I156+J156-M156-Q156-R156</x:f>
        <x:v>152.8088</x:v>
      </x:c>
      <x:c r="T156" s="76" t="n">
        <x:v>1.2</x:v>
      </x:c>
      <x:c r="U156" s="79" t="n">
        <x:f>H156*T156</x:f>
        <x:v>4.8</x:v>
      </x:c>
      <x:c r="V156" s="82" t="n">
        <x:v>0.337</x:v>
      </x:c>
      <x:c r="W156" s="79" t="n">
        <x:f>I156*V156</x:f>
        <x:v>69.94098</x:v>
      </x:c>
      <x:c r="X156" s="79" t="n">
        <x:f>S156-U156-W156</x:f>
        <x:v>78.06781999999998</x:v>
      </x:c>
      <x:c r="Y156" s="85" t="n">
        <x:f>IFERROR(X156/I156,0)</x:f>
        <x:v>0.3761579454562975</x:v>
      </x:c>
      <x:c r="Z156" s="67" t="str">
        <x:f>IF(X156&lt;0,"亏损",IF(Y156&lt;8%,"关注","正常"))</x:f>
        <x:v>正常</x:v>
      </x:c>
    </x:row>
    <x:row r="157">
      <x:c r="A157" s="67" t="str">
        <x:v>WMS-00153</x:v>
      </x:c>
      <x:c r="B157" s="73" t="n">
        <x:v>46211.5</x:v>
      </x:c>
      <x:c r="C157" s="73" t="n">
        <x:v>46213.5</x:v>
      </x:c>
      <x:c r="D157" s="67" t="str">
        <x:v>S08</x:v>
      </x:c>
      <x:c r="E157" s="67" t="str">
        <x:v>四季青店</x:v>
      </x:c>
      <x:c r="F157" s="67" t="str">
        <x:v>饿了么</x:v>
      </x:c>
      <x:c r="G157" s="67" t="str">
        <x:v>平台活动订单</x:v>
      </x:c>
      <x:c r="H157" s="70" t="n">
        <x:v>3</x:v>
      </x:c>
      <x:c r="I157" s="76" t="n">
        <x:v>125.99999999999989</x:v>
      </x:c>
      <x:c r="J157" s="76" t="n">
        <x:v>3</x:v>
      </x:c>
      <x:c r="K157" s="76" t="n">
        <x:v>9</x:v>
      </x:c>
      <x:c r="L157" s="82" t="n">
        <x:v>0.22</x:v>
      </x:c>
      <x:c r="M157" s="79" t="n">
        <x:f>I157*L157</x:f>
        <x:v>27.719999999999974</x:v>
      </x:c>
      <x:c r="N157" s="76" t="n">
        <x:v>10.08</x:v>
      </x:c>
      <x:c r="O157" s="79" t="n">
        <x:f>I157+J157+K157-M157-N157</x:f>
        <x:v>100.19999999999992</x:v>
      </x:c>
      <x:c r="P157" s="82" t="n">
        <x:v>0.18</x:v>
      </x:c>
      <x:c r="Q157" s="79" t="n">
        <x:f>I157*P157</x:f>
        <x:v>22.67999999999998</x:v>
      </x:c>
      <x:c r="R157" s="76" t="n">
        <x:v>0.76</x:v>
      </x:c>
      <x:c r="S157" s="79" t="n">
        <x:f>I157+J157-M157-Q157-R157</x:f>
        <x:v>77.83999999999993</x:v>
      </x:c>
      <x:c r="T157" s="76" t="n">
        <x:v>1.2</x:v>
      </x:c>
      <x:c r="U157" s="79" t="n">
        <x:f>H157*T157</x:f>
        <x:v>3.5999999999999996</x:v>
      </x:c>
      <x:c r="V157" s="82" t="n">
        <x:v>0.357</x:v>
      </x:c>
      <x:c r="W157" s="79" t="n">
        <x:f>I157*V157</x:f>
        <x:v>44.98199999999996</x:v>
      </x:c>
      <x:c r="X157" s="79" t="n">
        <x:f>S157-U157-W157</x:f>
        <x:v>29.25799999999998</x:v>
      </x:c>
      <x:c r="Y157" s="85" t="n">
        <x:f>IFERROR(X157/I157,0)</x:f>
        <x:v>0.23220634920634928</x:v>
      </x:c>
      <x:c r="Z157" s="67" t="str">
        <x:f>IF(X157&lt;0,"亏损",IF(Y157&lt;8%,"关注","正常"))</x:f>
        <x:v>正常</x:v>
      </x:c>
    </x:row>
    <x:row r="158">
      <x:c r="A158" s="67" t="str">
        <x:v>WMS-00154</x:v>
      </x:c>
      <x:c r="B158" s="73" t="n">
        <x:v>46212.5</x:v>
      </x:c>
      <x:c r="C158" s="73" t="n">
        <x:v>46214.5</x:v>
      </x:c>
      <x:c r="D158" s="67" t="str">
        <x:v>S08</x:v>
      </x:c>
      <x:c r="E158" s="67" t="str">
        <x:v>四季青店</x:v>
      </x:c>
      <x:c r="F158" s="67" t="str">
        <x:v>饿了么</x:v>
      </x:c>
      <x:c r="G158" s="67" t="str">
        <x:v>常规订单</x:v>
      </x:c>
      <x:c r="H158" s="70" t="n">
        <x:v>9</x:v>
      </x:c>
      <x:c r="I158" s="76" t="n">
        <x:v>400.51</x:v>
      </x:c>
      <x:c r="J158" s="76" t="n">
        <x:v>9</x:v>
      </x:c>
      <x:c r="K158" s="76" t="n">
        <x:v>27</x:v>
      </x:c>
      <x:c r="L158" s="82" t="n">
        <x:v>0.03</x:v>
      </x:c>
      <x:c r="M158" s="79" t="n">
        <x:f>I158*L158</x:f>
        <x:v>12.0153</x:v>
      </x:c>
      <x:c r="N158" s="76" t="n">
        <x:v>0</x:v>
      </x:c>
      <x:c r="O158" s="79" t="n">
        <x:f>I158+J158+K158-M158-N158</x:f>
        <x:v>424.49469999999997</x:v>
      </x:c>
      <x:c r="P158" s="82" t="n">
        <x:v>0.18</x:v>
      </x:c>
      <x:c r="Q158" s="79" t="n">
        <x:f>I158*P158</x:f>
        <x:v>72.09179999999999</x:v>
      </x:c>
      <x:c r="R158" s="76" t="n">
        <x:v>0.4</x:v>
      </x:c>
      <x:c r="S158" s="79" t="n">
        <x:f>I158+J158-M158-Q158-R158</x:f>
        <x:v>325.0029</x:v>
      </x:c>
      <x:c r="T158" s="76" t="n">
        <x:v>1.2</x:v>
      </x:c>
      <x:c r="U158" s="79" t="n">
        <x:f>H158*T158</x:f>
        <x:v>10.799999999999999</x:v>
      </x:c>
      <x:c r="V158" s="82" t="n">
        <x:v>0.327</x:v>
      </x:c>
      <x:c r="W158" s="79" t="n">
        <x:f>I158*V158</x:f>
        <x:v>130.96677</x:v>
      </x:c>
      <x:c r="X158" s="79" t="n">
        <x:f>S158-U158-W158</x:f>
        <x:v>183.23613</x:v>
      </x:c>
      <x:c r="Y158" s="85" t="n">
        <x:f>IFERROR(X158/I158,0)</x:f>
        <x:v>0.4575070035704477</x:v>
      </x:c>
      <x:c r="Z158" s="67" t="str">
        <x:f>IF(X158&lt;0,"亏损",IF(Y158&lt;8%,"关注","正常"))</x:f>
        <x:v>正常</x:v>
      </x:c>
    </x:row>
    <x:row r="159">
      <x:c r="A159" s="67" t="str">
        <x:v>WMS-00155</x:v>
      </x:c>
      <x:c r="B159" s="73" t="n">
        <x:v>46212.5</x:v>
      </x:c>
      <x:c r="C159" s="73" t="n">
        <x:v>46214.5</x:v>
      </x:c>
      <x:c r="D159" s="67" t="str">
        <x:v>S08</x:v>
      </x:c>
      <x:c r="E159" s="67" t="str">
        <x:v>四季青店</x:v>
      </x:c>
      <x:c r="F159" s="67" t="str">
        <x:v>饿了么</x:v>
      </x:c>
      <x:c r="G159" s="67" t="str">
        <x:v>会员券订单</x:v>
      </x:c>
      <x:c r="H159" s="70" t="n">
        <x:v>4</x:v>
      </x:c>
      <x:c r="I159" s="76" t="n">
        <x:v>203.9</x:v>
      </x:c>
      <x:c r="J159" s="76" t="n">
        <x:v>4</x:v>
      </x:c>
      <x:c r="K159" s="76" t="n">
        <x:v>12</x:v>
      </x:c>
      <x:c r="L159" s="82" t="n">
        <x:v>0.1</x:v>
      </x:c>
      <x:c r="M159" s="79" t="n">
        <x:f>I159*L159</x:f>
        <x:v>20.39</x:v>
      </x:c>
      <x:c r="N159" s="76" t="n">
        <x:v>6.12</x:v>
      </x:c>
      <x:c r="O159" s="79" t="n">
        <x:f>I159+J159+K159-M159-N159</x:f>
        <x:v>193.39</x:v>
      </x:c>
      <x:c r="P159" s="82" t="n">
        <x:v>0.18</x:v>
      </x:c>
      <x:c r="Q159" s="79" t="n">
        <x:f>I159*P159</x:f>
        <x:v>36.702</x:v>
      </x:c>
      <x:c r="R159" s="76" t="n">
        <x:v>0.61</x:v>
      </x:c>
      <x:c r="S159" s="79" t="n">
        <x:f>I159+J159-M159-Q159-R159</x:f>
        <x:v>150.19799999999998</x:v>
      </x:c>
      <x:c r="T159" s="76" t="n">
        <x:v>1.2</x:v>
      </x:c>
      <x:c r="U159" s="79" t="n">
        <x:f>H159*T159</x:f>
        <x:v>4.8</x:v>
      </x:c>
      <x:c r="V159" s="82" t="n">
        <x:v>0.337</x:v>
      </x:c>
      <x:c r="W159" s="79" t="n">
        <x:f>I159*V159</x:f>
        <x:v>68.71430000000001</x:v>
      </x:c>
      <x:c r="X159" s="79" t="n">
        <x:f>S159-U159-W159</x:f>
        <x:v>76.68369999999996</x:v>
      </x:c>
      <x:c r="Y159" s="85" t="n">
        <x:f>IFERROR(X159/I159,0)</x:f>
        <x:v>0.3760848455125059</x:v>
      </x:c>
      <x:c r="Z159" s="67" t="str">
        <x:f>IF(X159&lt;0,"亏损",IF(Y159&lt;8%,"关注","正常"))</x:f>
        <x:v>正常</x:v>
      </x:c>
    </x:row>
    <x:row r="160">
      <x:c r="A160" s="67" t="str">
        <x:v>WMS-00156</x:v>
      </x:c>
      <x:c r="B160" s="73" t="n">
        <x:v>46212.5</x:v>
      </x:c>
      <x:c r="C160" s="73" t="n">
        <x:v>46214.5</x:v>
      </x:c>
      <x:c r="D160" s="67" t="str">
        <x:v>S08</x:v>
      </x:c>
      <x:c r="E160" s="67" t="str">
        <x:v>四季青店</x:v>
      </x:c>
      <x:c r="F160" s="67" t="str">
        <x:v>美团外卖</x:v>
      </x:c>
      <x:c r="G160" s="67" t="str">
        <x:v>平台活动订单</x:v>
      </x:c>
      <x:c r="H160" s="70" t="n">
        <x:v>3</x:v>
      </x:c>
      <x:c r="I160" s="76" t="n">
        <x:v>123.79000000000008</x:v>
      </x:c>
      <x:c r="J160" s="76" t="n">
        <x:v>3</x:v>
      </x:c>
      <x:c r="K160" s="76" t="n">
        <x:v>9</x:v>
      </x:c>
      <x:c r="L160" s="82" t="n">
        <x:v>0.22</x:v>
      </x:c>
      <x:c r="M160" s="79" t="n">
        <x:f>I160*L160</x:f>
        <x:v>27.233800000000016</x:v>
      </x:c>
      <x:c r="N160" s="76" t="n">
        <x:v>9.9</x:v>
      </x:c>
      <x:c r="O160" s="79" t="n">
        <x:f>I160+J160+K160-M160-N160</x:f>
        <x:v>98.65620000000006</x:v>
      </x:c>
      <x:c r="P160" s="82" t="n">
        <x:v>0.18</x:v>
      </x:c>
      <x:c r="Q160" s="79" t="n">
        <x:f>I160*P160</x:f>
        <x:v>22.282200000000014</x:v>
      </x:c>
      <x:c r="R160" s="76" t="n">
        <x:v>0.74</x:v>
      </x:c>
      <x:c r="S160" s="79" t="n">
        <x:f>I160+J160-M160-Q160-R160</x:f>
        <x:v>76.53400000000005</x:v>
      </x:c>
      <x:c r="T160" s="76" t="n">
        <x:v>1.2</x:v>
      </x:c>
      <x:c r="U160" s="79" t="n">
        <x:f>H160*T160</x:f>
        <x:v>3.5999999999999996</x:v>
      </x:c>
      <x:c r="V160" s="82" t="n">
        <x:v>0.357</x:v>
      </x:c>
      <x:c r="W160" s="79" t="n">
        <x:f>I160*V160</x:f>
        <x:v>44.19303000000003</x:v>
      </x:c>
      <x:c r="X160" s="79" t="n">
        <x:f>S160-U160-W160</x:f>
        <x:v>28.740970000000026</x:v>
      </x:c>
      <x:c r="Y160" s="85" t="n">
        <x:f>IFERROR(X160/I160,0)</x:f>
        <x:v>0.2321752160917684</x:v>
      </x:c>
      <x:c r="Z160" s="67" t="str">
        <x:f>IF(X160&lt;0,"亏损",IF(Y160&lt;8%,"关注","正常"))</x:f>
        <x:v>正常</x:v>
      </x:c>
    </x:row>
    <x:row r="161">
      <x:c r="A161" s="67" t="str">
        <x:v>WMS-00157</x:v>
      </x:c>
      <x:c r="B161" s="73" t="n">
        <x:v>46213.5</x:v>
      </x:c>
      <x:c r="C161" s="73" t="n">
        <x:v>46215.5</x:v>
      </x:c>
      <x:c r="D161" s="67" t="str">
        <x:v>S08</x:v>
      </x:c>
      <x:c r="E161" s="67" t="str">
        <x:v>四季青店</x:v>
      </x:c>
      <x:c r="F161" s="67" t="str">
        <x:v>饿了么</x:v>
      </x:c>
      <x:c r="G161" s="67" t="str">
        <x:v>常规订单</x:v>
      </x:c>
      <x:c r="H161" s="70" t="n">
        <x:v>9</x:v>
      </x:c>
      <x:c r="I161" s="76" t="n">
        <x:v>414.81</x:v>
      </x:c>
      <x:c r="J161" s="76" t="n">
        <x:v>9</x:v>
      </x:c>
      <x:c r="K161" s="76" t="n">
        <x:v>27</x:v>
      </x:c>
      <x:c r="L161" s="82" t="n">
        <x:v>0.03</x:v>
      </x:c>
      <x:c r="M161" s="79" t="n">
        <x:f>I161*L161</x:f>
        <x:v>12.4443</x:v>
      </x:c>
      <x:c r="N161" s="76" t="n">
        <x:v>0</x:v>
      </x:c>
      <x:c r="O161" s="79" t="n">
        <x:f>I161+J161+K161-M161-N161</x:f>
        <x:v>438.3657</x:v>
      </x:c>
      <x:c r="P161" s="82" t="n">
        <x:v>0.18</x:v>
      </x:c>
      <x:c r="Q161" s="79" t="n">
        <x:f>I161*P161</x:f>
        <x:v>74.6658</x:v>
      </x:c>
      <x:c r="R161" s="76" t="n">
        <x:v>0.41</x:v>
      </x:c>
      <x:c r="S161" s="79" t="n">
        <x:f>I161+J161-M161-Q161-R161</x:f>
        <x:v>336.2899</x:v>
      </x:c>
      <x:c r="T161" s="76" t="n">
        <x:v>1.2</x:v>
      </x:c>
      <x:c r="U161" s="79" t="n">
        <x:f>H161*T161</x:f>
        <x:v>10.799999999999999</x:v>
      </x:c>
      <x:c r="V161" s="82" t="n">
        <x:v>0.327</x:v>
      </x:c>
      <x:c r="W161" s="79" t="n">
        <x:f>I161*V161</x:f>
        <x:v>135.64287000000002</x:v>
      </x:c>
      <x:c r="X161" s="79" t="n">
        <x:f>S161-U161-W161</x:f>
        <x:v>189.84702999999996</x:v>
      </x:c>
      <x:c r="Y161" s="85" t="n">
        <x:f>IFERROR(X161/I161,0)</x:f>
        <x:v>0.45767225958872726</x:v>
      </x:c>
      <x:c r="Z161" s="67" t="str">
        <x:f>IF(X161&lt;0,"亏损",IF(Y161&lt;8%,"关注","正常"))</x:f>
        <x:v>正常</x:v>
      </x:c>
    </x:row>
    <x:row r="162">
      <x:c r="A162" s="67" t="str">
        <x:v>WMS-00158</x:v>
      </x:c>
      <x:c r="B162" s="73" t="n">
        <x:v>46213.5</x:v>
      </x:c>
      <x:c r="C162" s="73" t="n">
        <x:v>46215.5</x:v>
      </x:c>
      <x:c r="D162" s="67" t="str">
        <x:v>S08</x:v>
      </x:c>
      <x:c r="E162" s="67" t="str">
        <x:v>四季青店</x:v>
      </x:c>
      <x:c r="F162" s="67" t="str">
        <x:v>美团外卖</x:v>
      </x:c>
      <x:c r="G162" s="67" t="str">
        <x:v>会员券订单</x:v>
      </x:c>
      <x:c r="H162" s="70" t="n">
        <x:v>5</x:v>
      </x:c>
      <x:c r="I162" s="76" t="n">
        <x:v>211.18</x:v>
      </x:c>
      <x:c r="J162" s="76" t="n">
        <x:v>5</x:v>
      </x:c>
      <x:c r="K162" s="76" t="n">
        <x:v>15</x:v>
      </x:c>
      <x:c r="L162" s="82" t="n">
        <x:v>0.1</x:v>
      </x:c>
      <x:c r="M162" s="79" t="n">
        <x:f>I162*L162</x:f>
        <x:v>21.118000000000002</x:v>
      </x:c>
      <x:c r="N162" s="76" t="n">
        <x:v>6.34</x:v>
      </x:c>
      <x:c r="O162" s="79" t="n">
        <x:f>I162+J162+K162-M162-N162</x:f>
        <x:v>203.722</x:v>
      </x:c>
      <x:c r="P162" s="82" t="n">
        <x:v>0.18</x:v>
      </x:c>
      <x:c r="Q162" s="79" t="n">
        <x:f>I162*P162</x:f>
        <x:v>38.0124</x:v>
      </x:c>
      <x:c r="R162" s="76" t="n">
        <x:v>0.63</x:v>
      </x:c>
      <x:c r="S162" s="79" t="n">
        <x:f>I162+J162-M162-Q162-R162</x:f>
        <x:v>156.4196</x:v>
      </x:c>
      <x:c r="T162" s="76" t="n">
        <x:v>1.2</x:v>
      </x:c>
      <x:c r="U162" s="79" t="n">
        <x:f>H162*T162</x:f>
        <x:v>6</x:v>
      </x:c>
      <x:c r="V162" s="82" t="n">
        <x:v>0.337</x:v>
      </x:c>
      <x:c r="W162" s="79" t="n">
        <x:f>I162*V162</x:f>
        <x:v>71.16766000000001</x:v>
      </x:c>
      <x:c r="X162" s="79" t="n">
        <x:f>S162-U162-W162</x:f>
        <x:v>79.25193999999999</x:v>
      </x:c>
      <x:c r="Y162" s="85" t="n">
        <x:f>IFERROR(X162/I162,0)</x:f>
        <x:v>0.3752814660479212</x:v>
      </x:c>
      <x:c r="Z162" s="67" t="str">
        <x:f>IF(X162&lt;0,"亏损",IF(Y162&lt;8%,"关注","正常"))</x:f>
        <x:v>正常</x:v>
      </x:c>
    </x:row>
    <x:row r="163">
      <x:c r="A163" s="67" t="str">
        <x:v>WMS-00159</x:v>
      </x:c>
      <x:c r="B163" s="73" t="n">
        <x:v>46213.5</x:v>
      </x:c>
      <x:c r="C163" s="73" t="n">
        <x:v>46215.5</x:v>
      </x:c>
      <x:c r="D163" s="67" t="str">
        <x:v>S08</x:v>
      </x:c>
      <x:c r="E163" s="67" t="str">
        <x:v>四季青店</x:v>
      </x:c>
      <x:c r="F163" s="67" t="str">
        <x:v>美团外卖</x:v>
      </x:c>
      <x:c r="G163" s="67" t="str">
        <x:v>平台活动订单</x:v>
      </x:c>
      <x:c r="H163" s="70" t="n">
        <x:v>3</x:v>
      </x:c>
      <x:c r="I163" s="76" t="n">
        <x:v>128.21000000000004</x:v>
      </x:c>
      <x:c r="J163" s="76" t="n">
        <x:v>3</x:v>
      </x:c>
      <x:c r="K163" s="76" t="n">
        <x:v>9</x:v>
      </x:c>
      <x:c r="L163" s="82" t="n">
        <x:v>0.22</x:v>
      </x:c>
      <x:c r="M163" s="79" t="n">
        <x:f>I163*L163</x:f>
        <x:v>28.20620000000001</x:v>
      </x:c>
      <x:c r="N163" s="76" t="n">
        <x:v>10.26</x:v>
      </x:c>
      <x:c r="O163" s="79" t="n">
        <x:f>I163+J163+K163-M163-N163</x:f>
        <x:v>101.74380000000002</x:v>
      </x:c>
      <x:c r="P163" s="82" t="n">
        <x:v>0.18</x:v>
      </x:c>
      <x:c r="Q163" s="79" t="n">
        <x:f>I163*P163</x:f>
        <x:v>23.077800000000007</x:v>
      </x:c>
      <x:c r="R163" s="76" t="n">
        <x:v>0.77</x:v>
      </x:c>
      <x:c r="S163" s="79" t="n">
        <x:f>I163+J163-M163-Q163-R163</x:f>
        <x:v>79.15600000000002</x:v>
      </x:c>
      <x:c r="T163" s="76" t="n">
        <x:v>1.2</x:v>
      </x:c>
      <x:c r="U163" s="79" t="n">
        <x:f>H163*T163</x:f>
        <x:v>3.5999999999999996</x:v>
      </x:c>
      <x:c r="V163" s="82" t="n">
        <x:v>0.357</x:v>
      </x:c>
      <x:c r="W163" s="79" t="n">
        <x:f>I163*V163</x:f>
        <x:v>45.77097000000001</x:v>
      </x:c>
      <x:c r="X163" s="79" t="n">
        <x:f>S163-U163-W163</x:f>
        <x:v>29.785030000000013</x:v>
      </x:c>
      <x:c r="Y163" s="85" t="n">
        <x:f>IFERROR(X163/I163,0)</x:f>
        <x:v>0.23231440605257003</x:v>
      </x:c>
      <x:c r="Z163" s="67" t="str">
        <x:f>IF(X163&lt;0,"亏损",IF(Y163&lt;8%,"关注","正常"))</x:f>
        <x:v>正常</x:v>
      </x:c>
    </x:row>
    <x:row r="164">
      <x:c r="A164" s="67" t="str">
        <x:v>WMS-00160</x:v>
      </x:c>
      <x:c r="B164" s="73" t="n">
        <x:v>46214.5</x:v>
      </x:c>
      <x:c r="C164" s="73" t="n">
        <x:v>46216.5</x:v>
      </x:c>
      <x:c r="D164" s="67" t="str">
        <x:v>S08</x:v>
      </x:c>
      <x:c r="E164" s="67" t="str">
        <x:v>四季青店</x:v>
      </x:c>
      <x:c r="F164" s="67" t="str">
        <x:v>美团外卖</x:v>
      </x:c>
      <x:c r="G164" s="67" t="str">
        <x:v>常规订单</x:v>
      </x:c>
      <x:c r="H164" s="70" t="n">
        <x:v>7</x:v>
      </x:c>
      <x:c r="I164" s="76" t="n">
        <x:v>318.12</x:v>
      </x:c>
      <x:c r="J164" s="76" t="n">
        <x:v>7</x:v>
      </x:c>
      <x:c r="K164" s="76" t="n">
        <x:v>21</x:v>
      </x:c>
      <x:c r="L164" s="82" t="n">
        <x:v>0.03</x:v>
      </x:c>
      <x:c r="M164" s="79" t="n">
        <x:f>I164*L164</x:f>
        <x:v>9.5436</x:v>
      </x:c>
      <x:c r="N164" s="76" t="n">
        <x:v>0</x:v>
      </x:c>
      <x:c r="O164" s="79" t="n">
        <x:f>I164+J164+K164-M164-N164</x:f>
        <x:v>336.5764</x:v>
      </x:c>
      <x:c r="P164" s="82" t="n">
        <x:v>0.18</x:v>
      </x:c>
      <x:c r="Q164" s="79" t="n">
        <x:f>I164*P164</x:f>
        <x:v>57.2616</x:v>
      </x:c>
      <x:c r="R164" s="76" t="n">
        <x:v>0.32</x:v>
      </x:c>
      <x:c r="S164" s="79" t="n">
        <x:f>I164+J164-M164-Q164-R164</x:f>
        <x:v>257.9948</x:v>
      </x:c>
      <x:c r="T164" s="76" t="n">
        <x:v>1.2</x:v>
      </x:c>
      <x:c r="U164" s="79" t="n">
        <x:f>H164*T164</x:f>
        <x:v>8.4</x:v>
      </x:c>
      <x:c r="V164" s="82" t="n">
        <x:v>0.327</x:v>
      </x:c>
      <x:c r="W164" s="79" t="n">
        <x:f>I164*V164</x:f>
        <x:v>104.02524000000001</x:v>
      </x:c>
      <x:c r="X164" s="79" t="n">
        <x:f>S164-U164-W164</x:f>
        <x:v>145.56955999999997</x:v>
      </x:c>
      <x:c r="Y164" s="85" t="n">
        <x:f>IFERROR(X164/I164,0)</x:f>
        <x:v>0.4575932352571356</x:v>
      </x:c>
      <x:c r="Z164" s="67" t="str">
        <x:f>IF(X164&lt;0,"亏损",IF(Y164&lt;8%,"关注","正常"))</x:f>
        <x:v>正常</x:v>
      </x:c>
    </x:row>
    <x:row r="165">
      <x:c r="A165" s="67" t="str">
        <x:v>WMS-00161</x:v>
      </x:c>
      <x:c r="B165" s="73" t="n">
        <x:v>46214.5</x:v>
      </x:c>
      <x:c r="C165" s="73" t="n">
        <x:v>46216.5</x:v>
      </x:c>
      <x:c r="D165" s="67" t="str">
        <x:v>S08</x:v>
      </x:c>
      <x:c r="E165" s="67" t="str">
        <x:v>四季青店</x:v>
      </x:c>
      <x:c r="F165" s="67" t="str">
        <x:v>美团外卖</x:v>
      </x:c>
      <x:c r="G165" s="67" t="str">
        <x:v>会员券订单</x:v>
      </x:c>
      <x:c r="H165" s="70" t="n">
        <x:v>4</x:v>
      </x:c>
      <x:c r="I165" s="76" t="n">
        <x:v>161.95</x:v>
      </x:c>
      <x:c r="J165" s="76" t="n">
        <x:v>4</x:v>
      </x:c>
      <x:c r="K165" s="76" t="n">
        <x:v>12</x:v>
      </x:c>
      <x:c r="L165" s="82" t="n">
        <x:v>0.1</x:v>
      </x:c>
      <x:c r="M165" s="79" t="n">
        <x:f>I165*L165</x:f>
        <x:v>16.195</x:v>
      </x:c>
      <x:c r="N165" s="76" t="n">
        <x:v>4.86</x:v>
      </x:c>
      <x:c r="O165" s="79" t="n">
        <x:f>I165+J165+K165-M165-N165</x:f>
        <x:v>156.89499999999998</x:v>
      </x:c>
      <x:c r="P165" s="82" t="n">
        <x:v>0.18</x:v>
      </x:c>
      <x:c r="Q165" s="79" t="n">
        <x:f>I165*P165</x:f>
        <x:v>29.150999999999996</x:v>
      </x:c>
      <x:c r="R165" s="76" t="n">
        <x:v>0.49</x:v>
      </x:c>
      <x:c r="S165" s="79" t="n">
        <x:f>I165+J165-M165-Q165-R165</x:f>
        <x:v>120.114</x:v>
      </x:c>
      <x:c r="T165" s="76" t="n">
        <x:v>1.2</x:v>
      </x:c>
      <x:c r="U165" s="79" t="n">
        <x:f>H165*T165</x:f>
        <x:v>4.8</x:v>
      </x:c>
      <x:c r="V165" s="82" t="n">
        <x:v>0.337</x:v>
      </x:c>
      <x:c r="W165" s="79" t="n">
        <x:f>I165*V165</x:f>
        <x:v>54.57715</x:v>
      </x:c>
      <x:c r="X165" s="79" t="n">
        <x:f>S165-U165-W165</x:f>
        <x:v>60.736850000000004</x:v>
      </x:c>
      <x:c r="Y165" s="85" t="n">
        <x:f>IFERROR(X165/I165,0)</x:f>
        <x:v>0.37503457857363387</x:v>
      </x:c>
      <x:c r="Z165" s="67" t="str">
        <x:f>IF(X165&lt;0,"亏损",IF(Y165&lt;8%,"关注","正常"))</x:f>
        <x:v>正常</x:v>
      </x:c>
    </x:row>
    <x:row r="166">
      <x:c r="A166" s="67" t="str">
        <x:v>WMS-00162</x:v>
      </x:c>
      <x:c r="B166" s="73" t="n">
        <x:v>46214.5</x:v>
      </x:c>
      <x:c r="C166" s="73" t="n">
        <x:v>46216.5</x:v>
      </x:c>
      <x:c r="D166" s="67" t="str">
        <x:v>S08</x:v>
      </x:c>
      <x:c r="E166" s="67" t="str">
        <x:v>四季青店</x:v>
      </x:c>
      <x:c r="F166" s="67" t="str">
        <x:v>美团外卖</x:v>
      </x:c>
      <x:c r="G166" s="67" t="str">
        <x:v>平台活动订单</x:v>
      </x:c>
      <x:c r="H166" s="70" t="n">
        <x:v>2</x:v>
      </x:c>
      <x:c r="I166" s="76" t="n">
        <x:v>98.32999999999998</x:v>
      </x:c>
      <x:c r="J166" s="76" t="n">
        <x:v>2</x:v>
      </x:c>
      <x:c r="K166" s="76" t="n">
        <x:v>6</x:v>
      </x:c>
      <x:c r="L166" s="82" t="n">
        <x:v>0.22</x:v>
      </x:c>
      <x:c r="M166" s="79" t="n">
        <x:f>I166*L166</x:f>
        <x:v>21.632599999999996</x:v>
      </x:c>
      <x:c r="N166" s="76" t="n">
        <x:v>7.87</x:v>
      </x:c>
      <x:c r="O166" s="79" t="n">
        <x:f>I166+J166+K166-M166-N166</x:f>
        <x:v>76.82739999999998</x:v>
      </x:c>
      <x:c r="P166" s="82" t="n">
        <x:v>0.18</x:v>
      </x:c>
      <x:c r="Q166" s="79" t="n">
        <x:f>I166*P166</x:f>
        <x:v>17.699399999999997</x:v>
      </x:c>
      <x:c r="R166" s="76" t="n">
        <x:v>0.59</x:v>
      </x:c>
      <x:c r="S166" s="79" t="n">
        <x:f>I166+J166-M166-Q166-R166</x:f>
        <x:v>60.40799999999999</x:v>
      </x:c>
      <x:c r="T166" s="76" t="n">
        <x:v>1.2</x:v>
      </x:c>
      <x:c r="U166" s="79" t="n">
        <x:f>H166*T166</x:f>
        <x:v>2.4</x:v>
      </x:c>
      <x:c r="V166" s="82" t="n">
        <x:v>0.357</x:v>
      </x:c>
      <x:c r="W166" s="79" t="n">
        <x:f>I166*V166</x:f>
        <x:v>35.103809999999996</x:v>
      </x:c>
      <x:c r="X166" s="79" t="n">
        <x:f>S166-U166-W166</x:f>
        <x:v>22.904189999999993</x:v>
      </x:c>
      <x:c r="Y166" s="85" t="n">
        <x:f>IFERROR(X166/I166,0)</x:f>
        <x:v>0.23293186209702021</x:v>
      </x:c>
      <x:c r="Z166" s="67" t="str">
        <x:f>IF(X166&lt;0,"亏损",IF(Y166&lt;8%,"关注","正常"))</x:f>
        <x:v>正常</x:v>
      </x:c>
    </x:row>
    <x:row r="167">
      <x:c r="A167" s="67" t="str">
        <x:v>WMS-00163</x:v>
      </x:c>
      <x:c r="B167" s="73" t="n">
        <x:v>46215.5</x:v>
      </x:c>
      <x:c r="C167" s="73" t="n">
        <x:v>46217.5</x:v>
      </x:c>
      <x:c r="D167" s="67" t="str">
        <x:v>S08</x:v>
      </x:c>
      <x:c r="E167" s="67" t="str">
        <x:v>四季青店</x:v>
      </x:c>
      <x:c r="F167" s="67" t="str">
        <x:v>美团外卖</x:v>
      </x:c>
      <x:c r="G167" s="67" t="str">
        <x:v>常规订单</x:v>
      </x:c>
      <x:c r="H167" s="70" t="n">
        <x:v>7</x:v>
      </x:c>
      <x:c r="I167" s="76" t="n">
        <x:v>308.22</x:v>
      </x:c>
      <x:c r="J167" s="76" t="n">
        <x:v>7</x:v>
      </x:c>
      <x:c r="K167" s="76" t="n">
        <x:v>21</x:v>
      </x:c>
      <x:c r="L167" s="82" t="n">
        <x:v>0.03</x:v>
      </x:c>
      <x:c r="M167" s="79" t="n">
        <x:f>I167*L167</x:f>
        <x:v>9.2466</x:v>
      </x:c>
      <x:c r="N167" s="76" t="n">
        <x:v>0</x:v>
      </x:c>
      <x:c r="O167" s="79" t="n">
        <x:f>I167+J167+K167-M167-N167</x:f>
        <x:v>326.9734</x:v>
      </x:c>
      <x:c r="P167" s="82" t="n">
        <x:v>0.18</x:v>
      </x:c>
      <x:c r="Q167" s="79" t="n">
        <x:f>I167*P167</x:f>
        <x:v>55.479600000000005</x:v>
      </x:c>
      <x:c r="R167" s="76" t="n">
        <x:v>0.31</x:v>
      </x:c>
      <x:c r="S167" s="79" t="n">
        <x:f>I167+J167-M167-Q167-R167</x:f>
        <x:v>250.18380000000002</x:v>
      </x:c>
      <x:c r="T167" s="76" t="n">
        <x:v>1.2</x:v>
      </x:c>
      <x:c r="U167" s="79" t="n">
        <x:f>H167*T167</x:f>
        <x:v>8.4</x:v>
      </x:c>
      <x:c r="V167" s="82" t="n">
        <x:v>0.327</x:v>
      </x:c>
      <x:c r="W167" s="79" t="n">
        <x:f>I167*V167</x:f>
        <x:v>100.78794</x:v>
      </x:c>
      <x:c r="X167" s="79" t="n">
        <x:f>S167-U167-W167</x:f>
        <x:v>140.99586</x:v>
      </x:c>
      <x:c r="Y167" s="85" t="n">
        <x:f>IFERROR(X167/I167,0)</x:f>
        <x:v>0.45745201479462716</x:v>
      </x:c>
      <x:c r="Z167" s="67" t="str">
        <x:f>IF(X167&lt;0,"亏损",IF(Y167&lt;8%,"关注","正常"))</x:f>
        <x:v>正常</x:v>
      </x:c>
    </x:row>
    <x:row r="168">
      <x:c r="A168" s="67" t="str">
        <x:v>WMS-00164</x:v>
      </x:c>
      <x:c r="B168" s="73" t="n">
        <x:v>46215.5</x:v>
      </x:c>
      <x:c r="C168" s="73" t="n">
        <x:v>46217.5</x:v>
      </x:c>
      <x:c r="D168" s="67" t="str">
        <x:v>S08</x:v>
      </x:c>
      <x:c r="E168" s="67" t="str">
        <x:v>四季青店</x:v>
      </x:c>
      <x:c r="F168" s="67" t="str">
        <x:v>美团外卖</x:v>
      </x:c>
      <x:c r="G168" s="67" t="str">
        <x:v>会员券订单</x:v>
      </x:c>
      <x:c r="H168" s="70" t="n">
        <x:v>3</x:v>
      </x:c>
      <x:c r="I168" s="76" t="n">
        <x:v>156.91</x:v>
      </x:c>
      <x:c r="J168" s="76" t="n">
        <x:v>3</x:v>
      </x:c>
      <x:c r="K168" s="76" t="n">
        <x:v>9</x:v>
      </x:c>
      <x:c r="L168" s="82" t="n">
        <x:v>0.1</x:v>
      </x:c>
      <x:c r="M168" s="79" t="n">
        <x:f>I168*L168</x:f>
        <x:v>15.691</x:v>
      </x:c>
      <x:c r="N168" s="76" t="n">
        <x:v>4.71</x:v>
      </x:c>
      <x:c r="O168" s="79" t="n">
        <x:f>I168+J168+K168-M168-N168</x:f>
        <x:v>148.509</x:v>
      </x:c>
      <x:c r="P168" s="82" t="n">
        <x:v>0.18</x:v>
      </x:c>
      <x:c r="Q168" s="79" t="n">
        <x:f>I168*P168</x:f>
        <x:v>28.243799999999997</x:v>
      </x:c>
      <x:c r="R168" s="76" t="n">
        <x:v>0.47</x:v>
      </x:c>
      <x:c r="S168" s="79" t="n">
        <x:f>I168+J168-M168-Q168-R168</x:f>
        <x:v>115.5052</x:v>
      </x:c>
      <x:c r="T168" s="76" t="n">
        <x:v>1.2</x:v>
      </x:c>
      <x:c r="U168" s="79" t="n">
        <x:f>H168*T168</x:f>
        <x:v>3.5999999999999996</x:v>
      </x:c>
      <x:c r="V168" s="82" t="n">
        <x:v>0.337</x:v>
      </x:c>
      <x:c r="W168" s="79" t="n">
        <x:f>I168*V168</x:f>
        <x:v>52.87867</x:v>
      </x:c>
      <x:c r="X168" s="79" t="n">
        <x:f>S168-U168-W168</x:f>
        <x:v>59.02653000000001</x:v>
      </x:c>
      <x:c r="Y168" s="85" t="n">
        <x:f>IFERROR(X168/I168,0)</x:f>
        <x:v>0.3761808042827099</x:v>
      </x:c>
      <x:c r="Z168" s="67" t="str">
        <x:f>IF(X168&lt;0,"亏损",IF(Y168&lt;8%,"关注","正常"))</x:f>
        <x:v>正常</x:v>
      </x:c>
    </x:row>
    <x:row r="169">
      <x:c r="A169" s="67" t="str">
        <x:v>WMS-00165</x:v>
      </x:c>
      <x:c r="B169" s="73" t="n">
        <x:v>46215.5</x:v>
      </x:c>
      <x:c r="C169" s="73" t="n">
        <x:v>46217.5</x:v>
      </x:c>
      <x:c r="D169" s="67" t="str">
        <x:v>S08</x:v>
      </x:c>
      <x:c r="E169" s="67" t="str">
        <x:v>四季青店</x:v>
      </x:c>
      <x:c r="F169" s="67" t="str">
        <x:v>美团外卖</x:v>
      </x:c>
      <x:c r="G169" s="67" t="str">
        <x:v>平台活动订单</x:v>
      </x:c>
      <x:c r="H169" s="70" t="n">
        <x:v>2</x:v>
      </x:c>
      <x:c r="I169" s="76" t="n">
        <x:v>95.26999999999998</x:v>
      </x:c>
      <x:c r="J169" s="76" t="n">
        <x:v>2</x:v>
      </x:c>
      <x:c r="K169" s="76" t="n">
        <x:v>6</x:v>
      </x:c>
      <x:c r="L169" s="82" t="n">
        <x:v>0.22</x:v>
      </x:c>
      <x:c r="M169" s="79" t="n">
        <x:f>I169*L169</x:f>
        <x:v>20.959399999999995</x:v>
      </x:c>
      <x:c r="N169" s="76" t="n">
        <x:v>7.62</x:v>
      </x:c>
      <x:c r="O169" s="79" t="n">
        <x:f>I169+J169+K169-M169-N169</x:f>
        <x:v>74.69059999999999</x:v>
      </x:c>
      <x:c r="P169" s="82" t="n">
        <x:v>0.18</x:v>
      </x:c>
      <x:c r="Q169" s="79" t="n">
        <x:f>I169*P169</x:f>
        <x:v>17.148599999999995</x:v>
      </x:c>
      <x:c r="R169" s="76" t="n">
        <x:v>0.57</x:v>
      </x:c>
      <x:c r="S169" s="79" t="n">
        <x:f>I169+J169-M169-Q169-R169</x:f>
        <x:v>58.592</x:v>
      </x:c>
      <x:c r="T169" s="76" t="n">
        <x:v>1.2</x:v>
      </x:c>
      <x:c r="U169" s="79" t="n">
        <x:f>H169*T169</x:f>
        <x:v>2.4</x:v>
      </x:c>
      <x:c r="V169" s="82" t="n">
        <x:v>0.357</x:v>
      </x:c>
      <x:c r="W169" s="79" t="n">
        <x:f>I169*V169</x:f>
        <x:v>34.01138999999999</x:v>
      </x:c>
      <x:c r="X169" s="79" t="n">
        <x:f>S169-U169-W169</x:f>
        <x:v>22.18061000000001</x:v>
      </x:c>
      <x:c r="Y169" s="85" t="n">
        <x:f>IFERROR(X169/I169,0)</x:f>
        <x:v>0.2328184108323713</x:v>
      </x:c>
      <x:c r="Z169" s="67" t="str">
        <x:f>IF(X169&lt;0,"亏损",IF(Y169&lt;8%,"关注","正常"))</x:f>
        <x:v>正常</x:v>
      </x:c>
    </x:row>
    <x:row r="170">
      <x:c r="A170" s="67" t="str">
        <x:v>WMS-00166</x:v>
      </x:c>
      <x:c r="B170" s="73" t="n">
        <x:v>46216.5</x:v>
      </x:c>
      <x:c r="C170" s="73" t="n">
        <x:v>46218.5</x:v>
      </x:c>
      <x:c r="D170" s="67" t="str">
        <x:v>S08</x:v>
      </x:c>
      <x:c r="E170" s="67" t="str">
        <x:v>四季青店</x:v>
      </x:c>
      <x:c r="F170" s="67" t="str">
        <x:v>美团外卖</x:v>
      </x:c>
      <x:c r="G170" s="67" t="str">
        <x:v>常规订单</x:v>
      </x:c>
      <x:c r="H170" s="70" t="n">
        <x:v>10</x:v>
      </x:c>
      <x:c r="I170" s="76" t="n">
        <x:v>441.76</x:v>
      </x:c>
      <x:c r="J170" s="76" t="n">
        <x:v>10</x:v>
      </x:c>
      <x:c r="K170" s="76" t="n">
        <x:v>30</x:v>
      </x:c>
      <x:c r="L170" s="82" t="n">
        <x:v>0.03</x:v>
      </x:c>
      <x:c r="M170" s="79" t="n">
        <x:f>I170*L170</x:f>
        <x:v>13.252799999999999</x:v>
      </x:c>
      <x:c r="N170" s="76" t="n">
        <x:v>0</x:v>
      </x:c>
      <x:c r="O170" s="79" t="n">
        <x:f>I170+J170+K170-M170-N170</x:f>
        <x:v>468.5072</x:v>
      </x:c>
      <x:c r="P170" s="82" t="n">
        <x:v>0.18</x:v>
      </x:c>
      <x:c r="Q170" s="79" t="n">
        <x:f>I170*P170</x:f>
        <x:v>79.51679999999999</x:v>
      </x:c>
      <x:c r="R170" s="76" t="n">
        <x:v>0.44</x:v>
      </x:c>
      <x:c r="S170" s="79" t="n">
        <x:f>I170+J170-M170-Q170-R170</x:f>
        <x:v>358.5504</x:v>
      </x:c>
      <x:c r="T170" s="76" t="n">
        <x:v>1.2</x:v>
      </x:c>
      <x:c r="U170" s="79" t="n">
        <x:f>H170*T170</x:f>
        <x:v>12</x:v>
      </x:c>
      <x:c r="V170" s="82" t="n">
        <x:v>0.327</x:v>
      </x:c>
      <x:c r="W170" s="79" t="n">
        <x:f>I170*V170</x:f>
        <x:v>144.45552</x:v>
      </x:c>
      <x:c r="X170" s="79" t="n">
        <x:f>S170-U170-W170</x:f>
        <x:v>202.09488000000002</x:v>
      </x:c>
      <x:c r="Y170" s="85" t="n">
        <x:f>IFERROR(X170/I170,0)</x:f>
        <x:v>0.4574766388989497</x:v>
      </x:c>
      <x:c r="Z170" s="67" t="str">
        <x:f>IF(X170&lt;0,"亏损",IF(Y170&lt;8%,"关注","正常"))</x:f>
        <x:v>正常</x:v>
      </x:c>
    </x:row>
    <x:row r="171">
      <x:c r="A171" s="67" t="str">
        <x:v>WMS-00167</x:v>
      </x:c>
      <x:c r="B171" s="73" t="n">
        <x:v>46216.5</x:v>
      </x:c>
      <x:c r="C171" s="73" t="n">
        <x:v>46218.5</x:v>
      </x:c>
      <x:c r="D171" s="67" t="str">
        <x:v>S08</x:v>
      </x:c>
      <x:c r="E171" s="67" t="str">
        <x:v>四季青店</x:v>
      </x:c>
      <x:c r="F171" s="67" t="str">
        <x:v>美团外卖</x:v>
      </x:c>
      <x:c r="G171" s="67" t="str">
        <x:v>会员券订单</x:v>
      </x:c>
      <x:c r="H171" s="70" t="n">
        <x:v>5</x:v>
      </x:c>
      <x:c r="I171" s="76" t="n">
        <x:v>224.9</x:v>
      </x:c>
      <x:c r="J171" s="76" t="n">
        <x:v>5</x:v>
      </x:c>
      <x:c r="K171" s="76" t="n">
        <x:v>15</x:v>
      </x:c>
      <x:c r="L171" s="82" t="n">
        <x:v>0.1</x:v>
      </x:c>
      <x:c r="M171" s="79" t="n">
        <x:f>I171*L171</x:f>
        <x:v>22.490000000000002</x:v>
      </x:c>
      <x:c r="N171" s="76" t="n">
        <x:v>6.75</x:v>
      </x:c>
      <x:c r="O171" s="79" t="n">
        <x:f>I171+J171+K171-M171-N171</x:f>
        <x:v>215.66</x:v>
      </x:c>
      <x:c r="P171" s="82" t="n">
        <x:v>0.18</x:v>
      </x:c>
      <x:c r="Q171" s="79" t="n">
        <x:f>I171*P171</x:f>
        <x:v>40.482</x:v>
      </x:c>
      <x:c r="R171" s="76" t="n">
        <x:v>0.67</x:v>
      </x:c>
      <x:c r="S171" s="79" t="n">
        <x:f>I171+J171-M171-Q171-R171</x:f>
        <x:v>166.258</x:v>
      </x:c>
      <x:c r="T171" s="76" t="n">
        <x:v>1.2</x:v>
      </x:c>
      <x:c r="U171" s="79" t="n">
        <x:f>H171*T171</x:f>
        <x:v>6</x:v>
      </x:c>
      <x:c r="V171" s="82" t="n">
        <x:v>0.337</x:v>
      </x:c>
      <x:c r="W171" s="79" t="n">
        <x:f>I171*V171</x:f>
        <x:v>75.7913</x:v>
      </x:c>
      <x:c r="X171" s="79" t="n">
        <x:f>S171-U171-W171</x:f>
        <x:v>84.4667</x:v>
      </x:c>
      <x:c r="Y171" s="85" t="n">
        <x:f>IFERROR(X171/I171,0)</x:f>
        <x:v>0.3755744775455758</x:v>
      </x:c>
      <x:c r="Z171" s="67" t="str">
        <x:f>IF(X171&lt;0,"亏损",IF(Y171&lt;8%,"关注","正常"))</x:f>
        <x:v>正常</x:v>
      </x:c>
    </x:row>
    <x:row r="172">
      <x:c r="A172" s="68" t="str">
        <x:v>WMS-00168</x:v>
      </x:c>
      <x:c r="B172" s="74" t="n">
        <x:v>46216.5</x:v>
      </x:c>
      <x:c r="C172" s="74" t="n">
        <x:v>46218.5</x:v>
      </x:c>
      <x:c r="D172" s="68" t="str">
        <x:v>S08</x:v>
      </x:c>
      <x:c r="E172" s="68" t="str">
        <x:v>四季青店</x:v>
      </x:c>
      <x:c r="F172" s="68" t="str">
        <x:v>美团外卖</x:v>
      </x:c>
      <x:c r="G172" s="68" t="str">
        <x:v>平台活动订单</x:v>
      </x:c>
      <x:c r="H172" s="71" t="n">
        <x:v>3</x:v>
      </x:c>
      <x:c r="I172" s="77" t="n">
        <x:v>136.54000000000008</x:v>
      </x:c>
      <x:c r="J172" s="77" t="n">
        <x:v>3</x:v>
      </x:c>
      <x:c r="K172" s="77" t="n">
        <x:v>9</x:v>
      </x:c>
      <x:c r="L172" s="83" t="n">
        <x:v>0.22</x:v>
      </x:c>
      <x:c r="M172" s="80" t="n">
        <x:f>I172*L172</x:f>
        <x:v>30.038800000000016</x:v>
      </x:c>
      <x:c r="N172" s="77" t="n">
        <x:v>10.92</x:v>
      </x:c>
      <x:c r="O172" s="80" t="n">
        <x:f>I172+J172+K172-M172-N172</x:f>
        <x:v>107.58120000000007</x:v>
      </x:c>
      <x:c r="P172" s="83" t="n">
        <x:v>0.18</x:v>
      </x:c>
      <x:c r="Q172" s="80" t="n">
        <x:f>I172*P172</x:f>
        <x:v>24.577200000000012</x:v>
      </x:c>
      <x:c r="R172" s="77" t="n">
        <x:v>0.82</x:v>
      </x:c>
      <x:c r="S172" s="80" t="n">
        <x:f>I172+J172-M172-Q172-R172</x:f>
        <x:v>84.10400000000007</x:v>
      </x:c>
      <x:c r="T172" s="77" t="n">
        <x:v>1.2</x:v>
      </x:c>
      <x:c r="U172" s="80" t="n">
        <x:f>H172*T172</x:f>
        <x:v>3.5999999999999996</x:v>
      </x:c>
      <x:c r="V172" s="83" t="n">
        <x:v>0.357</x:v>
      </x:c>
      <x:c r="W172" s="80" t="n">
        <x:f>I172*V172</x:f>
        <x:v>48.74478000000003</x:v>
      </x:c>
      <x:c r="X172" s="80" t="n">
        <x:f>S172-U172-W172</x:f>
        <x:v>31.75922000000005</x:v>
      </x:c>
      <x:c r="Y172" s="86" t="n">
        <x:f>IFERROR(X172/I172,0)</x:f>
        <x:v>0.23260011718177845</x:v>
      </x:c>
      <x:c r="Z172" s="68" t="str">
        <x:f>IF(X172&lt;0,"亏损",IF(Y172&lt;8%,"关注","正常"))</x:f>
        <x:v>正常</x:v>
      </x:c>
    </x:row>
  </x:sheetData>
  <x:mergeCells>
    <x:mergeCell ref="A1:Z1"/>
    <x:mergeCell ref="A2:Z2"/>
  </x:mergeCells>
  <x:conditionalFormatting sqref="Z5:Z172">
    <x:cfRule type="containsText" dxfId="5" priority="1" operator="containsText" text="正常"/>
    <x:cfRule type="containsText" dxfId="6" priority="2" operator="containsText" text="安全"/>
    <x:cfRule type="containsText" dxfId="7" priority="3" operator="containsText" text="已对账"/>
    <x:cfRule type="containsText" dxfId="8" priority="4" operator="containsText" text="已结清"/>
    <x:cfRule type="containsText" dxfId="9" priority="5" operator="containsText" text="亏损"/>
    <x:cfRule type="containsText" dxfId="10" priority="6" operator="containsText" text="缺口"/>
    <x:cfRule type="containsText" dxfId="11" priority="7" operator="containsText" text="待核对"/>
    <x:cfRule type="containsText" dxfId="12" priority="8" operator="containsText" text="逾期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2" hidden="0" customWidth="1"/>
    <x:col min="7" max="7" width="13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8" hidden="0" customWidth="1"/>
  </x:cols>
  <x:sheetData>
    <x:row r="1" ht="30" customHeight="1">
      <x:c r="A1" s="52" t="str">
        <x:v>支付交易账单与资金到账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</x:row>
    <x:row r="2" ht="28" customHeight="1">
      <x:c r="A2" s="56" t="str">
        <x:v>交易日和资金记账日分开；微信/支付宝/银行卡按T+1、现金按当日到账，保留一笔36.8元待核对差异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</x:row>
    <x:row r="4" ht="34" customHeight="1">
      <x:c r="A4" s="61" t="str">
        <x:v>账单ID</x:v>
      </x:c>
      <x:c r="B4" s="61" t="str">
        <x:v>交易日</x:v>
      </x:c>
      <x:c r="C4" s="61" t="str">
        <x:v>记账日</x:v>
      </x:c>
      <x:c r="D4" s="61" t="str">
        <x:v>门店ID</x:v>
      </x:c>
      <x:c r="E4" s="61" t="str">
        <x:v>门店</x:v>
      </x:c>
      <x:c r="F4" s="61" t="str">
        <x:v>支付方式</x:v>
      </x:c>
      <x:c r="G4" s="61" t="str">
        <x:v>交易金额</x:v>
      </x:c>
      <x:c r="H4" s="61" t="str">
        <x:v>退款率</x:v>
      </x:c>
      <x:c r="I4" s="61" t="str">
        <x:v>退款金额</x:v>
      </x:c>
      <x:c r="J4" s="61" t="str">
        <x:v>手续费率</x:v>
      </x:c>
      <x:c r="K4" s="61" t="str">
        <x:v>手续费</x:v>
      </x:c>
      <x:c r="L4" s="61" t="str">
        <x:v>应到账</x:v>
      </x:c>
      <x:c r="M4" s="61" t="str">
        <x:v>实际到账</x:v>
      </x:c>
      <x:c r="N4" s="61" t="str">
        <x:v>差异</x:v>
      </x:c>
      <x:c r="O4" s="61" t="str">
        <x:v>状态</x:v>
      </x:c>
      <x:c r="P4" s="61" t="str">
        <x:v>来源</x:v>
      </x:c>
    </x:row>
    <x:row r="5">
      <x:c r="A5" s="66" t="str">
        <x:v>PAY-00001</x:v>
      </x:c>
      <x:c r="B5" s="72" t="n">
        <x:v>46210.5</x:v>
      </x:c>
      <x:c r="C5" s="72" t="n">
        <x:v>46211.5</x:v>
      </x:c>
      <x:c r="D5" s="66" t="str">
        <x:v>S01</x:v>
      </x:c>
      <x:c r="E5" s="66" t="str">
        <x:v>近江天阳店</x:v>
      </x:c>
      <x:c r="F5" s="66" t="str">
        <x:v>微信支付</x:v>
      </x:c>
      <x:c r="G5" s="75" t="n">
        <x:v>4155.43</x:v>
      </x:c>
      <x:c r="H5" s="87" t="n">
        <x:v>0.003</x:v>
      </x:c>
      <x:c r="I5" s="78" t="n">
        <x:f>G5*H5</x:f>
        <x:v>12.46629</x:v>
      </x:c>
      <x:c r="J5" s="87" t="n">
        <x:v>0.0038</x:v>
      </x:c>
      <x:c r="K5" s="78" t="n">
        <x:f>G5*J5</x:f>
        <x:v>15.790634</x:v>
      </x:c>
      <x:c r="L5" s="78" t="n">
        <x:f>G5-I5-K5</x:f>
        <x:v>4127.173076</x:v>
      </x:c>
      <x:c r="M5" s="75" t="n">
        <x:v>4127.17</x:v>
      </x:c>
      <x:c r="N5" s="78" t="n">
        <x:f>M5-L5</x:f>
        <x:v>-0.0030759999999645515</x:v>
      </x:c>
      <x:c r="O5" s="66" t="str">
        <x:f>IF(ABS(N5)&lt;=1,"已对账","待核对")</x:f>
        <x:v>已对账</x:v>
      </x:c>
      <x:c r="P5" s="66" t="str">
        <x:v>S-模拟支付账单</x:v>
      </x:c>
    </x:row>
    <x:row r="6">
      <x:c r="A6" s="67" t="str">
        <x:v>PAY-00002</x:v>
      </x:c>
      <x:c r="B6" s="73" t="n">
        <x:v>46210.5</x:v>
      </x:c>
      <x:c r="C6" s="73" t="n">
        <x:v>46211.5</x:v>
      </x:c>
      <x:c r="D6" s="67" t="str">
        <x:v>S01</x:v>
      </x:c>
      <x:c r="E6" s="67" t="str">
        <x:v>近江天阳店</x:v>
      </x:c>
      <x:c r="F6" s="67" t="str">
        <x:v>支付宝</x:v>
      </x:c>
      <x:c r="G6" s="76" t="n">
        <x:v>3232</x:v>
      </x:c>
      <x:c r="H6" s="88" t="n">
        <x:v>0.002</x:v>
      </x:c>
      <x:c r="I6" s="79" t="n">
        <x:f>G6*H6</x:f>
        <x:v>6.464</x:v>
      </x:c>
      <x:c r="J6" s="88" t="n">
        <x:v>0.0038</x:v>
      </x:c>
      <x:c r="K6" s="79" t="n">
        <x:f>G6*J6</x:f>
        <x:v>12.2816</x:v>
      </x:c>
      <x:c r="L6" s="79" t="n">
        <x:f>G6-I6-K6</x:f>
        <x:v>3213.2544000000003</x:v>
      </x:c>
      <x:c r="M6" s="76" t="n">
        <x:v>3213.26</x:v>
      </x:c>
      <x:c r="N6" s="79" t="n">
        <x:f>M6-L6</x:f>
        <x:v>0.005599999999958527</x:v>
      </x:c>
      <x:c r="O6" s="67" t="str">
        <x:f>IF(ABS(N6)&lt;=1,"已对账","待核对")</x:f>
        <x:v>已对账</x:v>
      </x:c>
      <x:c r="P6" s="67" t="str">
        <x:v>S-模拟支付账单</x:v>
      </x:c>
    </x:row>
    <x:row r="7">
      <x:c r="A7" s="67" t="str">
        <x:v>PAY-00003</x:v>
      </x:c>
      <x:c r="B7" s="73" t="n">
        <x:v>46210.5</x:v>
      </x:c>
      <x:c r="C7" s="73" t="n">
        <x:v>46211.5</x:v>
      </x:c>
      <x:c r="D7" s="67" t="str">
        <x:v>S01</x:v>
      </x:c>
      <x:c r="E7" s="67" t="str">
        <x:v>近江天阳店</x:v>
      </x:c>
      <x:c r="F7" s="67" t="str">
        <x:v>银行卡</x:v>
      </x:c>
      <x:c r="G7" s="76" t="n">
        <x:v>923.43</x:v>
      </x:c>
      <x:c r="H7" s="88" t="n">
        <x:v>0.001</x:v>
      </x:c>
      <x:c r="I7" s="79" t="n">
        <x:f>G7*H7</x:f>
        <x:v>0.92343</x:v>
      </x:c>
      <x:c r="J7" s="88" t="n">
        <x:v>0.005</x:v>
      </x:c>
      <x:c r="K7" s="79" t="n">
        <x:f>G7*J7</x:f>
        <x:v>4.61715</x:v>
      </x:c>
      <x:c r="L7" s="79" t="n">
        <x:f>G7-I7-K7</x:f>
        <x:v>917.8894199999999</x:v>
      </x:c>
      <x:c r="M7" s="76" t="n">
        <x:v>917.89</x:v>
      </x:c>
      <x:c r="N7" s="79" t="n">
        <x:f>M7-L7</x:f>
        <x:v>0.0005800000001272565</x:v>
      </x:c>
      <x:c r="O7" s="67" t="str">
        <x:f>IF(ABS(N7)&lt;=1,"已对账","待核对")</x:f>
        <x:v>已对账</x:v>
      </x:c>
      <x:c r="P7" s="67" t="str">
        <x:v>S-模拟支付账单</x:v>
      </x:c>
    </x:row>
    <x:row r="8">
      <x:c r="A8" s="67" t="str">
        <x:v>PAY-00004</x:v>
      </x:c>
      <x:c r="B8" s="73" t="n">
        <x:v>46210.5</x:v>
      </x:c>
      <x:c r="C8" s="73" t="n">
        <x:v>46210.5</x:v>
      </x:c>
      <x:c r="D8" s="67" t="str">
        <x:v>S01</x:v>
      </x:c>
      <x:c r="E8" s="67" t="str">
        <x:v>近江天阳店</x:v>
      </x:c>
      <x:c r="F8" s="67" t="str">
        <x:v>现金</x:v>
      </x:c>
      <x:c r="G8" s="76" t="n">
        <x:v>923.43</x:v>
      </x:c>
      <x:c r="H8" s="88" t="n">
        <x:v>0</x:v>
      </x:c>
      <x:c r="I8" s="79" t="n">
        <x:f>G8*H8</x:f>
        <x:v>0</x:v>
      </x:c>
      <x:c r="J8" s="88" t="n">
        <x:v>0</x:v>
      </x:c>
      <x:c r="K8" s="79" t="n">
        <x:f>G8*J8</x:f>
        <x:v>0</x:v>
      </x:c>
      <x:c r="L8" s="79" t="n">
        <x:f>G8-I8-K8</x:f>
        <x:v>923.43</x:v>
      </x:c>
      <x:c r="M8" s="76" t="n">
        <x:v>923.43</x:v>
      </x:c>
      <x:c r="N8" s="79" t="n">
        <x:f>M8-L8</x:f>
        <x:v>0</x:v>
      </x:c>
      <x:c r="O8" s="67" t="str">
        <x:f>IF(ABS(N8)&lt;=1,"已对账","待核对")</x:f>
        <x:v>已对账</x:v>
      </x:c>
      <x:c r="P8" s="67" t="str">
        <x:v>S-模拟支付账单</x:v>
      </x:c>
    </x:row>
    <x:row r="9">
      <x:c r="A9" s="67" t="str">
        <x:v>PAY-00005</x:v>
      </x:c>
      <x:c r="B9" s="73" t="n">
        <x:v>46211.5</x:v>
      </x:c>
      <x:c r="C9" s="73" t="n">
        <x:v>46212.5</x:v>
      </x:c>
      <x:c r="D9" s="67" t="str">
        <x:v>S01</x:v>
      </x:c>
      <x:c r="E9" s="67" t="str">
        <x:v>近江天阳店</x:v>
      </x:c>
      <x:c r="F9" s="67" t="str">
        <x:v>微信支付</x:v>
      </x:c>
      <x:c r="G9" s="76" t="n">
        <x:v>4040.46</x:v>
      </x:c>
      <x:c r="H9" s="88" t="n">
        <x:v>0.003</x:v>
      </x:c>
      <x:c r="I9" s="79" t="n">
        <x:f>G9*H9</x:f>
        <x:v>12.12138</x:v>
      </x:c>
      <x:c r="J9" s="88" t="n">
        <x:v>0.0038</x:v>
      </x:c>
      <x:c r="K9" s="79" t="n">
        <x:f>G9*J9</x:f>
        <x:v>15.353748</x:v>
      </x:c>
      <x:c r="L9" s="79" t="n">
        <x:f>G9-I9-K9</x:f>
        <x:v>4012.984872</x:v>
      </x:c>
      <x:c r="M9" s="76" t="n">
        <x:v>4012.99</x:v>
      </x:c>
      <x:c r="N9" s="79" t="n">
        <x:f>M9-L9</x:f>
        <x:v>0.00512799999978597</x:v>
      </x:c>
      <x:c r="O9" s="67" t="str">
        <x:f>IF(ABS(N9)&lt;=1,"已对账","待核对")</x:f>
        <x:v>已对账</x:v>
      </x:c>
      <x:c r="P9" s="67" t="str">
        <x:v>S-模拟支付账单</x:v>
      </x:c>
    </x:row>
    <x:row r="10">
      <x:c r="A10" s="67" t="str">
        <x:v>PAY-00006</x:v>
      </x:c>
      <x:c r="B10" s="73" t="n">
        <x:v>46211.5</x:v>
      </x:c>
      <x:c r="C10" s="73" t="n">
        <x:v>46212.5</x:v>
      </x:c>
      <x:c r="D10" s="67" t="str">
        <x:v>S01</x:v>
      </x:c>
      <x:c r="E10" s="67" t="str">
        <x:v>近江天阳店</x:v>
      </x:c>
      <x:c r="F10" s="67" t="str">
        <x:v>支付宝</x:v>
      </x:c>
      <x:c r="G10" s="76" t="n">
        <x:v>3142.58</x:v>
      </x:c>
      <x:c r="H10" s="88" t="n">
        <x:v>0.002</x:v>
      </x:c>
      <x:c r="I10" s="79" t="n">
        <x:f>G10*H10</x:f>
        <x:v>6.28516</x:v>
      </x:c>
      <x:c r="J10" s="88" t="n">
        <x:v>0.0038</x:v>
      </x:c>
      <x:c r="K10" s="79" t="n">
        <x:f>G10*J10</x:f>
        <x:v>11.941804</x:v>
      </x:c>
      <x:c r="L10" s="79" t="n">
        <x:f>G10-I10-K10</x:f>
        <x:v>3124.353036</x:v>
      </x:c>
      <x:c r="M10" s="76" t="n">
        <x:v>3124.35</x:v>
      </x:c>
      <x:c r="N10" s="79" t="n">
        <x:f>M10-L10</x:f>
        <x:v>-0.003036000000065542</x:v>
      </x:c>
      <x:c r="O10" s="67" t="str">
        <x:f>IF(ABS(N10)&lt;=1,"已对账","待核对")</x:f>
        <x:v>已对账</x:v>
      </x:c>
      <x:c r="P10" s="67" t="str">
        <x:v>S-模拟支付账单</x:v>
      </x:c>
    </x:row>
    <x:row r="11">
      <x:c r="A11" s="67" t="str">
        <x:v>PAY-00007</x:v>
      </x:c>
      <x:c r="B11" s="73" t="n">
        <x:v>46211.5</x:v>
      </x:c>
      <x:c r="C11" s="73" t="n">
        <x:v>46212.5</x:v>
      </x:c>
      <x:c r="D11" s="67" t="str">
        <x:v>S01</x:v>
      </x:c>
      <x:c r="E11" s="67" t="str">
        <x:v>近江天阳店</x:v>
      </x:c>
      <x:c r="F11" s="67" t="str">
        <x:v>银行卡</x:v>
      </x:c>
      <x:c r="G11" s="76" t="n">
        <x:v>897.88</x:v>
      </x:c>
      <x:c r="H11" s="88" t="n">
        <x:v>0.001</x:v>
      </x:c>
      <x:c r="I11" s="79" t="n">
        <x:f>G11*H11</x:f>
        <x:v>0.89788</x:v>
      </x:c>
      <x:c r="J11" s="88" t="n">
        <x:v>0.005</x:v>
      </x:c>
      <x:c r="K11" s="79" t="n">
        <x:f>G11*J11</x:f>
        <x:v>4.4894</x:v>
      </x:c>
      <x:c r="L11" s="79" t="n">
        <x:f>G11-I11-K11</x:f>
        <x:v>892.49272</x:v>
      </x:c>
      <x:c r="M11" s="76" t="n">
        <x:v>892.49</x:v>
      </x:c>
      <x:c r="N11" s="79" t="n">
        <x:f>M11-L11</x:f>
        <x:v>-0.0027199999999538704</x:v>
      </x:c>
      <x:c r="O11" s="67" t="str">
        <x:f>IF(ABS(N11)&lt;=1,"已对账","待核对")</x:f>
        <x:v>已对账</x:v>
      </x:c>
      <x:c r="P11" s="67" t="str">
        <x:v>S-模拟支付账单</x:v>
      </x:c>
    </x:row>
    <x:row r="12">
      <x:c r="A12" s="67" t="str">
        <x:v>PAY-00008</x:v>
      </x:c>
      <x:c r="B12" s="73" t="n">
        <x:v>46211.5</x:v>
      </x:c>
      <x:c r="C12" s="73" t="n">
        <x:v>46211.5</x:v>
      </x:c>
      <x:c r="D12" s="67" t="str">
        <x:v>S01</x:v>
      </x:c>
      <x:c r="E12" s="67" t="str">
        <x:v>近江天阳店</x:v>
      </x:c>
      <x:c r="F12" s="67" t="str">
        <x:v>现金</x:v>
      </x:c>
      <x:c r="G12" s="76" t="n">
        <x:v>897.88</x:v>
      </x:c>
      <x:c r="H12" s="88" t="n">
        <x:v>0</x:v>
      </x:c>
      <x:c r="I12" s="79" t="n">
        <x:f>G12*H12</x:f>
        <x:v>0</x:v>
      </x:c>
      <x:c r="J12" s="88" t="n">
        <x:v>0</x:v>
      </x:c>
      <x:c r="K12" s="79" t="n">
        <x:f>G12*J12</x:f>
        <x:v>0</x:v>
      </x:c>
      <x:c r="L12" s="79" t="n">
        <x:f>G12-I12-K12</x:f>
        <x:v>897.88</x:v>
      </x:c>
      <x:c r="M12" s="76" t="n">
        <x:v>897.88</x:v>
      </x:c>
      <x:c r="N12" s="79" t="n">
        <x:f>M12-L12</x:f>
        <x:v>0</x:v>
      </x:c>
      <x:c r="O12" s="67" t="str">
        <x:f>IF(ABS(N12)&lt;=1,"已对账","待核对")</x:f>
        <x:v>已对账</x:v>
      </x:c>
      <x:c r="P12" s="67" t="str">
        <x:v>S-模拟支付账单</x:v>
      </x:c>
    </x:row>
    <x:row r="13">
      <x:c r="A13" s="67" t="str">
        <x:v>PAY-00009</x:v>
      </x:c>
      <x:c r="B13" s="73" t="n">
        <x:v>46212.5</x:v>
      </x:c>
      <x:c r="C13" s="73" t="n">
        <x:v>46213.5</x:v>
      </x:c>
      <x:c r="D13" s="67" t="str">
        <x:v>S01</x:v>
      </x:c>
      <x:c r="E13" s="67" t="str">
        <x:v>近江天阳店</x:v>
      </x:c>
      <x:c r="F13" s="67" t="str">
        <x:v>微信支付</x:v>
      </x:c>
      <x:c r="G13" s="76" t="n">
        <x:v>3961.22</x:v>
      </x:c>
      <x:c r="H13" s="88" t="n">
        <x:v>0.003</x:v>
      </x:c>
      <x:c r="I13" s="79" t="n">
        <x:f>G13*H13</x:f>
        <x:v>11.883659999999999</x:v>
      </x:c>
      <x:c r="J13" s="88" t="n">
        <x:v>0.0038</x:v>
      </x:c>
      <x:c r="K13" s="79" t="n">
        <x:f>G13*J13</x:f>
        <x:v>15.052636</x:v>
      </x:c>
      <x:c r="L13" s="79" t="n">
        <x:f>G13-I13-K13</x:f>
        <x:v>3934.283704</x:v>
      </x:c>
      <x:c r="M13" s="76" t="n">
        <x:v>3934.29</x:v>
      </x:c>
      <x:c r="N13" s="79" t="n">
        <x:f>M13-L13</x:f>
        <x:v>0.006296000000020285</x:v>
      </x:c>
      <x:c r="O13" s="67" t="str">
        <x:f>IF(ABS(N13)&lt;=1,"已对账","待核对")</x:f>
        <x:v>已对账</x:v>
      </x:c>
      <x:c r="P13" s="67" t="str">
        <x:v>S-模拟支付账单</x:v>
      </x:c>
    </x:row>
    <x:row r="14">
      <x:c r="A14" s="67" t="str">
        <x:v>PAY-00010</x:v>
      </x:c>
      <x:c r="B14" s="73" t="n">
        <x:v>46212.5</x:v>
      </x:c>
      <x:c r="C14" s="73" t="n">
        <x:v>46213.5</x:v>
      </x:c>
      <x:c r="D14" s="67" t="str">
        <x:v>S01</x:v>
      </x:c>
      <x:c r="E14" s="67" t="str">
        <x:v>近江天阳店</x:v>
      </x:c>
      <x:c r="F14" s="67" t="str">
        <x:v>支付宝</x:v>
      </x:c>
      <x:c r="G14" s="76" t="n">
        <x:v>3080.95</x:v>
      </x:c>
      <x:c r="H14" s="88" t="n">
        <x:v>0.002</x:v>
      </x:c>
      <x:c r="I14" s="79" t="n">
        <x:f>G14*H14</x:f>
        <x:v>6.1619</x:v>
      </x:c>
      <x:c r="J14" s="88" t="n">
        <x:v>0.0038</x:v>
      </x:c>
      <x:c r="K14" s="79" t="n">
        <x:f>G14*J14</x:f>
        <x:v>11.707609999999999</x:v>
      </x:c>
      <x:c r="L14" s="79" t="n">
        <x:f>G14-I14-K14</x:f>
        <x:v>3063.08049</x:v>
      </x:c>
      <x:c r="M14" s="76" t="n">
        <x:v>3063.08</x:v>
      </x:c>
      <x:c r="N14" s="79" t="n">
        <x:f>M14-L14</x:f>
        <x:v>-0.0004899999998997373</x:v>
      </x:c>
      <x:c r="O14" s="67" t="str">
        <x:f>IF(ABS(N14)&lt;=1,"已对账","待核对")</x:f>
        <x:v>已对账</x:v>
      </x:c>
      <x:c r="P14" s="67" t="str">
        <x:v>S-模拟支付账单</x:v>
      </x:c>
    </x:row>
    <x:row r="15">
      <x:c r="A15" s="67" t="str">
        <x:v>PAY-00011</x:v>
      </x:c>
      <x:c r="B15" s="73" t="n">
        <x:v>46212.5</x:v>
      </x:c>
      <x:c r="C15" s="73" t="n">
        <x:v>46213.5</x:v>
      </x:c>
      <x:c r="D15" s="67" t="str">
        <x:v>S01</x:v>
      </x:c>
      <x:c r="E15" s="67" t="str">
        <x:v>近江天阳店</x:v>
      </x:c>
      <x:c r="F15" s="67" t="str">
        <x:v>银行卡</x:v>
      </x:c>
      <x:c r="G15" s="76" t="n">
        <x:v>880.27</x:v>
      </x:c>
      <x:c r="H15" s="88" t="n">
        <x:v>0.001</x:v>
      </x:c>
      <x:c r="I15" s="79" t="n">
        <x:f>G15*H15</x:f>
        <x:v>0.88027</x:v>
      </x:c>
      <x:c r="J15" s="88" t="n">
        <x:v>0.005</x:v>
      </x:c>
      <x:c r="K15" s="79" t="n">
        <x:f>G15*J15</x:f>
        <x:v>4.40135</x:v>
      </x:c>
      <x:c r="L15" s="79" t="n">
        <x:f>G15-I15-K15</x:f>
        <x:v>874.98838</x:v>
      </x:c>
      <x:c r="M15" s="76" t="n">
        <x:v>874.99</x:v>
      </x:c>
      <x:c r="N15" s="79" t="n">
        <x:f>M15-L15</x:f>
        <x:v>0.0016200000000026193</x:v>
      </x:c>
      <x:c r="O15" s="67" t="str">
        <x:f>IF(ABS(N15)&lt;=1,"已对账","待核对")</x:f>
        <x:v>已对账</x:v>
      </x:c>
      <x:c r="P15" s="67" t="str">
        <x:v>S-模拟支付账单</x:v>
      </x:c>
    </x:row>
    <x:row r="16">
      <x:c r="A16" s="67" t="str">
        <x:v>PAY-00012</x:v>
      </x:c>
      <x:c r="B16" s="73" t="n">
        <x:v>46212.5</x:v>
      </x:c>
      <x:c r="C16" s="73" t="n">
        <x:v>46212.5</x:v>
      </x:c>
      <x:c r="D16" s="67" t="str">
        <x:v>S01</x:v>
      </x:c>
      <x:c r="E16" s="67" t="str">
        <x:v>近江天阳店</x:v>
      </x:c>
      <x:c r="F16" s="67" t="str">
        <x:v>现金</x:v>
      </x:c>
      <x:c r="G16" s="76" t="n">
        <x:v>880.27</x:v>
      </x:c>
      <x:c r="H16" s="88" t="n">
        <x:v>0</x:v>
      </x:c>
      <x:c r="I16" s="79" t="n">
        <x:f>G16*H16</x:f>
        <x:v>0</x:v>
      </x:c>
      <x:c r="J16" s="88" t="n">
        <x:v>0</x:v>
      </x:c>
      <x:c r="K16" s="79" t="n">
        <x:f>G16*J16</x:f>
        <x:v>0</x:v>
      </x:c>
      <x:c r="L16" s="79" t="n">
        <x:f>G16-I16-K16</x:f>
        <x:v>880.27</x:v>
      </x:c>
      <x:c r="M16" s="76" t="n">
        <x:v>880.27</x:v>
      </x:c>
      <x:c r="N16" s="79" t="n">
        <x:f>M16-L16</x:f>
        <x:v>0</x:v>
      </x:c>
      <x:c r="O16" s="67" t="str">
        <x:f>IF(ABS(N16)&lt;=1,"已对账","待核对")</x:f>
        <x:v>已对账</x:v>
      </x:c>
      <x:c r="P16" s="67" t="str">
        <x:v>S-模拟支付账单</x:v>
      </x:c>
    </x:row>
    <x:row r="17">
      <x:c r="A17" s="67" t="str">
        <x:v>PAY-00013</x:v>
      </x:c>
      <x:c r="B17" s="73" t="n">
        <x:v>46213.5</x:v>
      </x:c>
      <x:c r="C17" s="73" t="n">
        <x:v>46214.5</x:v>
      </x:c>
      <x:c r="D17" s="67" t="str">
        <x:v>S01</x:v>
      </x:c>
      <x:c r="E17" s="67" t="str">
        <x:v>近江天阳店</x:v>
      </x:c>
      <x:c r="F17" s="67" t="str">
        <x:v>微信支付</x:v>
      </x:c>
      <x:c r="G17" s="76" t="n">
        <x:v>4113.59</x:v>
      </x:c>
      <x:c r="H17" s="88" t="n">
        <x:v>0.003</x:v>
      </x:c>
      <x:c r="I17" s="79" t="n">
        <x:f>G17*H17</x:f>
        <x:v>12.340770000000001</x:v>
      </x:c>
      <x:c r="J17" s="88" t="n">
        <x:v>0.0038</x:v>
      </x:c>
      <x:c r="K17" s="79" t="n">
        <x:f>G17*J17</x:f>
        <x:v>15.631642000000001</x:v>
      </x:c>
      <x:c r="L17" s="79" t="n">
        <x:f>G17-I17-K17</x:f>
        <x:v>4085.6175880000005</x:v>
      </x:c>
      <x:c r="M17" s="76" t="n">
        <x:v>4085.62</x:v>
      </x:c>
      <x:c r="N17" s="79" t="n">
        <x:f>M17-L17</x:f>
        <x:v>0.0024119999993672536</x:v>
      </x:c>
      <x:c r="O17" s="67" t="str">
        <x:f>IF(ABS(N17)&lt;=1,"已对账","待核对")</x:f>
        <x:v>已对账</x:v>
      </x:c>
      <x:c r="P17" s="67" t="str">
        <x:v>S-模拟支付账单</x:v>
      </x:c>
    </x:row>
    <x:row r="18">
      <x:c r="A18" s="67" t="str">
        <x:v>PAY-00014</x:v>
      </x:c>
      <x:c r="B18" s="73" t="n">
        <x:v>46213.5</x:v>
      </x:c>
      <x:c r="C18" s="73" t="n">
        <x:v>46214.5</x:v>
      </x:c>
      <x:c r="D18" s="67" t="str">
        <x:v>S01</x:v>
      </x:c>
      <x:c r="E18" s="67" t="str">
        <x:v>近江天阳店</x:v>
      </x:c>
      <x:c r="F18" s="67" t="str">
        <x:v>支付宝</x:v>
      </x:c>
      <x:c r="G18" s="76" t="n">
        <x:v>3199.45</x:v>
      </x:c>
      <x:c r="H18" s="88" t="n">
        <x:v>0.002</x:v>
      </x:c>
      <x:c r="I18" s="79" t="n">
        <x:f>G18*H18</x:f>
        <x:v>6.398899999999999</x:v>
      </x:c>
      <x:c r="J18" s="88" t="n">
        <x:v>0.0038</x:v>
      </x:c>
      <x:c r="K18" s="79" t="n">
        <x:f>G18*J18</x:f>
        <x:v>12.15791</x:v>
      </x:c>
      <x:c r="L18" s="79" t="n">
        <x:f>G18-I18-K18</x:f>
        <x:v>3180.89319</x:v>
      </x:c>
      <x:c r="M18" s="76" t="n">
        <x:v>3180.89</x:v>
      </x:c>
      <x:c r="N18" s="79" t="n">
        <x:f>M18-L18</x:f>
        <x:v>-0.003189999999904103</x:v>
      </x:c>
      <x:c r="O18" s="67" t="str">
        <x:f>IF(ABS(N18)&lt;=1,"已对账","待核对")</x:f>
        <x:v>已对账</x:v>
      </x:c>
      <x:c r="P18" s="67" t="str">
        <x:v>S-模拟支付账单</x:v>
      </x:c>
    </x:row>
    <x:row r="19">
      <x:c r="A19" s="67" t="str">
        <x:v>PAY-00015</x:v>
      </x:c>
      <x:c r="B19" s="73" t="n">
        <x:v>46213.5</x:v>
      </x:c>
      <x:c r="C19" s="73" t="n">
        <x:v>46214.5</x:v>
      </x:c>
      <x:c r="D19" s="67" t="str">
        <x:v>S01</x:v>
      </x:c>
      <x:c r="E19" s="67" t="str">
        <x:v>近江天阳店</x:v>
      </x:c>
      <x:c r="F19" s="67" t="str">
        <x:v>银行卡</x:v>
      </x:c>
      <x:c r="G19" s="76" t="n">
        <x:v>914.13</x:v>
      </x:c>
      <x:c r="H19" s="88" t="n">
        <x:v>0.001</x:v>
      </x:c>
      <x:c r="I19" s="79" t="n">
        <x:f>G19*H19</x:f>
        <x:v>0.91413</x:v>
      </x:c>
      <x:c r="J19" s="88" t="n">
        <x:v>0.005</x:v>
      </x:c>
      <x:c r="K19" s="79" t="n">
        <x:f>G19*J19</x:f>
        <x:v>4.57065</x:v>
      </x:c>
      <x:c r="L19" s="79" t="n">
        <x:f>G19-I19-K19</x:f>
        <x:v>908.64522</x:v>
      </x:c>
      <x:c r="M19" s="76" t="n">
        <x:v>908.65</x:v>
      </x:c>
      <x:c r="N19" s="79" t="n">
        <x:f>M19-L19</x:f>
        <x:v>0.004779999999982465</x:v>
      </x:c>
      <x:c r="O19" s="67" t="str">
        <x:f>IF(ABS(N19)&lt;=1,"已对账","待核对")</x:f>
        <x:v>已对账</x:v>
      </x:c>
      <x:c r="P19" s="67" t="str">
        <x:v>S-模拟支付账单</x:v>
      </x:c>
    </x:row>
    <x:row r="20">
      <x:c r="A20" s="67" t="str">
        <x:v>PAY-00016</x:v>
      </x:c>
      <x:c r="B20" s="73" t="n">
        <x:v>46213.5</x:v>
      </x:c>
      <x:c r="C20" s="73" t="n">
        <x:v>46213.5</x:v>
      </x:c>
      <x:c r="D20" s="67" t="str">
        <x:v>S01</x:v>
      </x:c>
      <x:c r="E20" s="67" t="str">
        <x:v>近江天阳店</x:v>
      </x:c>
      <x:c r="F20" s="67" t="str">
        <x:v>现金</x:v>
      </x:c>
      <x:c r="G20" s="76" t="n">
        <x:v>914.13</x:v>
      </x:c>
      <x:c r="H20" s="88" t="n">
        <x:v>0</x:v>
      </x:c>
      <x:c r="I20" s="79" t="n">
        <x:f>G20*H20</x:f>
        <x:v>0</x:v>
      </x:c>
      <x:c r="J20" s="88" t="n">
        <x:v>0</x:v>
      </x:c>
      <x:c r="K20" s="79" t="n">
        <x:f>G20*J20</x:f>
        <x:v>0</x:v>
      </x:c>
      <x:c r="L20" s="79" t="n">
        <x:f>G20-I20-K20</x:f>
        <x:v>914.13</x:v>
      </x:c>
      <x:c r="M20" s="76" t="n">
        <x:v>914.13</x:v>
      </x:c>
      <x:c r="N20" s="79" t="n">
        <x:f>M20-L20</x:f>
        <x:v>0</x:v>
      </x:c>
      <x:c r="O20" s="67" t="str">
        <x:f>IF(ABS(N20)&lt;=1,"已对账","待核对")</x:f>
        <x:v>已对账</x:v>
      </x:c>
      <x:c r="P20" s="67" t="str">
        <x:v>S-模拟支付账单</x:v>
      </x:c>
    </x:row>
    <x:row r="21">
      <x:c r="A21" s="67" t="str">
        <x:v>PAY-00017</x:v>
      </x:c>
      <x:c r="B21" s="73" t="n">
        <x:v>46214.5</x:v>
      </x:c>
      <x:c r="C21" s="73" t="n">
        <x:v>46215.5</x:v>
      </x:c>
      <x:c r="D21" s="67" t="str">
        <x:v>S01</x:v>
      </x:c>
      <x:c r="E21" s="67" t="str">
        <x:v>近江天阳店</x:v>
      </x:c>
      <x:c r="F21" s="67" t="str">
        <x:v>微信支付</x:v>
      </x:c>
      <x:c r="G21" s="76" t="n">
        <x:v>3154.05</x:v>
      </x:c>
      <x:c r="H21" s="88" t="n">
        <x:v>0.003</x:v>
      </x:c>
      <x:c r="I21" s="79" t="n">
        <x:f>G21*H21</x:f>
        <x:v>9.462150000000001</x:v>
      </x:c>
      <x:c r="J21" s="88" t="n">
        <x:v>0.0038</x:v>
      </x:c>
      <x:c r="K21" s="79" t="n">
        <x:f>G21*J21</x:f>
        <x:v>11.98539</x:v>
      </x:c>
      <x:c r="L21" s="79" t="n">
        <x:f>G21-I21-K21</x:f>
        <x:v>3132.6024600000005</x:v>
      </x:c>
      <x:c r="M21" s="76" t="n">
        <x:v>3132.6</x:v>
      </x:c>
      <x:c r="N21" s="79" t="n">
        <x:f>M21-L21</x:f>
        <x:v>-0.0024600000006103073</x:v>
      </x:c>
      <x:c r="O21" s="67" t="str">
        <x:f>IF(ABS(N21)&lt;=1,"已对账","待核对")</x:f>
        <x:v>已对账</x:v>
      </x:c>
      <x:c r="P21" s="67" t="str">
        <x:v>S-模拟支付账单</x:v>
      </x:c>
    </x:row>
    <x:row r="22">
      <x:c r="A22" s="67" t="str">
        <x:v>PAY-00018</x:v>
      </x:c>
      <x:c r="B22" s="73" t="n">
        <x:v>46214.5</x:v>
      </x:c>
      <x:c r="C22" s="73" t="n">
        <x:v>46215.5</x:v>
      </x:c>
      <x:c r="D22" s="67" t="str">
        <x:v>S01</x:v>
      </x:c>
      <x:c r="E22" s="67" t="str">
        <x:v>近江天阳店</x:v>
      </x:c>
      <x:c r="F22" s="67" t="str">
        <x:v>支付宝</x:v>
      </x:c>
      <x:c r="G22" s="76" t="n">
        <x:v>2453.15</x:v>
      </x:c>
      <x:c r="H22" s="88" t="n">
        <x:v>0.002</x:v>
      </x:c>
      <x:c r="I22" s="79" t="n">
        <x:f>G22*H22</x:f>
        <x:v>4.9063</x:v>
      </x:c>
      <x:c r="J22" s="88" t="n">
        <x:v>0.0038</x:v>
      </x:c>
      <x:c r="K22" s="79" t="n">
        <x:f>G22*J22</x:f>
        <x:v>9.32197</x:v>
      </x:c>
      <x:c r="L22" s="79" t="n">
        <x:f>G22-I22-K22</x:f>
        <x:v>2438.92173</x:v>
      </x:c>
      <x:c r="M22" s="76" t="n">
        <x:v>2438.92</x:v>
      </x:c>
      <x:c r="N22" s="79" t="n">
        <x:f>M22-L22</x:f>
        <x:v>-0.0017299999999522697</x:v>
      </x:c>
      <x:c r="O22" s="67" t="str">
        <x:f>IF(ABS(N22)&lt;=1,"已对账","待核对")</x:f>
        <x:v>已对账</x:v>
      </x:c>
      <x:c r="P22" s="67" t="str">
        <x:v>S-模拟支付账单</x:v>
      </x:c>
    </x:row>
    <x:row r="23">
      <x:c r="A23" s="67" t="str">
        <x:v>PAY-00019</x:v>
      </x:c>
      <x:c r="B23" s="73" t="n">
        <x:v>46214.5</x:v>
      </x:c>
      <x:c r="C23" s="73" t="n">
        <x:v>46215.5</x:v>
      </x:c>
      <x:c r="D23" s="67" t="str">
        <x:v>S01</x:v>
      </x:c>
      <x:c r="E23" s="67" t="str">
        <x:v>近江天阳店</x:v>
      </x:c>
      <x:c r="F23" s="67" t="str">
        <x:v>银行卡</x:v>
      </x:c>
      <x:c r="G23" s="76" t="n">
        <x:v>700.9</x:v>
      </x:c>
      <x:c r="H23" s="88" t="n">
        <x:v>0.001</x:v>
      </x:c>
      <x:c r="I23" s="79" t="n">
        <x:f>G23*H23</x:f>
        <x:v>0.7009</x:v>
      </x:c>
      <x:c r="J23" s="88" t="n">
        <x:v>0.005</x:v>
      </x:c>
      <x:c r="K23" s="79" t="n">
        <x:f>G23*J23</x:f>
        <x:v>3.5045</x:v>
      </x:c>
      <x:c r="L23" s="79" t="n">
        <x:f>G23-I23-K23</x:f>
        <x:v>696.6945999999999</x:v>
      </x:c>
      <x:c r="M23" s="76" t="n">
        <x:v>696.7</x:v>
      </x:c>
      <x:c r="N23" s="79" t="n">
        <x:f>M23-L23</x:f>
        <x:v>0.005400000000122418</x:v>
      </x:c>
      <x:c r="O23" s="67" t="str">
        <x:f>IF(ABS(N23)&lt;=1,"已对账","待核对")</x:f>
        <x:v>已对账</x:v>
      </x:c>
      <x:c r="P23" s="67" t="str">
        <x:v>S-模拟支付账单</x:v>
      </x:c>
    </x:row>
    <x:row r="24">
      <x:c r="A24" s="67" t="str">
        <x:v>PAY-00020</x:v>
      </x:c>
      <x:c r="B24" s="73" t="n">
        <x:v>46214.5</x:v>
      </x:c>
      <x:c r="C24" s="73" t="n">
        <x:v>46214.5</x:v>
      </x:c>
      <x:c r="D24" s="67" t="str">
        <x:v>S01</x:v>
      </x:c>
      <x:c r="E24" s="67" t="str">
        <x:v>近江天阳店</x:v>
      </x:c>
      <x:c r="F24" s="67" t="str">
        <x:v>现金</x:v>
      </x:c>
      <x:c r="G24" s="76" t="n">
        <x:v>700.9</x:v>
      </x:c>
      <x:c r="H24" s="88" t="n">
        <x:v>0</x:v>
      </x:c>
      <x:c r="I24" s="79" t="n">
        <x:f>G24*H24</x:f>
        <x:v>0</x:v>
      </x:c>
      <x:c r="J24" s="88" t="n">
        <x:v>0</x:v>
      </x:c>
      <x:c r="K24" s="79" t="n">
        <x:f>G24*J24</x:f>
        <x:v>0</x:v>
      </x:c>
      <x:c r="L24" s="79" t="n">
        <x:f>G24-I24-K24</x:f>
        <x:v>700.9</x:v>
      </x:c>
      <x:c r="M24" s="76" t="n">
        <x:v>700.9</x:v>
      </x:c>
      <x:c r="N24" s="79" t="n">
        <x:f>M24-L24</x:f>
        <x:v>0</x:v>
      </x:c>
      <x:c r="O24" s="67" t="str">
        <x:f>IF(ABS(N24)&lt;=1,"已对账","待核对")</x:f>
        <x:v>已对账</x:v>
      </x:c>
      <x:c r="P24" s="67" t="str">
        <x:v>S-模拟支付账单</x:v>
      </x:c>
    </x:row>
    <x:row r="25">
      <x:c r="A25" s="67" t="str">
        <x:v>PAY-00021</x:v>
      </x:c>
      <x:c r="B25" s="73" t="n">
        <x:v>46215.5</x:v>
      </x:c>
      <x:c r="C25" s="73" t="n">
        <x:v>46216.5</x:v>
      </x:c>
      <x:c r="D25" s="67" t="str">
        <x:v>S01</x:v>
      </x:c>
      <x:c r="E25" s="67" t="str">
        <x:v>近江天阳店</x:v>
      </x:c>
      <x:c r="F25" s="67" t="str">
        <x:v>微信支付</x:v>
      </x:c>
      <x:c r="G25" s="76" t="n">
        <x:v>3079.4</x:v>
      </x:c>
      <x:c r="H25" s="88" t="n">
        <x:v>0.003</x:v>
      </x:c>
      <x:c r="I25" s="79" t="n">
        <x:f>G25*H25</x:f>
        <x:v>9.2382</x:v>
      </x:c>
      <x:c r="J25" s="88" t="n">
        <x:v>0.0038</x:v>
      </x:c>
      <x:c r="K25" s="79" t="n">
        <x:f>G25*J25</x:f>
        <x:v>11.70172</x:v>
      </x:c>
      <x:c r="L25" s="79" t="n">
        <x:f>G25-I25-K25</x:f>
        <x:v>3058.4600800000003</x:v>
      </x:c>
      <x:c r="M25" s="76" t="n">
        <x:v>3058.46</x:v>
      </x:c>
      <x:c r="N25" s="79" t="n">
        <x:f>M25-L25</x:f>
        <x:v>-0.00008000000025276677</x:v>
      </x:c>
      <x:c r="O25" s="67" t="str">
        <x:f>IF(ABS(N25)&lt;=1,"已对账","待核对")</x:f>
        <x:v>已对账</x:v>
      </x:c>
      <x:c r="P25" s="67" t="str">
        <x:v>S-模拟支付账单</x:v>
      </x:c>
    </x:row>
    <x:row r="26">
      <x:c r="A26" s="67" t="str">
        <x:v>PAY-00022</x:v>
      </x:c>
      <x:c r="B26" s="73" t="n">
        <x:v>46215.5</x:v>
      </x:c>
      <x:c r="C26" s="73" t="n">
        <x:v>46216.5</x:v>
      </x:c>
      <x:c r="D26" s="67" t="str">
        <x:v>S01</x:v>
      </x:c>
      <x:c r="E26" s="67" t="str">
        <x:v>近江天阳店</x:v>
      </x:c>
      <x:c r="F26" s="67" t="str">
        <x:v>支付宝</x:v>
      </x:c>
      <x:c r="G26" s="76" t="n">
        <x:v>2395.08</x:v>
      </x:c>
      <x:c r="H26" s="88" t="n">
        <x:v>0.002</x:v>
      </x:c>
      <x:c r="I26" s="79" t="n">
        <x:f>G26*H26</x:f>
        <x:v>4.79016</x:v>
      </x:c>
      <x:c r="J26" s="88" t="n">
        <x:v>0.0038</x:v>
      </x:c>
      <x:c r="K26" s="79" t="n">
        <x:f>G26*J26</x:f>
        <x:v>9.101303999999999</x:v>
      </x:c>
      <x:c r="L26" s="79" t="n">
        <x:f>G26-I26-K26</x:f>
        <x:v>2381.188536</x:v>
      </x:c>
      <x:c r="M26" s="76" t="n">
        <x:v>2381.19</x:v>
      </x:c>
      <x:c r="N26" s="79" t="n">
        <x:f>M26-L26</x:f>
        <x:v>0.0014639999999417341</x:v>
      </x:c>
      <x:c r="O26" s="67" t="str">
        <x:f>IF(ABS(N26)&lt;=1,"已对账","待核对")</x:f>
        <x:v>已对账</x:v>
      </x:c>
      <x:c r="P26" s="67" t="str">
        <x:v>S-模拟支付账单</x:v>
      </x:c>
    </x:row>
    <x:row r="27">
      <x:c r="A27" s="67" t="str">
        <x:v>PAY-00023</x:v>
      </x:c>
      <x:c r="B27" s="73" t="n">
        <x:v>46215.5</x:v>
      </x:c>
      <x:c r="C27" s="73" t="n">
        <x:v>46216.5</x:v>
      </x:c>
      <x:c r="D27" s="67" t="str">
        <x:v>S01</x:v>
      </x:c>
      <x:c r="E27" s="67" t="str">
        <x:v>近江天阳店</x:v>
      </x:c>
      <x:c r="F27" s="67" t="str">
        <x:v>银行卡</x:v>
      </x:c>
      <x:c r="G27" s="76" t="n">
        <x:v>684.31</x:v>
      </x:c>
      <x:c r="H27" s="88" t="n">
        <x:v>0.001</x:v>
      </x:c>
      <x:c r="I27" s="79" t="n">
        <x:f>G27*H27</x:f>
        <x:v>0.68431</x:v>
      </x:c>
      <x:c r="J27" s="88" t="n">
        <x:v>0.005</x:v>
      </x:c>
      <x:c r="K27" s="79" t="n">
        <x:f>G27*J27</x:f>
        <x:v>3.42155</x:v>
      </x:c>
      <x:c r="L27" s="79" t="n">
        <x:f>G27-I27-K27</x:f>
        <x:v>680.2041399999999</x:v>
      </x:c>
      <x:c r="M27" s="76" t="n">
        <x:v>680.21</x:v>
      </x:c>
      <x:c r="N27" s="79" t="n">
        <x:f>M27-L27</x:f>
        <x:v>0.005860000000097898</x:v>
      </x:c>
      <x:c r="O27" s="67" t="str">
        <x:f>IF(ABS(N27)&lt;=1,"已对账","待核对")</x:f>
        <x:v>已对账</x:v>
      </x:c>
      <x:c r="P27" s="67" t="str">
        <x:v>S-模拟支付账单</x:v>
      </x:c>
    </x:row>
    <x:row r="28">
      <x:c r="A28" s="67" t="str">
        <x:v>PAY-00024</x:v>
      </x:c>
      <x:c r="B28" s="73" t="n">
        <x:v>46215.5</x:v>
      </x:c>
      <x:c r="C28" s="73" t="n">
        <x:v>46215.5</x:v>
      </x:c>
      <x:c r="D28" s="67" t="str">
        <x:v>S01</x:v>
      </x:c>
      <x:c r="E28" s="67" t="str">
        <x:v>近江天阳店</x:v>
      </x:c>
      <x:c r="F28" s="67" t="str">
        <x:v>现金</x:v>
      </x:c>
      <x:c r="G28" s="76" t="n">
        <x:v>684.31</x:v>
      </x:c>
      <x:c r="H28" s="88" t="n">
        <x:v>0</x:v>
      </x:c>
      <x:c r="I28" s="79" t="n">
        <x:f>G28*H28</x:f>
        <x:v>0</x:v>
      </x:c>
      <x:c r="J28" s="88" t="n">
        <x:v>0</x:v>
      </x:c>
      <x:c r="K28" s="79" t="n">
        <x:f>G28*J28</x:f>
        <x:v>0</x:v>
      </x:c>
      <x:c r="L28" s="79" t="n">
        <x:f>G28-I28-K28</x:f>
        <x:v>684.31</x:v>
      </x:c>
      <x:c r="M28" s="76" t="n">
        <x:v>684.31</x:v>
      </x:c>
      <x:c r="N28" s="79" t="n">
        <x:f>M28-L28</x:f>
        <x:v>0</x:v>
      </x:c>
      <x:c r="O28" s="67" t="str">
        <x:f>IF(ABS(N28)&lt;=1,"已对账","待核对")</x:f>
        <x:v>已对账</x:v>
      </x:c>
      <x:c r="P28" s="67" t="str">
        <x:v>S-模拟支付账单</x:v>
      </x:c>
    </x:row>
    <x:row r="29">
      <x:c r="A29" s="67" t="str">
        <x:v>PAY-00025</x:v>
      </x:c>
      <x:c r="B29" s="73" t="n">
        <x:v>46216.5</x:v>
      </x:c>
      <x:c r="C29" s="73" t="n">
        <x:v>46217.5</x:v>
      </x:c>
      <x:c r="D29" s="67" t="str">
        <x:v>S01</x:v>
      </x:c>
      <x:c r="E29" s="67" t="str">
        <x:v>近江天阳店</x:v>
      </x:c>
      <x:c r="F29" s="67" t="str">
        <x:v>微信支付</x:v>
      </x:c>
      <x:c r="G29" s="76" t="n">
        <x:v>4425.12</x:v>
      </x:c>
      <x:c r="H29" s="88" t="n">
        <x:v>0.003</x:v>
      </x:c>
      <x:c r="I29" s="79" t="n">
        <x:f>G29*H29</x:f>
        <x:v>13.27536</x:v>
      </x:c>
      <x:c r="J29" s="88" t="n">
        <x:v>0.0038</x:v>
      </x:c>
      <x:c r="K29" s="79" t="n">
        <x:f>G29*J29</x:f>
        <x:v>16.815456</x:v>
      </x:c>
      <x:c r="L29" s="79" t="n">
        <x:f>G29-I29-K29</x:f>
        <x:v>4395.029184</x:v>
      </x:c>
      <x:c r="M29" s="76" t="n">
        <x:v>4395.02</x:v>
      </x:c>
      <x:c r="N29" s="79" t="n">
        <x:f>M29-L29</x:f>
        <x:v>-0.009183999999549997</x:v>
      </x:c>
      <x:c r="O29" s="67" t="str">
        <x:f>IF(ABS(N29)&lt;=1,"已对账","待核对")</x:f>
        <x:v>已对账</x:v>
      </x:c>
      <x:c r="P29" s="67" t="str">
        <x:v>S-模拟支付账单</x:v>
      </x:c>
    </x:row>
    <x:row r="30">
      <x:c r="A30" s="67" t="str">
        <x:v>PAY-00026</x:v>
      </x:c>
      <x:c r="B30" s="73" t="n">
        <x:v>46216.5</x:v>
      </x:c>
      <x:c r="C30" s="73" t="n">
        <x:v>46217.5</x:v>
      </x:c>
      <x:c r="D30" s="67" t="str">
        <x:v>S01</x:v>
      </x:c>
      <x:c r="E30" s="67" t="str">
        <x:v>近江天阳店</x:v>
      </x:c>
      <x:c r="F30" s="67" t="str">
        <x:v>支付宝</x:v>
      </x:c>
      <x:c r="G30" s="76" t="n">
        <x:v>3441.76</x:v>
      </x:c>
      <x:c r="H30" s="88" t="n">
        <x:v>0.002</x:v>
      </x:c>
      <x:c r="I30" s="79" t="n">
        <x:f>G30*H30</x:f>
        <x:v>6.883520000000001</x:v>
      </x:c>
      <x:c r="J30" s="88" t="n">
        <x:v>0.0038</x:v>
      </x:c>
      <x:c r="K30" s="79" t="n">
        <x:f>G30*J30</x:f>
        <x:v>13.078688000000001</x:v>
      </x:c>
      <x:c r="L30" s="79" t="n">
        <x:f>G30-I30-K30</x:f>
        <x:v>3421.7977920000003</x:v>
      </x:c>
      <x:c r="M30" s="76" t="n">
        <x:v>3421.8</x:v>
      </x:c>
      <x:c r="N30" s="79" t="n">
        <x:f>M30-L30</x:f>
        <x:v>0.002207999999882304</x:v>
      </x:c>
      <x:c r="O30" s="67" t="str">
        <x:f>IF(ABS(N30)&lt;=1,"已对账","待核对")</x:f>
        <x:v>已对账</x:v>
      </x:c>
      <x:c r="P30" s="67" t="str">
        <x:v>S-模拟支付账单</x:v>
      </x:c>
    </x:row>
    <x:row r="31">
      <x:c r="A31" s="67" t="str">
        <x:v>PAY-00027</x:v>
      </x:c>
      <x:c r="B31" s="73" t="n">
        <x:v>46216.5</x:v>
      </x:c>
      <x:c r="C31" s="73" t="n">
        <x:v>46217.5</x:v>
      </x:c>
      <x:c r="D31" s="67" t="str">
        <x:v>S01</x:v>
      </x:c>
      <x:c r="E31" s="67" t="str">
        <x:v>近江天阳店</x:v>
      </x:c>
      <x:c r="F31" s="67" t="str">
        <x:v>银行卡</x:v>
      </x:c>
      <x:c r="G31" s="76" t="n">
        <x:v>983.36</x:v>
      </x:c>
      <x:c r="H31" s="88" t="n">
        <x:v>0.001</x:v>
      </x:c>
      <x:c r="I31" s="79" t="n">
        <x:f>G31*H31</x:f>
        <x:v>0.98336</x:v>
      </x:c>
      <x:c r="J31" s="88" t="n">
        <x:v>0.005</x:v>
      </x:c>
      <x:c r="K31" s="79" t="n">
        <x:f>G31*J31</x:f>
        <x:v>4.9168</x:v>
      </x:c>
      <x:c r="L31" s="79" t="n">
        <x:f>G31-I31-K31</x:f>
        <x:v>977.4598400000001</x:v>
      </x:c>
      <x:c r="M31" s="76" t="n">
        <x:v>977.46</x:v>
      </x:c>
      <x:c r="N31" s="79" t="n">
        <x:f>M31-L31</x:f>
        <x:v>0.00015999999993709935</x:v>
      </x:c>
      <x:c r="O31" s="67" t="str">
        <x:f>IF(ABS(N31)&lt;=1,"已对账","待核对")</x:f>
        <x:v>已对账</x:v>
      </x:c>
      <x:c r="P31" s="67" t="str">
        <x:v>S-模拟支付账单</x:v>
      </x:c>
    </x:row>
    <x:row r="32">
      <x:c r="A32" s="67" t="str">
        <x:v>PAY-00028</x:v>
      </x:c>
      <x:c r="B32" s="73" t="n">
        <x:v>46216.5</x:v>
      </x:c>
      <x:c r="C32" s="73" t="n">
        <x:v>46216.5</x:v>
      </x:c>
      <x:c r="D32" s="67" t="str">
        <x:v>S01</x:v>
      </x:c>
      <x:c r="E32" s="67" t="str">
        <x:v>近江天阳店</x:v>
      </x:c>
      <x:c r="F32" s="67" t="str">
        <x:v>现金</x:v>
      </x:c>
      <x:c r="G32" s="76" t="n">
        <x:v>983.36</x:v>
      </x:c>
      <x:c r="H32" s="88" t="n">
        <x:v>0</x:v>
      </x:c>
      <x:c r="I32" s="79" t="n">
        <x:f>G32*H32</x:f>
        <x:v>0</x:v>
      </x:c>
      <x:c r="J32" s="88" t="n">
        <x:v>0</x:v>
      </x:c>
      <x:c r="K32" s="79" t="n">
        <x:f>G32*J32</x:f>
        <x:v>0</x:v>
      </x:c>
      <x:c r="L32" s="79" t="n">
        <x:f>G32-I32-K32</x:f>
        <x:v>983.36</x:v>
      </x:c>
      <x:c r="M32" s="76" t="n">
        <x:v>983.36</x:v>
      </x:c>
      <x:c r="N32" s="79" t="n">
        <x:f>M32-L32</x:f>
        <x:v>0</x:v>
      </x:c>
      <x:c r="O32" s="67" t="str">
        <x:f>IF(ABS(N32)&lt;=1,"已对账","待核对")</x:f>
        <x:v>已对账</x:v>
      </x:c>
      <x:c r="P32" s="67" t="str">
        <x:v>S-模拟支付账单</x:v>
      </x:c>
    </x:row>
    <x:row r="33">
      <x:c r="A33" s="67" t="str">
        <x:v>PAY-00029</x:v>
      </x:c>
      <x:c r="B33" s="73" t="n">
        <x:v>46210.5</x:v>
      </x:c>
      <x:c r="C33" s="73" t="n">
        <x:v>46211.5</x:v>
      </x:c>
      <x:c r="D33" s="67" t="str">
        <x:v>S02</x:v>
      </x:c>
      <x:c r="E33" s="67" t="str">
        <x:v>尊宝大厦店</x:v>
      </x:c>
      <x:c r="F33" s="67" t="str">
        <x:v>微信支付</x:v>
      </x:c>
      <x:c r="G33" s="76" t="n">
        <x:v>3937.05</x:v>
      </x:c>
      <x:c r="H33" s="88" t="n">
        <x:v>0.003</x:v>
      </x:c>
      <x:c r="I33" s="79" t="n">
        <x:f>G33*H33</x:f>
        <x:v>11.811150000000001</x:v>
      </x:c>
      <x:c r="J33" s="88" t="n">
        <x:v>0.0038</x:v>
      </x:c>
      <x:c r="K33" s="79" t="n">
        <x:f>G33*J33</x:f>
        <x:v>14.960790000000001</x:v>
      </x:c>
      <x:c r="L33" s="79" t="n">
        <x:f>G33-I33-K33</x:f>
        <x:v>3910.27806</x:v>
      </x:c>
      <x:c r="M33" s="76" t="n">
        <x:v>3910.28</x:v>
      </x:c>
      <x:c r="N33" s="79" t="n">
        <x:f>M33-L33</x:f>
        <x:v>0.0019400000001041917</x:v>
      </x:c>
      <x:c r="O33" s="67" t="str">
        <x:f>IF(ABS(N33)&lt;=1,"已对账","待核对")</x:f>
        <x:v>已对账</x:v>
      </x:c>
      <x:c r="P33" s="67" t="str">
        <x:v>S-模拟支付账单</x:v>
      </x:c>
    </x:row>
    <x:row r="34">
      <x:c r="A34" s="67" t="str">
        <x:v>PAY-00030</x:v>
      </x:c>
      <x:c r="B34" s="73" t="n">
        <x:v>46210.5</x:v>
      </x:c>
      <x:c r="C34" s="73" t="n">
        <x:v>46211.5</x:v>
      </x:c>
      <x:c r="D34" s="67" t="str">
        <x:v>S02</x:v>
      </x:c>
      <x:c r="E34" s="67" t="str">
        <x:v>尊宝大厦店</x:v>
      </x:c>
      <x:c r="F34" s="67" t="str">
        <x:v>支付宝</x:v>
      </x:c>
      <x:c r="G34" s="76" t="n">
        <x:v>3062.15</x:v>
      </x:c>
      <x:c r="H34" s="88" t="n">
        <x:v>0.002</x:v>
      </x:c>
      <x:c r="I34" s="79" t="n">
        <x:f>G34*H34</x:f>
        <x:v>6.124300000000001</x:v>
      </x:c>
      <x:c r="J34" s="88" t="n">
        <x:v>0.0038</x:v>
      </x:c>
      <x:c r="K34" s="79" t="n">
        <x:f>G34*J34</x:f>
        <x:v>11.63617</x:v>
      </x:c>
      <x:c r="L34" s="79" t="n">
        <x:f>G34-I34-K34</x:f>
        <x:v>3044.38953</x:v>
      </x:c>
      <x:c r="M34" s="76" t="n">
        <x:v>3044.39</x:v>
      </x:c>
      <x:c r="N34" s="79" t="n">
        <x:f>M34-L34</x:f>
        <x:v>0.00046999999995023245</x:v>
      </x:c>
      <x:c r="O34" s="67" t="str">
        <x:f>IF(ABS(N34)&lt;=1,"已对账","待核对")</x:f>
        <x:v>已对账</x:v>
      </x:c>
      <x:c r="P34" s="67" t="str">
        <x:v>S-模拟支付账单</x:v>
      </x:c>
    </x:row>
    <x:row r="35">
      <x:c r="A35" s="67" t="str">
        <x:v>PAY-00031</x:v>
      </x:c>
      <x:c r="B35" s="73" t="n">
        <x:v>46210.5</x:v>
      </x:c>
      <x:c r="C35" s="73" t="n">
        <x:v>46211.5</x:v>
      </x:c>
      <x:c r="D35" s="67" t="str">
        <x:v>S02</x:v>
      </x:c>
      <x:c r="E35" s="67" t="str">
        <x:v>尊宝大厦店</x:v>
      </x:c>
      <x:c r="F35" s="67" t="str">
        <x:v>银行卡</x:v>
      </x:c>
      <x:c r="G35" s="76" t="n">
        <x:v>874.9</x:v>
      </x:c>
      <x:c r="H35" s="88" t="n">
        <x:v>0.001</x:v>
      </x:c>
      <x:c r="I35" s="79" t="n">
        <x:f>G35*H35</x:f>
        <x:v>0.8749</x:v>
      </x:c>
      <x:c r="J35" s="88" t="n">
        <x:v>0.005</x:v>
      </x:c>
      <x:c r="K35" s="79" t="n">
        <x:f>G35*J35</x:f>
        <x:v>4.3745</x:v>
      </x:c>
      <x:c r="L35" s="79" t="n">
        <x:f>G35-I35-K35</x:f>
        <x:v>869.6505999999999</x:v>
      </x:c>
      <x:c r="M35" s="76" t="n">
        <x:v>869.66</x:v>
      </x:c>
      <x:c r="N35" s="79" t="n">
        <x:f>M35-L35</x:f>
        <x:v>0.00940000000002783</x:v>
      </x:c>
      <x:c r="O35" s="67" t="str">
        <x:f>IF(ABS(N35)&lt;=1,"已对账","待核对")</x:f>
        <x:v>已对账</x:v>
      </x:c>
      <x:c r="P35" s="67" t="str">
        <x:v>S-模拟支付账单</x:v>
      </x:c>
    </x:row>
    <x:row r="36">
      <x:c r="A36" s="67" t="str">
        <x:v>PAY-00032</x:v>
      </x:c>
      <x:c r="B36" s="73" t="n">
        <x:v>46210.5</x:v>
      </x:c>
      <x:c r="C36" s="73" t="n">
        <x:v>46210.5</x:v>
      </x:c>
      <x:c r="D36" s="67" t="str">
        <x:v>S02</x:v>
      </x:c>
      <x:c r="E36" s="67" t="str">
        <x:v>尊宝大厦店</x:v>
      </x:c>
      <x:c r="F36" s="67" t="str">
        <x:v>现金</x:v>
      </x:c>
      <x:c r="G36" s="76" t="n">
        <x:v>874.9</x:v>
      </x:c>
      <x:c r="H36" s="88" t="n">
        <x:v>0</x:v>
      </x:c>
      <x:c r="I36" s="79" t="n">
        <x:f>G36*H36</x:f>
        <x:v>0</x:v>
      </x:c>
      <x:c r="J36" s="88" t="n">
        <x:v>0</x:v>
      </x:c>
      <x:c r="K36" s="79" t="n">
        <x:f>G36*J36</x:f>
        <x:v>0</x:v>
      </x:c>
      <x:c r="L36" s="79" t="n">
        <x:f>G36-I36-K36</x:f>
        <x:v>874.9</x:v>
      </x:c>
      <x:c r="M36" s="76" t="n">
        <x:v>874.9</x:v>
      </x:c>
      <x:c r="N36" s="79" t="n">
        <x:f>M36-L36</x:f>
        <x:v>0</x:v>
      </x:c>
      <x:c r="O36" s="67" t="str">
        <x:f>IF(ABS(N36)&lt;=1,"已对账","待核对")</x:f>
        <x:v>已对账</x:v>
      </x:c>
      <x:c r="P36" s="67" t="str">
        <x:v>S-模拟支付账单</x:v>
      </x:c>
    </x:row>
    <x:row r="37">
      <x:c r="A37" s="67" t="str">
        <x:v>PAY-00033</x:v>
      </x:c>
      <x:c r="B37" s="73" t="n">
        <x:v>46211.5</x:v>
      </x:c>
      <x:c r="C37" s="73" t="n">
        <x:v>46212.5</x:v>
      </x:c>
      <x:c r="D37" s="67" t="str">
        <x:v>S02</x:v>
      </x:c>
      <x:c r="E37" s="67" t="str">
        <x:v>尊宝大厦店</x:v>
      </x:c>
      <x:c r="F37" s="67" t="str">
        <x:v>微信支付</x:v>
      </x:c>
      <x:c r="G37" s="76" t="n">
        <x:v>3826.04</x:v>
      </x:c>
      <x:c r="H37" s="88" t="n">
        <x:v>0.003</x:v>
      </x:c>
      <x:c r="I37" s="79" t="n">
        <x:f>G37*H37</x:f>
        <x:v>11.47812</x:v>
      </x:c>
      <x:c r="J37" s="88" t="n">
        <x:v>0.0038</x:v>
      </x:c>
      <x:c r="K37" s="79" t="n">
        <x:f>G37*J37</x:f>
        <x:v>14.538952</x:v>
      </x:c>
      <x:c r="L37" s="79" t="n">
        <x:f>G37-I37-K37</x:f>
        <x:v>3800.022928</x:v>
      </x:c>
      <x:c r="M37" s="76" t="n">
        <x:v>3800.02</x:v>
      </x:c>
      <x:c r="N37" s="79" t="n">
        <x:f>M37-L37</x:f>
        <x:v>-0.0029279999998834683</x:v>
      </x:c>
      <x:c r="O37" s="67" t="str">
        <x:f>IF(ABS(N37)&lt;=1,"已对账","待核对")</x:f>
        <x:v>已对账</x:v>
      </x:c>
      <x:c r="P37" s="67" t="str">
        <x:v>S-模拟支付账单</x:v>
      </x:c>
    </x:row>
    <x:row r="38">
      <x:c r="A38" s="67" t="str">
        <x:v>PAY-00034</x:v>
      </x:c>
      <x:c r="B38" s="73" t="n">
        <x:v>46211.5</x:v>
      </x:c>
      <x:c r="C38" s="73" t="n">
        <x:v>46212.5</x:v>
      </x:c>
      <x:c r="D38" s="67" t="str">
        <x:v>S02</x:v>
      </x:c>
      <x:c r="E38" s="67" t="str">
        <x:v>尊宝大厦店</x:v>
      </x:c>
      <x:c r="F38" s="67" t="str">
        <x:v>支付宝</x:v>
      </x:c>
      <x:c r="G38" s="76" t="n">
        <x:v>2975.8</x:v>
      </x:c>
      <x:c r="H38" s="88" t="n">
        <x:v>0.002</x:v>
      </x:c>
      <x:c r="I38" s="79" t="n">
        <x:f>G38*H38</x:f>
        <x:v>5.951600000000001</x:v>
      </x:c>
      <x:c r="J38" s="88" t="n">
        <x:v>0.0038</x:v>
      </x:c>
      <x:c r="K38" s="79" t="n">
        <x:f>G38*J38</x:f>
        <x:v>11.30804</x:v>
      </x:c>
      <x:c r="L38" s="79" t="n">
        <x:f>G38-I38-K38</x:f>
        <x:v>2958.5403600000004</x:v>
      </x:c>
      <x:c r="M38" s="76" t="n">
        <x:v>2958.54</x:v>
      </x:c>
      <x:c r="N38" s="79" t="n">
        <x:f>M38-L38</x:f>
        <x:v>-0.00036000000045532943</x:v>
      </x:c>
      <x:c r="O38" s="67" t="str">
        <x:f>IF(ABS(N38)&lt;=1,"已对账","待核对")</x:f>
        <x:v>已对账</x:v>
      </x:c>
      <x:c r="P38" s="67" t="str">
        <x:v>S-模拟支付账单</x:v>
      </x:c>
    </x:row>
    <x:row r="39">
      <x:c r="A39" s="67" t="str">
        <x:v>PAY-00035</x:v>
      </x:c>
      <x:c r="B39" s="73" t="n">
        <x:v>46211.5</x:v>
      </x:c>
      <x:c r="C39" s="73" t="n">
        <x:v>46212.5</x:v>
      </x:c>
      <x:c r="D39" s="67" t="str">
        <x:v>S02</x:v>
      </x:c>
      <x:c r="E39" s="67" t="str">
        <x:v>尊宝大厦店</x:v>
      </x:c>
      <x:c r="F39" s="67" t="str">
        <x:v>银行卡</x:v>
      </x:c>
      <x:c r="G39" s="76" t="n">
        <x:v>850.23</x:v>
      </x:c>
      <x:c r="H39" s="88" t="n">
        <x:v>0.001</x:v>
      </x:c>
      <x:c r="I39" s="79" t="n">
        <x:f>G39*H39</x:f>
        <x:v>0.85023</x:v>
      </x:c>
      <x:c r="J39" s="88" t="n">
        <x:v>0.005</x:v>
      </x:c>
      <x:c r="K39" s="79" t="n">
        <x:f>G39*J39</x:f>
        <x:v>4.25115</x:v>
      </x:c>
      <x:c r="L39" s="79" t="n">
        <x:f>G39-I39-K39</x:f>
        <x:v>845.12862</x:v>
      </x:c>
      <x:c r="M39" s="76" t="n">
        <x:v>845.13</x:v>
      </x:c>
      <x:c r="N39" s="79" t="n">
        <x:f>M39-L39</x:f>
        <x:v>0.001380000000040127</x:v>
      </x:c>
      <x:c r="O39" s="67" t="str">
        <x:f>IF(ABS(N39)&lt;=1,"已对账","待核对")</x:f>
        <x:v>已对账</x:v>
      </x:c>
      <x:c r="P39" s="67" t="str">
        <x:v>S-模拟支付账单</x:v>
      </x:c>
    </x:row>
    <x:row r="40">
      <x:c r="A40" s="67" t="str">
        <x:v>PAY-00036</x:v>
      </x:c>
      <x:c r="B40" s="73" t="n">
        <x:v>46211.5</x:v>
      </x:c>
      <x:c r="C40" s="73" t="n">
        <x:v>46211.5</x:v>
      </x:c>
      <x:c r="D40" s="67" t="str">
        <x:v>S02</x:v>
      </x:c>
      <x:c r="E40" s="67" t="str">
        <x:v>尊宝大厦店</x:v>
      </x:c>
      <x:c r="F40" s="67" t="str">
        <x:v>现金</x:v>
      </x:c>
      <x:c r="G40" s="76" t="n">
        <x:v>850.23</x:v>
      </x:c>
      <x:c r="H40" s="88" t="n">
        <x:v>0</x:v>
      </x:c>
      <x:c r="I40" s="79" t="n">
        <x:f>G40*H40</x:f>
        <x:v>0</x:v>
      </x:c>
      <x:c r="J40" s="88" t="n">
        <x:v>0</x:v>
      </x:c>
      <x:c r="K40" s="79" t="n">
        <x:f>G40*J40</x:f>
        <x:v>0</x:v>
      </x:c>
      <x:c r="L40" s="79" t="n">
        <x:f>G40-I40-K40</x:f>
        <x:v>850.23</x:v>
      </x:c>
      <x:c r="M40" s="76" t="n">
        <x:v>850.23</x:v>
      </x:c>
      <x:c r="N40" s="79" t="n">
        <x:f>M40-L40</x:f>
        <x:v>0</x:v>
      </x:c>
      <x:c r="O40" s="67" t="str">
        <x:f>IF(ABS(N40)&lt;=1,"已对账","待核对")</x:f>
        <x:v>已对账</x:v>
      </x:c>
      <x:c r="P40" s="67" t="str">
        <x:v>S-模拟支付账单</x:v>
      </x:c>
    </x:row>
    <x:row r="41">
      <x:c r="A41" s="67" t="str">
        <x:v>PAY-00037</x:v>
      </x:c>
      <x:c r="B41" s="73" t="n">
        <x:v>46212.5</x:v>
      </x:c>
      <x:c r="C41" s="73" t="n">
        <x:v>46213.5</x:v>
      </x:c>
      <x:c r="D41" s="67" t="str">
        <x:v>S02</x:v>
      </x:c>
      <x:c r="E41" s="67" t="str">
        <x:v>尊宝大厦店</x:v>
      </x:c>
      <x:c r="F41" s="67" t="str">
        <x:v>微信支付</x:v>
      </x:c>
      <x:c r="G41" s="76" t="n">
        <x:v>3753.94</x:v>
      </x:c>
      <x:c r="H41" s="88" t="n">
        <x:v>0.003</x:v>
      </x:c>
      <x:c r="I41" s="79" t="n">
        <x:f>G41*H41</x:f>
        <x:v>11.26182</x:v>
      </x:c>
      <x:c r="J41" s="88" t="n">
        <x:v>0.0038</x:v>
      </x:c>
      <x:c r="K41" s="79" t="n">
        <x:f>G41*J41</x:f>
        <x:v>14.264972</x:v>
      </x:c>
      <x:c r="L41" s="79" t="n">
        <x:f>G41-I41-K41</x:f>
        <x:v>3728.413208</x:v>
      </x:c>
      <x:c r="M41" s="76" t="n">
        <x:v>3728.42</x:v>
      </x:c>
      <x:c r="N41" s="79" t="n">
        <x:f>M41-L41</x:f>
        <x:v>0.006792000000132248</x:v>
      </x:c>
      <x:c r="O41" s="67" t="str">
        <x:f>IF(ABS(N41)&lt;=1,"已对账","待核对")</x:f>
        <x:v>已对账</x:v>
      </x:c>
      <x:c r="P41" s="67" t="str">
        <x:v>S-模拟支付账单</x:v>
      </x:c>
    </x:row>
    <x:row r="42">
      <x:c r="A42" s="67" t="str">
        <x:v>PAY-00038</x:v>
      </x:c>
      <x:c r="B42" s="73" t="n">
        <x:v>46212.5</x:v>
      </x:c>
      <x:c r="C42" s="73" t="n">
        <x:v>46213.5</x:v>
      </x:c>
      <x:c r="D42" s="67" t="str">
        <x:v>S02</x:v>
      </x:c>
      <x:c r="E42" s="67" t="str">
        <x:v>尊宝大厦店</x:v>
      </x:c>
      <x:c r="F42" s="67" t="str">
        <x:v>支付宝</x:v>
      </x:c>
      <x:c r="G42" s="76" t="n">
        <x:v>2919.73</x:v>
      </x:c>
      <x:c r="H42" s="88" t="n">
        <x:v>0.002</x:v>
      </x:c>
      <x:c r="I42" s="79" t="n">
        <x:f>G42*H42</x:f>
        <x:v>5.83946</x:v>
      </x:c>
      <x:c r="J42" s="88" t="n">
        <x:v>0.0038</x:v>
      </x:c>
      <x:c r="K42" s="79" t="n">
        <x:f>G42*J42</x:f>
        <x:v>11.094974</x:v>
      </x:c>
      <x:c r="L42" s="79" t="n">
        <x:f>G42-I42-K42</x:f>
        <x:v>2902.795566</x:v>
      </x:c>
      <x:c r="M42" s="76" t="n">
        <x:v>2902.8</x:v>
      </x:c>
      <x:c r="N42" s="79" t="n">
        <x:f>M42-L42</x:f>
        <x:v>0.004434000000401284</x:v>
      </x:c>
      <x:c r="O42" s="67" t="str">
        <x:f>IF(ABS(N42)&lt;=1,"已对账","待核对")</x:f>
        <x:v>已对账</x:v>
      </x:c>
      <x:c r="P42" s="67" t="str">
        <x:v>S-模拟支付账单</x:v>
      </x:c>
    </x:row>
    <x:row r="43">
      <x:c r="A43" s="67" t="str">
        <x:v>PAY-00039</x:v>
      </x:c>
      <x:c r="B43" s="73" t="n">
        <x:v>46212.5</x:v>
      </x:c>
      <x:c r="C43" s="73" t="n">
        <x:v>46213.5</x:v>
      </x:c>
      <x:c r="D43" s="67" t="str">
        <x:v>S02</x:v>
      </x:c>
      <x:c r="E43" s="67" t="str">
        <x:v>尊宝大厦店</x:v>
      </x:c>
      <x:c r="F43" s="67" t="str">
        <x:v>银行卡</x:v>
      </x:c>
      <x:c r="G43" s="76" t="n">
        <x:v>834.21</x:v>
      </x:c>
      <x:c r="H43" s="88" t="n">
        <x:v>0.001</x:v>
      </x:c>
      <x:c r="I43" s="79" t="n">
        <x:f>G43*H43</x:f>
        <x:v>0.83421</x:v>
      </x:c>
      <x:c r="J43" s="88" t="n">
        <x:v>0.005</x:v>
      </x:c>
      <x:c r="K43" s="79" t="n">
        <x:f>G43*J43</x:f>
        <x:v>4.17105</x:v>
      </x:c>
      <x:c r="L43" s="79" t="n">
        <x:f>G43-I43-K43</x:f>
        <x:v>829.20474</x:v>
      </x:c>
      <x:c r="M43" s="76" t="n">
        <x:v>829.21</x:v>
      </x:c>
      <x:c r="N43" s="79" t="n">
        <x:f>M43-L43</x:f>
        <x:v>0.005260000000021137</x:v>
      </x:c>
      <x:c r="O43" s="67" t="str">
        <x:f>IF(ABS(N43)&lt;=1,"已对账","待核对")</x:f>
        <x:v>已对账</x:v>
      </x:c>
      <x:c r="P43" s="67" t="str">
        <x:v>S-模拟支付账单</x:v>
      </x:c>
    </x:row>
    <x:row r="44">
      <x:c r="A44" s="67" t="str">
        <x:v>PAY-00040</x:v>
      </x:c>
      <x:c r="B44" s="73" t="n">
        <x:v>46212.5</x:v>
      </x:c>
      <x:c r="C44" s="73" t="n">
        <x:v>46212.5</x:v>
      </x:c>
      <x:c r="D44" s="67" t="str">
        <x:v>S02</x:v>
      </x:c>
      <x:c r="E44" s="67" t="str">
        <x:v>尊宝大厦店</x:v>
      </x:c>
      <x:c r="F44" s="67" t="str">
        <x:v>现金</x:v>
      </x:c>
      <x:c r="G44" s="76" t="n">
        <x:v>834.21</x:v>
      </x:c>
      <x:c r="H44" s="88" t="n">
        <x:v>0</x:v>
      </x:c>
      <x:c r="I44" s="79" t="n">
        <x:f>G44*H44</x:f>
        <x:v>0</x:v>
      </x:c>
      <x:c r="J44" s="88" t="n">
        <x:v>0</x:v>
      </x:c>
      <x:c r="K44" s="79" t="n">
        <x:f>G44*J44</x:f>
        <x:v>0</x:v>
      </x:c>
      <x:c r="L44" s="79" t="n">
        <x:f>G44-I44-K44</x:f>
        <x:v>834.21</x:v>
      </x:c>
      <x:c r="M44" s="76" t="n">
        <x:v>834.21</x:v>
      </x:c>
      <x:c r="N44" s="79" t="n">
        <x:f>M44-L44</x:f>
        <x:v>0</x:v>
      </x:c>
      <x:c r="O44" s="67" t="str">
        <x:f>IF(ABS(N44)&lt;=1,"已对账","待核对")</x:f>
        <x:v>已对账</x:v>
      </x:c>
      <x:c r="P44" s="67" t="str">
        <x:v>S-模拟支付账单</x:v>
      </x:c>
    </x:row>
    <x:row r="45">
      <x:c r="A45" s="67" t="str">
        <x:v>PAY-00041</x:v>
      </x:c>
      <x:c r="B45" s="73" t="n">
        <x:v>46213.5</x:v>
      </x:c>
      <x:c r="C45" s="73" t="n">
        <x:v>46214.5</x:v>
      </x:c>
      <x:c r="D45" s="67" t="str">
        <x:v>S02</x:v>
      </x:c>
      <x:c r="E45" s="67" t="str">
        <x:v>尊宝大厦店</x:v>
      </x:c>
      <x:c r="F45" s="67" t="str">
        <x:v>微信支付</x:v>
      </x:c>
      <x:c r="G45" s="76" t="n">
        <x:v>3896.15</x:v>
      </x:c>
      <x:c r="H45" s="88" t="n">
        <x:v>0.003</x:v>
      </x:c>
      <x:c r="I45" s="79" t="n">
        <x:f>G45*H45</x:f>
        <x:v>11.688450000000001</x:v>
      </x:c>
      <x:c r="J45" s="88" t="n">
        <x:v>0.0038</x:v>
      </x:c>
      <x:c r="K45" s="79" t="n">
        <x:f>G45*J45</x:f>
        <x:v>14.80537</x:v>
      </x:c>
      <x:c r="L45" s="79" t="n">
        <x:f>G45-I45-K45</x:f>
        <x:v>3869.65618</x:v>
      </x:c>
      <x:c r="M45" s="76" t="n">
        <x:v>3869.65</x:v>
      </x:c>
      <x:c r="N45" s="79" t="n">
        <x:f>M45-L45</x:f>
        <x:v>-0.00617999999985841</x:v>
      </x:c>
      <x:c r="O45" s="67" t="str">
        <x:f>IF(ABS(N45)&lt;=1,"已对账","待核对")</x:f>
        <x:v>已对账</x:v>
      </x:c>
      <x:c r="P45" s="67" t="str">
        <x:v>S-模拟支付账单</x:v>
      </x:c>
    </x:row>
    <x:row r="46">
      <x:c r="A46" s="67" t="str">
        <x:v>PAY-00042</x:v>
      </x:c>
      <x:c r="B46" s="73" t="n">
        <x:v>46213.5</x:v>
      </x:c>
      <x:c r="C46" s="73" t="n">
        <x:v>46214.5</x:v>
      </x:c>
      <x:c r="D46" s="67" t="str">
        <x:v>S02</x:v>
      </x:c>
      <x:c r="E46" s="67" t="str">
        <x:v>尊宝大厦店</x:v>
      </x:c>
      <x:c r="F46" s="67" t="str">
        <x:v>支付宝</x:v>
      </x:c>
      <x:c r="G46" s="76" t="n">
        <x:v>3030.34</x:v>
      </x:c>
      <x:c r="H46" s="88" t="n">
        <x:v>0.002</x:v>
      </x:c>
      <x:c r="I46" s="79" t="n">
        <x:f>G46*H46</x:f>
        <x:v>6.0606800000000005</x:v>
      </x:c>
      <x:c r="J46" s="88" t="n">
        <x:v>0.0038</x:v>
      </x:c>
      <x:c r="K46" s="79" t="n">
        <x:f>G46*J46</x:f>
        <x:v>11.515292</x:v>
      </x:c>
      <x:c r="L46" s="79" t="n">
        <x:f>G46-I46-K46</x:f>
        <x:v>3012.764028</x:v>
      </x:c>
      <x:c r="M46" s="76" t="n">
        <x:v>3012.76</x:v>
      </x:c>
      <x:c r="N46" s="79" t="n">
        <x:f>M46-L46</x:f>
        <x:v>-0.004027999999834719</x:v>
      </x:c>
      <x:c r="O46" s="67" t="str">
        <x:f>IF(ABS(N46)&lt;=1,"已对账","待核对")</x:f>
        <x:v>已对账</x:v>
      </x:c>
      <x:c r="P46" s="67" t="str">
        <x:v>S-模拟支付账单</x:v>
      </x:c>
    </x:row>
    <x:row r="47">
      <x:c r="A47" s="67" t="str">
        <x:v>PAY-00043</x:v>
      </x:c>
      <x:c r="B47" s="73" t="n">
        <x:v>46213.5</x:v>
      </x:c>
      <x:c r="C47" s="73" t="n">
        <x:v>46214.5</x:v>
      </x:c>
      <x:c r="D47" s="67" t="str">
        <x:v>S02</x:v>
      </x:c>
      <x:c r="E47" s="67" t="str">
        <x:v>尊宝大厦店</x:v>
      </x:c>
      <x:c r="F47" s="67" t="str">
        <x:v>银行卡</x:v>
      </x:c>
      <x:c r="G47" s="76" t="n">
        <x:v>865.81</x:v>
      </x:c>
      <x:c r="H47" s="88" t="n">
        <x:v>0.001</x:v>
      </x:c>
      <x:c r="I47" s="79" t="n">
        <x:f>G47*H47</x:f>
        <x:v>0.86581</x:v>
      </x:c>
      <x:c r="J47" s="88" t="n">
        <x:v>0.005</x:v>
      </x:c>
      <x:c r="K47" s="79" t="n">
        <x:f>G47*J47</x:f>
        <x:v>4.32905</x:v>
      </x:c>
      <x:c r="L47" s="79" t="n">
        <x:f>G47-I47-K47</x:f>
        <x:v>860.6151399999999</x:v>
      </x:c>
      <x:c r="M47" s="76" t="n">
        <x:v>860.61</x:v>
      </x:c>
      <x:c r="N47" s="79" t="n">
        <x:f>M47-L47</x:f>
        <x:v>-0.00513999999986936</x:v>
      </x:c>
      <x:c r="O47" s="67" t="str">
        <x:f>IF(ABS(N47)&lt;=1,"已对账","待核对")</x:f>
        <x:v>已对账</x:v>
      </x:c>
      <x:c r="P47" s="67" t="str">
        <x:v>S-模拟支付账单</x:v>
      </x:c>
    </x:row>
    <x:row r="48">
      <x:c r="A48" s="67" t="str">
        <x:v>PAY-00044</x:v>
      </x:c>
      <x:c r="B48" s="73" t="n">
        <x:v>46213.5</x:v>
      </x:c>
      <x:c r="C48" s="73" t="n">
        <x:v>46213.5</x:v>
      </x:c>
      <x:c r="D48" s="67" t="str">
        <x:v>S02</x:v>
      </x:c>
      <x:c r="E48" s="67" t="str">
        <x:v>尊宝大厦店</x:v>
      </x:c>
      <x:c r="F48" s="67" t="str">
        <x:v>现金</x:v>
      </x:c>
      <x:c r="G48" s="76" t="n">
        <x:v>865.81</x:v>
      </x:c>
      <x:c r="H48" s="88" t="n">
        <x:v>0</x:v>
      </x:c>
      <x:c r="I48" s="79" t="n">
        <x:f>G48*H48</x:f>
        <x:v>0</x:v>
      </x:c>
      <x:c r="J48" s="88" t="n">
        <x:v>0</x:v>
      </x:c>
      <x:c r="K48" s="79" t="n">
        <x:f>G48*J48</x:f>
        <x:v>0</x:v>
      </x:c>
      <x:c r="L48" s="79" t="n">
        <x:f>G48-I48-K48</x:f>
        <x:v>865.81</x:v>
      </x:c>
      <x:c r="M48" s="76" t="n">
        <x:v>865.81</x:v>
      </x:c>
      <x:c r="N48" s="79" t="n">
        <x:f>M48-L48</x:f>
        <x:v>0</x:v>
      </x:c>
      <x:c r="O48" s="67" t="str">
        <x:f>IF(ABS(N48)&lt;=1,"已对账","待核对")</x:f>
        <x:v>已对账</x:v>
      </x:c>
      <x:c r="P48" s="67" t="str">
        <x:v>S-模拟支付账单</x:v>
      </x:c>
    </x:row>
    <x:row r="49">
      <x:c r="A49" s="67" t="str">
        <x:v>PAY-00045</x:v>
      </x:c>
      <x:c r="B49" s="73" t="n">
        <x:v>46214.5</x:v>
      </x:c>
      <x:c r="C49" s="73" t="n">
        <x:v>46215.5</x:v>
      </x:c>
      <x:c r="D49" s="67" t="str">
        <x:v>S02</x:v>
      </x:c>
      <x:c r="E49" s="67" t="str">
        <x:v>尊宝大厦店</x:v>
      </x:c>
      <x:c r="F49" s="67" t="str">
        <x:v>微信支付</x:v>
      </x:c>
      <x:c r="G49" s="76" t="n">
        <x:v>2989.62</x:v>
      </x:c>
      <x:c r="H49" s="88" t="n">
        <x:v>0.003</x:v>
      </x:c>
      <x:c r="I49" s="79" t="n">
        <x:f>G49*H49</x:f>
        <x:v>8.96886</x:v>
      </x:c>
      <x:c r="J49" s="88" t="n">
        <x:v>0.0038</x:v>
      </x:c>
      <x:c r="K49" s="79" t="n">
        <x:f>G49*J49</x:f>
        <x:v>11.360555999999999</x:v>
      </x:c>
      <x:c r="L49" s="79" t="n">
        <x:f>G49-I49-K49</x:f>
        <x:v>2969.290584</x:v>
      </x:c>
      <x:c r="M49" s="76" t="n">
        <x:v>2969.29</x:v>
      </x:c>
      <x:c r="N49" s="79" t="n">
        <x:f>M49-L49</x:f>
        <x:v>-0.0005839999998897838</x:v>
      </x:c>
      <x:c r="O49" s="67" t="str">
        <x:f>IF(ABS(N49)&lt;=1,"已对账","待核对")</x:f>
        <x:v>已对账</x:v>
      </x:c>
      <x:c r="P49" s="67" t="str">
        <x:v>S-模拟支付账单</x:v>
      </x:c>
    </x:row>
    <x:row r="50">
      <x:c r="A50" s="67" t="str">
        <x:v>PAY-00046</x:v>
      </x:c>
      <x:c r="B50" s="73" t="n">
        <x:v>46214.5</x:v>
      </x:c>
      <x:c r="C50" s="73" t="n">
        <x:v>46215.5</x:v>
      </x:c>
      <x:c r="D50" s="67" t="str">
        <x:v>S02</x:v>
      </x:c>
      <x:c r="E50" s="67" t="str">
        <x:v>尊宝大厦店</x:v>
      </x:c>
      <x:c r="F50" s="67" t="str">
        <x:v>支付宝</x:v>
      </x:c>
      <x:c r="G50" s="76" t="n">
        <x:v>2325.26</x:v>
      </x:c>
      <x:c r="H50" s="88" t="n">
        <x:v>0.002</x:v>
      </x:c>
      <x:c r="I50" s="79" t="n">
        <x:f>G50*H50</x:f>
        <x:v>4.65052</x:v>
      </x:c>
      <x:c r="J50" s="88" t="n">
        <x:v>0.0038</x:v>
      </x:c>
      <x:c r="K50" s="79" t="n">
        <x:f>G50*J50</x:f>
        <x:v>8.835988</x:v>
      </x:c>
      <x:c r="L50" s="79" t="n">
        <x:f>G50-I50-K50</x:f>
        <x:v>2311.7734920000003</x:v>
      </x:c>
      <x:c r="M50" s="76" t="n">
        <x:v>2311.77</x:v>
      </x:c>
      <x:c r="N50" s="79" t="n">
        <x:f>M50-L50</x:f>
        <x:v>-0.0034920000002784946</x:v>
      </x:c>
      <x:c r="O50" s="67" t="str">
        <x:f>IF(ABS(N50)&lt;=1,"已对账","待核对")</x:f>
        <x:v>已对账</x:v>
      </x:c>
      <x:c r="P50" s="67" t="str">
        <x:v>S-模拟支付账单</x:v>
      </x:c>
    </x:row>
    <x:row r="51">
      <x:c r="A51" s="67" t="str">
        <x:v>PAY-00047</x:v>
      </x:c>
      <x:c r="B51" s="73" t="n">
        <x:v>46214.5</x:v>
      </x:c>
      <x:c r="C51" s="73" t="n">
        <x:v>46215.5</x:v>
      </x:c>
      <x:c r="D51" s="67" t="str">
        <x:v>S02</x:v>
      </x:c>
      <x:c r="E51" s="67" t="str">
        <x:v>尊宝大厦店</x:v>
      </x:c>
      <x:c r="F51" s="67" t="str">
        <x:v>银行卡</x:v>
      </x:c>
      <x:c r="G51" s="76" t="n">
        <x:v>664.36</x:v>
      </x:c>
      <x:c r="H51" s="88" t="n">
        <x:v>0.001</x:v>
      </x:c>
      <x:c r="I51" s="79" t="n">
        <x:f>G51*H51</x:f>
        <x:v>0.6643600000000001</x:v>
      </x:c>
      <x:c r="J51" s="88" t="n">
        <x:v>0.005</x:v>
      </x:c>
      <x:c r="K51" s="79" t="n">
        <x:f>G51*J51</x:f>
        <x:v>3.3218</x:v>
      </x:c>
      <x:c r="L51" s="79" t="n">
        <x:f>G51-I51-K51</x:f>
        <x:v>660.37384</x:v>
      </x:c>
      <x:c r="M51" s="76" t="n">
        <x:v>660.38</x:v>
      </x:c>
      <x:c r="N51" s="79" t="n">
        <x:f>M51-L51</x:f>
        <x:v>0.006160000000022592</x:v>
      </x:c>
      <x:c r="O51" s="67" t="str">
        <x:f>IF(ABS(N51)&lt;=1,"已对账","待核对")</x:f>
        <x:v>已对账</x:v>
      </x:c>
      <x:c r="P51" s="67" t="str">
        <x:v>S-模拟支付账单</x:v>
      </x:c>
    </x:row>
    <x:row r="52">
      <x:c r="A52" s="67" t="str">
        <x:v>PAY-00048</x:v>
      </x:c>
      <x:c r="B52" s="73" t="n">
        <x:v>46214.5</x:v>
      </x:c>
      <x:c r="C52" s="73" t="n">
        <x:v>46214.5</x:v>
      </x:c>
      <x:c r="D52" s="67" t="str">
        <x:v>S02</x:v>
      </x:c>
      <x:c r="E52" s="67" t="str">
        <x:v>尊宝大厦店</x:v>
      </x:c>
      <x:c r="F52" s="67" t="str">
        <x:v>现金</x:v>
      </x:c>
      <x:c r="G52" s="76" t="n">
        <x:v>664.36</x:v>
      </x:c>
      <x:c r="H52" s="88" t="n">
        <x:v>0</x:v>
      </x:c>
      <x:c r="I52" s="79" t="n">
        <x:f>G52*H52</x:f>
        <x:v>0</x:v>
      </x:c>
      <x:c r="J52" s="88" t="n">
        <x:v>0</x:v>
      </x:c>
      <x:c r="K52" s="79" t="n">
        <x:f>G52*J52</x:f>
        <x:v>0</x:v>
      </x:c>
      <x:c r="L52" s="79" t="n">
        <x:f>G52-I52-K52</x:f>
        <x:v>664.36</x:v>
      </x:c>
      <x:c r="M52" s="76" t="n">
        <x:v>664.36</x:v>
      </x:c>
      <x:c r="N52" s="79" t="n">
        <x:f>M52-L52</x:f>
        <x:v>0</x:v>
      </x:c>
      <x:c r="O52" s="67" t="str">
        <x:f>IF(ABS(N52)&lt;=1,"已对账","待核对")</x:f>
        <x:v>已对账</x:v>
      </x:c>
      <x:c r="P52" s="67" t="str">
        <x:v>S-模拟支付账单</x:v>
      </x:c>
    </x:row>
    <x:row r="53">
      <x:c r="A53" s="67" t="str">
        <x:v>PAY-00049</x:v>
      </x:c>
      <x:c r="B53" s="73" t="n">
        <x:v>46215.5</x:v>
      </x:c>
      <x:c r="C53" s="73" t="n">
        <x:v>46216.5</x:v>
      </x:c>
      <x:c r="D53" s="67" t="str">
        <x:v>S02</x:v>
      </x:c>
      <x:c r="E53" s="67" t="str">
        <x:v>尊宝大厦店</x:v>
      </x:c>
      <x:c r="F53" s="67" t="str">
        <x:v>微信支付</x:v>
      </x:c>
      <x:c r="G53" s="76" t="n">
        <x:v>2916.36</x:v>
      </x:c>
      <x:c r="H53" s="88" t="n">
        <x:v>0.003</x:v>
      </x:c>
      <x:c r="I53" s="79" t="n">
        <x:f>G53*H53</x:f>
        <x:v>8.749080000000001</x:v>
      </x:c>
      <x:c r="J53" s="88" t="n">
        <x:v>0.0038</x:v>
      </x:c>
      <x:c r="K53" s="79" t="n">
        <x:f>G53*J53</x:f>
        <x:v>11.082168000000001</x:v>
      </x:c>
      <x:c r="L53" s="79" t="n">
        <x:f>G53-I53-K53</x:f>
        <x:v>2896.528752</x:v>
      </x:c>
      <x:c r="M53" s="76" t="n">
        <x:v>2896.53</x:v>
      </x:c>
      <x:c r="N53" s="79" t="n">
        <x:f>M53-L53</x:f>
        <x:v>0.0012480000000323344</x:v>
      </x:c>
      <x:c r="O53" s="67" t="str">
        <x:f>IF(ABS(N53)&lt;=1,"已对账","待核对")</x:f>
        <x:v>已对账</x:v>
      </x:c>
      <x:c r="P53" s="67" t="str">
        <x:v>S-模拟支付账单</x:v>
      </x:c>
    </x:row>
    <x:row r="54">
      <x:c r="A54" s="67" t="str">
        <x:v>PAY-00050</x:v>
      </x:c>
      <x:c r="B54" s="73" t="n">
        <x:v>46215.5</x:v>
      </x:c>
      <x:c r="C54" s="73" t="n">
        <x:v>46216.5</x:v>
      </x:c>
      <x:c r="D54" s="67" t="str">
        <x:v>S02</x:v>
      </x:c>
      <x:c r="E54" s="67" t="str">
        <x:v>尊宝大厦店</x:v>
      </x:c>
      <x:c r="F54" s="67" t="str">
        <x:v>支付宝</x:v>
      </x:c>
      <x:c r="G54" s="76" t="n">
        <x:v>2268.28</x:v>
      </x:c>
      <x:c r="H54" s="88" t="n">
        <x:v>0.002</x:v>
      </x:c>
      <x:c r="I54" s="79" t="n">
        <x:f>G54*H54</x:f>
        <x:v>4.536560000000001</x:v>
      </x:c>
      <x:c r="J54" s="88" t="n">
        <x:v>0.0038</x:v>
      </x:c>
      <x:c r="K54" s="79" t="n">
        <x:f>G54*J54</x:f>
        <x:v>8.619464</x:v>
      </x:c>
      <x:c r="L54" s="79" t="n">
        <x:f>G54-I54-K54</x:f>
        <x:v>2255.1239760000003</x:v>
      </x:c>
      <x:c r="M54" s="76" t="n">
        <x:v>2255.12</x:v>
      </x:c>
      <x:c r="N54" s="79" t="n">
        <x:f>M54-L54</x:f>
        <x:v>-0.003976000000420754</x:v>
      </x:c>
      <x:c r="O54" s="67" t="str">
        <x:f>IF(ABS(N54)&lt;=1,"已对账","待核对")</x:f>
        <x:v>已对账</x:v>
      </x:c>
      <x:c r="P54" s="67" t="str">
        <x:v>S-模拟支付账单</x:v>
      </x:c>
    </x:row>
    <x:row r="55">
      <x:c r="A55" s="67" t="str">
        <x:v>PAY-00051</x:v>
      </x:c>
      <x:c r="B55" s="73" t="n">
        <x:v>46215.5</x:v>
      </x:c>
      <x:c r="C55" s="73" t="n">
        <x:v>46216.5</x:v>
      </x:c>
      <x:c r="D55" s="67" t="str">
        <x:v>S02</x:v>
      </x:c>
      <x:c r="E55" s="67" t="str">
        <x:v>尊宝大厦店</x:v>
      </x:c>
      <x:c r="F55" s="67" t="str">
        <x:v>银行卡</x:v>
      </x:c>
      <x:c r="G55" s="76" t="n">
        <x:v>648.08</x:v>
      </x:c>
      <x:c r="H55" s="88" t="n">
        <x:v>0.001</x:v>
      </x:c>
      <x:c r="I55" s="79" t="n">
        <x:f>G55*H55</x:f>
        <x:v>0.6480800000000001</x:v>
      </x:c>
      <x:c r="J55" s="88" t="n">
        <x:v>0.005</x:v>
      </x:c>
      <x:c r="K55" s="79" t="n">
        <x:f>G55*J55</x:f>
        <x:v>3.2404</x:v>
      </x:c>
      <x:c r="L55" s="79" t="n">
        <x:f>G55-I55-K55</x:f>
        <x:v>644.19152</x:v>
      </x:c>
      <x:c r="M55" s="76" t="n">
        <x:v>644.19</x:v>
      </x:c>
      <x:c r="N55" s="79" t="n">
        <x:f>M55-L55</x:f>
        <x:v>-0.0015199999999140346</x:v>
      </x:c>
      <x:c r="O55" s="67" t="str">
        <x:f>IF(ABS(N55)&lt;=1,"已对账","待核对")</x:f>
        <x:v>已对账</x:v>
      </x:c>
      <x:c r="P55" s="67" t="str">
        <x:v>S-模拟支付账单</x:v>
      </x:c>
    </x:row>
    <x:row r="56">
      <x:c r="A56" s="67" t="str">
        <x:v>PAY-00052</x:v>
      </x:c>
      <x:c r="B56" s="73" t="n">
        <x:v>46215.5</x:v>
      </x:c>
      <x:c r="C56" s="73" t="n">
        <x:v>46215.5</x:v>
      </x:c>
      <x:c r="D56" s="67" t="str">
        <x:v>S02</x:v>
      </x:c>
      <x:c r="E56" s="67" t="str">
        <x:v>尊宝大厦店</x:v>
      </x:c>
      <x:c r="F56" s="67" t="str">
        <x:v>现金</x:v>
      </x:c>
      <x:c r="G56" s="76" t="n">
        <x:v>648.08</x:v>
      </x:c>
      <x:c r="H56" s="88" t="n">
        <x:v>0</x:v>
      </x:c>
      <x:c r="I56" s="79" t="n">
        <x:f>G56*H56</x:f>
        <x:v>0</x:v>
      </x:c>
      <x:c r="J56" s="88" t="n">
        <x:v>0</x:v>
      </x:c>
      <x:c r="K56" s="79" t="n">
        <x:f>G56*J56</x:f>
        <x:v>0</x:v>
      </x:c>
      <x:c r="L56" s="79" t="n">
        <x:f>G56-I56-K56</x:f>
        <x:v>648.08</x:v>
      </x:c>
      <x:c r="M56" s="76" t="n">
        <x:v>648.08</x:v>
      </x:c>
      <x:c r="N56" s="79" t="n">
        <x:f>M56-L56</x:f>
        <x:v>0</x:v>
      </x:c>
      <x:c r="O56" s="67" t="str">
        <x:f>IF(ABS(N56)&lt;=1,"已对账","待核对")</x:f>
        <x:v>已对账</x:v>
      </x:c>
      <x:c r="P56" s="67" t="str">
        <x:v>S-模拟支付账单</x:v>
      </x:c>
    </x:row>
    <x:row r="57">
      <x:c r="A57" s="67" t="str">
        <x:v>PAY-00053</x:v>
      </x:c>
      <x:c r="B57" s="73" t="n">
        <x:v>46216.5</x:v>
      </x:c>
      <x:c r="C57" s="73" t="n">
        <x:v>46217.5</x:v>
      </x:c>
      <x:c r="D57" s="67" t="str">
        <x:v>S02</x:v>
      </x:c>
      <x:c r="E57" s="67" t="str">
        <x:v>尊宝大厦店</x:v>
      </x:c>
      <x:c r="F57" s="67" t="str">
        <x:v>微信支付</x:v>
      </x:c>
      <x:c r="G57" s="76" t="n">
        <x:v>4190.54</x:v>
      </x:c>
      <x:c r="H57" s="88" t="n">
        <x:v>0.003</x:v>
      </x:c>
      <x:c r="I57" s="79" t="n">
        <x:f>G57*H57</x:f>
        <x:v>12.57162</x:v>
      </x:c>
      <x:c r="J57" s="88" t="n">
        <x:v>0.0038</x:v>
      </x:c>
      <x:c r="K57" s="79" t="n">
        <x:f>G57*J57</x:f>
        <x:v>15.924052</x:v>
      </x:c>
      <x:c r="L57" s="79" t="n">
        <x:f>G57-I57-K57</x:f>
        <x:v>4162.044328</x:v>
      </x:c>
      <x:c r="M57" s="76" t="n">
        <x:v>4162.05</x:v>
      </x:c>
      <x:c r="N57" s="79" t="n">
        <x:f>M57-L57</x:f>
        <x:v>0.005672000000231492</x:v>
      </x:c>
      <x:c r="O57" s="67" t="str">
        <x:f>IF(ABS(N57)&lt;=1,"已对账","待核对")</x:f>
        <x:v>已对账</x:v>
      </x:c>
      <x:c r="P57" s="67" t="str">
        <x:v>S-模拟支付账单</x:v>
      </x:c>
    </x:row>
    <x:row r="58">
      <x:c r="A58" s="67" t="str">
        <x:v>PAY-00054</x:v>
      </x:c>
      <x:c r="B58" s="73" t="n">
        <x:v>46216.5</x:v>
      </x:c>
      <x:c r="C58" s="73" t="n">
        <x:v>46217.5</x:v>
      </x:c>
      <x:c r="D58" s="67" t="str">
        <x:v>S02</x:v>
      </x:c>
      <x:c r="E58" s="67" t="str">
        <x:v>尊宝大厦店</x:v>
      </x:c>
      <x:c r="F58" s="67" t="str">
        <x:v>支付宝</x:v>
      </x:c>
      <x:c r="G58" s="76" t="n">
        <x:v>3259.3</x:v>
      </x:c>
      <x:c r="H58" s="88" t="n">
        <x:v>0.002</x:v>
      </x:c>
      <x:c r="I58" s="79" t="n">
        <x:f>G58*H58</x:f>
        <x:v>6.5186</x:v>
      </x:c>
      <x:c r="J58" s="88" t="n">
        <x:v>0.0038</x:v>
      </x:c>
      <x:c r="K58" s="79" t="n">
        <x:f>G58*J58</x:f>
        <x:v>12.385340000000001</x:v>
      </x:c>
      <x:c r="L58" s="79" t="n">
        <x:f>G58-I58-K58</x:f>
        <x:v>3240.3960600000005</x:v>
      </x:c>
      <x:c r="M58" s="76" t="n">
        <x:v>3240.39</x:v>
      </x:c>
      <x:c r="N58" s="79" t="n">
        <x:f>M58-L58</x:f>
        <x:v>-0.006060000000616128</x:v>
      </x:c>
      <x:c r="O58" s="67" t="str">
        <x:f>IF(ABS(N58)&lt;=1,"已对账","待核对")</x:f>
        <x:v>已对账</x:v>
      </x:c>
      <x:c r="P58" s="67" t="str">
        <x:v>S-模拟支付账单</x:v>
      </x:c>
    </x:row>
    <x:row r="59">
      <x:c r="A59" s="67" t="str">
        <x:v>PAY-00055</x:v>
      </x:c>
      <x:c r="B59" s="73" t="n">
        <x:v>46216.5</x:v>
      </x:c>
      <x:c r="C59" s="73" t="n">
        <x:v>46217.5</x:v>
      </x:c>
      <x:c r="D59" s="67" t="str">
        <x:v>S02</x:v>
      </x:c>
      <x:c r="E59" s="67" t="str">
        <x:v>尊宝大厦店</x:v>
      </x:c>
      <x:c r="F59" s="67" t="str">
        <x:v>银行卡</x:v>
      </x:c>
      <x:c r="G59" s="76" t="n">
        <x:v>931.23</x:v>
      </x:c>
      <x:c r="H59" s="88" t="n">
        <x:v>0.001</x:v>
      </x:c>
      <x:c r="I59" s="79" t="n">
        <x:f>G59*H59</x:f>
        <x:v>0.93123</x:v>
      </x:c>
      <x:c r="J59" s="88" t="n">
        <x:v>0.005</x:v>
      </x:c>
      <x:c r="K59" s="79" t="n">
        <x:f>G59*J59</x:f>
        <x:v>4.65615</x:v>
      </x:c>
      <x:c r="L59" s="79" t="n">
        <x:f>G59-I59-K59</x:f>
        <x:v>925.64262</x:v>
      </x:c>
      <x:c r="M59" s="76" t="n">
        <x:v>925.64</x:v>
      </x:c>
      <x:c r="N59" s="79" t="n">
        <x:f>M59-L59</x:f>
        <x:v>-0.0026199999999789725</x:v>
      </x:c>
      <x:c r="O59" s="67" t="str">
        <x:f>IF(ABS(N59)&lt;=1,"已对账","待核对")</x:f>
        <x:v>已对账</x:v>
      </x:c>
      <x:c r="P59" s="67" t="str">
        <x:v>S-模拟支付账单</x:v>
      </x:c>
    </x:row>
    <x:row r="60">
      <x:c r="A60" s="67" t="str">
        <x:v>PAY-00056</x:v>
      </x:c>
      <x:c r="B60" s="73" t="n">
        <x:v>46216.5</x:v>
      </x:c>
      <x:c r="C60" s="73" t="n">
        <x:v>46216.5</x:v>
      </x:c>
      <x:c r="D60" s="67" t="str">
        <x:v>S02</x:v>
      </x:c>
      <x:c r="E60" s="67" t="str">
        <x:v>尊宝大厦店</x:v>
      </x:c>
      <x:c r="F60" s="67" t="str">
        <x:v>现金</x:v>
      </x:c>
      <x:c r="G60" s="76" t="n">
        <x:v>931.23</x:v>
      </x:c>
      <x:c r="H60" s="88" t="n">
        <x:v>0</x:v>
      </x:c>
      <x:c r="I60" s="79" t="n">
        <x:f>G60*H60</x:f>
        <x:v>0</x:v>
      </x:c>
      <x:c r="J60" s="88" t="n">
        <x:v>0</x:v>
      </x:c>
      <x:c r="K60" s="79" t="n">
        <x:f>G60*J60</x:f>
        <x:v>0</x:v>
      </x:c>
      <x:c r="L60" s="79" t="n">
        <x:f>G60-I60-K60</x:f>
        <x:v>931.23</x:v>
      </x:c>
      <x:c r="M60" s="76" t="n">
        <x:v>931.23</x:v>
      </x:c>
      <x:c r="N60" s="79" t="n">
        <x:f>M60-L60</x:f>
        <x:v>0</x:v>
      </x:c>
      <x:c r="O60" s="67" t="str">
        <x:f>IF(ABS(N60)&lt;=1,"已对账","待核对")</x:f>
        <x:v>已对账</x:v>
      </x:c>
      <x:c r="P60" s="67" t="str">
        <x:v>S-模拟支付账单</x:v>
      </x:c>
    </x:row>
    <x:row r="61">
      <x:c r="A61" s="67" t="str">
        <x:v>PAY-00057</x:v>
      </x:c>
      <x:c r="B61" s="73" t="n">
        <x:v>46210.5</x:v>
      </x:c>
      <x:c r="C61" s="73" t="n">
        <x:v>46211.5</x:v>
      </x:c>
      <x:c r="D61" s="67" t="str">
        <x:v>S03</x:v>
      </x:c>
      <x:c r="E61" s="67" t="str">
        <x:v>铂悦城店</x:v>
      </x:c>
      <x:c r="F61" s="67" t="str">
        <x:v>微信支付</x:v>
      </x:c>
      <x:c r="G61" s="76" t="n">
        <x:v>3790.85</x:v>
      </x:c>
      <x:c r="H61" s="88" t="n">
        <x:v>0.003</x:v>
      </x:c>
      <x:c r="I61" s="79" t="n">
        <x:f>G61*H61</x:f>
        <x:v>11.37255</x:v>
      </x:c>
      <x:c r="J61" s="88" t="n">
        <x:v>0.0038</x:v>
      </x:c>
      <x:c r="K61" s="79" t="n">
        <x:f>G61*J61</x:f>
        <x:v>14.40523</x:v>
      </x:c>
      <x:c r="L61" s="79" t="n">
        <x:f>G61-I61-K61</x:f>
        <x:v>3765.07222</x:v>
      </x:c>
      <x:c r="M61" s="76" t="n">
        <x:v>3765.07</x:v>
      </x:c>
      <x:c r="N61" s="79" t="n">
        <x:f>M61-L61</x:f>
        <x:v>-0.002219999999852007</x:v>
      </x:c>
      <x:c r="O61" s="67" t="str">
        <x:f>IF(ABS(N61)&lt;=1,"已对账","待核对")</x:f>
        <x:v>已对账</x:v>
      </x:c>
      <x:c r="P61" s="67" t="str">
        <x:v>S-模拟支付账单</x:v>
      </x:c>
    </x:row>
    <x:row r="62">
      <x:c r="A62" s="67" t="str">
        <x:v>PAY-00058</x:v>
      </x:c>
      <x:c r="B62" s="73" t="n">
        <x:v>46210.5</x:v>
      </x:c>
      <x:c r="C62" s="73" t="n">
        <x:v>46211.5</x:v>
      </x:c>
      <x:c r="D62" s="67" t="str">
        <x:v>S03</x:v>
      </x:c>
      <x:c r="E62" s="67" t="str">
        <x:v>铂悦城店</x:v>
      </x:c>
      <x:c r="F62" s="67" t="str">
        <x:v>支付宝</x:v>
      </x:c>
      <x:c r="G62" s="76" t="n">
        <x:v>2948.44</x:v>
      </x:c>
      <x:c r="H62" s="88" t="n">
        <x:v>0.002</x:v>
      </x:c>
      <x:c r="I62" s="79" t="n">
        <x:f>G62*H62</x:f>
        <x:v>5.89688</x:v>
      </x:c>
      <x:c r="J62" s="88" t="n">
        <x:v>0.0038</x:v>
      </x:c>
      <x:c r="K62" s="79" t="n">
        <x:f>G62*J62</x:f>
        <x:v>11.204072</x:v>
      </x:c>
      <x:c r="L62" s="79" t="n">
        <x:f>G62-I62-K62</x:f>
        <x:v>2931.3390480000003</x:v>
      </x:c>
      <x:c r="M62" s="76" t="n">
        <x:v>2931.34</x:v>
      </x:c>
      <x:c r="N62" s="79" t="n">
        <x:f>M62-L62</x:f>
        <x:v>0.0009519999998701678</x:v>
      </x:c>
      <x:c r="O62" s="67" t="str">
        <x:f>IF(ABS(N62)&lt;=1,"已对账","待核对")</x:f>
        <x:v>已对账</x:v>
      </x:c>
      <x:c r="P62" s="67" t="str">
        <x:v>S-模拟支付账单</x:v>
      </x:c>
    </x:row>
    <x:row r="63">
      <x:c r="A63" s="67" t="str">
        <x:v>PAY-00059</x:v>
      </x:c>
      <x:c r="B63" s="73" t="n">
        <x:v>46210.5</x:v>
      </x:c>
      <x:c r="C63" s="73" t="n">
        <x:v>46211.5</x:v>
      </x:c>
      <x:c r="D63" s="67" t="str">
        <x:v>S03</x:v>
      </x:c>
      <x:c r="E63" s="67" t="str">
        <x:v>铂悦城店</x:v>
      </x:c>
      <x:c r="F63" s="67" t="str">
        <x:v>银行卡</x:v>
      </x:c>
      <x:c r="G63" s="76" t="n">
        <x:v>842.41</x:v>
      </x:c>
      <x:c r="H63" s="88" t="n">
        <x:v>0.001</x:v>
      </x:c>
      <x:c r="I63" s="79" t="n">
        <x:f>G63*H63</x:f>
        <x:v>0.84241</x:v>
      </x:c>
      <x:c r="J63" s="88" t="n">
        <x:v>0.005</x:v>
      </x:c>
      <x:c r="K63" s="79" t="n">
        <x:f>G63*J63</x:f>
        <x:v>4.21205</x:v>
      </x:c>
      <x:c r="L63" s="79" t="n">
        <x:f>G63-I63-K63</x:f>
        <x:v>837.35554</x:v>
      </x:c>
      <x:c r="M63" s="76" t="n">
        <x:v>837.36</x:v>
      </x:c>
      <x:c r="N63" s="79" t="n">
        <x:f>M63-L63</x:f>
        <x:v>0.004459999999994579</x:v>
      </x:c>
      <x:c r="O63" s="67" t="str">
        <x:f>IF(ABS(N63)&lt;=1,"已对账","待核对")</x:f>
        <x:v>已对账</x:v>
      </x:c>
      <x:c r="P63" s="67" t="str">
        <x:v>S-模拟支付账单</x:v>
      </x:c>
    </x:row>
    <x:row r="64">
      <x:c r="A64" s="67" t="str">
        <x:v>PAY-00060</x:v>
      </x:c>
      <x:c r="B64" s="73" t="n">
        <x:v>46210.5</x:v>
      </x:c>
      <x:c r="C64" s="73" t="n">
        <x:v>46210.5</x:v>
      </x:c>
      <x:c r="D64" s="67" t="str">
        <x:v>S03</x:v>
      </x:c>
      <x:c r="E64" s="67" t="str">
        <x:v>铂悦城店</x:v>
      </x:c>
      <x:c r="F64" s="67" t="str">
        <x:v>现金</x:v>
      </x:c>
      <x:c r="G64" s="76" t="n">
        <x:v>842.41</x:v>
      </x:c>
      <x:c r="H64" s="88" t="n">
        <x:v>0</x:v>
      </x:c>
      <x:c r="I64" s="79" t="n">
        <x:f>G64*H64</x:f>
        <x:v>0</x:v>
      </x:c>
      <x:c r="J64" s="88" t="n">
        <x:v>0</x:v>
      </x:c>
      <x:c r="K64" s="79" t="n">
        <x:f>G64*J64</x:f>
        <x:v>0</x:v>
      </x:c>
      <x:c r="L64" s="79" t="n">
        <x:f>G64-I64-K64</x:f>
        <x:v>842.41</x:v>
      </x:c>
      <x:c r="M64" s="76" t="n">
        <x:v>842.41</x:v>
      </x:c>
      <x:c r="N64" s="79" t="n">
        <x:f>M64-L64</x:f>
        <x:v>0</x:v>
      </x:c>
      <x:c r="O64" s="67" t="str">
        <x:f>IF(ABS(N64)&lt;=1,"已对账","待核对")</x:f>
        <x:v>已对账</x:v>
      </x:c>
      <x:c r="P64" s="67" t="str">
        <x:v>S-模拟支付账单</x:v>
      </x:c>
    </x:row>
    <x:row r="65">
      <x:c r="A65" s="67" t="str">
        <x:v>PAY-00061</x:v>
      </x:c>
      <x:c r="B65" s="73" t="n">
        <x:v>46211.5</x:v>
      </x:c>
      <x:c r="C65" s="73" t="n">
        <x:v>46212.5</x:v>
      </x:c>
      <x:c r="D65" s="67" t="str">
        <x:v>S03</x:v>
      </x:c>
      <x:c r="E65" s="67" t="str">
        <x:v>铂悦城店</x:v>
      </x:c>
      <x:c r="F65" s="67" t="str">
        <x:v>微信支付</x:v>
      </x:c>
      <x:c r="G65" s="76" t="n">
        <x:v>3684.51</x:v>
      </x:c>
      <x:c r="H65" s="88" t="n">
        <x:v>0.003</x:v>
      </x:c>
      <x:c r="I65" s="79" t="n">
        <x:f>G65*H65</x:f>
        <x:v>11.05353</x:v>
      </x:c>
      <x:c r="J65" s="88" t="n">
        <x:v>0.0038</x:v>
      </x:c>
      <x:c r="K65" s="79" t="n">
        <x:f>G65*J65</x:f>
        <x:v>14.001138000000001</x:v>
      </x:c>
      <x:c r="L65" s="79" t="n">
        <x:f>G65-I65-K65</x:f>
        <x:v>3659.455332</x:v>
      </x:c>
      <x:c r="M65" s="76" t="n">
        <x:v>3659.46</x:v>
      </x:c>
      <x:c r="N65" s="79" t="n">
        <x:f>M65-L65</x:f>
        <x:v>0.004668000000037864</x:v>
      </x:c>
      <x:c r="O65" s="67" t="str">
        <x:f>IF(ABS(N65)&lt;=1,"已对账","待核对")</x:f>
        <x:v>已对账</x:v>
      </x:c>
      <x:c r="P65" s="67" t="str">
        <x:v>S-模拟支付账单</x:v>
      </x:c>
    </x:row>
    <x:row r="66">
      <x:c r="A66" s="67" t="str">
        <x:v>PAY-00062</x:v>
      </x:c>
      <x:c r="B66" s="73" t="n">
        <x:v>46211.5</x:v>
      </x:c>
      <x:c r="C66" s="73" t="n">
        <x:v>46212.5</x:v>
      </x:c>
      <x:c r="D66" s="67" t="str">
        <x:v>S03</x:v>
      </x:c>
      <x:c r="E66" s="67" t="str">
        <x:v>铂悦城店</x:v>
      </x:c>
      <x:c r="F66" s="67" t="str">
        <x:v>支付宝</x:v>
      </x:c>
      <x:c r="G66" s="76" t="n">
        <x:v>2865.73</x:v>
      </x:c>
      <x:c r="H66" s="88" t="n">
        <x:v>0.002</x:v>
      </x:c>
      <x:c r="I66" s="79" t="n">
        <x:f>G66*H66</x:f>
        <x:v>5.73146</x:v>
      </x:c>
      <x:c r="J66" s="88" t="n">
        <x:v>0.0038</x:v>
      </x:c>
      <x:c r="K66" s="79" t="n">
        <x:f>G66*J66</x:f>
        <x:v>10.889774</x:v>
      </x:c>
      <x:c r="L66" s="79" t="n">
        <x:f>G66-I66-K66</x:f>
        <x:v>2849.108766</x:v>
      </x:c>
      <x:c r="M66" s="76" t="n">
        <x:v>2849.11</x:v>
      </x:c>
      <x:c r="N66" s="79" t="n">
        <x:f>M66-L66</x:f>
        <x:v>0.0012340000002950546</x:v>
      </x:c>
      <x:c r="O66" s="67" t="str">
        <x:f>IF(ABS(N66)&lt;=1,"已对账","待核对")</x:f>
        <x:v>已对账</x:v>
      </x:c>
      <x:c r="P66" s="67" t="str">
        <x:v>S-模拟支付账单</x:v>
      </x:c>
    </x:row>
    <x:row r="67">
      <x:c r="A67" s="67" t="str">
        <x:v>PAY-00063</x:v>
      </x:c>
      <x:c r="B67" s="73" t="n">
        <x:v>46211.5</x:v>
      </x:c>
      <x:c r="C67" s="73" t="n">
        <x:v>46212.5</x:v>
      </x:c>
      <x:c r="D67" s="67" t="str">
        <x:v>S03</x:v>
      </x:c>
      <x:c r="E67" s="67" t="str">
        <x:v>铂悦城店</x:v>
      </x:c>
      <x:c r="F67" s="67" t="str">
        <x:v>银行卡</x:v>
      </x:c>
      <x:c r="G67" s="76" t="n">
        <x:v>818.78</x:v>
      </x:c>
      <x:c r="H67" s="88" t="n">
        <x:v>0.001</x:v>
      </x:c>
      <x:c r="I67" s="79" t="n">
        <x:f>G67*H67</x:f>
        <x:v>0.81878</x:v>
      </x:c>
      <x:c r="J67" s="88" t="n">
        <x:v>0.005</x:v>
      </x:c>
      <x:c r="K67" s="79" t="n">
        <x:f>G67*J67</x:f>
        <x:v>4.0939</x:v>
      </x:c>
      <x:c r="L67" s="79" t="n">
        <x:f>G67-I67-K67</x:f>
        <x:v>813.8673200000001</x:v>
      </x:c>
      <x:c r="M67" s="76" t="n">
        <x:v>813.87</x:v>
      </x:c>
      <x:c r="N67" s="79" t="n">
        <x:f>M67-L67</x:f>
        <x:v>0.002679999999941174</x:v>
      </x:c>
      <x:c r="O67" s="67" t="str">
        <x:f>IF(ABS(N67)&lt;=1,"已对账","待核对")</x:f>
        <x:v>已对账</x:v>
      </x:c>
      <x:c r="P67" s="67" t="str">
        <x:v>S-模拟支付账单</x:v>
      </x:c>
    </x:row>
    <x:row r="68">
      <x:c r="A68" s="67" t="str">
        <x:v>PAY-00064</x:v>
      </x:c>
      <x:c r="B68" s="73" t="n">
        <x:v>46211.5</x:v>
      </x:c>
      <x:c r="C68" s="73" t="n">
        <x:v>46211.5</x:v>
      </x:c>
      <x:c r="D68" s="67" t="str">
        <x:v>S03</x:v>
      </x:c>
      <x:c r="E68" s="67" t="str">
        <x:v>铂悦城店</x:v>
      </x:c>
      <x:c r="F68" s="67" t="str">
        <x:v>现金</x:v>
      </x:c>
      <x:c r="G68" s="76" t="n">
        <x:v>818.78</x:v>
      </x:c>
      <x:c r="H68" s="88" t="n">
        <x:v>0</x:v>
      </x:c>
      <x:c r="I68" s="79" t="n">
        <x:f>G68*H68</x:f>
        <x:v>0</x:v>
      </x:c>
      <x:c r="J68" s="88" t="n">
        <x:v>0</x:v>
      </x:c>
      <x:c r="K68" s="79" t="n">
        <x:f>G68*J68</x:f>
        <x:v>0</x:v>
      </x:c>
      <x:c r="L68" s="79" t="n">
        <x:f>G68-I68-K68</x:f>
        <x:v>818.78</x:v>
      </x:c>
      <x:c r="M68" s="76" t="n">
        <x:v>818.78</x:v>
      </x:c>
      <x:c r="N68" s="79" t="n">
        <x:f>M68-L68</x:f>
        <x:v>0</x:v>
      </x:c>
      <x:c r="O68" s="67" t="str">
        <x:f>IF(ABS(N68)&lt;=1,"已对账","待核对")</x:f>
        <x:v>已对账</x:v>
      </x:c>
      <x:c r="P68" s="67" t="str">
        <x:v>S-模拟支付账单</x:v>
      </x:c>
    </x:row>
    <x:row r="69">
      <x:c r="A69" s="67" t="str">
        <x:v>PAY-00065</x:v>
      </x:c>
      <x:c r="B69" s="73" t="n">
        <x:v>46212.5</x:v>
      </x:c>
      <x:c r="C69" s="73" t="n">
        <x:v>46213.5</x:v>
      </x:c>
      <x:c r="D69" s="67" t="str">
        <x:v>S03</x:v>
      </x:c>
      <x:c r="E69" s="67" t="str">
        <x:v>铂悦城店</x:v>
      </x:c>
      <x:c r="F69" s="67" t="str">
        <x:v>微信支付</x:v>
      </x:c>
      <x:c r="G69" s="76" t="n">
        <x:v>3613.86</x:v>
      </x:c>
      <x:c r="H69" s="88" t="n">
        <x:v>0.003</x:v>
      </x:c>
      <x:c r="I69" s="79" t="n">
        <x:f>G69*H69</x:f>
        <x:v>10.84158</x:v>
      </x:c>
      <x:c r="J69" s="88" t="n">
        <x:v>0.0038</x:v>
      </x:c>
      <x:c r="K69" s="79" t="n">
        <x:f>G69*J69</x:f>
        <x:v>13.732668</x:v>
      </x:c>
      <x:c r="L69" s="79" t="n">
        <x:f>G69-I69-K69</x:f>
        <x:v>3589.2857520000002</x:v>
      </x:c>
      <x:c r="M69" s="76" t="n">
        <x:v>3589.29</x:v>
      </x:c>
      <x:c r="N69" s="79" t="n">
        <x:f>M69-L69</x:f>
        <x:v>0.00424799999973402</x:v>
      </x:c>
      <x:c r="O69" s="67" t="str">
        <x:f>IF(ABS(N69)&lt;=1,"已对账","待核对")</x:f>
        <x:v>已对账</x:v>
      </x:c>
      <x:c r="P69" s="67" t="str">
        <x:v>S-模拟支付账单</x:v>
      </x:c>
    </x:row>
    <x:row r="70">
      <x:c r="A70" s="67" t="str">
        <x:v>PAY-00066</x:v>
      </x:c>
      <x:c r="B70" s="73" t="n">
        <x:v>46212.5</x:v>
      </x:c>
      <x:c r="C70" s="73" t="n">
        <x:v>46213.5</x:v>
      </x:c>
      <x:c r="D70" s="67" t="str">
        <x:v>S03</x:v>
      </x:c>
      <x:c r="E70" s="67" t="str">
        <x:v>铂悦城店</x:v>
      </x:c>
      <x:c r="F70" s="67" t="str">
        <x:v>支付宝</x:v>
      </x:c>
      <x:c r="G70" s="76" t="n">
        <x:v>2810.78</x:v>
      </x:c>
      <x:c r="H70" s="88" t="n">
        <x:v>0.002</x:v>
      </x:c>
      <x:c r="I70" s="79" t="n">
        <x:f>G70*H70</x:f>
        <x:v>5.621560000000001</x:v>
      </x:c>
      <x:c r="J70" s="88" t="n">
        <x:v>0.0038</x:v>
      </x:c>
      <x:c r="K70" s="79" t="n">
        <x:f>G70*J70</x:f>
        <x:v>10.680964000000001</x:v>
      </x:c>
      <x:c r="L70" s="79" t="n">
        <x:f>G70-I70-K70</x:f>
        <x:v>2794.477476</x:v>
      </x:c>
      <x:c r="M70" s="76" t="n">
        <x:v>2794.48</x:v>
      </x:c>
      <x:c r="N70" s="79" t="n">
        <x:f>M70-L70</x:f>
        <x:v>0.0025239999999939755</x:v>
      </x:c>
      <x:c r="O70" s="67" t="str">
        <x:f>IF(ABS(N70)&lt;=1,"已对账","待核对")</x:f>
        <x:v>已对账</x:v>
      </x:c>
      <x:c r="P70" s="67" t="str">
        <x:v>S-模拟支付账单</x:v>
      </x:c>
    </x:row>
    <x:row r="71">
      <x:c r="A71" s="67" t="str">
        <x:v>PAY-00067</x:v>
      </x:c>
      <x:c r="B71" s="73" t="n">
        <x:v>46212.5</x:v>
      </x:c>
      <x:c r="C71" s="73" t="n">
        <x:v>46213.5</x:v>
      </x:c>
      <x:c r="D71" s="67" t="str">
        <x:v>S03</x:v>
      </x:c>
      <x:c r="E71" s="67" t="str">
        <x:v>铂悦城店</x:v>
      </x:c>
      <x:c r="F71" s="67" t="str">
        <x:v>银行卡</x:v>
      </x:c>
      <x:c r="G71" s="76" t="n">
        <x:v>803.08</x:v>
      </x:c>
      <x:c r="H71" s="88" t="n">
        <x:v>0.001</x:v>
      </x:c>
      <x:c r="I71" s="79" t="n">
        <x:f>G71*H71</x:f>
        <x:v>0.80308</x:v>
      </x:c>
      <x:c r="J71" s="88" t="n">
        <x:v>0.005</x:v>
      </x:c>
      <x:c r="K71" s="79" t="n">
        <x:f>G71*J71</x:f>
        <x:v>4.0154000000000005</x:v>
      </x:c>
      <x:c r="L71" s="79" t="n">
        <x:f>G71-I71-K71</x:f>
        <x:v>798.26152</x:v>
      </x:c>
      <x:c r="M71" s="76" t="n">
        <x:v>798.26</x:v>
      </x:c>
      <x:c r="N71" s="79" t="n">
        <x:f>M71-L71</x:f>
        <x:v>-0.0015200000000277214</x:v>
      </x:c>
      <x:c r="O71" s="67" t="str">
        <x:f>IF(ABS(N71)&lt;=1,"已对账","待核对")</x:f>
        <x:v>已对账</x:v>
      </x:c>
      <x:c r="P71" s="67" t="str">
        <x:v>S-模拟支付账单</x:v>
      </x:c>
    </x:row>
    <x:row r="72">
      <x:c r="A72" s="67" t="str">
        <x:v>PAY-00068</x:v>
      </x:c>
      <x:c r="B72" s="73" t="n">
        <x:v>46212.5</x:v>
      </x:c>
      <x:c r="C72" s="73" t="n">
        <x:v>46212.5</x:v>
      </x:c>
      <x:c r="D72" s="67" t="str">
        <x:v>S03</x:v>
      </x:c>
      <x:c r="E72" s="67" t="str">
        <x:v>铂悦城店</x:v>
      </x:c>
      <x:c r="F72" s="67" t="str">
        <x:v>现金</x:v>
      </x:c>
      <x:c r="G72" s="76" t="n">
        <x:v>803.08</x:v>
      </x:c>
      <x:c r="H72" s="88" t="n">
        <x:v>0</x:v>
      </x:c>
      <x:c r="I72" s="79" t="n">
        <x:f>G72*H72</x:f>
        <x:v>0</x:v>
      </x:c>
      <x:c r="J72" s="88" t="n">
        <x:v>0</x:v>
      </x:c>
      <x:c r="K72" s="79" t="n">
        <x:f>G72*J72</x:f>
        <x:v>0</x:v>
      </x:c>
      <x:c r="L72" s="79" t="n">
        <x:f>G72-I72-K72</x:f>
        <x:v>803.08</x:v>
      </x:c>
      <x:c r="M72" s="76" t="n">
        <x:v>803.08</x:v>
      </x:c>
      <x:c r="N72" s="79" t="n">
        <x:f>M72-L72</x:f>
        <x:v>0</x:v>
      </x:c>
      <x:c r="O72" s="67" t="str">
        <x:f>IF(ABS(N72)&lt;=1,"已对账","待核对")</x:f>
        <x:v>已对账</x:v>
      </x:c>
      <x:c r="P72" s="67" t="str">
        <x:v>S-模拟支付账单</x:v>
      </x:c>
    </x:row>
    <x:row r="73">
      <x:c r="A73" s="67" t="str">
        <x:v>PAY-00069</x:v>
      </x:c>
      <x:c r="B73" s="73" t="n">
        <x:v>46213.5</x:v>
      </x:c>
      <x:c r="C73" s="73" t="n">
        <x:v>46214.5</x:v>
      </x:c>
      <x:c r="D73" s="67" t="str">
        <x:v>S03</x:v>
      </x:c>
      <x:c r="E73" s="67" t="str">
        <x:v>铂悦城店</x:v>
      </x:c>
      <x:c r="F73" s="67" t="str">
        <x:v>微信支付</x:v>
      </x:c>
      <x:c r="G73" s="76" t="n">
        <x:v>3755.66</x:v>
      </x:c>
      <x:c r="H73" s="88" t="n">
        <x:v>0.003</x:v>
      </x:c>
      <x:c r="I73" s="79" t="n">
        <x:f>G73*H73</x:f>
        <x:v>11.26698</x:v>
      </x:c>
      <x:c r="J73" s="88" t="n">
        <x:v>0.0038</x:v>
      </x:c>
      <x:c r="K73" s="79" t="n">
        <x:f>G73*J73</x:f>
        <x:v>14.271507999999999</x:v>
      </x:c>
      <x:c r="L73" s="79" t="n">
        <x:f>G73-I73-K73</x:f>
        <x:v>3730.121512</x:v>
      </x:c>
      <x:c r="M73" s="76" t="n">
        <x:v>3693.32</x:v>
      </x:c>
      <x:c r="N73" s="79" t="n">
        <x:f>M73-L73</x:f>
        <x:v>-36.801512</x:v>
      </x:c>
      <x:c r="O73" s="67" t="str">
        <x:f>IF(ABS(N73)&lt;=1,"已对账","待核对")</x:f>
        <x:v>待核对</x:v>
      </x:c>
      <x:c r="P73" s="67" t="str">
        <x:v>S-模拟支付账单</x:v>
      </x:c>
    </x:row>
    <x:row r="74">
      <x:c r="A74" s="67" t="str">
        <x:v>PAY-00070</x:v>
      </x:c>
      <x:c r="B74" s="73" t="n">
        <x:v>46213.5</x:v>
      </x:c>
      <x:c r="C74" s="73" t="n">
        <x:v>46214.5</x:v>
      </x:c>
      <x:c r="D74" s="67" t="str">
        <x:v>S03</x:v>
      </x:c>
      <x:c r="E74" s="67" t="str">
        <x:v>铂悦城店</x:v>
      </x:c>
      <x:c r="F74" s="67" t="str">
        <x:v>支付宝</x:v>
      </x:c>
      <x:c r="G74" s="76" t="n">
        <x:v>2921.07</x:v>
      </x:c>
      <x:c r="H74" s="88" t="n">
        <x:v>0.002</x:v>
      </x:c>
      <x:c r="I74" s="79" t="n">
        <x:f>G74*H74</x:f>
        <x:v>5.8421400000000006</x:v>
      </x:c>
      <x:c r="J74" s="88" t="n">
        <x:v>0.0038</x:v>
      </x:c>
      <x:c r="K74" s="79" t="n">
        <x:f>G74*J74</x:f>
        <x:v>11.100066</x:v>
      </x:c>
      <x:c r="L74" s="79" t="n">
        <x:f>G74-I74-K74</x:f>
        <x:v>2904.127794</x:v>
      </x:c>
      <x:c r="M74" s="76" t="n">
        <x:v>2904.13</x:v>
      </x:c>
      <x:c r="N74" s="79" t="n">
        <x:f>M74-L74</x:f>
        <x:v>0.0022060000001147273</x:v>
      </x:c>
      <x:c r="O74" s="67" t="str">
        <x:f>IF(ABS(N74)&lt;=1,"已对账","待核对")</x:f>
        <x:v>已对账</x:v>
      </x:c>
      <x:c r="P74" s="67" t="str">
        <x:v>S-模拟支付账单</x:v>
      </x:c>
    </x:row>
    <x:row r="75">
      <x:c r="A75" s="67" t="str">
        <x:v>PAY-00071</x:v>
      </x:c>
      <x:c r="B75" s="73" t="n">
        <x:v>46213.5</x:v>
      </x:c>
      <x:c r="C75" s="73" t="n">
        <x:v>46214.5</x:v>
      </x:c>
      <x:c r="D75" s="67" t="str">
        <x:v>S03</x:v>
      </x:c>
      <x:c r="E75" s="67" t="str">
        <x:v>铂悦城店</x:v>
      </x:c>
      <x:c r="F75" s="67" t="str">
        <x:v>银行卡</x:v>
      </x:c>
      <x:c r="G75" s="76" t="n">
        <x:v>834.59</x:v>
      </x:c>
      <x:c r="H75" s="88" t="n">
        <x:v>0.001</x:v>
      </x:c>
      <x:c r="I75" s="79" t="n">
        <x:f>G75*H75</x:f>
        <x:v>0.83459</x:v>
      </x:c>
      <x:c r="J75" s="88" t="n">
        <x:v>0.005</x:v>
      </x:c>
      <x:c r="K75" s="79" t="n">
        <x:f>G75*J75</x:f>
        <x:v>4.17295</x:v>
      </x:c>
      <x:c r="L75" s="79" t="n">
        <x:f>G75-I75-K75</x:f>
        <x:v>829.58246</x:v>
      </x:c>
      <x:c r="M75" s="76" t="n">
        <x:v>829.59</x:v>
      </x:c>
      <x:c r="N75" s="79" t="n">
        <x:f>M75-L75</x:f>
        <x:v>0.007540000000062719</x:v>
      </x:c>
      <x:c r="O75" s="67" t="str">
        <x:f>IF(ABS(N75)&lt;=1,"已对账","待核对")</x:f>
        <x:v>已对账</x:v>
      </x:c>
      <x:c r="P75" s="67" t="str">
        <x:v>S-模拟支付账单</x:v>
      </x:c>
    </x:row>
    <x:row r="76">
      <x:c r="A76" s="67" t="str">
        <x:v>PAY-00072</x:v>
      </x:c>
      <x:c r="B76" s="73" t="n">
        <x:v>46213.5</x:v>
      </x:c>
      <x:c r="C76" s="73" t="n">
        <x:v>46213.5</x:v>
      </x:c>
      <x:c r="D76" s="67" t="str">
        <x:v>S03</x:v>
      </x:c>
      <x:c r="E76" s="67" t="str">
        <x:v>铂悦城店</x:v>
      </x:c>
      <x:c r="F76" s="67" t="str">
        <x:v>现金</x:v>
      </x:c>
      <x:c r="G76" s="76" t="n">
        <x:v>834.59</x:v>
      </x:c>
      <x:c r="H76" s="88" t="n">
        <x:v>0</x:v>
      </x:c>
      <x:c r="I76" s="79" t="n">
        <x:f>G76*H76</x:f>
        <x:v>0</x:v>
      </x:c>
      <x:c r="J76" s="88" t="n">
        <x:v>0</x:v>
      </x:c>
      <x:c r="K76" s="79" t="n">
        <x:f>G76*J76</x:f>
        <x:v>0</x:v>
      </x:c>
      <x:c r="L76" s="79" t="n">
        <x:f>G76-I76-K76</x:f>
        <x:v>834.59</x:v>
      </x:c>
      <x:c r="M76" s="76" t="n">
        <x:v>834.59</x:v>
      </x:c>
      <x:c r="N76" s="79" t="n">
        <x:f>M76-L76</x:f>
        <x:v>0</x:v>
      </x:c>
      <x:c r="O76" s="67" t="str">
        <x:f>IF(ABS(N76)&lt;=1,"已对账","待核对")</x:f>
        <x:v>已对账</x:v>
      </x:c>
      <x:c r="P76" s="67" t="str">
        <x:v>S-模拟支付账单</x:v>
      </x:c>
    </x:row>
    <x:row r="77">
      <x:c r="A77" s="67" t="str">
        <x:v>PAY-00073</x:v>
      </x:c>
      <x:c r="B77" s="73" t="n">
        <x:v>46214.5</x:v>
      </x:c>
      <x:c r="C77" s="73" t="n">
        <x:v>46215.5</x:v>
      </x:c>
      <x:c r="D77" s="67" t="str">
        <x:v>S03</x:v>
      </x:c>
      <x:c r="E77" s="67" t="str">
        <x:v>铂悦城店</x:v>
      </x:c>
      <x:c r="F77" s="67" t="str">
        <x:v>微信支付</x:v>
      </x:c>
      <x:c r="G77" s="76" t="n">
        <x:v>2878.97</x:v>
      </x:c>
      <x:c r="H77" s="88" t="n">
        <x:v>0.003</x:v>
      </x:c>
      <x:c r="I77" s="79" t="n">
        <x:f>G77*H77</x:f>
        <x:v>8.63691</x:v>
      </x:c>
      <x:c r="J77" s="88" t="n">
        <x:v>0.0038</x:v>
      </x:c>
      <x:c r="K77" s="79" t="n">
        <x:f>G77*J77</x:f>
        <x:v>10.940085999999999</x:v>
      </x:c>
      <x:c r="L77" s="79" t="n">
        <x:f>G77-I77-K77</x:f>
        <x:v>2859.3930039999996</x:v>
      </x:c>
      <x:c r="M77" s="76" t="n">
        <x:v>2859.39</x:v>
      </x:c>
      <x:c r="N77" s="79" t="n">
        <x:f>M77-L77</x:f>
        <x:v>-0.0030039999996915867</x:v>
      </x:c>
      <x:c r="O77" s="67" t="str">
        <x:f>IF(ABS(N77)&lt;=1,"已对账","待核对")</x:f>
        <x:v>已对账</x:v>
      </x:c>
      <x:c r="P77" s="67" t="str">
        <x:v>S-模拟支付账单</x:v>
      </x:c>
    </x:row>
    <x:row r="78">
      <x:c r="A78" s="67" t="str">
        <x:v>PAY-00074</x:v>
      </x:c>
      <x:c r="B78" s="73" t="n">
        <x:v>46214.5</x:v>
      </x:c>
      <x:c r="C78" s="73" t="n">
        <x:v>46215.5</x:v>
      </x:c>
      <x:c r="D78" s="67" t="str">
        <x:v>S03</x:v>
      </x:c>
      <x:c r="E78" s="67" t="str">
        <x:v>铂悦城店</x:v>
      </x:c>
      <x:c r="F78" s="67" t="str">
        <x:v>支付宝</x:v>
      </x:c>
      <x:c r="G78" s="76" t="n">
        <x:v>2239.19</x:v>
      </x:c>
      <x:c r="H78" s="88" t="n">
        <x:v>0.002</x:v>
      </x:c>
      <x:c r="I78" s="79" t="n">
        <x:f>G78*H78</x:f>
        <x:v>4.4783800000000005</x:v>
      </x:c>
      <x:c r="J78" s="88" t="n">
        <x:v>0.0038</x:v>
      </x:c>
      <x:c r="K78" s="79" t="n">
        <x:f>G78*J78</x:f>
        <x:v>8.508922</x:v>
      </x:c>
      <x:c r="L78" s="79" t="n">
        <x:f>G78-I78-K78</x:f>
        <x:v>2226.202698</x:v>
      </x:c>
      <x:c r="M78" s="76" t="n">
        <x:v>2226.2</x:v>
      </x:c>
      <x:c r="N78" s="79" t="n">
        <x:f>M78-L78</x:f>
        <x:v>-0.0026980000002367888</x:v>
      </x:c>
      <x:c r="O78" s="67" t="str">
        <x:f>IF(ABS(N78)&lt;=1,"已对账","待核对")</x:f>
        <x:v>已对账</x:v>
      </x:c>
      <x:c r="P78" s="67" t="str">
        <x:v>S-模拟支付账单</x:v>
      </x:c>
    </x:row>
    <x:row r="79">
      <x:c r="A79" s="67" t="str">
        <x:v>PAY-00075</x:v>
      </x:c>
      <x:c r="B79" s="73" t="n">
        <x:v>46214.5</x:v>
      </x:c>
      <x:c r="C79" s="73" t="n">
        <x:v>46215.5</x:v>
      </x:c>
      <x:c r="D79" s="67" t="str">
        <x:v>S03</x:v>
      </x:c>
      <x:c r="E79" s="67" t="str">
        <x:v>铂悦城店</x:v>
      </x:c>
      <x:c r="F79" s="67" t="str">
        <x:v>银行卡</x:v>
      </x:c>
      <x:c r="G79" s="76" t="n">
        <x:v>639.77</x:v>
      </x:c>
      <x:c r="H79" s="88" t="n">
        <x:v>0.001</x:v>
      </x:c>
      <x:c r="I79" s="79" t="n">
        <x:f>G79*H79</x:f>
        <x:v>0.63977</x:v>
      </x:c>
      <x:c r="J79" s="88" t="n">
        <x:v>0.005</x:v>
      </x:c>
      <x:c r="K79" s="79" t="n">
        <x:f>G79*J79</x:f>
        <x:v>3.19885</x:v>
      </x:c>
      <x:c r="L79" s="79" t="n">
        <x:f>G79-I79-K79</x:f>
        <x:v>635.93138</x:v>
      </x:c>
      <x:c r="M79" s="76" t="n">
        <x:v>635.93</x:v>
      </x:c>
      <x:c r="N79" s="79" t="n">
        <x:f>M79-L79</x:f>
        <x:v>-0.001380000000040127</x:v>
      </x:c>
      <x:c r="O79" s="67" t="str">
        <x:f>IF(ABS(N79)&lt;=1,"已对账","待核对")</x:f>
        <x:v>已对账</x:v>
      </x:c>
      <x:c r="P79" s="67" t="str">
        <x:v>S-模拟支付账单</x:v>
      </x:c>
    </x:row>
    <x:row r="80">
      <x:c r="A80" s="67" t="str">
        <x:v>PAY-00076</x:v>
      </x:c>
      <x:c r="B80" s="73" t="n">
        <x:v>46214.5</x:v>
      </x:c>
      <x:c r="C80" s="73" t="n">
        <x:v>46214.5</x:v>
      </x:c>
      <x:c r="D80" s="67" t="str">
        <x:v>S03</x:v>
      </x:c>
      <x:c r="E80" s="67" t="str">
        <x:v>铂悦城店</x:v>
      </x:c>
      <x:c r="F80" s="67" t="str">
        <x:v>现金</x:v>
      </x:c>
      <x:c r="G80" s="76" t="n">
        <x:v>639.77</x:v>
      </x:c>
      <x:c r="H80" s="88" t="n">
        <x:v>0</x:v>
      </x:c>
      <x:c r="I80" s="79" t="n">
        <x:f>G80*H80</x:f>
        <x:v>0</x:v>
      </x:c>
      <x:c r="J80" s="88" t="n">
        <x:v>0</x:v>
      </x:c>
      <x:c r="K80" s="79" t="n">
        <x:f>G80*J80</x:f>
        <x:v>0</x:v>
      </x:c>
      <x:c r="L80" s="79" t="n">
        <x:f>G80-I80-K80</x:f>
        <x:v>639.77</x:v>
      </x:c>
      <x:c r="M80" s="76" t="n">
        <x:v>639.77</x:v>
      </x:c>
      <x:c r="N80" s="79" t="n">
        <x:f>M80-L80</x:f>
        <x:v>0</x:v>
      </x:c>
      <x:c r="O80" s="67" t="str">
        <x:f>IF(ABS(N80)&lt;=1,"已对账","待核对")</x:f>
        <x:v>已对账</x:v>
      </x:c>
      <x:c r="P80" s="67" t="str">
        <x:v>S-模拟支付账单</x:v>
      </x:c>
    </x:row>
    <x:row r="81">
      <x:c r="A81" s="67" t="str">
        <x:v>PAY-00077</x:v>
      </x:c>
      <x:c r="B81" s="73" t="n">
        <x:v>46215.5</x:v>
      </x:c>
      <x:c r="C81" s="73" t="n">
        <x:v>46216.5</x:v>
      </x:c>
      <x:c r="D81" s="67" t="str">
        <x:v>S03</x:v>
      </x:c>
      <x:c r="E81" s="67" t="str">
        <x:v>铂悦城店</x:v>
      </x:c>
      <x:c r="F81" s="67" t="str">
        <x:v>微信支付</x:v>
      </x:c>
      <x:c r="G81" s="76" t="n">
        <x:v>2807.19</x:v>
      </x:c>
      <x:c r="H81" s="88" t="n">
        <x:v>0.003</x:v>
      </x:c>
      <x:c r="I81" s="79" t="n">
        <x:f>G81*H81</x:f>
        <x:v>8.421570000000001</x:v>
      </x:c>
      <x:c r="J81" s="88" t="n">
        <x:v>0.0038</x:v>
      </x:c>
      <x:c r="K81" s="79" t="n">
        <x:f>G81*J81</x:f>
        <x:v>10.667322</x:v>
      </x:c>
      <x:c r="L81" s="79" t="n">
        <x:f>G81-I81-K81</x:f>
        <x:v>2788.1011080000003</x:v>
      </x:c>
      <x:c r="M81" s="76" t="n">
        <x:v>2788.1</x:v>
      </x:c>
      <x:c r="N81" s="79" t="n">
        <x:f>M81-L81</x:f>
        <x:v>-0.0011080000003858004</x:v>
      </x:c>
      <x:c r="O81" s="67" t="str">
        <x:f>IF(ABS(N81)&lt;=1,"已对账","待核对")</x:f>
        <x:v>已对账</x:v>
      </x:c>
      <x:c r="P81" s="67" t="str">
        <x:v>S-模拟支付账单</x:v>
      </x:c>
    </x:row>
    <x:row r="82">
      <x:c r="A82" s="67" t="str">
        <x:v>PAY-00078</x:v>
      </x:c>
      <x:c r="B82" s="73" t="n">
        <x:v>46215.5</x:v>
      </x:c>
      <x:c r="C82" s="73" t="n">
        <x:v>46216.5</x:v>
      </x:c>
      <x:c r="D82" s="67" t="str">
        <x:v>S03</x:v>
      </x:c>
      <x:c r="E82" s="67" t="str">
        <x:v>铂悦城店</x:v>
      </x:c>
      <x:c r="F82" s="67" t="str">
        <x:v>支付宝</x:v>
      </x:c>
      <x:c r="G82" s="76" t="n">
        <x:v>2183.37</x:v>
      </x:c>
      <x:c r="H82" s="88" t="n">
        <x:v>0.002</x:v>
      </x:c>
      <x:c r="I82" s="79" t="n">
        <x:f>G82*H82</x:f>
        <x:v>4.36674</x:v>
      </x:c>
      <x:c r="J82" s="88" t="n">
        <x:v>0.0038</x:v>
      </x:c>
      <x:c r="K82" s="79" t="n">
        <x:f>G82*J82</x:f>
        <x:v>8.296806</x:v>
      </x:c>
      <x:c r="L82" s="79" t="n">
        <x:f>G82-I82-K82</x:f>
        <x:v>2170.706454</x:v>
      </x:c>
      <x:c r="M82" s="76" t="n">
        <x:v>2170.7</x:v>
      </x:c>
      <x:c r="N82" s="79" t="n">
        <x:f>M82-L82</x:f>
        <x:v>-0.006454000000303495</x:v>
      </x:c>
      <x:c r="O82" s="67" t="str">
        <x:f>IF(ABS(N82)&lt;=1,"已对账","待核对")</x:f>
        <x:v>已对账</x:v>
      </x:c>
      <x:c r="P82" s="67" t="str">
        <x:v>S-模拟支付账单</x:v>
      </x:c>
    </x:row>
    <x:row r="83">
      <x:c r="A83" s="67" t="str">
        <x:v>PAY-00079</x:v>
      </x:c>
      <x:c r="B83" s="73" t="n">
        <x:v>46215.5</x:v>
      </x:c>
      <x:c r="C83" s="73" t="n">
        <x:v>46216.5</x:v>
      </x:c>
      <x:c r="D83" s="67" t="str">
        <x:v>S03</x:v>
      </x:c>
      <x:c r="E83" s="67" t="str">
        <x:v>铂悦城店</x:v>
      </x:c>
      <x:c r="F83" s="67" t="str">
        <x:v>银行卡</x:v>
      </x:c>
      <x:c r="G83" s="76" t="n">
        <x:v>623.82</x:v>
      </x:c>
      <x:c r="H83" s="88" t="n">
        <x:v>0.001</x:v>
      </x:c>
      <x:c r="I83" s="79" t="n">
        <x:f>G83*H83</x:f>
        <x:v>0.62382</x:v>
      </x:c>
      <x:c r="J83" s="88" t="n">
        <x:v>0.005</x:v>
      </x:c>
      <x:c r="K83" s="79" t="n">
        <x:f>G83*J83</x:f>
        <x:v>3.1191000000000004</x:v>
      </x:c>
      <x:c r="L83" s="79" t="n">
        <x:f>G83-I83-K83</x:f>
        <x:v>620.07708</x:v>
      </x:c>
      <x:c r="M83" s="76" t="n">
        <x:v>620.08</x:v>
      </x:c>
      <x:c r="N83" s="79" t="n">
        <x:f>M83-L83</x:f>
        <x:v>0.002920000000017353</x:v>
      </x:c>
      <x:c r="O83" s="67" t="str">
        <x:f>IF(ABS(N83)&lt;=1,"已对账","待核对")</x:f>
        <x:v>已对账</x:v>
      </x:c>
      <x:c r="P83" s="67" t="str">
        <x:v>S-模拟支付账单</x:v>
      </x:c>
    </x:row>
    <x:row r="84">
      <x:c r="A84" s="67" t="str">
        <x:v>PAY-00080</x:v>
      </x:c>
      <x:c r="B84" s="73" t="n">
        <x:v>46215.5</x:v>
      </x:c>
      <x:c r="C84" s="73" t="n">
        <x:v>46215.5</x:v>
      </x:c>
      <x:c r="D84" s="67" t="str">
        <x:v>S03</x:v>
      </x:c>
      <x:c r="E84" s="67" t="str">
        <x:v>铂悦城店</x:v>
      </x:c>
      <x:c r="F84" s="67" t="str">
        <x:v>现金</x:v>
      </x:c>
      <x:c r="G84" s="76" t="n">
        <x:v>623.82</x:v>
      </x:c>
      <x:c r="H84" s="88" t="n">
        <x:v>0</x:v>
      </x:c>
      <x:c r="I84" s="79" t="n">
        <x:f>G84*H84</x:f>
        <x:v>0</x:v>
      </x:c>
      <x:c r="J84" s="88" t="n">
        <x:v>0</x:v>
      </x:c>
      <x:c r="K84" s="79" t="n">
        <x:f>G84*J84</x:f>
        <x:v>0</x:v>
      </x:c>
      <x:c r="L84" s="79" t="n">
        <x:f>G84-I84-K84</x:f>
        <x:v>623.82</x:v>
      </x:c>
      <x:c r="M84" s="76" t="n">
        <x:v>623.82</x:v>
      </x:c>
      <x:c r="N84" s="79" t="n">
        <x:f>M84-L84</x:f>
        <x:v>0</x:v>
      </x:c>
      <x:c r="O84" s="67" t="str">
        <x:f>IF(ABS(N84)&lt;=1,"已对账","待核对")</x:f>
        <x:v>已对账</x:v>
      </x:c>
      <x:c r="P84" s="67" t="str">
        <x:v>S-模拟支付账单</x:v>
      </x:c>
    </x:row>
    <x:row r="85">
      <x:c r="A85" s="67" t="str">
        <x:v>PAY-00081</x:v>
      </x:c>
      <x:c r="B85" s="73" t="n">
        <x:v>46216.5</x:v>
      </x:c>
      <x:c r="C85" s="73" t="n">
        <x:v>46217.5</x:v>
      </x:c>
      <x:c r="D85" s="67" t="str">
        <x:v>S03</x:v>
      </x:c>
      <x:c r="E85" s="67" t="str">
        <x:v>铂悦城店</x:v>
      </x:c>
      <x:c r="F85" s="67" t="str">
        <x:v>微信支付</x:v>
      </x:c>
      <x:c r="G85" s="76" t="n">
        <x:v>4036.32</x:v>
      </x:c>
      <x:c r="H85" s="88" t="n">
        <x:v>0.003</x:v>
      </x:c>
      <x:c r="I85" s="79" t="n">
        <x:f>G85*H85</x:f>
        <x:v>12.108960000000002</x:v>
      </x:c>
      <x:c r="J85" s="88" t="n">
        <x:v>0.0038</x:v>
      </x:c>
      <x:c r="K85" s="79" t="n">
        <x:f>G85*J85</x:f>
        <x:v>15.338016000000001</x:v>
      </x:c>
      <x:c r="L85" s="79" t="n">
        <x:f>G85-I85-K85</x:f>
        <x:v>4008.873024</x:v>
      </x:c>
      <x:c r="M85" s="76" t="n">
        <x:v>4008.87</x:v>
      </x:c>
      <x:c r="N85" s="79" t="n">
        <x:f>M85-L85</x:f>
        <x:v>-0.003024000000095839</x:v>
      </x:c>
      <x:c r="O85" s="67" t="str">
        <x:f>IF(ABS(N85)&lt;=1,"已对账","待核对")</x:f>
        <x:v>已对账</x:v>
      </x:c>
      <x:c r="P85" s="67" t="str">
        <x:v>S-模拟支付账单</x:v>
      </x:c>
    </x:row>
    <x:row r="86">
      <x:c r="A86" s="67" t="str">
        <x:v>PAY-00082</x:v>
      </x:c>
      <x:c r="B86" s="73" t="n">
        <x:v>46216.5</x:v>
      </x:c>
      <x:c r="C86" s="73" t="n">
        <x:v>46217.5</x:v>
      </x:c>
      <x:c r="D86" s="67" t="str">
        <x:v>S03</x:v>
      </x:c>
      <x:c r="E86" s="67" t="str">
        <x:v>铂悦城店</x:v>
      </x:c>
      <x:c r="F86" s="67" t="str">
        <x:v>支付宝</x:v>
      </x:c>
      <x:c r="G86" s="76" t="n">
        <x:v>3139.36</x:v>
      </x:c>
      <x:c r="H86" s="88" t="n">
        <x:v>0.002</x:v>
      </x:c>
      <x:c r="I86" s="79" t="n">
        <x:f>G86*H86</x:f>
        <x:v>6.278720000000001</x:v>
      </x:c>
      <x:c r="J86" s="88" t="n">
        <x:v>0.0038</x:v>
      </x:c>
      <x:c r="K86" s="79" t="n">
        <x:f>G86*J86</x:f>
        <x:v>11.929568</x:v>
      </x:c>
      <x:c r="L86" s="79" t="n">
        <x:f>G86-I86-K86</x:f>
        <x:v>3121.1517120000003</x:v>
      </x:c>
      <x:c r="M86" s="76" t="n">
        <x:v>3121.15</x:v>
      </x:c>
      <x:c r="N86" s="79" t="n">
        <x:f>M86-L86</x:f>
        <x:v>-0.001712000000225089</x:v>
      </x:c>
      <x:c r="O86" s="67" t="str">
        <x:f>IF(ABS(N86)&lt;=1,"已对账","待核对")</x:f>
        <x:v>已对账</x:v>
      </x:c>
      <x:c r="P86" s="67" t="str">
        <x:v>S-模拟支付账单</x:v>
      </x:c>
    </x:row>
    <x:row r="87">
      <x:c r="A87" s="67" t="str">
        <x:v>PAY-00083</x:v>
      </x:c>
      <x:c r="B87" s="73" t="n">
        <x:v>46216.5</x:v>
      </x:c>
      <x:c r="C87" s="73" t="n">
        <x:v>46217.5</x:v>
      </x:c>
      <x:c r="D87" s="67" t="str">
        <x:v>S03</x:v>
      </x:c>
      <x:c r="E87" s="67" t="str">
        <x:v>铂悦城店</x:v>
      </x:c>
      <x:c r="F87" s="67" t="str">
        <x:v>银行卡</x:v>
      </x:c>
      <x:c r="G87" s="76" t="n">
        <x:v>896.96</x:v>
      </x:c>
      <x:c r="H87" s="88" t="n">
        <x:v>0.001</x:v>
      </x:c>
      <x:c r="I87" s="79" t="n">
        <x:f>G87*H87</x:f>
        <x:v>0.8969600000000001</x:v>
      </x:c>
      <x:c r="J87" s="88" t="n">
        <x:v>0.005</x:v>
      </x:c>
      <x:c r="K87" s="79" t="n">
        <x:f>G87*J87</x:f>
        <x:v>4.4848</x:v>
      </x:c>
      <x:c r="L87" s="79" t="n">
        <x:f>G87-I87-K87</x:f>
        <x:v>891.57824</x:v>
      </x:c>
      <x:c r="M87" s="76" t="n">
        <x:v>891.58</x:v>
      </x:c>
      <x:c r="N87" s="79" t="n">
        <x:f>M87-L87</x:f>
        <x:v>0.0017599999999902138</x:v>
      </x:c>
      <x:c r="O87" s="67" t="str">
        <x:f>IF(ABS(N87)&lt;=1,"已对账","待核对")</x:f>
        <x:v>已对账</x:v>
      </x:c>
      <x:c r="P87" s="67" t="str">
        <x:v>S-模拟支付账单</x:v>
      </x:c>
    </x:row>
    <x:row r="88">
      <x:c r="A88" s="67" t="str">
        <x:v>PAY-00084</x:v>
      </x:c>
      <x:c r="B88" s="73" t="n">
        <x:v>46216.5</x:v>
      </x:c>
      <x:c r="C88" s="73" t="n">
        <x:v>46216.5</x:v>
      </x:c>
      <x:c r="D88" s="67" t="str">
        <x:v>S03</x:v>
      </x:c>
      <x:c r="E88" s="67" t="str">
        <x:v>铂悦城店</x:v>
      </x:c>
      <x:c r="F88" s="67" t="str">
        <x:v>现金</x:v>
      </x:c>
      <x:c r="G88" s="76" t="n">
        <x:v>896.96</x:v>
      </x:c>
      <x:c r="H88" s="88" t="n">
        <x:v>0</x:v>
      </x:c>
      <x:c r="I88" s="79" t="n">
        <x:f>G88*H88</x:f>
        <x:v>0</x:v>
      </x:c>
      <x:c r="J88" s="88" t="n">
        <x:v>0</x:v>
      </x:c>
      <x:c r="K88" s="79" t="n">
        <x:f>G88*J88</x:f>
        <x:v>0</x:v>
      </x:c>
      <x:c r="L88" s="79" t="n">
        <x:f>G88-I88-K88</x:f>
        <x:v>896.96</x:v>
      </x:c>
      <x:c r="M88" s="76" t="n">
        <x:v>896.96</x:v>
      </x:c>
      <x:c r="N88" s="79" t="n">
        <x:f>M88-L88</x:f>
        <x:v>0</x:v>
      </x:c>
      <x:c r="O88" s="67" t="str">
        <x:f>IF(ABS(N88)&lt;=1,"已对账","待核对")</x:f>
        <x:v>已对账</x:v>
      </x:c>
      <x:c r="P88" s="67" t="str">
        <x:v>S-模拟支付账单</x:v>
      </x:c>
    </x:row>
    <x:row r="89">
      <x:c r="A89" s="67" t="str">
        <x:v>PAY-00085</x:v>
      </x:c>
      <x:c r="B89" s="73" t="n">
        <x:v>46210.5</x:v>
      </x:c>
      <x:c r="C89" s="73" t="n">
        <x:v>46211.5</x:v>
      </x:c>
      <x:c r="D89" s="67" t="str">
        <x:v>S04</x:v>
      </x:c>
      <x:c r="E89" s="67" t="str">
        <x:v>金街美地店</x:v>
      </x:c>
      <x:c r="F89" s="67" t="str">
        <x:v>微信支付</x:v>
      </x:c>
      <x:c r="G89" s="76" t="n">
        <x:v>3716.06</x:v>
      </x:c>
      <x:c r="H89" s="88" t="n">
        <x:v>0.003</x:v>
      </x:c>
      <x:c r="I89" s="79" t="n">
        <x:f>G89*H89</x:f>
        <x:v>11.14818</x:v>
      </x:c>
      <x:c r="J89" s="88" t="n">
        <x:v>0.0038</x:v>
      </x:c>
      <x:c r="K89" s="79" t="n">
        <x:f>G89*J89</x:f>
        <x:v>14.121027999999999</x:v>
      </x:c>
      <x:c r="L89" s="79" t="n">
        <x:f>G89-I89-K89</x:f>
        <x:v>3690.790792</x:v>
      </x:c>
      <x:c r="M89" s="76" t="n">
        <x:v>3690.79</x:v>
      </x:c>
      <x:c r="N89" s="79" t="n">
        <x:f>M89-L89</x:f>
        <x:v>-0.0007919999998193816</x:v>
      </x:c>
      <x:c r="O89" s="67" t="str">
        <x:f>IF(ABS(N89)&lt;=1,"已对账","待核对")</x:f>
        <x:v>已对账</x:v>
      </x:c>
      <x:c r="P89" s="67" t="str">
        <x:v>S-模拟支付账单</x:v>
      </x:c>
    </x:row>
    <x:row r="90">
      <x:c r="A90" s="67" t="str">
        <x:v>PAY-00086</x:v>
      </x:c>
      <x:c r="B90" s="73" t="n">
        <x:v>46210.5</x:v>
      </x:c>
      <x:c r="C90" s="73" t="n">
        <x:v>46211.5</x:v>
      </x:c>
      <x:c r="D90" s="67" t="str">
        <x:v>S04</x:v>
      </x:c>
      <x:c r="E90" s="67" t="str">
        <x:v>金街美地店</x:v>
      </x:c>
      <x:c r="F90" s="67" t="str">
        <x:v>支付宝</x:v>
      </x:c>
      <x:c r="G90" s="76" t="n">
        <x:v>2890.27</x:v>
      </x:c>
      <x:c r="H90" s="88" t="n">
        <x:v>0.002</x:v>
      </x:c>
      <x:c r="I90" s="79" t="n">
        <x:f>G90*H90</x:f>
        <x:v>5.78054</x:v>
      </x:c>
      <x:c r="J90" s="88" t="n">
        <x:v>0.0038</x:v>
      </x:c>
      <x:c r="K90" s="79" t="n">
        <x:f>G90*J90</x:f>
        <x:v>10.983026</x:v>
      </x:c>
      <x:c r="L90" s="79" t="n">
        <x:f>G90-I90-K90</x:f>
        <x:v>2873.506434</x:v>
      </x:c>
      <x:c r="M90" s="76" t="n">
        <x:v>2873.51</x:v>
      </x:c>
      <x:c r="N90" s="79" t="n">
        <x:f>M90-L90</x:f>
        <x:v>0.003566000000319036</x:v>
      </x:c>
      <x:c r="O90" s="67" t="str">
        <x:f>IF(ABS(N90)&lt;=1,"已对账","待核对")</x:f>
        <x:v>已对账</x:v>
      </x:c>
      <x:c r="P90" s="67" t="str">
        <x:v>S-模拟支付账单</x:v>
      </x:c>
    </x:row>
    <x:row r="91">
      <x:c r="A91" s="67" t="str">
        <x:v>PAY-00087</x:v>
      </x:c>
      <x:c r="B91" s="73" t="n">
        <x:v>46210.5</x:v>
      </x:c>
      <x:c r="C91" s="73" t="n">
        <x:v>46211.5</x:v>
      </x:c>
      <x:c r="D91" s="67" t="str">
        <x:v>S04</x:v>
      </x:c>
      <x:c r="E91" s="67" t="str">
        <x:v>金街美地店</x:v>
      </x:c>
      <x:c r="F91" s="67" t="str">
        <x:v>银行卡</x:v>
      </x:c>
      <x:c r="G91" s="76" t="n">
        <x:v>825.79</x:v>
      </x:c>
      <x:c r="H91" s="88" t="n">
        <x:v>0.001</x:v>
      </x:c>
      <x:c r="I91" s="79" t="n">
        <x:f>G91*H91</x:f>
        <x:v>0.82579</x:v>
      </x:c>
      <x:c r="J91" s="88" t="n">
        <x:v>0.005</x:v>
      </x:c>
      <x:c r="K91" s="79" t="n">
        <x:f>G91*J91</x:f>
        <x:v>4.12895</x:v>
      </x:c>
      <x:c r="L91" s="79" t="n">
        <x:f>G91-I91-K91</x:f>
        <x:v>820.83526</x:v>
      </x:c>
      <x:c r="M91" s="76" t="n">
        <x:v>820.83</x:v>
      </x:c>
      <x:c r="N91" s="79" t="n">
        <x:f>M91-L91</x:f>
        <x:v>-0.00525999999990745</x:v>
      </x:c>
      <x:c r="O91" s="67" t="str">
        <x:f>IF(ABS(N91)&lt;=1,"已对账","待核对")</x:f>
        <x:v>已对账</x:v>
      </x:c>
      <x:c r="P91" s="67" t="str">
        <x:v>S-模拟支付账单</x:v>
      </x:c>
    </x:row>
    <x:row r="92">
      <x:c r="A92" s="67" t="str">
        <x:v>PAY-00088</x:v>
      </x:c>
      <x:c r="B92" s="73" t="n">
        <x:v>46210.5</x:v>
      </x:c>
      <x:c r="C92" s="73" t="n">
        <x:v>46210.5</x:v>
      </x:c>
      <x:c r="D92" s="67" t="str">
        <x:v>S04</x:v>
      </x:c>
      <x:c r="E92" s="67" t="str">
        <x:v>金街美地店</x:v>
      </x:c>
      <x:c r="F92" s="67" t="str">
        <x:v>现金</x:v>
      </x:c>
      <x:c r="G92" s="76" t="n">
        <x:v>825.79</x:v>
      </x:c>
      <x:c r="H92" s="88" t="n">
        <x:v>0</x:v>
      </x:c>
      <x:c r="I92" s="79" t="n">
        <x:f>G92*H92</x:f>
        <x:v>0</x:v>
      </x:c>
      <x:c r="J92" s="88" t="n">
        <x:v>0</x:v>
      </x:c>
      <x:c r="K92" s="79" t="n">
        <x:f>G92*J92</x:f>
        <x:v>0</x:v>
      </x:c>
      <x:c r="L92" s="79" t="n">
        <x:f>G92-I92-K92</x:f>
        <x:v>825.79</x:v>
      </x:c>
      <x:c r="M92" s="76" t="n">
        <x:v>825.79</x:v>
      </x:c>
      <x:c r="N92" s="79" t="n">
        <x:f>M92-L92</x:f>
        <x:v>0</x:v>
      </x:c>
      <x:c r="O92" s="67" t="str">
        <x:f>IF(ABS(N92)&lt;=1,"已对账","待核对")</x:f>
        <x:v>已对账</x:v>
      </x:c>
      <x:c r="P92" s="67" t="str">
        <x:v>S-模拟支付账单</x:v>
      </x:c>
    </x:row>
    <x:row r="93">
      <x:c r="A93" s="67" t="str">
        <x:v>PAY-00089</x:v>
      </x:c>
      <x:c r="B93" s="73" t="n">
        <x:v>46211.5</x:v>
      </x:c>
      <x:c r="C93" s="73" t="n">
        <x:v>46212.5</x:v>
      </x:c>
      <x:c r="D93" s="67" t="str">
        <x:v>S04</x:v>
      </x:c>
      <x:c r="E93" s="67" t="str">
        <x:v>金街美地店</x:v>
      </x:c>
      <x:c r="F93" s="67" t="str">
        <x:v>微信支付</x:v>
      </x:c>
      <x:c r="G93" s="76" t="n">
        <x:v>3613.59</x:v>
      </x:c>
      <x:c r="H93" s="88" t="n">
        <x:v>0.003</x:v>
      </x:c>
      <x:c r="I93" s="79" t="n">
        <x:f>G93*H93</x:f>
        <x:v>10.840770000000001</x:v>
      </x:c>
      <x:c r="J93" s="88" t="n">
        <x:v>0.0038</x:v>
      </x:c>
      <x:c r="K93" s="79" t="n">
        <x:f>G93*J93</x:f>
        <x:v>13.731642</x:v>
      </x:c>
      <x:c r="L93" s="79" t="n">
        <x:f>G93-I93-K93</x:f>
        <x:v>3589.017588</x:v>
      </x:c>
      <x:c r="M93" s="76" t="n">
        <x:v>3589.02</x:v>
      </x:c>
      <x:c r="N93" s="79" t="n">
        <x:f>M93-L93</x:f>
        <x:v>0.002411999999822001</x:v>
      </x:c>
      <x:c r="O93" s="67" t="str">
        <x:f>IF(ABS(N93)&lt;=1,"已对账","待核对")</x:f>
        <x:v>已对账</x:v>
      </x:c>
      <x:c r="P93" s="67" t="str">
        <x:v>S-模拟支付账单</x:v>
      </x:c>
    </x:row>
    <x:row r="94">
      <x:c r="A94" s="67" t="str">
        <x:v>PAY-00090</x:v>
      </x:c>
      <x:c r="B94" s="73" t="n">
        <x:v>46211.5</x:v>
      </x:c>
      <x:c r="C94" s="73" t="n">
        <x:v>46212.5</x:v>
      </x:c>
      <x:c r="D94" s="67" t="str">
        <x:v>S04</x:v>
      </x:c>
      <x:c r="E94" s="67" t="str">
        <x:v>金街美地店</x:v>
      </x:c>
      <x:c r="F94" s="67" t="str">
        <x:v>支付宝</x:v>
      </x:c>
      <x:c r="G94" s="76" t="n">
        <x:v>2810.57</x:v>
      </x:c>
      <x:c r="H94" s="88" t="n">
        <x:v>0.002</x:v>
      </x:c>
      <x:c r="I94" s="79" t="n">
        <x:f>G94*H94</x:f>
        <x:v>5.6211400000000005</x:v>
      </x:c>
      <x:c r="J94" s="88" t="n">
        <x:v>0.0038</x:v>
      </x:c>
      <x:c r="K94" s="79" t="n">
        <x:f>G94*J94</x:f>
        <x:v>10.680166</x:v>
      </x:c>
      <x:c r="L94" s="79" t="n">
        <x:f>G94-I94-K94</x:f>
        <x:v>2794.268694</x:v>
      </x:c>
      <x:c r="M94" s="76" t="n">
        <x:v>2794.27</x:v>
      </x:c>
      <x:c r="N94" s="79" t="n">
        <x:f>M94-L94</x:f>
        <x:v>0.001306000000113272</x:v>
      </x:c>
      <x:c r="O94" s="67" t="str">
        <x:f>IF(ABS(N94)&lt;=1,"已对账","待核对")</x:f>
        <x:v>已对账</x:v>
      </x:c>
      <x:c r="P94" s="67" t="str">
        <x:v>S-模拟支付账单</x:v>
      </x:c>
    </x:row>
    <x:row r="95">
      <x:c r="A95" s="67" t="str">
        <x:v>PAY-00091</x:v>
      </x:c>
      <x:c r="B95" s="73" t="n">
        <x:v>46211.5</x:v>
      </x:c>
      <x:c r="C95" s="73" t="n">
        <x:v>46212.5</x:v>
      </x:c>
      <x:c r="D95" s="67" t="str">
        <x:v>S04</x:v>
      </x:c>
      <x:c r="E95" s="67" t="str">
        <x:v>金街美地店</x:v>
      </x:c>
      <x:c r="F95" s="67" t="str">
        <x:v>银行卡</x:v>
      </x:c>
      <x:c r="G95" s="76" t="n">
        <x:v>803.02</x:v>
      </x:c>
      <x:c r="H95" s="88" t="n">
        <x:v>0.001</x:v>
      </x:c>
      <x:c r="I95" s="79" t="n">
        <x:f>G95*H95</x:f>
        <x:v>0.80302</x:v>
      </x:c>
      <x:c r="J95" s="88" t="n">
        <x:v>0.005</x:v>
      </x:c>
      <x:c r="K95" s="79" t="n">
        <x:f>G95*J95</x:f>
        <x:v>4.0151</x:v>
      </x:c>
      <x:c r="L95" s="79" t="n">
        <x:f>G95-I95-K95</x:f>
        <x:v>798.2018800000001</x:v>
      </x:c>
      <x:c r="M95" s="76" t="n">
        <x:v>798.2</x:v>
      </x:c>
      <x:c r="N95" s="79" t="n">
        <x:f>M95-L95</x:f>
        <x:v>-0.0018800000000283035</x:v>
      </x:c>
      <x:c r="O95" s="67" t="str">
        <x:f>IF(ABS(N95)&lt;=1,"已对账","待核对")</x:f>
        <x:v>已对账</x:v>
      </x:c>
      <x:c r="P95" s="67" t="str">
        <x:v>S-模拟支付账单</x:v>
      </x:c>
    </x:row>
    <x:row r="96">
      <x:c r="A96" s="67" t="str">
        <x:v>PAY-00092</x:v>
      </x:c>
      <x:c r="B96" s="73" t="n">
        <x:v>46211.5</x:v>
      </x:c>
      <x:c r="C96" s="73" t="n">
        <x:v>46211.5</x:v>
      </x:c>
      <x:c r="D96" s="67" t="str">
        <x:v>S04</x:v>
      </x:c>
      <x:c r="E96" s="67" t="str">
        <x:v>金街美地店</x:v>
      </x:c>
      <x:c r="F96" s="67" t="str">
        <x:v>现金</x:v>
      </x:c>
      <x:c r="G96" s="76" t="n">
        <x:v>803.02</x:v>
      </x:c>
      <x:c r="H96" s="88" t="n">
        <x:v>0</x:v>
      </x:c>
      <x:c r="I96" s="79" t="n">
        <x:f>G96*H96</x:f>
        <x:v>0</x:v>
      </x:c>
      <x:c r="J96" s="88" t="n">
        <x:v>0</x:v>
      </x:c>
      <x:c r="K96" s="79" t="n">
        <x:f>G96*J96</x:f>
        <x:v>0</x:v>
      </x:c>
      <x:c r="L96" s="79" t="n">
        <x:f>G96-I96-K96</x:f>
        <x:v>803.02</x:v>
      </x:c>
      <x:c r="M96" s="76" t="n">
        <x:v>803.02</x:v>
      </x:c>
      <x:c r="N96" s="79" t="n">
        <x:f>M96-L96</x:f>
        <x:v>0</x:v>
      </x:c>
      <x:c r="O96" s="67" t="str">
        <x:f>IF(ABS(N96)&lt;=1,"已对账","待核对")</x:f>
        <x:v>已对账</x:v>
      </x:c>
      <x:c r="P96" s="67" t="str">
        <x:v>S-模拟支付账单</x:v>
      </x:c>
    </x:row>
    <x:row r="97">
      <x:c r="A97" s="67" t="str">
        <x:v>PAY-00093</x:v>
      </x:c>
      <x:c r="B97" s="73" t="n">
        <x:v>46212.5</x:v>
      </x:c>
      <x:c r="C97" s="73" t="n">
        <x:v>46213.5</x:v>
      </x:c>
      <x:c r="D97" s="67" t="str">
        <x:v>S04</x:v>
      </x:c>
      <x:c r="E97" s="67" t="str">
        <x:v>金街美地店</x:v>
      </x:c>
      <x:c r="F97" s="67" t="str">
        <x:v>微信支付</x:v>
      </x:c>
      <x:c r="G97" s="76" t="n">
        <x:v>3546</x:v>
      </x:c>
      <x:c r="H97" s="88" t="n">
        <x:v>0.003</x:v>
      </x:c>
      <x:c r="I97" s="79" t="n">
        <x:f>G97*H97</x:f>
        <x:v>10.638</x:v>
      </x:c>
      <x:c r="J97" s="88" t="n">
        <x:v>0.0038</x:v>
      </x:c>
      <x:c r="K97" s="79" t="n">
        <x:f>G97*J97</x:f>
        <x:v>13.4748</x:v>
      </x:c>
      <x:c r="L97" s="79" t="n">
        <x:f>G97-I97-K97</x:f>
        <x:v>3521.8872</x:v>
      </x:c>
      <x:c r="M97" s="76" t="n">
        <x:v>3521.89</x:v>
      </x:c>
      <x:c r="N97" s="79" t="n">
        <x:f>M97-L97</x:f>
        <x:v>0.00279999999975189</x:v>
      </x:c>
      <x:c r="O97" s="67" t="str">
        <x:f>IF(ABS(N97)&lt;=1,"已对账","待核对")</x:f>
        <x:v>已对账</x:v>
      </x:c>
      <x:c r="P97" s="67" t="str">
        <x:v>S-模拟支付账单</x:v>
      </x:c>
    </x:row>
    <x:row r="98">
      <x:c r="A98" s="67" t="str">
        <x:v>PAY-00094</x:v>
      </x:c>
      <x:c r="B98" s="73" t="n">
        <x:v>46212.5</x:v>
      </x:c>
      <x:c r="C98" s="73" t="n">
        <x:v>46213.5</x:v>
      </x:c>
      <x:c r="D98" s="67" t="str">
        <x:v>S04</x:v>
      </x:c>
      <x:c r="E98" s="67" t="str">
        <x:v>金街美地店</x:v>
      </x:c>
      <x:c r="F98" s="67" t="str">
        <x:v>支付宝</x:v>
      </x:c>
      <x:c r="G98" s="76" t="n">
        <x:v>2758</x:v>
      </x:c>
      <x:c r="H98" s="88" t="n">
        <x:v>0.002</x:v>
      </x:c>
      <x:c r="I98" s="79" t="n">
        <x:f>G98*H98</x:f>
        <x:v>5.516</x:v>
      </x:c>
      <x:c r="J98" s="88" t="n">
        <x:v>0.0038</x:v>
      </x:c>
      <x:c r="K98" s="79" t="n">
        <x:f>G98*J98</x:f>
        <x:v>10.4804</x:v>
      </x:c>
      <x:c r="L98" s="79" t="n">
        <x:f>G98-I98-K98</x:f>
        <x:v>2742.0036</x:v>
      </x:c>
      <x:c r="M98" s="76" t="n">
        <x:v>2742</x:v>
      </x:c>
      <x:c r="N98" s="79" t="n">
        <x:f>M98-L98</x:f>
        <x:v>-0.0036000000000058208</x:v>
      </x:c>
      <x:c r="O98" s="67" t="str">
        <x:f>IF(ABS(N98)&lt;=1,"已对账","待核对")</x:f>
        <x:v>已对账</x:v>
      </x:c>
      <x:c r="P98" s="67" t="str">
        <x:v>S-模拟支付账单</x:v>
      </x:c>
    </x:row>
    <x:row r="99">
      <x:c r="A99" s="67" t="str">
        <x:v>PAY-00095</x:v>
      </x:c>
      <x:c r="B99" s="73" t="n">
        <x:v>46212.5</x:v>
      </x:c>
      <x:c r="C99" s="73" t="n">
        <x:v>46213.5</x:v>
      </x:c>
      <x:c r="D99" s="67" t="str">
        <x:v>S04</x:v>
      </x:c>
      <x:c r="E99" s="67" t="str">
        <x:v>金街美地店</x:v>
      </x:c>
      <x:c r="F99" s="67" t="str">
        <x:v>银行卡</x:v>
      </x:c>
      <x:c r="G99" s="76" t="n">
        <x:v>788</x:v>
      </x:c>
      <x:c r="H99" s="88" t="n">
        <x:v>0.001</x:v>
      </x:c>
      <x:c r="I99" s="79" t="n">
        <x:f>G99*H99</x:f>
        <x:v>0.788</x:v>
      </x:c>
      <x:c r="J99" s="88" t="n">
        <x:v>0.005</x:v>
      </x:c>
      <x:c r="K99" s="79" t="n">
        <x:f>G99*J99</x:f>
        <x:v>3.94</x:v>
      </x:c>
      <x:c r="L99" s="79" t="n">
        <x:f>G99-I99-K99</x:f>
        <x:v>783.2719999999999</x:v>
      </x:c>
      <x:c r="M99" s="76" t="n">
        <x:v>783.27</x:v>
      </x:c>
      <x:c r="N99" s="79" t="n">
        <x:f>M99-L99</x:f>
        <x:v>-0.0019999999999527063</x:v>
      </x:c>
      <x:c r="O99" s="67" t="str">
        <x:f>IF(ABS(N99)&lt;=1,"已对账","待核对")</x:f>
        <x:v>已对账</x:v>
      </x:c>
      <x:c r="P99" s="67" t="str">
        <x:v>S-模拟支付账单</x:v>
      </x:c>
    </x:row>
    <x:row r="100">
      <x:c r="A100" s="67" t="str">
        <x:v>PAY-00096</x:v>
      </x:c>
      <x:c r="B100" s="73" t="n">
        <x:v>46212.5</x:v>
      </x:c>
      <x:c r="C100" s="73" t="n">
        <x:v>46212.5</x:v>
      </x:c>
      <x:c r="D100" s="67" t="str">
        <x:v>S04</x:v>
      </x:c>
      <x:c r="E100" s="67" t="str">
        <x:v>金街美地店</x:v>
      </x:c>
      <x:c r="F100" s="67" t="str">
        <x:v>现金</x:v>
      </x:c>
      <x:c r="G100" s="76" t="n">
        <x:v>788</x:v>
      </x:c>
      <x:c r="H100" s="88" t="n">
        <x:v>0</x:v>
      </x:c>
      <x:c r="I100" s="79" t="n">
        <x:f>G100*H100</x:f>
        <x:v>0</x:v>
      </x:c>
      <x:c r="J100" s="88" t="n">
        <x:v>0</x:v>
      </x:c>
      <x:c r="K100" s="79" t="n">
        <x:f>G100*J100</x:f>
        <x:v>0</x:v>
      </x:c>
      <x:c r="L100" s="79" t="n">
        <x:f>G100-I100-K100</x:f>
        <x:v>788</x:v>
      </x:c>
      <x:c r="M100" s="76" t="n">
        <x:v>788</x:v>
      </x:c>
      <x:c r="N100" s="79" t="n">
        <x:f>M100-L100</x:f>
        <x:v>0</x:v>
      </x:c>
      <x:c r="O100" s="67" t="str">
        <x:f>IF(ABS(N100)&lt;=1,"已对账","待核对")</x:f>
        <x:v>已对账</x:v>
      </x:c>
      <x:c r="P100" s="67" t="str">
        <x:v>S-模拟支付账单</x:v>
      </x:c>
    </x:row>
    <x:row r="101">
      <x:c r="A101" s="67" t="str">
        <x:v>PAY-00097</x:v>
      </x:c>
      <x:c r="B101" s="73" t="n">
        <x:v>46213.5</x:v>
      </x:c>
      <x:c r="C101" s="73" t="n">
        <x:v>46214.5</x:v>
      </x:c>
      <x:c r="D101" s="67" t="str">
        <x:v>S04</x:v>
      </x:c>
      <x:c r="E101" s="67" t="str">
        <x:v>金街美地店</x:v>
      </x:c>
      <x:c r="F101" s="67" t="str">
        <x:v>微信支付</x:v>
      </x:c>
      <x:c r="G101" s="76" t="n">
        <x:v>3679.83</x:v>
      </x:c>
      <x:c r="H101" s="88" t="n">
        <x:v>0.003</x:v>
      </x:c>
      <x:c r="I101" s="79" t="n">
        <x:f>G101*H101</x:f>
        <x:v>11.03949</x:v>
      </x:c>
      <x:c r="J101" s="88" t="n">
        <x:v>0.0038</x:v>
      </x:c>
      <x:c r="K101" s="79" t="n">
        <x:f>G101*J101</x:f>
        <x:v>13.983354</x:v>
      </x:c>
      <x:c r="L101" s="79" t="n">
        <x:f>G101-I101-K101</x:f>
        <x:v>3654.807156</x:v>
      </x:c>
      <x:c r="M101" s="76" t="n">
        <x:v>3654.81</x:v>
      </x:c>
      <x:c r="N101" s="79" t="n">
        <x:f>M101-L101</x:f>
        <x:v>0.002844000000095548</x:v>
      </x:c>
      <x:c r="O101" s="67" t="str">
        <x:f>IF(ABS(N101)&lt;=1,"已对账","待核对")</x:f>
        <x:v>已对账</x:v>
      </x:c>
      <x:c r="P101" s="67" t="str">
        <x:v>S-模拟支付账单</x:v>
      </x:c>
    </x:row>
    <x:row r="102">
      <x:c r="A102" s="67" t="str">
        <x:v>PAY-00098</x:v>
      </x:c>
      <x:c r="B102" s="73" t="n">
        <x:v>46213.5</x:v>
      </x:c>
      <x:c r="C102" s="73" t="n">
        <x:v>46214.5</x:v>
      </x:c>
      <x:c r="D102" s="67" t="str">
        <x:v>S04</x:v>
      </x:c>
      <x:c r="E102" s="67" t="str">
        <x:v>金街美地店</x:v>
      </x:c>
      <x:c r="F102" s="67" t="str">
        <x:v>支付宝</x:v>
      </x:c>
      <x:c r="G102" s="76" t="n">
        <x:v>2862.09</x:v>
      </x:c>
      <x:c r="H102" s="88" t="n">
        <x:v>0.002</x:v>
      </x:c>
      <x:c r="I102" s="79" t="n">
        <x:f>G102*H102</x:f>
        <x:v>5.7241800000000005</x:v>
      </x:c>
      <x:c r="J102" s="88" t="n">
        <x:v>0.0038</x:v>
      </x:c>
      <x:c r="K102" s="79" t="n">
        <x:f>G102*J102</x:f>
        <x:v>10.875942</x:v>
      </x:c>
      <x:c r="L102" s="79" t="n">
        <x:f>G102-I102-K102</x:f>
        <x:v>2845.489878</x:v>
      </x:c>
      <x:c r="M102" s="76" t="n">
        <x:v>2845.49</x:v>
      </x:c>
      <x:c r="N102" s="79" t="n">
        <x:f>M102-L102</x:f>
        <x:v>0.00012199999991935329</x:v>
      </x:c>
      <x:c r="O102" s="67" t="str">
        <x:f>IF(ABS(N102)&lt;=1,"已对账","待核对")</x:f>
        <x:v>已对账</x:v>
      </x:c>
      <x:c r="P102" s="67" t="str">
        <x:v>S-模拟支付账单</x:v>
      </x:c>
    </x:row>
    <x:row r="103">
      <x:c r="A103" s="67" t="str">
        <x:v>PAY-00099</x:v>
      </x:c>
      <x:c r="B103" s="73" t="n">
        <x:v>46213.5</x:v>
      </x:c>
      <x:c r="C103" s="73" t="n">
        <x:v>46214.5</x:v>
      </x:c>
      <x:c r="D103" s="67" t="str">
        <x:v>S04</x:v>
      </x:c>
      <x:c r="E103" s="67" t="str">
        <x:v>金街美地店</x:v>
      </x:c>
      <x:c r="F103" s="67" t="str">
        <x:v>银行卡</x:v>
      </x:c>
      <x:c r="G103" s="76" t="n">
        <x:v>817.74</x:v>
      </x:c>
      <x:c r="H103" s="88" t="n">
        <x:v>0.001</x:v>
      </x:c>
      <x:c r="I103" s="79" t="n">
        <x:f>G103*H103</x:f>
        <x:v>0.81774</x:v>
      </x:c>
      <x:c r="J103" s="88" t="n">
        <x:v>0.005</x:v>
      </x:c>
      <x:c r="K103" s="79" t="n">
        <x:f>G103*J103</x:f>
        <x:v>4.0887</x:v>
      </x:c>
      <x:c r="L103" s="79" t="n">
        <x:f>G103-I103-K103</x:f>
        <x:v>812.83356</x:v>
      </x:c>
      <x:c r="M103" s="76" t="n">
        <x:v>812.83</x:v>
      </x:c>
      <x:c r="N103" s="79" t="n">
        <x:f>M103-L103</x:f>
        <x:v>-0.0035599999999931242</x:v>
      </x:c>
      <x:c r="O103" s="67" t="str">
        <x:f>IF(ABS(N103)&lt;=1,"已对账","待核对")</x:f>
        <x:v>已对账</x:v>
      </x:c>
      <x:c r="P103" s="67" t="str">
        <x:v>S-模拟支付账单</x:v>
      </x:c>
    </x:row>
    <x:row r="104">
      <x:c r="A104" s="67" t="str">
        <x:v>PAY-00100</x:v>
      </x:c>
      <x:c r="B104" s="73" t="n">
        <x:v>46213.5</x:v>
      </x:c>
      <x:c r="C104" s="73" t="n">
        <x:v>46213.5</x:v>
      </x:c>
      <x:c r="D104" s="67" t="str">
        <x:v>S04</x:v>
      </x:c>
      <x:c r="E104" s="67" t="str">
        <x:v>金街美地店</x:v>
      </x:c>
      <x:c r="F104" s="67" t="str">
        <x:v>现金</x:v>
      </x:c>
      <x:c r="G104" s="76" t="n">
        <x:v>817.74</x:v>
      </x:c>
      <x:c r="H104" s="88" t="n">
        <x:v>0</x:v>
      </x:c>
      <x:c r="I104" s="79" t="n">
        <x:f>G104*H104</x:f>
        <x:v>0</x:v>
      </x:c>
      <x:c r="J104" s="88" t="n">
        <x:v>0</x:v>
      </x:c>
      <x:c r="K104" s="79" t="n">
        <x:f>G104*J104</x:f>
        <x:v>0</x:v>
      </x:c>
      <x:c r="L104" s="79" t="n">
        <x:f>G104-I104-K104</x:f>
        <x:v>817.74</x:v>
      </x:c>
      <x:c r="M104" s="76" t="n">
        <x:v>817.74</x:v>
      </x:c>
      <x:c r="N104" s="79" t="n">
        <x:f>M104-L104</x:f>
        <x:v>0</x:v>
      </x:c>
      <x:c r="O104" s="67" t="str">
        <x:f>IF(ABS(N104)&lt;=1,"已对账","待核对")</x:f>
        <x:v>已对账</x:v>
      </x:c>
      <x:c r="P104" s="67" t="str">
        <x:v>S-模拟支付账单</x:v>
      </x:c>
    </x:row>
    <x:row r="105">
      <x:c r="A105" s="67" t="str">
        <x:v>PAY-00101</x:v>
      </x:c>
      <x:c r="B105" s="73" t="n">
        <x:v>46214.5</x:v>
      </x:c>
      <x:c r="C105" s="73" t="n">
        <x:v>46215.5</x:v>
      </x:c>
      <x:c r="D105" s="67" t="str">
        <x:v>S04</x:v>
      </x:c>
      <x:c r="E105" s="67" t="str">
        <x:v>金街美地店</x:v>
      </x:c>
      <x:c r="F105" s="67" t="str">
        <x:v>微信支付</x:v>
      </x:c>
      <x:c r="G105" s="76" t="n">
        <x:v>2822.36</x:v>
      </x:c>
      <x:c r="H105" s="88" t="n">
        <x:v>0.003</x:v>
      </x:c>
      <x:c r="I105" s="79" t="n">
        <x:f>G105*H105</x:f>
        <x:v>8.467080000000001</x:v>
      </x:c>
      <x:c r="J105" s="88" t="n">
        <x:v>0.0038</x:v>
      </x:c>
      <x:c r="K105" s="79" t="n">
        <x:f>G105*J105</x:f>
        <x:v>10.724968</x:v>
      </x:c>
      <x:c r="L105" s="79" t="n">
        <x:f>G105-I105-K105</x:f>
        <x:v>2803.1679520000002</x:v>
      </x:c>
      <x:c r="M105" s="76" t="n">
        <x:v>2803.17</x:v>
      </x:c>
      <x:c r="N105" s="79" t="n">
        <x:f>M105-L105</x:f>
        <x:v>0.002047999999831518</x:v>
      </x:c>
      <x:c r="O105" s="67" t="str">
        <x:f>IF(ABS(N105)&lt;=1,"已对账","待核对")</x:f>
        <x:v>已对账</x:v>
      </x:c>
      <x:c r="P105" s="67" t="str">
        <x:v>S-模拟支付账单</x:v>
      </x:c>
    </x:row>
    <x:row r="106">
      <x:c r="A106" s="67" t="str">
        <x:v>PAY-00102</x:v>
      </x:c>
      <x:c r="B106" s="73" t="n">
        <x:v>46214.5</x:v>
      </x:c>
      <x:c r="C106" s="73" t="n">
        <x:v>46215.5</x:v>
      </x:c>
      <x:c r="D106" s="67" t="str">
        <x:v>S04</x:v>
      </x:c>
      <x:c r="E106" s="67" t="str">
        <x:v>金街美地店</x:v>
      </x:c>
      <x:c r="F106" s="67" t="str">
        <x:v>支付宝</x:v>
      </x:c>
      <x:c r="G106" s="76" t="n">
        <x:v>2195.16</x:v>
      </x:c>
      <x:c r="H106" s="88" t="n">
        <x:v>0.002</x:v>
      </x:c>
      <x:c r="I106" s="79" t="n">
        <x:f>G106*H106</x:f>
        <x:v>4.39032</x:v>
      </x:c>
      <x:c r="J106" s="88" t="n">
        <x:v>0.0038</x:v>
      </x:c>
      <x:c r="K106" s="79" t="n">
        <x:f>G106*J106</x:f>
        <x:v>8.341607999999999</x:v>
      </x:c>
      <x:c r="L106" s="79" t="n">
        <x:f>G106-I106-K106</x:f>
        <x:v>2182.4280719999997</x:v>
      </x:c>
      <x:c r="M106" s="76" t="n">
        <x:v>2182.43</x:v>
      </x:c>
      <x:c r="N106" s="79" t="n">
        <x:f>M106-L106</x:f>
        <x:v>0.0019280000001344888</x:v>
      </x:c>
      <x:c r="O106" s="67" t="str">
        <x:f>IF(ABS(N106)&lt;=1,"已对账","待核对")</x:f>
        <x:v>已对账</x:v>
      </x:c>
      <x:c r="P106" s="67" t="str">
        <x:v>S-模拟支付账单</x:v>
      </x:c>
    </x:row>
    <x:row r="107">
      <x:c r="A107" s="67" t="str">
        <x:v>PAY-00103</x:v>
      </x:c>
      <x:c r="B107" s="73" t="n">
        <x:v>46214.5</x:v>
      </x:c>
      <x:c r="C107" s="73" t="n">
        <x:v>46215.5</x:v>
      </x:c>
      <x:c r="D107" s="67" t="str">
        <x:v>S04</x:v>
      </x:c>
      <x:c r="E107" s="67" t="str">
        <x:v>金街美地店</x:v>
      </x:c>
      <x:c r="F107" s="67" t="str">
        <x:v>银行卡</x:v>
      </x:c>
      <x:c r="G107" s="76" t="n">
        <x:v>627.19</x:v>
      </x:c>
      <x:c r="H107" s="88" t="n">
        <x:v>0.001</x:v>
      </x:c>
      <x:c r="I107" s="79" t="n">
        <x:f>G107*H107</x:f>
        <x:v>0.62719</x:v>
      </x:c>
      <x:c r="J107" s="88" t="n">
        <x:v>0.005</x:v>
      </x:c>
      <x:c r="K107" s="79" t="n">
        <x:f>G107*J107</x:f>
        <x:v>3.1359500000000002</x:v>
      </x:c>
      <x:c r="L107" s="79" t="n">
        <x:f>G107-I107-K107</x:f>
        <x:v>623.42686</x:v>
      </x:c>
      <x:c r="M107" s="76" t="n">
        <x:v>623.42</x:v>
      </x:c>
      <x:c r="N107" s="79" t="n">
        <x:f>M107-L107</x:f>
        <x:v>-0.006860000000074251</x:v>
      </x:c>
      <x:c r="O107" s="67" t="str">
        <x:f>IF(ABS(N107)&lt;=1,"已对账","待核对")</x:f>
        <x:v>已对账</x:v>
      </x:c>
      <x:c r="P107" s="67" t="str">
        <x:v>S-模拟支付账单</x:v>
      </x:c>
    </x:row>
    <x:row r="108">
      <x:c r="A108" s="67" t="str">
        <x:v>PAY-00104</x:v>
      </x:c>
      <x:c r="B108" s="73" t="n">
        <x:v>46214.5</x:v>
      </x:c>
      <x:c r="C108" s="73" t="n">
        <x:v>46214.5</x:v>
      </x:c>
      <x:c r="D108" s="67" t="str">
        <x:v>S04</x:v>
      </x:c>
      <x:c r="E108" s="67" t="str">
        <x:v>金街美地店</x:v>
      </x:c>
      <x:c r="F108" s="67" t="str">
        <x:v>现金</x:v>
      </x:c>
      <x:c r="G108" s="76" t="n">
        <x:v>627.19</x:v>
      </x:c>
      <x:c r="H108" s="88" t="n">
        <x:v>0</x:v>
      </x:c>
      <x:c r="I108" s="79" t="n">
        <x:f>G108*H108</x:f>
        <x:v>0</x:v>
      </x:c>
      <x:c r="J108" s="88" t="n">
        <x:v>0</x:v>
      </x:c>
      <x:c r="K108" s="79" t="n">
        <x:f>G108*J108</x:f>
        <x:v>0</x:v>
      </x:c>
      <x:c r="L108" s="79" t="n">
        <x:f>G108-I108-K108</x:f>
        <x:v>627.19</x:v>
      </x:c>
      <x:c r="M108" s="76" t="n">
        <x:v>627.19</x:v>
      </x:c>
      <x:c r="N108" s="79" t="n">
        <x:f>M108-L108</x:f>
        <x:v>0</x:v>
      </x:c>
      <x:c r="O108" s="67" t="str">
        <x:f>IF(ABS(N108)&lt;=1,"已对账","待核对")</x:f>
        <x:v>已对账</x:v>
      </x:c>
      <x:c r="P108" s="67" t="str">
        <x:v>S-模拟支付账单</x:v>
      </x:c>
    </x:row>
    <x:row r="109">
      <x:c r="A109" s="67" t="str">
        <x:v>PAY-00105</x:v>
      </x:c>
      <x:c r="B109" s="73" t="n">
        <x:v>46215.5</x:v>
      </x:c>
      <x:c r="C109" s="73" t="n">
        <x:v>46216.5</x:v>
      </x:c>
      <x:c r="D109" s="67" t="str">
        <x:v>S04</x:v>
      </x:c>
      <x:c r="E109" s="67" t="str">
        <x:v>金街美地店</x:v>
      </x:c>
      <x:c r="F109" s="67" t="str">
        <x:v>微信支付</x:v>
      </x:c>
      <x:c r="G109" s="76" t="n">
        <x:v>2752.7</x:v>
      </x:c>
      <x:c r="H109" s="88" t="n">
        <x:v>0.003</x:v>
      </x:c>
      <x:c r="I109" s="79" t="n">
        <x:f>G109*H109</x:f>
        <x:v>8.258099999999999</x:v>
      </x:c>
      <x:c r="J109" s="88" t="n">
        <x:v>0.0038</x:v>
      </x:c>
      <x:c r="K109" s="79" t="n">
        <x:f>G109*J109</x:f>
        <x:v>10.46026</x:v>
      </x:c>
      <x:c r="L109" s="79" t="n">
        <x:f>G109-I109-K109</x:f>
        <x:v>2733.98164</x:v>
      </x:c>
      <x:c r="M109" s="76" t="n">
        <x:v>2733.98</x:v>
      </x:c>
      <x:c r="N109" s="79" t="n">
        <x:f>M109-L109</x:f>
        <x:v>-0.0016399999999521242</x:v>
      </x:c>
      <x:c r="O109" s="67" t="str">
        <x:f>IF(ABS(N109)&lt;=1,"已对账","待核对")</x:f>
        <x:v>已对账</x:v>
      </x:c>
      <x:c r="P109" s="67" t="str">
        <x:v>S-模拟支付账单</x:v>
      </x:c>
    </x:row>
    <x:row r="110">
      <x:c r="A110" s="67" t="str">
        <x:v>PAY-00106</x:v>
      </x:c>
      <x:c r="B110" s="73" t="n">
        <x:v>46215.5</x:v>
      </x:c>
      <x:c r="C110" s="73" t="n">
        <x:v>46216.5</x:v>
      </x:c>
      <x:c r="D110" s="67" t="str">
        <x:v>S04</x:v>
      </x:c>
      <x:c r="E110" s="67" t="str">
        <x:v>金街美地店</x:v>
      </x:c>
      <x:c r="F110" s="67" t="str">
        <x:v>支付宝</x:v>
      </x:c>
      <x:c r="G110" s="76" t="n">
        <x:v>2140.98</x:v>
      </x:c>
      <x:c r="H110" s="88" t="n">
        <x:v>0.002</x:v>
      </x:c>
      <x:c r="I110" s="79" t="n">
        <x:f>G110*H110</x:f>
        <x:v>4.28196</x:v>
      </x:c>
      <x:c r="J110" s="88" t="n">
        <x:v>0.0038</x:v>
      </x:c>
      <x:c r="K110" s="79" t="n">
        <x:f>G110*J110</x:f>
        <x:v>8.135724</x:v>
      </x:c>
      <x:c r="L110" s="79" t="n">
        <x:f>G110-I110-K110</x:f>
        <x:v>2128.562316</x:v>
      </x:c>
      <x:c r="M110" s="76" t="n">
        <x:v>2128.56</x:v>
      </x:c>
      <x:c r="N110" s="79" t="n">
        <x:f>M110-L110</x:f>
        <x:v>-0.0023160000000643777</x:v>
      </x:c>
      <x:c r="O110" s="67" t="str">
        <x:f>IF(ABS(N110)&lt;=1,"已对账","待核对")</x:f>
        <x:v>已对账</x:v>
      </x:c>
      <x:c r="P110" s="67" t="str">
        <x:v>S-模拟支付账单</x:v>
      </x:c>
    </x:row>
    <x:row r="111">
      <x:c r="A111" s="67" t="str">
        <x:v>PAY-00107</x:v>
      </x:c>
      <x:c r="B111" s="73" t="n">
        <x:v>46215.5</x:v>
      </x:c>
      <x:c r="C111" s="73" t="n">
        <x:v>46216.5</x:v>
      </x:c>
      <x:c r="D111" s="67" t="str">
        <x:v>S04</x:v>
      </x:c>
      <x:c r="E111" s="67" t="str">
        <x:v>金街美地店</x:v>
      </x:c>
      <x:c r="F111" s="67" t="str">
        <x:v>银行卡</x:v>
      </x:c>
      <x:c r="G111" s="76" t="n">
        <x:v>611.71</x:v>
      </x:c>
      <x:c r="H111" s="88" t="n">
        <x:v>0.001</x:v>
      </x:c>
      <x:c r="I111" s="79" t="n">
        <x:f>G111*H111</x:f>
        <x:v>0.6117100000000001</x:v>
      </x:c>
      <x:c r="J111" s="88" t="n">
        <x:v>0.005</x:v>
      </x:c>
      <x:c r="K111" s="79" t="n">
        <x:f>G111*J111</x:f>
        <x:v>3.0585500000000003</x:v>
      </x:c>
      <x:c r="L111" s="79" t="n">
        <x:f>G111-I111-K111</x:f>
        <x:v>608.03974</x:v>
      </x:c>
      <x:c r="M111" s="76" t="n">
        <x:v>608.04</x:v>
      </x:c>
      <x:c r="N111" s="79" t="n">
        <x:f>M111-L111</x:f>
        <x:v>0.0002599999999119973</x:v>
      </x:c>
      <x:c r="O111" s="67" t="str">
        <x:f>IF(ABS(N111)&lt;=1,"已对账","待核对")</x:f>
        <x:v>已对账</x:v>
      </x:c>
      <x:c r="P111" s="67" t="str">
        <x:v>S-模拟支付账单</x:v>
      </x:c>
    </x:row>
    <x:row r="112">
      <x:c r="A112" s="67" t="str">
        <x:v>PAY-00108</x:v>
      </x:c>
      <x:c r="B112" s="73" t="n">
        <x:v>46215.5</x:v>
      </x:c>
      <x:c r="C112" s="73" t="n">
        <x:v>46215.5</x:v>
      </x:c>
      <x:c r="D112" s="67" t="str">
        <x:v>S04</x:v>
      </x:c>
      <x:c r="E112" s="67" t="str">
        <x:v>金街美地店</x:v>
      </x:c>
      <x:c r="F112" s="67" t="str">
        <x:v>现金</x:v>
      </x:c>
      <x:c r="G112" s="76" t="n">
        <x:v>611.71</x:v>
      </x:c>
      <x:c r="H112" s="88" t="n">
        <x:v>0</x:v>
      </x:c>
      <x:c r="I112" s="79" t="n">
        <x:f>G112*H112</x:f>
        <x:v>0</x:v>
      </x:c>
      <x:c r="J112" s="88" t="n">
        <x:v>0</x:v>
      </x:c>
      <x:c r="K112" s="79" t="n">
        <x:f>G112*J112</x:f>
        <x:v>0</x:v>
      </x:c>
      <x:c r="L112" s="79" t="n">
        <x:f>G112-I112-K112</x:f>
        <x:v>611.71</x:v>
      </x:c>
      <x:c r="M112" s="76" t="n">
        <x:v>611.71</x:v>
      </x:c>
      <x:c r="N112" s="79" t="n">
        <x:f>M112-L112</x:f>
        <x:v>0</x:v>
      </x:c>
      <x:c r="O112" s="67" t="str">
        <x:f>IF(ABS(N112)&lt;=1,"已对账","待核对")</x:f>
        <x:v>已对账</x:v>
      </x:c>
      <x:c r="P112" s="67" t="str">
        <x:v>S-模拟支付账单</x:v>
      </x:c>
    </x:row>
    <x:row r="113">
      <x:c r="A113" s="67" t="str">
        <x:v>PAY-00109</x:v>
      </x:c>
      <x:c r="B113" s="73" t="n">
        <x:v>46216.5</x:v>
      </x:c>
      <x:c r="C113" s="73" t="n">
        <x:v>46217.5</x:v>
      </x:c>
      <x:c r="D113" s="67" t="str">
        <x:v>S04</x:v>
      </x:c>
      <x:c r="E113" s="67" t="str">
        <x:v>金街美地店</x:v>
      </x:c>
      <x:c r="F113" s="67" t="str">
        <x:v>微信支付</x:v>
      </x:c>
      <x:c r="G113" s="76" t="n">
        <x:v>3958.92</x:v>
      </x:c>
      <x:c r="H113" s="88" t="n">
        <x:v>0.003</x:v>
      </x:c>
      <x:c r="I113" s="79" t="n">
        <x:f>G113*H113</x:f>
        <x:v>11.87676</x:v>
      </x:c>
      <x:c r="J113" s="88" t="n">
        <x:v>0.0038</x:v>
      </x:c>
      <x:c r="K113" s="79" t="n">
        <x:f>G113*J113</x:f>
        <x:v>15.043896</x:v>
      </x:c>
      <x:c r="L113" s="79" t="n">
        <x:f>G113-I113-K113</x:f>
        <x:v>3931.999344</x:v>
      </x:c>
      <x:c r="M113" s="76" t="n">
        <x:v>3932</x:v>
      </x:c>
      <x:c r="N113" s="79" t="n">
        <x:f>M113-L113</x:f>
        <x:v>0.0006560000001627486</x:v>
      </x:c>
      <x:c r="O113" s="67" t="str">
        <x:f>IF(ABS(N113)&lt;=1,"已对账","待核对")</x:f>
        <x:v>已对账</x:v>
      </x:c>
      <x:c r="P113" s="67" t="str">
        <x:v>S-模拟支付账单</x:v>
      </x:c>
    </x:row>
    <x:row r="114">
      <x:c r="A114" s="67" t="str">
        <x:v>PAY-00110</x:v>
      </x:c>
      <x:c r="B114" s="73" t="n">
        <x:v>46216.5</x:v>
      </x:c>
      <x:c r="C114" s="73" t="n">
        <x:v>46217.5</x:v>
      </x:c>
      <x:c r="D114" s="67" t="str">
        <x:v>S04</x:v>
      </x:c>
      <x:c r="E114" s="67" t="str">
        <x:v>金街美地店</x:v>
      </x:c>
      <x:c r="F114" s="67" t="str">
        <x:v>支付宝</x:v>
      </x:c>
      <x:c r="G114" s="76" t="n">
        <x:v>3079.16</x:v>
      </x:c>
      <x:c r="H114" s="88" t="n">
        <x:v>0.002</x:v>
      </x:c>
      <x:c r="I114" s="79" t="n">
        <x:f>G114*H114</x:f>
        <x:v>6.15832</x:v>
      </x:c>
      <x:c r="J114" s="88" t="n">
        <x:v>0.0038</x:v>
      </x:c>
      <x:c r="K114" s="79" t="n">
        <x:f>G114*J114</x:f>
        <x:v>11.700807999999999</x:v>
      </x:c>
      <x:c r="L114" s="79" t="n">
        <x:f>G114-I114-K114</x:f>
        <x:v>3061.300872</x:v>
      </x:c>
      <x:c r="M114" s="76" t="n">
        <x:v>3061.3</x:v>
      </x:c>
      <x:c r="N114" s="79" t="n">
        <x:f>M114-L114</x:f>
        <x:v>-0.000871999999617401</x:v>
      </x:c>
      <x:c r="O114" s="67" t="str">
        <x:f>IF(ABS(N114)&lt;=1,"已对账","待核对")</x:f>
        <x:v>已对账</x:v>
      </x:c>
      <x:c r="P114" s="67" t="str">
        <x:v>S-模拟支付账单</x:v>
      </x:c>
    </x:row>
    <x:row r="115">
      <x:c r="A115" s="67" t="str">
        <x:v>PAY-00111</x:v>
      </x:c>
      <x:c r="B115" s="73" t="n">
        <x:v>46216.5</x:v>
      </x:c>
      <x:c r="C115" s="73" t="n">
        <x:v>46217.5</x:v>
      </x:c>
      <x:c r="D115" s="67" t="str">
        <x:v>S04</x:v>
      </x:c>
      <x:c r="E115" s="67" t="str">
        <x:v>金街美地店</x:v>
      </x:c>
      <x:c r="F115" s="67" t="str">
        <x:v>银行卡</x:v>
      </x:c>
      <x:c r="G115" s="76" t="n">
        <x:v>879.76</x:v>
      </x:c>
      <x:c r="H115" s="88" t="n">
        <x:v>0.001</x:v>
      </x:c>
      <x:c r="I115" s="79" t="n">
        <x:f>G115*H115</x:f>
        <x:v>0.87976</x:v>
      </x:c>
      <x:c r="J115" s="88" t="n">
        <x:v>0.005</x:v>
      </x:c>
      <x:c r="K115" s="79" t="n">
        <x:f>G115*J115</x:f>
        <x:v>4.3988000000000005</x:v>
      </x:c>
      <x:c r="L115" s="79" t="n">
        <x:f>G115-I115-K115</x:f>
        <x:v>874.4814399999999</x:v>
      </x:c>
      <x:c r="M115" s="76" t="n">
        <x:v>874.48</x:v>
      </x:c>
      <x:c r="N115" s="79" t="n">
        <x:f>M115-L115</x:f>
        <x:v>-0.0014399999998886415</x:v>
      </x:c>
      <x:c r="O115" s="67" t="str">
        <x:f>IF(ABS(N115)&lt;=1,"已对账","待核对")</x:f>
        <x:v>已对账</x:v>
      </x:c>
      <x:c r="P115" s="67" t="str">
        <x:v>S-模拟支付账单</x:v>
      </x:c>
    </x:row>
    <x:row r="116">
      <x:c r="A116" s="67" t="str">
        <x:v>PAY-00112</x:v>
      </x:c>
      <x:c r="B116" s="73" t="n">
        <x:v>46216.5</x:v>
      </x:c>
      <x:c r="C116" s="73" t="n">
        <x:v>46216.5</x:v>
      </x:c>
      <x:c r="D116" s="67" t="str">
        <x:v>S04</x:v>
      </x:c>
      <x:c r="E116" s="67" t="str">
        <x:v>金街美地店</x:v>
      </x:c>
      <x:c r="F116" s="67" t="str">
        <x:v>现金</x:v>
      </x:c>
      <x:c r="G116" s="76" t="n">
        <x:v>879.76</x:v>
      </x:c>
      <x:c r="H116" s="88" t="n">
        <x:v>0</x:v>
      </x:c>
      <x:c r="I116" s="79" t="n">
        <x:f>G116*H116</x:f>
        <x:v>0</x:v>
      </x:c>
      <x:c r="J116" s="88" t="n">
        <x:v>0</x:v>
      </x:c>
      <x:c r="K116" s="79" t="n">
        <x:f>G116*J116</x:f>
        <x:v>0</x:v>
      </x:c>
      <x:c r="L116" s="79" t="n">
        <x:f>G116-I116-K116</x:f>
        <x:v>879.76</x:v>
      </x:c>
      <x:c r="M116" s="76" t="n">
        <x:v>879.76</x:v>
      </x:c>
      <x:c r="N116" s="79" t="n">
        <x:f>M116-L116</x:f>
        <x:v>0</x:v>
      </x:c>
      <x:c r="O116" s="67" t="str">
        <x:f>IF(ABS(N116)&lt;=1,"已对账","待核对")</x:f>
        <x:v>已对账</x:v>
      </x:c>
      <x:c r="P116" s="67" t="str">
        <x:v>S-模拟支付账单</x:v>
      </x:c>
    </x:row>
    <x:row r="117">
      <x:c r="A117" s="67" t="str">
        <x:v>PAY-00113</x:v>
      </x:c>
      <x:c r="B117" s="73" t="n">
        <x:v>46210.5</x:v>
      </x:c>
      <x:c r="C117" s="73" t="n">
        <x:v>46211.5</x:v>
      </x:c>
      <x:c r="D117" s="67" t="str">
        <x:v>S05</x:v>
      </x:c>
      <x:c r="E117" s="67" t="str">
        <x:v>同顺街店</x:v>
      </x:c>
      <x:c r="F117" s="67" t="str">
        <x:v>微信支付</x:v>
      </x:c>
      <x:c r="G117" s="76" t="n">
        <x:v>3615.75</x:v>
      </x:c>
      <x:c r="H117" s="88" t="n">
        <x:v>0.003</x:v>
      </x:c>
      <x:c r="I117" s="79" t="n">
        <x:f>G117*H117</x:f>
        <x:v>10.84725</x:v>
      </x:c>
      <x:c r="J117" s="88" t="n">
        <x:v>0.0038</x:v>
      </x:c>
      <x:c r="K117" s="79" t="n">
        <x:f>G117*J117</x:f>
        <x:v>13.73985</x:v>
      </x:c>
      <x:c r="L117" s="79" t="n">
        <x:f>G117-I117-K117</x:f>
        <x:v>3591.1629000000003</x:v>
      </x:c>
      <x:c r="M117" s="76" t="n">
        <x:v>3591.16</x:v>
      </x:c>
      <x:c r="N117" s="79" t="n">
        <x:f>M117-L117</x:f>
        <x:v>-0.002900000000408909</x:v>
      </x:c>
      <x:c r="O117" s="67" t="str">
        <x:f>IF(ABS(N117)&lt;=1,"已对账","待核对")</x:f>
        <x:v>已对账</x:v>
      </x:c>
      <x:c r="P117" s="67" t="str">
        <x:v>S-模拟支付账单</x:v>
      </x:c>
    </x:row>
    <x:row r="118">
      <x:c r="A118" s="67" t="str">
        <x:v>PAY-00114</x:v>
      </x:c>
      <x:c r="B118" s="73" t="n">
        <x:v>46210.5</x:v>
      </x:c>
      <x:c r="C118" s="73" t="n">
        <x:v>46211.5</x:v>
      </x:c>
      <x:c r="D118" s="67" t="str">
        <x:v>S05</x:v>
      </x:c>
      <x:c r="E118" s="67" t="str">
        <x:v>同顺街店</x:v>
      </x:c>
      <x:c r="F118" s="67" t="str">
        <x:v>支付宝</x:v>
      </x:c>
      <x:c r="G118" s="76" t="n">
        <x:v>2812.25</x:v>
      </x:c>
      <x:c r="H118" s="88" t="n">
        <x:v>0.002</x:v>
      </x:c>
      <x:c r="I118" s="79" t="n">
        <x:f>G118*H118</x:f>
        <x:v>5.6245</x:v>
      </x:c>
      <x:c r="J118" s="88" t="n">
        <x:v>0.0038</x:v>
      </x:c>
      <x:c r="K118" s="79" t="n">
        <x:f>G118*J118</x:f>
        <x:v>10.68655</x:v>
      </x:c>
      <x:c r="L118" s="79" t="n">
        <x:f>G118-I118-K118</x:f>
        <x:v>2795.93895</x:v>
      </x:c>
      <x:c r="M118" s="76" t="n">
        <x:v>2795.94</x:v>
      </x:c>
      <x:c r="N118" s="79" t="n">
        <x:f>M118-L118</x:f>
        <x:v>0.0010499999998501153</x:v>
      </x:c>
      <x:c r="O118" s="67" t="str">
        <x:f>IF(ABS(N118)&lt;=1,"已对账","待核对")</x:f>
        <x:v>已对账</x:v>
      </x:c>
      <x:c r="P118" s="67" t="str">
        <x:v>S-模拟支付账单</x:v>
      </x:c>
    </x:row>
    <x:row r="119">
      <x:c r="A119" s="67" t="str">
        <x:v>PAY-00115</x:v>
      </x:c>
      <x:c r="B119" s="73" t="n">
        <x:v>46210.5</x:v>
      </x:c>
      <x:c r="C119" s="73" t="n">
        <x:v>46211.5</x:v>
      </x:c>
      <x:c r="D119" s="67" t="str">
        <x:v>S05</x:v>
      </x:c>
      <x:c r="E119" s="67" t="str">
        <x:v>同顺街店</x:v>
      </x:c>
      <x:c r="F119" s="67" t="str">
        <x:v>银行卡</x:v>
      </x:c>
      <x:c r="G119" s="76" t="n">
        <x:v>803.5</x:v>
      </x:c>
      <x:c r="H119" s="88" t="n">
        <x:v>0.001</x:v>
      </x:c>
      <x:c r="I119" s="79" t="n">
        <x:f>G119*H119</x:f>
        <x:v>0.8035</x:v>
      </x:c>
      <x:c r="J119" s="88" t="n">
        <x:v>0.005</x:v>
      </x:c>
      <x:c r="K119" s="79" t="n">
        <x:f>G119*J119</x:f>
        <x:v>4.0175</x:v>
      </x:c>
      <x:c r="L119" s="79" t="n">
        <x:f>G119-I119-K119</x:f>
        <x:v>798.679</x:v>
      </x:c>
      <x:c r="M119" s="76" t="n">
        <x:v>798.68</x:v>
      </x:c>
      <x:c r="N119" s="79" t="n">
        <x:f>M119-L119</x:f>
        <x:v>0.0009999999999763531</x:v>
      </x:c>
      <x:c r="O119" s="67" t="str">
        <x:f>IF(ABS(N119)&lt;=1,"已对账","待核对")</x:f>
        <x:v>已对账</x:v>
      </x:c>
      <x:c r="P119" s="67" t="str">
        <x:v>S-模拟支付账单</x:v>
      </x:c>
    </x:row>
    <x:row r="120">
      <x:c r="A120" s="67" t="str">
        <x:v>PAY-00116</x:v>
      </x:c>
      <x:c r="B120" s="73" t="n">
        <x:v>46210.5</x:v>
      </x:c>
      <x:c r="C120" s="73" t="n">
        <x:v>46210.5</x:v>
      </x:c>
      <x:c r="D120" s="67" t="str">
        <x:v>S05</x:v>
      </x:c>
      <x:c r="E120" s="67" t="str">
        <x:v>同顺街店</x:v>
      </x:c>
      <x:c r="F120" s="67" t="str">
        <x:v>现金</x:v>
      </x:c>
      <x:c r="G120" s="76" t="n">
        <x:v>803.5</x:v>
      </x:c>
      <x:c r="H120" s="88" t="n">
        <x:v>0</x:v>
      </x:c>
      <x:c r="I120" s="79" t="n">
        <x:f>G120*H120</x:f>
        <x:v>0</x:v>
      </x:c>
      <x:c r="J120" s="88" t="n">
        <x:v>0</x:v>
      </x:c>
      <x:c r="K120" s="79" t="n">
        <x:f>G120*J120</x:f>
        <x:v>0</x:v>
      </x:c>
      <x:c r="L120" s="79" t="n">
        <x:f>G120-I120-K120</x:f>
        <x:v>803.5</x:v>
      </x:c>
      <x:c r="M120" s="76" t="n">
        <x:v>803.5</x:v>
      </x:c>
      <x:c r="N120" s="79" t="n">
        <x:f>M120-L120</x:f>
        <x:v>0</x:v>
      </x:c>
      <x:c r="O120" s="67" t="str">
        <x:f>IF(ABS(N120)&lt;=1,"已对账","待核对")</x:f>
        <x:v>已对账</x:v>
      </x:c>
      <x:c r="P120" s="67" t="str">
        <x:v>S-模拟支付账单</x:v>
      </x:c>
    </x:row>
    <x:row r="121">
      <x:c r="A121" s="67" t="str">
        <x:v>PAY-00117</x:v>
      </x:c>
      <x:c r="B121" s="73" t="n">
        <x:v>46211.5</x:v>
      </x:c>
      <x:c r="C121" s="73" t="n">
        <x:v>46212.5</x:v>
      </x:c>
      <x:c r="D121" s="67" t="str">
        <x:v>S05</x:v>
      </x:c>
      <x:c r="E121" s="67" t="str">
        <x:v>同顺街店</x:v>
      </x:c>
      <x:c r="F121" s="67" t="str">
        <x:v>微信支付</x:v>
      </x:c>
      <x:c r="G121" s="76" t="n">
        <x:v>3515</x:v>
      </x:c>
      <x:c r="H121" s="88" t="n">
        <x:v>0.003</x:v>
      </x:c>
      <x:c r="I121" s="79" t="n">
        <x:f>G121*H121</x:f>
        <x:v>10.545</x:v>
      </x:c>
      <x:c r="J121" s="88" t="n">
        <x:v>0.0038</x:v>
      </x:c>
      <x:c r="K121" s="79" t="n">
        <x:f>G121*J121</x:f>
        <x:v>13.357</x:v>
      </x:c>
      <x:c r="L121" s="79" t="n">
        <x:f>G121-I121-K121</x:f>
        <x:v>3491.098</x:v>
      </x:c>
      <x:c r="M121" s="76" t="n">
        <x:v>3491.09</x:v>
      </x:c>
      <x:c r="N121" s="79" t="n">
        <x:f>M121-L121</x:f>
        <x:v>-0.007999999999810825</x:v>
      </x:c>
      <x:c r="O121" s="67" t="str">
        <x:f>IF(ABS(N121)&lt;=1,"已对账","待核对")</x:f>
        <x:v>已对账</x:v>
      </x:c>
      <x:c r="P121" s="67" t="str">
        <x:v>S-模拟支付账单</x:v>
      </x:c>
    </x:row>
    <x:row r="122">
      <x:c r="A122" s="67" t="str">
        <x:v>PAY-00118</x:v>
      </x:c>
      <x:c r="B122" s="73" t="n">
        <x:v>46211.5</x:v>
      </x:c>
      <x:c r="C122" s="73" t="n">
        <x:v>46212.5</x:v>
      </x:c>
      <x:c r="D122" s="67" t="str">
        <x:v>S05</x:v>
      </x:c>
      <x:c r="E122" s="67" t="str">
        <x:v>同顺街店</x:v>
      </x:c>
      <x:c r="F122" s="67" t="str">
        <x:v>支付宝</x:v>
      </x:c>
      <x:c r="G122" s="76" t="n">
        <x:v>2733.89</x:v>
      </x:c>
      <x:c r="H122" s="88" t="n">
        <x:v>0.002</x:v>
      </x:c>
      <x:c r="I122" s="79" t="n">
        <x:f>G122*H122</x:f>
        <x:v>5.467779999999999</x:v>
      </x:c>
      <x:c r="J122" s="88" t="n">
        <x:v>0.0038</x:v>
      </x:c>
      <x:c r="K122" s="79" t="n">
        <x:f>G122*J122</x:f>
        <x:v>10.388781999999999</x:v>
      </x:c>
      <x:c r="L122" s="79" t="n">
        <x:f>G122-I122-K122</x:f>
        <x:v>2718.033438</x:v>
      </x:c>
      <x:c r="M122" s="76" t="n">
        <x:v>2718.03</x:v>
      </x:c>
      <x:c r="N122" s="79" t="n">
        <x:f>M122-L122</x:f>
        <x:v>-0.0034379999997327104</x:v>
      </x:c>
      <x:c r="O122" s="67" t="str">
        <x:f>IF(ABS(N122)&lt;=1,"已对账","待核对")</x:f>
        <x:v>已对账</x:v>
      </x:c>
      <x:c r="P122" s="67" t="str">
        <x:v>S-模拟支付账单</x:v>
      </x:c>
    </x:row>
    <x:row r="123">
      <x:c r="A123" s="67" t="str">
        <x:v>PAY-00119</x:v>
      </x:c>
      <x:c r="B123" s="73" t="n">
        <x:v>46211.5</x:v>
      </x:c>
      <x:c r="C123" s="73" t="n">
        <x:v>46212.5</x:v>
      </x:c>
      <x:c r="D123" s="67" t="str">
        <x:v>S05</x:v>
      </x:c>
      <x:c r="E123" s="67" t="str">
        <x:v>同顺街店</x:v>
      </x:c>
      <x:c r="F123" s="67" t="str">
        <x:v>银行卡</x:v>
      </x:c>
      <x:c r="G123" s="76" t="n">
        <x:v>781.11</x:v>
      </x:c>
      <x:c r="H123" s="88" t="n">
        <x:v>0.001</x:v>
      </x:c>
      <x:c r="I123" s="79" t="n">
        <x:f>G123*H123</x:f>
        <x:v>0.7811100000000001</x:v>
      </x:c>
      <x:c r="J123" s="88" t="n">
        <x:v>0.005</x:v>
      </x:c>
      <x:c r="K123" s="79" t="n">
        <x:f>G123*J123</x:f>
        <x:v>3.9055500000000003</x:v>
      </x:c>
      <x:c r="L123" s="79" t="n">
        <x:f>G123-I123-K123</x:f>
        <x:v>776.42334</x:v>
      </x:c>
      <x:c r="M123" s="76" t="n">
        <x:v>776.42</x:v>
      </x:c>
      <x:c r="N123" s="79" t="n">
        <x:f>M123-L123</x:f>
        <x:v>-0.0033400000000938235</x:v>
      </x:c>
      <x:c r="O123" s="67" t="str">
        <x:f>IF(ABS(N123)&lt;=1,"已对账","待核对")</x:f>
        <x:v>已对账</x:v>
      </x:c>
      <x:c r="P123" s="67" t="str">
        <x:v>S-模拟支付账单</x:v>
      </x:c>
    </x:row>
    <x:row r="124">
      <x:c r="A124" s="67" t="str">
        <x:v>PAY-00120</x:v>
      </x:c>
      <x:c r="B124" s="73" t="n">
        <x:v>46211.5</x:v>
      </x:c>
      <x:c r="C124" s="73" t="n">
        <x:v>46211.5</x:v>
      </x:c>
      <x:c r="D124" s="67" t="str">
        <x:v>S05</x:v>
      </x:c>
      <x:c r="E124" s="67" t="str">
        <x:v>同顺街店</x:v>
      </x:c>
      <x:c r="F124" s="67" t="str">
        <x:v>现金</x:v>
      </x:c>
      <x:c r="G124" s="76" t="n">
        <x:v>781.11</x:v>
      </x:c>
      <x:c r="H124" s="88" t="n">
        <x:v>0</x:v>
      </x:c>
      <x:c r="I124" s="79" t="n">
        <x:f>G124*H124</x:f>
        <x:v>0</x:v>
      </x:c>
      <x:c r="J124" s="88" t="n">
        <x:v>0</x:v>
      </x:c>
      <x:c r="K124" s="79" t="n">
        <x:f>G124*J124</x:f>
        <x:v>0</x:v>
      </x:c>
      <x:c r="L124" s="79" t="n">
        <x:f>G124-I124-K124</x:f>
        <x:v>781.11</x:v>
      </x:c>
      <x:c r="M124" s="76" t="n">
        <x:v>781.11</x:v>
      </x:c>
      <x:c r="N124" s="79" t="n">
        <x:f>M124-L124</x:f>
        <x:v>0</x:v>
      </x:c>
      <x:c r="O124" s="67" t="str">
        <x:f>IF(ABS(N124)&lt;=1,"已对账","待核对")</x:f>
        <x:v>已对账</x:v>
      </x:c>
      <x:c r="P124" s="67" t="str">
        <x:v>S-模拟支付账单</x:v>
      </x:c>
    </x:row>
    <x:row r="125">
      <x:c r="A125" s="67" t="str">
        <x:v>PAY-00121</x:v>
      </x:c>
      <x:c r="B125" s="73" t="n">
        <x:v>46212.5</x:v>
      </x:c>
      <x:c r="C125" s="73" t="n">
        <x:v>46213.5</x:v>
      </x:c>
      <x:c r="D125" s="67" t="str">
        <x:v>S05</x:v>
      </x:c>
      <x:c r="E125" s="67" t="str">
        <x:v>同顺街店</x:v>
      </x:c>
      <x:c r="F125" s="67" t="str">
        <x:v>微信支付</x:v>
      </x:c>
      <x:c r="G125" s="76" t="n">
        <x:v>3447.5</x:v>
      </x:c>
      <x:c r="H125" s="88" t="n">
        <x:v>0.003</x:v>
      </x:c>
      <x:c r="I125" s="79" t="n">
        <x:f>G125*H125</x:f>
        <x:v>10.3425</x:v>
      </x:c>
      <x:c r="J125" s="88" t="n">
        <x:v>0.0038</x:v>
      </x:c>
      <x:c r="K125" s="79" t="n">
        <x:f>G125*J125</x:f>
        <x:v>13.1005</x:v>
      </x:c>
      <x:c r="L125" s="79" t="n">
        <x:f>G125-I125-K125</x:f>
        <x:v>3424.057</x:v>
      </x:c>
      <x:c r="M125" s="76" t="n">
        <x:v>3424.06</x:v>
      </x:c>
      <x:c r="N125" s="79" t="n">
        <x:f>M125-L125</x:f>
        <x:v>0.003000000000156433</x:v>
      </x:c>
      <x:c r="O125" s="67" t="str">
        <x:f>IF(ABS(N125)&lt;=1,"已对账","待核对")</x:f>
        <x:v>已对账</x:v>
      </x:c>
      <x:c r="P125" s="67" t="str">
        <x:v>S-模拟支付账单</x:v>
      </x:c>
    </x:row>
    <x:row r="126">
      <x:c r="A126" s="67" t="str">
        <x:v>PAY-00122</x:v>
      </x:c>
      <x:c r="B126" s="73" t="n">
        <x:v>46212.5</x:v>
      </x:c>
      <x:c r="C126" s="73" t="n">
        <x:v>46213.5</x:v>
      </x:c>
      <x:c r="D126" s="67" t="str">
        <x:v>S05</x:v>
      </x:c>
      <x:c r="E126" s="67" t="str">
        <x:v>同顺街店</x:v>
      </x:c>
      <x:c r="F126" s="67" t="str">
        <x:v>支付宝</x:v>
      </x:c>
      <x:c r="G126" s="76" t="n">
        <x:v>2681.39</x:v>
      </x:c>
      <x:c r="H126" s="88" t="n">
        <x:v>0.002</x:v>
      </x:c>
      <x:c r="I126" s="79" t="n">
        <x:f>G126*H126</x:f>
        <x:v>5.36278</x:v>
      </x:c>
      <x:c r="J126" s="88" t="n">
        <x:v>0.0038</x:v>
      </x:c>
      <x:c r="K126" s="79" t="n">
        <x:f>G126*J126</x:f>
        <x:v>10.189281999999999</x:v>
      </x:c>
      <x:c r="L126" s="79" t="n">
        <x:f>G126-I126-K126</x:f>
        <x:v>2665.837938</x:v>
      </x:c>
      <x:c r="M126" s="76" t="n">
        <x:v>2665.84</x:v>
      </x:c>
      <x:c r="N126" s="79" t="n">
        <x:f>M126-L126</x:f>
        <x:v>0.002062000000023545</x:v>
      </x:c>
      <x:c r="O126" s="67" t="str">
        <x:f>IF(ABS(N126)&lt;=1,"已对账","待核对")</x:f>
        <x:v>已对账</x:v>
      </x:c>
      <x:c r="P126" s="67" t="str">
        <x:v>S-模拟支付账单</x:v>
      </x:c>
    </x:row>
    <x:row r="127">
      <x:c r="A127" s="67" t="str">
        <x:v>PAY-00123</x:v>
      </x:c>
      <x:c r="B127" s="73" t="n">
        <x:v>46212.5</x:v>
      </x:c>
      <x:c r="C127" s="73" t="n">
        <x:v>46213.5</x:v>
      </x:c>
      <x:c r="D127" s="67" t="str">
        <x:v>S05</x:v>
      </x:c>
      <x:c r="E127" s="67" t="str">
        <x:v>同顺街店</x:v>
      </x:c>
      <x:c r="F127" s="67" t="str">
        <x:v>银行卡</x:v>
      </x:c>
      <x:c r="G127" s="76" t="n">
        <x:v>766.11</x:v>
      </x:c>
      <x:c r="H127" s="88" t="n">
        <x:v>0.001</x:v>
      </x:c>
      <x:c r="I127" s="79" t="n">
        <x:f>G127*H127</x:f>
        <x:v>0.7661100000000001</x:v>
      </x:c>
      <x:c r="J127" s="88" t="n">
        <x:v>0.005</x:v>
      </x:c>
      <x:c r="K127" s="79" t="n">
        <x:f>G127*J127</x:f>
        <x:v>3.83055</x:v>
      </x:c>
      <x:c r="L127" s="79" t="n">
        <x:f>G127-I127-K127</x:f>
        <x:v>761.51334</x:v>
      </x:c>
      <x:c r="M127" s="76" t="n">
        <x:v>761.51</x:v>
      </x:c>
      <x:c r="N127" s="79" t="n">
        <x:f>M127-L127</x:f>
        <x:v>-0.0033399999999801366</x:v>
      </x:c>
      <x:c r="O127" s="67" t="str">
        <x:f>IF(ABS(N127)&lt;=1,"已对账","待核对")</x:f>
        <x:v>已对账</x:v>
      </x:c>
      <x:c r="P127" s="67" t="str">
        <x:v>S-模拟支付账单</x:v>
      </x:c>
    </x:row>
    <x:row r="128">
      <x:c r="A128" s="67" t="str">
        <x:v>PAY-00124</x:v>
      </x:c>
      <x:c r="B128" s="73" t="n">
        <x:v>46212.5</x:v>
      </x:c>
      <x:c r="C128" s="73" t="n">
        <x:v>46212.5</x:v>
      </x:c>
      <x:c r="D128" s="67" t="str">
        <x:v>S05</x:v>
      </x:c>
      <x:c r="E128" s="67" t="str">
        <x:v>同顺街店</x:v>
      </x:c>
      <x:c r="F128" s="67" t="str">
        <x:v>现金</x:v>
      </x:c>
      <x:c r="G128" s="76" t="n">
        <x:v>766.11</x:v>
      </x:c>
      <x:c r="H128" s="88" t="n">
        <x:v>0</x:v>
      </x:c>
      <x:c r="I128" s="79" t="n">
        <x:f>G128*H128</x:f>
        <x:v>0</x:v>
      </x:c>
      <x:c r="J128" s="88" t="n">
        <x:v>0</x:v>
      </x:c>
      <x:c r="K128" s="79" t="n">
        <x:f>G128*J128</x:f>
        <x:v>0</x:v>
      </x:c>
      <x:c r="L128" s="79" t="n">
        <x:f>G128-I128-K128</x:f>
        <x:v>766.11</x:v>
      </x:c>
      <x:c r="M128" s="76" t="n">
        <x:v>766.11</x:v>
      </x:c>
      <x:c r="N128" s="79" t="n">
        <x:f>M128-L128</x:f>
        <x:v>0</x:v>
      </x:c>
      <x:c r="O128" s="67" t="str">
        <x:f>IF(ABS(N128)&lt;=1,"已对账","待核对")</x:f>
        <x:v>已对账</x:v>
      </x:c>
      <x:c r="P128" s="67" t="str">
        <x:v>S-模拟支付账单</x:v>
      </x:c>
    </x:row>
    <x:row r="129">
      <x:c r="A129" s="67" t="str">
        <x:v>PAY-00125</x:v>
      </x:c>
      <x:c r="B129" s="73" t="n">
        <x:v>46213.5</x:v>
      </x:c>
      <x:c r="C129" s="73" t="n">
        <x:v>46214.5</x:v>
      </x:c>
      <x:c r="D129" s="67" t="str">
        <x:v>S05</x:v>
      </x:c>
      <x:c r="E129" s="67" t="str">
        <x:v>同顺街店</x:v>
      </x:c>
      <x:c r="F129" s="67" t="str">
        <x:v>微信支付</x:v>
      </x:c>
      <x:c r="G129" s="76" t="n">
        <x:v>3582.86</x:v>
      </x:c>
      <x:c r="H129" s="88" t="n">
        <x:v>0.003</x:v>
      </x:c>
      <x:c r="I129" s="79" t="n">
        <x:f>G129*H129</x:f>
        <x:v>10.74858</x:v>
      </x:c>
      <x:c r="J129" s="88" t="n">
        <x:v>0.0038</x:v>
      </x:c>
      <x:c r="K129" s="79" t="n">
        <x:f>G129*J129</x:f>
        <x:v>13.614868000000001</x:v>
      </x:c>
      <x:c r="L129" s="79" t="n">
        <x:f>G129-I129-K129</x:f>
        <x:v>3558.496552</x:v>
      </x:c>
      <x:c r="M129" s="76" t="n">
        <x:v>3558.5</x:v>
      </x:c>
      <x:c r="N129" s="79" t="n">
        <x:f>M129-L129</x:f>
        <x:v>0.0034479999999348365</x:v>
      </x:c>
      <x:c r="O129" s="67" t="str">
        <x:f>IF(ABS(N129)&lt;=1,"已对账","待核对")</x:f>
        <x:v>已对账</x:v>
      </x:c>
      <x:c r="P129" s="67" t="str">
        <x:v>S-模拟支付账单</x:v>
      </x:c>
    </x:row>
    <x:row r="130">
      <x:c r="A130" s="67" t="str">
        <x:v>PAY-00126</x:v>
      </x:c>
      <x:c r="B130" s="73" t="n">
        <x:v>46213.5</x:v>
      </x:c>
      <x:c r="C130" s="73" t="n">
        <x:v>46214.5</x:v>
      </x:c>
      <x:c r="D130" s="67" t="str">
        <x:v>S05</x:v>
      </x:c>
      <x:c r="E130" s="67" t="str">
        <x:v>同顺街店</x:v>
      </x:c>
      <x:c r="F130" s="67" t="str">
        <x:v>支付宝</x:v>
      </x:c>
      <x:c r="G130" s="76" t="n">
        <x:v>2786.66</x:v>
      </x:c>
      <x:c r="H130" s="88" t="n">
        <x:v>0.002</x:v>
      </x:c>
      <x:c r="I130" s="79" t="n">
        <x:f>G130*H130</x:f>
        <x:v>5.57332</x:v>
      </x:c>
      <x:c r="J130" s="88" t="n">
        <x:v>0.0038</x:v>
      </x:c>
      <x:c r="K130" s="79" t="n">
        <x:f>G130*J130</x:f>
        <x:v>10.589307999999999</x:v>
      </x:c>
      <x:c r="L130" s="79" t="n">
        <x:f>G130-I130-K130</x:f>
        <x:v>2770.497372</x:v>
      </x:c>
      <x:c r="M130" s="76" t="n">
        <x:v>2770.5</x:v>
      </x:c>
      <x:c r="N130" s="79" t="n">
        <x:f>M130-L130</x:f>
        <x:v>0.002628000000186148</x:v>
      </x:c>
      <x:c r="O130" s="67" t="str">
        <x:f>IF(ABS(N130)&lt;=1,"已对账","待核对")</x:f>
        <x:v>已对账</x:v>
      </x:c>
      <x:c r="P130" s="67" t="str">
        <x:v>S-模拟支付账单</x:v>
      </x:c>
    </x:row>
    <x:row r="131">
      <x:c r="A131" s="67" t="str">
        <x:v>PAY-00127</x:v>
      </x:c>
      <x:c r="B131" s="73" t="n">
        <x:v>46213.5</x:v>
      </x:c>
      <x:c r="C131" s="73" t="n">
        <x:v>46214.5</x:v>
      </x:c>
      <x:c r="D131" s="67" t="str">
        <x:v>S05</x:v>
      </x:c>
      <x:c r="E131" s="67" t="str">
        <x:v>同顺街店</x:v>
      </x:c>
      <x:c r="F131" s="67" t="str">
        <x:v>银行卡</x:v>
      </x:c>
      <x:c r="G131" s="76" t="n">
        <x:v>796.19</x:v>
      </x:c>
      <x:c r="H131" s="88" t="n">
        <x:v>0.001</x:v>
      </x:c>
      <x:c r="I131" s="79" t="n">
        <x:f>G131*H131</x:f>
        <x:v>0.7961900000000001</x:v>
      </x:c>
      <x:c r="J131" s="88" t="n">
        <x:v>0.005</x:v>
      </x:c>
      <x:c r="K131" s="79" t="n">
        <x:f>G131*J131</x:f>
        <x:v>3.9809500000000004</x:v>
      </x:c>
      <x:c r="L131" s="79" t="n">
        <x:f>G131-I131-K131</x:f>
        <x:v>791.41286</x:v>
      </x:c>
      <x:c r="M131" s="76" t="n">
        <x:v>791.41</x:v>
      </x:c>
      <x:c r="N131" s="79" t="n">
        <x:f>M131-L131</x:f>
        <x:v>-0.0028600000000551518</x:v>
      </x:c>
      <x:c r="O131" s="67" t="str">
        <x:f>IF(ABS(N131)&lt;=1,"已对账","待核对")</x:f>
        <x:v>已对账</x:v>
      </x:c>
      <x:c r="P131" s="67" t="str">
        <x:v>S-模拟支付账单</x:v>
      </x:c>
    </x:row>
    <x:row r="132">
      <x:c r="A132" s="67" t="str">
        <x:v>PAY-00128</x:v>
      </x:c>
      <x:c r="B132" s="73" t="n">
        <x:v>46213.5</x:v>
      </x:c>
      <x:c r="C132" s="73" t="n">
        <x:v>46213.5</x:v>
      </x:c>
      <x:c r="D132" s="67" t="str">
        <x:v>S05</x:v>
      </x:c>
      <x:c r="E132" s="67" t="str">
        <x:v>同顺街店</x:v>
      </x:c>
      <x:c r="F132" s="67" t="str">
        <x:v>现金</x:v>
      </x:c>
      <x:c r="G132" s="76" t="n">
        <x:v>796.19</x:v>
      </x:c>
      <x:c r="H132" s="88" t="n">
        <x:v>0</x:v>
      </x:c>
      <x:c r="I132" s="79" t="n">
        <x:f>G132*H132</x:f>
        <x:v>0</x:v>
      </x:c>
      <x:c r="J132" s="88" t="n">
        <x:v>0</x:v>
      </x:c>
      <x:c r="K132" s="79" t="n">
        <x:f>G132*J132</x:f>
        <x:v>0</x:v>
      </x:c>
      <x:c r="L132" s="79" t="n">
        <x:f>G132-I132-K132</x:f>
        <x:v>796.19</x:v>
      </x:c>
      <x:c r="M132" s="76" t="n">
        <x:v>796.19</x:v>
      </x:c>
      <x:c r="N132" s="79" t="n">
        <x:f>M132-L132</x:f>
        <x:v>0</x:v>
      </x:c>
      <x:c r="O132" s="67" t="str">
        <x:f>IF(ABS(N132)&lt;=1,"已对账","待核对")</x:f>
        <x:v>已对账</x:v>
      </x:c>
      <x:c r="P132" s="67" t="str">
        <x:v>S-模拟支付账单</x:v>
      </x:c>
    </x:row>
    <x:row r="133">
      <x:c r="A133" s="67" t="str">
        <x:v>PAY-00129</x:v>
      </x:c>
      <x:c r="B133" s="73" t="n">
        <x:v>46214.5</x:v>
      </x:c>
      <x:c r="C133" s="73" t="n">
        <x:v>46215.5</x:v>
      </x:c>
      <x:c r="D133" s="67" t="str">
        <x:v>S05</x:v>
      </x:c>
      <x:c r="E133" s="67" t="str">
        <x:v>同顺街店</x:v>
      </x:c>
      <x:c r="F133" s="67" t="str">
        <x:v>微信支付</x:v>
      </x:c>
      <x:c r="G133" s="76" t="n">
        <x:v>2745.68</x:v>
      </x:c>
      <x:c r="H133" s="88" t="n">
        <x:v>0.003</x:v>
      </x:c>
      <x:c r="I133" s="79" t="n">
        <x:f>G133*H133</x:f>
        <x:v>8.23704</x:v>
      </x:c>
      <x:c r="J133" s="88" t="n">
        <x:v>0.0038</x:v>
      </x:c>
      <x:c r="K133" s="79" t="n">
        <x:f>G133*J133</x:f>
        <x:v>10.433584</x:v>
      </x:c>
      <x:c r="L133" s="79" t="n">
        <x:f>G133-I133-K133</x:f>
        <x:v>2727.009376</x:v>
      </x:c>
      <x:c r="M133" s="76" t="n">
        <x:v>2727.01</x:v>
      </x:c>
      <x:c r="N133" s="79" t="n">
        <x:f>M133-L133</x:f>
        <x:v>0.0006240000002435409</x:v>
      </x:c>
      <x:c r="O133" s="67" t="str">
        <x:f>IF(ABS(N133)&lt;=1,"已对账","待核对")</x:f>
        <x:v>已对账</x:v>
      </x:c>
      <x:c r="P133" s="67" t="str">
        <x:v>S-模拟支付账单</x:v>
      </x:c>
    </x:row>
    <x:row r="134">
      <x:c r="A134" s="67" t="str">
        <x:v>PAY-00130</x:v>
      </x:c>
      <x:c r="B134" s="73" t="n">
        <x:v>46214.5</x:v>
      </x:c>
      <x:c r="C134" s="73" t="n">
        <x:v>46215.5</x:v>
      </x:c>
      <x:c r="D134" s="67" t="str">
        <x:v>S05</x:v>
      </x:c>
      <x:c r="E134" s="67" t="str">
        <x:v>同顺街店</x:v>
      </x:c>
      <x:c r="F134" s="67" t="str">
        <x:v>支付宝</x:v>
      </x:c>
      <x:c r="G134" s="76" t="n">
        <x:v>2135.53</x:v>
      </x:c>
      <x:c r="H134" s="88" t="n">
        <x:v>0.002</x:v>
      </x:c>
      <x:c r="I134" s="79" t="n">
        <x:f>G134*H134</x:f>
        <x:v>4.27106</x:v>
      </x:c>
      <x:c r="J134" s="88" t="n">
        <x:v>0.0038</x:v>
      </x:c>
      <x:c r="K134" s="79" t="n">
        <x:f>G134*J134</x:f>
        <x:v>8.115014</x:v>
      </x:c>
      <x:c r="L134" s="79" t="n">
        <x:f>G134-I134-K134</x:f>
        <x:v>2123.143926</x:v>
      </x:c>
      <x:c r="M134" s="76" t="n">
        <x:v>2123.14</x:v>
      </x:c>
      <x:c r="N134" s="79" t="n">
        <x:f>M134-L134</x:f>
        <x:v>-0.003926000000319618</x:v>
      </x:c>
      <x:c r="O134" s="67" t="str">
        <x:f>IF(ABS(N134)&lt;=1,"已对账","待核对")</x:f>
        <x:v>已对账</x:v>
      </x:c>
      <x:c r="P134" s="67" t="str">
        <x:v>S-模拟支付账单</x:v>
      </x:c>
    </x:row>
    <x:row r="135">
      <x:c r="A135" s="67" t="str">
        <x:v>PAY-00131</x:v>
      </x:c>
      <x:c r="B135" s="73" t="n">
        <x:v>46214.5</x:v>
      </x:c>
      <x:c r="C135" s="73" t="n">
        <x:v>46215.5</x:v>
      </x:c>
      <x:c r="D135" s="67" t="str">
        <x:v>S05</x:v>
      </x:c>
      <x:c r="E135" s="67" t="str">
        <x:v>同顺街店</x:v>
      </x:c>
      <x:c r="F135" s="67" t="str">
        <x:v>银行卡</x:v>
      </x:c>
      <x:c r="G135" s="76" t="n">
        <x:v>610.15</x:v>
      </x:c>
      <x:c r="H135" s="88" t="n">
        <x:v>0.001</x:v>
      </x:c>
      <x:c r="I135" s="79" t="n">
        <x:f>G135*H135</x:f>
        <x:v>0.61015</x:v>
      </x:c>
      <x:c r="J135" s="88" t="n">
        <x:v>0.005</x:v>
      </x:c>
      <x:c r="K135" s="79" t="n">
        <x:f>G135*J135</x:f>
        <x:v>3.05075</x:v>
      </x:c>
      <x:c r="L135" s="79" t="n">
        <x:f>G135-I135-K135</x:f>
        <x:v>606.4891</x:v>
      </x:c>
      <x:c r="M135" s="76" t="n">
        <x:v>606.49</x:v>
      </x:c>
      <x:c r="N135" s="79" t="n">
        <x:f>M135-L135</x:f>
        <x:v>0.0009000000000014552</x:v>
      </x:c>
      <x:c r="O135" s="67" t="str">
        <x:f>IF(ABS(N135)&lt;=1,"已对账","待核对")</x:f>
        <x:v>已对账</x:v>
      </x:c>
      <x:c r="P135" s="67" t="str">
        <x:v>S-模拟支付账单</x:v>
      </x:c>
    </x:row>
    <x:row r="136">
      <x:c r="A136" s="67" t="str">
        <x:v>PAY-00132</x:v>
      </x:c>
      <x:c r="B136" s="73" t="n">
        <x:v>46214.5</x:v>
      </x:c>
      <x:c r="C136" s="73" t="n">
        <x:v>46214.5</x:v>
      </x:c>
      <x:c r="D136" s="67" t="str">
        <x:v>S05</x:v>
      </x:c>
      <x:c r="E136" s="67" t="str">
        <x:v>同顺街店</x:v>
      </x:c>
      <x:c r="F136" s="67" t="str">
        <x:v>现金</x:v>
      </x:c>
      <x:c r="G136" s="76" t="n">
        <x:v>610.15</x:v>
      </x:c>
      <x:c r="H136" s="88" t="n">
        <x:v>0</x:v>
      </x:c>
      <x:c r="I136" s="79" t="n">
        <x:f>G136*H136</x:f>
        <x:v>0</x:v>
      </x:c>
      <x:c r="J136" s="88" t="n">
        <x:v>0</x:v>
      </x:c>
      <x:c r="K136" s="79" t="n">
        <x:f>G136*J136</x:f>
        <x:v>0</x:v>
      </x:c>
      <x:c r="L136" s="79" t="n">
        <x:f>G136-I136-K136</x:f>
        <x:v>610.15</x:v>
      </x:c>
      <x:c r="M136" s="76" t="n">
        <x:v>610.15</x:v>
      </x:c>
      <x:c r="N136" s="79" t="n">
        <x:f>M136-L136</x:f>
        <x:v>0</x:v>
      </x:c>
      <x:c r="O136" s="67" t="str">
        <x:f>IF(ABS(N136)&lt;=1,"已对账","待核对")</x:f>
        <x:v>已对账</x:v>
      </x:c>
      <x:c r="P136" s="67" t="str">
        <x:v>S-模拟支付账单</x:v>
      </x:c>
    </x:row>
    <x:row r="137">
      <x:c r="A137" s="67" t="str">
        <x:v>PAY-00133</x:v>
      </x:c>
      <x:c r="B137" s="73" t="n">
        <x:v>46215.5</x:v>
      </x:c>
      <x:c r="C137" s="73" t="n">
        <x:v>46216.5</x:v>
      </x:c>
      <x:c r="D137" s="67" t="str">
        <x:v>S05</x:v>
      </x:c>
      <x:c r="E137" s="67" t="str">
        <x:v>同顺街店</x:v>
      </x:c>
      <x:c r="F137" s="67" t="str">
        <x:v>微信支付</x:v>
      </x:c>
      <x:c r="G137" s="76" t="n">
        <x:v>2677.68</x:v>
      </x:c>
      <x:c r="H137" s="88" t="n">
        <x:v>0.003</x:v>
      </x:c>
      <x:c r="I137" s="79" t="n">
        <x:f>G137*H137</x:f>
        <x:v>8.03304</x:v>
      </x:c>
      <x:c r="J137" s="88" t="n">
        <x:v>0.0038</x:v>
      </x:c>
      <x:c r="K137" s="79" t="n">
        <x:f>G137*J137</x:f>
        <x:v>10.175184</x:v>
      </x:c>
      <x:c r="L137" s="79" t="n">
        <x:f>G137-I137-K137</x:f>
        <x:v>2659.471776</x:v>
      </x:c>
      <x:c r="M137" s="76" t="n">
        <x:v>2659.47</x:v>
      </x:c>
      <x:c r="N137" s="79" t="n">
        <x:f>M137-L137</x:f>
        <x:v>-0.0017760000000635046</x:v>
      </x:c>
      <x:c r="O137" s="67" t="str">
        <x:f>IF(ABS(N137)&lt;=1,"已对账","待核对")</x:f>
        <x:v>已对账</x:v>
      </x:c>
      <x:c r="P137" s="67" t="str">
        <x:v>S-模拟支付账单</x:v>
      </x:c>
    </x:row>
    <x:row r="138">
      <x:c r="A138" s="67" t="str">
        <x:v>PAY-00134</x:v>
      </x:c>
      <x:c r="B138" s="73" t="n">
        <x:v>46215.5</x:v>
      </x:c>
      <x:c r="C138" s="73" t="n">
        <x:v>46216.5</x:v>
      </x:c>
      <x:c r="D138" s="67" t="str">
        <x:v>S05</x:v>
      </x:c>
      <x:c r="E138" s="67" t="str">
        <x:v>同顺街店</x:v>
      </x:c>
      <x:c r="F138" s="67" t="str">
        <x:v>支付宝</x:v>
      </x:c>
      <x:c r="G138" s="76" t="n">
        <x:v>2082.64</x:v>
      </x:c>
      <x:c r="H138" s="88" t="n">
        <x:v>0.002</x:v>
      </x:c>
      <x:c r="I138" s="79" t="n">
        <x:f>G138*H138</x:f>
        <x:v>4.16528</x:v>
      </x:c>
      <x:c r="J138" s="88" t="n">
        <x:v>0.0038</x:v>
      </x:c>
      <x:c r="K138" s="79" t="n">
        <x:f>G138*J138</x:f>
        <x:v>7.914032</x:v>
      </x:c>
      <x:c r="L138" s="79" t="n">
        <x:f>G138-I138-K138</x:f>
        <x:v>2070.5606879999996</x:v>
      </x:c>
      <x:c r="M138" s="76" t="n">
        <x:v>2070.56</x:v>
      </x:c>
      <x:c r="N138" s="79" t="n">
        <x:f>M138-L138</x:f>
        <x:v>-0.000687999999627209</x:v>
      </x:c>
      <x:c r="O138" s="67" t="str">
        <x:f>IF(ABS(N138)&lt;=1,"已对账","待核对")</x:f>
        <x:v>已对账</x:v>
      </x:c>
      <x:c r="P138" s="67" t="str">
        <x:v>S-模拟支付账单</x:v>
      </x:c>
    </x:row>
    <x:row r="139">
      <x:c r="A139" s="67" t="str">
        <x:v>PAY-00135</x:v>
      </x:c>
      <x:c r="B139" s="73" t="n">
        <x:v>46215.5</x:v>
      </x:c>
      <x:c r="C139" s="73" t="n">
        <x:v>46216.5</x:v>
      </x:c>
      <x:c r="D139" s="67" t="str">
        <x:v>S05</x:v>
      </x:c>
      <x:c r="E139" s="67" t="str">
        <x:v>同顺街店</x:v>
      </x:c>
      <x:c r="F139" s="67" t="str">
        <x:v>银行卡</x:v>
      </x:c>
      <x:c r="G139" s="76" t="n">
        <x:v>595.04</x:v>
      </x:c>
      <x:c r="H139" s="88" t="n">
        <x:v>0.001</x:v>
      </x:c>
      <x:c r="I139" s="79" t="n">
        <x:f>G139*H139</x:f>
        <x:v>0.59504</x:v>
      </x:c>
      <x:c r="J139" s="88" t="n">
        <x:v>0.005</x:v>
      </x:c>
      <x:c r="K139" s="79" t="n">
        <x:f>G139*J139</x:f>
        <x:v>2.9752</x:v>
      </x:c>
      <x:c r="L139" s="79" t="n">
        <x:f>G139-I139-K139</x:f>
        <x:v>591.46976</x:v>
      </x:c>
      <x:c r="M139" s="76" t="n">
        <x:v>591.46</x:v>
      </x:c>
      <x:c r="N139" s="79" t="n">
        <x:f>M139-L139</x:f>
        <x:v>-0.009759999999914726</x:v>
      </x:c>
      <x:c r="O139" s="67" t="str">
        <x:f>IF(ABS(N139)&lt;=1,"已对账","待核对")</x:f>
        <x:v>已对账</x:v>
      </x:c>
      <x:c r="P139" s="67" t="str">
        <x:v>S-模拟支付账单</x:v>
      </x:c>
    </x:row>
    <x:row r="140">
      <x:c r="A140" s="67" t="str">
        <x:v>PAY-00136</x:v>
      </x:c>
      <x:c r="B140" s="73" t="n">
        <x:v>46215.5</x:v>
      </x:c>
      <x:c r="C140" s="73" t="n">
        <x:v>46215.5</x:v>
      </x:c>
      <x:c r="D140" s="67" t="str">
        <x:v>S05</x:v>
      </x:c>
      <x:c r="E140" s="67" t="str">
        <x:v>同顺街店</x:v>
      </x:c>
      <x:c r="F140" s="67" t="str">
        <x:v>现金</x:v>
      </x:c>
      <x:c r="G140" s="76" t="n">
        <x:v>595.04</x:v>
      </x:c>
      <x:c r="H140" s="88" t="n">
        <x:v>0</x:v>
      </x:c>
      <x:c r="I140" s="79" t="n">
        <x:f>G140*H140</x:f>
        <x:v>0</x:v>
      </x:c>
      <x:c r="J140" s="88" t="n">
        <x:v>0</x:v>
      </x:c>
      <x:c r="K140" s="79" t="n">
        <x:f>G140*J140</x:f>
        <x:v>0</x:v>
      </x:c>
      <x:c r="L140" s="79" t="n">
        <x:f>G140-I140-K140</x:f>
        <x:v>595.04</x:v>
      </x:c>
      <x:c r="M140" s="76" t="n">
        <x:v>595.04</x:v>
      </x:c>
      <x:c r="N140" s="79" t="n">
        <x:f>M140-L140</x:f>
        <x:v>0</x:v>
      </x:c>
      <x:c r="O140" s="67" t="str">
        <x:f>IF(ABS(N140)&lt;=1,"已对账","待核对")</x:f>
        <x:v>已对账</x:v>
      </x:c>
      <x:c r="P140" s="67" t="str">
        <x:v>S-模拟支付账单</x:v>
      </x:c>
    </x:row>
    <x:row r="141">
      <x:c r="A141" s="67" t="str">
        <x:v>PAY-00137</x:v>
      </x:c>
      <x:c r="B141" s="73" t="n">
        <x:v>46216.5</x:v>
      </x:c>
      <x:c r="C141" s="73" t="n">
        <x:v>46217.5</x:v>
      </x:c>
      <x:c r="D141" s="67" t="str">
        <x:v>S05</x:v>
      </x:c>
      <x:c r="E141" s="67" t="str">
        <x:v>同顺街店</x:v>
      </x:c>
      <x:c r="F141" s="67" t="str">
        <x:v>微信支付</x:v>
      </x:c>
      <x:c r="G141" s="76" t="n">
        <x:v>3852.04</x:v>
      </x:c>
      <x:c r="H141" s="88" t="n">
        <x:v>0.003</x:v>
      </x:c>
      <x:c r="I141" s="79" t="n">
        <x:f>G141*H141</x:f>
        <x:v>11.55612</x:v>
      </x:c>
      <x:c r="J141" s="88" t="n">
        <x:v>0.0038</x:v>
      </x:c>
      <x:c r="K141" s="79" t="n">
        <x:f>G141*J141</x:f>
        <x:v>14.637751999999999</x:v>
      </x:c>
      <x:c r="L141" s="79" t="n">
        <x:f>G141-I141-K141</x:f>
        <x:v>3825.8461279999997</x:v>
      </x:c>
      <x:c r="M141" s="76" t="n">
        <x:v>3825.84</x:v>
      </x:c>
      <x:c r="N141" s="79" t="n">
        <x:f>M141-L141</x:f>
        <x:v>-0.00612799999953495</x:v>
      </x:c>
      <x:c r="O141" s="67" t="str">
        <x:f>IF(ABS(N141)&lt;=1,"已对账","待核对")</x:f>
        <x:v>已对账</x:v>
      </x:c>
      <x:c r="P141" s="67" t="str">
        <x:v>S-模拟支付账单</x:v>
      </x:c>
    </x:row>
    <x:row r="142">
      <x:c r="A142" s="67" t="str">
        <x:v>PAY-00138</x:v>
      </x:c>
      <x:c r="B142" s="73" t="n">
        <x:v>46216.5</x:v>
      </x:c>
      <x:c r="C142" s="73" t="n">
        <x:v>46217.5</x:v>
      </x:c>
      <x:c r="D142" s="67" t="str">
        <x:v>S05</x:v>
      </x:c>
      <x:c r="E142" s="67" t="str">
        <x:v>同顺街店</x:v>
      </x:c>
      <x:c r="F142" s="67" t="str">
        <x:v>支付宝</x:v>
      </x:c>
      <x:c r="G142" s="76" t="n">
        <x:v>2996.03</x:v>
      </x:c>
      <x:c r="H142" s="88" t="n">
        <x:v>0.002</x:v>
      </x:c>
      <x:c r="I142" s="79" t="n">
        <x:f>G142*H142</x:f>
        <x:v>5.99206</x:v>
      </x:c>
      <x:c r="J142" s="88" t="n">
        <x:v>0.0038</x:v>
      </x:c>
      <x:c r="K142" s="79" t="n">
        <x:f>G142*J142</x:f>
        <x:v>11.384914</x:v>
      </x:c>
      <x:c r="L142" s="79" t="n">
        <x:f>G142-I142-K142</x:f>
        <x:v>2978.653026</x:v>
      </x:c>
      <x:c r="M142" s="76" t="n">
        <x:v>2978.66</x:v>
      </x:c>
      <x:c r="N142" s="79" t="n">
        <x:f>M142-L142</x:f>
        <x:v>0.006973999999900116</x:v>
      </x:c>
      <x:c r="O142" s="67" t="str">
        <x:f>IF(ABS(N142)&lt;=1,"已对账","待核对")</x:f>
        <x:v>已对账</x:v>
      </x:c>
      <x:c r="P142" s="67" t="str">
        <x:v>S-模拟支付账单</x:v>
      </x:c>
    </x:row>
    <x:row r="143">
      <x:c r="A143" s="67" t="str">
        <x:v>PAY-00139</x:v>
      </x:c>
      <x:c r="B143" s="73" t="n">
        <x:v>46216.5</x:v>
      </x:c>
      <x:c r="C143" s="73" t="n">
        <x:v>46217.5</x:v>
      </x:c>
      <x:c r="D143" s="67" t="str">
        <x:v>S05</x:v>
      </x:c>
      <x:c r="E143" s="67" t="str">
        <x:v>同顺街店</x:v>
      </x:c>
      <x:c r="F143" s="67" t="str">
        <x:v>银行卡</x:v>
      </x:c>
      <x:c r="G143" s="76" t="n">
        <x:v>856.01</x:v>
      </x:c>
      <x:c r="H143" s="88" t="n">
        <x:v>0.001</x:v>
      </x:c>
      <x:c r="I143" s="79" t="n">
        <x:f>G143*H143</x:f>
        <x:v>0.85601</x:v>
      </x:c>
      <x:c r="J143" s="88" t="n">
        <x:v>0.005</x:v>
      </x:c>
      <x:c r="K143" s="79" t="n">
        <x:f>G143*J143</x:f>
        <x:v>4.28005</x:v>
      </x:c>
      <x:c r="L143" s="79" t="n">
        <x:f>G143-I143-K143</x:f>
        <x:v>850.8739400000001</x:v>
      </x:c>
      <x:c r="M143" s="76" t="n">
        <x:v>850.87</x:v>
      </x:c>
      <x:c r="N143" s="79" t="n">
        <x:f>M143-L143</x:f>
        <x:v>-0.003940000000056898</x:v>
      </x:c>
      <x:c r="O143" s="67" t="str">
        <x:f>IF(ABS(N143)&lt;=1,"已对账","待核对")</x:f>
        <x:v>已对账</x:v>
      </x:c>
      <x:c r="P143" s="67" t="str">
        <x:v>S-模拟支付账单</x:v>
      </x:c>
    </x:row>
    <x:row r="144">
      <x:c r="A144" s="67" t="str">
        <x:v>PAY-00140</x:v>
      </x:c>
      <x:c r="B144" s="73" t="n">
        <x:v>46216.5</x:v>
      </x:c>
      <x:c r="C144" s="73" t="n">
        <x:v>46216.5</x:v>
      </x:c>
      <x:c r="D144" s="67" t="str">
        <x:v>S05</x:v>
      </x:c>
      <x:c r="E144" s="67" t="str">
        <x:v>同顺街店</x:v>
      </x:c>
      <x:c r="F144" s="67" t="str">
        <x:v>现金</x:v>
      </x:c>
      <x:c r="G144" s="76" t="n">
        <x:v>856.01</x:v>
      </x:c>
      <x:c r="H144" s="88" t="n">
        <x:v>0</x:v>
      </x:c>
      <x:c r="I144" s="79" t="n">
        <x:f>G144*H144</x:f>
        <x:v>0</x:v>
      </x:c>
      <x:c r="J144" s="88" t="n">
        <x:v>0</x:v>
      </x:c>
      <x:c r="K144" s="79" t="n">
        <x:f>G144*J144</x:f>
        <x:v>0</x:v>
      </x:c>
      <x:c r="L144" s="79" t="n">
        <x:f>G144-I144-K144</x:f>
        <x:v>856.01</x:v>
      </x:c>
      <x:c r="M144" s="76" t="n">
        <x:v>856.01</x:v>
      </x:c>
      <x:c r="N144" s="79" t="n">
        <x:f>M144-L144</x:f>
        <x:v>0</x:v>
      </x:c>
      <x:c r="O144" s="67" t="str">
        <x:f>IF(ABS(N144)&lt;=1,"已对账","待核对")</x:f>
        <x:v>已对账</x:v>
      </x:c>
      <x:c r="P144" s="67" t="str">
        <x:v>S-模拟支付账单</x:v>
      </x:c>
    </x:row>
    <x:row r="145">
      <x:c r="A145" s="67" t="str">
        <x:v>PAY-00141</x:v>
      </x:c>
      <x:c r="B145" s="73" t="n">
        <x:v>46210.5</x:v>
      </x:c>
      <x:c r="C145" s="73" t="n">
        <x:v>46211.5</x:v>
      </x:c>
      <x:c r="D145" s="67" t="str">
        <x:v>S06</x:v>
      </x:c>
      <x:c r="E145" s="67" t="str">
        <x:v>蓝钻天城店</x:v>
      </x:c>
      <x:c r="F145" s="67" t="str">
        <x:v>微信支付</x:v>
      </x:c>
      <x:c r="G145" s="76" t="n">
        <x:v>3497</x:v>
      </x:c>
      <x:c r="H145" s="88" t="n">
        <x:v>0.003</x:v>
      </x:c>
      <x:c r="I145" s="79" t="n">
        <x:f>G145*H145</x:f>
        <x:v>10.491</x:v>
      </x:c>
      <x:c r="J145" s="88" t="n">
        <x:v>0.0038</x:v>
      </x:c>
      <x:c r="K145" s="79" t="n">
        <x:f>G145*J145</x:f>
        <x:v>13.2886</x:v>
      </x:c>
      <x:c r="L145" s="79" t="n">
        <x:f>G145-I145-K145</x:f>
        <x:v>3473.2204</x:v>
      </x:c>
      <x:c r="M145" s="76" t="n">
        <x:v>3473.22</x:v>
      </x:c>
      <x:c r="N145" s="79" t="n">
        <x:f>M145-L145</x:f>
        <x:v>-0.00040000000035433914</x:v>
      </x:c>
      <x:c r="O145" s="67" t="str">
        <x:f>IF(ABS(N145)&lt;=1,"已对账","待核对")</x:f>
        <x:v>已对账</x:v>
      </x:c>
      <x:c r="P145" s="67" t="str">
        <x:v>S-模拟支付账单</x:v>
      </x:c>
    </x:row>
    <x:row r="146">
      <x:c r="A146" s="67" t="str">
        <x:v>PAY-00142</x:v>
      </x:c>
      <x:c r="B146" s="73" t="n">
        <x:v>46210.5</x:v>
      </x:c>
      <x:c r="C146" s="73" t="n">
        <x:v>46211.5</x:v>
      </x:c>
      <x:c r="D146" s="67" t="str">
        <x:v>S06</x:v>
      </x:c>
      <x:c r="E146" s="67" t="str">
        <x:v>蓝钻天城店</x:v>
      </x:c>
      <x:c r="F146" s="67" t="str">
        <x:v>支付宝</x:v>
      </x:c>
      <x:c r="G146" s="76" t="n">
        <x:v>2719.89</x:v>
      </x:c>
      <x:c r="H146" s="88" t="n">
        <x:v>0.002</x:v>
      </x:c>
      <x:c r="I146" s="79" t="n">
        <x:f>G146*H146</x:f>
        <x:v>5.43978</x:v>
      </x:c>
      <x:c r="J146" s="88" t="n">
        <x:v>0.0038</x:v>
      </x:c>
      <x:c r="K146" s="79" t="n">
        <x:f>G146*J146</x:f>
        <x:v>10.335581999999999</x:v>
      </x:c>
      <x:c r="L146" s="79" t="n">
        <x:f>G146-I146-K146</x:f>
        <x:v>2704.1146379999996</x:v>
      </x:c>
      <x:c r="M146" s="76" t="n">
        <x:v>2704.11</x:v>
      </x:c>
      <x:c r="N146" s="79" t="n">
        <x:f>M146-L146</x:f>
        <x:v>-0.004637999999431486</x:v>
      </x:c>
      <x:c r="O146" s="67" t="str">
        <x:f>IF(ABS(N146)&lt;=1,"已对账","待核对")</x:f>
        <x:v>已对账</x:v>
      </x:c>
      <x:c r="P146" s="67" t="str">
        <x:v>S-模拟支付账单</x:v>
      </x:c>
    </x:row>
    <x:row r="147">
      <x:c r="A147" s="67" t="str">
        <x:v>PAY-00143</x:v>
      </x:c>
      <x:c r="B147" s="73" t="n">
        <x:v>46210.5</x:v>
      </x:c>
      <x:c r="C147" s="73" t="n">
        <x:v>46211.5</x:v>
      </x:c>
      <x:c r="D147" s="67" t="str">
        <x:v>S06</x:v>
      </x:c>
      <x:c r="E147" s="67" t="str">
        <x:v>蓝钻天城店</x:v>
      </x:c>
      <x:c r="F147" s="67" t="str">
        <x:v>银行卡</x:v>
      </x:c>
      <x:c r="G147" s="76" t="n">
        <x:v>777.11</x:v>
      </x:c>
      <x:c r="H147" s="88" t="n">
        <x:v>0.001</x:v>
      </x:c>
      <x:c r="I147" s="79" t="n">
        <x:f>G147*H147</x:f>
        <x:v>0.7771100000000001</x:v>
      </x:c>
      <x:c r="J147" s="88" t="n">
        <x:v>0.005</x:v>
      </x:c>
      <x:c r="K147" s="79" t="n">
        <x:f>G147*J147</x:f>
        <x:v>3.8855500000000003</x:v>
      </x:c>
      <x:c r="L147" s="79" t="n">
        <x:f>G147-I147-K147</x:f>
        <x:v>772.44734</x:v>
      </x:c>
      <x:c r="M147" s="76" t="n">
        <x:v>772.44</x:v>
      </x:c>
      <x:c r="N147" s="79" t="n">
        <x:f>M147-L147</x:f>
        <x:v>-0.007339999999999236</x:v>
      </x:c>
      <x:c r="O147" s="67" t="str">
        <x:f>IF(ABS(N147)&lt;=1,"已对账","待核对")</x:f>
        <x:v>已对账</x:v>
      </x:c>
      <x:c r="P147" s="67" t="str">
        <x:v>S-模拟支付账单</x:v>
      </x:c>
    </x:row>
    <x:row r="148">
      <x:c r="A148" s="67" t="str">
        <x:v>PAY-00144</x:v>
      </x:c>
      <x:c r="B148" s="73" t="n">
        <x:v>46210.5</x:v>
      </x:c>
      <x:c r="C148" s="73" t="n">
        <x:v>46210.5</x:v>
      </x:c>
      <x:c r="D148" s="67" t="str">
        <x:v>S06</x:v>
      </x:c>
      <x:c r="E148" s="67" t="str">
        <x:v>蓝钻天城店</x:v>
      </x:c>
      <x:c r="F148" s="67" t="str">
        <x:v>现金</x:v>
      </x:c>
      <x:c r="G148" s="76" t="n">
        <x:v>777.11</x:v>
      </x:c>
      <x:c r="H148" s="88" t="n">
        <x:v>0</x:v>
      </x:c>
      <x:c r="I148" s="79" t="n">
        <x:f>G148*H148</x:f>
        <x:v>0</x:v>
      </x:c>
      <x:c r="J148" s="88" t="n">
        <x:v>0</x:v>
      </x:c>
      <x:c r="K148" s="79" t="n">
        <x:f>G148*J148</x:f>
        <x:v>0</x:v>
      </x:c>
      <x:c r="L148" s="79" t="n">
        <x:f>G148-I148-K148</x:f>
        <x:v>777.11</x:v>
      </x:c>
      <x:c r="M148" s="76" t="n">
        <x:v>777.11</x:v>
      </x:c>
      <x:c r="N148" s="79" t="n">
        <x:f>M148-L148</x:f>
        <x:v>0</x:v>
      </x:c>
      <x:c r="O148" s="67" t="str">
        <x:f>IF(ABS(N148)&lt;=1,"已对账","待核对")</x:f>
        <x:v>已对账</x:v>
      </x:c>
      <x:c r="P148" s="67" t="str">
        <x:v>S-模拟支付账单</x:v>
      </x:c>
    </x:row>
    <x:row r="149">
      <x:c r="A149" s="67" t="str">
        <x:v>PAY-00145</x:v>
      </x:c>
      <x:c r="B149" s="73" t="n">
        <x:v>46211.5</x:v>
      </x:c>
      <x:c r="C149" s="73" t="n">
        <x:v>46212.5</x:v>
      </x:c>
      <x:c r="D149" s="67" t="str">
        <x:v>S06</x:v>
      </x:c>
      <x:c r="E149" s="67" t="str">
        <x:v>蓝钻天城店</x:v>
      </x:c>
      <x:c r="F149" s="67" t="str">
        <x:v>微信支付</x:v>
      </x:c>
      <x:c r="G149" s="76" t="n">
        <x:v>3402.23</x:v>
      </x:c>
      <x:c r="H149" s="88" t="n">
        <x:v>0.003</x:v>
      </x:c>
      <x:c r="I149" s="79" t="n">
        <x:f>G149*H149</x:f>
        <x:v>10.20669</x:v>
      </x:c>
      <x:c r="J149" s="88" t="n">
        <x:v>0.0038</x:v>
      </x:c>
      <x:c r="K149" s="79" t="n">
        <x:f>G149*J149</x:f>
        <x:v>12.928474</x:v>
      </x:c>
      <x:c r="L149" s="79" t="n">
        <x:f>G149-I149-K149</x:f>
        <x:v>3379.094836</x:v>
      </x:c>
      <x:c r="M149" s="76" t="n">
        <x:v>3379.09</x:v>
      </x:c>
      <x:c r="N149" s="79" t="n">
        <x:f>M149-L149</x:f>
        <x:v>-0.004836000000068452</x:v>
      </x:c>
      <x:c r="O149" s="67" t="str">
        <x:f>IF(ABS(N149)&lt;=1,"已对账","待核对")</x:f>
        <x:v>已对账</x:v>
      </x:c>
      <x:c r="P149" s="67" t="str">
        <x:v>S-模拟支付账单</x:v>
      </x:c>
    </x:row>
    <x:row r="150">
      <x:c r="A150" s="67" t="str">
        <x:v>PAY-00146</x:v>
      </x:c>
      <x:c r="B150" s="73" t="n">
        <x:v>46211.5</x:v>
      </x:c>
      <x:c r="C150" s="73" t="n">
        <x:v>46212.5</x:v>
      </x:c>
      <x:c r="D150" s="67" t="str">
        <x:v>S06</x:v>
      </x:c>
      <x:c r="E150" s="67" t="str">
        <x:v>蓝钻天城店</x:v>
      </x:c>
      <x:c r="F150" s="67" t="str">
        <x:v>支付宝</x:v>
      </x:c>
      <x:c r="G150" s="76" t="n">
        <x:v>2646.18</x:v>
      </x:c>
      <x:c r="H150" s="88" t="n">
        <x:v>0.002</x:v>
      </x:c>
      <x:c r="I150" s="79" t="n">
        <x:f>G150*H150</x:f>
        <x:v>5.2923599999999995</x:v>
      </x:c>
      <x:c r="J150" s="88" t="n">
        <x:v>0.0038</x:v>
      </x:c>
      <x:c r="K150" s="79" t="n">
        <x:f>G150*J150</x:f>
        <x:v>10.055484</x:v>
      </x:c>
      <x:c r="L150" s="79" t="n">
        <x:f>G150-I150-K150</x:f>
        <x:v>2630.832156</x:v>
      </x:c>
      <x:c r="M150" s="76" t="n">
        <x:v>2630.83</x:v>
      </x:c>
      <x:c r="N150" s="79" t="n">
        <x:f>M150-L150</x:f>
        <x:v>-0.0021560000000135915</x:v>
      </x:c>
      <x:c r="O150" s="67" t="str">
        <x:f>IF(ABS(N150)&lt;=1,"已对账","待核对")</x:f>
        <x:v>已对账</x:v>
      </x:c>
      <x:c r="P150" s="67" t="str">
        <x:v>S-模拟支付账单</x:v>
      </x:c>
    </x:row>
    <x:row r="151">
      <x:c r="A151" s="67" t="str">
        <x:v>PAY-00147</x:v>
      </x:c>
      <x:c r="B151" s="73" t="n">
        <x:v>46211.5</x:v>
      </x:c>
      <x:c r="C151" s="73" t="n">
        <x:v>46212.5</x:v>
      </x:c>
      <x:c r="D151" s="67" t="str">
        <x:v>S06</x:v>
      </x:c>
      <x:c r="E151" s="67" t="str">
        <x:v>蓝钻天城店</x:v>
      </x:c>
      <x:c r="F151" s="67" t="str">
        <x:v>银行卡</x:v>
      </x:c>
      <x:c r="G151" s="76" t="n">
        <x:v>756.05</x:v>
      </x:c>
      <x:c r="H151" s="88" t="n">
        <x:v>0.001</x:v>
      </x:c>
      <x:c r="I151" s="79" t="n">
        <x:f>G151*H151</x:f>
        <x:v>0.75605</x:v>
      </x:c>
      <x:c r="J151" s="88" t="n">
        <x:v>0.005</x:v>
      </x:c>
      <x:c r="K151" s="79" t="n">
        <x:f>G151*J151</x:f>
        <x:v>3.7802499999999997</x:v>
      </x:c>
      <x:c r="L151" s="79" t="n">
        <x:f>G151-I151-K151</x:f>
        <x:v>751.5137</x:v>
      </x:c>
      <x:c r="M151" s="76" t="n">
        <x:v>751.51</x:v>
      </x:c>
      <x:c r="N151" s="79" t="n">
        <x:f>M151-L151</x:f>
        <x:v>-0.0036999999999807187</x:v>
      </x:c>
      <x:c r="O151" s="67" t="str">
        <x:f>IF(ABS(N151)&lt;=1,"已对账","待核对")</x:f>
        <x:v>已对账</x:v>
      </x:c>
      <x:c r="P151" s="67" t="str">
        <x:v>S-模拟支付账单</x:v>
      </x:c>
    </x:row>
    <x:row r="152">
      <x:c r="A152" s="67" t="str">
        <x:v>PAY-00148</x:v>
      </x:c>
      <x:c r="B152" s="73" t="n">
        <x:v>46211.5</x:v>
      </x:c>
      <x:c r="C152" s="73" t="n">
        <x:v>46211.5</x:v>
      </x:c>
      <x:c r="D152" s="67" t="str">
        <x:v>S06</x:v>
      </x:c>
      <x:c r="E152" s="67" t="str">
        <x:v>蓝钻天城店</x:v>
      </x:c>
      <x:c r="F152" s="67" t="str">
        <x:v>现金</x:v>
      </x:c>
      <x:c r="G152" s="76" t="n">
        <x:v>756.05</x:v>
      </x:c>
      <x:c r="H152" s="88" t="n">
        <x:v>0</x:v>
      </x:c>
      <x:c r="I152" s="79" t="n">
        <x:f>G152*H152</x:f>
        <x:v>0</x:v>
      </x:c>
      <x:c r="J152" s="88" t="n">
        <x:v>0</x:v>
      </x:c>
      <x:c r="K152" s="79" t="n">
        <x:f>G152*J152</x:f>
        <x:v>0</x:v>
      </x:c>
      <x:c r="L152" s="79" t="n">
        <x:f>G152-I152-K152</x:f>
        <x:v>756.05</x:v>
      </x:c>
      <x:c r="M152" s="76" t="n">
        <x:v>756.05</x:v>
      </x:c>
      <x:c r="N152" s="79" t="n">
        <x:f>M152-L152</x:f>
        <x:v>0</x:v>
      </x:c>
      <x:c r="O152" s="67" t="str">
        <x:f>IF(ABS(N152)&lt;=1,"已对账","待核对")</x:f>
        <x:v>已对账</x:v>
      </x:c>
      <x:c r="P152" s="67" t="str">
        <x:v>S-模拟支付账单</x:v>
      </x:c>
    </x:row>
    <x:row r="153">
      <x:c r="A153" s="67" t="str">
        <x:v>PAY-00149</x:v>
      </x:c>
      <x:c r="B153" s="73" t="n">
        <x:v>46212.5</x:v>
      </x:c>
      <x:c r="C153" s="73" t="n">
        <x:v>46213.5</x:v>
      </x:c>
      <x:c r="D153" s="67" t="str">
        <x:v>S06</x:v>
      </x:c>
      <x:c r="E153" s="67" t="str">
        <x:v>蓝钻天城店</x:v>
      </x:c>
      <x:c r="F153" s="67" t="str">
        <x:v>微信支付</x:v>
      </x:c>
      <x:c r="G153" s="76" t="n">
        <x:v>3334.1</x:v>
      </x:c>
      <x:c r="H153" s="88" t="n">
        <x:v>0.003</x:v>
      </x:c>
      <x:c r="I153" s="79" t="n">
        <x:f>G153*H153</x:f>
        <x:v>10.0023</x:v>
      </x:c>
      <x:c r="J153" s="88" t="n">
        <x:v>0.0038</x:v>
      </x:c>
      <x:c r="K153" s="79" t="n">
        <x:f>G153*J153</x:f>
        <x:v>12.66958</x:v>
      </x:c>
      <x:c r="L153" s="79" t="n">
        <x:f>G153-I153-K153</x:f>
        <x:v>3311.4281199999996</x:v>
      </x:c>
      <x:c r="M153" s="76" t="n">
        <x:v>3311.43</x:v>
      </x:c>
      <x:c r="N153" s="79" t="n">
        <x:f>M153-L153</x:f>
        <x:v>0.0018800000002556772</x:v>
      </x:c>
      <x:c r="O153" s="67" t="str">
        <x:f>IF(ABS(N153)&lt;=1,"已对账","待核对")</x:f>
        <x:v>已对账</x:v>
      </x:c>
      <x:c r="P153" s="67" t="str">
        <x:v>S-模拟支付账单</x:v>
      </x:c>
    </x:row>
    <x:row r="154">
      <x:c r="A154" s="67" t="str">
        <x:v>PAY-00150</x:v>
      </x:c>
      <x:c r="B154" s="73" t="n">
        <x:v>46212.5</x:v>
      </x:c>
      <x:c r="C154" s="73" t="n">
        <x:v>46213.5</x:v>
      </x:c>
      <x:c r="D154" s="67" t="str">
        <x:v>S06</x:v>
      </x:c>
      <x:c r="E154" s="67" t="str">
        <x:v>蓝钻天城店</x:v>
      </x:c>
      <x:c r="F154" s="67" t="str">
        <x:v>支付宝</x:v>
      </x:c>
      <x:c r="G154" s="76" t="n">
        <x:v>2593.19</x:v>
      </x:c>
      <x:c r="H154" s="88" t="n">
        <x:v>0.002</x:v>
      </x:c>
      <x:c r="I154" s="79" t="n">
        <x:f>G154*H154</x:f>
        <x:v>5.186380000000001</x:v>
      </x:c>
      <x:c r="J154" s="88" t="n">
        <x:v>0.0038</x:v>
      </x:c>
      <x:c r="K154" s="79" t="n">
        <x:f>G154*J154</x:f>
        <x:v>9.854122</x:v>
      </x:c>
      <x:c r="L154" s="79" t="n">
        <x:f>G154-I154-K154</x:f>
        <x:v>2578.1494979999998</x:v>
      </x:c>
      <x:c r="M154" s="76" t="n">
        <x:v>2578.15</x:v>
      </x:c>
      <x:c r="N154" s="79" t="n">
        <x:f>M154-L154</x:f>
        <x:v>0.0005020000003241876</x:v>
      </x:c>
      <x:c r="O154" s="67" t="str">
        <x:f>IF(ABS(N154)&lt;=1,"已对账","待核对")</x:f>
        <x:v>已对账</x:v>
      </x:c>
      <x:c r="P154" s="67" t="str">
        <x:v>S-模拟支付账单</x:v>
      </x:c>
    </x:row>
    <x:row r="155">
      <x:c r="A155" s="67" t="str">
        <x:v>PAY-00151</x:v>
      </x:c>
      <x:c r="B155" s="73" t="n">
        <x:v>46212.5</x:v>
      </x:c>
      <x:c r="C155" s="73" t="n">
        <x:v>46213.5</x:v>
      </x:c>
      <x:c r="D155" s="67" t="str">
        <x:v>S06</x:v>
      </x:c>
      <x:c r="E155" s="67" t="str">
        <x:v>蓝钻天城店</x:v>
      </x:c>
      <x:c r="F155" s="67" t="str">
        <x:v>银行卡</x:v>
      </x:c>
      <x:c r="G155" s="76" t="n">
        <x:v>740.91</x:v>
      </x:c>
      <x:c r="H155" s="88" t="n">
        <x:v>0.001</x:v>
      </x:c>
      <x:c r="I155" s="79" t="n">
        <x:f>G155*H155</x:f>
        <x:v>0.74091</x:v>
      </x:c>
      <x:c r="J155" s="88" t="n">
        <x:v>0.005</x:v>
      </x:c>
      <x:c r="K155" s="79" t="n">
        <x:f>G155*J155</x:f>
        <x:v>3.70455</x:v>
      </x:c>
      <x:c r="L155" s="79" t="n">
        <x:f>G155-I155-K155</x:f>
        <x:v>736.4645399999999</x:v>
      </x:c>
      <x:c r="M155" s="76" t="n">
        <x:v>736.47</x:v>
      </x:c>
      <x:c r="N155" s="79" t="n">
        <x:f>M155-L155</x:f>
        <x:v>0.005460000000084619</x:v>
      </x:c>
      <x:c r="O155" s="67" t="str">
        <x:f>IF(ABS(N155)&lt;=1,"已对账","待核对")</x:f>
        <x:v>已对账</x:v>
      </x:c>
      <x:c r="P155" s="67" t="str">
        <x:v>S-模拟支付账单</x:v>
      </x:c>
    </x:row>
    <x:row r="156">
      <x:c r="A156" s="67" t="str">
        <x:v>PAY-00152</x:v>
      </x:c>
      <x:c r="B156" s="73" t="n">
        <x:v>46212.5</x:v>
      </x:c>
      <x:c r="C156" s="73" t="n">
        <x:v>46212.5</x:v>
      </x:c>
      <x:c r="D156" s="67" t="str">
        <x:v>S06</x:v>
      </x:c>
      <x:c r="E156" s="67" t="str">
        <x:v>蓝钻天城店</x:v>
      </x:c>
      <x:c r="F156" s="67" t="str">
        <x:v>现金</x:v>
      </x:c>
      <x:c r="G156" s="76" t="n">
        <x:v>740.91</x:v>
      </x:c>
      <x:c r="H156" s="88" t="n">
        <x:v>0</x:v>
      </x:c>
      <x:c r="I156" s="79" t="n">
        <x:f>G156*H156</x:f>
        <x:v>0</x:v>
      </x:c>
      <x:c r="J156" s="88" t="n">
        <x:v>0</x:v>
      </x:c>
      <x:c r="K156" s="79" t="n">
        <x:f>G156*J156</x:f>
        <x:v>0</x:v>
      </x:c>
      <x:c r="L156" s="79" t="n">
        <x:f>G156-I156-K156</x:f>
        <x:v>740.91</x:v>
      </x:c>
      <x:c r="M156" s="76" t="n">
        <x:v>740.91</x:v>
      </x:c>
      <x:c r="N156" s="79" t="n">
        <x:f>M156-L156</x:f>
        <x:v>0</x:v>
      </x:c>
      <x:c r="O156" s="67" t="str">
        <x:f>IF(ABS(N156)&lt;=1,"已对账","待核对")</x:f>
        <x:v>已对账</x:v>
      </x:c>
      <x:c r="P156" s="67" t="str">
        <x:v>S-模拟支付账单</x:v>
      </x:c>
    </x:row>
    <x:row r="157">
      <x:c r="A157" s="67" t="str">
        <x:v>PAY-00153</x:v>
      </x:c>
      <x:c r="B157" s="73" t="n">
        <x:v>46213.5</x:v>
      </x:c>
      <x:c r="C157" s="73" t="n">
        <x:v>46214.5</x:v>
      </x:c>
      <x:c r="D157" s="67" t="str">
        <x:v>S06</x:v>
      </x:c>
      <x:c r="E157" s="67" t="str">
        <x:v>蓝钻天城店</x:v>
      </x:c>
      <x:c r="F157" s="67" t="str">
        <x:v>微信支付</x:v>
      </x:c>
      <x:c r="G157" s="76" t="n">
        <x:v>3468.92</x:v>
      </x:c>
      <x:c r="H157" s="88" t="n">
        <x:v>0.003</x:v>
      </x:c>
      <x:c r="I157" s="79" t="n">
        <x:f>G157*H157</x:f>
        <x:v>10.40676</x:v>
      </x:c>
      <x:c r="J157" s="88" t="n">
        <x:v>0.0038</x:v>
      </x:c>
      <x:c r="K157" s="79" t="n">
        <x:f>G157*J157</x:f>
        <x:v>13.181896</x:v>
      </x:c>
      <x:c r="L157" s="79" t="n">
        <x:f>G157-I157-K157</x:f>
        <x:v>3445.331344</x:v>
      </x:c>
      <x:c r="M157" s="76" t="n">
        <x:v>3445.33</x:v>
      </x:c>
      <x:c r="N157" s="79" t="n">
        <x:f>M157-L157</x:f>
        <x:v>-0.001344000000244705</x:v>
      </x:c>
      <x:c r="O157" s="67" t="str">
        <x:f>IF(ABS(N157)&lt;=1,"已对账","待核对")</x:f>
        <x:v>已对账</x:v>
      </x:c>
      <x:c r="P157" s="67" t="str">
        <x:v>S-模拟支付账单</x:v>
      </x:c>
    </x:row>
    <x:row r="158">
      <x:c r="A158" s="67" t="str">
        <x:v>PAY-00154</x:v>
      </x:c>
      <x:c r="B158" s="73" t="n">
        <x:v>46213.5</x:v>
      </x:c>
      <x:c r="C158" s="73" t="n">
        <x:v>46214.5</x:v>
      </x:c>
      <x:c r="D158" s="67" t="str">
        <x:v>S06</x:v>
      </x:c>
      <x:c r="E158" s="67" t="str">
        <x:v>蓝钻天城店</x:v>
      </x:c>
      <x:c r="F158" s="67" t="str">
        <x:v>支付宝</x:v>
      </x:c>
      <x:c r="G158" s="76" t="n">
        <x:v>2698.04</x:v>
      </x:c>
      <x:c r="H158" s="88" t="n">
        <x:v>0.002</x:v>
      </x:c>
      <x:c r="I158" s="79" t="n">
        <x:f>G158*H158</x:f>
        <x:v>5.39608</x:v>
      </x:c>
      <x:c r="J158" s="88" t="n">
        <x:v>0.0038</x:v>
      </x:c>
      <x:c r="K158" s="79" t="n">
        <x:f>G158*J158</x:f>
        <x:v>10.252552</x:v>
      </x:c>
      <x:c r="L158" s="79" t="n">
        <x:f>G158-I158-K158</x:f>
        <x:v>2682.391368</x:v>
      </x:c>
      <x:c r="M158" s="76" t="n">
        <x:v>2682.39</x:v>
      </x:c>
      <x:c r="N158" s="79" t="n">
        <x:f>M158-L158</x:f>
        <x:v>-0.0013680000001841108</x:v>
      </x:c>
      <x:c r="O158" s="67" t="str">
        <x:f>IF(ABS(N158)&lt;=1,"已对账","待核对")</x:f>
        <x:v>已对账</x:v>
      </x:c>
      <x:c r="P158" s="67" t="str">
        <x:v>S-模拟支付账单</x:v>
      </x:c>
    </x:row>
    <x:row r="159">
      <x:c r="A159" s="67" t="str">
        <x:v>PAY-00155</x:v>
      </x:c>
      <x:c r="B159" s="73" t="n">
        <x:v>46213.5</x:v>
      </x:c>
      <x:c r="C159" s="73" t="n">
        <x:v>46214.5</x:v>
      </x:c>
      <x:c r="D159" s="67" t="str">
        <x:v>S06</x:v>
      </x:c>
      <x:c r="E159" s="67" t="str">
        <x:v>蓝钻天城店</x:v>
      </x:c>
      <x:c r="F159" s="67" t="str">
        <x:v>银行卡</x:v>
      </x:c>
      <x:c r="G159" s="76" t="n">
        <x:v>770.87</x:v>
      </x:c>
      <x:c r="H159" s="88" t="n">
        <x:v>0.001</x:v>
      </x:c>
      <x:c r="I159" s="79" t="n">
        <x:f>G159*H159</x:f>
        <x:v>0.77087</x:v>
      </x:c>
      <x:c r="J159" s="88" t="n">
        <x:v>0.005</x:v>
      </x:c>
      <x:c r="K159" s="79" t="n">
        <x:f>G159*J159</x:f>
        <x:v>3.85435</x:v>
      </x:c>
      <x:c r="L159" s="79" t="n">
        <x:f>G159-I159-K159</x:f>
        <x:v>766.2447800000001</x:v>
      </x:c>
      <x:c r="M159" s="76" t="n">
        <x:v>766.25</x:v>
      </x:c>
      <x:c r="N159" s="79" t="n">
        <x:f>M159-L159</x:f>
        <x:v>0.005219999999894753</x:v>
      </x:c>
      <x:c r="O159" s="67" t="str">
        <x:f>IF(ABS(N159)&lt;=1,"已对账","待核对")</x:f>
        <x:v>已对账</x:v>
      </x:c>
      <x:c r="P159" s="67" t="str">
        <x:v>S-模拟支付账单</x:v>
      </x:c>
    </x:row>
    <x:row r="160">
      <x:c r="A160" s="67" t="str">
        <x:v>PAY-00156</x:v>
      </x:c>
      <x:c r="B160" s="73" t="n">
        <x:v>46213.5</x:v>
      </x:c>
      <x:c r="C160" s="73" t="n">
        <x:v>46213.5</x:v>
      </x:c>
      <x:c r="D160" s="67" t="str">
        <x:v>S06</x:v>
      </x:c>
      <x:c r="E160" s="67" t="str">
        <x:v>蓝钻天城店</x:v>
      </x:c>
      <x:c r="F160" s="67" t="str">
        <x:v>现金</x:v>
      </x:c>
      <x:c r="G160" s="76" t="n">
        <x:v>770.87</x:v>
      </x:c>
      <x:c r="H160" s="88" t="n">
        <x:v>0</x:v>
      </x:c>
      <x:c r="I160" s="79" t="n">
        <x:f>G160*H160</x:f>
        <x:v>0</x:v>
      </x:c>
      <x:c r="J160" s="88" t="n">
        <x:v>0</x:v>
      </x:c>
      <x:c r="K160" s="79" t="n">
        <x:f>G160*J160</x:f>
        <x:v>0</x:v>
      </x:c>
      <x:c r="L160" s="79" t="n">
        <x:f>G160-I160-K160</x:f>
        <x:v>770.87</x:v>
      </x:c>
      <x:c r="M160" s="76" t="n">
        <x:v>770.87</x:v>
      </x:c>
      <x:c r="N160" s="79" t="n">
        <x:f>M160-L160</x:f>
        <x:v>0</x:v>
      </x:c>
      <x:c r="O160" s="67" t="str">
        <x:f>IF(ABS(N160)&lt;=1,"已对账","待核对")</x:f>
        <x:v>已对账</x:v>
      </x:c>
      <x:c r="P160" s="67" t="str">
        <x:v>S-模拟支付账单</x:v>
      </x:c>
    </x:row>
    <x:row r="161">
      <x:c r="A161" s="67" t="str">
        <x:v>PAY-00157</x:v>
      </x:c>
      <x:c r="B161" s="73" t="n">
        <x:v>46214.5</x:v>
      </x:c>
      <x:c r="C161" s="73" t="n">
        <x:v>46215.5</x:v>
      </x:c>
      <x:c r="D161" s="67" t="str">
        <x:v>S06</x:v>
      </x:c>
      <x:c r="E161" s="67" t="str">
        <x:v>蓝钻天城店</x:v>
      </x:c>
      <x:c r="F161" s="67" t="str">
        <x:v>微信支付</x:v>
      </x:c>
      <x:c r="G161" s="76" t="n">
        <x:v>2656.49</x:v>
      </x:c>
      <x:c r="H161" s="88" t="n">
        <x:v>0.003</x:v>
      </x:c>
      <x:c r="I161" s="79" t="n">
        <x:f>G161*H161</x:f>
        <x:v>7.969469999999999</x:v>
      </x:c>
      <x:c r="J161" s="88" t="n">
        <x:v>0.0038</x:v>
      </x:c>
      <x:c r="K161" s="79" t="n">
        <x:f>G161*J161</x:f>
        <x:v>10.094662</x:v>
      </x:c>
      <x:c r="L161" s="79" t="n">
        <x:f>G161-I161-K161</x:f>
        <x:v>2638.425868</x:v>
      </x:c>
      <x:c r="M161" s="76" t="n">
        <x:v>2638.43</x:v>
      </x:c>
      <x:c r="N161" s="79" t="n">
        <x:f>M161-L161</x:f>
        <x:v>0.004132000000026892</x:v>
      </x:c>
      <x:c r="O161" s="67" t="str">
        <x:f>IF(ABS(N161)&lt;=1,"已对账","待核对")</x:f>
        <x:v>已对账</x:v>
      </x:c>
      <x:c r="P161" s="67" t="str">
        <x:v>S-模拟支付账单</x:v>
      </x:c>
    </x:row>
    <x:row r="162">
      <x:c r="A162" s="67" t="str">
        <x:v>PAY-00158</x:v>
      </x:c>
      <x:c r="B162" s="73" t="n">
        <x:v>46214.5</x:v>
      </x:c>
      <x:c r="C162" s="73" t="n">
        <x:v>46215.5</x:v>
      </x:c>
      <x:c r="D162" s="67" t="str">
        <x:v>S06</x:v>
      </x:c>
      <x:c r="E162" s="67" t="str">
        <x:v>蓝钻天城店</x:v>
      </x:c>
      <x:c r="F162" s="67" t="str">
        <x:v>支付宝</x:v>
      </x:c>
      <x:c r="G162" s="76" t="n">
        <x:v>2066.15</x:v>
      </x:c>
      <x:c r="H162" s="88" t="n">
        <x:v>0.002</x:v>
      </x:c>
      <x:c r="I162" s="79" t="n">
        <x:f>G162*H162</x:f>
        <x:v>4.1323</x:v>
      </x:c>
      <x:c r="J162" s="88" t="n">
        <x:v>0.0038</x:v>
      </x:c>
      <x:c r="K162" s="79" t="n">
        <x:f>G162*J162</x:f>
        <x:v>7.85137</x:v>
      </x:c>
      <x:c r="L162" s="79" t="n">
        <x:f>G162-I162-K162</x:f>
        <x:v>2054.16633</x:v>
      </x:c>
      <x:c r="M162" s="76" t="n">
        <x:v>2054.17</x:v>
      </x:c>
      <x:c r="N162" s="79" t="n">
        <x:f>M162-L162</x:f>
        <x:v>0.0036700000000564614</x:v>
      </x:c>
      <x:c r="O162" s="67" t="str">
        <x:f>IF(ABS(N162)&lt;=1,"已对账","待核对")</x:f>
        <x:v>已对账</x:v>
      </x:c>
      <x:c r="P162" s="67" t="str">
        <x:v>S-模拟支付账单</x:v>
      </x:c>
    </x:row>
    <x:row r="163">
      <x:c r="A163" s="67" t="str">
        <x:v>PAY-00159</x:v>
      </x:c>
      <x:c r="B163" s="73" t="n">
        <x:v>46214.5</x:v>
      </x:c>
      <x:c r="C163" s="73" t="n">
        <x:v>46215.5</x:v>
      </x:c>
      <x:c r="D163" s="67" t="str">
        <x:v>S06</x:v>
      </x:c>
      <x:c r="E163" s="67" t="str">
        <x:v>蓝钻天城店</x:v>
      </x:c>
      <x:c r="F163" s="67" t="str">
        <x:v>银行卡</x:v>
      </x:c>
      <x:c r="G163" s="76" t="n">
        <x:v>590.33</x:v>
      </x:c>
      <x:c r="H163" s="88" t="n">
        <x:v>0.001</x:v>
      </x:c>
      <x:c r="I163" s="79" t="n">
        <x:f>G163*H163</x:f>
        <x:v>0.59033</x:v>
      </x:c>
      <x:c r="J163" s="88" t="n">
        <x:v>0.005</x:v>
      </x:c>
      <x:c r="K163" s="79" t="n">
        <x:f>G163*J163</x:f>
        <x:v>2.9516500000000003</x:v>
      </x:c>
      <x:c r="L163" s="79" t="n">
        <x:f>G163-I163-K163</x:f>
        <x:v>586.7880200000001</x:v>
      </x:c>
      <x:c r="M163" s="76" t="n">
        <x:v>586.79</x:v>
      </x:c>
      <x:c r="N163" s="79" t="n">
        <x:f>M163-L163</x:f>
        <x:v>0.0019799999998895146</x:v>
      </x:c>
      <x:c r="O163" s="67" t="str">
        <x:f>IF(ABS(N163)&lt;=1,"已对账","待核对")</x:f>
        <x:v>已对账</x:v>
      </x:c>
      <x:c r="P163" s="67" t="str">
        <x:v>S-模拟支付账单</x:v>
      </x:c>
    </x:row>
    <x:row r="164">
      <x:c r="A164" s="67" t="str">
        <x:v>PAY-00160</x:v>
      </x:c>
      <x:c r="B164" s="73" t="n">
        <x:v>46214.5</x:v>
      </x:c>
      <x:c r="C164" s="73" t="n">
        <x:v>46214.5</x:v>
      </x:c>
      <x:c r="D164" s="67" t="str">
        <x:v>S06</x:v>
      </x:c>
      <x:c r="E164" s="67" t="str">
        <x:v>蓝钻天城店</x:v>
      </x:c>
      <x:c r="F164" s="67" t="str">
        <x:v>现金</x:v>
      </x:c>
      <x:c r="G164" s="76" t="n">
        <x:v>590.33</x:v>
      </x:c>
      <x:c r="H164" s="88" t="n">
        <x:v>0</x:v>
      </x:c>
      <x:c r="I164" s="79" t="n">
        <x:f>G164*H164</x:f>
        <x:v>0</x:v>
      </x:c>
      <x:c r="J164" s="88" t="n">
        <x:v>0</x:v>
      </x:c>
      <x:c r="K164" s="79" t="n">
        <x:f>G164*J164</x:f>
        <x:v>0</x:v>
      </x:c>
      <x:c r="L164" s="79" t="n">
        <x:f>G164-I164-K164</x:f>
        <x:v>590.33</x:v>
      </x:c>
      <x:c r="M164" s="76" t="n">
        <x:v>590.33</x:v>
      </x:c>
      <x:c r="N164" s="79" t="n">
        <x:f>M164-L164</x:f>
        <x:v>0</x:v>
      </x:c>
      <x:c r="O164" s="67" t="str">
        <x:f>IF(ABS(N164)&lt;=1,"已对账","待核对")</x:f>
        <x:v>已对账</x:v>
      </x:c>
      <x:c r="P164" s="67" t="str">
        <x:v>S-模拟支付账单</x:v>
      </x:c>
    </x:row>
    <x:row r="165">
      <x:c r="A165" s="67" t="str">
        <x:v>PAY-00161</x:v>
      </x:c>
      <x:c r="B165" s="73" t="n">
        <x:v>46215.5</x:v>
      </x:c>
      <x:c r="C165" s="73" t="n">
        <x:v>46216.5</x:v>
      </x:c>
      <x:c r="D165" s="67" t="str">
        <x:v>S06</x:v>
      </x:c>
      <x:c r="E165" s="67" t="str">
        <x:v>蓝钻天城店</x:v>
      </x:c>
      <x:c r="F165" s="67" t="str">
        <x:v>微信支付</x:v>
      </x:c>
      <x:c r="G165" s="76" t="n">
        <x:v>2591.91</x:v>
      </x:c>
      <x:c r="H165" s="88" t="n">
        <x:v>0.003</x:v>
      </x:c>
      <x:c r="I165" s="79" t="n">
        <x:f>G165*H165</x:f>
        <x:v>7.775729999999999</x:v>
      </x:c>
      <x:c r="J165" s="88" t="n">
        <x:v>0.0038</x:v>
      </x:c>
      <x:c r="K165" s="79" t="n">
        <x:f>G165*J165</x:f>
        <x:v>9.849257999999999</x:v>
      </x:c>
      <x:c r="L165" s="79" t="n">
        <x:f>G165-I165-K165</x:f>
        <x:v>2574.285012</x:v>
      </x:c>
      <x:c r="M165" s="76" t="n">
        <x:v>2574.28</x:v>
      </x:c>
      <x:c r="N165" s="79" t="n">
        <x:f>M165-L165</x:f>
        <x:v>-0.005011999999624095</x:v>
      </x:c>
      <x:c r="O165" s="67" t="str">
        <x:f>IF(ABS(N165)&lt;=1,"已对账","待核对")</x:f>
        <x:v>已对账</x:v>
      </x:c>
      <x:c r="P165" s="67" t="str">
        <x:v>S-模拟支付账单</x:v>
      </x:c>
    </x:row>
    <x:row r="166">
      <x:c r="A166" s="67" t="str">
        <x:v>PAY-00162</x:v>
      </x:c>
      <x:c r="B166" s="73" t="n">
        <x:v>46215.5</x:v>
      </x:c>
      <x:c r="C166" s="73" t="n">
        <x:v>46216.5</x:v>
      </x:c>
      <x:c r="D166" s="67" t="str">
        <x:v>S06</x:v>
      </x:c>
      <x:c r="E166" s="67" t="str">
        <x:v>蓝钻天城店</x:v>
      </x:c>
      <x:c r="F166" s="67" t="str">
        <x:v>支付宝</x:v>
      </x:c>
      <x:c r="G166" s="76" t="n">
        <x:v>2015.93</x:v>
      </x:c>
      <x:c r="H166" s="88" t="n">
        <x:v>0.002</x:v>
      </x:c>
      <x:c r="I166" s="79" t="n">
        <x:f>G166*H166</x:f>
        <x:v>4.03186</x:v>
      </x:c>
      <x:c r="J166" s="88" t="n">
        <x:v>0.0038</x:v>
      </x:c>
      <x:c r="K166" s="79" t="n">
        <x:f>G166*J166</x:f>
        <x:v>7.660534</x:v>
      </x:c>
      <x:c r="L166" s="79" t="n">
        <x:f>G166-I166-K166</x:f>
        <x:v>2004.237606</x:v>
      </x:c>
      <x:c r="M166" s="76" t="n">
        <x:v>2004.24</x:v>
      </x:c>
      <x:c r="N166" s="79" t="n">
        <x:f>M166-L166</x:f>
        <x:v>0.0023940000000948203</x:v>
      </x:c>
      <x:c r="O166" s="67" t="str">
        <x:f>IF(ABS(N166)&lt;=1,"已对账","待核对")</x:f>
        <x:v>已对账</x:v>
      </x:c>
      <x:c r="P166" s="67" t="str">
        <x:v>S-模拟支付账单</x:v>
      </x:c>
    </x:row>
    <x:row r="167">
      <x:c r="A167" s="67" t="str">
        <x:v>PAY-00163</x:v>
      </x:c>
      <x:c r="B167" s="73" t="n">
        <x:v>46215.5</x:v>
      </x:c>
      <x:c r="C167" s="73" t="n">
        <x:v>46216.5</x:v>
      </x:c>
      <x:c r="D167" s="67" t="str">
        <x:v>S06</x:v>
      </x:c>
      <x:c r="E167" s="67" t="str">
        <x:v>蓝钻天城店</x:v>
      </x:c>
      <x:c r="F167" s="67" t="str">
        <x:v>银行卡</x:v>
      </x:c>
      <x:c r="G167" s="76" t="n">
        <x:v>575.98</x:v>
      </x:c>
      <x:c r="H167" s="88" t="n">
        <x:v>0.001</x:v>
      </x:c>
      <x:c r="I167" s="79" t="n">
        <x:f>G167*H167</x:f>
        <x:v>0.57598</x:v>
      </x:c>
      <x:c r="J167" s="88" t="n">
        <x:v>0.005</x:v>
      </x:c>
      <x:c r="K167" s="79" t="n">
        <x:f>G167*J167</x:f>
        <x:v>2.8799</x:v>
      </x:c>
      <x:c r="L167" s="79" t="n">
        <x:f>G167-I167-K167</x:f>
        <x:v>572.52412</x:v>
      </x:c>
      <x:c r="M167" s="76" t="n">
        <x:v>572.52</x:v>
      </x:c>
      <x:c r="N167" s="79" t="n">
        <x:f>M167-L167</x:f>
        <x:v>-0.004120000000057189</x:v>
      </x:c>
      <x:c r="O167" s="67" t="str">
        <x:f>IF(ABS(N167)&lt;=1,"已对账","待核对")</x:f>
        <x:v>已对账</x:v>
      </x:c>
      <x:c r="P167" s="67" t="str">
        <x:v>S-模拟支付账单</x:v>
      </x:c>
    </x:row>
    <x:row r="168">
      <x:c r="A168" s="67" t="str">
        <x:v>PAY-00164</x:v>
      </x:c>
      <x:c r="B168" s="73" t="n">
        <x:v>46215.5</x:v>
      </x:c>
      <x:c r="C168" s="73" t="n">
        <x:v>46215.5</x:v>
      </x:c>
      <x:c r="D168" s="67" t="str">
        <x:v>S06</x:v>
      </x:c>
      <x:c r="E168" s="67" t="str">
        <x:v>蓝钻天城店</x:v>
      </x:c>
      <x:c r="F168" s="67" t="str">
        <x:v>现金</x:v>
      </x:c>
      <x:c r="G168" s="76" t="n">
        <x:v>575.98</x:v>
      </x:c>
      <x:c r="H168" s="88" t="n">
        <x:v>0</x:v>
      </x:c>
      <x:c r="I168" s="79" t="n">
        <x:f>G168*H168</x:f>
        <x:v>0</x:v>
      </x:c>
      <x:c r="J168" s="88" t="n">
        <x:v>0</x:v>
      </x:c>
      <x:c r="K168" s="79" t="n">
        <x:f>G168*J168</x:f>
        <x:v>0</x:v>
      </x:c>
      <x:c r="L168" s="79" t="n">
        <x:f>G168-I168-K168</x:f>
        <x:v>575.98</x:v>
      </x:c>
      <x:c r="M168" s="76" t="n">
        <x:v>575.98</x:v>
      </x:c>
      <x:c r="N168" s="79" t="n">
        <x:f>M168-L168</x:f>
        <x:v>0</x:v>
      </x:c>
      <x:c r="O168" s="67" t="str">
        <x:f>IF(ABS(N168)&lt;=1,"已对账","待核对")</x:f>
        <x:v>已对账</x:v>
      </x:c>
      <x:c r="P168" s="67" t="str">
        <x:v>S-模拟支付账单</x:v>
      </x:c>
    </x:row>
    <x:row r="169">
      <x:c r="A169" s="67" t="str">
        <x:v>PAY-00165</x:v>
      </x:c>
      <x:c r="B169" s="73" t="n">
        <x:v>46216.5</x:v>
      </x:c>
      <x:c r="C169" s="73" t="n">
        <x:v>46217.5</x:v>
      </x:c>
      <x:c r="D169" s="67" t="str">
        <x:v>S06</x:v>
      </x:c>
      <x:c r="E169" s="67" t="str">
        <x:v>蓝钻天城店</x:v>
      </x:c>
      <x:c r="F169" s="67" t="str">
        <x:v>微信支付</x:v>
      </x:c>
      <x:c r="G169" s="76" t="n">
        <x:v>3726.9</x:v>
      </x:c>
      <x:c r="H169" s="88" t="n">
        <x:v>0.003</x:v>
      </x:c>
      <x:c r="I169" s="79" t="n">
        <x:f>G169*H169</x:f>
        <x:v>11.1807</x:v>
      </x:c>
      <x:c r="J169" s="88" t="n">
        <x:v>0.0038</x:v>
      </x:c>
      <x:c r="K169" s="79" t="n">
        <x:f>G169*J169</x:f>
        <x:v>14.16222</x:v>
      </x:c>
      <x:c r="L169" s="79" t="n">
        <x:f>G169-I169-K169</x:f>
        <x:v>3701.55708</x:v>
      </x:c>
      <x:c r="M169" s="76" t="n">
        <x:v>3701.56</x:v>
      </x:c>
      <x:c r="N169" s="79" t="n">
        <x:f>M169-L169</x:f>
        <x:v>0.0029199999999036663</x:v>
      </x:c>
      <x:c r="O169" s="67" t="str">
        <x:f>IF(ABS(N169)&lt;=1,"已对账","待核对")</x:f>
        <x:v>已对账</x:v>
      </x:c>
      <x:c r="P169" s="67" t="str">
        <x:v>S-模拟支付账单</x:v>
      </x:c>
    </x:row>
    <x:row r="170">
      <x:c r="A170" s="67" t="str">
        <x:v>PAY-00166</x:v>
      </x:c>
      <x:c r="B170" s="73" t="n">
        <x:v>46216.5</x:v>
      </x:c>
      <x:c r="C170" s="73" t="n">
        <x:v>46217.5</x:v>
      </x:c>
      <x:c r="D170" s="67" t="str">
        <x:v>S06</x:v>
      </x:c>
      <x:c r="E170" s="67" t="str">
        <x:v>蓝钻天城店</x:v>
      </x:c>
      <x:c r="F170" s="67" t="str">
        <x:v>支付宝</x:v>
      </x:c>
      <x:c r="G170" s="76" t="n">
        <x:v>2898.7</x:v>
      </x:c>
      <x:c r="H170" s="88" t="n">
        <x:v>0.002</x:v>
      </x:c>
      <x:c r="I170" s="79" t="n">
        <x:f>G170*H170</x:f>
        <x:v>5.7974</x:v>
      </x:c>
      <x:c r="J170" s="88" t="n">
        <x:v>0.0038</x:v>
      </x:c>
      <x:c r="K170" s="79" t="n">
        <x:f>G170*J170</x:f>
        <x:v>11.01506</x:v>
      </x:c>
      <x:c r="L170" s="79" t="n">
        <x:f>G170-I170-K170</x:f>
        <x:v>2881.8875399999997</x:v>
      </x:c>
      <x:c r="M170" s="76" t="n">
        <x:v>2881.88</x:v>
      </x:c>
      <x:c r="N170" s="79" t="n">
        <x:f>M170-L170</x:f>
        <x:v>-0.007539999999607971</x:v>
      </x:c>
      <x:c r="O170" s="67" t="str">
        <x:f>IF(ABS(N170)&lt;=1,"已对账","待核对")</x:f>
        <x:v>已对账</x:v>
      </x:c>
      <x:c r="P170" s="67" t="str">
        <x:v>S-模拟支付账单</x:v>
      </x:c>
    </x:row>
    <x:row r="171">
      <x:c r="A171" s="67" t="str">
        <x:v>PAY-00167</x:v>
      </x:c>
      <x:c r="B171" s="73" t="n">
        <x:v>46216.5</x:v>
      </x:c>
      <x:c r="C171" s="73" t="n">
        <x:v>46217.5</x:v>
      </x:c>
      <x:c r="D171" s="67" t="str">
        <x:v>S06</x:v>
      </x:c>
      <x:c r="E171" s="67" t="str">
        <x:v>蓝钻天城店</x:v>
      </x:c>
      <x:c r="F171" s="67" t="str">
        <x:v>银行卡</x:v>
      </x:c>
      <x:c r="G171" s="76" t="n">
        <x:v>828.2</x:v>
      </x:c>
      <x:c r="H171" s="88" t="n">
        <x:v>0.001</x:v>
      </x:c>
      <x:c r="I171" s="79" t="n">
        <x:f>G171*H171</x:f>
        <x:v>0.8282</x:v>
      </x:c>
      <x:c r="J171" s="88" t="n">
        <x:v>0.005</x:v>
      </x:c>
      <x:c r="K171" s="79" t="n">
        <x:f>G171*J171</x:f>
        <x:v>4.141</x:v>
      </x:c>
      <x:c r="L171" s="79" t="n">
        <x:f>G171-I171-K171</x:f>
        <x:v>823.2308</x:v>
      </x:c>
      <x:c r="M171" s="76" t="n">
        <x:v>823.23</x:v>
      </x:c>
      <x:c r="N171" s="79" t="n">
        <x:f>M171-L171</x:f>
        <x:v>-0.0008000000000265572</x:v>
      </x:c>
      <x:c r="O171" s="67" t="str">
        <x:f>IF(ABS(N171)&lt;=1,"已对账","待核对")</x:f>
        <x:v>已对账</x:v>
      </x:c>
      <x:c r="P171" s="67" t="str">
        <x:v>S-模拟支付账单</x:v>
      </x:c>
    </x:row>
    <x:row r="172">
      <x:c r="A172" s="67" t="str">
        <x:v>PAY-00168</x:v>
      </x:c>
      <x:c r="B172" s="73" t="n">
        <x:v>46216.5</x:v>
      </x:c>
      <x:c r="C172" s="73" t="n">
        <x:v>46216.5</x:v>
      </x:c>
      <x:c r="D172" s="67" t="str">
        <x:v>S06</x:v>
      </x:c>
      <x:c r="E172" s="67" t="str">
        <x:v>蓝钻天城店</x:v>
      </x:c>
      <x:c r="F172" s="67" t="str">
        <x:v>现金</x:v>
      </x:c>
      <x:c r="G172" s="76" t="n">
        <x:v>828.2</x:v>
      </x:c>
      <x:c r="H172" s="88" t="n">
        <x:v>0</x:v>
      </x:c>
      <x:c r="I172" s="79" t="n">
        <x:f>G172*H172</x:f>
        <x:v>0</x:v>
      </x:c>
      <x:c r="J172" s="88" t="n">
        <x:v>0</x:v>
      </x:c>
      <x:c r="K172" s="79" t="n">
        <x:f>G172*J172</x:f>
        <x:v>0</x:v>
      </x:c>
      <x:c r="L172" s="79" t="n">
        <x:f>G172-I172-K172</x:f>
        <x:v>828.2</x:v>
      </x:c>
      <x:c r="M172" s="76" t="n">
        <x:v>828.2</x:v>
      </x:c>
      <x:c r="N172" s="79" t="n">
        <x:f>M172-L172</x:f>
        <x:v>0</x:v>
      </x:c>
      <x:c r="O172" s="67" t="str">
        <x:f>IF(ABS(N172)&lt;=1,"已对账","待核对")</x:f>
        <x:v>已对账</x:v>
      </x:c>
      <x:c r="P172" s="67" t="str">
        <x:v>S-模拟支付账单</x:v>
      </x:c>
    </x:row>
    <x:row r="173">
      <x:c r="A173" s="67" t="str">
        <x:v>PAY-00169</x:v>
      </x:c>
      <x:c r="B173" s="73" t="n">
        <x:v>46210.5</x:v>
      </x:c>
      <x:c r="C173" s="73" t="n">
        <x:v>46211.5</x:v>
      </x:c>
      <x:c r="D173" s="67" t="str">
        <x:v>S07</x:v>
      </x:c>
      <x:c r="E173" s="67" t="str">
        <x:v>小和山店</x:v>
      </x:c>
      <x:c r="F173" s="67" t="str">
        <x:v>微信支付</x:v>
      </x:c>
      <x:c r="G173" s="76" t="n">
        <x:v>3354.44</x:v>
      </x:c>
      <x:c r="H173" s="88" t="n">
        <x:v>0.003</x:v>
      </x:c>
      <x:c r="I173" s="79" t="n">
        <x:f>G173*H173</x:f>
        <x:v>10.063320000000001</x:v>
      </x:c>
      <x:c r="J173" s="88" t="n">
        <x:v>0.0038</x:v>
      </x:c>
      <x:c r="K173" s="79" t="n">
        <x:f>G173*J173</x:f>
        <x:v>12.746872</x:v>
      </x:c>
      <x:c r="L173" s="79" t="n">
        <x:f>G173-I173-K173</x:f>
        <x:v>3331.6298079999997</x:v>
      </x:c>
      <x:c r="M173" s="76" t="n">
        <x:v>3331.63</x:v>
      </x:c>
      <x:c r="N173" s="79" t="n">
        <x:f>M173-L173</x:f>
        <x:v>0.0001920000004247413</x:v>
      </x:c>
      <x:c r="O173" s="67" t="str">
        <x:f>IF(ABS(N173)&lt;=1,"已对账","待核对")</x:f>
        <x:v>已对账</x:v>
      </x:c>
      <x:c r="P173" s="67" t="str">
        <x:v>S-模拟支付账单</x:v>
      </x:c>
    </x:row>
    <x:row r="174">
      <x:c r="A174" s="67" t="str">
        <x:v>PAY-00170</x:v>
      </x:c>
      <x:c r="B174" s="73" t="n">
        <x:v>46210.5</x:v>
      </x:c>
      <x:c r="C174" s="73" t="n">
        <x:v>46211.5</x:v>
      </x:c>
      <x:c r="D174" s="67" t="str">
        <x:v>S07</x:v>
      </x:c>
      <x:c r="E174" s="67" t="str">
        <x:v>小和山店</x:v>
      </x:c>
      <x:c r="F174" s="67" t="str">
        <x:v>支付宝</x:v>
      </x:c>
      <x:c r="G174" s="76" t="n">
        <x:v>2609</x:v>
      </x:c>
      <x:c r="H174" s="88" t="n">
        <x:v>0.002</x:v>
      </x:c>
      <x:c r="I174" s="79" t="n">
        <x:f>G174*H174</x:f>
        <x:v>5.218</x:v>
      </x:c>
      <x:c r="J174" s="88" t="n">
        <x:v>0.0038</x:v>
      </x:c>
      <x:c r="K174" s="79" t="n">
        <x:f>G174*J174</x:f>
        <x:v>9.9142</x:v>
      </x:c>
      <x:c r="L174" s="79" t="n">
        <x:f>G174-I174-K174</x:f>
        <x:v>2593.8678</x:v>
      </x:c>
      <x:c r="M174" s="76" t="n">
        <x:v>2593.87</x:v>
      </x:c>
      <x:c r="N174" s="79" t="n">
        <x:f>M174-L174</x:f>
        <x:v>0.002199999999902502</x:v>
      </x:c>
      <x:c r="O174" s="67" t="str">
        <x:f>IF(ABS(N174)&lt;=1,"已对账","待核对")</x:f>
        <x:v>已对账</x:v>
      </x:c>
      <x:c r="P174" s="67" t="str">
        <x:v>S-模拟支付账单</x:v>
      </x:c>
    </x:row>
    <x:row r="175">
      <x:c r="A175" s="67" t="str">
        <x:v>PAY-00171</x:v>
      </x:c>
      <x:c r="B175" s="73" t="n">
        <x:v>46210.5</x:v>
      </x:c>
      <x:c r="C175" s="73" t="n">
        <x:v>46211.5</x:v>
      </x:c>
      <x:c r="D175" s="67" t="str">
        <x:v>S07</x:v>
      </x:c>
      <x:c r="E175" s="67" t="str">
        <x:v>小和山店</x:v>
      </x:c>
      <x:c r="F175" s="67" t="str">
        <x:v>银行卡</x:v>
      </x:c>
      <x:c r="G175" s="76" t="n">
        <x:v>745.43</x:v>
      </x:c>
      <x:c r="H175" s="88" t="n">
        <x:v>0.001</x:v>
      </x:c>
      <x:c r="I175" s="79" t="n">
        <x:f>G175*H175</x:f>
        <x:v>0.7454299999999999</x:v>
      </x:c>
      <x:c r="J175" s="88" t="n">
        <x:v>0.005</x:v>
      </x:c>
      <x:c r="K175" s="79" t="n">
        <x:f>G175*J175</x:f>
        <x:v>3.72715</x:v>
      </x:c>
      <x:c r="L175" s="79" t="n">
        <x:f>G175-I175-K175</x:f>
        <x:v>740.9574199999998</x:v>
      </x:c>
      <x:c r="M175" s="76" t="n">
        <x:v>740.95</x:v>
      </x:c>
      <x:c r="N175" s="79" t="n">
        <x:f>M175-L175</x:f>
        <x:v>-0.0074199999997972554</x:v>
      </x:c>
      <x:c r="O175" s="67" t="str">
        <x:f>IF(ABS(N175)&lt;=1,"已对账","待核对")</x:f>
        <x:v>已对账</x:v>
      </x:c>
      <x:c r="P175" s="67" t="str">
        <x:v>S-模拟支付账单</x:v>
      </x:c>
    </x:row>
    <x:row r="176">
      <x:c r="A176" s="67" t="str">
        <x:v>PAY-00172</x:v>
      </x:c>
      <x:c r="B176" s="73" t="n">
        <x:v>46210.5</x:v>
      </x:c>
      <x:c r="C176" s="73" t="n">
        <x:v>46210.5</x:v>
      </x:c>
      <x:c r="D176" s="67" t="str">
        <x:v>S07</x:v>
      </x:c>
      <x:c r="E176" s="67" t="str">
        <x:v>小和山店</x:v>
      </x:c>
      <x:c r="F176" s="67" t="str">
        <x:v>现金</x:v>
      </x:c>
      <x:c r="G176" s="76" t="n">
        <x:v>745.43</x:v>
      </x:c>
      <x:c r="H176" s="88" t="n">
        <x:v>0</x:v>
      </x:c>
      <x:c r="I176" s="79" t="n">
        <x:f>G176*H176</x:f>
        <x:v>0</x:v>
      </x:c>
      <x:c r="J176" s="88" t="n">
        <x:v>0</x:v>
      </x:c>
      <x:c r="K176" s="79" t="n">
        <x:f>G176*J176</x:f>
        <x:v>0</x:v>
      </x:c>
      <x:c r="L176" s="79" t="n">
        <x:f>G176-I176-K176</x:f>
        <x:v>745.43</x:v>
      </x:c>
      <x:c r="M176" s="76" t="n">
        <x:v>745.43</x:v>
      </x:c>
      <x:c r="N176" s="79" t="n">
        <x:f>M176-L176</x:f>
        <x:v>0</x:v>
      </x:c>
      <x:c r="O176" s="67" t="str">
        <x:f>IF(ABS(N176)&lt;=1,"已对账","待核对")</x:f>
        <x:v>已对账</x:v>
      </x:c>
      <x:c r="P176" s="67" t="str">
        <x:v>S-模拟支付账单</x:v>
      </x:c>
    </x:row>
    <x:row r="177">
      <x:c r="A177" s="67" t="str">
        <x:v>PAY-00173</x:v>
      </x:c>
      <x:c r="B177" s="73" t="n">
        <x:v>46211.5</x:v>
      </x:c>
      <x:c r="C177" s="73" t="n">
        <x:v>46212.5</x:v>
      </x:c>
      <x:c r="D177" s="67" t="str">
        <x:v>S07</x:v>
      </x:c>
      <x:c r="E177" s="67" t="str">
        <x:v>小和山店</x:v>
      </x:c>
      <x:c r="F177" s="67" t="str">
        <x:v>微信支付</x:v>
      </x:c>
      <x:c r="G177" s="76" t="n">
        <x:v>3258.81</x:v>
      </x:c>
      <x:c r="H177" s="88" t="n">
        <x:v>0.003</x:v>
      </x:c>
      <x:c r="I177" s="79" t="n">
        <x:f>G177*H177</x:f>
        <x:v>9.77643</x:v>
      </x:c>
      <x:c r="J177" s="88" t="n">
        <x:v>0.0038</x:v>
      </x:c>
      <x:c r="K177" s="79" t="n">
        <x:f>G177*J177</x:f>
        <x:v>12.383478</x:v>
      </x:c>
      <x:c r="L177" s="79" t="n">
        <x:f>G177-I177-K177</x:f>
        <x:v>3236.650092</x:v>
      </x:c>
      <x:c r="M177" s="76" t="n">
        <x:v>3236.65</x:v>
      </x:c>
      <x:c r="N177" s="79" t="n">
        <x:f>M177-L177</x:f>
        <x:v>-0.00009199999976772233</x:v>
      </x:c>
      <x:c r="O177" s="67" t="str">
        <x:f>IF(ABS(N177)&lt;=1,"已对账","待核对")</x:f>
        <x:v>已对账</x:v>
      </x:c>
      <x:c r="P177" s="67" t="str">
        <x:v>S-模拟支付账单</x:v>
      </x:c>
    </x:row>
    <x:row r="178">
      <x:c r="A178" s="67" t="str">
        <x:v>PAY-00174</x:v>
      </x:c>
      <x:c r="B178" s="73" t="n">
        <x:v>46211.5</x:v>
      </x:c>
      <x:c r="C178" s="73" t="n">
        <x:v>46212.5</x:v>
      </x:c>
      <x:c r="D178" s="67" t="str">
        <x:v>S07</x:v>
      </x:c>
      <x:c r="E178" s="67" t="str">
        <x:v>小和山店</x:v>
      </x:c>
      <x:c r="F178" s="67" t="str">
        <x:v>支付宝</x:v>
      </x:c>
      <x:c r="G178" s="76" t="n">
        <x:v>2534.63</x:v>
      </x:c>
      <x:c r="H178" s="88" t="n">
        <x:v>0.002</x:v>
      </x:c>
      <x:c r="I178" s="79" t="n">
        <x:f>G178*H178</x:f>
        <x:v>5.069260000000001</x:v>
      </x:c>
      <x:c r="J178" s="88" t="n">
        <x:v>0.0038</x:v>
      </x:c>
      <x:c r="K178" s="79" t="n">
        <x:f>G178*J178</x:f>
        <x:v>9.631594</x:v>
      </x:c>
      <x:c r="L178" s="79" t="n">
        <x:f>G178-I178-K178</x:f>
        <x:v>2519.929146</x:v>
      </x:c>
      <x:c r="M178" s="76" t="n">
        <x:v>2519.93</x:v>
      </x:c>
      <x:c r="N178" s="79" t="n">
        <x:f>M178-L178</x:f>
        <x:v>0.0008539999998902204</x:v>
      </x:c>
      <x:c r="O178" s="67" t="str">
        <x:f>IF(ABS(N178)&lt;=1,"已对账","待核对")</x:f>
        <x:v>已对账</x:v>
      </x:c>
      <x:c r="P178" s="67" t="str">
        <x:v>S-模拟支付账单</x:v>
      </x:c>
    </x:row>
    <x:row r="179">
      <x:c r="A179" s="67" t="str">
        <x:v>PAY-00175</x:v>
      </x:c>
      <x:c r="B179" s="73" t="n">
        <x:v>46211.5</x:v>
      </x:c>
      <x:c r="C179" s="73" t="n">
        <x:v>46212.5</x:v>
      </x:c>
      <x:c r="D179" s="67" t="str">
        <x:v>S07</x:v>
      </x:c>
      <x:c r="E179" s="67" t="str">
        <x:v>小和山店</x:v>
      </x:c>
      <x:c r="F179" s="67" t="str">
        <x:v>银行卡</x:v>
      </x:c>
      <x:c r="G179" s="76" t="n">
        <x:v>724.18</x:v>
      </x:c>
      <x:c r="H179" s="88" t="n">
        <x:v>0.001</x:v>
      </x:c>
      <x:c r="I179" s="79" t="n">
        <x:f>G179*H179</x:f>
        <x:v>0.7241799999999999</x:v>
      </x:c>
      <x:c r="J179" s="88" t="n">
        <x:v>0.005</x:v>
      </x:c>
      <x:c r="K179" s="79" t="n">
        <x:f>G179*J179</x:f>
        <x:v>3.6209</x:v>
      </x:c>
      <x:c r="L179" s="79" t="n">
        <x:f>G179-I179-K179</x:f>
        <x:v>719.8349199999999</x:v>
      </x:c>
      <x:c r="M179" s="76" t="n">
        <x:v>719.84</x:v>
      </x:c>
      <x:c r="N179" s="79" t="n">
        <x:f>M179-L179</x:f>
        <x:v>0.0050800000001345325</x:v>
      </x:c>
      <x:c r="O179" s="67" t="str">
        <x:f>IF(ABS(N179)&lt;=1,"已对账","待核对")</x:f>
        <x:v>已对账</x:v>
      </x:c>
      <x:c r="P179" s="67" t="str">
        <x:v>S-模拟支付账单</x:v>
      </x:c>
    </x:row>
    <x:row r="180">
      <x:c r="A180" s="67" t="str">
        <x:v>PAY-00176</x:v>
      </x:c>
      <x:c r="B180" s="73" t="n">
        <x:v>46211.5</x:v>
      </x:c>
      <x:c r="C180" s="73" t="n">
        <x:v>46211.5</x:v>
      </x:c>
      <x:c r="D180" s="67" t="str">
        <x:v>S07</x:v>
      </x:c>
      <x:c r="E180" s="67" t="str">
        <x:v>小和山店</x:v>
      </x:c>
      <x:c r="F180" s="67" t="str">
        <x:v>现金</x:v>
      </x:c>
      <x:c r="G180" s="76" t="n">
        <x:v>724.18</x:v>
      </x:c>
      <x:c r="H180" s="88" t="n">
        <x:v>0</x:v>
      </x:c>
      <x:c r="I180" s="79" t="n">
        <x:f>G180*H180</x:f>
        <x:v>0</x:v>
      </x:c>
      <x:c r="J180" s="88" t="n">
        <x:v>0</x:v>
      </x:c>
      <x:c r="K180" s="79" t="n">
        <x:f>G180*J180</x:f>
        <x:v>0</x:v>
      </x:c>
      <x:c r="L180" s="79" t="n">
        <x:f>G180-I180-K180</x:f>
        <x:v>724.18</x:v>
      </x:c>
      <x:c r="M180" s="76" t="n">
        <x:v>724.18</x:v>
      </x:c>
      <x:c r="N180" s="79" t="n">
        <x:f>M180-L180</x:f>
        <x:v>0</x:v>
      </x:c>
      <x:c r="O180" s="67" t="str">
        <x:f>IF(ABS(N180)&lt;=1,"已对账","待核对")</x:f>
        <x:v>已对账</x:v>
      </x:c>
      <x:c r="P180" s="67" t="str">
        <x:v>S-模拟支付账单</x:v>
      </x:c>
    </x:row>
    <x:row r="181">
      <x:c r="A181" s="67" t="str">
        <x:v>PAY-00177</x:v>
      </x:c>
      <x:c r="B181" s="73" t="n">
        <x:v>46212.5</x:v>
      </x:c>
      <x:c r="C181" s="73" t="n">
        <x:v>46213.5</x:v>
      </x:c>
      <x:c r="D181" s="67" t="str">
        <x:v>S07</x:v>
      </x:c>
      <x:c r="E181" s="67" t="str">
        <x:v>小和山店</x:v>
      </x:c>
      <x:c r="F181" s="67" t="str">
        <x:v>微信支付</x:v>
      </x:c>
      <x:c r="G181" s="76" t="n">
        <x:v>3197.03</x:v>
      </x:c>
      <x:c r="H181" s="88" t="n">
        <x:v>0.003</x:v>
      </x:c>
      <x:c r="I181" s="79" t="n">
        <x:f>G181*H181</x:f>
        <x:v>9.591090000000001</x:v>
      </x:c>
      <x:c r="J181" s="88" t="n">
        <x:v>0.0038</x:v>
      </x:c>
      <x:c r="K181" s="79" t="n">
        <x:f>G181*J181</x:f>
        <x:v>12.148714</x:v>
      </x:c>
      <x:c r="L181" s="79" t="n">
        <x:f>G181-I181-K181</x:f>
        <x:v>3175.2901960000004</x:v>
      </x:c>
      <x:c r="M181" s="76" t="n">
        <x:v>3175.29</x:v>
      </x:c>
      <x:c r="N181" s="79" t="n">
        <x:f>M181-L181</x:f>
        <x:v>-0.00019600000041464227</x:v>
      </x:c>
      <x:c r="O181" s="67" t="str">
        <x:f>IF(ABS(N181)&lt;=1,"已对账","待核对")</x:f>
        <x:v>已对账</x:v>
      </x:c>
      <x:c r="P181" s="67" t="str">
        <x:v>S-模拟支付账单</x:v>
      </x:c>
    </x:row>
    <x:row r="182">
      <x:c r="A182" s="67" t="str">
        <x:v>PAY-00178</x:v>
      </x:c>
      <x:c r="B182" s="73" t="n">
        <x:v>46212.5</x:v>
      </x:c>
      <x:c r="C182" s="73" t="n">
        <x:v>46213.5</x:v>
      </x:c>
      <x:c r="D182" s="67" t="str">
        <x:v>S07</x:v>
      </x:c>
      <x:c r="E182" s="67" t="str">
        <x:v>小和山店</x:v>
      </x:c>
      <x:c r="F182" s="67" t="str">
        <x:v>支付宝</x:v>
      </x:c>
      <x:c r="G182" s="76" t="n">
        <x:v>2486.57</x:v>
      </x:c>
      <x:c r="H182" s="88" t="n">
        <x:v>0.002</x:v>
      </x:c>
      <x:c r="I182" s="79" t="n">
        <x:f>G182*H182</x:f>
        <x:v>4.973140000000001</x:v>
      </x:c>
      <x:c r="J182" s="88" t="n">
        <x:v>0.0038</x:v>
      </x:c>
      <x:c r="K182" s="79" t="n">
        <x:f>G182*J182</x:f>
        <x:v>9.448966</x:v>
      </x:c>
      <x:c r="L182" s="79" t="n">
        <x:f>G182-I182-K182</x:f>
        <x:v>2472.147894</x:v>
      </x:c>
      <x:c r="M182" s="76" t="n">
        <x:v>2472.15</x:v>
      </x:c>
      <x:c r="N182" s="79" t="n">
        <x:f>M182-L182</x:f>
        <x:v>0.0021059999999124557</x:v>
      </x:c>
      <x:c r="O182" s="67" t="str">
        <x:f>IF(ABS(N182)&lt;=1,"已对账","待核对")</x:f>
        <x:v>已对账</x:v>
      </x:c>
      <x:c r="P182" s="67" t="str">
        <x:v>S-模拟支付账单</x:v>
      </x:c>
    </x:row>
    <x:row r="183">
      <x:c r="A183" s="67" t="str">
        <x:v>PAY-00179</x:v>
      </x:c>
      <x:c r="B183" s="73" t="n">
        <x:v>46212.5</x:v>
      </x:c>
      <x:c r="C183" s="73" t="n">
        <x:v>46213.5</x:v>
      </x:c>
      <x:c r="D183" s="67" t="str">
        <x:v>S07</x:v>
      </x:c>
      <x:c r="E183" s="67" t="str">
        <x:v>小和山店</x:v>
      </x:c>
      <x:c r="F183" s="67" t="str">
        <x:v>银行卡</x:v>
      </x:c>
      <x:c r="G183" s="76" t="n">
        <x:v>710.45</x:v>
      </x:c>
      <x:c r="H183" s="88" t="n">
        <x:v>0.001</x:v>
      </x:c>
      <x:c r="I183" s="79" t="n">
        <x:f>G183*H183</x:f>
        <x:v>0.71045</x:v>
      </x:c>
      <x:c r="J183" s="88" t="n">
        <x:v>0.005</x:v>
      </x:c>
      <x:c r="K183" s="79" t="n">
        <x:f>G183*J183</x:f>
        <x:v>3.5522500000000004</x:v>
      </x:c>
      <x:c r="L183" s="79" t="n">
        <x:f>G183-I183-K183</x:f>
        <x:v>706.1873</x:v>
      </x:c>
      <x:c r="M183" s="76" t="n">
        <x:v>706.19</x:v>
      </x:c>
      <x:c r="N183" s="79" t="n">
        <x:f>M183-L183</x:f>
        <x:v>0.0027000000000043656</x:v>
      </x:c>
      <x:c r="O183" s="67" t="str">
        <x:f>IF(ABS(N183)&lt;=1,"已对账","待核对")</x:f>
        <x:v>已对账</x:v>
      </x:c>
      <x:c r="P183" s="67" t="str">
        <x:v>S-模拟支付账单</x:v>
      </x:c>
    </x:row>
    <x:row r="184">
      <x:c r="A184" s="67" t="str">
        <x:v>PAY-00180</x:v>
      </x:c>
      <x:c r="B184" s="73" t="n">
        <x:v>46212.5</x:v>
      </x:c>
      <x:c r="C184" s="73" t="n">
        <x:v>46212.5</x:v>
      </x:c>
      <x:c r="D184" s="67" t="str">
        <x:v>S07</x:v>
      </x:c>
      <x:c r="E184" s="67" t="str">
        <x:v>小和山店</x:v>
      </x:c>
      <x:c r="F184" s="67" t="str">
        <x:v>现金</x:v>
      </x:c>
      <x:c r="G184" s="76" t="n">
        <x:v>710.45</x:v>
      </x:c>
      <x:c r="H184" s="88" t="n">
        <x:v>0</x:v>
      </x:c>
      <x:c r="I184" s="79" t="n">
        <x:f>G184*H184</x:f>
        <x:v>0</x:v>
      </x:c>
      <x:c r="J184" s="88" t="n">
        <x:v>0</x:v>
      </x:c>
      <x:c r="K184" s="79" t="n">
        <x:f>G184*J184</x:f>
        <x:v>0</x:v>
      </x:c>
      <x:c r="L184" s="79" t="n">
        <x:f>G184-I184-K184</x:f>
        <x:v>710.45</x:v>
      </x:c>
      <x:c r="M184" s="76" t="n">
        <x:v>710.45</x:v>
      </x:c>
      <x:c r="N184" s="79" t="n">
        <x:f>M184-L184</x:f>
        <x:v>0</x:v>
      </x:c>
      <x:c r="O184" s="67" t="str">
        <x:f>IF(ABS(N184)&lt;=1,"已对账","待核对")</x:f>
        <x:v>已对账</x:v>
      </x:c>
      <x:c r="P184" s="67" t="str">
        <x:v>S-模拟支付账单</x:v>
      </x:c>
    </x:row>
    <x:row r="185">
      <x:c r="A185" s="67" t="str">
        <x:v>PAY-00181</x:v>
      </x:c>
      <x:c r="B185" s="73" t="n">
        <x:v>46213.5</x:v>
      </x:c>
      <x:c r="C185" s="73" t="n">
        <x:v>46214.5</x:v>
      </x:c>
      <x:c r="D185" s="67" t="str">
        <x:v>S07</x:v>
      </x:c>
      <x:c r="E185" s="67" t="str">
        <x:v>小和山店</x:v>
      </x:c>
      <x:c r="F185" s="67" t="str">
        <x:v>微信支付</x:v>
      </x:c>
      <x:c r="G185" s="76" t="n">
        <x:v>3323.12</x:v>
      </x:c>
      <x:c r="H185" s="88" t="n">
        <x:v>0.003</x:v>
      </x:c>
      <x:c r="I185" s="79" t="n">
        <x:f>G185*H185</x:f>
        <x:v>9.96936</x:v>
      </x:c>
      <x:c r="J185" s="88" t="n">
        <x:v>0.0038</x:v>
      </x:c>
      <x:c r="K185" s="79" t="n">
        <x:f>G185*J185</x:f>
        <x:v>12.627856</x:v>
      </x:c>
      <x:c r="L185" s="79" t="n">
        <x:f>G185-I185-K185</x:f>
        <x:v>3300.522784</x:v>
      </x:c>
      <x:c r="M185" s="76" t="n">
        <x:v>3300.52</x:v>
      </x:c>
      <x:c r="N185" s="79" t="n">
        <x:f>M185-L185</x:f>
        <x:v>-0.002783999999792286</x:v>
      </x:c>
      <x:c r="O185" s="67" t="str">
        <x:f>IF(ABS(N185)&lt;=1,"已对账","待核对")</x:f>
        <x:v>已对账</x:v>
      </x:c>
      <x:c r="P185" s="67" t="str">
        <x:v>S-模拟支付账单</x:v>
      </x:c>
    </x:row>
    <x:row r="186">
      <x:c r="A186" s="67" t="str">
        <x:v>PAY-00182</x:v>
      </x:c>
      <x:c r="B186" s="73" t="n">
        <x:v>46213.5</x:v>
      </x:c>
      <x:c r="C186" s="73" t="n">
        <x:v>46214.5</x:v>
      </x:c>
      <x:c r="D186" s="67" t="str">
        <x:v>S07</x:v>
      </x:c>
      <x:c r="E186" s="67" t="str">
        <x:v>小和山店</x:v>
      </x:c>
      <x:c r="F186" s="67" t="str">
        <x:v>支付宝</x:v>
      </x:c>
      <x:c r="G186" s="76" t="n">
        <x:v>2584.64</x:v>
      </x:c>
      <x:c r="H186" s="88" t="n">
        <x:v>0.002</x:v>
      </x:c>
      <x:c r="I186" s="79" t="n">
        <x:f>G186*H186</x:f>
        <x:v>5.16928</x:v>
      </x:c>
      <x:c r="J186" s="88" t="n">
        <x:v>0.0038</x:v>
      </x:c>
      <x:c r="K186" s="79" t="n">
        <x:f>G186*J186</x:f>
        <x:v>9.821632</x:v>
      </x:c>
      <x:c r="L186" s="79" t="n">
        <x:f>G186-I186-K186</x:f>
        <x:v>2569.6490879999997</x:v>
      </x:c>
      <x:c r="M186" s="76" t="n">
        <x:v>2569.65</x:v>
      </x:c>
      <x:c r="N186" s="79" t="n">
        <x:f>M186-L186</x:f>
        <x:v>0.0009120000004259055</x:v>
      </x:c>
      <x:c r="O186" s="67" t="str">
        <x:f>IF(ABS(N186)&lt;=1,"已对账","待核对")</x:f>
        <x:v>已对账</x:v>
      </x:c>
      <x:c r="P186" s="67" t="str">
        <x:v>S-模拟支付账单</x:v>
      </x:c>
    </x:row>
    <x:row r="187">
      <x:c r="A187" s="67" t="str">
        <x:v>PAY-00183</x:v>
      </x:c>
      <x:c r="B187" s="73" t="n">
        <x:v>46213.5</x:v>
      </x:c>
      <x:c r="C187" s="73" t="n">
        <x:v>46214.5</x:v>
      </x:c>
      <x:c r="D187" s="67" t="str">
        <x:v>S07</x:v>
      </x:c>
      <x:c r="E187" s="67" t="str">
        <x:v>小和山店</x:v>
      </x:c>
      <x:c r="F187" s="67" t="str">
        <x:v>银行卡</x:v>
      </x:c>
      <x:c r="G187" s="76" t="n">
        <x:v>738.47</x:v>
      </x:c>
      <x:c r="H187" s="88" t="n">
        <x:v>0.001</x:v>
      </x:c>
      <x:c r="I187" s="79" t="n">
        <x:f>G187*H187</x:f>
        <x:v>0.7384700000000001</x:v>
      </x:c>
      <x:c r="J187" s="88" t="n">
        <x:v>0.005</x:v>
      </x:c>
      <x:c r="K187" s="79" t="n">
        <x:f>G187*J187</x:f>
        <x:v>3.6923500000000002</x:v>
      </x:c>
      <x:c r="L187" s="79" t="n">
        <x:f>G187-I187-K187</x:f>
        <x:v>734.03918</x:v>
      </x:c>
      <x:c r="M187" s="76" t="n">
        <x:v>734.04</x:v>
      </x:c>
      <x:c r="N187" s="79" t="n">
        <x:f>M187-L187</x:f>
        <x:v>0.0008199999999760621</x:v>
      </x:c>
      <x:c r="O187" s="67" t="str">
        <x:f>IF(ABS(N187)&lt;=1,"已对账","待核对")</x:f>
        <x:v>已对账</x:v>
      </x:c>
      <x:c r="P187" s="67" t="str">
        <x:v>S-模拟支付账单</x:v>
      </x:c>
    </x:row>
    <x:row r="188">
      <x:c r="A188" s="67" t="str">
        <x:v>PAY-00184</x:v>
      </x:c>
      <x:c r="B188" s="73" t="n">
        <x:v>46213.5</x:v>
      </x:c>
      <x:c r="C188" s="73" t="n">
        <x:v>46213.5</x:v>
      </x:c>
      <x:c r="D188" s="67" t="str">
        <x:v>S07</x:v>
      </x:c>
      <x:c r="E188" s="67" t="str">
        <x:v>小和山店</x:v>
      </x:c>
      <x:c r="F188" s="67" t="str">
        <x:v>现金</x:v>
      </x:c>
      <x:c r="G188" s="76" t="n">
        <x:v>738.47</x:v>
      </x:c>
      <x:c r="H188" s="88" t="n">
        <x:v>0</x:v>
      </x:c>
      <x:c r="I188" s="79" t="n">
        <x:f>G188*H188</x:f>
        <x:v>0</x:v>
      </x:c>
      <x:c r="J188" s="88" t="n">
        <x:v>0</x:v>
      </x:c>
      <x:c r="K188" s="79" t="n">
        <x:f>G188*J188</x:f>
        <x:v>0</x:v>
      </x:c>
      <x:c r="L188" s="79" t="n">
        <x:f>G188-I188-K188</x:f>
        <x:v>738.47</x:v>
      </x:c>
      <x:c r="M188" s="76" t="n">
        <x:v>738.47</x:v>
      </x:c>
      <x:c r="N188" s="79" t="n">
        <x:f>M188-L188</x:f>
        <x:v>0</x:v>
      </x:c>
      <x:c r="O188" s="67" t="str">
        <x:f>IF(ABS(N188)&lt;=1,"已对账","待核对")</x:f>
        <x:v>已对账</x:v>
      </x:c>
      <x:c r="P188" s="67" t="str">
        <x:v>S-模拟支付账单</x:v>
      </x:c>
    </x:row>
    <x:row r="189">
      <x:c r="A189" s="67" t="str">
        <x:v>PAY-00185</x:v>
      </x:c>
      <x:c r="B189" s="73" t="n">
        <x:v>46214.5</x:v>
      </x:c>
      <x:c r="C189" s="73" t="n">
        <x:v>46215.5</x:v>
      </x:c>
      <x:c r="D189" s="67" t="str">
        <x:v>S07</x:v>
      </x:c>
      <x:c r="E189" s="67" t="str">
        <x:v>小和山店</x:v>
      </x:c>
      <x:c r="F189" s="67" t="str">
        <x:v>微信支付</x:v>
      </x:c>
      <x:c r="G189" s="76" t="n">
        <x:v>2547.86</x:v>
      </x:c>
      <x:c r="H189" s="88" t="n">
        <x:v>0.003</x:v>
      </x:c>
      <x:c r="I189" s="79" t="n">
        <x:f>G189*H189</x:f>
        <x:v>7.643580000000001</x:v>
      </x:c>
      <x:c r="J189" s="88" t="n">
        <x:v>0.0038</x:v>
      </x:c>
      <x:c r="K189" s="79" t="n">
        <x:f>G189*J189</x:f>
        <x:v>9.681868</x:v>
      </x:c>
      <x:c r="L189" s="79" t="n">
        <x:f>G189-I189-K189</x:f>
        <x:v>2530.534552</x:v>
      </x:c>
      <x:c r="M189" s="76" t="n">
        <x:v>2530.54</x:v>
      </x:c>
      <x:c r="N189" s="79" t="n">
        <x:f>M189-L189</x:f>
        <x:v>0.005447999999887543</x:v>
      </x:c>
      <x:c r="O189" s="67" t="str">
        <x:f>IF(ABS(N189)&lt;=1,"已对账","待核对")</x:f>
        <x:v>已对账</x:v>
      </x:c>
      <x:c r="P189" s="67" t="str">
        <x:v>S-模拟支付账单</x:v>
      </x:c>
    </x:row>
    <x:row r="190">
      <x:c r="A190" s="67" t="str">
        <x:v>PAY-00186</x:v>
      </x:c>
      <x:c r="B190" s="73" t="n">
        <x:v>46214.5</x:v>
      </x:c>
      <x:c r="C190" s="73" t="n">
        <x:v>46215.5</x:v>
      </x:c>
      <x:c r="D190" s="67" t="str">
        <x:v>S07</x:v>
      </x:c>
      <x:c r="E190" s="67" t="str">
        <x:v>小和山店</x:v>
      </x:c>
      <x:c r="F190" s="67" t="str">
        <x:v>支付宝</x:v>
      </x:c>
      <x:c r="G190" s="76" t="n">
        <x:v>1981.66</x:v>
      </x:c>
      <x:c r="H190" s="88" t="n">
        <x:v>0.002</x:v>
      </x:c>
      <x:c r="I190" s="79" t="n">
        <x:f>G190*H190</x:f>
        <x:v>3.9633200000000004</x:v>
      </x:c>
      <x:c r="J190" s="88" t="n">
        <x:v>0.0038</x:v>
      </x:c>
      <x:c r="K190" s="79" t="n">
        <x:f>G190*J190</x:f>
        <x:v>7.530308000000001</x:v>
      </x:c>
      <x:c r="L190" s="79" t="n">
        <x:f>G190-I190-K190</x:f>
        <x:v>1970.166372</x:v>
      </x:c>
      <x:c r="M190" s="76" t="n">
        <x:v>1970.17</x:v>
      </x:c>
      <x:c r="N190" s="79" t="n">
        <x:f>M190-L190</x:f>
        <x:v>0.0036280000001625012</x:v>
      </x:c>
      <x:c r="O190" s="67" t="str">
        <x:f>IF(ABS(N190)&lt;=1,"已对账","待核对")</x:f>
        <x:v>已对账</x:v>
      </x:c>
      <x:c r="P190" s="67" t="str">
        <x:v>S-模拟支付账单</x:v>
      </x:c>
    </x:row>
    <x:row r="191">
      <x:c r="A191" s="67" t="str">
        <x:v>PAY-00187</x:v>
      </x:c>
      <x:c r="B191" s="73" t="n">
        <x:v>46214.5</x:v>
      </x:c>
      <x:c r="C191" s="73" t="n">
        <x:v>46215.5</x:v>
      </x:c>
      <x:c r="D191" s="67" t="str">
        <x:v>S07</x:v>
      </x:c>
      <x:c r="E191" s="67" t="str">
        <x:v>小和山店</x:v>
      </x:c>
      <x:c r="F191" s="67" t="str">
        <x:v>银行卡</x:v>
      </x:c>
      <x:c r="G191" s="76" t="n">
        <x:v>566.19</x:v>
      </x:c>
      <x:c r="H191" s="88" t="n">
        <x:v>0.001</x:v>
      </x:c>
      <x:c r="I191" s="79" t="n">
        <x:f>G191*H191</x:f>
        <x:v>0.5661900000000001</x:v>
      </x:c>
      <x:c r="J191" s="88" t="n">
        <x:v>0.005</x:v>
      </x:c>
      <x:c r="K191" s="79" t="n">
        <x:f>G191*J191</x:f>
        <x:v>2.8309500000000005</x:v>
      </x:c>
      <x:c r="L191" s="79" t="n">
        <x:f>G191-I191-K191</x:f>
        <x:v>562.79286</x:v>
      </x:c>
      <x:c r="M191" s="76" t="n">
        <x:v>562.79</x:v>
      </x:c>
      <x:c r="N191" s="79" t="n">
        <x:f>M191-L191</x:f>
        <x:v>-0.0028600000000551518</x:v>
      </x:c>
      <x:c r="O191" s="67" t="str">
        <x:f>IF(ABS(N191)&lt;=1,"已对账","待核对")</x:f>
        <x:v>已对账</x:v>
      </x:c>
      <x:c r="P191" s="67" t="str">
        <x:v>S-模拟支付账单</x:v>
      </x:c>
    </x:row>
    <x:row r="192">
      <x:c r="A192" s="67" t="str">
        <x:v>PAY-00188</x:v>
      </x:c>
      <x:c r="B192" s="73" t="n">
        <x:v>46214.5</x:v>
      </x:c>
      <x:c r="C192" s="73" t="n">
        <x:v>46214.5</x:v>
      </x:c>
      <x:c r="D192" s="67" t="str">
        <x:v>S07</x:v>
      </x:c>
      <x:c r="E192" s="67" t="str">
        <x:v>小和山店</x:v>
      </x:c>
      <x:c r="F192" s="67" t="str">
        <x:v>现金</x:v>
      </x:c>
      <x:c r="G192" s="76" t="n">
        <x:v>566.19</x:v>
      </x:c>
      <x:c r="H192" s="88" t="n">
        <x:v>0</x:v>
      </x:c>
      <x:c r="I192" s="79" t="n">
        <x:f>G192*H192</x:f>
        <x:v>0</x:v>
      </x:c>
      <x:c r="J192" s="88" t="n">
        <x:v>0</x:v>
      </x:c>
      <x:c r="K192" s="79" t="n">
        <x:f>G192*J192</x:f>
        <x:v>0</x:v>
      </x:c>
      <x:c r="L192" s="79" t="n">
        <x:f>G192-I192-K192</x:f>
        <x:v>566.19</x:v>
      </x:c>
      <x:c r="M192" s="76" t="n">
        <x:v>566.19</x:v>
      </x:c>
      <x:c r="N192" s="79" t="n">
        <x:f>M192-L192</x:f>
        <x:v>0</x:v>
      </x:c>
      <x:c r="O192" s="67" t="str">
        <x:f>IF(ABS(N192)&lt;=1,"已对账","待核对")</x:f>
        <x:v>已对账</x:v>
      </x:c>
      <x:c r="P192" s="67" t="str">
        <x:v>S-模拟支付账单</x:v>
      </x:c>
    </x:row>
    <x:row r="193">
      <x:c r="A193" s="67" t="str">
        <x:v>PAY-00189</x:v>
      </x:c>
      <x:c r="B193" s="73" t="n">
        <x:v>46215.5</x:v>
      </x:c>
      <x:c r="C193" s="73" t="n">
        <x:v>46216.5</x:v>
      </x:c>
      <x:c r="D193" s="67" t="str">
        <x:v>S07</x:v>
      </x:c>
      <x:c r="E193" s="67" t="str">
        <x:v>小和山店</x:v>
      </x:c>
      <x:c r="F193" s="67" t="str">
        <x:v>微信支付</x:v>
      </x:c>
      <x:c r="G193" s="76" t="n">
        <x:v>2484.5</x:v>
      </x:c>
      <x:c r="H193" s="88" t="n">
        <x:v>0.003</x:v>
      </x:c>
      <x:c r="I193" s="79" t="n">
        <x:f>G193*H193</x:f>
        <x:v>7.4535</x:v>
      </x:c>
      <x:c r="J193" s="88" t="n">
        <x:v>0.0038</x:v>
      </x:c>
      <x:c r="K193" s="79" t="n">
        <x:f>G193*J193</x:f>
        <x:v>9.4411</x:v>
      </x:c>
      <x:c r="L193" s="79" t="n">
        <x:f>G193-I193-K193</x:f>
        <x:v>2467.6054</x:v>
      </x:c>
      <x:c r="M193" s="76" t="n">
        <x:v>2467.61</x:v>
      </x:c>
      <x:c r="N193" s="79" t="n">
        <x:f>M193-L193</x:f>
        <x:v>0.004600000000209548</x:v>
      </x:c>
      <x:c r="O193" s="67" t="str">
        <x:f>IF(ABS(N193)&lt;=1,"已对账","待核对")</x:f>
        <x:v>已对账</x:v>
      </x:c>
      <x:c r="P193" s="67" t="str">
        <x:v>S-模拟支付账单</x:v>
      </x:c>
    </x:row>
    <x:row r="194">
      <x:c r="A194" s="67" t="str">
        <x:v>PAY-00190</x:v>
      </x:c>
      <x:c r="B194" s="73" t="n">
        <x:v>46215.5</x:v>
      </x:c>
      <x:c r="C194" s="73" t="n">
        <x:v>46216.5</x:v>
      </x:c>
      <x:c r="D194" s="67" t="str">
        <x:v>S07</x:v>
      </x:c>
      <x:c r="E194" s="67" t="str">
        <x:v>小和山店</x:v>
      </x:c>
      <x:c r="F194" s="67" t="str">
        <x:v>支付宝</x:v>
      </x:c>
      <x:c r="G194" s="76" t="n">
        <x:v>1932.39</x:v>
      </x:c>
      <x:c r="H194" s="88" t="n">
        <x:v>0.002</x:v>
      </x:c>
      <x:c r="I194" s="79" t="n">
        <x:f>G194*H194</x:f>
        <x:v>3.86478</x:v>
      </x:c>
      <x:c r="J194" s="88" t="n">
        <x:v>0.0038</x:v>
      </x:c>
      <x:c r="K194" s="79" t="n">
        <x:f>G194*J194</x:f>
        <x:v>7.343082000000001</x:v>
      </x:c>
      <x:c r="L194" s="79" t="n">
        <x:f>G194-I194-K194</x:f>
        <x:v>1921.182138</x:v>
      </x:c>
      <x:c r="M194" s="76" t="n">
        <x:v>1921.19</x:v>
      </x:c>
      <x:c r="N194" s="79" t="n">
        <x:f>M194-L194</x:f>
        <x:v>0.007862000000159242</x:v>
      </x:c>
      <x:c r="O194" s="67" t="str">
        <x:f>IF(ABS(N194)&lt;=1,"已对账","待核对")</x:f>
        <x:v>已对账</x:v>
      </x:c>
      <x:c r="P194" s="67" t="str">
        <x:v>S-模拟支付账单</x:v>
      </x:c>
    </x:row>
    <x:row r="195">
      <x:c r="A195" s="67" t="str">
        <x:v>PAY-00191</x:v>
      </x:c>
      <x:c r="B195" s="73" t="n">
        <x:v>46215.5</x:v>
      </x:c>
      <x:c r="C195" s="73" t="n">
        <x:v>46216.5</x:v>
      </x:c>
      <x:c r="D195" s="67" t="str">
        <x:v>S07</x:v>
      </x:c>
      <x:c r="E195" s="67" t="str">
        <x:v>小和山店</x:v>
      </x:c>
      <x:c r="F195" s="67" t="str">
        <x:v>银行卡</x:v>
      </x:c>
      <x:c r="G195" s="76" t="n">
        <x:v>552.11</x:v>
      </x:c>
      <x:c r="H195" s="88" t="n">
        <x:v>0.001</x:v>
      </x:c>
      <x:c r="I195" s="79" t="n">
        <x:f>G195*H195</x:f>
        <x:v>0.55211</x:v>
      </x:c>
      <x:c r="J195" s="88" t="n">
        <x:v>0.005</x:v>
      </x:c>
      <x:c r="K195" s="79" t="n">
        <x:f>G195*J195</x:f>
        <x:v>2.7605500000000003</x:v>
      </x:c>
      <x:c r="L195" s="79" t="n">
        <x:f>G195-I195-K195</x:f>
        <x:v>548.7973400000001</x:v>
      </x:c>
      <x:c r="M195" s="76" t="n">
        <x:v>548.8</x:v>
      </x:c>
      <x:c r="N195" s="79" t="n">
        <x:f>M195-L195</x:f>
        <x:v>0.002659999999877982</x:v>
      </x:c>
      <x:c r="O195" s="67" t="str">
        <x:f>IF(ABS(N195)&lt;=1,"已对账","待核对")</x:f>
        <x:v>已对账</x:v>
      </x:c>
      <x:c r="P195" s="67" t="str">
        <x:v>S-模拟支付账单</x:v>
      </x:c>
    </x:row>
    <x:row r="196">
      <x:c r="A196" s="67" t="str">
        <x:v>PAY-00192</x:v>
      </x:c>
      <x:c r="B196" s="73" t="n">
        <x:v>46215.5</x:v>
      </x:c>
      <x:c r="C196" s="73" t="n">
        <x:v>46215.5</x:v>
      </x:c>
      <x:c r="D196" s="67" t="str">
        <x:v>S07</x:v>
      </x:c>
      <x:c r="E196" s="67" t="str">
        <x:v>小和山店</x:v>
      </x:c>
      <x:c r="F196" s="67" t="str">
        <x:v>现金</x:v>
      </x:c>
      <x:c r="G196" s="76" t="n">
        <x:v>552.11</x:v>
      </x:c>
      <x:c r="H196" s="88" t="n">
        <x:v>0</x:v>
      </x:c>
      <x:c r="I196" s="79" t="n">
        <x:f>G196*H196</x:f>
        <x:v>0</x:v>
      </x:c>
      <x:c r="J196" s="88" t="n">
        <x:v>0</x:v>
      </x:c>
      <x:c r="K196" s="79" t="n">
        <x:f>G196*J196</x:f>
        <x:v>0</x:v>
      </x:c>
      <x:c r="L196" s="79" t="n">
        <x:f>G196-I196-K196</x:f>
        <x:v>552.11</x:v>
      </x:c>
      <x:c r="M196" s="76" t="n">
        <x:v>552.11</x:v>
      </x:c>
      <x:c r="N196" s="79" t="n">
        <x:f>M196-L196</x:f>
        <x:v>0</x:v>
      </x:c>
      <x:c r="O196" s="67" t="str">
        <x:f>IF(ABS(N196)&lt;=1,"已对账","待核对")</x:f>
        <x:v>已对账</x:v>
      </x:c>
      <x:c r="P196" s="67" t="str">
        <x:v>S-模拟支付账单</x:v>
      </x:c>
    </x:row>
    <x:row r="197">
      <x:c r="A197" s="67" t="str">
        <x:v>PAY-00193</x:v>
      </x:c>
      <x:c r="B197" s="73" t="n">
        <x:v>46216.5</x:v>
      </x:c>
      <x:c r="C197" s="73" t="n">
        <x:v>46217.5</x:v>
      </x:c>
      <x:c r="D197" s="67" t="str">
        <x:v>S07</x:v>
      </x:c>
      <x:c r="E197" s="67" t="str">
        <x:v>小和山店</x:v>
      </x:c>
      <x:c r="F197" s="67" t="str">
        <x:v>微信支付</x:v>
      </x:c>
      <x:c r="G197" s="76" t="n">
        <x:v>3570.93</x:v>
      </x:c>
      <x:c r="H197" s="88" t="n">
        <x:v>0.003</x:v>
      </x:c>
      <x:c r="I197" s="79" t="n">
        <x:f>G197*H197</x:f>
        <x:v>10.71279</x:v>
      </x:c>
      <x:c r="J197" s="88" t="n">
        <x:v>0.0038</x:v>
      </x:c>
      <x:c r="K197" s="79" t="n">
        <x:f>G197*J197</x:f>
        <x:v>13.569533999999999</x:v>
      </x:c>
      <x:c r="L197" s="79" t="n">
        <x:f>G197-I197-K197</x:f>
        <x:v>3546.6476759999996</x:v>
      </x:c>
      <x:c r="M197" s="76" t="n">
        <x:v>3546.65</x:v>
      </x:c>
      <x:c r="N197" s="79" t="n">
        <x:f>M197-L197</x:f>
        <x:v>0.002324000000498927</x:v>
      </x:c>
      <x:c r="O197" s="67" t="str">
        <x:f>IF(ABS(N197)&lt;=1,"已对账","待核对")</x:f>
        <x:v>已对账</x:v>
      </x:c>
      <x:c r="P197" s="67" t="str">
        <x:v>S-模拟支付账单</x:v>
      </x:c>
    </x:row>
    <x:row r="198">
      <x:c r="A198" s="67" t="str">
        <x:v>PAY-00194</x:v>
      </x:c>
      <x:c r="B198" s="73" t="n">
        <x:v>46216.5</x:v>
      </x:c>
      <x:c r="C198" s="73" t="n">
        <x:v>46217.5</x:v>
      </x:c>
      <x:c r="D198" s="67" t="str">
        <x:v>S07</x:v>
      </x:c>
      <x:c r="E198" s="67" t="str">
        <x:v>小和山店</x:v>
      </x:c>
      <x:c r="F198" s="67" t="str">
        <x:v>支付宝</x:v>
      </x:c>
      <x:c r="G198" s="76" t="n">
        <x:v>2777.39</x:v>
      </x:c>
      <x:c r="H198" s="88" t="n">
        <x:v>0.002</x:v>
      </x:c>
      <x:c r="I198" s="79" t="n">
        <x:f>G198*H198</x:f>
        <x:v>5.55478</x:v>
      </x:c>
      <x:c r="J198" s="88" t="n">
        <x:v>0.0038</x:v>
      </x:c>
      <x:c r="K198" s="79" t="n">
        <x:f>G198*J198</x:f>
        <x:v>10.554082</x:v>
      </x:c>
      <x:c r="L198" s="79" t="n">
        <x:f>G198-I198-K198</x:f>
        <x:v>2761.281138</x:v>
      </x:c>
      <x:c r="M198" s="76" t="n">
        <x:v>2761.29</x:v>
      </x:c>
      <x:c r="N198" s="79" t="n">
        <x:f>M198-L198</x:f>
        <x:v>0.008862000000135595</x:v>
      </x:c>
      <x:c r="O198" s="67" t="str">
        <x:f>IF(ABS(N198)&lt;=1,"已对账","待核对")</x:f>
        <x:v>已对账</x:v>
      </x:c>
      <x:c r="P198" s="67" t="str">
        <x:v>S-模拟支付账单</x:v>
      </x:c>
    </x:row>
    <x:row r="199">
      <x:c r="A199" s="67" t="str">
        <x:v>PAY-00195</x:v>
      </x:c>
      <x:c r="B199" s="73" t="n">
        <x:v>46216.5</x:v>
      </x:c>
      <x:c r="C199" s="73" t="n">
        <x:v>46217.5</x:v>
      </x:c>
      <x:c r="D199" s="67" t="str">
        <x:v>S07</x:v>
      </x:c>
      <x:c r="E199" s="67" t="str">
        <x:v>小和山店</x:v>
      </x:c>
      <x:c r="F199" s="67" t="str">
        <x:v>银行卡</x:v>
      </x:c>
      <x:c r="G199" s="76" t="n">
        <x:v>793.54</x:v>
      </x:c>
      <x:c r="H199" s="88" t="n">
        <x:v>0.001</x:v>
      </x:c>
      <x:c r="I199" s="79" t="n">
        <x:f>G199*H199</x:f>
        <x:v>0.79354</x:v>
      </x:c>
      <x:c r="J199" s="88" t="n">
        <x:v>0.005</x:v>
      </x:c>
      <x:c r="K199" s="79" t="n">
        <x:f>G199*J199</x:f>
        <x:v>3.9677</x:v>
      </x:c>
      <x:c r="L199" s="79" t="n">
        <x:f>G199-I199-K199</x:f>
        <x:v>788.7787599999999</x:v>
      </x:c>
      <x:c r="M199" s="76" t="n">
        <x:v>788.78</x:v>
      </x:c>
      <x:c r="N199" s="79" t="n">
        <x:f>M199-L199</x:f>
        <x:v>0.0012400000000525324</x:v>
      </x:c>
      <x:c r="O199" s="67" t="str">
        <x:f>IF(ABS(N199)&lt;=1,"已对账","待核对")</x:f>
        <x:v>已对账</x:v>
      </x:c>
      <x:c r="P199" s="67" t="str">
        <x:v>S-模拟支付账单</x:v>
      </x:c>
    </x:row>
    <x:row r="200">
      <x:c r="A200" s="67" t="str">
        <x:v>PAY-00196</x:v>
      </x:c>
      <x:c r="B200" s="73" t="n">
        <x:v>46216.5</x:v>
      </x:c>
      <x:c r="C200" s="73" t="n">
        <x:v>46216.5</x:v>
      </x:c>
      <x:c r="D200" s="67" t="str">
        <x:v>S07</x:v>
      </x:c>
      <x:c r="E200" s="67" t="str">
        <x:v>小和山店</x:v>
      </x:c>
      <x:c r="F200" s="67" t="str">
        <x:v>现金</x:v>
      </x:c>
      <x:c r="G200" s="76" t="n">
        <x:v>793.54</x:v>
      </x:c>
      <x:c r="H200" s="88" t="n">
        <x:v>0</x:v>
      </x:c>
      <x:c r="I200" s="79" t="n">
        <x:f>G200*H200</x:f>
        <x:v>0</x:v>
      </x:c>
      <x:c r="J200" s="88" t="n">
        <x:v>0</x:v>
      </x:c>
      <x:c r="K200" s="79" t="n">
        <x:f>G200*J200</x:f>
        <x:v>0</x:v>
      </x:c>
      <x:c r="L200" s="79" t="n">
        <x:f>G200-I200-K200</x:f>
        <x:v>793.54</x:v>
      </x:c>
      <x:c r="M200" s="76" t="n">
        <x:v>793.54</x:v>
      </x:c>
      <x:c r="N200" s="79" t="n">
        <x:f>M200-L200</x:f>
        <x:v>0</x:v>
      </x:c>
      <x:c r="O200" s="67" t="str">
        <x:f>IF(ABS(N200)&lt;=1,"已对账","待核对")</x:f>
        <x:v>已对账</x:v>
      </x:c>
      <x:c r="P200" s="67" t="str">
        <x:v>S-模拟支付账单</x:v>
      </x:c>
    </x:row>
    <x:row r="201">
      <x:c r="A201" s="67" t="str">
        <x:v>PAY-00197</x:v>
      </x:c>
      <x:c r="B201" s="73" t="n">
        <x:v>46210.5</x:v>
      </x:c>
      <x:c r="C201" s="73" t="n">
        <x:v>46211.5</x:v>
      </x:c>
      <x:c r="D201" s="67" t="str">
        <x:v>S08</x:v>
      </x:c>
      <x:c r="E201" s="67" t="str">
        <x:v>四季青店</x:v>
      </x:c>
      <x:c r="F201" s="67" t="str">
        <x:v>微信支付</x:v>
      </x:c>
      <x:c r="G201" s="76" t="n">
        <x:v>3089.93</x:v>
      </x:c>
      <x:c r="H201" s="88" t="n">
        <x:v>0.003</x:v>
      </x:c>
      <x:c r="I201" s="79" t="n">
        <x:f>G201*H201</x:f>
        <x:v>9.26979</x:v>
      </x:c>
      <x:c r="J201" s="88" t="n">
        <x:v>0.0038</x:v>
      </x:c>
      <x:c r="K201" s="79" t="n">
        <x:f>G201*J201</x:f>
        <x:v>11.741734</x:v>
      </x:c>
      <x:c r="L201" s="79" t="n">
        <x:f>G201-I201-K201</x:f>
        <x:v>3068.918476</x:v>
      </x:c>
      <x:c r="M201" s="76" t="n">
        <x:v>3068.92</x:v>
      </x:c>
      <x:c r="N201" s="79" t="n">
        <x:f>M201-L201</x:f>
        <x:v>0.001524000000244996</x:v>
      </x:c>
      <x:c r="O201" s="67" t="str">
        <x:f>IF(ABS(N201)&lt;=1,"已对账","待核对")</x:f>
        <x:v>已对账</x:v>
      </x:c>
      <x:c r="P201" s="67" t="str">
        <x:v>S-模拟支付账单</x:v>
      </x:c>
    </x:row>
    <x:row r="202">
      <x:c r="A202" s="67" t="str">
        <x:v>PAY-00198</x:v>
      </x:c>
      <x:c r="B202" s="73" t="n">
        <x:v>46210.5</x:v>
      </x:c>
      <x:c r="C202" s="73" t="n">
        <x:v>46211.5</x:v>
      </x:c>
      <x:c r="D202" s="67" t="str">
        <x:v>S08</x:v>
      </x:c>
      <x:c r="E202" s="67" t="str">
        <x:v>四季青店</x:v>
      </x:c>
      <x:c r="F202" s="67" t="str">
        <x:v>支付宝</x:v>
      </x:c>
      <x:c r="G202" s="76" t="n">
        <x:v>2403.27</x:v>
      </x:c>
      <x:c r="H202" s="88" t="n">
        <x:v>0.002</x:v>
      </x:c>
      <x:c r="I202" s="79" t="n">
        <x:f>G202*H202</x:f>
        <x:v>4.80654</x:v>
      </x:c>
      <x:c r="J202" s="88" t="n">
        <x:v>0.0038</x:v>
      </x:c>
      <x:c r="K202" s="79" t="n">
        <x:f>G202*J202</x:f>
        <x:v>9.132426</x:v>
      </x:c>
      <x:c r="L202" s="79" t="n">
        <x:f>G202-I202-K202</x:f>
        <x:v>2389.331034</x:v>
      </x:c>
      <x:c r="M202" s="76" t="n">
        <x:v>2389.33</x:v>
      </x:c>
      <x:c r="N202" s="79" t="n">
        <x:f>M202-L202</x:f>
        <x:v>-0.0010339999998905114</x:v>
      </x:c>
      <x:c r="O202" s="67" t="str">
        <x:f>IF(ABS(N202)&lt;=1,"已对账","待核对")</x:f>
        <x:v>已对账</x:v>
      </x:c>
      <x:c r="P202" s="67" t="str">
        <x:v>S-模拟支付账单</x:v>
      </x:c>
    </x:row>
    <x:row r="203">
      <x:c r="A203" s="67" t="str">
        <x:v>PAY-00199</x:v>
      </x:c>
      <x:c r="B203" s="73" t="n">
        <x:v>46210.5</x:v>
      </x:c>
      <x:c r="C203" s="73" t="n">
        <x:v>46211.5</x:v>
      </x:c>
      <x:c r="D203" s="67" t="str">
        <x:v>S08</x:v>
      </x:c>
      <x:c r="E203" s="67" t="str">
        <x:v>四季青店</x:v>
      </x:c>
      <x:c r="F203" s="67" t="str">
        <x:v>银行卡</x:v>
      </x:c>
      <x:c r="G203" s="76" t="n">
        <x:v>686.65</x:v>
      </x:c>
      <x:c r="H203" s="88" t="n">
        <x:v>0.001</x:v>
      </x:c>
      <x:c r="I203" s="79" t="n">
        <x:f>G203*H203</x:f>
        <x:v>0.68665</x:v>
      </x:c>
      <x:c r="J203" s="88" t="n">
        <x:v>0.005</x:v>
      </x:c>
      <x:c r="K203" s="79" t="n">
        <x:f>G203*J203</x:f>
        <x:v>3.43325</x:v>
      </x:c>
      <x:c r="L203" s="79" t="n">
        <x:f>G203-I203-K203</x:f>
        <x:v>682.5301</x:v>
      </x:c>
      <x:c r="M203" s="76" t="n">
        <x:v>682.53</x:v>
      </x:c>
      <x:c r="N203" s="79" t="n">
        <x:f>M203-L203</x:f>
        <x:v>-0.00009999999997489795</x:v>
      </x:c>
      <x:c r="O203" s="67" t="str">
        <x:f>IF(ABS(N203)&lt;=1,"已对账","待核对")</x:f>
        <x:v>已对账</x:v>
      </x:c>
      <x:c r="P203" s="67" t="str">
        <x:v>S-模拟支付账单</x:v>
      </x:c>
    </x:row>
    <x:row r="204">
      <x:c r="A204" s="67" t="str">
        <x:v>PAY-00200</x:v>
      </x:c>
      <x:c r="B204" s="73" t="n">
        <x:v>46210.5</x:v>
      </x:c>
      <x:c r="C204" s="73" t="n">
        <x:v>46210.5</x:v>
      </x:c>
      <x:c r="D204" s="67" t="str">
        <x:v>S08</x:v>
      </x:c>
      <x:c r="E204" s="67" t="str">
        <x:v>四季青店</x:v>
      </x:c>
      <x:c r="F204" s="67" t="str">
        <x:v>现金</x:v>
      </x:c>
      <x:c r="G204" s="76" t="n">
        <x:v>686.65</x:v>
      </x:c>
      <x:c r="H204" s="88" t="n">
        <x:v>0</x:v>
      </x:c>
      <x:c r="I204" s="79" t="n">
        <x:f>G204*H204</x:f>
        <x:v>0</x:v>
      </x:c>
      <x:c r="J204" s="88" t="n">
        <x:v>0</x:v>
      </x:c>
      <x:c r="K204" s="79" t="n">
        <x:f>G204*J204</x:f>
        <x:v>0</x:v>
      </x:c>
      <x:c r="L204" s="79" t="n">
        <x:f>G204-I204-K204</x:f>
        <x:v>686.65</x:v>
      </x:c>
      <x:c r="M204" s="76" t="n">
        <x:v>686.65</x:v>
      </x:c>
      <x:c r="N204" s="79" t="n">
        <x:f>M204-L204</x:f>
        <x:v>0</x:v>
      </x:c>
      <x:c r="O204" s="67" t="str">
        <x:f>IF(ABS(N204)&lt;=1,"已对账","待核对")</x:f>
        <x:v>已对账</x:v>
      </x:c>
      <x:c r="P204" s="67" t="str">
        <x:v>S-模拟支付账单</x:v>
      </x:c>
    </x:row>
    <x:row r="205">
      <x:c r="A205" s="67" t="str">
        <x:v>PAY-00201</x:v>
      </x:c>
      <x:c r="B205" s="73" t="n">
        <x:v>46211.5</x:v>
      </x:c>
      <x:c r="C205" s="73" t="n">
        <x:v>46212.5</x:v>
      </x:c>
      <x:c r="D205" s="67" t="str">
        <x:v>S08</x:v>
      </x:c>
      <x:c r="E205" s="67" t="str">
        <x:v>四季青店</x:v>
      </x:c>
      <x:c r="F205" s="67" t="str">
        <x:v>微信支付</x:v>
      </x:c>
      <x:c r="G205" s="76" t="n">
        <x:v>3006.05</x:v>
      </x:c>
      <x:c r="H205" s="88" t="n">
        <x:v>0.003</x:v>
      </x:c>
      <x:c r="I205" s="79" t="n">
        <x:f>G205*H205</x:f>
        <x:v>9.01815</x:v>
      </x:c>
      <x:c r="J205" s="88" t="n">
        <x:v>0.0038</x:v>
      </x:c>
      <x:c r="K205" s="79" t="n">
        <x:f>G205*J205</x:f>
        <x:v>11.42299</x:v>
      </x:c>
      <x:c r="L205" s="79" t="n">
        <x:f>G205-I205-K205</x:f>
        <x:v>2985.6088600000003</x:v>
      </x:c>
      <x:c r="M205" s="76" t="n">
        <x:v>2985.61</x:v>
      </x:c>
      <x:c r="N205" s="79" t="n">
        <x:f>M205-L205</x:f>
        <x:v>0.0011399999998502608</x:v>
      </x:c>
      <x:c r="O205" s="67" t="str">
        <x:f>IF(ABS(N205)&lt;=1,"已对账","待核对")</x:f>
        <x:v>已对账</x:v>
      </x:c>
      <x:c r="P205" s="67" t="str">
        <x:v>S-模拟支付账单</x:v>
      </x:c>
    </x:row>
    <x:row r="206">
      <x:c r="A206" s="67" t="str">
        <x:v>PAY-00202</x:v>
      </x:c>
      <x:c r="B206" s="73" t="n">
        <x:v>46211.5</x:v>
      </x:c>
      <x:c r="C206" s="73" t="n">
        <x:v>46212.5</x:v>
      </x:c>
      <x:c r="D206" s="67" t="str">
        <x:v>S08</x:v>
      </x:c>
      <x:c r="E206" s="67" t="str">
        <x:v>四季青店</x:v>
      </x:c>
      <x:c r="F206" s="67" t="str">
        <x:v>支付宝</x:v>
      </x:c>
      <x:c r="G206" s="76" t="n">
        <x:v>2338.04</x:v>
      </x:c>
      <x:c r="H206" s="88" t="n">
        <x:v>0.002</x:v>
      </x:c>
      <x:c r="I206" s="79" t="n">
        <x:f>G206*H206</x:f>
        <x:v>4.67608</x:v>
      </x:c>
      <x:c r="J206" s="88" t="n">
        <x:v>0.0038</x:v>
      </x:c>
      <x:c r="K206" s="79" t="n">
        <x:f>G206*J206</x:f>
        <x:v>8.884552</x:v>
      </x:c>
      <x:c r="L206" s="79" t="n">
        <x:f>G206-I206-K206</x:f>
        <x:v>2324.479368</x:v>
      </x:c>
      <x:c r="M206" s="76" t="n">
        <x:v>2324.48</x:v>
      </x:c>
      <x:c r="N206" s="79" t="n">
        <x:f>M206-L206</x:f>
        <x:v>0.0006320000002233428</x:v>
      </x:c>
      <x:c r="O206" s="67" t="str">
        <x:f>IF(ABS(N206)&lt;=1,"已对账","待核对")</x:f>
        <x:v>已对账</x:v>
      </x:c>
      <x:c r="P206" s="67" t="str">
        <x:v>S-模拟支付账单</x:v>
      </x:c>
    </x:row>
    <x:row r="207">
      <x:c r="A207" s="67" t="str">
        <x:v>PAY-00203</x:v>
      </x:c>
      <x:c r="B207" s="73" t="n">
        <x:v>46211.5</x:v>
      </x:c>
      <x:c r="C207" s="73" t="n">
        <x:v>46212.5</x:v>
      </x:c>
      <x:c r="D207" s="67" t="str">
        <x:v>S08</x:v>
      </x:c>
      <x:c r="E207" s="67" t="str">
        <x:v>四季青店</x:v>
      </x:c>
      <x:c r="F207" s="67" t="str">
        <x:v>银行卡</x:v>
      </x:c>
      <x:c r="G207" s="76" t="n">
        <x:v>668.01</x:v>
      </x:c>
      <x:c r="H207" s="88" t="n">
        <x:v>0.001</x:v>
      </x:c>
      <x:c r="I207" s="79" t="n">
        <x:f>G207*H207</x:f>
        <x:v>0.66801</x:v>
      </x:c>
      <x:c r="J207" s="88" t="n">
        <x:v>0.005</x:v>
      </x:c>
      <x:c r="K207" s="79" t="n">
        <x:f>G207*J207</x:f>
        <x:v>3.34005</x:v>
      </x:c>
      <x:c r="L207" s="79" t="n">
        <x:f>G207-I207-K207</x:f>
        <x:v>664.00194</x:v>
      </x:c>
      <x:c r="M207" s="76" t="n">
        <x:v>664</x:v>
      </x:c>
      <x:c r="N207" s="79" t="n">
        <x:f>M207-L207</x:f>
        <x:v>-0.0019399999999905049</x:v>
      </x:c>
      <x:c r="O207" s="67" t="str">
        <x:f>IF(ABS(N207)&lt;=1,"已对账","待核对")</x:f>
        <x:v>已对账</x:v>
      </x:c>
      <x:c r="P207" s="67" t="str">
        <x:v>S-模拟支付账单</x:v>
      </x:c>
    </x:row>
    <x:row r="208">
      <x:c r="A208" s="67" t="str">
        <x:v>PAY-00204</x:v>
      </x:c>
      <x:c r="B208" s="73" t="n">
        <x:v>46211.5</x:v>
      </x:c>
      <x:c r="C208" s="73" t="n">
        <x:v>46211.5</x:v>
      </x:c>
      <x:c r="D208" s="67" t="str">
        <x:v>S08</x:v>
      </x:c>
      <x:c r="E208" s="67" t="str">
        <x:v>四季青店</x:v>
      </x:c>
      <x:c r="F208" s="67" t="str">
        <x:v>现金</x:v>
      </x:c>
      <x:c r="G208" s="76" t="n">
        <x:v>668.01</x:v>
      </x:c>
      <x:c r="H208" s="88" t="n">
        <x:v>0</x:v>
      </x:c>
      <x:c r="I208" s="79" t="n">
        <x:f>G208*H208</x:f>
        <x:v>0</x:v>
      </x:c>
      <x:c r="J208" s="88" t="n">
        <x:v>0</x:v>
      </x:c>
      <x:c r="K208" s="79" t="n">
        <x:f>G208*J208</x:f>
        <x:v>0</x:v>
      </x:c>
      <x:c r="L208" s="79" t="n">
        <x:f>G208-I208-K208</x:f>
        <x:v>668.01</x:v>
      </x:c>
      <x:c r="M208" s="76" t="n">
        <x:v>668.01</x:v>
      </x:c>
      <x:c r="N208" s="79" t="n">
        <x:f>M208-L208</x:f>
        <x:v>0</x:v>
      </x:c>
      <x:c r="O208" s="67" t="str">
        <x:f>IF(ABS(N208)&lt;=1,"已对账","待核对")</x:f>
        <x:v>已对账</x:v>
      </x:c>
      <x:c r="P208" s="67" t="str">
        <x:v>S-模拟支付账单</x:v>
      </x:c>
    </x:row>
    <x:row r="209">
      <x:c r="A209" s="67" t="str">
        <x:v>PAY-00205</x:v>
      </x:c>
      <x:c r="B209" s="73" t="n">
        <x:v>46212.5</x:v>
      </x:c>
      <x:c r="C209" s="73" t="n">
        <x:v>46213.5</x:v>
      </x:c>
      <x:c r="D209" s="67" t="str">
        <x:v>S08</x:v>
      </x:c>
      <x:c r="E209" s="67" t="str">
        <x:v>四季青店</x:v>
      </x:c>
      <x:c r="F209" s="67" t="str">
        <x:v>微信支付</x:v>
      </x:c>
      <x:c r="G209" s="76" t="n">
        <x:v>2949.17</x:v>
      </x:c>
      <x:c r="H209" s="88" t="n">
        <x:v>0.003</x:v>
      </x:c>
      <x:c r="I209" s="79" t="n">
        <x:f>G209*H209</x:f>
        <x:v>8.84751</x:v>
      </x:c>
      <x:c r="J209" s="88" t="n">
        <x:v>0.0038</x:v>
      </x:c>
      <x:c r="K209" s="79" t="n">
        <x:f>G209*J209</x:f>
        <x:v>11.206846</x:v>
      </x:c>
      <x:c r="L209" s="79" t="n">
        <x:f>G209-I209-K209</x:f>
        <x:v>2929.115644</x:v>
      </x:c>
      <x:c r="M209" s="76" t="n">
        <x:v>2929.11</x:v>
      </x:c>
      <x:c r="N209" s="79" t="n">
        <x:f>M209-L209</x:f>
        <x:v>-0.005643999999847438</x:v>
      </x:c>
      <x:c r="O209" s="67" t="str">
        <x:f>IF(ABS(N209)&lt;=1,"已对账","待核对")</x:f>
        <x:v>已对账</x:v>
      </x:c>
      <x:c r="P209" s="67" t="str">
        <x:v>S-模拟支付账单</x:v>
      </x:c>
    </x:row>
    <x:row r="210">
      <x:c r="A210" s="67" t="str">
        <x:v>PAY-00206</x:v>
      </x:c>
      <x:c r="B210" s="73" t="n">
        <x:v>46212.5</x:v>
      </x:c>
      <x:c r="C210" s="73" t="n">
        <x:v>46213.5</x:v>
      </x:c>
      <x:c r="D210" s="67" t="str">
        <x:v>S08</x:v>
      </x:c>
      <x:c r="E210" s="67" t="str">
        <x:v>四季青店</x:v>
      </x:c>
      <x:c r="F210" s="67" t="str">
        <x:v>支付宝</x:v>
      </x:c>
      <x:c r="G210" s="76" t="n">
        <x:v>2293.79</x:v>
      </x:c>
      <x:c r="H210" s="88" t="n">
        <x:v>0.002</x:v>
      </x:c>
      <x:c r="I210" s="79" t="n">
        <x:f>G210*H210</x:f>
        <x:v>4.58758</x:v>
      </x:c>
      <x:c r="J210" s="88" t="n">
        <x:v>0.0038</x:v>
      </x:c>
      <x:c r="K210" s="79" t="n">
        <x:f>G210*J210</x:f>
        <x:v>8.716402</x:v>
      </x:c>
      <x:c r="L210" s="79" t="n">
        <x:f>G210-I210-K210</x:f>
        <x:v>2280.486018</x:v>
      </x:c>
      <x:c r="M210" s="76" t="n">
        <x:v>2280.48</x:v>
      </x:c>
      <x:c r="N210" s="79" t="n">
        <x:f>M210-L210</x:f>
        <x:v>-0.006018000000040047</x:v>
      </x:c>
      <x:c r="O210" s="67" t="str">
        <x:f>IF(ABS(N210)&lt;=1,"已对账","待核对")</x:f>
        <x:v>已对账</x:v>
      </x:c>
      <x:c r="P210" s="67" t="str">
        <x:v>S-模拟支付账单</x:v>
      </x:c>
    </x:row>
    <x:row r="211">
      <x:c r="A211" s="67" t="str">
        <x:v>PAY-00207</x:v>
      </x:c>
      <x:c r="B211" s="73" t="n">
        <x:v>46212.5</x:v>
      </x:c>
      <x:c r="C211" s="73" t="n">
        <x:v>46213.5</x:v>
      </x:c>
      <x:c r="D211" s="67" t="str">
        <x:v>S08</x:v>
      </x:c>
      <x:c r="E211" s="67" t="str">
        <x:v>四季青店</x:v>
      </x:c>
      <x:c r="F211" s="67" t="str">
        <x:v>银行卡</x:v>
      </x:c>
      <x:c r="G211" s="76" t="n">
        <x:v>655.37</x:v>
      </x:c>
      <x:c r="H211" s="88" t="n">
        <x:v>0.001</x:v>
      </x:c>
      <x:c r="I211" s="79" t="n">
        <x:f>G211*H211</x:f>
        <x:v>0.65537</x:v>
      </x:c>
      <x:c r="J211" s="88" t="n">
        <x:v>0.005</x:v>
      </x:c>
      <x:c r="K211" s="79" t="n">
        <x:f>G211*J211</x:f>
        <x:v>3.27685</x:v>
      </x:c>
      <x:c r="L211" s="79" t="n">
        <x:f>G211-I211-K211</x:f>
        <x:v>651.4377800000001</x:v>
      </x:c>
      <x:c r="M211" s="76" t="n">
        <x:v>651.43</x:v>
      </x:c>
      <x:c r="N211" s="79" t="n">
        <x:f>M211-L211</x:f>
        <x:v>-0.007780000000138898</x:v>
      </x:c>
      <x:c r="O211" s="67" t="str">
        <x:f>IF(ABS(N211)&lt;=1,"已对账","待核对")</x:f>
        <x:v>已对账</x:v>
      </x:c>
      <x:c r="P211" s="67" t="str">
        <x:v>S-模拟支付账单</x:v>
      </x:c>
    </x:row>
    <x:row r="212">
      <x:c r="A212" s="67" t="str">
        <x:v>PAY-00208</x:v>
      </x:c>
      <x:c r="B212" s="73" t="n">
        <x:v>46212.5</x:v>
      </x:c>
      <x:c r="C212" s="73" t="n">
        <x:v>46212.5</x:v>
      </x:c>
      <x:c r="D212" s="67" t="str">
        <x:v>S08</x:v>
      </x:c>
      <x:c r="E212" s="67" t="str">
        <x:v>四季青店</x:v>
      </x:c>
      <x:c r="F212" s="67" t="str">
        <x:v>现金</x:v>
      </x:c>
      <x:c r="G212" s="76" t="n">
        <x:v>655.37</x:v>
      </x:c>
      <x:c r="H212" s="88" t="n">
        <x:v>0</x:v>
      </x:c>
      <x:c r="I212" s="79" t="n">
        <x:f>G212*H212</x:f>
        <x:v>0</x:v>
      </x:c>
      <x:c r="J212" s="88" t="n">
        <x:v>0</x:v>
      </x:c>
      <x:c r="K212" s="79" t="n">
        <x:f>G212*J212</x:f>
        <x:v>0</x:v>
      </x:c>
      <x:c r="L212" s="79" t="n">
        <x:f>G212-I212-K212</x:f>
        <x:v>655.37</x:v>
      </x:c>
      <x:c r="M212" s="76" t="n">
        <x:v>655.37</x:v>
      </x:c>
      <x:c r="N212" s="79" t="n">
        <x:f>M212-L212</x:f>
        <x:v>0</x:v>
      </x:c>
      <x:c r="O212" s="67" t="str">
        <x:f>IF(ABS(N212)&lt;=1,"已对账","待核对")</x:f>
        <x:v>已对账</x:v>
      </x:c>
      <x:c r="P212" s="67" t="str">
        <x:v>S-模拟支付账单</x:v>
      </x:c>
    </x:row>
    <x:row r="213">
      <x:c r="A213" s="67" t="str">
        <x:v>PAY-00209</x:v>
      </x:c>
      <x:c r="B213" s="73" t="n">
        <x:v>46213.5</x:v>
      </x:c>
      <x:c r="C213" s="73" t="n">
        <x:v>46214.5</x:v>
      </x:c>
      <x:c r="D213" s="67" t="str">
        <x:v>S08</x:v>
      </x:c>
      <x:c r="E213" s="67" t="str">
        <x:v>四季青店</x:v>
      </x:c>
      <x:c r="F213" s="67" t="str">
        <x:v>微信支付</x:v>
      </x:c>
      <x:c r="G213" s="76" t="n">
        <x:v>3060.99</x:v>
      </x:c>
      <x:c r="H213" s="88" t="n">
        <x:v>0.003</x:v>
      </x:c>
      <x:c r="I213" s="79" t="n">
        <x:f>G213*H213</x:f>
        <x:v>9.18297</x:v>
      </x:c>
      <x:c r="J213" s="88" t="n">
        <x:v>0.0038</x:v>
      </x:c>
      <x:c r="K213" s="79" t="n">
        <x:f>G213*J213</x:f>
        <x:v>11.631761999999998</x:v>
      </x:c>
      <x:c r="L213" s="79" t="n">
        <x:f>G213-I213-K213</x:f>
        <x:v>3040.175268</x:v>
      </x:c>
      <x:c r="M213" s="76" t="n">
        <x:v>3040.18</x:v>
      </x:c>
      <x:c r="N213" s="79" t="n">
        <x:f>M213-L213</x:f>
        <x:v>0.00473199999987628</x:v>
      </x:c>
      <x:c r="O213" s="67" t="str">
        <x:f>IF(ABS(N213)&lt;=1,"已对账","待核对")</x:f>
        <x:v>已对账</x:v>
      </x:c>
      <x:c r="P213" s="67" t="str">
        <x:v>S-模拟支付账单</x:v>
      </x:c>
    </x:row>
    <x:row r="214">
      <x:c r="A214" s="67" t="str">
        <x:v>PAY-00210</x:v>
      </x:c>
      <x:c r="B214" s="73" t="n">
        <x:v>46213.5</x:v>
      </x:c>
      <x:c r="C214" s="73" t="n">
        <x:v>46214.5</x:v>
      </x:c>
      <x:c r="D214" s="67" t="str">
        <x:v>S08</x:v>
      </x:c>
      <x:c r="E214" s="67" t="str">
        <x:v>四季青店</x:v>
      </x:c>
      <x:c r="F214" s="67" t="str">
        <x:v>支付宝</x:v>
      </x:c>
      <x:c r="G214" s="76" t="n">
        <x:v>2380.77</x:v>
      </x:c>
      <x:c r="H214" s="88" t="n">
        <x:v>0.002</x:v>
      </x:c>
      <x:c r="I214" s="79" t="n">
        <x:f>G214*H214</x:f>
        <x:v>4.76154</x:v>
      </x:c>
      <x:c r="J214" s="88" t="n">
        <x:v>0.0038</x:v>
      </x:c>
      <x:c r="K214" s="79" t="n">
        <x:f>G214*J214</x:f>
        <x:v>9.046926</x:v>
      </x:c>
      <x:c r="L214" s="79" t="n">
        <x:f>G214-I214-K214</x:f>
        <x:v>2366.961534</x:v>
      </x:c>
      <x:c r="M214" s="76" t="n">
        <x:v>2366.96</x:v>
      </x:c>
      <x:c r="N214" s="79" t="n">
        <x:f>M214-L214</x:f>
        <x:v>-0.0015339999999923748</x:v>
      </x:c>
      <x:c r="O214" s="67" t="str">
        <x:f>IF(ABS(N214)&lt;=1,"已对账","待核对")</x:f>
        <x:v>已对账</x:v>
      </x:c>
      <x:c r="P214" s="67" t="str">
        <x:v>S-模拟支付账单</x:v>
      </x:c>
    </x:row>
    <x:row r="215">
      <x:c r="A215" s="67" t="str">
        <x:v>PAY-00211</x:v>
      </x:c>
      <x:c r="B215" s="73" t="n">
        <x:v>46213.5</x:v>
      </x:c>
      <x:c r="C215" s="73" t="n">
        <x:v>46214.5</x:v>
      </x:c>
      <x:c r="D215" s="67" t="str">
        <x:v>S08</x:v>
      </x:c>
      <x:c r="E215" s="67" t="str">
        <x:v>四季青店</x:v>
      </x:c>
      <x:c r="F215" s="67" t="str">
        <x:v>银行卡</x:v>
      </x:c>
      <x:c r="G215" s="76" t="n">
        <x:v>680.22</x:v>
      </x:c>
      <x:c r="H215" s="88" t="n">
        <x:v>0.001</x:v>
      </x:c>
      <x:c r="I215" s="79" t="n">
        <x:f>G215*H215</x:f>
        <x:v>0.68022</x:v>
      </x:c>
      <x:c r="J215" s="88" t="n">
        <x:v>0.005</x:v>
      </x:c>
      <x:c r="K215" s="79" t="n">
        <x:f>G215*J215</x:f>
        <x:v>3.4011</x:v>
      </x:c>
      <x:c r="L215" s="79" t="n">
        <x:f>G215-I215-K215</x:f>
        <x:v>676.13868</x:v>
      </x:c>
      <x:c r="M215" s="76" t="n">
        <x:v>676.14</x:v>
      </x:c>
      <x:c r="N215" s="79" t="n">
        <x:f>M215-L215</x:f>
        <x:v>0.0013199999999642387</x:v>
      </x:c>
      <x:c r="O215" s="67" t="str">
        <x:f>IF(ABS(N215)&lt;=1,"已对账","待核对")</x:f>
        <x:v>已对账</x:v>
      </x:c>
      <x:c r="P215" s="67" t="str">
        <x:v>S-模拟支付账单</x:v>
      </x:c>
    </x:row>
    <x:row r="216">
      <x:c r="A216" s="67" t="str">
        <x:v>PAY-00212</x:v>
      </x:c>
      <x:c r="B216" s="73" t="n">
        <x:v>46213.5</x:v>
      </x:c>
      <x:c r="C216" s="73" t="n">
        <x:v>46213.5</x:v>
      </x:c>
      <x:c r="D216" s="67" t="str">
        <x:v>S08</x:v>
      </x:c>
      <x:c r="E216" s="67" t="str">
        <x:v>四季青店</x:v>
      </x:c>
      <x:c r="F216" s="67" t="str">
        <x:v>现金</x:v>
      </x:c>
      <x:c r="G216" s="76" t="n">
        <x:v>680.22</x:v>
      </x:c>
      <x:c r="H216" s="88" t="n">
        <x:v>0</x:v>
      </x:c>
      <x:c r="I216" s="79" t="n">
        <x:f>G216*H216</x:f>
        <x:v>0</x:v>
      </x:c>
      <x:c r="J216" s="88" t="n">
        <x:v>0</x:v>
      </x:c>
      <x:c r="K216" s="79" t="n">
        <x:f>G216*J216</x:f>
        <x:v>0</x:v>
      </x:c>
      <x:c r="L216" s="79" t="n">
        <x:f>G216-I216-K216</x:f>
        <x:v>680.22</x:v>
      </x:c>
      <x:c r="M216" s="76" t="n">
        <x:v>680.22</x:v>
      </x:c>
      <x:c r="N216" s="79" t="n">
        <x:f>M216-L216</x:f>
        <x:v>0</x:v>
      </x:c>
      <x:c r="O216" s="67" t="str">
        <x:f>IF(ABS(N216)&lt;=1,"已对账","待核对")</x:f>
        <x:v>已对账</x:v>
      </x:c>
      <x:c r="P216" s="67" t="str">
        <x:v>S-模拟支付账单</x:v>
      </x:c>
    </x:row>
    <x:row r="217">
      <x:c r="A217" s="67" t="str">
        <x:v>PAY-00213</x:v>
      </x:c>
      <x:c r="B217" s="73" t="n">
        <x:v>46214.5</x:v>
      </x:c>
      <x:c r="C217" s="73" t="n">
        <x:v>46215.5</x:v>
      </x:c>
      <x:c r="D217" s="67" t="str">
        <x:v>S08</x:v>
      </x:c>
      <x:c r="E217" s="67" t="str">
        <x:v>四季青店</x:v>
      </x:c>
      <x:c r="F217" s="67" t="str">
        <x:v>微信支付</x:v>
      </x:c>
      <x:c r="G217" s="76" t="n">
        <x:v>2347.29</x:v>
      </x:c>
      <x:c r="H217" s="88" t="n">
        <x:v>0.003</x:v>
      </x:c>
      <x:c r="I217" s="79" t="n">
        <x:f>G217*H217</x:f>
        <x:v>7.04187</x:v>
      </x:c>
      <x:c r="J217" s="88" t="n">
        <x:v>0.0038</x:v>
      </x:c>
      <x:c r="K217" s="79" t="n">
        <x:f>G217*J217</x:f>
        <x:v>8.919702</x:v>
      </x:c>
      <x:c r="L217" s="79" t="n">
        <x:f>G217-I217-K217</x:f>
        <x:v>2331.328428</x:v>
      </x:c>
      <x:c r="M217" s="76" t="n">
        <x:v>2331.33</x:v>
      </x:c>
      <x:c r="N217" s="79" t="n">
        <x:f>M217-L217</x:f>
        <x:v>0.0015720000001238077</x:v>
      </x:c>
      <x:c r="O217" s="67" t="str">
        <x:f>IF(ABS(N217)&lt;=1,"已对账","待核对")</x:f>
        <x:v>已对账</x:v>
      </x:c>
      <x:c r="P217" s="67" t="str">
        <x:v>S-模拟支付账单</x:v>
      </x:c>
    </x:row>
    <x:row r="218">
      <x:c r="A218" s="67" t="str">
        <x:v>PAY-00214</x:v>
      </x:c>
      <x:c r="B218" s="73" t="n">
        <x:v>46214.5</x:v>
      </x:c>
      <x:c r="C218" s="73" t="n">
        <x:v>46215.5</x:v>
      </x:c>
      <x:c r="D218" s="67" t="str">
        <x:v>S08</x:v>
      </x:c>
      <x:c r="E218" s="67" t="str">
        <x:v>四季青店</x:v>
      </x:c>
      <x:c r="F218" s="67" t="str">
        <x:v>支付宝</x:v>
      </x:c>
      <x:c r="G218" s="76" t="n">
        <x:v>1825.67</x:v>
      </x:c>
      <x:c r="H218" s="88" t="n">
        <x:v>0.002</x:v>
      </x:c>
      <x:c r="I218" s="79" t="n">
        <x:f>G218*H218</x:f>
        <x:v>3.6513400000000003</x:v>
      </x:c>
      <x:c r="J218" s="88" t="n">
        <x:v>0.0038</x:v>
      </x:c>
      <x:c r="K218" s="79" t="n">
        <x:f>G218*J218</x:f>
        <x:v>6.937546</x:v>
      </x:c>
      <x:c r="L218" s="79" t="n">
        <x:f>G218-I218-K218</x:f>
        <x:v>1815.081114</x:v>
      </x:c>
      <x:c r="M218" s="76" t="n">
        <x:v>1815.08</x:v>
      </x:c>
      <x:c r="N218" s="79" t="n">
        <x:f>M218-L218</x:f>
        <x:v>-0.0011140000001432782</x:v>
      </x:c>
      <x:c r="O218" s="67" t="str">
        <x:f>IF(ABS(N218)&lt;=1,"已对账","待核对")</x:f>
        <x:v>已对账</x:v>
      </x:c>
      <x:c r="P218" s="67" t="str">
        <x:v>S-模拟支付账单</x:v>
      </x:c>
    </x:row>
    <x:row r="219">
      <x:c r="A219" s="67" t="str">
        <x:v>PAY-00215</x:v>
      </x:c>
      <x:c r="B219" s="73" t="n">
        <x:v>46214.5</x:v>
      </x:c>
      <x:c r="C219" s="73" t="n">
        <x:v>46215.5</x:v>
      </x:c>
      <x:c r="D219" s="67" t="str">
        <x:v>S08</x:v>
      </x:c>
      <x:c r="E219" s="67" t="str">
        <x:v>四季青店</x:v>
      </x:c>
      <x:c r="F219" s="67" t="str">
        <x:v>银行卡</x:v>
      </x:c>
      <x:c r="G219" s="76" t="n">
        <x:v>521.62</x:v>
      </x:c>
      <x:c r="H219" s="88" t="n">
        <x:v>0.001</x:v>
      </x:c>
      <x:c r="I219" s="79" t="n">
        <x:f>G219*H219</x:f>
        <x:v>0.52162</x:v>
      </x:c>
      <x:c r="J219" s="88" t="n">
        <x:v>0.005</x:v>
      </x:c>
      <x:c r="K219" s="79" t="n">
        <x:f>G219*J219</x:f>
        <x:v>2.6081</x:v>
      </x:c>
      <x:c r="L219" s="79" t="n">
        <x:f>G219-I219-K219</x:f>
        <x:v>518.49028</x:v>
      </x:c>
      <x:c r="M219" s="76" t="n">
        <x:v>518.49</x:v>
      </x:c>
      <x:c r="N219" s="79" t="n">
        <x:f>M219-L219</x:f>
        <x:v>-0.000279999999975189</x:v>
      </x:c>
      <x:c r="O219" s="67" t="str">
        <x:f>IF(ABS(N219)&lt;=1,"已对账","待核对")</x:f>
        <x:v>已对账</x:v>
      </x:c>
      <x:c r="P219" s="67" t="str">
        <x:v>S-模拟支付账单</x:v>
      </x:c>
    </x:row>
    <x:row r="220">
      <x:c r="A220" s="67" t="str">
        <x:v>PAY-00216</x:v>
      </x:c>
      <x:c r="B220" s="73" t="n">
        <x:v>46214.5</x:v>
      </x:c>
      <x:c r="C220" s="73" t="n">
        <x:v>46214.5</x:v>
      </x:c>
      <x:c r="D220" s="67" t="str">
        <x:v>S08</x:v>
      </x:c>
      <x:c r="E220" s="67" t="str">
        <x:v>四季青店</x:v>
      </x:c>
      <x:c r="F220" s="67" t="str">
        <x:v>现金</x:v>
      </x:c>
      <x:c r="G220" s="76" t="n">
        <x:v>521.62</x:v>
      </x:c>
      <x:c r="H220" s="88" t="n">
        <x:v>0</x:v>
      </x:c>
      <x:c r="I220" s="79" t="n">
        <x:f>G220*H220</x:f>
        <x:v>0</x:v>
      </x:c>
      <x:c r="J220" s="88" t="n">
        <x:v>0</x:v>
      </x:c>
      <x:c r="K220" s="79" t="n">
        <x:f>G220*J220</x:f>
        <x:v>0</x:v>
      </x:c>
      <x:c r="L220" s="79" t="n">
        <x:f>G220-I220-K220</x:f>
        <x:v>521.62</x:v>
      </x:c>
      <x:c r="M220" s="76" t="n">
        <x:v>521.62</x:v>
      </x:c>
      <x:c r="N220" s="79" t="n">
        <x:f>M220-L220</x:f>
        <x:v>0</x:v>
      </x:c>
      <x:c r="O220" s="67" t="str">
        <x:f>IF(ABS(N220)&lt;=1,"已对账","待核对")</x:f>
        <x:v>已对账</x:v>
      </x:c>
      <x:c r="P220" s="67" t="str">
        <x:v>S-模拟支付账单</x:v>
      </x:c>
    </x:row>
    <x:row r="221">
      <x:c r="A221" s="67" t="str">
        <x:v>PAY-00217</x:v>
      </x:c>
      <x:c r="B221" s="73" t="n">
        <x:v>46215.5</x:v>
      </x:c>
      <x:c r="C221" s="73" t="n">
        <x:v>46216.5</x:v>
      </x:c>
      <x:c r="D221" s="67" t="str">
        <x:v>S08</x:v>
      </x:c>
      <x:c r="E221" s="67" t="str">
        <x:v>四季青店</x:v>
      </x:c>
      <x:c r="F221" s="67" t="str">
        <x:v>微信支付</x:v>
      </x:c>
      <x:c r="G221" s="76" t="n">
        <x:v>2289.78</x:v>
      </x:c>
      <x:c r="H221" s="88" t="n">
        <x:v>0.003</x:v>
      </x:c>
      <x:c r="I221" s="79" t="n">
        <x:f>G221*H221</x:f>
        <x:v>6.869340000000001</x:v>
      </x:c>
      <x:c r="J221" s="88" t="n">
        <x:v>0.0038</x:v>
      </x:c>
      <x:c r="K221" s="79" t="n">
        <x:f>G221*J221</x:f>
        <x:v>8.701164</x:v>
      </x:c>
      <x:c r="L221" s="79" t="n">
        <x:f>G221-I221-K221</x:f>
        <x:v>2274.209496</x:v>
      </x:c>
      <x:c r="M221" s="76" t="n">
        <x:v>2274.21</x:v>
      </x:c>
      <x:c r="N221" s="79" t="n">
        <x:f>M221-L221</x:f>
        <x:v>0.0005040000000917644</x:v>
      </x:c>
      <x:c r="O221" s="67" t="str">
        <x:f>IF(ABS(N221)&lt;=1,"已对账","待核对")</x:f>
        <x:v>已对账</x:v>
      </x:c>
      <x:c r="P221" s="67" t="str">
        <x:v>S-模拟支付账单</x:v>
      </x:c>
    </x:row>
    <x:row r="222">
      <x:c r="A222" s="67" t="str">
        <x:v>PAY-00218</x:v>
      </x:c>
      <x:c r="B222" s="73" t="n">
        <x:v>46215.5</x:v>
      </x:c>
      <x:c r="C222" s="73" t="n">
        <x:v>46216.5</x:v>
      </x:c>
      <x:c r="D222" s="67" t="str">
        <x:v>S08</x:v>
      </x:c>
      <x:c r="E222" s="67" t="str">
        <x:v>四季青店</x:v>
      </x:c>
      <x:c r="F222" s="67" t="str">
        <x:v>支付宝</x:v>
      </x:c>
      <x:c r="G222" s="76" t="n">
        <x:v>1780.94</x:v>
      </x:c>
      <x:c r="H222" s="88" t="n">
        <x:v>0.002</x:v>
      </x:c>
      <x:c r="I222" s="79" t="n">
        <x:f>G222*H222</x:f>
        <x:v>3.5618800000000004</x:v>
      </x:c>
      <x:c r="J222" s="88" t="n">
        <x:v>0.0038</x:v>
      </x:c>
      <x:c r="K222" s="79" t="n">
        <x:f>G222*J222</x:f>
        <x:v>6.767572</x:v>
      </x:c>
      <x:c r="L222" s="79" t="n">
        <x:f>G222-I222-K222</x:f>
        <x:v>1770.610548</x:v>
      </x:c>
      <x:c r="M222" s="76" t="n">
        <x:v>1770.61</x:v>
      </x:c>
      <x:c r="N222" s="79" t="n">
        <x:f>M222-L222</x:f>
        <x:v>-0.0005480000002080487</x:v>
      </x:c>
      <x:c r="O222" s="67" t="str">
        <x:f>IF(ABS(N222)&lt;=1,"已对账","待核对")</x:f>
        <x:v>已对账</x:v>
      </x:c>
      <x:c r="P222" s="67" t="str">
        <x:v>S-模拟支付账单</x:v>
      </x:c>
    </x:row>
    <x:row r="223">
      <x:c r="A223" s="67" t="str">
        <x:v>PAY-00219</x:v>
      </x:c>
      <x:c r="B223" s="73" t="n">
        <x:v>46215.5</x:v>
      </x:c>
      <x:c r="C223" s="73" t="n">
        <x:v>46216.5</x:v>
      </x:c>
      <x:c r="D223" s="67" t="str">
        <x:v>S08</x:v>
      </x:c>
      <x:c r="E223" s="67" t="str">
        <x:v>四季青店</x:v>
      </x:c>
      <x:c r="F223" s="67" t="str">
        <x:v>银行卡</x:v>
      </x:c>
      <x:c r="G223" s="76" t="n">
        <x:v>508.84</x:v>
      </x:c>
      <x:c r="H223" s="88" t="n">
        <x:v>0.001</x:v>
      </x:c>
      <x:c r="I223" s="79" t="n">
        <x:f>G223*H223</x:f>
        <x:v>0.50884</x:v>
      </x:c>
      <x:c r="J223" s="88" t="n">
        <x:v>0.005</x:v>
      </x:c>
      <x:c r="K223" s="79" t="n">
        <x:f>G223*J223</x:f>
        <x:v>2.5442</x:v>
      </x:c>
      <x:c r="L223" s="79" t="n">
        <x:f>G223-I223-K223</x:f>
        <x:v>505.78695999999997</x:v>
      </x:c>
      <x:c r="M223" s="76" t="n">
        <x:v>505.79</x:v>
      </x:c>
      <x:c r="N223" s="79" t="n">
        <x:f>M223-L223</x:f>
        <x:v>0.003040000000055443</x:v>
      </x:c>
      <x:c r="O223" s="67" t="str">
        <x:f>IF(ABS(N223)&lt;=1,"已对账","待核对")</x:f>
        <x:v>已对账</x:v>
      </x:c>
      <x:c r="P223" s="67" t="str">
        <x:v>S-模拟支付账单</x:v>
      </x:c>
    </x:row>
    <x:row r="224">
      <x:c r="A224" s="67" t="str">
        <x:v>PAY-00220</x:v>
      </x:c>
      <x:c r="B224" s="73" t="n">
        <x:v>46215.5</x:v>
      </x:c>
      <x:c r="C224" s="73" t="n">
        <x:v>46215.5</x:v>
      </x:c>
      <x:c r="D224" s="67" t="str">
        <x:v>S08</x:v>
      </x:c>
      <x:c r="E224" s="67" t="str">
        <x:v>四季青店</x:v>
      </x:c>
      <x:c r="F224" s="67" t="str">
        <x:v>现金</x:v>
      </x:c>
      <x:c r="G224" s="76" t="n">
        <x:v>508.84</x:v>
      </x:c>
      <x:c r="H224" s="88" t="n">
        <x:v>0</x:v>
      </x:c>
      <x:c r="I224" s="79" t="n">
        <x:f>G224*H224</x:f>
        <x:v>0</x:v>
      </x:c>
      <x:c r="J224" s="88" t="n">
        <x:v>0</x:v>
      </x:c>
      <x:c r="K224" s="79" t="n">
        <x:f>G224*J224</x:f>
        <x:v>0</x:v>
      </x:c>
      <x:c r="L224" s="79" t="n">
        <x:f>G224-I224-K224</x:f>
        <x:v>508.84</x:v>
      </x:c>
      <x:c r="M224" s="76" t="n">
        <x:v>508.84</x:v>
      </x:c>
      <x:c r="N224" s="79" t="n">
        <x:f>M224-L224</x:f>
        <x:v>0</x:v>
      </x:c>
      <x:c r="O224" s="67" t="str">
        <x:f>IF(ABS(N224)&lt;=1,"已对账","待核对")</x:f>
        <x:v>已对账</x:v>
      </x:c>
      <x:c r="P224" s="67" t="str">
        <x:v>S-模拟支付账单</x:v>
      </x:c>
    </x:row>
    <x:row r="225">
      <x:c r="A225" s="67" t="str">
        <x:v>PAY-00221</x:v>
      </x:c>
      <x:c r="B225" s="73" t="n">
        <x:v>46216.5</x:v>
      </x:c>
      <x:c r="C225" s="73" t="n">
        <x:v>46217.5</x:v>
      </x:c>
      <x:c r="D225" s="67" t="str">
        <x:v>S08</x:v>
      </x:c>
      <x:c r="E225" s="67" t="str">
        <x:v>四季青店</x:v>
      </x:c>
      <x:c r="F225" s="67" t="str">
        <x:v>微信支付</x:v>
      </x:c>
      <x:c r="G225" s="76" t="n">
        <x:v>3290.13</x:v>
      </x:c>
      <x:c r="H225" s="88" t="n">
        <x:v>0.003</x:v>
      </x:c>
      <x:c r="I225" s="79" t="n">
        <x:f>G225*H225</x:f>
        <x:v>9.87039</x:v>
      </x:c>
      <x:c r="J225" s="88" t="n">
        <x:v>0.0038</x:v>
      </x:c>
      <x:c r="K225" s="79" t="n">
        <x:f>G225*J225</x:f>
        <x:v>12.502494</x:v>
      </x:c>
      <x:c r="L225" s="79" t="n">
        <x:f>G225-I225-K225</x:f>
        <x:v>3267.757116</x:v>
      </x:c>
      <x:c r="M225" s="76" t="n">
        <x:v>3267.76</x:v>
      </x:c>
      <x:c r="N225" s="79" t="n">
        <x:f>M225-L225</x:f>
        <x:v>0.0028839999999945576</x:v>
      </x:c>
      <x:c r="O225" s="67" t="str">
        <x:f>IF(ABS(N225)&lt;=1,"已对账","待核对")</x:f>
        <x:v>已对账</x:v>
      </x:c>
      <x:c r="P225" s="67" t="str">
        <x:v>S-模拟支付账单</x:v>
      </x:c>
    </x:row>
    <x:row r="226">
      <x:c r="A226" s="67" t="str">
        <x:v>PAY-00222</x:v>
      </x:c>
      <x:c r="B226" s="73" t="n">
        <x:v>46216.5</x:v>
      </x:c>
      <x:c r="C226" s="73" t="n">
        <x:v>46217.5</x:v>
      </x:c>
      <x:c r="D226" s="67" t="str">
        <x:v>S08</x:v>
      </x:c>
      <x:c r="E226" s="67" t="str">
        <x:v>四季青店</x:v>
      </x:c>
      <x:c r="F226" s="67" t="str">
        <x:v>支付宝</x:v>
      </x:c>
      <x:c r="G226" s="76" t="n">
        <x:v>2558.99</x:v>
      </x:c>
      <x:c r="H226" s="88" t="n">
        <x:v>0.002</x:v>
      </x:c>
      <x:c r="I226" s="79" t="n">
        <x:f>G226*H226</x:f>
        <x:v>5.117979999999999</x:v>
      </x:c>
      <x:c r="J226" s="88" t="n">
        <x:v>0.0038</x:v>
      </x:c>
      <x:c r="K226" s="79" t="n">
        <x:f>G226*J226</x:f>
        <x:v>9.724162</x:v>
      </x:c>
      <x:c r="L226" s="79" t="n">
        <x:f>G226-I226-K226</x:f>
        <x:v>2544.147858</x:v>
      </x:c>
      <x:c r="M226" s="76" t="n">
        <x:v>2544.15</x:v>
      </x:c>
      <x:c r="N226" s="79" t="n">
        <x:f>M226-L226</x:f>
        <x:v>0.0021420000002763118</x:v>
      </x:c>
      <x:c r="O226" s="67" t="str">
        <x:f>IF(ABS(N226)&lt;=1,"已对账","待核对")</x:f>
        <x:v>已对账</x:v>
      </x:c>
      <x:c r="P226" s="67" t="str">
        <x:v>S-模拟支付账单</x:v>
      </x:c>
    </x:row>
    <x:row r="227">
      <x:c r="A227" s="67" t="str">
        <x:v>PAY-00223</x:v>
      </x:c>
      <x:c r="B227" s="73" t="n">
        <x:v>46216.5</x:v>
      </x:c>
      <x:c r="C227" s="73" t="n">
        <x:v>46217.5</x:v>
      </x:c>
      <x:c r="D227" s="67" t="str">
        <x:v>S08</x:v>
      </x:c>
      <x:c r="E227" s="67" t="str">
        <x:v>四季青店</x:v>
      </x:c>
      <x:c r="F227" s="67" t="str">
        <x:v>银行卡</x:v>
      </x:c>
      <x:c r="G227" s="76" t="n">
        <x:v>731.14</x:v>
      </x:c>
      <x:c r="H227" s="88" t="n">
        <x:v>0.001</x:v>
      </x:c>
      <x:c r="I227" s="79" t="n">
        <x:f>G227*H227</x:f>
        <x:v>0.73114</x:v>
      </x:c>
      <x:c r="J227" s="88" t="n">
        <x:v>0.005</x:v>
      </x:c>
      <x:c r="K227" s="79" t="n">
        <x:f>G227*J227</x:f>
        <x:v>3.6557</x:v>
      </x:c>
      <x:c r="L227" s="79" t="n">
        <x:f>G227-I227-K227</x:f>
        <x:v>726.75316</x:v>
      </x:c>
      <x:c r="M227" s="76" t="n">
        <x:v>726.75</x:v>
      </x:c>
      <x:c r="N227" s="79" t="n">
        <x:f>M227-L227</x:f>
        <x:v>-0.0031599999999798456</x:v>
      </x:c>
      <x:c r="O227" s="67" t="str">
        <x:f>IF(ABS(N227)&lt;=1,"已对账","待核对")</x:f>
        <x:v>已对账</x:v>
      </x:c>
      <x:c r="P227" s="67" t="str">
        <x:v>S-模拟支付账单</x:v>
      </x:c>
    </x:row>
    <x:row r="228">
      <x:c r="A228" s="68" t="str">
        <x:v>PAY-00224</x:v>
      </x:c>
      <x:c r="B228" s="74" t="n">
        <x:v>46216.5</x:v>
      </x:c>
      <x:c r="C228" s="74" t="n">
        <x:v>46216.5</x:v>
      </x:c>
      <x:c r="D228" s="68" t="str">
        <x:v>S08</x:v>
      </x:c>
      <x:c r="E228" s="68" t="str">
        <x:v>四季青店</x:v>
      </x:c>
      <x:c r="F228" s="68" t="str">
        <x:v>现金</x:v>
      </x:c>
      <x:c r="G228" s="77" t="n">
        <x:v>731.14</x:v>
      </x:c>
      <x:c r="H228" s="89" t="n">
        <x:v>0</x:v>
      </x:c>
      <x:c r="I228" s="80" t="n">
        <x:f>G228*H228</x:f>
        <x:v>0</x:v>
      </x:c>
      <x:c r="J228" s="89" t="n">
        <x:v>0</x:v>
      </x:c>
      <x:c r="K228" s="80" t="n">
        <x:f>G228*J228</x:f>
        <x:v>0</x:v>
      </x:c>
      <x:c r="L228" s="80" t="n">
        <x:f>G228-I228-K228</x:f>
        <x:v>731.14</x:v>
      </x:c>
      <x:c r="M228" s="77" t="n">
        <x:v>731.14</x:v>
      </x:c>
      <x:c r="N228" s="80" t="n">
        <x:f>M228-L228</x:f>
        <x:v>0</x:v>
      </x:c>
      <x:c r="O228" s="68" t="str">
        <x:f>IF(ABS(N228)&lt;=1,"已对账","待核对")</x:f>
        <x:v>已对账</x:v>
      </x:c>
      <x:c r="P228" s="68" t="str">
        <x:v>S-模拟支付账单</x:v>
      </x:c>
    </x:row>
  </x:sheetData>
  <x:mergeCells>
    <x:mergeCell ref="A1:P1"/>
    <x:mergeCell ref="A2:P2"/>
  </x:mergeCells>
  <x:conditionalFormatting sqref="O5:O228">
    <x:cfRule type="containsText" dxfId="13" priority="1" operator="containsText" text="正常"/>
    <x:cfRule type="containsText" dxfId="14" priority="2" operator="containsText" text="安全"/>
    <x:cfRule type="containsText" dxfId="15" priority="3" operator="containsText" text="已对账"/>
    <x:cfRule type="containsText" dxfId="16" priority="4" operator="containsText" text="已结清"/>
    <x:cfRule type="containsText" dxfId="17" priority="5" operator="containsText" text="亏损"/>
    <x:cfRule type="containsText" dxfId="18" priority="6" operator="containsText" text="缺口"/>
    <x:cfRule type="containsText" dxfId="19" priority="7" operator="containsText" text="待核对"/>
    <x:cfRule type="containsText" dxfId="20" priority="8" operator="containsText" text="逾期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9" hidden="0" customWidth="1"/>
    <x:col min="4" max="4" width="10" hidden="0" customWidth="1"/>
    <x:col min="5" max="5" width="16" hidden="0" customWidth="1"/>
    <x:col min="6" max="6" width="16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12" hidden="0" customWidth="1"/>
    <x:col min="12" max="12" width="13" hidden="0" customWidth="1"/>
    <x:col min="13" max="13" width="12" hidden="0" customWidth="1"/>
    <x:col min="14" max="14" width="16" hidden="0" customWidth="1"/>
    <x:col min="15" max="15" width="28" hidden="0" customWidth="1"/>
  </x:cols>
  <x:sheetData>
    <x:row r="1" ht="30" customHeight="1">
      <x:c r="A1" s="52" t="str">
        <x:v>岗位排班与实际工时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</x:row>
    <x:row r="2" ht="28" customHeight="1">
      <x:c r="A2" s="56" t="str">
        <x:v>按门店、日期和岗位记录计划/实际工时；月度损益按7天实际人工成本折算30天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</x:row>
    <x:row r="4" ht="34" customHeight="1">
      <x:c r="A4" s="61" t="str">
        <x:v>排班ID</x:v>
      </x:c>
      <x:c r="B4" s="61" t="str">
        <x:v>日期</x:v>
      </x:c>
      <x:c r="C4" s="61" t="str">
        <x:v>星期</x:v>
      </x:c>
      <x:c r="D4" s="61" t="str">
        <x:v>门店ID</x:v>
      </x:c>
      <x:c r="E4" s="61" t="str">
        <x:v>门店</x:v>
      </x:c>
      <x:c r="F4" s="61" t="str">
        <x:v>角色</x:v>
      </x:c>
      <x:c r="G4" s="61" t="str">
        <x:v>计划人数</x:v>
      </x:c>
      <x:c r="H4" s="61" t="str">
        <x:v>计划工时</x:v>
      </x:c>
      <x:c r="I4" s="61" t="str">
        <x:v>实际工时</x:v>
      </x:c>
      <x:c r="J4" s="61" t="str">
        <x:v>综合时薪</x:v>
      </x:c>
      <x:c r="K4" s="61" t="str">
        <x:v>人工成本</x:v>
      </x:c>
      <x:c r="L4" s="61" t="str">
        <x:v>当日门店流水</x:v>
      </x:c>
      <x:c r="M4" s="61" t="str">
        <x:v>销售/工时</x:v>
      </x:c>
      <x:c r="N4" s="61" t="str">
        <x:v>主要时段</x:v>
      </x:c>
      <x:c r="O4" s="61" t="str">
        <x:v>异常说明</x:v>
      </x:c>
    </x:row>
    <x:row r="5">
      <x:c r="A5" s="66" t="str">
        <x:v>SHIFT-00001</x:v>
      </x:c>
      <x:c r="B5" s="72" t="n">
        <x:v>46210.5</x:v>
      </x:c>
      <x:c r="C5" s="66" t="str">
        <x:v>周二</x:v>
      </x:c>
      <x:c r="D5" s="66" t="str">
        <x:v>S01</x:v>
      </x:c>
      <x:c r="E5" s="66" t="str">
        <x:v>近江天阳店</x:v>
      </x:c>
      <x:c r="F5" s="66" t="str">
        <x:v>店长/收货</x:v>
      </x:c>
      <x:c r="G5" s="69" t="n">
        <x:v>1</x:v>
      </x:c>
      <x:c r="H5" s="75" t="n">
        <x:v>10</x:v>
      </x:c>
      <x:c r="I5" s="75" t="n">
        <x:v>9.5</x:v>
      </x:c>
      <x:c r="J5" s="75" t="n">
        <x:v>31.96</x:v>
      </x:c>
      <x:c r="K5" s="78" t="n">
        <x:f>I5*J5</x:f>
        <x:v>303.62</x:v>
      </x:c>
      <x:c r="L5" s="93" t="n">
        <x:f>SUMIFS('门店日汇总'!$H$5:$H$60,'门店日汇总'!$A$5:$A$60,B5,'门店日汇总'!$C$5:$C$60,D5)</x:f>
        <x:v>10255.099999999999</x:v>
      </x:c>
      <x:c r="M5" s="78" t="n">
        <x:f>IFERROR(L5/SUMIFS($I$5:$I$340,$B$5:$B$340,B5,$D$5:$D$340,D5),0)</x:f>
        <x:v>147.5553956834532</x:v>
      </x:c>
      <x:c r="N5" s="66" t="str">
        <x:v>开市+午晚高峰</x:v>
      </x:c>
      <x:c r="O5" s="66" t="str"/>
    </x:row>
    <x:row r="6">
      <x:c r="A6" s="67" t="str">
        <x:v>SHIFT-00002</x:v>
      </x:c>
      <x:c r="B6" s="73" t="n">
        <x:v>46210.5</x:v>
      </x:c>
      <x:c r="C6" s="67" t="str">
        <x:v>周二</x:v>
      </x:c>
      <x:c r="D6" s="67" t="str">
        <x:v>S01</x:v>
      </x:c>
      <x:c r="E6" s="67" t="str">
        <x:v>近江天阳店</x:v>
      </x:c>
      <x:c r="F6" s="67" t="str">
        <x:v>服务员</x:v>
      </x:c>
      <x:c r="G6" s="70" t="n">
        <x:v>2</x:v>
      </x:c>
      <x:c r="H6" s="76" t="n">
        <x:v>16</x:v>
      </x:c>
      <x:c r="I6" s="76" t="n">
        <x:v>15.75</x:v>
      </x:c>
      <x:c r="J6" s="76" t="n">
        <x:v>24.44</x:v>
      </x:c>
      <x:c r="K6" s="79" t="n">
        <x:f>I6*J6</x:f>
        <x:v>384.93</x:v>
      </x:c>
      <x:c r="L6" s="94" t="n">
        <x:f>SUMIFS('门店日汇总'!$H$5:$H$60,'门店日汇总'!$A$5:$A$60,B6,'门店日汇总'!$C$5:$C$60,D6)</x:f>
        <x:v>10255.099999999999</x:v>
      </x:c>
      <x:c r="M6" s="79" t="n">
        <x:f>IFERROR(L6/SUMIFS($I$5:$I$340,$B$5:$B$340,B6,$D$5:$D$340,D6),0)</x:f>
        <x:v>147.5553956834532</x:v>
      </x:c>
      <x:c r="N6" s="67" t="str">
        <x:v>午晚高峰</x:v>
      </x:c>
      <x:c r="O6" s="67" t="str"/>
    </x:row>
    <x:row r="7">
      <x:c r="A7" s="67" t="str">
        <x:v>SHIFT-00003</x:v>
      </x:c>
      <x:c r="B7" s="73" t="n">
        <x:v>46210.5</x:v>
      </x:c>
      <x:c r="C7" s="67" t="str">
        <x:v>周二</x:v>
      </x:c>
      <x:c r="D7" s="67" t="str">
        <x:v>S01</x:v>
      </x:c>
      <x:c r="E7" s="67" t="str">
        <x:v>近江天阳店</x:v>
      </x:c>
      <x:c r="F7" s="67" t="str">
        <x:v>后厨小工</x:v>
      </x:c>
      <x:c r="G7" s="70" t="n">
        <x:v>2</x:v>
      </x:c>
      <x:c r="H7" s="76" t="n">
        <x:v>16</x:v>
      </x:c>
      <x:c r="I7" s="76" t="n">
        <x:v>16</x:v>
      </x:c>
      <x:c r="J7" s="76" t="n">
        <x:v>26.32</x:v>
      </x:c>
      <x:c r="K7" s="79" t="n">
        <x:f>I7*J7</x:f>
        <x:v>421.12</x:v>
      </x:c>
      <x:c r="L7" s="94" t="n">
        <x:f>SUMIFS('门店日汇总'!$H$5:$H$60,'门店日汇总'!$A$5:$A$60,B7,'门店日汇总'!$C$5:$C$60,D7)</x:f>
        <x:v>10255.099999999999</x:v>
      </x:c>
      <x:c r="M7" s="79" t="n">
        <x:f>IFERROR(L7/SUMIFS($I$5:$I$340,$B$5:$B$340,B7,$D$5:$D$340,D7),0)</x:f>
        <x:v>147.5553956834532</x:v>
      </x:c>
      <x:c r="N7" s="67" t="str">
        <x:v>备菜+午晚高峰</x:v>
      </x:c>
      <x:c r="O7" s="67" t="str"/>
    </x:row>
    <x:row r="8">
      <x:c r="A8" s="67" t="str">
        <x:v>SHIFT-00004</x:v>
      </x:c>
      <x:c r="B8" s="73" t="n">
        <x:v>46210.5</x:v>
      </x:c>
      <x:c r="C8" s="67" t="str">
        <x:v>周二</x:v>
      </x:c>
      <x:c r="D8" s="67" t="str">
        <x:v>S01</x:v>
      </x:c>
      <x:c r="E8" s="67" t="str">
        <x:v>近江天阳店</x:v>
      </x:c>
      <x:c r="F8" s="67" t="str">
        <x:v>炒菜机操作员</x:v>
      </x:c>
      <x:c r="G8" s="70" t="n">
        <x:v>2</x:v>
      </x:c>
      <x:c r="H8" s="76" t="n">
        <x:v>16</x:v>
      </x:c>
      <x:c r="I8" s="76" t="n">
        <x:v>16.25</x:v>
      </x:c>
      <x:c r="J8" s="76" t="n">
        <x:v>27.26</x:v>
      </x:c>
      <x:c r="K8" s="79" t="n">
        <x:f>I8*J8</x:f>
        <x:v>442.975</x:v>
      </x:c>
      <x:c r="L8" s="94" t="n">
        <x:f>SUMIFS('门店日汇总'!$H$5:$H$60,'门店日汇总'!$A$5:$A$60,B8,'门店日汇总'!$C$5:$C$60,D8)</x:f>
        <x:v>10255.099999999999</x:v>
      </x:c>
      <x:c r="M8" s="79" t="n">
        <x:f>IFERROR(L8/SUMIFS($I$5:$I$340,$B$5:$B$340,B8,$D$5:$D$340,D8),0)</x:f>
        <x:v>147.5553956834532</x:v>
      </x:c>
      <x:c r="N8" s="67" t="str">
        <x:v>午晚高峰</x:v>
      </x:c>
      <x:c r="O8" s="67" t="str"/>
    </x:row>
    <x:row r="9">
      <x:c r="A9" s="67" t="str">
        <x:v>SHIFT-00005</x:v>
      </x:c>
      <x:c r="B9" s="73" t="n">
        <x:v>46210.5</x:v>
      </x:c>
      <x:c r="C9" s="67" t="str">
        <x:v>周二</x:v>
      </x:c>
      <x:c r="D9" s="67" t="str">
        <x:v>S01</x:v>
      </x:c>
      <x:c r="E9" s="67" t="str">
        <x:v>近江天阳店</x:v>
      </x:c>
      <x:c r="F9" s="67" t="str">
        <x:v>收银/前厅</x:v>
      </x:c>
      <x:c r="G9" s="70" t="n">
        <x:v>1</x:v>
      </x:c>
      <x:c r="H9" s="76" t="n">
        <x:v>8</x:v>
      </x:c>
      <x:c r="I9" s="76" t="n">
        <x:v>8.5</x:v>
      </x:c>
      <x:c r="J9" s="76" t="n">
        <x:v>24.44</x:v>
      </x:c>
      <x:c r="K9" s="79" t="n">
        <x:f>I9*J9</x:f>
        <x:v>207.74</x:v>
      </x:c>
      <x:c r="L9" s="94" t="n">
        <x:f>SUMIFS('门店日汇总'!$H$5:$H$60,'门店日汇总'!$A$5:$A$60,B9,'门店日汇总'!$C$5:$C$60,D9)</x:f>
        <x:v>10255.099999999999</x:v>
      </x:c>
      <x:c r="M9" s="79" t="n">
        <x:f>IFERROR(L9/SUMIFS($I$5:$I$340,$B$5:$B$340,B9,$D$5:$D$340,D9),0)</x:f>
        <x:v>147.5553956834532</x:v>
      </x:c>
      <x:c r="N9" s="67" t="str">
        <x:v>全日</x:v>
      </x:c>
      <x:c r="O9" s="67" t="str"/>
    </x:row>
    <x:row r="10">
      <x:c r="A10" s="67" t="str">
        <x:v>SHIFT-00006</x:v>
      </x:c>
      <x:c r="B10" s="73" t="n">
        <x:v>46210.5</x:v>
      </x:c>
      <x:c r="C10" s="67" t="str">
        <x:v>周二</x:v>
      </x:c>
      <x:c r="D10" s="67" t="str">
        <x:v>S01</x:v>
      </x:c>
      <x:c r="E10" s="67" t="str">
        <x:v>近江天阳店</x:v>
      </x:c>
      <x:c r="F10" s="67" t="str">
        <x:v>保洁/兼职</x:v>
      </x:c>
      <x:c r="G10" s="70" t="n">
        <x:v>1</x:v>
      </x:c>
      <x:c r="H10" s="76" t="n">
        <x:v>4</x:v>
      </x:c>
      <x:c r="I10" s="76" t="n">
        <x:v>3.5</x:v>
      </x:c>
      <x:c r="J10" s="76" t="n">
        <x:v>22.56</x:v>
      </x:c>
      <x:c r="K10" s="79" t="n">
        <x:f>I10*J10</x:f>
        <x:v>78.96</x:v>
      </x:c>
      <x:c r="L10" s="94" t="n">
        <x:f>SUMIFS('门店日汇总'!$H$5:$H$60,'门店日汇总'!$A$5:$A$60,B10,'门店日汇总'!$C$5:$C$60,D10)</x:f>
        <x:v>10255.099999999999</x:v>
      </x:c>
      <x:c r="M10" s="79" t="n">
        <x:f>IFERROR(L10/SUMIFS($I$5:$I$340,$B$5:$B$340,B10,$D$5:$D$340,D10),0)</x:f>
        <x:v>147.5553956834532</x:v>
      </x:c>
      <x:c r="N10" s="67" t="str">
        <x:v>收市</x:v>
      </x:c>
      <x:c r="O10" s="67" t="str"/>
    </x:row>
    <x:row r="11">
      <x:c r="A11" s="67" t="str">
        <x:v>SHIFT-00007</x:v>
      </x:c>
      <x:c r="B11" s="73" t="n">
        <x:v>46211.5</x:v>
      </x:c>
      <x:c r="C11" s="67" t="str">
        <x:v>周三</x:v>
      </x:c>
      <x:c r="D11" s="67" t="str">
        <x:v>S01</x:v>
      </x:c>
      <x:c r="E11" s="67" t="str">
        <x:v>近江天阳店</x:v>
      </x:c>
      <x:c r="F11" s="67" t="str">
        <x:v>店长/收货</x:v>
      </x:c>
      <x:c r="G11" s="70" t="n">
        <x:v>1</x:v>
      </x:c>
      <x:c r="H11" s="76" t="n">
        <x:v>10</x:v>
      </x:c>
      <x:c r="I11" s="76" t="n">
        <x:v>9.75</x:v>
      </x:c>
      <x:c r="J11" s="76" t="n">
        <x:v>31.96</x:v>
      </x:c>
      <x:c r="K11" s="79" t="n">
        <x:f>I11*J11</x:f>
        <x:v>311.61</x:v>
      </x:c>
      <x:c r="L11" s="94" t="n">
        <x:f>SUMIFS('门店日汇总'!$H$5:$H$60,'门店日汇总'!$A$5:$A$60,B11,'门店日汇总'!$C$5:$C$60,D11)</x:f>
        <x:v>9977.699999999999</x:v>
      </x:c>
      <x:c r="M11" s="79" t="n">
        <x:f>IFERROR(L11/SUMIFS($I$5:$I$340,$B$5:$B$340,B11,$D$5:$D$340,D11),0)</x:f>
        <x:v>143.04946236559138</x:v>
      </x:c>
      <x:c r="N11" s="67" t="str">
        <x:v>开市+午晚高峰</x:v>
      </x:c>
      <x:c r="O11" s="67" t="str"/>
    </x:row>
    <x:row r="12">
      <x:c r="A12" s="67" t="str">
        <x:v>SHIFT-00008</x:v>
      </x:c>
      <x:c r="B12" s="73" t="n">
        <x:v>46211.5</x:v>
      </x:c>
      <x:c r="C12" s="67" t="str">
        <x:v>周三</x:v>
      </x:c>
      <x:c r="D12" s="67" t="str">
        <x:v>S01</x:v>
      </x:c>
      <x:c r="E12" s="67" t="str">
        <x:v>近江天阳店</x:v>
      </x:c>
      <x:c r="F12" s="67" t="str">
        <x:v>服务员</x:v>
      </x:c>
      <x:c r="G12" s="70" t="n">
        <x:v>2</x:v>
      </x:c>
      <x:c r="H12" s="76" t="n">
        <x:v>16</x:v>
      </x:c>
      <x:c r="I12" s="76" t="n">
        <x:v>16</x:v>
      </x:c>
      <x:c r="J12" s="76" t="n">
        <x:v>24.44</x:v>
      </x:c>
      <x:c r="K12" s="79" t="n">
        <x:f>I12*J12</x:f>
        <x:v>391.04</x:v>
      </x:c>
      <x:c r="L12" s="94" t="n">
        <x:f>SUMIFS('门店日汇总'!$H$5:$H$60,'门店日汇总'!$A$5:$A$60,B12,'门店日汇总'!$C$5:$C$60,D12)</x:f>
        <x:v>9977.699999999999</x:v>
      </x:c>
      <x:c r="M12" s="79" t="n">
        <x:f>IFERROR(L12/SUMIFS($I$5:$I$340,$B$5:$B$340,B12,$D$5:$D$340,D12),0)</x:f>
        <x:v>143.04946236559138</x:v>
      </x:c>
      <x:c r="N12" s="67" t="str">
        <x:v>午晚高峰</x:v>
      </x:c>
      <x:c r="O12" s="67" t="str"/>
    </x:row>
    <x:row r="13">
      <x:c r="A13" s="67" t="str">
        <x:v>SHIFT-00009</x:v>
      </x:c>
      <x:c r="B13" s="73" t="n">
        <x:v>46211.5</x:v>
      </x:c>
      <x:c r="C13" s="67" t="str">
        <x:v>周三</x:v>
      </x:c>
      <x:c r="D13" s="67" t="str">
        <x:v>S01</x:v>
      </x:c>
      <x:c r="E13" s="67" t="str">
        <x:v>近江天阳店</x:v>
      </x:c>
      <x:c r="F13" s="67" t="str">
        <x:v>后厨小工</x:v>
      </x:c>
      <x:c r="G13" s="70" t="n">
        <x:v>2</x:v>
      </x:c>
      <x:c r="H13" s="76" t="n">
        <x:v>16</x:v>
      </x:c>
      <x:c r="I13" s="76" t="n">
        <x:v>16.25</x:v>
      </x:c>
      <x:c r="J13" s="76" t="n">
        <x:v>26.32</x:v>
      </x:c>
      <x:c r="K13" s="79" t="n">
        <x:f>I13*J13</x:f>
        <x:v>427.7</x:v>
      </x:c>
      <x:c r="L13" s="94" t="n">
        <x:f>SUMIFS('门店日汇总'!$H$5:$H$60,'门店日汇总'!$A$5:$A$60,B13,'门店日汇总'!$C$5:$C$60,D13)</x:f>
        <x:v>9977.699999999999</x:v>
      </x:c>
      <x:c r="M13" s="79" t="n">
        <x:f>IFERROR(L13/SUMIFS($I$5:$I$340,$B$5:$B$340,B13,$D$5:$D$340,D13),0)</x:f>
        <x:v>143.04946236559138</x:v>
      </x:c>
      <x:c r="N13" s="67" t="str">
        <x:v>备菜+午晚高峰</x:v>
      </x:c>
      <x:c r="O13" s="67" t="str"/>
    </x:row>
    <x:row r="14">
      <x:c r="A14" s="67" t="str">
        <x:v>SHIFT-00010</x:v>
      </x:c>
      <x:c r="B14" s="73" t="n">
        <x:v>46211.5</x:v>
      </x:c>
      <x:c r="C14" s="67" t="str">
        <x:v>周三</x:v>
      </x:c>
      <x:c r="D14" s="67" t="str">
        <x:v>S01</x:v>
      </x:c>
      <x:c r="E14" s="67" t="str">
        <x:v>近江天阳店</x:v>
      </x:c>
      <x:c r="F14" s="67" t="str">
        <x:v>炒菜机操作员</x:v>
      </x:c>
      <x:c r="G14" s="70" t="n">
        <x:v>2</x:v>
      </x:c>
      <x:c r="H14" s="76" t="n">
        <x:v>16</x:v>
      </x:c>
      <x:c r="I14" s="76" t="n">
        <x:v>16.5</x:v>
      </x:c>
      <x:c r="J14" s="76" t="n">
        <x:v>27.26</x:v>
      </x:c>
      <x:c r="K14" s="79" t="n">
        <x:f>I14*J14</x:f>
        <x:v>449.79</x:v>
      </x:c>
      <x:c r="L14" s="94" t="n">
        <x:f>SUMIFS('门店日汇总'!$H$5:$H$60,'门店日汇总'!$A$5:$A$60,B14,'门店日汇总'!$C$5:$C$60,D14)</x:f>
        <x:v>9977.699999999999</x:v>
      </x:c>
      <x:c r="M14" s="79" t="n">
        <x:f>IFERROR(L14/SUMIFS($I$5:$I$340,$B$5:$B$340,B14,$D$5:$D$340,D14),0)</x:f>
        <x:v>143.04946236559138</x:v>
      </x:c>
      <x:c r="N14" s="67" t="str">
        <x:v>午晚高峰</x:v>
      </x:c>
      <x:c r="O14" s="67" t="str"/>
    </x:row>
    <x:row r="15">
      <x:c r="A15" s="67" t="str">
        <x:v>SHIFT-00011</x:v>
      </x:c>
      <x:c r="B15" s="73" t="n">
        <x:v>46211.5</x:v>
      </x:c>
      <x:c r="C15" s="67" t="str">
        <x:v>周三</x:v>
      </x:c>
      <x:c r="D15" s="67" t="str">
        <x:v>S01</x:v>
      </x:c>
      <x:c r="E15" s="67" t="str">
        <x:v>近江天阳店</x:v>
      </x:c>
      <x:c r="F15" s="67" t="str">
        <x:v>收银/前厅</x:v>
      </x:c>
      <x:c r="G15" s="70" t="n">
        <x:v>1</x:v>
      </x:c>
      <x:c r="H15" s="76" t="n">
        <x:v>8</x:v>
      </x:c>
      <x:c r="I15" s="76" t="n">
        <x:v>7.5</x:v>
      </x:c>
      <x:c r="J15" s="76" t="n">
        <x:v>24.44</x:v>
      </x:c>
      <x:c r="K15" s="79" t="n">
        <x:f>I15*J15</x:f>
        <x:v>183.3</x:v>
      </x:c>
      <x:c r="L15" s="94" t="n">
        <x:f>SUMIFS('门店日汇总'!$H$5:$H$60,'门店日汇总'!$A$5:$A$60,B15,'门店日汇总'!$C$5:$C$60,D15)</x:f>
        <x:v>9977.699999999999</x:v>
      </x:c>
      <x:c r="M15" s="79" t="n">
        <x:f>IFERROR(L15/SUMIFS($I$5:$I$340,$B$5:$B$340,B15,$D$5:$D$340,D15),0)</x:f>
        <x:v>143.04946236559138</x:v>
      </x:c>
      <x:c r="N15" s="67" t="str">
        <x:v>全日</x:v>
      </x:c>
      <x:c r="O15" s="67" t="str"/>
    </x:row>
    <x:row r="16">
      <x:c r="A16" s="67" t="str">
        <x:v>SHIFT-00012</x:v>
      </x:c>
      <x:c r="B16" s="73" t="n">
        <x:v>46211.5</x:v>
      </x:c>
      <x:c r="C16" s="67" t="str">
        <x:v>周三</x:v>
      </x:c>
      <x:c r="D16" s="67" t="str">
        <x:v>S01</x:v>
      </x:c>
      <x:c r="E16" s="67" t="str">
        <x:v>近江天阳店</x:v>
      </x:c>
      <x:c r="F16" s="67" t="str">
        <x:v>保洁/兼职</x:v>
      </x:c>
      <x:c r="G16" s="70" t="n">
        <x:v>1</x:v>
      </x:c>
      <x:c r="H16" s="76" t="n">
        <x:v>4</x:v>
      </x:c>
      <x:c r="I16" s="76" t="n">
        <x:v>3.75</x:v>
      </x:c>
      <x:c r="J16" s="76" t="n">
        <x:v>22.56</x:v>
      </x:c>
      <x:c r="K16" s="79" t="n">
        <x:f>I16*J16</x:f>
        <x:v>84.6</x:v>
      </x:c>
      <x:c r="L16" s="94" t="n">
        <x:f>SUMIFS('门店日汇总'!$H$5:$H$60,'门店日汇总'!$A$5:$A$60,B16,'门店日汇总'!$C$5:$C$60,D16)</x:f>
        <x:v>9977.699999999999</x:v>
      </x:c>
      <x:c r="M16" s="79" t="n">
        <x:f>IFERROR(L16/SUMIFS($I$5:$I$340,$B$5:$B$340,B16,$D$5:$D$340,D16),0)</x:f>
        <x:v>143.04946236559138</x:v>
      </x:c>
      <x:c r="N16" s="67" t="str">
        <x:v>收市</x:v>
      </x:c>
      <x:c r="O16" s="67" t="str"/>
    </x:row>
    <x:row r="17">
      <x:c r="A17" s="67" t="str">
        <x:v>SHIFT-00013</x:v>
      </x:c>
      <x:c r="B17" s="73" t="n">
        <x:v>46212.5</x:v>
      </x:c>
      <x:c r="C17" s="67" t="str">
        <x:v>周四</x:v>
      </x:c>
      <x:c r="D17" s="67" t="str">
        <x:v>S01</x:v>
      </x:c>
      <x:c r="E17" s="67" t="str">
        <x:v>近江天阳店</x:v>
      </x:c>
      <x:c r="F17" s="67" t="str">
        <x:v>店长/收货</x:v>
      </x:c>
      <x:c r="G17" s="70" t="n">
        <x:v>1</x:v>
      </x:c>
      <x:c r="H17" s="76" t="n">
        <x:v>10</x:v>
      </x:c>
      <x:c r="I17" s="76" t="n">
        <x:v>10</x:v>
      </x:c>
      <x:c r="J17" s="76" t="n">
        <x:v>31.96</x:v>
      </x:c>
      <x:c r="K17" s="79" t="n">
        <x:f>I17*J17</x:f>
        <x:v>319.6</x:v>
      </x:c>
      <x:c r="L17" s="94" t="n">
        <x:f>SUMIFS('门店日汇总'!$H$5:$H$60,'门店日汇总'!$A$5:$A$60,B17,'门店日汇总'!$C$5:$C$60,D17)</x:f>
        <x:v>9780.6</x:v>
      </x:c>
      <x:c r="M17" s="79" t="n">
        <x:f>IFERROR(L17/SUMIFS($I$5:$I$340,$B$5:$B$340,B17,$D$5:$D$340,D17),0)</x:f>
        <x:v>139.72285714285715</x:v>
      </x:c>
      <x:c r="N17" s="67" t="str">
        <x:v>开市+午晚高峰</x:v>
      </x:c>
      <x:c r="O17" s="67" t="str"/>
    </x:row>
    <x:row r="18">
      <x:c r="A18" s="67" t="str">
        <x:v>SHIFT-00014</x:v>
      </x:c>
      <x:c r="B18" s="73" t="n">
        <x:v>46212.5</x:v>
      </x:c>
      <x:c r="C18" s="67" t="str">
        <x:v>周四</x:v>
      </x:c>
      <x:c r="D18" s="67" t="str">
        <x:v>S01</x:v>
      </x:c>
      <x:c r="E18" s="67" t="str">
        <x:v>近江天阳店</x:v>
      </x:c>
      <x:c r="F18" s="67" t="str">
        <x:v>服务员</x:v>
      </x:c>
      <x:c r="G18" s="70" t="n">
        <x:v>2</x:v>
      </x:c>
      <x:c r="H18" s="76" t="n">
        <x:v>16</x:v>
      </x:c>
      <x:c r="I18" s="76" t="n">
        <x:v>16.25</x:v>
      </x:c>
      <x:c r="J18" s="76" t="n">
        <x:v>24.44</x:v>
      </x:c>
      <x:c r="K18" s="79" t="n">
        <x:f>I18*J18</x:f>
        <x:v>397.15000000000003</x:v>
      </x:c>
      <x:c r="L18" s="94" t="n">
        <x:f>SUMIFS('门店日汇总'!$H$5:$H$60,'门店日汇总'!$A$5:$A$60,B18,'门店日汇总'!$C$5:$C$60,D18)</x:f>
        <x:v>9780.6</x:v>
      </x:c>
      <x:c r="M18" s="79" t="n">
        <x:f>IFERROR(L18/SUMIFS($I$5:$I$340,$B$5:$B$340,B18,$D$5:$D$340,D18),0)</x:f>
        <x:v>139.72285714285715</x:v>
      </x:c>
      <x:c r="N18" s="67" t="str">
        <x:v>午晚高峰</x:v>
      </x:c>
      <x:c r="O18" s="67" t="str"/>
    </x:row>
    <x:row r="19">
      <x:c r="A19" s="67" t="str">
        <x:v>SHIFT-00015</x:v>
      </x:c>
      <x:c r="B19" s="73" t="n">
        <x:v>46212.5</x:v>
      </x:c>
      <x:c r="C19" s="67" t="str">
        <x:v>周四</x:v>
      </x:c>
      <x:c r="D19" s="67" t="str">
        <x:v>S01</x:v>
      </x:c>
      <x:c r="E19" s="67" t="str">
        <x:v>近江天阳店</x:v>
      </x:c>
      <x:c r="F19" s="67" t="str">
        <x:v>后厨小工</x:v>
      </x:c>
      <x:c r="G19" s="70" t="n">
        <x:v>2</x:v>
      </x:c>
      <x:c r="H19" s="76" t="n">
        <x:v>16</x:v>
      </x:c>
      <x:c r="I19" s="76" t="n">
        <x:v>16.5</x:v>
      </x:c>
      <x:c r="J19" s="76" t="n">
        <x:v>26.32</x:v>
      </x:c>
      <x:c r="K19" s="79" t="n">
        <x:f>I19*J19</x:f>
        <x:v>434.28000000000003</x:v>
      </x:c>
      <x:c r="L19" s="94" t="n">
        <x:f>SUMIFS('门店日汇总'!$H$5:$H$60,'门店日汇总'!$A$5:$A$60,B19,'门店日汇总'!$C$5:$C$60,D19)</x:f>
        <x:v>9780.6</x:v>
      </x:c>
      <x:c r="M19" s="79" t="n">
        <x:f>IFERROR(L19/SUMIFS($I$5:$I$340,$B$5:$B$340,B19,$D$5:$D$340,D19),0)</x:f>
        <x:v>139.72285714285715</x:v>
      </x:c>
      <x:c r="N19" s="67" t="str">
        <x:v>备菜+午晚高峰</x:v>
      </x:c>
      <x:c r="O19" s="67" t="str"/>
    </x:row>
    <x:row r="20">
      <x:c r="A20" s="67" t="str">
        <x:v>SHIFT-00016</x:v>
      </x:c>
      <x:c r="B20" s="73" t="n">
        <x:v>46212.5</x:v>
      </x:c>
      <x:c r="C20" s="67" t="str">
        <x:v>周四</x:v>
      </x:c>
      <x:c r="D20" s="67" t="str">
        <x:v>S01</x:v>
      </x:c>
      <x:c r="E20" s="67" t="str">
        <x:v>近江天阳店</x:v>
      </x:c>
      <x:c r="F20" s="67" t="str">
        <x:v>炒菜机操作员</x:v>
      </x:c>
      <x:c r="G20" s="70" t="n">
        <x:v>2</x:v>
      </x:c>
      <x:c r="H20" s="76" t="n">
        <x:v>16</x:v>
      </x:c>
      <x:c r="I20" s="76" t="n">
        <x:v>15.5</x:v>
      </x:c>
      <x:c r="J20" s="76" t="n">
        <x:v>27.26</x:v>
      </x:c>
      <x:c r="K20" s="79" t="n">
        <x:f>I20*J20</x:f>
        <x:v>422.53000000000003</x:v>
      </x:c>
      <x:c r="L20" s="94" t="n">
        <x:f>SUMIFS('门店日汇总'!$H$5:$H$60,'门店日汇总'!$A$5:$A$60,B20,'门店日汇总'!$C$5:$C$60,D20)</x:f>
        <x:v>9780.6</x:v>
      </x:c>
      <x:c r="M20" s="79" t="n">
        <x:f>IFERROR(L20/SUMIFS($I$5:$I$340,$B$5:$B$340,B20,$D$5:$D$340,D20),0)</x:f>
        <x:v>139.72285714285715</x:v>
      </x:c>
      <x:c r="N20" s="67" t="str">
        <x:v>午晚高峰</x:v>
      </x:c>
      <x:c r="O20" s="67" t="str"/>
    </x:row>
    <x:row r="21">
      <x:c r="A21" s="67" t="str">
        <x:v>SHIFT-00017</x:v>
      </x:c>
      <x:c r="B21" s="73" t="n">
        <x:v>46212.5</x:v>
      </x:c>
      <x:c r="C21" s="67" t="str">
        <x:v>周四</x:v>
      </x:c>
      <x:c r="D21" s="67" t="str">
        <x:v>S01</x:v>
      </x:c>
      <x:c r="E21" s="67" t="str">
        <x:v>近江天阳店</x:v>
      </x:c>
      <x:c r="F21" s="67" t="str">
        <x:v>收银/前厅</x:v>
      </x:c>
      <x:c r="G21" s="70" t="n">
        <x:v>1</x:v>
      </x:c>
      <x:c r="H21" s="76" t="n">
        <x:v>8</x:v>
      </x:c>
      <x:c r="I21" s="76" t="n">
        <x:v>7.75</x:v>
      </x:c>
      <x:c r="J21" s="76" t="n">
        <x:v>24.44</x:v>
      </x:c>
      <x:c r="K21" s="79" t="n">
        <x:f>I21*J21</x:f>
        <x:v>189.41</x:v>
      </x:c>
      <x:c r="L21" s="94" t="n">
        <x:f>SUMIFS('门店日汇总'!$H$5:$H$60,'门店日汇总'!$A$5:$A$60,B21,'门店日汇总'!$C$5:$C$60,D21)</x:f>
        <x:v>9780.6</x:v>
      </x:c>
      <x:c r="M21" s="79" t="n">
        <x:f>IFERROR(L21/SUMIFS($I$5:$I$340,$B$5:$B$340,B21,$D$5:$D$340,D21),0)</x:f>
        <x:v>139.72285714285715</x:v>
      </x:c>
      <x:c r="N21" s="67" t="str">
        <x:v>全日</x:v>
      </x:c>
      <x:c r="O21" s="67" t="str"/>
    </x:row>
    <x:row r="22">
      <x:c r="A22" s="67" t="str">
        <x:v>SHIFT-00018</x:v>
      </x:c>
      <x:c r="B22" s="73" t="n">
        <x:v>46212.5</x:v>
      </x:c>
      <x:c r="C22" s="67" t="str">
        <x:v>周四</x:v>
      </x:c>
      <x:c r="D22" s="67" t="str">
        <x:v>S01</x:v>
      </x:c>
      <x:c r="E22" s="67" t="str">
        <x:v>近江天阳店</x:v>
      </x:c>
      <x:c r="F22" s="67" t="str">
        <x:v>保洁/兼职</x:v>
      </x:c>
      <x:c r="G22" s="70" t="n">
        <x:v>1</x:v>
      </x:c>
      <x:c r="H22" s="76" t="n">
        <x:v>4</x:v>
      </x:c>
      <x:c r="I22" s="76" t="n">
        <x:v>4</x:v>
      </x:c>
      <x:c r="J22" s="76" t="n">
        <x:v>22.56</x:v>
      </x:c>
      <x:c r="K22" s="79" t="n">
        <x:f>I22*J22</x:f>
        <x:v>90.24</x:v>
      </x:c>
      <x:c r="L22" s="94" t="n">
        <x:f>SUMIFS('门店日汇总'!$H$5:$H$60,'门店日汇总'!$A$5:$A$60,B22,'门店日汇总'!$C$5:$C$60,D22)</x:f>
        <x:v>9780.6</x:v>
      </x:c>
      <x:c r="M22" s="79" t="n">
        <x:f>IFERROR(L22/SUMIFS($I$5:$I$340,$B$5:$B$340,B22,$D$5:$D$340,D22),0)</x:f>
        <x:v>139.72285714285715</x:v>
      </x:c>
      <x:c r="N22" s="67" t="str">
        <x:v>收市</x:v>
      </x:c>
      <x:c r="O22" s="67" t="str"/>
    </x:row>
    <x:row r="23">
      <x:c r="A23" s="67" t="str">
        <x:v>SHIFT-00019</x:v>
      </x:c>
      <x:c r="B23" s="73" t="n">
        <x:v>46213.5</x:v>
      </x:c>
      <x:c r="C23" s="67" t="str">
        <x:v>周五</x:v>
      </x:c>
      <x:c r="D23" s="67" t="str">
        <x:v>S01</x:v>
      </x:c>
      <x:c r="E23" s="67" t="str">
        <x:v>近江天阳店</x:v>
      </x:c>
      <x:c r="F23" s="67" t="str">
        <x:v>店长/收货</x:v>
      </x:c>
      <x:c r="G23" s="70" t="n">
        <x:v>1</x:v>
      </x:c>
      <x:c r="H23" s="76" t="n">
        <x:v>10</x:v>
      </x:c>
      <x:c r="I23" s="76" t="n">
        <x:v>10.25</x:v>
      </x:c>
      <x:c r="J23" s="76" t="n">
        <x:v>31.96</x:v>
      </x:c>
      <x:c r="K23" s="79" t="n">
        <x:f>I23*J23</x:f>
        <x:v>327.59000000000003</x:v>
      </x:c>
      <x:c r="L23" s="94" t="n">
        <x:f>SUMIFS('门店日汇总'!$H$5:$H$60,'门店日汇总'!$A$5:$A$60,B23,'门店日汇总'!$C$5:$C$60,D23)</x:f>
        <x:v>10160.099999999999</x:v>
      </x:c>
      <x:c r="M23" s="79" t="n">
        <x:f>IFERROR(L23/SUMIFS($I$5:$I$340,$B$5:$B$340,B23,$D$5:$D$340,D23),0)</x:f>
        <x:v>144.62775800711742</x:v>
      </x:c>
      <x:c r="N23" s="67" t="str">
        <x:v>开市+午晚高峰</x:v>
      </x:c>
      <x:c r="O23" s="67" t="str"/>
    </x:row>
    <x:row r="24">
      <x:c r="A24" s="67" t="str">
        <x:v>SHIFT-00020</x:v>
      </x:c>
      <x:c r="B24" s="73" t="n">
        <x:v>46213.5</x:v>
      </x:c>
      <x:c r="C24" s="67" t="str">
        <x:v>周五</x:v>
      </x:c>
      <x:c r="D24" s="67" t="str">
        <x:v>S01</x:v>
      </x:c>
      <x:c r="E24" s="67" t="str">
        <x:v>近江天阳店</x:v>
      </x:c>
      <x:c r="F24" s="67" t="str">
        <x:v>服务员</x:v>
      </x:c>
      <x:c r="G24" s="70" t="n">
        <x:v>2</x:v>
      </x:c>
      <x:c r="H24" s="76" t="n">
        <x:v>16</x:v>
      </x:c>
      <x:c r="I24" s="76" t="n">
        <x:v>16.5</x:v>
      </x:c>
      <x:c r="J24" s="76" t="n">
        <x:v>24.44</x:v>
      </x:c>
      <x:c r="K24" s="79" t="n">
        <x:f>I24*J24</x:f>
        <x:v>403.26000000000005</x:v>
      </x:c>
      <x:c r="L24" s="94" t="n">
        <x:f>SUMIFS('门店日汇总'!$H$5:$H$60,'门店日汇总'!$A$5:$A$60,B24,'门店日汇总'!$C$5:$C$60,D24)</x:f>
        <x:v>10160.099999999999</x:v>
      </x:c>
      <x:c r="M24" s="79" t="n">
        <x:f>IFERROR(L24/SUMIFS($I$5:$I$340,$B$5:$B$340,B24,$D$5:$D$340,D24),0)</x:f>
        <x:v>144.62775800711742</x:v>
      </x:c>
      <x:c r="N24" s="67" t="str">
        <x:v>午晚高峰</x:v>
      </x:c>
      <x:c r="O24" s="67" t="str"/>
    </x:row>
    <x:row r="25">
      <x:c r="A25" s="67" t="str">
        <x:v>SHIFT-00021</x:v>
      </x:c>
      <x:c r="B25" s="73" t="n">
        <x:v>46213.5</x:v>
      </x:c>
      <x:c r="C25" s="67" t="str">
        <x:v>周五</x:v>
      </x:c>
      <x:c r="D25" s="67" t="str">
        <x:v>S01</x:v>
      </x:c>
      <x:c r="E25" s="67" t="str">
        <x:v>近江天阳店</x:v>
      </x:c>
      <x:c r="F25" s="67" t="str">
        <x:v>后厨小工</x:v>
      </x:c>
      <x:c r="G25" s="70" t="n">
        <x:v>2</x:v>
      </x:c>
      <x:c r="H25" s="76" t="n">
        <x:v>16</x:v>
      </x:c>
      <x:c r="I25" s="76" t="n">
        <x:v>15.5</x:v>
      </x:c>
      <x:c r="J25" s="76" t="n">
        <x:v>26.32</x:v>
      </x:c>
      <x:c r="K25" s="79" t="n">
        <x:f>I25*J25</x:f>
        <x:v>407.96</x:v>
      </x:c>
      <x:c r="L25" s="94" t="n">
        <x:f>SUMIFS('门店日汇总'!$H$5:$H$60,'门店日汇总'!$A$5:$A$60,B25,'门店日汇总'!$C$5:$C$60,D25)</x:f>
        <x:v>10160.099999999999</x:v>
      </x:c>
      <x:c r="M25" s="79" t="n">
        <x:f>IFERROR(L25/SUMIFS($I$5:$I$340,$B$5:$B$340,B25,$D$5:$D$340,D25),0)</x:f>
        <x:v>144.62775800711742</x:v>
      </x:c>
      <x:c r="N25" s="67" t="str">
        <x:v>备菜+午晚高峰</x:v>
      </x:c>
      <x:c r="O25" s="67" t="str"/>
    </x:row>
    <x:row r="26">
      <x:c r="A26" s="67" t="str">
        <x:v>SHIFT-00022</x:v>
      </x:c>
      <x:c r="B26" s="73" t="n">
        <x:v>46213.5</x:v>
      </x:c>
      <x:c r="C26" s="67" t="str">
        <x:v>周五</x:v>
      </x:c>
      <x:c r="D26" s="67" t="str">
        <x:v>S01</x:v>
      </x:c>
      <x:c r="E26" s="67" t="str">
        <x:v>近江天阳店</x:v>
      </x:c>
      <x:c r="F26" s="67" t="str">
        <x:v>炒菜机操作员</x:v>
      </x:c>
      <x:c r="G26" s="70" t="n">
        <x:v>2</x:v>
      </x:c>
      <x:c r="H26" s="76" t="n">
        <x:v>16</x:v>
      </x:c>
      <x:c r="I26" s="76" t="n">
        <x:v>15.75</x:v>
      </x:c>
      <x:c r="J26" s="76" t="n">
        <x:v>27.26</x:v>
      </x:c>
      <x:c r="K26" s="79" t="n">
        <x:f>I26*J26</x:f>
        <x:v>429.345</x:v>
      </x:c>
      <x:c r="L26" s="94" t="n">
        <x:f>SUMIFS('门店日汇总'!$H$5:$H$60,'门店日汇总'!$A$5:$A$60,B26,'门店日汇总'!$C$5:$C$60,D26)</x:f>
        <x:v>10160.099999999999</x:v>
      </x:c>
      <x:c r="M26" s="79" t="n">
        <x:f>IFERROR(L26/SUMIFS($I$5:$I$340,$B$5:$B$340,B26,$D$5:$D$340,D26),0)</x:f>
        <x:v>144.62775800711742</x:v>
      </x:c>
      <x:c r="N26" s="67" t="str">
        <x:v>午晚高峰</x:v>
      </x:c>
      <x:c r="O26" s="67" t="str"/>
    </x:row>
    <x:row r="27">
      <x:c r="A27" s="67" t="str">
        <x:v>SHIFT-00023</x:v>
      </x:c>
      <x:c r="B27" s="73" t="n">
        <x:v>46213.5</x:v>
      </x:c>
      <x:c r="C27" s="67" t="str">
        <x:v>周五</x:v>
      </x:c>
      <x:c r="D27" s="67" t="str">
        <x:v>S01</x:v>
      </x:c>
      <x:c r="E27" s="67" t="str">
        <x:v>近江天阳店</x:v>
      </x:c>
      <x:c r="F27" s="67" t="str">
        <x:v>收银/前厅</x:v>
      </x:c>
      <x:c r="G27" s="70" t="n">
        <x:v>1</x:v>
      </x:c>
      <x:c r="H27" s="76" t="n">
        <x:v>8</x:v>
      </x:c>
      <x:c r="I27" s="76" t="n">
        <x:v>8</x:v>
      </x:c>
      <x:c r="J27" s="76" t="n">
        <x:v>24.44</x:v>
      </x:c>
      <x:c r="K27" s="79" t="n">
        <x:f>I27*J27</x:f>
        <x:v>195.52</x:v>
      </x:c>
      <x:c r="L27" s="94" t="n">
        <x:f>SUMIFS('门店日汇总'!$H$5:$H$60,'门店日汇总'!$A$5:$A$60,B27,'门店日汇总'!$C$5:$C$60,D27)</x:f>
        <x:v>10160.099999999999</x:v>
      </x:c>
      <x:c r="M27" s="79" t="n">
        <x:f>IFERROR(L27/SUMIFS($I$5:$I$340,$B$5:$B$340,B27,$D$5:$D$340,D27),0)</x:f>
        <x:v>144.62775800711742</x:v>
      </x:c>
      <x:c r="N27" s="67" t="str">
        <x:v>全日</x:v>
      </x:c>
      <x:c r="O27" s="67" t="str"/>
    </x:row>
    <x:row r="28">
      <x:c r="A28" s="67" t="str">
        <x:v>SHIFT-00024</x:v>
      </x:c>
      <x:c r="B28" s="73" t="n">
        <x:v>46213.5</x:v>
      </x:c>
      <x:c r="C28" s="67" t="str">
        <x:v>周五</x:v>
      </x:c>
      <x:c r="D28" s="67" t="str">
        <x:v>S01</x:v>
      </x:c>
      <x:c r="E28" s="67" t="str">
        <x:v>近江天阳店</x:v>
      </x:c>
      <x:c r="F28" s="67" t="str">
        <x:v>保洁/兼职</x:v>
      </x:c>
      <x:c r="G28" s="70" t="n">
        <x:v>1</x:v>
      </x:c>
      <x:c r="H28" s="76" t="n">
        <x:v>4</x:v>
      </x:c>
      <x:c r="I28" s="76" t="n">
        <x:v>4.25</x:v>
      </x:c>
      <x:c r="J28" s="76" t="n">
        <x:v>22.56</x:v>
      </x:c>
      <x:c r="K28" s="79" t="n">
        <x:f>I28*J28</x:f>
        <x:v>95.88</x:v>
      </x:c>
      <x:c r="L28" s="94" t="n">
        <x:f>SUMIFS('门店日汇总'!$H$5:$H$60,'门店日汇总'!$A$5:$A$60,B28,'门店日汇总'!$C$5:$C$60,D28)</x:f>
        <x:v>10160.099999999999</x:v>
      </x:c>
      <x:c r="M28" s="79" t="n">
        <x:f>IFERROR(L28/SUMIFS($I$5:$I$340,$B$5:$B$340,B28,$D$5:$D$340,D28),0)</x:f>
        <x:v>144.62775800711742</x:v>
      </x:c>
      <x:c r="N28" s="67" t="str">
        <x:v>收市</x:v>
      </x:c>
      <x:c r="O28" s="67" t="str"/>
    </x:row>
    <x:row r="29">
      <x:c r="A29" s="67" t="str">
        <x:v>SHIFT-00025</x:v>
      </x:c>
      <x:c r="B29" s="73" t="n">
        <x:v>46214.5</x:v>
      </x:c>
      <x:c r="C29" s="67" t="str">
        <x:v>周六</x:v>
      </x:c>
      <x:c r="D29" s="67" t="str">
        <x:v>S01</x:v>
      </x:c>
      <x:c r="E29" s="67" t="str">
        <x:v>近江天阳店</x:v>
      </x:c>
      <x:c r="F29" s="67" t="str">
        <x:v>店长/收货</x:v>
      </x:c>
      <x:c r="G29" s="70" t="n">
        <x:v>1</x:v>
      </x:c>
      <x:c r="H29" s="76" t="n">
        <x:v>8</x:v>
      </x:c>
      <x:c r="I29" s="76" t="n">
        <x:v>8.5</x:v>
      </x:c>
      <x:c r="J29" s="76" t="n">
        <x:v>31.96</x:v>
      </x:c>
      <x:c r="K29" s="79" t="n">
        <x:f>I29*J29</x:f>
        <x:v>271.66</x:v>
      </x:c>
      <x:c r="L29" s="94" t="n">
        <x:f>SUMIFS('门店日汇总'!$H$5:$H$60,'门店日汇总'!$A$5:$A$60,B29,'门店日汇总'!$C$5:$C$60,D29)</x:f>
        <x:v>7788.2</x:v>
      </x:c>
      <x:c r="M29" s="79" t="n">
        <x:f>IFERROR(L29/SUMIFS($I$5:$I$340,$B$5:$B$340,B29,$D$5:$D$340,D29),0)</x:f>
        <x:v>124.6112</x:v>
      </x:c>
      <x:c r="N29" s="67" t="str">
        <x:v>开市+午晚高峰</x:v>
      </x:c>
      <x:c r="O29" s="67" t="str"/>
    </x:row>
    <x:row r="30">
      <x:c r="A30" s="67" t="str">
        <x:v>SHIFT-00026</x:v>
      </x:c>
      <x:c r="B30" s="73" t="n">
        <x:v>46214.5</x:v>
      </x:c>
      <x:c r="C30" s="67" t="str">
        <x:v>周六</x:v>
      </x:c>
      <x:c r="D30" s="67" t="str">
        <x:v>S01</x:v>
      </x:c>
      <x:c r="E30" s="67" t="str">
        <x:v>近江天阳店</x:v>
      </x:c>
      <x:c r="F30" s="67" t="str">
        <x:v>服务员</x:v>
      </x:c>
      <x:c r="G30" s="70" t="n">
        <x:v>2</x:v>
      </x:c>
      <x:c r="H30" s="76" t="n">
        <x:v>14</x:v>
      </x:c>
      <x:c r="I30" s="76" t="n">
        <x:v>13.5</x:v>
      </x:c>
      <x:c r="J30" s="76" t="n">
        <x:v>24.44</x:v>
      </x:c>
      <x:c r="K30" s="79" t="n">
        <x:f>I30*J30</x:f>
        <x:v>329.94</x:v>
      </x:c>
      <x:c r="L30" s="94" t="n">
        <x:f>SUMIFS('门店日汇总'!$H$5:$H$60,'门店日汇总'!$A$5:$A$60,B30,'门店日汇总'!$C$5:$C$60,D30)</x:f>
        <x:v>7788.2</x:v>
      </x:c>
      <x:c r="M30" s="79" t="n">
        <x:f>IFERROR(L30/SUMIFS($I$5:$I$340,$B$5:$B$340,B30,$D$5:$D$340,D30),0)</x:f>
        <x:v>124.6112</x:v>
      </x:c>
      <x:c r="N30" s="67" t="str">
        <x:v>午晚高峰</x:v>
      </x:c>
      <x:c r="O30" s="67" t="str"/>
    </x:row>
    <x:row r="31">
      <x:c r="A31" s="67" t="str">
        <x:v>SHIFT-00027</x:v>
      </x:c>
      <x:c r="B31" s="73" t="n">
        <x:v>46214.5</x:v>
      </x:c>
      <x:c r="C31" s="67" t="str">
        <x:v>周六</x:v>
      </x:c>
      <x:c r="D31" s="67" t="str">
        <x:v>S01</x:v>
      </x:c>
      <x:c r="E31" s="67" t="str">
        <x:v>近江天阳店</x:v>
      </x:c>
      <x:c r="F31" s="67" t="str">
        <x:v>后厨小工</x:v>
      </x:c>
      <x:c r="G31" s="70" t="n">
        <x:v>2</x:v>
      </x:c>
      <x:c r="H31" s="76" t="n">
        <x:v>14</x:v>
      </x:c>
      <x:c r="I31" s="76" t="n">
        <x:v>13.75</x:v>
      </x:c>
      <x:c r="J31" s="76" t="n">
        <x:v>26.32</x:v>
      </x:c>
      <x:c r="K31" s="79" t="n">
        <x:f>I31*J31</x:f>
        <x:v>361.9</x:v>
      </x:c>
      <x:c r="L31" s="94" t="n">
        <x:f>SUMIFS('门店日汇总'!$H$5:$H$60,'门店日汇总'!$A$5:$A$60,B31,'门店日汇总'!$C$5:$C$60,D31)</x:f>
        <x:v>7788.2</x:v>
      </x:c>
      <x:c r="M31" s="79" t="n">
        <x:f>IFERROR(L31/SUMIFS($I$5:$I$340,$B$5:$B$340,B31,$D$5:$D$340,D31),0)</x:f>
        <x:v>124.6112</x:v>
      </x:c>
      <x:c r="N31" s="67" t="str">
        <x:v>备菜+午晚高峰</x:v>
      </x:c>
      <x:c r="O31" s="67" t="str"/>
    </x:row>
    <x:row r="32">
      <x:c r="A32" s="67" t="str">
        <x:v>SHIFT-00028</x:v>
      </x:c>
      <x:c r="B32" s="73" t="n">
        <x:v>46214.5</x:v>
      </x:c>
      <x:c r="C32" s="67" t="str">
        <x:v>周六</x:v>
      </x:c>
      <x:c r="D32" s="67" t="str">
        <x:v>S01</x:v>
      </x:c>
      <x:c r="E32" s="67" t="str">
        <x:v>近江天阳店</x:v>
      </x:c>
      <x:c r="F32" s="67" t="str">
        <x:v>炒菜机操作员</x:v>
      </x:c>
      <x:c r="G32" s="70" t="n">
        <x:v>2</x:v>
      </x:c>
      <x:c r="H32" s="76" t="n">
        <x:v>14</x:v>
      </x:c>
      <x:c r="I32" s="76" t="n">
        <x:v>14</x:v>
      </x:c>
      <x:c r="J32" s="76" t="n">
        <x:v>27.26</x:v>
      </x:c>
      <x:c r="K32" s="79" t="n">
        <x:f>I32*J32</x:f>
        <x:v>381.64000000000004</x:v>
      </x:c>
      <x:c r="L32" s="94" t="n">
        <x:f>SUMIFS('门店日汇总'!$H$5:$H$60,'门店日汇总'!$A$5:$A$60,B32,'门店日汇总'!$C$5:$C$60,D32)</x:f>
        <x:v>7788.2</x:v>
      </x:c>
      <x:c r="M32" s="79" t="n">
        <x:f>IFERROR(L32/SUMIFS($I$5:$I$340,$B$5:$B$340,B32,$D$5:$D$340,D32),0)</x:f>
        <x:v>124.6112</x:v>
      </x:c>
      <x:c r="N32" s="67" t="str">
        <x:v>午晚高峰</x:v>
      </x:c>
      <x:c r="O32" s="67" t="str"/>
    </x:row>
    <x:row r="33">
      <x:c r="A33" s="67" t="str">
        <x:v>SHIFT-00029</x:v>
      </x:c>
      <x:c r="B33" s="73" t="n">
        <x:v>46214.5</x:v>
      </x:c>
      <x:c r="C33" s="67" t="str">
        <x:v>周六</x:v>
      </x:c>
      <x:c r="D33" s="67" t="str">
        <x:v>S01</x:v>
      </x:c>
      <x:c r="E33" s="67" t="str">
        <x:v>近江天阳店</x:v>
      </x:c>
      <x:c r="F33" s="67" t="str">
        <x:v>收银/前厅</x:v>
      </x:c>
      <x:c r="G33" s="70" t="n">
        <x:v>1</x:v>
      </x:c>
      <x:c r="H33" s="76" t="n">
        <x:v>8</x:v>
      </x:c>
      <x:c r="I33" s="76" t="n">
        <x:v>8.25</x:v>
      </x:c>
      <x:c r="J33" s="76" t="n">
        <x:v>24.44</x:v>
      </x:c>
      <x:c r="K33" s="79" t="n">
        <x:f>I33*J33</x:f>
        <x:v>201.63000000000002</x:v>
      </x:c>
      <x:c r="L33" s="94" t="n">
        <x:f>SUMIFS('门店日汇总'!$H$5:$H$60,'门店日汇总'!$A$5:$A$60,B33,'门店日汇总'!$C$5:$C$60,D33)</x:f>
        <x:v>7788.2</x:v>
      </x:c>
      <x:c r="M33" s="79" t="n">
        <x:f>IFERROR(L33/SUMIFS($I$5:$I$340,$B$5:$B$340,B33,$D$5:$D$340,D33),0)</x:f>
        <x:v>124.6112</x:v>
      </x:c>
      <x:c r="N33" s="67" t="str">
        <x:v>全日</x:v>
      </x:c>
      <x:c r="O33" s="67" t="str"/>
    </x:row>
    <x:row r="34">
      <x:c r="A34" s="67" t="str">
        <x:v>SHIFT-00030</x:v>
      </x:c>
      <x:c r="B34" s="73" t="n">
        <x:v>46214.5</x:v>
      </x:c>
      <x:c r="C34" s="67" t="str">
        <x:v>周六</x:v>
      </x:c>
      <x:c r="D34" s="67" t="str">
        <x:v>S01</x:v>
      </x:c>
      <x:c r="E34" s="67" t="str">
        <x:v>近江天阳店</x:v>
      </x:c>
      <x:c r="F34" s="67" t="str">
        <x:v>保洁/兼职</x:v>
      </x:c>
      <x:c r="G34" s="70" t="n">
        <x:v>1</x:v>
      </x:c>
      <x:c r="H34" s="76" t="n">
        <x:v>4</x:v>
      </x:c>
      <x:c r="I34" s="76" t="n">
        <x:v>4.5</x:v>
      </x:c>
      <x:c r="J34" s="76" t="n">
        <x:v>22.56</x:v>
      </x:c>
      <x:c r="K34" s="79" t="n">
        <x:f>I34*J34</x:f>
        <x:v>101.52</x:v>
      </x:c>
      <x:c r="L34" s="94" t="n">
        <x:f>SUMIFS('门店日汇总'!$H$5:$H$60,'门店日汇总'!$A$5:$A$60,B34,'门店日汇总'!$C$5:$C$60,D34)</x:f>
        <x:v>7788.2</x:v>
      </x:c>
      <x:c r="M34" s="79" t="n">
        <x:f>IFERROR(L34/SUMIFS($I$5:$I$340,$B$5:$B$340,B34,$D$5:$D$340,D34),0)</x:f>
        <x:v>124.6112</x:v>
      </x:c>
      <x:c r="N34" s="67" t="str">
        <x:v>收市</x:v>
      </x:c>
      <x:c r="O34" s="67" t="str"/>
    </x:row>
    <x:row r="35">
      <x:c r="A35" s="67" t="str">
        <x:v>SHIFT-00031</x:v>
      </x:c>
      <x:c r="B35" s="73" t="n">
        <x:v>46215.5</x:v>
      </x:c>
      <x:c r="C35" s="67" t="str">
        <x:v>周日</x:v>
      </x:c>
      <x:c r="D35" s="67" t="str">
        <x:v>S01</x:v>
      </x:c>
      <x:c r="E35" s="67" t="str">
        <x:v>近江天阳店</x:v>
      </x:c>
      <x:c r="F35" s="67" t="str">
        <x:v>店长/收货</x:v>
      </x:c>
      <x:c r="G35" s="70" t="n">
        <x:v>1</x:v>
      </x:c>
      <x:c r="H35" s="76" t="n">
        <x:v>8</x:v>
      </x:c>
      <x:c r="I35" s="76" t="n">
        <x:v>7.5</x:v>
      </x:c>
      <x:c r="J35" s="76" t="n">
        <x:v>31.96</x:v>
      </x:c>
      <x:c r="K35" s="79" t="n">
        <x:f>I35*J35</x:f>
        <x:v>239.70000000000002</x:v>
      </x:c>
      <x:c r="L35" s="94" t="n">
        <x:f>SUMIFS('门店日汇总'!$H$5:$H$60,'门店日汇总'!$A$5:$A$60,B35,'门店日汇总'!$C$5:$C$60,D35)</x:f>
        <x:v>7600.299999999999</x:v>
      </x:c>
      <x:c r="M35" s="79" t="n">
        <x:f>IFERROR(L35/SUMIFS($I$5:$I$340,$B$5:$B$340,B35,$D$5:$D$340,D35),0)</x:f>
        <x:v>123.5821138211382</x:v>
      </x:c>
      <x:c r="N35" s="67" t="str">
        <x:v>开市+午晚高峰</x:v>
      </x:c>
      <x:c r="O35" s="67" t="str"/>
    </x:row>
    <x:row r="36">
      <x:c r="A36" s="67" t="str">
        <x:v>SHIFT-00032</x:v>
      </x:c>
      <x:c r="B36" s="73" t="n">
        <x:v>46215.5</x:v>
      </x:c>
      <x:c r="C36" s="67" t="str">
        <x:v>周日</x:v>
      </x:c>
      <x:c r="D36" s="67" t="str">
        <x:v>S01</x:v>
      </x:c>
      <x:c r="E36" s="67" t="str">
        <x:v>近江天阳店</x:v>
      </x:c>
      <x:c r="F36" s="67" t="str">
        <x:v>服务员</x:v>
      </x:c>
      <x:c r="G36" s="70" t="n">
        <x:v>2</x:v>
      </x:c>
      <x:c r="H36" s="76" t="n">
        <x:v>14</x:v>
      </x:c>
      <x:c r="I36" s="76" t="n">
        <x:v>13.75</x:v>
      </x:c>
      <x:c r="J36" s="76" t="n">
        <x:v>24.44</x:v>
      </x:c>
      <x:c r="K36" s="79" t="n">
        <x:f>I36*J36</x:f>
        <x:v>336.05</x:v>
      </x:c>
      <x:c r="L36" s="94" t="n">
        <x:f>SUMIFS('门店日汇总'!$H$5:$H$60,'门店日汇总'!$A$5:$A$60,B36,'门店日汇总'!$C$5:$C$60,D36)</x:f>
        <x:v>7600.299999999999</x:v>
      </x:c>
      <x:c r="M36" s="79" t="n">
        <x:f>IFERROR(L36/SUMIFS($I$5:$I$340,$B$5:$B$340,B36,$D$5:$D$340,D36),0)</x:f>
        <x:v>123.5821138211382</x:v>
      </x:c>
      <x:c r="N36" s="67" t="str">
        <x:v>午晚高峰</x:v>
      </x:c>
      <x:c r="O36" s="67" t="str"/>
    </x:row>
    <x:row r="37">
      <x:c r="A37" s="67" t="str">
        <x:v>SHIFT-00033</x:v>
      </x:c>
      <x:c r="B37" s="73" t="n">
        <x:v>46215.5</x:v>
      </x:c>
      <x:c r="C37" s="67" t="str">
        <x:v>周日</x:v>
      </x:c>
      <x:c r="D37" s="67" t="str">
        <x:v>S01</x:v>
      </x:c>
      <x:c r="E37" s="67" t="str">
        <x:v>近江天阳店</x:v>
      </x:c>
      <x:c r="F37" s="67" t="str">
        <x:v>后厨小工</x:v>
      </x:c>
      <x:c r="G37" s="70" t="n">
        <x:v>2</x:v>
      </x:c>
      <x:c r="H37" s="76" t="n">
        <x:v>14</x:v>
      </x:c>
      <x:c r="I37" s="76" t="n">
        <x:v>14</x:v>
      </x:c>
      <x:c r="J37" s="76" t="n">
        <x:v>26.32</x:v>
      </x:c>
      <x:c r="K37" s="79" t="n">
        <x:f>I37*J37</x:f>
        <x:v>368.48</x:v>
      </x:c>
      <x:c r="L37" s="94" t="n">
        <x:f>SUMIFS('门店日汇总'!$H$5:$H$60,'门店日汇总'!$A$5:$A$60,B37,'门店日汇总'!$C$5:$C$60,D37)</x:f>
        <x:v>7600.299999999999</x:v>
      </x:c>
      <x:c r="M37" s="79" t="n">
        <x:f>IFERROR(L37/SUMIFS($I$5:$I$340,$B$5:$B$340,B37,$D$5:$D$340,D37),0)</x:f>
        <x:v>123.5821138211382</x:v>
      </x:c>
      <x:c r="N37" s="67" t="str">
        <x:v>备菜+午晚高峰</x:v>
      </x:c>
      <x:c r="O37" s="67" t="str"/>
    </x:row>
    <x:row r="38">
      <x:c r="A38" s="67" t="str">
        <x:v>SHIFT-00034</x:v>
      </x:c>
      <x:c r="B38" s="73" t="n">
        <x:v>46215.5</x:v>
      </x:c>
      <x:c r="C38" s="67" t="str">
        <x:v>周日</x:v>
      </x:c>
      <x:c r="D38" s="67" t="str">
        <x:v>S01</x:v>
      </x:c>
      <x:c r="E38" s="67" t="str">
        <x:v>近江天阳店</x:v>
      </x:c>
      <x:c r="F38" s="67" t="str">
        <x:v>炒菜机操作员</x:v>
      </x:c>
      <x:c r="G38" s="70" t="n">
        <x:v>2</x:v>
      </x:c>
      <x:c r="H38" s="76" t="n">
        <x:v>14</x:v>
      </x:c>
      <x:c r="I38" s="76" t="n">
        <x:v>14.25</x:v>
      </x:c>
      <x:c r="J38" s="76" t="n">
        <x:v>27.26</x:v>
      </x:c>
      <x:c r="K38" s="79" t="n">
        <x:f>I38*J38</x:f>
        <x:v>388.45500000000004</x:v>
      </x:c>
      <x:c r="L38" s="94" t="n">
        <x:f>SUMIFS('门店日汇总'!$H$5:$H$60,'门店日汇总'!$A$5:$A$60,B38,'门店日汇总'!$C$5:$C$60,D38)</x:f>
        <x:v>7600.299999999999</x:v>
      </x:c>
      <x:c r="M38" s="79" t="n">
        <x:f>IFERROR(L38/SUMIFS($I$5:$I$340,$B$5:$B$340,B38,$D$5:$D$340,D38),0)</x:f>
        <x:v>123.5821138211382</x:v>
      </x:c>
      <x:c r="N38" s="67" t="str">
        <x:v>午晚高峰</x:v>
      </x:c>
      <x:c r="O38" s="67" t="str"/>
    </x:row>
    <x:row r="39">
      <x:c r="A39" s="67" t="str">
        <x:v>SHIFT-00035</x:v>
      </x:c>
      <x:c r="B39" s="73" t="n">
        <x:v>46215.5</x:v>
      </x:c>
      <x:c r="C39" s="67" t="str">
        <x:v>周日</x:v>
      </x:c>
      <x:c r="D39" s="67" t="str">
        <x:v>S01</x:v>
      </x:c>
      <x:c r="E39" s="67" t="str">
        <x:v>近江天阳店</x:v>
      </x:c>
      <x:c r="F39" s="67" t="str">
        <x:v>收银/前厅</x:v>
      </x:c>
      <x:c r="G39" s="70" t="n">
        <x:v>1</x:v>
      </x:c>
      <x:c r="H39" s="76" t="n">
        <x:v>8</x:v>
      </x:c>
      <x:c r="I39" s="76" t="n">
        <x:v>8.5</x:v>
      </x:c>
      <x:c r="J39" s="76" t="n">
        <x:v>24.44</x:v>
      </x:c>
      <x:c r="K39" s="79" t="n">
        <x:f>I39*J39</x:f>
        <x:v>207.74</x:v>
      </x:c>
      <x:c r="L39" s="94" t="n">
        <x:f>SUMIFS('门店日汇总'!$H$5:$H$60,'门店日汇总'!$A$5:$A$60,B39,'门店日汇总'!$C$5:$C$60,D39)</x:f>
        <x:v>7600.299999999999</x:v>
      </x:c>
      <x:c r="M39" s="79" t="n">
        <x:f>IFERROR(L39/SUMIFS($I$5:$I$340,$B$5:$B$340,B39,$D$5:$D$340,D39),0)</x:f>
        <x:v>123.5821138211382</x:v>
      </x:c>
      <x:c r="N39" s="67" t="str">
        <x:v>全日</x:v>
      </x:c>
      <x:c r="O39" s="67" t="str"/>
    </x:row>
    <x:row r="40">
      <x:c r="A40" s="67" t="str">
        <x:v>SHIFT-00036</x:v>
      </x:c>
      <x:c r="B40" s="73" t="n">
        <x:v>46215.5</x:v>
      </x:c>
      <x:c r="C40" s="67" t="str">
        <x:v>周日</x:v>
      </x:c>
      <x:c r="D40" s="67" t="str">
        <x:v>S01</x:v>
      </x:c>
      <x:c r="E40" s="67" t="str">
        <x:v>近江天阳店</x:v>
      </x:c>
      <x:c r="F40" s="67" t="str">
        <x:v>保洁/兼职</x:v>
      </x:c>
      <x:c r="G40" s="70" t="n">
        <x:v>1</x:v>
      </x:c>
      <x:c r="H40" s="76" t="n">
        <x:v>4</x:v>
      </x:c>
      <x:c r="I40" s="76" t="n">
        <x:v>3.5</x:v>
      </x:c>
      <x:c r="J40" s="76" t="n">
        <x:v>22.56</x:v>
      </x:c>
      <x:c r="K40" s="79" t="n">
        <x:f>I40*J40</x:f>
        <x:v>78.96</x:v>
      </x:c>
      <x:c r="L40" s="94" t="n">
        <x:f>SUMIFS('门店日汇总'!$H$5:$H$60,'门店日汇总'!$A$5:$A$60,B40,'门店日汇总'!$C$5:$C$60,D40)</x:f>
        <x:v>7600.299999999999</x:v>
      </x:c>
      <x:c r="M40" s="79" t="n">
        <x:f>IFERROR(L40/SUMIFS($I$5:$I$340,$B$5:$B$340,B40,$D$5:$D$340,D40),0)</x:f>
        <x:v>123.5821138211382</x:v>
      </x:c>
      <x:c r="N40" s="67" t="str">
        <x:v>收市</x:v>
      </x:c>
      <x:c r="O40" s="67" t="str"/>
    </x:row>
    <x:row r="41">
      <x:c r="A41" s="67" t="str">
        <x:v>SHIFT-00037</x:v>
      </x:c>
      <x:c r="B41" s="73" t="n">
        <x:v>46216.5</x:v>
      </x:c>
      <x:c r="C41" s="67" t="str">
        <x:v>周一</x:v>
      </x:c>
      <x:c r="D41" s="67" t="str">
        <x:v>S01</x:v>
      </x:c>
      <x:c r="E41" s="67" t="str">
        <x:v>近江天阳店</x:v>
      </x:c>
      <x:c r="F41" s="67" t="str">
        <x:v>店长/收货</x:v>
      </x:c>
      <x:c r="G41" s="70" t="n">
        <x:v>1</x:v>
      </x:c>
      <x:c r="H41" s="76" t="n">
        <x:v>10</x:v>
      </x:c>
      <x:c r="I41" s="76" t="n">
        <x:v>9.75</x:v>
      </x:c>
      <x:c r="J41" s="76" t="n">
        <x:v>31.96</x:v>
      </x:c>
      <x:c r="K41" s="79" t="n">
        <x:f>I41*J41</x:f>
        <x:v>311.61</x:v>
      </x:c>
      <x:c r="L41" s="94" t="n">
        <x:f>SUMIFS('门店日汇总'!$H$5:$H$60,'门店日汇总'!$A$5:$A$60,B41,'门店日汇总'!$C$5:$C$60,D41)</x:f>
        <x:v>10925.3</x:v>
      </x:c>
      <x:c r="M41" s="79" t="n">
        <x:f>IFERROR(L41/SUMIFS($I$5:$I$340,$B$5:$B$340,B41,$D$5:$D$340,D41),0)</x:f>
        <x:v>156.63512544802867</x:v>
      </x:c>
      <x:c r="N41" s="67" t="str">
        <x:v>开市+午晚高峰</x:v>
      </x:c>
      <x:c r="O41" s="67" t="str"/>
    </x:row>
    <x:row r="42">
      <x:c r="A42" s="67" t="str">
        <x:v>SHIFT-00038</x:v>
      </x:c>
      <x:c r="B42" s="73" t="n">
        <x:v>46216.5</x:v>
      </x:c>
      <x:c r="C42" s="67" t="str">
        <x:v>周一</x:v>
      </x:c>
      <x:c r="D42" s="67" t="str">
        <x:v>S01</x:v>
      </x:c>
      <x:c r="E42" s="67" t="str">
        <x:v>近江天阳店</x:v>
      </x:c>
      <x:c r="F42" s="67" t="str">
        <x:v>服务员</x:v>
      </x:c>
      <x:c r="G42" s="70" t="n">
        <x:v>2</x:v>
      </x:c>
      <x:c r="H42" s="76" t="n">
        <x:v>16</x:v>
      </x:c>
      <x:c r="I42" s="76" t="n">
        <x:v>16</x:v>
      </x:c>
      <x:c r="J42" s="76" t="n">
        <x:v>24.44</x:v>
      </x:c>
      <x:c r="K42" s="79" t="n">
        <x:f>I42*J42</x:f>
        <x:v>391.04</x:v>
      </x:c>
      <x:c r="L42" s="94" t="n">
        <x:f>SUMIFS('门店日汇总'!$H$5:$H$60,'门店日汇总'!$A$5:$A$60,B42,'门店日汇总'!$C$5:$C$60,D42)</x:f>
        <x:v>10925.3</x:v>
      </x:c>
      <x:c r="M42" s="79" t="n">
        <x:f>IFERROR(L42/SUMIFS($I$5:$I$340,$B$5:$B$340,B42,$D$5:$D$340,D42),0)</x:f>
        <x:v>156.63512544802867</x:v>
      </x:c>
      <x:c r="N42" s="67" t="str">
        <x:v>午晚高峰</x:v>
      </x:c>
      <x:c r="O42" s="67" t="str"/>
    </x:row>
    <x:row r="43">
      <x:c r="A43" s="67" t="str">
        <x:v>SHIFT-00039</x:v>
      </x:c>
      <x:c r="B43" s="73" t="n">
        <x:v>46216.5</x:v>
      </x:c>
      <x:c r="C43" s="67" t="str">
        <x:v>周一</x:v>
      </x:c>
      <x:c r="D43" s="67" t="str">
        <x:v>S01</x:v>
      </x:c>
      <x:c r="E43" s="67" t="str">
        <x:v>近江天阳店</x:v>
      </x:c>
      <x:c r="F43" s="67" t="str">
        <x:v>后厨小工</x:v>
      </x:c>
      <x:c r="G43" s="70" t="n">
        <x:v>2</x:v>
      </x:c>
      <x:c r="H43" s="76" t="n">
        <x:v>16</x:v>
      </x:c>
      <x:c r="I43" s="76" t="n">
        <x:v>16.25</x:v>
      </x:c>
      <x:c r="J43" s="76" t="n">
        <x:v>26.32</x:v>
      </x:c>
      <x:c r="K43" s="79" t="n">
        <x:f>I43*J43</x:f>
        <x:v>427.7</x:v>
      </x:c>
      <x:c r="L43" s="94" t="n">
        <x:f>SUMIFS('门店日汇总'!$H$5:$H$60,'门店日汇总'!$A$5:$A$60,B43,'门店日汇总'!$C$5:$C$60,D43)</x:f>
        <x:v>10925.3</x:v>
      </x:c>
      <x:c r="M43" s="79" t="n">
        <x:f>IFERROR(L43/SUMIFS($I$5:$I$340,$B$5:$B$340,B43,$D$5:$D$340,D43),0)</x:f>
        <x:v>156.63512544802867</x:v>
      </x:c>
      <x:c r="N43" s="67" t="str">
        <x:v>备菜+午晚高峰</x:v>
      </x:c>
      <x:c r="O43" s="67" t="str"/>
    </x:row>
    <x:row r="44">
      <x:c r="A44" s="67" t="str">
        <x:v>SHIFT-00040</x:v>
      </x:c>
      <x:c r="B44" s="73" t="n">
        <x:v>46216.5</x:v>
      </x:c>
      <x:c r="C44" s="67" t="str">
        <x:v>周一</x:v>
      </x:c>
      <x:c r="D44" s="67" t="str">
        <x:v>S01</x:v>
      </x:c>
      <x:c r="E44" s="67" t="str">
        <x:v>近江天阳店</x:v>
      </x:c>
      <x:c r="F44" s="67" t="str">
        <x:v>炒菜机操作员</x:v>
      </x:c>
      <x:c r="G44" s="70" t="n">
        <x:v>2</x:v>
      </x:c>
      <x:c r="H44" s="76" t="n">
        <x:v>16</x:v>
      </x:c>
      <x:c r="I44" s="76" t="n">
        <x:v>16.5</x:v>
      </x:c>
      <x:c r="J44" s="76" t="n">
        <x:v>27.26</x:v>
      </x:c>
      <x:c r="K44" s="79" t="n">
        <x:f>I44*J44</x:f>
        <x:v>449.79</x:v>
      </x:c>
      <x:c r="L44" s="94" t="n">
        <x:f>SUMIFS('门店日汇总'!$H$5:$H$60,'门店日汇总'!$A$5:$A$60,B44,'门店日汇总'!$C$5:$C$60,D44)</x:f>
        <x:v>10925.3</x:v>
      </x:c>
      <x:c r="M44" s="79" t="n">
        <x:f>IFERROR(L44/SUMIFS($I$5:$I$340,$B$5:$B$340,B44,$D$5:$D$340,D44),0)</x:f>
        <x:v>156.63512544802867</x:v>
      </x:c>
      <x:c r="N44" s="67" t="str">
        <x:v>午晚高峰</x:v>
      </x:c>
      <x:c r="O44" s="67" t="str"/>
    </x:row>
    <x:row r="45">
      <x:c r="A45" s="67" t="str">
        <x:v>SHIFT-00041</x:v>
      </x:c>
      <x:c r="B45" s="73" t="n">
        <x:v>46216.5</x:v>
      </x:c>
      <x:c r="C45" s="67" t="str">
        <x:v>周一</x:v>
      </x:c>
      <x:c r="D45" s="67" t="str">
        <x:v>S01</x:v>
      </x:c>
      <x:c r="E45" s="67" t="str">
        <x:v>近江天阳店</x:v>
      </x:c>
      <x:c r="F45" s="67" t="str">
        <x:v>收银/前厅</x:v>
      </x:c>
      <x:c r="G45" s="70" t="n">
        <x:v>1</x:v>
      </x:c>
      <x:c r="H45" s="76" t="n">
        <x:v>8</x:v>
      </x:c>
      <x:c r="I45" s="76" t="n">
        <x:v>7.5</x:v>
      </x:c>
      <x:c r="J45" s="76" t="n">
        <x:v>24.44</x:v>
      </x:c>
      <x:c r="K45" s="79" t="n">
        <x:f>I45*J45</x:f>
        <x:v>183.3</x:v>
      </x:c>
      <x:c r="L45" s="94" t="n">
        <x:f>SUMIFS('门店日汇总'!$H$5:$H$60,'门店日汇总'!$A$5:$A$60,B45,'门店日汇总'!$C$5:$C$60,D45)</x:f>
        <x:v>10925.3</x:v>
      </x:c>
      <x:c r="M45" s="79" t="n">
        <x:f>IFERROR(L45/SUMIFS($I$5:$I$340,$B$5:$B$340,B45,$D$5:$D$340,D45),0)</x:f>
        <x:v>156.63512544802867</x:v>
      </x:c>
      <x:c r="N45" s="67" t="str">
        <x:v>全日</x:v>
      </x:c>
      <x:c r="O45" s="67" t="str"/>
    </x:row>
    <x:row r="46">
      <x:c r="A46" s="67" t="str">
        <x:v>SHIFT-00042</x:v>
      </x:c>
      <x:c r="B46" s="73" t="n">
        <x:v>46216.5</x:v>
      </x:c>
      <x:c r="C46" s="67" t="str">
        <x:v>周一</x:v>
      </x:c>
      <x:c r="D46" s="67" t="str">
        <x:v>S01</x:v>
      </x:c>
      <x:c r="E46" s="67" t="str">
        <x:v>近江天阳店</x:v>
      </x:c>
      <x:c r="F46" s="67" t="str">
        <x:v>保洁/兼职</x:v>
      </x:c>
      <x:c r="G46" s="70" t="n">
        <x:v>1</x:v>
      </x:c>
      <x:c r="H46" s="76" t="n">
        <x:v>4</x:v>
      </x:c>
      <x:c r="I46" s="76" t="n">
        <x:v>3.75</x:v>
      </x:c>
      <x:c r="J46" s="76" t="n">
        <x:v>22.56</x:v>
      </x:c>
      <x:c r="K46" s="79" t="n">
        <x:f>I46*J46</x:f>
        <x:v>84.6</x:v>
      </x:c>
      <x:c r="L46" s="94" t="n">
        <x:f>SUMIFS('门店日汇总'!$H$5:$H$60,'门店日汇总'!$A$5:$A$60,B46,'门店日汇总'!$C$5:$C$60,D46)</x:f>
        <x:v>10925.3</x:v>
      </x:c>
      <x:c r="M46" s="79" t="n">
        <x:f>IFERROR(L46/SUMIFS($I$5:$I$340,$B$5:$B$340,B46,$D$5:$D$340,D46),0)</x:f>
        <x:v>156.63512544802867</x:v>
      </x:c>
      <x:c r="N46" s="67" t="str">
        <x:v>收市</x:v>
      </x:c>
      <x:c r="O46" s="67" t="str"/>
    </x:row>
    <x:row r="47">
      <x:c r="A47" s="67" t="str">
        <x:v>SHIFT-00043</x:v>
      </x:c>
      <x:c r="B47" s="73" t="n">
        <x:v>46210.5</x:v>
      </x:c>
      <x:c r="C47" s="67" t="str">
        <x:v>周二</x:v>
      </x:c>
      <x:c r="D47" s="67" t="str">
        <x:v>S02</x:v>
      </x:c>
      <x:c r="E47" s="67" t="str">
        <x:v>尊宝大厦店</x:v>
      </x:c>
      <x:c r="F47" s="67" t="str">
        <x:v>店长/收货</x:v>
      </x:c>
      <x:c r="G47" s="70" t="n">
        <x:v>1</x:v>
      </x:c>
      <x:c r="H47" s="76" t="n">
        <x:v>10</x:v>
      </x:c>
      <x:c r="I47" s="76" t="n">
        <x:v>10.25</x:v>
      </x:c>
      <x:c r="J47" s="76" t="n">
        <x:v>32.57</x:v>
      </x:c>
      <x:c r="K47" s="79" t="n">
        <x:f>I47*J47</x:f>
        <x:v>333.84250000000003</x:v>
      </x:c>
      <x:c r="L47" s="94" t="n">
        <x:f>SUMIFS('门店日汇总'!$H$5:$H$60,'门店日汇总'!$A$5:$A$60,B47,'门店日汇总'!$C$5:$C$60,D47)</x:f>
        <x:v>9718.9</x:v>
      </x:c>
      <x:c r="M47" s="79" t="n">
        <x:f>IFERROR(L47/SUMIFS($I$5:$I$340,$B$5:$B$340,B47,$D$5:$D$340,D47),0)</x:f>
        <x:v>138.3473309608541</x:v>
      </x:c>
      <x:c r="N47" s="67" t="str">
        <x:v>开市+午晚高峰</x:v>
      </x:c>
      <x:c r="O47" s="67" t="str"/>
    </x:row>
    <x:row r="48">
      <x:c r="A48" s="67" t="str">
        <x:v>SHIFT-00044</x:v>
      </x:c>
      <x:c r="B48" s="73" t="n">
        <x:v>46210.5</x:v>
      </x:c>
      <x:c r="C48" s="67" t="str">
        <x:v>周二</x:v>
      </x:c>
      <x:c r="D48" s="67" t="str">
        <x:v>S02</x:v>
      </x:c>
      <x:c r="E48" s="67" t="str">
        <x:v>尊宝大厦店</x:v>
      </x:c>
      <x:c r="F48" s="67" t="str">
        <x:v>服务员</x:v>
      </x:c>
      <x:c r="G48" s="70" t="n">
        <x:v>2</x:v>
      </x:c>
      <x:c r="H48" s="76" t="n">
        <x:v>16</x:v>
      </x:c>
      <x:c r="I48" s="76" t="n">
        <x:v>16.5</x:v>
      </x:c>
      <x:c r="J48" s="76" t="n">
        <x:v>24.91</x:v>
      </x:c>
      <x:c r="K48" s="79" t="n">
        <x:f>I48*J48</x:f>
        <x:v>411.015</x:v>
      </x:c>
      <x:c r="L48" s="94" t="n">
        <x:f>SUMIFS('门店日汇总'!$H$5:$H$60,'门店日汇总'!$A$5:$A$60,B48,'门店日汇总'!$C$5:$C$60,D48)</x:f>
        <x:v>9718.9</x:v>
      </x:c>
      <x:c r="M48" s="79" t="n">
        <x:f>IFERROR(L48/SUMIFS($I$5:$I$340,$B$5:$B$340,B48,$D$5:$D$340,D48),0)</x:f>
        <x:v>138.3473309608541</x:v>
      </x:c>
      <x:c r="N48" s="67" t="str">
        <x:v>午晚高峰</x:v>
      </x:c>
      <x:c r="O48" s="67" t="str"/>
    </x:row>
    <x:row r="49">
      <x:c r="A49" s="67" t="str">
        <x:v>SHIFT-00045</x:v>
      </x:c>
      <x:c r="B49" s="73" t="n">
        <x:v>46210.5</x:v>
      </x:c>
      <x:c r="C49" s="67" t="str">
        <x:v>周二</x:v>
      </x:c>
      <x:c r="D49" s="67" t="str">
        <x:v>S02</x:v>
      </x:c>
      <x:c r="E49" s="67" t="str">
        <x:v>尊宝大厦店</x:v>
      </x:c>
      <x:c r="F49" s="67" t="str">
        <x:v>后厨小工</x:v>
      </x:c>
      <x:c r="G49" s="70" t="n">
        <x:v>2</x:v>
      </x:c>
      <x:c r="H49" s="76" t="n">
        <x:v>16</x:v>
      </x:c>
      <x:c r="I49" s="76" t="n">
        <x:v>15.5</x:v>
      </x:c>
      <x:c r="J49" s="76" t="n">
        <x:v>26.82</x:v>
      </x:c>
      <x:c r="K49" s="79" t="n">
        <x:f>I49*J49</x:f>
        <x:v>415.71</x:v>
      </x:c>
      <x:c r="L49" s="94" t="n">
        <x:f>SUMIFS('门店日汇总'!$H$5:$H$60,'门店日汇总'!$A$5:$A$60,B49,'门店日汇总'!$C$5:$C$60,D49)</x:f>
        <x:v>9718.9</x:v>
      </x:c>
      <x:c r="M49" s="79" t="n">
        <x:f>IFERROR(L49/SUMIFS($I$5:$I$340,$B$5:$B$340,B49,$D$5:$D$340,D49),0)</x:f>
        <x:v>138.3473309608541</x:v>
      </x:c>
      <x:c r="N49" s="67" t="str">
        <x:v>备菜+午晚高峰</x:v>
      </x:c>
      <x:c r="O49" s="67" t="str"/>
    </x:row>
    <x:row r="50">
      <x:c r="A50" s="67" t="str">
        <x:v>SHIFT-00046</x:v>
      </x:c>
      <x:c r="B50" s="73" t="n">
        <x:v>46210.5</x:v>
      </x:c>
      <x:c r="C50" s="67" t="str">
        <x:v>周二</x:v>
      </x:c>
      <x:c r="D50" s="67" t="str">
        <x:v>S02</x:v>
      </x:c>
      <x:c r="E50" s="67" t="str">
        <x:v>尊宝大厦店</x:v>
      </x:c>
      <x:c r="F50" s="67" t="str">
        <x:v>炒菜机操作员</x:v>
      </x:c>
      <x:c r="G50" s="70" t="n">
        <x:v>2</x:v>
      </x:c>
      <x:c r="H50" s="76" t="n">
        <x:v>16</x:v>
      </x:c>
      <x:c r="I50" s="76" t="n">
        <x:v>15.75</x:v>
      </x:c>
      <x:c r="J50" s="76" t="n">
        <x:v>27.78</x:v>
      </x:c>
      <x:c r="K50" s="79" t="n">
        <x:f>I50*J50</x:f>
        <x:v>437.535</x:v>
      </x:c>
      <x:c r="L50" s="94" t="n">
        <x:f>SUMIFS('门店日汇总'!$H$5:$H$60,'门店日汇总'!$A$5:$A$60,B50,'门店日汇总'!$C$5:$C$60,D50)</x:f>
        <x:v>9718.9</x:v>
      </x:c>
      <x:c r="M50" s="79" t="n">
        <x:f>IFERROR(L50/SUMIFS($I$5:$I$340,$B$5:$B$340,B50,$D$5:$D$340,D50),0)</x:f>
        <x:v>138.3473309608541</x:v>
      </x:c>
      <x:c r="N50" s="67" t="str">
        <x:v>午晚高峰</x:v>
      </x:c>
      <x:c r="O50" s="67" t="str"/>
    </x:row>
    <x:row r="51">
      <x:c r="A51" s="67" t="str">
        <x:v>SHIFT-00047</x:v>
      </x:c>
      <x:c r="B51" s="73" t="n">
        <x:v>46210.5</x:v>
      </x:c>
      <x:c r="C51" s="67" t="str">
        <x:v>周二</x:v>
      </x:c>
      <x:c r="D51" s="67" t="str">
        <x:v>S02</x:v>
      </x:c>
      <x:c r="E51" s="67" t="str">
        <x:v>尊宝大厦店</x:v>
      </x:c>
      <x:c r="F51" s="67" t="str">
        <x:v>收银/前厅</x:v>
      </x:c>
      <x:c r="G51" s="70" t="n">
        <x:v>1</x:v>
      </x:c>
      <x:c r="H51" s="76" t="n">
        <x:v>8</x:v>
      </x:c>
      <x:c r="I51" s="76" t="n">
        <x:v>8</x:v>
      </x:c>
      <x:c r="J51" s="76" t="n">
        <x:v>24.91</x:v>
      </x:c>
      <x:c r="K51" s="79" t="n">
        <x:f>I51*J51</x:f>
        <x:v>199.28</x:v>
      </x:c>
      <x:c r="L51" s="94" t="n">
        <x:f>SUMIFS('门店日汇总'!$H$5:$H$60,'门店日汇总'!$A$5:$A$60,B51,'门店日汇总'!$C$5:$C$60,D51)</x:f>
        <x:v>9718.9</x:v>
      </x:c>
      <x:c r="M51" s="79" t="n">
        <x:f>IFERROR(L51/SUMIFS($I$5:$I$340,$B$5:$B$340,B51,$D$5:$D$340,D51),0)</x:f>
        <x:v>138.3473309608541</x:v>
      </x:c>
      <x:c r="N51" s="67" t="str">
        <x:v>全日</x:v>
      </x:c>
      <x:c r="O51" s="67" t="str"/>
    </x:row>
    <x:row r="52">
      <x:c r="A52" s="67" t="str">
        <x:v>SHIFT-00048</x:v>
      </x:c>
      <x:c r="B52" s="73" t="n">
        <x:v>46210.5</x:v>
      </x:c>
      <x:c r="C52" s="67" t="str">
        <x:v>周二</x:v>
      </x:c>
      <x:c r="D52" s="67" t="str">
        <x:v>S02</x:v>
      </x:c>
      <x:c r="E52" s="67" t="str">
        <x:v>尊宝大厦店</x:v>
      </x:c>
      <x:c r="F52" s="67" t="str">
        <x:v>保洁/兼职</x:v>
      </x:c>
      <x:c r="G52" s="70" t="n">
        <x:v>1</x:v>
      </x:c>
      <x:c r="H52" s="76" t="n">
        <x:v>4</x:v>
      </x:c>
      <x:c r="I52" s="76" t="n">
        <x:v>4.25</x:v>
      </x:c>
      <x:c r="J52" s="76" t="n">
        <x:v>22.99</x:v>
      </x:c>
      <x:c r="K52" s="79" t="n">
        <x:f>I52*J52</x:f>
        <x:v>97.7075</x:v>
      </x:c>
      <x:c r="L52" s="94" t="n">
        <x:f>SUMIFS('门店日汇总'!$H$5:$H$60,'门店日汇总'!$A$5:$A$60,B52,'门店日汇总'!$C$5:$C$60,D52)</x:f>
        <x:v>9718.9</x:v>
      </x:c>
      <x:c r="M52" s="79" t="n">
        <x:f>IFERROR(L52/SUMIFS($I$5:$I$340,$B$5:$B$340,B52,$D$5:$D$340,D52),0)</x:f>
        <x:v>138.3473309608541</x:v>
      </x:c>
      <x:c r="N52" s="67" t="str">
        <x:v>收市</x:v>
      </x:c>
      <x:c r="O52" s="67" t="str"/>
    </x:row>
    <x:row r="53">
      <x:c r="A53" s="67" t="str">
        <x:v>SHIFT-00049</x:v>
      </x:c>
      <x:c r="B53" s="73" t="n">
        <x:v>46211.5</x:v>
      </x:c>
      <x:c r="C53" s="67" t="str">
        <x:v>周三</x:v>
      </x:c>
      <x:c r="D53" s="67" t="str">
        <x:v>S02</x:v>
      </x:c>
      <x:c r="E53" s="67" t="str">
        <x:v>尊宝大厦店</x:v>
      </x:c>
      <x:c r="F53" s="67" t="str">
        <x:v>店长/收货</x:v>
      </x:c>
      <x:c r="G53" s="70" t="n">
        <x:v>1</x:v>
      </x:c>
      <x:c r="H53" s="76" t="n">
        <x:v>10</x:v>
      </x:c>
      <x:c r="I53" s="76" t="n">
        <x:v>10.5</x:v>
      </x:c>
      <x:c r="J53" s="76" t="n">
        <x:v>32.57</x:v>
      </x:c>
      <x:c r="K53" s="79" t="n">
        <x:f>I53*J53</x:f>
        <x:v>341.985</x:v>
      </x:c>
      <x:c r="L53" s="94" t="n">
        <x:f>SUMIFS('门店日汇总'!$H$5:$H$60,'门店日汇总'!$A$5:$A$60,B53,'门店日汇总'!$C$5:$C$60,D53)</x:f>
        <x:v>9442.3</x:v>
      </x:c>
      <x:c r="M53" s="79" t="n">
        <x:f>IFERROR(L53/SUMIFS($I$5:$I$340,$B$5:$B$340,B53,$D$5:$D$340,D53),0)</x:f>
        <x:v>133.93333333333334</x:v>
      </x:c>
      <x:c r="N53" s="67" t="str">
        <x:v>开市+午晚高峰</x:v>
      </x:c>
      <x:c r="O53" s="67" t="str"/>
    </x:row>
    <x:row r="54">
      <x:c r="A54" s="67" t="str">
        <x:v>SHIFT-00050</x:v>
      </x:c>
      <x:c r="B54" s="73" t="n">
        <x:v>46211.5</x:v>
      </x:c>
      <x:c r="C54" s="67" t="str">
        <x:v>周三</x:v>
      </x:c>
      <x:c r="D54" s="67" t="str">
        <x:v>S02</x:v>
      </x:c>
      <x:c r="E54" s="67" t="str">
        <x:v>尊宝大厦店</x:v>
      </x:c>
      <x:c r="F54" s="67" t="str">
        <x:v>服务员</x:v>
      </x:c>
      <x:c r="G54" s="70" t="n">
        <x:v>2</x:v>
      </x:c>
      <x:c r="H54" s="76" t="n">
        <x:v>16</x:v>
      </x:c>
      <x:c r="I54" s="76" t="n">
        <x:v>15.5</x:v>
      </x:c>
      <x:c r="J54" s="76" t="n">
        <x:v>24.91</x:v>
      </x:c>
      <x:c r="K54" s="79" t="n">
        <x:f>I54*J54</x:f>
        <x:v>386.105</x:v>
      </x:c>
      <x:c r="L54" s="94" t="n">
        <x:f>SUMIFS('门店日汇总'!$H$5:$H$60,'门店日汇总'!$A$5:$A$60,B54,'门店日汇总'!$C$5:$C$60,D54)</x:f>
        <x:v>9442.3</x:v>
      </x:c>
      <x:c r="M54" s="79" t="n">
        <x:f>IFERROR(L54/SUMIFS($I$5:$I$340,$B$5:$B$340,B54,$D$5:$D$340,D54),0)</x:f>
        <x:v>133.93333333333334</x:v>
      </x:c>
      <x:c r="N54" s="67" t="str">
        <x:v>午晚高峰</x:v>
      </x:c>
      <x:c r="O54" s="67" t="str"/>
    </x:row>
    <x:row r="55">
      <x:c r="A55" s="67" t="str">
        <x:v>SHIFT-00051</x:v>
      </x:c>
      <x:c r="B55" s="73" t="n">
        <x:v>46211.5</x:v>
      </x:c>
      <x:c r="C55" s="67" t="str">
        <x:v>周三</x:v>
      </x:c>
      <x:c r="D55" s="67" t="str">
        <x:v>S02</x:v>
      </x:c>
      <x:c r="E55" s="67" t="str">
        <x:v>尊宝大厦店</x:v>
      </x:c>
      <x:c r="F55" s="67" t="str">
        <x:v>后厨小工</x:v>
      </x:c>
      <x:c r="G55" s="70" t="n">
        <x:v>2</x:v>
      </x:c>
      <x:c r="H55" s="76" t="n">
        <x:v>16</x:v>
      </x:c>
      <x:c r="I55" s="76" t="n">
        <x:v>15.75</x:v>
      </x:c>
      <x:c r="J55" s="76" t="n">
        <x:v>26.82</x:v>
      </x:c>
      <x:c r="K55" s="79" t="n">
        <x:f>I55*J55</x:f>
        <x:v>422.415</x:v>
      </x:c>
      <x:c r="L55" s="94" t="n">
        <x:f>SUMIFS('门店日汇总'!$H$5:$H$60,'门店日汇总'!$A$5:$A$60,B55,'门店日汇总'!$C$5:$C$60,D55)</x:f>
        <x:v>9442.3</x:v>
      </x:c>
      <x:c r="M55" s="79" t="n">
        <x:f>IFERROR(L55/SUMIFS($I$5:$I$340,$B$5:$B$340,B55,$D$5:$D$340,D55),0)</x:f>
        <x:v>133.93333333333334</x:v>
      </x:c>
      <x:c r="N55" s="67" t="str">
        <x:v>备菜+午晚高峰</x:v>
      </x:c>
      <x:c r="O55" s="67" t="str"/>
    </x:row>
    <x:row r="56">
      <x:c r="A56" s="67" t="str">
        <x:v>SHIFT-00052</x:v>
      </x:c>
      <x:c r="B56" s="73" t="n">
        <x:v>46211.5</x:v>
      </x:c>
      <x:c r="C56" s="67" t="str">
        <x:v>周三</x:v>
      </x:c>
      <x:c r="D56" s="67" t="str">
        <x:v>S02</x:v>
      </x:c>
      <x:c r="E56" s="67" t="str">
        <x:v>尊宝大厦店</x:v>
      </x:c>
      <x:c r="F56" s="67" t="str">
        <x:v>炒菜机操作员</x:v>
      </x:c>
      <x:c r="G56" s="70" t="n">
        <x:v>2</x:v>
      </x:c>
      <x:c r="H56" s="76" t="n">
        <x:v>16</x:v>
      </x:c>
      <x:c r="I56" s="76" t="n">
        <x:v>16</x:v>
      </x:c>
      <x:c r="J56" s="76" t="n">
        <x:v>27.78</x:v>
      </x:c>
      <x:c r="K56" s="79" t="n">
        <x:f>I56*J56</x:f>
        <x:v>444.48</x:v>
      </x:c>
      <x:c r="L56" s="94" t="n">
        <x:f>SUMIFS('门店日汇总'!$H$5:$H$60,'门店日汇总'!$A$5:$A$60,B56,'门店日汇总'!$C$5:$C$60,D56)</x:f>
        <x:v>9442.3</x:v>
      </x:c>
      <x:c r="M56" s="79" t="n">
        <x:f>IFERROR(L56/SUMIFS($I$5:$I$340,$B$5:$B$340,B56,$D$5:$D$340,D56),0)</x:f>
        <x:v>133.93333333333334</x:v>
      </x:c>
      <x:c r="N56" s="67" t="str">
        <x:v>午晚高峰</x:v>
      </x:c>
      <x:c r="O56" s="67" t="str"/>
    </x:row>
    <x:row r="57">
      <x:c r="A57" s="67" t="str">
        <x:v>SHIFT-00053</x:v>
      </x:c>
      <x:c r="B57" s="73" t="n">
        <x:v>46211.5</x:v>
      </x:c>
      <x:c r="C57" s="67" t="str">
        <x:v>周三</x:v>
      </x:c>
      <x:c r="D57" s="67" t="str">
        <x:v>S02</x:v>
      </x:c>
      <x:c r="E57" s="67" t="str">
        <x:v>尊宝大厦店</x:v>
      </x:c>
      <x:c r="F57" s="67" t="str">
        <x:v>收银/前厅</x:v>
      </x:c>
      <x:c r="G57" s="70" t="n">
        <x:v>1</x:v>
      </x:c>
      <x:c r="H57" s="76" t="n">
        <x:v>8</x:v>
      </x:c>
      <x:c r="I57" s="76" t="n">
        <x:v>8.25</x:v>
      </x:c>
      <x:c r="J57" s="76" t="n">
        <x:v>24.91</x:v>
      </x:c>
      <x:c r="K57" s="79" t="n">
        <x:f>I57*J57</x:f>
        <x:v>205.5075</x:v>
      </x:c>
      <x:c r="L57" s="94" t="n">
        <x:f>SUMIFS('门店日汇总'!$H$5:$H$60,'门店日汇总'!$A$5:$A$60,B57,'门店日汇总'!$C$5:$C$60,D57)</x:f>
        <x:v>9442.3</x:v>
      </x:c>
      <x:c r="M57" s="79" t="n">
        <x:f>IFERROR(L57/SUMIFS($I$5:$I$340,$B$5:$B$340,B57,$D$5:$D$340,D57),0)</x:f>
        <x:v>133.93333333333334</x:v>
      </x:c>
      <x:c r="N57" s="67" t="str">
        <x:v>全日</x:v>
      </x:c>
      <x:c r="O57" s="67" t="str"/>
    </x:row>
    <x:row r="58">
      <x:c r="A58" s="67" t="str">
        <x:v>SHIFT-00054</x:v>
      </x:c>
      <x:c r="B58" s="73" t="n">
        <x:v>46211.5</x:v>
      </x:c>
      <x:c r="C58" s="67" t="str">
        <x:v>周三</x:v>
      </x:c>
      <x:c r="D58" s="67" t="str">
        <x:v>S02</x:v>
      </x:c>
      <x:c r="E58" s="67" t="str">
        <x:v>尊宝大厦店</x:v>
      </x:c>
      <x:c r="F58" s="67" t="str">
        <x:v>保洁/兼职</x:v>
      </x:c>
      <x:c r="G58" s="70" t="n">
        <x:v>1</x:v>
      </x:c>
      <x:c r="H58" s="76" t="n">
        <x:v>4</x:v>
      </x:c>
      <x:c r="I58" s="76" t="n">
        <x:v>4.5</x:v>
      </x:c>
      <x:c r="J58" s="76" t="n">
        <x:v>22.99</x:v>
      </x:c>
      <x:c r="K58" s="79" t="n">
        <x:f>I58*J58</x:f>
        <x:v>103.455</x:v>
      </x:c>
      <x:c r="L58" s="94" t="n">
        <x:f>SUMIFS('门店日汇总'!$H$5:$H$60,'门店日汇总'!$A$5:$A$60,B58,'门店日汇总'!$C$5:$C$60,D58)</x:f>
        <x:v>9442.3</x:v>
      </x:c>
      <x:c r="M58" s="79" t="n">
        <x:f>IFERROR(L58/SUMIFS($I$5:$I$340,$B$5:$B$340,B58,$D$5:$D$340,D58),0)</x:f>
        <x:v>133.93333333333334</x:v>
      </x:c>
      <x:c r="N58" s="67" t="str">
        <x:v>收市</x:v>
      </x:c>
      <x:c r="O58" s="67" t="str"/>
    </x:row>
    <x:row r="59">
      <x:c r="A59" s="67" t="str">
        <x:v>SHIFT-00055</x:v>
      </x:c>
      <x:c r="B59" s="73" t="n">
        <x:v>46212.5</x:v>
      </x:c>
      <x:c r="C59" s="67" t="str">
        <x:v>周四</x:v>
      </x:c>
      <x:c r="D59" s="67" t="str">
        <x:v>S02</x:v>
      </x:c>
      <x:c r="E59" s="67" t="str">
        <x:v>尊宝大厦店</x:v>
      </x:c>
      <x:c r="F59" s="67" t="str">
        <x:v>店长/收货</x:v>
      </x:c>
      <x:c r="G59" s="70" t="n">
        <x:v>1</x:v>
      </x:c>
      <x:c r="H59" s="76" t="n">
        <x:v>10</x:v>
      </x:c>
      <x:c r="I59" s="76" t="n">
        <x:v>9.5</x:v>
      </x:c>
      <x:c r="J59" s="76" t="n">
        <x:v>32.57</x:v>
      </x:c>
      <x:c r="K59" s="79" t="n">
        <x:f>I59*J59</x:f>
        <x:v>309.415</x:v>
      </x:c>
      <x:c r="L59" s="94" t="n">
        <x:f>SUMIFS('门店日汇总'!$H$5:$H$60,'门店日汇总'!$A$5:$A$60,B59,'门店日汇总'!$C$5:$C$60,D59)</x:f>
        <x:v>9269.099999999999</x:v>
      </x:c>
      <x:c r="M59" s="79" t="n">
        <x:f>IFERROR(L59/SUMIFS($I$5:$I$340,$B$5:$B$340,B59,$D$5:$D$340,D59),0)</x:f>
        <x:v>133.36834532374098</x:v>
      </x:c>
      <x:c r="N59" s="67" t="str">
        <x:v>开市+午晚高峰</x:v>
      </x:c>
      <x:c r="O59" s="67" t="str"/>
    </x:row>
    <x:row r="60">
      <x:c r="A60" s="67" t="str">
        <x:v>SHIFT-00056</x:v>
      </x:c>
      <x:c r="B60" s="73" t="n">
        <x:v>46212.5</x:v>
      </x:c>
      <x:c r="C60" s="67" t="str">
        <x:v>周四</x:v>
      </x:c>
      <x:c r="D60" s="67" t="str">
        <x:v>S02</x:v>
      </x:c>
      <x:c r="E60" s="67" t="str">
        <x:v>尊宝大厦店</x:v>
      </x:c>
      <x:c r="F60" s="67" t="str">
        <x:v>服务员</x:v>
      </x:c>
      <x:c r="G60" s="70" t="n">
        <x:v>2</x:v>
      </x:c>
      <x:c r="H60" s="76" t="n">
        <x:v>16</x:v>
      </x:c>
      <x:c r="I60" s="76" t="n">
        <x:v>15.75</x:v>
      </x:c>
      <x:c r="J60" s="76" t="n">
        <x:v>24.91</x:v>
      </x:c>
      <x:c r="K60" s="79" t="n">
        <x:f>I60*J60</x:f>
        <x:v>392.3325</x:v>
      </x:c>
      <x:c r="L60" s="94" t="n">
        <x:f>SUMIFS('门店日汇总'!$H$5:$H$60,'门店日汇总'!$A$5:$A$60,B60,'门店日汇总'!$C$5:$C$60,D60)</x:f>
        <x:v>9269.099999999999</x:v>
      </x:c>
      <x:c r="M60" s="79" t="n">
        <x:f>IFERROR(L60/SUMIFS($I$5:$I$340,$B$5:$B$340,B60,$D$5:$D$340,D60),0)</x:f>
        <x:v>133.36834532374098</x:v>
      </x:c>
      <x:c r="N60" s="67" t="str">
        <x:v>午晚高峰</x:v>
      </x:c>
      <x:c r="O60" s="67" t="str"/>
    </x:row>
    <x:row r="61">
      <x:c r="A61" s="67" t="str">
        <x:v>SHIFT-00057</x:v>
      </x:c>
      <x:c r="B61" s="73" t="n">
        <x:v>46212.5</x:v>
      </x:c>
      <x:c r="C61" s="67" t="str">
        <x:v>周四</x:v>
      </x:c>
      <x:c r="D61" s="67" t="str">
        <x:v>S02</x:v>
      </x:c>
      <x:c r="E61" s="67" t="str">
        <x:v>尊宝大厦店</x:v>
      </x:c>
      <x:c r="F61" s="67" t="str">
        <x:v>后厨小工</x:v>
      </x:c>
      <x:c r="G61" s="70" t="n">
        <x:v>2</x:v>
      </x:c>
      <x:c r="H61" s="76" t="n">
        <x:v>16</x:v>
      </x:c>
      <x:c r="I61" s="76" t="n">
        <x:v>16</x:v>
      </x:c>
      <x:c r="J61" s="76" t="n">
        <x:v>26.82</x:v>
      </x:c>
      <x:c r="K61" s="79" t="n">
        <x:f>I61*J61</x:f>
        <x:v>429.12</x:v>
      </x:c>
      <x:c r="L61" s="94" t="n">
        <x:f>SUMIFS('门店日汇总'!$H$5:$H$60,'门店日汇总'!$A$5:$A$60,B61,'门店日汇总'!$C$5:$C$60,D61)</x:f>
        <x:v>9269.099999999999</x:v>
      </x:c>
      <x:c r="M61" s="79" t="n">
        <x:f>IFERROR(L61/SUMIFS($I$5:$I$340,$B$5:$B$340,B61,$D$5:$D$340,D61),0)</x:f>
        <x:v>133.36834532374098</x:v>
      </x:c>
      <x:c r="N61" s="67" t="str">
        <x:v>备菜+午晚高峰</x:v>
      </x:c>
      <x:c r="O61" s="67" t="str"/>
    </x:row>
    <x:row r="62">
      <x:c r="A62" s="67" t="str">
        <x:v>SHIFT-00058</x:v>
      </x:c>
      <x:c r="B62" s="73" t="n">
        <x:v>46212.5</x:v>
      </x:c>
      <x:c r="C62" s="67" t="str">
        <x:v>周四</x:v>
      </x:c>
      <x:c r="D62" s="67" t="str">
        <x:v>S02</x:v>
      </x:c>
      <x:c r="E62" s="67" t="str">
        <x:v>尊宝大厦店</x:v>
      </x:c>
      <x:c r="F62" s="67" t="str">
        <x:v>炒菜机操作员</x:v>
      </x:c>
      <x:c r="G62" s="70" t="n">
        <x:v>2</x:v>
      </x:c>
      <x:c r="H62" s="76" t="n">
        <x:v>16</x:v>
      </x:c>
      <x:c r="I62" s="76" t="n">
        <x:v>16.25</x:v>
      </x:c>
      <x:c r="J62" s="76" t="n">
        <x:v>27.78</x:v>
      </x:c>
      <x:c r="K62" s="79" t="n">
        <x:f>I62*J62</x:f>
        <x:v>451.425</x:v>
      </x:c>
      <x:c r="L62" s="94" t="n">
        <x:f>SUMIFS('门店日汇总'!$H$5:$H$60,'门店日汇总'!$A$5:$A$60,B62,'门店日汇总'!$C$5:$C$60,D62)</x:f>
        <x:v>9269.099999999999</x:v>
      </x:c>
      <x:c r="M62" s="79" t="n">
        <x:f>IFERROR(L62/SUMIFS($I$5:$I$340,$B$5:$B$340,B62,$D$5:$D$340,D62),0)</x:f>
        <x:v>133.36834532374098</x:v>
      </x:c>
      <x:c r="N62" s="67" t="str">
        <x:v>午晚高峰</x:v>
      </x:c>
      <x:c r="O62" s="67" t="str"/>
    </x:row>
    <x:row r="63">
      <x:c r="A63" s="67" t="str">
        <x:v>SHIFT-00059</x:v>
      </x:c>
      <x:c r="B63" s="73" t="n">
        <x:v>46212.5</x:v>
      </x:c>
      <x:c r="C63" s="67" t="str">
        <x:v>周四</x:v>
      </x:c>
      <x:c r="D63" s="67" t="str">
        <x:v>S02</x:v>
      </x:c>
      <x:c r="E63" s="67" t="str">
        <x:v>尊宝大厦店</x:v>
      </x:c>
      <x:c r="F63" s="67" t="str">
        <x:v>收银/前厅</x:v>
      </x:c>
      <x:c r="G63" s="70" t="n">
        <x:v>1</x:v>
      </x:c>
      <x:c r="H63" s="76" t="n">
        <x:v>8</x:v>
      </x:c>
      <x:c r="I63" s="76" t="n">
        <x:v>8.5</x:v>
      </x:c>
      <x:c r="J63" s="76" t="n">
        <x:v>24.91</x:v>
      </x:c>
      <x:c r="K63" s="79" t="n">
        <x:f>I63*J63</x:f>
        <x:v>211.735</x:v>
      </x:c>
      <x:c r="L63" s="94" t="n">
        <x:f>SUMIFS('门店日汇总'!$H$5:$H$60,'门店日汇总'!$A$5:$A$60,B63,'门店日汇总'!$C$5:$C$60,D63)</x:f>
        <x:v>9269.099999999999</x:v>
      </x:c>
      <x:c r="M63" s="79" t="n">
        <x:f>IFERROR(L63/SUMIFS($I$5:$I$340,$B$5:$B$340,B63,$D$5:$D$340,D63),0)</x:f>
        <x:v>133.36834532374098</x:v>
      </x:c>
      <x:c r="N63" s="67" t="str">
        <x:v>全日</x:v>
      </x:c>
      <x:c r="O63" s="67" t="str"/>
    </x:row>
    <x:row r="64">
      <x:c r="A64" s="67" t="str">
        <x:v>SHIFT-00060</x:v>
      </x:c>
      <x:c r="B64" s="73" t="n">
        <x:v>46212.5</x:v>
      </x:c>
      <x:c r="C64" s="67" t="str">
        <x:v>周四</x:v>
      </x:c>
      <x:c r="D64" s="67" t="str">
        <x:v>S02</x:v>
      </x:c>
      <x:c r="E64" s="67" t="str">
        <x:v>尊宝大厦店</x:v>
      </x:c>
      <x:c r="F64" s="67" t="str">
        <x:v>保洁/兼职</x:v>
      </x:c>
      <x:c r="G64" s="70" t="n">
        <x:v>1</x:v>
      </x:c>
      <x:c r="H64" s="76" t="n">
        <x:v>4</x:v>
      </x:c>
      <x:c r="I64" s="76" t="n">
        <x:v>3.5</x:v>
      </x:c>
      <x:c r="J64" s="76" t="n">
        <x:v>22.99</x:v>
      </x:c>
      <x:c r="K64" s="79" t="n">
        <x:f>I64*J64</x:f>
        <x:v>80.46499999999999</x:v>
      </x:c>
      <x:c r="L64" s="94" t="n">
        <x:f>SUMIFS('门店日汇总'!$H$5:$H$60,'门店日汇总'!$A$5:$A$60,B64,'门店日汇总'!$C$5:$C$60,D64)</x:f>
        <x:v>9269.099999999999</x:v>
      </x:c>
      <x:c r="M64" s="79" t="n">
        <x:f>IFERROR(L64/SUMIFS($I$5:$I$340,$B$5:$B$340,B64,$D$5:$D$340,D64),0)</x:f>
        <x:v>133.36834532374098</x:v>
      </x:c>
      <x:c r="N64" s="67" t="str">
        <x:v>收市</x:v>
      </x:c>
      <x:c r="O64" s="67" t="str"/>
    </x:row>
    <x:row r="65">
      <x:c r="A65" s="67" t="str">
        <x:v>SHIFT-00061</x:v>
      </x:c>
      <x:c r="B65" s="73" t="n">
        <x:v>46213.5</x:v>
      </x:c>
      <x:c r="C65" s="67" t="str">
        <x:v>周五</x:v>
      </x:c>
      <x:c r="D65" s="67" t="str">
        <x:v>S02</x:v>
      </x:c>
      <x:c r="E65" s="67" t="str">
        <x:v>尊宝大厦店</x:v>
      </x:c>
      <x:c r="F65" s="67" t="str">
        <x:v>店长/收货</x:v>
      </x:c>
      <x:c r="G65" s="70" t="n">
        <x:v>1</x:v>
      </x:c>
      <x:c r="H65" s="76" t="n">
        <x:v>10</x:v>
      </x:c>
      <x:c r="I65" s="76" t="n">
        <x:v>9.75</x:v>
      </x:c>
      <x:c r="J65" s="76" t="n">
        <x:v>32.57</x:v>
      </x:c>
      <x:c r="K65" s="79" t="n">
        <x:f>I65*J65</x:f>
        <x:v>317.5575</x:v>
      </x:c>
      <x:c r="L65" s="94" t="n">
        <x:f>SUMIFS('门店日汇总'!$H$5:$H$60,'门店日汇总'!$A$5:$A$60,B65,'门店日汇总'!$C$5:$C$60,D65)</x:f>
        <x:v>9619</x:v>
      </x:c>
      <x:c r="M65" s="79" t="n">
        <x:f>IFERROR(L65/SUMIFS($I$5:$I$340,$B$5:$B$340,B65,$D$5:$D$340,D65),0)</x:f>
        <x:v>137.90681003584228</x:v>
      </x:c>
      <x:c r="N65" s="67" t="str">
        <x:v>开市+午晚高峰</x:v>
      </x:c>
      <x:c r="O65" s="67" t="str"/>
    </x:row>
    <x:row r="66">
      <x:c r="A66" s="67" t="str">
        <x:v>SHIFT-00062</x:v>
      </x:c>
      <x:c r="B66" s="73" t="n">
        <x:v>46213.5</x:v>
      </x:c>
      <x:c r="C66" s="67" t="str">
        <x:v>周五</x:v>
      </x:c>
      <x:c r="D66" s="67" t="str">
        <x:v>S02</x:v>
      </x:c>
      <x:c r="E66" s="67" t="str">
        <x:v>尊宝大厦店</x:v>
      </x:c>
      <x:c r="F66" s="67" t="str">
        <x:v>服务员</x:v>
      </x:c>
      <x:c r="G66" s="70" t="n">
        <x:v>2</x:v>
      </x:c>
      <x:c r="H66" s="76" t="n">
        <x:v>16</x:v>
      </x:c>
      <x:c r="I66" s="76" t="n">
        <x:v>16</x:v>
      </x:c>
      <x:c r="J66" s="76" t="n">
        <x:v>24.91</x:v>
      </x:c>
      <x:c r="K66" s="79" t="n">
        <x:f>I66*J66</x:f>
        <x:v>398.56</x:v>
      </x:c>
      <x:c r="L66" s="94" t="n">
        <x:f>SUMIFS('门店日汇总'!$H$5:$H$60,'门店日汇总'!$A$5:$A$60,B66,'门店日汇总'!$C$5:$C$60,D66)</x:f>
        <x:v>9619</x:v>
      </x:c>
      <x:c r="M66" s="79" t="n">
        <x:f>IFERROR(L66/SUMIFS($I$5:$I$340,$B$5:$B$340,B66,$D$5:$D$340,D66),0)</x:f>
        <x:v>137.90681003584228</x:v>
      </x:c>
      <x:c r="N66" s="67" t="str">
        <x:v>午晚高峰</x:v>
      </x:c>
      <x:c r="O66" s="67" t="str"/>
    </x:row>
    <x:row r="67">
      <x:c r="A67" s="67" t="str">
        <x:v>SHIFT-00063</x:v>
      </x:c>
      <x:c r="B67" s="73" t="n">
        <x:v>46213.5</x:v>
      </x:c>
      <x:c r="C67" s="67" t="str">
        <x:v>周五</x:v>
      </x:c>
      <x:c r="D67" s="67" t="str">
        <x:v>S02</x:v>
      </x:c>
      <x:c r="E67" s="67" t="str">
        <x:v>尊宝大厦店</x:v>
      </x:c>
      <x:c r="F67" s="67" t="str">
        <x:v>后厨小工</x:v>
      </x:c>
      <x:c r="G67" s="70" t="n">
        <x:v>2</x:v>
      </x:c>
      <x:c r="H67" s="76" t="n">
        <x:v>16</x:v>
      </x:c>
      <x:c r="I67" s="76" t="n">
        <x:v>16.25</x:v>
      </x:c>
      <x:c r="J67" s="76" t="n">
        <x:v>26.82</x:v>
      </x:c>
      <x:c r="K67" s="79" t="n">
        <x:f>I67*J67</x:f>
        <x:v>435.825</x:v>
      </x:c>
      <x:c r="L67" s="94" t="n">
        <x:f>SUMIFS('门店日汇总'!$H$5:$H$60,'门店日汇总'!$A$5:$A$60,B67,'门店日汇总'!$C$5:$C$60,D67)</x:f>
        <x:v>9619</x:v>
      </x:c>
      <x:c r="M67" s="79" t="n">
        <x:f>IFERROR(L67/SUMIFS($I$5:$I$340,$B$5:$B$340,B67,$D$5:$D$340,D67),0)</x:f>
        <x:v>137.90681003584228</x:v>
      </x:c>
      <x:c r="N67" s="67" t="str">
        <x:v>备菜+午晚高峰</x:v>
      </x:c>
      <x:c r="O67" s="67" t="str"/>
    </x:row>
    <x:row r="68">
      <x:c r="A68" s="67" t="str">
        <x:v>SHIFT-00064</x:v>
      </x:c>
      <x:c r="B68" s="73" t="n">
        <x:v>46213.5</x:v>
      </x:c>
      <x:c r="C68" s="67" t="str">
        <x:v>周五</x:v>
      </x:c>
      <x:c r="D68" s="67" t="str">
        <x:v>S02</x:v>
      </x:c>
      <x:c r="E68" s="67" t="str">
        <x:v>尊宝大厦店</x:v>
      </x:c>
      <x:c r="F68" s="67" t="str">
        <x:v>炒菜机操作员</x:v>
      </x:c>
      <x:c r="G68" s="70" t="n">
        <x:v>2</x:v>
      </x:c>
      <x:c r="H68" s="76" t="n">
        <x:v>16</x:v>
      </x:c>
      <x:c r="I68" s="76" t="n">
        <x:v>16.5</x:v>
      </x:c>
      <x:c r="J68" s="76" t="n">
        <x:v>27.78</x:v>
      </x:c>
      <x:c r="K68" s="79" t="n">
        <x:f>I68*J68</x:f>
        <x:v>458.37</x:v>
      </x:c>
      <x:c r="L68" s="94" t="n">
        <x:f>SUMIFS('门店日汇总'!$H$5:$H$60,'门店日汇总'!$A$5:$A$60,B68,'门店日汇总'!$C$5:$C$60,D68)</x:f>
        <x:v>9619</x:v>
      </x:c>
      <x:c r="M68" s="79" t="n">
        <x:f>IFERROR(L68/SUMIFS($I$5:$I$340,$B$5:$B$340,B68,$D$5:$D$340,D68),0)</x:f>
        <x:v>137.90681003584228</x:v>
      </x:c>
      <x:c r="N68" s="67" t="str">
        <x:v>午晚高峰</x:v>
      </x:c>
      <x:c r="O68" s="67" t="str"/>
    </x:row>
    <x:row r="69">
      <x:c r="A69" s="67" t="str">
        <x:v>SHIFT-00065</x:v>
      </x:c>
      <x:c r="B69" s="73" t="n">
        <x:v>46213.5</x:v>
      </x:c>
      <x:c r="C69" s="67" t="str">
        <x:v>周五</x:v>
      </x:c>
      <x:c r="D69" s="67" t="str">
        <x:v>S02</x:v>
      </x:c>
      <x:c r="E69" s="67" t="str">
        <x:v>尊宝大厦店</x:v>
      </x:c>
      <x:c r="F69" s="67" t="str">
        <x:v>收银/前厅</x:v>
      </x:c>
      <x:c r="G69" s="70" t="n">
        <x:v>1</x:v>
      </x:c>
      <x:c r="H69" s="76" t="n">
        <x:v>8</x:v>
      </x:c>
      <x:c r="I69" s="76" t="n">
        <x:v>7.5</x:v>
      </x:c>
      <x:c r="J69" s="76" t="n">
        <x:v>24.91</x:v>
      </x:c>
      <x:c r="K69" s="79" t="n">
        <x:f>I69*J69</x:f>
        <x:v>186.825</x:v>
      </x:c>
      <x:c r="L69" s="94" t="n">
        <x:f>SUMIFS('门店日汇总'!$H$5:$H$60,'门店日汇总'!$A$5:$A$60,B69,'门店日汇总'!$C$5:$C$60,D69)</x:f>
        <x:v>9619</x:v>
      </x:c>
      <x:c r="M69" s="79" t="n">
        <x:f>IFERROR(L69/SUMIFS($I$5:$I$340,$B$5:$B$340,B69,$D$5:$D$340,D69),0)</x:f>
        <x:v>137.90681003584228</x:v>
      </x:c>
      <x:c r="N69" s="67" t="str">
        <x:v>全日</x:v>
      </x:c>
      <x:c r="O69" s="67" t="str"/>
    </x:row>
    <x:row r="70">
      <x:c r="A70" s="67" t="str">
        <x:v>SHIFT-00066</x:v>
      </x:c>
      <x:c r="B70" s="73" t="n">
        <x:v>46213.5</x:v>
      </x:c>
      <x:c r="C70" s="67" t="str">
        <x:v>周五</x:v>
      </x:c>
      <x:c r="D70" s="67" t="str">
        <x:v>S02</x:v>
      </x:c>
      <x:c r="E70" s="67" t="str">
        <x:v>尊宝大厦店</x:v>
      </x:c>
      <x:c r="F70" s="67" t="str">
        <x:v>保洁/兼职</x:v>
      </x:c>
      <x:c r="G70" s="70" t="n">
        <x:v>1</x:v>
      </x:c>
      <x:c r="H70" s="76" t="n">
        <x:v>4</x:v>
      </x:c>
      <x:c r="I70" s="76" t="n">
        <x:v>3.75</x:v>
      </x:c>
      <x:c r="J70" s="76" t="n">
        <x:v>22.99</x:v>
      </x:c>
      <x:c r="K70" s="79" t="n">
        <x:f>I70*J70</x:f>
        <x:v>86.21249999999999</x:v>
      </x:c>
      <x:c r="L70" s="94" t="n">
        <x:f>SUMIFS('门店日汇总'!$H$5:$H$60,'门店日汇总'!$A$5:$A$60,B70,'门店日汇总'!$C$5:$C$60,D70)</x:f>
        <x:v>9619</x:v>
      </x:c>
      <x:c r="M70" s="79" t="n">
        <x:f>IFERROR(L70/SUMIFS($I$5:$I$340,$B$5:$B$340,B70,$D$5:$D$340,D70),0)</x:f>
        <x:v>137.90681003584228</x:v>
      </x:c>
      <x:c r="N70" s="67" t="str">
        <x:v>收市</x:v>
      </x:c>
      <x:c r="O70" s="67" t="str"/>
    </x:row>
    <x:row r="71">
      <x:c r="A71" s="67" t="str">
        <x:v>SHIFT-00067</x:v>
      </x:c>
      <x:c r="B71" s="73" t="n">
        <x:v>46214.5</x:v>
      </x:c>
      <x:c r="C71" s="67" t="str">
        <x:v>周六</x:v>
      </x:c>
      <x:c r="D71" s="67" t="str">
        <x:v>S02</x:v>
      </x:c>
      <x:c r="E71" s="67" t="str">
        <x:v>尊宝大厦店</x:v>
      </x:c>
      <x:c r="F71" s="67" t="str">
        <x:v>店长/收货</x:v>
      </x:c>
      <x:c r="G71" s="70" t="n">
        <x:v>1</x:v>
      </x:c>
      <x:c r="H71" s="76" t="n">
        <x:v>8</x:v>
      </x:c>
      <x:c r="I71" s="76" t="n">
        <x:v>8</x:v>
      </x:c>
      <x:c r="J71" s="76" t="n">
        <x:v>32.57</x:v>
      </x:c>
      <x:c r="K71" s="79" t="n">
        <x:f>I71*J71</x:f>
        <x:v>260.56</x:v>
      </x:c>
      <x:c r="L71" s="94" t="n">
        <x:f>SUMIFS('门店日汇总'!$H$5:$H$60,'门店日汇总'!$A$5:$A$60,B71,'门店日汇总'!$C$5:$C$60,D71)</x:f>
        <x:v>7384.8</x:v>
      </x:c>
      <x:c r="M71" s="79" t="n">
        <x:f>IFERROR(L71/SUMIFS($I$5:$I$340,$B$5:$B$340,B71,$D$5:$D$340,D71),0)</x:f>
        <x:v>119.10967741935484</x:v>
      </x:c>
      <x:c r="N71" s="67" t="str">
        <x:v>开市+午晚高峰</x:v>
      </x:c>
      <x:c r="O71" s="67" t="str"/>
    </x:row>
    <x:row r="72">
      <x:c r="A72" s="67" t="str">
        <x:v>SHIFT-00068</x:v>
      </x:c>
      <x:c r="B72" s="73" t="n">
        <x:v>46214.5</x:v>
      </x:c>
      <x:c r="C72" s="67" t="str">
        <x:v>周六</x:v>
      </x:c>
      <x:c r="D72" s="67" t="str">
        <x:v>S02</x:v>
      </x:c>
      <x:c r="E72" s="67" t="str">
        <x:v>尊宝大厦店</x:v>
      </x:c>
      <x:c r="F72" s="67" t="str">
        <x:v>服务员</x:v>
      </x:c>
      <x:c r="G72" s="70" t="n">
        <x:v>2</x:v>
      </x:c>
      <x:c r="H72" s="76" t="n">
        <x:v>14</x:v>
      </x:c>
      <x:c r="I72" s="76" t="n">
        <x:v>14.25</x:v>
      </x:c>
      <x:c r="J72" s="76" t="n">
        <x:v>24.91</x:v>
      </x:c>
      <x:c r="K72" s="79" t="n">
        <x:f>I72*J72</x:f>
        <x:v>354.96750000000003</x:v>
      </x:c>
      <x:c r="L72" s="94" t="n">
        <x:f>SUMIFS('门店日汇总'!$H$5:$H$60,'门店日汇总'!$A$5:$A$60,B72,'门店日汇总'!$C$5:$C$60,D72)</x:f>
        <x:v>7384.8</x:v>
      </x:c>
      <x:c r="M72" s="79" t="n">
        <x:f>IFERROR(L72/SUMIFS($I$5:$I$340,$B$5:$B$340,B72,$D$5:$D$340,D72),0)</x:f>
        <x:v>119.10967741935484</x:v>
      </x:c>
      <x:c r="N72" s="67" t="str">
        <x:v>午晚高峰</x:v>
      </x:c>
      <x:c r="O72" s="67" t="str">
        <x:v>周末客流较低，建议下周减少兼职工时</x:v>
      </x:c>
    </x:row>
    <x:row r="73">
      <x:c r="A73" s="67" t="str">
        <x:v>SHIFT-00069</x:v>
      </x:c>
      <x:c r="B73" s="73" t="n">
        <x:v>46214.5</x:v>
      </x:c>
      <x:c r="C73" s="67" t="str">
        <x:v>周六</x:v>
      </x:c>
      <x:c r="D73" s="67" t="str">
        <x:v>S02</x:v>
      </x:c>
      <x:c r="E73" s="67" t="str">
        <x:v>尊宝大厦店</x:v>
      </x:c>
      <x:c r="F73" s="67" t="str">
        <x:v>后厨小工</x:v>
      </x:c>
      <x:c r="G73" s="70" t="n">
        <x:v>2</x:v>
      </x:c>
      <x:c r="H73" s="76" t="n">
        <x:v>14</x:v>
      </x:c>
      <x:c r="I73" s="76" t="n">
        <x:v>14.5</x:v>
      </x:c>
      <x:c r="J73" s="76" t="n">
        <x:v>26.82</x:v>
      </x:c>
      <x:c r="K73" s="79" t="n">
        <x:f>I73*J73</x:f>
        <x:v>388.89</x:v>
      </x:c>
      <x:c r="L73" s="94" t="n">
        <x:f>SUMIFS('门店日汇总'!$H$5:$H$60,'门店日汇总'!$A$5:$A$60,B73,'门店日汇总'!$C$5:$C$60,D73)</x:f>
        <x:v>7384.8</x:v>
      </x:c>
      <x:c r="M73" s="79" t="n">
        <x:f>IFERROR(L73/SUMIFS($I$5:$I$340,$B$5:$B$340,B73,$D$5:$D$340,D73),0)</x:f>
        <x:v>119.10967741935484</x:v>
      </x:c>
      <x:c r="N73" s="67" t="str">
        <x:v>备菜+午晚高峰</x:v>
      </x:c>
      <x:c r="O73" s="67" t="str"/>
    </x:row>
    <x:row r="74">
      <x:c r="A74" s="67" t="str">
        <x:v>SHIFT-00070</x:v>
      </x:c>
      <x:c r="B74" s="73" t="n">
        <x:v>46214.5</x:v>
      </x:c>
      <x:c r="C74" s="67" t="str">
        <x:v>周六</x:v>
      </x:c>
      <x:c r="D74" s="67" t="str">
        <x:v>S02</x:v>
      </x:c>
      <x:c r="E74" s="67" t="str">
        <x:v>尊宝大厦店</x:v>
      </x:c>
      <x:c r="F74" s="67" t="str">
        <x:v>炒菜机操作员</x:v>
      </x:c>
      <x:c r="G74" s="70" t="n">
        <x:v>2</x:v>
      </x:c>
      <x:c r="H74" s="76" t="n">
        <x:v>14</x:v>
      </x:c>
      <x:c r="I74" s="76" t="n">
        <x:v>13.5</x:v>
      </x:c>
      <x:c r="J74" s="76" t="n">
        <x:v>27.78</x:v>
      </x:c>
      <x:c r="K74" s="79" t="n">
        <x:f>I74*J74</x:f>
        <x:v>375.03000000000003</x:v>
      </x:c>
      <x:c r="L74" s="94" t="n">
        <x:f>SUMIFS('门店日汇总'!$H$5:$H$60,'门店日汇总'!$A$5:$A$60,B74,'门店日汇总'!$C$5:$C$60,D74)</x:f>
        <x:v>7384.8</x:v>
      </x:c>
      <x:c r="M74" s="79" t="n">
        <x:f>IFERROR(L74/SUMIFS($I$5:$I$340,$B$5:$B$340,B74,$D$5:$D$340,D74),0)</x:f>
        <x:v>119.10967741935484</x:v>
      </x:c>
      <x:c r="N74" s="67" t="str">
        <x:v>午晚高峰</x:v>
      </x:c>
      <x:c r="O74" s="67" t="str"/>
    </x:row>
    <x:row r="75">
      <x:c r="A75" s="67" t="str">
        <x:v>SHIFT-00071</x:v>
      </x:c>
      <x:c r="B75" s="73" t="n">
        <x:v>46214.5</x:v>
      </x:c>
      <x:c r="C75" s="67" t="str">
        <x:v>周六</x:v>
      </x:c>
      <x:c r="D75" s="67" t="str">
        <x:v>S02</x:v>
      </x:c>
      <x:c r="E75" s="67" t="str">
        <x:v>尊宝大厦店</x:v>
      </x:c>
      <x:c r="F75" s="67" t="str">
        <x:v>收银/前厅</x:v>
      </x:c>
      <x:c r="G75" s="70" t="n">
        <x:v>1</x:v>
      </x:c>
      <x:c r="H75" s="76" t="n">
        <x:v>8</x:v>
      </x:c>
      <x:c r="I75" s="76" t="n">
        <x:v>7.75</x:v>
      </x:c>
      <x:c r="J75" s="76" t="n">
        <x:v>24.91</x:v>
      </x:c>
      <x:c r="K75" s="79" t="n">
        <x:f>I75*J75</x:f>
        <x:v>193.0525</x:v>
      </x:c>
      <x:c r="L75" s="94" t="n">
        <x:f>SUMIFS('门店日汇总'!$H$5:$H$60,'门店日汇总'!$A$5:$A$60,B75,'门店日汇总'!$C$5:$C$60,D75)</x:f>
        <x:v>7384.8</x:v>
      </x:c>
      <x:c r="M75" s="79" t="n">
        <x:f>IFERROR(L75/SUMIFS($I$5:$I$340,$B$5:$B$340,B75,$D$5:$D$340,D75),0)</x:f>
        <x:v>119.10967741935484</x:v>
      </x:c>
      <x:c r="N75" s="67" t="str">
        <x:v>全日</x:v>
      </x:c>
      <x:c r="O75" s="67" t="str"/>
    </x:row>
    <x:row r="76">
      <x:c r="A76" s="67" t="str">
        <x:v>SHIFT-00072</x:v>
      </x:c>
      <x:c r="B76" s="73" t="n">
        <x:v>46214.5</x:v>
      </x:c>
      <x:c r="C76" s="67" t="str">
        <x:v>周六</x:v>
      </x:c>
      <x:c r="D76" s="67" t="str">
        <x:v>S02</x:v>
      </x:c>
      <x:c r="E76" s="67" t="str">
        <x:v>尊宝大厦店</x:v>
      </x:c>
      <x:c r="F76" s="67" t="str">
        <x:v>保洁/兼职</x:v>
      </x:c>
      <x:c r="G76" s="70" t="n">
        <x:v>1</x:v>
      </x:c>
      <x:c r="H76" s="76" t="n">
        <x:v>4</x:v>
      </x:c>
      <x:c r="I76" s="76" t="n">
        <x:v>4</x:v>
      </x:c>
      <x:c r="J76" s="76" t="n">
        <x:v>22.99</x:v>
      </x:c>
      <x:c r="K76" s="79" t="n">
        <x:f>I76*J76</x:f>
        <x:v>91.96</x:v>
      </x:c>
      <x:c r="L76" s="94" t="n">
        <x:f>SUMIFS('门店日汇总'!$H$5:$H$60,'门店日汇总'!$A$5:$A$60,B76,'门店日汇总'!$C$5:$C$60,D76)</x:f>
        <x:v>7384.8</x:v>
      </x:c>
      <x:c r="M76" s="79" t="n">
        <x:f>IFERROR(L76/SUMIFS($I$5:$I$340,$B$5:$B$340,B76,$D$5:$D$340,D76),0)</x:f>
        <x:v>119.10967741935484</x:v>
      </x:c>
      <x:c r="N76" s="67" t="str">
        <x:v>收市</x:v>
      </x:c>
      <x:c r="O76" s="67" t="str"/>
    </x:row>
    <x:row r="77">
      <x:c r="A77" s="67" t="str">
        <x:v>SHIFT-00073</x:v>
      </x:c>
      <x:c r="B77" s="73" t="n">
        <x:v>46215.5</x:v>
      </x:c>
      <x:c r="C77" s="67" t="str">
        <x:v>周日</x:v>
      </x:c>
      <x:c r="D77" s="67" t="str">
        <x:v>S02</x:v>
      </x:c>
      <x:c r="E77" s="67" t="str">
        <x:v>尊宝大厦店</x:v>
      </x:c>
      <x:c r="F77" s="67" t="str">
        <x:v>店长/收货</x:v>
      </x:c>
      <x:c r="G77" s="70" t="n">
        <x:v>1</x:v>
      </x:c>
      <x:c r="H77" s="76" t="n">
        <x:v>8</x:v>
      </x:c>
      <x:c r="I77" s="76" t="n">
        <x:v>8.25</x:v>
      </x:c>
      <x:c r="J77" s="76" t="n">
        <x:v>32.57</x:v>
      </x:c>
      <x:c r="K77" s="79" t="n">
        <x:f>I77*J77</x:f>
        <x:v>268.7025</x:v>
      </x:c>
      <x:c r="L77" s="94" t="n">
        <x:f>SUMIFS('门店日汇总'!$H$5:$H$60,'门店日汇总'!$A$5:$A$60,B77,'门店日汇总'!$C$5:$C$60,D77)</x:f>
        <x:v>7200.900000000001</x:v>
      </x:c>
      <x:c r="M77" s="79" t="n">
        <x:f>IFERROR(L77/SUMIFS($I$5:$I$340,$B$5:$B$340,B77,$D$5:$D$340,D77),0)</x:f>
        <x:v>115.67710843373494</x:v>
      </x:c>
      <x:c r="N77" s="67" t="str">
        <x:v>开市+午晚高峰</x:v>
      </x:c>
      <x:c r="O77" s="67" t="str"/>
    </x:row>
    <x:row r="78">
      <x:c r="A78" s="67" t="str">
        <x:v>SHIFT-00074</x:v>
      </x:c>
      <x:c r="B78" s="73" t="n">
        <x:v>46215.5</x:v>
      </x:c>
      <x:c r="C78" s="67" t="str">
        <x:v>周日</x:v>
      </x:c>
      <x:c r="D78" s="67" t="str">
        <x:v>S02</x:v>
      </x:c>
      <x:c r="E78" s="67" t="str">
        <x:v>尊宝大厦店</x:v>
      </x:c>
      <x:c r="F78" s="67" t="str">
        <x:v>服务员</x:v>
      </x:c>
      <x:c r="G78" s="70" t="n">
        <x:v>2</x:v>
      </x:c>
      <x:c r="H78" s="76" t="n">
        <x:v>14</x:v>
      </x:c>
      <x:c r="I78" s="76" t="n">
        <x:v>14.5</x:v>
      </x:c>
      <x:c r="J78" s="76" t="n">
        <x:v>24.91</x:v>
      </x:c>
      <x:c r="K78" s="79" t="n">
        <x:f>I78*J78</x:f>
        <x:v>361.195</x:v>
      </x:c>
      <x:c r="L78" s="94" t="n">
        <x:f>SUMIFS('门店日汇总'!$H$5:$H$60,'门店日汇总'!$A$5:$A$60,B78,'门店日汇总'!$C$5:$C$60,D78)</x:f>
        <x:v>7200.900000000001</x:v>
      </x:c>
      <x:c r="M78" s="79" t="n">
        <x:f>IFERROR(L78/SUMIFS($I$5:$I$340,$B$5:$B$340,B78,$D$5:$D$340,D78),0)</x:f>
        <x:v>115.67710843373494</x:v>
      </x:c>
      <x:c r="N78" s="67" t="str">
        <x:v>午晚高峰</x:v>
      </x:c>
      <x:c r="O78" s="67" t="str">
        <x:v>周末客流较低，建议下周减少兼职工时</x:v>
      </x:c>
    </x:row>
    <x:row r="79">
      <x:c r="A79" s="67" t="str">
        <x:v>SHIFT-00075</x:v>
      </x:c>
      <x:c r="B79" s="73" t="n">
        <x:v>46215.5</x:v>
      </x:c>
      <x:c r="C79" s="67" t="str">
        <x:v>周日</x:v>
      </x:c>
      <x:c r="D79" s="67" t="str">
        <x:v>S02</x:v>
      </x:c>
      <x:c r="E79" s="67" t="str">
        <x:v>尊宝大厦店</x:v>
      </x:c>
      <x:c r="F79" s="67" t="str">
        <x:v>后厨小工</x:v>
      </x:c>
      <x:c r="G79" s="70" t="n">
        <x:v>2</x:v>
      </x:c>
      <x:c r="H79" s="76" t="n">
        <x:v>14</x:v>
      </x:c>
      <x:c r="I79" s="76" t="n">
        <x:v>13.5</x:v>
      </x:c>
      <x:c r="J79" s="76" t="n">
        <x:v>26.82</x:v>
      </x:c>
      <x:c r="K79" s="79" t="n">
        <x:f>I79*J79</x:f>
        <x:v>362.07</x:v>
      </x:c>
      <x:c r="L79" s="94" t="n">
        <x:f>SUMIFS('门店日汇总'!$H$5:$H$60,'门店日汇总'!$A$5:$A$60,B79,'门店日汇总'!$C$5:$C$60,D79)</x:f>
        <x:v>7200.900000000001</x:v>
      </x:c>
      <x:c r="M79" s="79" t="n">
        <x:f>IFERROR(L79/SUMIFS($I$5:$I$340,$B$5:$B$340,B79,$D$5:$D$340,D79),0)</x:f>
        <x:v>115.67710843373494</x:v>
      </x:c>
      <x:c r="N79" s="67" t="str">
        <x:v>备菜+午晚高峰</x:v>
      </x:c>
      <x:c r="O79" s="67" t="str"/>
    </x:row>
    <x:row r="80">
      <x:c r="A80" s="67" t="str">
        <x:v>SHIFT-00076</x:v>
      </x:c>
      <x:c r="B80" s="73" t="n">
        <x:v>46215.5</x:v>
      </x:c>
      <x:c r="C80" s="67" t="str">
        <x:v>周日</x:v>
      </x:c>
      <x:c r="D80" s="67" t="str">
        <x:v>S02</x:v>
      </x:c>
      <x:c r="E80" s="67" t="str">
        <x:v>尊宝大厦店</x:v>
      </x:c>
      <x:c r="F80" s="67" t="str">
        <x:v>炒菜机操作员</x:v>
      </x:c>
      <x:c r="G80" s="70" t="n">
        <x:v>2</x:v>
      </x:c>
      <x:c r="H80" s="76" t="n">
        <x:v>14</x:v>
      </x:c>
      <x:c r="I80" s="76" t="n">
        <x:v>13.75</x:v>
      </x:c>
      <x:c r="J80" s="76" t="n">
        <x:v>27.78</x:v>
      </x:c>
      <x:c r="K80" s="79" t="n">
        <x:f>I80*J80</x:f>
        <x:v>381.975</x:v>
      </x:c>
      <x:c r="L80" s="94" t="n">
        <x:f>SUMIFS('门店日汇总'!$H$5:$H$60,'门店日汇总'!$A$5:$A$60,B80,'门店日汇总'!$C$5:$C$60,D80)</x:f>
        <x:v>7200.900000000001</x:v>
      </x:c>
      <x:c r="M80" s="79" t="n">
        <x:f>IFERROR(L80/SUMIFS($I$5:$I$340,$B$5:$B$340,B80,$D$5:$D$340,D80),0)</x:f>
        <x:v>115.67710843373494</x:v>
      </x:c>
      <x:c r="N80" s="67" t="str">
        <x:v>午晚高峰</x:v>
      </x:c>
      <x:c r="O80" s="67" t="str"/>
    </x:row>
    <x:row r="81">
      <x:c r="A81" s="67" t="str">
        <x:v>SHIFT-00077</x:v>
      </x:c>
      <x:c r="B81" s="73" t="n">
        <x:v>46215.5</x:v>
      </x:c>
      <x:c r="C81" s="67" t="str">
        <x:v>周日</x:v>
      </x:c>
      <x:c r="D81" s="67" t="str">
        <x:v>S02</x:v>
      </x:c>
      <x:c r="E81" s="67" t="str">
        <x:v>尊宝大厦店</x:v>
      </x:c>
      <x:c r="F81" s="67" t="str">
        <x:v>收银/前厅</x:v>
      </x:c>
      <x:c r="G81" s="70" t="n">
        <x:v>1</x:v>
      </x:c>
      <x:c r="H81" s="76" t="n">
        <x:v>8</x:v>
      </x:c>
      <x:c r="I81" s="76" t="n">
        <x:v>8</x:v>
      </x:c>
      <x:c r="J81" s="76" t="n">
        <x:v>24.91</x:v>
      </x:c>
      <x:c r="K81" s="79" t="n">
        <x:f>I81*J81</x:f>
        <x:v>199.28</x:v>
      </x:c>
      <x:c r="L81" s="94" t="n">
        <x:f>SUMIFS('门店日汇总'!$H$5:$H$60,'门店日汇总'!$A$5:$A$60,B81,'门店日汇总'!$C$5:$C$60,D81)</x:f>
        <x:v>7200.900000000001</x:v>
      </x:c>
      <x:c r="M81" s="79" t="n">
        <x:f>IFERROR(L81/SUMIFS($I$5:$I$340,$B$5:$B$340,B81,$D$5:$D$340,D81),0)</x:f>
        <x:v>115.67710843373494</x:v>
      </x:c>
      <x:c r="N81" s="67" t="str">
        <x:v>全日</x:v>
      </x:c>
      <x:c r="O81" s="67" t="str"/>
    </x:row>
    <x:row r="82">
      <x:c r="A82" s="67" t="str">
        <x:v>SHIFT-00078</x:v>
      </x:c>
      <x:c r="B82" s="73" t="n">
        <x:v>46215.5</x:v>
      </x:c>
      <x:c r="C82" s="67" t="str">
        <x:v>周日</x:v>
      </x:c>
      <x:c r="D82" s="67" t="str">
        <x:v>S02</x:v>
      </x:c>
      <x:c r="E82" s="67" t="str">
        <x:v>尊宝大厦店</x:v>
      </x:c>
      <x:c r="F82" s="67" t="str">
        <x:v>保洁/兼职</x:v>
      </x:c>
      <x:c r="G82" s="70" t="n">
        <x:v>1</x:v>
      </x:c>
      <x:c r="H82" s="76" t="n">
        <x:v>4</x:v>
      </x:c>
      <x:c r="I82" s="76" t="n">
        <x:v>4.25</x:v>
      </x:c>
      <x:c r="J82" s="76" t="n">
        <x:v>22.99</x:v>
      </x:c>
      <x:c r="K82" s="79" t="n">
        <x:f>I82*J82</x:f>
        <x:v>97.7075</x:v>
      </x:c>
      <x:c r="L82" s="94" t="n">
        <x:f>SUMIFS('门店日汇总'!$H$5:$H$60,'门店日汇总'!$A$5:$A$60,B82,'门店日汇总'!$C$5:$C$60,D82)</x:f>
        <x:v>7200.900000000001</x:v>
      </x:c>
      <x:c r="M82" s="79" t="n">
        <x:f>IFERROR(L82/SUMIFS($I$5:$I$340,$B$5:$B$340,B82,$D$5:$D$340,D82),0)</x:f>
        <x:v>115.67710843373494</x:v>
      </x:c>
      <x:c r="N82" s="67" t="str">
        <x:v>收市</x:v>
      </x:c>
      <x:c r="O82" s="67" t="str"/>
    </x:row>
    <x:row r="83">
      <x:c r="A83" s="67" t="str">
        <x:v>SHIFT-00079</x:v>
      </x:c>
      <x:c r="B83" s="73" t="n">
        <x:v>46216.5</x:v>
      </x:c>
      <x:c r="C83" s="67" t="str">
        <x:v>周一</x:v>
      </x:c>
      <x:c r="D83" s="67" t="str">
        <x:v>S02</x:v>
      </x:c>
      <x:c r="E83" s="67" t="str">
        <x:v>尊宝大厦店</x:v>
      </x:c>
      <x:c r="F83" s="67" t="str">
        <x:v>店长/收货</x:v>
      </x:c>
      <x:c r="G83" s="70" t="n">
        <x:v>1</x:v>
      </x:c>
      <x:c r="H83" s="76" t="n">
        <x:v>10</x:v>
      </x:c>
      <x:c r="I83" s="76" t="n">
        <x:v>10.5</x:v>
      </x:c>
      <x:c r="J83" s="76" t="n">
        <x:v>32.57</x:v>
      </x:c>
      <x:c r="K83" s="79" t="n">
        <x:f>I83*J83</x:f>
        <x:v>341.985</x:v>
      </x:c>
      <x:c r="L83" s="94" t="n">
        <x:f>SUMIFS('门店日汇总'!$H$5:$H$60,'门店日汇总'!$A$5:$A$60,B83,'门店日汇总'!$C$5:$C$60,D83)</x:f>
        <x:v>10345.199999999999</x:v>
      </x:c>
      <x:c r="M83" s="79" t="n">
        <x:f>IFERROR(L83/SUMIFS($I$5:$I$340,$B$5:$B$340,B83,$D$5:$D$340,D83),0)</x:f>
        <x:v>146.74042553191487</x:v>
      </x:c>
      <x:c r="N83" s="67" t="str">
        <x:v>开市+午晚高峰</x:v>
      </x:c>
      <x:c r="O83" s="67" t="str"/>
    </x:row>
    <x:row r="84">
      <x:c r="A84" s="67" t="str">
        <x:v>SHIFT-00080</x:v>
      </x:c>
      <x:c r="B84" s="73" t="n">
        <x:v>46216.5</x:v>
      </x:c>
      <x:c r="C84" s="67" t="str">
        <x:v>周一</x:v>
      </x:c>
      <x:c r="D84" s="67" t="str">
        <x:v>S02</x:v>
      </x:c>
      <x:c r="E84" s="67" t="str">
        <x:v>尊宝大厦店</x:v>
      </x:c>
      <x:c r="F84" s="67" t="str">
        <x:v>服务员</x:v>
      </x:c>
      <x:c r="G84" s="70" t="n">
        <x:v>2</x:v>
      </x:c>
      <x:c r="H84" s="76" t="n">
        <x:v>16</x:v>
      </x:c>
      <x:c r="I84" s="76" t="n">
        <x:v>15.5</x:v>
      </x:c>
      <x:c r="J84" s="76" t="n">
        <x:v>24.91</x:v>
      </x:c>
      <x:c r="K84" s="79" t="n">
        <x:f>I84*J84</x:f>
        <x:v>386.105</x:v>
      </x:c>
      <x:c r="L84" s="94" t="n">
        <x:f>SUMIFS('门店日汇总'!$H$5:$H$60,'门店日汇总'!$A$5:$A$60,B84,'门店日汇总'!$C$5:$C$60,D84)</x:f>
        <x:v>10345.199999999999</x:v>
      </x:c>
      <x:c r="M84" s="79" t="n">
        <x:f>IFERROR(L84/SUMIFS($I$5:$I$340,$B$5:$B$340,B84,$D$5:$D$340,D84),0)</x:f>
        <x:v>146.74042553191487</x:v>
      </x:c>
      <x:c r="N84" s="67" t="str">
        <x:v>午晚高峰</x:v>
      </x:c>
      <x:c r="O84" s="67" t="str"/>
    </x:row>
    <x:row r="85">
      <x:c r="A85" s="67" t="str">
        <x:v>SHIFT-00081</x:v>
      </x:c>
      <x:c r="B85" s="73" t="n">
        <x:v>46216.5</x:v>
      </x:c>
      <x:c r="C85" s="67" t="str">
        <x:v>周一</x:v>
      </x:c>
      <x:c r="D85" s="67" t="str">
        <x:v>S02</x:v>
      </x:c>
      <x:c r="E85" s="67" t="str">
        <x:v>尊宝大厦店</x:v>
      </x:c>
      <x:c r="F85" s="67" t="str">
        <x:v>后厨小工</x:v>
      </x:c>
      <x:c r="G85" s="70" t="n">
        <x:v>2</x:v>
      </x:c>
      <x:c r="H85" s="76" t="n">
        <x:v>16</x:v>
      </x:c>
      <x:c r="I85" s="76" t="n">
        <x:v>15.75</x:v>
      </x:c>
      <x:c r="J85" s="76" t="n">
        <x:v>26.82</x:v>
      </x:c>
      <x:c r="K85" s="79" t="n">
        <x:f>I85*J85</x:f>
        <x:v>422.415</x:v>
      </x:c>
      <x:c r="L85" s="94" t="n">
        <x:f>SUMIFS('门店日汇总'!$H$5:$H$60,'门店日汇总'!$A$5:$A$60,B85,'门店日汇总'!$C$5:$C$60,D85)</x:f>
        <x:v>10345.199999999999</x:v>
      </x:c>
      <x:c r="M85" s="79" t="n">
        <x:f>IFERROR(L85/SUMIFS($I$5:$I$340,$B$5:$B$340,B85,$D$5:$D$340,D85),0)</x:f>
        <x:v>146.74042553191487</x:v>
      </x:c>
      <x:c r="N85" s="67" t="str">
        <x:v>备菜+午晚高峰</x:v>
      </x:c>
      <x:c r="O85" s="67" t="str"/>
    </x:row>
    <x:row r="86">
      <x:c r="A86" s="67" t="str">
        <x:v>SHIFT-00082</x:v>
      </x:c>
      <x:c r="B86" s="73" t="n">
        <x:v>46216.5</x:v>
      </x:c>
      <x:c r="C86" s="67" t="str">
        <x:v>周一</x:v>
      </x:c>
      <x:c r="D86" s="67" t="str">
        <x:v>S02</x:v>
      </x:c>
      <x:c r="E86" s="67" t="str">
        <x:v>尊宝大厦店</x:v>
      </x:c>
      <x:c r="F86" s="67" t="str">
        <x:v>炒菜机操作员</x:v>
      </x:c>
      <x:c r="G86" s="70" t="n">
        <x:v>2</x:v>
      </x:c>
      <x:c r="H86" s="76" t="n">
        <x:v>16</x:v>
      </x:c>
      <x:c r="I86" s="76" t="n">
        <x:v>16</x:v>
      </x:c>
      <x:c r="J86" s="76" t="n">
        <x:v>27.78</x:v>
      </x:c>
      <x:c r="K86" s="79" t="n">
        <x:f>I86*J86</x:f>
        <x:v>444.48</x:v>
      </x:c>
      <x:c r="L86" s="94" t="n">
        <x:f>SUMIFS('门店日汇总'!$H$5:$H$60,'门店日汇总'!$A$5:$A$60,B86,'门店日汇总'!$C$5:$C$60,D86)</x:f>
        <x:v>10345.199999999999</x:v>
      </x:c>
      <x:c r="M86" s="79" t="n">
        <x:f>IFERROR(L86/SUMIFS($I$5:$I$340,$B$5:$B$340,B86,$D$5:$D$340,D86),0)</x:f>
        <x:v>146.74042553191487</x:v>
      </x:c>
      <x:c r="N86" s="67" t="str">
        <x:v>午晚高峰</x:v>
      </x:c>
      <x:c r="O86" s="67" t="str"/>
    </x:row>
    <x:row r="87">
      <x:c r="A87" s="67" t="str">
        <x:v>SHIFT-00083</x:v>
      </x:c>
      <x:c r="B87" s="73" t="n">
        <x:v>46216.5</x:v>
      </x:c>
      <x:c r="C87" s="67" t="str">
        <x:v>周一</x:v>
      </x:c>
      <x:c r="D87" s="67" t="str">
        <x:v>S02</x:v>
      </x:c>
      <x:c r="E87" s="67" t="str">
        <x:v>尊宝大厦店</x:v>
      </x:c>
      <x:c r="F87" s="67" t="str">
        <x:v>收银/前厅</x:v>
      </x:c>
      <x:c r="G87" s="70" t="n">
        <x:v>1</x:v>
      </x:c>
      <x:c r="H87" s="76" t="n">
        <x:v>8</x:v>
      </x:c>
      <x:c r="I87" s="76" t="n">
        <x:v>8.25</x:v>
      </x:c>
      <x:c r="J87" s="76" t="n">
        <x:v>24.91</x:v>
      </x:c>
      <x:c r="K87" s="79" t="n">
        <x:f>I87*J87</x:f>
        <x:v>205.5075</x:v>
      </x:c>
      <x:c r="L87" s="94" t="n">
        <x:f>SUMIFS('门店日汇总'!$H$5:$H$60,'门店日汇总'!$A$5:$A$60,B87,'门店日汇总'!$C$5:$C$60,D87)</x:f>
        <x:v>10345.199999999999</x:v>
      </x:c>
      <x:c r="M87" s="79" t="n">
        <x:f>IFERROR(L87/SUMIFS($I$5:$I$340,$B$5:$B$340,B87,$D$5:$D$340,D87),0)</x:f>
        <x:v>146.74042553191487</x:v>
      </x:c>
      <x:c r="N87" s="67" t="str">
        <x:v>全日</x:v>
      </x:c>
      <x:c r="O87" s="67" t="str"/>
    </x:row>
    <x:row r="88">
      <x:c r="A88" s="67" t="str">
        <x:v>SHIFT-00084</x:v>
      </x:c>
      <x:c r="B88" s="73" t="n">
        <x:v>46216.5</x:v>
      </x:c>
      <x:c r="C88" s="67" t="str">
        <x:v>周一</x:v>
      </x:c>
      <x:c r="D88" s="67" t="str">
        <x:v>S02</x:v>
      </x:c>
      <x:c r="E88" s="67" t="str">
        <x:v>尊宝大厦店</x:v>
      </x:c>
      <x:c r="F88" s="67" t="str">
        <x:v>保洁/兼职</x:v>
      </x:c>
      <x:c r="G88" s="70" t="n">
        <x:v>1</x:v>
      </x:c>
      <x:c r="H88" s="76" t="n">
        <x:v>4</x:v>
      </x:c>
      <x:c r="I88" s="76" t="n">
        <x:v>4.5</x:v>
      </x:c>
      <x:c r="J88" s="76" t="n">
        <x:v>22.99</x:v>
      </x:c>
      <x:c r="K88" s="79" t="n">
        <x:f>I88*J88</x:f>
        <x:v>103.455</x:v>
      </x:c>
      <x:c r="L88" s="94" t="n">
        <x:f>SUMIFS('门店日汇总'!$H$5:$H$60,'门店日汇总'!$A$5:$A$60,B88,'门店日汇总'!$C$5:$C$60,D88)</x:f>
        <x:v>10345.199999999999</x:v>
      </x:c>
      <x:c r="M88" s="79" t="n">
        <x:f>IFERROR(L88/SUMIFS($I$5:$I$340,$B$5:$B$340,B88,$D$5:$D$340,D88),0)</x:f>
        <x:v>146.74042553191487</x:v>
      </x:c>
      <x:c r="N88" s="67" t="str">
        <x:v>收市</x:v>
      </x:c>
      <x:c r="O88" s="67" t="str"/>
    </x:row>
    <x:row r="89">
      <x:c r="A89" s="67" t="str">
        <x:v>SHIFT-00085</x:v>
      </x:c>
      <x:c r="B89" s="73" t="n">
        <x:v>46210.5</x:v>
      </x:c>
      <x:c r="C89" s="67" t="str">
        <x:v>周二</x:v>
      </x:c>
      <x:c r="D89" s="67" t="str">
        <x:v>S03</x:v>
      </x:c>
      <x:c r="E89" s="67" t="str">
        <x:v>铂悦城店</x:v>
      </x:c>
      <x:c r="F89" s="67" t="str">
        <x:v>店长/收货</x:v>
      </x:c>
      <x:c r="G89" s="70" t="n">
        <x:v>1</x:v>
      </x:c>
      <x:c r="H89" s="76" t="n">
        <x:v>10</x:v>
      </x:c>
      <x:c r="I89" s="76" t="n">
        <x:v>9.75</x:v>
      </x:c>
      <x:c r="J89" s="76" t="n">
        <x:v>33.18</x:v>
      </x:c>
      <x:c r="K89" s="79" t="n">
        <x:f>I89*J89</x:f>
        <x:v>323.505</x:v>
      </x:c>
      <x:c r="L89" s="94" t="n">
        <x:f>SUMIFS('门店日汇总'!$H$5:$H$60,'门店日汇总'!$A$5:$A$60,B89,'门店日汇总'!$C$5:$C$60,D89)</x:f>
        <x:v>9358</x:v>
      </x:c>
      <x:c r="M89" s="79" t="n">
        <x:f>IFERROR(L89/SUMIFS($I$5:$I$340,$B$5:$B$340,B89,$D$5:$D$340,D89),0)</x:f>
        <x:v>134.16487455197134</x:v>
      </x:c>
      <x:c r="N89" s="67" t="str">
        <x:v>开市+午晚高峰</x:v>
      </x:c>
      <x:c r="O89" s="67" t="str"/>
    </x:row>
    <x:row r="90">
      <x:c r="A90" s="67" t="str">
        <x:v>SHIFT-00086</x:v>
      </x:c>
      <x:c r="B90" s="73" t="n">
        <x:v>46210.5</x:v>
      </x:c>
      <x:c r="C90" s="67" t="str">
        <x:v>周二</x:v>
      </x:c>
      <x:c r="D90" s="67" t="str">
        <x:v>S03</x:v>
      </x:c>
      <x:c r="E90" s="67" t="str">
        <x:v>铂悦城店</x:v>
      </x:c>
      <x:c r="F90" s="67" t="str">
        <x:v>服务员</x:v>
      </x:c>
      <x:c r="G90" s="70" t="n">
        <x:v>2</x:v>
      </x:c>
      <x:c r="H90" s="76" t="n">
        <x:v>16</x:v>
      </x:c>
      <x:c r="I90" s="76" t="n">
        <x:v>16</x:v>
      </x:c>
      <x:c r="J90" s="76" t="n">
        <x:v>25.38</x:v>
      </x:c>
      <x:c r="K90" s="79" t="n">
        <x:f>I90*J90</x:f>
        <x:v>406.08</x:v>
      </x:c>
      <x:c r="L90" s="94" t="n">
        <x:f>SUMIFS('门店日汇总'!$H$5:$H$60,'门店日汇总'!$A$5:$A$60,B90,'门店日汇总'!$C$5:$C$60,D90)</x:f>
        <x:v>9358</x:v>
      </x:c>
      <x:c r="M90" s="79" t="n">
        <x:f>IFERROR(L90/SUMIFS($I$5:$I$340,$B$5:$B$340,B90,$D$5:$D$340,D90),0)</x:f>
        <x:v>134.16487455197134</x:v>
      </x:c>
      <x:c r="N90" s="67" t="str">
        <x:v>午晚高峰</x:v>
      </x:c>
      <x:c r="O90" s="67" t="str"/>
    </x:row>
    <x:row r="91">
      <x:c r="A91" s="67" t="str">
        <x:v>SHIFT-00087</x:v>
      </x:c>
      <x:c r="B91" s="73" t="n">
        <x:v>46210.5</x:v>
      </x:c>
      <x:c r="C91" s="67" t="str">
        <x:v>周二</x:v>
      </x:c>
      <x:c r="D91" s="67" t="str">
        <x:v>S03</x:v>
      </x:c>
      <x:c r="E91" s="67" t="str">
        <x:v>铂悦城店</x:v>
      </x:c>
      <x:c r="F91" s="67" t="str">
        <x:v>后厨小工</x:v>
      </x:c>
      <x:c r="G91" s="70" t="n">
        <x:v>2</x:v>
      </x:c>
      <x:c r="H91" s="76" t="n">
        <x:v>16</x:v>
      </x:c>
      <x:c r="I91" s="76" t="n">
        <x:v>16.25</x:v>
      </x:c>
      <x:c r="J91" s="76" t="n">
        <x:v>27.33</x:v>
      </x:c>
      <x:c r="K91" s="79" t="n">
        <x:f>I91*J91</x:f>
        <x:v>444.11249999999995</x:v>
      </x:c>
      <x:c r="L91" s="94" t="n">
        <x:f>SUMIFS('门店日汇总'!$H$5:$H$60,'门店日汇总'!$A$5:$A$60,B91,'门店日汇总'!$C$5:$C$60,D91)</x:f>
        <x:v>9358</x:v>
      </x:c>
      <x:c r="M91" s="79" t="n">
        <x:f>IFERROR(L91/SUMIFS($I$5:$I$340,$B$5:$B$340,B91,$D$5:$D$340,D91),0)</x:f>
        <x:v>134.16487455197134</x:v>
      </x:c>
      <x:c r="N91" s="67" t="str">
        <x:v>备菜+午晚高峰</x:v>
      </x:c>
      <x:c r="O91" s="67" t="str"/>
    </x:row>
    <x:row r="92">
      <x:c r="A92" s="67" t="str">
        <x:v>SHIFT-00088</x:v>
      </x:c>
      <x:c r="B92" s="73" t="n">
        <x:v>46210.5</x:v>
      </x:c>
      <x:c r="C92" s="67" t="str">
        <x:v>周二</x:v>
      </x:c>
      <x:c r="D92" s="67" t="str">
        <x:v>S03</x:v>
      </x:c>
      <x:c r="E92" s="67" t="str">
        <x:v>铂悦城店</x:v>
      </x:c>
      <x:c r="F92" s="67" t="str">
        <x:v>炒菜机操作员</x:v>
      </x:c>
      <x:c r="G92" s="70" t="n">
        <x:v>2</x:v>
      </x:c>
      <x:c r="H92" s="76" t="n">
        <x:v>16</x:v>
      </x:c>
      <x:c r="I92" s="76" t="n">
        <x:v>16.5</x:v>
      </x:c>
      <x:c r="J92" s="76" t="n">
        <x:v>28.3</x:v>
      </x:c>
      <x:c r="K92" s="79" t="n">
        <x:f>I92*J92</x:f>
        <x:v>466.95</x:v>
      </x:c>
      <x:c r="L92" s="94" t="n">
        <x:f>SUMIFS('门店日汇总'!$H$5:$H$60,'门店日汇总'!$A$5:$A$60,B92,'门店日汇总'!$C$5:$C$60,D92)</x:f>
        <x:v>9358</x:v>
      </x:c>
      <x:c r="M92" s="79" t="n">
        <x:f>IFERROR(L92/SUMIFS($I$5:$I$340,$B$5:$B$340,B92,$D$5:$D$340,D92),0)</x:f>
        <x:v>134.16487455197134</x:v>
      </x:c>
      <x:c r="N92" s="67" t="str">
        <x:v>午晚高峰</x:v>
      </x:c>
      <x:c r="O92" s="67" t="str"/>
    </x:row>
    <x:row r="93">
      <x:c r="A93" s="67" t="str">
        <x:v>SHIFT-00089</x:v>
      </x:c>
      <x:c r="B93" s="73" t="n">
        <x:v>46210.5</x:v>
      </x:c>
      <x:c r="C93" s="67" t="str">
        <x:v>周二</x:v>
      </x:c>
      <x:c r="D93" s="67" t="str">
        <x:v>S03</x:v>
      </x:c>
      <x:c r="E93" s="67" t="str">
        <x:v>铂悦城店</x:v>
      </x:c>
      <x:c r="F93" s="67" t="str">
        <x:v>收银/前厅</x:v>
      </x:c>
      <x:c r="G93" s="70" t="n">
        <x:v>1</x:v>
      </x:c>
      <x:c r="H93" s="76" t="n">
        <x:v>8</x:v>
      </x:c>
      <x:c r="I93" s="76" t="n">
        <x:v>7.5</x:v>
      </x:c>
      <x:c r="J93" s="76" t="n">
        <x:v>25.38</x:v>
      </x:c>
      <x:c r="K93" s="79" t="n">
        <x:f>I93*J93</x:f>
        <x:v>190.35</x:v>
      </x:c>
      <x:c r="L93" s="94" t="n">
        <x:f>SUMIFS('门店日汇总'!$H$5:$H$60,'门店日汇总'!$A$5:$A$60,B93,'门店日汇总'!$C$5:$C$60,D93)</x:f>
        <x:v>9358</x:v>
      </x:c>
      <x:c r="M93" s="79" t="n">
        <x:f>IFERROR(L93/SUMIFS($I$5:$I$340,$B$5:$B$340,B93,$D$5:$D$340,D93),0)</x:f>
        <x:v>134.16487455197134</x:v>
      </x:c>
      <x:c r="N93" s="67" t="str">
        <x:v>全日</x:v>
      </x:c>
      <x:c r="O93" s="67" t="str"/>
    </x:row>
    <x:row r="94">
      <x:c r="A94" s="67" t="str">
        <x:v>SHIFT-00090</x:v>
      </x:c>
      <x:c r="B94" s="73" t="n">
        <x:v>46210.5</x:v>
      </x:c>
      <x:c r="C94" s="67" t="str">
        <x:v>周二</x:v>
      </x:c>
      <x:c r="D94" s="67" t="str">
        <x:v>S03</x:v>
      </x:c>
      <x:c r="E94" s="67" t="str">
        <x:v>铂悦城店</x:v>
      </x:c>
      <x:c r="F94" s="67" t="str">
        <x:v>保洁/兼职</x:v>
      </x:c>
      <x:c r="G94" s="70" t="n">
        <x:v>1</x:v>
      </x:c>
      <x:c r="H94" s="76" t="n">
        <x:v>4</x:v>
      </x:c>
      <x:c r="I94" s="76" t="n">
        <x:v>3.75</x:v>
      </x:c>
      <x:c r="J94" s="76" t="n">
        <x:v>23.42</x:v>
      </x:c>
      <x:c r="K94" s="79" t="n">
        <x:f>I94*J94</x:f>
        <x:v>87.825</x:v>
      </x:c>
      <x:c r="L94" s="94" t="n">
        <x:f>SUMIFS('门店日汇总'!$H$5:$H$60,'门店日汇总'!$A$5:$A$60,B94,'门店日汇总'!$C$5:$C$60,D94)</x:f>
        <x:v>9358</x:v>
      </x:c>
      <x:c r="M94" s="79" t="n">
        <x:f>IFERROR(L94/SUMIFS($I$5:$I$340,$B$5:$B$340,B94,$D$5:$D$340,D94),0)</x:f>
        <x:v>134.16487455197134</x:v>
      </x:c>
      <x:c r="N94" s="67" t="str">
        <x:v>收市</x:v>
      </x:c>
      <x:c r="O94" s="67" t="str"/>
    </x:row>
    <x:row r="95">
      <x:c r="A95" s="67" t="str">
        <x:v>SHIFT-00091</x:v>
      </x:c>
      <x:c r="B95" s="73" t="n">
        <x:v>46211.5</x:v>
      </x:c>
      <x:c r="C95" s="67" t="str">
        <x:v>周三</x:v>
      </x:c>
      <x:c r="D95" s="67" t="str">
        <x:v>S03</x:v>
      </x:c>
      <x:c r="E95" s="67" t="str">
        <x:v>铂悦城店</x:v>
      </x:c>
      <x:c r="F95" s="67" t="str">
        <x:v>店长/收货</x:v>
      </x:c>
      <x:c r="G95" s="70" t="n">
        <x:v>1</x:v>
      </x:c>
      <x:c r="H95" s="76" t="n">
        <x:v>10</x:v>
      </x:c>
      <x:c r="I95" s="76" t="n">
        <x:v>10</x:v>
      </x:c>
      <x:c r="J95" s="76" t="n">
        <x:v>33.18</x:v>
      </x:c>
      <x:c r="K95" s="79" t="n">
        <x:f>I95*J95</x:f>
        <x:v>331.8</x:v>
      </x:c>
      <x:c r="L95" s="94" t="n">
        <x:f>SUMIFS('门店日汇总'!$H$5:$H$60,'门店日汇总'!$A$5:$A$60,B95,'门店日汇总'!$C$5:$C$60,D95)</x:f>
        <x:v>9096.8</x:v>
      </x:c>
      <x:c r="M95" s="79" t="n">
        <x:f>IFERROR(L95/SUMIFS($I$5:$I$340,$B$5:$B$340,B95,$D$5:$D$340,D95),0)</x:f>
        <x:v>129.9542857142857</x:v>
      </x:c>
      <x:c r="N95" s="67" t="str">
        <x:v>开市+午晚高峰</x:v>
      </x:c>
      <x:c r="O95" s="67" t="str"/>
    </x:row>
    <x:row r="96">
      <x:c r="A96" s="67" t="str">
        <x:v>SHIFT-00092</x:v>
      </x:c>
      <x:c r="B96" s="73" t="n">
        <x:v>46211.5</x:v>
      </x:c>
      <x:c r="C96" s="67" t="str">
        <x:v>周三</x:v>
      </x:c>
      <x:c r="D96" s="67" t="str">
        <x:v>S03</x:v>
      </x:c>
      <x:c r="E96" s="67" t="str">
        <x:v>铂悦城店</x:v>
      </x:c>
      <x:c r="F96" s="67" t="str">
        <x:v>服务员</x:v>
      </x:c>
      <x:c r="G96" s="70" t="n">
        <x:v>2</x:v>
      </x:c>
      <x:c r="H96" s="76" t="n">
        <x:v>16</x:v>
      </x:c>
      <x:c r="I96" s="76" t="n">
        <x:v>16.25</x:v>
      </x:c>
      <x:c r="J96" s="76" t="n">
        <x:v>25.38</x:v>
      </x:c>
      <x:c r="K96" s="79" t="n">
        <x:f>I96*J96</x:f>
        <x:v>412.425</x:v>
      </x:c>
      <x:c r="L96" s="94" t="n">
        <x:f>SUMIFS('门店日汇总'!$H$5:$H$60,'门店日汇总'!$A$5:$A$60,B96,'门店日汇总'!$C$5:$C$60,D96)</x:f>
        <x:v>9096.8</x:v>
      </x:c>
      <x:c r="M96" s="79" t="n">
        <x:f>IFERROR(L96/SUMIFS($I$5:$I$340,$B$5:$B$340,B96,$D$5:$D$340,D96),0)</x:f>
        <x:v>129.9542857142857</x:v>
      </x:c>
      <x:c r="N96" s="67" t="str">
        <x:v>午晚高峰</x:v>
      </x:c>
      <x:c r="O96" s="67" t="str"/>
    </x:row>
    <x:row r="97">
      <x:c r="A97" s="67" t="str">
        <x:v>SHIFT-00093</x:v>
      </x:c>
      <x:c r="B97" s="73" t="n">
        <x:v>46211.5</x:v>
      </x:c>
      <x:c r="C97" s="67" t="str">
        <x:v>周三</x:v>
      </x:c>
      <x:c r="D97" s="67" t="str">
        <x:v>S03</x:v>
      </x:c>
      <x:c r="E97" s="67" t="str">
        <x:v>铂悦城店</x:v>
      </x:c>
      <x:c r="F97" s="67" t="str">
        <x:v>后厨小工</x:v>
      </x:c>
      <x:c r="G97" s="70" t="n">
        <x:v>2</x:v>
      </x:c>
      <x:c r="H97" s="76" t="n">
        <x:v>16</x:v>
      </x:c>
      <x:c r="I97" s="76" t="n">
        <x:v>16.5</x:v>
      </x:c>
      <x:c r="J97" s="76" t="n">
        <x:v>27.33</x:v>
      </x:c>
      <x:c r="K97" s="79" t="n">
        <x:f>I97*J97</x:f>
        <x:v>450.945</x:v>
      </x:c>
      <x:c r="L97" s="94" t="n">
        <x:f>SUMIFS('门店日汇总'!$H$5:$H$60,'门店日汇总'!$A$5:$A$60,B97,'门店日汇总'!$C$5:$C$60,D97)</x:f>
        <x:v>9096.8</x:v>
      </x:c>
      <x:c r="M97" s="79" t="n">
        <x:f>IFERROR(L97/SUMIFS($I$5:$I$340,$B$5:$B$340,B97,$D$5:$D$340,D97),0)</x:f>
        <x:v>129.9542857142857</x:v>
      </x:c>
      <x:c r="N97" s="67" t="str">
        <x:v>备菜+午晚高峰</x:v>
      </x:c>
      <x:c r="O97" s="67" t="str"/>
    </x:row>
    <x:row r="98">
      <x:c r="A98" s="67" t="str">
        <x:v>SHIFT-00094</x:v>
      </x:c>
      <x:c r="B98" s="73" t="n">
        <x:v>46211.5</x:v>
      </x:c>
      <x:c r="C98" s="67" t="str">
        <x:v>周三</x:v>
      </x:c>
      <x:c r="D98" s="67" t="str">
        <x:v>S03</x:v>
      </x:c>
      <x:c r="E98" s="67" t="str">
        <x:v>铂悦城店</x:v>
      </x:c>
      <x:c r="F98" s="67" t="str">
        <x:v>炒菜机操作员</x:v>
      </x:c>
      <x:c r="G98" s="70" t="n">
        <x:v>2</x:v>
      </x:c>
      <x:c r="H98" s="76" t="n">
        <x:v>16</x:v>
      </x:c>
      <x:c r="I98" s="76" t="n">
        <x:v>15.5</x:v>
      </x:c>
      <x:c r="J98" s="76" t="n">
        <x:v>28.3</x:v>
      </x:c>
      <x:c r="K98" s="79" t="n">
        <x:f>I98*J98</x:f>
        <x:v>438.65000000000003</x:v>
      </x:c>
      <x:c r="L98" s="94" t="n">
        <x:f>SUMIFS('门店日汇总'!$H$5:$H$60,'门店日汇总'!$A$5:$A$60,B98,'门店日汇总'!$C$5:$C$60,D98)</x:f>
        <x:v>9096.8</x:v>
      </x:c>
      <x:c r="M98" s="79" t="n">
        <x:f>IFERROR(L98/SUMIFS($I$5:$I$340,$B$5:$B$340,B98,$D$5:$D$340,D98),0)</x:f>
        <x:v>129.9542857142857</x:v>
      </x:c>
      <x:c r="N98" s="67" t="str">
        <x:v>午晚高峰</x:v>
      </x:c>
      <x:c r="O98" s="67" t="str"/>
    </x:row>
    <x:row r="99">
      <x:c r="A99" s="67" t="str">
        <x:v>SHIFT-00095</x:v>
      </x:c>
      <x:c r="B99" s="73" t="n">
        <x:v>46211.5</x:v>
      </x:c>
      <x:c r="C99" s="67" t="str">
        <x:v>周三</x:v>
      </x:c>
      <x:c r="D99" s="67" t="str">
        <x:v>S03</x:v>
      </x:c>
      <x:c r="E99" s="67" t="str">
        <x:v>铂悦城店</x:v>
      </x:c>
      <x:c r="F99" s="67" t="str">
        <x:v>收银/前厅</x:v>
      </x:c>
      <x:c r="G99" s="70" t="n">
        <x:v>1</x:v>
      </x:c>
      <x:c r="H99" s="76" t="n">
        <x:v>8</x:v>
      </x:c>
      <x:c r="I99" s="76" t="n">
        <x:v>7.75</x:v>
      </x:c>
      <x:c r="J99" s="76" t="n">
        <x:v>25.38</x:v>
      </x:c>
      <x:c r="K99" s="79" t="n">
        <x:f>I99*J99</x:f>
        <x:v>196.695</x:v>
      </x:c>
      <x:c r="L99" s="94" t="n">
        <x:f>SUMIFS('门店日汇总'!$H$5:$H$60,'门店日汇总'!$A$5:$A$60,B99,'门店日汇总'!$C$5:$C$60,D99)</x:f>
        <x:v>9096.8</x:v>
      </x:c>
      <x:c r="M99" s="79" t="n">
        <x:f>IFERROR(L99/SUMIFS($I$5:$I$340,$B$5:$B$340,B99,$D$5:$D$340,D99),0)</x:f>
        <x:v>129.9542857142857</x:v>
      </x:c>
      <x:c r="N99" s="67" t="str">
        <x:v>全日</x:v>
      </x:c>
      <x:c r="O99" s="67" t="str"/>
    </x:row>
    <x:row r="100">
      <x:c r="A100" s="67" t="str">
        <x:v>SHIFT-00096</x:v>
      </x:c>
      <x:c r="B100" s="73" t="n">
        <x:v>46211.5</x:v>
      </x:c>
      <x:c r="C100" s="67" t="str">
        <x:v>周三</x:v>
      </x:c>
      <x:c r="D100" s="67" t="str">
        <x:v>S03</x:v>
      </x:c>
      <x:c r="E100" s="67" t="str">
        <x:v>铂悦城店</x:v>
      </x:c>
      <x:c r="F100" s="67" t="str">
        <x:v>保洁/兼职</x:v>
      </x:c>
      <x:c r="G100" s="70" t="n">
        <x:v>1</x:v>
      </x:c>
      <x:c r="H100" s="76" t="n">
        <x:v>4</x:v>
      </x:c>
      <x:c r="I100" s="76" t="n">
        <x:v>4</x:v>
      </x:c>
      <x:c r="J100" s="76" t="n">
        <x:v>23.42</x:v>
      </x:c>
      <x:c r="K100" s="79" t="n">
        <x:f>I100*J100</x:f>
        <x:v>93.68</x:v>
      </x:c>
      <x:c r="L100" s="94" t="n">
        <x:f>SUMIFS('门店日汇总'!$H$5:$H$60,'门店日汇总'!$A$5:$A$60,B100,'门店日汇总'!$C$5:$C$60,D100)</x:f>
        <x:v>9096.8</x:v>
      </x:c>
      <x:c r="M100" s="79" t="n">
        <x:f>IFERROR(L100/SUMIFS($I$5:$I$340,$B$5:$B$340,B100,$D$5:$D$340,D100),0)</x:f>
        <x:v>129.9542857142857</x:v>
      </x:c>
      <x:c r="N100" s="67" t="str">
        <x:v>收市</x:v>
      </x:c>
      <x:c r="O100" s="67" t="str"/>
    </x:row>
    <x:row r="101">
      <x:c r="A101" s="67" t="str">
        <x:v>SHIFT-00097</x:v>
      </x:c>
      <x:c r="B101" s="73" t="n">
        <x:v>46212.5</x:v>
      </x:c>
      <x:c r="C101" s="67" t="str">
        <x:v>周四</x:v>
      </x:c>
      <x:c r="D101" s="67" t="str">
        <x:v>S03</x:v>
      </x:c>
      <x:c r="E101" s="67" t="str">
        <x:v>铂悦城店</x:v>
      </x:c>
      <x:c r="F101" s="67" t="str">
        <x:v>店长/收货</x:v>
      </x:c>
      <x:c r="G101" s="70" t="n">
        <x:v>1</x:v>
      </x:c>
      <x:c r="H101" s="76" t="n">
        <x:v>10</x:v>
      </x:c>
      <x:c r="I101" s="76" t="n">
        <x:v>10.25</x:v>
      </x:c>
      <x:c r="J101" s="76" t="n">
        <x:v>33.18</x:v>
      </x:c>
      <x:c r="K101" s="79" t="n">
        <x:f>I101*J101</x:f>
        <x:v>340.09499999999997</x:v>
      </x:c>
      <x:c r="L101" s="94" t="n">
        <x:f>SUMIFS('门店日汇总'!$H$5:$H$60,'门店日汇总'!$A$5:$A$60,B101,'门店日汇总'!$C$5:$C$60,D101)</x:f>
        <x:v>8920.699999999999</x:v>
      </x:c>
      <x:c r="M101" s="79" t="n">
        <x:f>IFERROR(L101/SUMIFS($I$5:$I$340,$B$5:$B$340,B101,$D$5:$D$340,D101),0)</x:f>
        <x:v>126.9850533807829</x:v>
      </x:c>
      <x:c r="N101" s="67" t="str">
        <x:v>开市+午晚高峰</x:v>
      </x:c>
      <x:c r="O101" s="67" t="str"/>
    </x:row>
    <x:row r="102">
      <x:c r="A102" s="67" t="str">
        <x:v>SHIFT-00098</x:v>
      </x:c>
      <x:c r="B102" s="73" t="n">
        <x:v>46212.5</x:v>
      </x:c>
      <x:c r="C102" s="67" t="str">
        <x:v>周四</x:v>
      </x:c>
      <x:c r="D102" s="67" t="str">
        <x:v>S03</x:v>
      </x:c>
      <x:c r="E102" s="67" t="str">
        <x:v>铂悦城店</x:v>
      </x:c>
      <x:c r="F102" s="67" t="str">
        <x:v>服务员</x:v>
      </x:c>
      <x:c r="G102" s="70" t="n">
        <x:v>2</x:v>
      </x:c>
      <x:c r="H102" s="76" t="n">
        <x:v>16</x:v>
      </x:c>
      <x:c r="I102" s="76" t="n">
        <x:v>16.5</x:v>
      </x:c>
      <x:c r="J102" s="76" t="n">
        <x:v>25.38</x:v>
      </x:c>
      <x:c r="K102" s="79" t="n">
        <x:f>I102*J102</x:f>
        <x:v>418.77</x:v>
      </x:c>
      <x:c r="L102" s="94" t="n">
        <x:f>SUMIFS('门店日汇总'!$H$5:$H$60,'门店日汇总'!$A$5:$A$60,B102,'门店日汇总'!$C$5:$C$60,D102)</x:f>
        <x:v>8920.699999999999</x:v>
      </x:c>
      <x:c r="M102" s="79" t="n">
        <x:f>IFERROR(L102/SUMIFS($I$5:$I$340,$B$5:$B$340,B102,$D$5:$D$340,D102),0)</x:f>
        <x:v>126.9850533807829</x:v>
      </x:c>
      <x:c r="N102" s="67" t="str">
        <x:v>午晚高峰</x:v>
      </x:c>
      <x:c r="O102" s="67" t="str"/>
    </x:row>
    <x:row r="103">
      <x:c r="A103" s="67" t="str">
        <x:v>SHIFT-00099</x:v>
      </x:c>
      <x:c r="B103" s="73" t="n">
        <x:v>46212.5</x:v>
      </x:c>
      <x:c r="C103" s="67" t="str">
        <x:v>周四</x:v>
      </x:c>
      <x:c r="D103" s="67" t="str">
        <x:v>S03</x:v>
      </x:c>
      <x:c r="E103" s="67" t="str">
        <x:v>铂悦城店</x:v>
      </x:c>
      <x:c r="F103" s="67" t="str">
        <x:v>后厨小工</x:v>
      </x:c>
      <x:c r="G103" s="70" t="n">
        <x:v>2</x:v>
      </x:c>
      <x:c r="H103" s="76" t="n">
        <x:v>16</x:v>
      </x:c>
      <x:c r="I103" s="76" t="n">
        <x:v>15.5</x:v>
      </x:c>
      <x:c r="J103" s="76" t="n">
        <x:v>27.33</x:v>
      </x:c>
      <x:c r="K103" s="79" t="n">
        <x:f>I103*J103</x:f>
        <x:v>423.61499999999995</x:v>
      </x:c>
      <x:c r="L103" s="94" t="n">
        <x:f>SUMIFS('门店日汇总'!$H$5:$H$60,'门店日汇总'!$A$5:$A$60,B103,'门店日汇总'!$C$5:$C$60,D103)</x:f>
        <x:v>8920.699999999999</x:v>
      </x:c>
      <x:c r="M103" s="79" t="n">
        <x:f>IFERROR(L103/SUMIFS($I$5:$I$340,$B$5:$B$340,B103,$D$5:$D$340,D103),0)</x:f>
        <x:v>126.9850533807829</x:v>
      </x:c>
      <x:c r="N103" s="67" t="str">
        <x:v>备菜+午晚高峰</x:v>
      </x:c>
      <x:c r="O103" s="67" t="str"/>
    </x:row>
    <x:row r="104">
      <x:c r="A104" s="67" t="str">
        <x:v>SHIFT-00100</x:v>
      </x:c>
      <x:c r="B104" s="73" t="n">
        <x:v>46212.5</x:v>
      </x:c>
      <x:c r="C104" s="67" t="str">
        <x:v>周四</x:v>
      </x:c>
      <x:c r="D104" s="67" t="str">
        <x:v>S03</x:v>
      </x:c>
      <x:c r="E104" s="67" t="str">
        <x:v>铂悦城店</x:v>
      </x:c>
      <x:c r="F104" s="67" t="str">
        <x:v>炒菜机操作员</x:v>
      </x:c>
      <x:c r="G104" s="70" t="n">
        <x:v>2</x:v>
      </x:c>
      <x:c r="H104" s="76" t="n">
        <x:v>16</x:v>
      </x:c>
      <x:c r="I104" s="76" t="n">
        <x:v>15.75</x:v>
      </x:c>
      <x:c r="J104" s="76" t="n">
        <x:v>28.3</x:v>
      </x:c>
      <x:c r="K104" s="79" t="n">
        <x:f>I104*J104</x:f>
        <x:v>445.725</x:v>
      </x:c>
      <x:c r="L104" s="94" t="n">
        <x:f>SUMIFS('门店日汇总'!$H$5:$H$60,'门店日汇总'!$A$5:$A$60,B104,'门店日汇总'!$C$5:$C$60,D104)</x:f>
        <x:v>8920.699999999999</x:v>
      </x:c>
      <x:c r="M104" s="79" t="n">
        <x:f>IFERROR(L104/SUMIFS($I$5:$I$340,$B$5:$B$340,B104,$D$5:$D$340,D104),0)</x:f>
        <x:v>126.9850533807829</x:v>
      </x:c>
      <x:c r="N104" s="67" t="str">
        <x:v>午晚高峰</x:v>
      </x:c>
      <x:c r="O104" s="67" t="str"/>
    </x:row>
    <x:row r="105">
      <x:c r="A105" s="67" t="str">
        <x:v>SHIFT-00101</x:v>
      </x:c>
      <x:c r="B105" s="73" t="n">
        <x:v>46212.5</x:v>
      </x:c>
      <x:c r="C105" s="67" t="str">
        <x:v>周四</x:v>
      </x:c>
      <x:c r="D105" s="67" t="str">
        <x:v>S03</x:v>
      </x:c>
      <x:c r="E105" s="67" t="str">
        <x:v>铂悦城店</x:v>
      </x:c>
      <x:c r="F105" s="67" t="str">
        <x:v>收银/前厅</x:v>
      </x:c>
      <x:c r="G105" s="70" t="n">
        <x:v>1</x:v>
      </x:c>
      <x:c r="H105" s="76" t="n">
        <x:v>8</x:v>
      </x:c>
      <x:c r="I105" s="76" t="n">
        <x:v>8</x:v>
      </x:c>
      <x:c r="J105" s="76" t="n">
        <x:v>25.38</x:v>
      </x:c>
      <x:c r="K105" s="79" t="n">
        <x:f>I105*J105</x:f>
        <x:v>203.04</x:v>
      </x:c>
      <x:c r="L105" s="94" t="n">
        <x:f>SUMIFS('门店日汇总'!$H$5:$H$60,'门店日汇总'!$A$5:$A$60,B105,'门店日汇总'!$C$5:$C$60,D105)</x:f>
        <x:v>8920.699999999999</x:v>
      </x:c>
      <x:c r="M105" s="79" t="n">
        <x:f>IFERROR(L105/SUMIFS($I$5:$I$340,$B$5:$B$340,B105,$D$5:$D$340,D105),0)</x:f>
        <x:v>126.9850533807829</x:v>
      </x:c>
      <x:c r="N105" s="67" t="str">
        <x:v>全日</x:v>
      </x:c>
      <x:c r="O105" s="67" t="str"/>
    </x:row>
    <x:row r="106">
      <x:c r="A106" s="67" t="str">
        <x:v>SHIFT-00102</x:v>
      </x:c>
      <x:c r="B106" s="73" t="n">
        <x:v>46212.5</x:v>
      </x:c>
      <x:c r="C106" s="67" t="str">
        <x:v>周四</x:v>
      </x:c>
      <x:c r="D106" s="67" t="str">
        <x:v>S03</x:v>
      </x:c>
      <x:c r="E106" s="67" t="str">
        <x:v>铂悦城店</x:v>
      </x:c>
      <x:c r="F106" s="67" t="str">
        <x:v>保洁/兼职</x:v>
      </x:c>
      <x:c r="G106" s="70" t="n">
        <x:v>1</x:v>
      </x:c>
      <x:c r="H106" s="76" t="n">
        <x:v>4</x:v>
      </x:c>
      <x:c r="I106" s="76" t="n">
        <x:v>4.25</x:v>
      </x:c>
      <x:c r="J106" s="76" t="n">
        <x:v>23.42</x:v>
      </x:c>
      <x:c r="K106" s="79" t="n">
        <x:f>I106*J106</x:f>
        <x:v>99.53500000000001</x:v>
      </x:c>
      <x:c r="L106" s="94" t="n">
        <x:f>SUMIFS('门店日汇总'!$H$5:$H$60,'门店日汇总'!$A$5:$A$60,B106,'门店日汇总'!$C$5:$C$60,D106)</x:f>
        <x:v>8920.699999999999</x:v>
      </x:c>
      <x:c r="M106" s="79" t="n">
        <x:f>IFERROR(L106/SUMIFS($I$5:$I$340,$B$5:$B$340,B106,$D$5:$D$340,D106),0)</x:f>
        <x:v>126.9850533807829</x:v>
      </x:c>
      <x:c r="N106" s="67" t="str">
        <x:v>收市</x:v>
      </x:c>
      <x:c r="O106" s="67" t="str"/>
    </x:row>
    <x:row r="107">
      <x:c r="A107" s="67" t="str">
        <x:v>SHIFT-00103</x:v>
      </x:c>
      <x:c r="B107" s="73" t="n">
        <x:v>46213.5</x:v>
      </x:c>
      <x:c r="C107" s="67" t="str">
        <x:v>周五</x:v>
      </x:c>
      <x:c r="D107" s="67" t="str">
        <x:v>S03</x:v>
      </x:c>
      <x:c r="E107" s="67" t="str">
        <x:v>铂悦城店</x:v>
      </x:c>
      <x:c r="F107" s="67" t="str">
        <x:v>店长/收货</x:v>
      </x:c>
      <x:c r="G107" s="70" t="n">
        <x:v>1</x:v>
      </x:c>
      <x:c r="H107" s="76" t="n">
        <x:v>10</x:v>
      </x:c>
      <x:c r="I107" s="76" t="n">
        <x:v>10.5</x:v>
      </x:c>
      <x:c r="J107" s="76" t="n">
        <x:v>33.18</x:v>
      </x:c>
      <x:c r="K107" s="79" t="n">
        <x:f>I107*J107</x:f>
        <x:v>348.39</x:v>
      </x:c>
      <x:c r="L107" s="94" t="n">
        <x:f>SUMIFS('门店日汇总'!$H$5:$H$60,'门店日汇总'!$A$5:$A$60,B107,'门店日汇总'!$C$5:$C$60,D107)</x:f>
        <x:v>9269.800000000001</x:v>
      </x:c>
      <x:c r="M107" s="79" t="n">
        <x:f>IFERROR(L107/SUMIFS($I$5:$I$340,$B$5:$B$340,B107,$D$5:$D$340,D107),0)</x:f>
        <x:v>131.48652482269506</x:v>
      </x:c>
      <x:c r="N107" s="67" t="str">
        <x:v>开市+午晚高峰</x:v>
      </x:c>
      <x:c r="O107" s="67" t="str"/>
    </x:row>
    <x:row r="108">
      <x:c r="A108" s="67" t="str">
        <x:v>SHIFT-00104</x:v>
      </x:c>
      <x:c r="B108" s="73" t="n">
        <x:v>46213.5</x:v>
      </x:c>
      <x:c r="C108" s="67" t="str">
        <x:v>周五</x:v>
      </x:c>
      <x:c r="D108" s="67" t="str">
        <x:v>S03</x:v>
      </x:c>
      <x:c r="E108" s="67" t="str">
        <x:v>铂悦城店</x:v>
      </x:c>
      <x:c r="F108" s="67" t="str">
        <x:v>服务员</x:v>
      </x:c>
      <x:c r="G108" s="70" t="n">
        <x:v>2</x:v>
      </x:c>
      <x:c r="H108" s="76" t="n">
        <x:v>16</x:v>
      </x:c>
      <x:c r="I108" s="76" t="n">
        <x:v>15.5</x:v>
      </x:c>
      <x:c r="J108" s="76" t="n">
        <x:v>25.38</x:v>
      </x:c>
      <x:c r="K108" s="79" t="n">
        <x:f>I108*J108</x:f>
        <x:v>393.39</x:v>
      </x:c>
      <x:c r="L108" s="94" t="n">
        <x:f>SUMIFS('门店日汇总'!$H$5:$H$60,'门店日汇总'!$A$5:$A$60,B108,'门店日汇总'!$C$5:$C$60,D108)</x:f>
        <x:v>9269.800000000001</x:v>
      </x:c>
      <x:c r="M108" s="79" t="n">
        <x:f>IFERROR(L108/SUMIFS($I$5:$I$340,$B$5:$B$340,B108,$D$5:$D$340,D108),0)</x:f>
        <x:v>131.48652482269506</x:v>
      </x:c>
      <x:c r="N108" s="67" t="str">
        <x:v>午晚高峰</x:v>
      </x:c>
      <x:c r="O108" s="67" t="str"/>
    </x:row>
    <x:row r="109">
      <x:c r="A109" s="67" t="str">
        <x:v>SHIFT-00105</x:v>
      </x:c>
      <x:c r="B109" s="73" t="n">
        <x:v>46213.5</x:v>
      </x:c>
      <x:c r="C109" s="67" t="str">
        <x:v>周五</x:v>
      </x:c>
      <x:c r="D109" s="67" t="str">
        <x:v>S03</x:v>
      </x:c>
      <x:c r="E109" s="67" t="str">
        <x:v>铂悦城店</x:v>
      </x:c>
      <x:c r="F109" s="67" t="str">
        <x:v>后厨小工</x:v>
      </x:c>
      <x:c r="G109" s="70" t="n">
        <x:v>2</x:v>
      </x:c>
      <x:c r="H109" s="76" t="n">
        <x:v>16</x:v>
      </x:c>
      <x:c r="I109" s="76" t="n">
        <x:v>15.75</x:v>
      </x:c>
      <x:c r="J109" s="76" t="n">
        <x:v>27.33</x:v>
      </x:c>
      <x:c r="K109" s="79" t="n">
        <x:f>I109*J109</x:f>
        <x:v>430.4475</x:v>
      </x:c>
      <x:c r="L109" s="94" t="n">
        <x:f>SUMIFS('门店日汇总'!$H$5:$H$60,'门店日汇总'!$A$5:$A$60,B109,'门店日汇总'!$C$5:$C$60,D109)</x:f>
        <x:v>9269.800000000001</x:v>
      </x:c>
      <x:c r="M109" s="79" t="n">
        <x:f>IFERROR(L109/SUMIFS($I$5:$I$340,$B$5:$B$340,B109,$D$5:$D$340,D109),0)</x:f>
        <x:v>131.48652482269506</x:v>
      </x:c>
      <x:c r="N109" s="67" t="str">
        <x:v>备菜+午晚高峰</x:v>
      </x:c>
      <x:c r="O109" s="67" t="str"/>
    </x:row>
    <x:row r="110">
      <x:c r="A110" s="67" t="str">
        <x:v>SHIFT-00106</x:v>
      </x:c>
      <x:c r="B110" s="73" t="n">
        <x:v>46213.5</x:v>
      </x:c>
      <x:c r="C110" s="67" t="str">
        <x:v>周五</x:v>
      </x:c>
      <x:c r="D110" s="67" t="str">
        <x:v>S03</x:v>
      </x:c>
      <x:c r="E110" s="67" t="str">
        <x:v>铂悦城店</x:v>
      </x:c>
      <x:c r="F110" s="67" t="str">
        <x:v>炒菜机操作员</x:v>
      </x:c>
      <x:c r="G110" s="70" t="n">
        <x:v>2</x:v>
      </x:c>
      <x:c r="H110" s="76" t="n">
        <x:v>16</x:v>
      </x:c>
      <x:c r="I110" s="76" t="n">
        <x:v>16</x:v>
      </x:c>
      <x:c r="J110" s="76" t="n">
        <x:v>28.3</x:v>
      </x:c>
      <x:c r="K110" s="79" t="n">
        <x:f>I110*J110</x:f>
        <x:v>452.8</x:v>
      </x:c>
      <x:c r="L110" s="94" t="n">
        <x:f>SUMIFS('门店日汇总'!$H$5:$H$60,'门店日汇总'!$A$5:$A$60,B110,'门店日汇总'!$C$5:$C$60,D110)</x:f>
        <x:v>9269.800000000001</x:v>
      </x:c>
      <x:c r="M110" s="79" t="n">
        <x:f>IFERROR(L110/SUMIFS($I$5:$I$340,$B$5:$B$340,B110,$D$5:$D$340,D110),0)</x:f>
        <x:v>131.48652482269506</x:v>
      </x:c>
      <x:c r="N110" s="67" t="str">
        <x:v>午晚高峰</x:v>
      </x:c>
      <x:c r="O110" s="67" t="str"/>
    </x:row>
    <x:row r="111">
      <x:c r="A111" s="67" t="str">
        <x:v>SHIFT-00107</x:v>
      </x:c>
      <x:c r="B111" s="73" t="n">
        <x:v>46213.5</x:v>
      </x:c>
      <x:c r="C111" s="67" t="str">
        <x:v>周五</x:v>
      </x:c>
      <x:c r="D111" s="67" t="str">
        <x:v>S03</x:v>
      </x:c>
      <x:c r="E111" s="67" t="str">
        <x:v>铂悦城店</x:v>
      </x:c>
      <x:c r="F111" s="67" t="str">
        <x:v>收银/前厅</x:v>
      </x:c>
      <x:c r="G111" s="70" t="n">
        <x:v>1</x:v>
      </x:c>
      <x:c r="H111" s="76" t="n">
        <x:v>8</x:v>
      </x:c>
      <x:c r="I111" s="76" t="n">
        <x:v>8.25</x:v>
      </x:c>
      <x:c r="J111" s="76" t="n">
        <x:v>25.38</x:v>
      </x:c>
      <x:c r="K111" s="79" t="n">
        <x:f>I111*J111</x:f>
        <x:v>209.385</x:v>
      </x:c>
      <x:c r="L111" s="94" t="n">
        <x:f>SUMIFS('门店日汇总'!$H$5:$H$60,'门店日汇总'!$A$5:$A$60,B111,'门店日汇总'!$C$5:$C$60,D111)</x:f>
        <x:v>9269.800000000001</x:v>
      </x:c>
      <x:c r="M111" s="79" t="n">
        <x:f>IFERROR(L111/SUMIFS($I$5:$I$340,$B$5:$B$340,B111,$D$5:$D$340,D111),0)</x:f>
        <x:v>131.48652482269506</x:v>
      </x:c>
      <x:c r="N111" s="67" t="str">
        <x:v>全日</x:v>
      </x:c>
      <x:c r="O111" s="67" t="str"/>
    </x:row>
    <x:row r="112">
      <x:c r="A112" s="67" t="str">
        <x:v>SHIFT-00108</x:v>
      </x:c>
      <x:c r="B112" s="73" t="n">
        <x:v>46213.5</x:v>
      </x:c>
      <x:c r="C112" s="67" t="str">
        <x:v>周五</x:v>
      </x:c>
      <x:c r="D112" s="67" t="str">
        <x:v>S03</x:v>
      </x:c>
      <x:c r="E112" s="67" t="str">
        <x:v>铂悦城店</x:v>
      </x:c>
      <x:c r="F112" s="67" t="str">
        <x:v>保洁/兼职</x:v>
      </x:c>
      <x:c r="G112" s="70" t="n">
        <x:v>1</x:v>
      </x:c>
      <x:c r="H112" s="76" t="n">
        <x:v>4</x:v>
      </x:c>
      <x:c r="I112" s="76" t="n">
        <x:v>4.5</x:v>
      </x:c>
      <x:c r="J112" s="76" t="n">
        <x:v>23.42</x:v>
      </x:c>
      <x:c r="K112" s="79" t="n">
        <x:f>I112*J112</x:f>
        <x:v>105.39000000000001</x:v>
      </x:c>
      <x:c r="L112" s="94" t="n">
        <x:f>SUMIFS('门店日汇总'!$H$5:$H$60,'门店日汇总'!$A$5:$A$60,B112,'门店日汇总'!$C$5:$C$60,D112)</x:f>
        <x:v>9269.800000000001</x:v>
      </x:c>
      <x:c r="M112" s="79" t="n">
        <x:f>IFERROR(L112/SUMIFS($I$5:$I$340,$B$5:$B$340,B112,$D$5:$D$340,D112),0)</x:f>
        <x:v>131.48652482269506</x:v>
      </x:c>
      <x:c r="N112" s="67" t="str">
        <x:v>收市</x:v>
      </x:c>
      <x:c r="O112" s="67" t="str"/>
    </x:row>
    <x:row r="113">
      <x:c r="A113" s="67" t="str">
        <x:v>SHIFT-00109</x:v>
      </x:c>
      <x:c r="B113" s="73" t="n">
        <x:v>46214.5</x:v>
      </x:c>
      <x:c r="C113" s="67" t="str">
        <x:v>周六</x:v>
      </x:c>
      <x:c r="D113" s="67" t="str">
        <x:v>S03</x:v>
      </x:c>
      <x:c r="E113" s="67" t="str">
        <x:v>铂悦城店</x:v>
      </x:c>
      <x:c r="F113" s="67" t="str">
        <x:v>店长/收货</x:v>
      </x:c>
      <x:c r="G113" s="70" t="n">
        <x:v>1</x:v>
      </x:c>
      <x:c r="H113" s="76" t="n">
        <x:v>8</x:v>
      </x:c>
      <x:c r="I113" s="76" t="n">
        <x:v>7.5</x:v>
      </x:c>
      <x:c r="J113" s="76" t="n">
        <x:v>33.18</x:v>
      </x:c>
      <x:c r="K113" s="79" t="n">
        <x:f>I113*J113</x:f>
        <x:v>248.85</x:v>
      </x:c>
      <x:c r="L113" s="94" t="n">
        <x:f>SUMIFS('门店日汇总'!$H$5:$H$60,'门店日汇总'!$A$5:$A$60,B113,'门店日汇总'!$C$5:$C$60,D113)</x:f>
        <x:v>7102.9</x:v>
      </x:c>
      <x:c r="M113" s="79" t="n">
        <x:f>IFERROR(L113/SUMIFS($I$5:$I$340,$B$5:$B$340,B113,$D$5:$D$340,D113),0)</x:f>
        <x:v>115.49430894308942</x:v>
      </x:c>
      <x:c r="N113" s="67" t="str">
        <x:v>开市+午晚高峰</x:v>
      </x:c>
      <x:c r="O113" s="67" t="str"/>
    </x:row>
    <x:row r="114">
      <x:c r="A114" s="67" t="str">
        <x:v>SHIFT-00110</x:v>
      </x:c>
      <x:c r="B114" s="73" t="n">
        <x:v>46214.5</x:v>
      </x:c>
      <x:c r="C114" s="67" t="str">
        <x:v>周六</x:v>
      </x:c>
      <x:c r="D114" s="67" t="str">
        <x:v>S03</x:v>
      </x:c>
      <x:c r="E114" s="67" t="str">
        <x:v>铂悦城店</x:v>
      </x:c>
      <x:c r="F114" s="67" t="str">
        <x:v>服务员</x:v>
      </x:c>
      <x:c r="G114" s="70" t="n">
        <x:v>2</x:v>
      </x:c>
      <x:c r="H114" s="76" t="n">
        <x:v>14</x:v>
      </x:c>
      <x:c r="I114" s="76" t="n">
        <x:v>13.75</x:v>
      </x:c>
      <x:c r="J114" s="76" t="n">
        <x:v>25.38</x:v>
      </x:c>
      <x:c r="K114" s="79" t="n">
        <x:f>I114*J114</x:f>
        <x:v>348.97499999999997</x:v>
      </x:c>
      <x:c r="L114" s="94" t="n">
        <x:f>SUMIFS('门店日汇总'!$H$5:$H$60,'门店日汇总'!$A$5:$A$60,B114,'门店日汇总'!$C$5:$C$60,D114)</x:f>
        <x:v>7102.9</x:v>
      </x:c>
      <x:c r="M114" s="79" t="n">
        <x:f>IFERROR(L114/SUMIFS($I$5:$I$340,$B$5:$B$340,B114,$D$5:$D$340,D114),0)</x:f>
        <x:v>115.49430894308942</x:v>
      </x:c>
      <x:c r="N114" s="67" t="str">
        <x:v>午晚高峰</x:v>
      </x:c>
      <x:c r="O114" s="67" t="str"/>
    </x:row>
    <x:row r="115">
      <x:c r="A115" s="67" t="str">
        <x:v>SHIFT-00111</x:v>
      </x:c>
      <x:c r="B115" s="73" t="n">
        <x:v>46214.5</x:v>
      </x:c>
      <x:c r="C115" s="67" t="str">
        <x:v>周六</x:v>
      </x:c>
      <x:c r="D115" s="67" t="str">
        <x:v>S03</x:v>
      </x:c>
      <x:c r="E115" s="67" t="str">
        <x:v>铂悦城店</x:v>
      </x:c>
      <x:c r="F115" s="67" t="str">
        <x:v>后厨小工</x:v>
      </x:c>
      <x:c r="G115" s="70" t="n">
        <x:v>2</x:v>
      </x:c>
      <x:c r="H115" s="76" t="n">
        <x:v>14</x:v>
      </x:c>
      <x:c r="I115" s="76" t="n">
        <x:v>14</x:v>
      </x:c>
      <x:c r="J115" s="76" t="n">
        <x:v>27.33</x:v>
      </x:c>
      <x:c r="K115" s="79" t="n">
        <x:f>I115*J115</x:f>
        <x:v>382.62</x:v>
      </x:c>
      <x:c r="L115" s="94" t="n">
        <x:f>SUMIFS('门店日汇总'!$H$5:$H$60,'门店日汇总'!$A$5:$A$60,B115,'门店日汇总'!$C$5:$C$60,D115)</x:f>
        <x:v>7102.9</x:v>
      </x:c>
      <x:c r="M115" s="79" t="n">
        <x:f>IFERROR(L115/SUMIFS($I$5:$I$340,$B$5:$B$340,B115,$D$5:$D$340,D115),0)</x:f>
        <x:v>115.49430894308942</x:v>
      </x:c>
      <x:c r="N115" s="67" t="str">
        <x:v>备菜+午晚高峰</x:v>
      </x:c>
      <x:c r="O115" s="67" t="str"/>
    </x:row>
    <x:row r="116">
      <x:c r="A116" s="67" t="str">
        <x:v>SHIFT-00112</x:v>
      </x:c>
      <x:c r="B116" s="73" t="n">
        <x:v>46214.5</x:v>
      </x:c>
      <x:c r="C116" s="67" t="str">
        <x:v>周六</x:v>
      </x:c>
      <x:c r="D116" s="67" t="str">
        <x:v>S03</x:v>
      </x:c>
      <x:c r="E116" s="67" t="str">
        <x:v>铂悦城店</x:v>
      </x:c>
      <x:c r="F116" s="67" t="str">
        <x:v>炒菜机操作员</x:v>
      </x:c>
      <x:c r="G116" s="70" t="n">
        <x:v>2</x:v>
      </x:c>
      <x:c r="H116" s="76" t="n">
        <x:v>14</x:v>
      </x:c>
      <x:c r="I116" s="76" t="n">
        <x:v>14.25</x:v>
      </x:c>
      <x:c r="J116" s="76" t="n">
        <x:v>28.3</x:v>
      </x:c>
      <x:c r="K116" s="79" t="n">
        <x:f>I116*J116</x:f>
        <x:v>403.27500000000003</x:v>
      </x:c>
      <x:c r="L116" s="94" t="n">
        <x:f>SUMIFS('门店日汇总'!$H$5:$H$60,'门店日汇总'!$A$5:$A$60,B116,'门店日汇总'!$C$5:$C$60,D116)</x:f>
        <x:v>7102.9</x:v>
      </x:c>
      <x:c r="M116" s="79" t="n">
        <x:f>IFERROR(L116/SUMIFS($I$5:$I$340,$B$5:$B$340,B116,$D$5:$D$340,D116),0)</x:f>
        <x:v>115.49430894308942</x:v>
      </x:c>
      <x:c r="N116" s="67" t="str">
        <x:v>午晚高峰</x:v>
      </x:c>
      <x:c r="O116" s="67" t="str"/>
    </x:row>
    <x:row r="117">
      <x:c r="A117" s="67" t="str">
        <x:v>SHIFT-00113</x:v>
      </x:c>
      <x:c r="B117" s="73" t="n">
        <x:v>46214.5</x:v>
      </x:c>
      <x:c r="C117" s="67" t="str">
        <x:v>周六</x:v>
      </x:c>
      <x:c r="D117" s="67" t="str">
        <x:v>S03</x:v>
      </x:c>
      <x:c r="E117" s="67" t="str">
        <x:v>铂悦城店</x:v>
      </x:c>
      <x:c r="F117" s="67" t="str">
        <x:v>收银/前厅</x:v>
      </x:c>
      <x:c r="G117" s="70" t="n">
        <x:v>1</x:v>
      </x:c>
      <x:c r="H117" s="76" t="n">
        <x:v>8</x:v>
      </x:c>
      <x:c r="I117" s="76" t="n">
        <x:v>8.5</x:v>
      </x:c>
      <x:c r="J117" s="76" t="n">
        <x:v>25.38</x:v>
      </x:c>
      <x:c r="K117" s="79" t="n">
        <x:f>I117*J117</x:f>
        <x:v>215.73</x:v>
      </x:c>
      <x:c r="L117" s="94" t="n">
        <x:f>SUMIFS('门店日汇总'!$H$5:$H$60,'门店日汇总'!$A$5:$A$60,B117,'门店日汇总'!$C$5:$C$60,D117)</x:f>
        <x:v>7102.9</x:v>
      </x:c>
      <x:c r="M117" s="79" t="n">
        <x:f>IFERROR(L117/SUMIFS($I$5:$I$340,$B$5:$B$340,B117,$D$5:$D$340,D117),0)</x:f>
        <x:v>115.49430894308942</x:v>
      </x:c>
      <x:c r="N117" s="67" t="str">
        <x:v>全日</x:v>
      </x:c>
      <x:c r="O117" s="67" t="str"/>
    </x:row>
    <x:row r="118">
      <x:c r="A118" s="67" t="str">
        <x:v>SHIFT-00114</x:v>
      </x:c>
      <x:c r="B118" s="73" t="n">
        <x:v>46214.5</x:v>
      </x:c>
      <x:c r="C118" s="67" t="str">
        <x:v>周六</x:v>
      </x:c>
      <x:c r="D118" s="67" t="str">
        <x:v>S03</x:v>
      </x:c>
      <x:c r="E118" s="67" t="str">
        <x:v>铂悦城店</x:v>
      </x:c>
      <x:c r="F118" s="67" t="str">
        <x:v>保洁/兼职</x:v>
      </x:c>
      <x:c r="G118" s="70" t="n">
        <x:v>1</x:v>
      </x:c>
      <x:c r="H118" s="76" t="n">
        <x:v>4</x:v>
      </x:c>
      <x:c r="I118" s="76" t="n">
        <x:v>3.5</x:v>
      </x:c>
      <x:c r="J118" s="76" t="n">
        <x:v>23.42</x:v>
      </x:c>
      <x:c r="K118" s="79" t="n">
        <x:f>I118*J118</x:f>
        <x:v>81.97</x:v>
      </x:c>
      <x:c r="L118" s="94" t="n">
        <x:f>SUMIFS('门店日汇总'!$H$5:$H$60,'门店日汇总'!$A$5:$A$60,B118,'门店日汇总'!$C$5:$C$60,D118)</x:f>
        <x:v>7102.9</x:v>
      </x:c>
      <x:c r="M118" s="79" t="n">
        <x:f>IFERROR(L118/SUMIFS($I$5:$I$340,$B$5:$B$340,B118,$D$5:$D$340,D118),0)</x:f>
        <x:v>115.49430894308942</x:v>
      </x:c>
      <x:c r="N118" s="67" t="str">
        <x:v>收市</x:v>
      </x:c>
      <x:c r="O118" s="67" t="str"/>
    </x:row>
    <x:row r="119">
      <x:c r="A119" s="67" t="str">
        <x:v>SHIFT-00115</x:v>
      </x:c>
      <x:c r="B119" s="73" t="n">
        <x:v>46215.5</x:v>
      </x:c>
      <x:c r="C119" s="67" t="str">
        <x:v>周日</x:v>
      </x:c>
      <x:c r="D119" s="67" t="str">
        <x:v>S03</x:v>
      </x:c>
      <x:c r="E119" s="67" t="str">
        <x:v>铂悦城店</x:v>
      </x:c>
      <x:c r="F119" s="67" t="str">
        <x:v>店长/收货</x:v>
      </x:c>
      <x:c r="G119" s="70" t="n">
        <x:v>1</x:v>
      </x:c>
      <x:c r="H119" s="76" t="n">
        <x:v>8</x:v>
      </x:c>
      <x:c r="I119" s="76" t="n">
        <x:v>7.75</x:v>
      </x:c>
      <x:c r="J119" s="76" t="n">
        <x:v>33.18</x:v>
      </x:c>
      <x:c r="K119" s="79" t="n">
        <x:f>I119*J119</x:f>
        <x:v>257.145</x:v>
      </x:c>
      <x:c r="L119" s="94" t="n">
        <x:f>SUMIFS('门店日汇总'!$H$5:$H$60,'门店日汇总'!$A$5:$A$60,B119,'门店日汇总'!$C$5:$C$60,D119)</x:f>
        <x:v>6927.400000000001</x:v>
      </x:c>
      <x:c r="M119" s="79" t="n">
        <x:f>IFERROR(L119/SUMIFS($I$5:$I$340,$B$5:$B$340,B119,$D$5:$D$340,D119),0)</x:f>
        <x:v>112.1846153846154</x:v>
      </x:c>
      <x:c r="N119" s="67" t="str">
        <x:v>开市+午晚高峰</x:v>
      </x:c>
      <x:c r="O119" s="67" t="str"/>
    </x:row>
    <x:row r="120">
      <x:c r="A120" s="67" t="str">
        <x:v>SHIFT-00116</x:v>
      </x:c>
      <x:c r="B120" s="73" t="n">
        <x:v>46215.5</x:v>
      </x:c>
      <x:c r="C120" s="67" t="str">
        <x:v>周日</x:v>
      </x:c>
      <x:c r="D120" s="67" t="str">
        <x:v>S03</x:v>
      </x:c>
      <x:c r="E120" s="67" t="str">
        <x:v>铂悦城店</x:v>
      </x:c>
      <x:c r="F120" s="67" t="str">
        <x:v>服务员</x:v>
      </x:c>
      <x:c r="G120" s="70" t="n">
        <x:v>2</x:v>
      </x:c>
      <x:c r="H120" s="76" t="n">
        <x:v>14</x:v>
      </x:c>
      <x:c r="I120" s="76" t="n">
        <x:v>14</x:v>
      </x:c>
      <x:c r="J120" s="76" t="n">
        <x:v>25.38</x:v>
      </x:c>
      <x:c r="K120" s="79" t="n">
        <x:f>I120*J120</x:f>
        <x:v>355.32</x:v>
      </x:c>
      <x:c r="L120" s="94" t="n">
        <x:f>SUMIFS('门店日汇总'!$H$5:$H$60,'门店日汇总'!$A$5:$A$60,B120,'门店日汇总'!$C$5:$C$60,D120)</x:f>
        <x:v>6927.400000000001</x:v>
      </x:c>
      <x:c r="M120" s="79" t="n">
        <x:f>IFERROR(L120/SUMIFS($I$5:$I$340,$B$5:$B$340,B120,$D$5:$D$340,D120),0)</x:f>
        <x:v>112.1846153846154</x:v>
      </x:c>
      <x:c r="N120" s="67" t="str">
        <x:v>午晚高峰</x:v>
      </x:c>
      <x:c r="O120" s="67" t="str"/>
    </x:row>
    <x:row r="121">
      <x:c r="A121" s="67" t="str">
        <x:v>SHIFT-00117</x:v>
      </x:c>
      <x:c r="B121" s="73" t="n">
        <x:v>46215.5</x:v>
      </x:c>
      <x:c r="C121" s="67" t="str">
        <x:v>周日</x:v>
      </x:c>
      <x:c r="D121" s="67" t="str">
        <x:v>S03</x:v>
      </x:c>
      <x:c r="E121" s="67" t="str">
        <x:v>铂悦城店</x:v>
      </x:c>
      <x:c r="F121" s="67" t="str">
        <x:v>后厨小工</x:v>
      </x:c>
      <x:c r="G121" s="70" t="n">
        <x:v>2</x:v>
      </x:c>
      <x:c r="H121" s="76" t="n">
        <x:v>14</x:v>
      </x:c>
      <x:c r="I121" s="76" t="n">
        <x:v>14.25</x:v>
      </x:c>
      <x:c r="J121" s="76" t="n">
        <x:v>27.33</x:v>
      </x:c>
      <x:c r="K121" s="79" t="n">
        <x:f>I121*J121</x:f>
        <x:v>389.4525</x:v>
      </x:c>
      <x:c r="L121" s="94" t="n">
        <x:f>SUMIFS('门店日汇总'!$H$5:$H$60,'门店日汇总'!$A$5:$A$60,B121,'门店日汇总'!$C$5:$C$60,D121)</x:f>
        <x:v>6927.400000000001</x:v>
      </x:c>
      <x:c r="M121" s="79" t="n">
        <x:f>IFERROR(L121/SUMIFS($I$5:$I$340,$B$5:$B$340,B121,$D$5:$D$340,D121),0)</x:f>
        <x:v>112.1846153846154</x:v>
      </x:c>
      <x:c r="N121" s="67" t="str">
        <x:v>备菜+午晚高峰</x:v>
      </x:c>
      <x:c r="O121" s="67" t="str"/>
    </x:row>
    <x:row r="122">
      <x:c r="A122" s="67" t="str">
        <x:v>SHIFT-00118</x:v>
      </x:c>
      <x:c r="B122" s="73" t="n">
        <x:v>46215.5</x:v>
      </x:c>
      <x:c r="C122" s="67" t="str">
        <x:v>周日</x:v>
      </x:c>
      <x:c r="D122" s="67" t="str">
        <x:v>S03</x:v>
      </x:c>
      <x:c r="E122" s="67" t="str">
        <x:v>铂悦城店</x:v>
      </x:c>
      <x:c r="F122" s="67" t="str">
        <x:v>炒菜机操作员</x:v>
      </x:c>
      <x:c r="G122" s="70" t="n">
        <x:v>2</x:v>
      </x:c>
      <x:c r="H122" s="76" t="n">
        <x:v>14</x:v>
      </x:c>
      <x:c r="I122" s="76" t="n">
        <x:v>14.5</x:v>
      </x:c>
      <x:c r="J122" s="76" t="n">
        <x:v>28.3</x:v>
      </x:c>
      <x:c r="K122" s="79" t="n">
        <x:f>I122*J122</x:f>
        <x:v>410.35</x:v>
      </x:c>
      <x:c r="L122" s="94" t="n">
        <x:f>SUMIFS('门店日汇总'!$H$5:$H$60,'门店日汇总'!$A$5:$A$60,B122,'门店日汇总'!$C$5:$C$60,D122)</x:f>
        <x:v>6927.400000000001</x:v>
      </x:c>
      <x:c r="M122" s="79" t="n">
        <x:f>IFERROR(L122/SUMIFS($I$5:$I$340,$B$5:$B$340,B122,$D$5:$D$340,D122),0)</x:f>
        <x:v>112.1846153846154</x:v>
      </x:c>
      <x:c r="N122" s="67" t="str">
        <x:v>午晚高峰</x:v>
      </x:c>
      <x:c r="O122" s="67" t="str"/>
    </x:row>
    <x:row r="123">
      <x:c r="A123" s="67" t="str">
        <x:v>SHIFT-00119</x:v>
      </x:c>
      <x:c r="B123" s="73" t="n">
        <x:v>46215.5</x:v>
      </x:c>
      <x:c r="C123" s="67" t="str">
        <x:v>周日</x:v>
      </x:c>
      <x:c r="D123" s="67" t="str">
        <x:v>S03</x:v>
      </x:c>
      <x:c r="E123" s="67" t="str">
        <x:v>铂悦城店</x:v>
      </x:c>
      <x:c r="F123" s="67" t="str">
        <x:v>收银/前厅</x:v>
      </x:c>
      <x:c r="G123" s="70" t="n">
        <x:v>1</x:v>
      </x:c>
      <x:c r="H123" s="76" t="n">
        <x:v>8</x:v>
      </x:c>
      <x:c r="I123" s="76" t="n">
        <x:v>7.5</x:v>
      </x:c>
      <x:c r="J123" s="76" t="n">
        <x:v>25.38</x:v>
      </x:c>
      <x:c r="K123" s="79" t="n">
        <x:f>I123*J123</x:f>
        <x:v>190.35</x:v>
      </x:c>
      <x:c r="L123" s="94" t="n">
        <x:f>SUMIFS('门店日汇总'!$H$5:$H$60,'门店日汇总'!$A$5:$A$60,B123,'门店日汇总'!$C$5:$C$60,D123)</x:f>
        <x:v>6927.400000000001</x:v>
      </x:c>
      <x:c r="M123" s="79" t="n">
        <x:f>IFERROR(L123/SUMIFS($I$5:$I$340,$B$5:$B$340,B123,$D$5:$D$340,D123),0)</x:f>
        <x:v>112.1846153846154</x:v>
      </x:c>
      <x:c r="N123" s="67" t="str">
        <x:v>全日</x:v>
      </x:c>
      <x:c r="O123" s="67" t="str"/>
    </x:row>
    <x:row r="124">
      <x:c r="A124" s="67" t="str">
        <x:v>SHIFT-00120</x:v>
      </x:c>
      <x:c r="B124" s="73" t="n">
        <x:v>46215.5</x:v>
      </x:c>
      <x:c r="C124" s="67" t="str">
        <x:v>周日</x:v>
      </x:c>
      <x:c r="D124" s="67" t="str">
        <x:v>S03</x:v>
      </x:c>
      <x:c r="E124" s="67" t="str">
        <x:v>铂悦城店</x:v>
      </x:c>
      <x:c r="F124" s="67" t="str">
        <x:v>保洁/兼职</x:v>
      </x:c>
      <x:c r="G124" s="70" t="n">
        <x:v>1</x:v>
      </x:c>
      <x:c r="H124" s="76" t="n">
        <x:v>4</x:v>
      </x:c>
      <x:c r="I124" s="76" t="n">
        <x:v>3.75</x:v>
      </x:c>
      <x:c r="J124" s="76" t="n">
        <x:v>23.42</x:v>
      </x:c>
      <x:c r="K124" s="79" t="n">
        <x:f>I124*J124</x:f>
        <x:v>87.825</x:v>
      </x:c>
      <x:c r="L124" s="94" t="n">
        <x:f>SUMIFS('门店日汇总'!$H$5:$H$60,'门店日汇总'!$A$5:$A$60,B124,'门店日汇总'!$C$5:$C$60,D124)</x:f>
        <x:v>6927.400000000001</x:v>
      </x:c>
      <x:c r="M124" s="79" t="n">
        <x:f>IFERROR(L124/SUMIFS($I$5:$I$340,$B$5:$B$340,B124,$D$5:$D$340,D124),0)</x:f>
        <x:v>112.1846153846154</x:v>
      </x:c>
      <x:c r="N124" s="67" t="str">
        <x:v>收市</x:v>
      </x:c>
      <x:c r="O124" s="67" t="str"/>
    </x:row>
    <x:row r="125">
      <x:c r="A125" s="67" t="str">
        <x:v>SHIFT-00121</x:v>
      </x:c>
      <x:c r="B125" s="73" t="n">
        <x:v>46216.5</x:v>
      </x:c>
      <x:c r="C125" s="67" t="str">
        <x:v>周一</x:v>
      </x:c>
      <x:c r="D125" s="67" t="str">
        <x:v>S03</x:v>
      </x:c>
      <x:c r="E125" s="67" t="str">
        <x:v>铂悦城店</x:v>
      </x:c>
      <x:c r="F125" s="67" t="str">
        <x:v>店长/收货</x:v>
      </x:c>
      <x:c r="G125" s="70" t="n">
        <x:v>1</x:v>
      </x:c>
      <x:c r="H125" s="76" t="n">
        <x:v>10</x:v>
      </x:c>
      <x:c r="I125" s="76" t="n">
        <x:v>10</x:v>
      </x:c>
      <x:c r="J125" s="76" t="n">
        <x:v>33.18</x:v>
      </x:c>
      <x:c r="K125" s="79" t="n">
        <x:f>I125*J125</x:f>
        <x:v>331.8</x:v>
      </x:c>
      <x:c r="L125" s="94" t="n">
        <x:f>SUMIFS('门店日汇总'!$H$5:$H$60,'门店日汇总'!$A$5:$A$60,B125,'门店日汇总'!$C$5:$C$60,D125)</x:f>
        <x:v>9966.5</x:v>
      </x:c>
      <x:c r="M125" s="79" t="n">
        <x:f>IFERROR(L125/SUMIFS($I$5:$I$340,$B$5:$B$340,B125,$D$5:$D$340,D125),0)</x:f>
        <x:v>142.37857142857143</x:v>
      </x:c>
      <x:c r="N125" s="67" t="str">
        <x:v>开市+午晚高峰</x:v>
      </x:c>
      <x:c r="O125" s="67" t="str"/>
    </x:row>
    <x:row r="126">
      <x:c r="A126" s="67" t="str">
        <x:v>SHIFT-00122</x:v>
      </x:c>
      <x:c r="B126" s="73" t="n">
        <x:v>46216.5</x:v>
      </x:c>
      <x:c r="C126" s="67" t="str">
        <x:v>周一</x:v>
      </x:c>
      <x:c r="D126" s="67" t="str">
        <x:v>S03</x:v>
      </x:c>
      <x:c r="E126" s="67" t="str">
        <x:v>铂悦城店</x:v>
      </x:c>
      <x:c r="F126" s="67" t="str">
        <x:v>服务员</x:v>
      </x:c>
      <x:c r="G126" s="70" t="n">
        <x:v>2</x:v>
      </x:c>
      <x:c r="H126" s="76" t="n">
        <x:v>16</x:v>
      </x:c>
      <x:c r="I126" s="76" t="n">
        <x:v>16.25</x:v>
      </x:c>
      <x:c r="J126" s="76" t="n">
        <x:v>25.38</x:v>
      </x:c>
      <x:c r="K126" s="79" t="n">
        <x:f>I126*J126</x:f>
        <x:v>412.425</x:v>
      </x:c>
      <x:c r="L126" s="94" t="n">
        <x:f>SUMIFS('门店日汇总'!$H$5:$H$60,'门店日汇总'!$A$5:$A$60,B126,'门店日汇总'!$C$5:$C$60,D126)</x:f>
        <x:v>9966.5</x:v>
      </x:c>
      <x:c r="M126" s="79" t="n">
        <x:f>IFERROR(L126/SUMIFS($I$5:$I$340,$B$5:$B$340,B126,$D$5:$D$340,D126),0)</x:f>
        <x:v>142.37857142857143</x:v>
      </x:c>
      <x:c r="N126" s="67" t="str">
        <x:v>午晚高峰</x:v>
      </x:c>
      <x:c r="O126" s="67" t="str"/>
    </x:row>
    <x:row r="127">
      <x:c r="A127" s="67" t="str">
        <x:v>SHIFT-00123</x:v>
      </x:c>
      <x:c r="B127" s="73" t="n">
        <x:v>46216.5</x:v>
      </x:c>
      <x:c r="C127" s="67" t="str">
        <x:v>周一</x:v>
      </x:c>
      <x:c r="D127" s="67" t="str">
        <x:v>S03</x:v>
      </x:c>
      <x:c r="E127" s="67" t="str">
        <x:v>铂悦城店</x:v>
      </x:c>
      <x:c r="F127" s="67" t="str">
        <x:v>后厨小工</x:v>
      </x:c>
      <x:c r="G127" s="70" t="n">
        <x:v>2</x:v>
      </x:c>
      <x:c r="H127" s="76" t="n">
        <x:v>16</x:v>
      </x:c>
      <x:c r="I127" s="76" t="n">
        <x:v>16.5</x:v>
      </x:c>
      <x:c r="J127" s="76" t="n">
        <x:v>27.33</x:v>
      </x:c>
      <x:c r="K127" s="79" t="n">
        <x:f>I127*J127</x:f>
        <x:v>450.945</x:v>
      </x:c>
      <x:c r="L127" s="94" t="n">
        <x:f>SUMIFS('门店日汇总'!$H$5:$H$60,'门店日汇总'!$A$5:$A$60,B127,'门店日汇总'!$C$5:$C$60,D127)</x:f>
        <x:v>9966.5</x:v>
      </x:c>
      <x:c r="M127" s="79" t="n">
        <x:f>IFERROR(L127/SUMIFS($I$5:$I$340,$B$5:$B$340,B127,$D$5:$D$340,D127),0)</x:f>
        <x:v>142.37857142857143</x:v>
      </x:c>
      <x:c r="N127" s="67" t="str">
        <x:v>备菜+午晚高峰</x:v>
      </x:c>
      <x:c r="O127" s="67" t="str"/>
    </x:row>
    <x:row r="128">
      <x:c r="A128" s="67" t="str">
        <x:v>SHIFT-00124</x:v>
      </x:c>
      <x:c r="B128" s="73" t="n">
        <x:v>46216.5</x:v>
      </x:c>
      <x:c r="C128" s="67" t="str">
        <x:v>周一</x:v>
      </x:c>
      <x:c r="D128" s="67" t="str">
        <x:v>S03</x:v>
      </x:c>
      <x:c r="E128" s="67" t="str">
        <x:v>铂悦城店</x:v>
      </x:c>
      <x:c r="F128" s="67" t="str">
        <x:v>炒菜机操作员</x:v>
      </x:c>
      <x:c r="G128" s="70" t="n">
        <x:v>2</x:v>
      </x:c>
      <x:c r="H128" s="76" t="n">
        <x:v>16</x:v>
      </x:c>
      <x:c r="I128" s="76" t="n">
        <x:v>15.5</x:v>
      </x:c>
      <x:c r="J128" s="76" t="n">
        <x:v>28.3</x:v>
      </x:c>
      <x:c r="K128" s="79" t="n">
        <x:f>I128*J128</x:f>
        <x:v>438.65000000000003</x:v>
      </x:c>
      <x:c r="L128" s="94" t="n">
        <x:f>SUMIFS('门店日汇总'!$H$5:$H$60,'门店日汇总'!$A$5:$A$60,B128,'门店日汇总'!$C$5:$C$60,D128)</x:f>
        <x:v>9966.5</x:v>
      </x:c>
      <x:c r="M128" s="79" t="n">
        <x:f>IFERROR(L128/SUMIFS($I$5:$I$340,$B$5:$B$340,B128,$D$5:$D$340,D128),0)</x:f>
        <x:v>142.37857142857143</x:v>
      </x:c>
      <x:c r="N128" s="67" t="str">
        <x:v>午晚高峰</x:v>
      </x:c>
      <x:c r="O128" s="67" t="str"/>
    </x:row>
    <x:row r="129">
      <x:c r="A129" s="67" t="str">
        <x:v>SHIFT-00125</x:v>
      </x:c>
      <x:c r="B129" s="73" t="n">
        <x:v>46216.5</x:v>
      </x:c>
      <x:c r="C129" s="67" t="str">
        <x:v>周一</x:v>
      </x:c>
      <x:c r="D129" s="67" t="str">
        <x:v>S03</x:v>
      </x:c>
      <x:c r="E129" s="67" t="str">
        <x:v>铂悦城店</x:v>
      </x:c>
      <x:c r="F129" s="67" t="str">
        <x:v>收银/前厅</x:v>
      </x:c>
      <x:c r="G129" s="70" t="n">
        <x:v>1</x:v>
      </x:c>
      <x:c r="H129" s="76" t="n">
        <x:v>8</x:v>
      </x:c>
      <x:c r="I129" s="76" t="n">
        <x:v>7.75</x:v>
      </x:c>
      <x:c r="J129" s="76" t="n">
        <x:v>25.38</x:v>
      </x:c>
      <x:c r="K129" s="79" t="n">
        <x:f>I129*J129</x:f>
        <x:v>196.695</x:v>
      </x:c>
      <x:c r="L129" s="94" t="n">
        <x:f>SUMIFS('门店日汇总'!$H$5:$H$60,'门店日汇总'!$A$5:$A$60,B129,'门店日汇总'!$C$5:$C$60,D129)</x:f>
        <x:v>9966.5</x:v>
      </x:c>
      <x:c r="M129" s="79" t="n">
        <x:f>IFERROR(L129/SUMIFS($I$5:$I$340,$B$5:$B$340,B129,$D$5:$D$340,D129),0)</x:f>
        <x:v>142.37857142857143</x:v>
      </x:c>
      <x:c r="N129" s="67" t="str">
        <x:v>全日</x:v>
      </x:c>
      <x:c r="O129" s="67" t="str"/>
    </x:row>
    <x:row r="130">
      <x:c r="A130" s="67" t="str">
        <x:v>SHIFT-00126</x:v>
      </x:c>
      <x:c r="B130" s="73" t="n">
        <x:v>46216.5</x:v>
      </x:c>
      <x:c r="C130" s="67" t="str">
        <x:v>周一</x:v>
      </x:c>
      <x:c r="D130" s="67" t="str">
        <x:v>S03</x:v>
      </x:c>
      <x:c r="E130" s="67" t="str">
        <x:v>铂悦城店</x:v>
      </x:c>
      <x:c r="F130" s="67" t="str">
        <x:v>保洁/兼职</x:v>
      </x:c>
      <x:c r="G130" s="70" t="n">
        <x:v>1</x:v>
      </x:c>
      <x:c r="H130" s="76" t="n">
        <x:v>4</x:v>
      </x:c>
      <x:c r="I130" s="76" t="n">
        <x:v>4</x:v>
      </x:c>
      <x:c r="J130" s="76" t="n">
        <x:v>23.42</x:v>
      </x:c>
      <x:c r="K130" s="79" t="n">
        <x:f>I130*J130</x:f>
        <x:v>93.68</x:v>
      </x:c>
      <x:c r="L130" s="94" t="n">
        <x:f>SUMIFS('门店日汇总'!$H$5:$H$60,'门店日汇总'!$A$5:$A$60,B130,'门店日汇总'!$C$5:$C$60,D130)</x:f>
        <x:v>9966.5</x:v>
      </x:c>
      <x:c r="M130" s="79" t="n">
        <x:f>IFERROR(L130/SUMIFS($I$5:$I$340,$B$5:$B$340,B130,$D$5:$D$340,D130),0)</x:f>
        <x:v>142.37857142857143</x:v>
      </x:c>
      <x:c r="N130" s="67" t="str">
        <x:v>收市</x:v>
      </x:c>
      <x:c r="O130" s="67" t="str"/>
    </x:row>
    <x:row r="131">
      <x:c r="A131" s="67" t="str">
        <x:v>SHIFT-00127</x:v>
      </x:c>
      <x:c r="B131" s="73" t="n">
        <x:v>46210.5</x:v>
      </x:c>
      <x:c r="C131" s="67" t="str">
        <x:v>周二</x:v>
      </x:c>
      <x:c r="D131" s="67" t="str">
        <x:v>S04</x:v>
      </x:c>
      <x:c r="E131" s="67" t="str">
        <x:v>金街美地店</x:v>
      </x:c>
      <x:c r="F131" s="67" t="str">
        <x:v>店长/收货</x:v>
      </x:c>
      <x:c r="G131" s="70" t="n">
        <x:v>1</x:v>
      </x:c>
      <x:c r="H131" s="76" t="n">
        <x:v>10</x:v>
      </x:c>
      <x:c r="I131" s="76" t="n">
        <x:v>10.5</x:v>
      </x:c>
      <x:c r="J131" s="76" t="n">
        <x:v>33.8</x:v>
      </x:c>
      <x:c r="K131" s="79" t="n">
        <x:f>I131*J131</x:f>
        <x:v>354.9</x:v>
      </x:c>
      <x:c r="L131" s="94" t="n">
        <x:f>SUMIFS('门店日汇总'!$H$5:$H$60,'门店日汇总'!$A$5:$A$60,B131,'门店日汇总'!$C$5:$C$60,D131)</x:f>
        <x:v>9175.800000000001</x:v>
      </x:c>
      <x:c r="M131" s="79" t="n">
        <x:f>IFERROR(L131/SUMIFS($I$5:$I$340,$B$5:$B$340,B131,$D$5:$D$340,D131),0)</x:f>
        <x:v>130.15319148936172</x:v>
      </x:c>
      <x:c r="N131" s="67" t="str">
        <x:v>开市+午晚高峰</x:v>
      </x:c>
      <x:c r="O131" s="67" t="str"/>
    </x:row>
    <x:row r="132">
      <x:c r="A132" s="67" t="str">
        <x:v>SHIFT-00128</x:v>
      </x:c>
      <x:c r="B132" s="73" t="n">
        <x:v>46210.5</x:v>
      </x:c>
      <x:c r="C132" s="67" t="str">
        <x:v>周二</x:v>
      </x:c>
      <x:c r="D132" s="67" t="str">
        <x:v>S04</x:v>
      </x:c>
      <x:c r="E132" s="67" t="str">
        <x:v>金街美地店</x:v>
      </x:c>
      <x:c r="F132" s="67" t="str">
        <x:v>服务员</x:v>
      </x:c>
      <x:c r="G132" s="70" t="n">
        <x:v>2</x:v>
      </x:c>
      <x:c r="H132" s="76" t="n">
        <x:v>16</x:v>
      </x:c>
      <x:c r="I132" s="76" t="n">
        <x:v>15.5</x:v>
      </x:c>
      <x:c r="J132" s="76" t="n">
        <x:v>25.84</x:v>
      </x:c>
      <x:c r="K132" s="79" t="n">
        <x:f>I132*J132</x:f>
        <x:v>400.52</x:v>
      </x:c>
      <x:c r="L132" s="94" t="n">
        <x:f>SUMIFS('门店日汇总'!$H$5:$H$60,'门店日汇总'!$A$5:$A$60,B132,'门店日汇总'!$C$5:$C$60,D132)</x:f>
        <x:v>9175.800000000001</x:v>
      </x:c>
      <x:c r="M132" s="79" t="n">
        <x:f>IFERROR(L132/SUMIFS($I$5:$I$340,$B$5:$B$340,B132,$D$5:$D$340,D132),0)</x:f>
        <x:v>130.15319148936172</x:v>
      </x:c>
      <x:c r="N132" s="67" t="str">
        <x:v>午晚高峰</x:v>
      </x:c>
      <x:c r="O132" s="67" t="str"/>
    </x:row>
    <x:row r="133">
      <x:c r="A133" s="67" t="str">
        <x:v>SHIFT-00129</x:v>
      </x:c>
      <x:c r="B133" s="73" t="n">
        <x:v>46210.5</x:v>
      </x:c>
      <x:c r="C133" s="67" t="str">
        <x:v>周二</x:v>
      </x:c>
      <x:c r="D133" s="67" t="str">
        <x:v>S04</x:v>
      </x:c>
      <x:c r="E133" s="67" t="str">
        <x:v>金街美地店</x:v>
      </x:c>
      <x:c r="F133" s="67" t="str">
        <x:v>后厨小工</x:v>
      </x:c>
      <x:c r="G133" s="70" t="n">
        <x:v>2</x:v>
      </x:c>
      <x:c r="H133" s="76" t="n">
        <x:v>16</x:v>
      </x:c>
      <x:c r="I133" s="76" t="n">
        <x:v>15.75</x:v>
      </x:c>
      <x:c r="J133" s="76" t="n">
        <x:v>27.83</x:v>
      </x:c>
      <x:c r="K133" s="79" t="n">
        <x:f>I133*J133</x:f>
        <x:v>438.3225</x:v>
      </x:c>
      <x:c r="L133" s="94" t="n">
        <x:f>SUMIFS('门店日汇总'!$H$5:$H$60,'门店日汇总'!$A$5:$A$60,B133,'门店日汇总'!$C$5:$C$60,D133)</x:f>
        <x:v>9175.800000000001</x:v>
      </x:c>
      <x:c r="M133" s="79" t="n">
        <x:f>IFERROR(L133/SUMIFS($I$5:$I$340,$B$5:$B$340,B133,$D$5:$D$340,D133),0)</x:f>
        <x:v>130.15319148936172</x:v>
      </x:c>
      <x:c r="N133" s="67" t="str">
        <x:v>备菜+午晚高峰</x:v>
      </x:c>
      <x:c r="O133" s="67" t="str"/>
    </x:row>
    <x:row r="134">
      <x:c r="A134" s="67" t="str">
        <x:v>SHIFT-00130</x:v>
      </x:c>
      <x:c r="B134" s="73" t="n">
        <x:v>46210.5</x:v>
      </x:c>
      <x:c r="C134" s="67" t="str">
        <x:v>周二</x:v>
      </x:c>
      <x:c r="D134" s="67" t="str">
        <x:v>S04</x:v>
      </x:c>
      <x:c r="E134" s="67" t="str">
        <x:v>金街美地店</x:v>
      </x:c>
      <x:c r="F134" s="67" t="str">
        <x:v>炒菜机操作员</x:v>
      </x:c>
      <x:c r="G134" s="70" t="n">
        <x:v>2</x:v>
      </x:c>
      <x:c r="H134" s="76" t="n">
        <x:v>16</x:v>
      </x:c>
      <x:c r="I134" s="76" t="n">
        <x:v>16</x:v>
      </x:c>
      <x:c r="J134" s="76" t="n">
        <x:v>28.83</x:v>
      </x:c>
      <x:c r="K134" s="79" t="n">
        <x:f>I134*J134</x:f>
        <x:v>461.28</x:v>
      </x:c>
      <x:c r="L134" s="94" t="n">
        <x:f>SUMIFS('门店日汇总'!$H$5:$H$60,'门店日汇总'!$A$5:$A$60,B134,'门店日汇总'!$C$5:$C$60,D134)</x:f>
        <x:v>9175.800000000001</x:v>
      </x:c>
      <x:c r="M134" s="79" t="n">
        <x:f>IFERROR(L134/SUMIFS($I$5:$I$340,$B$5:$B$340,B134,$D$5:$D$340,D134),0)</x:f>
        <x:v>130.15319148936172</x:v>
      </x:c>
      <x:c r="N134" s="67" t="str">
        <x:v>午晚高峰</x:v>
      </x:c>
      <x:c r="O134" s="67" t="str"/>
    </x:row>
    <x:row r="135">
      <x:c r="A135" s="67" t="str">
        <x:v>SHIFT-00131</x:v>
      </x:c>
      <x:c r="B135" s="73" t="n">
        <x:v>46210.5</x:v>
      </x:c>
      <x:c r="C135" s="67" t="str">
        <x:v>周二</x:v>
      </x:c>
      <x:c r="D135" s="67" t="str">
        <x:v>S04</x:v>
      </x:c>
      <x:c r="E135" s="67" t="str">
        <x:v>金街美地店</x:v>
      </x:c>
      <x:c r="F135" s="67" t="str">
        <x:v>收银/前厅</x:v>
      </x:c>
      <x:c r="G135" s="70" t="n">
        <x:v>1</x:v>
      </x:c>
      <x:c r="H135" s="76" t="n">
        <x:v>8</x:v>
      </x:c>
      <x:c r="I135" s="76" t="n">
        <x:v>8.25</x:v>
      </x:c>
      <x:c r="J135" s="76" t="n">
        <x:v>25.84</x:v>
      </x:c>
      <x:c r="K135" s="79" t="n">
        <x:f>I135*J135</x:f>
        <x:v>213.18</x:v>
      </x:c>
      <x:c r="L135" s="94" t="n">
        <x:f>SUMIFS('门店日汇总'!$H$5:$H$60,'门店日汇总'!$A$5:$A$60,B135,'门店日汇总'!$C$5:$C$60,D135)</x:f>
        <x:v>9175.800000000001</x:v>
      </x:c>
      <x:c r="M135" s="79" t="n">
        <x:f>IFERROR(L135/SUMIFS($I$5:$I$340,$B$5:$B$340,B135,$D$5:$D$340,D135),0)</x:f>
        <x:v>130.15319148936172</x:v>
      </x:c>
      <x:c r="N135" s="67" t="str">
        <x:v>全日</x:v>
      </x:c>
      <x:c r="O135" s="67" t="str"/>
    </x:row>
    <x:row r="136">
      <x:c r="A136" s="67" t="str">
        <x:v>SHIFT-00132</x:v>
      </x:c>
      <x:c r="B136" s="73" t="n">
        <x:v>46210.5</x:v>
      </x:c>
      <x:c r="C136" s="67" t="str">
        <x:v>周二</x:v>
      </x:c>
      <x:c r="D136" s="67" t="str">
        <x:v>S04</x:v>
      </x:c>
      <x:c r="E136" s="67" t="str">
        <x:v>金街美地店</x:v>
      </x:c>
      <x:c r="F136" s="67" t="str">
        <x:v>保洁/兼职</x:v>
      </x:c>
      <x:c r="G136" s="70" t="n">
        <x:v>1</x:v>
      </x:c>
      <x:c r="H136" s="76" t="n">
        <x:v>4</x:v>
      </x:c>
      <x:c r="I136" s="76" t="n">
        <x:v>4.5</x:v>
      </x:c>
      <x:c r="J136" s="76" t="n">
        <x:v>23.86</x:v>
      </x:c>
      <x:c r="K136" s="79" t="n">
        <x:f>I136*J136</x:f>
        <x:v>107.37</x:v>
      </x:c>
      <x:c r="L136" s="94" t="n">
        <x:f>SUMIFS('门店日汇总'!$H$5:$H$60,'门店日汇总'!$A$5:$A$60,B136,'门店日汇总'!$C$5:$C$60,D136)</x:f>
        <x:v>9175.800000000001</x:v>
      </x:c>
      <x:c r="M136" s="79" t="n">
        <x:f>IFERROR(L136/SUMIFS($I$5:$I$340,$B$5:$B$340,B136,$D$5:$D$340,D136),0)</x:f>
        <x:v>130.15319148936172</x:v>
      </x:c>
      <x:c r="N136" s="67" t="str">
        <x:v>收市</x:v>
      </x:c>
      <x:c r="O136" s="67" t="str"/>
    </x:row>
    <x:row r="137">
      <x:c r="A137" s="67" t="str">
        <x:v>SHIFT-00133</x:v>
      </x:c>
      <x:c r="B137" s="73" t="n">
        <x:v>46211.5</x:v>
      </x:c>
      <x:c r="C137" s="67" t="str">
        <x:v>周三</x:v>
      </x:c>
      <x:c r="D137" s="67" t="str">
        <x:v>S04</x:v>
      </x:c>
      <x:c r="E137" s="67" t="str">
        <x:v>金街美地店</x:v>
      </x:c>
      <x:c r="F137" s="67" t="str">
        <x:v>店长/收货</x:v>
      </x:c>
      <x:c r="G137" s="70" t="n">
        <x:v>1</x:v>
      </x:c>
      <x:c r="H137" s="76" t="n">
        <x:v>10</x:v>
      </x:c>
      <x:c r="I137" s="76" t="n">
        <x:v>9.5</x:v>
      </x:c>
      <x:c r="J137" s="76" t="n">
        <x:v>33.8</x:v>
      </x:c>
      <x:c r="K137" s="79" t="n">
        <x:f>I137*J137</x:f>
        <x:v>321.09999999999997</x:v>
      </x:c>
      <x:c r="L137" s="94" t="n">
        <x:f>SUMIFS('门店日汇总'!$H$5:$H$60,'门店日汇总'!$A$5:$A$60,B137,'门店日汇总'!$C$5:$C$60,D137)</x:f>
        <x:v>8913.3</x:v>
      </x:c>
      <x:c r="M137" s="79" t="n">
        <x:f>IFERROR(L137/SUMIFS($I$5:$I$340,$B$5:$B$340,B137,$D$5:$D$340,D137),0)</x:f>
        <x:v>128.24892086330934</x:v>
      </x:c>
      <x:c r="N137" s="67" t="str">
        <x:v>开市+午晚高峰</x:v>
      </x:c>
      <x:c r="O137" s="67" t="str"/>
    </x:row>
    <x:row r="138">
      <x:c r="A138" s="67" t="str">
        <x:v>SHIFT-00134</x:v>
      </x:c>
      <x:c r="B138" s="73" t="n">
        <x:v>46211.5</x:v>
      </x:c>
      <x:c r="C138" s="67" t="str">
        <x:v>周三</x:v>
      </x:c>
      <x:c r="D138" s="67" t="str">
        <x:v>S04</x:v>
      </x:c>
      <x:c r="E138" s="67" t="str">
        <x:v>金街美地店</x:v>
      </x:c>
      <x:c r="F138" s="67" t="str">
        <x:v>服务员</x:v>
      </x:c>
      <x:c r="G138" s="70" t="n">
        <x:v>2</x:v>
      </x:c>
      <x:c r="H138" s="76" t="n">
        <x:v>16</x:v>
      </x:c>
      <x:c r="I138" s="76" t="n">
        <x:v>15.75</x:v>
      </x:c>
      <x:c r="J138" s="76" t="n">
        <x:v>25.84</x:v>
      </x:c>
      <x:c r="K138" s="79" t="n">
        <x:f>I138*J138</x:f>
        <x:v>406.98</x:v>
      </x:c>
      <x:c r="L138" s="94" t="n">
        <x:f>SUMIFS('门店日汇总'!$H$5:$H$60,'门店日汇总'!$A$5:$A$60,B138,'门店日汇总'!$C$5:$C$60,D138)</x:f>
        <x:v>8913.3</x:v>
      </x:c>
      <x:c r="M138" s="79" t="n">
        <x:f>IFERROR(L138/SUMIFS($I$5:$I$340,$B$5:$B$340,B138,$D$5:$D$340,D138),0)</x:f>
        <x:v>128.24892086330934</x:v>
      </x:c>
      <x:c r="N138" s="67" t="str">
        <x:v>午晚高峰</x:v>
      </x:c>
      <x:c r="O138" s="67" t="str"/>
    </x:row>
    <x:row r="139">
      <x:c r="A139" s="67" t="str">
        <x:v>SHIFT-00135</x:v>
      </x:c>
      <x:c r="B139" s="73" t="n">
        <x:v>46211.5</x:v>
      </x:c>
      <x:c r="C139" s="67" t="str">
        <x:v>周三</x:v>
      </x:c>
      <x:c r="D139" s="67" t="str">
        <x:v>S04</x:v>
      </x:c>
      <x:c r="E139" s="67" t="str">
        <x:v>金街美地店</x:v>
      </x:c>
      <x:c r="F139" s="67" t="str">
        <x:v>后厨小工</x:v>
      </x:c>
      <x:c r="G139" s="70" t="n">
        <x:v>2</x:v>
      </x:c>
      <x:c r="H139" s="76" t="n">
        <x:v>16</x:v>
      </x:c>
      <x:c r="I139" s="76" t="n">
        <x:v>16</x:v>
      </x:c>
      <x:c r="J139" s="76" t="n">
        <x:v>27.83</x:v>
      </x:c>
      <x:c r="K139" s="79" t="n">
        <x:f>I139*J139</x:f>
        <x:v>445.28</x:v>
      </x:c>
      <x:c r="L139" s="94" t="n">
        <x:f>SUMIFS('门店日汇总'!$H$5:$H$60,'门店日汇总'!$A$5:$A$60,B139,'门店日汇总'!$C$5:$C$60,D139)</x:f>
        <x:v>8913.3</x:v>
      </x:c>
      <x:c r="M139" s="79" t="n">
        <x:f>IFERROR(L139/SUMIFS($I$5:$I$340,$B$5:$B$340,B139,$D$5:$D$340,D139),0)</x:f>
        <x:v>128.24892086330934</x:v>
      </x:c>
      <x:c r="N139" s="67" t="str">
        <x:v>备菜+午晚高峰</x:v>
      </x:c>
      <x:c r="O139" s="67" t="str"/>
    </x:row>
    <x:row r="140">
      <x:c r="A140" s="67" t="str">
        <x:v>SHIFT-00136</x:v>
      </x:c>
      <x:c r="B140" s="73" t="n">
        <x:v>46211.5</x:v>
      </x:c>
      <x:c r="C140" s="67" t="str">
        <x:v>周三</x:v>
      </x:c>
      <x:c r="D140" s="67" t="str">
        <x:v>S04</x:v>
      </x:c>
      <x:c r="E140" s="67" t="str">
        <x:v>金街美地店</x:v>
      </x:c>
      <x:c r="F140" s="67" t="str">
        <x:v>炒菜机操作员</x:v>
      </x:c>
      <x:c r="G140" s="70" t="n">
        <x:v>2</x:v>
      </x:c>
      <x:c r="H140" s="76" t="n">
        <x:v>16</x:v>
      </x:c>
      <x:c r="I140" s="76" t="n">
        <x:v>16.25</x:v>
      </x:c>
      <x:c r="J140" s="76" t="n">
        <x:v>28.83</x:v>
      </x:c>
      <x:c r="K140" s="79" t="n">
        <x:f>I140*J140</x:f>
        <x:v>468.48749999999995</x:v>
      </x:c>
      <x:c r="L140" s="94" t="n">
        <x:f>SUMIFS('门店日汇总'!$H$5:$H$60,'门店日汇总'!$A$5:$A$60,B140,'门店日汇总'!$C$5:$C$60,D140)</x:f>
        <x:v>8913.3</x:v>
      </x:c>
      <x:c r="M140" s="79" t="n">
        <x:f>IFERROR(L140/SUMIFS($I$5:$I$340,$B$5:$B$340,B140,$D$5:$D$340,D140),0)</x:f>
        <x:v>128.24892086330934</x:v>
      </x:c>
      <x:c r="N140" s="67" t="str">
        <x:v>午晚高峰</x:v>
      </x:c>
      <x:c r="O140" s="67" t="str"/>
    </x:row>
    <x:row r="141">
      <x:c r="A141" s="67" t="str">
        <x:v>SHIFT-00137</x:v>
      </x:c>
      <x:c r="B141" s="73" t="n">
        <x:v>46211.5</x:v>
      </x:c>
      <x:c r="C141" s="67" t="str">
        <x:v>周三</x:v>
      </x:c>
      <x:c r="D141" s="67" t="str">
        <x:v>S04</x:v>
      </x:c>
      <x:c r="E141" s="67" t="str">
        <x:v>金街美地店</x:v>
      </x:c>
      <x:c r="F141" s="67" t="str">
        <x:v>收银/前厅</x:v>
      </x:c>
      <x:c r="G141" s="70" t="n">
        <x:v>1</x:v>
      </x:c>
      <x:c r="H141" s="76" t="n">
        <x:v>8</x:v>
      </x:c>
      <x:c r="I141" s="76" t="n">
        <x:v>8.5</x:v>
      </x:c>
      <x:c r="J141" s="76" t="n">
        <x:v>25.84</x:v>
      </x:c>
      <x:c r="K141" s="79" t="n">
        <x:f>I141*J141</x:f>
        <x:v>219.64</x:v>
      </x:c>
      <x:c r="L141" s="94" t="n">
        <x:f>SUMIFS('门店日汇总'!$H$5:$H$60,'门店日汇总'!$A$5:$A$60,B141,'门店日汇总'!$C$5:$C$60,D141)</x:f>
        <x:v>8913.3</x:v>
      </x:c>
      <x:c r="M141" s="79" t="n">
        <x:f>IFERROR(L141/SUMIFS($I$5:$I$340,$B$5:$B$340,B141,$D$5:$D$340,D141),0)</x:f>
        <x:v>128.24892086330934</x:v>
      </x:c>
      <x:c r="N141" s="67" t="str">
        <x:v>全日</x:v>
      </x:c>
      <x:c r="O141" s="67" t="str"/>
    </x:row>
    <x:row r="142">
      <x:c r="A142" s="67" t="str">
        <x:v>SHIFT-00138</x:v>
      </x:c>
      <x:c r="B142" s="73" t="n">
        <x:v>46211.5</x:v>
      </x:c>
      <x:c r="C142" s="67" t="str">
        <x:v>周三</x:v>
      </x:c>
      <x:c r="D142" s="67" t="str">
        <x:v>S04</x:v>
      </x:c>
      <x:c r="E142" s="67" t="str">
        <x:v>金街美地店</x:v>
      </x:c>
      <x:c r="F142" s="67" t="str">
        <x:v>保洁/兼职</x:v>
      </x:c>
      <x:c r="G142" s="70" t="n">
        <x:v>1</x:v>
      </x:c>
      <x:c r="H142" s="76" t="n">
        <x:v>4</x:v>
      </x:c>
      <x:c r="I142" s="76" t="n">
        <x:v>3.5</x:v>
      </x:c>
      <x:c r="J142" s="76" t="n">
        <x:v>23.86</x:v>
      </x:c>
      <x:c r="K142" s="79" t="n">
        <x:f>I142*J142</x:f>
        <x:v>83.50999999999999</x:v>
      </x:c>
      <x:c r="L142" s="94" t="n">
        <x:f>SUMIFS('门店日汇总'!$H$5:$H$60,'门店日汇总'!$A$5:$A$60,B142,'门店日汇总'!$C$5:$C$60,D142)</x:f>
        <x:v>8913.3</x:v>
      </x:c>
      <x:c r="M142" s="79" t="n">
        <x:f>IFERROR(L142/SUMIFS($I$5:$I$340,$B$5:$B$340,B142,$D$5:$D$340,D142),0)</x:f>
        <x:v>128.24892086330934</x:v>
      </x:c>
      <x:c r="N142" s="67" t="str">
        <x:v>收市</x:v>
      </x:c>
      <x:c r="O142" s="67" t="str"/>
    </x:row>
    <x:row r="143">
      <x:c r="A143" s="67" t="str">
        <x:v>SHIFT-00139</x:v>
      </x:c>
      <x:c r="B143" s="73" t="n">
        <x:v>46212.5</x:v>
      </x:c>
      <x:c r="C143" s="67" t="str">
        <x:v>周四</x:v>
      </x:c>
      <x:c r="D143" s="67" t="str">
        <x:v>S04</x:v>
      </x:c>
      <x:c r="E143" s="67" t="str">
        <x:v>金街美地店</x:v>
      </x:c>
      <x:c r="F143" s="67" t="str">
        <x:v>店长/收货</x:v>
      </x:c>
      <x:c r="G143" s="70" t="n">
        <x:v>1</x:v>
      </x:c>
      <x:c r="H143" s="76" t="n">
        <x:v>10</x:v>
      </x:c>
      <x:c r="I143" s="76" t="n">
        <x:v>9.75</x:v>
      </x:c>
      <x:c r="J143" s="76" t="n">
        <x:v>33.8</x:v>
      </x:c>
      <x:c r="K143" s="79" t="n">
        <x:f>I143*J143</x:f>
        <x:v>329.54999999999995</x:v>
      </x:c>
      <x:c r="L143" s="94" t="n">
        <x:f>SUMIFS('门店日汇总'!$H$5:$H$60,'门店日汇总'!$A$5:$A$60,B143,'门店日汇总'!$C$5:$C$60,D143)</x:f>
        <x:v>8755.1</x:v>
      </x:c>
      <x:c r="M143" s="79" t="n">
        <x:f>IFERROR(L143/SUMIFS($I$5:$I$340,$B$5:$B$340,B143,$D$5:$D$340,D143),0)</x:f>
        <x:v>125.52114695340502</x:v>
      </x:c>
      <x:c r="N143" s="67" t="str">
        <x:v>开市+午晚高峰</x:v>
      </x:c>
      <x:c r="O143" s="67" t="str"/>
    </x:row>
    <x:row r="144">
      <x:c r="A144" s="67" t="str">
        <x:v>SHIFT-00140</x:v>
      </x:c>
      <x:c r="B144" s="73" t="n">
        <x:v>46212.5</x:v>
      </x:c>
      <x:c r="C144" s="67" t="str">
        <x:v>周四</x:v>
      </x:c>
      <x:c r="D144" s="67" t="str">
        <x:v>S04</x:v>
      </x:c>
      <x:c r="E144" s="67" t="str">
        <x:v>金街美地店</x:v>
      </x:c>
      <x:c r="F144" s="67" t="str">
        <x:v>服务员</x:v>
      </x:c>
      <x:c r="G144" s="70" t="n">
        <x:v>2</x:v>
      </x:c>
      <x:c r="H144" s="76" t="n">
        <x:v>16</x:v>
      </x:c>
      <x:c r="I144" s="76" t="n">
        <x:v>16</x:v>
      </x:c>
      <x:c r="J144" s="76" t="n">
        <x:v>25.84</x:v>
      </x:c>
      <x:c r="K144" s="79" t="n">
        <x:f>I144*J144</x:f>
        <x:v>413.44</x:v>
      </x:c>
      <x:c r="L144" s="94" t="n">
        <x:f>SUMIFS('门店日汇总'!$H$5:$H$60,'门店日汇总'!$A$5:$A$60,B144,'门店日汇总'!$C$5:$C$60,D144)</x:f>
        <x:v>8755.1</x:v>
      </x:c>
      <x:c r="M144" s="79" t="n">
        <x:f>IFERROR(L144/SUMIFS($I$5:$I$340,$B$5:$B$340,B144,$D$5:$D$340,D144),0)</x:f>
        <x:v>125.52114695340502</x:v>
      </x:c>
      <x:c r="N144" s="67" t="str">
        <x:v>午晚高峰</x:v>
      </x:c>
      <x:c r="O144" s="67" t="str"/>
    </x:row>
    <x:row r="145">
      <x:c r="A145" s="67" t="str">
        <x:v>SHIFT-00141</x:v>
      </x:c>
      <x:c r="B145" s="73" t="n">
        <x:v>46212.5</x:v>
      </x:c>
      <x:c r="C145" s="67" t="str">
        <x:v>周四</x:v>
      </x:c>
      <x:c r="D145" s="67" t="str">
        <x:v>S04</x:v>
      </x:c>
      <x:c r="E145" s="67" t="str">
        <x:v>金街美地店</x:v>
      </x:c>
      <x:c r="F145" s="67" t="str">
        <x:v>后厨小工</x:v>
      </x:c>
      <x:c r="G145" s="70" t="n">
        <x:v>2</x:v>
      </x:c>
      <x:c r="H145" s="76" t="n">
        <x:v>16</x:v>
      </x:c>
      <x:c r="I145" s="76" t="n">
        <x:v>16.25</x:v>
      </x:c>
      <x:c r="J145" s="76" t="n">
        <x:v>27.83</x:v>
      </x:c>
      <x:c r="K145" s="79" t="n">
        <x:f>I145*J145</x:f>
        <x:v>452.23749999999995</x:v>
      </x:c>
      <x:c r="L145" s="94" t="n">
        <x:f>SUMIFS('门店日汇总'!$H$5:$H$60,'门店日汇总'!$A$5:$A$60,B145,'门店日汇总'!$C$5:$C$60,D145)</x:f>
        <x:v>8755.1</x:v>
      </x:c>
      <x:c r="M145" s="79" t="n">
        <x:f>IFERROR(L145/SUMIFS($I$5:$I$340,$B$5:$B$340,B145,$D$5:$D$340,D145),0)</x:f>
        <x:v>125.52114695340502</x:v>
      </x:c>
      <x:c r="N145" s="67" t="str">
        <x:v>备菜+午晚高峰</x:v>
      </x:c>
      <x:c r="O145" s="67" t="str"/>
    </x:row>
    <x:row r="146">
      <x:c r="A146" s="67" t="str">
        <x:v>SHIFT-00142</x:v>
      </x:c>
      <x:c r="B146" s="73" t="n">
        <x:v>46212.5</x:v>
      </x:c>
      <x:c r="C146" s="67" t="str">
        <x:v>周四</x:v>
      </x:c>
      <x:c r="D146" s="67" t="str">
        <x:v>S04</x:v>
      </x:c>
      <x:c r="E146" s="67" t="str">
        <x:v>金街美地店</x:v>
      </x:c>
      <x:c r="F146" s="67" t="str">
        <x:v>炒菜机操作员</x:v>
      </x:c>
      <x:c r="G146" s="70" t="n">
        <x:v>2</x:v>
      </x:c>
      <x:c r="H146" s="76" t="n">
        <x:v>16</x:v>
      </x:c>
      <x:c r="I146" s="76" t="n">
        <x:v>16.5</x:v>
      </x:c>
      <x:c r="J146" s="76" t="n">
        <x:v>28.83</x:v>
      </x:c>
      <x:c r="K146" s="79" t="n">
        <x:f>I146*J146</x:f>
        <x:v>475.695</x:v>
      </x:c>
      <x:c r="L146" s="94" t="n">
        <x:f>SUMIFS('门店日汇总'!$H$5:$H$60,'门店日汇总'!$A$5:$A$60,B146,'门店日汇总'!$C$5:$C$60,D146)</x:f>
        <x:v>8755.1</x:v>
      </x:c>
      <x:c r="M146" s="79" t="n">
        <x:f>IFERROR(L146/SUMIFS($I$5:$I$340,$B$5:$B$340,B146,$D$5:$D$340,D146),0)</x:f>
        <x:v>125.52114695340502</x:v>
      </x:c>
      <x:c r="N146" s="67" t="str">
        <x:v>午晚高峰</x:v>
      </x:c>
      <x:c r="O146" s="67" t="str"/>
    </x:row>
    <x:row r="147">
      <x:c r="A147" s="67" t="str">
        <x:v>SHIFT-00143</x:v>
      </x:c>
      <x:c r="B147" s="73" t="n">
        <x:v>46212.5</x:v>
      </x:c>
      <x:c r="C147" s="67" t="str">
        <x:v>周四</x:v>
      </x:c>
      <x:c r="D147" s="67" t="str">
        <x:v>S04</x:v>
      </x:c>
      <x:c r="E147" s="67" t="str">
        <x:v>金街美地店</x:v>
      </x:c>
      <x:c r="F147" s="67" t="str">
        <x:v>收银/前厅</x:v>
      </x:c>
      <x:c r="G147" s="70" t="n">
        <x:v>1</x:v>
      </x:c>
      <x:c r="H147" s="76" t="n">
        <x:v>8</x:v>
      </x:c>
      <x:c r="I147" s="76" t="n">
        <x:v>7.5</x:v>
      </x:c>
      <x:c r="J147" s="76" t="n">
        <x:v>25.84</x:v>
      </x:c>
      <x:c r="K147" s="79" t="n">
        <x:f>I147*J147</x:f>
        <x:v>193.8</x:v>
      </x:c>
      <x:c r="L147" s="94" t="n">
        <x:f>SUMIFS('门店日汇总'!$H$5:$H$60,'门店日汇总'!$A$5:$A$60,B147,'门店日汇总'!$C$5:$C$60,D147)</x:f>
        <x:v>8755.1</x:v>
      </x:c>
      <x:c r="M147" s="79" t="n">
        <x:f>IFERROR(L147/SUMIFS($I$5:$I$340,$B$5:$B$340,B147,$D$5:$D$340,D147),0)</x:f>
        <x:v>125.52114695340502</x:v>
      </x:c>
      <x:c r="N147" s="67" t="str">
        <x:v>全日</x:v>
      </x:c>
      <x:c r="O147" s="67" t="str"/>
    </x:row>
    <x:row r="148">
      <x:c r="A148" s="67" t="str">
        <x:v>SHIFT-00144</x:v>
      </x:c>
      <x:c r="B148" s="73" t="n">
        <x:v>46212.5</x:v>
      </x:c>
      <x:c r="C148" s="67" t="str">
        <x:v>周四</x:v>
      </x:c>
      <x:c r="D148" s="67" t="str">
        <x:v>S04</x:v>
      </x:c>
      <x:c r="E148" s="67" t="str">
        <x:v>金街美地店</x:v>
      </x:c>
      <x:c r="F148" s="67" t="str">
        <x:v>保洁/兼职</x:v>
      </x:c>
      <x:c r="G148" s="70" t="n">
        <x:v>1</x:v>
      </x:c>
      <x:c r="H148" s="76" t="n">
        <x:v>4</x:v>
      </x:c>
      <x:c r="I148" s="76" t="n">
        <x:v>3.75</x:v>
      </x:c>
      <x:c r="J148" s="76" t="n">
        <x:v>23.86</x:v>
      </x:c>
      <x:c r="K148" s="79" t="n">
        <x:f>I148*J148</x:f>
        <x:v>89.475</x:v>
      </x:c>
      <x:c r="L148" s="94" t="n">
        <x:f>SUMIFS('门店日汇总'!$H$5:$H$60,'门店日汇总'!$A$5:$A$60,B148,'门店日汇总'!$C$5:$C$60,D148)</x:f>
        <x:v>8755.1</x:v>
      </x:c>
      <x:c r="M148" s="79" t="n">
        <x:f>IFERROR(L148/SUMIFS($I$5:$I$340,$B$5:$B$340,B148,$D$5:$D$340,D148),0)</x:f>
        <x:v>125.52114695340502</x:v>
      </x:c>
      <x:c r="N148" s="67" t="str">
        <x:v>收市</x:v>
      </x:c>
      <x:c r="O148" s="67" t="str"/>
    </x:row>
    <x:row r="149">
      <x:c r="A149" s="67" t="str">
        <x:v>SHIFT-00145</x:v>
      </x:c>
      <x:c r="B149" s="73" t="n">
        <x:v>46213.5</x:v>
      </x:c>
      <x:c r="C149" s="67" t="str">
        <x:v>周五</x:v>
      </x:c>
      <x:c r="D149" s="67" t="str">
        <x:v>S04</x:v>
      </x:c>
      <x:c r="E149" s="67" t="str">
        <x:v>金街美地店</x:v>
      </x:c>
      <x:c r="F149" s="67" t="str">
        <x:v>店长/收货</x:v>
      </x:c>
      <x:c r="G149" s="70" t="n">
        <x:v>1</x:v>
      </x:c>
      <x:c r="H149" s="76" t="n">
        <x:v>10</x:v>
      </x:c>
      <x:c r="I149" s="76" t="n">
        <x:v>10</x:v>
      </x:c>
      <x:c r="J149" s="76" t="n">
        <x:v>33.8</x:v>
      </x:c>
      <x:c r="K149" s="79" t="n">
        <x:f>I149*J149</x:f>
        <x:v>338</x:v>
      </x:c>
      <x:c r="L149" s="94" t="n">
        <x:f>SUMIFS('门店日汇总'!$H$5:$H$60,'门店日汇总'!$A$5:$A$60,B149,'门店日汇总'!$C$5:$C$60,D149)</x:f>
        <x:v>9086.300000000001</x:v>
      </x:c>
      <x:c r="M149" s="79" t="n">
        <x:f>IFERROR(L149/SUMIFS($I$5:$I$340,$B$5:$B$340,B149,$D$5:$D$340,D149),0)</x:f>
        <x:v>129.80428571428573</x:v>
      </x:c>
      <x:c r="N149" s="67" t="str">
        <x:v>开市+午晚高峰</x:v>
      </x:c>
      <x:c r="O149" s="67" t="str"/>
    </x:row>
    <x:row r="150">
      <x:c r="A150" s="67" t="str">
        <x:v>SHIFT-00146</x:v>
      </x:c>
      <x:c r="B150" s="73" t="n">
        <x:v>46213.5</x:v>
      </x:c>
      <x:c r="C150" s="67" t="str">
        <x:v>周五</x:v>
      </x:c>
      <x:c r="D150" s="67" t="str">
        <x:v>S04</x:v>
      </x:c>
      <x:c r="E150" s="67" t="str">
        <x:v>金街美地店</x:v>
      </x:c>
      <x:c r="F150" s="67" t="str">
        <x:v>服务员</x:v>
      </x:c>
      <x:c r="G150" s="70" t="n">
        <x:v>2</x:v>
      </x:c>
      <x:c r="H150" s="76" t="n">
        <x:v>16</x:v>
      </x:c>
      <x:c r="I150" s="76" t="n">
        <x:v>16.25</x:v>
      </x:c>
      <x:c r="J150" s="76" t="n">
        <x:v>25.84</x:v>
      </x:c>
      <x:c r="K150" s="79" t="n">
        <x:f>I150*J150</x:f>
        <x:v>419.9</x:v>
      </x:c>
      <x:c r="L150" s="94" t="n">
        <x:f>SUMIFS('门店日汇总'!$H$5:$H$60,'门店日汇总'!$A$5:$A$60,B150,'门店日汇总'!$C$5:$C$60,D150)</x:f>
        <x:v>9086.300000000001</x:v>
      </x:c>
      <x:c r="M150" s="79" t="n">
        <x:f>IFERROR(L150/SUMIFS($I$5:$I$340,$B$5:$B$340,B150,$D$5:$D$340,D150),0)</x:f>
        <x:v>129.80428571428573</x:v>
      </x:c>
      <x:c r="N150" s="67" t="str">
        <x:v>午晚高峰</x:v>
      </x:c>
      <x:c r="O150" s="67" t="str"/>
    </x:row>
    <x:row r="151">
      <x:c r="A151" s="67" t="str">
        <x:v>SHIFT-00147</x:v>
      </x:c>
      <x:c r="B151" s="73" t="n">
        <x:v>46213.5</x:v>
      </x:c>
      <x:c r="C151" s="67" t="str">
        <x:v>周五</x:v>
      </x:c>
      <x:c r="D151" s="67" t="str">
        <x:v>S04</x:v>
      </x:c>
      <x:c r="E151" s="67" t="str">
        <x:v>金街美地店</x:v>
      </x:c>
      <x:c r="F151" s="67" t="str">
        <x:v>后厨小工</x:v>
      </x:c>
      <x:c r="G151" s="70" t="n">
        <x:v>2</x:v>
      </x:c>
      <x:c r="H151" s="76" t="n">
        <x:v>16</x:v>
      </x:c>
      <x:c r="I151" s="76" t="n">
        <x:v>16.5</x:v>
      </x:c>
      <x:c r="J151" s="76" t="n">
        <x:v>27.83</x:v>
      </x:c>
      <x:c r="K151" s="79" t="n">
        <x:f>I151*J151</x:f>
        <x:v>459.195</x:v>
      </x:c>
      <x:c r="L151" s="94" t="n">
        <x:f>SUMIFS('门店日汇总'!$H$5:$H$60,'门店日汇总'!$A$5:$A$60,B151,'门店日汇总'!$C$5:$C$60,D151)</x:f>
        <x:v>9086.300000000001</x:v>
      </x:c>
      <x:c r="M151" s="79" t="n">
        <x:f>IFERROR(L151/SUMIFS($I$5:$I$340,$B$5:$B$340,B151,$D$5:$D$340,D151),0)</x:f>
        <x:v>129.80428571428573</x:v>
      </x:c>
      <x:c r="N151" s="67" t="str">
        <x:v>备菜+午晚高峰</x:v>
      </x:c>
      <x:c r="O151" s="67" t="str"/>
    </x:row>
    <x:row r="152">
      <x:c r="A152" s="67" t="str">
        <x:v>SHIFT-00148</x:v>
      </x:c>
      <x:c r="B152" s="73" t="n">
        <x:v>46213.5</x:v>
      </x:c>
      <x:c r="C152" s="67" t="str">
        <x:v>周五</x:v>
      </x:c>
      <x:c r="D152" s="67" t="str">
        <x:v>S04</x:v>
      </x:c>
      <x:c r="E152" s="67" t="str">
        <x:v>金街美地店</x:v>
      </x:c>
      <x:c r="F152" s="67" t="str">
        <x:v>炒菜机操作员</x:v>
      </x:c>
      <x:c r="G152" s="70" t="n">
        <x:v>2</x:v>
      </x:c>
      <x:c r="H152" s="76" t="n">
        <x:v>16</x:v>
      </x:c>
      <x:c r="I152" s="76" t="n">
        <x:v>15.5</x:v>
      </x:c>
      <x:c r="J152" s="76" t="n">
        <x:v>28.83</x:v>
      </x:c>
      <x:c r="K152" s="79" t="n">
        <x:f>I152*J152</x:f>
        <x:v>446.86499999999995</x:v>
      </x:c>
      <x:c r="L152" s="94" t="n">
        <x:f>SUMIFS('门店日汇总'!$H$5:$H$60,'门店日汇总'!$A$5:$A$60,B152,'门店日汇总'!$C$5:$C$60,D152)</x:f>
        <x:v>9086.300000000001</x:v>
      </x:c>
      <x:c r="M152" s="79" t="n">
        <x:f>IFERROR(L152/SUMIFS($I$5:$I$340,$B$5:$B$340,B152,$D$5:$D$340,D152),0)</x:f>
        <x:v>129.80428571428573</x:v>
      </x:c>
      <x:c r="N152" s="67" t="str">
        <x:v>午晚高峰</x:v>
      </x:c>
      <x:c r="O152" s="67" t="str"/>
    </x:row>
    <x:row r="153">
      <x:c r="A153" s="67" t="str">
        <x:v>SHIFT-00149</x:v>
      </x:c>
      <x:c r="B153" s="73" t="n">
        <x:v>46213.5</x:v>
      </x:c>
      <x:c r="C153" s="67" t="str">
        <x:v>周五</x:v>
      </x:c>
      <x:c r="D153" s="67" t="str">
        <x:v>S04</x:v>
      </x:c>
      <x:c r="E153" s="67" t="str">
        <x:v>金街美地店</x:v>
      </x:c>
      <x:c r="F153" s="67" t="str">
        <x:v>收银/前厅</x:v>
      </x:c>
      <x:c r="G153" s="70" t="n">
        <x:v>1</x:v>
      </x:c>
      <x:c r="H153" s="76" t="n">
        <x:v>8</x:v>
      </x:c>
      <x:c r="I153" s="76" t="n">
        <x:v>7.75</x:v>
      </x:c>
      <x:c r="J153" s="76" t="n">
        <x:v>25.84</x:v>
      </x:c>
      <x:c r="K153" s="79" t="n">
        <x:f>I153*J153</x:f>
        <x:v>200.26</x:v>
      </x:c>
      <x:c r="L153" s="94" t="n">
        <x:f>SUMIFS('门店日汇总'!$H$5:$H$60,'门店日汇总'!$A$5:$A$60,B153,'门店日汇总'!$C$5:$C$60,D153)</x:f>
        <x:v>9086.300000000001</x:v>
      </x:c>
      <x:c r="M153" s="79" t="n">
        <x:f>IFERROR(L153/SUMIFS($I$5:$I$340,$B$5:$B$340,B153,$D$5:$D$340,D153),0)</x:f>
        <x:v>129.80428571428573</x:v>
      </x:c>
      <x:c r="N153" s="67" t="str">
        <x:v>全日</x:v>
      </x:c>
      <x:c r="O153" s="67" t="str"/>
    </x:row>
    <x:row r="154">
      <x:c r="A154" s="67" t="str">
        <x:v>SHIFT-00150</x:v>
      </x:c>
      <x:c r="B154" s="73" t="n">
        <x:v>46213.5</x:v>
      </x:c>
      <x:c r="C154" s="67" t="str">
        <x:v>周五</x:v>
      </x:c>
      <x:c r="D154" s="67" t="str">
        <x:v>S04</x:v>
      </x:c>
      <x:c r="E154" s="67" t="str">
        <x:v>金街美地店</x:v>
      </x:c>
      <x:c r="F154" s="67" t="str">
        <x:v>保洁/兼职</x:v>
      </x:c>
      <x:c r="G154" s="70" t="n">
        <x:v>1</x:v>
      </x:c>
      <x:c r="H154" s="76" t="n">
        <x:v>4</x:v>
      </x:c>
      <x:c r="I154" s="76" t="n">
        <x:v>4</x:v>
      </x:c>
      <x:c r="J154" s="76" t="n">
        <x:v>23.86</x:v>
      </x:c>
      <x:c r="K154" s="79" t="n">
        <x:f>I154*J154</x:f>
        <x:v>95.44</x:v>
      </x:c>
      <x:c r="L154" s="94" t="n">
        <x:f>SUMIFS('门店日汇总'!$H$5:$H$60,'门店日汇总'!$A$5:$A$60,B154,'门店日汇总'!$C$5:$C$60,D154)</x:f>
        <x:v>9086.300000000001</x:v>
      </x:c>
      <x:c r="M154" s="79" t="n">
        <x:f>IFERROR(L154/SUMIFS($I$5:$I$340,$B$5:$B$340,B154,$D$5:$D$340,D154),0)</x:f>
        <x:v>129.80428571428573</x:v>
      </x:c>
      <x:c r="N154" s="67" t="str">
        <x:v>收市</x:v>
      </x:c>
      <x:c r="O154" s="67" t="str"/>
    </x:row>
    <x:row r="155">
      <x:c r="A155" s="67" t="str">
        <x:v>SHIFT-00151</x:v>
      </x:c>
      <x:c r="B155" s="73" t="n">
        <x:v>46214.5</x:v>
      </x:c>
      <x:c r="C155" s="67" t="str">
        <x:v>周六</x:v>
      </x:c>
      <x:c r="D155" s="67" t="str">
        <x:v>S04</x:v>
      </x:c>
      <x:c r="E155" s="67" t="str">
        <x:v>金街美地店</x:v>
      </x:c>
      <x:c r="F155" s="67" t="str">
        <x:v>店长/收货</x:v>
      </x:c>
      <x:c r="G155" s="70" t="n">
        <x:v>1</x:v>
      </x:c>
      <x:c r="H155" s="76" t="n">
        <x:v>8</x:v>
      </x:c>
      <x:c r="I155" s="76" t="n">
        <x:v>8.25</x:v>
      </x:c>
      <x:c r="J155" s="76" t="n">
        <x:v>33.8</x:v>
      </x:c>
      <x:c r="K155" s="79" t="n">
        <x:f>I155*J155</x:f>
        <x:v>278.84999999999997</x:v>
      </x:c>
      <x:c r="L155" s="94" t="n">
        <x:f>SUMIFS('门店日汇总'!$H$5:$H$60,'门店日汇总'!$A$5:$A$60,B155,'门店日汇总'!$C$5:$C$60,D155)</x:f>
        <x:v>6968</x:v>
      </x:c>
      <x:c r="M155" s="79" t="n">
        <x:f>IFERROR(L155/SUMIFS($I$5:$I$340,$B$5:$B$340,B155,$D$5:$D$340,D155),0)</x:f>
        <x:v>111.93574297188755</x:v>
      </x:c>
      <x:c r="N155" s="67" t="str">
        <x:v>开市+午晚高峰</x:v>
      </x:c>
      <x:c r="O155" s="67" t="str"/>
    </x:row>
    <x:row r="156">
      <x:c r="A156" s="67" t="str">
        <x:v>SHIFT-00152</x:v>
      </x:c>
      <x:c r="B156" s="73" t="n">
        <x:v>46214.5</x:v>
      </x:c>
      <x:c r="C156" s="67" t="str">
        <x:v>周六</x:v>
      </x:c>
      <x:c r="D156" s="67" t="str">
        <x:v>S04</x:v>
      </x:c>
      <x:c r="E156" s="67" t="str">
        <x:v>金街美地店</x:v>
      </x:c>
      <x:c r="F156" s="67" t="str">
        <x:v>服务员</x:v>
      </x:c>
      <x:c r="G156" s="70" t="n">
        <x:v>2</x:v>
      </x:c>
      <x:c r="H156" s="76" t="n">
        <x:v>14</x:v>
      </x:c>
      <x:c r="I156" s="76" t="n">
        <x:v>14.5</x:v>
      </x:c>
      <x:c r="J156" s="76" t="n">
        <x:v>25.84</x:v>
      </x:c>
      <x:c r="K156" s="79" t="n">
        <x:f>I156*J156</x:f>
        <x:v>374.68</x:v>
      </x:c>
      <x:c r="L156" s="94" t="n">
        <x:f>SUMIFS('门店日汇总'!$H$5:$H$60,'门店日汇总'!$A$5:$A$60,B156,'门店日汇总'!$C$5:$C$60,D156)</x:f>
        <x:v>6968</x:v>
      </x:c>
      <x:c r="M156" s="79" t="n">
        <x:f>IFERROR(L156/SUMIFS($I$5:$I$340,$B$5:$B$340,B156,$D$5:$D$340,D156),0)</x:f>
        <x:v>111.93574297188755</x:v>
      </x:c>
      <x:c r="N156" s="67" t="str">
        <x:v>午晚高峰</x:v>
      </x:c>
      <x:c r="O156" s="67" t="str">
        <x:v>周末客流较低，建议下周减少兼职工时</x:v>
      </x:c>
    </x:row>
    <x:row r="157">
      <x:c r="A157" s="67" t="str">
        <x:v>SHIFT-00153</x:v>
      </x:c>
      <x:c r="B157" s="73" t="n">
        <x:v>46214.5</x:v>
      </x:c>
      <x:c r="C157" s="67" t="str">
        <x:v>周六</x:v>
      </x:c>
      <x:c r="D157" s="67" t="str">
        <x:v>S04</x:v>
      </x:c>
      <x:c r="E157" s="67" t="str">
        <x:v>金街美地店</x:v>
      </x:c>
      <x:c r="F157" s="67" t="str">
        <x:v>后厨小工</x:v>
      </x:c>
      <x:c r="G157" s="70" t="n">
        <x:v>2</x:v>
      </x:c>
      <x:c r="H157" s="76" t="n">
        <x:v>14</x:v>
      </x:c>
      <x:c r="I157" s="76" t="n">
        <x:v>13.5</x:v>
      </x:c>
      <x:c r="J157" s="76" t="n">
        <x:v>27.83</x:v>
      </x:c>
      <x:c r="K157" s="79" t="n">
        <x:f>I157*J157</x:f>
        <x:v>375.705</x:v>
      </x:c>
      <x:c r="L157" s="94" t="n">
        <x:f>SUMIFS('门店日汇总'!$H$5:$H$60,'门店日汇总'!$A$5:$A$60,B157,'门店日汇总'!$C$5:$C$60,D157)</x:f>
        <x:v>6968</x:v>
      </x:c>
      <x:c r="M157" s="79" t="n">
        <x:f>IFERROR(L157/SUMIFS($I$5:$I$340,$B$5:$B$340,B157,$D$5:$D$340,D157),0)</x:f>
        <x:v>111.93574297188755</x:v>
      </x:c>
      <x:c r="N157" s="67" t="str">
        <x:v>备菜+午晚高峰</x:v>
      </x:c>
      <x:c r="O157" s="67" t="str"/>
    </x:row>
    <x:row r="158">
      <x:c r="A158" s="67" t="str">
        <x:v>SHIFT-00154</x:v>
      </x:c>
      <x:c r="B158" s="73" t="n">
        <x:v>46214.5</x:v>
      </x:c>
      <x:c r="C158" s="67" t="str">
        <x:v>周六</x:v>
      </x:c>
      <x:c r="D158" s="67" t="str">
        <x:v>S04</x:v>
      </x:c>
      <x:c r="E158" s="67" t="str">
        <x:v>金街美地店</x:v>
      </x:c>
      <x:c r="F158" s="67" t="str">
        <x:v>炒菜机操作员</x:v>
      </x:c>
      <x:c r="G158" s="70" t="n">
        <x:v>2</x:v>
      </x:c>
      <x:c r="H158" s="76" t="n">
        <x:v>14</x:v>
      </x:c>
      <x:c r="I158" s="76" t="n">
        <x:v>13.75</x:v>
      </x:c>
      <x:c r="J158" s="76" t="n">
        <x:v>28.83</x:v>
      </x:c>
      <x:c r="K158" s="79" t="n">
        <x:f>I158*J158</x:f>
        <x:v>396.41249999999997</x:v>
      </x:c>
      <x:c r="L158" s="94" t="n">
        <x:f>SUMIFS('门店日汇总'!$H$5:$H$60,'门店日汇总'!$A$5:$A$60,B158,'门店日汇总'!$C$5:$C$60,D158)</x:f>
        <x:v>6968</x:v>
      </x:c>
      <x:c r="M158" s="79" t="n">
        <x:f>IFERROR(L158/SUMIFS($I$5:$I$340,$B$5:$B$340,B158,$D$5:$D$340,D158),0)</x:f>
        <x:v>111.93574297188755</x:v>
      </x:c>
      <x:c r="N158" s="67" t="str">
        <x:v>午晚高峰</x:v>
      </x:c>
      <x:c r="O158" s="67" t="str"/>
    </x:row>
    <x:row r="159">
      <x:c r="A159" s="67" t="str">
        <x:v>SHIFT-00155</x:v>
      </x:c>
      <x:c r="B159" s="73" t="n">
        <x:v>46214.5</x:v>
      </x:c>
      <x:c r="C159" s="67" t="str">
        <x:v>周六</x:v>
      </x:c>
      <x:c r="D159" s="67" t="str">
        <x:v>S04</x:v>
      </x:c>
      <x:c r="E159" s="67" t="str">
        <x:v>金街美地店</x:v>
      </x:c>
      <x:c r="F159" s="67" t="str">
        <x:v>收银/前厅</x:v>
      </x:c>
      <x:c r="G159" s="70" t="n">
        <x:v>1</x:v>
      </x:c>
      <x:c r="H159" s="76" t="n">
        <x:v>8</x:v>
      </x:c>
      <x:c r="I159" s="76" t="n">
        <x:v>8</x:v>
      </x:c>
      <x:c r="J159" s="76" t="n">
        <x:v>25.84</x:v>
      </x:c>
      <x:c r="K159" s="79" t="n">
        <x:f>I159*J159</x:f>
        <x:v>206.72</x:v>
      </x:c>
      <x:c r="L159" s="94" t="n">
        <x:f>SUMIFS('门店日汇总'!$H$5:$H$60,'门店日汇总'!$A$5:$A$60,B159,'门店日汇总'!$C$5:$C$60,D159)</x:f>
        <x:v>6968</x:v>
      </x:c>
      <x:c r="M159" s="79" t="n">
        <x:f>IFERROR(L159/SUMIFS($I$5:$I$340,$B$5:$B$340,B159,$D$5:$D$340,D159),0)</x:f>
        <x:v>111.93574297188755</x:v>
      </x:c>
      <x:c r="N159" s="67" t="str">
        <x:v>全日</x:v>
      </x:c>
      <x:c r="O159" s="67" t="str"/>
    </x:row>
    <x:row r="160">
      <x:c r="A160" s="67" t="str">
        <x:v>SHIFT-00156</x:v>
      </x:c>
      <x:c r="B160" s="73" t="n">
        <x:v>46214.5</x:v>
      </x:c>
      <x:c r="C160" s="67" t="str">
        <x:v>周六</x:v>
      </x:c>
      <x:c r="D160" s="67" t="str">
        <x:v>S04</x:v>
      </x:c>
      <x:c r="E160" s="67" t="str">
        <x:v>金街美地店</x:v>
      </x:c>
      <x:c r="F160" s="67" t="str">
        <x:v>保洁/兼职</x:v>
      </x:c>
      <x:c r="G160" s="70" t="n">
        <x:v>1</x:v>
      </x:c>
      <x:c r="H160" s="76" t="n">
        <x:v>4</x:v>
      </x:c>
      <x:c r="I160" s="76" t="n">
        <x:v>4.25</x:v>
      </x:c>
      <x:c r="J160" s="76" t="n">
        <x:v>23.86</x:v>
      </x:c>
      <x:c r="K160" s="79" t="n">
        <x:f>I160*J160</x:f>
        <x:v>101.405</x:v>
      </x:c>
      <x:c r="L160" s="94" t="n">
        <x:f>SUMIFS('门店日汇总'!$H$5:$H$60,'门店日汇总'!$A$5:$A$60,B160,'门店日汇总'!$C$5:$C$60,D160)</x:f>
        <x:v>6968</x:v>
      </x:c>
      <x:c r="M160" s="79" t="n">
        <x:f>IFERROR(L160/SUMIFS($I$5:$I$340,$B$5:$B$340,B160,$D$5:$D$340,D160),0)</x:f>
        <x:v>111.93574297188755</x:v>
      </x:c>
      <x:c r="N160" s="67" t="str">
        <x:v>收市</x:v>
      </x:c>
      <x:c r="O160" s="67" t="str"/>
    </x:row>
    <x:row r="161">
      <x:c r="A161" s="67" t="str">
        <x:v>SHIFT-00157</x:v>
      </x:c>
      <x:c r="B161" s="73" t="n">
        <x:v>46215.5</x:v>
      </x:c>
      <x:c r="C161" s="67" t="str">
        <x:v>周日</x:v>
      </x:c>
      <x:c r="D161" s="67" t="str">
        <x:v>S04</x:v>
      </x:c>
      <x:c r="E161" s="67" t="str">
        <x:v>金街美地店</x:v>
      </x:c>
      <x:c r="F161" s="67" t="str">
        <x:v>店长/收货</x:v>
      </x:c>
      <x:c r="G161" s="70" t="n">
        <x:v>1</x:v>
      </x:c>
      <x:c r="H161" s="76" t="n">
        <x:v>8</x:v>
      </x:c>
      <x:c r="I161" s="76" t="n">
        <x:v>8.5</x:v>
      </x:c>
      <x:c r="J161" s="76" t="n">
        <x:v>33.8</x:v>
      </x:c>
      <x:c r="K161" s="79" t="n">
        <x:f>I161*J161</x:f>
        <x:v>287.29999999999995</x:v>
      </x:c>
      <x:c r="L161" s="94" t="n">
        <x:f>SUMIFS('门店日汇总'!$H$5:$H$60,'门店日汇总'!$A$5:$A$60,B161,'门店日汇总'!$C$5:$C$60,D161)</x:f>
        <x:v>6796.399999999999</x:v>
      </x:c>
      <x:c r="M161" s="79" t="n">
        <x:f>IFERROR(L161/SUMIFS($I$5:$I$340,$B$5:$B$340,B161,$D$5:$D$340,D161),0)</x:f>
        <x:v>108.74239999999998</x:v>
      </x:c>
      <x:c r="N161" s="67" t="str">
        <x:v>开市+午晚高峰</x:v>
      </x:c>
      <x:c r="O161" s="67" t="str"/>
    </x:row>
    <x:row r="162">
      <x:c r="A162" s="67" t="str">
        <x:v>SHIFT-00158</x:v>
      </x:c>
      <x:c r="B162" s="73" t="n">
        <x:v>46215.5</x:v>
      </x:c>
      <x:c r="C162" s="67" t="str">
        <x:v>周日</x:v>
      </x:c>
      <x:c r="D162" s="67" t="str">
        <x:v>S04</x:v>
      </x:c>
      <x:c r="E162" s="67" t="str">
        <x:v>金街美地店</x:v>
      </x:c>
      <x:c r="F162" s="67" t="str">
        <x:v>服务员</x:v>
      </x:c>
      <x:c r="G162" s="70" t="n">
        <x:v>2</x:v>
      </x:c>
      <x:c r="H162" s="76" t="n">
        <x:v>14</x:v>
      </x:c>
      <x:c r="I162" s="76" t="n">
        <x:v>13.5</x:v>
      </x:c>
      <x:c r="J162" s="76" t="n">
        <x:v>25.84</x:v>
      </x:c>
      <x:c r="K162" s="79" t="n">
        <x:f>I162*J162</x:f>
        <x:v>348.84</x:v>
      </x:c>
      <x:c r="L162" s="94" t="n">
        <x:f>SUMIFS('门店日汇总'!$H$5:$H$60,'门店日汇总'!$A$5:$A$60,B162,'门店日汇总'!$C$5:$C$60,D162)</x:f>
        <x:v>6796.399999999999</x:v>
      </x:c>
      <x:c r="M162" s="79" t="n">
        <x:f>IFERROR(L162/SUMIFS($I$5:$I$340,$B$5:$B$340,B162,$D$5:$D$340,D162),0)</x:f>
        <x:v>108.74239999999998</x:v>
      </x:c>
      <x:c r="N162" s="67" t="str">
        <x:v>午晚高峰</x:v>
      </x:c>
      <x:c r="O162" s="67" t="str"/>
    </x:row>
    <x:row r="163">
      <x:c r="A163" s="67" t="str">
        <x:v>SHIFT-00159</x:v>
      </x:c>
      <x:c r="B163" s="73" t="n">
        <x:v>46215.5</x:v>
      </x:c>
      <x:c r="C163" s="67" t="str">
        <x:v>周日</x:v>
      </x:c>
      <x:c r="D163" s="67" t="str">
        <x:v>S04</x:v>
      </x:c>
      <x:c r="E163" s="67" t="str">
        <x:v>金街美地店</x:v>
      </x:c>
      <x:c r="F163" s="67" t="str">
        <x:v>后厨小工</x:v>
      </x:c>
      <x:c r="G163" s="70" t="n">
        <x:v>2</x:v>
      </x:c>
      <x:c r="H163" s="76" t="n">
        <x:v>14</x:v>
      </x:c>
      <x:c r="I163" s="76" t="n">
        <x:v>13.75</x:v>
      </x:c>
      <x:c r="J163" s="76" t="n">
        <x:v>27.83</x:v>
      </x:c>
      <x:c r="K163" s="79" t="n">
        <x:f>I163*J163</x:f>
        <x:v>382.66249999999997</x:v>
      </x:c>
      <x:c r="L163" s="94" t="n">
        <x:f>SUMIFS('门店日汇总'!$H$5:$H$60,'门店日汇总'!$A$5:$A$60,B163,'门店日汇总'!$C$5:$C$60,D163)</x:f>
        <x:v>6796.399999999999</x:v>
      </x:c>
      <x:c r="M163" s="79" t="n">
        <x:f>IFERROR(L163/SUMIFS($I$5:$I$340,$B$5:$B$340,B163,$D$5:$D$340,D163),0)</x:f>
        <x:v>108.74239999999998</x:v>
      </x:c>
      <x:c r="N163" s="67" t="str">
        <x:v>备菜+午晚高峰</x:v>
      </x:c>
      <x:c r="O163" s="67" t="str"/>
    </x:row>
    <x:row r="164">
      <x:c r="A164" s="67" t="str">
        <x:v>SHIFT-00160</x:v>
      </x:c>
      <x:c r="B164" s="73" t="n">
        <x:v>46215.5</x:v>
      </x:c>
      <x:c r="C164" s="67" t="str">
        <x:v>周日</x:v>
      </x:c>
      <x:c r="D164" s="67" t="str">
        <x:v>S04</x:v>
      </x:c>
      <x:c r="E164" s="67" t="str">
        <x:v>金街美地店</x:v>
      </x:c>
      <x:c r="F164" s="67" t="str">
        <x:v>炒菜机操作员</x:v>
      </x:c>
      <x:c r="G164" s="70" t="n">
        <x:v>2</x:v>
      </x:c>
      <x:c r="H164" s="76" t="n">
        <x:v>14</x:v>
      </x:c>
      <x:c r="I164" s="76" t="n">
        <x:v>14</x:v>
      </x:c>
      <x:c r="J164" s="76" t="n">
        <x:v>28.83</x:v>
      </x:c>
      <x:c r="K164" s="79" t="n">
        <x:f>I164*J164</x:f>
        <x:v>403.62</x:v>
      </x:c>
      <x:c r="L164" s="94" t="n">
        <x:f>SUMIFS('门店日汇总'!$H$5:$H$60,'门店日汇总'!$A$5:$A$60,B164,'门店日汇总'!$C$5:$C$60,D164)</x:f>
        <x:v>6796.399999999999</x:v>
      </x:c>
      <x:c r="M164" s="79" t="n">
        <x:f>IFERROR(L164/SUMIFS($I$5:$I$340,$B$5:$B$340,B164,$D$5:$D$340,D164),0)</x:f>
        <x:v>108.74239999999998</x:v>
      </x:c>
      <x:c r="N164" s="67" t="str">
        <x:v>午晚高峰</x:v>
      </x:c>
      <x:c r="O164" s="67" t="str"/>
    </x:row>
    <x:row r="165">
      <x:c r="A165" s="67" t="str">
        <x:v>SHIFT-00161</x:v>
      </x:c>
      <x:c r="B165" s="73" t="n">
        <x:v>46215.5</x:v>
      </x:c>
      <x:c r="C165" s="67" t="str">
        <x:v>周日</x:v>
      </x:c>
      <x:c r="D165" s="67" t="str">
        <x:v>S04</x:v>
      </x:c>
      <x:c r="E165" s="67" t="str">
        <x:v>金街美地店</x:v>
      </x:c>
      <x:c r="F165" s="67" t="str">
        <x:v>收银/前厅</x:v>
      </x:c>
      <x:c r="G165" s="70" t="n">
        <x:v>1</x:v>
      </x:c>
      <x:c r="H165" s="76" t="n">
        <x:v>8</x:v>
      </x:c>
      <x:c r="I165" s="76" t="n">
        <x:v>8.25</x:v>
      </x:c>
      <x:c r="J165" s="76" t="n">
        <x:v>25.84</x:v>
      </x:c>
      <x:c r="K165" s="79" t="n">
        <x:f>I165*J165</x:f>
        <x:v>213.18</x:v>
      </x:c>
      <x:c r="L165" s="94" t="n">
        <x:f>SUMIFS('门店日汇总'!$H$5:$H$60,'门店日汇总'!$A$5:$A$60,B165,'门店日汇总'!$C$5:$C$60,D165)</x:f>
        <x:v>6796.399999999999</x:v>
      </x:c>
      <x:c r="M165" s="79" t="n">
        <x:f>IFERROR(L165/SUMIFS($I$5:$I$340,$B$5:$B$340,B165,$D$5:$D$340,D165),0)</x:f>
        <x:v>108.74239999999998</x:v>
      </x:c>
      <x:c r="N165" s="67" t="str">
        <x:v>全日</x:v>
      </x:c>
      <x:c r="O165" s="67" t="str"/>
    </x:row>
    <x:row r="166">
      <x:c r="A166" s="67" t="str">
        <x:v>SHIFT-00162</x:v>
      </x:c>
      <x:c r="B166" s="73" t="n">
        <x:v>46215.5</x:v>
      </x:c>
      <x:c r="C166" s="67" t="str">
        <x:v>周日</x:v>
      </x:c>
      <x:c r="D166" s="67" t="str">
        <x:v>S04</x:v>
      </x:c>
      <x:c r="E166" s="67" t="str">
        <x:v>金街美地店</x:v>
      </x:c>
      <x:c r="F166" s="67" t="str">
        <x:v>保洁/兼职</x:v>
      </x:c>
      <x:c r="G166" s="70" t="n">
        <x:v>1</x:v>
      </x:c>
      <x:c r="H166" s="76" t="n">
        <x:v>4</x:v>
      </x:c>
      <x:c r="I166" s="76" t="n">
        <x:v>4.5</x:v>
      </x:c>
      <x:c r="J166" s="76" t="n">
        <x:v>23.86</x:v>
      </x:c>
      <x:c r="K166" s="79" t="n">
        <x:f>I166*J166</x:f>
        <x:v>107.37</x:v>
      </x:c>
      <x:c r="L166" s="94" t="n">
        <x:f>SUMIFS('门店日汇总'!$H$5:$H$60,'门店日汇总'!$A$5:$A$60,B166,'门店日汇总'!$C$5:$C$60,D166)</x:f>
        <x:v>6796.399999999999</x:v>
      </x:c>
      <x:c r="M166" s="79" t="n">
        <x:f>IFERROR(L166/SUMIFS($I$5:$I$340,$B$5:$B$340,B166,$D$5:$D$340,D166),0)</x:f>
        <x:v>108.74239999999998</x:v>
      </x:c>
      <x:c r="N166" s="67" t="str">
        <x:v>收市</x:v>
      </x:c>
      <x:c r="O166" s="67" t="str"/>
    </x:row>
    <x:row r="167">
      <x:c r="A167" s="67" t="str">
        <x:v>SHIFT-00163</x:v>
      </x:c>
      <x:c r="B167" s="73" t="n">
        <x:v>46216.5</x:v>
      </x:c>
      <x:c r="C167" s="67" t="str">
        <x:v>周一</x:v>
      </x:c>
      <x:c r="D167" s="67" t="str">
        <x:v>S04</x:v>
      </x:c>
      <x:c r="E167" s="67" t="str">
        <x:v>金街美地店</x:v>
      </x:c>
      <x:c r="F167" s="67" t="str">
        <x:v>店长/收货</x:v>
      </x:c>
      <x:c r="G167" s="70" t="n">
        <x:v>1</x:v>
      </x:c>
      <x:c r="H167" s="76" t="n">
        <x:v>10</x:v>
      </x:c>
      <x:c r="I167" s="76" t="n">
        <x:v>9.5</x:v>
      </x:c>
      <x:c r="J167" s="76" t="n">
        <x:v>33.8</x:v>
      </x:c>
      <x:c r="K167" s="79" t="n">
        <x:f>I167*J167</x:f>
        <x:v>321.09999999999997</x:v>
      </x:c>
      <x:c r="L167" s="94" t="n">
        <x:f>SUMIFS('门店日汇总'!$H$5:$H$60,'门店日汇总'!$A$5:$A$60,B167,'门店日汇总'!$C$5:$C$60,D167)</x:f>
        <x:v>9772.5</x:v>
      </x:c>
      <x:c r="M167" s="79" t="n">
        <x:f>IFERROR(L167/SUMIFS($I$5:$I$340,$B$5:$B$340,B167,$D$5:$D$340,D167),0)</x:f>
        <x:v>140.6115107913669</x:v>
      </x:c>
      <x:c r="N167" s="67" t="str">
        <x:v>开市+午晚高峰</x:v>
      </x:c>
      <x:c r="O167" s="67" t="str"/>
    </x:row>
    <x:row r="168">
      <x:c r="A168" s="67" t="str">
        <x:v>SHIFT-00164</x:v>
      </x:c>
      <x:c r="B168" s="73" t="n">
        <x:v>46216.5</x:v>
      </x:c>
      <x:c r="C168" s="67" t="str">
        <x:v>周一</x:v>
      </x:c>
      <x:c r="D168" s="67" t="str">
        <x:v>S04</x:v>
      </x:c>
      <x:c r="E168" s="67" t="str">
        <x:v>金街美地店</x:v>
      </x:c>
      <x:c r="F168" s="67" t="str">
        <x:v>服务员</x:v>
      </x:c>
      <x:c r="G168" s="70" t="n">
        <x:v>2</x:v>
      </x:c>
      <x:c r="H168" s="76" t="n">
        <x:v>16</x:v>
      </x:c>
      <x:c r="I168" s="76" t="n">
        <x:v>15.75</x:v>
      </x:c>
      <x:c r="J168" s="76" t="n">
        <x:v>25.84</x:v>
      </x:c>
      <x:c r="K168" s="79" t="n">
        <x:f>I168*J168</x:f>
        <x:v>406.98</x:v>
      </x:c>
      <x:c r="L168" s="94" t="n">
        <x:f>SUMIFS('门店日汇总'!$H$5:$H$60,'门店日汇总'!$A$5:$A$60,B168,'门店日汇总'!$C$5:$C$60,D168)</x:f>
        <x:v>9772.5</x:v>
      </x:c>
      <x:c r="M168" s="79" t="n">
        <x:f>IFERROR(L168/SUMIFS($I$5:$I$340,$B$5:$B$340,B168,$D$5:$D$340,D168),0)</x:f>
        <x:v>140.6115107913669</x:v>
      </x:c>
      <x:c r="N168" s="67" t="str">
        <x:v>午晚高峰</x:v>
      </x:c>
      <x:c r="O168" s="67" t="str"/>
    </x:row>
    <x:row r="169">
      <x:c r="A169" s="67" t="str">
        <x:v>SHIFT-00165</x:v>
      </x:c>
      <x:c r="B169" s="73" t="n">
        <x:v>46216.5</x:v>
      </x:c>
      <x:c r="C169" s="67" t="str">
        <x:v>周一</x:v>
      </x:c>
      <x:c r="D169" s="67" t="str">
        <x:v>S04</x:v>
      </x:c>
      <x:c r="E169" s="67" t="str">
        <x:v>金街美地店</x:v>
      </x:c>
      <x:c r="F169" s="67" t="str">
        <x:v>后厨小工</x:v>
      </x:c>
      <x:c r="G169" s="70" t="n">
        <x:v>2</x:v>
      </x:c>
      <x:c r="H169" s="76" t="n">
        <x:v>16</x:v>
      </x:c>
      <x:c r="I169" s="76" t="n">
        <x:v>16</x:v>
      </x:c>
      <x:c r="J169" s="76" t="n">
        <x:v>27.83</x:v>
      </x:c>
      <x:c r="K169" s="79" t="n">
        <x:f>I169*J169</x:f>
        <x:v>445.28</x:v>
      </x:c>
      <x:c r="L169" s="94" t="n">
        <x:f>SUMIFS('门店日汇总'!$H$5:$H$60,'门店日汇总'!$A$5:$A$60,B169,'门店日汇总'!$C$5:$C$60,D169)</x:f>
        <x:v>9772.5</x:v>
      </x:c>
      <x:c r="M169" s="79" t="n">
        <x:f>IFERROR(L169/SUMIFS($I$5:$I$340,$B$5:$B$340,B169,$D$5:$D$340,D169),0)</x:f>
        <x:v>140.6115107913669</x:v>
      </x:c>
      <x:c r="N169" s="67" t="str">
        <x:v>备菜+午晚高峰</x:v>
      </x:c>
      <x:c r="O169" s="67" t="str"/>
    </x:row>
    <x:row r="170">
      <x:c r="A170" s="67" t="str">
        <x:v>SHIFT-00166</x:v>
      </x:c>
      <x:c r="B170" s="73" t="n">
        <x:v>46216.5</x:v>
      </x:c>
      <x:c r="C170" s="67" t="str">
        <x:v>周一</x:v>
      </x:c>
      <x:c r="D170" s="67" t="str">
        <x:v>S04</x:v>
      </x:c>
      <x:c r="E170" s="67" t="str">
        <x:v>金街美地店</x:v>
      </x:c>
      <x:c r="F170" s="67" t="str">
        <x:v>炒菜机操作员</x:v>
      </x:c>
      <x:c r="G170" s="70" t="n">
        <x:v>2</x:v>
      </x:c>
      <x:c r="H170" s="76" t="n">
        <x:v>16</x:v>
      </x:c>
      <x:c r="I170" s="76" t="n">
        <x:v>16.25</x:v>
      </x:c>
      <x:c r="J170" s="76" t="n">
        <x:v>28.83</x:v>
      </x:c>
      <x:c r="K170" s="79" t="n">
        <x:f>I170*J170</x:f>
        <x:v>468.48749999999995</x:v>
      </x:c>
      <x:c r="L170" s="94" t="n">
        <x:f>SUMIFS('门店日汇总'!$H$5:$H$60,'门店日汇总'!$A$5:$A$60,B170,'门店日汇总'!$C$5:$C$60,D170)</x:f>
        <x:v>9772.5</x:v>
      </x:c>
      <x:c r="M170" s="79" t="n">
        <x:f>IFERROR(L170/SUMIFS($I$5:$I$340,$B$5:$B$340,B170,$D$5:$D$340,D170),0)</x:f>
        <x:v>140.6115107913669</x:v>
      </x:c>
      <x:c r="N170" s="67" t="str">
        <x:v>午晚高峰</x:v>
      </x:c>
      <x:c r="O170" s="67" t="str"/>
    </x:row>
    <x:row r="171">
      <x:c r="A171" s="67" t="str">
        <x:v>SHIFT-00167</x:v>
      </x:c>
      <x:c r="B171" s="73" t="n">
        <x:v>46216.5</x:v>
      </x:c>
      <x:c r="C171" s="67" t="str">
        <x:v>周一</x:v>
      </x:c>
      <x:c r="D171" s="67" t="str">
        <x:v>S04</x:v>
      </x:c>
      <x:c r="E171" s="67" t="str">
        <x:v>金街美地店</x:v>
      </x:c>
      <x:c r="F171" s="67" t="str">
        <x:v>收银/前厅</x:v>
      </x:c>
      <x:c r="G171" s="70" t="n">
        <x:v>1</x:v>
      </x:c>
      <x:c r="H171" s="76" t="n">
        <x:v>8</x:v>
      </x:c>
      <x:c r="I171" s="76" t="n">
        <x:v>8.5</x:v>
      </x:c>
      <x:c r="J171" s="76" t="n">
        <x:v>25.84</x:v>
      </x:c>
      <x:c r="K171" s="79" t="n">
        <x:f>I171*J171</x:f>
        <x:v>219.64</x:v>
      </x:c>
      <x:c r="L171" s="94" t="n">
        <x:f>SUMIFS('门店日汇总'!$H$5:$H$60,'门店日汇总'!$A$5:$A$60,B171,'门店日汇总'!$C$5:$C$60,D171)</x:f>
        <x:v>9772.5</x:v>
      </x:c>
      <x:c r="M171" s="79" t="n">
        <x:f>IFERROR(L171/SUMIFS($I$5:$I$340,$B$5:$B$340,B171,$D$5:$D$340,D171),0)</x:f>
        <x:v>140.6115107913669</x:v>
      </x:c>
      <x:c r="N171" s="67" t="str">
        <x:v>全日</x:v>
      </x:c>
      <x:c r="O171" s="67" t="str"/>
    </x:row>
    <x:row r="172">
      <x:c r="A172" s="67" t="str">
        <x:v>SHIFT-00168</x:v>
      </x:c>
      <x:c r="B172" s="73" t="n">
        <x:v>46216.5</x:v>
      </x:c>
      <x:c r="C172" s="67" t="str">
        <x:v>周一</x:v>
      </x:c>
      <x:c r="D172" s="67" t="str">
        <x:v>S04</x:v>
      </x:c>
      <x:c r="E172" s="67" t="str">
        <x:v>金街美地店</x:v>
      </x:c>
      <x:c r="F172" s="67" t="str">
        <x:v>保洁/兼职</x:v>
      </x:c>
      <x:c r="G172" s="70" t="n">
        <x:v>1</x:v>
      </x:c>
      <x:c r="H172" s="76" t="n">
        <x:v>4</x:v>
      </x:c>
      <x:c r="I172" s="76" t="n">
        <x:v>3.5</x:v>
      </x:c>
      <x:c r="J172" s="76" t="n">
        <x:v>23.86</x:v>
      </x:c>
      <x:c r="K172" s="79" t="n">
        <x:f>I172*J172</x:f>
        <x:v>83.50999999999999</x:v>
      </x:c>
      <x:c r="L172" s="94" t="n">
        <x:f>SUMIFS('门店日汇总'!$H$5:$H$60,'门店日汇总'!$A$5:$A$60,B172,'门店日汇总'!$C$5:$C$60,D172)</x:f>
        <x:v>9772.5</x:v>
      </x:c>
      <x:c r="M172" s="79" t="n">
        <x:f>IFERROR(L172/SUMIFS($I$5:$I$340,$B$5:$B$340,B172,$D$5:$D$340,D172),0)</x:f>
        <x:v>140.6115107913669</x:v>
      </x:c>
      <x:c r="N172" s="67" t="str">
        <x:v>收市</x:v>
      </x:c>
      <x:c r="O172" s="67" t="str"/>
    </x:row>
    <x:row r="173">
      <x:c r="A173" s="67" t="str">
        <x:v>SHIFT-00169</x:v>
      </x:c>
      <x:c r="B173" s="73" t="n">
        <x:v>46210.5</x:v>
      </x:c>
      <x:c r="C173" s="67" t="str">
        <x:v>周二</x:v>
      </x:c>
      <x:c r="D173" s="67" t="str">
        <x:v>S05</x:v>
      </x:c>
      <x:c r="E173" s="67" t="str">
        <x:v>同顺街店</x:v>
      </x:c>
      <x:c r="F173" s="67" t="str">
        <x:v>店长/收货</x:v>
      </x:c>
      <x:c r="G173" s="70" t="n">
        <x:v>1</x:v>
      </x:c>
      <x:c r="H173" s="76" t="n">
        <x:v>10</x:v>
      </x:c>
      <x:c r="I173" s="76" t="n">
        <x:v>10</x:v>
      </x:c>
      <x:c r="J173" s="76" t="n">
        <x:v>34.41</x:v>
      </x:c>
      <x:c r="K173" s="79" t="n">
        <x:f>I173*J173</x:f>
        <x:v>344.09999999999997</x:v>
      </x:c>
      <x:c r="L173" s="94" t="n">
        <x:f>SUMIFS('门店日汇总'!$H$5:$H$60,'门店日汇总'!$A$5:$A$60,B173,'门店日汇总'!$C$5:$C$60,D173)</x:f>
        <x:v>8926.1</x:v>
      </x:c>
      <x:c r="M173" s="79" t="n">
        <x:f>IFERROR(L173/SUMIFS($I$5:$I$340,$B$5:$B$340,B173,$D$5:$D$340,D173),0)</x:f>
        <x:v>127.5157142857143</x:v>
      </x:c>
      <x:c r="N173" s="67" t="str">
        <x:v>开市+午晚高峰</x:v>
      </x:c>
      <x:c r="O173" s="67" t="str"/>
    </x:row>
    <x:row r="174">
      <x:c r="A174" s="67" t="str">
        <x:v>SHIFT-00170</x:v>
      </x:c>
      <x:c r="B174" s="73" t="n">
        <x:v>46210.5</x:v>
      </x:c>
      <x:c r="C174" s="67" t="str">
        <x:v>周二</x:v>
      </x:c>
      <x:c r="D174" s="67" t="str">
        <x:v>S05</x:v>
      </x:c>
      <x:c r="E174" s="67" t="str">
        <x:v>同顺街店</x:v>
      </x:c>
      <x:c r="F174" s="67" t="str">
        <x:v>服务员</x:v>
      </x:c>
      <x:c r="G174" s="70" t="n">
        <x:v>2</x:v>
      </x:c>
      <x:c r="H174" s="76" t="n">
        <x:v>16</x:v>
      </x:c>
      <x:c r="I174" s="76" t="n">
        <x:v>16.25</x:v>
      </x:c>
      <x:c r="J174" s="76" t="n">
        <x:v>26.31</x:v>
      </x:c>
      <x:c r="K174" s="79" t="n">
        <x:f>I174*J174</x:f>
        <x:v>427.53749999999997</x:v>
      </x:c>
      <x:c r="L174" s="94" t="n">
        <x:f>SUMIFS('门店日汇总'!$H$5:$H$60,'门店日汇总'!$A$5:$A$60,B174,'门店日汇总'!$C$5:$C$60,D174)</x:f>
        <x:v>8926.1</x:v>
      </x:c>
      <x:c r="M174" s="79" t="n">
        <x:f>IFERROR(L174/SUMIFS($I$5:$I$340,$B$5:$B$340,B174,$D$5:$D$340,D174),0)</x:f>
        <x:v>127.5157142857143</x:v>
      </x:c>
      <x:c r="N174" s="67" t="str">
        <x:v>午晚高峰</x:v>
      </x:c>
      <x:c r="O174" s="67" t="str"/>
    </x:row>
    <x:row r="175">
      <x:c r="A175" s="67" t="str">
        <x:v>SHIFT-00171</x:v>
      </x:c>
      <x:c r="B175" s="73" t="n">
        <x:v>46210.5</x:v>
      </x:c>
      <x:c r="C175" s="67" t="str">
        <x:v>周二</x:v>
      </x:c>
      <x:c r="D175" s="67" t="str">
        <x:v>S05</x:v>
      </x:c>
      <x:c r="E175" s="67" t="str">
        <x:v>同顺街店</x:v>
      </x:c>
      <x:c r="F175" s="67" t="str">
        <x:v>后厨小工</x:v>
      </x:c>
      <x:c r="G175" s="70" t="n">
        <x:v>2</x:v>
      </x:c>
      <x:c r="H175" s="76" t="n">
        <x:v>16</x:v>
      </x:c>
      <x:c r="I175" s="76" t="n">
        <x:v>16.5</x:v>
      </x:c>
      <x:c r="J175" s="76" t="n">
        <x:v>28.34</x:v>
      </x:c>
      <x:c r="K175" s="79" t="n">
        <x:f>I175*J175</x:f>
        <x:v>467.61</x:v>
      </x:c>
      <x:c r="L175" s="94" t="n">
        <x:f>SUMIFS('门店日汇总'!$H$5:$H$60,'门店日汇总'!$A$5:$A$60,B175,'门店日汇总'!$C$5:$C$60,D175)</x:f>
        <x:v>8926.1</x:v>
      </x:c>
      <x:c r="M175" s="79" t="n">
        <x:f>IFERROR(L175/SUMIFS($I$5:$I$340,$B$5:$B$340,B175,$D$5:$D$340,D175),0)</x:f>
        <x:v>127.5157142857143</x:v>
      </x:c>
      <x:c r="N175" s="67" t="str">
        <x:v>备菜+午晚高峰</x:v>
      </x:c>
      <x:c r="O175" s="67" t="str"/>
    </x:row>
    <x:row r="176">
      <x:c r="A176" s="67" t="str">
        <x:v>SHIFT-00172</x:v>
      </x:c>
      <x:c r="B176" s="73" t="n">
        <x:v>46210.5</x:v>
      </x:c>
      <x:c r="C176" s="67" t="str">
        <x:v>周二</x:v>
      </x:c>
      <x:c r="D176" s="67" t="str">
        <x:v>S05</x:v>
      </x:c>
      <x:c r="E176" s="67" t="str">
        <x:v>同顺街店</x:v>
      </x:c>
      <x:c r="F176" s="67" t="str">
        <x:v>炒菜机操作员</x:v>
      </x:c>
      <x:c r="G176" s="70" t="n">
        <x:v>2</x:v>
      </x:c>
      <x:c r="H176" s="76" t="n">
        <x:v>16</x:v>
      </x:c>
      <x:c r="I176" s="76" t="n">
        <x:v>15.5</x:v>
      </x:c>
      <x:c r="J176" s="76" t="n">
        <x:v>29.35</x:v>
      </x:c>
      <x:c r="K176" s="79" t="n">
        <x:f>I176*J176</x:f>
        <x:v>454.925</x:v>
      </x:c>
      <x:c r="L176" s="94" t="n">
        <x:f>SUMIFS('门店日汇总'!$H$5:$H$60,'门店日汇总'!$A$5:$A$60,B176,'门店日汇总'!$C$5:$C$60,D176)</x:f>
        <x:v>8926.1</x:v>
      </x:c>
      <x:c r="M176" s="79" t="n">
        <x:f>IFERROR(L176/SUMIFS($I$5:$I$340,$B$5:$B$340,B176,$D$5:$D$340,D176),0)</x:f>
        <x:v>127.5157142857143</x:v>
      </x:c>
      <x:c r="N176" s="67" t="str">
        <x:v>午晚高峰</x:v>
      </x:c>
      <x:c r="O176" s="67" t="str"/>
    </x:row>
    <x:row r="177">
      <x:c r="A177" s="67" t="str">
        <x:v>SHIFT-00173</x:v>
      </x:c>
      <x:c r="B177" s="73" t="n">
        <x:v>46210.5</x:v>
      </x:c>
      <x:c r="C177" s="67" t="str">
        <x:v>周二</x:v>
      </x:c>
      <x:c r="D177" s="67" t="str">
        <x:v>S05</x:v>
      </x:c>
      <x:c r="E177" s="67" t="str">
        <x:v>同顺街店</x:v>
      </x:c>
      <x:c r="F177" s="67" t="str">
        <x:v>收银/前厅</x:v>
      </x:c>
      <x:c r="G177" s="70" t="n">
        <x:v>1</x:v>
      </x:c>
      <x:c r="H177" s="76" t="n">
        <x:v>8</x:v>
      </x:c>
      <x:c r="I177" s="76" t="n">
        <x:v>7.75</x:v>
      </x:c>
      <x:c r="J177" s="76" t="n">
        <x:v>26.31</x:v>
      </x:c>
      <x:c r="K177" s="79" t="n">
        <x:f>I177*J177</x:f>
        <x:v>203.9025</x:v>
      </x:c>
      <x:c r="L177" s="94" t="n">
        <x:f>SUMIFS('门店日汇总'!$H$5:$H$60,'门店日汇总'!$A$5:$A$60,B177,'门店日汇总'!$C$5:$C$60,D177)</x:f>
        <x:v>8926.1</x:v>
      </x:c>
      <x:c r="M177" s="79" t="n">
        <x:f>IFERROR(L177/SUMIFS($I$5:$I$340,$B$5:$B$340,B177,$D$5:$D$340,D177),0)</x:f>
        <x:v>127.5157142857143</x:v>
      </x:c>
      <x:c r="N177" s="67" t="str">
        <x:v>全日</x:v>
      </x:c>
      <x:c r="O177" s="67" t="str"/>
    </x:row>
    <x:row r="178">
      <x:c r="A178" s="67" t="str">
        <x:v>SHIFT-00174</x:v>
      </x:c>
      <x:c r="B178" s="73" t="n">
        <x:v>46210.5</x:v>
      </x:c>
      <x:c r="C178" s="67" t="str">
        <x:v>周二</x:v>
      </x:c>
      <x:c r="D178" s="67" t="str">
        <x:v>S05</x:v>
      </x:c>
      <x:c r="E178" s="67" t="str">
        <x:v>同顺街店</x:v>
      </x:c>
      <x:c r="F178" s="67" t="str">
        <x:v>保洁/兼职</x:v>
      </x:c>
      <x:c r="G178" s="70" t="n">
        <x:v>1</x:v>
      </x:c>
      <x:c r="H178" s="76" t="n">
        <x:v>4</x:v>
      </x:c>
      <x:c r="I178" s="76" t="n">
        <x:v>4</x:v>
      </x:c>
      <x:c r="J178" s="76" t="n">
        <x:v>24.29</x:v>
      </x:c>
      <x:c r="K178" s="79" t="n">
        <x:f>I178*J178</x:f>
        <x:v>97.16</x:v>
      </x:c>
      <x:c r="L178" s="94" t="n">
        <x:f>SUMIFS('门店日汇总'!$H$5:$H$60,'门店日汇总'!$A$5:$A$60,B178,'门店日汇总'!$C$5:$C$60,D178)</x:f>
        <x:v>8926.1</x:v>
      </x:c>
      <x:c r="M178" s="79" t="n">
        <x:f>IFERROR(L178/SUMIFS($I$5:$I$340,$B$5:$B$340,B178,$D$5:$D$340,D178),0)</x:f>
        <x:v>127.5157142857143</x:v>
      </x:c>
      <x:c r="N178" s="67" t="str">
        <x:v>收市</x:v>
      </x:c>
      <x:c r="O178" s="67" t="str"/>
    </x:row>
    <x:row r="179">
      <x:c r="A179" s="67" t="str">
        <x:v>SHIFT-00175</x:v>
      </x:c>
      <x:c r="B179" s="73" t="n">
        <x:v>46211.5</x:v>
      </x:c>
      <x:c r="C179" s="67" t="str">
        <x:v>周三</x:v>
      </x:c>
      <x:c r="D179" s="67" t="str">
        <x:v>S05</x:v>
      </x:c>
      <x:c r="E179" s="67" t="str">
        <x:v>同顺街店</x:v>
      </x:c>
      <x:c r="F179" s="67" t="str">
        <x:v>店长/收货</x:v>
      </x:c>
      <x:c r="G179" s="70" t="n">
        <x:v>1</x:v>
      </x:c>
      <x:c r="H179" s="76" t="n">
        <x:v>10</x:v>
      </x:c>
      <x:c r="I179" s="76" t="n">
        <x:v>10.25</x:v>
      </x:c>
      <x:c r="J179" s="76" t="n">
        <x:v>34.41</x:v>
      </x:c>
      <x:c r="K179" s="79" t="n">
        <x:f>I179*J179</x:f>
        <x:v>352.7025</x:v>
      </x:c>
      <x:c r="L179" s="94" t="n">
        <x:f>SUMIFS('门店日汇总'!$H$5:$H$60,'门店日汇总'!$A$5:$A$60,B179,'门店日汇总'!$C$5:$C$60,D179)</x:f>
        <x:v>8678.1</x:v>
      </x:c>
      <x:c r="M179" s="79" t="n">
        <x:f>IFERROR(L179/SUMIFS($I$5:$I$340,$B$5:$B$340,B179,$D$5:$D$340,D179),0)</x:f>
        <x:v>123.53167259786477</x:v>
      </x:c>
      <x:c r="N179" s="67" t="str">
        <x:v>开市+午晚高峰</x:v>
      </x:c>
      <x:c r="O179" s="67" t="str"/>
    </x:row>
    <x:row r="180">
      <x:c r="A180" s="67" t="str">
        <x:v>SHIFT-00176</x:v>
      </x:c>
      <x:c r="B180" s="73" t="n">
        <x:v>46211.5</x:v>
      </x:c>
      <x:c r="C180" s="67" t="str">
        <x:v>周三</x:v>
      </x:c>
      <x:c r="D180" s="67" t="str">
        <x:v>S05</x:v>
      </x:c>
      <x:c r="E180" s="67" t="str">
        <x:v>同顺街店</x:v>
      </x:c>
      <x:c r="F180" s="67" t="str">
        <x:v>服务员</x:v>
      </x:c>
      <x:c r="G180" s="70" t="n">
        <x:v>2</x:v>
      </x:c>
      <x:c r="H180" s="76" t="n">
        <x:v>16</x:v>
      </x:c>
      <x:c r="I180" s="76" t="n">
        <x:v>16.5</x:v>
      </x:c>
      <x:c r="J180" s="76" t="n">
        <x:v>26.31</x:v>
      </x:c>
      <x:c r="K180" s="79" t="n">
        <x:f>I180*J180</x:f>
        <x:v>434.11499999999995</x:v>
      </x:c>
      <x:c r="L180" s="94" t="n">
        <x:f>SUMIFS('门店日汇总'!$H$5:$H$60,'门店日汇总'!$A$5:$A$60,B180,'门店日汇总'!$C$5:$C$60,D180)</x:f>
        <x:v>8678.1</x:v>
      </x:c>
      <x:c r="M180" s="79" t="n">
        <x:f>IFERROR(L180/SUMIFS($I$5:$I$340,$B$5:$B$340,B180,$D$5:$D$340,D180),0)</x:f>
        <x:v>123.53167259786477</x:v>
      </x:c>
      <x:c r="N180" s="67" t="str">
        <x:v>午晚高峰</x:v>
      </x:c>
      <x:c r="O180" s="67" t="str"/>
    </x:row>
    <x:row r="181">
      <x:c r="A181" s="67" t="str">
        <x:v>SHIFT-00177</x:v>
      </x:c>
      <x:c r="B181" s="73" t="n">
        <x:v>46211.5</x:v>
      </x:c>
      <x:c r="C181" s="67" t="str">
        <x:v>周三</x:v>
      </x:c>
      <x:c r="D181" s="67" t="str">
        <x:v>S05</x:v>
      </x:c>
      <x:c r="E181" s="67" t="str">
        <x:v>同顺街店</x:v>
      </x:c>
      <x:c r="F181" s="67" t="str">
        <x:v>后厨小工</x:v>
      </x:c>
      <x:c r="G181" s="70" t="n">
        <x:v>2</x:v>
      </x:c>
      <x:c r="H181" s="76" t="n">
        <x:v>16</x:v>
      </x:c>
      <x:c r="I181" s="76" t="n">
        <x:v>15.5</x:v>
      </x:c>
      <x:c r="J181" s="76" t="n">
        <x:v>28.34</x:v>
      </x:c>
      <x:c r="K181" s="79" t="n">
        <x:f>I181*J181</x:f>
        <x:v>439.27</x:v>
      </x:c>
      <x:c r="L181" s="94" t="n">
        <x:f>SUMIFS('门店日汇总'!$H$5:$H$60,'门店日汇总'!$A$5:$A$60,B181,'门店日汇总'!$C$5:$C$60,D181)</x:f>
        <x:v>8678.1</x:v>
      </x:c>
      <x:c r="M181" s="79" t="n">
        <x:f>IFERROR(L181/SUMIFS($I$5:$I$340,$B$5:$B$340,B181,$D$5:$D$340,D181),0)</x:f>
        <x:v>123.53167259786477</x:v>
      </x:c>
      <x:c r="N181" s="67" t="str">
        <x:v>备菜+午晚高峰</x:v>
      </x:c>
      <x:c r="O181" s="67" t="str"/>
    </x:row>
    <x:row r="182">
      <x:c r="A182" s="67" t="str">
        <x:v>SHIFT-00178</x:v>
      </x:c>
      <x:c r="B182" s="73" t="n">
        <x:v>46211.5</x:v>
      </x:c>
      <x:c r="C182" s="67" t="str">
        <x:v>周三</x:v>
      </x:c>
      <x:c r="D182" s="67" t="str">
        <x:v>S05</x:v>
      </x:c>
      <x:c r="E182" s="67" t="str">
        <x:v>同顺街店</x:v>
      </x:c>
      <x:c r="F182" s="67" t="str">
        <x:v>炒菜机操作员</x:v>
      </x:c>
      <x:c r="G182" s="70" t="n">
        <x:v>2</x:v>
      </x:c>
      <x:c r="H182" s="76" t="n">
        <x:v>16</x:v>
      </x:c>
      <x:c r="I182" s="76" t="n">
        <x:v>15.75</x:v>
      </x:c>
      <x:c r="J182" s="76" t="n">
        <x:v>29.35</x:v>
      </x:c>
      <x:c r="K182" s="79" t="n">
        <x:f>I182*J182</x:f>
        <x:v>462.26250000000005</x:v>
      </x:c>
      <x:c r="L182" s="94" t="n">
        <x:f>SUMIFS('门店日汇总'!$H$5:$H$60,'门店日汇总'!$A$5:$A$60,B182,'门店日汇总'!$C$5:$C$60,D182)</x:f>
        <x:v>8678.1</x:v>
      </x:c>
      <x:c r="M182" s="79" t="n">
        <x:f>IFERROR(L182/SUMIFS($I$5:$I$340,$B$5:$B$340,B182,$D$5:$D$340,D182),0)</x:f>
        <x:v>123.53167259786477</x:v>
      </x:c>
      <x:c r="N182" s="67" t="str">
        <x:v>午晚高峰</x:v>
      </x:c>
      <x:c r="O182" s="67" t="str"/>
    </x:row>
    <x:row r="183">
      <x:c r="A183" s="67" t="str">
        <x:v>SHIFT-00179</x:v>
      </x:c>
      <x:c r="B183" s="73" t="n">
        <x:v>46211.5</x:v>
      </x:c>
      <x:c r="C183" s="67" t="str">
        <x:v>周三</x:v>
      </x:c>
      <x:c r="D183" s="67" t="str">
        <x:v>S05</x:v>
      </x:c>
      <x:c r="E183" s="67" t="str">
        <x:v>同顺街店</x:v>
      </x:c>
      <x:c r="F183" s="67" t="str">
        <x:v>收银/前厅</x:v>
      </x:c>
      <x:c r="G183" s="70" t="n">
        <x:v>1</x:v>
      </x:c>
      <x:c r="H183" s="76" t="n">
        <x:v>8</x:v>
      </x:c>
      <x:c r="I183" s="76" t="n">
        <x:v>8</x:v>
      </x:c>
      <x:c r="J183" s="76" t="n">
        <x:v>26.31</x:v>
      </x:c>
      <x:c r="K183" s="79" t="n">
        <x:f>I183*J183</x:f>
        <x:v>210.48</x:v>
      </x:c>
      <x:c r="L183" s="94" t="n">
        <x:f>SUMIFS('门店日汇总'!$H$5:$H$60,'门店日汇总'!$A$5:$A$60,B183,'门店日汇总'!$C$5:$C$60,D183)</x:f>
        <x:v>8678.1</x:v>
      </x:c>
      <x:c r="M183" s="79" t="n">
        <x:f>IFERROR(L183/SUMIFS($I$5:$I$340,$B$5:$B$340,B183,$D$5:$D$340,D183),0)</x:f>
        <x:v>123.53167259786477</x:v>
      </x:c>
      <x:c r="N183" s="67" t="str">
        <x:v>全日</x:v>
      </x:c>
      <x:c r="O183" s="67" t="str"/>
    </x:row>
    <x:row r="184">
      <x:c r="A184" s="67" t="str">
        <x:v>SHIFT-00180</x:v>
      </x:c>
      <x:c r="B184" s="73" t="n">
        <x:v>46211.5</x:v>
      </x:c>
      <x:c r="C184" s="67" t="str">
        <x:v>周三</x:v>
      </x:c>
      <x:c r="D184" s="67" t="str">
        <x:v>S05</x:v>
      </x:c>
      <x:c r="E184" s="67" t="str">
        <x:v>同顺街店</x:v>
      </x:c>
      <x:c r="F184" s="67" t="str">
        <x:v>保洁/兼职</x:v>
      </x:c>
      <x:c r="G184" s="70" t="n">
        <x:v>1</x:v>
      </x:c>
      <x:c r="H184" s="76" t="n">
        <x:v>4</x:v>
      </x:c>
      <x:c r="I184" s="76" t="n">
        <x:v>4.25</x:v>
      </x:c>
      <x:c r="J184" s="76" t="n">
        <x:v>24.29</x:v>
      </x:c>
      <x:c r="K184" s="79" t="n">
        <x:f>I184*J184</x:f>
        <x:v>103.2325</x:v>
      </x:c>
      <x:c r="L184" s="94" t="n">
        <x:f>SUMIFS('门店日汇总'!$H$5:$H$60,'门店日汇总'!$A$5:$A$60,B184,'门店日汇总'!$C$5:$C$60,D184)</x:f>
        <x:v>8678.1</x:v>
      </x:c>
      <x:c r="M184" s="79" t="n">
        <x:f>IFERROR(L184/SUMIFS($I$5:$I$340,$B$5:$B$340,B184,$D$5:$D$340,D184),0)</x:f>
        <x:v>123.53167259786477</x:v>
      </x:c>
      <x:c r="N184" s="67" t="str">
        <x:v>收市</x:v>
      </x:c>
      <x:c r="O184" s="67" t="str"/>
    </x:row>
    <x:row r="185">
      <x:c r="A185" s="67" t="str">
        <x:v>SHIFT-00181</x:v>
      </x:c>
      <x:c r="B185" s="73" t="n">
        <x:v>46212.5</x:v>
      </x:c>
      <x:c r="C185" s="67" t="str">
        <x:v>周四</x:v>
      </x:c>
      <x:c r="D185" s="67" t="str">
        <x:v>S05</x:v>
      </x:c>
      <x:c r="E185" s="67" t="str">
        <x:v>同顺街店</x:v>
      </x:c>
      <x:c r="F185" s="67" t="str">
        <x:v>店长/收货</x:v>
      </x:c>
      <x:c r="G185" s="70" t="n">
        <x:v>1</x:v>
      </x:c>
      <x:c r="H185" s="76" t="n">
        <x:v>10</x:v>
      </x:c>
      <x:c r="I185" s="76" t="n">
        <x:v>10.5</x:v>
      </x:c>
      <x:c r="J185" s="76" t="n">
        <x:v>34.41</x:v>
      </x:c>
      <x:c r="K185" s="79" t="n">
        <x:f>I185*J185</x:f>
        <x:v>361.30499999999995</x:v>
      </x:c>
      <x:c r="L185" s="94" t="n">
        <x:f>SUMIFS('门店日汇总'!$H$5:$H$60,'门店日汇总'!$A$5:$A$60,B185,'门店日汇总'!$C$5:$C$60,D185)</x:f>
        <x:v>8503.2</x:v>
      </x:c>
      <x:c r="M185" s="79" t="n">
        <x:f>IFERROR(L185/SUMIFS($I$5:$I$340,$B$5:$B$340,B185,$D$5:$D$340,D185),0)</x:f>
        <x:v>120.61276595744683</x:v>
      </x:c>
      <x:c r="N185" s="67" t="str">
        <x:v>开市+午晚高峰</x:v>
      </x:c>
      <x:c r="O185" s="67" t="str"/>
    </x:row>
    <x:row r="186">
      <x:c r="A186" s="67" t="str">
        <x:v>SHIFT-00182</x:v>
      </x:c>
      <x:c r="B186" s="73" t="n">
        <x:v>46212.5</x:v>
      </x:c>
      <x:c r="C186" s="67" t="str">
        <x:v>周四</x:v>
      </x:c>
      <x:c r="D186" s="67" t="str">
        <x:v>S05</x:v>
      </x:c>
      <x:c r="E186" s="67" t="str">
        <x:v>同顺街店</x:v>
      </x:c>
      <x:c r="F186" s="67" t="str">
        <x:v>服务员</x:v>
      </x:c>
      <x:c r="G186" s="70" t="n">
        <x:v>2</x:v>
      </x:c>
      <x:c r="H186" s="76" t="n">
        <x:v>16</x:v>
      </x:c>
      <x:c r="I186" s="76" t="n">
        <x:v>15.5</x:v>
      </x:c>
      <x:c r="J186" s="76" t="n">
        <x:v>26.31</x:v>
      </x:c>
      <x:c r="K186" s="79" t="n">
        <x:f>I186*J186</x:f>
        <x:v>407.805</x:v>
      </x:c>
      <x:c r="L186" s="94" t="n">
        <x:f>SUMIFS('门店日汇总'!$H$5:$H$60,'门店日汇总'!$A$5:$A$60,B186,'门店日汇总'!$C$5:$C$60,D186)</x:f>
        <x:v>8503.2</x:v>
      </x:c>
      <x:c r="M186" s="79" t="n">
        <x:f>IFERROR(L186/SUMIFS($I$5:$I$340,$B$5:$B$340,B186,$D$5:$D$340,D186),0)</x:f>
        <x:v>120.61276595744683</x:v>
      </x:c>
      <x:c r="N186" s="67" t="str">
        <x:v>午晚高峰</x:v>
      </x:c>
      <x:c r="O186" s="67" t="str"/>
    </x:row>
    <x:row r="187">
      <x:c r="A187" s="67" t="str">
        <x:v>SHIFT-00183</x:v>
      </x:c>
      <x:c r="B187" s="73" t="n">
        <x:v>46212.5</x:v>
      </x:c>
      <x:c r="C187" s="67" t="str">
        <x:v>周四</x:v>
      </x:c>
      <x:c r="D187" s="67" t="str">
        <x:v>S05</x:v>
      </x:c>
      <x:c r="E187" s="67" t="str">
        <x:v>同顺街店</x:v>
      </x:c>
      <x:c r="F187" s="67" t="str">
        <x:v>后厨小工</x:v>
      </x:c>
      <x:c r="G187" s="70" t="n">
        <x:v>2</x:v>
      </x:c>
      <x:c r="H187" s="76" t="n">
        <x:v>16</x:v>
      </x:c>
      <x:c r="I187" s="76" t="n">
        <x:v>15.75</x:v>
      </x:c>
      <x:c r="J187" s="76" t="n">
        <x:v>28.34</x:v>
      </x:c>
      <x:c r="K187" s="79" t="n">
        <x:f>I187*J187</x:f>
        <x:v>446.355</x:v>
      </x:c>
      <x:c r="L187" s="94" t="n">
        <x:f>SUMIFS('门店日汇总'!$H$5:$H$60,'门店日汇总'!$A$5:$A$60,B187,'门店日汇总'!$C$5:$C$60,D187)</x:f>
        <x:v>8503.2</x:v>
      </x:c>
      <x:c r="M187" s="79" t="n">
        <x:f>IFERROR(L187/SUMIFS($I$5:$I$340,$B$5:$B$340,B187,$D$5:$D$340,D187),0)</x:f>
        <x:v>120.61276595744683</x:v>
      </x:c>
      <x:c r="N187" s="67" t="str">
        <x:v>备菜+午晚高峰</x:v>
      </x:c>
      <x:c r="O187" s="67" t="str"/>
    </x:row>
    <x:row r="188">
      <x:c r="A188" s="67" t="str">
        <x:v>SHIFT-00184</x:v>
      </x:c>
      <x:c r="B188" s="73" t="n">
        <x:v>46212.5</x:v>
      </x:c>
      <x:c r="C188" s="67" t="str">
        <x:v>周四</x:v>
      </x:c>
      <x:c r="D188" s="67" t="str">
        <x:v>S05</x:v>
      </x:c>
      <x:c r="E188" s="67" t="str">
        <x:v>同顺街店</x:v>
      </x:c>
      <x:c r="F188" s="67" t="str">
        <x:v>炒菜机操作员</x:v>
      </x:c>
      <x:c r="G188" s="70" t="n">
        <x:v>2</x:v>
      </x:c>
      <x:c r="H188" s="76" t="n">
        <x:v>16</x:v>
      </x:c>
      <x:c r="I188" s="76" t="n">
        <x:v>16</x:v>
      </x:c>
      <x:c r="J188" s="76" t="n">
        <x:v>29.35</x:v>
      </x:c>
      <x:c r="K188" s="79" t="n">
        <x:f>I188*J188</x:f>
        <x:v>469.6</x:v>
      </x:c>
      <x:c r="L188" s="94" t="n">
        <x:f>SUMIFS('门店日汇总'!$H$5:$H$60,'门店日汇总'!$A$5:$A$60,B188,'门店日汇总'!$C$5:$C$60,D188)</x:f>
        <x:v>8503.2</x:v>
      </x:c>
      <x:c r="M188" s="79" t="n">
        <x:f>IFERROR(L188/SUMIFS($I$5:$I$340,$B$5:$B$340,B188,$D$5:$D$340,D188),0)</x:f>
        <x:v>120.61276595744683</x:v>
      </x:c>
      <x:c r="N188" s="67" t="str">
        <x:v>午晚高峰</x:v>
      </x:c>
      <x:c r="O188" s="67" t="str"/>
    </x:row>
    <x:row r="189">
      <x:c r="A189" s="67" t="str">
        <x:v>SHIFT-00185</x:v>
      </x:c>
      <x:c r="B189" s="73" t="n">
        <x:v>46212.5</x:v>
      </x:c>
      <x:c r="C189" s="67" t="str">
        <x:v>周四</x:v>
      </x:c>
      <x:c r="D189" s="67" t="str">
        <x:v>S05</x:v>
      </x:c>
      <x:c r="E189" s="67" t="str">
        <x:v>同顺街店</x:v>
      </x:c>
      <x:c r="F189" s="67" t="str">
        <x:v>收银/前厅</x:v>
      </x:c>
      <x:c r="G189" s="70" t="n">
        <x:v>1</x:v>
      </x:c>
      <x:c r="H189" s="76" t="n">
        <x:v>8</x:v>
      </x:c>
      <x:c r="I189" s="76" t="n">
        <x:v>8.25</x:v>
      </x:c>
      <x:c r="J189" s="76" t="n">
        <x:v>26.31</x:v>
      </x:c>
      <x:c r="K189" s="79" t="n">
        <x:f>I189*J189</x:f>
        <x:v>217.05749999999998</x:v>
      </x:c>
      <x:c r="L189" s="94" t="n">
        <x:f>SUMIFS('门店日汇总'!$H$5:$H$60,'门店日汇总'!$A$5:$A$60,B189,'门店日汇总'!$C$5:$C$60,D189)</x:f>
        <x:v>8503.2</x:v>
      </x:c>
      <x:c r="M189" s="79" t="n">
        <x:f>IFERROR(L189/SUMIFS($I$5:$I$340,$B$5:$B$340,B189,$D$5:$D$340,D189),0)</x:f>
        <x:v>120.61276595744683</x:v>
      </x:c>
      <x:c r="N189" s="67" t="str">
        <x:v>全日</x:v>
      </x:c>
      <x:c r="O189" s="67" t="str"/>
    </x:row>
    <x:row r="190">
      <x:c r="A190" s="67" t="str">
        <x:v>SHIFT-00186</x:v>
      </x:c>
      <x:c r="B190" s="73" t="n">
        <x:v>46212.5</x:v>
      </x:c>
      <x:c r="C190" s="67" t="str">
        <x:v>周四</x:v>
      </x:c>
      <x:c r="D190" s="67" t="str">
        <x:v>S05</x:v>
      </x:c>
      <x:c r="E190" s="67" t="str">
        <x:v>同顺街店</x:v>
      </x:c>
      <x:c r="F190" s="67" t="str">
        <x:v>保洁/兼职</x:v>
      </x:c>
      <x:c r="G190" s="70" t="n">
        <x:v>1</x:v>
      </x:c>
      <x:c r="H190" s="76" t="n">
        <x:v>4</x:v>
      </x:c>
      <x:c r="I190" s="76" t="n">
        <x:v>4.5</x:v>
      </x:c>
      <x:c r="J190" s="76" t="n">
        <x:v>24.29</x:v>
      </x:c>
      <x:c r="K190" s="79" t="n">
        <x:f>I190*J190</x:f>
        <x:v>109.30499999999999</x:v>
      </x:c>
      <x:c r="L190" s="94" t="n">
        <x:f>SUMIFS('门店日汇总'!$H$5:$H$60,'门店日汇总'!$A$5:$A$60,B190,'门店日汇总'!$C$5:$C$60,D190)</x:f>
        <x:v>8503.2</x:v>
      </x:c>
      <x:c r="M190" s="79" t="n">
        <x:f>IFERROR(L190/SUMIFS($I$5:$I$340,$B$5:$B$340,B190,$D$5:$D$340,D190),0)</x:f>
        <x:v>120.61276595744683</x:v>
      </x:c>
      <x:c r="N190" s="67" t="str">
        <x:v>收市</x:v>
      </x:c>
      <x:c r="O190" s="67" t="str"/>
    </x:row>
    <x:row r="191">
      <x:c r="A191" s="67" t="str">
        <x:v>SHIFT-00187</x:v>
      </x:c>
      <x:c r="B191" s="73" t="n">
        <x:v>46213.5</x:v>
      </x:c>
      <x:c r="C191" s="67" t="str">
        <x:v>周五</x:v>
      </x:c>
      <x:c r="D191" s="67" t="str">
        <x:v>S05</x:v>
      </x:c>
      <x:c r="E191" s="67" t="str">
        <x:v>同顺街店</x:v>
      </x:c>
      <x:c r="F191" s="67" t="str">
        <x:v>店长/收货</x:v>
      </x:c>
      <x:c r="G191" s="70" t="n">
        <x:v>1</x:v>
      </x:c>
      <x:c r="H191" s="76" t="n">
        <x:v>10</x:v>
      </x:c>
      <x:c r="I191" s="76" t="n">
        <x:v>9.5</x:v>
      </x:c>
      <x:c r="J191" s="76" t="n">
        <x:v>34.41</x:v>
      </x:c>
      <x:c r="K191" s="79" t="n">
        <x:f>I191*J191</x:f>
        <x:v>326.895</x:v>
      </x:c>
      <x:c r="L191" s="94" t="n">
        <x:f>SUMIFS('门店日汇总'!$H$5:$H$60,'门店日汇总'!$A$5:$A$60,B191,'门店日汇总'!$C$5:$C$60,D191)</x:f>
        <x:v>8841.9</x:v>
      </x:c>
      <x:c r="M191" s="79" t="n">
        <x:f>IFERROR(L191/SUMIFS($I$5:$I$340,$B$5:$B$340,B191,$D$5:$D$340,D191),0)</x:f>
        <x:v>127.22158273381295</x:v>
      </x:c>
      <x:c r="N191" s="67" t="str">
        <x:v>开市+午晚高峰</x:v>
      </x:c>
      <x:c r="O191" s="67" t="str"/>
    </x:row>
    <x:row r="192">
      <x:c r="A192" s="67" t="str">
        <x:v>SHIFT-00188</x:v>
      </x:c>
      <x:c r="B192" s="73" t="n">
        <x:v>46213.5</x:v>
      </x:c>
      <x:c r="C192" s="67" t="str">
        <x:v>周五</x:v>
      </x:c>
      <x:c r="D192" s="67" t="str">
        <x:v>S05</x:v>
      </x:c>
      <x:c r="E192" s="67" t="str">
        <x:v>同顺街店</x:v>
      </x:c>
      <x:c r="F192" s="67" t="str">
        <x:v>服务员</x:v>
      </x:c>
      <x:c r="G192" s="70" t="n">
        <x:v>2</x:v>
      </x:c>
      <x:c r="H192" s="76" t="n">
        <x:v>16</x:v>
      </x:c>
      <x:c r="I192" s="76" t="n">
        <x:v>15.75</x:v>
      </x:c>
      <x:c r="J192" s="76" t="n">
        <x:v>26.31</x:v>
      </x:c>
      <x:c r="K192" s="79" t="n">
        <x:f>I192*J192</x:f>
        <x:v>414.3825</x:v>
      </x:c>
      <x:c r="L192" s="94" t="n">
        <x:f>SUMIFS('门店日汇总'!$H$5:$H$60,'门店日汇总'!$A$5:$A$60,B192,'门店日汇总'!$C$5:$C$60,D192)</x:f>
        <x:v>8841.9</x:v>
      </x:c>
      <x:c r="M192" s="79" t="n">
        <x:f>IFERROR(L192/SUMIFS($I$5:$I$340,$B$5:$B$340,B192,$D$5:$D$340,D192),0)</x:f>
        <x:v>127.22158273381295</x:v>
      </x:c>
      <x:c r="N192" s="67" t="str">
        <x:v>午晚高峰</x:v>
      </x:c>
      <x:c r="O192" s="67" t="str"/>
    </x:row>
    <x:row r="193">
      <x:c r="A193" s="67" t="str">
        <x:v>SHIFT-00189</x:v>
      </x:c>
      <x:c r="B193" s="73" t="n">
        <x:v>46213.5</x:v>
      </x:c>
      <x:c r="C193" s="67" t="str">
        <x:v>周五</x:v>
      </x:c>
      <x:c r="D193" s="67" t="str">
        <x:v>S05</x:v>
      </x:c>
      <x:c r="E193" s="67" t="str">
        <x:v>同顺街店</x:v>
      </x:c>
      <x:c r="F193" s="67" t="str">
        <x:v>后厨小工</x:v>
      </x:c>
      <x:c r="G193" s="70" t="n">
        <x:v>2</x:v>
      </x:c>
      <x:c r="H193" s="76" t="n">
        <x:v>16</x:v>
      </x:c>
      <x:c r="I193" s="76" t="n">
        <x:v>16</x:v>
      </x:c>
      <x:c r="J193" s="76" t="n">
        <x:v>28.34</x:v>
      </x:c>
      <x:c r="K193" s="79" t="n">
        <x:f>I193*J193</x:f>
        <x:v>453.44</x:v>
      </x:c>
      <x:c r="L193" s="94" t="n">
        <x:f>SUMIFS('门店日汇总'!$H$5:$H$60,'门店日汇总'!$A$5:$A$60,B193,'门店日汇总'!$C$5:$C$60,D193)</x:f>
        <x:v>8841.9</x:v>
      </x:c>
      <x:c r="M193" s="79" t="n">
        <x:f>IFERROR(L193/SUMIFS($I$5:$I$340,$B$5:$B$340,B193,$D$5:$D$340,D193),0)</x:f>
        <x:v>127.22158273381295</x:v>
      </x:c>
      <x:c r="N193" s="67" t="str">
        <x:v>备菜+午晚高峰</x:v>
      </x:c>
      <x:c r="O193" s="67" t="str"/>
    </x:row>
    <x:row r="194">
      <x:c r="A194" s="67" t="str">
        <x:v>SHIFT-00190</x:v>
      </x:c>
      <x:c r="B194" s="73" t="n">
        <x:v>46213.5</x:v>
      </x:c>
      <x:c r="C194" s="67" t="str">
        <x:v>周五</x:v>
      </x:c>
      <x:c r="D194" s="67" t="str">
        <x:v>S05</x:v>
      </x:c>
      <x:c r="E194" s="67" t="str">
        <x:v>同顺街店</x:v>
      </x:c>
      <x:c r="F194" s="67" t="str">
        <x:v>炒菜机操作员</x:v>
      </x:c>
      <x:c r="G194" s="70" t="n">
        <x:v>2</x:v>
      </x:c>
      <x:c r="H194" s="76" t="n">
        <x:v>16</x:v>
      </x:c>
      <x:c r="I194" s="76" t="n">
        <x:v>16.25</x:v>
      </x:c>
      <x:c r="J194" s="76" t="n">
        <x:v>29.35</x:v>
      </x:c>
      <x:c r="K194" s="79" t="n">
        <x:f>I194*J194</x:f>
        <x:v>476.9375</x:v>
      </x:c>
      <x:c r="L194" s="94" t="n">
        <x:f>SUMIFS('门店日汇总'!$H$5:$H$60,'门店日汇总'!$A$5:$A$60,B194,'门店日汇总'!$C$5:$C$60,D194)</x:f>
        <x:v>8841.9</x:v>
      </x:c>
      <x:c r="M194" s="79" t="n">
        <x:f>IFERROR(L194/SUMIFS($I$5:$I$340,$B$5:$B$340,B194,$D$5:$D$340,D194),0)</x:f>
        <x:v>127.22158273381295</x:v>
      </x:c>
      <x:c r="N194" s="67" t="str">
        <x:v>午晚高峰</x:v>
      </x:c>
      <x:c r="O194" s="67" t="str"/>
    </x:row>
    <x:row r="195">
      <x:c r="A195" s="67" t="str">
        <x:v>SHIFT-00191</x:v>
      </x:c>
      <x:c r="B195" s="73" t="n">
        <x:v>46213.5</x:v>
      </x:c>
      <x:c r="C195" s="67" t="str">
        <x:v>周五</x:v>
      </x:c>
      <x:c r="D195" s="67" t="str">
        <x:v>S05</x:v>
      </x:c>
      <x:c r="E195" s="67" t="str">
        <x:v>同顺街店</x:v>
      </x:c>
      <x:c r="F195" s="67" t="str">
        <x:v>收银/前厅</x:v>
      </x:c>
      <x:c r="G195" s="70" t="n">
        <x:v>1</x:v>
      </x:c>
      <x:c r="H195" s="76" t="n">
        <x:v>8</x:v>
      </x:c>
      <x:c r="I195" s="76" t="n">
        <x:v>8.5</x:v>
      </x:c>
      <x:c r="J195" s="76" t="n">
        <x:v>26.31</x:v>
      </x:c>
      <x:c r="K195" s="79" t="n">
        <x:f>I195*J195</x:f>
        <x:v>223.635</x:v>
      </x:c>
      <x:c r="L195" s="94" t="n">
        <x:f>SUMIFS('门店日汇总'!$H$5:$H$60,'门店日汇总'!$A$5:$A$60,B195,'门店日汇总'!$C$5:$C$60,D195)</x:f>
        <x:v>8841.9</x:v>
      </x:c>
      <x:c r="M195" s="79" t="n">
        <x:f>IFERROR(L195/SUMIFS($I$5:$I$340,$B$5:$B$340,B195,$D$5:$D$340,D195),0)</x:f>
        <x:v>127.22158273381295</x:v>
      </x:c>
      <x:c r="N195" s="67" t="str">
        <x:v>全日</x:v>
      </x:c>
      <x:c r="O195" s="67" t="str"/>
    </x:row>
    <x:row r="196">
      <x:c r="A196" s="67" t="str">
        <x:v>SHIFT-00192</x:v>
      </x:c>
      <x:c r="B196" s="73" t="n">
        <x:v>46213.5</x:v>
      </x:c>
      <x:c r="C196" s="67" t="str">
        <x:v>周五</x:v>
      </x:c>
      <x:c r="D196" s="67" t="str">
        <x:v>S05</x:v>
      </x:c>
      <x:c r="E196" s="67" t="str">
        <x:v>同顺街店</x:v>
      </x:c>
      <x:c r="F196" s="67" t="str">
        <x:v>保洁/兼职</x:v>
      </x:c>
      <x:c r="G196" s="70" t="n">
        <x:v>1</x:v>
      </x:c>
      <x:c r="H196" s="76" t="n">
        <x:v>4</x:v>
      </x:c>
      <x:c r="I196" s="76" t="n">
        <x:v>3.5</x:v>
      </x:c>
      <x:c r="J196" s="76" t="n">
        <x:v>24.29</x:v>
      </x:c>
      <x:c r="K196" s="79" t="n">
        <x:f>I196*J196</x:f>
        <x:v>85.015</x:v>
      </x:c>
      <x:c r="L196" s="94" t="n">
        <x:f>SUMIFS('门店日汇总'!$H$5:$H$60,'门店日汇总'!$A$5:$A$60,B196,'门店日汇总'!$C$5:$C$60,D196)</x:f>
        <x:v>8841.9</x:v>
      </x:c>
      <x:c r="M196" s="79" t="n">
        <x:f>IFERROR(L196/SUMIFS($I$5:$I$340,$B$5:$B$340,B196,$D$5:$D$340,D196),0)</x:f>
        <x:v>127.22158273381295</x:v>
      </x:c>
      <x:c r="N196" s="67" t="str">
        <x:v>收市</x:v>
      </x:c>
      <x:c r="O196" s="67" t="str"/>
    </x:row>
    <x:row r="197">
      <x:c r="A197" s="67" t="str">
        <x:v>SHIFT-00193</x:v>
      </x:c>
      <x:c r="B197" s="73" t="n">
        <x:v>46214.5</x:v>
      </x:c>
      <x:c r="C197" s="67" t="str">
        <x:v>周六</x:v>
      </x:c>
      <x:c r="D197" s="67" t="str">
        <x:v>S05</x:v>
      </x:c>
      <x:c r="E197" s="67" t="str">
        <x:v>同顺街店</x:v>
      </x:c>
      <x:c r="F197" s="67" t="str">
        <x:v>店长/收货</x:v>
      </x:c>
      <x:c r="G197" s="70" t="n">
        <x:v>1</x:v>
      </x:c>
      <x:c r="H197" s="76" t="n">
        <x:v>8</x:v>
      </x:c>
      <x:c r="I197" s="76" t="n">
        <x:v>7.75</x:v>
      </x:c>
      <x:c r="J197" s="76" t="n">
        <x:v>34.41</x:v>
      </x:c>
      <x:c r="K197" s="79" t="n">
        <x:f>I197*J197</x:f>
        <x:v>266.67749999999995</x:v>
      </x:c>
      <x:c r="L197" s="94" t="n">
        <x:f>SUMIFS('门店日汇总'!$H$5:$H$60,'门店日汇总'!$A$5:$A$60,B197,'门店日汇总'!$C$5:$C$60,D197)</x:f>
        <x:v>6780.7</x:v>
      </x:c>
      <x:c r="M197" s="79" t="n">
        <x:f>IFERROR(L197/SUMIFS($I$5:$I$340,$B$5:$B$340,B197,$D$5:$D$340,D197),0)</x:f>
        <x:v>109.80890688259109</x:v>
      </x:c>
      <x:c r="N197" s="67" t="str">
        <x:v>开市+午晚高峰</x:v>
      </x:c>
      <x:c r="O197" s="67" t="str"/>
    </x:row>
    <x:row r="198">
      <x:c r="A198" s="67" t="str">
        <x:v>SHIFT-00194</x:v>
      </x:c>
      <x:c r="B198" s="73" t="n">
        <x:v>46214.5</x:v>
      </x:c>
      <x:c r="C198" s="67" t="str">
        <x:v>周六</x:v>
      </x:c>
      <x:c r="D198" s="67" t="str">
        <x:v>S05</x:v>
      </x:c>
      <x:c r="E198" s="67" t="str">
        <x:v>同顺街店</x:v>
      </x:c>
      <x:c r="F198" s="67" t="str">
        <x:v>服务员</x:v>
      </x:c>
      <x:c r="G198" s="70" t="n">
        <x:v>2</x:v>
      </x:c>
      <x:c r="H198" s="76" t="n">
        <x:v>14</x:v>
      </x:c>
      <x:c r="I198" s="76" t="n">
        <x:v>14</x:v>
      </x:c>
      <x:c r="J198" s="76" t="n">
        <x:v>26.31</x:v>
      </x:c>
      <x:c r="K198" s="79" t="n">
        <x:f>I198*J198</x:f>
        <x:v>368.34</x:v>
      </x:c>
      <x:c r="L198" s="94" t="n">
        <x:f>SUMIFS('门店日汇总'!$H$5:$H$60,'门店日汇总'!$A$5:$A$60,B198,'门店日汇总'!$C$5:$C$60,D198)</x:f>
        <x:v>6780.7</x:v>
      </x:c>
      <x:c r="M198" s="79" t="n">
        <x:f>IFERROR(L198/SUMIFS($I$5:$I$340,$B$5:$B$340,B198,$D$5:$D$340,D198),0)</x:f>
        <x:v>109.80890688259109</x:v>
      </x:c>
      <x:c r="N198" s="67" t="str">
        <x:v>午晚高峰</x:v>
      </x:c>
      <x:c r="O198" s="67" t="str"/>
    </x:row>
    <x:row r="199">
      <x:c r="A199" s="67" t="str">
        <x:v>SHIFT-00195</x:v>
      </x:c>
      <x:c r="B199" s="73" t="n">
        <x:v>46214.5</x:v>
      </x:c>
      <x:c r="C199" s="67" t="str">
        <x:v>周六</x:v>
      </x:c>
      <x:c r="D199" s="67" t="str">
        <x:v>S05</x:v>
      </x:c>
      <x:c r="E199" s="67" t="str">
        <x:v>同顺街店</x:v>
      </x:c>
      <x:c r="F199" s="67" t="str">
        <x:v>后厨小工</x:v>
      </x:c>
      <x:c r="G199" s="70" t="n">
        <x:v>2</x:v>
      </x:c>
      <x:c r="H199" s="76" t="n">
        <x:v>14</x:v>
      </x:c>
      <x:c r="I199" s="76" t="n">
        <x:v>14.25</x:v>
      </x:c>
      <x:c r="J199" s="76" t="n">
        <x:v>28.34</x:v>
      </x:c>
      <x:c r="K199" s="79" t="n">
        <x:f>I199*J199</x:f>
        <x:v>403.84499999999997</x:v>
      </x:c>
      <x:c r="L199" s="94" t="n">
        <x:f>SUMIFS('门店日汇总'!$H$5:$H$60,'门店日汇总'!$A$5:$A$60,B199,'门店日汇总'!$C$5:$C$60,D199)</x:f>
        <x:v>6780.7</x:v>
      </x:c>
      <x:c r="M199" s="79" t="n">
        <x:f>IFERROR(L199/SUMIFS($I$5:$I$340,$B$5:$B$340,B199,$D$5:$D$340,D199),0)</x:f>
        <x:v>109.80890688259109</x:v>
      </x:c>
      <x:c r="N199" s="67" t="str">
        <x:v>备菜+午晚高峰</x:v>
      </x:c>
      <x:c r="O199" s="67" t="str"/>
    </x:row>
    <x:row r="200">
      <x:c r="A200" s="67" t="str">
        <x:v>SHIFT-00196</x:v>
      </x:c>
      <x:c r="B200" s="73" t="n">
        <x:v>46214.5</x:v>
      </x:c>
      <x:c r="C200" s="67" t="str">
        <x:v>周六</x:v>
      </x:c>
      <x:c r="D200" s="67" t="str">
        <x:v>S05</x:v>
      </x:c>
      <x:c r="E200" s="67" t="str">
        <x:v>同顺街店</x:v>
      </x:c>
      <x:c r="F200" s="67" t="str">
        <x:v>炒菜机操作员</x:v>
      </x:c>
      <x:c r="G200" s="70" t="n">
        <x:v>2</x:v>
      </x:c>
      <x:c r="H200" s="76" t="n">
        <x:v>14</x:v>
      </x:c>
      <x:c r="I200" s="76" t="n">
        <x:v>14.5</x:v>
      </x:c>
      <x:c r="J200" s="76" t="n">
        <x:v>29.35</x:v>
      </x:c>
      <x:c r="K200" s="79" t="n">
        <x:f>I200*J200</x:f>
        <x:v>425.57500000000005</x:v>
      </x:c>
      <x:c r="L200" s="94" t="n">
        <x:f>SUMIFS('门店日汇总'!$H$5:$H$60,'门店日汇总'!$A$5:$A$60,B200,'门店日汇总'!$C$5:$C$60,D200)</x:f>
        <x:v>6780.7</x:v>
      </x:c>
      <x:c r="M200" s="79" t="n">
        <x:f>IFERROR(L200/SUMIFS($I$5:$I$340,$B$5:$B$340,B200,$D$5:$D$340,D200),0)</x:f>
        <x:v>109.80890688259109</x:v>
      </x:c>
      <x:c r="N200" s="67" t="str">
        <x:v>午晚高峰</x:v>
      </x:c>
      <x:c r="O200" s="67" t="str"/>
    </x:row>
    <x:row r="201">
      <x:c r="A201" s="67" t="str">
        <x:v>SHIFT-00197</x:v>
      </x:c>
      <x:c r="B201" s="73" t="n">
        <x:v>46214.5</x:v>
      </x:c>
      <x:c r="C201" s="67" t="str">
        <x:v>周六</x:v>
      </x:c>
      <x:c r="D201" s="67" t="str">
        <x:v>S05</x:v>
      </x:c>
      <x:c r="E201" s="67" t="str">
        <x:v>同顺街店</x:v>
      </x:c>
      <x:c r="F201" s="67" t="str">
        <x:v>收银/前厅</x:v>
      </x:c>
      <x:c r="G201" s="70" t="n">
        <x:v>1</x:v>
      </x:c>
      <x:c r="H201" s="76" t="n">
        <x:v>8</x:v>
      </x:c>
      <x:c r="I201" s="76" t="n">
        <x:v>7.5</x:v>
      </x:c>
      <x:c r="J201" s="76" t="n">
        <x:v>26.31</x:v>
      </x:c>
      <x:c r="K201" s="79" t="n">
        <x:f>I201*J201</x:f>
        <x:v>197.325</x:v>
      </x:c>
      <x:c r="L201" s="94" t="n">
        <x:f>SUMIFS('门店日汇总'!$H$5:$H$60,'门店日汇总'!$A$5:$A$60,B201,'门店日汇总'!$C$5:$C$60,D201)</x:f>
        <x:v>6780.7</x:v>
      </x:c>
      <x:c r="M201" s="79" t="n">
        <x:f>IFERROR(L201/SUMIFS($I$5:$I$340,$B$5:$B$340,B201,$D$5:$D$340,D201),0)</x:f>
        <x:v>109.80890688259109</x:v>
      </x:c>
      <x:c r="N201" s="67" t="str">
        <x:v>全日</x:v>
      </x:c>
      <x:c r="O201" s="67" t="str"/>
    </x:row>
    <x:row r="202">
      <x:c r="A202" s="67" t="str">
        <x:v>SHIFT-00198</x:v>
      </x:c>
      <x:c r="B202" s="73" t="n">
        <x:v>46214.5</x:v>
      </x:c>
      <x:c r="C202" s="67" t="str">
        <x:v>周六</x:v>
      </x:c>
      <x:c r="D202" s="67" t="str">
        <x:v>S05</x:v>
      </x:c>
      <x:c r="E202" s="67" t="str">
        <x:v>同顺街店</x:v>
      </x:c>
      <x:c r="F202" s="67" t="str">
        <x:v>保洁/兼职</x:v>
      </x:c>
      <x:c r="G202" s="70" t="n">
        <x:v>1</x:v>
      </x:c>
      <x:c r="H202" s="76" t="n">
        <x:v>4</x:v>
      </x:c>
      <x:c r="I202" s="76" t="n">
        <x:v>3.75</x:v>
      </x:c>
      <x:c r="J202" s="76" t="n">
        <x:v>24.29</x:v>
      </x:c>
      <x:c r="K202" s="79" t="n">
        <x:f>I202*J202</x:f>
        <x:v>91.08749999999999</x:v>
      </x:c>
      <x:c r="L202" s="94" t="n">
        <x:f>SUMIFS('门店日汇总'!$H$5:$H$60,'门店日汇总'!$A$5:$A$60,B202,'门店日汇总'!$C$5:$C$60,D202)</x:f>
        <x:v>6780.7</x:v>
      </x:c>
      <x:c r="M202" s="79" t="n">
        <x:f>IFERROR(L202/SUMIFS($I$5:$I$340,$B$5:$B$340,B202,$D$5:$D$340,D202),0)</x:f>
        <x:v>109.80890688259109</x:v>
      </x:c>
      <x:c r="N202" s="67" t="str">
        <x:v>收市</x:v>
      </x:c>
      <x:c r="O202" s="67" t="str"/>
    </x:row>
    <x:row r="203">
      <x:c r="A203" s="67" t="str">
        <x:v>SHIFT-00199</x:v>
      </x:c>
      <x:c r="B203" s="73" t="n">
        <x:v>46215.5</x:v>
      </x:c>
      <x:c r="C203" s="67" t="str">
        <x:v>周日</x:v>
      </x:c>
      <x:c r="D203" s="67" t="str">
        <x:v>S05</x:v>
      </x:c>
      <x:c r="E203" s="67" t="str">
        <x:v>同顺街店</x:v>
      </x:c>
      <x:c r="F203" s="67" t="str">
        <x:v>店长/收货</x:v>
      </x:c>
      <x:c r="G203" s="70" t="n">
        <x:v>1</x:v>
      </x:c>
      <x:c r="H203" s="76" t="n">
        <x:v>8</x:v>
      </x:c>
      <x:c r="I203" s="76" t="n">
        <x:v>8</x:v>
      </x:c>
      <x:c r="J203" s="76" t="n">
        <x:v>34.41</x:v>
      </x:c>
      <x:c r="K203" s="79" t="n">
        <x:f>I203*J203</x:f>
        <x:v>275.28</x:v>
      </x:c>
      <x:c r="L203" s="94" t="n">
        <x:f>SUMIFS('门店日汇总'!$H$5:$H$60,'门店日汇总'!$A$5:$A$60,B203,'门店日汇总'!$C$5:$C$60,D203)</x:f>
        <x:v>6610.7</x:v>
      </x:c>
      <x:c r="M203" s="79" t="n">
        <x:f>IFERROR(L203/SUMIFS($I$5:$I$340,$B$5:$B$340,B203,$D$5:$D$340,D203),0)</x:f>
        <x:v>106.6241935483871</x:v>
      </x:c>
      <x:c r="N203" s="67" t="str">
        <x:v>开市+午晚高峰</x:v>
      </x:c>
      <x:c r="O203" s="67" t="str"/>
    </x:row>
    <x:row r="204">
      <x:c r="A204" s="67" t="str">
        <x:v>SHIFT-00200</x:v>
      </x:c>
      <x:c r="B204" s="73" t="n">
        <x:v>46215.5</x:v>
      </x:c>
      <x:c r="C204" s="67" t="str">
        <x:v>周日</x:v>
      </x:c>
      <x:c r="D204" s="67" t="str">
        <x:v>S05</x:v>
      </x:c>
      <x:c r="E204" s="67" t="str">
        <x:v>同顺街店</x:v>
      </x:c>
      <x:c r="F204" s="67" t="str">
        <x:v>服务员</x:v>
      </x:c>
      <x:c r="G204" s="70" t="n">
        <x:v>2</x:v>
      </x:c>
      <x:c r="H204" s="76" t="n">
        <x:v>14</x:v>
      </x:c>
      <x:c r="I204" s="76" t="n">
        <x:v>14.25</x:v>
      </x:c>
      <x:c r="J204" s="76" t="n">
        <x:v>26.31</x:v>
      </x:c>
      <x:c r="K204" s="79" t="n">
        <x:f>I204*J204</x:f>
        <x:v>374.91749999999996</x:v>
      </x:c>
      <x:c r="L204" s="94" t="n">
        <x:f>SUMIFS('门店日汇总'!$H$5:$H$60,'门店日汇总'!$A$5:$A$60,B204,'门店日汇总'!$C$5:$C$60,D204)</x:f>
        <x:v>6610.7</x:v>
      </x:c>
      <x:c r="M204" s="79" t="n">
        <x:f>IFERROR(L204/SUMIFS($I$5:$I$340,$B$5:$B$340,B204,$D$5:$D$340,D204),0)</x:f>
        <x:v>106.6241935483871</x:v>
      </x:c>
      <x:c r="N204" s="67" t="str">
        <x:v>午晚高峰</x:v>
      </x:c>
      <x:c r="O204" s="67" t="str">
        <x:v>周末客流较低，建议下周减少兼职工时</x:v>
      </x:c>
    </x:row>
    <x:row r="205">
      <x:c r="A205" s="67" t="str">
        <x:v>SHIFT-00201</x:v>
      </x:c>
      <x:c r="B205" s="73" t="n">
        <x:v>46215.5</x:v>
      </x:c>
      <x:c r="C205" s="67" t="str">
        <x:v>周日</x:v>
      </x:c>
      <x:c r="D205" s="67" t="str">
        <x:v>S05</x:v>
      </x:c>
      <x:c r="E205" s="67" t="str">
        <x:v>同顺街店</x:v>
      </x:c>
      <x:c r="F205" s="67" t="str">
        <x:v>后厨小工</x:v>
      </x:c>
      <x:c r="G205" s="70" t="n">
        <x:v>2</x:v>
      </x:c>
      <x:c r="H205" s="76" t="n">
        <x:v>14</x:v>
      </x:c>
      <x:c r="I205" s="76" t="n">
        <x:v>14.5</x:v>
      </x:c>
      <x:c r="J205" s="76" t="n">
        <x:v>28.34</x:v>
      </x:c>
      <x:c r="K205" s="79" t="n">
        <x:f>I205*J205</x:f>
        <x:v>410.93</x:v>
      </x:c>
      <x:c r="L205" s="94" t="n">
        <x:f>SUMIFS('门店日汇总'!$H$5:$H$60,'门店日汇总'!$A$5:$A$60,B205,'门店日汇总'!$C$5:$C$60,D205)</x:f>
        <x:v>6610.7</x:v>
      </x:c>
      <x:c r="M205" s="79" t="n">
        <x:f>IFERROR(L205/SUMIFS($I$5:$I$340,$B$5:$B$340,B205,$D$5:$D$340,D205),0)</x:f>
        <x:v>106.6241935483871</x:v>
      </x:c>
      <x:c r="N205" s="67" t="str">
        <x:v>备菜+午晚高峰</x:v>
      </x:c>
      <x:c r="O205" s="67" t="str"/>
    </x:row>
    <x:row r="206">
      <x:c r="A206" s="67" t="str">
        <x:v>SHIFT-00202</x:v>
      </x:c>
      <x:c r="B206" s="73" t="n">
        <x:v>46215.5</x:v>
      </x:c>
      <x:c r="C206" s="67" t="str">
        <x:v>周日</x:v>
      </x:c>
      <x:c r="D206" s="67" t="str">
        <x:v>S05</x:v>
      </x:c>
      <x:c r="E206" s="67" t="str">
        <x:v>同顺街店</x:v>
      </x:c>
      <x:c r="F206" s="67" t="str">
        <x:v>炒菜机操作员</x:v>
      </x:c>
      <x:c r="G206" s="70" t="n">
        <x:v>2</x:v>
      </x:c>
      <x:c r="H206" s="76" t="n">
        <x:v>14</x:v>
      </x:c>
      <x:c r="I206" s="76" t="n">
        <x:v>13.5</x:v>
      </x:c>
      <x:c r="J206" s="76" t="n">
        <x:v>29.35</x:v>
      </x:c>
      <x:c r="K206" s="79" t="n">
        <x:f>I206*J206</x:f>
        <x:v>396.225</x:v>
      </x:c>
      <x:c r="L206" s="94" t="n">
        <x:f>SUMIFS('门店日汇总'!$H$5:$H$60,'门店日汇总'!$A$5:$A$60,B206,'门店日汇总'!$C$5:$C$60,D206)</x:f>
        <x:v>6610.7</x:v>
      </x:c>
      <x:c r="M206" s="79" t="n">
        <x:f>IFERROR(L206/SUMIFS($I$5:$I$340,$B$5:$B$340,B206,$D$5:$D$340,D206),0)</x:f>
        <x:v>106.6241935483871</x:v>
      </x:c>
      <x:c r="N206" s="67" t="str">
        <x:v>午晚高峰</x:v>
      </x:c>
      <x:c r="O206" s="67" t="str"/>
    </x:row>
    <x:row r="207">
      <x:c r="A207" s="67" t="str">
        <x:v>SHIFT-00203</x:v>
      </x:c>
      <x:c r="B207" s="73" t="n">
        <x:v>46215.5</x:v>
      </x:c>
      <x:c r="C207" s="67" t="str">
        <x:v>周日</x:v>
      </x:c>
      <x:c r="D207" s="67" t="str">
        <x:v>S05</x:v>
      </x:c>
      <x:c r="E207" s="67" t="str">
        <x:v>同顺街店</x:v>
      </x:c>
      <x:c r="F207" s="67" t="str">
        <x:v>收银/前厅</x:v>
      </x:c>
      <x:c r="G207" s="70" t="n">
        <x:v>1</x:v>
      </x:c>
      <x:c r="H207" s="76" t="n">
        <x:v>8</x:v>
      </x:c>
      <x:c r="I207" s="76" t="n">
        <x:v>7.75</x:v>
      </x:c>
      <x:c r="J207" s="76" t="n">
        <x:v>26.31</x:v>
      </x:c>
      <x:c r="K207" s="79" t="n">
        <x:f>I207*J207</x:f>
        <x:v>203.9025</x:v>
      </x:c>
      <x:c r="L207" s="94" t="n">
        <x:f>SUMIFS('门店日汇总'!$H$5:$H$60,'门店日汇总'!$A$5:$A$60,B207,'门店日汇总'!$C$5:$C$60,D207)</x:f>
        <x:v>6610.7</x:v>
      </x:c>
      <x:c r="M207" s="79" t="n">
        <x:f>IFERROR(L207/SUMIFS($I$5:$I$340,$B$5:$B$340,B207,$D$5:$D$340,D207),0)</x:f>
        <x:v>106.6241935483871</x:v>
      </x:c>
      <x:c r="N207" s="67" t="str">
        <x:v>全日</x:v>
      </x:c>
      <x:c r="O207" s="67" t="str"/>
    </x:row>
    <x:row r="208">
      <x:c r="A208" s="67" t="str">
        <x:v>SHIFT-00204</x:v>
      </x:c>
      <x:c r="B208" s="73" t="n">
        <x:v>46215.5</x:v>
      </x:c>
      <x:c r="C208" s="67" t="str">
        <x:v>周日</x:v>
      </x:c>
      <x:c r="D208" s="67" t="str">
        <x:v>S05</x:v>
      </x:c>
      <x:c r="E208" s="67" t="str">
        <x:v>同顺街店</x:v>
      </x:c>
      <x:c r="F208" s="67" t="str">
        <x:v>保洁/兼职</x:v>
      </x:c>
      <x:c r="G208" s="70" t="n">
        <x:v>1</x:v>
      </x:c>
      <x:c r="H208" s="76" t="n">
        <x:v>4</x:v>
      </x:c>
      <x:c r="I208" s="76" t="n">
        <x:v>4</x:v>
      </x:c>
      <x:c r="J208" s="76" t="n">
        <x:v>24.29</x:v>
      </x:c>
      <x:c r="K208" s="79" t="n">
        <x:f>I208*J208</x:f>
        <x:v>97.16</x:v>
      </x:c>
      <x:c r="L208" s="94" t="n">
        <x:f>SUMIFS('门店日汇总'!$H$5:$H$60,'门店日汇总'!$A$5:$A$60,B208,'门店日汇总'!$C$5:$C$60,D208)</x:f>
        <x:v>6610.7</x:v>
      </x:c>
      <x:c r="M208" s="79" t="n">
        <x:f>IFERROR(L208/SUMIFS($I$5:$I$340,$B$5:$B$340,B208,$D$5:$D$340,D208),0)</x:f>
        <x:v>106.6241935483871</x:v>
      </x:c>
      <x:c r="N208" s="67" t="str">
        <x:v>收市</x:v>
      </x:c>
      <x:c r="O208" s="67" t="str"/>
    </x:row>
    <x:row r="209">
      <x:c r="A209" s="67" t="str">
        <x:v>SHIFT-00205</x:v>
      </x:c>
      <x:c r="B209" s="73" t="n">
        <x:v>46216.5</x:v>
      </x:c>
      <x:c r="C209" s="67" t="str">
        <x:v>周一</x:v>
      </x:c>
      <x:c r="D209" s="67" t="str">
        <x:v>S05</x:v>
      </x:c>
      <x:c r="E209" s="67" t="str">
        <x:v>同顺街店</x:v>
      </x:c>
      <x:c r="F209" s="67" t="str">
        <x:v>店长/收货</x:v>
      </x:c>
      <x:c r="G209" s="70" t="n">
        <x:v>1</x:v>
      </x:c>
      <x:c r="H209" s="76" t="n">
        <x:v>10</x:v>
      </x:c>
      <x:c r="I209" s="76" t="n">
        <x:v>10.25</x:v>
      </x:c>
      <x:c r="J209" s="76" t="n">
        <x:v>34.41</x:v>
      </x:c>
      <x:c r="K209" s="79" t="n">
        <x:f>I209*J209</x:f>
        <x:v>352.7025</x:v>
      </x:c>
      <x:c r="L209" s="94" t="n">
        <x:f>SUMIFS('门店日汇总'!$H$5:$H$60,'门店日汇总'!$A$5:$A$60,B209,'门店日汇总'!$C$5:$C$60,D209)</x:f>
        <x:v>9512.099999999999</x:v>
      </x:c>
      <x:c r="M209" s="79" t="n">
        <x:f>IFERROR(L209/SUMIFS($I$5:$I$340,$B$5:$B$340,B209,$D$5:$D$340,D209),0)</x:f>
        <x:v>135.40355871886118</x:v>
      </x:c>
      <x:c r="N209" s="67" t="str">
        <x:v>开市+午晚高峰</x:v>
      </x:c>
      <x:c r="O209" s="67" t="str"/>
    </x:row>
    <x:row r="210">
      <x:c r="A210" s="67" t="str">
        <x:v>SHIFT-00206</x:v>
      </x:c>
      <x:c r="B210" s="73" t="n">
        <x:v>46216.5</x:v>
      </x:c>
      <x:c r="C210" s="67" t="str">
        <x:v>周一</x:v>
      </x:c>
      <x:c r="D210" s="67" t="str">
        <x:v>S05</x:v>
      </x:c>
      <x:c r="E210" s="67" t="str">
        <x:v>同顺街店</x:v>
      </x:c>
      <x:c r="F210" s="67" t="str">
        <x:v>服务员</x:v>
      </x:c>
      <x:c r="G210" s="70" t="n">
        <x:v>2</x:v>
      </x:c>
      <x:c r="H210" s="76" t="n">
        <x:v>16</x:v>
      </x:c>
      <x:c r="I210" s="76" t="n">
        <x:v>16.5</x:v>
      </x:c>
      <x:c r="J210" s="76" t="n">
        <x:v>26.31</x:v>
      </x:c>
      <x:c r="K210" s="79" t="n">
        <x:f>I210*J210</x:f>
        <x:v>434.11499999999995</x:v>
      </x:c>
      <x:c r="L210" s="94" t="n">
        <x:f>SUMIFS('门店日汇总'!$H$5:$H$60,'门店日汇总'!$A$5:$A$60,B210,'门店日汇总'!$C$5:$C$60,D210)</x:f>
        <x:v>9512.099999999999</x:v>
      </x:c>
      <x:c r="M210" s="79" t="n">
        <x:f>IFERROR(L210/SUMIFS($I$5:$I$340,$B$5:$B$340,B210,$D$5:$D$340,D210),0)</x:f>
        <x:v>135.40355871886118</x:v>
      </x:c>
      <x:c r="N210" s="67" t="str">
        <x:v>午晚高峰</x:v>
      </x:c>
      <x:c r="O210" s="67" t="str"/>
    </x:row>
    <x:row r="211">
      <x:c r="A211" s="67" t="str">
        <x:v>SHIFT-00207</x:v>
      </x:c>
      <x:c r="B211" s="73" t="n">
        <x:v>46216.5</x:v>
      </x:c>
      <x:c r="C211" s="67" t="str">
        <x:v>周一</x:v>
      </x:c>
      <x:c r="D211" s="67" t="str">
        <x:v>S05</x:v>
      </x:c>
      <x:c r="E211" s="67" t="str">
        <x:v>同顺街店</x:v>
      </x:c>
      <x:c r="F211" s="67" t="str">
        <x:v>后厨小工</x:v>
      </x:c>
      <x:c r="G211" s="70" t="n">
        <x:v>2</x:v>
      </x:c>
      <x:c r="H211" s="76" t="n">
        <x:v>16</x:v>
      </x:c>
      <x:c r="I211" s="76" t="n">
        <x:v>15.5</x:v>
      </x:c>
      <x:c r="J211" s="76" t="n">
        <x:v>28.34</x:v>
      </x:c>
      <x:c r="K211" s="79" t="n">
        <x:f>I211*J211</x:f>
        <x:v>439.27</x:v>
      </x:c>
      <x:c r="L211" s="94" t="n">
        <x:f>SUMIFS('门店日汇总'!$H$5:$H$60,'门店日汇总'!$A$5:$A$60,B211,'门店日汇总'!$C$5:$C$60,D211)</x:f>
        <x:v>9512.099999999999</x:v>
      </x:c>
      <x:c r="M211" s="79" t="n">
        <x:f>IFERROR(L211/SUMIFS($I$5:$I$340,$B$5:$B$340,B211,$D$5:$D$340,D211),0)</x:f>
        <x:v>135.40355871886118</x:v>
      </x:c>
      <x:c r="N211" s="67" t="str">
        <x:v>备菜+午晚高峰</x:v>
      </x:c>
      <x:c r="O211" s="67" t="str"/>
    </x:row>
    <x:row r="212">
      <x:c r="A212" s="67" t="str">
        <x:v>SHIFT-00208</x:v>
      </x:c>
      <x:c r="B212" s="73" t="n">
        <x:v>46216.5</x:v>
      </x:c>
      <x:c r="C212" s="67" t="str">
        <x:v>周一</x:v>
      </x:c>
      <x:c r="D212" s="67" t="str">
        <x:v>S05</x:v>
      </x:c>
      <x:c r="E212" s="67" t="str">
        <x:v>同顺街店</x:v>
      </x:c>
      <x:c r="F212" s="67" t="str">
        <x:v>炒菜机操作员</x:v>
      </x:c>
      <x:c r="G212" s="70" t="n">
        <x:v>2</x:v>
      </x:c>
      <x:c r="H212" s="76" t="n">
        <x:v>16</x:v>
      </x:c>
      <x:c r="I212" s="76" t="n">
        <x:v>15.75</x:v>
      </x:c>
      <x:c r="J212" s="76" t="n">
        <x:v>29.35</x:v>
      </x:c>
      <x:c r="K212" s="79" t="n">
        <x:f>I212*J212</x:f>
        <x:v>462.26250000000005</x:v>
      </x:c>
      <x:c r="L212" s="94" t="n">
        <x:f>SUMIFS('门店日汇总'!$H$5:$H$60,'门店日汇总'!$A$5:$A$60,B212,'门店日汇总'!$C$5:$C$60,D212)</x:f>
        <x:v>9512.099999999999</x:v>
      </x:c>
      <x:c r="M212" s="79" t="n">
        <x:f>IFERROR(L212/SUMIFS($I$5:$I$340,$B$5:$B$340,B212,$D$5:$D$340,D212),0)</x:f>
        <x:v>135.40355871886118</x:v>
      </x:c>
      <x:c r="N212" s="67" t="str">
        <x:v>午晚高峰</x:v>
      </x:c>
      <x:c r="O212" s="67" t="str"/>
    </x:row>
    <x:row r="213">
      <x:c r="A213" s="67" t="str">
        <x:v>SHIFT-00209</x:v>
      </x:c>
      <x:c r="B213" s="73" t="n">
        <x:v>46216.5</x:v>
      </x:c>
      <x:c r="C213" s="67" t="str">
        <x:v>周一</x:v>
      </x:c>
      <x:c r="D213" s="67" t="str">
        <x:v>S05</x:v>
      </x:c>
      <x:c r="E213" s="67" t="str">
        <x:v>同顺街店</x:v>
      </x:c>
      <x:c r="F213" s="67" t="str">
        <x:v>收银/前厅</x:v>
      </x:c>
      <x:c r="G213" s="70" t="n">
        <x:v>1</x:v>
      </x:c>
      <x:c r="H213" s="76" t="n">
        <x:v>8</x:v>
      </x:c>
      <x:c r="I213" s="76" t="n">
        <x:v>8</x:v>
      </x:c>
      <x:c r="J213" s="76" t="n">
        <x:v>26.31</x:v>
      </x:c>
      <x:c r="K213" s="79" t="n">
        <x:f>I213*J213</x:f>
        <x:v>210.48</x:v>
      </x:c>
      <x:c r="L213" s="94" t="n">
        <x:f>SUMIFS('门店日汇总'!$H$5:$H$60,'门店日汇总'!$A$5:$A$60,B213,'门店日汇总'!$C$5:$C$60,D213)</x:f>
        <x:v>9512.099999999999</x:v>
      </x:c>
      <x:c r="M213" s="79" t="n">
        <x:f>IFERROR(L213/SUMIFS($I$5:$I$340,$B$5:$B$340,B213,$D$5:$D$340,D213),0)</x:f>
        <x:v>135.40355871886118</x:v>
      </x:c>
      <x:c r="N213" s="67" t="str">
        <x:v>全日</x:v>
      </x:c>
      <x:c r="O213" s="67" t="str"/>
    </x:row>
    <x:row r="214">
      <x:c r="A214" s="67" t="str">
        <x:v>SHIFT-00210</x:v>
      </x:c>
      <x:c r="B214" s="73" t="n">
        <x:v>46216.5</x:v>
      </x:c>
      <x:c r="C214" s="67" t="str">
        <x:v>周一</x:v>
      </x:c>
      <x:c r="D214" s="67" t="str">
        <x:v>S05</x:v>
      </x:c>
      <x:c r="E214" s="67" t="str">
        <x:v>同顺街店</x:v>
      </x:c>
      <x:c r="F214" s="67" t="str">
        <x:v>保洁/兼职</x:v>
      </x:c>
      <x:c r="G214" s="70" t="n">
        <x:v>1</x:v>
      </x:c>
      <x:c r="H214" s="76" t="n">
        <x:v>4</x:v>
      </x:c>
      <x:c r="I214" s="76" t="n">
        <x:v>4.25</x:v>
      </x:c>
      <x:c r="J214" s="76" t="n">
        <x:v>24.29</x:v>
      </x:c>
      <x:c r="K214" s="79" t="n">
        <x:f>I214*J214</x:f>
        <x:v>103.2325</x:v>
      </x:c>
      <x:c r="L214" s="94" t="n">
        <x:f>SUMIFS('门店日汇总'!$H$5:$H$60,'门店日汇总'!$A$5:$A$60,B214,'门店日汇总'!$C$5:$C$60,D214)</x:f>
        <x:v>9512.099999999999</x:v>
      </x:c>
      <x:c r="M214" s="79" t="n">
        <x:f>IFERROR(L214/SUMIFS($I$5:$I$340,$B$5:$B$340,B214,$D$5:$D$340,D214),0)</x:f>
        <x:v>135.40355871886118</x:v>
      </x:c>
      <x:c r="N214" s="67" t="str">
        <x:v>收市</x:v>
      </x:c>
      <x:c r="O214" s="67" t="str"/>
    </x:row>
    <x:row r="215">
      <x:c r="A215" s="67" t="str">
        <x:v>SHIFT-00211</x:v>
      </x:c>
      <x:c r="B215" s="73" t="n">
        <x:v>46210.5</x:v>
      </x:c>
      <x:c r="C215" s="67" t="str">
        <x:v>周二</x:v>
      </x:c>
      <x:c r="D215" s="67" t="str">
        <x:v>S06</x:v>
      </x:c>
      <x:c r="E215" s="67" t="str">
        <x:v>蓝钻天城店</x:v>
      </x:c>
      <x:c r="F215" s="67" t="str">
        <x:v>店长/收货</x:v>
      </x:c>
      <x:c r="G215" s="70" t="n">
        <x:v>1</x:v>
      </x:c>
      <x:c r="H215" s="76" t="n">
        <x:v>10</x:v>
      </x:c>
      <x:c r="I215" s="76" t="n">
        <x:v>9.5</x:v>
      </x:c>
      <x:c r="J215" s="76" t="n">
        <x:v>35.02</x:v>
      </x:c>
      <x:c r="K215" s="79" t="n">
        <x:f>I215*J215</x:f>
        <x:v>332.69000000000005</x:v>
      </x:c>
      <x:c r="L215" s="94" t="n">
        <x:f>SUMIFS('门店日汇总'!$H$5:$H$60,'门店日汇总'!$A$5:$A$60,B215,'门店日汇总'!$C$5:$C$60,D215)</x:f>
        <x:v>8638.199999999999</x:v>
      </x:c>
      <x:c r="M215" s="79" t="n">
        <x:f>IFERROR(L215/SUMIFS($I$5:$I$340,$B$5:$B$340,B215,$D$5:$D$340,D215),0)</x:f>
        <x:v>124.29064748201438</x:v>
      </x:c>
      <x:c r="N215" s="67" t="str">
        <x:v>开市+午晚高峰</x:v>
      </x:c>
      <x:c r="O215" s="67" t="str"/>
    </x:row>
    <x:row r="216">
      <x:c r="A216" s="67" t="str">
        <x:v>SHIFT-00212</x:v>
      </x:c>
      <x:c r="B216" s="73" t="n">
        <x:v>46210.5</x:v>
      </x:c>
      <x:c r="C216" s="67" t="str">
        <x:v>周二</x:v>
      </x:c>
      <x:c r="D216" s="67" t="str">
        <x:v>S06</x:v>
      </x:c>
      <x:c r="E216" s="67" t="str">
        <x:v>蓝钻天城店</x:v>
      </x:c>
      <x:c r="F216" s="67" t="str">
        <x:v>服务员</x:v>
      </x:c>
      <x:c r="G216" s="70" t="n">
        <x:v>2</x:v>
      </x:c>
      <x:c r="H216" s="76" t="n">
        <x:v>16</x:v>
      </x:c>
      <x:c r="I216" s="76" t="n">
        <x:v>15.75</x:v>
      </x:c>
      <x:c r="J216" s="76" t="n">
        <x:v>26.78</x:v>
      </x:c>
      <x:c r="K216" s="79" t="n">
        <x:f>I216*J216</x:f>
        <x:v>421.785</x:v>
      </x:c>
      <x:c r="L216" s="94" t="n">
        <x:f>SUMIFS('门店日汇总'!$H$5:$H$60,'门店日汇总'!$A$5:$A$60,B216,'门店日汇总'!$C$5:$C$60,D216)</x:f>
        <x:v>8638.199999999999</x:v>
      </x:c>
      <x:c r="M216" s="79" t="n">
        <x:f>IFERROR(L216/SUMIFS($I$5:$I$340,$B$5:$B$340,B216,$D$5:$D$340,D216),0)</x:f>
        <x:v>124.29064748201438</x:v>
      </x:c>
      <x:c r="N216" s="67" t="str">
        <x:v>午晚高峰</x:v>
      </x:c>
      <x:c r="O216" s="67" t="str"/>
    </x:row>
    <x:row r="217">
      <x:c r="A217" s="67" t="str">
        <x:v>SHIFT-00213</x:v>
      </x:c>
      <x:c r="B217" s="73" t="n">
        <x:v>46210.5</x:v>
      </x:c>
      <x:c r="C217" s="67" t="str">
        <x:v>周二</x:v>
      </x:c>
      <x:c r="D217" s="67" t="str">
        <x:v>S06</x:v>
      </x:c>
      <x:c r="E217" s="67" t="str">
        <x:v>蓝钻天城店</x:v>
      </x:c>
      <x:c r="F217" s="67" t="str">
        <x:v>后厨小工</x:v>
      </x:c>
      <x:c r="G217" s="70" t="n">
        <x:v>2</x:v>
      </x:c>
      <x:c r="H217" s="76" t="n">
        <x:v>16</x:v>
      </x:c>
      <x:c r="I217" s="76" t="n">
        <x:v>16</x:v>
      </x:c>
      <x:c r="J217" s="76" t="n">
        <x:v>28.84</x:v>
      </x:c>
      <x:c r="K217" s="79" t="n">
        <x:f>I217*J217</x:f>
        <x:v>461.44</x:v>
      </x:c>
      <x:c r="L217" s="94" t="n">
        <x:f>SUMIFS('门店日汇总'!$H$5:$H$60,'门店日汇总'!$A$5:$A$60,B217,'门店日汇总'!$C$5:$C$60,D217)</x:f>
        <x:v>8638.199999999999</x:v>
      </x:c>
      <x:c r="M217" s="79" t="n">
        <x:f>IFERROR(L217/SUMIFS($I$5:$I$340,$B$5:$B$340,B217,$D$5:$D$340,D217),0)</x:f>
        <x:v>124.29064748201438</x:v>
      </x:c>
      <x:c r="N217" s="67" t="str">
        <x:v>备菜+午晚高峰</x:v>
      </x:c>
      <x:c r="O217" s="67" t="str"/>
    </x:row>
    <x:row r="218">
      <x:c r="A218" s="67" t="str">
        <x:v>SHIFT-00214</x:v>
      </x:c>
      <x:c r="B218" s="73" t="n">
        <x:v>46210.5</x:v>
      </x:c>
      <x:c r="C218" s="67" t="str">
        <x:v>周二</x:v>
      </x:c>
      <x:c r="D218" s="67" t="str">
        <x:v>S06</x:v>
      </x:c>
      <x:c r="E218" s="67" t="str">
        <x:v>蓝钻天城店</x:v>
      </x:c>
      <x:c r="F218" s="67" t="str">
        <x:v>炒菜机操作员</x:v>
      </x:c>
      <x:c r="G218" s="70" t="n">
        <x:v>2</x:v>
      </x:c>
      <x:c r="H218" s="76" t="n">
        <x:v>16</x:v>
      </x:c>
      <x:c r="I218" s="76" t="n">
        <x:v>16.25</x:v>
      </x:c>
      <x:c r="J218" s="76" t="n">
        <x:v>29.87</x:v>
      </x:c>
      <x:c r="K218" s="79" t="n">
        <x:f>I218*J218</x:f>
        <x:v>485.3875</x:v>
      </x:c>
      <x:c r="L218" s="94" t="n">
        <x:f>SUMIFS('门店日汇总'!$H$5:$H$60,'门店日汇总'!$A$5:$A$60,B218,'门店日汇总'!$C$5:$C$60,D218)</x:f>
        <x:v>8638.199999999999</x:v>
      </x:c>
      <x:c r="M218" s="79" t="n">
        <x:f>IFERROR(L218/SUMIFS($I$5:$I$340,$B$5:$B$340,B218,$D$5:$D$340,D218),0)</x:f>
        <x:v>124.29064748201438</x:v>
      </x:c>
      <x:c r="N218" s="67" t="str">
        <x:v>午晚高峰</x:v>
      </x:c>
      <x:c r="O218" s="67" t="str"/>
    </x:row>
    <x:row r="219">
      <x:c r="A219" s="67" t="str">
        <x:v>SHIFT-00215</x:v>
      </x:c>
      <x:c r="B219" s="73" t="n">
        <x:v>46210.5</x:v>
      </x:c>
      <x:c r="C219" s="67" t="str">
        <x:v>周二</x:v>
      </x:c>
      <x:c r="D219" s="67" t="str">
        <x:v>S06</x:v>
      </x:c>
      <x:c r="E219" s="67" t="str">
        <x:v>蓝钻天城店</x:v>
      </x:c>
      <x:c r="F219" s="67" t="str">
        <x:v>收银/前厅</x:v>
      </x:c>
      <x:c r="G219" s="70" t="n">
        <x:v>1</x:v>
      </x:c>
      <x:c r="H219" s="76" t="n">
        <x:v>8</x:v>
      </x:c>
      <x:c r="I219" s="76" t="n">
        <x:v>8.5</x:v>
      </x:c>
      <x:c r="J219" s="76" t="n">
        <x:v>26.78</x:v>
      </x:c>
      <x:c r="K219" s="79" t="n">
        <x:f>I219*J219</x:f>
        <x:v>227.63</x:v>
      </x:c>
      <x:c r="L219" s="94" t="n">
        <x:f>SUMIFS('门店日汇总'!$H$5:$H$60,'门店日汇总'!$A$5:$A$60,B219,'门店日汇总'!$C$5:$C$60,D219)</x:f>
        <x:v>8638.199999999999</x:v>
      </x:c>
      <x:c r="M219" s="79" t="n">
        <x:f>IFERROR(L219/SUMIFS($I$5:$I$340,$B$5:$B$340,B219,$D$5:$D$340,D219),0)</x:f>
        <x:v>124.29064748201438</x:v>
      </x:c>
      <x:c r="N219" s="67" t="str">
        <x:v>全日</x:v>
      </x:c>
      <x:c r="O219" s="67" t="str"/>
    </x:row>
    <x:row r="220">
      <x:c r="A220" s="67" t="str">
        <x:v>SHIFT-00216</x:v>
      </x:c>
      <x:c r="B220" s="73" t="n">
        <x:v>46210.5</x:v>
      </x:c>
      <x:c r="C220" s="67" t="str">
        <x:v>周二</x:v>
      </x:c>
      <x:c r="D220" s="67" t="str">
        <x:v>S06</x:v>
      </x:c>
      <x:c r="E220" s="67" t="str">
        <x:v>蓝钻天城店</x:v>
      </x:c>
      <x:c r="F220" s="67" t="str">
        <x:v>保洁/兼职</x:v>
      </x:c>
      <x:c r="G220" s="70" t="n">
        <x:v>1</x:v>
      </x:c>
      <x:c r="H220" s="76" t="n">
        <x:v>4</x:v>
      </x:c>
      <x:c r="I220" s="76" t="n">
        <x:v>3.5</x:v>
      </x:c>
      <x:c r="J220" s="76" t="n">
        <x:v>24.72</x:v>
      </x:c>
      <x:c r="K220" s="79" t="n">
        <x:f>I220*J220</x:f>
        <x:v>86.52</x:v>
      </x:c>
      <x:c r="L220" s="94" t="n">
        <x:f>SUMIFS('门店日汇总'!$H$5:$H$60,'门店日汇总'!$A$5:$A$60,B220,'门店日汇总'!$C$5:$C$60,D220)</x:f>
        <x:v>8638.199999999999</x:v>
      </x:c>
      <x:c r="M220" s="79" t="n">
        <x:f>IFERROR(L220/SUMIFS($I$5:$I$340,$B$5:$B$340,B220,$D$5:$D$340,D220),0)</x:f>
        <x:v>124.29064748201438</x:v>
      </x:c>
      <x:c r="N220" s="67" t="str">
        <x:v>收市</x:v>
      </x:c>
      <x:c r="O220" s="67" t="str"/>
    </x:row>
    <x:row r="221">
      <x:c r="A221" s="67" t="str">
        <x:v>SHIFT-00217</x:v>
      </x:c>
      <x:c r="B221" s="73" t="n">
        <x:v>46211.5</x:v>
      </x:c>
      <x:c r="C221" s="67" t="str">
        <x:v>周三</x:v>
      </x:c>
      <x:c r="D221" s="67" t="str">
        <x:v>S06</x:v>
      </x:c>
      <x:c r="E221" s="67" t="str">
        <x:v>蓝钻天城店</x:v>
      </x:c>
      <x:c r="F221" s="67" t="str">
        <x:v>店长/收货</x:v>
      </x:c>
      <x:c r="G221" s="70" t="n">
        <x:v>1</x:v>
      </x:c>
      <x:c r="H221" s="76" t="n">
        <x:v>10</x:v>
      </x:c>
      <x:c r="I221" s="76" t="n">
        <x:v>9.75</x:v>
      </x:c>
      <x:c r="J221" s="76" t="n">
        <x:v>35.02</x:v>
      </x:c>
      <x:c r="K221" s="79" t="n">
        <x:f>I221*J221</x:f>
        <x:v>341.44500000000005</x:v>
      </x:c>
      <x:c r="L221" s="94" t="n">
        <x:f>SUMIFS('门店日汇总'!$H$5:$H$60,'门店日汇总'!$A$5:$A$60,B221,'门店日汇总'!$C$5:$C$60,D221)</x:f>
        <x:v>8398.4</x:v>
      </x:c>
      <x:c r="M221" s="79" t="n">
        <x:f>IFERROR(L221/SUMIFS($I$5:$I$340,$B$5:$B$340,B221,$D$5:$D$340,D221),0)</x:f>
        <x:v>120.40716845878136</x:v>
      </x:c>
      <x:c r="N221" s="67" t="str">
        <x:v>开市+午晚高峰</x:v>
      </x:c>
      <x:c r="O221" s="67" t="str"/>
    </x:row>
    <x:row r="222">
      <x:c r="A222" s="67" t="str">
        <x:v>SHIFT-00218</x:v>
      </x:c>
      <x:c r="B222" s="73" t="n">
        <x:v>46211.5</x:v>
      </x:c>
      <x:c r="C222" s="67" t="str">
        <x:v>周三</x:v>
      </x:c>
      <x:c r="D222" s="67" t="str">
        <x:v>S06</x:v>
      </x:c>
      <x:c r="E222" s="67" t="str">
        <x:v>蓝钻天城店</x:v>
      </x:c>
      <x:c r="F222" s="67" t="str">
        <x:v>服务员</x:v>
      </x:c>
      <x:c r="G222" s="70" t="n">
        <x:v>2</x:v>
      </x:c>
      <x:c r="H222" s="76" t="n">
        <x:v>16</x:v>
      </x:c>
      <x:c r="I222" s="76" t="n">
        <x:v>16</x:v>
      </x:c>
      <x:c r="J222" s="76" t="n">
        <x:v>26.78</x:v>
      </x:c>
      <x:c r="K222" s="79" t="n">
        <x:f>I222*J222</x:f>
        <x:v>428.48</x:v>
      </x:c>
      <x:c r="L222" s="94" t="n">
        <x:f>SUMIFS('门店日汇总'!$H$5:$H$60,'门店日汇总'!$A$5:$A$60,B222,'门店日汇总'!$C$5:$C$60,D222)</x:f>
        <x:v>8398.4</x:v>
      </x:c>
      <x:c r="M222" s="79" t="n">
        <x:f>IFERROR(L222/SUMIFS($I$5:$I$340,$B$5:$B$340,B222,$D$5:$D$340,D222),0)</x:f>
        <x:v>120.40716845878136</x:v>
      </x:c>
      <x:c r="N222" s="67" t="str">
        <x:v>午晚高峰</x:v>
      </x:c>
      <x:c r="O222" s="67" t="str"/>
    </x:row>
    <x:row r="223">
      <x:c r="A223" s="67" t="str">
        <x:v>SHIFT-00219</x:v>
      </x:c>
      <x:c r="B223" s="73" t="n">
        <x:v>46211.5</x:v>
      </x:c>
      <x:c r="C223" s="67" t="str">
        <x:v>周三</x:v>
      </x:c>
      <x:c r="D223" s="67" t="str">
        <x:v>S06</x:v>
      </x:c>
      <x:c r="E223" s="67" t="str">
        <x:v>蓝钻天城店</x:v>
      </x:c>
      <x:c r="F223" s="67" t="str">
        <x:v>后厨小工</x:v>
      </x:c>
      <x:c r="G223" s="70" t="n">
        <x:v>2</x:v>
      </x:c>
      <x:c r="H223" s="76" t="n">
        <x:v>16</x:v>
      </x:c>
      <x:c r="I223" s="76" t="n">
        <x:v>16.25</x:v>
      </x:c>
      <x:c r="J223" s="76" t="n">
        <x:v>28.84</x:v>
      </x:c>
      <x:c r="K223" s="79" t="n">
        <x:f>I223*J223</x:f>
        <x:v>468.65</x:v>
      </x:c>
      <x:c r="L223" s="94" t="n">
        <x:f>SUMIFS('门店日汇总'!$H$5:$H$60,'门店日汇总'!$A$5:$A$60,B223,'门店日汇总'!$C$5:$C$60,D223)</x:f>
        <x:v>8398.4</x:v>
      </x:c>
      <x:c r="M223" s="79" t="n">
        <x:f>IFERROR(L223/SUMIFS($I$5:$I$340,$B$5:$B$340,B223,$D$5:$D$340,D223),0)</x:f>
        <x:v>120.40716845878136</x:v>
      </x:c>
      <x:c r="N223" s="67" t="str">
        <x:v>备菜+午晚高峰</x:v>
      </x:c>
      <x:c r="O223" s="67" t="str"/>
    </x:row>
    <x:row r="224">
      <x:c r="A224" s="67" t="str">
        <x:v>SHIFT-00220</x:v>
      </x:c>
      <x:c r="B224" s="73" t="n">
        <x:v>46211.5</x:v>
      </x:c>
      <x:c r="C224" s="67" t="str">
        <x:v>周三</x:v>
      </x:c>
      <x:c r="D224" s="67" t="str">
        <x:v>S06</x:v>
      </x:c>
      <x:c r="E224" s="67" t="str">
        <x:v>蓝钻天城店</x:v>
      </x:c>
      <x:c r="F224" s="67" t="str">
        <x:v>炒菜机操作员</x:v>
      </x:c>
      <x:c r="G224" s="70" t="n">
        <x:v>2</x:v>
      </x:c>
      <x:c r="H224" s="76" t="n">
        <x:v>16</x:v>
      </x:c>
      <x:c r="I224" s="76" t="n">
        <x:v>16.5</x:v>
      </x:c>
      <x:c r="J224" s="76" t="n">
        <x:v>29.87</x:v>
      </x:c>
      <x:c r="K224" s="79" t="n">
        <x:f>I224*J224</x:f>
        <x:v>492.855</x:v>
      </x:c>
      <x:c r="L224" s="94" t="n">
        <x:f>SUMIFS('门店日汇总'!$H$5:$H$60,'门店日汇总'!$A$5:$A$60,B224,'门店日汇总'!$C$5:$C$60,D224)</x:f>
        <x:v>8398.4</x:v>
      </x:c>
      <x:c r="M224" s="79" t="n">
        <x:f>IFERROR(L224/SUMIFS($I$5:$I$340,$B$5:$B$340,B224,$D$5:$D$340,D224),0)</x:f>
        <x:v>120.40716845878136</x:v>
      </x:c>
      <x:c r="N224" s="67" t="str">
        <x:v>午晚高峰</x:v>
      </x:c>
      <x:c r="O224" s="67" t="str"/>
    </x:row>
    <x:row r="225">
      <x:c r="A225" s="67" t="str">
        <x:v>SHIFT-00221</x:v>
      </x:c>
      <x:c r="B225" s="73" t="n">
        <x:v>46211.5</x:v>
      </x:c>
      <x:c r="C225" s="67" t="str">
        <x:v>周三</x:v>
      </x:c>
      <x:c r="D225" s="67" t="str">
        <x:v>S06</x:v>
      </x:c>
      <x:c r="E225" s="67" t="str">
        <x:v>蓝钻天城店</x:v>
      </x:c>
      <x:c r="F225" s="67" t="str">
        <x:v>收银/前厅</x:v>
      </x:c>
      <x:c r="G225" s="70" t="n">
        <x:v>1</x:v>
      </x:c>
      <x:c r="H225" s="76" t="n">
        <x:v>8</x:v>
      </x:c>
      <x:c r="I225" s="76" t="n">
        <x:v>7.5</x:v>
      </x:c>
      <x:c r="J225" s="76" t="n">
        <x:v>26.78</x:v>
      </x:c>
      <x:c r="K225" s="79" t="n">
        <x:f>I225*J225</x:f>
        <x:v>200.85000000000002</x:v>
      </x:c>
      <x:c r="L225" s="94" t="n">
        <x:f>SUMIFS('门店日汇总'!$H$5:$H$60,'门店日汇总'!$A$5:$A$60,B225,'门店日汇总'!$C$5:$C$60,D225)</x:f>
        <x:v>8398.4</x:v>
      </x:c>
      <x:c r="M225" s="79" t="n">
        <x:f>IFERROR(L225/SUMIFS($I$5:$I$340,$B$5:$B$340,B225,$D$5:$D$340,D225),0)</x:f>
        <x:v>120.40716845878136</x:v>
      </x:c>
      <x:c r="N225" s="67" t="str">
        <x:v>全日</x:v>
      </x:c>
      <x:c r="O225" s="67" t="str"/>
    </x:row>
    <x:row r="226">
      <x:c r="A226" s="67" t="str">
        <x:v>SHIFT-00222</x:v>
      </x:c>
      <x:c r="B226" s="73" t="n">
        <x:v>46211.5</x:v>
      </x:c>
      <x:c r="C226" s="67" t="str">
        <x:v>周三</x:v>
      </x:c>
      <x:c r="D226" s="67" t="str">
        <x:v>S06</x:v>
      </x:c>
      <x:c r="E226" s="67" t="str">
        <x:v>蓝钻天城店</x:v>
      </x:c>
      <x:c r="F226" s="67" t="str">
        <x:v>保洁/兼职</x:v>
      </x:c>
      <x:c r="G226" s="70" t="n">
        <x:v>1</x:v>
      </x:c>
      <x:c r="H226" s="76" t="n">
        <x:v>4</x:v>
      </x:c>
      <x:c r="I226" s="76" t="n">
        <x:v>3.75</x:v>
      </x:c>
      <x:c r="J226" s="76" t="n">
        <x:v>24.72</x:v>
      </x:c>
      <x:c r="K226" s="79" t="n">
        <x:f>I226*J226</x:f>
        <x:v>92.69999999999999</x:v>
      </x:c>
      <x:c r="L226" s="94" t="n">
        <x:f>SUMIFS('门店日汇总'!$H$5:$H$60,'门店日汇总'!$A$5:$A$60,B226,'门店日汇总'!$C$5:$C$60,D226)</x:f>
        <x:v>8398.4</x:v>
      </x:c>
      <x:c r="M226" s="79" t="n">
        <x:f>IFERROR(L226/SUMIFS($I$5:$I$340,$B$5:$B$340,B226,$D$5:$D$340,D226),0)</x:f>
        <x:v>120.40716845878136</x:v>
      </x:c>
      <x:c r="N226" s="67" t="str">
        <x:v>收市</x:v>
      </x:c>
      <x:c r="O226" s="67" t="str"/>
    </x:row>
    <x:row r="227">
      <x:c r="A227" s="67" t="str">
        <x:v>SHIFT-00223</x:v>
      </x:c>
      <x:c r="B227" s="73" t="n">
        <x:v>46212.5</x:v>
      </x:c>
      <x:c r="C227" s="67" t="str">
        <x:v>周四</x:v>
      </x:c>
      <x:c r="D227" s="67" t="str">
        <x:v>S06</x:v>
      </x:c>
      <x:c r="E227" s="67" t="str">
        <x:v>蓝钻天城店</x:v>
      </x:c>
      <x:c r="F227" s="67" t="str">
        <x:v>店长/收货</x:v>
      </x:c>
      <x:c r="G227" s="70" t="n">
        <x:v>1</x:v>
      </x:c>
      <x:c r="H227" s="76" t="n">
        <x:v>10</x:v>
      </x:c>
      <x:c r="I227" s="76" t="n">
        <x:v>10</x:v>
      </x:c>
      <x:c r="J227" s="76" t="n">
        <x:v>35.02</x:v>
      </x:c>
      <x:c r="K227" s="79" t="n">
        <x:f>I227*J227</x:f>
        <x:v>350.20000000000005</x:v>
      </x:c>
      <x:c r="L227" s="94" t="n">
        <x:f>SUMIFS('门店日汇总'!$H$5:$H$60,'门店日汇总'!$A$5:$A$60,B227,'门店日汇总'!$C$5:$C$60,D227)</x:f>
        <x:v>8235.2</x:v>
      </x:c>
      <x:c r="M227" s="79" t="n">
        <x:f>IFERROR(L227/SUMIFS($I$5:$I$340,$B$5:$B$340,B227,$D$5:$D$340,D227),0)</x:f>
        <x:v>117.64571428571429</x:v>
      </x:c>
      <x:c r="N227" s="67" t="str">
        <x:v>开市+午晚高峰</x:v>
      </x:c>
      <x:c r="O227" s="67" t="str"/>
    </x:row>
    <x:row r="228">
      <x:c r="A228" s="67" t="str">
        <x:v>SHIFT-00224</x:v>
      </x:c>
      <x:c r="B228" s="73" t="n">
        <x:v>46212.5</x:v>
      </x:c>
      <x:c r="C228" s="67" t="str">
        <x:v>周四</x:v>
      </x:c>
      <x:c r="D228" s="67" t="str">
        <x:v>S06</x:v>
      </x:c>
      <x:c r="E228" s="67" t="str">
        <x:v>蓝钻天城店</x:v>
      </x:c>
      <x:c r="F228" s="67" t="str">
        <x:v>服务员</x:v>
      </x:c>
      <x:c r="G228" s="70" t="n">
        <x:v>2</x:v>
      </x:c>
      <x:c r="H228" s="76" t="n">
        <x:v>16</x:v>
      </x:c>
      <x:c r="I228" s="76" t="n">
        <x:v>16.25</x:v>
      </x:c>
      <x:c r="J228" s="76" t="n">
        <x:v>26.78</x:v>
      </x:c>
      <x:c r="K228" s="79" t="n">
        <x:f>I228*J228</x:f>
        <x:v>435.175</x:v>
      </x:c>
      <x:c r="L228" s="94" t="n">
        <x:f>SUMIFS('门店日汇总'!$H$5:$H$60,'门店日汇总'!$A$5:$A$60,B228,'门店日汇总'!$C$5:$C$60,D228)</x:f>
        <x:v>8235.2</x:v>
      </x:c>
      <x:c r="M228" s="79" t="n">
        <x:f>IFERROR(L228/SUMIFS($I$5:$I$340,$B$5:$B$340,B228,$D$5:$D$340,D228),0)</x:f>
        <x:v>117.64571428571429</x:v>
      </x:c>
      <x:c r="N228" s="67" t="str">
        <x:v>午晚高峰</x:v>
      </x:c>
      <x:c r="O228" s="67" t="str"/>
    </x:row>
    <x:row r="229">
      <x:c r="A229" s="67" t="str">
        <x:v>SHIFT-00225</x:v>
      </x:c>
      <x:c r="B229" s="73" t="n">
        <x:v>46212.5</x:v>
      </x:c>
      <x:c r="C229" s="67" t="str">
        <x:v>周四</x:v>
      </x:c>
      <x:c r="D229" s="67" t="str">
        <x:v>S06</x:v>
      </x:c>
      <x:c r="E229" s="67" t="str">
        <x:v>蓝钻天城店</x:v>
      </x:c>
      <x:c r="F229" s="67" t="str">
        <x:v>后厨小工</x:v>
      </x:c>
      <x:c r="G229" s="70" t="n">
        <x:v>2</x:v>
      </x:c>
      <x:c r="H229" s="76" t="n">
        <x:v>16</x:v>
      </x:c>
      <x:c r="I229" s="76" t="n">
        <x:v>16.5</x:v>
      </x:c>
      <x:c r="J229" s="76" t="n">
        <x:v>28.84</x:v>
      </x:c>
      <x:c r="K229" s="79" t="n">
        <x:f>I229*J229</x:f>
        <x:v>475.86</x:v>
      </x:c>
      <x:c r="L229" s="94" t="n">
        <x:f>SUMIFS('门店日汇总'!$H$5:$H$60,'门店日汇总'!$A$5:$A$60,B229,'门店日汇总'!$C$5:$C$60,D229)</x:f>
        <x:v>8235.2</x:v>
      </x:c>
      <x:c r="M229" s="79" t="n">
        <x:f>IFERROR(L229/SUMIFS($I$5:$I$340,$B$5:$B$340,B229,$D$5:$D$340,D229),0)</x:f>
        <x:v>117.64571428571429</x:v>
      </x:c>
      <x:c r="N229" s="67" t="str">
        <x:v>备菜+午晚高峰</x:v>
      </x:c>
      <x:c r="O229" s="67" t="str"/>
    </x:row>
    <x:row r="230">
      <x:c r="A230" s="67" t="str">
        <x:v>SHIFT-00226</x:v>
      </x:c>
      <x:c r="B230" s="73" t="n">
        <x:v>46212.5</x:v>
      </x:c>
      <x:c r="C230" s="67" t="str">
        <x:v>周四</x:v>
      </x:c>
      <x:c r="D230" s="67" t="str">
        <x:v>S06</x:v>
      </x:c>
      <x:c r="E230" s="67" t="str">
        <x:v>蓝钻天城店</x:v>
      </x:c>
      <x:c r="F230" s="67" t="str">
        <x:v>炒菜机操作员</x:v>
      </x:c>
      <x:c r="G230" s="70" t="n">
        <x:v>2</x:v>
      </x:c>
      <x:c r="H230" s="76" t="n">
        <x:v>16</x:v>
      </x:c>
      <x:c r="I230" s="76" t="n">
        <x:v>15.5</x:v>
      </x:c>
      <x:c r="J230" s="76" t="n">
        <x:v>29.87</x:v>
      </x:c>
      <x:c r="K230" s="79" t="n">
        <x:f>I230*J230</x:f>
        <x:v>462.985</x:v>
      </x:c>
      <x:c r="L230" s="94" t="n">
        <x:f>SUMIFS('门店日汇总'!$H$5:$H$60,'门店日汇总'!$A$5:$A$60,B230,'门店日汇总'!$C$5:$C$60,D230)</x:f>
        <x:v>8235.2</x:v>
      </x:c>
      <x:c r="M230" s="79" t="n">
        <x:f>IFERROR(L230/SUMIFS($I$5:$I$340,$B$5:$B$340,B230,$D$5:$D$340,D230),0)</x:f>
        <x:v>117.64571428571429</x:v>
      </x:c>
      <x:c r="N230" s="67" t="str">
        <x:v>午晚高峰</x:v>
      </x:c>
      <x:c r="O230" s="67" t="str"/>
    </x:row>
    <x:row r="231">
      <x:c r="A231" s="67" t="str">
        <x:v>SHIFT-00227</x:v>
      </x:c>
      <x:c r="B231" s="73" t="n">
        <x:v>46212.5</x:v>
      </x:c>
      <x:c r="C231" s="67" t="str">
        <x:v>周四</x:v>
      </x:c>
      <x:c r="D231" s="67" t="str">
        <x:v>S06</x:v>
      </x:c>
      <x:c r="E231" s="67" t="str">
        <x:v>蓝钻天城店</x:v>
      </x:c>
      <x:c r="F231" s="67" t="str">
        <x:v>收银/前厅</x:v>
      </x:c>
      <x:c r="G231" s="70" t="n">
        <x:v>1</x:v>
      </x:c>
      <x:c r="H231" s="76" t="n">
        <x:v>8</x:v>
      </x:c>
      <x:c r="I231" s="76" t="n">
        <x:v>7.75</x:v>
      </x:c>
      <x:c r="J231" s="76" t="n">
        <x:v>26.78</x:v>
      </x:c>
      <x:c r="K231" s="79" t="n">
        <x:f>I231*J231</x:f>
        <x:v>207.54500000000002</x:v>
      </x:c>
      <x:c r="L231" s="94" t="n">
        <x:f>SUMIFS('门店日汇总'!$H$5:$H$60,'门店日汇总'!$A$5:$A$60,B231,'门店日汇总'!$C$5:$C$60,D231)</x:f>
        <x:v>8235.2</x:v>
      </x:c>
      <x:c r="M231" s="79" t="n">
        <x:f>IFERROR(L231/SUMIFS($I$5:$I$340,$B$5:$B$340,B231,$D$5:$D$340,D231),0)</x:f>
        <x:v>117.64571428571429</x:v>
      </x:c>
      <x:c r="N231" s="67" t="str">
        <x:v>全日</x:v>
      </x:c>
      <x:c r="O231" s="67" t="str"/>
    </x:row>
    <x:row r="232">
      <x:c r="A232" s="67" t="str">
        <x:v>SHIFT-00228</x:v>
      </x:c>
      <x:c r="B232" s="73" t="n">
        <x:v>46212.5</x:v>
      </x:c>
      <x:c r="C232" s="67" t="str">
        <x:v>周四</x:v>
      </x:c>
      <x:c r="D232" s="67" t="str">
        <x:v>S06</x:v>
      </x:c>
      <x:c r="E232" s="67" t="str">
        <x:v>蓝钻天城店</x:v>
      </x:c>
      <x:c r="F232" s="67" t="str">
        <x:v>保洁/兼职</x:v>
      </x:c>
      <x:c r="G232" s="70" t="n">
        <x:v>1</x:v>
      </x:c>
      <x:c r="H232" s="76" t="n">
        <x:v>4</x:v>
      </x:c>
      <x:c r="I232" s="76" t="n">
        <x:v>4</x:v>
      </x:c>
      <x:c r="J232" s="76" t="n">
        <x:v>24.72</x:v>
      </x:c>
      <x:c r="K232" s="79" t="n">
        <x:f>I232*J232</x:f>
        <x:v>98.88</x:v>
      </x:c>
      <x:c r="L232" s="94" t="n">
        <x:f>SUMIFS('门店日汇总'!$H$5:$H$60,'门店日汇总'!$A$5:$A$60,B232,'门店日汇总'!$C$5:$C$60,D232)</x:f>
        <x:v>8235.2</x:v>
      </x:c>
      <x:c r="M232" s="79" t="n">
        <x:f>IFERROR(L232/SUMIFS($I$5:$I$340,$B$5:$B$340,B232,$D$5:$D$340,D232),0)</x:f>
        <x:v>117.64571428571429</x:v>
      </x:c>
      <x:c r="N232" s="67" t="str">
        <x:v>收市</x:v>
      </x:c>
      <x:c r="O232" s="67" t="str"/>
    </x:row>
    <x:row r="233">
      <x:c r="A233" s="67" t="str">
        <x:v>SHIFT-00229</x:v>
      </x:c>
      <x:c r="B233" s="73" t="n">
        <x:v>46213.5</x:v>
      </x:c>
      <x:c r="C233" s="67" t="str">
        <x:v>周五</x:v>
      </x:c>
      <x:c r="D233" s="67" t="str">
        <x:v>S06</x:v>
      </x:c>
      <x:c r="E233" s="67" t="str">
        <x:v>蓝钻天城店</x:v>
      </x:c>
      <x:c r="F233" s="67" t="str">
        <x:v>店长/收货</x:v>
      </x:c>
      <x:c r="G233" s="70" t="n">
        <x:v>1</x:v>
      </x:c>
      <x:c r="H233" s="76" t="n">
        <x:v>10</x:v>
      </x:c>
      <x:c r="I233" s="76" t="n">
        <x:v>10.25</x:v>
      </x:c>
      <x:c r="J233" s="76" t="n">
        <x:v>35.02</x:v>
      </x:c>
      <x:c r="K233" s="79" t="n">
        <x:f>I233*J233</x:f>
        <x:v>358.95500000000004</x:v>
      </x:c>
      <x:c r="L233" s="94" t="n">
        <x:f>SUMIFS('门店日汇总'!$H$5:$H$60,'门店日汇总'!$A$5:$A$60,B233,'门店日汇总'!$C$5:$C$60,D233)</x:f>
        <x:v>8565.800000000001</x:v>
      </x:c>
      <x:c r="M233" s="79" t="n">
        <x:f>IFERROR(L233/SUMIFS($I$5:$I$340,$B$5:$B$340,B233,$D$5:$D$340,D233),0)</x:f>
        <x:v>121.93309608540928</x:v>
      </x:c>
      <x:c r="N233" s="67" t="str">
        <x:v>开市+午晚高峰</x:v>
      </x:c>
      <x:c r="O233" s="67" t="str"/>
    </x:row>
    <x:row r="234">
      <x:c r="A234" s="67" t="str">
        <x:v>SHIFT-00230</x:v>
      </x:c>
      <x:c r="B234" s="73" t="n">
        <x:v>46213.5</x:v>
      </x:c>
      <x:c r="C234" s="67" t="str">
        <x:v>周五</x:v>
      </x:c>
      <x:c r="D234" s="67" t="str">
        <x:v>S06</x:v>
      </x:c>
      <x:c r="E234" s="67" t="str">
        <x:v>蓝钻天城店</x:v>
      </x:c>
      <x:c r="F234" s="67" t="str">
        <x:v>服务员</x:v>
      </x:c>
      <x:c r="G234" s="70" t="n">
        <x:v>2</x:v>
      </x:c>
      <x:c r="H234" s="76" t="n">
        <x:v>16</x:v>
      </x:c>
      <x:c r="I234" s="76" t="n">
        <x:v>16.5</x:v>
      </x:c>
      <x:c r="J234" s="76" t="n">
        <x:v>26.78</x:v>
      </x:c>
      <x:c r="K234" s="79" t="n">
        <x:f>I234*J234</x:f>
        <x:v>441.87</x:v>
      </x:c>
      <x:c r="L234" s="94" t="n">
        <x:f>SUMIFS('门店日汇总'!$H$5:$H$60,'门店日汇总'!$A$5:$A$60,B234,'门店日汇总'!$C$5:$C$60,D234)</x:f>
        <x:v>8565.800000000001</x:v>
      </x:c>
      <x:c r="M234" s="79" t="n">
        <x:f>IFERROR(L234/SUMIFS($I$5:$I$340,$B$5:$B$340,B234,$D$5:$D$340,D234),0)</x:f>
        <x:v>121.93309608540928</x:v>
      </x:c>
      <x:c r="N234" s="67" t="str">
        <x:v>午晚高峰</x:v>
      </x:c>
      <x:c r="O234" s="67" t="str"/>
    </x:row>
    <x:row r="235">
      <x:c r="A235" s="67" t="str">
        <x:v>SHIFT-00231</x:v>
      </x:c>
      <x:c r="B235" s="73" t="n">
        <x:v>46213.5</x:v>
      </x:c>
      <x:c r="C235" s="67" t="str">
        <x:v>周五</x:v>
      </x:c>
      <x:c r="D235" s="67" t="str">
        <x:v>S06</x:v>
      </x:c>
      <x:c r="E235" s="67" t="str">
        <x:v>蓝钻天城店</x:v>
      </x:c>
      <x:c r="F235" s="67" t="str">
        <x:v>后厨小工</x:v>
      </x:c>
      <x:c r="G235" s="70" t="n">
        <x:v>2</x:v>
      </x:c>
      <x:c r="H235" s="76" t="n">
        <x:v>16</x:v>
      </x:c>
      <x:c r="I235" s="76" t="n">
        <x:v>15.5</x:v>
      </x:c>
      <x:c r="J235" s="76" t="n">
        <x:v>28.84</x:v>
      </x:c>
      <x:c r="K235" s="79" t="n">
        <x:f>I235*J235</x:f>
        <x:v>447.02</x:v>
      </x:c>
      <x:c r="L235" s="94" t="n">
        <x:f>SUMIFS('门店日汇总'!$H$5:$H$60,'门店日汇总'!$A$5:$A$60,B235,'门店日汇总'!$C$5:$C$60,D235)</x:f>
        <x:v>8565.800000000001</x:v>
      </x:c>
      <x:c r="M235" s="79" t="n">
        <x:f>IFERROR(L235/SUMIFS($I$5:$I$340,$B$5:$B$340,B235,$D$5:$D$340,D235),0)</x:f>
        <x:v>121.93309608540928</x:v>
      </x:c>
      <x:c r="N235" s="67" t="str">
        <x:v>备菜+午晚高峰</x:v>
      </x:c>
      <x:c r="O235" s="67" t="str"/>
    </x:row>
    <x:row r="236">
      <x:c r="A236" s="67" t="str">
        <x:v>SHIFT-00232</x:v>
      </x:c>
      <x:c r="B236" s="73" t="n">
        <x:v>46213.5</x:v>
      </x:c>
      <x:c r="C236" s="67" t="str">
        <x:v>周五</x:v>
      </x:c>
      <x:c r="D236" s="67" t="str">
        <x:v>S06</x:v>
      </x:c>
      <x:c r="E236" s="67" t="str">
        <x:v>蓝钻天城店</x:v>
      </x:c>
      <x:c r="F236" s="67" t="str">
        <x:v>炒菜机操作员</x:v>
      </x:c>
      <x:c r="G236" s="70" t="n">
        <x:v>2</x:v>
      </x:c>
      <x:c r="H236" s="76" t="n">
        <x:v>16</x:v>
      </x:c>
      <x:c r="I236" s="76" t="n">
        <x:v>15.75</x:v>
      </x:c>
      <x:c r="J236" s="76" t="n">
        <x:v>29.87</x:v>
      </x:c>
      <x:c r="K236" s="79" t="n">
        <x:f>I236*J236</x:f>
        <x:v>470.45250000000004</x:v>
      </x:c>
      <x:c r="L236" s="94" t="n">
        <x:f>SUMIFS('门店日汇总'!$H$5:$H$60,'门店日汇总'!$A$5:$A$60,B236,'门店日汇总'!$C$5:$C$60,D236)</x:f>
        <x:v>8565.800000000001</x:v>
      </x:c>
      <x:c r="M236" s="79" t="n">
        <x:f>IFERROR(L236/SUMIFS($I$5:$I$340,$B$5:$B$340,B236,$D$5:$D$340,D236),0)</x:f>
        <x:v>121.93309608540928</x:v>
      </x:c>
      <x:c r="N236" s="67" t="str">
        <x:v>午晚高峰</x:v>
      </x:c>
      <x:c r="O236" s="67" t="str"/>
    </x:row>
    <x:row r="237">
      <x:c r="A237" s="67" t="str">
        <x:v>SHIFT-00233</x:v>
      </x:c>
      <x:c r="B237" s="73" t="n">
        <x:v>46213.5</x:v>
      </x:c>
      <x:c r="C237" s="67" t="str">
        <x:v>周五</x:v>
      </x:c>
      <x:c r="D237" s="67" t="str">
        <x:v>S06</x:v>
      </x:c>
      <x:c r="E237" s="67" t="str">
        <x:v>蓝钻天城店</x:v>
      </x:c>
      <x:c r="F237" s="67" t="str">
        <x:v>收银/前厅</x:v>
      </x:c>
      <x:c r="G237" s="70" t="n">
        <x:v>1</x:v>
      </x:c>
      <x:c r="H237" s="76" t="n">
        <x:v>8</x:v>
      </x:c>
      <x:c r="I237" s="76" t="n">
        <x:v>8</x:v>
      </x:c>
      <x:c r="J237" s="76" t="n">
        <x:v>26.78</x:v>
      </x:c>
      <x:c r="K237" s="79" t="n">
        <x:f>I237*J237</x:f>
        <x:v>214.24</x:v>
      </x:c>
      <x:c r="L237" s="94" t="n">
        <x:f>SUMIFS('门店日汇总'!$H$5:$H$60,'门店日汇总'!$A$5:$A$60,B237,'门店日汇总'!$C$5:$C$60,D237)</x:f>
        <x:v>8565.800000000001</x:v>
      </x:c>
      <x:c r="M237" s="79" t="n">
        <x:f>IFERROR(L237/SUMIFS($I$5:$I$340,$B$5:$B$340,B237,$D$5:$D$340,D237),0)</x:f>
        <x:v>121.93309608540928</x:v>
      </x:c>
      <x:c r="N237" s="67" t="str">
        <x:v>全日</x:v>
      </x:c>
      <x:c r="O237" s="67" t="str"/>
    </x:row>
    <x:row r="238">
      <x:c r="A238" s="67" t="str">
        <x:v>SHIFT-00234</x:v>
      </x:c>
      <x:c r="B238" s="73" t="n">
        <x:v>46213.5</x:v>
      </x:c>
      <x:c r="C238" s="67" t="str">
        <x:v>周五</x:v>
      </x:c>
      <x:c r="D238" s="67" t="str">
        <x:v>S06</x:v>
      </x:c>
      <x:c r="E238" s="67" t="str">
        <x:v>蓝钻天城店</x:v>
      </x:c>
      <x:c r="F238" s="67" t="str">
        <x:v>保洁/兼职</x:v>
      </x:c>
      <x:c r="G238" s="70" t="n">
        <x:v>1</x:v>
      </x:c>
      <x:c r="H238" s="76" t="n">
        <x:v>4</x:v>
      </x:c>
      <x:c r="I238" s="76" t="n">
        <x:v>4.25</x:v>
      </x:c>
      <x:c r="J238" s="76" t="n">
        <x:v>24.72</x:v>
      </x:c>
      <x:c r="K238" s="79" t="n">
        <x:f>I238*J238</x:f>
        <x:v>105.06</x:v>
      </x:c>
      <x:c r="L238" s="94" t="n">
        <x:f>SUMIFS('门店日汇总'!$H$5:$H$60,'门店日汇总'!$A$5:$A$60,B238,'门店日汇总'!$C$5:$C$60,D238)</x:f>
        <x:v>8565.800000000001</x:v>
      </x:c>
      <x:c r="M238" s="79" t="n">
        <x:f>IFERROR(L238/SUMIFS($I$5:$I$340,$B$5:$B$340,B238,$D$5:$D$340,D238),0)</x:f>
        <x:v>121.93309608540928</x:v>
      </x:c>
      <x:c r="N238" s="67" t="str">
        <x:v>收市</x:v>
      </x:c>
      <x:c r="O238" s="67" t="str"/>
    </x:row>
    <x:row r="239">
      <x:c r="A239" s="67" t="str">
        <x:v>SHIFT-00235</x:v>
      </x:c>
      <x:c r="B239" s="73" t="n">
        <x:v>46214.5</x:v>
      </x:c>
      <x:c r="C239" s="67" t="str">
        <x:v>周六</x:v>
      </x:c>
      <x:c r="D239" s="67" t="str">
        <x:v>S06</x:v>
      </x:c>
      <x:c r="E239" s="67" t="str">
        <x:v>蓝钻天城店</x:v>
      </x:c>
      <x:c r="F239" s="67" t="str">
        <x:v>店长/收货</x:v>
      </x:c>
      <x:c r="G239" s="70" t="n">
        <x:v>1</x:v>
      </x:c>
      <x:c r="H239" s="76" t="n">
        <x:v>8</x:v>
      </x:c>
      <x:c r="I239" s="76" t="n">
        <x:v>8.5</x:v>
      </x:c>
      <x:c r="J239" s="76" t="n">
        <x:v>35.02</x:v>
      </x:c>
      <x:c r="K239" s="79" t="n">
        <x:f>I239*J239</x:f>
        <x:v>297.67</x:v>
      </x:c>
      <x:c r="L239" s="94" t="n">
        <x:f>SUMIFS('门店日汇总'!$H$5:$H$60,'门店日汇总'!$A$5:$A$60,B239,'门店日汇总'!$C$5:$C$60,D239)</x:f>
        <x:v>6559.5</x:v>
      </x:c>
      <x:c r="M239" s="79" t="n">
        <x:f>IFERROR(L239/SUMIFS($I$5:$I$340,$B$5:$B$340,B239,$D$5:$D$340,D239),0)</x:f>
        <x:v>104.952</x:v>
      </x:c>
      <x:c r="N239" s="67" t="str">
        <x:v>开市+午晚高峰</x:v>
      </x:c>
      <x:c r="O239" s="67" t="str"/>
    </x:row>
    <x:row r="240">
      <x:c r="A240" s="67" t="str">
        <x:v>SHIFT-00236</x:v>
      </x:c>
      <x:c r="B240" s="73" t="n">
        <x:v>46214.5</x:v>
      </x:c>
      <x:c r="C240" s="67" t="str">
        <x:v>周六</x:v>
      </x:c>
      <x:c r="D240" s="67" t="str">
        <x:v>S06</x:v>
      </x:c>
      <x:c r="E240" s="67" t="str">
        <x:v>蓝钻天城店</x:v>
      </x:c>
      <x:c r="F240" s="67" t="str">
        <x:v>服务员</x:v>
      </x:c>
      <x:c r="G240" s="70" t="n">
        <x:v>2</x:v>
      </x:c>
      <x:c r="H240" s="76" t="n">
        <x:v>14</x:v>
      </x:c>
      <x:c r="I240" s="76" t="n">
        <x:v>13.5</x:v>
      </x:c>
      <x:c r="J240" s="76" t="n">
        <x:v>26.78</x:v>
      </x:c>
      <x:c r="K240" s="79" t="n">
        <x:f>I240*J240</x:f>
        <x:v>361.53000000000003</x:v>
      </x:c>
      <x:c r="L240" s="94" t="n">
        <x:f>SUMIFS('门店日汇总'!$H$5:$H$60,'门店日汇总'!$A$5:$A$60,B240,'门店日汇总'!$C$5:$C$60,D240)</x:f>
        <x:v>6559.5</x:v>
      </x:c>
      <x:c r="M240" s="79" t="n">
        <x:f>IFERROR(L240/SUMIFS($I$5:$I$340,$B$5:$B$340,B240,$D$5:$D$340,D240),0)</x:f>
        <x:v>104.952</x:v>
      </x:c>
      <x:c r="N240" s="67" t="str">
        <x:v>午晚高峰</x:v>
      </x:c>
      <x:c r="O240" s="67" t="str"/>
    </x:row>
    <x:row r="241">
      <x:c r="A241" s="67" t="str">
        <x:v>SHIFT-00237</x:v>
      </x:c>
      <x:c r="B241" s="73" t="n">
        <x:v>46214.5</x:v>
      </x:c>
      <x:c r="C241" s="67" t="str">
        <x:v>周六</x:v>
      </x:c>
      <x:c r="D241" s="67" t="str">
        <x:v>S06</x:v>
      </x:c>
      <x:c r="E241" s="67" t="str">
        <x:v>蓝钻天城店</x:v>
      </x:c>
      <x:c r="F241" s="67" t="str">
        <x:v>后厨小工</x:v>
      </x:c>
      <x:c r="G241" s="70" t="n">
        <x:v>2</x:v>
      </x:c>
      <x:c r="H241" s="76" t="n">
        <x:v>14</x:v>
      </x:c>
      <x:c r="I241" s="76" t="n">
        <x:v>13.75</x:v>
      </x:c>
      <x:c r="J241" s="76" t="n">
        <x:v>28.84</x:v>
      </x:c>
      <x:c r="K241" s="79" t="n">
        <x:f>I241*J241</x:f>
        <x:v>396.55</x:v>
      </x:c>
      <x:c r="L241" s="94" t="n">
        <x:f>SUMIFS('门店日汇总'!$H$5:$H$60,'门店日汇总'!$A$5:$A$60,B241,'门店日汇总'!$C$5:$C$60,D241)</x:f>
        <x:v>6559.5</x:v>
      </x:c>
      <x:c r="M241" s="79" t="n">
        <x:f>IFERROR(L241/SUMIFS($I$5:$I$340,$B$5:$B$340,B241,$D$5:$D$340,D241),0)</x:f>
        <x:v>104.952</x:v>
      </x:c>
      <x:c r="N241" s="67" t="str">
        <x:v>备菜+午晚高峰</x:v>
      </x:c>
      <x:c r="O241" s="67" t="str"/>
    </x:row>
    <x:row r="242">
      <x:c r="A242" s="67" t="str">
        <x:v>SHIFT-00238</x:v>
      </x:c>
      <x:c r="B242" s="73" t="n">
        <x:v>46214.5</x:v>
      </x:c>
      <x:c r="C242" s="67" t="str">
        <x:v>周六</x:v>
      </x:c>
      <x:c r="D242" s="67" t="str">
        <x:v>S06</x:v>
      </x:c>
      <x:c r="E242" s="67" t="str">
        <x:v>蓝钻天城店</x:v>
      </x:c>
      <x:c r="F242" s="67" t="str">
        <x:v>炒菜机操作员</x:v>
      </x:c>
      <x:c r="G242" s="70" t="n">
        <x:v>2</x:v>
      </x:c>
      <x:c r="H242" s="76" t="n">
        <x:v>14</x:v>
      </x:c>
      <x:c r="I242" s="76" t="n">
        <x:v>14</x:v>
      </x:c>
      <x:c r="J242" s="76" t="n">
        <x:v>29.87</x:v>
      </x:c>
      <x:c r="K242" s="79" t="n">
        <x:f>I242*J242</x:f>
        <x:v>418.18</x:v>
      </x:c>
      <x:c r="L242" s="94" t="n">
        <x:f>SUMIFS('门店日汇总'!$H$5:$H$60,'门店日汇总'!$A$5:$A$60,B242,'门店日汇总'!$C$5:$C$60,D242)</x:f>
        <x:v>6559.5</x:v>
      </x:c>
      <x:c r="M242" s="79" t="n">
        <x:f>IFERROR(L242/SUMIFS($I$5:$I$340,$B$5:$B$340,B242,$D$5:$D$340,D242),0)</x:f>
        <x:v>104.952</x:v>
      </x:c>
      <x:c r="N242" s="67" t="str">
        <x:v>午晚高峰</x:v>
      </x:c>
      <x:c r="O242" s="67" t="str"/>
    </x:row>
    <x:row r="243">
      <x:c r="A243" s="67" t="str">
        <x:v>SHIFT-00239</x:v>
      </x:c>
      <x:c r="B243" s="73" t="n">
        <x:v>46214.5</x:v>
      </x:c>
      <x:c r="C243" s="67" t="str">
        <x:v>周六</x:v>
      </x:c>
      <x:c r="D243" s="67" t="str">
        <x:v>S06</x:v>
      </x:c>
      <x:c r="E243" s="67" t="str">
        <x:v>蓝钻天城店</x:v>
      </x:c>
      <x:c r="F243" s="67" t="str">
        <x:v>收银/前厅</x:v>
      </x:c>
      <x:c r="G243" s="70" t="n">
        <x:v>1</x:v>
      </x:c>
      <x:c r="H243" s="76" t="n">
        <x:v>8</x:v>
      </x:c>
      <x:c r="I243" s="76" t="n">
        <x:v>8.25</x:v>
      </x:c>
      <x:c r="J243" s="76" t="n">
        <x:v>26.78</x:v>
      </x:c>
      <x:c r="K243" s="79" t="n">
        <x:f>I243*J243</x:f>
        <x:v>220.935</x:v>
      </x:c>
      <x:c r="L243" s="94" t="n">
        <x:f>SUMIFS('门店日汇总'!$H$5:$H$60,'门店日汇总'!$A$5:$A$60,B243,'门店日汇总'!$C$5:$C$60,D243)</x:f>
        <x:v>6559.5</x:v>
      </x:c>
      <x:c r="M243" s="79" t="n">
        <x:f>IFERROR(L243/SUMIFS($I$5:$I$340,$B$5:$B$340,B243,$D$5:$D$340,D243),0)</x:f>
        <x:v>104.952</x:v>
      </x:c>
      <x:c r="N243" s="67" t="str">
        <x:v>全日</x:v>
      </x:c>
      <x:c r="O243" s="67" t="str"/>
    </x:row>
    <x:row r="244">
      <x:c r="A244" s="67" t="str">
        <x:v>SHIFT-00240</x:v>
      </x:c>
      <x:c r="B244" s="73" t="n">
        <x:v>46214.5</x:v>
      </x:c>
      <x:c r="C244" s="67" t="str">
        <x:v>周六</x:v>
      </x:c>
      <x:c r="D244" s="67" t="str">
        <x:v>S06</x:v>
      </x:c>
      <x:c r="E244" s="67" t="str">
        <x:v>蓝钻天城店</x:v>
      </x:c>
      <x:c r="F244" s="67" t="str">
        <x:v>保洁/兼职</x:v>
      </x:c>
      <x:c r="G244" s="70" t="n">
        <x:v>1</x:v>
      </x:c>
      <x:c r="H244" s="76" t="n">
        <x:v>4</x:v>
      </x:c>
      <x:c r="I244" s="76" t="n">
        <x:v>4.5</x:v>
      </x:c>
      <x:c r="J244" s="76" t="n">
        <x:v>24.72</x:v>
      </x:c>
      <x:c r="K244" s="79" t="n">
        <x:f>I244*J244</x:f>
        <x:v>111.24</x:v>
      </x:c>
      <x:c r="L244" s="94" t="n">
        <x:f>SUMIFS('门店日汇总'!$H$5:$H$60,'门店日汇总'!$A$5:$A$60,B244,'门店日汇总'!$C$5:$C$60,D244)</x:f>
        <x:v>6559.5</x:v>
      </x:c>
      <x:c r="M244" s="79" t="n">
        <x:f>IFERROR(L244/SUMIFS($I$5:$I$340,$B$5:$B$340,B244,$D$5:$D$340,D244),0)</x:f>
        <x:v>104.952</x:v>
      </x:c>
      <x:c r="N244" s="67" t="str">
        <x:v>收市</x:v>
      </x:c>
      <x:c r="O244" s="67" t="str"/>
    </x:row>
    <x:row r="245">
      <x:c r="A245" s="67" t="str">
        <x:v>SHIFT-00241</x:v>
      </x:c>
      <x:c r="B245" s="73" t="n">
        <x:v>46215.5</x:v>
      </x:c>
      <x:c r="C245" s="67" t="str">
        <x:v>周日</x:v>
      </x:c>
      <x:c r="D245" s="67" t="str">
        <x:v>S06</x:v>
      </x:c>
      <x:c r="E245" s="67" t="str">
        <x:v>蓝钻天城店</x:v>
      </x:c>
      <x:c r="F245" s="67" t="str">
        <x:v>店长/收货</x:v>
      </x:c>
      <x:c r="G245" s="70" t="n">
        <x:v>1</x:v>
      </x:c>
      <x:c r="H245" s="76" t="n">
        <x:v>8</x:v>
      </x:c>
      <x:c r="I245" s="76" t="n">
        <x:v>7.5</x:v>
      </x:c>
      <x:c r="J245" s="76" t="n">
        <x:v>35.02</x:v>
      </x:c>
      <x:c r="K245" s="79" t="n">
        <x:f>I245*J245</x:f>
        <x:v>262.65000000000003</x:v>
      </x:c>
      <x:c r="L245" s="94" t="n">
        <x:f>SUMIFS('门店日汇总'!$H$5:$H$60,'门店日汇总'!$A$5:$A$60,B245,'门店日汇总'!$C$5:$C$60,D245)</x:f>
        <x:v>6398.199999999999</x:v>
      </x:c>
      <x:c r="M245" s="79" t="n">
        <x:f>IFERROR(L245/SUMIFS($I$5:$I$340,$B$5:$B$340,B245,$D$5:$D$340,D245),0)</x:f>
        <x:v>104.03577235772356</x:v>
      </x:c>
      <x:c r="N245" s="67" t="str">
        <x:v>开市+午晚高峰</x:v>
      </x:c>
      <x:c r="O245" s="67" t="str"/>
    </x:row>
    <x:row r="246">
      <x:c r="A246" s="67" t="str">
        <x:v>SHIFT-00242</x:v>
      </x:c>
      <x:c r="B246" s="73" t="n">
        <x:v>46215.5</x:v>
      </x:c>
      <x:c r="C246" s="67" t="str">
        <x:v>周日</x:v>
      </x:c>
      <x:c r="D246" s="67" t="str">
        <x:v>S06</x:v>
      </x:c>
      <x:c r="E246" s="67" t="str">
        <x:v>蓝钻天城店</x:v>
      </x:c>
      <x:c r="F246" s="67" t="str">
        <x:v>服务员</x:v>
      </x:c>
      <x:c r="G246" s="70" t="n">
        <x:v>2</x:v>
      </x:c>
      <x:c r="H246" s="76" t="n">
        <x:v>14</x:v>
      </x:c>
      <x:c r="I246" s="76" t="n">
        <x:v>13.75</x:v>
      </x:c>
      <x:c r="J246" s="76" t="n">
        <x:v>26.78</x:v>
      </x:c>
      <x:c r="K246" s="79" t="n">
        <x:f>I246*J246</x:f>
        <x:v>368.225</x:v>
      </x:c>
      <x:c r="L246" s="94" t="n">
        <x:f>SUMIFS('门店日汇总'!$H$5:$H$60,'门店日汇总'!$A$5:$A$60,B246,'门店日汇总'!$C$5:$C$60,D246)</x:f>
        <x:v>6398.199999999999</x:v>
      </x:c>
      <x:c r="M246" s="79" t="n">
        <x:f>IFERROR(L246/SUMIFS($I$5:$I$340,$B$5:$B$340,B246,$D$5:$D$340,D246),0)</x:f>
        <x:v>104.03577235772356</x:v>
      </x:c>
      <x:c r="N246" s="67" t="str">
        <x:v>午晚高峰</x:v>
      </x:c>
      <x:c r="O246" s="67" t="str"/>
    </x:row>
    <x:row r="247">
      <x:c r="A247" s="67" t="str">
        <x:v>SHIFT-00243</x:v>
      </x:c>
      <x:c r="B247" s="73" t="n">
        <x:v>46215.5</x:v>
      </x:c>
      <x:c r="C247" s="67" t="str">
        <x:v>周日</x:v>
      </x:c>
      <x:c r="D247" s="67" t="str">
        <x:v>S06</x:v>
      </x:c>
      <x:c r="E247" s="67" t="str">
        <x:v>蓝钻天城店</x:v>
      </x:c>
      <x:c r="F247" s="67" t="str">
        <x:v>后厨小工</x:v>
      </x:c>
      <x:c r="G247" s="70" t="n">
        <x:v>2</x:v>
      </x:c>
      <x:c r="H247" s="76" t="n">
        <x:v>14</x:v>
      </x:c>
      <x:c r="I247" s="76" t="n">
        <x:v>14</x:v>
      </x:c>
      <x:c r="J247" s="76" t="n">
        <x:v>28.84</x:v>
      </x:c>
      <x:c r="K247" s="79" t="n">
        <x:f>I247*J247</x:f>
        <x:v>403.76</x:v>
      </x:c>
      <x:c r="L247" s="94" t="n">
        <x:f>SUMIFS('门店日汇总'!$H$5:$H$60,'门店日汇总'!$A$5:$A$60,B247,'门店日汇总'!$C$5:$C$60,D247)</x:f>
        <x:v>6398.199999999999</x:v>
      </x:c>
      <x:c r="M247" s="79" t="n">
        <x:f>IFERROR(L247/SUMIFS($I$5:$I$340,$B$5:$B$340,B247,$D$5:$D$340,D247),0)</x:f>
        <x:v>104.03577235772356</x:v>
      </x:c>
      <x:c r="N247" s="67" t="str">
        <x:v>备菜+午晚高峰</x:v>
      </x:c>
      <x:c r="O247" s="67" t="str"/>
    </x:row>
    <x:row r="248">
      <x:c r="A248" s="67" t="str">
        <x:v>SHIFT-00244</x:v>
      </x:c>
      <x:c r="B248" s="73" t="n">
        <x:v>46215.5</x:v>
      </x:c>
      <x:c r="C248" s="67" t="str">
        <x:v>周日</x:v>
      </x:c>
      <x:c r="D248" s="67" t="str">
        <x:v>S06</x:v>
      </x:c>
      <x:c r="E248" s="67" t="str">
        <x:v>蓝钻天城店</x:v>
      </x:c>
      <x:c r="F248" s="67" t="str">
        <x:v>炒菜机操作员</x:v>
      </x:c>
      <x:c r="G248" s="70" t="n">
        <x:v>2</x:v>
      </x:c>
      <x:c r="H248" s="76" t="n">
        <x:v>14</x:v>
      </x:c>
      <x:c r="I248" s="76" t="n">
        <x:v>14.25</x:v>
      </x:c>
      <x:c r="J248" s="76" t="n">
        <x:v>29.87</x:v>
      </x:c>
      <x:c r="K248" s="79" t="n">
        <x:f>I248*J248</x:f>
        <x:v>425.64750000000004</x:v>
      </x:c>
      <x:c r="L248" s="94" t="n">
        <x:f>SUMIFS('门店日汇总'!$H$5:$H$60,'门店日汇总'!$A$5:$A$60,B248,'门店日汇总'!$C$5:$C$60,D248)</x:f>
        <x:v>6398.199999999999</x:v>
      </x:c>
      <x:c r="M248" s="79" t="n">
        <x:f>IFERROR(L248/SUMIFS($I$5:$I$340,$B$5:$B$340,B248,$D$5:$D$340,D248),0)</x:f>
        <x:v>104.03577235772356</x:v>
      </x:c>
      <x:c r="N248" s="67" t="str">
        <x:v>午晚高峰</x:v>
      </x:c>
      <x:c r="O248" s="67" t="str"/>
    </x:row>
    <x:row r="249">
      <x:c r="A249" s="67" t="str">
        <x:v>SHIFT-00245</x:v>
      </x:c>
      <x:c r="B249" s="73" t="n">
        <x:v>46215.5</x:v>
      </x:c>
      <x:c r="C249" s="67" t="str">
        <x:v>周日</x:v>
      </x:c>
      <x:c r="D249" s="67" t="str">
        <x:v>S06</x:v>
      </x:c>
      <x:c r="E249" s="67" t="str">
        <x:v>蓝钻天城店</x:v>
      </x:c>
      <x:c r="F249" s="67" t="str">
        <x:v>收银/前厅</x:v>
      </x:c>
      <x:c r="G249" s="70" t="n">
        <x:v>1</x:v>
      </x:c>
      <x:c r="H249" s="76" t="n">
        <x:v>8</x:v>
      </x:c>
      <x:c r="I249" s="76" t="n">
        <x:v>8.5</x:v>
      </x:c>
      <x:c r="J249" s="76" t="n">
        <x:v>26.78</x:v>
      </x:c>
      <x:c r="K249" s="79" t="n">
        <x:f>I249*J249</x:f>
        <x:v>227.63</x:v>
      </x:c>
      <x:c r="L249" s="94" t="n">
        <x:f>SUMIFS('门店日汇总'!$H$5:$H$60,'门店日汇总'!$A$5:$A$60,B249,'门店日汇总'!$C$5:$C$60,D249)</x:f>
        <x:v>6398.199999999999</x:v>
      </x:c>
      <x:c r="M249" s="79" t="n">
        <x:f>IFERROR(L249/SUMIFS($I$5:$I$340,$B$5:$B$340,B249,$D$5:$D$340,D249),0)</x:f>
        <x:v>104.03577235772356</x:v>
      </x:c>
      <x:c r="N249" s="67" t="str">
        <x:v>全日</x:v>
      </x:c>
      <x:c r="O249" s="67" t="str"/>
    </x:row>
    <x:row r="250">
      <x:c r="A250" s="67" t="str">
        <x:v>SHIFT-00246</x:v>
      </x:c>
      <x:c r="B250" s="73" t="n">
        <x:v>46215.5</x:v>
      </x:c>
      <x:c r="C250" s="67" t="str">
        <x:v>周日</x:v>
      </x:c>
      <x:c r="D250" s="67" t="str">
        <x:v>S06</x:v>
      </x:c>
      <x:c r="E250" s="67" t="str">
        <x:v>蓝钻天城店</x:v>
      </x:c>
      <x:c r="F250" s="67" t="str">
        <x:v>保洁/兼职</x:v>
      </x:c>
      <x:c r="G250" s="70" t="n">
        <x:v>1</x:v>
      </x:c>
      <x:c r="H250" s="76" t="n">
        <x:v>4</x:v>
      </x:c>
      <x:c r="I250" s="76" t="n">
        <x:v>3.5</x:v>
      </x:c>
      <x:c r="J250" s="76" t="n">
        <x:v>24.72</x:v>
      </x:c>
      <x:c r="K250" s="79" t="n">
        <x:f>I250*J250</x:f>
        <x:v>86.52</x:v>
      </x:c>
      <x:c r="L250" s="94" t="n">
        <x:f>SUMIFS('门店日汇总'!$H$5:$H$60,'门店日汇总'!$A$5:$A$60,B250,'门店日汇总'!$C$5:$C$60,D250)</x:f>
        <x:v>6398.199999999999</x:v>
      </x:c>
      <x:c r="M250" s="79" t="n">
        <x:f>IFERROR(L250/SUMIFS($I$5:$I$340,$B$5:$B$340,B250,$D$5:$D$340,D250),0)</x:f>
        <x:v>104.03577235772356</x:v>
      </x:c>
      <x:c r="N250" s="67" t="str">
        <x:v>收市</x:v>
      </x:c>
      <x:c r="O250" s="67" t="str"/>
    </x:row>
    <x:row r="251">
      <x:c r="A251" s="67" t="str">
        <x:v>SHIFT-00247</x:v>
      </x:c>
      <x:c r="B251" s="73" t="n">
        <x:v>46216.5</x:v>
      </x:c>
      <x:c r="C251" s="67" t="str">
        <x:v>周一</x:v>
      </x:c>
      <x:c r="D251" s="67" t="str">
        <x:v>S06</x:v>
      </x:c>
      <x:c r="E251" s="67" t="str">
        <x:v>蓝钻天城店</x:v>
      </x:c>
      <x:c r="F251" s="67" t="str">
        <x:v>店长/收货</x:v>
      </x:c>
      <x:c r="G251" s="70" t="n">
        <x:v>1</x:v>
      </x:c>
      <x:c r="H251" s="76" t="n">
        <x:v>10</x:v>
      </x:c>
      <x:c r="I251" s="76" t="n">
        <x:v>9.75</x:v>
      </x:c>
      <x:c r="J251" s="76" t="n">
        <x:v>35.02</x:v>
      </x:c>
      <x:c r="K251" s="79" t="n">
        <x:f>I251*J251</x:f>
        <x:v>341.44500000000005</x:v>
      </x:c>
      <x:c r="L251" s="94" t="n">
        <x:f>SUMIFS('门店日汇总'!$H$5:$H$60,'门店日汇总'!$A$5:$A$60,B251,'门店日汇总'!$C$5:$C$60,D251)</x:f>
        <x:v>9197.9</x:v>
      </x:c>
      <x:c r="M251" s="79" t="n">
        <x:f>IFERROR(L251/SUMIFS($I$5:$I$340,$B$5:$B$340,B251,$D$5:$D$340,D251),0)</x:f>
        <x:v>131.8695340501792</x:v>
      </x:c>
      <x:c r="N251" s="67" t="str">
        <x:v>开市+午晚高峰</x:v>
      </x:c>
      <x:c r="O251" s="67" t="str"/>
    </x:row>
    <x:row r="252">
      <x:c r="A252" s="67" t="str">
        <x:v>SHIFT-00248</x:v>
      </x:c>
      <x:c r="B252" s="73" t="n">
        <x:v>46216.5</x:v>
      </x:c>
      <x:c r="C252" s="67" t="str">
        <x:v>周一</x:v>
      </x:c>
      <x:c r="D252" s="67" t="str">
        <x:v>S06</x:v>
      </x:c>
      <x:c r="E252" s="67" t="str">
        <x:v>蓝钻天城店</x:v>
      </x:c>
      <x:c r="F252" s="67" t="str">
        <x:v>服务员</x:v>
      </x:c>
      <x:c r="G252" s="70" t="n">
        <x:v>2</x:v>
      </x:c>
      <x:c r="H252" s="76" t="n">
        <x:v>16</x:v>
      </x:c>
      <x:c r="I252" s="76" t="n">
        <x:v>16</x:v>
      </x:c>
      <x:c r="J252" s="76" t="n">
        <x:v>26.78</x:v>
      </x:c>
      <x:c r="K252" s="79" t="n">
        <x:f>I252*J252</x:f>
        <x:v>428.48</x:v>
      </x:c>
      <x:c r="L252" s="94" t="n">
        <x:f>SUMIFS('门店日汇总'!$H$5:$H$60,'门店日汇总'!$A$5:$A$60,B252,'门店日汇总'!$C$5:$C$60,D252)</x:f>
        <x:v>9197.9</x:v>
      </x:c>
      <x:c r="M252" s="79" t="n">
        <x:f>IFERROR(L252/SUMIFS($I$5:$I$340,$B$5:$B$340,B252,$D$5:$D$340,D252),0)</x:f>
        <x:v>131.8695340501792</x:v>
      </x:c>
      <x:c r="N252" s="67" t="str">
        <x:v>午晚高峰</x:v>
      </x:c>
      <x:c r="O252" s="67" t="str"/>
    </x:row>
    <x:row r="253">
      <x:c r="A253" s="67" t="str">
        <x:v>SHIFT-00249</x:v>
      </x:c>
      <x:c r="B253" s="73" t="n">
        <x:v>46216.5</x:v>
      </x:c>
      <x:c r="C253" s="67" t="str">
        <x:v>周一</x:v>
      </x:c>
      <x:c r="D253" s="67" t="str">
        <x:v>S06</x:v>
      </x:c>
      <x:c r="E253" s="67" t="str">
        <x:v>蓝钻天城店</x:v>
      </x:c>
      <x:c r="F253" s="67" t="str">
        <x:v>后厨小工</x:v>
      </x:c>
      <x:c r="G253" s="70" t="n">
        <x:v>2</x:v>
      </x:c>
      <x:c r="H253" s="76" t="n">
        <x:v>16</x:v>
      </x:c>
      <x:c r="I253" s="76" t="n">
        <x:v>16.25</x:v>
      </x:c>
      <x:c r="J253" s="76" t="n">
        <x:v>28.84</x:v>
      </x:c>
      <x:c r="K253" s="79" t="n">
        <x:f>I253*J253</x:f>
        <x:v>468.65</x:v>
      </x:c>
      <x:c r="L253" s="94" t="n">
        <x:f>SUMIFS('门店日汇总'!$H$5:$H$60,'门店日汇总'!$A$5:$A$60,B253,'门店日汇总'!$C$5:$C$60,D253)</x:f>
        <x:v>9197.9</x:v>
      </x:c>
      <x:c r="M253" s="79" t="n">
        <x:f>IFERROR(L253/SUMIFS($I$5:$I$340,$B$5:$B$340,B253,$D$5:$D$340,D253),0)</x:f>
        <x:v>131.8695340501792</x:v>
      </x:c>
      <x:c r="N253" s="67" t="str">
        <x:v>备菜+午晚高峰</x:v>
      </x:c>
      <x:c r="O253" s="67" t="str"/>
    </x:row>
    <x:row r="254">
      <x:c r="A254" s="67" t="str">
        <x:v>SHIFT-00250</x:v>
      </x:c>
      <x:c r="B254" s="73" t="n">
        <x:v>46216.5</x:v>
      </x:c>
      <x:c r="C254" s="67" t="str">
        <x:v>周一</x:v>
      </x:c>
      <x:c r="D254" s="67" t="str">
        <x:v>S06</x:v>
      </x:c>
      <x:c r="E254" s="67" t="str">
        <x:v>蓝钻天城店</x:v>
      </x:c>
      <x:c r="F254" s="67" t="str">
        <x:v>炒菜机操作员</x:v>
      </x:c>
      <x:c r="G254" s="70" t="n">
        <x:v>2</x:v>
      </x:c>
      <x:c r="H254" s="76" t="n">
        <x:v>16</x:v>
      </x:c>
      <x:c r="I254" s="76" t="n">
        <x:v>16.5</x:v>
      </x:c>
      <x:c r="J254" s="76" t="n">
        <x:v>29.87</x:v>
      </x:c>
      <x:c r="K254" s="79" t="n">
        <x:f>I254*J254</x:f>
        <x:v>492.855</x:v>
      </x:c>
      <x:c r="L254" s="94" t="n">
        <x:f>SUMIFS('门店日汇总'!$H$5:$H$60,'门店日汇总'!$A$5:$A$60,B254,'门店日汇总'!$C$5:$C$60,D254)</x:f>
        <x:v>9197.9</x:v>
      </x:c>
      <x:c r="M254" s="79" t="n">
        <x:f>IFERROR(L254/SUMIFS($I$5:$I$340,$B$5:$B$340,B254,$D$5:$D$340,D254),0)</x:f>
        <x:v>131.8695340501792</x:v>
      </x:c>
      <x:c r="N254" s="67" t="str">
        <x:v>午晚高峰</x:v>
      </x:c>
      <x:c r="O254" s="67" t="str"/>
    </x:row>
    <x:row r="255">
      <x:c r="A255" s="67" t="str">
        <x:v>SHIFT-00251</x:v>
      </x:c>
      <x:c r="B255" s="73" t="n">
        <x:v>46216.5</x:v>
      </x:c>
      <x:c r="C255" s="67" t="str">
        <x:v>周一</x:v>
      </x:c>
      <x:c r="D255" s="67" t="str">
        <x:v>S06</x:v>
      </x:c>
      <x:c r="E255" s="67" t="str">
        <x:v>蓝钻天城店</x:v>
      </x:c>
      <x:c r="F255" s="67" t="str">
        <x:v>收银/前厅</x:v>
      </x:c>
      <x:c r="G255" s="70" t="n">
        <x:v>1</x:v>
      </x:c>
      <x:c r="H255" s="76" t="n">
        <x:v>8</x:v>
      </x:c>
      <x:c r="I255" s="76" t="n">
        <x:v>7.5</x:v>
      </x:c>
      <x:c r="J255" s="76" t="n">
        <x:v>26.78</x:v>
      </x:c>
      <x:c r="K255" s="79" t="n">
        <x:f>I255*J255</x:f>
        <x:v>200.85000000000002</x:v>
      </x:c>
      <x:c r="L255" s="94" t="n">
        <x:f>SUMIFS('门店日汇总'!$H$5:$H$60,'门店日汇总'!$A$5:$A$60,B255,'门店日汇总'!$C$5:$C$60,D255)</x:f>
        <x:v>9197.9</x:v>
      </x:c>
      <x:c r="M255" s="79" t="n">
        <x:f>IFERROR(L255/SUMIFS($I$5:$I$340,$B$5:$B$340,B255,$D$5:$D$340,D255),0)</x:f>
        <x:v>131.8695340501792</x:v>
      </x:c>
      <x:c r="N255" s="67" t="str">
        <x:v>全日</x:v>
      </x:c>
      <x:c r="O255" s="67" t="str"/>
    </x:row>
    <x:row r="256">
      <x:c r="A256" s="67" t="str">
        <x:v>SHIFT-00252</x:v>
      </x:c>
      <x:c r="B256" s="73" t="n">
        <x:v>46216.5</x:v>
      </x:c>
      <x:c r="C256" s="67" t="str">
        <x:v>周一</x:v>
      </x:c>
      <x:c r="D256" s="67" t="str">
        <x:v>S06</x:v>
      </x:c>
      <x:c r="E256" s="67" t="str">
        <x:v>蓝钻天城店</x:v>
      </x:c>
      <x:c r="F256" s="67" t="str">
        <x:v>保洁/兼职</x:v>
      </x:c>
      <x:c r="G256" s="70" t="n">
        <x:v>1</x:v>
      </x:c>
      <x:c r="H256" s="76" t="n">
        <x:v>4</x:v>
      </x:c>
      <x:c r="I256" s="76" t="n">
        <x:v>3.75</x:v>
      </x:c>
      <x:c r="J256" s="76" t="n">
        <x:v>24.72</x:v>
      </x:c>
      <x:c r="K256" s="79" t="n">
        <x:f>I256*J256</x:f>
        <x:v>92.69999999999999</x:v>
      </x:c>
      <x:c r="L256" s="94" t="n">
        <x:f>SUMIFS('门店日汇总'!$H$5:$H$60,'门店日汇总'!$A$5:$A$60,B256,'门店日汇总'!$C$5:$C$60,D256)</x:f>
        <x:v>9197.9</x:v>
      </x:c>
      <x:c r="M256" s="79" t="n">
        <x:f>IFERROR(L256/SUMIFS($I$5:$I$340,$B$5:$B$340,B256,$D$5:$D$340,D256),0)</x:f>
        <x:v>131.8695340501792</x:v>
      </x:c>
      <x:c r="N256" s="67" t="str">
        <x:v>收市</x:v>
      </x:c>
      <x:c r="O256" s="67" t="str"/>
    </x:row>
    <x:row r="257">
      <x:c r="A257" s="67" t="str">
        <x:v>SHIFT-00253</x:v>
      </x:c>
      <x:c r="B257" s="73" t="n">
        <x:v>46210.5</x:v>
      </x:c>
      <x:c r="C257" s="67" t="str">
        <x:v>周二</x:v>
      </x:c>
      <x:c r="D257" s="67" t="str">
        <x:v>S07</x:v>
      </x:c>
      <x:c r="E257" s="67" t="str">
        <x:v>小和山店</x:v>
      </x:c>
      <x:c r="F257" s="67" t="str">
        <x:v>店长/收货</x:v>
      </x:c>
      <x:c r="G257" s="70" t="n">
        <x:v>1</x:v>
      </x:c>
      <x:c r="H257" s="76" t="n">
        <x:v>10</x:v>
      </x:c>
      <x:c r="I257" s="76" t="n">
        <x:v>10.25</x:v>
      </x:c>
      <x:c r="J257" s="76" t="n">
        <x:v>35.63</x:v>
      </x:c>
      <x:c r="K257" s="79" t="n">
        <x:f>I257*J257</x:f>
        <x:v>365.20750000000004</x:v>
      </x:c>
      <x:c r="L257" s="94" t="n">
        <x:f>SUMIFS('门店日汇总'!$H$5:$H$60,'门店日汇总'!$A$5:$A$60,B257,'门店日汇总'!$C$5:$C$60,D257)</x:f>
        <x:v>8282.3</x:v>
      </x:c>
      <x:c r="M257" s="79" t="n">
        <x:f>IFERROR(L257/SUMIFS($I$5:$I$340,$B$5:$B$340,B257,$D$5:$D$340,D257),0)</x:f>
        <x:v>117.89750889679715</x:v>
      </x:c>
      <x:c r="N257" s="67" t="str">
        <x:v>开市+午晚高峰</x:v>
      </x:c>
      <x:c r="O257" s="67" t="str"/>
    </x:row>
    <x:row r="258">
      <x:c r="A258" s="67" t="str">
        <x:v>SHIFT-00254</x:v>
      </x:c>
      <x:c r="B258" s="73" t="n">
        <x:v>46210.5</x:v>
      </x:c>
      <x:c r="C258" s="67" t="str">
        <x:v>周二</x:v>
      </x:c>
      <x:c r="D258" s="67" t="str">
        <x:v>S07</x:v>
      </x:c>
      <x:c r="E258" s="67" t="str">
        <x:v>小和山店</x:v>
      </x:c>
      <x:c r="F258" s="67" t="str">
        <x:v>服务员</x:v>
      </x:c>
      <x:c r="G258" s="70" t="n">
        <x:v>2</x:v>
      </x:c>
      <x:c r="H258" s="76" t="n">
        <x:v>16</x:v>
      </x:c>
      <x:c r="I258" s="76" t="n">
        <x:v>16.5</x:v>
      </x:c>
      <x:c r="J258" s="76" t="n">
        <x:v>27.25</x:v>
      </x:c>
      <x:c r="K258" s="79" t="n">
        <x:f>I258*J258</x:f>
        <x:v>449.625</x:v>
      </x:c>
      <x:c r="L258" s="94" t="n">
        <x:f>SUMIFS('门店日汇总'!$H$5:$H$60,'门店日汇总'!$A$5:$A$60,B258,'门店日汇总'!$C$5:$C$60,D258)</x:f>
        <x:v>8282.3</x:v>
      </x:c>
      <x:c r="M258" s="79" t="n">
        <x:f>IFERROR(L258/SUMIFS($I$5:$I$340,$B$5:$B$340,B258,$D$5:$D$340,D258),0)</x:f>
        <x:v>117.89750889679715</x:v>
      </x:c>
      <x:c r="N258" s="67" t="str">
        <x:v>午晚高峰</x:v>
      </x:c>
      <x:c r="O258" s="67" t="str"/>
    </x:row>
    <x:row r="259">
      <x:c r="A259" s="67" t="str">
        <x:v>SHIFT-00255</x:v>
      </x:c>
      <x:c r="B259" s="73" t="n">
        <x:v>46210.5</x:v>
      </x:c>
      <x:c r="C259" s="67" t="str">
        <x:v>周二</x:v>
      </x:c>
      <x:c r="D259" s="67" t="str">
        <x:v>S07</x:v>
      </x:c>
      <x:c r="E259" s="67" t="str">
        <x:v>小和山店</x:v>
      </x:c>
      <x:c r="F259" s="67" t="str">
        <x:v>后厨小工</x:v>
      </x:c>
      <x:c r="G259" s="70" t="n">
        <x:v>2</x:v>
      </x:c>
      <x:c r="H259" s="76" t="n">
        <x:v>16</x:v>
      </x:c>
      <x:c r="I259" s="76" t="n">
        <x:v>15.5</x:v>
      </x:c>
      <x:c r="J259" s="76" t="n">
        <x:v>29.34</x:v>
      </x:c>
      <x:c r="K259" s="79" t="n">
        <x:f>I259*J259</x:f>
        <x:v>454.77</x:v>
      </x:c>
      <x:c r="L259" s="94" t="n">
        <x:f>SUMIFS('门店日汇总'!$H$5:$H$60,'门店日汇总'!$A$5:$A$60,B259,'门店日汇总'!$C$5:$C$60,D259)</x:f>
        <x:v>8282.3</x:v>
      </x:c>
      <x:c r="M259" s="79" t="n">
        <x:f>IFERROR(L259/SUMIFS($I$5:$I$340,$B$5:$B$340,B259,$D$5:$D$340,D259),0)</x:f>
        <x:v>117.89750889679715</x:v>
      </x:c>
      <x:c r="N259" s="67" t="str">
        <x:v>备菜+午晚高峰</x:v>
      </x:c>
      <x:c r="O259" s="67" t="str"/>
    </x:row>
    <x:row r="260">
      <x:c r="A260" s="67" t="str">
        <x:v>SHIFT-00256</x:v>
      </x:c>
      <x:c r="B260" s="73" t="n">
        <x:v>46210.5</x:v>
      </x:c>
      <x:c r="C260" s="67" t="str">
        <x:v>周二</x:v>
      </x:c>
      <x:c r="D260" s="67" t="str">
        <x:v>S07</x:v>
      </x:c>
      <x:c r="E260" s="67" t="str">
        <x:v>小和山店</x:v>
      </x:c>
      <x:c r="F260" s="67" t="str">
        <x:v>炒菜机操作员</x:v>
      </x:c>
      <x:c r="G260" s="70" t="n">
        <x:v>2</x:v>
      </x:c>
      <x:c r="H260" s="76" t="n">
        <x:v>16</x:v>
      </x:c>
      <x:c r="I260" s="76" t="n">
        <x:v>15.75</x:v>
      </x:c>
      <x:c r="J260" s="76" t="n">
        <x:v>30.39</x:v>
      </x:c>
      <x:c r="K260" s="79" t="n">
        <x:f>I260*J260</x:f>
        <x:v>478.6425</x:v>
      </x:c>
      <x:c r="L260" s="94" t="n">
        <x:f>SUMIFS('门店日汇总'!$H$5:$H$60,'门店日汇总'!$A$5:$A$60,B260,'门店日汇总'!$C$5:$C$60,D260)</x:f>
        <x:v>8282.3</x:v>
      </x:c>
      <x:c r="M260" s="79" t="n">
        <x:f>IFERROR(L260/SUMIFS($I$5:$I$340,$B$5:$B$340,B260,$D$5:$D$340,D260),0)</x:f>
        <x:v>117.89750889679715</x:v>
      </x:c>
      <x:c r="N260" s="67" t="str">
        <x:v>午晚高峰</x:v>
      </x:c>
      <x:c r="O260" s="67" t="str"/>
    </x:row>
    <x:row r="261">
      <x:c r="A261" s="67" t="str">
        <x:v>SHIFT-00257</x:v>
      </x:c>
      <x:c r="B261" s="73" t="n">
        <x:v>46210.5</x:v>
      </x:c>
      <x:c r="C261" s="67" t="str">
        <x:v>周二</x:v>
      </x:c>
      <x:c r="D261" s="67" t="str">
        <x:v>S07</x:v>
      </x:c>
      <x:c r="E261" s="67" t="str">
        <x:v>小和山店</x:v>
      </x:c>
      <x:c r="F261" s="67" t="str">
        <x:v>收银/前厅</x:v>
      </x:c>
      <x:c r="G261" s="70" t="n">
        <x:v>1</x:v>
      </x:c>
      <x:c r="H261" s="76" t="n">
        <x:v>8</x:v>
      </x:c>
      <x:c r="I261" s="76" t="n">
        <x:v>8</x:v>
      </x:c>
      <x:c r="J261" s="76" t="n">
        <x:v>27.25</x:v>
      </x:c>
      <x:c r="K261" s="79" t="n">
        <x:f>I261*J261</x:f>
        <x:v>218</x:v>
      </x:c>
      <x:c r="L261" s="94" t="n">
        <x:f>SUMIFS('门店日汇总'!$H$5:$H$60,'门店日汇总'!$A$5:$A$60,B261,'门店日汇总'!$C$5:$C$60,D261)</x:f>
        <x:v>8282.3</x:v>
      </x:c>
      <x:c r="M261" s="79" t="n">
        <x:f>IFERROR(L261/SUMIFS($I$5:$I$340,$B$5:$B$340,B261,$D$5:$D$340,D261),0)</x:f>
        <x:v>117.89750889679715</x:v>
      </x:c>
      <x:c r="N261" s="67" t="str">
        <x:v>全日</x:v>
      </x:c>
      <x:c r="O261" s="67" t="str"/>
    </x:row>
    <x:row r="262">
      <x:c r="A262" s="67" t="str">
        <x:v>SHIFT-00258</x:v>
      </x:c>
      <x:c r="B262" s="73" t="n">
        <x:v>46210.5</x:v>
      </x:c>
      <x:c r="C262" s="67" t="str">
        <x:v>周二</x:v>
      </x:c>
      <x:c r="D262" s="67" t="str">
        <x:v>S07</x:v>
      </x:c>
      <x:c r="E262" s="67" t="str">
        <x:v>小和山店</x:v>
      </x:c>
      <x:c r="F262" s="67" t="str">
        <x:v>保洁/兼职</x:v>
      </x:c>
      <x:c r="G262" s="70" t="n">
        <x:v>1</x:v>
      </x:c>
      <x:c r="H262" s="76" t="n">
        <x:v>4</x:v>
      </x:c>
      <x:c r="I262" s="76" t="n">
        <x:v>4.25</x:v>
      </x:c>
      <x:c r="J262" s="76" t="n">
        <x:v>25.15</x:v>
      </x:c>
      <x:c r="K262" s="79" t="n">
        <x:f>I262*J262</x:f>
        <x:v>106.88749999999999</x:v>
      </x:c>
      <x:c r="L262" s="94" t="n">
        <x:f>SUMIFS('门店日汇总'!$H$5:$H$60,'门店日汇总'!$A$5:$A$60,B262,'门店日汇总'!$C$5:$C$60,D262)</x:f>
        <x:v>8282.3</x:v>
      </x:c>
      <x:c r="M262" s="79" t="n">
        <x:f>IFERROR(L262/SUMIFS($I$5:$I$340,$B$5:$B$340,B262,$D$5:$D$340,D262),0)</x:f>
        <x:v>117.89750889679715</x:v>
      </x:c>
      <x:c r="N262" s="67" t="str">
        <x:v>收市</x:v>
      </x:c>
      <x:c r="O262" s="67" t="str"/>
    </x:row>
    <x:row r="263">
      <x:c r="A263" s="67" t="str">
        <x:v>SHIFT-00259</x:v>
      </x:c>
      <x:c r="B263" s="73" t="n">
        <x:v>46211.5</x:v>
      </x:c>
      <x:c r="C263" s="67" t="str">
        <x:v>周三</x:v>
      </x:c>
      <x:c r="D263" s="67" t="str">
        <x:v>S07</x:v>
      </x:c>
      <x:c r="E263" s="67" t="str">
        <x:v>小和山店</x:v>
      </x:c>
      <x:c r="F263" s="67" t="str">
        <x:v>店长/收货</x:v>
      </x:c>
      <x:c r="G263" s="70" t="n">
        <x:v>1</x:v>
      </x:c>
      <x:c r="H263" s="76" t="n">
        <x:v>10</x:v>
      </x:c>
      <x:c r="I263" s="76" t="n">
        <x:v>10.5</x:v>
      </x:c>
      <x:c r="J263" s="76" t="n">
        <x:v>35.63</x:v>
      </x:c>
      <x:c r="K263" s="79" t="n">
        <x:f>I263*J263</x:f>
        <x:v>374.115</x:v>
      </x:c>
      <x:c r="L263" s="94" t="n">
        <x:f>SUMIFS('门店日汇总'!$H$5:$H$60,'门店日汇总'!$A$5:$A$60,B263,'门店日汇总'!$C$5:$C$60,D263)</x:f>
        <x:v>8044.999999999999</x:v>
      </x:c>
      <x:c r="M263" s="79" t="n">
        <x:f>IFERROR(L263/SUMIFS($I$5:$I$340,$B$5:$B$340,B263,$D$5:$D$340,D263),0)</x:f>
        <x:v>114.11347517730495</x:v>
      </x:c>
      <x:c r="N263" s="67" t="str">
        <x:v>开市+午晚高峰</x:v>
      </x:c>
      <x:c r="O263" s="67" t="str"/>
    </x:row>
    <x:row r="264">
      <x:c r="A264" s="67" t="str">
        <x:v>SHIFT-00260</x:v>
      </x:c>
      <x:c r="B264" s="73" t="n">
        <x:v>46211.5</x:v>
      </x:c>
      <x:c r="C264" s="67" t="str">
        <x:v>周三</x:v>
      </x:c>
      <x:c r="D264" s="67" t="str">
        <x:v>S07</x:v>
      </x:c>
      <x:c r="E264" s="67" t="str">
        <x:v>小和山店</x:v>
      </x:c>
      <x:c r="F264" s="67" t="str">
        <x:v>服务员</x:v>
      </x:c>
      <x:c r="G264" s="70" t="n">
        <x:v>2</x:v>
      </x:c>
      <x:c r="H264" s="76" t="n">
        <x:v>16</x:v>
      </x:c>
      <x:c r="I264" s="76" t="n">
        <x:v>15.5</x:v>
      </x:c>
      <x:c r="J264" s="76" t="n">
        <x:v>27.25</x:v>
      </x:c>
      <x:c r="K264" s="79" t="n">
        <x:f>I264*J264</x:f>
        <x:v>422.375</x:v>
      </x:c>
      <x:c r="L264" s="94" t="n">
        <x:f>SUMIFS('门店日汇总'!$H$5:$H$60,'门店日汇总'!$A$5:$A$60,B264,'门店日汇总'!$C$5:$C$60,D264)</x:f>
        <x:v>8044.999999999999</x:v>
      </x:c>
      <x:c r="M264" s="79" t="n">
        <x:f>IFERROR(L264/SUMIFS($I$5:$I$340,$B$5:$B$340,B264,$D$5:$D$340,D264),0)</x:f>
        <x:v>114.11347517730495</x:v>
      </x:c>
      <x:c r="N264" s="67" t="str">
        <x:v>午晚高峰</x:v>
      </x:c>
      <x:c r="O264" s="67" t="str"/>
    </x:row>
    <x:row r="265">
      <x:c r="A265" s="67" t="str">
        <x:v>SHIFT-00261</x:v>
      </x:c>
      <x:c r="B265" s="73" t="n">
        <x:v>46211.5</x:v>
      </x:c>
      <x:c r="C265" s="67" t="str">
        <x:v>周三</x:v>
      </x:c>
      <x:c r="D265" s="67" t="str">
        <x:v>S07</x:v>
      </x:c>
      <x:c r="E265" s="67" t="str">
        <x:v>小和山店</x:v>
      </x:c>
      <x:c r="F265" s="67" t="str">
        <x:v>后厨小工</x:v>
      </x:c>
      <x:c r="G265" s="70" t="n">
        <x:v>2</x:v>
      </x:c>
      <x:c r="H265" s="76" t="n">
        <x:v>16</x:v>
      </x:c>
      <x:c r="I265" s="76" t="n">
        <x:v>15.75</x:v>
      </x:c>
      <x:c r="J265" s="76" t="n">
        <x:v>29.34</x:v>
      </x:c>
      <x:c r="K265" s="79" t="n">
        <x:f>I265*J265</x:f>
        <x:v>462.105</x:v>
      </x:c>
      <x:c r="L265" s="94" t="n">
        <x:f>SUMIFS('门店日汇总'!$H$5:$H$60,'门店日汇总'!$A$5:$A$60,B265,'门店日汇总'!$C$5:$C$60,D265)</x:f>
        <x:v>8044.999999999999</x:v>
      </x:c>
      <x:c r="M265" s="79" t="n">
        <x:f>IFERROR(L265/SUMIFS($I$5:$I$340,$B$5:$B$340,B265,$D$5:$D$340,D265),0)</x:f>
        <x:v>114.11347517730495</x:v>
      </x:c>
      <x:c r="N265" s="67" t="str">
        <x:v>备菜+午晚高峰</x:v>
      </x:c>
      <x:c r="O265" s="67" t="str"/>
    </x:row>
    <x:row r="266">
      <x:c r="A266" s="67" t="str">
        <x:v>SHIFT-00262</x:v>
      </x:c>
      <x:c r="B266" s="73" t="n">
        <x:v>46211.5</x:v>
      </x:c>
      <x:c r="C266" s="67" t="str">
        <x:v>周三</x:v>
      </x:c>
      <x:c r="D266" s="67" t="str">
        <x:v>S07</x:v>
      </x:c>
      <x:c r="E266" s="67" t="str">
        <x:v>小和山店</x:v>
      </x:c>
      <x:c r="F266" s="67" t="str">
        <x:v>炒菜机操作员</x:v>
      </x:c>
      <x:c r="G266" s="70" t="n">
        <x:v>2</x:v>
      </x:c>
      <x:c r="H266" s="76" t="n">
        <x:v>16</x:v>
      </x:c>
      <x:c r="I266" s="76" t="n">
        <x:v>16</x:v>
      </x:c>
      <x:c r="J266" s="76" t="n">
        <x:v>30.39</x:v>
      </x:c>
      <x:c r="K266" s="79" t="n">
        <x:f>I266*J266</x:f>
        <x:v>486.24</x:v>
      </x:c>
      <x:c r="L266" s="94" t="n">
        <x:f>SUMIFS('门店日汇总'!$H$5:$H$60,'门店日汇总'!$A$5:$A$60,B266,'门店日汇总'!$C$5:$C$60,D266)</x:f>
        <x:v>8044.999999999999</x:v>
      </x:c>
      <x:c r="M266" s="79" t="n">
        <x:f>IFERROR(L266/SUMIFS($I$5:$I$340,$B$5:$B$340,B266,$D$5:$D$340,D266),0)</x:f>
        <x:v>114.11347517730495</x:v>
      </x:c>
      <x:c r="N266" s="67" t="str">
        <x:v>午晚高峰</x:v>
      </x:c>
      <x:c r="O266" s="67" t="str"/>
    </x:row>
    <x:row r="267">
      <x:c r="A267" s="67" t="str">
        <x:v>SHIFT-00263</x:v>
      </x:c>
      <x:c r="B267" s="73" t="n">
        <x:v>46211.5</x:v>
      </x:c>
      <x:c r="C267" s="67" t="str">
        <x:v>周三</x:v>
      </x:c>
      <x:c r="D267" s="67" t="str">
        <x:v>S07</x:v>
      </x:c>
      <x:c r="E267" s="67" t="str">
        <x:v>小和山店</x:v>
      </x:c>
      <x:c r="F267" s="67" t="str">
        <x:v>收银/前厅</x:v>
      </x:c>
      <x:c r="G267" s="70" t="n">
        <x:v>1</x:v>
      </x:c>
      <x:c r="H267" s="76" t="n">
        <x:v>8</x:v>
      </x:c>
      <x:c r="I267" s="76" t="n">
        <x:v>8.25</x:v>
      </x:c>
      <x:c r="J267" s="76" t="n">
        <x:v>27.25</x:v>
      </x:c>
      <x:c r="K267" s="79" t="n">
        <x:f>I267*J267</x:f>
        <x:v>224.8125</x:v>
      </x:c>
      <x:c r="L267" s="94" t="n">
        <x:f>SUMIFS('门店日汇总'!$H$5:$H$60,'门店日汇总'!$A$5:$A$60,B267,'门店日汇总'!$C$5:$C$60,D267)</x:f>
        <x:v>8044.999999999999</x:v>
      </x:c>
      <x:c r="M267" s="79" t="n">
        <x:f>IFERROR(L267/SUMIFS($I$5:$I$340,$B$5:$B$340,B267,$D$5:$D$340,D267),0)</x:f>
        <x:v>114.11347517730495</x:v>
      </x:c>
      <x:c r="N267" s="67" t="str">
        <x:v>全日</x:v>
      </x:c>
      <x:c r="O267" s="67" t="str"/>
    </x:row>
    <x:row r="268">
      <x:c r="A268" s="67" t="str">
        <x:v>SHIFT-00264</x:v>
      </x:c>
      <x:c r="B268" s="73" t="n">
        <x:v>46211.5</x:v>
      </x:c>
      <x:c r="C268" s="67" t="str">
        <x:v>周三</x:v>
      </x:c>
      <x:c r="D268" s="67" t="str">
        <x:v>S07</x:v>
      </x:c>
      <x:c r="E268" s="67" t="str">
        <x:v>小和山店</x:v>
      </x:c>
      <x:c r="F268" s="67" t="str">
        <x:v>保洁/兼职</x:v>
      </x:c>
      <x:c r="G268" s="70" t="n">
        <x:v>1</x:v>
      </x:c>
      <x:c r="H268" s="76" t="n">
        <x:v>4</x:v>
      </x:c>
      <x:c r="I268" s="76" t="n">
        <x:v>4.5</x:v>
      </x:c>
      <x:c r="J268" s="76" t="n">
        <x:v>25.15</x:v>
      </x:c>
      <x:c r="K268" s="79" t="n">
        <x:f>I268*J268</x:f>
        <x:v>113.175</x:v>
      </x:c>
      <x:c r="L268" s="94" t="n">
        <x:f>SUMIFS('门店日汇总'!$H$5:$H$60,'门店日汇总'!$A$5:$A$60,B268,'门店日汇总'!$C$5:$C$60,D268)</x:f>
        <x:v>8044.999999999999</x:v>
      </x:c>
      <x:c r="M268" s="79" t="n">
        <x:f>IFERROR(L268/SUMIFS($I$5:$I$340,$B$5:$B$340,B268,$D$5:$D$340,D268),0)</x:f>
        <x:v>114.11347517730495</x:v>
      </x:c>
      <x:c r="N268" s="67" t="str">
        <x:v>收市</x:v>
      </x:c>
      <x:c r="O268" s="67" t="str"/>
    </x:row>
    <x:row r="269">
      <x:c r="A269" s="67" t="str">
        <x:v>SHIFT-00265</x:v>
      </x:c>
      <x:c r="B269" s="73" t="n">
        <x:v>46212.5</x:v>
      </x:c>
      <x:c r="C269" s="67" t="str">
        <x:v>周四</x:v>
      </x:c>
      <x:c r="D269" s="67" t="str">
        <x:v>S07</x:v>
      </x:c>
      <x:c r="E269" s="67" t="str">
        <x:v>小和山店</x:v>
      </x:c>
      <x:c r="F269" s="67" t="str">
        <x:v>店长/收货</x:v>
      </x:c>
      <x:c r="G269" s="70" t="n">
        <x:v>1</x:v>
      </x:c>
      <x:c r="H269" s="76" t="n">
        <x:v>10</x:v>
      </x:c>
      <x:c r="I269" s="76" t="n">
        <x:v>9.5</x:v>
      </x:c>
      <x:c r="J269" s="76" t="n">
        <x:v>35.63</x:v>
      </x:c>
      <x:c r="K269" s="79" t="n">
        <x:f>I269*J269</x:f>
        <x:v>338.485</x:v>
      </x:c>
      <x:c r="L269" s="94" t="n">
        <x:f>SUMIFS('门店日汇总'!$H$5:$H$60,'门店日汇总'!$A$5:$A$60,B269,'门店日汇总'!$C$5:$C$60,D269)</x:f>
        <x:v>7894.7</x:v>
      </x:c>
      <x:c r="M269" s="79" t="n">
        <x:f>IFERROR(L269/SUMIFS($I$5:$I$340,$B$5:$B$340,B269,$D$5:$D$340,D269),0)</x:f>
        <x:v>113.59280575539569</x:v>
      </x:c>
      <x:c r="N269" s="67" t="str">
        <x:v>开市+午晚高峰</x:v>
      </x:c>
      <x:c r="O269" s="67" t="str"/>
    </x:row>
    <x:row r="270">
      <x:c r="A270" s="67" t="str">
        <x:v>SHIFT-00266</x:v>
      </x:c>
      <x:c r="B270" s="73" t="n">
        <x:v>46212.5</x:v>
      </x:c>
      <x:c r="C270" s="67" t="str">
        <x:v>周四</x:v>
      </x:c>
      <x:c r="D270" s="67" t="str">
        <x:v>S07</x:v>
      </x:c>
      <x:c r="E270" s="67" t="str">
        <x:v>小和山店</x:v>
      </x:c>
      <x:c r="F270" s="67" t="str">
        <x:v>服务员</x:v>
      </x:c>
      <x:c r="G270" s="70" t="n">
        <x:v>2</x:v>
      </x:c>
      <x:c r="H270" s="76" t="n">
        <x:v>16</x:v>
      </x:c>
      <x:c r="I270" s="76" t="n">
        <x:v>15.75</x:v>
      </x:c>
      <x:c r="J270" s="76" t="n">
        <x:v>27.25</x:v>
      </x:c>
      <x:c r="K270" s="79" t="n">
        <x:f>I270*J270</x:f>
        <x:v>429.1875</x:v>
      </x:c>
      <x:c r="L270" s="94" t="n">
        <x:f>SUMIFS('门店日汇总'!$H$5:$H$60,'门店日汇总'!$A$5:$A$60,B270,'门店日汇总'!$C$5:$C$60,D270)</x:f>
        <x:v>7894.7</x:v>
      </x:c>
      <x:c r="M270" s="79" t="n">
        <x:f>IFERROR(L270/SUMIFS($I$5:$I$340,$B$5:$B$340,B270,$D$5:$D$340,D270),0)</x:f>
        <x:v>113.59280575539569</x:v>
      </x:c>
      <x:c r="N270" s="67" t="str">
        <x:v>午晚高峰</x:v>
      </x:c>
      <x:c r="O270" s="67" t="str"/>
    </x:row>
    <x:row r="271">
      <x:c r="A271" s="67" t="str">
        <x:v>SHIFT-00267</x:v>
      </x:c>
      <x:c r="B271" s="73" t="n">
        <x:v>46212.5</x:v>
      </x:c>
      <x:c r="C271" s="67" t="str">
        <x:v>周四</x:v>
      </x:c>
      <x:c r="D271" s="67" t="str">
        <x:v>S07</x:v>
      </x:c>
      <x:c r="E271" s="67" t="str">
        <x:v>小和山店</x:v>
      </x:c>
      <x:c r="F271" s="67" t="str">
        <x:v>后厨小工</x:v>
      </x:c>
      <x:c r="G271" s="70" t="n">
        <x:v>2</x:v>
      </x:c>
      <x:c r="H271" s="76" t="n">
        <x:v>16</x:v>
      </x:c>
      <x:c r="I271" s="76" t="n">
        <x:v>16</x:v>
      </x:c>
      <x:c r="J271" s="76" t="n">
        <x:v>29.34</x:v>
      </x:c>
      <x:c r="K271" s="79" t="n">
        <x:f>I271*J271</x:f>
        <x:v>469.44</x:v>
      </x:c>
      <x:c r="L271" s="94" t="n">
        <x:f>SUMIFS('门店日汇总'!$H$5:$H$60,'门店日汇总'!$A$5:$A$60,B271,'门店日汇总'!$C$5:$C$60,D271)</x:f>
        <x:v>7894.7</x:v>
      </x:c>
      <x:c r="M271" s="79" t="n">
        <x:f>IFERROR(L271/SUMIFS($I$5:$I$340,$B$5:$B$340,B271,$D$5:$D$340,D271),0)</x:f>
        <x:v>113.59280575539569</x:v>
      </x:c>
      <x:c r="N271" s="67" t="str">
        <x:v>备菜+午晚高峰</x:v>
      </x:c>
      <x:c r="O271" s="67" t="str"/>
    </x:row>
    <x:row r="272">
      <x:c r="A272" s="67" t="str">
        <x:v>SHIFT-00268</x:v>
      </x:c>
      <x:c r="B272" s="73" t="n">
        <x:v>46212.5</x:v>
      </x:c>
      <x:c r="C272" s="67" t="str">
        <x:v>周四</x:v>
      </x:c>
      <x:c r="D272" s="67" t="str">
        <x:v>S07</x:v>
      </x:c>
      <x:c r="E272" s="67" t="str">
        <x:v>小和山店</x:v>
      </x:c>
      <x:c r="F272" s="67" t="str">
        <x:v>炒菜机操作员</x:v>
      </x:c>
      <x:c r="G272" s="70" t="n">
        <x:v>2</x:v>
      </x:c>
      <x:c r="H272" s="76" t="n">
        <x:v>16</x:v>
      </x:c>
      <x:c r="I272" s="76" t="n">
        <x:v>16.25</x:v>
      </x:c>
      <x:c r="J272" s="76" t="n">
        <x:v>30.39</x:v>
      </x:c>
      <x:c r="K272" s="79" t="n">
        <x:f>I272*J272</x:f>
        <x:v>493.83750000000003</x:v>
      </x:c>
      <x:c r="L272" s="94" t="n">
        <x:f>SUMIFS('门店日汇总'!$H$5:$H$60,'门店日汇总'!$A$5:$A$60,B272,'门店日汇总'!$C$5:$C$60,D272)</x:f>
        <x:v>7894.7</x:v>
      </x:c>
      <x:c r="M272" s="79" t="n">
        <x:f>IFERROR(L272/SUMIFS($I$5:$I$340,$B$5:$B$340,B272,$D$5:$D$340,D272),0)</x:f>
        <x:v>113.59280575539569</x:v>
      </x:c>
      <x:c r="N272" s="67" t="str">
        <x:v>午晚高峰</x:v>
      </x:c>
      <x:c r="O272" s="67" t="str"/>
    </x:row>
    <x:row r="273">
      <x:c r="A273" s="67" t="str">
        <x:v>SHIFT-00269</x:v>
      </x:c>
      <x:c r="B273" s="73" t="n">
        <x:v>46212.5</x:v>
      </x:c>
      <x:c r="C273" s="67" t="str">
        <x:v>周四</x:v>
      </x:c>
      <x:c r="D273" s="67" t="str">
        <x:v>S07</x:v>
      </x:c>
      <x:c r="E273" s="67" t="str">
        <x:v>小和山店</x:v>
      </x:c>
      <x:c r="F273" s="67" t="str">
        <x:v>收银/前厅</x:v>
      </x:c>
      <x:c r="G273" s="70" t="n">
        <x:v>1</x:v>
      </x:c>
      <x:c r="H273" s="76" t="n">
        <x:v>8</x:v>
      </x:c>
      <x:c r="I273" s="76" t="n">
        <x:v>8.5</x:v>
      </x:c>
      <x:c r="J273" s="76" t="n">
        <x:v>27.25</x:v>
      </x:c>
      <x:c r="K273" s="79" t="n">
        <x:f>I273*J273</x:f>
        <x:v>231.625</x:v>
      </x:c>
      <x:c r="L273" s="94" t="n">
        <x:f>SUMIFS('门店日汇总'!$H$5:$H$60,'门店日汇总'!$A$5:$A$60,B273,'门店日汇总'!$C$5:$C$60,D273)</x:f>
        <x:v>7894.7</x:v>
      </x:c>
      <x:c r="M273" s="79" t="n">
        <x:f>IFERROR(L273/SUMIFS($I$5:$I$340,$B$5:$B$340,B273,$D$5:$D$340,D273),0)</x:f>
        <x:v>113.59280575539569</x:v>
      </x:c>
      <x:c r="N273" s="67" t="str">
        <x:v>全日</x:v>
      </x:c>
      <x:c r="O273" s="67" t="str"/>
    </x:row>
    <x:row r="274">
      <x:c r="A274" s="67" t="str">
        <x:v>SHIFT-00270</x:v>
      </x:c>
      <x:c r="B274" s="73" t="n">
        <x:v>46212.5</x:v>
      </x:c>
      <x:c r="C274" s="67" t="str">
        <x:v>周四</x:v>
      </x:c>
      <x:c r="D274" s="67" t="str">
        <x:v>S07</x:v>
      </x:c>
      <x:c r="E274" s="67" t="str">
        <x:v>小和山店</x:v>
      </x:c>
      <x:c r="F274" s="67" t="str">
        <x:v>保洁/兼职</x:v>
      </x:c>
      <x:c r="G274" s="70" t="n">
        <x:v>1</x:v>
      </x:c>
      <x:c r="H274" s="76" t="n">
        <x:v>4</x:v>
      </x:c>
      <x:c r="I274" s="76" t="n">
        <x:v>3.5</x:v>
      </x:c>
      <x:c r="J274" s="76" t="n">
        <x:v>25.15</x:v>
      </x:c>
      <x:c r="K274" s="79" t="n">
        <x:f>I274*J274</x:f>
        <x:v>88.02499999999999</x:v>
      </x:c>
      <x:c r="L274" s="94" t="n">
        <x:f>SUMIFS('门店日汇总'!$H$5:$H$60,'门店日汇总'!$A$5:$A$60,B274,'门店日汇总'!$C$5:$C$60,D274)</x:f>
        <x:v>7894.7</x:v>
      </x:c>
      <x:c r="M274" s="79" t="n">
        <x:f>IFERROR(L274/SUMIFS($I$5:$I$340,$B$5:$B$340,B274,$D$5:$D$340,D274),0)</x:f>
        <x:v>113.59280575539569</x:v>
      </x:c>
      <x:c r="N274" s="67" t="str">
        <x:v>收市</x:v>
      </x:c>
      <x:c r="O274" s="67" t="str"/>
    </x:row>
    <x:row r="275">
      <x:c r="A275" s="67" t="str">
        <x:v>SHIFT-00271</x:v>
      </x:c>
      <x:c r="B275" s="73" t="n">
        <x:v>46213.5</x:v>
      </x:c>
      <x:c r="C275" s="67" t="str">
        <x:v>周五</x:v>
      </x:c>
      <x:c r="D275" s="67" t="str">
        <x:v>S07</x:v>
      </x:c>
      <x:c r="E275" s="67" t="str">
        <x:v>小和山店</x:v>
      </x:c>
      <x:c r="F275" s="67" t="str">
        <x:v>店长/收货</x:v>
      </x:c>
      <x:c r="G275" s="70" t="n">
        <x:v>1</x:v>
      </x:c>
      <x:c r="H275" s="76" t="n">
        <x:v>10</x:v>
      </x:c>
      <x:c r="I275" s="76" t="n">
        <x:v>9.75</x:v>
      </x:c>
      <x:c r="J275" s="76" t="n">
        <x:v>35.63</x:v>
      </x:c>
      <x:c r="K275" s="79" t="n">
        <x:f>I275*J275</x:f>
        <x:v>347.39250000000004</x:v>
      </x:c>
      <x:c r="L275" s="94" t="n">
        <x:f>SUMIFS('门店日汇总'!$H$5:$H$60,'门店日汇总'!$A$5:$A$60,B275,'门店日汇总'!$C$5:$C$60,D275)</x:f>
        <x:v>8197.8</x:v>
      </x:c>
      <x:c r="M275" s="79" t="n">
        <x:f>IFERROR(L275/SUMIFS($I$5:$I$340,$B$5:$B$340,B275,$D$5:$D$340,D275),0)</x:f>
        <x:v>117.53118279569891</x:v>
      </x:c>
      <x:c r="N275" s="67" t="str">
        <x:v>开市+午晚高峰</x:v>
      </x:c>
      <x:c r="O275" s="67" t="str"/>
    </x:row>
    <x:row r="276">
      <x:c r="A276" s="67" t="str">
        <x:v>SHIFT-00272</x:v>
      </x:c>
      <x:c r="B276" s="73" t="n">
        <x:v>46213.5</x:v>
      </x:c>
      <x:c r="C276" s="67" t="str">
        <x:v>周五</x:v>
      </x:c>
      <x:c r="D276" s="67" t="str">
        <x:v>S07</x:v>
      </x:c>
      <x:c r="E276" s="67" t="str">
        <x:v>小和山店</x:v>
      </x:c>
      <x:c r="F276" s="67" t="str">
        <x:v>服务员</x:v>
      </x:c>
      <x:c r="G276" s="70" t="n">
        <x:v>2</x:v>
      </x:c>
      <x:c r="H276" s="76" t="n">
        <x:v>16</x:v>
      </x:c>
      <x:c r="I276" s="76" t="n">
        <x:v>16</x:v>
      </x:c>
      <x:c r="J276" s="76" t="n">
        <x:v>27.25</x:v>
      </x:c>
      <x:c r="K276" s="79" t="n">
        <x:f>I276*J276</x:f>
        <x:v>436</x:v>
      </x:c>
      <x:c r="L276" s="94" t="n">
        <x:f>SUMIFS('门店日汇总'!$H$5:$H$60,'门店日汇总'!$A$5:$A$60,B276,'门店日汇总'!$C$5:$C$60,D276)</x:f>
        <x:v>8197.8</x:v>
      </x:c>
      <x:c r="M276" s="79" t="n">
        <x:f>IFERROR(L276/SUMIFS($I$5:$I$340,$B$5:$B$340,B276,$D$5:$D$340,D276),0)</x:f>
        <x:v>117.53118279569891</x:v>
      </x:c>
      <x:c r="N276" s="67" t="str">
        <x:v>午晚高峰</x:v>
      </x:c>
      <x:c r="O276" s="67" t="str"/>
    </x:row>
    <x:row r="277">
      <x:c r="A277" s="67" t="str">
        <x:v>SHIFT-00273</x:v>
      </x:c>
      <x:c r="B277" s="73" t="n">
        <x:v>46213.5</x:v>
      </x:c>
      <x:c r="C277" s="67" t="str">
        <x:v>周五</x:v>
      </x:c>
      <x:c r="D277" s="67" t="str">
        <x:v>S07</x:v>
      </x:c>
      <x:c r="E277" s="67" t="str">
        <x:v>小和山店</x:v>
      </x:c>
      <x:c r="F277" s="67" t="str">
        <x:v>后厨小工</x:v>
      </x:c>
      <x:c r="G277" s="70" t="n">
        <x:v>2</x:v>
      </x:c>
      <x:c r="H277" s="76" t="n">
        <x:v>16</x:v>
      </x:c>
      <x:c r="I277" s="76" t="n">
        <x:v>16.25</x:v>
      </x:c>
      <x:c r="J277" s="76" t="n">
        <x:v>29.34</x:v>
      </x:c>
      <x:c r="K277" s="79" t="n">
        <x:f>I277*J277</x:f>
        <x:v>476.775</x:v>
      </x:c>
      <x:c r="L277" s="94" t="n">
        <x:f>SUMIFS('门店日汇总'!$H$5:$H$60,'门店日汇总'!$A$5:$A$60,B277,'门店日汇总'!$C$5:$C$60,D277)</x:f>
        <x:v>8197.8</x:v>
      </x:c>
      <x:c r="M277" s="79" t="n">
        <x:f>IFERROR(L277/SUMIFS($I$5:$I$340,$B$5:$B$340,B277,$D$5:$D$340,D277),0)</x:f>
        <x:v>117.53118279569891</x:v>
      </x:c>
      <x:c r="N277" s="67" t="str">
        <x:v>备菜+午晚高峰</x:v>
      </x:c>
      <x:c r="O277" s="67" t="str"/>
    </x:row>
    <x:row r="278">
      <x:c r="A278" s="67" t="str">
        <x:v>SHIFT-00274</x:v>
      </x:c>
      <x:c r="B278" s="73" t="n">
        <x:v>46213.5</x:v>
      </x:c>
      <x:c r="C278" s="67" t="str">
        <x:v>周五</x:v>
      </x:c>
      <x:c r="D278" s="67" t="str">
        <x:v>S07</x:v>
      </x:c>
      <x:c r="E278" s="67" t="str">
        <x:v>小和山店</x:v>
      </x:c>
      <x:c r="F278" s="67" t="str">
        <x:v>炒菜机操作员</x:v>
      </x:c>
      <x:c r="G278" s="70" t="n">
        <x:v>2</x:v>
      </x:c>
      <x:c r="H278" s="76" t="n">
        <x:v>16</x:v>
      </x:c>
      <x:c r="I278" s="76" t="n">
        <x:v>16.5</x:v>
      </x:c>
      <x:c r="J278" s="76" t="n">
        <x:v>30.39</x:v>
      </x:c>
      <x:c r="K278" s="79" t="n">
        <x:f>I278*J278</x:f>
        <x:v>501.435</x:v>
      </x:c>
      <x:c r="L278" s="94" t="n">
        <x:f>SUMIFS('门店日汇总'!$H$5:$H$60,'门店日汇总'!$A$5:$A$60,B278,'门店日汇总'!$C$5:$C$60,D278)</x:f>
        <x:v>8197.8</x:v>
      </x:c>
      <x:c r="M278" s="79" t="n">
        <x:f>IFERROR(L278/SUMIFS($I$5:$I$340,$B$5:$B$340,B278,$D$5:$D$340,D278),0)</x:f>
        <x:v>117.53118279569891</x:v>
      </x:c>
      <x:c r="N278" s="67" t="str">
        <x:v>午晚高峰</x:v>
      </x:c>
      <x:c r="O278" s="67" t="str"/>
    </x:row>
    <x:row r="279">
      <x:c r="A279" s="67" t="str">
        <x:v>SHIFT-00275</x:v>
      </x:c>
      <x:c r="B279" s="73" t="n">
        <x:v>46213.5</x:v>
      </x:c>
      <x:c r="C279" s="67" t="str">
        <x:v>周五</x:v>
      </x:c>
      <x:c r="D279" s="67" t="str">
        <x:v>S07</x:v>
      </x:c>
      <x:c r="E279" s="67" t="str">
        <x:v>小和山店</x:v>
      </x:c>
      <x:c r="F279" s="67" t="str">
        <x:v>收银/前厅</x:v>
      </x:c>
      <x:c r="G279" s="70" t="n">
        <x:v>1</x:v>
      </x:c>
      <x:c r="H279" s="76" t="n">
        <x:v>8</x:v>
      </x:c>
      <x:c r="I279" s="76" t="n">
        <x:v>7.5</x:v>
      </x:c>
      <x:c r="J279" s="76" t="n">
        <x:v>27.25</x:v>
      </x:c>
      <x:c r="K279" s="79" t="n">
        <x:f>I279*J279</x:f>
        <x:v>204.375</x:v>
      </x:c>
      <x:c r="L279" s="94" t="n">
        <x:f>SUMIFS('门店日汇总'!$H$5:$H$60,'门店日汇总'!$A$5:$A$60,B279,'门店日汇总'!$C$5:$C$60,D279)</x:f>
        <x:v>8197.8</x:v>
      </x:c>
      <x:c r="M279" s="79" t="n">
        <x:f>IFERROR(L279/SUMIFS($I$5:$I$340,$B$5:$B$340,B279,$D$5:$D$340,D279),0)</x:f>
        <x:v>117.53118279569891</x:v>
      </x:c>
      <x:c r="N279" s="67" t="str">
        <x:v>全日</x:v>
      </x:c>
      <x:c r="O279" s="67" t="str"/>
    </x:row>
    <x:row r="280">
      <x:c r="A280" s="67" t="str">
        <x:v>SHIFT-00276</x:v>
      </x:c>
      <x:c r="B280" s="73" t="n">
        <x:v>46213.5</x:v>
      </x:c>
      <x:c r="C280" s="67" t="str">
        <x:v>周五</x:v>
      </x:c>
      <x:c r="D280" s="67" t="str">
        <x:v>S07</x:v>
      </x:c>
      <x:c r="E280" s="67" t="str">
        <x:v>小和山店</x:v>
      </x:c>
      <x:c r="F280" s="67" t="str">
        <x:v>保洁/兼职</x:v>
      </x:c>
      <x:c r="G280" s="70" t="n">
        <x:v>1</x:v>
      </x:c>
      <x:c r="H280" s="76" t="n">
        <x:v>4</x:v>
      </x:c>
      <x:c r="I280" s="76" t="n">
        <x:v>3.75</x:v>
      </x:c>
      <x:c r="J280" s="76" t="n">
        <x:v>25.15</x:v>
      </x:c>
      <x:c r="K280" s="79" t="n">
        <x:f>I280*J280</x:f>
        <x:v>94.3125</x:v>
      </x:c>
      <x:c r="L280" s="94" t="n">
        <x:f>SUMIFS('门店日汇总'!$H$5:$H$60,'门店日汇总'!$A$5:$A$60,B280,'门店日汇总'!$C$5:$C$60,D280)</x:f>
        <x:v>8197.8</x:v>
      </x:c>
      <x:c r="M280" s="79" t="n">
        <x:f>IFERROR(L280/SUMIFS($I$5:$I$340,$B$5:$B$340,B280,$D$5:$D$340,D280),0)</x:f>
        <x:v>117.53118279569891</x:v>
      </x:c>
      <x:c r="N280" s="67" t="str">
        <x:v>收市</x:v>
      </x:c>
      <x:c r="O280" s="67" t="str"/>
    </x:row>
    <x:row r="281">
      <x:c r="A281" s="67" t="str">
        <x:v>SHIFT-00277</x:v>
      </x:c>
      <x:c r="B281" s="73" t="n">
        <x:v>46214.5</x:v>
      </x:c>
      <x:c r="C281" s="67" t="str">
        <x:v>周六</x:v>
      </x:c>
      <x:c r="D281" s="67" t="str">
        <x:v>S07</x:v>
      </x:c>
      <x:c r="E281" s="67" t="str">
        <x:v>小和山店</x:v>
      </x:c>
      <x:c r="F281" s="67" t="str">
        <x:v>店长/收货</x:v>
      </x:c>
      <x:c r="G281" s="70" t="n">
        <x:v>1</x:v>
      </x:c>
      <x:c r="H281" s="76" t="n">
        <x:v>8</x:v>
      </x:c>
      <x:c r="I281" s="76" t="n">
        <x:v>8</x:v>
      </x:c>
      <x:c r="J281" s="76" t="n">
        <x:v>35.63</x:v>
      </x:c>
      <x:c r="K281" s="79" t="n">
        <x:f>I281*J281</x:f>
        <x:v>285.04</x:v>
      </x:c>
      <x:c r="L281" s="94" t="n">
        <x:f>SUMIFS('门店日汇总'!$H$5:$H$60,'门店日汇总'!$A$5:$A$60,B281,'门店日汇总'!$C$5:$C$60,D281)</x:f>
        <x:v>6289.299999999999</x:v>
      </x:c>
      <x:c r="M281" s="79" t="n">
        <x:f>IFERROR(L281/SUMIFS($I$5:$I$340,$B$5:$B$340,B281,$D$5:$D$340,D281),0)</x:f>
        <x:v>101.44032258064514</x:v>
      </x:c>
      <x:c r="N281" s="67" t="str">
        <x:v>开市+午晚高峰</x:v>
      </x:c>
      <x:c r="O281" s="67" t="str"/>
    </x:row>
    <x:row r="282">
      <x:c r="A282" s="67" t="str">
        <x:v>SHIFT-00278</x:v>
      </x:c>
      <x:c r="B282" s="73" t="n">
        <x:v>46214.5</x:v>
      </x:c>
      <x:c r="C282" s="67" t="str">
        <x:v>周六</x:v>
      </x:c>
      <x:c r="D282" s="67" t="str">
        <x:v>S07</x:v>
      </x:c>
      <x:c r="E282" s="67" t="str">
        <x:v>小和山店</x:v>
      </x:c>
      <x:c r="F282" s="67" t="str">
        <x:v>服务员</x:v>
      </x:c>
      <x:c r="G282" s="70" t="n">
        <x:v>2</x:v>
      </x:c>
      <x:c r="H282" s="76" t="n">
        <x:v>14</x:v>
      </x:c>
      <x:c r="I282" s="76" t="n">
        <x:v>14.25</x:v>
      </x:c>
      <x:c r="J282" s="76" t="n">
        <x:v>27.25</x:v>
      </x:c>
      <x:c r="K282" s="79" t="n">
        <x:f>I282*J282</x:f>
        <x:v>388.3125</x:v>
      </x:c>
      <x:c r="L282" s="94" t="n">
        <x:f>SUMIFS('门店日汇总'!$H$5:$H$60,'门店日汇总'!$A$5:$A$60,B282,'门店日汇总'!$C$5:$C$60,D282)</x:f>
        <x:v>6289.299999999999</x:v>
      </x:c>
      <x:c r="M282" s="79" t="n">
        <x:f>IFERROR(L282/SUMIFS($I$5:$I$340,$B$5:$B$340,B282,$D$5:$D$340,D282),0)</x:f>
        <x:v>101.44032258064514</x:v>
      </x:c>
      <x:c r="N282" s="67" t="str">
        <x:v>午晚高峰</x:v>
      </x:c>
      <x:c r="O282" s="67" t="str">
        <x:v>周末客流较低，建议下周减少兼职工时</x:v>
      </x:c>
    </x:row>
    <x:row r="283">
      <x:c r="A283" s="67" t="str">
        <x:v>SHIFT-00279</x:v>
      </x:c>
      <x:c r="B283" s="73" t="n">
        <x:v>46214.5</x:v>
      </x:c>
      <x:c r="C283" s="67" t="str">
        <x:v>周六</x:v>
      </x:c>
      <x:c r="D283" s="67" t="str">
        <x:v>S07</x:v>
      </x:c>
      <x:c r="E283" s="67" t="str">
        <x:v>小和山店</x:v>
      </x:c>
      <x:c r="F283" s="67" t="str">
        <x:v>后厨小工</x:v>
      </x:c>
      <x:c r="G283" s="70" t="n">
        <x:v>2</x:v>
      </x:c>
      <x:c r="H283" s="76" t="n">
        <x:v>14</x:v>
      </x:c>
      <x:c r="I283" s="76" t="n">
        <x:v>14.5</x:v>
      </x:c>
      <x:c r="J283" s="76" t="n">
        <x:v>29.34</x:v>
      </x:c>
      <x:c r="K283" s="79" t="n">
        <x:f>I283*J283</x:f>
        <x:v>425.43</x:v>
      </x:c>
      <x:c r="L283" s="94" t="n">
        <x:f>SUMIFS('门店日汇总'!$H$5:$H$60,'门店日汇总'!$A$5:$A$60,B283,'门店日汇总'!$C$5:$C$60,D283)</x:f>
        <x:v>6289.299999999999</x:v>
      </x:c>
      <x:c r="M283" s="79" t="n">
        <x:f>IFERROR(L283/SUMIFS($I$5:$I$340,$B$5:$B$340,B283,$D$5:$D$340,D283),0)</x:f>
        <x:v>101.44032258064514</x:v>
      </x:c>
      <x:c r="N283" s="67" t="str">
        <x:v>备菜+午晚高峰</x:v>
      </x:c>
      <x:c r="O283" s="67" t="str"/>
    </x:row>
    <x:row r="284">
      <x:c r="A284" s="67" t="str">
        <x:v>SHIFT-00280</x:v>
      </x:c>
      <x:c r="B284" s="73" t="n">
        <x:v>46214.5</x:v>
      </x:c>
      <x:c r="C284" s="67" t="str">
        <x:v>周六</x:v>
      </x:c>
      <x:c r="D284" s="67" t="str">
        <x:v>S07</x:v>
      </x:c>
      <x:c r="E284" s="67" t="str">
        <x:v>小和山店</x:v>
      </x:c>
      <x:c r="F284" s="67" t="str">
        <x:v>炒菜机操作员</x:v>
      </x:c>
      <x:c r="G284" s="70" t="n">
        <x:v>2</x:v>
      </x:c>
      <x:c r="H284" s="76" t="n">
        <x:v>14</x:v>
      </x:c>
      <x:c r="I284" s="76" t="n">
        <x:v>13.5</x:v>
      </x:c>
      <x:c r="J284" s="76" t="n">
        <x:v>30.39</x:v>
      </x:c>
      <x:c r="K284" s="79" t="n">
        <x:f>I284*J284</x:f>
        <x:v>410.265</x:v>
      </x:c>
      <x:c r="L284" s="94" t="n">
        <x:f>SUMIFS('门店日汇总'!$H$5:$H$60,'门店日汇总'!$A$5:$A$60,B284,'门店日汇总'!$C$5:$C$60,D284)</x:f>
        <x:v>6289.299999999999</x:v>
      </x:c>
      <x:c r="M284" s="79" t="n">
        <x:f>IFERROR(L284/SUMIFS($I$5:$I$340,$B$5:$B$340,B284,$D$5:$D$340,D284),0)</x:f>
        <x:v>101.44032258064514</x:v>
      </x:c>
      <x:c r="N284" s="67" t="str">
        <x:v>午晚高峰</x:v>
      </x:c>
      <x:c r="O284" s="67" t="str"/>
    </x:row>
    <x:row r="285">
      <x:c r="A285" s="67" t="str">
        <x:v>SHIFT-00281</x:v>
      </x:c>
      <x:c r="B285" s="73" t="n">
        <x:v>46214.5</x:v>
      </x:c>
      <x:c r="C285" s="67" t="str">
        <x:v>周六</x:v>
      </x:c>
      <x:c r="D285" s="67" t="str">
        <x:v>S07</x:v>
      </x:c>
      <x:c r="E285" s="67" t="str">
        <x:v>小和山店</x:v>
      </x:c>
      <x:c r="F285" s="67" t="str">
        <x:v>收银/前厅</x:v>
      </x:c>
      <x:c r="G285" s="70" t="n">
        <x:v>1</x:v>
      </x:c>
      <x:c r="H285" s="76" t="n">
        <x:v>8</x:v>
      </x:c>
      <x:c r="I285" s="76" t="n">
        <x:v>7.75</x:v>
      </x:c>
      <x:c r="J285" s="76" t="n">
        <x:v>27.25</x:v>
      </x:c>
      <x:c r="K285" s="79" t="n">
        <x:f>I285*J285</x:f>
        <x:v>211.1875</x:v>
      </x:c>
      <x:c r="L285" s="94" t="n">
        <x:f>SUMIFS('门店日汇总'!$H$5:$H$60,'门店日汇总'!$A$5:$A$60,B285,'门店日汇总'!$C$5:$C$60,D285)</x:f>
        <x:v>6289.299999999999</x:v>
      </x:c>
      <x:c r="M285" s="79" t="n">
        <x:f>IFERROR(L285/SUMIFS($I$5:$I$340,$B$5:$B$340,B285,$D$5:$D$340,D285),0)</x:f>
        <x:v>101.44032258064514</x:v>
      </x:c>
      <x:c r="N285" s="67" t="str">
        <x:v>全日</x:v>
      </x:c>
      <x:c r="O285" s="67" t="str"/>
    </x:row>
    <x:row r="286">
      <x:c r="A286" s="67" t="str">
        <x:v>SHIFT-00282</x:v>
      </x:c>
      <x:c r="B286" s="73" t="n">
        <x:v>46214.5</x:v>
      </x:c>
      <x:c r="C286" s="67" t="str">
        <x:v>周六</x:v>
      </x:c>
      <x:c r="D286" s="67" t="str">
        <x:v>S07</x:v>
      </x:c>
      <x:c r="E286" s="67" t="str">
        <x:v>小和山店</x:v>
      </x:c>
      <x:c r="F286" s="67" t="str">
        <x:v>保洁/兼职</x:v>
      </x:c>
      <x:c r="G286" s="70" t="n">
        <x:v>1</x:v>
      </x:c>
      <x:c r="H286" s="76" t="n">
        <x:v>4</x:v>
      </x:c>
      <x:c r="I286" s="76" t="n">
        <x:v>4</x:v>
      </x:c>
      <x:c r="J286" s="76" t="n">
        <x:v>25.15</x:v>
      </x:c>
      <x:c r="K286" s="79" t="n">
        <x:f>I286*J286</x:f>
        <x:v>100.6</x:v>
      </x:c>
      <x:c r="L286" s="94" t="n">
        <x:f>SUMIFS('门店日汇总'!$H$5:$H$60,'门店日汇总'!$A$5:$A$60,B286,'门店日汇总'!$C$5:$C$60,D286)</x:f>
        <x:v>6289.299999999999</x:v>
      </x:c>
      <x:c r="M286" s="79" t="n">
        <x:f>IFERROR(L286/SUMIFS($I$5:$I$340,$B$5:$B$340,B286,$D$5:$D$340,D286),0)</x:f>
        <x:v>101.44032258064514</x:v>
      </x:c>
      <x:c r="N286" s="67" t="str">
        <x:v>收市</x:v>
      </x:c>
      <x:c r="O286" s="67" t="str"/>
    </x:row>
    <x:row r="287">
      <x:c r="A287" s="67" t="str">
        <x:v>SHIFT-00283</x:v>
      </x:c>
      <x:c r="B287" s="73" t="n">
        <x:v>46215.5</x:v>
      </x:c>
      <x:c r="C287" s="67" t="str">
        <x:v>周日</x:v>
      </x:c>
      <x:c r="D287" s="67" t="str">
        <x:v>S07</x:v>
      </x:c>
      <x:c r="E287" s="67" t="str">
        <x:v>小和山店</x:v>
      </x:c>
      <x:c r="F287" s="67" t="str">
        <x:v>店长/收货</x:v>
      </x:c>
      <x:c r="G287" s="70" t="n">
        <x:v>1</x:v>
      </x:c>
      <x:c r="H287" s="76" t="n">
        <x:v>8</x:v>
      </x:c>
      <x:c r="I287" s="76" t="n">
        <x:v>8.25</x:v>
      </x:c>
      <x:c r="J287" s="76" t="n">
        <x:v>35.63</x:v>
      </x:c>
      <x:c r="K287" s="79" t="n">
        <x:f>I287*J287</x:f>
        <x:v>293.94750000000005</x:v>
      </x:c>
      <x:c r="L287" s="94" t="n">
        <x:f>SUMIFS('门店日汇总'!$H$5:$H$60,'门店日汇总'!$A$5:$A$60,B287,'门店日汇总'!$C$5:$C$60,D287)</x:f>
        <x:v>6130.5</x:v>
      </x:c>
      <x:c r="M287" s="79" t="n">
        <x:f>IFERROR(L287/SUMIFS($I$5:$I$340,$B$5:$B$340,B287,$D$5:$D$340,D287),0)</x:f>
        <x:v>98.48192771084338</x:v>
      </x:c>
      <x:c r="N287" s="67" t="str">
        <x:v>开市+午晚高峰</x:v>
      </x:c>
      <x:c r="O287" s="67" t="str"/>
    </x:row>
    <x:row r="288">
      <x:c r="A288" s="67" t="str">
        <x:v>SHIFT-00284</x:v>
      </x:c>
      <x:c r="B288" s="73" t="n">
        <x:v>46215.5</x:v>
      </x:c>
      <x:c r="C288" s="67" t="str">
        <x:v>周日</x:v>
      </x:c>
      <x:c r="D288" s="67" t="str">
        <x:v>S07</x:v>
      </x:c>
      <x:c r="E288" s="67" t="str">
        <x:v>小和山店</x:v>
      </x:c>
      <x:c r="F288" s="67" t="str">
        <x:v>服务员</x:v>
      </x:c>
      <x:c r="G288" s="70" t="n">
        <x:v>2</x:v>
      </x:c>
      <x:c r="H288" s="76" t="n">
        <x:v>14</x:v>
      </x:c>
      <x:c r="I288" s="76" t="n">
        <x:v>14.5</x:v>
      </x:c>
      <x:c r="J288" s="76" t="n">
        <x:v>27.25</x:v>
      </x:c>
      <x:c r="K288" s="79" t="n">
        <x:f>I288*J288</x:f>
        <x:v>395.125</x:v>
      </x:c>
      <x:c r="L288" s="94" t="n">
        <x:f>SUMIFS('门店日汇总'!$H$5:$H$60,'门店日汇总'!$A$5:$A$60,B288,'门店日汇总'!$C$5:$C$60,D288)</x:f>
        <x:v>6130.5</x:v>
      </x:c>
      <x:c r="M288" s="79" t="n">
        <x:f>IFERROR(L288/SUMIFS($I$5:$I$340,$B$5:$B$340,B288,$D$5:$D$340,D288),0)</x:f>
        <x:v>98.48192771084338</x:v>
      </x:c>
      <x:c r="N288" s="67" t="str">
        <x:v>午晚高峰</x:v>
      </x:c>
      <x:c r="O288" s="67" t="str">
        <x:v>周末客流较低，建议下周减少兼职工时</x:v>
      </x:c>
    </x:row>
    <x:row r="289">
      <x:c r="A289" s="67" t="str">
        <x:v>SHIFT-00285</x:v>
      </x:c>
      <x:c r="B289" s="73" t="n">
        <x:v>46215.5</x:v>
      </x:c>
      <x:c r="C289" s="67" t="str">
        <x:v>周日</x:v>
      </x:c>
      <x:c r="D289" s="67" t="str">
        <x:v>S07</x:v>
      </x:c>
      <x:c r="E289" s="67" t="str">
        <x:v>小和山店</x:v>
      </x:c>
      <x:c r="F289" s="67" t="str">
        <x:v>后厨小工</x:v>
      </x:c>
      <x:c r="G289" s="70" t="n">
        <x:v>2</x:v>
      </x:c>
      <x:c r="H289" s="76" t="n">
        <x:v>14</x:v>
      </x:c>
      <x:c r="I289" s="76" t="n">
        <x:v>13.5</x:v>
      </x:c>
      <x:c r="J289" s="76" t="n">
        <x:v>29.34</x:v>
      </x:c>
      <x:c r="K289" s="79" t="n">
        <x:f>I289*J289</x:f>
        <x:v>396.09</x:v>
      </x:c>
      <x:c r="L289" s="94" t="n">
        <x:f>SUMIFS('门店日汇总'!$H$5:$H$60,'门店日汇总'!$A$5:$A$60,B289,'门店日汇总'!$C$5:$C$60,D289)</x:f>
        <x:v>6130.5</x:v>
      </x:c>
      <x:c r="M289" s="79" t="n">
        <x:f>IFERROR(L289/SUMIFS($I$5:$I$340,$B$5:$B$340,B289,$D$5:$D$340,D289),0)</x:f>
        <x:v>98.48192771084338</x:v>
      </x:c>
      <x:c r="N289" s="67" t="str">
        <x:v>备菜+午晚高峰</x:v>
      </x:c>
      <x:c r="O289" s="67" t="str"/>
    </x:row>
    <x:row r="290">
      <x:c r="A290" s="67" t="str">
        <x:v>SHIFT-00286</x:v>
      </x:c>
      <x:c r="B290" s="73" t="n">
        <x:v>46215.5</x:v>
      </x:c>
      <x:c r="C290" s="67" t="str">
        <x:v>周日</x:v>
      </x:c>
      <x:c r="D290" s="67" t="str">
        <x:v>S07</x:v>
      </x:c>
      <x:c r="E290" s="67" t="str">
        <x:v>小和山店</x:v>
      </x:c>
      <x:c r="F290" s="67" t="str">
        <x:v>炒菜机操作员</x:v>
      </x:c>
      <x:c r="G290" s="70" t="n">
        <x:v>2</x:v>
      </x:c>
      <x:c r="H290" s="76" t="n">
        <x:v>14</x:v>
      </x:c>
      <x:c r="I290" s="76" t="n">
        <x:v>13.75</x:v>
      </x:c>
      <x:c r="J290" s="76" t="n">
        <x:v>30.39</x:v>
      </x:c>
      <x:c r="K290" s="79" t="n">
        <x:f>I290*J290</x:f>
        <x:v>417.8625</x:v>
      </x:c>
      <x:c r="L290" s="94" t="n">
        <x:f>SUMIFS('门店日汇总'!$H$5:$H$60,'门店日汇总'!$A$5:$A$60,B290,'门店日汇总'!$C$5:$C$60,D290)</x:f>
        <x:v>6130.5</x:v>
      </x:c>
      <x:c r="M290" s="79" t="n">
        <x:f>IFERROR(L290/SUMIFS($I$5:$I$340,$B$5:$B$340,B290,$D$5:$D$340,D290),0)</x:f>
        <x:v>98.48192771084338</x:v>
      </x:c>
      <x:c r="N290" s="67" t="str">
        <x:v>午晚高峰</x:v>
      </x:c>
      <x:c r="O290" s="67" t="str"/>
    </x:row>
    <x:row r="291">
      <x:c r="A291" s="67" t="str">
        <x:v>SHIFT-00287</x:v>
      </x:c>
      <x:c r="B291" s="73" t="n">
        <x:v>46215.5</x:v>
      </x:c>
      <x:c r="C291" s="67" t="str">
        <x:v>周日</x:v>
      </x:c>
      <x:c r="D291" s="67" t="str">
        <x:v>S07</x:v>
      </x:c>
      <x:c r="E291" s="67" t="str">
        <x:v>小和山店</x:v>
      </x:c>
      <x:c r="F291" s="67" t="str">
        <x:v>收银/前厅</x:v>
      </x:c>
      <x:c r="G291" s="70" t="n">
        <x:v>1</x:v>
      </x:c>
      <x:c r="H291" s="76" t="n">
        <x:v>8</x:v>
      </x:c>
      <x:c r="I291" s="76" t="n">
        <x:v>8</x:v>
      </x:c>
      <x:c r="J291" s="76" t="n">
        <x:v>27.25</x:v>
      </x:c>
      <x:c r="K291" s="79" t="n">
        <x:f>I291*J291</x:f>
        <x:v>218</x:v>
      </x:c>
      <x:c r="L291" s="94" t="n">
        <x:f>SUMIFS('门店日汇总'!$H$5:$H$60,'门店日汇总'!$A$5:$A$60,B291,'门店日汇总'!$C$5:$C$60,D291)</x:f>
        <x:v>6130.5</x:v>
      </x:c>
      <x:c r="M291" s="79" t="n">
        <x:f>IFERROR(L291/SUMIFS($I$5:$I$340,$B$5:$B$340,B291,$D$5:$D$340,D291),0)</x:f>
        <x:v>98.48192771084338</x:v>
      </x:c>
      <x:c r="N291" s="67" t="str">
        <x:v>全日</x:v>
      </x:c>
      <x:c r="O291" s="67" t="str"/>
    </x:row>
    <x:row r="292">
      <x:c r="A292" s="67" t="str">
        <x:v>SHIFT-00288</x:v>
      </x:c>
      <x:c r="B292" s="73" t="n">
        <x:v>46215.5</x:v>
      </x:c>
      <x:c r="C292" s="67" t="str">
        <x:v>周日</x:v>
      </x:c>
      <x:c r="D292" s="67" t="str">
        <x:v>S07</x:v>
      </x:c>
      <x:c r="E292" s="67" t="str">
        <x:v>小和山店</x:v>
      </x:c>
      <x:c r="F292" s="67" t="str">
        <x:v>保洁/兼职</x:v>
      </x:c>
      <x:c r="G292" s="70" t="n">
        <x:v>1</x:v>
      </x:c>
      <x:c r="H292" s="76" t="n">
        <x:v>4</x:v>
      </x:c>
      <x:c r="I292" s="76" t="n">
        <x:v>4.25</x:v>
      </x:c>
      <x:c r="J292" s="76" t="n">
        <x:v>25.15</x:v>
      </x:c>
      <x:c r="K292" s="79" t="n">
        <x:f>I292*J292</x:f>
        <x:v>106.88749999999999</x:v>
      </x:c>
      <x:c r="L292" s="94" t="n">
        <x:f>SUMIFS('门店日汇总'!$H$5:$H$60,'门店日汇总'!$A$5:$A$60,B292,'门店日汇总'!$C$5:$C$60,D292)</x:f>
        <x:v>6130.5</x:v>
      </x:c>
      <x:c r="M292" s="79" t="n">
        <x:f>IFERROR(L292/SUMIFS($I$5:$I$340,$B$5:$B$340,B292,$D$5:$D$340,D292),0)</x:f>
        <x:v>98.48192771084338</x:v>
      </x:c>
      <x:c r="N292" s="67" t="str">
        <x:v>收市</x:v>
      </x:c>
      <x:c r="O292" s="67" t="str"/>
    </x:row>
    <x:row r="293">
      <x:c r="A293" s="67" t="str">
        <x:v>SHIFT-00289</x:v>
      </x:c>
      <x:c r="B293" s="73" t="n">
        <x:v>46216.5</x:v>
      </x:c>
      <x:c r="C293" s="67" t="str">
        <x:v>周一</x:v>
      </x:c>
      <x:c r="D293" s="67" t="str">
        <x:v>S07</x:v>
      </x:c>
      <x:c r="E293" s="67" t="str">
        <x:v>小和山店</x:v>
      </x:c>
      <x:c r="F293" s="67" t="str">
        <x:v>店长/收货</x:v>
      </x:c>
      <x:c r="G293" s="70" t="n">
        <x:v>1</x:v>
      </x:c>
      <x:c r="H293" s="76" t="n">
        <x:v>10</x:v>
      </x:c>
      <x:c r="I293" s="76" t="n">
        <x:v>10.5</x:v>
      </x:c>
      <x:c r="J293" s="76" t="n">
        <x:v>35.63</x:v>
      </x:c>
      <x:c r="K293" s="79" t="n">
        <x:f>I293*J293</x:f>
        <x:v>374.115</x:v>
      </x:c>
      <x:c r="L293" s="94" t="n">
        <x:f>SUMIFS('门店日汇总'!$H$5:$H$60,'门店日汇总'!$A$5:$A$60,B293,'门店日汇总'!$C$5:$C$60,D293)</x:f>
        <x:v>8815.500000000002</x:v>
      </x:c>
      <x:c r="M293" s="79" t="n">
        <x:f>IFERROR(L293/SUMIFS($I$5:$I$340,$B$5:$B$340,B293,$D$5:$D$340,D293),0)</x:f>
        <x:v>125.04255319148939</x:v>
      </x:c>
      <x:c r="N293" s="67" t="str">
        <x:v>开市+午晚高峰</x:v>
      </x:c>
      <x:c r="O293" s="67" t="str"/>
    </x:row>
    <x:row r="294">
      <x:c r="A294" s="67" t="str">
        <x:v>SHIFT-00290</x:v>
      </x:c>
      <x:c r="B294" s="73" t="n">
        <x:v>46216.5</x:v>
      </x:c>
      <x:c r="C294" s="67" t="str">
        <x:v>周一</x:v>
      </x:c>
      <x:c r="D294" s="67" t="str">
        <x:v>S07</x:v>
      </x:c>
      <x:c r="E294" s="67" t="str">
        <x:v>小和山店</x:v>
      </x:c>
      <x:c r="F294" s="67" t="str">
        <x:v>服务员</x:v>
      </x:c>
      <x:c r="G294" s="70" t="n">
        <x:v>2</x:v>
      </x:c>
      <x:c r="H294" s="76" t="n">
        <x:v>16</x:v>
      </x:c>
      <x:c r="I294" s="76" t="n">
        <x:v>15.5</x:v>
      </x:c>
      <x:c r="J294" s="76" t="n">
        <x:v>27.25</x:v>
      </x:c>
      <x:c r="K294" s="79" t="n">
        <x:f>I294*J294</x:f>
        <x:v>422.375</x:v>
      </x:c>
      <x:c r="L294" s="94" t="n">
        <x:f>SUMIFS('门店日汇总'!$H$5:$H$60,'门店日汇总'!$A$5:$A$60,B294,'门店日汇总'!$C$5:$C$60,D294)</x:f>
        <x:v>8815.500000000002</x:v>
      </x:c>
      <x:c r="M294" s="79" t="n">
        <x:f>IFERROR(L294/SUMIFS($I$5:$I$340,$B$5:$B$340,B294,$D$5:$D$340,D294),0)</x:f>
        <x:v>125.04255319148939</x:v>
      </x:c>
      <x:c r="N294" s="67" t="str">
        <x:v>午晚高峰</x:v>
      </x:c>
      <x:c r="O294" s="67" t="str"/>
    </x:row>
    <x:row r="295">
      <x:c r="A295" s="67" t="str">
        <x:v>SHIFT-00291</x:v>
      </x:c>
      <x:c r="B295" s="73" t="n">
        <x:v>46216.5</x:v>
      </x:c>
      <x:c r="C295" s="67" t="str">
        <x:v>周一</x:v>
      </x:c>
      <x:c r="D295" s="67" t="str">
        <x:v>S07</x:v>
      </x:c>
      <x:c r="E295" s="67" t="str">
        <x:v>小和山店</x:v>
      </x:c>
      <x:c r="F295" s="67" t="str">
        <x:v>后厨小工</x:v>
      </x:c>
      <x:c r="G295" s="70" t="n">
        <x:v>2</x:v>
      </x:c>
      <x:c r="H295" s="76" t="n">
        <x:v>16</x:v>
      </x:c>
      <x:c r="I295" s="76" t="n">
        <x:v>15.75</x:v>
      </x:c>
      <x:c r="J295" s="76" t="n">
        <x:v>29.34</x:v>
      </x:c>
      <x:c r="K295" s="79" t="n">
        <x:f>I295*J295</x:f>
        <x:v>462.105</x:v>
      </x:c>
      <x:c r="L295" s="94" t="n">
        <x:f>SUMIFS('门店日汇总'!$H$5:$H$60,'门店日汇总'!$A$5:$A$60,B295,'门店日汇总'!$C$5:$C$60,D295)</x:f>
        <x:v>8815.500000000002</x:v>
      </x:c>
      <x:c r="M295" s="79" t="n">
        <x:f>IFERROR(L295/SUMIFS($I$5:$I$340,$B$5:$B$340,B295,$D$5:$D$340,D295),0)</x:f>
        <x:v>125.04255319148939</x:v>
      </x:c>
      <x:c r="N295" s="67" t="str">
        <x:v>备菜+午晚高峰</x:v>
      </x:c>
      <x:c r="O295" s="67" t="str"/>
    </x:row>
    <x:row r="296">
      <x:c r="A296" s="67" t="str">
        <x:v>SHIFT-00292</x:v>
      </x:c>
      <x:c r="B296" s="73" t="n">
        <x:v>46216.5</x:v>
      </x:c>
      <x:c r="C296" s="67" t="str">
        <x:v>周一</x:v>
      </x:c>
      <x:c r="D296" s="67" t="str">
        <x:v>S07</x:v>
      </x:c>
      <x:c r="E296" s="67" t="str">
        <x:v>小和山店</x:v>
      </x:c>
      <x:c r="F296" s="67" t="str">
        <x:v>炒菜机操作员</x:v>
      </x:c>
      <x:c r="G296" s="70" t="n">
        <x:v>2</x:v>
      </x:c>
      <x:c r="H296" s="76" t="n">
        <x:v>16</x:v>
      </x:c>
      <x:c r="I296" s="76" t="n">
        <x:v>16</x:v>
      </x:c>
      <x:c r="J296" s="76" t="n">
        <x:v>30.39</x:v>
      </x:c>
      <x:c r="K296" s="79" t="n">
        <x:f>I296*J296</x:f>
        <x:v>486.24</x:v>
      </x:c>
      <x:c r="L296" s="94" t="n">
        <x:f>SUMIFS('门店日汇总'!$H$5:$H$60,'门店日汇总'!$A$5:$A$60,B296,'门店日汇总'!$C$5:$C$60,D296)</x:f>
        <x:v>8815.500000000002</x:v>
      </x:c>
      <x:c r="M296" s="79" t="n">
        <x:f>IFERROR(L296/SUMIFS($I$5:$I$340,$B$5:$B$340,B296,$D$5:$D$340,D296),0)</x:f>
        <x:v>125.04255319148939</x:v>
      </x:c>
      <x:c r="N296" s="67" t="str">
        <x:v>午晚高峰</x:v>
      </x:c>
      <x:c r="O296" s="67" t="str"/>
    </x:row>
    <x:row r="297">
      <x:c r="A297" s="67" t="str">
        <x:v>SHIFT-00293</x:v>
      </x:c>
      <x:c r="B297" s="73" t="n">
        <x:v>46216.5</x:v>
      </x:c>
      <x:c r="C297" s="67" t="str">
        <x:v>周一</x:v>
      </x:c>
      <x:c r="D297" s="67" t="str">
        <x:v>S07</x:v>
      </x:c>
      <x:c r="E297" s="67" t="str">
        <x:v>小和山店</x:v>
      </x:c>
      <x:c r="F297" s="67" t="str">
        <x:v>收银/前厅</x:v>
      </x:c>
      <x:c r="G297" s="70" t="n">
        <x:v>1</x:v>
      </x:c>
      <x:c r="H297" s="76" t="n">
        <x:v>8</x:v>
      </x:c>
      <x:c r="I297" s="76" t="n">
        <x:v>8.25</x:v>
      </x:c>
      <x:c r="J297" s="76" t="n">
        <x:v>27.25</x:v>
      </x:c>
      <x:c r="K297" s="79" t="n">
        <x:f>I297*J297</x:f>
        <x:v>224.8125</x:v>
      </x:c>
      <x:c r="L297" s="94" t="n">
        <x:f>SUMIFS('门店日汇总'!$H$5:$H$60,'门店日汇总'!$A$5:$A$60,B297,'门店日汇总'!$C$5:$C$60,D297)</x:f>
        <x:v>8815.500000000002</x:v>
      </x:c>
      <x:c r="M297" s="79" t="n">
        <x:f>IFERROR(L297/SUMIFS($I$5:$I$340,$B$5:$B$340,B297,$D$5:$D$340,D297),0)</x:f>
        <x:v>125.04255319148939</x:v>
      </x:c>
      <x:c r="N297" s="67" t="str">
        <x:v>全日</x:v>
      </x:c>
      <x:c r="O297" s="67" t="str"/>
    </x:row>
    <x:row r="298">
      <x:c r="A298" s="67" t="str">
        <x:v>SHIFT-00294</x:v>
      </x:c>
      <x:c r="B298" s="73" t="n">
        <x:v>46216.5</x:v>
      </x:c>
      <x:c r="C298" s="67" t="str">
        <x:v>周一</x:v>
      </x:c>
      <x:c r="D298" s="67" t="str">
        <x:v>S07</x:v>
      </x:c>
      <x:c r="E298" s="67" t="str">
        <x:v>小和山店</x:v>
      </x:c>
      <x:c r="F298" s="67" t="str">
        <x:v>保洁/兼职</x:v>
      </x:c>
      <x:c r="G298" s="70" t="n">
        <x:v>1</x:v>
      </x:c>
      <x:c r="H298" s="76" t="n">
        <x:v>4</x:v>
      </x:c>
      <x:c r="I298" s="76" t="n">
        <x:v>4.5</x:v>
      </x:c>
      <x:c r="J298" s="76" t="n">
        <x:v>25.15</x:v>
      </x:c>
      <x:c r="K298" s="79" t="n">
        <x:f>I298*J298</x:f>
        <x:v>113.175</x:v>
      </x:c>
      <x:c r="L298" s="94" t="n">
        <x:f>SUMIFS('门店日汇总'!$H$5:$H$60,'门店日汇总'!$A$5:$A$60,B298,'门店日汇总'!$C$5:$C$60,D298)</x:f>
        <x:v>8815.500000000002</x:v>
      </x:c>
      <x:c r="M298" s="79" t="n">
        <x:f>IFERROR(L298/SUMIFS($I$5:$I$340,$B$5:$B$340,B298,$D$5:$D$340,D298),0)</x:f>
        <x:v>125.04255319148939</x:v>
      </x:c>
      <x:c r="N298" s="67" t="str">
        <x:v>收市</x:v>
      </x:c>
      <x:c r="O298" s="67" t="str"/>
    </x:row>
    <x:row r="299">
      <x:c r="A299" s="67" t="str">
        <x:v>SHIFT-00295</x:v>
      </x:c>
      <x:c r="B299" s="73" t="n">
        <x:v>46210.5</x:v>
      </x:c>
      <x:c r="C299" s="67" t="str">
        <x:v>周二</x:v>
      </x:c>
      <x:c r="D299" s="67" t="str">
        <x:v>S08</x:v>
      </x:c>
      <x:c r="E299" s="67" t="str">
        <x:v>四季青店</x:v>
      </x:c>
      <x:c r="F299" s="67" t="str">
        <x:v>店长/收货</x:v>
      </x:c>
      <x:c r="G299" s="70" t="n">
        <x:v>1</x:v>
      </x:c>
      <x:c r="H299" s="76" t="n">
        <x:v>10</x:v>
      </x:c>
      <x:c r="I299" s="76" t="n">
        <x:v>9.75</x:v>
      </x:c>
      <x:c r="J299" s="76" t="n">
        <x:v>36.24</x:v>
      </x:c>
      <x:c r="K299" s="79" t="n">
        <x:f>I299*J299</x:f>
        <x:v>353.34000000000003</x:v>
      </x:c>
      <x:c r="L299" s="94" t="n">
        <x:f>SUMIFS('门店日汇总'!$H$5:$H$60,'门店日汇总'!$A$5:$A$60,B299,'门店日汇总'!$C$5:$C$60,D299)</x:f>
        <x:v>7620.7</x:v>
      </x:c>
      <x:c r="M299" s="79" t="n">
        <x:f>IFERROR(L299/SUMIFS($I$5:$I$340,$B$5:$B$340,B299,$D$5:$D$340,D299),0)</x:f>
        <x:v>109.2573476702509</x:v>
      </x:c>
      <x:c r="N299" s="67" t="str">
        <x:v>开市+午晚高峰</x:v>
      </x:c>
      <x:c r="O299" s="67" t="str"/>
    </x:row>
    <x:row r="300">
      <x:c r="A300" s="67" t="str">
        <x:v>SHIFT-00296</x:v>
      </x:c>
      <x:c r="B300" s="73" t="n">
        <x:v>46210.5</x:v>
      </x:c>
      <x:c r="C300" s="67" t="str">
        <x:v>周二</x:v>
      </x:c>
      <x:c r="D300" s="67" t="str">
        <x:v>S08</x:v>
      </x:c>
      <x:c r="E300" s="67" t="str">
        <x:v>四季青店</x:v>
      </x:c>
      <x:c r="F300" s="67" t="str">
        <x:v>服务员</x:v>
      </x:c>
      <x:c r="G300" s="70" t="n">
        <x:v>2</x:v>
      </x:c>
      <x:c r="H300" s="76" t="n">
        <x:v>16</x:v>
      </x:c>
      <x:c r="I300" s="76" t="n">
        <x:v>16</x:v>
      </x:c>
      <x:c r="J300" s="76" t="n">
        <x:v>27.72</x:v>
      </x:c>
      <x:c r="K300" s="79" t="n">
        <x:f>I300*J300</x:f>
        <x:v>443.52</x:v>
      </x:c>
      <x:c r="L300" s="94" t="n">
        <x:f>SUMIFS('门店日汇总'!$H$5:$H$60,'门店日汇总'!$A$5:$A$60,B300,'门店日汇总'!$C$5:$C$60,D300)</x:f>
        <x:v>7620.7</x:v>
      </x:c>
      <x:c r="M300" s="79" t="n">
        <x:f>IFERROR(L300/SUMIFS($I$5:$I$340,$B$5:$B$340,B300,$D$5:$D$340,D300),0)</x:f>
        <x:v>109.2573476702509</x:v>
      </x:c>
      <x:c r="N300" s="67" t="str">
        <x:v>午晚高峰</x:v>
      </x:c>
      <x:c r="O300" s="67" t="str"/>
    </x:row>
    <x:row r="301">
      <x:c r="A301" s="67" t="str">
        <x:v>SHIFT-00297</x:v>
      </x:c>
      <x:c r="B301" s="73" t="n">
        <x:v>46210.5</x:v>
      </x:c>
      <x:c r="C301" s="67" t="str">
        <x:v>周二</x:v>
      </x:c>
      <x:c r="D301" s="67" t="str">
        <x:v>S08</x:v>
      </x:c>
      <x:c r="E301" s="67" t="str">
        <x:v>四季青店</x:v>
      </x:c>
      <x:c r="F301" s="67" t="str">
        <x:v>后厨小工</x:v>
      </x:c>
      <x:c r="G301" s="70" t="n">
        <x:v>2</x:v>
      </x:c>
      <x:c r="H301" s="76" t="n">
        <x:v>16</x:v>
      </x:c>
      <x:c r="I301" s="76" t="n">
        <x:v>16.25</x:v>
      </x:c>
      <x:c r="J301" s="76" t="n">
        <x:v>29.85</x:v>
      </x:c>
      <x:c r="K301" s="79" t="n">
        <x:f>I301*J301</x:f>
        <x:v>485.0625</x:v>
      </x:c>
      <x:c r="L301" s="94" t="n">
        <x:f>SUMIFS('门店日汇总'!$H$5:$H$60,'门店日汇总'!$A$5:$A$60,B301,'门店日汇总'!$C$5:$C$60,D301)</x:f>
        <x:v>7620.7</x:v>
      </x:c>
      <x:c r="M301" s="79" t="n">
        <x:f>IFERROR(L301/SUMIFS($I$5:$I$340,$B$5:$B$340,B301,$D$5:$D$340,D301),0)</x:f>
        <x:v>109.2573476702509</x:v>
      </x:c>
      <x:c r="N301" s="67" t="str">
        <x:v>备菜+午晚高峰</x:v>
      </x:c>
      <x:c r="O301" s="67" t="str"/>
    </x:row>
    <x:row r="302">
      <x:c r="A302" s="67" t="str">
        <x:v>SHIFT-00298</x:v>
      </x:c>
      <x:c r="B302" s="73" t="n">
        <x:v>46210.5</x:v>
      </x:c>
      <x:c r="C302" s="67" t="str">
        <x:v>周二</x:v>
      </x:c>
      <x:c r="D302" s="67" t="str">
        <x:v>S08</x:v>
      </x:c>
      <x:c r="E302" s="67" t="str">
        <x:v>四季青店</x:v>
      </x:c>
      <x:c r="F302" s="67" t="str">
        <x:v>炒菜机操作员</x:v>
      </x:c>
      <x:c r="G302" s="70" t="n">
        <x:v>2</x:v>
      </x:c>
      <x:c r="H302" s="76" t="n">
        <x:v>16</x:v>
      </x:c>
      <x:c r="I302" s="76" t="n">
        <x:v>16.5</x:v>
      </x:c>
      <x:c r="J302" s="76" t="n">
        <x:v>30.91</x:v>
      </x:c>
      <x:c r="K302" s="79" t="n">
        <x:f>I302*J302</x:f>
        <x:v>510.015</x:v>
      </x:c>
      <x:c r="L302" s="94" t="n">
        <x:f>SUMIFS('门店日汇总'!$H$5:$H$60,'门店日汇总'!$A$5:$A$60,B302,'门店日汇总'!$C$5:$C$60,D302)</x:f>
        <x:v>7620.7</x:v>
      </x:c>
      <x:c r="M302" s="79" t="n">
        <x:f>IFERROR(L302/SUMIFS($I$5:$I$340,$B$5:$B$340,B302,$D$5:$D$340,D302),0)</x:f>
        <x:v>109.2573476702509</x:v>
      </x:c>
      <x:c r="N302" s="67" t="str">
        <x:v>午晚高峰</x:v>
      </x:c>
      <x:c r="O302" s="67" t="str"/>
    </x:row>
    <x:row r="303">
      <x:c r="A303" s="67" t="str">
        <x:v>SHIFT-00299</x:v>
      </x:c>
      <x:c r="B303" s="73" t="n">
        <x:v>46210.5</x:v>
      </x:c>
      <x:c r="C303" s="67" t="str">
        <x:v>周二</x:v>
      </x:c>
      <x:c r="D303" s="67" t="str">
        <x:v>S08</x:v>
      </x:c>
      <x:c r="E303" s="67" t="str">
        <x:v>四季青店</x:v>
      </x:c>
      <x:c r="F303" s="67" t="str">
        <x:v>收银/前厅</x:v>
      </x:c>
      <x:c r="G303" s="70" t="n">
        <x:v>1</x:v>
      </x:c>
      <x:c r="H303" s="76" t="n">
        <x:v>8</x:v>
      </x:c>
      <x:c r="I303" s="76" t="n">
        <x:v>7.5</x:v>
      </x:c>
      <x:c r="J303" s="76" t="n">
        <x:v>27.72</x:v>
      </x:c>
      <x:c r="K303" s="79" t="n">
        <x:f>I303*J303</x:f>
        <x:v>207.89999999999998</x:v>
      </x:c>
      <x:c r="L303" s="94" t="n">
        <x:f>SUMIFS('门店日汇总'!$H$5:$H$60,'门店日汇总'!$A$5:$A$60,B303,'门店日汇总'!$C$5:$C$60,D303)</x:f>
        <x:v>7620.7</x:v>
      </x:c>
      <x:c r="M303" s="79" t="n">
        <x:f>IFERROR(L303/SUMIFS($I$5:$I$340,$B$5:$B$340,B303,$D$5:$D$340,D303),0)</x:f>
        <x:v>109.2573476702509</x:v>
      </x:c>
      <x:c r="N303" s="67" t="str">
        <x:v>全日</x:v>
      </x:c>
      <x:c r="O303" s="67" t="str"/>
    </x:row>
    <x:row r="304">
      <x:c r="A304" s="67" t="str">
        <x:v>SHIFT-00300</x:v>
      </x:c>
      <x:c r="B304" s="73" t="n">
        <x:v>46210.5</x:v>
      </x:c>
      <x:c r="C304" s="67" t="str">
        <x:v>周二</x:v>
      </x:c>
      <x:c r="D304" s="67" t="str">
        <x:v>S08</x:v>
      </x:c>
      <x:c r="E304" s="67" t="str">
        <x:v>四季青店</x:v>
      </x:c>
      <x:c r="F304" s="67" t="str">
        <x:v>保洁/兼职</x:v>
      </x:c>
      <x:c r="G304" s="70" t="n">
        <x:v>1</x:v>
      </x:c>
      <x:c r="H304" s="76" t="n">
        <x:v>4</x:v>
      </x:c>
      <x:c r="I304" s="76" t="n">
        <x:v>3.75</x:v>
      </x:c>
      <x:c r="J304" s="76" t="n">
        <x:v>25.58</x:v>
      </x:c>
      <x:c r="K304" s="79" t="n">
        <x:f>I304*J304</x:f>
        <x:v>95.925</x:v>
      </x:c>
      <x:c r="L304" s="94" t="n">
        <x:f>SUMIFS('门店日汇总'!$H$5:$H$60,'门店日汇总'!$A$5:$A$60,B304,'门店日汇总'!$C$5:$C$60,D304)</x:f>
        <x:v>7620.7</x:v>
      </x:c>
      <x:c r="M304" s="79" t="n">
        <x:f>IFERROR(L304/SUMIFS($I$5:$I$340,$B$5:$B$340,B304,$D$5:$D$340,D304),0)</x:f>
        <x:v>109.2573476702509</x:v>
      </x:c>
      <x:c r="N304" s="67" t="str">
        <x:v>收市</x:v>
      </x:c>
      <x:c r="O304" s="67" t="str"/>
    </x:row>
    <x:row r="305">
      <x:c r="A305" s="67" t="str">
        <x:v>SHIFT-00301</x:v>
      </x:c>
      <x:c r="B305" s="73" t="n">
        <x:v>46211.5</x:v>
      </x:c>
      <x:c r="C305" s="67" t="str">
        <x:v>周三</x:v>
      </x:c>
      <x:c r="D305" s="67" t="str">
        <x:v>S08</x:v>
      </x:c>
      <x:c r="E305" s="67" t="str">
        <x:v>四季青店</x:v>
      </x:c>
      <x:c r="F305" s="67" t="str">
        <x:v>店长/收货</x:v>
      </x:c>
      <x:c r="G305" s="70" t="n">
        <x:v>1</x:v>
      </x:c>
      <x:c r="H305" s="76" t="n">
        <x:v>10</x:v>
      </x:c>
      <x:c r="I305" s="76" t="n">
        <x:v>10</x:v>
      </x:c>
      <x:c r="J305" s="76" t="n">
        <x:v>36.24</x:v>
      </x:c>
      <x:c r="K305" s="79" t="n">
        <x:f>I305*J305</x:f>
        <x:v>362.40000000000003</x:v>
      </x:c>
      <x:c r="L305" s="94" t="n">
        <x:f>SUMIFS('门店日汇总'!$H$5:$H$60,'门店日汇总'!$A$5:$A$60,B305,'门店日汇总'!$C$5:$C$60,D305)</x:f>
        <x:v>7421.3</x:v>
      </x:c>
      <x:c r="M305" s="79" t="n">
        <x:f>IFERROR(L305/SUMIFS($I$5:$I$340,$B$5:$B$340,B305,$D$5:$D$340,D305),0)</x:f>
        <x:v>106.01857142857143</x:v>
      </x:c>
      <x:c r="N305" s="67" t="str">
        <x:v>开市+午晚高峰</x:v>
      </x:c>
      <x:c r="O305" s="67" t="str"/>
    </x:row>
    <x:row r="306">
      <x:c r="A306" s="67" t="str">
        <x:v>SHIFT-00302</x:v>
      </x:c>
      <x:c r="B306" s="73" t="n">
        <x:v>46211.5</x:v>
      </x:c>
      <x:c r="C306" s="67" t="str">
        <x:v>周三</x:v>
      </x:c>
      <x:c r="D306" s="67" t="str">
        <x:v>S08</x:v>
      </x:c>
      <x:c r="E306" s="67" t="str">
        <x:v>四季青店</x:v>
      </x:c>
      <x:c r="F306" s="67" t="str">
        <x:v>服务员</x:v>
      </x:c>
      <x:c r="G306" s="70" t="n">
        <x:v>2</x:v>
      </x:c>
      <x:c r="H306" s="76" t="n">
        <x:v>16</x:v>
      </x:c>
      <x:c r="I306" s="76" t="n">
        <x:v>16.25</x:v>
      </x:c>
      <x:c r="J306" s="76" t="n">
        <x:v>27.72</x:v>
      </x:c>
      <x:c r="K306" s="79" t="n">
        <x:f>I306*J306</x:f>
        <x:v>450.45</x:v>
      </x:c>
      <x:c r="L306" s="94" t="n">
        <x:f>SUMIFS('门店日汇总'!$H$5:$H$60,'门店日汇总'!$A$5:$A$60,B306,'门店日汇总'!$C$5:$C$60,D306)</x:f>
        <x:v>7421.3</x:v>
      </x:c>
      <x:c r="M306" s="79" t="n">
        <x:f>IFERROR(L306/SUMIFS($I$5:$I$340,$B$5:$B$340,B306,$D$5:$D$340,D306),0)</x:f>
        <x:v>106.01857142857143</x:v>
      </x:c>
      <x:c r="N306" s="67" t="str">
        <x:v>午晚高峰</x:v>
      </x:c>
      <x:c r="O306" s="67" t="str"/>
    </x:row>
    <x:row r="307">
      <x:c r="A307" s="67" t="str">
        <x:v>SHIFT-00303</x:v>
      </x:c>
      <x:c r="B307" s="73" t="n">
        <x:v>46211.5</x:v>
      </x:c>
      <x:c r="C307" s="67" t="str">
        <x:v>周三</x:v>
      </x:c>
      <x:c r="D307" s="67" t="str">
        <x:v>S08</x:v>
      </x:c>
      <x:c r="E307" s="67" t="str">
        <x:v>四季青店</x:v>
      </x:c>
      <x:c r="F307" s="67" t="str">
        <x:v>后厨小工</x:v>
      </x:c>
      <x:c r="G307" s="70" t="n">
        <x:v>2</x:v>
      </x:c>
      <x:c r="H307" s="76" t="n">
        <x:v>16</x:v>
      </x:c>
      <x:c r="I307" s="76" t="n">
        <x:v>16.5</x:v>
      </x:c>
      <x:c r="J307" s="76" t="n">
        <x:v>29.85</x:v>
      </x:c>
      <x:c r="K307" s="79" t="n">
        <x:f>I307*J307</x:f>
        <x:v>492.52500000000003</x:v>
      </x:c>
      <x:c r="L307" s="94" t="n">
        <x:f>SUMIFS('门店日汇总'!$H$5:$H$60,'门店日汇总'!$A$5:$A$60,B307,'门店日汇总'!$C$5:$C$60,D307)</x:f>
        <x:v>7421.3</x:v>
      </x:c>
      <x:c r="M307" s="79" t="n">
        <x:f>IFERROR(L307/SUMIFS($I$5:$I$340,$B$5:$B$340,B307,$D$5:$D$340,D307),0)</x:f>
        <x:v>106.01857142857143</x:v>
      </x:c>
      <x:c r="N307" s="67" t="str">
        <x:v>备菜+午晚高峰</x:v>
      </x:c>
      <x:c r="O307" s="67" t="str"/>
    </x:row>
    <x:row r="308">
      <x:c r="A308" s="67" t="str">
        <x:v>SHIFT-00304</x:v>
      </x:c>
      <x:c r="B308" s="73" t="n">
        <x:v>46211.5</x:v>
      </x:c>
      <x:c r="C308" s="67" t="str">
        <x:v>周三</x:v>
      </x:c>
      <x:c r="D308" s="67" t="str">
        <x:v>S08</x:v>
      </x:c>
      <x:c r="E308" s="67" t="str">
        <x:v>四季青店</x:v>
      </x:c>
      <x:c r="F308" s="67" t="str">
        <x:v>炒菜机操作员</x:v>
      </x:c>
      <x:c r="G308" s="70" t="n">
        <x:v>2</x:v>
      </x:c>
      <x:c r="H308" s="76" t="n">
        <x:v>16</x:v>
      </x:c>
      <x:c r="I308" s="76" t="n">
        <x:v>15.5</x:v>
      </x:c>
      <x:c r="J308" s="76" t="n">
        <x:v>30.91</x:v>
      </x:c>
      <x:c r="K308" s="79" t="n">
        <x:f>I308*J308</x:f>
        <x:v>479.105</x:v>
      </x:c>
      <x:c r="L308" s="94" t="n">
        <x:f>SUMIFS('门店日汇总'!$H$5:$H$60,'门店日汇总'!$A$5:$A$60,B308,'门店日汇总'!$C$5:$C$60,D308)</x:f>
        <x:v>7421.3</x:v>
      </x:c>
      <x:c r="M308" s="79" t="n">
        <x:f>IFERROR(L308/SUMIFS($I$5:$I$340,$B$5:$B$340,B308,$D$5:$D$340,D308),0)</x:f>
        <x:v>106.01857142857143</x:v>
      </x:c>
      <x:c r="N308" s="67" t="str">
        <x:v>午晚高峰</x:v>
      </x:c>
      <x:c r="O308" s="67" t="str"/>
    </x:row>
    <x:row r="309">
      <x:c r="A309" s="67" t="str">
        <x:v>SHIFT-00305</x:v>
      </x:c>
      <x:c r="B309" s="73" t="n">
        <x:v>46211.5</x:v>
      </x:c>
      <x:c r="C309" s="67" t="str">
        <x:v>周三</x:v>
      </x:c>
      <x:c r="D309" s="67" t="str">
        <x:v>S08</x:v>
      </x:c>
      <x:c r="E309" s="67" t="str">
        <x:v>四季青店</x:v>
      </x:c>
      <x:c r="F309" s="67" t="str">
        <x:v>收银/前厅</x:v>
      </x:c>
      <x:c r="G309" s="70" t="n">
        <x:v>1</x:v>
      </x:c>
      <x:c r="H309" s="76" t="n">
        <x:v>8</x:v>
      </x:c>
      <x:c r="I309" s="76" t="n">
        <x:v>7.75</x:v>
      </x:c>
      <x:c r="J309" s="76" t="n">
        <x:v>27.72</x:v>
      </x:c>
      <x:c r="K309" s="79" t="n">
        <x:f>I309*J309</x:f>
        <x:v>214.82999999999998</x:v>
      </x:c>
      <x:c r="L309" s="94" t="n">
        <x:f>SUMIFS('门店日汇总'!$H$5:$H$60,'门店日汇总'!$A$5:$A$60,B309,'门店日汇总'!$C$5:$C$60,D309)</x:f>
        <x:v>7421.3</x:v>
      </x:c>
      <x:c r="M309" s="79" t="n">
        <x:f>IFERROR(L309/SUMIFS($I$5:$I$340,$B$5:$B$340,B309,$D$5:$D$340,D309),0)</x:f>
        <x:v>106.01857142857143</x:v>
      </x:c>
      <x:c r="N309" s="67" t="str">
        <x:v>全日</x:v>
      </x:c>
      <x:c r="O309" s="67" t="str"/>
    </x:row>
    <x:row r="310">
      <x:c r="A310" s="67" t="str">
        <x:v>SHIFT-00306</x:v>
      </x:c>
      <x:c r="B310" s="73" t="n">
        <x:v>46211.5</x:v>
      </x:c>
      <x:c r="C310" s="67" t="str">
        <x:v>周三</x:v>
      </x:c>
      <x:c r="D310" s="67" t="str">
        <x:v>S08</x:v>
      </x:c>
      <x:c r="E310" s="67" t="str">
        <x:v>四季青店</x:v>
      </x:c>
      <x:c r="F310" s="67" t="str">
        <x:v>保洁/兼职</x:v>
      </x:c>
      <x:c r="G310" s="70" t="n">
        <x:v>1</x:v>
      </x:c>
      <x:c r="H310" s="76" t="n">
        <x:v>4</x:v>
      </x:c>
      <x:c r="I310" s="76" t="n">
        <x:v>4</x:v>
      </x:c>
      <x:c r="J310" s="76" t="n">
        <x:v>25.58</x:v>
      </x:c>
      <x:c r="K310" s="79" t="n">
        <x:f>I310*J310</x:f>
        <x:v>102.32</x:v>
      </x:c>
      <x:c r="L310" s="94" t="n">
        <x:f>SUMIFS('门店日汇总'!$H$5:$H$60,'门店日汇总'!$A$5:$A$60,B310,'门店日汇总'!$C$5:$C$60,D310)</x:f>
        <x:v>7421.3</x:v>
      </x:c>
      <x:c r="M310" s="79" t="n">
        <x:f>IFERROR(L310/SUMIFS($I$5:$I$340,$B$5:$B$340,B310,$D$5:$D$340,D310),0)</x:f>
        <x:v>106.01857142857143</x:v>
      </x:c>
      <x:c r="N310" s="67" t="str">
        <x:v>收市</x:v>
      </x:c>
      <x:c r="O310" s="67" t="str"/>
    </x:row>
    <x:row r="311">
      <x:c r="A311" s="67" t="str">
        <x:v>SHIFT-00307</x:v>
      </x:c>
      <x:c r="B311" s="73" t="n">
        <x:v>46212.5</x:v>
      </x:c>
      <x:c r="C311" s="67" t="str">
        <x:v>周四</x:v>
      </x:c>
      <x:c r="D311" s="67" t="str">
        <x:v>S08</x:v>
      </x:c>
      <x:c r="E311" s="67" t="str">
        <x:v>四季青店</x:v>
      </x:c>
      <x:c r="F311" s="67" t="str">
        <x:v>店长/收货</x:v>
      </x:c>
      <x:c r="G311" s="70" t="n">
        <x:v>1</x:v>
      </x:c>
      <x:c r="H311" s="76" t="n">
        <x:v>10</x:v>
      </x:c>
      <x:c r="I311" s="76" t="n">
        <x:v>10.25</x:v>
      </x:c>
      <x:c r="J311" s="76" t="n">
        <x:v>36.24</x:v>
      </x:c>
      <x:c r="K311" s="79" t="n">
        <x:f>I311*J311</x:f>
        <x:v>371.46000000000004</x:v>
      </x:c>
      <x:c r="L311" s="94" t="n">
        <x:f>SUMIFS('门店日汇总'!$H$5:$H$60,'门店日汇总'!$A$5:$A$60,B311,'门店日汇总'!$C$5:$C$60,D311)</x:f>
        <x:v>7281.9</x:v>
      </x:c>
      <x:c r="M311" s="79" t="n">
        <x:f>IFERROR(L311/SUMIFS($I$5:$I$340,$B$5:$B$340,B311,$D$5:$D$340,D311),0)</x:f>
        <x:v>103.65693950177935</x:v>
      </x:c>
      <x:c r="N311" s="67" t="str">
        <x:v>开市+午晚高峰</x:v>
      </x:c>
      <x:c r="O311" s="67" t="str"/>
    </x:row>
    <x:row r="312">
      <x:c r="A312" s="67" t="str">
        <x:v>SHIFT-00308</x:v>
      </x:c>
      <x:c r="B312" s="73" t="n">
        <x:v>46212.5</x:v>
      </x:c>
      <x:c r="C312" s="67" t="str">
        <x:v>周四</x:v>
      </x:c>
      <x:c r="D312" s="67" t="str">
        <x:v>S08</x:v>
      </x:c>
      <x:c r="E312" s="67" t="str">
        <x:v>四季青店</x:v>
      </x:c>
      <x:c r="F312" s="67" t="str">
        <x:v>服务员</x:v>
      </x:c>
      <x:c r="G312" s="70" t="n">
        <x:v>2</x:v>
      </x:c>
      <x:c r="H312" s="76" t="n">
        <x:v>16</x:v>
      </x:c>
      <x:c r="I312" s="76" t="n">
        <x:v>16.5</x:v>
      </x:c>
      <x:c r="J312" s="76" t="n">
        <x:v>27.72</x:v>
      </x:c>
      <x:c r="K312" s="79" t="n">
        <x:f>I312*J312</x:f>
        <x:v>457.38</x:v>
      </x:c>
      <x:c r="L312" s="94" t="n">
        <x:f>SUMIFS('门店日汇总'!$H$5:$H$60,'门店日汇总'!$A$5:$A$60,B312,'门店日汇总'!$C$5:$C$60,D312)</x:f>
        <x:v>7281.9</x:v>
      </x:c>
      <x:c r="M312" s="79" t="n">
        <x:f>IFERROR(L312/SUMIFS($I$5:$I$340,$B$5:$B$340,B312,$D$5:$D$340,D312),0)</x:f>
        <x:v>103.65693950177935</x:v>
      </x:c>
      <x:c r="N312" s="67" t="str">
        <x:v>午晚高峰</x:v>
      </x:c>
      <x:c r="O312" s="67" t="str"/>
    </x:row>
    <x:row r="313">
      <x:c r="A313" s="67" t="str">
        <x:v>SHIFT-00309</x:v>
      </x:c>
      <x:c r="B313" s="73" t="n">
        <x:v>46212.5</x:v>
      </x:c>
      <x:c r="C313" s="67" t="str">
        <x:v>周四</x:v>
      </x:c>
      <x:c r="D313" s="67" t="str">
        <x:v>S08</x:v>
      </x:c>
      <x:c r="E313" s="67" t="str">
        <x:v>四季青店</x:v>
      </x:c>
      <x:c r="F313" s="67" t="str">
        <x:v>后厨小工</x:v>
      </x:c>
      <x:c r="G313" s="70" t="n">
        <x:v>2</x:v>
      </x:c>
      <x:c r="H313" s="76" t="n">
        <x:v>16</x:v>
      </x:c>
      <x:c r="I313" s="76" t="n">
        <x:v>15.5</x:v>
      </x:c>
      <x:c r="J313" s="76" t="n">
        <x:v>29.85</x:v>
      </x:c>
      <x:c r="K313" s="79" t="n">
        <x:f>I313*J313</x:f>
        <x:v>462.675</x:v>
      </x:c>
      <x:c r="L313" s="94" t="n">
        <x:f>SUMIFS('门店日汇总'!$H$5:$H$60,'门店日汇总'!$A$5:$A$60,B313,'门店日汇总'!$C$5:$C$60,D313)</x:f>
        <x:v>7281.9</x:v>
      </x:c>
      <x:c r="M313" s="79" t="n">
        <x:f>IFERROR(L313/SUMIFS($I$5:$I$340,$B$5:$B$340,B313,$D$5:$D$340,D313),0)</x:f>
        <x:v>103.65693950177935</x:v>
      </x:c>
      <x:c r="N313" s="67" t="str">
        <x:v>备菜+午晚高峰</x:v>
      </x:c>
      <x:c r="O313" s="67" t="str"/>
    </x:row>
    <x:row r="314">
      <x:c r="A314" s="67" t="str">
        <x:v>SHIFT-00310</x:v>
      </x:c>
      <x:c r="B314" s="73" t="n">
        <x:v>46212.5</x:v>
      </x:c>
      <x:c r="C314" s="67" t="str">
        <x:v>周四</x:v>
      </x:c>
      <x:c r="D314" s="67" t="str">
        <x:v>S08</x:v>
      </x:c>
      <x:c r="E314" s="67" t="str">
        <x:v>四季青店</x:v>
      </x:c>
      <x:c r="F314" s="67" t="str">
        <x:v>炒菜机操作员</x:v>
      </x:c>
      <x:c r="G314" s="70" t="n">
        <x:v>2</x:v>
      </x:c>
      <x:c r="H314" s="76" t="n">
        <x:v>16</x:v>
      </x:c>
      <x:c r="I314" s="76" t="n">
        <x:v>15.75</x:v>
      </x:c>
      <x:c r="J314" s="76" t="n">
        <x:v>30.91</x:v>
      </x:c>
      <x:c r="K314" s="79" t="n">
        <x:f>I314*J314</x:f>
        <x:v>486.8325</x:v>
      </x:c>
      <x:c r="L314" s="94" t="n">
        <x:f>SUMIFS('门店日汇总'!$H$5:$H$60,'门店日汇总'!$A$5:$A$60,B314,'门店日汇总'!$C$5:$C$60,D314)</x:f>
        <x:v>7281.9</x:v>
      </x:c>
      <x:c r="M314" s="79" t="n">
        <x:f>IFERROR(L314/SUMIFS($I$5:$I$340,$B$5:$B$340,B314,$D$5:$D$340,D314),0)</x:f>
        <x:v>103.65693950177935</x:v>
      </x:c>
      <x:c r="N314" s="67" t="str">
        <x:v>午晚高峰</x:v>
      </x:c>
      <x:c r="O314" s="67" t="str"/>
    </x:row>
    <x:row r="315">
      <x:c r="A315" s="67" t="str">
        <x:v>SHIFT-00311</x:v>
      </x:c>
      <x:c r="B315" s="73" t="n">
        <x:v>46212.5</x:v>
      </x:c>
      <x:c r="C315" s="67" t="str">
        <x:v>周四</x:v>
      </x:c>
      <x:c r="D315" s="67" t="str">
        <x:v>S08</x:v>
      </x:c>
      <x:c r="E315" s="67" t="str">
        <x:v>四季青店</x:v>
      </x:c>
      <x:c r="F315" s="67" t="str">
        <x:v>收银/前厅</x:v>
      </x:c>
      <x:c r="G315" s="70" t="n">
        <x:v>1</x:v>
      </x:c>
      <x:c r="H315" s="76" t="n">
        <x:v>8</x:v>
      </x:c>
      <x:c r="I315" s="76" t="n">
        <x:v>8</x:v>
      </x:c>
      <x:c r="J315" s="76" t="n">
        <x:v>27.72</x:v>
      </x:c>
      <x:c r="K315" s="79" t="n">
        <x:f>I315*J315</x:f>
        <x:v>221.76</x:v>
      </x:c>
      <x:c r="L315" s="94" t="n">
        <x:f>SUMIFS('门店日汇总'!$H$5:$H$60,'门店日汇总'!$A$5:$A$60,B315,'门店日汇总'!$C$5:$C$60,D315)</x:f>
        <x:v>7281.9</x:v>
      </x:c>
      <x:c r="M315" s="79" t="n">
        <x:f>IFERROR(L315/SUMIFS($I$5:$I$340,$B$5:$B$340,B315,$D$5:$D$340,D315),0)</x:f>
        <x:v>103.65693950177935</x:v>
      </x:c>
      <x:c r="N315" s="67" t="str">
        <x:v>全日</x:v>
      </x:c>
      <x:c r="O315" s="67" t="str"/>
    </x:row>
    <x:row r="316">
      <x:c r="A316" s="67" t="str">
        <x:v>SHIFT-00312</x:v>
      </x:c>
      <x:c r="B316" s="73" t="n">
        <x:v>46212.5</x:v>
      </x:c>
      <x:c r="C316" s="67" t="str">
        <x:v>周四</x:v>
      </x:c>
      <x:c r="D316" s="67" t="str">
        <x:v>S08</x:v>
      </x:c>
      <x:c r="E316" s="67" t="str">
        <x:v>四季青店</x:v>
      </x:c>
      <x:c r="F316" s="67" t="str">
        <x:v>保洁/兼职</x:v>
      </x:c>
      <x:c r="G316" s="70" t="n">
        <x:v>1</x:v>
      </x:c>
      <x:c r="H316" s="76" t="n">
        <x:v>4</x:v>
      </x:c>
      <x:c r="I316" s="76" t="n">
        <x:v>4.25</x:v>
      </x:c>
      <x:c r="J316" s="76" t="n">
        <x:v>25.58</x:v>
      </x:c>
      <x:c r="K316" s="79" t="n">
        <x:f>I316*J316</x:f>
        <x:v>108.71499999999999</x:v>
      </x:c>
      <x:c r="L316" s="94" t="n">
        <x:f>SUMIFS('门店日汇总'!$H$5:$H$60,'门店日汇总'!$A$5:$A$60,B316,'门店日汇总'!$C$5:$C$60,D316)</x:f>
        <x:v>7281.9</x:v>
      </x:c>
      <x:c r="M316" s="79" t="n">
        <x:f>IFERROR(L316/SUMIFS($I$5:$I$340,$B$5:$B$340,B316,$D$5:$D$340,D316),0)</x:f>
        <x:v>103.65693950177935</x:v>
      </x:c>
      <x:c r="N316" s="67" t="str">
        <x:v>收市</x:v>
      </x:c>
      <x:c r="O316" s="67" t="str"/>
    </x:row>
    <x:row r="317">
      <x:c r="A317" s="67" t="str">
        <x:v>SHIFT-00313</x:v>
      </x:c>
      <x:c r="B317" s="73" t="n">
        <x:v>46213.5</x:v>
      </x:c>
      <x:c r="C317" s="67" t="str">
        <x:v>周五</x:v>
      </x:c>
      <x:c r="D317" s="67" t="str">
        <x:v>S08</x:v>
      </x:c>
      <x:c r="E317" s="67" t="str">
        <x:v>四季青店</x:v>
      </x:c>
      <x:c r="F317" s="67" t="str">
        <x:v>店长/收货</x:v>
      </x:c>
      <x:c r="G317" s="70" t="n">
        <x:v>1</x:v>
      </x:c>
      <x:c r="H317" s="76" t="n">
        <x:v>10</x:v>
      </x:c>
      <x:c r="I317" s="76" t="n">
        <x:v>10.5</x:v>
      </x:c>
      <x:c r="J317" s="76" t="n">
        <x:v>36.24</x:v>
      </x:c>
      <x:c r="K317" s="79" t="n">
        <x:f>I317*J317</x:f>
        <x:v>380.52000000000004</x:v>
      </x:c>
      <x:c r="L317" s="94" t="n">
        <x:f>SUMIFS('门店日汇总'!$H$5:$H$60,'门店日汇总'!$A$5:$A$60,B317,'门店日汇总'!$C$5:$C$60,D317)</x:f>
        <x:v>7556.400000000001</x:v>
      </x:c>
      <x:c r="M317" s="79" t="n">
        <x:f>IFERROR(L317/SUMIFS($I$5:$I$340,$B$5:$B$340,B317,$D$5:$D$340,D317),0)</x:f>
        <x:v>107.18297872340426</x:v>
      </x:c>
      <x:c r="N317" s="67" t="str">
        <x:v>开市+午晚高峰</x:v>
      </x:c>
      <x:c r="O317" s="67" t="str"/>
    </x:row>
    <x:row r="318">
      <x:c r="A318" s="67" t="str">
        <x:v>SHIFT-00314</x:v>
      </x:c>
      <x:c r="B318" s="73" t="n">
        <x:v>46213.5</x:v>
      </x:c>
      <x:c r="C318" s="67" t="str">
        <x:v>周五</x:v>
      </x:c>
      <x:c r="D318" s="67" t="str">
        <x:v>S08</x:v>
      </x:c>
      <x:c r="E318" s="67" t="str">
        <x:v>四季青店</x:v>
      </x:c>
      <x:c r="F318" s="67" t="str">
        <x:v>服务员</x:v>
      </x:c>
      <x:c r="G318" s="70" t="n">
        <x:v>2</x:v>
      </x:c>
      <x:c r="H318" s="76" t="n">
        <x:v>16</x:v>
      </x:c>
      <x:c r="I318" s="76" t="n">
        <x:v>15.5</x:v>
      </x:c>
      <x:c r="J318" s="76" t="n">
        <x:v>27.72</x:v>
      </x:c>
      <x:c r="K318" s="79" t="n">
        <x:f>I318*J318</x:f>
        <x:v>429.65999999999997</x:v>
      </x:c>
      <x:c r="L318" s="94" t="n">
        <x:f>SUMIFS('门店日汇总'!$H$5:$H$60,'门店日汇总'!$A$5:$A$60,B318,'门店日汇总'!$C$5:$C$60,D318)</x:f>
        <x:v>7556.400000000001</x:v>
      </x:c>
      <x:c r="M318" s="79" t="n">
        <x:f>IFERROR(L318/SUMIFS($I$5:$I$340,$B$5:$B$340,B318,$D$5:$D$340,D318),0)</x:f>
        <x:v>107.18297872340426</x:v>
      </x:c>
      <x:c r="N318" s="67" t="str">
        <x:v>午晚高峰</x:v>
      </x:c>
      <x:c r="O318" s="67" t="str"/>
    </x:row>
    <x:row r="319">
      <x:c r="A319" s="67" t="str">
        <x:v>SHIFT-00315</x:v>
      </x:c>
      <x:c r="B319" s="73" t="n">
        <x:v>46213.5</x:v>
      </x:c>
      <x:c r="C319" s="67" t="str">
        <x:v>周五</x:v>
      </x:c>
      <x:c r="D319" s="67" t="str">
        <x:v>S08</x:v>
      </x:c>
      <x:c r="E319" s="67" t="str">
        <x:v>四季青店</x:v>
      </x:c>
      <x:c r="F319" s="67" t="str">
        <x:v>后厨小工</x:v>
      </x:c>
      <x:c r="G319" s="70" t="n">
        <x:v>2</x:v>
      </x:c>
      <x:c r="H319" s="76" t="n">
        <x:v>16</x:v>
      </x:c>
      <x:c r="I319" s="76" t="n">
        <x:v>15.75</x:v>
      </x:c>
      <x:c r="J319" s="76" t="n">
        <x:v>29.85</x:v>
      </x:c>
      <x:c r="K319" s="79" t="n">
        <x:f>I319*J319</x:f>
        <x:v>470.13750000000005</x:v>
      </x:c>
      <x:c r="L319" s="94" t="n">
        <x:f>SUMIFS('门店日汇总'!$H$5:$H$60,'门店日汇总'!$A$5:$A$60,B319,'门店日汇总'!$C$5:$C$60,D319)</x:f>
        <x:v>7556.400000000001</x:v>
      </x:c>
      <x:c r="M319" s="79" t="n">
        <x:f>IFERROR(L319/SUMIFS($I$5:$I$340,$B$5:$B$340,B319,$D$5:$D$340,D319),0)</x:f>
        <x:v>107.18297872340426</x:v>
      </x:c>
      <x:c r="N319" s="67" t="str">
        <x:v>备菜+午晚高峰</x:v>
      </x:c>
      <x:c r="O319" s="67" t="str"/>
    </x:row>
    <x:row r="320">
      <x:c r="A320" s="67" t="str">
        <x:v>SHIFT-00316</x:v>
      </x:c>
      <x:c r="B320" s="73" t="n">
        <x:v>46213.5</x:v>
      </x:c>
      <x:c r="C320" s="67" t="str">
        <x:v>周五</x:v>
      </x:c>
      <x:c r="D320" s="67" t="str">
        <x:v>S08</x:v>
      </x:c>
      <x:c r="E320" s="67" t="str">
        <x:v>四季青店</x:v>
      </x:c>
      <x:c r="F320" s="67" t="str">
        <x:v>炒菜机操作员</x:v>
      </x:c>
      <x:c r="G320" s="70" t="n">
        <x:v>2</x:v>
      </x:c>
      <x:c r="H320" s="76" t="n">
        <x:v>16</x:v>
      </x:c>
      <x:c r="I320" s="76" t="n">
        <x:v>16</x:v>
      </x:c>
      <x:c r="J320" s="76" t="n">
        <x:v>30.91</x:v>
      </x:c>
      <x:c r="K320" s="79" t="n">
        <x:f>I320*J320</x:f>
        <x:v>494.56</x:v>
      </x:c>
      <x:c r="L320" s="94" t="n">
        <x:f>SUMIFS('门店日汇总'!$H$5:$H$60,'门店日汇总'!$A$5:$A$60,B320,'门店日汇总'!$C$5:$C$60,D320)</x:f>
        <x:v>7556.400000000001</x:v>
      </x:c>
      <x:c r="M320" s="79" t="n">
        <x:f>IFERROR(L320/SUMIFS($I$5:$I$340,$B$5:$B$340,B320,$D$5:$D$340,D320),0)</x:f>
        <x:v>107.18297872340426</x:v>
      </x:c>
      <x:c r="N320" s="67" t="str">
        <x:v>午晚高峰</x:v>
      </x:c>
      <x:c r="O320" s="67" t="str"/>
    </x:row>
    <x:row r="321">
      <x:c r="A321" s="67" t="str">
        <x:v>SHIFT-00317</x:v>
      </x:c>
      <x:c r="B321" s="73" t="n">
        <x:v>46213.5</x:v>
      </x:c>
      <x:c r="C321" s="67" t="str">
        <x:v>周五</x:v>
      </x:c>
      <x:c r="D321" s="67" t="str">
        <x:v>S08</x:v>
      </x:c>
      <x:c r="E321" s="67" t="str">
        <x:v>四季青店</x:v>
      </x:c>
      <x:c r="F321" s="67" t="str">
        <x:v>收银/前厅</x:v>
      </x:c>
      <x:c r="G321" s="70" t="n">
        <x:v>1</x:v>
      </x:c>
      <x:c r="H321" s="76" t="n">
        <x:v>8</x:v>
      </x:c>
      <x:c r="I321" s="76" t="n">
        <x:v>8.25</x:v>
      </x:c>
      <x:c r="J321" s="76" t="n">
        <x:v>27.72</x:v>
      </x:c>
      <x:c r="K321" s="79" t="n">
        <x:f>I321*J321</x:f>
        <x:v>228.69</x:v>
      </x:c>
      <x:c r="L321" s="94" t="n">
        <x:f>SUMIFS('门店日汇总'!$H$5:$H$60,'门店日汇总'!$A$5:$A$60,B321,'门店日汇总'!$C$5:$C$60,D321)</x:f>
        <x:v>7556.400000000001</x:v>
      </x:c>
      <x:c r="M321" s="79" t="n">
        <x:f>IFERROR(L321/SUMIFS($I$5:$I$340,$B$5:$B$340,B321,$D$5:$D$340,D321),0)</x:f>
        <x:v>107.18297872340426</x:v>
      </x:c>
      <x:c r="N321" s="67" t="str">
        <x:v>全日</x:v>
      </x:c>
      <x:c r="O321" s="67" t="str"/>
    </x:row>
    <x:row r="322">
      <x:c r="A322" s="67" t="str">
        <x:v>SHIFT-00318</x:v>
      </x:c>
      <x:c r="B322" s="73" t="n">
        <x:v>46213.5</x:v>
      </x:c>
      <x:c r="C322" s="67" t="str">
        <x:v>周五</x:v>
      </x:c>
      <x:c r="D322" s="67" t="str">
        <x:v>S08</x:v>
      </x:c>
      <x:c r="E322" s="67" t="str">
        <x:v>四季青店</x:v>
      </x:c>
      <x:c r="F322" s="67" t="str">
        <x:v>保洁/兼职</x:v>
      </x:c>
      <x:c r="G322" s="70" t="n">
        <x:v>1</x:v>
      </x:c>
      <x:c r="H322" s="76" t="n">
        <x:v>4</x:v>
      </x:c>
      <x:c r="I322" s="76" t="n">
        <x:v>4.5</x:v>
      </x:c>
      <x:c r="J322" s="76" t="n">
        <x:v>25.58</x:v>
      </x:c>
      <x:c r="K322" s="79" t="n">
        <x:f>I322*J322</x:f>
        <x:v>115.10999999999999</x:v>
      </x:c>
      <x:c r="L322" s="94" t="n">
        <x:f>SUMIFS('门店日汇总'!$H$5:$H$60,'门店日汇总'!$A$5:$A$60,B322,'门店日汇总'!$C$5:$C$60,D322)</x:f>
        <x:v>7556.400000000001</x:v>
      </x:c>
      <x:c r="M322" s="79" t="n">
        <x:f>IFERROR(L322/SUMIFS($I$5:$I$340,$B$5:$B$340,B322,$D$5:$D$340,D322),0)</x:f>
        <x:v>107.18297872340426</x:v>
      </x:c>
      <x:c r="N322" s="67" t="str">
        <x:v>收市</x:v>
      </x:c>
      <x:c r="O322" s="67" t="str"/>
    </x:row>
    <x:row r="323">
      <x:c r="A323" s="67" t="str">
        <x:v>SHIFT-00319</x:v>
      </x:c>
      <x:c r="B323" s="73" t="n">
        <x:v>46214.5</x:v>
      </x:c>
      <x:c r="C323" s="67" t="str">
        <x:v>周六</x:v>
      </x:c>
      <x:c r="D323" s="67" t="str">
        <x:v>S08</x:v>
      </x:c>
      <x:c r="E323" s="67" t="str">
        <x:v>四季青店</x:v>
      </x:c>
      <x:c r="F323" s="67" t="str">
        <x:v>店长/收货</x:v>
      </x:c>
      <x:c r="G323" s="70" t="n">
        <x:v>1</x:v>
      </x:c>
      <x:c r="H323" s="76" t="n">
        <x:v>8</x:v>
      </x:c>
      <x:c r="I323" s="76" t="n">
        <x:v>7.5</x:v>
      </x:c>
      <x:c r="J323" s="76" t="n">
        <x:v>36.24</x:v>
      </x:c>
      <x:c r="K323" s="79" t="n">
        <x:f>I323*J323</x:f>
        <x:v>271.8</x:v>
      </x:c>
      <x:c r="L323" s="94" t="n">
        <x:f>SUMIFS('门店日汇总'!$H$5:$H$60,'门店日汇总'!$A$5:$A$60,B323,'门店日汇总'!$C$5:$C$60,D323)</x:f>
        <x:v>5794.599999999999</x:v>
      </x:c>
      <x:c r="M323" s="79" t="n">
        <x:f>IFERROR(L323/SUMIFS($I$5:$I$340,$B$5:$B$340,B323,$D$5:$D$340,D323),0)</x:f>
        <x:v>94.22113821138211</x:v>
      </x:c>
      <x:c r="N323" s="67" t="str">
        <x:v>开市+午晚高峰</x:v>
      </x:c>
      <x:c r="O323" s="67" t="str"/>
    </x:row>
    <x:row r="324">
      <x:c r="A324" s="67" t="str">
        <x:v>SHIFT-00320</x:v>
      </x:c>
      <x:c r="B324" s="73" t="n">
        <x:v>46214.5</x:v>
      </x:c>
      <x:c r="C324" s="67" t="str">
        <x:v>周六</x:v>
      </x:c>
      <x:c r="D324" s="67" t="str">
        <x:v>S08</x:v>
      </x:c>
      <x:c r="E324" s="67" t="str">
        <x:v>四季青店</x:v>
      </x:c>
      <x:c r="F324" s="67" t="str">
        <x:v>服务员</x:v>
      </x:c>
      <x:c r="G324" s="70" t="n">
        <x:v>2</x:v>
      </x:c>
      <x:c r="H324" s="76" t="n">
        <x:v>14</x:v>
      </x:c>
      <x:c r="I324" s="76" t="n">
        <x:v>13.75</x:v>
      </x:c>
      <x:c r="J324" s="76" t="n">
        <x:v>27.72</x:v>
      </x:c>
      <x:c r="K324" s="79" t="n">
        <x:f>I324*J324</x:f>
        <x:v>381.15</x:v>
      </x:c>
      <x:c r="L324" s="94" t="n">
        <x:f>SUMIFS('门店日汇总'!$H$5:$H$60,'门店日汇总'!$A$5:$A$60,B324,'门店日汇总'!$C$5:$C$60,D324)</x:f>
        <x:v>5794.599999999999</x:v>
      </x:c>
      <x:c r="M324" s="79" t="n">
        <x:f>IFERROR(L324/SUMIFS($I$5:$I$340,$B$5:$B$340,B324,$D$5:$D$340,D324),0)</x:f>
        <x:v>94.22113821138211</x:v>
      </x:c>
      <x:c r="N324" s="67" t="str">
        <x:v>午晚高峰</x:v>
      </x:c>
      <x:c r="O324" s="67" t="str"/>
    </x:row>
    <x:row r="325">
      <x:c r="A325" s="67" t="str">
        <x:v>SHIFT-00321</x:v>
      </x:c>
      <x:c r="B325" s="73" t="n">
        <x:v>46214.5</x:v>
      </x:c>
      <x:c r="C325" s="67" t="str">
        <x:v>周六</x:v>
      </x:c>
      <x:c r="D325" s="67" t="str">
        <x:v>S08</x:v>
      </x:c>
      <x:c r="E325" s="67" t="str">
        <x:v>四季青店</x:v>
      </x:c>
      <x:c r="F325" s="67" t="str">
        <x:v>后厨小工</x:v>
      </x:c>
      <x:c r="G325" s="70" t="n">
        <x:v>2</x:v>
      </x:c>
      <x:c r="H325" s="76" t="n">
        <x:v>14</x:v>
      </x:c>
      <x:c r="I325" s="76" t="n">
        <x:v>14</x:v>
      </x:c>
      <x:c r="J325" s="76" t="n">
        <x:v>29.85</x:v>
      </x:c>
      <x:c r="K325" s="79" t="n">
        <x:f>I325*J325</x:f>
        <x:v>417.90000000000003</x:v>
      </x:c>
      <x:c r="L325" s="94" t="n">
        <x:f>SUMIFS('门店日汇总'!$H$5:$H$60,'门店日汇总'!$A$5:$A$60,B325,'门店日汇总'!$C$5:$C$60,D325)</x:f>
        <x:v>5794.599999999999</x:v>
      </x:c>
      <x:c r="M325" s="79" t="n">
        <x:f>IFERROR(L325/SUMIFS($I$5:$I$340,$B$5:$B$340,B325,$D$5:$D$340,D325),0)</x:f>
        <x:v>94.22113821138211</x:v>
      </x:c>
      <x:c r="N325" s="67" t="str">
        <x:v>备菜+午晚高峰</x:v>
      </x:c>
      <x:c r="O325" s="67" t="str"/>
    </x:row>
    <x:row r="326">
      <x:c r="A326" s="67" t="str">
        <x:v>SHIFT-00322</x:v>
      </x:c>
      <x:c r="B326" s="73" t="n">
        <x:v>46214.5</x:v>
      </x:c>
      <x:c r="C326" s="67" t="str">
        <x:v>周六</x:v>
      </x:c>
      <x:c r="D326" s="67" t="str">
        <x:v>S08</x:v>
      </x:c>
      <x:c r="E326" s="67" t="str">
        <x:v>四季青店</x:v>
      </x:c>
      <x:c r="F326" s="67" t="str">
        <x:v>炒菜机操作员</x:v>
      </x:c>
      <x:c r="G326" s="70" t="n">
        <x:v>2</x:v>
      </x:c>
      <x:c r="H326" s="76" t="n">
        <x:v>14</x:v>
      </x:c>
      <x:c r="I326" s="76" t="n">
        <x:v>14.25</x:v>
      </x:c>
      <x:c r="J326" s="76" t="n">
        <x:v>30.91</x:v>
      </x:c>
      <x:c r="K326" s="79" t="n">
        <x:f>I326*J326</x:f>
        <x:v>440.46750000000003</x:v>
      </x:c>
      <x:c r="L326" s="94" t="n">
        <x:f>SUMIFS('门店日汇总'!$H$5:$H$60,'门店日汇总'!$A$5:$A$60,B326,'门店日汇总'!$C$5:$C$60,D326)</x:f>
        <x:v>5794.599999999999</x:v>
      </x:c>
      <x:c r="M326" s="79" t="n">
        <x:f>IFERROR(L326/SUMIFS($I$5:$I$340,$B$5:$B$340,B326,$D$5:$D$340,D326),0)</x:f>
        <x:v>94.22113821138211</x:v>
      </x:c>
      <x:c r="N326" s="67" t="str">
        <x:v>午晚高峰</x:v>
      </x:c>
      <x:c r="O326" s="67" t="str"/>
    </x:row>
    <x:row r="327">
      <x:c r="A327" s="67" t="str">
        <x:v>SHIFT-00323</x:v>
      </x:c>
      <x:c r="B327" s="73" t="n">
        <x:v>46214.5</x:v>
      </x:c>
      <x:c r="C327" s="67" t="str">
        <x:v>周六</x:v>
      </x:c>
      <x:c r="D327" s="67" t="str">
        <x:v>S08</x:v>
      </x:c>
      <x:c r="E327" s="67" t="str">
        <x:v>四季青店</x:v>
      </x:c>
      <x:c r="F327" s="67" t="str">
        <x:v>收银/前厅</x:v>
      </x:c>
      <x:c r="G327" s="70" t="n">
        <x:v>1</x:v>
      </x:c>
      <x:c r="H327" s="76" t="n">
        <x:v>8</x:v>
      </x:c>
      <x:c r="I327" s="76" t="n">
        <x:v>8.5</x:v>
      </x:c>
      <x:c r="J327" s="76" t="n">
        <x:v>27.72</x:v>
      </x:c>
      <x:c r="K327" s="79" t="n">
        <x:f>I327*J327</x:f>
        <x:v>235.62</x:v>
      </x:c>
      <x:c r="L327" s="94" t="n">
        <x:f>SUMIFS('门店日汇总'!$H$5:$H$60,'门店日汇总'!$A$5:$A$60,B327,'门店日汇总'!$C$5:$C$60,D327)</x:f>
        <x:v>5794.599999999999</x:v>
      </x:c>
      <x:c r="M327" s="79" t="n">
        <x:f>IFERROR(L327/SUMIFS($I$5:$I$340,$B$5:$B$340,B327,$D$5:$D$340,D327),0)</x:f>
        <x:v>94.22113821138211</x:v>
      </x:c>
      <x:c r="N327" s="67" t="str">
        <x:v>全日</x:v>
      </x:c>
      <x:c r="O327" s="67" t="str"/>
    </x:row>
    <x:row r="328">
      <x:c r="A328" s="67" t="str">
        <x:v>SHIFT-00324</x:v>
      </x:c>
      <x:c r="B328" s="73" t="n">
        <x:v>46214.5</x:v>
      </x:c>
      <x:c r="C328" s="67" t="str">
        <x:v>周六</x:v>
      </x:c>
      <x:c r="D328" s="67" t="str">
        <x:v>S08</x:v>
      </x:c>
      <x:c r="E328" s="67" t="str">
        <x:v>四季青店</x:v>
      </x:c>
      <x:c r="F328" s="67" t="str">
        <x:v>保洁/兼职</x:v>
      </x:c>
      <x:c r="G328" s="70" t="n">
        <x:v>1</x:v>
      </x:c>
      <x:c r="H328" s="76" t="n">
        <x:v>4</x:v>
      </x:c>
      <x:c r="I328" s="76" t="n">
        <x:v>3.5</x:v>
      </x:c>
      <x:c r="J328" s="76" t="n">
        <x:v>25.58</x:v>
      </x:c>
      <x:c r="K328" s="79" t="n">
        <x:f>I328*J328</x:f>
        <x:v>89.53</x:v>
      </x:c>
      <x:c r="L328" s="94" t="n">
        <x:f>SUMIFS('门店日汇总'!$H$5:$H$60,'门店日汇总'!$A$5:$A$60,B328,'门店日汇总'!$C$5:$C$60,D328)</x:f>
        <x:v>5794.599999999999</x:v>
      </x:c>
      <x:c r="M328" s="79" t="n">
        <x:f>IFERROR(L328/SUMIFS($I$5:$I$340,$B$5:$B$340,B328,$D$5:$D$340,D328),0)</x:f>
        <x:v>94.22113821138211</x:v>
      </x:c>
      <x:c r="N328" s="67" t="str">
        <x:v>收市</x:v>
      </x:c>
      <x:c r="O328" s="67" t="str"/>
    </x:row>
    <x:row r="329">
      <x:c r="A329" s="67" t="str">
        <x:v>SHIFT-00325</x:v>
      </x:c>
      <x:c r="B329" s="73" t="n">
        <x:v>46215.5</x:v>
      </x:c>
      <x:c r="C329" s="67" t="str">
        <x:v>周日</x:v>
      </x:c>
      <x:c r="D329" s="67" t="str">
        <x:v>S08</x:v>
      </x:c>
      <x:c r="E329" s="67" t="str">
        <x:v>四季青店</x:v>
      </x:c>
      <x:c r="F329" s="67" t="str">
        <x:v>店长/收货</x:v>
      </x:c>
      <x:c r="G329" s="70" t="n">
        <x:v>1</x:v>
      </x:c>
      <x:c r="H329" s="76" t="n">
        <x:v>8</x:v>
      </x:c>
      <x:c r="I329" s="76" t="n">
        <x:v>7.75</x:v>
      </x:c>
      <x:c r="J329" s="76" t="n">
        <x:v>36.24</x:v>
      </x:c>
      <x:c r="K329" s="79" t="n">
        <x:f>I329*J329</x:f>
        <x:v>280.86</x:v>
      </x:c>
      <x:c r="L329" s="94" t="n">
        <x:f>SUMIFS('门店日汇总'!$H$5:$H$60,'门店日汇总'!$A$5:$A$60,B329,'门店日汇总'!$C$5:$C$60,D329)</x:f>
        <x:v>5648.799999999999</x:v>
      </x:c>
      <x:c r="M329" s="79" t="n">
        <x:f>IFERROR(L329/SUMIFS($I$5:$I$340,$B$5:$B$340,B329,$D$5:$D$340,D329),0)</x:f>
        <x:v>91.47854251012144</x:v>
      </x:c>
      <x:c r="N329" s="67" t="str">
        <x:v>开市+午晚高峰</x:v>
      </x:c>
      <x:c r="O329" s="67" t="str"/>
    </x:row>
    <x:row r="330">
      <x:c r="A330" s="67" t="str">
        <x:v>SHIFT-00326</x:v>
      </x:c>
      <x:c r="B330" s="73" t="n">
        <x:v>46215.5</x:v>
      </x:c>
      <x:c r="C330" s="67" t="str">
        <x:v>周日</x:v>
      </x:c>
      <x:c r="D330" s="67" t="str">
        <x:v>S08</x:v>
      </x:c>
      <x:c r="E330" s="67" t="str">
        <x:v>四季青店</x:v>
      </x:c>
      <x:c r="F330" s="67" t="str">
        <x:v>服务员</x:v>
      </x:c>
      <x:c r="G330" s="70" t="n">
        <x:v>2</x:v>
      </x:c>
      <x:c r="H330" s="76" t="n">
        <x:v>14</x:v>
      </x:c>
      <x:c r="I330" s="76" t="n">
        <x:v>14</x:v>
      </x:c>
      <x:c r="J330" s="76" t="n">
        <x:v>27.72</x:v>
      </x:c>
      <x:c r="K330" s="79" t="n">
        <x:f>I330*J330</x:f>
        <x:v>388.08</x:v>
      </x:c>
      <x:c r="L330" s="94" t="n">
        <x:f>SUMIFS('门店日汇总'!$H$5:$H$60,'门店日汇总'!$A$5:$A$60,B330,'门店日汇总'!$C$5:$C$60,D330)</x:f>
        <x:v>5648.799999999999</x:v>
      </x:c>
      <x:c r="M330" s="79" t="n">
        <x:f>IFERROR(L330/SUMIFS($I$5:$I$340,$B$5:$B$340,B330,$D$5:$D$340,D330),0)</x:f>
        <x:v>91.47854251012144</x:v>
      </x:c>
      <x:c r="N330" s="67" t="str">
        <x:v>午晚高峰</x:v>
      </x:c>
      <x:c r="O330" s="67" t="str"/>
    </x:row>
    <x:row r="331">
      <x:c r="A331" s="67" t="str">
        <x:v>SHIFT-00327</x:v>
      </x:c>
      <x:c r="B331" s="73" t="n">
        <x:v>46215.5</x:v>
      </x:c>
      <x:c r="C331" s="67" t="str">
        <x:v>周日</x:v>
      </x:c>
      <x:c r="D331" s="67" t="str">
        <x:v>S08</x:v>
      </x:c>
      <x:c r="E331" s="67" t="str">
        <x:v>四季青店</x:v>
      </x:c>
      <x:c r="F331" s="67" t="str">
        <x:v>后厨小工</x:v>
      </x:c>
      <x:c r="G331" s="70" t="n">
        <x:v>2</x:v>
      </x:c>
      <x:c r="H331" s="76" t="n">
        <x:v>14</x:v>
      </x:c>
      <x:c r="I331" s="76" t="n">
        <x:v>14.25</x:v>
      </x:c>
      <x:c r="J331" s="76" t="n">
        <x:v>29.85</x:v>
      </x:c>
      <x:c r="K331" s="79" t="n">
        <x:f>I331*J331</x:f>
        <x:v>425.3625</x:v>
      </x:c>
      <x:c r="L331" s="94" t="n">
        <x:f>SUMIFS('门店日汇总'!$H$5:$H$60,'门店日汇总'!$A$5:$A$60,B331,'门店日汇总'!$C$5:$C$60,D331)</x:f>
        <x:v>5648.799999999999</x:v>
      </x:c>
      <x:c r="M331" s="79" t="n">
        <x:f>IFERROR(L331/SUMIFS($I$5:$I$340,$B$5:$B$340,B331,$D$5:$D$340,D331),0)</x:f>
        <x:v>91.47854251012144</x:v>
      </x:c>
      <x:c r="N331" s="67" t="str">
        <x:v>备菜+午晚高峰</x:v>
      </x:c>
      <x:c r="O331" s="67" t="str"/>
    </x:row>
    <x:row r="332">
      <x:c r="A332" s="67" t="str">
        <x:v>SHIFT-00328</x:v>
      </x:c>
      <x:c r="B332" s="73" t="n">
        <x:v>46215.5</x:v>
      </x:c>
      <x:c r="C332" s="67" t="str">
        <x:v>周日</x:v>
      </x:c>
      <x:c r="D332" s="67" t="str">
        <x:v>S08</x:v>
      </x:c>
      <x:c r="E332" s="67" t="str">
        <x:v>四季青店</x:v>
      </x:c>
      <x:c r="F332" s="67" t="str">
        <x:v>炒菜机操作员</x:v>
      </x:c>
      <x:c r="G332" s="70" t="n">
        <x:v>2</x:v>
      </x:c>
      <x:c r="H332" s="76" t="n">
        <x:v>14</x:v>
      </x:c>
      <x:c r="I332" s="76" t="n">
        <x:v>14.5</x:v>
      </x:c>
      <x:c r="J332" s="76" t="n">
        <x:v>30.91</x:v>
      </x:c>
      <x:c r="K332" s="79" t="n">
        <x:f>I332*J332</x:f>
        <x:v>448.195</x:v>
      </x:c>
      <x:c r="L332" s="94" t="n">
        <x:f>SUMIFS('门店日汇总'!$H$5:$H$60,'门店日汇总'!$A$5:$A$60,B332,'门店日汇总'!$C$5:$C$60,D332)</x:f>
        <x:v>5648.799999999999</x:v>
      </x:c>
      <x:c r="M332" s="79" t="n">
        <x:f>IFERROR(L332/SUMIFS($I$5:$I$340,$B$5:$B$340,B332,$D$5:$D$340,D332),0)</x:f>
        <x:v>91.47854251012144</x:v>
      </x:c>
      <x:c r="N332" s="67" t="str">
        <x:v>午晚高峰</x:v>
      </x:c>
      <x:c r="O332" s="67" t="str"/>
    </x:row>
    <x:row r="333">
      <x:c r="A333" s="67" t="str">
        <x:v>SHIFT-00329</x:v>
      </x:c>
      <x:c r="B333" s="73" t="n">
        <x:v>46215.5</x:v>
      </x:c>
      <x:c r="C333" s="67" t="str">
        <x:v>周日</x:v>
      </x:c>
      <x:c r="D333" s="67" t="str">
        <x:v>S08</x:v>
      </x:c>
      <x:c r="E333" s="67" t="str">
        <x:v>四季青店</x:v>
      </x:c>
      <x:c r="F333" s="67" t="str">
        <x:v>收银/前厅</x:v>
      </x:c>
      <x:c r="G333" s="70" t="n">
        <x:v>1</x:v>
      </x:c>
      <x:c r="H333" s="76" t="n">
        <x:v>8</x:v>
      </x:c>
      <x:c r="I333" s="76" t="n">
        <x:v>7.5</x:v>
      </x:c>
      <x:c r="J333" s="76" t="n">
        <x:v>27.72</x:v>
      </x:c>
      <x:c r="K333" s="79" t="n">
        <x:f>I333*J333</x:f>
        <x:v>207.89999999999998</x:v>
      </x:c>
      <x:c r="L333" s="94" t="n">
        <x:f>SUMIFS('门店日汇总'!$H$5:$H$60,'门店日汇总'!$A$5:$A$60,B333,'门店日汇总'!$C$5:$C$60,D333)</x:f>
        <x:v>5648.799999999999</x:v>
      </x:c>
      <x:c r="M333" s="79" t="n">
        <x:f>IFERROR(L333/SUMIFS($I$5:$I$340,$B$5:$B$340,B333,$D$5:$D$340,D333),0)</x:f>
        <x:v>91.47854251012144</x:v>
      </x:c>
      <x:c r="N333" s="67" t="str">
        <x:v>全日</x:v>
      </x:c>
      <x:c r="O333" s="67" t="str"/>
    </x:row>
    <x:row r="334">
      <x:c r="A334" s="67" t="str">
        <x:v>SHIFT-00330</x:v>
      </x:c>
      <x:c r="B334" s="73" t="n">
        <x:v>46215.5</x:v>
      </x:c>
      <x:c r="C334" s="67" t="str">
        <x:v>周日</x:v>
      </x:c>
      <x:c r="D334" s="67" t="str">
        <x:v>S08</x:v>
      </x:c>
      <x:c r="E334" s="67" t="str">
        <x:v>四季青店</x:v>
      </x:c>
      <x:c r="F334" s="67" t="str">
        <x:v>保洁/兼职</x:v>
      </x:c>
      <x:c r="G334" s="70" t="n">
        <x:v>1</x:v>
      </x:c>
      <x:c r="H334" s="76" t="n">
        <x:v>4</x:v>
      </x:c>
      <x:c r="I334" s="76" t="n">
        <x:v>3.75</x:v>
      </x:c>
      <x:c r="J334" s="76" t="n">
        <x:v>25.58</x:v>
      </x:c>
      <x:c r="K334" s="79" t="n">
        <x:f>I334*J334</x:f>
        <x:v>95.925</x:v>
      </x:c>
      <x:c r="L334" s="94" t="n">
        <x:f>SUMIFS('门店日汇总'!$H$5:$H$60,'门店日汇总'!$A$5:$A$60,B334,'门店日汇总'!$C$5:$C$60,D334)</x:f>
        <x:v>5648.799999999999</x:v>
      </x:c>
      <x:c r="M334" s="79" t="n">
        <x:f>IFERROR(L334/SUMIFS($I$5:$I$340,$B$5:$B$340,B334,$D$5:$D$340,D334),0)</x:f>
        <x:v>91.47854251012144</x:v>
      </x:c>
      <x:c r="N334" s="67" t="str">
        <x:v>收市</x:v>
      </x:c>
      <x:c r="O334" s="67" t="str"/>
    </x:row>
    <x:row r="335">
      <x:c r="A335" s="67" t="str">
        <x:v>SHIFT-00331</x:v>
      </x:c>
      <x:c r="B335" s="73" t="n">
        <x:v>46216.5</x:v>
      </x:c>
      <x:c r="C335" s="67" t="str">
        <x:v>周一</x:v>
      </x:c>
      <x:c r="D335" s="67" t="str">
        <x:v>S08</x:v>
      </x:c>
      <x:c r="E335" s="67" t="str">
        <x:v>四季青店</x:v>
      </x:c>
      <x:c r="F335" s="67" t="str">
        <x:v>店长/收货</x:v>
      </x:c>
      <x:c r="G335" s="70" t="n">
        <x:v>1</x:v>
      </x:c>
      <x:c r="H335" s="76" t="n">
        <x:v>10</x:v>
      </x:c>
      <x:c r="I335" s="76" t="n">
        <x:v>10</x:v>
      </x:c>
      <x:c r="J335" s="76" t="n">
        <x:v>36.24</x:v>
      </x:c>
      <x:c r="K335" s="79" t="n">
        <x:f>I335*J335</x:f>
        <x:v>362.40000000000003</x:v>
      </x:c>
      <x:c r="L335" s="94" t="n">
        <x:f>SUMIFS('门店日汇总'!$H$5:$H$60,'门店日汇总'!$A$5:$A$60,B335,'门店日汇总'!$C$5:$C$60,D335)</x:f>
        <x:v>8114.599999999999</x:v>
      </x:c>
      <x:c r="M335" s="79" t="n">
        <x:f>IFERROR(L335/SUMIFS($I$5:$I$340,$B$5:$B$340,B335,$D$5:$D$340,D335),0)</x:f>
        <x:v>115.92285714285714</x:v>
      </x:c>
      <x:c r="N335" s="67" t="str">
        <x:v>开市+午晚高峰</x:v>
      </x:c>
      <x:c r="O335" s="67" t="str"/>
    </x:row>
    <x:row r="336">
      <x:c r="A336" s="67" t="str">
        <x:v>SHIFT-00332</x:v>
      </x:c>
      <x:c r="B336" s="73" t="n">
        <x:v>46216.5</x:v>
      </x:c>
      <x:c r="C336" s="67" t="str">
        <x:v>周一</x:v>
      </x:c>
      <x:c r="D336" s="67" t="str">
        <x:v>S08</x:v>
      </x:c>
      <x:c r="E336" s="67" t="str">
        <x:v>四季青店</x:v>
      </x:c>
      <x:c r="F336" s="67" t="str">
        <x:v>服务员</x:v>
      </x:c>
      <x:c r="G336" s="70" t="n">
        <x:v>2</x:v>
      </x:c>
      <x:c r="H336" s="76" t="n">
        <x:v>16</x:v>
      </x:c>
      <x:c r="I336" s="76" t="n">
        <x:v>16.25</x:v>
      </x:c>
      <x:c r="J336" s="76" t="n">
        <x:v>27.72</x:v>
      </x:c>
      <x:c r="K336" s="79" t="n">
        <x:f>I336*J336</x:f>
        <x:v>450.45</x:v>
      </x:c>
      <x:c r="L336" s="94" t="n">
        <x:f>SUMIFS('门店日汇总'!$H$5:$H$60,'门店日汇总'!$A$5:$A$60,B336,'门店日汇总'!$C$5:$C$60,D336)</x:f>
        <x:v>8114.599999999999</x:v>
      </x:c>
      <x:c r="M336" s="79" t="n">
        <x:f>IFERROR(L336/SUMIFS($I$5:$I$340,$B$5:$B$340,B336,$D$5:$D$340,D336),0)</x:f>
        <x:v>115.92285714285714</x:v>
      </x:c>
      <x:c r="N336" s="67" t="str">
        <x:v>午晚高峰</x:v>
      </x:c>
      <x:c r="O336" s="67" t="str"/>
    </x:row>
    <x:row r="337">
      <x:c r="A337" s="67" t="str">
        <x:v>SHIFT-00333</x:v>
      </x:c>
      <x:c r="B337" s="73" t="n">
        <x:v>46216.5</x:v>
      </x:c>
      <x:c r="C337" s="67" t="str">
        <x:v>周一</x:v>
      </x:c>
      <x:c r="D337" s="67" t="str">
        <x:v>S08</x:v>
      </x:c>
      <x:c r="E337" s="67" t="str">
        <x:v>四季青店</x:v>
      </x:c>
      <x:c r="F337" s="67" t="str">
        <x:v>后厨小工</x:v>
      </x:c>
      <x:c r="G337" s="70" t="n">
        <x:v>2</x:v>
      </x:c>
      <x:c r="H337" s="76" t="n">
        <x:v>16</x:v>
      </x:c>
      <x:c r="I337" s="76" t="n">
        <x:v>16.5</x:v>
      </x:c>
      <x:c r="J337" s="76" t="n">
        <x:v>29.85</x:v>
      </x:c>
      <x:c r="K337" s="79" t="n">
        <x:f>I337*J337</x:f>
        <x:v>492.52500000000003</x:v>
      </x:c>
      <x:c r="L337" s="94" t="n">
        <x:f>SUMIFS('门店日汇总'!$H$5:$H$60,'门店日汇总'!$A$5:$A$60,B337,'门店日汇总'!$C$5:$C$60,D337)</x:f>
        <x:v>8114.599999999999</x:v>
      </x:c>
      <x:c r="M337" s="79" t="n">
        <x:f>IFERROR(L337/SUMIFS($I$5:$I$340,$B$5:$B$340,B337,$D$5:$D$340,D337),0)</x:f>
        <x:v>115.92285714285714</x:v>
      </x:c>
      <x:c r="N337" s="67" t="str">
        <x:v>备菜+午晚高峰</x:v>
      </x:c>
      <x:c r="O337" s="67" t="str"/>
    </x:row>
    <x:row r="338">
      <x:c r="A338" s="67" t="str">
        <x:v>SHIFT-00334</x:v>
      </x:c>
      <x:c r="B338" s="73" t="n">
        <x:v>46216.5</x:v>
      </x:c>
      <x:c r="C338" s="67" t="str">
        <x:v>周一</x:v>
      </x:c>
      <x:c r="D338" s="67" t="str">
        <x:v>S08</x:v>
      </x:c>
      <x:c r="E338" s="67" t="str">
        <x:v>四季青店</x:v>
      </x:c>
      <x:c r="F338" s="67" t="str">
        <x:v>炒菜机操作员</x:v>
      </x:c>
      <x:c r="G338" s="70" t="n">
        <x:v>2</x:v>
      </x:c>
      <x:c r="H338" s="76" t="n">
        <x:v>16</x:v>
      </x:c>
      <x:c r="I338" s="76" t="n">
        <x:v>15.5</x:v>
      </x:c>
      <x:c r="J338" s="76" t="n">
        <x:v>30.91</x:v>
      </x:c>
      <x:c r="K338" s="79" t="n">
        <x:f>I338*J338</x:f>
        <x:v>479.105</x:v>
      </x:c>
      <x:c r="L338" s="94" t="n">
        <x:f>SUMIFS('门店日汇总'!$H$5:$H$60,'门店日汇总'!$A$5:$A$60,B338,'门店日汇总'!$C$5:$C$60,D338)</x:f>
        <x:v>8114.599999999999</x:v>
      </x:c>
      <x:c r="M338" s="79" t="n">
        <x:f>IFERROR(L338/SUMIFS($I$5:$I$340,$B$5:$B$340,B338,$D$5:$D$340,D338),0)</x:f>
        <x:v>115.92285714285714</x:v>
      </x:c>
      <x:c r="N338" s="67" t="str">
        <x:v>午晚高峰</x:v>
      </x:c>
      <x:c r="O338" s="67" t="str"/>
    </x:row>
    <x:row r="339">
      <x:c r="A339" s="67" t="str">
        <x:v>SHIFT-00335</x:v>
      </x:c>
      <x:c r="B339" s="73" t="n">
        <x:v>46216.5</x:v>
      </x:c>
      <x:c r="C339" s="67" t="str">
        <x:v>周一</x:v>
      </x:c>
      <x:c r="D339" s="67" t="str">
        <x:v>S08</x:v>
      </x:c>
      <x:c r="E339" s="67" t="str">
        <x:v>四季青店</x:v>
      </x:c>
      <x:c r="F339" s="67" t="str">
        <x:v>收银/前厅</x:v>
      </x:c>
      <x:c r="G339" s="70" t="n">
        <x:v>1</x:v>
      </x:c>
      <x:c r="H339" s="76" t="n">
        <x:v>8</x:v>
      </x:c>
      <x:c r="I339" s="76" t="n">
        <x:v>7.75</x:v>
      </x:c>
      <x:c r="J339" s="76" t="n">
        <x:v>27.72</x:v>
      </x:c>
      <x:c r="K339" s="79" t="n">
        <x:f>I339*J339</x:f>
        <x:v>214.82999999999998</x:v>
      </x:c>
      <x:c r="L339" s="94" t="n">
        <x:f>SUMIFS('门店日汇总'!$H$5:$H$60,'门店日汇总'!$A$5:$A$60,B339,'门店日汇总'!$C$5:$C$60,D339)</x:f>
        <x:v>8114.599999999999</x:v>
      </x:c>
      <x:c r="M339" s="79" t="n">
        <x:f>IFERROR(L339/SUMIFS($I$5:$I$340,$B$5:$B$340,B339,$D$5:$D$340,D339),0)</x:f>
        <x:v>115.92285714285714</x:v>
      </x:c>
      <x:c r="N339" s="67" t="str">
        <x:v>全日</x:v>
      </x:c>
      <x:c r="O339" s="67" t="str"/>
    </x:row>
    <x:row r="340">
      <x:c r="A340" s="68" t="str">
        <x:v>SHIFT-00336</x:v>
      </x:c>
      <x:c r="B340" s="74" t="n">
        <x:v>46216.5</x:v>
      </x:c>
      <x:c r="C340" s="68" t="str">
        <x:v>周一</x:v>
      </x:c>
      <x:c r="D340" s="68" t="str">
        <x:v>S08</x:v>
      </x:c>
      <x:c r="E340" s="68" t="str">
        <x:v>四季青店</x:v>
      </x:c>
      <x:c r="F340" s="68" t="str">
        <x:v>保洁/兼职</x:v>
      </x:c>
      <x:c r="G340" s="71" t="n">
        <x:v>1</x:v>
      </x:c>
      <x:c r="H340" s="77" t="n">
        <x:v>4</x:v>
      </x:c>
      <x:c r="I340" s="77" t="n">
        <x:v>4</x:v>
      </x:c>
      <x:c r="J340" s="77" t="n">
        <x:v>25.58</x:v>
      </x:c>
      <x:c r="K340" s="80" t="n">
        <x:f>I340*J340</x:f>
        <x:v>102.32</x:v>
      </x:c>
      <x:c r="L340" s="95" t="n">
        <x:f>SUMIFS('门店日汇总'!$H$5:$H$60,'门店日汇总'!$A$5:$A$60,B340,'门店日汇总'!$C$5:$C$60,D340)</x:f>
        <x:v>8114.599999999999</x:v>
      </x:c>
      <x:c r="M340" s="80" t="n">
        <x:f>IFERROR(L340/SUMIFS($I$5:$I$340,$B$5:$B$340,B340,$D$5:$D$340,D340),0)</x:f>
        <x:v>115.92285714285714</x:v>
      </x:c>
      <x:c r="N340" s="68" t="str">
        <x:v>收市</x:v>
      </x:c>
      <x:c r="O340" s="68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0" hidden="0" customWidth="1"/>
    <x:col min="4" max="4" width="16" hidden="0" customWidth="1"/>
    <x:col min="5" max="5" width="20" hidden="0" customWidth="1"/>
    <x:col min="6" max="6" width="11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28" hidden="0" customWidth="1"/>
  </x:cols>
  <x:sheetData>
    <x:row r="1" ht="30" customHeight="1">
      <x:c r="A1" s="52" t="str">
        <x:v>门店固定与半固定费用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</x:row>
    <x:row r="2" ht="28" customHeight="1">
      <x:c r="A2" s="56" t="str">
        <x:v>人工成本单独来自排班工时；本表记录房租、能源、营销、折旧、税费和总部分摊等月度费用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</x:row>
    <x:row r="4" ht="34" customHeight="1">
      <x:c r="A4" s="61" t="str">
        <x:v>费用ID</x:v>
      </x:c>
      <x:c r="B4" s="61" t="str">
        <x:v>月份</x:v>
      </x:c>
      <x:c r="C4" s="61" t="str">
        <x:v>门店ID</x:v>
      </x:c>
      <x:c r="D4" s="61" t="str">
        <x:v>门店</x:v>
      </x:c>
      <x:c r="E4" s="61" t="str">
        <x:v>费用类别</x:v>
      </x:c>
      <x:c r="F4" s="61" t="str">
        <x:v>费用性质</x:v>
      </x:c>
      <x:c r="G4" s="61" t="str">
        <x:v>预算金额</x:v>
      </x:c>
      <x:c r="H4" s="61" t="str">
        <x:v>实际金额</x:v>
      </x:c>
      <x:c r="I4" s="61" t="str">
        <x:v>差异</x:v>
      </x:c>
      <x:c r="J4" s="61" t="str">
        <x:v>现金/非现金</x:v>
      </x:c>
      <x:c r="K4" s="61" t="str">
        <x:v>付款日</x:v>
      </x:c>
      <x:c r="L4" s="61" t="str">
        <x:v>来源类型</x:v>
      </x:c>
      <x:c r="M4" s="61" t="str">
        <x:v>说明</x:v>
      </x:c>
    </x:row>
    <x:row r="5">
      <x:c r="A5" s="66" t="str">
        <x:v>EXP-0001</x:v>
      </x:c>
      <x:c r="B5" s="72" t="n">
        <x:v>46204.5</x:v>
      </x:c>
      <x:c r="C5" s="66" t="str">
        <x:v>S01</x:v>
      </x:c>
      <x:c r="D5" s="66" t="str">
        <x:v>近江天阳店</x:v>
      </x:c>
      <x:c r="E5" s="66" t="str">
        <x:v>房租与物业</x:v>
      </x:c>
      <x:c r="F5" s="66" t="str">
        <x:v>固定</x:v>
      </x:c>
      <x:c r="G5" s="96" t="n">
        <x:v>39900</x:v>
      </x:c>
      <x:c r="H5" s="96" t="n">
        <x:v>39900</x:v>
      </x:c>
      <x:c r="I5" s="99" t="n">
        <x:f>H5-G5</x:f>
        <x:v>0</x:v>
      </x:c>
      <x:c r="J5" s="66" t="str">
        <x:v>现金</x:v>
      </x:c>
      <x:c r="K5" s="72" t="n">
        <x:v>46239.5</x:v>
      </x:c>
      <x:c r="L5" s="66" t="str">
        <x:v>S-经营费用假设</x:v>
      </x:c>
      <x:c r="M5" s="66" t="str">
        <x:v>用于月度损益与现金计划</x:v>
      </x:c>
    </x:row>
    <x:row r="6">
      <x:c r="A6" s="67" t="str">
        <x:v>EXP-0002</x:v>
      </x:c>
      <x:c r="B6" s="73" t="n">
        <x:v>46204.5</x:v>
      </x:c>
      <x:c r="C6" s="67" t="str">
        <x:v>S01</x:v>
      </x:c>
      <x:c r="D6" s="67" t="str">
        <x:v>近江天阳店</x:v>
      </x:c>
      <x:c r="E6" s="67" t="str">
        <x:v>水电燃气</x:v>
      </x:c>
      <x:c r="F6" s="67" t="str">
        <x:v>半固定</x:v>
      </x:c>
      <x:c r="G6" s="97" t="n">
        <x:v>9690</x:v>
      </x:c>
      <x:c r="H6" s="97" t="n">
        <x:v>9642</x:v>
      </x:c>
      <x:c r="I6" s="100" t="n">
        <x:f>H6-G6</x:f>
        <x:v>-48</x:v>
      </x:c>
      <x:c r="J6" s="67" t="str">
        <x:v>现金</x:v>
      </x:c>
      <x:c r="K6" s="73" t="n">
        <x:v>46228.5</x:v>
      </x:c>
      <x:c r="L6" s="67" t="str">
        <x:v>S-经营费用假设</x:v>
      </x:c>
      <x:c r="M6" s="67" t="str">
        <x:v>用于月度损益与现金计划</x:v>
      </x:c>
    </x:row>
    <x:row r="7">
      <x:c r="A7" s="67" t="str">
        <x:v>EXP-0003</x:v>
      </x:c>
      <x:c r="B7" s="73" t="n">
        <x:v>46204.5</x:v>
      </x:c>
      <x:c r="C7" s="67" t="str">
        <x:v>S01</x:v>
      </x:c>
      <x:c r="D7" s="67" t="str">
        <x:v>近江天阳店</x:v>
      </x:c>
      <x:c r="E7" s="67" t="str">
        <x:v>固定营销/会员运营</x:v>
      </x:c>
      <x:c r="F7" s="67" t="str">
        <x:v>固定</x:v>
      </x:c>
      <x:c r="G7" s="97" t="n">
        <x:v>5700</x:v>
      </x:c>
      <x:c r="H7" s="97" t="n">
        <x:v>5700</x:v>
      </x:c>
      <x:c r="I7" s="100" t="n">
        <x:f>H7-G7</x:f>
        <x:v>0</x:v>
      </x:c>
      <x:c r="J7" s="67" t="str">
        <x:v>现金</x:v>
      </x:c>
      <x:c r="K7" s="73" t="n">
        <x:v>46223.5</x:v>
      </x:c>
      <x:c r="L7" s="67" t="str">
        <x:v>S-经营费用假设</x:v>
      </x:c>
      <x:c r="M7" s="67" t="str">
        <x:v>用于月度损益与现金计划</x:v>
      </x:c>
    </x:row>
    <x:row r="8">
      <x:c r="A8" s="67" t="str">
        <x:v>EXP-0004</x:v>
      </x:c>
      <x:c r="B8" s="73" t="n">
        <x:v>46204.5</x:v>
      </x:c>
      <x:c r="C8" s="67" t="str">
        <x:v>S01</x:v>
      </x:c>
      <x:c r="D8" s="67" t="str">
        <x:v>近江天阳店</x:v>
      </x:c>
      <x:c r="E8" s="67" t="str">
        <x:v>清洁低耗与办公</x:v>
      </x:c>
      <x:c r="F8" s="67" t="str">
        <x:v>半固定</x:v>
      </x:c>
      <x:c r="G8" s="97" t="n">
        <x:v>3420</x:v>
      </x:c>
      <x:c r="H8" s="97" t="n">
        <x:v>3437</x:v>
      </x:c>
      <x:c r="I8" s="100" t="n">
        <x:f>H8-G8</x:f>
        <x:v>17</x:v>
      </x:c>
      <x:c r="J8" s="67" t="str">
        <x:v>现金</x:v>
      </x:c>
      <x:c r="K8" s="73" t="n">
        <x:v>46231.5</x:v>
      </x:c>
      <x:c r="L8" s="67" t="str">
        <x:v>S-经营费用假设</x:v>
      </x:c>
      <x:c r="M8" s="67" t="str">
        <x:v>用于月度损益与现金计划</x:v>
      </x:c>
    </x:row>
    <x:row r="9">
      <x:c r="A9" s="67" t="str">
        <x:v>EXP-0005</x:v>
      </x:c>
      <x:c r="B9" s="73" t="n">
        <x:v>46204.5</x:v>
      </x:c>
      <x:c r="C9" s="67" t="str">
        <x:v>S01</x:v>
      </x:c>
      <x:c r="D9" s="67" t="str">
        <x:v>近江天阳店</x:v>
      </x:c>
      <x:c r="E9" s="67" t="str">
        <x:v>维修保养</x:v>
      </x:c>
      <x:c r="F9" s="67" t="str">
        <x:v>半固定</x:v>
      </x:c>
      <x:c r="G9" s="97" t="n">
        <x:v>1710</x:v>
      </x:c>
      <x:c r="H9" s="97" t="n">
        <x:v>1727</x:v>
      </x:c>
      <x:c r="I9" s="100" t="n">
        <x:f>H9-G9</x:f>
        <x:v>17</x:v>
      </x:c>
      <x:c r="J9" s="67" t="str">
        <x:v>现金</x:v>
      </x:c>
      <x:c r="K9" s="73" t="n">
        <x:v>46231.5</x:v>
      </x:c>
      <x:c r="L9" s="67" t="str">
        <x:v>S-经营费用假设</x:v>
      </x:c>
      <x:c r="M9" s="67" t="str">
        <x:v>用于月度损益与现金计划</x:v>
      </x:c>
    </x:row>
    <x:row r="10">
      <x:c r="A10" s="67" t="str">
        <x:v>EXP-0006</x:v>
      </x:c>
      <x:c r="B10" s="73" t="n">
        <x:v>46204.5</x:v>
      </x:c>
      <x:c r="C10" s="67" t="str">
        <x:v>S01</x:v>
      </x:c>
      <x:c r="D10" s="67" t="str">
        <x:v>近江天阳店</x:v>
      </x:c>
      <x:c r="E10" s="67" t="str">
        <x:v>折旧</x:v>
      </x:c>
      <x:c r="F10" s="67" t="str">
        <x:v>固定</x:v>
      </x:c>
      <x:c r="G10" s="97" t="n">
        <x:v>4560</x:v>
      </x:c>
      <x:c r="H10" s="97" t="n">
        <x:v>4560</x:v>
      </x:c>
      <x:c r="I10" s="100" t="n">
        <x:f>H10-G10</x:f>
        <x:v>0</x:v>
      </x:c>
      <x:c r="J10" s="67" t="str">
        <x:v>非现金</x:v>
      </x:c>
      <x:c r="K10" s="73"/>
      <x:c r="L10" s="67" t="str">
        <x:v>S-经营费用假设</x:v>
      </x:c>
      <x:c r="M10" s="67" t="str">
        <x:v>折旧不进入现金日历</x:v>
      </x:c>
    </x:row>
    <x:row r="11">
      <x:c r="A11" s="67" t="str">
        <x:v>EXP-0007</x:v>
      </x:c>
      <x:c r="B11" s="73" t="n">
        <x:v>46204.5</x:v>
      </x:c>
      <x:c r="C11" s="67" t="str">
        <x:v>S01</x:v>
      </x:c>
      <x:c r="D11" s="67" t="str">
        <x:v>近江天阳店</x:v>
      </x:c>
      <x:c r="E11" s="67" t="str">
        <x:v>税费及附加</x:v>
      </x:c>
      <x:c r="F11" s="67" t="str">
        <x:v>半固定</x:v>
      </x:c>
      <x:c r="G11" s="97" t="n">
        <x:v>2280</x:v>
      </x:c>
      <x:c r="H11" s="97" t="n">
        <x:v>2269</x:v>
      </x:c>
      <x:c r="I11" s="100" t="n">
        <x:f>H11-G11</x:f>
        <x:v>-11</x:v>
      </x:c>
      <x:c r="J11" s="67" t="str">
        <x:v>现金</x:v>
      </x:c>
      <x:c r="K11" s="73" t="n">
        <x:v>46218.5</x:v>
      </x:c>
      <x:c r="L11" s="67" t="str">
        <x:v>S-经营费用假设</x:v>
      </x:c>
      <x:c r="M11" s="67" t="str">
        <x:v>用于月度损益与现金计划</x:v>
      </x:c>
    </x:row>
    <x:row r="12">
      <x:c r="A12" s="67" t="str">
        <x:v>EXP-0008</x:v>
      </x:c>
      <x:c r="B12" s="73" t="n">
        <x:v>46204.5</x:v>
      </x:c>
      <x:c r="C12" s="67" t="str">
        <x:v>S01</x:v>
      </x:c>
      <x:c r="D12" s="67" t="str">
        <x:v>近江天阳店</x:v>
      </x:c>
      <x:c r="E12" s="67" t="str">
        <x:v>总部费用分摊</x:v>
      </x:c>
      <x:c r="F12" s="67" t="str">
        <x:v>固定</x:v>
      </x:c>
      <x:c r="G12" s="97" t="n">
        <x:v>6840</x:v>
      </x:c>
      <x:c r="H12" s="97" t="n">
        <x:v>6840</x:v>
      </x:c>
      <x:c r="I12" s="100" t="n">
        <x:f>H12-G12</x:f>
        <x:v>0</x:v>
      </x:c>
      <x:c r="J12" s="67" t="str">
        <x:v>现金</x:v>
      </x:c>
      <x:c r="K12" s="73" t="n">
        <x:v>46234.5</x:v>
      </x:c>
      <x:c r="L12" s="67" t="str">
        <x:v>S-经营费用假设</x:v>
      </x:c>
      <x:c r="M12" s="67" t="str">
        <x:v>用于月度损益与现金计划</x:v>
      </x:c>
    </x:row>
    <x:row r="13">
      <x:c r="A13" s="67" t="str">
        <x:v>EXP-0009</x:v>
      </x:c>
      <x:c r="B13" s="73" t="n">
        <x:v>46204.5</x:v>
      </x:c>
      <x:c r="C13" s="67" t="str">
        <x:v>S01</x:v>
      </x:c>
      <x:c r="D13" s="67" t="str">
        <x:v>近江天阳店</x:v>
      </x:c>
      <x:c r="E13" s="67" t="str">
        <x:v>其他费用</x:v>
      </x:c>
      <x:c r="F13" s="67" t="str">
        <x:v>半固定</x:v>
      </x:c>
      <x:c r="G13" s="97" t="n">
        <x:v>2280</x:v>
      </x:c>
      <x:c r="H13" s="97" t="n">
        <x:v>2291</x:v>
      </x:c>
      <x:c r="I13" s="100" t="n">
        <x:f>H13-G13</x:f>
        <x:v>11</x:v>
      </x:c>
      <x:c r="J13" s="67" t="str">
        <x:v>现金</x:v>
      </x:c>
      <x:c r="K13" s="73" t="n">
        <x:v>46233.5</x:v>
      </x:c>
      <x:c r="L13" s="67" t="str">
        <x:v>S-经营费用假设</x:v>
      </x:c>
      <x:c r="M13" s="67" t="str">
        <x:v>用于月度损益与现金计划</x:v>
      </x:c>
    </x:row>
    <x:row r="14">
      <x:c r="A14" s="67" t="str">
        <x:v>EXP-0010</x:v>
      </x:c>
      <x:c r="B14" s="73" t="n">
        <x:v>46204.5</x:v>
      </x:c>
      <x:c r="C14" s="67" t="str">
        <x:v>S02</x:v>
      </x:c>
      <x:c r="D14" s="67" t="str">
        <x:v>尊宝大厦店</x:v>
      </x:c>
      <x:c r="E14" s="67" t="str">
        <x:v>房租与物业</x:v>
      </x:c>
      <x:c r="F14" s="67" t="str">
        <x:v>固定</x:v>
      </x:c>
      <x:c r="G14" s="97" t="n">
        <x:v>37800</x:v>
      </x:c>
      <x:c r="H14" s="97" t="n">
        <x:v>37800</x:v>
      </x:c>
      <x:c r="I14" s="100" t="n">
        <x:f>H14-G14</x:f>
        <x:v>0</x:v>
      </x:c>
      <x:c r="J14" s="67" t="str">
        <x:v>现金</x:v>
      </x:c>
      <x:c r="K14" s="73" t="n">
        <x:v>46239.5</x:v>
      </x:c>
      <x:c r="L14" s="67" t="str">
        <x:v>S-经营费用假设</x:v>
      </x:c>
      <x:c r="M14" s="67" t="str">
        <x:v>用于月度损益与现金计划</x:v>
      </x:c>
    </x:row>
    <x:row r="15">
      <x:c r="A15" s="67" t="str">
        <x:v>EXP-0011</x:v>
      </x:c>
      <x:c r="B15" s="73" t="n">
        <x:v>46204.5</x:v>
      </x:c>
      <x:c r="C15" s="67" t="str">
        <x:v>S02</x:v>
      </x:c>
      <x:c r="D15" s="67" t="str">
        <x:v>尊宝大厦店</x:v>
      </x:c>
      <x:c r="E15" s="67" t="str">
        <x:v>水电燃气</x:v>
      </x:c>
      <x:c r="F15" s="67" t="str">
        <x:v>半固定</x:v>
      </x:c>
      <x:c r="G15" s="97" t="n">
        <x:v>9180</x:v>
      </x:c>
      <x:c r="H15" s="97" t="n">
        <x:v>9180</x:v>
      </x:c>
      <x:c r="I15" s="100" t="n">
        <x:f>H15-G15</x:f>
        <x:v>0</x:v>
      </x:c>
      <x:c r="J15" s="67" t="str">
        <x:v>现金</x:v>
      </x:c>
      <x:c r="K15" s="73" t="n">
        <x:v>46228.5</x:v>
      </x:c>
      <x:c r="L15" s="67" t="str">
        <x:v>S-经营费用假设</x:v>
      </x:c>
      <x:c r="M15" s="67" t="str">
        <x:v>用于月度损益与现金计划</x:v>
      </x:c>
    </x:row>
    <x:row r="16">
      <x:c r="A16" s="67" t="str">
        <x:v>EXP-0012</x:v>
      </x:c>
      <x:c r="B16" s="73" t="n">
        <x:v>46204.5</x:v>
      </x:c>
      <x:c r="C16" s="67" t="str">
        <x:v>S02</x:v>
      </x:c>
      <x:c r="D16" s="67" t="str">
        <x:v>尊宝大厦店</x:v>
      </x:c>
      <x:c r="E16" s="67" t="str">
        <x:v>固定营销/会员运营</x:v>
      </x:c>
      <x:c r="F16" s="67" t="str">
        <x:v>固定</x:v>
      </x:c>
      <x:c r="G16" s="97" t="n">
        <x:v>5400</x:v>
      </x:c>
      <x:c r="H16" s="97" t="n">
        <x:v>5427</x:v>
      </x:c>
      <x:c r="I16" s="100" t="n">
        <x:f>H16-G16</x:f>
        <x:v>27</x:v>
      </x:c>
      <x:c r="J16" s="67" t="str">
        <x:v>现金</x:v>
      </x:c>
      <x:c r="K16" s="73" t="n">
        <x:v>46223.5</x:v>
      </x:c>
      <x:c r="L16" s="67" t="str">
        <x:v>S-经营费用假设</x:v>
      </x:c>
      <x:c r="M16" s="67" t="str">
        <x:v>用于月度损益与现金计划</x:v>
      </x:c>
    </x:row>
    <x:row r="17">
      <x:c r="A17" s="67" t="str">
        <x:v>EXP-0013</x:v>
      </x:c>
      <x:c r="B17" s="73" t="n">
        <x:v>46204.5</x:v>
      </x:c>
      <x:c r="C17" s="67" t="str">
        <x:v>S02</x:v>
      </x:c>
      <x:c r="D17" s="67" t="str">
        <x:v>尊宝大厦店</x:v>
      </x:c>
      <x:c r="E17" s="67" t="str">
        <x:v>清洁低耗与办公</x:v>
      </x:c>
      <x:c r="F17" s="67" t="str">
        <x:v>半固定</x:v>
      </x:c>
      <x:c r="G17" s="97" t="n">
        <x:v>3240</x:v>
      </x:c>
      <x:c r="H17" s="97" t="n">
        <x:v>3272</x:v>
      </x:c>
      <x:c r="I17" s="100" t="n">
        <x:f>H17-G17</x:f>
        <x:v>32</x:v>
      </x:c>
      <x:c r="J17" s="67" t="str">
        <x:v>现金</x:v>
      </x:c>
      <x:c r="K17" s="73" t="n">
        <x:v>46231.5</x:v>
      </x:c>
      <x:c r="L17" s="67" t="str">
        <x:v>S-经营费用假设</x:v>
      </x:c>
      <x:c r="M17" s="67" t="str">
        <x:v>用于月度损益与现金计划</x:v>
      </x:c>
    </x:row>
    <x:row r="18">
      <x:c r="A18" s="67" t="str">
        <x:v>EXP-0014</x:v>
      </x:c>
      <x:c r="B18" s="73" t="n">
        <x:v>46204.5</x:v>
      </x:c>
      <x:c r="C18" s="67" t="str">
        <x:v>S02</x:v>
      </x:c>
      <x:c r="D18" s="67" t="str">
        <x:v>尊宝大厦店</x:v>
      </x:c>
      <x:c r="E18" s="67" t="str">
        <x:v>维修保养</x:v>
      </x:c>
      <x:c r="F18" s="67" t="str">
        <x:v>半固定</x:v>
      </x:c>
      <x:c r="G18" s="97" t="n">
        <x:v>1620</x:v>
      </x:c>
      <x:c r="H18" s="97" t="n">
        <x:v>1604</x:v>
      </x:c>
      <x:c r="I18" s="100" t="n">
        <x:f>H18-G18</x:f>
        <x:v>-16</x:v>
      </x:c>
      <x:c r="J18" s="67" t="str">
        <x:v>现金</x:v>
      </x:c>
      <x:c r="K18" s="73" t="n">
        <x:v>46231.5</x:v>
      </x:c>
      <x:c r="L18" s="67" t="str">
        <x:v>S-经营费用假设</x:v>
      </x:c>
      <x:c r="M18" s="67" t="str">
        <x:v>用于月度损益与现金计划</x:v>
      </x:c>
    </x:row>
    <x:row r="19">
      <x:c r="A19" s="67" t="str">
        <x:v>EXP-0015</x:v>
      </x:c>
      <x:c r="B19" s="73" t="n">
        <x:v>46204.5</x:v>
      </x:c>
      <x:c r="C19" s="67" t="str">
        <x:v>S02</x:v>
      </x:c>
      <x:c r="D19" s="67" t="str">
        <x:v>尊宝大厦店</x:v>
      </x:c>
      <x:c r="E19" s="67" t="str">
        <x:v>折旧</x:v>
      </x:c>
      <x:c r="F19" s="67" t="str">
        <x:v>固定</x:v>
      </x:c>
      <x:c r="G19" s="97" t="n">
        <x:v>4320</x:v>
      </x:c>
      <x:c r="H19" s="97" t="n">
        <x:v>4320</x:v>
      </x:c>
      <x:c r="I19" s="100" t="n">
        <x:f>H19-G19</x:f>
        <x:v>0</x:v>
      </x:c>
      <x:c r="J19" s="67" t="str">
        <x:v>非现金</x:v>
      </x:c>
      <x:c r="K19" s="73"/>
      <x:c r="L19" s="67" t="str">
        <x:v>S-经营费用假设</x:v>
      </x:c>
      <x:c r="M19" s="67" t="str">
        <x:v>折旧不进入现金日历</x:v>
      </x:c>
    </x:row>
    <x:row r="20">
      <x:c r="A20" s="67" t="str">
        <x:v>EXP-0016</x:v>
      </x:c>
      <x:c r="B20" s="73" t="n">
        <x:v>46204.5</x:v>
      </x:c>
      <x:c r="C20" s="67" t="str">
        <x:v>S02</x:v>
      </x:c>
      <x:c r="D20" s="67" t="str">
        <x:v>尊宝大厦店</x:v>
      </x:c>
      <x:c r="E20" s="67" t="str">
        <x:v>税费及附加</x:v>
      </x:c>
      <x:c r="F20" s="67" t="str">
        <x:v>半固定</x:v>
      </x:c>
      <x:c r="G20" s="97" t="n">
        <x:v>2160</x:v>
      </x:c>
      <x:c r="H20" s="97" t="n">
        <x:v>2160</x:v>
      </x:c>
      <x:c r="I20" s="100" t="n">
        <x:f>H20-G20</x:f>
        <x:v>0</x:v>
      </x:c>
      <x:c r="J20" s="67" t="str">
        <x:v>现金</x:v>
      </x:c>
      <x:c r="K20" s="73" t="n">
        <x:v>46218.5</x:v>
      </x:c>
      <x:c r="L20" s="67" t="str">
        <x:v>S-经营费用假设</x:v>
      </x:c>
      <x:c r="M20" s="67" t="str">
        <x:v>用于月度损益与现金计划</x:v>
      </x:c>
    </x:row>
    <x:row r="21">
      <x:c r="A21" s="67" t="str">
        <x:v>EXP-0017</x:v>
      </x:c>
      <x:c r="B21" s="73" t="n">
        <x:v>46204.5</x:v>
      </x:c>
      <x:c r="C21" s="67" t="str">
        <x:v>S02</x:v>
      </x:c>
      <x:c r="D21" s="67" t="str">
        <x:v>尊宝大厦店</x:v>
      </x:c>
      <x:c r="E21" s="67" t="str">
        <x:v>总部费用分摊</x:v>
      </x:c>
      <x:c r="F21" s="67" t="str">
        <x:v>固定</x:v>
      </x:c>
      <x:c r="G21" s="97" t="n">
        <x:v>6480</x:v>
      </x:c>
      <x:c r="H21" s="97" t="n">
        <x:v>6512</x:v>
      </x:c>
      <x:c r="I21" s="100" t="n">
        <x:f>H21-G21</x:f>
        <x:v>32</x:v>
      </x:c>
      <x:c r="J21" s="67" t="str">
        <x:v>现金</x:v>
      </x:c>
      <x:c r="K21" s="73" t="n">
        <x:v>46234.5</x:v>
      </x:c>
      <x:c r="L21" s="67" t="str">
        <x:v>S-经营费用假设</x:v>
      </x:c>
      <x:c r="M21" s="67" t="str">
        <x:v>用于月度损益与现金计划</x:v>
      </x:c>
    </x:row>
    <x:row r="22">
      <x:c r="A22" s="67" t="str">
        <x:v>EXP-0018</x:v>
      </x:c>
      <x:c r="B22" s="73" t="n">
        <x:v>46204.5</x:v>
      </x:c>
      <x:c r="C22" s="67" t="str">
        <x:v>S02</x:v>
      </x:c>
      <x:c r="D22" s="67" t="str">
        <x:v>尊宝大厦店</x:v>
      </x:c>
      <x:c r="E22" s="67" t="str">
        <x:v>其他费用</x:v>
      </x:c>
      <x:c r="F22" s="67" t="str">
        <x:v>半固定</x:v>
      </x:c>
      <x:c r="G22" s="97" t="n">
        <x:v>2160</x:v>
      </x:c>
      <x:c r="H22" s="97" t="n">
        <x:v>2182</x:v>
      </x:c>
      <x:c r="I22" s="100" t="n">
        <x:f>H22-G22</x:f>
        <x:v>22</x:v>
      </x:c>
      <x:c r="J22" s="67" t="str">
        <x:v>现金</x:v>
      </x:c>
      <x:c r="K22" s="73" t="n">
        <x:v>46233.5</x:v>
      </x:c>
      <x:c r="L22" s="67" t="str">
        <x:v>S-经营费用假设</x:v>
      </x:c>
      <x:c r="M22" s="67" t="str">
        <x:v>用于月度损益与现金计划</x:v>
      </x:c>
    </x:row>
    <x:row r="23">
      <x:c r="A23" s="67" t="str">
        <x:v>EXP-0019</x:v>
      </x:c>
      <x:c r="B23" s="73" t="n">
        <x:v>46204.5</x:v>
      </x:c>
      <x:c r="C23" s="67" t="str">
        <x:v>S03</x:v>
      </x:c>
      <x:c r="D23" s="67" t="str">
        <x:v>铂悦城店</x:v>
      </x:c>
      <x:c r="E23" s="67" t="str">
        <x:v>房租与物业</x:v>
      </x:c>
      <x:c r="F23" s="67" t="str">
        <x:v>固定</x:v>
      </x:c>
      <x:c r="G23" s="97" t="n">
        <x:v>36400</x:v>
      </x:c>
      <x:c r="H23" s="97" t="n">
        <x:v>36400</x:v>
      </x:c>
      <x:c r="I23" s="100" t="n">
        <x:f>H23-G23</x:f>
        <x:v>0</x:v>
      </x:c>
      <x:c r="J23" s="67" t="str">
        <x:v>现金</x:v>
      </x:c>
      <x:c r="K23" s="73" t="n">
        <x:v>46239.5</x:v>
      </x:c>
      <x:c r="L23" s="67" t="str">
        <x:v>S-经营费用假设</x:v>
      </x:c>
      <x:c r="M23" s="67" t="str">
        <x:v>用于月度损益与现金计划</x:v>
      </x:c>
    </x:row>
    <x:row r="24">
      <x:c r="A24" s="67" t="str">
        <x:v>EXP-0020</x:v>
      </x:c>
      <x:c r="B24" s="73" t="n">
        <x:v>46204.5</x:v>
      </x:c>
      <x:c r="C24" s="67" t="str">
        <x:v>S03</x:v>
      </x:c>
      <x:c r="D24" s="67" t="str">
        <x:v>铂悦城店</x:v>
      </x:c>
      <x:c r="E24" s="67" t="str">
        <x:v>水电燃气</x:v>
      </x:c>
      <x:c r="F24" s="67" t="str">
        <x:v>半固定</x:v>
      </x:c>
      <x:c r="G24" s="97" t="n">
        <x:v>8840</x:v>
      </x:c>
      <x:c r="H24" s="97" t="n">
        <x:v>8884</x:v>
      </x:c>
      <x:c r="I24" s="100" t="n">
        <x:f>H24-G24</x:f>
        <x:v>44</x:v>
      </x:c>
      <x:c r="J24" s="67" t="str">
        <x:v>现金</x:v>
      </x:c>
      <x:c r="K24" s="73" t="n">
        <x:v>46228.5</x:v>
      </x:c>
      <x:c r="L24" s="67" t="str">
        <x:v>S-经营费用假设</x:v>
      </x:c>
      <x:c r="M24" s="67" t="str">
        <x:v>用于月度损益与现金计划</x:v>
      </x:c>
    </x:row>
    <x:row r="25">
      <x:c r="A25" s="67" t="str">
        <x:v>EXP-0021</x:v>
      </x:c>
      <x:c r="B25" s="73" t="n">
        <x:v>46204.5</x:v>
      </x:c>
      <x:c r="C25" s="67" t="str">
        <x:v>S03</x:v>
      </x:c>
      <x:c r="D25" s="67" t="str">
        <x:v>铂悦城店</x:v>
      </x:c>
      <x:c r="E25" s="67" t="str">
        <x:v>固定营销/会员运营</x:v>
      </x:c>
      <x:c r="F25" s="67" t="str">
        <x:v>固定</x:v>
      </x:c>
      <x:c r="G25" s="97" t="n">
        <x:v>5200</x:v>
      </x:c>
      <x:c r="H25" s="97" t="n">
        <x:v>5252</x:v>
      </x:c>
      <x:c r="I25" s="100" t="n">
        <x:f>H25-G25</x:f>
        <x:v>52</x:v>
      </x:c>
      <x:c r="J25" s="67" t="str">
        <x:v>现金</x:v>
      </x:c>
      <x:c r="K25" s="73" t="n">
        <x:v>46223.5</x:v>
      </x:c>
      <x:c r="L25" s="67" t="str">
        <x:v>S-经营费用假设</x:v>
      </x:c>
      <x:c r="M25" s="67" t="str">
        <x:v>用于月度损益与现金计划</x:v>
      </x:c>
    </x:row>
    <x:row r="26">
      <x:c r="A26" s="67" t="str">
        <x:v>EXP-0022</x:v>
      </x:c>
      <x:c r="B26" s="73" t="n">
        <x:v>46204.5</x:v>
      </x:c>
      <x:c r="C26" s="67" t="str">
        <x:v>S03</x:v>
      </x:c>
      <x:c r="D26" s="67" t="str">
        <x:v>铂悦城店</x:v>
      </x:c>
      <x:c r="E26" s="67" t="str">
        <x:v>清洁低耗与办公</x:v>
      </x:c>
      <x:c r="F26" s="67" t="str">
        <x:v>半固定</x:v>
      </x:c>
      <x:c r="G26" s="97" t="n">
        <x:v>3120</x:v>
      </x:c>
      <x:c r="H26" s="97" t="n">
        <x:v>3089</x:v>
      </x:c>
      <x:c r="I26" s="100" t="n">
        <x:f>H26-G26</x:f>
        <x:v>-31</x:v>
      </x:c>
      <x:c r="J26" s="67" t="str">
        <x:v>现金</x:v>
      </x:c>
      <x:c r="K26" s="73" t="n">
        <x:v>46231.5</x:v>
      </x:c>
      <x:c r="L26" s="67" t="str">
        <x:v>S-经营费用假设</x:v>
      </x:c>
      <x:c r="M26" s="67" t="str">
        <x:v>用于月度损益与现金计划</x:v>
      </x:c>
    </x:row>
    <x:row r="27">
      <x:c r="A27" s="67" t="str">
        <x:v>EXP-0023</x:v>
      </x:c>
      <x:c r="B27" s="73" t="n">
        <x:v>46204.5</x:v>
      </x:c>
      <x:c r="C27" s="67" t="str">
        <x:v>S03</x:v>
      </x:c>
      <x:c r="D27" s="67" t="str">
        <x:v>铂悦城店</x:v>
      </x:c>
      <x:c r="E27" s="67" t="str">
        <x:v>维修保养</x:v>
      </x:c>
      <x:c r="F27" s="67" t="str">
        <x:v>半固定</x:v>
      </x:c>
      <x:c r="G27" s="97" t="n">
        <x:v>1560</x:v>
      </x:c>
      <x:c r="H27" s="97" t="n">
        <x:v>1552</x:v>
      </x:c>
      <x:c r="I27" s="100" t="n">
        <x:f>H27-G27</x:f>
        <x:v>-8</x:v>
      </x:c>
      <x:c r="J27" s="67" t="str">
        <x:v>现金</x:v>
      </x:c>
      <x:c r="K27" s="73" t="n">
        <x:v>46231.5</x:v>
      </x:c>
      <x:c r="L27" s="67" t="str">
        <x:v>S-经营费用假设</x:v>
      </x:c>
      <x:c r="M27" s="67" t="str">
        <x:v>用于月度损益与现金计划</x:v>
      </x:c>
    </x:row>
    <x:row r="28">
      <x:c r="A28" s="67" t="str">
        <x:v>EXP-0024</x:v>
      </x:c>
      <x:c r="B28" s="73" t="n">
        <x:v>46204.5</x:v>
      </x:c>
      <x:c r="C28" s="67" t="str">
        <x:v>S03</x:v>
      </x:c>
      <x:c r="D28" s="67" t="str">
        <x:v>铂悦城店</x:v>
      </x:c>
      <x:c r="E28" s="67" t="str">
        <x:v>折旧</x:v>
      </x:c>
      <x:c r="F28" s="67" t="str">
        <x:v>固定</x:v>
      </x:c>
      <x:c r="G28" s="97" t="n">
        <x:v>4160</x:v>
      </x:c>
      <x:c r="H28" s="97" t="n">
        <x:v>4160</x:v>
      </x:c>
      <x:c r="I28" s="100" t="n">
        <x:f>H28-G28</x:f>
        <x:v>0</x:v>
      </x:c>
      <x:c r="J28" s="67" t="str">
        <x:v>非现金</x:v>
      </x:c>
      <x:c r="K28" s="73"/>
      <x:c r="L28" s="67" t="str">
        <x:v>S-经营费用假设</x:v>
      </x:c>
      <x:c r="M28" s="67" t="str">
        <x:v>折旧不进入现金日历</x:v>
      </x:c>
    </x:row>
    <x:row r="29">
      <x:c r="A29" s="67" t="str">
        <x:v>EXP-0025</x:v>
      </x:c>
      <x:c r="B29" s="73" t="n">
        <x:v>46204.5</x:v>
      </x:c>
      <x:c r="C29" s="67" t="str">
        <x:v>S03</x:v>
      </x:c>
      <x:c r="D29" s="67" t="str">
        <x:v>铂悦城店</x:v>
      </x:c>
      <x:c r="E29" s="67" t="str">
        <x:v>税费及附加</x:v>
      </x:c>
      <x:c r="F29" s="67" t="str">
        <x:v>半固定</x:v>
      </x:c>
      <x:c r="G29" s="97" t="n">
        <x:v>2080</x:v>
      </x:c>
      <x:c r="H29" s="97" t="n">
        <x:v>2090</x:v>
      </x:c>
      <x:c r="I29" s="100" t="n">
        <x:f>H29-G29</x:f>
        <x:v>10</x:v>
      </x:c>
      <x:c r="J29" s="67" t="str">
        <x:v>现金</x:v>
      </x:c>
      <x:c r="K29" s="73" t="n">
        <x:v>46218.5</x:v>
      </x:c>
      <x:c r="L29" s="67" t="str">
        <x:v>S-经营费用假设</x:v>
      </x:c>
      <x:c r="M29" s="67" t="str">
        <x:v>用于月度损益与现金计划</x:v>
      </x:c>
    </x:row>
    <x:row r="30">
      <x:c r="A30" s="67" t="str">
        <x:v>EXP-0026</x:v>
      </x:c>
      <x:c r="B30" s="73" t="n">
        <x:v>46204.5</x:v>
      </x:c>
      <x:c r="C30" s="67" t="str">
        <x:v>S03</x:v>
      </x:c>
      <x:c r="D30" s="67" t="str">
        <x:v>铂悦城店</x:v>
      </x:c>
      <x:c r="E30" s="67" t="str">
        <x:v>总部费用分摊</x:v>
      </x:c>
      <x:c r="F30" s="67" t="str">
        <x:v>固定</x:v>
      </x:c>
      <x:c r="G30" s="97" t="n">
        <x:v>6240</x:v>
      </x:c>
      <x:c r="H30" s="97" t="n">
        <x:v>6302</x:v>
      </x:c>
      <x:c r="I30" s="100" t="n">
        <x:f>H30-G30</x:f>
        <x:v>62</x:v>
      </x:c>
      <x:c r="J30" s="67" t="str">
        <x:v>现金</x:v>
      </x:c>
      <x:c r="K30" s="73" t="n">
        <x:v>46234.5</x:v>
      </x:c>
      <x:c r="L30" s="67" t="str">
        <x:v>S-经营费用假设</x:v>
      </x:c>
      <x:c r="M30" s="67" t="str">
        <x:v>用于月度损益与现金计划</x:v>
      </x:c>
    </x:row>
    <x:row r="31">
      <x:c r="A31" s="67" t="str">
        <x:v>EXP-0027</x:v>
      </x:c>
      <x:c r="B31" s="73" t="n">
        <x:v>46204.5</x:v>
      </x:c>
      <x:c r="C31" s="67" t="str">
        <x:v>S03</x:v>
      </x:c>
      <x:c r="D31" s="67" t="str">
        <x:v>铂悦城店</x:v>
      </x:c>
      <x:c r="E31" s="67" t="str">
        <x:v>其他费用</x:v>
      </x:c>
      <x:c r="F31" s="67" t="str">
        <x:v>半固定</x:v>
      </x:c>
      <x:c r="G31" s="97" t="n">
        <x:v>2080</x:v>
      </x:c>
      <x:c r="H31" s="97" t="n">
        <x:v>2059</x:v>
      </x:c>
      <x:c r="I31" s="100" t="n">
        <x:f>H31-G31</x:f>
        <x:v>-21</x:v>
      </x:c>
      <x:c r="J31" s="67" t="str">
        <x:v>现金</x:v>
      </x:c>
      <x:c r="K31" s="73" t="n">
        <x:v>46233.5</x:v>
      </x:c>
      <x:c r="L31" s="67" t="str">
        <x:v>S-经营费用假设</x:v>
      </x:c>
      <x:c r="M31" s="67" t="str">
        <x:v>用于月度损益与现金计划</x:v>
      </x:c>
    </x:row>
    <x:row r="32">
      <x:c r="A32" s="67" t="str">
        <x:v>EXP-0028</x:v>
      </x:c>
      <x:c r="B32" s="73" t="n">
        <x:v>46204.5</x:v>
      </x:c>
      <x:c r="C32" s="67" t="str">
        <x:v>S04</x:v>
      </x:c>
      <x:c r="D32" s="67" t="str">
        <x:v>金街美地店</x:v>
      </x:c>
      <x:c r="E32" s="67" t="str">
        <x:v>房租与物业</x:v>
      </x:c>
      <x:c r="F32" s="67" t="str">
        <x:v>固定</x:v>
      </x:c>
      <x:c r="G32" s="97" t="n">
        <x:v>35700</x:v>
      </x:c>
      <x:c r="H32" s="97" t="n">
        <x:v>35700</x:v>
      </x:c>
      <x:c r="I32" s="100" t="n">
        <x:f>H32-G32</x:f>
        <x:v>0</x:v>
      </x:c>
      <x:c r="J32" s="67" t="str">
        <x:v>现金</x:v>
      </x:c>
      <x:c r="K32" s="73" t="n">
        <x:v>46239.5</x:v>
      </x:c>
      <x:c r="L32" s="67" t="str">
        <x:v>S-经营费用假设</x:v>
      </x:c>
      <x:c r="M32" s="67" t="str">
        <x:v>用于月度损益与现金计划</x:v>
      </x:c>
    </x:row>
    <x:row r="33">
      <x:c r="A33" s="67" t="str">
        <x:v>EXP-0029</x:v>
      </x:c>
      <x:c r="B33" s="73" t="n">
        <x:v>46204.5</x:v>
      </x:c>
      <x:c r="C33" s="67" t="str">
        <x:v>S04</x:v>
      </x:c>
      <x:c r="D33" s="67" t="str">
        <x:v>金街美地店</x:v>
      </x:c>
      <x:c r="E33" s="67" t="str">
        <x:v>水电燃气</x:v>
      </x:c>
      <x:c r="F33" s="67" t="str">
        <x:v>半固定</x:v>
      </x:c>
      <x:c r="G33" s="97" t="n">
        <x:v>8670</x:v>
      </x:c>
      <x:c r="H33" s="97" t="n">
        <x:v>8757</x:v>
      </x:c>
      <x:c r="I33" s="100" t="n">
        <x:f>H33-G33</x:f>
        <x:v>87</x:v>
      </x:c>
      <x:c r="J33" s="67" t="str">
        <x:v>现金</x:v>
      </x:c>
      <x:c r="K33" s="73" t="n">
        <x:v>46228.5</x:v>
      </x:c>
      <x:c r="L33" s="67" t="str">
        <x:v>S-经营费用假设</x:v>
      </x:c>
      <x:c r="M33" s="67" t="str">
        <x:v>用于月度损益与现金计划</x:v>
      </x:c>
    </x:row>
    <x:row r="34">
      <x:c r="A34" s="67" t="str">
        <x:v>EXP-0030</x:v>
      </x:c>
      <x:c r="B34" s="73" t="n">
        <x:v>46204.5</x:v>
      </x:c>
      <x:c r="C34" s="67" t="str">
        <x:v>S04</x:v>
      </x:c>
      <x:c r="D34" s="67" t="str">
        <x:v>金街美地店</x:v>
      </x:c>
      <x:c r="E34" s="67" t="str">
        <x:v>固定营销/会员运营</x:v>
      </x:c>
      <x:c r="F34" s="67" t="str">
        <x:v>固定</x:v>
      </x:c>
      <x:c r="G34" s="97" t="n">
        <x:v>5100</x:v>
      </x:c>
      <x:c r="H34" s="97" t="n">
        <x:v>5049</x:v>
      </x:c>
      <x:c r="I34" s="100" t="n">
        <x:f>H34-G34</x:f>
        <x:v>-51</x:v>
      </x:c>
      <x:c r="J34" s="67" t="str">
        <x:v>现金</x:v>
      </x:c>
      <x:c r="K34" s="73" t="n">
        <x:v>46223.5</x:v>
      </x:c>
      <x:c r="L34" s="67" t="str">
        <x:v>S-经营费用假设</x:v>
      </x:c>
      <x:c r="M34" s="67" t="str">
        <x:v>用于月度损益与现金计划</x:v>
      </x:c>
    </x:row>
    <x:row r="35">
      <x:c r="A35" s="67" t="str">
        <x:v>EXP-0031</x:v>
      </x:c>
      <x:c r="B35" s="73" t="n">
        <x:v>46204.5</x:v>
      </x:c>
      <x:c r="C35" s="67" t="str">
        <x:v>S04</x:v>
      </x:c>
      <x:c r="D35" s="67" t="str">
        <x:v>金街美地店</x:v>
      </x:c>
      <x:c r="E35" s="67" t="str">
        <x:v>清洁低耗与办公</x:v>
      </x:c>
      <x:c r="F35" s="67" t="str">
        <x:v>半固定</x:v>
      </x:c>
      <x:c r="G35" s="97" t="n">
        <x:v>3060</x:v>
      </x:c>
      <x:c r="H35" s="97" t="n">
        <x:v>3045</x:v>
      </x:c>
      <x:c r="I35" s="100" t="n">
        <x:f>H35-G35</x:f>
        <x:v>-15</x:v>
      </x:c>
      <x:c r="J35" s="67" t="str">
        <x:v>现金</x:v>
      </x:c>
      <x:c r="K35" s="73" t="n">
        <x:v>46231.5</x:v>
      </x:c>
      <x:c r="L35" s="67" t="str">
        <x:v>S-经营费用假设</x:v>
      </x:c>
      <x:c r="M35" s="67" t="str">
        <x:v>用于月度损益与现金计划</x:v>
      </x:c>
    </x:row>
    <x:row r="36">
      <x:c r="A36" s="67" t="str">
        <x:v>EXP-0032</x:v>
      </x:c>
      <x:c r="B36" s="73" t="n">
        <x:v>46204.5</x:v>
      </x:c>
      <x:c r="C36" s="67" t="str">
        <x:v>S04</x:v>
      </x:c>
      <x:c r="D36" s="67" t="str">
        <x:v>金街美地店</x:v>
      </x:c>
      <x:c r="E36" s="67" t="str">
        <x:v>维修保养</x:v>
      </x:c>
      <x:c r="F36" s="67" t="str">
        <x:v>半固定</x:v>
      </x:c>
      <x:c r="G36" s="97" t="n">
        <x:v>1530</x:v>
      </x:c>
      <x:c r="H36" s="97" t="n">
        <x:v>1530</x:v>
      </x:c>
      <x:c r="I36" s="100" t="n">
        <x:f>H36-G36</x:f>
        <x:v>0</x:v>
      </x:c>
      <x:c r="J36" s="67" t="str">
        <x:v>现金</x:v>
      </x:c>
      <x:c r="K36" s="73" t="n">
        <x:v>46231.5</x:v>
      </x:c>
      <x:c r="L36" s="67" t="str">
        <x:v>S-经营费用假设</x:v>
      </x:c>
      <x:c r="M36" s="67" t="str">
        <x:v>用于月度损益与现金计划</x:v>
      </x:c>
    </x:row>
    <x:row r="37">
      <x:c r="A37" s="67" t="str">
        <x:v>EXP-0033</x:v>
      </x:c>
      <x:c r="B37" s="73" t="n">
        <x:v>46204.5</x:v>
      </x:c>
      <x:c r="C37" s="67" t="str">
        <x:v>S04</x:v>
      </x:c>
      <x:c r="D37" s="67" t="str">
        <x:v>金街美地店</x:v>
      </x:c>
      <x:c r="E37" s="67" t="str">
        <x:v>折旧</x:v>
      </x:c>
      <x:c r="F37" s="67" t="str">
        <x:v>固定</x:v>
      </x:c>
      <x:c r="G37" s="97" t="n">
        <x:v>4080</x:v>
      </x:c>
      <x:c r="H37" s="97" t="n">
        <x:v>4080</x:v>
      </x:c>
      <x:c r="I37" s="100" t="n">
        <x:f>H37-G37</x:f>
        <x:v>0</x:v>
      </x:c>
      <x:c r="J37" s="67" t="str">
        <x:v>非现金</x:v>
      </x:c>
      <x:c r="K37" s="73"/>
      <x:c r="L37" s="67" t="str">
        <x:v>S-经营费用假设</x:v>
      </x:c>
      <x:c r="M37" s="67" t="str">
        <x:v>折旧不进入现金日历</x:v>
      </x:c>
    </x:row>
    <x:row r="38">
      <x:c r="A38" s="67" t="str">
        <x:v>EXP-0034</x:v>
      </x:c>
      <x:c r="B38" s="73" t="n">
        <x:v>46204.5</x:v>
      </x:c>
      <x:c r="C38" s="67" t="str">
        <x:v>S04</x:v>
      </x:c>
      <x:c r="D38" s="67" t="str">
        <x:v>金街美地店</x:v>
      </x:c>
      <x:c r="E38" s="67" t="str">
        <x:v>税费及附加</x:v>
      </x:c>
      <x:c r="F38" s="67" t="str">
        <x:v>半固定</x:v>
      </x:c>
      <x:c r="G38" s="97" t="n">
        <x:v>2040</x:v>
      </x:c>
      <x:c r="H38" s="97" t="n">
        <x:v>2060</x:v>
      </x:c>
      <x:c r="I38" s="100" t="n">
        <x:f>H38-G38</x:f>
        <x:v>20</x:v>
      </x:c>
      <x:c r="J38" s="67" t="str">
        <x:v>现金</x:v>
      </x:c>
      <x:c r="K38" s="73" t="n">
        <x:v>46218.5</x:v>
      </x:c>
      <x:c r="L38" s="67" t="str">
        <x:v>S-经营费用假设</x:v>
      </x:c>
      <x:c r="M38" s="67" t="str">
        <x:v>用于月度损益与现金计划</x:v>
      </x:c>
    </x:row>
    <x:row r="39">
      <x:c r="A39" s="67" t="str">
        <x:v>EXP-0035</x:v>
      </x:c>
      <x:c r="B39" s="73" t="n">
        <x:v>46204.5</x:v>
      </x:c>
      <x:c r="C39" s="67" t="str">
        <x:v>S04</x:v>
      </x:c>
      <x:c r="D39" s="67" t="str">
        <x:v>金街美地店</x:v>
      </x:c>
      <x:c r="E39" s="67" t="str">
        <x:v>总部费用分摊</x:v>
      </x:c>
      <x:c r="F39" s="67" t="str">
        <x:v>固定</x:v>
      </x:c>
      <x:c r="G39" s="97" t="n">
        <x:v>6120</x:v>
      </x:c>
      <x:c r="H39" s="97" t="n">
        <x:v>6059</x:v>
      </x:c>
      <x:c r="I39" s="100" t="n">
        <x:f>H39-G39</x:f>
        <x:v>-61</x:v>
      </x:c>
      <x:c r="J39" s="67" t="str">
        <x:v>现金</x:v>
      </x:c>
      <x:c r="K39" s="73" t="n">
        <x:v>46234.5</x:v>
      </x:c>
      <x:c r="L39" s="67" t="str">
        <x:v>S-经营费用假设</x:v>
      </x:c>
      <x:c r="M39" s="67" t="str">
        <x:v>用于月度损益与现金计划</x:v>
      </x:c>
    </x:row>
    <x:row r="40">
      <x:c r="A40" s="67" t="str">
        <x:v>EXP-0036</x:v>
      </x:c>
      <x:c r="B40" s="73" t="n">
        <x:v>46204.5</x:v>
      </x:c>
      <x:c r="C40" s="67" t="str">
        <x:v>S04</x:v>
      </x:c>
      <x:c r="D40" s="67" t="str">
        <x:v>金街美地店</x:v>
      </x:c>
      <x:c r="E40" s="67" t="str">
        <x:v>其他费用</x:v>
      </x:c>
      <x:c r="F40" s="67" t="str">
        <x:v>半固定</x:v>
      </x:c>
      <x:c r="G40" s="97" t="n">
        <x:v>2040</x:v>
      </x:c>
      <x:c r="H40" s="97" t="n">
        <x:v>2030</x:v>
      </x:c>
      <x:c r="I40" s="100" t="n">
        <x:f>H40-G40</x:f>
        <x:v>-10</x:v>
      </x:c>
      <x:c r="J40" s="67" t="str">
        <x:v>现金</x:v>
      </x:c>
      <x:c r="K40" s="73" t="n">
        <x:v>46233.5</x:v>
      </x:c>
      <x:c r="L40" s="67" t="str">
        <x:v>S-经营费用假设</x:v>
      </x:c>
      <x:c r="M40" s="67" t="str">
        <x:v>用于月度损益与现金计划</x:v>
      </x:c>
    </x:row>
    <x:row r="41">
      <x:c r="A41" s="67" t="str">
        <x:v>EXP-0037</x:v>
      </x:c>
      <x:c r="B41" s="73" t="n">
        <x:v>46204.5</x:v>
      </x:c>
      <x:c r="C41" s="67" t="str">
        <x:v>S05</x:v>
      </x:c>
      <x:c r="D41" s="67" t="str">
        <x:v>同顺街店</x:v>
      </x:c>
      <x:c r="E41" s="67" t="str">
        <x:v>房租与物业</x:v>
      </x:c>
      <x:c r="F41" s="67" t="str">
        <x:v>固定</x:v>
      </x:c>
      <x:c r="G41" s="97" t="n">
        <x:v>34720</x:v>
      </x:c>
      <x:c r="H41" s="97" t="n">
        <x:v>34720</x:v>
      </x:c>
      <x:c r="I41" s="100" t="n">
        <x:f>H41-G41</x:f>
        <x:v>0</x:v>
      </x:c>
      <x:c r="J41" s="67" t="str">
        <x:v>现金</x:v>
      </x:c>
      <x:c r="K41" s="73" t="n">
        <x:v>46239.5</x:v>
      </x:c>
      <x:c r="L41" s="67" t="str">
        <x:v>S-经营费用假设</x:v>
      </x:c>
      <x:c r="M41" s="67" t="str">
        <x:v>用于月度损益与现金计划</x:v>
      </x:c>
    </x:row>
    <x:row r="42">
      <x:c r="A42" s="67" t="str">
        <x:v>EXP-0038</x:v>
      </x:c>
      <x:c r="B42" s="73" t="n">
        <x:v>46204.5</x:v>
      </x:c>
      <x:c r="C42" s="67" t="str">
        <x:v>S05</x:v>
      </x:c>
      <x:c r="D42" s="67" t="str">
        <x:v>同顺街店</x:v>
      </x:c>
      <x:c r="E42" s="67" t="str">
        <x:v>水电燃气</x:v>
      </x:c>
      <x:c r="F42" s="67" t="str">
        <x:v>半固定</x:v>
      </x:c>
      <x:c r="G42" s="97" t="n">
        <x:v>8432</x:v>
      </x:c>
      <x:c r="H42" s="97" t="n">
        <x:v>8348</x:v>
      </x:c>
      <x:c r="I42" s="100" t="n">
        <x:f>H42-G42</x:f>
        <x:v>-84</x:v>
      </x:c>
      <x:c r="J42" s="67" t="str">
        <x:v>现金</x:v>
      </x:c>
      <x:c r="K42" s="73" t="n">
        <x:v>46228.5</x:v>
      </x:c>
      <x:c r="L42" s="67" t="str">
        <x:v>S-经营费用假设</x:v>
      </x:c>
      <x:c r="M42" s="67" t="str">
        <x:v>用于月度损益与现金计划</x:v>
      </x:c>
    </x:row>
    <x:row r="43">
      <x:c r="A43" s="67" t="str">
        <x:v>EXP-0039</x:v>
      </x:c>
      <x:c r="B43" s="73" t="n">
        <x:v>46204.5</x:v>
      </x:c>
      <x:c r="C43" s="67" t="str">
        <x:v>S05</x:v>
      </x:c>
      <x:c r="D43" s="67" t="str">
        <x:v>同顺街店</x:v>
      </x:c>
      <x:c r="E43" s="67" t="str">
        <x:v>固定营销/会员运营</x:v>
      </x:c>
      <x:c r="F43" s="67" t="str">
        <x:v>固定</x:v>
      </x:c>
      <x:c r="G43" s="97" t="n">
        <x:v>4960</x:v>
      </x:c>
      <x:c r="H43" s="97" t="n">
        <x:v>4935</x:v>
      </x:c>
      <x:c r="I43" s="100" t="n">
        <x:f>H43-G43</x:f>
        <x:v>-25</x:v>
      </x:c>
      <x:c r="J43" s="67" t="str">
        <x:v>现金</x:v>
      </x:c>
      <x:c r="K43" s="73" t="n">
        <x:v>46223.5</x:v>
      </x:c>
      <x:c r="L43" s="67" t="str">
        <x:v>S-经营费用假设</x:v>
      </x:c>
      <x:c r="M43" s="67" t="str">
        <x:v>用于月度损益与现金计划</x:v>
      </x:c>
    </x:row>
    <x:row r="44">
      <x:c r="A44" s="67" t="str">
        <x:v>EXP-0040</x:v>
      </x:c>
      <x:c r="B44" s="73" t="n">
        <x:v>46204.5</x:v>
      </x:c>
      <x:c r="C44" s="67" t="str">
        <x:v>S05</x:v>
      </x:c>
      <x:c r="D44" s="67" t="str">
        <x:v>同顺街店</x:v>
      </x:c>
      <x:c r="E44" s="67" t="str">
        <x:v>清洁低耗与办公</x:v>
      </x:c>
      <x:c r="F44" s="67" t="str">
        <x:v>半固定</x:v>
      </x:c>
      <x:c r="G44" s="97" t="n">
        <x:v>2976</x:v>
      </x:c>
      <x:c r="H44" s="97" t="n">
        <x:v>2976</x:v>
      </x:c>
      <x:c r="I44" s="100" t="n">
        <x:f>H44-G44</x:f>
        <x:v>0</x:v>
      </x:c>
      <x:c r="J44" s="67" t="str">
        <x:v>现金</x:v>
      </x:c>
      <x:c r="K44" s="73" t="n">
        <x:v>46231.5</x:v>
      </x:c>
      <x:c r="L44" s="67" t="str">
        <x:v>S-经营费用假设</x:v>
      </x:c>
      <x:c r="M44" s="67" t="str">
        <x:v>用于月度损益与现金计划</x:v>
      </x:c>
    </x:row>
    <x:row r="45">
      <x:c r="A45" s="67" t="str">
        <x:v>EXP-0041</x:v>
      </x:c>
      <x:c r="B45" s="73" t="n">
        <x:v>46204.5</x:v>
      </x:c>
      <x:c r="C45" s="67" t="str">
        <x:v>S05</x:v>
      </x:c>
      <x:c r="D45" s="67" t="str">
        <x:v>同顺街店</x:v>
      </x:c>
      <x:c r="E45" s="67" t="str">
        <x:v>维修保养</x:v>
      </x:c>
      <x:c r="F45" s="67" t="str">
        <x:v>半固定</x:v>
      </x:c>
      <x:c r="G45" s="97" t="n">
        <x:v>1488</x:v>
      </x:c>
      <x:c r="H45" s="97" t="n">
        <x:v>1495</x:v>
      </x:c>
      <x:c r="I45" s="100" t="n">
        <x:f>H45-G45</x:f>
        <x:v>7</x:v>
      </x:c>
      <x:c r="J45" s="67" t="str">
        <x:v>现金</x:v>
      </x:c>
      <x:c r="K45" s="73" t="n">
        <x:v>46231.5</x:v>
      </x:c>
      <x:c r="L45" s="67" t="str">
        <x:v>S-经营费用假设</x:v>
      </x:c>
      <x:c r="M45" s="67" t="str">
        <x:v>用于月度损益与现金计划</x:v>
      </x:c>
    </x:row>
    <x:row r="46">
      <x:c r="A46" s="67" t="str">
        <x:v>EXP-0042</x:v>
      </x:c>
      <x:c r="B46" s="73" t="n">
        <x:v>46204.5</x:v>
      </x:c>
      <x:c r="C46" s="67" t="str">
        <x:v>S05</x:v>
      </x:c>
      <x:c r="D46" s="67" t="str">
        <x:v>同顺街店</x:v>
      </x:c>
      <x:c r="E46" s="67" t="str">
        <x:v>折旧</x:v>
      </x:c>
      <x:c r="F46" s="67" t="str">
        <x:v>固定</x:v>
      </x:c>
      <x:c r="G46" s="97" t="n">
        <x:v>3968</x:v>
      </x:c>
      <x:c r="H46" s="97" t="n">
        <x:v>3968</x:v>
      </x:c>
      <x:c r="I46" s="100" t="n">
        <x:f>H46-G46</x:f>
        <x:v>0</x:v>
      </x:c>
      <x:c r="J46" s="67" t="str">
        <x:v>非现金</x:v>
      </x:c>
      <x:c r="K46" s="73"/>
      <x:c r="L46" s="67" t="str">
        <x:v>S-经营费用假设</x:v>
      </x:c>
      <x:c r="M46" s="67" t="str">
        <x:v>折旧不进入现金日历</x:v>
      </x:c>
    </x:row>
    <x:row r="47">
      <x:c r="A47" s="67" t="str">
        <x:v>EXP-0043</x:v>
      </x:c>
      <x:c r="B47" s="73" t="n">
        <x:v>46204.5</x:v>
      </x:c>
      <x:c r="C47" s="67" t="str">
        <x:v>S05</x:v>
      </x:c>
      <x:c r="D47" s="67" t="str">
        <x:v>同顺街店</x:v>
      </x:c>
      <x:c r="E47" s="67" t="str">
        <x:v>税费及附加</x:v>
      </x:c>
      <x:c r="F47" s="67" t="str">
        <x:v>半固定</x:v>
      </x:c>
      <x:c r="G47" s="97" t="n">
        <x:v>1984</x:v>
      </x:c>
      <x:c r="H47" s="97" t="n">
        <x:v>1964</x:v>
      </x:c>
      <x:c r="I47" s="100" t="n">
        <x:f>H47-G47</x:f>
        <x:v>-20</x:v>
      </x:c>
      <x:c r="J47" s="67" t="str">
        <x:v>现金</x:v>
      </x:c>
      <x:c r="K47" s="73" t="n">
        <x:v>46218.5</x:v>
      </x:c>
      <x:c r="L47" s="67" t="str">
        <x:v>S-经营费用假设</x:v>
      </x:c>
      <x:c r="M47" s="67" t="str">
        <x:v>用于月度损益与现金计划</x:v>
      </x:c>
    </x:row>
    <x:row r="48">
      <x:c r="A48" s="67" t="str">
        <x:v>EXP-0044</x:v>
      </x:c>
      <x:c r="B48" s="73" t="n">
        <x:v>46204.5</x:v>
      </x:c>
      <x:c r="C48" s="67" t="str">
        <x:v>S05</x:v>
      </x:c>
      <x:c r="D48" s="67" t="str">
        <x:v>同顺街店</x:v>
      </x:c>
      <x:c r="E48" s="67" t="str">
        <x:v>总部费用分摊</x:v>
      </x:c>
      <x:c r="F48" s="67" t="str">
        <x:v>固定</x:v>
      </x:c>
      <x:c r="G48" s="97" t="n">
        <x:v>5952</x:v>
      </x:c>
      <x:c r="H48" s="97" t="n">
        <x:v>5922</x:v>
      </x:c>
      <x:c r="I48" s="100" t="n">
        <x:f>H48-G48</x:f>
        <x:v>-30</x:v>
      </x:c>
      <x:c r="J48" s="67" t="str">
        <x:v>现金</x:v>
      </x:c>
      <x:c r="K48" s="73" t="n">
        <x:v>46234.5</x:v>
      </x:c>
      <x:c r="L48" s="67" t="str">
        <x:v>S-经营费用假设</x:v>
      </x:c>
      <x:c r="M48" s="67" t="str">
        <x:v>用于月度损益与现金计划</x:v>
      </x:c>
    </x:row>
    <x:row r="49">
      <x:c r="A49" s="67" t="str">
        <x:v>EXP-0045</x:v>
      </x:c>
      <x:c r="B49" s="73" t="n">
        <x:v>46204.5</x:v>
      </x:c>
      <x:c r="C49" s="67" t="str">
        <x:v>S05</x:v>
      </x:c>
      <x:c r="D49" s="67" t="str">
        <x:v>同顺街店</x:v>
      </x:c>
      <x:c r="E49" s="67" t="str">
        <x:v>其他费用</x:v>
      </x:c>
      <x:c r="F49" s="67" t="str">
        <x:v>半固定</x:v>
      </x:c>
      <x:c r="G49" s="97" t="n">
        <x:v>1984</x:v>
      </x:c>
      <x:c r="H49" s="97" t="n">
        <x:v>1984</x:v>
      </x:c>
      <x:c r="I49" s="100" t="n">
        <x:f>H49-G49</x:f>
        <x:v>0</x:v>
      </x:c>
      <x:c r="J49" s="67" t="str">
        <x:v>现金</x:v>
      </x:c>
      <x:c r="K49" s="73" t="n">
        <x:v>46233.5</x:v>
      </x:c>
      <x:c r="L49" s="67" t="str">
        <x:v>S-经营费用假设</x:v>
      </x:c>
      <x:c r="M49" s="67" t="str">
        <x:v>用于月度损益与现金计划</x:v>
      </x:c>
    </x:row>
    <x:row r="50">
      <x:c r="A50" s="67" t="str">
        <x:v>EXP-0046</x:v>
      </x:c>
      <x:c r="B50" s="73" t="n">
        <x:v>46204.5</x:v>
      </x:c>
      <x:c r="C50" s="67" t="str">
        <x:v>S06</x:v>
      </x:c>
      <x:c r="D50" s="67" t="str">
        <x:v>蓝钻天城店</x:v>
      </x:c>
      <x:c r="E50" s="67" t="str">
        <x:v>房租与物业</x:v>
      </x:c>
      <x:c r="F50" s="67" t="str">
        <x:v>固定</x:v>
      </x:c>
      <x:c r="G50" s="97" t="n">
        <x:v>33600</x:v>
      </x:c>
      <x:c r="H50" s="97" t="n">
        <x:v>33600</x:v>
      </x:c>
      <x:c r="I50" s="100" t="n">
        <x:f>H50-G50</x:f>
        <x:v>0</x:v>
      </x:c>
      <x:c r="J50" s="67" t="str">
        <x:v>现金</x:v>
      </x:c>
      <x:c r="K50" s="73" t="n">
        <x:v>46239.5</x:v>
      </x:c>
      <x:c r="L50" s="67" t="str">
        <x:v>S-经营费用假设</x:v>
      </x:c>
      <x:c r="M50" s="67" t="str">
        <x:v>用于月度损益与现金计划</x:v>
      </x:c>
    </x:row>
    <x:row r="51">
      <x:c r="A51" s="67" t="str">
        <x:v>EXP-0047</x:v>
      </x:c>
      <x:c r="B51" s="73" t="n">
        <x:v>46204.5</x:v>
      </x:c>
      <x:c r="C51" s="67" t="str">
        <x:v>S06</x:v>
      </x:c>
      <x:c r="D51" s="67" t="str">
        <x:v>蓝钻天城店</x:v>
      </x:c>
      <x:c r="E51" s="67" t="str">
        <x:v>水电燃气</x:v>
      </x:c>
      <x:c r="F51" s="67" t="str">
        <x:v>半固定</x:v>
      </x:c>
      <x:c r="G51" s="97" t="n">
        <x:v>8160</x:v>
      </x:c>
      <x:c r="H51" s="97" t="n">
        <x:v>8119</x:v>
      </x:c>
      <x:c r="I51" s="100" t="n">
        <x:f>H51-G51</x:f>
        <x:v>-41</x:v>
      </x:c>
      <x:c r="J51" s="67" t="str">
        <x:v>现金</x:v>
      </x:c>
      <x:c r="K51" s="73" t="n">
        <x:v>46228.5</x:v>
      </x:c>
      <x:c r="L51" s="67" t="str">
        <x:v>S-经营费用假设</x:v>
      </x:c>
      <x:c r="M51" s="67" t="str">
        <x:v>用于月度损益与现金计划</x:v>
      </x:c>
    </x:row>
    <x:row r="52">
      <x:c r="A52" s="67" t="str">
        <x:v>EXP-0048</x:v>
      </x:c>
      <x:c r="B52" s="73" t="n">
        <x:v>46204.5</x:v>
      </x:c>
      <x:c r="C52" s="67" t="str">
        <x:v>S06</x:v>
      </x:c>
      <x:c r="D52" s="67" t="str">
        <x:v>蓝钻天城店</x:v>
      </x:c>
      <x:c r="E52" s="67" t="str">
        <x:v>固定营销/会员运营</x:v>
      </x:c>
      <x:c r="F52" s="67" t="str">
        <x:v>固定</x:v>
      </x:c>
      <x:c r="G52" s="97" t="n">
        <x:v>4800</x:v>
      </x:c>
      <x:c r="H52" s="97" t="n">
        <x:v>4800</x:v>
      </x:c>
      <x:c r="I52" s="100" t="n">
        <x:f>H52-G52</x:f>
        <x:v>0</x:v>
      </x:c>
      <x:c r="J52" s="67" t="str">
        <x:v>现金</x:v>
      </x:c>
      <x:c r="K52" s="73" t="n">
        <x:v>46223.5</x:v>
      </x:c>
      <x:c r="L52" s="67" t="str">
        <x:v>S-经营费用假设</x:v>
      </x:c>
      <x:c r="M52" s="67" t="str">
        <x:v>用于月度损益与现金计划</x:v>
      </x:c>
    </x:row>
    <x:row r="53">
      <x:c r="A53" s="67" t="str">
        <x:v>EXP-0049</x:v>
      </x:c>
      <x:c r="B53" s="73" t="n">
        <x:v>46204.5</x:v>
      </x:c>
      <x:c r="C53" s="67" t="str">
        <x:v>S06</x:v>
      </x:c>
      <x:c r="D53" s="67" t="str">
        <x:v>蓝钻天城店</x:v>
      </x:c>
      <x:c r="E53" s="67" t="str">
        <x:v>清洁低耗与办公</x:v>
      </x:c>
      <x:c r="F53" s="67" t="str">
        <x:v>半固定</x:v>
      </x:c>
      <x:c r="G53" s="97" t="n">
        <x:v>2880</x:v>
      </x:c>
      <x:c r="H53" s="97" t="n">
        <x:v>2894</x:v>
      </x:c>
      <x:c r="I53" s="100" t="n">
        <x:f>H53-G53</x:f>
        <x:v>14</x:v>
      </x:c>
      <x:c r="J53" s="67" t="str">
        <x:v>现金</x:v>
      </x:c>
      <x:c r="K53" s="73" t="n">
        <x:v>46231.5</x:v>
      </x:c>
      <x:c r="L53" s="67" t="str">
        <x:v>S-经营费用假设</x:v>
      </x:c>
      <x:c r="M53" s="67" t="str">
        <x:v>用于月度损益与现金计划</x:v>
      </x:c>
    </x:row>
    <x:row r="54">
      <x:c r="A54" s="67" t="str">
        <x:v>EXP-0050</x:v>
      </x:c>
      <x:c r="B54" s="73" t="n">
        <x:v>46204.5</x:v>
      </x:c>
      <x:c r="C54" s="67" t="str">
        <x:v>S06</x:v>
      </x:c>
      <x:c r="D54" s="67" t="str">
        <x:v>蓝钻天城店</x:v>
      </x:c>
      <x:c r="E54" s="67" t="str">
        <x:v>维修保养</x:v>
      </x:c>
      <x:c r="F54" s="67" t="str">
        <x:v>半固定</x:v>
      </x:c>
      <x:c r="G54" s="97" t="n">
        <x:v>1440</x:v>
      </x:c>
      <x:c r="H54" s="97" t="n">
        <x:v>1454</x:v>
      </x:c>
      <x:c r="I54" s="100" t="n">
        <x:f>H54-G54</x:f>
        <x:v>14</x:v>
      </x:c>
      <x:c r="J54" s="67" t="str">
        <x:v>现金</x:v>
      </x:c>
      <x:c r="K54" s="73" t="n">
        <x:v>46231.5</x:v>
      </x:c>
      <x:c r="L54" s="67" t="str">
        <x:v>S-经营费用假设</x:v>
      </x:c>
      <x:c r="M54" s="67" t="str">
        <x:v>用于月度损益与现金计划</x:v>
      </x:c>
    </x:row>
    <x:row r="55">
      <x:c r="A55" s="67" t="str">
        <x:v>EXP-0051</x:v>
      </x:c>
      <x:c r="B55" s="73" t="n">
        <x:v>46204.5</x:v>
      </x:c>
      <x:c r="C55" s="67" t="str">
        <x:v>S06</x:v>
      </x:c>
      <x:c r="D55" s="67" t="str">
        <x:v>蓝钻天城店</x:v>
      </x:c>
      <x:c r="E55" s="67" t="str">
        <x:v>折旧</x:v>
      </x:c>
      <x:c r="F55" s="67" t="str">
        <x:v>固定</x:v>
      </x:c>
      <x:c r="G55" s="97" t="n">
        <x:v>3840</x:v>
      </x:c>
      <x:c r="H55" s="97" t="n">
        <x:v>3840</x:v>
      </x:c>
      <x:c r="I55" s="100" t="n">
        <x:f>H55-G55</x:f>
        <x:v>0</x:v>
      </x:c>
      <x:c r="J55" s="67" t="str">
        <x:v>非现金</x:v>
      </x:c>
      <x:c r="K55" s="73"/>
      <x:c r="L55" s="67" t="str">
        <x:v>S-经营费用假设</x:v>
      </x:c>
      <x:c r="M55" s="67" t="str">
        <x:v>折旧不进入现金日历</x:v>
      </x:c>
    </x:row>
    <x:row r="56">
      <x:c r="A56" s="67" t="str">
        <x:v>EXP-0052</x:v>
      </x:c>
      <x:c r="B56" s="73" t="n">
        <x:v>46204.5</x:v>
      </x:c>
      <x:c r="C56" s="67" t="str">
        <x:v>S06</x:v>
      </x:c>
      <x:c r="D56" s="67" t="str">
        <x:v>蓝钻天城店</x:v>
      </x:c>
      <x:c r="E56" s="67" t="str">
        <x:v>税费及附加</x:v>
      </x:c>
      <x:c r="F56" s="67" t="str">
        <x:v>半固定</x:v>
      </x:c>
      <x:c r="G56" s="97" t="n">
        <x:v>1920</x:v>
      </x:c>
      <x:c r="H56" s="97" t="n">
        <x:v>1910</x:v>
      </x:c>
      <x:c r="I56" s="100" t="n">
        <x:f>H56-G56</x:f>
        <x:v>-10</x:v>
      </x:c>
      <x:c r="J56" s="67" t="str">
        <x:v>现金</x:v>
      </x:c>
      <x:c r="K56" s="73" t="n">
        <x:v>46218.5</x:v>
      </x:c>
      <x:c r="L56" s="67" t="str">
        <x:v>S-经营费用假设</x:v>
      </x:c>
      <x:c r="M56" s="67" t="str">
        <x:v>用于月度损益与现金计划</x:v>
      </x:c>
    </x:row>
    <x:row r="57">
      <x:c r="A57" s="67" t="str">
        <x:v>EXP-0053</x:v>
      </x:c>
      <x:c r="B57" s="73" t="n">
        <x:v>46204.5</x:v>
      </x:c>
      <x:c r="C57" s="67" t="str">
        <x:v>S06</x:v>
      </x:c>
      <x:c r="D57" s="67" t="str">
        <x:v>蓝钻天城店</x:v>
      </x:c>
      <x:c r="E57" s="67" t="str">
        <x:v>总部费用分摊</x:v>
      </x:c>
      <x:c r="F57" s="67" t="str">
        <x:v>固定</x:v>
      </x:c>
      <x:c r="G57" s="97" t="n">
        <x:v>5760</x:v>
      </x:c>
      <x:c r="H57" s="97" t="n">
        <x:v>5760</x:v>
      </x:c>
      <x:c r="I57" s="100" t="n">
        <x:f>H57-G57</x:f>
        <x:v>0</x:v>
      </x:c>
      <x:c r="J57" s="67" t="str">
        <x:v>现金</x:v>
      </x:c>
      <x:c r="K57" s="73" t="n">
        <x:v>46234.5</x:v>
      </x:c>
      <x:c r="L57" s="67" t="str">
        <x:v>S-经营费用假设</x:v>
      </x:c>
      <x:c r="M57" s="67" t="str">
        <x:v>用于月度损益与现金计划</x:v>
      </x:c>
    </x:row>
    <x:row r="58">
      <x:c r="A58" s="67" t="str">
        <x:v>EXP-0054</x:v>
      </x:c>
      <x:c r="B58" s="73" t="n">
        <x:v>46204.5</x:v>
      </x:c>
      <x:c r="C58" s="67" t="str">
        <x:v>S06</x:v>
      </x:c>
      <x:c r="D58" s="67" t="str">
        <x:v>蓝钻天城店</x:v>
      </x:c>
      <x:c r="E58" s="67" t="str">
        <x:v>其他费用</x:v>
      </x:c>
      <x:c r="F58" s="67" t="str">
        <x:v>半固定</x:v>
      </x:c>
      <x:c r="G58" s="97" t="n">
        <x:v>1920</x:v>
      </x:c>
      <x:c r="H58" s="97" t="n">
        <x:v>1930</x:v>
      </x:c>
      <x:c r="I58" s="100" t="n">
        <x:f>H58-G58</x:f>
        <x:v>10</x:v>
      </x:c>
      <x:c r="J58" s="67" t="str">
        <x:v>现金</x:v>
      </x:c>
      <x:c r="K58" s="73" t="n">
        <x:v>46233.5</x:v>
      </x:c>
      <x:c r="L58" s="67" t="str">
        <x:v>S-经营费用假设</x:v>
      </x:c>
      <x:c r="M58" s="67" t="str">
        <x:v>用于月度损益与现金计划</x:v>
      </x:c>
    </x:row>
    <x:row r="59">
      <x:c r="A59" s="67" t="str">
        <x:v>EXP-0055</x:v>
      </x:c>
      <x:c r="B59" s="73" t="n">
        <x:v>46204.5</x:v>
      </x:c>
      <x:c r="C59" s="67" t="str">
        <x:v>S07</x:v>
      </x:c>
      <x:c r="D59" s="67" t="str">
        <x:v>小和山店</x:v>
      </x:c>
      <x:c r="E59" s="67" t="str">
        <x:v>房租与物业</x:v>
      </x:c>
      <x:c r="F59" s="67" t="str">
        <x:v>固定</x:v>
      </x:c>
      <x:c r="G59" s="97" t="n">
        <x:v>32200</x:v>
      </x:c>
      <x:c r="H59" s="97" t="n">
        <x:v>32200</x:v>
      </x:c>
      <x:c r="I59" s="100" t="n">
        <x:f>H59-G59</x:f>
        <x:v>0</x:v>
      </x:c>
      <x:c r="J59" s="67" t="str">
        <x:v>现金</x:v>
      </x:c>
      <x:c r="K59" s="73" t="n">
        <x:v>46239.5</x:v>
      </x:c>
      <x:c r="L59" s="67" t="str">
        <x:v>S-经营费用假设</x:v>
      </x:c>
      <x:c r="M59" s="67" t="str">
        <x:v>用于月度损益与现金计划</x:v>
      </x:c>
    </x:row>
    <x:row r="60">
      <x:c r="A60" s="67" t="str">
        <x:v>EXP-0056</x:v>
      </x:c>
      <x:c r="B60" s="73" t="n">
        <x:v>46204.5</x:v>
      </x:c>
      <x:c r="C60" s="67" t="str">
        <x:v>S07</x:v>
      </x:c>
      <x:c r="D60" s="67" t="str">
        <x:v>小和山店</x:v>
      </x:c>
      <x:c r="E60" s="67" t="str">
        <x:v>水电燃气</x:v>
      </x:c>
      <x:c r="F60" s="67" t="str">
        <x:v>半固定</x:v>
      </x:c>
      <x:c r="G60" s="97" t="n">
        <x:v>7820</x:v>
      </x:c>
      <x:c r="H60" s="97" t="n">
        <x:v>7820</x:v>
      </x:c>
      <x:c r="I60" s="100" t="n">
        <x:f>H60-G60</x:f>
        <x:v>0</x:v>
      </x:c>
      <x:c r="J60" s="67" t="str">
        <x:v>现金</x:v>
      </x:c>
      <x:c r="K60" s="73" t="n">
        <x:v>46228.5</x:v>
      </x:c>
      <x:c r="L60" s="67" t="str">
        <x:v>S-经营费用假设</x:v>
      </x:c>
      <x:c r="M60" s="67" t="str">
        <x:v>用于月度损益与现金计划</x:v>
      </x:c>
    </x:row>
    <x:row r="61">
      <x:c r="A61" s="67" t="str">
        <x:v>EXP-0057</x:v>
      </x:c>
      <x:c r="B61" s="73" t="n">
        <x:v>46204.5</x:v>
      </x:c>
      <x:c r="C61" s="67" t="str">
        <x:v>S07</x:v>
      </x:c>
      <x:c r="D61" s="67" t="str">
        <x:v>小和山店</x:v>
      </x:c>
      <x:c r="E61" s="67" t="str">
        <x:v>固定营销/会员运营</x:v>
      </x:c>
      <x:c r="F61" s="67" t="str">
        <x:v>固定</x:v>
      </x:c>
      <x:c r="G61" s="97" t="n">
        <x:v>4600</x:v>
      </x:c>
      <x:c r="H61" s="97" t="n">
        <x:v>4623</x:v>
      </x:c>
      <x:c r="I61" s="100" t="n">
        <x:f>H61-G61</x:f>
        <x:v>23</x:v>
      </x:c>
      <x:c r="J61" s="67" t="str">
        <x:v>现金</x:v>
      </x:c>
      <x:c r="K61" s="73" t="n">
        <x:v>46223.5</x:v>
      </x:c>
      <x:c r="L61" s="67" t="str">
        <x:v>S-经营费用假设</x:v>
      </x:c>
      <x:c r="M61" s="67" t="str">
        <x:v>用于月度损益与现金计划</x:v>
      </x:c>
    </x:row>
    <x:row r="62">
      <x:c r="A62" s="67" t="str">
        <x:v>EXP-0058</x:v>
      </x:c>
      <x:c r="B62" s="73" t="n">
        <x:v>46204.5</x:v>
      </x:c>
      <x:c r="C62" s="67" t="str">
        <x:v>S07</x:v>
      </x:c>
      <x:c r="D62" s="67" t="str">
        <x:v>小和山店</x:v>
      </x:c>
      <x:c r="E62" s="67" t="str">
        <x:v>清洁低耗与办公</x:v>
      </x:c>
      <x:c r="F62" s="67" t="str">
        <x:v>半固定</x:v>
      </x:c>
      <x:c r="G62" s="97" t="n">
        <x:v>2760</x:v>
      </x:c>
      <x:c r="H62" s="97" t="n">
        <x:v>2788</x:v>
      </x:c>
      <x:c r="I62" s="100" t="n">
        <x:f>H62-G62</x:f>
        <x:v>28</x:v>
      </x:c>
      <x:c r="J62" s="67" t="str">
        <x:v>现金</x:v>
      </x:c>
      <x:c r="K62" s="73" t="n">
        <x:v>46231.5</x:v>
      </x:c>
      <x:c r="L62" s="67" t="str">
        <x:v>S-经营费用假设</x:v>
      </x:c>
      <x:c r="M62" s="67" t="str">
        <x:v>用于月度损益与现金计划</x:v>
      </x:c>
    </x:row>
    <x:row r="63">
      <x:c r="A63" s="67" t="str">
        <x:v>EXP-0059</x:v>
      </x:c>
      <x:c r="B63" s="73" t="n">
        <x:v>46204.5</x:v>
      </x:c>
      <x:c r="C63" s="67" t="str">
        <x:v>S07</x:v>
      </x:c>
      <x:c r="D63" s="67" t="str">
        <x:v>小和山店</x:v>
      </x:c>
      <x:c r="E63" s="67" t="str">
        <x:v>维修保养</x:v>
      </x:c>
      <x:c r="F63" s="67" t="str">
        <x:v>半固定</x:v>
      </x:c>
      <x:c r="G63" s="97" t="n">
        <x:v>1380</x:v>
      </x:c>
      <x:c r="H63" s="97" t="n">
        <x:v>1366</x:v>
      </x:c>
      <x:c r="I63" s="100" t="n">
        <x:f>H63-G63</x:f>
        <x:v>-14</x:v>
      </x:c>
      <x:c r="J63" s="67" t="str">
        <x:v>现金</x:v>
      </x:c>
      <x:c r="K63" s="73" t="n">
        <x:v>46231.5</x:v>
      </x:c>
      <x:c r="L63" s="67" t="str">
        <x:v>S-经营费用假设</x:v>
      </x:c>
      <x:c r="M63" s="67" t="str">
        <x:v>用于月度损益与现金计划</x:v>
      </x:c>
    </x:row>
    <x:row r="64">
      <x:c r="A64" s="67" t="str">
        <x:v>EXP-0060</x:v>
      </x:c>
      <x:c r="B64" s="73" t="n">
        <x:v>46204.5</x:v>
      </x:c>
      <x:c r="C64" s="67" t="str">
        <x:v>S07</x:v>
      </x:c>
      <x:c r="D64" s="67" t="str">
        <x:v>小和山店</x:v>
      </x:c>
      <x:c r="E64" s="67" t="str">
        <x:v>折旧</x:v>
      </x:c>
      <x:c r="F64" s="67" t="str">
        <x:v>固定</x:v>
      </x:c>
      <x:c r="G64" s="97" t="n">
        <x:v>3680</x:v>
      </x:c>
      <x:c r="H64" s="97" t="n">
        <x:v>3680</x:v>
      </x:c>
      <x:c r="I64" s="100" t="n">
        <x:f>H64-G64</x:f>
        <x:v>0</x:v>
      </x:c>
      <x:c r="J64" s="67" t="str">
        <x:v>非现金</x:v>
      </x:c>
      <x:c r="K64" s="73"/>
      <x:c r="L64" s="67" t="str">
        <x:v>S-经营费用假设</x:v>
      </x:c>
      <x:c r="M64" s="67" t="str">
        <x:v>折旧不进入现金日历</x:v>
      </x:c>
    </x:row>
    <x:row r="65">
      <x:c r="A65" s="67" t="str">
        <x:v>EXP-0061</x:v>
      </x:c>
      <x:c r="B65" s="73" t="n">
        <x:v>46204.5</x:v>
      </x:c>
      <x:c r="C65" s="67" t="str">
        <x:v>S07</x:v>
      </x:c>
      <x:c r="D65" s="67" t="str">
        <x:v>小和山店</x:v>
      </x:c>
      <x:c r="E65" s="67" t="str">
        <x:v>税费及附加</x:v>
      </x:c>
      <x:c r="F65" s="67" t="str">
        <x:v>半固定</x:v>
      </x:c>
      <x:c r="G65" s="97" t="n">
        <x:v>1840</x:v>
      </x:c>
      <x:c r="H65" s="97" t="n">
        <x:v>1840</x:v>
      </x:c>
      <x:c r="I65" s="100" t="n">
        <x:f>H65-G65</x:f>
        <x:v>0</x:v>
      </x:c>
      <x:c r="J65" s="67" t="str">
        <x:v>现金</x:v>
      </x:c>
      <x:c r="K65" s="73" t="n">
        <x:v>46218.5</x:v>
      </x:c>
      <x:c r="L65" s="67" t="str">
        <x:v>S-经营费用假设</x:v>
      </x:c>
      <x:c r="M65" s="67" t="str">
        <x:v>用于月度损益与现金计划</x:v>
      </x:c>
    </x:row>
    <x:row r="66">
      <x:c r="A66" s="67" t="str">
        <x:v>EXP-0062</x:v>
      </x:c>
      <x:c r="B66" s="73" t="n">
        <x:v>46204.5</x:v>
      </x:c>
      <x:c r="C66" s="67" t="str">
        <x:v>S07</x:v>
      </x:c>
      <x:c r="D66" s="67" t="str">
        <x:v>小和山店</x:v>
      </x:c>
      <x:c r="E66" s="67" t="str">
        <x:v>总部费用分摊</x:v>
      </x:c>
      <x:c r="F66" s="67" t="str">
        <x:v>固定</x:v>
      </x:c>
      <x:c r="G66" s="97" t="n">
        <x:v>5520</x:v>
      </x:c>
      <x:c r="H66" s="97" t="n">
        <x:v>5548</x:v>
      </x:c>
      <x:c r="I66" s="100" t="n">
        <x:f>H66-G66</x:f>
        <x:v>28</x:v>
      </x:c>
      <x:c r="J66" s="67" t="str">
        <x:v>现金</x:v>
      </x:c>
      <x:c r="K66" s="73" t="n">
        <x:v>46234.5</x:v>
      </x:c>
      <x:c r="L66" s="67" t="str">
        <x:v>S-经营费用假设</x:v>
      </x:c>
      <x:c r="M66" s="67" t="str">
        <x:v>用于月度损益与现金计划</x:v>
      </x:c>
    </x:row>
    <x:row r="67">
      <x:c r="A67" s="67" t="str">
        <x:v>EXP-0063</x:v>
      </x:c>
      <x:c r="B67" s="73" t="n">
        <x:v>46204.5</x:v>
      </x:c>
      <x:c r="C67" s="67" t="str">
        <x:v>S07</x:v>
      </x:c>
      <x:c r="D67" s="67" t="str">
        <x:v>小和山店</x:v>
      </x:c>
      <x:c r="E67" s="67" t="str">
        <x:v>其他费用</x:v>
      </x:c>
      <x:c r="F67" s="67" t="str">
        <x:v>半固定</x:v>
      </x:c>
      <x:c r="G67" s="97" t="n">
        <x:v>1840</x:v>
      </x:c>
      <x:c r="H67" s="97" t="n">
        <x:v>1858</x:v>
      </x:c>
      <x:c r="I67" s="100" t="n">
        <x:f>H67-G67</x:f>
        <x:v>18</x:v>
      </x:c>
      <x:c r="J67" s="67" t="str">
        <x:v>现金</x:v>
      </x:c>
      <x:c r="K67" s="73" t="n">
        <x:v>46233.5</x:v>
      </x:c>
      <x:c r="L67" s="67" t="str">
        <x:v>S-经营费用假设</x:v>
      </x:c>
      <x:c r="M67" s="67" t="str">
        <x:v>用于月度损益与现金计划</x:v>
      </x:c>
    </x:row>
    <x:row r="68">
      <x:c r="A68" s="67" t="str">
        <x:v>EXP-0064</x:v>
      </x:c>
      <x:c r="B68" s="73" t="n">
        <x:v>46204.5</x:v>
      </x:c>
      <x:c r="C68" s="67" t="str">
        <x:v>S08</x:v>
      </x:c>
      <x:c r="D68" s="67" t="str">
        <x:v>四季青店</x:v>
      </x:c>
      <x:c r="E68" s="67" t="str">
        <x:v>房租与物业</x:v>
      </x:c>
      <x:c r="F68" s="67" t="str">
        <x:v>固定</x:v>
      </x:c>
      <x:c r="G68" s="97" t="n">
        <x:v>29680</x:v>
      </x:c>
      <x:c r="H68" s="97" t="n">
        <x:v>29680</x:v>
      </x:c>
      <x:c r="I68" s="100" t="n">
        <x:f>H68-G68</x:f>
        <x:v>0</x:v>
      </x:c>
      <x:c r="J68" s="67" t="str">
        <x:v>现金</x:v>
      </x:c>
      <x:c r="K68" s="73" t="n">
        <x:v>46239.5</x:v>
      </x:c>
      <x:c r="L68" s="67" t="str">
        <x:v>S-经营费用假设</x:v>
      </x:c>
      <x:c r="M68" s="67" t="str">
        <x:v>用于月度损益与现金计划</x:v>
      </x:c>
    </x:row>
    <x:row r="69">
      <x:c r="A69" s="67" t="str">
        <x:v>EXP-0065</x:v>
      </x:c>
      <x:c r="B69" s="73" t="n">
        <x:v>46204.5</x:v>
      </x:c>
      <x:c r="C69" s="67" t="str">
        <x:v>S08</x:v>
      </x:c>
      <x:c r="D69" s="67" t="str">
        <x:v>四季青店</x:v>
      </x:c>
      <x:c r="E69" s="67" t="str">
        <x:v>水电燃气</x:v>
      </x:c>
      <x:c r="F69" s="67" t="str">
        <x:v>半固定</x:v>
      </x:c>
      <x:c r="G69" s="97" t="n">
        <x:v>7208</x:v>
      </x:c>
      <x:c r="H69" s="97" t="n">
        <x:v>7244</x:v>
      </x:c>
      <x:c r="I69" s="100" t="n">
        <x:f>H69-G69</x:f>
        <x:v>36</x:v>
      </x:c>
      <x:c r="J69" s="67" t="str">
        <x:v>现金</x:v>
      </x:c>
      <x:c r="K69" s="73" t="n">
        <x:v>46228.5</x:v>
      </x:c>
      <x:c r="L69" s="67" t="str">
        <x:v>S-经营费用假设</x:v>
      </x:c>
      <x:c r="M69" s="67" t="str">
        <x:v>用于月度损益与现金计划</x:v>
      </x:c>
    </x:row>
    <x:row r="70">
      <x:c r="A70" s="67" t="str">
        <x:v>EXP-0066</x:v>
      </x:c>
      <x:c r="B70" s="73" t="n">
        <x:v>46204.5</x:v>
      </x:c>
      <x:c r="C70" s="67" t="str">
        <x:v>S08</x:v>
      </x:c>
      <x:c r="D70" s="67" t="str">
        <x:v>四季青店</x:v>
      </x:c>
      <x:c r="E70" s="67" t="str">
        <x:v>固定营销/会员运营</x:v>
      </x:c>
      <x:c r="F70" s="67" t="str">
        <x:v>固定</x:v>
      </x:c>
      <x:c r="G70" s="97" t="n">
        <x:v>4240</x:v>
      </x:c>
      <x:c r="H70" s="97" t="n">
        <x:v>4282</x:v>
      </x:c>
      <x:c r="I70" s="100" t="n">
        <x:f>H70-G70</x:f>
        <x:v>42</x:v>
      </x:c>
      <x:c r="J70" s="67" t="str">
        <x:v>现金</x:v>
      </x:c>
      <x:c r="K70" s="73" t="n">
        <x:v>46223.5</x:v>
      </x:c>
      <x:c r="L70" s="67" t="str">
        <x:v>S-经营费用假设</x:v>
      </x:c>
      <x:c r="M70" s="67" t="str">
        <x:v>用于月度损益与现金计划</x:v>
      </x:c>
    </x:row>
    <x:row r="71">
      <x:c r="A71" s="67" t="str">
        <x:v>EXP-0067</x:v>
      </x:c>
      <x:c r="B71" s="73" t="n">
        <x:v>46204.5</x:v>
      </x:c>
      <x:c r="C71" s="67" t="str">
        <x:v>S08</x:v>
      </x:c>
      <x:c r="D71" s="67" t="str">
        <x:v>四季青店</x:v>
      </x:c>
      <x:c r="E71" s="67" t="str">
        <x:v>清洁低耗与办公</x:v>
      </x:c>
      <x:c r="F71" s="67" t="str">
        <x:v>半固定</x:v>
      </x:c>
      <x:c r="G71" s="97" t="n">
        <x:v>2544</x:v>
      </x:c>
      <x:c r="H71" s="97" t="n">
        <x:v>2519</x:v>
      </x:c>
      <x:c r="I71" s="100" t="n">
        <x:f>H71-G71</x:f>
        <x:v>-25</x:v>
      </x:c>
      <x:c r="J71" s="67" t="str">
        <x:v>现金</x:v>
      </x:c>
      <x:c r="K71" s="73" t="n">
        <x:v>46231.5</x:v>
      </x:c>
      <x:c r="L71" s="67" t="str">
        <x:v>S-经营费用假设</x:v>
      </x:c>
      <x:c r="M71" s="67" t="str">
        <x:v>用于月度损益与现金计划</x:v>
      </x:c>
    </x:row>
    <x:row r="72">
      <x:c r="A72" s="67" t="str">
        <x:v>EXP-0068</x:v>
      </x:c>
      <x:c r="B72" s="73" t="n">
        <x:v>46204.5</x:v>
      </x:c>
      <x:c r="C72" s="67" t="str">
        <x:v>S08</x:v>
      </x:c>
      <x:c r="D72" s="67" t="str">
        <x:v>四季青店</x:v>
      </x:c>
      <x:c r="E72" s="67" t="str">
        <x:v>维修保养</x:v>
      </x:c>
      <x:c r="F72" s="67" t="str">
        <x:v>半固定</x:v>
      </x:c>
      <x:c r="G72" s="97" t="n">
        <x:v>1272</x:v>
      </x:c>
      <x:c r="H72" s="97" t="n">
        <x:v>1266</x:v>
      </x:c>
      <x:c r="I72" s="100" t="n">
        <x:f>H72-G72</x:f>
        <x:v>-6</x:v>
      </x:c>
      <x:c r="J72" s="67" t="str">
        <x:v>现金</x:v>
      </x:c>
      <x:c r="K72" s="73" t="n">
        <x:v>46231.5</x:v>
      </x:c>
      <x:c r="L72" s="67" t="str">
        <x:v>S-经营费用假设</x:v>
      </x:c>
      <x:c r="M72" s="67" t="str">
        <x:v>用于月度损益与现金计划</x:v>
      </x:c>
    </x:row>
    <x:row r="73">
      <x:c r="A73" s="67" t="str">
        <x:v>EXP-0069</x:v>
      </x:c>
      <x:c r="B73" s="73" t="n">
        <x:v>46204.5</x:v>
      </x:c>
      <x:c r="C73" s="67" t="str">
        <x:v>S08</x:v>
      </x:c>
      <x:c r="D73" s="67" t="str">
        <x:v>四季青店</x:v>
      </x:c>
      <x:c r="E73" s="67" t="str">
        <x:v>折旧</x:v>
      </x:c>
      <x:c r="F73" s="67" t="str">
        <x:v>固定</x:v>
      </x:c>
      <x:c r="G73" s="97" t="n">
        <x:v>3392</x:v>
      </x:c>
      <x:c r="H73" s="97" t="n">
        <x:v>3392</x:v>
      </x:c>
      <x:c r="I73" s="100" t="n">
        <x:f>H73-G73</x:f>
        <x:v>0</x:v>
      </x:c>
      <x:c r="J73" s="67" t="str">
        <x:v>非现金</x:v>
      </x:c>
      <x:c r="K73" s="73"/>
      <x:c r="L73" s="67" t="str">
        <x:v>S-经营费用假设</x:v>
      </x:c>
      <x:c r="M73" s="67" t="str">
        <x:v>折旧不进入现金日历</x:v>
      </x:c>
    </x:row>
    <x:row r="74">
      <x:c r="A74" s="67" t="str">
        <x:v>EXP-0070</x:v>
      </x:c>
      <x:c r="B74" s="73" t="n">
        <x:v>46204.5</x:v>
      </x:c>
      <x:c r="C74" s="67" t="str">
        <x:v>S08</x:v>
      </x:c>
      <x:c r="D74" s="67" t="str">
        <x:v>四季青店</x:v>
      </x:c>
      <x:c r="E74" s="67" t="str">
        <x:v>税费及附加</x:v>
      </x:c>
      <x:c r="F74" s="67" t="str">
        <x:v>半固定</x:v>
      </x:c>
      <x:c r="G74" s="97" t="n">
        <x:v>1696</x:v>
      </x:c>
      <x:c r="H74" s="97" t="n">
        <x:v>1704</x:v>
      </x:c>
      <x:c r="I74" s="100" t="n">
        <x:f>H74-G74</x:f>
        <x:v>8</x:v>
      </x:c>
      <x:c r="J74" s="67" t="str">
        <x:v>现金</x:v>
      </x:c>
      <x:c r="K74" s="73" t="n">
        <x:v>46218.5</x:v>
      </x:c>
      <x:c r="L74" s="67" t="str">
        <x:v>S-经营费用假设</x:v>
      </x:c>
      <x:c r="M74" s="67" t="str">
        <x:v>用于月度损益与现金计划</x:v>
      </x:c>
    </x:row>
    <x:row r="75">
      <x:c r="A75" s="67" t="str">
        <x:v>EXP-0071</x:v>
      </x:c>
      <x:c r="B75" s="73" t="n">
        <x:v>46204.5</x:v>
      </x:c>
      <x:c r="C75" s="67" t="str">
        <x:v>S08</x:v>
      </x:c>
      <x:c r="D75" s="67" t="str">
        <x:v>四季青店</x:v>
      </x:c>
      <x:c r="E75" s="67" t="str">
        <x:v>总部费用分摊</x:v>
      </x:c>
      <x:c r="F75" s="67" t="str">
        <x:v>固定</x:v>
      </x:c>
      <x:c r="G75" s="97" t="n">
        <x:v>5088</x:v>
      </x:c>
      <x:c r="H75" s="97" t="n">
        <x:v>5139</x:v>
      </x:c>
      <x:c r="I75" s="100" t="n">
        <x:f>H75-G75</x:f>
        <x:v>51</x:v>
      </x:c>
      <x:c r="J75" s="67" t="str">
        <x:v>现金</x:v>
      </x:c>
      <x:c r="K75" s="73" t="n">
        <x:v>46234.5</x:v>
      </x:c>
      <x:c r="L75" s="67" t="str">
        <x:v>S-经营费用假设</x:v>
      </x:c>
      <x:c r="M75" s="67" t="str">
        <x:v>用于月度损益与现金计划</x:v>
      </x:c>
    </x:row>
    <x:row r="76">
      <x:c r="A76" s="68" t="str">
        <x:v>EXP-0072</x:v>
      </x:c>
      <x:c r="B76" s="74" t="n">
        <x:v>46204.5</x:v>
      </x:c>
      <x:c r="C76" s="68" t="str">
        <x:v>S08</x:v>
      </x:c>
      <x:c r="D76" s="68" t="str">
        <x:v>四季青店</x:v>
      </x:c>
      <x:c r="E76" s="68" t="str">
        <x:v>其他费用</x:v>
      </x:c>
      <x:c r="F76" s="68" t="str">
        <x:v>半固定</x:v>
      </x:c>
      <x:c r="G76" s="98" t="n">
        <x:v>1696</x:v>
      </x:c>
      <x:c r="H76" s="98" t="n">
        <x:v>1679</x:v>
      </x:c>
      <x:c r="I76" s="101" t="n">
        <x:f>H76-G76</x:f>
        <x:v>-17</x:v>
      </x:c>
      <x:c r="J76" s="68" t="str">
        <x:v>现金</x:v>
      </x:c>
      <x:c r="K76" s="74" t="n">
        <x:v>46233.5</x:v>
      </x:c>
      <x:c r="L76" s="68" t="str">
        <x:v>S-经营费用假设</x:v>
      </x:c>
      <x:c r="M76" s="68" t="str">
        <x:v>用于月度损益与现金计划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20" hidden="0" customWidth="1"/>
    <x:col min="7" max="7" width="14" hidden="0" customWidth="1"/>
    <x:col min="8" max="8" width="13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4" hidden="0" customWidth="1"/>
    <x:col min="14" max="14" width="13" hidden="0" customWidth="1"/>
    <x:col min="15" max="15" width="12" hidden="0" customWidth="1"/>
    <x:col min="16" max="16" width="11" hidden="0" customWidth="1"/>
    <x:col min="17" max="17" width="18" hidden="0" customWidth="1"/>
  </x:cols>
  <x:sheetData>
    <x:row r="1" ht="30" customHeight="1">
      <x:c r="A1" s="52" t="str">
        <x:v>供应商账单、应付与付款计划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</x:row>
    <x:row r="2" ht="28" customHeight="1">
      <x:c r="A2" s="56" t="str">
        <x:v>简化假设：本月采购耗用基本一致；应付金额扣除质量扣款和退货，现金日历读取计划支付金额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</x:row>
    <x:row r="4" ht="34" customHeight="1">
      <x:c r="A4" s="61" t="str">
        <x:v>应付ID</x:v>
      </x:c>
      <x:c r="B4" s="61" t="str">
        <x:v>账单日期</x:v>
      </x:c>
      <x:c r="C4" s="61" t="str">
        <x:v>到期日</x:v>
      </x:c>
      <x:c r="D4" s="61" t="str">
        <x:v>门店ID</x:v>
      </x:c>
      <x:c r="E4" s="61" t="str">
        <x:v>门店</x:v>
      </x:c>
      <x:c r="F4" s="61" t="str">
        <x:v>供应商</x:v>
      </x:c>
      <x:c r="G4" s="61" t="str">
        <x:v>品类</x:v>
      </x:c>
      <x:c r="H4" s="61" t="str">
        <x:v>含税采购额</x:v>
      </x:c>
      <x:c r="I4" s="61" t="str">
        <x:v>质量扣款</x:v>
      </x:c>
      <x:c r="J4" s="61" t="str">
        <x:v>退货金额</x:v>
      </x:c>
      <x:c r="K4" s="61" t="str">
        <x:v>应付金额</x:v>
      </x:c>
      <x:c r="L4" s="61" t="str">
        <x:v>已付金额</x:v>
      </x:c>
      <x:c r="M4" s="61" t="str">
        <x:v>计划支付金额</x:v>
      </x:c>
      <x:c r="N4" s="61" t="str">
        <x:v>未付余额</x:v>
      </x:c>
      <x:c r="O4" s="61" t="str">
        <x:v>状态</x:v>
      </x:c>
      <x:c r="P4" s="61" t="str">
        <x:v>账期天数</x:v>
      </x:c>
      <x:c r="Q4" s="61" t="str">
        <x:v>来源类型</x:v>
      </x:c>
    </x:row>
    <x:row r="5">
      <x:c r="A5" s="66" t="str">
        <x:v>AP-0001</x:v>
      </x:c>
      <x:c r="B5" s="72" t="n">
        <x:v>46208.5</x:v>
      </x:c>
      <x:c r="C5" s="72" t="n">
        <x:v>46215.5</x:v>
      </x:c>
      <x:c r="D5" s="66" t="str">
        <x:v>S01</x:v>
      </x:c>
      <x:c r="E5" s="66" t="str">
        <x:v>近江天阳店</x:v>
      </x:c>
      <x:c r="F5" s="66" t="str">
        <x:v>杭鲜牛肉供应链</x:v>
      </x:c>
      <x:c r="G5" s="66" t="str">
        <x:v>牛肉</x:v>
      </x:c>
      <x:c r="H5" s="75" t="n">
        <x:v>24501.91</x:v>
      </x:c>
      <x:c r="I5" s="75" t="n">
        <x:v>0</x:v>
      </x:c>
      <x:c r="J5" s="75" t="n">
        <x:v>48.91</x:v>
      </x:c>
      <x:c r="K5" s="78" t="n">
        <x:f>H5-I5-J5</x:f>
        <x:v>24453</x:v>
      </x:c>
      <x:c r="L5" s="75" t="n">
        <x:v>24453</x:v>
      </x:c>
      <x:c r="M5" s="75" t="n">
        <x:v>0</x:v>
      </x:c>
      <x:c r="N5" s="78" t="n">
        <x:f>K5-L5</x:f>
        <x:v>0</x:v>
      </x:c>
      <x:c r="O5" s="90" t="str">
        <x:f>IF(N5&lt;=1,"已结清",IF(C5&lt;'封面与口径'!$I$13,"逾期","待付款"))</x:f>
        <x:v>已结清</x:v>
      </x:c>
      <x:c r="P5" s="66" t="n">
        <x:v>1</x:v>
      </x:c>
      <x:c r="Q5" s="66" t="str">
        <x:v>S-模拟供应商账单</x:v>
      </x:c>
    </x:row>
    <x:row r="6">
      <x:c r="A6" s="67" t="str">
        <x:v>AP-0002</x:v>
      </x:c>
      <x:c r="B6" s="73" t="n">
        <x:v>46208.5</x:v>
      </x:c>
      <x:c r="C6" s="73" t="n">
        <x:v>46220.5</x:v>
      </x:c>
      <x:c r="D6" s="67" t="str">
        <x:v>S01</x:v>
      </x:c>
      <x:c r="E6" s="67" t="str">
        <x:v>近江天阳店</x:v>
      </x:c>
      <x:c r="F6" s="67" t="str">
        <x:v>钱塘肉类配送</x:v>
      </x:c>
      <x:c r="G6" s="67" t="str">
        <x:v>猪肉禽畜</x:v>
      </x:c>
      <x:c r="H6" s="76" t="n">
        <x:v>16929</x:v>
      </x:c>
      <x:c r="I6" s="76" t="n">
        <x:v>0</x:v>
      </x:c>
      <x:c r="J6" s="76" t="n">
        <x:v>0</x:v>
      </x:c>
      <x:c r="K6" s="79" t="n">
        <x:f>H6-I6-J6</x:f>
        <x:v>16929</x:v>
      </x:c>
      <x:c r="L6" s="76" t="n">
        <x:v>0</x:v>
      </x:c>
      <x:c r="M6" s="76" t="n">
        <x:v>16929</x:v>
      </x:c>
      <x:c r="N6" s="79" t="n">
        <x:f>K6-L6</x:f>
        <x:v>16929</x:v>
      </x:c>
      <x:c r="O6" s="91" t="str">
        <x:f>IF(N6&lt;=1,"已结清",IF(C6&lt;'封面与口径'!$I$13,"逾期","待付款"))</x:f>
        <x:v>待付款</x:v>
      </x:c>
      <x:c r="P6" s="67" t="n">
        <x:v>6</x:v>
      </x:c>
      <x:c r="Q6" s="67" t="str">
        <x:v>S-模拟供应商账单</x:v>
      </x:c>
    </x:row>
    <x:row r="7">
      <x:c r="A7" s="67" t="str">
        <x:v>AP-0003</x:v>
      </x:c>
      <x:c r="B7" s="73" t="n">
        <x:v>46208.5</x:v>
      </x:c>
      <x:c r="C7" s="73" t="n">
        <x:v>46225.5</x:v>
      </x:c>
      <x:c r="D7" s="67" t="str">
        <x:v>S01</x:v>
      </x:c>
      <x:c r="E7" s="67" t="str">
        <x:v>近江天阳店</x:v>
      </x:c>
      <x:c r="F7" s="67" t="str">
        <x:v>绿源蔬菜合作社</x:v>
      </x:c>
      <x:c r="G7" s="67" t="str">
        <x:v>蔬菜</x:v>
      </x:c>
      <x:c r="H7" s="76" t="n">
        <x:v>20773.76</x:v>
      </x:c>
      <x:c r="I7" s="76" t="n">
        <x:v>82.76</x:v>
      </x:c>
      <x:c r="J7" s="76" t="n">
        <x:v>0</x:v>
      </x:c>
      <x:c r="K7" s="79" t="n">
        <x:f>H7-I7-J7</x:f>
        <x:v>20691</x:v>
      </x:c>
      <x:c r="L7" s="76" t="n">
        <x:v>0</x:v>
      </x:c>
      <x:c r="M7" s="76" t="n">
        <x:v>20691</x:v>
      </x:c>
      <x:c r="N7" s="79" t="n">
        <x:f>K7-L7</x:f>
        <x:v>20691</x:v>
      </x:c>
      <x:c r="O7" s="91" t="str">
        <x:f>IF(N7&lt;=1,"已结清",IF(C7&lt;'封面与口径'!$I$13,"逾期","待付款"))</x:f>
        <x:v>待付款</x:v>
      </x:c>
      <x:c r="P7" s="67" t="n">
        <x:v>11</x:v>
      </x:c>
      <x:c r="Q7" s="67" t="str">
        <x:v>S-模拟供应商账单</x:v>
      </x:c>
    </x:row>
    <x:row r="8">
      <x:c r="A8" s="67" t="str">
        <x:v>AP-0004</x:v>
      </x:c>
      <x:c r="B8" s="73" t="n">
        <x:v>46208.5</x:v>
      </x:c>
      <x:c r="C8" s="73" t="n">
        <x:v>46230.5</x:v>
      </x:c>
      <x:c r="D8" s="67" t="str">
        <x:v>S01</x:v>
      </x:c>
      <x:c r="E8" s="67" t="str">
        <x:v>近江天阳店</x:v>
      </x:c>
      <x:c r="F8" s="67" t="str">
        <x:v>东海鲜配</x:v>
      </x:c>
      <x:c r="G8" s="67" t="str">
        <x:v>水产</x:v>
      </x:c>
      <x:c r="H8" s="76" t="n">
        <x:v>11286</x:v>
      </x:c>
      <x:c r="I8" s="76" t="n">
        <x:v>0</x:v>
      </x:c>
      <x:c r="J8" s="76" t="n">
        <x:v>0</x:v>
      </x:c>
      <x:c r="K8" s="79" t="n">
        <x:f>H8-I8-J8</x:f>
        <x:v>11286</x:v>
      </x:c>
      <x:c r="L8" s="76" t="n">
        <x:v>0</x:v>
      </x:c>
      <x:c r="M8" s="76" t="n">
        <x:v>11286</x:v>
      </x:c>
      <x:c r="N8" s="79" t="n">
        <x:f>K8-L8</x:f>
        <x:v>11286</x:v>
      </x:c>
      <x:c r="O8" s="91" t="str">
        <x:f>IF(N8&lt;=1,"已结清",IF(C8&lt;'封面与口径'!$I$13,"逾期","待付款"))</x:f>
        <x:v>待付款</x:v>
      </x:c>
      <x:c r="P8" s="67" t="n">
        <x:v>16</x:v>
      </x:c>
      <x:c r="Q8" s="67" t="str">
        <x:v>S-模拟供应商账单</x:v>
      </x:c>
    </x:row>
    <x:row r="9">
      <x:c r="A9" s="67" t="str">
        <x:v>AP-0005</x:v>
      </x:c>
      <x:c r="B9" s="73" t="n">
        <x:v>46208.5</x:v>
      </x:c>
      <x:c r="C9" s="73" t="n">
        <x:v>46234.5</x:v>
      </x:c>
      <x:c r="D9" s="67" t="str">
        <x:v>S01</x:v>
      </x:c>
      <x:c r="E9" s="67" t="str">
        <x:v>近江天阳店</x:v>
      </x:c>
      <x:c r="F9" s="67" t="str">
        <x:v>湘味干调商行</x:v>
      </x:c>
      <x:c r="G9" s="67" t="str">
        <x:v>干货调味</x:v>
      </x:c>
      <x:c r="H9" s="76" t="n">
        <x:v>13167</x:v>
      </x:c>
      <x:c r="I9" s="76" t="n">
        <x:v>0</x:v>
      </x:c>
      <x:c r="J9" s="76" t="n">
        <x:v>0</x:v>
      </x:c>
      <x:c r="K9" s="79" t="n">
        <x:f>H9-I9-J9</x:f>
        <x:v>13167</x:v>
      </x:c>
      <x:c r="L9" s="76" t="n">
        <x:v>0</x:v>
      </x:c>
      <x:c r="M9" s="76" t="n">
        <x:v>13167</x:v>
      </x:c>
      <x:c r="N9" s="79" t="n">
        <x:f>K9-L9</x:f>
        <x:v>13167</x:v>
      </x:c>
      <x:c r="O9" s="91" t="str">
        <x:f>IF(N9&lt;=1,"已结清",IF(C9&lt;'封面与口径'!$I$13,"逾期","待付款"))</x:f>
        <x:v>待付款</x:v>
      </x:c>
      <x:c r="P9" s="67" t="n">
        <x:v>20</x:v>
      </x:c>
      <x:c r="Q9" s="67" t="str">
        <x:v>S-模拟供应商账单</x:v>
      </x:c>
    </x:row>
    <x:row r="10">
      <x:c r="A10" s="67" t="str">
        <x:v>AP-0006</x:v>
      </x:c>
      <x:c r="B10" s="73" t="n">
        <x:v>46208.5</x:v>
      </x:c>
      <x:c r="C10" s="73" t="n">
        <x:v>46239.5</x:v>
      </x:c>
      <x:c r="D10" s="67" t="str">
        <x:v>S01</x:v>
      </x:c>
      <x:c r="E10" s="67" t="str">
        <x:v>近江天阳店</x:v>
      </x:c>
      <x:c r="F10" s="67" t="str">
        <x:v>城西蛋豆供应</x:v>
      </x:c>
      <x:c r="G10" s="67" t="str">
        <x:v>蛋品豆制品</x:v>
      </x:c>
      <x:c r="H10" s="76" t="n">
        <x:v>7524</x:v>
      </x:c>
      <x:c r="I10" s="76" t="n">
        <x:v>0</x:v>
      </x:c>
      <x:c r="J10" s="76" t="n">
        <x:v>0</x:v>
      </x:c>
      <x:c r="K10" s="79" t="n">
        <x:f>H10-I10-J10</x:f>
        <x:v>7524</x:v>
      </x:c>
      <x:c r="L10" s="76" t="n">
        <x:v>0</x:v>
      </x:c>
      <x:c r="M10" s="76" t="n">
        <x:v>7524</x:v>
      </x:c>
      <x:c r="N10" s="79" t="n">
        <x:f>K10-L10</x:f>
        <x:v>7524</x:v>
      </x:c>
      <x:c r="O10" s="91" t="str">
        <x:f>IF(N10&lt;=1,"已结清",IF(C10&lt;'封面与口径'!$I$13,"逾期","待付款"))</x:f>
        <x:v>待付款</x:v>
      </x:c>
      <x:c r="P10" s="67" t="n">
        <x:v>25</x:v>
      </x:c>
      <x:c r="Q10" s="67" t="str">
        <x:v>S-模拟供应商账单</x:v>
      </x:c>
    </x:row>
    <x:row r="11">
      <x:c r="A11" s="67" t="str">
        <x:v>AP-0007</x:v>
      </x:c>
      <x:c r="B11" s="73" t="n">
        <x:v>46208.5</x:v>
      </x:c>
      <x:c r="C11" s="73" t="n">
        <x:v>46215.5</x:v>
      </x:c>
      <x:c r="D11" s="67" t="str">
        <x:v>S02</x:v>
      </x:c>
      <x:c r="E11" s="67" t="str">
        <x:v>尊宝大厦店</x:v>
      </x:c>
      <x:c r="F11" s="67" t="str">
        <x:v>杭鲜牛肉供应链</x:v>
      </x:c>
      <x:c r="G11" s="67" t="str">
        <x:v>牛肉</x:v>
      </x:c>
      <x:c r="H11" s="76" t="n">
        <x:v>23212.33</x:v>
      </x:c>
      <x:c r="I11" s="76" t="n">
        <x:v>0</x:v>
      </x:c>
      <x:c r="J11" s="76" t="n">
        <x:v>46.33</x:v>
      </x:c>
      <x:c r="K11" s="79" t="n">
        <x:f>H11-I11-J11</x:f>
        <x:v>23166</x:v>
      </x:c>
      <x:c r="L11" s="76" t="n">
        <x:v>23166</x:v>
      </x:c>
      <x:c r="M11" s="76" t="n">
        <x:v>0</x:v>
      </x:c>
      <x:c r="N11" s="79" t="n">
        <x:f>K11-L11</x:f>
        <x:v>0</x:v>
      </x:c>
      <x:c r="O11" s="91" t="str">
        <x:f>IF(N11&lt;=1,"已结清",IF(C11&lt;'封面与口径'!$I$13,"逾期","待付款"))</x:f>
        <x:v>已结清</x:v>
      </x:c>
      <x:c r="P11" s="67" t="n">
        <x:v>1</x:v>
      </x:c>
      <x:c r="Q11" s="67" t="str">
        <x:v>S-模拟供应商账单</x:v>
      </x:c>
    </x:row>
    <x:row r="12">
      <x:c r="A12" s="67" t="str">
        <x:v>AP-0008</x:v>
      </x:c>
      <x:c r="B12" s="73" t="n">
        <x:v>46208.5</x:v>
      </x:c>
      <x:c r="C12" s="73" t="n">
        <x:v>46220.5</x:v>
      </x:c>
      <x:c r="D12" s="67" t="str">
        <x:v>S02</x:v>
      </x:c>
      <x:c r="E12" s="67" t="str">
        <x:v>尊宝大厦店</x:v>
      </x:c>
      <x:c r="F12" s="67" t="str">
        <x:v>钱塘肉类配送</x:v>
      </x:c>
      <x:c r="G12" s="67" t="str">
        <x:v>猪肉禽畜</x:v>
      </x:c>
      <x:c r="H12" s="76" t="n">
        <x:v>16038</x:v>
      </x:c>
      <x:c r="I12" s="76" t="n">
        <x:v>0</x:v>
      </x:c>
      <x:c r="J12" s="76" t="n">
        <x:v>0</x:v>
      </x:c>
      <x:c r="K12" s="79" t="n">
        <x:f>H12-I12-J12</x:f>
        <x:v>16038</x:v>
      </x:c>
      <x:c r="L12" s="76" t="n">
        <x:v>0</x:v>
      </x:c>
      <x:c r="M12" s="76" t="n">
        <x:v>16038</x:v>
      </x:c>
      <x:c r="N12" s="79" t="n">
        <x:f>K12-L12</x:f>
        <x:v>16038</x:v>
      </x:c>
      <x:c r="O12" s="91" t="str">
        <x:f>IF(N12&lt;=1,"已结清",IF(C12&lt;'封面与口径'!$I$13,"逾期","待付款"))</x:f>
        <x:v>待付款</x:v>
      </x:c>
      <x:c r="P12" s="67" t="n">
        <x:v>6</x:v>
      </x:c>
      <x:c r="Q12" s="67" t="str">
        <x:v>S-模拟供应商账单</x:v>
      </x:c>
    </x:row>
    <x:row r="13">
      <x:c r="A13" s="67" t="str">
        <x:v>AP-0009</x:v>
      </x:c>
      <x:c r="B13" s="73" t="n">
        <x:v>46208.5</x:v>
      </x:c>
      <x:c r="C13" s="73" t="n">
        <x:v>46225.5</x:v>
      </x:c>
      <x:c r="D13" s="67" t="str">
        <x:v>S02</x:v>
      </x:c>
      <x:c r="E13" s="67" t="str">
        <x:v>尊宝大厦店</x:v>
      </x:c>
      <x:c r="F13" s="67" t="str">
        <x:v>绿源蔬菜合作社</x:v>
      </x:c>
      <x:c r="G13" s="67" t="str">
        <x:v>蔬菜</x:v>
      </x:c>
      <x:c r="H13" s="76" t="n">
        <x:v>19680.41</x:v>
      </x:c>
      <x:c r="I13" s="76" t="n">
        <x:v>78.41</x:v>
      </x:c>
      <x:c r="J13" s="76" t="n">
        <x:v>0</x:v>
      </x:c>
      <x:c r="K13" s="79" t="n">
        <x:f>H13-I13-J13</x:f>
        <x:v>19602</x:v>
      </x:c>
      <x:c r="L13" s="76" t="n">
        <x:v>0</x:v>
      </x:c>
      <x:c r="M13" s="76" t="n">
        <x:v>19602</x:v>
      </x:c>
      <x:c r="N13" s="79" t="n">
        <x:f>K13-L13</x:f>
        <x:v>19602</x:v>
      </x:c>
      <x:c r="O13" s="91" t="str">
        <x:f>IF(N13&lt;=1,"已结清",IF(C13&lt;'封面与口径'!$I$13,"逾期","待付款"))</x:f>
        <x:v>待付款</x:v>
      </x:c>
      <x:c r="P13" s="67" t="n">
        <x:v>11</x:v>
      </x:c>
      <x:c r="Q13" s="67" t="str">
        <x:v>S-模拟供应商账单</x:v>
      </x:c>
    </x:row>
    <x:row r="14">
      <x:c r="A14" s="67" t="str">
        <x:v>AP-0010</x:v>
      </x:c>
      <x:c r="B14" s="73" t="n">
        <x:v>46208.5</x:v>
      </x:c>
      <x:c r="C14" s="73" t="n">
        <x:v>46230.5</x:v>
      </x:c>
      <x:c r="D14" s="67" t="str">
        <x:v>S02</x:v>
      </x:c>
      <x:c r="E14" s="67" t="str">
        <x:v>尊宝大厦店</x:v>
      </x:c>
      <x:c r="F14" s="67" t="str">
        <x:v>东海鲜配</x:v>
      </x:c>
      <x:c r="G14" s="67" t="str">
        <x:v>水产</x:v>
      </x:c>
      <x:c r="H14" s="76" t="n">
        <x:v>10692</x:v>
      </x:c>
      <x:c r="I14" s="76" t="n">
        <x:v>0</x:v>
      </x:c>
      <x:c r="J14" s="76" t="n">
        <x:v>0</x:v>
      </x:c>
      <x:c r="K14" s="79" t="n">
        <x:f>H14-I14-J14</x:f>
        <x:v>10692</x:v>
      </x:c>
      <x:c r="L14" s="76" t="n">
        <x:v>0</x:v>
      </x:c>
      <x:c r="M14" s="76" t="n">
        <x:v>10692</x:v>
      </x:c>
      <x:c r="N14" s="79" t="n">
        <x:f>K14-L14</x:f>
        <x:v>10692</x:v>
      </x:c>
      <x:c r="O14" s="91" t="str">
        <x:f>IF(N14&lt;=1,"已结清",IF(C14&lt;'封面与口径'!$I$13,"逾期","待付款"))</x:f>
        <x:v>待付款</x:v>
      </x:c>
      <x:c r="P14" s="67" t="n">
        <x:v>16</x:v>
      </x:c>
      <x:c r="Q14" s="67" t="str">
        <x:v>S-模拟供应商账单</x:v>
      </x:c>
    </x:row>
    <x:row r="15">
      <x:c r="A15" s="67" t="str">
        <x:v>AP-0011</x:v>
      </x:c>
      <x:c r="B15" s="73" t="n">
        <x:v>46208.5</x:v>
      </x:c>
      <x:c r="C15" s="73" t="n">
        <x:v>46234.5</x:v>
      </x:c>
      <x:c r="D15" s="67" t="str">
        <x:v>S02</x:v>
      </x:c>
      <x:c r="E15" s="67" t="str">
        <x:v>尊宝大厦店</x:v>
      </x:c>
      <x:c r="F15" s="67" t="str">
        <x:v>湘味干调商行</x:v>
      </x:c>
      <x:c r="G15" s="67" t="str">
        <x:v>干货调味</x:v>
      </x:c>
      <x:c r="H15" s="76" t="n">
        <x:v>12474</x:v>
      </x:c>
      <x:c r="I15" s="76" t="n">
        <x:v>0</x:v>
      </x:c>
      <x:c r="J15" s="76" t="n">
        <x:v>0</x:v>
      </x:c>
      <x:c r="K15" s="79" t="n">
        <x:f>H15-I15-J15</x:f>
        <x:v>12474</x:v>
      </x:c>
      <x:c r="L15" s="76" t="n">
        <x:v>0</x:v>
      </x:c>
      <x:c r="M15" s="76" t="n">
        <x:v>12474</x:v>
      </x:c>
      <x:c r="N15" s="79" t="n">
        <x:f>K15-L15</x:f>
        <x:v>12474</x:v>
      </x:c>
      <x:c r="O15" s="91" t="str">
        <x:f>IF(N15&lt;=1,"已结清",IF(C15&lt;'封面与口径'!$I$13,"逾期","待付款"))</x:f>
        <x:v>待付款</x:v>
      </x:c>
      <x:c r="P15" s="67" t="n">
        <x:v>20</x:v>
      </x:c>
      <x:c r="Q15" s="67" t="str">
        <x:v>S-模拟供应商账单</x:v>
      </x:c>
    </x:row>
    <x:row r="16">
      <x:c r="A16" s="67" t="str">
        <x:v>AP-0012</x:v>
      </x:c>
      <x:c r="B16" s="73" t="n">
        <x:v>46208.5</x:v>
      </x:c>
      <x:c r="C16" s="73" t="n">
        <x:v>46239.5</x:v>
      </x:c>
      <x:c r="D16" s="67" t="str">
        <x:v>S02</x:v>
      </x:c>
      <x:c r="E16" s="67" t="str">
        <x:v>尊宝大厦店</x:v>
      </x:c>
      <x:c r="F16" s="67" t="str">
        <x:v>城西蛋豆供应</x:v>
      </x:c>
      <x:c r="G16" s="67" t="str">
        <x:v>蛋品豆制品</x:v>
      </x:c>
      <x:c r="H16" s="76" t="n">
        <x:v>7128</x:v>
      </x:c>
      <x:c r="I16" s="76" t="n">
        <x:v>0</x:v>
      </x:c>
      <x:c r="J16" s="76" t="n">
        <x:v>0</x:v>
      </x:c>
      <x:c r="K16" s="79" t="n">
        <x:f>H16-I16-J16</x:f>
        <x:v>7128</x:v>
      </x:c>
      <x:c r="L16" s="76" t="n">
        <x:v>0</x:v>
      </x:c>
      <x:c r="M16" s="76" t="n">
        <x:v>7128</x:v>
      </x:c>
      <x:c r="N16" s="79" t="n">
        <x:f>K16-L16</x:f>
        <x:v>7128</x:v>
      </x:c>
      <x:c r="O16" s="91" t="str">
        <x:f>IF(N16&lt;=1,"已结清",IF(C16&lt;'封面与口径'!$I$13,"逾期","待付款"))</x:f>
        <x:v>待付款</x:v>
      </x:c>
      <x:c r="P16" s="67" t="n">
        <x:v>25</x:v>
      </x:c>
      <x:c r="Q16" s="67" t="str">
        <x:v>S-模拟供应商账单</x:v>
      </x:c>
    </x:row>
    <x:row r="17">
      <x:c r="A17" s="67" t="str">
        <x:v>AP-0013</x:v>
      </x:c>
      <x:c r="B17" s="73" t="n">
        <x:v>46208.5</x:v>
      </x:c>
      <x:c r="C17" s="73" t="n">
        <x:v>46215.5</x:v>
      </x:c>
      <x:c r="D17" s="67" t="str">
        <x:v>S03</x:v>
      </x:c>
      <x:c r="E17" s="67" t="str">
        <x:v>铂悦城店</x:v>
      </x:c>
      <x:c r="F17" s="67" t="str">
        <x:v>杭鲜牛肉供应链</x:v>
      </x:c>
      <x:c r="G17" s="67" t="str">
        <x:v>牛肉</x:v>
      </x:c>
      <x:c r="H17" s="76" t="n">
        <x:v>22352.62</x:v>
      </x:c>
      <x:c r="I17" s="76" t="n">
        <x:v>0</x:v>
      </x:c>
      <x:c r="J17" s="76" t="n">
        <x:v>44.62</x:v>
      </x:c>
      <x:c r="K17" s="79" t="n">
        <x:f>H17-I17-J17</x:f>
        <x:v>22308</x:v>
      </x:c>
      <x:c r="L17" s="76" t="n">
        <x:v>22308</x:v>
      </x:c>
      <x:c r="M17" s="76" t="n">
        <x:v>0</x:v>
      </x:c>
      <x:c r="N17" s="79" t="n">
        <x:f>K17-L17</x:f>
        <x:v>0</x:v>
      </x:c>
      <x:c r="O17" s="91" t="str">
        <x:f>IF(N17&lt;=1,"已结清",IF(C17&lt;'封面与口径'!$I$13,"逾期","待付款"))</x:f>
        <x:v>已结清</x:v>
      </x:c>
      <x:c r="P17" s="67" t="n">
        <x:v>1</x:v>
      </x:c>
      <x:c r="Q17" s="67" t="str">
        <x:v>S-模拟供应商账单</x:v>
      </x:c>
    </x:row>
    <x:row r="18">
      <x:c r="A18" s="67" t="str">
        <x:v>AP-0014</x:v>
      </x:c>
      <x:c r="B18" s="73" t="n">
        <x:v>46208.5</x:v>
      </x:c>
      <x:c r="C18" s="73" t="n">
        <x:v>46220.5</x:v>
      </x:c>
      <x:c r="D18" s="67" t="str">
        <x:v>S03</x:v>
      </x:c>
      <x:c r="E18" s="67" t="str">
        <x:v>铂悦城店</x:v>
      </x:c>
      <x:c r="F18" s="67" t="str">
        <x:v>钱塘肉类配送</x:v>
      </x:c>
      <x:c r="G18" s="67" t="str">
        <x:v>猪肉禽畜</x:v>
      </x:c>
      <x:c r="H18" s="76" t="n">
        <x:v>15444</x:v>
      </x:c>
      <x:c r="I18" s="76" t="n">
        <x:v>0</x:v>
      </x:c>
      <x:c r="J18" s="76" t="n">
        <x:v>0</x:v>
      </x:c>
      <x:c r="K18" s="79" t="n">
        <x:f>H18-I18-J18</x:f>
        <x:v>15444</x:v>
      </x:c>
      <x:c r="L18" s="76" t="n">
        <x:v>0</x:v>
      </x:c>
      <x:c r="M18" s="76" t="n">
        <x:v>15444</x:v>
      </x:c>
      <x:c r="N18" s="79" t="n">
        <x:f>K18-L18</x:f>
        <x:v>15444</x:v>
      </x:c>
      <x:c r="O18" s="91" t="str">
        <x:f>IF(N18&lt;=1,"已结清",IF(C18&lt;'封面与口径'!$I$13,"逾期","待付款"))</x:f>
        <x:v>待付款</x:v>
      </x:c>
      <x:c r="P18" s="67" t="n">
        <x:v>6</x:v>
      </x:c>
      <x:c r="Q18" s="67" t="str">
        <x:v>S-模拟供应商账单</x:v>
      </x:c>
    </x:row>
    <x:row r="19">
      <x:c r="A19" s="67" t="str">
        <x:v>AP-0015</x:v>
      </x:c>
      <x:c r="B19" s="73" t="n">
        <x:v>46208.5</x:v>
      </x:c>
      <x:c r="C19" s="73" t="n">
        <x:v>46225.5</x:v>
      </x:c>
      <x:c r="D19" s="67" t="str">
        <x:v>S03</x:v>
      </x:c>
      <x:c r="E19" s="67" t="str">
        <x:v>铂悦城店</x:v>
      </x:c>
      <x:c r="F19" s="67" t="str">
        <x:v>绿源蔬菜合作社</x:v>
      </x:c>
      <x:c r="G19" s="67" t="str">
        <x:v>蔬菜</x:v>
      </x:c>
      <x:c r="H19" s="76" t="n">
        <x:v>18951.5</x:v>
      </x:c>
      <x:c r="I19" s="76" t="n">
        <x:v>75.5</x:v>
      </x:c>
      <x:c r="J19" s="76" t="n">
        <x:v>0</x:v>
      </x:c>
      <x:c r="K19" s="79" t="n">
        <x:f>H19-I19-J19</x:f>
        <x:v>18876</x:v>
      </x:c>
      <x:c r="L19" s="76" t="n">
        <x:v>0</x:v>
      </x:c>
      <x:c r="M19" s="76" t="n">
        <x:v>18876</x:v>
      </x:c>
      <x:c r="N19" s="79" t="n">
        <x:f>K19-L19</x:f>
        <x:v>18876</x:v>
      </x:c>
      <x:c r="O19" s="91" t="str">
        <x:f>IF(N19&lt;=1,"已结清",IF(C19&lt;'封面与口径'!$I$13,"逾期","待付款"))</x:f>
        <x:v>待付款</x:v>
      </x:c>
      <x:c r="P19" s="67" t="n">
        <x:v>11</x:v>
      </x:c>
      <x:c r="Q19" s="67" t="str">
        <x:v>S-模拟供应商账单</x:v>
      </x:c>
    </x:row>
    <x:row r="20">
      <x:c r="A20" s="67" t="str">
        <x:v>AP-0016</x:v>
      </x:c>
      <x:c r="B20" s="73" t="n">
        <x:v>46208.5</x:v>
      </x:c>
      <x:c r="C20" s="73" t="n">
        <x:v>46230.5</x:v>
      </x:c>
      <x:c r="D20" s="67" t="str">
        <x:v>S03</x:v>
      </x:c>
      <x:c r="E20" s="67" t="str">
        <x:v>铂悦城店</x:v>
      </x:c>
      <x:c r="F20" s="67" t="str">
        <x:v>东海鲜配</x:v>
      </x:c>
      <x:c r="G20" s="67" t="str">
        <x:v>水产</x:v>
      </x:c>
      <x:c r="H20" s="76" t="n">
        <x:v>10296</x:v>
      </x:c>
      <x:c r="I20" s="76" t="n">
        <x:v>0</x:v>
      </x:c>
      <x:c r="J20" s="76" t="n">
        <x:v>0</x:v>
      </x:c>
      <x:c r="K20" s="79" t="n">
        <x:f>H20-I20-J20</x:f>
        <x:v>10296</x:v>
      </x:c>
      <x:c r="L20" s="76" t="n">
        <x:v>0</x:v>
      </x:c>
      <x:c r="M20" s="76" t="n">
        <x:v>10296</x:v>
      </x:c>
      <x:c r="N20" s="79" t="n">
        <x:f>K20-L20</x:f>
        <x:v>10296</x:v>
      </x:c>
      <x:c r="O20" s="91" t="str">
        <x:f>IF(N20&lt;=1,"已结清",IF(C20&lt;'封面与口径'!$I$13,"逾期","待付款"))</x:f>
        <x:v>待付款</x:v>
      </x:c>
      <x:c r="P20" s="67" t="n">
        <x:v>16</x:v>
      </x:c>
      <x:c r="Q20" s="67" t="str">
        <x:v>S-模拟供应商账单</x:v>
      </x:c>
    </x:row>
    <x:row r="21">
      <x:c r="A21" s="67" t="str">
        <x:v>AP-0017</x:v>
      </x:c>
      <x:c r="B21" s="73" t="n">
        <x:v>46208.5</x:v>
      </x:c>
      <x:c r="C21" s="73" t="n">
        <x:v>46234.5</x:v>
      </x:c>
      <x:c r="D21" s="67" t="str">
        <x:v>S03</x:v>
      </x:c>
      <x:c r="E21" s="67" t="str">
        <x:v>铂悦城店</x:v>
      </x:c>
      <x:c r="F21" s="67" t="str">
        <x:v>湘味干调商行</x:v>
      </x:c>
      <x:c r="G21" s="67" t="str">
        <x:v>干货调味</x:v>
      </x:c>
      <x:c r="H21" s="76" t="n">
        <x:v>12012</x:v>
      </x:c>
      <x:c r="I21" s="76" t="n">
        <x:v>0</x:v>
      </x:c>
      <x:c r="J21" s="76" t="n">
        <x:v>0</x:v>
      </x:c>
      <x:c r="K21" s="79" t="n">
        <x:f>H21-I21-J21</x:f>
        <x:v>12012</x:v>
      </x:c>
      <x:c r="L21" s="76" t="n">
        <x:v>0</x:v>
      </x:c>
      <x:c r="M21" s="76" t="n">
        <x:v>12012</x:v>
      </x:c>
      <x:c r="N21" s="79" t="n">
        <x:f>K21-L21</x:f>
        <x:v>12012</x:v>
      </x:c>
      <x:c r="O21" s="91" t="str">
        <x:f>IF(N21&lt;=1,"已结清",IF(C21&lt;'封面与口径'!$I$13,"逾期","待付款"))</x:f>
        <x:v>待付款</x:v>
      </x:c>
      <x:c r="P21" s="67" t="n">
        <x:v>20</x:v>
      </x:c>
      <x:c r="Q21" s="67" t="str">
        <x:v>S-模拟供应商账单</x:v>
      </x:c>
    </x:row>
    <x:row r="22">
      <x:c r="A22" s="67" t="str">
        <x:v>AP-0018</x:v>
      </x:c>
      <x:c r="B22" s="73" t="n">
        <x:v>46208.5</x:v>
      </x:c>
      <x:c r="C22" s="73" t="n">
        <x:v>46239.5</x:v>
      </x:c>
      <x:c r="D22" s="67" t="str">
        <x:v>S03</x:v>
      </x:c>
      <x:c r="E22" s="67" t="str">
        <x:v>铂悦城店</x:v>
      </x:c>
      <x:c r="F22" s="67" t="str">
        <x:v>城西蛋豆供应</x:v>
      </x:c>
      <x:c r="G22" s="67" t="str">
        <x:v>蛋品豆制品</x:v>
      </x:c>
      <x:c r="H22" s="76" t="n">
        <x:v>6864</x:v>
      </x:c>
      <x:c r="I22" s="76" t="n">
        <x:v>0</x:v>
      </x:c>
      <x:c r="J22" s="76" t="n">
        <x:v>0</x:v>
      </x:c>
      <x:c r="K22" s="79" t="n">
        <x:f>H22-I22-J22</x:f>
        <x:v>6864</x:v>
      </x:c>
      <x:c r="L22" s="76" t="n">
        <x:v>0</x:v>
      </x:c>
      <x:c r="M22" s="76" t="n">
        <x:v>6864</x:v>
      </x:c>
      <x:c r="N22" s="79" t="n">
        <x:f>K22-L22</x:f>
        <x:v>6864</x:v>
      </x:c>
      <x:c r="O22" s="91" t="str">
        <x:f>IF(N22&lt;=1,"已结清",IF(C22&lt;'封面与口径'!$I$13,"逾期","待付款"))</x:f>
        <x:v>待付款</x:v>
      </x:c>
      <x:c r="P22" s="67" t="n">
        <x:v>25</x:v>
      </x:c>
      <x:c r="Q22" s="67" t="str">
        <x:v>S-模拟供应商账单</x:v>
      </x:c>
    </x:row>
    <x:row r="23">
      <x:c r="A23" s="67" t="str">
        <x:v>AP-0019</x:v>
      </x:c>
      <x:c r="B23" s="73" t="n">
        <x:v>46208.5</x:v>
      </x:c>
      <x:c r="C23" s="73" t="n">
        <x:v>46215.5</x:v>
      </x:c>
      <x:c r="D23" s="67" t="str">
        <x:v>S04</x:v>
      </x:c>
      <x:c r="E23" s="67" t="str">
        <x:v>金街美地店</x:v>
      </x:c>
      <x:c r="F23" s="67" t="str">
        <x:v>杭鲜牛肉供应链</x:v>
      </x:c>
      <x:c r="G23" s="67" t="str">
        <x:v>牛肉</x:v>
      </x:c>
      <x:c r="H23" s="76" t="n">
        <x:v>21922.76</x:v>
      </x:c>
      <x:c r="I23" s="76" t="n">
        <x:v>0</x:v>
      </x:c>
      <x:c r="J23" s="76" t="n">
        <x:v>43.76</x:v>
      </x:c>
      <x:c r="K23" s="79" t="n">
        <x:f>H23-I23-J23</x:f>
        <x:v>21879</x:v>
      </x:c>
      <x:c r="L23" s="76" t="n">
        <x:v>21879</x:v>
      </x:c>
      <x:c r="M23" s="76" t="n">
        <x:v>0</x:v>
      </x:c>
      <x:c r="N23" s="79" t="n">
        <x:f>K23-L23</x:f>
        <x:v>0</x:v>
      </x:c>
      <x:c r="O23" s="91" t="str">
        <x:f>IF(N23&lt;=1,"已结清",IF(C23&lt;'封面与口径'!$I$13,"逾期","待付款"))</x:f>
        <x:v>已结清</x:v>
      </x:c>
      <x:c r="P23" s="67" t="n">
        <x:v>1</x:v>
      </x:c>
      <x:c r="Q23" s="67" t="str">
        <x:v>S-模拟供应商账单</x:v>
      </x:c>
    </x:row>
    <x:row r="24">
      <x:c r="A24" s="67" t="str">
        <x:v>AP-0020</x:v>
      </x:c>
      <x:c r="B24" s="73" t="n">
        <x:v>46208.5</x:v>
      </x:c>
      <x:c r="C24" s="73" t="n">
        <x:v>46220.5</x:v>
      </x:c>
      <x:c r="D24" s="67" t="str">
        <x:v>S04</x:v>
      </x:c>
      <x:c r="E24" s="67" t="str">
        <x:v>金街美地店</x:v>
      </x:c>
      <x:c r="F24" s="67" t="str">
        <x:v>钱塘肉类配送</x:v>
      </x:c>
      <x:c r="G24" s="67" t="str">
        <x:v>猪肉禽畜</x:v>
      </x:c>
      <x:c r="H24" s="76" t="n">
        <x:v>15147</x:v>
      </x:c>
      <x:c r="I24" s="76" t="n">
        <x:v>0</x:v>
      </x:c>
      <x:c r="J24" s="76" t="n">
        <x:v>0</x:v>
      </x:c>
      <x:c r="K24" s="79" t="n">
        <x:f>H24-I24-J24</x:f>
        <x:v>15147</x:v>
      </x:c>
      <x:c r="L24" s="76" t="n">
        <x:v>0</x:v>
      </x:c>
      <x:c r="M24" s="76" t="n">
        <x:v>15147</x:v>
      </x:c>
      <x:c r="N24" s="79" t="n">
        <x:f>K24-L24</x:f>
        <x:v>15147</x:v>
      </x:c>
      <x:c r="O24" s="91" t="str">
        <x:f>IF(N24&lt;=1,"已结清",IF(C24&lt;'封面与口径'!$I$13,"逾期","待付款"))</x:f>
        <x:v>待付款</x:v>
      </x:c>
      <x:c r="P24" s="67" t="n">
        <x:v>6</x:v>
      </x:c>
      <x:c r="Q24" s="67" t="str">
        <x:v>S-模拟供应商账单</x:v>
      </x:c>
    </x:row>
    <x:row r="25">
      <x:c r="A25" s="67" t="str">
        <x:v>AP-0021</x:v>
      </x:c>
      <x:c r="B25" s="73" t="n">
        <x:v>46208.5</x:v>
      </x:c>
      <x:c r="C25" s="73" t="n">
        <x:v>46225.5</x:v>
      </x:c>
      <x:c r="D25" s="67" t="str">
        <x:v>S04</x:v>
      </x:c>
      <x:c r="E25" s="67" t="str">
        <x:v>金街美地店</x:v>
      </x:c>
      <x:c r="F25" s="67" t="str">
        <x:v>绿源蔬菜合作社</x:v>
      </x:c>
      <x:c r="G25" s="67" t="str">
        <x:v>蔬菜</x:v>
      </x:c>
      <x:c r="H25" s="76" t="n">
        <x:v>18587.05</x:v>
      </x:c>
      <x:c r="I25" s="76" t="n">
        <x:v>74.05</x:v>
      </x:c>
      <x:c r="J25" s="76" t="n">
        <x:v>0</x:v>
      </x:c>
      <x:c r="K25" s="79" t="n">
        <x:f>H25-I25-J25</x:f>
        <x:v>18513</x:v>
      </x:c>
      <x:c r="L25" s="76" t="n">
        <x:v>0</x:v>
      </x:c>
      <x:c r="M25" s="76" t="n">
        <x:v>18513</x:v>
      </x:c>
      <x:c r="N25" s="79" t="n">
        <x:f>K25-L25</x:f>
        <x:v>18513</x:v>
      </x:c>
      <x:c r="O25" s="91" t="str">
        <x:f>IF(N25&lt;=1,"已结清",IF(C25&lt;'封面与口径'!$I$13,"逾期","待付款"))</x:f>
        <x:v>待付款</x:v>
      </x:c>
      <x:c r="P25" s="67" t="n">
        <x:v>11</x:v>
      </x:c>
      <x:c r="Q25" s="67" t="str">
        <x:v>S-模拟供应商账单</x:v>
      </x:c>
    </x:row>
    <x:row r="26">
      <x:c r="A26" s="67" t="str">
        <x:v>AP-0022</x:v>
      </x:c>
      <x:c r="B26" s="73" t="n">
        <x:v>46208.5</x:v>
      </x:c>
      <x:c r="C26" s="73" t="n">
        <x:v>46230.5</x:v>
      </x:c>
      <x:c r="D26" s="67" t="str">
        <x:v>S04</x:v>
      </x:c>
      <x:c r="E26" s="67" t="str">
        <x:v>金街美地店</x:v>
      </x:c>
      <x:c r="F26" s="67" t="str">
        <x:v>东海鲜配</x:v>
      </x:c>
      <x:c r="G26" s="67" t="str">
        <x:v>水产</x:v>
      </x:c>
      <x:c r="H26" s="76" t="n">
        <x:v>10098</x:v>
      </x:c>
      <x:c r="I26" s="76" t="n">
        <x:v>0</x:v>
      </x:c>
      <x:c r="J26" s="76" t="n">
        <x:v>0</x:v>
      </x:c>
      <x:c r="K26" s="79" t="n">
        <x:f>H26-I26-J26</x:f>
        <x:v>10098</x:v>
      </x:c>
      <x:c r="L26" s="76" t="n">
        <x:v>0</x:v>
      </x:c>
      <x:c r="M26" s="76" t="n">
        <x:v>10098</x:v>
      </x:c>
      <x:c r="N26" s="79" t="n">
        <x:f>K26-L26</x:f>
        <x:v>10098</x:v>
      </x:c>
      <x:c r="O26" s="91" t="str">
        <x:f>IF(N26&lt;=1,"已结清",IF(C26&lt;'封面与口径'!$I$13,"逾期","待付款"))</x:f>
        <x:v>待付款</x:v>
      </x:c>
      <x:c r="P26" s="67" t="n">
        <x:v>16</x:v>
      </x:c>
      <x:c r="Q26" s="67" t="str">
        <x:v>S-模拟供应商账单</x:v>
      </x:c>
    </x:row>
    <x:row r="27">
      <x:c r="A27" s="67" t="str">
        <x:v>AP-0023</x:v>
      </x:c>
      <x:c r="B27" s="73" t="n">
        <x:v>46208.5</x:v>
      </x:c>
      <x:c r="C27" s="73" t="n">
        <x:v>46234.5</x:v>
      </x:c>
      <x:c r="D27" s="67" t="str">
        <x:v>S04</x:v>
      </x:c>
      <x:c r="E27" s="67" t="str">
        <x:v>金街美地店</x:v>
      </x:c>
      <x:c r="F27" s="67" t="str">
        <x:v>湘味干调商行</x:v>
      </x:c>
      <x:c r="G27" s="67" t="str">
        <x:v>干货调味</x:v>
      </x:c>
      <x:c r="H27" s="76" t="n">
        <x:v>11781</x:v>
      </x:c>
      <x:c r="I27" s="76" t="n">
        <x:v>0</x:v>
      </x:c>
      <x:c r="J27" s="76" t="n">
        <x:v>0</x:v>
      </x:c>
      <x:c r="K27" s="79" t="n">
        <x:f>H27-I27-J27</x:f>
        <x:v>11781</x:v>
      </x:c>
      <x:c r="L27" s="76" t="n">
        <x:v>0</x:v>
      </x:c>
      <x:c r="M27" s="76" t="n">
        <x:v>11781</x:v>
      </x:c>
      <x:c r="N27" s="79" t="n">
        <x:f>K27-L27</x:f>
        <x:v>11781</x:v>
      </x:c>
      <x:c r="O27" s="91" t="str">
        <x:f>IF(N27&lt;=1,"已结清",IF(C27&lt;'封面与口径'!$I$13,"逾期","待付款"))</x:f>
        <x:v>待付款</x:v>
      </x:c>
      <x:c r="P27" s="67" t="n">
        <x:v>20</x:v>
      </x:c>
      <x:c r="Q27" s="67" t="str">
        <x:v>S-模拟供应商账单</x:v>
      </x:c>
    </x:row>
    <x:row r="28">
      <x:c r="A28" s="67" t="str">
        <x:v>AP-0024</x:v>
      </x:c>
      <x:c r="B28" s="73" t="n">
        <x:v>46208.5</x:v>
      </x:c>
      <x:c r="C28" s="73" t="n">
        <x:v>46239.5</x:v>
      </x:c>
      <x:c r="D28" s="67" t="str">
        <x:v>S04</x:v>
      </x:c>
      <x:c r="E28" s="67" t="str">
        <x:v>金街美地店</x:v>
      </x:c>
      <x:c r="F28" s="67" t="str">
        <x:v>城西蛋豆供应</x:v>
      </x:c>
      <x:c r="G28" s="67" t="str">
        <x:v>蛋品豆制品</x:v>
      </x:c>
      <x:c r="H28" s="76" t="n">
        <x:v>6732</x:v>
      </x:c>
      <x:c r="I28" s="76" t="n">
        <x:v>0</x:v>
      </x:c>
      <x:c r="J28" s="76" t="n">
        <x:v>0</x:v>
      </x:c>
      <x:c r="K28" s="79" t="n">
        <x:f>H28-I28-J28</x:f>
        <x:v>6732</x:v>
      </x:c>
      <x:c r="L28" s="76" t="n">
        <x:v>0</x:v>
      </x:c>
      <x:c r="M28" s="76" t="n">
        <x:v>6732</x:v>
      </x:c>
      <x:c r="N28" s="79" t="n">
        <x:f>K28-L28</x:f>
        <x:v>6732</x:v>
      </x:c>
      <x:c r="O28" s="91" t="str">
        <x:f>IF(N28&lt;=1,"已结清",IF(C28&lt;'封面与口径'!$I$13,"逾期","待付款"))</x:f>
        <x:v>待付款</x:v>
      </x:c>
      <x:c r="P28" s="67" t="n">
        <x:v>25</x:v>
      </x:c>
      <x:c r="Q28" s="67" t="str">
        <x:v>S-模拟供应商账单</x:v>
      </x:c>
    </x:row>
    <x:row r="29">
      <x:c r="A29" s="67" t="str">
        <x:v>AP-0025</x:v>
      </x:c>
      <x:c r="B29" s="73" t="n">
        <x:v>46208.5</x:v>
      </x:c>
      <x:c r="C29" s="73" t="n">
        <x:v>46215.5</x:v>
      </x:c>
      <x:c r="D29" s="67" t="str">
        <x:v>S05</x:v>
      </x:c>
      <x:c r="E29" s="67" t="str">
        <x:v>同顺街店</x:v>
      </x:c>
      <x:c r="F29" s="67" t="str">
        <x:v>杭鲜牛肉供应链</x:v>
      </x:c>
      <x:c r="G29" s="67" t="str">
        <x:v>牛肉</x:v>
      </x:c>
      <x:c r="H29" s="76" t="n">
        <x:v>21320.960000000003</x:v>
      </x:c>
      <x:c r="I29" s="76" t="n">
        <x:v>0</x:v>
      </x:c>
      <x:c r="J29" s="76" t="n">
        <x:v>42.56</x:v>
      </x:c>
      <x:c r="K29" s="79" t="n">
        <x:f>H29-I29-J29</x:f>
        <x:v>21278.4</x:v>
      </x:c>
      <x:c r="L29" s="76" t="n">
        <x:v>21278.4</x:v>
      </x:c>
      <x:c r="M29" s="76" t="n">
        <x:v>0</x:v>
      </x:c>
      <x:c r="N29" s="79" t="n">
        <x:f>K29-L29</x:f>
        <x:v>0</x:v>
      </x:c>
      <x:c r="O29" s="91" t="str">
        <x:f>IF(N29&lt;=1,"已结清",IF(C29&lt;'封面与口径'!$I$13,"逾期","待付款"))</x:f>
        <x:v>已结清</x:v>
      </x:c>
      <x:c r="P29" s="67" t="n">
        <x:v>1</x:v>
      </x:c>
      <x:c r="Q29" s="67" t="str">
        <x:v>S-模拟供应商账单</x:v>
      </x:c>
    </x:row>
    <x:row r="30">
      <x:c r="A30" s="67" t="str">
        <x:v>AP-0026</x:v>
      </x:c>
      <x:c r="B30" s="73" t="n">
        <x:v>46208.5</x:v>
      </x:c>
      <x:c r="C30" s="73" t="n">
        <x:v>46220.5</x:v>
      </x:c>
      <x:c r="D30" s="67" t="str">
        <x:v>S05</x:v>
      </x:c>
      <x:c r="E30" s="67" t="str">
        <x:v>同顺街店</x:v>
      </x:c>
      <x:c r="F30" s="67" t="str">
        <x:v>钱塘肉类配送</x:v>
      </x:c>
      <x:c r="G30" s="67" t="str">
        <x:v>猪肉禽畜</x:v>
      </x:c>
      <x:c r="H30" s="76" t="n">
        <x:v>14731.2</x:v>
      </x:c>
      <x:c r="I30" s="76" t="n">
        <x:v>0</x:v>
      </x:c>
      <x:c r="J30" s="76" t="n">
        <x:v>0</x:v>
      </x:c>
      <x:c r="K30" s="79" t="n">
        <x:f>H30-I30-J30</x:f>
        <x:v>14731.2</x:v>
      </x:c>
      <x:c r="L30" s="76" t="n">
        <x:v>0</x:v>
      </x:c>
      <x:c r="M30" s="76" t="n">
        <x:v>14731.2</x:v>
      </x:c>
      <x:c r="N30" s="79" t="n">
        <x:f>K30-L30</x:f>
        <x:v>14731.2</x:v>
      </x:c>
      <x:c r="O30" s="91" t="str">
        <x:f>IF(N30&lt;=1,"已结清",IF(C30&lt;'封面与口径'!$I$13,"逾期","待付款"))</x:f>
        <x:v>待付款</x:v>
      </x:c>
      <x:c r="P30" s="67" t="n">
        <x:v>6</x:v>
      </x:c>
      <x:c r="Q30" s="67" t="str">
        <x:v>S-模拟供应商账单</x:v>
      </x:c>
    </x:row>
    <x:row r="31">
      <x:c r="A31" s="67" t="str">
        <x:v>AP-0027</x:v>
      </x:c>
      <x:c r="B31" s="73" t="n">
        <x:v>46208.5</x:v>
      </x:c>
      <x:c r="C31" s="73" t="n">
        <x:v>46225.5</x:v>
      </x:c>
      <x:c r="D31" s="67" t="str">
        <x:v>S05</x:v>
      </x:c>
      <x:c r="E31" s="67" t="str">
        <x:v>同顺街店</x:v>
      </x:c>
      <x:c r="F31" s="67" t="str">
        <x:v>绿源蔬菜合作社</x:v>
      </x:c>
      <x:c r="G31" s="67" t="str">
        <x:v>蔬菜</x:v>
      </x:c>
      <x:c r="H31" s="76" t="n">
        <x:v>18076.82</x:v>
      </x:c>
      <x:c r="I31" s="76" t="n">
        <x:v>72.02</x:v>
      </x:c>
      <x:c r="J31" s="76" t="n">
        <x:v>0</x:v>
      </x:c>
      <x:c r="K31" s="79" t="n">
        <x:f>H31-I31-J31</x:f>
        <x:v>18004.8</x:v>
      </x:c>
      <x:c r="L31" s="76" t="n">
        <x:v>0</x:v>
      </x:c>
      <x:c r="M31" s="76" t="n">
        <x:v>18004.8</x:v>
      </x:c>
      <x:c r="N31" s="79" t="n">
        <x:f>K31-L31</x:f>
        <x:v>18004.8</x:v>
      </x:c>
      <x:c r="O31" s="91" t="str">
        <x:f>IF(N31&lt;=1,"已结清",IF(C31&lt;'封面与口径'!$I$13,"逾期","待付款"))</x:f>
        <x:v>待付款</x:v>
      </x:c>
      <x:c r="P31" s="67" t="n">
        <x:v>11</x:v>
      </x:c>
      <x:c r="Q31" s="67" t="str">
        <x:v>S-模拟供应商账单</x:v>
      </x:c>
    </x:row>
    <x:row r="32">
      <x:c r="A32" s="67" t="str">
        <x:v>AP-0028</x:v>
      </x:c>
      <x:c r="B32" s="73" t="n">
        <x:v>46208.5</x:v>
      </x:c>
      <x:c r="C32" s="73" t="n">
        <x:v>46230.5</x:v>
      </x:c>
      <x:c r="D32" s="67" t="str">
        <x:v>S05</x:v>
      </x:c>
      <x:c r="E32" s="67" t="str">
        <x:v>同顺街店</x:v>
      </x:c>
      <x:c r="F32" s="67" t="str">
        <x:v>东海鲜配</x:v>
      </x:c>
      <x:c r="G32" s="67" t="str">
        <x:v>水产</x:v>
      </x:c>
      <x:c r="H32" s="76" t="n">
        <x:v>9820.8</x:v>
      </x:c>
      <x:c r="I32" s="76" t="n">
        <x:v>0</x:v>
      </x:c>
      <x:c r="J32" s="76" t="n">
        <x:v>0</x:v>
      </x:c>
      <x:c r="K32" s="79" t="n">
        <x:f>H32-I32-J32</x:f>
        <x:v>9820.8</x:v>
      </x:c>
      <x:c r="L32" s="76" t="n">
        <x:v>0</x:v>
      </x:c>
      <x:c r="M32" s="76" t="n">
        <x:v>9820.8</x:v>
      </x:c>
      <x:c r="N32" s="79" t="n">
        <x:f>K32-L32</x:f>
        <x:v>9820.8</x:v>
      </x:c>
      <x:c r="O32" s="91" t="str">
        <x:f>IF(N32&lt;=1,"已结清",IF(C32&lt;'封面与口径'!$I$13,"逾期","待付款"))</x:f>
        <x:v>待付款</x:v>
      </x:c>
      <x:c r="P32" s="67" t="n">
        <x:v>16</x:v>
      </x:c>
      <x:c r="Q32" s="67" t="str">
        <x:v>S-模拟供应商账单</x:v>
      </x:c>
    </x:row>
    <x:row r="33">
      <x:c r="A33" s="67" t="str">
        <x:v>AP-0029</x:v>
      </x:c>
      <x:c r="B33" s="73" t="n">
        <x:v>46208.5</x:v>
      </x:c>
      <x:c r="C33" s="73" t="n">
        <x:v>46234.5</x:v>
      </x:c>
      <x:c r="D33" s="67" t="str">
        <x:v>S05</x:v>
      </x:c>
      <x:c r="E33" s="67" t="str">
        <x:v>同顺街店</x:v>
      </x:c>
      <x:c r="F33" s="67" t="str">
        <x:v>湘味干调商行</x:v>
      </x:c>
      <x:c r="G33" s="67" t="str">
        <x:v>干货调味</x:v>
      </x:c>
      <x:c r="H33" s="76" t="n">
        <x:v>11457.6</x:v>
      </x:c>
      <x:c r="I33" s="76" t="n">
        <x:v>0</x:v>
      </x:c>
      <x:c r="J33" s="76" t="n">
        <x:v>0</x:v>
      </x:c>
      <x:c r="K33" s="79" t="n">
        <x:f>H33-I33-J33</x:f>
        <x:v>11457.6</x:v>
      </x:c>
      <x:c r="L33" s="76" t="n">
        <x:v>0</x:v>
      </x:c>
      <x:c r="M33" s="76" t="n">
        <x:v>11457.6</x:v>
      </x:c>
      <x:c r="N33" s="79" t="n">
        <x:f>K33-L33</x:f>
        <x:v>11457.6</x:v>
      </x:c>
      <x:c r="O33" s="91" t="str">
        <x:f>IF(N33&lt;=1,"已结清",IF(C33&lt;'封面与口径'!$I$13,"逾期","待付款"))</x:f>
        <x:v>待付款</x:v>
      </x:c>
      <x:c r="P33" s="67" t="n">
        <x:v>20</x:v>
      </x:c>
      <x:c r="Q33" s="67" t="str">
        <x:v>S-模拟供应商账单</x:v>
      </x:c>
    </x:row>
    <x:row r="34">
      <x:c r="A34" s="67" t="str">
        <x:v>AP-0030</x:v>
      </x:c>
      <x:c r="B34" s="73" t="n">
        <x:v>46208.5</x:v>
      </x:c>
      <x:c r="C34" s="73" t="n">
        <x:v>46239.5</x:v>
      </x:c>
      <x:c r="D34" s="67" t="str">
        <x:v>S05</x:v>
      </x:c>
      <x:c r="E34" s="67" t="str">
        <x:v>同顺街店</x:v>
      </x:c>
      <x:c r="F34" s="67" t="str">
        <x:v>城西蛋豆供应</x:v>
      </x:c>
      <x:c r="G34" s="67" t="str">
        <x:v>蛋品豆制品</x:v>
      </x:c>
      <x:c r="H34" s="76" t="n">
        <x:v>6547.2</x:v>
      </x:c>
      <x:c r="I34" s="76" t="n">
        <x:v>0</x:v>
      </x:c>
      <x:c r="J34" s="76" t="n">
        <x:v>0</x:v>
      </x:c>
      <x:c r="K34" s="79" t="n">
        <x:f>H34-I34-J34</x:f>
        <x:v>6547.2</x:v>
      </x:c>
      <x:c r="L34" s="76" t="n">
        <x:v>0</x:v>
      </x:c>
      <x:c r="M34" s="76" t="n">
        <x:v>6547.2</x:v>
      </x:c>
      <x:c r="N34" s="79" t="n">
        <x:f>K34-L34</x:f>
        <x:v>6547.2</x:v>
      </x:c>
      <x:c r="O34" s="91" t="str">
        <x:f>IF(N34&lt;=1,"已结清",IF(C34&lt;'封面与口径'!$I$13,"逾期","待付款"))</x:f>
        <x:v>待付款</x:v>
      </x:c>
      <x:c r="P34" s="67" t="n">
        <x:v>25</x:v>
      </x:c>
      <x:c r="Q34" s="67" t="str">
        <x:v>S-模拟供应商账单</x:v>
      </x:c>
    </x:row>
    <x:row r="35">
      <x:c r="A35" s="67" t="str">
        <x:v>AP-0031</x:v>
      </x:c>
      <x:c r="B35" s="73" t="n">
        <x:v>46208.5</x:v>
      </x:c>
      <x:c r="C35" s="73" t="n">
        <x:v>46215.5</x:v>
      </x:c>
      <x:c r="D35" s="67" t="str">
        <x:v>S06</x:v>
      </x:c>
      <x:c r="E35" s="67" t="str">
        <x:v>蓝钻天城店</x:v>
      </x:c>
      <x:c r="F35" s="67" t="str">
        <x:v>杭鲜牛肉供应链</x:v>
      </x:c>
      <x:c r="G35" s="67" t="str">
        <x:v>牛肉</x:v>
      </x:c>
      <x:c r="H35" s="76" t="n">
        <x:v>20633.18</x:v>
      </x:c>
      <x:c r="I35" s="76" t="n">
        <x:v>0</x:v>
      </x:c>
      <x:c r="J35" s="76" t="n">
        <x:v>41.18</x:v>
      </x:c>
      <x:c r="K35" s="79" t="n">
        <x:f>H35-I35-J35</x:f>
        <x:v>20592</x:v>
      </x:c>
      <x:c r="L35" s="76" t="n">
        <x:v>20592</x:v>
      </x:c>
      <x:c r="M35" s="76" t="n">
        <x:v>0</x:v>
      </x:c>
      <x:c r="N35" s="79" t="n">
        <x:f>K35-L35</x:f>
        <x:v>0</x:v>
      </x:c>
      <x:c r="O35" s="91" t="str">
        <x:f>IF(N35&lt;=1,"已结清",IF(C35&lt;'封面与口径'!$I$13,"逾期","待付款"))</x:f>
        <x:v>已结清</x:v>
      </x:c>
      <x:c r="P35" s="67" t="n">
        <x:v>1</x:v>
      </x:c>
      <x:c r="Q35" s="67" t="str">
        <x:v>S-模拟供应商账单</x:v>
      </x:c>
    </x:row>
    <x:row r="36">
      <x:c r="A36" s="67" t="str">
        <x:v>AP-0032</x:v>
      </x:c>
      <x:c r="B36" s="73" t="n">
        <x:v>46208.5</x:v>
      </x:c>
      <x:c r="C36" s="73" t="n">
        <x:v>46220.5</x:v>
      </x:c>
      <x:c r="D36" s="67" t="str">
        <x:v>S06</x:v>
      </x:c>
      <x:c r="E36" s="67" t="str">
        <x:v>蓝钻天城店</x:v>
      </x:c>
      <x:c r="F36" s="67" t="str">
        <x:v>钱塘肉类配送</x:v>
      </x:c>
      <x:c r="G36" s="67" t="str">
        <x:v>猪肉禽畜</x:v>
      </x:c>
      <x:c r="H36" s="76" t="n">
        <x:v>14256</x:v>
      </x:c>
      <x:c r="I36" s="76" t="n">
        <x:v>0</x:v>
      </x:c>
      <x:c r="J36" s="76" t="n">
        <x:v>0</x:v>
      </x:c>
      <x:c r="K36" s="79" t="n">
        <x:f>H36-I36-J36</x:f>
        <x:v>14256</x:v>
      </x:c>
      <x:c r="L36" s="76" t="n">
        <x:v>0</x:v>
      </x:c>
      <x:c r="M36" s="76" t="n">
        <x:v>14256</x:v>
      </x:c>
      <x:c r="N36" s="79" t="n">
        <x:f>K36-L36</x:f>
        <x:v>14256</x:v>
      </x:c>
      <x:c r="O36" s="91" t="str">
        <x:f>IF(N36&lt;=1,"已结清",IF(C36&lt;'封面与口径'!$I$13,"逾期","待付款"))</x:f>
        <x:v>待付款</x:v>
      </x:c>
      <x:c r="P36" s="67" t="n">
        <x:v>6</x:v>
      </x:c>
      <x:c r="Q36" s="67" t="str">
        <x:v>S-模拟供应商账单</x:v>
      </x:c>
    </x:row>
    <x:row r="37">
      <x:c r="A37" s="67" t="str">
        <x:v>AP-0033</x:v>
      </x:c>
      <x:c r="B37" s="73" t="n">
        <x:v>46208.5</x:v>
      </x:c>
      <x:c r="C37" s="73" t="n">
        <x:v>46225.5</x:v>
      </x:c>
      <x:c r="D37" s="67" t="str">
        <x:v>S06</x:v>
      </x:c>
      <x:c r="E37" s="67" t="str">
        <x:v>蓝钻天城店</x:v>
      </x:c>
      <x:c r="F37" s="67" t="str">
        <x:v>绿源蔬菜合作社</x:v>
      </x:c>
      <x:c r="G37" s="67" t="str">
        <x:v>蔬菜</x:v>
      </x:c>
      <x:c r="H37" s="76" t="n">
        <x:v>17493.7</x:v>
      </x:c>
      <x:c r="I37" s="76" t="n">
        <x:v>69.7</x:v>
      </x:c>
      <x:c r="J37" s="76" t="n">
        <x:v>0</x:v>
      </x:c>
      <x:c r="K37" s="79" t="n">
        <x:f>H37-I37-J37</x:f>
        <x:v>17424</x:v>
      </x:c>
      <x:c r="L37" s="76" t="n">
        <x:v>0</x:v>
      </x:c>
      <x:c r="M37" s="76" t="n">
        <x:v>17424</x:v>
      </x:c>
      <x:c r="N37" s="79" t="n">
        <x:f>K37-L37</x:f>
        <x:v>17424</x:v>
      </x:c>
      <x:c r="O37" s="91" t="str">
        <x:f>IF(N37&lt;=1,"已结清",IF(C37&lt;'封面与口径'!$I$13,"逾期","待付款"))</x:f>
        <x:v>待付款</x:v>
      </x:c>
      <x:c r="P37" s="67" t="n">
        <x:v>11</x:v>
      </x:c>
      <x:c r="Q37" s="67" t="str">
        <x:v>S-模拟供应商账单</x:v>
      </x:c>
    </x:row>
    <x:row r="38">
      <x:c r="A38" s="67" t="str">
        <x:v>AP-0034</x:v>
      </x:c>
      <x:c r="B38" s="73" t="n">
        <x:v>46208.5</x:v>
      </x:c>
      <x:c r="C38" s="73" t="n">
        <x:v>46230.5</x:v>
      </x:c>
      <x:c r="D38" s="67" t="str">
        <x:v>S06</x:v>
      </x:c>
      <x:c r="E38" s="67" t="str">
        <x:v>蓝钻天城店</x:v>
      </x:c>
      <x:c r="F38" s="67" t="str">
        <x:v>东海鲜配</x:v>
      </x:c>
      <x:c r="G38" s="67" t="str">
        <x:v>水产</x:v>
      </x:c>
      <x:c r="H38" s="76" t="n">
        <x:v>9504</x:v>
      </x:c>
      <x:c r="I38" s="76" t="n">
        <x:v>0</x:v>
      </x:c>
      <x:c r="J38" s="76" t="n">
        <x:v>0</x:v>
      </x:c>
      <x:c r="K38" s="79" t="n">
        <x:f>H38-I38-J38</x:f>
        <x:v>9504</x:v>
      </x:c>
      <x:c r="L38" s="76" t="n">
        <x:v>0</x:v>
      </x:c>
      <x:c r="M38" s="76" t="n">
        <x:v>9504</x:v>
      </x:c>
      <x:c r="N38" s="79" t="n">
        <x:f>K38-L38</x:f>
        <x:v>9504</x:v>
      </x:c>
      <x:c r="O38" s="91" t="str">
        <x:f>IF(N38&lt;=1,"已结清",IF(C38&lt;'封面与口径'!$I$13,"逾期","待付款"))</x:f>
        <x:v>待付款</x:v>
      </x:c>
      <x:c r="P38" s="67" t="n">
        <x:v>16</x:v>
      </x:c>
      <x:c r="Q38" s="67" t="str">
        <x:v>S-模拟供应商账单</x:v>
      </x:c>
    </x:row>
    <x:row r="39">
      <x:c r="A39" s="67" t="str">
        <x:v>AP-0035</x:v>
      </x:c>
      <x:c r="B39" s="73" t="n">
        <x:v>46208.5</x:v>
      </x:c>
      <x:c r="C39" s="73" t="n">
        <x:v>46234.5</x:v>
      </x:c>
      <x:c r="D39" s="67" t="str">
        <x:v>S06</x:v>
      </x:c>
      <x:c r="E39" s="67" t="str">
        <x:v>蓝钻天城店</x:v>
      </x:c>
      <x:c r="F39" s="67" t="str">
        <x:v>湘味干调商行</x:v>
      </x:c>
      <x:c r="G39" s="67" t="str">
        <x:v>干货调味</x:v>
      </x:c>
      <x:c r="H39" s="76" t="n">
        <x:v>11088</x:v>
      </x:c>
      <x:c r="I39" s="76" t="n">
        <x:v>0</x:v>
      </x:c>
      <x:c r="J39" s="76" t="n">
        <x:v>0</x:v>
      </x:c>
      <x:c r="K39" s="79" t="n">
        <x:f>H39-I39-J39</x:f>
        <x:v>11088</x:v>
      </x:c>
      <x:c r="L39" s="76" t="n">
        <x:v>0</x:v>
      </x:c>
      <x:c r="M39" s="76" t="n">
        <x:v>11088</x:v>
      </x:c>
      <x:c r="N39" s="79" t="n">
        <x:f>K39-L39</x:f>
        <x:v>11088</x:v>
      </x:c>
      <x:c r="O39" s="91" t="str">
        <x:f>IF(N39&lt;=1,"已结清",IF(C39&lt;'封面与口径'!$I$13,"逾期","待付款"))</x:f>
        <x:v>待付款</x:v>
      </x:c>
      <x:c r="P39" s="67" t="n">
        <x:v>20</x:v>
      </x:c>
      <x:c r="Q39" s="67" t="str">
        <x:v>S-模拟供应商账单</x:v>
      </x:c>
    </x:row>
    <x:row r="40">
      <x:c r="A40" s="67" t="str">
        <x:v>AP-0036</x:v>
      </x:c>
      <x:c r="B40" s="73" t="n">
        <x:v>46208.5</x:v>
      </x:c>
      <x:c r="C40" s="73" t="n">
        <x:v>46239.5</x:v>
      </x:c>
      <x:c r="D40" s="67" t="str">
        <x:v>S06</x:v>
      </x:c>
      <x:c r="E40" s="67" t="str">
        <x:v>蓝钻天城店</x:v>
      </x:c>
      <x:c r="F40" s="67" t="str">
        <x:v>城西蛋豆供应</x:v>
      </x:c>
      <x:c r="G40" s="67" t="str">
        <x:v>蛋品豆制品</x:v>
      </x:c>
      <x:c r="H40" s="76" t="n">
        <x:v>6336</x:v>
      </x:c>
      <x:c r="I40" s="76" t="n">
        <x:v>0</x:v>
      </x:c>
      <x:c r="J40" s="76" t="n">
        <x:v>0</x:v>
      </x:c>
      <x:c r="K40" s="79" t="n">
        <x:f>H40-I40-J40</x:f>
        <x:v>6336</x:v>
      </x:c>
      <x:c r="L40" s="76" t="n">
        <x:v>0</x:v>
      </x:c>
      <x:c r="M40" s="76" t="n">
        <x:v>6336</x:v>
      </x:c>
      <x:c r="N40" s="79" t="n">
        <x:f>K40-L40</x:f>
        <x:v>6336</x:v>
      </x:c>
      <x:c r="O40" s="91" t="str">
        <x:f>IF(N40&lt;=1,"已结清",IF(C40&lt;'封面与口径'!$I$13,"逾期","待付款"))</x:f>
        <x:v>待付款</x:v>
      </x:c>
      <x:c r="P40" s="67" t="n">
        <x:v>25</x:v>
      </x:c>
      <x:c r="Q40" s="67" t="str">
        <x:v>S-模拟供应商账单</x:v>
      </x:c>
    </x:row>
    <x:row r="41">
      <x:c r="A41" s="67" t="str">
        <x:v>AP-0037</x:v>
      </x:c>
      <x:c r="B41" s="73" t="n">
        <x:v>46208.5</x:v>
      </x:c>
      <x:c r="C41" s="73" t="n">
        <x:v>46215.5</x:v>
      </x:c>
      <x:c r="D41" s="67" t="str">
        <x:v>S07</x:v>
      </x:c>
      <x:c r="E41" s="67" t="str">
        <x:v>小和山店</x:v>
      </x:c>
      <x:c r="F41" s="67" t="str">
        <x:v>杭鲜牛肉供应链</x:v>
      </x:c>
      <x:c r="G41" s="67" t="str">
        <x:v>牛肉</x:v>
      </x:c>
      <x:c r="H41" s="76" t="n">
        <x:v>19773.47</x:v>
      </x:c>
      <x:c r="I41" s="76" t="n">
        <x:v>0</x:v>
      </x:c>
      <x:c r="J41" s="76" t="n">
        <x:v>39.47</x:v>
      </x:c>
      <x:c r="K41" s="79" t="n">
        <x:f>H41-I41-J41</x:f>
        <x:v>19734</x:v>
      </x:c>
      <x:c r="L41" s="76" t="n">
        <x:v>19734</x:v>
      </x:c>
      <x:c r="M41" s="76" t="n">
        <x:v>0</x:v>
      </x:c>
      <x:c r="N41" s="79" t="n">
        <x:f>K41-L41</x:f>
        <x:v>0</x:v>
      </x:c>
      <x:c r="O41" s="91" t="str">
        <x:f>IF(N41&lt;=1,"已结清",IF(C41&lt;'封面与口径'!$I$13,"逾期","待付款"))</x:f>
        <x:v>已结清</x:v>
      </x:c>
      <x:c r="P41" s="67" t="n">
        <x:v>1</x:v>
      </x:c>
      <x:c r="Q41" s="67" t="str">
        <x:v>S-模拟供应商账单</x:v>
      </x:c>
    </x:row>
    <x:row r="42">
      <x:c r="A42" s="67" t="str">
        <x:v>AP-0038</x:v>
      </x:c>
      <x:c r="B42" s="73" t="n">
        <x:v>46208.5</x:v>
      </x:c>
      <x:c r="C42" s="73" t="n">
        <x:v>46220.5</x:v>
      </x:c>
      <x:c r="D42" s="67" t="str">
        <x:v>S07</x:v>
      </x:c>
      <x:c r="E42" s="67" t="str">
        <x:v>小和山店</x:v>
      </x:c>
      <x:c r="F42" s="67" t="str">
        <x:v>钱塘肉类配送</x:v>
      </x:c>
      <x:c r="G42" s="67" t="str">
        <x:v>猪肉禽畜</x:v>
      </x:c>
      <x:c r="H42" s="76" t="n">
        <x:v>13662</x:v>
      </x:c>
      <x:c r="I42" s="76" t="n">
        <x:v>0</x:v>
      </x:c>
      <x:c r="J42" s="76" t="n">
        <x:v>0</x:v>
      </x:c>
      <x:c r="K42" s="79" t="n">
        <x:f>H42-I42-J42</x:f>
        <x:v>13662</x:v>
      </x:c>
      <x:c r="L42" s="76" t="n">
        <x:v>0</x:v>
      </x:c>
      <x:c r="M42" s="76" t="n">
        <x:v>13662</x:v>
      </x:c>
      <x:c r="N42" s="79" t="n">
        <x:f>K42-L42</x:f>
        <x:v>13662</x:v>
      </x:c>
      <x:c r="O42" s="91" t="str">
        <x:f>IF(N42&lt;=1,"已结清",IF(C42&lt;'封面与口径'!$I$13,"逾期","待付款"))</x:f>
        <x:v>待付款</x:v>
      </x:c>
      <x:c r="P42" s="67" t="n">
        <x:v>6</x:v>
      </x:c>
      <x:c r="Q42" s="67" t="str">
        <x:v>S-模拟供应商账单</x:v>
      </x:c>
    </x:row>
    <x:row r="43">
      <x:c r="A43" s="67" t="str">
        <x:v>AP-0039</x:v>
      </x:c>
      <x:c r="B43" s="73" t="n">
        <x:v>46208.5</x:v>
      </x:c>
      <x:c r="C43" s="73" t="n">
        <x:v>46225.5</x:v>
      </x:c>
      <x:c r="D43" s="67" t="str">
        <x:v>S07</x:v>
      </x:c>
      <x:c r="E43" s="67" t="str">
        <x:v>小和山店</x:v>
      </x:c>
      <x:c r="F43" s="67" t="str">
        <x:v>绿源蔬菜合作社</x:v>
      </x:c>
      <x:c r="G43" s="67" t="str">
        <x:v>蔬菜</x:v>
      </x:c>
      <x:c r="H43" s="76" t="n">
        <x:v>16764.79</x:v>
      </x:c>
      <x:c r="I43" s="76" t="n">
        <x:v>66.79</x:v>
      </x:c>
      <x:c r="J43" s="76" t="n">
        <x:v>0</x:v>
      </x:c>
      <x:c r="K43" s="79" t="n">
        <x:f>H43-I43-J43</x:f>
        <x:v>16698</x:v>
      </x:c>
      <x:c r="L43" s="76" t="n">
        <x:v>0</x:v>
      </x:c>
      <x:c r="M43" s="76" t="n">
        <x:v>16698</x:v>
      </x:c>
      <x:c r="N43" s="79" t="n">
        <x:f>K43-L43</x:f>
        <x:v>16698</x:v>
      </x:c>
      <x:c r="O43" s="91" t="str">
        <x:f>IF(N43&lt;=1,"已结清",IF(C43&lt;'封面与口径'!$I$13,"逾期","待付款"))</x:f>
        <x:v>待付款</x:v>
      </x:c>
      <x:c r="P43" s="67" t="n">
        <x:v>11</x:v>
      </x:c>
      <x:c r="Q43" s="67" t="str">
        <x:v>S-模拟供应商账单</x:v>
      </x:c>
    </x:row>
    <x:row r="44">
      <x:c r="A44" s="67" t="str">
        <x:v>AP-0040</x:v>
      </x:c>
      <x:c r="B44" s="73" t="n">
        <x:v>46208.5</x:v>
      </x:c>
      <x:c r="C44" s="73" t="n">
        <x:v>46230.5</x:v>
      </x:c>
      <x:c r="D44" s="67" t="str">
        <x:v>S07</x:v>
      </x:c>
      <x:c r="E44" s="67" t="str">
        <x:v>小和山店</x:v>
      </x:c>
      <x:c r="F44" s="67" t="str">
        <x:v>东海鲜配</x:v>
      </x:c>
      <x:c r="G44" s="67" t="str">
        <x:v>水产</x:v>
      </x:c>
      <x:c r="H44" s="76" t="n">
        <x:v>9108</x:v>
      </x:c>
      <x:c r="I44" s="76" t="n">
        <x:v>0</x:v>
      </x:c>
      <x:c r="J44" s="76" t="n">
        <x:v>0</x:v>
      </x:c>
      <x:c r="K44" s="79" t="n">
        <x:f>H44-I44-J44</x:f>
        <x:v>9108</x:v>
      </x:c>
      <x:c r="L44" s="76" t="n">
        <x:v>0</x:v>
      </x:c>
      <x:c r="M44" s="76" t="n">
        <x:v>9108</x:v>
      </x:c>
      <x:c r="N44" s="79" t="n">
        <x:f>K44-L44</x:f>
        <x:v>9108</x:v>
      </x:c>
      <x:c r="O44" s="91" t="str">
        <x:f>IF(N44&lt;=1,"已结清",IF(C44&lt;'封面与口径'!$I$13,"逾期","待付款"))</x:f>
        <x:v>待付款</x:v>
      </x:c>
      <x:c r="P44" s="67" t="n">
        <x:v>16</x:v>
      </x:c>
      <x:c r="Q44" s="67" t="str">
        <x:v>S-模拟供应商账单</x:v>
      </x:c>
    </x:row>
    <x:row r="45">
      <x:c r="A45" s="67" t="str">
        <x:v>AP-0041</x:v>
      </x:c>
      <x:c r="B45" s="73" t="n">
        <x:v>46208.5</x:v>
      </x:c>
      <x:c r="C45" s="73" t="n">
        <x:v>46234.5</x:v>
      </x:c>
      <x:c r="D45" s="67" t="str">
        <x:v>S07</x:v>
      </x:c>
      <x:c r="E45" s="67" t="str">
        <x:v>小和山店</x:v>
      </x:c>
      <x:c r="F45" s="67" t="str">
        <x:v>湘味干调商行</x:v>
      </x:c>
      <x:c r="G45" s="67" t="str">
        <x:v>干货调味</x:v>
      </x:c>
      <x:c r="H45" s="76" t="n">
        <x:v>10626</x:v>
      </x:c>
      <x:c r="I45" s="76" t="n">
        <x:v>0</x:v>
      </x:c>
      <x:c r="J45" s="76" t="n">
        <x:v>0</x:v>
      </x:c>
      <x:c r="K45" s="79" t="n">
        <x:f>H45-I45-J45</x:f>
        <x:v>10626</x:v>
      </x:c>
      <x:c r="L45" s="76" t="n">
        <x:v>0</x:v>
      </x:c>
      <x:c r="M45" s="76" t="n">
        <x:v>10626</x:v>
      </x:c>
      <x:c r="N45" s="79" t="n">
        <x:f>K45-L45</x:f>
        <x:v>10626</x:v>
      </x:c>
      <x:c r="O45" s="91" t="str">
        <x:f>IF(N45&lt;=1,"已结清",IF(C45&lt;'封面与口径'!$I$13,"逾期","待付款"))</x:f>
        <x:v>待付款</x:v>
      </x:c>
      <x:c r="P45" s="67" t="n">
        <x:v>20</x:v>
      </x:c>
      <x:c r="Q45" s="67" t="str">
        <x:v>S-模拟供应商账单</x:v>
      </x:c>
    </x:row>
    <x:row r="46">
      <x:c r="A46" s="67" t="str">
        <x:v>AP-0042</x:v>
      </x:c>
      <x:c r="B46" s="73" t="n">
        <x:v>46208.5</x:v>
      </x:c>
      <x:c r="C46" s="73" t="n">
        <x:v>46239.5</x:v>
      </x:c>
      <x:c r="D46" s="67" t="str">
        <x:v>S07</x:v>
      </x:c>
      <x:c r="E46" s="67" t="str">
        <x:v>小和山店</x:v>
      </x:c>
      <x:c r="F46" s="67" t="str">
        <x:v>城西蛋豆供应</x:v>
      </x:c>
      <x:c r="G46" s="67" t="str">
        <x:v>蛋品豆制品</x:v>
      </x:c>
      <x:c r="H46" s="76" t="n">
        <x:v>6072</x:v>
      </x:c>
      <x:c r="I46" s="76" t="n">
        <x:v>0</x:v>
      </x:c>
      <x:c r="J46" s="76" t="n">
        <x:v>0</x:v>
      </x:c>
      <x:c r="K46" s="79" t="n">
        <x:f>H46-I46-J46</x:f>
        <x:v>6072</x:v>
      </x:c>
      <x:c r="L46" s="76" t="n">
        <x:v>0</x:v>
      </x:c>
      <x:c r="M46" s="76" t="n">
        <x:v>6072</x:v>
      </x:c>
      <x:c r="N46" s="79" t="n">
        <x:f>K46-L46</x:f>
        <x:v>6072</x:v>
      </x:c>
      <x:c r="O46" s="91" t="str">
        <x:f>IF(N46&lt;=1,"已结清",IF(C46&lt;'封面与口径'!$I$13,"逾期","待付款"))</x:f>
        <x:v>待付款</x:v>
      </x:c>
      <x:c r="P46" s="67" t="n">
        <x:v>25</x:v>
      </x:c>
      <x:c r="Q46" s="67" t="str">
        <x:v>S-模拟供应商账单</x:v>
      </x:c>
    </x:row>
    <x:row r="47">
      <x:c r="A47" s="67" t="str">
        <x:v>AP-0043</x:v>
      </x:c>
      <x:c r="B47" s="73" t="n">
        <x:v>46208.5</x:v>
      </x:c>
      <x:c r="C47" s="73" t="n">
        <x:v>46215.5</x:v>
      </x:c>
      <x:c r="D47" s="67" t="str">
        <x:v>S08</x:v>
      </x:c>
      <x:c r="E47" s="67" t="str">
        <x:v>四季青店</x:v>
      </x:c>
      <x:c r="F47" s="67" t="str">
        <x:v>杭鲜牛肉供应链</x:v>
      </x:c>
      <x:c r="G47" s="67" t="str">
        <x:v>牛肉</x:v>
      </x:c>
      <x:c r="H47" s="76" t="n">
        <x:v>18225.98</x:v>
      </x:c>
      <x:c r="I47" s="76" t="n">
        <x:v>0</x:v>
      </x:c>
      <x:c r="J47" s="76" t="n">
        <x:v>36.38</x:v>
      </x:c>
      <x:c r="K47" s="79" t="n">
        <x:f>H47-I47-J47</x:f>
        <x:v>18189.6</x:v>
      </x:c>
      <x:c r="L47" s="76" t="n">
        <x:v>18189.6</x:v>
      </x:c>
      <x:c r="M47" s="76" t="n">
        <x:v>0</x:v>
      </x:c>
      <x:c r="N47" s="79" t="n">
        <x:f>K47-L47</x:f>
        <x:v>0</x:v>
      </x:c>
      <x:c r="O47" s="91" t="str">
        <x:f>IF(N47&lt;=1,"已结清",IF(C47&lt;'封面与口径'!$I$13,"逾期","待付款"))</x:f>
        <x:v>已结清</x:v>
      </x:c>
      <x:c r="P47" s="67" t="n">
        <x:v>1</x:v>
      </x:c>
      <x:c r="Q47" s="67" t="str">
        <x:v>S-模拟供应商账单</x:v>
      </x:c>
    </x:row>
    <x:row r="48">
      <x:c r="A48" s="67" t="str">
        <x:v>AP-0044</x:v>
      </x:c>
      <x:c r="B48" s="73" t="n">
        <x:v>46208.5</x:v>
      </x:c>
      <x:c r="C48" s="73" t="n">
        <x:v>46220.5</x:v>
      </x:c>
      <x:c r="D48" s="67" t="str">
        <x:v>S08</x:v>
      </x:c>
      <x:c r="E48" s="67" t="str">
        <x:v>四季青店</x:v>
      </x:c>
      <x:c r="F48" s="67" t="str">
        <x:v>钱塘肉类配送</x:v>
      </x:c>
      <x:c r="G48" s="67" t="str">
        <x:v>猪肉禽畜</x:v>
      </x:c>
      <x:c r="H48" s="76" t="n">
        <x:v>12592.8</x:v>
      </x:c>
      <x:c r="I48" s="76" t="n">
        <x:v>0</x:v>
      </x:c>
      <x:c r="J48" s="76" t="n">
        <x:v>0</x:v>
      </x:c>
      <x:c r="K48" s="79" t="n">
        <x:f>H48-I48-J48</x:f>
        <x:v>12592.8</x:v>
      </x:c>
      <x:c r="L48" s="76" t="n">
        <x:v>0</x:v>
      </x:c>
      <x:c r="M48" s="76" t="n">
        <x:v>12592.8</x:v>
      </x:c>
      <x:c r="N48" s="79" t="n">
        <x:f>K48-L48</x:f>
        <x:v>12592.8</x:v>
      </x:c>
      <x:c r="O48" s="91" t="str">
        <x:f>IF(N48&lt;=1,"已结清",IF(C48&lt;'封面与口径'!$I$13,"逾期","待付款"))</x:f>
        <x:v>待付款</x:v>
      </x:c>
      <x:c r="P48" s="67" t="n">
        <x:v>6</x:v>
      </x:c>
      <x:c r="Q48" s="67" t="str">
        <x:v>S-模拟供应商账单</x:v>
      </x:c>
    </x:row>
    <x:row r="49">
      <x:c r="A49" s="67" t="str">
        <x:v>AP-0045</x:v>
      </x:c>
      <x:c r="B49" s="73" t="n">
        <x:v>46208.5</x:v>
      </x:c>
      <x:c r="C49" s="73" t="n">
        <x:v>46225.5</x:v>
      </x:c>
      <x:c r="D49" s="67" t="str">
        <x:v>S08</x:v>
      </x:c>
      <x:c r="E49" s="67" t="str">
        <x:v>四季青店</x:v>
      </x:c>
      <x:c r="F49" s="67" t="str">
        <x:v>绿源蔬菜合作社</x:v>
      </x:c>
      <x:c r="G49" s="67" t="str">
        <x:v>蔬菜</x:v>
      </x:c>
      <x:c r="H49" s="76" t="n">
        <x:v>15452.76</x:v>
      </x:c>
      <x:c r="I49" s="76" t="n">
        <x:v>61.56</x:v>
      </x:c>
      <x:c r="J49" s="76" t="n">
        <x:v>0</x:v>
      </x:c>
      <x:c r="K49" s="79" t="n">
        <x:f>H49-I49-J49</x:f>
        <x:v>15391.2</x:v>
      </x:c>
      <x:c r="L49" s="76" t="n">
        <x:v>0</x:v>
      </x:c>
      <x:c r="M49" s="76" t="n">
        <x:v>15391.2</x:v>
      </x:c>
      <x:c r="N49" s="79" t="n">
        <x:f>K49-L49</x:f>
        <x:v>15391.2</x:v>
      </x:c>
      <x:c r="O49" s="91" t="str">
        <x:f>IF(N49&lt;=1,"已结清",IF(C49&lt;'封面与口径'!$I$13,"逾期","待付款"))</x:f>
        <x:v>待付款</x:v>
      </x:c>
      <x:c r="P49" s="67" t="n">
        <x:v>11</x:v>
      </x:c>
      <x:c r="Q49" s="67" t="str">
        <x:v>S-模拟供应商账单</x:v>
      </x:c>
    </x:row>
    <x:row r="50">
      <x:c r="A50" s="67" t="str">
        <x:v>AP-0046</x:v>
      </x:c>
      <x:c r="B50" s="73" t="n">
        <x:v>46208.5</x:v>
      </x:c>
      <x:c r="C50" s="73" t="n">
        <x:v>46230.5</x:v>
      </x:c>
      <x:c r="D50" s="67" t="str">
        <x:v>S08</x:v>
      </x:c>
      <x:c r="E50" s="67" t="str">
        <x:v>四季青店</x:v>
      </x:c>
      <x:c r="F50" s="67" t="str">
        <x:v>东海鲜配</x:v>
      </x:c>
      <x:c r="G50" s="67" t="str">
        <x:v>水产</x:v>
      </x:c>
      <x:c r="H50" s="76" t="n">
        <x:v>8395.2</x:v>
      </x:c>
      <x:c r="I50" s="76" t="n">
        <x:v>0</x:v>
      </x:c>
      <x:c r="J50" s="76" t="n">
        <x:v>0</x:v>
      </x:c>
      <x:c r="K50" s="79" t="n">
        <x:f>H50-I50-J50</x:f>
        <x:v>8395.2</x:v>
      </x:c>
      <x:c r="L50" s="76" t="n">
        <x:v>0</x:v>
      </x:c>
      <x:c r="M50" s="76" t="n">
        <x:v>8395.2</x:v>
      </x:c>
      <x:c r="N50" s="79" t="n">
        <x:f>K50-L50</x:f>
        <x:v>8395.2</x:v>
      </x:c>
      <x:c r="O50" s="91" t="str">
        <x:f>IF(N50&lt;=1,"已结清",IF(C50&lt;'封面与口径'!$I$13,"逾期","待付款"))</x:f>
        <x:v>待付款</x:v>
      </x:c>
      <x:c r="P50" s="67" t="n">
        <x:v>16</x:v>
      </x:c>
      <x:c r="Q50" s="67" t="str">
        <x:v>S-模拟供应商账单</x:v>
      </x:c>
    </x:row>
    <x:row r="51">
      <x:c r="A51" s="67" t="str">
        <x:v>AP-0047</x:v>
      </x:c>
      <x:c r="B51" s="73" t="n">
        <x:v>46208.5</x:v>
      </x:c>
      <x:c r="C51" s="73" t="n">
        <x:v>46234.5</x:v>
      </x:c>
      <x:c r="D51" s="67" t="str">
        <x:v>S08</x:v>
      </x:c>
      <x:c r="E51" s="67" t="str">
        <x:v>四季青店</x:v>
      </x:c>
      <x:c r="F51" s="67" t="str">
        <x:v>湘味干调商行</x:v>
      </x:c>
      <x:c r="G51" s="67" t="str">
        <x:v>干货调味</x:v>
      </x:c>
      <x:c r="H51" s="76" t="n">
        <x:v>9794.4</x:v>
      </x:c>
      <x:c r="I51" s="76" t="n">
        <x:v>0</x:v>
      </x:c>
      <x:c r="J51" s="76" t="n">
        <x:v>0</x:v>
      </x:c>
      <x:c r="K51" s="79" t="n">
        <x:f>H51-I51-J51</x:f>
        <x:v>9794.4</x:v>
      </x:c>
      <x:c r="L51" s="76" t="n">
        <x:v>0</x:v>
      </x:c>
      <x:c r="M51" s="76" t="n">
        <x:v>9794.4</x:v>
      </x:c>
      <x:c r="N51" s="79" t="n">
        <x:f>K51-L51</x:f>
        <x:v>9794.4</x:v>
      </x:c>
      <x:c r="O51" s="91" t="str">
        <x:f>IF(N51&lt;=1,"已结清",IF(C51&lt;'封面与口径'!$I$13,"逾期","待付款"))</x:f>
        <x:v>待付款</x:v>
      </x:c>
      <x:c r="P51" s="67" t="n">
        <x:v>20</x:v>
      </x:c>
      <x:c r="Q51" s="67" t="str">
        <x:v>S-模拟供应商账单</x:v>
      </x:c>
    </x:row>
    <x:row r="52">
      <x:c r="A52" s="68" t="str">
        <x:v>AP-0048</x:v>
      </x:c>
      <x:c r="B52" s="74" t="n">
        <x:v>46208.5</x:v>
      </x:c>
      <x:c r="C52" s="74" t="n">
        <x:v>46239.5</x:v>
      </x:c>
      <x:c r="D52" s="68" t="str">
        <x:v>S08</x:v>
      </x:c>
      <x:c r="E52" s="68" t="str">
        <x:v>四季青店</x:v>
      </x:c>
      <x:c r="F52" s="68" t="str">
        <x:v>城西蛋豆供应</x:v>
      </x:c>
      <x:c r="G52" s="68" t="str">
        <x:v>蛋品豆制品</x:v>
      </x:c>
      <x:c r="H52" s="77" t="n">
        <x:v>5596.8</x:v>
      </x:c>
      <x:c r="I52" s="77" t="n">
        <x:v>0</x:v>
      </x:c>
      <x:c r="J52" s="77" t="n">
        <x:v>0</x:v>
      </x:c>
      <x:c r="K52" s="80" t="n">
        <x:f>H52-I52-J52</x:f>
        <x:v>5596.8</x:v>
      </x:c>
      <x:c r="L52" s="77" t="n">
        <x:v>0</x:v>
      </x:c>
      <x:c r="M52" s="77" t="n">
        <x:v>5596.8</x:v>
      </x:c>
      <x:c r="N52" s="80" t="n">
        <x:f>K52-L52</x:f>
        <x:v>5596.8</x:v>
      </x:c>
      <x:c r="O52" s="92" t="str">
        <x:f>IF(N52&lt;=1,"已结清",IF(C52&lt;'封面与口径'!$I$13,"逾期","待付款"))</x:f>
        <x:v>待付款</x:v>
      </x:c>
      <x:c r="P52" s="68" t="n">
        <x:v>25</x:v>
      </x:c>
      <x:c r="Q52" s="68" t="str">
        <x:v>S-模拟供应商账单</x:v>
      </x:c>
    </x:row>
  </x:sheetData>
  <x:mergeCells>
    <x:mergeCell ref="A1:Q1"/>
    <x:mergeCell ref="A2:Q2"/>
  </x:mergeCells>
  <x:conditionalFormatting sqref="O5:O52">
    <x:cfRule type="containsText" dxfId="21" priority="1" operator="containsText" text="正常"/>
    <x:cfRule type="containsText" dxfId="22" priority="2" operator="containsText" text="安全"/>
    <x:cfRule type="containsText" dxfId="23" priority="3" operator="containsText" text="已对账"/>
    <x:cfRule type="containsText" dxfId="24" priority="4" operator="containsText" text="已结清"/>
    <x:cfRule type="containsText" dxfId="25" priority="5" operator="containsText" text="亏损"/>
    <x:cfRule type="containsText" dxfId="26" priority="6" operator="containsText" text="缺口"/>
    <x:cfRule type="containsText" dxfId="27" priority="7" operator="containsText" text="待核对"/>
    <x:cfRule type="containsText" dxfId="28" priority="8" operator="containsText" text="逾期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8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12" hidden="0" customWidth="1"/>
    <x:col min="17" max="17" width="15" hidden="0" customWidth="1"/>
    <x:col min="18" max="18" width="13" hidden="0" customWidth="1"/>
    <x:col min="19" max="19" width="11" hidden="0" customWidth="1"/>
    <x:col min="20" max="20" width="13" hidden="0" customWidth="1"/>
    <x:col min="21" max="21" width="12" hidden="0" customWidth="1"/>
    <x:col min="22" max="22" width="12" hidden="0" customWidth="1"/>
  </x:cols>
  <x:sheetData>
    <x:row r="1" ht="30" customHeight="1">
      <x:c r="A1" s="52" t="str">
        <x:v>会员与营销活动增量分析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</x:row>
    <x:row r="2" ht="28" customHeight="1">
      <x:c r="A2" s="56" t="str">
        <x:v>核销订单并不等于增量订单；ROI按无活动基线、增量GMV、商家优惠和投放成本计算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</x:row>
    <x:row r="4" ht="34" customHeight="1">
      <x:c r="A4" s="61" t="str">
        <x:v>活动ID</x:v>
      </x:c>
      <x:c r="B4" s="61" t="str">
        <x:v>开始日</x:v>
      </x:c>
      <x:c r="C4" s="61" t="str">
        <x:v>结束日</x:v>
      </x:c>
      <x:c r="D4" s="61" t="str">
        <x:v>门店ID</x:v>
      </x:c>
      <x:c r="E4" s="61" t="str">
        <x:v>门店</x:v>
      </x:c>
      <x:c r="F4" s="61" t="str">
        <x:v>活动名称</x:v>
      </x:c>
      <x:c r="G4" s="61" t="str">
        <x:v>渠道</x:v>
      </x:c>
      <x:c r="H4" s="61" t="str">
        <x:v>触达人数</x:v>
      </x:c>
      <x:c r="I4" s="61" t="str">
        <x:v>领券人数</x:v>
      </x:c>
      <x:c r="J4" s="61" t="str">
        <x:v>核销订单</x:v>
      </x:c>
      <x:c r="K4" s="61" t="str">
        <x:v>基线订单</x:v>
      </x:c>
      <x:c r="L4" s="61" t="str">
        <x:v>增量订单</x:v>
      </x:c>
      <x:c r="M4" s="61" t="str">
        <x:v>活动GMV</x:v>
      </x:c>
      <x:c r="N4" s="61" t="str">
        <x:v>商家优惠</x:v>
      </x:c>
      <x:c r="O4" s="61" t="str">
        <x:v>投放成本</x:v>
      </x:c>
      <x:c r="P4" s="61" t="str">
        <x:v>变动贡献率</x:v>
      </x:c>
      <x:c r="Q4" s="61" t="str">
        <x:v>优惠前增量贡献</x:v>
      </x:c>
      <x:c r="R4" s="61" t="str">
        <x:v>增量贡献</x:v>
      </x:c>
      <x:c r="S4" s="61" t="str">
        <x:v>活动ROI</x:v>
      </x:c>
      <x:c r="T4" s="61" t="str">
        <x:v>30日复购人数</x:v>
      </x:c>
      <x:c r="U4" s="61" t="str">
        <x:v>30日复购率</x:v>
      </x:c>
      <x:c r="V4" s="61" t="str">
        <x:v>结论</x:v>
      </x:c>
    </x:row>
    <x:row r="5">
      <x:c r="A5" s="66" t="str">
        <x:v>CMP-0001</x:v>
      </x:c>
      <x:c r="B5" s="72" t="n">
        <x:v>46204.5</x:v>
      </x:c>
      <x:c r="C5" s="72" t="n">
        <x:v>46230.5</x:v>
      </x:c>
      <x:c r="D5" s="66" t="str">
        <x:v>S01</x:v>
      </x:c>
      <x:c r="E5" s="66" t="str">
        <x:v>近江天阳店</x:v>
      </x:c>
      <x:c r="F5" s="66" t="str">
        <x:v>满30减5</x:v>
      </x:c>
      <x:c r="G5" s="66" t="str">
        <x:v>会员+堂食</x:v>
      </x:c>
      <x:c r="H5" s="69" t="n">
        <x:v>1140</x:v>
      </x:c>
      <x:c r="I5" s="69" t="n">
        <x:v>593</x:v>
      </x:c>
      <x:c r="J5" s="69" t="n">
        <x:v>251</x:v>
      </x:c>
      <x:c r="K5" s="69" t="n">
        <x:v>182</x:v>
      </x:c>
      <x:c r="L5" s="66" t="n">
        <x:f>MAX(J5-K5,0)</x:f>
        <x:v>69</x:v>
      </x:c>
      <x:c r="M5" s="96" t="n">
        <x:v>9530</x:v>
      </x:c>
      <x:c r="N5" s="96" t="n">
        <x:v>1254</x:v>
      </x:c>
      <x:c r="O5" s="96" t="n">
        <x:v>0</x:v>
      </x:c>
      <x:c r="P5" s="81" t="n">
        <x:v>0.6</x:v>
      </x:c>
      <x:c r="Q5" s="99" t="n">
        <x:f>IFERROR(M5*L5/J5*P5,0)</x:f>
        <x:v>1571.8804780876494</x:v>
      </x:c>
      <x:c r="R5" s="99" t="n">
        <x:f>Q5-N5-O5</x:f>
        <x:v>317.8804780876494</x:v>
      </x:c>
      <x:c r="S5" s="84" t="n">
        <x:f>IFERROR(R5/(N5+O5),0)</x:f>
        <x:v>0.2534932042166263</x:v>
      </x:c>
      <x:c r="T5" s="69" t="n">
        <x:v>16</x:v>
      </x:c>
      <x:c r="U5" s="84" t="n">
        <x:f>IFERROR(T5/L5,0)</x:f>
        <x:v>0.2318840579710145</x:v>
      </x:c>
      <x:c r="V5" s="66" t="str">
        <x:f>IF(R5&lt;0,"停止/调整",IF(S5&lt;20%,"关注","继续"))</x:f>
        <x:v>继续</x:v>
      </x:c>
    </x:row>
    <x:row r="6">
      <x:c r="A6" s="67" t="str">
        <x:v>CMP-0002</x:v>
      </x:c>
      <x:c r="B6" s="73" t="n">
        <x:v>46207.5</x:v>
      </x:c>
      <x:c r="C6" s="73" t="n">
        <x:v>46232.5</x:v>
      </x:c>
      <x:c r="D6" s="67" t="str">
        <x:v>S01</x:v>
      </x:c>
      <x:c r="E6" s="67" t="str">
        <x:v>近江天阳店</x:v>
      </x:c>
      <x:c r="F6" s="67" t="str">
        <x:v>工作日午餐券</x:v>
      </x:c>
      <x:c r="G6" s="67" t="str">
        <x:v>小程序</x:v>
      </x:c>
      <x:c r="H6" s="70" t="n">
        <x:v>2052</x:v>
      </x:c>
      <x:c r="I6" s="70" t="n">
        <x:v>866</x:v>
      </x:c>
      <x:c r="J6" s="70" t="n">
        <x:v>365</x:v>
      </x:c>
      <x:c r="K6" s="70" t="n">
        <x:v>251</x:v>
      </x:c>
      <x:c r="L6" s="67" t="n">
        <x:f>MAX(J6-K6,0)</x:f>
        <x:v>114</x:v>
      </x:c>
      <x:c r="M6" s="97" t="n">
        <x:v>13680</x:v>
      </x:c>
      <x:c r="N6" s="97" t="n">
        <x:v>2280</x:v>
      </x:c>
      <x:c r="O6" s="97" t="n">
        <x:v>342</x:v>
      </x:c>
      <x:c r="P6" s="82" t="n">
        <x:v>0.58</x:v>
      </x:c>
      <x:c r="Q6" s="100" t="n">
        <x:f>IFERROR(M6*L6/J6*P6,0)</x:f>
        <x:v>2478.141369863014</x:v>
      </x:c>
      <x:c r="R6" s="100" t="n">
        <x:f>Q6-N6-O6</x:f>
        <x:v>-143.858630136986</x:v>
      </x:c>
      <x:c r="S6" s="85" t="n">
        <x:f>IFERROR(R6/(N6+O6),0)</x:f>
        <x:v>-0.05486599166170328</x:v>
      </x:c>
      <x:c r="T6" s="70" t="n">
        <x:v>25</x:v>
      </x:c>
      <x:c r="U6" s="85" t="n">
        <x:f>IFERROR(T6/L6,0)</x:f>
        <x:v>0.21929824561403508</x:v>
      </x:c>
      <x:c r="V6" s="67" t="str">
        <x:f>IF(R6&lt;0,"停止/调整",IF(S6&lt;20%,"关注","继续"))</x:f>
        <x:v>停止/调整</x:v>
      </x:c>
    </x:row>
    <x:row r="7">
      <x:c r="A7" s="67" t="str">
        <x:v>CMP-0003</x:v>
      </x:c>
      <x:c r="B7" s="73" t="n">
        <x:v>46210.5</x:v>
      </x:c>
      <x:c r="C7" s="73" t="n">
        <x:v>46234.5</x:v>
      </x:c>
      <x:c r="D7" s="67" t="str">
        <x:v>S01</x:v>
      </x:c>
      <x:c r="E7" s="67" t="str">
        <x:v>近江天阳店</x:v>
      </x:c>
      <x:c r="F7" s="67" t="str">
        <x:v>沉睡会员召回</x:v>
      </x:c>
      <x:c r="G7" s="67" t="str">
        <x:v>企微+短信</x:v>
      </x:c>
      <x:c r="H7" s="70" t="n">
        <x:v>969</x:v>
      </x:c>
      <x:c r="I7" s="70" t="n">
        <x:v>353</x:v>
      </x:c>
      <x:c r="J7" s="70" t="n">
        <x:v>171</x:v>
      </x:c>
      <x:c r="K7" s="70" t="n">
        <x:v>103</x:v>
      </x:c>
      <x:c r="L7" s="67" t="n">
        <x:f>MAX(J7-K7,0)</x:f>
        <x:v>68</x:v>
      </x:c>
      <x:c r="M7" s="97" t="n">
        <x:v>7068</x:v>
      </x:c>
      <x:c r="N7" s="97" t="n">
        <x:v>1596</x:v>
      </x:c>
      <x:c r="O7" s="97" t="n">
        <x:v>114</x:v>
      </x:c>
      <x:c r="P7" s="82" t="n">
        <x:v>0.62</x:v>
      </x:c>
      <x:c r="Q7" s="100" t="n">
        <x:f>IFERROR(M7*L7/J7*P7,0)</x:f>
        <x:v>1742.6133333333332</x:v>
      </x:c>
      <x:c r="R7" s="100" t="n">
        <x:f>Q7-N7-O7</x:f>
        <x:v>32.61333333333323</x:v>
      </x:c>
      <x:c r="S7" s="85" t="n">
        <x:f>IFERROR(R7/(N7+O7),0)</x:f>
        <x:v>0.019072124756335223</x:v>
      </x:c>
      <x:c r="T7" s="70" t="n">
        <x:v>18</x:v>
      </x:c>
      <x:c r="U7" s="85" t="n">
        <x:f>IFERROR(T7/L7,0)</x:f>
        <x:v>0.2647058823529412</x:v>
      </x:c>
      <x:c r="V7" s="67" t="str">
        <x:f>IF(R7&lt;0,"停止/调整",IF(S7&lt;20%,"关注","继续"))</x:f>
        <x:v>关注</x:v>
      </x:c>
    </x:row>
    <x:row r="8">
      <x:c r="A8" s="67" t="str">
        <x:v>CMP-0004</x:v>
      </x:c>
      <x:c r="B8" s="73" t="n">
        <x:v>46204.5</x:v>
      </x:c>
      <x:c r="C8" s="73" t="n">
        <x:v>46230.5</x:v>
      </x:c>
      <x:c r="D8" s="67" t="str">
        <x:v>S02</x:v>
      </x:c>
      <x:c r="E8" s="67" t="str">
        <x:v>尊宝大厦店</x:v>
      </x:c>
      <x:c r="F8" s="67" t="str">
        <x:v>满30减5</x:v>
      </x:c>
      <x:c r="G8" s="67" t="str">
        <x:v>会员+堂食</x:v>
      </x:c>
      <x:c r="H8" s="70" t="n">
        <x:v>1080</x:v>
      </x:c>
      <x:c r="I8" s="70" t="n">
        <x:v>562</x:v>
      </x:c>
      <x:c r="J8" s="70" t="n">
        <x:v>238</x:v>
      </x:c>
      <x:c r="K8" s="70" t="n">
        <x:v>173</x:v>
      </x:c>
      <x:c r="L8" s="67" t="n">
        <x:f>MAX(J8-K8,0)</x:f>
        <x:v>65</x:v>
      </x:c>
      <x:c r="M8" s="97" t="n">
        <x:v>9029</x:v>
      </x:c>
      <x:c r="N8" s="97" t="n">
        <x:v>1188</x:v>
      </x:c>
      <x:c r="O8" s="97" t="n">
        <x:v>0</x:v>
      </x:c>
      <x:c r="P8" s="82" t="n">
        <x:v>0.6</x:v>
      </x:c>
      <x:c r="Q8" s="100" t="n">
        <x:f>IFERROR(M8*L8/J8*P8,0)</x:f>
        <x:v>1479.5420168067226</x:v>
      </x:c>
      <x:c r="R8" s="100" t="n">
        <x:f>Q8-N8-O8</x:f>
        <x:v>291.5420168067226</x:v>
      </x:c>
      <x:c r="S8" s="85" t="n">
        <x:f>IFERROR(R8/(N8+O8),0)</x:f>
        <x:v>0.24540573805279678</x:v>
      </x:c>
      <x:c r="T8" s="70" t="n">
        <x:v>15</x:v>
      </x:c>
      <x:c r="U8" s="85" t="n">
        <x:f>IFERROR(T8/L8,0)</x:f>
        <x:v>0.23076923076923078</x:v>
      </x:c>
      <x:c r="V8" s="67" t="str">
        <x:f>IF(R8&lt;0,"停止/调整",IF(S8&lt;20%,"关注","继续"))</x:f>
        <x:v>继续</x:v>
      </x:c>
    </x:row>
    <x:row r="9">
      <x:c r="A9" s="67" t="str">
        <x:v>CMP-0005</x:v>
      </x:c>
      <x:c r="B9" s="73" t="n">
        <x:v>46207.5</x:v>
      </x:c>
      <x:c r="C9" s="73" t="n">
        <x:v>46232.5</x:v>
      </x:c>
      <x:c r="D9" s="67" t="str">
        <x:v>S02</x:v>
      </x:c>
      <x:c r="E9" s="67" t="str">
        <x:v>尊宝大厦店</x:v>
      </x:c>
      <x:c r="F9" s="67" t="str">
        <x:v>工作日午餐券</x:v>
      </x:c>
      <x:c r="G9" s="67" t="str">
        <x:v>小程序</x:v>
      </x:c>
      <x:c r="H9" s="70" t="n">
        <x:v>1944</x:v>
      </x:c>
      <x:c r="I9" s="70" t="n">
        <x:v>821</x:v>
      </x:c>
      <x:c r="J9" s="70" t="n">
        <x:v>346</x:v>
      </x:c>
      <x:c r="K9" s="70" t="n">
        <x:v>238</x:v>
      </x:c>
      <x:c r="L9" s="67" t="n">
        <x:f>MAX(J9-K9,0)</x:f>
        <x:v>108</x:v>
      </x:c>
      <x:c r="M9" s="97" t="n">
        <x:v>12960</x:v>
      </x:c>
      <x:c r="N9" s="97" t="n">
        <x:v>2160</x:v>
      </x:c>
      <x:c r="O9" s="97" t="n">
        <x:v>324</x:v>
      </x:c>
      <x:c r="P9" s="82" t="n">
        <x:v>0.58</x:v>
      </x:c>
      <x:c r="Q9" s="100" t="n">
        <x:f>IFERROR(M9*L9/J9*P9,0)</x:f>
        <x:v>2346.2843930635836</x:v>
      </x:c>
      <x:c r="R9" s="100" t="n">
        <x:f>Q9-N9-O9</x:f>
        <x:v>-137.7156069364164</x:v>
      </x:c>
      <x:c r="S9" s="85" t="n">
        <x:f>IFERROR(R9/(N9+O9),0)</x:f>
        <x:v>-0.05544106559437054</x:v>
      </x:c>
      <x:c r="T9" s="70" t="n">
        <x:v>24</x:v>
      </x:c>
      <x:c r="U9" s="85" t="n">
        <x:f>IFERROR(T9/L9,0)</x:f>
        <x:v>0.2222222222222222</x:v>
      </x:c>
      <x:c r="V9" s="67" t="str">
        <x:f>IF(R9&lt;0,"停止/调整",IF(S9&lt;20%,"关注","继续"))</x:f>
        <x:v>停止/调整</x:v>
      </x:c>
    </x:row>
    <x:row r="10">
      <x:c r="A10" s="67" t="str">
        <x:v>CMP-0006</x:v>
      </x:c>
      <x:c r="B10" s="73" t="n">
        <x:v>46210.5</x:v>
      </x:c>
      <x:c r="C10" s="73" t="n">
        <x:v>46234.5</x:v>
      </x:c>
      <x:c r="D10" s="67" t="str">
        <x:v>S02</x:v>
      </x:c>
      <x:c r="E10" s="67" t="str">
        <x:v>尊宝大厦店</x:v>
      </x:c>
      <x:c r="F10" s="67" t="str">
        <x:v>沉睡会员召回</x:v>
      </x:c>
      <x:c r="G10" s="67" t="str">
        <x:v>企微+短信</x:v>
      </x:c>
      <x:c r="H10" s="70" t="n">
        <x:v>918</x:v>
      </x:c>
      <x:c r="I10" s="70" t="n">
        <x:v>335</x:v>
      </x:c>
      <x:c r="J10" s="70" t="n">
        <x:v>162</x:v>
      </x:c>
      <x:c r="K10" s="70" t="n">
        <x:v>97</x:v>
      </x:c>
      <x:c r="L10" s="67" t="n">
        <x:f>MAX(J10-K10,0)</x:f>
        <x:v>65</x:v>
      </x:c>
      <x:c r="M10" s="97" t="n">
        <x:v>6696</x:v>
      </x:c>
      <x:c r="N10" s="97" t="n">
        <x:v>1512</x:v>
      </x:c>
      <x:c r="O10" s="97" t="n">
        <x:v>108</x:v>
      </x:c>
      <x:c r="P10" s="82" t="n">
        <x:v>0.62</x:v>
      </x:c>
      <x:c r="Q10" s="100" t="n">
        <x:f>IFERROR(M10*L10/J10*P10,0)</x:f>
        <x:v>1665.7333333333331</x:v>
      </x:c>
      <x:c r="R10" s="100" t="n">
        <x:f>Q10-N10-O10</x:f>
        <x:v>45.73333333333312</x:v>
      </x:c>
      <x:c r="S10" s="85" t="n">
        <x:f>IFERROR(R10/(N10+O10),0)</x:f>
        <x:v>0.02823045267489699</x:v>
      </x:c>
      <x:c r="T10" s="70" t="n">
        <x:v>17</x:v>
      </x:c>
      <x:c r="U10" s="85" t="n">
        <x:f>IFERROR(T10/L10,0)</x:f>
        <x:v>0.26153846153846155</x:v>
      </x:c>
      <x:c r="V10" s="67" t="str">
        <x:f>IF(R10&lt;0,"停止/调整",IF(S10&lt;20%,"关注","继续"))</x:f>
        <x:v>关注</x:v>
      </x:c>
    </x:row>
    <x:row r="11">
      <x:c r="A11" s="67" t="str">
        <x:v>CMP-0007</x:v>
      </x:c>
      <x:c r="B11" s="73" t="n">
        <x:v>46204.5</x:v>
      </x:c>
      <x:c r="C11" s="73" t="n">
        <x:v>46230.5</x:v>
      </x:c>
      <x:c r="D11" s="67" t="str">
        <x:v>S03</x:v>
      </x:c>
      <x:c r="E11" s="67" t="str">
        <x:v>铂悦城店</x:v>
      </x:c>
      <x:c r="F11" s="67" t="str">
        <x:v>满30减5</x:v>
      </x:c>
      <x:c r="G11" s="67" t="str">
        <x:v>会员+堂食</x:v>
      </x:c>
      <x:c r="H11" s="70" t="n">
        <x:v>1040</x:v>
      </x:c>
      <x:c r="I11" s="70" t="n">
        <x:v>541</x:v>
      </x:c>
      <x:c r="J11" s="70" t="n">
        <x:v>229</x:v>
      </x:c>
      <x:c r="K11" s="70" t="n">
        <x:v>166</x:v>
      </x:c>
      <x:c r="L11" s="67" t="n">
        <x:f>MAX(J11-K11,0)</x:f>
        <x:v>63</x:v>
      </x:c>
      <x:c r="M11" s="97" t="n">
        <x:v>8694</x:v>
      </x:c>
      <x:c r="N11" s="97" t="n">
        <x:v>1144</x:v>
      </x:c>
      <x:c r="O11" s="97" t="n">
        <x:v>0</x:v>
      </x:c>
      <x:c r="P11" s="82" t="n">
        <x:v>0.6</x:v>
      </x:c>
      <x:c r="Q11" s="100" t="n">
        <x:f>IFERROR(M11*L11/J11*P11,0)</x:f>
        <x:v>1435.0794759825328</x:v>
      </x:c>
      <x:c r="R11" s="100" t="n">
        <x:f>Q11-N11-O11</x:f>
        <x:v>291.0794759825328</x:v>
      </x:c>
      <x:c r="S11" s="85" t="n">
        <x:f>IFERROR(R11/(N11+O11),0)</x:f>
        <x:v>0.2544401013833329</x:v>
      </x:c>
      <x:c r="T11" s="70" t="n">
        <x:v>15</x:v>
      </x:c>
      <x:c r="U11" s="85" t="n">
        <x:f>IFERROR(T11/L11,0)</x:f>
        <x:v>0.23809523809523808</x:v>
      </x:c>
      <x:c r="V11" s="67" t="str">
        <x:f>IF(R11&lt;0,"停止/调整",IF(S11&lt;20%,"关注","继续"))</x:f>
        <x:v>继续</x:v>
      </x:c>
    </x:row>
    <x:row r="12">
      <x:c r="A12" s="67" t="str">
        <x:v>CMP-0008</x:v>
      </x:c>
      <x:c r="B12" s="73" t="n">
        <x:v>46207.5</x:v>
      </x:c>
      <x:c r="C12" s="73" t="n">
        <x:v>46232.5</x:v>
      </x:c>
      <x:c r="D12" s="67" t="str">
        <x:v>S03</x:v>
      </x:c>
      <x:c r="E12" s="67" t="str">
        <x:v>铂悦城店</x:v>
      </x:c>
      <x:c r="F12" s="67" t="str">
        <x:v>工作日午餐券</x:v>
      </x:c>
      <x:c r="G12" s="67" t="str">
        <x:v>小程序</x:v>
      </x:c>
      <x:c r="H12" s="70" t="n">
        <x:v>1872</x:v>
      </x:c>
      <x:c r="I12" s="70" t="n">
        <x:v>790</x:v>
      </x:c>
      <x:c r="J12" s="70" t="n">
        <x:v>333</x:v>
      </x:c>
      <x:c r="K12" s="70" t="n">
        <x:v>229</x:v>
      </x:c>
      <x:c r="L12" s="67" t="n">
        <x:f>MAX(J12-K12,0)</x:f>
        <x:v>104</x:v>
      </x:c>
      <x:c r="M12" s="97" t="n">
        <x:v>12480</x:v>
      </x:c>
      <x:c r="N12" s="97" t="n">
        <x:v>2080</x:v>
      </x:c>
      <x:c r="O12" s="97" t="n">
        <x:v>312</x:v>
      </x:c>
      <x:c r="P12" s="82" t="n">
        <x:v>0.58</x:v>
      </x:c>
      <x:c r="Q12" s="100" t="n">
        <x:f>IFERROR(M12*L12/J12*P12,0)</x:f>
        <x:v>2260.641441441441</x:v>
      </x:c>
      <x:c r="R12" s="100" t="n">
        <x:f>Q12-N12-O12</x:f>
        <x:v>-131.3585585585588</x:v>
      </x:c>
      <x:c r="S12" s="85" t="n">
        <x:f>IFERROR(R12/(N12+O12),0)</x:f>
        <x:v>-0.05491578535056806</x:v>
      </x:c>
      <x:c r="T12" s="70" t="n">
        <x:v>23</x:v>
      </x:c>
      <x:c r="U12" s="85" t="n">
        <x:f>IFERROR(T12/L12,0)</x:f>
        <x:v>0.22115384615384615</x:v>
      </x:c>
      <x:c r="V12" s="67" t="str">
        <x:f>IF(R12&lt;0,"停止/调整",IF(S12&lt;20%,"关注","继续"))</x:f>
        <x:v>停止/调整</x:v>
      </x:c>
    </x:row>
    <x:row r="13">
      <x:c r="A13" s="67" t="str">
        <x:v>CMP-0009</x:v>
      </x:c>
      <x:c r="B13" s="73" t="n">
        <x:v>46210.5</x:v>
      </x:c>
      <x:c r="C13" s="73" t="n">
        <x:v>46234.5</x:v>
      </x:c>
      <x:c r="D13" s="67" t="str">
        <x:v>S03</x:v>
      </x:c>
      <x:c r="E13" s="67" t="str">
        <x:v>铂悦城店</x:v>
      </x:c>
      <x:c r="F13" s="67" t="str">
        <x:v>沉睡会员召回</x:v>
      </x:c>
      <x:c r="G13" s="67" t="str">
        <x:v>企微+短信</x:v>
      </x:c>
      <x:c r="H13" s="70" t="n">
        <x:v>884</x:v>
      </x:c>
      <x:c r="I13" s="70" t="n">
        <x:v>322</x:v>
      </x:c>
      <x:c r="J13" s="70" t="n">
        <x:v>156</x:v>
      </x:c>
      <x:c r="K13" s="70" t="n">
        <x:v>94</x:v>
      </x:c>
      <x:c r="L13" s="67" t="n">
        <x:f>MAX(J13-K13,0)</x:f>
        <x:v>62</x:v>
      </x:c>
      <x:c r="M13" s="97" t="n">
        <x:v>6448</x:v>
      </x:c>
      <x:c r="N13" s="97" t="n">
        <x:v>1456</x:v>
      </x:c>
      <x:c r="O13" s="97" t="n">
        <x:v>104</x:v>
      </x:c>
      <x:c r="P13" s="82" t="n">
        <x:v>0.62</x:v>
      </x:c>
      <x:c r="Q13" s="100" t="n">
        <x:f>IFERROR(M13*L13/J13*P13,0)</x:f>
        <x:v>1588.8533333333332</x:v>
      </x:c>
      <x:c r="R13" s="100" t="n">
        <x:f>Q13-N13-O13</x:f>
        <x:v>28.85333333333324</x:v>
      </x:c>
      <x:c r="S13" s="85" t="n">
        <x:f>IFERROR(R13/(N13+O13),0)</x:f>
        <x:v>0.018495726495726436</x:v>
      </x:c>
      <x:c r="T13" s="70" t="n">
        <x:v>17</x:v>
      </x:c>
      <x:c r="U13" s="85" t="n">
        <x:f>IFERROR(T13/L13,0)</x:f>
        <x:v>0.27419354838709675</x:v>
      </x:c>
      <x:c r="V13" s="67" t="str">
        <x:f>IF(R13&lt;0,"停止/调整",IF(S13&lt;20%,"关注","继续"))</x:f>
        <x:v>关注</x:v>
      </x:c>
    </x:row>
    <x:row r="14">
      <x:c r="A14" s="67" t="str">
        <x:v>CMP-0010</x:v>
      </x:c>
      <x:c r="B14" s="73" t="n">
        <x:v>46204.5</x:v>
      </x:c>
      <x:c r="C14" s="73" t="n">
        <x:v>46230.5</x:v>
      </x:c>
      <x:c r="D14" s="67" t="str">
        <x:v>S04</x:v>
      </x:c>
      <x:c r="E14" s="67" t="str">
        <x:v>金街美地店</x:v>
      </x:c>
      <x:c r="F14" s="67" t="str">
        <x:v>满30减5</x:v>
      </x:c>
      <x:c r="G14" s="67" t="str">
        <x:v>会员+堂食</x:v>
      </x:c>
      <x:c r="H14" s="70" t="n">
        <x:v>1020</x:v>
      </x:c>
      <x:c r="I14" s="70" t="n">
        <x:v>530</x:v>
      </x:c>
      <x:c r="J14" s="70" t="n">
        <x:v>224</x:v>
      </x:c>
      <x:c r="K14" s="70" t="n">
        <x:v>163</x:v>
      </x:c>
      <x:c r="L14" s="67" t="n">
        <x:f>MAX(J14-K14,0)</x:f>
        <x:v>61</x:v>
      </x:c>
      <x:c r="M14" s="97" t="n">
        <x:v>8527</x:v>
      </x:c>
      <x:c r="N14" s="97" t="n">
        <x:v>1122</x:v>
      </x:c>
      <x:c r="O14" s="97" t="n">
        <x:v>0</x:v>
      </x:c>
      <x:c r="P14" s="82" t="n">
        <x:v>0.6</x:v>
      </x:c>
      <x:c r="Q14" s="100" t="n">
        <x:f>IFERROR(M14*L14/J14*P14,0)</x:f>
        <x:v>1393.2508928571428</x:v>
      </x:c>
      <x:c r="R14" s="100" t="n">
        <x:f>Q14-N14-O14</x:f>
        <x:v>271.25089285714284</x:v>
      </x:c>
      <x:c r="S14" s="85" t="n">
        <x:f>IFERROR(R14/(N14+O14),0)</x:f>
        <x:v>0.24175658899923605</x:v>
      </x:c>
      <x:c r="T14" s="70" t="n">
        <x:v>14</x:v>
      </x:c>
      <x:c r="U14" s="85" t="n">
        <x:f>IFERROR(T14/L14,0)</x:f>
        <x:v>0.22950819672131148</x:v>
      </x:c>
      <x:c r="V14" s="67" t="str">
        <x:f>IF(R14&lt;0,"停止/调整",IF(S14&lt;20%,"关注","继续"))</x:f>
        <x:v>继续</x:v>
      </x:c>
    </x:row>
    <x:row r="15">
      <x:c r="A15" s="67" t="str">
        <x:v>CMP-0011</x:v>
      </x:c>
      <x:c r="B15" s="73" t="n">
        <x:v>46207.5</x:v>
      </x:c>
      <x:c r="C15" s="73" t="n">
        <x:v>46232.5</x:v>
      </x:c>
      <x:c r="D15" s="67" t="str">
        <x:v>S04</x:v>
      </x:c>
      <x:c r="E15" s="67" t="str">
        <x:v>金街美地店</x:v>
      </x:c>
      <x:c r="F15" s="67" t="str">
        <x:v>工作日午餐券</x:v>
      </x:c>
      <x:c r="G15" s="67" t="str">
        <x:v>小程序</x:v>
      </x:c>
      <x:c r="H15" s="70" t="n">
        <x:v>1836</x:v>
      </x:c>
      <x:c r="I15" s="70" t="n">
        <x:v>775</x:v>
      </x:c>
      <x:c r="J15" s="70" t="n">
        <x:v>326</x:v>
      </x:c>
      <x:c r="K15" s="70" t="n">
        <x:v>224</x:v>
      </x:c>
      <x:c r="L15" s="67" t="n">
        <x:f>MAX(J15-K15,0)</x:f>
        <x:v>102</x:v>
      </x:c>
      <x:c r="M15" s="97" t="n">
        <x:v>12240</x:v>
      </x:c>
      <x:c r="N15" s="97" t="n">
        <x:v>2040</x:v>
      </x:c>
      <x:c r="O15" s="97" t="n">
        <x:v>306</x:v>
      </x:c>
      <x:c r="P15" s="82" t="n">
        <x:v>0.58</x:v>
      </x:c>
      <x:c r="Q15" s="100" t="n">
        <x:f>IFERROR(M15*L15/J15*P15,0)</x:f>
        <x:v>2221.2220858895703</x:v>
      </x:c>
      <x:c r="R15" s="100" t="n">
        <x:f>Q15-N15-O15</x:f>
        <x:v>-124.77791411042972</x:v>
      </x:c>
      <x:c r="S15" s="85" t="n">
        <x:f>IFERROR(R15/(N15+O15),0)</x:f>
        <x:v>-0.05318751667111241</x:v>
      </x:c>
      <x:c r="T15" s="70" t="n">
        <x:v>22</x:v>
      </x:c>
      <x:c r="U15" s="85" t="n">
        <x:f>IFERROR(T15/L15,0)</x:f>
        <x:v>0.21568627450980393</x:v>
      </x:c>
      <x:c r="V15" s="67" t="str">
        <x:f>IF(R15&lt;0,"停止/调整",IF(S15&lt;20%,"关注","继续"))</x:f>
        <x:v>停止/调整</x:v>
      </x:c>
    </x:row>
    <x:row r="16">
      <x:c r="A16" s="67" t="str">
        <x:v>CMP-0012</x:v>
      </x:c>
      <x:c r="B16" s="73" t="n">
        <x:v>46210.5</x:v>
      </x:c>
      <x:c r="C16" s="73" t="n">
        <x:v>46234.5</x:v>
      </x:c>
      <x:c r="D16" s="67" t="str">
        <x:v>S04</x:v>
      </x:c>
      <x:c r="E16" s="67" t="str">
        <x:v>金街美地店</x:v>
      </x:c>
      <x:c r="F16" s="67" t="str">
        <x:v>沉睡会员召回</x:v>
      </x:c>
      <x:c r="G16" s="67" t="str">
        <x:v>企微+短信</x:v>
      </x:c>
      <x:c r="H16" s="70" t="n">
        <x:v>867</x:v>
      </x:c>
      <x:c r="I16" s="70" t="n">
        <x:v>316</x:v>
      </x:c>
      <x:c r="J16" s="70" t="n">
        <x:v>153</x:v>
      </x:c>
      <x:c r="K16" s="70" t="n">
        <x:v>92</x:v>
      </x:c>
      <x:c r="L16" s="67" t="n">
        <x:f>MAX(J16-K16,0)</x:f>
        <x:v>61</x:v>
      </x:c>
      <x:c r="M16" s="97" t="n">
        <x:v>6324</x:v>
      </x:c>
      <x:c r="N16" s="97" t="n">
        <x:v>1428</x:v>
      </x:c>
      <x:c r="O16" s="97" t="n">
        <x:v>102</x:v>
      </x:c>
      <x:c r="P16" s="82" t="n">
        <x:v>0.62</x:v>
      </x:c>
      <x:c r="Q16" s="100" t="n">
        <x:f>IFERROR(M16*L16/J16*P16,0)</x:f>
        <x:v>1563.2266666666667</x:v>
      </x:c>
      <x:c r="R16" s="100" t="n">
        <x:f>Q16-N16-O16</x:f>
        <x:v>33.22666666666669</x:v>
      </x:c>
      <x:c r="S16" s="85" t="n">
        <x:f>IFERROR(R16/(N16+O16),0)</x:f>
        <x:v>0.021716775599128553</x:v>
      </x:c>
      <x:c r="T16" s="70" t="n">
        <x:v>16</x:v>
      </x:c>
      <x:c r="U16" s="85" t="n">
        <x:f>IFERROR(T16/L16,0)</x:f>
        <x:v>0.26229508196721313</x:v>
      </x:c>
      <x:c r="V16" s="67" t="str">
        <x:f>IF(R16&lt;0,"停止/调整",IF(S16&lt;20%,"关注","继续"))</x:f>
        <x:v>关注</x:v>
      </x:c>
    </x:row>
    <x:row r="17">
      <x:c r="A17" s="67" t="str">
        <x:v>CMP-0013</x:v>
      </x:c>
      <x:c r="B17" s="73" t="n">
        <x:v>46204.5</x:v>
      </x:c>
      <x:c r="C17" s="73" t="n">
        <x:v>46230.5</x:v>
      </x:c>
      <x:c r="D17" s="67" t="str">
        <x:v>S05</x:v>
      </x:c>
      <x:c r="E17" s="67" t="str">
        <x:v>同顺街店</x:v>
      </x:c>
      <x:c r="F17" s="67" t="str">
        <x:v>满30减5</x:v>
      </x:c>
      <x:c r="G17" s="67" t="str">
        <x:v>会员+堂食</x:v>
      </x:c>
      <x:c r="H17" s="70" t="n">
        <x:v>992</x:v>
      </x:c>
      <x:c r="I17" s="70" t="n">
        <x:v>516</x:v>
      </x:c>
      <x:c r="J17" s="70" t="n">
        <x:v>218</x:v>
      </x:c>
      <x:c r="K17" s="70" t="n">
        <x:v>159</x:v>
      </x:c>
      <x:c r="L17" s="67" t="n">
        <x:f>MAX(J17-K17,0)</x:f>
        <x:v>59</x:v>
      </x:c>
      <x:c r="M17" s="97" t="n">
        <x:v>8293</x:v>
      </x:c>
      <x:c r="N17" s="97" t="n">
        <x:v>1091</x:v>
      </x:c>
      <x:c r="O17" s="97" t="n">
        <x:v>0</x:v>
      </x:c>
      <x:c r="P17" s="82" t="n">
        <x:v>0.6</x:v>
      </x:c>
      <x:c r="Q17" s="100" t="n">
        <x:f>IFERROR(M17*L17/J17*P17,0)</x:f>
        <x:v>1346.6614678899082</x:v>
      </x:c>
      <x:c r="R17" s="100" t="n">
        <x:f>Q17-N17-O17</x:f>
        <x:v>255.66146788990818</x:v>
      </x:c>
      <x:c r="S17" s="85" t="n">
        <x:f>IFERROR(R17/(N17+O17),0)</x:f>
        <x:v>0.23433681749762436</x:v>
      </x:c>
      <x:c r="T17" s="70" t="n">
        <x:v>14</x:v>
      </x:c>
      <x:c r="U17" s="85" t="n">
        <x:f>IFERROR(T17/L17,0)</x:f>
        <x:v>0.23728813559322035</x:v>
      </x:c>
      <x:c r="V17" s="67" t="str">
        <x:f>IF(R17&lt;0,"停止/调整",IF(S17&lt;20%,"关注","继续"))</x:f>
        <x:v>继续</x:v>
      </x:c>
    </x:row>
    <x:row r="18">
      <x:c r="A18" s="67" t="str">
        <x:v>CMP-0014</x:v>
      </x:c>
      <x:c r="B18" s="73" t="n">
        <x:v>46207.5</x:v>
      </x:c>
      <x:c r="C18" s="73" t="n">
        <x:v>46232.5</x:v>
      </x:c>
      <x:c r="D18" s="67" t="str">
        <x:v>S05</x:v>
      </x:c>
      <x:c r="E18" s="67" t="str">
        <x:v>同顺街店</x:v>
      </x:c>
      <x:c r="F18" s="67" t="str">
        <x:v>工作日午餐券</x:v>
      </x:c>
      <x:c r="G18" s="67" t="str">
        <x:v>小程序</x:v>
      </x:c>
      <x:c r="H18" s="70" t="n">
        <x:v>1786</x:v>
      </x:c>
      <x:c r="I18" s="70" t="n">
        <x:v>754</x:v>
      </x:c>
      <x:c r="J18" s="70" t="n">
        <x:v>317</x:v>
      </x:c>
      <x:c r="K18" s="70" t="n">
        <x:v>218</x:v>
      </x:c>
      <x:c r="L18" s="67" t="n">
        <x:f>MAX(J18-K18,0)</x:f>
        <x:v>99</x:v>
      </x:c>
      <x:c r="M18" s="97" t="n">
        <x:v>11904</x:v>
      </x:c>
      <x:c r="N18" s="97" t="n">
        <x:v>1984</x:v>
      </x:c>
      <x:c r="O18" s="97" t="n">
        <x:v>298</x:v>
      </x:c>
      <x:c r="P18" s="82" t="n">
        <x:v>0.58</x:v>
      </x:c>
      <x:c r="Q18" s="100" t="n">
        <x:f>IFERROR(M18*L18/J18*P18,0)</x:f>
        <x:v>2156.238738170347</x:v>
      </x:c>
      <x:c r="R18" s="100" t="n">
        <x:f>Q18-N18-O18</x:f>
        <x:v>-125.761261829653</x:v>
      </x:c>
      <x:c r="S18" s="85" t="n">
        <x:f>IFERROR(R18/(N18+O18),0)</x:f>
        <x:v>-0.05511010597267879</x:v>
      </x:c>
      <x:c r="T18" s="70" t="n">
        <x:v>22</x:v>
      </x:c>
      <x:c r="U18" s="85" t="n">
        <x:f>IFERROR(T18/L18,0)</x:f>
        <x:v>0.2222222222222222</x:v>
      </x:c>
      <x:c r="V18" s="67" t="str">
        <x:f>IF(R18&lt;0,"停止/调整",IF(S18&lt;20%,"关注","继续"))</x:f>
        <x:v>停止/调整</x:v>
      </x:c>
    </x:row>
    <x:row r="19">
      <x:c r="A19" s="67" t="str">
        <x:v>CMP-0015</x:v>
      </x:c>
      <x:c r="B19" s="73" t="n">
        <x:v>46210.5</x:v>
      </x:c>
      <x:c r="C19" s="73" t="n">
        <x:v>46234.5</x:v>
      </x:c>
      <x:c r="D19" s="67" t="str">
        <x:v>S05</x:v>
      </x:c>
      <x:c r="E19" s="67" t="str">
        <x:v>同顺街店</x:v>
      </x:c>
      <x:c r="F19" s="67" t="str">
        <x:v>沉睡会员召回</x:v>
      </x:c>
      <x:c r="G19" s="67" t="str">
        <x:v>企微+短信</x:v>
      </x:c>
      <x:c r="H19" s="70" t="n">
        <x:v>843</x:v>
      </x:c>
      <x:c r="I19" s="70" t="n">
        <x:v>308</x:v>
      </x:c>
      <x:c r="J19" s="70" t="n">
        <x:v>149</x:v>
      </x:c>
      <x:c r="K19" s="70" t="n">
        <x:v>89</x:v>
      </x:c>
      <x:c r="L19" s="67" t="n">
        <x:f>MAX(J19-K19,0)</x:f>
        <x:v>60</x:v>
      </x:c>
      <x:c r="M19" s="97" t="n">
        <x:v>6150</x:v>
      </x:c>
      <x:c r="N19" s="97" t="n">
        <x:v>1389</x:v>
      </x:c>
      <x:c r="O19" s="97" t="n">
        <x:v>99</x:v>
      </x:c>
      <x:c r="P19" s="82" t="n">
        <x:v>0.62</x:v>
      </x:c>
      <x:c r="Q19" s="100" t="n">
        <x:f>IFERROR(M19*L19/J19*P19,0)</x:f>
        <x:v>1535.4362416107383</x:v>
      </x:c>
      <x:c r="R19" s="100" t="n">
        <x:f>Q19-N19-O19</x:f>
        <x:v>47.43624161073831</x:v>
      </x:c>
      <x:c r="S19" s="85" t="n">
        <x:f>IFERROR(R19/(N19+O19),0)</x:f>
        <x:v>0.03187919463087252</x:v>
      </x:c>
      <x:c r="T19" s="70" t="n">
        <x:v>16</x:v>
      </x:c>
      <x:c r="U19" s="85" t="n">
        <x:f>IFERROR(T19/L19,0)</x:f>
        <x:v>0.26666666666666666</x:v>
      </x:c>
      <x:c r="V19" s="67" t="str">
        <x:f>IF(R19&lt;0,"停止/调整",IF(S19&lt;20%,"关注","继续"))</x:f>
        <x:v>关注</x:v>
      </x:c>
    </x:row>
    <x:row r="20">
      <x:c r="A20" s="67" t="str">
        <x:v>CMP-0016</x:v>
      </x:c>
      <x:c r="B20" s="73" t="n">
        <x:v>46204.5</x:v>
      </x:c>
      <x:c r="C20" s="73" t="n">
        <x:v>46230.5</x:v>
      </x:c>
      <x:c r="D20" s="67" t="str">
        <x:v>S06</x:v>
      </x:c>
      <x:c r="E20" s="67" t="str">
        <x:v>蓝钻天城店</x:v>
      </x:c>
      <x:c r="F20" s="67" t="str">
        <x:v>满30减5</x:v>
      </x:c>
      <x:c r="G20" s="67" t="str">
        <x:v>会员+堂食</x:v>
      </x:c>
      <x:c r="H20" s="70" t="n">
        <x:v>960</x:v>
      </x:c>
      <x:c r="I20" s="70" t="n">
        <x:v>499</x:v>
      </x:c>
      <x:c r="J20" s="70" t="n">
        <x:v>211</x:v>
      </x:c>
      <x:c r="K20" s="70" t="n">
        <x:v>154</x:v>
      </x:c>
      <x:c r="L20" s="67" t="n">
        <x:f>MAX(J20-K20,0)</x:f>
        <x:v>57</x:v>
      </x:c>
      <x:c r="M20" s="97" t="n">
        <x:v>8026</x:v>
      </x:c>
      <x:c r="N20" s="97" t="n">
        <x:v>1056</x:v>
      </x:c>
      <x:c r="O20" s="97" t="n">
        <x:v>0</x:v>
      </x:c>
      <x:c r="P20" s="82" t="n">
        <x:v>0.6</x:v>
      </x:c>
      <x:c r="Q20" s="100" t="n">
        <x:f>IFERROR(M20*L20/J20*P20,0)</x:f>
        <x:v>1300.8966824644551</x:v>
      </x:c>
      <x:c r="R20" s="100" t="n">
        <x:f>Q20-N20-O20</x:f>
        <x:v>244.89668246445513</x:v>
      </x:c>
      <x:c r="S20" s="85" t="n">
        <x:f>IFERROR(R20/(N20+O20),0)</x:f>
        <x:v>0.23190973718224916</x:v>
      </x:c>
      <x:c r="T20" s="70" t="n">
        <x:v>13</x:v>
      </x:c>
      <x:c r="U20" s="85" t="n">
        <x:f>IFERROR(T20/L20,0)</x:f>
        <x:v>0.22807017543859648</x:v>
      </x:c>
      <x:c r="V20" s="67" t="str">
        <x:f>IF(R20&lt;0,"停止/调整",IF(S20&lt;20%,"关注","继续"))</x:f>
        <x:v>继续</x:v>
      </x:c>
    </x:row>
    <x:row r="21">
      <x:c r="A21" s="67" t="str">
        <x:v>CMP-0017</x:v>
      </x:c>
      <x:c r="B21" s="73" t="n">
        <x:v>46207.5</x:v>
      </x:c>
      <x:c r="C21" s="73" t="n">
        <x:v>46232.5</x:v>
      </x:c>
      <x:c r="D21" s="67" t="str">
        <x:v>S06</x:v>
      </x:c>
      <x:c r="E21" s="67" t="str">
        <x:v>蓝钻天城店</x:v>
      </x:c>
      <x:c r="F21" s="67" t="str">
        <x:v>工作日午餐券</x:v>
      </x:c>
      <x:c r="G21" s="67" t="str">
        <x:v>小程序</x:v>
      </x:c>
      <x:c r="H21" s="70" t="n">
        <x:v>1728</x:v>
      </x:c>
      <x:c r="I21" s="70" t="n">
        <x:v>730</x:v>
      </x:c>
      <x:c r="J21" s="70" t="n">
        <x:v>307</x:v>
      </x:c>
      <x:c r="K21" s="70" t="n">
        <x:v>211</x:v>
      </x:c>
      <x:c r="L21" s="67" t="n">
        <x:f>MAX(J21-K21,0)</x:f>
        <x:v>96</x:v>
      </x:c>
      <x:c r="M21" s="97" t="n">
        <x:v>11520</x:v>
      </x:c>
      <x:c r="N21" s="97" t="n">
        <x:v>1920</x:v>
      </x:c>
      <x:c r="O21" s="97" t="n">
        <x:v>288</x:v>
      </x:c>
      <x:c r="P21" s="82" t="n">
        <x:v>0.58</x:v>
      </x:c>
      <x:c r="Q21" s="100" t="n">
        <x:f>IFERROR(M21*L21/J21*P21,0)</x:f>
        <x:v>2089.360260586319</x:v>
      </x:c>
      <x:c r="R21" s="100" t="n">
        <x:f>Q21-N21-O21</x:f>
        <x:v>-118.63973941368113</x:v>
      </x:c>
      <x:c r="S21" s="85" t="n">
        <x:f>IFERROR(R21/(N21+O21),0)</x:f>
        <x:v>-0.053731766038804855</x:v>
      </x:c>
      <x:c r="T21" s="70" t="n">
        <x:v>21</x:v>
      </x:c>
      <x:c r="U21" s="85" t="n">
        <x:f>IFERROR(T21/L21,0)</x:f>
        <x:v>0.21875</x:v>
      </x:c>
      <x:c r="V21" s="67" t="str">
        <x:f>IF(R21&lt;0,"停止/调整",IF(S21&lt;20%,"关注","继续"))</x:f>
        <x:v>停止/调整</x:v>
      </x:c>
    </x:row>
    <x:row r="22">
      <x:c r="A22" s="67" t="str">
        <x:v>CMP-0018</x:v>
      </x:c>
      <x:c r="B22" s="73" t="n">
        <x:v>46210.5</x:v>
      </x:c>
      <x:c r="C22" s="73" t="n">
        <x:v>46234.5</x:v>
      </x:c>
      <x:c r="D22" s="67" t="str">
        <x:v>S06</x:v>
      </x:c>
      <x:c r="E22" s="67" t="str">
        <x:v>蓝钻天城店</x:v>
      </x:c>
      <x:c r="F22" s="67" t="str">
        <x:v>沉睡会员召回</x:v>
      </x:c>
      <x:c r="G22" s="67" t="str">
        <x:v>企微+短信</x:v>
      </x:c>
      <x:c r="H22" s="70" t="n">
        <x:v>816</x:v>
      </x:c>
      <x:c r="I22" s="70" t="n">
        <x:v>298</x:v>
      </x:c>
      <x:c r="J22" s="70" t="n">
        <x:v>144</x:v>
      </x:c>
      <x:c r="K22" s="70" t="n">
        <x:v>86</x:v>
      </x:c>
      <x:c r="L22" s="67" t="n">
        <x:f>MAX(J22-K22,0)</x:f>
        <x:v>58</x:v>
      </x:c>
      <x:c r="M22" s="97" t="n">
        <x:v>5952</x:v>
      </x:c>
      <x:c r="N22" s="97" t="n">
        <x:v>1344</x:v>
      </x:c>
      <x:c r="O22" s="97" t="n">
        <x:v>96</x:v>
      </x:c>
      <x:c r="P22" s="82" t="n">
        <x:v>0.62</x:v>
      </x:c>
      <x:c r="Q22" s="100" t="n">
        <x:f>IFERROR(M22*L22/J22*P22,0)</x:f>
        <x:v>1486.3466666666668</x:v>
      </x:c>
      <x:c r="R22" s="100" t="n">
        <x:f>Q22-N22-O22</x:f>
        <x:v>46.346666666666806</x:v>
      </x:c>
      <x:c r="S22" s="85" t="n">
        <x:f>IFERROR(R22/(N22+O22),0)</x:f>
        <x:v>0.03218518518518528</x:v>
      </x:c>
      <x:c r="T22" s="70" t="n">
        <x:v>15</x:v>
      </x:c>
      <x:c r="U22" s="85" t="n">
        <x:f>IFERROR(T22/L22,0)</x:f>
        <x:v>0.25862068965517243</x:v>
      </x:c>
      <x:c r="V22" s="67" t="str">
        <x:f>IF(R22&lt;0,"停止/调整",IF(S22&lt;20%,"关注","继续"))</x:f>
        <x:v>关注</x:v>
      </x:c>
    </x:row>
    <x:row r="23">
      <x:c r="A23" s="67" t="str">
        <x:v>CMP-0019</x:v>
      </x:c>
      <x:c r="B23" s="73" t="n">
        <x:v>46204.5</x:v>
      </x:c>
      <x:c r="C23" s="73" t="n">
        <x:v>46230.5</x:v>
      </x:c>
      <x:c r="D23" s="67" t="str">
        <x:v>S07</x:v>
      </x:c>
      <x:c r="E23" s="67" t="str">
        <x:v>小和山店</x:v>
      </x:c>
      <x:c r="F23" s="67" t="str">
        <x:v>满30减5</x:v>
      </x:c>
      <x:c r="G23" s="67" t="str">
        <x:v>会员+堂食</x:v>
      </x:c>
      <x:c r="H23" s="70" t="n">
        <x:v>920</x:v>
      </x:c>
      <x:c r="I23" s="70" t="n">
        <x:v>478</x:v>
      </x:c>
      <x:c r="J23" s="70" t="n">
        <x:v>202</x:v>
      </x:c>
      <x:c r="K23" s="70" t="n">
        <x:v>147</x:v>
      </x:c>
      <x:c r="L23" s="67" t="n">
        <x:f>MAX(J23-K23,0)</x:f>
        <x:v>55</x:v>
      </x:c>
      <x:c r="M23" s="97" t="n">
        <x:v>7691</x:v>
      </x:c>
      <x:c r="N23" s="97" t="n">
        <x:v>1012</x:v>
      </x:c>
      <x:c r="O23" s="97" t="n">
        <x:v>0</x:v>
      </x:c>
      <x:c r="P23" s="82" t="n">
        <x:v>0.6</x:v>
      </x:c>
      <x:c r="Q23" s="100" t="n">
        <x:f>IFERROR(M23*L23/J23*P23,0)</x:f>
        <x:v>1256.450495049505</x:v>
      </x:c>
      <x:c r="R23" s="100" t="n">
        <x:f>Q23-N23-O23</x:f>
        <x:v>244.45049504950498</x:v>
      </x:c>
      <x:c r="S23" s="85" t="n">
        <x:f>IFERROR(R23/(N23+O23),0)</x:f>
        <x:v>0.24155187257856223</x:v>
      </x:c>
      <x:c r="T23" s="70" t="n">
        <x:v>13</x:v>
      </x:c>
      <x:c r="U23" s="85" t="n">
        <x:f>IFERROR(T23/L23,0)</x:f>
        <x:v>0.23636363636363636</x:v>
      </x:c>
      <x:c r="V23" s="67" t="str">
        <x:f>IF(R23&lt;0,"停止/调整",IF(S23&lt;20%,"关注","继续"))</x:f>
        <x:v>继续</x:v>
      </x:c>
    </x:row>
    <x:row r="24">
      <x:c r="A24" s="67" t="str">
        <x:v>CMP-0020</x:v>
      </x:c>
      <x:c r="B24" s="73" t="n">
        <x:v>46207.5</x:v>
      </x:c>
      <x:c r="C24" s="73" t="n">
        <x:v>46232.5</x:v>
      </x:c>
      <x:c r="D24" s="67" t="str">
        <x:v>S07</x:v>
      </x:c>
      <x:c r="E24" s="67" t="str">
        <x:v>小和山店</x:v>
      </x:c>
      <x:c r="F24" s="67" t="str">
        <x:v>工作日午餐券</x:v>
      </x:c>
      <x:c r="G24" s="67" t="str">
        <x:v>小程序</x:v>
      </x:c>
      <x:c r="H24" s="70" t="n">
        <x:v>1656</x:v>
      </x:c>
      <x:c r="I24" s="70" t="n">
        <x:v>699</x:v>
      </x:c>
      <x:c r="J24" s="70" t="n">
        <x:v>294</x:v>
      </x:c>
      <x:c r="K24" s="70" t="n">
        <x:v>202</x:v>
      </x:c>
      <x:c r="L24" s="67" t="n">
        <x:f>MAX(J24-K24,0)</x:f>
        <x:v>92</x:v>
      </x:c>
      <x:c r="M24" s="97" t="n">
        <x:v>11040</x:v>
      </x:c>
      <x:c r="N24" s="97" t="n">
        <x:v>1840</x:v>
      </x:c>
      <x:c r="O24" s="97" t="n">
        <x:v>276</x:v>
      </x:c>
      <x:c r="P24" s="82" t="n">
        <x:v>0.58</x:v>
      </x:c>
      <x:c r="Q24" s="100" t="n">
        <x:f>IFERROR(M24*L24/J24*P24,0)</x:f>
        <x:v>2003.7224489795917</x:v>
      </x:c>
      <x:c r="R24" s="100" t="n">
        <x:f>Q24-N24-O24</x:f>
        <x:v>-112.27755102040828</x:v>
      </x:c>
      <x:c r="S24" s="85" t="n">
        <x:f>IFERROR(R24/(N24+O24),0)</x:f>
        <x:v>-0.05306122448979597</x:v>
      </x:c>
      <x:c r="T24" s="70" t="n">
        <x:v>20</x:v>
      </x:c>
      <x:c r="U24" s="85" t="n">
        <x:f>IFERROR(T24/L24,0)</x:f>
        <x:v>0.21739130434782608</x:v>
      </x:c>
      <x:c r="V24" s="67" t="str">
        <x:f>IF(R24&lt;0,"停止/调整",IF(S24&lt;20%,"关注","继续"))</x:f>
        <x:v>停止/调整</x:v>
      </x:c>
    </x:row>
    <x:row r="25">
      <x:c r="A25" s="67" t="str">
        <x:v>CMP-0021</x:v>
      </x:c>
      <x:c r="B25" s="73" t="n">
        <x:v>46210.5</x:v>
      </x:c>
      <x:c r="C25" s="73" t="n">
        <x:v>46234.5</x:v>
      </x:c>
      <x:c r="D25" s="67" t="str">
        <x:v>S07</x:v>
      </x:c>
      <x:c r="E25" s="67" t="str">
        <x:v>小和山店</x:v>
      </x:c>
      <x:c r="F25" s="67" t="str">
        <x:v>沉睡会员召回</x:v>
      </x:c>
      <x:c r="G25" s="67" t="str">
        <x:v>企微+短信</x:v>
      </x:c>
      <x:c r="H25" s="70" t="n">
        <x:v>782</x:v>
      </x:c>
      <x:c r="I25" s="70" t="n">
        <x:v>285</x:v>
      </x:c>
      <x:c r="J25" s="70" t="n">
        <x:v>138</x:v>
      </x:c>
      <x:c r="K25" s="70" t="n">
        <x:v>83</x:v>
      </x:c>
      <x:c r="L25" s="67" t="n">
        <x:f>MAX(J25-K25,0)</x:f>
        <x:v>55</x:v>
      </x:c>
      <x:c r="M25" s="97" t="n">
        <x:v>5704</x:v>
      </x:c>
      <x:c r="N25" s="97" t="n">
        <x:v>1288</x:v>
      </x:c>
      <x:c r="O25" s="97" t="n">
        <x:v>92</x:v>
      </x:c>
      <x:c r="P25" s="82" t="n">
        <x:v>0.62</x:v>
      </x:c>
      <x:c r="Q25" s="100" t="n">
        <x:f>IFERROR(M25*L25/J25*P25,0)</x:f>
        <x:v>1409.4666666666667</x:v>
      </x:c>
      <x:c r="R25" s="100" t="n">
        <x:f>Q25-N25-O25</x:f>
        <x:v>29.466666666666697</x:v>
      </x:c>
      <x:c r="S25" s="85" t="n">
        <x:f>IFERROR(R25/(N25+O25),0)</x:f>
        <x:v>0.02135265700483094</x:v>
      </x:c>
      <x:c r="T25" s="70" t="n">
        <x:v>15</x:v>
      </x:c>
      <x:c r="U25" s="85" t="n">
        <x:f>IFERROR(T25/L25,0)</x:f>
        <x:v>0.2727272727272727</x:v>
      </x:c>
      <x:c r="V25" s="67" t="str">
        <x:f>IF(R25&lt;0,"停止/调整",IF(S25&lt;20%,"关注","继续"))</x:f>
        <x:v>关注</x:v>
      </x:c>
    </x:row>
    <x:row r="26">
      <x:c r="A26" s="67" t="str">
        <x:v>CMP-0022</x:v>
      </x:c>
      <x:c r="B26" s="73" t="n">
        <x:v>46204.5</x:v>
      </x:c>
      <x:c r="C26" s="73" t="n">
        <x:v>46230.5</x:v>
      </x:c>
      <x:c r="D26" s="67" t="str">
        <x:v>S08</x:v>
      </x:c>
      <x:c r="E26" s="67" t="str">
        <x:v>四季青店</x:v>
      </x:c>
      <x:c r="F26" s="67" t="str">
        <x:v>满30减5</x:v>
      </x:c>
      <x:c r="G26" s="67" t="str">
        <x:v>会员+堂食</x:v>
      </x:c>
      <x:c r="H26" s="70" t="n">
        <x:v>848</x:v>
      </x:c>
      <x:c r="I26" s="70" t="n">
        <x:v>441</x:v>
      </x:c>
      <x:c r="J26" s="70" t="n">
        <x:v>187</x:v>
      </x:c>
      <x:c r="K26" s="70" t="n">
        <x:v>136</x:v>
      </x:c>
      <x:c r="L26" s="67" t="n">
        <x:f>MAX(J26-K26,0)</x:f>
        <x:v>51</x:v>
      </x:c>
      <x:c r="M26" s="97" t="n">
        <x:v>7089</x:v>
      </x:c>
      <x:c r="N26" s="97" t="n">
        <x:v>933</x:v>
      </x:c>
      <x:c r="O26" s="97" t="n">
        <x:v>0</x:v>
      </x:c>
      <x:c r="P26" s="82" t="n">
        <x:v>0.6</x:v>
      </x:c>
      <x:c r="Q26" s="100" t="n">
        <x:f>IFERROR(M26*L26/J26*P26,0)</x:f>
        <x:v>1160.0181818181818</x:v>
      </x:c>
      <x:c r="R26" s="100" t="n">
        <x:f>Q26-N26-O26</x:f>
        <x:v>227.0181818181818</x:v>
      </x:c>
      <x:c r="S26" s="85" t="n">
        <x:f>IFERROR(R26/(N26+O26),0)</x:f>
        <x:v>0.24332066647179185</x:v>
      </x:c>
      <x:c r="T26" s="70" t="n">
        <x:v>12</x:v>
      </x:c>
      <x:c r="U26" s="85" t="n">
        <x:f>IFERROR(T26/L26,0)</x:f>
        <x:v>0.23529411764705882</x:v>
      </x:c>
      <x:c r="V26" s="67" t="str">
        <x:f>IF(R26&lt;0,"停止/调整",IF(S26&lt;20%,"关注","继续"))</x:f>
        <x:v>继续</x:v>
      </x:c>
    </x:row>
    <x:row r="27">
      <x:c r="A27" s="67" t="str">
        <x:v>CMP-0023</x:v>
      </x:c>
      <x:c r="B27" s="73" t="n">
        <x:v>46207.5</x:v>
      </x:c>
      <x:c r="C27" s="73" t="n">
        <x:v>46232.5</x:v>
      </x:c>
      <x:c r="D27" s="67" t="str">
        <x:v>S08</x:v>
      </x:c>
      <x:c r="E27" s="67" t="str">
        <x:v>四季青店</x:v>
      </x:c>
      <x:c r="F27" s="67" t="str">
        <x:v>工作日午餐券</x:v>
      </x:c>
      <x:c r="G27" s="67" t="str">
        <x:v>小程序</x:v>
      </x:c>
      <x:c r="H27" s="70" t="n">
        <x:v>1526</x:v>
      </x:c>
      <x:c r="I27" s="70" t="n">
        <x:v>644</x:v>
      </x:c>
      <x:c r="J27" s="70" t="n">
        <x:v>271</x:v>
      </x:c>
      <x:c r="K27" s="70" t="n">
        <x:v>187</x:v>
      </x:c>
      <x:c r="L27" s="67" t="n">
        <x:f>MAX(J27-K27,0)</x:f>
        <x:v>84</x:v>
      </x:c>
      <x:c r="M27" s="97" t="n">
        <x:v>10176</x:v>
      </x:c>
      <x:c r="N27" s="97" t="n">
        <x:v>1696</x:v>
      </x:c>
      <x:c r="O27" s="97" t="n">
        <x:v>254</x:v>
      </x:c>
      <x:c r="P27" s="82" t="n">
        <x:v>0.58</x:v>
      </x:c>
      <x:c r="Q27" s="100" t="n">
        <x:f>IFERROR(M27*L27/J27*P27,0)</x:f>
        <x:v>1829.4270110701107</x:v>
      </x:c>
      <x:c r="R27" s="100" t="n">
        <x:f>Q27-N27-O27</x:f>
        <x:v>-120.57298892988933</x:v>
      </x:c>
      <x:c r="S27" s="85" t="n">
        <x:f>IFERROR(R27/(N27+O27),0)</x:f>
        <x:v>-0.06183230201532786</x:v>
      </x:c>
      <x:c r="T27" s="70" t="n">
        <x:v>19</x:v>
      </x:c>
      <x:c r="U27" s="85" t="n">
        <x:f>IFERROR(T27/L27,0)</x:f>
        <x:v>0.2261904761904762</x:v>
      </x:c>
      <x:c r="V27" s="67" t="str">
        <x:f>IF(R27&lt;0,"停止/调整",IF(S27&lt;20%,"关注","继续"))</x:f>
        <x:v>停止/调整</x:v>
      </x:c>
    </x:row>
    <x:row r="28">
      <x:c r="A28" s="68" t="str">
        <x:v>CMP-0024</x:v>
      </x:c>
      <x:c r="B28" s="74" t="n">
        <x:v>46210.5</x:v>
      </x:c>
      <x:c r="C28" s="74" t="n">
        <x:v>46234.5</x:v>
      </x:c>
      <x:c r="D28" s="68" t="str">
        <x:v>S08</x:v>
      </x:c>
      <x:c r="E28" s="68" t="str">
        <x:v>四季青店</x:v>
      </x:c>
      <x:c r="F28" s="68" t="str">
        <x:v>沉睡会员召回</x:v>
      </x:c>
      <x:c r="G28" s="68" t="str">
        <x:v>企微+短信</x:v>
      </x:c>
      <x:c r="H28" s="71" t="n">
        <x:v>721</x:v>
      </x:c>
      <x:c r="I28" s="71" t="n">
        <x:v>263</x:v>
      </x:c>
      <x:c r="J28" s="71" t="n">
        <x:v>127</x:v>
      </x:c>
      <x:c r="K28" s="71" t="n">
        <x:v>76</x:v>
      </x:c>
      <x:c r="L28" s="68" t="n">
        <x:f>MAX(J28-K28,0)</x:f>
        <x:v>51</x:v>
      </x:c>
      <x:c r="M28" s="98" t="n">
        <x:v>5258</x:v>
      </x:c>
      <x:c r="N28" s="98" t="n">
        <x:v>1187</x:v>
      </x:c>
      <x:c r="O28" s="98" t="n">
        <x:v>85</x:v>
      </x:c>
      <x:c r="P28" s="83" t="n">
        <x:v>0.62</x:v>
      </x:c>
      <x:c r="Q28" s="101" t="n">
        <x:f>IFERROR(M28*L28/J28*P28,0)</x:f>
        <x:v>1309.1177952755907</x:v>
      </x:c>
      <x:c r="R28" s="101" t="n">
        <x:f>Q28-N28-O28</x:f>
        <x:v>37.11779527559065</x:v>
      </x:c>
      <x:c r="S28" s="86" t="n">
        <x:f>IFERROR(R28/(N28+O28),0)</x:f>
        <x:v>0.0291806566632002</x:v>
      </x:c>
      <x:c r="T28" s="71" t="n">
        <x:v>14</x:v>
      </x:c>
      <x:c r="U28" s="86" t="n">
        <x:f>IFERROR(T28/L28,0)</x:f>
        <x:v>0.27450980392156865</x:v>
      </x:c>
      <x:c r="V28" s="68" t="str">
        <x:f>IF(R28&lt;0,"停止/调整",IF(S28&lt;20%,"关注","继续"))</x:f>
        <x:v>关注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4" hidden="0" customWidth="1"/>
    <x:col min="10" max="10" width="14" hidden="0" customWidth="1"/>
    <x:col min="11" max="11" width="13" hidden="0" customWidth="1"/>
    <x:col min="12" max="12" width="12" hidden="0" customWidth="1"/>
    <x:col min="13" max="13" width="12" hidden="0" customWidth="1"/>
    <x:col min="14" max="14" width="14" hidden="0" customWidth="1"/>
    <x:col min="15" max="15" width="11" hidden="0" customWidth="1"/>
    <x:col min="16" max="16" width="13" hidden="0" customWidth="1"/>
    <x:col min="17" max="17" width="14" hidden="0" customWidth="1"/>
    <x:col min="18" max="18" width="11" hidden="0" customWidth="1"/>
    <x:col min="19" max="19" width="14" hidden="0" customWidth="1"/>
    <x:col min="20" max="20" width="12" hidden="0" customWidth="1"/>
    <x:col min="21" max="21" width="14" hidden="0" customWidth="1"/>
    <x:col min="22" max="22" width="16" hidden="0" customWidth="1"/>
    <x:col min="23" max="23" width="11" hidden="0" customWidth="1"/>
    <x:col min="24" max="24" width="12" hidden="0" customWidth="1"/>
  </x:cols>
  <x:sheetData>
    <x:row r="1" ht="30" customHeight="1">
      <x:c r="A1" s="52" t="str">
        <x:v>门店月度经营损益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</x:row>
    <x:row r="2" ht="28" customHeight="1">
      <x:c r="A2" s="56" t="str">
        <x:v>从标价营业额逐层扣除优惠、退款、食材、平台、包装、支付、人工与固定费用；全部结果可追溯到新增明细表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</x:row>
    <x:row r="4" ht="34" customHeight="1">
      <x:c r="A4" s="61" t="str">
        <x:v>月份</x:v>
      </x:c>
      <x:c r="B4" s="61" t="str">
        <x:v>门店ID</x:v>
      </x:c>
      <x:c r="C4" s="61" t="str">
        <x:v>门店</x:v>
      </x:c>
      <x:c r="D4" s="61" t="str">
        <x:v>标价营业额</x:v>
      </x:c>
      <x:c r="E4" s="61" t="str">
        <x:v>堂食标价</x:v>
      </x:c>
      <x:c r="F4" s="61" t="str">
        <x:v>外卖标价</x:v>
      </x:c>
      <x:c r="G4" s="61" t="str">
        <x:v>商家优惠</x:v>
      </x:c>
      <x:c r="H4" s="61" t="str">
        <x:v>退款/退菜</x:v>
      </x:c>
      <x:c r="I4" s="61" t="str">
        <x:v>净营业收入</x:v>
      </x:c>
      <x:c r="J4" s="61" t="str">
        <x:v>食材采购耗用</x:v>
      </x:c>
      <x:c r="K4" s="61" t="str">
        <x:v>外卖平台费</x:v>
      </x:c>
      <x:c r="L4" s="61" t="str">
        <x:v>外卖包装</x:v>
      </x:c>
      <x:c r="M4" s="61" t="str">
        <x:v>支付手续费</x:v>
      </x:c>
      <x:c r="N4" s="61" t="str">
        <x:v>订单贡献</x:v>
      </x:c>
      <x:c r="O4" s="61" t="str">
        <x:v>贡献率</x:v>
      </x:c>
      <x:c r="P4" s="61" t="str">
        <x:v>人工全成本</x:v>
      </x:c>
      <x:c r="Q4" s="61" t="str">
        <x:v>固定现金费用</x:v>
      </x:c>
      <x:c r="R4" s="61" t="str">
        <x:v>折旧</x:v>
      </x:c>
      <x:c r="S4" s="61" t="str">
        <x:v>经营利润</x:v>
      </x:c>
      <x:c r="T4" s="61" t="str">
        <x:v>经营利润率</x:v>
      </x:c>
      <x:c r="U4" s="61" t="str">
        <x:v>现金经营结余</x:v>
      </x:c>
      <x:c r="V4" s="61" t="str">
        <x:v>会计盈亏平衡月销</x:v>
      </x:c>
      <x:c r="W4" s="61" t="str">
        <x:v>安全边际</x:v>
      </x:c>
      <x:c r="X4" s="61" t="str">
        <x:v>风险状态</x:v>
      </x:c>
    </x:row>
    <x:row r="5">
      <x:c r="A5" s="106" t="n">
        <x:v>46204.5</x:v>
      </x:c>
      <x:c r="B5" s="66" t="str">
        <x:v>S01</x:v>
      </x:c>
      <x:c r="C5" s="66" t="str">
        <x:v>近江天阳店</x:v>
      </x:c>
      <x:c r="D5" s="108" t="n">
        <x:f>XLOOKUP(B5,'门店与角色'!$A$5:$A$12,'门店与角色'!$D$5:$D$12,0)</x:f>
        <x:v>285000</x:v>
      </x:c>
      <x:c r="E5" s="108" t="n">
        <x:f>D5*'封面与口径'!$I$6</x:f>
        <x:v>256500</x:v>
      </x:c>
      <x:c r="F5" s="108" t="n">
        <x:f>D5*'封面与口径'!$I$7</x:f>
        <x:v>28500</x:v>
      </x:c>
      <x:c r="G5" s="108" t="n">
        <x:f>SUMIFS('外卖结算'!$M$5:$M$172,'外卖结算'!$D$5:$D$172,B5)*30/7+SUMIFS('营销活动'!$N$5:$N$28,'营销活动'!$D$5:$D$28,B5)</x:f>
        <x:v>7462.215428571429</x:v>
      </x:c>
      <x:c r="H5" s="108" t="n">
        <x:f>(SUMIFS('支付资金账单'!$I$5:$I$228,'支付资金账单'!$D$5:$D$228,B5)+SUMIFS('外卖结算'!$R$5:$R$172,'外卖结算'!$D$5:$D$172,B5))*30/7</x:f>
        <x:v>620.065842857143</x:v>
      </x:c>
      <x:c r="I5" s="108" t="n">
        <x:f>D5-G5-H5</x:f>
        <x:v>276917.71872857143</x:v>
      </x:c>
      <x:c r="J5" s="108" t="n">
        <x:f>SUMIFS('供应商应付'!$K$5:$K$52,'供应商应付'!$D$5:$D$52,B5)</x:f>
        <x:v>94050</x:v>
      </x:c>
      <x:c r="K5" s="108" t="n">
        <x:f>SUMIFS('外卖结算'!$Q$5:$Q$172,'外卖结算'!$D$5:$D$172,B5)*30/7</x:f>
        <x:v>5125.757142857142</x:v>
      </x:c>
      <x:c r="L5" s="108" t="n">
        <x:f>SUMIFS('外卖结算'!$U$5:$U$172,'外卖结算'!$D$5:$D$172,B5)*30/7</x:f>
        <x:v>761.1428571428572</x:v>
      </x:c>
      <x:c r="M5" s="108" t="n">
        <x:f>SUMIFS('支付资金账单'!$K$5:$K$228,'支付资金账单'!$D$5:$D$228,B5)*30/7</x:f>
        <x:v>907.9007657142857</x:v>
      </x:c>
      <x:c r="N5" s="108" t="n">
        <x:f>I5-J5-K5-L5-M5</x:f>
        <x:v>176072.91796285711</x:v>
      </x:c>
      <x:c r="O5" s="111" t="n">
        <x:f>IFERROR(N5/D5,0)</x:f>
        <x:v>0.6177997121503759</x:v>
      </x:c>
      <x:c r="P5" s="108" t="n">
        <x:f>SUMIFS('排班工时'!$K$5:$K$340,'排班工时'!$D$5:$D$340,B5)*30/7</x:f>
        <x:v>53639.42142857143</x:v>
      </x:c>
      <x:c r="Q5" s="108" t="n">
        <x:f>SUMIFS('固定费用月表'!$H$5:$H$76,'固定费用月表'!$C$5:$C$76,B5,'固定费用月表'!$J$5:$J$76,"现金")</x:f>
        <x:v>71806</x:v>
      </x:c>
      <x:c r="R5" s="108" t="n">
        <x:f>SUMIFS('固定费用月表'!$H$5:$H$76,'固定费用月表'!$C$5:$C$76,B5,'固定费用月表'!$J$5:$J$76,"非现金")</x:f>
        <x:v>4560</x:v>
      </x:c>
      <x:c r="S5" s="108" t="n">
        <x:f>N5-P5-Q5-R5</x:f>
        <x:v>46067.49653428569</x:v>
      </x:c>
      <x:c r="T5" s="111" t="n">
        <x:f>IFERROR(S5/D5,0)</x:f>
        <x:v>0.1616403387167919</x:v>
      </x:c>
      <x:c r="U5" s="108" t="n">
        <x:f>N5-P5-Q5</x:f>
        <x:v>50627.49653428569</x:v>
      </x:c>
      <x:c r="V5" s="108" t="n">
        <x:f>IFERROR((P5+Q5+R5)/O5,0)</x:f>
        <x:v>210432.95888899246</x:v>
      </x:c>
      <x:c r="W5" s="111" t="n">
        <x:f>IFERROR((D5-V5)/D5,0)</x:f>
        <x:v>0.2616387407403773</x:v>
      </x:c>
      <x:c r="X5" s="90" t="str">
        <x:f>IF(S5&lt;0,"亏损",IF(W5&lt;10%,"风险",IF(T5&lt;8%,"关注","正常")))</x:f>
        <x:v>正常</x:v>
      </x:c>
    </x:row>
    <x:row r="6">
      <x:c r="A6" s="107" t="n">
        <x:v>46204.5</x:v>
      </x:c>
      <x:c r="B6" s="67" t="str">
        <x:v>S02</x:v>
      </x:c>
      <x:c r="C6" s="67" t="str">
        <x:v>尊宝大厦店</x:v>
      </x:c>
      <x:c r="D6" s="109" t="n">
        <x:f>XLOOKUP(B6,'门店与角色'!$A$5:$A$12,'门店与角色'!$D$5:$D$12,0)</x:f>
        <x:v>270000</x:v>
      </x:c>
      <x:c r="E6" s="109" t="n">
        <x:f>D6*'封面与口径'!$I$6</x:f>
        <x:v>243000</x:v>
      </x:c>
      <x:c r="F6" s="109" t="n">
        <x:f>D6*'封面与口径'!$I$7</x:f>
        <x:v>27000</x:v>
      </x:c>
      <x:c r="G6" s="109" t="n">
        <x:f>SUMIFS('外卖结算'!$M$5:$M$172,'外卖结算'!$D$5:$D$172,B6)*30/7+SUMIFS('营销活动'!$N$5:$N$28,'营销活动'!$D$5:$D$28,B6)</x:f>
        <x:v>7068.475714285714</x:v>
      </x:c>
      <x:c r="H6" s="109" t="n">
        <x:f>(SUMIFS('支付资金账单'!$I$5:$I$228,'支付资金账单'!$D$5:$D$228,B6)+SUMIFS('外卖结算'!$R$5:$R$172,'外卖结算'!$D$5:$D$172,B6))*30/7</x:f>
        <x:v>587.3555999999999</x:v>
      </x:c>
      <x:c r="I6" s="109" t="n">
        <x:f>D6-G6-H6</x:f>
        <x:v>262344.16868571425</x:v>
      </x:c>
      <x:c r="J6" s="109" t="n">
        <x:f>SUMIFS('供应商应付'!$K$5:$K$52,'供应商应付'!$D$5:$D$52,B6)</x:f>
        <x:v>89100</x:v>
      </x:c>
      <x:c r="K6" s="109" t="n">
        <x:f>SUMIFS('外卖结算'!$Q$5:$Q$172,'外卖结算'!$D$5:$D$172,B6)*30/7</x:f>
        <x:v>4853.828571428571</x:v>
      </x:c>
      <x:c r="L6" s="109" t="n">
        <x:f>SUMIFS('外卖结算'!$U$5:$U$172,'外卖结算'!$D$5:$D$172,B6)*30/7</x:f>
        <x:v>719.9999999999999</x:v>
      </x:c>
      <x:c r="M6" s="109" t="n">
        <x:f>SUMIFS('支付资金账单'!$K$5:$K$228,'支付资金账单'!$D$5:$D$228,B6)*30/7</x:f>
        <x:v>860.040977142857</x:v>
      </x:c>
      <x:c r="N6" s="109" t="n">
        <x:f>I6-J6-K6-L6-M6</x:f>
        <x:v>166810.2991371428</x:v>
      </x:c>
      <x:c r="O6" s="112" t="n">
        <x:f>IFERROR(N6/D6,0)</x:f>
        <x:v>0.6178159227301585</x:v>
      </x:c>
      <x:c r="P6" s="109" t="n">
        <x:f>SUMIFS('排班工时'!$K$5:$K$340,'排班工时'!$D$5:$D$340,B6)*30/7</x:f>
        <x:v>54840.932142857135</x:v>
      </x:c>
      <x:c r="Q6" s="109" t="n">
        <x:f>SUMIFS('固定费用月表'!$H$5:$H$76,'固定费用月表'!$C$5:$C$76,B6,'固定费用月表'!$J$5:$J$76,"现金")</x:f>
        <x:v>68137</x:v>
      </x:c>
      <x:c r="R6" s="109" t="n">
        <x:f>SUMIFS('固定费用月表'!$H$5:$H$76,'固定费用月表'!$C$5:$C$76,B6,'固定费用月表'!$J$5:$J$76,"非现金")</x:f>
        <x:v>4320</x:v>
      </x:c>
      <x:c r="S6" s="109" t="n">
        <x:f>N6-P6-Q6-R6</x:f>
        <x:v>39512.366994285665</x:v>
      </x:c>
      <x:c r="T6" s="112" t="n">
        <x:f>IFERROR(S6/D6,0)</x:f>
        <x:v>0.1463420999788358</x:v>
      </x:c>
      <x:c r="U6" s="109" t="n">
        <x:f>N6-P6-Q6</x:f>
        <x:v>43832.366994285665</x:v>
      </x:c>
      <x:c r="V6" s="109" t="n">
        <x:f>IFERROR((P6+Q6+R6)/O6,0)</x:f>
        <x:v>206045.08148692804</x:v>
      </x:c>
      <x:c r="W6" s="112" t="n">
        <x:f>IFERROR((D6-V6)/D6,0)</x:f>
        <x:v>0.23687006856693318</x:v>
      </x:c>
      <x:c r="X6" s="91" t="str">
        <x:f>IF(S6&lt;0,"亏损",IF(W6&lt;10%,"风险",IF(T6&lt;8%,"关注","正常")))</x:f>
        <x:v>正常</x:v>
      </x:c>
    </x:row>
    <x:row r="7">
      <x:c r="A7" s="107" t="n">
        <x:v>46204.5</x:v>
      </x:c>
      <x:c r="B7" s="67" t="str">
        <x:v>S03</x:v>
      </x:c>
      <x:c r="C7" s="67" t="str">
        <x:v>铂悦城店</x:v>
      </x:c>
      <x:c r="D7" s="109" t="n">
        <x:f>XLOOKUP(B7,'门店与角色'!$A$5:$A$12,'门店与角色'!$D$5:$D$12,0)</x:f>
        <x:v>260000</x:v>
      </x:c>
      <x:c r="E7" s="109" t="n">
        <x:f>D7*'封面与口径'!$I$6</x:f>
        <x:v>234000</x:v>
      </x:c>
      <x:c r="F7" s="109" t="n">
        <x:f>D7*'封面与口径'!$I$7</x:f>
        <x:v>26000</x:v>
      </x:c>
      <x:c r="G7" s="109" t="n">
        <x:f>SUMIFS('外卖结算'!$M$5:$M$172,'外卖结算'!$D$5:$D$172,B7)*30/7+SUMIFS('营销活动'!$N$5:$N$28,'营销活动'!$D$5:$D$28,B7)</x:f>
        <x:v>6802.831714285714</x:v>
      </x:c>
      <x:c r="H7" s="109" t="n">
        <x:f>(SUMIFS('支付资金账单'!$I$5:$I$228,'支付资金账单'!$D$5:$D$228,B7)+SUMIFS('外卖结算'!$R$5:$R$172,'外卖结算'!$D$5:$D$172,B7))*30/7</x:f>
        <x:v>565.5315857142858</x:v>
      </x:c>
      <x:c r="I7" s="109" t="n">
        <x:f>D7-G7-H7</x:f>
        <x:v>252631.6367</x:v>
      </x:c>
      <x:c r="J7" s="109" t="n">
        <x:f>SUMIFS('供应商应付'!$K$5:$K$52,'供应商应付'!$D$5:$D$52,B7)</x:f>
        <x:v>85800</x:v>
      </x:c>
      <x:c r="K7" s="109" t="n">
        <x:f>SUMIFS('外卖结算'!$Q$5:$Q$172,'外卖结算'!$D$5:$D$172,B7)*30/7</x:f>
        <x:v>4665.599999999999</x:v>
      </x:c>
      <x:c r="L7" s="109" t="n">
        <x:f>SUMIFS('外卖结算'!$U$5:$U$172,'外卖结算'!$D$5:$D$172,B7)*30/7</x:f>
        <x:v>694.2857142857141</x:v>
      </x:c>
      <x:c r="M7" s="109" t="n">
        <x:f>SUMIFS('支付资金账单'!$K$5:$K$228,'支付资金账单'!$D$5:$D$228,B7)*30/7</x:f>
        <x:v>828.2708142857143</x:v>
      </x:c>
      <x:c r="N7" s="109" t="n">
        <x:f>I7-J7-K7-L7-M7</x:f>
        <x:v>160643.4801714286</x:v>
      </x:c>
      <x:c r="O7" s="112" t="n">
        <x:f>IFERROR(N7/D7,0)</x:f>
        <x:v>0.6178595391208792</x:v>
      </x:c>
      <x:c r="P7" s="109" t="n">
        <x:f>SUMIFS('排班工时'!$K$5:$K$340,'排班工时'!$D$5:$D$340,B7)*30/7</x:f>
        <x:v>55755.674999999996</x:v>
      </x:c>
      <x:c r="Q7" s="109" t="n">
        <x:f>SUMIFS('固定费用月表'!$H$5:$H$76,'固定费用月表'!$C$5:$C$76,B7,'固定费用月表'!$J$5:$J$76,"现金")</x:f>
        <x:v>65628</x:v>
      </x:c>
      <x:c r="R7" s="109" t="n">
        <x:f>SUMIFS('固定费用月表'!$H$5:$H$76,'固定费用月表'!$C$5:$C$76,B7,'固定费用月表'!$J$5:$J$76,"非现金")</x:f>
        <x:v>4160</x:v>
      </x:c>
      <x:c r="S7" s="109" t="n">
        <x:f>N7-P7-Q7-R7</x:f>
        <x:v>35099.8051714286</x:v>
      </x:c>
      <x:c r="T7" s="112" t="n">
        <x:f>IFERROR(S7/D7,0)</x:f>
        <x:v>0.13499925065934076</x:v>
      </x:c>
      <x:c r="U7" s="109" t="n">
        <x:f>N7-P7-Q7</x:f>
        <x:v>39259.8051714286</x:v>
      </x:c>
      <x:c r="V7" s="109" t="n">
        <x:f>IFERROR((P7+Q7+R7)/O7,0)</x:f>
        <x:v>203191.287098407</x:v>
      </x:c>
      <x:c r="W7" s="112" t="n">
        <x:f>IFERROR((D7-V7)/D7,0)</x:f>
        <x:v>0.2184950496215116</x:v>
      </x:c>
      <x:c r="X7" s="91" t="str">
        <x:f>IF(S7&lt;0,"亏损",IF(W7&lt;10%,"风险",IF(T7&lt;8%,"关注","正常")))</x:f>
        <x:v>正常</x:v>
      </x:c>
    </x:row>
    <x:row r="8">
      <x:c r="A8" s="107" t="n">
        <x:v>46204.5</x:v>
      </x:c>
      <x:c r="B8" s="67" t="str">
        <x:v>S04</x:v>
      </x:c>
      <x:c r="C8" s="67" t="str">
        <x:v>金街美地店</x:v>
      </x:c>
      <x:c r="D8" s="109" t="n">
        <x:f>XLOOKUP(B8,'门店与角色'!$A$5:$A$12,'门店与角色'!$D$5:$D$12,0)</x:f>
        <x:v>255000</x:v>
      </x:c>
      <x:c r="E8" s="109" t="n">
        <x:f>D8*'封面与口径'!$I$6</x:f>
        <x:v>229500</x:v>
      </x:c>
      <x:c r="F8" s="109" t="n">
        <x:f>D8*'封面与口径'!$I$7</x:f>
        <x:v>25500</x:v>
      </x:c>
      <x:c r="G8" s="109" t="n">
        <x:f>SUMIFS('外卖结算'!$M$5:$M$172,'外卖结算'!$D$5:$D$172,B8)*30/7+SUMIFS('营销活动'!$N$5:$N$28,'营销活动'!$D$5:$D$28,B8)</x:f>
        <x:v>6673.271999999999</x:v>
      </x:c>
      <x:c r="H8" s="109" t="n">
        <x:f>(SUMIFS('支付资金账单'!$I$5:$I$228,'支付资金账单'!$D$5:$D$228,B8)+SUMIFS('外卖结算'!$R$5:$R$172,'外卖结算'!$D$5:$D$172,B8))*30/7</x:f>
        <x:v>554.5030714285714</x:v>
      </x:c>
      <x:c r="I8" s="109" t="n">
        <x:f>D8-G8-H8</x:f>
        <x:v>247772.22492857144</x:v>
      </x:c>
      <x:c r="J8" s="109" t="n">
        <x:f>SUMIFS('供应商应付'!$K$5:$K$52,'供应商应付'!$D$5:$D$52,B8)</x:f>
        <x:v>84150</x:v>
      </x:c>
      <x:c r="K8" s="109" t="n">
        <x:f>SUMIFS('外卖结算'!$Q$5:$Q$172,'外卖结算'!$D$5:$D$172,B8)*30/7</x:f>
        <x:v>4578.660000000001</x:v>
      </x:c>
      <x:c r="L8" s="109" t="n">
        <x:f>SUMIFS('外卖结算'!$U$5:$U$172,'外卖结算'!$D$5:$D$172,B8)*30/7</x:f>
        <x:v>673.7142857142857</x:v>
      </x:c>
      <x:c r="M8" s="109" t="n">
        <x:f>SUMIFS('支付资金账单'!$K$5:$K$228,'支付资金账单'!$D$5:$D$228,B8)*30/7</x:f>
        <x:v>812.1585942857145</x:v>
      </x:c>
      <x:c r="N8" s="109" t="n">
        <x:f>I8-J8-K8-L8-M8</x:f>
        <x:v>157557.69204857142</x:v>
      </x:c>
      <x:c r="O8" s="112" t="n">
        <x:f>IFERROR(N8/D8,0)</x:f>
        <x:v>0.6178733021512605</x:v>
      </x:c>
      <x:c r="P8" s="109" t="n">
        <x:f>SUMIFS('排班工时'!$K$5:$K$340,'排班工时'!$D$5:$D$340,B8)*30/7</x:f>
        <x:v>56812.15714285714</x:v>
      </x:c>
      <x:c r="Q8" s="109" t="n">
        <x:f>SUMIFS('固定费用月表'!$H$5:$H$76,'固定费用月表'!$C$5:$C$76,B8,'固定费用月表'!$J$5:$J$76,"现金")</x:f>
        <x:v>64230</x:v>
      </x:c>
      <x:c r="R8" s="109" t="n">
        <x:f>SUMIFS('固定费用月表'!$H$5:$H$76,'固定费用月表'!$C$5:$C$76,B8,'固定费用月表'!$J$5:$J$76,"非现金")</x:f>
        <x:v>4080</x:v>
      </x:c>
      <x:c r="S8" s="109" t="n">
        <x:f>N8-P8-Q8-R8</x:f>
        <x:v>32435.534905714274</x:v>
      </x:c>
      <x:c r="T8" s="112" t="n">
        <x:f>IFERROR(S8/D8,0)</x:f>
        <x:v>0.12719817610084028</x:v>
      </x:c>
      <x:c r="U8" s="109" t="n">
        <x:f>N8-P8-Q8</x:f>
        <x:v>36515.534905714274</x:v>
      </x:c>
      <x:c r="V8" s="109" t="n">
        <x:f>IFERROR((P8+Q8+R8)/O8,0)</x:f>
        <x:v>202504.55345330038</x:v>
      </x:c>
      <x:c r="W8" s="112" t="n">
        <x:f>IFERROR((D8-V8)/D8,0)</x:f>
        <x:v>0.20586449626156714</x:v>
      </x:c>
      <x:c r="X8" s="91" t="str">
        <x:f>IF(S8&lt;0,"亏损",IF(W8&lt;10%,"风险",IF(T8&lt;8%,"关注","正常")))</x:f>
        <x:v>正常</x:v>
      </x:c>
    </x:row>
    <x:row r="9">
      <x:c r="A9" s="107" t="n">
        <x:v>46204.5</x:v>
      </x:c>
      <x:c r="B9" s="67" t="str">
        <x:v>S05</x:v>
      </x:c>
      <x:c r="C9" s="67" t="str">
        <x:v>同顺街店</x:v>
      </x:c>
      <x:c r="D9" s="109" t="n">
        <x:f>XLOOKUP(B9,'门店与角色'!$A$5:$A$12,'门店与角色'!$D$5:$D$12,0)</x:f>
        <x:v>248000</x:v>
      </x:c>
      <x:c r="E9" s="109" t="n">
        <x:f>D9*'封面与口径'!$I$6</x:f>
        <x:v>223200</x:v>
      </x:c>
      <x:c r="F9" s="109" t="n">
        <x:f>D9*'封面与口径'!$I$7</x:f>
        <x:v>24800</x:v>
      </x:c>
      <x:c r="G9" s="109" t="n">
        <x:f>SUMIFS('外卖结算'!$M$5:$M$172,'外卖结算'!$D$5:$D$172,B9)*30/7+SUMIFS('营销活动'!$N$5:$N$28,'营销活动'!$D$5:$D$28,B9)</x:f>
        <x:v>6489.852428571428</x:v>
      </x:c>
      <x:c r="H9" s="109" t="n">
        <x:f>(SUMIFS('支付资金账单'!$I$5:$I$228,'支付资金账单'!$D$5:$D$228,B9)+SUMIFS('外卖结算'!$R$5:$R$172,'外卖结算'!$D$5:$D$172,B9))*30/7</x:f>
        <x:v>539.4189428571428</x:v>
      </x:c>
      <x:c r="I9" s="109" t="n">
        <x:f>D9-G9-H9</x:f>
        <x:v>240970.7286285714</x:v>
      </x:c>
      <x:c r="J9" s="109" t="n">
        <x:f>SUMIFS('供应商应付'!$K$5:$K$52,'供应商应付'!$D$5:$D$52,B9)</x:f>
        <x:v>81840.00000000001</x:v>
      </x:c>
      <x:c r="K9" s="109" t="n">
        <x:f>SUMIFS('外卖结算'!$Q$5:$Q$172,'外卖结算'!$D$5:$D$172,B9)*30/7</x:f>
        <x:v>4452.454285714286</x:v>
      </x:c>
      <x:c r="L9" s="109" t="n">
        <x:f>SUMIFS('外卖结算'!$U$5:$U$172,'外卖结算'!$D$5:$D$172,B9)*30/7</x:f>
        <x:v>663.4285714285712</x:v>
      </x:c>
      <x:c r="M9" s="109" t="n">
        <x:f>SUMIFS('支付资金账单'!$K$5:$K$228,'支付资金账单'!$D$5:$D$228,B9)*30/7</x:f>
        <x:v>790.1450142857142</x:v>
      </x:c>
      <x:c r="N9" s="109" t="n">
        <x:f>I9-J9-K9-L9-M9</x:f>
        <x:v>153224.7007571428</x:v>
      </x:c>
      <x:c r="O9" s="112" t="n">
        <x:f>IFERROR(N9/D9,0)</x:f>
        <x:v>0.6178415353110597</x:v>
      </x:c>
      <x:c r="P9" s="109" t="n">
        <x:f>SUMIFS('排班工时'!$K$5:$K$340,'排班工时'!$D$5:$D$340,B9)*30/7</x:f>
        <x:v>57867.24642857143</x:v>
      </x:c>
      <x:c r="Q9" s="109" t="n">
        <x:f>SUMIFS('固定费用月表'!$H$5:$H$76,'固定费用月表'!$C$5:$C$76,B9,'固定费用月表'!$J$5:$J$76,"现金")</x:f>
        <x:v>62344</x:v>
      </x:c>
      <x:c r="R9" s="109" t="n">
        <x:f>SUMIFS('固定费用月表'!$H$5:$H$76,'固定费用月表'!$C$5:$C$76,B9,'固定费用月表'!$J$5:$J$76,"非现金")</x:f>
        <x:v>3968</x:v>
      </x:c>
      <x:c r="S9" s="109" t="n">
        <x:f>N9-P9-Q9-R9</x:f>
        <x:v>29045.45432857136</x:v>
      </x:c>
      <x:c r="T9" s="112" t="n">
        <x:f>IFERROR(S9/D9,0)</x:f>
        <x:v>0.11711876745391676</x:v>
      </x:c>
      <x:c r="U9" s="109" t="n">
        <x:f>N9-P9-Q9</x:f>
        <x:v>33013.45432857136</x:v>
      </x:c>
      <x:c r="V9" s="109" t="n">
        <x:f>IFERROR((P9+Q9+R9)/O9,0)</x:f>
        <x:v>200988.82857730164</x:v>
      </x:c>
      <x:c r="W9" s="112" t="n">
        <x:f>IFERROR((D9-V9)/D9,0)</x:f>
        <x:v>0.18956117509152565</x:v>
      </x:c>
      <x:c r="X9" s="91" t="str">
        <x:f>IF(S9&lt;0,"亏损",IF(W9&lt;10%,"风险",IF(T9&lt;8%,"关注","正常")))</x:f>
        <x:v>正常</x:v>
      </x:c>
    </x:row>
    <x:row r="10">
      <x:c r="A10" s="107" t="n">
        <x:v>46204.5</x:v>
      </x:c>
      <x:c r="B10" s="67" t="str">
        <x:v>S06</x:v>
      </x:c>
      <x:c r="C10" s="67" t="str">
        <x:v>蓝钻天城店</x:v>
      </x:c>
      <x:c r="D10" s="109" t="n">
        <x:f>XLOOKUP(B10,'门店与角色'!$A$5:$A$12,'门店与角色'!$D$5:$D$12,0)</x:f>
        <x:v>240000</x:v>
      </x:c>
      <x:c r="E10" s="109" t="n">
        <x:f>D10*'封面与口径'!$I$6</x:f>
        <x:v>216000</x:v>
      </x:c>
      <x:c r="F10" s="109" t="n">
        <x:f>D10*'封面与口径'!$I$7</x:f>
        <x:v>24000</x:v>
      </x:c>
      <x:c r="G10" s="109" t="n">
        <x:f>SUMIFS('外卖结算'!$M$5:$M$172,'外卖结算'!$D$5:$D$172,B10)*30/7+SUMIFS('营销活动'!$N$5:$N$28,'营销活动'!$D$5:$D$28,B10)</x:f>
        <x:v>6285.1212857142855</x:v>
      </x:c>
      <x:c r="H10" s="109" t="n">
        <x:f>(SUMIFS('支付资金账单'!$I$5:$I$228,'支付资金账单'!$D$5:$D$228,B10)+SUMIFS('外卖结算'!$R$5:$R$172,'外卖结算'!$D$5:$D$172,B10))*30/7</x:f>
        <x:v>522.0353999999999</x:v>
      </x:c>
      <x:c r="I10" s="109" t="n">
        <x:f>D10-G10-H10</x:f>
        <x:v>233192.8433142857</x:v>
      </x:c>
      <x:c r="J10" s="109" t="n">
        <x:f>SUMIFS('供应商应付'!$K$5:$K$52,'供应商应付'!$D$5:$D$52,B10)</x:f>
        <x:v>79200</x:v>
      </x:c>
      <x:c r="K10" s="109" t="n">
        <x:f>SUMIFS('外卖结算'!$Q$5:$Q$172,'外卖结算'!$D$5:$D$172,B10)*30/7</x:f>
        <x:v>4318.9971428571425</x:v>
      </x:c>
      <x:c r="L10" s="109" t="n">
        <x:f>SUMIFS('外卖结算'!$U$5:$U$172,'外卖结算'!$D$5:$D$172,B10)*30/7</x:f>
        <x:v>637.7142857142854</x:v>
      </x:c>
      <x:c r="M10" s="109" t="n">
        <x:f>SUMIFS('支付资金账单'!$K$5:$K$228,'支付资金账单'!$D$5:$D$228,B10)*30/7</x:f>
        <x:v>764.5570457142857</x:v>
      </x:c>
      <x:c r="N10" s="109" t="n">
        <x:f>I10-J10-K10-L10-M10</x:f>
        <x:v>148271.57484</x:v>
      </x:c>
      <x:c r="O10" s="112" t="n">
        <x:f>IFERROR(N10/D10,0)</x:f>
        <x:v>0.6177982285</x:v>
      </x:c>
      <x:c r="P10" s="109" t="n">
        <x:f>SUMIFS('排班工时'!$K$5:$K$340,'排班工时'!$D$5:$D$340,B10)*30/7</x:f>
        <x:v>58775.11071428571</x:v>
      </x:c>
      <x:c r="Q10" s="109" t="n">
        <x:f>SUMIFS('固定费用月表'!$H$5:$H$76,'固定费用月表'!$C$5:$C$76,B10,'固定费用月表'!$J$5:$J$76,"现金")</x:f>
        <x:v>60467</x:v>
      </x:c>
      <x:c r="R10" s="109" t="n">
        <x:f>SUMIFS('固定费用月表'!$H$5:$H$76,'固定费用月表'!$C$5:$C$76,B10,'固定费用月表'!$J$5:$J$76,"非现金")</x:f>
        <x:v>3840</x:v>
      </x:c>
      <x:c r="S10" s="109" t="n">
        <x:f>N10-P10-Q10-R10</x:f>
        <x:v>25189.46412571428</x:v>
      </x:c>
      <x:c r="T10" s="112" t="n">
        <x:f>IFERROR(S10/D10,0)</x:f>
        <x:v>0.10495610052380949</x:v>
      </x:c>
      <x:c r="U10" s="109" t="n">
        <x:f>N10-P10-Q10</x:f>
        <x:v>29029.46412571428</x:v>
      </x:c>
      <x:c r="V10" s="109" t="n">
        <x:f>IFERROR((P10+Q10+R10)/O10,0)</x:f>
        <x:v>199227.0373016871</x:v>
      </x:c>
      <x:c r="W10" s="112" t="n">
        <x:f>IFERROR((D10-V10)/D10,0)</x:f>
        <x:v>0.1698873445763038</x:v>
      </x:c>
      <x:c r="X10" s="91" t="str">
        <x:f>IF(S10&lt;0,"亏损",IF(W10&lt;10%,"风险",IF(T10&lt;8%,"关注","正常")))</x:f>
        <x:v>正常</x:v>
      </x:c>
    </x:row>
    <x:row r="11">
      <x:c r="A11" s="107" t="n">
        <x:v>46204.5</x:v>
      </x:c>
      <x:c r="B11" s="67" t="str">
        <x:v>S07</x:v>
      </x:c>
      <x:c r="C11" s="67" t="str">
        <x:v>小和山店</x:v>
      </x:c>
      <x:c r="D11" s="109" t="n">
        <x:f>XLOOKUP(B11,'门店与角色'!$A$5:$A$12,'门店与角色'!$D$5:$D$12,0)</x:f>
        <x:v>230000</x:v>
      </x:c>
      <x:c r="E11" s="109" t="n">
        <x:f>D11*'封面与口径'!$I$6</x:f>
        <x:v>207000</x:v>
      </x:c>
      <x:c r="F11" s="109" t="n">
        <x:f>D11*'封面与口径'!$I$7</x:f>
        <x:v>23000</x:v>
      </x:c>
      <x:c r="G11" s="109" t="n">
        <x:f>SUMIFS('外卖结算'!$M$5:$M$172,'外卖结算'!$D$5:$D$172,B11)*30/7+SUMIFS('营销活动'!$N$5:$N$28,'营销活动'!$D$5:$D$28,B11)</x:f>
        <x:v>6018.329142857143</x:v>
      </x:c>
      <x:c r="H11" s="109" t="n">
        <x:f>(SUMIFS('支付资金账单'!$I$5:$I$228,'支付资金账单'!$D$5:$D$228,B11)+SUMIFS('外卖结算'!$R$5:$R$172,'外卖结算'!$D$5:$D$172,B11))*30/7</x:f>
        <x:v>500.37</x:v>
      </x:c>
      <x:c r="I11" s="109" t="n">
        <x:f>D11-G11-H11</x:f>
        <x:v>223481.30085714287</x:v>
      </x:c>
      <x:c r="J11" s="109" t="n">
        <x:f>SUMIFS('供应商应付'!$K$5:$K$52,'供应商应付'!$D$5:$D$52,B11)</x:f>
        <x:v>75900</x:v>
      </x:c>
      <x:c r="K11" s="109" t="n">
        <x:f>SUMIFS('外卖结算'!$Q$5:$Q$172,'外卖结算'!$D$5:$D$172,B11)*30/7</x:f>
        <x:v>4128.222857142857</x:v>
      </x:c>
      <x:c r="L11" s="109" t="n">
        <x:f>SUMIFS('外卖结算'!$U$5:$U$172,'外卖结算'!$D$5:$D$172,B11)*30/7</x:f>
        <x:v>617.142857142857</x:v>
      </x:c>
      <x:c r="M11" s="109" t="n">
        <x:f>SUMIFS('支付资金账单'!$K$5:$K$228,'支付资金账单'!$D$5:$D$228,B11)*30/7</x:f>
        <x:v>732.8362971428571</x:v>
      </x:c>
      <x:c r="N11" s="109" t="n">
        <x:f>I11-J11-K11-L11-M11</x:f>
        <x:v>142103.0988457143</x:v>
      </x:c>
      <x:c r="O11" s="112" t="n">
        <x:f>IFERROR(N11/D11,0)</x:f>
        <x:v>0.6178395601987579</x:v>
      </x:c>
      <x:c r="P11" s="109" t="n">
        <x:f>SUMIFS('排班工时'!$K$5:$K$340,'排班工时'!$D$5:$D$340,B11)*30/7</x:f>
        <x:v>59993.20714285713</x:v>
      </x:c>
      <x:c r="Q11" s="109" t="n">
        <x:f>SUMIFS('固定费用月表'!$H$5:$H$76,'固定费用月表'!$C$5:$C$76,B11,'固定费用月表'!$J$5:$J$76,"现金")</x:f>
        <x:v>58043</x:v>
      </x:c>
      <x:c r="R11" s="109" t="n">
        <x:f>SUMIFS('固定费用月表'!$H$5:$H$76,'固定费用月表'!$C$5:$C$76,B11,'固定费用月表'!$J$5:$J$76,"非现金")</x:f>
        <x:v>3680</x:v>
      </x:c>
      <x:c r="S11" s="109" t="n">
        <x:f>N11-P11-Q11-R11</x:f>
        <x:v>20386.89170285716</x:v>
      </x:c>
      <x:c r="T11" s="112" t="n">
        <x:f>IFERROR(S11/D11,0)</x:f>
        <x:v>0.08863865957763982</x:v>
      </x:c>
      <x:c r="U11" s="109" t="n">
        <x:f>N11-P11-Q11</x:f>
        <x:v>24066.89170285716</x:v>
      </x:c>
      <x:c r="V11" s="109" t="n">
        <x:f>IFERROR((P11+Q11+R11)/O11,0)</x:f>
        <x:v>197002.93568722153</x:v>
      </x:c>
      <x:c r="W11" s="112" t="n">
        <x:f>IFERROR((D11-V11)/D11,0)</x:f>
        <x:v>0.1434654970120803</x:v>
      </x:c>
      <x:c r="X11" s="91" t="str">
        <x:f>IF(S11&lt;0,"亏损",IF(W11&lt;10%,"风险",IF(T11&lt;8%,"关注","正常")))</x:f>
        <x:v>正常</x:v>
      </x:c>
    </x:row>
    <x:row r="12">
      <x:c r="A12" s="107" t="n">
        <x:v>46204.5</x:v>
      </x:c>
      <x:c r="B12" s="67" t="str">
        <x:v>S08</x:v>
      </x:c>
      <x:c r="C12" s="67" t="str">
        <x:v>四季青店</x:v>
      </x:c>
      <x:c r="D12" s="109" t="n">
        <x:f>XLOOKUP(B12,'门店与角色'!$A$5:$A$12,'门店与角色'!$D$5:$D$12,0)</x:f>
        <x:v>212000</x:v>
      </x:c>
      <x:c r="E12" s="109" t="n">
        <x:f>D12*'封面与口径'!$I$6</x:f>
        <x:v>190800</x:v>
      </x:c>
      <x:c r="F12" s="109" t="n">
        <x:f>D12*'封面与口径'!$I$7</x:f>
        <x:v>21200</x:v>
      </x:c>
      <x:c r="G12" s="109" t="n">
        <x:f>SUMIFS('外卖结算'!$M$5:$M$172,'外卖结算'!$D$5:$D$172,B12)*30/7+SUMIFS('营销活动'!$N$5:$N$28,'营销活动'!$D$5:$D$28,B12)</x:f>
        <x:v>5542.841571428572</x:v>
      </x:c>
      <x:c r="H12" s="109" t="n">
        <x:f>(SUMIFS('支付资金账单'!$I$5:$I$228,'支付资金账单'!$D$5:$D$228,B12)+SUMIFS('外卖结算'!$R$5:$R$172,'外卖结算'!$D$5:$D$172,B12))*30/7</x:f>
        <x:v>460.9491857142857</x:v>
      </x:c>
      <x:c r="I12" s="109" t="n">
        <x:f>D12-G12-H12</x:f>
        <x:v>205996.20924285712</x:v>
      </x:c>
      <x:c r="J12" s="109" t="n">
        <x:f>SUMIFS('供应商应付'!$K$5:$K$52,'供应商应付'!$D$5:$D$52,B12)</x:f>
        <x:v>69960</x:v>
      </x:c>
      <x:c r="K12" s="109" t="n">
        <x:f>SUMIFS('外卖结算'!$Q$5:$Q$172,'外卖结算'!$D$5:$D$172,B12)*30/7</x:f>
        <x:v>3795.274285714285</x:v>
      </x:c>
      <x:c r="L12" s="109" t="n">
        <x:f>SUMIFS('外卖结算'!$U$5:$U$172,'外卖结算'!$D$5:$D$172,B12)*30/7</x:f>
        <x:v>560.5714285714287</x:v>
      </x:c>
      <x:c r="M12" s="109" t="n">
        <x:f>SUMIFS('支付资金账单'!$K$5:$K$228,'支付资金账单'!$D$5:$D$228,B12)*30/7</x:f>
        <x:v>675.4094057142856</x:v>
      </x:c>
      <x:c r="N12" s="109" t="n">
        <x:f>I12-J12-K12-L12-M12</x:f>
        <x:v>131004.95412285713</x:v>
      </x:c>
      <x:c r="O12" s="112" t="n">
        <x:f>IFERROR(N12/D12,0)</x:f>
        <x:v>0.6179478968059299</x:v>
      </x:c>
      <x:c r="P12" s="109" t="n">
        <x:f>SUMIFS('排班工时'!$K$5:$K$340,'排班工时'!$D$5:$D$340,B12)*30/7</x:f>
        <x:v>60897.05357142857</x:v>
      </x:c>
      <x:c r="Q12" s="109" t="n">
        <x:f>SUMIFS('固定费用月表'!$H$5:$H$76,'固定费用月表'!$C$5:$C$76,B12,'固定费用月表'!$J$5:$J$76,"现金")</x:f>
        <x:v>53513</x:v>
      </x:c>
      <x:c r="R12" s="109" t="n">
        <x:f>SUMIFS('固定费用月表'!$H$5:$H$76,'固定费用月表'!$C$5:$C$76,B12,'固定费用月表'!$J$5:$J$76,"非现金")</x:f>
        <x:v>3392</x:v>
      </x:c>
      <x:c r="S12" s="109" t="n">
        <x:f>N12-P12-Q12-R12</x:f>
        <x:v>13202.900551428553</x:v>
      </x:c>
      <x:c r="T12" s="112" t="n">
        <x:f>IFERROR(S12/D12,0)</x:f>
        <x:v>0.06227783278975733</x:v>
      </x:c>
      <x:c r="U12" s="109" t="n">
        <x:f>N12-P12-Q12</x:f>
        <x:v>16594.900551428553</x:v>
      </x:c>
      <x:c r="V12" s="109" t="n">
        <x:f>IFERROR((P12+Q12+R12)/O12,0)</x:f>
        <x:v>190634.28191976677</x:v>
      </x:c>
      <x:c r="W12" s="112" t="n">
        <x:f>IFERROR((D12-V12)/D12,0)</x:f>
        <x:v>0.10078168905770392</x:v>
      </x:c>
      <x:c r="X12" s="91" t="str">
        <x:f>IF(S12&lt;0,"亏损",IF(W12&lt;10%,"风险",IF(T12&lt;8%,"关注","正常")))</x:f>
        <x:v>关注</x:v>
      </x:c>
    </x:row>
    <x:row r="13">
      <x:c r="A13" s="105" t="str">
        <x:v>合计</x:v>
      </x:c>
      <x:c r="B13" s="105"/>
      <x:c r="C13" s="105" t="str">
        <x:v>8店合计</x:v>
      </x:c>
      <x:c r="D13" s="110" t="n">
        <x:f>SUM(D5:D12)</x:f>
        <x:v>2000000</x:v>
      </x:c>
      <x:c r="E13" s="110" t="n">
        <x:f>SUM(E5:E12)</x:f>
        <x:v>1800000</x:v>
      </x:c>
      <x:c r="F13" s="110" t="n">
        <x:f>SUM(F5:F12)</x:f>
        <x:v>200000</x:v>
      </x:c>
      <x:c r="G13" s="110" t="n">
        <x:f>SUM(G5:G12)</x:f>
        <x:v>52342.93928571429</x:v>
      </x:c>
      <x:c r="H13" s="110" t="n">
        <x:f>SUM(H5:H12)</x:f>
        <x:v>4350.229628571428</x:v>
      </x:c>
      <x:c r="I13" s="110" t="n">
        <x:f>SUM(I5:I12)</x:f>
        <x:v>1943306.831085714</x:v>
      </x:c>
      <x:c r="J13" s="110" t="n">
        <x:f>SUM(J5:J12)</x:f>
        <x:v>660000</x:v>
      </x:c>
      <x:c r="K13" s="110" t="n">
        <x:f>SUM(K5:K12)</x:f>
        <x:v>35918.794285714284</x:v>
      </x:c>
      <x:c r="L13" s="110" t="n">
        <x:f>SUM(L5:L12)</x:f>
        <x:v>5327.999999999999</x:v>
      </x:c>
      <x:c r="M13" s="110" t="n">
        <x:f>SUM(M5:M12)</x:f>
        <x:v>6371.318914285714</x:v>
      </x:c>
      <x:c r="N13" s="110" t="n">
        <x:f>SUM(N5:N12)</x:f>
        <x:v>1235688.7178857143</x:v>
      </x:c>
      <x:c r="O13" s="113" t="n">
        <x:f>IFERROR(N13/D13,0)</x:f>
        <x:v>0.6178443589428572</x:v>
      </x:c>
      <x:c r="P13" s="110" t="n">
        <x:f>SUM(P5:P12)</x:f>
        <x:v>458580.8035714285</x:v>
      </x:c>
      <x:c r="Q13" s="110" t="n">
        <x:f>SUM(Q5:Q12)</x:f>
        <x:v>504168</x:v>
      </x:c>
      <x:c r="R13" s="110" t="n">
        <x:f>SUM(R5:R12)</x:f>
        <x:v>32000</x:v>
      </x:c>
      <x:c r="S13" s="110" t="n">
        <x:f>SUM(S5:S12)</x:f>
        <x:v>240939.91431428556</x:v>
      </x:c>
      <x:c r="T13" s="113" t="n">
        <x:f>IFERROR(S13/D13,0)</x:f>
        <x:v>0.12046995715714279</x:v>
      </x:c>
      <x:c r="U13" s="110" t="n">
        <x:f>SUM(U5:U12)</x:f>
        <x:v>272939.91431428556</x:v>
      </x:c>
      <x:c r="V13" s="110" t="n">
        <x:f>IFERROR((P13+Q13+R13)/O13,0)</x:f>
        <x:v>1610031.3763056146</x:v>
      </x:c>
      <x:c r="W13" s="113" t="n">
        <x:f>IFERROR((D13-V13)/D13,0)</x:f>
        <x:v>0.1949843118471927</x:v>
      </x:c>
      <x:c r="X13" s="105" t="str">
        <x:f>IF(S13&lt;0,"亏损",IF(W13&lt;10%,"风险",IF(T13&lt;8%,"关注","正常")))</x:f>
        <x:v>正常</x:v>
      </x:c>
    </x:row>
  </x:sheetData>
  <x:mergeCells>
    <x:mergeCell ref="A1:X1"/>
    <x:mergeCell ref="A2:X2"/>
  </x:mergeCells>
  <x:conditionalFormatting sqref="X5:X13">
    <x:cfRule type="containsText" dxfId="29" priority="1" operator="containsText" text="正常"/>
    <x:cfRule type="containsText" dxfId="30" priority="2" operator="containsText" text="安全"/>
    <x:cfRule type="containsText" dxfId="31" priority="3" operator="containsText" text="已对账"/>
    <x:cfRule type="containsText" dxfId="32" priority="4" operator="containsText" text="已结清"/>
    <x:cfRule type="containsText" dxfId="33" priority="5" operator="containsText" text="亏损"/>
    <x:cfRule type="containsText" dxfId="34" priority="6" operator="containsText" text="缺口"/>
    <x:cfRule type="containsText" dxfId="35" priority="7" operator="containsText" text="待核对"/>
    <x:cfRule type="containsText" dxfId="36" priority="8" operator="containsText" text="逾期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5" hidden="0" customWidth="1"/>
    <x:col min="10" max="10" width="13" hidden="0" customWidth="1"/>
    <x:col min="11" max="11" width="11" hidden="0" customWidth="1"/>
    <x:col min="12" max="12" width="16" hidden="0" customWidth="1"/>
    <x:col min="13" max="13" width="12" hidden="0" customWidth="1"/>
    <x:col min="14" max="14" width="14" hidden="0" customWidth="1"/>
    <x:col min="15" max="15" width="14" hidden="0" customWidth="1"/>
    <x:col min="16" max="16" width="13" hidden="0" customWidth="1"/>
    <x:col min="17" max="17" width="14" hidden="0" customWidth="1"/>
    <x:col min="18" max="18" width="11" hidden="0" customWidth="1"/>
    <x:col min="19" max="19" width="24" hidden="0" customWidth="1"/>
  </x:cols>
  <x:sheetData>
    <x:row r="1" ht="30" customHeight="1">
      <x:c r="A1" s="52" t="str">
        <x:v>未来30日现金日历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</x:row>
    <x:row r="2" ht="28" customHeight="1">
      <x:c r="A2" s="56" t="str">
        <x:v>前9天读取支付和外卖实际到账，后续按月度损益日均预测；付款端读取供应商、工资与固定费用到期日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</x:row>
    <x:row r="4" ht="34" customHeight="1">
      <x:c r="A4" s="61" t="str">
        <x:v>日期</x:v>
      </x:c>
      <x:c r="B4" s="61" t="str">
        <x:v>实际/预测</x:v>
      </x:c>
      <x:c r="C4" s="61" t="str">
        <x:v>期初现金</x:v>
      </x:c>
      <x:c r="D4" s="61" t="str">
        <x:v>堂食支付到账</x:v>
      </x:c>
      <x:c r="E4" s="61" t="str">
        <x:v>外卖结算到账</x:v>
      </x:c>
      <x:c r="F4" s="61" t="str">
        <x:v>其他流入</x:v>
      </x:c>
      <x:c r="G4" s="61" t="str">
        <x:v>现金流入合计</x:v>
      </x:c>
      <x:c r="H4" s="61" t="str">
        <x:v>供应商付款</x:v>
      </x:c>
      <x:c r="I4" s="61" t="str">
        <x:v>工资与雇主费用</x:v>
      </x:c>
      <x:c r="J4" s="61" t="str">
        <x:v>房租物业</x:v>
      </x:c>
      <x:c r="K4" s="61" t="str">
        <x:v>税费</x:v>
      </x:c>
      <x:c r="L4" s="61" t="str">
        <x:v>其他固定现金支出</x:v>
      </x:c>
      <x:c r="M4" s="61" t="str">
        <x:v>资本开支</x:v>
      </x:c>
      <x:c r="N4" s="61" t="str">
        <x:v>现金流出合计</x:v>
      </x:c>
      <x:c r="O4" s="61" t="str">
        <x:v>期末现金</x:v>
      </x:c>
      <x:c r="P4" s="61" t="str">
        <x:v>最低现金线</x:v>
      </x:c>
      <x:c r="Q4" s="61" t="str">
        <x:v>安全垫/缺口</x:v>
      </x:c>
      <x:c r="R4" s="61" t="str">
        <x:v>状态</x:v>
      </x:c>
      <x:c r="S4" s="61" t="str">
        <x:v>说明</x:v>
      </x:c>
    </x:row>
    <x:row r="5">
      <x:c r="A5" s="72" t="n">
        <x:v>46210.5</x:v>
      </x:c>
      <x:c r="B5" s="66" t="str">
        <x:v>实际</x:v>
      </x:c>
      <x:c r="C5" s="96" t="n">
        <x:v>1450000</x:v>
      </x:c>
      <x:c r="D5" s="108" t="n">
        <x:f>IF(B5="实际",SUMIFS('支付资金账单'!$M$5:$M$228,'支付资金账单'!$C$5:$C$228,A5),SUM('月度损益'!$I$5:$I$12)*'封面与口径'!$I$6/30)</x:f>
        <x:v>6479.219999999999</x:v>
      </x:c>
      <x:c r="E5" s="108" t="n">
        <x:f>IF(B5="实际",SUMIFS('外卖结算'!$S$5:$S$172,'外卖结算'!$C$5:$C$172,A5),SUM('外卖结算'!$S$5:$S$172)/7)</x:f>
        <x:v>0</x:v>
      </x:c>
      <x:c r="F5" s="96" t="n">
        <x:v>0</x:v>
      </x:c>
      <x:c r="G5" s="99" t="n">
        <x:f>SUM(D5:F5)</x:f>
        <x:v>6479.219999999999</x:v>
      </x:c>
      <x:c r="H5" s="108" t="n">
        <x:f>SUMIFS('供应商应付'!$M$5:$M$52,'供应商应付'!$C$5:$C$52,A5)</x:f>
        <x:v>0</x:v>
      </x:c>
      <x:c r="I5" s="108" t="n">
        <x:v>0</x:v>
      </x:c>
      <x:c r="J5" s="108" t="n">
        <x:f>SUMIFS('固定费用月表'!$H$5:$H$76,'固定费用月表'!$K$5:$K$76,A5,'固定费用月表'!$E$5:$E$76,"房租与物业")</x:f>
        <x:v>0</x:v>
      </x:c>
      <x:c r="K5" s="108" t="n">
        <x:f>SUMIFS('固定费用月表'!$H$5:$H$76,'固定费用月表'!$K$5:$K$76,A5,'固定费用月表'!$E$5:$E$76,"税费及附加")</x:f>
        <x:v>0</x:v>
      </x:c>
      <x:c r="L5" s="108" t="n">
        <x:f>SUMIFS('固定费用月表'!$H$5:$H$76,'固定费用月表'!$K$5:$K$76,A5,'固定费用月表'!$J$5:$J$76,"现金")-J5-K5</x:f>
        <x:v>0</x:v>
      </x:c>
      <x:c r="M5" s="96" t="n">
        <x:v>0</x:v>
      </x:c>
      <x:c r="N5" s="99" t="n">
        <x:f>SUM(H5:M5)</x:f>
        <x:v>0</x:v>
      </x:c>
      <x:c r="O5" s="99" t="n">
        <x:f>C5+G5-N5</x:f>
        <x:v>1456479.22</x:v>
      </x:c>
      <x:c r="P5" s="96" t="n">
        <x:v>400000</x:v>
      </x:c>
      <x:c r="Q5" s="99" t="n">
        <x:f>O5-P5</x:f>
        <x:v>1056479.22</x:v>
      </x:c>
      <x:c r="R5" s="66" t="str">
        <x:f>IF(Q5&gt;=0,"安全","缺口")</x:f>
        <x:v>安全</x:v>
      </x:c>
      <x:c r="S5" s="66" t="str"/>
    </x:row>
    <x:row r="6">
      <x:c r="A6" s="73" t="n">
        <x:v>46211.5</x:v>
      </x:c>
      <x:c r="B6" s="67" t="str">
        <x:v>实际</x:v>
      </x:c>
      <x:c r="C6" s="100" t="n">
        <x:f>O5</x:f>
        <x:v>1456479.22</x:v>
      </x:c>
      <x:c r="D6" s="109" t="n">
        <x:f>IF(B6="实际",SUMIFS('支付资金账单'!$M$5:$M$228,'支付资金账单'!$C$5:$C$228,A6),SUM('月度损益'!$I$5:$I$12)*'封面与口径'!$I$6/30)</x:f>
        <x:v>64243.590000000004</x:v>
      </x:c>
      <x:c r="E6" s="109" t="n">
        <x:f>IF(B6="实际",SUMIFS('外卖结算'!$S$5:$S$172,'外卖结算'!$C$5:$C$172,A6),SUM('外卖结算'!$S$5:$S$172)/7)</x:f>
        <x:v>0</x:v>
      </x:c>
      <x:c r="F6" s="97" t="n">
        <x:v>0</x:v>
      </x:c>
      <x:c r="G6" s="100" t="n">
        <x:f>SUM(D6:F6)</x:f>
        <x:v>64243.590000000004</x:v>
      </x:c>
      <x:c r="H6" s="109" t="n">
        <x:f>SUMIFS('供应商应付'!$M$5:$M$52,'供应商应付'!$C$5:$C$52,A6)</x:f>
        <x:v>0</x:v>
      </x:c>
      <x:c r="I6" s="109" t="n">
        <x:v>0</x:v>
      </x:c>
      <x:c r="J6" s="109" t="n">
        <x:f>SUMIFS('固定费用月表'!$H$5:$H$76,'固定费用月表'!$K$5:$K$76,A6,'固定费用月表'!$E$5:$E$76,"房租与物业")</x:f>
        <x:v>0</x:v>
      </x:c>
      <x:c r="K6" s="109" t="n">
        <x:f>SUMIFS('固定费用月表'!$H$5:$H$76,'固定费用月表'!$K$5:$K$76,A6,'固定费用月表'!$E$5:$E$76,"税费及附加")</x:f>
        <x:v>0</x:v>
      </x:c>
      <x:c r="L6" s="109" t="n">
        <x:f>SUMIFS('固定费用月表'!$H$5:$H$76,'固定费用月表'!$K$5:$K$76,A6,'固定费用月表'!$J$5:$J$76,"现金")-J6-K6</x:f>
        <x:v>0</x:v>
      </x:c>
      <x:c r="M6" s="97" t="n">
        <x:v>0</x:v>
      </x:c>
      <x:c r="N6" s="100" t="n">
        <x:f>SUM(H6:M6)</x:f>
        <x:v>0</x:v>
      </x:c>
      <x:c r="O6" s="100" t="n">
        <x:f>C6+G6-N6</x:f>
        <x:v>1520722.81</x:v>
      </x:c>
      <x:c r="P6" s="100" t="n">
        <x:f>P5</x:f>
        <x:v>400000</x:v>
      </x:c>
      <x:c r="Q6" s="100" t="n">
        <x:f>O6-P6</x:f>
        <x:v>1120722.81</x:v>
      </x:c>
      <x:c r="R6" s="67" t="str">
        <x:f>IF(Q6&gt;=0,"安全","缺口")</x:f>
        <x:v>安全</x:v>
      </x:c>
      <x:c r="S6" s="67" t="str"/>
    </x:row>
    <x:row r="7">
      <x:c r="A7" s="73" t="n">
        <x:v>46212.5</x:v>
      </x:c>
      <x:c r="B7" s="67" t="str">
        <x:v>实际</x:v>
      </x:c>
      <x:c r="C7" s="100" t="n">
        <x:f>O6</x:f>
        <x:v>1520722.81</x:v>
      </x:c>
      <x:c r="D7" s="109" t="n">
        <x:f>IF(B7="实际",SUMIFS('支付资金账单'!$M$5:$M$228,'支付资金账单'!$C$5:$C$228,A7),SUM('月度损益'!$I$5:$I$12)*'封面与口径'!$I$6/30)</x:f>
        <x:v>62513.33000000001</x:v>
      </x:c>
      <x:c r="E7" s="109" t="n">
        <x:f>IF(B7="实际",SUMIFS('外卖结算'!$S$5:$S$172,'外卖结算'!$C$5:$C$172,A7),SUM('外卖结算'!$S$5:$S$172)/7)</x:f>
        <x:v>5444.4130000000005</x:v>
      </x:c>
      <x:c r="F7" s="97" t="n">
        <x:v>0</x:v>
      </x:c>
      <x:c r="G7" s="100" t="n">
        <x:f>SUM(D7:F7)</x:f>
        <x:v>67957.74300000002</x:v>
      </x:c>
      <x:c r="H7" s="109" t="n">
        <x:f>SUMIFS('供应商应付'!$M$5:$M$52,'供应商应付'!$C$5:$C$52,A7)</x:f>
        <x:v>0</x:v>
      </x:c>
      <x:c r="I7" s="109" t="n">
        <x:v>0</x:v>
      </x:c>
      <x:c r="J7" s="109" t="n">
        <x:f>SUMIFS('固定费用月表'!$H$5:$H$76,'固定费用月表'!$K$5:$K$76,A7,'固定费用月表'!$E$5:$E$76,"房租与物业")</x:f>
        <x:v>0</x:v>
      </x:c>
      <x:c r="K7" s="109" t="n">
        <x:f>SUMIFS('固定费用月表'!$H$5:$H$76,'固定费用月表'!$K$5:$K$76,A7,'固定费用月表'!$E$5:$E$76,"税费及附加")</x:f>
        <x:v>0</x:v>
      </x:c>
      <x:c r="L7" s="109" t="n">
        <x:f>SUMIFS('固定费用月表'!$H$5:$H$76,'固定费用月表'!$K$5:$K$76,A7,'固定费用月表'!$J$5:$J$76,"现金")-J7-K7</x:f>
        <x:v>0</x:v>
      </x:c>
      <x:c r="M7" s="97" t="n">
        <x:v>0</x:v>
      </x:c>
      <x:c r="N7" s="100" t="n">
        <x:f>SUM(H7:M7)</x:f>
        <x:v>0</x:v>
      </x:c>
      <x:c r="O7" s="100" t="n">
        <x:f>C7+G7-N7</x:f>
        <x:v>1588680.553</x:v>
      </x:c>
      <x:c r="P7" s="100" t="n">
        <x:f>P6</x:f>
        <x:v>400000</x:v>
      </x:c>
      <x:c r="Q7" s="100" t="n">
        <x:f>O7-P7</x:f>
        <x:v>1188680.553</x:v>
      </x:c>
      <x:c r="R7" s="67" t="str">
        <x:f>IF(Q7&gt;=0,"安全","缺口")</x:f>
        <x:v>安全</x:v>
      </x:c>
      <x:c r="S7" s="67" t="str"/>
    </x:row>
    <x:row r="8">
      <x:c r="A8" s="73" t="n">
        <x:v>46213.5</x:v>
      </x:c>
      <x:c r="B8" s="67" t="str">
        <x:v>实际</x:v>
      </x:c>
      <x:c r="C8" s="100" t="n">
        <x:f>O7</x:f>
        <x:v>1588680.553</x:v>
      </x:c>
      <x:c r="D8" s="109" t="n">
        <x:f>IF(B8="实际",SUMIFS('支付资金账单'!$M$5:$M$228,'支付资金账单'!$C$5:$C$228,A8),SUM('月度损益'!$I$5:$I$12)*'封面与口径'!$I$6/30)</x:f>
        <x:v>61672.110000000015</x:v>
      </x:c>
      <x:c r="E8" s="109" t="n">
        <x:f>IF(B8="实际",SUMIFS('外卖结算'!$S$5:$S$172,'外卖结算'!$C$5:$C$172,A8),SUM('外卖结算'!$S$5:$S$172)/7)</x:f>
        <x:v>5290.343</x:v>
      </x:c>
      <x:c r="F8" s="97" t="n">
        <x:v>0</x:v>
      </x:c>
      <x:c r="G8" s="100" t="n">
        <x:f>SUM(D8:F8)</x:f>
        <x:v>66962.45300000001</x:v>
      </x:c>
      <x:c r="H8" s="109" t="n">
        <x:f>SUMIFS('供应商应付'!$M$5:$M$52,'供应商应付'!$C$5:$C$52,A8)</x:f>
        <x:v>0</x:v>
      </x:c>
      <x:c r="I8" s="109" t="n">
        <x:v>0</x:v>
      </x:c>
      <x:c r="J8" s="109" t="n">
        <x:f>SUMIFS('固定费用月表'!$H$5:$H$76,'固定费用月表'!$K$5:$K$76,A8,'固定费用月表'!$E$5:$E$76,"房租与物业")</x:f>
        <x:v>0</x:v>
      </x:c>
      <x:c r="K8" s="109" t="n">
        <x:f>SUMIFS('固定费用月表'!$H$5:$H$76,'固定费用月表'!$K$5:$K$76,A8,'固定费用月表'!$E$5:$E$76,"税费及附加")</x:f>
        <x:v>0</x:v>
      </x:c>
      <x:c r="L8" s="109" t="n">
        <x:f>SUMIFS('固定费用月表'!$H$5:$H$76,'固定费用月表'!$K$5:$K$76,A8,'固定费用月表'!$J$5:$J$76,"现金")-J8-K8</x:f>
        <x:v>0</x:v>
      </x:c>
      <x:c r="M8" s="97" t="n">
        <x:v>0</x:v>
      </x:c>
      <x:c r="N8" s="100" t="n">
        <x:f>SUM(H8:M8)</x:f>
        <x:v>0</x:v>
      </x:c>
      <x:c r="O8" s="100" t="n">
        <x:f>C8+G8-N8</x:f>
        <x:v>1655643.006</x:v>
      </x:c>
      <x:c r="P8" s="100" t="n">
        <x:f>P7</x:f>
        <x:v>400000</x:v>
      </x:c>
      <x:c r="Q8" s="100" t="n">
        <x:f>O8-P8</x:f>
        <x:v>1255643.006</x:v>
      </x:c>
      <x:c r="R8" s="67" t="str">
        <x:f>IF(Q8&gt;=0,"安全","缺口")</x:f>
        <x:v>安全</x:v>
      </x:c>
      <x:c r="S8" s="67" t="str"/>
    </x:row>
    <x:row r="9">
      <x:c r="A9" s="73" t="n">
        <x:v>46214.5</x:v>
      </x:c>
      <x:c r="B9" s="67" t="str">
        <x:v>实际</x:v>
      </x:c>
      <x:c r="C9" s="100" t="n">
        <x:f>O8</x:f>
        <x:v>1655643.006</x:v>
      </x:c>
      <x:c r="D9" s="109" t="n">
        <x:f>IF(B9="实际",SUMIFS('支付资金账单'!$M$5:$M$228,'支付资金账单'!$C$5:$C$228,A9),SUM('月度损益'!$I$5:$I$12)*'封面与口径'!$I$6/30)</x:f>
        <x:v>62280.73000000002</x:v>
      </x:c>
      <x:c r="E9" s="109" t="n">
        <x:f>IF(B9="实际",SUMIFS('外卖结算'!$S$5:$S$172,'外卖结算'!$C$5:$C$172,A9),SUM('外卖结算'!$S$5:$S$172)/7)</x:f>
        <x:v>5197.2686</x:v>
      </x:c>
      <x:c r="F9" s="97" t="n">
        <x:v>0</x:v>
      </x:c>
      <x:c r="G9" s="100" t="n">
        <x:f>SUM(D9:F9)</x:f>
        <x:v>67477.99860000002</x:v>
      </x:c>
      <x:c r="H9" s="109" t="n">
        <x:f>SUMIFS('供应商应付'!$M$5:$M$52,'供应商应付'!$C$5:$C$52,A9)</x:f>
        <x:v>0</x:v>
      </x:c>
      <x:c r="I9" s="109" t="n">
        <x:v>0</x:v>
      </x:c>
      <x:c r="J9" s="109" t="n">
        <x:f>SUMIFS('固定费用月表'!$H$5:$H$76,'固定费用月表'!$K$5:$K$76,A9,'固定费用月表'!$E$5:$E$76,"房租与物业")</x:f>
        <x:v>0</x:v>
      </x:c>
      <x:c r="K9" s="109" t="n">
        <x:f>SUMIFS('固定费用月表'!$H$5:$H$76,'固定费用月表'!$K$5:$K$76,A9,'固定费用月表'!$E$5:$E$76,"税费及附加")</x:f>
        <x:v>0</x:v>
      </x:c>
      <x:c r="L9" s="109" t="n">
        <x:f>SUMIFS('固定费用月表'!$H$5:$H$76,'固定费用月表'!$K$5:$K$76,A9,'固定费用月表'!$J$5:$J$76,"现金")-J9-K9</x:f>
        <x:v>0</x:v>
      </x:c>
      <x:c r="M9" s="97" t="n">
        <x:v>0</x:v>
      </x:c>
      <x:c r="N9" s="100" t="n">
        <x:f>SUM(H9:M9)</x:f>
        <x:v>0</x:v>
      </x:c>
      <x:c r="O9" s="100" t="n">
        <x:f>C9+G9-N9</x:f>
        <x:v>1723121.0046</x:v>
      </x:c>
      <x:c r="P9" s="100" t="n">
        <x:f>P8</x:f>
        <x:v>400000</x:v>
      </x:c>
      <x:c r="Q9" s="100" t="n">
        <x:f>O9-P9</x:f>
        <x:v>1323121.0046</x:v>
      </x:c>
      <x:c r="R9" s="67" t="str">
        <x:f>IF(Q9&gt;=0,"安全","缺口")</x:f>
        <x:v>安全</x:v>
      </x:c>
      <x:c r="S9" s="67" t="str"/>
    </x:row>
    <x:row r="10">
      <x:c r="A10" s="73" t="n">
        <x:v>46215.5</x:v>
      </x:c>
      <x:c r="B10" s="67" t="str">
        <x:v>实际</x:v>
      </x:c>
      <x:c r="C10" s="100" t="n">
        <x:f>O9</x:f>
        <x:v>1723121.0046</x:v>
      </x:c>
      <x:c r="D10" s="109" t="n">
        <x:f>IF(B10="实际",SUMIFS('支付资金账单'!$M$5:$M$228,'支付资金账单'!$C$5:$C$228,A10),SUM('月度损益'!$I$5:$I$12)*'封面与口径'!$I$6/30)</x:f>
        <x:v>48804.52</x:v>
      </x:c>
      <x:c r="E10" s="109" t="n">
        <x:f>IF(B10="实际",SUMIFS('外卖结算'!$S$5:$S$172,'外卖结算'!$C$5:$C$172,A10),SUM('外卖结算'!$S$5:$S$172)/7)</x:f>
        <x:v>5394.838400000001</x:v>
      </x:c>
      <x:c r="F10" s="97" t="n">
        <x:v>0</x:v>
      </x:c>
      <x:c r="G10" s="100" t="n">
        <x:f>SUM(D10:F10)</x:f>
        <x:v>54199.3584</x:v>
      </x:c>
      <x:c r="H10" s="109" t="n">
        <x:f>SUMIFS('供应商应付'!$M$5:$M$52,'供应商应付'!$C$5:$C$52,A10)</x:f>
        <x:v>0</x:v>
      </x:c>
      <x:c r="I10" s="109" t="n">
        <x:v>0</x:v>
      </x:c>
      <x:c r="J10" s="109" t="n">
        <x:f>SUMIFS('固定费用月表'!$H$5:$H$76,'固定费用月表'!$K$5:$K$76,A10,'固定费用月表'!$E$5:$E$76,"房租与物业")</x:f>
        <x:v>0</x:v>
      </x:c>
      <x:c r="K10" s="109" t="n">
        <x:f>SUMIFS('固定费用月表'!$H$5:$H$76,'固定费用月表'!$K$5:$K$76,A10,'固定费用月表'!$E$5:$E$76,"税费及附加")</x:f>
        <x:v>0</x:v>
      </x:c>
      <x:c r="L10" s="109" t="n">
        <x:f>SUMIFS('固定费用月表'!$H$5:$H$76,'固定费用月表'!$K$5:$K$76,A10,'固定费用月表'!$J$5:$J$76,"现金")-J10-K10</x:f>
        <x:v>0</x:v>
      </x:c>
      <x:c r="M10" s="97" t="n">
        <x:v>0</x:v>
      </x:c>
      <x:c r="N10" s="100" t="n">
        <x:f>SUM(H10:M10)</x:f>
        <x:v>0</x:v>
      </x:c>
      <x:c r="O10" s="100" t="n">
        <x:f>C10+G10-N10</x:f>
        <x:v>1777320.3630000001</x:v>
      </x:c>
      <x:c r="P10" s="100" t="n">
        <x:f>P9</x:f>
        <x:v>400000</x:v>
      </x:c>
      <x:c r="Q10" s="100" t="n">
        <x:f>O10-P10</x:f>
        <x:v>1377320.3630000001</x:v>
      </x:c>
      <x:c r="R10" s="67" t="str">
        <x:f>IF(Q10&gt;=0,"安全","缺口")</x:f>
        <x:v>安全</x:v>
      </x:c>
      <x:c r="S10" s="67" t="str"/>
    </x:row>
    <x:row r="11">
      <x:c r="A11" s="73" t="n">
        <x:v>46216.5</x:v>
      </x:c>
      <x:c r="B11" s="67" t="str">
        <x:v>实际</x:v>
      </x:c>
      <x:c r="C11" s="100" t="n">
        <x:f>O10</x:f>
        <x:v>1777320.3630000001</x:v>
      </x:c>
      <x:c r="D11" s="109" t="n">
        <x:f>IF(B11="实际",SUMIFS('支付资金账单'!$M$5:$M$228,'支付资金账单'!$C$5:$C$228,A11),SUM('月度损益'!$I$5:$I$12)*'封面与口径'!$I$6/30)</x:f>
        <x:v>49826.1</x:v>
      </x:c>
      <x:c r="E11" s="109" t="n">
        <x:f>IF(B11="实际",SUMIFS('外卖结算'!$S$5:$S$172,'外卖结算'!$C$5:$C$172,A11),SUM('外卖结算'!$S$5:$S$172)/7)</x:f>
        <x:v>4140.007699999999</x:v>
      </x:c>
      <x:c r="F11" s="97" t="n">
        <x:v>0</x:v>
      </x:c>
      <x:c r="G11" s="100" t="n">
        <x:f>SUM(D11:F11)</x:f>
        <x:v>53966.1077</x:v>
      </x:c>
      <x:c r="H11" s="109" t="n">
        <x:f>SUMIFS('供应商应付'!$M$5:$M$52,'供应商应付'!$C$5:$C$52,A11)</x:f>
        <x:v>0</x:v>
      </x:c>
      <x:c r="I11" s="109" t="n">
        <x:v>0</x:v>
      </x:c>
      <x:c r="J11" s="109" t="n">
        <x:f>SUMIFS('固定费用月表'!$H$5:$H$76,'固定费用月表'!$K$5:$K$76,A11,'固定费用月表'!$E$5:$E$76,"房租与物业")</x:f>
        <x:v>0</x:v>
      </x:c>
      <x:c r="K11" s="109" t="n">
        <x:f>SUMIFS('固定费用月表'!$H$5:$H$76,'固定费用月表'!$K$5:$K$76,A11,'固定费用月表'!$E$5:$E$76,"税费及附加")</x:f>
        <x:v>0</x:v>
      </x:c>
      <x:c r="L11" s="109" t="n">
        <x:f>SUMIFS('固定费用月表'!$H$5:$H$76,'固定费用月表'!$K$5:$K$76,A11,'固定费用月表'!$J$5:$J$76,"现金")-J11-K11</x:f>
        <x:v>0</x:v>
      </x:c>
      <x:c r="M11" s="97" t="n">
        <x:v>0</x:v>
      </x:c>
      <x:c r="N11" s="100" t="n">
        <x:f>SUM(H11:M11)</x:f>
        <x:v>0</x:v>
      </x:c>
      <x:c r="O11" s="100" t="n">
        <x:f>C11+G11-N11</x:f>
        <x:v>1831286.4707000002</x:v>
      </x:c>
      <x:c r="P11" s="100" t="n">
        <x:f>P10</x:f>
        <x:v>400000</x:v>
      </x:c>
      <x:c r="Q11" s="100" t="n">
        <x:f>O11-P11</x:f>
        <x:v>1431286.4707000002</x:v>
      </x:c>
      <x:c r="R11" s="67" t="str">
        <x:f>IF(Q11&gt;=0,"安全","缺口")</x:f>
        <x:v>安全</x:v>
      </x:c>
      <x:c r="S11" s="67" t="str"/>
    </x:row>
    <x:row r="12">
      <x:c r="A12" s="73" t="n">
        <x:v>46217.5</x:v>
      </x:c>
      <x:c r="B12" s="67" t="str">
        <x:v>实际</x:v>
      </x:c>
      <x:c r="C12" s="100" t="n">
        <x:f>O11</x:f>
        <x:v>1831286.4707000002</x:v>
      </x:c>
      <x:c r="D12" s="109" t="n">
        <x:f>IF(B12="实际",SUMIFS('支付资金账单'!$M$5:$M$228,'支付资金账单'!$C$5:$C$228,A12),SUM('月度损益'!$I$5:$I$12)*'封面与口径'!$I$6/30)</x:f>
        <x:v>61709.16000000001</x:v>
      </x:c>
      <x:c r="E12" s="109" t="n">
        <x:f>IF(B12="实际",SUMIFS('外卖结算'!$S$5:$S$172,'外卖结算'!$C$5:$C$172,A12),SUM('外卖结算'!$S$5:$S$172)/7)</x:f>
        <x:v>4027.6971999999996</x:v>
      </x:c>
      <x:c r="F12" s="97" t="n">
        <x:v>0</x:v>
      </x:c>
      <x:c r="G12" s="100" t="n">
        <x:f>SUM(D12:F12)</x:f>
        <x:v>65736.85720000001</x:v>
      </x:c>
      <x:c r="H12" s="109" t="n">
        <x:f>SUMIFS('供应商应付'!$M$5:$M$52,'供应商应付'!$C$5:$C$52,A12)</x:f>
        <x:v>0</x:v>
      </x:c>
      <x:c r="I12" s="109" t="n">
        <x:v>0</x:v>
      </x:c>
      <x:c r="J12" s="109" t="n">
        <x:f>SUMIFS('固定费用月表'!$H$5:$H$76,'固定费用月表'!$K$5:$K$76,A12,'固定费用月表'!$E$5:$E$76,"房租与物业")</x:f>
        <x:v>0</x:v>
      </x:c>
      <x:c r="K12" s="109" t="n">
        <x:f>SUMIFS('固定费用月表'!$H$5:$H$76,'固定费用月表'!$K$5:$K$76,A12,'固定费用月表'!$E$5:$E$76,"税费及附加")</x:f>
        <x:v>0</x:v>
      </x:c>
      <x:c r="L12" s="109" t="n">
        <x:f>SUMIFS('固定费用月表'!$H$5:$H$76,'固定费用月表'!$K$5:$K$76,A12,'固定费用月表'!$J$5:$J$76,"现金")-J12-K12</x:f>
        <x:v>0</x:v>
      </x:c>
      <x:c r="M12" s="97" t="n">
        <x:v>0</x:v>
      </x:c>
      <x:c r="N12" s="100" t="n">
        <x:f>SUM(H12:M12)</x:f>
        <x:v>0</x:v>
      </x:c>
      <x:c r="O12" s="100" t="n">
        <x:f>C12+G12-N12</x:f>
        <x:v>1897023.3279000001</x:v>
      </x:c>
      <x:c r="P12" s="100" t="n">
        <x:f>P11</x:f>
        <x:v>400000</x:v>
      </x:c>
      <x:c r="Q12" s="100" t="n">
        <x:f>O12-P12</x:f>
        <x:v>1497023.3279000001</x:v>
      </x:c>
      <x:c r="R12" s="67" t="str">
        <x:f>IF(Q12&gt;=0,"安全","缺口")</x:f>
        <x:v>安全</x:v>
      </x:c>
      <x:c r="S12" s="67" t="str"/>
    </x:row>
    <x:row r="13">
      <x:c r="A13" s="73" t="n">
        <x:v>46218.5</x:v>
      </x:c>
      <x:c r="B13" s="67" t="str">
        <x:v>实际</x:v>
      </x:c>
      <x:c r="C13" s="100" t="n">
        <x:f>O12</x:f>
        <x:v>1897023.3279000001</x:v>
      </x:c>
      <x:c r="D13" s="109" t="n">
        <x:f>IF(B13="实际",SUMIFS('支付资金账单'!$M$5:$M$228,'支付资金账单'!$C$5:$C$228,A13),SUM('月度损益'!$I$5:$I$12)*'封面与口径'!$I$6/30)</x:f>
        <x:v>0</x:v>
      </x:c>
      <x:c r="E13" s="109" t="n">
        <x:f>IF(B13="实际",SUMIFS('外卖结算'!$S$5:$S$172,'外卖结算'!$C$5:$C$172,A13),SUM('外卖结算'!$S$5:$S$172)/7)</x:f>
        <x:v>5796.2776</x:v>
      </x:c>
      <x:c r="F13" s="97" t="n">
        <x:v>0</x:v>
      </x:c>
      <x:c r="G13" s="100" t="n">
        <x:f>SUM(D13:F13)</x:f>
        <x:v>5796.2776</x:v>
      </x:c>
      <x:c r="H13" s="109" t="n">
        <x:f>SUMIFS('供应商应付'!$M$5:$M$52,'供应商应付'!$C$5:$C$52,A13)</x:f>
        <x:v>0</x:v>
      </x:c>
      <x:c r="I13" s="109" t="n">
        <x:v>0</x:v>
      </x:c>
      <x:c r="J13" s="109" t="n">
        <x:f>SUMIFS('固定费用月表'!$H$5:$H$76,'固定费用月表'!$K$5:$K$76,A13,'固定费用月表'!$E$5:$E$76,"房租与物业")</x:f>
        <x:v>0</x:v>
      </x:c>
      <x:c r="K13" s="109" t="n">
        <x:f>SUMIFS('固定费用月表'!$H$5:$H$76,'固定费用月表'!$K$5:$K$76,A13,'固定费用月表'!$E$5:$E$76,"税费及附加")</x:f>
        <x:v>15997</x:v>
      </x:c>
      <x:c r="L13" s="109" t="n">
        <x:f>SUMIFS('固定费用月表'!$H$5:$H$76,'固定费用月表'!$K$5:$K$76,A13,'固定费用月表'!$J$5:$J$76,"现金")-J13-K13</x:f>
        <x:v>0</x:v>
      </x:c>
      <x:c r="M13" s="97" t="n">
        <x:v>0</x:v>
      </x:c>
      <x:c r="N13" s="100" t="n">
        <x:f>SUM(H13:M13)</x:f>
        <x:v>15997</x:v>
      </x:c>
      <x:c r="O13" s="100" t="n">
        <x:f>C13+G13-N13</x:f>
        <x:v>1886822.6055</x:v>
      </x:c>
      <x:c r="P13" s="100" t="n">
        <x:f>P12</x:f>
        <x:v>400000</x:v>
      </x:c>
      <x:c r="Q13" s="100" t="n">
        <x:f>O13-P13</x:f>
        <x:v>1486822.6055</x:v>
      </x:c>
      <x:c r="R13" s="67" t="str">
        <x:f>IF(Q13&gt;=0,"安全","缺口")</x:f>
        <x:v>安全</x:v>
      </x:c>
      <x:c r="S13" s="67" t="str"/>
    </x:row>
    <x:row r="14">
      <x:c r="A14" s="73" t="n">
        <x:v>46219.5</x:v>
      </x:c>
      <x:c r="B14" s="67" t="str">
        <x:v>预测</x:v>
      </x:c>
      <x:c r="C14" s="100" t="n">
        <x:f>O13</x:f>
        <x:v>1886822.6055</x:v>
      </x:c>
      <x:c r="D14" s="109" t="n">
        <x:f>IF(B14="实际",SUMIFS('支付资金账单'!$M$5:$M$228,'支付资金账单'!$C$5:$C$228,A14),SUM('月度损益'!$I$5:$I$12)*'封面与口径'!$I$6/30)</x:f>
        <x:v>58299.20493257142</x:v>
      </x:c>
      <x:c r="E14" s="109" t="n">
        <x:f>IF(B14="实际",SUMIFS('外卖结算'!$S$5:$S$172,'外卖结算'!$C$5:$C$172,A14),SUM('外卖结算'!$S$5:$S$172)/7)</x:f>
        <x:v>5041.54935714286</x:v>
      </x:c>
      <x:c r="F14" s="97" t="n">
        <x:v>0</x:v>
      </x:c>
      <x:c r="G14" s="100" t="n">
        <x:f>SUM(D14:F14)</x:f>
        <x:v>63340.75428971428</x:v>
      </x:c>
      <x:c r="H14" s="109" t="n">
        <x:f>SUMIFS('供应商应付'!$M$5:$M$52,'供应商应付'!$C$5:$C$52,A14)</x:f>
        <x:v>0</x:v>
      </x:c>
      <x:c r="I14" s="109" t="n">
        <x:v>0</x:v>
      </x:c>
      <x:c r="J14" s="109" t="n">
        <x:f>SUMIFS('固定费用月表'!$H$5:$H$76,'固定费用月表'!$K$5:$K$76,A14,'固定费用月表'!$E$5:$E$76,"房租与物业")</x:f>
        <x:v>0</x:v>
      </x:c>
      <x:c r="K14" s="109" t="n">
        <x:f>SUMIFS('固定费用月表'!$H$5:$H$76,'固定费用月表'!$K$5:$K$76,A14,'固定费用月表'!$E$5:$E$76,"税费及附加")</x:f>
        <x:v>0</x:v>
      </x:c>
      <x:c r="L14" s="109" t="n">
        <x:f>SUMIFS('固定费用月表'!$H$5:$H$76,'固定费用月表'!$K$5:$K$76,A14,'固定费用月表'!$J$5:$J$76,"现金")-J14-K14</x:f>
        <x:v>0</x:v>
      </x:c>
      <x:c r="M14" s="97" t="n">
        <x:v>0</x:v>
      </x:c>
      <x:c r="N14" s="100" t="n">
        <x:f>SUM(H14:M14)</x:f>
        <x:v>0</x:v>
      </x:c>
      <x:c r="O14" s="100" t="n">
        <x:f>C14+G14-N14</x:f>
        <x:v>1950163.3597897145</x:v>
      </x:c>
      <x:c r="P14" s="100" t="n">
        <x:f>P13</x:f>
        <x:v>400000</x:v>
      </x:c>
      <x:c r="Q14" s="100" t="n">
        <x:f>O14-P14</x:f>
        <x:v>1550163.3597897145</x:v>
      </x:c>
      <x:c r="R14" s="67" t="str">
        <x:f>IF(Q14&gt;=0,"安全","缺口")</x:f>
        <x:v>安全</x:v>
      </x:c>
      <x:c r="S14" s="67" t="str"/>
    </x:row>
    <x:row r="15">
      <x:c r="A15" s="73" t="n">
        <x:v>46220.5</x:v>
      </x:c>
      <x:c r="B15" s="67" t="str">
        <x:v>预测</x:v>
      </x:c>
      <x:c r="C15" s="100" t="n">
        <x:f>O14</x:f>
        <x:v>1950163.3597897145</x:v>
      </x:c>
      <x:c r="D15" s="109" t="n">
        <x:f>IF(B15="实际",SUMIFS('支付资金账单'!$M$5:$M$228,'支付资金账单'!$C$5:$C$228,A15),SUM('月度损益'!$I$5:$I$12)*'封面与口径'!$I$6/30)</x:f>
        <x:v>58299.20493257142</x:v>
      </x:c>
      <x:c r="E15" s="109" t="n">
        <x:f>IF(B15="实际",SUMIFS('外卖结算'!$S$5:$S$172,'外卖结算'!$C$5:$C$172,A15),SUM('外卖结算'!$S$5:$S$172)/7)</x:f>
        <x:v>5041.54935714286</x:v>
      </x:c>
      <x:c r="F15" s="97" t="n">
        <x:v>0</x:v>
      </x:c>
      <x:c r="G15" s="100" t="n">
        <x:f>SUM(D15:F15)</x:f>
        <x:v>63340.75428971428</x:v>
      </x:c>
      <x:c r="H15" s="109" t="n">
        <x:f>SUMIFS('供应商应付'!$M$5:$M$52,'供应商应付'!$C$5:$C$52,A15)</x:f>
        <x:v>118800</x:v>
      </x:c>
      <x:c r="I15" s="109" t="n">
        <x:v>0</x:v>
      </x:c>
      <x:c r="J15" s="109" t="n">
        <x:f>SUMIFS('固定费用月表'!$H$5:$H$76,'固定费用月表'!$K$5:$K$76,A15,'固定费用月表'!$E$5:$E$76,"房租与物业")</x:f>
        <x:v>0</x:v>
      </x:c>
      <x:c r="K15" s="109" t="n">
        <x:f>SUMIFS('固定费用月表'!$H$5:$H$76,'固定费用月表'!$K$5:$K$76,A15,'固定费用月表'!$E$5:$E$76,"税费及附加")</x:f>
        <x:v>0</x:v>
      </x:c>
      <x:c r="L15" s="109" t="n">
        <x:f>SUMIFS('固定费用月表'!$H$5:$H$76,'固定费用月表'!$K$5:$K$76,A15,'固定费用月表'!$J$5:$J$76,"现金")-J15-K15</x:f>
        <x:v>0</x:v>
      </x:c>
      <x:c r="M15" s="97" t="n">
        <x:v>0</x:v>
      </x:c>
      <x:c r="N15" s="100" t="n">
        <x:f>SUM(H15:M15)</x:f>
        <x:v>118800</x:v>
      </x:c>
      <x:c r="O15" s="100" t="n">
        <x:f>C15+G15-N15</x:f>
        <x:v>1894704.1140794288</x:v>
      </x:c>
      <x:c r="P15" s="100" t="n">
        <x:f>P14</x:f>
        <x:v>400000</x:v>
      </x:c>
      <x:c r="Q15" s="100" t="n">
        <x:f>O15-P15</x:f>
        <x:v>1494704.1140794288</x:v>
      </x:c>
      <x:c r="R15" s="67" t="str">
        <x:f>IF(Q15&gt;=0,"安全","缺口")</x:f>
        <x:v>安全</x:v>
      </x:c>
      <x:c r="S15" s="67" t="str"/>
    </x:row>
    <x:row r="16">
      <x:c r="A16" s="73" t="n">
        <x:v>46221.5</x:v>
      </x:c>
      <x:c r="B16" s="67" t="str">
        <x:v>预测</x:v>
      </x:c>
      <x:c r="C16" s="100" t="n">
        <x:f>O15</x:f>
        <x:v>1894704.1140794288</x:v>
      </x:c>
      <x:c r="D16" s="109" t="n">
        <x:f>IF(B16="实际",SUMIFS('支付资金账单'!$M$5:$M$228,'支付资金账单'!$C$5:$C$228,A16),SUM('月度损益'!$I$5:$I$12)*'封面与口径'!$I$6/30)</x:f>
        <x:v>58299.20493257142</x:v>
      </x:c>
      <x:c r="E16" s="109" t="n">
        <x:f>IF(B16="实际",SUMIFS('外卖结算'!$S$5:$S$172,'外卖结算'!$C$5:$C$172,A16),SUM('外卖结算'!$S$5:$S$172)/7)</x:f>
        <x:v>5041.54935714286</x:v>
      </x:c>
      <x:c r="F16" s="97" t="n">
        <x:v>0</x:v>
      </x:c>
      <x:c r="G16" s="100" t="n">
        <x:f>SUM(D16:F16)</x:f>
        <x:v>63340.75428971428</x:v>
      </x:c>
      <x:c r="H16" s="109" t="n">
        <x:f>SUMIFS('供应商应付'!$M$5:$M$52,'供应商应付'!$C$5:$C$52,A16)</x:f>
        <x:v>0</x:v>
      </x:c>
      <x:c r="I16" s="109" t="n">
        <x:v>0</x:v>
      </x:c>
      <x:c r="J16" s="109" t="n">
        <x:f>SUMIFS('固定费用月表'!$H$5:$H$76,'固定费用月表'!$K$5:$K$76,A16,'固定费用月表'!$E$5:$E$76,"房租与物业")</x:f>
        <x:v>0</x:v>
      </x:c>
      <x:c r="K16" s="109" t="n">
        <x:f>SUMIFS('固定费用月表'!$H$5:$H$76,'固定费用月表'!$K$5:$K$76,A16,'固定费用月表'!$E$5:$E$76,"税费及附加")</x:f>
        <x:v>0</x:v>
      </x:c>
      <x:c r="L16" s="109" t="n">
        <x:f>SUMIFS('固定费用月表'!$H$5:$H$76,'固定费用月表'!$K$5:$K$76,A16,'固定费用月表'!$J$5:$J$76,"现金")-J16-K16</x:f>
        <x:v>0</x:v>
      </x:c>
      <x:c r="M16" s="97" t="n">
        <x:v>0</x:v>
      </x:c>
      <x:c r="N16" s="100" t="n">
        <x:f>SUM(H16:M16)</x:f>
        <x:v>0</x:v>
      </x:c>
      <x:c r="O16" s="100" t="n">
        <x:f>C16+G16-N16</x:f>
        <x:v>1958044.8683691432</x:v>
      </x:c>
      <x:c r="P16" s="100" t="n">
        <x:f>P15</x:f>
        <x:v>400000</x:v>
      </x:c>
      <x:c r="Q16" s="100" t="n">
        <x:f>O16-P16</x:f>
        <x:v>1558044.8683691432</x:v>
      </x:c>
      <x:c r="R16" s="67" t="str">
        <x:f>IF(Q16&gt;=0,"安全","缺口")</x:f>
        <x:v>安全</x:v>
      </x:c>
      <x:c r="S16" s="67" t="str"/>
    </x:row>
    <x:row r="17">
      <x:c r="A17" s="73" t="n">
        <x:v>46222.5</x:v>
      </x:c>
      <x:c r="B17" s="67" t="str">
        <x:v>预测</x:v>
      </x:c>
      <x:c r="C17" s="100" t="n">
        <x:f>O16</x:f>
        <x:v>1958044.8683691432</x:v>
      </x:c>
      <x:c r="D17" s="109" t="n">
        <x:f>IF(B17="实际",SUMIFS('支付资金账单'!$M$5:$M$228,'支付资金账单'!$C$5:$C$228,A17),SUM('月度损益'!$I$5:$I$12)*'封面与口径'!$I$6/30)</x:f>
        <x:v>58299.20493257142</x:v>
      </x:c>
      <x:c r="E17" s="109" t="n">
        <x:f>IF(B17="实际",SUMIFS('外卖结算'!$S$5:$S$172,'外卖结算'!$C$5:$C$172,A17),SUM('外卖结算'!$S$5:$S$172)/7)</x:f>
        <x:v>5041.54935714286</x:v>
      </x:c>
      <x:c r="F17" s="97" t="n">
        <x:v>0</x:v>
      </x:c>
      <x:c r="G17" s="100" t="n">
        <x:f>SUM(D17:F17)</x:f>
        <x:v>63340.75428971428</x:v>
      </x:c>
      <x:c r="H17" s="109" t="n">
        <x:f>SUMIFS('供应商应付'!$M$5:$M$52,'供应商应付'!$C$5:$C$52,A17)</x:f>
        <x:v>0</x:v>
      </x:c>
      <x:c r="I17" s="109" t="n">
        <x:v>0</x:v>
      </x:c>
      <x:c r="J17" s="109" t="n">
        <x:f>SUMIFS('固定费用月表'!$H$5:$H$76,'固定费用月表'!$K$5:$K$76,A17,'固定费用月表'!$E$5:$E$76,"房租与物业")</x:f>
        <x:v>0</x:v>
      </x:c>
      <x:c r="K17" s="109" t="n">
        <x:f>SUMIFS('固定费用月表'!$H$5:$H$76,'固定费用月表'!$K$5:$K$76,A17,'固定费用月表'!$E$5:$E$76,"税费及附加")</x:f>
        <x:v>0</x:v>
      </x:c>
      <x:c r="L17" s="109" t="n">
        <x:f>SUMIFS('固定费用月表'!$H$5:$H$76,'固定费用月表'!$K$5:$K$76,A17,'固定费用月表'!$J$5:$J$76,"现金")-J17-K17</x:f>
        <x:v>0</x:v>
      </x:c>
      <x:c r="M17" s="97" t="n">
        <x:v>0</x:v>
      </x:c>
      <x:c r="N17" s="100" t="n">
        <x:f>SUM(H17:M17)</x:f>
        <x:v>0</x:v>
      </x:c>
      <x:c r="O17" s="100" t="n">
        <x:f>C17+G17-N17</x:f>
        <x:v>2021385.6226588576</x:v>
      </x:c>
      <x:c r="P17" s="100" t="n">
        <x:f>P16</x:f>
        <x:v>400000</x:v>
      </x:c>
      <x:c r="Q17" s="100" t="n">
        <x:f>O17-P17</x:f>
        <x:v>1621385.6226588576</x:v>
      </x:c>
      <x:c r="R17" s="67" t="str">
        <x:f>IF(Q17&gt;=0,"安全","缺口")</x:f>
        <x:v>安全</x:v>
      </x:c>
      <x:c r="S17" s="67" t="str"/>
    </x:row>
    <x:row r="18">
      <x:c r="A18" s="73" t="n">
        <x:v>46223.5</x:v>
      </x:c>
      <x:c r="B18" s="67" t="str">
        <x:v>预测</x:v>
      </x:c>
      <x:c r="C18" s="100" t="n">
        <x:f>O17</x:f>
        <x:v>2021385.6226588576</x:v>
      </x:c>
      <x:c r="D18" s="109" t="n">
        <x:f>IF(B18="实际",SUMIFS('支付资金账单'!$M$5:$M$228,'支付资金账单'!$C$5:$C$228,A18),SUM('月度损益'!$I$5:$I$12)*'封面与口径'!$I$6/30)</x:f>
        <x:v>58299.20493257142</x:v>
      </x:c>
      <x:c r="E18" s="109" t="n">
        <x:f>IF(B18="实际",SUMIFS('外卖结算'!$S$5:$S$172,'外卖结算'!$C$5:$C$172,A18),SUM('外卖结算'!$S$5:$S$172)/7)</x:f>
        <x:v>5041.54935714286</x:v>
      </x:c>
      <x:c r="F18" s="97" t="n">
        <x:v>0</x:v>
      </x:c>
      <x:c r="G18" s="100" t="n">
        <x:f>SUM(D18:F18)</x:f>
        <x:v>63340.75428971428</x:v>
      </x:c>
      <x:c r="H18" s="109" t="n">
        <x:f>SUMIFS('供应商应付'!$M$5:$M$52,'供应商应付'!$C$5:$C$52,A18)</x:f>
        <x:v>0</x:v>
      </x:c>
      <x:c r="I18" s="109" t="n">
        <x:v>0</x:v>
      </x:c>
      <x:c r="J18" s="109" t="n">
        <x:f>SUMIFS('固定费用月表'!$H$5:$H$76,'固定费用月表'!$K$5:$K$76,A18,'固定费用月表'!$E$5:$E$76,"房租与物业")</x:f>
        <x:v>0</x:v>
      </x:c>
      <x:c r="K18" s="109" t="n">
        <x:f>SUMIFS('固定费用月表'!$H$5:$H$76,'固定费用月表'!$K$5:$K$76,A18,'固定费用月表'!$E$5:$E$76,"税费及附加")</x:f>
        <x:v>0</x:v>
      </x:c>
      <x:c r="L18" s="109" t="n">
        <x:f>SUMIFS('固定费用月表'!$H$5:$H$76,'固定费用月表'!$K$5:$K$76,A18,'固定费用月表'!$J$5:$J$76,"现金")-J18-K18</x:f>
        <x:v>40068</x:v>
      </x:c>
      <x:c r="M18" s="97" t="n">
        <x:v>0</x:v>
      </x:c>
      <x:c r="N18" s="100" t="n">
        <x:f>SUM(H18:M18)</x:f>
        <x:v>40068</x:v>
      </x:c>
      <x:c r="O18" s="100" t="n">
        <x:f>C18+G18-N18</x:f>
        <x:v>2044658.376948572</x:v>
      </x:c>
      <x:c r="P18" s="100" t="n">
        <x:f>P17</x:f>
        <x:v>400000</x:v>
      </x:c>
      <x:c r="Q18" s="100" t="n">
        <x:f>O18-P18</x:f>
        <x:v>1644658.376948572</x:v>
      </x:c>
      <x:c r="R18" s="67" t="str">
        <x:f>IF(Q18&gt;=0,"安全","缺口")</x:f>
        <x:v>安全</x:v>
      </x:c>
      <x:c r="S18" s="67" t="str"/>
    </x:row>
    <x:row r="19">
      <x:c r="A19" s="73" t="n">
        <x:v>46224.5</x:v>
      </x:c>
      <x:c r="B19" s="67" t="str">
        <x:v>预测</x:v>
      </x:c>
      <x:c r="C19" s="100" t="n">
        <x:f>O18</x:f>
        <x:v>2044658.376948572</x:v>
      </x:c>
      <x:c r="D19" s="109" t="n">
        <x:f>IF(B19="实际",SUMIFS('支付资金账单'!$M$5:$M$228,'支付资金账单'!$C$5:$C$228,A19),SUM('月度损益'!$I$5:$I$12)*'封面与口径'!$I$6/30)</x:f>
        <x:v>58299.20493257142</x:v>
      </x:c>
      <x:c r="E19" s="109" t="n">
        <x:f>IF(B19="实际",SUMIFS('外卖结算'!$S$5:$S$172,'外卖结算'!$C$5:$C$172,A19),SUM('外卖结算'!$S$5:$S$172)/7)</x:f>
        <x:v>5041.54935714286</x:v>
      </x:c>
      <x:c r="F19" s="97" t="n">
        <x:v>0</x:v>
      </x:c>
      <x:c r="G19" s="100" t="n">
        <x:f>SUM(D19:F19)</x:f>
        <x:v>63340.75428971428</x:v>
      </x:c>
      <x:c r="H19" s="109" t="n">
        <x:f>SUMIFS('供应商应付'!$M$5:$M$52,'供应商应付'!$C$5:$C$52,A19)</x:f>
        <x:v>0</x:v>
      </x:c>
      <x:c r="I19" s="109" t="n">
        <x:v>0</x:v>
      </x:c>
      <x:c r="J19" s="109" t="n">
        <x:f>SUMIFS('固定费用月表'!$H$5:$H$76,'固定费用月表'!$K$5:$K$76,A19,'固定费用月表'!$E$5:$E$76,"房租与物业")</x:f>
        <x:v>0</x:v>
      </x:c>
      <x:c r="K19" s="109" t="n">
        <x:f>SUMIFS('固定费用月表'!$H$5:$H$76,'固定费用月表'!$K$5:$K$76,A19,'固定费用月表'!$E$5:$E$76,"税费及附加")</x:f>
        <x:v>0</x:v>
      </x:c>
      <x:c r="L19" s="109" t="n">
        <x:f>SUMIFS('固定费用月表'!$H$5:$H$76,'固定费用月表'!$K$5:$K$76,A19,'固定费用月表'!$J$5:$J$76,"现金")-J19-K19</x:f>
        <x:v>0</x:v>
      </x:c>
      <x:c r="M19" s="97" t="n">
        <x:v>0</x:v>
      </x:c>
      <x:c r="N19" s="100" t="n">
        <x:f>SUM(H19:M19)</x:f>
        <x:v>0</x:v>
      </x:c>
      <x:c r="O19" s="100" t="n">
        <x:f>C19+G19-N19</x:f>
        <x:v>2107999.1312382864</x:v>
      </x:c>
      <x:c r="P19" s="100" t="n">
        <x:f>P18</x:f>
        <x:v>400000</x:v>
      </x:c>
      <x:c r="Q19" s="100" t="n">
        <x:f>O19-P19</x:f>
        <x:v>1707999.1312382864</x:v>
      </x:c>
      <x:c r="R19" s="67" t="str">
        <x:f>IF(Q19&gt;=0,"安全","缺口")</x:f>
        <x:v>安全</x:v>
      </x:c>
      <x:c r="S19" s="67" t="str"/>
    </x:row>
    <x:row r="20">
      <x:c r="A20" s="73" t="n">
        <x:v>46225.5</x:v>
      </x:c>
      <x:c r="B20" s="67" t="str">
        <x:v>预测</x:v>
      </x:c>
      <x:c r="C20" s="100" t="n">
        <x:f>O19</x:f>
        <x:v>2107999.1312382864</x:v>
      </x:c>
      <x:c r="D20" s="109" t="n">
        <x:f>IF(B20="实际",SUMIFS('支付资金账单'!$M$5:$M$228,'支付资金账单'!$C$5:$C$228,A20),SUM('月度损益'!$I$5:$I$12)*'封面与口径'!$I$6/30)</x:f>
        <x:v>58299.20493257142</x:v>
      </x:c>
      <x:c r="E20" s="109" t="n">
        <x:f>IF(B20="实际",SUMIFS('外卖结算'!$S$5:$S$172,'外卖结算'!$C$5:$C$172,A20),SUM('外卖结算'!$S$5:$S$172)/7)</x:f>
        <x:v>5041.54935714286</x:v>
      </x:c>
      <x:c r="F20" s="97" t="n">
        <x:v>0</x:v>
      </x:c>
      <x:c r="G20" s="100" t="n">
        <x:f>SUM(D20:F20)</x:f>
        <x:v>63340.75428971428</x:v>
      </x:c>
      <x:c r="H20" s="109" t="n">
        <x:f>SUMIFS('供应商应付'!$M$5:$M$52,'供应商应付'!$C$5:$C$52,A20)</x:f>
        <x:v>145200</x:v>
      </x:c>
      <x:c r="I20" s="109" t="n">
        <x:v>0</x:v>
      </x:c>
      <x:c r="J20" s="109" t="n">
        <x:f>SUMIFS('固定费用月表'!$H$5:$H$76,'固定费用月表'!$K$5:$K$76,A20,'固定费用月表'!$E$5:$E$76,"房租与物业")</x:f>
        <x:v>0</x:v>
      </x:c>
      <x:c r="K20" s="109" t="n">
        <x:f>SUMIFS('固定费用月表'!$H$5:$H$76,'固定费用月表'!$K$5:$K$76,A20,'固定费用月表'!$E$5:$E$76,"税费及附加")</x:f>
        <x:v>0</x:v>
      </x:c>
      <x:c r="L20" s="109" t="n">
        <x:f>SUMIFS('固定费用月表'!$H$5:$H$76,'固定费用月表'!$K$5:$K$76,A20,'固定费用月表'!$J$5:$J$76,"现金")-J20-K20</x:f>
        <x:v>0</x:v>
      </x:c>
      <x:c r="M20" s="97" t="n">
        <x:v>0</x:v>
      </x:c>
      <x:c r="N20" s="100" t="n">
        <x:f>SUM(H20:M20)</x:f>
        <x:v>145200</x:v>
      </x:c>
      <x:c r="O20" s="100" t="n">
        <x:f>C20+G20-N20</x:f>
        <x:v>2026139.8855280005</x:v>
      </x:c>
      <x:c r="P20" s="100" t="n">
        <x:f>P19</x:f>
        <x:v>400000</x:v>
      </x:c>
      <x:c r="Q20" s="100" t="n">
        <x:f>O20-P20</x:f>
        <x:v>1626139.8855280005</x:v>
      </x:c>
      <x:c r="R20" s="67" t="str">
        <x:f>IF(Q20&gt;=0,"安全","缺口")</x:f>
        <x:v>安全</x:v>
      </x:c>
      <x:c r="S20" s="67" t="str"/>
    </x:row>
    <x:row r="21">
      <x:c r="A21" s="73" t="n">
        <x:v>46226.5</x:v>
      </x:c>
      <x:c r="B21" s="67" t="str">
        <x:v>预测</x:v>
      </x:c>
      <x:c r="C21" s="100" t="n">
        <x:f>O20</x:f>
        <x:v>2026139.8855280005</x:v>
      </x:c>
      <x:c r="D21" s="109" t="n">
        <x:f>IF(B21="实际",SUMIFS('支付资金账单'!$M$5:$M$228,'支付资金账单'!$C$5:$C$228,A21),SUM('月度损益'!$I$5:$I$12)*'封面与口径'!$I$6/30)</x:f>
        <x:v>58299.20493257142</x:v>
      </x:c>
      <x:c r="E21" s="109" t="n">
        <x:f>IF(B21="实际",SUMIFS('外卖结算'!$S$5:$S$172,'外卖结算'!$C$5:$C$172,A21),SUM('外卖结算'!$S$5:$S$172)/7)</x:f>
        <x:v>5041.54935714286</x:v>
      </x:c>
      <x:c r="F21" s="97" t="n">
        <x:v>0</x:v>
      </x:c>
      <x:c r="G21" s="100" t="n">
        <x:f>SUM(D21:F21)</x:f>
        <x:v>63340.75428971428</x:v>
      </x:c>
      <x:c r="H21" s="109" t="n">
        <x:f>SUMIFS('供应商应付'!$M$5:$M$52,'供应商应付'!$C$5:$C$52,A21)</x:f>
        <x:v>0</x:v>
      </x:c>
      <x:c r="I21" s="109" t="n">
        <x:v>0</x:v>
      </x:c>
      <x:c r="J21" s="109" t="n">
        <x:f>SUMIFS('固定费用月表'!$H$5:$H$76,'固定费用月表'!$K$5:$K$76,A21,'固定费用月表'!$E$5:$E$76,"房租与物业")</x:f>
        <x:v>0</x:v>
      </x:c>
      <x:c r="K21" s="109" t="n">
        <x:f>SUMIFS('固定费用月表'!$H$5:$H$76,'固定费用月表'!$K$5:$K$76,A21,'固定费用月表'!$E$5:$E$76,"税费及附加")</x:f>
        <x:v>0</x:v>
      </x:c>
      <x:c r="L21" s="109" t="n">
        <x:f>SUMIFS('固定费用月表'!$H$5:$H$76,'固定费用月表'!$K$5:$K$76,A21,'固定费用月表'!$J$5:$J$76,"现金")-J21-K21</x:f>
        <x:v>0</x:v>
      </x:c>
      <x:c r="M21" s="97" t="n">
        <x:v>0</x:v>
      </x:c>
      <x:c r="N21" s="100" t="n">
        <x:f>SUM(H21:M21)</x:f>
        <x:v>0</x:v>
      </x:c>
      <x:c r="O21" s="100" t="n">
        <x:f>C21+G21-N21</x:f>
        <x:v>2089480.639817715</x:v>
      </x:c>
      <x:c r="P21" s="100" t="n">
        <x:f>P20</x:f>
        <x:v>400000</x:v>
      </x:c>
      <x:c r="Q21" s="100" t="n">
        <x:f>O21-P21</x:f>
        <x:v>1689480.639817715</x:v>
      </x:c>
      <x:c r="R21" s="67" t="str">
        <x:f>IF(Q21&gt;=0,"安全","缺口")</x:f>
        <x:v>安全</x:v>
      </x:c>
      <x:c r="S21" s="67" t="str"/>
    </x:row>
    <x:row r="22">
      <x:c r="A22" s="73" t="n">
        <x:v>46227.5</x:v>
      </x:c>
      <x:c r="B22" s="67" t="str">
        <x:v>预测</x:v>
      </x:c>
      <x:c r="C22" s="100" t="n">
        <x:f>O21</x:f>
        <x:v>2089480.639817715</x:v>
      </x:c>
      <x:c r="D22" s="109" t="n">
        <x:f>IF(B22="实际",SUMIFS('支付资金账单'!$M$5:$M$228,'支付资金账单'!$C$5:$C$228,A22),SUM('月度损益'!$I$5:$I$12)*'封面与口径'!$I$6/30)</x:f>
        <x:v>58299.20493257142</x:v>
      </x:c>
      <x:c r="E22" s="109" t="n">
        <x:f>IF(B22="实际",SUMIFS('外卖结算'!$S$5:$S$172,'外卖结算'!$C$5:$C$172,A22),SUM('外卖结算'!$S$5:$S$172)/7)</x:f>
        <x:v>5041.54935714286</x:v>
      </x:c>
      <x:c r="F22" s="97" t="n">
        <x:v>0</x:v>
      </x:c>
      <x:c r="G22" s="100" t="n">
        <x:f>SUM(D22:F22)</x:f>
        <x:v>63340.75428971428</x:v>
      </x:c>
      <x:c r="H22" s="109" t="n">
        <x:f>SUMIFS('供应商应付'!$M$5:$M$52,'供应商应付'!$C$5:$C$52,A22)</x:f>
        <x:v>0</x:v>
      </x:c>
      <x:c r="I22" s="109" t="n">
        <x:v>0</x:v>
      </x:c>
      <x:c r="J22" s="109" t="n">
        <x:f>SUMIFS('固定费用月表'!$H$5:$H$76,'固定费用月表'!$K$5:$K$76,A22,'固定费用月表'!$E$5:$E$76,"房租与物业")</x:f>
        <x:v>0</x:v>
      </x:c>
      <x:c r="K22" s="109" t="n">
        <x:f>SUMIFS('固定费用月表'!$H$5:$H$76,'固定费用月表'!$K$5:$K$76,A22,'固定费用月表'!$E$5:$E$76,"税费及附加")</x:f>
        <x:v>0</x:v>
      </x:c>
      <x:c r="L22" s="109" t="n">
        <x:f>SUMIFS('固定费用月表'!$H$5:$H$76,'固定费用月表'!$K$5:$K$76,A22,'固定费用月表'!$J$5:$J$76,"现金")-J22-K22</x:f>
        <x:v>0</x:v>
      </x:c>
      <x:c r="M22" s="97" t="n">
        <x:v>0</x:v>
      </x:c>
      <x:c r="N22" s="100" t="n">
        <x:f>SUM(H22:M22)</x:f>
        <x:v>0</x:v>
      </x:c>
      <x:c r="O22" s="100" t="n">
        <x:f>C22+G22-N22</x:f>
        <x:v>2152821.3941074293</x:v>
      </x:c>
      <x:c r="P22" s="100" t="n">
        <x:f>P21</x:f>
        <x:v>400000</x:v>
      </x:c>
      <x:c r="Q22" s="100" t="n">
        <x:f>O22-P22</x:f>
        <x:v>1752821.3941074293</x:v>
      </x:c>
      <x:c r="R22" s="67" t="str">
        <x:f>IF(Q22&gt;=0,"安全","缺口")</x:f>
        <x:v>安全</x:v>
      </x:c>
      <x:c r="S22" s="67" t="str"/>
    </x:row>
    <x:row r="23">
      <x:c r="A23" s="73" t="n">
        <x:v>46228.5</x:v>
      </x:c>
      <x:c r="B23" s="67" t="str">
        <x:v>预测</x:v>
      </x:c>
      <x:c r="C23" s="100" t="n">
        <x:f>O22</x:f>
        <x:v>2152821.3941074293</x:v>
      </x:c>
      <x:c r="D23" s="109" t="n">
        <x:f>IF(B23="实际",SUMIFS('支付资金账单'!$M$5:$M$228,'支付资金账单'!$C$5:$C$228,A23),SUM('月度损益'!$I$5:$I$12)*'封面与口径'!$I$6/30)</x:f>
        <x:v>58299.20493257142</x:v>
      </x:c>
      <x:c r="E23" s="109" t="n">
        <x:f>IF(B23="实际",SUMIFS('外卖结算'!$S$5:$S$172,'外卖结算'!$C$5:$C$172,A23),SUM('外卖结算'!$S$5:$S$172)/7)</x:f>
        <x:v>5041.54935714286</x:v>
      </x:c>
      <x:c r="F23" s="97" t="n">
        <x:v>0</x:v>
      </x:c>
      <x:c r="G23" s="100" t="n">
        <x:f>SUM(D23:F23)</x:f>
        <x:v>63340.75428971428</x:v>
      </x:c>
      <x:c r="H23" s="109" t="n">
        <x:f>SUMIFS('供应商应付'!$M$5:$M$52,'供应商应付'!$C$5:$C$52,A23)</x:f>
        <x:v>0</x:v>
      </x:c>
      <x:c r="I23" s="109" t="n">
        <x:v>0</x:v>
      </x:c>
      <x:c r="J23" s="109" t="n">
        <x:f>SUMIFS('固定费用月表'!$H$5:$H$76,'固定费用月表'!$K$5:$K$76,A23,'固定费用月表'!$E$5:$E$76,"房租与物业")</x:f>
        <x:v>0</x:v>
      </x:c>
      <x:c r="K23" s="109" t="n">
        <x:f>SUMIFS('固定费用月表'!$H$5:$H$76,'固定费用月表'!$K$5:$K$76,A23,'固定费用月表'!$E$5:$E$76,"税费及附加")</x:f>
        <x:v>0</x:v>
      </x:c>
      <x:c r="L23" s="109" t="n">
        <x:f>SUMIFS('固定费用月表'!$H$5:$H$76,'固定费用月表'!$K$5:$K$76,A23,'固定费用月表'!$J$5:$J$76,"现金")-J23-K23</x:f>
        <x:v>67994</x:v>
      </x:c>
      <x:c r="M23" s="97" t="n">
        <x:v>0</x:v>
      </x:c>
      <x:c r="N23" s="100" t="n">
        <x:f>SUM(H23:M23)</x:f>
        <x:v>67994</x:v>
      </x:c>
      <x:c r="O23" s="100" t="n">
        <x:f>C23+G23-N23</x:f>
        <x:v>2148168.1483971435</x:v>
      </x:c>
      <x:c r="P23" s="100" t="n">
        <x:f>P22</x:f>
        <x:v>400000</x:v>
      </x:c>
      <x:c r="Q23" s="100" t="n">
        <x:f>O23-P23</x:f>
        <x:v>1748168.1483971435</x:v>
      </x:c>
      <x:c r="R23" s="67" t="str">
        <x:f>IF(Q23&gt;=0,"安全","缺口")</x:f>
        <x:v>安全</x:v>
      </x:c>
      <x:c r="S23" s="67" t="str"/>
    </x:row>
    <x:row r="24">
      <x:c r="A24" s="73" t="n">
        <x:v>46229.5</x:v>
      </x:c>
      <x:c r="B24" s="67" t="str">
        <x:v>预测</x:v>
      </x:c>
      <x:c r="C24" s="100" t="n">
        <x:f>O23</x:f>
        <x:v>2148168.1483971435</x:v>
      </x:c>
      <x:c r="D24" s="109" t="n">
        <x:f>IF(B24="实际",SUMIFS('支付资金账单'!$M$5:$M$228,'支付资金账单'!$C$5:$C$228,A24),SUM('月度损益'!$I$5:$I$12)*'封面与口径'!$I$6/30)</x:f>
        <x:v>58299.20493257142</x:v>
      </x:c>
      <x:c r="E24" s="109" t="n">
        <x:f>IF(B24="实际",SUMIFS('外卖结算'!$S$5:$S$172,'外卖结算'!$C$5:$C$172,A24),SUM('外卖结算'!$S$5:$S$172)/7)</x:f>
        <x:v>5041.54935714286</x:v>
      </x:c>
      <x:c r="F24" s="97" t="n">
        <x:v>0</x:v>
      </x:c>
      <x:c r="G24" s="100" t="n">
        <x:f>SUM(D24:F24)</x:f>
        <x:v>63340.75428971428</x:v>
      </x:c>
      <x:c r="H24" s="109" t="n">
        <x:f>SUMIFS('供应商应付'!$M$5:$M$52,'供应商应付'!$C$5:$C$52,A24)</x:f>
        <x:v>0</x:v>
      </x:c>
      <x:c r="I24" s="109" t="n">
        <x:v>0</x:v>
      </x:c>
      <x:c r="J24" s="109" t="n">
        <x:f>SUMIFS('固定费用月表'!$H$5:$H$76,'固定费用月表'!$K$5:$K$76,A24,'固定费用月表'!$E$5:$E$76,"房租与物业")</x:f>
        <x:v>0</x:v>
      </x:c>
      <x:c r="K24" s="109" t="n">
        <x:f>SUMIFS('固定费用月表'!$H$5:$H$76,'固定费用月表'!$K$5:$K$76,A24,'固定费用月表'!$E$5:$E$76,"税费及附加")</x:f>
        <x:v>0</x:v>
      </x:c>
      <x:c r="L24" s="109" t="n">
        <x:f>SUMIFS('固定费用月表'!$H$5:$H$76,'固定费用月表'!$K$5:$K$76,A24,'固定费用月表'!$J$5:$J$76,"现金")-J24-K24</x:f>
        <x:v>0</x:v>
      </x:c>
      <x:c r="M24" s="97" t="n">
        <x:v>0</x:v>
      </x:c>
      <x:c r="N24" s="100" t="n">
        <x:f>SUM(H24:M24)</x:f>
        <x:v>0</x:v>
      </x:c>
      <x:c r="O24" s="100" t="n">
        <x:f>C24+G24-N24</x:f>
        <x:v>2211508.9026868576</x:v>
      </x:c>
      <x:c r="P24" s="100" t="n">
        <x:f>P23</x:f>
        <x:v>400000</x:v>
      </x:c>
      <x:c r="Q24" s="100" t="n">
        <x:f>O24-P24</x:f>
        <x:v>1811508.9026868576</x:v>
      </x:c>
      <x:c r="R24" s="67" t="str">
        <x:f>IF(Q24&gt;=0,"安全","缺口")</x:f>
        <x:v>安全</x:v>
      </x:c>
      <x:c r="S24" s="67" t="str"/>
    </x:row>
    <x:row r="25">
      <x:c r="A25" s="73" t="n">
        <x:v>46230.5</x:v>
      </x:c>
      <x:c r="B25" s="67" t="str">
        <x:v>预测</x:v>
      </x:c>
      <x:c r="C25" s="100" t="n">
        <x:f>O24</x:f>
        <x:v>2211508.9026868576</x:v>
      </x:c>
      <x:c r="D25" s="109" t="n">
        <x:f>IF(B25="实际",SUMIFS('支付资金账单'!$M$5:$M$228,'支付资金账单'!$C$5:$C$228,A25),SUM('月度损益'!$I$5:$I$12)*'封面与口径'!$I$6/30)</x:f>
        <x:v>58299.20493257142</x:v>
      </x:c>
      <x:c r="E25" s="109" t="n">
        <x:f>IF(B25="实际",SUMIFS('外卖结算'!$S$5:$S$172,'外卖结算'!$C$5:$C$172,A25),SUM('外卖结算'!$S$5:$S$172)/7)</x:f>
        <x:v>5041.54935714286</x:v>
      </x:c>
      <x:c r="F25" s="97" t="n">
        <x:v>0</x:v>
      </x:c>
      <x:c r="G25" s="100" t="n">
        <x:f>SUM(D25:F25)</x:f>
        <x:v>63340.75428971428</x:v>
      </x:c>
      <x:c r="H25" s="109" t="n">
        <x:f>SUMIFS('供应商应付'!$M$5:$M$52,'供应商应付'!$C$5:$C$52,A25)</x:f>
        <x:v>79200</x:v>
      </x:c>
      <x:c r="I25" s="109" t="n">
        <x:v>0</x:v>
      </x:c>
      <x:c r="J25" s="109" t="n">
        <x:f>SUMIFS('固定费用月表'!$H$5:$H$76,'固定费用月表'!$K$5:$K$76,A25,'固定费用月表'!$E$5:$E$76,"房租与物业")</x:f>
        <x:v>0</x:v>
      </x:c>
      <x:c r="K25" s="109" t="n">
        <x:f>SUMIFS('固定费用月表'!$H$5:$H$76,'固定费用月表'!$K$5:$K$76,A25,'固定费用月表'!$E$5:$E$76,"税费及附加")</x:f>
        <x:v>0</x:v>
      </x:c>
      <x:c r="L25" s="109" t="n">
        <x:f>SUMIFS('固定费用月表'!$H$5:$H$76,'固定费用月表'!$K$5:$K$76,A25,'固定费用月表'!$J$5:$J$76,"现金")-J25-K25</x:f>
        <x:v>0</x:v>
      </x:c>
      <x:c r="M25" s="97" t="n">
        <x:v>0</x:v>
      </x:c>
      <x:c r="N25" s="100" t="n">
        <x:f>SUM(H25:M25)</x:f>
        <x:v>79200</x:v>
      </x:c>
      <x:c r="O25" s="100" t="n">
        <x:f>C25+G25-N25</x:f>
        <x:v>2195649.656976572</x:v>
      </x:c>
      <x:c r="P25" s="100" t="n">
        <x:f>P24</x:f>
        <x:v>400000</x:v>
      </x:c>
      <x:c r="Q25" s="100" t="n">
        <x:f>O25-P25</x:f>
        <x:v>1795649.6569765718</x:v>
      </x:c>
      <x:c r="R25" s="67" t="str">
        <x:f>IF(Q25&gt;=0,"安全","缺口")</x:f>
        <x:v>安全</x:v>
      </x:c>
      <x:c r="S25" s="67" t="str"/>
    </x:row>
    <x:row r="26">
      <x:c r="A26" s="73" t="n">
        <x:v>46231.5</x:v>
      </x:c>
      <x:c r="B26" s="67" t="str">
        <x:v>预测</x:v>
      </x:c>
      <x:c r="C26" s="100" t="n">
        <x:f>O25</x:f>
        <x:v>2195649.656976572</x:v>
      </x:c>
      <x:c r="D26" s="109" t="n">
        <x:f>IF(B26="实际",SUMIFS('支付资金账单'!$M$5:$M$228,'支付资金账单'!$C$5:$C$228,A26),SUM('月度损益'!$I$5:$I$12)*'封面与口径'!$I$6/30)</x:f>
        <x:v>58299.20493257142</x:v>
      </x:c>
      <x:c r="E26" s="109" t="n">
        <x:f>IF(B26="实际",SUMIFS('外卖结算'!$S$5:$S$172,'外卖结算'!$C$5:$C$172,A26),SUM('外卖结算'!$S$5:$S$172)/7)</x:f>
        <x:v>5041.54935714286</x:v>
      </x:c>
      <x:c r="F26" s="97" t="n">
        <x:v>0</x:v>
      </x:c>
      <x:c r="G26" s="100" t="n">
        <x:f>SUM(D26:F26)</x:f>
        <x:v>63340.75428971428</x:v>
      </x:c>
      <x:c r="H26" s="109" t="n">
        <x:f>SUMIFS('供应商应付'!$M$5:$M$52,'供应商应付'!$C$5:$C$52,A26)</x:f>
        <x:v>0</x:v>
      </x:c>
      <x:c r="I26" s="109" t="n">
        <x:v>0</x:v>
      </x:c>
      <x:c r="J26" s="109" t="n">
        <x:f>SUMIFS('固定费用月表'!$H$5:$H$76,'固定费用月表'!$K$5:$K$76,A26,'固定费用月表'!$E$5:$E$76,"房租与物业")</x:f>
        <x:v>0</x:v>
      </x:c>
      <x:c r="K26" s="109" t="n">
        <x:f>SUMIFS('固定费用月表'!$H$5:$H$76,'固定费用月表'!$K$5:$K$76,A26,'固定费用月表'!$E$5:$E$76,"税费及附加")</x:f>
        <x:v>0</x:v>
      </x:c>
      <x:c r="L26" s="109" t="n">
        <x:f>SUMIFS('固定费用月表'!$H$5:$H$76,'固定费用月表'!$K$5:$K$76,A26,'固定费用月表'!$J$5:$J$76,"现金")-J26-K26</x:f>
        <x:v>36014</x:v>
      </x:c>
      <x:c r="M26" s="97" t="n">
        <x:v>0</x:v>
      </x:c>
      <x:c r="N26" s="100" t="n">
        <x:f>SUM(H26:M26)</x:f>
        <x:v>36014</x:v>
      </x:c>
      <x:c r="O26" s="100" t="n">
        <x:f>C26+G26-N26</x:f>
        <x:v>2222976.411266286</x:v>
      </x:c>
      <x:c r="P26" s="100" t="n">
        <x:f>P25</x:f>
        <x:v>400000</x:v>
      </x:c>
      <x:c r="Q26" s="100" t="n">
        <x:f>O26-P26</x:f>
        <x:v>1822976.411266286</x:v>
      </x:c>
      <x:c r="R26" s="67" t="str">
        <x:f>IF(Q26&gt;=0,"安全","缺口")</x:f>
        <x:v>安全</x:v>
      </x:c>
      <x:c r="S26" s="67" t="str"/>
    </x:row>
    <x:row r="27">
      <x:c r="A27" s="73" t="n">
        <x:v>46232.5</x:v>
      </x:c>
      <x:c r="B27" s="67" t="str">
        <x:v>预测</x:v>
      </x:c>
      <x:c r="C27" s="100" t="n">
        <x:f>O26</x:f>
        <x:v>2222976.411266286</x:v>
      </x:c>
      <x:c r="D27" s="109" t="n">
        <x:f>IF(B27="实际",SUMIFS('支付资金账单'!$M$5:$M$228,'支付资金账单'!$C$5:$C$228,A27),SUM('月度损益'!$I$5:$I$12)*'封面与口径'!$I$6/30)</x:f>
        <x:v>58299.20493257142</x:v>
      </x:c>
      <x:c r="E27" s="109" t="n">
        <x:f>IF(B27="实际",SUMIFS('外卖结算'!$S$5:$S$172,'外卖结算'!$C$5:$C$172,A27),SUM('外卖结算'!$S$5:$S$172)/7)</x:f>
        <x:v>5041.54935714286</x:v>
      </x:c>
      <x:c r="F27" s="97" t="n">
        <x:v>0</x:v>
      </x:c>
      <x:c r="G27" s="100" t="n">
        <x:f>SUM(D27:F27)</x:f>
        <x:v>63340.75428971428</x:v>
      </x:c>
      <x:c r="H27" s="109" t="n">
        <x:f>SUMIFS('供应商应付'!$M$5:$M$52,'供应商应付'!$C$5:$C$52,A27)</x:f>
        <x:v>0</x:v>
      </x:c>
      <x:c r="I27" s="109" t="n">
        <x:v>0</x:v>
      </x:c>
      <x:c r="J27" s="109" t="n">
        <x:f>SUMIFS('固定费用月表'!$H$5:$H$76,'固定费用月表'!$K$5:$K$76,A27,'固定费用月表'!$E$5:$E$76,"房租与物业")</x:f>
        <x:v>0</x:v>
      </x:c>
      <x:c r="K27" s="109" t="n">
        <x:f>SUMIFS('固定费用月表'!$H$5:$H$76,'固定费用月表'!$K$5:$K$76,A27,'固定费用月表'!$E$5:$E$76,"税费及附加")</x:f>
        <x:v>0</x:v>
      </x:c>
      <x:c r="L27" s="109" t="n">
        <x:f>SUMIFS('固定费用月表'!$H$5:$H$76,'固定费用月表'!$K$5:$K$76,A27,'固定费用月表'!$J$5:$J$76,"现金")-J27-K27</x:f>
        <x:v>0</x:v>
      </x:c>
      <x:c r="M27" s="97" t="n">
        <x:v>0</x:v>
      </x:c>
      <x:c r="N27" s="100" t="n">
        <x:f>SUM(H27:M27)</x:f>
        <x:v>0</x:v>
      </x:c>
      <x:c r="O27" s="100" t="n">
        <x:f>C27+G27-N27</x:f>
        <x:v>2286317.165556</x:v>
      </x:c>
      <x:c r="P27" s="100" t="n">
        <x:f>P26</x:f>
        <x:v>400000</x:v>
      </x:c>
      <x:c r="Q27" s="100" t="n">
        <x:f>O27-P27</x:f>
        <x:v>1886317.165556</x:v>
      </x:c>
      <x:c r="R27" s="67" t="str">
        <x:f>IF(Q27&gt;=0,"安全","缺口")</x:f>
        <x:v>安全</x:v>
      </x:c>
      <x:c r="S27" s="67" t="str"/>
    </x:row>
    <x:row r="28">
      <x:c r="A28" s="73" t="n">
        <x:v>46233.5</x:v>
      </x:c>
      <x:c r="B28" s="67" t="str">
        <x:v>预测</x:v>
      </x:c>
      <x:c r="C28" s="100" t="n">
        <x:f>O27</x:f>
        <x:v>2286317.165556</x:v>
      </x:c>
      <x:c r="D28" s="109" t="n">
        <x:f>IF(B28="实际",SUMIFS('支付资金账单'!$M$5:$M$228,'支付资金账单'!$C$5:$C$228,A28),SUM('月度损益'!$I$5:$I$12)*'封面与口径'!$I$6/30)</x:f>
        <x:v>58299.20493257142</x:v>
      </x:c>
      <x:c r="E28" s="109" t="n">
        <x:f>IF(B28="实际",SUMIFS('外卖结算'!$S$5:$S$172,'外卖结算'!$C$5:$C$172,A28),SUM('外卖结算'!$S$5:$S$172)/7)</x:f>
        <x:v>5041.54935714286</x:v>
      </x:c>
      <x:c r="F28" s="97" t="n">
        <x:v>0</x:v>
      </x:c>
      <x:c r="G28" s="100" t="n">
        <x:f>SUM(D28:F28)</x:f>
        <x:v>63340.75428971428</x:v>
      </x:c>
      <x:c r="H28" s="109" t="n">
        <x:f>SUMIFS('供应商应付'!$M$5:$M$52,'供应商应付'!$C$5:$C$52,A28)</x:f>
        <x:v>0</x:v>
      </x:c>
      <x:c r="I28" s="109" t="n">
        <x:v>0</x:v>
      </x:c>
      <x:c r="J28" s="109" t="n">
        <x:f>SUMIFS('固定费用月表'!$H$5:$H$76,'固定费用月表'!$K$5:$K$76,A28,'固定费用月表'!$E$5:$E$76,"房租与物业")</x:f>
        <x:v>0</x:v>
      </x:c>
      <x:c r="K28" s="109" t="n">
        <x:f>SUMIFS('固定费用月表'!$H$5:$H$76,'固定费用月表'!$K$5:$K$76,A28,'固定费用月表'!$E$5:$E$76,"税费及附加")</x:f>
        <x:v>0</x:v>
      </x:c>
      <x:c r="L28" s="109" t="n">
        <x:f>SUMIFS('固定费用月表'!$H$5:$H$76,'固定费用月表'!$K$5:$K$76,A28,'固定费用月表'!$J$5:$J$76,"现金")-J28-K28</x:f>
        <x:v>16013</x:v>
      </x:c>
      <x:c r="M28" s="97" t="n">
        <x:v>0</x:v>
      </x:c>
      <x:c r="N28" s="100" t="n">
        <x:f>SUM(H28:M28)</x:f>
        <x:v>16013</x:v>
      </x:c>
      <x:c r="O28" s="100" t="n">
        <x:f>C28+G28-N28</x:f>
        <x:v>2333644.9198457142</x:v>
      </x:c>
      <x:c r="P28" s="100" t="n">
        <x:f>P27</x:f>
        <x:v>400000</x:v>
      </x:c>
      <x:c r="Q28" s="100" t="n">
        <x:f>O28-P28</x:f>
        <x:v>1933644.9198457142</x:v>
      </x:c>
      <x:c r="R28" s="67" t="str">
        <x:f>IF(Q28&gt;=0,"安全","缺口")</x:f>
        <x:v>安全</x:v>
      </x:c>
      <x:c r="S28" s="67" t="str"/>
    </x:row>
    <x:row r="29">
      <x:c r="A29" s="73" t="n">
        <x:v>46234.5</x:v>
      </x:c>
      <x:c r="B29" s="67" t="str">
        <x:v>预测</x:v>
      </x:c>
      <x:c r="C29" s="100" t="n">
        <x:f>O28</x:f>
        <x:v>2333644.9198457142</x:v>
      </x:c>
      <x:c r="D29" s="109" t="n">
        <x:f>IF(B29="实际",SUMIFS('支付资金账单'!$M$5:$M$228,'支付资金账单'!$C$5:$C$228,A29),SUM('月度损益'!$I$5:$I$12)*'封面与口径'!$I$6/30)</x:f>
        <x:v>58299.20493257142</x:v>
      </x:c>
      <x:c r="E29" s="109" t="n">
        <x:f>IF(B29="实际",SUMIFS('外卖结算'!$S$5:$S$172,'外卖结算'!$C$5:$C$172,A29),SUM('外卖结算'!$S$5:$S$172)/7)</x:f>
        <x:v>5041.54935714286</x:v>
      </x:c>
      <x:c r="F29" s="97" t="n">
        <x:v>0</x:v>
      </x:c>
      <x:c r="G29" s="100" t="n">
        <x:f>SUM(D29:F29)</x:f>
        <x:v>63340.75428971428</x:v>
      </x:c>
      <x:c r="H29" s="109" t="n">
        <x:f>SUMIFS('供应商应付'!$M$5:$M$52,'供应商应付'!$C$5:$C$52,A29)</x:f>
        <x:v>92400</x:v>
      </x:c>
      <x:c r="I29" s="109" t="n">
        <x:f>SUM('月度损益'!$P$5:$P$12)</x:f>
        <x:v>458580.8035714285</x:v>
      </x:c>
      <x:c r="J29" s="109" t="n">
        <x:f>SUMIFS('固定费用月表'!$H$5:$H$76,'固定费用月表'!$K$5:$K$76,A29,'固定费用月表'!$E$5:$E$76,"房租与物业")</x:f>
        <x:v>0</x:v>
      </x:c>
      <x:c r="K29" s="109" t="n">
        <x:f>SUMIFS('固定费用月表'!$H$5:$H$76,'固定费用月表'!$K$5:$K$76,A29,'固定费用月表'!$E$5:$E$76,"税费及附加")</x:f>
        <x:v>0</x:v>
      </x:c>
      <x:c r="L29" s="109" t="n">
        <x:f>SUMIFS('固定费用月表'!$H$5:$H$76,'固定费用月表'!$K$5:$K$76,A29,'固定费用月表'!$J$5:$J$76,"现金")-J29-K29</x:f>
        <x:v>48082</x:v>
      </x:c>
      <x:c r="M29" s="97" t="n">
        <x:v>0</x:v>
      </x:c>
      <x:c r="N29" s="100" t="n">
        <x:f>SUM(H29:M29)</x:f>
        <x:v>599062.8035714285</x:v>
      </x:c>
      <x:c r="O29" s="100" t="n">
        <x:f>C29+G29-N29</x:f>
        <x:v>1797922.8705639997</x:v>
      </x:c>
      <x:c r="P29" s="100" t="n">
        <x:f>P28</x:f>
        <x:v>400000</x:v>
      </x:c>
      <x:c r="Q29" s="100" t="n">
        <x:f>O29-P29</x:f>
        <x:v>1397922.8705639997</x:v>
      </x:c>
      <x:c r="R29" s="67" t="str">
        <x:f>IF(Q29&gt;=0,"安全","缺口")</x:f>
        <x:v>安全</x:v>
      </x:c>
      <x:c r="S29" s="67" t="str">
        <x:v>月末发薪</x:v>
      </x:c>
    </x:row>
    <x:row r="30">
      <x:c r="A30" s="73" t="n">
        <x:v>46235.5</x:v>
      </x:c>
      <x:c r="B30" s="67" t="str">
        <x:v>预测</x:v>
      </x:c>
      <x:c r="C30" s="100" t="n">
        <x:f>O29</x:f>
        <x:v>1797922.8705639997</x:v>
      </x:c>
      <x:c r="D30" s="109" t="n">
        <x:f>IF(B30="实际",SUMIFS('支付资金账单'!$M$5:$M$228,'支付资金账单'!$C$5:$C$228,A30),SUM('月度损益'!$I$5:$I$12)*'封面与口径'!$I$6/30)</x:f>
        <x:v>58299.20493257142</x:v>
      </x:c>
      <x:c r="E30" s="109" t="n">
        <x:f>IF(B30="实际",SUMIFS('外卖结算'!$S$5:$S$172,'外卖结算'!$C$5:$C$172,A30),SUM('外卖结算'!$S$5:$S$172)/7)</x:f>
        <x:v>5041.54935714286</x:v>
      </x:c>
      <x:c r="F30" s="97" t="n">
        <x:v>0</x:v>
      </x:c>
      <x:c r="G30" s="100" t="n">
        <x:f>SUM(D30:F30)</x:f>
        <x:v>63340.75428971428</x:v>
      </x:c>
      <x:c r="H30" s="109" t="n">
        <x:f>SUMIFS('供应商应付'!$M$5:$M$52,'供应商应付'!$C$5:$C$52,A30)</x:f>
        <x:v>0</x:v>
      </x:c>
      <x:c r="I30" s="109" t="n">
        <x:v>0</x:v>
      </x:c>
      <x:c r="J30" s="109" t="n">
        <x:f>SUMIFS('固定费用月表'!$H$5:$H$76,'固定费用月表'!$K$5:$K$76,A30,'固定费用月表'!$E$5:$E$76,"房租与物业")</x:f>
        <x:v>0</x:v>
      </x:c>
      <x:c r="K30" s="109" t="n">
        <x:f>SUMIFS('固定费用月表'!$H$5:$H$76,'固定费用月表'!$K$5:$K$76,A30,'固定费用月表'!$E$5:$E$76,"税费及附加")</x:f>
        <x:v>0</x:v>
      </x:c>
      <x:c r="L30" s="109" t="n">
        <x:f>SUMIFS('固定费用月表'!$H$5:$H$76,'固定费用月表'!$K$5:$K$76,A30,'固定费用月表'!$J$5:$J$76,"现金")-J30-K30</x:f>
        <x:v>0</x:v>
      </x:c>
      <x:c r="M30" s="97" t="n">
        <x:v>0</x:v>
      </x:c>
      <x:c r="N30" s="100" t="n">
        <x:f>SUM(H30:M30)</x:f>
        <x:v>0</x:v>
      </x:c>
      <x:c r="O30" s="100" t="n">
        <x:f>C30+G30-N30</x:f>
        <x:v>1861263.6248537141</x:v>
      </x:c>
      <x:c r="P30" s="100" t="n">
        <x:f>P29</x:f>
        <x:v>400000</x:v>
      </x:c>
      <x:c r="Q30" s="100" t="n">
        <x:f>O30-P30</x:f>
        <x:v>1461263.6248537141</x:v>
      </x:c>
      <x:c r="R30" s="67" t="str">
        <x:f>IF(Q30&gt;=0,"安全","缺口")</x:f>
        <x:v>安全</x:v>
      </x:c>
      <x:c r="S30" s="67" t="str"/>
    </x:row>
    <x:row r="31">
      <x:c r="A31" s="73" t="n">
        <x:v>46236.5</x:v>
      </x:c>
      <x:c r="B31" s="67" t="str">
        <x:v>预测</x:v>
      </x:c>
      <x:c r="C31" s="100" t="n">
        <x:f>O30</x:f>
        <x:v>1861263.6248537141</x:v>
      </x:c>
      <x:c r="D31" s="109" t="n">
        <x:f>IF(B31="实际",SUMIFS('支付资金账单'!$M$5:$M$228,'支付资金账单'!$C$5:$C$228,A31),SUM('月度损益'!$I$5:$I$12)*'封面与口径'!$I$6/30)</x:f>
        <x:v>58299.20493257142</x:v>
      </x:c>
      <x:c r="E31" s="109" t="n">
        <x:f>IF(B31="实际",SUMIFS('外卖结算'!$S$5:$S$172,'外卖结算'!$C$5:$C$172,A31),SUM('外卖结算'!$S$5:$S$172)/7)</x:f>
        <x:v>5041.54935714286</x:v>
      </x:c>
      <x:c r="F31" s="97" t="n">
        <x:v>0</x:v>
      </x:c>
      <x:c r="G31" s="100" t="n">
        <x:f>SUM(D31:F31)</x:f>
        <x:v>63340.75428971428</x:v>
      </x:c>
      <x:c r="H31" s="109" t="n">
        <x:f>SUMIFS('供应商应付'!$M$5:$M$52,'供应商应付'!$C$5:$C$52,A31)</x:f>
        <x:v>0</x:v>
      </x:c>
      <x:c r="I31" s="109" t="n">
        <x:v>0</x:v>
      </x:c>
      <x:c r="J31" s="109" t="n">
        <x:f>SUMIFS('固定费用月表'!$H$5:$H$76,'固定费用月表'!$K$5:$K$76,A31,'固定费用月表'!$E$5:$E$76,"房租与物业")</x:f>
        <x:v>0</x:v>
      </x:c>
      <x:c r="K31" s="109" t="n">
        <x:f>SUMIFS('固定费用月表'!$H$5:$H$76,'固定费用月表'!$K$5:$K$76,A31,'固定费用月表'!$E$5:$E$76,"税费及附加")</x:f>
        <x:v>0</x:v>
      </x:c>
      <x:c r="L31" s="109" t="n">
        <x:f>SUMIFS('固定费用月表'!$H$5:$H$76,'固定费用月表'!$K$5:$K$76,A31,'固定费用月表'!$J$5:$J$76,"现金")-J31-K31</x:f>
        <x:v>0</x:v>
      </x:c>
      <x:c r="M31" s="97" t="n">
        <x:v>0</x:v>
      </x:c>
      <x:c r="N31" s="100" t="n">
        <x:f>SUM(H31:M31)</x:f>
        <x:v>0</x:v>
      </x:c>
      <x:c r="O31" s="100" t="n">
        <x:f>C31+G31-N31</x:f>
        <x:v>1924604.3791434285</x:v>
      </x:c>
      <x:c r="P31" s="100" t="n">
        <x:f>P30</x:f>
        <x:v>400000</x:v>
      </x:c>
      <x:c r="Q31" s="100" t="n">
        <x:f>O31-P31</x:f>
        <x:v>1524604.3791434285</x:v>
      </x:c>
      <x:c r="R31" s="67" t="str">
        <x:f>IF(Q31&gt;=0,"安全","缺口")</x:f>
        <x:v>安全</x:v>
      </x:c>
      <x:c r="S31" s="67" t="str"/>
    </x:row>
    <x:row r="32">
      <x:c r="A32" s="73" t="n">
        <x:v>46237.5</x:v>
      </x:c>
      <x:c r="B32" s="67" t="str">
        <x:v>预测</x:v>
      </x:c>
      <x:c r="C32" s="100" t="n">
        <x:f>O31</x:f>
        <x:v>1924604.3791434285</x:v>
      </x:c>
      <x:c r="D32" s="109" t="n">
        <x:f>IF(B32="实际",SUMIFS('支付资金账单'!$M$5:$M$228,'支付资金账单'!$C$5:$C$228,A32),SUM('月度损益'!$I$5:$I$12)*'封面与口径'!$I$6/30)</x:f>
        <x:v>58299.20493257142</x:v>
      </x:c>
      <x:c r="E32" s="109" t="n">
        <x:f>IF(B32="实际",SUMIFS('外卖结算'!$S$5:$S$172,'外卖结算'!$C$5:$C$172,A32),SUM('外卖结算'!$S$5:$S$172)/7)</x:f>
        <x:v>5041.54935714286</x:v>
      </x:c>
      <x:c r="F32" s="97" t="n">
        <x:v>0</x:v>
      </x:c>
      <x:c r="G32" s="100" t="n">
        <x:f>SUM(D32:F32)</x:f>
        <x:v>63340.75428971428</x:v>
      </x:c>
      <x:c r="H32" s="109" t="n">
        <x:f>SUMIFS('供应商应付'!$M$5:$M$52,'供应商应付'!$C$5:$C$52,A32)</x:f>
        <x:v>0</x:v>
      </x:c>
      <x:c r="I32" s="109" t="n">
        <x:v>0</x:v>
      </x:c>
      <x:c r="J32" s="109" t="n">
        <x:f>SUMIFS('固定费用月表'!$H$5:$H$76,'固定费用月表'!$K$5:$K$76,A32,'固定费用月表'!$E$5:$E$76,"房租与物业")</x:f>
        <x:v>0</x:v>
      </x:c>
      <x:c r="K32" s="109" t="n">
        <x:f>SUMIFS('固定费用月表'!$H$5:$H$76,'固定费用月表'!$K$5:$K$76,A32,'固定费用月表'!$E$5:$E$76,"税费及附加")</x:f>
        <x:v>0</x:v>
      </x:c>
      <x:c r="L32" s="109" t="n">
        <x:f>SUMIFS('固定费用月表'!$H$5:$H$76,'固定费用月表'!$K$5:$K$76,A32,'固定费用月表'!$J$5:$J$76,"现金")-J32-K32</x:f>
        <x:v>0</x:v>
      </x:c>
      <x:c r="M32" s="97" t="n">
        <x:v>0</x:v>
      </x:c>
      <x:c r="N32" s="100" t="n">
        <x:f>SUM(H32:M32)</x:f>
        <x:v>0</x:v>
      </x:c>
      <x:c r="O32" s="100" t="n">
        <x:f>C32+G32-N32</x:f>
        <x:v>1987945.133433143</x:v>
      </x:c>
      <x:c r="P32" s="100" t="n">
        <x:f>P31</x:f>
        <x:v>400000</x:v>
      </x:c>
      <x:c r="Q32" s="100" t="n">
        <x:f>O32-P32</x:f>
        <x:v>1587945.133433143</x:v>
      </x:c>
      <x:c r="R32" s="67" t="str">
        <x:f>IF(Q32&gt;=0,"安全","缺口")</x:f>
        <x:v>安全</x:v>
      </x:c>
      <x:c r="S32" s="67" t="str"/>
    </x:row>
    <x:row r="33">
      <x:c r="A33" s="73" t="n">
        <x:v>46238.5</x:v>
      </x:c>
      <x:c r="B33" s="67" t="str">
        <x:v>预测</x:v>
      </x:c>
      <x:c r="C33" s="100" t="n">
        <x:f>O32</x:f>
        <x:v>1987945.133433143</x:v>
      </x:c>
      <x:c r="D33" s="109" t="n">
        <x:f>IF(B33="实际",SUMIFS('支付资金账单'!$M$5:$M$228,'支付资金账单'!$C$5:$C$228,A33),SUM('月度损益'!$I$5:$I$12)*'封面与口径'!$I$6/30)</x:f>
        <x:v>58299.20493257142</x:v>
      </x:c>
      <x:c r="E33" s="109" t="n">
        <x:f>IF(B33="实际",SUMIFS('外卖结算'!$S$5:$S$172,'外卖结算'!$C$5:$C$172,A33),SUM('外卖结算'!$S$5:$S$172)/7)</x:f>
        <x:v>5041.54935714286</x:v>
      </x:c>
      <x:c r="F33" s="97" t="n">
        <x:v>0</x:v>
      </x:c>
      <x:c r="G33" s="100" t="n">
        <x:f>SUM(D33:F33)</x:f>
        <x:v>63340.75428971428</x:v>
      </x:c>
      <x:c r="H33" s="109" t="n">
        <x:f>SUMIFS('供应商应付'!$M$5:$M$52,'供应商应付'!$C$5:$C$52,A33)</x:f>
        <x:v>0</x:v>
      </x:c>
      <x:c r="I33" s="109" t="n">
        <x:v>0</x:v>
      </x:c>
      <x:c r="J33" s="109" t="n">
        <x:f>SUMIFS('固定费用月表'!$H$5:$H$76,'固定费用月表'!$K$5:$K$76,A33,'固定费用月表'!$E$5:$E$76,"房租与物业")</x:f>
        <x:v>0</x:v>
      </x:c>
      <x:c r="K33" s="109" t="n">
        <x:f>SUMIFS('固定费用月表'!$H$5:$H$76,'固定费用月表'!$K$5:$K$76,A33,'固定费用月表'!$E$5:$E$76,"税费及附加")</x:f>
        <x:v>0</x:v>
      </x:c>
      <x:c r="L33" s="109" t="n">
        <x:f>SUMIFS('固定费用月表'!$H$5:$H$76,'固定费用月表'!$K$5:$K$76,A33,'固定费用月表'!$J$5:$J$76,"现金")-J33-K33</x:f>
        <x:v>0</x:v>
      </x:c>
      <x:c r="M33" s="97" t="n">
        <x:v>0</x:v>
      </x:c>
      <x:c r="N33" s="100" t="n">
        <x:f>SUM(H33:M33)</x:f>
        <x:v>0</x:v>
      </x:c>
      <x:c r="O33" s="100" t="n">
        <x:f>C33+G33-N33</x:f>
        <x:v>2051285.8877228573</x:v>
      </x:c>
      <x:c r="P33" s="100" t="n">
        <x:f>P32</x:f>
        <x:v>400000</x:v>
      </x:c>
      <x:c r="Q33" s="100" t="n">
        <x:f>O33-P33</x:f>
        <x:v>1651285.8877228573</x:v>
      </x:c>
      <x:c r="R33" s="67" t="str">
        <x:f>IF(Q33&gt;=0,"安全","缺口")</x:f>
        <x:v>安全</x:v>
      </x:c>
      <x:c r="S33" s="67" t="str"/>
    </x:row>
    <x:row r="34">
      <x:c r="A34" s="74" t="n">
        <x:v>46239.5</x:v>
      </x:c>
      <x:c r="B34" s="68" t="str">
        <x:v>预测</x:v>
      </x:c>
      <x:c r="C34" s="101" t="n">
        <x:f>O33</x:f>
        <x:v>2051285.8877228573</x:v>
      </x:c>
      <x:c r="D34" s="114" t="n">
        <x:f>IF(B34="实际",SUMIFS('支付资金账单'!$M$5:$M$228,'支付资金账单'!$C$5:$C$228,A34),SUM('月度损益'!$I$5:$I$12)*'封面与口径'!$I$6/30)</x:f>
        <x:v>58299.20493257142</x:v>
      </x:c>
      <x:c r="E34" s="114" t="n">
        <x:f>IF(B34="实际",SUMIFS('外卖结算'!$S$5:$S$172,'外卖结算'!$C$5:$C$172,A34),SUM('外卖结算'!$S$5:$S$172)/7)</x:f>
        <x:v>5041.54935714286</x:v>
      </x:c>
      <x:c r="F34" s="98" t="n">
        <x:v>0</x:v>
      </x:c>
      <x:c r="G34" s="101" t="n">
        <x:f>SUM(D34:F34)</x:f>
        <x:v>63340.75428971428</x:v>
      </x:c>
      <x:c r="H34" s="114" t="n">
        <x:f>SUMIFS('供应商应付'!$M$5:$M$52,'供应商应付'!$C$5:$C$52,A34)</x:f>
        <x:v>52800</x:v>
      </x:c>
      <x:c r="I34" s="114" t="n">
        <x:v>0</x:v>
      </x:c>
      <x:c r="J34" s="114" t="n">
        <x:f>SUMIFS('固定费用月表'!$H$5:$H$76,'固定费用月表'!$K$5:$K$76,A34,'固定费用月表'!$E$5:$E$76,"房租与物业")</x:f>
        <x:v>280000</x:v>
      </x:c>
      <x:c r="K34" s="114" t="n">
        <x:f>SUMIFS('固定费用月表'!$H$5:$H$76,'固定费用月表'!$K$5:$K$76,A34,'固定费用月表'!$E$5:$E$76,"税费及附加")</x:f>
        <x:v>0</x:v>
      </x:c>
      <x:c r="L34" s="114" t="n">
        <x:f>SUMIFS('固定费用月表'!$H$5:$H$76,'固定费用月表'!$K$5:$K$76,A34,'固定费用月表'!$J$5:$J$76,"现金")-J34-K34</x:f>
        <x:v>0</x:v>
      </x:c>
      <x:c r="M34" s="98" t="n">
        <x:v>0</x:v>
      </x:c>
      <x:c r="N34" s="101" t="n">
        <x:f>SUM(H34:M34)</x:f>
        <x:v>332800</x:v>
      </x:c>
      <x:c r="O34" s="101" t="n">
        <x:f>C34+G34-N34</x:f>
        <x:v>1781826.6420125715</x:v>
      </x:c>
      <x:c r="P34" s="101" t="n">
        <x:f>P33</x:f>
        <x:v>400000</x:v>
      </x:c>
      <x:c r="Q34" s="101" t="n">
        <x:f>O34-P34</x:f>
        <x:v>1381826.6420125715</x:v>
      </x:c>
      <x:c r="R34" s="68" t="str">
        <x:f>IF(Q34&gt;=0,"安全","缺口")</x:f>
        <x:v>安全</x:v>
      </x:c>
      <x:c r="S34" s="68" t="str">
        <x:v>下月房租物业付款</x:v>
      </x:c>
    </x:row>
  </x:sheetData>
  <x:mergeCells>
    <x:mergeCell ref="A1:S1"/>
    <x:mergeCell ref="A2:S2"/>
  </x:mergeCells>
  <x:conditionalFormatting sqref="R5:R34">
    <x:cfRule type="containsText" dxfId="37" priority="1" operator="containsText" text="正常"/>
    <x:cfRule type="containsText" dxfId="38" priority="2" operator="containsText" text="安全"/>
    <x:cfRule type="containsText" dxfId="39" priority="3" operator="containsText" text="已对账"/>
    <x:cfRule type="containsText" dxfId="40" priority="4" operator="containsText" text="已结清"/>
    <x:cfRule type="containsText" dxfId="41" priority="5" operator="containsText" text="亏损"/>
    <x:cfRule type="containsText" dxfId="42" priority="6" operator="containsText" text="缺口"/>
    <x:cfRule type="containsText" dxfId="43" priority="7" operator="containsText" text="待核对"/>
    <x:cfRule type="containsText" dxfId="44" priority="8" operator="containsText" text="逾期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9" width="8" hidden="0" customWidth="1"/>
    <x:col min="17" max="17" width="8" hidden="0" customWidth="1"/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8" max="8" width="10" hidden="0" customWidth="1"/>
    <x:col min="16" max="16" width="4" hidden="0" customWidth="1"/>
  </x:cols>
  <x:sheetData>
    <x:row r="1">
      <x:c r="A1" s="52" t="str">
        <x:v>新店投资与回收期模拟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</x:row>
    <x:row r="2">
      <x:c r="A2" s="56" t="str">
        <x:v>基准模型使用8店平均贡献率与现金固定支出；对乐观、基准、悲观三种稳态月销进行36个月现金流测试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</x:row>
    <x:row r="3">
      <x:c r="A3" s="119"/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  <x:c r="R3" s="119"/>
      <x:c r="S3" s="119"/>
      <x:c r="T3" s="119"/>
      <x:c r="U3" s="119"/>
      <x:c r="V3" s="119"/>
      <x:c r="W3" s="119"/>
    </x:row>
    <x:row r="4">
      <x:c r="A4" s="120" t="str">
        <x:v>投资与驱动假设</x:v>
      </x:c>
      <x:c r="B4" s="120" t="str">
        <x:v>值</x:v>
      </x:c>
      <x:c r="C4" s="120" t="str">
        <x:v>单位</x:v>
      </x:c>
      <x:c r="D4" s="120" t="str">
        <x:v>来源</x:v>
      </x:c>
      <x:c r="E4" s="119"/>
      <x:c r="F4" s="61" t="str">
        <x:v>情景</x:v>
      </x:c>
      <x:c r="G4" s="61" t="str">
        <x:v>稳态月销</x:v>
      </x:c>
      <x:c r="H4" s="61" t="str">
        <x:v>贡献率</x:v>
      </x:c>
      <x:c r="I4" s="61" t="str">
        <x:v>月现金固定支出</x:v>
      </x:c>
      <x:c r="J4" s="61" t="str">
        <x:v>稳态月现金结余</x:v>
      </x:c>
      <x:c r="K4" s="61" t="str">
        <x:v>静态回收(月)</x:v>
      </x:c>
      <x:c r="L4" s="61" t="str">
        <x:v>爬坡回收(月)</x:v>
      </x:c>
      <x:c r="M4" s="61" t="str">
        <x:v>判断</x:v>
      </x:c>
      <x:c r="N4" s="119"/>
      <x:c r="O4" s="119"/>
      <x:c r="P4" s="119"/>
      <x:c r="Q4" s="119"/>
      <x:c r="R4" s="119"/>
      <x:c r="S4" s="119"/>
      <x:c r="T4" s="119"/>
      <x:c r="U4" s="119"/>
      <x:c r="V4" s="119"/>
      <x:c r="W4" s="119"/>
    </x:row>
    <x:row r="5">
      <x:c r="A5" s="66" t="str">
        <x:v>装修</x:v>
      </x:c>
      <x:c r="B5" s="96" t="n">
        <x:v>300000</x:v>
      </x:c>
      <x:c r="C5" s="66" t="str">
        <x:v>元</x:v>
      </x:c>
      <x:c r="D5" s="66" t="str">
        <x:v>S-模拟</x:v>
      </x:c>
      <x:c r="E5" s="119"/>
      <x:c r="F5" s="66" t="str">
        <x:v>乐观</x:v>
      </x:c>
      <x:c r="G5" s="125" t="n">
        <x:v>280000</x:v>
      </x:c>
      <x:c r="H5" s="131" t="n">
        <x:f>$B$13</x:f>
        <x:v>0.6178443589428572</x:v>
      </x:c>
      <x:c r="I5" s="126" t="n">
        <x:f>$B$14</x:f>
        <x:v>120343.60044642857</x:v>
      </x:c>
      <x:c r="J5" s="126" t="n">
        <x:f>G5*H5-I5</x:f>
        <x:v>52652.82005757144</x:v>
      </x:c>
      <x:c r="K5" s="126" t="n">
        <x:f>IFERROR($B$11/J5,0)</x:f>
        <x:v>14.054327938956964</x:v>
      </x:c>
      <x:c r="L5" s="66" t="n">
        <x:f>IF(COUNTIF(G21:G57,"&lt;0")=ROWS(G21:G57),"&gt;36",COUNTIF(G21:G57,"&lt;0"))</x:f>
        <x:v>17</x:v>
      </x:c>
      <x:c r="M5" s="66" t="str">
        <x:f>IF(J5&lt;=0,"不建议",IF(L5="&gt;36","谨慎",IF(L5&lt;=24,"可推进","需审慎")))</x:f>
        <x:v>可推进</x:v>
      </x:c>
      <x:c r="N5" s="119"/>
      <x:c r="O5" s="119"/>
      <x:c r="P5" s="119"/>
      <x:c r="Q5" s="119"/>
      <x:c r="R5" s="119"/>
      <x:c r="S5" s="119"/>
      <x:c r="T5" s="119"/>
      <x:c r="U5" s="119"/>
      <x:c r="V5" s="119"/>
      <x:c r="W5" s="119"/>
    </x:row>
    <x:row r="6">
      <x:c r="A6" s="67" t="str">
        <x:v>炒菜机及厨房设备</x:v>
      </x:c>
      <x:c r="B6" s="97" t="n">
        <x:v>180000</x:v>
      </x:c>
      <x:c r="C6" s="67" t="str">
        <x:v>元</x:v>
      </x:c>
      <x:c r="D6" s="67" t="str">
        <x:v>S-模拟</x:v>
      </x:c>
      <x:c r="E6" s="119"/>
      <x:c r="F6" s="67" t="str">
        <x:v>基准</x:v>
      </x:c>
      <x:c r="G6" s="127" t="n">
        <x:v>250000</x:v>
      </x:c>
      <x:c r="H6" s="132" t="n">
        <x:f>$B$13</x:f>
        <x:v>0.6178443589428572</x:v>
      </x:c>
      <x:c r="I6" s="128" t="n">
        <x:f>$B$14</x:f>
        <x:v>120343.60044642857</x:v>
      </x:c>
      <x:c r="J6" s="128" t="n">
        <x:f>G6*H6-I6</x:f>
        <x:v>34117.48928928572</x:v>
      </x:c>
      <x:c r="K6" s="128" t="n">
        <x:f>IFERROR($B$11/J6,0)</x:f>
        <x:v>21.689755471906608</x:v>
      </x:c>
      <x:c r="L6" s="67" t="n">
        <x:f>IF(COUNTIF(O21:O57,"&lt;0")=ROWS(O21:O57),"&gt;36",COUNTIF(O21:O57,"&lt;0"))</x:f>
        <x:v>26</x:v>
      </x:c>
      <x:c r="M6" s="67" t="str">
        <x:f>IF(J6&lt;=0,"不建议",IF(L6="&gt;36","谨慎",IF(L6&lt;=24,"可推进","需审慎")))</x:f>
        <x:v>需审慎</x:v>
      </x:c>
      <x:c r="N6" s="119"/>
      <x:c r="O6" s="119"/>
      <x:c r="P6" s="119"/>
      <x:c r="Q6" s="119"/>
      <x:c r="R6" s="119"/>
      <x:c r="S6" s="119"/>
      <x:c r="T6" s="119"/>
      <x:c r="U6" s="119"/>
      <x:c r="V6" s="119"/>
      <x:c r="W6" s="119"/>
    </x:row>
    <x:row r="7">
      <x:c r="A7" s="67" t="str">
        <x:v>家具、POS与前厅设备</x:v>
      </x:c>
      <x:c r="B7" s="97" t="n">
        <x:v>40000</x:v>
      </x:c>
      <x:c r="C7" s="67" t="str">
        <x:v>元</x:v>
      </x:c>
      <x:c r="D7" s="67" t="str">
        <x:v>S-模拟</x:v>
      </x:c>
      <x:c r="E7" s="119"/>
      <x:c r="F7" s="68" t="str">
        <x:v>悲观</x:v>
      </x:c>
      <x:c r="G7" s="129" t="n">
        <x:v>210000</x:v>
      </x:c>
      <x:c r="H7" s="133" t="n">
        <x:f>$B$13</x:f>
        <x:v>0.6178443589428572</x:v>
      </x:c>
      <x:c r="I7" s="130" t="n">
        <x:f>$B$14</x:f>
        <x:v>120343.60044642857</x:v>
      </x:c>
      <x:c r="J7" s="130" t="n">
        <x:f>G7*H7-I7</x:f>
        <x:v>9403.714931571434</x:v>
      </x:c>
      <x:c r="K7" s="130" t="n">
        <x:f>IFERROR($B$11/J7,0)</x:f>
        <x:v>78.69230462480004</x:v>
      </x:c>
      <x:c r="L7" s="68" t="str">
        <x:f>IF(COUNTIF(W21:W57,"&lt;0")=ROWS(W21:W57),"&gt;36",COUNTIF(W21:W57,"&lt;0"))</x:f>
        <x:v>&gt;36</x:v>
      </x:c>
      <x:c r="M7" s="68" t="str">
        <x:f>IF(J7&lt;=0,"不建议",IF(L7="&gt;36","谨慎",IF(L7&lt;=24,"可推进","需审慎")))</x:f>
        <x:v>谨慎</x:v>
      </x:c>
      <x:c r="N7" s="119"/>
      <x:c r="O7" s="119"/>
      <x:c r="P7" s="119"/>
      <x:c r="Q7" s="119"/>
      <x:c r="R7" s="119"/>
      <x:c r="S7" s="119"/>
      <x:c r="T7" s="119"/>
      <x:c r="U7" s="119"/>
      <x:c r="V7" s="119"/>
      <x:c r="W7" s="119"/>
    </x:row>
    <x:row r="8">
      <x:c r="A8" s="67" t="str">
        <x:v>押金及前期租金</x:v>
      </x:c>
      <x:c r="B8" s="97" t="n">
        <x:v>105000</x:v>
      </x:c>
      <x:c r="C8" s="67" t="str">
        <x:v>元</x:v>
      </x:c>
      <x:c r="D8" s="67" t="str">
        <x:v>S-模拟</x:v>
      </x:c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  <x:c r="R8" s="119"/>
      <x:c r="S8" s="119"/>
      <x:c r="T8" s="119"/>
      <x:c r="U8" s="119"/>
      <x:c r="V8" s="119"/>
      <x:c r="W8" s="119"/>
    </x:row>
    <x:row r="9">
      <x:c r="A9" s="67" t="str">
        <x:v>开业物料、证照与培训</x:v>
      </x:c>
      <x:c r="B9" s="97" t="n">
        <x:v>35000</x:v>
      </x:c>
      <x:c r="C9" s="67" t="str">
        <x:v>元</x:v>
      </x:c>
      <x:c r="D9" s="67" t="str">
        <x:v>S-模拟</x:v>
      </x:c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  <x:c r="R9" s="119"/>
      <x:c r="S9" s="119"/>
      <x:c r="T9" s="119"/>
      <x:c r="U9" s="119"/>
      <x:c r="V9" s="119"/>
      <x:c r="W9" s="119"/>
    </x:row>
    <x:row r="10">
      <x:c r="A10" s="67" t="str">
        <x:v>启动营运资金</x:v>
      </x:c>
      <x:c r="B10" s="97" t="n">
        <x:v>80000</x:v>
      </x:c>
      <x:c r="C10" s="67" t="str">
        <x:v>元</x:v>
      </x:c>
      <x:c r="D10" s="67" t="str">
        <x:v>S-模拟</x:v>
      </x:c>
      <x:c r="E10" s="119"/>
      <x:c r="F10" s="119"/>
      <x:c r="G10" s="119"/>
      <x:c r="H10" s="119"/>
      <x:c r="I10" s="119"/>
      <x:c r="J10" s="119"/>
      <x:c r="K10" s="119"/>
      <x:c r="L10" s="119"/>
      <x:c r="M10" s="119"/>
      <x:c r="N10" s="119"/>
      <x:c r="O10" s="119"/>
      <x:c r="P10" s="119"/>
      <x:c r="Q10" s="119"/>
      <x:c r="R10" s="119"/>
      <x:c r="S10" s="119"/>
      <x:c r="T10" s="119"/>
      <x:c r="U10" s="119"/>
      <x:c r="V10" s="119"/>
      <x:c r="W10" s="119"/>
    </x:row>
    <x:row r="11">
      <x:c r="A11" s="67" t="str">
        <x:v>初始投入合计</x:v>
      </x:c>
      <x:c r="B11" s="100" t="n">
        <x:f>SUM(B5:B10)</x:f>
        <x:v>740000</x:v>
      </x:c>
      <x:c r="C11" s="67" t="str">
        <x:v>元</x:v>
      </x:c>
      <x:c r="D11" s="67" t="str">
        <x:v>C-计算</x:v>
      </x:c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  <x:c r="R11" s="119"/>
      <x:c r="S11" s="119"/>
      <x:c r="T11" s="119"/>
      <x:c r="U11" s="119"/>
      <x:c r="V11" s="119"/>
      <x:c r="W11" s="119"/>
    </x:row>
    <x:row r="12">
      <x:c r="A12" s="67"/>
      <x:c r="B12" s="100"/>
      <x:c r="C12" s="67"/>
      <x:c r="D12" s="67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  <x:c r="R12" s="119"/>
      <x:c r="S12" s="119"/>
      <x:c r="T12" s="119"/>
      <x:c r="U12" s="119"/>
      <x:c r="V12" s="119"/>
      <x:c r="W12" s="119"/>
    </x:row>
    <x:row r="13">
      <x:c r="A13" s="67" t="str">
        <x:v>8店平均变动贡献率</x:v>
      </x:c>
      <x:c r="B13" s="122" t="n">
        <x:f>'月度损益'!O13</x:f>
        <x:v>0.6178443589428572</x:v>
      </x:c>
      <x:c r="C13" s="67" t="str">
        <x:v>%</x:v>
      </x:c>
      <x:c r="D13" s="67" t="str">
        <x:v>C-月度损益</x:v>
      </x:c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  <x:c r="R13" s="119"/>
      <x:c r="S13" s="119"/>
      <x:c r="T13" s="119"/>
      <x:c r="U13" s="119"/>
      <x:c r="V13" s="119"/>
      <x:c r="W13" s="119"/>
    </x:row>
    <x:row r="14">
      <x:c r="A14" s="67" t="str">
        <x:v>8店平均月现金固定支出</x:v>
      </x:c>
      <x:c r="B14" s="109" t="n">
        <x:f>('月度损益'!P13+'月度损益'!Q13)/8</x:f>
        <x:v>120343.60044642857</x:v>
      </x:c>
      <x:c r="C14" s="67" t="str">
        <x:v>元/月</x:v>
      </x:c>
      <x:c r="D14" s="67" t="str">
        <x:v>C-月度损益</x:v>
      </x:c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  <x:c r="R14" s="119"/>
      <x:c r="S14" s="119"/>
      <x:c r="T14" s="119"/>
      <x:c r="U14" s="119"/>
      <x:c r="V14" s="119"/>
      <x:c r="W14" s="119"/>
    </x:row>
    <x:row r="15">
      <x:c r="A15" s="67" t="str">
        <x:v>第1月爬坡</x:v>
      </x:c>
      <x:c r="B15" s="123" t="n">
        <x:v>0.6</x:v>
      </x:c>
      <x:c r="C15" s="67" t="str">
        <x:v>%</x:v>
      </x:c>
      <x:c r="D15" s="67" t="str">
        <x:v>S-模拟</x:v>
      </x:c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  <x:c r="R15" s="119"/>
      <x:c r="S15" s="119"/>
      <x:c r="T15" s="119"/>
      <x:c r="U15" s="119"/>
      <x:c r="V15" s="119"/>
      <x:c r="W15" s="119"/>
    </x:row>
    <x:row r="16">
      <x:c r="A16" s="67" t="str">
        <x:v>第2月爬坡</x:v>
      </x:c>
      <x:c r="B16" s="123" t="n">
        <x:v>0.75</x:v>
      </x:c>
      <x:c r="C16" s="67" t="str">
        <x:v>%</x:v>
      </x:c>
      <x:c r="D16" s="67" t="str">
        <x:v>S-模拟</x:v>
      </x:c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  <x:c r="R16" s="119"/>
      <x:c r="S16" s="119"/>
      <x:c r="T16" s="119"/>
      <x:c r="U16" s="119"/>
      <x:c r="V16" s="119"/>
      <x:c r="W16" s="119"/>
    </x:row>
    <x:row r="17">
      <x:c r="A17" s="68" t="str">
        <x:v>第3月爬坡</x:v>
      </x:c>
      <x:c r="B17" s="124" t="n">
        <x:v>0.9</x:v>
      </x:c>
      <x:c r="C17" s="68" t="str">
        <x:v>%</x:v>
      </x:c>
      <x:c r="D17" s="68" t="str">
        <x:v>S-模拟</x:v>
      </x:c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  <x:c r="R17" s="119"/>
      <x:c r="S17" s="119"/>
      <x:c r="T17" s="119"/>
      <x:c r="U17" s="119"/>
      <x:c r="V17" s="119"/>
      <x:c r="W17" s="119"/>
    </x:row>
    <x:row r="18">
      <x:c r="A18" s="119"/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  <x:c r="R18" s="119"/>
      <x:c r="S18" s="119"/>
      <x:c r="T18" s="119"/>
      <x:c r="U18" s="119"/>
      <x:c r="V18" s="119"/>
      <x:c r="W18" s="119"/>
    </x:row>
    <x:row r="19">
      <x:c r="A19" s="52" t="str">
        <x:v>乐观情景累计现金流</x:v>
      </x:c>
      <x:c r="B19" s="52"/>
      <x:c r="C19" s="52"/>
      <x:c r="D19" s="52"/>
      <x:c r="E19" s="52"/>
      <x:c r="F19" s="52"/>
      <x:c r="G19" s="52"/>
      <x:c r="H19" s="119"/>
      <x:c r="I19" s="52" t="str">
        <x:v>基准情景累计现金流</x:v>
      </x:c>
      <x:c r="J19" s="52"/>
      <x:c r="K19" s="52"/>
      <x:c r="L19" s="52"/>
      <x:c r="M19" s="52"/>
      <x:c r="N19" s="52"/>
      <x:c r="O19" s="52"/>
      <x:c r="P19" s="119"/>
      <x:c r="Q19" s="52" t="str">
        <x:v>悲观情景累计现金流</x:v>
      </x:c>
      <x:c r="R19" s="52"/>
      <x:c r="S19" s="52"/>
      <x:c r="T19" s="52"/>
      <x:c r="U19" s="52"/>
      <x:c r="V19" s="52"/>
      <x:c r="W19" s="52"/>
    </x:row>
    <x:row r="20" ht="42" customHeight="1">
      <x:c r="A20" s="61" t="str">
        <x:v>月数</x:v>
      </x:c>
      <x:c r="B20" s="61" t="str">
        <x:v>营业额</x:v>
      </x:c>
      <x:c r="C20" s="61" t="str">
        <x:v>订单贡献</x:v>
      </x:c>
      <x:c r="D20" s="61" t="str">
        <x:v>现金固定支出</x:v>
      </x:c>
      <x:c r="E20" s="61" t="str">
        <x:v>初始投资/资本支出</x:v>
      </x:c>
      <x:c r="F20" s="61" t="str">
        <x:v>净现金流</x:v>
      </x:c>
      <x:c r="G20" s="61" t="str">
        <x:v>累计现金流</x:v>
      </x:c>
      <x:c r="H20" s="121"/>
      <x:c r="I20" s="61" t="str">
        <x:v>月数</x:v>
      </x:c>
      <x:c r="J20" s="61" t="str">
        <x:v>营业额</x:v>
      </x:c>
      <x:c r="K20" s="61" t="str">
        <x:v>订单贡献</x:v>
      </x:c>
      <x:c r="L20" s="61" t="str">
        <x:v>现金固定支出</x:v>
      </x:c>
      <x:c r="M20" s="61" t="str">
        <x:v>初始投资/资本支出</x:v>
      </x:c>
      <x:c r="N20" s="61" t="str">
        <x:v>净现金流</x:v>
      </x:c>
      <x:c r="O20" s="61" t="str">
        <x:v>累计现金流</x:v>
      </x:c>
      <x:c r="P20" s="121"/>
      <x:c r="Q20" s="61" t="str">
        <x:v>月数</x:v>
      </x:c>
      <x:c r="R20" s="61" t="str">
        <x:v>营业额</x:v>
      </x:c>
      <x:c r="S20" s="61" t="str">
        <x:v>订单贡献</x:v>
      </x:c>
      <x:c r="T20" s="61" t="str">
        <x:v>现金固定支出</x:v>
      </x:c>
      <x:c r="U20" s="61" t="str">
        <x:v>初始投资/资本支出</x:v>
      </x:c>
      <x:c r="V20" s="61" t="str">
        <x:v>净现金流</x:v>
      </x:c>
      <x:c r="W20" s="61" t="str">
        <x:v>累计现金流</x:v>
      </x:c>
    </x:row>
    <x:row r="21">
      <x:c r="A21" s="66" t="n">
        <x:v>0</x:v>
      </x:c>
      <x:c r="B21" s="99" t="n">
        <x:v>0</x:v>
      </x:c>
      <x:c r="C21" s="99" t="n">
        <x:v>0</x:v>
      </x:c>
      <x:c r="D21" s="99" t="n">
        <x:v>0</x:v>
      </x:c>
      <x:c r="E21" s="99" t="n">
        <x:f>-$B$11</x:f>
        <x:v>-740000</x:v>
      </x:c>
      <x:c r="F21" s="99" t="n">
        <x:f>E21</x:f>
        <x:v>-740000</x:v>
      </x:c>
      <x:c r="G21" s="99" t="n">
        <x:f>F21</x:f>
        <x:v>-740000</x:v>
      </x:c>
      <x:c r="H21" s="119"/>
      <x:c r="I21" s="66" t="n">
        <x:v>0</x:v>
      </x:c>
      <x:c r="J21" s="99" t="n">
        <x:v>0</x:v>
      </x:c>
      <x:c r="K21" s="99" t="n">
        <x:v>0</x:v>
      </x:c>
      <x:c r="L21" s="99" t="n">
        <x:v>0</x:v>
      </x:c>
      <x:c r="M21" s="99" t="n">
        <x:f>-$B$11</x:f>
        <x:v>-740000</x:v>
      </x:c>
      <x:c r="N21" s="99" t="n">
        <x:f>M21</x:f>
        <x:v>-740000</x:v>
      </x:c>
      <x:c r="O21" s="99" t="n">
        <x:f>N21</x:f>
        <x:v>-740000</x:v>
      </x:c>
      <x:c r="P21" s="119"/>
      <x:c r="Q21" s="66" t="n">
        <x:v>0</x:v>
      </x:c>
      <x:c r="R21" s="99" t="n">
        <x:v>0</x:v>
      </x:c>
      <x:c r="S21" s="99" t="n">
        <x:v>0</x:v>
      </x:c>
      <x:c r="T21" s="99" t="n">
        <x:v>0</x:v>
      </x:c>
      <x:c r="U21" s="99" t="n">
        <x:f>-$B$11</x:f>
        <x:v>-740000</x:v>
      </x:c>
      <x:c r="V21" s="99" t="n">
        <x:f>U21</x:f>
        <x:v>-740000</x:v>
      </x:c>
      <x:c r="W21" s="99" t="n">
        <x:f>V21</x:f>
        <x:v>-740000</x:v>
      </x:c>
    </x:row>
    <x:row r="22">
      <x:c r="A22" s="67" t="n">
        <x:v>1</x:v>
      </x:c>
      <x:c r="B22" s="100" t="n">
        <x:f>IF(A22=1,$G$5*$B$15,IF(A22=2,$G$5*$B$16,IF(A22=3,$G$5*$B$17,$G$5)))</x:f>
        <x:v>168000</x:v>
      </x:c>
      <x:c r="C22" s="100" t="n">
        <x:f>B22*$B$13</x:f>
        <x:v>103797.8523024</x:v>
      </x:c>
      <x:c r="D22" s="100" t="n">
        <x:f>$B$14</x:f>
        <x:v>120343.60044642857</x:v>
      </x:c>
      <x:c r="E22" s="100" t="n">
        <x:v>0</x:v>
      </x:c>
      <x:c r="F22" s="100" t="n">
        <x:f>C22-D22+E22</x:f>
        <x:v>-16545.748144028563</x:v>
      </x:c>
      <x:c r="G22" s="100" t="n">
        <x:f>G21+F22</x:f>
        <x:v>-756545.7481440286</x:v>
      </x:c>
      <x:c r="H22" s="119"/>
      <x:c r="I22" s="67" t="n">
        <x:v>1</x:v>
      </x:c>
      <x:c r="J22" s="100" t="n">
        <x:f>IF(I22=1,$G$6*$B$15,IF(I22=2,$G$6*$B$16,IF(I22=3,$G$6*$B$17,$G$6)))</x:f>
        <x:v>150000</x:v>
      </x:c>
      <x:c r="K22" s="100" t="n">
        <x:f>J22*$B$13</x:f>
        <x:v>92676.65384142858</x:v>
      </x:c>
      <x:c r="L22" s="100" t="n">
        <x:f>$B$14</x:f>
        <x:v>120343.60044642857</x:v>
      </x:c>
      <x:c r="M22" s="100" t="n">
        <x:v>0</x:v>
      </x:c>
      <x:c r="N22" s="100" t="n">
        <x:f>K22-L22+M22</x:f>
        <x:v>-27666.94660499999</x:v>
      </x:c>
      <x:c r="O22" s="100" t="n">
        <x:f>O21+N22</x:f>
        <x:v>-767666.946605</x:v>
      </x:c>
      <x:c r="P22" s="119"/>
      <x:c r="Q22" s="67" t="n">
        <x:v>1</x:v>
      </x:c>
      <x:c r="R22" s="100" t="n">
        <x:f>IF(Q22=1,$G$7*$B$15,IF(Q22=2,$G$7*$B$16,IF(Q22=3,$G$7*$B$17,$G$7)))</x:f>
        <x:v>126000</x:v>
      </x:c>
      <x:c r="S22" s="100" t="n">
        <x:f>R22*$B$13</x:f>
        <x:v>77848.3892268</x:v>
      </x:c>
      <x:c r="T22" s="100" t="n">
        <x:f>$B$14</x:f>
        <x:v>120343.60044642857</x:v>
      </x:c>
      <x:c r="U22" s="100" t="n">
        <x:v>0</x:v>
      </x:c>
      <x:c r="V22" s="100" t="n">
        <x:f>S22-T22+U22</x:f>
        <x:v>-42495.21121962856</x:v>
      </x:c>
      <x:c r="W22" s="100" t="n">
        <x:f>W21+V22</x:f>
        <x:v>-782495.2112196286</x:v>
      </x:c>
    </x:row>
    <x:row r="23">
      <x:c r="A23" s="67" t="n">
        <x:v>2</x:v>
      </x:c>
      <x:c r="B23" s="100" t="n">
        <x:f>IF(A23=1,$G$5*$B$15,IF(A23=2,$G$5*$B$16,IF(A23=3,$G$5*$B$17,$G$5)))</x:f>
        <x:v>210000</x:v>
      </x:c>
      <x:c r="C23" s="100" t="n">
        <x:f>B23*$B$13</x:f>
        <x:v>129747.315378</x:v>
      </x:c>
      <x:c r="D23" s="100" t="n">
        <x:f>$B$14</x:f>
        <x:v>120343.60044642857</x:v>
      </x:c>
      <x:c r="E23" s="100" t="n">
        <x:v>0</x:v>
      </x:c>
      <x:c r="F23" s="100" t="n">
        <x:f>C23-D23+E23</x:f>
        <x:v>9403.714931571434</x:v>
      </x:c>
      <x:c r="G23" s="100" t="n">
        <x:f>G22+F23</x:f>
        <x:v>-747142.0332124572</x:v>
      </x:c>
      <x:c r="H23" s="119"/>
      <x:c r="I23" s="67" t="n">
        <x:v>2</x:v>
      </x:c>
      <x:c r="J23" s="100" t="n">
        <x:f>IF(I23=1,$G$6*$B$15,IF(I23=2,$G$6*$B$16,IF(I23=3,$G$6*$B$17,$G$6)))</x:f>
        <x:v>187500</x:v>
      </x:c>
      <x:c r="K23" s="100" t="n">
        <x:f>J23*$B$13</x:f>
        <x:v>115845.81730178572</x:v>
      </x:c>
      <x:c r="L23" s="100" t="n">
        <x:f>$B$14</x:f>
        <x:v>120343.60044642857</x:v>
      </x:c>
      <x:c r="M23" s="100" t="n">
        <x:v>0</x:v>
      </x:c>
      <x:c r="N23" s="100" t="n">
        <x:f>K23-L23+M23</x:f>
        <x:v>-4497.783144642846</x:v>
      </x:c>
      <x:c r="O23" s="100" t="n">
        <x:f>O22+N23</x:f>
        <x:v>-772164.7297496428</x:v>
      </x:c>
      <x:c r="P23" s="119"/>
      <x:c r="Q23" s="67" t="n">
        <x:v>2</x:v>
      </x:c>
      <x:c r="R23" s="100" t="n">
        <x:f>IF(Q23=1,$G$7*$B$15,IF(Q23=2,$G$7*$B$16,IF(Q23=3,$G$7*$B$17,$G$7)))</x:f>
        <x:v>157500</x:v>
      </x:c>
      <x:c r="S23" s="100" t="n">
        <x:f>R23*$B$13</x:f>
        <x:v>97310.4865335</x:v>
      </x:c>
      <x:c r="T23" s="100" t="n">
        <x:f>$B$14</x:f>
        <x:v>120343.60044642857</x:v>
      </x:c>
      <x:c r="U23" s="100" t="n">
        <x:v>0</x:v>
      </x:c>
      <x:c r="V23" s="100" t="n">
        <x:f>S23-T23+U23</x:f>
        <x:v>-23033.11391292856</x:v>
      </x:c>
      <x:c r="W23" s="100" t="n">
        <x:f>W22+V23</x:f>
        <x:v>-805528.3251325572</x:v>
      </x:c>
    </x:row>
    <x:row r="24">
      <x:c r="A24" s="67" t="n">
        <x:v>3</x:v>
      </x:c>
      <x:c r="B24" s="100" t="n">
        <x:f>IF(A24=1,$G$5*$B$15,IF(A24=2,$G$5*$B$16,IF(A24=3,$G$5*$B$17,$G$5)))</x:f>
        <x:v>252000</x:v>
      </x:c>
      <x:c r="C24" s="100" t="n">
        <x:f>B24*$B$13</x:f>
        <x:v>155696.7784536</x:v>
      </x:c>
      <x:c r="D24" s="100" t="n">
        <x:f>$B$14</x:f>
        <x:v>120343.60044642857</x:v>
      </x:c>
      <x:c r="E24" s="100" t="n">
        <x:v>0</x:v>
      </x:c>
      <x:c r="F24" s="100" t="n">
        <x:f>C24-D24+E24</x:f>
        <x:v>35353.178007171446</x:v>
      </x:c>
      <x:c r="G24" s="100" t="n">
        <x:f>G23+F24</x:f>
        <x:v>-711788.8552052857</x:v>
      </x:c>
      <x:c r="H24" s="119"/>
      <x:c r="I24" s="67" t="n">
        <x:v>3</x:v>
      </x:c>
      <x:c r="J24" s="100" t="n">
        <x:f>IF(I24=1,$G$6*$B$15,IF(I24=2,$G$6*$B$16,IF(I24=3,$G$6*$B$17,$G$6)))</x:f>
        <x:v>225000</x:v>
      </x:c>
      <x:c r="K24" s="100" t="n">
        <x:f>J24*$B$13</x:f>
        <x:v>139014.98076214286</x:v>
      </x:c>
      <x:c r="L24" s="100" t="n">
        <x:f>$B$14</x:f>
        <x:v>120343.60044642857</x:v>
      </x:c>
      <x:c r="M24" s="100" t="n">
        <x:v>0</x:v>
      </x:c>
      <x:c r="N24" s="100" t="n">
        <x:f>K24-L24+M24</x:f>
        <x:v>18671.380315714297</x:v>
      </x:c>
      <x:c r="O24" s="100" t="n">
        <x:f>O23+N24</x:f>
        <x:v>-753493.3494339285</x:v>
      </x:c>
      <x:c r="P24" s="119"/>
      <x:c r="Q24" s="67" t="n">
        <x:v>3</x:v>
      </x:c>
      <x:c r="R24" s="100" t="n">
        <x:f>IF(Q24=1,$G$7*$B$15,IF(Q24=2,$G$7*$B$16,IF(Q24=3,$G$7*$B$17,$G$7)))</x:f>
        <x:v>189000</x:v>
      </x:c>
      <x:c r="S24" s="100" t="n">
        <x:f>R24*$B$13</x:f>
        <x:v>116772.58384020001</x:v>
      </x:c>
      <x:c r="T24" s="100" t="n">
        <x:f>$B$14</x:f>
        <x:v>120343.60044642857</x:v>
      </x:c>
      <x:c r="U24" s="100" t="n">
        <x:v>0</x:v>
      </x:c>
      <x:c r="V24" s="100" t="n">
        <x:f>S24-T24+U24</x:f>
        <x:v>-3571.016606228557</x:v>
      </x:c>
      <x:c r="W24" s="100" t="n">
        <x:f>W23+V24</x:f>
        <x:v>-809099.3417387857</x:v>
      </x:c>
    </x:row>
    <x:row r="25">
      <x:c r="A25" s="67" t="n">
        <x:v>4</x:v>
      </x:c>
      <x:c r="B25" s="100" t="n">
        <x:f>IF(A25=1,$G$5*$B$15,IF(A25=2,$G$5*$B$16,IF(A25=3,$G$5*$B$17,$G$5)))</x:f>
        <x:v>280000</x:v>
      </x:c>
      <x:c r="C25" s="100" t="n">
        <x:f>B25*$B$13</x:f>
        <x:v>172996.420504</x:v>
      </x:c>
      <x:c r="D25" s="100" t="n">
        <x:f>$B$14</x:f>
        <x:v>120343.60044642857</x:v>
      </x:c>
      <x:c r="E25" s="100" t="n">
        <x:v>0</x:v>
      </x:c>
      <x:c r="F25" s="100" t="n">
        <x:f>C25-D25+E25</x:f>
        <x:v>52652.82005757144</x:v>
      </x:c>
      <x:c r="G25" s="100" t="n">
        <x:f>G24+F25</x:f>
        <x:v>-659136.0351477143</x:v>
      </x:c>
      <x:c r="H25" s="119"/>
      <x:c r="I25" s="67" t="n">
        <x:v>4</x:v>
      </x:c>
      <x:c r="J25" s="100" t="n">
        <x:f>IF(I25=1,$G$6*$B$15,IF(I25=2,$G$6*$B$16,IF(I25=3,$G$6*$B$17,$G$6)))</x:f>
        <x:v>250000</x:v>
      </x:c>
      <x:c r="K25" s="100" t="n">
        <x:f>J25*$B$13</x:f>
        <x:v>154461.08973571428</x:v>
      </x:c>
      <x:c r="L25" s="100" t="n">
        <x:f>$B$14</x:f>
        <x:v>120343.60044642857</x:v>
      </x:c>
      <x:c r="M25" s="100" t="n">
        <x:v>0</x:v>
      </x:c>
      <x:c r="N25" s="100" t="n">
        <x:f>K25-L25+M25</x:f>
        <x:v>34117.48928928572</x:v>
      </x:c>
      <x:c r="O25" s="100" t="n">
        <x:f>O24+N25</x:f>
        <x:v>-719375.8601446428</x:v>
      </x:c>
      <x:c r="P25" s="119"/>
      <x:c r="Q25" s="67" t="n">
        <x:v>4</x:v>
      </x:c>
      <x:c r="R25" s="100" t="n">
        <x:f>IF(Q25=1,$G$7*$B$15,IF(Q25=2,$G$7*$B$16,IF(Q25=3,$G$7*$B$17,$G$7)))</x:f>
        <x:v>210000</x:v>
      </x:c>
      <x:c r="S25" s="100" t="n">
        <x:f>R25*$B$13</x:f>
        <x:v>129747.315378</x:v>
      </x:c>
      <x:c r="T25" s="100" t="n">
        <x:f>$B$14</x:f>
        <x:v>120343.60044642857</x:v>
      </x:c>
      <x:c r="U25" s="100" t="n">
        <x:v>0</x:v>
      </x:c>
      <x:c r="V25" s="100" t="n">
        <x:f>S25-T25+U25</x:f>
        <x:v>9403.714931571434</x:v>
      </x:c>
      <x:c r="W25" s="100" t="n">
        <x:f>W24+V25</x:f>
        <x:v>-799695.6268072143</x:v>
      </x:c>
    </x:row>
    <x:row r="26">
      <x:c r="A26" s="67" t="n">
        <x:v>5</x:v>
      </x:c>
      <x:c r="B26" s="100" t="n">
        <x:f>IF(A26=1,$G$5*$B$15,IF(A26=2,$G$5*$B$16,IF(A26=3,$G$5*$B$17,$G$5)))</x:f>
        <x:v>280000</x:v>
      </x:c>
      <x:c r="C26" s="100" t="n">
        <x:f>B26*$B$13</x:f>
        <x:v>172996.420504</x:v>
      </x:c>
      <x:c r="D26" s="100" t="n">
        <x:f>$B$14</x:f>
        <x:v>120343.60044642857</x:v>
      </x:c>
      <x:c r="E26" s="100" t="n">
        <x:v>0</x:v>
      </x:c>
      <x:c r="F26" s="100" t="n">
        <x:f>C26-D26+E26</x:f>
        <x:v>52652.82005757144</x:v>
      </x:c>
      <x:c r="G26" s="100" t="n">
        <x:f>G25+F26</x:f>
        <x:v>-606483.2150901429</x:v>
      </x:c>
      <x:c r="H26" s="119"/>
      <x:c r="I26" s="67" t="n">
        <x:v>5</x:v>
      </x:c>
      <x:c r="J26" s="100" t="n">
        <x:f>IF(I26=1,$G$6*$B$15,IF(I26=2,$G$6*$B$16,IF(I26=3,$G$6*$B$17,$G$6)))</x:f>
        <x:v>250000</x:v>
      </x:c>
      <x:c r="K26" s="100" t="n">
        <x:f>J26*$B$13</x:f>
        <x:v>154461.08973571428</x:v>
      </x:c>
      <x:c r="L26" s="100" t="n">
        <x:f>$B$14</x:f>
        <x:v>120343.60044642857</x:v>
      </x:c>
      <x:c r="M26" s="100" t="n">
        <x:v>0</x:v>
      </x:c>
      <x:c r="N26" s="100" t="n">
        <x:f>K26-L26+M26</x:f>
        <x:v>34117.48928928572</x:v>
      </x:c>
      <x:c r="O26" s="100" t="n">
        <x:f>O25+N26</x:f>
        <x:v>-685258.370855357</x:v>
      </x:c>
      <x:c r="P26" s="119"/>
      <x:c r="Q26" s="67" t="n">
        <x:v>5</x:v>
      </x:c>
      <x:c r="R26" s="100" t="n">
        <x:f>IF(Q26=1,$G$7*$B$15,IF(Q26=2,$G$7*$B$16,IF(Q26=3,$G$7*$B$17,$G$7)))</x:f>
        <x:v>210000</x:v>
      </x:c>
      <x:c r="S26" s="100" t="n">
        <x:f>R26*$B$13</x:f>
        <x:v>129747.315378</x:v>
      </x:c>
      <x:c r="T26" s="100" t="n">
        <x:f>$B$14</x:f>
        <x:v>120343.60044642857</x:v>
      </x:c>
      <x:c r="U26" s="100" t="n">
        <x:v>0</x:v>
      </x:c>
      <x:c r="V26" s="100" t="n">
        <x:f>S26-T26+U26</x:f>
        <x:v>9403.714931571434</x:v>
      </x:c>
      <x:c r="W26" s="100" t="n">
        <x:f>W25+V26</x:f>
        <x:v>-790291.911875643</x:v>
      </x:c>
    </x:row>
    <x:row r="27">
      <x:c r="A27" s="67" t="n">
        <x:v>6</x:v>
      </x:c>
      <x:c r="B27" s="100" t="n">
        <x:f>IF(A27=1,$G$5*$B$15,IF(A27=2,$G$5*$B$16,IF(A27=3,$G$5*$B$17,$G$5)))</x:f>
        <x:v>280000</x:v>
      </x:c>
      <x:c r="C27" s="100" t="n">
        <x:f>B27*$B$13</x:f>
        <x:v>172996.420504</x:v>
      </x:c>
      <x:c r="D27" s="100" t="n">
        <x:f>$B$14</x:f>
        <x:v>120343.60044642857</x:v>
      </x:c>
      <x:c r="E27" s="100" t="n">
        <x:v>0</x:v>
      </x:c>
      <x:c r="F27" s="100" t="n">
        <x:f>C27-D27+E27</x:f>
        <x:v>52652.82005757144</x:v>
      </x:c>
      <x:c r="G27" s="100" t="n">
        <x:f>G26+F27</x:f>
        <x:v>-553830.3950325715</x:v>
      </x:c>
      <x:c r="H27" s="119"/>
      <x:c r="I27" s="67" t="n">
        <x:v>6</x:v>
      </x:c>
      <x:c r="J27" s="100" t="n">
        <x:f>IF(I27=1,$G$6*$B$15,IF(I27=2,$G$6*$B$16,IF(I27=3,$G$6*$B$17,$G$6)))</x:f>
        <x:v>250000</x:v>
      </x:c>
      <x:c r="K27" s="100" t="n">
        <x:f>J27*$B$13</x:f>
        <x:v>154461.08973571428</x:v>
      </x:c>
      <x:c r="L27" s="100" t="n">
        <x:f>$B$14</x:f>
        <x:v>120343.60044642857</x:v>
      </x:c>
      <x:c r="M27" s="100" t="n">
        <x:v>0</x:v>
      </x:c>
      <x:c r="N27" s="100" t="n">
        <x:f>K27-L27+M27</x:f>
        <x:v>34117.48928928572</x:v>
      </x:c>
      <x:c r="O27" s="100" t="n">
        <x:f>O26+N27</x:f>
        <x:v>-651140.8815660713</x:v>
      </x:c>
      <x:c r="P27" s="119"/>
      <x:c r="Q27" s="67" t="n">
        <x:v>6</x:v>
      </x:c>
      <x:c r="R27" s="100" t="n">
        <x:f>IF(Q27=1,$G$7*$B$15,IF(Q27=2,$G$7*$B$16,IF(Q27=3,$G$7*$B$17,$G$7)))</x:f>
        <x:v>210000</x:v>
      </x:c>
      <x:c r="S27" s="100" t="n">
        <x:f>R27*$B$13</x:f>
        <x:v>129747.315378</x:v>
      </x:c>
      <x:c r="T27" s="100" t="n">
        <x:f>$B$14</x:f>
        <x:v>120343.60044642857</x:v>
      </x:c>
      <x:c r="U27" s="100" t="n">
        <x:v>0</x:v>
      </x:c>
      <x:c r="V27" s="100" t="n">
        <x:f>S27-T27+U27</x:f>
        <x:v>9403.714931571434</x:v>
      </x:c>
      <x:c r="W27" s="100" t="n">
        <x:f>W26+V27</x:f>
        <x:v>-780888.1969440716</x:v>
      </x:c>
    </x:row>
    <x:row r="28">
      <x:c r="A28" s="67" t="n">
        <x:v>7</x:v>
      </x:c>
      <x:c r="B28" s="100" t="n">
        <x:f>IF(A28=1,$G$5*$B$15,IF(A28=2,$G$5*$B$16,IF(A28=3,$G$5*$B$17,$G$5)))</x:f>
        <x:v>280000</x:v>
      </x:c>
      <x:c r="C28" s="100" t="n">
        <x:f>B28*$B$13</x:f>
        <x:v>172996.420504</x:v>
      </x:c>
      <x:c r="D28" s="100" t="n">
        <x:f>$B$14</x:f>
        <x:v>120343.60044642857</x:v>
      </x:c>
      <x:c r="E28" s="100" t="n">
        <x:v>0</x:v>
      </x:c>
      <x:c r="F28" s="100" t="n">
        <x:f>C28-D28+E28</x:f>
        <x:v>52652.82005757144</x:v>
      </x:c>
      <x:c r="G28" s="100" t="n">
        <x:f>G27+F28</x:f>
        <x:v>-501177.57497500005</x:v>
      </x:c>
      <x:c r="H28" s="119"/>
      <x:c r="I28" s="67" t="n">
        <x:v>7</x:v>
      </x:c>
      <x:c r="J28" s="100" t="n">
        <x:f>IF(I28=1,$G$6*$B$15,IF(I28=2,$G$6*$B$16,IF(I28=3,$G$6*$B$17,$G$6)))</x:f>
        <x:v>250000</x:v>
      </x:c>
      <x:c r="K28" s="100" t="n">
        <x:f>J28*$B$13</x:f>
        <x:v>154461.08973571428</x:v>
      </x:c>
      <x:c r="L28" s="100" t="n">
        <x:f>$B$14</x:f>
        <x:v>120343.60044642857</x:v>
      </x:c>
      <x:c r="M28" s="100" t="n">
        <x:v>0</x:v>
      </x:c>
      <x:c r="N28" s="100" t="n">
        <x:f>K28-L28+M28</x:f>
        <x:v>34117.48928928572</x:v>
      </x:c>
      <x:c r="O28" s="100" t="n">
        <x:f>O27+N28</x:f>
        <x:v>-617023.3922767856</x:v>
      </x:c>
      <x:c r="P28" s="119"/>
      <x:c r="Q28" s="67" t="n">
        <x:v>7</x:v>
      </x:c>
      <x:c r="R28" s="100" t="n">
        <x:f>IF(Q28=1,$G$7*$B$15,IF(Q28=2,$G$7*$B$16,IF(Q28=3,$G$7*$B$17,$G$7)))</x:f>
        <x:v>210000</x:v>
      </x:c>
      <x:c r="S28" s="100" t="n">
        <x:f>R28*$B$13</x:f>
        <x:v>129747.315378</x:v>
      </x:c>
      <x:c r="T28" s="100" t="n">
        <x:f>$B$14</x:f>
        <x:v>120343.60044642857</x:v>
      </x:c>
      <x:c r="U28" s="100" t="n">
        <x:v>0</x:v>
      </x:c>
      <x:c r="V28" s="100" t="n">
        <x:f>S28-T28+U28</x:f>
        <x:v>9403.714931571434</x:v>
      </x:c>
      <x:c r="W28" s="100" t="n">
        <x:f>W27+V28</x:f>
        <x:v>-771484.4820125002</x:v>
      </x:c>
    </x:row>
    <x:row r="29">
      <x:c r="A29" s="67" t="n">
        <x:v>8</x:v>
      </x:c>
      <x:c r="B29" s="100" t="n">
        <x:f>IF(A29=1,$G$5*$B$15,IF(A29=2,$G$5*$B$16,IF(A29=3,$G$5*$B$17,$G$5)))</x:f>
        <x:v>280000</x:v>
      </x:c>
      <x:c r="C29" s="100" t="n">
        <x:f>B29*$B$13</x:f>
        <x:v>172996.420504</x:v>
      </x:c>
      <x:c r="D29" s="100" t="n">
        <x:f>$B$14</x:f>
        <x:v>120343.60044642857</x:v>
      </x:c>
      <x:c r="E29" s="100" t="n">
        <x:v>0</x:v>
      </x:c>
      <x:c r="F29" s="100" t="n">
        <x:f>C29-D29+E29</x:f>
        <x:v>52652.82005757144</x:v>
      </x:c>
      <x:c r="G29" s="100" t="n">
        <x:f>G28+F29</x:f>
        <x:v>-448524.7549174286</x:v>
      </x:c>
      <x:c r="H29" s="119"/>
      <x:c r="I29" s="67" t="n">
        <x:v>8</x:v>
      </x:c>
      <x:c r="J29" s="100" t="n">
        <x:f>IF(I29=1,$G$6*$B$15,IF(I29=2,$G$6*$B$16,IF(I29=3,$G$6*$B$17,$G$6)))</x:f>
        <x:v>250000</x:v>
      </x:c>
      <x:c r="K29" s="100" t="n">
        <x:f>J29*$B$13</x:f>
        <x:v>154461.08973571428</x:v>
      </x:c>
      <x:c r="L29" s="100" t="n">
        <x:f>$B$14</x:f>
        <x:v>120343.60044642857</x:v>
      </x:c>
      <x:c r="M29" s="100" t="n">
        <x:v>0</x:v>
      </x:c>
      <x:c r="N29" s="100" t="n">
        <x:f>K29-L29+M29</x:f>
        <x:v>34117.48928928572</x:v>
      </x:c>
      <x:c r="O29" s="100" t="n">
        <x:f>O28+N29</x:f>
        <x:v>-582905.9029874998</x:v>
      </x:c>
      <x:c r="P29" s="119"/>
      <x:c r="Q29" s="67" t="n">
        <x:v>8</x:v>
      </x:c>
      <x:c r="R29" s="100" t="n">
        <x:f>IF(Q29=1,$G$7*$B$15,IF(Q29=2,$G$7*$B$16,IF(Q29=3,$G$7*$B$17,$G$7)))</x:f>
        <x:v>210000</x:v>
      </x:c>
      <x:c r="S29" s="100" t="n">
        <x:f>R29*$B$13</x:f>
        <x:v>129747.315378</x:v>
      </x:c>
      <x:c r="T29" s="100" t="n">
        <x:f>$B$14</x:f>
        <x:v>120343.60044642857</x:v>
      </x:c>
      <x:c r="U29" s="100" t="n">
        <x:v>0</x:v>
      </x:c>
      <x:c r="V29" s="100" t="n">
        <x:f>S29-T29+U29</x:f>
        <x:v>9403.714931571434</x:v>
      </x:c>
      <x:c r="W29" s="100" t="n">
        <x:f>W28+V29</x:f>
        <x:v>-762080.7670809288</x:v>
      </x:c>
    </x:row>
    <x:row r="30">
      <x:c r="A30" s="67" t="n">
        <x:v>9</x:v>
      </x:c>
      <x:c r="B30" s="100" t="n">
        <x:f>IF(A30=1,$G$5*$B$15,IF(A30=2,$G$5*$B$16,IF(A30=3,$G$5*$B$17,$G$5)))</x:f>
        <x:v>280000</x:v>
      </x:c>
      <x:c r="C30" s="100" t="n">
        <x:f>B30*$B$13</x:f>
        <x:v>172996.420504</x:v>
      </x:c>
      <x:c r="D30" s="100" t="n">
        <x:f>$B$14</x:f>
        <x:v>120343.60044642857</x:v>
      </x:c>
      <x:c r="E30" s="100" t="n">
        <x:v>0</x:v>
      </x:c>
      <x:c r="F30" s="100" t="n">
        <x:f>C30-D30+E30</x:f>
        <x:v>52652.82005757144</x:v>
      </x:c>
      <x:c r="G30" s="100" t="n">
        <x:f>G29+F30</x:f>
        <x:v>-395871.93485985714</x:v>
      </x:c>
      <x:c r="H30" s="119"/>
      <x:c r="I30" s="67" t="n">
        <x:v>9</x:v>
      </x:c>
      <x:c r="J30" s="100" t="n">
        <x:f>IF(I30=1,$G$6*$B$15,IF(I30=2,$G$6*$B$16,IF(I30=3,$G$6*$B$17,$G$6)))</x:f>
        <x:v>250000</x:v>
      </x:c>
      <x:c r="K30" s="100" t="n">
        <x:f>J30*$B$13</x:f>
        <x:v>154461.08973571428</x:v>
      </x:c>
      <x:c r="L30" s="100" t="n">
        <x:f>$B$14</x:f>
        <x:v>120343.60044642857</x:v>
      </x:c>
      <x:c r="M30" s="100" t="n">
        <x:v>0</x:v>
      </x:c>
      <x:c r="N30" s="100" t="n">
        <x:f>K30-L30+M30</x:f>
        <x:v>34117.48928928572</x:v>
      </x:c>
      <x:c r="O30" s="100" t="n">
        <x:f>O29+N30</x:f>
        <x:v>-548788.4136982141</x:v>
      </x:c>
      <x:c r="P30" s="119"/>
      <x:c r="Q30" s="67" t="n">
        <x:v>9</x:v>
      </x:c>
      <x:c r="R30" s="100" t="n">
        <x:f>IF(Q30=1,$G$7*$B$15,IF(Q30=2,$G$7*$B$16,IF(Q30=3,$G$7*$B$17,$G$7)))</x:f>
        <x:v>210000</x:v>
      </x:c>
      <x:c r="S30" s="100" t="n">
        <x:f>R30*$B$13</x:f>
        <x:v>129747.315378</x:v>
      </x:c>
      <x:c r="T30" s="100" t="n">
        <x:f>$B$14</x:f>
        <x:v>120343.60044642857</x:v>
      </x:c>
      <x:c r="U30" s="100" t="n">
        <x:v>0</x:v>
      </x:c>
      <x:c r="V30" s="100" t="n">
        <x:f>S30-T30+U30</x:f>
        <x:v>9403.714931571434</x:v>
      </x:c>
      <x:c r="W30" s="100" t="n">
        <x:f>W29+V30</x:f>
        <x:v>-752677.0521493574</x:v>
      </x:c>
    </x:row>
    <x:row r="31">
      <x:c r="A31" s="67" t="n">
        <x:v>10</x:v>
      </x:c>
      <x:c r="B31" s="100" t="n">
        <x:f>IF(A31=1,$G$5*$B$15,IF(A31=2,$G$5*$B$16,IF(A31=3,$G$5*$B$17,$G$5)))</x:f>
        <x:v>280000</x:v>
      </x:c>
      <x:c r="C31" s="100" t="n">
        <x:f>B31*$B$13</x:f>
        <x:v>172996.420504</x:v>
      </x:c>
      <x:c r="D31" s="100" t="n">
        <x:f>$B$14</x:f>
        <x:v>120343.60044642857</x:v>
      </x:c>
      <x:c r="E31" s="100" t="n">
        <x:v>0</x:v>
      </x:c>
      <x:c r="F31" s="100" t="n">
        <x:f>C31-D31+E31</x:f>
        <x:v>52652.82005757144</x:v>
      </x:c>
      <x:c r="G31" s="100" t="n">
        <x:f>G30+F31</x:f>
        <x:v>-343219.1148022857</x:v>
      </x:c>
      <x:c r="H31" s="119"/>
      <x:c r="I31" s="67" t="n">
        <x:v>10</x:v>
      </x:c>
      <x:c r="J31" s="100" t="n">
        <x:f>IF(I31=1,$G$6*$B$15,IF(I31=2,$G$6*$B$16,IF(I31=3,$G$6*$B$17,$G$6)))</x:f>
        <x:v>250000</x:v>
      </x:c>
      <x:c r="K31" s="100" t="n">
        <x:f>J31*$B$13</x:f>
        <x:v>154461.08973571428</x:v>
      </x:c>
      <x:c r="L31" s="100" t="n">
        <x:f>$B$14</x:f>
        <x:v>120343.60044642857</x:v>
      </x:c>
      <x:c r="M31" s="100" t="n">
        <x:v>0</x:v>
      </x:c>
      <x:c r="N31" s="100" t="n">
        <x:f>K31-L31+M31</x:f>
        <x:v>34117.48928928572</x:v>
      </x:c>
      <x:c r="O31" s="100" t="n">
        <x:f>O30+N31</x:f>
        <x:v>-514670.9244089284</x:v>
      </x:c>
      <x:c r="P31" s="119"/>
      <x:c r="Q31" s="67" t="n">
        <x:v>10</x:v>
      </x:c>
      <x:c r="R31" s="100" t="n">
        <x:f>IF(Q31=1,$G$7*$B$15,IF(Q31=2,$G$7*$B$16,IF(Q31=3,$G$7*$B$17,$G$7)))</x:f>
        <x:v>210000</x:v>
      </x:c>
      <x:c r="S31" s="100" t="n">
        <x:f>R31*$B$13</x:f>
        <x:v>129747.315378</x:v>
      </x:c>
      <x:c r="T31" s="100" t="n">
        <x:f>$B$14</x:f>
        <x:v>120343.60044642857</x:v>
      </x:c>
      <x:c r="U31" s="100" t="n">
        <x:v>0</x:v>
      </x:c>
      <x:c r="V31" s="100" t="n">
        <x:f>S31-T31+U31</x:f>
        <x:v>9403.714931571434</x:v>
      </x:c>
      <x:c r="W31" s="100" t="n">
        <x:f>W30+V31</x:f>
        <x:v>-743273.337217786</x:v>
      </x:c>
    </x:row>
    <x:row r="32">
      <x:c r="A32" s="67" t="n">
        <x:v>11</x:v>
      </x:c>
      <x:c r="B32" s="100" t="n">
        <x:f>IF(A32=1,$G$5*$B$15,IF(A32=2,$G$5*$B$16,IF(A32=3,$G$5*$B$17,$G$5)))</x:f>
        <x:v>280000</x:v>
      </x:c>
      <x:c r="C32" s="100" t="n">
        <x:f>B32*$B$13</x:f>
        <x:v>172996.420504</x:v>
      </x:c>
      <x:c r="D32" s="100" t="n">
        <x:f>$B$14</x:f>
        <x:v>120343.60044642857</x:v>
      </x:c>
      <x:c r="E32" s="100" t="n">
        <x:v>0</x:v>
      </x:c>
      <x:c r="F32" s="100" t="n">
        <x:f>C32-D32+E32</x:f>
        <x:v>52652.82005757144</x:v>
      </x:c>
      <x:c r="G32" s="100" t="n">
        <x:f>G31+F32</x:f>
        <x:v>-290566.2947447142</x:v>
      </x:c>
      <x:c r="H32" s="119"/>
      <x:c r="I32" s="67" t="n">
        <x:v>11</x:v>
      </x:c>
      <x:c r="J32" s="100" t="n">
        <x:f>IF(I32=1,$G$6*$B$15,IF(I32=2,$G$6*$B$16,IF(I32=3,$G$6*$B$17,$G$6)))</x:f>
        <x:v>250000</x:v>
      </x:c>
      <x:c r="K32" s="100" t="n">
        <x:f>J32*$B$13</x:f>
        <x:v>154461.08973571428</x:v>
      </x:c>
      <x:c r="L32" s="100" t="n">
        <x:f>$B$14</x:f>
        <x:v>120343.60044642857</x:v>
      </x:c>
      <x:c r="M32" s="100" t="n">
        <x:v>0</x:v>
      </x:c>
      <x:c r="N32" s="100" t="n">
        <x:f>K32-L32+M32</x:f>
        <x:v>34117.48928928572</x:v>
      </x:c>
      <x:c r="O32" s="100" t="n">
        <x:f>O31+N32</x:f>
        <x:v>-480553.43511964264</x:v>
      </x:c>
      <x:c r="P32" s="119"/>
      <x:c r="Q32" s="67" t="n">
        <x:v>11</x:v>
      </x:c>
      <x:c r="R32" s="100" t="n">
        <x:f>IF(Q32=1,$G$7*$B$15,IF(Q32=2,$G$7*$B$16,IF(Q32=3,$G$7*$B$17,$G$7)))</x:f>
        <x:v>210000</x:v>
      </x:c>
      <x:c r="S32" s="100" t="n">
        <x:f>R32*$B$13</x:f>
        <x:v>129747.315378</x:v>
      </x:c>
      <x:c r="T32" s="100" t="n">
        <x:f>$B$14</x:f>
        <x:v>120343.60044642857</x:v>
      </x:c>
      <x:c r="U32" s="100" t="n">
        <x:v>0</x:v>
      </x:c>
      <x:c r="V32" s="100" t="n">
        <x:f>S32-T32+U32</x:f>
        <x:v>9403.714931571434</x:v>
      </x:c>
      <x:c r="W32" s="100" t="n">
        <x:f>W31+V32</x:f>
        <x:v>-733869.6222862146</x:v>
      </x:c>
    </x:row>
    <x:row r="33">
      <x:c r="A33" s="67" t="n">
        <x:v>12</x:v>
      </x:c>
      <x:c r="B33" s="100" t="n">
        <x:f>IF(A33=1,$G$5*$B$15,IF(A33=2,$G$5*$B$16,IF(A33=3,$G$5*$B$17,$G$5)))</x:f>
        <x:v>280000</x:v>
      </x:c>
      <x:c r="C33" s="100" t="n">
        <x:f>B33*$B$13</x:f>
        <x:v>172996.420504</x:v>
      </x:c>
      <x:c r="D33" s="100" t="n">
        <x:f>$B$14</x:f>
        <x:v>120343.60044642857</x:v>
      </x:c>
      <x:c r="E33" s="100" t="n">
        <x:v>0</x:v>
      </x:c>
      <x:c r="F33" s="100" t="n">
        <x:f>C33-D33+E33</x:f>
        <x:v>52652.82005757144</x:v>
      </x:c>
      <x:c r="G33" s="100" t="n">
        <x:f>G32+F33</x:f>
        <x:v>-237913.47468714276</x:v>
      </x:c>
      <x:c r="H33" s="119"/>
      <x:c r="I33" s="67" t="n">
        <x:v>12</x:v>
      </x:c>
      <x:c r="J33" s="100" t="n">
        <x:f>IF(I33=1,$G$6*$B$15,IF(I33=2,$G$6*$B$16,IF(I33=3,$G$6*$B$17,$G$6)))</x:f>
        <x:v>250000</x:v>
      </x:c>
      <x:c r="K33" s="100" t="n">
        <x:f>J33*$B$13</x:f>
        <x:v>154461.08973571428</x:v>
      </x:c>
      <x:c r="L33" s="100" t="n">
        <x:f>$B$14</x:f>
        <x:v>120343.60044642857</x:v>
      </x:c>
      <x:c r="M33" s="100" t="n">
        <x:v>0</x:v>
      </x:c>
      <x:c r="N33" s="100" t="n">
        <x:f>K33-L33+M33</x:f>
        <x:v>34117.48928928572</x:v>
      </x:c>
      <x:c r="O33" s="100" t="n">
        <x:f>O32+N33</x:f>
        <x:v>-446435.9458303569</x:v>
      </x:c>
      <x:c r="P33" s="119"/>
      <x:c r="Q33" s="67" t="n">
        <x:v>12</x:v>
      </x:c>
      <x:c r="R33" s="100" t="n">
        <x:f>IF(Q33=1,$G$7*$B$15,IF(Q33=2,$G$7*$B$16,IF(Q33=3,$G$7*$B$17,$G$7)))</x:f>
        <x:v>210000</x:v>
      </x:c>
      <x:c r="S33" s="100" t="n">
        <x:f>R33*$B$13</x:f>
        <x:v>129747.315378</x:v>
      </x:c>
      <x:c r="T33" s="100" t="n">
        <x:f>$B$14</x:f>
        <x:v>120343.60044642857</x:v>
      </x:c>
      <x:c r="U33" s="100" t="n">
        <x:v>0</x:v>
      </x:c>
      <x:c r="V33" s="100" t="n">
        <x:f>S33-T33+U33</x:f>
        <x:v>9403.714931571434</x:v>
      </x:c>
      <x:c r="W33" s="100" t="n">
        <x:f>W32+V33</x:f>
        <x:v>-724465.9073546432</x:v>
      </x:c>
    </x:row>
    <x:row r="34">
      <x:c r="A34" s="67" t="n">
        <x:v>13</x:v>
      </x:c>
      <x:c r="B34" s="100" t="n">
        <x:f>IF(A34=1,$G$5*$B$15,IF(A34=2,$G$5*$B$16,IF(A34=3,$G$5*$B$17,$G$5)))</x:f>
        <x:v>280000</x:v>
      </x:c>
      <x:c r="C34" s="100" t="n">
        <x:f>B34*$B$13</x:f>
        <x:v>172996.420504</x:v>
      </x:c>
      <x:c r="D34" s="100" t="n">
        <x:f>$B$14</x:f>
        <x:v>120343.60044642857</x:v>
      </x:c>
      <x:c r="E34" s="100" t="n">
        <x:v>0</x:v>
      </x:c>
      <x:c r="F34" s="100" t="n">
        <x:f>C34-D34+E34</x:f>
        <x:v>52652.82005757144</x:v>
      </x:c>
      <x:c r="G34" s="100" t="n">
        <x:f>G33+F34</x:f>
        <x:v>-185260.6546295713</x:v>
      </x:c>
      <x:c r="H34" s="119"/>
      <x:c r="I34" s="67" t="n">
        <x:v>13</x:v>
      </x:c>
      <x:c r="J34" s="100" t="n">
        <x:f>IF(I34=1,$G$6*$B$15,IF(I34=2,$G$6*$B$16,IF(I34=3,$G$6*$B$17,$G$6)))</x:f>
        <x:v>250000</x:v>
      </x:c>
      <x:c r="K34" s="100" t="n">
        <x:f>J34*$B$13</x:f>
        <x:v>154461.08973571428</x:v>
      </x:c>
      <x:c r="L34" s="100" t="n">
        <x:f>$B$14</x:f>
        <x:v>120343.60044642857</x:v>
      </x:c>
      <x:c r="M34" s="100" t="n">
        <x:v>0</x:v>
      </x:c>
      <x:c r="N34" s="100" t="n">
        <x:f>K34-L34+M34</x:f>
        <x:v>34117.48928928572</x:v>
      </x:c>
      <x:c r="O34" s="100" t="n">
        <x:f>O33+N34</x:f>
        <x:v>-412318.4565410712</x:v>
      </x:c>
      <x:c r="P34" s="119"/>
      <x:c r="Q34" s="67" t="n">
        <x:v>13</x:v>
      </x:c>
      <x:c r="R34" s="100" t="n">
        <x:f>IF(Q34=1,$G$7*$B$15,IF(Q34=2,$G$7*$B$16,IF(Q34=3,$G$7*$B$17,$G$7)))</x:f>
        <x:v>210000</x:v>
      </x:c>
      <x:c r="S34" s="100" t="n">
        <x:f>R34*$B$13</x:f>
        <x:v>129747.315378</x:v>
      </x:c>
      <x:c r="T34" s="100" t="n">
        <x:f>$B$14</x:f>
        <x:v>120343.60044642857</x:v>
      </x:c>
      <x:c r="U34" s="100" t="n">
        <x:v>0</x:v>
      </x:c>
      <x:c r="V34" s="100" t="n">
        <x:f>S34-T34+U34</x:f>
        <x:v>9403.714931571434</x:v>
      </x:c>
      <x:c r="W34" s="100" t="n">
        <x:f>W33+V34</x:f>
        <x:v>-715062.1924230718</x:v>
      </x:c>
    </x:row>
    <x:row r="35">
      <x:c r="A35" s="67" t="n">
        <x:v>14</x:v>
      </x:c>
      <x:c r="B35" s="100" t="n">
        <x:f>IF(A35=1,$G$5*$B$15,IF(A35=2,$G$5*$B$16,IF(A35=3,$G$5*$B$17,$G$5)))</x:f>
        <x:v>280000</x:v>
      </x:c>
      <x:c r="C35" s="100" t="n">
        <x:f>B35*$B$13</x:f>
        <x:v>172996.420504</x:v>
      </x:c>
      <x:c r="D35" s="100" t="n">
        <x:f>$B$14</x:f>
        <x:v>120343.60044642857</x:v>
      </x:c>
      <x:c r="E35" s="100" t="n">
        <x:v>0</x:v>
      </x:c>
      <x:c r="F35" s="100" t="n">
        <x:f>C35-D35+E35</x:f>
        <x:v>52652.82005757144</x:v>
      </x:c>
      <x:c r="G35" s="100" t="n">
        <x:f>G34+F35</x:f>
        <x:v>-132607.83457199985</x:v>
      </x:c>
      <x:c r="H35" s="119"/>
      <x:c r="I35" s="67" t="n">
        <x:v>14</x:v>
      </x:c>
      <x:c r="J35" s="100" t="n">
        <x:f>IF(I35=1,$G$6*$B$15,IF(I35=2,$G$6*$B$16,IF(I35=3,$G$6*$B$17,$G$6)))</x:f>
        <x:v>250000</x:v>
      </x:c>
      <x:c r="K35" s="100" t="n">
        <x:f>J35*$B$13</x:f>
        <x:v>154461.08973571428</x:v>
      </x:c>
      <x:c r="L35" s="100" t="n">
        <x:f>$B$14</x:f>
        <x:v>120343.60044642857</x:v>
      </x:c>
      <x:c r="M35" s="100" t="n">
        <x:v>0</x:v>
      </x:c>
      <x:c r="N35" s="100" t="n">
        <x:f>K35-L35+M35</x:f>
        <x:v>34117.48928928572</x:v>
      </x:c>
      <x:c r="O35" s="100" t="n">
        <x:f>O34+N35</x:f>
        <x:v>-378200.96725178545</x:v>
      </x:c>
      <x:c r="P35" s="119"/>
      <x:c r="Q35" s="67" t="n">
        <x:v>14</x:v>
      </x:c>
      <x:c r="R35" s="100" t="n">
        <x:f>IF(Q35=1,$G$7*$B$15,IF(Q35=2,$G$7*$B$16,IF(Q35=3,$G$7*$B$17,$G$7)))</x:f>
        <x:v>210000</x:v>
      </x:c>
      <x:c r="S35" s="100" t="n">
        <x:f>R35*$B$13</x:f>
        <x:v>129747.315378</x:v>
      </x:c>
      <x:c r="T35" s="100" t="n">
        <x:f>$B$14</x:f>
        <x:v>120343.60044642857</x:v>
      </x:c>
      <x:c r="U35" s="100" t="n">
        <x:v>0</x:v>
      </x:c>
      <x:c r="V35" s="100" t="n">
        <x:f>S35-T35+U35</x:f>
        <x:v>9403.714931571434</x:v>
      </x:c>
      <x:c r="W35" s="100" t="n">
        <x:f>W34+V35</x:f>
        <x:v>-705658.4774915004</x:v>
      </x:c>
    </x:row>
    <x:row r="36">
      <x:c r="A36" s="67" t="n">
        <x:v>15</x:v>
      </x:c>
      <x:c r="B36" s="100" t="n">
        <x:f>IF(A36=1,$G$5*$B$15,IF(A36=2,$G$5*$B$16,IF(A36=3,$G$5*$B$17,$G$5)))</x:f>
        <x:v>280000</x:v>
      </x:c>
      <x:c r="C36" s="100" t="n">
        <x:f>B36*$B$13</x:f>
        <x:v>172996.420504</x:v>
      </x:c>
      <x:c r="D36" s="100" t="n">
        <x:f>$B$14</x:f>
        <x:v>120343.60044642857</x:v>
      </x:c>
      <x:c r="E36" s="100" t="n">
        <x:v>0</x:v>
      </x:c>
      <x:c r="F36" s="100" t="n">
        <x:f>C36-D36+E36</x:f>
        <x:v>52652.82005757144</x:v>
      </x:c>
      <x:c r="G36" s="100" t="n">
        <x:f>G35+F36</x:f>
        <x:v>-79955.0145144284</x:v>
      </x:c>
      <x:c r="H36" s="119"/>
      <x:c r="I36" s="67" t="n">
        <x:v>15</x:v>
      </x:c>
      <x:c r="J36" s="100" t="n">
        <x:f>IF(I36=1,$G$6*$B$15,IF(I36=2,$G$6*$B$16,IF(I36=3,$G$6*$B$17,$G$6)))</x:f>
        <x:v>250000</x:v>
      </x:c>
      <x:c r="K36" s="100" t="n">
        <x:f>J36*$B$13</x:f>
        <x:v>154461.08973571428</x:v>
      </x:c>
      <x:c r="L36" s="100" t="n">
        <x:f>$B$14</x:f>
        <x:v>120343.60044642857</x:v>
      </x:c>
      <x:c r="M36" s="100" t="n">
        <x:v>0</x:v>
      </x:c>
      <x:c r="N36" s="100" t="n">
        <x:f>K36-L36+M36</x:f>
        <x:v>34117.48928928572</x:v>
      </x:c>
      <x:c r="O36" s="100" t="n">
        <x:f>O35+N36</x:f>
        <x:v>-344083.4779624997</x:v>
      </x:c>
      <x:c r="P36" s="119"/>
      <x:c r="Q36" s="67" t="n">
        <x:v>15</x:v>
      </x:c>
      <x:c r="R36" s="100" t="n">
        <x:f>IF(Q36=1,$G$7*$B$15,IF(Q36=2,$G$7*$B$16,IF(Q36=3,$G$7*$B$17,$G$7)))</x:f>
        <x:v>210000</x:v>
      </x:c>
      <x:c r="S36" s="100" t="n">
        <x:f>R36*$B$13</x:f>
        <x:v>129747.315378</x:v>
      </x:c>
      <x:c r="T36" s="100" t="n">
        <x:f>$B$14</x:f>
        <x:v>120343.60044642857</x:v>
      </x:c>
      <x:c r="U36" s="100" t="n">
        <x:v>0</x:v>
      </x:c>
      <x:c r="V36" s="100" t="n">
        <x:f>S36-T36+U36</x:f>
        <x:v>9403.714931571434</x:v>
      </x:c>
      <x:c r="W36" s="100" t="n">
        <x:f>W35+V36</x:f>
        <x:v>-696254.762559929</x:v>
      </x:c>
    </x:row>
    <x:row r="37">
      <x:c r="A37" s="67" t="n">
        <x:v>16</x:v>
      </x:c>
      <x:c r="B37" s="100" t="n">
        <x:f>IF(A37=1,$G$5*$B$15,IF(A37=2,$G$5*$B$16,IF(A37=3,$G$5*$B$17,$G$5)))</x:f>
        <x:v>280000</x:v>
      </x:c>
      <x:c r="C37" s="100" t="n">
        <x:f>B37*$B$13</x:f>
        <x:v>172996.420504</x:v>
      </x:c>
      <x:c r="D37" s="100" t="n">
        <x:f>$B$14</x:f>
        <x:v>120343.60044642857</x:v>
      </x:c>
      <x:c r="E37" s="100" t="n">
        <x:v>0</x:v>
      </x:c>
      <x:c r="F37" s="100" t="n">
        <x:f>C37-D37+E37</x:f>
        <x:v>52652.82005757144</x:v>
      </x:c>
      <x:c r="G37" s="100" t="n">
        <x:f>G36+F37</x:f>
        <x:v>-27302.19445685696</x:v>
      </x:c>
      <x:c r="H37" s="119"/>
      <x:c r="I37" s="67" t="n">
        <x:v>16</x:v>
      </x:c>
      <x:c r="J37" s="100" t="n">
        <x:f>IF(I37=1,$G$6*$B$15,IF(I37=2,$G$6*$B$16,IF(I37=3,$G$6*$B$17,$G$6)))</x:f>
        <x:v>250000</x:v>
      </x:c>
      <x:c r="K37" s="100" t="n">
        <x:f>J37*$B$13</x:f>
        <x:v>154461.08973571428</x:v>
      </x:c>
      <x:c r="L37" s="100" t="n">
        <x:f>$B$14</x:f>
        <x:v>120343.60044642857</x:v>
      </x:c>
      <x:c r="M37" s="100" t="n">
        <x:v>0</x:v>
      </x:c>
      <x:c r="N37" s="100" t="n">
        <x:f>K37-L37+M37</x:f>
        <x:v>34117.48928928572</x:v>
      </x:c>
      <x:c r="O37" s="100" t="n">
        <x:f>O36+N37</x:f>
        <x:v>-309965.988673214</x:v>
      </x:c>
      <x:c r="P37" s="119"/>
      <x:c r="Q37" s="67" t="n">
        <x:v>16</x:v>
      </x:c>
      <x:c r="R37" s="100" t="n">
        <x:f>IF(Q37=1,$G$7*$B$15,IF(Q37=2,$G$7*$B$16,IF(Q37=3,$G$7*$B$17,$G$7)))</x:f>
        <x:v>210000</x:v>
      </x:c>
      <x:c r="S37" s="100" t="n">
        <x:f>R37*$B$13</x:f>
        <x:v>129747.315378</x:v>
      </x:c>
      <x:c r="T37" s="100" t="n">
        <x:f>$B$14</x:f>
        <x:v>120343.60044642857</x:v>
      </x:c>
      <x:c r="U37" s="100" t="n">
        <x:v>0</x:v>
      </x:c>
      <x:c r="V37" s="100" t="n">
        <x:f>S37-T37+U37</x:f>
        <x:v>9403.714931571434</x:v>
      </x:c>
      <x:c r="W37" s="100" t="n">
        <x:f>W36+V37</x:f>
        <x:v>-686851.0476283577</x:v>
      </x:c>
    </x:row>
    <x:row r="38">
      <x:c r="A38" s="67" t="n">
        <x:v>17</x:v>
      </x:c>
      <x:c r="B38" s="100" t="n">
        <x:f>IF(A38=1,$G$5*$B$15,IF(A38=2,$G$5*$B$16,IF(A38=3,$G$5*$B$17,$G$5)))</x:f>
        <x:v>280000</x:v>
      </x:c>
      <x:c r="C38" s="100" t="n">
        <x:f>B38*$B$13</x:f>
        <x:v>172996.420504</x:v>
      </x:c>
      <x:c r="D38" s="100" t="n">
        <x:f>$B$14</x:f>
        <x:v>120343.60044642857</x:v>
      </x:c>
      <x:c r="E38" s="100" t="n">
        <x:v>0</x:v>
      </x:c>
      <x:c r="F38" s="100" t="n">
        <x:f>C38-D38+E38</x:f>
        <x:v>52652.82005757144</x:v>
      </x:c>
      <x:c r="G38" s="100" t="n">
        <x:f>G37+F38</x:f>
        <x:v>25350.625600714484</x:v>
      </x:c>
      <x:c r="H38" s="119"/>
      <x:c r="I38" s="67" t="n">
        <x:v>17</x:v>
      </x:c>
      <x:c r="J38" s="100" t="n">
        <x:f>IF(I38=1,$G$6*$B$15,IF(I38=2,$G$6*$B$16,IF(I38=3,$G$6*$B$17,$G$6)))</x:f>
        <x:v>250000</x:v>
      </x:c>
      <x:c r="K38" s="100" t="n">
        <x:f>J38*$B$13</x:f>
        <x:v>154461.08973571428</x:v>
      </x:c>
      <x:c r="L38" s="100" t="n">
        <x:f>$B$14</x:f>
        <x:v>120343.60044642857</x:v>
      </x:c>
      <x:c r="M38" s="100" t="n">
        <x:v>0</x:v>
      </x:c>
      <x:c r="N38" s="100" t="n">
        <x:f>K38-L38+M38</x:f>
        <x:v>34117.48928928572</x:v>
      </x:c>
      <x:c r="O38" s="100" t="n">
        <x:f>O37+N38</x:f>
        <x:v>-275848.49938392825</x:v>
      </x:c>
      <x:c r="P38" s="119"/>
      <x:c r="Q38" s="67" t="n">
        <x:v>17</x:v>
      </x:c>
      <x:c r="R38" s="100" t="n">
        <x:f>IF(Q38=1,$G$7*$B$15,IF(Q38=2,$G$7*$B$16,IF(Q38=3,$G$7*$B$17,$G$7)))</x:f>
        <x:v>210000</x:v>
      </x:c>
      <x:c r="S38" s="100" t="n">
        <x:f>R38*$B$13</x:f>
        <x:v>129747.315378</x:v>
      </x:c>
      <x:c r="T38" s="100" t="n">
        <x:f>$B$14</x:f>
        <x:v>120343.60044642857</x:v>
      </x:c>
      <x:c r="U38" s="100" t="n">
        <x:v>0</x:v>
      </x:c>
      <x:c r="V38" s="100" t="n">
        <x:f>S38-T38+U38</x:f>
        <x:v>9403.714931571434</x:v>
      </x:c>
      <x:c r="W38" s="100" t="n">
        <x:f>W37+V38</x:f>
        <x:v>-677447.3326967863</x:v>
      </x:c>
    </x:row>
    <x:row r="39">
      <x:c r="A39" s="67" t="n">
        <x:v>18</x:v>
      </x:c>
      <x:c r="B39" s="100" t="n">
        <x:f>IF(A39=1,$G$5*$B$15,IF(A39=2,$G$5*$B$16,IF(A39=3,$G$5*$B$17,$G$5)))</x:f>
        <x:v>280000</x:v>
      </x:c>
      <x:c r="C39" s="100" t="n">
        <x:f>B39*$B$13</x:f>
        <x:v>172996.420504</x:v>
      </x:c>
      <x:c r="D39" s="100" t="n">
        <x:f>$B$14</x:f>
        <x:v>120343.60044642857</x:v>
      </x:c>
      <x:c r="E39" s="100" t="n">
        <x:v>0</x:v>
      </x:c>
      <x:c r="F39" s="100" t="n">
        <x:f>C39-D39+E39</x:f>
        <x:v>52652.82005757144</x:v>
      </x:c>
      <x:c r="G39" s="100" t="n">
        <x:f>G38+F39</x:f>
        <x:v>78003.44565828593</x:v>
      </x:c>
      <x:c r="H39" s="119"/>
      <x:c r="I39" s="67" t="n">
        <x:v>18</x:v>
      </x:c>
      <x:c r="J39" s="100" t="n">
        <x:f>IF(I39=1,$G$6*$B$15,IF(I39=2,$G$6*$B$16,IF(I39=3,$G$6*$B$17,$G$6)))</x:f>
        <x:v>250000</x:v>
      </x:c>
      <x:c r="K39" s="100" t="n">
        <x:f>J39*$B$13</x:f>
        <x:v>154461.08973571428</x:v>
      </x:c>
      <x:c r="L39" s="100" t="n">
        <x:f>$B$14</x:f>
        <x:v>120343.60044642857</x:v>
      </x:c>
      <x:c r="M39" s="100" t="n">
        <x:v>0</x:v>
      </x:c>
      <x:c r="N39" s="100" t="n">
        <x:f>K39-L39+M39</x:f>
        <x:v>34117.48928928572</x:v>
      </x:c>
      <x:c r="O39" s="100" t="n">
        <x:f>O38+N39</x:f>
        <x:v>-241731.01009464252</x:v>
      </x:c>
      <x:c r="P39" s="119"/>
      <x:c r="Q39" s="67" t="n">
        <x:v>18</x:v>
      </x:c>
      <x:c r="R39" s="100" t="n">
        <x:f>IF(Q39=1,$G$7*$B$15,IF(Q39=2,$G$7*$B$16,IF(Q39=3,$G$7*$B$17,$G$7)))</x:f>
        <x:v>210000</x:v>
      </x:c>
      <x:c r="S39" s="100" t="n">
        <x:f>R39*$B$13</x:f>
        <x:v>129747.315378</x:v>
      </x:c>
      <x:c r="T39" s="100" t="n">
        <x:f>$B$14</x:f>
        <x:v>120343.60044642857</x:v>
      </x:c>
      <x:c r="U39" s="100" t="n">
        <x:v>0</x:v>
      </x:c>
      <x:c r="V39" s="100" t="n">
        <x:f>S39-T39+U39</x:f>
        <x:v>9403.714931571434</x:v>
      </x:c>
      <x:c r="W39" s="100" t="n">
        <x:f>W38+V39</x:f>
        <x:v>-668043.6177652149</x:v>
      </x:c>
    </x:row>
    <x:row r="40">
      <x:c r="A40" s="67" t="n">
        <x:v>19</x:v>
      </x:c>
      <x:c r="B40" s="100" t="n">
        <x:f>IF(A40=1,$G$5*$B$15,IF(A40=2,$G$5*$B$16,IF(A40=3,$G$5*$B$17,$G$5)))</x:f>
        <x:v>280000</x:v>
      </x:c>
      <x:c r="C40" s="100" t="n">
        <x:f>B40*$B$13</x:f>
        <x:v>172996.420504</x:v>
      </x:c>
      <x:c r="D40" s="100" t="n">
        <x:f>$B$14</x:f>
        <x:v>120343.60044642857</x:v>
      </x:c>
      <x:c r="E40" s="100" t="n">
        <x:v>0</x:v>
      </x:c>
      <x:c r="F40" s="100" t="n">
        <x:f>C40-D40+E40</x:f>
        <x:v>52652.82005757144</x:v>
      </x:c>
      <x:c r="G40" s="100" t="n">
        <x:f>G39+F40</x:f>
        <x:v>130656.26571585737</x:v>
      </x:c>
      <x:c r="H40" s="119"/>
      <x:c r="I40" s="67" t="n">
        <x:v>19</x:v>
      </x:c>
      <x:c r="J40" s="100" t="n">
        <x:f>IF(I40=1,$G$6*$B$15,IF(I40=2,$G$6*$B$16,IF(I40=3,$G$6*$B$17,$G$6)))</x:f>
        <x:v>250000</x:v>
      </x:c>
      <x:c r="K40" s="100" t="n">
        <x:f>J40*$B$13</x:f>
        <x:v>154461.08973571428</x:v>
      </x:c>
      <x:c r="L40" s="100" t="n">
        <x:f>$B$14</x:f>
        <x:v>120343.60044642857</x:v>
      </x:c>
      <x:c r="M40" s="100" t="n">
        <x:v>0</x:v>
      </x:c>
      <x:c r="N40" s="100" t="n">
        <x:f>K40-L40+M40</x:f>
        <x:v>34117.48928928572</x:v>
      </x:c>
      <x:c r="O40" s="100" t="n">
        <x:f>O39+N40</x:f>
        <x:v>-207613.5208053568</x:v>
      </x:c>
      <x:c r="P40" s="119"/>
      <x:c r="Q40" s="67" t="n">
        <x:v>19</x:v>
      </x:c>
      <x:c r="R40" s="100" t="n">
        <x:f>IF(Q40=1,$G$7*$B$15,IF(Q40=2,$G$7*$B$16,IF(Q40=3,$G$7*$B$17,$G$7)))</x:f>
        <x:v>210000</x:v>
      </x:c>
      <x:c r="S40" s="100" t="n">
        <x:f>R40*$B$13</x:f>
        <x:v>129747.315378</x:v>
      </x:c>
      <x:c r="T40" s="100" t="n">
        <x:f>$B$14</x:f>
        <x:v>120343.60044642857</x:v>
      </x:c>
      <x:c r="U40" s="100" t="n">
        <x:v>0</x:v>
      </x:c>
      <x:c r="V40" s="100" t="n">
        <x:f>S40-T40+U40</x:f>
        <x:v>9403.714931571434</x:v>
      </x:c>
      <x:c r="W40" s="100" t="n">
        <x:f>W39+V40</x:f>
        <x:v>-658639.9028336435</x:v>
      </x:c>
    </x:row>
    <x:row r="41">
      <x:c r="A41" s="67" t="n">
        <x:v>20</x:v>
      </x:c>
      <x:c r="B41" s="100" t="n">
        <x:f>IF(A41=1,$G$5*$B$15,IF(A41=2,$G$5*$B$16,IF(A41=3,$G$5*$B$17,$G$5)))</x:f>
        <x:v>280000</x:v>
      </x:c>
      <x:c r="C41" s="100" t="n">
        <x:f>B41*$B$13</x:f>
        <x:v>172996.420504</x:v>
      </x:c>
      <x:c r="D41" s="100" t="n">
        <x:f>$B$14</x:f>
        <x:v>120343.60044642857</x:v>
      </x:c>
      <x:c r="E41" s="100" t="n">
        <x:v>0</x:v>
      </x:c>
      <x:c r="F41" s="100" t="n">
        <x:f>C41-D41+E41</x:f>
        <x:v>52652.82005757144</x:v>
      </x:c>
      <x:c r="G41" s="100" t="n">
        <x:f>G40+F41</x:f>
        <x:v>183309.08577342881</x:v>
      </x:c>
      <x:c r="H41" s="119"/>
      <x:c r="I41" s="67" t="n">
        <x:v>20</x:v>
      </x:c>
      <x:c r="J41" s="100" t="n">
        <x:f>IF(I41=1,$G$6*$B$15,IF(I41=2,$G$6*$B$16,IF(I41=3,$G$6*$B$17,$G$6)))</x:f>
        <x:v>250000</x:v>
      </x:c>
      <x:c r="K41" s="100" t="n">
        <x:f>J41*$B$13</x:f>
        <x:v>154461.08973571428</x:v>
      </x:c>
      <x:c r="L41" s="100" t="n">
        <x:f>$B$14</x:f>
        <x:v>120343.60044642857</x:v>
      </x:c>
      <x:c r="M41" s="100" t="n">
        <x:v>0</x:v>
      </x:c>
      <x:c r="N41" s="100" t="n">
        <x:f>K41-L41+M41</x:f>
        <x:v>34117.48928928572</x:v>
      </x:c>
      <x:c r="O41" s="100" t="n">
        <x:f>O40+N41</x:f>
        <x:v>-173496.03151607106</x:v>
      </x:c>
      <x:c r="P41" s="119"/>
      <x:c r="Q41" s="67" t="n">
        <x:v>20</x:v>
      </x:c>
      <x:c r="R41" s="100" t="n">
        <x:f>IF(Q41=1,$G$7*$B$15,IF(Q41=2,$G$7*$B$16,IF(Q41=3,$G$7*$B$17,$G$7)))</x:f>
        <x:v>210000</x:v>
      </x:c>
      <x:c r="S41" s="100" t="n">
        <x:f>R41*$B$13</x:f>
        <x:v>129747.315378</x:v>
      </x:c>
      <x:c r="T41" s="100" t="n">
        <x:f>$B$14</x:f>
        <x:v>120343.60044642857</x:v>
      </x:c>
      <x:c r="U41" s="100" t="n">
        <x:v>0</x:v>
      </x:c>
      <x:c r="V41" s="100" t="n">
        <x:f>S41-T41+U41</x:f>
        <x:v>9403.714931571434</x:v>
      </x:c>
      <x:c r="W41" s="100" t="n">
        <x:f>W40+V41</x:f>
        <x:v>-649236.1879020721</x:v>
      </x:c>
    </x:row>
    <x:row r="42">
      <x:c r="A42" s="67" t="n">
        <x:v>21</x:v>
      </x:c>
      <x:c r="B42" s="100" t="n">
        <x:f>IF(A42=1,$G$5*$B$15,IF(A42=2,$G$5*$B$16,IF(A42=3,$G$5*$B$17,$G$5)))</x:f>
        <x:v>280000</x:v>
      </x:c>
      <x:c r="C42" s="100" t="n">
        <x:f>B42*$B$13</x:f>
        <x:v>172996.420504</x:v>
      </x:c>
      <x:c r="D42" s="100" t="n">
        <x:f>$B$14</x:f>
        <x:v>120343.60044642857</x:v>
      </x:c>
      <x:c r="E42" s="100" t="n">
        <x:v>0</x:v>
      </x:c>
      <x:c r="F42" s="100" t="n">
        <x:f>C42-D42+E42</x:f>
        <x:v>52652.82005757144</x:v>
      </x:c>
      <x:c r="G42" s="100" t="n">
        <x:f>G41+F42</x:f>
        <x:v>235961.90583100024</x:v>
      </x:c>
      <x:c r="H42" s="119"/>
      <x:c r="I42" s="67" t="n">
        <x:v>21</x:v>
      </x:c>
      <x:c r="J42" s="100" t="n">
        <x:f>IF(I42=1,$G$6*$B$15,IF(I42=2,$G$6*$B$16,IF(I42=3,$G$6*$B$17,$G$6)))</x:f>
        <x:v>250000</x:v>
      </x:c>
      <x:c r="K42" s="100" t="n">
        <x:f>J42*$B$13</x:f>
        <x:v>154461.08973571428</x:v>
      </x:c>
      <x:c r="L42" s="100" t="n">
        <x:f>$B$14</x:f>
        <x:v>120343.60044642857</x:v>
      </x:c>
      <x:c r="M42" s="100" t="n">
        <x:v>0</x:v>
      </x:c>
      <x:c r="N42" s="100" t="n">
        <x:f>K42-L42+M42</x:f>
        <x:v>34117.48928928572</x:v>
      </x:c>
      <x:c r="O42" s="100" t="n">
        <x:f>O41+N42</x:f>
        <x:v>-139378.54222678533</x:v>
      </x:c>
      <x:c r="P42" s="119"/>
      <x:c r="Q42" s="67" t="n">
        <x:v>21</x:v>
      </x:c>
      <x:c r="R42" s="100" t="n">
        <x:f>IF(Q42=1,$G$7*$B$15,IF(Q42=2,$G$7*$B$16,IF(Q42=3,$G$7*$B$17,$G$7)))</x:f>
        <x:v>210000</x:v>
      </x:c>
      <x:c r="S42" s="100" t="n">
        <x:f>R42*$B$13</x:f>
        <x:v>129747.315378</x:v>
      </x:c>
      <x:c r="T42" s="100" t="n">
        <x:f>$B$14</x:f>
        <x:v>120343.60044642857</x:v>
      </x:c>
      <x:c r="U42" s="100" t="n">
        <x:v>0</x:v>
      </x:c>
      <x:c r="V42" s="100" t="n">
        <x:f>S42-T42+U42</x:f>
        <x:v>9403.714931571434</x:v>
      </x:c>
      <x:c r="W42" s="100" t="n">
        <x:f>W41+V42</x:f>
        <x:v>-639832.4729705007</x:v>
      </x:c>
    </x:row>
    <x:row r="43">
      <x:c r="A43" s="67" t="n">
        <x:v>22</x:v>
      </x:c>
      <x:c r="B43" s="100" t="n">
        <x:f>IF(A43=1,$G$5*$B$15,IF(A43=2,$G$5*$B$16,IF(A43=3,$G$5*$B$17,$G$5)))</x:f>
        <x:v>280000</x:v>
      </x:c>
      <x:c r="C43" s="100" t="n">
        <x:f>B43*$B$13</x:f>
        <x:v>172996.420504</x:v>
      </x:c>
      <x:c r="D43" s="100" t="n">
        <x:f>$B$14</x:f>
        <x:v>120343.60044642857</x:v>
      </x:c>
      <x:c r="E43" s="100" t="n">
        <x:v>0</x:v>
      </x:c>
      <x:c r="F43" s="100" t="n">
        <x:f>C43-D43+E43</x:f>
        <x:v>52652.82005757144</x:v>
      </x:c>
      <x:c r="G43" s="100" t="n">
        <x:f>G42+F43</x:f>
        <x:v>288614.7258885717</x:v>
      </x:c>
      <x:c r="H43" s="119"/>
      <x:c r="I43" s="67" t="n">
        <x:v>22</x:v>
      </x:c>
      <x:c r="J43" s="100" t="n">
        <x:f>IF(I43=1,$G$6*$B$15,IF(I43=2,$G$6*$B$16,IF(I43=3,$G$6*$B$17,$G$6)))</x:f>
        <x:v>250000</x:v>
      </x:c>
      <x:c r="K43" s="100" t="n">
        <x:f>J43*$B$13</x:f>
        <x:v>154461.08973571428</x:v>
      </x:c>
      <x:c r="L43" s="100" t="n">
        <x:f>$B$14</x:f>
        <x:v>120343.60044642857</x:v>
      </x:c>
      <x:c r="M43" s="100" t="n">
        <x:v>0</x:v>
      </x:c>
      <x:c r="N43" s="100" t="n">
        <x:f>K43-L43+M43</x:f>
        <x:v>34117.48928928572</x:v>
      </x:c>
      <x:c r="O43" s="100" t="n">
        <x:f>O42+N43</x:f>
        <x:v>-105261.05293749961</x:v>
      </x:c>
      <x:c r="P43" s="119"/>
      <x:c r="Q43" s="67" t="n">
        <x:v>22</x:v>
      </x:c>
      <x:c r="R43" s="100" t="n">
        <x:f>IF(Q43=1,$G$7*$B$15,IF(Q43=2,$G$7*$B$16,IF(Q43=3,$G$7*$B$17,$G$7)))</x:f>
        <x:v>210000</x:v>
      </x:c>
      <x:c r="S43" s="100" t="n">
        <x:f>R43*$B$13</x:f>
        <x:v>129747.315378</x:v>
      </x:c>
      <x:c r="T43" s="100" t="n">
        <x:f>$B$14</x:f>
        <x:v>120343.60044642857</x:v>
      </x:c>
      <x:c r="U43" s="100" t="n">
        <x:v>0</x:v>
      </x:c>
      <x:c r="V43" s="100" t="n">
        <x:f>S43-T43+U43</x:f>
        <x:v>9403.714931571434</x:v>
      </x:c>
      <x:c r="W43" s="100" t="n">
        <x:f>W42+V43</x:f>
        <x:v>-630428.7580389293</x:v>
      </x:c>
    </x:row>
    <x:row r="44">
      <x:c r="A44" s="67" t="n">
        <x:v>23</x:v>
      </x:c>
      <x:c r="B44" s="100" t="n">
        <x:f>IF(A44=1,$G$5*$B$15,IF(A44=2,$G$5*$B$16,IF(A44=3,$G$5*$B$17,$G$5)))</x:f>
        <x:v>280000</x:v>
      </x:c>
      <x:c r="C44" s="100" t="n">
        <x:f>B44*$B$13</x:f>
        <x:v>172996.420504</x:v>
      </x:c>
      <x:c r="D44" s="100" t="n">
        <x:f>$B$14</x:f>
        <x:v>120343.60044642857</x:v>
      </x:c>
      <x:c r="E44" s="100" t="n">
        <x:v>0</x:v>
      </x:c>
      <x:c r="F44" s="100" t="n">
        <x:f>C44-D44+E44</x:f>
        <x:v>52652.82005757144</x:v>
      </x:c>
      <x:c r="G44" s="100" t="n">
        <x:f>G43+F44</x:f>
        <x:v>341267.54594614316</x:v>
      </x:c>
      <x:c r="H44" s="119"/>
      <x:c r="I44" s="67" t="n">
        <x:v>23</x:v>
      </x:c>
      <x:c r="J44" s="100" t="n">
        <x:f>IF(I44=1,$G$6*$B$15,IF(I44=2,$G$6*$B$16,IF(I44=3,$G$6*$B$17,$G$6)))</x:f>
        <x:v>250000</x:v>
      </x:c>
      <x:c r="K44" s="100" t="n">
        <x:f>J44*$B$13</x:f>
        <x:v>154461.08973571428</x:v>
      </x:c>
      <x:c r="L44" s="100" t="n">
        <x:f>$B$14</x:f>
        <x:v>120343.60044642857</x:v>
      </x:c>
      <x:c r="M44" s="100" t="n">
        <x:v>0</x:v>
      </x:c>
      <x:c r="N44" s="100" t="n">
        <x:f>K44-L44+M44</x:f>
        <x:v>34117.48928928572</x:v>
      </x:c>
      <x:c r="O44" s="100" t="n">
        <x:f>O43+N44</x:f>
        <x:v>-71143.5636482139</x:v>
      </x:c>
      <x:c r="P44" s="119"/>
      <x:c r="Q44" s="67" t="n">
        <x:v>23</x:v>
      </x:c>
      <x:c r="R44" s="100" t="n">
        <x:f>IF(Q44=1,$G$7*$B$15,IF(Q44=2,$G$7*$B$16,IF(Q44=3,$G$7*$B$17,$G$7)))</x:f>
        <x:v>210000</x:v>
      </x:c>
      <x:c r="S44" s="100" t="n">
        <x:f>R44*$B$13</x:f>
        <x:v>129747.315378</x:v>
      </x:c>
      <x:c r="T44" s="100" t="n">
        <x:f>$B$14</x:f>
        <x:v>120343.60044642857</x:v>
      </x:c>
      <x:c r="U44" s="100" t="n">
        <x:v>0</x:v>
      </x:c>
      <x:c r="V44" s="100" t="n">
        <x:f>S44-T44+U44</x:f>
        <x:v>9403.714931571434</x:v>
      </x:c>
      <x:c r="W44" s="100" t="n">
        <x:f>W43+V44</x:f>
        <x:v>-621025.0431073579</x:v>
      </x:c>
    </x:row>
    <x:row r="45">
      <x:c r="A45" s="67" t="n">
        <x:v>24</x:v>
      </x:c>
      <x:c r="B45" s="100" t="n">
        <x:f>IF(A45=1,$G$5*$B$15,IF(A45=2,$G$5*$B$16,IF(A45=3,$G$5*$B$17,$G$5)))</x:f>
        <x:v>280000</x:v>
      </x:c>
      <x:c r="C45" s="100" t="n">
        <x:f>B45*$B$13</x:f>
        <x:v>172996.420504</x:v>
      </x:c>
      <x:c r="D45" s="100" t="n">
        <x:f>$B$14</x:f>
        <x:v>120343.60044642857</x:v>
      </x:c>
      <x:c r="E45" s="100" t="n">
        <x:v>0</x:v>
      </x:c>
      <x:c r="F45" s="100" t="n">
        <x:f>C45-D45+E45</x:f>
        <x:v>52652.82005757144</x:v>
      </x:c>
      <x:c r="G45" s="100" t="n">
        <x:f>G44+F45</x:f>
        <x:v>393920.3660037146</x:v>
      </x:c>
      <x:c r="H45" s="119"/>
      <x:c r="I45" s="67" t="n">
        <x:v>24</x:v>
      </x:c>
      <x:c r="J45" s="100" t="n">
        <x:f>IF(I45=1,$G$6*$B$15,IF(I45=2,$G$6*$B$16,IF(I45=3,$G$6*$B$17,$G$6)))</x:f>
        <x:v>250000</x:v>
      </x:c>
      <x:c r="K45" s="100" t="n">
        <x:f>J45*$B$13</x:f>
        <x:v>154461.08973571428</x:v>
      </x:c>
      <x:c r="L45" s="100" t="n">
        <x:f>$B$14</x:f>
        <x:v>120343.60044642857</x:v>
      </x:c>
      <x:c r="M45" s="100" t="n">
        <x:v>0</x:v>
      </x:c>
      <x:c r="N45" s="100" t="n">
        <x:f>K45-L45+M45</x:f>
        <x:v>34117.48928928572</x:v>
      </x:c>
      <x:c r="O45" s="100" t="n">
        <x:f>O44+N45</x:f>
        <x:v>-37026.07435892818</x:v>
      </x:c>
      <x:c r="P45" s="119"/>
      <x:c r="Q45" s="67" t="n">
        <x:v>24</x:v>
      </x:c>
      <x:c r="R45" s="100" t="n">
        <x:f>IF(Q45=1,$G$7*$B$15,IF(Q45=2,$G$7*$B$16,IF(Q45=3,$G$7*$B$17,$G$7)))</x:f>
        <x:v>210000</x:v>
      </x:c>
      <x:c r="S45" s="100" t="n">
        <x:f>R45*$B$13</x:f>
        <x:v>129747.315378</x:v>
      </x:c>
      <x:c r="T45" s="100" t="n">
        <x:f>$B$14</x:f>
        <x:v>120343.60044642857</x:v>
      </x:c>
      <x:c r="U45" s="100" t="n">
        <x:v>0</x:v>
      </x:c>
      <x:c r="V45" s="100" t="n">
        <x:f>S45-T45+U45</x:f>
        <x:v>9403.714931571434</x:v>
      </x:c>
      <x:c r="W45" s="100" t="n">
        <x:f>W44+V45</x:f>
        <x:v>-611621.3281757865</x:v>
      </x:c>
    </x:row>
    <x:row r="46">
      <x:c r="A46" s="67" t="n">
        <x:v>25</x:v>
      </x:c>
      <x:c r="B46" s="100" t="n">
        <x:f>IF(A46=1,$G$5*$B$15,IF(A46=2,$G$5*$B$16,IF(A46=3,$G$5*$B$17,$G$5)))</x:f>
        <x:v>280000</x:v>
      </x:c>
      <x:c r="C46" s="100" t="n">
        <x:f>B46*$B$13</x:f>
        <x:v>172996.420504</x:v>
      </x:c>
      <x:c r="D46" s="100" t="n">
        <x:f>$B$14</x:f>
        <x:v>120343.60044642857</x:v>
      </x:c>
      <x:c r="E46" s="100" t="n">
        <x:v>0</x:v>
      </x:c>
      <x:c r="F46" s="100" t="n">
        <x:f>C46-D46+E46</x:f>
        <x:v>52652.82005757144</x:v>
      </x:c>
      <x:c r="G46" s="100" t="n">
        <x:f>G45+F46</x:f>
        <x:v>446573.1860612861</x:v>
      </x:c>
      <x:c r="H46" s="119"/>
      <x:c r="I46" s="67" t="n">
        <x:v>25</x:v>
      </x:c>
      <x:c r="J46" s="100" t="n">
        <x:f>IF(I46=1,$G$6*$B$15,IF(I46=2,$G$6*$B$16,IF(I46=3,$G$6*$B$17,$G$6)))</x:f>
        <x:v>250000</x:v>
      </x:c>
      <x:c r="K46" s="100" t="n">
        <x:f>J46*$B$13</x:f>
        <x:v>154461.08973571428</x:v>
      </x:c>
      <x:c r="L46" s="100" t="n">
        <x:f>$B$14</x:f>
        <x:v>120343.60044642857</x:v>
      </x:c>
      <x:c r="M46" s="100" t="n">
        <x:v>0</x:v>
      </x:c>
      <x:c r="N46" s="100" t="n">
        <x:f>K46-L46+M46</x:f>
        <x:v>34117.48928928572</x:v>
      </x:c>
      <x:c r="O46" s="100" t="n">
        <x:f>O45+N46</x:f>
        <x:v>-2908.5850696424604</x:v>
      </x:c>
      <x:c r="P46" s="119"/>
      <x:c r="Q46" s="67" t="n">
        <x:v>25</x:v>
      </x:c>
      <x:c r="R46" s="100" t="n">
        <x:f>IF(Q46=1,$G$7*$B$15,IF(Q46=2,$G$7*$B$16,IF(Q46=3,$G$7*$B$17,$G$7)))</x:f>
        <x:v>210000</x:v>
      </x:c>
      <x:c r="S46" s="100" t="n">
        <x:f>R46*$B$13</x:f>
        <x:v>129747.315378</x:v>
      </x:c>
      <x:c r="T46" s="100" t="n">
        <x:f>$B$14</x:f>
        <x:v>120343.60044642857</x:v>
      </x:c>
      <x:c r="U46" s="100" t="n">
        <x:v>0</x:v>
      </x:c>
      <x:c r="V46" s="100" t="n">
        <x:f>S46-T46+U46</x:f>
        <x:v>9403.714931571434</x:v>
      </x:c>
      <x:c r="W46" s="100" t="n">
        <x:f>W45+V46</x:f>
        <x:v>-602217.6132442151</x:v>
      </x:c>
    </x:row>
    <x:row r="47">
      <x:c r="A47" s="67" t="n">
        <x:v>26</x:v>
      </x:c>
      <x:c r="B47" s="100" t="n">
        <x:f>IF(A47=1,$G$5*$B$15,IF(A47=2,$G$5*$B$16,IF(A47=3,$G$5*$B$17,$G$5)))</x:f>
        <x:v>280000</x:v>
      </x:c>
      <x:c r="C47" s="100" t="n">
        <x:f>B47*$B$13</x:f>
        <x:v>172996.420504</x:v>
      </x:c>
      <x:c r="D47" s="100" t="n">
        <x:f>$B$14</x:f>
        <x:v>120343.60044642857</x:v>
      </x:c>
      <x:c r="E47" s="100" t="n">
        <x:v>0</x:v>
      </x:c>
      <x:c r="F47" s="100" t="n">
        <x:f>C47-D47+E47</x:f>
        <x:v>52652.82005757144</x:v>
      </x:c>
      <x:c r="G47" s="100" t="n">
        <x:f>G46+F47</x:f>
        <x:v>499226.00611885753</x:v>
      </x:c>
      <x:c r="H47" s="119"/>
      <x:c r="I47" s="67" t="n">
        <x:v>26</x:v>
      </x:c>
      <x:c r="J47" s="100" t="n">
        <x:f>IF(I47=1,$G$6*$B$15,IF(I47=2,$G$6*$B$16,IF(I47=3,$G$6*$B$17,$G$6)))</x:f>
        <x:v>250000</x:v>
      </x:c>
      <x:c r="K47" s="100" t="n">
        <x:f>J47*$B$13</x:f>
        <x:v>154461.08973571428</x:v>
      </x:c>
      <x:c r="L47" s="100" t="n">
        <x:f>$B$14</x:f>
        <x:v>120343.60044642857</x:v>
      </x:c>
      <x:c r="M47" s="100" t="n">
        <x:v>0</x:v>
      </x:c>
      <x:c r="N47" s="100" t="n">
        <x:f>K47-L47+M47</x:f>
        <x:v>34117.48928928572</x:v>
      </x:c>
      <x:c r="O47" s="100" t="n">
        <x:f>O46+N47</x:f>
        <x:v>31208.904219643257</x:v>
      </x:c>
      <x:c r="P47" s="119"/>
      <x:c r="Q47" s="67" t="n">
        <x:v>26</x:v>
      </x:c>
      <x:c r="R47" s="100" t="n">
        <x:f>IF(Q47=1,$G$7*$B$15,IF(Q47=2,$G$7*$B$16,IF(Q47=3,$G$7*$B$17,$G$7)))</x:f>
        <x:v>210000</x:v>
      </x:c>
      <x:c r="S47" s="100" t="n">
        <x:f>R47*$B$13</x:f>
        <x:v>129747.315378</x:v>
      </x:c>
      <x:c r="T47" s="100" t="n">
        <x:f>$B$14</x:f>
        <x:v>120343.60044642857</x:v>
      </x:c>
      <x:c r="U47" s="100" t="n">
        <x:v>0</x:v>
      </x:c>
      <x:c r="V47" s="100" t="n">
        <x:f>S47-T47+U47</x:f>
        <x:v>9403.714931571434</x:v>
      </x:c>
      <x:c r="W47" s="100" t="n">
        <x:f>W46+V47</x:f>
        <x:v>-592813.8983126438</x:v>
      </x:c>
    </x:row>
    <x:row r="48">
      <x:c r="A48" s="67" t="n">
        <x:v>27</x:v>
      </x:c>
      <x:c r="B48" s="100" t="n">
        <x:f>IF(A48=1,$G$5*$B$15,IF(A48=2,$G$5*$B$16,IF(A48=3,$G$5*$B$17,$G$5)))</x:f>
        <x:v>280000</x:v>
      </x:c>
      <x:c r="C48" s="100" t="n">
        <x:f>B48*$B$13</x:f>
        <x:v>172996.420504</x:v>
      </x:c>
      <x:c r="D48" s="100" t="n">
        <x:f>$B$14</x:f>
        <x:v>120343.60044642857</x:v>
      </x:c>
      <x:c r="E48" s="100" t="n">
        <x:v>0</x:v>
      </x:c>
      <x:c r="F48" s="100" t="n">
        <x:f>C48-D48+E48</x:f>
        <x:v>52652.82005757144</x:v>
      </x:c>
      <x:c r="G48" s="100" t="n">
        <x:f>G47+F48</x:f>
        <x:v>551878.8261764289</x:v>
      </x:c>
      <x:c r="H48" s="119"/>
      <x:c r="I48" s="67" t="n">
        <x:v>27</x:v>
      </x:c>
      <x:c r="J48" s="100" t="n">
        <x:f>IF(I48=1,$G$6*$B$15,IF(I48=2,$G$6*$B$16,IF(I48=3,$G$6*$B$17,$G$6)))</x:f>
        <x:v>250000</x:v>
      </x:c>
      <x:c r="K48" s="100" t="n">
        <x:f>J48*$B$13</x:f>
        <x:v>154461.08973571428</x:v>
      </x:c>
      <x:c r="L48" s="100" t="n">
        <x:f>$B$14</x:f>
        <x:v>120343.60044642857</x:v>
      </x:c>
      <x:c r="M48" s="100" t="n">
        <x:v>0</x:v>
      </x:c>
      <x:c r="N48" s="100" t="n">
        <x:f>K48-L48+M48</x:f>
        <x:v>34117.48928928572</x:v>
      </x:c>
      <x:c r="O48" s="100" t="n">
        <x:f>O47+N48</x:f>
        <x:v>65326.39350892897</x:v>
      </x:c>
      <x:c r="P48" s="119"/>
      <x:c r="Q48" s="67" t="n">
        <x:v>27</x:v>
      </x:c>
      <x:c r="R48" s="100" t="n">
        <x:f>IF(Q48=1,$G$7*$B$15,IF(Q48=2,$G$7*$B$16,IF(Q48=3,$G$7*$B$17,$G$7)))</x:f>
        <x:v>210000</x:v>
      </x:c>
      <x:c r="S48" s="100" t="n">
        <x:f>R48*$B$13</x:f>
        <x:v>129747.315378</x:v>
      </x:c>
      <x:c r="T48" s="100" t="n">
        <x:f>$B$14</x:f>
        <x:v>120343.60044642857</x:v>
      </x:c>
      <x:c r="U48" s="100" t="n">
        <x:v>0</x:v>
      </x:c>
      <x:c r="V48" s="100" t="n">
        <x:f>S48-T48+U48</x:f>
        <x:v>9403.714931571434</x:v>
      </x:c>
      <x:c r="W48" s="100" t="n">
        <x:f>W47+V48</x:f>
        <x:v>-583410.1833810724</x:v>
      </x:c>
    </x:row>
    <x:row r="49">
      <x:c r="A49" s="67" t="n">
        <x:v>28</x:v>
      </x:c>
      <x:c r="B49" s="100" t="n">
        <x:f>IF(A49=1,$G$5*$B$15,IF(A49=2,$G$5*$B$16,IF(A49=3,$G$5*$B$17,$G$5)))</x:f>
        <x:v>280000</x:v>
      </x:c>
      <x:c r="C49" s="100" t="n">
        <x:f>B49*$B$13</x:f>
        <x:v>172996.420504</x:v>
      </x:c>
      <x:c r="D49" s="100" t="n">
        <x:f>$B$14</x:f>
        <x:v>120343.60044642857</x:v>
      </x:c>
      <x:c r="E49" s="100" t="n">
        <x:v>0</x:v>
      </x:c>
      <x:c r="F49" s="100" t="n">
        <x:f>C49-D49+E49</x:f>
        <x:v>52652.82005757144</x:v>
      </x:c>
      <x:c r="G49" s="100" t="n">
        <x:f>G48+F49</x:f>
        <x:v>604531.6462340003</x:v>
      </x:c>
      <x:c r="H49" s="119"/>
      <x:c r="I49" s="67" t="n">
        <x:v>28</x:v>
      </x:c>
      <x:c r="J49" s="100" t="n">
        <x:f>IF(I49=1,$G$6*$B$15,IF(I49=2,$G$6*$B$16,IF(I49=3,$G$6*$B$17,$G$6)))</x:f>
        <x:v>250000</x:v>
      </x:c>
      <x:c r="K49" s="100" t="n">
        <x:f>J49*$B$13</x:f>
        <x:v>154461.08973571428</x:v>
      </x:c>
      <x:c r="L49" s="100" t="n">
        <x:f>$B$14</x:f>
        <x:v>120343.60044642857</x:v>
      </x:c>
      <x:c r="M49" s="100" t="n">
        <x:v>0</x:v>
      </x:c>
      <x:c r="N49" s="100" t="n">
        <x:f>K49-L49+M49</x:f>
        <x:v>34117.48928928572</x:v>
      </x:c>
      <x:c r="O49" s="100" t="n">
        <x:f>O48+N49</x:f>
        <x:v>99443.88279821469</x:v>
      </x:c>
      <x:c r="P49" s="119"/>
      <x:c r="Q49" s="67" t="n">
        <x:v>28</x:v>
      </x:c>
      <x:c r="R49" s="100" t="n">
        <x:f>IF(Q49=1,$G$7*$B$15,IF(Q49=2,$G$7*$B$16,IF(Q49=3,$G$7*$B$17,$G$7)))</x:f>
        <x:v>210000</x:v>
      </x:c>
      <x:c r="S49" s="100" t="n">
        <x:f>R49*$B$13</x:f>
        <x:v>129747.315378</x:v>
      </x:c>
      <x:c r="T49" s="100" t="n">
        <x:f>$B$14</x:f>
        <x:v>120343.60044642857</x:v>
      </x:c>
      <x:c r="U49" s="100" t="n">
        <x:v>0</x:v>
      </x:c>
      <x:c r="V49" s="100" t="n">
        <x:f>S49-T49+U49</x:f>
        <x:v>9403.714931571434</x:v>
      </x:c>
      <x:c r="W49" s="100" t="n">
        <x:f>W48+V49</x:f>
        <x:v>-574006.468449501</x:v>
      </x:c>
    </x:row>
    <x:row r="50">
      <x:c r="A50" s="67" t="n">
        <x:v>29</x:v>
      </x:c>
      <x:c r="B50" s="100" t="n">
        <x:f>IF(A50=1,$G$5*$B$15,IF(A50=2,$G$5*$B$16,IF(A50=3,$G$5*$B$17,$G$5)))</x:f>
        <x:v>280000</x:v>
      </x:c>
      <x:c r="C50" s="100" t="n">
        <x:f>B50*$B$13</x:f>
        <x:v>172996.420504</x:v>
      </x:c>
      <x:c r="D50" s="100" t="n">
        <x:f>$B$14</x:f>
        <x:v>120343.60044642857</x:v>
      </x:c>
      <x:c r="E50" s="100" t="n">
        <x:v>0</x:v>
      </x:c>
      <x:c r="F50" s="100" t="n">
        <x:f>C50-D50+E50</x:f>
        <x:v>52652.82005757144</x:v>
      </x:c>
      <x:c r="G50" s="100" t="n">
        <x:f>G49+F50</x:f>
        <x:v>657184.4662915717</x:v>
      </x:c>
      <x:c r="H50" s="119"/>
      <x:c r="I50" s="67" t="n">
        <x:v>29</x:v>
      </x:c>
      <x:c r="J50" s="100" t="n">
        <x:f>IF(I50=1,$G$6*$B$15,IF(I50=2,$G$6*$B$16,IF(I50=3,$G$6*$B$17,$G$6)))</x:f>
        <x:v>250000</x:v>
      </x:c>
      <x:c r="K50" s="100" t="n">
        <x:f>J50*$B$13</x:f>
        <x:v>154461.08973571428</x:v>
      </x:c>
      <x:c r="L50" s="100" t="n">
        <x:f>$B$14</x:f>
        <x:v>120343.60044642857</x:v>
      </x:c>
      <x:c r="M50" s="100" t="n">
        <x:v>0</x:v>
      </x:c>
      <x:c r="N50" s="100" t="n">
        <x:f>K50-L50+M50</x:f>
        <x:v>34117.48928928572</x:v>
      </x:c>
      <x:c r="O50" s="100" t="n">
        <x:f>O49+N50</x:f>
        <x:v>133561.3720875004</x:v>
      </x:c>
      <x:c r="P50" s="119"/>
      <x:c r="Q50" s="67" t="n">
        <x:v>29</x:v>
      </x:c>
      <x:c r="R50" s="100" t="n">
        <x:f>IF(Q50=1,$G$7*$B$15,IF(Q50=2,$G$7*$B$16,IF(Q50=3,$G$7*$B$17,$G$7)))</x:f>
        <x:v>210000</x:v>
      </x:c>
      <x:c r="S50" s="100" t="n">
        <x:f>R50*$B$13</x:f>
        <x:v>129747.315378</x:v>
      </x:c>
      <x:c r="T50" s="100" t="n">
        <x:f>$B$14</x:f>
        <x:v>120343.60044642857</x:v>
      </x:c>
      <x:c r="U50" s="100" t="n">
        <x:v>0</x:v>
      </x:c>
      <x:c r="V50" s="100" t="n">
        <x:f>S50-T50+U50</x:f>
        <x:v>9403.714931571434</x:v>
      </x:c>
      <x:c r="W50" s="100" t="n">
        <x:f>W49+V50</x:f>
        <x:v>-564602.7535179296</x:v>
      </x:c>
    </x:row>
    <x:row r="51">
      <x:c r="A51" s="67" t="n">
        <x:v>30</x:v>
      </x:c>
      <x:c r="B51" s="100" t="n">
        <x:f>IF(A51=1,$G$5*$B$15,IF(A51=2,$G$5*$B$16,IF(A51=3,$G$5*$B$17,$G$5)))</x:f>
        <x:v>280000</x:v>
      </x:c>
      <x:c r="C51" s="100" t="n">
        <x:f>B51*$B$13</x:f>
        <x:v>172996.420504</x:v>
      </x:c>
      <x:c r="D51" s="100" t="n">
        <x:f>$B$14</x:f>
        <x:v>120343.60044642857</x:v>
      </x:c>
      <x:c r="E51" s="100" t="n">
        <x:v>0</x:v>
      </x:c>
      <x:c r="F51" s="100" t="n">
        <x:f>C51-D51+E51</x:f>
        <x:v>52652.82005757144</x:v>
      </x:c>
      <x:c r="G51" s="100" t="n">
        <x:f>G50+F51</x:f>
        <x:v>709837.2863491431</x:v>
      </x:c>
      <x:c r="H51" s="119"/>
      <x:c r="I51" s="67" t="n">
        <x:v>30</x:v>
      </x:c>
      <x:c r="J51" s="100" t="n">
        <x:f>IF(I51=1,$G$6*$B$15,IF(I51=2,$G$6*$B$16,IF(I51=3,$G$6*$B$17,$G$6)))</x:f>
        <x:v>250000</x:v>
      </x:c>
      <x:c r="K51" s="100" t="n">
        <x:f>J51*$B$13</x:f>
        <x:v>154461.08973571428</x:v>
      </x:c>
      <x:c r="L51" s="100" t="n">
        <x:f>$B$14</x:f>
        <x:v>120343.60044642857</x:v>
      </x:c>
      <x:c r="M51" s="100" t="n">
        <x:v>0</x:v>
      </x:c>
      <x:c r="N51" s="100" t="n">
        <x:f>K51-L51+M51</x:f>
        <x:v>34117.48928928572</x:v>
      </x:c>
      <x:c r="O51" s="100" t="n">
        <x:f>O50+N51</x:f>
        <x:v>167678.86137678614</x:v>
      </x:c>
      <x:c r="P51" s="119"/>
      <x:c r="Q51" s="67" t="n">
        <x:v>30</x:v>
      </x:c>
      <x:c r="R51" s="100" t="n">
        <x:f>IF(Q51=1,$G$7*$B$15,IF(Q51=2,$G$7*$B$16,IF(Q51=3,$G$7*$B$17,$G$7)))</x:f>
        <x:v>210000</x:v>
      </x:c>
      <x:c r="S51" s="100" t="n">
        <x:f>R51*$B$13</x:f>
        <x:v>129747.315378</x:v>
      </x:c>
      <x:c r="T51" s="100" t="n">
        <x:f>$B$14</x:f>
        <x:v>120343.60044642857</x:v>
      </x:c>
      <x:c r="U51" s="100" t="n">
        <x:v>0</x:v>
      </x:c>
      <x:c r="V51" s="100" t="n">
        <x:f>S51-T51+U51</x:f>
        <x:v>9403.714931571434</x:v>
      </x:c>
      <x:c r="W51" s="100" t="n">
        <x:f>W50+V51</x:f>
        <x:v>-555199.0385863582</x:v>
      </x:c>
    </x:row>
    <x:row r="52">
      <x:c r="A52" s="67" t="n">
        <x:v>31</x:v>
      </x:c>
      <x:c r="B52" s="100" t="n">
        <x:f>IF(A52=1,$G$5*$B$15,IF(A52=2,$G$5*$B$16,IF(A52=3,$G$5*$B$17,$G$5)))</x:f>
        <x:v>280000</x:v>
      </x:c>
      <x:c r="C52" s="100" t="n">
        <x:f>B52*$B$13</x:f>
        <x:v>172996.420504</x:v>
      </x:c>
      <x:c r="D52" s="100" t="n">
        <x:f>$B$14</x:f>
        <x:v>120343.60044642857</x:v>
      </x:c>
      <x:c r="E52" s="100" t="n">
        <x:v>0</x:v>
      </x:c>
      <x:c r="F52" s="100" t="n">
        <x:f>C52-D52+E52</x:f>
        <x:v>52652.82005757144</x:v>
      </x:c>
      <x:c r="G52" s="100" t="n">
        <x:f>G51+F52</x:f>
        <x:v>762490.1064067145</x:v>
      </x:c>
      <x:c r="H52" s="119"/>
      <x:c r="I52" s="67" t="n">
        <x:v>31</x:v>
      </x:c>
      <x:c r="J52" s="100" t="n">
        <x:f>IF(I52=1,$G$6*$B$15,IF(I52=2,$G$6*$B$16,IF(I52=3,$G$6*$B$17,$G$6)))</x:f>
        <x:v>250000</x:v>
      </x:c>
      <x:c r="K52" s="100" t="n">
        <x:f>J52*$B$13</x:f>
        <x:v>154461.08973571428</x:v>
      </x:c>
      <x:c r="L52" s="100" t="n">
        <x:f>$B$14</x:f>
        <x:v>120343.60044642857</x:v>
      </x:c>
      <x:c r="M52" s="100" t="n">
        <x:v>0</x:v>
      </x:c>
      <x:c r="N52" s="100" t="n">
        <x:f>K52-L52+M52</x:f>
        <x:v>34117.48928928572</x:v>
      </x:c>
      <x:c r="O52" s="100" t="n">
        <x:f>O51+N52</x:f>
        <x:v>201796.35066607187</x:v>
      </x:c>
      <x:c r="P52" s="119"/>
      <x:c r="Q52" s="67" t="n">
        <x:v>31</x:v>
      </x:c>
      <x:c r="R52" s="100" t="n">
        <x:f>IF(Q52=1,$G$7*$B$15,IF(Q52=2,$G$7*$B$16,IF(Q52=3,$G$7*$B$17,$G$7)))</x:f>
        <x:v>210000</x:v>
      </x:c>
      <x:c r="S52" s="100" t="n">
        <x:f>R52*$B$13</x:f>
        <x:v>129747.315378</x:v>
      </x:c>
      <x:c r="T52" s="100" t="n">
        <x:f>$B$14</x:f>
        <x:v>120343.60044642857</x:v>
      </x:c>
      <x:c r="U52" s="100" t="n">
        <x:v>0</x:v>
      </x:c>
      <x:c r="V52" s="100" t="n">
        <x:f>S52-T52+U52</x:f>
        <x:v>9403.714931571434</x:v>
      </x:c>
      <x:c r="W52" s="100" t="n">
        <x:f>W51+V52</x:f>
        <x:v>-545795.3236547868</x:v>
      </x:c>
    </x:row>
    <x:row r="53">
      <x:c r="A53" s="67" t="n">
        <x:v>32</x:v>
      </x:c>
      <x:c r="B53" s="100" t="n">
        <x:f>IF(A53=1,$G$5*$B$15,IF(A53=2,$G$5*$B$16,IF(A53=3,$G$5*$B$17,$G$5)))</x:f>
        <x:v>280000</x:v>
      </x:c>
      <x:c r="C53" s="100" t="n">
        <x:f>B53*$B$13</x:f>
        <x:v>172996.420504</x:v>
      </x:c>
      <x:c r="D53" s="100" t="n">
        <x:f>$B$14</x:f>
        <x:v>120343.60044642857</x:v>
      </x:c>
      <x:c r="E53" s="100" t="n">
        <x:v>0</x:v>
      </x:c>
      <x:c r="F53" s="100" t="n">
        <x:f>C53-D53+E53</x:f>
        <x:v>52652.82005757144</x:v>
      </x:c>
      <x:c r="G53" s="100" t="n">
        <x:f>G52+F53</x:f>
        <x:v>815142.9264642859</x:v>
      </x:c>
      <x:c r="H53" s="119"/>
      <x:c r="I53" s="67" t="n">
        <x:v>32</x:v>
      </x:c>
      <x:c r="J53" s="100" t="n">
        <x:f>IF(I53=1,$G$6*$B$15,IF(I53=2,$G$6*$B$16,IF(I53=3,$G$6*$B$17,$G$6)))</x:f>
        <x:v>250000</x:v>
      </x:c>
      <x:c r="K53" s="100" t="n">
        <x:f>J53*$B$13</x:f>
        <x:v>154461.08973571428</x:v>
      </x:c>
      <x:c r="L53" s="100" t="n">
        <x:f>$B$14</x:f>
        <x:v>120343.60044642857</x:v>
      </x:c>
      <x:c r="M53" s="100" t="n">
        <x:v>0</x:v>
      </x:c>
      <x:c r="N53" s="100" t="n">
        <x:f>K53-L53+M53</x:f>
        <x:v>34117.48928928572</x:v>
      </x:c>
      <x:c r="O53" s="100" t="n">
        <x:f>O52+N53</x:f>
        <x:v>235913.8399553576</x:v>
      </x:c>
      <x:c r="P53" s="119"/>
      <x:c r="Q53" s="67" t="n">
        <x:v>32</x:v>
      </x:c>
      <x:c r="R53" s="100" t="n">
        <x:f>IF(Q53=1,$G$7*$B$15,IF(Q53=2,$G$7*$B$16,IF(Q53=3,$G$7*$B$17,$G$7)))</x:f>
        <x:v>210000</x:v>
      </x:c>
      <x:c r="S53" s="100" t="n">
        <x:f>R53*$B$13</x:f>
        <x:v>129747.315378</x:v>
      </x:c>
      <x:c r="T53" s="100" t="n">
        <x:f>$B$14</x:f>
        <x:v>120343.60044642857</x:v>
      </x:c>
      <x:c r="U53" s="100" t="n">
        <x:v>0</x:v>
      </x:c>
      <x:c r="V53" s="100" t="n">
        <x:f>S53-T53+U53</x:f>
        <x:v>9403.714931571434</x:v>
      </x:c>
      <x:c r="W53" s="100" t="n">
        <x:f>W52+V53</x:f>
        <x:v>-536391.6087232154</x:v>
      </x:c>
    </x:row>
    <x:row r="54">
      <x:c r="A54" s="67" t="n">
        <x:v>33</x:v>
      </x:c>
      <x:c r="B54" s="100" t="n">
        <x:f>IF(A54=1,$G$5*$B$15,IF(A54=2,$G$5*$B$16,IF(A54=3,$G$5*$B$17,$G$5)))</x:f>
        <x:v>280000</x:v>
      </x:c>
      <x:c r="C54" s="100" t="n">
        <x:f>B54*$B$13</x:f>
        <x:v>172996.420504</x:v>
      </x:c>
      <x:c r="D54" s="100" t="n">
        <x:f>$B$14</x:f>
        <x:v>120343.60044642857</x:v>
      </x:c>
      <x:c r="E54" s="100" t="n">
        <x:v>0</x:v>
      </x:c>
      <x:c r="F54" s="100" t="n">
        <x:f>C54-D54+E54</x:f>
        <x:v>52652.82005757144</x:v>
      </x:c>
      <x:c r="G54" s="100" t="n">
        <x:f>G53+F54</x:f>
        <x:v>867795.7465218573</x:v>
      </x:c>
      <x:c r="H54" s="119"/>
      <x:c r="I54" s="67" t="n">
        <x:v>33</x:v>
      </x:c>
      <x:c r="J54" s="100" t="n">
        <x:f>IF(I54=1,$G$6*$B$15,IF(I54=2,$G$6*$B$16,IF(I54=3,$G$6*$B$17,$G$6)))</x:f>
        <x:v>250000</x:v>
      </x:c>
      <x:c r="K54" s="100" t="n">
        <x:f>J54*$B$13</x:f>
        <x:v>154461.08973571428</x:v>
      </x:c>
      <x:c r="L54" s="100" t="n">
        <x:f>$B$14</x:f>
        <x:v>120343.60044642857</x:v>
      </x:c>
      <x:c r="M54" s="100" t="n">
        <x:v>0</x:v>
      </x:c>
      <x:c r="N54" s="100" t="n">
        <x:f>K54-L54+M54</x:f>
        <x:v>34117.48928928572</x:v>
      </x:c>
      <x:c r="O54" s="100" t="n">
        <x:f>O53+N54</x:f>
        <x:v>270031.32924464333</x:v>
      </x:c>
      <x:c r="P54" s="119"/>
      <x:c r="Q54" s="67" t="n">
        <x:v>33</x:v>
      </x:c>
      <x:c r="R54" s="100" t="n">
        <x:f>IF(Q54=1,$G$7*$B$15,IF(Q54=2,$G$7*$B$16,IF(Q54=3,$G$7*$B$17,$G$7)))</x:f>
        <x:v>210000</x:v>
      </x:c>
      <x:c r="S54" s="100" t="n">
        <x:f>R54*$B$13</x:f>
        <x:v>129747.315378</x:v>
      </x:c>
      <x:c r="T54" s="100" t="n">
        <x:f>$B$14</x:f>
        <x:v>120343.60044642857</x:v>
      </x:c>
      <x:c r="U54" s="100" t="n">
        <x:v>0</x:v>
      </x:c>
      <x:c r="V54" s="100" t="n">
        <x:f>S54-T54+U54</x:f>
        <x:v>9403.714931571434</x:v>
      </x:c>
      <x:c r="W54" s="100" t="n">
        <x:f>W53+V54</x:f>
        <x:v>-526987.893791644</x:v>
      </x:c>
    </x:row>
    <x:row r="55">
      <x:c r="A55" s="67" t="n">
        <x:v>34</x:v>
      </x:c>
      <x:c r="B55" s="100" t="n">
        <x:f>IF(A55=1,$G$5*$B$15,IF(A55=2,$G$5*$B$16,IF(A55=3,$G$5*$B$17,$G$5)))</x:f>
        <x:v>280000</x:v>
      </x:c>
      <x:c r="C55" s="100" t="n">
        <x:f>B55*$B$13</x:f>
        <x:v>172996.420504</x:v>
      </x:c>
      <x:c r="D55" s="100" t="n">
        <x:f>$B$14</x:f>
        <x:v>120343.60044642857</x:v>
      </x:c>
      <x:c r="E55" s="100" t="n">
        <x:v>0</x:v>
      </x:c>
      <x:c r="F55" s="100" t="n">
        <x:f>C55-D55+E55</x:f>
        <x:v>52652.82005757144</x:v>
      </x:c>
      <x:c r="G55" s="100" t="n">
        <x:f>G54+F55</x:f>
        <x:v>920448.5665794287</x:v>
      </x:c>
      <x:c r="H55" s="119"/>
      <x:c r="I55" s="67" t="n">
        <x:v>34</x:v>
      </x:c>
      <x:c r="J55" s="100" t="n">
        <x:f>IF(I55=1,$G$6*$B$15,IF(I55=2,$G$6*$B$16,IF(I55=3,$G$6*$B$17,$G$6)))</x:f>
        <x:v>250000</x:v>
      </x:c>
      <x:c r="K55" s="100" t="n">
        <x:f>J55*$B$13</x:f>
        <x:v>154461.08973571428</x:v>
      </x:c>
      <x:c r="L55" s="100" t="n">
        <x:f>$B$14</x:f>
        <x:v>120343.60044642857</x:v>
      </x:c>
      <x:c r="M55" s="100" t="n">
        <x:v>0</x:v>
      </x:c>
      <x:c r="N55" s="100" t="n">
        <x:f>K55-L55+M55</x:f>
        <x:v>34117.48928928572</x:v>
      </x:c>
      <x:c r="O55" s="100" t="n">
        <x:f>O54+N55</x:f>
        <x:v>304148.81853392906</x:v>
      </x:c>
      <x:c r="P55" s="119"/>
      <x:c r="Q55" s="67" t="n">
        <x:v>34</x:v>
      </x:c>
      <x:c r="R55" s="100" t="n">
        <x:f>IF(Q55=1,$G$7*$B$15,IF(Q55=2,$G$7*$B$16,IF(Q55=3,$G$7*$B$17,$G$7)))</x:f>
        <x:v>210000</x:v>
      </x:c>
      <x:c r="S55" s="100" t="n">
        <x:f>R55*$B$13</x:f>
        <x:v>129747.315378</x:v>
      </x:c>
      <x:c r="T55" s="100" t="n">
        <x:f>$B$14</x:f>
        <x:v>120343.60044642857</x:v>
      </x:c>
      <x:c r="U55" s="100" t="n">
        <x:v>0</x:v>
      </x:c>
      <x:c r="V55" s="100" t="n">
        <x:f>S55-T55+U55</x:f>
        <x:v>9403.714931571434</x:v>
      </x:c>
      <x:c r="W55" s="100" t="n">
        <x:f>W54+V55</x:f>
        <x:v>-517584.17886007257</x:v>
      </x:c>
    </x:row>
    <x:row r="56">
      <x:c r="A56" s="67" t="n">
        <x:v>35</x:v>
      </x:c>
      <x:c r="B56" s="100" t="n">
        <x:f>IF(A56=1,$G$5*$B$15,IF(A56=2,$G$5*$B$16,IF(A56=3,$G$5*$B$17,$G$5)))</x:f>
        <x:v>280000</x:v>
      </x:c>
      <x:c r="C56" s="100" t="n">
        <x:f>B56*$B$13</x:f>
        <x:v>172996.420504</x:v>
      </x:c>
      <x:c r="D56" s="100" t="n">
        <x:f>$B$14</x:f>
        <x:v>120343.60044642857</x:v>
      </x:c>
      <x:c r="E56" s="100" t="n">
        <x:v>0</x:v>
      </x:c>
      <x:c r="F56" s="100" t="n">
        <x:f>C56-D56+E56</x:f>
        <x:v>52652.82005757144</x:v>
      </x:c>
      <x:c r="G56" s="100" t="n">
        <x:f>G55+F56</x:f>
        <x:v>973101.3866370001</x:v>
      </x:c>
      <x:c r="H56" s="119"/>
      <x:c r="I56" s="67" t="n">
        <x:v>35</x:v>
      </x:c>
      <x:c r="J56" s="100" t="n">
        <x:f>IF(I56=1,$G$6*$B$15,IF(I56=2,$G$6*$B$16,IF(I56=3,$G$6*$B$17,$G$6)))</x:f>
        <x:v>250000</x:v>
      </x:c>
      <x:c r="K56" s="100" t="n">
        <x:f>J56*$B$13</x:f>
        <x:v>154461.08973571428</x:v>
      </x:c>
      <x:c r="L56" s="100" t="n">
        <x:f>$B$14</x:f>
        <x:v>120343.60044642857</x:v>
      </x:c>
      <x:c r="M56" s="100" t="n">
        <x:v>0</x:v>
      </x:c>
      <x:c r="N56" s="100" t="n">
        <x:f>K56-L56+M56</x:f>
        <x:v>34117.48928928572</x:v>
      </x:c>
      <x:c r="O56" s="100" t="n">
        <x:f>O55+N56</x:f>
        <x:v>338266.3078232148</x:v>
      </x:c>
      <x:c r="P56" s="119"/>
      <x:c r="Q56" s="67" t="n">
        <x:v>35</x:v>
      </x:c>
      <x:c r="R56" s="100" t="n">
        <x:f>IF(Q56=1,$G$7*$B$15,IF(Q56=2,$G$7*$B$16,IF(Q56=3,$G$7*$B$17,$G$7)))</x:f>
        <x:v>210000</x:v>
      </x:c>
      <x:c r="S56" s="100" t="n">
        <x:f>R56*$B$13</x:f>
        <x:v>129747.315378</x:v>
      </x:c>
      <x:c r="T56" s="100" t="n">
        <x:f>$B$14</x:f>
        <x:v>120343.60044642857</x:v>
      </x:c>
      <x:c r="U56" s="100" t="n">
        <x:v>0</x:v>
      </x:c>
      <x:c r="V56" s="100" t="n">
        <x:f>S56-T56+U56</x:f>
        <x:v>9403.714931571434</x:v>
      </x:c>
      <x:c r="W56" s="100" t="n">
        <x:f>W55+V56</x:f>
        <x:v>-508180.4639285011</x:v>
      </x:c>
    </x:row>
    <x:row r="57">
      <x:c r="A57" s="68" t="n">
        <x:v>36</x:v>
      </x:c>
      <x:c r="B57" s="101" t="n">
        <x:f>IF(A57=1,$G$5*$B$15,IF(A57=2,$G$5*$B$16,IF(A57=3,$G$5*$B$17,$G$5)))</x:f>
        <x:v>280000</x:v>
      </x:c>
      <x:c r="C57" s="101" t="n">
        <x:f>B57*$B$13</x:f>
        <x:v>172996.420504</x:v>
      </x:c>
      <x:c r="D57" s="101" t="n">
        <x:f>$B$14</x:f>
        <x:v>120343.60044642857</x:v>
      </x:c>
      <x:c r="E57" s="101" t="n">
        <x:v>0</x:v>
      </x:c>
      <x:c r="F57" s="101" t="n">
        <x:f>C57-D57+E57</x:f>
        <x:v>52652.82005757144</x:v>
      </x:c>
      <x:c r="G57" s="101" t="n">
        <x:f>G56+F57</x:f>
        <x:v>1025754.2066945715</x:v>
      </x:c>
      <x:c r="H57" s="119"/>
      <x:c r="I57" s="68" t="n">
        <x:v>36</x:v>
      </x:c>
      <x:c r="J57" s="101" t="n">
        <x:f>IF(I57=1,$G$6*$B$15,IF(I57=2,$G$6*$B$16,IF(I57=3,$G$6*$B$17,$G$6)))</x:f>
        <x:v>250000</x:v>
      </x:c>
      <x:c r="K57" s="101" t="n">
        <x:f>J57*$B$13</x:f>
        <x:v>154461.08973571428</x:v>
      </x:c>
      <x:c r="L57" s="101" t="n">
        <x:f>$B$14</x:f>
        <x:v>120343.60044642857</x:v>
      </x:c>
      <x:c r="M57" s="101" t="n">
        <x:v>0</x:v>
      </x:c>
      <x:c r="N57" s="101" t="n">
        <x:f>K57-L57+M57</x:f>
        <x:v>34117.48928928572</x:v>
      </x:c>
      <x:c r="O57" s="101" t="n">
        <x:f>O56+N57</x:f>
        <x:v>372383.7971125005</x:v>
      </x:c>
      <x:c r="P57" s="119"/>
      <x:c r="Q57" s="68" t="n">
        <x:v>36</x:v>
      </x:c>
      <x:c r="R57" s="101" t="n">
        <x:f>IF(Q57=1,$G$7*$B$15,IF(Q57=2,$G$7*$B$16,IF(Q57=3,$G$7*$B$17,$G$7)))</x:f>
        <x:v>210000</x:v>
      </x:c>
      <x:c r="S57" s="101" t="n">
        <x:f>R57*$B$13</x:f>
        <x:v>129747.315378</x:v>
      </x:c>
      <x:c r="T57" s="101" t="n">
        <x:f>$B$14</x:f>
        <x:v>120343.60044642857</x:v>
      </x:c>
      <x:c r="U57" s="101" t="n">
        <x:v>0</x:v>
      </x:c>
      <x:c r="V57" s="101" t="n">
        <x:f>S57-T57+U57</x:f>
        <x:v>9403.714931571434</x:v>
      </x:c>
      <x:c r="W57" s="101" t="n">
        <x:f>W56+V57</x:f>
        <x:v>-498776.7489969297</x:v>
      </x:c>
    </x:row>
  </x:sheetData>
  <x:mergeCells>
    <x:mergeCell ref="A1:W1"/>
    <x:mergeCell ref="A2:W2"/>
    <x:mergeCell ref="A19:G19"/>
    <x:mergeCell ref="I19:O19"/>
    <x:mergeCell ref="Q19:W19"/>
  </x:mergeCells>
  <x:pageMargins left="0.7" right="0.7" top="0.75" bottom="0.75" header="0.3" footer="0.3"/>
</x:worksheet>
</file>